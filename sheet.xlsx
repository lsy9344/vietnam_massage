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E705097-CFE4-485C-9E6E-DEBEB97D05E9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오늘대시보드" sheetId="1" r:id="rId1"/>
    <sheet name="실시간콜입력" sheetId="2" r:id="rId2"/>
    <sheet name="웨이터리스트" sheetId="3" r:id="rId3"/>
    <sheet name="TV현황판" sheetId="4" r:id="rId4"/>
    <sheet name="운영팀근무인센" sheetId="5" r:id="rId5"/>
    <sheet name="귀케어일정산" sheetId="6" r:id="rId6"/>
    <sheet name="마사지사일정산" sheetId="7" r:id="rId7"/>
    <sheet name="월마감" sheetId="8" r:id="rId8"/>
    <sheet name="직원DB" sheetId="9" r:id="rId9"/>
    <sheet name="TV설정" sheetId="10" r:id="rId10"/>
    <sheet name="설정_코스수당" sheetId="11" r:id="rId11"/>
    <sheet name="목록" sheetId="12" state="hidden" r:id="rId12"/>
  </sheets>
  <definedNames>
    <definedName name="귀케어목록">설정_코스수당!$M$5:$M$8</definedName>
    <definedName name="날짜목록">설정_코스수당!$J$5:$J$35</definedName>
    <definedName name="마사지사목록">설정_코스수당!$N$5:$N$54</definedName>
    <definedName name="방번호목록">설정_코스수당!$L$5:$L$34</definedName>
    <definedName name="시간목록">설정_코스수당!$K$5:$K$35</definedName>
    <definedName name="코스목록">설정_코스수당!$A$6:$A$10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0" i="2" l="1"/>
  <c r="M220" i="2"/>
  <c r="L220" i="2" a="1"/>
  <c r="L220" i="2" s="1"/>
  <c r="K220" i="2" a="1"/>
  <c r="K220" i="2" s="1"/>
  <c r="J220" i="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E1616" i="7"/>
  <c r="M1616" i="7" s="1"/>
  <c r="A1616" i="7"/>
  <c r="E1615" i="7"/>
  <c r="M1615" i="7" s="1"/>
  <c r="A1615" i="7"/>
  <c r="E1614" i="7"/>
  <c r="M1614" i="7" s="1"/>
  <c r="A1614" i="7"/>
  <c r="E1613" i="7"/>
  <c r="M1613" i="7" s="1"/>
  <c r="A1613" i="7"/>
  <c r="E1612" i="7"/>
  <c r="M1612" i="7" s="1"/>
  <c r="A1612" i="7"/>
  <c r="E1611" i="7"/>
  <c r="M1611" i="7" s="1"/>
  <c r="A1611" i="7"/>
  <c r="E1610" i="7"/>
  <c r="M1610" i="7" s="1"/>
  <c r="A1610" i="7"/>
  <c r="E1609" i="7"/>
  <c r="M1609" i="7" s="1"/>
  <c r="A1609" i="7"/>
  <c r="E1608" i="7"/>
  <c r="M1608" i="7" s="1"/>
  <c r="A1608" i="7"/>
  <c r="E1607" i="7"/>
  <c r="M1607" i="7" s="1"/>
  <c r="A1607" i="7"/>
  <c r="E1606" i="7"/>
  <c r="M1606" i="7" s="1"/>
  <c r="A1606" i="7"/>
  <c r="E1605" i="7"/>
  <c r="M1605" i="7" s="1"/>
  <c r="A1605" i="7"/>
  <c r="E1604" i="7"/>
  <c r="M1604" i="7" s="1"/>
  <c r="A1604" i="7"/>
  <c r="E1603" i="7"/>
  <c r="M1603" i="7" s="1"/>
  <c r="A1603" i="7"/>
  <c r="E1602" i="7"/>
  <c r="M1602" i="7" s="1"/>
  <c r="A1602" i="7"/>
  <c r="E1601" i="7"/>
  <c r="M1601" i="7" s="1"/>
  <c r="A1601" i="7"/>
  <c r="E1600" i="7"/>
  <c r="M1600" i="7" s="1"/>
  <c r="A1600" i="7"/>
  <c r="E1599" i="7"/>
  <c r="M1599" i="7" s="1"/>
  <c r="A1599" i="7"/>
  <c r="E1598" i="7"/>
  <c r="M1598" i="7" s="1"/>
  <c r="A1598" i="7"/>
  <c r="E1597" i="7"/>
  <c r="M1597" i="7" s="1"/>
  <c r="A1597" i="7"/>
  <c r="E1596" i="7"/>
  <c r="M1596" i="7" s="1"/>
  <c r="A1596" i="7"/>
  <c r="E1595" i="7"/>
  <c r="M1595" i="7" s="1"/>
  <c r="A1595" i="7"/>
  <c r="E1594" i="7"/>
  <c r="M1594" i="7" s="1"/>
  <c r="A1594" i="7"/>
  <c r="E1593" i="7"/>
  <c r="M1593" i="7" s="1"/>
  <c r="A1593" i="7"/>
  <c r="E1592" i="7"/>
  <c r="M1592" i="7" s="1"/>
  <c r="A1592" i="7"/>
  <c r="E1591" i="7"/>
  <c r="M1591" i="7" s="1"/>
  <c r="A1591" i="7"/>
  <c r="E1590" i="7"/>
  <c r="M1590" i="7" s="1"/>
  <c r="A1590" i="7"/>
  <c r="E1589" i="7"/>
  <c r="M1589" i="7" s="1"/>
  <c r="A1589" i="7"/>
  <c r="E1588" i="7"/>
  <c r="M1588" i="7" s="1"/>
  <c r="A1588" i="7"/>
  <c r="E1587" i="7"/>
  <c r="M1587" i="7" s="1"/>
  <c r="A1587" i="7"/>
  <c r="E1586" i="7"/>
  <c r="M1586" i="7" s="1"/>
  <c r="A1586" i="7"/>
  <c r="E1585" i="7"/>
  <c r="M1585" i="7" s="1"/>
  <c r="A1585" i="7"/>
  <c r="E1584" i="7"/>
  <c r="M1584" i="7" s="1"/>
  <c r="A1584" i="7"/>
  <c r="E1583" i="7"/>
  <c r="M1583" i="7" s="1"/>
  <c r="A1583" i="7"/>
  <c r="E1582" i="7"/>
  <c r="M1582" i="7" s="1"/>
  <c r="A1582" i="7"/>
  <c r="E1581" i="7"/>
  <c r="M1581" i="7" s="1"/>
  <c r="A1581" i="7"/>
  <c r="E1580" i="7"/>
  <c r="M1580" i="7" s="1"/>
  <c r="A1580" i="7"/>
  <c r="E1579" i="7"/>
  <c r="M1579" i="7" s="1"/>
  <c r="A1579" i="7"/>
  <c r="E1578" i="7"/>
  <c r="M1578" i="7" s="1"/>
  <c r="A1578" i="7"/>
  <c r="E1577" i="7"/>
  <c r="M1577" i="7" s="1"/>
  <c r="A1577" i="7"/>
  <c r="E1576" i="7"/>
  <c r="M1576" i="7" s="1"/>
  <c r="A1576" i="7"/>
  <c r="E1575" i="7"/>
  <c r="M1575" i="7" s="1"/>
  <c r="A1575" i="7"/>
  <c r="E1574" i="7"/>
  <c r="M1574" i="7" s="1"/>
  <c r="A1574" i="7"/>
  <c r="E1573" i="7"/>
  <c r="M1573" i="7" s="1"/>
  <c r="A1573" i="7"/>
  <c r="E1572" i="7"/>
  <c r="M1572" i="7" s="1"/>
  <c r="A1572" i="7"/>
  <c r="E1571" i="7"/>
  <c r="M1571" i="7" s="1"/>
  <c r="A1571" i="7"/>
  <c r="E1570" i="7"/>
  <c r="A1570" i="7"/>
  <c r="E1569" i="7"/>
  <c r="M1569" i="7" s="1"/>
  <c r="A1569" i="7"/>
  <c r="E1568" i="7"/>
  <c r="M1568" i="7" s="1"/>
  <c r="A1568" i="7"/>
  <c r="E1567" i="7"/>
  <c r="M1567" i="7" s="1"/>
  <c r="A1567" i="7"/>
  <c r="A1565" i="7"/>
  <c r="E1564" i="7"/>
  <c r="M1564" i="7" s="1"/>
  <c r="A1564" i="7"/>
  <c r="E1563" i="7"/>
  <c r="M1563" i="7" s="1"/>
  <c r="A1563" i="7"/>
  <c r="E1562" i="7"/>
  <c r="M1562" i="7" s="1"/>
  <c r="A1562" i="7"/>
  <c r="E1561" i="7"/>
  <c r="M1561" i="7" s="1"/>
  <c r="A1561" i="7"/>
  <c r="E1560" i="7"/>
  <c r="M1560" i="7" s="1"/>
  <c r="A1560" i="7"/>
  <c r="E1559" i="7"/>
  <c r="M1559" i="7" s="1"/>
  <c r="A1559" i="7"/>
  <c r="E1558" i="7"/>
  <c r="M1558" i="7" s="1"/>
  <c r="A1558" i="7"/>
  <c r="E1557" i="7"/>
  <c r="M1557" i="7" s="1"/>
  <c r="A1557" i="7"/>
  <c r="E1556" i="7"/>
  <c r="M1556" i="7" s="1"/>
  <c r="A1556" i="7"/>
  <c r="E1555" i="7"/>
  <c r="M1555" i="7" s="1"/>
  <c r="A1555" i="7"/>
  <c r="E1554" i="7"/>
  <c r="M1554" i="7" s="1"/>
  <c r="A1554" i="7"/>
  <c r="E1553" i="7"/>
  <c r="M1553" i="7" s="1"/>
  <c r="A1553" i="7"/>
  <c r="E1552" i="7"/>
  <c r="M1552" i="7" s="1"/>
  <c r="A1552" i="7"/>
  <c r="E1551" i="7"/>
  <c r="M1551" i="7" s="1"/>
  <c r="A1551" i="7"/>
  <c r="E1550" i="7"/>
  <c r="M1550" i="7" s="1"/>
  <c r="A1550" i="7"/>
  <c r="E1549" i="7"/>
  <c r="M1549" i="7" s="1"/>
  <c r="A1549" i="7"/>
  <c r="E1548" i="7"/>
  <c r="M1548" i="7" s="1"/>
  <c r="A1548" i="7"/>
  <c r="E1547" i="7"/>
  <c r="M1547" i="7" s="1"/>
  <c r="A1547" i="7"/>
  <c r="E1546" i="7"/>
  <c r="M1546" i="7" s="1"/>
  <c r="A1546" i="7"/>
  <c r="E1545" i="7"/>
  <c r="M1545" i="7" s="1"/>
  <c r="A1545" i="7"/>
  <c r="E1544" i="7"/>
  <c r="M1544" i="7" s="1"/>
  <c r="A1544" i="7"/>
  <c r="E1543" i="7"/>
  <c r="M1543" i="7" s="1"/>
  <c r="A1543" i="7"/>
  <c r="E1542" i="7"/>
  <c r="M1542" i="7" s="1"/>
  <c r="A1542" i="7"/>
  <c r="E1541" i="7"/>
  <c r="M1541" i="7" s="1"/>
  <c r="A1541" i="7"/>
  <c r="E1540" i="7"/>
  <c r="M1540" i="7" s="1"/>
  <c r="A1540" i="7"/>
  <c r="E1539" i="7"/>
  <c r="M1539" i="7" s="1"/>
  <c r="A1539" i="7"/>
  <c r="E1538" i="7"/>
  <c r="M1538" i="7" s="1"/>
  <c r="A1538" i="7"/>
  <c r="E1537" i="7"/>
  <c r="M1537" i="7" s="1"/>
  <c r="A1537" i="7"/>
  <c r="E1536" i="7"/>
  <c r="M1536" i="7" s="1"/>
  <c r="A1536" i="7"/>
  <c r="E1535" i="7"/>
  <c r="M1535" i="7" s="1"/>
  <c r="A1535" i="7"/>
  <c r="E1534" i="7"/>
  <c r="M1534" i="7" s="1"/>
  <c r="A1534" i="7"/>
  <c r="E1533" i="7"/>
  <c r="M1533" i="7" s="1"/>
  <c r="A1533" i="7"/>
  <c r="E1532" i="7"/>
  <c r="M1532" i="7" s="1"/>
  <c r="A1532" i="7"/>
  <c r="E1531" i="7"/>
  <c r="M1531" i="7" s="1"/>
  <c r="A1531" i="7"/>
  <c r="E1530" i="7"/>
  <c r="M1530" i="7" s="1"/>
  <c r="A1530" i="7"/>
  <c r="E1529" i="7"/>
  <c r="M1529" i="7" s="1"/>
  <c r="A1529" i="7"/>
  <c r="E1528" i="7"/>
  <c r="M1528" i="7" s="1"/>
  <c r="A1528" i="7"/>
  <c r="E1527" i="7"/>
  <c r="M1527" i="7" s="1"/>
  <c r="A1527" i="7"/>
  <c r="E1526" i="7"/>
  <c r="M1526" i="7" s="1"/>
  <c r="A1526" i="7"/>
  <c r="E1525" i="7"/>
  <c r="M1525" i="7" s="1"/>
  <c r="A1525" i="7"/>
  <c r="E1524" i="7"/>
  <c r="M1524" i="7" s="1"/>
  <c r="A1524" i="7"/>
  <c r="E1523" i="7"/>
  <c r="M1523" i="7" s="1"/>
  <c r="A1523" i="7"/>
  <c r="E1522" i="7"/>
  <c r="M1522" i="7" s="1"/>
  <c r="A1522" i="7"/>
  <c r="E1521" i="7"/>
  <c r="M1521" i="7" s="1"/>
  <c r="A1521" i="7"/>
  <c r="E1520" i="7"/>
  <c r="M1520" i="7" s="1"/>
  <c r="A1520" i="7"/>
  <c r="E1519" i="7"/>
  <c r="M1519" i="7" s="1"/>
  <c r="A1519" i="7"/>
  <c r="E1518" i="7"/>
  <c r="M1518" i="7" s="1"/>
  <c r="A1518" i="7"/>
  <c r="E1517" i="7"/>
  <c r="M1517" i="7" s="1"/>
  <c r="A1517" i="7"/>
  <c r="E1516" i="7"/>
  <c r="M1516" i="7" s="1"/>
  <c r="A1516" i="7"/>
  <c r="E1515" i="7"/>
  <c r="M1515" i="7" s="1"/>
  <c r="A1515" i="7"/>
  <c r="A1513" i="7"/>
  <c r="E1512" i="7"/>
  <c r="M1512" i="7" s="1"/>
  <c r="A1512" i="7"/>
  <c r="E1511" i="7"/>
  <c r="M1511" i="7" s="1"/>
  <c r="A1511" i="7"/>
  <c r="E1510" i="7"/>
  <c r="M1510" i="7" s="1"/>
  <c r="A1510" i="7"/>
  <c r="E1509" i="7"/>
  <c r="M1509" i="7" s="1"/>
  <c r="A1509" i="7"/>
  <c r="E1508" i="7"/>
  <c r="M1508" i="7" s="1"/>
  <c r="A1508" i="7"/>
  <c r="E1507" i="7"/>
  <c r="M1507" i="7" s="1"/>
  <c r="A1507" i="7"/>
  <c r="E1506" i="7"/>
  <c r="M1506" i="7" s="1"/>
  <c r="A1506" i="7"/>
  <c r="E1505" i="7"/>
  <c r="M1505" i="7" s="1"/>
  <c r="A1505" i="7"/>
  <c r="E1504" i="7"/>
  <c r="M1504" i="7" s="1"/>
  <c r="A1504" i="7"/>
  <c r="E1503" i="7"/>
  <c r="M1503" i="7" s="1"/>
  <c r="A1503" i="7"/>
  <c r="E1502" i="7"/>
  <c r="M1502" i="7" s="1"/>
  <c r="A1502" i="7"/>
  <c r="E1501" i="7"/>
  <c r="M1501" i="7" s="1"/>
  <c r="A1501" i="7"/>
  <c r="E1500" i="7"/>
  <c r="M1500" i="7" s="1"/>
  <c r="A1500" i="7"/>
  <c r="E1499" i="7"/>
  <c r="M1499" i="7" s="1"/>
  <c r="A1499" i="7"/>
  <c r="E1498" i="7"/>
  <c r="M1498" i="7" s="1"/>
  <c r="A1498" i="7"/>
  <c r="E1497" i="7"/>
  <c r="M1497" i="7" s="1"/>
  <c r="A1497" i="7"/>
  <c r="E1496" i="7"/>
  <c r="M1496" i="7" s="1"/>
  <c r="A1496" i="7"/>
  <c r="E1495" i="7"/>
  <c r="M1495" i="7" s="1"/>
  <c r="A1495" i="7"/>
  <c r="E1494" i="7"/>
  <c r="M1494" i="7" s="1"/>
  <c r="A1494" i="7"/>
  <c r="E1493" i="7"/>
  <c r="M1493" i="7" s="1"/>
  <c r="A1493" i="7"/>
  <c r="E1492" i="7"/>
  <c r="M1492" i="7" s="1"/>
  <c r="A1492" i="7"/>
  <c r="E1491" i="7"/>
  <c r="M1491" i="7" s="1"/>
  <c r="A1491" i="7"/>
  <c r="E1490" i="7"/>
  <c r="M1490" i="7" s="1"/>
  <c r="A1490" i="7"/>
  <c r="E1489" i="7"/>
  <c r="M1489" i="7" s="1"/>
  <c r="A1489" i="7"/>
  <c r="E1488" i="7"/>
  <c r="M1488" i="7" s="1"/>
  <c r="A1488" i="7"/>
  <c r="E1487" i="7"/>
  <c r="M1487" i="7" s="1"/>
  <c r="A1487" i="7"/>
  <c r="E1486" i="7"/>
  <c r="M1486" i="7" s="1"/>
  <c r="A1486" i="7"/>
  <c r="E1485" i="7"/>
  <c r="M1485" i="7" s="1"/>
  <c r="A1485" i="7"/>
  <c r="E1484" i="7"/>
  <c r="M1484" i="7" s="1"/>
  <c r="A1484" i="7"/>
  <c r="E1483" i="7"/>
  <c r="M1483" i="7" s="1"/>
  <c r="A1483" i="7"/>
  <c r="E1482" i="7"/>
  <c r="M1482" i="7" s="1"/>
  <c r="A1482" i="7"/>
  <c r="E1481" i="7"/>
  <c r="M1481" i="7" s="1"/>
  <c r="A1481" i="7"/>
  <c r="E1480" i="7"/>
  <c r="M1480" i="7" s="1"/>
  <c r="A1480" i="7"/>
  <c r="E1479" i="7"/>
  <c r="M1479" i="7" s="1"/>
  <c r="A1479" i="7"/>
  <c r="E1478" i="7"/>
  <c r="M1478" i="7" s="1"/>
  <c r="A1478" i="7"/>
  <c r="E1477" i="7"/>
  <c r="M1477" i="7" s="1"/>
  <c r="A1477" i="7"/>
  <c r="E1476" i="7"/>
  <c r="M1476" i="7" s="1"/>
  <c r="A1476" i="7"/>
  <c r="E1475" i="7"/>
  <c r="M1475" i="7" s="1"/>
  <c r="A1475" i="7"/>
  <c r="E1474" i="7"/>
  <c r="M1474" i="7" s="1"/>
  <c r="A1474" i="7"/>
  <c r="E1473" i="7"/>
  <c r="M1473" i="7" s="1"/>
  <c r="A1473" i="7"/>
  <c r="E1472" i="7"/>
  <c r="M1472" i="7" s="1"/>
  <c r="A1472" i="7"/>
  <c r="E1471" i="7"/>
  <c r="M1471" i="7" s="1"/>
  <c r="A1471" i="7"/>
  <c r="E1470" i="7"/>
  <c r="M1470" i="7" s="1"/>
  <c r="A1470" i="7"/>
  <c r="E1469" i="7"/>
  <c r="M1469" i="7" s="1"/>
  <c r="A1469" i="7"/>
  <c r="E1468" i="7"/>
  <c r="M1468" i="7" s="1"/>
  <c r="A1468" i="7"/>
  <c r="E1467" i="7"/>
  <c r="M1467" i="7" s="1"/>
  <c r="A1467" i="7"/>
  <c r="E1466" i="7"/>
  <c r="M1466" i="7" s="1"/>
  <c r="A1466" i="7"/>
  <c r="E1465" i="7"/>
  <c r="M1465" i="7" s="1"/>
  <c r="A1465" i="7"/>
  <c r="E1464" i="7"/>
  <c r="A1464" i="7"/>
  <c r="E1463" i="7"/>
  <c r="M1463" i="7" s="1"/>
  <c r="A1463" i="7"/>
  <c r="A1461" i="7"/>
  <c r="E1460" i="7"/>
  <c r="M1460" i="7" s="1"/>
  <c r="A1460" i="7"/>
  <c r="E1459" i="7"/>
  <c r="M1459" i="7" s="1"/>
  <c r="A1459" i="7"/>
  <c r="E1458" i="7"/>
  <c r="M1458" i="7" s="1"/>
  <c r="A1458" i="7"/>
  <c r="E1457" i="7"/>
  <c r="M1457" i="7" s="1"/>
  <c r="A1457" i="7"/>
  <c r="E1456" i="7"/>
  <c r="M1456" i="7" s="1"/>
  <c r="A1456" i="7"/>
  <c r="E1455" i="7"/>
  <c r="M1455" i="7" s="1"/>
  <c r="A1455" i="7"/>
  <c r="E1454" i="7"/>
  <c r="M1454" i="7" s="1"/>
  <c r="A1454" i="7"/>
  <c r="E1453" i="7"/>
  <c r="M1453" i="7" s="1"/>
  <c r="A1453" i="7"/>
  <c r="E1452" i="7"/>
  <c r="M1452" i="7" s="1"/>
  <c r="A1452" i="7"/>
  <c r="E1451" i="7"/>
  <c r="M1451" i="7" s="1"/>
  <c r="A1451" i="7"/>
  <c r="E1450" i="7"/>
  <c r="M1450" i="7" s="1"/>
  <c r="A1450" i="7"/>
  <c r="E1449" i="7"/>
  <c r="M1449" i="7" s="1"/>
  <c r="A1449" i="7"/>
  <c r="E1448" i="7"/>
  <c r="M1448" i="7" s="1"/>
  <c r="A1448" i="7"/>
  <c r="E1447" i="7"/>
  <c r="M1447" i="7" s="1"/>
  <c r="A1447" i="7"/>
  <c r="E1446" i="7"/>
  <c r="M1446" i="7" s="1"/>
  <c r="A1446" i="7"/>
  <c r="E1445" i="7"/>
  <c r="M1445" i="7" s="1"/>
  <c r="A1445" i="7"/>
  <c r="E1444" i="7"/>
  <c r="M1444" i="7" s="1"/>
  <c r="A1444" i="7"/>
  <c r="E1443" i="7"/>
  <c r="M1443" i="7" s="1"/>
  <c r="A1443" i="7"/>
  <c r="E1442" i="7"/>
  <c r="M1442" i="7" s="1"/>
  <c r="A1442" i="7"/>
  <c r="E1441" i="7"/>
  <c r="M1441" i="7" s="1"/>
  <c r="A1441" i="7"/>
  <c r="E1440" i="7"/>
  <c r="M1440" i="7" s="1"/>
  <c r="A1440" i="7"/>
  <c r="E1439" i="7"/>
  <c r="M1439" i="7" s="1"/>
  <c r="A1439" i="7"/>
  <c r="E1438" i="7"/>
  <c r="M1438" i="7" s="1"/>
  <c r="A1438" i="7"/>
  <c r="E1437" i="7"/>
  <c r="M1437" i="7" s="1"/>
  <c r="A1437" i="7"/>
  <c r="E1436" i="7"/>
  <c r="M1436" i="7" s="1"/>
  <c r="A1436" i="7"/>
  <c r="E1435" i="7"/>
  <c r="M1435" i="7" s="1"/>
  <c r="A1435" i="7"/>
  <c r="E1434" i="7"/>
  <c r="M1434" i="7" s="1"/>
  <c r="A1434" i="7"/>
  <c r="E1433" i="7"/>
  <c r="M1433" i="7" s="1"/>
  <c r="A1433" i="7"/>
  <c r="E1432" i="7"/>
  <c r="M1432" i="7" s="1"/>
  <c r="A1432" i="7"/>
  <c r="E1431" i="7"/>
  <c r="M1431" i="7" s="1"/>
  <c r="A1431" i="7"/>
  <c r="E1430" i="7"/>
  <c r="M1430" i="7" s="1"/>
  <c r="A1430" i="7"/>
  <c r="E1429" i="7"/>
  <c r="M1429" i="7" s="1"/>
  <c r="A1429" i="7"/>
  <c r="E1428" i="7"/>
  <c r="M1428" i="7" s="1"/>
  <c r="A1428" i="7"/>
  <c r="E1427" i="7"/>
  <c r="M1427" i="7" s="1"/>
  <c r="A1427" i="7"/>
  <c r="E1426" i="7"/>
  <c r="M1426" i="7" s="1"/>
  <c r="A1426" i="7"/>
  <c r="E1425" i="7"/>
  <c r="M1425" i="7" s="1"/>
  <c r="A1425" i="7"/>
  <c r="E1424" i="7"/>
  <c r="M1424" i="7" s="1"/>
  <c r="A1424" i="7"/>
  <c r="E1423" i="7"/>
  <c r="M1423" i="7" s="1"/>
  <c r="A1423" i="7"/>
  <c r="E1422" i="7"/>
  <c r="M1422" i="7" s="1"/>
  <c r="A1422" i="7"/>
  <c r="E1421" i="7"/>
  <c r="M1421" i="7" s="1"/>
  <c r="A1421" i="7"/>
  <c r="E1420" i="7"/>
  <c r="M1420" i="7" s="1"/>
  <c r="A1420" i="7"/>
  <c r="E1419" i="7"/>
  <c r="M1419" i="7" s="1"/>
  <c r="A1419" i="7"/>
  <c r="E1418" i="7"/>
  <c r="M1418" i="7" s="1"/>
  <c r="A1418" i="7"/>
  <c r="E1417" i="7"/>
  <c r="M1417" i="7" s="1"/>
  <c r="A1417" i="7"/>
  <c r="E1416" i="7"/>
  <c r="M1416" i="7" s="1"/>
  <c r="A1416" i="7"/>
  <c r="E1415" i="7"/>
  <c r="M1415" i="7" s="1"/>
  <c r="A1415" i="7"/>
  <c r="E1414" i="7"/>
  <c r="M1414" i="7" s="1"/>
  <c r="A1414" i="7"/>
  <c r="E1413" i="7"/>
  <c r="M1413" i="7" s="1"/>
  <c r="A1413" i="7"/>
  <c r="E1412" i="7"/>
  <c r="M1412" i="7" s="1"/>
  <c r="A1412" i="7"/>
  <c r="E1411" i="7"/>
  <c r="A1411" i="7"/>
  <c r="A1409" i="7"/>
  <c r="B1409" i="7" s="1"/>
  <c r="E1408" i="7"/>
  <c r="M1408" i="7" s="1"/>
  <c r="A1408" i="7"/>
  <c r="E1407" i="7"/>
  <c r="M1407" i="7" s="1"/>
  <c r="A1407" i="7"/>
  <c r="E1406" i="7"/>
  <c r="M1406" i="7" s="1"/>
  <c r="A1406" i="7"/>
  <c r="E1405" i="7"/>
  <c r="M1405" i="7" s="1"/>
  <c r="A1405" i="7"/>
  <c r="E1404" i="7"/>
  <c r="M1404" i="7" s="1"/>
  <c r="A1404" i="7"/>
  <c r="E1403" i="7"/>
  <c r="M1403" i="7" s="1"/>
  <c r="A1403" i="7"/>
  <c r="E1402" i="7"/>
  <c r="M1402" i="7" s="1"/>
  <c r="A1402" i="7"/>
  <c r="E1401" i="7"/>
  <c r="M1401" i="7" s="1"/>
  <c r="A1401" i="7"/>
  <c r="E1400" i="7"/>
  <c r="M1400" i="7" s="1"/>
  <c r="A1400" i="7"/>
  <c r="E1399" i="7"/>
  <c r="M1399" i="7" s="1"/>
  <c r="A1399" i="7"/>
  <c r="E1398" i="7"/>
  <c r="M1398" i="7" s="1"/>
  <c r="A1398" i="7"/>
  <c r="E1397" i="7"/>
  <c r="M1397" i="7" s="1"/>
  <c r="A1397" i="7"/>
  <c r="E1396" i="7"/>
  <c r="M1396" i="7" s="1"/>
  <c r="A1396" i="7"/>
  <c r="E1395" i="7"/>
  <c r="M1395" i="7" s="1"/>
  <c r="A1395" i="7"/>
  <c r="E1394" i="7"/>
  <c r="M1394" i="7" s="1"/>
  <c r="A1394" i="7"/>
  <c r="E1393" i="7"/>
  <c r="M1393" i="7" s="1"/>
  <c r="A1393" i="7"/>
  <c r="E1392" i="7"/>
  <c r="M1392" i="7" s="1"/>
  <c r="A1392" i="7"/>
  <c r="E1391" i="7"/>
  <c r="M1391" i="7" s="1"/>
  <c r="A1391" i="7"/>
  <c r="E1390" i="7"/>
  <c r="M1390" i="7" s="1"/>
  <c r="A1390" i="7"/>
  <c r="E1389" i="7"/>
  <c r="M1389" i="7" s="1"/>
  <c r="A1389" i="7"/>
  <c r="E1388" i="7"/>
  <c r="M1388" i="7" s="1"/>
  <c r="A1388" i="7"/>
  <c r="E1387" i="7"/>
  <c r="M1387" i="7" s="1"/>
  <c r="A1387" i="7"/>
  <c r="E1386" i="7"/>
  <c r="M1386" i="7" s="1"/>
  <c r="A1386" i="7"/>
  <c r="E1385" i="7"/>
  <c r="M1385" i="7" s="1"/>
  <c r="A1385" i="7"/>
  <c r="E1384" i="7"/>
  <c r="M1384" i="7" s="1"/>
  <c r="A1384" i="7"/>
  <c r="E1383" i="7"/>
  <c r="M1383" i="7" s="1"/>
  <c r="A1383" i="7"/>
  <c r="E1382" i="7"/>
  <c r="M1382" i="7" s="1"/>
  <c r="A1382" i="7"/>
  <c r="E1381" i="7"/>
  <c r="M1381" i="7" s="1"/>
  <c r="A1381" i="7"/>
  <c r="E1380" i="7"/>
  <c r="M1380" i="7" s="1"/>
  <c r="A1380" i="7"/>
  <c r="E1379" i="7"/>
  <c r="M1379" i="7" s="1"/>
  <c r="A1379" i="7"/>
  <c r="E1378" i="7"/>
  <c r="M1378" i="7" s="1"/>
  <c r="A1378" i="7"/>
  <c r="E1377" i="7"/>
  <c r="M1377" i="7" s="1"/>
  <c r="A1377" i="7"/>
  <c r="E1376" i="7"/>
  <c r="M1376" i="7" s="1"/>
  <c r="A1376" i="7"/>
  <c r="E1375" i="7"/>
  <c r="M1375" i="7" s="1"/>
  <c r="A1375" i="7"/>
  <c r="E1374" i="7"/>
  <c r="M1374" i="7" s="1"/>
  <c r="A1374" i="7"/>
  <c r="E1373" i="7"/>
  <c r="M1373" i="7" s="1"/>
  <c r="A1373" i="7"/>
  <c r="E1372" i="7"/>
  <c r="M1372" i="7" s="1"/>
  <c r="A1372" i="7"/>
  <c r="E1371" i="7"/>
  <c r="M1371" i="7" s="1"/>
  <c r="A1371" i="7"/>
  <c r="E1370" i="7"/>
  <c r="M1370" i="7" s="1"/>
  <c r="A1370" i="7"/>
  <c r="E1369" i="7"/>
  <c r="M1369" i="7" s="1"/>
  <c r="A1369" i="7"/>
  <c r="E1368" i="7"/>
  <c r="M1368" i="7" s="1"/>
  <c r="A1368" i="7"/>
  <c r="E1367" i="7"/>
  <c r="M1367" i="7" s="1"/>
  <c r="A1367" i="7"/>
  <c r="E1366" i="7"/>
  <c r="M1366" i="7" s="1"/>
  <c r="A1366" i="7"/>
  <c r="E1365" i="7"/>
  <c r="M1365" i="7" s="1"/>
  <c r="A1365" i="7"/>
  <c r="E1364" i="7"/>
  <c r="M1364" i="7" s="1"/>
  <c r="A1364" i="7"/>
  <c r="E1363" i="7"/>
  <c r="M1363" i="7" s="1"/>
  <c r="A1363" i="7"/>
  <c r="E1362" i="7"/>
  <c r="M1362" i="7" s="1"/>
  <c r="A1362" i="7"/>
  <c r="E1361" i="7"/>
  <c r="M1361" i="7" s="1"/>
  <c r="A1361" i="7"/>
  <c r="E1360" i="7"/>
  <c r="M1360" i="7" s="1"/>
  <c r="A1360" i="7"/>
  <c r="E1359" i="7"/>
  <c r="M1359" i="7" s="1"/>
  <c r="A1359" i="7"/>
  <c r="A1357" i="7"/>
  <c r="E1356" i="7"/>
  <c r="M1356" i="7" s="1"/>
  <c r="A1356" i="7"/>
  <c r="E1355" i="7"/>
  <c r="M1355" i="7" s="1"/>
  <c r="A1355" i="7"/>
  <c r="E1354" i="7"/>
  <c r="M1354" i="7" s="1"/>
  <c r="A1354" i="7"/>
  <c r="E1353" i="7"/>
  <c r="M1353" i="7" s="1"/>
  <c r="A1353" i="7"/>
  <c r="E1352" i="7"/>
  <c r="M1352" i="7" s="1"/>
  <c r="A1352" i="7"/>
  <c r="E1351" i="7"/>
  <c r="M1351" i="7" s="1"/>
  <c r="A1351" i="7"/>
  <c r="E1350" i="7"/>
  <c r="M1350" i="7" s="1"/>
  <c r="A1350" i="7"/>
  <c r="E1349" i="7"/>
  <c r="M1349" i="7" s="1"/>
  <c r="A1349" i="7"/>
  <c r="E1348" i="7"/>
  <c r="M1348" i="7" s="1"/>
  <c r="A1348" i="7"/>
  <c r="E1347" i="7"/>
  <c r="M1347" i="7" s="1"/>
  <c r="A1347" i="7"/>
  <c r="E1346" i="7"/>
  <c r="M1346" i="7" s="1"/>
  <c r="A1346" i="7"/>
  <c r="E1345" i="7"/>
  <c r="M1345" i="7" s="1"/>
  <c r="A1345" i="7"/>
  <c r="E1344" i="7"/>
  <c r="M1344" i="7" s="1"/>
  <c r="A1344" i="7"/>
  <c r="E1343" i="7"/>
  <c r="M1343" i="7" s="1"/>
  <c r="A1343" i="7"/>
  <c r="E1342" i="7"/>
  <c r="M1342" i="7" s="1"/>
  <c r="A1342" i="7"/>
  <c r="E1341" i="7"/>
  <c r="M1341" i="7" s="1"/>
  <c r="A1341" i="7"/>
  <c r="E1340" i="7"/>
  <c r="M1340" i="7" s="1"/>
  <c r="A1340" i="7"/>
  <c r="E1339" i="7"/>
  <c r="M1339" i="7" s="1"/>
  <c r="A1339" i="7"/>
  <c r="E1338" i="7"/>
  <c r="M1338" i="7" s="1"/>
  <c r="A1338" i="7"/>
  <c r="E1337" i="7"/>
  <c r="M1337" i="7" s="1"/>
  <c r="A1337" i="7"/>
  <c r="E1336" i="7"/>
  <c r="M1336" i="7" s="1"/>
  <c r="A1336" i="7"/>
  <c r="E1335" i="7"/>
  <c r="M1335" i="7" s="1"/>
  <c r="A1335" i="7"/>
  <c r="E1334" i="7"/>
  <c r="M1334" i="7" s="1"/>
  <c r="A1334" i="7"/>
  <c r="E1333" i="7"/>
  <c r="M1333" i="7" s="1"/>
  <c r="A1333" i="7"/>
  <c r="E1332" i="7"/>
  <c r="M1332" i="7" s="1"/>
  <c r="A1332" i="7"/>
  <c r="E1331" i="7"/>
  <c r="M1331" i="7" s="1"/>
  <c r="A1331" i="7"/>
  <c r="E1330" i="7"/>
  <c r="M1330" i="7" s="1"/>
  <c r="A1330" i="7"/>
  <c r="E1329" i="7"/>
  <c r="M1329" i="7" s="1"/>
  <c r="A1329" i="7"/>
  <c r="E1328" i="7"/>
  <c r="M1328" i="7" s="1"/>
  <c r="A1328" i="7"/>
  <c r="E1327" i="7"/>
  <c r="M1327" i="7" s="1"/>
  <c r="A1327" i="7"/>
  <c r="E1326" i="7"/>
  <c r="M1326" i="7" s="1"/>
  <c r="A1326" i="7"/>
  <c r="E1325" i="7"/>
  <c r="A1325" i="7"/>
  <c r="E1324" i="7"/>
  <c r="M1324" i="7" s="1"/>
  <c r="A1324" i="7"/>
  <c r="E1323" i="7"/>
  <c r="M1323" i="7" s="1"/>
  <c r="A1323" i="7"/>
  <c r="E1322" i="7"/>
  <c r="M1322" i="7" s="1"/>
  <c r="A1322" i="7"/>
  <c r="E1321" i="7"/>
  <c r="M1321" i="7" s="1"/>
  <c r="A1321" i="7"/>
  <c r="E1320" i="7"/>
  <c r="M1320" i="7" s="1"/>
  <c r="A1320" i="7"/>
  <c r="E1319" i="7"/>
  <c r="M1319" i="7" s="1"/>
  <c r="A1319" i="7"/>
  <c r="E1318" i="7"/>
  <c r="M1318" i="7" s="1"/>
  <c r="A1318" i="7"/>
  <c r="E1317" i="7"/>
  <c r="M1317" i="7" s="1"/>
  <c r="A1317" i="7"/>
  <c r="E1316" i="7"/>
  <c r="M1316" i="7" s="1"/>
  <c r="A1316" i="7"/>
  <c r="E1315" i="7"/>
  <c r="M1315" i="7" s="1"/>
  <c r="A1315" i="7"/>
  <c r="E1314" i="7"/>
  <c r="M1314" i="7" s="1"/>
  <c r="A1314" i="7"/>
  <c r="E1313" i="7"/>
  <c r="M1313" i="7" s="1"/>
  <c r="A1313" i="7"/>
  <c r="E1312" i="7"/>
  <c r="M1312" i="7" s="1"/>
  <c r="A1312" i="7"/>
  <c r="E1311" i="7"/>
  <c r="M1311" i="7" s="1"/>
  <c r="A1311" i="7"/>
  <c r="E1310" i="7"/>
  <c r="M1310" i="7" s="1"/>
  <c r="A1310" i="7"/>
  <c r="E1309" i="7"/>
  <c r="M1309" i="7" s="1"/>
  <c r="A1309" i="7"/>
  <c r="E1308" i="7"/>
  <c r="M1308" i="7" s="1"/>
  <c r="A1308" i="7"/>
  <c r="E1307" i="7"/>
  <c r="M1307" i="7" s="1"/>
  <c r="A1307" i="7"/>
  <c r="A1305" i="7"/>
  <c r="E1304" i="7"/>
  <c r="M1304" i="7" s="1"/>
  <c r="A1304" i="7"/>
  <c r="E1303" i="7"/>
  <c r="M1303" i="7" s="1"/>
  <c r="A1303" i="7"/>
  <c r="E1302" i="7"/>
  <c r="M1302" i="7" s="1"/>
  <c r="A1302" i="7"/>
  <c r="E1301" i="7"/>
  <c r="M1301" i="7" s="1"/>
  <c r="A1301" i="7"/>
  <c r="E1300" i="7"/>
  <c r="M1300" i="7" s="1"/>
  <c r="A1300" i="7"/>
  <c r="E1299" i="7"/>
  <c r="M1299" i="7" s="1"/>
  <c r="A1299" i="7"/>
  <c r="E1298" i="7"/>
  <c r="M1298" i="7" s="1"/>
  <c r="A1298" i="7"/>
  <c r="E1297" i="7"/>
  <c r="M1297" i="7" s="1"/>
  <c r="A1297" i="7"/>
  <c r="E1296" i="7"/>
  <c r="M1296" i="7" s="1"/>
  <c r="A1296" i="7"/>
  <c r="E1295" i="7"/>
  <c r="M1295" i="7" s="1"/>
  <c r="A1295" i="7"/>
  <c r="E1294" i="7"/>
  <c r="M1294" i="7" s="1"/>
  <c r="A1294" i="7"/>
  <c r="E1293" i="7"/>
  <c r="M1293" i="7" s="1"/>
  <c r="A1293" i="7"/>
  <c r="E1292" i="7"/>
  <c r="M1292" i="7" s="1"/>
  <c r="A1292" i="7"/>
  <c r="E1291" i="7"/>
  <c r="M1291" i="7" s="1"/>
  <c r="A1291" i="7"/>
  <c r="E1290" i="7"/>
  <c r="M1290" i="7" s="1"/>
  <c r="A1290" i="7"/>
  <c r="E1289" i="7"/>
  <c r="M1289" i="7" s="1"/>
  <c r="A1289" i="7"/>
  <c r="E1288" i="7"/>
  <c r="M1288" i="7" s="1"/>
  <c r="A1288" i="7"/>
  <c r="E1287" i="7"/>
  <c r="M1287" i="7" s="1"/>
  <c r="A1287" i="7"/>
  <c r="E1286" i="7"/>
  <c r="M1286" i="7" s="1"/>
  <c r="A1286" i="7"/>
  <c r="E1285" i="7"/>
  <c r="M1285" i="7" s="1"/>
  <c r="A1285" i="7"/>
  <c r="E1284" i="7"/>
  <c r="M1284" i="7" s="1"/>
  <c r="A1284" i="7"/>
  <c r="E1283" i="7"/>
  <c r="M1283" i="7" s="1"/>
  <c r="A1283" i="7"/>
  <c r="E1282" i="7"/>
  <c r="M1282" i="7" s="1"/>
  <c r="A1282" i="7"/>
  <c r="E1281" i="7"/>
  <c r="M1281" i="7" s="1"/>
  <c r="A1281" i="7"/>
  <c r="E1280" i="7"/>
  <c r="M1280" i="7" s="1"/>
  <c r="A1280" i="7"/>
  <c r="E1279" i="7"/>
  <c r="M1279" i="7" s="1"/>
  <c r="A1279" i="7"/>
  <c r="E1278" i="7"/>
  <c r="M1278" i="7" s="1"/>
  <c r="A1278" i="7"/>
  <c r="E1277" i="7"/>
  <c r="M1277" i="7" s="1"/>
  <c r="A1277" i="7"/>
  <c r="E1276" i="7"/>
  <c r="M1276" i="7" s="1"/>
  <c r="A1276" i="7"/>
  <c r="E1275" i="7"/>
  <c r="M1275" i="7" s="1"/>
  <c r="A1275" i="7"/>
  <c r="E1274" i="7"/>
  <c r="M1274" i="7" s="1"/>
  <c r="A1274" i="7"/>
  <c r="E1273" i="7"/>
  <c r="M1273" i="7" s="1"/>
  <c r="A1273" i="7"/>
  <c r="E1272" i="7"/>
  <c r="M1272" i="7" s="1"/>
  <c r="A1272" i="7"/>
  <c r="E1271" i="7"/>
  <c r="M1271" i="7" s="1"/>
  <c r="A1271" i="7"/>
  <c r="E1270" i="7"/>
  <c r="M1270" i="7" s="1"/>
  <c r="A1270" i="7"/>
  <c r="E1269" i="7"/>
  <c r="M1269" i="7" s="1"/>
  <c r="A1269" i="7"/>
  <c r="E1268" i="7"/>
  <c r="M1268" i="7" s="1"/>
  <c r="A1268" i="7"/>
  <c r="E1267" i="7"/>
  <c r="A1267" i="7"/>
  <c r="E1266" i="7"/>
  <c r="M1266" i="7" s="1"/>
  <c r="A1266" i="7"/>
  <c r="E1265" i="7"/>
  <c r="M1265" i="7" s="1"/>
  <c r="A1265" i="7"/>
  <c r="E1264" i="7"/>
  <c r="M1264" i="7" s="1"/>
  <c r="A1264" i="7"/>
  <c r="E1263" i="7"/>
  <c r="M1263" i="7" s="1"/>
  <c r="A1263" i="7"/>
  <c r="E1262" i="7"/>
  <c r="M1262" i="7" s="1"/>
  <c r="A1262" i="7"/>
  <c r="E1261" i="7"/>
  <c r="M1261" i="7" s="1"/>
  <c r="A1261" i="7"/>
  <c r="E1260" i="7"/>
  <c r="M1260" i="7" s="1"/>
  <c r="A1260" i="7"/>
  <c r="E1259" i="7"/>
  <c r="M1259" i="7" s="1"/>
  <c r="A1259" i="7"/>
  <c r="E1258" i="7"/>
  <c r="M1258" i="7" s="1"/>
  <c r="A1258" i="7"/>
  <c r="E1257" i="7"/>
  <c r="M1257" i="7" s="1"/>
  <c r="A1257" i="7"/>
  <c r="E1256" i="7"/>
  <c r="M1256" i="7" s="1"/>
  <c r="A1256" i="7"/>
  <c r="E1255" i="7"/>
  <c r="M1255" i="7" s="1"/>
  <c r="A1255" i="7"/>
  <c r="A1253" i="7"/>
  <c r="B1253" i="7" s="1"/>
  <c r="E1252" i="7"/>
  <c r="M1252" i="7" s="1"/>
  <c r="A1252" i="7"/>
  <c r="E1251" i="7"/>
  <c r="M1251" i="7" s="1"/>
  <c r="A1251" i="7"/>
  <c r="E1250" i="7"/>
  <c r="M1250" i="7" s="1"/>
  <c r="A1250" i="7"/>
  <c r="E1249" i="7"/>
  <c r="M1249" i="7" s="1"/>
  <c r="A1249" i="7"/>
  <c r="E1248" i="7"/>
  <c r="M1248" i="7" s="1"/>
  <c r="A1248" i="7"/>
  <c r="E1247" i="7"/>
  <c r="M1247" i="7" s="1"/>
  <c r="A1247" i="7"/>
  <c r="E1246" i="7"/>
  <c r="M1246" i="7" s="1"/>
  <c r="A1246" i="7"/>
  <c r="E1245" i="7"/>
  <c r="M1245" i="7" s="1"/>
  <c r="A1245" i="7"/>
  <c r="E1244" i="7"/>
  <c r="M1244" i="7" s="1"/>
  <c r="A1244" i="7"/>
  <c r="E1243" i="7"/>
  <c r="M1243" i="7" s="1"/>
  <c r="A1243" i="7"/>
  <c r="E1242" i="7"/>
  <c r="M1242" i="7" s="1"/>
  <c r="A1242" i="7"/>
  <c r="E1241" i="7"/>
  <c r="M1241" i="7" s="1"/>
  <c r="A1241" i="7"/>
  <c r="E1240" i="7"/>
  <c r="M1240" i="7" s="1"/>
  <c r="A1240" i="7"/>
  <c r="E1239" i="7"/>
  <c r="M1239" i="7" s="1"/>
  <c r="A1239" i="7"/>
  <c r="E1238" i="7"/>
  <c r="M1238" i="7" s="1"/>
  <c r="A1238" i="7"/>
  <c r="E1237" i="7"/>
  <c r="M1237" i="7" s="1"/>
  <c r="A1237" i="7"/>
  <c r="E1236" i="7"/>
  <c r="M1236" i="7" s="1"/>
  <c r="A1236" i="7"/>
  <c r="E1235" i="7"/>
  <c r="M1235" i="7" s="1"/>
  <c r="A1235" i="7"/>
  <c r="E1234" i="7"/>
  <c r="M1234" i="7" s="1"/>
  <c r="A1234" i="7"/>
  <c r="E1233" i="7"/>
  <c r="M1233" i="7" s="1"/>
  <c r="A1233" i="7"/>
  <c r="E1232" i="7"/>
  <c r="M1232" i="7" s="1"/>
  <c r="A1232" i="7"/>
  <c r="E1231" i="7"/>
  <c r="M1231" i="7" s="1"/>
  <c r="A1231" i="7"/>
  <c r="E1230" i="7"/>
  <c r="M1230" i="7" s="1"/>
  <c r="A1230" i="7"/>
  <c r="E1229" i="7"/>
  <c r="M1229" i="7" s="1"/>
  <c r="A1229" i="7"/>
  <c r="E1228" i="7"/>
  <c r="M1228" i="7" s="1"/>
  <c r="A1228" i="7"/>
  <c r="E1227" i="7"/>
  <c r="M1227" i="7" s="1"/>
  <c r="A1227" i="7"/>
  <c r="E1226" i="7"/>
  <c r="M1226" i="7" s="1"/>
  <c r="A1226" i="7"/>
  <c r="E1225" i="7"/>
  <c r="M1225" i="7" s="1"/>
  <c r="A1225" i="7"/>
  <c r="E1224" i="7"/>
  <c r="M1224" i="7" s="1"/>
  <c r="A1224" i="7"/>
  <c r="E1223" i="7"/>
  <c r="M1223" i="7" s="1"/>
  <c r="A1223" i="7"/>
  <c r="E1222" i="7"/>
  <c r="M1222" i="7" s="1"/>
  <c r="A1222" i="7"/>
  <c r="E1221" i="7"/>
  <c r="M1221" i="7" s="1"/>
  <c r="A1221" i="7"/>
  <c r="E1220" i="7"/>
  <c r="M1220" i="7" s="1"/>
  <c r="A1220" i="7"/>
  <c r="E1219" i="7"/>
  <c r="M1219" i="7" s="1"/>
  <c r="A1219" i="7"/>
  <c r="E1218" i="7"/>
  <c r="M1218" i="7" s="1"/>
  <c r="A1218" i="7"/>
  <c r="E1217" i="7"/>
  <c r="M1217" i="7" s="1"/>
  <c r="A1217" i="7"/>
  <c r="E1216" i="7"/>
  <c r="M1216" i="7" s="1"/>
  <c r="A1216" i="7"/>
  <c r="E1215" i="7"/>
  <c r="M1215" i="7" s="1"/>
  <c r="A1215" i="7"/>
  <c r="E1214" i="7"/>
  <c r="M1214" i="7" s="1"/>
  <c r="A1214" i="7"/>
  <c r="E1213" i="7"/>
  <c r="M1213" i="7" s="1"/>
  <c r="A1213" i="7"/>
  <c r="E1212" i="7"/>
  <c r="M1212" i="7" s="1"/>
  <c r="A1212" i="7"/>
  <c r="E1211" i="7"/>
  <c r="M1211" i="7" s="1"/>
  <c r="A1211" i="7"/>
  <c r="E1210" i="7"/>
  <c r="M1210" i="7" s="1"/>
  <c r="A1210" i="7"/>
  <c r="E1209" i="7"/>
  <c r="M1209" i="7" s="1"/>
  <c r="A1209" i="7"/>
  <c r="E1208" i="7"/>
  <c r="A1208" i="7"/>
  <c r="E1207" i="7"/>
  <c r="M1207" i="7" s="1"/>
  <c r="A1207" i="7"/>
  <c r="E1206" i="7"/>
  <c r="M1206" i="7" s="1"/>
  <c r="A1206" i="7"/>
  <c r="E1205" i="7"/>
  <c r="M1205" i="7" s="1"/>
  <c r="A1205" i="7"/>
  <c r="E1204" i="7"/>
  <c r="M1204" i="7" s="1"/>
  <c r="A1204" i="7"/>
  <c r="E1203" i="7"/>
  <c r="M1203" i="7" s="1"/>
  <c r="A1203" i="7"/>
  <c r="A1201" i="7"/>
  <c r="B1201" i="7" s="1"/>
  <c r="E1200" i="7"/>
  <c r="M1200" i="7" s="1"/>
  <c r="A1200" i="7"/>
  <c r="E1199" i="7"/>
  <c r="M1199" i="7" s="1"/>
  <c r="A1199" i="7"/>
  <c r="E1198" i="7"/>
  <c r="M1198" i="7" s="1"/>
  <c r="A1198" i="7"/>
  <c r="E1197" i="7"/>
  <c r="M1197" i="7" s="1"/>
  <c r="A1197" i="7"/>
  <c r="E1196" i="7"/>
  <c r="M1196" i="7" s="1"/>
  <c r="A1196" i="7"/>
  <c r="E1195" i="7"/>
  <c r="M1195" i="7" s="1"/>
  <c r="A1195" i="7"/>
  <c r="E1194" i="7"/>
  <c r="M1194" i="7" s="1"/>
  <c r="A1194" i="7"/>
  <c r="E1193" i="7"/>
  <c r="M1193" i="7" s="1"/>
  <c r="A1193" i="7"/>
  <c r="E1192" i="7"/>
  <c r="M1192" i="7" s="1"/>
  <c r="A1192" i="7"/>
  <c r="E1191" i="7"/>
  <c r="M1191" i="7" s="1"/>
  <c r="A1191" i="7"/>
  <c r="E1190" i="7"/>
  <c r="M1190" i="7" s="1"/>
  <c r="A1190" i="7"/>
  <c r="E1189" i="7"/>
  <c r="M1189" i="7" s="1"/>
  <c r="A1189" i="7"/>
  <c r="E1188" i="7"/>
  <c r="M1188" i="7" s="1"/>
  <c r="A1188" i="7"/>
  <c r="E1187" i="7"/>
  <c r="M1187" i="7" s="1"/>
  <c r="A1187" i="7"/>
  <c r="E1186" i="7"/>
  <c r="M1186" i="7" s="1"/>
  <c r="A1186" i="7"/>
  <c r="E1185" i="7"/>
  <c r="M1185" i="7" s="1"/>
  <c r="A1185" i="7"/>
  <c r="E1184" i="7"/>
  <c r="M1184" i="7" s="1"/>
  <c r="A1184" i="7"/>
  <c r="E1183" i="7"/>
  <c r="M1183" i="7" s="1"/>
  <c r="A1183" i="7"/>
  <c r="E1182" i="7"/>
  <c r="M1182" i="7" s="1"/>
  <c r="A1182" i="7"/>
  <c r="E1181" i="7"/>
  <c r="M1181" i="7" s="1"/>
  <c r="A1181" i="7"/>
  <c r="E1180" i="7"/>
  <c r="M1180" i="7" s="1"/>
  <c r="A1180" i="7"/>
  <c r="E1179" i="7"/>
  <c r="M1179" i="7" s="1"/>
  <c r="A1179" i="7"/>
  <c r="E1178" i="7"/>
  <c r="M1178" i="7" s="1"/>
  <c r="A1178" i="7"/>
  <c r="E1177" i="7"/>
  <c r="M1177" i="7" s="1"/>
  <c r="A1177" i="7"/>
  <c r="E1176" i="7"/>
  <c r="M1176" i="7" s="1"/>
  <c r="A1176" i="7"/>
  <c r="E1175" i="7"/>
  <c r="M1175" i="7" s="1"/>
  <c r="A1175" i="7"/>
  <c r="E1174" i="7"/>
  <c r="M1174" i="7" s="1"/>
  <c r="A1174" i="7"/>
  <c r="E1173" i="7"/>
  <c r="M1173" i="7" s="1"/>
  <c r="A1173" i="7"/>
  <c r="E1172" i="7"/>
  <c r="M1172" i="7" s="1"/>
  <c r="A1172" i="7"/>
  <c r="E1171" i="7"/>
  <c r="M1171" i="7" s="1"/>
  <c r="A1171" i="7"/>
  <c r="E1170" i="7"/>
  <c r="M1170" i="7" s="1"/>
  <c r="A1170" i="7"/>
  <c r="E1169" i="7"/>
  <c r="M1169" i="7" s="1"/>
  <c r="A1169" i="7"/>
  <c r="E1168" i="7"/>
  <c r="M1168" i="7" s="1"/>
  <c r="A1168" i="7"/>
  <c r="E1167" i="7"/>
  <c r="M1167" i="7" s="1"/>
  <c r="A1167" i="7"/>
  <c r="E1166" i="7"/>
  <c r="M1166" i="7" s="1"/>
  <c r="A1166" i="7"/>
  <c r="E1165" i="7"/>
  <c r="M1165" i="7" s="1"/>
  <c r="A1165" i="7"/>
  <c r="E1164" i="7"/>
  <c r="M1164" i="7" s="1"/>
  <c r="A1164" i="7"/>
  <c r="E1163" i="7"/>
  <c r="M1163" i="7" s="1"/>
  <c r="A1163" i="7"/>
  <c r="E1162" i="7"/>
  <c r="M1162" i="7" s="1"/>
  <c r="A1162" i="7"/>
  <c r="E1161" i="7"/>
  <c r="M1161" i="7" s="1"/>
  <c r="A1161" i="7"/>
  <c r="E1160" i="7"/>
  <c r="M1160" i="7" s="1"/>
  <c r="A1160" i="7"/>
  <c r="E1159" i="7"/>
  <c r="M1159" i="7" s="1"/>
  <c r="A1159" i="7"/>
  <c r="E1158" i="7"/>
  <c r="M1158" i="7" s="1"/>
  <c r="A1158" i="7"/>
  <c r="E1157" i="7"/>
  <c r="M1157" i="7" s="1"/>
  <c r="A1157" i="7"/>
  <c r="E1156" i="7"/>
  <c r="M1156" i="7" s="1"/>
  <c r="A1156" i="7"/>
  <c r="E1155" i="7"/>
  <c r="M1155" i="7" s="1"/>
  <c r="A1155" i="7"/>
  <c r="E1154" i="7"/>
  <c r="M1154" i="7" s="1"/>
  <c r="A1154" i="7"/>
  <c r="E1153" i="7"/>
  <c r="M1153" i="7" s="1"/>
  <c r="A1153" i="7"/>
  <c r="E1152" i="7"/>
  <c r="M1152" i="7" s="1"/>
  <c r="A1152" i="7"/>
  <c r="E1151" i="7"/>
  <c r="M1151" i="7" s="1"/>
  <c r="A1151" i="7"/>
  <c r="A1149" i="7"/>
  <c r="B1149" i="7" s="1"/>
  <c r="E1148" i="7"/>
  <c r="M1148" i="7" s="1"/>
  <c r="A1148" i="7"/>
  <c r="E1147" i="7"/>
  <c r="M1147" i="7" s="1"/>
  <c r="A1147" i="7"/>
  <c r="E1146" i="7"/>
  <c r="M1146" i="7" s="1"/>
  <c r="A1146" i="7"/>
  <c r="E1145" i="7"/>
  <c r="M1145" i="7" s="1"/>
  <c r="A1145" i="7"/>
  <c r="E1144" i="7"/>
  <c r="M1144" i="7" s="1"/>
  <c r="A1144" i="7"/>
  <c r="E1143" i="7"/>
  <c r="M1143" i="7" s="1"/>
  <c r="A1143" i="7"/>
  <c r="E1142" i="7"/>
  <c r="M1142" i="7" s="1"/>
  <c r="A1142" i="7"/>
  <c r="E1141" i="7"/>
  <c r="M1141" i="7" s="1"/>
  <c r="A1141" i="7"/>
  <c r="E1140" i="7"/>
  <c r="M1140" i="7" s="1"/>
  <c r="A1140" i="7"/>
  <c r="E1139" i="7"/>
  <c r="M1139" i="7" s="1"/>
  <c r="A1139" i="7"/>
  <c r="E1138" i="7"/>
  <c r="M1138" i="7" s="1"/>
  <c r="A1138" i="7"/>
  <c r="E1137" i="7"/>
  <c r="M1137" i="7" s="1"/>
  <c r="A1137" i="7"/>
  <c r="E1136" i="7"/>
  <c r="M1136" i="7" s="1"/>
  <c r="A1136" i="7"/>
  <c r="E1135" i="7"/>
  <c r="M1135" i="7" s="1"/>
  <c r="A1135" i="7"/>
  <c r="E1134" i="7"/>
  <c r="M1134" i="7" s="1"/>
  <c r="A1134" i="7"/>
  <c r="E1133" i="7"/>
  <c r="M1133" i="7" s="1"/>
  <c r="A1133" i="7"/>
  <c r="E1132" i="7"/>
  <c r="M1132" i="7" s="1"/>
  <c r="A1132" i="7"/>
  <c r="E1131" i="7"/>
  <c r="M1131" i="7" s="1"/>
  <c r="A1131" i="7"/>
  <c r="E1130" i="7"/>
  <c r="M1130" i="7" s="1"/>
  <c r="A1130" i="7"/>
  <c r="E1129" i="7"/>
  <c r="M1129" i="7" s="1"/>
  <c r="A1129" i="7"/>
  <c r="E1128" i="7"/>
  <c r="M1128" i="7" s="1"/>
  <c r="A1128" i="7"/>
  <c r="E1127" i="7"/>
  <c r="M1127" i="7" s="1"/>
  <c r="A1127" i="7"/>
  <c r="E1126" i="7"/>
  <c r="M1126" i="7" s="1"/>
  <c r="A1126" i="7"/>
  <c r="E1125" i="7"/>
  <c r="M1125" i="7" s="1"/>
  <c r="A1125" i="7"/>
  <c r="E1124" i="7"/>
  <c r="M1124" i="7" s="1"/>
  <c r="A1124" i="7"/>
  <c r="E1123" i="7"/>
  <c r="M1123" i="7" s="1"/>
  <c r="A1123" i="7"/>
  <c r="E1122" i="7"/>
  <c r="M1122" i="7" s="1"/>
  <c r="A1122" i="7"/>
  <c r="E1121" i="7"/>
  <c r="M1121" i="7" s="1"/>
  <c r="A1121" i="7"/>
  <c r="E1120" i="7"/>
  <c r="M1120" i="7" s="1"/>
  <c r="A1120" i="7"/>
  <c r="E1119" i="7"/>
  <c r="M1119" i="7" s="1"/>
  <c r="A1119" i="7"/>
  <c r="E1118" i="7"/>
  <c r="M1118" i="7" s="1"/>
  <c r="A1118" i="7"/>
  <c r="E1117" i="7"/>
  <c r="M1117" i="7" s="1"/>
  <c r="A1117" i="7"/>
  <c r="E1116" i="7"/>
  <c r="M1116" i="7" s="1"/>
  <c r="A1116" i="7"/>
  <c r="E1115" i="7"/>
  <c r="M1115" i="7" s="1"/>
  <c r="A1115" i="7"/>
  <c r="E1114" i="7"/>
  <c r="M1114" i="7" s="1"/>
  <c r="A1114" i="7"/>
  <c r="E1113" i="7"/>
  <c r="M1113" i="7" s="1"/>
  <c r="A1113" i="7"/>
  <c r="E1112" i="7"/>
  <c r="M1112" i="7" s="1"/>
  <c r="A1112" i="7"/>
  <c r="E1111" i="7"/>
  <c r="M1111" i="7" s="1"/>
  <c r="A1111" i="7"/>
  <c r="E1110" i="7"/>
  <c r="M1110" i="7" s="1"/>
  <c r="A1110" i="7"/>
  <c r="E1109" i="7"/>
  <c r="M1109" i="7" s="1"/>
  <c r="A1109" i="7"/>
  <c r="E1108" i="7"/>
  <c r="M1108" i="7" s="1"/>
  <c r="A1108" i="7"/>
  <c r="E1107" i="7"/>
  <c r="M1107" i="7" s="1"/>
  <c r="A1107" i="7"/>
  <c r="E1106" i="7"/>
  <c r="M1106" i="7" s="1"/>
  <c r="A1106" i="7"/>
  <c r="E1105" i="7"/>
  <c r="M1105" i="7" s="1"/>
  <c r="A1105" i="7"/>
  <c r="E1104" i="7"/>
  <c r="M1104" i="7" s="1"/>
  <c r="A1104" i="7"/>
  <c r="E1103" i="7"/>
  <c r="M1103" i="7" s="1"/>
  <c r="A1103" i="7"/>
  <c r="E1102" i="7"/>
  <c r="M1102" i="7" s="1"/>
  <c r="A1102" i="7"/>
  <c r="E1101" i="7"/>
  <c r="M1101" i="7" s="1"/>
  <c r="A1101" i="7"/>
  <c r="E1100" i="7"/>
  <c r="M1100" i="7" s="1"/>
  <c r="A1100" i="7"/>
  <c r="E1099" i="7"/>
  <c r="M1099" i="7" s="1"/>
  <c r="A1099" i="7"/>
  <c r="A1097" i="7"/>
  <c r="E1096" i="7"/>
  <c r="M1096" i="7" s="1"/>
  <c r="A1096" i="7"/>
  <c r="E1095" i="7"/>
  <c r="M1095" i="7" s="1"/>
  <c r="A1095" i="7"/>
  <c r="E1094" i="7"/>
  <c r="M1094" i="7" s="1"/>
  <c r="A1094" i="7"/>
  <c r="E1093" i="7"/>
  <c r="M1093" i="7" s="1"/>
  <c r="A1093" i="7"/>
  <c r="E1092" i="7"/>
  <c r="M1092" i="7" s="1"/>
  <c r="A1092" i="7"/>
  <c r="E1091" i="7"/>
  <c r="M1091" i="7" s="1"/>
  <c r="A1091" i="7"/>
  <c r="E1090" i="7"/>
  <c r="M1090" i="7" s="1"/>
  <c r="A1090" i="7"/>
  <c r="E1089" i="7"/>
  <c r="M1089" i="7" s="1"/>
  <c r="A1089" i="7"/>
  <c r="E1088" i="7"/>
  <c r="M1088" i="7" s="1"/>
  <c r="A1088" i="7"/>
  <c r="E1087" i="7"/>
  <c r="M1087" i="7" s="1"/>
  <c r="A1087" i="7"/>
  <c r="E1086" i="7"/>
  <c r="M1086" i="7" s="1"/>
  <c r="A1086" i="7"/>
  <c r="E1085" i="7"/>
  <c r="M1085" i="7" s="1"/>
  <c r="A1085" i="7"/>
  <c r="E1084" i="7"/>
  <c r="M1084" i="7" s="1"/>
  <c r="A1084" i="7"/>
  <c r="E1083" i="7"/>
  <c r="M1083" i="7" s="1"/>
  <c r="A1083" i="7"/>
  <c r="E1082" i="7"/>
  <c r="M1082" i="7" s="1"/>
  <c r="A1082" i="7"/>
  <c r="E1081" i="7"/>
  <c r="M1081" i="7" s="1"/>
  <c r="A1081" i="7"/>
  <c r="E1080" i="7"/>
  <c r="M1080" i="7" s="1"/>
  <c r="A1080" i="7"/>
  <c r="E1079" i="7"/>
  <c r="M1079" i="7" s="1"/>
  <c r="A1079" i="7"/>
  <c r="E1078" i="7"/>
  <c r="M1078" i="7" s="1"/>
  <c r="A1078" i="7"/>
  <c r="E1077" i="7"/>
  <c r="M1077" i="7" s="1"/>
  <c r="A1077" i="7"/>
  <c r="E1076" i="7"/>
  <c r="M1076" i="7" s="1"/>
  <c r="A1076" i="7"/>
  <c r="E1075" i="7"/>
  <c r="M1075" i="7" s="1"/>
  <c r="A1075" i="7"/>
  <c r="E1074" i="7"/>
  <c r="M1074" i="7" s="1"/>
  <c r="A1074" i="7"/>
  <c r="E1073" i="7"/>
  <c r="M1073" i="7" s="1"/>
  <c r="A1073" i="7"/>
  <c r="E1072" i="7"/>
  <c r="M1072" i="7" s="1"/>
  <c r="A1072" i="7"/>
  <c r="E1071" i="7"/>
  <c r="M1071" i="7" s="1"/>
  <c r="A1071" i="7"/>
  <c r="E1070" i="7"/>
  <c r="M1070" i="7" s="1"/>
  <c r="A1070" i="7"/>
  <c r="E1069" i="7"/>
  <c r="M1069" i="7" s="1"/>
  <c r="A1069" i="7"/>
  <c r="E1068" i="7"/>
  <c r="M1068" i="7" s="1"/>
  <c r="A1068" i="7"/>
  <c r="E1067" i="7"/>
  <c r="M1067" i="7" s="1"/>
  <c r="A1067" i="7"/>
  <c r="E1066" i="7"/>
  <c r="M1066" i="7" s="1"/>
  <c r="A1066" i="7"/>
  <c r="E1065" i="7"/>
  <c r="M1065" i="7" s="1"/>
  <c r="A1065" i="7"/>
  <c r="E1064" i="7"/>
  <c r="M1064" i="7" s="1"/>
  <c r="A1064" i="7"/>
  <c r="E1063" i="7"/>
  <c r="M1063" i="7" s="1"/>
  <c r="A1063" i="7"/>
  <c r="E1062" i="7"/>
  <c r="M1062" i="7" s="1"/>
  <c r="A1062" i="7"/>
  <c r="E1061" i="7"/>
  <c r="M1061" i="7" s="1"/>
  <c r="A1061" i="7"/>
  <c r="E1060" i="7"/>
  <c r="M1060" i="7" s="1"/>
  <c r="A1060" i="7"/>
  <c r="E1059" i="7"/>
  <c r="M1059" i="7" s="1"/>
  <c r="A1059" i="7"/>
  <c r="E1058" i="7"/>
  <c r="M1058" i="7" s="1"/>
  <c r="A1058" i="7"/>
  <c r="E1057" i="7"/>
  <c r="M1057" i="7" s="1"/>
  <c r="A1057" i="7"/>
  <c r="E1056" i="7"/>
  <c r="M1056" i="7" s="1"/>
  <c r="A1056" i="7"/>
  <c r="E1055" i="7"/>
  <c r="M1055" i="7" s="1"/>
  <c r="A1055" i="7"/>
  <c r="E1054" i="7"/>
  <c r="M1054" i="7" s="1"/>
  <c r="A1054" i="7"/>
  <c r="E1053" i="7"/>
  <c r="M1053" i="7" s="1"/>
  <c r="A1053" i="7"/>
  <c r="E1052" i="7"/>
  <c r="M1052" i="7" s="1"/>
  <c r="A1052" i="7"/>
  <c r="E1051" i="7"/>
  <c r="M1051" i="7" s="1"/>
  <c r="A1051" i="7"/>
  <c r="E1050" i="7"/>
  <c r="M1050" i="7" s="1"/>
  <c r="A1050" i="7"/>
  <c r="E1049" i="7"/>
  <c r="M1049" i="7" s="1"/>
  <c r="A1049" i="7"/>
  <c r="E1048" i="7"/>
  <c r="A1048" i="7"/>
  <c r="E1047" i="7"/>
  <c r="M1047" i="7" s="1"/>
  <c r="A1047" i="7"/>
  <c r="A1045" i="7"/>
  <c r="E1044" i="7"/>
  <c r="M1044" i="7" s="1"/>
  <c r="A1044" i="7"/>
  <c r="E1043" i="7"/>
  <c r="M1043" i="7" s="1"/>
  <c r="A1043" i="7"/>
  <c r="E1042" i="7"/>
  <c r="M1042" i="7" s="1"/>
  <c r="A1042" i="7"/>
  <c r="E1041" i="7"/>
  <c r="M1041" i="7" s="1"/>
  <c r="A1041" i="7"/>
  <c r="E1040" i="7"/>
  <c r="M1040" i="7" s="1"/>
  <c r="A1040" i="7"/>
  <c r="E1039" i="7"/>
  <c r="M1039" i="7" s="1"/>
  <c r="A1039" i="7"/>
  <c r="E1038" i="7"/>
  <c r="M1038" i="7" s="1"/>
  <c r="A1038" i="7"/>
  <c r="E1037" i="7"/>
  <c r="M1037" i="7" s="1"/>
  <c r="A1037" i="7"/>
  <c r="E1036" i="7"/>
  <c r="M1036" i="7" s="1"/>
  <c r="A1036" i="7"/>
  <c r="E1035" i="7"/>
  <c r="M1035" i="7" s="1"/>
  <c r="A1035" i="7"/>
  <c r="E1034" i="7"/>
  <c r="M1034" i="7" s="1"/>
  <c r="A1034" i="7"/>
  <c r="E1033" i="7"/>
  <c r="M1033" i="7" s="1"/>
  <c r="A1033" i="7"/>
  <c r="E1032" i="7"/>
  <c r="M1032" i="7" s="1"/>
  <c r="A1032" i="7"/>
  <c r="E1031" i="7"/>
  <c r="M1031" i="7" s="1"/>
  <c r="A1031" i="7"/>
  <c r="E1030" i="7"/>
  <c r="M1030" i="7" s="1"/>
  <c r="A1030" i="7"/>
  <c r="E1029" i="7"/>
  <c r="M1029" i="7" s="1"/>
  <c r="A1029" i="7"/>
  <c r="E1028" i="7"/>
  <c r="M1028" i="7" s="1"/>
  <c r="A1028" i="7"/>
  <c r="E1027" i="7"/>
  <c r="M1027" i="7" s="1"/>
  <c r="A1027" i="7"/>
  <c r="E1026" i="7"/>
  <c r="M1026" i="7" s="1"/>
  <c r="A1026" i="7"/>
  <c r="E1025" i="7"/>
  <c r="M1025" i="7" s="1"/>
  <c r="A1025" i="7"/>
  <c r="E1024" i="7"/>
  <c r="M1024" i="7" s="1"/>
  <c r="A1024" i="7"/>
  <c r="E1023" i="7"/>
  <c r="M1023" i="7" s="1"/>
  <c r="A1023" i="7"/>
  <c r="E1022" i="7"/>
  <c r="M1022" i="7" s="1"/>
  <c r="A1022" i="7"/>
  <c r="E1021" i="7"/>
  <c r="M1021" i="7" s="1"/>
  <c r="A1021" i="7"/>
  <c r="E1020" i="7"/>
  <c r="M1020" i="7" s="1"/>
  <c r="A1020" i="7"/>
  <c r="E1019" i="7"/>
  <c r="M1019" i="7" s="1"/>
  <c r="A1019" i="7"/>
  <c r="E1018" i="7"/>
  <c r="M1018" i="7" s="1"/>
  <c r="A1018" i="7"/>
  <c r="E1017" i="7"/>
  <c r="M1017" i="7" s="1"/>
  <c r="A1017" i="7"/>
  <c r="E1016" i="7"/>
  <c r="M1016" i="7" s="1"/>
  <c r="A1016" i="7"/>
  <c r="E1015" i="7"/>
  <c r="M1015" i="7" s="1"/>
  <c r="A1015" i="7"/>
  <c r="E1014" i="7"/>
  <c r="M1014" i="7" s="1"/>
  <c r="A1014" i="7"/>
  <c r="E1013" i="7"/>
  <c r="M1013" i="7" s="1"/>
  <c r="A1013" i="7"/>
  <c r="E1012" i="7"/>
  <c r="M1012" i="7" s="1"/>
  <c r="A1012" i="7"/>
  <c r="E1011" i="7"/>
  <c r="M1011" i="7" s="1"/>
  <c r="A1011" i="7"/>
  <c r="E1010" i="7"/>
  <c r="M1010" i="7" s="1"/>
  <c r="A1010" i="7"/>
  <c r="E1009" i="7"/>
  <c r="M1009" i="7" s="1"/>
  <c r="A1009" i="7"/>
  <c r="E1008" i="7"/>
  <c r="M1008" i="7" s="1"/>
  <c r="A1008" i="7"/>
  <c r="E1007" i="7"/>
  <c r="M1007" i="7" s="1"/>
  <c r="A1007" i="7"/>
  <c r="E1006" i="7"/>
  <c r="M1006" i="7" s="1"/>
  <c r="A1006" i="7"/>
  <c r="E1005" i="7"/>
  <c r="M1005" i="7" s="1"/>
  <c r="A1005" i="7"/>
  <c r="E1004" i="7"/>
  <c r="M1004" i="7" s="1"/>
  <c r="A1004" i="7"/>
  <c r="E1003" i="7"/>
  <c r="M1003" i="7" s="1"/>
  <c r="A1003" i="7"/>
  <c r="E1002" i="7"/>
  <c r="M1002" i="7" s="1"/>
  <c r="A1002" i="7"/>
  <c r="E1001" i="7"/>
  <c r="M1001" i="7" s="1"/>
  <c r="A1001" i="7"/>
  <c r="E1000" i="7"/>
  <c r="M1000" i="7" s="1"/>
  <c r="A1000" i="7"/>
  <c r="E999" i="7"/>
  <c r="M999" i="7" s="1"/>
  <c r="A999" i="7"/>
  <c r="E998" i="7"/>
  <c r="M998" i="7" s="1"/>
  <c r="A998" i="7"/>
  <c r="E997" i="7"/>
  <c r="M997" i="7" s="1"/>
  <c r="A997" i="7"/>
  <c r="E996" i="7"/>
  <c r="M996" i="7" s="1"/>
  <c r="A996" i="7"/>
  <c r="E995" i="7"/>
  <c r="M995" i="7" s="1"/>
  <c r="A995" i="7"/>
  <c r="A993" i="7"/>
  <c r="B993" i="7" s="1"/>
  <c r="E992" i="7"/>
  <c r="M992" i="7" s="1"/>
  <c r="A992" i="7"/>
  <c r="E991" i="7"/>
  <c r="M991" i="7" s="1"/>
  <c r="A991" i="7"/>
  <c r="E990" i="7"/>
  <c r="M990" i="7" s="1"/>
  <c r="A990" i="7"/>
  <c r="E989" i="7"/>
  <c r="M989" i="7" s="1"/>
  <c r="A989" i="7"/>
  <c r="E988" i="7"/>
  <c r="M988" i="7" s="1"/>
  <c r="A988" i="7"/>
  <c r="E987" i="7"/>
  <c r="M987" i="7" s="1"/>
  <c r="A987" i="7"/>
  <c r="E986" i="7"/>
  <c r="M986" i="7" s="1"/>
  <c r="A986" i="7"/>
  <c r="E985" i="7"/>
  <c r="M985" i="7" s="1"/>
  <c r="A985" i="7"/>
  <c r="E984" i="7"/>
  <c r="M984" i="7" s="1"/>
  <c r="A984" i="7"/>
  <c r="E983" i="7"/>
  <c r="M983" i="7" s="1"/>
  <c r="A983" i="7"/>
  <c r="E982" i="7"/>
  <c r="M982" i="7" s="1"/>
  <c r="A982" i="7"/>
  <c r="E981" i="7"/>
  <c r="M981" i="7" s="1"/>
  <c r="A981" i="7"/>
  <c r="E980" i="7"/>
  <c r="M980" i="7" s="1"/>
  <c r="A980" i="7"/>
  <c r="E979" i="7"/>
  <c r="M979" i="7" s="1"/>
  <c r="A979" i="7"/>
  <c r="E978" i="7"/>
  <c r="M978" i="7" s="1"/>
  <c r="A978" i="7"/>
  <c r="E977" i="7"/>
  <c r="M977" i="7" s="1"/>
  <c r="A977" i="7"/>
  <c r="E976" i="7"/>
  <c r="M976" i="7" s="1"/>
  <c r="A976" i="7"/>
  <c r="E975" i="7"/>
  <c r="M975" i="7" s="1"/>
  <c r="A975" i="7"/>
  <c r="E974" i="7"/>
  <c r="M974" i="7" s="1"/>
  <c r="A974" i="7"/>
  <c r="E973" i="7"/>
  <c r="M973" i="7" s="1"/>
  <c r="A973" i="7"/>
  <c r="E972" i="7"/>
  <c r="M972" i="7" s="1"/>
  <c r="A972" i="7"/>
  <c r="E971" i="7"/>
  <c r="M971" i="7" s="1"/>
  <c r="A971" i="7"/>
  <c r="E970" i="7"/>
  <c r="M970" i="7" s="1"/>
  <c r="A970" i="7"/>
  <c r="E969" i="7"/>
  <c r="M969" i="7" s="1"/>
  <c r="A969" i="7"/>
  <c r="E968" i="7"/>
  <c r="M968" i="7" s="1"/>
  <c r="A968" i="7"/>
  <c r="E967" i="7"/>
  <c r="M967" i="7" s="1"/>
  <c r="A967" i="7"/>
  <c r="E966" i="7"/>
  <c r="M966" i="7" s="1"/>
  <c r="A966" i="7"/>
  <c r="E965" i="7"/>
  <c r="M965" i="7" s="1"/>
  <c r="A965" i="7"/>
  <c r="E964" i="7"/>
  <c r="M964" i="7" s="1"/>
  <c r="A964" i="7"/>
  <c r="E963" i="7"/>
  <c r="M963" i="7" s="1"/>
  <c r="A963" i="7"/>
  <c r="E962" i="7"/>
  <c r="M962" i="7" s="1"/>
  <c r="A962" i="7"/>
  <c r="E961" i="7"/>
  <c r="M961" i="7" s="1"/>
  <c r="A961" i="7"/>
  <c r="E960" i="7"/>
  <c r="M960" i="7" s="1"/>
  <c r="A960" i="7"/>
  <c r="E959" i="7"/>
  <c r="M959" i="7" s="1"/>
  <c r="A959" i="7"/>
  <c r="E958" i="7"/>
  <c r="M958" i="7" s="1"/>
  <c r="A958" i="7"/>
  <c r="E957" i="7"/>
  <c r="M957" i="7" s="1"/>
  <c r="A957" i="7"/>
  <c r="E956" i="7"/>
  <c r="M956" i="7" s="1"/>
  <c r="A956" i="7"/>
  <c r="E955" i="7"/>
  <c r="M955" i="7" s="1"/>
  <c r="A955" i="7"/>
  <c r="E954" i="7"/>
  <c r="A954" i="7"/>
  <c r="E953" i="7"/>
  <c r="M953" i="7" s="1"/>
  <c r="A953" i="7"/>
  <c r="E952" i="7"/>
  <c r="M952" i="7" s="1"/>
  <c r="A952" i="7"/>
  <c r="E951" i="7"/>
  <c r="M951" i="7" s="1"/>
  <c r="A951" i="7"/>
  <c r="E950" i="7"/>
  <c r="M950" i="7" s="1"/>
  <c r="A950" i="7"/>
  <c r="E949" i="7"/>
  <c r="M949" i="7" s="1"/>
  <c r="A949" i="7"/>
  <c r="E948" i="7"/>
  <c r="M948" i="7" s="1"/>
  <c r="A948" i="7"/>
  <c r="E947" i="7"/>
  <c r="M947" i="7" s="1"/>
  <c r="A947" i="7"/>
  <c r="E946" i="7"/>
  <c r="M946" i="7" s="1"/>
  <c r="A946" i="7"/>
  <c r="E945" i="7"/>
  <c r="M945" i="7" s="1"/>
  <c r="A945" i="7"/>
  <c r="E944" i="7"/>
  <c r="M944" i="7" s="1"/>
  <c r="A944" i="7"/>
  <c r="E943" i="7"/>
  <c r="M943" i="7" s="1"/>
  <c r="A943" i="7"/>
  <c r="A941" i="7"/>
  <c r="B941" i="7" s="1"/>
  <c r="E940" i="7"/>
  <c r="M940" i="7" s="1"/>
  <c r="A940" i="7"/>
  <c r="E939" i="7"/>
  <c r="M939" i="7" s="1"/>
  <c r="A939" i="7"/>
  <c r="E938" i="7"/>
  <c r="M938" i="7" s="1"/>
  <c r="A938" i="7"/>
  <c r="E937" i="7"/>
  <c r="M937" i="7" s="1"/>
  <c r="A937" i="7"/>
  <c r="E936" i="7"/>
  <c r="M936" i="7" s="1"/>
  <c r="A936" i="7"/>
  <c r="E935" i="7"/>
  <c r="M935" i="7" s="1"/>
  <c r="A935" i="7"/>
  <c r="E934" i="7"/>
  <c r="M934" i="7" s="1"/>
  <c r="A934" i="7"/>
  <c r="E933" i="7"/>
  <c r="M933" i="7" s="1"/>
  <c r="A933" i="7"/>
  <c r="E932" i="7"/>
  <c r="M932" i="7" s="1"/>
  <c r="A932" i="7"/>
  <c r="E931" i="7"/>
  <c r="M931" i="7" s="1"/>
  <c r="A931" i="7"/>
  <c r="E930" i="7"/>
  <c r="M930" i="7" s="1"/>
  <c r="A930" i="7"/>
  <c r="E929" i="7"/>
  <c r="M929" i="7" s="1"/>
  <c r="A929" i="7"/>
  <c r="E928" i="7"/>
  <c r="M928" i="7" s="1"/>
  <c r="A928" i="7"/>
  <c r="E927" i="7"/>
  <c r="M927" i="7" s="1"/>
  <c r="A927" i="7"/>
  <c r="E926" i="7"/>
  <c r="M926" i="7" s="1"/>
  <c r="A926" i="7"/>
  <c r="E925" i="7"/>
  <c r="M925" i="7" s="1"/>
  <c r="A925" i="7"/>
  <c r="E924" i="7"/>
  <c r="M924" i="7" s="1"/>
  <c r="A924" i="7"/>
  <c r="E923" i="7"/>
  <c r="M923" i="7" s="1"/>
  <c r="A923" i="7"/>
  <c r="E922" i="7"/>
  <c r="M922" i="7" s="1"/>
  <c r="A922" i="7"/>
  <c r="E921" i="7"/>
  <c r="M921" i="7" s="1"/>
  <c r="A921" i="7"/>
  <c r="E920" i="7"/>
  <c r="M920" i="7" s="1"/>
  <c r="A920" i="7"/>
  <c r="E919" i="7"/>
  <c r="M919" i="7" s="1"/>
  <c r="A919" i="7"/>
  <c r="E918" i="7"/>
  <c r="M918" i="7" s="1"/>
  <c r="A918" i="7"/>
  <c r="E917" i="7"/>
  <c r="M917" i="7" s="1"/>
  <c r="A917" i="7"/>
  <c r="E916" i="7"/>
  <c r="M916" i="7" s="1"/>
  <c r="A916" i="7"/>
  <c r="E915" i="7"/>
  <c r="M915" i="7" s="1"/>
  <c r="A915" i="7"/>
  <c r="E914" i="7"/>
  <c r="M914" i="7" s="1"/>
  <c r="A914" i="7"/>
  <c r="E913" i="7"/>
  <c r="M913" i="7" s="1"/>
  <c r="A913" i="7"/>
  <c r="E912" i="7"/>
  <c r="M912" i="7" s="1"/>
  <c r="A912" i="7"/>
  <c r="E911" i="7"/>
  <c r="M911" i="7" s="1"/>
  <c r="A911" i="7"/>
  <c r="E910" i="7"/>
  <c r="M910" i="7" s="1"/>
  <c r="A910" i="7"/>
  <c r="E909" i="7"/>
  <c r="M909" i="7" s="1"/>
  <c r="A909" i="7"/>
  <c r="E908" i="7"/>
  <c r="M908" i="7" s="1"/>
  <c r="A908" i="7"/>
  <c r="E907" i="7"/>
  <c r="M907" i="7" s="1"/>
  <c r="A907" i="7"/>
  <c r="E906" i="7"/>
  <c r="M906" i="7" s="1"/>
  <c r="A906" i="7"/>
  <c r="E905" i="7"/>
  <c r="M905" i="7" s="1"/>
  <c r="A905" i="7"/>
  <c r="E904" i="7"/>
  <c r="M904" i="7" s="1"/>
  <c r="A904" i="7"/>
  <c r="E903" i="7"/>
  <c r="M903" i="7" s="1"/>
  <c r="A903" i="7"/>
  <c r="E902" i="7"/>
  <c r="M902" i="7" s="1"/>
  <c r="A902" i="7"/>
  <c r="E901" i="7"/>
  <c r="M901" i="7" s="1"/>
  <c r="A901" i="7"/>
  <c r="E900" i="7"/>
  <c r="M900" i="7" s="1"/>
  <c r="A900" i="7"/>
  <c r="E899" i="7"/>
  <c r="M899" i="7" s="1"/>
  <c r="A899" i="7"/>
  <c r="E898" i="7"/>
  <c r="M898" i="7" s="1"/>
  <c r="A898" i="7"/>
  <c r="E897" i="7"/>
  <c r="M897" i="7" s="1"/>
  <c r="A897" i="7"/>
  <c r="E896" i="7"/>
  <c r="M896" i="7" s="1"/>
  <c r="A896" i="7"/>
  <c r="E895" i="7"/>
  <c r="M895" i="7" s="1"/>
  <c r="A895" i="7"/>
  <c r="E894" i="7"/>
  <c r="M894" i="7" s="1"/>
  <c r="A894" i="7"/>
  <c r="E893" i="7"/>
  <c r="M893" i="7" s="1"/>
  <c r="A893" i="7"/>
  <c r="E892" i="7"/>
  <c r="A892" i="7"/>
  <c r="E891" i="7"/>
  <c r="M891" i="7" s="1"/>
  <c r="A891" i="7"/>
  <c r="A889" i="7"/>
  <c r="B889" i="7" s="1"/>
  <c r="E888" i="7"/>
  <c r="M888" i="7" s="1"/>
  <c r="A888" i="7"/>
  <c r="E887" i="7"/>
  <c r="M887" i="7" s="1"/>
  <c r="A887" i="7"/>
  <c r="E886" i="7"/>
  <c r="M886" i="7" s="1"/>
  <c r="A886" i="7"/>
  <c r="E885" i="7"/>
  <c r="M885" i="7" s="1"/>
  <c r="A885" i="7"/>
  <c r="E884" i="7"/>
  <c r="M884" i="7" s="1"/>
  <c r="A884" i="7"/>
  <c r="E883" i="7"/>
  <c r="M883" i="7" s="1"/>
  <c r="A883" i="7"/>
  <c r="E882" i="7"/>
  <c r="M882" i="7" s="1"/>
  <c r="A882" i="7"/>
  <c r="E881" i="7"/>
  <c r="M881" i="7" s="1"/>
  <c r="A881" i="7"/>
  <c r="E880" i="7"/>
  <c r="M880" i="7" s="1"/>
  <c r="A880" i="7"/>
  <c r="E879" i="7"/>
  <c r="M879" i="7" s="1"/>
  <c r="A879" i="7"/>
  <c r="E878" i="7"/>
  <c r="M878" i="7" s="1"/>
  <c r="A878" i="7"/>
  <c r="E877" i="7"/>
  <c r="M877" i="7" s="1"/>
  <c r="A877" i="7"/>
  <c r="E876" i="7"/>
  <c r="M876" i="7" s="1"/>
  <c r="A876" i="7"/>
  <c r="E875" i="7"/>
  <c r="M875" i="7" s="1"/>
  <c r="A875" i="7"/>
  <c r="E874" i="7"/>
  <c r="M874" i="7" s="1"/>
  <c r="A874" i="7"/>
  <c r="E873" i="7"/>
  <c r="M873" i="7" s="1"/>
  <c r="A873" i="7"/>
  <c r="E872" i="7"/>
  <c r="M872" i="7" s="1"/>
  <c r="A872" i="7"/>
  <c r="E871" i="7"/>
  <c r="M871" i="7" s="1"/>
  <c r="A871" i="7"/>
  <c r="E870" i="7"/>
  <c r="M870" i="7" s="1"/>
  <c r="A870" i="7"/>
  <c r="E869" i="7"/>
  <c r="M869" i="7" s="1"/>
  <c r="A869" i="7"/>
  <c r="E868" i="7"/>
  <c r="M868" i="7" s="1"/>
  <c r="A868" i="7"/>
  <c r="E867" i="7"/>
  <c r="M867" i="7" s="1"/>
  <c r="A867" i="7"/>
  <c r="E866" i="7"/>
  <c r="M866" i="7" s="1"/>
  <c r="A866" i="7"/>
  <c r="E865" i="7"/>
  <c r="M865" i="7" s="1"/>
  <c r="A865" i="7"/>
  <c r="E864" i="7"/>
  <c r="M864" i="7" s="1"/>
  <c r="A864" i="7"/>
  <c r="E863" i="7"/>
  <c r="M863" i="7" s="1"/>
  <c r="A863" i="7"/>
  <c r="E862" i="7"/>
  <c r="M862" i="7" s="1"/>
  <c r="A862" i="7"/>
  <c r="E861" i="7"/>
  <c r="M861" i="7" s="1"/>
  <c r="A861" i="7"/>
  <c r="E860" i="7"/>
  <c r="M860" i="7" s="1"/>
  <c r="A860" i="7"/>
  <c r="E859" i="7"/>
  <c r="M859" i="7" s="1"/>
  <c r="A859" i="7"/>
  <c r="E858" i="7"/>
  <c r="M858" i="7" s="1"/>
  <c r="A858" i="7"/>
  <c r="E857" i="7"/>
  <c r="M857" i="7" s="1"/>
  <c r="A857" i="7"/>
  <c r="E856" i="7"/>
  <c r="M856" i="7" s="1"/>
  <c r="A856" i="7"/>
  <c r="E855" i="7"/>
  <c r="M855" i="7" s="1"/>
  <c r="A855" i="7"/>
  <c r="E854" i="7"/>
  <c r="M854" i="7" s="1"/>
  <c r="A854" i="7"/>
  <c r="E853" i="7"/>
  <c r="M853" i="7" s="1"/>
  <c r="A853" i="7"/>
  <c r="E852" i="7"/>
  <c r="M852" i="7" s="1"/>
  <c r="A852" i="7"/>
  <c r="E851" i="7"/>
  <c r="M851" i="7" s="1"/>
  <c r="A851" i="7"/>
  <c r="E850" i="7"/>
  <c r="M850" i="7" s="1"/>
  <c r="A850" i="7"/>
  <c r="E849" i="7"/>
  <c r="M849" i="7" s="1"/>
  <c r="A849" i="7"/>
  <c r="E848" i="7"/>
  <c r="M848" i="7" s="1"/>
  <c r="A848" i="7"/>
  <c r="E847" i="7"/>
  <c r="M847" i="7" s="1"/>
  <c r="A847" i="7"/>
  <c r="E846" i="7"/>
  <c r="M846" i="7" s="1"/>
  <c r="A846" i="7"/>
  <c r="E845" i="7"/>
  <c r="M845" i="7" s="1"/>
  <c r="A845" i="7"/>
  <c r="E844" i="7"/>
  <c r="M844" i="7" s="1"/>
  <c r="A844" i="7"/>
  <c r="E843" i="7"/>
  <c r="M843" i="7" s="1"/>
  <c r="A843" i="7"/>
  <c r="E842" i="7"/>
  <c r="M842" i="7" s="1"/>
  <c r="A842" i="7"/>
  <c r="E841" i="7"/>
  <c r="M841" i="7" s="1"/>
  <c r="A841" i="7"/>
  <c r="E840" i="7"/>
  <c r="M840" i="7" s="1"/>
  <c r="A840" i="7"/>
  <c r="E839" i="7"/>
  <c r="A839" i="7"/>
  <c r="A837" i="7"/>
  <c r="E836" i="7"/>
  <c r="M836" i="7" s="1"/>
  <c r="A836" i="7"/>
  <c r="E835" i="7"/>
  <c r="M835" i="7" s="1"/>
  <c r="A835" i="7"/>
  <c r="E834" i="7"/>
  <c r="M834" i="7" s="1"/>
  <c r="A834" i="7"/>
  <c r="E833" i="7"/>
  <c r="M833" i="7" s="1"/>
  <c r="A833" i="7"/>
  <c r="E832" i="7"/>
  <c r="M832" i="7" s="1"/>
  <c r="A832" i="7"/>
  <c r="E831" i="7"/>
  <c r="M831" i="7" s="1"/>
  <c r="A831" i="7"/>
  <c r="E830" i="7"/>
  <c r="M830" i="7" s="1"/>
  <c r="A830" i="7"/>
  <c r="E829" i="7"/>
  <c r="M829" i="7" s="1"/>
  <c r="A829" i="7"/>
  <c r="E828" i="7"/>
  <c r="M828" i="7" s="1"/>
  <c r="A828" i="7"/>
  <c r="E827" i="7"/>
  <c r="M827" i="7" s="1"/>
  <c r="A827" i="7"/>
  <c r="E826" i="7"/>
  <c r="M826" i="7" s="1"/>
  <c r="A826" i="7"/>
  <c r="E825" i="7"/>
  <c r="M825" i="7" s="1"/>
  <c r="A825" i="7"/>
  <c r="E824" i="7"/>
  <c r="M824" i="7" s="1"/>
  <c r="A824" i="7"/>
  <c r="E823" i="7"/>
  <c r="M823" i="7" s="1"/>
  <c r="A823" i="7"/>
  <c r="E822" i="7"/>
  <c r="M822" i="7" s="1"/>
  <c r="A822" i="7"/>
  <c r="E821" i="7"/>
  <c r="M821" i="7" s="1"/>
  <c r="A821" i="7"/>
  <c r="E820" i="7"/>
  <c r="M820" i="7" s="1"/>
  <c r="A820" i="7"/>
  <c r="E819" i="7"/>
  <c r="M819" i="7" s="1"/>
  <c r="A819" i="7"/>
  <c r="E818" i="7"/>
  <c r="M818" i="7" s="1"/>
  <c r="A818" i="7"/>
  <c r="E817" i="7"/>
  <c r="M817" i="7" s="1"/>
  <c r="A817" i="7"/>
  <c r="E816" i="7"/>
  <c r="M816" i="7" s="1"/>
  <c r="A816" i="7"/>
  <c r="E815" i="7"/>
  <c r="M815" i="7" s="1"/>
  <c r="A815" i="7"/>
  <c r="E814" i="7"/>
  <c r="M814" i="7" s="1"/>
  <c r="A814" i="7"/>
  <c r="E813" i="7"/>
  <c r="M813" i="7" s="1"/>
  <c r="A813" i="7"/>
  <c r="E812" i="7"/>
  <c r="M812" i="7" s="1"/>
  <c r="A812" i="7"/>
  <c r="E811" i="7"/>
  <c r="M811" i="7" s="1"/>
  <c r="A811" i="7"/>
  <c r="E810" i="7"/>
  <c r="M810" i="7" s="1"/>
  <c r="A810" i="7"/>
  <c r="E809" i="7"/>
  <c r="M809" i="7" s="1"/>
  <c r="A809" i="7"/>
  <c r="E808" i="7"/>
  <c r="M808" i="7" s="1"/>
  <c r="A808" i="7"/>
  <c r="E807" i="7"/>
  <c r="M807" i="7" s="1"/>
  <c r="A807" i="7"/>
  <c r="E806" i="7"/>
  <c r="M806" i="7" s="1"/>
  <c r="A806" i="7"/>
  <c r="E805" i="7"/>
  <c r="M805" i="7" s="1"/>
  <c r="A805" i="7"/>
  <c r="E804" i="7"/>
  <c r="M804" i="7" s="1"/>
  <c r="A804" i="7"/>
  <c r="E803" i="7"/>
  <c r="M803" i="7" s="1"/>
  <c r="A803" i="7"/>
  <c r="E802" i="7"/>
  <c r="M802" i="7" s="1"/>
  <c r="A802" i="7"/>
  <c r="E801" i="7"/>
  <c r="M801" i="7" s="1"/>
  <c r="A801" i="7"/>
  <c r="E800" i="7"/>
  <c r="M800" i="7" s="1"/>
  <c r="A800" i="7"/>
  <c r="E799" i="7"/>
  <c r="M799" i="7" s="1"/>
  <c r="A799" i="7"/>
  <c r="E798" i="7"/>
  <c r="M798" i="7" s="1"/>
  <c r="A798" i="7"/>
  <c r="E797" i="7"/>
  <c r="M797" i="7" s="1"/>
  <c r="A797" i="7"/>
  <c r="E796" i="7"/>
  <c r="M796" i="7" s="1"/>
  <c r="A796" i="7"/>
  <c r="E795" i="7"/>
  <c r="M795" i="7" s="1"/>
  <c r="A795" i="7"/>
  <c r="E794" i="7"/>
  <c r="M794" i="7" s="1"/>
  <c r="A794" i="7"/>
  <c r="E793" i="7"/>
  <c r="M793" i="7" s="1"/>
  <c r="A793" i="7"/>
  <c r="E792" i="7"/>
  <c r="M792" i="7" s="1"/>
  <c r="A792" i="7"/>
  <c r="E791" i="7"/>
  <c r="M791" i="7" s="1"/>
  <c r="A791" i="7"/>
  <c r="E790" i="7"/>
  <c r="M790" i="7" s="1"/>
  <c r="A790" i="7"/>
  <c r="E789" i="7"/>
  <c r="M789" i="7" s="1"/>
  <c r="A789" i="7"/>
  <c r="E788" i="7"/>
  <c r="M788" i="7" s="1"/>
  <c r="A788" i="7"/>
  <c r="E787" i="7"/>
  <c r="M787" i="7" s="1"/>
  <c r="A787" i="7"/>
  <c r="A785" i="7"/>
  <c r="E784" i="7"/>
  <c r="M784" i="7" s="1"/>
  <c r="A784" i="7"/>
  <c r="E783" i="7"/>
  <c r="M783" i="7" s="1"/>
  <c r="A783" i="7"/>
  <c r="E782" i="7"/>
  <c r="M782" i="7" s="1"/>
  <c r="A782" i="7"/>
  <c r="E781" i="7"/>
  <c r="M781" i="7" s="1"/>
  <c r="A781" i="7"/>
  <c r="E780" i="7"/>
  <c r="M780" i="7" s="1"/>
  <c r="A780" i="7"/>
  <c r="E779" i="7"/>
  <c r="M779" i="7" s="1"/>
  <c r="A779" i="7"/>
  <c r="E778" i="7"/>
  <c r="M778" i="7" s="1"/>
  <c r="A778" i="7"/>
  <c r="E777" i="7"/>
  <c r="M777" i="7" s="1"/>
  <c r="A777" i="7"/>
  <c r="E776" i="7"/>
  <c r="M776" i="7" s="1"/>
  <c r="A776" i="7"/>
  <c r="E775" i="7"/>
  <c r="M775" i="7" s="1"/>
  <c r="A775" i="7"/>
  <c r="E774" i="7"/>
  <c r="M774" i="7" s="1"/>
  <c r="A774" i="7"/>
  <c r="E773" i="7"/>
  <c r="M773" i="7" s="1"/>
  <c r="A773" i="7"/>
  <c r="E772" i="7"/>
  <c r="M772" i="7" s="1"/>
  <c r="A772" i="7"/>
  <c r="E771" i="7"/>
  <c r="M771" i="7" s="1"/>
  <c r="A771" i="7"/>
  <c r="E770" i="7"/>
  <c r="M770" i="7" s="1"/>
  <c r="A770" i="7"/>
  <c r="E769" i="7"/>
  <c r="M769" i="7" s="1"/>
  <c r="A769" i="7"/>
  <c r="E768" i="7"/>
  <c r="M768" i="7" s="1"/>
  <c r="A768" i="7"/>
  <c r="E767" i="7"/>
  <c r="M767" i="7" s="1"/>
  <c r="A767" i="7"/>
  <c r="E766" i="7"/>
  <c r="M766" i="7" s="1"/>
  <c r="A766" i="7"/>
  <c r="E765" i="7"/>
  <c r="M765" i="7" s="1"/>
  <c r="A765" i="7"/>
  <c r="E764" i="7"/>
  <c r="M764" i="7" s="1"/>
  <c r="A764" i="7"/>
  <c r="E763" i="7"/>
  <c r="M763" i="7" s="1"/>
  <c r="A763" i="7"/>
  <c r="E762" i="7"/>
  <c r="M762" i="7" s="1"/>
  <c r="A762" i="7"/>
  <c r="E761" i="7"/>
  <c r="M761" i="7" s="1"/>
  <c r="A761" i="7"/>
  <c r="E760" i="7"/>
  <c r="M760" i="7" s="1"/>
  <c r="A760" i="7"/>
  <c r="E759" i="7"/>
  <c r="M759" i="7" s="1"/>
  <c r="A759" i="7"/>
  <c r="E758" i="7"/>
  <c r="M758" i="7" s="1"/>
  <c r="A758" i="7"/>
  <c r="E757" i="7"/>
  <c r="M757" i="7" s="1"/>
  <c r="A757" i="7"/>
  <c r="E756" i="7"/>
  <c r="M756" i="7" s="1"/>
  <c r="A756" i="7"/>
  <c r="E755" i="7"/>
  <c r="M755" i="7" s="1"/>
  <c r="A755" i="7"/>
  <c r="E754" i="7"/>
  <c r="M754" i="7" s="1"/>
  <c r="A754" i="7"/>
  <c r="E753" i="7"/>
  <c r="M753" i="7" s="1"/>
  <c r="A753" i="7"/>
  <c r="E752" i="7"/>
  <c r="M752" i="7" s="1"/>
  <c r="A752" i="7"/>
  <c r="E751" i="7"/>
  <c r="M751" i="7" s="1"/>
  <c r="A751" i="7"/>
  <c r="E750" i="7"/>
  <c r="M750" i="7" s="1"/>
  <c r="A750" i="7"/>
  <c r="E749" i="7"/>
  <c r="M749" i="7" s="1"/>
  <c r="A749" i="7"/>
  <c r="E748" i="7"/>
  <c r="M748" i="7" s="1"/>
  <c r="A748" i="7"/>
  <c r="E747" i="7"/>
  <c r="M747" i="7" s="1"/>
  <c r="A747" i="7"/>
  <c r="E746" i="7"/>
  <c r="M746" i="7" s="1"/>
  <c r="A746" i="7"/>
  <c r="E745" i="7"/>
  <c r="M745" i="7" s="1"/>
  <c r="A745" i="7"/>
  <c r="E744" i="7"/>
  <c r="M744" i="7" s="1"/>
  <c r="A744" i="7"/>
  <c r="E743" i="7"/>
  <c r="M743" i="7" s="1"/>
  <c r="A743" i="7"/>
  <c r="E742" i="7"/>
  <c r="M742" i="7" s="1"/>
  <c r="A742" i="7"/>
  <c r="E741" i="7"/>
  <c r="M741" i="7" s="1"/>
  <c r="A741" i="7"/>
  <c r="E740" i="7"/>
  <c r="M740" i="7" s="1"/>
  <c r="A740" i="7"/>
  <c r="E739" i="7"/>
  <c r="M739" i="7" s="1"/>
  <c r="A739" i="7"/>
  <c r="E738" i="7"/>
  <c r="M738" i="7" s="1"/>
  <c r="A738" i="7"/>
  <c r="E737" i="7"/>
  <c r="A737" i="7"/>
  <c r="E736" i="7"/>
  <c r="M736" i="7" s="1"/>
  <c r="A736" i="7"/>
  <c r="E735" i="7"/>
  <c r="M735" i="7" s="1"/>
  <c r="A735" i="7"/>
  <c r="A733" i="7"/>
  <c r="E732" i="7"/>
  <c r="M732" i="7" s="1"/>
  <c r="A732" i="7"/>
  <c r="E731" i="7"/>
  <c r="M731" i="7" s="1"/>
  <c r="A731" i="7"/>
  <c r="E730" i="7"/>
  <c r="M730" i="7" s="1"/>
  <c r="A730" i="7"/>
  <c r="E729" i="7"/>
  <c r="M729" i="7" s="1"/>
  <c r="A729" i="7"/>
  <c r="E728" i="7"/>
  <c r="M728" i="7" s="1"/>
  <c r="A728" i="7"/>
  <c r="E727" i="7"/>
  <c r="M727" i="7" s="1"/>
  <c r="A727" i="7"/>
  <c r="E726" i="7"/>
  <c r="M726" i="7" s="1"/>
  <c r="A726" i="7"/>
  <c r="E725" i="7"/>
  <c r="M725" i="7" s="1"/>
  <c r="A725" i="7"/>
  <c r="E724" i="7"/>
  <c r="M724" i="7" s="1"/>
  <c r="A724" i="7"/>
  <c r="E723" i="7"/>
  <c r="M723" i="7" s="1"/>
  <c r="A723" i="7"/>
  <c r="E722" i="7"/>
  <c r="M722" i="7" s="1"/>
  <c r="A722" i="7"/>
  <c r="E721" i="7"/>
  <c r="M721" i="7" s="1"/>
  <c r="A721" i="7"/>
  <c r="E720" i="7"/>
  <c r="M720" i="7" s="1"/>
  <c r="A720" i="7"/>
  <c r="E719" i="7"/>
  <c r="M719" i="7" s="1"/>
  <c r="A719" i="7"/>
  <c r="E718" i="7"/>
  <c r="M718" i="7" s="1"/>
  <c r="A718" i="7"/>
  <c r="E717" i="7"/>
  <c r="M717" i="7" s="1"/>
  <c r="A717" i="7"/>
  <c r="E716" i="7"/>
  <c r="M716" i="7" s="1"/>
  <c r="A716" i="7"/>
  <c r="E715" i="7"/>
  <c r="M715" i="7" s="1"/>
  <c r="A715" i="7"/>
  <c r="E714" i="7"/>
  <c r="M714" i="7" s="1"/>
  <c r="A714" i="7"/>
  <c r="E713" i="7"/>
  <c r="M713" i="7" s="1"/>
  <c r="A713" i="7"/>
  <c r="E712" i="7"/>
  <c r="M712" i="7" s="1"/>
  <c r="A712" i="7"/>
  <c r="E711" i="7"/>
  <c r="M711" i="7" s="1"/>
  <c r="A711" i="7"/>
  <c r="E710" i="7"/>
  <c r="M710" i="7" s="1"/>
  <c r="A710" i="7"/>
  <c r="E709" i="7"/>
  <c r="M709" i="7" s="1"/>
  <c r="A709" i="7"/>
  <c r="E708" i="7"/>
  <c r="M708" i="7" s="1"/>
  <c r="A708" i="7"/>
  <c r="E707" i="7"/>
  <c r="M707" i="7" s="1"/>
  <c r="A707" i="7"/>
  <c r="E706" i="7"/>
  <c r="M706" i="7" s="1"/>
  <c r="A706" i="7"/>
  <c r="E705" i="7"/>
  <c r="M705" i="7" s="1"/>
  <c r="A705" i="7"/>
  <c r="E704" i="7"/>
  <c r="M704" i="7" s="1"/>
  <c r="A704" i="7"/>
  <c r="E703" i="7"/>
  <c r="M703" i="7" s="1"/>
  <c r="A703" i="7"/>
  <c r="E702" i="7"/>
  <c r="M702" i="7" s="1"/>
  <c r="A702" i="7"/>
  <c r="E701" i="7"/>
  <c r="M701" i="7" s="1"/>
  <c r="A701" i="7"/>
  <c r="E700" i="7"/>
  <c r="M700" i="7" s="1"/>
  <c r="A700" i="7"/>
  <c r="E699" i="7"/>
  <c r="M699" i="7" s="1"/>
  <c r="A699" i="7"/>
  <c r="E698" i="7"/>
  <c r="M698" i="7" s="1"/>
  <c r="A698" i="7"/>
  <c r="E697" i="7"/>
  <c r="M697" i="7" s="1"/>
  <c r="A697" i="7"/>
  <c r="E696" i="7"/>
  <c r="M696" i="7" s="1"/>
  <c r="A696" i="7"/>
  <c r="E695" i="7"/>
  <c r="M695" i="7" s="1"/>
  <c r="A695" i="7"/>
  <c r="E694" i="7"/>
  <c r="M694" i="7" s="1"/>
  <c r="A694" i="7"/>
  <c r="E693" i="7"/>
  <c r="M693" i="7" s="1"/>
  <c r="A693" i="7"/>
  <c r="E692" i="7"/>
  <c r="M692" i="7" s="1"/>
  <c r="A692" i="7"/>
  <c r="E691" i="7"/>
  <c r="M691" i="7" s="1"/>
  <c r="A691" i="7"/>
  <c r="E690" i="7"/>
  <c r="M690" i="7" s="1"/>
  <c r="A690" i="7"/>
  <c r="E689" i="7"/>
  <c r="M689" i="7" s="1"/>
  <c r="A689" i="7"/>
  <c r="E688" i="7"/>
  <c r="M688" i="7" s="1"/>
  <c r="A688" i="7"/>
  <c r="E687" i="7"/>
  <c r="M687" i="7" s="1"/>
  <c r="A687" i="7"/>
  <c r="E686" i="7"/>
  <c r="M686" i="7" s="1"/>
  <c r="A686" i="7"/>
  <c r="E685" i="7"/>
  <c r="M685" i="7" s="1"/>
  <c r="A685" i="7"/>
  <c r="E684" i="7"/>
  <c r="A684" i="7"/>
  <c r="E683" i="7"/>
  <c r="M683" i="7" s="1"/>
  <c r="A683" i="7"/>
  <c r="A681" i="7"/>
  <c r="E680" i="7"/>
  <c r="M680" i="7" s="1"/>
  <c r="A680" i="7"/>
  <c r="E679" i="7"/>
  <c r="M679" i="7" s="1"/>
  <c r="A679" i="7"/>
  <c r="E678" i="7"/>
  <c r="M678" i="7" s="1"/>
  <c r="A678" i="7"/>
  <c r="E677" i="7"/>
  <c r="M677" i="7" s="1"/>
  <c r="A677" i="7"/>
  <c r="E676" i="7"/>
  <c r="M676" i="7" s="1"/>
  <c r="A676" i="7"/>
  <c r="E675" i="7"/>
  <c r="M675" i="7" s="1"/>
  <c r="A675" i="7"/>
  <c r="E674" i="7"/>
  <c r="M674" i="7" s="1"/>
  <c r="A674" i="7"/>
  <c r="E673" i="7"/>
  <c r="M673" i="7" s="1"/>
  <c r="A673" i="7"/>
  <c r="E672" i="7"/>
  <c r="M672" i="7" s="1"/>
  <c r="A672" i="7"/>
  <c r="E671" i="7"/>
  <c r="M671" i="7" s="1"/>
  <c r="A671" i="7"/>
  <c r="E670" i="7"/>
  <c r="M670" i="7" s="1"/>
  <c r="A670" i="7"/>
  <c r="E669" i="7"/>
  <c r="M669" i="7" s="1"/>
  <c r="A669" i="7"/>
  <c r="E668" i="7"/>
  <c r="M668" i="7" s="1"/>
  <c r="A668" i="7"/>
  <c r="E667" i="7"/>
  <c r="M667" i="7" s="1"/>
  <c r="A667" i="7"/>
  <c r="E666" i="7"/>
  <c r="M666" i="7" s="1"/>
  <c r="A666" i="7"/>
  <c r="E665" i="7"/>
  <c r="M665" i="7" s="1"/>
  <c r="A665" i="7"/>
  <c r="E664" i="7"/>
  <c r="M664" i="7" s="1"/>
  <c r="A664" i="7"/>
  <c r="E663" i="7"/>
  <c r="M663" i="7" s="1"/>
  <c r="A663" i="7"/>
  <c r="E662" i="7"/>
  <c r="M662" i="7" s="1"/>
  <c r="A662" i="7"/>
  <c r="E661" i="7"/>
  <c r="M661" i="7" s="1"/>
  <c r="A661" i="7"/>
  <c r="E660" i="7"/>
  <c r="M660" i="7" s="1"/>
  <c r="A660" i="7"/>
  <c r="E659" i="7"/>
  <c r="M659" i="7" s="1"/>
  <c r="A659" i="7"/>
  <c r="E658" i="7"/>
  <c r="M658" i="7" s="1"/>
  <c r="A658" i="7"/>
  <c r="E657" i="7"/>
  <c r="M657" i="7" s="1"/>
  <c r="A657" i="7"/>
  <c r="E656" i="7"/>
  <c r="M656" i="7" s="1"/>
  <c r="A656" i="7"/>
  <c r="E655" i="7"/>
  <c r="M655" i="7" s="1"/>
  <c r="A655" i="7"/>
  <c r="E654" i="7"/>
  <c r="M654" i="7" s="1"/>
  <c r="A654" i="7"/>
  <c r="E653" i="7"/>
  <c r="M653" i="7" s="1"/>
  <c r="A653" i="7"/>
  <c r="E652" i="7"/>
  <c r="M652" i="7" s="1"/>
  <c r="A652" i="7"/>
  <c r="E651" i="7"/>
  <c r="M651" i="7" s="1"/>
  <c r="A651" i="7"/>
  <c r="E650" i="7"/>
  <c r="M650" i="7" s="1"/>
  <c r="A650" i="7"/>
  <c r="E649" i="7"/>
  <c r="M649" i="7" s="1"/>
  <c r="A649" i="7"/>
  <c r="E648" i="7"/>
  <c r="M648" i="7" s="1"/>
  <c r="A648" i="7"/>
  <c r="E647" i="7"/>
  <c r="M647" i="7" s="1"/>
  <c r="A647" i="7"/>
  <c r="E646" i="7"/>
  <c r="M646" i="7" s="1"/>
  <c r="A646" i="7"/>
  <c r="E645" i="7"/>
  <c r="M645" i="7" s="1"/>
  <c r="A645" i="7"/>
  <c r="E644" i="7"/>
  <c r="M644" i="7" s="1"/>
  <c r="A644" i="7"/>
  <c r="E643" i="7"/>
  <c r="M643" i="7" s="1"/>
  <c r="A643" i="7"/>
  <c r="E642" i="7"/>
  <c r="M642" i="7" s="1"/>
  <c r="A642" i="7"/>
  <c r="E641" i="7"/>
  <c r="M641" i="7" s="1"/>
  <c r="A641" i="7"/>
  <c r="E640" i="7"/>
  <c r="M640" i="7" s="1"/>
  <c r="A640" i="7"/>
  <c r="E639" i="7"/>
  <c r="M639" i="7" s="1"/>
  <c r="A639" i="7"/>
  <c r="E638" i="7"/>
  <c r="M638" i="7" s="1"/>
  <c r="A638" i="7"/>
  <c r="E637" i="7"/>
  <c r="M637" i="7" s="1"/>
  <c r="A637" i="7"/>
  <c r="E636" i="7"/>
  <c r="M636" i="7" s="1"/>
  <c r="A636" i="7"/>
  <c r="E635" i="7"/>
  <c r="M635" i="7" s="1"/>
  <c r="A635" i="7"/>
  <c r="E634" i="7"/>
  <c r="M634" i="7" s="1"/>
  <c r="A634" i="7"/>
  <c r="E633" i="7"/>
  <c r="M633" i="7" s="1"/>
  <c r="A633" i="7"/>
  <c r="E632" i="7"/>
  <c r="M632" i="7" s="1"/>
  <c r="A632" i="7"/>
  <c r="E631" i="7"/>
  <c r="M631" i="7" s="1"/>
  <c r="A631" i="7"/>
  <c r="A629" i="7"/>
  <c r="B629" i="7" s="1"/>
  <c r="E628" i="7"/>
  <c r="M628" i="7" s="1"/>
  <c r="A628" i="7"/>
  <c r="E627" i="7"/>
  <c r="M627" i="7" s="1"/>
  <c r="A627" i="7"/>
  <c r="E626" i="7"/>
  <c r="M626" i="7" s="1"/>
  <c r="A626" i="7"/>
  <c r="E625" i="7"/>
  <c r="M625" i="7" s="1"/>
  <c r="A625" i="7"/>
  <c r="E624" i="7"/>
  <c r="M624" i="7" s="1"/>
  <c r="A624" i="7"/>
  <c r="E623" i="7"/>
  <c r="M623" i="7" s="1"/>
  <c r="A623" i="7"/>
  <c r="E622" i="7"/>
  <c r="M622" i="7" s="1"/>
  <c r="A622" i="7"/>
  <c r="E621" i="7"/>
  <c r="M621" i="7" s="1"/>
  <c r="A621" i="7"/>
  <c r="E620" i="7"/>
  <c r="M620" i="7" s="1"/>
  <c r="A620" i="7"/>
  <c r="E619" i="7"/>
  <c r="M619" i="7" s="1"/>
  <c r="A619" i="7"/>
  <c r="E618" i="7"/>
  <c r="M618" i="7" s="1"/>
  <c r="A618" i="7"/>
  <c r="E617" i="7"/>
  <c r="M617" i="7" s="1"/>
  <c r="A617" i="7"/>
  <c r="E616" i="7"/>
  <c r="M616" i="7" s="1"/>
  <c r="A616" i="7"/>
  <c r="E615" i="7"/>
  <c r="M615" i="7" s="1"/>
  <c r="A615" i="7"/>
  <c r="E614" i="7"/>
  <c r="M614" i="7" s="1"/>
  <c r="A614" i="7"/>
  <c r="E613" i="7"/>
  <c r="M613" i="7" s="1"/>
  <c r="A613" i="7"/>
  <c r="E612" i="7"/>
  <c r="M612" i="7" s="1"/>
  <c r="A612" i="7"/>
  <c r="E611" i="7"/>
  <c r="M611" i="7" s="1"/>
  <c r="A611" i="7"/>
  <c r="E610" i="7"/>
  <c r="M610" i="7" s="1"/>
  <c r="A610" i="7"/>
  <c r="E609" i="7"/>
  <c r="M609" i="7" s="1"/>
  <c r="A609" i="7"/>
  <c r="E608" i="7"/>
  <c r="M608" i="7" s="1"/>
  <c r="A608" i="7"/>
  <c r="E607" i="7"/>
  <c r="M607" i="7" s="1"/>
  <c r="A607" i="7"/>
  <c r="E606" i="7"/>
  <c r="M606" i="7" s="1"/>
  <c r="A606" i="7"/>
  <c r="E605" i="7"/>
  <c r="M605" i="7" s="1"/>
  <c r="A605" i="7"/>
  <c r="E604" i="7"/>
  <c r="M604" i="7" s="1"/>
  <c r="A604" i="7"/>
  <c r="E603" i="7"/>
  <c r="M603" i="7" s="1"/>
  <c r="A603" i="7"/>
  <c r="E602" i="7"/>
  <c r="M602" i="7" s="1"/>
  <c r="A602" i="7"/>
  <c r="E601" i="7"/>
  <c r="M601" i="7" s="1"/>
  <c r="A601" i="7"/>
  <c r="E600" i="7"/>
  <c r="M600" i="7" s="1"/>
  <c r="A600" i="7"/>
  <c r="E599" i="7"/>
  <c r="M599" i="7" s="1"/>
  <c r="A599" i="7"/>
  <c r="E598" i="7"/>
  <c r="M598" i="7" s="1"/>
  <c r="A598" i="7"/>
  <c r="E597" i="7"/>
  <c r="M597" i="7" s="1"/>
  <c r="A597" i="7"/>
  <c r="E596" i="7"/>
  <c r="M596" i="7" s="1"/>
  <c r="A596" i="7"/>
  <c r="E595" i="7"/>
  <c r="M595" i="7" s="1"/>
  <c r="A595" i="7"/>
  <c r="E594" i="7"/>
  <c r="M594" i="7" s="1"/>
  <c r="A594" i="7"/>
  <c r="E593" i="7"/>
  <c r="M593" i="7" s="1"/>
  <c r="A593" i="7"/>
  <c r="E592" i="7"/>
  <c r="M592" i="7" s="1"/>
  <c r="A592" i="7"/>
  <c r="E591" i="7"/>
  <c r="M591" i="7" s="1"/>
  <c r="A591" i="7"/>
  <c r="E590" i="7"/>
  <c r="M590" i="7" s="1"/>
  <c r="A590" i="7"/>
  <c r="E589" i="7"/>
  <c r="M589" i="7" s="1"/>
  <c r="A589" i="7"/>
  <c r="E588" i="7"/>
  <c r="M588" i="7" s="1"/>
  <c r="A588" i="7"/>
  <c r="E587" i="7"/>
  <c r="M587" i="7" s="1"/>
  <c r="A587" i="7"/>
  <c r="E586" i="7"/>
  <c r="A586" i="7"/>
  <c r="E585" i="7"/>
  <c r="M585" i="7" s="1"/>
  <c r="A585" i="7"/>
  <c r="E584" i="7"/>
  <c r="M584" i="7" s="1"/>
  <c r="A584" i="7"/>
  <c r="E583" i="7"/>
  <c r="M583" i="7" s="1"/>
  <c r="A583" i="7"/>
  <c r="E582" i="7"/>
  <c r="M582" i="7" s="1"/>
  <c r="A582" i="7"/>
  <c r="E581" i="7"/>
  <c r="M581" i="7" s="1"/>
  <c r="A581" i="7"/>
  <c r="E580" i="7"/>
  <c r="M580" i="7" s="1"/>
  <c r="A580" i="7"/>
  <c r="E579" i="7"/>
  <c r="M579" i="7" s="1"/>
  <c r="A579" i="7"/>
  <c r="A577" i="7"/>
  <c r="B577" i="7" s="1"/>
  <c r="E576" i="7"/>
  <c r="M576" i="7" s="1"/>
  <c r="A576" i="7"/>
  <c r="E575" i="7"/>
  <c r="M575" i="7" s="1"/>
  <c r="A575" i="7"/>
  <c r="E574" i="7"/>
  <c r="M574" i="7" s="1"/>
  <c r="A574" i="7"/>
  <c r="E573" i="7"/>
  <c r="M573" i="7" s="1"/>
  <c r="A573" i="7"/>
  <c r="E572" i="7"/>
  <c r="M572" i="7" s="1"/>
  <c r="A572" i="7"/>
  <c r="E571" i="7"/>
  <c r="M571" i="7" s="1"/>
  <c r="A571" i="7"/>
  <c r="E570" i="7"/>
  <c r="M570" i="7" s="1"/>
  <c r="A570" i="7"/>
  <c r="E569" i="7"/>
  <c r="M569" i="7" s="1"/>
  <c r="A569" i="7"/>
  <c r="E568" i="7"/>
  <c r="M568" i="7" s="1"/>
  <c r="A568" i="7"/>
  <c r="E567" i="7"/>
  <c r="M567" i="7" s="1"/>
  <c r="A567" i="7"/>
  <c r="E566" i="7"/>
  <c r="M566" i="7" s="1"/>
  <c r="A566" i="7"/>
  <c r="E565" i="7"/>
  <c r="M565" i="7" s="1"/>
  <c r="A565" i="7"/>
  <c r="E564" i="7"/>
  <c r="M564" i="7" s="1"/>
  <c r="A564" i="7"/>
  <c r="E563" i="7"/>
  <c r="M563" i="7" s="1"/>
  <c r="A563" i="7"/>
  <c r="E562" i="7"/>
  <c r="M562" i="7" s="1"/>
  <c r="A562" i="7"/>
  <c r="E561" i="7"/>
  <c r="M561" i="7" s="1"/>
  <c r="A561" i="7"/>
  <c r="E560" i="7"/>
  <c r="M560" i="7" s="1"/>
  <c r="A560" i="7"/>
  <c r="E559" i="7"/>
  <c r="M559" i="7" s="1"/>
  <c r="A559" i="7"/>
  <c r="E558" i="7"/>
  <c r="M558" i="7" s="1"/>
  <c r="A558" i="7"/>
  <c r="E557" i="7"/>
  <c r="M557" i="7" s="1"/>
  <c r="A557" i="7"/>
  <c r="E556" i="7"/>
  <c r="M556" i="7" s="1"/>
  <c r="A556" i="7"/>
  <c r="E555" i="7"/>
  <c r="M555" i="7" s="1"/>
  <c r="A555" i="7"/>
  <c r="E554" i="7"/>
  <c r="M554" i="7" s="1"/>
  <c r="A554" i="7"/>
  <c r="E553" i="7"/>
  <c r="M553" i="7" s="1"/>
  <c r="A553" i="7"/>
  <c r="E552" i="7"/>
  <c r="M552" i="7" s="1"/>
  <c r="A552" i="7"/>
  <c r="E551" i="7"/>
  <c r="M551" i="7" s="1"/>
  <c r="A551" i="7"/>
  <c r="E550" i="7"/>
  <c r="M550" i="7" s="1"/>
  <c r="A550" i="7"/>
  <c r="E549" i="7"/>
  <c r="M549" i="7" s="1"/>
  <c r="A549" i="7"/>
  <c r="E548" i="7"/>
  <c r="M548" i="7" s="1"/>
  <c r="A548" i="7"/>
  <c r="E547" i="7"/>
  <c r="M547" i="7" s="1"/>
  <c r="A547" i="7"/>
  <c r="E546" i="7"/>
  <c r="M546" i="7" s="1"/>
  <c r="A546" i="7"/>
  <c r="E545" i="7"/>
  <c r="M545" i="7" s="1"/>
  <c r="A545" i="7"/>
  <c r="E544" i="7"/>
  <c r="M544" i="7" s="1"/>
  <c r="A544" i="7"/>
  <c r="E543" i="7"/>
  <c r="M543" i="7" s="1"/>
  <c r="A543" i="7"/>
  <c r="E542" i="7"/>
  <c r="M542" i="7" s="1"/>
  <c r="A542" i="7"/>
  <c r="E541" i="7"/>
  <c r="M541" i="7" s="1"/>
  <c r="A541" i="7"/>
  <c r="E540" i="7"/>
  <c r="M540" i="7" s="1"/>
  <c r="A540" i="7"/>
  <c r="E539" i="7"/>
  <c r="M539" i="7" s="1"/>
  <c r="A539" i="7"/>
  <c r="E538" i="7"/>
  <c r="M538" i="7" s="1"/>
  <c r="A538" i="7"/>
  <c r="E537" i="7"/>
  <c r="M537" i="7" s="1"/>
  <c r="A537" i="7"/>
  <c r="E536" i="7"/>
  <c r="M536" i="7" s="1"/>
  <c r="A536" i="7"/>
  <c r="E535" i="7"/>
  <c r="M535" i="7" s="1"/>
  <c r="A535" i="7"/>
  <c r="E534" i="7"/>
  <c r="M534" i="7" s="1"/>
  <c r="A534" i="7"/>
  <c r="E533" i="7"/>
  <c r="M533" i="7" s="1"/>
  <c r="A533" i="7"/>
  <c r="E532" i="7"/>
  <c r="M532" i="7" s="1"/>
  <c r="A532" i="7"/>
  <c r="E531" i="7"/>
  <c r="M531" i="7" s="1"/>
  <c r="A531" i="7"/>
  <c r="E530" i="7"/>
  <c r="M530" i="7" s="1"/>
  <c r="A530" i="7"/>
  <c r="E529" i="7"/>
  <c r="M529" i="7" s="1"/>
  <c r="A529" i="7"/>
  <c r="E528" i="7"/>
  <c r="M528" i="7" s="1"/>
  <c r="A528" i="7"/>
  <c r="E527" i="7"/>
  <c r="A527" i="7"/>
  <c r="A525" i="7"/>
  <c r="B525" i="7" s="1"/>
  <c r="E524" i="7"/>
  <c r="M524" i="7" s="1"/>
  <c r="A524" i="7"/>
  <c r="E523" i="7"/>
  <c r="M523" i="7" s="1"/>
  <c r="A523" i="7"/>
  <c r="E522" i="7"/>
  <c r="M522" i="7" s="1"/>
  <c r="A522" i="7"/>
  <c r="E521" i="7"/>
  <c r="M521" i="7" s="1"/>
  <c r="A521" i="7"/>
  <c r="E520" i="7"/>
  <c r="M520" i="7" s="1"/>
  <c r="A520" i="7"/>
  <c r="E519" i="7"/>
  <c r="M519" i="7" s="1"/>
  <c r="A519" i="7"/>
  <c r="E518" i="7"/>
  <c r="M518" i="7" s="1"/>
  <c r="A518" i="7"/>
  <c r="E517" i="7"/>
  <c r="M517" i="7" s="1"/>
  <c r="A517" i="7"/>
  <c r="E516" i="7"/>
  <c r="M516" i="7" s="1"/>
  <c r="A516" i="7"/>
  <c r="E515" i="7"/>
  <c r="M515" i="7" s="1"/>
  <c r="A515" i="7"/>
  <c r="E514" i="7"/>
  <c r="M514" i="7" s="1"/>
  <c r="A514" i="7"/>
  <c r="E513" i="7"/>
  <c r="M513" i="7" s="1"/>
  <c r="A513" i="7"/>
  <c r="E512" i="7"/>
  <c r="M512" i="7" s="1"/>
  <c r="A512" i="7"/>
  <c r="E511" i="7"/>
  <c r="M511" i="7" s="1"/>
  <c r="A511" i="7"/>
  <c r="E510" i="7"/>
  <c r="M510" i="7" s="1"/>
  <c r="A510" i="7"/>
  <c r="E509" i="7"/>
  <c r="M509" i="7" s="1"/>
  <c r="A509" i="7"/>
  <c r="E508" i="7"/>
  <c r="M508" i="7" s="1"/>
  <c r="A508" i="7"/>
  <c r="E507" i="7"/>
  <c r="M507" i="7" s="1"/>
  <c r="A507" i="7"/>
  <c r="E506" i="7"/>
  <c r="M506" i="7" s="1"/>
  <c r="A506" i="7"/>
  <c r="E505" i="7"/>
  <c r="M505" i="7" s="1"/>
  <c r="A505" i="7"/>
  <c r="E504" i="7"/>
  <c r="M504" i="7" s="1"/>
  <c r="A504" i="7"/>
  <c r="E503" i="7"/>
  <c r="M503" i="7" s="1"/>
  <c r="A503" i="7"/>
  <c r="E502" i="7"/>
  <c r="M502" i="7" s="1"/>
  <c r="A502" i="7"/>
  <c r="E501" i="7"/>
  <c r="M501" i="7" s="1"/>
  <c r="A501" i="7"/>
  <c r="E500" i="7"/>
  <c r="M500" i="7" s="1"/>
  <c r="A500" i="7"/>
  <c r="E499" i="7"/>
  <c r="M499" i="7" s="1"/>
  <c r="A499" i="7"/>
  <c r="E498" i="7"/>
  <c r="M498" i="7" s="1"/>
  <c r="A498" i="7"/>
  <c r="E497" i="7"/>
  <c r="M497" i="7" s="1"/>
  <c r="A497" i="7"/>
  <c r="E496" i="7"/>
  <c r="M496" i="7" s="1"/>
  <c r="A496" i="7"/>
  <c r="E495" i="7"/>
  <c r="M495" i="7" s="1"/>
  <c r="A495" i="7"/>
  <c r="E494" i="7"/>
  <c r="M494" i="7" s="1"/>
  <c r="A494" i="7"/>
  <c r="E493" i="7"/>
  <c r="M493" i="7" s="1"/>
  <c r="A493" i="7"/>
  <c r="E492" i="7"/>
  <c r="M492" i="7" s="1"/>
  <c r="A492" i="7"/>
  <c r="E491" i="7"/>
  <c r="M491" i="7" s="1"/>
  <c r="A491" i="7"/>
  <c r="E490" i="7"/>
  <c r="M490" i="7" s="1"/>
  <c r="A490" i="7"/>
  <c r="E489" i="7"/>
  <c r="M489" i="7" s="1"/>
  <c r="A489" i="7"/>
  <c r="E488" i="7"/>
  <c r="M488" i="7" s="1"/>
  <c r="A488" i="7"/>
  <c r="E487" i="7"/>
  <c r="M487" i="7" s="1"/>
  <c r="A487" i="7"/>
  <c r="E486" i="7"/>
  <c r="M486" i="7" s="1"/>
  <c r="A486" i="7"/>
  <c r="E485" i="7"/>
  <c r="M485" i="7" s="1"/>
  <c r="A485" i="7"/>
  <c r="E484" i="7"/>
  <c r="M484" i="7" s="1"/>
  <c r="A484" i="7"/>
  <c r="E483" i="7"/>
  <c r="M483" i="7" s="1"/>
  <c r="A483" i="7"/>
  <c r="E482" i="7"/>
  <c r="M482" i="7" s="1"/>
  <c r="A482" i="7"/>
  <c r="E481" i="7"/>
  <c r="M481" i="7" s="1"/>
  <c r="A481" i="7"/>
  <c r="E480" i="7"/>
  <c r="M480" i="7" s="1"/>
  <c r="A480" i="7"/>
  <c r="E479" i="7"/>
  <c r="M479" i="7" s="1"/>
  <c r="A479" i="7"/>
  <c r="E478" i="7"/>
  <c r="M478" i="7" s="1"/>
  <c r="A478" i="7"/>
  <c r="E477" i="7"/>
  <c r="M477" i="7" s="1"/>
  <c r="A477" i="7"/>
  <c r="E476" i="7"/>
  <c r="M476" i="7" s="1"/>
  <c r="A476" i="7"/>
  <c r="E475" i="7"/>
  <c r="M475" i="7" s="1"/>
  <c r="A475" i="7"/>
  <c r="A473" i="7"/>
  <c r="E472" i="7"/>
  <c r="M472" i="7" s="1"/>
  <c r="A472" i="7"/>
  <c r="E471" i="7"/>
  <c r="M471" i="7" s="1"/>
  <c r="A471" i="7"/>
  <c r="E470" i="7"/>
  <c r="M470" i="7" s="1"/>
  <c r="A470" i="7"/>
  <c r="E469" i="7"/>
  <c r="M469" i="7" s="1"/>
  <c r="A469" i="7"/>
  <c r="E468" i="7"/>
  <c r="M468" i="7" s="1"/>
  <c r="A468" i="7"/>
  <c r="E467" i="7"/>
  <c r="M467" i="7" s="1"/>
  <c r="A467" i="7"/>
  <c r="E466" i="7"/>
  <c r="M466" i="7" s="1"/>
  <c r="A466" i="7"/>
  <c r="E465" i="7"/>
  <c r="M465" i="7" s="1"/>
  <c r="A465" i="7"/>
  <c r="E464" i="7"/>
  <c r="M464" i="7" s="1"/>
  <c r="A464" i="7"/>
  <c r="E463" i="7"/>
  <c r="M463" i="7" s="1"/>
  <c r="A463" i="7"/>
  <c r="E462" i="7"/>
  <c r="M462" i="7" s="1"/>
  <c r="A462" i="7"/>
  <c r="E461" i="7"/>
  <c r="M461" i="7" s="1"/>
  <c r="A461" i="7"/>
  <c r="E460" i="7"/>
  <c r="M460" i="7" s="1"/>
  <c r="A460" i="7"/>
  <c r="E459" i="7"/>
  <c r="M459" i="7" s="1"/>
  <c r="A459" i="7"/>
  <c r="E458" i="7"/>
  <c r="M458" i="7" s="1"/>
  <c r="A458" i="7"/>
  <c r="E457" i="7"/>
  <c r="M457" i="7" s="1"/>
  <c r="A457" i="7"/>
  <c r="E456" i="7"/>
  <c r="M456" i="7" s="1"/>
  <c r="A456" i="7"/>
  <c r="E455" i="7"/>
  <c r="M455" i="7" s="1"/>
  <c r="A455" i="7"/>
  <c r="E454" i="7"/>
  <c r="M454" i="7" s="1"/>
  <c r="A454" i="7"/>
  <c r="E453" i="7"/>
  <c r="M453" i="7" s="1"/>
  <c r="A453" i="7"/>
  <c r="E452" i="7"/>
  <c r="M452" i="7" s="1"/>
  <c r="A452" i="7"/>
  <c r="E451" i="7"/>
  <c r="M451" i="7" s="1"/>
  <c r="A451" i="7"/>
  <c r="E450" i="7"/>
  <c r="M450" i="7" s="1"/>
  <c r="A450" i="7"/>
  <c r="E449" i="7"/>
  <c r="M449" i="7" s="1"/>
  <c r="A449" i="7"/>
  <c r="E448" i="7"/>
  <c r="M448" i="7" s="1"/>
  <c r="A448" i="7"/>
  <c r="E447" i="7"/>
  <c r="M447" i="7" s="1"/>
  <c r="A447" i="7"/>
  <c r="E446" i="7"/>
  <c r="M446" i="7" s="1"/>
  <c r="A446" i="7"/>
  <c r="E445" i="7"/>
  <c r="M445" i="7" s="1"/>
  <c r="A445" i="7"/>
  <c r="E444" i="7"/>
  <c r="M444" i="7" s="1"/>
  <c r="A444" i="7"/>
  <c r="E443" i="7"/>
  <c r="M443" i="7" s="1"/>
  <c r="A443" i="7"/>
  <c r="E442" i="7"/>
  <c r="M442" i="7" s="1"/>
  <c r="A442" i="7"/>
  <c r="E441" i="7"/>
  <c r="M441" i="7" s="1"/>
  <c r="A441" i="7"/>
  <c r="E440" i="7"/>
  <c r="M440" i="7" s="1"/>
  <c r="A440" i="7"/>
  <c r="E439" i="7"/>
  <c r="M439" i="7" s="1"/>
  <c r="A439" i="7"/>
  <c r="E438" i="7"/>
  <c r="M438" i="7" s="1"/>
  <c r="A438" i="7"/>
  <c r="E437" i="7"/>
  <c r="M437" i="7" s="1"/>
  <c r="A437" i="7"/>
  <c r="E436" i="7"/>
  <c r="M436" i="7" s="1"/>
  <c r="A436" i="7"/>
  <c r="E435" i="7"/>
  <c r="M435" i="7" s="1"/>
  <c r="A435" i="7"/>
  <c r="E434" i="7"/>
  <c r="M434" i="7" s="1"/>
  <c r="A434" i="7"/>
  <c r="E433" i="7"/>
  <c r="M433" i="7" s="1"/>
  <c r="A433" i="7"/>
  <c r="E432" i="7"/>
  <c r="M432" i="7" s="1"/>
  <c r="A432" i="7"/>
  <c r="E431" i="7"/>
  <c r="M431" i="7" s="1"/>
  <c r="A431" i="7"/>
  <c r="E430" i="7"/>
  <c r="M430" i="7" s="1"/>
  <c r="A430" i="7"/>
  <c r="E429" i="7"/>
  <c r="M429" i="7" s="1"/>
  <c r="A429" i="7"/>
  <c r="E428" i="7"/>
  <c r="M428" i="7" s="1"/>
  <c r="A428" i="7"/>
  <c r="E427" i="7"/>
  <c r="M427" i="7" s="1"/>
  <c r="A427" i="7"/>
  <c r="E426" i="7"/>
  <c r="M426" i="7" s="1"/>
  <c r="A426" i="7"/>
  <c r="E425" i="7"/>
  <c r="M425" i="7" s="1"/>
  <c r="A425" i="7"/>
  <c r="E424" i="7"/>
  <c r="M424" i="7" s="1"/>
  <c r="A424" i="7"/>
  <c r="E423" i="7"/>
  <c r="A423" i="7"/>
  <c r="A421" i="7"/>
  <c r="B421" i="7" s="1"/>
  <c r="E420" i="7"/>
  <c r="M420" i="7" s="1"/>
  <c r="A420" i="7"/>
  <c r="E419" i="7"/>
  <c r="M419" i="7" s="1"/>
  <c r="A419" i="7"/>
  <c r="E418" i="7"/>
  <c r="M418" i="7" s="1"/>
  <c r="A418" i="7"/>
  <c r="E417" i="7"/>
  <c r="M417" i="7" s="1"/>
  <c r="A417" i="7"/>
  <c r="E416" i="7"/>
  <c r="M416" i="7" s="1"/>
  <c r="A416" i="7"/>
  <c r="E415" i="7"/>
  <c r="M415" i="7" s="1"/>
  <c r="A415" i="7"/>
  <c r="E414" i="7"/>
  <c r="M414" i="7" s="1"/>
  <c r="A414" i="7"/>
  <c r="E413" i="7"/>
  <c r="M413" i="7" s="1"/>
  <c r="A413" i="7"/>
  <c r="E412" i="7"/>
  <c r="M412" i="7" s="1"/>
  <c r="A412" i="7"/>
  <c r="E411" i="7"/>
  <c r="M411" i="7" s="1"/>
  <c r="A411" i="7"/>
  <c r="E410" i="7"/>
  <c r="M410" i="7" s="1"/>
  <c r="A410" i="7"/>
  <c r="E409" i="7"/>
  <c r="M409" i="7" s="1"/>
  <c r="A409" i="7"/>
  <c r="E408" i="7"/>
  <c r="M408" i="7" s="1"/>
  <c r="A408" i="7"/>
  <c r="E407" i="7"/>
  <c r="M407" i="7" s="1"/>
  <c r="A407" i="7"/>
  <c r="E406" i="7"/>
  <c r="M406" i="7" s="1"/>
  <c r="A406" i="7"/>
  <c r="E405" i="7"/>
  <c r="M405" i="7" s="1"/>
  <c r="A405" i="7"/>
  <c r="E404" i="7"/>
  <c r="M404" i="7" s="1"/>
  <c r="A404" i="7"/>
  <c r="E403" i="7"/>
  <c r="M403" i="7" s="1"/>
  <c r="A403" i="7"/>
  <c r="E402" i="7"/>
  <c r="M402" i="7" s="1"/>
  <c r="A402" i="7"/>
  <c r="E401" i="7"/>
  <c r="M401" i="7" s="1"/>
  <c r="A401" i="7"/>
  <c r="E400" i="7"/>
  <c r="M400" i="7" s="1"/>
  <c r="A400" i="7"/>
  <c r="E399" i="7"/>
  <c r="M399" i="7" s="1"/>
  <c r="A399" i="7"/>
  <c r="E398" i="7"/>
  <c r="M398" i="7" s="1"/>
  <c r="A398" i="7"/>
  <c r="E397" i="7"/>
  <c r="M397" i="7" s="1"/>
  <c r="A397" i="7"/>
  <c r="E396" i="7"/>
  <c r="M396" i="7" s="1"/>
  <c r="A396" i="7"/>
  <c r="E395" i="7"/>
  <c r="M395" i="7" s="1"/>
  <c r="A395" i="7"/>
  <c r="E394" i="7"/>
  <c r="M394" i="7" s="1"/>
  <c r="A394" i="7"/>
  <c r="E393" i="7"/>
  <c r="M393" i="7" s="1"/>
  <c r="A393" i="7"/>
  <c r="E392" i="7"/>
  <c r="M392" i="7" s="1"/>
  <c r="A392" i="7"/>
  <c r="E391" i="7"/>
  <c r="M391" i="7" s="1"/>
  <c r="A391" i="7"/>
  <c r="E390" i="7"/>
  <c r="M390" i="7" s="1"/>
  <c r="A390" i="7"/>
  <c r="E389" i="7"/>
  <c r="M389" i="7" s="1"/>
  <c r="A389" i="7"/>
  <c r="E388" i="7"/>
  <c r="M388" i="7" s="1"/>
  <c r="A388" i="7"/>
  <c r="E387" i="7"/>
  <c r="M387" i="7" s="1"/>
  <c r="A387" i="7"/>
  <c r="E386" i="7"/>
  <c r="M386" i="7" s="1"/>
  <c r="A386" i="7"/>
  <c r="E385" i="7"/>
  <c r="M385" i="7" s="1"/>
  <c r="A385" i="7"/>
  <c r="E384" i="7"/>
  <c r="M384" i="7" s="1"/>
  <c r="A384" i="7"/>
  <c r="E383" i="7"/>
  <c r="M383" i="7" s="1"/>
  <c r="A383" i="7"/>
  <c r="E382" i="7"/>
  <c r="M382" i="7" s="1"/>
  <c r="A382" i="7"/>
  <c r="E381" i="7"/>
  <c r="M381" i="7" s="1"/>
  <c r="A381" i="7"/>
  <c r="E380" i="7"/>
  <c r="M380" i="7" s="1"/>
  <c r="A380" i="7"/>
  <c r="E379" i="7"/>
  <c r="M379" i="7" s="1"/>
  <c r="A379" i="7"/>
  <c r="E378" i="7"/>
  <c r="M378" i="7" s="1"/>
  <c r="A378" i="7"/>
  <c r="E377" i="7"/>
  <c r="M377" i="7" s="1"/>
  <c r="A377" i="7"/>
  <c r="E376" i="7"/>
  <c r="M376" i="7" s="1"/>
  <c r="A376" i="7"/>
  <c r="E375" i="7"/>
  <c r="M375" i="7" s="1"/>
  <c r="A375" i="7"/>
  <c r="E374" i="7"/>
  <c r="M374" i="7" s="1"/>
  <c r="A374" i="7"/>
  <c r="E373" i="7"/>
  <c r="M373" i="7" s="1"/>
  <c r="A373" i="7"/>
  <c r="E372" i="7"/>
  <c r="M372" i="7" s="1"/>
  <c r="A372" i="7"/>
  <c r="E371" i="7"/>
  <c r="A371" i="7"/>
  <c r="A369" i="7"/>
  <c r="B369" i="7" s="1"/>
  <c r="E368" i="7"/>
  <c r="M368" i="7" s="1"/>
  <c r="A368" i="7"/>
  <c r="E367" i="7"/>
  <c r="M367" i="7" s="1"/>
  <c r="A367" i="7"/>
  <c r="E366" i="7"/>
  <c r="M366" i="7" s="1"/>
  <c r="A366" i="7"/>
  <c r="E365" i="7"/>
  <c r="M365" i="7" s="1"/>
  <c r="A365" i="7"/>
  <c r="E364" i="7"/>
  <c r="M364" i="7" s="1"/>
  <c r="A364" i="7"/>
  <c r="E363" i="7"/>
  <c r="M363" i="7" s="1"/>
  <c r="A363" i="7"/>
  <c r="E362" i="7"/>
  <c r="M362" i="7" s="1"/>
  <c r="A362" i="7"/>
  <c r="E361" i="7"/>
  <c r="M361" i="7" s="1"/>
  <c r="A361" i="7"/>
  <c r="E360" i="7"/>
  <c r="M360" i="7" s="1"/>
  <c r="A360" i="7"/>
  <c r="E359" i="7"/>
  <c r="M359" i="7" s="1"/>
  <c r="A359" i="7"/>
  <c r="E358" i="7"/>
  <c r="M358" i="7" s="1"/>
  <c r="A358" i="7"/>
  <c r="E357" i="7"/>
  <c r="M357" i="7" s="1"/>
  <c r="A357" i="7"/>
  <c r="E356" i="7"/>
  <c r="M356" i="7" s="1"/>
  <c r="A356" i="7"/>
  <c r="E355" i="7"/>
  <c r="M355" i="7" s="1"/>
  <c r="A355" i="7"/>
  <c r="E354" i="7"/>
  <c r="M354" i="7" s="1"/>
  <c r="A354" i="7"/>
  <c r="E353" i="7"/>
  <c r="M353" i="7" s="1"/>
  <c r="A353" i="7"/>
  <c r="E352" i="7"/>
  <c r="M352" i="7" s="1"/>
  <c r="A352" i="7"/>
  <c r="E351" i="7"/>
  <c r="M351" i="7" s="1"/>
  <c r="A351" i="7"/>
  <c r="E350" i="7"/>
  <c r="M350" i="7" s="1"/>
  <c r="A350" i="7"/>
  <c r="E349" i="7"/>
  <c r="M349" i="7" s="1"/>
  <c r="A349" i="7"/>
  <c r="E348" i="7"/>
  <c r="M348" i="7" s="1"/>
  <c r="A348" i="7"/>
  <c r="E347" i="7"/>
  <c r="M347" i="7" s="1"/>
  <c r="A347" i="7"/>
  <c r="E346" i="7"/>
  <c r="M346" i="7" s="1"/>
  <c r="A346" i="7"/>
  <c r="E345" i="7"/>
  <c r="M345" i="7" s="1"/>
  <c r="A345" i="7"/>
  <c r="E344" i="7"/>
  <c r="M344" i="7" s="1"/>
  <c r="A344" i="7"/>
  <c r="E343" i="7"/>
  <c r="M343" i="7" s="1"/>
  <c r="A343" i="7"/>
  <c r="E342" i="7"/>
  <c r="M342" i="7" s="1"/>
  <c r="A342" i="7"/>
  <c r="E341" i="7"/>
  <c r="M341" i="7" s="1"/>
  <c r="A341" i="7"/>
  <c r="E340" i="7"/>
  <c r="M340" i="7" s="1"/>
  <c r="A340" i="7"/>
  <c r="E339" i="7"/>
  <c r="M339" i="7" s="1"/>
  <c r="A339" i="7"/>
  <c r="E338" i="7"/>
  <c r="M338" i="7" s="1"/>
  <c r="A338" i="7"/>
  <c r="E337" i="7"/>
  <c r="M337" i="7" s="1"/>
  <c r="A337" i="7"/>
  <c r="E336" i="7"/>
  <c r="M336" i="7" s="1"/>
  <c r="A336" i="7"/>
  <c r="E335" i="7"/>
  <c r="M335" i="7" s="1"/>
  <c r="A335" i="7"/>
  <c r="E334" i="7"/>
  <c r="M334" i="7" s="1"/>
  <c r="A334" i="7"/>
  <c r="E333" i="7"/>
  <c r="M333" i="7" s="1"/>
  <c r="A333" i="7"/>
  <c r="E332" i="7"/>
  <c r="M332" i="7" s="1"/>
  <c r="A332" i="7"/>
  <c r="E331" i="7"/>
  <c r="M331" i="7" s="1"/>
  <c r="A331" i="7"/>
  <c r="E330" i="7"/>
  <c r="M330" i="7" s="1"/>
  <c r="A330" i="7"/>
  <c r="E329" i="7"/>
  <c r="M329" i="7" s="1"/>
  <c r="A329" i="7"/>
  <c r="E328" i="7"/>
  <c r="M328" i="7" s="1"/>
  <c r="A328" i="7"/>
  <c r="E327" i="7"/>
  <c r="M327" i="7" s="1"/>
  <c r="A327" i="7"/>
  <c r="E326" i="7"/>
  <c r="M326" i="7" s="1"/>
  <c r="A326" i="7"/>
  <c r="E325" i="7"/>
  <c r="M325" i="7" s="1"/>
  <c r="A325" i="7"/>
  <c r="E324" i="7"/>
  <c r="M324" i="7" s="1"/>
  <c r="A324" i="7"/>
  <c r="E323" i="7"/>
  <c r="A323" i="7"/>
  <c r="E322" i="7"/>
  <c r="M322" i="7" s="1"/>
  <c r="A322" i="7"/>
  <c r="E321" i="7"/>
  <c r="M321" i="7" s="1"/>
  <c r="A321" i="7"/>
  <c r="E320" i="7"/>
  <c r="M320" i="7" s="1"/>
  <c r="A320" i="7"/>
  <c r="E319" i="7"/>
  <c r="M319" i="7" s="1"/>
  <c r="A319" i="7"/>
  <c r="A317" i="7"/>
  <c r="B317" i="7" s="1"/>
  <c r="E316" i="7"/>
  <c r="M316" i="7" s="1"/>
  <c r="A316" i="7"/>
  <c r="E315" i="7"/>
  <c r="M315" i="7" s="1"/>
  <c r="A315" i="7"/>
  <c r="E314" i="7"/>
  <c r="M314" i="7" s="1"/>
  <c r="A314" i="7"/>
  <c r="E313" i="7"/>
  <c r="M313" i="7" s="1"/>
  <c r="A313" i="7"/>
  <c r="E312" i="7"/>
  <c r="M312" i="7" s="1"/>
  <c r="A312" i="7"/>
  <c r="E311" i="7"/>
  <c r="M311" i="7" s="1"/>
  <c r="A311" i="7"/>
  <c r="E310" i="7"/>
  <c r="M310" i="7" s="1"/>
  <c r="A310" i="7"/>
  <c r="E309" i="7"/>
  <c r="M309" i="7" s="1"/>
  <c r="A309" i="7"/>
  <c r="E308" i="7"/>
  <c r="M308" i="7" s="1"/>
  <c r="A308" i="7"/>
  <c r="E307" i="7"/>
  <c r="M307" i="7" s="1"/>
  <c r="A307" i="7"/>
  <c r="E306" i="7"/>
  <c r="M306" i="7" s="1"/>
  <c r="A306" i="7"/>
  <c r="E305" i="7"/>
  <c r="M305" i="7" s="1"/>
  <c r="A305" i="7"/>
  <c r="E304" i="7"/>
  <c r="M304" i="7" s="1"/>
  <c r="A304" i="7"/>
  <c r="E303" i="7"/>
  <c r="M303" i="7" s="1"/>
  <c r="A303" i="7"/>
  <c r="E302" i="7"/>
  <c r="M302" i="7" s="1"/>
  <c r="A302" i="7"/>
  <c r="E301" i="7"/>
  <c r="M301" i="7" s="1"/>
  <c r="A301" i="7"/>
  <c r="E300" i="7"/>
  <c r="M300" i="7" s="1"/>
  <c r="A300" i="7"/>
  <c r="E299" i="7"/>
  <c r="M299" i="7" s="1"/>
  <c r="A299" i="7"/>
  <c r="E298" i="7"/>
  <c r="M298" i="7" s="1"/>
  <c r="A298" i="7"/>
  <c r="E297" i="7"/>
  <c r="M297" i="7" s="1"/>
  <c r="A297" i="7"/>
  <c r="E296" i="7"/>
  <c r="M296" i="7" s="1"/>
  <c r="A296" i="7"/>
  <c r="E295" i="7"/>
  <c r="M295" i="7" s="1"/>
  <c r="A295" i="7"/>
  <c r="E294" i="7"/>
  <c r="M294" i="7" s="1"/>
  <c r="A294" i="7"/>
  <c r="E293" i="7"/>
  <c r="M293" i="7" s="1"/>
  <c r="A293" i="7"/>
  <c r="E292" i="7"/>
  <c r="M292" i="7" s="1"/>
  <c r="A292" i="7"/>
  <c r="E291" i="7"/>
  <c r="M291" i="7" s="1"/>
  <c r="A291" i="7"/>
  <c r="E290" i="7"/>
  <c r="M290" i="7" s="1"/>
  <c r="A290" i="7"/>
  <c r="E289" i="7"/>
  <c r="M289" i="7" s="1"/>
  <c r="A289" i="7"/>
  <c r="E288" i="7"/>
  <c r="M288" i="7" s="1"/>
  <c r="A288" i="7"/>
  <c r="E287" i="7"/>
  <c r="M287" i="7" s="1"/>
  <c r="A287" i="7"/>
  <c r="E286" i="7"/>
  <c r="M286" i="7" s="1"/>
  <c r="A286" i="7"/>
  <c r="E285" i="7"/>
  <c r="M285" i="7" s="1"/>
  <c r="A285" i="7"/>
  <c r="E284" i="7"/>
  <c r="M284" i="7" s="1"/>
  <c r="A284" i="7"/>
  <c r="E283" i="7"/>
  <c r="M283" i="7" s="1"/>
  <c r="A283" i="7"/>
  <c r="E282" i="7"/>
  <c r="M282" i="7" s="1"/>
  <c r="A282" i="7"/>
  <c r="E281" i="7"/>
  <c r="M281" i="7" s="1"/>
  <c r="A281" i="7"/>
  <c r="E280" i="7"/>
  <c r="M280" i="7" s="1"/>
  <c r="A280" i="7"/>
  <c r="E279" i="7"/>
  <c r="M279" i="7" s="1"/>
  <c r="A279" i="7"/>
  <c r="E278" i="7"/>
  <c r="M278" i="7" s="1"/>
  <c r="A278" i="7"/>
  <c r="E277" i="7"/>
  <c r="M277" i="7" s="1"/>
  <c r="A277" i="7"/>
  <c r="E276" i="7"/>
  <c r="M276" i="7" s="1"/>
  <c r="A276" i="7"/>
  <c r="E275" i="7"/>
  <c r="M275" i="7" s="1"/>
  <c r="A275" i="7"/>
  <c r="E274" i="7"/>
  <c r="M274" i="7" s="1"/>
  <c r="A274" i="7"/>
  <c r="E273" i="7"/>
  <c r="M273" i="7" s="1"/>
  <c r="A273" i="7"/>
  <c r="E272" i="7"/>
  <c r="M272" i="7" s="1"/>
  <c r="A272" i="7"/>
  <c r="E271" i="7"/>
  <c r="M271" i="7" s="1"/>
  <c r="A271" i="7"/>
  <c r="E270" i="7"/>
  <c r="M270" i="7" s="1"/>
  <c r="A270" i="7"/>
  <c r="E269" i="7"/>
  <c r="M269" i="7" s="1"/>
  <c r="A269" i="7"/>
  <c r="E268" i="7"/>
  <c r="A268" i="7"/>
  <c r="E267" i="7"/>
  <c r="M267" i="7" s="1"/>
  <c r="A267" i="7"/>
  <c r="A265" i="7"/>
  <c r="B265" i="7" s="1"/>
  <c r="E264" i="7"/>
  <c r="M264" i="7" s="1"/>
  <c r="A264" i="7"/>
  <c r="E263" i="7"/>
  <c r="M263" i="7" s="1"/>
  <c r="A263" i="7"/>
  <c r="E262" i="7"/>
  <c r="M262" i="7" s="1"/>
  <c r="A262" i="7"/>
  <c r="E261" i="7"/>
  <c r="M261" i="7" s="1"/>
  <c r="A261" i="7"/>
  <c r="E260" i="7"/>
  <c r="M260" i="7" s="1"/>
  <c r="A260" i="7"/>
  <c r="E259" i="7"/>
  <c r="M259" i="7" s="1"/>
  <c r="A259" i="7"/>
  <c r="E258" i="7"/>
  <c r="M258" i="7" s="1"/>
  <c r="A258" i="7"/>
  <c r="E257" i="7"/>
  <c r="M257" i="7" s="1"/>
  <c r="A257" i="7"/>
  <c r="E256" i="7"/>
  <c r="M256" i="7" s="1"/>
  <c r="A256" i="7"/>
  <c r="E255" i="7"/>
  <c r="M255" i="7" s="1"/>
  <c r="A255" i="7"/>
  <c r="E254" i="7"/>
  <c r="M254" i="7" s="1"/>
  <c r="A254" i="7"/>
  <c r="E253" i="7"/>
  <c r="M253" i="7" s="1"/>
  <c r="A253" i="7"/>
  <c r="E252" i="7"/>
  <c r="M252" i="7" s="1"/>
  <c r="A252" i="7"/>
  <c r="E251" i="7"/>
  <c r="M251" i="7" s="1"/>
  <c r="A251" i="7"/>
  <c r="E250" i="7"/>
  <c r="M250" i="7" s="1"/>
  <c r="A250" i="7"/>
  <c r="E249" i="7"/>
  <c r="M249" i="7" s="1"/>
  <c r="A249" i="7"/>
  <c r="E248" i="7"/>
  <c r="M248" i="7" s="1"/>
  <c r="A248" i="7"/>
  <c r="E247" i="7"/>
  <c r="M247" i="7" s="1"/>
  <c r="A247" i="7"/>
  <c r="E246" i="7"/>
  <c r="M246" i="7" s="1"/>
  <c r="A246" i="7"/>
  <c r="E245" i="7"/>
  <c r="M245" i="7" s="1"/>
  <c r="A245" i="7"/>
  <c r="E244" i="7"/>
  <c r="M244" i="7" s="1"/>
  <c r="A244" i="7"/>
  <c r="E243" i="7"/>
  <c r="M243" i="7" s="1"/>
  <c r="A243" i="7"/>
  <c r="E242" i="7"/>
  <c r="M242" i="7" s="1"/>
  <c r="A242" i="7"/>
  <c r="E241" i="7"/>
  <c r="M241" i="7" s="1"/>
  <c r="A241" i="7"/>
  <c r="E240" i="7"/>
  <c r="M240" i="7" s="1"/>
  <c r="A240" i="7"/>
  <c r="E239" i="7"/>
  <c r="M239" i="7" s="1"/>
  <c r="A239" i="7"/>
  <c r="E238" i="7"/>
  <c r="M238" i="7" s="1"/>
  <c r="A238" i="7"/>
  <c r="E237" i="7"/>
  <c r="M237" i="7" s="1"/>
  <c r="A237" i="7"/>
  <c r="E236" i="7"/>
  <c r="M236" i="7" s="1"/>
  <c r="A236" i="7"/>
  <c r="E235" i="7"/>
  <c r="M235" i="7" s="1"/>
  <c r="A235" i="7"/>
  <c r="E234" i="7"/>
  <c r="M234" i="7" s="1"/>
  <c r="A234" i="7"/>
  <c r="E233" i="7"/>
  <c r="M233" i="7" s="1"/>
  <c r="A233" i="7"/>
  <c r="E232" i="7"/>
  <c r="M232" i="7" s="1"/>
  <c r="A232" i="7"/>
  <c r="E231" i="7"/>
  <c r="M231" i="7" s="1"/>
  <c r="A231" i="7"/>
  <c r="E230" i="7"/>
  <c r="M230" i="7" s="1"/>
  <c r="A230" i="7"/>
  <c r="E229" i="7"/>
  <c r="M229" i="7" s="1"/>
  <c r="A229" i="7"/>
  <c r="E228" i="7"/>
  <c r="M228" i="7" s="1"/>
  <c r="A228" i="7"/>
  <c r="E227" i="7"/>
  <c r="M227" i="7" s="1"/>
  <c r="A227" i="7"/>
  <c r="E226" i="7"/>
  <c r="M226" i="7" s="1"/>
  <c r="A226" i="7"/>
  <c r="E225" i="7"/>
  <c r="M225" i="7" s="1"/>
  <c r="A225" i="7"/>
  <c r="E224" i="7"/>
  <c r="M224" i="7" s="1"/>
  <c r="A224" i="7"/>
  <c r="E223" i="7"/>
  <c r="M223" i="7" s="1"/>
  <c r="A223" i="7"/>
  <c r="E222" i="7"/>
  <c r="M222" i="7" s="1"/>
  <c r="A222" i="7"/>
  <c r="E221" i="7"/>
  <c r="M221" i="7" s="1"/>
  <c r="A221" i="7"/>
  <c r="E220" i="7"/>
  <c r="M220" i="7" s="1"/>
  <c r="A220" i="7"/>
  <c r="E219" i="7"/>
  <c r="M219" i="7" s="1"/>
  <c r="A219" i="7"/>
  <c r="E218" i="7"/>
  <c r="M218" i="7" s="1"/>
  <c r="A218" i="7"/>
  <c r="E217" i="7"/>
  <c r="M217" i="7" s="1"/>
  <c r="A217" i="7"/>
  <c r="E216" i="7"/>
  <c r="A216" i="7"/>
  <c r="E215" i="7"/>
  <c r="M215" i="7" s="1"/>
  <c r="A215" i="7"/>
  <c r="A213" i="7"/>
  <c r="B213" i="7" s="1"/>
  <c r="E212" i="7"/>
  <c r="M212" i="7" s="1"/>
  <c r="A212" i="7"/>
  <c r="E211" i="7"/>
  <c r="M211" i="7" s="1"/>
  <c r="A211" i="7"/>
  <c r="E210" i="7"/>
  <c r="M210" i="7" s="1"/>
  <c r="A210" i="7"/>
  <c r="E209" i="7"/>
  <c r="M209" i="7" s="1"/>
  <c r="A209" i="7"/>
  <c r="E208" i="7"/>
  <c r="M208" i="7" s="1"/>
  <c r="A208" i="7"/>
  <c r="E207" i="7"/>
  <c r="M207" i="7" s="1"/>
  <c r="A207" i="7"/>
  <c r="E206" i="7"/>
  <c r="M206" i="7" s="1"/>
  <c r="A206" i="7"/>
  <c r="E205" i="7"/>
  <c r="M205" i="7" s="1"/>
  <c r="A205" i="7"/>
  <c r="E204" i="7"/>
  <c r="M204" i="7" s="1"/>
  <c r="A204" i="7"/>
  <c r="E203" i="7"/>
  <c r="M203" i="7" s="1"/>
  <c r="A203" i="7"/>
  <c r="E202" i="7"/>
  <c r="M202" i="7" s="1"/>
  <c r="A202" i="7"/>
  <c r="E201" i="7"/>
  <c r="M201" i="7" s="1"/>
  <c r="A201" i="7"/>
  <c r="E200" i="7"/>
  <c r="M200" i="7" s="1"/>
  <c r="A200" i="7"/>
  <c r="E199" i="7"/>
  <c r="M199" i="7" s="1"/>
  <c r="A199" i="7"/>
  <c r="E198" i="7"/>
  <c r="M198" i="7" s="1"/>
  <c r="A198" i="7"/>
  <c r="E197" i="7"/>
  <c r="M197" i="7" s="1"/>
  <c r="A197" i="7"/>
  <c r="E196" i="7"/>
  <c r="M196" i="7" s="1"/>
  <c r="A196" i="7"/>
  <c r="E195" i="7"/>
  <c r="M195" i="7" s="1"/>
  <c r="A195" i="7"/>
  <c r="E194" i="7"/>
  <c r="M194" i="7" s="1"/>
  <c r="A194" i="7"/>
  <c r="E193" i="7"/>
  <c r="M193" i="7" s="1"/>
  <c r="A193" i="7"/>
  <c r="E192" i="7"/>
  <c r="M192" i="7" s="1"/>
  <c r="A192" i="7"/>
  <c r="E191" i="7"/>
  <c r="M191" i="7" s="1"/>
  <c r="A191" i="7"/>
  <c r="E190" i="7"/>
  <c r="M190" i="7" s="1"/>
  <c r="A190" i="7"/>
  <c r="E189" i="7"/>
  <c r="M189" i="7" s="1"/>
  <c r="A189" i="7"/>
  <c r="E188" i="7"/>
  <c r="M188" i="7" s="1"/>
  <c r="A188" i="7"/>
  <c r="E187" i="7"/>
  <c r="M187" i="7" s="1"/>
  <c r="A187" i="7"/>
  <c r="E186" i="7"/>
  <c r="M186" i="7" s="1"/>
  <c r="A186" i="7"/>
  <c r="E185" i="7"/>
  <c r="M185" i="7" s="1"/>
  <c r="A185" i="7"/>
  <c r="E184" i="7"/>
  <c r="M184" i="7" s="1"/>
  <c r="A184" i="7"/>
  <c r="E183" i="7"/>
  <c r="M183" i="7" s="1"/>
  <c r="A183" i="7"/>
  <c r="E182" i="7"/>
  <c r="M182" i="7" s="1"/>
  <c r="A182" i="7"/>
  <c r="E181" i="7"/>
  <c r="M181" i="7" s="1"/>
  <c r="A181" i="7"/>
  <c r="E180" i="7"/>
  <c r="M180" i="7" s="1"/>
  <c r="A180" i="7"/>
  <c r="E179" i="7"/>
  <c r="M179" i="7" s="1"/>
  <c r="A179" i="7"/>
  <c r="E178" i="7"/>
  <c r="M178" i="7" s="1"/>
  <c r="A178" i="7"/>
  <c r="E177" i="7"/>
  <c r="M177" i="7" s="1"/>
  <c r="A177" i="7"/>
  <c r="E176" i="7"/>
  <c r="M176" i="7" s="1"/>
  <c r="A176" i="7"/>
  <c r="E175" i="7"/>
  <c r="M175" i="7" s="1"/>
  <c r="A175" i="7"/>
  <c r="E174" i="7"/>
  <c r="M174" i="7" s="1"/>
  <c r="A174" i="7"/>
  <c r="E173" i="7"/>
  <c r="M173" i="7" s="1"/>
  <c r="A173" i="7"/>
  <c r="E172" i="7"/>
  <c r="M172" i="7" s="1"/>
  <c r="A172" i="7"/>
  <c r="E171" i="7"/>
  <c r="M171" i="7" s="1"/>
  <c r="A171" i="7"/>
  <c r="E170" i="7"/>
  <c r="M170" i="7" s="1"/>
  <c r="A170" i="7"/>
  <c r="E169" i="7"/>
  <c r="M169" i="7" s="1"/>
  <c r="A169" i="7"/>
  <c r="E168" i="7"/>
  <c r="M168" i="7" s="1"/>
  <c r="A168" i="7"/>
  <c r="E167" i="7"/>
  <c r="M167" i="7" s="1"/>
  <c r="A167" i="7"/>
  <c r="E166" i="7"/>
  <c r="M166" i="7" s="1"/>
  <c r="A166" i="7"/>
  <c r="E165" i="7"/>
  <c r="M165" i="7" s="1"/>
  <c r="A165" i="7"/>
  <c r="E164" i="7"/>
  <c r="M164" i="7" s="1"/>
  <c r="A164" i="7"/>
  <c r="E163" i="7"/>
  <c r="A163" i="7"/>
  <c r="A161" i="7"/>
  <c r="B161" i="7" s="1"/>
  <c r="E160" i="7"/>
  <c r="M160" i="7" s="1"/>
  <c r="A160" i="7"/>
  <c r="E159" i="7"/>
  <c r="M159" i="7" s="1"/>
  <c r="A159" i="7"/>
  <c r="E158" i="7"/>
  <c r="M158" i="7" s="1"/>
  <c r="A158" i="7"/>
  <c r="E157" i="7"/>
  <c r="M157" i="7" s="1"/>
  <c r="A157" i="7"/>
  <c r="E156" i="7"/>
  <c r="M156" i="7" s="1"/>
  <c r="A156" i="7"/>
  <c r="E155" i="7"/>
  <c r="M155" i="7" s="1"/>
  <c r="A155" i="7"/>
  <c r="E154" i="7"/>
  <c r="M154" i="7" s="1"/>
  <c r="A154" i="7"/>
  <c r="E153" i="7"/>
  <c r="M153" i="7" s="1"/>
  <c r="A153" i="7"/>
  <c r="E152" i="7"/>
  <c r="M152" i="7" s="1"/>
  <c r="A152" i="7"/>
  <c r="E151" i="7"/>
  <c r="M151" i="7" s="1"/>
  <c r="A151" i="7"/>
  <c r="E150" i="7"/>
  <c r="M150" i="7" s="1"/>
  <c r="A150" i="7"/>
  <c r="E149" i="7"/>
  <c r="M149" i="7" s="1"/>
  <c r="A149" i="7"/>
  <c r="E148" i="7"/>
  <c r="M148" i="7" s="1"/>
  <c r="A148" i="7"/>
  <c r="E147" i="7"/>
  <c r="M147" i="7" s="1"/>
  <c r="A147" i="7"/>
  <c r="E146" i="7"/>
  <c r="M146" i="7" s="1"/>
  <c r="A146" i="7"/>
  <c r="E145" i="7"/>
  <c r="M145" i="7" s="1"/>
  <c r="A145" i="7"/>
  <c r="E144" i="7"/>
  <c r="M144" i="7" s="1"/>
  <c r="A144" i="7"/>
  <c r="E143" i="7"/>
  <c r="M143" i="7" s="1"/>
  <c r="A143" i="7"/>
  <c r="E142" i="7"/>
  <c r="M142" i="7" s="1"/>
  <c r="A142" i="7"/>
  <c r="E141" i="7"/>
  <c r="M141" i="7" s="1"/>
  <c r="A141" i="7"/>
  <c r="E140" i="7"/>
  <c r="M140" i="7" s="1"/>
  <c r="A140" i="7"/>
  <c r="E139" i="7"/>
  <c r="M139" i="7" s="1"/>
  <c r="A139" i="7"/>
  <c r="E138" i="7"/>
  <c r="M138" i="7" s="1"/>
  <c r="A138" i="7"/>
  <c r="E137" i="7"/>
  <c r="M137" i="7" s="1"/>
  <c r="A137" i="7"/>
  <c r="E136" i="7"/>
  <c r="M136" i="7" s="1"/>
  <c r="A136" i="7"/>
  <c r="E135" i="7"/>
  <c r="M135" i="7" s="1"/>
  <c r="A135" i="7"/>
  <c r="E134" i="7"/>
  <c r="M134" i="7" s="1"/>
  <c r="A134" i="7"/>
  <c r="E133" i="7"/>
  <c r="M133" i="7" s="1"/>
  <c r="A133" i="7"/>
  <c r="E132" i="7"/>
  <c r="M132" i="7" s="1"/>
  <c r="A132" i="7"/>
  <c r="E131" i="7"/>
  <c r="M131" i="7" s="1"/>
  <c r="A131" i="7"/>
  <c r="E130" i="7"/>
  <c r="M130" i="7" s="1"/>
  <c r="A130" i="7"/>
  <c r="E129" i="7"/>
  <c r="M129" i="7" s="1"/>
  <c r="A129" i="7"/>
  <c r="E128" i="7"/>
  <c r="M128" i="7" s="1"/>
  <c r="A128" i="7"/>
  <c r="E127" i="7"/>
  <c r="M127" i="7" s="1"/>
  <c r="A127" i="7"/>
  <c r="E126" i="7"/>
  <c r="M126" i="7" s="1"/>
  <c r="A126" i="7"/>
  <c r="E125" i="7"/>
  <c r="M125" i="7" s="1"/>
  <c r="A125" i="7"/>
  <c r="E124" i="7"/>
  <c r="M124" i="7" s="1"/>
  <c r="A124" i="7"/>
  <c r="E123" i="7"/>
  <c r="M123" i="7" s="1"/>
  <c r="A123" i="7"/>
  <c r="E122" i="7"/>
  <c r="M122" i="7" s="1"/>
  <c r="A122" i="7"/>
  <c r="E121" i="7"/>
  <c r="M121" i="7" s="1"/>
  <c r="A121" i="7"/>
  <c r="E120" i="7"/>
  <c r="M120" i="7" s="1"/>
  <c r="A120" i="7"/>
  <c r="E119" i="7"/>
  <c r="M119" i="7" s="1"/>
  <c r="A119" i="7"/>
  <c r="E118" i="7"/>
  <c r="M118" i="7" s="1"/>
  <c r="A118" i="7"/>
  <c r="E117" i="7"/>
  <c r="M117" i="7" s="1"/>
  <c r="A117" i="7"/>
  <c r="E116" i="7"/>
  <c r="M116" i="7" s="1"/>
  <c r="A116" i="7"/>
  <c r="E115" i="7"/>
  <c r="A115" i="7"/>
  <c r="E114" i="7"/>
  <c r="M114" i="7" s="1"/>
  <c r="A114" i="7"/>
  <c r="E113" i="7"/>
  <c r="M113" i="7" s="1"/>
  <c r="A113" i="7"/>
  <c r="E112" i="7"/>
  <c r="M112" i="7" s="1"/>
  <c r="A112" i="7"/>
  <c r="E111" i="7"/>
  <c r="M111" i="7" s="1"/>
  <c r="A111" i="7"/>
  <c r="A109" i="7"/>
  <c r="B109" i="7" s="1"/>
  <c r="E108" i="7"/>
  <c r="M108" i="7" s="1"/>
  <c r="A108" i="7"/>
  <c r="E107" i="7"/>
  <c r="M107" i="7" s="1"/>
  <c r="A107" i="7"/>
  <c r="E106" i="7"/>
  <c r="M106" i="7" s="1"/>
  <c r="A106" i="7"/>
  <c r="E105" i="7"/>
  <c r="M105" i="7" s="1"/>
  <c r="A105" i="7"/>
  <c r="E104" i="7"/>
  <c r="M104" i="7" s="1"/>
  <c r="A104" i="7"/>
  <c r="E103" i="7"/>
  <c r="M103" i="7" s="1"/>
  <c r="A103" i="7"/>
  <c r="E102" i="7"/>
  <c r="M102" i="7" s="1"/>
  <c r="A102" i="7"/>
  <c r="E101" i="7"/>
  <c r="M101" i="7" s="1"/>
  <c r="A101" i="7"/>
  <c r="E100" i="7"/>
  <c r="M100" i="7" s="1"/>
  <c r="A100" i="7"/>
  <c r="E99" i="7"/>
  <c r="M99" i="7" s="1"/>
  <c r="A99" i="7"/>
  <c r="E98" i="7"/>
  <c r="M98" i="7" s="1"/>
  <c r="A98" i="7"/>
  <c r="E97" i="7"/>
  <c r="M97" i="7" s="1"/>
  <c r="A97" i="7"/>
  <c r="E96" i="7"/>
  <c r="M96" i="7" s="1"/>
  <c r="A96" i="7"/>
  <c r="E95" i="7"/>
  <c r="M95" i="7" s="1"/>
  <c r="A95" i="7"/>
  <c r="E94" i="7"/>
  <c r="M94" i="7" s="1"/>
  <c r="A94" i="7"/>
  <c r="E93" i="7"/>
  <c r="M93" i="7" s="1"/>
  <c r="A93" i="7"/>
  <c r="E92" i="7"/>
  <c r="M92" i="7" s="1"/>
  <c r="A92" i="7"/>
  <c r="E91" i="7"/>
  <c r="M91" i="7" s="1"/>
  <c r="A91" i="7"/>
  <c r="E90" i="7"/>
  <c r="M90" i="7" s="1"/>
  <c r="A90" i="7"/>
  <c r="E89" i="7"/>
  <c r="M89" i="7" s="1"/>
  <c r="A89" i="7"/>
  <c r="E88" i="7"/>
  <c r="M88" i="7" s="1"/>
  <c r="A88" i="7"/>
  <c r="E87" i="7"/>
  <c r="M87" i="7" s="1"/>
  <c r="A87" i="7"/>
  <c r="E86" i="7"/>
  <c r="M86" i="7" s="1"/>
  <c r="A86" i="7"/>
  <c r="E85" i="7"/>
  <c r="M85" i="7" s="1"/>
  <c r="A85" i="7"/>
  <c r="E84" i="7"/>
  <c r="M84" i="7" s="1"/>
  <c r="A84" i="7"/>
  <c r="E83" i="7"/>
  <c r="M83" i="7" s="1"/>
  <c r="A83" i="7"/>
  <c r="E82" i="7"/>
  <c r="M82" i="7" s="1"/>
  <c r="A82" i="7"/>
  <c r="E81" i="7"/>
  <c r="M81" i="7" s="1"/>
  <c r="A81" i="7"/>
  <c r="E80" i="7"/>
  <c r="M80" i="7" s="1"/>
  <c r="A80" i="7"/>
  <c r="E79" i="7"/>
  <c r="M79" i="7" s="1"/>
  <c r="A79" i="7"/>
  <c r="E78" i="7"/>
  <c r="M78" i="7" s="1"/>
  <c r="A78" i="7"/>
  <c r="E77" i="7"/>
  <c r="M77" i="7" s="1"/>
  <c r="A77" i="7"/>
  <c r="E76" i="7"/>
  <c r="M76" i="7" s="1"/>
  <c r="A76" i="7"/>
  <c r="E75" i="7"/>
  <c r="M75" i="7" s="1"/>
  <c r="A75" i="7"/>
  <c r="E74" i="7"/>
  <c r="M74" i="7" s="1"/>
  <c r="A74" i="7"/>
  <c r="E73" i="7"/>
  <c r="M73" i="7" s="1"/>
  <c r="A73" i="7"/>
  <c r="E72" i="7"/>
  <c r="M72" i="7" s="1"/>
  <c r="A72" i="7"/>
  <c r="E71" i="7"/>
  <c r="M71" i="7" s="1"/>
  <c r="A71" i="7"/>
  <c r="E70" i="7"/>
  <c r="M70" i="7" s="1"/>
  <c r="A70" i="7"/>
  <c r="E69" i="7"/>
  <c r="M69" i="7" s="1"/>
  <c r="A69" i="7"/>
  <c r="E68" i="7"/>
  <c r="M68" i="7" s="1"/>
  <c r="A68" i="7"/>
  <c r="E67" i="7"/>
  <c r="M67" i="7" s="1"/>
  <c r="A67" i="7"/>
  <c r="E66" i="7"/>
  <c r="M66" i="7" s="1"/>
  <c r="A66" i="7"/>
  <c r="E65" i="7"/>
  <c r="M65" i="7" s="1"/>
  <c r="A65" i="7"/>
  <c r="E64" i="7"/>
  <c r="M64" i="7" s="1"/>
  <c r="A64" i="7"/>
  <c r="E63" i="7"/>
  <c r="M63" i="7" s="1"/>
  <c r="A63" i="7"/>
  <c r="E62" i="7"/>
  <c r="M62" i="7" s="1"/>
  <c r="A62" i="7"/>
  <c r="E61" i="7"/>
  <c r="M61" i="7" s="1"/>
  <c r="A61" i="7"/>
  <c r="E60" i="7"/>
  <c r="M60" i="7" s="1"/>
  <c r="A60" i="7"/>
  <c r="E59" i="7"/>
  <c r="M59" i="7" s="1"/>
  <c r="A59" i="7"/>
  <c r="A57" i="7"/>
  <c r="B57" i="7" s="1"/>
  <c r="E56" i="7"/>
  <c r="M56" i="7" s="1"/>
  <c r="A56" i="7"/>
  <c r="E55" i="7"/>
  <c r="M55" i="7" s="1"/>
  <c r="A55" i="7"/>
  <c r="E54" i="7"/>
  <c r="M54" i="7" s="1"/>
  <c r="A54" i="7"/>
  <c r="E53" i="7"/>
  <c r="M53" i="7" s="1"/>
  <c r="A53" i="7"/>
  <c r="E52" i="7"/>
  <c r="M52" i="7" s="1"/>
  <c r="A52" i="7"/>
  <c r="E51" i="7"/>
  <c r="M51" i="7" s="1"/>
  <c r="A51" i="7"/>
  <c r="E50" i="7"/>
  <c r="M50" i="7" s="1"/>
  <c r="A50" i="7"/>
  <c r="E49" i="7"/>
  <c r="M49" i="7" s="1"/>
  <c r="A49" i="7"/>
  <c r="E48" i="7"/>
  <c r="M48" i="7" s="1"/>
  <c r="A48" i="7"/>
  <c r="E47" i="7"/>
  <c r="M47" i="7" s="1"/>
  <c r="A47" i="7"/>
  <c r="E46" i="7"/>
  <c r="M46" i="7" s="1"/>
  <c r="A46" i="7"/>
  <c r="E45" i="7"/>
  <c r="M45" i="7" s="1"/>
  <c r="A45" i="7"/>
  <c r="E44" i="7"/>
  <c r="M44" i="7" s="1"/>
  <c r="A44" i="7"/>
  <c r="E43" i="7"/>
  <c r="M43" i="7" s="1"/>
  <c r="A43" i="7"/>
  <c r="E42" i="7"/>
  <c r="M42" i="7" s="1"/>
  <c r="A42" i="7"/>
  <c r="E41" i="7"/>
  <c r="M41" i="7" s="1"/>
  <c r="A41" i="7"/>
  <c r="E40" i="7"/>
  <c r="M40" i="7" s="1"/>
  <c r="A40" i="7"/>
  <c r="E39" i="7"/>
  <c r="M39" i="7" s="1"/>
  <c r="A39" i="7"/>
  <c r="E38" i="7"/>
  <c r="M38" i="7" s="1"/>
  <c r="A38" i="7"/>
  <c r="E37" i="7"/>
  <c r="M37" i="7" s="1"/>
  <c r="A37" i="7"/>
  <c r="E36" i="7"/>
  <c r="M36" i="7" s="1"/>
  <c r="A36" i="7"/>
  <c r="E35" i="7"/>
  <c r="M35" i="7" s="1"/>
  <c r="A35" i="7"/>
  <c r="E34" i="7"/>
  <c r="M34" i="7" s="1"/>
  <c r="A34" i="7"/>
  <c r="E33" i="7"/>
  <c r="M33" i="7" s="1"/>
  <c r="A33" i="7"/>
  <c r="E32" i="7"/>
  <c r="M32" i="7" s="1"/>
  <c r="A32" i="7"/>
  <c r="E31" i="7"/>
  <c r="M31" i="7" s="1"/>
  <c r="A31" i="7"/>
  <c r="E30" i="7"/>
  <c r="M30" i="7" s="1"/>
  <c r="A30" i="7"/>
  <c r="E29" i="7"/>
  <c r="M29" i="7" s="1"/>
  <c r="A29" i="7"/>
  <c r="E28" i="7"/>
  <c r="M28" i="7" s="1"/>
  <c r="A28" i="7"/>
  <c r="E27" i="7"/>
  <c r="M27" i="7" s="1"/>
  <c r="A27" i="7"/>
  <c r="E26" i="7"/>
  <c r="M26" i="7" s="1"/>
  <c r="A26" i="7"/>
  <c r="E25" i="7"/>
  <c r="M25" i="7" s="1"/>
  <c r="A25" i="7"/>
  <c r="E24" i="7"/>
  <c r="M24" i="7" s="1"/>
  <c r="A24" i="7"/>
  <c r="E23" i="7"/>
  <c r="M23" i="7" s="1"/>
  <c r="A23" i="7"/>
  <c r="E22" i="7"/>
  <c r="M22" i="7" s="1"/>
  <c r="A22" i="7"/>
  <c r="E21" i="7"/>
  <c r="M21" i="7" s="1"/>
  <c r="A21" i="7"/>
  <c r="E20" i="7"/>
  <c r="M20" i="7" s="1"/>
  <c r="A20" i="7"/>
  <c r="E19" i="7"/>
  <c r="M19" i="7" s="1"/>
  <c r="A19" i="7"/>
  <c r="E18" i="7"/>
  <c r="M18" i="7" s="1"/>
  <c r="A18" i="7"/>
  <c r="E17" i="7"/>
  <c r="M17" i="7" s="1"/>
  <c r="A17" i="7"/>
  <c r="E16" i="7"/>
  <c r="M16" i="7" s="1"/>
  <c r="A16" i="7"/>
  <c r="E15" i="7"/>
  <c r="M15" i="7" s="1"/>
  <c r="A15" i="7"/>
  <c r="E14" i="7"/>
  <c r="M14" i="7" s="1"/>
  <c r="A14" i="7"/>
  <c r="E13" i="7"/>
  <c r="M13" i="7" s="1"/>
  <c r="A13" i="7"/>
  <c r="E12" i="7"/>
  <c r="M12" i="7" s="1"/>
  <c r="A12" i="7"/>
  <c r="E11" i="7"/>
  <c r="M11" i="7" s="1"/>
  <c r="A11" i="7"/>
  <c r="E10" i="7"/>
  <c r="M10" i="7" s="1"/>
  <c r="A10" i="7"/>
  <c r="E9" i="7"/>
  <c r="M9" i="7" s="1"/>
  <c r="A9" i="7"/>
  <c r="E8" i="7"/>
  <c r="M8" i="7" s="1"/>
  <c r="A8" i="7"/>
  <c r="E7" i="7"/>
  <c r="M7" i="7" s="1"/>
  <c r="A7" i="7"/>
  <c r="A5" i="7"/>
  <c r="A219" i="6"/>
  <c r="A218" i="6"/>
  <c r="A217" i="6"/>
  <c r="A216" i="6"/>
  <c r="A214" i="6"/>
  <c r="A212" i="6"/>
  <c r="A211" i="6"/>
  <c r="A210" i="6"/>
  <c r="A209" i="6"/>
  <c r="A207" i="6"/>
  <c r="A205" i="6"/>
  <c r="A204" i="6"/>
  <c r="A203" i="6"/>
  <c r="A202" i="6"/>
  <c r="A200" i="6"/>
  <c r="A198" i="6"/>
  <c r="A197" i="6"/>
  <c r="A196" i="6"/>
  <c r="A195" i="6"/>
  <c r="A193" i="6"/>
  <c r="A191" i="6"/>
  <c r="A190" i="6"/>
  <c r="A189" i="6"/>
  <c r="A188" i="6"/>
  <c r="A186" i="6"/>
  <c r="A184" i="6"/>
  <c r="A183" i="6"/>
  <c r="A182" i="6"/>
  <c r="A181" i="6"/>
  <c r="A179" i="6"/>
  <c r="A177" i="6"/>
  <c r="A176" i="6"/>
  <c r="A175" i="6"/>
  <c r="A174" i="6"/>
  <c r="A172" i="6"/>
  <c r="A170" i="6"/>
  <c r="A169" i="6"/>
  <c r="A168" i="6"/>
  <c r="A167" i="6"/>
  <c r="A165" i="6"/>
  <c r="A163" i="6"/>
  <c r="A162" i="6"/>
  <c r="A161" i="6"/>
  <c r="A160" i="6"/>
  <c r="A158" i="6"/>
  <c r="A156" i="6"/>
  <c r="A155" i="6"/>
  <c r="A154" i="6"/>
  <c r="A153" i="6"/>
  <c r="A151" i="6"/>
  <c r="A149" i="6"/>
  <c r="A148" i="6"/>
  <c r="A147" i="6"/>
  <c r="A146" i="6"/>
  <c r="A144" i="6"/>
  <c r="A142" i="6"/>
  <c r="A141" i="6"/>
  <c r="A140" i="6"/>
  <c r="A139" i="6"/>
  <c r="A137" i="6"/>
  <c r="A135" i="6"/>
  <c r="A134" i="6"/>
  <c r="A133" i="6"/>
  <c r="A132" i="6"/>
  <c r="A130" i="6"/>
  <c r="A128" i="6"/>
  <c r="A127" i="6"/>
  <c r="A126" i="6"/>
  <c r="A125" i="6"/>
  <c r="A123" i="6"/>
  <c r="A121" i="6"/>
  <c r="A120" i="6"/>
  <c r="A119" i="6"/>
  <c r="A118" i="6"/>
  <c r="A116" i="6"/>
  <c r="A114" i="6"/>
  <c r="A113" i="6"/>
  <c r="A112" i="6"/>
  <c r="A111" i="6"/>
  <c r="A109" i="6"/>
  <c r="A107" i="6"/>
  <c r="A106" i="6"/>
  <c r="A105" i="6"/>
  <c r="A104" i="6"/>
  <c r="A102" i="6"/>
  <c r="A100" i="6"/>
  <c r="A99" i="6"/>
  <c r="A98" i="6"/>
  <c r="A97" i="6"/>
  <c r="A95" i="6"/>
  <c r="A93" i="6"/>
  <c r="A92" i="6"/>
  <c r="A91" i="6"/>
  <c r="A90" i="6"/>
  <c r="A88" i="6"/>
  <c r="A86" i="6"/>
  <c r="A85" i="6"/>
  <c r="A84" i="6"/>
  <c r="A83" i="6"/>
  <c r="A81" i="6"/>
  <c r="A79" i="6"/>
  <c r="A78" i="6"/>
  <c r="A77" i="6"/>
  <c r="A76" i="6"/>
  <c r="A74" i="6"/>
  <c r="A72" i="6"/>
  <c r="A71" i="6"/>
  <c r="A70" i="6"/>
  <c r="A69" i="6"/>
  <c r="A67" i="6"/>
  <c r="A65" i="6"/>
  <c r="A64" i="6"/>
  <c r="A63" i="6"/>
  <c r="A62" i="6"/>
  <c r="A60" i="6"/>
  <c r="A58" i="6"/>
  <c r="A57" i="6"/>
  <c r="A56" i="6"/>
  <c r="A55" i="6"/>
  <c r="A53" i="6"/>
  <c r="A51" i="6"/>
  <c r="A50" i="6"/>
  <c r="A49" i="6"/>
  <c r="A48" i="6"/>
  <c r="A46" i="6"/>
  <c r="A44" i="6"/>
  <c r="A43" i="6"/>
  <c r="A42" i="6"/>
  <c r="A41" i="6"/>
  <c r="A39" i="6"/>
  <c r="A37" i="6"/>
  <c r="A36" i="6"/>
  <c r="A35" i="6"/>
  <c r="A34" i="6"/>
  <c r="A32" i="6"/>
  <c r="A30" i="6"/>
  <c r="A29" i="6"/>
  <c r="A28" i="6"/>
  <c r="A27" i="6"/>
  <c r="A25" i="6"/>
  <c r="A23" i="6"/>
  <c r="A22" i="6"/>
  <c r="A21" i="6"/>
  <c r="A20" i="6"/>
  <c r="A18" i="6"/>
  <c r="A16" i="6"/>
  <c r="A15" i="6"/>
  <c r="A14" i="6"/>
  <c r="A13" i="6"/>
  <c r="A11" i="6"/>
  <c r="A9" i="6"/>
  <c r="A8" i="6"/>
  <c r="A7" i="6"/>
  <c r="A6" i="6"/>
  <c r="A4" i="6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G25" i="4"/>
  <c r="D25" i="4"/>
  <c r="A25" i="4"/>
  <c r="G19" i="4"/>
  <c r="D19" i="4"/>
  <c r="A19" i="4"/>
  <c r="G13" i="4"/>
  <c r="D13" i="4"/>
  <c r="A13" i="4"/>
  <c r="D7" i="4"/>
  <c r="A7" i="4"/>
  <c r="J19" i="3"/>
  <c r="C19" i="3" s="1"/>
  <c r="K19" i="3" s="1" a="1"/>
  <c r="K19" i="3" s="1"/>
  <c r="J18" i="3"/>
  <c r="G18" i="3" s="1"/>
  <c r="J17" i="3"/>
  <c r="G17" i="3" s="1"/>
  <c r="J16" i="3"/>
  <c r="G16" i="3" s="1"/>
  <c r="J15" i="3"/>
  <c r="J14" i="3"/>
  <c r="J13" i="3"/>
  <c r="J12" i="3"/>
  <c r="C12" i="3" s="1"/>
  <c r="K12" i="3" s="1" a="1"/>
  <c r="K12" i="3" s="1"/>
  <c r="J11" i="3"/>
  <c r="E11" i="3" s="1"/>
  <c r="L11" i="3" s="1"/>
  <c r="J10" i="3"/>
  <c r="F10" i="3" s="1"/>
  <c r="D27" i="4" s="1"/>
  <c r="J9" i="3"/>
  <c r="G9" i="3" s="1"/>
  <c r="N3203" i="2"/>
  <c r="M3203" i="2"/>
  <c r="L3203" i="2" a="1"/>
  <c r="L3203" i="2" s="1"/>
  <c r="K3203" i="2" a="1"/>
  <c r="K3203" i="2"/>
  <c r="J3203" i="2"/>
  <c r="B3203" i="2"/>
  <c r="N3202" i="2"/>
  <c r="M3202" i="2"/>
  <c r="L3202" i="2" a="1"/>
  <c r="L3202" i="2" s="1"/>
  <c r="K3202" i="2" a="1"/>
  <c r="K3202" i="2" s="1"/>
  <c r="J3202" i="2"/>
  <c r="B3202" i="2"/>
  <c r="N3201" i="2"/>
  <c r="M3201" i="2"/>
  <c r="L3201" i="2" a="1"/>
  <c r="L3201" i="2" s="1"/>
  <c r="K3201" i="2" a="1"/>
  <c r="K3201" i="2" s="1"/>
  <c r="J3201" i="2"/>
  <c r="B3201" i="2"/>
  <c r="N3200" i="2"/>
  <c r="M3200" i="2"/>
  <c r="L3200" i="2" a="1"/>
  <c r="L3200" i="2" s="1"/>
  <c r="K3200" i="2" a="1"/>
  <c r="K3200" i="2" s="1"/>
  <c r="J3200" i="2"/>
  <c r="B3200" i="2"/>
  <c r="N3199" i="2"/>
  <c r="M3199" i="2"/>
  <c r="L3199" i="2" a="1"/>
  <c r="L3199" i="2" s="1"/>
  <c r="K3199" i="2" a="1"/>
  <c r="K3199" i="2" s="1"/>
  <c r="J3199" i="2"/>
  <c r="B3199" i="2"/>
  <c r="N3198" i="2"/>
  <c r="M3198" i="2"/>
  <c r="L3198" i="2" a="1"/>
  <c r="L3198" i="2" s="1"/>
  <c r="K3198" i="2" a="1"/>
  <c r="K3198" i="2" s="1"/>
  <c r="J3198" i="2"/>
  <c r="B3198" i="2"/>
  <c r="N3197" i="2"/>
  <c r="M3197" i="2"/>
  <c r="L3197" i="2" a="1"/>
  <c r="L3197" i="2" s="1"/>
  <c r="K3197" i="2" a="1"/>
  <c r="K3197" i="2" s="1"/>
  <c r="J3197" i="2"/>
  <c r="B3197" i="2"/>
  <c r="N3196" i="2"/>
  <c r="M3196" i="2"/>
  <c r="L3196" i="2" a="1"/>
  <c r="L3196" i="2" s="1"/>
  <c r="K3196" i="2" a="1"/>
  <c r="K3196" i="2" s="1"/>
  <c r="J3196" i="2"/>
  <c r="B3196" i="2"/>
  <c r="N3195" i="2"/>
  <c r="M3195" i="2"/>
  <c r="L3195" i="2" a="1"/>
  <c r="L3195" i="2" s="1"/>
  <c r="K3195" i="2" a="1"/>
  <c r="K3195" i="2" s="1"/>
  <c r="J3195" i="2"/>
  <c r="B3195" i="2"/>
  <c r="N3194" i="2"/>
  <c r="M3194" i="2"/>
  <c r="L3194" i="2" a="1"/>
  <c r="L3194" i="2" s="1"/>
  <c r="K3194" i="2" a="1"/>
  <c r="K3194" i="2" s="1"/>
  <c r="J3194" i="2"/>
  <c r="B3194" i="2"/>
  <c r="N3193" i="2"/>
  <c r="M3193" i="2"/>
  <c r="L3193" i="2" a="1"/>
  <c r="L3193" i="2" s="1"/>
  <c r="K3193" i="2" a="1"/>
  <c r="K3193" i="2" s="1"/>
  <c r="J3193" i="2"/>
  <c r="B3193" i="2"/>
  <c r="N3192" i="2"/>
  <c r="M3192" i="2"/>
  <c r="L3192" i="2" a="1"/>
  <c r="L3192" i="2" s="1"/>
  <c r="K3192" i="2" a="1"/>
  <c r="K3192" i="2" s="1"/>
  <c r="J3192" i="2"/>
  <c r="B3192" i="2"/>
  <c r="N3191" i="2"/>
  <c r="M3191" i="2"/>
  <c r="L3191" i="2" a="1"/>
  <c r="L3191" i="2" s="1"/>
  <c r="K3191" i="2" a="1"/>
  <c r="K3191" i="2" s="1"/>
  <c r="J3191" i="2"/>
  <c r="B3191" i="2"/>
  <c r="N3190" i="2"/>
  <c r="M3190" i="2"/>
  <c r="L3190" i="2" a="1"/>
  <c r="L3190" i="2" s="1"/>
  <c r="K3190" i="2" a="1"/>
  <c r="K3190" i="2" s="1"/>
  <c r="J3190" i="2"/>
  <c r="B3190" i="2"/>
  <c r="N3189" i="2"/>
  <c r="M3189" i="2"/>
  <c r="L3189" i="2" a="1"/>
  <c r="L3189" i="2" s="1"/>
  <c r="K3189" i="2" a="1"/>
  <c r="K3189" i="2" s="1"/>
  <c r="J3189" i="2"/>
  <c r="B3189" i="2"/>
  <c r="N3188" i="2"/>
  <c r="M3188" i="2"/>
  <c r="L3188" i="2" a="1"/>
  <c r="L3188" i="2" s="1"/>
  <c r="K3188" i="2" a="1"/>
  <c r="K3188" i="2" s="1"/>
  <c r="J3188" i="2"/>
  <c r="B3188" i="2"/>
  <c r="N3187" i="2"/>
  <c r="M3187" i="2"/>
  <c r="L3187" i="2" a="1"/>
  <c r="L3187" i="2" s="1"/>
  <c r="K3187" i="2" a="1"/>
  <c r="K3187" i="2" s="1"/>
  <c r="J3187" i="2"/>
  <c r="B3187" i="2"/>
  <c r="N3186" i="2"/>
  <c r="M3186" i="2"/>
  <c r="L3186" i="2" a="1"/>
  <c r="L3186" i="2" s="1"/>
  <c r="K3186" i="2" a="1"/>
  <c r="K3186" i="2" s="1"/>
  <c r="J3186" i="2"/>
  <c r="B3186" i="2"/>
  <c r="N3185" i="2"/>
  <c r="M3185" i="2"/>
  <c r="L3185" i="2" a="1"/>
  <c r="L3185" i="2" s="1"/>
  <c r="K3185" i="2" a="1"/>
  <c r="K3185" i="2" s="1"/>
  <c r="J3185" i="2"/>
  <c r="B3185" i="2"/>
  <c r="N3184" i="2"/>
  <c r="M3184" i="2"/>
  <c r="L3184" i="2" a="1"/>
  <c r="L3184" i="2" s="1"/>
  <c r="K3184" i="2" a="1"/>
  <c r="K3184" i="2" s="1"/>
  <c r="J3184" i="2"/>
  <c r="B3184" i="2"/>
  <c r="N3183" i="2"/>
  <c r="M3183" i="2"/>
  <c r="L3183" i="2" a="1"/>
  <c r="L3183" i="2" s="1"/>
  <c r="K3183" i="2" a="1"/>
  <c r="K3183" i="2" s="1"/>
  <c r="J3183" i="2"/>
  <c r="B3183" i="2"/>
  <c r="N3182" i="2"/>
  <c r="M3182" i="2"/>
  <c r="L3182" i="2" a="1"/>
  <c r="L3182" i="2" s="1"/>
  <c r="K3182" i="2" a="1"/>
  <c r="K3182" i="2" s="1"/>
  <c r="J3182" i="2"/>
  <c r="B3182" i="2"/>
  <c r="N3181" i="2"/>
  <c r="M3181" i="2"/>
  <c r="L3181" i="2" a="1"/>
  <c r="L3181" i="2" s="1"/>
  <c r="K3181" i="2" a="1"/>
  <c r="K3181" i="2" s="1"/>
  <c r="J3181" i="2"/>
  <c r="B3181" i="2"/>
  <c r="N3180" i="2"/>
  <c r="M3180" i="2"/>
  <c r="L3180" i="2" a="1"/>
  <c r="L3180" i="2" s="1"/>
  <c r="K3180" i="2" a="1"/>
  <c r="K3180" i="2" s="1"/>
  <c r="J3180" i="2"/>
  <c r="B3180" i="2"/>
  <c r="N3179" i="2"/>
  <c r="M3179" i="2"/>
  <c r="L3179" i="2" a="1"/>
  <c r="L3179" i="2" s="1"/>
  <c r="K3179" i="2" a="1"/>
  <c r="K3179" i="2" s="1"/>
  <c r="J3179" i="2"/>
  <c r="B3179" i="2"/>
  <c r="N3178" i="2"/>
  <c r="M3178" i="2"/>
  <c r="L3178" i="2" a="1"/>
  <c r="L3178" i="2" s="1"/>
  <c r="K3178" i="2" a="1"/>
  <c r="K3178" i="2" s="1"/>
  <c r="J3178" i="2"/>
  <c r="B3178" i="2"/>
  <c r="N3177" i="2"/>
  <c r="M3177" i="2"/>
  <c r="L3177" i="2" a="1"/>
  <c r="L3177" i="2" s="1"/>
  <c r="K3177" i="2" a="1"/>
  <c r="K3177" i="2" s="1"/>
  <c r="J3177" i="2"/>
  <c r="B3177" i="2"/>
  <c r="N3176" i="2"/>
  <c r="M3176" i="2"/>
  <c r="L3176" i="2" a="1"/>
  <c r="L3176" i="2" s="1"/>
  <c r="K3176" i="2" a="1"/>
  <c r="K3176" i="2" s="1"/>
  <c r="J3176" i="2"/>
  <c r="B3176" i="2"/>
  <c r="N3175" i="2"/>
  <c r="M3175" i="2"/>
  <c r="L3175" i="2" a="1"/>
  <c r="L3175" i="2" s="1"/>
  <c r="K3175" i="2" a="1"/>
  <c r="K3175" i="2" s="1"/>
  <c r="J3175" i="2"/>
  <c r="B3175" i="2"/>
  <c r="N3174" i="2"/>
  <c r="M3174" i="2"/>
  <c r="L3174" i="2" a="1"/>
  <c r="L3174" i="2" s="1"/>
  <c r="K3174" i="2" a="1"/>
  <c r="K3174" i="2" s="1"/>
  <c r="J3174" i="2"/>
  <c r="B3174" i="2"/>
  <c r="N3173" i="2"/>
  <c r="M3173" i="2"/>
  <c r="L3173" i="2" a="1"/>
  <c r="L3173" i="2" s="1"/>
  <c r="K3173" i="2" a="1"/>
  <c r="K3173" i="2" s="1"/>
  <c r="J3173" i="2"/>
  <c r="B3173" i="2"/>
  <c r="N3172" i="2"/>
  <c r="M3172" i="2"/>
  <c r="L3172" i="2" a="1"/>
  <c r="L3172" i="2" s="1"/>
  <c r="K3172" i="2" a="1"/>
  <c r="K3172" i="2" s="1"/>
  <c r="J3172" i="2"/>
  <c r="B3172" i="2"/>
  <c r="N3171" i="2"/>
  <c r="M3171" i="2"/>
  <c r="L3171" i="2" a="1"/>
  <c r="L3171" i="2" s="1"/>
  <c r="K3171" i="2" a="1"/>
  <c r="K3171" i="2" s="1"/>
  <c r="J3171" i="2"/>
  <c r="B3171" i="2"/>
  <c r="N3170" i="2"/>
  <c r="M3170" i="2"/>
  <c r="L3170" i="2" a="1"/>
  <c r="L3170" i="2" s="1"/>
  <c r="K3170" i="2" a="1"/>
  <c r="K3170" i="2" s="1"/>
  <c r="J3170" i="2"/>
  <c r="B3170" i="2"/>
  <c r="N3169" i="2"/>
  <c r="M3169" i="2"/>
  <c r="L3169" i="2" a="1"/>
  <c r="L3169" i="2" s="1"/>
  <c r="K3169" i="2" a="1"/>
  <c r="K3169" i="2" s="1"/>
  <c r="J3169" i="2"/>
  <c r="B3169" i="2"/>
  <c r="N3168" i="2"/>
  <c r="M3168" i="2"/>
  <c r="L3168" i="2" a="1"/>
  <c r="L3168" i="2" s="1"/>
  <c r="K3168" i="2" a="1"/>
  <c r="K3168" i="2" s="1"/>
  <c r="J3168" i="2"/>
  <c r="B3168" i="2"/>
  <c r="N3167" i="2"/>
  <c r="M3167" i="2"/>
  <c r="L3167" i="2" a="1"/>
  <c r="L3167" i="2" s="1"/>
  <c r="K3167" i="2" a="1"/>
  <c r="K3167" i="2" s="1"/>
  <c r="J3167" i="2"/>
  <c r="B3167" i="2"/>
  <c r="N3166" i="2"/>
  <c r="M3166" i="2"/>
  <c r="L3166" i="2" a="1"/>
  <c r="L3166" i="2" s="1"/>
  <c r="K3166" i="2" a="1"/>
  <c r="K3166" i="2" s="1"/>
  <c r="J3166" i="2"/>
  <c r="B3166" i="2"/>
  <c r="N3165" i="2"/>
  <c r="M3165" i="2"/>
  <c r="L3165" i="2" a="1"/>
  <c r="L3165" i="2" s="1"/>
  <c r="K3165" i="2" a="1"/>
  <c r="K3165" i="2" s="1"/>
  <c r="J3165" i="2"/>
  <c r="B3165" i="2"/>
  <c r="N3164" i="2"/>
  <c r="M3164" i="2"/>
  <c r="L3164" i="2" a="1"/>
  <c r="L3164" i="2" s="1"/>
  <c r="K3164" i="2" a="1"/>
  <c r="K3164" i="2" s="1"/>
  <c r="J3164" i="2"/>
  <c r="B3164" i="2"/>
  <c r="N3163" i="2"/>
  <c r="M3163" i="2"/>
  <c r="L3163" i="2" a="1"/>
  <c r="L3163" i="2" s="1"/>
  <c r="K3163" i="2" a="1"/>
  <c r="K3163" i="2" s="1"/>
  <c r="J3163" i="2"/>
  <c r="B3163" i="2"/>
  <c r="N3162" i="2"/>
  <c r="M3162" i="2"/>
  <c r="L3162" i="2" a="1"/>
  <c r="L3162" i="2" s="1"/>
  <c r="K3162" i="2" a="1"/>
  <c r="K3162" i="2" s="1"/>
  <c r="J3162" i="2"/>
  <c r="B3162" i="2"/>
  <c r="N3161" i="2"/>
  <c r="M3161" i="2"/>
  <c r="L3161" i="2" a="1"/>
  <c r="L3161" i="2" s="1"/>
  <c r="K3161" i="2" a="1"/>
  <c r="K3161" i="2" s="1"/>
  <c r="J3161" i="2"/>
  <c r="B3161" i="2"/>
  <c r="N3160" i="2"/>
  <c r="M3160" i="2"/>
  <c r="L3160" i="2" a="1"/>
  <c r="L3160" i="2" s="1"/>
  <c r="K3160" i="2" a="1"/>
  <c r="K3160" i="2" s="1"/>
  <c r="J3160" i="2"/>
  <c r="B3160" i="2"/>
  <c r="N3159" i="2"/>
  <c r="M3159" i="2"/>
  <c r="L3159" i="2" a="1"/>
  <c r="L3159" i="2" s="1"/>
  <c r="K3159" i="2" a="1"/>
  <c r="K3159" i="2" s="1"/>
  <c r="J3159" i="2"/>
  <c r="B3159" i="2"/>
  <c r="N3158" i="2"/>
  <c r="M3158" i="2"/>
  <c r="L3158" i="2" a="1"/>
  <c r="L3158" i="2" s="1"/>
  <c r="K3158" i="2" a="1"/>
  <c r="K3158" i="2" s="1"/>
  <c r="J3158" i="2"/>
  <c r="B3158" i="2"/>
  <c r="N3157" i="2"/>
  <c r="M3157" i="2"/>
  <c r="L3157" i="2" a="1"/>
  <c r="L3157" i="2" s="1"/>
  <c r="K3157" i="2" a="1"/>
  <c r="K3157" i="2" s="1"/>
  <c r="J3157" i="2"/>
  <c r="B3157" i="2"/>
  <c r="N3156" i="2"/>
  <c r="M3156" i="2"/>
  <c r="L3156" i="2" a="1"/>
  <c r="L3156" i="2" s="1"/>
  <c r="K3156" i="2" a="1"/>
  <c r="K3156" i="2" s="1"/>
  <c r="J3156" i="2"/>
  <c r="B3156" i="2"/>
  <c r="N3155" i="2"/>
  <c r="M3155" i="2"/>
  <c r="L3155" i="2" a="1"/>
  <c r="L3155" i="2" s="1"/>
  <c r="K3155" i="2" a="1"/>
  <c r="K3155" i="2" s="1"/>
  <c r="J3155" i="2"/>
  <c r="B3155" i="2"/>
  <c r="N3154" i="2"/>
  <c r="M3154" i="2"/>
  <c r="L3154" i="2" a="1"/>
  <c r="L3154" i="2" s="1"/>
  <c r="K3154" i="2" a="1"/>
  <c r="K3154" i="2" s="1"/>
  <c r="J3154" i="2"/>
  <c r="B3154" i="2"/>
  <c r="N3153" i="2"/>
  <c r="M3153" i="2"/>
  <c r="L3153" i="2" a="1"/>
  <c r="L3153" i="2" s="1"/>
  <c r="K3153" i="2" a="1"/>
  <c r="K3153" i="2" s="1"/>
  <c r="J3153" i="2"/>
  <c r="B3153" i="2"/>
  <c r="N3152" i="2"/>
  <c r="M3152" i="2"/>
  <c r="L3152" i="2" a="1"/>
  <c r="L3152" i="2" s="1"/>
  <c r="K3152" i="2" a="1"/>
  <c r="K3152" i="2" s="1"/>
  <c r="J3152" i="2"/>
  <c r="B3152" i="2"/>
  <c r="N3151" i="2"/>
  <c r="M3151" i="2"/>
  <c r="L3151" i="2" a="1"/>
  <c r="L3151" i="2" s="1"/>
  <c r="K3151" i="2" a="1"/>
  <c r="K3151" i="2" s="1"/>
  <c r="J3151" i="2"/>
  <c r="B3151" i="2"/>
  <c r="N3150" i="2"/>
  <c r="M3150" i="2"/>
  <c r="L3150" i="2" a="1"/>
  <c r="L3150" i="2" s="1"/>
  <c r="K3150" i="2" a="1"/>
  <c r="K3150" i="2" s="1"/>
  <c r="J3150" i="2"/>
  <c r="B3150" i="2"/>
  <c r="N3149" i="2"/>
  <c r="M3149" i="2"/>
  <c r="L3149" i="2" a="1"/>
  <c r="L3149" i="2" s="1"/>
  <c r="K3149" i="2" a="1"/>
  <c r="K3149" i="2" s="1"/>
  <c r="J3149" i="2"/>
  <c r="B3149" i="2"/>
  <c r="N3148" i="2"/>
  <c r="M3148" i="2"/>
  <c r="L3148" i="2" a="1"/>
  <c r="L3148" i="2" s="1"/>
  <c r="K3148" i="2" a="1"/>
  <c r="K3148" i="2" s="1"/>
  <c r="J3148" i="2"/>
  <c r="B3148" i="2"/>
  <c r="N3147" i="2"/>
  <c r="M3147" i="2"/>
  <c r="L3147" i="2" a="1"/>
  <c r="L3147" i="2" s="1"/>
  <c r="K3147" i="2" a="1"/>
  <c r="K3147" i="2" s="1"/>
  <c r="J3147" i="2"/>
  <c r="B3147" i="2"/>
  <c r="N3146" i="2"/>
  <c r="M3146" i="2"/>
  <c r="L3146" i="2" a="1"/>
  <c r="L3146" i="2" s="1"/>
  <c r="K3146" i="2" a="1"/>
  <c r="K3146" i="2" s="1"/>
  <c r="J3146" i="2"/>
  <c r="B3146" i="2"/>
  <c r="N3145" i="2"/>
  <c r="M3145" i="2"/>
  <c r="L3145" i="2" a="1"/>
  <c r="L3145" i="2" s="1"/>
  <c r="K3145" i="2" a="1"/>
  <c r="K3145" i="2" s="1"/>
  <c r="J3145" i="2"/>
  <c r="B3145" i="2"/>
  <c r="N3144" i="2"/>
  <c r="M3144" i="2"/>
  <c r="L3144" i="2" a="1"/>
  <c r="L3144" i="2" s="1"/>
  <c r="K3144" i="2" a="1"/>
  <c r="K3144" i="2" s="1"/>
  <c r="J3144" i="2"/>
  <c r="B3144" i="2"/>
  <c r="N3143" i="2"/>
  <c r="M3143" i="2"/>
  <c r="L3143" i="2" a="1"/>
  <c r="L3143" i="2" s="1"/>
  <c r="K3143" i="2" a="1"/>
  <c r="K3143" i="2" s="1"/>
  <c r="J3143" i="2"/>
  <c r="B3143" i="2"/>
  <c r="N3142" i="2"/>
  <c r="M3142" i="2"/>
  <c r="L3142" i="2" a="1"/>
  <c r="L3142" i="2" s="1"/>
  <c r="K3142" i="2" a="1"/>
  <c r="K3142" i="2" s="1"/>
  <c r="J3142" i="2"/>
  <c r="B3142" i="2"/>
  <c r="N3141" i="2"/>
  <c r="M3141" i="2"/>
  <c r="L3141" i="2" a="1"/>
  <c r="L3141" i="2" s="1"/>
  <c r="K3141" i="2" a="1"/>
  <c r="K3141" i="2" s="1"/>
  <c r="J3141" i="2"/>
  <c r="B3141" i="2"/>
  <c r="N3140" i="2"/>
  <c r="M3140" i="2"/>
  <c r="L3140" i="2" a="1"/>
  <c r="L3140" i="2" s="1"/>
  <c r="K3140" i="2" a="1"/>
  <c r="K3140" i="2" s="1"/>
  <c r="J3140" i="2"/>
  <c r="B3140" i="2"/>
  <c r="N3139" i="2"/>
  <c r="M3139" i="2"/>
  <c r="L3139" i="2" a="1"/>
  <c r="L3139" i="2" s="1"/>
  <c r="K3139" i="2" a="1"/>
  <c r="K3139" i="2" s="1"/>
  <c r="J3139" i="2"/>
  <c r="B3139" i="2"/>
  <c r="N3138" i="2"/>
  <c r="M3138" i="2"/>
  <c r="L3138" i="2" a="1"/>
  <c r="L3138" i="2" s="1"/>
  <c r="K3138" i="2" a="1"/>
  <c r="K3138" i="2" s="1"/>
  <c r="J3138" i="2"/>
  <c r="B3138" i="2"/>
  <c r="N3137" i="2"/>
  <c r="M3137" i="2"/>
  <c r="L3137" i="2" a="1"/>
  <c r="L3137" i="2" s="1"/>
  <c r="K3137" i="2" a="1"/>
  <c r="K3137" i="2" s="1"/>
  <c r="J3137" i="2"/>
  <c r="B3137" i="2"/>
  <c r="N3136" i="2"/>
  <c r="M3136" i="2"/>
  <c r="L3136" i="2" a="1"/>
  <c r="L3136" i="2" s="1"/>
  <c r="K3136" i="2" a="1"/>
  <c r="K3136" i="2" s="1"/>
  <c r="J3136" i="2"/>
  <c r="B3136" i="2"/>
  <c r="N3135" i="2"/>
  <c r="M3135" i="2"/>
  <c r="L3135" i="2" a="1"/>
  <c r="L3135" i="2" s="1"/>
  <c r="K3135" i="2" a="1"/>
  <c r="K3135" i="2" s="1"/>
  <c r="J3135" i="2"/>
  <c r="B3135" i="2"/>
  <c r="N3134" i="2"/>
  <c r="M3134" i="2"/>
  <c r="L3134" i="2" a="1"/>
  <c r="L3134" i="2" s="1"/>
  <c r="K3134" i="2" a="1"/>
  <c r="K3134" i="2" s="1"/>
  <c r="J3134" i="2"/>
  <c r="B3134" i="2"/>
  <c r="N3133" i="2"/>
  <c r="M3133" i="2"/>
  <c r="L3133" i="2" a="1"/>
  <c r="L3133" i="2" s="1"/>
  <c r="K3133" i="2" a="1"/>
  <c r="K3133" i="2" s="1"/>
  <c r="J3133" i="2"/>
  <c r="B3133" i="2"/>
  <c r="N3132" i="2"/>
  <c r="M3132" i="2"/>
  <c r="L3132" i="2" a="1"/>
  <c r="L3132" i="2" s="1"/>
  <c r="K3132" i="2" a="1"/>
  <c r="K3132" i="2" s="1"/>
  <c r="J3132" i="2"/>
  <c r="B3132" i="2"/>
  <c r="N3131" i="2"/>
  <c r="M3131" i="2"/>
  <c r="L3131" i="2" a="1"/>
  <c r="L3131" i="2" s="1"/>
  <c r="K3131" i="2" a="1"/>
  <c r="K3131" i="2" s="1"/>
  <c r="J3131" i="2"/>
  <c r="B3131" i="2"/>
  <c r="N3130" i="2"/>
  <c r="M3130" i="2"/>
  <c r="L3130" i="2" a="1"/>
  <c r="L3130" i="2" s="1"/>
  <c r="K3130" i="2" a="1"/>
  <c r="K3130" i="2" s="1"/>
  <c r="J3130" i="2"/>
  <c r="B3130" i="2"/>
  <c r="N3129" i="2"/>
  <c r="M3129" i="2"/>
  <c r="L3129" i="2" a="1"/>
  <c r="L3129" i="2" s="1"/>
  <c r="K3129" i="2" a="1"/>
  <c r="K3129" i="2" s="1"/>
  <c r="J3129" i="2"/>
  <c r="B3129" i="2"/>
  <c r="N3128" i="2"/>
  <c r="M3128" i="2"/>
  <c r="L3128" i="2" a="1"/>
  <c r="L3128" i="2" s="1"/>
  <c r="K3128" i="2" a="1"/>
  <c r="K3128" i="2" s="1"/>
  <c r="J3128" i="2"/>
  <c r="B3128" i="2"/>
  <c r="N3127" i="2"/>
  <c r="M3127" i="2"/>
  <c r="L3127" i="2" a="1"/>
  <c r="L3127" i="2" s="1"/>
  <c r="K3127" i="2" a="1"/>
  <c r="K3127" i="2" s="1"/>
  <c r="J3127" i="2"/>
  <c r="B3127" i="2"/>
  <c r="N3126" i="2"/>
  <c r="M3126" i="2"/>
  <c r="L3126" i="2" a="1"/>
  <c r="L3126" i="2" s="1"/>
  <c r="K3126" i="2" a="1"/>
  <c r="K3126" i="2" s="1"/>
  <c r="J3126" i="2"/>
  <c r="B3126" i="2"/>
  <c r="N3125" i="2"/>
  <c r="M3125" i="2"/>
  <c r="L3125" i="2" a="1"/>
  <c r="L3125" i="2" s="1"/>
  <c r="K3125" i="2" a="1"/>
  <c r="K3125" i="2" s="1"/>
  <c r="J3125" i="2"/>
  <c r="B3125" i="2"/>
  <c r="N3124" i="2"/>
  <c r="M3124" i="2"/>
  <c r="L3124" i="2" a="1"/>
  <c r="L3124" i="2" s="1"/>
  <c r="K3124" i="2" a="1"/>
  <c r="K3124" i="2" s="1"/>
  <c r="J3124" i="2"/>
  <c r="B3124" i="2"/>
  <c r="N3123" i="2"/>
  <c r="M3123" i="2"/>
  <c r="L3123" i="2" a="1"/>
  <c r="L3123" i="2" s="1"/>
  <c r="K3123" i="2" a="1"/>
  <c r="K3123" i="2" s="1"/>
  <c r="J3123" i="2"/>
  <c r="B3123" i="2"/>
  <c r="N3122" i="2"/>
  <c r="M3122" i="2"/>
  <c r="L3122" i="2" a="1"/>
  <c r="L3122" i="2" s="1"/>
  <c r="K3122" i="2" a="1"/>
  <c r="K3122" i="2" s="1"/>
  <c r="J3122" i="2"/>
  <c r="B3122" i="2"/>
  <c r="N3121" i="2"/>
  <c r="M3121" i="2"/>
  <c r="L3121" i="2" a="1"/>
  <c r="L3121" i="2" s="1"/>
  <c r="K3121" i="2" a="1"/>
  <c r="K3121" i="2" s="1"/>
  <c r="J3121" i="2"/>
  <c r="B3121" i="2"/>
  <c r="N3120" i="2"/>
  <c r="M3120" i="2"/>
  <c r="L3120" i="2" a="1"/>
  <c r="L3120" i="2" s="1"/>
  <c r="K3120" i="2" a="1"/>
  <c r="K3120" i="2" s="1"/>
  <c r="J3120" i="2"/>
  <c r="B3120" i="2"/>
  <c r="N3119" i="2"/>
  <c r="M3119" i="2"/>
  <c r="L3119" i="2" a="1"/>
  <c r="L3119" i="2" s="1"/>
  <c r="K3119" i="2" a="1"/>
  <c r="K3119" i="2" s="1"/>
  <c r="J3119" i="2"/>
  <c r="B3119" i="2"/>
  <c r="N3118" i="2"/>
  <c r="M3118" i="2"/>
  <c r="L3118" i="2" a="1"/>
  <c r="L3118" i="2" s="1"/>
  <c r="K3118" i="2" a="1"/>
  <c r="K3118" i="2" s="1"/>
  <c r="J3118" i="2"/>
  <c r="B3118" i="2"/>
  <c r="N3117" i="2"/>
  <c r="M3117" i="2"/>
  <c r="L3117" i="2" a="1"/>
  <c r="L3117" i="2" s="1"/>
  <c r="K3117" i="2" a="1"/>
  <c r="K3117" i="2" s="1"/>
  <c r="J3117" i="2"/>
  <c r="B3117" i="2"/>
  <c r="N3116" i="2"/>
  <c r="M3116" i="2"/>
  <c r="L3116" i="2" a="1"/>
  <c r="L3116" i="2" s="1"/>
  <c r="K3116" i="2" a="1"/>
  <c r="K3116" i="2" s="1"/>
  <c r="J3116" i="2"/>
  <c r="B3116" i="2"/>
  <c r="N3115" i="2"/>
  <c r="M3115" i="2"/>
  <c r="L3115" i="2" a="1"/>
  <c r="L3115" i="2" s="1"/>
  <c r="K3115" i="2" a="1"/>
  <c r="K3115" i="2" s="1"/>
  <c r="J3115" i="2"/>
  <c r="B3115" i="2"/>
  <c r="N3114" i="2"/>
  <c r="M3114" i="2"/>
  <c r="L3114" i="2" a="1"/>
  <c r="L3114" i="2" s="1"/>
  <c r="K3114" i="2" a="1"/>
  <c r="K3114" i="2" s="1"/>
  <c r="J3114" i="2"/>
  <c r="B3114" i="2"/>
  <c r="N3113" i="2"/>
  <c r="M3113" i="2"/>
  <c r="L3113" i="2" a="1"/>
  <c r="L3113" i="2" s="1"/>
  <c r="K3113" i="2" a="1"/>
  <c r="K3113" i="2" s="1"/>
  <c r="J3113" i="2"/>
  <c r="B3113" i="2"/>
  <c r="N3112" i="2"/>
  <c r="M3112" i="2"/>
  <c r="L3112" i="2" a="1"/>
  <c r="L3112" i="2" s="1"/>
  <c r="K3112" i="2" a="1"/>
  <c r="K3112" i="2" s="1"/>
  <c r="J3112" i="2"/>
  <c r="B3112" i="2"/>
  <c r="W3111" i="2"/>
  <c r="V3111" i="2"/>
  <c r="N3111" i="2"/>
  <c r="M3111" i="2"/>
  <c r="L3111" i="2" a="1"/>
  <c r="L3111" i="2" s="1"/>
  <c r="K3111" i="2" a="1"/>
  <c r="K3111" i="2" s="1"/>
  <c r="J3111" i="2"/>
  <c r="B3111" i="2"/>
  <c r="X3110" i="2"/>
  <c r="V3110" i="2"/>
  <c r="N3110" i="2"/>
  <c r="M3110" i="2"/>
  <c r="L3110" i="2" a="1"/>
  <c r="L3110" i="2" s="1"/>
  <c r="K3110" i="2" a="1"/>
  <c r="K3110" i="2" s="1"/>
  <c r="J3110" i="2"/>
  <c r="B3110" i="2"/>
  <c r="X3109" i="2"/>
  <c r="V3109" i="2"/>
  <c r="N3109" i="2"/>
  <c r="M3109" i="2"/>
  <c r="L3109" i="2" a="1"/>
  <c r="L3109" i="2" s="1"/>
  <c r="K3109" i="2" a="1"/>
  <c r="K3109" i="2" s="1"/>
  <c r="J3109" i="2"/>
  <c r="B3109" i="2"/>
  <c r="X3108" i="2"/>
  <c r="V3108" i="2"/>
  <c r="N3108" i="2"/>
  <c r="M3108" i="2"/>
  <c r="L3108" i="2" a="1"/>
  <c r="L3108" i="2" s="1"/>
  <c r="K3108" i="2" a="1"/>
  <c r="K3108" i="2" s="1"/>
  <c r="J3108" i="2"/>
  <c r="B3108" i="2"/>
  <c r="X3107" i="2"/>
  <c r="V3107" i="2"/>
  <c r="N3107" i="2"/>
  <c r="M3107" i="2"/>
  <c r="L3107" i="2" a="1"/>
  <c r="L3107" i="2" s="1"/>
  <c r="K3107" i="2" a="1"/>
  <c r="K3107" i="2" s="1"/>
  <c r="J3107" i="2"/>
  <c r="B3107" i="2"/>
  <c r="X3106" i="2"/>
  <c r="V3106" i="2"/>
  <c r="N3106" i="2"/>
  <c r="M3106" i="2"/>
  <c r="L3106" i="2" a="1"/>
  <c r="L3106" i="2" s="1"/>
  <c r="K3106" i="2" a="1"/>
  <c r="K3106" i="2" s="1"/>
  <c r="J3106" i="2"/>
  <c r="B3106" i="2"/>
  <c r="X3105" i="2"/>
  <c r="V3105" i="2"/>
  <c r="N3105" i="2"/>
  <c r="M3105" i="2"/>
  <c r="L3105" i="2" a="1"/>
  <c r="L3105" i="2" s="1"/>
  <c r="K3105" i="2" a="1"/>
  <c r="K3105" i="2" s="1"/>
  <c r="J3105" i="2"/>
  <c r="B3105" i="2"/>
  <c r="X3104" i="2"/>
  <c r="V3104" i="2"/>
  <c r="N3104" i="2"/>
  <c r="M3104" i="2"/>
  <c r="L3104" i="2" a="1"/>
  <c r="L3104" i="2" s="1"/>
  <c r="K3104" i="2" a="1"/>
  <c r="K3104" i="2" s="1"/>
  <c r="J3104" i="2"/>
  <c r="B3104" i="2"/>
  <c r="U3103" i="2"/>
  <c r="A3102" i="2"/>
  <c r="J3101" i="2"/>
  <c r="N3100" i="2"/>
  <c r="M3100" i="2"/>
  <c r="L3100" i="2" a="1"/>
  <c r="L3100" i="2" s="1"/>
  <c r="K3100" i="2" a="1"/>
  <c r="K3100" i="2" s="1"/>
  <c r="J3100" i="2"/>
  <c r="B3100" i="2"/>
  <c r="N3099" i="2"/>
  <c r="M3099" i="2"/>
  <c r="L3099" i="2" a="1"/>
  <c r="L3099" i="2" s="1"/>
  <c r="K3099" i="2" a="1"/>
  <c r="K3099" i="2" s="1"/>
  <c r="J3099" i="2"/>
  <c r="B3099" i="2"/>
  <c r="N3098" i="2"/>
  <c r="M3098" i="2"/>
  <c r="L3098" i="2" a="1"/>
  <c r="L3098" i="2" s="1"/>
  <c r="K3098" i="2" a="1"/>
  <c r="K3098" i="2" s="1"/>
  <c r="J3098" i="2"/>
  <c r="B3098" i="2"/>
  <c r="N3097" i="2"/>
  <c r="M3097" i="2"/>
  <c r="L3097" i="2" a="1"/>
  <c r="L3097" i="2" s="1"/>
  <c r="K3097" i="2" a="1"/>
  <c r="K3097" i="2" s="1"/>
  <c r="J3097" i="2"/>
  <c r="B3097" i="2"/>
  <c r="N3096" i="2"/>
  <c r="M3096" i="2"/>
  <c r="L3096" i="2" a="1"/>
  <c r="L3096" i="2" s="1"/>
  <c r="K3096" i="2" a="1"/>
  <c r="K3096" i="2"/>
  <c r="J3096" i="2"/>
  <c r="B3096" i="2"/>
  <c r="N3095" i="2"/>
  <c r="M3095" i="2"/>
  <c r="L3095" i="2" a="1"/>
  <c r="L3095" i="2" s="1"/>
  <c r="K3095" i="2" a="1"/>
  <c r="K3095" i="2" s="1"/>
  <c r="J3095" i="2"/>
  <c r="B3095" i="2"/>
  <c r="N3094" i="2"/>
  <c r="M3094" i="2"/>
  <c r="L3094" i="2" a="1"/>
  <c r="L3094" i="2" s="1"/>
  <c r="K3094" i="2" a="1"/>
  <c r="K3094" i="2" s="1"/>
  <c r="J3094" i="2"/>
  <c r="B3094" i="2"/>
  <c r="N3093" i="2"/>
  <c r="M3093" i="2"/>
  <c r="L3093" i="2" a="1"/>
  <c r="L3093" i="2" s="1"/>
  <c r="K3093" i="2" a="1"/>
  <c r="K3093" i="2" s="1"/>
  <c r="J3093" i="2"/>
  <c r="B3093" i="2"/>
  <c r="N3092" i="2"/>
  <c r="M3092" i="2"/>
  <c r="L3092" i="2" a="1"/>
  <c r="L3092" i="2" s="1"/>
  <c r="K3092" i="2" a="1"/>
  <c r="K3092" i="2" s="1"/>
  <c r="J3092" i="2"/>
  <c r="B3092" i="2"/>
  <c r="N3091" i="2"/>
  <c r="M3091" i="2"/>
  <c r="L3091" i="2" a="1"/>
  <c r="L3091" i="2" s="1"/>
  <c r="K3091" i="2" a="1"/>
  <c r="K3091" i="2" s="1"/>
  <c r="J3091" i="2"/>
  <c r="B3091" i="2"/>
  <c r="N3090" i="2"/>
  <c r="M3090" i="2"/>
  <c r="L3090" i="2" a="1"/>
  <c r="L3090" i="2" s="1"/>
  <c r="K3090" i="2" a="1"/>
  <c r="K3090" i="2" s="1"/>
  <c r="J3090" i="2"/>
  <c r="B3090" i="2"/>
  <c r="N3089" i="2"/>
  <c r="M3089" i="2"/>
  <c r="L3089" i="2" a="1"/>
  <c r="L3089" i="2" s="1"/>
  <c r="K3089" i="2" a="1"/>
  <c r="K3089" i="2" s="1"/>
  <c r="J3089" i="2"/>
  <c r="B3089" i="2"/>
  <c r="N3088" i="2"/>
  <c r="M3088" i="2"/>
  <c r="L3088" i="2" a="1"/>
  <c r="L3088" i="2" s="1"/>
  <c r="K3088" i="2" a="1"/>
  <c r="K3088" i="2" s="1"/>
  <c r="J3088" i="2"/>
  <c r="B3088" i="2"/>
  <c r="N3087" i="2"/>
  <c r="M3087" i="2"/>
  <c r="L3087" i="2" a="1"/>
  <c r="L3087" i="2" s="1"/>
  <c r="K3087" i="2" a="1"/>
  <c r="K3087" i="2" s="1"/>
  <c r="J3087" i="2"/>
  <c r="B3087" i="2"/>
  <c r="N3086" i="2"/>
  <c r="M3086" i="2"/>
  <c r="L3086" i="2" a="1"/>
  <c r="L3086" i="2" s="1"/>
  <c r="K3086" i="2" a="1"/>
  <c r="K3086" i="2" s="1"/>
  <c r="J3086" i="2"/>
  <c r="B3086" i="2"/>
  <c r="N3085" i="2"/>
  <c r="M3085" i="2"/>
  <c r="L3085" i="2" a="1"/>
  <c r="L3085" i="2" s="1"/>
  <c r="K3085" i="2" a="1"/>
  <c r="K3085" i="2" s="1"/>
  <c r="J3085" i="2"/>
  <c r="B3085" i="2"/>
  <c r="N3084" i="2"/>
  <c r="M3084" i="2"/>
  <c r="L3084" i="2" a="1"/>
  <c r="L3084" i="2" s="1"/>
  <c r="K3084" i="2" a="1"/>
  <c r="K3084" i="2" s="1"/>
  <c r="J3084" i="2"/>
  <c r="B3084" i="2"/>
  <c r="N3083" i="2"/>
  <c r="M3083" i="2"/>
  <c r="L3083" i="2" a="1"/>
  <c r="L3083" i="2" s="1"/>
  <c r="K3083" i="2" a="1"/>
  <c r="K3083" i="2" s="1"/>
  <c r="J3083" i="2"/>
  <c r="B3083" i="2"/>
  <c r="N3082" i="2"/>
  <c r="M3082" i="2"/>
  <c r="L3082" i="2" a="1"/>
  <c r="L3082" i="2" s="1"/>
  <c r="K3082" i="2" a="1"/>
  <c r="K3082" i="2" s="1"/>
  <c r="J3082" i="2"/>
  <c r="B3082" i="2"/>
  <c r="N3081" i="2"/>
  <c r="M3081" i="2"/>
  <c r="L3081" i="2" a="1"/>
  <c r="L3081" i="2" s="1"/>
  <c r="K3081" i="2" a="1"/>
  <c r="K3081" i="2" s="1"/>
  <c r="J3081" i="2"/>
  <c r="B3081" i="2"/>
  <c r="N3080" i="2"/>
  <c r="M3080" i="2"/>
  <c r="L3080" i="2" a="1"/>
  <c r="L3080" i="2" s="1"/>
  <c r="K3080" i="2" a="1"/>
  <c r="K3080" i="2" s="1"/>
  <c r="J3080" i="2"/>
  <c r="B3080" i="2"/>
  <c r="N3079" i="2"/>
  <c r="M3079" i="2"/>
  <c r="L3079" i="2" a="1"/>
  <c r="L3079" i="2" s="1"/>
  <c r="K3079" i="2" a="1"/>
  <c r="K3079" i="2" s="1"/>
  <c r="J3079" i="2"/>
  <c r="B3079" i="2"/>
  <c r="N3078" i="2"/>
  <c r="M3078" i="2"/>
  <c r="L3078" i="2" a="1"/>
  <c r="L3078" i="2" s="1"/>
  <c r="K3078" i="2" a="1"/>
  <c r="K3078" i="2" s="1"/>
  <c r="J3078" i="2"/>
  <c r="B3078" i="2"/>
  <c r="N3077" i="2"/>
  <c r="M3077" i="2"/>
  <c r="L3077" i="2" a="1"/>
  <c r="L3077" i="2" s="1"/>
  <c r="K3077" i="2" a="1"/>
  <c r="K3077" i="2" s="1"/>
  <c r="J3077" i="2"/>
  <c r="B3077" i="2"/>
  <c r="N3076" i="2"/>
  <c r="M3076" i="2"/>
  <c r="L3076" i="2" a="1"/>
  <c r="L3076" i="2" s="1"/>
  <c r="K3076" i="2" a="1"/>
  <c r="K3076" i="2" s="1"/>
  <c r="J3076" i="2"/>
  <c r="B3076" i="2"/>
  <c r="N3075" i="2"/>
  <c r="M3075" i="2"/>
  <c r="L3075" i="2" a="1"/>
  <c r="L3075" i="2" s="1"/>
  <c r="K3075" i="2" a="1"/>
  <c r="K3075" i="2" s="1"/>
  <c r="J3075" i="2"/>
  <c r="B3075" i="2"/>
  <c r="N3074" i="2"/>
  <c r="M3074" i="2"/>
  <c r="L3074" i="2" a="1"/>
  <c r="L3074" i="2" s="1"/>
  <c r="K3074" i="2" a="1"/>
  <c r="K3074" i="2" s="1"/>
  <c r="J3074" i="2"/>
  <c r="B3074" i="2"/>
  <c r="N3073" i="2"/>
  <c r="M3073" i="2"/>
  <c r="L3073" i="2" a="1"/>
  <c r="L3073" i="2" s="1"/>
  <c r="K3073" i="2" a="1"/>
  <c r="K3073" i="2" s="1"/>
  <c r="J3073" i="2"/>
  <c r="B3073" i="2"/>
  <c r="N3072" i="2"/>
  <c r="M3072" i="2"/>
  <c r="L3072" i="2" a="1"/>
  <c r="L3072" i="2" s="1"/>
  <c r="K3072" i="2" a="1"/>
  <c r="K3072" i="2" s="1"/>
  <c r="J3072" i="2"/>
  <c r="B3072" i="2"/>
  <c r="N3071" i="2"/>
  <c r="M3071" i="2"/>
  <c r="L3071" i="2" a="1"/>
  <c r="L3071" i="2" s="1"/>
  <c r="K3071" i="2" a="1"/>
  <c r="K3071" i="2" s="1"/>
  <c r="J3071" i="2"/>
  <c r="B3071" i="2"/>
  <c r="N3070" i="2"/>
  <c r="M3070" i="2"/>
  <c r="L3070" i="2" a="1"/>
  <c r="L3070" i="2" s="1"/>
  <c r="K3070" i="2" a="1"/>
  <c r="K3070" i="2" s="1"/>
  <c r="J3070" i="2"/>
  <c r="B3070" i="2"/>
  <c r="N3069" i="2"/>
  <c r="M3069" i="2"/>
  <c r="L3069" i="2" a="1"/>
  <c r="L3069" i="2" s="1"/>
  <c r="K3069" i="2" a="1"/>
  <c r="K3069" i="2" s="1"/>
  <c r="J3069" i="2"/>
  <c r="B3069" i="2"/>
  <c r="N3068" i="2"/>
  <c r="M3068" i="2"/>
  <c r="L3068" i="2" a="1"/>
  <c r="L3068" i="2" s="1"/>
  <c r="K3068" i="2" a="1"/>
  <c r="K3068" i="2" s="1"/>
  <c r="J3068" i="2"/>
  <c r="B3068" i="2"/>
  <c r="N3067" i="2"/>
  <c r="M3067" i="2"/>
  <c r="L3067" i="2" a="1"/>
  <c r="L3067" i="2" s="1"/>
  <c r="K3067" i="2" a="1"/>
  <c r="K3067" i="2" s="1"/>
  <c r="J3067" i="2"/>
  <c r="B3067" i="2"/>
  <c r="N3066" i="2"/>
  <c r="M3066" i="2"/>
  <c r="L3066" i="2" a="1"/>
  <c r="L3066" i="2" s="1"/>
  <c r="K3066" i="2" a="1"/>
  <c r="K3066" i="2" s="1"/>
  <c r="J3066" i="2"/>
  <c r="B3066" i="2"/>
  <c r="N3065" i="2"/>
  <c r="M3065" i="2"/>
  <c r="L3065" i="2" a="1"/>
  <c r="L3065" i="2" s="1"/>
  <c r="K3065" i="2" a="1"/>
  <c r="K3065" i="2" s="1"/>
  <c r="J3065" i="2"/>
  <c r="B3065" i="2"/>
  <c r="N3064" i="2"/>
  <c r="M3064" i="2"/>
  <c r="L3064" i="2" a="1"/>
  <c r="L3064" i="2" s="1"/>
  <c r="K3064" i="2" a="1"/>
  <c r="K3064" i="2" s="1"/>
  <c r="J3064" i="2"/>
  <c r="B3064" i="2"/>
  <c r="N3063" i="2"/>
  <c r="M3063" i="2"/>
  <c r="L3063" i="2" a="1"/>
  <c r="L3063" i="2" s="1"/>
  <c r="K3063" i="2" a="1"/>
  <c r="K3063" i="2" s="1"/>
  <c r="J3063" i="2"/>
  <c r="B3063" i="2"/>
  <c r="N3062" i="2"/>
  <c r="M3062" i="2"/>
  <c r="L3062" i="2" a="1"/>
  <c r="L3062" i="2" s="1"/>
  <c r="K3062" i="2" a="1"/>
  <c r="K3062" i="2" s="1"/>
  <c r="J3062" i="2"/>
  <c r="B3062" i="2"/>
  <c r="N3061" i="2"/>
  <c r="M3061" i="2"/>
  <c r="L3061" i="2" a="1"/>
  <c r="L3061" i="2" s="1"/>
  <c r="K3061" i="2" a="1"/>
  <c r="K3061" i="2" s="1"/>
  <c r="J3061" i="2"/>
  <c r="B3061" i="2"/>
  <c r="N3060" i="2"/>
  <c r="M3060" i="2"/>
  <c r="L3060" i="2" a="1"/>
  <c r="L3060" i="2" s="1"/>
  <c r="K3060" i="2" a="1"/>
  <c r="K3060" i="2" s="1"/>
  <c r="J3060" i="2"/>
  <c r="B3060" i="2"/>
  <c r="N3059" i="2"/>
  <c r="M3059" i="2"/>
  <c r="L3059" i="2" a="1"/>
  <c r="L3059" i="2" s="1"/>
  <c r="K3059" i="2" a="1"/>
  <c r="K3059" i="2" s="1"/>
  <c r="J3059" i="2"/>
  <c r="B3059" i="2"/>
  <c r="N3058" i="2"/>
  <c r="M3058" i="2"/>
  <c r="L3058" i="2" a="1"/>
  <c r="L3058" i="2" s="1"/>
  <c r="K3058" i="2" a="1"/>
  <c r="K3058" i="2" s="1"/>
  <c r="J3058" i="2"/>
  <c r="B3058" i="2"/>
  <c r="N3057" i="2"/>
  <c r="M3057" i="2"/>
  <c r="L3057" i="2" a="1"/>
  <c r="L3057" i="2" s="1"/>
  <c r="K3057" i="2" a="1"/>
  <c r="K3057" i="2" s="1"/>
  <c r="J3057" i="2"/>
  <c r="B3057" i="2"/>
  <c r="N3056" i="2"/>
  <c r="M3056" i="2"/>
  <c r="L3056" i="2" a="1"/>
  <c r="L3056" i="2" s="1"/>
  <c r="K3056" i="2" a="1"/>
  <c r="K3056" i="2" s="1"/>
  <c r="J3056" i="2"/>
  <c r="B3056" i="2"/>
  <c r="N3055" i="2"/>
  <c r="M3055" i="2"/>
  <c r="L3055" i="2" a="1"/>
  <c r="L3055" i="2" s="1"/>
  <c r="K3055" i="2" a="1"/>
  <c r="K3055" i="2" s="1"/>
  <c r="J3055" i="2"/>
  <c r="B3055" i="2"/>
  <c r="N3054" i="2"/>
  <c r="M3054" i="2"/>
  <c r="L3054" i="2" a="1"/>
  <c r="L3054" i="2" s="1"/>
  <c r="K3054" i="2" a="1"/>
  <c r="K3054" i="2" s="1"/>
  <c r="J3054" i="2"/>
  <c r="B3054" i="2"/>
  <c r="N3053" i="2"/>
  <c r="M3053" i="2"/>
  <c r="L3053" i="2" a="1"/>
  <c r="L3053" i="2" s="1"/>
  <c r="K3053" i="2" a="1"/>
  <c r="K3053" i="2" s="1"/>
  <c r="J3053" i="2"/>
  <c r="B3053" i="2"/>
  <c r="N3052" i="2"/>
  <c r="M3052" i="2"/>
  <c r="L3052" i="2" a="1"/>
  <c r="L3052" i="2" s="1"/>
  <c r="K3052" i="2" a="1"/>
  <c r="K3052" i="2" s="1"/>
  <c r="J3052" i="2"/>
  <c r="B3052" i="2"/>
  <c r="N3051" i="2"/>
  <c r="M3051" i="2"/>
  <c r="L3051" i="2" a="1"/>
  <c r="L3051" i="2" s="1"/>
  <c r="K3051" i="2" a="1"/>
  <c r="K3051" i="2" s="1"/>
  <c r="J3051" i="2"/>
  <c r="B3051" i="2"/>
  <c r="N3050" i="2"/>
  <c r="M3050" i="2"/>
  <c r="L3050" i="2" a="1"/>
  <c r="L3050" i="2" s="1"/>
  <c r="K3050" i="2" a="1"/>
  <c r="K3050" i="2" s="1"/>
  <c r="J3050" i="2"/>
  <c r="B3050" i="2"/>
  <c r="N3049" i="2"/>
  <c r="M3049" i="2"/>
  <c r="L3049" i="2" a="1"/>
  <c r="L3049" i="2" s="1"/>
  <c r="K3049" i="2" a="1"/>
  <c r="K3049" i="2" s="1"/>
  <c r="J3049" i="2"/>
  <c r="B3049" i="2"/>
  <c r="N3048" i="2"/>
  <c r="M3048" i="2"/>
  <c r="L3048" i="2" a="1"/>
  <c r="L3048" i="2" s="1"/>
  <c r="K3048" i="2" a="1"/>
  <c r="K3048" i="2" s="1"/>
  <c r="J3048" i="2"/>
  <c r="B3048" i="2"/>
  <c r="N3047" i="2"/>
  <c r="M3047" i="2"/>
  <c r="L3047" i="2" a="1"/>
  <c r="L3047" i="2" s="1"/>
  <c r="K3047" i="2" a="1"/>
  <c r="K3047" i="2" s="1"/>
  <c r="J3047" i="2"/>
  <c r="B3047" i="2"/>
  <c r="N3046" i="2"/>
  <c r="M3046" i="2"/>
  <c r="L3046" i="2" a="1"/>
  <c r="L3046" i="2" s="1"/>
  <c r="K3046" i="2" a="1"/>
  <c r="K3046" i="2" s="1"/>
  <c r="J3046" i="2"/>
  <c r="B3046" i="2"/>
  <c r="N3045" i="2"/>
  <c r="M3045" i="2"/>
  <c r="L3045" i="2" a="1"/>
  <c r="L3045" i="2" s="1"/>
  <c r="K3045" i="2" a="1"/>
  <c r="K3045" i="2" s="1"/>
  <c r="J3045" i="2"/>
  <c r="B3045" i="2"/>
  <c r="N3044" i="2"/>
  <c r="M3044" i="2"/>
  <c r="L3044" i="2" a="1"/>
  <c r="L3044" i="2" s="1"/>
  <c r="K3044" i="2" a="1"/>
  <c r="K3044" i="2" s="1"/>
  <c r="J3044" i="2"/>
  <c r="B3044" i="2"/>
  <c r="N3043" i="2"/>
  <c r="M3043" i="2"/>
  <c r="L3043" i="2" a="1"/>
  <c r="L3043" i="2" s="1"/>
  <c r="K3043" i="2" a="1"/>
  <c r="K3043" i="2" s="1"/>
  <c r="J3043" i="2"/>
  <c r="B3043" i="2"/>
  <c r="N3042" i="2"/>
  <c r="M3042" i="2"/>
  <c r="L3042" i="2" a="1"/>
  <c r="L3042" i="2" s="1"/>
  <c r="K3042" i="2" a="1"/>
  <c r="K3042" i="2" s="1"/>
  <c r="J3042" i="2"/>
  <c r="B3042" i="2"/>
  <c r="N3041" i="2"/>
  <c r="M3041" i="2"/>
  <c r="L3041" i="2" a="1"/>
  <c r="L3041" i="2" s="1"/>
  <c r="K3041" i="2" a="1"/>
  <c r="K3041" i="2" s="1"/>
  <c r="J3041" i="2"/>
  <c r="B3041" i="2"/>
  <c r="N3040" i="2"/>
  <c r="M3040" i="2"/>
  <c r="L3040" i="2" a="1"/>
  <c r="L3040" i="2" s="1"/>
  <c r="K3040" i="2" a="1"/>
  <c r="K3040" i="2" s="1"/>
  <c r="J3040" i="2"/>
  <c r="B3040" i="2"/>
  <c r="N3039" i="2"/>
  <c r="M3039" i="2"/>
  <c r="L3039" i="2" a="1"/>
  <c r="L3039" i="2" s="1"/>
  <c r="K3039" i="2" a="1"/>
  <c r="K3039" i="2" s="1"/>
  <c r="J3039" i="2"/>
  <c r="B3039" i="2"/>
  <c r="N3038" i="2"/>
  <c r="M3038" i="2"/>
  <c r="L3038" i="2" a="1"/>
  <c r="L3038" i="2" s="1"/>
  <c r="K3038" i="2" a="1"/>
  <c r="K3038" i="2" s="1"/>
  <c r="J3038" i="2"/>
  <c r="B3038" i="2"/>
  <c r="N3037" i="2"/>
  <c r="M3037" i="2"/>
  <c r="L3037" i="2" a="1"/>
  <c r="L3037" i="2" s="1"/>
  <c r="K3037" i="2" a="1"/>
  <c r="K3037" i="2" s="1"/>
  <c r="J3037" i="2"/>
  <c r="B3037" i="2"/>
  <c r="N3036" i="2"/>
  <c r="M3036" i="2"/>
  <c r="L3036" i="2" a="1"/>
  <c r="L3036" i="2" s="1"/>
  <c r="K3036" i="2" a="1"/>
  <c r="K3036" i="2" s="1"/>
  <c r="J3036" i="2"/>
  <c r="B3036" i="2"/>
  <c r="N3035" i="2"/>
  <c r="M3035" i="2"/>
  <c r="L3035" i="2" a="1"/>
  <c r="L3035" i="2" s="1"/>
  <c r="K3035" i="2" a="1"/>
  <c r="K3035" i="2" s="1"/>
  <c r="J3035" i="2"/>
  <c r="B3035" i="2"/>
  <c r="N3034" i="2"/>
  <c r="M3034" i="2"/>
  <c r="L3034" i="2" a="1"/>
  <c r="L3034" i="2" s="1"/>
  <c r="K3034" i="2" a="1"/>
  <c r="K3034" i="2" s="1"/>
  <c r="J3034" i="2"/>
  <c r="B3034" i="2"/>
  <c r="N3033" i="2"/>
  <c r="M3033" i="2"/>
  <c r="L3033" i="2" a="1"/>
  <c r="L3033" i="2" s="1"/>
  <c r="K3033" i="2" a="1"/>
  <c r="K3033" i="2" s="1"/>
  <c r="J3033" i="2"/>
  <c r="B3033" i="2"/>
  <c r="N3032" i="2"/>
  <c r="M3032" i="2"/>
  <c r="L3032" i="2" a="1"/>
  <c r="L3032" i="2" s="1"/>
  <c r="K3032" i="2" a="1"/>
  <c r="K3032" i="2" s="1"/>
  <c r="J3032" i="2"/>
  <c r="B3032" i="2"/>
  <c r="N3031" i="2"/>
  <c r="M3031" i="2"/>
  <c r="L3031" i="2" a="1"/>
  <c r="L3031" i="2" s="1"/>
  <c r="K3031" i="2" a="1"/>
  <c r="K3031" i="2" s="1"/>
  <c r="J3031" i="2"/>
  <c r="B3031" i="2"/>
  <c r="N3030" i="2"/>
  <c r="M3030" i="2"/>
  <c r="L3030" i="2" a="1"/>
  <c r="L3030" i="2" s="1"/>
  <c r="K3030" i="2" a="1"/>
  <c r="K3030" i="2" s="1"/>
  <c r="J3030" i="2"/>
  <c r="B3030" i="2"/>
  <c r="N3029" i="2"/>
  <c r="M3029" i="2"/>
  <c r="L3029" i="2" a="1"/>
  <c r="L3029" i="2" s="1"/>
  <c r="K3029" i="2" a="1"/>
  <c r="K3029" i="2" s="1"/>
  <c r="J3029" i="2"/>
  <c r="B3029" i="2"/>
  <c r="N3028" i="2"/>
  <c r="M3028" i="2"/>
  <c r="L3028" i="2" a="1"/>
  <c r="L3028" i="2" s="1"/>
  <c r="K3028" i="2" a="1"/>
  <c r="K3028" i="2" s="1"/>
  <c r="J3028" i="2"/>
  <c r="B3028" i="2"/>
  <c r="N3027" i="2"/>
  <c r="M3027" i="2"/>
  <c r="L3027" i="2" a="1"/>
  <c r="L3027" i="2" s="1"/>
  <c r="K3027" i="2" a="1"/>
  <c r="K3027" i="2" s="1"/>
  <c r="J3027" i="2"/>
  <c r="B3027" i="2"/>
  <c r="N3026" i="2"/>
  <c r="M3026" i="2"/>
  <c r="L3026" i="2" a="1"/>
  <c r="L3026" i="2" s="1"/>
  <c r="K3026" i="2" a="1"/>
  <c r="K3026" i="2" s="1"/>
  <c r="J3026" i="2"/>
  <c r="B3026" i="2"/>
  <c r="N3025" i="2"/>
  <c r="M3025" i="2"/>
  <c r="L3025" i="2" a="1"/>
  <c r="L3025" i="2" s="1"/>
  <c r="K3025" i="2" a="1"/>
  <c r="K3025" i="2" s="1"/>
  <c r="J3025" i="2"/>
  <c r="B3025" i="2"/>
  <c r="N3024" i="2"/>
  <c r="M3024" i="2"/>
  <c r="L3024" i="2" a="1"/>
  <c r="L3024" i="2" s="1"/>
  <c r="K3024" i="2" a="1"/>
  <c r="K3024" i="2" s="1"/>
  <c r="J3024" i="2"/>
  <c r="B3024" i="2"/>
  <c r="N3023" i="2"/>
  <c r="M3023" i="2"/>
  <c r="L3023" i="2" a="1"/>
  <c r="L3023" i="2" s="1"/>
  <c r="K3023" i="2" a="1"/>
  <c r="K3023" i="2" s="1"/>
  <c r="J3023" i="2"/>
  <c r="B3023" i="2"/>
  <c r="N3022" i="2"/>
  <c r="M3022" i="2"/>
  <c r="L3022" i="2" a="1"/>
  <c r="L3022" i="2" s="1"/>
  <c r="K3022" i="2" a="1"/>
  <c r="K3022" i="2" s="1"/>
  <c r="J3022" i="2"/>
  <c r="B3022" i="2"/>
  <c r="N3021" i="2"/>
  <c r="M3021" i="2"/>
  <c r="L3021" i="2" a="1"/>
  <c r="L3021" i="2" s="1"/>
  <c r="K3021" i="2" a="1"/>
  <c r="K3021" i="2" s="1"/>
  <c r="J3021" i="2"/>
  <c r="B3021" i="2"/>
  <c r="V3020" i="2"/>
  <c r="N3020" i="2"/>
  <c r="M3020" i="2"/>
  <c r="L3020" i="2" a="1"/>
  <c r="L3020" i="2" s="1"/>
  <c r="K3020" i="2" a="1"/>
  <c r="K3020" i="2" s="1"/>
  <c r="J3020" i="2"/>
  <c r="B3020" i="2"/>
  <c r="N3019" i="2"/>
  <c r="M3019" i="2"/>
  <c r="L3019" i="2" a="1"/>
  <c r="L3019" i="2" s="1"/>
  <c r="K3019" i="2" a="1"/>
  <c r="K3019" i="2" s="1"/>
  <c r="J3019" i="2"/>
  <c r="B3019" i="2"/>
  <c r="N3018" i="2"/>
  <c r="M3018" i="2"/>
  <c r="L3018" i="2" a="1"/>
  <c r="L3018" i="2" s="1"/>
  <c r="K3018" i="2" a="1"/>
  <c r="K3018" i="2" s="1"/>
  <c r="J3018" i="2"/>
  <c r="B3018" i="2"/>
  <c r="N3017" i="2"/>
  <c r="M3017" i="2"/>
  <c r="L3017" i="2" a="1"/>
  <c r="L3017" i="2" s="1"/>
  <c r="K3017" i="2" a="1"/>
  <c r="K3017" i="2" s="1"/>
  <c r="J3017" i="2"/>
  <c r="B3017" i="2"/>
  <c r="N3016" i="2"/>
  <c r="M3016" i="2"/>
  <c r="L3016" i="2" a="1"/>
  <c r="L3016" i="2" s="1"/>
  <c r="K3016" i="2" a="1"/>
  <c r="K3016" i="2" s="1"/>
  <c r="J3016" i="2"/>
  <c r="B3016" i="2"/>
  <c r="N3015" i="2"/>
  <c r="M3015" i="2"/>
  <c r="L3015" i="2" a="1"/>
  <c r="L3015" i="2" s="1"/>
  <c r="K3015" i="2" a="1"/>
  <c r="K3015" i="2" s="1"/>
  <c r="J3015" i="2"/>
  <c r="B3015" i="2"/>
  <c r="N3014" i="2"/>
  <c r="M3014" i="2"/>
  <c r="L3014" i="2" a="1"/>
  <c r="L3014" i="2" s="1"/>
  <c r="K3014" i="2" a="1"/>
  <c r="K3014" i="2" s="1"/>
  <c r="J3014" i="2"/>
  <c r="B3014" i="2"/>
  <c r="N3013" i="2"/>
  <c r="M3013" i="2"/>
  <c r="L3013" i="2" a="1"/>
  <c r="L3013" i="2" s="1"/>
  <c r="K3013" i="2" a="1"/>
  <c r="K3013" i="2" s="1"/>
  <c r="J3013" i="2"/>
  <c r="B3013" i="2"/>
  <c r="N3012" i="2"/>
  <c r="M3012" i="2"/>
  <c r="L3012" i="2" a="1"/>
  <c r="L3012" i="2" s="1"/>
  <c r="K3012" i="2" a="1"/>
  <c r="K3012" i="2" s="1"/>
  <c r="J3012" i="2"/>
  <c r="B3012" i="2"/>
  <c r="N3011" i="2"/>
  <c r="M3011" i="2"/>
  <c r="L3011" i="2" a="1"/>
  <c r="L3011" i="2" s="1"/>
  <c r="K3011" i="2" a="1"/>
  <c r="K3011" i="2" s="1"/>
  <c r="J3011" i="2"/>
  <c r="B3011" i="2"/>
  <c r="N3010" i="2"/>
  <c r="M3010" i="2"/>
  <c r="L3010" i="2" a="1"/>
  <c r="L3010" i="2" s="1"/>
  <c r="K3010" i="2" a="1"/>
  <c r="K3010" i="2" s="1"/>
  <c r="J3010" i="2"/>
  <c r="B3010" i="2"/>
  <c r="N3009" i="2"/>
  <c r="M3009" i="2"/>
  <c r="L3009" i="2" a="1"/>
  <c r="L3009" i="2" s="1"/>
  <c r="K3009" i="2" a="1"/>
  <c r="K3009" i="2" s="1"/>
  <c r="J3009" i="2"/>
  <c r="B3009" i="2"/>
  <c r="V3008" i="2"/>
  <c r="N3008" i="2"/>
  <c r="M3008" i="2"/>
  <c r="L3008" i="2" a="1"/>
  <c r="L3008" i="2" s="1"/>
  <c r="K3008" i="2" a="1"/>
  <c r="K3008" i="2" s="1"/>
  <c r="J3008" i="2"/>
  <c r="B3008" i="2"/>
  <c r="N3007" i="2"/>
  <c r="M3007" i="2"/>
  <c r="L3007" i="2" a="1"/>
  <c r="L3007" i="2" s="1"/>
  <c r="K3007" i="2" a="1"/>
  <c r="K3007" i="2" s="1"/>
  <c r="J3007" i="2"/>
  <c r="B3007" i="2"/>
  <c r="N3006" i="2"/>
  <c r="M3006" i="2"/>
  <c r="L3006" i="2" a="1"/>
  <c r="L3006" i="2" s="1"/>
  <c r="K3006" i="2" a="1"/>
  <c r="K3006" i="2" s="1"/>
  <c r="J3006" i="2"/>
  <c r="B3006" i="2"/>
  <c r="N3005" i="2"/>
  <c r="M3005" i="2"/>
  <c r="L3005" i="2" a="1"/>
  <c r="L3005" i="2" s="1"/>
  <c r="K3005" i="2" a="1"/>
  <c r="K3005" i="2" s="1"/>
  <c r="J3005" i="2"/>
  <c r="B3005" i="2"/>
  <c r="N3004" i="2"/>
  <c r="M3004" i="2"/>
  <c r="L3004" i="2" a="1"/>
  <c r="L3004" i="2" s="1"/>
  <c r="K3004" i="2" a="1"/>
  <c r="K3004" i="2" s="1"/>
  <c r="J3004" i="2"/>
  <c r="B3004" i="2"/>
  <c r="N3003" i="2"/>
  <c r="M3003" i="2"/>
  <c r="L3003" i="2" a="1"/>
  <c r="L3003" i="2" s="1"/>
  <c r="K3003" i="2" a="1"/>
  <c r="K3003" i="2" s="1"/>
  <c r="J3003" i="2"/>
  <c r="B3003" i="2"/>
  <c r="N3002" i="2"/>
  <c r="M3002" i="2"/>
  <c r="L3002" i="2" a="1"/>
  <c r="L3002" i="2" s="1"/>
  <c r="K3002" i="2" a="1"/>
  <c r="K3002" i="2" s="1"/>
  <c r="J3002" i="2"/>
  <c r="B3002" i="2"/>
  <c r="N3001" i="2"/>
  <c r="M3001" i="2"/>
  <c r="L3001" i="2" a="1"/>
  <c r="L3001" i="2" s="1"/>
  <c r="K3001" i="2" a="1"/>
  <c r="K3001" i="2" s="1"/>
  <c r="J3001" i="2"/>
  <c r="B3001" i="2"/>
  <c r="U3000" i="2"/>
  <c r="A2999" i="2"/>
  <c r="J2998" i="2"/>
  <c r="N2997" i="2"/>
  <c r="M2997" i="2"/>
  <c r="L2997" i="2" a="1"/>
  <c r="L2997" i="2" s="1"/>
  <c r="K2997" i="2" a="1"/>
  <c r="K2997" i="2" s="1"/>
  <c r="J2997" i="2"/>
  <c r="B2997" i="2"/>
  <c r="N2996" i="2"/>
  <c r="M2996" i="2"/>
  <c r="L2996" i="2" a="1"/>
  <c r="L2996" i="2" s="1"/>
  <c r="K2996" i="2" a="1"/>
  <c r="K2996" i="2" s="1"/>
  <c r="J2996" i="2"/>
  <c r="B2996" i="2"/>
  <c r="N2995" i="2"/>
  <c r="M2995" i="2"/>
  <c r="L2995" i="2" a="1"/>
  <c r="L2995" i="2" s="1"/>
  <c r="K2995" i="2" a="1"/>
  <c r="K2995" i="2" s="1"/>
  <c r="J2995" i="2"/>
  <c r="B2995" i="2"/>
  <c r="N2994" i="2"/>
  <c r="M2994" i="2"/>
  <c r="L2994" i="2" a="1"/>
  <c r="L2994" i="2" s="1"/>
  <c r="K2994" i="2" a="1"/>
  <c r="K2994" i="2" s="1"/>
  <c r="J2994" i="2"/>
  <c r="B2994" i="2"/>
  <c r="N2993" i="2"/>
  <c r="M2993" i="2"/>
  <c r="L2993" i="2" a="1"/>
  <c r="L2993" i="2" s="1"/>
  <c r="K2993" i="2" a="1"/>
  <c r="K2993" i="2" s="1"/>
  <c r="J2993" i="2"/>
  <c r="B2993" i="2"/>
  <c r="N2992" i="2"/>
  <c r="M2992" i="2"/>
  <c r="L2992" i="2" a="1"/>
  <c r="L2992" i="2" s="1"/>
  <c r="K2992" i="2" a="1"/>
  <c r="K2992" i="2" s="1"/>
  <c r="J2992" i="2"/>
  <c r="B2992" i="2"/>
  <c r="N2991" i="2"/>
  <c r="M2991" i="2"/>
  <c r="L2991" i="2" a="1"/>
  <c r="L2991" i="2" s="1"/>
  <c r="K2991" i="2" a="1"/>
  <c r="K2991" i="2" s="1"/>
  <c r="J2991" i="2"/>
  <c r="B2991" i="2"/>
  <c r="N2990" i="2"/>
  <c r="M2990" i="2"/>
  <c r="L2990" i="2" a="1"/>
  <c r="L2990" i="2" s="1"/>
  <c r="K2990" i="2" a="1"/>
  <c r="K2990" i="2" s="1"/>
  <c r="J2990" i="2"/>
  <c r="B2990" i="2"/>
  <c r="N2989" i="2"/>
  <c r="M2989" i="2"/>
  <c r="L2989" i="2" a="1"/>
  <c r="L2989" i="2" s="1"/>
  <c r="K2989" i="2" a="1"/>
  <c r="K2989" i="2" s="1"/>
  <c r="J2989" i="2"/>
  <c r="B2989" i="2"/>
  <c r="N2988" i="2"/>
  <c r="M2988" i="2"/>
  <c r="L2988" i="2" a="1"/>
  <c r="L2988" i="2" s="1"/>
  <c r="K2988" i="2" a="1"/>
  <c r="K2988" i="2" s="1"/>
  <c r="J2988" i="2"/>
  <c r="B2988" i="2"/>
  <c r="N2987" i="2"/>
  <c r="M2987" i="2"/>
  <c r="L2987" i="2" a="1"/>
  <c r="L2987" i="2" s="1"/>
  <c r="K2987" i="2" a="1"/>
  <c r="K2987" i="2" s="1"/>
  <c r="J2987" i="2"/>
  <c r="B2987" i="2"/>
  <c r="N2986" i="2"/>
  <c r="M2986" i="2"/>
  <c r="L2986" i="2" a="1"/>
  <c r="L2986" i="2" s="1"/>
  <c r="K2986" i="2" a="1"/>
  <c r="K2986" i="2" s="1"/>
  <c r="J2986" i="2"/>
  <c r="B2986" i="2"/>
  <c r="N2985" i="2"/>
  <c r="M2985" i="2"/>
  <c r="L2985" i="2" a="1"/>
  <c r="L2985" i="2" s="1"/>
  <c r="K2985" i="2" a="1"/>
  <c r="K2985" i="2" s="1"/>
  <c r="J2985" i="2"/>
  <c r="B2985" i="2"/>
  <c r="N2984" i="2"/>
  <c r="M2984" i="2"/>
  <c r="L2984" i="2" a="1"/>
  <c r="L2984" i="2" s="1"/>
  <c r="K2984" i="2" a="1"/>
  <c r="K2984" i="2" s="1"/>
  <c r="J2984" i="2"/>
  <c r="B2984" i="2"/>
  <c r="N2983" i="2"/>
  <c r="M2983" i="2"/>
  <c r="L2983" i="2" a="1"/>
  <c r="L2983" i="2" s="1"/>
  <c r="K2983" i="2" a="1"/>
  <c r="K2983" i="2" s="1"/>
  <c r="J2983" i="2"/>
  <c r="B2983" i="2"/>
  <c r="N2982" i="2"/>
  <c r="M2982" i="2"/>
  <c r="L2982" i="2" a="1"/>
  <c r="L2982" i="2" s="1"/>
  <c r="K2982" i="2" a="1"/>
  <c r="K2982" i="2" s="1"/>
  <c r="J2982" i="2"/>
  <c r="B2982" i="2"/>
  <c r="N2981" i="2"/>
  <c r="M2981" i="2"/>
  <c r="L2981" i="2" a="1"/>
  <c r="L2981" i="2" s="1"/>
  <c r="K2981" i="2" a="1"/>
  <c r="K2981" i="2" s="1"/>
  <c r="J2981" i="2"/>
  <c r="B2981" i="2"/>
  <c r="N2980" i="2"/>
  <c r="M2980" i="2"/>
  <c r="L2980" i="2" a="1"/>
  <c r="L2980" i="2" s="1"/>
  <c r="K2980" i="2" a="1"/>
  <c r="K2980" i="2" s="1"/>
  <c r="J2980" i="2"/>
  <c r="B2980" i="2"/>
  <c r="N2979" i="2"/>
  <c r="M2979" i="2"/>
  <c r="L2979" i="2" a="1"/>
  <c r="L2979" i="2" s="1"/>
  <c r="K2979" i="2" a="1"/>
  <c r="K2979" i="2" s="1"/>
  <c r="J2979" i="2"/>
  <c r="B2979" i="2"/>
  <c r="N2978" i="2"/>
  <c r="M2978" i="2"/>
  <c r="L2978" i="2" a="1"/>
  <c r="L2978" i="2" s="1"/>
  <c r="K2978" i="2" a="1"/>
  <c r="K2978" i="2" s="1"/>
  <c r="J2978" i="2"/>
  <c r="B2978" i="2"/>
  <c r="N2977" i="2"/>
  <c r="M2977" i="2"/>
  <c r="L2977" i="2" a="1"/>
  <c r="L2977" i="2" s="1"/>
  <c r="K2977" i="2" a="1"/>
  <c r="K2977" i="2" s="1"/>
  <c r="J2977" i="2"/>
  <c r="B2977" i="2"/>
  <c r="N2976" i="2"/>
  <c r="M2976" i="2"/>
  <c r="L2976" i="2" a="1"/>
  <c r="L2976" i="2" s="1"/>
  <c r="K2976" i="2" a="1"/>
  <c r="K2976" i="2" s="1"/>
  <c r="J2976" i="2"/>
  <c r="B2976" i="2"/>
  <c r="N2975" i="2"/>
  <c r="M2975" i="2"/>
  <c r="L2975" i="2" a="1"/>
  <c r="L2975" i="2" s="1"/>
  <c r="K2975" i="2" a="1"/>
  <c r="K2975" i="2" s="1"/>
  <c r="J2975" i="2"/>
  <c r="B2975" i="2"/>
  <c r="N2974" i="2"/>
  <c r="M2974" i="2"/>
  <c r="L2974" i="2" a="1"/>
  <c r="L2974" i="2" s="1"/>
  <c r="K2974" i="2" a="1"/>
  <c r="K2974" i="2" s="1"/>
  <c r="J2974" i="2"/>
  <c r="B2974" i="2"/>
  <c r="N2973" i="2"/>
  <c r="M2973" i="2"/>
  <c r="L2973" i="2" a="1"/>
  <c r="L2973" i="2" s="1"/>
  <c r="K2973" i="2" a="1"/>
  <c r="K2973" i="2" s="1"/>
  <c r="J2973" i="2"/>
  <c r="B2973" i="2"/>
  <c r="N2972" i="2"/>
  <c r="M2972" i="2"/>
  <c r="L2972" i="2" a="1"/>
  <c r="L2972" i="2" s="1"/>
  <c r="K2972" i="2" a="1"/>
  <c r="K2972" i="2" s="1"/>
  <c r="J2972" i="2"/>
  <c r="B2972" i="2"/>
  <c r="N2971" i="2"/>
  <c r="M2971" i="2"/>
  <c r="L2971" i="2" a="1"/>
  <c r="L2971" i="2" s="1"/>
  <c r="K2971" i="2" a="1"/>
  <c r="K2971" i="2" s="1"/>
  <c r="J2971" i="2"/>
  <c r="B2971" i="2"/>
  <c r="N2970" i="2"/>
  <c r="M2970" i="2"/>
  <c r="L2970" i="2" a="1"/>
  <c r="L2970" i="2" s="1"/>
  <c r="K2970" i="2" a="1"/>
  <c r="K2970" i="2" s="1"/>
  <c r="J2970" i="2"/>
  <c r="B2970" i="2"/>
  <c r="N2969" i="2"/>
  <c r="M2969" i="2"/>
  <c r="L2969" i="2" a="1"/>
  <c r="L2969" i="2" s="1"/>
  <c r="K2969" i="2" a="1"/>
  <c r="K2969" i="2" s="1"/>
  <c r="J2969" i="2"/>
  <c r="B2969" i="2"/>
  <c r="N2968" i="2"/>
  <c r="M2968" i="2"/>
  <c r="L2968" i="2" a="1"/>
  <c r="L2968" i="2" s="1"/>
  <c r="K2968" i="2" a="1"/>
  <c r="K2968" i="2" s="1"/>
  <c r="J2968" i="2"/>
  <c r="B2968" i="2"/>
  <c r="N2967" i="2"/>
  <c r="M2967" i="2"/>
  <c r="L2967" i="2" a="1"/>
  <c r="L2967" i="2" s="1"/>
  <c r="K2967" i="2" a="1"/>
  <c r="K2967" i="2" s="1"/>
  <c r="J2967" i="2"/>
  <c r="B2967" i="2"/>
  <c r="N2966" i="2"/>
  <c r="M2966" i="2"/>
  <c r="L2966" i="2" a="1"/>
  <c r="L2966" i="2" s="1"/>
  <c r="K2966" i="2" a="1"/>
  <c r="K2966" i="2" s="1"/>
  <c r="J2966" i="2"/>
  <c r="B2966" i="2"/>
  <c r="N2965" i="2"/>
  <c r="M2965" i="2"/>
  <c r="L2965" i="2" a="1"/>
  <c r="L2965" i="2" s="1"/>
  <c r="K2965" i="2" a="1"/>
  <c r="K2965" i="2" s="1"/>
  <c r="J2965" i="2"/>
  <c r="B2965" i="2"/>
  <c r="N2964" i="2"/>
  <c r="M2964" i="2"/>
  <c r="L2964" i="2" a="1"/>
  <c r="L2964" i="2" s="1"/>
  <c r="K2964" i="2" a="1"/>
  <c r="K2964" i="2" s="1"/>
  <c r="J2964" i="2"/>
  <c r="B2964" i="2"/>
  <c r="N2963" i="2"/>
  <c r="M2963" i="2"/>
  <c r="L2963" i="2" a="1"/>
  <c r="L2963" i="2" s="1"/>
  <c r="K2963" i="2" a="1"/>
  <c r="K2963" i="2" s="1"/>
  <c r="J2963" i="2"/>
  <c r="B2963" i="2"/>
  <c r="N2962" i="2"/>
  <c r="M2962" i="2"/>
  <c r="L2962" i="2" a="1"/>
  <c r="L2962" i="2" s="1"/>
  <c r="K2962" i="2" a="1"/>
  <c r="K2962" i="2" s="1"/>
  <c r="J2962" i="2"/>
  <c r="B2962" i="2"/>
  <c r="N2961" i="2"/>
  <c r="M2961" i="2"/>
  <c r="L2961" i="2" a="1"/>
  <c r="L2961" i="2" s="1"/>
  <c r="K2961" i="2" a="1"/>
  <c r="K2961" i="2" s="1"/>
  <c r="J2961" i="2"/>
  <c r="B2961" i="2"/>
  <c r="N2960" i="2"/>
  <c r="M2960" i="2"/>
  <c r="L2960" i="2" a="1"/>
  <c r="L2960" i="2" s="1"/>
  <c r="K2960" i="2" a="1"/>
  <c r="K2960" i="2" s="1"/>
  <c r="J2960" i="2"/>
  <c r="B2960" i="2"/>
  <c r="N2959" i="2"/>
  <c r="M2959" i="2"/>
  <c r="L2959" i="2" a="1"/>
  <c r="L2959" i="2" s="1"/>
  <c r="K2959" i="2" a="1"/>
  <c r="K2959" i="2" s="1"/>
  <c r="J2959" i="2"/>
  <c r="B2959" i="2"/>
  <c r="N2958" i="2"/>
  <c r="M2958" i="2"/>
  <c r="L2958" i="2" a="1"/>
  <c r="L2958" i="2" s="1"/>
  <c r="K2958" i="2" a="1"/>
  <c r="K2958" i="2" s="1"/>
  <c r="J2958" i="2"/>
  <c r="B2958" i="2"/>
  <c r="N2957" i="2"/>
  <c r="M2957" i="2"/>
  <c r="L2957" i="2" a="1"/>
  <c r="L2957" i="2" s="1"/>
  <c r="K2957" i="2" a="1"/>
  <c r="K2957" i="2" s="1"/>
  <c r="J2957" i="2"/>
  <c r="B2957" i="2"/>
  <c r="N2956" i="2"/>
  <c r="M2956" i="2"/>
  <c r="L2956" i="2" a="1"/>
  <c r="L2956" i="2" s="1"/>
  <c r="K2956" i="2" a="1"/>
  <c r="K2956" i="2" s="1"/>
  <c r="J2956" i="2"/>
  <c r="B2956" i="2"/>
  <c r="N2955" i="2"/>
  <c r="M2955" i="2"/>
  <c r="L2955" i="2" a="1"/>
  <c r="L2955" i="2" s="1"/>
  <c r="K2955" i="2" a="1"/>
  <c r="K2955" i="2" s="1"/>
  <c r="J2955" i="2"/>
  <c r="B2955" i="2"/>
  <c r="N2954" i="2"/>
  <c r="M2954" i="2"/>
  <c r="L2954" i="2" a="1"/>
  <c r="L2954" i="2" s="1"/>
  <c r="K2954" i="2" a="1"/>
  <c r="K2954" i="2" s="1"/>
  <c r="J2954" i="2"/>
  <c r="B2954" i="2"/>
  <c r="N2953" i="2"/>
  <c r="M2953" i="2"/>
  <c r="L2953" i="2" a="1"/>
  <c r="L2953" i="2" s="1"/>
  <c r="K2953" i="2" a="1"/>
  <c r="K2953" i="2" s="1"/>
  <c r="J2953" i="2"/>
  <c r="B2953" i="2"/>
  <c r="N2952" i="2"/>
  <c r="M2952" i="2"/>
  <c r="L2952" i="2" a="1"/>
  <c r="L2952" i="2" s="1"/>
  <c r="K2952" i="2" a="1"/>
  <c r="K2952" i="2" s="1"/>
  <c r="J2952" i="2"/>
  <c r="B2952" i="2"/>
  <c r="N2951" i="2"/>
  <c r="M2951" i="2"/>
  <c r="L2951" i="2" a="1"/>
  <c r="L2951" i="2" s="1"/>
  <c r="K2951" i="2" a="1"/>
  <c r="K2951" i="2" s="1"/>
  <c r="J2951" i="2"/>
  <c r="B2951" i="2"/>
  <c r="N2950" i="2"/>
  <c r="M2950" i="2"/>
  <c r="L2950" i="2" a="1"/>
  <c r="L2950" i="2" s="1"/>
  <c r="K2950" i="2" a="1"/>
  <c r="K2950" i="2" s="1"/>
  <c r="J2950" i="2"/>
  <c r="B2950" i="2"/>
  <c r="N2949" i="2"/>
  <c r="M2949" i="2"/>
  <c r="L2949" i="2" a="1"/>
  <c r="L2949" i="2" s="1"/>
  <c r="K2949" i="2" a="1"/>
  <c r="K2949" i="2" s="1"/>
  <c r="J2949" i="2"/>
  <c r="B2949" i="2"/>
  <c r="N2948" i="2"/>
  <c r="M2948" i="2"/>
  <c r="L2948" i="2" a="1"/>
  <c r="L2948" i="2" s="1"/>
  <c r="K2948" i="2" a="1"/>
  <c r="K2948" i="2" s="1"/>
  <c r="J2948" i="2"/>
  <c r="B2948" i="2"/>
  <c r="N2947" i="2"/>
  <c r="M2947" i="2"/>
  <c r="L2947" i="2" a="1"/>
  <c r="L2947" i="2" s="1"/>
  <c r="K2947" i="2" a="1"/>
  <c r="K2947" i="2" s="1"/>
  <c r="J2947" i="2"/>
  <c r="B2947" i="2"/>
  <c r="N2946" i="2"/>
  <c r="M2946" i="2"/>
  <c r="L2946" i="2" a="1"/>
  <c r="L2946" i="2" s="1"/>
  <c r="K2946" i="2" a="1"/>
  <c r="K2946" i="2" s="1"/>
  <c r="J2946" i="2"/>
  <c r="B2946" i="2"/>
  <c r="N2945" i="2"/>
  <c r="M2945" i="2"/>
  <c r="L2945" i="2" a="1"/>
  <c r="L2945" i="2" s="1"/>
  <c r="K2945" i="2" a="1"/>
  <c r="K2945" i="2" s="1"/>
  <c r="J2945" i="2"/>
  <c r="B2945" i="2"/>
  <c r="N2944" i="2"/>
  <c r="M2944" i="2"/>
  <c r="L2944" i="2" a="1"/>
  <c r="L2944" i="2" s="1"/>
  <c r="K2944" i="2" a="1"/>
  <c r="K2944" i="2" s="1"/>
  <c r="J2944" i="2"/>
  <c r="B2944" i="2"/>
  <c r="N2943" i="2"/>
  <c r="M2943" i="2"/>
  <c r="L2943" i="2" a="1"/>
  <c r="L2943" i="2" s="1"/>
  <c r="K2943" i="2" a="1"/>
  <c r="K2943" i="2" s="1"/>
  <c r="J2943" i="2"/>
  <c r="B2943" i="2"/>
  <c r="N2942" i="2"/>
  <c r="M2942" i="2"/>
  <c r="L2942" i="2" a="1"/>
  <c r="L2942" i="2" s="1"/>
  <c r="K2942" i="2" a="1"/>
  <c r="K2942" i="2" s="1"/>
  <c r="J2942" i="2"/>
  <c r="B2942" i="2"/>
  <c r="N2941" i="2"/>
  <c r="M2941" i="2"/>
  <c r="L2941" i="2" a="1"/>
  <c r="L2941" i="2" s="1"/>
  <c r="K2941" i="2" a="1"/>
  <c r="K2941" i="2" s="1"/>
  <c r="J2941" i="2"/>
  <c r="B2941" i="2"/>
  <c r="N2940" i="2"/>
  <c r="M2940" i="2"/>
  <c r="L2940" i="2" a="1"/>
  <c r="L2940" i="2" s="1"/>
  <c r="K2940" i="2" a="1"/>
  <c r="K2940" i="2" s="1"/>
  <c r="J2940" i="2"/>
  <c r="B2940" i="2"/>
  <c r="N2939" i="2"/>
  <c r="M2939" i="2"/>
  <c r="L2939" i="2" a="1"/>
  <c r="L2939" i="2" s="1"/>
  <c r="K2939" i="2" a="1"/>
  <c r="K2939" i="2" s="1"/>
  <c r="J2939" i="2"/>
  <c r="B2939" i="2"/>
  <c r="N2938" i="2"/>
  <c r="M2938" i="2"/>
  <c r="L2938" i="2" a="1"/>
  <c r="L2938" i="2" s="1"/>
  <c r="K2938" i="2" a="1"/>
  <c r="K2938" i="2" s="1"/>
  <c r="J2938" i="2"/>
  <c r="B2938" i="2"/>
  <c r="N2937" i="2"/>
  <c r="M2937" i="2"/>
  <c r="L2937" i="2" a="1"/>
  <c r="L2937" i="2" s="1"/>
  <c r="K2937" i="2" a="1"/>
  <c r="K2937" i="2" s="1"/>
  <c r="J2937" i="2"/>
  <c r="B2937" i="2"/>
  <c r="N2936" i="2"/>
  <c r="M2936" i="2"/>
  <c r="L2936" i="2" a="1"/>
  <c r="L2936" i="2" s="1"/>
  <c r="K2936" i="2" a="1"/>
  <c r="K2936" i="2" s="1"/>
  <c r="J2936" i="2"/>
  <c r="B2936" i="2"/>
  <c r="N2935" i="2"/>
  <c r="M2935" i="2"/>
  <c r="L2935" i="2" a="1"/>
  <c r="L2935" i="2" s="1"/>
  <c r="K2935" i="2" a="1"/>
  <c r="K2935" i="2" s="1"/>
  <c r="J2935" i="2"/>
  <c r="B2935" i="2"/>
  <c r="N2934" i="2"/>
  <c r="M2934" i="2"/>
  <c r="L2934" i="2" a="1"/>
  <c r="L2934" i="2" s="1"/>
  <c r="K2934" i="2" a="1"/>
  <c r="K2934" i="2" s="1"/>
  <c r="J2934" i="2"/>
  <c r="B2934" i="2"/>
  <c r="N2933" i="2"/>
  <c r="M2933" i="2"/>
  <c r="L2933" i="2" a="1"/>
  <c r="L2933" i="2" s="1"/>
  <c r="K2933" i="2" a="1"/>
  <c r="K2933" i="2" s="1"/>
  <c r="J2933" i="2"/>
  <c r="B2933" i="2"/>
  <c r="N2932" i="2"/>
  <c r="M2932" i="2"/>
  <c r="L2932" i="2" a="1"/>
  <c r="L2932" i="2" s="1"/>
  <c r="K2932" i="2" a="1"/>
  <c r="K2932" i="2" s="1"/>
  <c r="J2932" i="2"/>
  <c r="B2932" i="2"/>
  <c r="N2931" i="2"/>
  <c r="M2931" i="2"/>
  <c r="L2931" i="2" a="1"/>
  <c r="L2931" i="2" s="1"/>
  <c r="K2931" i="2" a="1"/>
  <c r="K2931" i="2" s="1"/>
  <c r="J2931" i="2"/>
  <c r="B2931" i="2"/>
  <c r="N2930" i="2"/>
  <c r="M2930" i="2"/>
  <c r="L2930" i="2" a="1"/>
  <c r="L2930" i="2" s="1"/>
  <c r="K2930" i="2" a="1"/>
  <c r="K2930" i="2" s="1"/>
  <c r="J2930" i="2"/>
  <c r="B2930" i="2"/>
  <c r="N2929" i="2"/>
  <c r="M2929" i="2"/>
  <c r="L2929" i="2" a="1"/>
  <c r="L2929" i="2" s="1"/>
  <c r="K2929" i="2" a="1"/>
  <c r="K2929" i="2" s="1"/>
  <c r="J2929" i="2"/>
  <c r="B2929" i="2"/>
  <c r="N2928" i="2"/>
  <c r="M2928" i="2"/>
  <c r="L2928" i="2" a="1"/>
  <c r="L2928" i="2" s="1"/>
  <c r="K2928" i="2" a="1"/>
  <c r="K2928" i="2" s="1"/>
  <c r="J2928" i="2"/>
  <c r="B2928" i="2"/>
  <c r="N2927" i="2"/>
  <c r="M2927" i="2"/>
  <c r="L2927" i="2" a="1"/>
  <c r="L2927" i="2" s="1"/>
  <c r="K2927" i="2" a="1"/>
  <c r="K2927" i="2" s="1"/>
  <c r="J2927" i="2"/>
  <c r="B2927" i="2"/>
  <c r="N2926" i="2"/>
  <c r="M2926" i="2"/>
  <c r="L2926" i="2" a="1"/>
  <c r="L2926" i="2" s="1"/>
  <c r="K2926" i="2" a="1"/>
  <c r="K2926" i="2" s="1"/>
  <c r="J2926" i="2"/>
  <c r="B2926" i="2"/>
  <c r="N2925" i="2"/>
  <c r="M2925" i="2"/>
  <c r="L2925" i="2" a="1"/>
  <c r="L2925" i="2" s="1"/>
  <c r="K2925" i="2" a="1"/>
  <c r="K2925" i="2" s="1"/>
  <c r="J2925" i="2"/>
  <c r="B2925" i="2"/>
  <c r="N2924" i="2"/>
  <c r="M2924" i="2"/>
  <c r="L2924" i="2" a="1"/>
  <c r="L2924" i="2" s="1"/>
  <c r="K2924" i="2" a="1"/>
  <c r="K2924" i="2" s="1"/>
  <c r="J2924" i="2"/>
  <c r="B2924" i="2"/>
  <c r="N2923" i="2"/>
  <c r="M2923" i="2"/>
  <c r="L2923" i="2" a="1"/>
  <c r="L2923" i="2" s="1"/>
  <c r="K2923" i="2" a="1"/>
  <c r="K2923" i="2" s="1"/>
  <c r="J2923" i="2"/>
  <c r="B2923" i="2"/>
  <c r="N2922" i="2"/>
  <c r="M2922" i="2"/>
  <c r="L2922" i="2" a="1"/>
  <c r="L2922" i="2" s="1"/>
  <c r="K2922" i="2" a="1"/>
  <c r="K2922" i="2" s="1"/>
  <c r="J2922" i="2"/>
  <c r="B2922" i="2"/>
  <c r="N2921" i="2"/>
  <c r="M2921" i="2"/>
  <c r="L2921" i="2" a="1"/>
  <c r="L2921" i="2" s="1"/>
  <c r="K2921" i="2" a="1"/>
  <c r="K2921" i="2" s="1"/>
  <c r="J2921" i="2"/>
  <c r="B2921" i="2"/>
  <c r="N2920" i="2"/>
  <c r="M2920" i="2"/>
  <c r="L2920" i="2" a="1"/>
  <c r="L2920" i="2" s="1"/>
  <c r="K2920" i="2" a="1"/>
  <c r="K2920" i="2" s="1"/>
  <c r="J2920" i="2"/>
  <c r="B2920" i="2"/>
  <c r="N2919" i="2"/>
  <c r="M2919" i="2"/>
  <c r="L2919" i="2" a="1"/>
  <c r="L2919" i="2" s="1"/>
  <c r="K2919" i="2" a="1"/>
  <c r="K2919" i="2" s="1"/>
  <c r="J2919" i="2"/>
  <c r="B2919" i="2"/>
  <c r="N2918" i="2"/>
  <c r="M2918" i="2"/>
  <c r="L2918" i="2" a="1"/>
  <c r="L2918" i="2" s="1"/>
  <c r="K2918" i="2" a="1"/>
  <c r="K2918" i="2" s="1"/>
  <c r="J2918" i="2"/>
  <c r="B2918" i="2"/>
  <c r="N2917" i="2"/>
  <c r="M2917" i="2"/>
  <c r="L2917" i="2" a="1"/>
  <c r="L2917" i="2" s="1"/>
  <c r="K2917" i="2" a="1"/>
  <c r="K2917" i="2" s="1"/>
  <c r="J2917" i="2"/>
  <c r="B2917" i="2"/>
  <c r="N2916" i="2"/>
  <c r="M2916" i="2"/>
  <c r="L2916" i="2" a="1"/>
  <c r="L2916" i="2" s="1"/>
  <c r="K2916" i="2" a="1"/>
  <c r="K2916" i="2" s="1"/>
  <c r="J2916" i="2"/>
  <c r="B2916" i="2"/>
  <c r="N2915" i="2"/>
  <c r="M2915" i="2"/>
  <c r="L2915" i="2" a="1"/>
  <c r="L2915" i="2" s="1"/>
  <c r="K2915" i="2" a="1"/>
  <c r="K2915" i="2" s="1"/>
  <c r="J2915" i="2"/>
  <c r="B2915" i="2"/>
  <c r="N2914" i="2"/>
  <c r="M2914" i="2"/>
  <c r="L2914" i="2" a="1"/>
  <c r="L2914" i="2" s="1"/>
  <c r="K2914" i="2" a="1"/>
  <c r="K2914" i="2" s="1"/>
  <c r="J2914" i="2"/>
  <c r="B2914" i="2"/>
  <c r="N2913" i="2"/>
  <c r="M2913" i="2"/>
  <c r="L2913" i="2" a="1"/>
  <c r="L2913" i="2" s="1"/>
  <c r="K2913" i="2" a="1"/>
  <c r="K2913" i="2" s="1"/>
  <c r="J2913" i="2"/>
  <c r="B2913" i="2"/>
  <c r="N2912" i="2"/>
  <c r="M2912" i="2"/>
  <c r="L2912" i="2" a="1"/>
  <c r="L2912" i="2" s="1"/>
  <c r="K2912" i="2" a="1"/>
  <c r="K2912" i="2" s="1"/>
  <c r="J2912" i="2"/>
  <c r="B2912" i="2"/>
  <c r="N2911" i="2"/>
  <c r="M2911" i="2"/>
  <c r="L2911" i="2" a="1"/>
  <c r="L2911" i="2" s="1"/>
  <c r="K2911" i="2" a="1"/>
  <c r="K2911" i="2" s="1"/>
  <c r="J2911" i="2"/>
  <c r="B2911" i="2"/>
  <c r="N2910" i="2"/>
  <c r="M2910" i="2"/>
  <c r="L2910" i="2" a="1"/>
  <c r="L2910" i="2" s="1"/>
  <c r="K2910" i="2" a="1"/>
  <c r="K2910" i="2" s="1"/>
  <c r="J2910" i="2"/>
  <c r="B2910" i="2"/>
  <c r="N2909" i="2"/>
  <c r="M2909" i="2"/>
  <c r="L2909" i="2" a="1"/>
  <c r="L2909" i="2" s="1"/>
  <c r="K2909" i="2" a="1"/>
  <c r="K2909" i="2" s="1"/>
  <c r="J2909" i="2"/>
  <c r="B2909" i="2"/>
  <c r="N2908" i="2"/>
  <c r="M2908" i="2"/>
  <c r="L2908" i="2" a="1"/>
  <c r="L2908" i="2" s="1"/>
  <c r="K2908" i="2" a="1"/>
  <c r="K2908" i="2" s="1"/>
  <c r="J2908" i="2"/>
  <c r="B2908" i="2"/>
  <c r="N2907" i="2"/>
  <c r="M2907" i="2"/>
  <c r="L2907" i="2" a="1"/>
  <c r="L2907" i="2" s="1"/>
  <c r="K2907" i="2" a="1"/>
  <c r="K2907" i="2" s="1"/>
  <c r="J2907" i="2"/>
  <c r="B2907" i="2"/>
  <c r="N2906" i="2"/>
  <c r="M2906" i="2"/>
  <c r="L2906" i="2" a="1"/>
  <c r="L2906" i="2" s="1"/>
  <c r="K2906" i="2" a="1"/>
  <c r="K2906" i="2" s="1"/>
  <c r="J2906" i="2"/>
  <c r="B2906" i="2"/>
  <c r="V2905" i="2"/>
  <c r="N2905" i="2"/>
  <c r="M2905" i="2"/>
  <c r="L2905" i="2" a="1"/>
  <c r="L2905" i="2" s="1"/>
  <c r="K2905" i="2" a="1"/>
  <c r="K2905" i="2" s="1"/>
  <c r="J2905" i="2"/>
  <c r="B2905" i="2"/>
  <c r="N2904" i="2"/>
  <c r="M2904" i="2"/>
  <c r="L2904" i="2" a="1"/>
  <c r="L2904" i="2" s="1"/>
  <c r="K2904" i="2" a="1"/>
  <c r="K2904" i="2" s="1"/>
  <c r="J2904" i="2"/>
  <c r="B2904" i="2"/>
  <c r="N2903" i="2"/>
  <c r="M2903" i="2"/>
  <c r="L2903" i="2" a="1"/>
  <c r="L2903" i="2" s="1"/>
  <c r="K2903" i="2" a="1"/>
  <c r="K2903" i="2" s="1"/>
  <c r="J2903" i="2"/>
  <c r="B2903" i="2"/>
  <c r="N2902" i="2"/>
  <c r="M2902" i="2"/>
  <c r="L2902" i="2" a="1"/>
  <c r="L2902" i="2" s="1"/>
  <c r="K2902" i="2" a="1"/>
  <c r="K2902" i="2" s="1"/>
  <c r="J2902" i="2"/>
  <c r="B2902" i="2"/>
  <c r="N2901" i="2"/>
  <c r="M2901" i="2"/>
  <c r="L2901" i="2" a="1"/>
  <c r="L2901" i="2" s="1"/>
  <c r="K2901" i="2" a="1"/>
  <c r="K2901" i="2" s="1"/>
  <c r="J2901" i="2"/>
  <c r="B2901" i="2"/>
  <c r="N2900" i="2"/>
  <c r="M2900" i="2"/>
  <c r="L2900" i="2" a="1"/>
  <c r="L2900" i="2" s="1"/>
  <c r="K2900" i="2" a="1"/>
  <c r="K2900" i="2" s="1"/>
  <c r="J2900" i="2"/>
  <c r="B2900" i="2"/>
  <c r="N2899" i="2"/>
  <c r="M2899" i="2"/>
  <c r="L2899" i="2" a="1"/>
  <c r="L2899" i="2" s="1"/>
  <c r="K2899" i="2" a="1"/>
  <c r="K2899" i="2" s="1"/>
  <c r="J2899" i="2"/>
  <c r="B2899" i="2"/>
  <c r="N2898" i="2"/>
  <c r="M2898" i="2"/>
  <c r="L2898" i="2" a="1"/>
  <c r="L2898" i="2" s="1"/>
  <c r="K2898" i="2" a="1"/>
  <c r="K2898" i="2" s="1"/>
  <c r="J2898" i="2"/>
  <c r="B2898" i="2"/>
  <c r="U2897" i="2"/>
  <c r="A2896" i="2"/>
  <c r="J2895" i="2"/>
  <c r="N2894" i="2"/>
  <c r="M2894" i="2"/>
  <c r="L2894" i="2" a="1"/>
  <c r="L2894" i="2" s="1"/>
  <c r="K2894" i="2" a="1"/>
  <c r="K2894" i="2" s="1"/>
  <c r="J2894" i="2"/>
  <c r="B2894" i="2"/>
  <c r="N2893" i="2"/>
  <c r="M2893" i="2"/>
  <c r="L2893" i="2" a="1"/>
  <c r="L2893" i="2" s="1"/>
  <c r="K2893" i="2" a="1"/>
  <c r="K2893" i="2" s="1"/>
  <c r="J2893" i="2"/>
  <c r="B2893" i="2"/>
  <c r="N2892" i="2"/>
  <c r="M2892" i="2"/>
  <c r="L2892" i="2" a="1"/>
  <c r="L2892" i="2" s="1"/>
  <c r="K2892" i="2" a="1"/>
  <c r="K2892" i="2" s="1"/>
  <c r="J2892" i="2"/>
  <c r="B2892" i="2"/>
  <c r="N2891" i="2"/>
  <c r="M2891" i="2"/>
  <c r="L2891" i="2" a="1"/>
  <c r="L2891" i="2" s="1"/>
  <c r="K2891" i="2" a="1"/>
  <c r="K2891" i="2" s="1"/>
  <c r="J2891" i="2"/>
  <c r="B2891" i="2"/>
  <c r="N2890" i="2"/>
  <c r="M2890" i="2"/>
  <c r="L2890" i="2" a="1"/>
  <c r="L2890" i="2" s="1"/>
  <c r="K2890" i="2" a="1"/>
  <c r="K2890" i="2" s="1"/>
  <c r="J2890" i="2"/>
  <c r="B2890" i="2"/>
  <c r="N2889" i="2"/>
  <c r="M2889" i="2"/>
  <c r="L2889" i="2" a="1"/>
  <c r="L2889" i="2" s="1"/>
  <c r="K2889" i="2" a="1"/>
  <c r="K2889" i="2" s="1"/>
  <c r="J2889" i="2"/>
  <c r="B2889" i="2"/>
  <c r="N2888" i="2"/>
  <c r="M2888" i="2"/>
  <c r="L2888" i="2" a="1"/>
  <c r="L2888" i="2" s="1"/>
  <c r="K2888" i="2" a="1"/>
  <c r="K2888" i="2" s="1"/>
  <c r="J2888" i="2"/>
  <c r="B2888" i="2"/>
  <c r="N2887" i="2"/>
  <c r="M2887" i="2"/>
  <c r="L2887" i="2" a="1"/>
  <c r="L2887" i="2" s="1"/>
  <c r="K2887" i="2" a="1"/>
  <c r="K2887" i="2" s="1"/>
  <c r="J2887" i="2"/>
  <c r="B2887" i="2"/>
  <c r="N2886" i="2"/>
  <c r="M2886" i="2"/>
  <c r="L2886" i="2" a="1"/>
  <c r="L2886" i="2" s="1"/>
  <c r="K2886" i="2" a="1"/>
  <c r="K2886" i="2" s="1"/>
  <c r="J2886" i="2"/>
  <c r="B2886" i="2"/>
  <c r="N2885" i="2"/>
  <c r="M2885" i="2"/>
  <c r="L2885" i="2" a="1"/>
  <c r="L2885" i="2" s="1"/>
  <c r="K2885" i="2" a="1"/>
  <c r="K2885" i="2" s="1"/>
  <c r="J2885" i="2"/>
  <c r="B2885" i="2"/>
  <c r="N2884" i="2"/>
  <c r="M2884" i="2"/>
  <c r="L2884" i="2" a="1"/>
  <c r="L2884" i="2" s="1"/>
  <c r="K2884" i="2" a="1"/>
  <c r="K2884" i="2" s="1"/>
  <c r="J2884" i="2"/>
  <c r="B2884" i="2"/>
  <c r="N2883" i="2"/>
  <c r="M2883" i="2"/>
  <c r="L2883" i="2" a="1"/>
  <c r="L2883" i="2" s="1"/>
  <c r="K2883" i="2" a="1"/>
  <c r="K2883" i="2" s="1"/>
  <c r="J2883" i="2"/>
  <c r="B2883" i="2"/>
  <c r="N2882" i="2"/>
  <c r="M2882" i="2"/>
  <c r="L2882" i="2" a="1"/>
  <c r="L2882" i="2" s="1"/>
  <c r="K2882" i="2" a="1"/>
  <c r="K2882" i="2" s="1"/>
  <c r="J2882" i="2"/>
  <c r="B2882" i="2"/>
  <c r="N2881" i="2"/>
  <c r="M2881" i="2"/>
  <c r="L2881" i="2" a="1"/>
  <c r="L2881" i="2" s="1"/>
  <c r="K2881" i="2" a="1"/>
  <c r="K2881" i="2" s="1"/>
  <c r="J2881" i="2"/>
  <c r="B2881" i="2"/>
  <c r="N2880" i="2"/>
  <c r="M2880" i="2"/>
  <c r="L2880" i="2" a="1"/>
  <c r="L2880" i="2" s="1"/>
  <c r="K2880" i="2" a="1"/>
  <c r="K2880" i="2" s="1"/>
  <c r="J2880" i="2"/>
  <c r="B2880" i="2"/>
  <c r="N2879" i="2"/>
  <c r="M2879" i="2"/>
  <c r="L2879" i="2" a="1"/>
  <c r="L2879" i="2" s="1"/>
  <c r="K2879" i="2" a="1"/>
  <c r="K2879" i="2" s="1"/>
  <c r="J2879" i="2"/>
  <c r="B2879" i="2"/>
  <c r="N2878" i="2"/>
  <c r="M2878" i="2"/>
  <c r="L2878" i="2" a="1"/>
  <c r="L2878" i="2" s="1"/>
  <c r="K2878" i="2" a="1"/>
  <c r="K2878" i="2" s="1"/>
  <c r="J2878" i="2"/>
  <c r="B2878" i="2"/>
  <c r="N2877" i="2"/>
  <c r="M2877" i="2"/>
  <c r="L2877" i="2" a="1"/>
  <c r="L2877" i="2" s="1"/>
  <c r="K2877" i="2" a="1"/>
  <c r="K2877" i="2" s="1"/>
  <c r="J2877" i="2"/>
  <c r="B2877" i="2"/>
  <c r="N2876" i="2"/>
  <c r="M2876" i="2"/>
  <c r="L2876" i="2" a="1"/>
  <c r="L2876" i="2" s="1"/>
  <c r="K2876" i="2" a="1"/>
  <c r="K2876" i="2" s="1"/>
  <c r="J2876" i="2"/>
  <c r="B2876" i="2"/>
  <c r="N2875" i="2"/>
  <c r="M2875" i="2"/>
  <c r="L2875" i="2" a="1"/>
  <c r="L2875" i="2" s="1"/>
  <c r="K2875" i="2" a="1"/>
  <c r="K2875" i="2" s="1"/>
  <c r="J2875" i="2"/>
  <c r="B2875" i="2"/>
  <c r="N2874" i="2"/>
  <c r="M2874" i="2"/>
  <c r="L2874" i="2" a="1"/>
  <c r="L2874" i="2" s="1"/>
  <c r="K2874" i="2" a="1"/>
  <c r="K2874" i="2" s="1"/>
  <c r="J2874" i="2"/>
  <c r="B2874" i="2"/>
  <c r="N2873" i="2"/>
  <c r="M2873" i="2"/>
  <c r="L2873" i="2" a="1"/>
  <c r="L2873" i="2" s="1"/>
  <c r="K2873" i="2" a="1"/>
  <c r="K2873" i="2" s="1"/>
  <c r="J2873" i="2"/>
  <c r="B2873" i="2"/>
  <c r="N2872" i="2"/>
  <c r="M2872" i="2"/>
  <c r="L2872" i="2" a="1"/>
  <c r="L2872" i="2" s="1"/>
  <c r="K2872" i="2" a="1"/>
  <c r="K2872" i="2" s="1"/>
  <c r="J2872" i="2"/>
  <c r="B2872" i="2"/>
  <c r="N2871" i="2"/>
  <c r="M2871" i="2"/>
  <c r="L2871" i="2" a="1"/>
  <c r="L2871" i="2" s="1"/>
  <c r="K2871" i="2" a="1"/>
  <c r="K2871" i="2" s="1"/>
  <c r="J2871" i="2"/>
  <c r="B2871" i="2"/>
  <c r="N2870" i="2"/>
  <c r="M2870" i="2"/>
  <c r="L2870" i="2" a="1"/>
  <c r="L2870" i="2" s="1"/>
  <c r="K2870" i="2" a="1"/>
  <c r="K2870" i="2" s="1"/>
  <c r="J2870" i="2"/>
  <c r="B2870" i="2"/>
  <c r="N2869" i="2"/>
  <c r="M2869" i="2"/>
  <c r="L2869" i="2" a="1"/>
  <c r="L2869" i="2" s="1"/>
  <c r="K2869" i="2" a="1"/>
  <c r="K2869" i="2" s="1"/>
  <c r="J2869" i="2"/>
  <c r="B2869" i="2"/>
  <c r="N2868" i="2"/>
  <c r="M2868" i="2"/>
  <c r="L2868" i="2" a="1"/>
  <c r="L2868" i="2" s="1"/>
  <c r="K2868" i="2" a="1"/>
  <c r="K2868" i="2" s="1"/>
  <c r="J2868" i="2"/>
  <c r="B2868" i="2"/>
  <c r="N2867" i="2"/>
  <c r="M2867" i="2"/>
  <c r="L2867" i="2" a="1"/>
  <c r="L2867" i="2" s="1"/>
  <c r="K2867" i="2" a="1"/>
  <c r="K2867" i="2" s="1"/>
  <c r="J2867" i="2"/>
  <c r="B2867" i="2"/>
  <c r="N2866" i="2"/>
  <c r="M2866" i="2"/>
  <c r="L2866" i="2" a="1"/>
  <c r="L2866" i="2" s="1"/>
  <c r="K2866" i="2" a="1"/>
  <c r="K2866" i="2" s="1"/>
  <c r="J2866" i="2"/>
  <c r="B2866" i="2"/>
  <c r="N2865" i="2"/>
  <c r="M2865" i="2"/>
  <c r="L2865" i="2" a="1"/>
  <c r="L2865" i="2" s="1"/>
  <c r="K2865" i="2" a="1"/>
  <c r="K2865" i="2" s="1"/>
  <c r="J2865" i="2"/>
  <c r="B2865" i="2"/>
  <c r="N2864" i="2"/>
  <c r="M2864" i="2"/>
  <c r="L2864" i="2" a="1"/>
  <c r="L2864" i="2" s="1"/>
  <c r="K2864" i="2" a="1"/>
  <c r="K2864" i="2" s="1"/>
  <c r="J2864" i="2"/>
  <c r="B2864" i="2"/>
  <c r="N2863" i="2"/>
  <c r="M2863" i="2"/>
  <c r="L2863" i="2" a="1"/>
  <c r="L2863" i="2" s="1"/>
  <c r="K2863" i="2" a="1"/>
  <c r="K2863" i="2" s="1"/>
  <c r="J2863" i="2"/>
  <c r="B2863" i="2"/>
  <c r="N2862" i="2"/>
  <c r="M2862" i="2"/>
  <c r="L2862" i="2" a="1"/>
  <c r="L2862" i="2" s="1"/>
  <c r="K2862" i="2" a="1"/>
  <c r="K2862" i="2" s="1"/>
  <c r="J2862" i="2"/>
  <c r="B2862" i="2"/>
  <c r="N2861" i="2"/>
  <c r="M2861" i="2"/>
  <c r="L2861" i="2" a="1"/>
  <c r="L2861" i="2" s="1"/>
  <c r="K2861" i="2" a="1"/>
  <c r="K2861" i="2" s="1"/>
  <c r="J2861" i="2"/>
  <c r="B2861" i="2"/>
  <c r="N2860" i="2"/>
  <c r="M2860" i="2"/>
  <c r="L2860" i="2" a="1"/>
  <c r="L2860" i="2" s="1"/>
  <c r="K2860" i="2" a="1"/>
  <c r="K2860" i="2" s="1"/>
  <c r="J2860" i="2"/>
  <c r="B2860" i="2"/>
  <c r="N2859" i="2"/>
  <c r="M2859" i="2"/>
  <c r="L2859" i="2" a="1"/>
  <c r="L2859" i="2" s="1"/>
  <c r="K2859" i="2" a="1"/>
  <c r="K2859" i="2" s="1"/>
  <c r="J2859" i="2"/>
  <c r="B2859" i="2"/>
  <c r="N2858" i="2"/>
  <c r="M2858" i="2"/>
  <c r="L2858" i="2" a="1"/>
  <c r="L2858" i="2" s="1"/>
  <c r="K2858" i="2" a="1"/>
  <c r="K2858" i="2" s="1"/>
  <c r="J2858" i="2"/>
  <c r="B2858" i="2"/>
  <c r="N2857" i="2"/>
  <c r="M2857" i="2"/>
  <c r="L2857" i="2" a="1"/>
  <c r="L2857" i="2" s="1"/>
  <c r="K2857" i="2" a="1"/>
  <c r="K2857" i="2" s="1"/>
  <c r="J2857" i="2"/>
  <c r="B2857" i="2"/>
  <c r="N2856" i="2"/>
  <c r="M2856" i="2"/>
  <c r="L2856" i="2" a="1"/>
  <c r="L2856" i="2" s="1"/>
  <c r="K2856" i="2" a="1"/>
  <c r="K2856" i="2" s="1"/>
  <c r="J2856" i="2"/>
  <c r="B2856" i="2"/>
  <c r="N2855" i="2"/>
  <c r="M2855" i="2"/>
  <c r="L2855" i="2" a="1"/>
  <c r="L2855" i="2" s="1"/>
  <c r="K2855" i="2" a="1"/>
  <c r="K2855" i="2" s="1"/>
  <c r="J2855" i="2"/>
  <c r="B2855" i="2"/>
  <c r="N2854" i="2"/>
  <c r="M2854" i="2"/>
  <c r="L2854" i="2" a="1"/>
  <c r="L2854" i="2" s="1"/>
  <c r="K2854" i="2" a="1"/>
  <c r="K2854" i="2" s="1"/>
  <c r="J2854" i="2"/>
  <c r="B2854" i="2"/>
  <c r="N2853" i="2"/>
  <c r="M2853" i="2"/>
  <c r="L2853" i="2" a="1"/>
  <c r="L2853" i="2" s="1"/>
  <c r="K2853" i="2" a="1"/>
  <c r="K2853" i="2" s="1"/>
  <c r="J2853" i="2"/>
  <c r="B2853" i="2"/>
  <c r="N2852" i="2"/>
  <c r="M2852" i="2"/>
  <c r="L2852" i="2" a="1"/>
  <c r="L2852" i="2" s="1"/>
  <c r="K2852" i="2" a="1"/>
  <c r="K2852" i="2" s="1"/>
  <c r="J2852" i="2"/>
  <c r="B2852" i="2"/>
  <c r="N2851" i="2"/>
  <c r="M2851" i="2"/>
  <c r="L2851" i="2" a="1"/>
  <c r="L2851" i="2" s="1"/>
  <c r="K2851" i="2" a="1"/>
  <c r="K2851" i="2" s="1"/>
  <c r="J2851" i="2"/>
  <c r="B2851" i="2"/>
  <c r="N2850" i="2"/>
  <c r="M2850" i="2"/>
  <c r="L2850" i="2" a="1"/>
  <c r="L2850" i="2" s="1"/>
  <c r="K2850" i="2" a="1"/>
  <c r="K2850" i="2" s="1"/>
  <c r="J2850" i="2"/>
  <c r="B2850" i="2"/>
  <c r="N2849" i="2"/>
  <c r="M2849" i="2"/>
  <c r="L2849" i="2" a="1"/>
  <c r="L2849" i="2" s="1"/>
  <c r="K2849" i="2" a="1"/>
  <c r="K2849" i="2" s="1"/>
  <c r="J2849" i="2"/>
  <c r="B2849" i="2"/>
  <c r="N2848" i="2"/>
  <c r="M2848" i="2"/>
  <c r="L2848" i="2" a="1"/>
  <c r="L2848" i="2" s="1"/>
  <c r="K2848" i="2" a="1"/>
  <c r="K2848" i="2" s="1"/>
  <c r="J2848" i="2"/>
  <c r="B2848" i="2"/>
  <c r="N2847" i="2"/>
  <c r="M2847" i="2"/>
  <c r="L2847" i="2" a="1"/>
  <c r="L2847" i="2" s="1"/>
  <c r="K2847" i="2" a="1"/>
  <c r="K2847" i="2" s="1"/>
  <c r="J2847" i="2"/>
  <c r="B2847" i="2"/>
  <c r="N2846" i="2"/>
  <c r="M2846" i="2"/>
  <c r="L2846" i="2" a="1"/>
  <c r="L2846" i="2" s="1"/>
  <c r="K2846" i="2" a="1"/>
  <c r="K2846" i="2" s="1"/>
  <c r="J2846" i="2"/>
  <c r="B2846" i="2"/>
  <c r="N2845" i="2"/>
  <c r="M2845" i="2"/>
  <c r="L2845" i="2" a="1"/>
  <c r="L2845" i="2" s="1"/>
  <c r="K2845" i="2" a="1"/>
  <c r="K2845" i="2" s="1"/>
  <c r="J2845" i="2"/>
  <c r="B2845" i="2"/>
  <c r="N2844" i="2"/>
  <c r="M2844" i="2"/>
  <c r="L2844" i="2" a="1"/>
  <c r="L2844" i="2" s="1"/>
  <c r="K2844" i="2" a="1"/>
  <c r="K2844" i="2" s="1"/>
  <c r="J2844" i="2"/>
  <c r="B2844" i="2"/>
  <c r="N2843" i="2"/>
  <c r="M2843" i="2"/>
  <c r="L2843" i="2" a="1"/>
  <c r="L2843" i="2" s="1"/>
  <c r="K2843" i="2" a="1"/>
  <c r="K2843" i="2" s="1"/>
  <c r="J2843" i="2"/>
  <c r="B2843" i="2"/>
  <c r="N2842" i="2"/>
  <c r="M2842" i="2"/>
  <c r="L2842" i="2" a="1"/>
  <c r="L2842" i="2" s="1"/>
  <c r="K2842" i="2" a="1"/>
  <c r="K2842" i="2" s="1"/>
  <c r="J2842" i="2"/>
  <c r="B2842" i="2"/>
  <c r="N2841" i="2"/>
  <c r="M2841" i="2"/>
  <c r="L2841" i="2" a="1"/>
  <c r="L2841" i="2" s="1"/>
  <c r="K2841" i="2" a="1"/>
  <c r="K2841" i="2" s="1"/>
  <c r="J2841" i="2"/>
  <c r="B2841" i="2"/>
  <c r="N2840" i="2"/>
  <c r="M2840" i="2"/>
  <c r="L2840" i="2" a="1"/>
  <c r="L2840" i="2" s="1"/>
  <c r="K2840" i="2" a="1"/>
  <c r="K2840" i="2" s="1"/>
  <c r="J2840" i="2"/>
  <c r="B2840" i="2"/>
  <c r="N2839" i="2"/>
  <c r="M2839" i="2"/>
  <c r="L2839" i="2" a="1"/>
  <c r="L2839" i="2" s="1"/>
  <c r="K2839" i="2" a="1"/>
  <c r="K2839" i="2" s="1"/>
  <c r="J2839" i="2"/>
  <c r="B2839" i="2"/>
  <c r="N2838" i="2"/>
  <c r="M2838" i="2"/>
  <c r="L2838" i="2" a="1"/>
  <c r="L2838" i="2" s="1"/>
  <c r="K2838" i="2" a="1"/>
  <c r="K2838" i="2" s="1"/>
  <c r="J2838" i="2"/>
  <c r="B2838" i="2"/>
  <c r="N2837" i="2"/>
  <c r="M2837" i="2"/>
  <c r="L2837" i="2" a="1"/>
  <c r="L2837" i="2" s="1"/>
  <c r="K2837" i="2" a="1"/>
  <c r="K2837" i="2" s="1"/>
  <c r="J2837" i="2"/>
  <c r="B2837" i="2"/>
  <c r="N2836" i="2"/>
  <c r="M2836" i="2"/>
  <c r="L2836" i="2" a="1"/>
  <c r="L2836" i="2" s="1"/>
  <c r="K2836" i="2" a="1"/>
  <c r="K2836" i="2" s="1"/>
  <c r="J2836" i="2"/>
  <c r="B2836" i="2"/>
  <c r="N2835" i="2"/>
  <c r="M2835" i="2"/>
  <c r="L2835" i="2" a="1"/>
  <c r="L2835" i="2" s="1"/>
  <c r="K2835" i="2" a="1"/>
  <c r="K2835" i="2" s="1"/>
  <c r="J2835" i="2"/>
  <c r="B2835" i="2"/>
  <c r="N2834" i="2"/>
  <c r="M2834" i="2"/>
  <c r="L2834" i="2" a="1"/>
  <c r="L2834" i="2" s="1"/>
  <c r="K2834" i="2" a="1"/>
  <c r="K2834" i="2" s="1"/>
  <c r="J2834" i="2"/>
  <c r="B2834" i="2"/>
  <c r="N2833" i="2"/>
  <c r="M2833" i="2"/>
  <c r="L2833" i="2" a="1"/>
  <c r="L2833" i="2" s="1"/>
  <c r="K2833" i="2" a="1"/>
  <c r="K2833" i="2" s="1"/>
  <c r="J2833" i="2"/>
  <c r="B2833" i="2"/>
  <c r="N2832" i="2"/>
  <c r="M2832" i="2"/>
  <c r="L2832" i="2" a="1"/>
  <c r="L2832" i="2" s="1"/>
  <c r="K2832" i="2" a="1"/>
  <c r="K2832" i="2" s="1"/>
  <c r="J2832" i="2"/>
  <c r="B2832" i="2"/>
  <c r="N2831" i="2"/>
  <c r="M2831" i="2"/>
  <c r="L2831" i="2" a="1"/>
  <c r="L2831" i="2" s="1"/>
  <c r="K2831" i="2" a="1"/>
  <c r="K2831" i="2" s="1"/>
  <c r="J2831" i="2"/>
  <c r="B2831" i="2"/>
  <c r="N2830" i="2"/>
  <c r="M2830" i="2"/>
  <c r="L2830" i="2" a="1"/>
  <c r="L2830" i="2" s="1"/>
  <c r="K2830" i="2" a="1"/>
  <c r="K2830" i="2" s="1"/>
  <c r="J2830" i="2"/>
  <c r="B2830" i="2"/>
  <c r="N2829" i="2"/>
  <c r="M2829" i="2"/>
  <c r="L2829" i="2" a="1"/>
  <c r="L2829" i="2" s="1"/>
  <c r="K2829" i="2" a="1"/>
  <c r="K2829" i="2" s="1"/>
  <c r="J2829" i="2"/>
  <c r="B2829" i="2"/>
  <c r="N2828" i="2"/>
  <c r="M2828" i="2"/>
  <c r="L2828" i="2" a="1"/>
  <c r="L2828" i="2" s="1"/>
  <c r="K2828" i="2" a="1"/>
  <c r="K2828" i="2" s="1"/>
  <c r="J2828" i="2"/>
  <c r="B2828" i="2"/>
  <c r="N2827" i="2"/>
  <c r="M2827" i="2"/>
  <c r="L2827" i="2" a="1"/>
  <c r="L2827" i="2" s="1"/>
  <c r="K2827" i="2" a="1"/>
  <c r="K2827" i="2" s="1"/>
  <c r="J2827" i="2"/>
  <c r="B2827" i="2"/>
  <c r="N2826" i="2"/>
  <c r="M2826" i="2"/>
  <c r="L2826" i="2" a="1"/>
  <c r="L2826" i="2" s="1"/>
  <c r="K2826" i="2" a="1"/>
  <c r="K2826" i="2" s="1"/>
  <c r="J2826" i="2"/>
  <c r="B2826" i="2"/>
  <c r="N2825" i="2"/>
  <c r="M2825" i="2"/>
  <c r="L2825" i="2" a="1"/>
  <c r="L2825" i="2" s="1"/>
  <c r="K2825" i="2" a="1"/>
  <c r="K2825" i="2" s="1"/>
  <c r="J2825" i="2"/>
  <c r="B2825" i="2"/>
  <c r="N2824" i="2"/>
  <c r="M2824" i="2"/>
  <c r="L2824" i="2" a="1"/>
  <c r="L2824" i="2" s="1"/>
  <c r="K2824" i="2" a="1"/>
  <c r="K2824" i="2" s="1"/>
  <c r="J2824" i="2"/>
  <c r="B2824" i="2"/>
  <c r="N2823" i="2"/>
  <c r="M2823" i="2"/>
  <c r="L2823" i="2" a="1"/>
  <c r="L2823" i="2" s="1"/>
  <c r="K2823" i="2" a="1"/>
  <c r="K2823" i="2" s="1"/>
  <c r="J2823" i="2"/>
  <c r="B2823" i="2"/>
  <c r="N2822" i="2"/>
  <c r="M2822" i="2"/>
  <c r="L2822" i="2" a="1"/>
  <c r="L2822" i="2" s="1"/>
  <c r="K2822" i="2" a="1"/>
  <c r="K2822" i="2" s="1"/>
  <c r="J2822" i="2"/>
  <c r="B2822" i="2"/>
  <c r="N2821" i="2"/>
  <c r="M2821" i="2"/>
  <c r="L2821" i="2" a="1"/>
  <c r="L2821" i="2" s="1"/>
  <c r="K2821" i="2" a="1"/>
  <c r="K2821" i="2" s="1"/>
  <c r="J2821" i="2"/>
  <c r="B2821" i="2"/>
  <c r="N2820" i="2"/>
  <c r="M2820" i="2"/>
  <c r="L2820" i="2" a="1"/>
  <c r="L2820" i="2" s="1"/>
  <c r="K2820" i="2" a="1"/>
  <c r="K2820" i="2" s="1"/>
  <c r="J2820" i="2"/>
  <c r="B2820" i="2"/>
  <c r="N2819" i="2"/>
  <c r="M2819" i="2"/>
  <c r="L2819" i="2" a="1"/>
  <c r="L2819" i="2" s="1"/>
  <c r="K2819" i="2" a="1"/>
  <c r="K2819" i="2" s="1"/>
  <c r="J2819" i="2"/>
  <c r="B2819" i="2"/>
  <c r="N2818" i="2"/>
  <c r="M2818" i="2"/>
  <c r="L2818" i="2" a="1"/>
  <c r="L2818" i="2" s="1"/>
  <c r="K2818" i="2" a="1"/>
  <c r="K2818" i="2" s="1"/>
  <c r="J2818" i="2"/>
  <c r="B2818" i="2"/>
  <c r="N2817" i="2"/>
  <c r="M2817" i="2"/>
  <c r="L2817" i="2" a="1"/>
  <c r="L2817" i="2" s="1"/>
  <c r="K2817" i="2" a="1"/>
  <c r="K2817" i="2" s="1"/>
  <c r="J2817" i="2"/>
  <c r="B2817" i="2"/>
  <c r="N2816" i="2"/>
  <c r="M2816" i="2"/>
  <c r="L2816" i="2" a="1"/>
  <c r="L2816" i="2" s="1"/>
  <c r="K2816" i="2" a="1"/>
  <c r="K2816" i="2" s="1"/>
  <c r="J2816" i="2"/>
  <c r="B2816" i="2"/>
  <c r="N2815" i="2"/>
  <c r="M2815" i="2"/>
  <c r="L2815" i="2" a="1"/>
  <c r="L2815" i="2" s="1"/>
  <c r="K2815" i="2" a="1"/>
  <c r="K2815" i="2" s="1"/>
  <c r="J2815" i="2"/>
  <c r="B2815" i="2"/>
  <c r="N2814" i="2"/>
  <c r="M2814" i="2"/>
  <c r="L2814" i="2" a="1"/>
  <c r="L2814" i="2" s="1"/>
  <c r="K2814" i="2" a="1"/>
  <c r="K2814" i="2" s="1"/>
  <c r="J2814" i="2"/>
  <c r="B2814" i="2"/>
  <c r="N2813" i="2"/>
  <c r="M2813" i="2"/>
  <c r="L2813" i="2" a="1"/>
  <c r="L2813" i="2" s="1"/>
  <c r="K2813" i="2" a="1"/>
  <c r="K2813" i="2" s="1"/>
  <c r="J2813" i="2"/>
  <c r="B2813" i="2"/>
  <c r="N2812" i="2"/>
  <c r="M2812" i="2"/>
  <c r="L2812" i="2" a="1"/>
  <c r="L2812" i="2" s="1"/>
  <c r="K2812" i="2" a="1"/>
  <c r="K2812" i="2" s="1"/>
  <c r="J2812" i="2"/>
  <c r="B2812" i="2"/>
  <c r="N2811" i="2"/>
  <c r="M2811" i="2"/>
  <c r="L2811" i="2" a="1"/>
  <c r="L2811" i="2" s="1"/>
  <c r="K2811" i="2" a="1"/>
  <c r="K2811" i="2" s="1"/>
  <c r="J2811" i="2"/>
  <c r="B2811" i="2"/>
  <c r="N2810" i="2"/>
  <c r="M2810" i="2"/>
  <c r="L2810" i="2" a="1"/>
  <c r="L2810" i="2" s="1"/>
  <c r="K2810" i="2" a="1"/>
  <c r="K2810" i="2" s="1"/>
  <c r="J2810" i="2"/>
  <c r="B2810" i="2"/>
  <c r="N2809" i="2"/>
  <c r="M2809" i="2"/>
  <c r="L2809" i="2" a="1"/>
  <c r="L2809" i="2" s="1"/>
  <c r="K2809" i="2" a="1"/>
  <c r="K2809" i="2" s="1"/>
  <c r="J2809" i="2"/>
  <c r="B2809" i="2"/>
  <c r="N2808" i="2"/>
  <c r="M2808" i="2"/>
  <c r="L2808" i="2" a="1"/>
  <c r="L2808" i="2" s="1"/>
  <c r="K2808" i="2" a="1"/>
  <c r="K2808" i="2" s="1"/>
  <c r="J2808" i="2"/>
  <c r="B2808" i="2"/>
  <c r="N2807" i="2"/>
  <c r="M2807" i="2"/>
  <c r="L2807" i="2" a="1"/>
  <c r="L2807" i="2" s="1"/>
  <c r="K2807" i="2" a="1"/>
  <c r="K2807" i="2" s="1"/>
  <c r="J2807" i="2"/>
  <c r="B2807" i="2"/>
  <c r="N2806" i="2"/>
  <c r="M2806" i="2"/>
  <c r="L2806" i="2" a="1"/>
  <c r="L2806" i="2" s="1"/>
  <c r="K2806" i="2" a="1"/>
  <c r="K2806" i="2" s="1"/>
  <c r="J2806" i="2"/>
  <c r="B2806" i="2"/>
  <c r="N2805" i="2"/>
  <c r="M2805" i="2"/>
  <c r="L2805" i="2" a="1"/>
  <c r="L2805" i="2" s="1"/>
  <c r="K2805" i="2" a="1"/>
  <c r="K2805" i="2" s="1"/>
  <c r="J2805" i="2"/>
  <c r="B2805" i="2"/>
  <c r="N2804" i="2"/>
  <c r="M2804" i="2"/>
  <c r="L2804" i="2" a="1"/>
  <c r="L2804" i="2" s="1"/>
  <c r="K2804" i="2" a="1"/>
  <c r="K2804" i="2" s="1"/>
  <c r="J2804" i="2"/>
  <c r="B2804" i="2"/>
  <c r="N2803" i="2"/>
  <c r="M2803" i="2"/>
  <c r="L2803" i="2" a="1"/>
  <c r="L2803" i="2" s="1"/>
  <c r="K2803" i="2" a="1"/>
  <c r="K2803" i="2" s="1"/>
  <c r="J2803" i="2"/>
  <c r="B2803" i="2"/>
  <c r="V2802" i="2"/>
  <c r="N2802" i="2"/>
  <c r="M2802" i="2"/>
  <c r="L2802" i="2" a="1"/>
  <c r="L2802" i="2" s="1"/>
  <c r="K2802" i="2" a="1"/>
  <c r="K2802" i="2" s="1"/>
  <c r="J2802" i="2"/>
  <c r="B2802" i="2"/>
  <c r="N2801" i="2"/>
  <c r="M2801" i="2"/>
  <c r="L2801" i="2" a="1"/>
  <c r="L2801" i="2" s="1"/>
  <c r="K2801" i="2" a="1"/>
  <c r="K2801" i="2" s="1"/>
  <c r="J2801" i="2"/>
  <c r="B2801" i="2"/>
  <c r="N2800" i="2"/>
  <c r="M2800" i="2"/>
  <c r="L2800" i="2" a="1"/>
  <c r="L2800" i="2" s="1"/>
  <c r="K2800" i="2" a="1"/>
  <c r="K2800" i="2" s="1"/>
  <c r="J2800" i="2"/>
  <c r="B2800" i="2"/>
  <c r="N2799" i="2"/>
  <c r="M2799" i="2"/>
  <c r="L2799" i="2" a="1"/>
  <c r="L2799" i="2" s="1"/>
  <c r="K2799" i="2" a="1"/>
  <c r="K2799" i="2" s="1"/>
  <c r="J2799" i="2"/>
  <c r="B2799" i="2"/>
  <c r="N2798" i="2"/>
  <c r="M2798" i="2"/>
  <c r="L2798" i="2" a="1"/>
  <c r="L2798" i="2" s="1"/>
  <c r="K2798" i="2" a="1"/>
  <c r="K2798" i="2" s="1"/>
  <c r="J2798" i="2"/>
  <c r="B2798" i="2"/>
  <c r="N2797" i="2"/>
  <c r="M2797" i="2"/>
  <c r="L2797" i="2" a="1"/>
  <c r="L2797" i="2" s="1"/>
  <c r="K2797" i="2" a="1"/>
  <c r="K2797" i="2" s="1"/>
  <c r="J2797" i="2"/>
  <c r="B2797" i="2"/>
  <c r="N2796" i="2"/>
  <c r="M2796" i="2"/>
  <c r="L2796" i="2" a="1"/>
  <c r="L2796" i="2" s="1"/>
  <c r="K2796" i="2" a="1"/>
  <c r="K2796" i="2" s="1"/>
  <c r="J2796" i="2"/>
  <c r="B2796" i="2"/>
  <c r="N2795" i="2"/>
  <c r="M2795" i="2"/>
  <c r="L2795" i="2" a="1"/>
  <c r="L2795" i="2" s="1"/>
  <c r="K2795" i="2" a="1"/>
  <c r="K2795" i="2" s="1"/>
  <c r="J2795" i="2"/>
  <c r="B2795" i="2"/>
  <c r="U2794" i="2"/>
  <c r="A2793" i="2"/>
  <c r="J2792" i="2"/>
  <c r="N2791" i="2"/>
  <c r="M2791" i="2"/>
  <c r="L2791" i="2" a="1"/>
  <c r="L2791" i="2" s="1"/>
  <c r="K2791" i="2" a="1"/>
  <c r="K2791" i="2" s="1"/>
  <c r="J2791" i="2"/>
  <c r="B2791" i="2"/>
  <c r="N2790" i="2"/>
  <c r="M2790" i="2"/>
  <c r="L2790" i="2" a="1"/>
  <c r="L2790" i="2" s="1"/>
  <c r="K2790" i="2" a="1"/>
  <c r="K2790" i="2" s="1"/>
  <c r="J2790" i="2"/>
  <c r="B2790" i="2"/>
  <c r="N2789" i="2"/>
  <c r="M2789" i="2"/>
  <c r="L2789" i="2" a="1"/>
  <c r="L2789" i="2" s="1"/>
  <c r="K2789" i="2" a="1"/>
  <c r="K2789" i="2" s="1"/>
  <c r="J2789" i="2"/>
  <c r="B2789" i="2"/>
  <c r="N2788" i="2"/>
  <c r="M2788" i="2"/>
  <c r="L2788" i="2" a="1"/>
  <c r="L2788" i="2" s="1"/>
  <c r="K2788" i="2" a="1"/>
  <c r="K2788" i="2" s="1"/>
  <c r="J2788" i="2"/>
  <c r="B2788" i="2"/>
  <c r="N2787" i="2"/>
  <c r="M2787" i="2"/>
  <c r="L2787" i="2" a="1"/>
  <c r="L2787" i="2" s="1"/>
  <c r="K2787" i="2" a="1"/>
  <c r="K2787" i="2" s="1"/>
  <c r="J2787" i="2"/>
  <c r="B2787" i="2"/>
  <c r="N2786" i="2"/>
  <c r="M2786" i="2"/>
  <c r="L2786" i="2" a="1"/>
  <c r="L2786" i="2" s="1"/>
  <c r="K2786" i="2" a="1"/>
  <c r="K2786" i="2" s="1"/>
  <c r="J2786" i="2"/>
  <c r="B2786" i="2"/>
  <c r="N2785" i="2"/>
  <c r="M2785" i="2"/>
  <c r="L2785" i="2" a="1"/>
  <c r="L2785" i="2" s="1"/>
  <c r="K2785" i="2" a="1"/>
  <c r="K2785" i="2" s="1"/>
  <c r="J2785" i="2"/>
  <c r="B2785" i="2"/>
  <c r="N2784" i="2"/>
  <c r="M2784" i="2"/>
  <c r="L2784" i="2" a="1"/>
  <c r="L2784" i="2" s="1"/>
  <c r="K2784" i="2" a="1"/>
  <c r="K2784" i="2" s="1"/>
  <c r="J2784" i="2"/>
  <c r="B2784" i="2"/>
  <c r="N2783" i="2"/>
  <c r="M2783" i="2"/>
  <c r="L2783" i="2" a="1"/>
  <c r="L2783" i="2" s="1"/>
  <c r="K2783" i="2" a="1"/>
  <c r="K2783" i="2" s="1"/>
  <c r="J2783" i="2"/>
  <c r="B2783" i="2"/>
  <c r="N2782" i="2"/>
  <c r="M2782" i="2"/>
  <c r="L2782" i="2" a="1"/>
  <c r="L2782" i="2" s="1"/>
  <c r="K2782" i="2" a="1"/>
  <c r="K2782" i="2" s="1"/>
  <c r="J2782" i="2"/>
  <c r="B2782" i="2"/>
  <c r="N2781" i="2"/>
  <c r="M2781" i="2"/>
  <c r="L2781" i="2" a="1"/>
  <c r="L2781" i="2" s="1"/>
  <c r="K2781" i="2" a="1"/>
  <c r="K2781" i="2" s="1"/>
  <c r="J2781" i="2"/>
  <c r="B2781" i="2"/>
  <c r="N2780" i="2"/>
  <c r="M2780" i="2"/>
  <c r="L2780" i="2" a="1"/>
  <c r="L2780" i="2" s="1"/>
  <c r="K2780" i="2" a="1"/>
  <c r="K2780" i="2" s="1"/>
  <c r="J2780" i="2"/>
  <c r="B2780" i="2"/>
  <c r="N2779" i="2"/>
  <c r="M2779" i="2"/>
  <c r="L2779" i="2" a="1"/>
  <c r="L2779" i="2" s="1"/>
  <c r="K2779" i="2" a="1"/>
  <c r="K2779" i="2" s="1"/>
  <c r="J2779" i="2"/>
  <c r="B2779" i="2"/>
  <c r="N2778" i="2"/>
  <c r="M2778" i="2"/>
  <c r="L2778" i="2" a="1"/>
  <c r="L2778" i="2" s="1"/>
  <c r="K2778" i="2" a="1"/>
  <c r="K2778" i="2" s="1"/>
  <c r="J2778" i="2"/>
  <c r="B2778" i="2"/>
  <c r="N2777" i="2"/>
  <c r="M2777" i="2"/>
  <c r="L2777" i="2" a="1"/>
  <c r="L2777" i="2" s="1"/>
  <c r="K2777" i="2" a="1"/>
  <c r="K2777" i="2" s="1"/>
  <c r="J2777" i="2"/>
  <c r="B2777" i="2"/>
  <c r="N2776" i="2"/>
  <c r="M2776" i="2"/>
  <c r="L2776" i="2" a="1"/>
  <c r="L2776" i="2" s="1"/>
  <c r="K2776" i="2" a="1"/>
  <c r="K2776" i="2" s="1"/>
  <c r="J2776" i="2"/>
  <c r="B2776" i="2"/>
  <c r="N2775" i="2"/>
  <c r="M2775" i="2"/>
  <c r="L2775" i="2" a="1"/>
  <c r="L2775" i="2" s="1"/>
  <c r="K2775" i="2" a="1"/>
  <c r="K2775" i="2" s="1"/>
  <c r="J2775" i="2"/>
  <c r="B2775" i="2"/>
  <c r="N2774" i="2"/>
  <c r="M2774" i="2"/>
  <c r="L2774" i="2" a="1"/>
  <c r="L2774" i="2" s="1"/>
  <c r="K2774" i="2" a="1"/>
  <c r="K2774" i="2" s="1"/>
  <c r="J2774" i="2"/>
  <c r="B2774" i="2"/>
  <c r="N2773" i="2"/>
  <c r="M2773" i="2"/>
  <c r="L2773" i="2" a="1"/>
  <c r="L2773" i="2" s="1"/>
  <c r="K2773" i="2" a="1"/>
  <c r="K2773" i="2" s="1"/>
  <c r="J2773" i="2"/>
  <c r="B2773" i="2"/>
  <c r="N2772" i="2"/>
  <c r="M2772" i="2"/>
  <c r="L2772" i="2" a="1"/>
  <c r="L2772" i="2" s="1"/>
  <c r="K2772" i="2" a="1"/>
  <c r="K2772" i="2" s="1"/>
  <c r="J2772" i="2"/>
  <c r="B2772" i="2"/>
  <c r="N2771" i="2"/>
  <c r="M2771" i="2"/>
  <c r="L2771" i="2" a="1"/>
  <c r="L2771" i="2" s="1"/>
  <c r="K2771" i="2" a="1"/>
  <c r="K2771" i="2" s="1"/>
  <c r="J2771" i="2"/>
  <c r="B2771" i="2"/>
  <c r="N2770" i="2"/>
  <c r="M2770" i="2"/>
  <c r="L2770" i="2" a="1"/>
  <c r="L2770" i="2" s="1"/>
  <c r="K2770" i="2" a="1"/>
  <c r="K2770" i="2" s="1"/>
  <c r="J2770" i="2"/>
  <c r="B2770" i="2"/>
  <c r="N2769" i="2"/>
  <c r="M2769" i="2"/>
  <c r="L2769" i="2" a="1"/>
  <c r="L2769" i="2" s="1"/>
  <c r="K2769" i="2" a="1"/>
  <c r="K2769" i="2" s="1"/>
  <c r="J2769" i="2"/>
  <c r="B2769" i="2"/>
  <c r="N2768" i="2"/>
  <c r="M2768" i="2"/>
  <c r="L2768" i="2" a="1"/>
  <c r="L2768" i="2" s="1"/>
  <c r="K2768" i="2" a="1"/>
  <c r="K2768" i="2" s="1"/>
  <c r="J2768" i="2"/>
  <c r="B2768" i="2"/>
  <c r="N2767" i="2"/>
  <c r="M2767" i="2"/>
  <c r="L2767" i="2" a="1"/>
  <c r="L2767" i="2" s="1"/>
  <c r="K2767" i="2" a="1"/>
  <c r="K2767" i="2" s="1"/>
  <c r="J2767" i="2"/>
  <c r="B2767" i="2"/>
  <c r="N2766" i="2"/>
  <c r="M2766" i="2"/>
  <c r="L2766" i="2" a="1"/>
  <c r="L2766" i="2" s="1"/>
  <c r="K2766" i="2" a="1"/>
  <c r="K2766" i="2" s="1"/>
  <c r="J2766" i="2"/>
  <c r="B2766" i="2"/>
  <c r="N2765" i="2"/>
  <c r="M2765" i="2"/>
  <c r="L2765" i="2" a="1"/>
  <c r="L2765" i="2" s="1"/>
  <c r="K2765" i="2" a="1"/>
  <c r="K2765" i="2" s="1"/>
  <c r="J2765" i="2"/>
  <c r="B2765" i="2"/>
  <c r="N2764" i="2"/>
  <c r="M2764" i="2"/>
  <c r="L2764" i="2" a="1"/>
  <c r="L2764" i="2" s="1"/>
  <c r="K2764" i="2" a="1"/>
  <c r="K2764" i="2" s="1"/>
  <c r="J2764" i="2"/>
  <c r="B2764" i="2"/>
  <c r="N2763" i="2"/>
  <c r="M2763" i="2"/>
  <c r="L2763" i="2" a="1"/>
  <c r="L2763" i="2" s="1"/>
  <c r="K2763" i="2" a="1"/>
  <c r="K2763" i="2" s="1"/>
  <c r="J2763" i="2"/>
  <c r="B2763" i="2"/>
  <c r="N2762" i="2"/>
  <c r="M2762" i="2"/>
  <c r="L2762" i="2" a="1"/>
  <c r="L2762" i="2" s="1"/>
  <c r="K2762" i="2" a="1"/>
  <c r="K2762" i="2" s="1"/>
  <c r="J2762" i="2"/>
  <c r="B2762" i="2"/>
  <c r="N2761" i="2"/>
  <c r="M2761" i="2"/>
  <c r="L2761" i="2" a="1"/>
  <c r="L2761" i="2" s="1"/>
  <c r="K2761" i="2" a="1"/>
  <c r="K2761" i="2" s="1"/>
  <c r="J2761" i="2"/>
  <c r="B2761" i="2"/>
  <c r="N2760" i="2"/>
  <c r="M2760" i="2"/>
  <c r="L2760" i="2" a="1"/>
  <c r="L2760" i="2" s="1"/>
  <c r="K2760" i="2" a="1"/>
  <c r="K2760" i="2" s="1"/>
  <c r="J2760" i="2"/>
  <c r="B2760" i="2"/>
  <c r="N2759" i="2"/>
  <c r="M2759" i="2"/>
  <c r="L2759" i="2" a="1"/>
  <c r="L2759" i="2" s="1"/>
  <c r="K2759" i="2" a="1"/>
  <c r="K2759" i="2" s="1"/>
  <c r="J2759" i="2"/>
  <c r="B2759" i="2"/>
  <c r="N2758" i="2"/>
  <c r="M2758" i="2"/>
  <c r="L2758" i="2" a="1"/>
  <c r="L2758" i="2" s="1"/>
  <c r="K2758" i="2" a="1"/>
  <c r="K2758" i="2" s="1"/>
  <c r="J2758" i="2"/>
  <c r="B2758" i="2"/>
  <c r="N2757" i="2"/>
  <c r="M2757" i="2"/>
  <c r="L2757" i="2" a="1"/>
  <c r="L2757" i="2" s="1"/>
  <c r="K2757" i="2" a="1"/>
  <c r="K2757" i="2" s="1"/>
  <c r="J2757" i="2"/>
  <c r="B2757" i="2"/>
  <c r="N2756" i="2"/>
  <c r="M2756" i="2"/>
  <c r="L2756" i="2" a="1"/>
  <c r="L2756" i="2" s="1"/>
  <c r="K2756" i="2" a="1"/>
  <c r="K2756" i="2" s="1"/>
  <c r="J2756" i="2"/>
  <c r="B2756" i="2"/>
  <c r="N2755" i="2"/>
  <c r="M2755" i="2"/>
  <c r="L2755" i="2" a="1"/>
  <c r="L2755" i="2" s="1"/>
  <c r="K2755" i="2" a="1"/>
  <c r="K2755" i="2" s="1"/>
  <c r="J2755" i="2"/>
  <c r="B2755" i="2"/>
  <c r="N2754" i="2"/>
  <c r="M2754" i="2"/>
  <c r="L2754" i="2" a="1"/>
  <c r="L2754" i="2" s="1"/>
  <c r="K2754" i="2" a="1"/>
  <c r="K2754" i="2" s="1"/>
  <c r="J2754" i="2"/>
  <c r="B2754" i="2"/>
  <c r="N2753" i="2"/>
  <c r="M2753" i="2"/>
  <c r="L2753" i="2" a="1"/>
  <c r="L2753" i="2" s="1"/>
  <c r="K2753" i="2" a="1"/>
  <c r="K2753" i="2" s="1"/>
  <c r="J2753" i="2"/>
  <c r="B2753" i="2"/>
  <c r="N2752" i="2"/>
  <c r="M2752" i="2"/>
  <c r="L2752" i="2" a="1"/>
  <c r="L2752" i="2" s="1"/>
  <c r="K2752" i="2" a="1"/>
  <c r="K2752" i="2" s="1"/>
  <c r="J2752" i="2"/>
  <c r="B2752" i="2"/>
  <c r="N2751" i="2"/>
  <c r="M2751" i="2"/>
  <c r="L2751" i="2" a="1"/>
  <c r="L2751" i="2" s="1"/>
  <c r="K2751" i="2" a="1"/>
  <c r="K2751" i="2" s="1"/>
  <c r="J2751" i="2"/>
  <c r="B2751" i="2"/>
  <c r="N2750" i="2"/>
  <c r="M2750" i="2"/>
  <c r="L2750" i="2" a="1"/>
  <c r="L2750" i="2" s="1"/>
  <c r="K2750" i="2" a="1"/>
  <c r="K2750" i="2" s="1"/>
  <c r="J2750" i="2"/>
  <c r="B2750" i="2"/>
  <c r="N2749" i="2"/>
  <c r="M2749" i="2"/>
  <c r="L2749" i="2" a="1"/>
  <c r="L2749" i="2" s="1"/>
  <c r="K2749" i="2" a="1"/>
  <c r="K2749" i="2" s="1"/>
  <c r="J2749" i="2"/>
  <c r="B2749" i="2"/>
  <c r="N2748" i="2"/>
  <c r="M2748" i="2"/>
  <c r="L2748" i="2" a="1"/>
  <c r="L2748" i="2" s="1"/>
  <c r="K2748" i="2" a="1"/>
  <c r="K2748" i="2" s="1"/>
  <c r="J2748" i="2"/>
  <c r="B2748" i="2"/>
  <c r="N2747" i="2"/>
  <c r="M2747" i="2"/>
  <c r="L2747" i="2" a="1"/>
  <c r="L2747" i="2" s="1"/>
  <c r="K2747" i="2" a="1"/>
  <c r="K2747" i="2" s="1"/>
  <c r="J2747" i="2"/>
  <c r="B2747" i="2"/>
  <c r="N2746" i="2"/>
  <c r="M2746" i="2"/>
  <c r="L2746" i="2" a="1"/>
  <c r="L2746" i="2" s="1"/>
  <c r="K2746" i="2" a="1"/>
  <c r="K2746" i="2" s="1"/>
  <c r="J2746" i="2"/>
  <c r="B2746" i="2"/>
  <c r="N2745" i="2"/>
  <c r="M2745" i="2"/>
  <c r="L2745" i="2" a="1"/>
  <c r="L2745" i="2" s="1"/>
  <c r="K2745" i="2" a="1"/>
  <c r="K2745" i="2" s="1"/>
  <c r="J2745" i="2"/>
  <c r="B2745" i="2"/>
  <c r="N2744" i="2"/>
  <c r="M2744" i="2"/>
  <c r="L2744" i="2" a="1"/>
  <c r="L2744" i="2" s="1"/>
  <c r="K2744" i="2" a="1"/>
  <c r="K2744" i="2" s="1"/>
  <c r="J2744" i="2"/>
  <c r="B2744" i="2"/>
  <c r="N2743" i="2"/>
  <c r="M2743" i="2"/>
  <c r="L2743" i="2" a="1"/>
  <c r="L2743" i="2" s="1"/>
  <c r="K2743" i="2" a="1"/>
  <c r="K2743" i="2" s="1"/>
  <c r="J2743" i="2"/>
  <c r="B2743" i="2"/>
  <c r="N2742" i="2"/>
  <c r="M2742" i="2"/>
  <c r="L2742" i="2" a="1"/>
  <c r="L2742" i="2" s="1"/>
  <c r="K2742" i="2" a="1"/>
  <c r="K2742" i="2" s="1"/>
  <c r="J2742" i="2"/>
  <c r="B2742" i="2"/>
  <c r="N2741" i="2"/>
  <c r="M2741" i="2"/>
  <c r="L2741" i="2" a="1"/>
  <c r="L2741" i="2" s="1"/>
  <c r="K2741" i="2" a="1"/>
  <c r="K2741" i="2" s="1"/>
  <c r="J2741" i="2"/>
  <c r="B2741" i="2"/>
  <c r="N2740" i="2"/>
  <c r="M2740" i="2"/>
  <c r="L2740" i="2" a="1"/>
  <c r="L2740" i="2" s="1"/>
  <c r="K2740" i="2" a="1"/>
  <c r="K2740" i="2" s="1"/>
  <c r="J2740" i="2"/>
  <c r="B2740" i="2"/>
  <c r="N2739" i="2"/>
  <c r="M2739" i="2"/>
  <c r="L2739" i="2" a="1"/>
  <c r="L2739" i="2" s="1"/>
  <c r="K2739" i="2" a="1"/>
  <c r="K2739" i="2" s="1"/>
  <c r="J2739" i="2"/>
  <c r="B2739" i="2"/>
  <c r="N2738" i="2"/>
  <c r="M2738" i="2"/>
  <c r="L2738" i="2" a="1"/>
  <c r="L2738" i="2" s="1"/>
  <c r="K2738" i="2" a="1"/>
  <c r="K2738" i="2" s="1"/>
  <c r="J2738" i="2"/>
  <c r="B2738" i="2"/>
  <c r="N2737" i="2"/>
  <c r="M2737" i="2"/>
  <c r="L2737" i="2" a="1"/>
  <c r="L2737" i="2" s="1"/>
  <c r="K2737" i="2" a="1"/>
  <c r="K2737" i="2" s="1"/>
  <c r="J2737" i="2"/>
  <c r="B2737" i="2"/>
  <c r="N2736" i="2"/>
  <c r="M2736" i="2"/>
  <c r="L2736" i="2" a="1"/>
  <c r="L2736" i="2" s="1"/>
  <c r="K2736" i="2" a="1"/>
  <c r="K2736" i="2" s="1"/>
  <c r="J2736" i="2"/>
  <c r="B2736" i="2"/>
  <c r="N2735" i="2"/>
  <c r="M2735" i="2"/>
  <c r="L2735" i="2" a="1"/>
  <c r="L2735" i="2" s="1"/>
  <c r="K2735" i="2" a="1"/>
  <c r="K2735" i="2" s="1"/>
  <c r="J2735" i="2"/>
  <c r="B2735" i="2"/>
  <c r="N2734" i="2"/>
  <c r="M2734" i="2"/>
  <c r="L2734" i="2" a="1"/>
  <c r="L2734" i="2" s="1"/>
  <c r="K2734" i="2" a="1"/>
  <c r="K2734" i="2" s="1"/>
  <c r="J2734" i="2"/>
  <c r="B2734" i="2"/>
  <c r="N2733" i="2"/>
  <c r="M2733" i="2"/>
  <c r="L2733" i="2" a="1"/>
  <c r="L2733" i="2" s="1"/>
  <c r="K2733" i="2" a="1"/>
  <c r="K2733" i="2" s="1"/>
  <c r="J2733" i="2"/>
  <c r="B2733" i="2"/>
  <c r="N2732" i="2"/>
  <c r="M2732" i="2"/>
  <c r="L2732" i="2" a="1"/>
  <c r="L2732" i="2" s="1"/>
  <c r="K2732" i="2" a="1"/>
  <c r="K2732" i="2" s="1"/>
  <c r="J2732" i="2"/>
  <c r="B2732" i="2"/>
  <c r="N2731" i="2"/>
  <c r="M2731" i="2"/>
  <c r="L2731" i="2" a="1"/>
  <c r="L2731" i="2" s="1"/>
  <c r="K2731" i="2" a="1"/>
  <c r="K2731" i="2" s="1"/>
  <c r="J2731" i="2"/>
  <c r="B2731" i="2"/>
  <c r="N2730" i="2"/>
  <c r="M2730" i="2"/>
  <c r="L2730" i="2" a="1"/>
  <c r="L2730" i="2" s="1"/>
  <c r="K2730" i="2" a="1"/>
  <c r="K2730" i="2" s="1"/>
  <c r="J2730" i="2"/>
  <c r="B2730" i="2"/>
  <c r="N2729" i="2"/>
  <c r="M2729" i="2"/>
  <c r="L2729" i="2" a="1"/>
  <c r="L2729" i="2" s="1"/>
  <c r="K2729" i="2" a="1"/>
  <c r="K2729" i="2" s="1"/>
  <c r="J2729" i="2"/>
  <c r="B2729" i="2"/>
  <c r="N2728" i="2"/>
  <c r="M2728" i="2"/>
  <c r="L2728" i="2" a="1"/>
  <c r="L2728" i="2" s="1"/>
  <c r="K2728" i="2" a="1"/>
  <c r="K2728" i="2" s="1"/>
  <c r="J2728" i="2"/>
  <c r="B2728" i="2"/>
  <c r="N2727" i="2"/>
  <c r="M2727" i="2"/>
  <c r="L2727" i="2" a="1"/>
  <c r="L2727" i="2" s="1"/>
  <c r="K2727" i="2" a="1"/>
  <c r="K2727" i="2" s="1"/>
  <c r="J2727" i="2"/>
  <c r="B2727" i="2"/>
  <c r="N2726" i="2"/>
  <c r="M2726" i="2"/>
  <c r="L2726" i="2" a="1"/>
  <c r="L2726" i="2" s="1"/>
  <c r="K2726" i="2" a="1"/>
  <c r="K2726" i="2" s="1"/>
  <c r="J2726" i="2"/>
  <c r="B2726" i="2"/>
  <c r="N2725" i="2"/>
  <c r="M2725" i="2"/>
  <c r="L2725" i="2" a="1"/>
  <c r="L2725" i="2" s="1"/>
  <c r="K2725" i="2" a="1"/>
  <c r="K2725" i="2" s="1"/>
  <c r="J2725" i="2"/>
  <c r="B2725" i="2"/>
  <c r="N2724" i="2"/>
  <c r="M2724" i="2"/>
  <c r="L2724" i="2" a="1"/>
  <c r="L2724" i="2" s="1"/>
  <c r="K2724" i="2" a="1"/>
  <c r="K2724" i="2" s="1"/>
  <c r="J2724" i="2"/>
  <c r="B2724" i="2"/>
  <c r="N2723" i="2"/>
  <c r="M2723" i="2"/>
  <c r="L2723" i="2" a="1"/>
  <c r="L2723" i="2" s="1"/>
  <c r="K2723" i="2" a="1"/>
  <c r="K2723" i="2" s="1"/>
  <c r="J2723" i="2"/>
  <c r="B2723" i="2"/>
  <c r="N2722" i="2"/>
  <c r="M2722" i="2"/>
  <c r="L2722" i="2" a="1"/>
  <c r="L2722" i="2" s="1"/>
  <c r="K2722" i="2" a="1"/>
  <c r="K2722" i="2" s="1"/>
  <c r="J2722" i="2"/>
  <c r="B2722" i="2"/>
  <c r="N2721" i="2"/>
  <c r="M2721" i="2"/>
  <c r="L2721" i="2" a="1"/>
  <c r="L2721" i="2" s="1"/>
  <c r="K2721" i="2" a="1"/>
  <c r="K2721" i="2" s="1"/>
  <c r="J2721" i="2"/>
  <c r="B2721" i="2"/>
  <c r="N2720" i="2"/>
  <c r="M2720" i="2"/>
  <c r="L2720" i="2" a="1"/>
  <c r="L2720" i="2" s="1"/>
  <c r="K2720" i="2" a="1"/>
  <c r="K2720" i="2" s="1"/>
  <c r="J2720" i="2"/>
  <c r="B2720" i="2"/>
  <c r="N2719" i="2"/>
  <c r="M2719" i="2"/>
  <c r="L2719" i="2" a="1"/>
  <c r="L2719" i="2" s="1"/>
  <c r="K2719" i="2" a="1"/>
  <c r="K2719" i="2" s="1"/>
  <c r="J2719" i="2"/>
  <c r="B2719" i="2"/>
  <c r="N2718" i="2"/>
  <c r="M2718" i="2"/>
  <c r="L2718" i="2" a="1"/>
  <c r="L2718" i="2" s="1"/>
  <c r="K2718" i="2" a="1"/>
  <c r="K2718" i="2" s="1"/>
  <c r="J2718" i="2"/>
  <c r="B2718" i="2"/>
  <c r="N2717" i="2"/>
  <c r="M2717" i="2"/>
  <c r="L2717" i="2" a="1"/>
  <c r="L2717" i="2" s="1"/>
  <c r="K2717" i="2" a="1"/>
  <c r="K2717" i="2" s="1"/>
  <c r="J2717" i="2"/>
  <c r="B2717" i="2"/>
  <c r="N2716" i="2"/>
  <c r="M2716" i="2"/>
  <c r="L2716" i="2" a="1"/>
  <c r="L2716" i="2" s="1"/>
  <c r="K2716" i="2" a="1"/>
  <c r="K2716" i="2" s="1"/>
  <c r="J2716" i="2"/>
  <c r="B2716" i="2"/>
  <c r="N2715" i="2"/>
  <c r="M2715" i="2"/>
  <c r="L2715" i="2" a="1"/>
  <c r="L2715" i="2" s="1"/>
  <c r="K2715" i="2" a="1"/>
  <c r="K2715" i="2" s="1"/>
  <c r="J2715" i="2"/>
  <c r="B2715" i="2"/>
  <c r="N2714" i="2"/>
  <c r="M2714" i="2"/>
  <c r="L2714" i="2" a="1"/>
  <c r="L2714" i="2" s="1"/>
  <c r="K2714" i="2" a="1"/>
  <c r="K2714" i="2" s="1"/>
  <c r="J2714" i="2"/>
  <c r="B2714" i="2"/>
  <c r="N2713" i="2"/>
  <c r="M2713" i="2"/>
  <c r="L2713" i="2" a="1"/>
  <c r="L2713" i="2" s="1"/>
  <c r="K2713" i="2" a="1"/>
  <c r="K2713" i="2" s="1"/>
  <c r="J2713" i="2"/>
  <c r="B2713" i="2"/>
  <c r="N2712" i="2"/>
  <c r="M2712" i="2"/>
  <c r="L2712" i="2" a="1"/>
  <c r="L2712" i="2" s="1"/>
  <c r="K2712" i="2" a="1"/>
  <c r="K2712" i="2" s="1"/>
  <c r="J2712" i="2"/>
  <c r="B2712" i="2"/>
  <c r="N2711" i="2"/>
  <c r="M2711" i="2"/>
  <c r="L2711" i="2" a="1"/>
  <c r="L2711" i="2" s="1"/>
  <c r="K2711" i="2" a="1"/>
  <c r="K2711" i="2" s="1"/>
  <c r="J2711" i="2"/>
  <c r="B2711" i="2"/>
  <c r="N2710" i="2"/>
  <c r="M2710" i="2"/>
  <c r="L2710" i="2" a="1"/>
  <c r="L2710" i="2" s="1"/>
  <c r="K2710" i="2" a="1"/>
  <c r="K2710" i="2" s="1"/>
  <c r="J2710" i="2"/>
  <c r="B2710" i="2"/>
  <c r="N2709" i="2"/>
  <c r="M2709" i="2"/>
  <c r="L2709" i="2" a="1"/>
  <c r="L2709" i="2" s="1"/>
  <c r="K2709" i="2" a="1"/>
  <c r="K2709" i="2" s="1"/>
  <c r="J2709" i="2"/>
  <c r="B2709" i="2"/>
  <c r="N2708" i="2"/>
  <c r="M2708" i="2"/>
  <c r="L2708" i="2" a="1"/>
  <c r="L2708" i="2" s="1"/>
  <c r="K2708" i="2" a="1"/>
  <c r="K2708" i="2" s="1"/>
  <c r="J2708" i="2"/>
  <c r="B2708" i="2"/>
  <c r="N2707" i="2"/>
  <c r="M2707" i="2"/>
  <c r="L2707" i="2" a="1"/>
  <c r="L2707" i="2" s="1"/>
  <c r="K2707" i="2" a="1"/>
  <c r="K2707" i="2" s="1"/>
  <c r="J2707" i="2"/>
  <c r="B2707" i="2"/>
  <c r="N2706" i="2"/>
  <c r="M2706" i="2"/>
  <c r="L2706" i="2" a="1"/>
  <c r="L2706" i="2" s="1"/>
  <c r="K2706" i="2" a="1"/>
  <c r="K2706" i="2" s="1"/>
  <c r="J2706" i="2"/>
  <c r="B2706" i="2"/>
  <c r="N2705" i="2"/>
  <c r="M2705" i="2"/>
  <c r="L2705" i="2" a="1"/>
  <c r="L2705" i="2" s="1"/>
  <c r="K2705" i="2" a="1"/>
  <c r="K2705" i="2" s="1"/>
  <c r="J2705" i="2"/>
  <c r="B2705" i="2"/>
  <c r="N2704" i="2"/>
  <c r="M2704" i="2"/>
  <c r="L2704" i="2" a="1"/>
  <c r="L2704" i="2" s="1"/>
  <c r="K2704" i="2" a="1"/>
  <c r="K2704" i="2" s="1"/>
  <c r="J2704" i="2"/>
  <c r="B2704" i="2"/>
  <c r="N2703" i="2"/>
  <c r="M2703" i="2"/>
  <c r="L2703" i="2" a="1"/>
  <c r="L2703" i="2" s="1"/>
  <c r="K2703" i="2" a="1"/>
  <c r="K2703" i="2" s="1"/>
  <c r="J2703" i="2"/>
  <c r="B2703" i="2"/>
  <c r="N2702" i="2"/>
  <c r="M2702" i="2"/>
  <c r="L2702" i="2" a="1"/>
  <c r="L2702" i="2" s="1"/>
  <c r="K2702" i="2" a="1"/>
  <c r="K2702" i="2" s="1"/>
  <c r="J2702" i="2"/>
  <c r="B2702" i="2"/>
  <c r="N2701" i="2"/>
  <c r="M2701" i="2"/>
  <c r="L2701" i="2" a="1"/>
  <c r="L2701" i="2" s="1"/>
  <c r="K2701" i="2" a="1"/>
  <c r="K2701" i="2" s="1"/>
  <c r="J2701" i="2"/>
  <c r="B2701" i="2"/>
  <c r="N2700" i="2"/>
  <c r="M2700" i="2"/>
  <c r="L2700" i="2" a="1"/>
  <c r="L2700" i="2" s="1"/>
  <c r="K2700" i="2" a="1"/>
  <c r="K2700" i="2" s="1"/>
  <c r="J2700" i="2"/>
  <c r="B2700" i="2"/>
  <c r="V2699" i="2"/>
  <c r="N2699" i="2"/>
  <c r="M2699" i="2"/>
  <c r="L2699" i="2" a="1"/>
  <c r="L2699" i="2" s="1"/>
  <c r="K2699" i="2" a="1"/>
  <c r="K2699" i="2" s="1"/>
  <c r="J2699" i="2"/>
  <c r="B2699" i="2"/>
  <c r="N2698" i="2"/>
  <c r="M2698" i="2"/>
  <c r="L2698" i="2" a="1"/>
  <c r="L2698" i="2" s="1"/>
  <c r="K2698" i="2" a="1"/>
  <c r="K2698" i="2" s="1"/>
  <c r="J2698" i="2"/>
  <c r="B2698" i="2"/>
  <c r="N2697" i="2"/>
  <c r="M2697" i="2"/>
  <c r="L2697" i="2" a="1"/>
  <c r="L2697" i="2" s="1"/>
  <c r="K2697" i="2" a="1"/>
  <c r="K2697" i="2" s="1"/>
  <c r="J2697" i="2"/>
  <c r="B2697" i="2"/>
  <c r="N2696" i="2"/>
  <c r="M2696" i="2"/>
  <c r="L2696" i="2" a="1"/>
  <c r="L2696" i="2" s="1"/>
  <c r="K2696" i="2" a="1"/>
  <c r="K2696" i="2" s="1"/>
  <c r="J2696" i="2"/>
  <c r="B2696" i="2"/>
  <c r="N2695" i="2"/>
  <c r="M2695" i="2"/>
  <c r="L2695" i="2" a="1"/>
  <c r="L2695" i="2" s="1"/>
  <c r="K2695" i="2" a="1"/>
  <c r="K2695" i="2" s="1"/>
  <c r="J2695" i="2"/>
  <c r="B2695" i="2"/>
  <c r="N2694" i="2"/>
  <c r="M2694" i="2"/>
  <c r="L2694" i="2" a="1"/>
  <c r="L2694" i="2" s="1"/>
  <c r="K2694" i="2" a="1"/>
  <c r="K2694" i="2" s="1"/>
  <c r="J2694" i="2"/>
  <c r="B2694" i="2"/>
  <c r="N2693" i="2"/>
  <c r="M2693" i="2"/>
  <c r="L2693" i="2" a="1"/>
  <c r="L2693" i="2" s="1"/>
  <c r="K2693" i="2" a="1"/>
  <c r="K2693" i="2" s="1"/>
  <c r="J2693" i="2"/>
  <c r="B2693" i="2"/>
  <c r="N2692" i="2"/>
  <c r="M2692" i="2"/>
  <c r="L2692" i="2" a="1"/>
  <c r="L2692" i="2" s="1"/>
  <c r="K2692" i="2" a="1"/>
  <c r="K2692" i="2" s="1"/>
  <c r="J2692" i="2"/>
  <c r="B2692" i="2"/>
  <c r="U2691" i="2"/>
  <c r="A2690" i="2"/>
  <c r="J2689" i="2"/>
  <c r="N2688" i="2"/>
  <c r="M2688" i="2"/>
  <c r="L2688" i="2" a="1"/>
  <c r="L2688" i="2" s="1"/>
  <c r="K2688" i="2" a="1"/>
  <c r="K2688" i="2" s="1"/>
  <c r="J2688" i="2"/>
  <c r="B2688" i="2"/>
  <c r="N2687" i="2"/>
  <c r="M2687" i="2"/>
  <c r="L2687" i="2" a="1"/>
  <c r="L2687" i="2" s="1"/>
  <c r="K2687" i="2" a="1"/>
  <c r="K2687" i="2" s="1"/>
  <c r="J2687" i="2"/>
  <c r="B2687" i="2"/>
  <c r="N2686" i="2"/>
  <c r="M2686" i="2"/>
  <c r="L2686" i="2" a="1"/>
  <c r="L2686" i="2" s="1"/>
  <c r="K2686" i="2" a="1"/>
  <c r="K2686" i="2" s="1"/>
  <c r="J2686" i="2"/>
  <c r="B2686" i="2"/>
  <c r="N2685" i="2"/>
  <c r="M2685" i="2"/>
  <c r="L2685" i="2" a="1"/>
  <c r="L2685" i="2" s="1"/>
  <c r="K2685" i="2" a="1"/>
  <c r="K2685" i="2" s="1"/>
  <c r="J2685" i="2"/>
  <c r="B2685" i="2"/>
  <c r="N2684" i="2"/>
  <c r="M2684" i="2"/>
  <c r="L2684" i="2" a="1"/>
  <c r="L2684" i="2" s="1"/>
  <c r="K2684" i="2" a="1"/>
  <c r="K2684" i="2" s="1"/>
  <c r="J2684" i="2"/>
  <c r="B2684" i="2"/>
  <c r="N2683" i="2"/>
  <c r="M2683" i="2"/>
  <c r="L2683" i="2" a="1"/>
  <c r="L2683" i="2" s="1"/>
  <c r="K2683" i="2" a="1"/>
  <c r="K2683" i="2" s="1"/>
  <c r="J2683" i="2"/>
  <c r="B2683" i="2"/>
  <c r="N2682" i="2"/>
  <c r="M2682" i="2"/>
  <c r="L2682" i="2" a="1"/>
  <c r="L2682" i="2" s="1"/>
  <c r="K2682" i="2" a="1"/>
  <c r="K2682" i="2" s="1"/>
  <c r="J2682" i="2"/>
  <c r="B2682" i="2"/>
  <c r="N2681" i="2"/>
  <c r="M2681" i="2"/>
  <c r="L2681" i="2" a="1"/>
  <c r="L2681" i="2" s="1"/>
  <c r="K2681" i="2" a="1"/>
  <c r="K2681" i="2" s="1"/>
  <c r="J2681" i="2"/>
  <c r="B2681" i="2"/>
  <c r="N2680" i="2"/>
  <c r="M2680" i="2"/>
  <c r="L2680" i="2" a="1"/>
  <c r="L2680" i="2" s="1"/>
  <c r="K2680" i="2" a="1"/>
  <c r="K2680" i="2" s="1"/>
  <c r="J2680" i="2"/>
  <c r="B2680" i="2"/>
  <c r="N2679" i="2"/>
  <c r="M2679" i="2"/>
  <c r="L2679" i="2" a="1"/>
  <c r="L2679" i="2" s="1"/>
  <c r="K2679" i="2" a="1"/>
  <c r="K2679" i="2" s="1"/>
  <c r="J2679" i="2"/>
  <c r="B2679" i="2"/>
  <c r="N2678" i="2"/>
  <c r="M2678" i="2"/>
  <c r="L2678" i="2" a="1"/>
  <c r="L2678" i="2" s="1"/>
  <c r="K2678" i="2" a="1"/>
  <c r="K2678" i="2" s="1"/>
  <c r="J2678" i="2"/>
  <c r="B2678" i="2"/>
  <c r="N2677" i="2"/>
  <c r="M2677" i="2"/>
  <c r="L2677" i="2" a="1"/>
  <c r="L2677" i="2" s="1"/>
  <c r="K2677" i="2" a="1"/>
  <c r="K2677" i="2" s="1"/>
  <c r="J2677" i="2"/>
  <c r="B2677" i="2"/>
  <c r="N2676" i="2"/>
  <c r="M2676" i="2"/>
  <c r="L2676" i="2" a="1"/>
  <c r="L2676" i="2" s="1"/>
  <c r="K2676" i="2" a="1"/>
  <c r="K2676" i="2" s="1"/>
  <c r="J2676" i="2"/>
  <c r="B2676" i="2"/>
  <c r="N2675" i="2"/>
  <c r="M2675" i="2"/>
  <c r="L2675" i="2" a="1"/>
  <c r="L2675" i="2" s="1"/>
  <c r="K2675" i="2" a="1"/>
  <c r="K2675" i="2" s="1"/>
  <c r="J2675" i="2"/>
  <c r="B2675" i="2"/>
  <c r="N2674" i="2"/>
  <c r="M2674" i="2"/>
  <c r="L2674" i="2" a="1"/>
  <c r="L2674" i="2" s="1"/>
  <c r="K2674" i="2" a="1"/>
  <c r="K2674" i="2" s="1"/>
  <c r="J2674" i="2"/>
  <c r="B2674" i="2"/>
  <c r="N2673" i="2"/>
  <c r="M2673" i="2"/>
  <c r="L2673" i="2" a="1"/>
  <c r="L2673" i="2" s="1"/>
  <c r="K2673" i="2" a="1"/>
  <c r="K2673" i="2" s="1"/>
  <c r="J2673" i="2"/>
  <c r="B2673" i="2"/>
  <c r="N2672" i="2"/>
  <c r="M2672" i="2"/>
  <c r="L2672" i="2" a="1"/>
  <c r="L2672" i="2" s="1"/>
  <c r="K2672" i="2" a="1"/>
  <c r="K2672" i="2" s="1"/>
  <c r="J2672" i="2"/>
  <c r="B2672" i="2"/>
  <c r="N2671" i="2"/>
  <c r="M2671" i="2"/>
  <c r="L2671" i="2" a="1"/>
  <c r="L2671" i="2" s="1"/>
  <c r="K2671" i="2" a="1"/>
  <c r="K2671" i="2" s="1"/>
  <c r="J2671" i="2"/>
  <c r="B2671" i="2"/>
  <c r="N2670" i="2"/>
  <c r="M2670" i="2"/>
  <c r="L2670" i="2" a="1"/>
  <c r="L2670" i="2" s="1"/>
  <c r="K2670" i="2" a="1"/>
  <c r="K2670" i="2" s="1"/>
  <c r="J2670" i="2"/>
  <c r="B2670" i="2"/>
  <c r="N2669" i="2"/>
  <c r="M2669" i="2"/>
  <c r="L2669" i="2" a="1"/>
  <c r="L2669" i="2" s="1"/>
  <c r="K2669" i="2" a="1"/>
  <c r="K2669" i="2" s="1"/>
  <c r="J2669" i="2"/>
  <c r="B2669" i="2"/>
  <c r="N2668" i="2"/>
  <c r="M2668" i="2"/>
  <c r="L2668" i="2" a="1"/>
  <c r="L2668" i="2" s="1"/>
  <c r="K2668" i="2" a="1"/>
  <c r="K2668" i="2" s="1"/>
  <c r="J2668" i="2"/>
  <c r="B2668" i="2"/>
  <c r="N2667" i="2"/>
  <c r="M2667" i="2"/>
  <c r="L2667" i="2" a="1"/>
  <c r="L2667" i="2" s="1"/>
  <c r="K2667" i="2" a="1"/>
  <c r="K2667" i="2" s="1"/>
  <c r="J2667" i="2"/>
  <c r="B2667" i="2"/>
  <c r="N2666" i="2"/>
  <c r="M2666" i="2"/>
  <c r="L2666" i="2" a="1"/>
  <c r="L2666" i="2" s="1"/>
  <c r="K2666" i="2" a="1"/>
  <c r="K2666" i="2" s="1"/>
  <c r="J2666" i="2"/>
  <c r="B2666" i="2"/>
  <c r="N2665" i="2"/>
  <c r="M2665" i="2"/>
  <c r="L2665" i="2" a="1"/>
  <c r="L2665" i="2" s="1"/>
  <c r="K2665" i="2" a="1"/>
  <c r="K2665" i="2" s="1"/>
  <c r="J2665" i="2"/>
  <c r="B2665" i="2"/>
  <c r="N2664" i="2"/>
  <c r="M2664" i="2"/>
  <c r="L2664" i="2" a="1"/>
  <c r="L2664" i="2" s="1"/>
  <c r="K2664" i="2" a="1"/>
  <c r="K2664" i="2" s="1"/>
  <c r="J2664" i="2"/>
  <c r="B2664" i="2"/>
  <c r="N2663" i="2"/>
  <c r="M2663" i="2"/>
  <c r="L2663" i="2" a="1"/>
  <c r="L2663" i="2" s="1"/>
  <c r="K2663" i="2" a="1"/>
  <c r="K2663" i="2" s="1"/>
  <c r="J2663" i="2"/>
  <c r="B2663" i="2"/>
  <c r="N2662" i="2"/>
  <c r="M2662" i="2"/>
  <c r="L2662" i="2" a="1"/>
  <c r="L2662" i="2" s="1"/>
  <c r="K2662" i="2" a="1"/>
  <c r="K2662" i="2" s="1"/>
  <c r="J2662" i="2"/>
  <c r="B2662" i="2"/>
  <c r="N2661" i="2"/>
  <c r="M2661" i="2"/>
  <c r="L2661" i="2" a="1"/>
  <c r="L2661" i="2" s="1"/>
  <c r="K2661" i="2" a="1"/>
  <c r="K2661" i="2" s="1"/>
  <c r="J2661" i="2"/>
  <c r="B2661" i="2"/>
  <c r="N2660" i="2"/>
  <c r="M2660" i="2"/>
  <c r="L2660" i="2" a="1"/>
  <c r="L2660" i="2" s="1"/>
  <c r="K2660" i="2" a="1"/>
  <c r="K2660" i="2" s="1"/>
  <c r="J2660" i="2"/>
  <c r="B2660" i="2"/>
  <c r="N2659" i="2"/>
  <c r="M2659" i="2"/>
  <c r="L2659" i="2" a="1"/>
  <c r="L2659" i="2" s="1"/>
  <c r="K2659" i="2" a="1"/>
  <c r="K2659" i="2" s="1"/>
  <c r="J2659" i="2"/>
  <c r="B2659" i="2"/>
  <c r="N2658" i="2"/>
  <c r="M2658" i="2"/>
  <c r="L2658" i="2" a="1"/>
  <c r="L2658" i="2" s="1"/>
  <c r="K2658" i="2" a="1"/>
  <c r="K2658" i="2" s="1"/>
  <c r="J2658" i="2"/>
  <c r="B2658" i="2"/>
  <c r="N2657" i="2"/>
  <c r="M2657" i="2"/>
  <c r="L2657" i="2" a="1"/>
  <c r="L2657" i="2" s="1"/>
  <c r="K2657" i="2" a="1"/>
  <c r="K2657" i="2" s="1"/>
  <c r="J2657" i="2"/>
  <c r="B2657" i="2"/>
  <c r="N2656" i="2"/>
  <c r="M2656" i="2"/>
  <c r="L2656" i="2" a="1"/>
  <c r="L2656" i="2" s="1"/>
  <c r="K2656" i="2" a="1"/>
  <c r="K2656" i="2" s="1"/>
  <c r="J2656" i="2"/>
  <c r="B2656" i="2"/>
  <c r="N2655" i="2"/>
  <c r="M2655" i="2"/>
  <c r="L2655" i="2" a="1"/>
  <c r="L2655" i="2" s="1"/>
  <c r="K2655" i="2" a="1"/>
  <c r="K2655" i="2" s="1"/>
  <c r="J2655" i="2"/>
  <c r="B2655" i="2"/>
  <c r="N2654" i="2"/>
  <c r="M2654" i="2"/>
  <c r="L2654" i="2" a="1"/>
  <c r="L2654" i="2" s="1"/>
  <c r="K2654" i="2" a="1"/>
  <c r="K2654" i="2" s="1"/>
  <c r="J2654" i="2"/>
  <c r="B2654" i="2"/>
  <c r="N2653" i="2"/>
  <c r="M2653" i="2"/>
  <c r="L2653" i="2" a="1"/>
  <c r="L2653" i="2" s="1"/>
  <c r="K2653" i="2" a="1"/>
  <c r="K2653" i="2" s="1"/>
  <c r="J2653" i="2"/>
  <c r="B2653" i="2"/>
  <c r="N2652" i="2"/>
  <c r="M2652" i="2"/>
  <c r="L2652" i="2" a="1"/>
  <c r="L2652" i="2" s="1"/>
  <c r="K2652" i="2" a="1"/>
  <c r="K2652" i="2" s="1"/>
  <c r="J2652" i="2"/>
  <c r="B2652" i="2"/>
  <c r="N2651" i="2"/>
  <c r="M2651" i="2"/>
  <c r="L2651" i="2" a="1"/>
  <c r="L2651" i="2" s="1"/>
  <c r="K2651" i="2" a="1"/>
  <c r="K2651" i="2" s="1"/>
  <c r="J2651" i="2"/>
  <c r="B2651" i="2"/>
  <c r="N2650" i="2"/>
  <c r="M2650" i="2"/>
  <c r="L2650" i="2" a="1"/>
  <c r="L2650" i="2" s="1"/>
  <c r="K2650" i="2" a="1"/>
  <c r="K2650" i="2" s="1"/>
  <c r="J2650" i="2"/>
  <c r="B2650" i="2"/>
  <c r="N2649" i="2"/>
  <c r="M2649" i="2"/>
  <c r="L2649" i="2" a="1"/>
  <c r="L2649" i="2" s="1"/>
  <c r="K2649" i="2" a="1"/>
  <c r="K2649" i="2" s="1"/>
  <c r="J2649" i="2"/>
  <c r="B2649" i="2"/>
  <c r="N2648" i="2"/>
  <c r="M2648" i="2"/>
  <c r="L2648" i="2" a="1"/>
  <c r="L2648" i="2" s="1"/>
  <c r="K2648" i="2" a="1"/>
  <c r="K2648" i="2" s="1"/>
  <c r="J2648" i="2"/>
  <c r="B2648" i="2"/>
  <c r="N2647" i="2"/>
  <c r="M2647" i="2"/>
  <c r="L2647" i="2" a="1"/>
  <c r="L2647" i="2" s="1"/>
  <c r="K2647" i="2" a="1"/>
  <c r="K2647" i="2" s="1"/>
  <c r="J2647" i="2"/>
  <c r="B2647" i="2"/>
  <c r="N2646" i="2"/>
  <c r="M2646" i="2"/>
  <c r="L2646" i="2" a="1"/>
  <c r="L2646" i="2" s="1"/>
  <c r="K2646" i="2" a="1"/>
  <c r="K2646" i="2" s="1"/>
  <c r="J2646" i="2"/>
  <c r="B2646" i="2"/>
  <c r="N2645" i="2"/>
  <c r="M2645" i="2"/>
  <c r="L2645" i="2" a="1"/>
  <c r="L2645" i="2" s="1"/>
  <c r="K2645" i="2" a="1"/>
  <c r="K2645" i="2" s="1"/>
  <c r="J2645" i="2"/>
  <c r="B2645" i="2"/>
  <c r="N2644" i="2"/>
  <c r="M2644" i="2"/>
  <c r="L2644" i="2" a="1"/>
  <c r="L2644" i="2" s="1"/>
  <c r="K2644" i="2" a="1"/>
  <c r="K2644" i="2" s="1"/>
  <c r="J2644" i="2"/>
  <c r="B2644" i="2"/>
  <c r="N2643" i="2"/>
  <c r="M2643" i="2"/>
  <c r="L2643" i="2" a="1"/>
  <c r="L2643" i="2" s="1"/>
  <c r="K2643" i="2" a="1"/>
  <c r="K2643" i="2" s="1"/>
  <c r="J2643" i="2"/>
  <c r="B2643" i="2"/>
  <c r="N2642" i="2"/>
  <c r="M2642" i="2"/>
  <c r="L2642" i="2" a="1"/>
  <c r="L2642" i="2" s="1"/>
  <c r="K2642" i="2" a="1"/>
  <c r="K2642" i="2" s="1"/>
  <c r="J2642" i="2"/>
  <c r="B2642" i="2"/>
  <c r="N2641" i="2"/>
  <c r="M2641" i="2"/>
  <c r="L2641" i="2" a="1"/>
  <c r="L2641" i="2" s="1"/>
  <c r="K2641" i="2" a="1"/>
  <c r="K2641" i="2" s="1"/>
  <c r="J2641" i="2"/>
  <c r="B2641" i="2"/>
  <c r="N2640" i="2"/>
  <c r="M2640" i="2"/>
  <c r="L2640" i="2" a="1"/>
  <c r="L2640" i="2" s="1"/>
  <c r="K2640" i="2" a="1"/>
  <c r="K2640" i="2" s="1"/>
  <c r="J2640" i="2"/>
  <c r="B2640" i="2"/>
  <c r="N2639" i="2"/>
  <c r="M2639" i="2"/>
  <c r="L2639" i="2" a="1"/>
  <c r="L2639" i="2" s="1"/>
  <c r="K2639" i="2" a="1"/>
  <c r="K2639" i="2" s="1"/>
  <c r="J2639" i="2"/>
  <c r="B2639" i="2"/>
  <c r="N2638" i="2"/>
  <c r="M2638" i="2"/>
  <c r="L2638" i="2" a="1"/>
  <c r="L2638" i="2" s="1"/>
  <c r="K2638" i="2" a="1"/>
  <c r="K2638" i="2" s="1"/>
  <c r="J2638" i="2"/>
  <c r="B2638" i="2"/>
  <c r="N2637" i="2"/>
  <c r="M2637" i="2"/>
  <c r="L2637" i="2" a="1"/>
  <c r="L2637" i="2" s="1"/>
  <c r="K2637" i="2" a="1"/>
  <c r="K2637" i="2" s="1"/>
  <c r="J2637" i="2"/>
  <c r="B2637" i="2"/>
  <c r="N2636" i="2"/>
  <c r="M2636" i="2"/>
  <c r="L2636" i="2" a="1"/>
  <c r="L2636" i="2" s="1"/>
  <c r="K2636" i="2" a="1"/>
  <c r="K2636" i="2" s="1"/>
  <c r="J2636" i="2"/>
  <c r="B2636" i="2"/>
  <c r="N2635" i="2"/>
  <c r="M2635" i="2"/>
  <c r="L2635" i="2" a="1"/>
  <c r="L2635" i="2" s="1"/>
  <c r="K2635" i="2" a="1"/>
  <c r="K2635" i="2" s="1"/>
  <c r="J2635" i="2"/>
  <c r="B2635" i="2"/>
  <c r="N2634" i="2"/>
  <c r="M2634" i="2"/>
  <c r="L2634" i="2" a="1"/>
  <c r="L2634" i="2" s="1"/>
  <c r="K2634" i="2" a="1"/>
  <c r="K2634" i="2" s="1"/>
  <c r="J2634" i="2"/>
  <c r="B2634" i="2"/>
  <c r="N2633" i="2"/>
  <c r="M2633" i="2"/>
  <c r="L2633" i="2" a="1"/>
  <c r="L2633" i="2" s="1"/>
  <c r="K2633" i="2" a="1"/>
  <c r="K2633" i="2" s="1"/>
  <c r="J2633" i="2"/>
  <c r="B2633" i="2"/>
  <c r="N2632" i="2"/>
  <c r="M2632" i="2"/>
  <c r="L2632" i="2" a="1"/>
  <c r="L2632" i="2" s="1"/>
  <c r="K2632" i="2" a="1"/>
  <c r="K2632" i="2" s="1"/>
  <c r="J2632" i="2"/>
  <c r="B2632" i="2"/>
  <c r="N2631" i="2"/>
  <c r="M2631" i="2"/>
  <c r="L2631" i="2" a="1"/>
  <c r="L2631" i="2" s="1"/>
  <c r="K2631" i="2" a="1"/>
  <c r="K2631" i="2" s="1"/>
  <c r="J2631" i="2"/>
  <c r="B2631" i="2"/>
  <c r="N2630" i="2"/>
  <c r="M2630" i="2"/>
  <c r="L2630" i="2" a="1"/>
  <c r="L2630" i="2" s="1"/>
  <c r="K2630" i="2" a="1"/>
  <c r="K2630" i="2" s="1"/>
  <c r="J2630" i="2"/>
  <c r="B2630" i="2"/>
  <c r="N2629" i="2"/>
  <c r="M2629" i="2"/>
  <c r="L2629" i="2" a="1"/>
  <c r="L2629" i="2" s="1"/>
  <c r="K2629" i="2" a="1"/>
  <c r="K2629" i="2" s="1"/>
  <c r="J2629" i="2"/>
  <c r="B2629" i="2"/>
  <c r="N2628" i="2"/>
  <c r="M2628" i="2"/>
  <c r="L2628" i="2" a="1"/>
  <c r="L2628" i="2" s="1"/>
  <c r="K2628" i="2" a="1"/>
  <c r="K2628" i="2" s="1"/>
  <c r="J2628" i="2"/>
  <c r="B2628" i="2"/>
  <c r="N2627" i="2"/>
  <c r="M2627" i="2"/>
  <c r="L2627" i="2" a="1"/>
  <c r="L2627" i="2" s="1"/>
  <c r="K2627" i="2" a="1"/>
  <c r="K2627" i="2" s="1"/>
  <c r="J2627" i="2"/>
  <c r="B2627" i="2"/>
  <c r="N2626" i="2"/>
  <c r="M2626" i="2"/>
  <c r="L2626" i="2" a="1"/>
  <c r="L2626" i="2" s="1"/>
  <c r="K2626" i="2" a="1"/>
  <c r="K2626" i="2" s="1"/>
  <c r="J2626" i="2"/>
  <c r="B2626" i="2"/>
  <c r="N2625" i="2"/>
  <c r="M2625" i="2"/>
  <c r="L2625" i="2" a="1"/>
  <c r="L2625" i="2" s="1"/>
  <c r="K2625" i="2" a="1"/>
  <c r="K2625" i="2" s="1"/>
  <c r="J2625" i="2"/>
  <c r="B2625" i="2"/>
  <c r="N2624" i="2"/>
  <c r="M2624" i="2"/>
  <c r="L2624" i="2" a="1"/>
  <c r="L2624" i="2" s="1"/>
  <c r="K2624" i="2" a="1"/>
  <c r="K2624" i="2" s="1"/>
  <c r="J2624" i="2"/>
  <c r="B2624" i="2"/>
  <c r="N2623" i="2"/>
  <c r="M2623" i="2"/>
  <c r="L2623" i="2" a="1"/>
  <c r="L2623" i="2" s="1"/>
  <c r="K2623" i="2" a="1"/>
  <c r="K2623" i="2" s="1"/>
  <c r="J2623" i="2"/>
  <c r="B2623" i="2"/>
  <c r="N2622" i="2"/>
  <c r="M2622" i="2"/>
  <c r="L2622" i="2" a="1"/>
  <c r="L2622" i="2" s="1"/>
  <c r="K2622" i="2" a="1"/>
  <c r="K2622" i="2" s="1"/>
  <c r="J2622" i="2"/>
  <c r="B2622" i="2"/>
  <c r="N2621" i="2"/>
  <c r="M2621" i="2"/>
  <c r="L2621" i="2" a="1"/>
  <c r="L2621" i="2" s="1"/>
  <c r="K2621" i="2" a="1"/>
  <c r="K2621" i="2" s="1"/>
  <c r="J2621" i="2"/>
  <c r="B2621" i="2"/>
  <c r="N2620" i="2"/>
  <c r="M2620" i="2"/>
  <c r="L2620" i="2" a="1"/>
  <c r="L2620" i="2" s="1"/>
  <c r="K2620" i="2" a="1"/>
  <c r="K2620" i="2" s="1"/>
  <c r="J2620" i="2"/>
  <c r="B2620" i="2"/>
  <c r="N2619" i="2"/>
  <c r="M2619" i="2"/>
  <c r="L2619" i="2" a="1"/>
  <c r="L2619" i="2" s="1"/>
  <c r="K2619" i="2" a="1"/>
  <c r="K2619" i="2" s="1"/>
  <c r="J2619" i="2"/>
  <c r="B2619" i="2"/>
  <c r="N2618" i="2"/>
  <c r="M2618" i="2"/>
  <c r="L2618" i="2" a="1"/>
  <c r="L2618" i="2" s="1"/>
  <c r="K2618" i="2" a="1"/>
  <c r="K2618" i="2" s="1"/>
  <c r="J2618" i="2"/>
  <c r="B2618" i="2"/>
  <c r="N2617" i="2"/>
  <c r="M2617" i="2"/>
  <c r="L2617" i="2" a="1"/>
  <c r="L2617" i="2" s="1"/>
  <c r="K2617" i="2" a="1"/>
  <c r="K2617" i="2" s="1"/>
  <c r="J2617" i="2"/>
  <c r="B2617" i="2"/>
  <c r="N2616" i="2"/>
  <c r="M2616" i="2"/>
  <c r="L2616" i="2" a="1"/>
  <c r="L2616" i="2" s="1"/>
  <c r="K2616" i="2" a="1"/>
  <c r="K2616" i="2" s="1"/>
  <c r="J2616" i="2"/>
  <c r="B2616" i="2"/>
  <c r="N2615" i="2"/>
  <c r="M2615" i="2"/>
  <c r="L2615" i="2" a="1"/>
  <c r="L2615" i="2" s="1"/>
  <c r="K2615" i="2" a="1"/>
  <c r="K2615" i="2" s="1"/>
  <c r="J2615" i="2"/>
  <c r="B2615" i="2"/>
  <c r="N2614" i="2"/>
  <c r="M2614" i="2"/>
  <c r="L2614" i="2" a="1"/>
  <c r="L2614" i="2" s="1"/>
  <c r="K2614" i="2" a="1"/>
  <c r="K2614" i="2" s="1"/>
  <c r="J2614" i="2"/>
  <c r="B2614" i="2"/>
  <c r="N2613" i="2"/>
  <c r="M2613" i="2"/>
  <c r="L2613" i="2" a="1"/>
  <c r="L2613" i="2" s="1"/>
  <c r="K2613" i="2" a="1"/>
  <c r="K2613" i="2" s="1"/>
  <c r="J2613" i="2"/>
  <c r="B2613" i="2"/>
  <c r="N2612" i="2"/>
  <c r="M2612" i="2"/>
  <c r="L2612" i="2" a="1"/>
  <c r="L2612" i="2" s="1"/>
  <c r="K2612" i="2" a="1"/>
  <c r="K2612" i="2" s="1"/>
  <c r="J2612" i="2"/>
  <c r="B2612" i="2"/>
  <c r="N2611" i="2"/>
  <c r="M2611" i="2"/>
  <c r="L2611" i="2" a="1"/>
  <c r="L2611" i="2" s="1"/>
  <c r="K2611" i="2" a="1"/>
  <c r="K2611" i="2" s="1"/>
  <c r="J2611" i="2"/>
  <c r="B2611" i="2"/>
  <c r="N2610" i="2"/>
  <c r="M2610" i="2"/>
  <c r="L2610" i="2" a="1"/>
  <c r="L2610" i="2" s="1"/>
  <c r="K2610" i="2" a="1"/>
  <c r="K2610" i="2" s="1"/>
  <c r="J2610" i="2"/>
  <c r="B2610" i="2"/>
  <c r="N2609" i="2"/>
  <c r="M2609" i="2"/>
  <c r="L2609" i="2" a="1"/>
  <c r="L2609" i="2" s="1"/>
  <c r="K2609" i="2" a="1"/>
  <c r="K2609" i="2" s="1"/>
  <c r="J2609" i="2"/>
  <c r="B2609" i="2"/>
  <c r="N2608" i="2"/>
  <c r="M2608" i="2"/>
  <c r="L2608" i="2" a="1"/>
  <c r="L2608" i="2" s="1"/>
  <c r="K2608" i="2" a="1"/>
  <c r="K2608" i="2" s="1"/>
  <c r="J2608" i="2"/>
  <c r="B2608" i="2"/>
  <c r="N2607" i="2"/>
  <c r="M2607" i="2"/>
  <c r="L2607" i="2" a="1"/>
  <c r="L2607" i="2" s="1"/>
  <c r="K2607" i="2" a="1"/>
  <c r="K2607" i="2" s="1"/>
  <c r="J2607" i="2"/>
  <c r="B2607" i="2"/>
  <c r="N2606" i="2"/>
  <c r="M2606" i="2"/>
  <c r="L2606" i="2" a="1"/>
  <c r="L2606" i="2" s="1"/>
  <c r="K2606" i="2" a="1"/>
  <c r="K2606" i="2" s="1"/>
  <c r="J2606" i="2"/>
  <c r="B2606" i="2"/>
  <c r="N2605" i="2"/>
  <c r="M2605" i="2"/>
  <c r="L2605" i="2" a="1"/>
  <c r="L2605" i="2" s="1"/>
  <c r="K2605" i="2" a="1"/>
  <c r="K2605" i="2" s="1"/>
  <c r="J2605" i="2"/>
  <c r="B2605" i="2"/>
  <c r="N2604" i="2"/>
  <c r="M2604" i="2"/>
  <c r="L2604" i="2" a="1"/>
  <c r="L2604" i="2" s="1"/>
  <c r="K2604" i="2" a="1"/>
  <c r="K2604" i="2" s="1"/>
  <c r="J2604" i="2"/>
  <c r="B2604" i="2"/>
  <c r="N2603" i="2"/>
  <c r="M2603" i="2"/>
  <c r="L2603" i="2" a="1"/>
  <c r="L2603" i="2" s="1"/>
  <c r="K2603" i="2" a="1"/>
  <c r="K2603" i="2" s="1"/>
  <c r="J2603" i="2"/>
  <c r="B2603" i="2"/>
  <c r="N2602" i="2"/>
  <c r="M2602" i="2"/>
  <c r="L2602" i="2" a="1"/>
  <c r="L2602" i="2" s="1"/>
  <c r="K2602" i="2" a="1"/>
  <c r="K2602" i="2" s="1"/>
  <c r="J2602" i="2"/>
  <c r="B2602" i="2"/>
  <c r="N2601" i="2"/>
  <c r="M2601" i="2"/>
  <c r="L2601" i="2" a="1"/>
  <c r="L2601" i="2" s="1"/>
  <c r="K2601" i="2" a="1"/>
  <c r="K2601" i="2" s="1"/>
  <c r="J2601" i="2"/>
  <c r="B2601" i="2"/>
  <c r="N2600" i="2"/>
  <c r="M2600" i="2"/>
  <c r="L2600" i="2" a="1"/>
  <c r="L2600" i="2" s="1"/>
  <c r="K2600" i="2" a="1"/>
  <c r="K2600" i="2" s="1"/>
  <c r="J2600" i="2"/>
  <c r="B2600" i="2"/>
  <c r="N2599" i="2"/>
  <c r="M2599" i="2"/>
  <c r="L2599" i="2" a="1"/>
  <c r="L2599" i="2" s="1"/>
  <c r="K2599" i="2" a="1"/>
  <c r="K2599" i="2" s="1"/>
  <c r="J2599" i="2"/>
  <c r="B2599" i="2"/>
  <c r="N2598" i="2"/>
  <c r="M2598" i="2"/>
  <c r="L2598" i="2" a="1"/>
  <c r="L2598" i="2" s="1"/>
  <c r="K2598" i="2" a="1"/>
  <c r="K2598" i="2" s="1"/>
  <c r="J2598" i="2"/>
  <c r="B2598" i="2"/>
  <c r="N2597" i="2"/>
  <c r="M2597" i="2"/>
  <c r="L2597" i="2" a="1"/>
  <c r="L2597" i="2" s="1"/>
  <c r="K2597" i="2" a="1"/>
  <c r="K2597" i="2" s="1"/>
  <c r="J2597" i="2"/>
  <c r="B2597" i="2"/>
  <c r="V2596" i="2"/>
  <c r="N2596" i="2"/>
  <c r="M2596" i="2"/>
  <c r="L2596" i="2" a="1"/>
  <c r="L2596" i="2" s="1"/>
  <c r="K2596" i="2" a="1"/>
  <c r="K2596" i="2" s="1"/>
  <c r="J2596" i="2"/>
  <c r="B2596" i="2"/>
  <c r="N2595" i="2"/>
  <c r="M2595" i="2"/>
  <c r="L2595" i="2" a="1"/>
  <c r="L2595" i="2" s="1"/>
  <c r="K2595" i="2" a="1"/>
  <c r="K2595" i="2" s="1"/>
  <c r="J2595" i="2"/>
  <c r="B2595" i="2"/>
  <c r="N2594" i="2"/>
  <c r="M2594" i="2"/>
  <c r="L2594" i="2" a="1"/>
  <c r="L2594" i="2" s="1"/>
  <c r="K2594" i="2" a="1"/>
  <c r="K2594" i="2" s="1"/>
  <c r="J2594" i="2"/>
  <c r="B2594" i="2"/>
  <c r="N2593" i="2"/>
  <c r="M2593" i="2"/>
  <c r="L2593" i="2" a="1"/>
  <c r="L2593" i="2" s="1"/>
  <c r="K2593" i="2" a="1"/>
  <c r="K2593" i="2" s="1"/>
  <c r="J2593" i="2"/>
  <c r="B2593" i="2"/>
  <c r="N2592" i="2"/>
  <c r="M2592" i="2"/>
  <c r="L2592" i="2" a="1"/>
  <c r="L2592" i="2" s="1"/>
  <c r="K2592" i="2" a="1"/>
  <c r="K2592" i="2" s="1"/>
  <c r="J2592" i="2"/>
  <c r="B2592" i="2"/>
  <c r="N2591" i="2"/>
  <c r="M2591" i="2"/>
  <c r="L2591" i="2" a="1"/>
  <c r="L2591" i="2" s="1"/>
  <c r="K2591" i="2" a="1"/>
  <c r="K2591" i="2" s="1"/>
  <c r="J2591" i="2"/>
  <c r="B2591" i="2"/>
  <c r="N2590" i="2"/>
  <c r="M2590" i="2"/>
  <c r="L2590" i="2" a="1"/>
  <c r="L2590" i="2" s="1"/>
  <c r="K2590" i="2" a="1"/>
  <c r="K2590" i="2" s="1"/>
  <c r="J2590" i="2"/>
  <c r="B2590" i="2"/>
  <c r="N2589" i="2"/>
  <c r="M2589" i="2"/>
  <c r="L2589" i="2" a="1"/>
  <c r="L2589" i="2" s="1"/>
  <c r="K2589" i="2" a="1"/>
  <c r="K2589" i="2" s="1"/>
  <c r="J2589" i="2"/>
  <c r="B2589" i="2"/>
  <c r="U2588" i="2"/>
  <c r="A2587" i="2"/>
  <c r="J2586" i="2"/>
  <c r="N2585" i="2"/>
  <c r="M2585" i="2"/>
  <c r="L2585" i="2" a="1"/>
  <c r="L2585" i="2" s="1"/>
  <c r="K2585" i="2" a="1"/>
  <c r="K2585" i="2" s="1"/>
  <c r="J2585" i="2"/>
  <c r="B2585" i="2"/>
  <c r="N2584" i="2"/>
  <c r="M2584" i="2"/>
  <c r="L2584" i="2" a="1"/>
  <c r="L2584" i="2" s="1"/>
  <c r="K2584" i="2" a="1"/>
  <c r="K2584" i="2" s="1"/>
  <c r="J2584" i="2"/>
  <c r="B2584" i="2"/>
  <c r="N2583" i="2"/>
  <c r="M2583" i="2"/>
  <c r="L2583" i="2" a="1"/>
  <c r="L2583" i="2" s="1"/>
  <c r="K2583" i="2" a="1"/>
  <c r="K2583" i="2" s="1"/>
  <c r="J2583" i="2"/>
  <c r="B2583" i="2"/>
  <c r="N2582" i="2"/>
  <c r="M2582" i="2"/>
  <c r="L2582" i="2" a="1"/>
  <c r="L2582" i="2" s="1"/>
  <c r="K2582" i="2" a="1"/>
  <c r="K2582" i="2" s="1"/>
  <c r="J2582" i="2"/>
  <c r="B2582" i="2"/>
  <c r="N2581" i="2"/>
  <c r="M2581" i="2"/>
  <c r="L2581" i="2" a="1"/>
  <c r="L2581" i="2" s="1"/>
  <c r="K2581" i="2" a="1"/>
  <c r="K2581" i="2" s="1"/>
  <c r="J2581" i="2"/>
  <c r="B2581" i="2"/>
  <c r="N2580" i="2"/>
  <c r="M2580" i="2"/>
  <c r="L2580" i="2" a="1"/>
  <c r="L2580" i="2" s="1"/>
  <c r="K2580" i="2" a="1"/>
  <c r="K2580" i="2" s="1"/>
  <c r="J2580" i="2"/>
  <c r="B2580" i="2"/>
  <c r="N2579" i="2"/>
  <c r="M2579" i="2"/>
  <c r="L2579" i="2" a="1"/>
  <c r="L2579" i="2" s="1"/>
  <c r="K2579" i="2" a="1"/>
  <c r="K2579" i="2" s="1"/>
  <c r="J2579" i="2"/>
  <c r="B2579" i="2"/>
  <c r="N2578" i="2"/>
  <c r="M2578" i="2"/>
  <c r="L2578" i="2" a="1"/>
  <c r="L2578" i="2" s="1"/>
  <c r="K2578" i="2" a="1"/>
  <c r="K2578" i="2" s="1"/>
  <c r="J2578" i="2"/>
  <c r="B2578" i="2"/>
  <c r="N2577" i="2"/>
  <c r="M2577" i="2"/>
  <c r="L2577" i="2" a="1"/>
  <c r="L2577" i="2" s="1"/>
  <c r="K2577" i="2" a="1"/>
  <c r="K2577" i="2" s="1"/>
  <c r="J2577" i="2"/>
  <c r="B2577" i="2"/>
  <c r="N2576" i="2"/>
  <c r="M2576" i="2"/>
  <c r="L2576" i="2" a="1"/>
  <c r="L2576" i="2" s="1"/>
  <c r="K2576" i="2" a="1"/>
  <c r="K2576" i="2" s="1"/>
  <c r="J2576" i="2"/>
  <c r="B2576" i="2"/>
  <c r="N2575" i="2"/>
  <c r="M2575" i="2"/>
  <c r="L2575" i="2" a="1"/>
  <c r="L2575" i="2" s="1"/>
  <c r="K2575" i="2" a="1"/>
  <c r="K2575" i="2" s="1"/>
  <c r="J2575" i="2"/>
  <c r="B2575" i="2"/>
  <c r="N2574" i="2"/>
  <c r="M2574" i="2"/>
  <c r="L2574" i="2" a="1"/>
  <c r="L2574" i="2" s="1"/>
  <c r="K2574" i="2" a="1"/>
  <c r="K2574" i="2" s="1"/>
  <c r="J2574" i="2"/>
  <c r="B2574" i="2"/>
  <c r="N2573" i="2"/>
  <c r="M2573" i="2"/>
  <c r="L2573" i="2" a="1"/>
  <c r="L2573" i="2" s="1"/>
  <c r="K2573" i="2" a="1"/>
  <c r="K2573" i="2" s="1"/>
  <c r="J2573" i="2"/>
  <c r="B2573" i="2"/>
  <c r="N2572" i="2"/>
  <c r="M2572" i="2"/>
  <c r="L2572" i="2" a="1"/>
  <c r="L2572" i="2" s="1"/>
  <c r="K2572" i="2" a="1"/>
  <c r="K2572" i="2" s="1"/>
  <c r="J2572" i="2"/>
  <c r="B2572" i="2"/>
  <c r="N2571" i="2"/>
  <c r="M2571" i="2"/>
  <c r="L2571" i="2" a="1"/>
  <c r="L2571" i="2" s="1"/>
  <c r="K2571" i="2" a="1"/>
  <c r="K2571" i="2" s="1"/>
  <c r="J2571" i="2"/>
  <c r="B2571" i="2"/>
  <c r="N2570" i="2"/>
  <c r="M2570" i="2"/>
  <c r="L2570" i="2" a="1"/>
  <c r="L2570" i="2" s="1"/>
  <c r="K2570" i="2" a="1"/>
  <c r="K2570" i="2" s="1"/>
  <c r="J2570" i="2"/>
  <c r="B2570" i="2"/>
  <c r="N2569" i="2"/>
  <c r="M2569" i="2"/>
  <c r="L2569" i="2" a="1"/>
  <c r="L2569" i="2" s="1"/>
  <c r="K2569" i="2" a="1"/>
  <c r="K2569" i="2" s="1"/>
  <c r="J2569" i="2"/>
  <c r="B2569" i="2"/>
  <c r="N2568" i="2"/>
  <c r="M2568" i="2"/>
  <c r="L2568" i="2" a="1"/>
  <c r="L2568" i="2" s="1"/>
  <c r="K2568" i="2" a="1"/>
  <c r="K2568" i="2" s="1"/>
  <c r="J2568" i="2"/>
  <c r="B2568" i="2"/>
  <c r="N2567" i="2"/>
  <c r="M2567" i="2"/>
  <c r="L2567" i="2" a="1"/>
  <c r="L2567" i="2" s="1"/>
  <c r="K2567" i="2" a="1"/>
  <c r="K2567" i="2" s="1"/>
  <c r="J2567" i="2"/>
  <c r="B2567" i="2"/>
  <c r="N2566" i="2"/>
  <c r="M2566" i="2"/>
  <c r="L2566" i="2" a="1"/>
  <c r="L2566" i="2" s="1"/>
  <c r="K2566" i="2" a="1"/>
  <c r="K2566" i="2" s="1"/>
  <c r="J2566" i="2"/>
  <c r="B2566" i="2"/>
  <c r="N2565" i="2"/>
  <c r="M2565" i="2"/>
  <c r="L2565" i="2" a="1"/>
  <c r="L2565" i="2" s="1"/>
  <c r="K2565" i="2" a="1"/>
  <c r="K2565" i="2" s="1"/>
  <c r="J2565" i="2"/>
  <c r="B2565" i="2"/>
  <c r="N2564" i="2"/>
  <c r="M2564" i="2"/>
  <c r="L2564" i="2" a="1"/>
  <c r="L2564" i="2" s="1"/>
  <c r="K2564" i="2" a="1"/>
  <c r="K2564" i="2" s="1"/>
  <c r="J2564" i="2"/>
  <c r="B2564" i="2"/>
  <c r="N2563" i="2"/>
  <c r="M2563" i="2"/>
  <c r="L2563" i="2" a="1"/>
  <c r="L2563" i="2" s="1"/>
  <c r="K2563" i="2" a="1"/>
  <c r="K2563" i="2" s="1"/>
  <c r="J2563" i="2"/>
  <c r="B2563" i="2"/>
  <c r="N2562" i="2"/>
  <c r="M2562" i="2"/>
  <c r="L2562" i="2" a="1"/>
  <c r="L2562" i="2" s="1"/>
  <c r="K2562" i="2" a="1"/>
  <c r="K2562" i="2" s="1"/>
  <c r="J2562" i="2"/>
  <c r="B2562" i="2"/>
  <c r="N2561" i="2"/>
  <c r="M2561" i="2"/>
  <c r="L2561" i="2" a="1"/>
  <c r="L2561" i="2" s="1"/>
  <c r="K2561" i="2" a="1"/>
  <c r="K2561" i="2" s="1"/>
  <c r="J2561" i="2"/>
  <c r="B2561" i="2"/>
  <c r="N2560" i="2"/>
  <c r="M2560" i="2"/>
  <c r="L2560" i="2" a="1"/>
  <c r="L2560" i="2" s="1"/>
  <c r="K2560" i="2" a="1"/>
  <c r="K2560" i="2" s="1"/>
  <c r="J2560" i="2"/>
  <c r="B2560" i="2"/>
  <c r="N2559" i="2"/>
  <c r="M2559" i="2"/>
  <c r="L2559" i="2" a="1"/>
  <c r="L2559" i="2" s="1"/>
  <c r="K2559" i="2" a="1"/>
  <c r="K2559" i="2" s="1"/>
  <c r="J2559" i="2"/>
  <c r="B2559" i="2"/>
  <c r="N2558" i="2"/>
  <c r="M2558" i="2"/>
  <c r="L2558" i="2" a="1"/>
  <c r="L2558" i="2" s="1"/>
  <c r="K2558" i="2" a="1"/>
  <c r="K2558" i="2" s="1"/>
  <c r="J2558" i="2"/>
  <c r="B2558" i="2"/>
  <c r="N2557" i="2"/>
  <c r="M2557" i="2"/>
  <c r="L2557" i="2" a="1"/>
  <c r="L2557" i="2" s="1"/>
  <c r="K2557" i="2" a="1"/>
  <c r="K2557" i="2" s="1"/>
  <c r="J2557" i="2"/>
  <c r="B2557" i="2"/>
  <c r="N2556" i="2"/>
  <c r="M2556" i="2"/>
  <c r="L2556" i="2" a="1"/>
  <c r="L2556" i="2" s="1"/>
  <c r="K2556" i="2" a="1"/>
  <c r="K2556" i="2" s="1"/>
  <c r="J2556" i="2"/>
  <c r="B2556" i="2"/>
  <c r="N2555" i="2"/>
  <c r="M2555" i="2"/>
  <c r="L2555" i="2" a="1"/>
  <c r="L2555" i="2" s="1"/>
  <c r="K2555" i="2" a="1"/>
  <c r="K2555" i="2" s="1"/>
  <c r="J2555" i="2"/>
  <c r="B2555" i="2"/>
  <c r="N2554" i="2"/>
  <c r="M2554" i="2"/>
  <c r="L2554" i="2" a="1"/>
  <c r="L2554" i="2" s="1"/>
  <c r="K2554" i="2" a="1"/>
  <c r="K2554" i="2" s="1"/>
  <c r="J2554" i="2"/>
  <c r="B2554" i="2"/>
  <c r="N2553" i="2"/>
  <c r="M2553" i="2"/>
  <c r="L2553" i="2" a="1"/>
  <c r="L2553" i="2" s="1"/>
  <c r="K2553" i="2" a="1"/>
  <c r="K2553" i="2" s="1"/>
  <c r="J2553" i="2"/>
  <c r="B2553" i="2"/>
  <c r="N2552" i="2"/>
  <c r="M2552" i="2"/>
  <c r="L2552" i="2" a="1"/>
  <c r="L2552" i="2" s="1"/>
  <c r="K2552" i="2" a="1"/>
  <c r="K2552" i="2" s="1"/>
  <c r="J2552" i="2"/>
  <c r="B2552" i="2"/>
  <c r="N2551" i="2"/>
  <c r="M2551" i="2"/>
  <c r="L2551" i="2" a="1"/>
  <c r="L2551" i="2" s="1"/>
  <c r="K2551" i="2" a="1"/>
  <c r="K2551" i="2" s="1"/>
  <c r="J2551" i="2"/>
  <c r="B2551" i="2"/>
  <c r="N2550" i="2"/>
  <c r="M2550" i="2"/>
  <c r="L2550" i="2" a="1"/>
  <c r="L2550" i="2" s="1"/>
  <c r="K2550" i="2" a="1"/>
  <c r="K2550" i="2" s="1"/>
  <c r="J2550" i="2"/>
  <c r="B2550" i="2"/>
  <c r="N2549" i="2"/>
  <c r="M2549" i="2"/>
  <c r="L2549" i="2" a="1"/>
  <c r="L2549" i="2" s="1"/>
  <c r="K2549" i="2" a="1"/>
  <c r="K2549" i="2" s="1"/>
  <c r="J2549" i="2"/>
  <c r="B2549" i="2"/>
  <c r="N2548" i="2"/>
  <c r="M2548" i="2"/>
  <c r="L2548" i="2" a="1"/>
  <c r="L2548" i="2" s="1"/>
  <c r="K2548" i="2" a="1"/>
  <c r="K2548" i="2" s="1"/>
  <c r="J2548" i="2"/>
  <c r="B2548" i="2"/>
  <c r="N2547" i="2"/>
  <c r="M2547" i="2"/>
  <c r="L2547" i="2" a="1"/>
  <c r="L2547" i="2" s="1"/>
  <c r="K2547" i="2" a="1"/>
  <c r="K2547" i="2" s="1"/>
  <c r="J2547" i="2"/>
  <c r="B2547" i="2"/>
  <c r="N2546" i="2"/>
  <c r="M2546" i="2"/>
  <c r="L2546" i="2" a="1"/>
  <c r="L2546" i="2" s="1"/>
  <c r="K2546" i="2" a="1"/>
  <c r="K2546" i="2" s="1"/>
  <c r="J2546" i="2"/>
  <c r="B2546" i="2"/>
  <c r="N2545" i="2"/>
  <c r="M2545" i="2"/>
  <c r="L2545" i="2" a="1"/>
  <c r="L2545" i="2" s="1"/>
  <c r="K2545" i="2" a="1"/>
  <c r="K2545" i="2" s="1"/>
  <c r="J2545" i="2"/>
  <c r="B2545" i="2"/>
  <c r="N2544" i="2"/>
  <c r="M2544" i="2"/>
  <c r="L2544" i="2" a="1"/>
  <c r="L2544" i="2" s="1"/>
  <c r="K2544" i="2" a="1"/>
  <c r="K2544" i="2" s="1"/>
  <c r="J2544" i="2"/>
  <c r="B2544" i="2"/>
  <c r="N2543" i="2"/>
  <c r="M2543" i="2"/>
  <c r="L2543" i="2" a="1"/>
  <c r="L2543" i="2" s="1"/>
  <c r="K2543" i="2" a="1"/>
  <c r="K2543" i="2" s="1"/>
  <c r="J2543" i="2"/>
  <c r="B2543" i="2"/>
  <c r="N2542" i="2"/>
  <c r="M2542" i="2"/>
  <c r="L2542" i="2" a="1"/>
  <c r="L2542" i="2" s="1"/>
  <c r="K2542" i="2" a="1"/>
  <c r="K2542" i="2" s="1"/>
  <c r="J2542" i="2"/>
  <c r="B2542" i="2"/>
  <c r="N2541" i="2"/>
  <c r="M2541" i="2"/>
  <c r="L2541" i="2" a="1"/>
  <c r="L2541" i="2" s="1"/>
  <c r="K2541" i="2" a="1"/>
  <c r="K2541" i="2" s="1"/>
  <c r="J2541" i="2"/>
  <c r="B2541" i="2"/>
  <c r="N2540" i="2"/>
  <c r="M2540" i="2"/>
  <c r="L2540" i="2" a="1"/>
  <c r="L2540" i="2" s="1"/>
  <c r="K2540" i="2" a="1"/>
  <c r="K2540" i="2" s="1"/>
  <c r="J2540" i="2"/>
  <c r="B2540" i="2"/>
  <c r="N2539" i="2"/>
  <c r="M2539" i="2"/>
  <c r="L2539" i="2" a="1"/>
  <c r="L2539" i="2" s="1"/>
  <c r="K2539" i="2" a="1"/>
  <c r="K2539" i="2" s="1"/>
  <c r="J2539" i="2"/>
  <c r="B2539" i="2"/>
  <c r="N2538" i="2"/>
  <c r="M2538" i="2"/>
  <c r="L2538" i="2" a="1"/>
  <c r="L2538" i="2" s="1"/>
  <c r="K2538" i="2" a="1"/>
  <c r="K2538" i="2" s="1"/>
  <c r="J2538" i="2"/>
  <c r="B2538" i="2"/>
  <c r="N2537" i="2"/>
  <c r="M2537" i="2"/>
  <c r="L2537" i="2" a="1"/>
  <c r="L2537" i="2" s="1"/>
  <c r="K2537" i="2" a="1"/>
  <c r="K2537" i="2" s="1"/>
  <c r="J2537" i="2"/>
  <c r="B2537" i="2"/>
  <c r="N2536" i="2"/>
  <c r="M2536" i="2"/>
  <c r="L2536" i="2" a="1"/>
  <c r="L2536" i="2" s="1"/>
  <c r="K2536" i="2" a="1"/>
  <c r="K2536" i="2" s="1"/>
  <c r="J2536" i="2"/>
  <c r="B2536" i="2"/>
  <c r="N2535" i="2"/>
  <c r="M2535" i="2"/>
  <c r="L2535" i="2" a="1"/>
  <c r="L2535" i="2" s="1"/>
  <c r="K2535" i="2" a="1"/>
  <c r="K2535" i="2" s="1"/>
  <c r="J2535" i="2"/>
  <c r="B2535" i="2"/>
  <c r="N2534" i="2"/>
  <c r="M2534" i="2"/>
  <c r="L2534" i="2" a="1"/>
  <c r="L2534" i="2" s="1"/>
  <c r="K2534" i="2" a="1"/>
  <c r="K2534" i="2" s="1"/>
  <c r="J2534" i="2"/>
  <c r="B2534" i="2"/>
  <c r="N2533" i="2"/>
  <c r="M2533" i="2"/>
  <c r="L2533" i="2" a="1"/>
  <c r="L2533" i="2" s="1"/>
  <c r="K2533" i="2" a="1"/>
  <c r="K2533" i="2" s="1"/>
  <c r="J2533" i="2"/>
  <c r="B2533" i="2"/>
  <c r="N2532" i="2"/>
  <c r="M2532" i="2"/>
  <c r="L2532" i="2" a="1"/>
  <c r="L2532" i="2" s="1"/>
  <c r="K2532" i="2" a="1"/>
  <c r="K2532" i="2" s="1"/>
  <c r="J2532" i="2"/>
  <c r="B2532" i="2"/>
  <c r="N2531" i="2"/>
  <c r="M2531" i="2"/>
  <c r="L2531" i="2" a="1"/>
  <c r="L2531" i="2" s="1"/>
  <c r="K2531" i="2" a="1"/>
  <c r="K2531" i="2" s="1"/>
  <c r="J2531" i="2"/>
  <c r="B2531" i="2"/>
  <c r="N2530" i="2"/>
  <c r="M2530" i="2"/>
  <c r="L2530" i="2" a="1"/>
  <c r="L2530" i="2" s="1"/>
  <c r="K2530" i="2" a="1"/>
  <c r="K2530" i="2" s="1"/>
  <c r="J2530" i="2"/>
  <c r="B2530" i="2"/>
  <c r="N2529" i="2"/>
  <c r="M2529" i="2"/>
  <c r="L2529" i="2" a="1"/>
  <c r="L2529" i="2" s="1"/>
  <c r="K2529" i="2" a="1"/>
  <c r="K2529" i="2" s="1"/>
  <c r="J2529" i="2"/>
  <c r="B2529" i="2"/>
  <c r="N2528" i="2"/>
  <c r="M2528" i="2"/>
  <c r="L2528" i="2" a="1"/>
  <c r="L2528" i="2" s="1"/>
  <c r="K2528" i="2" a="1"/>
  <c r="K2528" i="2" s="1"/>
  <c r="J2528" i="2"/>
  <c r="B2528" i="2"/>
  <c r="N2527" i="2"/>
  <c r="M2527" i="2"/>
  <c r="L2527" i="2" a="1"/>
  <c r="L2527" i="2" s="1"/>
  <c r="K2527" i="2" a="1"/>
  <c r="K2527" i="2" s="1"/>
  <c r="J2527" i="2"/>
  <c r="B2527" i="2"/>
  <c r="N2526" i="2"/>
  <c r="M2526" i="2"/>
  <c r="L2526" i="2" a="1"/>
  <c r="L2526" i="2" s="1"/>
  <c r="K2526" i="2" a="1"/>
  <c r="K2526" i="2" s="1"/>
  <c r="J2526" i="2"/>
  <c r="B2526" i="2"/>
  <c r="N2525" i="2"/>
  <c r="M2525" i="2"/>
  <c r="L2525" i="2" a="1"/>
  <c r="L2525" i="2" s="1"/>
  <c r="K2525" i="2" a="1"/>
  <c r="K2525" i="2" s="1"/>
  <c r="J2525" i="2"/>
  <c r="B2525" i="2"/>
  <c r="N2524" i="2"/>
  <c r="M2524" i="2"/>
  <c r="L2524" i="2" a="1"/>
  <c r="L2524" i="2" s="1"/>
  <c r="K2524" i="2" a="1"/>
  <c r="K2524" i="2" s="1"/>
  <c r="J2524" i="2"/>
  <c r="B2524" i="2"/>
  <c r="N2523" i="2"/>
  <c r="M2523" i="2"/>
  <c r="L2523" i="2" a="1"/>
  <c r="L2523" i="2" s="1"/>
  <c r="K2523" i="2" a="1"/>
  <c r="K2523" i="2" s="1"/>
  <c r="J2523" i="2"/>
  <c r="B2523" i="2"/>
  <c r="N2522" i="2"/>
  <c r="M2522" i="2"/>
  <c r="L2522" i="2" a="1"/>
  <c r="L2522" i="2" s="1"/>
  <c r="K2522" i="2" a="1"/>
  <c r="K2522" i="2" s="1"/>
  <c r="J2522" i="2"/>
  <c r="B2522" i="2"/>
  <c r="N2521" i="2"/>
  <c r="M2521" i="2"/>
  <c r="L2521" i="2" a="1"/>
  <c r="L2521" i="2" s="1"/>
  <c r="K2521" i="2" a="1"/>
  <c r="K2521" i="2" s="1"/>
  <c r="J2521" i="2"/>
  <c r="B2521" i="2"/>
  <c r="N2520" i="2"/>
  <c r="M2520" i="2"/>
  <c r="L2520" i="2" a="1"/>
  <c r="L2520" i="2" s="1"/>
  <c r="K2520" i="2" a="1"/>
  <c r="K2520" i="2" s="1"/>
  <c r="J2520" i="2"/>
  <c r="B2520" i="2"/>
  <c r="N2519" i="2"/>
  <c r="M2519" i="2"/>
  <c r="L2519" i="2" a="1"/>
  <c r="L2519" i="2" s="1"/>
  <c r="K2519" i="2" a="1"/>
  <c r="K2519" i="2" s="1"/>
  <c r="J2519" i="2"/>
  <c r="B2519" i="2"/>
  <c r="N2518" i="2"/>
  <c r="M2518" i="2"/>
  <c r="L2518" i="2" a="1"/>
  <c r="L2518" i="2" s="1"/>
  <c r="K2518" i="2" a="1"/>
  <c r="K2518" i="2" s="1"/>
  <c r="J2518" i="2"/>
  <c r="B2518" i="2"/>
  <c r="N2517" i="2"/>
  <c r="M2517" i="2"/>
  <c r="L2517" i="2" a="1"/>
  <c r="L2517" i="2" s="1"/>
  <c r="K2517" i="2" a="1"/>
  <c r="K2517" i="2" s="1"/>
  <c r="J2517" i="2"/>
  <c r="B2517" i="2"/>
  <c r="N2516" i="2"/>
  <c r="M2516" i="2"/>
  <c r="L2516" i="2" a="1"/>
  <c r="L2516" i="2" s="1"/>
  <c r="K2516" i="2" a="1"/>
  <c r="K2516" i="2" s="1"/>
  <c r="J2516" i="2"/>
  <c r="B2516" i="2"/>
  <c r="N2515" i="2"/>
  <c r="M2515" i="2"/>
  <c r="L2515" i="2" a="1"/>
  <c r="L2515" i="2" s="1"/>
  <c r="K2515" i="2" a="1"/>
  <c r="K2515" i="2" s="1"/>
  <c r="J2515" i="2"/>
  <c r="B2515" i="2"/>
  <c r="N2514" i="2"/>
  <c r="M2514" i="2"/>
  <c r="L2514" i="2" a="1"/>
  <c r="L2514" i="2" s="1"/>
  <c r="K2514" i="2" a="1"/>
  <c r="K2514" i="2" s="1"/>
  <c r="J2514" i="2"/>
  <c r="B2514" i="2"/>
  <c r="N2513" i="2"/>
  <c r="M2513" i="2"/>
  <c r="L2513" i="2" a="1"/>
  <c r="L2513" i="2" s="1"/>
  <c r="K2513" i="2" a="1"/>
  <c r="K2513" i="2" s="1"/>
  <c r="J2513" i="2"/>
  <c r="B2513" i="2"/>
  <c r="N2512" i="2"/>
  <c r="M2512" i="2"/>
  <c r="L2512" i="2" a="1"/>
  <c r="L2512" i="2" s="1"/>
  <c r="K2512" i="2" a="1"/>
  <c r="K2512" i="2" s="1"/>
  <c r="J2512" i="2"/>
  <c r="B2512" i="2"/>
  <c r="N2511" i="2"/>
  <c r="M2511" i="2"/>
  <c r="L2511" i="2" a="1"/>
  <c r="L2511" i="2" s="1"/>
  <c r="K2511" i="2" a="1"/>
  <c r="K2511" i="2" s="1"/>
  <c r="J2511" i="2"/>
  <c r="B2511" i="2"/>
  <c r="N2510" i="2"/>
  <c r="M2510" i="2"/>
  <c r="L2510" i="2" a="1"/>
  <c r="L2510" i="2" s="1"/>
  <c r="K2510" i="2" a="1"/>
  <c r="K2510" i="2" s="1"/>
  <c r="J2510" i="2"/>
  <c r="B2510" i="2"/>
  <c r="N2509" i="2"/>
  <c r="M2509" i="2"/>
  <c r="L2509" i="2" a="1"/>
  <c r="L2509" i="2" s="1"/>
  <c r="K2509" i="2" a="1"/>
  <c r="K2509" i="2" s="1"/>
  <c r="J2509" i="2"/>
  <c r="B2509" i="2"/>
  <c r="N2508" i="2"/>
  <c r="M2508" i="2"/>
  <c r="L2508" i="2" a="1"/>
  <c r="L2508" i="2" s="1"/>
  <c r="K2508" i="2" a="1"/>
  <c r="K2508" i="2" s="1"/>
  <c r="J2508" i="2"/>
  <c r="B2508" i="2"/>
  <c r="N2507" i="2"/>
  <c r="M2507" i="2"/>
  <c r="L2507" i="2" a="1"/>
  <c r="L2507" i="2" s="1"/>
  <c r="K2507" i="2" a="1"/>
  <c r="K2507" i="2" s="1"/>
  <c r="J2507" i="2"/>
  <c r="B2507" i="2"/>
  <c r="N2506" i="2"/>
  <c r="M2506" i="2"/>
  <c r="L2506" i="2" a="1"/>
  <c r="L2506" i="2" s="1"/>
  <c r="K2506" i="2" a="1"/>
  <c r="K2506" i="2" s="1"/>
  <c r="J2506" i="2"/>
  <c r="B2506" i="2"/>
  <c r="N2505" i="2"/>
  <c r="M2505" i="2"/>
  <c r="L2505" i="2" a="1"/>
  <c r="L2505" i="2" s="1"/>
  <c r="K2505" i="2" a="1"/>
  <c r="K2505" i="2" s="1"/>
  <c r="J2505" i="2"/>
  <c r="B2505" i="2"/>
  <c r="N2504" i="2"/>
  <c r="M2504" i="2"/>
  <c r="L2504" i="2" a="1"/>
  <c r="L2504" i="2" s="1"/>
  <c r="K2504" i="2" a="1"/>
  <c r="K2504" i="2" s="1"/>
  <c r="J2504" i="2"/>
  <c r="B2504" i="2"/>
  <c r="N2503" i="2"/>
  <c r="M2503" i="2"/>
  <c r="L2503" i="2" a="1"/>
  <c r="L2503" i="2" s="1"/>
  <c r="K2503" i="2" a="1"/>
  <c r="K2503" i="2" s="1"/>
  <c r="J2503" i="2"/>
  <c r="B2503" i="2"/>
  <c r="N2502" i="2"/>
  <c r="M2502" i="2"/>
  <c r="L2502" i="2" a="1"/>
  <c r="L2502" i="2" s="1"/>
  <c r="K2502" i="2" a="1"/>
  <c r="K2502" i="2" s="1"/>
  <c r="J2502" i="2"/>
  <c r="B2502" i="2"/>
  <c r="N2501" i="2"/>
  <c r="M2501" i="2"/>
  <c r="L2501" i="2" a="1"/>
  <c r="L2501" i="2" s="1"/>
  <c r="K2501" i="2" a="1"/>
  <c r="K2501" i="2" s="1"/>
  <c r="J2501" i="2"/>
  <c r="B2501" i="2"/>
  <c r="N2500" i="2"/>
  <c r="M2500" i="2"/>
  <c r="L2500" i="2" a="1"/>
  <c r="L2500" i="2" s="1"/>
  <c r="K2500" i="2" a="1"/>
  <c r="K2500" i="2" s="1"/>
  <c r="J2500" i="2"/>
  <c r="B2500" i="2"/>
  <c r="N2499" i="2"/>
  <c r="M2499" i="2"/>
  <c r="L2499" i="2" a="1"/>
  <c r="L2499" i="2" s="1"/>
  <c r="K2499" i="2" a="1"/>
  <c r="K2499" i="2" s="1"/>
  <c r="J2499" i="2"/>
  <c r="B2499" i="2"/>
  <c r="N2498" i="2"/>
  <c r="M2498" i="2"/>
  <c r="L2498" i="2" a="1"/>
  <c r="L2498" i="2" s="1"/>
  <c r="K2498" i="2" a="1"/>
  <c r="K2498" i="2" s="1"/>
  <c r="J2498" i="2"/>
  <c r="B2498" i="2"/>
  <c r="N2497" i="2"/>
  <c r="M2497" i="2"/>
  <c r="L2497" i="2" a="1"/>
  <c r="L2497" i="2" s="1"/>
  <c r="K2497" i="2" a="1"/>
  <c r="K2497" i="2" s="1"/>
  <c r="J2497" i="2"/>
  <c r="B2497" i="2"/>
  <c r="N2496" i="2"/>
  <c r="M2496" i="2"/>
  <c r="L2496" i="2" a="1"/>
  <c r="L2496" i="2" s="1"/>
  <c r="K2496" i="2" a="1"/>
  <c r="K2496" i="2" s="1"/>
  <c r="J2496" i="2"/>
  <c r="B2496" i="2"/>
  <c r="N2495" i="2"/>
  <c r="M2495" i="2"/>
  <c r="L2495" i="2" a="1"/>
  <c r="L2495" i="2" s="1"/>
  <c r="K2495" i="2" a="1"/>
  <c r="K2495" i="2" s="1"/>
  <c r="J2495" i="2"/>
  <c r="B2495" i="2"/>
  <c r="N2494" i="2"/>
  <c r="M2494" i="2"/>
  <c r="L2494" i="2" a="1"/>
  <c r="L2494" i="2" s="1"/>
  <c r="K2494" i="2" a="1"/>
  <c r="K2494" i="2" s="1"/>
  <c r="J2494" i="2"/>
  <c r="B2494" i="2"/>
  <c r="V2493" i="2"/>
  <c r="N2493" i="2"/>
  <c r="M2493" i="2"/>
  <c r="L2493" i="2" a="1"/>
  <c r="L2493" i="2" s="1"/>
  <c r="K2493" i="2" a="1"/>
  <c r="K2493" i="2" s="1"/>
  <c r="J2493" i="2"/>
  <c r="B2493" i="2"/>
  <c r="N2492" i="2"/>
  <c r="M2492" i="2"/>
  <c r="L2492" i="2" a="1"/>
  <c r="L2492" i="2" s="1"/>
  <c r="K2492" i="2" a="1"/>
  <c r="K2492" i="2" s="1"/>
  <c r="J2492" i="2"/>
  <c r="B2492" i="2"/>
  <c r="N2491" i="2"/>
  <c r="M2491" i="2"/>
  <c r="L2491" i="2" a="1"/>
  <c r="L2491" i="2" s="1"/>
  <c r="K2491" i="2" a="1"/>
  <c r="K2491" i="2" s="1"/>
  <c r="J2491" i="2"/>
  <c r="B2491" i="2"/>
  <c r="N2490" i="2"/>
  <c r="M2490" i="2"/>
  <c r="L2490" i="2" a="1"/>
  <c r="L2490" i="2" s="1"/>
  <c r="K2490" i="2" a="1"/>
  <c r="K2490" i="2" s="1"/>
  <c r="J2490" i="2"/>
  <c r="B2490" i="2"/>
  <c r="N2489" i="2"/>
  <c r="M2489" i="2"/>
  <c r="L2489" i="2" a="1"/>
  <c r="L2489" i="2" s="1"/>
  <c r="K2489" i="2" a="1"/>
  <c r="K2489" i="2" s="1"/>
  <c r="J2489" i="2"/>
  <c r="B2489" i="2"/>
  <c r="N2488" i="2"/>
  <c r="M2488" i="2"/>
  <c r="L2488" i="2" a="1"/>
  <c r="L2488" i="2" s="1"/>
  <c r="K2488" i="2" a="1"/>
  <c r="K2488" i="2" s="1"/>
  <c r="J2488" i="2"/>
  <c r="B2488" i="2"/>
  <c r="N2487" i="2"/>
  <c r="M2487" i="2"/>
  <c r="L2487" i="2" a="1"/>
  <c r="L2487" i="2" s="1"/>
  <c r="K2487" i="2" a="1"/>
  <c r="K2487" i="2" s="1"/>
  <c r="J2487" i="2"/>
  <c r="B2487" i="2"/>
  <c r="N2486" i="2"/>
  <c r="M2486" i="2"/>
  <c r="L2486" i="2" a="1"/>
  <c r="L2486" i="2" s="1"/>
  <c r="K2486" i="2" a="1"/>
  <c r="K2486" i="2" s="1"/>
  <c r="J2486" i="2"/>
  <c r="B2486" i="2"/>
  <c r="U2485" i="2"/>
  <c r="A2484" i="2"/>
  <c r="J2483" i="2"/>
  <c r="N2482" i="2"/>
  <c r="M2482" i="2"/>
  <c r="L2482" i="2" a="1"/>
  <c r="L2482" i="2" s="1"/>
  <c r="K2482" i="2" a="1"/>
  <c r="K2482" i="2" s="1"/>
  <c r="J2482" i="2"/>
  <c r="B2482" i="2"/>
  <c r="N2481" i="2"/>
  <c r="M2481" i="2"/>
  <c r="L2481" i="2" a="1"/>
  <c r="L2481" i="2" s="1"/>
  <c r="K2481" i="2" a="1"/>
  <c r="K2481" i="2" s="1"/>
  <c r="J2481" i="2"/>
  <c r="B2481" i="2"/>
  <c r="N2480" i="2"/>
  <c r="M2480" i="2"/>
  <c r="L2480" i="2" a="1"/>
  <c r="L2480" i="2" s="1"/>
  <c r="K2480" i="2" a="1"/>
  <c r="K2480" i="2" s="1"/>
  <c r="J2480" i="2"/>
  <c r="B2480" i="2"/>
  <c r="N2479" i="2"/>
  <c r="M2479" i="2"/>
  <c r="L2479" i="2" a="1"/>
  <c r="L2479" i="2" s="1"/>
  <c r="K2479" i="2" a="1"/>
  <c r="K2479" i="2" s="1"/>
  <c r="J2479" i="2"/>
  <c r="B2479" i="2"/>
  <c r="N2478" i="2"/>
  <c r="M2478" i="2"/>
  <c r="L2478" i="2" a="1"/>
  <c r="L2478" i="2" s="1"/>
  <c r="K2478" i="2" a="1"/>
  <c r="K2478" i="2" s="1"/>
  <c r="J2478" i="2"/>
  <c r="B2478" i="2"/>
  <c r="N2477" i="2"/>
  <c r="M2477" i="2"/>
  <c r="L2477" i="2" a="1"/>
  <c r="L2477" i="2" s="1"/>
  <c r="K2477" i="2" a="1"/>
  <c r="K2477" i="2" s="1"/>
  <c r="J2477" i="2"/>
  <c r="B2477" i="2"/>
  <c r="N2476" i="2"/>
  <c r="M2476" i="2"/>
  <c r="L2476" i="2" a="1"/>
  <c r="L2476" i="2" s="1"/>
  <c r="K2476" i="2" a="1"/>
  <c r="K2476" i="2" s="1"/>
  <c r="J2476" i="2"/>
  <c r="B2476" i="2"/>
  <c r="N2475" i="2"/>
  <c r="M2475" i="2"/>
  <c r="L2475" i="2" a="1"/>
  <c r="L2475" i="2" s="1"/>
  <c r="K2475" i="2" a="1"/>
  <c r="K2475" i="2" s="1"/>
  <c r="J2475" i="2"/>
  <c r="B2475" i="2"/>
  <c r="N2474" i="2"/>
  <c r="M2474" i="2"/>
  <c r="L2474" i="2" a="1"/>
  <c r="L2474" i="2" s="1"/>
  <c r="K2474" i="2" a="1"/>
  <c r="K2474" i="2" s="1"/>
  <c r="J2474" i="2"/>
  <c r="B2474" i="2"/>
  <c r="N2473" i="2"/>
  <c r="M2473" i="2"/>
  <c r="L2473" i="2" a="1"/>
  <c r="L2473" i="2" s="1"/>
  <c r="K2473" i="2" a="1"/>
  <c r="K2473" i="2" s="1"/>
  <c r="J2473" i="2"/>
  <c r="B2473" i="2"/>
  <c r="N2472" i="2"/>
  <c r="M2472" i="2"/>
  <c r="L2472" i="2" a="1"/>
  <c r="L2472" i="2" s="1"/>
  <c r="K2472" i="2" a="1"/>
  <c r="K2472" i="2" s="1"/>
  <c r="J2472" i="2"/>
  <c r="B2472" i="2"/>
  <c r="N2471" i="2"/>
  <c r="M2471" i="2"/>
  <c r="L2471" i="2" a="1"/>
  <c r="L2471" i="2" s="1"/>
  <c r="K2471" i="2" a="1"/>
  <c r="K2471" i="2" s="1"/>
  <c r="J2471" i="2"/>
  <c r="B2471" i="2"/>
  <c r="N2470" i="2"/>
  <c r="M2470" i="2"/>
  <c r="L2470" i="2" a="1"/>
  <c r="L2470" i="2" s="1"/>
  <c r="K2470" i="2" a="1"/>
  <c r="K2470" i="2" s="1"/>
  <c r="J2470" i="2"/>
  <c r="B2470" i="2"/>
  <c r="N2469" i="2"/>
  <c r="M2469" i="2"/>
  <c r="L2469" i="2" a="1"/>
  <c r="L2469" i="2" s="1"/>
  <c r="K2469" i="2" a="1"/>
  <c r="K2469" i="2" s="1"/>
  <c r="J2469" i="2"/>
  <c r="B2469" i="2"/>
  <c r="N2468" i="2"/>
  <c r="M2468" i="2"/>
  <c r="L2468" i="2" a="1"/>
  <c r="L2468" i="2" s="1"/>
  <c r="K2468" i="2" a="1"/>
  <c r="K2468" i="2" s="1"/>
  <c r="J2468" i="2"/>
  <c r="B2468" i="2"/>
  <c r="N2467" i="2"/>
  <c r="M2467" i="2"/>
  <c r="L2467" i="2" a="1"/>
  <c r="L2467" i="2" s="1"/>
  <c r="K2467" i="2" a="1"/>
  <c r="K2467" i="2" s="1"/>
  <c r="J2467" i="2"/>
  <c r="B2467" i="2"/>
  <c r="N2466" i="2"/>
  <c r="M2466" i="2"/>
  <c r="L2466" i="2" a="1"/>
  <c r="L2466" i="2" s="1"/>
  <c r="K2466" i="2" a="1"/>
  <c r="K2466" i="2" s="1"/>
  <c r="J2466" i="2"/>
  <c r="B2466" i="2"/>
  <c r="N2465" i="2"/>
  <c r="M2465" i="2"/>
  <c r="L2465" i="2" a="1"/>
  <c r="L2465" i="2" s="1"/>
  <c r="K2465" i="2" a="1"/>
  <c r="K2465" i="2" s="1"/>
  <c r="J2465" i="2"/>
  <c r="B2465" i="2"/>
  <c r="N2464" i="2"/>
  <c r="M2464" i="2"/>
  <c r="L2464" i="2" a="1"/>
  <c r="L2464" i="2" s="1"/>
  <c r="K2464" i="2" a="1"/>
  <c r="K2464" i="2" s="1"/>
  <c r="J2464" i="2"/>
  <c r="B2464" i="2"/>
  <c r="N2463" i="2"/>
  <c r="M2463" i="2"/>
  <c r="L2463" i="2" a="1"/>
  <c r="L2463" i="2" s="1"/>
  <c r="K2463" i="2" a="1"/>
  <c r="K2463" i="2" s="1"/>
  <c r="J2463" i="2"/>
  <c r="B2463" i="2"/>
  <c r="N2462" i="2"/>
  <c r="M2462" i="2"/>
  <c r="L2462" i="2" a="1"/>
  <c r="L2462" i="2" s="1"/>
  <c r="K2462" i="2" a="1"/>
  <c r="K2462" i="2" s="1"/>
  <c r="J2462" i="2"/>
  <c r="B2462" i="2"/>
  <c r="N2461" i="2"/>
  <c r="M2461" i="2"/>
  <c r="L2461" i="2" a="1"/>
  <c r="L2461" i="2" s="1"/>
  <c r="K2461" i="2" a="1"/>
  <c r="K2461" i="2" s="1"/>
  <c r="J2461" i="2"/>
  <c r="B2461" i="2"/>
  <c r="N2460" i="2"/>
  <c r="M2460" i="2"/>
  <c r="L2460" i="2" a="1"/>
  <c r="L2460" i="2" s="1"/>
  <c r="K2460" i="2" a="1"/>
  <c r="K2460" i="2" s="1"/>
  <c r="J2460" i="2"/>
  <c r="B2460" i="2"/>
  <c r="N2459" i="2"/>
  <c r="M2459" i="2"/>
  <c r="L2459" i="2" a="1"/>
  <c r="L2459" i="2" s="1"/>
  <c r="K2459" i="2" a="1"/>
  <c r="K2459" i="2" s="1"/>
  <c r="J2459" i="2"/>
  <c r="B2459" i="2"/>
  <c r="N2458" i="2"/>
  <c r="M2458" i="2"/>
  <c r="L2458" i="2" a="1"/>
  <c r="L2458" i="2" s="1"/>
  <c r="K2458" i="2" a="1"/>
  <c r="K2458" i="2" s="1"/>
  <c r="J2458" i="2"/>
  <c r="B2458" i="2"/>
  <c r="N2457" i="2"/>
  <c r="M2457" i="2"/>
  <c r="L2457" i="2" a="1"/>
  <c r="L2457" i="2" s="1"/>
  <c r="K2457" i="2" a="1"/>
  <c r="K2457" i="2" s="1"/>
  <c r="J2457" i="2"/>
  <c r="B2457" i="2"/>
  <c r="N2456" i="2"/>
  <c r="M2456" i="2"/>
  <c r="L2456" i="2" a="1"/>
  <c r="L2456" i="2" s="1"/>
  <c r="K2456" i="2" a="1"/>
  <c r="K2456" i="2" s="1"/>
  <c r="J2456" i="2"/>
  <c r="B2456" i="2"/>
  <c r="N2455" i="2"/>
  <c r="M2455" i="2"/>
  <c r="L2455" i="2" a="1"/>
  <c r="L2455" i="2" s="1"/>
  <c r="K2455" i="2" a="1"/>
  <c r="K2455" i="2" s="1"/>
  <c r="J2455" i="2"/>
  <c r="B2455" i="2"/>
  <c r="N2454" i="2"/>
  <c r="M2454" i="2"/>
  <c r="L2454" i="2" a="1"/>
  <c r="L2454" i="2" s="1"/>
  <c r="K2454" i="2" a="1"/>
  <c r="K2454" i="2" s="1"/>
  <c r="J2454" i="2"/>
  <c r="B2454" i="2"/>
  <c r="N2453" i="2"/>
  <c r="M2453" i="2"/>
  <c r="L2453" i="2" a="1"/>
  <c r="L2453" i="2" s="1"/>
  <c r="K2453" i="2" a="1"/>
  <c r="K2453" i="2" s="1"/>
  <c r="J2453" i="2"/>
  <c r="B2453" i="2"/>
  <c r="N2452" i="2"/>
  <c r="M2452" i="2"/>
  <c r="L2452" i="2" a="1"/>
  <c r="L2452" i="2" s="1"/>
  <c r="K2452" i="2" a="1"/>
  <c r="K2452" i="2" s="1"/>
  <c r="J2452" i="2"/>
  <c r="B2452" i="2"/>
  <c r="N2451" i="2"/>
  <c r="M2451" i="2"/>
  <c r="L2451" i="2" a="1"/>
  <c r="L2451" i="2" s="1"/>
  <c r="K2451" i="2" a="1"/>
  <c r="K2451" i="2" s="1"/>
  <c r="J2451" i="2"/>
  <c r="B2451" i="2"/>
  <c r="N2450" i="2"/>
  <c r="M2450" i="2"/>
  <c r="L2450" i="2" a="1"/>
  <c r="L2450" i="2" s="1"/>
  <c r="K2450" i="2" a="1"/>
  <c r="K2450" i="2" s="1"/>
  <c r="J2450" i="2"/>
  <c r="B2450" i="2"/>
  <c r="N2449" i="2"/>
  <c r="M2449" i="2"/>
  <c r="L2449" i="2" a="1"/>
  <c r="L2449" i="2" s="1"/>
  <c r="K2449" i="2" a="1"/>
  <c r="K2449" i="2" s="1"/>
  <c r="J2449" i="2"/>
  <c r="B2449" i="2"/>
  <c r="N2448" i="2"/>
  <c r="M2448" i="2"/>
  <c r="L2448" i="2" a="1"/>
  <c r="L2448" i="2" s="1"/>
  <c r="K2448" i="2" a="1"/>
  <c r="K2448" i="2" s="1"/>
  <c r="J2448" i="2"/>
  <c r="B2448" i="2"/>
  <c r="N2447" i="2"/>
  <c r="M2447" i="2"/>
  <c r="L2447" i="2" a="1"/>
  <c r="L2447" i="2" s="1"/>
  <c r="K2447" i="2" a="1"/>
  <c r="K2447" i="2" s="1"/>
  <c r="J2447" i="2"/>
  <c r="B2447" i="2"/>
  <c r="N2446" i="2"/>
  <c r="M2446" i="2"/>
  <c r="L2446" i="2" a="1"/>
  <c r="L2446" i="2" s="1"/>
  <c r="K2446" i="2" a="1"/>
  <c r="K2446" i="2" s="1"/>
  <c r="J2446" i="2"/>
  <c r="B2446" i="2"/>
  <c r="N2445" i="2"/>
  <c r="M2445" i="2"/>
  <c r="L2445" i="2" a="1"/>
  <c r="L2445" i="2" s="1"/>
  <c r="K2445" i="2" a="1"/>
  <c r="K2445" i="2" s="1"/>
  <c r="J2445" i="2"/>
  <c r="B2445" i="2"/>
  <c r="N2444" i="2"/>
  <c r="M2444" i="2"/>
  <c r="L2444" i="2" a="1"/>
  <c r="L2444" i="2" s="1"/>
  <c r="K2444" i="2" a="1"/>
  <c r="K2444" i="2" s="1"/>
  <c r="J2444" i="2"/>
  <c r="B2444" i="2"/>
  <c r="N2443" i="2"/>
  <c r="M2443" i="2"/>
  <c r="L2443" i="2" a="1"/>
  <c r="L2443" i="2" s="1"/>
  <c r="K2443" i="2" a="1"/>
  <c r="K2443" i="2" s="1"/>
  <c r="J2443" i="2"/>
  <c r="B2443" i="2"/>
  <c r="N2442" i="2"/>
  <c r="M2442" i="2"/>
  <c r="L2442" i="2" a="1"/>
  <c r="L2442" i="2" s="1"/>
  <c r="K2442" i="2" a="1"/>
  <c r="K2442" i="2" s="1"/>
  <c r="J2442" i="2"/>
  <c r="B2442" i="2"/>
  <c r="N2441" i="2"/>
  <c r="M2441" i="2"/>
  <c r="L2441" i="2" a="1"/>
  <c r="L2441" i="2" s="1"/>
  <c r="K2441" i="2" a="1"/>
  <c r="K2441" i="2" s="1"/>
  <c r="J2441" i="2"/>
  <c r="B2441" i="2"/>
  <c r="N2440" i="2"/>
  <c r="M2440" i="2"/>
  <c r="L2440" i="2" a="1"/>
  <c r="L2440" i="2" s="1"/>
  <c r="K2440" i="2" a="1"/>
  <c r="K2440" i="2" s="1"/>
  <c r="J2440" i="2"/>
  <c r="B2440" i="2"/>
  <c r="N2439" i="2"/>
  <c r="M2439" i="2"/>
  <c r="L2439" i="2" a="1"/>
  <c r="L2439" i="2" s="1"/>
  <c r="K2439" i="2" a="1"/>
  <c r="K2439" i="2" s="1"/>
  <c r="J2439" i="2"/>
  <c r="B2439" i="2"/>
  <c r="N2438" i="2"/>
  <c r="M2438" i="2"/>
  <c r="L2438" i="2" a="1"/>
  <c r="L2438" i="2" s="1"/>
  <c r="K2438" i="2" a="1"/>
  <c r="K2438" i="2" s="1"/>
  <c r="J2438" i="2"/>
  <c r="B2438" i="2"/>
  <c r="N2437" i="2"/>
  <c r="M2437" i="2"/>
  <c r="L2437" i="2" a="1"/>
  <c r="L2437" i="2" s="1"/>
  <c r="K2437" i="2" a="1"/>
  <c r="K2437" i="2" s="1"/>
  <c r="J2437" i="2"/>
  <c r="B2437" i="2"/>
  <c r="N2436" i="2"/>
  <c r="M2436" i="2"/>
  <c r="L2436" i="2" a="1"/>
  <c r="L2436" i="2" s="1"/>
  <c r="K2436" i="2" a="1"/>
  <c r="K2436" i="2" s="1"/>
  <c r="J2436" i="2"/>
  <c r="B2436" i="2"/>
  <c r="N2435" i="2"/>
  <c r="M2435" i="2"/>
  <c r="L2435" i="2" a="1"/>
  <c r="L2435" i="2" s="1"/>
  <c r="K2435" i="2" a="1"/>
  <c r="K2435" i="2" s="1"/>
  <c r="J2435" i="2"/>
  <c r="B2435" i="2"/>
  <c r="N2434" i="2"/>
  <c r="M2434" i="2"/>
  <c r="L2434" i="2" a="1"/>
  <c r="L2434" i="2" s="1"/>
  <c r="K2434" i="2" a="1"/>
  <c r="K2434" i="2" s="1"/>
  <c r="J2434" i="2"/>
  <c r="B2434" i="2"/>
  <c r="N2433" i="2"/>
  <c r="M2433" i="2"/>
  <c r="L2433" i="2" a="1"/>
  <c r="L2433" i="2" s="1"/>
  <c r="K2433" i="2" a="1"/>
  <c r="K2433" i="2" s="1"/>
  <c r="J2433" i="2"/>
  <c r="B2433" i="2"/>
  <c r="N2432" i="2"/>
  <c r="M2432" i="2"/>
  <c r="L2432" i="2" a="1"/>
  <c r="L2432" i="2" s="1"/>
  <c r="K2432" i="2" a="1"/>
  <c r="K2432" i="2" s="1"/>
  <c r="J2432" i="2"/>
  <c r="B2432" i="2"/>
  <c r="N2431" i="2"/>
  <c r="M2431" i="2"/>
  <c r="L2431" i="2" a="1"/>
  <c r="L2431" i="2" s="1"/>
  <c r="K2431" i="2" a="1"/>
  <c r="K2431" i="2" s="1"/>
  <c r="J2431" i="2"/>
  <c r="B2431" i="2"/>
  <c r="N2430" i="2"/>
  <c r="M2430" i="2"/>
  <c r="L2430" i="2" a="1"/>
  <c r="L2430" i="2" s="1"/>
  <c r="K2430" i="2" a="1"/>
  <c r="K2430" i="2" s="1"/>
  <c r="J2430" i="2"/>
  <c r="B2430" i="2"/>
  <c r="N2429" i="2"/>
  <c r="M2429" i="2"/>
  <c r="L2429" i="2" a="1"/>
  <c r="L2429" i="2" s="1"/>
  <c r="K2429" i="2" a="1"/>
  <c r="K2429" i="2" s="1"/>
  <c r="J2429" i="2"/>
  <c r="B2429" i="2"/>
  <c r="N2428" i="2"/>
  <c r="M2428" i="2"/>
  <c r="L2428" i="2" a="1"/>
  <c r="L2428" i="2" s="1"/>
  <c r="K2428" i="2" a="1"/>
  <c r="K2428" i="2" s="1"/>
  <c r="J2428" i="2"/>
  <c r="B2428" i="2"/>
  <c r="N2427" i="2"/>
  <c r="M2427" i="2"/>
  <c r="L2427" i="2" a="1"/>
  <c r="L2427" i="2" s="1"/>
  <c r="K2427" i="2" a="1"/>
  <c r="K2427" i="2" s="1"/>
  <c r="J2427" i="2"/>
  <c r="B2427" i="2"/>
  <c r="N2426" i="2"/>
  <c r="M2426" i="2"/>
  <c r="L2426" i="2" a="1"/>
  <c r="L2426" i="2" s="1"/>
  <c r="K2426" i="2" a="1"/>
  <c r="K2426" i="2" s="1"/>
  <c r="J2426" i="2"/>
  <c r="B2426" i="2"/>
  <c r="N2425" i="2"/>
  <c r="M2425" i="2"/>
  <c r="L2425" i="2" a="1"/>
  <c r="L2425" i="2" s="1"/>
  <c r="K2425" i="2" a="1"/>
  <c r="K2425" i="2" s="1"/>
  <c r="J2425" i="2"/>
  <c r="B2425" i="2"/>
  <c r="N2424" i="2"/>
  <c r="M2424" i="2"/>
  <c r="L2424" i="2" a="1"/>
  <c r="L2424" i="2" s="1"/>
  <c r="K2424" i="2" a="1"/>
  <c r="K2424" i="2" s="1"/>
  <c r="J2424" i="2"/>
  <c r="B2424" i="2"/>
  <c r="N2423" i="2"/>
  <c r="M2423" i="2"/>
  <c r="L2423" i="2" a="1"/>
  <c r="L2423" i="2" s="1"/>
  <c r="K2423" i="2" a="1"/>
  <c r="K2423" i="2" s="1"/>
  <c r="J2423" i="2"/>
  <c r="B2423" i="2"/>
  <c r="N2422" i="2"/>
  <c r="M2422" i="2"/>
  <c r="L2422" i="2" a="1"/>
  <c r="L2422" i="2" s="1"/>
  <c r="K2422" i="2" a="1"/>
  <c r="K2422" i="2" s="1"/>
  <c r="J2422" i="2"/>
  <c r="B2422" i="2"/>
  <c r="N2421" i="2"/>
  <c r="M2421" i="2"/>
  <c r="L2421" i="2" a="1"/>
  <c r="L2421" i="2" s="1"/>
  <c r="K2421" i="2" a="1"/>
  <c r="K2421" i="2" s="1"/>
  <c r="J2421" i="2"/>
  <c r="B2421" i="2"/>
  <c r="N2420" i="2"/>
  <c r="M2420" i="2"/>
  <c r="L2420" i="2" a="1"/>
  <c r="L2420" i="2" s="1"/>
  <c r="K2420" i="2" a="1"/>
  <c r="K2420" i="2" s="1"/>
  <c r="J2420" i="2"/>
  <c r="B2420" i="2"/>
  <c r="N2419" i="2"/>
  <c r="M2419" i="2"/>
  <c r="L2419" i="2" a="1"/>
  <c r="L2419" i="2" s="1"/>
  <c r="K2419" i="2" a="1"/>
  <c r="K2419" i="2" s="1"/>
  <c r="J2419" i="2"/>
  <c r="B2419" i="2"/>
  <c r="N2418" i="2"/>
  <c r="M2418" i="2"/>
  <c r="L2418" i="2" a="1"/>
  <c r="L2418" i="2" s="1"/>
  <c r="K2418" i="2" a="1"/>
  <c r="K2418" i="2" s="1"/>
  <c r="J2418" i="2"/>
  <c r="B2418" i="2"/>
  <c r="N2417" i="2"/>
  <c r="M2417" i="2"/>
  <c r="L2417" i="2" a="1"/>
  <c r="L2417" i="2" s="1"/>
  <c r="K2417" i="2" a="1"/>
  <c r="K2417" i="2" s="1"/>
  <c r="J2417" i="2"/>
  <c r="B2417" i="2"/>
  <c r="N2416" i="2"/>
  <c r="M2416" i="2"/>
  <c r="L2416" i="2" a="1"/>
  <c r="L2416" i="2" s="1"/>
  <c r="K2416" i="2" a="1"/>
  <c r="K2416" i="2" s="1"/>
  <c r="J2416" i="2"/>
  <c r="B2416" i="2"/>
  <c r="N2415" i="2"/>
  <c r="M2415" i="2"/>
  <c r="L2415" i="2" a="1"/>
  <c r="L2415" i="2" s="1"/>
  <c r="K2415" i="2" a="1"/>
  <c r="K2415" i="2" s="1"/>
  <c r="J2415" i="2"/>
  <c r="B2415" i="2"/>
  <c r="N2414" i="2"/>
  <c r="M2414" i="2"/>
  <c r="L2414" i="2" a="1"/>
  <c r="L2414" i="2" s="1"/>
  <c r="K2414" i="2" a="1"/>
  <c r="K2414" i="2" s="1"/>
  <c r="J2414" i="2"/>
  <c r="B2414" i="2"/>
  <c r="N2413" i="2"/>
  <c r="M2413" i="2"/>
  <c r="L2413" i="2" a="1"/>
  <c r="L2413" i="2" s="1"/>
  <c r="K2413" i="2" a="1"/>
  <c r="K2413" i="2" s="1"/>
  <c r="J2413" i="2"/>
  <c r="B2413" i="2"/>
  <c r="N2412" i="2"/>
  <c r="M2412" i="2"/>
  <c r="L2412" i="2" a="1"/>
  <c r="L2412" i="2" s="1"/>
  <c r="K2412" i="2" a="1"/>
  <c r="K2412" i="2" s="1"/>
  <c r="J2412" i="2"/>
  <c r="B2412" i="2"/>
  <c r="N2411" i="2"/>
  <c r="M2411" i="2"/>
  <c r="L2411" i="2" a="1"/>
  <c r="L2411" i="2" s="1"/>
  <c r="K2411" i="2" a="1"/>
  <c r="K2411" i="2" s="1"/>
  <c r="J2411" i="2"/>
  <c r="B2411" i="2"/>
  <c r="N2410" i="2"/>
  <c r="M2410" i="2"/>
  <c r="L2410" i="2" a="1"/>
  <c r="L2410" i="2" s="1"/>
  <c r="K2410" i="2" a="1"/>
  <c r="K2410" i="2" s="1"/>
  <c r="J2410" i="2"/>
  <c r="B2410" i="2"/>
  <c r="N2409" i="2"/>
  <c r="M2409" i="2"/>
  <c r="L2409" i="2" a="1"/>
  <c r="L2409" i="2" s="1"/>
  <c r="K2409" i="2" a="1"/>
  <c r="K2409" i="2" s="1"/>
  <c r="J2409" i="2"/>
  <c r="B2409" i="2"/>
  <c r="N2408" i="2"/>
  <c r="M2408" i="2"/>
  <c r="L2408" i="2" a="1"/>
  <c r="L2408" i="2" s="1"/>
  <c r="K2408" i="2" a="1"/>
  <c r="K2408" i="2" s="1"/>
  <c r="J2408" i="2"/>
  <c r="B2408" i="2"/>
  <c r="N2407" i="2"/>
  <c r="M2407" i="2"/>
  <c r="L2407" i="2" a="1"/>
  <c r="L2407" i="2" s="1"/>
  <c r="K2407" i="2" a="1"/>
  <c r="K2407" i="2" s="1"/>
  <c r="J2407" i="2"/>
  <c r="B2407" i="2"/>
  <c r="N2406" i="2"/>
  <c r="M2406" i="2"/>
  <c r="L2406" i="2" a="1"/>
  <c r="L2406" i="2" s="1"/>
  <c r="K2406" i="2" a="1"/>
  <c r="K2406" i="2" s="1"/>
  <c r="J2406" i="2"/>
  <c r="B2406" i="2"/>
  <c r="N2405" i="2"/>
  <c r="M2405" i="2"/>
  <c r="L2405" i="2" a="1"/>
  <c r="L2405" i="2" s="1"/>
  <c r="K2405" i="2" a="1"/>
  <c r="K2405" i="2" s="1"/>
  <c r="J2405" i="2"/>
  <c r="B2405" i="2"/>
  <c r="N2404" i="2"/>
  <c r="M2404" i="2"/>
  <c r="L2404" i="2" a="1"/>
  <c r="L2404" i="2" s="1"/>
  <c r="K2404" i="2" a="1"/>
  <c r="K2404" i="2" s="1"/>
  <c r="J2404" i="2"/>
  <c r="B2404" i="2"/>
  <c r="N2403" i="2"/>
  <c r="M2403" i="2"/>
  <c r="L2403" i="2" a="1"/>
  <c r="L2403" i="2" s="1"/>
  <c r="K2403" i="2" a="1"/>
  <c r="K2403" i="2" s="1"/>
  <c r="J2403" i="2"/>
  <c r="B2403" i="2"/>
  <c r="N2402" i="2"/>
  <c r="M2402" i="2"/>
  <c r="L2402" i="2" a="1"/>
  <c r="L2402" i="2" s="1"/>
  <c r="K2402" i="2" a="1"/>
  <c r="K2402" i="2" s="1"/>
  <c r="J2402" i="2"/>
  <c r="B2402" i="2"/>
  <c r="N2401" i="2"/>
  <c r="M2401" i="2"/>
  <c r="L2401" i="2" a="1"/>
  <c r="L2401" i="2" s="1"/>
  <c r="K2401" i="2" a="1"/>
  <c r="K2401" i="2" s="1"/>
  <c r="J2401" i="2"/>
  <c r="B2401" i="2"/>
  <c r="N2400" i="2"/>
  <c r="M2400" i="2"/>
  <c r="L2400" i="2" a="1"/>
  <c r="L2400" i="2" s="1"/>
  <c r="K2400" i="2" a="1"/>
  <c r="K2400" i="2" s="1"/>
  <c r="J2400" i="2"/>
  <c r="B2400" i="2"/>
  <c r="N2399" i="2"/>
  <c r="M2399" i="2"/>
  <c r="L2399" i="2" a="1"/>
  <c r="L2399" i="2" s="1"/>
  <c r="K2399" i="2" a="1"/>
  <c r="K2399" i="2" s="1"/>
  <c r="J2399" i="2"/>
  <c r="B2399" i="2"/>
  <c r="N2398" i="2"/>
  <c r="M2398" i="2"/>
  <c r="L2398" i="2" a="1"/>
  <c r="L2398" i="2" s="1"/>
  <c r="K2398" i="2" a="1"/>
  <c r="K2398" i="2" s="1"/>
  <c r="J2398" i="2"/>
  <c r="B2398" i="2"/>
  <c r="N2397" i="2"/>
  <c r="M2397" i="2"/>
  <c r="L2397" i="2" a="1"/>
  <c r="L2397" i="2" s="1"/>
  <c r="K2397" i="2" a="1"/>
  <c r="K2397" i="2" s="1"/>
  <c r="J2397" i="2"/>
  <c r="B2397" i="2"/>
  <c r="N2396" i="2"/>
  <c r="M2396" i="2"/>
  <c r="L2396" i="2" a="1"/>
  <c r="L2396" i="2" s="1"/>
  <c r="K2396" i="2" a="1"/>
  <c r="K2396" i="2" s="1"/>
  <c r="J2396" i="2"/>
  <c r="B2396" i="2"/>
  <c r="N2395" i="2"/>
  <c r="M2395" i="2"/>
  <c r="L2395" i="2" a="1"/>
  <c r="L2395" i="2" s="1"/>
  <c r="K2395" i="2" a="1"/>
  <c r="K2395" i="2" s="1"/>
  <c r="J2395" i="2"/>
  <c r="B2395" i="2"/>
  <c r="N2394" i="2"/>
  <c r="M2394" i="2"/>
  <c r="L2394" i="2" a="1"/>
  <c r="L2394" i="2" s="1"/>
  <c r="K2394" i="2" a="1"/>
  <c r="K2394" i="2" s="1"/>
  <c r="J2394" i="2"/>
  <c r="B2394" i="2"/>
  <c r="N2393" i="2"/>
  <c r="M2393" i="2"/>
  <c r="L2393" i="2" a="1"/>
  <c r="L2393" i="2" s="1"/>
  <c r="K2393" i="2" a="1"/>
  <c r="K2393" i="2" s="1"/>
  <c r="J2393" i="2"/>
  <c r="B2393" i="2"/>
  <c r="N2392" i="2"/>
  <c r="M2392" i="2"/>
  <c r="L2392" i="2" a="1"/>
  <c r="L2392" i="2" s="1"/>
  <c r="K2392" i="2" a="1"/>
  <c r="K2392" i="2" s="1"/>
  <c r="J2392" i="2"/>
  <c r="B2392" i="2"/>
  <c r="N2391" i="2"/>
  <c r="M2391" i="2"/>
  <c r="L2391" i="2" a="1"/>
  <c r="L2391" i="2" s="1"/>
  <c r="K2391" i="2" a="1"/>
  <c r="K2391" i="2" s="1"/>
  <c r="J2391" i="2"/>
  <c r="B2391" i="2"/>
  <c r="V2390" i="2"/>
  <c r="N2390" i="2"/>
  <c r="M2390" i="2"/>
  <c r="L2390" i="2" a="1"/>
  <c r="L2390" i="2" s="1"/>
  <c r="K2390" i="2" a="1"/>
  <c r="K2390" i="2" s="1"/>
  <c r="J2390" i="2"/>
  <c r="B2390" i="2"/>
  <c r="N2389" i="2"/>
  <c r="M2389" i="2"/>
  <c r="L2389" i="2" a="1"/>
  <c r="L2389" i="2" s="1"/>
  <c r="K2389" i="2" a="1"/>
  <c r="K2389" i="2" s="1"/>
  <c r="J2389" i="2"/>
  <c r="B2389" i="2"/>
  <c r="N2388" i="2"/>
  <c r="M2388" i="2"/>
  <c r="L2388" i="2" a="1"/>
  <c r="L2388" i="2" s="1"/>
  <c r="K2388" i="2" a="1"/>
  <c r="K2388" i="2" s="1"/>
  <c r="J2388" i="2"/>
  <c r="B2388" i="2"/>
  <c r="N2387" i="2"/>
  <c r="M2387" i="2"/>
  <c r="L2387" i="2" a="1"/>
  <c r="L2387" i="2" s="1"/>
  <c r="K2387" i="2" a="1"/>
  <c r="K2387" i="2" s="1"/>
  <c r="J2387" i="2"/>
  <c r="B2387" i="2"/>
  <c r="N2386" i="2"/>
  <c r="M2386" i="2"/>
  <c r="L2386" i="2" a="1"/>
  <c r="L2386" i="2" s="1"/>
  <c r="K2386" i="2" a="1"/>
  <c r="K2386" i="2" s="1"/>
  <c r="J2386" i="2"/>
  <c r="B2386" i="2"/>
  <c r="N2385" i="2"/>
  <c r="M2385" i="2"/>
  <c r="L2385" i="2" a="1"/>
  <c r="L2385" i="2" s="1"/>
  <c r="K2385" i="2" a="1"/>
  <c r="K2385" i="2" s="1"/>
  <c r="J2385" i="2"/>
  <c r="B2385" i="2"/>
  <c r="N2384" i="2"/>
  <c r="M2384" i="2"/>
  <c r="L2384" i="2" a="1"/>
  <c r="L2384" i="2" s="1"/>
  <c r="K2384" i="2" a="1"/>
  <c r="K2384" i="2" s="1"/>
  <c r="J2384" i="2"/>
  <c r="B2384" i="2"/>
  <c r="N2383" i="2"/>
  <c r="M2383" i="2"/>
  <c r="L2383" i="2" a="1"/>
  <c r="L2383" i="2" s="1"/>
  <c r="K2383" i="2" a="1"/>
  <c r="K2383" i="2" s="1"/>
  <c r="J2383" i="2"/>
  <c r="B2383" i="2"/>
  <c r="U2382" i="2"/>
  <c r="A2381" i="2"/>
  <c r="J2380" i="2"/>
  <c r="N2379" i="2"/>
  <c r="M2379" i="2"/>
  <c r="L2379" i="2" a="1"/>
  <c r="L2379" i="2" s="1"/>
  <c r="K2379" i="2" a="1"/>
  <c r="K2379" i="2" s="1"/>
  <c r="J2379" i="2"/>
  <c r="B2379" i="2"/>
  <c r="N2378" i="2"/>
  <c r="M2378" i="2"/>
  <c r="L2378" i="2" a="1"/>
  <c r="L2378" i="2" s="1"/>
  <c r="K2378" i="2" a="1"/>
  <c r="K2378" i="2" s="1"/>
  <c r="J2378" i="2"/>
  <c r="B2378" i="2"/>
  <c r="N2377" i="2"/>
  <c r="M2377" i="2"/>
  <c r="L2377" i="2" a="1"/>
  <c r="L2377" i="2" s="1"/>
  <c r="K2377" i="2" a="1"/>
  <c r="K2377" i="2" s="1"/>
  <c r="J2377" i="2"/>
  <c r="B2377" i="2"/>
  <c r="N2376" i="2"/>
  <c r="M2376" i="2"/>
  <c r="L2376" i="2" a="1"/>
  <c r="L2376" i="2" s="1"/>
  <c r="K2376" i="2" a="1"/>
  <c r="K2376" i="2" s="1"/>
  <c r="J2376" i="2"/>
  <c r="B2376" i="2"/>
  <c r="N2375" i="2"/>
  <c r="M2375" i="2"/>
  <c r="L2375" i="2" a="1"/>
  <c r="L2375" i="2" s="1"/>
  <c r="K2375" i="2" a="1"/>
  <c r="K2375" i="2" s="1"/>
  <c r="J2375" i="2"/>
  <c r="B2375" i="2"/>
  <c r="N2374" i="2"/>
  <c r="M2374" i="2"/>
  <c r="L2374" i="2" a="1"/>
  <c r="L2374" i="2" s="1"/>
  <c r="K2374" i="2" a="1"/>
  <c r="K2374" i="2" s="1"/>
  <c r="J2374" i="2"/>
  <c r="B2374" i="2"/>
  <c r="N2373" i="2"/>
  <c r="M2373" i="2"/>
  <c r="L2373" i="2" a="1"/>
  <c r="L2373" i="2" s="1"/>
  <c r="K2373" i="2" a="1"/>
  <c r="K2373" i="2" s="1"/>
  <c r="J2373" i="2"/>
  <c r="B2373" i="2"/>
  <c r="N2372" i="2"/>
  <c r="M2372" i="2"/>
  <c r="L2372" i="2" a="1"/>
  <c r="L2372" i="2" s="1"/>
  <c r="K2372" i="2" a="1"/>
  <c r="K2372" i="2" s="1"/>
  <c r="J2372" i="2"/>
  <c r="B2372" i="2"/>
  <c r="N2371" i="2"/>
  <c r="M2371" i="2"/>
  <c r="L2371" i="2" a="1"/>
  <c r="L2371" i="2" s="1"/>
  <c r="K2371" i="2" a="1"/>
  <c r="K2371" i="2" s="1"/>
  <c r="J2371" i="2"/>
  <c r="B2371" i="2"/>
  <c r="N2370" i="2"/>
  <c r="M2370" i="2"/>
  <c r="L2370" i="2" a="1"/>
  <c r="L2370" i="2" s="1"/>
  <c r="K2370" i="2" a="1"/>
  <c r="K2370" i="2" s="1"/>
  <c r="J2370" i="2"/>
  <c r="B2370" i="2"/>
  <c r="N2369" i="2"/>
  <c r="M2369" i="2"/>
  <c r="L2369" i="2" a="1"/>
  <c r="L2369" i="2" s="1"/>
  <c r="K2369" i="2" a="1"/>
  <c r="K2369" i="2" s="1"/>
  <c r="J2369" i="2"/>
  <c r="B2369" i="2"/>
  <c r="N2368" i="2"/>
  <c r="M2368" i="2"/>
  <c r="L2368" i="2" a="1"/>
  <c r="L2368" i="2" s="1"/>
  <c r="K2368" i="2" a="1"/>
  <c r="K2368" i="2" s="1"/>
  <c r="J2368" i="2"/>
  <c r="B2368" i="2"/>
  <c r="N2367" i="2"/>
  <c r="M2367" i="2"/>
  <c r="L2367" i="2" a="1"/>
  <c r="L2367" i="2" s="1"/>
  <c r="K2367" i="2" a="1"/>
  <c r="K2367" i="2" s="1"/>
  <c r="J2367" i="2"/>
  <c r="B2367" i="2"/>
  <c r="N2366" i="2"/>
  <c r="M2366" i="2"/>
  <c r="L2366" i="2" a="1"/>
  <c r="L2366" i="2" s="1"/>
  <c r="K2366" i="2" a="1"/>
  <c r="K2366" i="2" s="1"/>
  <c r="J2366" i="2"/>
  <c r="B2366" i="2"/>
  <c r="N2365" i="2"/>
  <c r="M2365" i="2"/>
  <c r="L2365" i="2" a="1"/>
  <c r="L2365" i="2" s="1"/>
  <c r="K2365" i="2" a="1"/>
  <c r="K2365" i="2" s="1"/>
  <c r="J2365" i="2"/>
  <c r="B2365" i="2"/>
  <c r="N2364" i="2"/>
  <c r="M2364" i="2"/>
  <c r="L2364" i="2" a="1"/>
  <c r="L2364" i="2" s="1"/>
  <c r="K2364" i="2" a="1"/>
  <c r="K2364" i="2" s="1"/>
  <c r="J2364" i="2"/>
  <c r="B2364" i="2"/>
  <c r="N2363" i="2"/>
  <c r="M2363" i="2"/>
  <c r="L2363" i="2" a="1"/>
  <c r="L2363" i="2" s="1"/>
  <c r="K2363" i="2" a="1"/>
  <c r="K2363" i="2" s="1"/>
  <c r="J2363" i="2"/>
  <c r="B2363" i="2"/>
  <c r="N2362" i="2"/>
  <c r="M2362" i="2"/>
  <c r="L2362" i="2" a="1"/>
  <c r="L2362" i="2" s="1"/>
  <c r="K2362" i="2" a="1"/>
  <c r="K2362" i="2" s="1"/>
  <c r="J2362" i="2"/>
  <c r="B2362" i="2"/>
  <c r="N2361" i="2"/>
  <c r="M2361" i="2"/>
  <c r="L2361" i="2" a="1"/>
  <c r="L2361" i="2" s="1"/>
  <c r="K2361" i="2" a="1"/>
  <c r="K2361" i="2" s="1"/>
  <c r="J2361" i="2"/>
  <c r="B2361" i="2"/>
  <c r="N2360" i="2"/>
  <c r="M2360" i="2"/>
  <c r="L2360" i="2" a="1"/>
  <c r="L2360" i="2" s="1"/>
  <c r="K2360" i="2" a="1"/>
  <c r="K2360" i="2" s="1"/>
  <c r="J2360" i="2"/>
  <c r="B2360" i="2"/>
  <c r="N2359" i="2"/>
  <c r="M2359" i="2"/>
  <c r="L2359" i="2" a="1"/>
  <c r="L2359" i="2" s="1"/>
  <c r="K2359" i="2" a="1"/>
  <c r="K2359" i="2" s="1"/>
  <c r="J2359" i="2"/>
  <c r="B2359" i="2"/>
  <c r="N2358" i="2"/>
  <c r="M2358" i="2"/>
  <c r="L2358" i="2" a="1"/>
  <c r="L2358" i="2" s="1"/>
  <c r="K2358" i="2" a="1"/>
  <c r="K2358" i="2" s="1"/>
  <c r="J2358" i="2"/>
  <c r="B2358" i="2"/>
  <c r="N2357" i="2"/>
  <c r="M2357" i="2"/>
  <c r="L2357" i="2" a="1"/>
  <c r="L2357" i="2" s="1"/>
  <c r="K2357" i="2" a="1"/>
  <c r="K2357" i="2" s="1"/>
  <c r="J2357" i="2"/>
  <c r="B2357" i="2"/>
  <c r="N2356" i="2"/>
  <c r="M2356" i="2"/>
  <c r="L2356" i="2" a="1"/>
  <c r="L2356" i="2" s="1"/>
  <c r="K2356" i="2" a="1"/>
  <c r="K2356" i="2" s="1"/>
  <c r="J2356" i="2"/>
  <c r="B2356" i="2"/>
  <c r="N2355" i="2"/>
  <c r="M2355" i="2"/>
  <c r="L2355" i="2" a="1"/>
  <c r="L2355" i="2" s="1"/>
  <c r="K2355" i="2" a="1"/>
  <c r="K2355" i="2" s="1"/>
  <c r="J2355" i="2"/>
  <c r="B2355" i="2"/>
  <c r="N2354" i="2"/>
  <c r="M2354" i="2"/>
  <c r="L2354" i="2" a="1"/>
  <c r="L2354" i="2" s="1"/>
  <c r="K2354" i="2" a="1"/>
  <c r="K2354" i="2" s="1"/>
  <c r="J2354" i="2"/>
  <c r="B2354" i="2"/>
  <c r="N2353" i="2"/>
  <c r="M2353" i="2"/>
  <c r="L2353" i="2" a="1"/>
  <c r="L2353" i="2" s="1"/>
  <c r="K2353" i="2" a="1"/>
  <c r="K2353" i="2" s="1"/>
  <c r="J2353" i="2"/>
  <c r="B2353" i="2"/>
  <c r="N2352" i="2"/>
  <c r="M2352" i="2"/>
  <c r="L2352" i="2" a="1"/>
  <c r="L2352" i="2" s="1"/>
  <c r="K2352" i="2" a="1"/>
  <c r="K2352" i="2" s="1"/>
  <c r="J2352" i="2"/>
  <c r="B2352" i="2"/>
  <c r="N2351" i="2"/>
  <c r="M2351" i="2"/>
  <c r="L2351" i="2" a="1"/>
  <c r="L2351" i="2" s="1"/>
  <c r="K2351" i="2" a="1"/>
  <c r="K2351" i="2" s="1"/>
  <c r="J2351" i="2"/>
  <c r="B2351" i="2"/>
  <c r="N2350" i="2"/>
  <c r="M2350" i="2"/>
  <c r="L2350" i="2" a="1"/>
  <c r="L2350" i="2" s="1"/>
  <c r="K2350" i="2" a="1"/>
  <c r="K2350" i="2" s="1"/>
  <c r="J2350" i="2"/>
  <c r="B2350" i="2"/>
  <c r="N2349" i="2"/>
  <c r="M2349" i="2"/>
  <c r="L2349" i="2" a="1"/>
  <c r="L2349" i="2" s="1"/>
  <c r="K2349" i="2" a="1"/>
  <c r="K2349" i="2" s="1"/>
  <c r="J2349" i="2"/>
  <c r="B2349" i="2"/>
  <c r="N2348" i="2"/>
  <c r="M2348" i="2"/>
  <c r="L2348" i="2" a="1"/>
  <c r="L2348" i="2" s="1"/>
  <c r="K2348" i="2" a="1"/>
  <c r="K2348" i="2" s="1"/>
  <c r="J2348" i="2"/>
  <c r="B2348" i="2"/>
  <c r="N2347" i="2"/>
  <c r="M2347" i="2"/>
  <c r="L2347" i="2" a="1"/>
  <c r="L2347" i="2" s="1"/>
  <c r="K2347" i="2" a="1"/>
  <c r="K2347" i="2" s="1"/>
  <c r="J2347" i="2"/>
  <c r="B2347" i="2"/>
  <c r="N2346" i="2"/>
  <c r="M2346" i="2"/>
  <c r="L2346" i="2" a="1"/>
  <c r="L2346" i="2" s="1"/>
  <c r="K2346" i="2" a="1"/>
  <c r="K2346" i="2" s="1"/>
  <c r="J2346" i="2"/>
  <c r="B2346" i="2"/>
  <c r="N2345" i="2"/>
  <c r="M2345" i="2"/>
  <c r="L2345" i="2" a="1"/>
  <c r="L2345" i="2" s="1"/>
  <c r="K2345" i="2" a="1"/>
  <c r="K2345" i="2" s="1"/>
  <c r="J2345" i="2"/>
  <c r="B2345" i="2"/>
  <c r="N2344" i="2"/>
  <c r="M2344" i="2"/>
  <c r="L2344" i="2" a="1"/>
  <c r="L2344" i="2" s="1"/>
  <c r="K2344" i="2" a="1"/>
  <c r="K2344" i="2" s="1"/>
  <c r="J2344" i="2"/>
  <c r="B2344" i="2"/>
  <c r="N2343" i="2"/>
  <c r="M2343" i="2"/>
  <c r="L2343" i="2" a="1"/>
  <c r="L2343" i="2" s="1"/>
  <c r="K2343" i="2" a="1"/>
  <c r="K2343" i="2" s="1"/>
  <c r="J2343" i="2"/>
  <c r="B2343" i="2"/>
  <c r="N2342" i="2"/>
  <c r="M2342" i="2"/>
  <c r="L2342" i="2" a="1"/>
  <c r="L2342" i="2" s="1"/>
  <c r="K2342" i="2" a="1"/>
  <c r="K2342" i="2" s="1"/>
  <c r="J2342" i="2"/>
  <c r="B2342" i="2"/>
  <c r="N2341" i="2"/>
  <c r="M2341" i="2"/>
  <c r="L2341" i="2" a="1"/>
  <c r="L2341" i="2" s="1"/>
  <c r="K2341" i="2" a="1"/>
  <c r="K2341" i="2" s="1"/>
  <c r="J2341" i="2"/>
  <c r="B2341" i="2"/>
  <c r="N2340" i="2"/>
  <c r="M2340" i="2"/>
  <c r="L2340" i="2" a="1"/>
  <c r="L2340" i="2" s="1"/>
  <c r="K2340" i="2" a="1"/>
  <c r="K2340" i="2" s="1"/>
  <c r="J2340" i="2"/>
  <c r="B2340" i="2"/>
  <c r="N2339" i="2"/>
  <c r="M2339" i="2"/>
  <c r="L2339" i="2" a="1"/>
  <c r="L2339" i="2" s="1"/>
  <c r="K2339" i="2" a="1"/>
  <c r="K2339" i="2" s="1"/>
  <c r="J2339" i="2"/>
  <c r="B2339" i="2"/>
  <c r="N2338" i="2"/>
  <c r="M2338" i="2"/>
  <c r="L2338" i="2" a="1"/>
  <c r="L2338" i="2" s="1"/>
  <c r="K2338" i="2" a="1"/>
  <c r="K2338" i="2" s="1"/>
  <c r="J2338" i="2"/>
  <c r="B2338" i="2"/>
  <c r="N2337" i="2"/>
  <c r="M2337" i="2"/>
  <c r="L2337" i="2" a="1"/>
  <c r="L2337" i="2" s="1"/>
  <c r="K2337" i="2" a="1"/>
  <c r="K2337" i="2" s="1"/>
  <c r="J2337" i="2"/>
  <c r="B2337" i="2"/>
  <c r="N2336" i="2"/>
  <c r="M2336" i="2"/>
  <c r="L2336" i="2" a="1"/>
  <c r="L2336" i="2" s="1"/>
  <c r="K2336" i="2" a="1"/>
  <c r="K2336" i="2" s="1"/>
  <c r="J2336" i="2"/>
  <c r="B2336" i="2"/>
  <c r="N2335" i="2"/>
  <c r="M2335" i="2"/>
  <c r="L2335" i="2" a="1"/>
  <c r="L2335" i="2" s="1"/>
  <c r="K2335" i="2" a="1"/>
  <c r="K2335" i="2" s="1"/>
  <c r="J2335" i="2"/>
  <c r="B2335" i="2"/>
  <c r="N2334" i="2"/>
  <c r="M2334" i="2"/>
  <c r="L2334" i="2" a="1"/>
  <c r="L2334" i="2" s="1"/>
  <c r="K2334" i="2" a="1"/>
  <c r="K2334" i="2" s="1"/>
  <c r="J2334" i="2"/>
  <c r="B2334" i="2"/>
  <c r="N2333" i="2"/>
  <c r="M2333" i="2"/>
  <c r="L2333" i="2" a="1"/>
  <c r="L2333" i="2" s="1"/>
  <c r="K2333" i="2" a="1"/>
  <c r="K2333" i="2" s="1"/>
  <c r="J2333" i="2"/>
  <c r="B2333" i="2"/>
  <c r="N2332" i="2"/>
  <c r="M2332" i="2"/>
  <c r="L2332" i="2" a="1"/>
  <c r="L2332" i="2" s="1"/>
  <c r="K2332" i="2" a="1"/>
  <c r="K2332" i="2" s="1"/>
  <c r="J2332" i="2"/>
  <c r="B2332" i="2"/>
  <c r="N2331" i="2"/>
  <c r="M2331" i="2"/>
  <c r="L2331" i="2" a="1"/>
  <c r="L2331" i="2" s="1"/>
  <c r="K2331" i="2" a="1"/>
  <c r="K2331" i="2" s="1"/>
  <c r="J2331" i="2"/>
  <c r="B2331" i="2"/>
  <c r="N2330" i="2"/>
  <c r="M2330" i="2"/>
  <c r="L2330" i="2" a="1"/>
  <c r="L2330" i="2" s="1"/>
  <c r="K2330" i="2" a="1"/>
  <c r="K2330" i="2" s="1"/>
  <c r="J2330" i="2"/>
  <c r="B2330" i="2"/>
  <c r="N2329" i="2"/>
  <c r="M2329" i="2"/>
  <c r="L2329" i="2" a="1"/>
  <c r="L2329" i="2" s="1"/>
  <c r="K2329" i="2" a="1"/>
  <c r="K2329" i="2" s="1"/>
  <c r="J2329" i="2"/>
  <c r="B2329" i="2"/>
  <c r="N2328" i="2"/>
  <c r="M2328" i="2"/>
  <c r="L2328" i="2" a="1"/>
  <c r="L2328" i="2" s="1"/>
  <c r="K2328" i="2" a="1"/>
  <c r="K2328" i="2" s="1"/>
  <c r="J2328" i="2"/>
  <c r="B2328" i="2"/>
  <c r="N2327" i="2"/>
  <c r="M2327" i="2"/>
  <c r="L2327" i="2" a="1"/>
  <c r="L2327" i="2" s="1"/>
  <c r="K2327" i="2" a="1"/>
  <c r="K2327" i="2" s="1"/>
  <c r="J2327" i="2"/>
  <c r="B2327" i="2"/>
  <c r="N2326" i="2"/>
  <c r="M2326" i="2"/>
  <c r="L2326" i="2" a="1"/>
  <c r="L2326" i="2" s="1"/>
  <c r="K2326" i="2" a="1"/>
  <c r="K2326" i="2" s="1"/>
  <c r="J2326" i="2"/>
  <c r="B2326" i="2"/>
  <c r="N2325" i="2"/>
  <c r="M2325" i="2"/>
  <c r="L2325" i="2" a="1"/>
  <c r="L2325" i="2" s="1"/>
  <c r="K2325" i="2" a="1"/>
  <c r="K2325" i="2" s="1"/>
  <c r="J2325" i="2"/>
  <c r="B2325" i="2"/>
  <c r="N2324" i="2"/>
  <c r="M2324" i="2"/>
  <c r="L2324" i="2" a="1"/>
  <c r="L2324" i="2" s="1"/>
  <c r="K2324" i="2" a="1"/>
  <c r="K2324" i="2" s="1"/>
  <c r="J2324" i="2"/>
  <c r="B2324" i="2"/>
  <c r="N2323" i="2"/>
  <c r="M2323" i="2"/>
  <c r="L2323" i="2" a="1"/>
  <c r="L2323" i="2" s="1"/>
  <c r="K2323" i="2" a="1"/>
  <c r="K2323" i="2" s="1"/>
  <c r="J2323" i="2"/>
  <c r="B2323" i="2"/>
  <c r="N2322" i="2"/>
  <c r="M2322" i="2"/>
  <c r="L2322" i="2" a="1"/>
  <c r="L2322" i="2" s="1"/>
  <c r="K2322" i="2" a="1"/>
  <c r="K2322" i="2" s="1"/>
  <c r="J2322" i="2"/>
  <c r="B2322" i="2"/>
  <c r="N2321" i="2"/>
  <c r="M2321" i="2"/>
  <c r="L2321" i="2" a="1"/>
  <c r="L2321" i="2" s="1"/>
  <c r="K2321" i="2" a="1"/>
  <c r="K2321" i="2" s="1"/>
  <c r="J2321" i="2"/>
  <c r="B2321" i="2"/>
  <c r="N2320" i="2"/>
  <c r="M2320" i="2"/>
  <c r="L2320" i="2" a="1"/>
  <c r="L2320" i="2" s="1"/>
  <c r="K2320" i="2" a="1"/>
  <c r="K2320" i="2" s="1"/>
  <c r="J2320" i="2"/>
  <c r="B2320" i="2"/>
  <c r="N2319" i="2"/>
  <c r="M2319" i="2"/>
  <c r="L2319" i="2" a="1"/>
  <c r="L2319" i="2" s="1"/>
  <c r="K2319" i="2" a="1"/>
  <c r="K2319" i="2" s="1"/>
  <c r="J2319" i="2"/>
  <c r="B2319" i="2"/>
  <c r="N2318" i="2"/>
  <c r="M2318" i="2"/>
  <c r="L2318" i="2" a="1"/>
  <c r="L2318" i="2" s="1"/>
  <c r="K2318" i="2" a="1"/>
  <c r="K2318" i="2" s="1"/>
  <c r="J2318" i="2"/>
  <c r="B2318" i="2"/>
  <c r="N2317" i="2"/>
  <c r="M2317" i="2"/>
  <c r="L2317" i="2" a="1"/>
  <c r="L2317" i="2" s="1"/>
  <c r="K2317" i="2" a="1"/>
  <c r="K2317" i="2" s="1"/>
  <c r="J2317" i="2"/>
  <c r="B2317" i="2"/>
  <c r="N2316" i="2"/>
  <c r="M2316" i="2"/>
  <c r="L2316" i="2" a="1"/>
  <c r="L2316" i="2" s="1"/>
  <c r="K2316" i="2" a="1"/>
  <c r="K2316" i="2" s="1"/>
  <c r="J2316" i="2"/>
  <c r="B2316" i="2"/>
  <c r="N2315" i="2"/>
  <c r="M2315" i="2"/>
  <c r="L2315" i="2" a="1"/>
  <c r="L2315" i="2" s="1"/>
  <c r="K2315" i="2" a="1"/>
  <c r="K2315" i="2" s="1"/>
  <c r="J2315" i="2"/>
  <c r="B2315" i="2"/>
  <c r="N2314" i="2"/>
  <c r="M2314" i="2"/>
  <c r="L2314" i="2" a="1"/>
  <c r="L2314" i="2" s="1"/>
  <c r="K2314" i="2" a="1"/>
  <c r="K2314" i="2" s="1"/>
  <c r="J2314" i="2"/>
  <c r="B2314" i="2"/>
  <c r="N2313" i="2"/>
  <c r="M2313" i="2"/>
  <c r="L2313" i="2" a="1"/>
  <c r="L2313" i="2" s="1"/>
  <c r="K2313" i="2" a="1"/>
  <c r="K2313" i="2" s="1"/>
  <c r="J2313" i="2"/>
  <c r="B2313" i="2"/>
  <c r="N2312" i="2"/>
  <c r="M2312" i="2"/>
  <c r="L2312" i="2" a="1"/>
  <c r="L2312" i="2" s="1"/>
  <c r="K2312" i="2" a="1"/>
  <c r="K2312" i="2" s="1"/>
  <c r="J2312" i="2"/>
  <c r="B2312" i="2"/>
  <c r="N2311" i="2"/>
  <c r="M2311" i="2"/>
  <c r="L2311" i="2" a="1"/>
  <c r="L2311" i="2" s="1"/>
  <c r="K2311" i="2" a="1"/>
  <c r="K2311" i="2" s="1"/>
  <c r="J2311" i="2"/>
  <c r="B2311" i="2"/>
  <c r="N2310" i="2"/>
  <c r="M2310" i="2"/>
  <c r="L2310" i="2" a="1"/>
  <c r="L2310" i="2" s="1"/>
  <c r="K2310" i="2" a="1"/>
  <c r="K2310" i="2" s="1"/>
  <c r="J2310" i="2"/>
  <c r="B2310" i="2"/>
  <c r="N2309" i="2"/>
  <c r="M2309" i="2"/>
  <c r="L2309" i="2" a="1"/>
  <c r="L2309" i="2" s="1"/>
  <c r="K2309" i="2" a="1"/>
  <c r="K2309" i="2" s="1"/>
  <c r="J2309" i="2"/>
  <c r="B2309" i="2"/>
  <c r="N2308" i="2"/>
  <c r="M2308" i="2"/>
  <c r="L2308" i="2" a="1"/>
  <c r="L2308" i="2" s="1"/>
  <c r="K2308" i="2" a="1"/>
  <c r="K2308" i="2" s="1"/>
  <c r="J2308" i="2"/>
  <c r="B2308" i="2"/>
  <c r="N2307" i="2"/>
  <c r="M2307" i="2"/>
  <c r="L2307" i="2" a="1"/>
  <c r="L2307" i="2" s="1"/>
  <c r="K2307" i="2" a="1"/>
  <c r="K2307" i="2" s="1"/>
  <c r="J2307" i="2"/>
  <c r="B2307" i="2"/>
  <c r="N2306" i="2"/>
  <c r="M2306" i="2"/>
  <c r="L2306" i="2" a="1"/>
  <c r="L2306" i="2" s="1"/>
  <c r="K2306" i="2" a="1"/>
  <c r="K2306" i="2" s="1"/>
  <c r="J2306" i="2"/>
  <c r="B2306" i="2"/>
  <c r="N2305" i="2"/>
  <c r="M2305" i="2"/>
  <c r="L2305" i="2" a="1"/>
  <c r="L2305" i="2" s="1"/>
  <c r="K2305" i="2" a="1"/>
  <c r="K2305" i="2" s="1"/>
  <c r="J2305" i="2"/>
  <c r="B2305" i="2"/>
  <c r="N2304" i="2"/>
  <c r="M2304" i="2"/>
  <c r="L2304" i="2" a="1"/>
  <c r="L2304" i="2" s="1"/>
  <c r="K2304" i="2" a="1"/>
  <c r="K2304" i="2" s="1"/>
  <c r="J2304" i="2"/>
  <c r="B2304" i="2"/>
  <c r="N2303" i="2"/>
  <c r="M2303" i="2"/>
  <c r="L2303" i="2" a="1"/>
  <c r="L2303" i="2" s="1"/>
  <c r="K2303" i="2" a="1"/>
  <c r="K2303" i="2" s="1"/>
  <c r="J2303" i="2"/>
  <c r="B2303" i="2"/>
  <c r="N2302" i="2"/>
  <c r="M2302" i="2"/>
  <c r="L2302" i="2" a="1"/>
  <c r="L2302" i="2" s="1"/>
  <c r="K2302" i="2" a="1"/>
  <c r="K2302" i="2" s="1"/>
  <c r="J2302" i="2"/>
  <c r="B2302" i="2"/>
  <c r="N2301" i="2"/>
  <c r="M2301" i="2"/>
  <c r="L2301" i="2" a="1"/>
  <c r="L2301" i="2" s="1"/>
  <c r="K2301" i="2" a="1"/>
  <c r="K2301" i="2" s="1"/>
  <c r="J2301" i="2"/>
  <c r="B2301" i="2"/>
  <c r="N2300" i="2"/>
  <c r="M2300" i="2"/>
  <c r="L2300" i="2" a="1"/>
  <c r="L2300" i="2" s="1"/>
  <c r="K2300" i="2" a="1"/>
  <c r="K2300" i="2" s="1"/>
  <c r="J2300" i="2"/>
  <c r="B2300" i="2"/>
  <c r="N2299" i="2"/>
  <c r="M2299" i="2"/>
  <c r="L2299" i="2" a="1"/>
  <c r="L2299" i="2" s="1"/>
  <c r="K2299" i="2" a="1"/>
  <c r="K2299" i="2" s="1"/>
  <c r="J2299" i="2"/>
  <c r="B2299" i="2"/>
  <c r="N2298" i="2"/>
  <c r="M2298" i="2"/>
  <c r="L2298" i="2" a="1"/>
  <c r="L2298" i="2" s="1"/>
  <c r="K2298" i="2" a="1"/>
  <c r="K2298" i="2" s="1"/>
  <c r="J2298" i="2"/>
  <c r="B2298" i="2"/>
  <c r="N2297" i="2"/>
  <c r="M2297" i="2"/>
  <c r="L2297" i="2" a="1"/>
  <c r="L2297" i="2" s="1"/>
  <c r="K2297" i="2" a="1"/>
  <c r="K2297" i="2" s="1"/>
  <c r="J2297" i="2"/>
  <c r="B2297" i="2"/>
  <c r="N2296" i="2"/>
  <c r="M2296" i="2"/>
  <c r="L2296" i="2" a="1"/>
  <c r="L2296" i="2" s="1"/>
  <c r="K2296" i="2" a="1"/>
  <c r="K2296" i="2" s="1"/>
  <c r="J2296" i="2"/>
  <c r="B2296" i="2"/>
  <c r="N2295" i="2"/>
  <c r="M2295" i="2"/>
  <c r="L2295" i="2" a="1"/>
  <c r="L2295" i="2" s="1"/>
  <c r="K2295" i="2" a="1"/>
  <c r="K2295" i="2" s="1"/>
  <c r="J2295" i="2"/>
  <c r="B2295" i="2"/>
  <c r="N2294" i="2"/>
  <c r="M2294" i="2"/>
  <c r="L2294" i="2" a="1"/>
  <c r="L2294" i="2" s="1"/>
  <c r="K2294" i="2" a="1"/>
  <c r="K2294" i="2" s="1"/>
  <c r="J2294" i="2"/>
  <c r="B2294" i="2"/>
  <c r="N2293" i="2"/>
  <c r="M2293" i="2"/>
  <c r="L2293" i="2" a="1"/>
  <c r="L2293" i="2" s="1"/>
  <c r="K2293" i="2" a="1"/>
  <c r="K2293" i="2" s="1"/>
  <c r="J2293" i="2"/>
  <c r="B2293" i="2"/>
  <c r="N2292" i="2"/>
  <c r="M2292" i="2"/>
  <c r="L2292" i="2" a="1"/>
  <c r="L2292" i="2" s="1"/>
  <c r="K2292" i="2" a="1"/>
  <c r="K2292" i="2" s="1"/>
  <c r="J2292" i="2"/>
  <c r="B2292" i="2"/>
  <c r="N2291" i="2"/>
  <c r="M2291" i="2"/>
  <c r="L2291" i="2" a="1"/>
  <c r="L2291" i="2" s="1"/>
  <c r="K2291" i="2" a="1"/>
  <c r="K2291" i="2" s="1"/>
  <c r="J2291" i="2"/>
  <c r="B2291" i="2"/>
  <c r="N2290" i="2"/>
  <c r="M2290" i="2"/>
  <c r="L2290" i="2" a="1"/>
  <c r="L2290" i="2" s="1"/>
  <c r="K2290" i="2" a="1"/>
  <c r="K2290" i="2" s="1"/>
  <c r="J2290" i="2"/>
  <c r="B2290" i="2"/>
  <c r="N2289" i="2"/>
  <c r="M2289" i="2"/>
  <c r="L2289" i="2" a="1"/>
  <c r="L2289" i="2" s="1"/>
  <c r="K2289" i="2" a="1"/>
  <c r="K2289" i="2" s="1"/>
  <c r="J2289" i="2"/>
  <c r="B2289" i="2"/>
  <c r="N2288" i="2"/>
  <c r="M2288" i="2"/>
  <c r="L2288" i="2" a="1"/>
  <c r="L2288" i="2" s="1"/>
  <c r="K2288" i="2" a="1"/>
  <c r="K2288" i="2" s="1"/>
  <c r="J2288" i="2"/>
  <c r="B2288" i="2"/>
  <c r="V2287" i="2"/>
  <c r="N2287" i="2"/>
  <c r="M2287" i="2"/>
  <c r="L2287" i="2" a="1"/>
  <c r="L2287" i="2" s="1"/>
  <c r="K2287" i="2" a="1"/>
  <c r="K2287" i="2" s="1"/>
  <c r="J2287" i="2"/>
  <c r="B2287" i="2"/>
  <c r="N2286" i="2"/>
  <c r="M2286" i="2"/>
  <c r="L2286" i="2" a="1"/>
  <c r="L2286" i="2" s="1"/>
  <c r="K2286" i="2" a="1"/>
  <c r="K2286" i="2" s="1"/>
  <c r="J2286" i="2"/>
  <c r="B2286" i="2"/>
  <c r="N2285" i="2"/>
  <c r="M2285" i="2"/>
  <c r="L2285" i="2" a="1"/>
  <c r="L2285" i="2" s="1"/>
  <c r="K2285" i="2" a="1"/>
  <c r="K2285" i="2" s="1"/>
  <c r="J2285" i="2"/>
  <c r="B2285" i="2"/>
  <c r="N2284" i="2"/>
  <c r="M2284" i="2"/>
  <c r="L2284" i="2" a="1"/>
  <c r="L2284" i="2" s="1"/>
  <c r="K2284" i="2" a="1"/>
  <c r="K2284" i="2" s="1"/>
  <c r="J2284" i="2"/>
  <c r="B2284" i="2"/>
  <c r="N2283" i="2"/>
  <c r="M2283" i="2"/>
  <c r="L2283" i="2" a="1"/>
  <c r="L2283" i="2" s="1"/>
  <c r="K2283" i="2" a="1"/>
  <c r="K2283" i="2" s="1"/>
  <c r="J2283" i="2"/>
  <c r="B2283" i="2"/>
  <c r="N2282" i="2"/>
  <c r="M2282" i="2"/>
  <c r="L2282" i="2" a="1"/>
  <c r="L2282" i="2" s="1"/>
  <c r="K2282" i="2" a="1"/>
  <c r="K2282" i="2" s="1"/>
  <c r="J2282" i="2"/>
  <c r="B2282" i="2"/>
  <c r="N2281" i="2"/>
  <c r="M2281" i="2"/>
  <c r="L2281" i="2" a="1"/>
  <c r="L2281" i="2" s="1"/>
  <c r="K2281" i="2" a="1"/>
  <c r="K2281" i="2" s="1"/>
  <c r="J2281" i="2"/>
  <c r="B2281" i="2"/>
  <c r="N2280" i="2"/>
  <c r="M2280" i="2"/>
  <c r="L2280" i="2" a="1"/>
  <c r="L2280" i="2" s="1"/>
  <c r="K2280" i="2" a="1"/>
  <c r="K2280" i="2" s="1"/>
  <c r="J2280" i="2"/>
  <c r="B2280" i="2"/>
  <c r="U2279" i="2"/>
  <c r="A2278" i="2"/>
  <c r="J2277" i="2"/>
  <c r="N2276" i="2"/>
  <c r="M2276" i="2"/>
  <c r="L2276" i="2" a="1"/>
  <c r="L2276" i="2" s="1"/>
  <c r="K2276" i="2" a="1"/>
  <c r="K2276" i="2" s="1"/>
  <c r="J2276" i="2"/>
  <c r="B2276" i="2"/>
  <c r="N2275" i="2"/>
  <c r="M2275" i="2"/>
  <c r="L2275" i="2" a="1"/>
  <c r="L2275" i="2" s="1"/>
  <c r="K2275" i="2" a="1"/>
  <c r="K2275" i="2" s="1"/>
  <c r="J2275" i="2"/>
  <c r="B2275" i="2"/>
  <c r="N2274" i="2"/>
  <c r="M2274" i="2"/>
  <c r="L2274" i="2" a="1"/>
  <c r="L2274" i="2" s="1"/>
  <c r="K2274" i="2" a="1"/>
  <c r="K2274" i="2" s="1"/>
  <c r="J2274" i="2"/>
  <c r="B2274" i="2"/>
  <c r="N2273" i="2"/>
  <c r="M2273" i="2"/>
  <c r="L2273" i="2" a="1"/>
  <c r="L2273" i="2" s="1"/>
  <c r="K2273" i="2" a="1"/>
  <c r="K2273" i="2" s="1"/>
  <c r="J2273" i="2"/>
  <c r="B2273" i="2"/>
  <c r="N2272" i="2"/>
  <c r="M2272" i="2"/>
  <c r="L2272" i="2" a="1"/>
  <c r="L2272" i="2" s="1"/>
  <c r="K2272" i="2" a="1"/>
  <c r="K2272" i="2" s="1"/>
  <c r="J2272" i="2"/>
  <c r="B2272" i="2"/>
  <c r="N2271" i="2"/>
  <c r="M2271" i="2"/>
  <c r="L2271" i="2" a="1"/>
  <c r="L2271" i="2" s="1"/>
  <c r="K2271" i="2" a="1"/>
  <c r="K2271" i="2" s="1"/>
  <c r="J2271" i="2"/>
  <c r="B2271" i="2"/>
  <c r="N2270" i="2"/>
  <c r="M2270" i="2"/>
  <c r="L2270" i="2" a="1"/>
  <c r="L2270" i="2" s="1"/>
  <c r="K2270" i="2" a="1"/>
  <c r="K2270" i="2" s="1"/>
  <c r="J2270" i="2"/>
  <c r="B2270" i="2"/>
  <c r="N2269" i="2"/>
  <c r="M2269" i="2"/>
  <c r="L2269" i="2" a="1"/>
  <c r="L2269" i="2" s="1"/>
  <c r="K2269" i="2" a="1"/>
  <c r="K2269" i="2" s="1"/>
  <c r="J2269" i="2"/>
  <c r="B2269" i="2"/>
  <c r="N2268" i="2"/>
  <c r="M2268" i="2"/>
  <c r="L2268" i="2" a="1"/>
  <c r="L2268" i="2" s="1"/>
  <c r="K2268" i="2" a="1"/>
  <c r="K2268" i="2" s="1"/>
  <c r="J2268" i="2"/>
  <c r="B2268" i="2"/>
  <c r="N2267" i="2"/>
  <c r="M2267" i="2"/>
  <c r="L2267" i="2" a="1"/>
  <c r="L2267" i="2" s="1"/>
  <c r="K2267" i="2" a="1"/>
  <c r="K2267" i="2" s="1"/>
  <c r="J2267" i="2"/>
  <c r="B2267" i="2"/>
  <c r="N2266" i="2"/>
  <c r="M2266" i="2"/>
  <c r="L2266" i="2" a="1"/>
  <c r="L2266" i="2" s="1"/>
  <c r="K2266" i="2" a="1"/>
  <c r="K2266" i="2" s="1"/>
  <c r="J2266" i="2"/>
  <c r="B2266" i="2"/>
  <c r="N2265" i="2"/>
  <c r="M2265" i="2"/>
  <c r="L2265" i="2" a="1"/>
  <c r="L2265" i="2" s="1"/>
  <c r="K2265" i="2" a="1"/>
  <c r="K2265" i="2" s="1"/>
  <c r="J2265" i="2"/>
  <c r="B2265" i="2"/>
  <c r="N2264" i="2"/>
  <c r="M2264" i="2"/>
  <c r="L2264" i="2" a="1"/>
  <c r="L2264" i="2" s="1"/>
  <c r="K2264" i="2" a="1"/>
  <c r="K2264" i="2" s="1"/>
  <c r="J2264" i="2"/>
  <c r="B2264" i="2"/>
  <c r="N2263" i="2"/>
  <c r="M2263" i="2"/>
  <c r="L2263" i="2" a="1"/>
  <c r="L2263" i="2" s="1"/>
  <c r="K2263" i="2" a="1"/>
  <c r="K2263" i="2" s="1"/>
  <c r="J2263" i="2"/>
  <c r="B2263" i="2"/>
  <c r="N2262" i="2"/>
  <c r="M2262" i="2"/>
  <c r="L2262" i="2" a="1"/>
  <c r="L2262" i="2" s="1"/>
  <c r="K2262" i="2" a="1"/>
  <c r="K2262" i="2" s="1"/>
  <c r="J2262" i="2"/>
  <c r="B2262" i="2"/>
  <c r="N2261" i="2"/>
  <c r="M2261" i="2"/>
  <c r="L2261" i="2" a="1"/>
  <c r="L2261" i="2" s="1"/>
  <c r="K2261" i="2" a="1"/>
  <c r="K2261" i="2" s="1"/>
  <c r="J2261" i="2"/>
  <c r="B2261" i="2"/>
  <c r="N2260" i="2"/>
  <c r="M2260" i="2"/>
  <c r="L2260" i="2" a="1"/>
  <c r="L2260" i="2" s="1"/>
  <c r="K2260" i="2" a="1"/>
  <c r="K2260" i="2" s="1"/>
  <c r="J2260" i="2"/>
  <c r="B2260" i="2"/>
  <c r="N2259" i="2"/>
  <c r="M2259" i="2"/>
  <c r="L2259" i="2" a="1"/>
  <c r="L2259" i="2" s="1"/>
  <c r="K2259" i="2" a="1"/>
  <c r="K2259" i="2" s="1"/>
  <c r="J2259" i="2"/>
  <c r="B2259" i="2"/>
  <c r="N2258" i="2"/>
  <c r="M2258" i="2"/>
  <c r="L2258" i="2" a="1"/>
  <c r="L2258" i="2" s="1"/>
  <c r="K2258" i="2" a="1"/>
  <c r="K2258" i="2" s="1"/>
  <c r="J2258" i="2"/>
  <c r="B2258" i="2"/>
  <c r="N2257" i="2"/>
  <c r="M2257" i="2"/>
  <c r="L2257" i="2" a="1"/>
  <c r="L2257" i="2" s="1"/>
  <c r="K2257" i="2" a="1"/>
  <c r="K2257" i="2" s="1"/>
  <c r="J2257" i="2"/>
  <c r="B2257" i="2"/>
  <c r="N2256" i="2"/>
  <c r="M2256" i="2"/>
  <c r="L2256" i="2" a="1"/>
  <c r="L2256" i="2" s="1"/>
  <c r="K2256" i="2" a="1"/>
  <c r="K2256" i="2" s="1"/>
  <c r="J2256" i="2"/>
  <c r="B2256" i="2"/>
  <c r="N2255" i="2"/>
  <c r="M2255" i="2"/>
  <c r="L2255" i="2" a="1"/>
  <c r="L2255" i="2" s="1"/>
  <c r="K2255" i="2" a="1"/>
  <c r="K2255" i="2" s="1"/>
  <c r="J2255" i="2"/>
  <c r="B2255" i="2"/>
  <c r="N2254" i="2"/>
  <c r="M2254" i="2"/>
  <c r="L2254" i="2" a="1"/>
  <c r="L2254" i="2" s="1"/>
  <c r="K2254" i="2" a="1"/>
  <c r="K2254" i="2" s="1"/>
  <c r="J2254" i="2"/>
  <c r="B2254" i="2"/>
  <c r="N2253" i="2"/>
  <c r="M2253" i="2"/>
  <c r="L2253" i="2" a="1"/>
  <c r="L2253" i="2" s="1"/>
  <c r="K2253" i="2" a="1"/>
  <c r="K2253" i="2" s="1"/>
  <c r="J2253" i="2"/>
  <c r="B2253" i="2"/>
  <c r="N2252" i="2"/>
  <c r="M2252" i="2"/>
  <c r="L2252" i="2" a="1"/>
  <c r="L2252" i="2" s="1"/>
  <c r="K2252" i="2" a="1"/>
  <c r="K2252" i="2" s="1"/>
  <c r="J2252" i="2"/>
  <c r="B2252" i="2"/>
  <c r="N2251" i="2"/>
  <c r="M2251" i="2"/>
  <c r="L2251" i="2" a="1"/>
  <c r="L2251" i="2" s="1"/>
  <c r="K2251" i="2" a="1"/>
  <c r="K2251" i="2" s="1"/>
  <c r="J2251" i="2"/>
  <c r="B2251" i="2"/>
  <c r="N2250" i="2"/>
  <c r="M2250" i="2"/>
  <c r="L2250" i="2" a="1"/>
  <c r="L2250" i="2" s="1"/>
  <c r="K2250" i="2" a="1"/>
  <c r="K2250" i="2" s="1"/>
  <c r="J2250" i="2"/>
  <c r="B2250" i="2"/>
  <c r="N2249" i="2"/>
  <c r="M2249" i="2"/>
  <c r="L2249" i="2" a="1"/>
  <c r="L2249" i="2" s="1"/>
  <c r="K2249" i="2" a="1"/>
  <c r="K2249" i="2" s="1"/>
  <c r="J2249" i="2"/>
  <c r="B2249" i="2"/>
  <c r="N2248" i="2"/>
  <c r="M2248" i="2"/>
  <c r="L2248" i="2" a="1"/>
  <c r="L2248" i="2" s="1"/>
  <c r="K2248" i="2" a="1"/>
  <c r="K2248" i="2" s="1"/>
  <c r="J2248" i="2"/>
  <c r="B2248" i="2"/>
  <c r="N2247" i="2"/>
  <c r="M2247" i="2"/>
  <c r="L2247" i="2" a="1"/>
  <c r="L2247" i="2" s="1"/>
  <c r="K2247" i="2" a="1"/>
  <c r="K2247" i="2" s="1"/>
  <c r="J2247" i="2"/>
  <c r="B2247" i="2"/>
  <c r="N2246" i="2"/>
  <c r="M2246" i="2"/>
  <c r="L2246" i="2" a="1"/>
  <c r="L2246" i="2" s="1"/>
  <c r="K2246" i="2" a="1"/>
  <c r="K2246" i="2" s="1"/>
  <c r="J2246" i="2"/>
  <c r="B2246" i="2"/>
  <c r="N2245" i="2"/>
  <c r="M2245" i="2"/>
  <c r="L2245" i="2" a="1"/>
  <c r="L2245" i="2" s="1"/>
  <c r="K2245" i="2" a="1"/>
  <c r="K2245" i="2" s="1"/>
  <c r="J2245" i="2"/>
  <c r="B2245" i="2"/>
  <c r="N2244" i="2"/>
  <c r="M2244" i="2"/>
  <c r="L2244" i="2" a="1"/>
  <c r="L2244" i="2" s="1"/>
  <c r="K2244" i="2" a="1"/>
  <c r="K2244" i="2" s="1"/>
  <c r="J2244" i="2"/>
  <c r="B2244" i="2"/>
  <c r="N2243" i="2"/>
  <c r="M2243" i="2"/>
  <c r="L2243" i="2" a="1"/>
  <c r="L2243" i="2" s="1"/>
  <c r="K2243" i="2" a="1"/>
  <c r="K2243" i="2" s="1"/>
  <c r="J2243" i="2"/>
  <c r="B2243" i="2"/>
  <c r="N2242" i="2"/>
  <c r="M2242" i="2"/>
  <c r="L2242" i="2" a="1"/>
  <c r="L2242" i="2" s="1"/>
  <c r="K2242" i="2" a="1"/>
  <c r="K2242" i="2" s="1"/>
  <c r="J2242" i="2"/>
  <c r="B2242" i="2"/>
  <c r="N2241" i="2"/>
  <c r="M2241" i="2"/>
  <c r="L2241" i="2" a="1"/>
  <c r="L2241" i="2" s="1"/>
  <c r="K2241" i="2" a="1"/>
  <c r="K2241" i="2" s="1"/>
  <c r="J2241" i="2"/>
  <c r="B2241" i="2"/>
  <c r="N2240" i="2"/>
  <c r="M2240" i="2"/>
  <c r="L2240" i="2" a="1"/>
  <c r="L2240" i="2" s="1"/>
  <c r="K2240" i="2" a="1"/>
  <c r="K2240" i="2" s="1"/>
  <c r="J2240" i="2"/>
  <c r="B2240" i="2"/>
  <c r="N2239" i="2"/>
  <c r="M2239" i="2"/>
  <c r="L2239" i="2" a="1"/>
  <c r="L2239" i="2" s="1"/>
  <c r="K2239" i="2" a="1"/>
  <c r="K2239" i="2" s="1"/>
  <c r="J2239" i="2"/>
  <c r="B2239" i="2"/>
  <c r="N2238" i="2"/>
  <c r="M2238" i="2"/>
  <c r="L2238" i="2" a="1"/>
  <c r="L2238" i="2" s="1"/>
  <c r="K2238" i="2" a="1"/>
  <c r="K2238" i="2" s="1"/>
  <c r="J2238" i="2"/>
  <c r="B2238" i="2"/>
  <c r="N2237" i="2"/>
  <c r="M2237" i="2"/>
  <c r="L2237" i="2" a="1"/>
  <c r="L2237" i="2" s="1"/>
  <c r="K2237" i="2" a="1"/>
  <c r="K2237" i="2" s="1"/>
  <c r="J2237" i="2"/>
  <c r="B2237" i="2"/>
  <c r="N2236" i="2"/>
  <c r="M2236" i="2"/>
  <c r="L2236" i="2" a="1"/>
  <c r="L2236" i="2" s="1"/>
  <c r="K2236" i="2" a="1"/>
  <c r="K2236" i="2" s="1"/>
  <c r="J2236" i="2"/>
  <c r="B2236" i="2"/>
  <c r="N2235" i="2"/>
  <c r="M2235" i="2"/>
  <c r="L2235" i="2" a="1"/>
  <c r="L2235" i="2" s="1"/>
  <c r="K2235" i="2" a="1"/>
  <c r="K2235" i="2" s="1"/>
  <c r="J2235" i="2"/>
  <c r="B2235" i="2"/>
  <c r="N2234" i="2"/>
  <c r="M2234" i="2"/>
  <c r="L2234" i="2" a="1"/>
  <c r="L2234" i="2" s="1"/>
  <c r="K2234" i="2" a="1"/>
  <c r="K2234" i="2" s="1"/>
  <c r="J2234" i="2"/>
  <c r="B2234" i="2"/>
  <c r="N2233" i="2"/>
  <c r="M2233" i="2"/>
  <c r="L2233" i="2" a="1"/>
  <c r="L2233" i="2" s="1"/>
  <c r="K2233" i="2" a="1"/>
  <c r="K2233" i="2" s="1"/>
  <c r="J2233" i="2"/>
  <c r="B2233" i="2"/>
  <c r="N2232" i="2"/>
  <c r="M2232" i="2"/>
  <c r="L2232" i="2" a="1"/>
  <c r="L2232" i="2" s="1"/>
  <c r="K2232" i="2" a="1"/>
  <c r="K2232" i="2" s="1"/>
  <c r="J2232" i="2"/>
  <c r="B2232" i="2"/>
  <c r="N2231" i="2"/>
  <c r="M2231" i="2"/>
  <c r="L2231" i="2" a="1"/>
  <c r="L2231" i="2" s="1"/>
  <c r="K2231" i="2" a="1"/>
  <c r="K2231" i="2" s="1"/>
  <c r="J2231" i="2"/>
  <c r="B2231" i="2"/>
  <c r="N2230" i="2"/>
  <c r="M2230" i="2"/>
  <c r="L2230" i="2" a="1"/>
  <c r="L2230" i="2" s="1"/>
  <c r="K2230" i="2" a="1"/>
  <c r="K2230" i="2" s="1"/>
  <c r="J2230" i="2"/>
  <c r="B2230" i="2"/>
  <c r="N2229" i="2"/>
  <c r="M2229" i="2"/>
  <c r="L2229" i="2" a="1"/>
  <c r="L2229" i="2" s="1"/>
  <c r="K2229" i="2" a="1"/>
  <c r="K2229" i="2" s="1"/>
  <c r="J2229" i="2"/>
  <c r="B2229" i="2"/>
  <c r="N2228" i="2"/>
  <c r="M2228" i="2"/>
  <c r="L2228" i="2" a="1"/>
  <c r="L2228" i="2" s="1"/>
  <c r="K2228" i="2" a="1"/>
  <c r="K2228" i="2" s="1"/>
  <c r="J2228" i="2"/>
  <c r="B2228" i="2"/>
  <c r="N2227" i="2"/>
  <c r="M2227" i="2"/>
  <c r="L2227" i="2" a="1"/>
  <c r="L2227" i="2" s="1"/>
  <c r="K2227" i="2" a="1"/>
  <c r="K2227" i="2" s="1"/>
  <c r="J2227" i="2"/>
  <c r="B2227" i="2"/>
  <c r="N2226" i="2"/>
  <c r="M2226" i="2"/>
  <c r="L2226" i="2" a="1"/>
  <c r="L2226" i="2" s="1"/>
  <c r="K2226" i="2" a="1"/>
  <c r="K2226" i="2" s="1"/>
  <c r="J2226" i="2"/>
  <c r="B2226" i="2"/>
  <c r="N2225" i="2"/>
  <c r="M2225" i="2"/>
  <c r="L2225" i="2" a="1"/>
  <c r="L2225" i="2" s="1"/>
  <c r="K2225" i="2" a="1"/>
  <c r="K2225" i="2" s="1"/>
  <c r="J2225" i="2"/>
  <c r="B2225" i="2"/>
  <c r="N2224" i="2"/>
  <c r="M2224" i="2"/>
  <c r="L2224" i="2" a="1"/>
  <c r="L2224" i="2" s="1"/>
  <c r="K2224" i="2" a="1"/>
  <c r="K2224" i="2" s="1"/>
  <c r="J2224" i="2"/>
  <c r="B2224" i="2"/>
  <c r="N2223" i="2"/>
  <c r="M2223" i="2"/>
  <c r="L2223" i="2" a="1"/>
  <c r="L2223" i="2" s="1"/>
  <c r="K2223" i="2" a="1"/>
  <c r="K2223" i="2" s="1"/>
  <c r="J2223" i="2"/>
  <c r="B2223" i="2"/>
  <c r="N2222" i="2"/>
  <c r="M2222" i="2"/>
  <c r="L2222" i="2" a="1"/>
  <c r="L2222" i="2" s="1"/>
  <c r="K2222" i="2" a="1"/>
  <c r="K2222" i="2" s="1"/>
  <c r="J2222" i="2"/>
  <c r="B2222" i="2"/>
  <c r="N2221" i="2"/>
  <c r="M2221" i="2"/>
  <c r="L2221" i="2" a="1"/>
  <c r="L2221" i="2" s="1"/>
  <c r="K2221" i="2" a="1"/>
  <c r="K2221" i="2" s="1"/>
  <c r="J2221" i="2"/>
  <c r="B2221" i="2"/>
  <c r="N2220" i="2"/>
  <c r="M2220" i="2"/>
  <c r="L2220" i="2" a="1"/>
  <c r="L2220" i="2" s="1"/>
  <c r="K2220" i="2" a="1"/>
  <c r="K2220" i="2" s="1"/>
  <c r="J2220" i="2"/>
  <c r="B2220" i="2"/>
  <c r="N2219" i="2"/>
  <c r="M2219" i="2"/>
  <c r="L2219" i="2" a="1"/>
  <c r="L2219" i="2" s="1"/>
  <c r="K2219" i="2" a="1"/>
  <c r="K2219" i="2" s="1"/>
  <c r="J2219" i="2"/>
  <c r="B2219" i="2"/>
  <c r="N2218" i="2"/>
  <c r="M2218" i="2"/>
  <c r="L2218" i="2" a="1"/>
  <c r="L2218" i="2" s="1"/>
  <c r="K2218" i="2" a="1"/>
  <c r="K2218" i="2" s="1"/>
  <c r="J2218" i="2"/>
  <c r="B2218" i="2"/>
  <c r="N2217" i="2"/>
  <c r="M2217" i="2"/>
  <c r="L2217" i="2" a="1"/>
  <c r="L2217" i="2" s="1"/>
  <c r="K2217" i="2" a="1"/>
  <c r="K2217" i="2" s="1"/>
  <c r="J2217" i="2"/>
  <c r="B2217" i="2"/>
  <c r="N2216" i="2"/>
  <c r="M2216" i="2"/>
  <c r="L2216" i="2" a="1"/>
  <c r="L2216" i="2" s="1"/>
  <c r="K2216" i="2" a="1"/>
  <c r="K2216" i="2" s="1"/>
  <c r="J2216" i="2"/>
  <c r="B2216" i="2"/>
  <c r="N2215" i="2"/>
  <c r="M2215" i="2"/>
  <c r="L2215" i="2" a="1"/>
  <c r="L2215" i="2" s="1"/>
  <c r="K2215" i="2" a="1"/>
  <c r="K2215" i="2" s="1"/>
  <c r="J2215" i="2"/>
  <c r="B2215" i="2"/>
  <c r="N2214" i="2"/>
  <c r="M2214" i="2"/>
  <c r="L2214" i="2" a="1"/>
  <c r="L2214" i="2" s="1"/>
  <c r="K2214" i="2" a="1"/>
  <c r="K2214" i="2" s="1"/>
  <c r="J2214" i="2"/>
  <c r="B2214" i="2"/>
  <c r="N2213" i="2"/>
  <c r="M2213" i="2"/>
  <c r="L2213" i="2" a="1"/>
  <c r="L2213" i="2" s="1"/>
  <c r="K2213" i="2" a="1"/>
  <c r="K2213" i="2" s="1"/>
  <c r="J2213" i="2"/>
  <c r="B2213" i="2"/>
  <c r="N2212" i="2"/>
  <c r="M2212" i="2"/>
  <c r="L2212" i="2" a="1"/>
  <c r="L2212" i="2" s="1"/>
  <c r="K2212" i="2" a="1"/>
  <c r="K2212" i="2" s="1"/>
  <c r="J2212" i="2"/>
  <c r="B2212" i="2"/>
  <c r="N2211" i="2"/>
  <c r="M2211" i="2"/>
  <c r="L2211" i="2" a="1"/>
  <c r="L2211" i="2" s="1"/>
  <c r="K2211" i="2" a="1"/>
  <c r="K2211" i="2" s="1"/>
  <c r="J2211" i="2"/>
  <c r="B2211" i="2"/>
  <c r="N2210" i="2"/>
  <c r="M2210" i="2"/>
  <c r="L2210" i="2" a="1"/>
  <c r="L2210" i="2" s="1"/>
  <c r="K2210" i="2" a="1"/>
  <c r="K2210" i="2" s="1"/>
  <c r="J2210" i="2"/>
  <c r="B2210" i="2"/>
  <c r="N2209" i="2"/>
  <c r="M2209" i="2"/>
  <c r="L2209" i="2" a="1"/>
  <c r="L2209" i="2" s="1"/>
  <c r="K2209" i="2" a="1"/>
  <c r="K2209" i="2" s="1"/>
  <c r="J2209" i="2"/>
  <c r="B2209" i="2"/>
  <c r="N2208" i="2"/>
  <c r="M2208" i="2"/>
  <c r="L2208" i="2" a="1"/>
  <c r="L2208" i="2" s="1"/>
  <c r="K2208" i="2" a="1"/>
  <c r="K2208" i="2" s="1"/>
  <c r="J2208" i="2"/>
  <c r="B2208" i="2"/>
  <c r="N2207" i="2"/>
  <c r="M2207" i="2"/>
  <c r="L2207" i="2" a="1"/>
  <c r="L2207" i="2" s="1"/>
  <c r="K2207" i="2" a="1"/>
  <c r="K2207" i="2" s="1"/>
  <c r="J2207" i="2"/>
  <c r="B2207" i="2"/>
  <c r="N2206" i="2"/>
  <c r="M2206" i="2"/>
  <c r="L2206" i="2" a="1"/>
  <c r="L2206" i="2" s="1"/>
  <c r="K2206" i="2" a="1"/>
  <c r="K2206" i="2" s="1"/>
  <c r="J2206" i="2"/>
  <c r="B2206" i="2"/>
  <c r="N2205" i="2"/>
  <c r="M2205" i="2"/>
  <c r="L2205" i="2" a="1"/>
  <c r="L2205" i="2" s="1"/>
  <c r="K2205" i="2" a="1"/>
  <c r="K2205" i="2" s="1"/>
  <c r="J2205" i="2"/>
  <c r="B2205" i="2"/>
  <c r="N2204" i="2"/>
  <c r="M2204" i="2"/>
  <c r="L2204" i="2" a="1"/>
  <c r="L2204" i="2" s="1"/>
  <c r="K2204" i="2" a="1"/>
  <c r="K2204" i="2" s="1"/>
  <c r="J2204" i="2"/>
  <c r="B2204" i="2"/>
  <c r="N2203" i="2"/>
  <c r="M2203" i="2"/>
  <c r="L2203" i="2" a="1"/>
  <c r="L2203" i="2" s="1"/>
  <c r="K2203" i="2" a="1"/>
  <c r="K2203" i="2" s="1"/>
  <c r="J2203" i="2"/>
  <c r="B2203" i="2"/>
  <c r="N2202" i="2"/>
  <c r="M2202" i="2"/>
  <c r="L2202" i="2" a="1"/>
  <c r="L2202" i="2" s="1"/>
  <c r="K2202" i="2" a="1"/>
  <c r="K2202" i="2" s="1"/>
  <c r="J2202" i="2"/>
  <c r="B2202" i="2"/>
  <c r="N2201" i="2"/>
  <c r="M2201" i="2"/>
  <c r="L2201" i="2" a="1"/>
  <c r="L2201" i="2" s="1"/>
  <c r="K2201" i="2" a="1"/>
  <c r="K2201" i="2" s="1"/>
  <c r="J2201" i="2"/>
  <c r="B2201" i="2"/>
  <c r="N2200" i="2"/>
  <c r="M2200" i="2"/>
  <c r="L2200" i="2" a="1"/>
  <c r="L2200" i="2" s="1"/>
  <c r="K2200" i="2" a="1"/>
  <c r="K2200" i="2" s="1"/>
  <c r="J2200" i="2"/>
  <c r="B2200" i="2"/>
  <c r="N2199" i="2"/>
  <c r="M2199" i="2"/>
  <c r="L2199" i="2" a="1"/>
  <c r="L2199" i="2" s="1"/>
  <c r="K2199" i="2" a="1"/>
  <c r="K2199" i="2" s="1"/>
  <c r="J2199" i="2"/>
  <c r="B2199" i="2"/>
  <c r="N2198" i="2"/>
  <c r="M2198" i="2"/>
  <c r="L2198" i="2" a="1"/>
  <c r="L2198" i="2" s="1"/>
  <c r="K2198" i="2" a="1"/>
  <c r="K2198" i="2" s="1"/>
  <c r="J2198" i="2"/>
  <c r="B2198" i="2"/>
  <c r="N2197" i="2"/>
  <c r="M2197" i="2"/>
  <c r="L2197" i="2" a="1"/>
  <c r="L2197" i="2" s="1"/>
  <c r="K2197" i="2" a="1"/>
  <c r="K2197" i="2" s="1"/>
  <c r="J2197" i="2"/>
  <c r="B2197" i="2"/>
  <c r="N2196" i="2"/>
  <c r="M2196" i="2"/>
  <c r="L2196" i="2" a="1"/>
  <c r="L2196" i="2" s="1"/>
  <c r="K2196" i="2" a="1"/>
  <c r="K2196" i="2" s="1"/>
  <c r="J2196" i="2"/>
  <c r="B2196" i="2"/>
  <c r="N2195" i="2"/>
  <c r="M2195" i="2"/>
  <c r="L2195" i="2" a="1"/>
  <c r="L2195" i="2" s="1"/>
  <c r="K2195" i="2" a="1"/>
  <c r="K2195" i="2" s="1"/>
  <c r="J2195" i="2"/>
  <c r="B2195" i="2"/>
  <c r="N2194" i="2"/>
  <c r="M2194" i="2"/>
  <c r="L2194" i="2" a="1"/>
  <c r="L2194" i="2" s="1"/>
  <c r="K2194" i="2" a="1"/>
  <c r="K2194" i="2" s="1"/>
  <c r="J2194" i="2"/>
  <c r="B2194" i="2"/>
  <c r="N2193" i="2"/>
  <c r="M2193" i="2"/>
  <c r="L2193" i="2" a="1"/>
  <c r="L2193" i="2" s="1"/>
  <c r="K2193" i="2" a="1"/>
  <c r="K2193" i="2" s="1"/>
  <c r="J2193" i="2"/>
  <c r="B2193" i="2"/>
  <c r="N2192" i="2"/>
  <c r="M2192" i="2"/>
  <c r="L2192" i="2" a="1"/>
  <c r="L2192" i="2" s="1"/>
  <c r="K2192" i="2" a="1"/>
  <c r="K2192" i="2" s="1"/>
  <c r="J2192" i="2"/>
  <c r="B2192" i="2"/>
  <c r="N2191" i="2"/>
  <c r="M2191" i="2"/>
  <c r="L2191" i="2" a="1"/>
  <c r="L2191" i="2" s="1"/>
  <c r="K2191" i="2" a="1"/>
  <c r="K2191" i="2" s="1"/>
  <c r="J2191" i="2"/>
  <c r="B2191" i="2"/>
  <c r="N2190" i="2"/>
  <c r="M2190" i="2"/>
  <c r="L2190" i="2" a="1"/>
  <c r="L2190" i="2" s="1"/>
  <c r="K2190" i="2" a="1"/>
  <c r="K2190" i="2" s="1"/>
  <c r="J2190" i="2"/>
  <c r="B2190" i="2"/>
  <c r="N2189" i="2"/>
  <c r="M2189" i="2"/>
  <c r="L2189" i="2" a="1"/>
  <c r="L2189" i="2" s="1"/>
  <c r="K2189" i="2" a="1"/>
  <c r="K2189" i="2" s="1"/>
  <c r="J2189" i="2"/>
  <c r="B2189" i="2"/>
  <c r="N2188" i="2"/>
  <c r="M2188" i="2"/>
  <c r="L2188" i="2" a="1"/>
  <c r="L2188" i="2" s="1"/>
  <c r="K2188" i="2" a="1"/>
  <c r="K2188" i="2" s="1"/>
  <c r="J2188" i="2"/>
  <c r="B2188" i="2"/>
  <c r="N2187" i="2"/>
  <c r="M2187" i="2"/>
  <c r="L2187" i="2" a="1"/>
  <c r="L2187" i="2" s="1"/>
  <c r="K2187" i="2" a="1"/>
  <c r="K2187" i="2" s="1"/>
  <c r="J2187" i="2"/>
  <c r="B2187" i="2"/>
  <c r="N2186" i="2"/>
  <c r="M2186" i="2"/>
  <c r="L2186" i="2" a="1"/>
  <c r="L2186" i="2" s="1"/>
  <c r="K2186" i="2" a="1"/>
  <c r="K2186" i="2" s="1"/>
  <c r="J2186" i="2"/>
  <c r="B2186" i="2"/>
  <c r="N2185" i="2"/>
  <c r="M2185" i="2"/>
  <c r="L2185" i="2" a="1"/>
  <c r="L2185" i="2" s="1"/>
  <c r="K2185" i="2" a="1"/>
  <c r="K2185" i="2" s="1"/>
  <c r="J2185" i="2"/>
  <c r="B2185" i="2"/>
  <c r="V2184" i="2"/>
  <c r="N2184" i="2"/>
  <c r="M2184" i="2"/>
  <c r="L2184" i="2" a="1"/>
  <c r="L2184" i="2" s="1"/>
  <c r="K2184" i="2" a="1"/>
  <c r="K2184" i="2" s="1"/>
  <c r="J2184" i="2"/>
  <c r="B2184" i="2"/>
  <c r="N2183" i="2"/>
  <c r="M2183" i="2"/>
  <c r="L2183" i="2" a="1"/>
  <c r="L2183" i="2" s="1"/>
  <c r="K2183" i="2" a="1"/>
  <c r="K2183" i="2" s="1"/>
  <c r="J2183" i="2"/>
  <c r="B2183" i="2"/>
  <c r="N2182" i="2"/>
  <c r="M2182" i="2"/>
  <c r="L2182" i="2" a="1"/>
  <c r="L2182" i="2" s="1"/>
  <c r="K2182" i="2" a="1"/>
  <c r="K2182" i="2" s="1"/>
  <c r="J2182" i="2"/>
  <c r="B2182" i="2"/>
  <c r="N2181" i="2"/>
  <c r="M2181" i="2"/>
  <c r="L2181" i="2" a="1"/>
  <c r="L2181" i="2" s="1"/>
  <c r="K2181" i="2" a="1"/>
  <c r="K2181" i="2" s="1"/>
  <c r="J2181" i="2"/>
  <c r="B2181" i="2"/>
  <c r="N2180" i="2"/>
  <c r="M2180" i="2"/>
  <c r="L2180" i="2" a="1"/>
  <c r="L2180" i="2" s="1"/>
  <c r="K2180" i="2" a="1"/>
  <c r="K2180" i="2" s="1"/>
  <c r="J2180" i="2"/>
  <c r="B2180" i="2"/>
  <c r="N2179" i="2"/>
  <c r="M2179" i="2"/>
  <c r="L2179" i="2" a="1"/>
  <c r="L2179" i="2" s="1"/>
  <c r="K2179" i="2" a="1"/>
  <c r="K2179" i="2" s="1"/>
  <c r="J2179" i="2"/>
  <c r="B2179" i="2"/>
  <c r="N2178" i="2"/>
  <c r="M2178" i="2"/>
  <c r="L2178" i="2" a="1"/>
  <c r="L2178" i="2" s="1"/>
  <c r="K2178" i="2" a="1"/>
  <c r="K2178" i="2" s="1"/>
  <c r="J2178" i="2"/>
  <c r="B2178" i="2"/>
  <c r="N2177" i="2"/>
  <c r="M2177" i="2"/>
  <c r="L2177" i="2" a="1"/>
  <c r="L2177" i="2" s="1"/>
  <c r="K2177" i="2" a="1"/>
  <c r="K2177" i="2" s="1"/>
  <c r="J2177" i="2"/>
  <c r="B2177" i="2"/>
  <c r="U2176" i="2"/>
  <c r="A2175" i="2"/>
  <c r="J2174" i="2"/>
  <c r="N2173" i="2"/>
  <c r="M2173" i="2"/>
  <c r="L2173" i="2" a="1"/>
  <c r="L2173" i="2" s="1"/>
  <c r="K2173" i="2" a="1"/>
  <c r="K2173" i="2" s="1"/>
  <c r="J2173" i="2"/>
  <c r="B2173" i="2"/>
  <c r="N2172" i="2"/>
  <c r="M2172" i="2"/>
  <c r="L2172" i="2" a="1"/>
  <c r="L2172" i="2" s="1"/>
  <c r="K2172" i="2" a="1"/>
  <c r="K2172" i="2" s="1"/>
  <c r="J2172" i="2"/>
  <c r="B2172" i="2"/>
  <c r="N2171" i="2"/>
  <c r="M2171" i="2"/>
  <c r="L2171" i="2" a="1"/>
  <c r="L2171" i="2" s="1"/>
  <c r="K2171" i="2" a="1"/>
  <c r="K2171" i="2" s="1"/>
  <c r="J2171" i="2"/>
  <c r="B2171" i="2"/>
  <c r="N2170" i="2"/>
  <c r="M2170" i="2"/>
  <c r="L2170" i="2" a="1"/>
  <c r="L2170" i="2" s="1"/>
  <c r="K2170" i="2" a="1"/>
  <c r="K2170" i="2" s="1"/>
  <c r="J2170" i="2"/>
  <c r="B2170" i="2"/>
  <c r="N2169" i="2"/>
  <c r="M2169" i="2"/>
  <c r="L2169" i="2" a="1"/>
  <c r="L2169" i="2" s="1"/>
  <c r="K2169" i="2" a="1"/>
  <c r="K2169" i="2" s="1"/>
  <c r="J2169" i="2"/>
  <c r="B2169" i="2"/>
  <c r="N2168" i="2"/>
  <c r="M2168" i="2"/>
  <c r="L2168" i="2" a="1"/>
  <c r="L2168" i="2" s="1"/>
  <c r="K2168" i="2" a="1"/>
  <c r="K2168" i="2" s="1"/>
  <c r="J2168" i="2"/>
  <c r="B2168" i="2"/>
  <c r="N2167" i="2"/>
  <c r="M2167" i="2"/>
  <c r="L2167" i="2" a="1"/>
  <c r="L2167" i="2" s="1"/>
  <c r="K2167" i="2" a="1"/>
  <c r="K2167" i="2" s="1"/>
  <c r="J2167" i="2"/>
  <c r="B2167" i="2"/>
  <c r="N2166" i="2"/>
  <c r="M2166" i="2"/>
  <c r="L2166" i="2" a="1"/>
  <c r="L2166" i="2" s="1"/>
  <c r="K2166" i="2" a="1"/>
  <c r="K2166" i="2" s="1"/>
  <c r="J2166" i="2"/>
  <c r="B2166" i="2"/>
  <c r="N2165" i="2"/>
  <c r="M2165" i="2"/>
  <c r="L2165" i="2" a="1"/>
  <c r="L2165" i="2" s="1"/>
  <c r="K2165" i="2" a="1"/>
  <c r="K2165" i="2" s="1"/>
  <c r="J2165" i="2"/>
  <c r="B2165" i="2"/>
  <c r="N2164" i="2"/>
  <c r="M2164" i="2"/>
  <c r="L2164" i="2" a="1"/>
  <c r="L2164" i="2" s="1"/>
  <c r="K2164" i="2" a="1"/>
  <c r="K2164" i="2" s="1"/>
  <c r="J2164" i="2"/>
  <c r="B2164" i="2"/>
  <c r="N2163" i="2"/>
  <c r="M2163" i="2"/>
  <c r="L2163" i="2" a="1"/>
  <c r="L2163" i="2" s="1"/>
  <c r="K2163" i="2" a="1"/>
  <c r="K2163" i="2" s="1"/>
  <c r="J2163" i="2"/>
  <c r="B2163" i="2"/>
  <c r="N2162" i="2"/>
  <c r="M2162" i="2"/>
  <c r="L2162" i="2" a="1"/>
  <c r="L2162" i="2" s="1"/>
  <c r="K2162" i="2" a="1"/>
  <c r="K2162" i="2" s="1"/>
  <c r="J2162" i="2"/>
  <c r="B2162" i="2"/>
  <c r="N2161" i="2"/>
  <c r="M2161" i="2"/>
  <c r="L2161" i="2" a="1"/>
  <c r="L2161" i="2" s="1"/>
  <c r="K2161" i="2" a="1"/>
  <c r="K2161" i="2" s="1"/>
  <c r="J2161" i="2"/>
  <c r="B2161" i="2"/>
  <c r="N2160" i="2"/>
  <c r="M2160" i="2"/>
  <c r="L2160" i="2" a="1"/>
  <c r="L2160" i="2" s="1"/>
  <c r="K2160" i="2" a="1"/>
  <c r="K2160" i="2" s="1"/>
  <c r="J2160" i="2"/>
  <c r="B2160" i="2"/>
  <c r="N2159" i="2"/>
  <c r="M2159" i="2"/>
  <c r="L2159" i="2" a="1"/>
  <c r="L2159" i="2" s="1"/>
  <c r="K2159" i="2" a="1"/>
  <c r="K2159" i="2" s="1"/>
  <c r="J2159" i="2"/>
  <c r="B2159" i="2"/>
  <c r="N2158" i="2"/>
  <c r="M2158" i="2"/>
  <c r="L2158" i="2" a="1"/>
  <c r="L2158" i="2" s="1"/>
  <c r="K2158" i="2" a="1"/>
  <c r="K2158" i="2" s="1"/>
  <c r="J2158" i="2"/>
  <c r="B2158" i="2"/>
  <c r="N2157" i="2"/>
  <c r="M2157" i="2"/>
  <c r="L2157" i="2" a="1"/>
  <c r="L2157" i="2" s="1"/>
  <c r="K2157" i="2" a="1"/>
  <c r="K2157" i="2" s="1"/>
  <c r="J2157" i="2"/>
  <c r="B2157" i="2"/>
  <c r="N2156" i="2"/>
  <c r="M2156" i="2"/>
  <c r="L2156" i="2" a="1"/>
  <c r="L2156" i="2" s="1"/>
  <c r="K2156" i="2" a="1"/>
  <c r="K2156" i="2" s="1"/>
  <c r="J2156" i="2"/>
  <c r="B2156" i="2"/>
  <c r="N2155" i="2"/>
  <c r="M2155" i="2"/>
  <c r="L2155" i="2" a="1"/>
  <c r="L2155" i="2" s="1"/>
  <c r="K2155" i="2" a="1"/>
  <c r="K2155" i="2" s="1"/>
  <c r="J2155" i="2"/>
  <c r="B2155" i="2"/>
  <c r="N2154" i="2"/>
  <c r="M2154" i="2"/>
  <c r="L2154" i="2" a="1"/>
  <c r="L2154" i="2" s="1"/>
  <c r="K2154" i="2" a="1"/>
  <c r="K2154" i="2" s="1"/>
  <c r="J2154" i="2"/>
  <c r="B2154" i="2"/>
  <c r="N2153" i="2"/>
  <c r="M2153" i="2"/>
  <c r="L2153" i="2" a="1"/>
  <c r="L2153" i="2" s="1"/>
  <c r="K2153" i="2" a="1"/>
  <c r="K2153" i="2" s="1"/>
  <c r="J2153" i="2"/>
  <c r="B2153" i="2"/>
  <c r="N2152" i="2"/>
  <c r="M2152" i="2"/>
  <c r="L2152" i="2" a="1"/>
  <c r="L2152" i="2" s="1"/>
  <c r="K2152" i="2" a="1"/>
  <c r="K2152" i="2" s="1"/>
  <c r="J2152" i="2"/>
  <c r="B2152" i="2"/>
  <c r="N2151" i="2"/>
  <c r="M2151" i="2"/>
  <c r="L2151" i="2" a="1"/>
  <c r="L2151" i="2" s="1"/>
  <c r="K2151" i="2" a="1"/>
  <c r="K2151" i="2" s="1"/>
  <c r="J2151" i="2"/>
  <c r="B2151" i="2"/>
  <c r="N2150" i="2"/>
  <c r="M2150" i="2"/>
  <c r="L2150" i="2" a="1"/>
  <c r="L2150" i="2" s="1"/>
  <c r="K2150" i="2" a="1"/>
  <c r="K2150" i="2" s="1"/>
  <c r="J2150" i="2"/>
  <c r="B2150" i="2"/>
  <c r="N2149" i="2"/>
  <c r="M2149" i="2"/>
  <c r="L2149" i="2" a="1"/>
  <c r="L2149" i="2" s="1"/>
  <c r="K2149" i="2" a="1"/>
  <c r="K2149" i="2" s="1"/>
  <c r="J2149" i="2"/>
  <c r="B2149" i="2"/>
  <c r="N2148" i="2"/>
  <c r="M2148" i="2"/>
  <c r="L2148" i="2" a="1"/>
  <c r="L2148" i="2" s="1"/>
  <c r="K2148" i="2" a="1"/>
  <c r="K2148" i="2" s="1"/>
  <c r="J2148" i="2"/>
  <c r="B2148" i="2"/>
  <c r="N2147" i="2"/>
  <c r="M2147" i="2"/>
  <c r="L2147" i="2" a="1"/>
  <c r="L2147" i="2" s="1"/>
  <c r="K2147" i="2" a="1"/>
  <c r="K2147" i="2" s="1"/>
  <c r="J2147" i="2"/>
  <c r="B2147" i="2"/>
  <c r="N2146" i="2"/>
  <c r="M2146" i="2"/>
  <c r="L2146" i="2" a="1"/>
  <c r="L2146" i="2" s="1"/>
  <c r="K2146" i="2" a="1"/>
  <c r="K2146" i="2" s="1"/>
  <c r="J2146" i="2"/>
  <c r="B2146" i="2"/>
  <c r="N2145" i="2"/>
  <c r="M2145" i="2"/>
  <c r="L2145" i="2" a="1"/>
  <c r="L2145" i="2" s="1"/>
  <c r="K2145" i="2" a="1"/>
  <c r="K2145" i="2" s="1"/>
  <c r="J2145" i="2"/>
  <c r="B2145" i="2"/>
  <c r="N2144" i="2"/>
  <c r="M2144" i="2"/>
  <c r="L2144" i="2" a="1"/>
  <c r="L2144" i="2" s="1"/>
  <c r="K2144" i="2" a="1"/>
  <c r="K2144" i="2" s="1"/>
  <c r="J2144" i="2"/>
  <c r="B2144" i="2"/>
  <c r="N2143" i="2"/>
  <c r="M2143" i="2"/>
  <c r="L2143" i="2" a="1"/>
  <c r="L2143" i="2" s="1"/>
  <c r="K2143" i="2" a="1"/>
  <c r="K2143" i="2" s="1"/>
  <c r="J2143" i="2"/>
  <c r="B2143" i="2"/>
  <c r="N2142" i="2"/>
  <c r="M2142" i="2"/>
  <c r="L2142" i="2" a="1"/>
  <c r="L2142" i="2" s="1"/>
  <c r="K2142" i="2" a="1"/>
  <c r="K2142" i="2" s="1"/>
  <c r="J2142" i="2"/>
  <c r="B2142" i="2"/>
  <c r="N2141" i="2"/>
  <c r="M2141" i="2"/>
  <c r="L2141" i="2" a="1"/>
  <c r="L2141" i="2" s="1"/>
  <c r="K2141" i="2" a="1"/>
  <c r="K2141" i="2" s="1"/>
  <c r="J2141" i="2"/>
  <c r="B2141" i="2"/>
  <c r="N2140" i="2"/>
  <c r="M2140" i="2"/>
  <c r="L2140" i="2" a="1"/>
  <c r="L2140" i="2" s="1"/>
  <c r="K2140" i="2" a="1"/>
  <c r="K2140" i="2" s="1"/>
  <c r="J2140" i="2"/>
  <c r="B2140" i="2"/>
  <c r="N2139" i="2"/>
  <c r="M2139" i="2"/>
  <c r="L2139" i="2" a="1"/>
  <c r="L2139" i="2" s="1"/>
  <c r="K2139" i="2" a="1"/>
  <c r="K2139" i="2" s="1"/>
  <c r="J2139" i="2"/>
  <c r="B2139" i="2"/>
  <c r="N2138" i="2"/>
  <c r="M2138" i="2"/>
  <c r="L2138" i="2" a="1"/>
  <c r="L2138" i="2" s="1"/>
  <c r="K2138" i="2" a="1"/>
  <c r="K2138" i="2" s="1"/>
  <c r="J2138" i="2"/>
  <c r="B2138" i="2"/>
  <c r="N2137" i="2"/>
  <c r="M2137" i="2"/>
  <c r="L2137" i="2" a="1"/>
  <c r="L2137" i="2" s="1"/>
  <c r="K2137" i="2" a="1"/>
  <c r="K2137" i="2" s="1"/>
  <c r="J2137" i="2"/>
  <c r="B2137" i="2"/>
  <c r="N2136" i="2"/>
  <c r="M2136" i="2"/>
  <c r="L2136" i="2" a="1"/>
  <c r="L2136" i="2" s="1"/>
  <c r="K2136" i="2" a="1"/>
  <c r="K2136" i="2" s="1"/>
  <c r="J2136" i="2"/>
  <c r="B2136" i="2"/>
  <c r="N2135" i="2"/>
  <c r="M2135" i="2"/>
  <c r="L2135" i="2" a="1"/>
  <c r="L2135" i="2" s="1"/>
  <c r="K2135" i="2" a="1"/>
  <c r="K2135" i="2" s="1"/>
  <c r="J2135" i="2"/>
  <c r="B2135" i="2"/>
  <c r="N2134" i="2"/>
  <c r="M2134" i="2"/>
  <c r="L2134" i="2" a="1"/>
  <c r="L2134" i="2" s="1"/>
  <c r="K2134" i="2" a="1"/>
  <c r="K2134" i="2" s="1"/>
  <c r="J2134" i="2"/>
  <c r="B2134" i="2"/>
  <c r="N2133" i="2"/>
  <c r="M2133" i="2"/>
  <c r="L2133" i="2" a="1"/>
  <c r="L2133" i="2" s="1"/>
  <c r="K2133" i="2" a="1"/>
  <c r="K2133" i="2" s="1"/>
  <c r="J2133" i="2"/>
  <c r="B2133" i="2"/>
  <c r="N2132" i="2"/>
  <c r="M2132" i="2"/>
  <c r="L2132" i="2" a="1"/>
  <c r="L2132" i="2" s="1"/>
  <c r="K2132" i="2" a="1"/>
  <c r="K2132" i="2" s="1"/>
  <c r="J2132" i="2"/>
  <c r="B2132" i="2"/>
  <c r="N2131" i="2"/>
  <c r="M2131" i="2"/>
  <c r="L2131" i="2" a="1"/>
  <c r="L2131" i="2" s="1"/>
  <c r="K2131" i="2" a="1"/>
  <c r="K2131" i="2" s="1"/>
  <c r="J2131" i="2"/>
  <c r="B2131" i="2"/>
  <c r="N2130" i="2"/>
  <c r="M2130" i="2"/>
  <c r="L2130" i="2" a="1"/>
  <c r="L2130" i="2" s="1"/>
  <c r="K2130" i="2" a="1"/>
  <c r="K2130" i="2" s="1"/>
  <c r="J2130" i="2"/>
  <c r="B2130" i="2"/>
  <c r="N2129" i="2"/>
  <c r="M2129" i="2"/>
  <c r="L2129" i="2" a="1"/>
  <c r="L2129" i="2" s="1"/>
  <c r="K2129" i="2" a="1"/>
  <c r="K2129" i="2" s="1"/>
  <c r="J2129" i="2"/>
  <c r="B2129" i="2"/>
  <c r="N2128" i="2"/>
  <c r="M2128" i="2"/>
  <c r="L2128" i="2" a="1"/>
  <c r="L2128" i="2" s="1"/>
  <c r="K2128" i="2" a="1"/>
  <c r="K2128" i="2" s="1"/>
  <c r="J2128" i="2"/>
  <c r="B2128" i="2"/>
  <c r="N2127" i="2"/>
  <c r="M2127" i="2"/>
  <c r="L2127" i="2" a="1"/>
  <c r="L2127" i="2" s="1"/>
  <c r="K2127" i="2" a="1"/>
  <c r="K2127" i="2" s="1"/>
  <c r="J2127" i="2"/>
  <c r="B2127" i="2"/>
  <c r="N2126" i="2"/>
  <c r="M2126" i="2"/>
  <c r="L2126" i="2" a="1"/>
  <c r="L2126" i="2" s="1"/>
  <c r="K2126" i="2" a="1"/>
  <c r="K2126" i="2" s="1"/>
  <c r="J2126" i="2"/>
  <c r="B2126" i="2"/>
  <c r="N2125" i="2"/>
  <c r="M2125" i="2"/>
  <c r="L2125" i="2" a="1"/>
  <c r="L2125" i="2" s="1"/>
  <c r="K2125" i="2" a="1"/>
  <c r="K2125" i="2" s="1"/>
  <c r="J2125" i="2"/>
  <c r="B2125" i="2"/>
  <c r="N2124" i="2"/>
  <c r="M2124" i="2"/>
  <c r="L2124" i="2" a="1"/>
  <c r="L2124" i="2" s="1"/>
  <c r="K2124" i="2" a="1"/>
  <c r="K2124" i="2" s="1"/>
  <c r="J2124" i="2"/>
  <c r="B2124" i="2"/>
  <c r="N2123" i="2"/>
  <c r="M2123" i="2"/>
  <c r="L2123" i="2" a="1"/>
  <c r="L2123" i="2" s="1"/>
  <c r="K2123" i="2" a="1"/>
  <c r="K2123" i="2" s="1"/>
  <c r="J2123" i="2"/>
  <c r="B2123" i="2"/>
  <c r="N2122" i="2"/>
  <c r="M2122" i="2"/>
  <c r="L2122" i="2" a="1"/>
  <c r="L2122" i="2" s="1"/>
  <c r="K2122" i="2" a="1"/>
  <c r="K2122" i="2" s="1"/>
  <c r="J2122" i="2"/>
  <c r="B2122" i="2"/>
  <c r="N2121" i="2"/>
  <c r="M2121" i="2"/>
  <c r="L2121" i="2" a="1"/>
  <c r="L2121" i="2" s="1"/>
  <c r="K2121" i="2" a="1"/>
  <c r="K2121" i="2" s="1"/>
  <c r="J2121" i="2"/>
  <c r="B2121" i="2"/>
  <c r="N2120" i="2"/>
  <c r="M2120" i="2"/>
  <c r="L2120" i="2" a="1"/>
  <c r="L2120" i="2" s="1"/>
  <c r="K2120" i="2" a="1"/>
  <c r="K2120" i="2" s="1"/>
  <c r="J2120" i="2"/>
  <c r="B2120" i="2"/>
  <c r="N2119" i="2"/>
  <c r="M2119" i="2"/>
  <c r="L2119" i="2" a="1"/>
  <c r="L2119" i="2" s="1"/>
  <c r="K2119" i="2" a="1"/>
  <c r="K2119" i="2" s="1"/>
  <c r="J2119" i="2"/>
  <c r="B2119" i="2"/>
  <c r="N2118" i="2"/>
  <c r="M2118" i="2"/>
  <c r="L2118" i="2" a="1"/>
  <c r="L2118" i="2" s="1"/>
  <c r="K2118" i="2" a="1"/>
  <c r="K2118" i="2" s="1"/>
  <c r="J2118" i="2"/>
  <c r="B2118" i="2"/>
  <c r="N2117" i="2"/>
  <c r="M2117" i="2"/>
  <c r="L2117" i="2" a="1"/>
  <c r="L2117" i="2" s="1"/>
  <c r="K2117" i="2" a="1"/>
  <c r="K2117" i="2" s="1"/>
  <c r="J2117" i="2"/>
  <c r="B2117" i="2"/>
  <c r="N2116" i="2"/>
  <c r="M2116" i="2"/>
  <c r="L2116" i="2" a="1"/>
  <c r="L2116" i="2" s="1"/>
  <c r="K2116" i="2" a="1"/>
  <c r="K2116" i="2" s="1"/>
  <c r="J2116" i="2"/>
  <c r="B2116" i="2"/>
  <c r="N2115" i="2"/>
  <c r="M2115" i="2"/>
  <c r="L2115" i="2" a="1"/>
  <c r="L2115" i="2" s="1"/>
  <c r="K2115" i="2" a="1"/>
  <c r="K2115" i="2" s="1"/>
  <c r="J2115" i="2"/>
  <c r="B2115" i="2"/>
  <c r="N2114" i="2"/>
  <c r="M2114" i="2"/>
  <c r="L2114" i="2" a="1"/>
  <c r="L2114" i="2" s="1"/>
  <c r="K2114" i="2" a="1"/>
  <c r="K2114" i="2" s="1"/>
  <c r="J2114" i="2"/>
  <c r="B2114" i="2"/>
  <c r="N2113" i="2"/>
  <c r="M2113" i="2"/>
  <c r="L2113" i="2" a="1"/>
  <c r="L2113" i="2" s="1"/>
  <c r="K2113" i="2" a="1"/>
  <c r="K2113" i="2" s="1"/>
  <c r="J2113" i="2"/>
  <c r="B2113" i="2"/>
  <c r="N2112" i="2"/>
  <c r="M2112" i="2"/>
  <c r="L2112" i="2" a="1"/>
  <c r="L2112" i="2" s="1"/>
  <c r="K2112" i="2" a="1"/>
  <c r="K2112" i="2" s="1"/>
  <c r="J2112" i="2"/>
  <c r="B2112" i="2"/>
  <c r="N2111" i="2"/>
  <c r="M2111" i="2"/>
  <c r="L2111" i="2" a="1"/>
  <c r="L2111" i="2" s="1"/>
  <c r="K2111" i="2" a="1"/>
  <c r="K2111" i="2" s="1"/>
  <c r="J2111" i="2"/>
  <c r="B2111" i="2"/>
  <c r="N2110" i="2"/>
  <c r="M2110" i="2"/>
  <c r="L2110" i="2" a="1"/>
  <c r="L2110" i="2" s="1"/>
  <c r="K2110" i="2" a="1"/>
  <c r="K2110" i="2" s="1"/>
  <c r="J2110" i="2"/>
  <c r="B2110" i="2"/>
  <c r="N2109" i="2"/>
  <c r="M2109" i="2"/>
  <c r="L2109" i="2" a="1"/>
  <c r="L2109" i="2" s="1"/>
  <c r="K2109" i="2" a="1"/>
  <c r="K2109" i="2" s="1"/>
  <c r="J2109" i="2"/>
  <c r="B2109" i="2"/>
  <c r="N2108" i="2"/>
  <c r="M2108" i="2"/>
  <c r="L2108" i="2" a="1"/>
  <c r="L2108" i="2" s="1"/>
  <c r="K2108" i="2" a="1"/>
  <c r="K2108" i="2" s="1"/>
  <c r="J2108" i="2"/>
  <c r="B2108" i="2"/>
  <c r="N2107" i="2"/>
  <c r="M2107" i="2"/>
  <c r="L2107" i="2" a="1"/>
  <c r="L2107" i="2" s="1"/>
  <c r="K2107" i="2" a="1"/>
  <c r="K2107" i="2" s="1"/>
  <c r="J2107" i="2"/>
  <c r="B2107" i="2"/>
  <c r="N2106" i="2"/>
  <c r="M2106" i="2"/>
  <c r="L2106" i="2" a="1"/>
  <c r="L2106" i="2" s="1"/>
  <c r="K2106" i="2" a="1"/>
  <c r="K2106" i="2" s="1"/>
  <c r="J2106" i="2"/>
  <c r="B2106" i="2"/>
  <c r="N2105" i="2"/>
  <c r="M2105" i="2"/>
  <c r="L2105" i="2" a="1"/>
  <c r="L2105" i="2" s="1"/>
  <c r="K2105" i="2" a="1"/>
  <c r="K2105" i="2" s="1"/>
  <c r="J2105" i="2"/>
  <c r="B2105" i="2"/>
  <c r="N2104" i="2"/>
  <c r="M2104" i="2"/>
  <c r="L2104" i="2" a="1"/>
  <c r="L2104" i="2" s="1"/>
  <c r="K2104" i="2" a="1"/>
  <c r="K2104" i="2" s="1"/>
  <c r="J2104" i="2"/>
  <c r="B2104" i="2"/>
  <c r="N2103" i="2"/>
  <c r="M2103" i="2"/>
  <c r="L2103" i="2" a="1"/>
  <c r="L2103" i="2" s="1"/>
  <c r="K2103" i="2" a="1"/>
  <c r="K2103" i="2" s="1"/>
  <c r="J2103" i="2"/>
  <c r="B2103" i="2"/>
  <c r="N2102" i="2"/>
  <c r="M2102" i="2"/>
  <c r="L2102" i="2" a="1"/>
  <c r="L2102" i="2" s="1"/>
  <c r="K2102" i="2" a="1"/>
  <c r="K2102" i="2" s="1"/>
  <c r="J2102" i="2"/>
  <c r="B2102" i="2"/>
  <c r="N2101" i="2"/>
  <c r="M2101" i="2"/>
  <c r="L2101" i="2" a="1"/>
  <c r="L2101" i="2" s="1"/>
  <c r="K2101" i="2" a="1"/>
  <c r="K2101" i="2" s="1"/>
  <c r="J2101" i="2"/>
  <c r="B2101" i="2"/>
  <c r="N2100" i="2"/>
  <c r="M2100" i="2"/>
  <c r="L2100" i="2" a="1"/>
  <c r="L2100" i="2" s="1"/>
  <c r="K2100" i="2" a="1"/>
  <c r="K2100" i="2" s="1"/>
  <c r="J2100" i="2"/>
  <c r="B2100" i="2"/>
  <c r="N2099" i="2"/>
  <c r="M2099" i="2"/>
  <c r="L2099" i="2" a="1"/>
  <c r="L2099" i="2" s="1"/>
  <c r="K2099" i="2" a="1"/>
  <c r="K2099" i="2" s="1"/>
  <c r="J2099" i="2"/>
  <c r="B2099" i="2"/>
  <c r="N2098" i="2"/>
  <c r="M2098" i="2"/>
  <c r="L2098" i="2" a="1"/>
  <c r="L2098" i="2" s="1"/>
  <c r="K2098" i="2" a="1"/>
  <c r="K2098" i="2" s="1"/>
  <c r="J2098" i="2"/>
  <c r="B2098" i="2"/>
  <c r="N2097" i="2"/>
  <c r="M2097" i="2"/>
  <c r="L2097" i="2" a="1"/>
  <c r="L2097" i="2" s="1"/>
  <c r="K2097" i="2" a="1"/>
  <c r="K2097" i="2" s="1"/>
  <c r="J2097" i="2"/>
  <c r="B2097" i="2"/>
  <c r="N2096" i="2"/>
  <c r="M2096" i="2"/>
  <c r="L2096" i="2" a="1"/>
  <c r="L2096" i="2" s="1"/>
  <c r="K2096" i="2" a="1"/>
  <c r="K2096" i="2" s="1"/>
  <c r="J2096" i="2"/>
  <c r="B2096" i="2"/>
  <c r="N2095" i="2"/>
  <c r="M2095" i="2"/>
  <c r="L2095" i="2" a="1"/>
  <c r="L2095" i="2" s="1"/>
  <c r="K2095" i="2" a="1"/>
  <c r="K2095" i="2" s="1"/>
  <c r="J2095" i="2"/>
  <c r="B2095" i="2"/>
  <c r="N2094" i="2"/>
  <c r="M2094" i="2"/>
  <c r="L2094" i="2" a="1"/>
  <c r="L2094" i="2" s="1"/>
  <c r="K2094" i="2" a="1"/>
  <c r="K2094" i="2" s="1"/>
  <c r="J2094" i="2"/>
  <c r="B2094" i="2"/>
  <c r="N2093" i="2"/>
  <c r="M2093" i="2"/>
  <c r="L2093" i="2" a="1"/>
  <c r="L2093" i="2" s="1"/>
  <c r="K2093" i="2" a="1"/>
  <c r="K2093" i="2" s="1"/>
  <c r="J2093" i="2"/>
  <c r="B2093" i="2"/>
  <c r="N2092" i="2"/>
  <c r="M2092" i="2"/>
  <c r="L2092" i="2" a="1"/>
  <c r="L2092" i="2" s="1"/>
  <c r="K2092" i="2" a="1"/>
  <c r="K2092" i="2" s="1"/>
  <c r="J2092" i="2"/>
  <c r="B2092" i="2"/>
  <c r="N2091" i="2"/>
  <c r="M2091" i="2"/>
  <c r="L2091" i="2" a="1"/>
  <c r="L2091" i="2" s="1"/>
  <c r="K2091" i="2" a="1"/>
  <c r="K2091" i="2" s="1"/>
  <c r="J2091" i="2"/>
  <c r="B2091" i="2"/>
  <c r="N2090" i="2"/>
  <c r="M2090" i="2"/>
  <c r="L2090" i="2" a="1"/>
  <c r="L2090" i="2" s="1"/>
  <c r="K2090" i="2" a="1"/>
  <c r="K2090" i="2" s="1"/>
  <c r="J2090" i="2"/>
  <c r="B2090" i="2"/>
  <c r="N2089" i="2"/>
  <c r="M2089" i="2"/>
  <c r="L2089" i="2" a="1"/>
  <c r="L2089" i="2" s="1"/>
  <c r="K2089" i="2" a="1"/>
  <c r="K2089" i="2" s="1"/>
  <c r="J2089" i="2"/>
  <c r="B2089" i="2"/>
  <c r="N2088" i="2"/>
  <c r="M2088" i="2"/>
  <c r="L2088" i="2" a="1"/>
  <c r="L2088" i="2" s="1"/>
  <c r="K2088" i="2" a="1"/>
  <c r="K2088" i="2" s="1"/>
  <c r="J2088" i="2"/>
  <c r="B2088" i="2"/>
  <c r="N2087" i="2"/>
  <c r="M2087" i="2"/>
  <c r="L2087" i="2" a="1"/>
  <c r="L2087" i="2" s="1"/>
  <c r="K2087" i="2" a="1"/>
  <c r="K2087" i="2" s="1"/>
  <c r="J2087" i="2"/>
  <c r="B2087" i="2"/>
  <c r="N2086" i="2"/>
  <c r="M2086" i="2"/>
  <c r="L2086" i="2" a="1"/>
  <c r="L2086" i="2" s="1"/>
  <c r="K2086" i="2" a="1"/>
  <c r="K2086" i="2" s="1"/>
  <c r="J2086" i="2"/>
  <c r="B2086" i="2"/>
  <c r="N2085" i="2"/>
  <c r="M2085" i="2"/>
  <c r="L2085" i="2" a="1"/>
  <c r="L2085" i="2" s="1"/>
  <c r="K2085" i="2" a="1"/>
  <c r="K2085" i="2" s="1"/>
  <c r="J2085" i="2"/>
  <c r="B2085" i="2"/>
  <c r="N2084" i="2"/>
  <c r="M2084" i="2"/>
  <c r="L2084" i="2" a="1"/>
  <c r="L2084" i="2" s="1"/>
  <c r="K2084" i="2" a="1"/>
  <c r="K2084" i="2" s="1"/>
  <c r="J2084" i="2"/>
  <c r="B2084" i="2"/>
  <c r="N2083" i="2"/>
  <c r="M2083" i="2"/>
  <c r="L2083" i="2" a="1"/>
  <c r="L2083" i="2" s="1"/>
  <c r="K2083" i="2" a="1"/>
  <c r="K2083" i="2" s="1"/>
  <c r="J2083" i="2"/>
  <c r="B2083" i="2"/>
  <c r="N2082" i="2"/>
  <c r="M2082" i="2"/>
  <c r="L2082" i="2" a="1"/>
  <c r="L2082" i="2" s="1"/>
  <c r="K2082" i="2" a="1"/>
  <c r="K2082" i="2" s="1"/>
  <c r="J2082" i="2"/>
  <c r="B2082" i="2"/>
  <c r="V2081" i="2"/>
  <c r="N2081" i="2"/>
  <c r="M2081" i="2"/>
  <c r="L2081" i="2" a="1"/>
  <c r="L2081" i="2" s="1"/>
  <c r="K2081" i="2" a="1"/>
  <c r="K2081" i="2" s="1"/>
  <c r="J2081" i="2"/>
  <c r="B2081" i="2"/>
  <c r="N2080" i="2"/>
  <c r="M2080" i="2"/>
  <c r="L2080" i="2" a="1"/>
  <c r="L2080" i="2" s="1"/>
  <c r="K2080" i="2" a="1"/>
  <c r="K2080" i="2" s="1"/>
  <c r="J2080" i="2"/>
  <c r="B2080" i="2"/>
  <c r="N2079" i="2"/>
  <c r="M2079" i="2"/>
  <c r="L2079" i="2" a="1"/>
  <c r="L2079" i="2" s="1"/>
  <c r="K2079" i="2" a="1"/>
  <c r="K2079" i="2" s="1"/>
  <c r="J2079" i="2"/>
  <c r="B2079" i="2"/>
  <c r="N2078" i="2"/>
  <c r="M2078" i="2"/>
  <c r="L2078" i="2" a="1"/>
  <c r="L2078" i="2" s="1"/>
  <c r="K2078" i="2" a="1"/>
  <c r="K2078" i="2" s="1"/>
  <c r="J2078" i="2"/>
  <c r="B2078" i="2"/>
  <c r="N2077" i="2"/>
  <c r="M2077" i="2"/>
  <c r="L2077" i="2" a="1"/>
  <c r="L2077" i="2" s="1"/>
  <c r="K2077" i="2" a="1"/>
  <c r="K2077" i="2" s="1"/>
  <c r="J2077" i="2"/>
  <c r="B2077" i="2"/>
  <c r="N2076" i="2"/>
  <c r="M2076" i="2"/>
  <c r="L2076" i="2" a="1"/>
  <c r="L2076" i="2" s="1"/>
  <c r="K2076" i="2" a="1"/>
  <c r="K2076" i="2" s="1"/>
  <c r="J2076" i="2"/>
  <c r="B2076" i="2"/>
  <c r="N2075" i="2"/>
  <c r="M2075" i="2"/>
  <c r="L2075" i="2" a="1"/>
  <c r="L2075" i="2" s="1"/>
  <c r="K2075" i="2" a="1"/>
  <c r="K2075" i="2" s="1"/>
  <c r="J2075" i="2"/>
  <c r="B2075" i="2"/>
  <c r="N2074" i="2"/>
  <c r="M2074" i="2"/>
  <c r="L2074" i="2" a="1"/>
  <c r="L2074" i="2" s="1"/>
  <c r="K2074" i="2" a="1"/>
  <c r="K2074" i="2" s="1"/>
  <c r="J2074" i="2"/>
  <c r="B2074" i="2"/>
  <c r="U2073" i="2"/>
  <c r="A2072" i="2"/>
  <c r="J2071" i="2"/>
  <c r="N2070" i="2"/>
  <c r="M2070" i="2"/>
  <c r="L2070" i="2" a="1"/>
  <c r="L2070" i="2" s="1"/>
  <c r="K2070" i="2" a="1"/>
  <c r="K2070" i="2" s="1"/>
  <c r="J2070" i="2"/>
  <c r="B2070" i="2"/>
  <c r="N2069" i="2"/>
  <c r="M2069" i="2"/>
  <c r="L2069" i="2" a="1"/>
  <c r="L2069" i="2" s="1"/>
  <c r="K2069" i="2" a="1"/>
  <c r="K2069" i="2" s="1"/>
  <c r="J2069" i="2"/>
  <c r="B2069" i="2"/>
  <c r="N2068" i="2"/>
  <c r="M2068" i="2"/>
  <c r="L2068" i="2" a="1"/>
  <c r="L2068" i="2" s="1"/>
  <c r="K2068" i="2" a="1"/>
  <c r="K2068" i="2" s="1"/>
  <c r="J2068" i="2"/>
  <c r="B2068" i="2"/>
  <c r="N2067" i="2"/>
  <c r="M2067" i="2"/>
  <c r="L2067" i="2" a="1"/>
  <c r="L2067" i="2" s="1"/>
  <c r="K2067" i="2" a="1"/>
  <c r="K2067" i="2" s="1"/>
  <c r="J2067" i="2"/>
  <c r="B2067" i="2"/>
  <c r="N2066" i="2"/>
  <c r="M2066" i="2"/>
  <c r="L2066" i="2" a="1"/>
  <c r="L2066" i="2" s="1"/>
  <c r="K2066" i="2" a="1"/>
  <c r="K2066" i="2" s="1"/>
  <c r="J2066" i="2"/>
  <c r="B2066" i="2"/>
  <c r="N2065" i="2"/>
  <c r="M2065" i="2"/>
  <c r="L2065" i="2" a="1"/>
  <c r="L2065" i="2" s="1"/>
  <c r="K2065" i="2" a="1"/>
  <c r="K2065" i="2" s="1"/>
  <c r="J2065" i="2"/>
  <c r="B2065" i="2"/>
  <c r="N2064" i="2"/>
  <c r="M2064" i="2"/>
  <c r="L2064" i="2" a="1"/>
  <c r="L2064" i="2" s="1"/>
  <c r="K2064" i="2" a="1"/>
  <c r="K2064" i="2" s="1"/>
  <c r="J2064" i="2"/>
  <c r="B2064" i="2"/>
  <c r="N2063" i="2"/>
  <c r="M2063" i="2"/>
  <c r="L2063" i="2" a="1"/>
  <c r="L2063" i="2" s="1"/>
  <c r="K2063" i="2" a="1"/>
  <c r="K2063" i="2" s="1"/>
  <c r="J2063" i="2"/>
  <c r="B2063" i="2"/>
  <c r="N2062" i="2"/>
  <c r="M2062" i="2"/>
  <c r="L2062" i="2" a="1"/>
  <c r="L2062" i="2" s="1"/>
  <c r="K2062" i="2" a="1"/>
  <c r="K2062" i="2" s="1"/>
  <c r="J2062" i="2"/>
  <c r="B2062" i="2"/>
  <c r="N2061" i="2"/>
  <c r="M2061" i="2"/>
  <c r="L2061" i="2" a="1"/>
  <c r="L2061" i="2" s="1"/>
  <c r="K2061" i="2" a="1"/>
  <c r="K2061" i="2" s="1"/>
  <c r="J2061" i="2"/>
  <c r="B2061" i="2"/>
  <c r="N2060" i="2"/>
  <c r="M2060" i="2"/>
  <c r="L2060" i="2" a="1"/>
  <c r="L2060" i="2" s="1"/>
  <c r="K2060" i="2" a="1"/>
  <c r="K2060" i="2" s="1"/>
  <c r="J2060" i="2"/>
  <c r="B2060" i="2"/>
  <c r="N2059" i="2"/>
  <c r="M2059" i="2"/>
  <c r="L2059" i="2" a="1"/>
  <c r="L2059" i="2" s="1"/>
  <c r="K2059" i="2" a="1"/>
  <c r="K2059" i="2" s="1"/>
  <c r="J2059" i="2"/>
  <c r="B2059" i="2"/>
  <c r="N2058" i="2"/>
  <c r="M2058" i="2"/>
  <c r="L2058" i="2" a="1"/>
  <c r="L2058" i="2" s="1"/>
  <c r="K2058" i="2" a="1"/>
  <c r="K2058" i="2" s="1"/>
  <c r="J2058" i="2"/>
  <c r="B2058" i="2"/>
  <c r="N2057" i="2"/>
  <c r="M2057" i="2"/>
  <c r="L2057" i="2" a="1"/>
  <c r="L2057" i="2" s="1"/>
  <c r="K2057" i="2" a="1"/>
  <c r="K2057" i="2" s="1"/>
  <c r="J2057" i="2"/>
  <c r="B2057" i="2"/>
  <c r="N2056" i="2"/>
  <c r="M2056" i="2"/>
  <c r="L2056" i="2" a="1"/>
  <c r="L2056" i="2" s="1"/>
  <c r="K2056" i="2" a="1"/>
  <c r="K2056" i="2" s="1"/>
  <c r="J2056" i="2"/>
  <c r="B2056" i="2"/>
  <c r="N2055" i="2"/>
  <c r="M2055" i="2"/>
  <c r="L2055" i="2" a="1"/>
  <c r="L2055" i="2" s="1"/>
  <c r="K2055" i="2" a="1"/>
  <c r="K2055" i="2" s="1"/>
  <c r="J2055" i="2"/>
  <c r="B2055" i="2"/>
  <c r="N2054" i="2"/>
  <c r="M2054" i="2"/>
  <c r="L2054" i="2" a="1"/>
  <c r="L2054" i="2" s="1"/>
  <c r="K2054" i="2" a="1"/>
  <c r="K2054" i="2" s="1"/>
  <c r="J2054" i="2"/>
  <c r="B2054" i="2"/>
  <c r="N2053" i="2"/>
  <c r="M2053" i="2"/>
  <c r="L2053" i="2" a="1"/>
  <c r="L2053" i="2" s="1"/>
  <c r="K2053" i="2" a="1"/>
  <c r="K2053" i="2" s="1"/>
  <c r="J2053" i="2"/>
  <c r="B2053" i="2"/>
  <c r="N2052" i="2"/>
  <c r="M2052" i="2"/>
  <c r="L2052" i="2" a="1"/>
  <c r="L2052" i="2" s="1"/>
  <c r="K2052" i="2" a="1"/>
  <c r="K2052" i="2" s="1"/>
  <c r="J2052" i="2"/>
  <c r="B2052" i="2"/>
  <c r="N2051" i="2"/>
  <c r="M2051" i="2"/>
  <c r="L2051" i="2" a="1"/>
  <c r="L2051" i="2" s="1"/>
  <c r="K2051" i="2" a="1"/>
  <c r="K2051" i="2" s="1"/>
  <c r="J2051" i="2"/>
  <c r="B2051" i="2"/>
  <c r="N2050" i="2"/>
  <c r="M2050" i="2"/>
  <c r="L2050" i="2" a="1"/>
  <c r="L2050" i="2" s="1"/>
  <c r="K2050" i="2" a="1"/>
  <c r="K2050" i="2" s="1"/>
  <c r="J2050" i="2"/>
  <c r="B2050" i="2"/>
  <c r="N2049" i="2"/>
  <c r="M2049" i="2"/>
  <c r="L2049" i="2" a="1"/>
  <c r="L2049" i="2" s="1"/>
  <c r="K2049" i="2" a="1"/>
  <c r="K2049" i="2" s="1"/>
  <c r="J2049" i="2"/>
  <c r="B2049" i="2"/>
  <c r="N2048" i="2"/>
  <c r="M2048" i="2"/>
  <c r="L2048" i="2" a="1"/>
  <c r="L2048" i="2" s="1"/>
  <c r="K2048" i="2" a="1"/>
  <c r="K2048" i="2" s="1"/>
  <c r="J2048" i="2"/>
  <c r="B2048" i="2"/>
  <c r="N2047" i="2"/>
  <c r="M2047" i="2"/>
  <c r="L2047" i="2" a="1"/>
  <c r="L2047" i="2" s="1"/>
  <c r="K2047" i="2" a="1"/>
  <c r="K2047" i="2" s="1"/>
  <c r="J2047" i="2"/>
  <c r="B2047" i="2"/>
  <c r="N2046" i="2"/>
  <c r="M2046" i="2"/>
  <c r="L2046" i="2" a="1"/>
  <c r="L2046" i="2" s="1"/>
  <c r="K2046" i="2" a="1"/>
  <c r="K2046" i="2" s="1"/>
  <c r="J2046" i="2"/>
  <c r="B2046" i="2"/>
  <c r="N2045" i="2"/>
  <c r="M2045" i="2"/>
  <c r="L2045" i="2" a="1"/>
  <c r="L2045" i="2" s="1"/>
  <c r="K2045" i="2" a="1"/>
  <c r="K2045" i="2" s="1"/>
  <c r="J2045" i="2"/>
  <c r="B2045" i="2"/>
  <c r="N2044" i="2"/>
  <c r="M2044" i="2"/>
  <c r="L2044" i="2" a="1"/>
  <c r="L2044" i="2" s="1"/>
  <c r="K2044" i="2" a="1"/>
  <c r="K2044" i="2" s="1"/>
  <c r="J2044" i="2"/>
  <c r="B2044" i="2"/>
  <c r="N2043" i="2"/>
  <c r="M2043" i="2"/>
  <c r="L2043" i="2" a="1"/>
  <c r="L2043" i="2" s="1"/>
  <c r="K2043" i="2" a="1"/>
  <c r="K2043" i="2" s="1"/>
  <c r="J2043" i="2"/>
  <c r="B2043" i="2"/>
  <c r="N2042" i="2"/>
  <c r="M2042" i="2"/>
  <c r="L2042" i="2" a="1"/>
  <c r="L2042" i="2" s="1"/>
  <c r="K2042" i="2" a="1"/>
  <c r="K2042" i="2" s="1"/>
  <c r="J2042" i="2"/>
  <c r="B2042" i="2"/>
  <c r="N2041" i="2"/>
  <c r="M2041" i="2"/>
  <c r="L2041" i="2" a="1"/>
  <c r="L2041" i="2" s="1"/>
  <c r="K2041" i="2" a="1"/>
  <c r="K2041" i="2" s="1"/>
  <c r="J2041" i="2"/>
  <c r="B2041" i="2"/>
  <c r="N2040" i="2"/>
  <c r="M2040" i="2"/>
  <c r="L2040" i="2" a="1"/>
  <c r="L2040" i="2" s="1"/>
  <c r="K2040" i="2" a="1"/>
  <c r="K2040" i="2" s="1"/>
  <c r="J2040" i="2"/>
  <c r="B2040" i="2"/>
  <c r="N2039" i="2"/>
  <c r="M2039" i="2"/>
  <c r="L2039" i="2" a="1"/>
  <c r="L2039" i="2" s="1"/>
  <c r="K2039" i="2" a="1"/>
  <c r="K2039" i="2" s="1"/>
  <c r="J2039" i="2"/>
  <c r="B2039" i="2"/>
  <c r="N2038" i="2"/>
  <c r="M2038" i="2"/>
  <c r="L2038" i="2" a="1"/>
  <c r="L2038" i="2" s="1"/>
  <c r="K2038" i="2" a="1"/>
  <c r="K2038" i="2" s="1"/>
  <c r="J2038" i="2"/>
  <c r="B2038" i="2"/>
  <c r="N2037" i="2"/>
  <c r="M2037" i="2"/>
  <c r="L2037" i="2" a="1"/>
  <c r="L2037" i="2" s="1"/>
  <c r="K2037" i="2" a="1"/>
  <c r="K2037" i="2" s="1"/>
  <c r="J2037" i="2"/>
  <c r="B2037" i="2"/>
  <c r="N2036" i="2"/>
  <c r="M2036" i="2"/>
  <c r="L2036" i="2" a="1"/>
  <c r="L2036" i="2" s="1"/>
  <c r="K2036" i="2" a="1"/>
  <c r="K2036" i="2" s="1"/>
  <c r="J2036" i="2"/>
  <c r="B2036" i="2"/>
  <c r="N2035" i="2"/>
  <c r="M2035" i="2"/>
  <c r="L2035" i="2" a="1"/>
  <c r="L2035" i="2" s="1"/>
  <c r="K2035" i="2" a="1"/>
  <c r="K2035" i="2" s="1"/>
  <c r="J2035" i="2"/>
  <c r="B2035" i="2"/>
  <c r="N2034" i="2"/>
  <c r="M2034" i="2"/>
  <c r="L2034" i="2" a="1"/>
  <c r="L2034" i="2" s="1"/>
  <c r="K2034" i="2" a="1"/>
  <c r="K2034" i="2" s="1"/>
  <c r="J2034" i="2"/>
  <c r="B2034" i="2"/>
  <c r="N2033" i="2"/>
  <c r="M2033" i="2"/>
  <c r="L2033" i="2" a="1"/>
  <c r="L2033" i="2" s="1"/>
  <c r="K2033" i="2" a="1"/>
  <c r="K2033" i="2" s="1"/>
  <c r="J2033" i="2"/>
  <c r="B2033" i="2"/>
  <c r="N2032" i="2"/>
  <c r="M2032" i="2"/>
  <c r="L2032" i="2" a="1"/>
  <c r="L2032" i="2" s="1"/>
  <c r="K2032" i="2" a="1"/>
  <c r="K2032" i="2" s="1"/>
  <c r="J2032" i="2"/>
  <c r="B2032" i="2"/>
  <c r="N2031" i="2"/>
  <c r="M2031" i="2"/>
  <c r="L2031" i="2" a="1"/>
  <c r="L2031" i="2" s="1"/>
  <c r="K2031" i="2" a="1"/>
  <c r="K2031" i="2" s="1"/>
  <c r="J2031" i="2"/>
  <c r="B2031" i="2"/>
  <c r="N2030" i="2"/>
  <c r="M2030" i="2"/>
  <c r="L2030" i="2" a="1"/>
  <c r="L2030" i="2" s="1"/>
  <c r="K2030" i="2" a="1"/>
  <c r="K2030" i="2" s="1"/>
  <c r="J2030" i="2"/>
  <c r="B2030" i="2"/>
  <c r="N2029" i="2"/>
  <c r="M2029" i="2"/>
  <c r="L2029" i="2" a="1"/>
  <c r="L2029" i="2" s="1"/>
  <c r="K2029" i="2" a="1"/>
  <c r="K2029" i="2" s="1"/>
  <c r="J2029" i="2"/>
  <c r="B2029" i="2"/>
  <c r="N2028" i="2"/>
  <c r="M2028" i="2"/>
  <c r="L2028" i="2" a="1"/>
  <c r="L2028" i="2" s="1"/>
  <c r="K2028" i="2" a="1"/>
  <c r="K2028" i="2" s="1"/>
  <c r="J2028" i="2"/>
  <c r="B2028" i="2"/>
  <c r="N2027" i="2"/>
  <c r="M2027" i="2"/>
  <c r="L2027" i="2" a="1"/>
  <c r="L2027" i="2" s="1"/>
  <c r="K2027" i="2" a="1"/>
  <c r="K2027" i="2" s="1"/>
  <c r="J2027" i="2"/>
  <c r="B2027" i="2"/>
  <c r="N2026" i="2"/>
  <c r="M2026" i="2"/>
  <c r="L2026" i="2" a="1"/>
  <c r="L2026" i="2" s="1"/>
  <c r="K2026" i="2" a="1"/>
  <c r="K2026" i="2" s="1"/>
  <c r="J2026" i="2"/>
  <c r="B2026" i="2"/>
  <c r="N2025" i="2"/>
  <c r="M2025" i="2"/>
  <c r="L2025" i="2" a="1"/>
  <c r="L2025" i="2" s="1"/>
  <c r="K2025" i="2" a="1"/>
  <c r="K2025" i="2" s="1"/>
  <c r="J2025" i="2"/>
  <c r="B2025" i="2"/>
  <c r="N2024" i="2"/>
  <c r="M2024" i="2"/>
  <c r="L2024" i="2" a="1"/>
  <c r="L2024" i="2" s="1"/>
  <c r="K2024" i="2" a="1"/>
  <c r="K2024" i="2" s="1"/>
  <c r="J2024" i="2"/>
  <c r="B2024" i="2"/>
  <c r="N2023" i="2"/>
  <c r="M2023" i="2"/>
  <c r="L2023" i="2" a="1"/>
  <c r="L2023" i="2" s="1"/>
  <c r="K2023" i="2" a="1"/>
  <c r="K2023" i="2" s="1"/>
  <c r="J2023" i="2"/>
  <c r="B2023" i="2"/>
  <c r="N2022" i="2"/>
  <c r="M2022" i="2"/>
  <c r="L2022" i="2" a="1"/>
  <c r="L2022" i="2" s="1"/>
  <c r="K2022" i="2" a="1"/>
  <c r="K2022" i="2" s="1"/>
  <c r="J2022" i="2"/>
  <c r="B2022" i="2"/>
  <c r="N2021" i="2"/>
  <c r="M2021" i="2"/>
  <c r="L2021" i="2" a="1"/>
  <c r="L2021" i="2" s="1"/>
  <c r="K2021" i="2" a="1"/>
  <c r="K2021" i="2" s="1"/>
  <c r="J2021" i="2"/>
  <c r="B2021" i="2"/>
  <c r="N2020" i="2"/>
  <c r="M2020" i="2"/>
  <c r="L2020" i="2" a="1"/>
  <c r="L2020" i="2" s="1"/>
  <c r="K2020" i="2" a="1"/>
  <c r="K2020" i="2" s="1"/>
  <c r="J2020" i="2"/>
  <c r="B2020" i="2"/>
  <c r="N2019" i="2"/>
  <c r="M2019" i="2"/>
  <c r="L2019" i="2" a="1"/>
  <c r="L2019" i="2" s="1"/>
  <c r="K2019" i="2" a="1"/>
  <c r="K2019" i="2" s="1"/>
  <c r="J2019" i="2"/>
  <c r="B2019" i="2"/>
  <c r="N2018" i="2"/>
  <c r="M2018" i="2"/>
  <c r="L2018" i="2" a="1"/>
  <c r="L2018" i="2" s="1"/>
  <c r="K2018" i="2" a="1"/>
  <c r="K2018" i="2" s="1"/>
  <c r="J2018" i="2"/>
  <c r="B2018" i="2"/>
  <c r="N2017" i="2"/>
  <c r="M2017" i="2"/>
  <c r="L2017" i="2" a="1"/>
  <c r="L2017" i="2" s="1"/>
  <c r="K2017" i="2" a="1"/>
  <c r="K2017" i="2" s="1"/>
  <c r="J2017" i="2"/>
  <c r="B2017" i="2"/>
  <c r="N2016" i="2"/>
  <c r="M2016" i="2"/>
  <c r="L2016" i="2" a="1"/>
  <c r="L2016" i="2" s="1"/>
  <c r="K2016" i="2" a="1"/>
  <c r="K2016" i="2" s="1"/>
  <c r="J2016" i="2"/>
  <c r="B2016" i="2"/>
  <c r="N2015" i="2"/>
  <c r="M2015" i="2"/>
  <c r="L2015" i="2" a="1"/>
  <c r="L2015" i="2" s="1"/>
  <c r="K2015" i="2" a="1"/>
  <c r="K2015" i="2" s="1"/>
  <c r="J2015" i="2"/>
  <c r="B2015" i="2"/>
  <c r="N2014" i="2"/>
  <c r="M2014" i="2"/>
  <c r="L2014" i="2" a="1"/>
  <c r="L2014" i="2" s="1"/>
  <c r="K2014" i="2" a="1"/>
  <c r="K2014" i="2" s="1"/>
  <c r="J2014" i="2"/>
  <c r="B2014" i="2"/>
  <c r="N2013" i="2"/>
  <c r="M2013" i="2"/>
  <c r="L2013" i="2" a="1"/>
  <c r="L2013" i="2" s="1"/>
  <c r="K2013" i="2" a="1"/>
  <c r="K2013" i="2" s="1"/>
  <c r="J2013" i="2"/>
  <c r="B2013" i="2"/>
  <c r="N2012" i="2"/>
  <c r="M2012" i="2"/>
  <c r="L2012" i="2" a="1"/>
  <c r="L2012" i="2" s="1"/>
  <c r="K2012" i="2" a="1"/>
  <c r="K2012" i="2" s="1"/>
  <c r="J2012" i="2"/>
  <c r="B2012" i="2"/>
  <c r="N2011" i="2"/>
  <c r="M2011" i="2"/>
  <c r="L2011" i="2" a="1"/>
  <c r="L2011" i="2" s="1"/>
  <c r="K2011" i="2" a="1"/>
  <c r="K2011" i="2" s="1"/>
  <c r="J2011" i="2"/>
  <c r="B2011" i="2"/>
  <c r="N2010" i="2"/>
  <c r="M2010" i="2"/>
  <c r="L2010" i="2" a="1"/>
  <c r="L2010" i="2" s="1"/>
  <c r="K2010" i="2" a="1"/>
  <c r="K2010" i="2" s="1"/>
  <c r="J2010" i="2"/>
  <c r="B2010" i="2"/>
  <c r="N2009" i="2"/>
  <c r="M2009" i="2"/>
  <c r="L2009" i="2" a="1"/>
  <c r="L2009" i="2" s="1"/>
  <c r="K2009" i="2" a="1"/>
  <c r="K2009" i="2" s="1"/>
  <c r="J2009" i="2"/>
  <c r="B2009" i="2"/>
  <c r="N2008" i="2"/>
  <c r="M2008" i="2"/>
  <c r="L2008" i="2" a="1"/>
  <c r="L2008" i="2" s="1"/>
  <c r="K2008" i="2" a="1"/>
  <c r="K2008" i="2" s="1"/>
  <c r="J2008" i="2"/>
  <c r="B2008" i="2"/>
  <c r="N2007" i="2"/>
  <c r="M2007" i="2"/>
  <c r="L2007" i="2" a="1"/>
  <c r="L2007" i="2" s="1"/>
  <c r="K2007" i="2" a="1"/>
  <c r="K2007" i="2" s="1"/>
  <c r="J2007" i="2"/>
  <c r="B2007" i="2"/>
  <c r="N2006" i="2"/>
  <c r="M2006" i="2"/>
  <c r="L2006" i="2" a="1"/>
  <c r="L2006" i="2" s="1"/>
  <c r="K2006" i="2" a="1"/>
  <c r="K2006" i="2" s="1"/>
  <c r="J2006" i="2"/>
  <c r="B2006" i="2"/>
  <c r="N2005" i="2"/>
  <c r="M2005" i="2"/>
  <c r="L2005" i="2" a="1"/>
  <c r="L2005" i="2" s="1"/>
  <c r="K2005" i="2" a="1"/>
  <c r="K2005" i="2" s="1"/>
  <c r="J2005" i="2"/>
  <c r="B2005" i="2"/>
  <c r="N2004" i="2"/>
  <c r="M2004" i="2"/>
  <c r="L2004" i="2" a="1"/>
  <c r="L2004" i="2" s="1"/>
  <c r="K2004" i="2" a="1"/>
  <c r="K2004" i="2" s="1"/>
  <c r="J2004" i="2"/>
  <c r="B2004" i="2"/>
  <c r="N2003" i="2"/>
  <c r="M2003" i="2"/>
  <c r="L2003" i="2" a="1"/>
  <c r="L2003" i="2" s="1"/>
  <c r="K2003" i="2" a="1"/>
  <c r="K2003" i="2" s="1"/>
  <c r="J2003" i="2"/>
  <c r="B2003" i="2"/>
  <c r="N2002" i="2"/>
  <c r="M2002" i="2"/>
  <c r="L2002" i="2" a="1"/>
  <c r="L2002" i="2" s="1"/>
  <c r="K2002" i="2" a="1"/>
  <c r="K2002" i="2" s="1"/>
  <c r="J2002" i="2"/>
  <c r="B2002" i="2"/>
  <c r="N2001" i="2"/>
  <c r="M2001" i="2"/>
  <c r="L2001" i="2" a="1"/>
  <c r="L2001" i="2" s="1"/>
  <c r="K2001" i="2" a="1"/>
  <c r="K2001" i="2" s="1"/>
  <c r="J2001" i="2"/>
  <c r="B2001" i="2"/>
  <c r="N2000" i="2"/>
  <c r="M2000" i="2"/>
  <c r="L2000" i="2" a="1"/>
  <c r="L2000" i="2" s="1"/>
  <c r="K2000" i="2" a="1"/>
  <c r="K2000" i="2" s="1"/>
  <c r="J2000" i="2"/>
  <c r="B2000" i="2"/>
  <c r="N1999" i="2"/>
  <c r="M1999" i="2"/>
  <c r="L1999" i="2" a="1"/>
  <c r="L1999" i="2" s="1"/>
  <c r="K1999" i="2" a="1"/>
  <c r="K1999" i="2" s="1"/>
  <c r="J1999" i="2"/>
  <c r="B1999" i="2"/>
  <c r="N1998" i="2"/>
  <c r="M1998" i="2"/>
  <c r="L1998" i="2" a="1"/>
  <c r="L1998" i="2" s="1"/>
  <c r="K1998" i="2" a="1"/>
  <c r="K1998" i="2" s="1"/>
  <c r="J1998" i="2"/>
  <c r="B1998" i="2"/>
  <c r="N1997" i="2"/>
  <c r="M1997" i="2"/>
  <c r="L1997" i="2" a="1"/>
  <c r="L1997" i="2" s="1"/>
  <c r="K1997" i="2" a="1"/>
  <c r="K1997" i="2" s="1"/>
  <c r="J1997" i="2"/>
  <c r="B1997" i="2"/>
  <c r="N1996" i="2"/>
  <c r="M1996" i="2"/>
  <c r="L1996" i="2" a="1"/>
  <c r="L1996" i="2" s="1"/>
  <c r="K1996" i="2" a="1"/>
  <c r="K1996" i="2" s="1"/>
  <c r="J1996" i="2"/>
  <c r="B1996" i="2"/>
  <c r="N1995" i="2"/>
  <c r="M1995" i="2"/>
  <c r="L1995" i="2" a="1"/>
  <c r="L1995" i="2" s="1"/>
  <c r="K1995" i="2" a="1"/>
  <c r="K1995" i="2" s="1"/>
  <c r="J1995" i="2"/>
  <c r="B1995" i="2"/>
  <c r="N1994" i="2"/>
  <c r="M1994" i="2"/>
  <c r="L1994" i="2" a="1"/>
  <c r="L1994" i="2" s="1"/>
  <c r="K1994" i="2" a="1"/>
  <c r="K1994" i="2" s="1"/>
  <c r="J1994" i="2"/>
  <c r="B1994" i="2"/>
  <c r="N1993" i="2"/>
  <c r="M1993" i="2"/>
  <c r="L1993" i="2" a="1"/>
  <c r="L1993" i="2" s="1"/>
  <c r="K1993" i="2" a="1"/>
  <c r="K1993" i="2" s="1"/>
  <c r="J1993" i="2"/>
  <c r="B1993" i="2"/>
  <c r="N1992" i="2"/>
  <c r="M1992" i="2"/>
  <c r="L1992" i="2" a="1"/>
  <c r="L1992" i="2" s="1"/>
  <c r="K1992" i="2" a="1"/>
  <c r="K1992" i="2" s="1"/>
  <c r="J1992" i="2"/>
  <c r="B1992" i="2"/>
  <c r="N1991" i="2"/>
  <c r="M1991" i="2"/>
  <c r="L1991" i="2" a="1"/>
  <c r="L1991" i="2" s="1"/>
  <c r="K1991" i="2" a="1"/>
  <c r="K1991" i="2" s="1"/>
  <c r="J1991" i="2"/>
  <c r="B1991" i="2"/>
  <c r="N1990" i="2"/>
  <c r="M1990" i="2"/>
  <c r="L1990" i="2" a="1"/>
  <c r="L1990" i="2" s="1"/>
  <c r="K1990" i="2" a="1"/>
  <c r="K1990" i="2" s="1"/>
  <c r="J1990" i="2"/>
  <c r="B1990" i="2"/>
  <c r="N1989" i="2"/>
  <c r="M1989" i="2"/>
  <c r="L1989" i="2" a="1"/>
  <c r="L1989" i="2" s="1"/>
  <c r="K1989" i="2" a="1"/>
  <c r="K1989" i="2" s="1"/>
  <c r="J1989" i="2"/>
  <c r="B1989" i="2"/>
  <c r="N1988" i="2"/>
  <c r="M1988" i="2"/>
  <c r="L1988" i="2" a="1"/>
  <c r="L1988" i="2" s="1"/>
  <c r="K1988" i="2" a="1"/>
  <c r="K1988" i="2" s="1"/>
  <c r="J1988" i="2"/>
  <c r="B1988" i="2"/>
  <c r="N1987" i="2"/>
  <c r="M1987" i="2"/>
  <c r="L1987" i="2" a="1"/>
  <c r="L1987" i="2" s="1"/>
  <c r="K1987" i="2" a="1"/>
  <c r="K1987" i="2" s="1"/>
  <c r="J1987" i="2"/>
  <c r="B1987" i="2"/>
  <c r="N1986" i="2"/>
  <c r="M1986" i="2"/>
  <c r="L1986" i="2" a="1"/>
  <c r="L1986" i="2" s="1"/>
  <c r="K1986" i="2" a="1"/>
  <c r="K1986" i="2" s="1"/>
  <c r="J1986" i="2"/>
  <c r="B1986" i="2"/>
  <c r="N1985" i="2"/>
  <c r="M1985" i="2"/>
  <c r="L1985" i="2" a="1"/>
  <c r="L1985" i="2" s="1"/>
  <c r="K1985" i="2" a="1"/>
  <c r="K1985" i="2" s="1"/>
  <c r="J1985" i="2"/>
  <c r="B1985" i="2"/>
  <c r="N1984" i="2"/>
  <c r="M1984" i="2"/>
  <c r="L1984" i="2" a="1"/>
  <c r="L1984" i="2" s="1"/>
  <c r="K1984" i="2" a="1"/>
  <c r="K1984" i="2" s="1"/>
  <c r="J1984" i="2"/>
  <c r="B1984" i="2"/>
  <c r="N1983" i="2"/>
  <c r="M1983" i="2"/>
  <c r="L1983" i="2" a="1"/>
  <c r="L1983" i="2" s="1"/>
  <c r="K1983" i="2" a="1"/>
  <c r="K1983" i="2" s="1"/>
  <c r="J1983" i="2"/>
  <c r="B1983" i="2"/>
  <c r="N1982" i="2"/>
  <c r="M1982" i="2"/>
  <c r="L1982" i="2" a="1"/>
  <c r="L1982" i="2" s="1"/>
  <c r="K1982" i="2" a="1"/>
  <c r="K1982" i="2" s="1"/>
  <c r="J1982" i="2"/>
  <c r="B1982" i="2"/>
  <c r="N1981" i="2"/>
  <c r="M1981" i="2"/>
  <c r="L1981" i="2" a="1"/>
  <c r="L1981" i="2" s="1"/>
  <c r="K1981" i="2" a="1"/>
  <c r="K1981" i="2" s="1"/>
  <c r="J1981" i="2"/>
  <c r="B1981" i="2"/>
  <c r="N1980" i="2"/>
  <c r="M1980" i="2"/>
  <c r="L1980" i="2" a="1"/>
  <c r="L1980" i="2" s="1"/>
  <c r="K1980" i="2" a="1"/>
  <c r="K1980" i="2" s="1"/>
  <c r="J1980" i="2"/>
  <c r="B1980" i="2"/>
  <c r="N1979" i="2"/>
  <c r="M1979" i="2"/>
  <c r="L1979" i="2" a="1"/>
  <c r="L1979" i="2" s="1"/>
  <c r="K1979" i="2" a="1"/>
  <c r="K1979" i="2" s="1"/>
  <c r="J1979" i="2"/>
  <c r="B1979" i="2"/>
  <c r="V1978" i="2"/>
  <c r="N1978" i="2"/>
  <c r="M1978" i="2"/>
  <c r="L1978" i="2" a="1"/>
  <c r="L1978" i="2" s="1"/>
  <c r="K1978" i="2" a="1"/>
  <c r="K1978" i="2" s="1"/>
  <c r="J1978" i="2"/>
  <c r="B1978" i="2"/>
  <c r="N1977" i="2"/>
  <c r="M1977" i="2"/>
  <c r="L1977" i="2" a="1"/>
  <c r="L1977" i="2" s="1"/>
  <c r="K1977" i="2" a="1"/>
  <c r="K1977" i="2" s="1"/>
  <c r="J1977" i="2"/>
  <c r="B1977" i="2"/>
  <c r="N1976" i="2"/>
  <c r="M1976" i="2"/>
  <c r="L1976" i="2" a="1"/>
  <c r="L1976" i="2" s="1"/>
  <c r="K1976" i="2" a="1"/>
  <c r="K1976" i="2" s="1"/>
  <c r="J1976" i="2"/>
  <c r="B1976" i="2"/>
  <c r="N1975" i="2"/>
  <c r="M1975" i="2"/>
  <c r="L1975" i="2" a="1"/>
  <c r="L1975" i="2" s="1"/>
  <c r="K1975" i="2" a="1"/>
  <c r="K1975" i="2" s="1"/>
  <c r="J1975" i="2"/>
  <c r="B1975" i="2"/>
  <c r="N1974" i="2"/>
  <c r="M1974" i="2"/>
  <c r="L1974" i="2" a="1"/>
  <c r="L1974" i="2" s="1"/>
  <c r="K1974" i="2" a="1"/>
  <c r="K1974" i="2" s="1"/>
  <c r="J1974" i="2"/>
  <c r="B1974" i="2"/>
  <c r="N1973" i="2"/>
  <c r="M1973" i="2"/>
  <c r="L1973" i="2" a="1"/>
  <c r="L1973" i="2" s="1"/>
  <c r="K1973" i="2" a="1"/>
  <c r="K1973" i="2" s="1"/>
  <c r="J1973" i="2"/>
  <c r="B1973" i="2"/>
  <c r="N1972" i="2"/>
  <c r="M1972" i="2"/>
  <c r="L1972" i="2" a="1"/>
  <c r="L1972" i="2" s="1"/>
  <c r="K1972" i="2" a="1"/>
  <c r="K1972" i="2" s="1"/>
  <c r="J1972" i="2"/>
  <c r="B1972" i="2"/>
  <c r="N1971" i="2"/>
  <c r="M1971" i="2"/>
  <c r="L1971" i="2" a="1"/>
  <c r="L1971" i="2" s="1"/>
  <c r="K1971" i="2" a="1"/>
  <c r="K1971" i="2" s="1"/>
  <c r="J1971" i="2"/>
  <c r="B1971" i="2"/>
  <c r="U1970" i="2"/>
  <c r="A1969" i="2"/>
  <c r="J1968" i="2"/>
  <c r="N1967" i="2"/>
  <c r="M1967" i="2"/>
  <c r="L1967" i="2" a="1"/>
  <c r="L1967" i="2" s="1"/>
  <c r="K1967" i="2" a="1"/>
  <c r="K1967" i="2" s="1"/>
  <c r="J1967" i="2"/>
  <c r="B1967" i="2"/>
  <c r="N1966" i="2"/>
  <c r="M1966" i="2"/>
  <c r="L1966" i="2" a="1"/>
  <c r="L1966" i="2" s="1"/>
  <c r="K1966" i="2" a="1"/>
  <c r="K1966" i="2" s="1"/>
  <c r="J1966" i="2"/>
  <c r="B1966" i="2"/>
  <c r="N1965" i="2"/>
  <c r="M1965" i="2"/>
  <c r="L1965" i="2" a="1"/>
  <c r="L1965" i="2" s="1"/>
  <c r="K1965" i="2" a="1"/>
  <c r="K1965" i="2" s="1"/>
  <c r="J1965" i="2"/>
  <c r="B1965" i="2"/>
  <c r="N1964" i="2"/>
  <c r="M1964" i="2"/>
  <c r="L1964" i="2" a="1"/>
  <c r="L1964" i="2" s="1"/>
  <c r="K1964" i="2" a="1"/>
  <c r="K1964" i="2" s="1"/>
  <c r="J1964" i="2"/>
  <c r="B1964" i="2"/>
  <c r="N1963" i="2"/>
  <c r="M1963" i="2"/>
  <c r="L1963" i="2" a="1"/>
  <c r="L1963" i="2" s="1"/>
  <c r="K1963" i="2" a="1"/>
  <c r="K1963" i="2" s="1"/>
  <c r="J1963" i="2"/>
  <c r="B1963" i="2"/>
  <c r="N1962" i="2"/>
  <c r="M1962" i="2"/>
  <c r="L1962" i="2" a="1"/>
  <c r="L1962" i="2" s="1"/>
  <c r="K1962" i="2" a="1"/>
  <c r="K1962" i="2" s="1"/>
  <c r="J1962" i="2"/>
  <c r="B1962" i="2"/>
  <c r="N1961" i="2"/>
  <c r="M1961" i="2"/>
  <c r="L1961" i="2" a="1"/>
  <c r="L1961" i="2" s="1"/>
  <c r="K1961" i="2" a="1"/>
  <c r="K1961" i="2" s="1"/>
  <c r="J1961" i="2"/>
  <c r="B1961" i="2"/>
  <c r="N1960" i="2"/>
  <c r="M1960" i="2"/>
  <c r="L1960" i="2" a="1"/>
  <c r="L1960" i="2" s="1"/>
  <c r="K1960" i="2" a="1"/>
  <c r="K1960" i="2" s="1"/>
  <c r="J1960" i="2"/>
  <c r="B1960" i="2"/>
  <c r="N1959" i="2"/>
  <c r="M1959" i="2"/>
  <c r="L1959" i="2" a="1"/>
  <c r="L1959" i="2" s="1"/>
  <c r="K1959" i="2" a="1"/>
  <c r="K1959" i="2" s="1"/>
  <c r="J1959" i="2"/>
  <c r="B1959" i="2"/>
  <c r="N1958" i="2"/>
  <c r="M1958" i="2"/>
  <c r="L1958" i="2" a="1"/>
  <c r="L1958" i="2" s="1"/>
  <c r="K1958" i="2" a="1"/>
  <c r="K1958" i="2" s="1"/>
  <c r="J1958" i="2"/>
  <c r="B1958" i="2"/>
  <c r="N1957" i="2"/>
  <c r="M1957" i="2"/>
  <c r="L1957" i="2" a="1"/>
  <c r="L1957" i="2" s="1"/>
  <c r="K1957" i="2" a="1"/>
  <c r="K1957" i="2" s="1"/>
  <c r="J1957" i="2"/>
  <c r="B1957" i="2"/>
  <c r="N1956" i="2"/>
  <c r="M1956" i="2"/>
  <c r="L1956" i="2" a="1"/>
  <c r="L1956" i="2" s="1"/>
  <c r="K1956" i="2" a="1"/>
  <c r="K1956" i="2" s="1"/>
  <c r="J1956" i="2"/>
  <c r="B1956" i="2"/>
  <c r="N1955" i="2"/>
  <c r="M1955" i="2"/>
  <c r="L1955" i="2" a="1"/>
  <c r="L1955" i="2" s="1"/>
  <c r="K1955" i="2" a="1"/>
  <c r="K1955" i="2" s="1"/>
  <c r="J1955" i="2"/>
  <c r="B1955" i="2"/>
  <c r="N1954" i="2"/>
  <c r="M1954" i="2"/>
  <c r="L1954" i="2" a="1"/>
  <c r="L1954" i="2" s="1"/>
  <c r="K1954" i="2" a="1"/>
  <c r="K1954" i="2" s="1"/>
  <c r="J1954" i="2"/>
  <c r="B1954" i="2"/>
  <c r="N1953" i="2"/>
  <c r="M1953" i="2"/>
  <c r="L1953" i="2" a="1"/>
  <c r="L1953" i="2" s="1"/>
  <c r="K1953" i="2" a="1"/>
  <c r="K1953" i="2" s="1"/>
  <c r="J1953" i="2"/>
  <c r="B1953" i="2"/>
  <c r="N1952" i="2"/>
  <c r="M1952" i="2"/>
  <c r="L1952" i="2" a="1"/>
  <c r="L1952" i="2" s="1"/>
  <c r="K1952" i="2" a="1"/>
  <c r="K1952" i="2" s="1"/>
  <c r="J1952" i="2"/>
  <c r="B1952" i="2"/>
  <c r="N1951" i="2"/>
  <c r="M1951" i="2"/>
  <c r="L1951" i="2" a="1"/>
  <c r="L1951" i="2" s="1"/>
  <c r="K1951" i="2" a="1"/>
  <c r="K1951" i="2" s="1"/>
  <c r="J1951" i="2"/>
  <c r="B1951" i="2"/>
  <c r="N1950" i="2"/>
  <c r="M1950" i="2"/>
  <c r="L1950" i="2" a="1"/>
  <c r="L1950" i="2" s="1"/>
  <c r="K1950" i="2" a="1"/>
  <c r="K1950" i="2" s="1"/>
  <c r="J1950" i="2"/>
  <c r="B1950" i="2"/>
  <c r="N1949" i="2"/>
  <c r="M1949" i="2"/>
  <c r="L1949" i="2" a="1"/>
  <c r="L1949" i="2" s="1"/>
  <c r="K1949" i="2" a="1"/>
  <c r="K1949" i="2" s="1"/>
  <c r="J1949" i="2"/>
  <c r="B1949" i="2"/>
  <c r="N1948" i="2"/>
  <c r="M1948" i="2"/>
  <c r="L1948" i="2" a="1"/>
  <c r="L1948" i="2" s="1"/>
  <c r="K1948" i="2" a="1"/>
  <c r="K1948" i="2" s="1"/>
  <c r="J1948" i="2"/>
  <c r="B1948" i="2"/>
  <c r="N1947" i="2"/>
  <c r="M1947" i="2"/>
  <c r="L1947" i="2" a="1"/>
  <c r="L1947" i="2" s="1"/>
  <c r="K1947" i="2" a="1"/>
  <c r="K1947" i="2" s="1"/>
  <c r="J1947" i="2"/>
  <c r="B1947" i="2"/>
  <c r="N1946" i="2"/>
  <c r="M1946" i="2"/>
  <c r="L1946" i="2" a="1"/>
  <c r="L1946" i="2" s="1"/>
  <c r="K1946" i="2" a="1"/>
  <c r="K1946" i="2" s="1"/>
  <c r="J1946" i="2"/>
  <c r="B1946" i="2"/>
  <c r="N1945" i="2"/>
  <c r="M1945" i="2"/>
  <c r="L1945" i="2" a="1"/>
  <c r="L1945" i="2" s="1"/>
  <c r="K1945" i="2" a="1"/>
  <c r="K1945" i="2" s="1"/>
  <c r="J1945" i="2"/>
  <c r="B1945" i="2"/>
  <c r="N1944" i="2"/>
  <c r="M1944" i="2"/>
  <c r="L1944" i="2" a="1"/>
  <c r="L1944" i="2" s="1"/>
  <c r="K1944" i="2" a="1"/>
  <c r="K1944" i="2" s="1"/>
  <c r="J1944" i="2"/>
  <c r="B1944" i="2"/>
  <c r="N1943" i="2"/>
  <c r="M1943" i="2"/>
  <c r="L1943" i="2" a="1"/>
  <c r="L1943" i="2" s="1"/>
  <c r="K1943" i="2" a="1"/>
  <c r="K1943" i="2" s="1"/>
  <c r="J1943" i="2"/>
  <c r="B1943" i="2"/>
  <c r="N1942" i="2"/>
  <c r="M1942" i="2"/>
  <c r="L1942" i="2" a="1"/>
  <c r="L1942" i="2" s="1"/>
  <c r="K1942" i="2" a="1"/>
  <c r="K1942" i="2" s="1"/>
  <c r="J1942" i="2"/>
  <c r="B1942" i="2"/>
  <c r="N1941" i="2"/>
  <c r="M1941" i="2"/>
  <c r="L1941" i="2" a="1"/>
  <c r="L1941" i="2" s="1"/>
  <c r="K1941" i="2" a="1"/>
  <c r="K1941" i="2" s="1"/>
  <c r="J1941" i="2"/>
  <c r="B1941" i="2"/>
  <c r="N1940" i="2"/>
  <c r="M1940" i="2"/>
  <c r="L1940" i="2" a="1"/>
  <c r="L1940" i="2" s="1"/>
  <c r="K1940" i="2" a="1"/>
  <c r="K1940" i="2" s="1"/>
  <c r="J1940" i="2"/>
  <c r="B1940" i="2"/>
  <c r="N1939" i="2"/>
  <c r="M1939" i="2"/>
  <c r="L1939" i="2" a="1"/>
  <c r="L1939" i="2" s="1"/>
  <c r="K1939" i="2" a="1"/>
  <c r="K1939" i="2" s="1"/>
  <c r="J1939" i="2"/>
  <c r="B1939" i="2"/>
  <c r="N1938" i="2"/>
  <c r="M1938" i="2"/>
  <c r="L1938" i="2" a="1"/>
  <c r="L1938" i="2" s="1"/>
  <c r="K1938" i="2" a="1"/>
  <c r="K1938" i="2" s="1"/>
  <c r="J1938" i="2"/>
  <c r="B1938" i="2"/>
  <c r="N1937" i="2"/>
  <c r="M1937" i="2"/>
  <c r="L1937" i="2" a="1"/>
  <c r="L1937" i="2" s="1"/>
  <c r="K1937" i="2" a="1"/>
  <c r="K1937" i="2" s="1"/>
  <c r="J1937" i="2"/>
  <c r="B1937" i="2"/>
  <c r="N1936" i="2"/>
  <c r="M1936" i="2"/>
  <c r="L1936" i="2" a="1"/>
  <c r="L1936" i="2" s="1"/>
  <c r="K1936" i="2" a="1"/>
  <c r="K1936" i="2" s="1"/>
  <c r="J1936" i="2"/>
  <c r="B1936" i="2"/>
  <c r="N1935" i="2"/>
  <c r="M1935" i="2"/>
  <c r="L1935" i="2" a="1"/>
  <c r="L1935" i="2" s="1"/>
  <c r="K1935" i="2" a="1"/>
  <c r="K1935" i="2" s="1"/>
  <c r="J1935" i="2"/>
  <c r="B1935" i="2"/>
  <c r="N1934" i="2"/>
  <c r="M1934" i="2"/>
  <c r="L1934" i="2" a="1"/>
  <c r="L1934" i="2" s="1"/>
  <c r="K1934" i="2" a="1"/>
  <c r="K1934" i="2" s="1"/>
  <c r="J1934" i="2"/>
  <c r="B1934" i="2"/>
  <c r="N1933" i="2"/>
  <c r="M1933" i="2"/>
  <c r="L1933" i="2" a="1"/>
  <c r="L1933" i="2" s="1"/>
  <c r="K1933" i="2" a="1"/>
  <c r="K1933" i="2" s="1"/>
  <c r="J1933" i="2"/>
  <c r="B1933" i="2"/>
  <c r="N1932" i="2"/>
  <c r="M1932" i="2"/>
  <c r="L1932" i="2" a="1"/>
  <c r="L1932" i="2" s="1"/>
  <c r="K1932" i="2" a="1"/>
  <c r="K1932" i="2" s="1"/>
  <c r="J1932" i="2"/>
  <c r="B1932" i="2"/>
  <c r="N1931" i="2"/>
  <c r="M1931" i="2"/>
  <c r="L1931" i="2" a="1"/>
  <c r="L1931" i="2" s="1"/>
  <c r="K1931" i="2" a="1"/>
  <c r="K1931" i="2" s="1"/>
  <c r="J1931" i="2"/>
  <c r="B1931" i="2"/>
  <c r="N1930" i="2"/>
  <c r="M1930" i="2"/>
  <c r="L1930" i="2" a="1"/>
  <c r="L1930" i="2" s="1"/>
  <c r="K1930" i="2" a="1"/>
  <c r="K1930" i="2" s="1"/>
  <c r="J1930" i="2"/>
  <c r="B1930" i="2"/>
  <c r="N1929" i="2"/>
  <c r="M1929" i="2"/>
  <c r="L1929" i="2" a="1"/>
  <c r="L1929" i="2" s="1"/>
  <c r="K1929" i="2" a="1"/>
  <c r="K1929" i="2" s="1"/>
  <c r="J1929" i="2"/>
  <c r="B1929" i="2"/>
  <c r="N1928" i="2"/>
  <c r="M1928" i="2"/>
  <c r="L1928" i="2" a="1"/>
  <c r="L1928" i="2" s="1"/>
  <c r="K1928" i="2" a="1"/>
  <c r="K1928" i="2" s="1"/>
  <c r="J1928" i="2"/>
  <c r="B1928" i="2"/>
  <c r="N1927" i="2"/>
  <c r="M1927" i="2"/>
  <c r="L1927" i="2" a="1"/>
  <c r="L1927" i="2" s="1"/>
  <c r="K1927" i="2" a="1"/>
  <c r="K1927" i="2" s="1"/>
  <c r="J1927" i="2"/>
  <c r="B1927" i="2"/>
  <c r="N1926" i="2"/>
  <c r="M1926" i="2"/>
  <c r="L1926" i="2" a="1"/>
  <c r="L1926" i="2" s="1"/>
  <c r="K1926" i="2" a="1"/>
  <c r="K1926" i="2" s="1"/>
  <c r="J1926" i="2"/>
  <c r="B1926" i="2"/>
  <c r="N1925" i="2"/>
  <c r="M1925" i="2"/>
  <c r="L1925" i="2" a="1"/>
  <c r="L1925" i="2" s="1"/>
  <c r="K1925" i="2" a="1"/>
  <c r="K1925" i="2" s="1"/>
  <c r="J1925" i="2"/>
  <c r="B1925" i="2"/>
  <c r="N1924" i="2"/>
  <c r="M1924" i="2"/>
  <c r="L1924" i="2" a="1"/>
  <c r="L1924" i="2" s="1"/>
  <c r="K1924" i="2" a="1"/>
  <c r="K1924" i="2" s="1"/>
  <c r="J1924" i="2"/>
  <c r="B1924" i="2"/>
  <c r="N1923" i="2"/>
  <c r="M1923" i="2"/>
  <c r="L1923" i="2" a="1"/>
  <c r="L1923" i="2" s="1"/>
  <c r="K1923" i="2" a="1"/>
  <c r="K1923" i="2" s="1"/>
  <c r="J1923" i="2"/>
  <c r="B1923" i="2"/>
  <c r="N1922" i="2"/>
  <c r="M1922" i="2"/>
  <c r="L1922" i="2" a="1"/>
  <c r="L1922" i="2" s="1"/>
  <c r="K1922" i="2" a="1"/>
  <c r="K1922" i="2" s="1"/>
  <c r="J1922" i="2"/>
  <c r="B1922" i="2"/>
  <c r="N1921" i="2"/>
  <c r="M1921" i="2"/>
  <c r="L1921" i="2" a="1"/>
  <c r="L1921" i="2" s="1"/>
  <c r="K1921" i="2" a="1"/>
  <c r="K1921" i="2" s="1"/>
  <c r="J1921" i="2"/>
  <c r="B1921" i="2"/>
  <c r="N1920" i="2"/>
  <c r="M1920" i="2"/>
  <c r="L1920" i="2" a="1"/>
  <c r="L1920" i="2" s="1"/>
  <c r="K1920" i="2" a="1"/>
  <c r="K1920" i="2" s="1"/>
  <c r="J1920" i="2"/>
  <c r="B1920" i="2"/>
  <c r="N1919" i="2"/>
  <c r="M1919" i="2"/>
  <c r="L1919" i="2" a="1"/>
  <c r="L1919" i="2" s="1"/>
  <c r="K1919" i="2" a="1"/>
  <c r="K1919" i="2" s="1"/>
  <c r="J1919" i="2"/>
  <c r="B1919" i="2"/>
  <c r="N1918" i="2"/>
  <c r="M1918" i="2"/>
  <c r="L1918" i="2" a="1"/>
  <c r="L1918" i="2" s="1"/>
  <c r="K1918" i="2" a="1"/>
  <c r="K1918" i="2" s="1"/>
  <c r="J1918" i="2"/>
  <c r="B1918" i="2"/>
  <c r="N1917" i="2"/>
  <c r="M1917" i="2"/>
  <c r="L1917" i="2" a="1"/>
  <c r="L1917" i="2" s="1"/>
  <c r="K1917" i="2" a="1"/>
  <c r="K1917" i="2" s="1"/>
  <c r="J1917" i="2"/>
  <c r="B1917" i="2"/>
  <c r="N1916" i="2"/>
  <c r="M1916" i="2"/>
  <c r="L1916" i="2" a="1"/>
  <c r="L1916" i="2" s="1"/>
  <c r="K1916" i="2" a="1"/>
  <c r="K1916" i="2" s="1"/>
  <c r="J1916" i="2"/>
  <c r="B1916" i="2"/>
  <c r="N1915" i="2"/>
  <c r="M1915" i="2"/>
  <c r="L1915" i="2" a="1"/>
  <c r="L1915" i="2" s="1"/>
  <c r="K1915" i="2" a="1"/>
  <c r="K1915" i="2" s="1"/>
  <c r="J1915" i="2"/>
  <c r="B1915" i="2"/>
  <c r="N1914" i="2"/>
  <c r="M1914" i="2"/>
  <c r="L1914" i="2" a="1"/>
  <c r="L1914" i="2" s="1"/>
  <c r="K1914" i="2" a="1"/>
  <c r="K1914" i="2" s="1"/>
  <c r="J1914" i="2"/>
  <c r="B1914" i="2"/>
  <c r="N1913" i="2"/>
  <c r="M1913" i="2"/>
  <c r="L1913" i="2" a="1"/>
  <c r="L1913" i="2" s="1"/>
  <c r="K1913" i="2" a="1"/>
  <c r="K1913" i="2" s="1"/>
  <c r="J1913" i="2"/>
  <c r="B1913" i="2"/>
  <c r="N1912" i="2"/>
  <c r="M1912" i="2"/>
  <c r="L1912" i="2" a="1"/>
  <c r="L1912" i="2" s="1"/>
  <c r="K1912" i="2" a="1"/>
  <c r="K1912" i="2" s="1"/>
  <c r="J1912" i="2"/>
  <c r="B1912" i="2"/>
  <c r="N1911" i="2"/>
  <c r="M1911" i="2"/>
  <c r="L1911" i="2" a="1"/>
  <c r="L1911" i="2" s="1"/>
  <c r="K1911" i="2" a="1"/>
  <c r="K1911" i="2" s="1"/>
  <c r="J1911" i="2"/>
  <c r="B1911" i="2"/>
  <c r="N1910" i="2"/>
  <c r="M1910" i="2"/>
  <c r="L1910" i="2" a="1"/>
  <c r="L1910" i="2" s="1"/>
  <c r="K1910" i="2" a="1"/>
  <c r="K1910" i="2" s="1"/>
  <c r="J1910" i="2"/>
  <c r="B1910" i="2"/>
  <c r="N1909" i="2"/>
  <c r="M1909" i="2"/>
  <c r="L1909" i="2" a="1"/>
  <c r="L1909" i="2" s="1"/>
  <c r="K1909" i="2" a="1"/>
  <c r="K1909" i="2" s="1"/>
  <c r="J1909" i="2"/>
  <c r="B1909" i="2"/>
  <c r="N1908" i="2"/>
  <c r="M1908" i="2"/>
  <c r="L1908" i="2" a="1"/>
  <c r="L1908" i="2" s="1"/>
  <c r="K1908" i="2" a="1"/>
  <c r="K1908" i="2" s="1"/>
  <c r="J1908" i="2"/>
  <c r="B1908" i="2"/>
  <c r="N1907" i="2"/>
  <c r="M1907" i="2"/>
  <c r="L1907" i="2" a="1"/>
  <c r="L1907" i="2" s="1"/>
  <c r="K1907" i="2" a="1"/>
  <c r="K1907" i="2" s="1"/>
  <c r="J1907" i="2"/>
  <c r="B1907" i="2"/>
  <c r="N1906" i="2"/>
  <c r="M1906" i="2"/>
  <c r="L1906" i="2" a="1"/>
  <c r="L1906" i="2" s="1"/>
  <c r="K1906" i="2" a="1"/>
  <c r="K1906" i="2" s="1"/>
  <c r="J1906" i="2"/>
  <c r="B1906" i="2"/>
  <c r="N1905" i="2"/>
  <c r="M1905" i="2"/>
  <c r="L1905" i="2" a="1"/>
  <c r="L1905" i="2" s="1"/>
  <c r="K1905" i="2" a="1"/>
  <c r="K1905" i="2" s="1"/>
  <c r="J1905" i="2"/>
  <c r="B1905" i="2"/>
  <c r="N1904" i="2"/>
  <c r="M1904" i="2"/>
  <c r="L1904" i="2" a="1"/>
  <c r="L1904" i="2" s="1"/>
  <c r="K1904" i="2" a="1"/>
  <c r="K1904" i="2" s="1"/>
  <c r="J1904" i="2"/>
  <c r="B1904" i="2"/>
  <c r="N1903" i="2"/>
  <c r="M1903" i="2"/>
  <c r="L1903" i="2" a="1"/>
  <c r="L1903" i="2" s="1"/>
  <c r="K1903" i="2" a="1"/>
  <c r="K1903" i="2" s="1"/>
  <c r="J1903" i="2"/>
  <c r="B1903" i="2"/>
  <c r="N1902" i="2"/>
  <c r="M1902" i="2"/>
  <c r="L1902" i="2" a="1"/>
  <c r="L1902" i="2" s="1"/>
  <c r="K1902" i="2" a="1"/>
  <c r="K1902" i="2" s="1"/>
  <c r="J1902" i="2"/>
  <c r="B1902" i="2"/>
  <c r="N1901" i="2"/>
  <c r="M1901" i="2"/>
  <c r="L1901" i="2" a="1"/>
  <c r="L1901" i="2" s="1"/>
  <c r="K1901" i="2" a="1"/>
  <c r="K1901" i="2" s="1"/>
  <c r="J1901" i="2"/>
  <c r="B1901" i="2"/>
  <c r="N1900" i="2"/>
  <c r="M1900" i="2"/>
  <c r="L1900" i="2" a="1"/>
  <c r="L1900" i="2" s="1"/>
  <c r="K1900" i="2" a="1"/>
  <c r="K1900" i="2" s="1"/>
  <c r="J1900" i="2"/>
  <c r="B1900" i="2"/>
  <c r="N1899" i="2"/>
  <c r="M1899" i="2"/>
  <c r="L1899" i="2" a="1"/>
  <c r="L1899" i="2" s="1"/>
  <c r="K1899" i="2" a="1"/>
  <c r="K1899" i="2" s="1"/>
  <c r="J1899" i="2"/>
  <c r="B1899" i="2"/>
  <c r="N1898" i="2"/>
  <c r="M1898" i="2"/>
  <c r="L1898" i="2" a="1"/>
  <c r="L1898" i="2" s="1"/>
  <c r="K1898" i="2" a="1"/>
  <c r="K1898" i="2" s="1"/>
  <c r="J1898" i="2"/>
  <c r="B1898" i="2"/>
  <c r="N1897" i="2"/>
  <c r="M1897" i="2"/>
  <c r="L1897" i="2" a="1"/>
  <c r="L1897" i="2" s="1"/>
  <c r="K1897" i="2" a="1"/>
  <c r="K1897" i="2" s="1"/>
  <c r="J1897" i="2"/>
  <c r="B1897" i="2"/>
  <c r="N1896" i="2"/>
  <c r="M1896" i="2"/>
  <c r="L1896" i="2" a="1"/>
  <c r="L1896" i="2" s="1"/>
  <c r="K1896" i="2" a="1"/>
  <c r="K1896" i="2" s="1"/>
  <c r="J1896" i="2"/>
  <c r="B1896" i="2"/>
  <c r="N1895" i="2"/>
  <c r="M1895" i="2"/>
  <c r="L1895" i="2" a="1"/>
  <c r="L1895" i="2" s="1"/>
  <c r="K1895" i="2" a="1"/>
  <c r="K1895" i="2" s="1"/>
  <c r="J1895" i="2"/>
  <c r="B1895" i="2"/>
  <c r="N1894" i="2"/>
  <c r="M1894" i="2"/>
  <c r="L1894" i="2" a="1"/>
  <c r="L1894" i="2" s="1"/>
  <c r="K1894" i="2" a="1"/>
  <c r="K1894" i="2" s="1"/>
  <c r="J1894" i="2"/>
  <c r="B1894" i="2"/>
  <c r="N1893" i="2"/>
  <c r="M1893" i="2"/>
  <c r="L1893" i="2" a="1"/>
  <c r="L1893" i="2" s="1"/>
  <c r="K1893" i="2" a="1"/>
  <c r="K1893" i="2" s="1"/>
  <c r="J1893" i="2"/>
  <c r="B1893" i="2"/>
  <c r="N1892" i="2"/>
  <c r="M1892" i="2"/>
  <c r="L1892" i="2" a="1"/>
  <c r="L1892" i="2" s="1"/>
  <c r="K1892" i="2" a="1"/>
  <c r="K1892" i="2" s="1"/>
  <c r="J1892" i="2"/>
  <c r="B1892" i="2"/>
  <c r="N1891" i="2"/>
  <c r="M1891" i="2"/>
  <c r="L1891" i="2" a="1"/>
  <c r="L1891" i="2" s="1"/>
  <c r="K1891" i="2" a="1"/>
  <c r="K1891" i="2" s="1"/>
  <c r="J1891" i="2"/>
  <c r="B1891" i="2"/>
  <c r="N1890" i="2"/>
  <c r="M1890" i="2"/>
  <c r="L1890" i="2" a="1"/>
  <c r="L1890" i="2" s="1"/>
  <c r="K1890" i="2" a="1"/>
  <c r="K1890" i="2" s="1"/>
  <c r="J1890" i="2"/>
  <c r="B1890" i="2"/>
  <c r="N1889" i="2"/>
  <c r="M1889" i="2"/>
  <c r="L1889" i="2" a="1"/>
  <c r="L1889" i="2" s="1"/>
  <c r="K1889" i="2" a="1"/>
  <c r="K1889" i="2" s="1"/>
  <c r="J1889" i="2"/>
  <c r="B1889" i="2"/>
  <c r="N1888" i="2"/>
  <c r="M1888" i="2"/>
  <c r="L1888" i="2" a="1"/>
  <c r="L1888" i="2" s="1"/>
  <c r="K1888" i="2" a="1"/>
  <c r="K1888" i="2" s="1"/>
  <c r="J1888" i="2"/>
  <c r="B1888" i="2"/>
  <c r="N1887" i="2"/>
  <c r="M1887" i="2"/>
  <c r="L1887" i="2" a="1"/>
  <c r="L1887" i="2" s="1"/>
  <c r="K1887" i="2" a="1"/>
  <c r="K1887" i="2" s="1"/>
  <c r="J1887" i="2"/>
  <c r="B1887" i="2"/>
  <c r="N1886" i="2"/>
  <c r="M1886" i="2"/>
  <c r="L1886" i="2" a="1"/>
  <c r="L1886" i="2" s="1"/>
  <c r="K1886" i="2" a="1"/>
  <c r="K1886" i="2" s="1"/>
  <c r="J1886" i="2"/>
  <c r="B1886" i="2"/>
  <c r="N1885" i="2"/>
  <c r="M1885" i="2"/>
  <c r="L1885" i="2" a="1"/>
  <c r="L1885" i="2" s="1"/>
  <c r="K1885" i="2" a="1"/>
  <c r="K1885" i="2" s="1"/>
  <c r="J1885" i="2"/>
  <c r="B1885" i="2"/>
  <c r="N1884" i="2"/>
  <c r="M1884" i="2"/>
  <c r="L1884" i="2" a="1"/>
  <c r="L1884" i="2" s="1"/>
  <c r="K1884" i="2" a="1"/>
  <c r="K1884" i="2" s="1"/>
  <c r="J1884" i="2"/>
  <c r="B1884" i="2"/>
  <c r="N1883" i="2"/>
  <c r="M1883" i="2"/>
  <c r="L1883" i="2" a="1"/>
  <c r="L1883" i="2" s="1"/>
  <c r="K1883" i="2" a="1"/>
  <c r="K1883" i="2" s="1"/>
  <c r="J1883" i="2"/>
  <c r="B1883" i="2"/>
  <c r="N1882" i="2"/>
  <c r="M1882" i="2"/>
  <c r="L1882" i="2" a="1"/>
  <c r="L1882" i="2" s="1"/>
  <c r="K1882" i="2" a="1"/>
  <c r="K1882" i="2" s="1"/>
  <c r="J1882" i="2"/>
  <c r="B1882" i="2"/>
  <c r="N1881" i="2"/>
  <c r="M1881" i="2"/>
  <c r="L1881" i="2" a="1"/>
  <c r="L1881" i="2" s="1"/>
  <c r="K1881" i="2" a="1"/>
  <c r="K1881" i="2" s="1"/>
  <c r="J1881" i="2"/>
  <c r="B1881" i="2"/>
  <c r="N1880" i="2"/>
  <c r="M1880" i="2"/>
  <c r="L1880" i="2" a="1"/>
  <c r="L1880" i="2" s="1"/>
  <c r="K1880" i="2" a="1"/>
  <c r="K1880" i="2" s="1"/>
  <c r="J1880" i="2"/>
  <c r="B1880" i="2"/>
  <c r="N1879" i="2"/>
  <c r="M1879" i="2"/>
  <c r="L1879" i="2" a="1"/>
  <c r="L1879" i="2" s="1"/>
  <c r="K1879" i="2" a="1"/>
  <c r="K1879" i="2" s="1"/>
  <c r="J1879" i="2"/>
  <c r="B1879" i="2"/>
  <c r="N1878" i="2"/>
  <c r="M1878" i="2"/>
  <c r="L1878" i="2" a="1"/>
  <c r="L1878" i="2" s="1"/>
  <c r="K1878" i="2" a="1"/>
  <c r="K1878" i="2" s="1"/>
  <c r="J1878" i="2"/>
  <c r="B1878" i="2"/>
  <c r="N1877" i="2"/>
  <c r="M1877" i="2"/>
  <c r="L1877" i="2" a="1"/>
  <c r="L1877" i="2" s="1"/>
  <c r="K1877" i="2" a="1"/>
  <c r="K1877" i="2" s="1"/>
  <c r="J1877" i="2"/>
  <c r="B1877" i="2"/>
  <c r="N1876" i="2"/>
  <c r="M1876" i="2"/>
  <c r="L1876" i="2" a="1"/>
  <c r="L1876" i="2" s="1"/>
  <c r="K1876" i="2" a="1"/>
  <c r="K1876" i="2" s="1"/>
  <c r="J1876" i="2"/>
  <c r="B1876" i="2"/>
  <c r="V1875" i="2"/>
  <c r="N1875" i="2"/>
  <c r="M1875" i="2"/>
  <c r="L1875" i="2" a="1"/>
  <c r="L1875" i="2" s="1"/>
  <c r="K1875" i="2" a="1"/>
  <c r="K1875" i="2" s="1"/>
  <c r="J1875" i="2"/>
  <c r="B1875" i="2"/>
  <c r="N1874" i="2"/>
  <c r="M1874" i="2"/>
  <c r="L1874" i="2" a="1"/>
  <c r="L1874" i="2" s="1"/>
  <c r="K1874" i="2" a="1"/>
  <c r="K1874" i="2" s="1"/>
  <c r="J1874" i="2"/>
  <c r="B1874" i="2"/>
  <c r="N1873" i="2"/>
  <c r="M1873" i="2"/>
  <c r="L1873" i="2" a="1"/>
  <c r="L1873" i="2" s="1"/>
  <c r="K1873" i="2" a="1"/>
  <c r="K1873" i="2" s="1"/>
  <c r="J1873" i="2"/>
  <c r="B1873" i="2"/>
  <c r="N1872" i="2"/>
  <c r="M1872" i="2"/>
  <c r="L1872" i="2" a="1"/>
  <c r="L1872" i="2" s="1"/>
  <c r="K1872" i="2" a="1"/>
  <c r="K1872" i="2" s="1"/>
  <c r="J1872" i="2"/>
  <c r="B1872" i="2"/>
  <c r="N1871" i="2"/>
  <c r="M1871" i="2"/>
  <c r="L1871" i="2" a="1"/>
  <c r="L1871" i="2" s="1"/>
  <c r="K1871" i="2" a="1"/>
  <c r="K1871" i="2" s="1"/>
  <c r="J1871" i="2"/>
  <c r="B1871" i="2"/>
  <c r="N1870" i="2"/>
  <c r="M1870" i="2"/>
  <c r="L1870" i="2" a="1"/>
  <c r="L1870" i="2" s="1"/>
  <c r="K1870" i="2" a="1"/>
  <c r="K1870" i="2" s="1"/>
  <c r="J1870" i="2"/>
  <c r="B1870" i="2"/>
  <c r="N1869" i="2"/>
  <c r="M1869" i="2"/>
  <c r="L1869" i="2" a="1"/>
  <c r="L1869" i="2" s="1"/>
  <c r="K1869" i="2" a="1"/>
  <c r="K1869" i="2" s="1"/>
  <c r="J1869" i="2"/>
  <c r="B1869" i="2"/>
  <c r="N1868" i="2"/>
  <c r="M1868" i="2"/>
  <c r="L1868" i="2" a="1"/>
  <c r="L1868" i="2" s="1"/>
  <c r="K1868" i="2" a="1"/>
  <c r="K1868" i="2" s="1"/>
  <c r="J1868" i="2"/>
  <c r="B1868" i="2"/>
  <c r="U1867" i="2"/>
  <c r="A1866" i="2"/>
  <c r="J1865" i="2"/>
  <c r="N1864" i="2"/>
  <c r="M1864" i="2"/>
  <c r="L1864" i="2" a="1"/>
  <c r="L1864" i="2" s="1"/>
  <c r="K1864" i="2" a="1"/>
  <c r="K1864" i="2" s="1"/>
  <c r="J1864" i="2"/>
  <c r="B1864" i="2"/>
  <c r="N1863" i="2"/>
  <c r="M1863" i="2"/>
  <c r="L1863" i="2" a="1"/>
  <c r="L1863" i="2" s="1"/>
  <c r="K1863" i="2" a="1"/>
  <c r="K1863" i="2" s="1"/>
  <c r="J1863" i="2"/>
  <c r="B1863" i="2"/>
  <c r="N1862" i="2"/>
  <c r="M1862" i="2"/>
  <c r="L1862" i="2" a="1"/>
  <c r="L1862" i="2" s="1"/>
  <c r="K1862" i="2" a="1"/>
  <c r="K1862" i="2" s="1"/>
  <c r="J1862" i="2"/>
  <c r="B1862" i="2"/>
  <c r="N1861" i="2"/>
  <c r="M1861" i="2"/>
  <c r="L1861" i="2" a="1"/>
  <c r="L1861" i="2" s="1"/>
  <c r="K1861" i="2" a="1"/>
  <c r="K1861" i="2" s="1"/>
  <c r="J1861" i="2"/>
  <c r="B1861" i="2"/>
  <c r="N1860" i="2"/>
  <c r="M1860" i="2"/>
  <c r="L1860" i="2" a="1"/>
  <c r="L1860" i="2" s="1"/>
  <c r="K1860" i="2" a="1"/>
  <c r="K1860" i="2" s="1"/>
  <c r="J1860" i="2"/>
  <c r="B1860" i="2"/>
  <c r="N1859" i="2"/>
  <c r="M1859" i="2"/>
  <c r="L1859" i="2" a="1"/>
  <c r="L1859" i="2" s="1"/>
  <c r="K1859" i="2" a="1"/>
  <c r="K1859" i="2" s="1"/>
  <c r="J1859" i="2"/>
  <c r="B1859" i="2"/>
  <c r="N1858" i="2"/>
  <c r="M1858" i="2"/>
  <c r="L1858" i="2" a="1"/>
  <c r="L1858" i="2" s="1"/>
  <c r="K1858" i="2" a="1"/>
  <c r="K1858" i="2" s="1"/>
  <c r="J1858" i="2"/>
  <c r="B1858" i="2"/>
  <c r="N1857" i="2"/>
  <c r="M1857" i="2"/>
  <c r="L1857" i="2" a="1"/>
  <c r="L1857" i="2" s="1"/>
  <c r="K1857" i="2" a="1"/>
  <c r="K1857" i="2" s="1"/>
  <c r="J1857" i="2"/>
  <c r="B1857" i="2"/>
  <c r="N1856" i="2"/>
  <c r="M1856" i="2"/>
  <c r="L1856" i="2" a="1"/>
  <c r="L1856" i="2" s="1"/>
  <c r="K1856" i="2" a="1"/>
  <c r="K1856" i="2" s="1"/>
  <c r="J1856" i="2"/>
  <c r="B1856" i="2"/>
  <c r="N1855" i="2"/>
  <c r="M1855" i="2"/>
  <c r="L1855" i="2" a="1"/>
  <c r="L1855" i="2" s="1"/>
  <c r="K1855" i="2" a="1"/>
  <c r="K1855" i="2" s="1"/>
  <c r="J1855" i="2"/>
  <c r="B1855" i="2"/>
  <c r="N1854" i="2"/>
  <c r="M1854" i="2"/>
  <c r="L1854" i="2" a="1"/>
  <c r="L1854" i="2" s="1"/>
  <c r="K1854" i="2" a="1"/>
  <c r="K1854" i="2" s="1"/>
  <c r="J1854" i="2"/>
  <c r="B1854" i="2"/>
  <c r="N1853" i="2"/>
  <c r="M1853" i="2"/>
  <c r="L1853" i="2" a="1"/>
  <c r="L1853" i="2" s="1"/>
  <c r="K1853" i="2" a="1"/>
  <c r="K1853" i="2" s="1"/>
  <c r="J1853" i="2"/>
  <c r="B1853" i="2"/>
  <c r="N1852" i="2"/>
  <c r="M1852" i="2"/>
  <c r="L1852" i="2" a="1"/>
  <c r="L1852" i="2" s="1"/>
  <c r="K1852" i="2" a="1"/>
  <c r="K1852" i="2" s="1"/>
  <c r="J1852" i="2"/>
  <c r="B1852" i="2"/>
  <c r="N1851" i="2"/>
  <c r="M1851" i="2"/>
  <c r="L1851" i="2" a="1"/>
  <c r="L1851" i="2" s="1"/>
  <c r="K1851" i="2" a="1"/>
  <c r="K1851" i="2" s="1"/>
  <c r="J1851" i="2"/>
  <c r="B1851" i="2"/>
  <c r="N1850" i="2"/>
  <c r="M1850" i="2"/>
  <c r="L1850" i="2" a="1"/>
  <c r="L1850" i="2" s="1"/>
  <c r="K1850" i="2" a="1"/>
  <c r="K1850" i="2" s="1"/>
  <c r="J1850" i="2"/>
  <c r="B1850" i="2"/>
  <c r="N1849" i="2"/>
  <c r="M1849" i="2"/>
  <c r="L1849" i="2" a="1"/>
  <c r="L1849" i="2" s="1"/>
  <c r="K1849" i="2" a="1"/>
  <c r="K1849" i="2" s="1"/>
  <c r="J1849" i="2"/>
  <c r="B1849" i="2"/>
  <c r="N1848" i="2"/>
  <c r="M1848" i="2"/>
  <c r="L1848" i="2" a="1"/>
  <c r="L1848" i="2" s="1"/>
  <c r="K1848" i="2" a="1"/>
  <c r="K1848" i="2" s="1"/>
  <c r="J1848" i="2"/>
  <c r="B1848" i="2"/>
  <c r="N1847" i="2"/>
  <c r="M1847" i="2"/>
  <c r="L1847" i="2" a="1"/>
  <c r="L1847" i="2" s="1"/>
  <c r="K1847" i="2" a="1"/>
  <c r="K1847" i="2" s="1"/>
  <c r="J1847" i="2"/>
  <c r="B1847" i="2"/>
  <c r="N1846" i="2"/>
  <c r="M1846" i="2"/>
  <c r="L1846" i="2" a="1"/>
  <c r="L1846" i="2" s="1"/>
  <c r="K1846" i="2" a="1"/>
  <c r="K1846" i="2" s="1"/>
  <c r="J1846" i="2"/>
  <c r="B1846" i="2"/>
  <c r="N1845" i="2"/>
  <c r="M1845" i="2"/>
  <c r="L1845" i="2" a="1"/>
  <c r="L1845" i="2" s="1"/>
  <c r="K1845" i="2" a="1"/>
  <c r="K1845" i="2" s="1"/>
  <c r="J1845" i="2"/>
  <c r="B1845" i="2"/>
  <c r="N1844" i="2"/>
  <c r="M1844" i="2"/>
  <c r="L1844" i="2" a="1"/>
  <c r="L1844" i="2" s="1"/>
  <c r="K1844" i="2" a="1"/>
  <c r="K1844" i="2" s="1"/>
  <c r="J1844" i="2"/>
  <c r="B1844" i="2"/>
  <c r="N1843" i="2"/>
  <c r="M1843" i="2"/>
  <c r="L1843" i="2" a="1"/>
  <c r="L1843" i="2" s="1"/>
  <c r="K1843" i="2" a="1"/>
  <c r="K1843" i="2" s="1"/>
  <c r="J1843" i="2"/>
  <c r="B1843" i="2"/>
  <c r="N1842" i="2"/>
  <c r="M1842" i="2"/>
  <c r="L1842" i="2" a="1"/>
  <c r="L1842" i="2" s="1"/>
  <c r="K1842" i="2" a="1"/>
  <c r="K1842" i="2" s="1"/>
  <c r="J1842" i="2"/>
  <c r="B1842" i="2"/>
  <c r="N1841" i="2"/>
  <c r="M1841" i="2"/>
  <c r="L1841" i="2" a="1"/>
  <c r="L1841" i="2" s="1"/>
  <c r="K1841" i="2" a="1"/>
  <c r="K1841" i="2" s="1"/>
  <c r="J1841" i="2"/>
  <c r="B1841" i="2"/>
  <c r="N1840" i="2"/>
  <c r="M1840" i="2"/>
  <c r="L1840" i="2" a="1"/>
  <c r="L1840" i="2" s="1"/>
  <c r="K1840" i="2" a="1"/>
  <c r="K1840" i="2" s="1"/>
  <c r="J1840" i="2"/>
  <c r="B1840" i="2"/>
  <c r="N1839" i="2"/>
  <c r="M1839" i="2"/>
  <c r="L1839" i="2" a="1"/>
  <c r="L1839" i="2" s="1"/>
  <c r="K1839" i="2" a="1"/>
  <c r="K1839" i="2" s="1"/>
  <c r="J1839" i="2"/>
  <c r="B1839" i="2"/>
  <c r="N1838" i="2"/>
  <c r="M1838" i="2"/>
  <c r="L1838" i="2" a="1"/>
  <c r="L1838" i="2" s="1"/>
  <c r="K1838" i="2" a="1"/>
  <c r="K1838" i="2" s="1"/>
  <c r="J1838" i="2"/>
  <c r="B1838" i="2"/>
  <c r="N1837" i="2"/>
  <c r="M1837" i="2"/>
  <c r="L1837" i="2" a="1"/>
  <c r="L1837" i="2" s="1"/>
  <c r="K1837" i="2" a="1"/>
  <c r="K1837" i="2" s="1"/>
  <c r="J1837" i="2"/>
  <c r="B1837" i="2"/>
  <c r="N1836" i="2"/>
  <c r="M1836" i="2"/>
  <c r="L1836" i="2" a="1"/>
  <c r="L1836" i="2" s="1"/>
  <c r="K1836" i="2" a="1"/>
  <c r="K1836" i="2" s="1"/>
  <c r="J1836" i="2"/>
  <c r="B1836" i="2"/>
  <c r="N1835" i="2"/>
  <c r="M1835" i="2"/>
  <c r="L1835" i="2" a="1"/>
  <c r="L1835" i="2" s="1"/>
  <c r="K1835" i="2" a="1"/>
  <c r="K1835" i="2" s="1"/>
  <c r="J1835" i="2"/>
  <c r="B1835" i="2"/>
  <c r="N1834" i="2"/>
  <c r="M1834" i="2"/>
  <c r="L1834" i="2" a="1"/>
  <c r="L1834" i="2" s="1"/>
  <c r="K1834" i="2" a="1"/>
  <c r="K1834" i="2" s="1"/>
  <c r="J1834" i="2"/>
  <c r="B1834" i="2"/>
  <c r="N1833" i="2"/>
  <c r="M1833" i="2"/>
  <c r="L1833" i="2" a="1"/>
  <c r="L1833" i="2" s="1"/>
  <c r="K1833" i="2" a="1"/>
  <c r="K1833" i="2" s="1"/>
  <c r="J1833" i="2"/>
  <c r="B1833" i="2"/>
  <c r="N1832" i="2"/>
  <c r="M1832" i="2"/>
  <c r="L1832" i="2" a="1"/>
  <c r="L1832" i="2" s="1"/>
  <c r="K1832" i="2" a="1"/>
  <c r="K1832" i="2" s="1"/>
  <c r="J1832" i="2"/>
  <c r="B1832" i="2"/>
  <c r="N1831" i="2"/>
  <c r="M1831" i="2"/>
  <c r="L1831" i="2" a="1"/>
  <c r="L1831" i="2" s="1"/>
  <c r="K1831" i="2" a="1"/>
  <c r="K1831" i="2" s="1"/>
  <c r="J1831" i="2"/>
  <c r="B1831" i="2"/>
  <c r="N1830" i="2"/>
  <c r="M1830" i="2"/>
  <c r="L1830" i="2" a="1"/>
  <c r="L1830" i="2" s="1"/>
  <c r="K1830" i="2" a="1"/>
  <c r="K1830" i="2" s="1"/>
  <c r="J1830" i="2"/>
  <c r="B1830" i="2"/>
  <c r="N1829" i="2"/>
  <c r="M1829" i="2"/>
  <c r="L1829" i="2" a="1"/>
  <c r="L1829" i="2" s="1"/>
  <c r="K1829" i="2" a="1"/>
  <c r="K1829" i="2" s="1"/>
  <c r="J1829" i="2"/>
  <c r="B1829" i="2"/>
  <c r="N1828" i="2"/>
  <c r="M1828" i="2"/>
  <c r="L1828" i="2" a="1"/>
  <c r="L1828" i="2" s="1"/>
  <c r="K1828" i="2" a="1"/>
  <c r="K1828" i="2" s="1"/>
  <c r="J1828" i="2"/>
  <c r="B1828" i="2"/>
  <c r="N1827" i="2"/>
  <c r="M1827" i="2"/>
  <c r="L1827" i="2" a="1"/>
  <c r="L1827" i="2" s="1"/>
  <c r="K1827" i="2" a="1"/>
  <c r="K1827" i="2" s="1"/>
  <c r="J1827" i="2"/>
  <c r="B1827" i="2"/>
  <c r="N1826" i="2"/>
  <c r="M1826" i="2"/>
  <c r="L1826" i="2" a="1"/>
  <c r="L1826" i="2" s="1"/>
  <c r="K1826" i="2" a="1"/>
  <c r="K1826" i="2" s="1"/>
  <c r="J1826" i="2"/>
  <c r="B1826" i="2"/>
  <c r="N1825" i="2"/>
  <c r="M1825" i="2"/>
  <c r="L1825" i="2" a="1"/>
  <c r="L1825" i="2" s="1"/>
  <c r="K1825" i="2" a="1"/>
  <c r="K1825" i="2" s="1"/>
  <c r="J1825" i="2"/>
  <c r="B1825" i="2"/>
  <c r="N1824" i="2"/>
  <c r="M1824" i="2"/>
  <c r="L1824" i="2" a="1"/>
  <c r="L1824" i="2" s="1"/>
  <c r="K1824" i="2" a="1"/>
  <c r="K1824" i="2" s="1"/>
  <c r="J1824" i="2"/>
  <c r="B1824" i="2"/>
  <c r="N1823" i="2"/>
  <c r="M1823" i="2"/>
  <c r="L1823" i="2" a="1"/>
  <c r="L1823" i="2" s="1"/>
  <c r="K1823" i="2" a="1"/>
  <c r="K1823" i="2" s="1"/>
  <c r="J1823" i="2"/>
  <c r="B1823" i="2"/>
  <c r="N1822" i="2"/>
  <c r="M1822" i="2"/>
  <c r="L1822" i="2" a="1"/>
  <c r="L1822" i="2" s="1"/>
  <c r="K1822" i="2" a="1"/>
  <c r="K1822" i="2" s="1"/>
  <c r="J1822" i="2"/>
  <c r="B1822" i="2"/>
  <c r="N1821" i="2"/>
  <c r="M1821" i="2"/>
  <c r="L1821" i="2" a="1"/>
  <c r="L1821" i="2" s="1"/>
  <c r="K1821" i="2" a="1"/>
  <c r="K1821" i="2" s="1"/>
  <c r="J1821" i="2"/>
  <c r="B1821" i="2"/>
  <c r="N1820" i="2"/>
  <c r="M1820" i="2"/>
  <c r="L1820" i="2" a="1"/>
  <c r="L1820" i="2" s="1"/>
  <c r="K1820" i="2" a="1"/>
  <c r="K1820" i="2" s="1"/>
  <c r="J1820" i="2"/>
  <c r="B1820" i="2"/>
  <c r="N1819" i="2"/>
  <c r="M1819" i="2"/>
  <c r="L1819" i="2" a="1"/>
  <c r="L1819" i="2" s="1"/>
  <c r="K1819" i="2" a="1"/>
  <c r="K1819" i="2" s="1"/>
  <c r="J1819" i="2"/>
  <c r="B1819" i="2"/>
  <c r="N1818" i="2"/>
  <c r="M1818" i="2"/>
  <c r="L1818" i="2" a="1"/>
  <c r="L1818" i="2" s="1"/>
  <c r="K1818" i="2" a="1"/>
  <c r="K1818" i="2" s="1"/>
  <c r="J1818" i="2"/>
  <c r="B1818" i="2"/>
  <c r="N1817" i="2"/>
  <c r="M1817" i="2"/>
  <c r="L1817" i="2" a="1"/>
  <c r="L1817" i="2" s="1"/>
  <c r="K1817" i="2" a="1"/>
  <c r="K1817" i="2" s="1"/>
  <c r="J1817" i="2"/>
  <c r="B1817" i="2"/>
  <c r="N1816" i="2"/>
  <c r="M1816" i="2"/>
  <c r="L1816" i="2" a="1"/>
  <c r="L1816" i="2" s="1"/>
  <c r="K1816" i="2" a="1"/>
  <c r="K1816" i="2" s="1"/>
  <c r="J1816" i="2"/>
  <c r="B1816" i="2"/>
  <c r="N1815" i="2"/>
  <c r="M1815" i="2"/>
  <c r="L1815" i="2" a="1"/>
  <c r="L1815" i="2" s="1"/>
  <c r="K1815" i="2" a="1"/>
  <c r="K1815" i="2" s="1"/>
  <c r="J1815" i="2"/>
  <c r="B1815" i="2"/>
  <c r="N1814" i="2"/>
  <c r="M1814" i="2"/>
  <c r="L1814" i="2" a="1"/>
  <c r="L1814" i="2" s="1"/>
  <c r="K1814" i="2" a="1"/>
  <c r="K1814" i="2" s="1"/>
  <c r="J1814" i="2"/>
  <c r="B1814" i="2"/>
  <c r="N1813" i="2"/>
  <c r="M1813" i="2"/>
  <c r="L1813" i="2" a="1"/>
  <c r="L1813" i="2" s="1"/>
  <c r="K1813" i="2" a="1"/>
  <c r="K1813" i="2" s="1"/>
  <c r="J1813" i="2"/>
  <c r="B1813" i="2"/>
  <c r="N1812" i="2"/>
  <c r="M1812" i="2"/>
  <c r="L1812" i="2" a="1"/>
  <c r="L1812" i="2" s="1"/>
  <c r="K1812" i="2" a="1"/>
  <c r="K1812" i="2" s="1"/>
  <c r="J1812" i="2"/>
  <c r="B1812" i="2"/>
  <c r="N1811" i="2"/>
  <c r="M1811" i="2"/>
  <c r="L1811" i="2" a="1"/>
  <c r="L1811" i="2" s="1"/>
  <c r="K1811" i="2" a="1"/>
  <c r="K1811" i="2" s="1"/>
  <c r="J1811" i="2"/>
  <c r="B1811" i="2"/>
  <c r="N1810" i="2"/>
  <c r="M1810" i="2"/>
  <c r="L1810" i="2" a="1"/>
  <c r="L1810" i="2" s="1"/>
  <c r="K1810" i="2" a="1"/>
  <c r="K1810" i="2" s="1"/>
  <c r="J1810" i="2"/>
  <c r="B1810" i="2"/>
  <c r="N1809" i="2"/>
  <c r="M1809" i="2"/>
  <c r="L1809" i="2" a="1"/>
  <c r="L1809" i="2" s="1"/>
  <c r="K1809" i="2" a="1"/>
  <c r="K1809" i="2" s="1"/>
  <c r="J1809" i="2"/>
  <c r="B1809" i="2"/>
  <c r="N1808" i="2"/>
  <c r="M1808" i="2"/>
  <c r="L1808" i="2" a="1"/>
  <c r="L1808" i="2" s="1"/>
  <c r="K1808" i="2" a="1"/>
  <c r="K1808" i="2" s="1"/>
  <c r="J1808" i="2"/>
  <c r="B1808" i="2"/>
  <c r="N1807" i="2"/>
  <c r="M1807" i="2"/>
  <c r="L1807" i="2" a="1"/>
  <c r="L1807" i="2" s="1"/>
  <c r="K1807" i="2" a="1"/>
  <c r="K1807" i="2" s="1"/>
  <c r="J1807" i="2"/>
  <c r="B1807" i="2"/>
  <c r="N1806" i="2"/>
  <c r="M1806" i="2"/>
  <c r="L1806" i="2" a="1"/>
  <c r="L1806" i="2" s="1"/>
  <c r="K1806" i="2" a="1"/>
  <c r="K1806" i="2" s="1"/>
  <c r="J1806" i="2"/>
  <c r="B1806" i="2"/>
  <c r="N1805" i="2"/>
  <c r="M1805" i="2"/>
  <c r="L1805" i="2" a="1"/>
  <c r="L1805" i="2" s="1"/>
  <c r="K1805" i="2" a="1"/>
  <c r="K1805" i="2" s="1"/>
  <c r="J1805" i="2"/>
  <c r="B1805" i="2"/>
  <c r="N1804" i="2"/>
  <c r="M1804" i="2"/>
  <c r="L1804" i="2" a="1"/>
  <c r="L1804" i="2" s="1"/>
  <c r="K1804" i="2" a="1"/>
  <c r="K1804" i="2" s="1"/>
  <c r="J1804" i="2"/>
  <c r="B1804" i="2"/>
  <c r="N1803" i="2"/>
  <c r="M1803" i="2"/>
  <c r="L1803" i="2" a="1"/>
  <c r="L1803" i="2" s="1"/>
  <c r="K1803" i="2" a="1"/>
  <c r="K1803" i="2" s="1"/>
  <c r="J1803" i="2"/>
  <c r="B1803" i="2"/>
  <c r="N1802" i="2"/>
  <c r="M1802" i="2"/>
  <c r="L1802" i="2" a="1"/>
  <c r="L1802" i="2" s="1"/>
  <c r="K1802" i="2" a="1"/>
  <c r="K1802" i="2" s="1"/>
  <c r="J1802" i="2"/>
  <c r="B1802" i="2"/>
  <c r="N1801" i="2"/>
  <c r="M1801" i="2"/>
  <c r="L1801" i="2" a="1"/>
  <c r="L1801" i="2" s="1"/>
  <c r="K1801" i="2" a="1"/>
  <c r="K1801" i="2" s="1"/>
  <c r="J1801" i="2"/>
  <c r="B1801" i="2"/>
  <c r="N1800" i="2"/>
  <c r="M1800" i="2"/>
  <c r="L1800" i="2" a="1"/>
  <c r="L1800" i="2" s="1"/>
  <c r="K1800" i="2" a="1"/>
  <c r="K1800" i="2" s="1"/>
  <c r="J1800" i="2"/>
  <c r="B1800" i="2"/>
  <c r="N1799" i="2"/>
  <c r="M1799" i="2"/>
  <c r="L1799" i="2" a="1"/>
  <c r="L1799" i="2" s="1"/>
  <c r="K1799" i="2" a="1"/>
  <c r="K1799" i="2" s="1"/>
  <c r="J1799" i="2"/>
  <c r="B1799" i="2"/>
  <c r="N1798" i="2"/>
  <c r="M1798" i="2"/>
  <c r="L1798" i="2" a="1"/>
  <c r="L1798" i="2" s="1"/>
  <c r="K1798" i="2" a="1"/>
  <c r="K1798" i="2" s="1"/>
  <c r="J1798" i="2"/>
  <c r="B1798" i="2"/>
  <c r="N1797" i="2"/>
  <c r="M1797" i="2"/>
  <c r="L1797" i="2" a="1"/>
  <c r="L1797" i="2" s="1"/>
  <c r="K1797" i="2" a="1"/>
  <c r="K1797" i="2" s="1"/>
  <c r="J1797" i="2"/>
  <c r="B1797" i="2"/>
  <c r="N1796" i="2"/>
  <c r="M1796" i="2"/>
  <c r="L1796" i="2" a="1"/>
  <c r="L1796" i="2" s="1"/>
  <c r="K1796" i="2" a="1"/>
  <c r="K1796" i="2" s="1"/>
  <c r="J1796" i="2"/>
  <c r="B1796" i="2"/>
  <c r="N1795" i="2"/>
  <c r="M1795" i="2"/>
  <c r="L1795" i="2" a="1"/>
  <c r="L1795" i="2" s="1"/>
  <c r="K1795" i="2" a="1"/>
  <c r="K1795" i="2" s="1"/>
  <c r="J1795" i="2"/>
  <c r="B1795" i="2"/>
  <c r="N1794" i="2"/>
  <c r="M1794" i="2"/>
  <c r="L1794" i="2" a="1"/>
  <c r="L1794" i="2" s="1"/>
  <c r="K1794" i="2" a="1"/>
  <c r="K1794" i="2" s="1"/>
  <c r="J1794" i="2"/>
  <c r="B1794" i="2"/>
  <c r="N1793" i="2"/>
  <c r="M1793" i="2"/>
  <c r="L1793" i="2" a="1"/>
  <c r="L1793" i="2" s="1"/>
  <c r="K1793" i="2" a="1"/>
  <c r="K1793" i="2" s="1"/>
  <c r="J1793" i="2"/>
  <c r="B1793" i="2"/>
  <c r="N1792" i="2"/>
  <c r="M1792" i="2"/>
  <c r="L1792" i="2" a="1"/>
  <c r="L1792" i="2" s="1"/>
  <c r="K1792" i="2" a="1"/>
  <c r="K1792" i="2" s="1"/>
  <c r="J1792" i="2"/>
  <c r="B1792" i="2"/>
  <c r="N1791" i="2"/>
  <c r="M1791" i="2"/>
  <c r="L1791" i="2" a="1"/>
  <c r="L1791" i="2" s="1"/>
  <c r="K1791" i="2" a="1"/>
  <c r="K1791" i="2" s="1"/>
  <c r="J1791" i="2"/>
  <c r="B1791" i="2"/>
  <c r="N1790" i="2"/>
  <c r="M1790" i="2"/>
  <c r="L1790" i="2" a="1"/>
  <c r="L1790" i="2" s="1"/>
  <c r="K1790" i="2" a="1"/>
  <c r="K1790" i="2" s="1"/>
  <c r="J1790" i="2"/>
  <c r="B1790" i="2"/>
  <c r="N1789" i="2"/>
  <c r="M1789" i="2"/>
  <c r="L1789" i="2" a="1"/>
  <c r="L1789" i="2" s="1"/>
  <c r="K1789" i="2" a="1"/>
  <c r="K1789" i="2" s="1"/>
  <c r="J1789" i="2"/>
  <c r="B1789" i="2"/>
  <c r="N1788" i="2"/>
  <c r="M1788" i="2"/>
  <c r="L1788" i="2" a="1"/>
  <c r="L1788" i="2" s="1"/>
  <c r="K1788" i="2" a="1"/>
  <c r="K1788" i="2" s="1"/>
  <c r="J1788" i="2"/>
  <c r="B1788" i="2"/>
  <c r="N1787" i="2"/>
  <c r="M1787" i="2"/>
  <c r="L1787" i="2" a="1"/>
  <c r="L1787" i="2" s="1"/>
  <c r="K1787" i="2" a="1"/>
  <c r="K1787" i="2" s="1"/>
  <c r="J1787" i="2"/>
  <c r="B1787" i="2"/>
  <c r="N1786" i="2"/>
  <c r="M1786" i="2"/>
  <c r="L1786" i="2" a="1"/>
  <c r="L1786" i="2" s="1"/>
  <c r="K1786" i="2" a="1"/>
  <c r="K1786" i="2" s="1"/>
  <c r="J1786" i="2"/>
  <c r="B1786" i="2"/>
  <c r="N1785" i="2"/>
  <c r="M1785" i="2"/>
  <c r="L1785" i="2" a="1"/>
  <c r="L1785" i="2" s="1"/>
  <c r="K1785" i="2" a="1"/>
  <c r="K1785" i="2" s="1"/>
  <c r="J1785" i="2"/>
  <c r="B1785" i="2"/>
  <c r="N1784" i="2"/>
  <c r="M1784" i="2"/>
  <c r="L1784" i="2" a="1"/>
  <c r="L1784" i="2" s="1"/>
  <c r="K1784" i="2" a="1"/>
  <c r="K1784" i="2" s="1"/>
  <c r="J1784" i="2"/>
  <c r="B1784" i="2"/>
  <c r="N1783" i="2"/>
  <c r="M1783" i="2"/>
  <c r="L1783" i="2" a="1"/>
  <c r="L1783" i="2" s="1"/>
  <c r="K1783" i="2" a="1"/>
  <c r="K1783" i="2" s="1"/>
  <c r="J1783" i="2"/>
  <c r="B1783" i="2"/>
  <c r="N1782" i="2"/>
  <c r="M1782" i="2"/>
  <c r="L1782" i="2" a="1"/>
  <c r="L1782" i="2" s="1"/>
  <c r="K1782" i="2" a="1"/>
  <c r="K1782" i="2" s="1"/>
  <c r="J1782" i="2"/>
  <c r="B1782" i="2"/>
  <c r="N1781" i="2"/>
  <c r="M1781" i="2"/>
  <c r="L1781" i="2" a="1"/>
  <c r="L1781" i="2" s="1"/>
  <c r="K1781" i="2" a="1"/>
  <c r="K1781" i="2" s="1"/>
  <c r="J1781" i="2"/>
  <c r="B1781" i="2"/>
  <c r="N1780" i="2"/>
  <c r="M1780" i="2"/>
  <c r="L1780" i="2" a="1"/>
  <c r="L1780" i="2" s="1"/>
  <c r="K1780" i="2" a="1"/>
  <c r="K1780" i="2" s="1"/>
  <c r="J1780" i="2"/>
  <c r="B1780" i="2"/>
  <c r="N1779" i="2"/>
  <c r="M1779" i="2"/>
  <c r="L1779" i="2" a="1"/>
  <c r="L1779" i="2" s="1"/>
  <c r="K1779" i="2" a="1"/>
  <c r="K1779" i="2" s="1"/>
  <c r="J1779" i="2"/>
  <c r="B1779" i="2"/>
  <c r="N1778" i="2"/>
  <c r="M1778" i="2"/>
  <c r="L1778" i="2" a="1"/>
  <c r="L1778" i="2" s="1"/>
  <c r="K1778" i="2" a="1"/>
  <c r="K1778" i="2" s="1"/>
  <c r="J1778" i="2"/>
  <c r="B1778" i="2"/>
  <c r="N1777" i="2"/>
  <c r="M1777" i="2"/>
  <c r="L1777" i="2" a="1"/>
  <c r="L1777" i="2" s="1"/>
  <c r="K1777" i="2" a="1"/>
  <c r="K1777" i="2" s="1"/>
  <c r="J1777" i="2"/>
  <c r="B1777" i="2"/>
  <c r="N1776" i="2"/>
  <c r="M1776" i="2"/>
  <c r="L1776" i="2" a="1"/>
  <c r="L1776" i="2" s="1"/>
  <c r="K1776" i="2" a="1"/>
  <c r="K1776" i="2" s="1"/>
  <c r="J1776" i="2"/>
  <c r="B1776" i="2"/>
  <c r="N1775" i="2"/>
  <c r="M1775" i="2"/>
  <c r="L1775" i="2" a="1"/>
  <c r="L1775" i="2" s="1"/>
  <c r="K1775" i="2" a="1"/>
  <c r="K1775" i="2" s="1"/>
  <c r="J1775" i="2"/>
  <c r="B1775" i="2"/>
  <c r="N1774" i="2"/>
  <c r="M1774" i="2"/>
  <c r="L1774" i="2" a="1"/>
  <c r="L1774" i="2" s="1"/>
  <c r="K1774" i="2" a="1"/>
  <c r="K1774" i="2" s="1"/>
  <c r="J1774" i="2"/>
  <c r="B1774" i="2"/>
  <c r="N1773" i="2"/>
  <c r="M1773" i="2"/>
  <c r="L1773" i="2" a="1"/>
  <c r="L1773" i="2" s="1"/>
  <c r="K1773" i="2" a="1"/>
  <c r="K1773" i="2" s="1"/>
  <c r="J1773" i="2"/>
  <c r="B1773" i="2"/>
  <c r="V1772" i="2"/>
  <c r="N1772" i="2"/>
  <c r="M1772" i="2"/>
  <c r="L1772" i="2" a="1"/>
  <c r="L1772" i="2" s="1"/>
  <c r="K1772" i="2" a="1"/>
  <c r="K1772" i="2" s="1"/>
  <c r="J1772" i="2"/>
  <c r="B1772" i="2"/>
  <c r="N1771" i="2"/>
  <c r="M1771" i="2"/>
  <c r="L1771" i="2" a="1"/>
  <c r="L1771" i="2" s="1"/>
  <c r="K1771" i="2" a="1"/>
  <c r="K1771" i="2" s="1"/>
  <c r="J1771" i="2"/>
  <c r="B1771" i="2"/>
  <c r="N1770" i="2"/>
  <c r="M1770" i="2"/>
  <c r="L1770" i="2" a="1"/>
  <c r="L1770" i="2" s="1"/>
  <c r="K1770" i="2" a="1"/>
  <c r="K1770" i="2" s="1"/>
  <c r="J1770" i="2"/>
  <c r="B1770" i="2"/>
  <c r="N1769" i="2"/>
  <c r="M1769" i="2"/>
  <c r="L1769" i="2" a="1"/>
  <c r="L1769" i="2" s="1"/>
  <c r="K1769" i="2" a="1"/>
  <c r="K1769" i="2" s="1"/>
  <c r="J1769" i="2"/>
  <c r="B1769" i="2"/>
  <c r="N1768" i="2"/>
  <c r="M1768" i="2"/>
  <c r="L1768" i="2" a="1"/>
  <c r="L1768" i="2" s="1"/>
  <c r="K1768" i="2" a="1"/>
  <c r="K1768" i="2" s="1"/>
  <c r="J1768" i="2"/>
  <c r="B1768" i="2"/>
  <c r="N1767" i="2"/>
  <c r="M1767" i="2"/>
  <c r="L1767" i="2" a="1"/>
  <c r="L1767" i="2" s="1"/>
  <c r="K1767" i="2" a="1"/>
  <c r="K1767" i="2" s="1"/>
  <c r="J1767" i="2"/>
  <c r="B1767" i="2"/>
  <c r="N1766" i="2"/>
  <c r="M1766" i="2"/>
  <c r="L1766" i="2" a="1"/>
  <c r="L1766" i="2" s="1"/>
  <c r="K1766" i="2" a="1"/>
  <c r="K1766" i="2" s="1"/>
  <c r="J1766" i="2"/>
  <c r="B1766" i="2"/>
  <c r="N1765" i="2"/>
  <c r="M1765" i="2"/>
  <c r="L1765" i="2" a="1"/>
  <c r="L1765" i="2" s="1"/>
  <c r="K1765" i="2" a="1"/>
  <c r="K1765" i="2" s="1"/>
  <c r="J1765" i="2"/>
  <c r="B1765" i="2"/>
  <c r="U1764" i="2"/>
  <c r="A1763" i="2"/>
  <c r="J1762" i="2"/>
  <c r="N1761" i="2"/>
  <c r="M1761" i="2"/>
  <c r="L1761" i="2" a="1"/>
  <c r="L1761" i="2" s="1"/>
  <c r="K1761" i="2" a="1"/>
  <c r="K1761" i="2" s="1"/>
  <c r="J1761" i="2"/>
  <c r="B1761" i="2"/>
  <c r="N1760" i="2"/>
  <c r="M1760" i="2"/>
  <c r="L1760" i="2" a="1"/>
  <c r="L1760" i="2" s="1"/>
  <c r="K1760" i="2" a="1"/>
  <c r="K1760" i="2" s="1"/>
  <c r="J1760" i="2"/>
  <c r="B1760" i="2"/>
  <c r="N1759" i="2"/>
  <c r="M1759" i="2"/>
  <c r="L1759" i="2" a="1"/>
  <c r="L1759" i="2" s="1"/>
  <c r="K1759" i="2" a="1"/>
  <c r="K1759" i="2" s="1"/>
  <c r="J1759" i="2"/>
  <c r="B1759" i="2"/>
  <c r="N1758" i="2"/>
  <c r="M1758" i="2"/>
  <c r="L1758" i="2" a="1"/>
  <c r="L1758" i="2" s="1"/>
  <c r="K1758" i="2" a="1"/>
  <c r="K1758" i="2" s="1"/>
  <c r="J1758" i="2"/>
  <c r="B1758" i="2"/>
  <c r="N1757" i="2"/>
  <c r="M1757" i="2"/>
  <c r="L1757" i="2" a="1"/>
  <c r="L1757" i="2" s="1"/>
  <c r="K1757" i="2" a="1"/>
  <c r="K1757" i="2" s="1"/>
  <c r="J1757" i="2"/>
  <c r="B1757" i="2"/>
  <c r="N1756" i="2"/>
  <c r="M1756" i="2"/>
  <c r="L1756" i="2" a="1"/>
  <c r="L1756" i="2" s="1"/>
  <c r="K1756" i="2" a="1"/>
  <c r="K1756" i="2" s="1"/>
  <c r="J1756" i="2"/>
  <c r="B1756" i="2"/>
  <c r="N1755" i="2"/>
  <c r="M1755" i="2"/>
  <c r="L1755" i="2" a="1"/>
  <c r="L1755" i="2" s="1"/>
  <c r="K1755" i="2" a="1"/>
  <c r="K1755" i="2" s="1"/>
  <c r="J1755" i="2"/>
  <c r="B1755" i="2"/>
  <c r="N1754" i="2"/>
  <c r="M1754" i="2"/>
  <c r="L1754" i="2" a="1"/>
  <c r="L1754" i="2" s="1"/>
  <c r="K1754" i="2" a="1"/>
  <c r="K1754" i="2" s="1"/>
  <c r="J1754" i="2"/>
  <c r="B1754" i="2"/>
  <c r="N1753" i="2"/>
  <c r="M1753" i="2"/>
  <c r="L1753" i="2" a="1"/>
  <c r="L1753" i="2" s="1"/>
  <c r="K1753" i="2" a="1"/>
  <c r="K1753" i="2" s="1"/>
  <c r="J1753" i="2"/>
  <c r="B1753" i="2"/>
  <c r="N1752" i="2"/>
  <c r="M1752" i="2"/>
  <c r="L1752" i="2" a="1"/>
  <c r="L1752" i="2" s="1"/>
  <c r="K1752" i="2" a="1"/>
  <c r="K1752" i="2" s="1"/>
  <c r="J1752" i="2"/>
  <c r="B1752" i="2"/>
  <c r="N1751" i="2"/>
  <c r="M1751" i="2"/>
  <c r="L1751" i="2" a="1"/>
  <c r="L1751" i="2" s="1"/>
  <c r="K1751" i="2" a="1"/>
  <c r="K1751" i="2" s="1"/>
  <c r="J1751" i="2"/>
  <c r="B1751" i="2"/>
  <c r="N1750" i="2"/>
  <c r="M1750" i="2"/>
  <c r="L1750" i="2" a="1"/>
  <c r="L1750" i="2" s="1"/>
  <c r="K1750" i="2" a="1"/>
  <c r="K1750" i="2" s="1"/>
  <c r="J1750" i="2"/>
  <c r="B1750" i="2"/>
  <c r="N1749" i="2"/>
  <c r="M1749" i="2"/>
  <c r="L1749" i="2" a="1"/>
  <c r="L1749" i="2" s="1"/>
  <c r="K1749" i="2" a="1"/>
  <c r="K1749" i="2" s="1"/>
  <c r="J1749" i="2"/>
  <c r="B1749" i="2"/>
  <c r="N1748" i="2"/>
  <c r="M1748" i="2"/>
  <c r="L1748" i="2" a="1"/>
  <c r="L1748" i="2" s="1"/>
  <c r="K1748" i="2" a="1"/>
  <c r="K1748" i="2" s="1"/>
  <c r="J1748" i="2"/>
  <c r="B1748" i="2"/>
  <c r="N1747" i="2"/>
  <c r="M1747" i="2"/>
  <c r="L1747" i="2" a="1"/>
  <c r="L1747" i="2" s="1"/>
  <c r="K1747" i="2" a="1"/>
  <c r="K1747" i="2" s="1"/>
  <c r="J1747" i="2"/>
  <c r="B1747" i="2"/>
  <c r="N1746" i="2"/>
  <c r="M1746" i="2"/>
  <c r="L1746" i="2" a="1"/>
  <c r="L1746" i="2" s="1"/>
  <c r="K1746" i="2" a="1"/>
  <c r="K1746" i="2" s="1"/>
  <c r="J1746" i="2"/>
  <c r="B1746" i="2"/>
  <c r="N1745" i="2"/>
  <c r="M1745" i="2"/>
  <c r="L1745" i="2" a="1"/>
  <c r="L1745" i="2" s="1"/>
  <c r="K1745" i="2" a="1"/>
  <c r="K1745" i="2" s="1"/>
  <c r="J1745" i="2"/>
  <c r="B1745" i="2"/>
  <c r="N1744" i="2"/>
  <c r="M1744" i="2"/>
  <c r="L1744" i="2" a="1"/>
  <c r="L1744" i="2" s="1"/>
  <c r="K1744" i="2" a="1"/>
  <c r="K1744" i="2" s="1"/>
  <c r="J1744" i="2"/>
  <c r="B1744" i="2"/>
  <c r="N1743" i="2"/>
  <c r="M1743" i="2"/>
  <c r="L1743" i="2" a="1"/>
  <c r="L1743" i="2" s="1"/>
  <c r="K1743" i="2" a="1"/>
  <c r="K1743" i="2" s="1"/>
  <c r="J1743" i="2"/>
  <c r="B1743" i="2"/>
  <c r="N1742" i="2"/>
  <c r="M1742" i="2"/>
  <c r="L1742" i="2" a="1"/>
  <c r="L1742" i="2" s="1"/>
  <c r="K1742" i="2" a="1"/>
  <c r="K1742" i="2" s="1"/>
  <c r="J1742" i="2"/>
  <c r="B1742" i="2"/>
  <c r="N1741" i="2"/>
  <c r="M1741" i="2"/>
  <c r="L1741" i="2" a="1"/>
  <c r="L1741" i="2" s="1"/>
  <c r="K1741" i="2" a="1"/>
  <c r="K1741" i="2" s="1"/>
  <c r="J1741" i="2"/>
  <c r="B1741" i="2"/>
  <c r="N1740" i="2"/>
  <c r="M1740" i="2"/>
  <c r="L1740" i="2" a="1"/>
  <c r="L1740" i="2" s="1"/>
  <c r="K1740" i="2" a="1"/>
  <c r="K1740" i="2" s="1"/>
  <c r="J1740" i="2"/>
  <c r="B1740" i="2"/>
  <c r="N1739" i="2"/>
  <c r="M1739" i="2"/>
  <c r="L1739" i="2" a="1"/>
  <c r="L1739" i="2" s="1"/>
  <c r="K1739" i="2" a="1"/>
  <c r="K1739" i="2" s="1"/>
  <c r="J1739" i="2"/>
  <c r="B1739" i="2"/>
  <c r="N1738" i="2"/>
  <c r="M1738" i="2"/>
  <c r="L1738" i="2" a="1"/>
  <c r="L1738" i="2" s="1"/>
  <c r="K1738" i="2" a="1"/>
  <c r="K1738" i="2" s="1"/>
  <c r="J1738" i="2"/>
  <c r="B1738" i="2"/>
  <c r="N1737" i="2"/>
  <c r="M1737" i="2"/>
  <c r="L1737" i="2" a="1"/>
  <c r="L1737" i="2" s="1"/>
  <c r="K1737" i="2" a="1"/>
  <c r="K1737" i="2" s="1"/>
  <c r="J1737" i="2"/>
  <c r="B1737" i="2"/>
  <c r="N1736" i="2"/>
  <c r="M1736" i="2"/>
  <c r="L1736" i="2" a="1"/>
  <c r="L1736" i="2" s="1"/>
  <c r="K1736" i="2" a="1"/>
  <c r="K1736" i="2" s="1"/>
  <c r="J1736" i="2"/>
  <c r="B1736" i="2"/>
  <c r="N1735" i="2"/>
  <c r="M1735" i="2"/>
  <c r="L1735" i="2" a="1"/>
  <c r="L1735" i="2" s="1"/>
  <c r="K1735" i="2" a="1"/>
  <c r="K1735" i="2" s="1"/>
  <c r="J1735" i="2"/>
  <c r="B1735" i="2"/>
  <c r="N1734" i="2"/>
  <c r="M1734" i="2"/>
  <c r="L1734" i="2" a="1"/>
  <c r="L1734" i="2" s="1"/>
  <c r="K1734" i="2" a="1"/>
  <c r="K1734" i="2" s="1"/>
  <c r="J1734" i="2"/>
  <c r="B1734" i="2"/>
  <c r="N1733" i="2"/>
  <c r="M1733" i="2"/>
  <c r="L1733" i="2" a="1"/>
  <c r="L1733" i="2" s="1"/>
  <c r="K1733" i="2" a="1"/>
  <c r="K1733" i="2" s="1"/>
  <c r="J1733" i="2"/>
  <c r="B1733" i="2"/>
  <c r="N1732" i="2"/>
  <c r="M1732" i="2"/>
  <c r="L1732" i="2" a="1"/>
  <c r="L1732" i="2" s="1"/>
  <c r="K1732" i="2" a="1"/>
  <c r="K1732" i="2" s="1"/>
  <c r="J1732" i="2"/>
  <c r="B1732" i="2"/>
  <c r="N1731" i="2"/>
  <c r="M1731" i="2"/>
  <c r="L1731" i="2" a="1"/>
  <c r="L1731" i="2" s="1"/>
  <c r="K1731" i="2" a="1"/>
  <c r="K1731" i="2" s="1"/>
  <c r="J1731" i="2"/>
  <c r="B1731" i="2"/>
  <c r="N1730" i="2"/>
  <c r="M1730" i="2"/>
  <c r="L1730" i="2" a="1"/>
  <c r="L1730" i="2" s="1"/>
  <c r="K1730" i="2" a="1"/>
  <c r="K1730" i="2" s="1"/>
  <c r="J1730" i="2"/>
  <c r="B1730" i="2"/>
  <c r="N1729" i="2"/>
  <c r="M1729" i="2"/>
  <c r="L1729" i="2" a="1"/>
  <c r="L1729" i="2" s="1"/>
  <c r="K1729" i="2" a="1"/>
  <c r="K1729" i="2" s="1"/>
  <c r="J1729" i="2"/>
  <c r="B1729" i="2"/>
  <c r="N1728" i="2"/>
  <c r="M1728" i="2"/>
  <c r="L1728" i="2" a="1"/>
  <c r="L1728" i="2" s="1"/>
  <c r="K1728" i="2" a="1"/>
  <c r="K1728" i="2" s="1"/>
  <c r="J1728" i="2"/>
  <c r="B1728" i="2"/>
  <c r="N1727" i="2"/>
  <c r="M1727" i="2"/>
  <c r="L1727" i="2" a="1"/>
  <c r="L1727" i="2" s="1"/>
  <c r="K1727" i="2" a="1"/>
  <c r="K1727" i="2" s="1"/>
  <c r="J1727" i="2"/>
  <c r="B1727" i="2"/>
  <c r="N1726" i="2"/>
  <c r="M1726" i="2"/>
  <c r="L1726" i="2" a="1"/>
  <c r="L1726" i="2" s="1"/>
  <c r="K1726" i="2" a="1"/>
  <c r="K1726" i="2" s="1"/>
  <c r="J1726" i="2"/>
  <c r="B1726" i="2"/>
  <c r="N1725" i="2"/>
  <c r="M1725" i="2"/>
  <c r="L1725" i="2" a="1"/>
  <c r="L1725" i="2" s="1"/>
  <c r="K1725" i="2" a="1"/>
  <c r="K1725" i="2" s="1"/>
  <c r="J1725" i="2"/>
  <c r="B1725" i="2"/>
  <c r="N1724" i="2"/>
  <c r="M1724" i="2"/>
  <c r="L1724" i="2" a="1"/>
  <c r="L1724" i="2" s="1"/>
  <c r="K1724" i="2" a="1"/>
  <c r="K1724" i="2" s="1"/>
  <c r="J1724" i="2"/>
  <c r="B1724" i="2"/>
  <c r="N1723" i="2"/>
  <c r="M1723" i="2"/>
  <c r="L1723" i="2" a="1"/>
  <c r="L1723" i="2" s="1"/>
  <c r="K1723" i="2" a="1"/>
  <c r="K1723" i="2" s="1"/>
  <c r="J1723" i="2"/>
  <c r="B1723" i="2"/>
  <c r="N1722" i="2"/>
  <c r="M1722" i="2"/>
  <c r="L1722" i="2" a="1"/>
  <c r="L1722" i="2" s="1"/>
  <c r="K1722" i="2" a="1"/>
  <c r="K1722" i="2" s="1"/>
  <c r="J1722" i="2"/>
  <c r="B1722" i="2"/>
  <c r="N1721" i="2"/>
  <c r="M1721" i="2"/>
  <c r="L1721" i="2" a="1"/>
  <c r="L1721" i="2" s="1"/>
  <c r="K1721" i="2" a="1"/>
  <c r="K1721" i="2" s="1"/>
  <c r="J1721" i="2"/>
  <c r="B1721" i="2"/>
  <c r="N1720" i="2"/>
  <c r="M1720" i="2"/>
  <c r="L1720" i="2" a="1"/>
  <c r="L1720" i="2" s="1"/>
  <c r="K1720" i="2" a="1"/>
  <c r="K1720" i="2" s="1"/>
  <c r="J1720" i="2"/>
  <c r="B1720" i="2"/>
  <c r="N1719" i="2"/>
  <c r="M1719" i="2"/>
  <c r="L1719" i="2" a="1"/>
  <c r="L1719" i="2" s="1"/>
  <c r="K1719" i="2" a="1"/>
  <c r="K1719" i="2" s="1"/>
  <c r="J1719" i="2"/>
  <c r="B1719" i="2"/>
  <c r="N1718" i="2"/>
  <c r="M1718" i="2"/>
  <c r="L1718" i="2" a="1"/>
  <c r="L1718" i="2" s="1"/>
  <c r="K1718" i="2" a="1"/>
  <c r="K1718" i="2" s="1"/>
  <c r="J1718" i="2"/>
  <c r="B1718" i="2"/>
  <c r="N1717" i="2"/>
  <c r="M1717" i="2"/>
  <c r="L1717" i="2" a="1"/>
  <c r="L1717" i="2" s="1"/>
  <c r="K1717" i="2" a="1"/>
  <c r="K1717" i="2" s="1"/>
  <c r="J1717" i="2"/>
  <c r="B1717" i="2"/>
  <c r="N1716" i="2"/>
  <c r="M1716" i="2"/>
  <c r="L1716" i="2" a="1"/>
  <c r="L1716" i="2" s="1"/>
  <c r="K1716" i="2" a="1"/>
  <c r="K1716" i="2" s="1"/>
  <c r="J1716" i="2"/>
  <c r="B1716" i="2"/>
  <c r="N1715" i="2"/>
  <c r="M1715" i="2"/>
  <c r="L1715" i="2" a="1"/>
  <c r="L1715" i="2" s="1"/>
  <c r="K1715" i="2" a="1"/>
  <c r="K1715" i="2" s="1"/>
  <c r="J1715" i="2"/>
  <c r="B1715" i="2"/>
  <c r="N1714" i="2"/>
  <c r="M1714" i="2"/>
  <c r="L1714" i="2" a="1"/>
  <c r="L1714" i="2" s="1"/>
  <c r="K1714" i="2" a="1"/>
  <c r="K1714" i="2" s="1"/>
  <c r="J1714" i="2"/>
  <c r="B1714" i="2"/>
  <c r="N1713" i="2"/>
  <c r="M1713" i="2"/>
  <c r="L1713" i="2" a="1"/>
  <c r="L1713" i="2" s="1"/>
  <c r="K1713" i="2" a="1"/>
  <c r="K1713" i="2" s="1"/>
  <c r="J1713" i="2"/>
  <c r="B1713" i="2"/>
  <c r="N1712" i="2"/>
  <c r="M1712" i="2"/>
  <c r="L1712" i="2" a="1"/>
  <c r="L1712" i="2" s="1"/>
  <c r="K1712" i="2" a="1"/>
  <c r="K1712" i="2" s="1"/>
  <c r="J1712" i="2"/>
  <c r="B1712" i="2"/>
  <c r="N1711" i="2"/>
  <c r="M1711" i="2"/>
  <c r="L1711" i="2" a="1"/>
  <c r="L1711" i="2" s="1"/>
  <c r="K1711" i="2" a="1"/>
  <c r="K1711" i="2" s="1"/>
  <c r="J1711" i="2"/>
  <c r="B1711" i="2"/>
  <c r="N1710" i="2"/>
  <c r="M1710" i="2"/>
  <c r="L1710" i="2" a="1"/>
  <c r="L1710" i="2" s="1"/>
  <c r="K1710" i="2" a="1"/>
  <c r="K1710" i="2" s="1"/>
  <c r="J1710" i="2"/>
  <c r="B1710" i="2"/>
  <c r="N1709" i="2"/>
  <c r="M1709" i="2"/>
  <c r="L1709" i="2" a="1"/>
  <c r="L1709" i="2" s="1"/>
  <c r="K1709" i="2" a="1"/>
  <c r="K1709" i="2" s="1"/>
  <c r="J1709" i="2"/>
  <c r="B1709" i="2"/>
  <c r="N1708" i="2"/>
  <c r="M1708" i="2"/>
  <c r="L1708" i="2" a="1"/>
  <c r="L1708" i="2" s="1"/>
  <c r="K1708" i="2" a="1"/>
  <c r="K1708" i="2" s="1"/>
  <c r="J1708" i="2"/>
  <c r="B1708" i="2"/>
  <c r="N1707" i="2"/>
  <c r="M1707" i="2"/>
  <c r="L1707" i="2" a="1"/>
  <c r="L1707" i="2" s="1"/>
  <c r="K1707" i="2" a="1"/>
  <c r="K1707" i="2" s="1"/>
  <c r="J1707" i="2"/>
  <c r="B1707" i="2"/>
  <c r="N1706" i="2"/>
  <c r="M1706" i="2"/>
  <c r="L1706" i="2" a="1"/>
  <c r="L1706" i="2" s="1"/>
  <c r="K1706" i="2" a="1"/>
  <c r="K1706" i="2" s="1"/>
  <c r="J1706" i="2"/>
  <c r="B1706" i="2"/>
  <c r="N1705" i="2"/>
  <c r="M1705" i="2"/>
  <c r="L1705" i="2" a="1"/>
  <c r="L1705" i="2"/>
  <c r="K1705" i="2" a="1"/>
  <c r="K1705" i="2" s="1"/>
  <c r="J1705" i="2"/>
  <c r="B1705" i="2"/>
  <c r="N1704" i="2"/>
  <c r="M1704" i="2"/>
  <c r="L1704" i="2" a="1"/>
  <c r="L1704" i="2" s="1"/>
  <c r="K1704" i="2" a="1"/>
  <c r="K1704" i="2" s="1"/>
  <c r="J1704" i="2"/>
  <c r="B1704" i="2"/>
  <c r="N1703" i="2"/>
  <c r="M1703" i="2"/>
  <c r="L1703" i="2" a="1"/>
  <c r="L1703" i="2" s="1"/>
  <c r="K1703" i="2" a="1"/>
  <c r="K1703" i="2" s="1"/>
  <c r="J1703" i="2"/>
  <c r="B1703" i="2"/>
  <c r="N1702" i="2"/>
  <c r="M1702" i="2"/>
  <c r="L1702" i="2" a="1"/>
  <c r="L1702" i="2" s="1"/>
  <c r="K1702" i="2" a="1"/>
  <c r="K1702" i="2" s="1"/>
  <c r="J1702" i="2"/>
  <c r="B1702" i="2"/>
  <c r="N1701" i="2"/>
  <c r="M1701" i="2"/>
  <c r="L1701" i="2" a="1"/>
  <c r="L1701" i="2" s="1"/>
  <c r="K1701" i="2" a="1"/>
  <c r="K1701" i="2" s="1"/>
  <c r="J1701" i="2"/>
  <c r="B1701" i="2"/>
  <c r="N1700" i="2"/>
  <c r="M1700" i="2"/>
  <c r="L1700" i="2" a="1"/>
  <c r="L1700" i="2" s="1"/>
  <c r="K1700" i="2" a="1"/>
  <c r="K1700" i="2" s="1"/>
  <c r="J1700" i="2"/>
  <c r="B1700" i="2"/>
  <c r="N1699" i="2"/>
  <c r="M1699" i="2"/>
  <c r="L1699" i="2" a="1"/>
  <c r="L1699" i="2" s="1"/>
  <c r="K1699" i="2" a="1"/>
  <c r="K1699" i="2" s="1"/>
  <c r="J1699" i="2"/>
  <c r="B1699" i="2"/>
  <c r="N1698" i="2"/>
  <c r="M1698" i="2"/>
  <c r="L1698" i="2" a="1"/>
  <c r="L1698" i="2" s="1"/>
  <c r="K1698" i="2" a="1"/>
  <c r="K1698" i="2" s="1"/>
  <c r="J1698" i="2"/>
  <c r="B1698" i="2"/>
  <c r="N1697" i="2"/>
  <c r="M1697" i="2"/>
  <c r="L1697" i="2" a="1"/>
  <c r="L1697" i="2" s="1"/>
  <c r="K1697" i="2" a="1"/>
  <c r="K1697" i="2" s="1"/>
  <c r="J1697" i="2"/>
  <c r="B1697" i="2"/>
  <c r="N1696" i="2"/>
  <c r="M1696" i="2"/>
  <c r="L1696" i="2" a="1"/>
  <c r="L1696" i="2" s="1"/>
  <c r="K1696" i="2" a="1"/>
  <c r="K1696" i="2" s="1"/>
  <c r="J1696" i="2"/>
  <c r="B1696" i="2"/>
  <c r="N1695" i="2"/>
  <c r="M1695" i="2"/>
  <c r="L1695" i="2" a="1"/>
  <c r="L1695" i="2" s="1"/>
  <c r="K1695" i="2" a="1"/>
  <c r="K1695" i="2" s="1"/>
  <c r="J1695" i="2"/>
  <c r="B1695" i="2"/>
  <c r="N1694" i="2"/>
  <c r="M1694" i="2"/>
  <c r="L1694" i="2" a="1"/>
  <c r="L1694" i="2" s="1"/>
  <c r="K1694" i="2" a="1"/>
  <c r="K1694" i="2" s="1"/>
  <c r="J1694" i="2"/>
  <c r="B1694" i="2"/>
  <c r="N1693" i="2"/>
  <c r="M1693" i="2"/>
  <c r="L1693" i="2" a="1"/>
  <c r="L1693" i="2" s="1"/>
  <c r="K1693" i="2" a="1"/>
  <c r="K1693" i="2" s="1"/>
  <c r="J1693" i="2"/>
  <c r="B1693" i="2"/>
  <c r="N1692" i="2"/>
  <c r="M1692" i="2"/>
  <c r="L1692" i="2" a="1"/>
  <c r="L1692" i="2" s="1"/>
  <c r="K1692" i="2" a="1"/>
  <c r="K1692" i="2" s="1"/>
  <c r="J1692" i="2"/>
  <c r="B1692" i="2"/>
  <c r="N1691" i="2"/>
  <c r="M1691" i="2"/>
  <c r="L1691" i="2" a="1"/>
  <c r="L1691" i="2" s="1"/>
  <c r="K1691" i="2" a="1"/>
  <c r="K1691" i="2" s="1"/>
  <c r="J1691" i="2"/>
  <c r="B1691" i="2"/>
  <c r="N1690" i="2"/>
  <c r="M1690" i="2"/>
  <c r="L1690" i="2" a="1"/>
  <c r="L1690" i="2" s="1"/>
  <c r="K1690" i="2" a="1"/>
  <c r="K1690" i="2" s="1"/>
  <c r="J1690" i="2"/>
  <c r="B1690" i="2"/>
  <c r="N1689" i="2"/>
  <c r="M1689" i="2"/>
  <c r="L1689" i="2" a="1"/>
  <c r="L1689" i="2" s="1"/>
  <c r="K1689" i="2" a="1"/>
  <c r="K1689" i="2" s="1"/>
  <c r="J1689" i="2"/>
  <c r="B1689" i="2"/>
  <c r="N1688" i="2"/>
  <c r="M1688" i="2"/>
  <c r="L1688" i="2" a="1"/>
  <c r="L1688" i="2" s="1"/>
  <c r="K1688" i="2" a="1"/>
  <c r="K1688" i="2" s="1"/>
  <c r="J1688" i="2"/>
  <c r="B1688" i="2"/>
  <c r="N1687" i="2"/>
  <c r="M1687" i="2"/>
  <c r="L1687" i="2" a="1"/>
  <c r="L1687" i="2" s="1"/>
  <c r="K1687" i="2" a="1"/>
  <c r="K1687" i="2" s="1"/>
  <c r="J1687" i="2"/>
  <c r="B1687" i="2"/>
  <c r="N1686" i="2"/>
  <c r="M1686" i="2"/>
  <c r="L1686" i="2" a="1"/>
  <c r="L1686" i="2" s="1"/>
  <c r="K1686" i="2" a="1"/>
  <c r="K1686" i="2" s="1"/>
  <c r="J1686" i="2"/>
  <c r="B1686" i="2"/>
  <c r="N1685" i="2"/>
  <c r="M1685" i="2"/>
  <c r="L1685" i="2" a="1"/>
  <c r="L1685" i="2" s="1"/>
  <c r="K1685" i="2" a="1"/>
  <c r="K1685" i="2" s="1"/>
  <c r="J1685" i="2"/>
  <c r="B1685" i="2"/>
  <c r="N1684" i="2"/>
  <c r="M1684" i="2"/>
  <c r="L1684" i="2" a="1"/>
  <c r="L1684" i="2" s="1"/>
  <c r="K1684" i="2" a="1"/>
  <c r="K1684" i="2" s="1"/>
  <c r="J1684" i="2"/>
  <c r="B1684" i="2"/>
  <c r="N1683" i="2"/>
  <c r="M1683" i="2"/>
  <c r="L1683" i="2" a="1"/>
  <c r="L1683" i="2" s="1"/>
  <c r="K1683" i="2" a="1"/>
  <c r="K1683" i="2" s="1"/>
  <c r="J1683" i="2"/>
  <c r="B1683" i="2"/>
  <c r="N1682" i="2"/>
  <c r="M1682" i="2"/>
  <c r="L1682" i="2" a="1"/>
  <c r="L1682" i="2" s="1"/>
  <c r="K1682" i="2" a="1"/>
  <c r="K1682" i="2" s="1"/>
  <c r="J1682" i="2"/>
  <c r="B1682" i="2"/>
  <c r="N1681" i="2"/>
  <c r="M1681" i="2"/>
  <c r="L1681" i="2" a="1"/>
  <c r="L1681" i="2" s="1"/>
  <c r="K1681" i="2" a="1"/>
  <c r="K1681" i="2" s="1"/>
  <c r="J1681" i="2"/>
  <c r="B1681" i="2"/>
  <c r="N1680" i="2"/>
  <c r="M1680" i="2"/>
  <c r="L1680" i="2" a="1"/>
  <c r="L1680" i="2" s="1"/>
  <c r="K1680" i="2" a="1"/>
  <c r="K1680" i="2" s="1"/>
  <c r="J1680" i="2"/>
  <c r="B1680" i="2"/>
  <c r="N1679" i="2"/>
  <c r="M1679" i="2"/>
  <c r="L1679" i="2" a="1"/>
  <c r="L1679" i="2" s="1"/>
  <c r="K1679" i="2" a="1"/>
  <c r="K1679" i="2" s="1"/>
  <c r="J1679" i="2"/>
  <c r="B1679" i="2"/>
  <c r="N1678" i="2"/>
  <c r="M1678" i="2"/>
  <c r="L1678" i="2" a="1"/>
  <c r="L1678" i="2" s="1"/>
  <c r="K1678" i="2" a="1"/>
  <c r="K1678" i="2" s="1"/>
  <c r="J1678" i="2"/>
  <c r="B1678" i="2"/>
  <c r="N1677" i="2"/>
  <c r="M1677" i="2"/>
  <c r="L1677" i="2" a="1"/>
  <c r="L1677" i="2" s="1"/>
  <c r="K1677" i="2" a="1"/>
  <c r="K1677" i="2" s="1"/>
  <c r="J1677" i="2"/>
  <c r="B1677" i="2"/>
  <c r="N1676" i="2"/>
  <c r="M1676" i="2"/>
  <c r="L1676" i="2" a="1"/>
  <c r="L1676" i="2" s="1"/>
  <c r="K1676" i="2" a="1"/>
  <c r="K1676" i="2" s="1"/>
  <c r="J1676" i="2"/>
  <c r="B1676" i="2"/>
  <c r="N1675" i="2"/>
  <c r="M1675" i="2"/>
  <c r="L1675" i="2" a="1"/>
  <c r="L1675" i="2" s="1"/>
  <c r="K1675" i="2" a="1"/>
  <c r="K1675" i="2" s="1"/>
  <c r="J1675" i="2"/>
  <c r="B1675" i="2"/>
  <c r="N1674" i="2"/>
  <c r="M1674" i="2"/>
  <c r="L1674" i="2" a="1"/>
  <c r="L1674" i="2" s="1"/>
  <c r="K1674" i="2" a="1"/>
  <c r="K1674" i="2" s="1"/>
  <c r="J1674" i="2"/>
  <c r="B1674" i="2"/>
  <c r="N1673" i="2"/>
  <c r="M1673" i="2"/>
  <c r="L1673" i="2" a="1"/>
  <c r="L1673" i="2" s="1"/>
  <c r="K1673" i="2" a="1"/>
  <c r="K1673" i="2" s="1"/>
  <c r="J1673" i="2"/>
  <c r="B1673" i="2"/>
  <c r="N1672" i="2"/>
  <c r="M1672" i="2"/>
  <c r="L1672" i="2" a="1"/>
  <c r="L1672" i="2" s="1"/>
  <c r="K1672" i="2" a="1"/>
  <c r="K1672" i="2" s="1"/>
  <c r="J1672" i="2"/>
  <c r="B1672" i="2"/>
  <c r="N1671" i="2"/>
  <c r="M1671" i="2"/>
  <c r="L1671" i="2" a="1"/>
  <c r="L1671" i="2" s="1"/>
  <c r="K1671" i="2" a="1"/>
  <c r="K1671" i="2" s="1"/>
  <c r="J1671" i="2"/>
  <c r="B1671" i="2"/>
  <c r="N1670" i="2"/>
  <c r="M1670" i="2"/>
  <c r="L1670" i="2" a="1"/>
  <c r="L1670" i="2" s="1"/>
  <c r="K1670" i="2" a="1"/>
  <c r="K1670" i="2" s="1"/>
  <c r="J1670" i="2"/>
  <c r="B1670" i="2"/>
  <c r="V1669" i="2"/>
  <c r="N1669" i="2"/>
  <c r="M1669" i="2"/>
  <c r="L1669" i="2" a="1"/>
  <c r="L1669" i="2" s="1"/>
  <c r="K1669" i="2" a="1"/>
  <c r="K1669" i="2" s="1"/>
  <c r="J1669" i="2"/>
  <c r="B1669" i="2"/>
  <c r="N1668" i="2"/>
  <c r="M1668" i="2"/>
  <c r="L1668" i="2" a="1"/>
  <c r="L1668" i="2" s="1"/>
  <c r="K1668" i="2" a="1"/>
  <c r="K1668" i="2" s="1"/>
  <c r="J1668" i="2"/>
  <c r="B1668" i="2"/>
  <c r="N1667" i="2"/>
  <c r="M1667" i="2"/>
  <c r="L1667" i="2" a="1"/>
  <c r="L1667" i="2" s="1"/>
  <c r="K1667" i="2" a="1"/>
  <c r="K1667" i="2" s="1"/>
  <c r="J1667" i="2"/>
  <c r="B1667" i="2"/>
  <c r="N1666" i="2"/>
  <c r="M1666" i="2"/>
  <c r="L1666" i="2" a="1"/>
  <c r="L1666" i="2" s="1"/>
  <c r="K1666" i="2" a="1"/>
  <c r="K1666" i="2" s="1"/>
  <c r="J1666" i="2"/>
  <c r="B1666" i="2"/>
  <c r="N1665" i="2"/>
  <c r="M1665" i="2"/>
  <c r="L1665" i="2" a="1"/>
  <c r="L1665" i="2" s="1"/>
  <c r="K1665" i="2" a="1"/>
  <c r="K1665" i="2" s="1"/>
  <c r="J1665" i="2"/>
  <c r="B1665" i="2"/>
  <c r="N1664" i="2"/>
  <c r="M1664" i="2"/>
  <c r="L1664" i="2" a="1"/>
  <c r="L1664" i="2" s="1"/>
  <c r="K1664" i="2" a="1"/>
  <c r="K1664" i="2" s="1"/>
  <c r="J1664" i="2"/>
  <c r="B1664" i="2"/>
  <c r="N1663" i="2"/>
  <c r="M1663" i="2"/>
  <c r="L1663" i="2" a="1"/>
  <c r="L1663" i="2" s="1"/>
  <c r="K1663" i="2" a="1"/>
  <c r="K1663" i="2" s="1"/>
  <c r="J1663" i="2"/>
  <c r="B1663" i="2"/>
  <c r="N1662" i="2"/>
  <c r="M1662" i="2"/>
  <c r="L1662" i="2" a="1"/>
  <c r="L1662" i="2" s="1"/>
  <c r="K1662" i="2" a="1"/>
  <c r="K1662" i="2" s="1"/>
  <c r="J1662" i="2"/>
  <c r="B1662" i="2"/>
  <c r="U1661" i="2"/>
  <c r="A1660" i="2"/>
  <c r="J1659" i="2"/>
  <c r="N1658" i="2"/>
  <c r="M1658" i="2"/>
  <c r="L1658" i="2" a="1"/>
  <c r="L1658" i="2" s="1"/>
  <c r="K1658" i="2" a="1"/>
  <c r="K1658" i="2" s="1"/>
  <c r="J1658" i="2"/>
  <c r="B1658" i="2"/>
  <c r="N1657" i="2"/>
  <c r="M1657" i="2"/>
  <c r="L1657" i="2" a="1"/>
  <c r="L1657" i="2" s="1"/>
  <c r="K1657" i="2" a="1"/>
  <c r="K1657" i="2" s="1"/>
  <c r="J1657" i="2"/>
  <c r="B1657" i="2"/>
  <c r="N1656" i="2"/>
  <c r="M1656" i="2"/>
  <c r="L1656" i="2" a="1"/>
  <c r="L1656" i="2" s="1"/>
  <c r="K1656" i="2" a="1"/>
  <c r="K1656" i="2" s="1"/>
  <c r="J1656" i="2"/>
  <c r="B1656" i="2"/>
  <c r="N1655" i="2"/>
  <c r="M1655" i="2"/>
  <c r="L1655" i="2" a="1"/>
  <c r="L1655" i="2" s="1"/>
  <c r="K1655" i="2" a="1"/>
  <c r="K1655" i="2" s="1"/>
  <c r="J1655" i="2"/>
  <c r="B1655" i="2"/>
  <c r="N1654" i="2"/>
  <c r="M1654" i="2"/>
  <c r="L1654" i="2" a="1"/>
  <c r="L1654" i="2" s="1"/>
  <c r="K1654" i="2" a="1"/>
  <c r="K1654" i="2" s="1"/>
  <c r="J1654" i="2"/>
  <c r="B1654" i="2"/>
  <c r="N1653" i="2"/>
  <c r="M1653" i="2"/>
  <c r="L1653" i="2" a="1"/>
  <c r="L1653" i="2" s="1"/>
  <c r="K1653" i="2" a="1"/>
  <c r="K1653" i="2" s="1"/>
  <c r="J1653" i="2"/>
  <c r="B1653" i="2"/>
  <c r="N1652" i="2"/>
  <c r="M1652" i="2"/>
  <c r="L1652" i="2" a="1"/>
  <c r="L1652" i="2" s="1"/>
  <c r="K1652" i="2" a="1"/>
  <c r="K1652" i="2" s="1"/>
  <c r="J1652" i="2"/>
  <c r="B1652" i="2"/>
  <c r="N1651" i="2"/>
  <c r="M1651" i="2"/>
  <c r="L1651" i="2" a="1"/>
  <c r="L1651" i="2" s="1"/>
  <c r="K1651" i="2" a="1"/>
  <c r="K1651" i="2" s="1"/>
  <c r="J1651" i="2"/>
  <c r="B1651" i="2"/>
  <c r="N1650" i="2"/>
  <c r="M1650" i="2"/>
  <c r="L1650" i="2" a="1"/>
  <c r="L1650" i="2" s="1"/>
  <c r="K1650" i="2" a="1"/>
  <c r="K1650" i="2" s="1"/>
  <c r="J1650" i="2"/>
  <c r="B1650" i="2"/>
  <c r="N1649" i="2"/>
  <c r="M1649" i="2"/>
  <c r="L1649" i="2" a="1"/>
  <c r="L1649" i="2" s="1"/>
  <c r="K1649" i="2" a="1"/>
  <c r="K1649" i="2" s="1"/>
  <c r="J1649" i="2"/>
  <c r="B1649" i="2"/>
  <c r="N1648" i="2"/>
  <c r="M1648" i="2"/>
  <c r="L1648" i="2" a="1"/>
  <c r="L1648" i="2" s="1"/>
  <c r="K1648" i="2" a="1"/>
  <c r="K1648" i="2" s="1"/>
  <c r="J1648" i="2"/>
  <c r="B1648" i="2"/>
  <c r="N1647" i="2"/>
  <c r="M1647" i="2"/>
  <c r="L1647" i="2" a="1"/>
  <c r="L1647" i="2" s="1"/>
  <c r="K1647" i="2" a="1"/>
  <c r="K1647" i="2" s="1"/>
  <c r="J1647" i="2"/>
  <c r="B1647" i="2"/>
  <c r="N1646" i="2"/>
  <c r="M1646" i="2"/>
  <c r="L1646" i="2" a="1"/>
  <c r="L1646" i="2" s="1"/>
  <c r="K1646" i="2" a="1"/>
  <c r="K1646" i="2" s="1"/>
  <c r="J1646" i="2"/>
  <c r="B1646" i="2"/>
  <c r="N1645" i="2"/>
  <c r="M1645" i="2"/>
  <c r="L1645" i="2" a="1"/>
  <c r="L1645" i="2" s="1"/>
  <c r="K1645" i="2" a="1"/>
  <c r="K1645" i="2" s="1"/>
  <c r="J1645" i="2"/>
  <c r="B1645" i="2"/>
  <c r="N1644" i="2"/>
  <c r="M1644" i="2"/>
  <c r="L1644" i="2" a="1"/>
  <c r="L1644" i="2" s="1"/>
  <c r="K1644" i="2" a="1"/>
  <c r="K1644" i="2" s="1"/>
  <c r="J1644" i="2"/>
  <c r="B1644" i="2"/>
  <c r="N1643" i="2"/>
  <c r="M1643" i="2"/>
  <c r="L1643" i="2" a="1"/>
  <c r="L1643" i="2" s="1"/>
  <c r="K1643" i="2" a="1"/>
  <c r="K1643" i="2" s="1"/>
  <c r="J1643" i="2"/>
  <c r="B1643" i="2"/>
  <c r="N1642" i="2"/>
  <c r="M1642" i="2"/>
  <c r="L1642" i="2" a="1"/>
  <c r="L1642" i="2" s="1"/>
  <c r="K1642" i="2" a="1"/>
  <c r="K1642" i="2" s="1"/>
  <c r="J1642" i="2"/>
  <c r="B1642" i="2"/>
  <c r="N1641" i="2"/>
  <c r="M1641" i="2"/>
  <c r="L1641" i="2" a="1"/>
  <c r="L1641" i="2" s="1"/>
  <c r="K1641" i="2" a="1"/>
  <c r="K1641" i="2" s="1"/>
  <c r="J1641" i="2"/>
  <c r="B1641" i="2"/>
  <c r="N1640" i="2"/>
  <c r="M1640" i="2"/>
  <c r="L1640" i="2" a="1"/>
  <c r="L1640" i="2" s="1"/>
  <c r="K1640" i="2" a="1"/>
  <c r="K1640" i="2" s="1"/>
  <c r="J1640" i="2"/>
  <c r="B1640" i="2"/>
  <c r="N1639" i="2"/>
  <c r="M1639" i="2"/>
  <c r="L1639" i="2" a="1"/>
  <c r="L1639" i="2" s="1"/>
  <c r="K1639" i="2" a="1"/>
  <c r="K1639" i="2" s="1"/>
  <c r="J1639" i="2"/>
  <c r="B1639" i="2"/>
  <c r="N1638" i="2"/>
  <c r="M1638" i="2"/>
  <c r="L1638" i="2" a="1"/>
  <c r="L1638" i="2" s="1"/>
  <c r="K1638" i="2" a="1"/>
  <c r="K1638" i="2" s="1"/>
  <c r="J1638" i="2"/>
  <c r="B1638" i="2"/>
  <c r="N1637" i="2"/>
  <c r="M1637" i="2"/>
  <c r="L1637" i="2" a="1"/>
  <c r="L1637" i="2" s="1"/>
  <c r="K1637" i="2" a="1"/>
  <c r="K1637" i="2" s="1"/>
  <c r="J1637" i="2"/>
  <c r="B1637" i="2"/>
  <c r="N1636" i="2"/>
  <c r="M1636" i="2"/>
  <c r="L1636" i="2" a="1"/>
  <c r="L1636" i="2" s="1"/>
  <c r="K1636" i="2" a="1"/>
  <c r="K1636" i="2" s="1"/>
  <c r="J1636" i="2"/>
  <c r="B1636" i="2"/>
  <c r="N1635" i="2"/>
  <c r="M1635" i="2"/>
  <c r="L1635" i="2" a="1"/>
  <c r="L1635" i="2" s="1"/>
  <c r="K1635" i="2" a="1"/>
  <c r="K1635" i="2" s="1"/>
  <c r="J1635" i="2"/>
  <c r="B1635" i="2"/>
  <c r="N1634" i="2"/>
  <c r="M1634" i="2"/>
  <c r="L1634" i="2" a="1"/>
  <c r="L1634" i="2" s="1"/>
  <c r="K1634" i="2" a="1"/>
  <c r="K1634" i="2" s="1"/>
  <c r="J1634" i="2"/>
  <c r="B1634" i="2"/>
  <c r="N1633" i="2"/>
  <c r="M1633" i="2"/>
  <c r="L1633" i="2" a="1"/>
  <c r="L1633" i="2" s="1"/>
  <c r="K1633" i="2" a="1"/>
  <c r="K1633" i="2" s="1"/>
  <c r="J1633" i="2"/>
  <c r="B1633" i="2"/>
  <c r="N1632" i="2"/>
  <c r="M1632" i="2"/>
  <c r="L1632" i="2" a="1"/>
  <c r="L1632" i="2" s="1"/>
  <c r="K1632" i="2" a="1"/>
  <c r="K1632" i="2" s="1"/>
  <c r="J1632" i="2"/>
  <c r="B1632" i="2"/>
  <c r="N1631" i="2"/>
  <c r="M1631" i="2"/>
  <c r="L1631" i="2" a="1"/>
  <c r="L1631" i="2" s="1"/>
  <c r="K1631" i="2" a="1"/>
  <c r="K1631" i="2" s="1"/>
  <c r="J1631" i="2"/>
  <c r="B1631" i="2"/>
  <c r="N1630" i="2"/>
  <c r="M1630" i="2"/>
  <c r="L1630" i="2" a="1"/>
  <c r="L1630" i="2" s="1"/>
  <c r="K1630" i="2" a="1"/>
  <c r="K1630" i="2" s="1"/>
  <c r="J1630" i="2"/>
  <c r="B1630" i="2"/>
  <c r="N1629" i="2"/>
  <c r="M1629" i="2"/>
  <c r="L1629" i="2" a="1"/>
  <c r="L1629" i="2" s="1"/>
  <c r="K1629" i="2" a="1"/>
  <c r="K1629" i="2" s="1"/>
  <c r="J1629" i="2"/>
  <c r="B1629" i="2"/>
  <c r="N1628" i="2"/>
  <c r="M1628" i="2"/>
  <c r="L1628" i="2" a="1"/>
  <c r="L1628" i="2" s="1"/>
  <c r="K1628" i="2" a="1"/>
  <c r="K1628" i="2" s="1"/>
  <c r="J1628" i="2"/>
  <c r="B1628" i="2"/>
  <c r="N1627" i="2"/>
  <c r="M1627" i="2"/>
  <c r="L1627" i="2" a="1"/>
  <c r="L1627" i="2" s="1"/>
  <c r="K1627" i="2" a="1"/>
  <c r="K1627" i="2" s="1"/>
  <c r="J1627" i="2"/>
  <c r="B1627" i="2"/>
  <c r="N1626" i="2"/>
  <c r="M1626" i="2"/>
  <c r="L1626" i="2" a="1"/>
  <c r="L1626" i="2" s="1"/>
  <c r="K1626" i="2" a="1"/>
  <c r="K1626" i="2" s="1"/>
  <c r="J1626" i="2"/>
  <c r="B1626" i="2"/>
  <c r="N1625" i="2"/>
  <c r="M1625" i="2"/>
  <c r="L1625" i="2" a="1"/>
  <c r="L1625" i="2" s="1"/>
  <c r="K1625" i="2" a="1"/>
  <c r="K1625" i="2" s="1"/>
  <c r="J1625" i="2"/>
  <c r="B1625" i="2"/>
  <c r="N1624" i="2"/>
  <c r="M1624" i="2"/>
  <c r="L1624" i="2" a="1"/>
  <c r="L1624" i="2" s="1"/>
  <c r="K1624" i="2" a="1"/>
  <c r="K1624" i="2" s="1"/>
  <c r="J1624" i="2"/>
  <c r="B1624" i="2"/>
  <c r="N1623" i="2"/>
  <c r="M1623" i="2"/>
  <c r="L1623" i="2" a="1"/>
  <c r="L1623" i="2" s="1"/>
  <c r="K1623" i="2" a="1"/>
  <c r="K1623" i="2" s="1"/>
  <c r="J1623" i="2"/>
  <c r="B1623" i="2"/>
  <c r="N1622" i="2"/>
  <c r="M1622" i="2"/>
  <c r="L1622" i="2" a="1"/>
  <c r="L1622" i="2" s="1"/>
  <c r="K1622" i="2" a="1"/>
  <c r="K1622" i="2" s="1"/>
  <c r="J1622" i="2"/>
  <c r="B1622" i="2"/>
  <c r="N1621" i="2"/>
  <c r="M1621" i="2"/>
  <c r="L1621" i="2" a="1"/>
  <c r="L1621" i="2" s="1"/>
  <c r="K1621" i="2" a="1"/>
  <c r="K1621" i="2" s="1"/>
  <c r="J1621" i="2"/>
  <c r="B1621" i="2"/>
  <c r="N1620" i="2"/>
  <c r="M1620" i="2"/>
  <c r="L1620" i="2" a="1"/>
  <c r="L1620" i="2" s="1"/>
  <c r="K1620" i="2" a="1"/>
  <c r="K1620" i="2" s="1"/>
  <c r="J1620" i="2"/>
  <c r="B1620" i="2"/>
  <c r="N1619" i="2"/>
  <c r="M1619" i="2"/>
  <c r="L1619" i="2" a="1"/>
  <c r="L1619" i="2" s="1"/>
  <c r="K1619" i="2" a="1"/>
  <c r="K1619" i="2" s="1"/>
  <c r="J1619" i="2"/>
  <c r="B1619" i="2"/>
  <c r="N1618" i="2"/>
  <c r="M1618" i="2"/>
  <c r="L1618" i="2" a="1"/>
  <c r="L1618" i="2" s="1"/>
  <c r="K1618" i="2" a="1"/>
  <c r="K1618" i="2" s="1"/>
  <c r="J1618" i="2"/>
  <c r="B1618" i="2"/>
  <c r="N1617" i="2"/>
  <c r="M1617" i="2"/>
  <c r="L1617" i="2" a="1"/>
  <c r="L1617" i="2" s="1"/>
  <c r="K1617" i="2" a="1"/>
  <c r="K1617" i="2" s="1"/>
  <c r="J1617" i="2"/>
  <c r="B1617" i="2"/>
  <c r="N1616" i="2"/>
  <c r="M1616" i="2"/>
  <c r="L1616" i="2" a="1"/>
  <c r="L1616" i="2" s="1"/>
  <c r="K1616" i="2" a="1"/>
  <c r="K1616" i="2" s="1"/>
  <c r="J1616" i="2"/>
  <c r="B1616" i="2"/>
  <c r="N1615" i="2"/>
  <c r="M1615" i="2"/>
  <c r="L1615" i="2" a="1"/>
  <c r="L1615" i="2" s="1"/>
  <c r="K1615" i="2" a="1"/>
  <c r="K1615" i="2" s="1"/>
  <c r="J1615" i="2"/>
  <c r="B1615" i="2"/>
  <c r="N1614" i="2"/>
  <c r="M1614" i="2"/>
  <c r="L1614" i="2" a="1"/>
  <c r="L1614" i="2" s="1"/>
  <c r="K1614" i="2" a="1"/>
  <c r="K1614" i="2" s="1"/>
  <c r="J1614" i="2"/>
  <c r="B1614" i="2"/>
  <c r="N1613" i="2"/>
  <c r="M1613" i="2"/>
  <c r="L1613" i="2" a="1"/>
  <c r="L1613" i="2" s="1"/>
  <c r="K1613" i="2" a="1"/>
  <c r="K1613" i="2" s="1"/>
  <c r="J1613" i="2"/>
  <c r="B1613" i="2"/>
  <c r="N1612" i="2"/>
  <c r="M1612" i="2"/>
  <c r="L1612" i="2" a="1"/>
  <c r="L1612" i="2" s="1"/>
  <c r="K1612" i="2" a="1"/>
  <c r="K1612" i="2" s="1"/>
  <c r="J1612" i="2"/>
  <c r="B1612" i="2"/>
  <c r="N1611" i="2"/>
  <c r="M1611" i="2"/>
  <c r="L1611" i="2" a="1"/>
  <c r="L1611" i="2" s="1"/>
  <c r="K1611" i="2" a="1"/>
  <c r="K1611" i="2" s="1"/>
  <c r="J1611" i="2"/>
  <c r="B1611" i="2"/>
  <c r="N1610" i="2"/>
  <c r="M1610" i="2"/>
  <c r="L1610" i="2" a="1"/>
  <c r="L1610" i="2" s="1"/>
  <c r="K1610" i="2" a="1"/>
  <c r="K1610" i="2" s="1"/>
  <c r="J1610" i="2"/>
  <c r="B1610" i="2"/>
  <c r="N1609" i="2"/>
  <c r="M1609" i="2"/>
  <c r="L1609" i="2" a="1"/>
  <c r="L1609" i="2" s="1"/>
  <c r="K1609" i="2" a="1"/>
  <c r="K1609" i="2" s="1"/>
  <c r="J1609" i="2"/>
  <c r="B1609" i="2"/>
  <c r="N1608" i="2"/>
  <c r="M1608" i="2"/>
  <c r="L1608" i="2" a="1"/>
  <c r="L1608" i="2" s="1"/>
  <c r="K1608" i="2" a="1"/>
  <c r="K1608" i="2" s="1"/>
  <c r="J1608" i="2"/>
  <c r="B1608" i="2"/>
  <c r="N1607" i="2"/>
  <c r="M1607" i="2"/>
  <c r="L1607" i="2" a="1"/>
  <c r="L1607" i="2" s="1"/>
  <c r="K1607" i="2" a="1"/>
  <c r="K1607" i="2" s="1"/>
  <c r="J1607" i="2"/>
  <c r="B1607" i="2"/>
  <c r="N1606" i="2"/>
  <c r="M1606" i="2"/>
  <c r="L1606" i="2" a="1"/>
  <c r="L1606" i="2" s="1"/>
  <c r="K1606" i="2" a="1"/>
  <c r="K1606" i="2" s="1"/>
  <c r="J1606" i="2"/>
  <c r="B1606" i="2"/>
  <c r="N1605" i="2"/>
  <c r="M1605" i="2"/>
  <c r="L1605" i="2" a="1"/>
  <c r="L1605" i="2" s="1"/>
  <c r="K1605" i="2" a="1"/>
  <c r="K1605" i="2" s="1"/>
  <c r="J1605" i="2"/>
  <c r="B1605" i="2"/>
  <c r="N1604" i="2"/>
  <c r="M1604" i="2"/>
  <c r="L1604" i="2" a="1"/>
  <c r="L1604" i="2" s="1"/>
  <c r="K1604" i="2" a="1"/>
  <c r="K1604" i="2" s="1"/>
  <c r="J1604" i="2"/>
  <c r="B1604" i="2"/>
  <c r="N1603" i="2"/>
  <c r="M1603" i="2"/>
  <c r="L1603" i="2" a="1"/>
  <c r="L1603" i="2" s="1"/>
  <c r="K1603" i="2" a="1"/>
  <c r="K1603" i="2" s="1"/>
  <c r="J1603" i="2"/>
  <c r="B1603" i="2"/>
  <c r="N1602" i="2"/>
  <c r="M1602" i="2"/>
  <c r="L1602" i="2" a="1"/>
  <c r="L1602" i="2" s="1"/>
  <c r="K1602" i="2" a="1"/>
  <c r="K1602" i="2" s="1"/>
  <c r="J1602" i="2"/>
  <c r="B1602" i="2"/>
  <c r="N1601" i="2"/>
  <c r="M1601" i="2"/>
  <c r="L1601" i="2" a="1"/>
  <c r="L1601" i="2" s="1"/>
  <c r="K1601" i="2" a="1"/>
  <c r="K1601" i="2" s="1"/>
  <c r="J1601" i="2"/>
  <c r="B1601" i="2"/>
  <c r="N1600" i="2"/>
  <c r="M1600" i="2"/>
  <c r="L1600" i="2" a="1"/>
  <c r="L1600" i="2" s="1"/>
  <c r="K1600" i="2" a="1"/>
  <c r="K1600" i="2" s="1"/>
  <c r="J1600" i="2"/>
  <c r="B1600" i="2"/>
  <c r="N1599" i="2"/>
  <c r="M1599" i="2"/>
  <c r="L1599" i="2" a="1"/>
  <c r="L1599" i="2" s="1"/>
  <c r="K1599" i="2" a="1"/>
  <c r="K1599" i="2" s="1"/>
  <c r="J1599" i="2"/>
  <c r="B1599" i="2"/>
  <c r="N1598" i="2"/>
  <c r="M1598" i="2"/>
  <c r="L1598" i="2" a="1"/>
  <c r="L1598" i="2" s="1"/>
  <c r="K1598" i="2" a="1"/>
  <c r="K1598" i="2" s="1"/>
  <c r="J1598" i="2"/>
  <c r="B1598" i="2"/>
  <c r="N1597" i="2"/>
  <c r="M1597" i="2"/>
  <c r="L1597" i="2" a="1"/>
  <c r="L1597" i="2" s="1"/>
  <c r="K1597" i="2" a="1"/>
  <c r="K1597" i="2" s="1"/>
  <c r="J1597" i="2"/>
  <c r="B1597" i="2"/>
  <c r="N1596" i="2"/>
  <c r="M1596" i="2"/>
  <c r="L1596" i="2" a="1"/>
  <c r="L1596" i="2" s="1"/>
  <c r="K1596" i="2" a="1"/>
  <c r="K1596" i="2" s="1"/>
  <c r="J1596" i="2"/>
  <c r="B1596" i="2"/>
  <c r="N1595" i="2"/>
  <c r="M1595" i="2"/>
  <c r="L1595" i="2" a="1"/>
  <c r="L1595" i="2" s="1"/>
  <c r="K1595" i="2" a="1"/>
  <c r="K1595" i="2" s="1"/>
  <c r="J1595" i="2"/>
  <c r="B1595" i="2"/>
  <c r="N1594" i="2"/>
  <c r="M1594" i="2"/>
  <c r="L1594" i="2" a="1"/>
  <c r="L1594" i="2" s="1"/>
  <c r="K1594" i="2" a="1"/>
  <c r="K1594" i="2" s="1"/>
  <c r="J1594" i="2"/>
  <c r="B1594" i="2"/>
  <c r="N1593" i="2"/>
  <c r="M1593" i="2"/>
  <c r="L1593" i="2" a="1"/>
  <c r="L1593" i="2" s="1"/>
  <c r="K1593" i="2" a="1"/>
  <c r="K1593" i="2" s="1"/>
  <c r="J1593" i="2"/>
  <c r="B1593" i="2"/>
  <c r="N1592" i="2"/>
  <c r="M1592" i="2"/>
  <c r="L1592" i="2" a="1"/>
  <c r="L1592" i="2" s="1"/>
  <c r="K1592" i="2" a="1"/>
  <c r="K1592" i="2" s="1"/>
  <c r="J1592" i="2"/>
  <c r="B1592" i="2"/>
  <c r="N1591" i="2"/>
  <c r="M1591" i="2"/>
  <c r="L1591" i="2" a="1"/>
  <c r="L1591" i="2" s="1"/>
  <c r="K1591" i="2" a="1"/>
  <c r="K1591" i="2" s="1"/>
  <c r="J1591" i="2"/>
  <c r="B1591" i="2"/>
  <c r="N1590" i="2"/>
  <c r="M1590" i="2"/>
  <c r="L1590" i="2" a="1"/>
  <c r="L1590" i="2" s="1"/>
  <c r="K1590" i="2" a="1"/>
  <c r="K1590" i="2" s="1"/>
  <c r="J1590" i="2"/>
  <c r="B1590" i="2"/>
  <c r="N1589" i="2"/>
  <c r="M1589" i="2"/>
  <c r="L1589" i="2" a="1"/>
  <c r="L1589" i="2" s="1"/>
  <c r="K1589" i="2" a="1"/>
  <c r="K1589" i="2" s="1"/>
  <c r="J1589" i="2"/>
  <c r="B1589" i="2"/>
  <c r="N1588" i="2"/>
  <c r="M1588" i="2"/>
  <c r="L1588" i="2" a="1"/>
  <c r="L1588" i="2" s="1"/>
  <c r="K1588" i="2" a="1"/>
  <c r="K1588" i="2" s="1"/>
  <c r="J1588" i="2"/>
  <c r="B1588" i="2"/>
  <c r="N1587" i="2"/>
  <c r="M1587" i="2"/>
  <c r="L1587" i="2" a="1"/>
  <c r="L1587" i="2" s="1"/>
  <c r="K1587" i="2" a="1"/>
  <c r="K1587" i="2" s="1"/>
  <c r="J1587" i="2"/>
  <c r="B1587" i="2"/>
  <c r="N1586" i="2"/>
  <c r="M1586" i="2"/>
  <c r="L1586" i="2" a="1"/>
  <c r="L1586" i="2" s="1"/>
  <c r="K1586" i="2" a="1"/>
  <c r="K1586" i="2" s="1"/>
  <c r="J1586" i="2"/>
  <c r="B1586" i="2"/>
  <c r="N1585" i="2"/>
  <c r="M1585" i="2"/>
  <c r="L1585" i="2" a="1"/>
  <c r="L1585" i="2" s="1"/>
  <c r="K1585" i="2" a="1"/>
  <c r="K1585" i="2" s="1"/>
  <c r="J1585" i="2"/>
  <c r="B1585" i="2"/>
  <c r="N1584" i="2"/>
  <c r="M1584" i="2"/>
  <c r="L1584" i="2" a="1"/>
  <c r="L1584" i="2" s="1"/>
  <c r="K1584" i="2" a="1"/>
  <c r="K1584" i="2" s="1"/>
  <c r="J1584" i="2"/>
  <c r="B1584" i="2"/>
  <c r="N1583" i="2"/>
  <c r="M1583" i="2"/>
  <c r="L1583" i="2" a="1"/>
  <c r="L1583" i="2" s="1"/>
  <c r="K1583" i="2" a="1"/>
  <c r="K1583" i="2" s="1"/>
  <c r="J1583" i="2"/>
  <c r="B1583" i="2"/>
  <c r="N1582" i="2"/>
  <c r="M1582" i="2"/>
  <c r="L1582" i="2" a="1"/>
  <c r="L1582" i="2" s="1"/>
  <c r="K1582" i="2" a="1"/>
  <c r="K1582" i="2" s="1"/>
  <c r="J1582" i="2"/>
  <c r="B1582" i="2"/>
  <c r="N1581" i="2"/>
  <c r="M1581" i="2"/>
  <c r="L1581" i="2" a="1"/>
  <c r="L1581" i="2" s="1"/>
  <c r="K1581" i="2" a="1"/>
  <c r="K1581" i="2" s="1"/>
  <c r="J1581" i="2"/>
  <c r="B1581" i="2"/>
  <c r="N1580" i="2"/>
  <c r="M1580" i="2"/>
  <c r="L1580" i="2" a="1"/>
  <c r="L1580" i="2" s="1"/>
  <c r="K1580" i="2" a="1"/>
  <c r="K1580" i="2" s="1"/>
  <c r="J1580" i="2"/>
  <c r="B1580" i="2"/>
  <c r="N1579" i="2"/>
  <c r="M1579" i="2"/>
  <c r="L1579" i="2" a="1"/>
  <c r="L1579" i="2" s="1"/>
  <c r="K1579" i="2" a="1"/>
  <c r="K1579" i="2" s="1"/>
  <c r="J1579" i="2"/>
  <c r="B1579" i="2"/>
  <c r="N1578" i="2"/>
  <c r="M1578" i="2"/>
  <c r="L1578" i="2" a="1"/>
  <c r="L1578" i="2" s="1"/>
  <c r="K1578" i="2" a="1"/>
  <c r="K1578" i="2" s="1"/>
  <c r="J1578" i="2"/>
  <c r="B1578" i="2"/>
  <c r="N1577" i="2"/>
  <c r="M1577" i="2"/>
  <c r="L1577" i="2" a="1"/>
  <c r="L1577" i="2" s="1"/>
  <c r="K1577" i="2" a="1"/>
  <c r="K1577" i="2" s="1"/>
  <c r="J1577" i="2"/>
  <c r="B1577" i="2"/>
  <c r="N1576" i="2"/>
  <c r="M1576" i="2"/>
  <c r="L1576" i="2" a="1"/>
  <c r="L1576" i="2" s="1"/>
  <c r="K1576" i="2" a="1"/>
  <c r="K1576" i="2" s="1"/>
  <c r="J1576" i="2"/>
  <c r="B1576" i="2"/>
  <c r="N1575" i="2"/>
  <c r="M1575" i="2"/>
  <c r="L1575" i="2" a="1"/>
  <c r="L1575" i="2" s="1"/>
  <c r="K1575" i="2" a="1"/>
  <c r="K1575" i="2" s="1"/>
  <c r="J1575" i="2"/>
  <c r="B1575" i="2"/>
  <c r="N1574" i="2"/>
  <c r="M1574" i="2"/>
  <c r="L1574" i="2" a="1"/>
  <c r="L1574" i="2" s="1"/>
  <c r="K1574" i="2" a="1"/>
  <c r="K1574" i="2" s="1"/>
  <c r="J1574" i="2"/>
  <c r="B1574" i="2"/>
  <c r="N1573" i="2"/>
  <c r="M1573" i="2"/>
  <c r="L1573" i="2" a="1"/>
  <c r="L1573" i="2" s="1"/>
  <c r="K1573" i="2" a="1"/>
  <c r="K1573" i="2" s="1"/>
  <c r="J1573" i="2"/>
  <c r="B1573" i="2"/>
  <c r="N1572" i="2"/>
  <c r="M1572" i="2"/>
  <c r="L1572" i="2" a="1"/>
  <c r="L1572" i="2" s="1"/>
  <c r="K1572" i="2" a="1"/>
  <c r="K1572" i="2" s="1"/>
  <c r="J1572" i="2"/>
  <c r="B1572" i="2"/>
  <c r="N1571" i="2"/>
  <c r="M1571" i="2"/>
  <c r="L1571" i="2" a="1"/>
  <c r="L1571" i="2" s="1"/>
  <c r="K1571" i="2" a="1"/>
  <c r="K1571" i="2" s="1"/>
  <c r="J1571" i="2"/>
  <c r="B1571" i="2"/>
  <c r="N1570" i="2"/>
  <c r="M1570" i="2"/>
  <c r="L1570" i="2" a="1"/>
  <c r="L1570" i="2" s="1"/>
  <c r="K1570" i="2" a="1"/>
  <c r="K1570" i="2" s="1"/>
  <c r="J1570" i="2"/>
  <c r="B1570" i="2"/>
  <c r="N1569" i="2"/>
  <c r="M1569" i="2"/>
  <c r="L1569" i="2" a="1"/>
  <c r="L1569" i="2" s="1"/>
  <c r="K1569" i="2" a="1"/>
  <c r="K1569" i="2" s="1"/>
  <c r="J1569" i="2"/>
  <c r="B1569" i="2"/>
  <c r="N1568" i="2"/>
  <c r="M1568" i="2"/>
  <c r="L1568" i="2" a="1"/>
  <c r="L1568" i="2" s="1"/>
  <c r="K1568" i="2" a="1"/>
  <c r="K1568" i="2" s="1"/>
  <c r="J1568" i="2"/>
  <c r="B1568" i="2"/>
  <c r="N1567" i="2"/>
  <c r="M1567" i="2"/>
  <c r="L1567" i="2" a="1"/>
  <c r="L1567" i="2" s="1"/>
  <c r="K1567" i="2" a="1"/>
  <c r="K1567" i="2" s="1"/>
  <c r="J1567" i="2"/>
  <c r="B1567" i="2"/>
  <c r="V1566" i="2"/>
  <c r="N1566" i="2"/>
  <c r="M1566" i="2"/>
  <c r="L1566" i="2" a="1"/>
  <c r="L1566" i="2" s="1"/>
  <c r="K1566" i="2" a="1"/>
  <c r="K1566" i="2" s="1"/>
  <c r="J1566" i="2"/>
  <c r="B1566" i="2"/>
  <c r="N1565" i="2"/>
  <c r="M1565" i="2"/>
  <c r="L1565" i="2" a="1"/>
  <c r="L1565" i="2" s="1"/>
  <c r="K1565" i="2" a="1"/>
  <c r="K1565" i="2" s="1"/>
  <c r="J1565" i="2"/>
  <c r="B1565" i="2"/>
  <c r="N1564" i="2"/>
  <c r="M1564" i="2"/>
  <c r="L1564" i="2" a="1"/>
  <c r="L1564" i="2" s="1"/>
  <c r="K1564" i="2" a="1"/>
  <c r="K1564" i="2" s="1"/>
  <c r="J1564" i="2"/>
  <c r="B1564" i="2"/>
  <c r="N1563" i="2"/>
  <c r="M1563" i="2"/>
  <c r="L1563" i="2" a="1"/>
  <c r="L1563" i="2" s="1"/>
  <c r="K1563" i="2" a="1"/>
  <c r="K1563" i="2" s="1"/>
  <c r="J1563" i="2"/>
  <c r="B1563" i="2"/>
  <c r="N1562" i="2"/>
  <c r="M1562" i="2"/>
  <c r="L1562" i="2" a="1"/>
  <c r="L1562" i="2" s="1"/>
  <c r="K1562" i="2" a="1"/>
  <c r="K1562" i="2" s="1"/>
  <c r="J1562" i="2"/>
  <c r="B1562" i="2"/>
  <c r="N1561" i="2"/>
  <c r="M1561" i="2"/>
  <c r="L1561" i="2" a="1"/>
  <c r="L1561" i="2" s="1"/>
  <c r="K1561" i="2" a="1"/>
  <c r="K1561" i="2" s="1"/>
  <c r="J1561" i="2"/>
  <c r="B1561" i="2"/>
  <c r="N1560" i="2"/>
  <c r="M1560" i="2"/>
  <c r="L1560" i="2" a="1"/>
  <c r="L1560" i="2" s="1"/>
  <c r="K1560" i="2" a="1"/>
  <c r="K1560" i="2" s="1"/>
  <c r="J1560" i="2"/>
  <c r="B1560" i="2"/>
  <c r="N1559" i="2"/>
  <c r="M1559" i="2"/>
  <c r="L1559" i="2" a="1"/>
  <c r="L1559" i="2" s="1"/>
  <c r="K1559" i="2" a="1"/>
  <c r="K1559" i="2" s="1"/>
  <c r="J1559" i="2"/>
  <c r="B1559" i="2"/>
  <c r="U1558" i="2"/>
  <c r="A1557" i="2"/>
  <c r="J1556" i="2"/>
  <c r="N1555" i="2"/>
  <c r="M1555" i="2"/>
  <c r="L1555" i="2" a="1"/>
  <c r="L1555" i="2" s="1"/>
  <c r="K1555" i="2" a="1"/>
  <c r="K1555" i="2" s="1"/>
  <c r="J1555" i="2"/>
  <c r="B1555" i="2"/>
  <c r="N1554" i="2"/>
  <c r="M1554" i="2"/>
  <c r="L1554" i="2" a="1"/>
  <c r="L1554" i="2" s="1"/>
  <c r="K1554" i="2" a="1"/>
  <c r="K1554" i="2" s="1"/>
  <c r="J1554" i="2"/>
  <c r="B1554" i="2"/>
  <c r="N1553" i="2"/>
  <c r="M1553" i="2"/>
  <c r="L1553" i="2" a="1"/>
  <c r="L1553" i="2" s="1"/>
  <c r="K1553" i="2" a="1"/>
  <c r="K1553" i="2" s="1"/>
  <c r="J1553" i="2"/>
  <c r="B1553" i="2"/>
  <c r="N1552" i="2"/>
  <c r="M1552" i="2"/>
  <c r="L1552" i="2" a="1"/>
  <c r="L1552" i="2" s="1"/>
  <c r="K1552" i="2" a="1"/>
  <c r="K1552" i="2" s="1"/>
  <c r="J1552" i="2"/>
  <c r="B1552" i="2"/>
  <c r="N1551" i="2"/>
  <c r="M1551" i="2"/>
  <c r="L1551" i="2" a="1"/>
  <c r="L1551" i="2" s="1"/>
  <c r="K1551" i="2" a="1"/>
  <c r="K1551" i="2" s="1"/>
  <c r="J1551" i="2"/>
  <c r="B1551" i="2"/>
  <c r="N1550" i="2"/>
  <c r="M1550" i="2"/>
  <c r="L1550" i="2" a="1"/>
  <c r="L1550" i="2" s="1"/>
  <c r="K1550" i="2" a="1"/>
  <c r="K1550" i="2" s="1"/>
  <c r="J1550" i="2"/>
  <c r="B1550" i="2"/>
  <c r="N1549" i="2"/>
  <c r="M1549" i="2"/>
  <c r="L1549" i="2" a="1"/>
  <c r="L1549" i="2" s="1"/>
  <c r="K1549" i="2" a="1"/>
  <c r="K1549" i="2" s="1"/>
  <c r="J1549" i="2"/>
  <c r="B1549" i="2"/>
  <c r="N1548" i="2"/>
  <c r="M1548" i="2"/>
  <c r="L1548" i="2" a="1"/>
  <c r="L1548" i="2" s="1"/>
  <c r="K1548" i="2" a="1"/>
  <c r="K1548" i="2" s="1"/>
  <c r="J1548" i="2"/>
  <c r="B1548" i="2"/>
  <c r="N1547" i="2"/>
  <c r="M1547" i="2"/>
  <c r="L1547" i="2" a="1"/>
  <c r="L1547" i="2" s="1"/>
  <c r="K1547" i="2" a="1"/>
  <c r="K1547" i="2" s="1"/>
  <c r="J1547" i="2"/>
  <c r="B1547" i="2"/>
  <c r="N1546" i="2"/>
  <c r="M1546" i="2"/>
  <c r="L1546" i="2" a="1"/>
  <c r="L1546" i="2" s="1"/>
  <c r="K1546" i="2" a="1"/>
  <c r="K1546" i="2" s="1"/>
  <c r="J1546" i="2"/>
  <c r="B1546" i="2"/>
  <c r="N1545" i="2"/>
  <c r="M1545" i="2"/>
  <c r="L1545" i="2" a="1"/>
  <c r="L1545" i="2" s="1"/>
  <c r="K1545" i="2" a="1"/>
  <c r="K1545" i="2" s="1"/>
  <c r="J1545" i="2"/>
  <c r="B1545" i="2"/>
  <c r="N1544" i="2"/>
  <c r="M1544" i="2"/>
  <c r="L1544" i="2" a="1"/>
  <c r="L1544" i="2" s="1"/>
  <c r="K1544" i="2" a="1"/>
  <c r="K1544" i="2" s="1"/>
  <c r="J1544" i="2"/>
  <c r="B1544" i="2"/>
  <c r="N1543" i="2"/>
  <c r="M1543" i="2"/>
  <c r="L1543" i="2" a="1"/>
  <c r="L1543" i="2" s="1"/>
  <c r="K1543" i="2" a="1"/>
  <c r="K1543" i="2" s="1"/>
  <c r="J1543" i="2"/>
  <c r="B1543" i="2"/>
  <c r="N1542" i="2"/>
  <c r="M1542" i="2"/>
  <c r="L1542" i="2" a="1"/>
  <c r="L1542" i="2" s="1"/>
  <c r="K1542" i="2" a="1"/>
  <c r="K1542" i="2" s="1"/>
  <c r="J1542" i="2"/>
  <c r="B1542" i="2"/>
  <c r="N1541" i="2"/>
  <c r="M1541" i="2"/>
  <c r="L1541" i="2" a="1"/>
  <c r="L1541" i="2" s="1"/>
  <c r="K1541" i="2" a="1"/>
  <c r="K1541" i="2" s="1"/>
  <c r="J1541" i="2"/>
  <c r="B1541" i="2"/>
  <c r="N1540" i="2"/>
  <c r="M1540" i="2"/>
  <c r="L1540" i="2" a="1"/>
  <c r="L1540" i="2" s="1"/>
  <c r="K1540" i="2" a="1"/>
  <c r="K1540" i="2" s="1"/>
  <c r="J1540" i="2"/>
  <c r="B1540" i="2"/>
  <c r="N1539" i="2"/>
  <c r="M1539" i="2"/>
  <c r="L1539" i="2" a="1"/>
  <c r="L1539" i="2" s="1"/>
  <c r="K1539" i="2" a="1"/>
  <c r="K1539" i="2" s="1"/>
  <c r="J1539" i="2"/>
  <c r="B1539" i="2"/>
  <c r="N1538" i="2"/>
  <c r="M1538" i="2"/>
  <c r="L1538" i="2" a="1"/>
  <c r="L1538" i="2" s="1"/>
  <c r="K1538" i="2" a="1"/>
  <c r="K1538" i="2" s="1"/>
  <c r="J1538" i="2"/>
  <c r="B1538" i="2"/>
  <c r="N1537" i="2"/>
  <c r="M1537" i="2"/>
  <c r="L1537" i="2" a="1"/>
  <c r="L1537" i="2" s="1"/>
  <c r="K1537" i="2" a="1"/>
  <c r="K1537" i="2" s="1"/>
  <c r="J1537" i="2"/>
  <c r="B1537" i="2"/>
  <c r="N1536" i="2"/>
  <c r="M1536" i="2"/>
  <c r="L1536" i="2" a="1"/>
  <c r="L1536" i="2" s="1"/>
  <c r="K1536" i="2" a="1"/>
  <c r="K1536" i="2" s="1"/>
  <c r="J1536" i="2"/>
  <c r="B1536" i="2"/>
  <c r="N1535" i="2"/>
  <c r="M1535" i="2"/>
  <c r="L1535" i="2" a="1"/>
  <c r="L1535" i="2" s="1"/>
  <c r="K1535" i="2" a="1"/>
  <c r="K1535" i="2" s="1"/>
  <c r="J1535" i="2"/>
  <c r="B1535" i="2"/>
  <c r="N1534" i="2"/>
  <c r="M1534" i="2"/>
  <c r="L1534" i="2" a="1"/>
  <c r="L1534" i="2" s="1"/>
  <c r="K1534" i="2" a="1"/>
  <c r="K1534" i="2" s="1"/>
  <c r="J1534" i="2"/>
  <c r="B1534" i="2"/>
  <c r="N1533" i="2"/>
  <c r="M1533" i="2"/>
  <c r="L1533" i="2" a="1"/>
  <c r="L1533" i="2" s="1"/>
  <c r="K1533" i="2" a="1"/>
  <c r="K1533" i="2" s="1"/>
  <c r="J1533" i="2"/>
  <c r="B1533" i="2"/>
  <c r="N1532" i="2"/>
  <c r="M1532" i="2"/>
  <c r="L1532" i="2" a="1"/>
  <c r="L1532" i="2" s="1"/>
  <c r="K1532" i="2" a="1"/>
  <c r="K1532" i="2" s="1"/>
  <c r="J1532" i="2"/>
  <c r="B1532" i="2"/>
  <c r="N1531" i="2"/>
  <c r="M1531" i="2"/>
  <c r="L1531" i="2" a="1"/>
  <c r="L1531" i="2" s="1"/>
  <c r="K1531" i="2" a="1"/>
  <c r="K1531" i="2" s="1"/>
  <c r="J1531" i="2"/>
  <c r="B1531" i="2"/>
  <c r="N1530" i="2"/>
  <c r="M1530" i="2"/>
  <c r="L1530" i="2" a="1"/>
  <c r="L1530" i="2" s="1"/>
  <c r="K1530" i="2" a="1"/>
  <c r="K1530" i="2" s="1"/>
  <c r="J1530" i="2"/>
  <c r="B1530" i="2"/>
  <c r="N1529" i="2"/>
  <c r="M1529" i="2"/>
  <c r="L1529" i="2" a="1"/>
  <c r="L1529" i="2" s="1"/>
  <c r="K1529" i="2" a="1"/>
  <c r="K1529" i="2" s="1"/>
  <c r="J1529" i="2"/>
  <c r="B1529" i="2"/>
  <c r="N1528" i="2"/>
  <c r="M1528" i="2"/>
  <c r="L1528" i="2" a="1"/>
  <c r="L1528" i="2" s="1"/>
  <c r="K1528" i="2" a="1"/>
  <c r="K1528" i="2" s="1"/>
  <c r="J1528" i="2"/>
  <c r="B1528" i="2"/>
  <c r="N1527" i="2"/>
  <c r="M1527" i="2"/>
  <c r="L1527" i="2" a="1"/>
  <c r="L1527" i="2" s="1"/>
  <c r="K1527" i="2" a="1"/>
  <c r="K1527" i="2" s="1"/>
  <c r="J1527" i="2"/>
  <c r="B1527" i="2"/>
  <c r="N1526" i="2"/>
  <c r="M1526" i="2"/>
  <c r="L1526" i="2" a="1"/>
  <c r="L1526" i="2" s="1"/>
  <c r="K1526" i="2" a="1"/>
  <c r="K1526" i="2" s="1"/>
  <c r="J1526" i="2"/>
  <c r="B1526" i="2"/>
  <c r="N1525" i="2"/>
  <c r="M1525" i="2"/>
  <c r="L1525" i="2" a="1"/>
  <c r="L1525" i="2" s="1"/>
  <c r="K1525" i="2" a="1"/>
  <c r="K1525" i="2" s="1"/>
  <c r="J1525" i="2"/>
  <c r="B1525" i="2"/>
  <c r="N1524" i="2"/>
  <c r="M1524" i="2"/>
  <c r="L1524" i="2" a="1"/>
  <c r="L1524" i="2" s="1"/>
  <c r="K1524" i="2" a="1"/>
  <c r="K1524" i="2" s="1"/>
  <c r="J1524" i="2"/>
  <c r="B1524" i="2"/>
  <c r="N1523" i="2"/>
  <c r="M1523" i="2"/>
  <c r="L1523" i="2" a="1"/>
  <c r="L1523" i="2" s="1"/>
  <c r="K1523" i="2" a="1"/>
  <c r="K1523" i="2" s="1"/>
  <c r="J1523" i="2"/>
  <c r="B1523" i="2"/>
  <c r="N1522" i="2"/>
  <c r="M1522" i="2"/>
  <c r="L1522" i="2" a="1"/>
  <c r="L1522" i="2" s="1"/>
  <c r="K1522" i="2" a="1"/>
  <c r="K1522" i="2" s="1"/>
  <c r="J1522" i="2"/>
  <c r="B1522" i="2"/>
  <c r="N1521" i="2"/>
  <c r="M1521" i="2"/>
  <c r="L1521" i="2" a="1"/>
  <c r="L1521" i="2" s="1"/>
  <c r="K1521" i="2" a="1"/>
  <c r="K1521" i="2" s="1"/>
  <c r="J1521" i="2"/>
  <c r="B1521" i="2"/>
  <c r="N1520" i="2"/>
  <c r="M1520" i="2"/>
  <c r="L1520" i="2" a="1"/>
  <c r="L1520" i="2" s="1"/>
  <c r="K1520" i="2" a="1"/>
  <c r="K1520" i="2" s="1"/>
  <c r="J1520" i="2"/>
  <c r="B1520" i="2"/>
  <c r="N1519" i="2"/>
  <c r="M1519" i="2"/>
  <c r="L1519" i="2" a="1"/>
  <c r="L1519" i="2" s="1"/>
  <c r="K1519" i="2" a="1"/>
  <c r="K1519" i="2" s="1"/>
  <c r="J1519" i="2"/>
  <c r="B1519" i="2"/>
  <c r="N1518" i="2"/>
  <c r="M1518" i="2"/>
  <c r="L1518" i="2" a="1"/>
  <c r="L1518" i="2" s="1"/>
  <c r="K1518" i="2" a="1"/>
  <c r="K1518" i="2" s="1"/>
  <c r="J1518" i="2"/>
  <c r="B1518" i="2"/>
  <c r="N1517" i="2"/>
  <c r="M1517" i="2"/>
  <c r="L1517" i="2" a="1"/>
  <c r="L1517" i="2" s="1"/>
  <c r="K1517" i="2" a="1"/>
  <c r="K1517" i="2" s="1"/>
  <c r="J1517" i="2"/>
  <c r="B1517" i="2"/>
  <c r="N1516" i="2"/>
  <c r="M1516" i="2"/>
  <c r="L1516" i="2" a="1"/>
  <c r="L1516" i="2" s="1"/>
  <c r="K1516" i="2" a="1"/>
  <c r="K1516" i="2" s="1"/>
  <c r="J1516" i="2"/>
  <c r="B1516" i="2"/>
  <c r="N1515" i="2"/>
  <c r="M1515" i="2"/>
  <c r="L1515" i="2" a="1"/>
  <c r="L1515" i="2" s="1"/>
  <c r="K1515" i="2" a="1"/>
  <c r="K1515" i="2" s="1"/>
  <c r="J1515" i="2"/>
  <c r="B1515" i="2"/>
  <c r="N1514" i="2"/>
  <c r="M1514" i="2"/>
  <c r="L1514" i="2" a="1"/>
  <c r="L1514" i="2" s="1"/>
  <c r="K1514" i="2" a="1"/>
  <c r="K1514" i="2" s="1"/>
  <c r="J1514" i="2"/>
  <c r="B1514" i="2"/>
  <c r="N1513" i="2"/>
  <c r="M1513" i="2"/>
  <c r="L1513" i="2" a="1"/>
  <c r="L1513" i="2" s="1"/>
  <c r="K1513" i="2" a="1"/>
  <c r="K1513" i="2" s="1"/>
  <c r="J1513" i="2"/>
  <c r="B1513" i="2"/>
  <c r="N1512" i="2"/>
  <c r="M1512" i="2"/>
  <c r="L1512" i="2" a="1"/>
  <c r="L1512" i="2" s="1"/>
  <c r="K1512" i="2" a="1"/>
  <c r="K1512" i="2" s="1"/>
  <c r="J1512" i="2"/>
  <c r="B1512" i="2"/>
  <c r="N1511" i="2"/>
  <c r="M1511" i="2"/>
  <c r="L1511" i="2" a="1"/>
  <c r="L1511" i="2" s="1"/>
  <c r="K1511" i="2" a="1"/>
  <c r="K1511" i="2" s="1"/>
  <c r="J1511" i="2"/>
  <c r="B1511" i="2"/>
  <c r="N1510" i="2"/>
  <c r="M1510" i="2"/>
  <c r="L1510" i="2" a="1"/>
  <c r="L1510" i="2" s="1"/>
  <c r="K1510" i="2" a="1"/>
  <c r="K1510" i="2" s="1"/>
  <c r="J1510" i="2"/>
  <c r="B1510" i="2"/>
  <c r="N1509" i="2"/>
  <c r="M1509" i="2"/>
  <c r="L1509" i="2" a="1"/>
  <c r="L1509" i="2" s="1"/>
  <c r="K1509" i="2" a="1"/>
  <c r="K1509" i="2" s="1"/>
  <c r="J1509" i="2"/>
  <c r="B1509" i="2"/>
  <c r="N1508" i="2"/>
  <c r="M1508" i="2"/>
  <c r="L1508" i="2" a="1"/>
  <c r="L1508" i="2" s="1"/>
  <c r="K1508" i="2" a="1"/>
  <c r="K1508" i="2" s="1"/>
  <c r="J1508" i="2"/>
  <c r="B1508" i="2"/>
  <c r="N1507" i="2"/>
  <c r="M1507" i="2"/>
  <c r="L1507" i="2" a="1"/>
  <c r="L1507" i="2" s="1"/>
  <c r="K1507" i="2" a="1"/>
  <c r="K1507" i="2" s="1"/>
  <c r="J1507" i="2"/>
  <c r="B1507" i="2"/>
  <c r="N1506" i="2"/>
  <c r="M1506" i="2"/>
  <c r="L1506" i="2" a="1"/>
  <c r="L1506" i="2" s="1"/>
  <c r="K1506" i="2" a="1"/>
  <c r="K1506" i="2" s="1"/>
  <c r="J1506" i="2"/>
  <c r="B1506" i="2"/>
  <c r="N1505" i="2"/>
  <c r="M1505" i="2"/>
  <c r="L1505" i="2" a="1"/>
  <c r="L1505" i="2" s="1"/>
  <c r="K1505" i="2" a="1"/>
  <c r="K1505" i="2" s="1"/>
  <c r="J1505" i="2"/>
  <c r="B1505" i="2"/>
  <c r="N1504" i="2"/>
  <c r="M1504" i="2"/>
  <c r="L1504" i="2" a="1"/>
  <c r="L1504" i="2" s="1"/>
  <c r="K1504" i="2" a="1"/>
  <c r="K1504" i="2" s="1"/>
  <c r="J1504" i="2"/>
  <c r="B1504" i="2"/>
  <c r="N1503" i="2"/>
  <c r="M1503" i="2"/>
  <c r="L1503" i="2" a="1"/>
  <c r="L1503" i="2" s="1"/>
  <c r="K1503" i="2" a="1"/>
  <c r="K1503" i="2" s="1"/>
  <c r="J1503" i="2"/>
  <c r="B1503" i="2"/>
  <c r="N1502" i="2"/>
  <c r="M1502" i="2"/>
  <c r="L1502" i="2" a="1"/>
  <c r="L1502" i="2" s="1"/>
  <c r="K1502" i="2" a="1"/>
  <c r="K1502" i="2" s="1"/>
  <c r="J1502" i="2"/>
  <c r="B1502" i="2"/>
  <c r="N1501" i="2"/>
  <c r="M1501" i="2"/>
  <c r="L1501" i="2" a="1"/>
  <c r="L1501" i="2" s="1"/>
  <c r="K1501" i="2" a="1"/>
  <c r="K1501" i="2" s="1"/>
  <c r="J1501" i="2"/>
  <c r="B1501" i="2"/>
  <c r="N1500" i="2"/>
  <c r="M1500" i="2"/>
  <c r="L1500" i="2" a="1"/>
  <c r="L1500" i="2" s="1"/>
  <c r="K1500" i="2" a="1"/>
  <c r="K1500" i="2" s="1"/>
  <c r="J1500" i="2"/>
  <c r="B1500" i="2"/>
  <c r="N1499" i="2"/>
  <c r="M1499" i="2"/>
  <c r="L1499" i="2" a="1"/>
  <c r="L1499" i="2" s="1"/>
  <c r="K1499" i="2" a="1"/>
  <c r="K1499" i="2" s="1"/>
  <c r="J1499" i="2"/>
  <c r="B1499" i="2"/>
  <c r="N1498" i="2"/>
  <c r="M1498" i="2"/>
  <c r="L1498" i="2" a="1"/>
  <c r="L1498" i="2" s="1"/>
  <c r="K1498" i="2" a="1"/>
  <c r="K1498" i="2" s="1"/>
  <c r="J1498" i="2"/>
  <c r="B1498" i="2"/>
  <c r="N1497" i="2"/>
  <c r="M1497" i="2"/>
  <c r="L1497" i="2" a="1"/>
  <c r="L1497" i="2" s="1"/>
  <c r="K1497" i="2" a="1"/>
  <c r="K1497" i="2" s="1"/>
  <c r="J1497" i="2"/>
  <c r="B1497" i="2"/>
  <c r="N1496" i="2"/>
  <c r="M1496" i="2"/>
  <c r="L1496" i="2" a="1"/>
  <c r="L1496" i="2" s="1"/>
  <c r="K1496" i="2" a="1"/>
  <c r="K1496" i="2" s="1"/>
  <c r="J1496" i="2"/>
  <c r="B1496" i="2"/>
  <c r="N1495" i="2"/>
  <c r="M1495" i="2"/>
  <c r="L1495" i="2" a="1"/>
  <c r="L1495" i="2" s="1"/>
  <c r="K1495" i="2" a="1"/>
  <c r="K1495" i="2" s="1"/>
  <c r="J1495" i="2"/>
  <c r="B1495" i="2"/>
  <c r="N1494" i="2"/>
  <c r="M1494" i="2"/>
  <c r="L1494" i="2" a="1"/>
  <c r="L1494" i="2" s="1"/>
  <c r="K1494" i="2" a="1"/>
  <c r="K1494" i="2" s="1"/>
  <c r="J1494" i="2"/>
  <c r="B1494" i="2"/>
  <c r="N1493" i="2"/>
  <c r="M1493" i="2"/>
  <c r="L1493" i="2" a="1"/>
  <c r="L1493" i="2" s="1"/>
  <c r="K1493" i="2" a="1"/>
  <c r="K1493" i="2" s="1"/>
  <c r="J1493" i="2"/>
  <c r="B1493" i="2"/>
  <c r="N1492" i="2"/>
  <c r="M1492" i="2"/>
  <c r="L1492" i="2" a="1"/>
  <c r="L1492" i="2" s="1"/>
  <c r="K1492" i="2" a="1"/>
  <c r="K1492" i="2" s="1"/>
  <c r="J1492" i="2"/>
  <c r="B1492" i="2"/>
  <c r="N1491" i="2"/>
  <c r="M1491" i="2"/>
  <c r="L1491" i="2" a="1"/>
  <c r="L1491" i="2" s="1"/>
  <c r="K1491" i="2" a="1"/>
  <c r="K1491" i="2" s="1"/>
  <c r="J1491" i="2"/>
  <c r="B1491" i="2"/>
  <c r="N1490" i="2"/>
  <c r="M1490" i="2"/>
  <c r="L1490" i="2" a="1"/>
  <c r="L1490" i="2" s="1"/>
  <c r="K1490" i="2" a="1"/>
  <c r="K1490" i="2" s="1"/>
  <c r="J1490" i="2"/>
  <c r="B1490" i="2"/>
  <c r="N1489" i="2"/>
  <c r="M1489" i="2"/>
  <c r="L1489" i="2" a="1"/>
  <c r="L1489" i="2" s="1"/>
  <c r="K1489" i="2" a="1"/>
  <c r="K1489" i="2" s="1"/>
  <c r="J1489" i="2"/>
  <c r="B1489" i="2"/>
  <c r="N1488" i="2"/>
  <c r="M1488" i="2"/>
  <c r="L1488" i="2" a="1"/>
  <c r="L1488" i="2" s="1"/>
  <c r="K1488" i="2" a="1"/>
  <c r="K1488" i="2" s="1"/>
  <c r="J1488" i="2"/>
  <c r="B1488" i="2"/>
  <c r="N1487" i="2"/>
  <c r="M1487" i="2"/>
  <c r="L1487" i="2" a="1"/>
  <c r="L1487" i="2" s="1"/>
  <c r="K1487" i="2" a="1"/>
  <c r="K1487" i="2" s="1"/>
  <c r="J1487" i="2"/>
  <c r="B1487" i="2"/>
  <c r="N1486" i="2"/>
  <c r="M1486" i="2"/>
  <c r="L1486" i="2" a="1"/>
  <c r="L1486" i="2" s="1"/>
  <c r="K1486" i="2" a="1"/>
  <c r="K1486" i="2" s="1"/>
  <c r="J1486" i="2"/>
  <c r="B1486" i="2"/>
  <c r="N1485" i="2"/>
  <c r="M1485" i="2"/>
  <c r="L1485" i="2" a="1"/>
  <c r="L1485" i="2" s="1"/>
  <c r="K1485" i="2" a="1"/>
  <c r="K1485" i="2" s="1"/>
  <c r="J1485" i="2"/>
  <c r="B1485" i="2"/>
  <c r="N1484" i="2"/>
  <c r="M1484" i="2"/>
  <c r="L1484" i="2" a="1"/>
  <c r="L1484" i="2" s="1"/>
  <c r="K1484" i="2" a="1"/>
  <c r="K1484" i="2" s="1"/>
  <c r="J1484" i="2"/>
  <c r="B1484" i="2"/>
  <c r="N1483" i="2"/>
  <c r="M1483" i="2"/>
  <c r="L1483" i="2" a="1"/>
  <c r="L1483" i="2" s="1"/>
  <c r="K1483" i="2" a="1"/>
  <c r="K1483" i="2" s="1"/>
  <c r="J1483" i="2"/>
  <c r="B1483" i="2"/>
  <c r="N1482" i="2"/>
  <c r="M1482" i="2"/>
  <c r="L1482" i="2" a="1"/>
  <c r="L1482" i="2" s="1"/>
  <c r="K1482" i="2" a="1"/>
  <c r="K1482" i="2" s="1"/>
  <c r="J1482" i="2"/>
  <c r="B1482" i="2"/>
  <c r="N1481" i="2"/>
  <c r="M1481" i="2"/>
  <c r="L1481" i="2" a="1"/>
  <c r="L1481" i="2" s="1"/>
  <c r="K1481" i="2" a="1"/>
  <c r="K1481" i="2" s="1"/>
  <c r="J1481" i="2"/>
  <c r="B1481" i="2"/>
  <c r="N1480" i="2"/>
  <c r="M1480" i="2"/>
  <c r="L1480" i="2" a="1"/>
  <c r="L1480" i="2" s="1"/>
  <c r="K1480" i="2" a="1"/>
  <c r="K1480" i="2" s="1"/>
  <c r="J1480" i="2"/>
  <c r="B1480" i="2"/>
  <c r="N1479" i="2"/>
  <c r="M1479" i="2"/>
  <c r="L1479" i="2" a="1"/>
  <c r="L1479" i="2" s="1"/>
  <c r="K1479" i="2" a="1"/>
  <c r="K1479" i="2" s="1"/>
  <c r="J1479" i="2"/>
  <c r="B1479" i="2"/>
  <c r="N1478" i="2"/>
  <c r="M1478" i="2"/>
  <c r="L1478" i="2" a="1"/>
  <c r="L1478" i="2" s="1"/>
  <c r="K1478" i="2" a="1"/>
  <c r="K1478" i="2" s="1"/>
  <c r="J1478" i="2"/>
  <c r="B1478" i="2"/>
  <c r="N1477" i="2"/>
  <c r="M1477" i="2"/>
  <c r="L1477" i="2" a="1"/>
  <c r="L1477" i="2" s="1"/>
  <c r="K1477" i="2" a="1"/>
  <c r="K1477" i="2" s="1"/>
  <c r="J1477" i="2"/>
  <c r="B1477" i="2"/>
  <c r="N1476" i="2"/>
  <c r="M1476" i="2"/>
  <c r="L1476" i="2" a="1"/>
  <c r="L1476" i="2" s="1"/>
  <c r="K1476" i="2" a="1"/>
  <c r="K1476" i="2" s="1"/>
  <c r="J1476" i="2"/>
  <c r="B1476" i="2"/>
  <c r="N1475" i="2"/>
  <c r="M1475" i="2"/>
  <c r="L1475" i="2" a="1"/>
  <c r="L1475" i="2" s="1"/>
  <c r="K1475" i="2" a="1"/>
  <c r="K1475" i="2" s="1"/>
  <c r="J1475" i="2"/>
  <c r="B1475" i="2"/>
  <c r="N1474" i="2"/>
  <c r="M1474" i="2"/>
  <c r="L1474" i="2" a="1"/>
  <c r="L1474" i="2" s="1"/>
  <c r="K1474" i="2" a="1"/>
  <c r="K1474" i="2" s="1"/>
  <c r="J1474" i="2"/>
  <c r="B1474" i="2"/>
  <c r="N1473" i="2"/>
  <c r="M1473" i="2"/>
  <c r="L1473" i="2" a="1"/>
  <c r="L1473" i="2" s="1"/>
  <c r="K1473" i="2" a="1"/>
  <c r="K1473" i="2" s="1"/>
  <c r="J1473" i="2"/>
  <c r="B1473" i="2"/>
  <c r="N1472" i="2"/>
  <c r="M1472" i="2"/>
  <c r="L1472" i="2" a="1"/>
  <c r="L1472" i="2" s="1"/>
  <c r="K1472" i="2" a="1"/>
  <c r="K1472" i="2" s="1"/>
  <c r="J1472" i="2"/>
  <c r="B1472" i="2"/>
  <c r="N1471" i="2"/>
  <c r="M1471" i="2"/>
  <c r="L1471" i="2" a="1"/>
  <c r="L1471" i="2" s="1"/>
  <c r="K1471" i="2" a="1"/>
  <c r="K1471" i="2" s="1"/>
  <c r="J1471" i="2"/>
  <c r="B1471" i="2"/>
  <c r="N1470" i="2"/>
  <c r="M1470" i="2"/>
  <c r="L1470" i="2" a="1"/>
  <c r="L1470" i="2" s="1"/>
  <c r="K1470" i="2" a="1"/>
  <c r="K1470" i="2" s="1"/>
  <c r="J1470" i="2"/>
  <c r="B1470" i="2"/>
  <c r="N1469" i="2"/>
  <c r="M1469" i="2"/>
  <c r="L1469" i="2" a="1"/>
  <c r="L1469" i="2" s="1"/>
  <c r="K1469" i="2" a="1"/>
  <c r="K1469" i="2" s="1"/>
  <c r="J1469" i="2"/>
  <c r="B1469" i="2"/>
  <c r="N1468" i="2"/>
  <c r="M1468" i="2"/>
  <c r="L1468" i="2" a="1"/>
  <c r="L1468" i="2" s="1"/>
  <c r="K1468" i="2" a="1"/>
  <c r="K1468" i="2" s="1"/>
  <c r="J1468" i="2"/>
  <c r="B1468" i="2"/>
  <c r="N1467" i="2"/>
  <c r="M1467" i="2"/>
  <c r="L1467" i="2" a="1"/>
  <c r="L1467" i="2" s="1"/>
  <c r="K1467" i="2" a="1"/>
  <c r="K1467" i="2" s="1"/>
  <c r="J1467" i="2"/>
  <c r="B1467" i="2"/>
  <c r="N1466" i="2"/>
  <c r="M1466" i="2"/>
  <c r="L1466" i="2" a="1"/>
  <c r="L1466" i="2" s="1"/>
  <c r="K1466" i="2" a="1"/>
  <c r="K1466" i="2" s="1"/>
  <c r="J1466" i="2"/>
  <c r="B1466" i="2"/>
  <c r="N1465" i="2"/>
  <c r="M1465" i="2"/>
  <c r="L1465" i="2" a="1"/>
  <c r="L1465" i="2" s="1"/>
  <c r="K1465" i="2" a="1"/>
  <c r="K1465" i="2" s="1"/>
  <c r="J1465" i="2"/>
  <c r="B1465" i="2"/>
  <c r="N1464" i="2"/>
  <c r="M1464" i="2"/>
  <c r="L1464" i="2" a="1"/>
  <c r="L1464" i="2" s="1"/>
  <c r="K1464" i="2" a="1"/>
  <c r="K1464" i="2" s="1"/>
  <c r="J1464" i="2"/>
  <c r="B1464" i="2"/>
  <c r="V1463" i="2"/>
  <c r="N1463" i="2"/>
  <c r="M1463" i="2"/>
  <c r="L1463" i="2" a="1"/>
  <c r="L1463" i="2" s="1"/>
  <c r="K1463" i="2" a="1"/>
  <c r="K1463" i="2" s="1"/>
  <c r="J1463" i="2"/>
  <c r="B1463" i="2"/>
  <c r="N1462" i="2"/>
  <c r="M1462" i="2"/>
  <c r="L1462" i="2" a="1"/>
  <c r="L1462" i="2" s="1"/>
  <c r="K1462" i="2" a="1"/>
  <c r="K1462" i="2" s="1"/>
  <c r="J1462" i="2"/>
  <c r="B1462" i="2"/>
  <c r="N1461" i="2"/>
  <c r="M1461" i="2"/>
  <c r="L1461" i="2" a="1"/>
  <c r="L1461" i="2" s="1"/>
  <c r="K1461" i="2" a="1"/>
  <c r="K1461" i="2" s="1"/>
  <c r="J1461" i="2"/>
  <c r="B1461" i="2"/>
  <c r="N1460" i="2"/>
  <c r="M1460" i="2"/>
  <c r="L1460" i="2" a="1"/>
  <c r="L1460" i="2" s="1"/>
  <c r="K1460" i="2" a="1"/>
  <c r="K1460" i="2" s="1"/>
  <c r="J1460" i="2"/>
  <c r="B1460" i="2"/>
  <c r="N1459" i="2"/>
  <c r="M1459" i="2"/>
  <c r="L1459" i="2" a="1"/>
  <c r="L1459" i="2" s="1"/>
  <c r="K1459" i="2" a="1"/>
  <c r="K1459" i="2" s="1"/>
  <c r="J1459" i="2"/>
  <c r="B1459" i="2"/>
  <c r="N1458" i="2"/>
  <c r="M1458" i="2"/>
  <c r="L1458" i="2" a="1"/>
  <c r="L1458" i="2" s="1"/>
  <c r="K1458" i="2" a="1"/>
  <c r="K1458" i="2" s="1"/>
  <c r="J1458" i="2"/>
  <c r="B1458" i="2"/>
  <c r="N1457" i="2"/>
  <c r="M1457" i="2"/>
  <c r="L1457" i="2" a="1"/>
  <c r="L1457" i="2" s="1"/>
  <c r="K1457" i="2" a="1"/>
  <c r="K1457" i="2" s="1"/>
  <c r="J1457" i="2"/>
  <c r="B1457" i="2"/>
  <c r="N1456" i="2"/>
  <c r="M1456" i="2"/>
  <c r="L1456" i="2" a="1"/>
  <c r="L1456" i="2" s="1"/>
  <c r="K1456" i="2" a="1"/>
  <c r="K1456" i="2" s="1"/>
  <c r="J1456" i="2"/>
  <c r="B1456" i="2"/>
  <c r="U1455" i="2"/>
  <c r="A1454" i="2"/>
  <c r="J1453" i="2"/>
  <c r="N1452" i="2"/>
  <c r="M1452" i="2"/>
  <c r="L1452" i="2" a="1"/>
  <c r="L1452" i="2" s="1"/>
  <c r="K1452" i="2" a="1"/>
  <c r="K1452" i="2" s="1"/>
  <c r="J1452" i="2"/>
  <c r="B1452" i="2"/>
  <c r="N1451" i="2"/>
  <c r="M1451" i="2"/>
  <c r="L1451" i="2" a="1"/>
  <c r="L1451" i="2" s="1"/>
  <c r="K1451" i="2" a="1"/>
  <c r="K1451" i="2" s="1"/>
  <c r="J1451" i="2"/>
  <c r="B1451" i="2"/>
  <c r="N1450" i="2"/>
  <c r="M1450" i="2"/>
  <c r="L1450" i="2" a="1"/>
  <c r="L1450" i="2" s="1"/>
  <c r="K1450" i="2" a="1"/>
  <c r="K1450" i="2" s="1"/>
  <c r="J1450" i="2"/>
  <c r="B1450" i="2"/>
  <c r="N1449" i="2"/>
  <c r="M1449" i="2"/>
  <c r="L1449" i="2" a="1"/>
  <c r="L1449" i="2" s="1"/>
  <c r="K1449" i="2" a="1"/>
  <c r="K1449" i="2" s="1"/>
  <c r="J1449" i="2"/>
  <c r="B1449" i="2"/>
  <c r="N1448" i="2"/>
  <c r="M1448" i="2"/>
  <c r="L1448" i="2" a="1"/>
  <c r="L1448" i="2" s="1"/>
  <c r="K1448" i="2" a="1"/>
  <c r="K1448" i="2" s="1"/>
  <c r="J1448" i="2"/>
  <c r="B1448" i="2"/>
  <c r="N1447" i="2"/>
  <c r="M1447" i="2"/>
  <c r="L1447" i="2" a="1"/>
  <c r="L1447" i="2" s="1"/>
  <c r="K1447" i="2" a="1"/>
  <c r="K1447" i="2" s="1"/>
  <c r="J1447" i="2"/>
  <c r="B1447" i="2"/>
  <c r="N1446" i="2"/>
  <c r="M1446" i="2"/>
  <c r="L1446" i="2" a="1"/>
  <c r="L1446" i="2" s="1"/>
  <c r="K1446" i="2" a="1"/>
  <c r="K1446" i="2" s="1"/>
  <c r="J1446" i="2"/>
  <c r="B1446" i="2"/>
  <c r="N1445" i="2"/>
  <c r="M1445" i="2"/>
  <c r="L1445" i="2" a="1"/>
  <c r="L1445" i="2" s="1"/>
  <c r="K1445" i="2" a="1"/>
  <c r="K1445" i="2" s="1"/>
  <c r="J1445" i="2"/>
  <c r="B1445" i="2"/>
  <c r="N1444" i="2"/>
  <c r="M1444" i="2"/>
  <c r="L1444" i="2" a="1"/>
  <c r="L1444" i="2" s="1"/>
  <c r="K1444" i="2" a="1"/>
  <c r="K1444" i="2" s="1"/>
  <c r="J1444" i="2"/>
  <c r="B1444" i="2"/>
  <c r="N1443" i="2"/>
  <c r="M1443" i="2"/>
  <c r="L1443" i="2" a="1"/>
  <c r="L1443" i="2" s="1"/>
  <c r="K1443" i="2" a="1"/>
  <c r="K1443" i="2" s="1"/>
  <c r="J1443" i="2"/>
  <c r="B1443" i="2"/>
  <c r="N1442" i="2"/>
  <c r="M1442" i="2"/>
  <c r="L1442" i="2" a="1"/>
  <c r="L1442" i="2" s="1"/>
  <c r="K1442" i="2" a="1"/>
  <c r="K1442" i="2" s="1"/>
  <c r="J1442" i="2"/>
  <c r="B1442" i="2"/>
  <c r="N1441" i="2"/>
  <c r="M1441" i="2"/>
  <c r="L1441" i="2" a="1"/>
  <c r="L1441" i="2" s="1"/>
  <c r="K1441" i="2" a="1"/>
  <c r="K1441" i="2" s="1"/>
  <c r="J1441" i="2"/>
  <c r="B1441" i="2"/>
  <c r="N1440" i="2"/>
  <c r="M1440" i="2"/>
  <c r="L1440" i="2" a="1"/>
  <c r="L1440" i="2" s="1"/>
  <c r="K1440" i="2" a="1"/>
  <c r="K1440" i="2" s="1"/>
  <c r="J1440" i="2"/>
  <c r="B1440" i="2"/>
  <c r="N1439" i="2"/>
  <c r="M1439" i="2"/>
  <c r="L1439" i="2" a="1"/>
  <c r="L1439" i="2" s="1"/>
  <c r="K1439" i="2" a="1"/>
  <c r="K1439" i="2" s="1"/>
  <c r="J1439" i="2"/>
  <c r="B1439" i="2"/>
  <c r="N1438" i="2"/>
  <c r="M1438" i="2"/>
  <c r="L1438" i="2" a="1"/>
  <c r="L1438" i="2" s="1"/>
  <c r="K1438" i="2" a="1"/>
  <c r="K1438" i="2" s="1"/>
  <c r="J1438" i="2"/>
  <c r="B1438" i="2"/>
  <c r="N1437" i="2"/>
  <c r="M1437" i="2"/>
  <c r="L1437" i="2" a="1"/>
  <c r="L1437" i="2" s="1"/>
  <c r="K1437" i="2" a="1"/>
  <c r="K1437" i="2" s="1"/>
  <c r="J1437" i="2"/>
  <c r="B1437" i="2"/>
  <c r="N1436" i="2"/>
  <c r="M1436" i="2"/>
  <c r="L1436" i="2" a="1"/>
  <c r="L1436" i="2" s="1"/>
  <c r="K1436" i="2" a="1"/>
  <c r="K1436" i="2" s="1"/>
  <c r="J1436" i="2"/>
  <c r="B1436" i="2"/>
  <c r="N1435" i="2"/>
  <c r="M1435" i="2"/>
  <c r="L1435" i="2" a="1"/>
  <c r="L1435" i="2" s="1"/>
  <c r="K1435" i="2" a="1"/>
  <c r="K1435" i="2" s="1"/>
  <c r="J1435" i="2"/>
  <c r="B1435" i="2"/>
  <c r="N1434" i="2"/>
  <c r="M1434" i="2"/>
  <c r="L1434" i="2" a="1"/>
  <c r="L1434" i="2" s="1"/>
  <c r="K1434" i="2" a="1"/>
  <c r="K1434" i="2" s="1"/>
  <c r="J1434" i="2"/>
  <c r="B1434" i="2"/>
  <c r="N1433" i="2"/>
  <c r="M1433" i="2"/>
  <c r="L1433" i="2" a="1"/>
  <c r="L1433" i="2" s="1"/>
  <c r="K1433" i="2" a="1"/>
  <c r="K1433" i="2" s="1"/>
  <c r="J1433" i="2"/>
  <c r="B1433" i="2"/>
  <c r="N1432" i="2"/>
  <c r="M1432" i="2"/>
  <c r="L1432" i="2" a="1"/>
  <c r="L1432" i="2" s="1"/>
  <c r="K1432" i="2" a="1"/>
  <c r="K1432" i="2" s="1"/>
  <c r="J1432" i="2"/>
  <c r="B1432" i="2"/>
  <c r="N1431" i="2"/>
  <c r="M1431" i="2"/>
  <c r="L1431" i="2" a="1"/>
  <c r="L1431" i="2" s="1"/>
  <c r="K1431" i="2" a="1"/>
  <c r="K1431" i="2" s="1"/>
  <c r="J1431" i="2"/>
  <c r="B1431" i="2"/>
  <c r="N1430" i="2"/>
  <c r="M1430" i="2"/>
  <c r="L1430" i="2" a="1"/>
  <c r="L1430" i="2" s="1"/>
  <c r="K1430" i="2" a="1"/>
  <c r="K1430" i="2" s="1"/>
  <c r="J1430" i="2"/>
  <c r="B1430" i="2"/>
  <c r="N1429" i="2"/>
  <c r="M1429" i="2"/>
  <c r="L1429" i="2" a="1"/>
  <c r="L1429" i="2" s="1"/>
  <c r="K1429" i="2" a="1"/>
  <c r="K1429" i="2" s="1"/>
  <c r="J1429" i="2"/>
  <c r="B1429" i="2"/>
  <c r="N1428" i="2"/>
  <c r="M1428" i="2"/>
  <c r="L1428" i="2" a="1"/>
  <c r="L1428" i="2" s="1"/>
  <c r="K1428" i="2" a="1"/>
  <c r="K1428" i="2" s="1"/>
  <c r="J1428" i="2"/>
  <c r="B1428" i="2"/>
  <c r="N1427" i="2"/>
  <c r="M1427" i="2"/>
  <c r="L1427" i="2" a="1"/>
  <c r="L1427" i="2" s="1"/>
  <c r="K1427" i="2" a="1"/>
  <c r="K1427" i="2" s="1"/>
  <c r="J1427" i="2"/>
  <c r="B1427" i="2"/>
  <c r="N1426" i="2"/>
  <c r="M1426" i="2"/>
  <c r="L1426" i="2" a="1"/>
  <c r="L1426" i="2" s="1"/>
  <c r="K1426" i="2" a="1"/>
  <c r="K1426" i="2" s="1"/>
  <c r="J1426" i="2"/>
  <c r="B1426" i="2"/>
  <c r="N1425" i="2"/>
  <c r="M1425" i="2"/>
  <c r="L1425" i="2" a="1"/>
  <c r="L1425" i="2" s="1"/>
  <c r="K1425" i="2" a="1"/>
  <c r="K1425" i="2" s="1"/>
  <c r="J1425" i="2"/>
  <c r="B1425" i="2"/>
  <c r="N1424" i="2"/>
  <c r="M1424" i="2"/>
  <c r="L1424" i="2" a="1"/>
  <c r="L1424" i="2" s="1"/>
  <c r="K1424" i="2" a="1"/>
  <c r="K1424" i="2" s="1"/>
  <c r="J1424" i="2"/>
  <c r="B1424" i="2"/>
  <c r="N1423" i="2"/>
  <c r="M1423" i="2"/>
  <c r="L1423" i="2" a="1"/>
  <c r="L1423" i="2" s="1"/>
  <c r="K1423" i="2" a="1"/>
  <c r="K1423" i="2" s="1"/>
  <c r="J1423" i="2"/>
  <c r="B1423" i="2"/>
  <c r="N1422" i="2"/>
  <c r="M1422" i="2"/>
  <c r="L1422" i="2" a="1"/>
  <c r="L1422" i="2" s="1"/>
  <c r="K1422" i="2" a="1"/>
  <c r="K1422" i="2" s="1"/>
  <c r="J1422" i="2"/>
  <c r="B1422" i="2"/>
  <c r="N1421" i="2"/>
  <c r="M1421" i="2"/>
  <c r="L1421" i="2" a="1"/>
  <c r="L1421" i="2" s="1"/>
  <c r="K1421" i="2" a="1"/>
  <c r="K1421" i="2" s="1"/>
  <c r="J1421" i="2"/>
  <c r="B1421" i="2"/>
  <c r="N1420" i="2"/>
  <c r="M1420" i="2"/>
  <c r="L1420" i="2" a="1"/>
  <c r="L1420" i="2" s="1"/>
  <c r="K1420" i="2" a="1"/>
  <c r="K1420" i="2" s="1"/>
  <c r="J1420" i="2"/>
  <c r="B1420" i="2"/>
  <c r="N1419" i="2"/>
  <c r="M1419" i="2"/>
  <c r="L1419" i="2" a="1"/>
  <c r="L1419" i="2" s="1"/>
  <c r="K1419" i="2" a="1"/>
  <c r="K1419" i="2" s="1"/>
  <c r="J1419" i="2"/>
  <c r="B1419" i="2"/>
  <c r="N1418" i="2"/>
  <c r="M1418" i="2"/>
  <c r="L1418" i="2" a="1"/>
  <c r="L1418" i="2" s="1"/>
  <c r="K1418" i="2" a="1"/>
  <c r="K1418" i="2" s="1"/>
  <c r="J1418" i="2"/>
  <c r="B1418" i="2"/>
  <c r="N1417" i="2"/>
  <c r="M1417" i="2"/>
  <c r="L1417" i="2" a="1"/>
  <c r="L1417" i="2" s="1"/>
  <c r="K1417" i="2" a="1"/>
  <c r="K1417" i="2" s="1"/>
  <c r="J1417" i="2"/>
  <c r="B1417" i="2"/>
  <c r="N1416" i="2"/>
  <c r="M1416" i="2"/>
  <c r="L1416" i="2" a="1"/>
  <c r="L1416" i="2" s="1"/>
  <c r="K1416" i="2" a="1"/>
  <c r="K1416" i="2" s="1"/>
  <c r="J1416" i="2"/>
  <c r="B1416" i="2"/>
  <c r="N1415" i="2"/>
  <c r="M1415" i="2"/>
  <c r="L1415" i="2" a="1"/>
  <c r="L1415" i="2" s="1"/>
  <c r="K1415" i="2" a="1"/>
  <c r="K1415" i="2" s="1"/>
  <c r="J1415" i="2"/>
  <c r="B1415" i="2"/>
  <c r="N1414" i="2"/>
  <c r="M1414" i="2"/>
  <c r="L1414" i="2" a="1"/>
  <c r="L1414" i="2" s="1"/>
  <c r="K1414" i="2" a="1"/>
  <c r="K1414" i="2" s="1"/>
  <c r="J1414" i="2"/>
  <c r="B1414" i="2"/>
  <c r="N1413" i="2"/>
  <c r="M1413" i="2"/>
  <c r="L1413" i="2" a="1"/>
  <c r="L1413" i="2" s="1"/>
  <c r="K1413" i="2" a="1"/>
  <c r="K1413" i="2" s="1"/>
  <c r="J1413" i="2"/>
  <c r="B1413" i="2"/>
  <c r="N1412" i="2"/>
  <c r="M1412" i="2"/>
  <c r="L1412" i="2" a="1"/>
  <c r="L1412" i="2" s="1"/>
  <c r="K1412" i="2" a="1"/>
  <c r="K1412" i="2" s="1"/>
  <c r="J1412" i="2"/>
  <c r="B1412" i="2"/>
  <c r="N1411" i="2"/>
  <c r="M1411" i="2"/>
  <c r="L1411" i="2" a="1"/>
  <c r="L1411" i="2" s="1"/>
  <c r="K1411" i="2" a="1"/>
  <c r="K1411" i="2" s="1"/>
  <c r="J1411" i="2"/>
  <c r="B1411" i="2"/>
  <c r="N1410" i="2"/>
  <c r="M1410" i="2"/>
  <c r="L1410" i="2" a="1"/>
  <c r="L1410" i="2" s="1"/>
  <c r="K1410" i="2" a="1"/>
  <c r="K1410" i="2" s="1"/>
  <c r="J1410" i="2"/>
  <c r="B1410" i="2"/>
  <c r="N1409" i="2"/>
  <c r="M1409" i="2"/>
  <c r="L1409" i="2" a="1"/>
  <c r="L1409" i="2" s="1"/>
  <c r="K1409" i="2" a="1"/>
  <c r="K1409" i="2" s="1"/>
  <c r="J1409" i="2"/>
  <c r="B1409" i="2"/>
  <c r="N1408" i="2"/>
  <c r="M1408" i="2"/>
  <c r="L1408" i="2" a="1"/>
  <c r="L1408" i="2" s="1"/>
  <c r="K1408" i="2" a="1"/>
  <c r="K1408" i="2" s="1"/>
  <c r="J1408" i="2"/>
  <c r="B1408" i="2"/>
  <c r="N1407" i="2"/>
  <c r="M1407" i="2"/>
  <c r="L1407" i="2" a="1"/>
  <c r="L1407" i="2" s="1"/>
  <c r="K1407" i="2" a="1"/>
  <c r="K1407" i="2" s="1"/>
  <c r="J1407" i="2"/>
  <c r="B1407" i="2"/>
  <c r="N1406" i="2"/>
  <c r="M1406" i="2"/>
  <c r="L1406" i="2" a="1"/>
  <c r="L1406" i="2" s="1"/>
  <c r="K1406" i="2" a="1"/>
  <c r="K1406" i="2" s="1"/>
  <c r="J1406" i="2"/>
  <c r="B1406" i="2"/>
  <c r="N1405" i="2"/>
  <c r="M1405" i="2"/>
  <c r="L1405" i="2" a="1"/>
  <c r="L1405" i="2" s="1"/>
  <c r="K1405" i="2" a="1"/>
  <c r="K1405" i="2" s="1"/>
  <c r="J1405" i="2"/>
  <c r="B1405" i="2"/>
  <c r="N1404" i="2"/>
  <c r="M1404" i="2"/>
  <c r="L1404" i="2" a="1"/>
  <c r="L1404" i="2" s="1"/>
  <c r="K1404" i="2" a="1"/>
  <c r="K1404" i="2" s="1"/>
  <c r="J1404" i="2"/>
  <c r="B1404" i="2"/>
  <c r="N1403" i="2"/>
  <c r="M1403" i="2"/>
  <c r="L1403" i="2" a="1"/>
  <c r="L1403" i="2" s="1"/>
  <c r="K1403" i="2" a="1"/>
  <c r="K1403" i="2" s="1"/>
  <c r="J1403" i="2"/>
  <c r="B1403" i="2"/>
  <c r="N1402" i="2"/>
  <c r="M1402" i="2"/>
  <c r="L1402" i="2" a="1"/>
  <c r="L1402" i="2" s="1"/>
  <c r="K1402" i="2" a="1"/>
  <c r="K1402" i="2" s="1"/>
  <c r="J1402" i="2"/>
  <c r="B1402" i="2"/>
  <c r="N1401" i="2"/>
  <c r="M1401" i="2"/>
  <c r="L1401" i="2" a="1"/>
  <c r="L1401" i="2" s="1"/>
  <c r="K1401" i="2" a="1"/>
  <c r="K1401" i="2" s="1"/>
  <c r="J1401" i="2"/>
  <c r="B1401" i="2"/>
  <c r="N1400" i="2"/>
  <c r="M1400" i="2"/>
  <c r="L1400" i="2" a="1"/>
  <c r="L1400" i="2" s="1"/>
  <c r="K1400" i="2" a="1"/>
  <c r="K1400" i="2" s="1"/>
  <c r="J1400" i="2"/>
  <c r="B1400" i="2"/>
  <c r="N1399" i="2"/>
  <c r="M1399" i="2"/>
  <c r="L1399" i="2" a="1"/>
  <c r="L1399" i="2" s="1"/>
  <c r="K1399" i="2" a="1"/>
  <c r="K1399" i="2" s="1"/>
  <c r="J1399" i="2"/>
  <c r="B1399" i="2"/>
  <c r="N1398" i="2"/>
  <c r="M1398" i="2"/>
  <c r="L1398" i="2" a="1"/>
  <c r="L1398" i="2" s="1"/>
  <c r="K1398" i="2" a="1"/>
  <c r="K1398" i="2" s="1"/>
  <c r="J1398" i="2"/>
  <c r="B1398" i="2"/>
  <c r="N1397" i="2"/>
  <c r="M1397" i="2"/>
  <c r="L1397" i="2" a="1"/>
  <c r="L1397" i="2" s="1"/>
  <c r="K1397" i="2" a="1"/>
  <c r="K1397" i="2" s="1"/>
  <c r="J1397" i="2"/>
  <c r="B1397" i="2"/>
  <c r="N1396" i="2"/>
  <c r="M1396" i="2"/>
  <c r="L1396" i="2" a="1"/>
  <c r="L1396" i="2" s="1"/>
  <c r="K1396" i="2" a="1"/>
  <c r="K1396" i="2" s="1"/>
  <c r="J1396" i="2"/>
  <c r="B1396" i="2"/>
  <c r="N1395" i="2"/>
  <c r="M1395" i="2"/>
  <c r="L1395" i="2" a="1"/>
  <c r="L1395" i="2" s="1"/>
  <c r="K1395" i="2" a="1"/>
  <c r="K1395" i="2" s="1"/>
  <c r="J1395" i="2"/>
  <c r="B1395" i="2"/>
  <c r="N1394" i="2"/>
  <c r="M1394" i="2"/>
  <c r="L1394" i="2" a="1"/>
  <c r="L1394" i="2" s="1"/>
  <c r="K1394" i="2" a="1"/>
  <c r="K1394" i="2" s="1"/>
  <c r="J1394" i="2"/>
  <c r="B1394" i="2"/>
  <c r="N1393" i="2"/>
  <c r="M1393" i="2"/>
  <c r="L1393" i="2" a="1"/>
  <c r="L1393" i="2" s="1"/>
  <c r="K1393" i="2" a="1"/>
  <c r="K1393" i="2" s="1"/>
  <c r="J1393" i="2"/>
  <c r="B1393" i="2"/>
  <c r="N1392" i="2"/>
  <c r="M1392" i="2"/>
  <c r="L1392" i="2" a="1"/>
  <c r="L1392" i="2" s="1"/>
  <c r="K1392" i="2" a="1"/>
  <c r="K1392" i="2" s="1"/>
  <c r="J1392" i="2"/>
  <c r="B1392" i="2"/>
  <c r="N1391" i="2"/>
  <c r="M1391" i="2"/>
  <c r="L1391" i="2" a="1"/>
  <c r="L1391" i="2" s="1"/>
  <c r="K1391" i="2" a="1"/>
  <c r="K1391" i="2" s="1"/>
  <c r="J1391" i="2"/>
  <c r="B1391" i="2"/>
  <c r="N1390" i="2"/>
  <c r="M1390" i="2"/>
  <c r="L1390" i="2" a="1"/>
  <c r="L1390" i="2" s="1"/>
  <c r="K1390" i="2" a="1"/>
  <c r="K1390" i="2" s="1"/>
  <c r="J1390" i="2"/>
  <c r="B1390" i="2"/>
  <c r="N1389" i="2"/>
  <c r="M1389" i="2"/>
  <c r="L1389" i="2" a="1"/>
  <c r="L1389" i="2" s="1"/>
  <c r="K1389" i="2" a="1"/>
  <c r="K1389" i="2" s="1"/>
  <c r="J1389" i="2"/>
  <c r="B1389" i="2"/>
  <c r="N1388" i="2"/>
  <c r="M1388" i="2"/>
  <c r="L1388" i="2" a="1"/>
  <c r="L1388" i="2" s="1"/>
  <c r="K1388" i="2" a="1"/>
  <c r="K1388" i="2" s="1"/>
  <c r="J1388" i="2"/>
  <c r="B1388" i="2"/>
  <c r="N1387" i="2"/>
  <c r="M1387" i="2"/>
  <c r="L1387" i="2" a="1"/>
  <c r="L1387" i="2" s="1"/>
  <c r="K1387" i="2" a="1"/>
  <c r="K1387" i="2" s="1"/>
  <c r="J1387" i="2"/>
  <c r="B1387" i="2"/>
  <c r="N1386" i="2"/>
  <c r="M1386" i="2"/>
  <c r="L1386" i="2" a="1"/>
  <c r="L1386" i="2" s="1"/>
  <c r="K1386" i="2" a="1"/>
  <c r="K1386" i="2" s="1"/>
  <c r="J1386" i="2"/>
  <c r="B1386" i="2"/>
  <c r="N1385" i="2"/>
  <c r="M1385" i="2"/>
  <c r="L1385" i="2" a="1"/>
  <c r="L1385" i="2" s="1"/>
  <c r="K1385" i="2" a="1"/>
  <c r="K1385" i="2" s="1"/>
  <c r="J1385" i="2"/>
  <c r="B1385" i="2"/>
  <c r="N1384" i="2"/>
  <c r="M1384" i="2"/>
  <c r="L1384" i="2" a="1"/>
  <c r="L1384" i="2" s="1"/>
  <c r="K1384" i="2" a="1"/>
  <c r="K1384" i="2" s="1"/>
  <c r="J1384" i="2"/>
  <c r="B1384" i="2"/>
  <c r="N1383" i="2"/>
  <c r="M1383" i="2"/>
  <c r="L1383" i="2" a="1"/>
  <c r="L1383" i="2" s="1"/>
  <c r="K1383" i="2" a="1"/>
  <c r="K1383" i="2" s="1"/>
  <c r="J1383" i="2"/>
  <c r="B1383" i="2"/>
  <c r="N1382" i="2"/>
  <c r="M1382" i="2"/>
  <c r="L1382" i="2" a="1"/>
  <c r="L1382" i="2" s="1"/>
  <c r="K1382" i="2" a="1"/>
  <c r="K1382" i="2" s="1"/>
  <c r="J1382" i="2"/>
  <c r="B1382" i="2"/>
  <c r="N1381" i="2"/>
  <c r="M1381" i="2"/>
  <c r="L1381" i="2" a="1"/>
  <c r="L1381" i="2" s="1"/>
  <c r="K1381" i="2" a="1"/>
  <c r="K1381" i="2" s="1"/>
  <c r="J1381" i="2"/>
  <c r="B1381" i="2"/>
  <c r="N1380" i="2"/>
  <c r="M1380" i="2"/>
  <c r="L1380" i="2" a="1"/>
  <c r="L1380" i="2" s="1"/>
  <c r="K1380" i="2" a="1"/>
  <c r="K1380" i="2" s="1"/>
  <c r="J1380" i="2"/>
  <c r="B1380" i="2"/>
  <c r="N1379" i="2"/>
  <c r="M1379" i="2"/>
  <c r="L1379" i="2" a="1"/>
  <c r="L1379" i="2" s="1"/>
  <c r="K1379" i="2" a="1"/>
  <c r="K1379" i="2" s="1"/>
  <c r="J1379" i="2"/>
  <c r="B1379" i="2"/>
  <c r="N1378" i="2"/>
  <c r="M1378" i="2"/>
  <c r="L1378" i="2" a="1"/>
  <c r="L1378" i="2" s="1"/>
  <c r="K1378" i="2" a="1"/>
  <c r="K1378" i="2" s="1"/>
  <c r="J1378" i="2"/>
  <c r="B1378" i="2"/>
  <c r="N1377" i="2"/>
  <c r="M1377" i="2"/>
  <c r="L1377" i="2" a="1"/>
  <c r="L1377" i="2" s="1"/>
  <c r="K1377" i="2" a="1"/>
  <c r="K1377" i="2" s="1"/>
  <c r="J1377" i="2"/>
  <c r="B1377" i="2"/>
  <c r="N1376" i="2"/>
  <c r="M1376" i="2"/>
  <c r="L1376" i="2" a="1"/>
  <c r="L1376" i="2" s="1"/>
  <c r="K1376" i="2" a="1"/>
  <c r="K1376" i="2" s="1"/>
  <c r="J1376" i="2"/>
  <c r="B1376" i="2"/>
  <c r="N1375" i="2"/>
  <c r="M1375" i="2"/>
  <c r="L1375" i="2" a="1"/>
  <c r="L1375" i="2" s="1"/>
  <c r="K1375" i="2" a="1"/>
  <c r="K1375" i="2" s="1"/>
  <c r="J1375" i="2"/>
  <c r="B1375" i="2"/>
  <c r="N1374" i="2"/>
  <c r="M1374" i="2"/>
  <c r="L1374" i="2" a="1"/>
  <c r="L1374" i="2" s="1"/>
  <c r="K1374" i="2" a="1"/>
  <c r="K1374" i="2" s="1"/>
  <c r="J1374" i="2"/>
  <c r="B1374" i="2"/>
  <c r="N1373" i="2"/>
  <c r="M1373" i="2"/>
  <c r="L1373" i="2" a="1"/>
  <c r="L1373" i="2" s="1"/>
  <c r="K1373" i="2" a="1"/>
  <c r="K1373" i="2" s="1"/>
  <c r="J1373" i="2"/>
  <c r="B1373" i="2"/>
  <c r="N1372" i="2"/>
  <c r="M1372" i="2"/>
  <c r="L1372" i="2" a="1"/>
  <c r="L1372" i="2" s="1"/>
  <c r="K1372" i="2" a="1"/>
  <c r="K1372" i="2" s="1"/>
  <c r="J1372" i="2"/>
  <c r="B1372" i="2"/>
  <c r="N1371" i="2"/>
  <c r="M1371" i="2"/>
  <c r="L1371" i="2" a="1"/>
  <c r="L1371" i="2" s="1"/>
  <c r="K1371" i="2" a="1"/>
  <c r="K1371" i="2" s="1"/>
  <c r="J1371" i="2"/>
  <c r="B1371" i="2"/>
  <c r="N1370" i="2"/>
  <c r="M1370" i="2"/>
  <c r="L1370" i="2" a="1"/>
  <c r="L1370" i="2" s="1"/>
  <c r="K1370" i="2" a="1"/>
  <c r="K1370" i="2" s="1"/>
  <c r="J1370" i="2"/>
  <c r="B1370" i="2"/>
  <c r="N1369" i="2"/>
  <c r="M1369" i="2"/>
  <c r="L1369" i="2" a="1"/>
  <c r="L1369" i="2" s="1"/>
  <c r="K1369" i="2" a="1"/>
  <c r="K1369" i="2" s="1"/>
  <c r="J1369" i="2"/>
  <c r="B1369" i="2"/>
  <c r="N1368" i="2"/>
  <c r="M1368" i="2"/>
  <c r="L1368" i="2" a="1"/>
  <c r="L1368" i="2" s="1"/>
  <c r="K1368" i="2" a="1"/>
  <c r="K1368" i="2" s="1"/>
  <c r="J1368" i="2"/>
  <c r="B1368" i="2"/>
  <c r="N1367" i="2"/>
  <c r="M1367" i="2"/>
  <c r="L1367" i="2" a="1"/>
  <c r="L1367" i="2" s="1"/>
  <c r="K1367" i="2" a="1"/>
  <c r="K1367" i="2" s="1"/>
  <c r="J1367" i="2"/>
  <c r="B1367" i="2"/>
  <c r="N1366" i="2"/>
  <c r="M1366" i="2"/>
  <c r="L1366" i="2" a="1"/>
  <c r="L1366" i="2" s="1"/>
  <c r="K1366" i="2" a="1"/>
  <c r="K1366" i="2" s="1"/>
  <c r="J1366" i="2"/>
  <c r="B1366" i="2"/>
  <c r="N1365" i="2"/>
  <c r="M1365" i="2"/>
  <c r="L1365" i="2" a="1"/>
  <c r="L1365" i="2" s="1"/>
  <c r="K1365" i="2" a="1"/>
  <c r="K1365" i="2" s="1"/>
  <c r="J1365" i="2"/>
  <c r="B1365" i="2"/>
  <c r="N1364" i="2"/>
  <c r="M1364" i="2"/>
  <c r="L1364" i="2" a="1"/>
  <c r="L1364" i="2" s="1"/>
  <c r="K1364" i="2" a="1"/>
  <c r="K1364" i="2" s="1"/>
  <c r="J1364" i="2"/>
  <c r="B1364" i="2"/>
  <c r="N1363" i="2"/>
  <c r="M1363" i="2"/>
  <c r="L1363" i="2" a="1"/>
  <c r="L1363" i="2" s="1"/>
  <c r="K1363" i="2" a="1"/>
  <c r="K1363" i="2" s="1"/>
  <c r="J1363" i="2"/>
  <c r="B1363" i="2"/>
  <c r="N1362" i="2"/>
  <c r="M1362" i="2"/>
  <c r="L1362" i="2" a="1"/>
  <c r="L1362" i="2" s="1"/>
  <c r="K1362" i="2" a="1"/>
  <c r="K1362" i="2" s="1"/>
  <c r="J1362" i="2"/>
  <c r="B1362" i="2"/>
  <c r="N1361" i="2"/>
  <c r="M1361" i="2"/>
  <c r="L1361" i="2" a="1"/>
  <c r="L1361" i="2" s="1"/>
  <c r="K1361" i="2" a="1"/>
  <c r="K1361" i="2" s="1"/>
  <c r="J1361" i="2"/>
  <c r="B1361" i="2"/>
  <c r="V1360" i="2"/>
  <c r="N1360" i="2"/>
  <c r="M1360" i="2"/>
  <c r="L1360" i="2" a="1"/>
  <c r="L1360" i="2" s="1"/>
  <c r="K1360" i="2" a="1"/>
  <c r="K1360" i="2" s="1"/>
  <c r="J1360" i="2"/>
  <c r="B1360" i="2"/>
  <c r="N1359" i="2"/>
  <c r="M1359" i="2"/>
  <c r="L1359" i="2" a="1"/>
  <c r="L1359" i="2" s="1"/>
  <c r="K1359" i="2" a="1"/>
  <c r="K1359" i="2" s="1"/>
  <c r="J1359" i="2"/>
  <c r="B1359" i="2"/>
  <c r="N1358" i="2"/>
  <c r="M1358" i="2"/>
  <c r="L1358" i="2" a="1"/>
  <c r="L1358" i="2" s="1"/>
  <c r="K1358" i="2" a="1"/>
  <c r="K1358" i="2" s="1"/>
  <c r="J1358" i="2"/>
  <c r="B1358" i="2"/>
  <c r="N1357" i="2"/>
  <c r="M1357" i="2"/>
  <c r="L1357" i="2" a="1"/>
  <c r="L1357" i="2" s="1"/>
  <c r="K1357" i="2" a="1"/>
  <c r="K1357" i="2" s="1"/>
  <c r="J1357" i="2"/>
  <c r="B1357" i="2"/>
  <c r="N1356" i="2"/>
  <c r="M1356" i="2"/>
  <c r="L1356" i="2" a="1"/>
  <c r="L1356" i="2" s="1"/>
  <c r="K1356" i="2" a="1"/>
  <c r="K1356" i="2" s="1"/>
  <c r="J1356" i="2"/>
  <c r="B1356" i="2"/>
  <c r="N1355" i="2"/>
  <c r="M1355" i="2"/>
  <c r="L1355" i="2" a="1"/>
  <c r="L1355" i="2" s="1"/>
  <c r="K1355" i="2" a="1"/>
  <c r="K1355" i="2" s="1"/>
  <c r="J1355" i="2"/>
  <c r="B1355" i="2"/>
  <c r="N1354" i="2"/>
  <c r="M1354" i="2"/>
  <c r="L1354" i="2" a="1"/>
  <c r="L1354" i="2" s="1"/>
  <c r="K1354" i="2" a="1"/>
  <c r="K1354" i="2" s="1"/>
  <c r="J1354" i="2"/>
  <c r="B1354" i="2"/>
  <c r="N1353" i="2"/>
  <c r="M1353" i="2"/>
  <c r="L1353" i="2" a="1"/>
  <c r="L1353" i="2" s="1"/>
  <c r="K1353" i="2" a="1"/>
  <c r="K1353" i="2" s="1"/>
  <c r="J1353" i="2"/>
  <c r="B1353" i="2"/>
  <c r="U1352" i="2"/>
  <c r="A1351" i="2"/>
  <c r="J1350" i="2"/>
  <c r="N1349" i="2"/>
  <c r="M1349" i="2"/>
  <c r="L1349" i="2" a="1"/>
  <c r="L1349" i="2" s="1"/>
  <c r="K1349" i="2" a="1"/>
  <c r="K1349" i="2" s="1"/>
  <c r="J1349" i="2"/>
  <c r="B1349" i="2"/>
  <c r="N1348" i="2"/>
  <c r="M1348" i="2"/>
  <c r="L1348" i="2" a="1"/>
  <c r="L1348" i="2" s="1"/>
  <c r="K1348" i="2" a="1"/>
  <c r="K1348" i="2" s="1"/>
  <c r="J1348" i="2"/>
  <c r="B1348" i="2"/>
  <c r="N1347" i="2"/>
  <c r="M1347" i="2"/>
  <c r="L1347" i="2" a="1"/>
  <c r="L1347" i="2" s="1"/>
  <c r="K1347" i="2" a="1"/>
  <c r="K1347" i="2" s="1"/>
  <c r="J1347" i="2"/>
  <c r="B1347" i="2"/>
  <c r="N1346" i="2"/>
  <c r="M1346" i="2"/>
  <c r="L1346" i="2" a="1"/>
  <c r="L1346" i="2" s="1"/>
  <c r="K1346" i="2" a="1"/>
  <c r="K1346" i="2" s="1"/>
  <c r="J1346" i="2"/>
  <c r="B1346" i="2"/>
  <c r="N1345" i="2"/>
  <c r="M1345" i="2"/>
  <c r="L1345" i="2" a="1"/>
  <c r="L1345" i="2" s="1"/>
  <c r="K1345" i="2" a="1"/>
  <c r="K1345" i="2" s="1"/>
  <c r="J1345" i="2"/>
  <c r="B1345" i="2"/>
  <c r="N1344" i="2"/>
  <c r="M1344" i="2"/>
  <c r="L1344" i="2" a="1"/>
  <c r="L1344" i="2" s="1"/>
  <c r="K1344" i="2" a="1"/>
  <c r="K1344" i="2" s="1"/>
  <c r="J1344" i="2"/>
  <c r="B1344" i="2"/>
  <c r="N1343" i="2"/>
  <c r="M1343" i="2"/>
  <c r="L1343" i="2" a="1"/>
  <c r="L1343" i="2" s="1"/>
  <c r="K1343" i="2" a="1"/>
  <c r="K1343" i="2" s="1"/>
  <c r="J1343" i="2"/>
  <c r="B1343" i="2"/>
  <c r="N1342" i="2"/>
  <c r="M1342" i="2"/>
  <c r="L1342" i="2" a="1"/>
  <c r="L1342" i="2" s="1"/>
  <c r="K1342" i="2" a="1"/>
  <c r="K1342" i="2" s="1"/>
  <c r="J1342" i="2"/>
  <c r="B1342" i="2"/>
  <c r="N1341" i="2"/>
  <c r="M1341" i="2"/>
  <c r="L1341" i="2" a="1"/>
  <c r="L1341" i="2" s="1"/>
  <c r="K1341" i="2" a="1"/>
  <c r="K1341" i="2" s="1"/>
  <c r="J1341" i="2"/>
  <c r="B1341" i="2"/>
  <c r="N1340" i="2"/>
  <c r="M1340" i="2"/>
  <c r="L1340" i="2" a="1"/>
  <c r="L1340" i="2" s="1"/>
  <c r="K1340" i="2" a="1"/>
  <c r="K1340" i="2" s="1"/>
  <c r="J1340" i="2"/>
  <c r="B1340" i="2"/>
  <c r="N1339" i="2"/>
  <c r="M1339" i="2"/>
  <c r="L1339" i="2" a="1"/>
  <c r="L1339" i="2" s="1"/>
  <c r="K1339" i="2" a="1"/>
  <c r="K1339" i="2" s="1"/>
  <c r="J1339" i="2"/>
  <c r="B1339" i="2"/>
  <c r="N1338" i="2"/>
  <c r="M1338" i="2"/>
  <c r="L1338" i="2" a="1"/>
  <c r="L1338" i="2" s="1"/>
  <c r="K1338" i="2" a="1"/>
  <c r="K1338" i="2" s="1"/>
  <c r="J1338" i="2"/>
  <c r="B1338" i="2"/>
  <c r="N1337" i="2"/>
  <c r="M1337" i="2"/>
  <c r="L1337" i="2" a="1"/>
  <c r="L1337" i="2" s="1"/>
  <c r="K1337" i="2" a="1"/>
  <c r="K1337" i="2" s="1"/>
  <c r="J1337" i="2"/>
  <c r="B1337" i="2"/>
  <c r="N1336" i="2"/>
  <c r="M1336" i="2"/>
  <c r="L1336" i="2" a="1"/>
  <c r="L1336" i="2" s="1"/>
  <c r="K1336" i="2" a="1"/>
  <c r="K1336" i="2" s="1"/>
  <c r="J1336" i="2"/>
  <c r="B1336" i="2"/>
  <c r="N1335" i="2"/>
  <c r="M1335" i="2"/>
  <c r="L1335" i="2" a="1"/>
  <c r="L1335" i="2" s="1"/>
  <c r="K1335" i="2" a="1"/>
  <c r="K1335" i="2" s="1"/>
  <c r="J1335" i="2"/>
  <c r="B1335" i="2"/>
  <c r="N1334" i="2"/>
  <c r="M1334" i="2"/>
  <c r="L1334" i="2" a="1"/>
  <c r="L1334" i="2" s="1"/>
  <c r="K1334" i="2" a="1"/>
  <c r="K1334" i="2" s="1"/>
  <c r="J1334" i="2"/>
  <c r="B1334" i="2"/>
  <c r="N1333" i="2"/>
  <c r="M1333" i="2"/>
  <c r="L1333" i="2" a="1"/>
  <c r="L1333" i="2" s="1"/>
  <c r="K1333" i="2" a="1"/>
  <c r="K1333" i="2" s="1"/>
  <c r="J1333" i="2"/>
  <c r="B1333" i="2"/>
  <c r="N1332" i="2"/>
  <c r="M1332" i="2"/>
  <c r="L1332" i="2" a="1"/>
  <c r="L1332" i="2" s="1"/>
  <c r="K1332" i="2" a="1"/>
  <c r="K1332" i="2" s="1"/>
  <c r="J1332" i="2"/>
  <c r="B1332" i="2"/>
  <c r="N1331" i="2"/>
  <c r="M1331" i="2"/>
  <c r="L1331" i="2" a="1"/>
  <c r="L1331" i="2" s="1"/>
  <c r="K1331" i="2" a="1"/>
  <c r="K1331" i="2" s="1"/>
  <c r="J1331" i="2"/>
  <c r="B1331" i="2"/>
  <c r="N1330" i="2"/>
  <c r="M1330" i="2"/>
  <c r="L1330" i="2" a="1"/>
  <c r="L1330" i="2" s="1"/>
  <c r="K1330" i="2" a="1"/>
  <c r="K1330" i="2" s="1"/>
  <c r="J1330" i="2"/>
  <c r="B1330" i="2"/>
  <c r="N1329" i="2"/>
  <c r="M1329" i="2"/>
  <c r="L1329" i="2" a="1"/>
  <c r="L1329" i="2" s="1"/>
  <c r="K1329" i="2" a="1"/>
  <c r="K1329" i="2" s="1"/>
  <c r="J1329" i="2"/>
  <c r="B1329" i="2"/>
  <c r="N1328" i="2"/>
  <c r="M1328" i="2"/>
  <c r="L1328" i="2" a="1"/>
  <c r="L1328" i="2" s="1"/>
  <c r="K1328" i="2" a="1"/>
  <c r="K1328" i="2" s="1"/>
  <c r="J1328" i="2"/>
  <c r="B1328" i="2"/>
  <c r="N1327" i="2"/>
  <c r="M1327" i="2"/>
  <c r="L1327" i="2" a="1"/>
  <c r="L1327" i="2" s="1"/>
  <c r="K1327" i="2" a="1"/>
  <c r="K1327" i="2" s="1"/>
  <c r="J1327" i="2"/>
  <c r="B1327" i="2"/>
  <c r="N1326" i="2"/>
  <c r="M1326" i="2"/>
  <c r="L1326" i="2" a="1"/>
  <c r="L1326" i="2" s="1"/>
  <c r="K1326" i="2" a="1"/>
  <c r="K1326" i="2" s="1"/>
  <c r="J1326" i="2"/>
  <c r="B1326" i="2"/>
  <c r="N1325" i="2"/>
  <c r="M1325" i="2"/>
  <c r="L1325" i="2" a="1"/>
  <c r="L1325" i="2" s="1"/>
  <c r="K1325" i="2" a="1"/>
  <c r="K1325" i="2" s="1"/>
  <c r="J1325" i="2"/>
  <c r="B1325" i="2"/>
  <c r="N1324" i="2"/>
  <c r="M1324" i="2"/>
  <c r="L1324" i="2" a="1"/>
  <c r="L1324" i="2" s="1"/>
  <c r="K1324" i="2" a="1"/>
  <c r="K1324" i="2" s="1"/>
  <c r="J1324" i="2"/>
  <c r="B1324" i="2"/>
  <c r="N1323" i="2"/>
  <c r="M1323" i="2"/>
  <c r="L1323" i="2" a="1"/>
  <c r="L1323" i="2" s="1"/>
  <c r="K1323" i="2" a="1"/>
  <c r="K1323" i="2" s="1"/>
  <c r="J1323" i="2"/>
  <c r="B1323" i="2"/>
  <c r="N1322" i="2"/>
  <c r="M1322" i="2"/>
  <c r="L1322" i="2" a="1"/>
  <c r="L1322" i="2" s="1"/>
  <c r="K1322" i="2" a="1"/>
  <c r="K1322" i="2" s="1"/>
  <c r="J1322" i="2"/>
  <c r="B1322" i="2"/>
  <c r="N1321" i="2"/>
  <c r="M1321" i="2"/>
  <c r="L1321" i="2" a="1"/>
  <c r="L1321" i="2" s="1"/>
  <c r="K1321" i="2" a="1"/>
  <c r="K1321" i="2" s="1"/>
  <c r="J1321" i="2"/>
  <c r="B1321" i="2"/>
  <c r="N1320" i="2"/>
  <c r="M1320" i="2"/>
  <c r="L1320" i="2" a="1"/>
  <c r="L1320" i="2" s="1"/>
  <c r="K1320" i="2" a="1"/>
  <c r="K1320" i="2" s="1"/>
  <c r="J1320" i="2"/>
  <c r="B1320" i="2"/>
  <c r="N1319" i="2"/>
  <c r="M1319" i="2"/>
  <c r="L1319" i="2" a="1"/>
  <c r="L1319" i="2" s="1"/>
  <c r="K1319" i="2" a="1"/>
  <c r="K1319" i="2" s="1"/>
  <c r="J1319" i="2"/>
  <c r="B1319" i="2"/>
  <c r="N1318" i="2"/>
  <c r="M1318" i="2"/>
  <c r="L1318" i="2" a="1"/>
  <c r="L1318" i="2" s="1"/>
  <c r="K1318" i="2" a="1"/>
  <c r="K1318" i="2" s="1"/>
  <c r="J1318" i="2"/>
  <c r="B1318" i="2"/>
  <c r="N1317" i="2"/>
  <c r="M1317" i="2"/>
  <c r="L1317" i="2" a="1"/>
  <c r="L1317" i="2" s="1"/>
  <c r="K1317" i="2" a="1"/>
  <c r="K1317" i="2" s="1"/>
  <c r="J1317" i="2"/>
  <c r="B1317" i="2"/>
  <c r="N1316" i="2"/>
  <c r="M1316" i="2"/>
  <c r="L1316" i="2" a="1"/>
  <c r="L1316" i="2" s="1"/>
  <c r="K1316" i="2" a="1"/>
  <c r="K1316" i="2" s="1"/>
  <c r="J1316" i="2"/>
  <c r="B1316" i="2"/>
  <c r="N1315" i="2"/>
  <c r="M1315" i="2"/>
  <c r="L1315" i="2" a="1"/>
  <c r="L1315" i="2" s="1"/>
  <c r="K1315" i="2" a="1"/>
  <c r="K1315" i="2" s="1"/>
  <c r="J1315" i="2"/>
  <c r="B1315" i="2"/>
  <c r="N1314" i="2"/>
  <c r="M1314" i="2"/>
  <c r="L1314" i="2" a="1"/>
  <c r="L1314" i="2" s="1"/>
  <c r="K1314" i="2" a="1"/>
  <c r="K1314" i="2" s="1"/>
  <c r="J1314" i="2"/>
  <c r="B1314" i="2"/>
  <c r="N1313" i="2"/>
  <c r="M1313" i="2"/>
  <c r="L1313" i="2" a="1"/>
  <c r="L1313" i="2" s="1"/>
  <c r="K1313" i="2" a="1"/>
  <c r="K1313" i="2" s="1"/>
  <c r="J1313" i="2"/>
  <c r="B1313" i="2"/>
  <c r="N1312" i="2"/>
  <c r="M1312" i="2"/>
  <c r="L1312" i="2" a="1"/>
  <c r="L1312" i="2" s="1"/>
  <c r="K1312" i="2" a="1"/>
  <c r="K1312" i="2" s="1"/>
  <c r="J1312" i="2"/>
  <c r="B1312" i="2"/>
  <c r="N1311" i="2"/>
  <c r="M1311" i="2"/>
  <c r="L1311" i="2" a="1"/>
  <c r="L1311" i="2" s="1"/>
  <c r="K1311" i="2" a="1"/>
  <c r="K1311" i="2" s="1"/>
  <c r="J1311" i="2"/>
  <c r="B1311" i="2"/>
  <c r="N1310" i="2"/>
  <c r="M1310" i="2"/>
  <c r="L1310" i="2" a="1"/>
  <c r="L1310" i="2" s="1"/>
  <c r="K1310" i="2" a="1"/>
  <c r="K1310" i="2" s="1"/>
  <c r="J1310" i="2"/>
  <c r="B1310" i="2"/>
  <c r="N1309" i="2"/>
  <c r="M1309" i="2"/>
  <c r="L1309" i="2" a="1"/>
  <c r="L1309" i="2" s="1"/>
  <c r="K1309" i="2" a="1"/>
  <c r="K1309" i="2" s="1"/>
  <c r="J1309" i="2"/>
  <c r="B1309" i="2"/>
  <c r="N1308" i="2"/>
  <c r="M1308" i="2"/>
  <c r="L1308" i="2" a="1"/>
  <c r="L1308" i="2" s="1"/>
  <c r="K1308" i="2" a="1"/>
  <c r="K1308" i="2" s="1"/>
  <c r="J1308" i="2"/>
  <c r="B1308" i="2"/>
  <c r="N1307" i="2"/>
  <c r="M1307" i="2"/>
  <c r="L1307" i="2" a="1"/>
  <c r="L1307" i="2" s="1"/>
  <c r="K1307" i="2" a="1"/>
  <c r="K1307" i="2" s="1"/>
  <c r="J1307" i="2"/>
  <c r="B1307" i="2"/>
  <c r="N1306" i="2"/>
  <c r="M1306" i="2"/>
  <c r="L1306" i="2" a="1"/>
  <c r="L1306" i="2" s="1"/>
  <c r="K1306" i="2" a="1"/>
  <c r="K1306" i="2" s="1"/>
  <c r="J1306" i="2"/>
  <c r="B1306" i="2"/>
  <c r="N1305" i="2"/>
  <c r="M1305" i="2"/>
  <c r="L1305" i="2" a="1"/>
  <c r="L1305" i="2" s="1"/>
  <c r="K1305" i="2" a="1"/>
  <c r="K1305" i="2" s="1"/>
  <c r="J1305" i="2"/>
  <c r="B1305" i="2"/>
  <c r="N1304" i="2"/>
  <c r="M1304" i="2"/>
  <c r="L1304" i="2" a="1"/>
  <c r="L1304" i="2" s="1"/>
  <c r="K1304" i="2" a="1"/>
  <c r="K1304" i="2" s="1"/>
  <c r="J1304" i="2"/>
  <c r="B1304" i="2"/>
  <c r="N1303" i="2"/>
  <c r="M1303" i="2"/>
  <c r="L1303" i="2" a="1"/>
  <c r="L1303" i="2" s="1"/>
  <c r="K1303" i="2" a="1"/>
  <c r="K1303" i="2" s="1"/>
  <c r="J1303" i="2"/>
  <c r="B1303" i="2"/>
  <c r="N1302" i="2"/>
  <c r="M1302" i="2"/>
  <c r="L1302" i="2" a="1"/>
  <c r="L1302" i="2" s="1"/>
  <c r="K1302" i="2" a="1"/>
  <c r="K1302" i="2" s="1"/>
  <c r="J1302" i="2"/>
  <c r="B1302" i="2"/>
  <c r="N1301" i="2"/>
  <c r="M1301" i="2"/>
  <c r="L1301" i="2" a="1"/>
  <c r="L1301" i="2" s="1"/>
  <c r="K1301" i="2" a="1"/>
  <c r="K1301" i="2" s="1"/>
  <c r="J1301" i="2"/>
  <c r="B1301" i="2"/>
  <c r="N1300" i="2"/>
  <c r="M1300" i="2"/>
  <c r="L1300" i="2" a="1"/>
  <c r="L1300" i="2" s="1"/>
  <c r="K1300" i="2" a="1"/>
  <c r="K1300" i="2" s="1"/>
  <c r="J1300" i="2"/>
  <c r="B1300" i="2"/>
  <c r="N1299" i="2"/>
  <c r="M1299" i="2"/>
  <c r="L1299" i="2" a="1"/>
  <c r="L1299" i="2" s="1"/>
  <c r="K1299" i="2" a="1"/>
  <c r="K1299" i="2" s="1"/>
  <c r="J1299" i="2"/>
  <c r="B1299" i="2"/>
  <c r="N1298" i="2"/>
  <c r="M1298" i="2"/>
  <c r="L1298" i="2" a="1"/>
  <c r="L1298" i="2" s="1"/>
  <c r="K1298" i="2" a="1"/>
  <c r="K1298" i="2" s="1"/>
  <c r="J1298" i="2"/>
  <c r="B1298" i="2"/>
  <c r="N1297" i="2"/>
  <c r="M1297" i="2"/>
  <c r="L1297" i="2" a="1"/>
  <c r="L1297" i="2" s="1"/>
  <c r="K1297" i="2" a="1"/>
  <c r="K1297" i="2" s="1"/>
  <c r="J1297" i="2"/>
  <c r="B1297" i="2"/>
  <c r="N1296" i="2"/>
  <c r="M1296" i="2"/>
  <c r="L1296" i="2" a="1"/>
  <c r="L1296" i="2" s="1"/>
  <c r="K1296" i="2" a="1"/>
  <c r="K1296" i="2" s="1"/>
  <c r="J1296" i="2"/>
  <c r="B1296" i="2"/>
  <c r="N1295" i="2"/>
  <c r="M1295" i="2"/>
  <c r="L1295" i="2" a="1"/>
  <c r="L1295" i="2" s="1"/>
  <c r="K1295" i="2" a="1"/>
  <c r="K1295" i="2" s="1"/>
  <c r="J1295" i="2"/>
  <c r="B1295" i="2"/>
  <c r="N1294" i="2"/>
  <c r="M1294" i="2"/>
  <c r="L1294" i="2" a="1"/>
  <c r="L1294" i="2" s="1"/>
  <c r="K1294" i="2" a="1"/>
  <c r="K1294" i="2" s="1"/>
  <c r="J1294" i="2"/>
  <c r="B1294" i="2"/>
  <c r="N1293" i="2"/>
  <c r="M1293" i="2"/>
  <c r="L1293" i="2" a="1"/>
  <c r="L1293" i="2" s="1"/>
  <c r="K1293" i="2" a="1"/>
  <c r="K1293" i="2" s="1"/>
  <c r="J1293" i="2"/>
  <c r="B1293" i="2"/>
  <c r="N1292" i="2"/>
  <c r="M1292" i="2"/>
  <c r="L1292" i="2" a="1"/>
  <c r="L1292" i="2" s="1"/>
  <c r="K1292" i="2" a="1"/>
  <c r="K1292" i="2" s="1"/>
  <c r="J1292" i="2"/>
  <c r="B1292" i="2"/>
  <c r="N1291" i="2"/>
  <c r="M1291" i="2"/>
  <c r="L1291" i="2" a="1"/>
  <c r="L1291" i="2" s="1"/>
  <c r="K1291" i="2" a="1"/>
  <c r="K1291" i="2" s="1"/>
  <c r="J1291" i="2"/>
  <c r="B1291" i="2"/>
  <c r="N1290" i="2"/>
  <c r="M1290" i="2"/>
  <c r="L1290" i="2" a="1"/>
  <c r="L1290" i="2" s="1"/>
  <c r="K1290" i="2" a="1"/>
  <c r="K1290" i="2" s="1"/>
  <c r="J1290" i="2"/>
  <c r="B1290" i="2"/>
  <c r="N1289" i="2"/>
  <c r="M1289" i="2"/>
  <c r="L1289" i="2" a="1"/>
  <c r="L1289" i="2" s="1"/>
  <c r="K1289" i="2" a="1"/>
  <c r="K1289" i="2" s="1"/>
  <c r="J1289" i="2"/>
  <c r="B1289" i="2"/>
  <c r="N1288" i="2"/>
  <c r="M1288" i="2"/>
  <c r="L1288" i="2" a="1"/>
  <c r="L1288" i="2" s="1"/>
  <c r="K1288" i="2" a="1"/>
  <c r="K1288" i="2" s="1"/>
  <c r="J1288" i="2"/>
  <c r="B1288" i="2"/>
  <c r="N1287" i="2"/>
  <c r="M1287" i="2"/>
  <c r="L1287" i="2" a="1"/>
  <c r="L1287" i="2" s="1"/>
  <c r="K1287" i="2" a="1"/>
  <c r="K1287" i="2" s="1"/>
  <c r="J1287" i="2"/>
  <c r="B1287" i="2"/>
  <c r="N1286" i="2"/>
  <c r="M1286" i="2"/>
  <c r="L1286" i="2" a="1"/>
  <c r="L1286" i="2" s="1"/>
  <c r="K1286" i="2" a="1"/>
  <c r="K1286" i="2" s="1"/>
  <c r="J1286" i="2"/>
  <c r="B1286" i="2"/>
  <c r="N1285" i="2"/>
  <c r="M1285" i="2"/>
  <c r="L1285" i="2" a="1"/>
  <c r="L1285" i="2" s="1"/>
  <c r="K1285" i="2" a="1"/>
  <c r="K1285" i="2" s="1"/>
  <c r="J1285" i="2"/>
  <c r="B1285" i="2"/>
  <c r="N1284" i="2"/>
  <c r="M1284" i="2"/>
  <c r="L1284" i="2" a="1"/>
  <c r="L1284" i="2" s="1"/>
  <c r="K1284" i="2" a="1"/>
  <c r="K1284" i="2" s="1"/>
  <c r="J1284" i="2"/>
  <c r="B1284" i="2"/>
  <c r="N1283" i="2"/>
  <c r="M1283" i="2"/>
  <c r="L1283" i="2" a="1"/>
  <c r="L1283" i="2" s="1"/>
  <c r="K1283" i="2" a="1"/>
  <c r="K1283" i="2" s="1"/>
  <c r="J1283" i="2"/>
  <c r="B1283" i="2"/>
  <c r="N1282" i="2"/>
  <c r="M1282" i="2"/>
  <c r="L1282" i="2" a="1"/>
  <c r="L1282" i="2" s="1"/>
  <c r="K1282" i="2" a="1"/>
  <c r="K1282" i="2" s="1"/>
  <c r="J1282" i="2"/>
  <c r="B1282" i="2"/>
  <c r="N1281" i="2"/>
  <c r="M1281" i="2"/>
  <c r="L1281" i="2" a="1"/>
  <c r="L1281" i="2" s="1"/>
  <c r="K1281" i="2" a="1"/>
  <c r="K1281" i="2" s="1"/>
  <c r="J1281" i="2"/>
  <c r="B1281" i="2"/>
  <c r="N1280" i="2"/>
  <c r="M1280" i="2"/>
  <c r="L1280" i="2" a="1"/>
  <c r="L1280" i="2" s="1"/>
  <c r="K1280" i="2" a="1"/>
  <c r="K1280" i="2" s="1"/>
  <c r="J1280" i="2"/>
  <c r="B1280" i="2"/>
  <c r="N1279" i="2"/>
  <c r="M1279" i="2"/>
  <c r="L1279" i="2" a="1"/>
  <c r="L1279" i="2" s="1"/>
  <c r="K1279" i="2" a="1"/>
  <c r="K1279" i="2" s="1"/>
  <c r="J1279" i="2"/>
  <c r="B1279" i="2"/>
  <c r="N1278" i="2"/>
  <c r="M1278" i="2"/>
  <c r="L1278" i="2" a="1"/>
  <c r="L1278" i="2" s="1"/>
  <c r="K1278" i="2" a="1"/>
  <c r="K1278" i="2" s="1"/>
  <c r="J1278" i="2"/>
  <c r="B1278" i="2"/>
  <c r="N1277" i="2"/>
  <c r="M1277" i="2"/>
  <c r="L1277" i="2" a="1"/>
  <c r="L1277" i="2" s="1"/>
  <c r="K1277" i="2" a="1"/>
  <c r="K1277" i="2" s="1"/>
  <c r="J1277" i="2"/>
  <c r="B1277" i="2"/>
  <c r="N1276" i="2"/>
  <c r="M1276" i="2"/>
  <c r="L1276" i="2" a="1"/>
  <c r="L1276" i="2" s="1"/>
  <c r="K1276" i="2" a="1"/>
  <c r="K1276" i="2" s="1"/>
  <c r="J1276" i="2"/>
  <c r="B1276" i="2"/>
  <c r="N1275" i="2"/>
  <c r="M1275" i="2"/>
  <c r="L1275" i="2" a="1"/>
  <c r="L1275" i="2" s="1"/>
  <c r="K1275" i="2" a="1"/>
  <c r="K1275" i="2" s="1"/>
  <c r="J1275" i="2"/>
  <c r="B1275" i="2"/>
  <c r="N1274" i="2"/>
  <c r="M1274" i="2"/>
  <c r="L1274" i="2" a="1"/>
  <c r="L1274" i="2" s="1"/>
  <c r="K1274" i="2" a="1"/>
  <c r="K1274" i="2" s="1"/>
  <c r="J1274" i="2"/>
  <c r="B1274" i="2"/>
  <c r="N1273" i="2"/>
  <c r="M1273" i="2"/>
  <c r="L1273" i="2" a="1"/>
  <c r="L1273" i="2" s="1"/>
  <c r="K1273" i="2" a="1"/>
  <c r="K1273" i="2" s="1"/>
  <c r="J1273" i="2"/>
  <c r="B1273" i="2"/>
  <c r="N1272" i="2"/>
  <c r="M1272" i="2"/>
  <c r="L1272" i="2" a="1"/>
  <c r="L1272" i="2" s="1"/>
  <c r="K1272" i="2" a="1"/>
  <c r="K1272" i="2" s="1"/>
  <c r="J1272" i="2"/>
  <c r="B1272" i="2"/>
  <c r="N1271" i="2"/>
  <c r="M1271" i="2"/>
  <c r="L1271" i="2" a="1"/>
  <c r="L1271" i="2" s="1"/>
  <c r="K1271" i="2" a="1"/>
  <c r="K1271" i="2" s="1"/>
  <c r="J1271" i="2"/>
  <c r="B1271" i="2"/>
  <c r="N1270" i="2"/>
  <c r="M1270" i="2"/>
  <c r="L1270" i="2" a="1"/>
  <c r="L1270" i="2" s="1"/>
  <c r="K1270" i="2" a="1"/>
  <c r="K1270" i="2" s="1"/>
  <c r="J1270" i="2"/>
  <c r="B1270" i="2"/>
  <c r="N1269" i="2"/>
  <c r="M1269" i="2"/>
  <c r="L1269" i="2" a="1"/>
  <c r="L1269" i="2" s="1"/>
  <c r="K1269" i="2" a="1"/>
  <c r="K1269" i="2" s="1"/>
  <c r="J1269" i="2"/>
  <c r="B1269" i="2"/>
  <c r="N1268" i="2"/>
  <c r="M1268" i="2"/>
  <c r="L1268" i="2" a="1"/>
  <c r="L1268" i="2" s="1"/>
  <c r="K1268" i="2" a="1"/>
  <c r="K1268" i="2" s="1"/>
  <c r="J1268" i="2"/>
  <c r="B1268" i="2"/>
  <c r="N1267" i="2"/>
  <c r="M1267" i="2"/>
  <c r="L1267" i="2" a="1"/>
  <c r="L1267" i="2" s="1"/>
  <c r="K1267" i="2" a="1"/>
  <c r="K1267" i="2" s="1"/>
  <c r="J1267" i="2"/>
  <c r="B1267" i="2"/>
  <c r="N1266" i="2"/>
  <c r="M1266" i="2"/>
  <c r="L1266" i="2" a="1"/>
  <c r="L1266" i="2" s="1"/>
  <c r="K1266" i="2" a="1"/>
  <c r="K1266" i="2" s="1"/>
  <c r="J1266" i="2"/>
  <c r="B1266" i="2"/>
  <c r="N1265" i="2"/>
  <c r="M1265" i="2"/>
  <c r="L1265" i="2" a="1"/>
  <c r="L1265" i="2" s="1"/>
  <c r="K1265" i="2" a="1"/>
  <c r="K1265" i="2" s="1"/>
  <c r="J1265" i="2"/>
  <c r="B1265" i="2"/>
  <c r="N1264" i="2"/>
  <c r="M1264" i="2"/>
  <c r="L1264" i="2" a="1"/>
  <c r="L1264" i="2" s="1"/>
  <c r="K1264" i="2" a="1"/>
  <c r="K1264" i="2" s="1"/>
  <c r="J1264" i="2"/>
  <c r="B1264" i="2"/>
  <c r="N1263" i="2"/>
  <c r="M1263" i="2"/>
  <c r="L1263" i="2" a="1"/>
  <c r="L1263" i="2" s="1"/>
  <c r="K1263" i="2" a="1"/>
  <c r="K1263" i="2" s="1"/>
  <c r="J1263" i="2"/>
  <c r="B1263" i="2"/>
  <c r="N1262" i="2"/>
  <c r="M1262" i="2"/>
  <c r="L1262" i="2" a="1"/>
  <c r="L1262" i="2" s="1"/>
  <c r="K1262" i="2" a="1"/>
  <c r="K1262" i="2" s="1"/>
  <c r="J1262" i="2"/>
  <c r="B1262" i="2"/>
  <c r="N1261" i="2"/>
  <c r="M1261" i="2"/>
  <c r="L1261" i="2" a="1"/>
  <c r="L1261" i="2" s="1"/>
  <c r="K1261" i="2" a="1"/>
  <c r="K1261" i="2" s="1"/>
  <c r="J1261" i="2"/>
  <c r="B1261" i="2"/>
  <c r="N1260" i="2"/>
  <c r="M1260" i="2"/>
  <c r="L1260" i="2" a="1"/>
  <c r="L1260" i="2" s="1"/>
  <c r="K1260" i="2" a="1"/>
  <c r="K1260" i="2" s="1"/>
  <c r="J1260" i="2"/>
  <c r="B1260" i="2"/>
  <c r="N1259" i="2"/>
  <c r="M1259" i="2"/>
  <c r="L1259" i="2" a="1"/>
  <c r="L1259" i="2" s="1"/>
  <c r="K1259" i="2" a="1"/>
  <c r="K1259" i="2" s="1"/>
  <c r="J1259" i="2"/>
  <c r="B1259" i="2"/>
  <c r="N1258" i="2"/>
  <c r="M1258" i="2"/>
  <c r="L1258" i="2" a="1"/>
  <c r="L1258" i="2" s="1"/>
  <c r="K1258" i="2" a="1"/>
  <c r="K1258" i="2" s="1"/>
  <c r="J1258" i="2"/>
  <c r="B1258" i="2"/>
  <c r="V1257" i="2"/>
  <c r="N1257" i="2"/>
  <c r="M1257" i="2"/>
  <c r="L1257" i="2" a="1"/>
  <c r="L1257" i="2" s="1"/>
  <c r="K1257" i="2" a="1"/>
  <c r="K1257" i="2" s="1"/>
  <c r="J1257" i="2"/>
  <c r="B1257" i="2"/>
  <c r="N1256" i="2"/>
  <c r="M1256" i="2"/>
  <c r="L1256" i="2" a="1"/>
  <c r="L1256" i="2" s="1"/>
  <c r="K1256" i="2" a="1"/>
  <c r="K1256" i="2" s="1"/>
  <c r="J1256" i="2"/>
  <c r="B1256" i="2"/>
  <c r="N1255" i="2"/>
  <c r="M1255" i="2"/>
  <c r="L1255" i="2" a="1"/>
  <c r="L1255" i="2" s="1"/>
  <c r="K1255" i="2" a="1"/>
  <c r="K1255" i="2" s="1"/>
  <c r="J1255" i="2"/>
  <c r="B1255" i="2"/>
  <c r="N1254" i="2"/>
  <c r="M1254" i="2"/>
  <c r="L1254" i="2" a="1"/>
  <c r="L1254" i="2" s="1"/>
  <c r="K1254" i="2" a="1"/>
  <c r="K1254" i="2" s="1"/>
  <c r="J1254" i="2"/>
  <c r="B1254" i="2"/>
  <c r="N1253" i="2"/>
  <c r="M1253" i="2"/>
  <c r="L1253" i="2" a="1"/>
  <c r="L1253" i="2" s="1"/>
  <c r="K1253" i="2" a="1"/>
  <c r="K1253" i="2" s="1"/>
  <c r="J1253" i="2"/>
  <c r="B1253" i="2"/>
  <c r="N1252" i="2"/>
  <c r="M1252" i="2"/>
  <c r="L1252" i="2" a="1"/>
  <c r="L1252" i="2" s="1"/>
  <c r="K1252" i="2" a="1"/>
  <c r="K1252" i="2" s="1"/>
  <c r="J1252" i="2"/>
  <c r="B1252" i="2"/>
  <c r="N1251" i="2"/>
  <c r="M1251" i="2"/>
  <c r="L1251" i="2" a="1"/>
  <c r="L1251" i="2" s="1"/>
  <c r="K1251" i="2" a="1"/>
  <c r="K1251" i="2" s="1"/>
  <c r="J1251" i="2"/>
  <c r="B1251" i="2"/>
  <c r="N1250" i="2"/>
  <c r="M1250" i="2"/>
  <c r="L1250" i="2" a="1"/>
  <c r="L1250" i="2" s="1"/>
  <c r="K1250" i="2" a="1"/>
  <c r="K1250" i="2" s="1"/>
  <c r="J1250" i="2"/>
  <c r="B1250" i="2"/>
  <c r="U1249" i="2"/>
  <c r="A1248" i="2"/>
  <c r="J1247" i="2"/>
  <c r="N1246" i="2"/>
  <c r="M1246" i="2"/>
  <c r="L1246" i="2" a="1"/>
  <c r="L1246" i="2" s="1"/>
  <c r="K1246" i="2" a="1"/>
  <c r="K1246" i="2" s="1"/>
  <c r="J1246" i="2"/>
  <c r="B1246" i="2"/>
  <c r="N1245" i="2"/>
  <c r="M1245" i="2"/>
  <c r="L1245" i="2" a="1"/>
  <c r="L1245" i="2" s="1"/>
  <c r="K1245" i="2" a="1"/>
  <c r="K1245" i="2" s="1"/>
  <c r="J1245" i="2"/>
  <c r="B1245" i="2"/>
  <c r="N1244" i="2"/>
  <c r="M1244" i="2"/>
  <c r="L1244" i="2" a="1"/>
  <c r="L1244" i="2" s="1"/>
  <c r="K1244" i="2" a="1"/>
  <c r="K1244" i="2" s="1"/>
  <c r="J1244" i="2"/>
  <c r="B1244" i="2"/>
  <c r="N1243" i="2"/>
  <c r="M1243" i="2"/>
  <c r="L1243" i="2" a="1"/>
  <c r="L1243" i="2" s="1"/>
  <c r="K1243" i="2" a="1"/>
  <c r="K1243" i="2" s="1"/>
  <c r="J1243" i="2"/>
  <c r="B1243" i="2"/>
  <c r="N1242" i="2"/>
  <c r="M1242" i="2"/>
  <c r="L1242" i="2" a="1"/>
  <c r="L1242" i="2" s="1"/>
  <c r="K1242" i="2" a="1"/>
  <c r="K1242" i="2" s="1"/>
  <c r="J1242" i="2"/>
  <c r="B1242" i="2"/>
  <c r="N1241" i="2"/>
  <c r="M1241" i="2"/>
  <c r="L1241" i="2" a="1"/>
  <c r="L1241" i="2" s="1"/>
  <c r="K1241" i="2" a="1"/>
  <c r="K1241" i="2" s="1"/>
  <c r="J1241" i="2"/>
  <c r="B1241" i="2"/>
  <c r="N1240" i="2"/>
  <c r="M1240" i="2"/>
  <c r="L1240" i="2" a="1"/>
  <c r="L1240" i="2" s="1"/>
  <c r="K1240" i="2" a="1"/>
  <c r="K1240" i="2" s="1"/>
  <c r="J1240" i="2"/>
  <c r="B1240" i="2"/>
  <c r="N1239" i="2"/>
  <c r="M1239" i="2"/>
  <c r="L1239" i="2" a="1"/>
  <c r="L1239" i="2" s="1"/>
  <c r="K1239" i="2" a="1"/>
  <c r="K1239" i="2" s="1"/>
  <c r="J1239" i="2"/>
  <c r="B1239" i="2"/>
  <c r="N1238" i="2"/>
  <c r="M1238" i="2"/>
  <c r="L1238" i="2" a="1"/>
  <c r="L1238" i="2" s="1"/>
  <c r="K1238" i="2" a="1"/>
  <c r="K1238" i="2" s="1"/>
  <c r="J1238" i="2"/>
  <c r="B1238" i="2"/>
  <c r="N1237" i="2"/>
  <c r="M1237" i="2"/>
  <c r="L1237" i="2" a="1"/>
  <c r="L1237" i="2" s="1"/>
  <c r="K1237" i="2" a="1"/>
  <c r="K1237" i="2" s="1"/>
  <c r="J1237" i="2"/>
  <c r="B1237" i="2"/>
  <c r="N1236" i="2"/>
  <c r="M1236" i="2"/>
  <c r="L1236" i="2" a="1"/>
  <c r="L1236" i="2" s="1"/>
  <c r="K1236" i="2" a="1"/>
  <c r="K1236" i="2" s="1"/>
  <c r="J1236" i="2"/>
  <c r="B1236" i="2"/>
  <c r="N1235" i="2"/>
  <c r="M1235" i="2"/>
  <c r="L1235" i="2" a="1"/>
  <c r="L1235" i="2" s="1"/>
  <c r="K1235" i="2" a="1"/>
  <c r="K1235" i="2" s="1"/>
  <c r="J1235" i="2"/>
  <c r="B1235" i="2"/>
  <c r="N1234" i="2"/>
  <c r="M1234" i="2"/>
  <c r="L1234" i="2" a="1"/>
  <c r="L1234" i="2" s="1"/>
  <c r="K1234" i="2" a="1"/>
  <c r="K1234" i="2" s="1"/>
  <c r="J1234" i="2"/>
  <c r="B1234" i="2"/>
  <c r="N1233" i="2"/>
  <c r="M1233" i="2"/>
  <c r="L1233" i="2" a="1"/>
  <c r="L1233" i="2" s="1"/>
  <c r="K1233" i="2" a="1"/>
  <c r="K1233" i="2" s="1"/>
  <c r="J1233" i="2"/>
  <c r="B1233" i="2"/>
  <c r="N1232" i="2"/>
  <c r="M1232" i="2"/>
  <c r="L1232" i="2" a="1"/>
  <c r="L1232" i="2" s="1"/>
  <c r="K1232" i="2" a="1"/>
  <c r="K1232" i="2" s="1"/>
  <c r="J1232" i="2"/>
  <c r="B1232" i="2"/>
  <c r="N1231" i="2"/>
  <c r="M1231" i="2"/>
  <c r="L1231" i="2" a="1"/>
  <c r="L1231" i="2" s="1"/>
  <c r="K1231" i="2" a="1"/>
  <c r="K1231" i="2" s="1"/>
  <c r="J1231" i="2"/>
  <c r="B1231" i="2"/>
  <c r="N1230" i="2"/>
  <c r="M1230" i="2"/>
  <c r="L1230" i="2" a="1"/>
  <c r="L1230" i="2" s="1"/>
  <c r="K1230" i="2" a="1"/>
  <c r="K1230" i="2" s="1"/>
  <c r="J1230" i="2"/>
  <c r="B1230" i="2"/>
  <c r="N1229" i="2"/>
  <c r="M1229" i="2"/>
  <c r="L1229" i="2" a="1"/>
  <c r="L1229" i="2" s="1"/>
  <c r="K1229" i="2" a="1"/>
  <c r="K1229" i="2" s="1"/>
  <c r="J1229" i="2"/>
  <c r="B1229" i="2"/>
  <c r="N1228" i="2"/>
  <c r="M1228" i="2"/>
  <c r="L1228" i="2" a="1"/>
  <c r="L1228" i="2" s="1"/>
  <c r="K1228" i="2" a="1"/>
  <c r="K1228" i="2" s="1"/>
  <c r="J1228" i="2"/>
  <c r="B1228" i="2"/>
  <c r="N1227" i="2"/>
  <c r="M1227" i="2"/>
  <c r="L1227" i="2" a="1"/>
  <c r="L1227" i="2" s="1"/>
  <c r="K1227" i="2" a="1"/>
  <c r="K1227" i="2" s="1"/>
  <c r="J1227" i="2"/>
  <c r="B1227" i="2"/>
  <c r="N1226" i="2"/>
  <c r="M1226" i="2"/>
  <c r="L1226" i="2" a="1"/>
  <c r="L1226" i="2" s="1"/>
  <c r="K1226" i="2" a="1"/>
  <c r="K1226" i="2" s="1"/>
  <c r="J1226" i="2"/>
  <c r="B1226" i="2"/>
  <c r="N1225" i="2"/>
  <c r="M1225" i="2"/>
  <c r="L1225" i="2" a="1"/>
  <c r="L1225" i="2" s="1"/>
  <c r="K1225" i="2" a="1"/>
  <c r="K1225" i="2" s="1"/>
  <c r="J1225" i="2"/>
  <c r="B1225" i="2"/>
  <c r="N1224" i="2"/>
  <c r="M1224" i="2"/>
  <c r="L1224" i="2" a="1"/>
  <c r="L1224" i="2" s="1"/>
  <c r="K1224" i="2" a="1"/>
  <c r="K1224" i="2" s="1"/>
  <c r="J1224" i="2"/>
  <c r="B1224" i="2"/>
  <c r="N1223" i="2"/>
  <c r="M1223" i="2"/>
  <c r="L1223" i="2" a="1"/>
  <c r="L1223" i="2" s="1"/>
  <c r="K1223" i="2" a="1"/>
  <c r="K1223" i="2" s="1"/>
  <c r="J1223" i="2"/>
  <c r="B1223" i="2"/>
  <c r="N1222" i="2"/>
  <c r="M1222" i="2"/>
  <c r="L1222" i="2" a="1"/>
  <c r="L1222" i="2" s="1"/>
  <c r="K1222" i="2" a="1"/>
  <c r="K1222" i="2" s="1"/>
  <c r="J1222" i="2"/>
  <c r="B1222" i="2"/>
  <c r="N1221" i="2"/>
  <c r="M1221" i="2"/>
  <c r="L1221" i="2" a="1"/>
  <c r="L1221" i="2" s="1"/>
  <c r="K1221" i="2" a="1"/>
  <c r="K1221" i="2" s="1"/>
  <c r="J1221" i="2"/>
  <c r="B1221" i="2"/>
  <c r="N1220" i="2"/>
  <c r="M1220" i="2"/>
  <c r="L1220" i="2" a="1"/>
  <c r="L1220" i="2" s="1"/>
  <c r="K1220" i="2" a="1"/>
  <c r="K1220" i="2" s="1"/>
  <c r="J1220" i="2"/>
  <c r="B1220" i="2"/>
  <c r="N1219" i="2"/>
  <c r="M1219" i="2"/>
  <c r="L1219" i="2" a="1"/>
  <c r="L1219" i="2" s="1"/>
  <c r="K1219" i="2" a="1"/>
  <c r="K1219" i="2" s="1"/>
  <c r="J1219" i="2"/>
  <c r="B1219" i="2"/>
  <c r="N1218" i="2"/>
  <c r="M1218" i="2"/>
  <c r="L1218" i="2" a="1"/>
  <c r="L1218" i="2" s="1"/>
  <c r="K1218" i="2" a="1"/>
  <c r="K1218" i="2" s="1"/>
  <c r="J1218" i="2"/>
  <c r="B1218" i="2"/>
  <c r="N1217" i="2"/>
  <c r="M1217" i="2"/>
  <c r="L1217" i="2" a="1"/>
  <c r="L1217" i="2" s="1"/>
  <c r="K1217" i="2" a="1"/>
  <c r="K1217" i="2" s="1"/>
  <c r="J1217" i="2"/>
  <c r="B1217" i="2"/>
  <c r="N1216" i="2"/>
  <c r="M1216" i="2"/>
  <c r="L1216" i="2" a="1"/>
  <c r="L1216" i="2" s="1"/>
  <c r="K1216" i="2" a="1"/>
  <c r="K1216" i="2" s="1"/>
  <c r="J1216" i="2"/>
  <c r="B1216" i="2"/>
  <c r="N1215" i="2"/>
  <c r="M1215" i="2"/>
  <c r="L1215" i="2" a="1"/>
  <c r="L1215" i="2" s="1"/>
  <c r="K1215" i="2" a="1"/>
  <c r="K1215" i="2" s="1"/>
  <c r="J1215" i="2"/>
  <c r="B1215" i="2"/>
  <c r="N1214" i="2"/>
  <c r="M1214" i="2"/>
  <c r="L1214" i="2" a="1"/>
  <c r="L1214" i="2" s="1"/>
  <c r="K1214" i="2" a="1"/>
  <c r="K1214" i="2" s="1"/>
  <c r="J1214" i="2"/>
  <c r="B1214" i="2"/>
  <c r="N1213" i="2"/>
  <c r="M1213" i="2"/>
  <c r="L1213" i="2" a="1"/>
  <c r="L1213" i="2" s="1"/>
  <c r="K1213" i="2" a="1"/>
  <c r="K1213" i="2" s="1"/>
  <c r="J1213" i="2"/>
  <c r="B1213" i="2"/>
  <c r="N1212" i="2"/>
  <c r="M1212" i="2"/>
  <c r="L1212" i="2" a="1"/>
  <c r="L1212" i="2" s="1"/>
  <c r="K1212" i="2" a="1"/>
  <c r="K1212" i="2" s="1"/>
  <c r="J1212" i="2"/>
  <c r="B1212" i="2"/>
  <c r="N1211" i="2"/>
  <c r="M1211" i="2"/>
  <c r="L1211" i="2" a="1"/>
  <c r="L1211" i="2" s="1"/>
  <c r="K1211" i="2" a="1"/>
  <c r="K1211" i="2" s="1"/>
  <c r="J1211" i="2"/>
  <c r="B1211" i="2"/>
  <c r="N1210" i="2"/>
  <c r="M1210" i="2"/>
  <c r="L1210" i="2" a="1"/>
  <c r="L1210" i="2" s="1"/>
  <c r="K1210" i="2" a="1"/>
  <c r="K1210" i="2" s="1"/>
  <c r="J1210" i="2"/>
  <c r="B1210" i="2"/>
  <c r="N1209" i="2"/>
  <c r="M1209" i="2"/>
  <c r="L1209" i="2" a="1"/>
  <c r="L1209" i="2" s="1"/>
  <c r="K1209" i="2" a="1"/>
  <c r="K1209" i="2" s="1"/>
  <c r="J1209" i="2"/>
  <c r="B1209" i="2"/>
  <c r="N1208" i="2"/>
  <c r="M1208" i="2"/>
  <c r="L1208" i="2" a="1"/>
  <c r="L1208" i="2" s="1"/>
  <c r="K1208" i="2" a="1"/>
  <c r="K1208" i="2" s="1"/>
  <c r="J1208" i="2"/>
  <c r="B1208" i="2"/>
  <c r="N1207" i="2"/>
  <c r="M1207" i="2"/>
  <c r="L1207" i="2" a="1"/>
  <c r="L1207" i="2" s="1"/>
  <c r="K1207" i="2" a="1"/>
  <c r="K1207" i="2" s="1"/>
  <c r="J1207" i="2"/>
  <c r="B1207" i="2"/>
  <c r="N1206" i="2"/>
  <c r="M1206" i="2"/>
  <c r="L1206" i="2" a="1"/>
  <c r="L1206" i="2" s="1"/>
  <c r="K1206" i="2" a="1"/>
  <c r="K1206" i="2" s="1"/>
  <c r="J1206" i="2"/>
  <c r="B1206" i="2"/>
  <c r="N1205" i="2"/>
  <c r="M1205" i="2"/>
  <c r="L1205" i="2" a="1"/>
  <c r="L1205" i="2" s="1"/>
  <c r="K1205" i="2" a="1"/>
  <c r="K1205" i="2" s="1"/>
  <c r="J1205" i="2"/>
  <c r="B1205" i="2"/>
  <c r="N1204" i="2"/>
  <c r="M1204" i="2"/>
  <c r="L1204" i="2" a="1"/>
  <c r="L1204" i="2" s="1"/>
  <c r="K1204" i="2" a="1"/>
  <c r="K1204" i="2" s="1"/>
  <c r="J1204" i="2"/>
  <c r="B1204" i="2"/>
  <c r="N1203" i="2"/>
  <c r="M1203" i="2"/>
  <c r="L1203" i="2" a="1"/>
  <c r="L1203" i="2" s="1"/>
  <c r="K1203" i="2" a="1"/>
  <c r="K1203" i="2" s="1"/>
  <c r="J1203" i="2"/>
  <c r="B1203" i="2"/>
  <c r="N1202" i="2"/>
  <c r="M1202" i="2"/>
  <c r="L1202" i="2" a="1"/>
  <c r="L1202" i="2" s="1"/>
  <c r="K1202" i="2" a="1"/>
  <c r="K1202" i="2" s="1"/>
  <c r="J1202" i="2"/>
  <c r="B1202" i="2"/>
  <c r="N1201" i="2"/>
  <c r="M1201" i="2"/>
  <c r="L1201" i="2" a="1"/>
  <c r="L1201" i="2" s="1"/>
  <c r="K1201" i="2" a="1"/>
  <c r="K1201" i="2" s="1"/>
  <c r="J1201" i="2"/>
  <c r="B1201" i="2"/>
  <c r="N1200" i="2"/>
  <c r="M1200" i="2"/>
  <c r="L1200" i="2" a="1"/>
  <c r="L1200" i="2" s="1"/>
  <c r="K1200" i="2" a="1"/>
  <c r="K1200" i="2" s="1"/>
  <c r="J1200" i="2"/>
  <c r="B1200" i="2"/>
  <c r="N1199" i="2"/>
  <c r="M1199" i="2"/>
  <c r="L1199" i="2" a="1"/>
  <c r="L1199" i="2" s="1"/>
  <c r="K1199" i="2" a="1"/>
  <c r="K1199" i="2" s="1"/>
  <c r="J1199" i="2"/>
  <c r="B1199" i="2"/>
  <c r="N1198" i="2"/>
  <c r="M1198" i="2"/>
  <c r="L1198" i="2" a="1"/>
  <c r="L1198" i="2" s="1"/>
  <c r="K1198" i="2" a="1"/>
  <c r="K1198" i="2" s="1"/>
  <c r="J1198" i="2"/>
  <c r="B1198" i="2"/>
  <c r="N1197" i="2"/>
  <c r="M1197" i="2"/>
  <c r="L1197" i="2" a="1"/>
  <c r="L1197" i="2" s="1"/>
  <c r="K1197" i="2" a="1"/>
  <c r="K1197" i="2" s="1"/>
  <c r="J1197" i="2"/>
  <c r="B1197" i="2"/>
  <c r="N1196" i="2"/>
  <c r="M1196" i="2"/>
  <c r="L1196" i="2" a="1"/>
  <c r="L1196" i="2" s="1"/>
  <c r="K1196" i="2" a="1"/>
  <c r="K1196" i="2" s="1"/>
  <c r="J1196" i="2"/>
  <c r="B1196" i="2"/>
  <c r="N1195" i="2"/>
  <c r="M1195" i="2"/>
  <c r="L1195" i="2" a="1"/>
  <c r="L1195" i="2" s="1"/>
  <c r="K1195" i="2" a="1"/>
  <c r="K1195" i="2" s="1"/>
  <c r="J1195" i="2"/>
  <c r="B1195" i="2"/>
  <c r="N1194" i="2"/>
  <c r="M1194" i="2"/>
  <c r="L1194" i="2" a="1"/>
  <c r="L1194" i="2" s="1"/>
  <c r="K1194" i="2" a="1"/>
  <c r="K1194" i="2" s="1"/>
  <c r="J1194" i="2"/>
  <c r="B1194" i="2"/>
  <c r="N1193" i="2"/>
  <c r="M1193" i="2"/>
  <c r="L1193" i="2" a="1"/>
  <c r="L1193" i="2" s="1"/>
  <c r="K1193" i="2" a="1"/>
  <c r="K1193" i="2" s="1"/>
  <c r="J1193" i="2"/>
  <c r="B1193" i="2"/>
  <c r="N1192" i="2"/>
  <c r="M1192" i="2"/>
  <c r="L1192" i="2" a="1"/>
  <c r="L1192" i="2" s="1"/>
  <c r="K1192" i="2" a="1"/>
  <c r="K1192" i="2" s="1"/>
  <c r="J1192" i="2"/>
  <c r="B1192" i="2"/>
  <c r="N1191" i="2"/>
  <c r="M1191" i="2"/>
  <c r="L1191" i="2" a="1"/>
  <c r="L1191" i="2" s="1"/>
  <c r="K1191" i="2" a="1"/>
  <c r="K1191" i="2" s="1"/>
  <c r="J1191" i="2"/>
  <c r="B1191" i="2"/>
  <c r="N1190" i="2"/>
  <c r="M1190" i="2"/>
  <c r="L1190" i="2" a="1"/>
  <c r="L1190" i="2" s="1"/>
  <c r="K1190" i="2" a="1"/>
  <c r="K1190" i="2" s="1"/>
  <c r="J1190" i="2"/>
  <c r="B1190" i="2"/>
  <c r="N1189" i="2"/>
  <c r="M1189" i="2"/>
  <c r="L1189" i="2" a="1"/>
  <c r="L1189" i="2" s="1"/>
  <c r="K1189" i="2" a="1"/>
  <c r="K1189" i="2" s="1"/>
  <c r="J1189" i="2"/>
  <c r="B1189" i="2"/>
  <c r="N1188" i="2"/>
  <c r="M1188" i="2"/>
  <c r="L1188" i="2" a="1"/>
  <c r="L1188" i="2" s="1"/>
  <c r="K1188" i="2" a="1"/>
  <c r="K1188" i="2" s="1"/>
  <c r="J1188" i="2"/>
  <c r="B1188" i="2"/>
  <c r="N1187" i="2"/>
  <c r="M1187" i="2"/>
  <c r="L1187" i="2" a="1"/>
  <c r="L1187" i="2" s="1"/>
  <c r="K1187" i="2" a="1"/>
  <c r="K1187" i="2" s="1"/>
  <c r="J1187" i="2"/>
  <c r="B1187" i="2"/>
  <c r="N1186" i="2"/>
  <c r="M1186" i="2"/>
  <c r="L1186" i="2" a="1"/>
  <c r="L1186" i="2" s="1"/>
  <c r="K1186" i="2" a="1"/>
  <c r="K1186" i="2" s="1"/>
  <c r="J1186" i="2"/>
  <c r="B1186" i="2"/>
  <c r="N1185" i="2"/>
  <c r="M1185" i="2"/>
  <c r="L1185" i="2" a="1"/>
  <c r="L1185" i="2" s="1"/>
  <c r="K1185" i="2" a="1"/>
  <c r="K1185" i="2" s="1"/>
  <c r="J1185" i="2"/>
  <c r="B1185" i="2"/>
  <c r="N1184" i="2"/>
  <c r="M1184" i="2"/>
  <c r="L1184" i="2" a="1"/>
  <c r="L1184" i="2" s="1"/>
  <c r="K1184" i="2" a="1"/>
  <c r="K1184" i="2" s="1"/>
  <c r="J1184" i="2"/>
  <c r="B1184" i="2"/>
  <c r="N1183" i="2"/>
  <c r="M1183" i="2"/>
  <c r="L1183" i="2" a="1"/>
  <c r="L1183" i="2" s="1"/>
  <c r="K1183" i="2" a="1"/>
  <c r="K1183" i="2" s="1"/>
  <c r="J1183" i="2"/>
  <c r="B1183" i="2"/>
  <c r="N1182" i="2"/>
  <c r="M1182" i="2"/>
  <c r="L1182" i="2" a="1"/>
  <c r="L1182" i="2" s="1"/>
  <c r="K1182" i="2" a="1"/>
  <c r="K1182" i="2" s="1"/>
  <c r="J1182" i="2"/>
  <c r="B1182" i="2"/>
  <c r="N1181" i="2"/>
  <c r="M1181" i="2"/>
  <c r="L1181" i="2" a="1"/>
  <c r="L1181" i="2" s="1"/>
  <c r="K1181" i="2" a="1"/>
  <c r="K1181" i="2" s="1"/>
  <c r="J1181" i="2"/>
  <c r="B1181" i="2"/>
  <c r="N1180" i="2"/>
  <c r="M1180" i="2"/>
  <c r="L1180" i="2" a="1"/>
  <c r="L1180" i="2" s="1"/>
  <c r="K1180" i="2" a="1"/>
  <c r="K1180" i="2" s="1"/>
  <c r="J1180" i="2"/>
  <c r="B1180" i="2"/>
  <c r="N1179" i="2"/>
  <c r="M1179" i="2"/>
  <c r="L1179" i="2" a="1"/>
  <c r="L1179" i="2" s="1"/>
  <c r="K1179" i="2" a="1"/>
  <c r="K1179" i="2" s="1"/>
  <c r="J1179" i="2"/>
  <c r="B1179" i="2"/>
  <c r="N1178" i="2"/>
  <c r="M1178" i="2"/>
  <c r="L1178" i="2" a="1"/>
  <c r="L1178" i="2" s="1"/>
  <c r="K1178" i="2" a="1"/>
  <c r="K1178" i="2" s="1"/>
  <c r="J1178" i="2"/>
  <c r="B1178" i="2"/>
  <c r="N1177" i="2"/>
  <c r="M1177" i="2"/>
  <c r="L1177" i="2" a="1"/>
  <c r="L1177" i="2" s="1"/>
  <c r="K1177" i="2" a="1"/>
  <c r="K1177" i="2" s="1"/>
  <c r="J1177" i="2"/>
  <c r="B1177" i="2"/>
  <c r="N1176" i="2"/>
  <c r="M1176" i="2"/>
  <c r="L1176" i="2" a="1"/>
  <c r="L1176" i="2" s="1"/>
  <c r="K1176" i="2" a="1"/>
  <c r="K1176" i="2" s="1"/>
  <c r="J1176" i="2"/>
  <c r="B1176" i="2"/>
  <c r="N1175" i="2"/>
  <c r="M1175" i="2"/>
  <c r="L1175" i="2" a="1"/>
  <c r="L1175" i="2" s="1"/>
  <c r="K1175" i="2" a="1"/>
  <c r="K1175" i="2" s="1"/>
  <c r="J1175" i="2"/>
  <c r="B1175" i="2"/>
  <c r="N1174" i="2"/>
  <c r="M1174" i="2"/>
  <c r="L1174" i="2" a="1"/>
  <c r="L1174" i="2" s="1"/>
  <c r="K1174" i="2" a="1"/>
  <c r="K1174" i="2" s="1"/>
  <c r="J1174" i="2"/>
  <c r="B1174" i="2"/>
  <c r="N1173" i="2"/>
  <c r="M1173" i="2"/>
  <c r="L1173" i="2" a="1"/>
  <c r="L1173" i="2" s="1"/>
  <c r="K1173" i="2" a="1"/>
  <c r="K1173" i="2" s="1"/>
  <c r="J1173" i="2"/>
  <c r="B1173" i="2"/>
  <c r="N1172" i="2"/>
  <c r="M1172" i="2"/>
  <c r="L1172" i="2" a="1"/>
  <c r="L1172" i="2" s="1"/>
  <c r="K1172" i="2" a="1"/>
  <c r="K1172" i="2" s="1"/>
  <c r="J1172" i="2"/>
  <c r="B1172" i="2"/>
  <c r="N1171" i="2"/>
  <c r="M1171" i="2"/>
  <c r="L1171" i="2" a="1"/>
  <c r="L1171" i="2" s="1"/>
  <c r="K1171" i="2" a="1"/>
  <c r="K1171" i="2" s="1"/>
  <c r="J1171" i="2"/>
  <c r="B1171" i="2"/>
  <c r="N1170" i="2"/>
  <c r="M1170" i="2"/>
  <c r="L1170" i="2" a="1"/>
  <c r="L1170" i="2" s="1"/>
  <c r="K1170" i="2" a="1"/>
  <c r="K1170" i="2" s="1"/>
  <c r="J1170" i="2"/>
  <c r="B1170" i="2"/>
  <c r="N1169" i="2"/>
  <c r="M1169" i="2"/>
  <c r="L1169" i="2" a="1"/>
  <c r="L1169" i="2" s="1"/>
  <c r="K1169" i="2" a="1"/>
  <c r="K1169" i="2" s="1"/>
  <c r="J1169" i="2"/>
  <c r="B1169" i="2"/>
  <c r="N1168" i="2"/>
  <c r="M1168" i="2"/>
  <c r="L1168" i="2" a="1"/>
  <c r="L1168" i="2" s="1"/>
  <c r="K1168" i="2" a="1"/>
  <c r="K1168" i="2" s="1"/>
  <c r="J1168" i="2"/>
  <c r="B1168" i="2"/>
  <c r="N1167" i="2"/>
  <c r="M1167" i="2"/>
  <c r="L1167" i="2" a="1"/>
  <c r="L1167" i="2" s="1"/>
  <c r="K1167" i="2" a="1"/>
  <c r="K1167" i="2" s="1"/>
  <c r="J1167" i="2"/>
  <c r="B1167" i="2"/>
  <c r="N1166" i="2"/>
  <c r="M1166" i="2"/>
  <c r="L1166" i="2" a="1"/>
  <c r="L1166" i="2" s="1"/>
  <c r="K1166" i="2" a="1"/>
  <c r="K1166" i="2" s="1"/>
  <c r="J1166" i="2"/>
  <c r="B1166" i="2"/>
  <c r="N1165" i="2"/>
  <c r="M1165" i="2"/>
  <c r="L1165" i="2" a="1"/>
  <c r="L1165" i="2" s="1"/>
  <c r="K1165" i="2" a="1"/>
  <c r="K1165" i="2" s="1"/>
  <c r="J1165" i="2"/>
  <c r="B1165" i="2"/>
  <c r="N1164" i="2"/>
  <c r="M1164" i="2"/>
  <c r="L1164" i="2" a="1"/>
  <c r="L1164" i="2" s="1"/>
  <c r="K1164" i="2" a="1"/>
  <c r="K1164" i="2" s="1"/>
  <c r="J1164" i="2"/>
  <c r="B1164" i="2"/>
  <c r="N1163" i="2"/>
  <c r="M1163" i="2"/>
  <c r="L1163" i="2" a="1"/>
  <c r="L1163" i="2" s="1"/>
  <c r="K1163" i="2" a="1"/>
  <c r="K1163" i="2" s="1"/>
  <c r="J1163" i="2"/>
  <c r="B1163" i="2"/>
  <c r="N1162" i="2"/>
  <c r="M1162" i="2"/>
  <c r="L1162" i="2" a="1"/>
  <c r="L1162" i="2" s="1"/>
  <c r="K1162" i="2" a="1"/>
  <c r="K1162" i="2" s="1"/>
  <c r="J1162" i="2"/>
  <c r="B1162" i="2"/>
  <c r="N1161" i="2"/>
  <c r="M1161" i="2"/>
  <c r="L1161" i="2" a="1"/>
  <c r="L1161" i="2" s="1"/>
  <c r="K1161" i="2" a="1"/>
  <c r="K1161" i="2" s="1"/>
  <c r="J1161" i="2"/>
  <c r="B1161" i="2"/>
  <c r="N1160" i="2"/>
  <c r="M1160" i="2"/>
  <c r="L1160" i="2" a="1"/>
  <c r="L1160" i="2" s="1"/>
  <c r="K1160" i="2" a="1"/>
  <c r="K1160" i="2" s="1"/>
  <c r="J1160" i="2"/>
  <c r="B1160" i="2"/>
  <c r="N1159" i="2"/>
  <c r="M1159" i="2"/>
  <c r="L1159" i="2" a="1"/>
  <c r="L1159" i="2" s="1"/>
  <c r="K1159" i="2" a="1"/>
  <c r="K1159" i="2" s="1"/>
  <c r="J1159" i="2"/>
  <c r="B1159" i="2"/>
  <c r="N1158" i="2"/>
  <c r="M1158" i="2"/>
  <c r="L1158" i="2" a="1"/>
  <c r="L1158" i="2" s="1"/>
  <c r="K1158" i="2" a="1"/>
  <c r="K1158" i="2" s="1"/>
  <c r="J1158" i="2"/>
  <c r="B1158" i="2"/>
  <c r="N1157" i="2"/>
  <c r="M1157" i="2"/>
  <c r="L1157" i="2" a="1"/>
  <c r="L1157" i="2" s="1"/>
  <c r="K1157" i="2" a="1"/>
  <c r="K1157" i="2" s="1"/>
  <c r="J1157" i="2"/>
  <c r="B1157" i="2"/>
  <c r="N1156" i="2"/>
  <c r="M1156" i="2"/>
  <c r="L1156" i="2" a="1"/>
  <c r="L1156" i="2" s="1"/>
  <c r="K1156" i="2" a="1"/>
  <c r="K1156" i="2" s="1"/>
  <c r="J1156" i="2"/>
  <c r="B1156" i="2"/>
  <c r="N1155" i="2"/>
  <c r="M1155" i="2"/>
  <c r="L1155" i="2" a="1"/>
  <c r="L1155" i="2" s="1"/>
  <c r="K1155" i="2" a="1"/>
  <c r="K1155" i="2" s="1"/>
  <c r="J1155" i="2"/>
  <c r="B1155" i="2"/>
  <c r="V1154" i="2"/>
  <c r="N1154" i="2"/>
  <c r="M1154" i="2"/>
  <c r="L1154" i="2" a="1"/>
  <c r="L1154" i="2" s="1"/>
  <c r="K1154" i="2" a="1"/>
  <c r="K1154" i="2" s="1"/>
  <c r="J1154" i="2"/>
  <c r="B1154" i="2"/>
  <c r="N1153" i="2"/>
  <c r="M1153" i="2"/>
  <c r="L1153" i="2" a="1"/>
  <c r="L1153" i="2" s="1"/>
  <c r="K1153" i="2" a="1"/>
  <c r="K1153" i="2" s="1"/>
  <c r="J1153" i="2"/>
  <c r="B1153" i="2"/>
  <c r="N1152" i="2"/>
  <c r="M1152" i="2"/>
  <c r="L1152" i="2" a="1"/>
  <c r="L1152" i="2" s="1"/>
  <c r="K1152" i="2" a="1"/>
  <c r="K1152" i="2" s="1"/>
  <c r="J1152" i="2"/>
  <c r="B1152" i="2"/>
  <c r="N1151" i="2"/>
  <c r="M1151" i="2"/>
  <c r="L1151" i="2" a="1"/>
  <c r="L1151" i="2" s="1"/>
  <c r="K1151" i="2" a="1"/>
  <c r="K1151" i="2" s="1"/>
  <c r="J1151" i="2"/>
  <c r="B1151" i="2"/>
  <c r="N1150" i="2"/>
  <c r="M1150" i="2"/>
  <c r="L1150" i="2" a="1"/>
  <c r="L1150" i="2" s="1"/>
  <c r="K1150" i="2" a="1"/>
  <c r="K1150" i="2" s="1"/>
  <c r="J1150" i="2"/>
  <c r="B1150" i="2"/>
  <c r="N1149" i="2"/>
  <c r="M1149" i="2"/>
  <c r="L1149" i="2" a="1"/>
  <c r="L1149" i="2" s="1"/>
  <c r="K1149" i="2" a="1"/>
  <c r="K1149" i="2" s="1"/>
  <c r="J1149" i="2"/>
  <c r="B1149" i="2"/>
  <c r="N1148" i="2"/>
  <c r="M1148" i="2"/>
  <c r="L1148" i="2" a="1"/>
  <c r="L1148" i="2" s="1"/>
  <c r="K1148" i="2" a="1"/>
  <c r="K1148" i="2" s="1"/>
  <c r="J1148" i="2"/>
  <c r="B1148" i="2"/>
  <c r="N1147" i="2"/>
  <c r="M1147" i="2"/>
  <c r="L1147" i="2" a="1"/>
  <c r="L1147" i="2" s="1"/>
  <c r="K1147" i="2" a="1"/>
  <c r="K1147" i="2" s="1"/>
  <c r="J1147" i="2"/>
  <c r="B1147" i="2"/>
  <c r="U1146" i="2"/>
  <c r="A1145" i="2"/>
  <c r="J1144" i="2"/>
  <c r="N1143" i="2"/>
  <c r="M1143" i="2"/>
  <c r="L1143" i="2" a="1"/>
  <c r="L1143" i="2" s="1"/>
  <c r="K1143" i="2" a="1"/>
  <c r="K1143" i="2" s="1"/>
  <c r="J1143" i="2"/>
  <c r="B1143" i="2"/>
  <c r="N1142" i="2"/>
  <c r="M1142" i="2"/>
  <c r="L1142" i="2" a="1"/>
  <c r="L1142" i="2" s="1"/>
  <c r="K1142" i="2" a="1"/>
  <c r="K1142" i="2" s="1"/>
  <c r="J1142" i="2"/>
  <c r="B1142" i="2"/>
  <c r="N1141" i="2"/>
  <c r="M1141" i="2"/>
  <c r="L1141" i="2" a="1"/>
  <c r="L1141" i="2" s="1"/>
  <c r="K1141" i="2" a="1"/>
  <c r="K1141" i="2" s="1"/>
  <c r="J1141" i="2"/>
  <c r="B1141" i="2"/>
  <c r="N1140" i="2"/>
  <c r="M1140" i="2"/>
  <c r="L1140" i="2" a="1"/>
  <c r="L1140" i="2" s="1"/>
  <c r="K1140" i="2" a="1"/>
  <c r="K1140" i="2" s="1"/>
  <c r="J1140" i="2"/>
  <c r="B1140" i="2"/>
  <c r="N1139" i="2"/>
  <c r="M1139" i="2"/>
  <c r="L1139" i="2" a="1"/>
  <c r="L1139" i="2" s="1"/>
  <c r="K1139" i="2" a="1"/>
  <c r="K1139" i="2" s="1"/>
  <c r="J1139" i="2"/>
  <c r="B1139" i="2"/>
  <c r="N1138" i="2"/>
  <c r="M1138" i="2"/>
  <c r="L1138" i="2" a="1"/>
  <c r="L1138" i="2" s="1"/>
  <c r="K1138" i="2" a="1"/>
  <c r="K1138" i="2" s="1"/>
  <c r="J1138" i="2"/>
  <c r="B1138" i="2"/>
  <c r="N1137" i="2"/>
  <c r="M1137" i="2"/>
  <c r="L1137" i="2" a="1"/>
  <c r="L1137" i="2" s="1"/>
  <c r="K1137" i="2" a="1"/>
  <c r="K1137" i="2" s="1"/>
  <c r="J1137" i="2"/>
  <c r="B1137" i="2"/>
  <c r="N1136" i="2"/>
  <c r="M1136" i="2"/>
  <c r="L1136" i="2" a="1"/>
  <c r="L1136" i="2" s="1"/>
  <c r="K1136" i="2" a="1"/>
  <c r="K1136" i="2" s="1"/>
  <c r="J1136" i="2"/>
  <c r="B1136" i="2"/>
  <c r="N1135" i="2"/>
  <c r="M1135" i="2"/>
  <c r="L1135" i="2" a="1"/>
  <c r="L1135" i="2" s="1"/>
  <c r="K1135" i="2" a="1"/>
  <c r="K1135" i="2" s="1"/>
  <c r="J1135" i="2"/>
  <c r="B1135" i="2"/>
  <c r="N1134" i="2"/>
  <c r="M1134" i="2"/>
  <c r="L1134" i="2" a="1"/>
  <c r="L1134" i="2" s="1"/>
  <c r="K1134" i="2" a="1"/>
  <c r="K1134" i="2"/>
  <c r="J1134" i="2"/>
  <c r="B1134" i="2"/>
  <c r="N1133" i="2"/>
  <c r="M1133" i="2"/>
  <c r="L1133" i="2" a="1"/>
  <c r="L1133" i="2" s="1"/>
  <c r="K1133" i="2" a="1"/>
  <c r="K1133" i="2" s="1"/>
  <c r="J1133" i="2"/>
  <c r="B1133" i="2"/>
  <c r="N1132" i="2"/>
  <c r="M1132" i="2"/>
  <c r="L1132" i="2" a="1"/>
  <c r="L1132" i="2" s="1"/>
  <c r="K1132" i="2" a="1"/>
  <c r="K1132" i="2" s="1"/>
  <c r="J1132" i="2"/>
  <c r="B1132" i="2"/>
  <c r="N1131" i="2"/>
  <c r="M1131" i="2"/>
  <c r="L1131" i="2" a="1"/>
  <c r="L1131" i="2" s="1"/>
  <c r="K1131" i="2" a="1"/>
  <c r="K1131" i="2" s="1"/>
  <c r="J1131" i="2"/>
  <c r="B1131" i="2"/>
  <c r="N1130" i="2"/>
  <c r="M1130" i="2"/>
  <c r="L1130" i="2" a="1"/>
  <c r="L1130" i="2" s="1"/>
  <c r="K1130" i="2" a="1"/>
  <c r="K1130" i="2" s="1"/>
  <c r="J1130" i="2"/>
  <c r="B1130" i="2"/>
  <c r="N1129" i="2"/>
  <c r="M1129" i="2"/>
  <c r="L1129" i="2" a="1"/>
  <c r="L1129" i="2" s="1"/>
  <c r="K1129" i="2" a="1"/>
  <c r="K1129" i="2" s="1"/>
  <c r="J1129" i="2"/>
  <c r="B1129" i="2"/>
  <c r="N1128" i="2"/>
  <c r="M1128" i="2"/>
  <c r="L1128" i="2" a="1"/>
  <c r="L1128" i="2" s="1"/>
  <c r="K1128" i="2" a="1"/>
  <c r="K1128" i="2" s="1"/>
  <c r="J1128" i="2"/>
  <c r="B1128" i="2"/>
  <c r="N1127" i="2"/>
  <c r="M1127" i="2"/>
  <c r="L1127" i="2" a="1"/>
  <c r="L1127" i="2" s="1"/>
  <c r="K1127" i="2" a="1"/>
  <c r="K1127" i="2" s="1"/>
  <c r="J1127" i="2"/>
  <c r="B1127" i="2"/>
  <c r="N1126" i="2"/>
  <c r="M1126" i="2"/>
  <c r="L1126" i="2" a="1"/>
  <c r="L1126" i="2" s="1"/>
  <c r="K1126" i="2" a="1"/>
  <c r="K1126" i="2" s="1"/>
  <c r="J1126" i="2"/>
  <c r="B1126" i="2"/>
  <c r="N1125" i="2"/>
  <c r="M1125" i="2"/>
  <c r="L1125" i="2" a="1"/>
  <c r="L1125" i="2" s="1"/>
  <c r="K1125" i="2" a="1"/>
  <c r="K1125" i="2" s="1"/>
  <c r="J1125" i="2"/>
  <c r="B1125" i="2"/>
  <c r="N1124" i="2"/>
  <c r="M1124" i="2"/>
  <c r="L1124" i="2" a="1"/>
  <c r="L1124" i="2" s="1"/>
  <c r="K1124" i="2" a="1"/>
  <c r="K1124" i="2" s="1"/>
  <c r="J1124" i="2"/>
  <c r="B1124" i="2"/>
  <c r="N1123" i="2"/>
  <c r="M1123" i="2"/>
  <c r="L1123" i="2" a="1"/>
  <c r="L1123" i="2" s="1"/>
  <c r="K1123" i="2" a="1"/>
  <c r="K1123" i="2" s="1"/>
  <c r="J1123" i="2"/>
  <c r="B1123" i="2"/>
  <c r="N1122" i="2"/>
  <c r="M1122" i="2"/>
  <c r="L1122" i="2" a="1"/>
  <c r="L1122" i="2" s="1"/>
  <c r="K1122" i="2" a="1"/>
  <c r="K1122" i="2" s="1"/>
  <c r="J1122" i="2"/>
  <c r="B1122" i="2"/>
  <c r="N1121" i="2"/>
  <c r="M1121" i="2"/>
  <c r="L1121" i="2" a="1"/>
  <c r="L1121" i="2" s="1"/>
  <c r="K1121" i="2" a="1"/>
  <c r="K1121" i="2" s="1"/>
  <c r="J1121" i="2"/>
  <c r="B1121" i="2"/>
  <c r="N1120" i="2"/>
  <c r="M1120" i="2"/>
  <c r="L1120" i="2" a="1"/>
  <c r="L1120" i="2" s="1"/>
  <c r="K1120" i="2" a="1"/>
  <c r="K1120" i="2" s="1"/>
  <c r="J1120" i="2"/>
  <c r="B1120" i="2"/>
  <c r="N1119" i="2"/>
  <c r="M1119" i="2"/>
  <c r="L1119" i="2" a="1"/>
  <c r="L1119" i="2" s="1"/>
  <c r="K1119" i="2" a="1"/>
  <c r="K1119" i="2" s="1"/>
  <c r="J1119" i="2"/>
  <c r="B1119" i="2"/>
  <c r="N1118" i="2"/>
  <c r="M1118" i="2"/>
  <c r="L1118" i="2" a="1"/>
  <c r="L1118" i="2" s="1"/>
  <c r="K1118" i="2" a="1"/>
  <c r="K1118" i="2" s="1"/>
  <c r="J1118" i="2"/>
  <c r="B1118" i="2"/>
  <c r="N1117" i="2"/>
  <c r="M1117" i="2"/>
  <c r="L1117" i="2" a="1"/>
  <c r="L1117" i="2" s="1"/>
  <c r="K1117" i="2" a="1"/>
  <c r="K1117" i="2" s="1"/>
  <c r="J1117" i="2"/>
  <c r="B1117" i="2"/>
  <c r="N1116" i="2"/>
  <c r="M1116" i="2"/>
  <c r="L1116" i="2" a="1"/>
  <c r="L1116" i="2" s="1"/>
  <c r="K1116" i="2" a="1"/>
  <c r="K1116" i="2" s="1"/>
  <c r="J1116" i="2"/>
  <c r="B1116" i="2"/>
  <c r="N1115" i="2"/>
  <c r="M1115" i="2"/>
  <c r="L1115" i="2" a="1"/>
  <c r="L1115" i="2" s="1"/>
  <c r="K1115" i="2" a="1"/>
  <c r="K1115" i="2" s="1"/>
  <c r="J1115" i="2"/>
  <c r="B1115" i="2"/>
  <c r="N1114" i="2"/>
  <c r="M1114" i="2"/>
  <c r="L1114" i="2" a="1"/>
  <c r="L1114" i="2" s="1"/>
  <c r="K1114" i="2" a="1"/>
  <c r="K1114" i="2" s="1"/>
  <c r="J1114" i="2"/>
  <c r="B1114" i="2"/>
  <c r="N1113" i="2"/>
  <c r="M1113" i="2"/>
  <c r="L1113" i="2" a="1"/>
  <c r="L1113" i="2" s="1"/>
  <c r="K1113" i="2" a="1"/>
  <c r="K1113" i="2" s="1"/>
  <c r="J1113" i="2"/>
  <c r="B1113" i="2"/>
  <c r="N1112" i="2"/>
  <c r="M1112" i="2"/>
  <c r="L1112" i="2" a="1"/>
  <c r="L1112" i="2" s="1"/>
  <c r="K1112" i="2" a="1"/>
  <c r="K1112" i="2" s="1"/>
  <c r="J1112" i="2"/>
  <c r="B1112" i="2"/>
  <c r="N1111" i="2"/>
  <c r="M1111" i="2"/>
  <c r="L1111" i="2" a="1"/>
  <c r="L1111" i="2" s="1"/>
  <c r="K1111" i="2" a="1"/>
  <c r="K1111" i="2" s="1"/>
  <c r="J1111" i="2"/>
  <c r="B1111" i="2"/>
  <c r="N1110" i="2"/>
  <c r="M1110" i="2"/>
  <c r="L1110" i="2" a="1"/>
  <c r="L1110" i="2" s="1"/>
  <c r="K1110" i="2" a="1"/>
  <c r="K1110" i="2" s="1"/>
  <c r="J1110" i="2"/>
  <c r="B1110" i="2"/>
  <c r="N1109" i="2"/>
  <c r="M1109" i="2"/>
  <c r="L1109" i="2" a="1"/>
  <c r="L1109" i="2" s="1"/>
  <c r="K1109" i="2" a="1"/>
  <c r="K1109" i="2" s="1"/>
  <c r="J1109" i="2"/>
  <c r="B1109" i="2"/>
  <c r="N1108" i="2"/>
  <c r="M1108" i="2"/>
  <c r="L1108" i="2" a="1"/>
  <c r="L1108" i="2" s="1"/>
  <c r="K1108" i="2" a="1"/>
  <c r="K1108" i="2" s="1"/>
  <c r="J1108" i="2"/>
  <c r="B1108" i="2"/>
  <c r="N1107" i="2"/>
  <c r="M1107" i="2"/>
  <c r="L1107" i="2" a="1"/>
  <c r="L1107" i="2" s="1"/>
  <c r="K1107" i="2" a="1"/>
  <c r="K1107" i="2" s="1"/>
  <c r="J1107" i="2"/>
  <c r="B1107" i="2"/>
  <c r="N1106" i="2"/>
  <c r="M1106" i="2"/>
  <c r="L1106" i="2" a="1"/>
  <c r="L1106" i="2" s="1"/>
  <c r="K1106" i="2" a="1"/>
  <c r="K1106" i="2" s="1"/>
  <c r="J1106" i="2"/>
  <c r="B1106" i="2"/>
  <c r="N1105" i="2"/>
  <c r="M1105" i="2"/>
  <c r="L1105" i="2" a="1"/>
  <c r="L1105" i="2" s="1"/>
  <c r="K1105" i="2" a="1"/>
  <c r="K1105" i="2" s="1"/>
  <c r="J1105" i="2"/>
  <c r="B1105" i="2"/>
  <c r="N1104" i="2"/>
  <c r="M1104" i="2"/>
  <c r="L1104" i="2" a="1"/>
  <c r="L1104" i="2" s="1"/>
  <c r="K1104" i="2" a="1"/>
  <c r="K1104" i="2" s="1"/>
  <c r="J1104" i="2"/>
  <c r="B1104" i="2"/>
  <c r="N1103" i="2"/>
  <c r="M1103" i="2"/>
  <c r="L1103" i="2" a="1"/>
  <c r="L1103" i="2" s="1"/>
  <c r="K1103" i="2" a="1"/>
  <c r="K1103" i="2" s="1"/>
  <c r="J1103" i="2"/>
  <c r="B1103" i="2"/>
  <c r="N1102" i="2"/>
  <c r="M1102" i="2"/>
  <c r="L1102" i="2" a="1"/>
  <c r="L1102" i="2" s="1"/>
  <c r="K1102" i="2" a="1"/>
  <c r="K1102" i="2" s="1"/>
  <c r="J1102" i="2"/>
  <c r="B1102" i="2"/>
  <c r="N1101" i="2"/>
  <c r="M1101" i="2"/>
  <c r="L1101" i="2" a="1"/>
  <c r="L1101" i="2" s="1"/>
  <c r="K1101" i="2" a="1"/>
  <c r="K1101" i="2" s="1"/>
  <c r="J1101" i="2"/>
  <c r="B1101" i="2"/>
  <c r="N1100" i="2"/>
  <c r="M1100" i="2"/>
  <c r="L1100" i="2" a="1"/>
  <c r="L1100" i="2" s="1"/>
  <c r="K1100" i="2" a="1"/>
  <c r="K1100" i="2" s="1"/>
  <c r="J1100" i="2"/>
  <c r="B1100" i="2"/>
  <c r="N1099" i="2"/>
  <c r="M1099" i="2"/>
  <c r="L1099" i="2" a="1"/>
  <c r="L1099" i="2" s="1"/>
  <c r="K1099" i="2" a="1"/>
  <c r="K1099" i="2" s="1"/>
  <c r="J1099" i="2"/>
  <c r="B1099" i="2"/>
  <c r="N1098" i="2"/>
  <c r="M1098" i="2"/>
  <c r="L1098" i="2" a="1"/>
  <c r="L1098" i="2" s="1"/>
  <c r="K1098" i="2" a="1"/>
  <c r="K1098" i="2" s="1"/>
  <c r="J1098" i="2"/>
  <c r="B1098" i="2"/>
  <c r="N1097" i="2"/>
  <c r="M1097" i="2"/>
  <c r="L1097" i="2" a="1"/>
  <c r="L1097" i="2" s="1"/>
  <c r="K1097" i="2" a="1"/>
  <c r="K1097" i="2" s="1"/>
  <c r="J1097" i="2"/>
  <c r="B1097" i="2"/>
  <c r="N1096" i="2"/>
  <c r="M1096" i="2"/>
  <c r="L1096" i="2" a="1"/>
  <c r="L1096" i="2" s="1"/>
  <c r="K1096" i="2" a="1"/>
  <c r="K1096" i="2" s="1"/>
  <c r="J1096" i="2"/>
  <c r="B1096" i="2"/>
  <c r="N1095" i="2"/>
  <c r="M1095" i="2"/>
  <c r="L1095" i="2" a="1"/>
  <c r="L1095" i="2" s="1"/>
  <c r="K1095" i="2" a="1"/>
  <c r="K1095" i="2" s="1"/>
  <c r="J1095" i="2"/>
  <c r="B1095" i="2"/>
  <c r="N1094" i="2"/>
  <c r="M1094" i="2"/>
  <c r="L1094" i="2" a="1"/>
  <c r="L1094" i="2" s="1"/>
  <c r="K1094" i="2" a="1"/>
  <c r="K1094" i="2" s="1"/>
  <c r="J1094" i="2"/>
  <c r="B1094" i="2"/>
  <c r="N1093" i="2"/>
  <c r="M1093" i="2"/>
  <c r="L1093" i="2" a="1"/>
  <c r="L1093" i="2" s="1"/>
  <c r="K1093" i="2" a="1"/>
  <c r="K1093" i="2" s="1"/>
  <c r="J1093" i="2"/>
  <c r="B1093" i="2"/>
  <c r="N1092" i="2"/>
  <c r="M1092" i="2"/>
  <c r="L1092" i="2" a="1"/>
  <c r="L1092" i="2" s="1"/>
  <c r="K1092" i="2" a="1"/>
  <c r="K1092" i="2" s="1"/>
  <c r="J1092" i="2"/>
  <c r="B1092" i="2"/>
  <c r="N1091" i="2"/>
  <c r="M1091" i="2"/>
  <c r="L1091" i="2" a="1"/>
  <c r="L1091" i="2" s="1"/>
  <c r="K1091" i="2" a="1"/>
  <c r="K1091" i="2" s="1"/>
  <c r="J1091" i="2"/>
  <c r="B1091" i="2"/>
  <c r="N1090" i="2"/>
  <c r="M1090" i="2"/>
  <c r="L1090" i="2" a="1"/>
  <c r="L1090" i="2" s="1"/>
  <c r="K1090" i="2" a="1"/>
  <c r="K1090" i="2" s="1"/>
  <c r="J1090" i="2"/>
  <c r="B1090" i="2"/>
  <c r="N1089" i="2"/>
  <c r="M1089" i="2"/>
  <c r="L1089" i="2" a="1"/>
  <c r="L1089" i="2" s="1"/>
  <c r="K1089" i="2" a="1"/>
  <c r="K1089" i="2" s="1"/>
  <c r="J1089" i="2"/>
  <c r="B1089" i="2"/>
  <c r="N1088" i="2"/>
  <c r="M1088" i="2"/>
  <c r="L1088" i="2" a="1"/>
  <c r="L1088" i="2" s="1"/>
  <c r="K1088" i="2" a="1"/>
  <c r="K1088" i="2" s="1"/>
  <c r="J1088" i="2"/>
  <c r="B1088" i="2"/>
  <c r="N1087" i="2"/>
  <c r="M1087" i="2"/>
  <c r="L1087" i="2" a="1"/>
  <c r="L1087" i="2" s="1"/>
  <c r="K1087" i="2" a="1"/>
  <c r="K1087" i="2" s="1"/>
  <c r="J1087" i="2"/>
  <c r="B1087" i="2"/>
  <c r="N1086" i="2"/>
  <c r="M1086" i="2"/>
  <c r="L1086" i="2" a="1"/>
  <c r="L1086" i="2" s="1"/>
  <c r="K1086" i="2" a="1"/>
  <c r="K1086" i="2" s="1"/>
  <c r="J1086" i="2"/>
  <c r="B1086" i="2"/>
  <c r="N1085" i="2"/>
  <c r="M1085" i="2"/>
  <c r="L1085" i="2" a="1"/>
  <c r="L1085" i="2" s="1"/>
  <c r="K1085" i="2" a="1"/>
  <c r="K1085" i="2" s="1"/>
  <c r="J1085" i="2"/>
  <c r="B1085" i="2"/>
  <c r="N1084" i="2"/>
  <c r="M1084" i="2"/>
  <c r="L1084" i="2" a="1"/>
  <c r="L1084" i="2" s="1"/>
  <c r="K1084" i="2" a="1"/>
  <c r="K1084" i="2" s="1"/>
  <c r="J1084" i="2"/>
  <c r="B1084" i="2"/>
  <c r="N1083" i="2"/>
  <c r="M1083" i="2"/>
  <c r="L1083" i="2" a="1"/>
  <c r="L1083" i="2" s="1"/>
  <c r="K1083" i="2" a="1"/>
  <c r="K1083" i="2" s="1"/>
  <c r="J1083" i="2"/>
  <c r="B1083" i="2"/>
  <c r="N1082" i="2"/>
  <c r="M1082" i="2"/>
  <c r="L1082" i="2" a="1"/>
  <c r="L1082" i="2" s="1"/>
  <c r="K1082" i="2" a="1"/>
  <c r="K1082" i="2" s="1"/>
  <c r="J1082" i="2"/>
  <c r="B1082" i="2"/>
  <c r="N1081" i="2"/>
  <c r="M1081" i="2"/>
  <c r="L1081" i="2" a="1"/>
  <c r="L1081" i="2" s="1"/>
  <c r="K1081" i="2" a="1"/>
  <c r="K1081" i="2" s="1"/>
  <c r="J1081" i="2"/>
  <c r="B1081" i="2"/>
  <c r="N1080" i="2"/>
  <c r="M1080" i="2"/>
  <c r="L1080" i="2" a="1"/>
  <c r="L1080" i="2" s="1"/>
  <c r="K1080" i="2" a="1"/>
  <c r="K1080" i="2" s="1"/>
  <c r="J1080" i="2"/>
  <c r="B1080" i="2"/>
  <c r="N1079" i="2"/>
  <c r="M1079" i="2"/>
  <c r="L1079" i="2" a="1"/>
  <c r="L1079" i="2" s="1"/>
  <c r="K1079" i="2" a="1"/>
  <c r="K1079" i="2" s="1"/>
  <c r="J1079" i="2"/>
  <c r="B1079" i="2"/>
  <c r="N1078" i="2"/>
  <c r="M1078" i="2"/>
  <c r="L1078" i="2" a="1"/>
  <c r="L1078" i="2" s="1"/>
  <c r="K1078" i="2" a="1"/>
  <c r="K1078" i="2" s="1"/>
  <c r="J1078" i="2"/>
  <c r="B1078" i="2"/>
  <c r="N1077" i="2"/>
  <c r="M1077" i="2"/>
  <c r="L1077" i="2" a="1"/>
  <c r="L1077" i="2" s="1"/>
  <c r="K1077" i="2" a="1"/>
  <c r="K1077" i="2" s="1"/>
  <c r="J1077" i="2"/>
  <c r="B1077" i="2"/>
  <c r="N1076" i="2"/>
  <c r="M1076" i="2"/>
  <c r="L1076" i="2" a="1"/>
  <c r="L1076" i="2" s="1"/>
  <c r="K1076" i="2" a="1"/>
  <c r="K1076" i="2" s="1"/>
  <c r="J1076" i="2"/>
  <c r="B1076" i="2"/>
  <c r="N1075" i="2"/>
  <c r="M1075" i="2"/>
  <c r="L1075" i="2" a="1"/>
  <c r="L1075" i="2" s="1"/>
  <c r="K1075" i="2" a="1"/>
  <c r="K1075" i="2" s="1"/>
  <c r="J1075" i="2"/>
  <c r="B1075" i="2"/>
  <c r="N1074" i="2"/>
  <c r="M1074" i="2"/>
  <c r="L1074" i="2" a="1"/>
  <c r="L1074" i="2" s="1"/>
  <c r="K1074" i="2" a="1"/>
  <c r="K1074" i="2" s="1"/>
  <c r="J1074" i="2"/>
  <c r="B1074" i="2"/>
  <c r="N1073" i="2"/>
  <c r="M1073" i="2"/>
  <c r="L1073" i="2" a="1"/>
  <c r="L1073" i="2" s="1"/>
  <c r="K1073" i="2" a="1"/>
  <c r="K1073" i="2" s="1"/>
  <c r="J1073" i="2"/>
  <c r="B1073" i="2"/>
  <c r="N1072" i="2"/>
  <c r="M1072" i="2"/>
  <c r="L1072" i="2" a="1"/>
  <c r="L1072" i="2" s="1"/>
  <c r="K1072" i="2" a="1"/>
  <c r="K1072" i="2" s="1"/>
  <c r="J1072" i="2"/>
  <c r="B1072" i="2"/>
  <c r="N1071" i="2"/>
  <c r="M1071" i="2"/>
  <c r="L1071" i="2" a="1"/>
  <c r="L1071" i="2" s="1"/>
  <c r="K1071" i="2" a="1"/>
  <c r="K1071" i="2" s="1"/>
  <c r="J1071" i="2"/>
  <c r="B1071" i="2"/>
  <c r="N1070" i="2"/>
  <c r="M1070" i="2"/>
  <c r="L1070" i="2" a="1"/>
  <c r="L1070" i="2" s="1"/>
  <c r="K1070" i="2" a="1"/>
  <c r="K1070" i="2" s="1"/>
  <c r="J1070" i="2"/>
  <c r="B1070" i="2"/>
  <c r="N1069" i="2"/>
  <c r="M1069" i="2"/>
  <c r="L1069" i="2" a="1"/>
  <c r="L1069" i="2" s="1"/>
  <c r="K1069" i="2" a="1"/>
  <c r="K1069" i="2" s="1"/>
  <c r="J1069" i="2"/>
  <c r="B1069" i="2"/>
  <c r="N1068" i="2"/>
  <c r="M1068" i="2"/>
  <c r="L1068" i="2" a="1"/>
  <c r="L1068" i="2" s="1"/>
  <c r="K1068" i="2" a="1"/>
  <c r="K1068" i="2" s="1"/>
  <c r="J1068" i="2"/>
  <c r="B1068" i="2"/>
  <c r="N1067" i="2"/>
  <c r="M1067" i="2"/>
  <c r="L1067" i="2" a="1"/>
  <c r="L1067" i="2" s="1"/>
  <c r="K1067" i="2" a="1"/>
  <c r="K1067" i="2" s="1"/>
  <c r="J1067" i="2"/>
  <c r="B1067" i="2"/>
  <c r="N1066" i="2"/>
  <c r="M1066" i="2"/>
  <c r="L1066" i="2" a="1"/>
  <c r="L1066" i="2" s="1"/>
  <c r="K1066" i="2" a="1"/>
  <c r="K1066" i="2" s="1"/>
  <c r="J1066" i="2"/>
  <c r="B1066" i="2"/>
  <c r="N1065" i="2"/>
  <c r="M1065" i="2"/>
  <c r="L1065" i="2" a="1"/>
  <c r="L1065" i="2" s="1"/>
  <c r="K1065" i="2" a="1"/>
  <c r="K1065" i="2" s="1"/>
  <c r="J1065" i="2"/>
  <c r="B1065" i="2"/>
  <c r="N1064" i="2"/>
  <c r="M1064" i="2"/>
  <c r="L1064" i="2" a="1"/>
  <c r="L1064" i="2" s="1"/>
  <c r="K1064" i="2" a="1"/>
  <c r="K1064" i="2" s="1"/>
  <c r="J1064" i="2"/>
  <c r="B1064" i="2"/>
  <c r="N1063" i="2"/>
  <c r="M1063" i="2"/>
  <c r="L1063" i="2" a="1"/>
  <c r="L1063" i="2" s="1"/>
  <c r="K1063" i="2" a="1"/>
  <c r="K1063" i="2" s="1"/>
  <c r="J1063" i="2"/>
  <c r="B1063" i="2"/>
  <c r="N1062" i="2"/>
  <c r="M1062" i="2"/>
  <c r="L1062" i="2" a="1"/>
  <c r="L1062" i="2" s="1"/>
  <c r="K1062" i="2" a="1"/>
  <c r="K1062" i="2" s="1"/>
  <c r="J1062" i="2"/>
  <c r="B1062" i="2"/>
  <c r="N1061" i="2"/>
  <c r="M1061" i="2"/>
  <c r="L1061" i="2" a="1"/>
  <c r="L1061" i="2" s="1"/>
  <c r="K1061" i="2" a="1"/>
  <c r="K1061" i="2" s="1"/>
  <c r="J1061" i="2"/>
  <c r="B1061" i="2"/>
  <c r="N1060" i="2"/>
  <c r="M1060" i="2"/>
  <c r="L1060" i="2" a="1"/>
  <c r="L1060" i="2" s="1"/>
  <c r="K1060" i="2" a="1"/>
  <c r="K1060" i="2" s="1"/>
  <c r="J1060" i="2"/>
  <c r="B1060" i="2"/>
  <c r="N1059" i="2"/>
  <c r="M1059" i="2"/>
  <c r="L1059" i="2" a="1"/>
  <c r="L1059" i="2" s="1"/>
  <c r="K1059" i="2" a="1"/>
  <c r="K1059" i="2" s="1"/>
  <c r="J1059" i="2"/>
  <c r="B1059" i="2"/>
  <c r="N1058" i="2"/>
  <c r="M1058" i="2"/>
  <c r="L1058" i="2" a="1"/>
  <c r="L1058" i="2" s="1"/>
  <c r="K1058" i="2" a="1"/>
  <c r="K1058" i="2" s="1"/>
  <c r="J1058" i="2"/>
  <c r="B1058" i="2"/>
  <c r="N1057" i="2"/>
  <c r="M1057" i="2"/>
  <c r="L1057" i="2" a="1"/>
  <c r="L1057" i="2" s="1"/>
  <c r="K1057" i="2" a="1"/>
  <c r="K1057" i="2" s="1"/>
  <c r="J1057" i="2"/>
  <c r="B1057" i="2"/>
  <c r="N1056" i="2"/>
  <c r="M1056" i="2"/>
  <c r="L1056" i="2" a="1"/>
  <c r="L1056" i="2" s="1"/>
  <c r="K1056" i="2" a="1"/>
  <c r="K1056" i="2" s="1"/>
  <c r="J1056" i="2"/>
  <c r="B1056" i="2"/>
  <c r="N1055" i="2"/>
  <c r="M1055" i="2"/>
  <c r="L1055" i="2" a="1"/>
  <c r="L1055" i="2" s="1"/>
  <c r="K1055" i="2" a="1"/>
  <c r="K1055" i="2" s="1"/>
  <c r="J1055" i="2"/>
  <c r="B1055" i="2"/>
  <c r="N1054" i="2"/>
  <c r="M1054" i="2"/>
  <c r="L1054" i="2" a="1"/>
  <c r="L1054" i="2" s="1"/>
  <c r="K1054" i="2" a="1"/>
  <c r="K1054" i="2" s="1"/>
  <c r="J1054" i="2"/>
  <c r="B1054" i="2"/>
  <c r="N1053" i="2"/>
  <c r="M1053" i="2"/>
  <c r="L1053" i="2" a="1"/>
  <c r="L1053" i="2" s="1"/>
  <c r="K1053" i="2" a="1"/>
  <c r="K1053" i="2" s="1"/>
  <c r="J1053" i="2"/>
  <c r="B1053" i="2"/>
  <c r="N1052" i="2"/>
  <c r="M1052" i="2"/>
  <c r="L1052" i="2" a="1"/>
  <c r="L1052" i="2" s="1"/>
  <c r="K1052" i="2" a="1"/>
  <c r="K1052" i="2" s="1"/>
  <c r="J1052" i="2"/>
  <c r="B1052" i="2"/>
  <c r="V1051" i="2"/>
  <c r="N1051" i="2"/>
  <c r="M1051" i="2"/>
  <c r="L1051" i="2" a="1"/>
  <c r="L1051" i="2" s="1"/>
  <c r="K1051" i="2" a="1"/>
  <c r="K1051" i="2" s="1"/>
  <c r="J1051" i="2"/>
  <c r="B1051" i="2"/>
  <c r="N1050" i="2"/>
  <c r="M1050" i="2"/>
  <c r="L1050" i="2" a="1"/>
  <c r="L1050" i="2" s="1"/>
  <c r="K1050" i="2" a="1"/>
  <c r="K1050" i="2" s="1"/>
  <c r="J1050" i="2"/>
  <c r="B1050" i="2"/>
  <c r="N1049" i="2"/>
  <c r="M1049" i="2"/>
  <c r="L1049" i="2" a="1"/>
  <c r="L1049" i="2" s="1"/>
  <c r="K1049" i="2" a="1"/>
  <c r="K1049" i="2" s="1"/>
  <c r="J1049" i="2"/>
  <c r="B1049" i="2"/>
  <c r="N1048" i="2"/>
  <c r="M1048" i="2"/>
  <c r="L1048" i="2" a="1"/>
  <c r="L1048" i="2" s="1"/>
  <c r="K1048" i="2" a="1"/>
  <c r="K1048" i="2" s="1"/>
  <c r="J1048" i="2"/>
  <c r="B1048" i="2"/>
  <c r="N1047" i="2"/>
  <c r="M1047" i="2"/>
  <c r="L1047" i="2" a="1"/>
  <c r="L1047" i="2" s="1"/>
  <c r="K1047" i="2" a="1"/>
  <c r="K1047" i="2" s="1"/>
  <c r="J1047" i="2"/>
  <c r="B1047" i="2"/>
  <c r="N1046" i="2"/>
  <c r="M1046" i="2"/>
  <c r="L1046" i="2" a="1"/>
  <c r="L1046" i="2" s="1"/>
  <c r="K1046" i="2" a="1"/>
  <c r="K1046" i="2" s="1"/>
  <c r="J1046" i="2"/>
  <c r="B1046" i="2"/>
  <c r="N1045" i="2"/>
  <c r="M1045" i="2"/>
  <c r="L1045" i="2" a="1"/>
  <c r="L1045" i="2" s="1"/>
  <c r="K1045" i="2" a="1"/>
  <c r="K1045" i="2" s="1"/>
  <c r="J1045" i="2"/>
  <c r="B1045" i="2"/>
  <c r="N1044" i="2"/>
  <c r="M1044" i="2"/>
  <c r="L1044" i="2" a="1"/>
  <c r="L1044" i="2" s="1"/>
  <c r="K1044" i="2" a="1"/>
  <c r="K1044" i="2" s="1"/>
  <c r="J1044" i="2"/>
  <c r="B1044" i="2"/>
  <c r="U1043" i="2"/>
  <c r="A1042" i="2"/>
  <c r="J1041" i="2"/>
  <c r="N1040" i="2"/>
  <c r="M1040" i="2"/>
  <c r="L1040" i="2" a="1"/>
  <c r="L1040" i="2" s="1"/>
  <c r="K1040" i="2" a="1"/>
  <c r="K1040" i="2" s="1"/>
  <c r="J1040" i="2"/>
  <c r="B1040" i="2"/>
  <c r="N1039" i="2"/>
  <c r="M1039" i="2"/>
  <c r="L1039" i="2" a="1"/>
  <c r="L1039" i="2" s="1"/>
  <c r="K1039" i="2" a="1"/>
  <c r="K1039" i="2" s="1"/>
  <c r="J1039" i="2"/>
  <c r="B1039" i="2"/>
  <c r="N1038" i="2"/>
  <c r="M1038" i="2"/>
  <c r="L1038" i="2" a="1"/>
  <c r="L1038" i="2" s="1"/>
  <c r="K1038" i="2" a="1"/>
  <c r="K1038" i="2" s="1"/>
  <c r="J1038" i="2"/>
  <c r="B1038" i="2"/>
  <c r="N1037" i="2"/>
  <c r="M1037" i="2"/>
  <c r="L1037" i="2" a="1"/>
  <c r="L1037" i="2" s="1"/>
  <c r="K1037" i="2" a="1"/>
  <c r="K1037" i="2" s="1"/>
  <c r="J1037" i="2"/>
  <c r="B1037" i="2"/>
  <c r="N1036" i="2"/>
  <c r="M1036" i="2"/>
  <c r="L1036" i="2" a="1"/>
  <c r="L1036" i="2" s="1"/>
  <c r="K1036" i="2" a="1"/>
  <c r="K1036" i="2" s="1"/>
  <c r="J1036" i="2"/>
  <c r="B1036" i="2"/>
  <c r="N1035" i="2"/>
  <c r="M1035" i="2"/>
  <c r="L1035" i="2" a="1"/>
  <c r="L1035" i="2" s="1"/>
  <c r="K1035" i="2" a="1"/>
  <c r="K1035" i="2" s="1"/>
  <c r="J1035" i="2"/>
  <c r="B1035" i="2"/>
  <c r="N1034" i="2"/>
  <c r="M1034" i="2"/>
  <c r="L1034" i="2" a="1"/>
  <c r="L1034" i="2" s="1"/>
  <c r="K1034" i="2" a="1"/>
  <c r="K1034" i="2" s="1"/>
  <c r="J1034" i="2"/>
  <c r="B1034" i="2"/>
  <c r="N1033" i="2"/>
  <c r="M1033" i="2"/>
  <c r="L1033" i="2" a="1"/>
  <c r="L1033" i="2" s="1"/>
  <c r="K1033" i="2" a="1"/>
  <c r="K1033" i="2" s="1"/>
  <c r="J1033" i="2"/>
  <c r="B1033" i="2"/>
  <c r="N1032" i="2"/>
  <c r="M1032" i="2"/>
  <c r="L1032" i="2" a="1"/>
  <c r="L1032" i="2" s="1"/>
  <c r="K1032" i="2" a="1"/>
  <c r="K1032" i="2" s="1"/>
  <c r="J1032" i="2"/>
  <c r="B1032" i="2"/>
  <c r="N1031" i="2"/>
  <c r="M1031" i="2"/>
  <c r="L1031" i="2" a="1"/>
  <c r="L1031" i="2" s="1"/>
  <c r="K1031" i="2" a="1"/>
  <c r="K1031" i="2" s="1"/>
  <c r="J1031" i="2"/>
  <c r="B1031" i="2"/>
  <c r="N1030" i="2"/>
  <c r="M1030" i="2"/>
  <c r="L1030" i="2" a="1"/>
  <c r="L1030" i="2" s="1"/>
  <c r="K1030" i="2" a="1"/>
  <c r="K1030" i="2" s="1"/>
  <c r="J1030" i="2"/>
  <c r="B1030" i="2"/>
  <c r="N1029" i="2"/>
  <c r="M1029" i="2"/>
  <c r="L1029" i="2" a="1"/>
  <c r="L1029" i="2" s="1"/>
  <c r="K1029" i="2" a="1"/>
  <c r="K1029" i="2" s="1"/>
  <c r="J1029" i="2"/>
  <c r="B1029" i="2"/>
  <c r="N1028" i="2"/>
  <c r="M1028" i="2"/>
  <c r="L1028" i="2" a="1"/>
  <c r="L1028" i="2" s="1"/>
  <c r="K1028" i="2" a="1"/>
  <c r="K1028" i="2" s="1"/>
  <c r="J1028" i="2"/>
  <c r="B1028" i="2"/>
  <c r="N1027" i="2"/>
  <c r="M1027" i="2"/>
  <c r="L1027" i="2" a="1"/>
  <c r="L1027" i="2" s="1"/>
  <c r="K1027" i="2" a="1"/>
  <c r="K1027" i="2" s="1"/>
  <c r="J1027" i="2"/>
  <c r="B1027" i="2"/>
  <c r="N1026" i="2"/>
  <c r="M1026" i="2"/>
  <c r="L1026" i="2" a="1"/>
  <c r="L1026" i="2" s="1"/>
  <c r="K1026" i="2" a="1"/>
  <c r="K1026" i="2" s="1"/>
  <c r="J1026" i="2"/>
  <c r="B1026" i="2"/>
  <c r="N1025" i="2"/>
  <c r="M1025" i="2"/>
  <c r="L1025" i="2" a="1"/>
  <c r="L1025" i="2" s="1"/>
  <c r="K1025" i="2" a="1"/>
  <c r="K1025" i="2" s="1"/>
  <c r="J1025" i="2"/>
  <c r="B1025" i="2"/>
  <c r="N1024" i="2"/>
  <c r="M1024" i="2"/>
  <c r="L1024" i="2" a="1"/>
  <c r="L1024" i="2" s="1"/>
  <c r="K1024" i="2" a="1"/>
  <c r="K1024" i="2" s="1"/>
  <c r="J1024" i="2"/>
  <c r="B1024" i="2"/>
  <c r="N1023" i="2"/>
  <c r="M1023" i="2"/>
  <c r="L1023" i="2" a="1"/>
  <c r="L1023" i="2" s="1"/>
  <c r="K1023" i="2" a="1"/>
  <c r="K1023" i="2" s="1"/>
  <c r="J1023" i="2"/>
  <c r="B1023" i="2"/>
  <c r="N1022" i="2"/>
  <c r="M1022" i="2"/>
  <c r="L1022" i="2" a="1"/>
  <c r="L1022" i="2" s="1"/>
  <c r="K1022" i="2" a="1"/>
  <c r="K1022" i="2" s="1"/>
  <c r="J1022" i="2"/>
  <c r="B1022" i="2"/>
  <c r="N1021" i="2"/>
  <c r="M1021" i="2"/>
  <c r="L1021" i="2" a="1"/>
  <c r="L1021" i="2" s="1"/>
  <c r="K1021" i="2" a="1"/>
  <c r="K1021" i="2" s="1"/>
  <c r="J1021" i="2"/>
  <c r="B1021" i="2"/>
  <c r="N1020" i="2"/>
  <c r="M1020" i="2"/>
  <c r="L1020" i="2" a="1"/>
  <c r="L1020" i="2" s="1"/>
  <c r="K1020" i="2" a="1"/>
  <c r="K1020" i="2" s="1"/>
  <c r="J1020" i="2"/>
  <c r="B1020" i="2"/>
  <c r="N1019" i="2"/>
  <c r="M1019" i="2"/>
  <c r="L1019" i="2" a="1"/>
  <c r="L1019" i="2" s="1"/>
  <c r="K1019" i="2" a="1"/>
  <c r="K1019" i="2" s="1"/>
  <c r="J1019" i="2"/>
  <c r="B1019" i="2"/>
  <c r="N1018" i="2"/>
  <c r="M1018" i="2"/>
  <c r="L1018" i="2" a="1"/>
  <c r="L1018" i="2" s="1"/>
  <c r="K1018" i="2" a="1"/>
  <c r="K1018" i="2" s="1"/>
  <c r="J1018" i="2"/>
  <c r="B1018" i="2"/>
  <c r="N1017" i="2"/>
  <c r="M1017" i="2"/>
  <c r="L1017" i="2" a="1"/>
  <c r="L1017" i="2" s="1"/>
  <c r="K1017" i="2" a="1"/>
  <c r="K1017" i="2" s="1"/>
  <c r="J1017" i="2"/>
  <c r="B1017" i="2"/>
  <c r="N1016" i="2"/>
  <c r="M1016" i="2"/>
  <c r="L1016" i="2" a="1"/>
  <c r="L1016" i="2" s="1"/>
  <c r="K1016" i="2" a="1"/>
  <c r="K1016" i="2" s="1"/>
  <c r="J1016" i="2"/>
  <c r="B1016" i="2"/>
  <c r="N1015" i="2"/>
  <c r="M1015" i="2"/>
  <c r="L1015" i="2" a="1"/>
  <c r="L1015" i="2" s="1"/>
  <c r="K1015" i="2" a="1"/>
  <c r="K1015" i="2" s="1"/>
  <c r="J1015" i="2"/>
  <c r="B1015" i="2"/>
  <c r="N1014" i="2"/>
  <c r="M1014" i="2"/>
  <c r="L1014" i="2" a="1"/>
  <c r="L1014" i="2" s="1"/>
  <c r="K1014" i="2" a="1"/>
  <c r="K1014" i="2" s="1"/>
  <c r="J1014" i="2"/>
  <c r="B1014" i="2"/>
  <c r="N1013" i="2"/>
  <c r="M1013" i="2"/>
  <c r="L1013" i="2" a="1"/>
  <c r="L1013" i="2" s="1"/>
  <c r="K1013" i="2" a="1"/>
  <c r="K1013" i="2" s="1"/>
  <c r="J1013" i="2"/>
  <c r="B1013" i="2"/>
  <c r="N1012" i="2"/>
  <c r="M1012" i="2"/>
  <c r="L1012" i="2" a="1"/>
  <c r="L1012" i="2" s="1"/>
  <c r="K1012" i="2" a="1"/>
  <c r="K1012" i="2" s="1"/>
  <c r="J1012" i="2"/>
  <c r="B1012" i="2"/>
  <c r="N1011" i="2"/>
  <c r="M1011" i="2"/>
  <c r="L1011" i="2" a="1"/>
  <c r="L1011" i="2" s="1"/>
  <c r="K1011" i="2" a="1"/>
  <c r="K1011" i="2" s="1"/>
  <c r="J1011" i="2"/>
  <c r="B1011" i="2"/>
  <c r="N1010" i="2"/>
  <c r="M1010" i="2"/>
  <c r="L1010" i="2" a="1"/>
  <c r="L1010" i="2" s="1"/>
  <c r="K1010" i="2" a="1"/>
  <c r="K1010" i="2" s="1"/>
  <c r="J1010" i="2"/>
  <c r="B1010" i="2"/>
  <c r="N1009" i="2"/>
  <c r="M1009" i="2"/>
  <c r="L1009" i="2" a="1"/>
  <c r="L1009" i="2" s="1"/>
  <c r="K1009" i="2" a="1"/>
  <c r="K1009" i="2" s="1"/>
  <c r="J1009" i="2"/>
  <c r="B1009" i="2"/>
  <c r="N1008" i="2"/>
  <c r="M1008" i="2"/>
  <c r="L1008" i="2" a="1"/>
  <c r="L1008" i="2" s="1"/>
  <c r="K1008" i="2" a="1"/>
  <c r="K1008" i="2" s="1"/>
  <c r="J1008" i="2"/>
  <c r="B1008" i="2"/>
  <c r="N1007" i="2"/>
  <c r="M1007" i="2"/>
  <c r="L1007" i="2" a="1"/>
  <c r="L1007" i="2" s="1"/>
  <c r="K1007" i="2" a="1"/>
  <c r="K1007" i="2" s="1"/>
  <c r="J1007" i="2"/>
  <c r="B1007" i="2"/>
  <c r="N1006" i="2"/>
  <c r="M1006" i="2"/>
  <c r="L1006" i="2" a="1"/>
  <c r="L1006" i="2" s="1"/>
  <c r="K1006" i="2" a="1"/>
  <c r="K1006" i="2" s="1"/>
  <c r="J1006" i="2"/>
  <c r="B1006" i="2"/>
  <c r="N1005" i="2"/>
  <c r="M1005" i="2"/>
  <c r="L1005" i="2" a="1"/>
  <c r="L1005" i="2" s="1"/>
  <c r="K1005" i="2" a="1"/>
  <c r="K1005" i="2" s="1"/>
  <c r="J1005" i="2"/>
  <c r="B1005" i="2"/>
  <c r="N1004" i="2"/>
  <c r="M1004" i="2"/>
  <c r="L1004" i="2" a="1"/>
  <c r="L1004" i="2" s="1"/>
  <c r="K1004" i="2" a="1"/>
  <c r="K1004" i="2" s="1"/>
  <c r="J1004" i="2"/>
  <c r="B1004" i="2"/>
  <c r="N1003" i="2"/>
  <c r="M1003" i="2"/>
  <c r="L1003" i="2" a="1"/>
  <c r="L1003" i="2" s="1"/>
  <c r="K1003" i="2" a="1"/>
  <c r="K1003" i="2" s="1"/>
  <c r="J1003" i="2"/>
  <c r="B1003" i="2"/>
  <c r="N1002" i="2"/>
  <c r="M1002" i="2"/>
  <c r="L1002" i="2" a="1"/>
  <c r="L1002" i="2" s="1"/>
  <c r="K1002" i="2" a="1"/>
  <c r="K1002" i="2" s="1"/>
  <c r="J1002" i="2"/>
  <c r="B1002" i="2"/>
  <c r="N1001" i="2"/>
  <c r="M1001" i="2"/>
  <c r="L1001" i="2" a="1"/>
  <c r="L1001" i="2" s="1"/>
  <c r="K1001" i="2" a="1"/>
  <c r="K1001" i="2" s="1"/>
  <c r="J1001" i="2"/>
  <c r="B1001" i="2"/>
  <c r="N1000" i="2"/>
  <c r="M1000" i="2"/>
  <c r="L1000" i="2" a="1"/>
  <c r="L1000" i="2" s="1"/>
  <c r="K1000" i="2" a="1"/>
  <c r="K1000" i="2" s="1"/>
  <c r="J1000" i="2"/>
  <c r="B1000" i="2"/>
  <c r="N999" i="2"/>
  <c r="M999" i="2"/>
  <c r="L999" i="2" a="1"/>
  <c r="L999" i="2" s="1"/>
  <c r="K999" i="2" a="1"/>
  <c r="K999" i="2" s="1"/>
  <c r="J999" i="2"/>
  <c r="B999" i="2"/>
  <c r="N998" i="2"/>
  <c r="M998" i="2"/>
  <c r="L998" i="2" a="1"/>
  <c r="L998" i="2" s="1"/>
  <c r="K998" i="2" a="1"/>
  <c r="K998" i="2" s="1"/>
  <c r="J998" i="2"/>
  <c r="B998" i="2"/>
  <c r="N997" i="2"/>
  <c r="M997" i="2"/>
  <c r="L997" i="2" a="1"/>
  <c r="L997" i="2" s="1"/>
  <c r="K997" i="2" a="1"/>
  <c r="K997" i="2" s="1"/>
  <c r="J997" i="2"/>
  <c r="B997" i="2"/>
  <c r="N996" i="2"/>
  <c r="M996" i="2"/>
  <c r="L996" i="2" a="1"/>
  <c r="L996" i="2" s="1"/>
  <c r="K996" i="2" a="1"/>
  <c r="K996" i="2" s="1"/>
  <c r="J996" i="2"/>
  <c r="B996" i="2"/>
  <c r="N995" i="2"/>
  <c r="M995" i="2"/>
  <c r="L995" i="2" a="1"/>
  <c r="L995" i="2" s="1"/>
  <c r="K995" i="2" a="1"/>
  <c r="K995" i="2" s="1"/>
  <c r="J995" i="2"/>
  <c r="B995" i="2"/>
  <c r="N994" i="2"/>
  <c r="M994" i="2"/>
  <c r="L994" i="2" a="1"/>
  <c r="L994" i="2" s="1"/>
  <c r="K994" i="2" a="1"/>
  <c r="K994" i="2" s="1"/>
  <c r="J994" i="2"/>
  <c r="B994" i="2"/>
  <c r="N993" i="2"/>
  <c r="M993" i="2"/>
  <c r="L993" i="2" a="1"/>
  <c r="L993" i="2" s="1"/>
  <c r="K993" i="2" a="1"/>
  <c r="K993" i="2" s="1"/>
  <c r="J993" i="2"/>
  <c r="B993" i="2"/>
  <c r="N992" i="2"/>
  <c r="M992" i="2"/>
  <c r="L992" i="2" a="1"/>
  <c r="L992" i="2" s="1"/>
  <c r="K992" i="2" a="1"/>
  <c r="K992" i="2" s="1"/>
  <c r="J992" i="2"/>
  <c r="B992" i="2"/>
  <c r="N991" i="2"/>
  <c r="M991" i="2"/>
  <c r="L991" i="2" a="1"/>
  <c r="L991" i="2" s="1"/>
  <c r="K991" i="2" a="1"/>
  <c r="K991" i="2" s="1"/>
  <c r="J991" i="2"/>
  <c r="B991" i="2"/>
  <c r="N990" i="2"/>
  <c r="M990" i="2"/>
  <c r="L990" i="2" a="1"/>
  <c r="L990" i="2" s="1"/>
  <c r="K990" i="2" a="1"/>
  <c r="K990" i="2" s="1"/>
  <c r="J990" i="2"/>
  <c r="B990" i="2"/>
  <c r="N989" i="2"/>
  <c r="M989" i="2"/>
  <c r="L989" i="2" a="1"/>
  <c r="L989" i="2" s="1"/>
  <c r="K989" i="2" a="1"/>
  <c r="K989" i="2" s="1"/>
  <c r="J989" i="2"/>
  <c r="B989" i="2"/>
  <c r="N988" i="2"/>
  <c r="M988" i="2"/>
  <c r="L988" i="2" a="1"/>
  <c r="L988" i="2" s="1"/>
  <c r="K988" i="2" a="1"/>
  <c r="K988" i="2" s="1"/>
  <c r="J988" i="2"/>
  <c r="B988" i="2"/>
  <c r="N987" i="2"/>
  <c r="M987" i="2"/>
  <c r="L987" i="2" a="1"/>
  <c r="L987" i="2" s="1"/>
  <c r="K987" i="2" a="1"/>
  <c r="K987" i="2" s="1"/>
  <c r="J987" i="2"/>
  <c r="B987" i="2"/>
  <c r="N986" i="2"/>
  <c r="M986" i="2"/>
  <c r="L986" i="2" a="1"/>
  <c r="L986" i="2" s="1"/>
  <c r="K986" i="2" a="1"/>
  <c r="K986" i="2" s="1"/>
  <c r="J986" i="2"/>
  <c r="B986" i="2"/>
  <c r="N985" i="2"/>
  <c r="M985" i="2"/>
  <c r="L985" i="2" a="1"/>
  <c r="L985" i="2" s="1"/>
  <c r="K985" i="2" a="1"/>
  <c r="K985" i="2" s="1"/>
  <c r="J985" i="2"/>
  <c r="B985" i="2"/>
  <c r="N984" i="2"/>
  <c r="M984" i="2"/>
  <c r="L984" i="2" a="1"/>
  <c r="L984" i="2" s="1"/>
  <c r="K984" i="2" a="1"/>
  <c r="K984" i="2" s="1"/>
  <c r="J984" i="2"/>
  <c r="B984" i="2"/>
  <c r="N983" i="2"/>
  <c r="M983" i="2"/>
  <c r="L983" i="2" a="1"/>
  <c r="L983" i="2" s="1"/>
  <c r="K983" i="2" a="1"/>
  <c r="K983" i="2" s="1"/>
  <c r="J983" i="2"/>
  <c r="B983" i="2"/>
  <c r="N982" i="2"/>
  <c r="M982" i="2"/>
  <c r="L982" i="2" a="1"/>
  <c r="L982" i="2" s="1"/>
  <c r="K982" i="2" a="1"/>
  <c r="K982" i="2" s="1"/>
  <c r="J982" i="2"/>
  <c r="B982" i="2"/>
  <c r="N981" i="2"/>
  <c r="M981" i="2"/>
  <c r="L981" i="2" a="1"/>
  <c r="L981" i="2" s="1"/>
  <c r="K981" i="2" a="1"/>
  <c r="K981" i="2" s="1"/>
  <c r="J981" i="2"/>
  <c r="B981" i="2"/>
  <c r="N980" i="2"/>
  <c r="M980" i="2"/>
  <c r="L980" i="2" a="1"/>
  <c r="L980" i="2" s="1"/>
  <c r="K980" i="2" a="1"/>
  <c r="K980" i="2" s="1"/>
  <c r="J980" i="2"/>
  <c r="B980" i="2"/>
  <c r="N979" i="2"/>
  <c r="M979" i="2"/>
  <c r="L979" i="2" a="1"/>
  <c r="L979" i="2" s="1"/>
  <c r="K979" i="2" a="1"/>
  <c r="K979" i="2" s="1"/>
  <c r="J979" i="2"/>
  <c r="B979" i="2"/>
  <c r="N978" i="2"/>
  <c r="M978" i="2"/>
  <c r="L978" i="2" a="1"/>
  <c r="L978" i="2" s="1"/>
  <c r="K978" i="2" a="1"/>
  <c r="K978" i="2" s="1"/>
  <c r="J978" i="2"/>
  <c r="B978" i="2"/>
  <c r="N977" i="2"/>
  <c r="M977" i="2"/>
  <c r="L977" i="2" a="1"/>
  <c r="L977" i="2" s="1"/>
  <c r="K977" i="2" a="1"/>
  <c r="K977" i="2" s="1"/>
  <c r="J977" i="2"/>
  <c r="B977" i="2"/>
  <c r="N976" i="2"/>
  <c r="M976" i="2"/>
  <c r="L976" i="2" a="1"/>
  <c r="L976" i="2" s="1"/>
  <c r="K976" i="2" a="1"/>
  <c r="K976" i="2" s="1"/>
  <c r="J976" i="2"/>
  <c r="B976" i="2"/>
  <c r="N975" i="2"/>
  <c r="M975" i="2"/>
  <c r="L975" i="2" a="1"/>
  <c r="L975" i="2" s="1"/>
  <c r="K975" i="2" a="1"/>
  <c r="K975" i="2" s="1"/>
  <c r="J975" i="2"/>
  <c r="B975" i="2"/>
  <c r="N974" i="2"/>
  <c r="M974" i="2"/>
  <c r="L974" i="2" a="1"/>
  <c r="L974" i="2" s="1"/>
  <c r="K974" i="2" a="1"/>
  <c r="K974" i="2" s="1"/>
  <c r="J974" i="2"/>
  <c r="B974" i="2"/>
  <c r="N973" i="2"/>
  <c r="M973" i="2"/>
  <c r="L973" i="2" a="1"/>
  <c r="L973" i="2" s="1"/>
  <c r="K973" i="2" a="1"/>
  <c r="K973" i="2" s="1"/>
  <c r="J973" i="2"/>
  <c r="B973" i="2"/>
  <c r="N972" i="2"/>
  <c r="M972" i="2"/>
  <c r="L972" i="2" a="1"/>
  <c r="L972" i="2" s="1"/>
  <c r="K972" i="2" a="1"/>
  <c r="K972" i="2" s="1"/>
  <c r="J972" i="2"/>
  <c r="B972" i="2"/>
  <c r="N971" i="2"/>
  <c r="M971" i="2"/>
  <c r="L971" i="2" a="1"/>
  <c r="L971" i="2" s="1"/>
  <c r="K971" i="2" a="1"/>
  <c r="K971" i="2" s="1"/>
  <c r="J971" i="2"/>
  <c r="B971" i="2"/>
  <c r="N970" i="2"/>
  <c r="M970" i="2"/>
  <c r="L970" i="2" a="1"/>
  <c r="L970" i="2" s="1"/>
  <c r="K970" i="2" a="1"/>
  <c r="K970" i="2" s="1"/>
  <c r="J970" i="2"/>
  <c r="B970" i="2"/>
  <c r="N969" i="2"/>
  <c r="M969" i="2"/>
  <c r="L969" i="2" a="1"/>
  <c r="L969" i="2" s="1"/>
  <c r="K969" i="2" a="1"/>
  <c r="K969" i="2" s="1"/>
  <c r="J969" i="2"/>
  <c r="B969" i="2"/>
  <c r="N968" i="2"/>
  <c r="M968" i="2"/>
  <c r="L968" i="2" a="1"/>
  <c r="L968" i="2" s="1"/>
  <c r="K968" i="2" a="1"/>
  <c r="K968" i="2" s="1"/>
  <c r="J968" i="2"/>
  <c r="B968" i="2"/>
  <c r="N967" i="2"/>
  <c r="M967" i="2"/>
  <c r="L967" i="2" a="1"/>
  <c r="L967" i="2" s="1"/>
  <c r="K967" i="2" a="1"/>
  <c r="K967" i="2" s="1"/>
  <c r="J967" i="2"/>
  <c r="B967" i="2"/>
  <c r="N966" i="2"/>
  <c r="M966" i="2"/>
  <c r="L966" i="2" a="1"/>
  <c r="L966" i="2" s="1"/>
  <c r="K966" i="2" a="1"/>
  <c r="K966" i="2" s="1"/>
  <c r="J966" i="2"/>
  <c r="B966" i="2"/>
  <c r="N965" i="2"/>
  <c r="M965" i="2"/>
  <c r="L965" i="2" a="1"/>
  <c r="L965" i="2" s="1"/>
  <c r="K965" i="2" a="1"/>
  <c r="K965" i="2" s="1"/>
  <c r="J965" i="2"/>
  <c r="B965" i="2"/>
  <c r="N964" i="2"/>
  <c r="M964" i="2"/>
  <c r="L964" i="2" a="1"/>
  <c r="L964" i="2" s="1"/>
  <c r="K964" i="2" a="1"/>
  <c r="K964" i="2" s="1"/>
  <c r="J964" i="2"/>
  <c r="B964" i="2"/>
  <c r="N963" i="2"/>
  <c r="M963" i="2"/>
  <c r="L963" i="2" a="1"/>
  <c r="L963" i="2" s="1"/>
  <c r="K963" i="2" a="1"/>
  <c r="K963" i="2" s="1"/>
  <c r="J963" i="2"/>
  <c r="B963" i="2"/>
  <c r="N962" i="2"/>
  <c r="M962" i="2"/>
  <c r="L962" i="2" a="1"/>
  <c r="L962" i="2" s="1"/>
  <c r="K962" i="2" a="1"/>
  <c r="K962" i="2" s="1"/>
  <c r="J962" i="2"/>
  <c r="B962" i="2"/>
  <c r="N961" i="2"/>
  <c r="M961" i="2"/>
  <c r="L961" i="2" a="1"/>
  <c r="L961" i="2" s="1"/>
  <c r="K961" i="2" a="1"/>
  <c r="K961" i="2" s="1"/>
  <c r="J961" i="2"/>
  <c r="B961" i="2"/>
  <c r="N960" i="2"/>
  <c r="M960" i="2"/>
  <c r="L960" i="2" a="1"/>
  <c r="L960" i="2" s="1"/>
  <c r="K960" i="2" a="1"/>
  <c r="K960" i="2" s="1"/>
  <c r="J960" i="2"/>
  <c r="B960" i="2"/>
  <c r="N959" i="2"/>
  <c r="M959" i="2"/>
  <c r="L959" i="2" a="1"/>
  <c r="L959" i="2" s="1"/>
  <c r="K959" i="2" a="1"/>
  <c r="K959" i="2" s="1"/>
  <c r="J959" i="2"/>
  <c r="B959" i="2"/>
  <c r="N958" i="2"/>
  <c r="M958" i="2"/>
  <c r="L958" i="2" a="1"/>
  <c r="L958" i="2" s="1"/>
  <c r="K958" i="2" a="1"/>
  <c r="K958" i="2" s="1"/>
  <c r="J958" i="2"/>
  <c r="B958" i="2"/>
  <c r="N957" i="2"/>
  <c r="M957" i="2"/>
  <c r="L957" i="2" a="1"/>
  <c r="L957" i="2" s="1"/>
  <c r="K957" i="2" a="1"/>
  <c r="K957" i="2" s="1"/>
  <c r="J957" i="2"/>
  <c r="B957" i="2"/>
  <c r="N956" i="2"/>
  <c r="M956" i="2"/>
  <c r="L956" i="2" a="1"/>
  <c r="L956" i="2" s="1"/>
  <c r="K956" i="2" a="1"/>
  <c r="K956" i="2" s="1"/>
  <c r="J956" i="2"/>
  <c r="B956" i="2"/>
  <c r="N955" i="2"/>
  <c r="M955" i="2"/>
  <c r="L955" i="2" a="1"/>
  <c r="L955" i="2" s="1"/>
  <c r="K955" i="2" a="1"/>
  <c r="K955" i="2" s="1"/>
  <c r="J955" i="2"/>
  <c r="B955" i="2"/>
  <c r="N954" i="2"/>
  <c r="M954" i="2"/>
  <c r="L954" i="2" a="1"/>
  <c r="L954" i="2" s="1"/>
  <c r="K954" i="2" a="1"/>
  <c r="K954" i="2" s="1"/>
  <c r="J954" i="2"/>
  <c r="B954" i="2"/>
  <c r="N953" i="2"/>
  <c r="M953" i="2"/>
  <c r="L953" i="2" a="1"/>
  <c r="L953" i="2" s="1"/>
  <c r="K953" i="2" a="1"/>
  <c r="K953" i="2" s="1"/>
  <c r="J953" i="2"/>
  <c r="B953" i="2"/>
  <c r="N952" i="2"/>
  <c r="M952" i="2"/>
  <c r="L952" i="2" a="1"/>
  <c r="L952" i="2" s="1"/>
  <c r="K952" i="2" a="1"/>
  <c r="K952" i="2" s="1"/>
  <c r="J952" i="2"/>
  <c r="B952" i="2"/>
  <c r="N951" i="2"/>
  <c r="M951" i="2"/>
  <c r="L951" i="2" a="1"/>
  <c r="L951" i="2" s="1"/>
  <c r="K951" i="2" a="1"/>
  <c r="K951" i="2" s="1"/>
  <c r="J951" i="2"/>
  <c r="B951" i="2"/>
  <c r="N950" i="2"/>
  <c r="M950" i="2"/>
  <c r="L950" i="2" a="1"/>
  <c r="L950" i="2" s="1"/>
  <c r="K950" i="2" a="1"/>
  <c r="K950" i="2" s="1"/>
  <c r="J950" i="2"/>
  <c r="B950" i="2"/>
  <c r="N949" i="2"/>
  <c r="M949" i="2"/>
  <c r="L949" i="2" a="1"/>
  <c r="L949" i="2" s="1"/>
  <c r="K949" i="2" a="1"/>
  <c r="K949" i="2" s="1"/>
  <c r="J949" i="2"/>
  <c r="B949" i="2"/>
  <c r="V948" i="2"/>
  <c r="N948" i="2"/>
  <c r="M948" i="2"/>
  <c r="L948" i="2" a="1"/>
  <c r="L948" i="2" s="1"/>
  <c r="K948" i="2" a="1"/>
  <c r="K948" i="2" s="1"/>
  <c r="J948" i="2"/>
  <c r="B948" i="2"/>
  <c r="N947" i="2"/>
  <c r="M947" i="2"/>
  <c r="L947" i="2" a="1"/>
  <c r="L947" i="2" s="1"/>
  <c r="K947" i="2" a="1"/>
  <c r="K947" i="2" s="1"/>
  <c r="J947" i="2"/>
  <c r="B947" i="2"/>
  <c r="N946" i="2"/>
  <c r="M946" i="2"/>
  <c r="L946" i="2" a="1"/>
  <c r="L946" i="2" s="1"/>
  <c r="K946" i="2" a="1"/>
  <c r="K946" i="2" s="1"/>
  <c r="J946" i="2"/>
  <c r="B946" i="2"/>
  <c r="N945" i="2"/>
  <c r="M945" i="2"/>
  <c r="L945" i="2" a="1"/>
  <c r="L945" i="2" s="1"/>
  <c r="K945" i="2" a="1"/>
  <c r="K945" i="2" s="1"/>
  <c r="J945" i="2"/>
  <c r="B945" i="2"/>
  <c r="N944" i="2"/>
  <c r="M944" i="2"/>
  <c r="L944" i="2" a="1"/>
  <c r="L944" i="2" s="1"/>
  <c r="K944" i="2" a="1"/>
  <c r="K944" i="2" s="1"/>
  <c r="J944" i="2"/>
  <c r="B944" i="2"/>
  <c r="N943" i="2"/>
  <c r="M943" i="2"/>
  <c r="L943" i="2" a="1"/>
  <c r="L943" i="2" s="1"/>
  <c r="K943" i="2" a="1"/>
  <c r="K943" i="2" s="1"/>
  <c r="J943" i="2"/>
  <c r="B943" i="2"/>
  <c r="N942" i="2"/>
  <c r="M942" i="2"/>
  <c r="L942" i="2" a="1"/>
  <c r="L942" i="2" s="1"/>
  <c r="K942" i="2" a="1"/>
  <c r="K942" i="2" s="1"/>
  <c r="J942" i="2"/>
  <c r="B942" i="2"/>
  <c r="N941" i="2"/>
  <c r="M941" i="2"/>
  <c r="L941" i="2" a="1"/>
  <c r="L941" i="2" s="1"/>
  <c r="K941" i="2" a="1"/>
  <c r="K941" i="2" s="1"/>
  <c r="J941" i="2"/>
  <c r="B941" i="2"/>
  <c r="U940" i="2"/>
  <c r="A939" i="2"/>
  <c r="J938" i="2"/>
  <c r="N937" i="2"/>
  <c r="M937" i="2"/>
  <c r="L937" i="2" a="1"/>
  <c r="L937" i="2" s="1"/>
  <c r="K937" i="2" a="1"/>
  <c r="K937" i="2" s="1"/>
  <c r="J937" i="2"/>
  <c r="B937" i="2"/>
  <c r="N936" i="2"/>
  <c r="M936" i="2"/>
  <c r="L936" i="2" a="1"/>
  <c r="L936" i="2" s="1"/>
  <c r="K936" i="2" a="1"/>
  <c r="K936" i="2" s="1"/>
  <c r="J936" i="2"/>
  <c r="B936" i="2"/>
  <c r="N935" i="2"/>
  <c r="M935" i="2"/>
  <c r="L935" i="2" a="1"/>
  <c r="L935" i="2" s="1"/>
  <c r="K935" i="2" a="1"/>
  <c r="K935" i="2" s="1"/>
  <c r="J935" i="2"/>
  <c r="B935" i="2"/>
  <c r="N934" i="2"/>
  <c r="M934" i="2"/>
  <c r="L934" i="2" a="1"/>
  <c r="L934" i="2" s="1"/>
  <c r="K934" i="2" a="1"/>
  <c r="K934" i="2" s="1"/>
  <c r="J934" i="2"/>
  <c r="B934" i="2"/>
  <c r="N933" i="2"/>
  <c r="M933" i="2"/>
  <c r="L933" i="2" a="1"/>
  <c r="L933" i="2" s="1"/>
  <c r="K933" i="2" a="1"/>
  <c r="K933" i="2" s="1"/>
  <c r="J933" i="2"/>
  <c r="B933" i="2"/>
  <c r="N932" i="2"/>
  <c r="M932" i="2"/>
  <c r="L932" i="2" a="1"/>
  <c r="L932" i="2" s="1"/>
  <c r="K932" i="2" a="1"/>
  <c r="K932" i="2" s="1"/>
  <c r="J932" i="2"/>
  <c r="B932" i="2"/>
  <c r="N931" i="2"/>
  <c r="M931" i="2"/>
  <c r="L931" i="2" a="1"/>
  <c r="L931" i="2" s="1"/>
  <c r="K931" i="2" a="1"/>
  <c r="K931" i="2" s="1"/>
  <c r="J931" i="2"/>
  <c r="B931" i="2"/>
  <c r="N930" i="2"/>
  <c r="M930" i="2"/>
  <c r="L930" i="2" a="1"/>
  <c r="L930" i="2" s="1"/>
  <c r="K930" i="2" a="1"/>
  <c r="K930" i="2" s="1"/>
  <c r="J930" i="2"/>
  <c r="B930" i="2"/>
  <c r="N929" i="2"/>
  <c r="M929" i="2"/>
  <c r="L929" i="2" a="1"/>
  <c r="L929" i="2" s="1"/>
  <c r="K929" i="2" a="1"/>
  <c r="K929" i="2" s="1"/>
  <c r="J929" i="2"/>
  <c r="B929" i="2"/>
  <c r="N928" i="2"/>
  <c r="M928" i="2"/>
  <c r="L928" i="2" a="1"/>
  <c r="L928" i="2" s="1"/>
  <c r="K928" i="2" a="1"/>
  <c r="K928" i="2" s="1"/>
  <c r="J928" i="2"/>
  <c r="B928" i="2"/>
  <c r="N927" i="2"/>
  <c r="M927" i="2"/>
  <c r="L927" i="2" a="1"/>
  <c r="L927" i="2" s="1"/>
  <c r="K927" i="2" a="1"/>
  <c r="K927" i="2" s="1"/>
  <c r="J927" i="2"/>
  <c r="B927" i="2"/>
  <c r="N926" i="2"/>
  <c r="M926" i="2"/>
  <c r="L926" i="2" a="1"/>
  <c r="L926" i="2" s="1"/>
  <c r="K926" i="2" a="1"/>
  <c r="K926" i="2" s="1"/>
  <c r="J926" i="2"/>
  <c r="B926" i="2"/>
  <c r="N925" i="2"/>
  <c r="M925" i="2"/>
  <c r="L925" i="2" a="1"/>
  <c r="L925" i="2" s="1"/>
  <c r="K925" i="2" a="1"/>
  <c r="K925" i="2" s="1"/>
  <c r="J925" i="2"/>
  <c r="B925" i="2"/>
  <c r="N924" i="2"/>
  <c r="M924" i="2"/>
  <c r="L924" i="2" a="1"/>
  <c r="L924" i="2" s="1"/>
  <c r="K924" i="2" a="1"/>
  <c r="K924" i="2" s="1"/>
  <c r="J924" i="2"/>
  <c r="B924" i="2"/>
  <c r="N923" i="2"/>
  <c r="M923" i="2"/>
  <c r="L923" i="2" a="1"/>
  <c r="L923" i="2" s="1"/>
  <c r="K923" i="2" a="1"/>
  <c r="K923" i="2" s="1"/>
  <c r="J923" i="2"/>
  <c r="B923" i="2"/>
  <c r="N922" i="2"/>
  <c r="M922" i="2"/>
  <c r="L922" i="2" a="1"/>
  <c r="L922" i="2" s="1"/>
  <c r="K922" i="2" a="1"/>
  <c r="K922" i="2" s="1"/>
  <c r="J922" i="2"/>
  <c r="B922" i="2"/>
  <c r="N921" i="2"/>
  <c r="M921" i="2"/>
  <c r="L921" i="2" a="1"/>
  <c r="L921" i="2" s="1"/>
  <c r="K921" i="2" a="1"/>
  <c r="K921" i="2" s="1"/>
  <c r="J921" i="2"/>
  <c r="B921" i="2"/>
  <c r="N920" i="2"/>
  <c r="M920" i="2"/>
  <c r="L920" i="2" a="1"/>
  <c r="L920" i="2" s="1"/>
  <c r="K920" i="2" a="1"/>
  <c r="K920" i="2" s="1"/>
  <c r="J920" i="2"/>
  <c r="B920" i="2"/>
  <c r="N919" i="2"/>
  <c r="M919" i="2"/>
  <c r="L919" i="2" a="1"/>
  <c r="L919" i="2" s="1"/>
  <c r="K919" i="2" a="1"/>
  <c r="K919" i="2" s="1"/>
  <c r="J919" i="2"/>
  <c r="B919" i="2"/>
  <c r="N918" i="2"/>
  <c r="M918" i="2"/>
  <c r="L918" i="2" a="1"/>
  <c r="L918" i="2" s="1"/>
  <c r="K918" i="2" a="1"/>
  <c r="K918" i="2" s="1"/>
  <c r="J918" i="2"/>
  <c r="B918" i="2"/>
  <c r="N917" i="2"/>
  <c r="M917" i="2"/>
  <c r="L917" i="2" a="1"/>
  <c r="L917" i="2" s="1"/>
  <c r="K917" i="2" a="1"/>
  <c r="K917" i="2" s="1"/>
  <c r="J917" i="2"/>
  <c r="B917" i="2"/>
  <c r="N916" i="2"/>
  <c r="M916" i="2"/>
  <c r="L916" i="2" a="1"/>
  <c r="L916" i="2" s="1"/>
  <c r="K916" i="2" a="1"/>
  <c r="K916" i="2" s="1"/>
  <c r="J916" i="2"/>
  <c r="B916" i="2"/>
  <c r="N915" i="2"/>
  <c r="M915" i="2"/>
  <c r="L915" i="2" a="1"/>
  <c r="L915" i="2" s="1"/>
  <c r="K915" i="2" a="1"/>
  <c r="K915" i="2" s="1"/>
  <c r="J915" i="2"/>
  <c r="B915" i="2"/>
  <c r="N914" i="2"/>
  <c r="M914" i="2"/>
  <c r="L914" i="2" a="1"/>
  <c r="L914" i="2" s="1"/>
  <c r="K914" i="2" a="1"/>
  <c r="K914" i="2" s="1"/>
  <c r="J914" i="2"/>
  <c r="B914" i="2"/>
  <c r="N913" i="2"/>
  <c r="M913" i="2"/>
  <c r="L913" i="2" a="1"/>
  <c r="L913" i="2" s="1"/>
  <c r="K913" i="2" a="1"/>
  <c r="K913" i="2" s="1"/>
  <c r="J913" i="2"/>
  <c r="B913" i="2"/>
  <c r="N912" i="2"/>
  <c r="M912" i="2"/>
  <c r="L912" i="2" a="1"/>
  <c r="L912" i="2" s="1"/>
  <c r="K912" i="2" a="1"/>
  <c r="K912" i="2" s="1"/>
  <c r="J912" i="2"/>
  <c r="B912" i="2"/>
  <c r="N911" i="2"/>
  <c r="M911" i="2"/>
  <c r="L911" i="2" a="1"/>
  <c r="L911" i="2" s="1"/>
  <c r="K911" i="2" a="1"/>
  <c r="K911" i="2" s="1"/>
  <c r="J911" i="2"/>
  <c r="B911" i="2"/>
  <c r="N910" i="2"/>
  <c r="M910" i="2"/>
  <c r="L910" i="2" a="1"/>
  <c r="L910" i="2" s="1"/>
  <c r="K910" i="2" a="1"/>
  <c r="K910" i="2" s="1"/>
  <c r="J910" i="2"/>
  <c r="B910" i="2"/>
  <c r="N909" i="2"/>
  <c r="M909" i="2"/>
  <c r="L909" i="2" a="1"/>
  <c r="L909" i="2" s="1"/>
  <c r="K909" i="2" a="1"/>
  <c r="K909" i="2" s="1"/>
  <c r="J909" i="2"/>
  <c r="B909" i="2"/>
  <c r="N908" i="2"/>
  <c r="M908" i="2"/>
  <c r="L908" i="2" a="1"/>
  <c r="L908" i="2" s="1"/>
  <c r="K908" i="2" a="1"/>
  <c r="K908" i="2" s="1"/>
  <c r="J908" i="2"/>
  <c r="B908" i="2"/>
  <c r="N907" i="2"/>
  <c r="M907" i="2"/>
  <c r="L907" i="2" a="1"/>
  <c r="L907" i="2" s="1"/>
  <c r="K907" i="2" a="1"/>
  <c r="K907" i="2" s="1"/>
  <c r="J907" i="2"/>
  <c r="B907" i="2"/>
  <c r="N906" i="2"/>
  <c r="M906" i="2"/>
  <c r="L906" i="2" a="1"/>
  <c r="L906" i="2" s="1"/>
  <c r="K906" i="2" a="1"/>
  <c r="K906" i="2" s="1"/>
  <c r="J906" i="2"/>
  <c r="B906" i="2"/>
  <c r="N905" i="2"/>
  <c r="M905" i="2"/>
  <c r="L905" i="2" a="1"/>
  <c r="L905" i="2" s="1"/>
  <c r="K905" i="2" a="1"/>
  <c r="K905" i="2" s="1"/>
  <c r="J905" i="2"/>
  <c r="B905" i="2"/>
  <c r="N904" i="2"/>
  <c r="M904" i="2"/>
  <c r="L904" i="2" a="1"/>
  <c r="L904" i="2" s="1"/>
  <c r="K904" i="2" a="1"/>
  <c r="K904" i="2" s="1"/>
  <c r="J904" i="2"/>
  <c r="B904" i="2"/>
  <c r="N903" i="2"/>
  <c r="M903" i="2"/>
  <c r="L903" i="2" a="1"/>
  <c r="L903" i="2" s="1"/>
  <c r="K903" i="2" a="1"/>
  <c r="K903" i="2" s="1"/>
  <c r="J903" i="2"/>
  <c r="B903" i="2"/>
  <c r="N902" i="2"/>
  <c r="M902" i="2"/>
  <c r="L902" i="2" a="1"/>
  <c r="L902" i="2" s="1"/>
  <c r="K902" i="2" a="1"/>
  <c r="K902" i="2" s="1"/>
  <c r="J902" i="2"/>
  <c r="B902" i="2"/>
  <c r="N901" i="2"/>
  <c r="M901" i="2"/>
  <c r="L901" i="2" a="1"/>
  <c r="L901" i="2" s="1"/>
  <c r="K901" i="2" a="1"/>
  <c r="K901" i="2" s="1"/>
  <c r="J901" i="2"/>
  <c r="B901" i="2"/>
  <c r="N900" i="2"/>
  <c r="M900" i="2"/>
  <c r="L900" i="2" a="1"/>
  <c r="L900" i="2" s="1"/>
  <c r="K900" i="2" a="1"/>
  <c r="K900" i="2" s="1"/>
  <c r="J900" i="2"/>
  <c r="B900" i="2"/>
  <c r="N899" i="2"/>
  <c r="M899" i="2"/>
  <c r="L899" i="2" a="1"/>
  <c r="L899" i="2" s="1"/>
  <c r="K899" i="2" a="1"/>
  <c r="K899" i="2" s="1"/>
  <c r="J899" i="2"/>
  <c r="B899" i="2"/>
  <c r="N898" i="2"/>
  <c r="M898" i="2"/>
  <c r="L898" i="2" a="1"/>
  <c r="L898" i="2" s="1"/>
  <c r="K898" i="2" a="1"/>
  <c r="K898" i="2" s="1"/>
  <c r="J898" i="2"/>
  <c r="B898" i="2"/>
  <c r="N897" i="2"/>
  <c r="M897" i="2"/>
  <c r="L897" i="2" a="1"/>
  <c r="L897" i="2" s="1"/>
  <c r="K897" i="2" a="1"/>
  <c r="K897" i="2" s="1"/>
  <c r="J897" i="2"/>
  <c r="B897" i="2"/>
  <c r="N896" i="2"/>
  <c r="M896" i="2"/>
  <c r="L896" i="2" a="1"/>
  <c r="L896" i="2" s="1"/>
  <c r="K896" i="2" a="1"/>
  <c r="K896" i="2" s="1"/>
  <c r="J896" i="2"/>
  <c r="B896" i="2"/>
  <c r="N895" i="2"/>
  <c r="M895" i="2"/>
  <c r="L895" i="2" a="1"/>
  <c r="L895" i="2" s="1"/>
  <c r="K895" i="2" a="1"/>
  <c r="K895" i="2" s="1"/>
  <c r="J895" i="2"/>
  <c r="B895" i="2"/>
  <c r="N894" i="2"/>
  <c r="M894" i="2"/>
  <c r="L894" i="2" a="1"/>
  <c r="L894" i="2" s="1"/>
  <c r="K894" i="2" a="1"/>
  <c r="K894" i="2" s="1"/>
  <c r="J894" i="2"/>
  <c r="B894" i="2"/>
  <c r="N893" i="2"/>
  <c r="M893" i="2"/>
  <c r="L893" i="2" a="1"/>
  <c r="L893" i="2" s="1"/>
  <c r="K893" i="2" a="1"/>
  <c r="K893" i="2" s="1"/>
  <c r="J893" i="2"/>
  <c r="B893" i="2"/>
  <c r="N892" i="2"/>
  <c r="M892" i="2"/>
  <c r="L892" i="2" a="1"/>
  <c r="L892" i="2" s="1"/>
  <c r="K892" i="2" a="1"/>
  <c r="K892" i="2" s="1"/>
  <c r="J892" i="2"/>
  <c r="B892" i="2"/>
  <c r="N891" i="2"/>
  <c r="M891" i="2"/>
  <c r="L891" i="2" a="1"/>
  <c r="L891" i="2" s="1"/>
  <c r="K891" i="2" a="1"/>
  <c r="K891" i="2" s="1"/>
  <c r="J891" i="2"/>
  <c r="B891" i="2"/>
  <c r="N890" i="2"/>
  <c r="M890" i="2"/>
  <c r="L890" i="2" a="1"/>
  <c r="L890" i="2" s="1"/>
  <c r="K890" i="2" a="1"/>
  <c r="K890" i="2" s="1"/>
  <c r="J890" i="2"/>
  <c r="B890" i="2"/>
  <c r="N889" i="2"/>
  <c r="M889" i="2"/>
  <c r="L889" i="2" a="1"/>
  <c r="L889" i="2" s="1"/>
  <c r="K889" i="2" a="1"/>
  <c r="K889" i="2" s="1"/>
  <c r="J889" i="2"/>
  <c r="B889" i="2"/>
  <c r="N888" i="2"/>
  <c r="M888" i="2"/>
  <c r="L888" i="2" a="1"/>
  <c r="L888" i="2" s="1"/>
  <c r="K888" i="2" a="1"/>
  <c r="K888" i="2" s="1"/>
  <c r="J888" i="2"/>
  <c r="B888" i="2"/>
  <c r="N887" i="2"/>
  <c r="M887" i="2"/>
  <c r="L887" i="2" a="1"/>
  <c r="L887" i="2" s="1"/>
  <c r="K887" i="2" a="1"/>
  <c r="K887" i="2" s="1"/>
  <c r="J887" i="2"/>
  <c r="B887" i="2"/>
  <c r="N886" i="2"/>
  <c r="M886" i="2"/>
  <c r="L886" i="2" a="1"/>
  <c r="L886" i="2" s="1"/>
  <c r="K886" i="2" a="1"/>
  <c r="K886" i="2" s="1"/>
  <c r="J886" i="2"/>
  <c r="B886" i="2"/>
  <c r="N885" i="2"/>
  <c r="M885" i="2"/>
  <c r="L885" i="2" a="1"/>
  <c r="L885" i="2" s="1"/>
  <c r="K885" i="2" a="1"/>
  <c r="K885" i="2" s="1"/>
  <c r="J885" i="2"/>
  <c r="B885" i="2"/>
  <c r="N884" i="2"/>
  <c r="M884" i="2"/>
  <c r="L884" i="2" a="1"/>
  <c r="L884" i="2" s="1"/>
  <c r="K884" i="2" a="1"/>
  <c r="K884" i="2" s="1"/>
  <c r="J884" i="2"/>
  <c r="B884" i="2"/>
  <c r="N883" i="2"/>
  <c r="M883" i="2"/>
  <c r="L883" i="2" a="1"/>
  <c r="L883" i="2" s="1"/>
  <c r="K883" i="2" a="1"/>
  <c r="K883" i="2" s="1"/>
  <c r="J883" i="2"/>
  <c r="B883" i="2"/>
  <c r="N882" i="2"/>
  <c r="M882" i="2"/>
  <c r="L882" i="2" a="1"/>
  <c r="L882" i="2" s="1"/>
  <c r="K882" i="2" a="1"/>
  <c r="K882" i="2" s="1"/>
  <c r="J882" i="2"/>
  <c r="B882" i="2"/>
  <c r="N881" i="2"/>
  <c r="M881" i="2"/>
  <c r="L881" i="2" a="1"/>
  <c r="L881" i="2" s="1"/>
  <c r="K881" i="2" a="1"/>
  <c r="K881" i="2" s="1"/>
  <c r="J881" i="2"/>
  <c r="B881" i="2"/>
  <c r="N880" i="2"/>
  <c r="M880" i="2"/>
  <c r="L880" i="2" a="1"/>
  <c r="L880" i="2" s="1"/>
  <c r="K880" i="2" a="1"/>
  <c r="K880" i="2" s="1"/>
  <c r="J880" i="2"/>
  <c r="B880" i="2"/>
  <c r="N879" i="2"/>
  <c r="M879" i="2"/>
  <c r="L879" i="2" a="1"/>
  <c r="L879" i="2" s="1"/>
  <c r="K879" i="2" a="1"/>
  <c r="K879" i="2" s="1"/>
  <c r="J879" i="2"/>
  <c r="B879" i="2"/>
  <c r="N878" i="2"/>
  <c r="M878" i="2"/>
  <c r="L878" i="2" a="1"/>
  <c r="L878" i="2" s="1"/>
  <c r="K878" i="2" a="1"/>
  <c r="K878" i="2" s="1"/>
  <c r="J878" i="2"/>
  <c r="B878" i="2"/>
  <c r="N877" i="2"/>
  <c r="M877" i="2"/>
  <c r="L877" i="2" a="1"/>
  <c r="L877" i="2" s="1"/>
  <c r="K877" i="2" a="1"/>
  <c r="K877" i="2" s="1"/>
  <c r="J877" i="2"/>
  <c r="B877" i="2"/>
  <c r="N876" i="2"/>
  <c r="M876" i="2"/>
  <c r="L876" i="2" a="1"/>
  <c r="L876" i="2" s="1"/>
  <c r="K876" i="2" a="1"/>
  <c r="K876" i="2" s="1"/>
  <c r="J876" i="2"/>
  <c r="B876" i="2"/>
  <c r="N875" i="2"/>
  <c r="M875" i="2"/>
  <c r="L875" i="2" a="1"/>
  <c r="L875" i="2" s="1"/>
  <c r="K875" i="2" a="1"/>
  <c r="K875" i="2" s="1"/>
  <c r="J875" i="2"/>
  <c r="B875" i="2"/>
  <c r="N874" i="2"/>
  <c r="M874" i="2"/>
  <c r="L874" i="2" a="1"/>
  <c r="L874" i="2" s="1"/>
  <c r="K874" i="2" a="1"/>
  <c r="K874" i="2" s="1"/>
  <c r="J874" i="2"/>
  <c r="B874" i="2"/>
  <c r="N873" i="2"/>
  <c r="M873" i="2"/>
  <c r="L873" i="2" a="1"/>
  <c r="L873" i="2" s="1"/>
  <c r="K873" i="2" a="1"/>
  <c r="K873" i="2" s="1"/>
  <c r="J873" i="2"/>
  <c r="B873" i="2"/>
  <c r="N872" i="2"/>
  <c r="M872" i="2"/>
  <c r="L872" i="2" a="1"/>
  <c r="L872" i="2" s="1"/>
  <c r="K872" i="2" a="1"/>
  <c r="K872" i="2" s="1"/>
  <c r="J872" i="2"/>
  <c r="B872" i="2"/>
  <c r="N871" i="2"/>
  <c r="M871" i="2"/>
  <c r="L871" i="2" a="1"/>
  <c r="L871" i="2" s="1"/>
  <c r="K871" i="2" a="1"/>
  <c r="K871" i="2" s="1"/>
  <c r="J871" i="2"/>
  <c r="B871" i="2"/>
  <c r="N870" i="2"/>
  <c r="M870" i="2"/>
  <c r="L870" i="2" a="1"/>
  <c r="L870" i="2" s="1"/>
  <c r="K870" i="2" a="1"/>
  <c r="K870" i="2" s="1"/>
  <c r="J870" i="2"/>
  <c r="B870" i="2"/>
  <c r="N869" i="2"/>
  <c r="M869" i="2"/>
  <c r="L869" i="2" a="1"/>
  <c r="L869" i="2" s="1"/>
  <c r="K869" i="2" a="1"/>
  <c r="K869" i="2" s="1"/>
  <c r="J869" i="2"/>
  <c r="B869" i="2"/>
  <c r="N868" i="2"/>
  <c r="M868" i="2"/>
  <c r="L868" i="2" a="1"/>
  <c r="L868" i="2" s="1"/>
  <c r="K868" i="2" a="1"/>
  <c r="K868" i="2" s="1"/>
  <c r="J868" i="2"/>
  <c r="B868" i="2"/>
  <c r="N867" i="2"/>
  <c r="M867" i="2"/>
  <c r="L867" i="2" a="1"/>
  <c r="L867" i="2" s="1"/>
  <c r="K867" i="2" a="1"/>
  <c r="K867" i="2" s="1"/>
  <c r="J867" i="2"/>
  <c r="B867" i="2"/>
  <c r="N866" i="2"/>
  <c r="M866" i="2"/>
  <c r="L866" i="2" a="1"/>
  <c r="L866" i="2" s="1"/>
  <c r="K866" i="2" a="1"/>
  <c r="K866" i="2" s="1"/>
  <c r="J866" i="2"/>
  <c r="B866" i="2"/>
  <c r="N865" i="2"/>
  <c r="M865" i="2"/>
  <c r="L865" i="2" a="1"/>
  <c r="L865" i="2" s="1"/>
  <c r="K865" i="2" a="1"/>
  <c r="K865" i="2" s="1"/>
  <c r="J865" i="2"/>
  <c r="B865" i="2"/>
  <c r="N864" i="2"/>
  <c r="M864" i="2"/>
  <c r="L864" i="2" a="1"/>
  <c r="L864" i="2" s="1"/>
  <c r="K864" i="2" a="1"/>
  <c r="K864" i="2" s="1"/>
  <c r="J864" i="2"/>
  <c r="B864" i="2"/>
  <c r="N863" i="2"/>
  <c r="M863" i="2"/>
  <c r="L863" i="2" a="1"/>
  <c r="L863" i="2" s="1"/>
  <c r="K863" i="2" a="1"/>
  <c r="K863" i="2" s="1"/>
  <c r="J863" i="2"/>
  <c r="B863" i="2"/>
  <c r="N862" i="2"/>
  <c r="M862" i="2"/>
  <c r="L862" i="2" a="1"/>
  <c r="L862" i="2" s="1"/>
  <c r="K862" i="2" a="1"/>
  <c r="K862" i="2" s="1"/>
  <c r="J862" i="2"/>
  <c r="B862" i="2"/>
  <c r="N861" i="2"/>
  <c r="M861" i="2"/>
  <c r="L861" i="2" a="1"/>
  <c r="L861" i="2" s="1"/>
  <c r="K861" i="2" a="1"/>
  <c r="K861" i="2" s="1"/>
  <c r="J861" i="2"/>
  <c r="B861" i="2"/>
  <c r="N860" i="2"/>
  <c r="M860" i="2"/>
  <c r="L860" i="2" a="1"/>
  <c r="L860" i="2" s="1"/>
  <c r="K860" i="2" a="1"/>
  <c r="K860" i="2" s="1"/>
  <c r="J860" i="2"/>
  <c r="B860" i="2"/>
  <c r="N859" i="2"/>
  <c r="M859" i="2"/>
  <c r="L859" i="2" a="1"/>
  <c r="L859" i="2" s="1"/>
  <c r="K859" i="2" a="1"/>
  <c r="K859" i="2" s="1"/>
  <c r="J859" i="2"/>
  <c r="B859" i="2"/>
  <c r="N858" i="2"/>
  <c r="M858" i="2"/>
  <c r="L858" i="2" a="1"/>
  <c r="L858" i="2" s="1"/>
  <c r="K858" i="2" a="1"/>
  <c r="K858" i="2" s="1"/>
  <c r="J858" i="2"/>
  <c r="B858" i="2"/>
  <c r="N857" i="2"/>
  <c r="M857" i="2"/>
  <c r="L857" i="2" a="1"/>
  <c r="L857" i="2" s="1"/>
  <c r="K857" i="2" a="1"/>
  <c r="K857" i="2" s="1"/>
  <c r="J857" i="2"/>
  <c r="B857" i="2"/>
  <c r="N856" i="2"/>
  <c r="M856" i="2"/>
  <c r="L856" i="2" a="1"/>
  <c r="L856" i="2" s="1"/>
  <c r="K856" i="2" a="1"/>
  <c r="K856" i="2" s="1"/>
  <c r="J856" i="2"/>
  <c r="B856" i="2"/>
  <c r="N855" i="2"/>
  <c r="M855" i="2"/>
  <c r="L855" i="2" a="1"/>
  <c r="L855" i="2" s="1"/>
  <c r="K855" i="2" a="1"/>
  <c r="K855" i="2" s="1"/>
  <c r="J855" i="2"/>
  <c r="B855" i="2"/>
  <c r="N854" i="2"/>
  <c r="M854" i="2"/>
  <c r="L854" i="2" a="1"/>
  <c r="L854" i="2" s="1"/>
  <c r="K854" i="2" a="1"/>
  <c r="K854" i="2" s="1"/>
  <c r="J854" i="2"/>
  <c r="B854" i="2"/>
  <c r="N853" i="2"/>
  <c r="M853" i="2"/>
  <c r="L853" i="2" a="1"/>
  <c r="L853" i="2" s="1"/>
  <c r="K853" i="2" a="1"/>
  <c r="K853" i="2" s="1"/>
  <c r="J853" i="2"/>
  <c r="B853" i="2"/>
  <c r="N852" i="2"/>
  <c r="M852" i="2"/>
  <c r="L852" i="2" a="1"/>
  <c r="L852" i="2" s="1"/>
  <c r="K852" i="2" a="1"/>
  <c r="K852" i="2" s="1"/>
  <c r="J852" i="2"/>
  <c r="B852" i="2"/>
  <c r="N851" i="2"/>
  <c r="M851" i="2"/>
  <c r="L851" i="2" a="1"/>
  <c r="L851" i="2" s="1"/>
  <c r="K851" i="2" a="1"/>
  <c r="K851" i="2" s="1"/>
  <c r="J851" i="2"/>
  <c r="B851" i="2"/>
  <c r="N850" i="2"/>
  <c r="M850" i="2"/>
  <c r="L850" i="2" a="1"/>
  <c r="L850" i="2" s="1"/>
  <c r="K850" i="2" a="1"/>
  <c r="K850" i="2" s="1"/>
  <c r="J850" i="2"/>
  <c r="B850" i="2"/>
  <c r="N849" i="2"/>
  <c r="M849" i="2"/>
  <c r="L849" i="2" a="1"/>
  <c r="L849" i="2" s="1"/>
  <c r="K849" i="2" a="1"/>
  <c r="K849" i="2" s="1"/>
  <c r="J849" i="2"/>
  <c r="B849" i="2"/>
  <c r="N848" i="2"/>
  <c r="M848" i="2"/>
  <c r="L848" i="2" a="1"/>
  <c r="L848" i="2" s="1"/>
  <c r="K848" i="2" a="1"/>
  <c r="K848" i="2" s="1"/>
  <c r="J848" i="2"/>
  <c r="B848" i="2"/>
  <c r="N847" i="2"/>
  <c r="M847" i="2"/>
  <c r="L847" i="2" a="1"/>
  <c r="L847" i="2" s="1"/>
  <c r="K847" i="2" a="1"/>
  <c r="K847" i="2" s="1"/>
  <c r="J847" i="2"/>
  <c r="B847" i="2"/>
  <c r="N846" i="2"/>
  <c r="M846" i="2"/>
  <c r="L846" i="2" a="1"/>
  <c r="L846" i="2" s="1"/>
  <c r="K846" i="2" a="1"/>
  <c r="K846" i="2" s="1"/>
  <c r="J846" i="2"/>
  <c r="B846" i="2"/>
  <c r="V845" i="2"/>
  <c r="N845" i="2"/>
  <c r="M845" i="2"/>
  <c r="L845" i="2" a="1"/>
  <c r="L845" i="2" s="1"/>
  <c r="K845" i="2" a="1"/>
  <c r="K845" i="2" s="1"/>
  <c r="J845" i="2"/>
  <c r="B845" i="2"/>
  <c r="N844" i="2"/>
  <c r="M844" i="2"/>
  <c r="L844" i="2" a="1"/>
  <c r="L844" i="2" s="1"/>
  <c r="K844" i="2" a="1"/>
  <c r="K844" i="2" s="1"/>
  <c r="J844" i="2"/>
  <c r="B844" i="2"/>
  <c r="N843" i="2"/>
  <c r="M843" i="2"/>
  <c r="L843" i="2" a="1"/>
  <c r="L843" i="2" s="1"/>
  <c r="K843" i="2" a="1"/>
  <c r="K843" i="2" s="1"/>
  <c r="J843" i="2"/>
  <c r="B843" i="2"/>
  <c r="N842" i="2"/>
  <c r="M842" i="2"/>
  <c r="L842" i="2" a="1"/>
  <c r="L842" i="2" s="1"/>
  <c r="K842" i="2" a="1"/>
  <c r="K842" i="2" s="1"/>
  <c r="J842" i="2"/>
  <c r="B842" i="2"/>
  <c r="N841" i="2"/>
  <c r="M841" i="2"/>
  <c r="L841" i="2" a="1"/>
  <c r="L841" i="2" s="1"/>
  <c r="K841" i="2" a="1"/>
  <c r="K841" i="2" s="1"/>
  <c r="J841" i="2"/>
  <c r="B841" i="2"/>
  <c r="N840" i="2"/>
  <c r="M840" i="2"/>
  <c r="L840" i="2" a="1"/>
  <c r="L840" i="2" s="1"/>
  <c r="K840" i="2" a="1"/>
  <c r="K840" i="2" s="1"/>
  <c r="J840" i="2"/>
  <c r="B840" i="2"/>
  <c r="N839" i="2"/>
  <c r="M839" i="2"/>
  <c r="L839" i="2" a="1"/>
  <c r="L839" i="2" s="1"/>
  <c r="K839" i="2" a="1"/>
  <c r="K839" i="2" s="1"/>
  <c r="J839" i="2"/>
  <c r="B839" i="2"/>
  <c r="N838" i="2"/>
  <c r="M838" i="2"/>
  <c r="L838" i="2" a="1"/>
  <c r="L838" i="2" s="1"/>
  <c r="K838" i="2" a="1"/>
  <c r="K838" i="2" s="1"/>
  <c r="J838" i="2"/>
  <c r="B838" i="2"/>
  <c r="U837" i="2"/>
  <c r="A836" i="2"/>
  <c r="J835" i="2"/>
  <c r="N834" i="2"/>
  <c r="M834" i="2"/>
  <c r="L834" i="2" a="1"/>
  <c r="L834" i="2" s="1"/>
  <c r="K834" i="2" a="1"/>
  <c r="K834" i="2" s="1"/>
  <c r="J834" i="2"/>
  <c r="B834" i="2"/>
  <c r="N833" i="2"/>
  <c r="M833" i="2"/>
  <c r="L833" i="2" a="1"/>
  <c r="L833" i="2" s="1"/>
  <c r="K833" i="2" a="1"/>
  <c r="K833" i="2" s="1"/>
  <c r="J833" i="2"/>
  <c r="B833" i="2"/>
  <c r="N832" i="2"/>
  <c r="M832" i="2"/>
  <c r="L832" i="2" a="1"/>
  <c r="L832" i="2" s="1"/>
  <c r="K832" i="2" a="1"/>
  <c r="K832" i="2" s="1"/>
  <c r="J832" i="2"/>
  <c r="B832" i="2"/>
  <c r="N831" i="2"/>
  <c r="M831" i="2"/>
  <c r="L831" i="2" a="1"/>
  <c r="L831" i="2" s="1"/>
  <c r="K831" i="2" a="1"/>
  <c r="K831" i="2" s="1"/>
  <c r="J831" i="2"/>
  <c r="B831" i="2"/>
  <c r="N830" i="2"/>
  <c r="M830" i="2"/>
  <c r="L830" i="2" a="1"/>
  <c r="L830" i="2" s="1"/>
  <c r="K830" i="2" a="1"/>
  <c r="K830" i="2" s="1"/>
  <c r="J830" i="2"/>
  <c r="B830" i="2"/>
  <c r="N829" i="2"/>
  <c r="M829" i="2"/>
  <c r="L829" i="2" a="1"/>
  <c r="L829" i="2" s="1"/>
  <c r="K829" i="2" a="1"/>
  <c r="K829" i="2" s="1"/>
  <c r="J829" i="2"/>
  <c r="B829" i="2"/>
  <c r="N828" i="2"/>
  <c r="M828" i="2"/>
  <c r="L828" i="2" a="1"/>
  <c r="L828" i="2" s="1"/>
  <c r="K828" i="2" a="1"/>
  <c r="K828" i="2" s="1"/>
  <c r="J828" i="2"/>
  <c r="B828" i="2"/>
  <c r="N827" i="2"/>
  <c r="M827" i="2"/>
  <c r="L827" i="2" a="1"/>
  <c r="L827" i="2" s="1"/>
  <c r="K827" i="2" a="1"/>
  <c r="K827" i="2" s="1"/>
  <c r="J827" i="2"/>
  <c r="B827" i="2"/>
  <c r="N826" i="2"/>
  <c r="M826" i="2"/>
  <c r="L826" i="2" a="1"/>
  <c r="L826" i="2" s="1"/>
  <c r="K826" i="2" a="1"/>
  <c r="K826" i="2" s="1"/>
  <c r="J826" i="2"/>
  <c r="B826" i="2"/>
  <c r="N825" i="2"/>
  <c r="M825" i="2"/>
  <c r="L825" i="2" a="1"/>
  <c r="L825" i="2" s="1"/>
  <c r="K825" i="2" a="1"/>
  <c r="K825" i="2" s="1"/>
  <c r="J825" i="2"/>
  <c r="B825" i="2"/>
  <c r="N824" i="2"/>
  <c r="M824" i="2"/>
  <c r="L824" i="2" a="1"/>
  <c r="L824" i="2" s="1"/>
  <c r="K824" i="2" a="1"/>
  <c r="K824" i="2" s="1"/>
  <c r="J824" i="2"/>
  <c r="B824" i="2"/>
  <c r="N823" i="2"/>
  <c r="M823" i="2"/>
  <c r="L823" i="2" a="1"/>
  <c r="L823" i="2" s="1"/>
  <c r="K823" i="2" a="1"/>
  <c r="K823" i="2" s="1"/>
  <c r="J823" i="2"/>
  <c r="B823" i="2"/>
  <c r="N822" i="2"/>
  <c r="M822" i="2"/>
  <c r="L822" i="2" a="1"/>
  <c r="L822" i="2" s="1"/>
  <c r="K822" i="2" a="1"/>
  <c r="K822" i="2" s="1"/>
  <c r="J822" i="2"/>
  <c r="B822" i="2"/>
  <c r="N821" i="2"/>
  <c r="M821" i="2"/>
  <c r="L821" i="2" a="1"/>
  <c r="L821" i="2" s="1"/>
  <c r="K821" i="2" a="1"/>
  <c r="K821" i="2" s="1"/>
  <c r="J821" i="2"/>
  <c r="B821" i="2"/>
  <c r="N820" i="2"/>
  <c r="M820" i="2"/>
  <c r="L820" i="2" a="1"/>
  <c r="L820" i="2" s="1"/>
  <c r="K820" i="2" a="1"/>
  <c r="K820" i="2" s="1"/>
  <c r="J820" i="2"/>
  <c r="B820" i="2"/>
  <c r="N819" i="2"/>
  <c r="M819" i="2"/>
  <c r="L819" i="2" a="1"/>
  <c r="L819" i="2" s="1"/>
  <c r="K819" i="2" a="1"/>
  <c r="K819" i="2" s="1"/>
  <c r="J819" i="2"/>
  <c r="B819" i="2"/>
  <c r="N818" i="2"/>
  <c r="M818" i="2"/>
  <c r="L818" i="2" a="1"/>
  <c r="L818" i="2" s="1"/>
  <c r="K818" i="2" a="1"/>
  <c r="K818" i="2" s="1"/>
  <c r="J818" i="2"/>
  <c r="B818" i="2"/>
  <c r="N817" i="2"/>
  <c r="M817" i="2"/>
  <c r="L817" i="2" a="1"/>
  <c r="L817" i="2" s="1"/>
  <c r="K817" i="2" a="1"/>
  <c r="K817" i="2" s="1"/>
  <c r="J817" i="2"/>
  <c r="B817" i="2"/>
  <c r="N816" i="2"/>
  <c r="M816" i="2"/>
  <c r="L816" i="2" a="1"/>
  <c r="L816" i="2" s="1"/>
  <c r="K816" i="2" a="1"/>
  <c r="K816" i="2" s="1"/>
  <c r="J816" i="2"/>
  <c r="B816" i="2"/>
  <c r="N815" i="2"/>
  <c r="M815" i="2"/>
  <c r="L815" i="2" a="1"/>
  <c r="L815" i="2" s="1"/>
  <c r="K815" i="2" a="1"/>
  <c r="K815" i="2" s="1"/>
  <c r="J815" i="2"/>
  <c r="B815" i="2"/>
  <c r="N814" i="2"/>
  <c r="M814" i="2"/>
  <c r="L814" i="2" a="1"/>
  <c r="L814" i="2" s="1"/>
  <c r="K814" i="2" a="1"/>
  <c r="K814" i="2" s="1"/>
  <c r="J814" i="2"/>
  <c r="B814" i="2"/>
  <c r="N813" i="2"/>
  <c r="M813" i="2"/>
  <c r="L813" i="2" a="1"/>
  <c r="L813" i="2" s="1"/>
  <c r="K813" i="2" a="1"/>
  <c r="K813" i="2" s="1"/>
  <c r="J813" i="2"/>
  <c r="B813" i="2"/>
  <c r="N812" i="2"/>
  <c r="M812" i="2"/>
  <c r="L812" i="2" a="1"/>
  <c r="L812" i="2" s="1"/>
  <c r="K812" i="2" a="1"/>
  <c r="K812" i="2" s="1"/>
  <c r="J812" i="2"/>
  <c r="B812" i="2"/>
  <c r="N811" i="2"/>
  <c r="M811" i="2"/>
  <c r="L811" i="2" a="1"/>
  <c r="L811" i="2" s="1"/>
  <c r="K811" i="2" a="1"/>
  <c r="K811" i="2" s="1"/>
  <c r="J811" i="2"/>
  <c r="B811" i="2"/>
  <c r="N810" i="2"/>
  <c r="M810" i="2"/>
  <c r="L810" i="2" a="1"/>
  <c r="L810" i="2" s="1"/>
  <c r="K810" i="2" a="1"/>
  <c r="K810" i="2" s="1"/>
  <c r="J810" i="2"/>
  <c r="B810" i="2"/>
  <c r="N809" i="2"/>
  <c r="M809" i="2"/>
  <c r="L809" i="2" a="1"/>
  <c r="L809" i="2" s="1"/>
  <c r="K809" i="2" a="1"/>
  <c r="K809" i="2" s="1"/>
  <c r="J809" i="2"/>
  <c r="B809" i="2"/>
  <c r="N808" i="2"/>
  <c r="M808" i="2"/>
  <c r="L808" i="2" a="1"/>
  <c r="L808" i="2" s="1"/>
  <c r="K808" i="2" a="1"/>
  <c r="K808" i="2" s="1"/>
  <c r="J808" i="2"/>
  <c r="B808" i="2"/>
  <c r="N807" i="2"/>
  <c r="M807" i="2"/>
  <c r="L807" i="2" a="1"/>
  <c r="L807" i="2" s="1"/>
  <c r="K807" i="2" a="1"/>
  <c r="K807" i="2" s="1"/>
  <c r="J807" i="2"/>
  <c r="B807" i="2"/>
  <c r="N806" i="2"/>
  <c r="M806" i="2"/>
  <c r="L806" i="2" a="1"/>
  <c r="L806" i="2" s="1"/>
  <c r="K806" i="2" a="1"/>
  <c r="K806" i="2" s="1"/>
  <c r="J806" i="2"/>
  <c r="B806" i="2"/>
  <c r="N805" i="2"/>
  <c r="M805" i="2"/>
  <c r="L805" i="2" a="1"/>
  <c r="L805" i="2" s="1"/>
  <c r="K805" i="2" a="1"/>
  <c r="K805" i="2" s="1"/>
  <c r="J805" i="2"/>
  <c r="B805" i="2"/>
  <c r="N804" i="2"/>
  <c r="M804" i="2"/>
  <c r="L804" i="2" a="1"/>
  <c r="L804" i="2" s="1"/>
  <c r="K804" i="2" a="1"/>
  <c r="K804" i="2" s="1"/>
  <c r="J804" i="2"/>
  <c r="B804" i="2"/>
  <c r="N803" i="2"/>
  <c r="M803" i="2"/>
  <c r="L803" i="2" a="1"/>
  <c r="L803" i="2" s="1"/>
  <c r="K803" i="2" a="1"/>
  <c r="K803" i="2" s="1"/>
  <c r="J803" i="2"/>
  <c r="B803" i="2"/>
  <c r="N802" i="2"/>
  <c r="M802" i="2"/>
  <c r="L802" i="2" a="1"/>
  <c r="L802" i="2" s="1"/>
  <c r="K802" i="2" a="1"/>
  <c r="K802" i="2" s="1"/>
  <c r="J802" i="2"/>
  <c r="B802" i="2"/>
  <c r="N801" i="2"/>
  <c r="M801" i="2"/>
  <c r="L801" i="2" a="1"/>
  <c r="L801" i="2" s="1"/>
  <c r="K801" i="2" a="1"/>
  <c r="K801" i="2" s="1"/>
  <c r="J801" i="2"/>
  <c r="B801" i="2"/>
  <c r="N800" i="2"/>
  <c r="M800" i="2"/>
  <c r="L800" i="2" a="1"/>
  <c r="L800" i="2" s="1"/>
  <c r="K800" i="2" a="1"/>
  <c r="K800" i="2" s="1"/>
  <c r="J800" i="2"/>
  <c r="B800" i="2"/>
  <c r="N799" i="2"/>
  <c r="M799" i="2"/>
  <c r="L799" i="2" a="1"/>
  <c r="L799" i="2" s="1"/>
  <c r="K799" i="2" a="1"/>
  <c r="K799" i="2" s="1"/>
  <c r="J799" i="2"/>
  <c r="B799" i="2"/>
  <c r="N798" i="2"/>
  <c r="M798" i="2"/>
  <c r="L798" i="2" a="1"/>
  <c r="L798" i="2" s="1"/>
  <c r="K798" i="2" a="1"/>
  <c r="K798" i="2" s="1"/>
  <c r="J798" i="2"/>
  <c r="B798" i="2"/>
  <c r="N797" i="2"/>
  <c r="M797" i="2"/>
  <c r="L797" i="2" a="1"/>
  <c r="L797" i="2" s="1"/>
  <c r="K797" i="2" a="1"/>
  <c r="K797" i="2" s="1"/>
  <c r="J797" i="2"/>
  <c r="B797" i="2"/>
  <c r="N796" i="2"/>
  <c r="M796" i="2"/>
  <c r="L796" i="2" a="1"/>
  <c r="L796" i="2" s="1"/>
  <c r="K796" i="2" a="1"/>
  <c r="K796" i="2" s="1"/>
  <c r="J796" i="2"/>
  <c r="B796" i="2"/>
  <c r="N795" i="2"/>
  <c r="M795" i="2"/>
  <c r="L795" i="2" a="1"/>
  <c r="L795" i="2" s="1"/>
  <c r="K795" i="2" a="1"/>
  <c r="K795" i="2" s="1"/>
  <c r="J795" i="2"/>
  <c r="B795" i="2"/>
  <c r="N794" i="2"/>
  <c r="M794" i="2"/>
  <c r="L794" i="2" a="1"/>
  <c r="L794" i="2" s="1"/>
  <c r="K794" i="2" a="1"/>
  <c r="K794" i="2" s="1"/>
  <c r="J794" i="2"/>
  <c r="B794" i="2"/>
  <c r="N793" i="2"/>
  <c r="M793" i="2"/>
  <c r="L793" i="2" a="1"/>
  <c r="L793" i="2" s="1"/>
  <c r="K793" i="2" a="1"/>
  <c r="K793" i="2" s="1"/>
  <c r="J793" i="2"/>
  <c r="B793" i="2"/>
  <c r="N792" i="2"/>
  <c r="M792" i="2"/>
  <c r="L792" i="2" a="1"/>
  <c r="L792" i="2" s="1"/>
  <c r="K792" i="2" a="1"/>
  <c r="K792" i="2" s="1"/>
  <c r="J792" i="2"/>
  <c r="B792" i="2"/>
  <c r="N791" i="2"/>
  <c r="M791" i="2"/>
  <c r="L791" i="2" a="1"/>
  <c r="L791" i="2" s="1"/>
  <c r="K791" i="2" a="1"/>
  <c r="K791" i="2" s="1"/>
  <c r="J791" i="2"/>
  <c r="B791" i="2"/>
  <c r="N790" i="2"/>
  <c r="M790" i="2"/>
  <c r="L790" i="2" a="1"/>
  <c r="L790" i="2" s="1"/>
  <c r="K790" i="2" a="1"/>
  <c r="K790" i="2" s="1"/>
  <c r="J790" i="2"/>
  <c r="B790" i="2"/>
  <c r="N789" i="2"/>
  <c r="M789" i="2"/>
  <c r="L789" i="2" a="1"/>
  <c r="L789" i="2" s="1"/>
  <c r="K789" i="2" a="1"/>
  <c r="K789" i="2" s="1"/>
  <c r="J789" i="2"/>
  <c r="B789" i="2"/>
  <c r="N788" i="2"/>
  <c r="M788" i="2"/>
  <c r="L788" i="2" a="1"/>
  <c r="L788" i="2" s="1"/>
  <c r="K788" i="2" a="1"/>
  <c r="K788" i="2" s="1"/>
  <c r="J788" i="2"/>
  <c r="B788" i="2"/>
  <c r="N787" i="2"/>
  <c r="M787" i="2"/>
  <c r="L787" i="2" a="1"/>
  <c r="L787" i="2" s="1"/>
  <c r="K787" i="2" a="1"/>
  <c r="K787" i="2" s="1"/>
  <c r="J787" i="2"/>
  <c r="B787" i="2"/>
  <c r="N786" i="2"/>
  <c r="M786" i="2"/>
  <c r="L786" i="2" a="1"/>
  <c r="L786" i="2" s="1"/>
  <c r="K786" i="2" a="1"/>
  <c r="K786" i="2" s="1"/>
  <c r="J786" i="2"/>
  <c r="B786" i="2"/>
  <c r="N785" i="2"/>
  <c r="M785" i="2"/>
  <c r="L785" i="2" a="1"/>
  <c r="L785" i="2" s="1"/>
  <c r="K785" i="2" a="1"/>
  <c r="K785" i="2" s="1"/>
  <c r="J785" i="2"/>
  <c r="B785" i="2"/>
  <c r="N784" i="2"/>
  <c r="M784" i="2"/>
  <c r="L784" i="2" a="1"/>
  <c r="L784" i="2" s="1"/>
  <c r="K784" i="2" a="1"/>
  <c r="K784" i="2" s="1"/>
  <c r="J784" i="2"/>
  <c r="B784" i="2"/>
  <c r="N783" i="2"/>
  <c r="M783" i="2"/>
  <c r="L783" i="2" a="1"/>
  <c r="L783" i="2" s="1"/>
  <c r="K783" i="2" a="1"/>
  <c r="K783" i="2" s="1"/>
  <c r="J783" i="2"/>
  <c r="B783" i="2"/>
  <c r="N782" i="2"/>
  <c r="M782" i="2"/>
  <c r="L782" i="2" a="1"/>
  <c r="L782" i="2" s="1"/>
  <c r="K782" i="2" a="1"/>
  <c r="K782" i="2" s="1"/>
  <c r="J782" i="2"/>
  <c r="B782" i="2"/>
  <c r="N781" i="2"/>
  <c r="M781" i="2"/>
  <c r="L781" i="2" a="1"/>
  <c r="L781" i="2" s="1"/>
  <c r="K781" i="2" a="1"/>
  <c r="K781" i="2" s="1"/>
  <c r="J781" i="2"/>
  <c r="B781" i="2"/>
  <c r="N780" i="2"/>
  <c r="M780" i="2"/>
  <c r="L780" i="2" a="1"/>
  <c r="L780" i="2" s="1"/>
  <c r="K780" i="2" a="1"/>
  <c r="K780" i="2" s="1"/>
  <c r="J780" i="2"/>
  <c r="B780" i="2"/>
  <c r="N779" i="2"/>
  <c r="M779" i="2"/>
  <c r="L779" i="2" a="1"/>
  <c r="L779" i="2" s="1"/>
  <c r="K779" i="2" a="1"/>
  <c r="K779" i="2" s="1"/>
  <c r="J779" i="2"/>
  <c r="B779" i="2"/>
  <c r="N778" i="2"/>
  <c r="M778" i="2"/>
  <c r="L778" i="2" a="1"/>
  <c r="L778" i="2" s="1"/>
  <c r="K778" i="2" a="1"/>
  <c r="K778" i="2" s="1"/>
  <c r="J778" i="2"/>
  <c r="B778" i="2"/>
  <c r="N777" i="2"/>
  <c r="M777" i="2"/>
  <c r="L777" i="2" a="1"/>
  <c r="L777" i="2" s="1"/>
  <c r="K777" i="2" a="1"/>
  <c r="K777" i="2" s="1"/>
  <c r="J777" i="2"/>
  <c r="B777" i="2"/>
  <c r="N776" i="2"/>
  <c r="M776" i="2"/>
  <c r="L776" i="2" a="1"/>
  <c r="L776" i="2" s="1"/>
  <c r="K776" i="2" a="1"/>
  <c r="K776" i="2" s="1"/>
  <c r="J776" i="2"/>
  <c r="B776" i="2"/>
  <c r="N775" i="2"/>
  <c r="M775" i="2"/>
  <c r="L775" i="2" a="1"/>
  <c r="L775" i="2" s="1"/>
  <c r="K775" i="2" a="1"/>
  <c r="K775" i="2" s="1"/>
  <c r="J775" i="2"/>
  <c r="B775" i="2"/>
  <c r="N774" i="2"/>
  <c r="M774" i="2"/>
  <c r="L774" i="2" a="1"/>
  <c r="L774" i="2" s="1"/>
  <c r="K774" i="2" a="1"/>
  <c r="K774" i="2" s="1"/>
  <c r="J774" i="2"/>
  <c r="B774" i="2"/>
  <c r="N773" i="2"/>
  <c r="M773" i="2"/>
  <c r="L773" i="2" a="1"/>
  <c r="L773" i="2" s="1"/>
  <c r="K773" i="2" a="1"/>
  <c r="K773" i="2" s="1"/>
  <c r="J773" i="2"/>
  <c r="B773" i="2"/>
  <c r="N772" i="2"/>
  <c r="M772" i="2"/>
  <c r="L772" i="2" a="1"/>
  <c r="L772" i="2" s="1"/>
  <c r="K772" i="2" a="1"/>
  <c r="K772" i="2" s="1"/>
  <c r="J772" i="2"/>
  <c r="B772" i="2"/>
  <c r="N771" i="2"/>
  <c r="M771" i="2"/>
  <c r="L771" i="2" a="1"/>
  <c r="L771" i="2" s="1"/>
  <c r="K771" i="2" a="1"/>
  <c r="K771" i="2" s="1"/>
  <c r="J771" i="2"/>
  <c r="B771" i="2"/>
  <c r="N770" i="2"/>
  <c r="M770" i="2"/>
  <c r="L770" i="2" a="1"/>
  <c r="L770" i="2" s="1"/>
  <c r="K770" i="2" a="1"/>
  <c r="K770" i="2" s="1"/>
  <c r="J770" i="2"/>
  <c r="B770" i="2"/>
  <c r="N769" i="2"/>
  <c r="M769" i="2"/>
  <c r="L769" i="2" a="1"/>
  <c r="L769" i="2" s="1"/>
  <c r="K769" i="2" a="1"/>
  <c r="K769" i="2" s="1"/>
  <c r="J769" i="2"/>
  <c r="B769" i="2"/>
  <c r="N768" i="2"/>
  <c r="M768" i="2"/>
  <c r="L768" i="2" a="1"/>
  <c r="L768" i="2" s="1"/>
  <c r="K768" i="2" a="1"/>
  <c r="K768" i="2" s="1"/>
  <c r="J768" i="2"/>
  <c r="B768" i="2"/>
  <c r="N767" i="2"/>
  <c r="M767" i="2"/>
  <c r="L767" i="2" a="1"/>
  <c r="L767" i="2" s="1"/>
  <c r="K767" i="2" a="1"/>
  <c r="K767" i="2" s="1"/>
  <c r="J767" i="2"/>
  <c r="B767" i="2"/>
  <c r="N766" i="2"/>
  <c r="M766" i="2"/>
  <c r="L766" i="2" a="1"/>
  <c r="L766" i="2" s="1"/>
  <c r="K766" i="2" a="1"/>
  <c r="K766" i="2" s="1"/>
  <c r="J766" i="2"/>
  <c r="B766" i="2"/>
  <c r="N765" i="2"/>
  <c r="M765" i="2"/>
  <c r="L765" i="2" a="1"/>
  <c r="L765" i="2" s="1"/>
  <c r="K765" i="2" a="1"/>
  <c r="K765" i="2" s="1"/>
  <c r="J765" i="2"/>
  <c r="B765" i="2"/>
  <c r="N764" i="2"/>
  <c r="M764" i="2"/>
  <c r="L764" i="2" a="1"/>
  <c r="L764" i="2" s="1"/>
  <c r="K764" i="2" a="1"/>
  <c r="K764" i="2" s="1"/>
  <c r="J764" i="2"/>
  <c r="B764" i="2"/>
  <c r="N763" i="2"/>
  <c r="M763" i="2"/>
  <c r="L763" i="2" a="1"/>
  <c r="L763" i="2" s="1"/>
  <c r="K763" i="2" a="1"/>
  <c r="K763" i="2" s="1"/>
  <c r="J763" i="2"/>
  <c r="B763" i="2"/>
  <c r="N762" i="2"/>
  <c r="M762" i="2"/>
  <c r="L762" i="2" a="1"/>
  <c r="L762" i="2" s="1"/>
  <c r="K762" i="2" a="1"/>
  <c r="K762" i="2" s="1"/>
  <c r="J762" i="2"/>
  <c r="B762" i="2"/>
  <c r="N761" i="2"/>
  <c r="M761" i="2"/>
  <c r="L761" i="2" a="1"/>
  <c r="L761" i="2" s="1"/>
  <c r="K761" i="2" a="1"/>
  <c r="K761" i="2" s="1"/>
  <c r="J761" i="2"/>
  <c r="B761" i="2"/>
  <c r="N760" i="2"/>
  <c r="M760" i="2"/>
  <c r="L760" i="2" a="1"/>
  <c r="L760" i="2" s="1"/>
  <c r="K760" i="2" a="1"/>
  <c r="K760" i="2" s="1"/>
  <c r="J760" i="2"/>
  <c r="B760" i="2"/>
  <c r="N759" i="2"/>
  <c r="M759" i="2"/>
  <c r="L759" i="2" a="1"/>
  <c r="L759" i="2" s="1"/>
  <c r="K759" i="2" a="1"/>
  <c r="K759" i="2" s="1"/>
  <c r="J759" i="2"/>
  <c r="B759" i="2"/>
  <c r="N758" i="2"/>
  <c r="M758" i="2"/>
  <c r="L758" i="2" a="1"/>
  <c r="L758" i="2" s="1"/>
  <c r="K758" i="2" a="1"/>
  <c r="K758" i="2" s="1"/>
  <c r="J758" i="2"/>
  <c r="B758" i="2"/>
  <c r="N757" i="2"/>
  <c r="M757" i="2"/>
  <c r="L757" i="2" a="1"/>
  <c r="L757" i="2" s="1"/>
  <c r="K757" i="2" a="1"/>
  <c r="K757" i="2" s="1"/>
  <c r="J757" i="2"/>
  <c r="B757" i="2"/>
  <c r="N756" i="2"/>
  <c r="M756" i="2"/>
  <c r="L756" i="2" a="1"/>
  <c r="L756" i="2" s="1"/>
  <c r="K756" i="2" a="1"/>
  <c r="K756" i="2" s="1"/>
  <c r="J756" i="2"/>
  <c r="B756" i="2"/>
  <c r="N755" i="2"/>
  <c r="M755" i="2"/>
  <c r="L755" i="2" a="1"/>
  <c r="L755" i="2" s="1"/>
  <c r="K755" i="2" a="1"/>
  <c r="K755" i="2" s="1"/>
  <c r="J755" i="2"/>
  <c r="B755" i="2"/>
  <c r="N754" i="2"/>
  <c r="M754" i="2"/>
  <c r="L754" i="2" a="1"/>
  <c r="L754" i="2" s="1"/>
  <c r="K754" i="2" a="1"/>
  <c r="K754" i="2" s="1"/>
  <c r="J754" i="2"/>
  <c r="B754" i="2"/>
  <c r="N753" i="2"/>
  <c r="M753" i="2"/>
  <c r="L753" i="2" a="1"/>
  <c r="L753" i="2" s="1"/>
  <c r="K753" i="2" a="1"/>
  <c r="K753" i="2" s="1"/>
  <c r="J753" i="2"/>
  <c r="B753" i="2"/>
  <c r="N752" i="2"/>
  <c r="M752" i="2"/>
  <c r="L752" i="2" a="1"/>
  <c r="L752" i="2" s="1"/>
  <c r="K752" i="2" a="1"/>
  <c r="K752" i="2" s="1"/>
  <c r="J752" i="2"/>
  <c r="B752" i="2"/>
  <c r="N751" i="2"/>
  <c r="M751" i="2"/>
  <c r="L751" i="2" a="1"/>
  <c r="L751" i="2" s="1"/>
  <c r="K751" i="2" a="1"/>
  <c r="K751" i="2" s="1"/>
  <c r="J751" i="2"/>
  <c r="B751" i="2"/>
  <c r="N750" i="2"/>
  <c r="M750" i="2"/>
  <c r="L750" i="2" a="1"/>
  <c r="L750" i="2" s="1"/>
  <c r="K750" i="2" a="1"/>
  <c r="K750" i="2" s="1"/>
  <c r="J750" i="2"/>
  <c r="B750" i="2"/>
  <c r="N749" i="2"/>
  <c r="M749" i="2"/>
  <c r="L749" i="2" a="1"/>
  <c r="L749" i="2" s="1"/>
  <c r="K749" i="2" a="1"/>
  <c r="K749" i="2" s="1"/>
  <c r="J749" i="2"/>
  <c r="B749" i="2"/>
  <c r="N748" i="2"/>
  <c r="M748" i="2"/>
  <c r="L748" i="2" a="1"/>
  <c r="L748" i="2" s="1"/>
  <c r="K748" i="2" a="1"/>
  <c r="K748" i="2" s="1"/>
  <c r="J748" i="2"/>
  <c r="B748" i="2"/>
  <c r="N747" i="2"/>
  <c r="M747" i="2"/>
  <c r="L747" i="2" a="1"/>
  <c r="L747" i="2" s="1"/>
  <c r="K747" i="2" a="1"/>
  <c r="K747" i="2" s="1"/>
  <c r="J747" i="2"/>
  <c r="B747" i="2"/>
  <c r="N746" i="2"/>
  <c r="M746" i="2"/>
  <c r="L746" i="2" a="1"/>
  <c r="L746" i="2" s="1"/>
  <c r="K746" i="2" a="1"/>
  <c r="K746" i="2" s="1"/>
  <c r="J746" i="2"/>
  <c r="B746" i="2"/>
  <c r="N745" i="2"/>
  <c r="M745" i="2"/>
  <c r="L745" i="2" a="1"/>
  <c r="L745" i="2" s="1"/>
  <c r="K745" i="2" a="1"/>
  <c r="K745" i="2" s="1"/>
  <c r="J745" i="2"/>
  <c r="B745" i="2"/>
  <c r="N744" i="2"/>
  <c r="M744" i="2"/>
  <c r="L744" i="2" a="1"/>
  <c r="L744" i="2" s="1"/>
  <c r="K744" i="2" a="1"/>
  <c r="K744" i="2" s="1"/>
  <c r="J744" i="2"/>
  <c r="B744" i="2"/>
  <c r="N743" i="2"/>
  <c r="M743" i="2"/>
  <c r="L743" i="2" a="1"/>
  <c r="L743" i="2" s="1"/>
  <c r="K743" i="2" a="1"/>
  <c r="K743" i="2" s="1"/>
  <c r="J743" i="2"/>
  <c r="B743" i="2"/>
  <c r="V742" i="2"/>
  <c r="N742" i="2"/>
  <c r="M742" i="2"/>
  <c r="L742" i="2" a="1"/>
  <c r="L742" i="2" s="1"/>
  <c r="K742" i="2" a="1"/>
  <c r="K742" i="2" s="1"/>
  <c r="J742" i="2"/>
  <c r="B742" i="2"/>
  <c r="N741" i="2"/>
  <c r="M741" i="2"/>
  <c r="L741" i="2" a="1"/>
  <c r="L741" i="2" s="1"/>
  <c r="K741" i="2" a="1"/>
  <c r="K741" i="2" s="1"/>
  <c r="J741" i="2"/>
  <c r="B741" i="2"/>
  <c r="N740" i="2"/>
  <c r="M740" i="2"/>
  <c r="L740" i="2" a="1"/>
  <c r="L740" i="2" s="1"/>
  <c r="K740" i="2" a="1"/>
  <c r="K740" i="2" s="1"/>
  <c r="J740" i="2"/>
  <c r="B740" i="2"/>
  <c r="N739" i="2"/>
  <c r="M739" i="2"/>
  <c r="L739" i="2" a="1"/>
  <c r="L739" i="2" s="1"/>
  <c r="K739" i="2" a="1"/>
  <c r="K739" i="2" s="1"/>
  <c r="J739" i="2"/>
  <c r="B739" i="2"/>
  <c r="N738" i="2"/>
  <c r="M738" i="2"/>
  <c r="L738" i="2" a="1"/>
  <c r="L738" i="2" s="1"/>
  <c r="K738" i="2" a="1"/>
  <c r="K738" i="2" s="1"/>
  <c r="J738" i="2"/>
  <c r="B738" i="2"/>
  <c r="N737" i="2"/>
  <c r="M737" i="2"/>
  <c r="L737" i="2" a="1"/>
  <c r="L737" i="2" s="1"/>
  <c r="K737" i="2" a="1"/>
  <c r="K737" i="2" s="1"/>
  <c r="J737" i="2"/>
  <c r="B737" i="2"/>
  <c r="N736" i="2"/>
  <c r="M736" i="2"/>
  <c r="L736" i="2" a="1"/>
  <c r="L736" i="2" s="1"/>
  <c r="K736" i="2" a="1"/>
  <c r="K736" i="2" s="1"/>
  <c r="J736" i="2"/>
  <c r="B736" i="2"/>
  <c r="N735" i="2"/>
  <c r="M735" i="2"/>
  <c r="L735" i="2" a="1"/>
  <c r="L735" i="2" s="1"/>
  <c r="K735" i="2" a="1"/>
  <c r="K735" i="2" s="1"/>
  <c r="J735" i="2"/>
  <c r="B735" i="2"/>
  <c r="U734" i="2"/>
  <c r="A733" i="2"/>
  <c r="J732" i="2"/>
  <c r="N731" i="2"/>
  <c r="M731" i="2"/>
  <c r="L731" i="2" a="1"/>
  <c r="L731" i="2" s="1"/>
  <c r="K731" i="2" a="1"/>
  <c r="K731" i="2" s="1"/>
  <c r="J731" i="2"/>
  <c r="B731" i="2"/>
  <c r="N730" i="2"/>
  <c r="M730" i="2"/>
  <c r="L730" i="2" a="1"/>
  <c r="L730" i="2" s="1"/>
  <c r="K730" i="2" a="1"/>
  <c r="K730" i="2" s="1"/>
  <c r="J730" i="2"/>
  <c r="B730" i="2"/>
  <c r="N729" i="2"/>
  <c r="M729" i="2"/>
  <c r="L729" i="2" a="1"/>
  <c r="L729" i="2" s="1"/>
  <c r="K729" i="2" a="1"/>
  <c r="K729" i="2" s="1"/>
  <c r="J729" i="2"/>
  <c r="B729" i="2"/>
  <c r="N728" i="2"/>
  <c r="M728" i="2"/>
  <c r="L728" i="2" a="1"/>
  <c r="L728" i="2" s="1"/>
  <c r="K728" i="2" a="1"/>
  <c r="K728" i="2" s="1"/>
  <c r="J728" i="2"/>
  <c r="B728" i="2"/>
  <c r="N727" i="2"/>
  <c r="M727" i="2"/>
  <c r="L727" i="2" a="1"/>
  <c r="L727" i="2" s="1"/>
  <c r="K727" i="2" a="1"/>
  <c r="K727" i="2" s="1"/>
  <c r="J727" i="2"/>
  <c r="B727" i="2"/>
  <c r="N726" i="2"/>
  <c r="M726" i="2"/>
  <c r="L726" i="2" a="1"/>
  <c r="L726" i="2" s="1"/>
  <c r="K726" i="2" a="1"/>
  <c r="K726" i="2" s="1"/>
  <c r="J726" i="2"/>
  <c r="B726" i="2"/>
  <c r="N725" i="2"/>
  <c r="M725" i="2"/>
  <c r="L725" i="2" a="1"/>
  <c r="L725" i="2" s="1"/>
  <c r="K725" i="2" a="1"/>
  <c r="K725" i="2" s="1"/>
  <c r="J725" i="2"/>
  <c r="B725" i="2"/>
  <c r="N724" i="2"/>
  <c r="M724" i="2"/>
  <c r="L724" i="2" a="1"/>
  <c r="L724" i="2" s="1"/>
  <c r="K724" i="2" a="1"/>
  <c r="K724" i="2" s="1"/>
  <c r="J724" i="2"/>
  <c r="B724" i="2"/>
  <c r="N723" i="2"/>
  <c r="M723" i="2"/>
  <c r="L723" i="2" a="1"/>
  <c r="L723" i="2" s="1"/>
  <c r="K723" i="2" a="1"/>
  <c r="K723" i="2" s="1"/>
  <c r="J723" i="2"/>
  <c r="B723" i="2"/>
  <c r="N722" i="2"/>
  <c r="M722" i="2"/>
  <c r="L722" i="2" a="1"/>
  <c r="L722" i="2" s="1"/>
  <c r="K722" i="2" a="1"/>
  <c r="K722" i="2" s="1"/>
  <c r="J722" i="2"/>
  <c r="B722" i="2"/>
  <c r="N721" i="2"/>
  <c r="M721" i="2"/>
  <c r="L721" i="2" a="1"/>
  <c r="L721" i="2" s="1"/>
  <c r="K721" i="2" a="1"/>
  <c r="K721" i="2" s="1"/>
  <c r="J721" i="2"/>
  <c r="B721" i="2"/>
  <c r="N720" i="2"/>
  <c r="M720" i="2"/>
  <c r="L720" i="2" a="1"/>
  <c r="L720" i="2" s="1"/>
  <c r="K720" i="2" a="1"/>
  <c r="K720" i="2" s="1"/>
  <c r="J720" i="2"/>
  <c r="B720" i="2"/>
  <c r="N719" i="2"/>
  <c r="M719" i="2"/>
  <c r="L719" i="2" a="1"/>
  <c r="L719" i="2" s="1"/>
  <c r="K719" i="2" a="1"/>
  <c r="K719" i="2" s="1"/>
  <c r="J719" i="2"/>
  <c r="B719" i="2"/>
  <c r="N718" i="2"/>
  <c r="M718" i="2"/>
  <c r="L718" i="2" a="1"/>
  <c r="L718" i="2" s="1"/>
  <c r="K718" i="2" a="1"/>
  <c r="K718" i="2" s="1"/>
  <c r="J718" i="2"/>
  <c r="B718" i="2"/>
  <c r="N717" i="2"/>
  <c r="M717" i="2"/>
  <c r="L717" i="2" a="1"/>
  <c r="L717" i="2" s="1"/>
  <c r="K717" i="2" a="1"/>
  <c r="K717" i="2" s="1"/>
  <c r="J717" i="2"/>
  <c r="B717" i="2"/>
  <c r="N716" i="2"/>
  <c r="M716" i="2"/>
  <c r="L716" i="2" a="1"/>
  <c r="L716" i="2" s="1"/>
  <c r="K716" i="2" a="1"/>
  <c r="K716" i="2" s="1"/>
  <c r="J716" i="2"/>
  <c r="B716" i="2"/>
  <c r="N715" i="2"/>
  <c r="M715" i="2"/>
  <c r="L715" i="2" a="1"/>
  <c r="L715" i="2" s="1"/>
  <c r="K715" i="2" a="1"/>
  <c r="K715" i="2" s="1"/>
  <c r="J715" i="2"/>
  <c r="B715" i="2"/>
  <c r="N714" i="2"/>
  <c r="M714" i="2"/>
  <c r="L714" i="2" a="1"/>
  <c r="L714" i="2" s="1"/>
  <c r="K714" i="2" a="1"/>
  <c r="K714" i="2" s="1"/>
  <c r="J714" i="2"/>
  <c r="B714" i="2"/>
  <c r="N713" i="2"/>
  <c r="M713" i="2"/>
  <c r="L713" i="2" a="1"/>
  <c r="L713" i="2" s="1"/>
  <c r="K713" i="2" a="1"/>
  <c r="K713" i="2" s="1"/>
  <c r="J713" i="2"/>
  <c r="B713" i="2"/>
  <c r="N712" i="2"/>
  <c r="M712" i="2"/>
  <c r="L712" i="2" a="1"/>
  <c r="L712" i="2" s="1"/>
  <c r="K712" i="2" a="1"/>
  <c r="K712" i="2" s="1"/>
  <c r="J712" i="2"/>
  <c r="B712" i="2"/>
  <c r="N711" i="2"/>
  <c r="M711" i="2"/>
  <c r="L711" i="2" a="1"/>
  <c r="L711" i="2" s="1"/>
  <c r="K711" i="2" a="1"/>
  <c r="K711" i="2" s="1"/>
  <c r="J711" i="2"/>
  <c r="B711" i="2"/>
  <c r="N710" i="2"/>
  <c r="M710" i="2"/>
  <c r="L710" i="2" a="1"/>
  <c r="L710" i="2" s="1"/>
  <c r="K710" i="2" a="1"/>
  <c r="K710" i="2" s="1"/>
  <c r="J710" i="2"/>
  <c r="B710" i="2"/>
  <c r="N709" i="2"/>
  <c r="M709" i="2"/>
  <c r="L709" i="2" a="1"/>
  <c r="L709" i="2" s="1"/>
  <c r="K709" i="2" a="1"/>
  <c r="K709" i="2" s="1"/>
  <c r="J709" i="2"/>
  <c r="B709" i="2"/>
  <c r="N708" i="2"/>
  <c r="M708" i="2"/>
  <c r="L708" i="2" a="1"/>
  <c r="L708" i="2" s="1"/>
  <c r="K708" i="2" a="1"/>
  <c r="K708" i="2" s="1"/>
  <c r="J708" i="2"/>
  <c r="B708" i="2"/>
  <c r="N707" i="2"/>
  <c r="M707" i="2"/>
  <c r="L707" i="2" a="1"/>
  <c r="L707" i="2" s="1"/>
  <c r="K707" i="2" a="1"/>
  <c r="K707" i="2" s="1"/>
  <c r="J707" i="2"/>
  <c r="B707" i="2"/>
  <c r="N706" i="2"/>
  <c r="M706" i="2"/>
  <c r="L706" i="2" a="1"/>
  <c r="L706" i="2" s="1"/>
  <c r="K706" i="2" a="1"/>
  <c r="K706" i="2" s="1"/>
  <c r="J706" i="2"/>
  <c r="B706" i="2"/>
  <c r="N705" i="2"/>
  <c r="M705" i="2"/>
  <c r="L705" i="2" a="1"/>
  <c r="L705" i="2" s="1"/>
  <c r="K705" i="2" a="1"/>
  <c r="K705" i="2" s="1"/>
  <c r="J705" i="2"/>
  <c r="B705" i="2"/>
  <c r="N704" i="2"/>
  <c r="M704" i="2"/>
  <c r="L704" i="2" a="1"/>
  <c r="L704" i="2" s="1"/>
  <c r="K704" i="2" a="1"/>
  <c r="K704" i="2" s="1"/>
  <c r="J704" i="2"/>
  <c r="B704" i="2"/>
  <c r="N703" i="2"/>
  <c r="M703" i="2"/>
  <c r="L703" i="2" a="1"/>
  <c r="L703" i="2" s="1"/>
  <c r="K703" i="2" a="1"/>
  <c r="K703" i="2" s="1"/>
  <c r="J703" i="2"/>
  <c r="B703" i="2"/>
  <c r="N702" i="2"/>
  <c r="M702" i="2"/>
  <c r="L702" i="2" a="1"/>
  <c r="L702" i="2" s="1"/>
  <c r="K702" i="2" a="1"/>
  <c r="K702" i="2" s="1"/>
  <c r="J702" i="2"/>
  <c r="B702" i="2"/>
  <c r="N701" i="2"/>
  <c r="M701" i="2"/>
  <c r="L701" i="2" a="1"/>
  <c r="L701" i="2" s="1"/>
  <c r="K701" i="2" a="1"/>
  <c r="K701" i="2" s="1"/>
  <c r="J701" i="2"/>
  <c r="B701" i="2"/>
  <c r="N700" i="2"/>
  <c r="M700" i="2"/>
  <c r="L700" i="2" a="1"/>
  <c r="L700" i="2" s="1"/>
  <c r="K700" i="2" a="1"/>
  <c r="K700" i="2" s="1"/>
  <c r="J700" i="2"/>
  <c r="B700" i="2"/>
  <c r="N699" i="2"/>
  <c r="M699" i="2"/>
  <c r="L699" i="2" a="1"/>
  <c r="L699" i="2" s="1"/>
  <c r="K699" i="2" a="1"/>
  <c r="K699" i="2" s="1"/>
  <c r="J699" i="2"/>
  <c r="B699" i="2"/>
  <c r="N698" i="2"/>
  <c r="M698" i="2"/>
  <c r="L698" i="2" a="1"/>
  <c r="L698" i="2" s="1"/>
  <c r="K698" i="2" a="1"/>
  <c r="K698" i="2" s="1"/>
  <c r="J698" i="2"/>
  <c r="B698" i="2"/>
  <c r="N697" i="2"/>
  <c r="M697" i="2"/>
  <c r="L697" i="2" a="1"/>
  <c r="L697" i="2" s="1"/>
  <c r="K697" i="2" a="1"/>
  <c r="K697" i="2" s="1"/>
  <c r="J697" i="2"/>
  <c r="B697" i="2"/>
  <c r="N696" i="2"/>
  <c r="M696" i="2"/>
  <c r="L696" i="2" a="1"/>
  <c r="L696" i="2" s="1"/>
  <c r="K696" i="2" a="1"/>
  <c r="K696" i="2" s="1"/>
  <c r="J696" i="2"/>
  <c r="B696" i="2"/>
  <c r="N695" i="2"/>
  <c r="M695" i="2"/>
  <c r="L695" i="2" a="1"/>
  <c r="L695" i="2" s="1"/>
  <c r="K695" i="2" a="1"/>
  <c r="K695" i="2" s="1"/>
  <c r="J695" i="2"/>
  <c r="B695" i="2"/>
  <c r="N694" i="2"/>
  <c r="M694" i="2"/>
  <c r="L694" i="2" a="1"/>
  <c r="L694" i="2" s="1"/>
  <c r="K694" i="2" a="1"/>
  <c r="K694" i="2" s="1"/>
  <c r="J694" i="2"/>
  <c r="B694" i="2"/>
  <c r="N693" i="2"/>
  <c r="M693" i="2"/>
  <c r="L693" i="2" a="1"/>
  <c r="L693" i="2" s="1"/>
  <c r="K693" i="2" a="1"/>
  <c r="K693" i="2" s="1"/>
  <c r="J693" i="2"/>
  <c r="B693" i="2"/>
  <c r="N692" i="2"/>
  <c r="M692" i="2"/>
  <c r="L692" i="2" a="1"/>
  <c r="L692" i="2" s="1"/>
  <c r="K692" i="2" a="1"/>
  <c r="K692" i="2" s="1"/>
  <c r="J692" i="2"/>
  <c r="B692" i="2"/>
  <c r="N691" i="2"/>
  <c r="M691" i="2"/>
  <c r="L691" i="2" a="1"/>
  <c r="L691" i="2" s="1"/>
  <c r="K691" i="2" a="1"/>
  <c r="K691" i="2" s="1"/>
  <c r="J691" i="2"/>
  <c r="B691" i="2"/>
  <c r="N690" i="2"/>
  <c r="M690" i="2"/>
  <c r="L690" i="2" a="1"/>
  <c r="L690" i="2" s="1"/>
  <c r="K690" i="2" a="1"/>
  <c r="K690" i="2" s="1"/>
  <c r="J690" i="2"/>
  <c r="B690" i="2"/>
  <c r="N689" i="2"/>
  <c r="M689" i="2"/>
  <c r="L689" i="2" a="1"/>
  <c r="L689" i="2" s="1"/>
  <c r="K689" i="2" a="1"/>
  <c r="K689" i="2" s="1"/>
  <c r="J689" i="2"/>
  <c r="B689" i="2"/>
  <c r="N688" i="2"/>
  <c r="M688" i="2"/>
  <c r="L688" i="2" a="1"/>
  <c r="L688" i="2" s="1"/>
  <c r="K688" i="2" a="1"/>
  <c r="K688" i="2" s="1"/>
  <c r="J688" i="2"/>
  <c r="B688" i="2"/>
  <c r="N687" i="2"/>
  <c r="M687" i="2"/>
  <c r="L687" i="2" a="1"/>
  <c r="L687" i="2" s="1"/>
  <c r="K687" i="2" a="1"/>
  <c r="K687" i="2" s="1"/>
  <c r="J687" i="2"/>
  <c r="B687" i="2"/>
  <c r="N686" i="2"/>
  <c r="M686" i="2"/>
  <c r="L686" i="2" a="1"/>
  <c r="L686" i="2" s="1"/>
  <c r="K686" i="2" a="1"/>
  <c r="K686" i="2" s="1"/>
  <c r="J686" i="2"/>
  <c r="B686" i="2"/>
  <c r="N685" i="2"/>
  <c r="M685" i="2"/>
  <c r="L685" i="2" a="1"/>
  <c r="L685" i="2" s="1"/>
  <c r="K685" i="2" a="1"/>
  <c r="K685" i="2" s="1"/>
  <c r="J685" i="2"/>
  <c r="B685" i="2"/>
  <c r="N684" i="2"/>
  <c r="M684" i="2"/>
  <c r="L684" i="2" a="1"/>
  <c r="L684" i="2" s="1"/>
  <c r="K684" i="2" a="1"/>
  <c r="K684" i="2" s="1"/>
  <c r="J684" i="2"/>
  <c r="B684" i="2"/>
  <c r="N683" i="2"/>
  <c r="M683" i="2"/>
  <c r="L683" i="2" a="1"/>
  <c r="L683" i="2" s="1"/>
  <c r="K683" i="2" a="1"/>
  <c r="K683" i="2" s="1"/>
  <c r="J683" i="2"/>
  <c r="B683" i="2"/>
  <c r="N682" i="2"/>
  <c r="M682" i="2"/>
  <c r="L682" i="2" a="1"/>
  <c r="L682" i="2" s="1"/>
  <c r="K682" i="2" a="1"/>
  <c r="K682" i="2" s="1"/>
  <c r="J682" i="2"/>
  <c r="B682" i="2"/>
  <c r="N681" i="2"/>
  <c r="M681" i="2"/>
  <c r="L681" i="2" a="1"/>
  <c r="L681" i="2" s="1"/>
  <c r="K681" i="2" a="1"/>
  <c r="K681" i="2" s="1"/>
  <c r="J681" i="2"/>
  <c r="B681" i="2"/>
  <c r="N680" i="2"/>
  <c r="M680" i="2"/>
  <c r="L680" i="2" a="1"/>
  <c r="L680" i="2" s="1"/>
  <c r="K680" i="2" a="1"/>
  <c r="K680" i="2" s="1"/>
  <c r="J680" i="2"/>
  <c r="B680" i="2"/>
  <c r="N679" i="2"/>
  <c r="M679" i="2"/>
  <c r="L679" i="2" a="1"/>
  <c r="L679" i="2" s="1"/>
  <c r="K679" i="2" a="1"/>
  <c r="K679" i="2" s="1"/>
  <c r="J679" i="2"/>
  <c r="B679" i="2"/>
  <c r="N678" i="2"/>
  <c r="M678" i="2"/>
  <c r="L678" i="2" a="1"/>
  <c r="L678" i="2" s="1"/>
  <c r="K678" i="2" a="1"/>
  <c r="K678" i="2" s="1"/>
  <c r="J678" i="2"/>
  <c r="B678" i="2"/>
  <c r="N677" i="2"/>
  <c r="M677" i="2"/>
  <c r="L677" i="2" a="1"/>
  <c r="L677" i="2" s="1"/>
  <c r="K677" i="2" a="1"/>
  <c r="K677" i="2" s="1"/>
  <c r="J677" i="2"/>
  <c r="B677" i="2"/>
  <c r="N676" i="2"/>
  <c r="M676" i="2"/>
  <c r="L676" i="2" a="1"/>
  <c r="L676" i="2" s="1"/>
  <c r="K676" i="2" a="1"/>
  <c r="K676" i="2" s="1"/>
  <c r="J676" i="2"/>
  <c r="B676" i="2"/>
  <c r="N675" i="2"/>
  <c r="M675" i="2"/>
  <c r="L675" i="2" a="1"/>
  <c r="L675" i="2" s="1"/>
  <c r="K675" i="2" a="1"/>
  <c r="K675" i="2" s="1"/>
  <c r="J675" i="2"/>
  <c r="B675" i="2"/>
  <c r="N674" i="2"/>
  <c r="M674" i="2"/>
  <c r="L674" i="2" a="1"/>
  <c r="L674" i="2" s="1"/>
  <c r="K674" i="2" a="1"/>
  <c r="K674" i="2" s="1"/>
  <c r="J674" i="2"/>
  <c r="B674" i="2"/>
  <c r="N673" i="2"/>
  <c r="M673" i="2"/>
  <c r="L673" i="2" a="1"/>
  <c r="L673" i="2" s="1"/>
  <c r="K673" i="2" a="1"/>
  <c r="K673" i="2" s="1"/>
  <c r="J673" i="2"/>
  <c r="B673" i="2"/>
  <c r="N672" i="2"/>
  <c r="M672" i="2"/>
  <c r="L672" i="2" a="1"/>
  <c r="L672" i="2" s="1"/>
  <c r="K672" i="2" a="1"/>
  <c r="K672" i="2" s="1"/>
  <c r="J672" i="2"/>
  <c r="B672" i="2"/>
  <c r="N671" i="2"/>
  <c r="M671" i="2"/>
  <c r="L671" i="2" a="1"/>
  <c r="L671" i="2" s="1"/>
  <c r="K671" i="2" a="1"/>
  <c r="K671" i="2" s="1"/>
  <c r="J671" i="2"/>
  <c r="B671" i="2"/>
  <c r="N670" i="2"/>
  <c r="M670" i="2"/>
  <c r="L670" i="2" a="1"/>
  <c r="L670" i="2" s="1"/>
  <c r="K670" i="2" a="1"/>
  <c r="K670" i="2" s="1"/>
  <c r="J670" i="2"/>
  <c r="B670" i="2"/>
  <c r="N669" i="2"/>
  <c r="M669" i="2"/>
  <c r="L669" i="2" a="1"/>
  <c r="L669" i="2" s="1"/>
  <c r="K669" i="2" a="1"/>
  <c r="K669" i="2" s="1"/>
  <c r="J669" i="2"/>
  <c r="B669" i="2"/>
  <c r="N668" i="2"/>
  <c r="M668" i="2"/>
  <c r="L668" i="2" a="1"/>
  <c r="L668" i="2" s="1"/>
  <c r="K668" i="2" a="1"/>
  <c r="K668" i="2" s="1"/>
  <c r="J668" i="2"/>
  <c r="B668" i="2"/>
  <c r="N667" i="2"/>
  <c r="M667" i="2"/>
  <c r="L667" i="2" a="1"/>
  <c r="L667" i="2" s="1"/>
  <c r="K667" i="2" a="1"/>
  <c r="K667" i="2" s="1"/>
  <c r="J667" i="2"/>
  <c r="B667" i="2"/>
  <c r="N666" i="2"/>
  <c r="M666" i="2"/>
  <c r="L666" i="2" a="1"/>
  <c r="L666" i="2" s="1"/>
  <c r="K666" i="2" a="1"/>
  <c r="K666" i="2" s="1"/>
  <c r="J666" i="2"/>
  <c r="B666" i="2"/>
  <c r="N665" i="2"/>
  <c r="M665" i="2"/>
  <c r="L665" i="2" a="1"/>
  <c r="L665" i="2" s="1"/>
  <c r="K665" i="2" a="1"/>
  <c r="K665" i="2" s="1"/>
  <c r="J665" i="2"/>
  <c r="B665" i="2"/>
  <c r="N664" i="2"/>
  <c r="M664" i="2"/>
  <c r="L664" i="2" a="1"/>
  <c r="L664" i="2" s="1"/>
  <c r="K664" i="2" a="1"/>
  <c r="K664" i="2" s="1"/>
  <c r="J664" i="2"/>
  <c r="B664" i="2"/>
  <c r="N663" i="2"/>
  <c r="M663" i="2"/>
  <c r="L663" i="2" a="1"/>
  <c r="L663" i="2" s="1"/>
  <c r="K663" i="2" a="1"/>
  <c r="K663" i="2" s="1"/>
  <c r="J663" i="2"/>
  <c r="B663" i="2"/>
  <c r="N662" i="2"/>
  <c r="M662" i="2"/>
  <c r="L662" i="2" a="1"/>
  <c r="L662" i="2" s="1"/>
  <c r="K662" i="2" a="1"/>
  <c r="K662" i="2" s="1"/>
  <c r="J662" i="2"/>
  <c r="B662" i="2"/>
  <c r="N661" i="2"/>
  <c r="M661" i="2"/>
  <c r="L661" i="2" a="1"/>
  <c r="L661" i="2" s="1"/>
  <c r="K661" i="2" a="1"/>
  <c r="K661" i="2" s="1"/>
  <c r="J661" i="2"/>
  <c r="B661" i="2"/>
  <c r="N660" i="2"/>
  <c r="M660" i="2"/>
  <c r="L660" i="2" a="1"/>
  <c r="L660" i="2" s="1"/>
  <c r="K660" i="2" a="1"/>
  <c r="K660" i="2" s="1"/>
  <c r="J660" i="2"/>
  <c r="B660" i="2"/>
  <c r="N659" i="2"/>
  <c r="M659" i="2"/>
  <c r="L659" i="2" a="1"/>
  <c r="L659" i="2" s="1"/>
  <c r="K659" i="2" a="1"/>
  <c r="K659" i="2" s="1"/>
  <c r="J659" i="2"/>
  <c r="B659" i="2"/>
  <c r="N658" i="2"/>
  <c r="M658" i="2"/>
  <c r="L658" i="2" a="1"/>
  <c r="L658" i="2" s="1"/>
  <c r="K658" i="2" a="1"/>
  <c r="K658" i="2" s="1"/>
  <c r="J658" i="2"/>
  <c r="B658" i="2"/>
  <c r="N657" i="2"/>
  <c r="M657" i="2"/>
  <c r="L657" i="2" a="1"/>
  <c r="L657" i="2" s="1"/>
  <c r="K657" i="2" a="1"/>
  <c r="K657" i="2" s="1"/>
  <c r="J657" i="2"/>
  <c r="B657" i="2"/>
  <c r="N656" i="2"/>
  <c r="M656" i="2"/>
  <c r="L656" i="2" a="1"/>
  <c r="L656" i="2" s="1"/>
  <c r="K656" i="2" a="1"/>
  <c r="K656" i="2" s="1"/>
  <c r="J656" i="2"/>
  <c r="B656" i="2"/>
  <c r="N655" i="2"/>
  <c r="M655" i="2"/>
  <c r="L655" i="2" a="1"/>
  <c r="L655" i="2" s="1"/>
  <c r="K655" i="2" a="1"/>
  <c r="K655" i="2" s="1"/>
  <c r="J655" i="2"/>
  <c r="B655" i="2"/>
  <c r="N654" i="2"/>
  <c r="M654" i="2"/>
  <c r="L654" i="2" a="1"/>
  <c r="L654" i="2" s="1"/>
  <c r="K654" i="2" a="1"/>
  <c r="K654" i="2" s="1"/>
  <c r="J654" i="2"/>
  <c r="B654" i="2"/>
  <c r="N653" i="2"/>
  <c r="M653" i="2"/>
  <c r="L653" i="2" a="1"/>
  <c r="L653" i="2" s="1"/>
  <c r="K653" i="2" a="1"/>
  <c r="K653" i="2" s="1"/>
  <c r="J653" i="2"/>
  <c r="B653" i="2"/>
  <c r="N652" i="2"/>
  <c r="M652" i="2"/>
  <c r="L652" i="2" a="1"/>
  <c r="L652" i="2" s="1"/>
  <c r="K652" i="2" a="1"/>
  <c r="K652" i="2" s="1"/>
  <c r="J652" i="2"/>
  <c r="B652" i="2"/>
  <c r="N651" i="2"/>
  <c r="M651" i="2"/>
  <c r="L651" i="2" a="1"/>
  <c r="L651" i="2" s="1"/>
  <c r="K651" i="2" a="1"/>
  <c r="K651" i="2" s="1"/>
  <c r="J651" i="2"/>
  <c r="B651" i="2"/>
  <c r="N650" i="2"/>
  <c r="M650" i="2"/>
  <c r="L650" i="2" a="1"/>
  <c r="L650" i="2" s="1"/>
  <c r="K650" i="2" a="1"/>
  <c r="K650" i="2" s="1"/>
  <c r="J650" i="2"/>
  <c r="B650" i="2"/>
  <c r="N649" i="2"/>
  <c r="M649" i="2"/>
  <c r="L649" i="2" a="1"/>
  <c r="L649" i="2" s="1"/>
  <c r="K649" i="2" a="1"/>
  <c r="K649" i="2" s="1"/>
  <c r="J649" i="2"/>
  <c r="B649" i="2"/>
  <c r="N648" i="2"/>
  <c r="M648" i="2"/>
  <c r="L648" i="2" a="1"/>
  <c r="L648" i="2" s="1"/>
  <c r="K648" i="2" a="1"/>
  <c r="K648" i="2" s="1"/>
  <c r="J648" i="2"/>
  <c r="B648" i="2"/>
  <c r="N647" i="2"/>
  <c r="M647" i="2"/>
  <c r="L647" i="2" a="1"/>
  <c r="L647" i="2" s="1"/>
  <c r="K647" i="2" a="1"/>
  <c r="K647" i="2" s="1"/>
  <c r="J647" i="2"/>
  <c r="B647" i="2"/>
  <c r="N646" i="2"/>
  <c r="M646" i="2"/>
  <c r="L646" i="2" a="1"/>
  <c r="L646" i="2" s="1"/>
  <c r="K646" i="2" a="1"/>
  <c r="K646" i="2" s="1"/>
  <c r="J646" i="2"/>
  <c r="B646" i="2"/>
  <c r="N645" i="2"/>
  <c r="M645" i="2"/>
  <c r="L645" i="2" a="1"/>
  <c r="L645" i="2" s="1"/>
  <c r="K645" i="2" a="1"/>
  <c r="K645" i="2" s="1"/>
  <c r="J645" i="2"/>
  <c r="B645" i="2"/>
  <c r="N644" i="2"/>
  <c r="M644" i="2"/>
  <c r="L644" i="2" a="1"/>
  <c r="L644" i="2" s="1"/>
  <c r="K644" i="2" a="1"/>
  <c r="K644" i="2" s="1"/>
  <c r="J644" i="2"/>
  <c r="B644" i="2"/>
  <c r="N643" i="2"/>
  <c r="M643" i="2"/>
  <c r="L643" i="2" a="1"/>
  <c r="L643" i="2" s="1"/>
  <c r="K643" i="2" a="1"/>
  <c r="K643" i="2" s="1"/>
  <c r="J643" i="2"/>
  <c r="B643" i="2"/>
  <c r="N642" i="2"/>
  <c r="M642" i="2"/>
  <c r="L642" i="2" a="1"/>
  <c r="L642" i="2" s="1"/>
  <c r="K642" i="2" a="1"/>
  <c r="K642" i="2" s="1"/>
  <c r="J642" i="2"/>
  <c r="B642" i="2"/>
  <c r="N641" i="2"/>
  <c r="M641" i="2"/>
  <c r="L641" i="2" a="1"/>
  <c r="L641" i="2" s="1"/>
  <c r="K641" i="2" a="1"/>
  <c r="K641" i="2" s="1"/>
  <c r="J641" i="2"/>
  <c r="B641" i="2"/>
  <c r="N640" i="2"/>
  <c r="M640" i="2"/>
  <c r="L640" i="2" a="1"/>
  <c r="L640" i="2" s="1"/>
  <c r="K640" i="2" a="1"/>
  <c r="K640" i="2" s="1"/>
  <c r="J640" i="2"/>
  <c r="B640" i="2"/>
  <c r="V639" i="2"/>
  <c r="N639" i="2"/>
  <c r="M639" i="2"/>
  <c r="L639" i="2" a="1"/>
  <c r="L639" i="2" s="1"/>
  <c r="K639" i="2" a="1"/>
  <c r="K639" i="2" s="1"/>
  <c r="J639" i="2"/>
  <c r="B639" i="2"/>
  <c r="N638" i="2"/>
  <c r="M638" i="2"/>
  <c r="L638" i="2" a="1"/>
  <c r="L638" i="2" s="1"/>
  <c r="K638" i="2" a="1"/>
  <c r="K638" i="2" s="1"/>
  <c r="J638" i="2"/>
  <c r="B638" i="2"/>
  <c r="N637" i="2"/>
  <c r="M637" i="2"/>
  <c r="L637" i="2" a="1"/>
  <c r="L637" i="2" s="1"/>
  <c r="K637" i="2" a="1"/>
  <c r="K637" i="2" s="1"/>
  <c r="J637" i="2"/>
  <c r="B637" i="2"/>
  <c r="N636" i="2"/>
  <c r="M636" i="2"/>
  <c r="L636" i="2" a="1"/>
  <c r="L636" i="2" s="1"/>
  <c r="K636" i="2" a="1"/>
  <c r="K636" i="2" s="1"/>
  <c r="J636" i="2"/>
  <c r="B636" i="2"/>
  <c r="N635" i="2"/>
  <c r="M635" i="2"/>
  <c r="L635" i="2" a="1"/>
  <c r="L635" i="2" s="1"/>
  <c r="K635" i="2" a="1"/>
  <c r="K635" i="2" s="1"/>
  <c r="J635" i="2"/>
  <c r="B635" i="2"/>
  <c r="N634" i="2"/>
  <c r="M634" i="2"/>
  <c r="L634" i="2" a="1"/>
  <c r="L634" i="2" s="1"/>
  <c r="K634" i="2" a="1"/>
  <c r="K634" i="2" s="1"/>
  <c r="J634" i="2"/>
  <c r="B634" i="2"/>
  <c r="N633" i="2"/>
  <c r="M633" i="2"/>
  <c r="L633" i="2" a="1"/>
  <c r="L633" i="2" s="1"/>
  <c r="K633" i="2" a="1"/>
  <c r="K633" i="2" s="1"/>
  <c r="J633" i="2"/>
  <c r="B633" i="2"/>
  <c r="N632" i="2"/>
  <c r="M632" i="2"/>
  <c r="L632" i="2" a="1"/>
  <c r="L632" i="2" s="1"/>
  <c r="K632" i="2" a="1"/>
  <c r="K632" i="2" s="1"/>
  <c r="J632" i="2"/>
  <c r="B632" i="2"/>
  <c r="U631" i="2"/>
  <c r="A630" i="2"/>
  <c r="J629" i="2"/>
  <c r="N628" i="2"/>
  <c r="M628" i="2"/>
  <c r="L628" i="2" a="1"/>
  <c r="L628" i="2" s="1"/>
  <c r="K628" i="2" a="1"/>
  <c r="K628" i="2" s="1"/>
  <c r="J628" i="2"/>
  <c r="B628" i="2"/>
  <c r="N627" i="2"/>
  <c r="M627" i="2"/>
  <c r="L627" i="2" a="1"/>
  <c r="L627" i="2" s="1"/>
  <c r="K627" i="2" a="1"/>
  <c r="K627" i="2" s="1"/>
  <c r="J627" i="2"/>
  <c r="B627" i="2"/>
  <c r="N626" i="2"/>
  <c r="M626" i="2"/>
  <c r="L626" i="2" a="1"/>
  <c r="L626" i="2" s="1"/>
  <c r="K626" i="2" a="1"/>
  <c r="K626" i="2" s="1"/>
  <c r="J626" i="2"/>
  <c r="B626" i="2"/>
  <c r="N625" i="2"/>
  <c r="M625" i="2"/>
  <c r="L625" i="2" a="1"/>
  <c r="L625" i="2" s="1"/>
  <c r="K625" i="2" a="1"/>
  <c r="K625" i="2" s="1"/>
  <c r="J625" i="2"/>
  <c r="B625" i="2"/>
  <c r="N624" i="2"/>
  <c r="M624" i="2"/>
  <c r="L624" i="2" a="1"/>
  <c r="L624" i="2" s="1"/>
  <c r="K624" i="2" a="1"/>
  <c r="K624" i="2" s="1"/>
  <c r="J624" i="2"/>
  <c r="B624" i="2"/>
  <c r="N623" i="2"/>
  <c r="M623" i="2"/>
  <c r="L623" i="2" a="1"/>
  <c r="L623" i="2" s="1"/>
  <c r="K623" i="2" a="1"/>
  <c r="K623" i="2" s="1"/>
  <c r="J623" i="2"/>
  <c r="B623" i="2"/>
  <c r="N622" i="2"/>
  <c r="M622" i="2"/>
  <c r="L622" i="2" a="1"/>
  <c r="L622" i="2" s="1"/>
  <c r="K622" i="2" a="1"/>
  <c r="K622" i="2" s="1"/>
  <c r="J622" i="2"/>
  <c r="B622" i="2"/>
  <c r="N621" i="2"/>
  <c r="M621" i="2"/>
  <c r="L621" i="2" a="1"/>
  <c r="L621" i="2" s="1"/>
  <c r="K621" i="2" a="1"/>
  <c r="K621" i="2" s="1"/>
  <c r="J621" i="2"/>
  <c r="B621" i="2"/>
  <c r="N620" i="2"/>
  <c r="M620" i="2"/>
  <c r="L620" i="2" a="1"/>
  <c r="L620" i="2" s="1"/>
  <c r="K620" i="2" a="1"/>
  <c r="K620" i="2" s="1"/>
  <c r="J620" i="2"/>
  <c r="B620" i="2"/>
  <c r="N619" i="2"/>
  <c r="M619" i="2"/>
  <c r="L619" i="2" a="1"/>
  <c r="L619" i="2" s="1"/>
  <c r="K619" i="2" a="1"/>
  <c r="K619" i="2" s="1"/>
  <c r="J619" i="2"/>
  <c r="B619" i="2"/>
  <c r="N618" i="2"/>
  <c r="M618" i="2"/>
  <c r="L618" i="2" a="1"/>
  <c r="L618" i="2" s="1"/>
  <c r="K618" i="2" a="1"/>
  <c r="K618" i="2" s="1"/>
  <c r="J618" i="2"/>
  <c r="B618" i="2"/>
  <c r="N617" i="2"/>
  <c r="M617" i="2"/>
  <c r="L617" i="2" a="1"/>
  <c r="L617" i="2" s="1"/>
  <c r="K617" i="2" a="1"/>
  <c r="K617" i="2" s="1"/>
  <c r="J617" i="2"/>
  <c r="B617" i="2"/>
  <c r="N616" i="2"/>
  <c r="M616" i="2"/>
  <c r="L616" i="2" a="1"/>
  <c r="L616" i="2" s="1"/>
  <c r="K616" i="2" a="1"/>
  <c r="K616" i="2" s="1"/>
  <c r="J616" i="2"/>
  <c r="B616" i="2"/>
  <c r="N615" i="2"/>
  <c r="M615" i="2"/>
  <c r="L615" i="2" a="1"/>
  <c r="L615" i="2" s="1"/>
  <c r="K615" i="2" a="1"/>
  <c r="K615" i="2" s="1"/>
  <c r="J615" i="2"/>
  <c r="B615" i="2"/>
  <c r="N614" i="2"/>
  <c r="M614" i="2"/>
  <c r="L614" i="2" a="1"/>
  <c r="L614" i="2" s="1"/>
  <c r="K614" i="2" a="1"/>
  <c r="K614" i="2" s="1"/>
  <c r="J614" i="2"/>
  <c r="B614" i="2"/>
  <c r="N613" i="2"/>
  <c r="M613" i="2"/>
  <c r="L613" i="2" a="1"/>
  <c r="L613" i="2" s="1"/>
  <c r="K613" i="2" a="1"/>
  <c r="K613" i="2" s="1"/>
  <c r="J613" i="2"/>
  <c r="B613" i="2"/>
  <c r="N612" i="2"/>
  <c r="M612" i="2"/>
  <c r="L612" i="2" a="1"/>
  <c r="L612" i="2" s="1"/>
  <c r="K612" i="2" a="1"/>
  <c r="K612" i="2" s="1"/>
  <c r="J612" i="2"/>
  <c r="B612" i="2"/>
  <c r="N611" i="2"/>
  <c r="M611" i="2"/>
  <c r="L611" i="2" a="1"/>
  <c r="L611" i="2" s="1"/>
  <c r="K611" i="2" a="1"/>
  <c r="K611" i="2" s="1"/>
  <c r="J611" i="2"/>
  <c r="B611" i="2"/>
  <c r="N610" i="2"/>
  <c r="M610" i="2"/>
  <c r="L610" i="2" a="1"/>
  <c r="L610" i="2" s="1"/>
  <c r="K610" i="2" a="1"/>
  <c r="K610" i="2" s="1"/>
  <c r="J610" i="2"/>
  <c r="B610" i="2"/>
  <c r="N609" i="2"/>
  <c r="M609" i="2"/>
  <c r="L609" i="2" a="1"/>
  <c r="L609" i="2" s="1"/>
  <c r="K609" i="2" a="1"/>
  <c r="K609" i="2" s="1"/>
  <c r="J609" i="2"/>
  <c r="B609" i="2"/>
  <c r="N608" i="2"/>
  <c r="M608" i="2"/>
  <c r="L608" i="2" a="1"/>
  <c r="L608" i="2" s="1"/>
  <c r="K608" i="2" a="1"/>
  <c r="K608" i="2" s="1"/>
  <c r="J608" i="2"/>
  <c r="B608" i="2"/>
  <c r="N607" i="2"/>
  <c r="M607" i="2"/>
  <c r="L607" i="2" a="1"/>
  <c r="L607" i="2" s="1"/>
  <c r="K607" i="2" a="1"/>
  <c r="K607" i="2" s="1"/>
  <c r="J607" i="2"/>
  <c r="B607" i="2"/>
  <c r="N606" i="2"/>
  <c r="M606" i="2"/>
  <c r="L606" i="2" a="1"/>
  <c r="L606" i="2" s="1"/>
  <c r="K606" i="2" a="1"/>
  <c r="K606" i="2" s="1"/>
  <c r="J606" i="2"/>
  <c r="B606" i="2"/>
  <c r="N605" i="2"/>
  <c r="M605" i="2"/>
  <c r="L605" i="2" a="1"/>
  <c r="L605" i="2" s="1"/>
  <c r="K605" i="2" a="1"/>
  <c r="K605" i="2" s="1"/>
  <c r="J605" i="2"/>
  <c r="B605" i="2"/>
  <c r="N604" i="2"/>
  <c r="M604" i="2"/>
  <c r="L604" i="2" a="1"/>
  <c r="L604" i="2" s="1"/>
  <c r="K604" i="2" a="1"/>
  <c r="K604" i="2" s="1"/>
  <c r="J604" i="2"/>
  <c r="B604" i="2"/>
  <c r="N603" i="2"/>
  <c r="M603" i="2"/>
  <c r="L603" i="2" a="1"/>
  <c r="L603" i="2" s="1"/>
  <c r="K603" i="2" a="1"/>
  <c r="K603" i="2" s="1"/>
  <c r="J603" i="2"/>
  <c r="B603" i="2"/>
  <c r="N602" i="2"/>
  <c r="M602" i="2"/>
  <c r="L602" i="2" a="1"/>
  <c r="L602" i="2" s="1"/>
  <c r="K602" i="2" a="1"/>
  <c r="K602" i="2" s="1"/>
  <c r="J602" i="2"/>
  <c r="B602" i="2"/>
  <c r="N601" i="2"/>
  <c r="M601" i="2"/>
  <c r="L601" i="2" a="1"/>
  <c r="L601" i="2" s="1"/>
  <c r="K601" i="2" a="1"/>
  <c r="K601" i="2" s="1"/>
  <c r="J601" i="2"/>
  <c r="B601" i="2"/>
  <c r="N600" i="2"/>
  <c r="M600" i="2"/>
  <c r="L600" i="2" a="1"/>
  <c r="L600" i="2" s="1"/>
  <c r="K600" i="2" a="1"/>
  <c r="K600" i="2" s="1"/>
  <c r="J600" i="2"/>
  <c r="B600" i="2"/>
  <c r="N599" i="2"/>
  <c r="M599" i="2"/>
  <c r="L599" i="2" a="1"/>
  <c r="L599" i="2" s="1"/>
  <c r="K599" i="2" a="1"/>
  <c r="K599" i="2" s="1"/>
  <c r="J599" i="2"/>
  <c r="B599" i="2"/>
  <c r="N598" i="2"/>
  <c r="M598" i="2"/>
  <c r="L598" i="2" a="1"/>
  <c r="L598" i="2" s="1"/>
  <c r="K598" i="2" a="1"/>
  <c r="K598" i="2" s="1"/>
  <c r="J598" i="2"/>
  <c r="B598" i="2"/>
  <c r="N597" i="2"/>
  <c r="M597" i="2"/>
  <c r="L597" i="2" a="1"/>
  <c r="L597" i="2" s="1"/>
  <c r="K597" i="2" a="1"/>
  <c r="K597" i="2" s="1"/>
  <c r="J597" i="2"/>
  <c r="B597" i="2"/>
  <c r="N596" i="2"/>
  <c r="M596" i="2"/>
  <c r="L596" i="2" a="1"/>
  <c r="L596" i="2" s="1"/>
  <c r="K596" i="2" a="1"/>
  <c r="K596" i="2" s="1"/>
  <c r="J596" i="2"/>
  <c r="B596" i="2"/>
  <c r="N595" i="2"/>
  <c r="M595" i="2"/>
  <c r="L595" i="2" a="1"/>
  <c r="L595" i="2" s="1"/>
  <c r="K595" i="2" a="1"/>
  <c r="K595" i="2" s="1"/>
  <c r="J595" i="2"/>
  <c r="B595" i="2"/>
  <c r="N594" i="2"/>
  <c r="M594" i="2"/>
  <c r="L594" i="2" a="1"/>
  <c r="L594" i="2" s="1"/>
  <c r="K594" i="2" a="1"/>
  <c r="K594" i="2" s="1"/>
  <c r="J594" i="2"/>
  <c r="B594" i="2"/>
  <c r="N593" i="2"/>
  <c r="M593" i="2"/>
  <c r="L593" i="2" a="1"/>
  <c r="L593" i="2" s="1"/>
  <c r="K593" i="2" a="1"/>
  <c r="K593" i="2" s="1"/>
  <c r="J593" i="2"/>
  <c r="B593" i="2"/>
  <c r="N592" i="2"/>
  <c r="M592" i="2"/>
  <c r="L592" i="2" a="1"/>
  <c r="L592" i="2" s="1"/>
  <c r="K592" i="2" a="1"/>
  <c r="K592" i="2" s="1"/>
  <c r="J592" i="2"/>
  <c r="B592" i="2"/>
  <c r="N591" i="2"/>
  <c r="M591" i="2"/>
  <c r="L591" i="2" a="1"/>
  <c r="L591" i="2" s="1"/>
  <c r="K591" i="2" a="1"/>
  <c r="K591" i="2" s="1"/>
  <c r="J591" i="2"/>
  <c r="B591" i="2"/>
  <c r="N590" i="2"/>
  <c r="M590" i="2"/>
  <c r="L590" i="2" a="1"/>
  <c r="L590" i="2" s="1"/>
  <c r="K590" i="2" a="1"/>
  <c r="K590" i="2" s="1"/>
  <c r="J590" i="2"/>
  <c r="B590" i="2"/>
  <c r="N589" i="2"/>
  <c r="M589" i="2"/>
  <c r="L589" i="2" a="1"/>
  <c r="L589" i="2" s="1"/>
  <c r="K589" i="2" a="1"/>
  <c r="K589" i="2" s="1"/>
  <c r="J589" i="2"/>
  <c r="B589" i="2"/>
  <c r="N588" i="2"/>
  <c r="M588" i="2"/>
  <c r="L588" i="2" a="1"/>
  <c r="L588" i="2" s="1"/>
  <c r="K588" i="2" a="1"/>
  <c r="K588" i="2" s="1"/>
  <c r="J588" i="2"/>
  <c r="B588" i="2"/>
  <c r="N587" i="2"/>
  <c r="M587" i="2"/>
  <c r="L587" i="2" a="1"/>
  <c r="L587" i="2" s="1"/>
  <c r="K587" i="2" a="1"/>
  <c r="K587" i="2" s="1"/>
  <c r="J587" i="2"/>
  <c r="B587" i="2"/>
  <c r="N586" i="2"/>
  <c r="M586" i="2"/>
  <c r="L586" i="2" a="1"/>
  <c r="L586" i="2" s="1"/>
  <c r="K586" i="2" a="1"/>
  <c r="K586" i="2" s="1"/>
  <c r="J586" i="2"/>
  <c r="B586" i="2"/>
  <c r="N585" i="2"/>
  <c r="M585" i="2"/>
  <c r="L585" i="2" a="1"/>
  <c r="L585" i="2" s="1"/>
  <c r="K585" i="2" a="1"/>
  <c r="K585" i="2" s="1"/>
  <c r="J585" i="2"/>
  <c r="B585" i="2"/>
  <c r="N584" i="2"/>
  <c r="M584" i="2"/>
  <c r="L584" i="2" a="1"/>
  <c r="L584" i="2" s="1"/>
  <c r="K584" i="2" a="1"/>
  <c r="K584" i="2" s="1"/>
  <c r="J584" i="2"/>
  <c r="B584" i="2"/>
  <c r="N583" i="2"/>
  <c r="M583" i="2"/>
  <c r="L583" i="2" a="1"/>
  <c r="L583" i="2" s="1"/>
  <c r="K583" i="2" a="1"/>
  <c r="K583" i="2" s="1"/>
  <c r="J583" i="2"/>
  <c r="B583" i="2"/>
  <c r="N582" i="2"/>
  <c r="M582" i="2"/>
  <c r="L582" i="2" a="1"/>
  <c r="L582" i="2" s="1"/>
  <c r="K582" i="2" a="1"/>
  <c r="K582" i="2" s="1"/>
  <c r="J582" i="2"/>
  <c r="B582" i="2"/>
  <c r="N581" i="2"/>
  <c r="M581" i="2"/>
  <c r="L581" i="2" a="1"/>
  <c r="L581" i="2" s="1"/>
  <c r="K581" i="2" a="1"/>
  <c r="K581" i="2" s="1"/>
  <c r="J581" i="2"/>
  <c r="B581" i="2"/>
  <c r="N580" i="2"/>
  <c r="M580" i="2"/>
  <c r="L580" i="2" a="1"/>
  <c r="L580" i="2" s="1"/>
  <c r="K580" i="2" a="1"/>
  <c r="K580" i="2" s="1"/>
  <c r="J580" i="2"/>
  <c r="B580" i="2"/>
  <c r="N579" i="2"/>
  <c r="M579" i="2"/>
  <c r="L579" i="2" a="1"/>
  <c r="L579" i="2" s="1"/>
  <c r="K579" i="2" a="1"/>
  <c r="K579" i="2" s="1"/>
  <c r="J579" i="2"/>
  <c r="B579" i="2"/>
  <c r="N578" i="2"/>
  <c r="M578" i="2"/>
  <c r="L578" i="2" a="1"/>
  <c r="L578" i="2" s="1"/>
  <c r="K578" i="2" a="1"/>
  <c r="K578" i="2" s="1"/>
  <c r="J578" i="2"/>
  <c r="B578" i="2"/>
  <c r="N577" i="2"/>
  <c r="M577" i="2"/>
  <c r="L577" i="2" a="1"/>
  <c r="L577" i="2" s="1"/>
  <c r="K577" i="2" a="1"/>
  <c r="K577" i="2" s="1"/>
  <c r="J577" i="2"/>
  <c r="B577" i="2"/>
  <c r="N576" i="2"/>
  <c r="M576" i="2"/>
  <c r="L576" i="2" a="1"/>
  <c r="L576" i="2" s="1"/>
  <c r="K576" i="2" a="1"/>
  <c r="K576" i="2" s="1"/>
  <c r="J576" i="2"/>
  <c r="B576" i="2"/>
  <c r="N575" i="2"/>
  <c r="M575" i="2"/>
  <c r="L575" i="2" a="1"/>
  <c r="L575" i="2" s="1"/>
  <c r="K575" i="2" a="1"/>
  <c r="K575" i="2" s="1"/>
  <c r="J575" i="2"/>
  <c r="B575" i="2"/>
  <c r="N574" i="2"/>
  <c r="M574" i="2"/>
  <c r="L574" i="2" a="1"/>
  <c r="L574" i="2" s="1"/>
  <c r="K574" i="2" a="1"/>
  <c r="K574" i="2" s="1"/>
  <c r="J574" i="2"/>
  <c r="B574" i="2"/>
  <c r="N573" i="2"/>
  <c r="M573" i="2"/>
  <c r="L573" i="2" a="1"/>
  <c r="L573" i="2" s="1"/>
  <c r="K573" i="2" a="1"/>
  <c r="K573" i="2" s="1"/>
  <c r="J573" i="2"/>
  <c r="B573" i="2"/>
  <c r="N572" i="2"/>
  <c r="M572" i="2"/>
  <c r="L572" i="2" a="1"/>
  <c r="L572" i="2" s="1"/>
  <c r="K572" i="2" a="1"/>
  <c r="K572" i="2" s="1"/>
  <c r="J572" i="2"/>
  <c r="B572" i="2"/>
  <c r="N571" i="2"/>
  <c r="M571" i="2"/>
  <c r="L571" i="2" a="1"/>
  <c r="L571" i="2" s="1"/>
  <c r="K571" i="2" a="1"/>
  <c r="K571" i="2" s="1"/>
  <c r="J571" i="2"/>
  <c r="B571" i="2"/>
  <c r="N570" i="2"/>
  <c r="M570" i="2"/>
  <c r="L570" i="2" a="1"/>
  <c r="L570" i="2" s="1"/>
  <c r="K570" i="2" a="1"/>
  <c r="K570" i="2" s="1"/>
  <c r="J570" i="2"/>
  <c r="B570" i="2"/>
  <c r="N569" i="2"/>
  <c r="M569" i="2"/>
  <c r="L569" i="2" a="1"/>
  <c r="L569" i="2" s="1"/>
  <c r="K569" i="2" a="1"/>
  <c r="K569" i="2" s="1"/>
  <c r="J569" i="2"/>
  <c r="B569" i="2"/>
  <c r="N568" i="2"/>
  <c r="M568" i="2"/>
  <c r="L568" i="2" a="1"/>
  <c r="L568" i="2" s="1"/>
  <c r="K568" i="2" a="1"/>
  <c r="K568" i="2" s="1"/>
  <c r="J568" i="2"/>
  <c r="B568" i="2"/>
  <c r="N567" i="2"/>
  <c r="M567" i="2"/>
  <c r="L567" i="2" a="1"/>
  <c r="L567" i="2" s="1"/>
  <c r="K567" i="2" a="1"/>
  <c r="K567" i="2" s="1"/>
  <c r="J567" i="2"/>
  <c r="B567" i="2"/>
  <c r="N566" i="2"/>
  <c r="M566" i="2"/>
  <c r="L566" i="2" a="1"/>
  <c r="L566" i="2" s="1"/>
  <c r="K566" i="2" a="1"/>
  <c r="K566" i="2" s="1"/>
  <c r="J566" i="2"/>
  <c r="B566" i="2"/>
  <c r="N565" i="2"/>
  <c r="M565" i="2"/>
  <c r="L565" i="2" a="1"/>
  <c r="L565" i="2" s="1"/>
  <c r="K565" i="2" a="1"/>
  <c r="K565" i="2" s="1"/>
  <c r="J565" i="2"/>
  <c r="B565" i="2"/>
  <c r="N564" i="2"/>
  <c r="M564" i="2"/>
  <c r="L564" i="2" a="1"/>
  <c r="L564" i="2" s="1"/>
  <c r="K564" i="2" a="1"/>
  <c r="K564" i="2" s="1"/>
  <c r="J564" i="2"/>
  <c r="B564" i="2"/>
  <c r="N563" i="2"/>
  <c r="M563" i="2"/>
  <c r="L563" i="2" a="1"/>
  <c r="L563" i="2" s="1"/>
  <c r="K563" i="2" a="1"/>
  <c r="K563" i="2" s="1"/>
  <c r="J563" i="2"/>
  <c r="B563" i="2"/>
  <c r="N562" i="2"/>
  <c r="M562" i="2"/>
  <c r="L562" i="2" a="1"/>
  <c r="L562" i="2" s="1"/>
  <c r="K562" i="2" a="1"/>
  <c r="K562" i="2" s="1"/>
  <c r="J562" i="2"/>
  <c r="B562" i="2"/>
  <c r="N561" i="2"/>
  <c r="M561" i="2"/>
  <c r="L561" i="2" a="1"/>
  <c r="L561" i="2" s="1"/>
  <c r="K561" i="2" a="1"/>
  <c r="K561" i="2" s="1"/>
  <c r="J561" i="2"/>
  <c r="B561" i="2"/>
  <c r="N560" i="2"/>
  <c r="M560" i="2"/>
  <c r="L560" i="2" a="1"/>
  <c r="L560" i="2" s="1"/>
  <c r="K560" i="2" a="1"/>
  <c r="K560" i="2" s="1"/>
  <c r="J560" i="2"/>
  <c r="B560" i="2"/>
  <c r="N559" i="2"/>
  <c r="M559" i="2"/>
  <c r="L559" i="2" a="1"/>
  <c r="L559" i="2" s="1"/>
  <c r="K559" i="2" a="1"/>
  <c r="K559" i="2" s="1"/>
  <c r="J559" i="2"/>
  <c r="B559" i="2"/>
  <c r="N558" i="2"/>
  <c r="M558" i="2"/>
  <c r="L558" i="2" a="1"/>
  <c r="L558" i="2" s="1"/>
  <c r="K558" i="2" a="1"/>
  <c r="K558" i="2" s="1"/>
  <c r="J558" i="2"/>
  <c r="B558" i="2"/>
  <c r="N557" i="2"/>
  <c r="M557" i="2"/>
  <c r="L557" i="2" a="1"/>
  <c r="L557" i="2" s="1"/>
  <c r="K557" i="2" a="1"/>
  <c r="K557" i="2" s="1"/>
  <c r="J557" i="2"/>
  <c r="B557" i="2"/>
  <c r="N556" i="2"/>
  <c r="M556" i="2"/>
  <c r="L556" i="2" a="1"/>
  <c r="L556" i="2" s="1"/>
  <c r="K556" i="2" a="1"/>
  <c r="K556" i="2" s="1"/>
  <c r="J556" i="2"/>
  <c r="B556" i="2"/>
  <c r="N555" i="2"/>
  <c r="M555" i="2"/>
  <c r="L555" i="2" a="1"/>
  <c r="L555" i="2" s="1"/>
  <c r="K555" i="2" a="1"/>
  <c r="K555" i="2" s="1"/>
  <c r="J555" i="2"/>
  <c r="B555" i="2"/>
  <c r="N554" i="2"/>
  <c r="M554" i="2"/>
  <c r="L554" i="2" a="1"/>
  <c r="L554" i="2" s="1"/>
  <c r="K554" i="2" a="1"/>
  <c r="K554" i="2" s="1"/>
  <c r="J554" i="2"/>
  <c r="B554" i="2"/>
  <c r="N553" i="2"/>
  <c r="M553" i="2"/>
  <c r="L553" i="2" a="1"/>
  <c r="L553" i="2" s="1"/>
  <c r="K553" i="2" a="1"/>
  <c r="K553" i="2" s="1"/>
  <c r="J553" i="2"/>
  <c r="B553" i="2"/>
  <c r="N552" i="2"/>
  <c r="M552" i="2"/>
  <c r="L552" i="2" a="1"/>
  <c r="L552" i="2" s="1"/>
  <c r="K552" i="2" a="1"/>
  <c r="K552" i="2" s="1"/>
  <c r="J552" i="2"/>
  <c r="B552" i="2"/>
  <c r="N551" i="2"/>
  <c r="M551" i="2"/>
  <c r="L551" i="2" a="1"/>
  <c r="L551" i="2" s="1"/>
  <c r="K551" i="2" a="1"/>
  <c r="K551" i="2" s="1"/>
  <c r="J551" i="2"/>
  <c r="B551" i="2"/>
  <c r="N550" i="2"/>
  <c r="M550" i="2"/>
  <c r="L550" i="2" a="1"/>
  <c r="L550" i="2" s="1"/>
  <c r="K550" i="2" a="1"/>
  <c r="K550" i="2" s="1"/>
  <c r="J550" i="2"/>
  <c r="B550" i="2"/>
  <c r="N549" i="2"/>
  <c r="M549" i="2"/>
  <c r="L549" i="2" a="1"/>
  <c r="L549" i="2" s="1"/>
  <c r="K549" i="2" a="1"/>
  <c r="K549" i="2" s="1"/>
  <c r="J549" i="2"/>
  <c r="B549" i="2"/>
  <c r="N548" i="2"/>
  <c r="M548" i="2"/>
  <c r="L548" i="2" a="1"/>
  <c r="L548" i="2" s="1"/>
  <c r="K548" i="2" a="1"/>
  <c r="K548" i="2" s="1"/>
  <c r="J548" i="2"/>
  <c r="B548" i="2"/>
  <c r="N547" i="2"/>
  <c r="M547" i="2"/>
  <c r="L547" i="2" a="1"/>
  <c r="L547" i="2" s="1"/>
  <c r="K547" i="2" a="1"/>
  <c r="K547" i="2" s="1"/>
  <c r="J547" i="2"/>
  <c r="B547" i="2"/>
  <c r="N546" i="2"/>
  <c r="M546" i="2"/>
  <c r="L546" i="2" a="1"/>
  <c r="L546" i="2" s="1"/>
  <c r="K546" i="2" a="1"/>
  <c r="K546" i="2" s="1"/>
  <c r="J546" i="2"/>
  <c r="B546" i="2"/>
  <c r="N545" i="2"/>
  <c r="M545" i="2"/>
  <c r="L545" i="2" a="1"/>
  <c r="L545" i="2" s="1"/>
  <c r="K545" i="2" a="1"/>
  <c r="K545" i="2" s="1"/>
  <c r="J545" i="2"/>
  <c r="B545" i="2"/>
  <c r="N544" i="2"/>
  <c r="M544" i="2"/>
  <c r="L544" i="2" a="1"/>
  <c r="L544" i="2" s="1"/>
  <c r="K544" i="2" a="1"/>
  <c r="K544" i="2" s="1"/>
  <c r="J544" i="2"/>
  <c r="B544" i="2"/>
  <c r="N543" i="2"/>
  <c r="M543" i="2"/>
  <c r="L543" i="2" a="1"/>
  <c r="L543" i="2" s="1"/>
  <c r="K543" i="2" a="1"/>
  <c r="K543" i="2" s="1"/>
  <c r="J543" i="2"/>
  <c r="B543" i="2"/>
  <c r="N542" i="2"/>
  <c r="M542" i="2"/>
  <c r="L542" i="2" a="1"/>
  <c r="L542" i="2" s="1"/>
  <c r="K542" i="2" a="1"/>
  <c r="K542" i="2" s="1"/>
  <c r="J542" i="2"/>
  <c r="B542" i="2"/>
  <c r="N541" i="2"/>
  <c r="M541" i="2"/>
  <c r="L541" i="2" a="1"/>
  <c r="L541" i="2" s="1"/>
  <c r="K541" i="2" a="1"/>
  <c r="K541" i="2" s="1"/>
  <c r="J541" i="2"/>
  <c r="B541" i="2"/>
  <c r="N540" i="2"/>
  <c r="M540" i="2"/>
  <c r="L540" i="2" a="1"/>
  <c r="L540" i="2" s="1"/>
  <c r="K540" i="2" a="1"/>
  <c r="K540" i="2" s="1"/>
  <c r="J540" i="2"/>
  <c r="B540" i="2"/>
  <c r="N539" i="2"/>
  <c r="M539" i="2"/>
  <c r="L539" i="2" a="1"/>
  <c r="L539" i="2" s="1"/>
  <c r="K539" i="2" a="1"/>
  <c r="K539" i="2" s="1"/>
  <c r="J539" i="2"/>
  <c r="B539" i="2"/>
  <c r="N538" i="2"/>
  <c r="M538" i="2"/>
  <c r="L538" i="2" a="1"/>
  <c r="L538" i="2" s="1"/>
  <c r="K538" i="2" a="1"/>
  <c r="K538" i="2" s="1"/>
  <c r="J538" i="2"/>
  <c r="B538" i="2"/>
  <c r="N537" i="2"/>
  <c r="M537" i="2"/>
  <c r="L537" i="2" a="1"/>
  <c r="L537" i="2" s="1"/>
  <c r="K537" i="2" a="1"/>
  <c r="K537" i="2" s="1"/>
  <c r="J537" i="2"/>
  <c r="B537" i="2"/>
  <c r="V536" i="2"/>
  <c r="N536" i="2"/>
  <c r="M536" i="2"/>
  <c r="L536" i="2" a="1"/>
  <c r="L536" i="2" s="1"/>
  <c r="K536" i="2" a="1"/>
  <c r="K536" i="2" s="1"/>
  <c r="J536" i="2"/>
  <c r="B536" i="2"/>
  <c r="N535" i="2"/>
  <c r="M535" i="2"/>
  <c r="L535" i="2" a="1"/>
  <c r="L535" i="2" s="1"/>
  <c r="K535" i="2" a="1"/>
  <c r="K535" i="2" s="1"/>
  <c r="J535" i="2"/>
  <c r="B535" i="2"/>
  <c r="N534" i="2"/>
  <c r="M534" i="2"/>
  <c r="L534" i="2" a="1"/>
  <c r="L534" i="2" s="1"/>
  <c r="K534" i="2" a="1"/>
  <c r="K534" i="2" s="1"/>
  <c r="J534" i="2"/>
  <c r="B534" i="2"/>
  <c r="N533" i="2"/>
  <c r="M533" i="2"/>
  <c r="L533" i="2" a="1"/>
  <c r="L533" i="2" s="1"/>
  <c r="K533" i="2" a="1"/>
  <c r="K533" i="2" s="1"/>
  <c r="J533" i="2"/>
  <c r="B533" i="2"/>
  <c r="N532" i="2"/>
  <c r="M532" i="2"/>
  <c r="L532" i="2" a="1"/>
  <c r="L532" i="2" s="1"/>
  <c r="K532" i="2" a="1"/>
  <c r="K532" i="2" s="1"/>
  <c r="J532" i="2"/>
  <c r="B532" i="2"/>
  <c r="N531" i="2"/>
  <c r="M531" i="2"/>
  <c r="L531" i="2" a="1"/>
  <c r="L531" i="2" s="1"/>
  <c r="K531" i="2" a="1"/>
  <c r="K531" i="2" s="1"/>
  <c r="J531" i="2"/>
  <c r="B531" i="2"/>
  <c r="N530" i="2"/>
  <c r="M530" i="2"/>
  <c r="L530" i="2" a="1"/>
  <c r="L530" i="2" s="1"/>
  <c r="K530" i="2" a="1"/>
  <c r="K530" i="2" s="1"/>
  <c r="J530" i="2"/>
  <c r="B530" i="2"/>
  <c r="N529" i="2"/>
  <c r="M529" i="2"/>
  <c r="L529" i="2" a="1"/>
  <c r="L529" i="2" s="1"/>
  <c r="K529" i="2" a="1"/>
  <c r="K529" i="2" s="1"/>
  <c r="J529" i="2"/>
  <c r="B529" i="2"/>
  <c r="U528" i="2"/>
  <c r="A527" i="2"/>
  <c r="J526" i="2"/>
  <c r="N525" i="2"/>
  <c r="M525" i="2"/>
  <c r="L525" i="2" a="1"/>
  <c r="L525" i="2" s="1"/>
  <c r="K525" i="2" a="1"/>
  <c r="K525" i="2" s="1"/>
  <c r="J525" i="2"/>
  <c r="B525" i="2"/>
  <c r="N524" i="2"/>
  <c r="M524" i="2"/>
  <c r="L524" i="2" a="1"/>
  <c r="L524" i="2" s="1"/>
  <c r="K524" i="2" a="1"/>
  <c r="K524" i="2" s="1"/>
  <c r="J524" i="2"/>
  <c r="B524" i="2"/>
  <c r="N523" i="2"/>
  <c r="M523" i="2"/>
  <c r="L523" i="2" a="1"/>
  <c r="L523" i="2" s="1"/>
  <c r="K523" i="2" a="1"/>
  <c r="K523" i="2" s="1"/>
  <c r="J523" i="2"/>
  <c r="B523" i="2"/>
  <c r="N522" i="2"/>
  <c r="M522" i="2"/>
  <c r="L522" i="2" a="1"/>
  <c r="L522" i="2" s="1"/>
  <c r="K522" i="2" a="1"/>
  <c r="K522" i="2" s="1"/>
  <c r="J522" i="2"/>
  <c r="B522" i="2"/>
  <c r="N521" i="2"/>
  <c r="M521" i="2"/>
  <c r="L521" i="2" a="1"/>
  <c r="L521" i="2" s="1"/>
  <c r="K521" i="2" a="1"/>
  <c r="K521" i="2" s="1"/>
  <c r="J521" i="2"/>
  <c r="B521" i="2"/>
  <c r="N520" i="2"/>
  <c r="M520" i="2"/>
  <c r="L520" i="2" a="1"/>
  <c r="L520" i="2" s="1"/>
  <c r="K520" i="2" a="1"/>
  <c r="K520" i="2" s="1"/>
  <c r="J520" i="2"/>
  <c r="B520" i="2"/>
  <c r="N519" i="2"/>
  <c r="M519" i="2"/>
  <c r="L519" i="2" a="1"/>
  <c r="L519" i="2" s="1"/>
  <c r="K519" i="2" a="1"/>
  <c r="K519" i="2" s="1"/>
  <c r="J519" i="2"/>
  <c r="B519" i="2"/>
  <c r="N518" i="2"/>
  <c r="M518" i="2"/>
  <c r="L518" i="2" a="1"/>
  <c r="L518" i="2" s="1"/>
  <c r="K518" i="2" a="1"/>
  <c r="K518" i="2" s="1"/>
  <c r="J518" i="2"/>
  <c r="B518" i="2"/>
  <c r="N517" i="2"/>
  <c r="M517" i="2"/>
  <c r="L517" i="2" a="1"/>
  <c r="L517" i="2" s="1"/>
  <c r="K517" i="2" a="1"/>
  <c r="K517" i="2" s="1"/>
  <c r="J517" i="2"/>
  <c r="B517" i="2"/>
  <c r="N516" i="2"/>
  <c r="M516" i="2"/>
  <c r="L516" i="2" a="1"/>
  <c r="L516" i="2" s="1"/>
  <c r="K516" i="2" a="1"/>
  <c r="K516" i="2" s="1"/>
  <c r="J516" i="2"/>
  <c r="B516" i="2"/>
  <c r="N515" i="2"/>
  <c r="M515" i="2"/>
  <c r="L515" i="2" a="1"/>
  <c r="L515" i="2" s="1"/>
  <c r="K515" i="2" a="1"/>
  <c r="K515" i="2" s="1"/>
  <c r="J515" i="2"/>
  <c r="B515" i="2"/>
  <c r="N514" i="2"/>
  <c r="M514" i="2"/>
  <c r="L514" i="2" a="1"/>
  <c r="L514" i="2" s="1"/>
  <c r="K514" i="2" a="1"/>
  <c r="K514" i="2" s="1"/>
  <c r="J514" i="2"/>
  <c r="B514" i="2"/>
  <c r="N513" i="2"/>
  <c r="M513" i="2"/>
  <c r="L513" i="2" a="1"/>
  <c r="L513" i="2" s="1"/>
  <c r="K513" i="2" a="1"/>
  <c r="K513" i="2" s="1"/>
  <c r="J513" i="2"/>
  <c r="B513" i="2"/>
  <c r="N512" i="2"/>
  <c r="M512" i="2"/>
  <c r="L512" i="2" a="1"/>
  <c r="L512" i="2" s="1"/>
  <c r="K512" i="2" a="1"/>
  <c r="K512" i="2" s="1"/>
  <c r="J512" i="2"/>
  <c r="B512" i="2"/>
  <c r="N511" i="2"/>
  <c r="M511" i="2"/>
  <c r="L511" i="2" a="1"/>
  <c r="L511" i="2" s="1"/>
  <c r="K511" i="2" a="1"/>
  <c r="K511" i="2" s="1"/>
  <c r="J511" i="2"/>
  <c r="B511" i="2"/>
  <c r="N510" i="2"/>
  <c r="M510" i="2"/>
  <c r="L510" i="2" a="1"/>
  <c r="L510" i="2" s="1"/>
  <c r="K510" i="2" a="1"/>
  <c r="K510" i="2" s="1"/>
  <c r="J510" i="2"/>
  <c r="B510" i="2"/>
  <c r="N509" i="2"/>
  <c r="M509" i="2"/>
  <c r="L509" i="2" a="1"/>
  <c r="L509" i="2" s="1"/>
  <c r="K509" i="2" a="1"/>
  <c r="K509" i="2" s="1"/>
  <c r="J509" i="2"/>
  <c r="B509" i="2"/>
  <c r="N508" i="2"/>
  <c r="M508" i="2"/>
  <c r="L508" i="2" a="1"/>
  <c r="L508" i="2" s="1"/>
  <c r="K508" i="2" a="1"/>
  <c r="K508" i="2" s="1"/>
  <c r="J508" i="2"/>
  <c r="B508" i="2"/>
  <c r="N507" i="2"/>
  <c r="M507" i="2"/>
  <c r="L507" i="2" a="1"/>
  <c r="L507" i="2" s="1"/>
  <c r="K507" i="2" a="1"/>
  <c r="K507" i="2" s="1"/>
  <c r="J507" i="2"/>
  <c r="B507" i="2"/>
  <c r="N506" i="2"/>
  <c r="M506" i="2"/>
  <c r="L506" i="2" a="1"/>
  <c r="L506" i="2" s="1"/>
  <c r="K506" i="2" a="1"/>
  <c r="K506" i="2" s="1"/>
  <c r="J506" i="2"/>
  <c r="B506" i="2"/>
  <c r="N505" i="2"/>
  <c r="M505" i="2"/>
  <c r="L505" i="2" a="1"/>
  <c r="L505" i="2" s="1"/>
  <c r="K505" i="2" a="1"/>
  <c r="K505" i="2" s="1"/>
  <c r="J505" i="2"/>
  <c r="B505" i="2"/>
  <c r="N504" i="2"/>
  <c r="M504" i="2"/>
  <c r="L504" i="2" a="1"/>
  <c r="L504" i="2" s="1"/>
  <c r="K504" i="2" a="1"/>
  <c r="K504" i="2" s="1"/>
  <c r="J504" i="2"/>
  <c r="B504" i="2"/>
  <c r="N503" i="2"/>
  <c r="M503" i="2"/>
  <c r="L503" i="2" a="1"/>
  <c r="L503" i="2" s="1"/>
  <c r="K503" i="2" a="1"/>
  <c r="K503" i="2" s="1"/>
  <c r="J503" i="2"/>
  <c r="B503" i="2"/>
  <c r="N502" i="2"/>
  <c r="M502" i="2"/>
  <c r="L502" i="2" a="1"/>
  <c r="L502" i="2" s="1"/>
  <c r="K502" i="2" a="1"/>
  <c r="K502" i="2" s="1"/>
  <c r="J502" i="2"/>
  <c r="B502" i="2"/>
  <c r="N501" i="2"/>
  <c r="M501" i="2"/>
  <c r="L501" i="2" a="1"/>
  <c r="L501" i="2" s="1"/>
  <c r="K501" i="2" a="1"/>
  <c r="K501" i="2" s="1"/>
  <c r="J501" i="2"/>
  <c r="B501" i="2"/>
  <c r="N500" i="2"/>
  <c r="M500" i="2"/>
  <c r="L500" i="2" a="1"/>
  <c r="L500" i="2" s="1"/>
  <c r="K500" i="2" a="1"/>
  <c r="K500" i="2" s="1"/>
  <c r="J500" i="2"/>
  <c r="B500" i="2"/>
  <c r="N499" i="2"/>
  <c r="M499" i="2"/>
  <c r="L499" i="2" a="1"/>
  <c r="L499" i="2" s="1"/>
  <c r="K499" i="2" a="1"/>
  <c r="K499" i="2" s="1"/>
  <c r="J499" i="2"/>
  <c r="B499" i="2"/>
  <c r="N498" i="2"/>
  <c r="M498" i="2"/>
  <c r="L498" i="2" a="1"/>
  <c r="L498" i="2" s="1"/>
  <c r="K498" i="2" a="1"/>
  <c r="K498" i="2" s="1"/>
  <c r="J498" i="2"/>
  <c r="B498" i="2"/>
  <c r="N497" i="2"/>
  <c r="M497" i="2"/>
  <c r="L497" i="2" a="1"/>
  <c r="L497" i="2" s="1"/>
  <c r="K497" i="2" a="1"/>
  <c r="K497" i="2" s="1"/>
  <c r="J497" i="2"/>
  <c r="B497" i="2"/>
  <c r="N496" i="2"/>
  <c r="M496" i="2"/>
  <c r="L496" i="2" a="1"/>
  <c r="L496" i="2" s="1"/>
  <c r="K496" i="2" a="1"/>
  <c r="K496" i="2" s="1"/>
  <c r="J496" i="2"/>
  <c r="B496" i="2"/>
  <c r="N495" i="2"/>
  <c r="M495" i="2"/>
  <c r="L495" i="2" a="1"/>
  <c r="L495" i="2" s="1"/>
  <c r="K495" i="2" a="1"/>
  <c r="K495" i="2" s="1"/>
  <c r="J495" i="2"/>
  <c r="B495" i="2"/>
  <c r="N494" i="2"/>
  <c r="M494" i="2"/>
  <c r="L494" i="2" a="1"/>
  <c r="L494" i="2" s="1"/>
  <c r="K494" i="2" a="1"/>
  <c r="K494" i="2" s="1"/>
  <c r="J494" i="2"/>
  <c r="B494" i="2"/>
  <c r="N493" i="2"/>
  <c r="M493" i="2"/>
  <c r="L493" i="2" a="1"/>
  <c r="L493" i="2" s="1"/>
  <c r="K493" i="2" a="1"/>
  <c r="K493" i="2" s="1"/>
  <c r="J493" i="2"/>
  <c r="B493" i="2"/>
  <c r="N492" i="2"/>
  <c r="M492" i="2"/>
  <c r="L492" i="2" a="1"/>
  <c r="L492" i="2" s="1"/>
  <c r="K492" i="2" a="1"/>
  <c r="K492" i="2" s="1"/>
  <c r="J492" i="2"/>
  <c r="B492" i="2"/>
  <c r="N491" i="2"/>
  <c r="M491" i="2"/>
  <c r="L491" i="2" a="1"/>
  <c r="L491" i="2" s="1"/>
  <c r="K491" i="2" a="1"/>
  <c r="K491" i="2" s="1"/>
  <c r="J491" i="2"/>
  <c r="B491" i="2"/>
  <c r="N490" i="2"/>
  <c r="M490" i="2"/>
  <c r="L490" i="2" a="1"/>
  <c r="L490" i="2" s="1"/>
  <c r="K490" i="2" a="1"/>
  <c r="K490" i="2" s="1"/>
  <c r="J490" i="2"/>
  <c r="B490" i="2"/>
  <c r="N489" i="2"/>
  <c r="M489" i="2"/>
  <c r="L489" i="2" a="1"/>
  <c r="L489" i="2" s="1"/>
  <c r="K489" i="2" a="1"/>
  <c r="K489" i="2" s="1"/>
  <c r="J489" i="2"/>
  <c r="B489" i="2"/>
  <c r="N488" i="2"/>
  <c r="M488" i="2"/>
  <c r="L488" i="2" a="1"/>
  <c r="L488" i="2" s="1"/>
  <c r="K488" i="2" a="1"/>
  <c r="K488" i="2" s="1"/>
  <c r="J488" i="2"/>
  <c r="B488" i="2"/>
  <c r="N487" i="2"/>
  <c r="M487" i="2"/>
  <c r="L487" i="2" a="1"/>
  <c r="L487" i="2" s="1"/>
  <c r="K487" i="2" a="1"/>
  <c r="K487" i="2" s="1"/>
  <c r="J487" i="2"/>
  <c r="B487" i="2"/>
  <c r="N486" i="2"/>
  <c r="M486" i="2"/>
  <c r="L486" i="2" a="1"/>
  <c r="L486" i="2" s="1"/>
  <c r="K486" i="2" a="1"/>
  <c r="K486" i="2" s="1"/>
  <c r="J486" i="2"/>
  <c r="B486" i="2"/>
  <c r="N485" i="2"/>
  <c r="M485" i="2"/>
  <c r="L485" i="2" a="1"/>
  <c r="L485" i="2" s="1"/>
  <c r="K485" i="2" a="1"/>
  <c r="K485" i="2" s="1"/>
  <c r="J485" i="2"/>
  <c r="B485" i="2"/>
  <c r="N484" i="2"/>
  <c r="M484" i="2"/>
  <c r="L484" i="2" a="1"/>
  <c r="L484" i="2" s="1"/>
  <c r="K484" i="2" a="1"/>
  <c r="K484" i="2" s="1"/>
  <c r="J484" i="2"/>
  <c r="B484" i="2"/>
  <c r="N483" i="2"/>
  <c r="M483" i="2"/>
  <c r="L483" i="2" a="1"/>
  <c r="L483" i="2" s="1"/>
  <c r="K483" i="2" a="1"/>
  <c r="K483" i="2" s="1"/>
  <c r="J483" i="2"/>
  <c r="B483" i="2"/>
  <c r="N482" i="2"/>
  <c r="M482" i="2"/>
  <c r="L482" i="2" a="1"/>
  <c r="L482" i="2" s="1"/>
  <c r="K482" i="2" a="1"/>
  <c r="K482" i="2" s="1"/>
  <c r="J482" i="2"/>
  <c r="B482" i="2"/>
  <c r="N481" i="2"/>
  <c r="M481" i="2"/>
  <c r="L481" i="2" a="1"/>
  <c r="L481" i="2" s="1"/>
  <c r="K481" i="2" a="1"/>
  <c r="K481" i="2" s="1"/>
  <c r="J481" i="2"/>
  <c r="B481" i="2"/>
  <c r="N480" i="2"/>
  <c r="M480" i="2"/>
  <c r="L480" i="2" a="1"/>
  <c r="L480" i="2" s="1"/>
  <c r="K480" i="2" a="1"/>
  <c r="K480" i="2" s="1"/>
  <c r="J480" i="2"/>
  <c r="B480" i="2"/>
  <c r="N479" i="2"/>
  <c r="M479" i="2"/>
  <c r="L479" i="2" a="1"/>
  <c r="L479" i="2" s="1"/>
  <c r="K479" i="2" a="1"/>
  <c r="K479" i="2" s="1"/>
  <c r="J479" i="2"/>
  <c r="B479" i="2"/>
  <c r="N478" i="2"/>
  <c r="M478" i="2"/>
  <c r="L478" i="2" a="1"/>
  <c r="L478" i="2" s="1"/>
  <c r="K478" i="2" a="1"/>
  <c r="K478" i="2" s="1"/>
  <c r="J478" i="2"/>
  <c r="B478" i="2"/>
  <c r="N477" i="2"/>
  <c r="M477" i="2"/>
  <c r="L477" i="2" a="1"/>
  <c r="L477" i="2" s="1"/>
  <c r="K477" i="2" a="1"/>
  <c r="K477" i="2" s="1"/>
  <c r="J477" i="2"/>
  <c r="B477" i="2"/>
  <c r="N476" i="2"/>
  <c r="M476" i="2"/>
  <c r="L476" i="2" a="1"/>
  <c r="L476" i="2" s="1"/>
  <c r="K476" i="2" a="1"/>
  <c r="K476" i="2" s="1"/>
  <c r="J476" i="2"/>
  <c r="B476" i="2"/>
  <c r="N475" i="2"/>
  <c r="M475" i="2"/>
  <c r="L475" i="2" a="1"/>
  <c r="L475" i="2" s="1"/>
  <c r="K475" i="2" a="1"/>
  <c r="K475" i="2" s="1"/>
  <c r="J475" i="2"/>
  <c r="B475" i="2"/>
  <c r="N474" i="2"/>
  <c r="M474" i="2"/>
  <c r="L474" i="2" a="1"/>
  <c r="L474" i="2" s="1"/>
  <c r="K474" i="2" a="1"/>
  <c r="K474" i="2" s="1"/>
  <c r="J474" i="2"/>
  <c r="B474" i="2"/>
  <c r="N473" i="2"/>
  <c r="M473" i="2"/>
  <c r="L473" i="2" a="1"/>
  <c r="L473" i="2" s="1"/>
  <c r="K473" i="2" a="1"/>
  <c r="K473" i="2" s="1"/>
  <c r="J473" i="2"/>
  <c r="B473" i="2"/>
  <c r="N472" i="2"/>
  <c r="M472" i="2"/>
  <c r="L472" i="2" a="1"/>
  <c r="L472" i="2" s="1"/>
  <c r="K472" i="2" a="1"/>
  <c r="K472" i="2" s="1"/>
  <c r="J472" i="2"/>
  <c r="B472" i="2"/>
  <c r="N471" i="2"/>
  <c r="M471" i="2"/>
  <c r="L471" i="2" a="1"/>
  <c r="L471" i="2" s="1"/>
  <c r="K471" i="2" a="1"/>
  <c r="K471" i="2" s="1"/>
  <c r="J471" i="2"/>
  <c r="B471" i="2"/>
  <c r="N470" i="2"/>
  <c r="M470" i="2"/>
  <c r="L470" i="2" a="1"/>
  <c r="L470" i="2" s="1"/>
  <c r="K470" i="2" a="1"/>
  <c r="K470" i="2" s="1"/>
  <c r="J470" i="2"/>
  <c r="B470" i="2"/>
  <c r="N469" i="2"/>
  <c r="M469" i="2"/>
  <c r="L469" i="2" a="1"/>
  <c r="L469" i="2" s="1"/>
  <c r="K469" i="2" a="1"/>
  <c r="K469" i="2" s="1"/>
  <c r="J469" i="2"/>
  <c r="B469" i="2"/>
  <c r="N468" i="2"/>
  <c r="M468" i="2"/>
  <c r="L468" i="2" a="1"/>
  <c r="L468" i="2" s="1"/>
  <c r="K468" i="2" a="1"/>
  <c r="K468" i="2" s="1"/>
  <c r="J468" i="2"/>
  <c r="B468" i="2"/>
  <c r="N467" i="2"/>
  <c r="M467" i="2"/>
  <c r="L467" i="2" a="1"/>
  <c r="L467" i="2" s="1"/>
  <c r="K467" i="2" a="1"/>
  <c r="K467" i="2" s="1"/>
  <c r="J467" i="2"/>
  <c r="B467" i="2"/>
  <c r="N466" i="2"/>
  <c r="M466" i="2"/>
  <c r="L466" i="2" a="1"/>
  <c r="L466" i="2" s="1"/>
  <c r="K466" i="2" a="1"/>
  <c r="K466" i="2" s="1"/>
  <c r="J466" i="2"/>
  <c r="B466" i="2"/>
  <c r="N465" i="2"/>
  <c r="M465" i="2"/>
  <c r="L465" i="2" a="1"/>
  <c r="L465" i="2" s="1"/>
  <c r="K465" i="2" a="1"/>
  <c r="K465" i="2" s="1"/>
  <c r="J465" i="2"/>
  <c r="B465" i="2"/>
  <c r="N464" i="2"/>
  <c r="M464" i="2"/>
  <c r="L464" i="2" a="1"/>
  <c r="L464" i="2" s="1"/>
  <c r="K464" i="2" a="1"/>
  <c r="K464" i="2" s="1"/>
  <c r="J464" i="2"/>
  <c r="B464" i="2"/>
  <c r="N463" i="2"/>
  <c r="M463" i="2"/>
  <c r="L463" i="2" a="1"/>
  <c r="L463" i="2" s="1"/>
  <c r="K463" i="2" a="1"/>
  <c r="K463" i="2" s="1"/>
  <c r="J463" i="2"/>
  <c r="B463" i="2"/>
  <c r="N462" i="2"/>
  <c r="M462" i="2"/>
  <c r="L462" i="2" a="1"/>
  <c r="L462" i="2" s="1"/>
  <c r="K462" i="2" a="1"/>
  <c r="K462" i="2" s="1"/>
  <c r="J462" i="2"/>
  <c r="B462" i="2"/>
  <c r="N461" i="2"/>
  <c r="M461" i="2"/>
  <c r="L461" i="2" a="1"/>
  <c r="L461" i="2" s="1"/>
  <c r="K461" i="2" a="1"/>
  <c r="K461" i="2" s="1"/>
  <c r="J461" i="2"/>
  <c r="B461" i="2"/>
  <c r="N460" i="2"/>
  <c r="M460" i="2"/>
  <c r="L460" i="2" a="1"/>
  <c r="L460" i="2" s="1"/>
  <c r="K460" i="2" a="1"/>
  <c r="K460" i="2" s="1"/>
  <c r="J460" i="2"/>
  <c r="B460" i="2"/>
  <c r="N459" i="2"/>
  <c r="M459" i="2"/>
  <c r="L459" i="2" a="1"/>
  <c r="L459" i="2" s="1"/>
  <c r="K459" i="2" a="1"/>
  <c r="K459" i="2" s="1"/>
  <c r="J459" i="2"/>
  <c r="B459" i="2"/>
  <c r="N458" i="2"/>
  <c r="M458" i="2"/>
  <c r="L458" i="2" a="1"/>
  <c r="L458" i="2" s="1"/>
  <c r="K458" i="2" a="1"/>
  <c r="K458" i="2" s="1"/>
  <c r="J458" i="2"/>
  <c r="B458" i="2"/>
  <c r="N457" i="2"/>
  <c r="M457" i="2"/>
  <c r="L457" i="2" a="1"/>
  <c r="L457" i="2" s="1"/>
  <c r="K457" i="2" a="1"/>
  <c r="K457" i="2" s="1"/>
  <c r="J457" i="2"/>
  <c r="B457" i="2"/>
  <c r="N456" i="2"/>
  <c r="M456" i="2"/>
  <c r="L456" i="2" a="1"/>
  <c r="L456" i="2" s="1"/>
  <c r="K456" i="2" a="1"/>
  <c r="K456" i="2" s="1"/>
  <c r="J456" i="2"/>
  <c r="B456" i="2"/>
  <c r="N455" i="2"/>
  <c r="M455" i="2"/>
  <c r="L455" i="2" a="1"/>
  <c r="L455" i="2" s="1"/>
  <c r="K455" i="2" a="1"/>
  <c r="K455" i="2" s="1"/>
  <c r="J455" i="2"/>
  <c r="B455" i="2"/>
  <c r="N454" i="2"/>
  <c r="M454" i="2"/>
  <c r="L454" i="2" a="1"/>
  <c r="L454" i="2" s="1"/>
  <c r="K454" i="2" a="1"/>
  <c r="K454" i="2" s="1"/>
  <c r="J454" i="2"/>
  <c r="B454" i="2"/>
  <c r="N453" i="2"/>
  <c r="M453" i="2"/>
  <c r="L453" i="2" a="1"/>
  <c r="L453" i="2" s="1"/>
  <c r="K453" i="2" a="1"/>
  <c r="K453" i="2" s="1"/>
  <c r="J453" i="2"/>
  <c r="B453" i="2"/>
  <c r="N452" i="2"/>
  <c r="M452" i="2"/>
  <c r="L452" i="2" a="1"/>
  <c r="L452" i="2" s="1"/>
  <c r="K452" i="2" a="1"/>
  <c r="K452" i="2" s="1"/>
  <c r="J452" i="2"/>
  <c r="B452" i="2"/>
  <c r="N451" i="2"/>
  <c r="M451" i="2"/>
  <c r="L451" i="2" a="1"/>
  <c r="L451" i="2" s="1"/>
  <c r="K451" i="2" a="1"/>
  <c r="K451" i="2" s="1"/>
  <c r="J451" i="2"/>
  <c r="B451" i="2"/>
  <c r="N450" i="2"/>
  <c r="M450" i="2"/>
  <c r="L450" i="2" a="1"/>
  <c r="L450" i="2" s="1"/>
  <c r="K450" i="2" a="1"/>
  <c r="K450" i="2" s="1"/>
  <c r="J450" i="2"/>
  <c r="B450" i="2"/>
  <c r="N449" i="2"/>
  <c r="M449" i="2"/>
  <c r="L449" i="2" a="1"/>
  <c r="L449" i="2" s="1"/>
  <c r="K449" i="2" a="1"/>
  <c r="K449" i="2" s="1"/>
  <c r="J449" i="2"/>
  <c r="B449" i="2"/>
  <c r="N448" i="2"/>
  <c r="M448" i="2"/>
  <c r="L448" i="2" a="1"/>
  <c r="L448" i="2" s="1"/>
  <c r="K448" i="2" a="1"/>
  <c r="K448" i="2" s="1"/>
  <c r="J448" i="2"/>
  <c r="B448" i="2"/>
  <c r="N447" i="2"/>
  <c r="M447" i="2"/>
  <c r="L447" i="2" a="1"/>
  <c r="L447" i="2" s="1"/>
  <c r="K447" i="2" a="1"/>
  <c r="K447" i="2" s="1"/>
  <c r="J447" i="2"/>
  <c r="B447" i="2"/>
  <c r="N446" i="2"/>
  <c r="M446" i="2"/>
  <c r="L446" i="2" a="1"/>
  <c r="L446" i="2" s="1"/>
  <c r="K446" i="2" a="1"/>
  <c r="K446" i="2" s="1"/>
  <c r="J446" i="2"/>
  <c r="B446" i="2"/>
  <c r="N445" i="2"/>
  <c r="M445" i="2"/>
  <c r="L445" i="2" a="1"/>
  <c r="L445" i="2" s="1"/>
  <c r="K445" i="2" a="1"/>
  <c r="K445" i="2" s="1"/>
  <c r="J445" i="2"/>
  <c r="B445" i="2"/>
  <c r="N444" i="2"/>
  <c r="M444" i="2"/>
  <c r="L444" i="2" a="1"/>
  <c r="L444" i="2" s="1"/>
  <c r="K444" i="2" a="1"/>
  <c r="K444" i="2" s="1"/>
  <c r="J444" i="2"/>
  <c r="B444" i="2"/>
  <c r="N443" i="2"/>
  <c r="M443" i="2"/>
  <c r="L443" i="2" a="1"/>
  <c r="L443" i="2" s="1"/>
  <c r="K443" i="2" a="1"/>
  <c r="K443" i="2" s="1"/>
  <c r="J443" i="2"/>
  <c r="B443" i="2"/>
  <c r="N442" i="2"/>
  <c r="M442" i="2"/>
  <c r="L442" i="2" a="1"/>
  <c r="L442" i="2" s="1"/>
  <c r="K442" i="2" a="1"/>
  <c r="K442" i="2" s="1"/>
  <c r="J442" i="2"/>
  <c r="B442" i="2"/>
  <c r="N441" i="2"/>
  <c r="M441" i="2"/>
  <c r="L441" i="2" a="1"/>
  <c r="L441" i="2" s="1"/>
  <c r="K441" i="2" a="1"/>
  <c r="K441" i="2" s="1"/>
  <c r="J441" i="2"/>
  <c r="B441" i="2"/>
  <c r="N440" i="2"/>
  <c r="M440" i="2"/>
  <c r="L440" i="2" a="1"/>
  <c r="L440" i="2" s="1"/>
  <c r="K440" i="2" a="1"/>
  <c r="K440" i="2" s="1"/>
  <c r="J440" i="2"/>
  <c r="B440" i="2"/>
  <c r="N439" i="2"/>
  <c r="M439" i="2"/>
  <c r="L439" i="2" a="1"/>
  <c r="L439" i="2" s="1"/>
  <c r="K439" i="2" a="1"/>
  <c r="K439" i="2" s="1"/>
  <c r="J439" i="2"/>
  <c r="B439" i="2"/>
  <c r="N438" i="2"/>
  <c r="M438" i="2"/>
  <c r="L438" i="2" a="1"/>
  <c r="L438" i="2" s="1"/>
  <c r="K438" i="2" a="1"/>
  <c r="K438" i="2" s="1"/>
  <c r="J438" i="2"/>
  <c r="B438" i="2"/>
  <c r="N437" i="2"/>
  <c r="M437" i="2"/>
  <c r="L437" i="2" a="1"/>
  <c r="L437" i="2" s="1"/>
  <c r="K437" i="2" a="1"/>
  <c r="K437" i="2" s="1"/>
  <c r="J437" i="2"/>
  <c r="B437" i="2"/>
  <c r="N436" i="2"/>
  <c r="M436" i="2"/>
  <c r="L436" i="2" a="1"/>
  <c r="L436" i="2" s="1"/>
  <c r="K436" i="2" a="1"/>
  <c r="K436" i="2" s="1"/>
  <c r="J436" i="2"/>
  <c r="B436" i="2"/>
  <c r="N435" i="2"/>
  <c r="M435" i="2"/>
  <c r="L435" i="2" a="1"/>
  <c r="L435" i="2" s="1"/>
  <c r="K435" i="2" a="1"/>
  <c r="K435" i="2" s="1"/>
  <c r="J435" i="2"/>
  <c r="B435" i="2"/>
  <c r="N434" i="2"/>
  <c r="M434" i="2"/>
  <c r="L434" i="2" a="1"/>
  <c r="L434" i="2" s="1"/>
  <c r="K434" i="2" a="1"/>
  <c r="K434" i="2" s="1"/>
  <c r="J434" i="2"/>
  <c r="B434" i="2"/>
  <c r="V433" i="2"/>
  <c r="N433" i="2"/>
  <c r="M433" i="2"/>
  <c r="L433" i="2" a="1"/>
  <c r="L433" i="2" s="1"/>
  <c r="K433" i="2" a="1"/>
  <c r="K433" i="2" s="1"/>
  <c r="J433" i="2"/>
  <c r="B433" i="2"/>
  <c r="N432" i="2"/>
  <c r="M432" i="2"/>
  <c r="L432" i="2" a="1"/>
  <c r="L432" i="2" s="1"/>
  <c r="K432" i="2" a="1"/>
  <c r="K432" i="2" s="1"/>
  <c r="J432" i="2"/>
  <c r="B432" i="2"/>
  <c r="N431" i="2"/>
  <c r="M431" i="2"/>
  <c r="L431" i="2" a="1"/>
  <c r="L431" i="2" s="1"/>
  <c r="K431" i="2" a="1"/>
  <c r="K431" i="2" s="1"/>
  <c r="J431" i="2"/>
  <c r="B431" i="2"/>
  <c r="N430" i="2"/>
  <c r="M430" i="2"/>
  <c r="L430" i="2" a="1"/>
  <c r="L430" i="2" s="1"/>
  <c r="K430" i="2" a="1"/>
  <c r="K430" i="2" s="1"/>
  <c r="J430" i="2"/>
  <c r="B430" i="2"/>
  <c r="N429" i="2"/>
  <c r="M429" i="2"/>
  <c r="L429" i="2" a="1"/>
  <c r="L429" i="2" s="1"/>
  <c r="K429" i="2" a="1"/>
  <c r="K429" i="2" s="1"/>
  <c r="J429" i="2"/>
  <c r="B429" i="2"/>
  <c r="N428" i="2"/>
  <c r="M428" i="2"/>
  <c r="L428" i="2" a="1"/>
  <c r="L428" i="2" s="1"/>
  <c r="K428" i="2" a="1"/>
  <c r="K428" i="2" s="1"/>
  <c r="J428" i="2"/>
  <c r="B428" i="2"/>
  <c r="N427" i="2"/>
  <c r="M427" i="2"/>
  <c r="L427" i="2" a="1"/>
  <c r="L427" i="2" s="1"/>
  <c r="K427" i="2" a="1"/>
  <c r="K427" i="2" s="1"/>
  <c r="J427" i="2"/>
  <c r="B427" i="2"/>
  <c r="N426" i="2"/>
  <c r="M426" i="2"/>
  <c r="L426" i="2" a="1"/>
  <c r="L426" i="2" s="1"/>
  <c r="K426" i="2" a="1"/>
  <c r="K426" i="2" s="1"/>
  <c r="J426" i="2"/>
  <c r="B426" i="2"/>
  <c r="U425" i="2"/>
  <c r="A424" i="2"/>
  <c r="J423" i="2"/>
  <c r="N422" i="2"/>
  <c r="M422" i="2"/>
  <c r="L422" i="2" a="1"/>
  <c r="L422" i="2" s="1"/>
  <c r="K422" i="2" a="1"/>
  <c r="K422" i="2" s="1"/>
  <c r="J422" i="2"/>
  <c r="B422" i="2"/>
  <c r="N421" i="2"/>
  <c r="M421" i="2"/>
  <c r="L421" i="2" a="1"/>
  <c r="L421" i="2" s="1"/>
  <c r="K421" i="2" a="1"/>
  <c r="K421" i="2" s="1"/>
  <c r="J421" i="2"/>
  <c r="B421" i="2"/>
  <c r="N420" i="2"/>
  <c r="M420" i="2"/>
  <c r="L420" i="2" a="1"/>
  <c r="L420" i="2" s="1"/>
  <c r="K420" i="2" a="1"/>
  <c r="K420" i="2" s="1"/>
  <c r="J420" i="2"/>
  <c r="B420" i="2"/>
  <c r="N419" i="2"/>
  <c r="M419" i="2"/>
  <c r="L419" i="2" a="1"/>
  <c r="L419" i="2" s="1"/>
  <c r="K419" i="2" a="1"/>
  <c r="K419" i="2" s="1"/>
  <c r="J419" i="2"/>
  <c r="B419" i="2"/>
  <c r="N418" i="2"/>
  <c r="M418" i="2"/>
  <c r="L418" i="2" a="1"/>
  <c r="L418" i="2" s="1"/>
  <c r="K418" i="2" a="1"/>
  <c r="K418" i="2" s="1"/>
  <c r="J418" i="2"/>
  <c r="B418" i="2"/>
  <c r="N417" i="2"/>
  <c r="M417" i="2"/>
  <c r="L417" i="2" a="1"/>
  <c r="L417" i="2" s="1"/>
  <c r="K417" i="2" a="1"/>
  <c r="K417" i="2" s="1"/>
  <c r="J417" i="2"/>
  <c r="B417" i="2"/>
  <c r="N416" i="2"/>
  <c r="M416" i="2"/>
  <c r="L416" i="2" a="1"/>
  <c r="L416" i="2" s="1"/>
  <c r="K416" i="2" a="1"/>
  <c r="K416" i="2" s="1"/>
  <c r="J416" i="2"/>
  <c r="B416" i="2"/>
  <c r="N415" i="2"/>
  <c r="M415" i="2"/>
  <c r="L415" i="2" a="1"/>
  <c r="L415" i="2" s="1"/>
  <c r="K415" i="2" a="1"/>
  <c r="K415" i="2" s="1"/>
  <c r="J415" i="2"/>
  <c r="B415" i="2"/>
  <c r="N414" i="2"/>
  <c r="M414" i="2"/>
  <c r="L414" i="2" a="1"/>
  <c r="L414" i="2" s="1"/>
  <c r="K414" i="2" a="1"/>
  <c r="K414" i="2" s="1"/>
  <c r="J414" i="2"/>
  <c r="B414" i="2"/>
  <c r="N413" i="2"/>
  <c r="M413" i="2"/>
  <c r="L413" i="2" a="1"/>
  <c r="L413" i="2" s="1"/>
  <c r="K413" i="2" a="1"/>
  <c r="K413" i="2" s="1"/>
  <c r="J413" i="2"/>
  <c r="B413" i="2"/>
  <c r="N412" i="2"/>
  <c r="M412" i="2"/>
  <c r="L412" i="2" a="1"/>
  <c r="L412" i="2" s="1"/>
  <c r="K412" i="2" a="1"/>
  <c r="K412" i="2" s="1"/>
  <c r="J412" i="2"/>
  <c r="B412" i="2"/>
  <c r="N411" i="2"/>
  <c r="M411" i="2"/>
  <c r="L411" i="2" a="1"/>
  <c r="L411" i="2" s="1"/>
  <c r="K411" i="2" a="1"/>
  <c r="K411" i="2" s="1"/>
  <c r="J411" i="2"/>
  <c r="B411" i="2"/>
  <c r="N410" i="2"/>
  <c r="M410" i="2"/>
  <c r="L410" i="2" a="1"/>
  <c r="L410" i="2" s="1"/>
  <c r="K410" i="2" a="1"/>
  <c r="K410" i="2" s="1"/>
  <c r="J410" i="2"/>
  <c r="B410" i="2"/>
  <c r="N409" i="2"/>
  <c r="M409" i="2"/>
  <c r="L409" i="2" a="1"/>
  <c r="L409" i="2" s="1"/>
  <c r="K409" i="2" a="1"/>
  <c r="K409" i="2" s="1"/>
  <c r="J409" i="2"/>
  <c r="B409" i="2"/>
  <c r="N408" i="2"/>
  <c r="M408" i="2"/>
  <c r="L408" i="2" a="1"/>
  <c r="L408" i="2" s="1"/>
  <c r="K408" i="2" a="1"/>
  <c r="K408" i="2" s="1"/>
  <c r="J408" i="2"/>
  <c r="B408" i="2"/>
  <c r="N407" i="2"/>
  <c r="M407" i="2"/>
  <c r="L407" i="2" a="1"/>
  <c r="L407" i="2" s="1"/>
  <c r="K407" i="2" a="1"/>
  <c r="K407" i="2" s="1"/>
  <c r="J407" i="2"/>
  <c r="B407" i="2"/>
  <c r="N406" i="2"/>
  <c r="M406" i="2"/>
  <c r="L406" i="2" a="1"/>
  <c r="L406" i="2" s="1"/>
  <c r="K406" i="2" a="1"/>
  <c r="K406" i="2" s="1"/>
  <c r="J406" i="2"/>
  <c r="B406" i="2"/>
  <c r="N405" i="2"/>
  <c r="M405" i="2"/>
  <c r="L405" i="2" a="1"/>
  <c r="L405" i="2" s="1"/>
  <c r="K405" i="2" a="1"/>
  <c r="K405" i="2" s="1"/>
  <c r="J405" i="2"/>
  <c r="B405" i="2"/>
  <c r="N404" i="2"/>
  <c r="M404" i="2"/>
  <c r="L404" i="2" a="1"/>
  <c r="L404" i="2" s="1"/>
  <c r="K404" i="2" a="1"/>
  <c r="K404" i="2" s="1"/>
  <c r="J404" i="2"/>
  <c r="B404" i="2"/>
  <c r="N403" i="2"/>
  <c r="M403" i="2"/>
  <c r="L403" i="2" a="1"/>
  <c r="L403" i="2" s="1"/>
  <c r="K403" i="2" a="1"/>
  <c r="K403" i="2" s="1"/>
  <c r="J403" i="2"/>
  <c r="B403" i="2"/>
  <c r="N402" i="2"/>
  <c r="M402" i="2"/>
  <c r="L402" i="2" a="1"/>
  <c r="L402" i="2" s="1"/>
  <c r="K402" i="2" a="1"/>
  <c r="K402" i="2" s="1"/>
  <c r="J402" i="2"/>
  <c r="B402" i="2"/>
  <c r="N401" i="2"/>
  <c r="M401" i="2"/>
  <c r="L401" i="2" a="1"/>
  <c r="L401" i="2" s="1"/>
  <c r="K401" i="2" a="1"/>
  <c r="K401" i="2" s="1"/>
  <c r="J401" i="2"/>
  <c r="B401" i="2"/>
  <c r="N400" i="2"/>
  <c r="M400" i="2"/>
  <c r="L400" i="2" a="1"/>
  <c r="L400" i="2" s="1"/>
  <c r="K400" i="2" a="1"/>
  <c r="K400" i="2" s="1"/>
  <c r="J400" i="2"/>
  <c r="B400" i="2"/>
  <c r="N399" i="2"/>
  <c r="M399" i="2"/>
  <c r="L399" i="2" a="1"/>
  <c r="L399" i="2" s="1"/>
  <c r="K399" i="2" a="1"/>
  <c r="K399" i="2" s="1"/>
  <c r="J399" i="2"/>
  <c r="B399" i="2"/>
  <c r="N398" i="2"/>
  <c r="M398" i="2"/>
  <c r="L398" i="2" a="1"/>
  <c r="L398" i="2" s="1"/>
  <c r="K398" i="2" a="1"/>
  <c r="K398" i="2" s="1"/>
  <c r="J398" i="2"/>
  <c r="B398" i="2"/>
  <c r="N397" i="2"/>
  <c r="M397" i="2"/>
  <c r="L397" i="2" a="1"/>
  <c r="L397" i="2" s="1"/>
  <c r="K397" i="2" a="1"/>
  <c r="K397" i="2" s="1"/>
  <c r="J397" i="2"/>
  <c r="B397" i="2"/>
  <c r="N396" i="2"/>
  <c r="M396" i="2"/>
  <c r="L396" i="2" a="1"/>
  <c r="L396" i="2" s="1"/>
  <c r="K396" i="2" a="1"/>
  <c r="K396" i="2" s="1"/>
  <c r="J396" i="2"/>
  <c r="B396" i="2"/>
  <c r="N395" i="2"/>
  <c r="M395" i="2"/>
  <c r="L395" i="2" a="1"/>
  <c r="L395" i="2" s="1"/>
  <c r="K395" i="2" a="1"/>
  <c r="K395" i="2" s="1"/>
  <c r="J395" i="2"/>
  <c r="B395" i="2"/>
  <c r="N394" i="2"/>
  <c r="M394" i="2"/>
  <c r="L394" i="2" a="1"/>
  <c r="L394" i="2" s="1"/>
  <c r="K394" i="2" a="1"/>
  <c r="K394" i="2" s="1"/>
  <c r="J394" i="2"/>
  <c r="B394" i="2"/>
  <c r="N393" i="2"/>
  <c r="M393" i="2"/>
  <c r="L393" i="2" a="1"/>
  <c r="L393" i="2" s="1"/>
  <c r="K393" i="2" a="1"/>
  <c r="K393" i="2" s="1"/>
  <c r="J393" i="2"/>
  <c r="B393" i="2"/>
  <c r="N392" i="2"/>
  <c r="M392" i="2"/>
  <c r="L392" i="2" a="1"/>
  <c r="L392" i="2" s="1"/>
  <c r="K392" i="2" a="1"/>
  <c r="K392" i="2" s="1"/>
  <c r="J392" i="2"/>
  <c r="B392" i="2"/>
  <c r="N391" i="2"/>
  <c r="M391" i="2"/>
  <c r="L391" i="2" a="1"/>
  <c r="L391" i="2" s="1"/>
  <c r="K391" i="2" a="1"/>
  <c r="K391" i="2" s="1"/>
  <c r="J391" i="2"/>
  <c r="B391" i="2"/>
  <c r="N390" i="2"/>
  <c r="M390" i="2"/>
  <c r="L390" i="2" a="1"/>
  <c r="L390" i="2" s="1"/>
  <c r="K390" i="2" a="1"/>
  <c r="K390" i="2" s="1"/>
  <c r="J390" i="2"/>
  <c r="B390" i="2"/>
  <c r="N389" i="2"/>
  <c r="M389" i="2"/>
  <c r="L389" i="2" a="1"/>
  <c r="L389" i="2" s="1"/>
  <c r="K389" i="2" a="1"/>
  <c r="K389" i="2" s="1"/>
  <c r="J389" i="2"/>
  <c r="B389" i="2"/>
  <c r="N388" i="2"/>
  <c r="M388" i="2"/>
  <c r="L388" i="2" a="1"/>
  <c r="L388" i="2" s="1"/>
  <c r="K388" i="2" a="1"/>
  <c r="K388" i="2" s="1"/>
  <c r="J388" i="2"/>
  <c r="B388" i="2"/>
  <c r="N387" i="2"/>
  <c r="M387" i="2"/>
  <c r="L387" i="2" a="1"/>
  <c r="L387" i="2" s="1"/>
  <c r="K387" i="2" a="1"/>
  <c r="K387" i="2" s="1"/>
  <c r="J387" i="2"/>
  <c r="B387" i="2"/>
  <c r="N386" i="2"/>
  <c r="M386" i="2"/>
  <c r="L386" i="2" a="1"/>
  <c r="L386" i="2" s="1"/>
  <c r="K386" i="2" a="1"/>
  <c r="K386" i="2" s="1"/>
  <c r="J386" i="2"/>
  <c r="B386" i="2"/>
  <c r="N385" i="2"/>
  <c r="M385" i="2"/>
  <c r="L385" i="2" a="1"/>
  <c r="L385" i="2" s="1"/>
  <c r="K385" i="2" a="1"/>
  <c r="K385" i="2" s="1"/>
  <c r="J385" i="2"/>
  <c r="B385" i="2"/>
  <c r="N384" i="2"/>
  <c r="M384" i="2"/>
  <c r="L384" i="2" a="1"/>
  <c r="L384" i="2" s="1"/>
  <c r="K384" i="2" a="1"/>
  <c r="K384" i="2" s="1"/>
  <c r="J384" i="2"/>
  <c r="B384" i="2"/>
  <c r="N383" i="2"/>
  <c r="M383" i="2"/>
  <c r="L383" i="2" a="1"/>
  <c r="L383" i="2" s="1"/>
  <c r="K383" i="2" a="1"/>
  <c r="K383" i="2" s="1"/>
  <c r="J383" i="2"/>
  <c r="B383" i="2"/>
  <c r="N382" i="2"/>
  <c r="M382" i="2"/>
  <c r="L382" i="2" a="1"/>
  <c r="L382" i="2" s="1"/>
  <c r="K382" i="2" a="1"/>
  <c r="K382" i="2" s="1"/>
  <c r="J382" i="2"/>
  <c r="B382" i="2"/>
  <c r="N381" i="2"/>
  <c r="M381" i="2"/>
  <c r="L381" i="2" a="1"/>
  <c r="L381" i="2" s="1"/>
  <c r="K381" i="2" a="1"/>
  <c r="K381" i="2" s="1"/>
  <c r="J381" i="2"/>
  <c r="B381" i="2"/>
  <c r="N380" i="2"/>
  <c r="M380" i="2"/>
  <c r="L380" i="2" a="1"/>
  <c r="L380" i="2" s="1"/>
  <c r="K380" i="2" a="1"/>
  <c r="K380" i="2" s="1"/>
  <c r="J380" i="2"/>
  <c r="B380" i="2"/>
  <c r="N379" i="2"/>
  <c r="M379" i="2"/>
  <c r="L379" i="2" a="1"/>
  <c r="L379" i="2" s="1"/>
  <c r="K379" i="2" a="1"/>
  <c r="K379" i="2" s="1"/>
  <c r="J379" i="2"/>
  <c r="B379" i="2"/>
  <c r="N378" i="2"/>
  <c r="M378" i="2"/>
  <c r="L378" i="2" a="1"/>
  <c r="L378" i="2" s="1"/>
  <c r="K378" i="2" a="1"/>
  <c r="K378" i="2" s="1"/>
  <c r="J378" i="2"/>
  <c r="B378" i="2"/>
  <c r="N377" i="2"/>
  <c r="M377" i="2"/>
  <c r="L377" i="2" a="1"/>
  <c r="L377" i="2" s="1"/>
  <c r="K377" i="2" a="1"/>
  <c r="K377" i="2" s="1"/>
  <c r="J377" i="2"/>
  <c r="B377" i="2"/>
  <c r="N376" i="2"/>
  <c r="M376" i="2"/>
  <c r="L376" i="2" a="1"/>
  <c r="L376" i="2" s="1"/>
  <c r="K376" i="2" a="1"/>
  <c r="K376" i="2" s="1"/>
  <c r="J376" i="2"/>
  <c r="B376" i="2"/>
  <c r="N375" i="2"/>
  <c r="M375" i="2"/>
  <c r="L375" i="2" a="1"/>
  <c r="L375" i="2" s="1"/>
  <c r="K375" i="2" a="1"/>
  <c r="K375" i="2" s="1"/>
  <c r="J375" i="2"/>
  <c r="B375" i="2"/>
  <c r="N374" i="2"/>
  <c r="M374" i="2"/>
  <c r="L374" i="2" a="1"/>
  <c r="L374" i="2" s="1"/>
  <c r="K374" i="2" a="1"/>
  <c r="K374" i="2" s="1"/>
  <c r="J374" i="2"/>
  <c r="B374" i="2"/>
  <c r="N373" i="2"/>
  <c r="M373" i="2"/>
  <c r="L373" i="2" a="1"/>
  <c r="L373" i="2" s="1"/>
  <c r="K373" i="2" a="1"/>
  <c r="K373" i="2" s="1"/>
  <c r="J373" i="2"/>
  <c r="B373" i="2"/>
  <c r="N372" i="2"/>
  <c r="M372" i="2"/>
  <c r="L372" i="2" a="1"/>
  <c r="L372" i="2" s="1"/>
  <c r="K372" i="2" a="1"/>
  <c r="K372" i="2" s="1"/>
  <c r="J372" i="2"/>
  <c r="B372" i="2"/>
  <c r="N371" i="2"/>
  <c r="M371" i="2"/>
  <c r="L371" i="2" a="1"/>
  <c r="L371" i="2" s="1"/>
  <c r="K371" i="2" a="1"/>
  <c r="K371" i="2" s="1"/>
  <c r="J371" i="2"/>
  <c r="B371" i="2"/>
  <c r="N370" i="2"/>
  <c r="M370" i="2"/>
  <c r="L370" i="2" a="1"/>
  <c r="L370" i="2" s="1"/>
  <c r="K370" i="2" a="1"/>
  <c r="K370" i="2" s="1"/>
  <c r="J370" i="2"/>
  <c r="B370" i="2"/>
  <c r="N369" i="2"/>
  <c r="M369" i="2"/>
  <c r="L369" i="2" a="1"/>
  <c r="L369" i="2" s="1"/>
  <c r="K369" i="2" a="1"/>
  <c r="K369" i="2" s="1"/>
  <c r="J369" i="2"/>
  <c r="B369" i="2"/>
  <c r="N368" i="2"/>
  <c r="M368" i="2"/>
  <c r="L368" i="2" a="1"/>
  <c r="L368" i="2" s="1"/>
  <c r="K368" i="2" a="1"/>
  <c r="K368" i="2" s="1"/>
  <c r="J368" i="2"/>
  <c r="B368" i="2"/>
  <c r="N367" i="2"/>
  <c r="M367" i="2"/>
  <c r="L367" i="2" a="1"/>
  <c r="L367" i="2" s="1"/>
  <c r="K367" i="2" a="1"/>
  <c r="K367" i="2" s="1"/>
  <c r="J367" i="2"/>
  <c r="B367" i="2"/>
  <c r="N366" i="2"/>
  <c r="M366" i="2"/>
  <c r="L366" i="2" a="1"/>
  <c r="L366" i="2" s="1"/>
  <c r="K366" i="2" a="1"/>
  <c r="K366" i="2" s="1"/>
  <c r="J366" i="2"/>
  <c r="B366" i="2"/>
  <c r="N365" i="2"/>
  <c r="M365" i="2"/>
  <c r="L365" i="2" a="1"/>
  <c r="L365" i="2" s="1"/>
  <c r="K365" i="2" a="1"/>
  <c r="K365" i="2" s="1"/>
  <c r="J365" i="2"/>
  <c r="B365" i="2"/>
  <c r="N364" i="2"/>
  <c r="M364" i="2"/>
  <c r="L364" i="2" a="1"/>
  <c r="L364" i="2" s="1"/>
  <c r="K364" i="2" a="1"/>
  <c r="K364" i="2" s="1"/>
  <c r="J364" i="2"/>
  <c r="B364" i="2"/>
  <c r="N363" i="2"/>
  <c r="M363" i="2"/>
  <c r="L363" i="2" a="1"/>
  <c r="L363" i="2" s="1"/>
  <c r="K363" i="2" a="1"/>
  <c r="K363" i="2" s="1"/>
  <c r="J363" i="2"/>
  <c r="B363" i="2"/>
  <c r="N362" i="2"/>
  <c r="M362" i="2"/>
  <c r="L362" i="2" a="1"/>
  <c r="L362" i="2" s="1"/>
  <c r="K362" i="2" a="1"/>
  <c r="K362" i="2" s="1"/>
  <c r="J362" i="2"/>
  <c r="B362" i="2"/>
  <c r="N361" i="2"/>
  <c r="M361" i="2"/>
  <c r="L361" i="2" a="1"/>
  <c r="L361" i="2" s="1"/>
  <c r="K361" i="2" a="1"/>
  <c r="K361" i="2" s="1"/>
  <c r="J361" i="2"/>
  <c r="B361" i="2"/>
  <c r="N360" i="2"/>
  <c r="M360" i="2"/>
  <c r="L360" i="2" a="1"/>
  <c r="L360" i="2" s="1"/>
  <c r="K360" i="2" a="1"/>
  <c r="K360" i="2" s="1"/>
  <c r="J360" i="2"/>
  <c r="B360" i="2"/>
  <c r="N359" i="2"/>
  <c r="M359" i="2"/>
  <c r="L359" i="2" a="1"/>
  <c r="L359" i="2" s="1"/>
  <c r="K359" i="2" a="1"/>
  <c r="K359" i="2" s="1"/>
  <c r="J359" i="2"/>
  <c r="B359" i="2"/>
  <c r="N358" i="2"/>
  <c r="M358" i="2"/>
  <c r="L358" i="2" a="1"/>
  <c r="L358" i="2" s="1"/>
  <c r="K358" i="2" a="1"/>
  <c r="K358" i="2" s="1"/>
  <c r="J358" i="2"/>
  <c r="B358" i="2"/>
  <c r="N357" i="2"/>
  <c r="M357" i="2"/>
  <c r="L357" i="2" a="1"/>
  <c r="L357" i="2" s="1"/>
  <c r="K357" i="2" a="1"/>
  <c r="K357" i="2" s="1"/>
  <c r="J357" i="2"/>
  <c r="B357" i="2"/>
  <c r="N356" i="2"/>
  <c r="M356" i="2"/>
  <c r="L356" i="2" a="1"/>
  <c r="L356" i="2" s="1"/>
  <c r="K356" i="2" a="1"/>
  <c r="K356" i="2" s="1"/>
  <c r="J356" i="2"/>
  <c r="B356" i="2"/>
  <c r="N355" i="2"/>
  <c r="M355" i="2"/>
  <c r="L355" i="2" a="1"/>
  <c r="L355" i="2" s="1"/>
  <c r="K355" i="2" a="1"/>
  <c r="K355" i="2" s="1"/>
  <c r="J355" i="2"/>
  <c r="B355" i="2"/>
  <c r="N354" i="2"/>
  <c r="M354" i="2"/>
  <c r="L354" i="2" a="1"/>
  <c r="L354" i="2" s="1"/>
  <c r="K354" i="2" a="1"/>
  <c r="K354" i="2" s="1"/>
  <c r="J354" i="2"/>
  <c r="B354" i="2"/>
  <c r="N353" i="2"/>
  <c r="M353" i="2"/>
  <c r="L353" i="2" a="1"/>
  <c r="L353" i="2" s="1"/>
  <c r="K353" i="2" a="1"/>
  <c r="K353" i="2" s="1"/>
  <c r="J353" i="2"/>
  <c r="B353" i="2"/>
  <c r="N352" i="2"/>
  <c r="M352" i="2"/>
  <c r="L352" i="2" a="1"/>
  <c r="L352" i="2" s="1"/>
  <c r="K352" i="2" a="1"/>
  <c r="K352" i="2" s="1"/>
  <c r="J352" i="2"/>
  <c r="B352" i="2"/>
  <c r="N351" i="2"/>
  <c r="M351" i="2"/>
  <c r="L351" i="2" a="1"/>
  <c r="L351" i="2" s="1"/>
  <c r="K351" i="2" a="1"/>
  <c r="K351" i="2" s="1"/>
  <c r="J351" i="2"/>
  <c r="B351" i="2"/>
  <c r="N350" i="2"/>
  <c r="M350" i="2"/>
  <c r="L350" i="2" a="1"/>
  <c r="L350" i="2" s="1"/>
  <c r="K350" i="2" a="1"/>
  <c r="K350" i="2" s="1"/>
  <c r="J350" i="2"/>
  <c r="B350" i="2"/>
  <c r="N349" i="2"/>
  <c r="M349" i="2"/>
  <c r="L349" i="2" a="1"/>
  <c r="L349" i="2" s="1"/>
  <c r="K349" i="2" a="1"/>
  <c r="K349" i="2" s="1"/>
  <c r="J349" i="2"/>
  <c r="B349" i="2"/>
  <c r="N348" i="2"/>
  <c r="M348" i="2"/>
  <c r="L348" i="2" a="1"/>
  <c r="L348" i="2" s="1"/>
  <c r="K348" i="2" a="1"/>
  <c r="K348" i="2" s="1"/>
  <c r="J348" i="2"/>
  <c r="B348" i="2"/>
  <c r="N347" i="2"/>
  <c r="M347" i="2"/>
  <c r="L347" i="2" a="1"/>
  <c r="L347" i="2" s="1"/>
  <c r="K347" i="2" a="1"/>
  <c r="K347" i="2" s="1"/>
  <c r="J347" i="2"/>
  <c r="B347" i="2"/>
  <c r="N346" i="2"/>
  <c r="M346" i="2"/>
  <c r="L346" i="2" a="1"/>
  <c r="L346" i="2" s="1"/>
  <c r="K346" i="2" a="1"/>
  <c r="K346" i="2" s="1"/>
  <c r="J346" i="2"/>
  <c r="B346" i="2"/>
  <c r="N345" i="2"/>
  <c r="M345" i="2"/>
  <c r="L345" i="2" a="1"/>
  <c r="L345" i="2" s="1"/>
  <c r="K345" i="2" a="1"/>
  <c r="K345" i="2" s="1"/>
  <c r="J345" i="2"/>
  <c r="B345" i="2"/>
  <c r="N344" i="2"/>
  <c r="M344" i="2"/>
  <c r="L344" i="2" a="1"/>
  <c r="L344" i="2" s="1"/>
  <c r="K344" i="2" a="1"/>
  <c r="K344" i="2" s="1"/>
  <c r="J344" i="2"/>
  <c r="B344" i="2"/>
  <c r="N343" i="2"/>
  <c r="M343" i="2"/>
  <c r="L343" i="2" a="1"/>
  <c r="L343" i="2" s="1"/>
  <c r="K343" i="2" a="1"/>
  <c r="K343" i="2" s="1"/>
  <c r="J343" i="2"/>
  <c r="B343" i="2"/>
  <c r="N342" i="2"/>
  <c r="M342" i="2"/>
  <c r="L342" i="2" a="1"/>
  <c r="L342" i="2" s="1"/>
  <c r="K342" i="2" a="1"/>
  <c r="K342" i="2" s="1"/>
  <c r="J342" i="2"/>
  <c r="B342" i="2"/>
  <c r="N341" i="2"/>
  <c r="M341" i="2"/>
  <c r="L341" i="2" a="1"/>
  <c r="L341" i="2" s="1"/>
  <c r="K341" i="2" a="1"/>
  <c r="K341" i="2" s="1"/>
  <c r="J341" i="2"/>
  <c r="B341" i="2"/>
  <c r="N340" i="2"/>
  <c r="M340" i="2"/>
  <c r="L340" i="2" a="1"/>
  <c r="L340" i="2" s="1"/>
  <c r="K340" i="2" a="1"/>
  <c r="K340" i="2" s="1"/>
  <c r="J340" i="2"/>
  <c r="B340" i="2"/>
  <c r="N339" i="2"/>
  <c r="M339" i="2"/>
  <c r="L339" i="2" a="1"/>
  <c r="L339" i="2" s="1"/>
  <c r="K339" i="2" a="1"/>
  <c r="K339" i="2" s="1"/>
  <c r="J339" i="2"/>
  <c r="B339" i="2"/>
  <c r="N338" i="2"/>
  <c r="M338" i="2"/>
  <c r="L338" i="2" a="1"/>
  <c r="L338" i="2" s="1"/>
  <c r="K338" i="2" a="1"/>
  <c r="K338" i="2" s="1"/>
  <c r="J338" i="2"/>
  <c r="B338" i="2"/>
  <c r="N337" i="2"/>
  <c r="M337" i="2"/>
  <c r="L337" i="2" a="1"/>
  <c r="L337" i="2" s="1"/>
  <c r="K337" i="2" a="1"/>
  <c r="K337" i="2" s="1"/>
  <c r="J337" i="2"/>
  <c r="B337" i="2"/>
  <c r="N336" i="2"/>
  <c r="M336" i="2"/>
  <c r="L336" i="2" a="1"/>
  <c r="L336" i="2" s="1"/>
  <c r="K336" i="2" a="1"/>
  <c r="K336" i="2" s="1"/>
  <c r="J336" i="2"/>
  <c r="B336" i="2"/>
  <c r="N335" i="2"/>
  <c r="M335" i="2"/>
  <c r="L335" i="2" a="1"/>
  <c r="L335" i="2" s="1"/>
  <c r="K335" i="2" a="1"/>
  <c r="K335" i="2" s="1"/>
  <c r="J335" i="2"/>
  <c r="B335" i="2"/>
  <c r="N334" i="2"/>
  <c r="M334" i="2"/>
  <c r="L334" i="2" a="1"/>
  <c r="L334" i="2" s="1"/>
  <c r="K334" i="2" a="1"/>
  <c r="K334" i="2" s="1"/>
  <c r="J334" i="2"/>
  <c r="B334" i="2"/>
  <c r="N333" i="2"/>
  <c r="M333" i="2"/>
  <c r="L333" i="2" a="1"/>
  <c r="L333" i="2" s="1"/>
  <c r="K333" i="2" a="1"/>
  <c r="K333" i="2" s="1"/>
  <c r="J333" i="2"/>
  <c r="B333" i="2"/>
  <c r="N332" i="2"/>
  <c r="M332" i="2"/>
  <c r="L332" i="2" a="1"/>
  <c r="L332" i="2" s="1"/>
  <c r="K332" i="2" a="1"/>
  <c r="K332" i="2" s="1"/>
  <c r="J332" i="2"/>
  <c r="B332" i="2"/>
  <c r="N331" i="2"/>
  <c r="M331" i="2"/>
  <c r="L331" i="2" a="1"/>
  <c r="L331" i="2" s="1"/>
  <c r="K331" i="2" a="1"/>
  <c r="K331" i="2" s="1"/>
  <c r="J331" i="2"/>
  <c r="B331" i="2"/>
  <c r="V330" i="2"/>
  <c r="N330" i="2"/>
  <c r="M330" i="2"/>
  <c r="L330" i="2" a="1"/>
  <c r="L330" i="2" s="1"/>
  <c r="K330" i="2" a="1"/>
  <c r="K330" i="2" s="1"/>
  <c r="J330" i="2"/>
  <c r="B330" i="2"/>
  <c r="N329" i="2"/>
  <c r="M329" i="2"/>
  <c r="L329" i="2" a="1"/>
  <c r="L329" i="2" s="1"/>
  <c r="K329" i="2" a="1"/>
  <c r="K329" i="2" s="1"/>
  <c r="J329" i="2"/>
  <c r="B329" i="2"/>
  <c r="N328" i="2"/>
  <c r="M328" i="2"/>
  <c r="L328" i="2" a="1"/>
  <c r="L328" i="2" s="1"/>
  <c r="K328" i="2" a="1"/>
  <c r="K328" i="2" s="1"/>
  <c r="J328" i="2"/>
  <c r="B328" i="2"/>
  <c r="N327" i="2"/>
  <c r="M327" i="2"/>
  <c r="L327" i="2" a="1"/>
  <c r="L327" i="2" s="1"/>
  <c r="K327" i="2" a="1"/>
  <c r="K327" i="2" s="1"/>
  <c r="J327" i="2"/>
  <c r="B327" i="2"/>
  <c r="N326" i="2"/>
  <c r="M326" i="2"/>
  <c r="L326" i="2" a="1"/>
  <c r="L326" i="2" s="1"/>
  <c r="K326" i="2" a="1"/>
  <c r="K326" i="2" s="1"/>
  <c r="J326" i="2"/>
  <c r="B326" i="2"/>
  <c r="N325" i="2"/>
  <c r="M325" i="2"/>
  <c r="L325" i="2" a="1"/>
  <c r="L325" i="2" s="1"/>
  <c r="K325" i="2" a="1"/>
  <c r="K325" i="2" s="1"/>
  <c r="J325" i="2"/>
  <c r="B325" i="2"/>
  <c r="N324" i="2"/>
  <c r="M324" i="2"/>
  <c r="L324" i="2" a="1"/>
  <c r="L324" i="2" s="1"/>
  <c r="K324" i="2" a="1"/>
  <c r="K324" i="2" s="1"/>
  <c r="J324" i="2"/>
  <c r="B324" i="2"/>
  <c r="N323" i="2"/>
  <c r="M323" i="2"/>
  <c r="L323" i="2" a="1"/>
  <c r="L323" i="2" s="1"/>
  <c r="K323" i="2" a="1"/>
  <c r="K323" i="2" s="1"/>
  <c r="J323" i="2"/>
  <c r="B323" i="2"/>
  <c r="U322" i="2"/>
  <c r="A321" i="2"/>
  <c r="J320" i="2"/>
  <c r="N319" i="2"/>
  <c r="M319" i="2"/>
  <c r="L319" i="2" a="1"/>
  <c r="L319" i="2" s="1"/>
  <c r="K319" i="2" a="1"/>
  <c r="K319" i="2" s="1"/>
  <c r="J319" i="2"/>
  <c r="B319" i="2"/>
  <c r="N318" i="2"/>
  <c r="M318" i="2"/>
  <c r="L318" i="2" a="1"/>
  <c r="L318" i="2" s="1"/>
  <c r="K318" i="2" a="1"/>
  <c r="K318" i="2" s="1"/>
  <c r="J318" i="2"/>
  <c r="B318" i="2"/>
  <c r="N317" i="2"/>
  <c r="M317" i="2"/>
  <c r="L317" i="2" a="1"/>
  <c r="L317" i="2" s="1"/>
  <c r="K317" i="2" a="1"/>
  <c r="K317" i="2" s="1"/>
  <c r="J317" i="2"/>
  <c r="B317" i="2"/>
  <c r="N316" i="2"/>
  <c r="M316" i="2"/>
  <c r="L316" i="2" a="1"/>
  <c r="L316" i="2" s="1"/>
  <c r="K316" i="2" a="1"/>
  <c r="K316" i="2" s="1"/>
  <c r="J316" i="2"/>
  <c r="B316" i="2"/>
  <c r="N315" i="2"/>
  <c r="M315" i="2"/>
  <c r="L315" i="2" a="1"/>
  <c r="L315" i="2" s="1"/>
  <c r="K315" i="2" a="1"/>
  <c r="K315" i="2" s="1"/>
  <c r="J315" i="2"/>
  <c r="B315" i="2"/>
  <c r="N314" i="2"/>
  <c r="M314" i="2"/>
  <c r="L314" i="2" a="1"/>
  <c r="L314" i="2" s="1"/>
  <c r="K314" i="2" a="1"/>
  <c r="K314" i="2" s="1"/>
  <c r="J314" i="2"/>
  <c r="B314" i="2"/>
  <c r="N313" i="2"/>
  <c r="M313" i="2"/>
  <c r="L313" i="2" a="1"/>
  <c r="L313" i="2" s="1"/>
  <c r="K313" i="2" a="1"/>
  <c r="K313" i="2" s="1"/>
  <c r="J313" i="2"/>
  <c r="B313" i="2"/>
  <c r="N312" i="2"/>
  <c r="M312" i="2"/>
  <c r="L312" i="2" a="1"/>
  <c r="L312" i="2" s="1"/>
  <c r="K312" i="2" a="1"/>
  <c r="K312" i="2" s="1"/>
  <c r="J312" i="2"/>
  <c r="B312" i="2"/>
  <c r="N311" i="2"/>
  <c r="M311" i="2"/>
  <c r="L311" i="2" a="1"/>
  <c r="L311" i="2" s="1"/>
  <c r="K311" i="2" a="1"/>
  <c r="K311" i="2" s="1"/>
  <c r="J311" i="2"/>
  <c r="B311" i="2"/>
  <c r="N310" i="2"/>
  <c r="M310" i="2"/>
  <c r="L310" i="2" a="1"/>
  <c r="L310" i="2" s="1"/>
  <c r="K310" i="2" a="1"/>
  <c r="K310" i="2" s="1"/>
  <c r="J310" i="2"/>
  <c r="B310" i="2"/>
  <c r="N309" i="2"/>
  <c r="M309" i="2"/>
  <c r="L309" i="2" a="1"/>
  <c r="L309" i="2" s="1"/>
  <c r="K309" i="2" a="1"/>
  <c r="K309" i="2" s="1"/>
  <c r="J309" i="2"/>
  <c r="B309" i="2"/>
  <c r="N308" i="2"/>
  <c r="M308" i="2"/>
  <c r="L308" i="2" a="1"/>
  <c r="L308" i="2" s="1"/>
  <c r="K308" i="2" a="1"/>
  <c r="K308" i="2" s="1"/>
  <c r="J308" i="2"/>
  <c r="B308" i="2"/>
  <c r="N307" i="2"/>
  <c r="M307" i="2"/>
  <c r="L307" i="2" a="1"/>
  <c r="L307" i="2" s="1"/>
  <c r="K307" i="2" a="1"/>
  <c r="K307" i="2" s="1"/>
  <c r="J307" i="2"/>
  <c r="B307" i="2"/>
  <c r="N306" i="2"/>
  <c r="M306" i="2"/>
  <c r="L306" i="2" a="1"/>
  <c r="L306" i="2" s="1"/>
  <c r="K306" i="2" a="1"/>
  <c r="K306" i="2" s="1"/>
  <c r="J306" i="2"/>
  <c r="B306" i="2"/>
  <c r="N305" i="2"/>
  <c r="M305" i="2"/>
  <c r="L305" i="2" a="1"/>
  <c r="L305" i="2" s="1"/>
  <c r="K305" i="2" a="1"/>
  <c r="K305" i="2" s="1"/>
  <c r="J305" i="2"/>
  <c r="B305" i="2"/>
  <c r="N304" i="2"/>
  <c r="M304" i="2"/>
  <c r="L304" i="2" a="1"/>
  <c r="L304" i="2" s="1"/>
  <c r="K304" i="2" a="1"/>
  <c r="K304" i="2" s="1"/>
  <c r="J304" i="2"/>
  <c r="B304" i="2"/>
  <c r="N303" i="2"/>
  <c r="M303" i="2"/>
  <c r="L303" i="2" a="1"/>
  <c r="L303" i="2" s="1"/>
  <c r="K303" i="2" a="1"/>
  <c r="K303" i="2" s="1"/>
  <c r="J303" i="2"/>
  <c r="B303" i="2"/>
  <c r="N302" i="2"/>
  <c r="M302" i="2"/>
  <c r="L302" i="2" a="1"/>
  <c r="L302" i="2" s="1"/>
  <c r="K302" i="2" a="1"/>
  <c r="K302" i="2" s="1"/>
  <c r="J302" i="2"/>
  <c r="B302" i="2"/>
  <c r="N301" i="2"/>
  <c r="M301" i="2"/>
  <c r="L301" i="2" a="1"/>
  <c r="L301" i="2" s="1"/>
  <c r="K301" i="2" a="1"/>
  <c r="K301" i="2" s="1"/>
  <c r="J301" i="2"/>
  <c r="B301" i="2"/>
  <c r="N300" i="2"/>
  <c r="M300" i="2"/>
  <c r="L300" i="2" a="1"/>
  <c r="L300" i="2" s="1"/>
  <c r="K300" i="2" a="1"/>
  <c r="K300" i="2" s="1"/>
  <c r="J300" i="2"/>
  <c r="B300" i="2"/>
  <c r="N299" i="2"/>
  <c r="M299" i="2"/>
  <c r="L299" i="2" a="1"/>
  <c r="L299" i="2" s="1"/>
  <c r="K299" i="2" a="1"/>
  <c r="K299" i="2" s="1"/>
  <c r="J299" i="2"/>
  <c r="B299" i="2"/>
  <c r="N298" i="2"/>
  <c r="M298" i="2"/>
  <c r="L298" i="2" a="1"/>
  <c r="L298" i="2" s="1"/>
  <c r="K298" i="2" a="1"/>
  <c r="K298" i="2" s="1"/>
  <c r="J298" i="2"/>
  <c r="B298" i="2"/>
  <c r="N297" i="2"/>
  <c r="M297" i="2"/>
  <c r="L297" i="2" a="1"/>
  <c r="L297" i="2" s="1"/>
  <c r="K297" i="2" a="1"/>
  <c r="K297" i="2" s="1"/>
  <c r="J297" i="2"/>
  <c r="B297" i="2"/>
  <c r="N296" i="2"/>
  <c r="M296" i="2"/>
  <c r="L296" i="2" a="1"/>
  <c r="L296" i="2" s="1"/>
  <c r="K296" i="2" a="1"/>
  <c r="K296" i="2" s="1"/>
  <c r="J296" i="2"/>
  <c r="B296" i="2"/>
  <c r="N295" i="2"/>
  <c r="M295" i="2"/>
  <c r="L295" i="2" a="1"/>
  <c r="L295" i="2" s="1"/>
  <c r="K295" i="2" a="1"/>
  <c r="K295" i="2" s="1"/>
  <c r="J295" i="2"/>
  <c r="B295" i="2"/>
  <c r="N294" i="2"/>
  <c r="M294" i="2"/>
  <c r="L294" i="2" a="1"/>
  <c r="L294" i="2" s="1"/>
  <c r="K294" i="2" a="1"/>
  <c r="K294" i="2" s="1"/>
  <c r="J294" i="2"/>
  <c r="B294" i="2"/>
  <c r="N293" i="2"/>
  <c r="M293" i="2"/>
  <c r="L293" i="2" a="1"/>
  <c r="L293" i="2" s="1"/>
  <c r="K293" i="2" a="1"/>
  <c r="K293" i="2" s="1"/>
  <c r="J293" i="2"/>
  <c r="B293" i="2"/>
  <c r="N292" i="2"/>
  <c r="M292" i="2"/>
  <c r="L292" i="2" a="1"/>
  <c r="L292" i="2" s="1"/>
  <c r="K292" i="2" a="1"/>
  <c r="K292" i="2" s="1"/>
  <c r="J292" i="2"/>
  <c r="B292" i="2"/>
  <c r="N291" i="2"/>
  <c r="M291" i="2"/>
  <c r="L291" i="2" a="1"/>
  <c r="L291" i="2" s="1"/>
  <c r="K291" i="2" a="1"/>
  <c r="K291" i="2" s="1"/>
  <c r="J291" i="2"/>
  <c r="B291" i="2"/>
  <c r="N290" i="2"/>
  <c r="M290" i="2"/>
  <c r="L290" i="2" a="1"/>
  <c r="L290" i="2" s="1"/>
  <c r="K290" i="2" a="1"/>
  <c r="K290" i="2" s="1"/>
  <c r="J290" i="2"/>
  <c r="B290" i="2"/>
  <c r="N289" i="2"/>
  <c r="M289" i="2"/>
  <c r="L289" i="2" a="1"/>
  <c r="L289" i="2" s="1"/>
  <c r="K289" i="2" a="1"/>
  <c r="K289" i="2" s="1"/>
  <c r="J289" i="2"/>
  <c r="B289" i="2"/>
  <c r="N288" i="2"/>
  <c r="M288" i="2"/>
  <c r="L288" i="2" a="1"/>
  <c r="L288" i="2" s="1"/>
  <c r="K288" i="2" a="1"/>
  <c r="K288" i="2" s="1"/>
  <c r="J288" i="2"/>
  <c r="B288" i="2"/>
  <c r="N287" i="2"/>
  <c r="M287" i="2"/>
  <c r="L287" i="2" a="1"/>
  <c r="L287" i="2" s="1"/>
  <c r="K287" i="2" a="1"/>
  <c r="K287" i="2" s="1"/>
  <c r="J287" i="2"/>
  <c r="B287" i="2"/>
  <c r="N286" i="2"/>
  <c r="M286" i="2"/>
  <c r="L286" i="2" a="1"/>
  <c r="L286" i="2" s="1"/>
  <c r="K286" i="2" a="1"/>
  <c r="K286" i="2" s="1"/>
  <c r="J286" i="2"/>
  <c r="B286" i="2"/>
  <c r="N285" i="2"/>
  <c r="M285" i="2"/>
  <c r="L285" i="2" a="1"/>
  <c r="L285" i="2" s="1"/>
  <c r="K285" i="2" a="1"/>
  <c r="K285" i="2" s="1"/>
  <c r="J285" i="2"/>
  <c r="B285" i="2"/>
  <c r="N284" i="2"/>
  <c r="M284" i="2"/>
  <c r="L284" i="2" a="1"/>
  <c r="L284" i="2" s="1"/>
  <c r="K284" i="2" a="1"/>
  <c r="K284" i="2" s="1"/>
  <c r="J284" i="2"/>
  <c r="B284" i="2"/>
  <c r="N283" i="2"/>
  <c r="M283" i="2"/>
  <c r="L283" i="2" a="1"/>
  <c r="L283" i="2" s="1"/>
  <c r="K283" i="2" a="1"/>
  <c r="K283" i="2" s="1"/>
  <c r="J283" i="2"/>
  <c r="B283" i="2"/>
  <c r="N282" i="2"/>
  <c r="M282" i="2"/>
  <c r="L282" i="2" a="1"/>
  <c r="L282" i="2" s="1"/>
  <c r="K282" i="2" a="1"/>
  <c r="K282" i="2" s="1"/>
  <c r="J282" i="2"/>
  <c r="B282" i="2"/>
  <c r="N281" i="2"/>
  <c r="M281" i="2"/>
  <c r="L281" i="2" a="1"/>
  <c r="L281" i="2" s="1"/>
  <c r="K281" i="2" a="1"/>
  <c r="K281" i="2" s="1"/>
  <c r="J281" i="2"/>
  <c r="B281" i="2"/>
  <c r="N280" i="2"/>
  <c r="M280" i="2"/>
  <c r="L280" i="2" a="1"/>
  <c r="L280" i="2" s="1"/>
  <c r="K280" i="2" a="1"/>
  <c r="K280" i="2" s="1"/>
  <c r="J280" i="2"/>
  <c r="B280" i="2"/>
  <c r="N279" i="2"/>
  <c r="M279" i="2"/>
  <c r="L279" i="2" a="1"/>
  <c r="L279" i="2" s="1"/>
  <c r="K279" i="2" a="1"/>
  <c r="K279" i="2" s="1"/>
  <c r="J279" i="2"/>
  <c r="B279" i="2"/>
  <c r="N278" i="2"/>
  <c r="M278" i="2"/>
  <c r="L278" i="2" a="1"/>
  <c r="L278" i="2" s="1"/>
  <c r="K278" i="2" a="1"/>
  <c r="K278" i="2" s="1"/>
  <c r="J278" i="2"/>
  <c r="B278" i="2"/>
  <c r="N277" i="2"/>
  <c r="M277" i="2"/>
  <c r="L277" i="2" a="1"/>
  <c r="L277" i="2" s="1"/>
  <c r="K277" i="2" a="1"/>
  <c r="K277" i="2" s="1"/>
  <c r="J277" i="2"/>
  <c r="B277" i="2"/>
  <c r="N276" i="2"/>
  <c r="M276" i="2"/>
  <c r="L276" i="2" a="1"/>
  <c r="L276" i="2" s="1"/>
  <c r="K276" i="2" a="1"/>
  <c r="K276" i="2" s="1"/>
  <c r="J276" i="2"/>
  <c r="B276" i="2"/>
  <c r="N275" i="2"/>
  <c r="M275" i="2"/>
  <c r="L275" i="2" a="1"/>
  <c r="L275" i="2" s="1"/>
  <c r="K275" i="2" a="1"/>
  <c r="K275" i="2" s="1"/>
  <c r="J275" i="2"/>
  <c r="B275" i="2"/>
  <c r="N274" i="2"/>
  <c r="M274" i="2"/>
  <c r="L274" i="2" a="1"/>
  <c r="L274" i="2" s="1"/>
  <c r="K274" i="2" a="1"/>
  <c r="K274" i="2" s="1"/>
  <c r="J274" i="2"/>
  <c r="B274" i="2"/>
  <c r="N273" i="2"/>
  <c r="M273" i="2"/>
  <c r="L273" i="2" a="1"/>
  <c r="L273" i="2" s="1"/>
  <c r="K273" i="2" a="1"/>
  <c r="K273" i="2" s="1"/>
  <c r="J273" i="2"/>
  <c r="B273" i="2"/>
  <c r="N272" i="2"/>
  <c r="M272" i="2"/>
  <c r="L272" i="2" a="1"/>
  <c r="L272" i="2" s="1"/>
  <c r="K272" i="2" a="1"/>
  <c r="K272" i="2" s="1"/>
  <c r="J272" i="2"/>
  <c r="B272" i="2"/>
  <c r="N271" i="2"/>
  <c r="M271" i="2"/>
  <c r="L271" i="2" a="1"/>
  <c r="L271" i="2" s="1"/>
  <c r="K271" i="2" a="1"/>
  <c r="K271" i="2" s="1"/>
  <c r="J271" i="2"/>
  <c r="B271" i="2"/>
  <c r="N270" i="2"/>
  <c r="M270" i="2"/>
  <c r="L270" i="2" a="1"/>
  <c r="L270" i="2" s="1"/>
  <c r="K270" i="2" a="1"/>
  <c r="K270" i="2" s="1"/>
  <c r="J270" i="2"/>
  <c r="B270" i="2"/>
  <c r="N269" i="2"/>
  <c r="M269" i="2"/>
  <c r="L269" i="2" a="1"/>
  <c r="L269" i="2" s="1"/>
  <c r="K269" i="2" a="1"/>
  <c r="K269" i="2" s="1"/>
  <c r="J269" i="2"/>
  <c r="B269" i="2"/>
  <c r="N268" i="2"/>
  <c r="M268" i="2"/>
  <c r="L268" i="2" a="1"/>
  <c r="L268" i="2" s="1"/>
  <c r="K268" i="2" a="1"/>
  <c r="K268" i="2" s="1"/>
  <c r="J268" i="2"/>
  <c r="B268" i="2"/>
  <c r="N267" i="2"/>
  <c r="M267" i="2"/>
  <c r="L267" i="2" a="1"/>
  <c r="L267" i="2" s="1"/>
  <c r="K267" i="2" a="1"/>
  <c r="K267" i="2" s="1"/>
  <c r="J267" i="2"/>
  <c r="B267" i="2"/>
  <c r="N266" i="2"/>
  <c r="M266" i="2"/>
  <c r="L266" i="2" a="1"/>
  <c r="L266" i="2" s="1"/>
  <c r="K266" i="2" a="1"/>
  <c r="K266" i="2" s="1"/>
  <c r="J266" i="2"/>
  <c r="B266" i="2"/>
  <c r="N265" i="2"/>
  <c r="M265" i="2"/>
  <c r="L265" i="2" a="1"/>
  <c r="L265" i="2" s="1"/>
  <c r="K265" i="2" a="1"/>
  <c r="K265" i="2" s="1"/>
  <c r="J265" i="2"/>
  <c r="B265" i="2"/>
  <c r="N264" i="2"/>
  <c r="M264" i="2"/>
  <c r="L264" i="2" a="1"/>
  <c r="L264" i="2" s="1"/>
  <c r="K264" i="2" a="1"/>
  <c r="K264" i="2" s="1"/>
  <c r="J264" i="2"/>
  <c r="B264" i="2"/>
  <c r="N263" i="2"/>
  <c r="M263" i="2"/>
  <c r="L263" i="2" a="1"/>
  <c r="L263" i="2" s="1"/>
  <c r="K263" i="2" a="1"/>
  <c r="K263" i="2" s="1"/>
  <c r="J263" i="2"/>
  <c r="B263" i="2"/>
  <c r="N262" i="2"/>
  <c r="M262" i="2"/>
  <c r="L262" i="2" a="1"/>
  <c r="L262" i="2" s="1"/>
  <c r="K262" i="2" a="1"/>
  <c r="K262" i="2" s="1"/>
  <c r="J262" i="2"/>
  <c r="B262" i="2"/>
  <c r="N261" i="2"/>
  <c r="M261" i="2"/>
  <c r="L261" i="2" a="1"/>
  <c r="L261" i="2" s="1"/>
  <c r="K261" i="2" a="1"/>
  <c r="K261" i="2" s="1"/>
  <c r="J261" i="2"/>
  <c r="B261" i="2"/>
  <c r="N260" i="2"/>
  <c r="M260" i="2"/>
  <c r="L260" i="2" a="1"/>
  <c r="L260" i="2" s="1"/>
  <c r="K260" i="2" a="1"/>
  <c r="K260" i="2" s="1"/>
  <c r="J260" i="2"/>
  <c r="B260" i="2"/>
  <c r="N259" i="2"/>
  <c r="M259" i="2"/>
  <c r="L259" i="2" a="1"/>
  <c r="L259" i="2" s="1"/>
  <c r="K259" i="2" a="1"/>
  <c r="K259" i="2" s="1"/>
  <c r="J259" i="2"/>
  <c r="B259" i="2"/>
  <c r="N258" i="2"/>
  <c r="M258" i="2"/>
  <c r="L258" i="2" a="1"/>
  <c r="L258" i="2" s="1"/>
  <c r="K258" i="2" a="1"/>
  <c r="K258" i="2" s="1"/>
  <c r="J258" i="2"/>
  <c r="B258" i="2"/>
  <c r="N257" i="2"/>
  <c r="M257" i="2"/>
  <c r="L257" i="2" a="1"/>
  <c r="L257" i="2" s="1"/>
  <c r="K257" i="2" a="1"/>
  <c r="K257" i="2" s="1"/>
  <c r="J257" i="2"/>
  <c r="B257" i="2"/>
  <c r="N256" i="2"/>
  <c r="M256" i="2"/>
  <c r="L256" i="2" a="1"/>
  <c r="L256" i="2" s="1"/>
  <c r="K256" i="2" a="1"/>
  <c r="K256" i="2" s="1"/>
  <c r="J256" i="2"/>
  <c r="B256" i="2"/>
  <c r="N255" i="2"/>
  <c r="M255" i="2"/>
  <c r="L255" i="2" a="1"/>
  <c r="L255" i="2" s="1"/>
  <c r="K255" i="2" a="1"/>
  <c r="K255" i="2" s="1"/>
  <c r="J255" i="2"/>
  <c r="B255" i="2"/>
  <c r="N254" i="2"/>
  <c r="M254" i="2"/>
  <c r="L254" i="2" a="1"/>
  <c r="L254" i="2" s="1"/>
  <c r="K254" i="2" a="1"/>
  <c r="K254" i="2" s="1"/>
  <c r="J254" i="2"/>
  <c r="B254" i="2"/>
  <c r="N253" i="2"/>
  <c r="M253" i="2"/>
  <c r="L253" i="2" a="1"/>
  <c r="L253" i="2" s="1"/>
  <c r="K253" i="2" a="1"/>
  <c r="K253" i="2" s="1"/>
  <c r="J253" i="2"/>
  <c r="B253" i="2"/>
  <c r="N252" i="2"/>
  <c r="M252" i="2"/>
  <c r="L252" i="2" a="1"/>
  <c r="L252" i="2" s="1"/>
  <c r="K252" i="2" a="1"/>
  <c r="K252" i="2" s="1"/>
  <c r="J252" i="2"/>
  <c r="B252" i="2"/>
  <c r="N251" i="2"/>
  <c r="M251" i="2"/>
  <c r="L251" i="2" a="1"/>
  <c r="L251" i="2" s="1"/>
  <c r="K251" i="2" a="1"/>
  <c r="K251" i="2" s="1"/>
  <c r="J251" i="2"/>
  <c r="B251" i="2"/>
  <c r="N250" i="2"/>
  <c r="M250" i="2"/>
  <c r="L250" i="2" a="1"/>
  <c r="L250" i="2" s="1"/>
  <c r="K250" i="2" a="1"/>
  <c r="K250" i="2" s="1"/>
  <c r="J250" i="2"/>
  <c r="B250" i="2"/>
  <c r="N249" i="2"/>
  <c r="M249" i="2"/>
  <c r="L249" i="2" a="1"/>
  <c r="L249" i="2" s="1"/>
  <c r="K249" i="2" a="1"/>
  <c r="K249" i="2" s="1"/>
  <c r="J249" i="2"/>
  <c r="B249" i="2"/>
  <c r="N248" i="2"/>
  <c r="M248" i="2"/>
  <c r="L248" i="2" a="1"/>
  <c r="L248" i="2" s="1"/>
  <c r="K248" i="2" a="1"/>
  <c r="K248" i="2" s="1"/>
  <c r="J248" i="2"/>
  <c r="B248" i="2"/>
  <c r="N247" i="2"/>
  <c r="M247" i="2"/>
  <c r="L247" i="2" a="1"/>
  <c r="L247" i="2" s="1"/>
  <c r="K247" i="2" a="1"/>
  <c r="K247" i="2" s="1"/>
  <c r="J247" i="2"/>
  <c r="B247" i="2"/>
  <c r="N246" i="2"/>
  <c r="M246" i="2"/>
  <c r="L246" i="2" a="1"/>
  <c r="L246" i="2" s="1"/>
  <c r="K246" i="2" a="1"/>
  <c r="K246" i="2" s="1"/>
  <c r="J246" i="2"/>
  <c r="B246" i="2"/>
  <c r="N245" i="2"/>
  <c r="M245" i="2"/>
  <c r="L245" i="2" a="1"/>
  <c r="L245" i="2" s="1"/>
  <c r="K245" i="2" a="1"/>
  <c r="K245" i="2" s="1"/>
  <c r="J245" i="2"/>
  <c r="B245" i="2"/>
  <c r="N244" i="2"/>
  <c r="M244" i="2"/>
  <c r="L244" i="2" a="1"/>
  <c r="L244" i="2" s="1"/>
  <c r="K244" i="2" a="1"/>
  <c r="K244" i="2" s="1"/>
  <c r="J244" i="2"/>
  <c r="B244" i="2"/>
  <c r="N243" i="2"/>
  <c r="M243" i="2"/>
  <c r="L243" i="2" a="1"/>
  <c r="L243" i="2" s="1"/>
  <c r="K243" i="2" a="1"/>
  <c r="K243" i="2" s="1"/>
  <c r="J243" i="2"/>
  <c r="B243" i="2"/>
  <c r="N242" i="2"/>
  <c r="M242" i="2"/>
  <c r="L242" i="2" a="1"/>
  <c r="L242" i="2" s="1"/>
  <c r="K242" i="2" a="1"/>
  <c r="K242" i="2" s="1"/>
  <c r="J242" i="2"/>
  <c r="B242" i="2"/>
  <c r="N241" i="2"/>
  <c r="M241" i="2"/>
  <c r="L241" i="2" a="1"/>
  <c r="L241" i="2" s="1"/>
  <c r="K241" i="2" a="1"/>
  <c r="K241" i="2" s="1"/>
  <c r="J241" i="2"/>
  <c r="B241" i="2"/>
  <c r="N240" i="2"/>
  <c r="M240" i="2"/>
  <c r="L240" i="2" a="1"/>
  <c r="L240" i="2" s="1"/>
  <c r="K240" i="2" a="1"/>
  <c r="K240" i="2" s="1"/>
  <c r="J240" i="2"/>
  <c r="B240" i="2"/>
  <c r="N239" i="2"/>
  <c r="M239" i="2"/>
  <c r="L239" i="2" a="1"/>
  <c r="L239" i="2" s="1"/>
  <c r="K239" i="2" a="1"/>
  <c r="K239" i="2" s="1"/>
  <c r="J239" i="2"/>
  <c r="B239" i="2"/>
  <c r="N238" i="2"/>
  <c r="M238" i="2"/>
  <c r="L238" i="2" a="1"/>
  <c r="L238" i="2" s="1"/>
  <c r="K238" i="2" a="1"/>
  <c r="K238" i="2" s="1"/>
  <c r="J238" i="2"/>
  <c r="B238" i="2"/>
  <c r="N237" i="2"/>
  <c r="M237" i="2"/>
  <c r="L237" i="2" a="1"/>
  <c r="L237" i="2" s="1"/>
  <c r="K237" i="2" a="1"/>
  <c r="K237" i="2" s="1"/>
  <c r="J237" i="2"/>
  <c r="B237" i="2"/>
  <c r="N236" i="2"/>
  <c r="M236" i="2"/>
  <c r="L236" i="2" a="1"/>
  <c r="L236" i="2" s="1"/>
  <c r="K236" i="2" a="1"/>
  <c r="K236" i="2" s="1"/>
  <c r="J236" i="2"/>
  <c r="B236" i="2"/>
  <c r="N235" i="2"/>
  <c r="M235" i="2"/>
  <c r="L235" i="2" a="1"/>
  <c r="L235" i="2" s="1"/>
  <c r="K235" i="2" a="1"/>
  <c r="K235" i="2" s="1"/>
  <c r="J235" i="2"/>
  <c r="B235" i="2"/>
  <c r="N234" i="2"/>
  <c r="M234" i="2"/>
  <c r="L234" i="2" a="1"/>
  <c r="L234" i="2" s="1"/>
  <c r="K234" i="2" a="1"/>
  <c r="K234" i="2" s="1"/>
  <c r="J234" i="2"/>
  <c r="B234" i="2"/>
  <c r="N233" i="2"/>
  <c r="M233" i="2"/>
  <c r="L233" i="2" a="1"/>
  <c r="L233" i="2" s="1"/>
  <c r="K233" i="2" a="1"/>
  <c r="K233" i="2" s="1"/>
  <c r="J233" i="2"/>
  <c r="B233" i="2"/>
  <c r="N232" i="2"/>
  <c r="M232" i="2"/>
  <c r="L232" i="2" a="1"/>
  <c r="L232" i="2" s="1"/>
  <c r="K232" i="2" a="1"/>
  <c r="K232" i="2" s="1"/>
  <c r="J232" i="2"/>
  <c r="B232" i="2"/>
  <c r="N231" i="2"/>
  <c r="M231" i="2"/>
  <c r="L231" i="2" a="1"/>
  <c r="L231" i="2" s="1"/>
  <c r="K231" i="2" a="1"/>
  <c r="K231" i="2" s="1"/>
  <c r="J231" i="2"/>
  <c r="B231" i="2"/>
  <c r="N230" i="2"/>
  <c r="M230" i="2"/>
  <c r="L230" i="2" a="1"/>
  <c r="L230" i="2" s="1"/>
  <c r="K230" i="2" a="1"/>
  <c r="K230" i="2" s="1"/>
  <c r="J230" i="2"/>
  <c r="B230" i="2"/>
  <c r="N229" i="2"/>
  <c r="M229" i="2"/>
  <c r="L229" i="2" a="1"/>
  <c r="L229" i="2" s="1"/>
  <c r="K229" i="2" a="1"/>
  <c r="K229" i="2" s="1"/>
  <c r="J229" i="2"/>
  <c r="B229" i="2"/>
  <c r="N228" i="2"/>
  <c r="M228" i="2"/>
  <c r="L228" i="2" a="1"/>
  <c r="L228" i="2" s="1"/>
  <c r="K228" i="2" a="1"/>
  <c r="K228" i="2" s="1"/>
  <c r="J228" i="2"/>
  <c r="B228" i="2"/>
  <c r="V227" i="2"/>
  <c r="N227" i="2"/>
  <c r="M227" i="2"/>
  <c r="L227" i="2" a="1"/>
  <c r="L227" i="2" s="1"/>
  <c r="K227" i="2" a="1"/>
  <c r="K227" i="2" s="1"/>
  <c r="J227" i="2"/>
  <c r="B227" i="2"/>
  <c r="N226" i="2"/>
  <c r="M226" i="2"/>
  <c r="L226" i="2" a="1"/>
  <c r="L226" i="2" s="1"/>
  <c r="K226" i="2" a="1"/>
  <c r="K226" i="2" s="1"/>
  <c r="J226" i="2"/>
  <c r="B226" i="2"/>
  <c r="N225" i="2"/>
  <c r="M225" i="2"/>
  <c r="L225" i="2" a="1"/>
  <c r="L225" i="2" s="1"/>
  <c r="K225" i="2" a="1"/>
  <c r="K225" i="2" s="1"/>
  <c r="J225" i="2"/>
  <c r="B225" i="2"/>
  <c r="N224" i="2"/>
  <c r="M224" i="2"/>
  <c r="L224" i="2" a="1"/>
  <c r="L224" i="2" s="1"/>
  <c r="K224" i="2" a="1"/>
  <c r="K224" i="2" s="1"/>
  <c r="J224" i="2"/>
  <c r="B224" i="2"/>
  <c r="N223" i="2"/>
  <c r="M223" i="2"/>
  <c r="L223" i="2" a="1"/>
  <c r="L223" i="2" s="1"/>
  <c r="K223" i="2" a="1"/>
  <c r="K223" i="2" s="1"/>
  <c r="J223" i="2"/>
  <c r="B223" i="2"/>
  <c r="N222" i="2"/>
  <c r="M222" i="2"/>
  <c r="L222" i="2" a="1"/>
  <c r="L222" i="2" s="1"/>
  <c r="K222" i="2" a="1"/>
  <c r="K222" i="2" s="1"/>
  <c r="J222" i="2"/>
  <c r="B222" i="2"/>
  <c r="N221" i="2"/>
  <c r="M221" i="2"/>
  <c r="L221" i="2" a="1"/>
  <c r="L221" i="2" s="1"/>
  <c r="K221" i="2" a="1"/>
  <c r="K221" i="2" s="1"/>
  <c r="J221" i="2"/>
  <c r="B221" i="2"/>
  <c r="B220" i="2"/>
  <c r="U219" i="2"/>
  <c r="A218" i="2"/>
  <c r="J217" i="2"/>
  <c r="N216" i="2"/>
  <c r="M216" i="2"/>
  <c r="L216" i="2" a="1"/>
  <c r="L216" i="2" s="1"/>
  <c r="K216" i="2" a="1"/>
  <c r="K216" i="2" s="1"/>
  <c r="J216" i="2"/>
  <c r="B216" i="2"/>
  <c r="N215" i="2"/>
  <c r="M215" i="2"/>
  <c r="L215" i="2" a="1"/>
  <c r="L215" i="2" s="1"/>
  <c r="K215" i="2" a="1"/>
  <c r="K215" i="2" s="1"/>
  <c r="J215" i="2"/>
  <c r="B215" i="2"/>
  <c r="N214" i="2"/>
  <c r="M214" i="2"/>
  <c r="L214" i="2" a="1"/>
  <c r="L214" i="2" s="1"/>
  <c r="K214" i="2" a="1"/>
  <c r="K214" i="2" s="1"/>
  <c r="J214" i="2"/>
  <c r="B214" i="2"/>
  <c r="N213" i="2"/>
  <c r="M213" i="2"/>
  <c r="L213" i="2" a="1"/>
  <c r="L213" i="2" s="1"/>
  <c r="K213" i="2" a="1"/>
  <c r="K213" i="2" s="1"/>
  <c r="J213" i="2"/>
  <c r="B213" i="2"/>
  <c r="N212" i="2"/>
  <c r="M212" i="2"/>
  <c r="L212" i="2" a="1"/>
  <c r="L212" i="2" s="1"/>
  <c r="K212" i="2" a="1"/>
  <c r="K212" i="2" s="1"/>
  <c r="J212" i="2"/>
  <c r="B212" i="2"/>
  <c r="N211" i="2"/>
  <c r="M211" i="2"/>
  <c r="L211" i="2" a="1"/>
  <c r="L211" i="2" s="1"/>
  <c r="K211" i="2" a="1"/>
  <c r="K211" i="2" s="1"/>
  <c r="J211" i="2"/>
  <c r="B211" i="2"/>
  <c r="N210" i="2"/>
  <c r="M210" i="2"/>
  <c r="L210" i="2" a="1"/>
  <c r="L210" i="2" s="1"/>
  <c r="K210" i="2" a="1"/>
  <c r="K210" i="2" s="1"/>
  <c r="J210" i="2"/>
  <c r="B210" i="2"/>
  <c r="N209" i="2"/>
  <c r="M209" i="2"/>
  <c r="L209" i="2" a="1"/>
  <c r="L209" i="2" s="1"/>
  <c r="K209" i="2" a="1"/>
  <c r="K209" i="2" s="1"/>
  <c r="J209" i="2"/>
  <c r="B209" i="2"/>
  <c r="N208" i="2"/>
  <c r="M208" i="2"/>
  <c r="L208" i="2" a="1"/>
  <c r="L208" i="2" s="1"/>
  <c r="K208" i="2" a="1"/>
  <c r="K208" i="2" s="1"/>
  <c r="J208" i="2"/>
  <c r="B208" i="2"/>
  <c r="N207" i="2"/>
  <c r="M207" i="2"/>
  <c r="L207" i="2" a="1"/>
  <c r="L207" i="2" s="1"/>
  <c r="K207" i="2" a="1"/>
  <c r="K207" i="2" s="1"/>
  <c r="J207" i="2"/>
  <c r="B207" i="2"/>
  <c r="N206" i="2"/>
  <c r="M206" i="2"/>
  <c r="L206" i="2" a="1"/>
  <c r="L206" i="2" s="1"/>
  <c r="K206" i="2" a="1"/>
  <c r="K206" i="2" s="1"/>
  <c r="J206" i="2"/>
  <c r="B206" i="2"/>
  <c r="N205" i="2"/>
  <c r="M205" i="2"/>
  <c r="L205" i="2" a="1"/>
  <c r="L205" i="2" s="1"/>
  <c r="K205" i="2" a="1"/>
  <c r="K205" i="2" s="1"/>
  <c r="J205" i="2"/>
  <c r="B205" i="2"/>
  <c r="N204" i="2"/>
  <c r="M204" i="2"/>
  <c r="L204" i="2" a="1"/>
  <c r="L204" i="2" s="1"/>
  <c r="K204" i="2" a="1"/>
  <c r="K204" i="2" s="1"/>
  <c r="J204" i="2"/>
  <c r="B204" i="2"/>
  <c r="N203" i="2"/>
  <c r="M203" i="2"/>
  <c r="L203" i="2" a="1"/>
  <c r="L203" i="2" s="1"/>
  <c r="K203" i="2" a="1"/>
  <c r="K203" i="2" s="1"/>
  <c r="J203" i="2"/>
  <c r="B203" i="2"/>
  <c r="N202" i="2"/>
  <c r="M202" i="2"/>
  <c r="L202" i="2" a="1"/>
  <c r="L202" i="2" s="1"/>
  <c r="K202" i="2" a="1"/>
  <c r="K202" i="2" s="1"/>
  <c r="J202" i="2"/>
  <c r="B202" i="2"/>
  <c r="N201" i="2"/>
  <c r="M201" i="2"/>
  <c r="L201" i="2" a="1"/>
  <c r="L201" i="2" s="1"/>
  <c r="K201" i="2" a="1"/>
  <c r="K201" i="2" s="1"/>
  <c r="J201" i="2"/>
  <c r="B201" i="2"/>
  <c r="N200" i="2"/>
  <c r="M200" i="2"/>
  <c r="L200" i="2" a="1"/>
  <c r="L200" i="2" s="1"/>
  <c r="K200" i="2" a="1"/>
  <c r="K200" i="2" s="1"/>
  <c r="J200" i="2"/>
  <c r="B200" i="2"/>
  <c r="N199" i="2"/>
  <c r="M199" i="2"/>
  <c r="L199" i="2" a="1"/>
  <c r="L199" i="2" s="1"/>
  <c r="K199" i="2" a="1"/>
  <c r="K199" i="2" s="1"/>
  <c r="J199" i="2"/>
  <c r="B199" i="2"/>
  <c r="N198" i="2"/>
  <c r="M198" i="2"/>
  <c r="L198" i="2" a="1"/>
  <c r="L198" i="2" s="1"/>
  <c r="K198" i="2" a="1"/>
  <c r="K198" i="2" s="1"/>
  <c r="J198" i="2"/>
  <c r="B198" i="2"/>
  <c r="N197" i="2"/>
  <c r="M197" i="2"/>
  <c r="L197" i="2" a="1"/>
  <c r="L197" i="2" s="1"/>
  <c r="K197" i="2" a="1"/>
  <c r="K197" i="2" s="1"/>
  <c r="J197" i="2"/>
  <c r="B197" i="2"/>
  <c r="N196" i="2"/>
  <c r="M196" i="2"/>
  <c r="L196" i="2" a="1"/>
  <c r="L196" i="2" s="1"/>
  <c r="K196" i="2" a="1"/>
  <c r="K196" i="2" s="1"/>
  <c r="J196" i="2"/>
  <c r="B196" i="2"/>
  <c r="N195" i="2"/>
  <c r="M195" i="2"/>
  <c r="L195" i="2" a="1"/>
  <c r="L195" i="2" s="1"/>
  <c r="K195" i="2" a="1"/>
  <c r="K195" i="2" s="1"/>
  <c r="J195" i="2"/>
  <c r="B195" i="2"/>
  <c r="N194" i="2"/>
  <c r="M194" i="2"/>
  <c r="L194" i="2" a="1"/>
  <c r="L194" i="2" s="1"/>
  <c r="K194" i="2" a="1"/>
  <c r="K194" i="2" s="1"/>
  <c r="J194" i="2"/>
  <c r="B194" i="2"/>
  <c r="N193" i="2"/>
  <c r="M193" i="2"/>
  <c r="L193" i="2" a="1"/>
  <c r="L193" i="2" s="1"/>
  <c r="K193" i="2" a="1"/>
  <c r="K193" i="2" s="1"/>
  <c r="J193" i="2"/>
  <c r="B193" i="2"/>
  <c r="N192" i="2"/>
  <c r="M192" i="2"/>
  <c r="L192" i="2" a="1"/>
  <c r="L192" i="2" s="1"/>
  <c r="K192" i="2" a="1"/>
  <c r="K192" i="2" s="1"/>
  <c r="J192" i="2"/>
  <c r="B192" i="2"/>
  <c r="N191" i="2"/>
  <c r="M191" i="2"/>
  <c r="L191" i="2" a="1"/>
  <c r="L191" i="2" s="1"/>
  <c r="K191" i="2" a="1"/>
  <c r="K191" i="2" s="1"/>
  <c r="J191" i="2"/>
  <c r="B191" i="2"/>
  <c r="N190" i="2"/>
  <c r="M190" i="2"/>
  <c r="L190" i="2" a="1"/>
  <c r="L190" i="2" s="1"/>
  <c r="K190" i="2" a="1"/>
  <c r="K190" i="2" s="1"/>
  <c r="J190" i="2"/>
  <c r="B190" i="2"/>
  <c r="N189" i="2"/>
  <c r="M189" i="2"/>
  <c r="L189" i="2" a="1"/>
  <c r="L189" i="2" s="1"/>
  <c r="K189" i="2" a="1"/>
  <c r="K189" i="2" s="1"/>
  <c r="J189" i="2"/>
  <c r="B189" i="2"/>
  <c r="N188" i="2"/>
  <c r="M188" i="2"/>
  <c r="L188" i="2" a="1"/>
  <c r="L188" i="2" s="1"/>
  <c r="K188" i="2" a="1"/>
  <c r="K188" i="2" s="1"/>
  <c r="J188" i="2"/>
  <c r="B188" i="2"/>
  <c r="N187" i="2"/>
  <c r="M187" i="2"/>
  <c r="L187" i="2" a="1"/>
  <c r="L187" i="2" s="1"/>
  <c r="K187" i="2" a="1"/>
  <c r="K187" i="2" s="1"/>
  <c r="J187" i="2"/>
  <c r="B187" i="2"/>
  <c r="N186" i="2"/>
  <c r="M186" i="2"/>
  <c r="L186" i="2" a="1"/>
  <c r="L186" i="2" s="1"/>
  <c r="K186" i="2" a="1"/>
  <c r="K186" i="2" s="1"/>
  <c r="J186" i="2"/>
  <c r="B186" i="2"/>
  <c r="N185" i="2"/>
  <c r="M185" i="2"/>
  <c r="L185" i="2" a="1"/>
  <c r="L185" i="2" s="1"/>
  <c r="K185" i="2" a="1"/>
  <c r="K185" i="2" s="1"/>
  <c r="J185" i="2"/>
  <c r="B185" i="2"/>
  <c r="N184" i="2"/>
  <c r="M184" i="2"/>
  <c r="L184" i="2" a="1"/>
  <c r="L184" i="2" s="1"/>
  <c r="K184" i="2" a="1"/>
  <c r="K184" i="2" s="1"/>
  <c r="J184" i="2"/>
  <c r="B184" i="2"/>
  <c r="N183" i="2"/>
  <c r="M183" i="2"/>
  <c r="L183" i="2" a="1"/>
  <c r="L183" i="2" s="1"/>
  <c r="K183" i="2" a="1"/>
  <c r="K183" i="2" s="1"/>
  <c r="J183" i="2"/>
  <c r="B183" i="2"/>
  <c r="N182" i="2"/>
  <c r="M182" i="2"/>
  <c r="L182" i="2" a="1"/>
  <c r="L182" i="2" s="1"/>
  <c r="K182" i="2" a="1"/>
  <c r="K182" i="2" s="1"/>
  <c r="J182" i="2"/>
  <c r="B182" i="2"/>
  <c r="N181" i="2"/>
  <c r="M181" i="2"/>
  <c r="L181" i="2" a="1"/>
  <c r="L181" i="2" s="1"/>
  <c r="K181" i="2" a="1"/>
  <c r="K181" i="2" s="1"/>
  <c r="J181" i="2"/>
  <c r="B181" i="2"/>
  <c r="N180" i="2"/>
  <c r="M180" i="2"/>
  <c r="L180" i="2" a="1"/>
  <c r="L180" i="2" s="1"/>
  <c r="K180" i="2" a="1"/>
  <c r="K180" i="2" s="1"/>
  <c r="J180" i="2"/>
  <c r="B180" i="2"/>
  <c r="N179" i="2"/>
  <c r="M179" i="2"/>
  <c r="L179" i="2" a="1"/>
  <c r="L179" i="2" s="1"/>
  <c r="K179" i="2" a="1"/>
  <c r="K179" i="2" s="1"/>
  <c r="J179" i="2"/>
  <c r="B179" i="2"/>
  <c r="N178" i="2"/>
  <c r="M178" i="2"/>
  <c r="L178" i="2" a="1"/>
  <c r="L178" i="2" s="1"/>
  <c r="K178" i="2" a="1"/>
  <c r="K178" i="2" s="1"/>
  <c r="J178" i="2"/>
  <c r="B178" i="2"/>
  <c r="N177" i="2"/>
  <c r="M177" i="2"/>
  <c r="L177" i="2" a="1"/>
  <c r="L177" i="2" s="1"/>
  <c r="K177" i="2" a="1"/>
  <c r="K177" i="2" s="1"/>
  <c r="J177" i="2"/>
  <c r="B177" i="2"/>
  <c r="N176" i="2"/>
  <c r="M176" i="2"/>
  <c r="L176" i="2" a="1"/>
  <c r="L176" i="2" s="1"/>
  <c r="K176" i="2" a="1"/>
  <c r="K176" i="2" s="1"/>
  <c r="J176" i="2"/>
  <c r="B176" i="2"/>
  <c r="N175" i="2"/>
  <c r="M175" i="2"/>
  <c r="L175" i="2" a="1"/>
  <c r="L175" i="2" s="1"/>
  <c r="K175" i="2" a="1"/>
  <c r="K175" i="2" s="1"/>
  <c r="J175" i="2"/>
  <c r="B175" i="2"/>
  <c r="N174" i="2"/>
  <c r="M174" i="2"/>
  <c r="L174" i="2" a="1"/>
  <c r="L174" i="2" s="1"/>
  <c r="K174" i="2" a="1"/>
  <c r="K174" i="2" s="1"/>
  <c r="J174" i="2"/>
  <c r="B174" i="2"/>
  <c r="N173" i="2"/>
  <c r="M173" i="2"/>
  <c r="L173" i="2" a="1"/>
  <c r="L173" i="2" s="1"/>
  <c r="K173" i="2" a="1"/>
  <c r="K173" i="2" s="1"/>
  <c r="J173" i="2"/>
  <c r="B173" i="2"/>
  <c r="N172" i="2"/>
  <c r="M172" i="2"/>
  <c r="L172" i="2" a="1"/>
  <c r="L172" i="2" s="1"/>
  <c r="K172" i="2" a="1"/>
  <c r="K172" i="2" s="1"/>
  <c r="J172" i="2"/>
  <c r="B172" i="2"/>
  <c r="N171" i="2"/>
  <c r="M171" i="2"/>
  <c r="L171" i="2" a="1"/>
  <c r="L171" i="2" s="1"/>
  <c r="K171" i="2" a="1"/>
  <c r="K171" i="2" s="1"/>
  <c r="J171" i="2"/>
  <c r="B171" i="2"/>
  <c r="N170" i="2"/>
  <c r="M170" i="2"/>
  <c r="L170" i="2" a="1"/>
  <c r="L170" i="2" s="1"/>
  <c r="K170" i="2" a="1"/>
  <c r="K170" i="2" s="1"/>
  <c r="J170" i="2"/>
  <c r="B170" i="2"/>
  <c r="N169" i="2"/>
  <c r="M169" i="2"/>
  <c r="L169" i="2" a="1"/>
  <c r="L169" i="2" s="1"/>
  <c r="K169" i="2" a="1"/>
  <c r="K169" i="2" s="1"/>
  <c r="J169" i="2"/>
  <c r="B169" i="2"/>
  <c r="N168" i="2"/>
  <c r="M168" i="2"/>
  <c r="L168" i="2" a="1"/>
  <c r="L168" i="2" s="1"/>
  <c r="K168" i="2" a="1"/>
  <c r="K168" i="2" s="1"/>
  <c r="J168" i="2"/>
  <c r="B168" i="2"/>
  <c r="N167" i="2"/>
  <c r="M167" i="2"/>
  <c r="L167" i="2" a="1"/>
  <c r="L167" i="2" s="1"/>
  <c r="K167" i="2" a="1"/>
  <c r="K167" i="2" s="1"/>
  <c r="J167" i="2"/>
  <c r="B167" i="2"/>
  <c r="N166" i="2"/>
  <c r="M166" i="2"/>
  <c r="L166" i="2" a="1"/>
  <c r="L166" i="2" s="1"/>
  <c r="K166" i="2" a="1"/>
  <c r="K166" i="2" s="1"/>
  <c r="J166" i="2"/>
  <c r="B166" i="2"/>
  <c r="N165" i="2"/>
  <c r="M165" i="2"/>
  <c r="L165" i="2" a="1"/>
  <c r="L165" i="2" s="1"/>
  <c r="K165" i="2" a="1"/>
  <c r="K165" i="2" s="1"/>
  <c r="J165" i="2"/>
  <c r="B165" i="2"/>
  <c r="N164" i="2"/>
  <c r="M164" i="2"/>
  <c r="L164" i="2" a="1"/>
  <c r="L164" i="2" s="1"/>
  <c r="K164" i="2" a="1"/>
  <c r="K164" i="2" s="1"/>
  <c r="J164" i="2"/>
  <c r="B164" i="2"/>
  <c r="N163" i="2"/>
  <c r="M163" i="2"/>
  <c r="L163" i="2" a="1"/>
  <c r="L163" i="2" s="1"/>
  <c r="K163" i="2" a="1"/>
  <c r="K163" i="2" s="1"/>
  <c r="J163" i="2"/>
  <c r="B163" i="2"/>
  <c r="N162" i="2"/>
  <c r="M162" i="2"/>
  <c r="L162" i="2" a="1"/>
  <c r="L162" i="2" s="1"/>
  <c r="K162" i="2" a="1"/>
  <c r="K162" i="2" s="1"/>
  <c r="J162" i="2"/>
  <c r="B162" i="2"/>
  <c r="N161" i="2"/>
  <c r="M161" i="2"/>
  <c r="L161" i="2" a="1"/>
  <c r="L161" i="2" s="1"/>
  <c r="K161" i="2" a="1"/>
  <c r="K161" i="2" s="1"/>
  <c r="J161" i="2"/>
  <c r="B161" i="2"/>
  <c r="N160" i="2"/>
  <c r="M160" i="2"/>
  <c r="L160" i="2" a="1"/>
  <c r="L160" i="2" s="1"/>
  <c r="K160" i="2" a="1"/>
  <c r="K160" i="2" s="1"/>
  <c r="J160" i="2"/>
  <c r="B160" i="2"/>
  <c r="N159" i="2"/>
  <c r="M159" i="2"/>
  <c r="L159" i="2" a="1"/>
  <c r="L159" i="2" s="1"/>
  <c r="K159" i="2" a="1"/>
  <c r="K159" i="2" s="1"/>
  <c r="J159" i="2"/>
  <c r="B159" i="2"/>
  <c r="N158" i="2"/>
  <c r="M158" i="2"/>
  <c r="L158" i="2" a="1"/>
  <c r="L158" i="2" s="1"/>
  <c r="K158" i="2" a="1"/>
  <c r="K158" i="2" s="1"/>
  <c r="J158" i="2"/>
  <c r="B158" i="2"/>
  <c r="N157" i="2"/>
  <c r="M157" i="2"/>
  <c r="L157" i="2" a="1"/>
  <c r="L157" i="2" s="1"/>
  <c r="K157" i="2" a="1"/>
  <c r="K157" i="2" s="1"/>
  <c r="J157" i="2"/>
  <c r="B157" i="2"/>
  <c r="N156" i="2"/>
  <c r="M156" i="2"/>
  <c r="L156" i="2" a="1"/>
  <c r="L156" i="2" s="1"/>
  <c r="K156" i="2" a="1"/>
  <c r="K156" i="2" s="1"/>
  <c r="J156" i="2"/>
  <c r="B156" i="2"/>
  <c r="N155" i="2"/>
  <c r="M155" i="2"/>
  <c r="L155" i="2" a="1"/>
  <c r="L155" i="2" s="1"/>
  <c r="K155" i="2" a="1"/>
  <c r="K155" i="2" s="1"/>
  <c r="J155" i="2"/>
  <c r="B155" i="2"/>
  <c r="N154" i="2"/>
  <c r="M154" i="2"/>
  <c r="L154" i="2" a="1"/>
  <c r="L154" i="2" s="1"/>
  <c r="K154" i="2" a="1"/>
  <c r="K154" i="2" s="1"/>
  <c r="J154" i="2"/>
  <c r="B154" i="2"/>
  <c r="N153" i="2"/>
  <c r="M153" i="2"/>
  <c r="L153" i="2" a="1"/>
  <c r="L153" i="2" s="1"/>
  <c r="K153" i="2" a="1"/>
  <c r="K153" i="2" s="1"/>
  <c r="J153" i="2"/>
  <c r="B153" i="2"/>
  <c r="N152" i="2"/>
  <c r="M152" i="2"/>
  <c r="L152" i="2" a="1"/>
  <c r="L152" i="2" s="1"/>
  <c r="K152" i="2" a="1"/>
  <c r="K152" i="2" s="1"/>
  <c r="J152" i="2"/>
  <c r="B152" i="2"/>
  <c r="N151" i="2"/>
  <c r="M151" i="2"/>
  <c r="L151" i="2" a="1"/>
  <c r="L151" i="2" s="1"/>
  <c r="K151" i="2" a="1"/>
  <c r="K151" i="2" s="1"/>
  <c r="J151" i="2"/>
  <c r="B151" i="2"/>
  <c r="N150" i="2"/>
  <c r="M150" i="2"/>
  <c r="L150" i="2" a="1"/>
  <c r="L150" i="2" s="1"/>
  <c r="K150" i="2" a="1"/>
  <c r="K150" i="2" s="1"/>
  <c r="J150" i="2"/>
  <c r="B150" i="2"/>
  <c r="N149" i="2"/>
  <c r="M149" i="2"/>
  <c r="L149" i="2" a="1"/>
  <c r="L149" i="2" s="1"/>
  <c r="K149" i="2" a="1"/>
  <c r="K149" i="2" s="1"/>
  <c r="J149" i="2"/>
  <c r="B149" i="2"/>
  <c r="N148" i="2"/>
  <c r="M148" i="2"/>
  <c r="L148" i="2" a="1"/>
  <c r="L148" i="2" s="1"/>
  <c r="K148" i="2" a="1"/>
  <c r="K148" i="2" s="1"/>
  <c r="J148" i="2"/>
  <c r="B148" i="2"/>
  <c r="N147" i="2"/>
  <c r="M147" i="2"/>
  <c r="L147" i="2" a="1"/>
  <c r="L147" i="2" s="1"/>
  <c r="K147" i="2" a="1"/>
  <c r="K147" i="2" s="1"/>
  <c r="J147" i="2"/>
  <c r="B147" i="2"/>
  <c r="N146" i="2"/>
  <c r="M146" i="2"/>
  <c r="L146" i="2" a="1"/>
  <c r="L146" i="2" s="1"/>
  <c r="K146" i="2" a="1"/>
  <c r="K146" i="2" s="1"/>
  <c r="J146" i="2"/>
  <c r="B146" i="2"/>
  <c r="N145" i="2"/>
  <c r="M145" i="2"/>
  <c r="L145" i="2" a="1"/>
  <c r="L145" i="2" s="1"/>
  <c r="K145" i="2" a="1"/>
  <c r="K145" i="2" s="1"/>
  <c r="J145" i="2"/>
  <c r="B145" i="2"/>
  <c r="N144" i="2"/>
  <c r="M144" i="2"/>
  <c r="L144" i="2" a="1"/>
  <c r="L144" i="2" s="1"/>
  <c r="K144" i="2" a="1"/>
  <c r="K144" i="2" s="1"/>
  <c r="J144" i="2"/>
  <c r="B144" i="2"/>
  <c r="N143" i="2"/>
  <c r="M143" i="2"/>
  <c r="L143" i="2" a="1"/>
  <c r="L143" i="2" s="1"/>
  <c r="K143" i="2" a="1"/>
  <c r="K143" i="2" s="1"/>
  <c r="J143" i="2"/>
  <c r="B143" i="2"/>
  <c r="N142" i="2"/>
  <c r="M142" i="2"/>
  <c r="L142" i="2" a="1"/>
  <c r="L142" i="2" s="1"/>
  <c r="K142" i="2" a="1"/>
  <c r="K142" i="2" s="1"/>
  <c r="J142" i="2"/>
  <c r="B142" i="2"/>
  <c r="N141" i="2"/>
  <c r="M141" i="2"/>
  <c r="L141" i="2" a="1"/>
  <c r="L141" i="2" s="1"/>
  <c r="K141" i="2" a="1"/>
  <c r="K141" i="2" s="1"/>
  <c r="J141" i="2"/>
  <c r="B141" i="2"/>
  <c r="N140" i="2"/>
  <c r="M140" i="2"/>
  <c r="L140" i="2" a="1"/>
  <c r="L140" i="2" s="1"/>
  <c r="K140" i="2" a="1"/>
  <c r="K140" i="2" s="1"/>
  <c r="J140" i="2"/>
  <c r="B140" i="2"/>
  <c r="N139" i="2"/>
  <c r="M139" i="2"/>
  <c r="L139" i="2" a="1"/>
  <c r="L139" i="2" s="1"/>
  <c r="K139" i="2" a="1"/>
  <c r="K139" i="2" s="1"/>
  <c r="J139" i="2"/>
  <c r="B139" i="2"/>
  <c r="N138" i="2"/>
  <c r="M138" i="2"/>
  <c r="L138" i="2" a="1"/>
  <c r="L138" i="2" s="1"/>
  <c r="K138" i="2" a="1"/>
  <c r="K138" i="2" s="1"/>
  <c r="J138" i="2"/>
  <c r="B138" i="2"/>
  <c r="N137" i="2"/>
  <c r="M137" i="2"/>
  <c r="L137" i="2" a="1"/>
  <c r="L137" i="2" s="1"/>
  <c r="K137" i="2" a="1"/>
  <c r="K137" i="2" s="1"/>
  <c r="J137" i="2"/>
  <c r="B137" i="2"/>
  <c r="N136" i="2"/>
  <c r="M136" i="2"/>
  <c r="L136" i="2" a="1"/>
  <c r="L136" i="2" s="1"/>
  <c r="K136" i="2" a="1"/>
  <c r="K136" i="2" s="1"/>
  <c r="J136" i="2"/>
  <c r="B136" i="2"/>
  <c r="N135" i="2"/>
  <c r="M135" i="2"/>
  <c r="L135" i="2" a="1"/>
  <c r="L135" i="2" s="1"/>
  <c r="K135" i="2" a="1"/>
  <c r="K135" i="2" s="1"/>
  <c r="J135" i="2"/>
  <c r="B135" i="2"/>
  <c r="N134" i="2"/>
  <c r="M134" i="2"/>
  <c r="L134" i="2" a="1"/>
  <c r="L134" i="2" s="1"/>
  <c r="K134" i="2" a="1"/>
  <c r="K134" i="2" s="1"/>
  <c r="J134" i="2"/>
  <c r="B134" i="2"/>
  <c r="N133" i="2"/>
  <c r="M133" i="2"/>
  <c r="L133" i="2" a="1"/>
  <c r="L133" i="2" s="1"/>
  <c r="K133" i="2" a="1"/>
  <c r="K133" i="2" s="1"/>
  <c r="J133" i="2"/>
  <c r="B133" i="2"/>
  <c r="N132" i="2"/>
  <c r="M132" i="2"/>
  <c r="L132" i="2" a="1"/>
  <c r="L132" i="2" s="1"/>
  <c r="K132" i="2" a="1"/>
  <c r="K132" i="2" s="1"/>
  <c r="J132" i="2"/>
  <c r="B132" i="2"/>
  <c r="N131" i="2"/>
  <c r="M131" i="2"/>
  <c r="L131" i="2" a="1"/>
  <c r="L131" i="2" s="1"/>
  <c r="K131" i="2" a="1"/>
  <c r="K131" i="2" s="1"/>
  <c r="J131" i="2"/>
  <c r="B131" i="2"/>
  <c r="N130" i="2"/>
  <c r="M130" i="2"/>
  <c r="L130" i="2" a="1"/>
  <c r="L130" i="2" s="1"/>
  <c r="K130" i="2" a="1"/>
  <c r="K130" i="2" s="1"/>
  <c r="J130" i="2"/>
  <c r="B130" i="2"/>
  <c r="N129" i="2"/>
  <c r="M129" i="2"/>
  <c r="L129" i="2" a="1"/>
  <c r="L129" i="2" s="1"/>
  <c r="K129" i="2" a="1"/>
  <c r="K129" i="2" s="1"/>
  <c r="J129" i="2"/>
  <c r="B129" i="2"/>
  <c r="N128" i="2"/>
  <c r="M128" i="2"/>
  <c r="L128" i="2" a="1"/>
  <c r="L128" i="2" s="1"/>
  <c r="K128" i="2" a="1"/>
  <c r="K128" i="2" s="1"/>
  <c r="J128" i="2"/>
  <c r="B128" i="2"/>
  <c r="N127" i="2"/>
  <c r="M127" i="2"/>
  <c r="L127" i="2" a="1"/>
  <c r="L127" i="2" s="1"/>
  <c r="K127" i="2" a="1"/>
  <c r="K127" i="2" s="1"/>
  <c r="J127" i="2"/>
  <c r="B127" i="2"/>
  <c r="N126" i="2"/>
  <c r="M126" i="2"/>
  <c r="L126" i="2" a="1"/>
  <c r="L126" i="2" s="1"/>
  <c r="K126" i="2" a="1"/>
  <c r="K126" i="2" s="1"/>
  <c r="J126" i="2"/>
  <c r="B126" i="2"/>
  <c r="N125" i="2"/>
  <c r="M125" i="2"/>
  <c r="L125" i="2" a="1"/>
  <c r="L125" i="2" s="1"/>
  <c r="K125" i="2" a="1"/>
  <c r="K125" i="2" s="1"/>
  <c r="J125" i="2"/>
  <c r="B125" i="2"/>
  <c r="V124" i="2"/>
  <c r="N124" i="2"/>
  <c r="M124" i="2"/>
  <c r="L124" i="2" a="1"/>
  <c r="L124" i="2" s="1"/>
  <c r="K124" i="2" a="1"/>
  <c r="K124" i="2" s="1"/>
  <c r="J124" i="2"/>
  <c r="B124" i="2"/>
  <c r="N123" i="2"/>
  <c r="M123" i="2"/>
  <c r="L123" i="2" a="1"/>
  <c r="L123" i="2" s="1"/>
  <c r="K123" i="2" a="1"/>
  <c r="K123" i="2" s="1"/>
  <c r="J123" i="2"/>
  <c r="B123" i="2"/>
  <c r="N122" i="2"/>
  <c r="M122" i="2"/>
  <c r="L122" i="2" a="1"/>
  <c r="L122" i="2" s="1"/>
  <c r="K122" i="2" a="1"/>
  <c r="K122" i="2" s="1"/>
  <c r="J122" i="2"/>
  <c r="B122" i="2"/>
  <c r="N121" i="2"/>
  <c r="M121" i="2"/>
  <c r="L121" i="2" a="1"/>
  <c r="L121" i="2" s="1"/>
  <c r="K121" i="2" a="1"/>
  <c r="K121" i="2" s="1"/>
  <c r="J121" i="2"/>
  <c r="B121" i="2"/>
  <c r="N120" i="2"/>
  <c r="M120" i="2"/>
  <c r="L120" i="2" a="1"/>
  <c r="L120" i="2" s="1"/>
  <c r="K120" i="2" a="1"/>
  <c r="K120" i="2" s="1"/>
  <c r="J120" i="2"/>
  <c r="B120" i="2"/>
  <c r="N119" i="2"/>
  <c r="M119" i="2"/>
  <c r="L119" i="2" a="1"/>
  <c r="L119" i="2" s="1"/>
  <c r="K119" i="2" a="1"/>
  <c r="K119" i="2" s="1"/>
  <c r="J119" i="2"/>
  <c r="B119" i="2"/>
  <c r="N118" i="2"/>
  <c r="M118" i="2"/>
  <c r="L118" i="2" a="1"/>
  <c r="L118" i="2" s="1"/>
  <c r="K118" i="2" a="1"/>
  <c r="K118" i="2" s="1"/>
  <c r="J118" i="2"/>
  <c r="B118" i="2"/>
  <c r="N117" i="2"/>
  <c r="M117" i="2"/>
  <c r="L117" i="2" a="1"/>
  <c r="L117" i="2" s="1"/>
  <c r="K117" i="2" a="1"/>
  <c r="K117" i="2" s="1"/>
  <c r="J117" i="2"/>
  <c r="B117" i="2"/>
  <c r="U116" i="2"/>
  <c r="A115" i="2"/>
  <c r="J114" i="2"/>
  <c r="N113" i="2"/>
  <c r="M113" i="2"/>
  <c r="L113" i="2" a="1"/>
  <c r="L113" i="2" s="1"/>
  <c r="K113" i="2" a="1"/>
  <c r="K113" i="2" s="1"/>
  <c r="J113" i="2"/>
  <c r="B113" i="2"/>
  <c r="N112" i="2"/>
  <c r="M112" i="2"/>
  <c r="L112" i="2" a="1"/>
  <c r="L112" i="2" s="1"/>
  <c r="K112" i="2" a="1"/>
  <c r="K112" i="2" s="1"/>
  <c r="J112" i="2"/>
  <c r="B112" i="2"/>
  <c r="N111" i="2"/>
  <c r="M111" i="2"/>
  <c r="L111" i="2" a="1"/>
  <c r="L111" i="2" s="1"/>
  <c r="K111" i="2" a="1"/>
  <c r="K111" i="2" s="1"/>
  <c r="J111" i="2"/>
  <c r="B111" i="2"/>
  <c r="N110" i="2"/>
  <c r="M110" i="2"/>
  <c r="L110" i="2" a="1"/>
  <c r="L110" i="2" s="1"/>
  <c r="K110" i="2" a="1"/>
  <c r="K110" i="2" s="1"/>
  <c r="J110" i="2"/>
  <c r="B110" i="2"/>
  <c r="N109" i="2"/>
  <c r="M109" i="2"/>
  <c r="L109" i="2" a="1"/>
  <c r="L109" i="2" s="1"/>
  <c r="K109" i="2" a="1"/>
  <c r="K109" i="2" s="1"/>
  <c r="J109" i="2"/>
  <c r="B109" i="2"/>
  <c r="N108" i="2"/>
  <c r="M108" i="2"/>
  <c r="L108" i="2" a="1"/>
  <c r="L108" i="2" s="1"/>
  <c r="K108" i="2" a="1"/>
  <c r="K108" i="2" s="1"/>
  <c r="J108" i="2"/>
  <c r="B108" i="2"/>
  <c r="N107" i="2"/>
  <c r="M107" i="2"/>
  <c r="L107" i="2" a="1"/>
  <c r="L107" i="2" s="1"/>
  <c r="K107" i="2" a="1"/>
  <c r="K107" i="2" s="1"/>
  <c r="J107" i="2"/>
  <c r="B107" i="2"/>
  <c r="N106" i="2"/>
  <c r="M106" i="2"/>
  <c r="L106" i="2" a="1"/>
  <c r="L106" i="2" s="1"/>
  <c r="K106" i="2" a="1"/>
  <c r="K106" i="2" s="1"/>
  <c r="J106" i="2"/>
  <c r="B106" i="2"/>
  <c r="N105" i="2"/>
  <c r="M105" i="2"/>
  <c r="L105" i="2" a="1"/>
  <c r="L105" i="2" s="1"/>
  <c r="K105" i="2" a="1"/>
  <c r="K105" i="2" s="1"/>
  <c r="J105" i="2"/>
  <c r="B105" i="2"/>
  <c r="N104" i="2"/>
  <c r="M104" i="2"/>
  <c r="L104" i="2" a="1"/>
  <c r="L104" i="2" s="1"/>
  <c r="K104" i="2" a="1"/>
  <c r="K104" i="2" s="1"/>
  <c r="J104" i="2"/>
  <c r="B104" i="2"/>
  <c r="N103" i="2"/>
  <c r="M103" i="2"/>
  <c r="L103" i="2" a="1"/>
  <c r="L103" i="2" s="1"/>
  <c r="K103" i="2" a="1"/>
  <c r="K103" i="2" s="1"/>
  <c r="J103" i="2"/>
  <c r="B103" i="2"/>
  <c r="N102" i="2"/>
  <c r="M102" i="2"/>
  <c r="L102" i="2" a="1"/>
  <c r="L102" i="2" s="1"/>
  <c r="K102" i="2" a="1"/>
  <c r="K102" i="2" s="1"/>
  <c r="J102" i="2"/>
  <c r="B102" i="2"/>
  <c r="N101" i="2"/>
  <c r="M101" i="2"/>
  <c r="L101" i="2" a="1"/>
  <c r="L101" i="2" s="1"/>
  <c r="K101" i="2" a="1"/>
  <c r="K101" i="2" s="1"/>
  <c r="J101" i="2"/>
  <c r="B101" i="2"/>
  <c r="N100" i="2"/>
  <c r="M100" i="2"/>
  <c r="L100" i="2" a="1"/>
  <c r="L100" i="2" s="1"/>
  <c r="K100" i="2" a="1"/>
  <c r="K100" i="2" s="1"/>
  <c r="J100" i="2"/>
  <c r="B100" i="2"/>
  <c r="N99" i="2"/>
  <c r="M99" i="2"/>
  <c r="L99" i="2" a="1"/>
  <c r="L99" i="2" s="1"/>
  <c r="K99" i="2" a="1"/>
  <c r="K99" i="2" s="1"/>
  <c r="J99" i="2"/>
  <c r="B99" i="2"/>
  <c r="N98" i="2"/>
  <c r="M98" i="2"/>
  <c r="L98" i="2" a="1"/>
  <c r="L98" i="2" s="1"/>
  <c r="K98" i="2" a="1"/>
  <c r="K98" i="2" s="1"/>
  <c r="J98" i="2"/>
  <c r="B98" i="2"/>
  <c r="N97" i="2"/>
  <c r="M97" i="2"/>
  <c r="L97" i="2" a="1"/>
  <c r="L97" i="2" s="1"/>
  <c r="K97" i="2" a="1"/>
  <c r="K97" i="2" s="1"/>
  <c r="J97" i="2"/>
  <c r="B97" i="2"/>
  <c r="N96" i="2"/>
  <c r="M96" i="2"/>
  <c r="L96" i="2" a="1"/>
  <c r="L96" i="2" s="1"/>
  <c r="K96" i="2" a="1"/>
  <c r="K96" i="2" s="1"/>
  <c r="J96" i="2"/>
  <c r="B96" i="2"/>
  <c r="N95" i="2"/>
  <c r="M95" i="2"/>
  <c r="L95" i="2" a="1"/>
  <c r="L95" i="2" s="1"/>
  <c r="K95" i="2" a="1"/>
  <c r="K95" i="2" s="1"/>
  <c r="J95" i="2"/>
  <c r="B95" i="2"/>
  <c r="N94" i="2"/>
  <c r="M94" i="2"/>
  <c r="L94" i="2" a="1"/>
  <c r="L94" i="2" s="1"/>
  <c r="K94" i="2" a="1"/>
  <c r="K94" i="2" s="1"/>
  <c r="J94" i="2"/>
  <c r="B94" i="2"/>
  <c r="N93" i="2"/>
  <c r="M93" i="2"/>
  <c r="L93" i="2" a="1"/>
  <c r="L93" i="2" s="1"/>
  <c r="K93" i="2" a="1"/>
  <c r="K93" i="2" s="1"/>
  <c r="J93" i="2"/>
  <c r="B93" i="2"/>
  <c r="N92" i="2"/>
  <c r="M92" i="2"/>
  <c r="L92" i="2" a="1"/>
  <c r="L92" i="2" s="1"/>
  <c r="K92" i="2" a="1"/>
  <c r="K92" i="2" s="1"/>
  <c r="J92" i="2"/>
  <c r="B92" i="2"/>
  <c r="N91" i="2"/>
  <c r="M91" i="2"/>
  <c r="L91" i="2" a="1"/>
  <c r="L91" i="2" s="1"/>
  <c r="K91" i="2" a="1"/>
  <c r="K91" i="2" s="1"/>
  <c r="J91" i="2"/>
  <c r="B91" i="2"/>
  <c r="N90" i="2"/>
  <c r="M90" i="2"/>
  <c r="L90" i="2" a="1"/>
  <c r="L90" i="2" s="1"/>
  <c r="K90" i="2" a="1"/>
  <c r="K90" i="2" s="1"/>
  <c r="J90" i="2"/>
  <c r="B90" i="2"/>
  <c r="N89" i="2"/>
  <c r="M89" i="2"/>
  <c r="L89" i="2" a="1"/>
  <c r="L89" i="2" s="1"/>
  <c r="K89" i="2" a="1"/>
  <c r="K89" i="2" s="1"/>
  <c r="J89" i="2"/>
  <c r="B89" i="2"/>
  <c r="N88" i="2"/>
  <c r="M88" i="2"/>
  <c r="L88" i="2" a="1"/>
  <c r="L88" i="2" s="1"/>
  <c r="K88" i="2" a="1"/>
  <c r="K88" i="2" s="1"/>
  <c r="J88" i="2"/>
  <c r="B88" i="2"/>
  <c r="N87" i="2"/>
  <c r="M87" i="2"/>
  <c r="L87" i="2" a="1"/>
  <c r="L87" i="2" s="1"/>
  <c r="K87" i="2" a="1"/>
  <c r="K87" i="2" s="1"/>
  <c r="J87" i="2"/>
  <c r="B87" i="2"/>
  <c r="N86" i="2"/>
  <c r="M86" i="2"/>
  <c r="L86" i="2" a="1"/>
  <c r="L86" i="2" s="1"/>
  <c r="K86" i="2" a="1"/>
  <c r="K86" i="2" s="1"/>
  <c r="J86" i="2"/>
  <c r="B86" i="2"/>
  <c r="N85" i="2"/>
  <c r="M85" i="2"/>
  <c r="L85" i="2" a="1"/>
  <c r="L85" i="2" s="1"/>
  <c r="K85" i="2" a="1"/>
  <c r="K85" i="2" s="1"/>
  <c r="J85" i="2"/>
  <c r="B85" i="2"/>
  <c r="N84" i="2"/>
  <c r="M84" i="2"/>
  <c r="L84" i="2" a="1"/>
  <c r="L84" i="2" s="1"/>
  <c r="K84" i="2" a="1"/>
  <c r="K84" i="2" s="1"/>
  <c r="J84" i="2"/>
  <c r="B84" i="2"/>
  <c r="N83" i="2"/>
  <c r="M83" i="2"/>
  <c r="L83" i="2" a="1"/>
  <c r="L83" i="2" s="1"/>
  <c r="K83" i="2" a="1"/>
  <c r="K83" i="2" s="1"/>
  <c r="J83" i="2"/>
  <c r="B83" i="2"/>
  <c r="N82" i="2"/>
  <c r="M82" i="2"/>
  <c r="L82" i="2" a="1"/>
  <c r="L82" i="2" s="1"/>
  <c r="K82" i="2" a="1"/>
  <c r="K82" i="2" s="1"/>
  <c r="J82" i="2"/>
  <c r="B82" i="2"/>
  <c r="N81" i="2"/>
  <c r="M81" i="2"/>
  <c r="L81" i="2" a="1"/>
  <c r="L81" i="2" s="1"/>
  <c r="K81" i="2" a="1"/>
  <c r="K81" i="2" s="1"/>
  <c r="J81" i="2"/>
  <c r="B81" i="2"/>
  <c r="N80" i="2"/>
  <c r="M80" i="2"/>
  <c r="L80" i="2" a="1"/>
  <c r="L80" i="2" s="1"/>
  <c r="K80" i="2" a="1"/>
  <c r="K80" i="2" s="1"/>
  <c r="J80" i="2"/>
  <c r="B80" i="2"/>
  <c r="N79" i="2"/>
  <c r="M79" i="2"/>
  <c r="L79" i="2" a="1"/>
  <c r="L79" i="2" s="1"/>
  <c r="K79" i="2" a="1"/>
  <c r="K79" i="2" s="1"/>
  <c r="J79" i="2"/>
  <c r="B79" i="2"/>
  <c r="N78" i="2"/>
  <c r="M78" i="2"/>
  <c r="L78" i="2" a="1"/>
  <c r="L78" i="2" s="1"/>
  <c r="K78" i="2" a="1"/>
  <c r="K78" i="2" s="1"/>
  <c r="J78" i="2"/>
  <c r="B78" i="2"/>
  <c r="N77" i="2"/>
  <c r="M77" i="2"/>
  <c r="L77" i="2" a="1"/>
  <c r="L77" i="2" s="1"/>
  <c r="K77" i="2" a="1"/>
  <c r="K77" i="2" s="1"/>
  <c r="J77" i="2"/>
  <c r="B77" i="2"/>
  <c r="N76" i="2"/>
  <c r="M76" i="2"/>
  <c r="L76" i="2" a="1"/>
  <c r="L76" i="2" s="1"/>
  <c r="K76" i="2" a="1"/>
  <c r="K76" i="2" s="1"/>
  <c r="J76" i="2"/>
  <c r="B76" i="2"/>
  <c r="N75" i="2"/>
  <c r="M75" i="2"/>
  <c r="L75" i="2" a="1"/>
  <c r="L75" i="2" s="1"/>
  <c r="K75" i="2" a="1"/>
  <c r="K75" i="2" s="1"/>
  <c r="J75" i="2"/>
  <c r="B75" i="2"/>
  <c r="N74" i="2"/>
  <c r="M74" i="2"/>
  <c r="L74" i="2" a="1"/>
  <c r="L74" i="2" s="1"/>
  <c r="K74" i="2" a="1"/>
  <c r="K74" i="2" s="1"/>
  <c r="J74" i="2"/>
  <c r="B74" i="2"/>
  <c r="N73" i="2"/>
  <c r="M73" i="2"/>
  <c r="L73" i="2" a="1"/>
  <c r="L73" i="2" s="1"/>
  <c r="K73" i="2" a="1"/>
  <c r="K73" i="2" s="1"/>
  <c r="J73" i="2"/>
  <c r="B73" i="2"/>
  <c r="N72" i="2"/>
  <c r="M72" i="2"/>
  <c r="L72" i="2" a="1"/>
  <c r="L72" i="2" s="1"/>
  <c r="K72" i="2" a="1"/>
  <c r="K72" i="2" s="1"/>
  <c r="J72" i="2"/>
  <c r="B72" i="2"/>
  <c r="N71" i="2"/>
  <c r="M71" i="2"/>
  <c r="L71" i="2" a="1"/>
  <c r="L71" i="2" s="1"/>
  <c r="K71" i="2" a="1"/>
  <c r="K71" i="2" s="1"/>
  <c r="J71" i="2"/>
  <c r="B71" i="2"/>
  <c r="N70" i="2"/>
  <c r="M70" i="2"/>
  <c r="L70" i="2" a="1"/>
  <c r="L70" i="2" s="1"/>
  <c r="K70" i="2" a="1"/>
  <c r="K70" i="2" s="1"/>
  <c r="J70" i="2"/>
  <c r="B70" i="2"/>
  <c r="N69" i="2"/>
  <c r="M69" i="2"/>
  <c r="L69" i="2" a="1"/>
  <c r="L69" i="2" s="1"/>
  <c r="K69" i="2" a="1"/>
  <c r="K69" i="2" s="1"/>
  <c r="J69" i="2"/>
  <c r="B69" i="2"/>
  <c r="N68" i="2"/>
  <c r="M68" i="2"/>
  <c r="L68" i="2" a="1"/>
  <c r="L68" i="2" s="1"/>
  <c r="K68" i="2" a="1"/>
  <c r="K68" i="2" s="1"/>
  <c r="J68" i="2"/>
  <c r="B68" i="2"/>
  <c r="N67" i="2"/>
  <c r="M67" i="2"/>
  <c r="L67" i="2" a="1"/>
  <c r="L67" i="2" s="1"/>
  <c r="K67" i="2" a="1"/>
  <c r="K67" i="2" s="1"/>
  <c r="J67" i="2"/>
  <c r="B67" i="2"/>
  <c r="N66" i="2"/>
  <c r="M66" i="2"/>
  <c r="L66" i="2" a="1"/>
  <c r="L66" i="2" s="1"/>
  <c r="K66" i="2" a="1"/>
  <c r="K66" i="2" s="1"/>
  <c r="J66" i="2"/>
  <c r="B66" i="2"/>
  <c r="N65" i="2"/>
  <c r="M65" i="2"/>
  <c r="L65" i="2" a="1"/>
  <c r="L65" i="2" s="1"/>
  <c r="K65" i="2" a="1"/>
  <c r="K65" i="2" s="1"/>
  <c r="J65" i="2"/>
  <c r="B65" i="2"/>
  <c r="N64" i="2"/>
  <c r="M64" i="2"/>
  <c r="L64" i="2" a="1"/>
  <c r="L64" i="2" s="1"/>
  <c r="K64" i="2" a="1"/>
  <c r="K64" i="2" s="1"/>
  <c r="J64" i="2"/>
  <c r="B64" i="2"/>
  <c r="N63" i="2"/>
  <c r="M63" i="2"/>
  <c r="L63" i="2" a="1"/>
  <c r="L63" i="2" s="1"/>
  <c r="K63" i="2" a="1"/>
  <c r="K63" i="2" s="1"/>
  <c r="J63" i="2"/>
  <c r="B63" i="2"/>
  <c r="N62" i="2"/>
  <c r="M62" i="2"/>
  <c r="L62" i="2" a="1"/>
  <c r="L62" i="2" s="1"/>
  <c r="K62" i="2" a="1"/>
  <c r="K62" i="2" s="1"/>
  <c r="J62" i="2"/>
  <c r="B62" i="2"/>
  <c r="N61" i="2"/>
  <c r="M61" i="2"/>
  <c r="L61" i="2" a="1"/>
  <c r="L61" i="2" s="1"/>
  <c r="K61" i="2" a="1"/>
  <c r="K61" i="2" s="1"/>
  <c r="J61" i="2"/>
  <c r="B61" i="2"/>
  <c r="N60" i="2"/>
  <c r="M60" i="2"/>
  <c r="L60" i="2" a="1"/>
  <c r="L60" i="2" s="1"/>
  <c r="K60" i="2" a="1"/>
  <c r="K60" i="2" s="1"/>
  <c r="J60" i="2"/>
  <c r="B60" i="2"/>
  <c r="N59" i="2"/>
  <c r="M59" i="2"/>
  <c r="L59" i="2" a="1"/>
  <c r="L59" i="2" s="1"/>
  <c r="K59" i="2" a="1"/>
  <c r="K59" i="2" s="1"/>
  <c r="J59" i="2"/>
  <c r="B59" i="2"/>
  <c r="N58" i="2"/>
  <c r="M58" i="2"/>
  <c r="L58" i="2" a="1"/>
  <c r="L58" i="2" s="1"/>
  <c r="K58" i="2" a="1"/>
  <c r="K58" i="2" s="1"/>
  <c r="J58" i="2"/>
  <c r="B58" i="2"/>
  <c r="N57" i="2"/>
  <c r="M57" i="2"/>
  <c r="L57" i="2" a="1"/>
  <c r="L57" i="2" s="1"/>
  <c r="K57" i="2" a="1"/>
  <c r="K57" i="2" s="1"/>
  <c r="J57" i="2"/>
  <c r="B57" i="2"/>
  <c r="N56" i="2"/>
  <c r="M56" i="2"/>
  <c r="L56" i="2" a="1"/>
  <c r="L56" i="2" s="1"/>
  <c r="K56" i="2" a="1"/>
  <c r="K56" i="2" s="1"/>
  <c r="J56" i="2"/>
  <c r="B56" i="2"/>
  <c r="N55" i="2"/>
  <c r="M55" i="2"/>
  <c r="L55" i="2" a="1"/>
  <c r="L55" i="2" s="1"/>
  <c r="K55" i="2" a="1"/>
  <c r="K55" i="2" s="1"/>
  <c r="J55" i="2"/>
  <c r="B55" i="2"/>
  <c r="N54" i="2"/>
  <c r="M54" i="2"/>
  <c r="L54" i="2" a="1"/>
  <c r="L54" i="2" s="1"/>
  <c r="K54" i="2" a="1"/>
  <c r="K54" i="2" s="1"/>
  <c r="J54" i="2"/>
  <c r="B54" i="2"/>
  <c r="N53" i="2"/>
  <c r="M53" i="2"/>
  <c r="L53" i="2" a="1"/>
  <c r="L53" i="2" s="1"/>
  <c r="K53" i="2" a="1"/>
  <c r="K53" i="2" s="1"/>
  <c r="J53" i="2"/>
  <c r="B53" i="2"/>
  <c r="N52" i="2"/>
  <c r="M52" i="2"/>
  <c r="L52" i="2" a="1"/>
  <c r="L52" i="2" s="1"/>
  <c r="K52" i="2" a="1"/>
  <c r="K52" i="2" s="1"/>
  <c r="J52" i="2"/>
  <c r="B52" i="2"/>
  <c r="N51" i="2"/>
  <c r="M51" i="2"/>
  <c r="L51" i="2" a="1"/>
  <c r="L51" i="2" s="1"/>
  <c r="K51" i="2" a="1"/>
  <c r="K51" i="2" s="1"/>
  <c r="J51" i="2"/>
  <c r="B51" i="2"/>
  <c r="N50" i="2"/>
  <c r="M50" i="2"/>
  <c r="L50" i="2" a="1"/>
  <c r="L50" i="2" s="1"/>
  <c r="K50" i="2" a="1"/>
  <c r="K50" i="2" s="1"/>
  <c r="J50" i="2"/>
  <c r="B50" i="2"/>
  <c r="N49" i="2"/>
  <c r="M49" i="2"/>
  <c r="L49" i="2" a="1"/>
  <c r="L49" i="2" s="1"/>
  <c r="K49" i="2" a="1"/>
  <c r="K49" i="2" s="1"/>
  <c r="J49" i="2"/>
  <c r="B49" i="2"/>
  <c r="N48" i="2"/>
  <c r="M48" i="2"/>
  <c r="L48" i="2" a="1"/>
  <c r="L48" i="2" s="1"/>
  <c r="K48" i="2" a="1"/>
  <c r="K48" i="2" s="1"/>
  <c r="J48" i="2"/>
  <c r="B48" i="2"/>
  <c r="N47" i="2"/>
  <c r="M47" i="2"/>
  <c r="L47" i="2" a="1"/>
  <c r="L47" i="2" s="1"/>
  <c r="K47" i="2" a="1"/>
  <c r="K47" i="2" s="1"/>
  <c r="J47" i="2"/>
  <c r="B47" i="2"/>
  <c r="N46" i="2"/>
  <c r="M46" i="2"/>
  <c r="L46" i="2" a="1"/>
  <c r="L46" i="2" s="1"/>
  <c r="K46" i="2" a="1"/>
  <c r="K46" i="2" s="1"/>
  <c r="J46" i="2"/>
  <c r="B46" i="2"/>
  <c r="N45" i="2"/>
  <c r="M45" i="2"/>
  <c r="L45" i="2" a="1"/>
  <c r="L45" i="2" s="1"/>
  <c r="K45" i="2" a="1"/>
  <c r="K45" i="2" s="1"/>
  <c r="J45" i="2"/>
  <c r="B45" i="2"/>
  <c r="N44" i="2"/>
  <c r="M44" i="2"/>
  <c r="L44" i="2" a="1"/>
  <c r="L44" i="2" s="1"/>
  <c r="K44" i="2" a="1"/>
  <c r="K44" i="2" s="1"/>
  <c r="J44" i="2"/>
  <c r="B44" i="2"/>
  <c r="N43" i="2"/>
  <c r="M43" i="2"/>
  <c r="L43" i="2" a="1"/>
  <c r="L43" i="2" s="1"/>
  <c r="K43" i="2" a="1"/>
  <c r="K43" i="2" s="1"/>
  <c r="J43" i="2"/>
  <c r="B43" i="2"/>
  <c r="N42" i="2"/>
  <c r="M42" i="2"/>
  <c r="L42" i="2" a="1"/>
  <c r="L42" i="2" s="1"/>
  <c r="K42" i="2" a="1"/>
  <c r="K42" i="2" s="1"/>
  <c r="J42" i="2"/>
  <c r="B42" i="2"/>
  <c r="N41" i="2"/>
  <c r="M41" i="2"/>
  <c r="L41" i="2" a="1"/>
  <c r="L41" i="2" s="1"/>
  <c r="K41" i="2" a="1"/>
  <c r="K41" i="2" s="1"/>
  <c r="J41" i="2"/>
  <c r="B41" i="2"/>
  <c r="N40" i="2"/>
  <c r="M40" i="2"/>
  <c r="L40" i="2" a="1"/>
  <c r="L40" i="2" s="1"/>
  <c r="K40" i="2" a="1"/>
  <c r="K40" i="2" s="1"/>
  <c r="J40" i="2"/>
  <c r="B40" i="2"/>
  <c r="N39" i="2"/>
  <c r="M39" i="2"/>
  <c r="L39" i="2" a="1"/>
  <c r="L39" i="2" s="1"/>
  <c r="K39" i="2" a="1"/>
  <c r="K39" i="2" s="1"/>
  <c r="J39" i="2"/>
  <c r="B39" i="2"/>
  <c r="N38" i="2"/>
  <c r="M38" i="2"/>
  <c r="L38" i="2" a="1"/>
  <c r="L38" i="2" s="1"/>
  <c r="K38" i="2" a="1"/>
  <c r="K38" i="2" s="1"/>
  <c r="J38" i="2"/>
  <c r="B38" i="2"/>
  <c r="N37" i="2"/>
  <c r="M37" i="2"/>
  <c r="L37" i="2" a="1"/>
  <c r="L37" i="2" s="1"/>
  <c r="K37" i="2" a="1"/>
  <c r="K37" i="2" s="1"/>
  <c r="J37" i="2"/>
  <c r="B37" i="2"/>
  <c r="N36" i="2"/>
  <c r="M36" i="2"/>
  <c r="L36" i="2" a="1"/>
  <c r="L36" i="2" s="1"/>
  <c r="K36" i="2" a="1"/>
  <c r="K36" i="2" s="1"/>
  <c r="J36" i="2"/>
  <c r="B36" i="2"/>
  <c r="N35" i="2"/>
  <c r="M35" i="2"/>
  <c r="L35" i="2" a="1"/>
  <c r="L35" i="2" s="1"/>
  <c r="K35" i="2" a="1"/>
  <c r="K35" i="2" s="1"/>
  <c r="J35" i="2"/>
  <c r="B35" i="2"/>
  <c r="N34" i="2"/>
  <c r="M34" i="2"/>
  <c r="L34" i="2" a="1"/>
  <c r="L34" i="2" s="1"/>
  <c r="K34" i="2" a="1"/>
  <c r="K34" i="2" s="1"/>
  <c r="J34" i="2"/>
  <c r="B34" i="2"/>
  <c r="N33" i="2"/>
  <c r="M33" i="2"/>
  <c r="L33" i="2" a="1"/>
  <c r="L33" i="2" s="1"/>
  <c r="K33" i="2" a="1"/>
  <c r="K33" i="2" s="1"/>
  <c r="J33" i="2"/>
  <c r="B33" i="2"/>
  <c r="N32" i="2"/>
  <c r="M32" i="2"/>
  <c r="L32" i="2" a="1"/>
  <c r="L32" i="2" s="1"/>
  <c r="K32" i="2" a="1"/>
  <c r="K32" i="2" s="1"/>
  <c r="J32" i="2"/>
  <c r="B32" i="2"/>
  <c r="N31" i="2"/>
  <c r="M31" i="2"/>
  <c r="L31" i="2" a="1"/>
  <c r="L31" i="2" s="1"/>
  <c r="K31" i="2" a="1"/>
  <c r="K31" i="2" s="1"/>
  <c r="J31" i="2"/>
  <c r="B31" i="2"/>
  <c r="N30" i="2"/>
  <c r="M30" i="2"/>
  <c r="L30" i="2" a="1"/>
  <c r="L30" i="2" s="1"/>
  <c r="K30" i="2" a="1"/>
  <c r="K30" i="2" s="1"/>
  <c r="J30" i="2"/>
  <c r="B30" i="2"/>
  <c r="N29" i="2"/>
  <c r="M29" i="2"/>
  <c r="L29" i="2" a="1"/>
  <c r="L29" i="2" s="1"/>
  <c r="K29" i="2" a="1"/>
  <c r="K29" i="2" s="1"/>
  <c r="J29" i="2"/>
  <c r="B29" i="2"/>
  <c r="N28" i="2"/>
  <c r="M28" i="2"/>
  <c r="L28" i="2" a="1"/>
  <c r="L28" i="2" s="1"/>
  <c r="K28" i="2" a="1"/>
  <c r="K28" i="2" s="1"/>
  <c r="J28" i="2"/>
  <c r="B28" i="2"/>
  <c r="N27" i="2"/>
  <c r="M27" i="2"/>
  <c r="L27" i="2" a="1"/>
  <c r="L27" i="2" s="1"/>
  <c r="K27" i="2" a="1"/>
  <c r="K27" i="2" s="1"/>
  <c r="J27" i="2"/>
  <c r="B27" i="2"/>
  <c r="N26" i="2"/>
  <c r="M26" i="2"/>
  <c r="L26" i="2" a="1"/>
  <c r="L26" i="2" s="1"/>
  <c r="K26" i="2" a="1"/>
  <c r="K26" i="2" s="1"/>
  <c r="J26" i="2"/>
  <c r="B26" i="2"/>
  <c r="N25" i="2"/>
  <c r="M25" i="2"/>
  <c r="L25" i="2" a="1"/>
  <c r="L25" i="2" s="1"/>
  <c r="K25" i="2" a="1"/>
  <c r="K25" i="2" s="1"/>
  <c r="J25" i="2"/>
  <c r="B25" i="2"/>
  <c r="N24" i="2"/>
  <c r="M24" i="2"/>
  <c r="L24" i="2" a="1"/>
  <c r="L24" i="2" s="1"/>
  <c r="K24" i="2" a="1"/>
  <c r="K24" i="2" s="1"/>
  <c r="J24" i="2"/>
  <c r="B24" i="2"/>
  <c r="N23" i="2"/>
  <c r="M23" i="2"/>
  <c r="L23" i="2" a="1"/>
  <c r="L23" i="2" s="1"/>
  <c r="K23" i="2" a="1"/>
  <c r="K23" i="2" s="1"/>
  <c r="J23" i="2"/>
  <c r="B23" i="2"/>
  <c r="N22" i="2"/>
  <c r="M22" i="2"/>
  <c r="L22" i="2" a="1"/>
  <c r="L22" i="2" s="1"/>
  <c r="K22" i="2" a="1"/>
  <c r="K22" i="2" s="1"/>
  <c r="J22" i="2"/>
  <c r="B22" i="2"/>
  <c r="V21" i="2"/>
  <c r="N21" i="2"/>
  <c r="M21" i="2"/>
  <c r="L21" i="2" a="1"/>
  <c r="L21" i="2" s="1"/>
  <c r="K21" i="2" a="1"/>
  <c r="K21" i="2" s="1"/>
  <c r="J21" i="2"/>
  <c r="B21" i="2"/>
  <c r="N20" i="2"/>
  <c r="M20" i="2"/>
  <c r="L20" i="2" a="1"/>
  <c r="L20" i="2" s="1"/>
  <c r="K20" i="2" a="1"/>
  <c r="K20" i="2" s="1"/>
  <c r="J20" i="2"/>
  <c r="B20" i="2"/>
  <c r="N19" i="2"/>
  <c r="M19" i="2"/>
  <c r="L19" i="2" a="1"/>
  <c r="L19" i="2" s="1"/>
  <c r="K19" i="2" a="1"/>
  <c r="K19" i="2" s="1"/>
  <c r="J19" i="2"/>
  <c r="B19" i="2"/>
  <c r="N18" i="2"/>
  <c r="M18" i="2"/>
  <c r="L18" i="2" a="1"/>
  <c r="L18" i="2" s="1"/>
  <c r="K18" i="2" a="1"/>
  <c r="K18" i="2" s="1"/>
  <c r="J18" i="2"/>
  <c r="B18" i="2"/>
  <c r="N17" i="2"/>
  <c r="M17" i="2"/>
  <c r="L17" i="2" a="1"/>
  <c r="L17" i="2" s="1"/>
  <c r="K17" i="2" a="1"/>
  <c r="K17" i="2" s="1"/>
  <c r="J17" i="2"/>
  <c r="B17" i="2"/>
  <c r="N16" i="2"/>
  <c r="M16" i="2"/>
  <c r="L16" i="2" a="1"/>
  <c r="L16" i="2" s="1"/>
  <c r="K16" i="2" a="1"/>
  <c r="K16" i="2" s="1"/>
  <c r="J16" i="2"/>
  <c r="B16" i="2"/>
  <c r="N15" i="2"/>
  <c r="M15" i="2"/>
  <c r="L15" i="2" a="1"/>
  <c r="L15" i="2" s="1"/>
  <c r="K15" i="2" a="1"/>
  <c r="K15" i="2" s="1"/>
  <c r="J15" i="2"/>
  <c r="B15" i="2"/>
  <c r="N14" i="2"/>
  <c r="M14" i="2"/>
  <c r="L14" i="2" a="1"/>
  <c r="L14" i="2" s="1"/>
  <c r="K14" i="2" a="1"/>
  <c r="K14" i="2" s="1"/>
  <c r="J14" i="2"/>
  <c r="B14" i="2"/>
  <c r="U13" i="2"/>
  <c r="A12" i="2"/>
  <c r="H10" i="2"/>
  <c r="H9" i="1"/>
  <c r="H8" i="1"/>
  <c r="H6" i="1"/>
  <c r="V222" i="2" l="1"/>
  <c r="V634" i="2"/>
  <c r="V1664" i="2"/>
  <c r="V16" i="2"/>
  <c r="V2591" i="2"/>
  <c r="B8" i="1"/>
  <c r="B9" i="1"/>
  <c r="V1767" i="2"/>
  <c r="V1561" i="2"/>
  <c r="V1973" i="2"/>
  <c r="V1048" i="2"/>
  <c r="V428" i="2"/>
  <c r="V737" i="2"/>
  <c r="V1149" i="2"/>
  <c r="V2488" i="2"/>
  <c r="D12" i="3"/>
  <c r="A23" i="4" s="1"/>
  <c r="G12" i="3"/>
  <c r="V19" i="2"/>
  <c r="V2797" i="2"/>
  <c r="V14" i="2"/>
  <c r="V119" i="2"/>
  <c r="X119" i="2"/>
  <c r="E16" i="3"/>
  <c r="L16" i="3" s="1"/>
  <c r="X224" i="2"/>
  <c r="V520" i="2"/>
  <c r="V531" i="2"/>
  <c r="V2385" i="2"/>
  <c r="V1355" i="2"/>
  <c r="V1046" i="2"/>
  <c r="V1458" i="2"/>
  <c r="V840" i="2"/>
  <c r="X1459" i="2"/>
  <c r="X1561" i="2"/>
  <c r="V943" i="2"/>
  <c r="X2078" i="2"/>
  <c r="V2282" i="2"/>
  <c r="X426" i="2"/>
  <c r="F17" i="3"/>
  <c r="G15" i="4" s="1"/>
  <c r="X14" i="2"/>
  <c r="G19" i="3"/>
  <c r="V328" i="2"/>
  <c r="X328" i="2"/>
  <c r="X534" i="2"/>
  <c r="X530" i="2"/>
  <c r="V1870" i="2"/>
  <c r="V2179" i="2"/>
  <c r="V1252" i="2"/>
  <c r="V2076" i="2"/>
  <c r="V325" i="2"/>
  <c r="V3003" i="2"/>
  <c r="B6" i="1"/>
  <c r="V427" i="2"/>
  <c r="X841" i="2"/>
  <c r="I683" i="7"/>
  <c r="V225" i="2"/>
  <c r="V1049" i="2"/>
  <c r="X120" i="2"/>
  <c r="X225" i="2"/>
  <c r="V1253" i="2"/>
  <c r="W1257" i="2" s="1"/>
  <c r="V430" i="2"/>
  <c r="G121" i="7"/>
  <c r="B7" i="1"/>
  <c r="V739" i="2"/>
  <c r="C1149" i="7"/>
  <c r="V637" i="2"/>
  <c r="E6" i="1"/>
  <c r="E7" i="1"/>
  <c r="M5" i="7"/>
  <c r="D1149" i="7"/>
  <c r="V735" i="2"/>
  <c r="X19" i="2"/>
  <c r="V945" i="2"/>
  <c r="V838" i="2"/>
  <c r="V1147" i="2"/>
  <c r="M1097" i="7"/>
  <c r="H7" i="1"/>
  <c r="X222" i="2"/>
  <c r="G13" i="3"/>
  <c r="E13" i="3"/>
  <c r="L13" i="3" s="1"/>
  <c r="D13" i="3"/>
  <c r="D23" i="4" s="1"/>
  <c r="F13" i="3"/>
  <c r="D21" i="4" s="1"/>
  <c r="C13" i="3"/>
  <c r="K13" i="3" s="1" a="1"/>
  <c r="K13" i="3" s="1"/>
  <c r="D161" i="6"/>
  <c r="V117" i="2"/>
  <c r="V1320" i="2"/>
  <c r="V3006" i="2"/>
  <c r="G14" i="3"/>
  <c r="F14" i="3"/>
  <c r="G21" i="4" s="1"/>
  <c r="E14" i="3"/>
  <c r="L14" i="3" s="1"/>
  <c r="C14" i="3"/>
  <c r="K14" i="3" s="1" a="1"/>
  <c r="K14" i="3" s="1"/>
  <c r="X2076" i="2"/>
  <c r="V620" i="2"/>
  <c r="V942" i="2"/>
  <c r="X1151" i="2"/>
  <c r="X1254" i="2"/>
  <c r="B5" i="2"/>
  <c r="X16" i="2"/>
  <c r="X121" i="2"/>
  <c r="X226" i="2"/>
  <c r="V432" i="2"/>
  <c r="X942" i="2"/>
  <c r="B14" i="5"/>
  <c r="C14" i="5" s="1"/>
  <c r="M14" i="5" s="1"/>
  <c r="G101" i="7"/>
  <c r="E10" i="2"/>
  <c r="X432" i="2"/>
  <c r="V327" i="2"/>
  <c r="V2696" i="2"/>
  <c r="V223" i="2"/>
  <c r="W227" i="2" s="1"/>
  <c r="X327" i="2"/>
  <c r="X946" i="2"/>
  <c r="V20" i="2"/>
  <c r="V118" i="2"/>
  <c r="X223" i="2"/>
  <c r="V324" i="2"/>
  <c r="V820" i="2"/>
  <c r="X1462" i="2"/>
  <c r="X2903" i="2"/>
  <c r="V2900" i="2"/>
  <c r="V2694" i="2"/>
  <c r="X2386" i="2"/>
  <c r="V3002" i="2"/>
  <c r="V2491" i="2"/>
  <c r="X1768" i="2"/>
  <c r="X2796" i="2"/>
  <c r="X2692" i="2"/>
  <c r="X2799" i="2"/>
  <c r="V1250" i="2"/>
  <c r="X840" i="2"/>
  <c r="X1975" i="2"/>
  <c r="V1564" i="2"/>
  <c r="V1975" i="2"/>
  <c r="X943" i="2"/>
  <c r="X843" i="2"/>
  <c r="X637" i="2"/>
  <c r="X1045" i="2"/>
  <c r="V843" i="2"/>
  <c r="X740" i="2"/>
  <c r="X1048" i="2"/>
  <c r="V1045" i="2"/>
  <c r="V740" i="2"/>
  <c r="X427" i="2"/>
  <c r="F143" i="7"/>
  <c r="G18" i="7"/>
  <c r="X1356" i="2"/>
  <c r="V946" i="2"/>
  <c r="X531" i="2"/>
  <c r="X736" i="2"/>
  <c r="V420" i="2"/>
  <c r="V736" i="2"/>
  <c r="X20" i="2"/>
  <c r="X324" i="2"/>
  <c r="X737" i="2"/>
  <c r="V1357" i="2"/>
  <c r="X1565" i="2"/>
  <c r="H6" i="2"/>
  <c r="X1152" i="2"/>
  <c r="V429" i="2"/>
  <c r="W433" i="2" s="1"/>
  <c r="V17" i="2"/>
  <c r="V220" i="2"/>
  <c r="X429" i="2"/>
  <c r="X123" i="2"/>
  <c r="V2075" i="2"/>
  <c r="B9" i="2"/>
  <c r="F64" i="6"/>
  <c r="X325" i="2"/>
  <c r="V426" i="2"/>
  <c r="V530" i="2"/>
  <c r="V534" i="2"/>
  <c r="E19" i="3"/>
  <c r="L19" i="3" s="1"/>
  <c r="F19" i="3"/>
  <c r="D9" i="4" s="1"/>
  <c r="D19" i="3"/>
  <c r="D11" i="4" s="1"/>
  <c r="H1562" i="7"/>
  <c r="B23" i="5"/>
  <c r="C23" i="5" s="1"/>
  <c r="I23" i="5" s="1"/>
  <c r="G10" i="3"/>
  <c r="E10" i="3"/>
  <c r="L10" i="3" s="1"/>
  <c r="D10" i="3"/>
  <c r="D29" i="4" s="1"/>
  <c r="C10" i="3"/>
  <c r="K10" i="3" s="1" a="1"/>
  <c r="K10" i="3" s="1"/>
  <c r="B10" i="3"/>
  <c r="E104" i="6"/>
  <c r="D11" i="3"/>
  <c r="G29" i="4" s="1"/>
  <c r="G11" i="3"/>
  <c r="F11" i="3"/>
  <c r="C11" i="3"/>
  <c r="K11" i="3" s="1" a="1"/>
  <c r="K11" i="3" s="1"/>
  <c r="C1565" i="7"/>
  <c r="B1565" i="7"/>
  <c r="B18" i="5"/>
  <c r="C18" i="5" s="1"/>
  <c r="I18" i="5" s="1"/>
  <c r="C16" i="3"/>
  <c r="K16" i="3" s="1" a="1"/>
  <c r="K16" i="3" s="1"/>
  <c r="D16" i="3"/>
  <c r="D17" i="4" s="1"/>
  <c r="M785" i="7"/>
  <c r="C17" i="3"/>
  <c r="K17" i="3" s="1" a="1"/>
  <c r="K17" i="3" s="1"/>
  <c r="D577" i="7"/>
  <c r="E17" i="3"/>
  <c r="L17" i="3" s="1"/>
  <c r="M586" i="7"/>
  <c r="M577" i="7" s="1"/>
  <c r="B32" i="5"/>
  <c r="C32" i="5" s="1"/>
  <c r="I32" i="5" s="1"/>
  <c r="B33" i="5"/>
  <c r="C33" i="5" s="1"/>
  <c r="K33" i="5" s="1"/>
  <c r="F12" i="3"/>
  <c r="A21" i="4" s="1"/>
  <c r="F36" i="6"/>
  <c r="D126" i="6"/>
  <c r="D58" i="6"/>
  <c r="F58" i="6"/>
  <c r="E58" i="6"/>
  <c r="I7" i="7"/>
  <c r="L7" i="7"/>
  <c r="J7" i="7"/>
  <c r="H7" i="7"/>
  <c r="G7" i="7"/>
  <c r="F7" i="7"/>
  <c r="E8" i="1"/>
  <c r="X17" i="2"/>
  <c r="V431" i="2"/>
  <c r="V720" i="2"/>
  <c r="X838" i="2"/>
  <c r="X1458" i="2"/>
  <c r="V1974" i="2"/>
  <c r="W1978" i="2" s="1"/>
  <c r="X2383" i="2"/>
  <c r="D197" i="6"/>
  <c r="F197" i="6"/>
  <c r="F1464" i="7"/>
  <c r="L1464" i="7"/>
  <c r="L1412" i="7"/>
  <c r="I1412" i="7"/>
  <c r="F1412" i="7"/>
  <c r="I1516" i="7"/>
  <c r="I1256" i="7"/>
  <c r="H1256" i="7"/>
  <c r="I1360" i="7"/>
  <c r="L1360" i="7"/>
  <c r="H1308" i="7"/>
  <c r="J1360" i="7"/>
  <c r="G1360" i="7"/>
  <c r="L1256" i="7"/>
  <c r="J1256" i="7"/>
  <c r="J1204" i="7"/>
  <c r="L1204" i="7"/>
  <c r="H1204" i="7"/>
  <c r="G1256" i="7"/>
  <c r="I1204" i="7"/>
  <c r="F1256" i="7"/>
  <c r="G1204" i="7"/>
  <c r="F1204" i="7"/>
  <c r="G1152" i="7"/>
  <c r="H944" i="7"/>
  <c r="G996" i="7"/>
  <c r="F996" i="7"/>
  <c r="L1100" i="7"/>
  <c r="I1100" i="7"/>
  <c r="L1048" i="7"/>
  <c r="L944" i="7"/>
  <c r="F1048" i="7"/>
  <c r="G944" i="7"/>
  <c r="I840" i="7"/>
  <c r="G1048" i="7"/>
  <c r="J996" i="7"/>
  <c r="I996" i="7"/>
  <c r="H996" i="7"/>
  <c r="L892" i="7"/>
  <c r="J892" i="7"/>
  <c r="I892" i="7"/>
  <c r="L840" i="7"/>
  <c r="F788" i="7"/>
  <c r="J840" i="7"/>
  <c r="H840" i="7"/>
  <c r="H1100" i="7"/>
  <c r="G424" i="7"/>
  <c r="G736" i="7"/>
  <c r="F736" i="7"/>
  <c r="J944" i="7"/>
  <c r="I944" i="7"/>
  <c r="F944" i="7"/>
  <c r="G788" i="7"/>
  <c r="H476" i="7"/>
  <c r="J528" i="7"/>
  <c r="G476" i="7"/>
  <c r="L788" i="7"/>
  <c r="H528" i="7"/>
  <c r="G528" i="7"/>
  <c r="F528" i="7"/>
  <c r="I528" i="7"/>
  <c r="L60" i="7"/>
  <c r="J320" i="7"/>
  <c r="L424" i="7"/>
  <c r="I424" i="7"/>
  <c r="G372" i="7"/>
  <c r="H424" i="7"/>
  <c r="F372" i="7"/>
  <c r="F424" i="7"/>
  <c r="I476" i="7"/>
  <c r="F476" i="7"/>
  <c r="G632" i="7"/>
  <c r="F632" i="7"/>
  <c r="F164" i="7"/>
  <c r="J60" i="7"/>
  <c r="I60" i="7"/>
  <c r="H372" i="7"/>
  <c r="F320" i="7"/>
  <c r="L528" i="7"/>
  <c r="J164" i="7"/>
  <c r="H580" i="7"/>
  <c r="L476" i="7"/>
  <c r="G112" i="7"/>
  <c r="L164" i="7"/>
  <c r="G164" i="7"/>
  <c r="J112" i="7"/>
  <c r="I112" i="7"/>
  <c r="H112" i="7"/>
  <c r="H60" i="7"/>
  <c r="F60" i="7"/>
  <c r="L320" i="7"/>
  <c r="H320" i="7"/>
  <c r="G320" i="7"/>
  <c r="I8" i="7"/>
  <c r="F8" i="7"/>
  <c r="G60" i="7"/>
  <c r="F112" i="7"/>
  <c r="I268" i="7"/>
  <c r="J424" i="7"/>
  <c r="V120" i="2"/>
  <c r="W124" i="2" s="1"/>
  <c r="X220" i="2"/>
  <c r="X636" i="2"/>
  <c r="V1462" i="2"/>
  <c r="D104" i="6"/>
  <c r="E197" i="6"/>
  <c r="E198" i="6"/>
  <c r="F198" i="6"/>
  <c r="D198" i="6"/>
  <c r="B10" i="1"/>
  <c r="X117" i="2"/>
  <c r="X329" i="2"/>
  <c r="X1049" i="2"/>
  <c r="X1256" i="2"/>
  <c r="X2280" i="2"/>
  <c r="D6" i="6"/>
  <c r="D37" i="6"/>
  <c r="F71" i="6"/>
  <c r="E71" i="6"/>
  <c r="D71" i="6"/>
  <c r="D105" i="6"/>
  <c r="H39" i="7"/>
  <c r="E10" i="1"/>
  <c r="V633" i="2"/>
  <c r="X1046" i="2"/>
  <c r="X1148" i="2"/>
  <c r="X2182" i="2"/>
  <c r="X2284" i="2"/>
  <c r="B20" i="5"/>
  <c r="C20" i="5" s="1"/>
  <c r="E105" i="6"/>
  <c r="D139" i="6"/>
  <c r="F139" i="6"/>
  <c r="E139" i="6"/>
  <c r="F29" i="7"/>
  <c r="H10" i="1"/>
  <c r="V323" i="2"/>
  <c r="V1353" i="2"/>
  <c r="V3007" i="2"/>
  <c r="D41" i="6"/>
  <c r="F41" i="6"/>
  <c r="F105" i="6"/>
  <c r="H270" i="7"/>
  <c r="L270" i="7"/>
  <c r="I270" i="7"/>
  <c r="J270" i="7"/>
  <c r="F270" i="7"/>
  <c r="G270" i="7"/>
  <c r="X2492" i="2"/>
  <c r="E41" i="6"/>
  <c r="E106" i="6"/>
  <c r="D106" i="6"/>
  <c r="F106" i="6"/>
  <c r="E204" i="6"/>
  <c r="L82" i="7"/>
  <c r="G226" i="7"/>
  <c r="F237" i="7"/>
  <c r="V2594" i="2"/>
  <c r="V2796" i="2"/>
  <c r="F42" i="6"/>
  <c r="E42" i="6"/>
  <c r="D42" i="6"/>
  <c r="D174" i="6"/>
  <c r="J72" i="7"/>
  <c r="J226" i="7"/>
  <c r="I237" i="7"/>
  <c r="F191" i="6"/>
  <c r="E107" i="6"/>
  <c r="F174" i="6"/>
  <c r="F22" i="7"/>
  <c r="B6" i="2"/>
  <c r="V2697" i="2"/>
  <c r="H22" i="7"/>
  <c r="F41" i="7"/>
  <c r="E6" i="2"/>
  <c r="X1972" i="2"/>
  <c r="V2489" i="2"/>
  <c r="W2493" i="2" s="1"/>
  <c r="B5" i="5"/>
  <c r="F209" i="6"/>
  <c r="J22" i="7"/>
  <c r="X2080" i="2"/>
  <c r="X2489" i="2"/>
  <c r="D15" i="6"/>
  <c r="B7" i="2"/>
  <c r="V2320" i="2"/>
  <c r="E83" i="6"/>
  <c r="J23" i="7"/>
  <c r="I23" i="7"/>
  <c r="H23" i="7"/>
  <c r="L23" i="7"/>
  <c r="F23" i="7"/>
  <c r="V1872" i="2"/>
  <c r="B25" i="5"/>
  <c r="C25" i="5" s="1"/>
  <c r="E16" i="6"/>
  <c r="D177" i="6"/>
  <c r="L205" i="7"/>
  <c r="J205" i="7"/>
  <c r="I205" i="7"/>
  <c r="F205" i="7"/>
  <c r="H205" i="7"/>
  <c r="G205" i="7"/>
  <c r="G328" i="7"/>
  <c r="E84" i="6"/>
  <c r="E114" i="6"/>
  <c r="G23" i="7"/>
  <c r="J64" i="7"/>
  <c r="L152" i="7"/>
  <c r="J152" i="7"/>
  <c r="G152" i="7"/>
  <c r="I152" i="7"/>
  <c r="H184" i="7"/>
  <c r="L293" i="7"/>
  <c r="V2486" i="2"/>
  <c r="D153" i="6"/>
  <c r="L33" i="7"/>
  <c r="F54" i="7"/>
  <c r="I184" i="7"/>
  <c r="V2120" i="2"/>
  <c r="X2486" i="2"/>
  <c r="E85" i="6"/>
  <c r="E153" i="6"/>
  <c r="I14" i="7"/>
  <c r="G54" i="7"/>
  <c r="F152" i="7"/>
  <c r="V1358" i="2"/>
  <c r="V1771" i="2"/>
  <c r="D21" i="6"/>
  <c r="F153" i="6"/>
  <c r="J129" i="7"/>
  <c r="H152" i="7"/>
  <c r="X1771" i="2"/>
  <c r="G1604" i="7"/>
  <c r="G1590" i="7"/>
  <c r="L1611" i="7"/>
  <c r="L1597" i="7"/>
  <c r="G1609" i="7"/>
  <c r="L1583" i="7"/>
  <c r="L1576" i="7"/>
  <c r="L1569" i="7"/>
  <c r="J1551" i="7"/>
  <c r="J1537" i="7"/>
  <c r="J1523" i="7"/>
  <c r="F1609" i="7"/>
  <c r="J1605" i="7"/>
  <c r="L1601" i="7"/>
  <c r="H1594" i="7"/>
  <c r="L1590" i="7"/>
  <c r="J1583" i="7"/>
  <c r="J1576" i="7"/>
  <c r="J1569" i="7"/>
  <c r="I1605" i="7"/>
  <c r="L1612" i="7"/>
  <c r="G1605" i="7"/>
  <c r="J1601" i="7"/>
  <c r="F1605" i="7"/>
  <c r="H1597" i="7"/>
  <c r="H1590" i="7"/>
  <c r="G1583" i="7"/>
  <c r="G1576" i="7"/>
  <c r="G1569" i="7"/>
  <c r="L1511" i="7"/>
  <c r="L1497" i="7"/>
  <c r="H1616" i="7"/>
  <c r="G1601" i="7"/>
  <c r="G1597" i="7"/>
  <c r="F1590" i="7"/>
  <c r="F1583" i="7"/>
  <c r="J1579" i="7"/>
  <c r="F1576" i="7"/>
  <c r="F1569" i="7"/>
  <c r="G1616" i="7"/>
  <c r="G1612" i="7"/>
  <c r="F1597" i="7"/>
  <c r="H1579" i="7"/>
  <c r="L1564" i="7"/>
  <c r="H1561" i="7"/>
  <c r="L1604" i="7"/>
  <c r="J1564" i="7"/>
  <c r="J1557" i="7"/>
  <c r="J1550" i="7"/>
  <c r="J1543" i="7"/>
  <c r="J1536" i="7"/>
  <c r="J1529" i="7"/>
  <c r="J1604" i="7"/>
  <c r="I1564" i="7"/>
  <c r="I1557" i="7"/>
  <c r="I1550" i="7"/>
  <c r="I1543" i="7"/>
  <c r="I1536" i="7"/>
  <c r="I1529" i="7"/>
  <c r="L1615" i="7"/>
  <c r="I1604" i="7"/>
  <c r="L1589" i="7"/>
  <c r="H1564" i="7"/>
  <c r="H1557" i="7"/>
  <c r="J1611" i="7"/>
  <c r="H1604" i="7"/>
  <c r="L1596" i="7"/>
  <c r="G1564" i="7"/>
  <c r="G1557" i="7"/>
  <c r="G1550" i="7"/>
  <c r="J1615" i="7"/>
  <c r="H1615" i="7"/>
  <c r="H1611" i="7"/>
  <c r="H1596" i="7"/>
  <c r="H1589" i="7"/>
  <c r="J1560" i="7"/>
  <c r="H1553" i="7"/>
  <c r="J1546" i="7"/>
  <c r="H1539" i="7"/>
  <c r="J1532" i="7"/>
  <c r="H1525" i="7"/>
  <c r="J1518" i="7"/>
  <c r="L1510" i="7"/>
  <c r="G1615" i="7"/>
  <c r="G1611" i="7"/>
  <c r="J1607" i="7"/>
  <c r="F1596" i="7"/>
  <c r="F1589" i="7"/>
  <c r="J1578" i="7"/>
  <c r="H1560" i="7"/>
  <c r="G1553" i="7"/>
  <c r="H1546" i="7"/>
  <c r="G1539" i="7"/>
  <c r="H1532" i="7"/>
  <c r="F1611" i="7"/>
  <c r="I1585" i="7"/>
  <c r="H1578" i="7"/>
  <c r="F1585" i="7"/>
  <c r="F1578" i="7"/>
  <c r="F1571" i="7"/>
  <c r="G1510" i="7"/>
  <c r="G1503" i="7"/>
  <c r="G1496" i="7"/>
  <c r="G1489" i="7"/>
  <c r="G1482" i="7"/>
  <c r="G1475" i="7"/>
  <c r="G1468" i="7"/>
  <c r="F1510" i="7"/>
  <c r="F1503" i="7"/>
  <c r="F1496" i="7"/>
  <c r="F1489" i="7"/>
  <c r="F1482" i="7"/>
  <c r="F1475" i="7"/>
  <c r="J1456" i="7"/>
  <c r="J1449" i="7"/>
  <c r="J1442" i="7"/>
  <c r="J1435" i="7"/>
  <c r="J1428" i="7"/>
  <c r="I1456" i="7"/>
  <c r="I1449" i="7"/>
  <c r="I1442" i="7"/>
  <c r="I1435" i="7"/>
  <c r="L1609" i="7"/>
  <c r="I1591" i="7"/>
  <c r="L1529" i="7"/>
  <c r="G1525" i="7"/>
  <c r="I1468" i="7"/>
  <c r="F1456" i="7"/>
  <c r="G1384" i="7"/>
  <c r="L1367" i="7"/>
  <c r="G1591" i="7"/>
  <c r="L1584" i="7"/>
  <c r="I1561" i="7"/>
  <c r="L1556" i="7"/>
  <c r="H1547" i="7"/>
  <c r="F1538" i="7"/>
  <c r="I1609" i="7"/>
  <c r="L1602" i="7"/>
  <c r="F1591" i="7"/>
  <c r="I1578" i="7"/>
  <c r="L1551" i="7"/>
  <c r="G1529" i="7"/>
  <c r="H1609" i="7"/>
  <c r="J1584" i="7"/>
  <c r="F1529" i="7"/>
  <c r="I1503" i="7"/>
  <c r="J1483" i="7"/>
  <c r="I1602" i="7"/>
  <c r="I1584" i="7"/>
  <c r="I1551" i="7"/>
  <c r="H1503" i="7"/>
  <c r="I1483" i="7"/>
  <c r="H1602" i="7"/>
  <c r="J1590" i="7"/>
  <c r="G1584" i="7"/>
  <c r="L1577" i="7"/>
  <c r="L1560" i="7"/>
  <c r="L1555" i="7"/>
  <c r="G1602" i="7"/>
  <c r="H1595" i="7"/>
  <c r="I1590" i="7"/>
  <c r="F1584" i="7"/>
  <c r="G1560" i="7"/>
  <c r="F1551" i="7"/>
  <c r="J1577" i="7"/>
  <c r="J1571" i="7"/>
  <c r="F1560" i="7"/>
  <c r="I1555" i="7"/>
  <c r="F1546" i="7"/>
  <c r="L1541" i="7"/>
  <c r="I1577" i="7"/>
  <c r="I1571" i="7"/>
  <c r="G1537" i="7"/>
  <c r="F1511" i="7"/>
  <c r="H1607" i="7"/>
  <c r="J1589" i="7"/>
  <c r="I1583" i="7"/>
  <c r="G1577" i="7"/>
  <c r="G1555" i="7"/>
  <c r="L1550" i="7"/>
  <c r="H1583" i="7"/>
  <c r="F1577" i="7"/>
  <c r="H1550" i="7"/>
  <c r="H1541" i="7"/>
  <c r="G1532" i="7"/>
  <c r="L1594" i="7"/>
  <c r="J1559" i="7"/>
  <c r="F1550" i="7"/>
  <c r="J1545" i="7"/>
  <c r="G1541" i="7"/>
  <c r="F1564" i="7"/>
  <c r="I1559" i="7"/>
  <c r="I1545" i="7"/>
  <c r="F1541" i="7"/>
  <c r="J1594" i="7"/>
  <c r="I1576" i="7"/>
  <c r="F1559" i="7"/>
  <c r="F1545" i="7"/>
  <c r="H1536" i="7"/>
  <c r="I1523" i="7"/>
  <c r="H1519" i="7"/>
  <c r="H1515" i="7"/>
  <c r="H1510" i="7"/>
  <c r="H1486" i="7"/>
  <c r="F1474" i="7"/>
  <c r="J1613" i="7"/>
  <c r="G1594" i="7"/>
  <c r="G1588" i="7"/>
  <c r="H1576" i="7"/>
  <c r="G1536" i="7"/>
  <c r="G1523" i="7"/>
  <c r="G1519" i="7"/>
  <c r="G1515" i="7"/>
  <c r="G1486" i="7"/>
  <c r="F1470" i="7"/>
  <c r="I1613" i="7"/>
  <c r="F1536" i="7"/>
  <c r="F1523" i="7"/>
  <c r="F1515" i="7"/>
  <c r="J1497" i="7"/>
  <c r="L1489" i="7"/>
  <c r="J1450" i="7"/>
  <c r="F1443" i="7"/>
  <c r="L1435" i="7"/>
  <c r="G1428" i="7"/>
  <c r="H1421" i="7"/>
  <c r="H1414" i="7"/>
  <c r="F1613" i="7"/>
  <c r="I1497" i="7"/>
  <c r="J1489" i="7"/>
  <c r="I1450" i="7"/>
  <c r="H1435" i="7"/>
  <c r="F1428" i="7"/>
  <c r="G1421" i="7"/>
  <c r="G1414" i="7"/>
  <c r="L1598" i="7"/>
  <c r="I1569" i="7"/>
  <c r="J1553" i="7"/>
  <c r="J1522" i="7"/>
  <c r="H1518" i="7"/>
  <c r="L1605" i="7"/>
  <c r="L1561" i="7"/>
  <c r="F1553" i="7"/>
  <c r="L1518" i="7"/>
  <c r="J1507" i="7"/>
  <c r="L1523" i="7"/>
  <c r="G1518" i="7"/>
  <c r="J1512" i="7"/>
  <c r="I1507" i="7"/>
  <c r="L1546" i="7"/>
  <c r="F1518" i="7"/>
  <c r="I1512" i="7"/>
  <c r="G1507" i="7"/>
  <c r="F1502" i="7"/>
  <c r="F1604" i="7"/>
  <c r="I1587" i="7"/>
  <c r="H1569" i="7"/>
  <c r="G1546" i="7"/>
  <c r="H1534" i="7"/>
  <c r="I1552" i="7"/>
  <c r="H1474" i="7"/>
  <c r="G1457" i="7"/>
  <c r="H1552" i="7"/>
  <c r="L1522" i="7"/>
  <c r="G1506" i="7"/>
  <c r="G1478" i="7"/>
  <c r="F1457" i="7"/>
  <c r="L1428" i="7"/>
  <c r="I1379" i="7"/>
  <c r="F1552" i="7"/>
  <c r="J1539" i="7"/>
  <c r="I1522" i="7"/>
  <c r="J1511" i="7"/>
  <c r="F1539" i="7"/>
  <c r="H1522" i="7"/>
  <c r="I1511" i="7"/>
  <c r="J1496" i="7"/>
  <c r="G1522" i="7"/>
  <c r="G1511" i="7"/>
  <c r="I1496" i="7"/>
  <c r="I1482" i="7"/>
  <c r="J1585" i="7"/>
  <c r="F1522" i="7"/>
  <c r="H1496" i="7"/>
  <c r="H1482" i="7"/>
  <c r="J1469" i="7"/>
  <c r="I1611" i="7"/>
  <c r="J1575" i="7"/>
  <c r="G1567" i="7"/>
  <c r="G1551" i="7"/>
  <c r="I1538" i="7"/>
  <c r="L1532" i="7"/>
  <c r="J1510" i="7"/>
  <c r="F1505" i="7"/>
  <c r="L1500" i="7"/>
  <c r="F1532" i="7"/>
  <c r="H1610" i="7"/>
  <c r="J1592" i="7"/>
  <c r="L1490" i="7"/>
  <c r="J1486" i="7"/>
  <c r="F1435" i="7"/>
  <c r="F1365" i="7"/>
  <c r="L1234" i="7"/>
  <c r="H1220" i="7"/>
  <c r="F1610" i="7"/>
  <c r="I1486" i="7"/>
  <c r="J1443" i="7"/>
  <c r="L1374" i="7"/>
  <c r="J1371" i="7"/>
  <c r="J1318" i="7"/>
  <c r="L1557" i="7"/>
  <c r="L1543" i="7"/>
  <c r="F1531" i="7"/>
  <c r="J1504" i="7"/>
  <c r="I1490" i="7"/>
  <c r="J1468" i="7"/>
  <c r="G1443" i="7"/>
  <c r="J1381" i="7"/>
  <c r="I1374" i="7"/>
  <c r="L1591" i="7"/>
  <c r="F1557" i="7"/>
  <c r="H1543" i="7"/>
  <c r="I1537" i="7"/>
  <c r="L1515" i="7"/>
  <c r="I1504" i="7"/>
  <c r="G1490" i="7"/>
  <c r="H1468" i="7"/>
  <c r="F1459" i="7"/>
  <c r="L1573" i="7"/>
  <c r="G1543" i="7"/>
  <c r="F1537" i="7"/>
  <c r="J1525" i="7"/>
  <c r="J1515" i="7"/>
  <c r="G1504" i="7"/>
  <c r="L1494" i="7"/>
  <c r="F1490" i="7"/>
  <c r="F1468" i="7"/>
  <c r="J1591" i="7"/>
  <c r="F1543" i="7"/>
  <c r="F1525" i="7"/>
  <c r="I1515" i="7"/>
  <c r="F1504" i="7"/>
  <c r="F1499" i="7"/>
  <c r="L1442" i="7"/>
  <c r="L1422" i="7"/>
  <c r="L1475" i="7"/>
  <c r="I1470" i="7"/>
  <c r="L1486" i="7"/>
  <c r="J1475" i="7"/>
  <c r="H1470" i="7"/>
  <c r="J1598" i="7"/>
  <c r="H1548" i="7"/>
  <c r="L1530" i="7"/>
  <c r="I1475" i="7"/>
  <c r="J1465" i="7"/>
  <c r="H1459" i="7"/>
  <c r="I1598" i="7"/>
  <c r="I1505" i="7"/>
  <c r="G1492" i="7"/>
  <c r="H1475" i="7"/>
  <c r="I1465" i="7"/>
  <c r="I1454" i="7"/>
  <c r="F1449" i="7"/>
  <c r="G1598" i="7"/>
  <c r="H1465" i="7"/>
  <c r="F1416" i="7"/>
  <c r="L1406" i="7"/>
  <c r="L1402" i="7"/>
  <c r="L1398" i="7"/>
  <c r="F1598" i="7"/>
  <c r="L1469" i="7"/>
  <c r="G1465" i="7"/>
  <c r="J1429" i="7"/>
  <c r="J1402" i="7"/>
  <c r="J1398" i="7"/>
  <c r="L1547" i="7"/>
  <c r="F1530" i="7"/>
  <c r="F1498" i="7"/>
  <c r="L1453" i="7"/>
  <c r="L1438" i="7"/>
  <c r="L1433" i="7"/>
  <c r="L1479" i="7"/>
  <c r="L1474" i="7"/>
  <c r="I1469" i="7"/>
  <c r="J1458" i="7"/>
  <c r="H1448" i="7"/>
  <c r="H1438" i="7"/>
  <c r="J1597" i="7"/>
  <c r="H1512" i="7"/>
  <c r="G1469" i="7"/>
  <c r="I1458" i="7"/>
  <c r="J1453" i="7"/>
  <c r="I1597" i="7"/>
  <c r="L1537" i="7"/>
  <c r="H1529" i="7"/>
  <c r="L1503" i="7"/>
  <c r="G1497" i="7"/>
  <c r="J1484" i="7"/>
  <c r="J1503" i="7"/>
  <c r="F1497" i="7"/>
  <c r="J1490" i="7"/>
  <c r="I1479" i="7"/>
  <c r="F1458" i="7"/>
  <c r="F1381" i="7"/>
  <c r="L1343" i="7"/>
  <c r="L1340" i="7"/>
  <c r="L1337" i="7"/>
  <c r="L1334" i="7"/>
  <c r="F1325" i="7"/>
  <c r="I1318" i="7"/>
  <c r="H1479" i="7"/>
  <c r="I1428" i="7"/>
  <c r="I1393" i="7"/>
  <c r="L1536" i="7"/>
  <c r="G1479" i="7"/>
  <c r="L1473" i="7"/>
  <c r="L1468" i="7"/>
  <c r="L1452" i="7"/>
  <c r="L1447" i="7"/>
  <c r="L1528" i="7"/>
  <c r="L1519" i="7"/>
  <c r="I1510" i="7"/>
  <c r="L1496" i="7"/>
  <c r="I1489" i="7"/>
  <c r="I1473" i="7"/>
  <c r="J1463" i="7"/>
  <c r="L1457" i="7"/>
  <c r="J1452" i="7"/>
  <c r="G1442" i="7"/>
  <c r="J1437" i="7"/>
  <c r="J1414" i="7"/>
  <c r="G1574" i="7"/>
  <c r="L1502" i="7"/>
  <c r="H1489" i="7"/>
  <c r="H1473" i="7"/>
  <c r="I1463" i="7"/>
  <c r="G1452" i="7"/>
  <c r="G1447" i="7"/>
  <c r="F1442" i="7"/>
  <c r="I1437" i="7"/>
  <c r="L1432" i="7"/>
  <c r="H1423" i="7"/>
  <c r="I1414" i="7"/>
  <c r="H1405" i="7"/>
  <c r="I1519" i="7"/>
  <c r="L1483" i="7"/>
  <c r="F1478" i="7"/>
  <c r="G1473" i="7"/>
  <c r="F1463" i="7"/>
  <c r="J1457" i="7"/>
  <c r="F1452" i="7"/>
  <c r="F1437" i="7"/>
  <c r="J1432" i="7"/>
  <c r="L1418" i="7"/>
  <c r="F1414" i="7"/>
  <c r="G1405" i="7"/>
  <c r="F1401" i="7"/>
  <c r="H1502" i="7"/>
  <c r="I1457" i="7"/>
  <c r="I1432" i="7"/>
  <c r="L1427" i="7"/>
  <c r="H1388" i="7"/>
  <c r="G1376" i="7"/>
  <c r="L1365" i="7"/>
  <c r="I1362" i="7"/>
  <c r="J1359" i="7"/>
  <c r="H1352" i="7"/>
  <c r="F1343" i="7"/>
  <c r="F1340" i="7"/>
  <c r="F1337" i="7"/>
  <c r="J1573" i="7"/>
  <c r="G1483" i="7"/>
  <c r="H1432" i="7"/>
  <c r="I1418" i="7"/>
  <c r="G1388" i="7"/>
  <c r="F1376" i="7"/>
  <c r="H1362" i="7"/>
  <c r="I1359" i="7"/>
  <c r="G1352" i="7"/>
  <c r="G1304" i="7"/>
  <c r="G1562" i="7"/>
  <c r="I1526" i="7"/>
  <c r="J1477" i="7"/>
  <c r="L1456" i="7"/>
  <c r="I1451" i="7"/>
  <c r="H1494" i="7"/>
  <c r="L1482" i="7"/>
  <c r="F1477" i="7"/>
  <c r="G1456" i="7"/>
  <c r="H1431" i="7"/>
  <c r="G1422" i="7"/>
  <c r="I1541" i="7"/>
  <c r="G1435" i="7"/>
  <c r="F1429" i="7"/>
  <c r="H1406" i="7"/>
  <c r="F1383" i="7"/>
  <c r="J1374" i="7"/>
  <c r="H1325" i="7"/>
  <c r="H1318" i="7"/>
  <c r="J1304" i="7"/>
  <c r="J1260" i="7"/>
  <c r="G1406" i="7"/>
  <c r="H1374" i="7"/>
  <c r="J1370" i="7"/>
  <c r="L1341" i="7"/>
  <c r="G1325" i="7"/>
  <c r="G1318" i="7"/>
  <c r="J1401" i="7"/>
  <c r="G1374" i="7"/>
  <c r="I1370" i="7"/>
  <c r="L1359" i="7"/>
  <c r="J1341" i="7"/>
  <c r="L1454" i="7"/>
  <c r="H1428" i="7"/>
  <c r="G1417" i="7"/>
  <c r="H1401" i="7"/>
  <c r="G1396" i="7"/>
  <c r="L1391" i="7"/>
  <c r="F1434" i="7"/>
  <c r="J1422" i="7"/>
  <c r="L1382" i="7"/>
  <c r="G1370" i="7"/>
  <c r="H1359" i="7"/>
  <c r="H1341" i="7"/>
  <c r="J1479" i="7"/>
  <c r="I1422" i="7"/>
  <c r="L1405" i="7"/>
  <c r="F1370" i="7"/>
  <c r="F1359" i="7"/>
  <c r="L1354" i="7"/>
  <c r="G1341" i="7"/>
  <c r="J1470" i="7"/>
  <c r="F1422" i="7"/>
  <c r="J1405" i="7"/>
  <c r="H1453" i="7"/>
  <c r="J1445" i="7"/>
  <c r="F1427" i="7"/>
  <c r="L1400" i="7"/>
  <c r="J1395" i="7"/>
  <c r="G1382" i="7"/>
  <c r="F1506" i="7"/>
  <c r="H1445" i="7"/>
  <c r="J1416" i="7"/>
  <c r="H1400" i="7"/>
  <c r="I1395" i="7"/>
  <c r="F1382" i="7"/>
  <c r="L1460" i="7"/>
  <c r="G1445" i="7"/>
  <c r="I1433" i="7"/>
  <c r="L1421" i="7"/>
  <c r="I1416" i="7"/>
  <c r="F1400" i="7"/>
  <c r="H1395" i="7"/>
  <c r="L1580" i="7"/>
  <c r="G1487" i="7"/>
  <c r="F1469" i="7"/>
  <c r="F1445" i="7"/>
  <c r="H1433" i="7"/>
  <c r="J1421" i="7"/>
  <c r="G1395" i="7"/>
  <c r="I1477" i="7"/>
  <c r="J1460" i="7"/>
  <c r="L1439" i="7"/>
  <c r="I1426" i="7"/>
  <c r="I1421" i="7"/>
  <c r="J1404" i="7"/>
  <c r="F1395" i="7"/>
  <c r="J1580" i="7"/>
  <c r="H1460" i="7"/>
  <c r="H1426" i="7"/>
  <c r="F1421" i="7"/>
  <c r="I1404" i="7"/>
  <c r="F1390" i="7"/>
  <c r="I1385" i="7"/>
  <c r="I1580" i="7"/>
  <c r="I1494" i="7"/>
  <c r="G1426" i="7"/>
  <c r="J1415" i="7"/>
  <c r="H1404" i="7"/>
  <c r="G1385" i="7"/>
  <c r="H1381" i="7"/>
  <c r="F1347" i="7"/>
  <c r="J1343" i="7"/>
  <c r="H1340" i="7"/>
  <c r="H1320" i="7"/>
  <c r="G1494" i="7"/>
  <c r="G1438" i="7"/>
  <c r="F1426" i="7"/>
  <c r="G1415" i="7"/>
  <c r="G1381" i="7"/>
  <c r="I1343" i="7"/>
  <c r="G1340" i="7"/>
  <c r="G1320" i="7"/>
  <c r="F1310" i="7"/>
  <c r="G1290" i="7"/>
  <c r="F1287" i="7"/>
  <c r="I1274" i="7"/>
  <c r="L1450" i="7"/>
  <c r="I1444" i="7"/>
  <c r="F1438" i="7"/>
  <c r="J1431" i="7"/>
  <c r="J1376" i="7"/>
  <c r="H1343" i="7"/>
  <c r="F1320" i="7"/>
  <c r="F1290" i="7"/>
  <c r="H1274" i="7"/>
  <c r="F1265" i="7"/>
  <c r="F1246" i="7"/>
  <c r="F1243" i="7"/>
  <c r="F1240" i="7"/>
  <c r="F1237" i="7"/>
  <c r="H1444" i="7"/>
  <c r="I1376" i="7"/>
  <c r="G1343" i="7"/>
  <c r="G1274" i="7"/>
  <c r="I1524" i="7"/>
  <c r="J1493" i="7"/>
  <c r="G1450" i="7"/>
  <c r="L1414" i="7"/>
  <c r="L1384" i="7"/>
  <c r="H1376" i="7"/>
  <c r="F1274" i="7"/>
  <c r="L1449" i="7"/>
  <c r="I1443" i="7"/>
  <c r="G1419" i="7"/>
  <c r="G1398" i="7"/>
  <c r="L1393" i="7"/>
  <c r="J1388" i="7"/>
  <c r="L1375" i="7"/>
  <c r="I1406" i="7"/>
  <c r="F1391" i="7"/>
  <c r="J1384" i="7"/>
  <c r="G1379" i="7"/>
  <c r="J1331" i="7"/>
  <c r="F1327" i="7"/>
  <c r="G1307" i="7"/>
  <c r="J1284" i="7"/>
  <c r="G1273" i="7"/>
  <c r="H1252" i="7"/>
  <c r="G1249" i="7"/>
  <c r="H1384" i="7"/>
  <c r="F1379" i="7"/>
  <c r="J1373" i="7"/>
  <c r="I1331" i="7"/>
  <c r="J1322" i="7"/>
  <c r="L1310" i="7"/>
  <c r="F1307" i="7"/>
  <c r="I1284" i="7"/>
  <c r="L1276" i="7"/>
  <c r="F1273" i="7"/>
  <c r="G1252" i="7"/>
  <c r="G1220" i="7"/>
  <c r="J1178" i="7"/>
  <c r="H1442" i="7"/>
  <c r="H1398" i="7"/>
  <c r="F1384" i="7"/>
  <c r="G1373" i="7"/>
  <c r="L1352" i="7"/>
  <c r="H1331" i="7"/>
  <c r="I1322" i="7"/>
  <c r="F1483" i="7"/>
  <c r="H1424" i="7"/>
  <c r="F1373" i="7"/>
  <c r="L1347" i="7"/>
  <c r="G1331" i="7"/>
  <c r="H1322" i="7"/>
  <c r="G1424" i="7"/>
  <c r="J1390" i="7"/>
  <c r="J1367" i="7"/>
  <c r="J1352" i="7"/>
  <c r="F1331" i="7"/>
  <c r="G1322" i="7"/>
  <c r="I1493" i="7"/>
  <c r="L1441" i="7"/>
  <c r="F1424" i="7"/>
  <c r="H1390" i="7"/>
  <c r="I1367" i="7"/>
  <c r="F1352" i="7"/>
  <c r="J1347" i="7"/>
  <c r="H1493" i="7"/>
  <c r="J1482" i="7"/>
  <c r="G1472" i="7"/>
  <c r="F1450" i="7"/>
  <c r="J1397" i="7"/>
  <c r="H1397" i="7"/>
  <c r="J1383" i="7"/>
  <c r="G1367" i="7"/>
  <c r="G1362" i="7"/>
  <c r="H1347" i="7"/>
  <c r="F1397" i="7"/>
  <c r="I1383" i="7"/>
  <c r="L1377" i="7"/>
  <c r="F1367" i="7"/>
  <c r="F1362" i="7"/>
  <c r="I1334" i="7"/>
  <c r="H1449" i="7"/>
  <c r="I1430" i="7"/>
  <c r="F1413" i="7"/>
  <c r="H1383" i="7"/>
  <c r="J1377" i="7"/>
  <c r="H1334" i="7"/>
  <c r="F1481" i="7"/>
  <c r="G1449" i="7"/>
  <c r="J1403" i="7"/>
  <c r="G1377" i="7"/>
  <c r="L1371" i="7"/>
  <c r="G1334" i="7"/>
  <c r="L1388" i="7"/>
  <c r="I1371" i="7"/>
  <c r="L1366" i="7"/>
  <c r="J1346" i="7"/>
  <c r="F1334" i="7"/>
  <c r="J1325" i="7"/>
  <c r="H1524" i="7"/>
  <c r="I1501" i="7"/>
  <c r="H1458" i="7"/>
  <c r="F1403" i="7"/>
  <c r="I1388" i="7"/>
  <c r="H1371" i="7"/>
  <c r="F1524" i="7"/>
  <c r="F1448" i="7"/>
  <c r="L1429" i="7"/>
  <c r="L1395" i="7"/>
  <c r="F1388" i="7"/>
  <c r="J1382" i="7"/>
  <c r="G1371" i="7"/>
  <c r="I1429" i="7"/>
  <c r="I1341" i="7"/>
  <c r="I1337" i="7"/>
  <c r="H1304" i="7"/>
  <c r="F1297" i="7"/>
  <c r="L1231" i="7"/>
  <c r="L1228" i="7"/>
  <c r="G1429" i="7"/>
  <c r="I1402" i="7"/>
  <c r="F1341" i="7"/>
  <c r="H1337" i="7"/>
  <c r="F1304" i="7"/>
  <c r="L1289" i="7"/>
  <c r="J1234" i="7"/>
  <c r="L1128" i="7"/>
  <c r="H1500" i="7"/>
  <c r="H1402" i="7"/>
  <c r="L1381" i="7"/>
  <c r="L1370" i="7"/>
  <c r="I1365" i="7"/>
  <c r="L1345" i="7"/>
  <c r="G1337" i="7"/>
  <c r="L1320" i="7"/>
  <c r="L1237" i="7"/>
  <c r="I1234" i="7"/>
  <c r="J1231" i="7"/>
  <c r="J1228" i="7"/>
  <c r="H1418" i="7"/>
  <c r="H1393" i="7"/>
  <c r="L1380" i="7"/>
  <c r="F1375" i="7"/>
  <c r="H1354" i="7"/>
  <c r="H1345" i="7"/>
  <c r="J1329" i="7"/>
  <c r="L1323" i="7"/>
  <c r="G1314" i="7"/>
  <c r="I1309" i="7"/>
  <c r="J1295" i="7"/>
  <c r="I1287" i="7"/>
  <c r="J1425" i="7"/>
  <c r="J1340" i="7"/>
  <c r="L1335" i="7"/>
  <c r="J1323" i="7"/>
  <c r="F1314" i="7"/>
  <c r="H1309" i="7"/>
  <c r="L1299" i="7"/>
  <c r="J1368" i="7"/>
  <c r="L1361" i="7"/>
  <c r="I1346" i="7"/>
  <c r="I1340" i="7"/>
  <c r="L1318" i="7"/>
  <c r="F1309" i="7"/>
  <c r="F1299" i="7"/>
  <c r="F1361" i="7"/>
  <c r="H1353" i="7"/>
  <c r="F1318" i="7"/>
  <c r="H1262" i="7"/>
  <c r="I1258" i="7"/>
  <c r="I1246" i="7"/>
  <c r="F1232" i="7"/>
  <c r="H1456" i="7"/>
  <c r="I1375" i="7"/>
  <c r="G1353" i="7"/>
  <c r="J1328" i="7"/>
  <c r="L1303" i="7"/>
  <c r="G1262" i="7"/>
  <c r="G1402" i="7"/>
  <c r="H1392" i="7"/>
  <c r="G1375" i="7"/>
  <c r="H1367" i="7"/>
  <c r="L1339" i="7"/>
  <c r="H1328" i="7"/>
  <c r="L1322" i="7"/>
  <c r="L1313" i="7"/>
  <c r="F1402" i="7"/>
  <c r="G1392" i="7"/>
  <c r="J1334" i="7"/>
  <c r="G1328" i="7"/>
  <c r="F1322" i="7"/>
  <c r="J1303" i="7"/>
  <c r="L1294" i="7"/>
  <c r="F1455" i="7"/>
  <c r="J1345" i="7"/>
  <c r="J1339" i="7"/>
  <c r="F1328" i="7"/>
  <c r="I1303" i="7"/>
  <c r="L1290" i="7"/>
  <c r="J1249" i="7"/>
  <c r="F1374" i="7"/>
  <c r="G1366" i="7"/>
  <c r="I1345" i="7"/>
  <c r="I1339" i="7"/>
  <c r="J1317" i="7"/>
  <c r="H1303" i="7"/>
  <c r="F1298" i="7"/>
  <c r="L1443" i="7"/>
  <c r="I1317" i="7"/>
  <c r="G1303" i="7"/>
  <c r="I1294" i="7"/>
  <c r="J1290" i="7"/>
  <c r="G1277" i="7"/>
  <c r="H1273" i="7"/>
  <c r="I1327" i="7"/>
  <c r="J1321" i="7"/>
  <c r="H1317" i="7"/>
  <c r="F1303" i="7"/>
  <c r="H1294" i="7"/>
  <c r="H1290" i="7"/>
  <c r="I1381" i="7"/>
  <c r="G1327" i="7"/>
  <c r="I1321" i="7"/>
  <c r="G1317" i="7"/>
  <c r="G1294" i="7"/>
  <c r="L1285" i="7"/>
  <c r="I1281" i="7"/>
  <c r="L1465" i="7"/>
  <c r="F1408" i="7"/>
  <c r="G1365" i="7"/>
  <c r="H1344" i="7"/>
  <c r="G1338" i="7"/>
  <c r="G1321" i="7"/>
  <c r="L1311" i="7"/>
  <c r="L1307" i="7"/>
  <c r="J1289" i="7"/>
  <c r="H1285" i="7"/>
  <c r="G1281" i="7"/>
  <c r="L1268" i="7"/>
  <c r="G1257" i="7"/>
  <c r="J1252" i="7"/>
  <c r="H1241" i="7"/>
  <c r="F1234" i="7"/>
  <c r="J1380" i="7"/>
  <c r="G1344" i="7"/>
  <c r="F1326" i="7"/>
  <c r="F1321" i="7"/>
  <c r="J1307" i="7"/>
  <c r="J1297" i="7"/>
  <c r="L1293" i="7"/>
  <c r="I1289" i="7"/>
  <c r="G1285" i="7"/>
  <c r="F1281" i="7"/>
  <c r="H1276" i="7"/>
  <c r="G1264" i="7"/>
  <c r="L1260" i="7"/>
  <c r="I1252" i="7"/>
  <c r="J1248" i="7"/>
  <c r="F1344" i="7"/>
  <c r="F1316" i="7"/>
  <c r="J1311" i="7"/>
  <c r="I1307" i="7"/>
  <c r="I1297" i="7"/>
  <c r="H1289" i="7"/>
  <c r="F1285" i="7"/>
  <c r="G1276" i="7"/>
  <c r="J1268" i="7"/>
  <c r="F1264" i="7"/>
  <c r="F1252" i="7"/>
  <c r="I1248" i="7"/>
  <c r="J1237" i="7"/>
  <c r="F1227" i="7"/>
  <c r="G1212" i="7"/>
  <c r="I1208" i="7"/>
  <c r="J1197" i="7"/>
  <c r="H1311" i="7"/>
  <c r="H1307" i="7"/>
  <c r="H1297" i="7"/>
  <c r="G1289" i="7"/>
  <c r="F1276" i="7"/>
  <c r="I1268" i="7"/>
  <c r="I1260" i="7"/>
  <c r="H1248" i="7"/>
  <c r="I1237" i="7"/>
  <c r="I1197" i="7"/>
  <c r="F1194" i="7"/>
  <c r="I1061" i="7"/>
  <c r="G1311" i="7"/>
  <c r="G1297" i="7"/>
  <c r="F1289" i="7"/>
  <c r="H1260" i="7"/>
  <c r="G1248" i="7"/>
  <c r="H1237" i="7"/>
  <c r="H1197" i="7"/>
  <c r="L1183" i="7"/>
  <c r="J1180" i="7"/>
  <c r="H1061" i="7"/>
  <c r="I1320" i="7"/>
  <c r="L1292" i="7"/>
  <c r="H1284" i="7"/>
  <c r="L1275" i="7"/>
  <c r="L1263" i="7"/>
  <c r="F1260" i="7"/>
  <c r="F1197" i="7"/>
  <c r="I1183" i="7"/>
  <c r="H1180" i="7"/>
  <c r="J1128" i="7"/>
  <c r="I1369" i="7"/>
  <c r="G1324" i="7"/>
  <c r="L1309" i="7"/>
  <c r="J1270" i="7"/>
  <c r="G1250" i="7"/>
  <c r="L1245" i="7"/>
  <c r="H1217" i="7"/>
  <c r="L1205" i="7"/>
  <c r="F1165" i="7"/>
  <c r="J1129" i="7"/>
  <c r="G1126" i="7"/>
  <c r="H1123" i="7"/>
  <c r="H1120" i="7"/>
  <c r="I1117" i="7"/>
  <c r="H1369" i="7"/>
  <c r="L1300" i="7"/>
  <c r="J1294" i="7"/>
  <c r="F1282" i="7"/>
  <c r="I1270" i="7"/>
  <c r="L1265" i="7"/>
  <c r="F1250" i="7"/>
  <c r="J1241" i="7"/>
  <c r="I1229" i="7"/>
  <c r="I1221" i="7"/>
  <c r="G1217" i="7"/>
  <c r="I1205" i="7"/>
  <c r="L1132" i="7"/>
  <c r="I1129" i="7"/>
  <c r="H1300" i="7"/>
  <c r="L1287" i="7"/>
  <c r="J1275" i="7"/>
  <c r="H1270" i="7"/>
  <c r="I1265" i="7"/>
  <c r="G1260" i="7"/>
  <c r="J1245" i="7"/>
  <c r="I1241" i="7"/>
  <c r="H1229" i="7"/>
  <c r="H1221" i="7"/>
  <c r="G1205" i="7"/>
  <c r="H1129" i="7"/>
  <c r="F1123" i="7"/>
  <c r="F1120" i="7"/>
  <c r="G1300" i="7"/>
  <c r="J1287" i="7"/>
  <c r="I1275" i="7"/>
  <c r="G1270" i="7"/>
  <c r="H1265" i="7"/>
  <c r="I1255" i="7"/>
  <c r="I1245" i="7"/>
  <c r="L1348" i="7"/>
  <c r="F1300" i="7"/>
  <c r="H1287" i="7"/>
  <c r="L1281" i="7"/>
  <c r="H1275" i="7"/>
  <c r="G1265" i="7"/>
  <c r="H1255" i="7"/>
  <c r="G1287" i="7"/>
  <c r="J1281" i="7"/>
  <c r="G1275" i="7"/>
  <c r="G1255" i="7"/>
  <c r="L1249" i="7"/>
  <c r="G1245" i="7"/>
  <c r="L1232" i="7"/>
  <c r="G1348" i="7"/>
  <c r="H1281" i="7"/>
  <c r="F1255" i="7"/>
  <c r="J1208" i="7"/>
  <c r="H1178" i="7"/>
  <c r="L1331" i="7"/>
  <c r="I1249" i="7"/>
  <c r="L1240" i="7"/>
  <c r="J1232" i="7"/>
  <c r="J1224" i="7"/>
  <c r="J1216" i="7"/>
  <c r="J1292" i="7"/>
  <c r="H1249" i="7"/>
  <c r="I1240" i="7"/>
  <c r="I1232" i="7"/>
  <c r="I1228" i="7"/>
  <c r="I1224" i="7"/>
  <c r="L1220" i="7"/>
  <c r="G1418" i="7"/>
  <c r="H1338" i="7"/>
  <c r="L1298" i="7"/>
  <c r="I1292" i="7"/>
  <c r="L1274" i="7"/>
  <c r="H1240" i="7"/>
  <c r="I1236" i="7"/>
  <c r="I1347" i="7"/>
  <c r="H1321" i="7"/>
  <c r="H1292" i="7"/>
  <c r="G1240" i="7"/>
  <c r="H1236" i="7"/>
  <c r="G1232" i="7"/>
  <c r="H1365" i="7"/>
  <c r="I1314" i="7"/>
  <c r="G1292" i="7"/>
  <c r="J1274" i="7"/>
  <c r="J1263" i="7"/>
  <c r="L1248" i="7"/>
  <c r="I1354" i="7"/>
  <c r="J1337" i="7"/>
  <c r="J1320" i="7"/>
  <c r="L1297" i="7"/>
  <c r="J1285" i="7"/>
  <c r="H1263" i="7"/>
  <c r="J1258" i="7"/>
  <c r="L1243" i="7"/>
  <c r="L1227" i="7"/>
  <c r="L1215" i="7"/>
  <c r="H1211" i="7"/>
  <c r="H1207" i="7"/>
  <c r="G1199" i="7"/>
  <c r="J1195" i="7"/>
  <c r="L1191" i="7"/>
  <c r="L1373" i="7"/>
  <c r="G1364" i="7"/>
  <c r="G1354" i="7"/>
  <c r="G1263" i="7"/>
  <c r="H1258" i="7"/>
  <c r="I1231" i="7"/>
  <c r="F1215" i="7"/>
  <c r="F1211" i="7"/>
  <c r="G1207" i="7"/>
  <c r="F1199" i="7"/>
  <c r="G1195" i="7"/>
  <c r="G1184" i="7"/>
  <c r="G1170" i="7"/>
  <c r="G1156" i="7"/>
  <c r="H1145" i="7"/>
  <c r="I1273" i="7"/>
  <c r="F1258" i="7"/>
  <c r="H1243" i="7"/>
  <c r="I1227" i="7"/>
  <c r="I1191" i="7"/>
  <c r="J1187" i="7"/>
  <c r="G1180" i="7"/>
  <c r="F900" i="7"/>
  <c r="L812" i="7"/>
  <c r="L1319" i="7"/>
  <c r="L1304" i="7"/>
  <c r="G1284" i="7"/>
  <c r="G1243" i="7"/>
  <c r="H1227" i="7"/>
  <c r="H1191" i="7"/>
  <c r="I1187" i="7"/>
  <c r="F1180" i="7"/>
  <c r="L1436" i="7"/>
  <c r="J1344" i="7"/>
  <c r="I1319" i="7"/>
  <c r="F1311" i="7"/>
  <c r="J1262" i="7"/>
  <c r="J1194" i="7"/>
  <c r="I1295" i="7"/>
  <c r="F1262" i="7"/>
  <c r="L1246" i="7"/>
  <c r="H1234" i="7"/>
  <c r="I1222" i="7"/>
  <c r="I1211" i="7"/>
  <c r="I1165" i="7"/>
  <c r="L1147" i="7"/>
  <c r="G1114" i="7"/>
  <c r="F1107" i="7"/>
  <c r="L1088" i="7"/>
  <c r="L1061" i="7"/>
  <c r="F1017" i="7"/>
  <c r="J1004" i="7"/>
  <c r="I967" i="7"/>
  <c r="J1354" i="7"/>
  <c r="H1324" i="7"/>
  <c r="H1295" i="7"/>
  <c r="L1277" i="7"/>
  <c r="G1234" i="7"/>
  <c r="H1222" i="7"/>
  <c r="L1156" i="7"/>
  <c r="J1117" i="7"/>
  <c r="J1085" i="7"/>
  <c r="L1010" i="7"/>
  <c r="J1007" i="7"/>
  <c r="I1004" i="7"/>
  <c r="H967" i="7"/>
  <c r="F1354" i="7"/>
  <c r="F1277" i="7"/>
  <c r="J1246" i="7"/>
  <c r="F1222" i="7"/>
  <c r="L1216" i="7"/>
  <c r="J1147" i="7"/>
  <c r="L1120" i="7"/>
  <c r="H1117" i="7"/>
  <c r="J1088" i="7"/>
  <c r="I1085" i="7"/>
  <c r="J1061" i="7"/>
  <c r="J1010" i="7"/>
  <c r="I1007" i="7"/>
  <c r="G1004" i="7"/>
  <c r="G967" i="7"/>
  <c r="J1267" i="7"/>
  <c r="L1261" i="7"/>
  <c r="G1246" i="7"/>
  <c r="F1239" i="7"/>
  <c r="J1227" i="7"/>
  <c r="I1216" i="7"/>
  <c r="G1185" i="7"/>
  <c r="H1314" i="7"/>
  <c r="F1267" i="7"/>
  <c r="J1261" i="7"/>
  <c r="L1252" i="7"/>
  <c r="G1227" i="7"/>
  <c r="G1216" i="7"/>
  <c r="F1156" i="7"/>
  <c r="F1284" i="7"/>
  <c r="H1261" i="7"/>
  <c r="F1216" i="7"/>
  <c r="F1205" i="7"/>
  <c r="L1199" i="7"/>
  <c r="J1172" i="7"/>
  <c r="G1147" i="7"/>
  <c r="H1245" i="7"/>
  <c r="G1221" i="7"/>
  <c r="H1232" i="7"/>
  <c r="F1221" i="7"/>
  <c r="I1199" i="7"/>
  <c r="L1194" i="7"/>
  <c r="L1184" i="7"/>
  <c r="I1180" i="7"/>
  <c r="H1172" i="7"/>
  <c r="J1151" i="7"/>
  <c r="L1342" i="7"/>
  <c r="I1301" i="7"/>
  <c r="J1283" i="7"/>
  <c r="J1266" i="7"/>
  <c r="H1251" i="7"/>
  <c r="I1238" i="7"/>
  <c r="I1226" i="7"/>
  <c r="I1194" i="7"/>
  <c r="I1184" i="7"/>
  <c r="L1167" i="7"/>
  <c r="F1292" i="7"/>
  <c r="H1283" i="7"/>
  <c r="I1266" i="7"/>
  <c r="G1251" i="7"/>
  <c r="H1238" i="7"/>
  <c r="H1226" i="7"/>
  <c r="J1220" i="7"/>
  <c r="L1214" i="7"/>
  <c r="J1362" i="7"/>
  <c r="G1283" i="7"/>
  <c r="F1266" i="7"/>
  <c r="F1251" i="7"/>
  <c r="G1238" i="7"/>
  <c r="H1231" i="7"/>
  <c r="G1226" i="7"/>
  <c r="I1220" i="7"/>
  <c r="F1238" i="7"/>
  <c r="F1220" i="7"/>
  <c r="F1214" i="7"/>
  <c r="F1209" i="7"/>
  <c r="L1198" i="7"/>
  <c r="J1188" i="7"/>
  <c r="J1171" i="7"/>
  <c r="L1273" i="7"/>
  <c r="G1258" i="7"/>
  <c r="J1243" i="7"/>
  <c r="J1198" i="7"/>
  <c r="H1188" i="7"/>
  <c r="J1179" i="7"/>
  <c r="H1167" i="7"/>
  <c r="J1163" i="7"/>
  <c r="I1142" i="7"/>
  <c r="F1138" i="7"/>
  <c r="F1126" i="7"/>
  <c r="I1119" i="7"/>
  <c r="G1087" i="7"/>
  <c r="G1077" i="7"/>
  <c r="G1060" i="7"/>
  <c r="L1053" i="7"/>
  <c r="J1310" i="7"/>
  <c r="H1250" i="7"/>
  <c r="G1188" i="7"/>
  <c r="J1183" i="7"/>
  <c r="I1179" i="7"/>
  <c r="G1167" i="7"/>
  <c r="H1163" i="7"/>
  <c r="G1142" i="7"/>
  <c r="H1119" i="7"/>
  <c r="H1370" i="7"/>
  <c r="G1310" i="7"/>
  <c r="L1257" i="7"/>
  <c r="G1237" i="7"/>
  <c r="L1224" i="7"/>
  <c r="G1183" i="7"/>
  <c r="G1179" i="7"/>
  <c r="L1170" i="7"/>
  <c r="L1129" i="7"/>
  <c r="J879" i="7"/>
  <c r="J812" i="7"/>
  <c r="F760" i="7"/>
  <c r="J1319" i="7"/>
  <c r="I1257" i="7"/>
  <c r="H1224" i="7"/>
  <c r="F1183" i="7"/>
  <c r="F1179" i="7"/>
  <c r="H1158" i="7"/>
  <c r="L1145" i="7"/>
  <c r="H879" i="7"/>
  <c r="I812" i="7"/>
  <c r="L678" i="7"/>
  <c r="H664" i="7"/>
  <c r="J570" i="7"/>
  <c r="H1319" i="7"/>
  <c r="H1257" i="7"/>
  <c r="G1224" i="7"/>
  <c r="I1213" i="7"/>
  <c r="L1207" i="7"/>
  <c r="L1197" i="7"/>
  <c r="L1187" i="7"/>
  <c r="J1170" i="7"/>
  <c r="F1158" i="7"/>
  <c r="F1129" i="7"/>
  <c r="J1436" i="7"/>
  <c r="L1379" i="7"/>
  <c r="F1248" i="7"/>
  <c r="J1207" i="7"/>
  <c r="G1197" i="7"/>
  <c r="L1178" i="7"/>
  <c r="H1170" i="7"/>
  <c r="H1310" i="7"/>
  <c r="H1206" i="7"/>
  <c r="G1178" i="7"/>
  <c r="L1138" i="7"/>
  <c r="J1132" i="7"/>
  <c r="I1114" i="7"/>
  <c r="L1096" i="7"/>
  <c r="H1084" i="7"/>
  <c r="H1047" i="7"/>
  <c r="G1042" i="7"/>
  <c r="J1038" i="7"/>
  <c r="L1034" i="7"/>
  <c r="J1012" i="7"/>
  <c r="F1009" i="7"/>
  <c r="G1005" i="7"/>
  <c r="I1001" i="7"/>
  <c r="G997" i="7"/>
  <c r="J992" i="7"/>
  <c r="J1288" i="7"/>
  <c r="F1247" i="7"/>
  <c r="J1238" i="7"/>
  <c r="H1184" i="7"/>
  <c r="F1178" i="7"/>
  <c r="F1143" i="7"/>
  <c r="I1138" i="7"/>
  <c r="I1132" i="7"/>
  <c r="H1114" i="7"/>
  <c r="F1084" i="7"/>
  <c r="L1079" i="7"/>
  <c r="J1075" i="7"/>
  <c r="G1047" i="7"/>
  <c r="F1042" i="7"/>
  <c r="I1038" i="7"/>
  <c r="I1012" i="7"/>
  <c r="F1005" i="7"/>
  <c r="I1288" i="7"/>
  <c r="L1229" i="7"/>
  <c r="L1212" i="7"/>
  <c r="J1191" i="7"/>
  <c r="F1184" i="7"/>
  <c r="G1138" i="7"/>
  <c r="H1132" i="7"/>
  <c r="J1096" i="7"/>
  <c r="F1047" i="7"/>
  <c r="J1034" i="7"/>
  <c r="H1012" i="7"/>
  <c r="H992" i="7"/>
  <c r="J972" i="7"/>
  <c r="H924" i="7"/>
  <c r="F921" i="7"/>
  <c r="G819" i="7"/>
  <c r="I1212" i="7"/>
  <c r="F1191" i="7"/>
  <c r="L1171" i="7"/>
  <c r="L1159" i="7"/>
  <c r="L1126" i="7"/>
  <c r="I1096" i="7"/>
  <c r="L1087" i="7"/>
  <c r="J1079" i="7"/>
  <c r="I1034" i="7"/>
  <c r="G1012" i="7"/>
  <c r="G992" i="7"/>
  <c r="I972" i="7"/>
  <c r="G924" i="7"/>
  <c r="L900" i="7"/>
  <c r="F819" i="7"/>
  <c r="H812" i="7"/>
  <c r="G1229" i="7"/>
  <c r="H1212" i="7"/>
  <c r="L1165" i="7"/>
  <c r="I1159" i="7"/>
  <c r="L1109" i="7"/>
  <c r="H1096" i="7"/>
  <c r="F1296" i="7"/>
  <c r="F1229" i="7"/>
  <c r="H1183" i="7"/>
  <c r="F1159" i="7"/>
  <c r="L1142" i="7"/>
  <c r="H1131" i="7"/>
  <c r="J1126" i="7"/>
  <c r="J1165" i="7"/>
  <c r="I1147" i="7"/>
  <c r="G1131" i="7"/>
  <c r="H1126" i="7"/>
  <c r="L1121" i="7"/>
  <c r="I1109" i="7"/>
  <c r="G1236" i="7"/>
  <c r="I1176" i="7"/>
  <c r="I1170" i="7"/>
  <c r="H1147" i="7"/>
  <c r="J1142" i="7"/>
  <c r="F1228" i="7"/>
  <c r="J1196" i="7"/>
  <c r="G1176" i="7"/>
  <c r="F1170" i="7"/>
  <c r="J1153" i="7"/>
  <c r="F1147" i="7"/>
  <c r="F1142" i="7"/>
  <c r="L1295" i="7"/>
  <c r="I1218" i="7"/>
  <c r="I1196" i="7"/>
  <c r="J1182" i="7"/>
  <c r="L1164" i="7"/>
  <c r="L1158" i="7"/>
  <c r="G1153" i="7"/>
  <c r="L1136" i="7"/>
  <c r="G1196" i="7"/>
  <c r="H1164" i="7"/>
  <c r="I1130" i="7"/>
  <c r="J1125" i="7"/>
  <c r="F1121" i="7"/>
  <c r="G1074" i="7"/>
  <c r="F1070" i="7"/>
  <c r="F1317" i="7"/>
  <c r="G1235" i="7"/>
  <c r="F1203" i="7"/>
  <c r="F1196" i="7"/>
  <c r="F1164" i="7"/>
  <c r="G1141" i="7"/>
  <c r="I1136" i="7"/>
  <c r="F1188" i="7"/>
  <c r="G1175" i="7"/>
  <c r="L1169" i="7"/>
  <c r="I1146" i="7"/>
  <c r="F1141" i="7"/>
  <c r="G1130" i="7"/>
  <c r="H1125" i="7"/>
  <c r="I1263" i="7"/>
  <c r="F1130" i="7"/>
  <c r="L1112" i="7"/>
  <c r="L1077" i="7"/>
  <c r="L1069" i="7"/>
  <c r="J1053" i="7"/>
  <c r="J1040" i="7"/>
  <c r="L1017" i="7"/>
  <c r="H1014" i="7"/>
  <c r="F1007" i="7"/>
  <c r="H933" i="7"/>
  <c r="H878" i="7"/>
  <c r="F1263" i="7"/>
  <c r="J1226" i="7"/>
  <c r="L1217" i="7"/>
  <c r="L1209" i="7"/>
  <c r="J1169" i="7"/>
  <c r="G1146" i="7"/>
  <c r="J1135" i="7"/>
  <c r="F1125" i="7"/>
  <c r="J1120" i="7"/>
  <c r="J1116" i="7"/>
  <c r="J1112" i="7"/>
  <c r="H1108" i="7"/>
  <c r="G1104" i="7"/>
  <c r="I1090" i="7"/>
  <c r="G1086" i="7"/>
  <c r="J1069" i="7"/>
  <c r="H1336" i="7"/>
  <c r="L1325" i="7"/>
  <c r="J1140" i="7"/>
  <c r="G1120" i="7"/>
  <c r="G1116" i="7"/>
  <c r="L1099" i="7"/>
  <c r="I1077" i="7"/>
  <c r="H1069" i="7"/>
  <c r="L1060" i="7"/>
  <c r="G1040" i="7"/>
  <c r="I1017" i="7"/>
  <c r="I1010" i="7"/>
  <c r="I982" i="7"/>
  <c r="H974" i="7"/>
  <c r="J936" i="7"/>
  <c r="J1369" i="7"/>
  <c r="G1336" i="7"/>
  <c r="I1325" i="7"/>
  <c r="H1140" i="7"/>
  <c r="F1116" i="7"/>
  <c r="H1077" i="7"/>
  <c r="G1069" i="7"/>
  <c r="F1040" i="7"/>
  <c r="L1020" i="7"/>
  <c r="H1017" i="7"/>
  <c r="H1010" i="7"/>
  <c r="H982" i="7"/>
  <c r="G974" i="7"/>
  <c r="H1379" i="7"/>
  <c r="I1262" i="7"/>
  <c r="G1241" i="7"/>
  <c r="F1224" i="7"/>
  <c r="G1194" i="7"/>
  <c r="L1173" i="7"/>
  <c r="L1172" i="7"/>
  <c r="J1156" i="7"/>
  <c r="F1140" i="7"/>
  <c r="F1119" i="7"/>
  <c r="H1065" i="7"/>
  <c r="I1060" i="7"/>
  <c r="G1051" i="7"/>
  <c r="G1027" i="7"/>
  <c r="L1009" i="7"/>
  <c r="I1005" i="7"/>
  <c r="L958" i="7"/>
  <c r="J930" i="7"/>
  <c r="J915" i="7"/>
  <c r="L893" i="7"/>
  <c r="F878" i="7"/>
  <c r="I859" i="7"/>
  <c r="H856" i="7"/>
  <c r="L845" i="7"/>
  <c r="J839" i="7"/>
  <c r="H835" i="7"/>
  <c r="H746" i="7"/>
  <c r="I732" i="7"/>
  <c r="I1172" i="7"/>
  <c r="G1108" i="7"/>
  <c r="H1103" i="7"/>
  <c r="F1091" i="7"/>
  <c r="J1086" i="7"/>
  <c r="H1060" i="7"/>
  <c r="L1055" i="7"/>
  <c r="F1027" i="7"/>
  <c r="I1022" i="7"/>
  <c r="H1000" i="7"/>
  <c r="I1217" i="7"/>
  <c r="L1179" i="7"/>
  <c r="L1124" i="7"/>
  <c r="G1103" i="7"/>
  <c r="I1086" i="7"/>
  <c r="L1075" i="7"/>
  <c r="F1060" i="7"/>
  <c r="J1055" i="7"/>
  <c r="I1036" i="7"/>
  <c r="L1031" i="7"/>
  <c r="H1022" i="7"/>
  <c r="J1009" i="7"/>
  <c r="H1179" i="7"/>
  <c r="F1124" i="7"/>
  <c r="F1103" i="7"/>
  <c r="G1096" i="7"/>
  <c r="F1086" i="7"/>
  <c r="L1070" i="7"/>
  <c r="I1055" i="7"/>
  <c r="L1040" i="7"/>
  <c r="F1036" i="7"/>
  <c r="G1022" i="7"/>
  <c r="I1009" i="7"/>
  <c r="L1270" i="7"/>
  <c r="F1207" i="7"/>
  <c r="H1187" i="7"/>
  <c r="L1163" i="7"/>
  <c r="L1155" i="7"/>
  <c r="H1139" i="7"/>
  <c r="L1118" i="7"/>
  <c r="F1096" i="7"/>
  <c r="H1070" i="7"/>
  <c r="H1055" i="7"/>
  <c r="L1050" i="7"/>
  <c r="J1031" i="7"/>
  <c r="J1130" i="7"/>
  <c r="I1107" i="7"/>
  <c r="L1090" i="7"/>
  <c r="F1055" i="7"/>
  <c r="J1050" i="7"/>
  <c r="I1040" i="7"/>
  <c r="I1031" i="7"/>
  <c r="J1017" i="7"/>
  <c r="G1009" i="7"/>
  <c r="F958" i="7"/>
  <c r="J1155" i="7"/>
  <c r="H1130" i="7"/>
  <c r="F1112" i="7"/>
  <c r="H1107" i="7"/>
  <c r="L1186" i="7"/>
  <c r="I1178" i="7"/>
  <c r="F1155" i="7"/>
  <c r="L1123" i="7"/>
  <c r="G1107" i="7"/>
  <c r="L1102" i="7"/>
  <c r="L1095" i="7"/>
  <c r="L1085" i="7"/>
  <c r="J1080" i="7"/>
  <c r="I1069" i="7"/>
  <c r="F1064" i="7"/>
  <c r="J1059" i="7"/>
  <c r="L1206" i="7"/>
  <c r="I1186" i="7"/>
  <c r="I1162" i="7"/>
  <c r="J1145" i="7"/>
  <c r="J1123" i="7"/>
  <c r="L1117" i="7"/>
  <c r="I1102" i="7"/>
  <c r="G1095" i="7"/>
  <c r="F1085" i="7"/>
  <c r="I1080" i="7"/>
  <c r="J1074" i="7"/>
  <c r="F1069" i="7"/>
  <c r="J1206" i="7"/>
  <c r="H1186" i="7"/>
  <c r="F1162" i="7"/>
  <c r="I1145" i="7"/>
  <c r="I1123" i="7"/>
  <c r="G1117" i="7"/>
  <c r="F1095" i="7"/>
  <c r="J1089" i="7"/>
  <c r="I1074" i="7"/>
  <c r="I1054" i="7"/>
  <c r="F1044" i="7"/>
  <c r="J1214" i="7"/>
  <c r="G1186" i="7"/>
  <c r="F1145" i="7"/>
  <c r="G1123" i="7"/>
  <c r="L1106" i="7"/>
  <c r="I1089" i="7"/>
  <c r="H1074" i="7"/>
  <c r="L1063" i="7"/>
  <c r="H1054" i="7"/>
  <c r="H1039" i="7"/>
  <c r="F1030" i="7"/>
  <c r="I1278" i="7"/>
  <c r="G1079" i="7"/>
  <c r="F1074" i="7"/>
  <c r="L1068" i="7"/>
  <c r="L1058" i="7"/>
  <c r="G1054" i="7"/>
  <c r="J1049" i="7"/>
  <c r="G1039" i="7"/>
  <c r="I1025" i="7"/>
  <c r="H1008" i="7"/>
  <c r="J1003" i="7"/>
  <c r="J1106" i="7"/>
  <c r="L1084" i="7"/>
  <c r="F1079" i="7"/>
  <c r="I1063" i="7"/>
  <c r="J1058" i="7"/>
  <c r="F1054" i="7"/>
  <c r="H1049" i="7"/>
  <c r="F1039" i="7"/>
  <c r="H1025" i="7"/>
  <c r="J1016" i="7"/>
  <c r="F1008" i="7"/>
  <c r="H1194" i="7"/>
  <c r="F1161" i="7"/>
  <c r="I1128" i="7"/>
  <c r="L1116" i="7"/>
  <c r="I1106" i="7"/>
  <c r="F1094" i="7"/>
  <c r="F1089" i="7"/>
  <c r="G1068" i="7"/>
  <c r="F1049" i="7"/>
  <c r="H1034" i="7"/>
  <c r="J1020" i="7"/>
  <c r="I1016" i="7"/>
  <c r="G1003" i="7"/>
  <c r="J998" i="7"/>
  <c r="J983" i="7"/>
  <c r="J974" i="7"/>
  <c r="H961" i="7"/>
  <c r="F953" i="7"/>
  <c r="F949" i="7"/>
  <c r="F945" i="7"/>
  <c r="H940" i="7"/>
  <c r="H1128" i="7"/>
  <c r="H1116" i="7"/>
  <c r="J1084" i="7"/>
  <c r="G1034" i="7"/>
  <c r="I1020" i="7"/>
  <c r="I998" i="7"/>
  <c r="I974" i="7"/>
  <c r="L969" i="7"/>
  <c r="I936" i="7"/>
  <c r="H921" i="7"/>
  <c r="J913" i="7"/>
  <c r="J895" i="7"/>
  <c r="G880" i="7"/>
  <c r="I818" i="7"/>
  <c r="L811" i="7"/>
  <c r="L801" i="7"/>
  <c r="I798" i="7"/>
  <c r="F795" i="7"/>
  <c r="G718" i="7"/>
  <c r="I694" i="7"/>
  <c r="F664" i="7"/>
  <c r="L1288" i="7"/>
  <c r="J1144" i="7"/>
  <c r="G1128" i="7"/>
  <c r="I1084" i="7"/>
  <c r="L1062" i="7"/>
  <c r="H1020" i="7"/>
  <c r="L1007" i="7"/>
  <c r="G998" i="7"/>
  <c r="H983" i="7"/>
  <c r="F974" i="7"/>
  <c r="H936" i="7"/>
  <c r="L924" i="7"/>
  <c r="G921" i="7"/>
  <c r="I913" i="7"/>
  <c r="I895" i="7"/>
  <c r="L883" i="7"/>
  <c r="F880" i="7"/>
  <c r="H818" i="7"/>
  <c r="H798" i="7"/>
  <c r="F718" i="7"/>
  <c r="J1193" i="7"/>
  <c r="J1160" i="7"/>
  <c r="I1144" i="7"/>
  <c r="G1135" i="7"/>
  <c r="F1128" i="7"/>
  <c r="I1121" i="7"/>
  <c r="L1057" i="7"/>
  <c r="L1038" i="7"/>
  <c r="J1029" i="7"/>
  <c r="G1020" i="7"/>
  <c r="H1007" i="7"/>
  <c r="F998" i="7"/>
  <c r="L992" i="7"/>
  <c r="G983" i="7"/>
  <c r="J969" i="7"/>
  <c r="L956" i="7"/>
  <c r="I952" i="7"/>
  <c r="H928" i="7"/>
  <c r="H913" i="7"/>
  <c r="I902" i="7"/>
  <c r="H895" i="7"/>
  <c r="G887" i="7"/>
  <c r="I1167" i="7"/>
  <c r="G1151" i="7"/>
  <c r="H1127" i="7"/>
  <c r="I1083" i="7"/>
  <c r="L1072" i="7"/>
  <c r="F1062" i="7"/>
  <c r="I1057" i="7"/>
  <c r="I997" i="7"/>
  <c r="F992" i="7"/>
  <c r="G969" i="7"/>
  <c r="F960" i="7"/>
  <c r="H956" i="7"/>
  <c r="F952" i="7"/>
  <c r="F948" i="7"/>
  <c r="F924" i="7"/>
  <c r="L916" i="7"/>
  <c r="J898" i="7"/>
  <c r="F883" i="7"/>
  <c r="J836" i="7"/>
  <c r="F811" i="7"/>
  <c r="I804" i="7"/>
  <c r="G801" i="7"/>
  <c r="L766" i="7"/>
  <c r="I1120" i="7"/>
  <c r="J1099" i="7"/>
  <c r="G1083" i="7"/>
  <c r="F1077" i="7"/>
  <c r="I1072" i="7"/>
  <c r="F1057" i="7"/>
  <c r="H1042" i="7"/>
  <c r="F997" i="7"/>
  <c r="H987" i="7"/>
  <c r="F956" i="7"/>
  <c r="I916" i="7"/>
  <c r="L912" i="7"/>
  <c r="L901" i="7"/>
  <c r="H898" i="7"/>
  <c r="F879" i="7"/>
  <c r="F836" i="7"/>
  <c r="G804" i="7"/>
  <c r="J766" i="7"/>
  <c r="J763" i="7"/>
  <c r="J757" i="7"/>
  <c r="G754" i="7"/>
  <c r="J1173" i="7"/>
  <c r="L1114" i="7"/>
  <c r="J1109" i="7"/>
  <c r="L1104" i="7"/>
  <c r="G1099" i="7"/>
  <c r="F1083" i="7"/>
  <c r="H1072" i="7"/>
  <c r="G1061" i="7"/>
  <c r="G1064" i="7"/>
  <c r="J1041" i="7"/>
  <c r="G1028" i="7"/>
  <c r="J1021" i="7"/>
  <c r="I979" i="7"/>
  <c r="F973" i="7"/>
  <c r="L967" i="7"/>
  <c r="F957" i="7"/>
  <c r="H952" i="7"/>
  <c r="J933" i="7"/>
  <c r="G928" i="7"/>
  <c r="L923" i="7"/>
  <c r="J919" i="7"/>
  <c r="L910" i="7"/>
  <c r="J906" i="7"/>
  <c r="J893" i="7"/>
  <c r="J888" i="7"/>
  <c r="H842" i="7"/>
  <c r="F805" i="7"/>
  <c r="H801" i="7"/>
  <c r="L777" i="7"/>
  <c r="F766" i="7"/>
  <c r="J755" i="7"/>
  <c r="F732" i="7"/>
  <c r="H718" i="7"/>
  <c r="H679" i="7"/>
  <c r="H1003" i="7"/>
  <c r="H997" i="7"/>
  <c r="J967" i="7"/>
  <c r="G952" i="7"/>
  <c r="G933" i="7"/>
  <c r="J901" i="7"/>
  <c r="I893" i="7"/>
  <c r="I888" i="7"/>
  <c r="L879" i="7"/>
  <c r="G842" i="7"/>
  <c r="L833" i="7"/>
  <c r="F801" i="7"/>
  <c r="J762" i="7"/>
  <c r="I755" i="7"/>
  <c r="J1114" i="7"/>
  <c r="F967" i="7"/>
  <c r="L961" i="7"/>
  <c r="F933" i="7"/>
  <c r="H923" i="7"/>
  <c r="J910" i="7"/>
  <c r="I901" i="7"/>
  <c r="H893" i="7"/>
  <c r="H888" i="7"/>
  <c r="G879" i="7"/>
  <c r="L870" i="7"/>
  <c r="I866" i="7"/>
  <c r="F842" i="7"/>
  <c r="G833" i="7"/>
  <c r="L829" i="7"/>
  <c r="L820" i="7"/>
  <c r="I793" i="7"/>
  <c r="J777" i="7"/>
  <c r="L773" i="7"/>
  <c r="J769" i="7"/>
  <c r="I762" i="7"/>
  <c r="H755" i="7"/>
  <c r="F1181" i="7"/>
  <c r="H1121" i="7"/>
  <c r="I1088" i="7"/>
  <c r="G1072" i="7"/>
  <c r="L1014" i="7"/>
  <c r="H1009" i="7"/>
  <c r="G923" i="7"/>
  <c r="L914" i="7"/>
  <c r="I910" i="7"/>
  <c r="H901" i="7"/>
  <c r="G893" i="7"/>
  <c r="G888" i="7"/>
  <c r="J883" i="7"/>
  <c r="H866" i="7"/>
  <c r="F833" i="7"/>
  <c r="I829" i="7"/>
  <c r="L816" i="7"/>
  <c r="L808" i="7"/>
  <c r="L804" i="7"/>
  <c r="G793" i="7"/>
  <c r="L789" i="7"/>
  <c r="G777" i="7"/>
  <c r="I773" i="7"/>
  <c r="G1121" i="7"/>
  <c r="I1105" i="7"/>
  <c r="H1088" i="7"/>
  <c r="L1080" i="7"/>
  <c r="H1040" i="7"/>
  <c r="L1027" i="7"/>
  <c r="J961" i="7"/>
  <c r="J956" i="7"/>
  <c r="J937" i="7"/>
  <c r="H927" i="7"/>
  <c r="F923" i="7"/>
  <c r="L918" i="7"/>
  <c r="I914" i="7"/>
  <c r="H910" i="7"/>
  <c r="J905" i="7"/>
  <c r="G901" i="7"/>
  <c r="F893" i="7"/>
  <c r="F888" i="7"/>
  <c r="I883" i="7"/>
  <c r="I874" i="7"/>
  <c r="J870" i="7"/>
  <c r="G866" i="7"/>
  <c r="F1192" i="7"/>
  <c r="I1151" i="7"/>
  <c r="H1105" i="7"/>
  <c r="H1062" i="7"/>
  <c r="J1014" i="7"/>
  <c r="H1002" i="7"/>
  <c r="H972" i="7"/>
  <c r="I961" i="7"/>
  <c r="I956" i="7"/>
  <c r="J947" i="7"/>
  <c r="H937" i="7"/>
  <c r="G927" i="7"/>
  <c r="F901" i="7"/>
  <c r="I870" i="7"/>
  <c r="F866" i="7"/>
  <c r="L861" i="7"/>
  <c r="I845" i="7"/>
  <c r="G820" i="7"/>
  <c r="J816" i="7"/>
  <c r="G812" i="7"/>
  <c r="I808" i="7"/>
  <c r="H1151" i="7"/>
  <c r="G1062" i="7"/>
  <c r="I1014" i="7"/>
  <c r="G956" i="7"/>
  <c r="J918" i="7"/>
  <c r="L878" i="7"/>
  <c r="G870" i="7"/>
  <c r="H845" i="7"/>
  <c r="I816" i="7"/>
  <c r="F812" i="7"/>
  <c r="H804" i="7"/>
  <c r="H800" i="7"/>
  <c r="I789" i="7"/>
  <c r="H765" i="7"/>
  <c r="F751" i="7"/>
  <c r="G743" i="7"/>
  <c r="I739" i="7"/>
  <c r="G714" i="7"/>
  <c r="F1151" i="7"/>
  <c r="G1140" i="7"/>
  <c r="F1071" i="7"/>
  <c r="L1047" i="7"/>
  <c r="L1039" i="7"/>
  <c r="G1033" i="7"/>
  <c r="J1026" i="7"/>
  <c r="G1014" i="7"/>
  <c r="J1008" i="7"/>
  <c r="L989" i="7"/>
  <c r="H966" i="7"/>
  <c r="F951" i="7"/>
  <c r="H947" i="7"/>
  <c r="F937" i="7"/>
  <c r="I918" i="7"/>
  <c r="L913" i="7"/>
  <c r="F887" i="7"/>
  <c r="I878" i="7"/>
  <c r="F874" i="7"/>
  <c r="F870" i="7"/>
  <c r="G849" i="7"/>
  <c r="G845" i="7"/>
  <c r="J1087" i="7"/>
  <c r="J1054" i="7"/>
  <c r="F1014" i="7"/>
  <c r="I1008" i="7"/>
  <c r="F983" i="7"/>
  <c r="J960" i="7"/>
  <c r="H918" i="7"/>
  <c r="L904" i="7"/>
  <c r="J882" i="7"/>
  <c r="G878" i="7"/>
  <c r="F845" i="7"/>
  <c r="J828" i="7"/>
  <c r="G816" i="7"/>
  <c r="L792" i="7"/>
  <c r="G789" i="7"/>
  <c r="F765" i="7"/>
  <c r="L754" i="7"/>
  <c r="G739" i="7"/>
  <c r="G704" i="7"/>
  <c r="I678" i="7"/>
  <c r="J648" i="7"/>
  <c r="I1104" i="7"/>
  <c r="I1087" i="7"/>
  <c r="F1061" i="7"/>
  <c r="J1047" i="7"/>
  <c r="J989" i="7"/>
  <c r="J971" i="7"/>
  <c r="I960" i="7"/>
  <c r="L931" i="7"/>
  <c r="J922" i="7"/>
  <c r="G918" i="7"/>
  <c r="G913" i="7"/>
  <c r="I909" i="7"/>
  <c r="I882" i="7"/>
  <c r="L865" i="7"/>
  <c r="L856" i="7"/>
  <c r="L836" i="7"/>
  <c r="I828" i="7"/>
  <c r="L819" i="7"/>
  <c r="F816" i="7"/>
  <c r="L807" i="7"/>
  <c r="L1119" i="7"/>
  <c r="F1104" i="7"/>
  <c r="H1087" i="7"/>
  <c r="I1047" i="7"/>
  <c r="L1001" i="7"/>
  <c r="I989" i="7"/>
  <c r="I971" i="7"/>
  <c r="J955" i="7"/>
  <c r="I931" i="7"/>
  <c r="I926" i="7"/>
  <c r="I922" i="7"/>
  <c r="F918" i="7"/>
  <c r="G909" i="7"/>
  <c r="J904" i="7"/>
  <c r="J900" i="7"/>
  <c r="H882" i="7"/>
  <c r="L873" i="7"/>
  <c r="I836" i="7"/>
  <c r="H828" i="7"/>
  <c r="J811" i="7"/>
  <c r="J807" i="7"/>
  <c r="J792" i="7"/>
  <c r="F1087" i="7"/>
  <c r="J1077" i="7"/>
  <c r="G1032" i="7"/>
  <c r="L1025" i="7"/>
  <c r="L1018" i="7"/>
  <c r="G995" i="7"/>
  <c r="H989" i="7"/>
  <c r="G971" i="7"/>
  <c r="L965" i="7"/>
  <c r="G955" i="7"/>
  <c r="L950" i="7"/>
  <c r="L946" i="7"/>
  <c r="L936" i="7"/>
  <c r="G931" i="7"/>
  <c r="F926" i="7"/>
  <c r="H922" i="7"/>
  <c r="H904" i="7"/>
  <c r="I900" i="7"/>
  <c r="I886" i="7"/>
  <c r="F882" i="7"/>
  <c r="H869" i="7"/>
  <c r="J865" i="7"/>
  <c r="J856" i="7"/>
  <c r="J1222" i="7"/>
  <c r="J1119" i="7"/>
  <c r="I1093" i="7"/>
  <c r="F1032" i="7"/>
  <c r="J1001" i="7"/>
  <c r="G989" i="7"/>
  <c r="J982" i="7"/>
  <c r="F971" i="7"/>
  <c r="F955" i="7"/>
  <c r="G904" i="7"/>
  <c r="H900" i="7"/>
  <c r="G1127" i="7"/>
  <c r="H1093" i="7"/>
  <c r="J1060" i="7"/>
  <c r="J1018" i="7"/>
  <c r="H1013" i="7"/>
  <c r="F989" i="7"/>
  <c r="G982" i="7"/>
  <c r="J976" i="7"/>
  <c r="L959" i="7"/>
  <c r="J950" i="7"/>
  <c r="J946" i="7"/>
  <c r="I917" i="7"/>
  <c r="G900" i="7"/>
  <c r="G886" i="7"/>
  <c r="I873" i="7"/>
  <c r="F869" i="7"/>
  <c r="L859" i="7"/>
  <c r="G856" i="7"/>
  <c r="I848" i="7"/>
  <c r="L835" i="7"/>
  <c r="H819" i="7"/>
  <c r="I815" i="7"/>
  <c r="G807" i="7"/>
  <c r="F803" i="7"/>
  <c r="L795" i="7"/>
  <c r="F1242" i="7"/>
  <c r="J1199" i="7"/>
  <c r="J1110" i="7"/>
  <c r="F1093" i="7"/>
  <c r="L1037" i="7"/>
  <c r="I976" i="7"/>
  <c r="I950" i="7"/>
  <c r="L940" i="7"/>
  <c r="J912" i="7"/>
  <c r="L895" i="7"/>
  <c r="H873" i="7"/>
  <c r="F856" i="7"/>
  <c r="F807" i="7"/>
  <c r="F792" i="7"/>
  <c r="I757" i="7"/>
  <c r="H742" i="7"/>
  <c r="I738" i="7"/>
  <c r="H730" i="7"/>
  <c r="L650" i="7"/>
  <c r="L596" i="7"/>
  <c r="H1199" i="7"/>
  <c r="J1076" i="7"/>
  <c r="H1044" i="7"/>
  <c r="J1037" i="7"/>
  <c r="J1000" i="7"/>
  <c r="L970" i="7"/>
  <c r="H950" i="7"/>
  <c r="L930" i="7"/>
  <c r="L921" i="7"/>
  <c r="I912" i="7"/>
  <c r="J859" i="7"/>
  <c r="J835" i="7"/>
  <c r="J795" i="7"/>
  <c r="I779" i="7"/>
  <c r="H757" i="7"/>
  <c r="G742" i="7"/>
  <c r="H738" i="7"/>
  <c r="F730" i="7"/>
  <c r="G1076" i="7"/>
  <c r="I1037" i="7"/>
  <c r="G1031" i="7"/>
  <c r="G1000" i="7"/>
  <c r="F970" i="7"/>
  <c r="G950" i="7"/>
  <c r="J940" i="7"/>
  <c r="I930" i="7"/>
  <c r="J925" i="7"/>
  <c r="H912" i="7"/>
  <c r="L903" i="7"/>
  <c r="L899" i="7"/>
  <c r="G895" i="7"/>
  <c r="H859" i="7"/>
  <c r="I835" i="7"/>
  <c r="I795" i="7"/>
  <c r="F779" i="7"/>
  <c r="G757" i="7"/>
  <c r="L745" i="7"/>
  <c r="F742" i="7"/>
  <c r="G738" i="7"/>
  <c r="J650" i="7"/>
  <c r="J596" i="7"/>
  <c r="F1076" i="7"/>
  <c r="H1037" i="7"/>
  <c r="L1023" i="7"/>
  <c r="L1012" i="7"/>
  <c r="F1000" i="7"/>
  <c r="F950" i="7"/>
  <c r="L945" i="7"/>
  <c r="H930" i="7"/>
  <c r="I925" i="7"/>
  <c r="J921" i="7"/>
  <c r="J916" i="7"/>
  <c r="G912" i="7"/>
  <c r="F895" i="7"/>
  <c r="G859" i="7"/>
  <c r="G835" i="7"/>
  <c r="L818" i="7"/>
  <c r="H795" i="7"/>
  <c r="L760" i="7"/>
  <c r="F738" i="7"/>
  <c r="J690" i="7"/>
  <c r="I650" i="7"/>
  <c r="I596" i="7"/>
  <c r="J1167" i="7"/>
  <c r="H1109" i="7"/>
  <c r="G1059" i="7"/>
  <c r="G1037" i="7"/>
  <c r="J1023" i="7"/>
  <c r="G1017" i="7"/>
  <c r="J987" i="7"/>
  <c r="L1074" i="7"/>
  <c r="J1035" i="7"/>
  <c r="I991" i="7"/>
  <c r="G958" i="7"/>
  <c r="F934" i="7"/>
  <c r="F898" i="7"/>
  <c r="G875" i="7"/>
  <c r="F868" i="7"/>
  <c r="J855" i="7"/>
  <c r="G830" i="7"/>
  <c r="I805" i="7"/>
  <c r="I1125" i="7"/>
  <c r="F1035" i="7"/>
  <c r="H991" i="7"/>
  <c r="L974" i="7"/>
  <c r="L911" i="7"/>
  <c r="F875" i="7"/>
  <c r="I855" i="7"/>
  <c r="F830" i="7"/>
  <c r="H805" i="7"/>
  <c r="F800" i="7"/>
  <c r="I768" i="7"/>
  <c r="L763" i="7"/>
  <c r="F1010" i="7"/>
  <c r="G991" i="7"/>
  <c r="H911" i="7"/>
  <c r="H855" i="7"/>
  <c r="G805" i="7"/>
  <c r="G768" i="7"/>
  <c r="L759" i="7"/>
  <c r="J745" i="7"/>
  <c r="I714" i="7"/>
  <c r="J702" i="7"/>
  <c r="L679" i="7"/>
  <c r="H676" i="7"/>
  <c r="F991" i="7"/>
  <c r="L957" i="7"/>
  <c r="H925" i="7"/>
  <c r="G911" i="7"/>
  <c r="G855" i="7"/>
  <c r="L848" i="7"/>
  <c r="F835" i="7"/>
  <c r="I810" i="7"/>
  <c r="L794" i="7"/>
  <c r="I763" i="7"/>
  <c r="H1083" i="7"/>
  <c r="L1016" i="7"/>
  <c r="I957" i="7"/>
  <c r="G949" i="7"/>
  <c r="I903" i="7"/>
  <c r="J873" i="7"/>
  <c r="J867" i="7"/>
  <c r="L842" i="7"/>
  <c r="J804" i="7"/>
  <c r="H789" i="7"/>
  <c r="I767" i="7"/>
  <c r="F763" i="7"/>
  <c r="J1133" i="7"/>
  <c r="L999" i="7"/>
  <c r="H903" i="7"/>
  <c r="H867" i="7"/>
  <c r="J854" i="7"/>
  <c r="J842" i="7"/>
  <c r="J834" i="7"/>
  <c r="L821" i="7"/>
  <c r="J815" i="7"/>
  <c r="F804" i="7"/>
  <c r="F789" i="7"/>
  <c r="F777" i="7"/>
  <c r="F1133" i="7"/>
  <c r="I1051" i="7"/>
  <c r="L1041" i="7"/>
  <c r="H999" i="7"/>
  <c r="J924" i="7"/>
  <c r="G916" i="7"/>
  <c r="G903" i="7"/>
  <c r="L880" i="7"/>
  <c r="F867" i="7"/>
  <c r="L847" i="7"/>
  <c r="I842" i="7"/>
  <c r="I834" i="7"/>
  <c r="H821" i="7"/>
  <c r="F1167" i="7"/>
  <c r="H1051" i="7"/>
  <c r="J963" i="7"/>
  <c r="L939" i="7"/>
  <c r="I924" i="7"/>
  <c r="I847" i="7"/>
  <c r="H834" i="7"/>
  <c r="F793" i="7"/>
  <c r="L758" i="7"/>
  <c r="H744" i="7"/>
  <c r="L1091" i="7"/>
  <c r="L1082" i="7"/>
  <c r="I1023" i="7"/>
  <c r="I1015" i="7"/>
  <c r="I963" i="7"/>
  <c r="L948" i="7"/>
  <c r="J939" i="7"/>
  <c r="J880" i="7"/>
  <c r="J858" i="7"/>
  <c r="H847" i="7"/>
  <c r="G834" i="7"/>
  <c r="H1023" i="7"/>
  <c r="H1015" i="7"/>
  <c r="L998" i="7"/>
  <c r="H902" i="7"/>
  <c r="I880" i="7"/>
  <c r="I858" i="7"/>
  <c r="L853" i="7"/>
  <c r="F847" i="7"/>
  <c r="F834" i="7"/>
  <c r="F827" i="7"/>
  <c r="J1166" i="7"/>
  <c r="L915" i="7"/>
  <c r="L894" i="7"/>
  <c r="H886" i="7"/>
  <c r="H880" i="7"/>
  <c r="H858" i="7"/>
  <c r="F814" i="7"/>
  <c r="J798" i="7"/>
  <c r="F776" i="7"/>
  <c r="I766" i="7"/>
  <c r="I1050" i="7"/>
  <c r="G930" i="7"/>
  <c r="L871" i="7"/>
  <c r="G858" i="7"/>
  <c r="G798" i="7"/>
  <c r="H766" i="7"/>
  <c r="J748" i="7"/>
  <c r="H739" i="7"/>
  <c r="F725" i="7"/>
  <c r="L697" i="7"/>
  <c r="G690" i="7"/>
  <c r="H678" i="7"/>
  <c r="J664" i="7"/>
  <c r="H650" i="7"/>
  <c r="G631" i="7"/>
  <c r="H624" i="7"/>
  <c r="L610" i="7"/>
  <c r="G604" i="7"/>
  <c r="G561" i="7"/>
  <c r="H545" i="7"/>
  <c r="H542" i="7"/>
  <c r="H492" i="7"/>
  <c r="H489" i="7"/>
  <c r="H439" i="7"/>
  <c r="H1090" i="7"/>
  <c r="H1050" i="7"/>
  <c r="J979" i="7"/>
  <c r="I954" i="7"/>
  <c r="J938" i="7"/>
  <c r="F930" i="7"/>
  <c r="I915" i="7"/>
  <c r="J894" i="7"/>
  <c r="I871" i="7"/>
  <c r="F858" i="7"/>
  <c r="J819" i="7"/>
  <c r="J808" i="7"/>
  <c r="F798" i="7"/>
  <c r="I792" i="7"/>
  <c r="J770" i="7"/>
  <c r="G766" i="7"/>
  <c r="L752" i="7"/>
  <c r="I748" i="7"/>
  <c r="L743" i="7"/>
  <c r="F739" i="7"/>
  <c r="H729" i="7"/>
  <c r="H701" i="7"/>
  <c r="G1050" i="7"/>
  <c r="J1005" i="7"/>
  <c r="I969" i="7"/>
  <c r="F954" i="7"/>
  <c r="I938" i="7"/>
  <c r="H915" i="7"/>
  <c r="H871" i="7"/>
  <c r="L846" i="7"/>
  <c r="I819" i="7"/>
  <c r="H792" i="7"/>
  <c r="G770" i="7"/>
  <c r="L757" i="7"/>
  <c r="H748" i="7"/>
  <c r="J743" i="7"/>
  <c r="G729" i="7"/>
  <c r="L704" i="7"/>
  <c r="G701" i="7"/>
  <c r="J697" i="7"/>
  <c r="F678" i="7"/>
  <c r="G664" i="7"/>
  <c r="G657" i="7"/>
  <c r="F650" i="7"/>
  <c r="G634" i="7"/>
  <c r="H1030" i="7"/>
  <c r="H969" i="7"/>
  <c r="H938" i="7"/>
  <c r="G915" i="7"/>
  <c r="G871" i="7"/>
  <c r="L813" i="7"/>
  <c r="G792" i="7"/>
  <c r="F770" i="7"/>
  <c r="L761" i="7"/>
  <c r="J752" i="7"/>
  <c r="I743" i="7"/>
  <c r="H697" i="7"/>
  <c r="I610" i="7"/>
  <c r="G570" i="7"/>
  <c r="I398" i="7"/>
  <c r="I395" i="7"/>
  <c r="G330" i="7"/>
  <c r="G327" i="7"/>
  <c r="G168" i="7"/>
  <c r="I74" i="7"/>
  <c r="L1021" i="7"/>
  <c r="F915" i="7"/>
  <c r="F871" i="7"/>
  <c r="J846" i="7"/>
  <c r="J813" i="7"/>
  <c r="I807" i="7"/>
  <c r="L765" i="7"/>
  <c r="I752" i="7"/>
  <c r="H743" i="7"/>
  <c r="J704" i="7"/>
  <c r="G697" i="7"/>
  <c r="H610" i="7"/>
  <c r="F570" i="7"/>
  <c r="J532" i="7"/>
  <c r="J529" i="7"/>
  <c r="J466" i="7"/>
  <c r="J463" i="7"/>
  <c r="H398" i="7"/>
  <c r="H395" i="7"/>
  <c r="L1230" i="7"/>
  <c r="G1173" i="7"/>
  <c r="G1109" i="7"/>
  <c r="L953" i="7"/>
  <c r="I857" i="7"/>
  <c r="L851" i="7"/>
  <c r="G818" i="7"/>
  <c r="I813" i="7"/>
  <c r="H807" i="7"/>
  <c r="J761" i="7"/>
  <c r="H752" i="7"/>
  <c r="L738" i="7"/>
  <c r="I704" i="7"/>
  <c r="G610" i="7"/>
  <c r="I532" i="7"/>
  <c r="I529" i="7"/>
  <c r="H1134" i="7"/>
  <c r="J975" i="7"/>
  <c r="F881" i="7"/>
  <c r="F818" i="7"/>
  <c r="G747" i="7"/>
  <c r="I730" i="7"/>
  <c r="H725" i="7"/>
  <c r="G715" i="7"/>
  <c r="J705" i="7"/>
  <c r="J683" i="7"/>
  <c r="G678" i="7"/>
  <c r="J631" i="7"/>
  <c r="H627" i="7"/>
  <c r="J579" i="7"/>
  <c r="I564" i="7"/>
  <c r="L546" i="7"/>
  <c r="I543" i="7"/>
  <c r="L529" i="7"/>
  <c r="H477" i="7"/>
  <c r="I466" i="7"/>
  <c r="G463" i="7"/>
  <c r="J436" i="7"/>
  <c r="J433" i="7"/>
  <c r="J430" i="7"/>
  <c r="I427" i="7"/>
  <c r="F384" i="7"/>
  <c r="J361" i="7"/>
  <c r="I358" i="7"/>
  <c r="H355" i="7"/>
  <c r="F304" i="7"/>
  <c r="L1035" i="7"/>
  <c r="I899" i="7"/>
  <c r="L862" i="7"/>
  <c r="H811" i="7"/>
  <c r="J790" i="7"/>
  <c r="L783" i="7"/>
  <c r="I769" i="7"/>
  <c r="L741" i="7"/>
  <c r="G725" i="7"/>
  <c r="F710" i="7"/>
  <c r="H899" i="7"/>
  <c r="J862" i="7"/>
  <c r="G811" i="7"/>
  <c r="I790" i="7"/>
  <c r="H769" i="7"/>
  <c r="H763" i="7"/>
  <c r="G705" i="7"/>
  <c r="F696" i="7"/>
  <c r="H683" i="7"/>
  <c r="H631" i="7"/>
  <c r="F605" i="7"/>
  <c r="G594" i="7"/>
  <c r="L582" i="7"/>
  <c r="H579" i="7"/>
  <c r="L556" i="7"/>
  <c r="J546" i="7"/>
  <c r="J1057" i="7"/>
  <c r="J845" i="7"/>
  <c r="L803" i="7"/>
  <c r="H790" i="7"/>
  <c r="G769" i="7"/>
  <c r="G763" i="7"/>
  <c r="I758" i="7"/>
  <c r="L746" i="7"/>
  <c r="L714" i="7"/>
  <c r="F705" i="7"/>
  <c r="F683" i="7"/>
  <c r="I677" i="7"/>
  <c r="L661" i="7"/>
  <c r="L657" i="7"/>
  <c r="G1057" i="7"/>
  <c r="G907" i="7"/>
  <c r="J817" i="7"/>
  <c r="G790" i="7"/>
  <c r="G752" i="7"/>
  <c r="J746" i="7"/>
  <c r="L729" i="7"/>
  <c r="J714" i="7"/>
  <c r="H677" i="7"/>
  <c r="H665" i="7"/>
  <c r="J582" i="7"/>
  <c r="J556" i="7"/>
  <c r="H546" i="7"/>
  <c r="J945" i="7"/>
  <c r="L898" i="7"/>
  <c r="G869" i="7"/>
  <c r="I817" i="7"/>
  <c r="H810" i="7"/>
  <c r="L774" i="7"/>
  <c r="F752" i="7"/>
  <c r="I746" i="7"/>
  <c r="J724" i="7"/>
  <c r="G719" i="7"/>
  <c r="H714" i="7"/>
  <c r="I709" i="7"/>
  <c r="G677" i="7"/>
  <c r="G665" i="7"/>
  <c r="G925" i="7"/>
  <c r="L888" i="7"/>
  <c r="H817" i="7"/>
  <c r="F810" i="7"/>
  <c r="G746" i="7"/>
  <c r="J735" i="7"/>
  <c r="G709" i="7"/>
  <c r="H704" i="7"/>
  <c r="F677" i="7"/>
  <c r="F665" i="7"/>
  <c r="H661" i="7"/>
  <c r="H634" i="7"/>
  <c r="H973" i="7"/>
  <c r="H934" i="7"/>
  <c r="F925" i="7"/>
  <c r="I898" i="7"/>
  <c r="L844" i="7"/>
  <c r="G817" i="7"/>
  <c r="J774" i="7"/>
  <c r="L768" i="7"/>
  <c r="H762" i="7"/>
  <c r="F746" i="7"/>
  <c r="I735" i="7"/>
  <c r="F709" i="7"/>
  <c r="F704" i="7"/>
  <c r="G661" i="7"/>
  <c r="H953" i="7"/>
  <c r="L906" i="7"/>
  <c r="G898" i="7"/>
  <c r="F817" i="7"/>
  <c r="I774" i="7"/>
  <c r="G762" i="7"/>
  <c r="H735" i="7"/>
  <c r="L728" i="7"/>
  <c r="J652" i="7"/>
  <c r="I645" i="7"/>
  <c r="L622" i="7"/>
  <c r="J604" i="7"/>
  <c r="L1004" i="7"/>
  <c r="G953" i="7"/>
  <c r="G795" i="7"/>
  <c r="J789" i="7"/>
  <c r="H774" i="7"/>
  <c r="J768" i="7"/>
  <c r="F762" i="7"/>
  <c r="L756" i="7"/>
  <c r="I751" i="7"/>
  <c r="G735" i="7"/>
  <c r="I728" i="7"/>
  <c r="L713" i="7"/>
  <c r="J699" i="7"/>
  <c r="I652" i="7"/>
  <c r="F1109" i="7"/>
  <c r="F1004" i="7"/>
  <c r="I992" i="7"/>
  <c r="L877" i="7"/>
  <c r="F859" i="7"/>
  <c r="J851" i="7"/>
  <c r="H809" i="7"/>
  <c r="J801" i="7"/>
  <c r="G774" i="7"/>
  <c r="J756" i="7"/>
  <c r="H751" i="7"/>
  <c r="I745" i="7"/>
  <c r="F735" i="7"/>
  <c r="G728" i="7"/>
  <c r="I1065" i="7"/>
  <c r="L933" i="7"/>
  <c r="F877" i="7"/>
  <c r="H824" i="7"/>
  <c r="G809" i="7"/>
  <c r="I801" i="7"/>
  <c r="F780" i="7"/>
  <c r="F774" i="7"/>
  <c r="I756" i="7"/>
  <c r="L1003" i="7"/>
  <c r="J991" i="7"/>
  <c r="L867" i="7"/>
  <c r="F794" i="7"/>
  <c r="H767" i="7"/>
  <c r="I761" i="7"/>
  <c r="F745" i="7"/>
  <c r="L739" i="7"/>
  <c r="F723" i="7"/>
  <c r="G713" i="7"/>
  <c r="L694" i="7"/>
  <c r="H690" i="7"/>
  <c r="G680" i="7"/>
  <c r="I676" i="7"/>
  <c r="J672" i="7"/>
  <c r="H668" i="7"/>
  <c r="I648" i="7"/>
  <c r="I633" i="7"/>
  <c r="G622" i="7"/>
  <c r="H607" i="7"/>
  <c r="F596" i="7"/>
  <c r="H585" i="7"/>
  <c r="H581" i="7"/>
  <c r="J569" i="7"/>
  <c r="F552" i="7"/>
  <c r="J548" i="7"/>
  <c r="F545" i="7"/>
  <c r="G538" i="7"/>
  <c r="G531" i="7"/>
  <c r="H520" i="7"/>
  <c r="L850" i="7"/>
  <c r="G773" i="7"/>
  <c r="F761" i="7"/>
  <c r="J739" i="7"/>
  <c r="J694" i="7"/>
  <c r="F690" i="7"/>
  <c r="G676" i="7"/>
  <c r="I672" i="7"/>
  <c r="H648" i="7"/>
  <c r="L636" i="7"/>
  <c r="G581" i="7"/>
  <c r="I569" i="7"/>
  <c r="J555" i="7"/>
  <c r="H548" i="7"/>
  <c r="F538" i="7"/>
  <c r="F531" i="7"/>
  <c r="G520" i="7"/>
  <c r="G499" i="7"/>
  <c r="J492" i="7"/>
  <c r="G489" i="7"/>
  <c r="G482" i="7"/>
  <c r="L475" i="7"/>
  <c r="I458" i="7"/>
  <c r="F455" i="7"/>
  <c r="I451" i="7"/>
  <c r="H441" i="7"/>
  <c r="F438" i="7"/>
  <c r="F415" i="7"/>
  <c r="F885" i="7"/>
  <c r="F831" i="7"/>
  <c r="L755" i="7"/>
  <c r="G744" i="7"/>
  <c r="H727" i="7"/>
  <c r="L717" i="7"/>
  <c r="G694" i="7"/>
  <c r="F672" i="7"/>
  <c r="F648" i="7"/>
  <c r="I644" i="7"/>
  <c r="F640" i="7"/>
  <c r="J636" i="7"/>
  <c r="F569" i="7"/>
  <c r="H555" i="7"/>
  <c r="F516" i="7"/>
  <c r="G492" i="7"/>
  <c r="L478" i="7"/>
  <c r="J475" i="7"/>
  <c r="F471" i="7"/>
  <c r="I461" i="7"/>
  <c r="G458" i="7"/>
  <c r="F441" i="7"/>
  <c r="G398" i="7"/>
  <c r="F373" i="7"/>
  <c r="F347" i="7"/>
  <c r="F331" i="7"/>
  <c r="J308" i="7"/>
  <c r="F1173" i="7"/>
  <c r="J1011" i="7"/>
  <c r="F912" i="7"/>
  <c r="J814" i="7"/>
  <c r="L793" i="7"/>
  <c r="F744" i="7"/>
  <c r="J732" i="7"/>
  <c r="G727" i="7"/>
  <c r="I702" i="7"/>
  <c r="F694" i="7"/>
  <c r="G644" i="7"/>
  <c r="I636" i="7"/>
  <c r="J610" i="7"/>
  <c r="L606" i="7"/>
  <c r="J572" i="7"/>
  <c r="G555" i="7"/>
  <c r="J527" i="7"/>
  <c r="J495" i="7"/>
  <c r="F492" i="7"/>
  <c r="I475" i="7"/>
  <c r="L467" i="7"/>
  <c r="J464" i="7"/>
  <c r="H461" i="7"/>
  <c r="F458" i="7"/>
  <c r="F398" i="7"/>
  <c r="I308" i="7"/>
  <c r="H302" i="7"/>
  <c r="H299" i="7"/>
  <c r="I1011" i="7"/>
  <c r="J903" i="7"/>
  <c r="I875" i="7"/>
  <c r="H814" i="7"/>
  <c r="J760" i="7"/>
  <c r="G755" i="7"/>
  <c r="G732" i="7"/>
  <c r="H717" i="7"/>
  <c r="H702" i="7"/>
  <c r="H636" i="7"/>
  <c r="F610" i="7"/>
  <c r="I572" i="7"/>
  <c r="F555" i="7"/>
  <c r="L530" i="7"/>
  <c r="I527" i="7"/>
  <c r="H495" i="7"/>
  <c r="J478" i="7"/>
  <c r="H475" i="7"/>
  <c r="I464" i="7"/>
  <c r="G461" i="7"/>
  <c r="L321" i="7"/>
  <c r="H308" i="7"/>
  <c r="G302" i="7"/>
  <c r="G299" i="7"/>
  <c r="H290" i="7"/>
  <c r="H222" i="7"/>
  <c r="L200" i="7"/>
  <c r="F177" i="7"/>
  <c r="H168" i="7"/>
  <c r="J74" i="7"/>
  <c r="I1251" i="7"/>
  <c r="G1011" i="7"/>
  <c r="F1029" i="7"/>
  <c r="J958" i="7"/>
  <c r="I856" i="7"/>
  <c r="L830" i="7"/>
  <c r="I765" i="7"/>
  <c r="H760" i="7"/>
  <c r="F702" i="7"/>
  <c r="I679" i="7"/>
  <c r="J675" i="7"/>
  <c r="J647" i="7"/>
  <c r="L639" i="7"/>
  <c r="F636" i="7"/>
  <c r="I606" i="7"/>
  <c r="F641" i="7"/>
  <c r="I631" i="7"/>
  <c r="L611" i="7"/>
  <c r="J606" i="7"/>
  <c r="H587" i="7"/>
  <c r="L568" i="7"/>
  <c r="J530" i="7"/>
  <c r="J517" i="7"/>
  <c r="F478" i="7"/>
  <c r="J438" i="7"/>
  <c r="H415" i="7"/>
  <c r="L378" i="7"/>
  <c r="H367" i="7"/>
  <c r="H331" i="7"/>
  <c r="I299" i="7"/>
  <c r="G264" i="7"/>
  <c r="J200" i="7"/>
  <c r="G142" i="7"/>
  <c r="F74" i="7"/>
  <c r="E212" i="6"/>
  <c r="H656" i="7"/>
  <c r="F631" i="7"/>
  <c r="J611" i="7"/>
  <c r="H606" i="7"/>
  <c r="G587" i="7"/>
  <c r="L564" i="7"/>
  <c r="I530" i="7"/>
  <c r="I517" i="7"/>
  <c r="J513" i="7"/>
  <c r="I438" i="7"/>
  <c r="J427" i="7"/>
  <c r="G415" i="7"/>
  <c r="G367" i="7"/>
  <c r="G331" i="7"/>
  <c r="J302" i="7"/>
  <c r="F299" i="7"/>
  <c r="F264" i="7"/>
  <c r="I200" i="7"/>
  <c r="L182" i="7"/>
  <c r="F142" i="7"/>
  <c r="L129" i="7"/>
  <c r="J20" i="7"/>
  <c r="D212" i="6"/>
  <c r="J850" i="7"/>
  <c r="L764" i="7"/>
  <c r="J679" i="7"/>
  <c r="G656" i="7"/>
  <c r="I635" i="7"/>
  <c r="L625" i="7"/>
  <c r="H611" i="7"/>
  <c r="G606" i="7"/>
  <c r="I582" i="7"/>
  <c r="J568" i="7"/>
  <c r="L555" i="7"/>
  <c r="L542" i="7"/>
  <c r="I830" i="7"/>
  <c r="L723" i="7"/>
  <c r="L701" i="7"/>
  <c r="G679" i="7"/>
  <c r="F656" i="7"/>
  <c r="H635" i="7"/>
  <c r="I625" i="7"/>
  <c r="F606" i="7"/>
  <c r="H582" i="7"/>
  <c r="H572" i="7"/>
  <c r="I568" i="7"/>
  <c r="G564" i="7"/>
  <c r="I555" i="7"/>
  <c r="I538" i="7"/>
  <c r="H830" i="7"/>
  <c r="I820" i="7"/>
  <c r="L800" i="7"/>
  <c r="J764" i="7"/>
  <c r="F756" i="7"/>
  <c r="I723" i="7"/>
  <c r="H694" i="7"/>
  <c r="F679" i="7"/>
  <c r="I661" i="7"/>
  <c r="L645" i="7"/>
  <c r="G635" i="7"/>
  <c r="L615" i="7"/>
  <c r="H596" i="7"/>
  <c r="L591" i="7"/>
  <c r="G986" i="7"/>
  <c r="H723" i="7"/>
  <c r="L715" i="7"/>
  <c r="J701" i="7"/>
  <c r="G650" i="7"/>
  <c r="J645" i="7"/>
  <c r="F635" i="7"/>
  <c r="I615" i="7"/>
  <c r="G596" i="7"/>
  <c r="F582" i="7"/>
  <c r="G568" i="7"/>
  <c r="I546" i="7"/>
  <c r="I542" i="7"/>
  <c r="L975" i="7"/>
  <c r="J730" i="7"/>
  <c r="H645" i="7"/>
  <c r="H615" i="7"/>
  <c r="I591" i="7"/>
  <c r="F568" i="7"/>
  <c r="G546" i="7"/>
  <c r="G542" i="7"/>
  <c r="J516" i="7"/>
  <c r="I489" i="7"/>
  <c r="G477" i="7"/>
  <c r="L839" i="7"/>
  <c r="J715" i="7"/>
  <c r="G645" i="7"/>
  <c r="L624" i="7"/>
  <c r="G615" i="7"/>
  <c r="L605" i="7"/>
  <c r="H591" i="7"/>
  <c r="F542" i="7"/>
  <c r="J533" i="7"/>
  <c r="J524" i="7"/>
  <c r="J520" i="7"/>
  <c r="J496" i="7"/>
  <c r="L484" i="7"/>
  <c r="F477" i="7"/>
  <c r="F829" i="7"/>
  <c r="F755" i="7"/>
  <c r="H747" i="7"/>
  <c r="L672" i="7"/>
  <c r="G666" i="7"/>
  <c r="G660" i="7"/>
  <c r="L649" i="7"/>
  <c r="F645" i="7"/>
  <c r="J639" i="7"/>
  <c r="F615" i="7"/>
  <c r="G605" i="7"/>
  <c r="I921" i="7"/>
  <c r="J848" i="7"/>
  <c r="I839" i="7"/>
  <c r="J678" i="7"/>
  <c r="G672" i="7"/>
  <c r="F666" i="7"/>
  <c r="F660" i="7"/>
  <c r="J649" i="7"/>
  <c r="I639" i="7"/>
  <c r="L634" i="7"/>
  <c r="J624" i="7"/>
  <c r="I619" i="7"/>
  <c r="L609" i="7"/>
  <c r="I595" i="7"/>
  <c r="F911" i="7"/>
  <c r="H839" i="7"/>
  <c r="L790" i="7"/>
  <c r="G771" i="7"/>
  <c r="H639" i="7"/>
  <c r="J634" i="7"/>
  <c r="I624" i="7"/>
  <c r="H619" i="7"/>
  <c r="I600" i="7"/>
  <c r="H595" i="7"/>
  <c r="F581" i="7"/>
  <c r="I571" i="7"/>
  <c r="G533" i="7"/>
  <c r="G524" i="7"/>
  <c r="G839" i="7"/>
  <c r="L737" i="7"/>
  <c r="J692" i="7"/>
  <c r="L654" i="7"/>
  <c r="J644" i="7"/>
  <c r="G639" i="7"/>
  <c r="G624" i="7"/>
  <c r="G619" i="7"/>
  <c r="J609" i="7"/>
  <c r="H600" i="7"/>
  <c r="G595" i="7"/>
  <c r="F590" i="7"/>
  <c r="L575" i="7"/>
  <c r="H571" i="7"/>
  <c r="H1028" i="7"/>
  <c r="F839" i="7"/>
  <c r="L798" i="7"/>
  <c r="F728" i="7"/>
  <c r="L721" i="7"/>
  <c r="F706" i="7"/>
  <c r="I699" i="7"/>
  <c r="I692" i="7"/>
  <c r="J685" i="7"/>
  <c r="F639" i="7"/>
  <c r="F624" i="7"/>
  <c r="I609" i="7"/>
  <c r="L604" i="7"/>
  <c r="F595" i="7"/>
  <c r="L855" i="7"/>
  <c r="L779" i="7"/>
  <c r="J754" i="7"/>
  <c r="H745" i="7"/>
  <c r="I737" i="7"/>
  <c r="I721" i="7"/>
  <c r="H699" i="7"/>
  <c r="G692" i="7"/>
  <c r="J654" i="7"/>
  <c r="H609" i="7"/>
  <c r="J585" i="7"/>
  <c r="I575" i="7"/>
  <c r="L562" i="7"/>
  <c r="G558" i="7"/>
  <c r="I553" i="7"/>
  <c r="G545" i="7"/>
  <c r="I515" i="7"/>
  <c r="L511" i="7"/>
  <c r="I503" i="7"/>
  <c r="J499" i="7"/>
  <c r="F480" i="7"/>
  <c r="L471" i="7"/>
  <c r="G452" i="7"/>
  <c r="H448" i="7"/>
  <c r="G440" i="7"/>
  <c r="L436" i="7"/>
  <c r="G433" i="7"/>
  <c r="G395" i="7"/>
  <c r="G391" i="7"/>
  <c r="J380" i="7"/>
  <c r="F929" i="7"/>
  <c r="G920" i="7"/>
  <c r="I754" i="7"/>
  <c r="G745" i="7"/>
  <c r="H737" i="7"/>
  <c r="J713" i="7"/>
  <c r="G699" i="7"/>
  <c r="I654" i="7"/>
  <c r="L633" i="7"/>
  <c r="G609" i="7"/>
  <c r="I604" i="7"/>
  <c r="G599" i="7"/>
  <c r="L589" i="7"/>
  <c r="I585" i="7"/>
  <c r="H575" i="7"/>
  <c r="L566" i="7"/>
  <c r="I562" i="7"/>
  <c r="F558" i="7"/>
  <c r="G553" i="7"/>
  <c r="H515" i="7"/>
  <c r="H503" i="7"/>
  <c r="I499" i="7"/>
  <c r="I471" i="7"/>
  <c r="J467" i="7"/>
  <c r="F452" i="7"/>
  <c r="L705" i="7"/>
  <c r="L670" i="7"/>
  <c r="G638" i="7"/>
  <c r="J633" i="7"/>
  <c r="L594" i="7"/>
  <c r="J589" i="7"/>
  <c r="L570" i="7"/>
  <c r="J566" i="7"/>
  <c r="H532" i="7"/>
  <c r="F515" i="7"/>
  <c r="F499" i="7"/>
  <c r="G495" i="7"/>
  <c r="H467" i="7"/>
  <c r="I463" i="7"/>
  <c r="L455" i="7"/>
  <c r="L443" i="7"/>
  <c r="H436" i="7"/>
  <c r="H409" i="7"/>
  <c r="L405" i="7"/>
  <c r="J383" i="7"/>
  <c r="G380" i="7"/>
  <c r="H373" i="7"/>
  <c r="L361" i="7"/>
  <c r="F358" i="7"/>
  <c r="H347" i="7"/>
  <c r="L322" i="7"/>
  <c r="F221" i="7"/>
  <c r="J805" i="7"/>
  <c r="I760" i="7"/>
  <c r="H705" i="7"/>
  <c r="J676" i="7"/>
  <c r="I664" i="7"/>
  <c r="G648" i="7"/>
  <c r="G633" i="7"/>
  <c r="L627" i="7"/>
  <c r="L608" i="7"/>
  <c r="H594" i="7"/>
  <c r="I589" i="7"/>
  <c r="I570" i="7"/>
  <c r="I566" i="7"/>
  <c r="G532" i="7"/>
  <c r="L506" i="7"/>
  <c r="L479" i="7"/>
  <c r="G467" i="7"/>
  <c r="H463" i="7"/>
  <c r="G436" i="7"/>
  <c r="L412" i="7"/>
  <c r="G409" i="7"/>
  <c r="J398" i="7"/>
  <c r="I383" i="7"/>
  <c r="F380" i="7"/>
  <c r="G373" i="7"/>
  <c r="G347" i="7"/>
  <c r="G885" i="7"/>
  <c r="F863" i="7"/>
  <c r="G760" i="7"/>
  <c r="G698" i="7"/>
  <c r="F676" i="7"/>
  <c r="J670" i="7"/>
  <c r="F613" i="7"/>
  <c r="I608" i="7"/>
  <c r="H589" i="7"/>
  <c r="H570" i="7"/>
  <c r="G566" i="7"/>
  <c r="L561" i="7"/>
  <c r="F557" i="7"/>
  <c r="L552" i="7"/>
  <c r="F544" i="7"/>
  <c r="F536" i="7"/>
  <c r="F532" i="7"/>
  <c r="F491" i="7"/>
  <c r="I479" i="7"/>
  <c r="H949" i="7"/>
  <c r="I690" i="7"/>
  <c r="L683" i="7"/>
  <c r="G627" i="7"/>
  <c r="J622" i="7"/>
  <c r="F589" i="7"/>
  <c r="I561" i="7"/>
  <c r="J552" i="7"/>
  <c r="G548" i="7"/>
  <c r="I506" i="7"/>
  <c r="G479" i="7"/>
  <c r="G750" i="7"/>
  <c r="L710" i="7"/>
  <c r="I579" i="7"/>
  <c r="J571" i="7"/>
  <c r="H558" i="7"/>
  <c r="L545" i="7"/>
  <c r="L539" i="7"/>
  <c r="J521" i="7"/>
  <c r="I490" i="7"/>
  <c r="F470" i="7"/>
  <c r="H465" i="7"/>
  <c r="F456" i="7"/>
  <c r="H451" i="7"/>
  <c r="L442" i="7"/>
  <c r="G412" i="7"/>
  <c r="H399" i="7"/>
  <c r="G374" i="7"/>
  <c r="G361" i="7"/>
  <c r="I341" i="7"/>
  <c r="J325" i="7"/>
  <c r="J290" i="7"/>
  <c r="G287" i="7"/>
  <c r="H261" i="7"/>
  <c r="J759" i="7"/>
  <c r="J710" i="7"/>
  <c r="I647" i="7"/>
  <c r="L607" i="7"/>
  <c r="F585" i="7"/>
  <c r="G579" i="7"/>
  <c r="F571" i="7"/>
  <c r="J545" i="7"/>
  <c r="I521" i="7"/>
  <c r="L515" i="7"/>
  <c r="H490" i="7"/>
  <c r="G475" i="7"/>
  <c r="L430" i="7"/>
  <c r="F412" i="7"/>
  <c r="G399" i="7"/>
  <c r="F374" i="7"/>
  <c r="F361" i="7"/>
  <c r="H341" i="7"/>
  <c r="I325" i="7"/>
  <c r="L304" i="7"/>
  <c r="I290" i="7"/>
  <c r="J276" i="7"/>
  <c r="L264" i="7"/>
  <c r="G261" i="7"/>
  <c r="J250" i="7"/>
  <c r="I236" i="7"/>
  <c r="I215" i="7"/>
  <c r="E156" i="6"/>
  <c r="E127" i="6"/>
  <c r="D107" i="6"/>
  <c r="X3004" i="2"/>
  <c r="X2899" i="2"/>
  <c r="X2388" i="2"/>
  <c r="X2283" i="2"/>
  <c r="X2178" i="2"/>
  <c r="X1667" i="2"/>
  <c r="X1562" i="2"/>
  <c r="X1457" i="2"/>
  <c r="I759" i="7"/>
  <c r="L718" i="7"/>
  <c r="H710" i="7"/>
  <c r="L690" i="7"/>
  <c r="H680" i="7"/>
  <c r="H647" i="7"/>
  <c r="I622" i="7"/>
  <c r="I545" i="7"/>
  <c r="J539" i="7"/>
  <c r="L533" i="7"/>
  <c r="H521" i="7"/>
  <c r="G490" i="7"/>
  <c r="H480" i="7"/>
  <c r="F465" i="7"/>
  <c r="I460" i="7"/>
  <c r="J442" i="7"/>
  <c r="L438" i="7"/>
  <c r="H434" i="7"/>
  <c r="H407" i="7"/>
  <c r="F399" i="7"/>
  <c r="H394" i="7"/>
  <c r="G390" i="7"/>
  <c r="L381" i="7"/>
  <c r="L377" i="7"/>
  <c r="L348" i="7"/>
  <c r="J718" i="7"/>
  <c r="L631" i="7"/>
  <c r="H622" i="7"/>
  <c r="I607" i="7"/>
  <c r="F599" i="7"/>
  <c r="I539" i="7"/>
  <c r="I533" i="7"/>
  <c r="L527" i="7"/>
  <c r="J515" i="7"/>
  <c r="L504" i="7"/>
  <c r="L499" i="7"/>
  <c r="H494" i="7"/>
  <c r="F490" i="7"/>
  <c r="G480" i="7"/>
  <c r="G460" i="7"/>
  <c r="L450" i="7"/>
  <c r="L446" i="7"/>
  <c r="H442" i="7"/>
  <c r="G434" i="7"/>
  <c r="I430" i="7"/>
  <c r="L420" i="7"/>
  <c r="F416" i="7"/>
  <c r="G407" i="7"/>
  <c r="F403" i="7"/>
  <c r="G394" i="7"/>
  <c r="I718" i="7"/>
  <c r="L592" i="7"/>
  <c r="H539" i="7"/>
  <c r="H533" i="7"/>
  <c r="H527" i="7"/>
  <c r="G515" i="7"/>
  <c r="G494" i="7"/>
  <c r="H469" i="7"/>
  <c r="J455" i="7"/>
  <c r="G442" i="7"/>
  <c r="H438" i="7"/>
  <c r="H430" i="7"/>
  <c r="J381" i="7"/>
  <c r="J377" i="7"/>
  <c r="L373" i="7"/>
  <c r="L364" i="7"/>
  <c r="J328" i="7"/>
  <c r="F325" i="7"/>
  <c r="G308" i="7"/>
  <c r="I304" i="7"/>
  <c r="G276" i="7"/>
  <c r="I264" i="7"/>
  <c r="J767" i="7"/>
  <c r="H662" i="7"/>
  <c r="F654" i="7"/>
  <c r="J646" i="7"/>
  <c r="J638" i="7"/>
  <c r="F533" i="7"/>
  <c r="G527" i="7"/>
  <c r="H499" i="7"/>
  <c r="F494" i="7"/>
  <c r="G469" i="7"/>
  <c r="L464" i="7"/>
  <c r="I455" i="7"/>
  <c r="J450" i="7"/>
  <c r="I446" i="7"/>
  <c r="G438" i="7"/>
  <c r="G430" i="7"/>
  <c r="G420" i="7"/>
  <c r="J411" i="7"/>
  <c r="I381" i="7"/>
  <c r="G662" i="7"/>
  <c r="I646" i="7"/>
  <c r="J563" i="7"/>
  <c r="F527" i="7"/>
  <c r="L520" i="7"/>
  <c r="J484" i="7"/>
  <c r="H479" i="7"/>
  <c r="F469" i="7"/>
  <c r="H464" i="7"/>
  <c r="H455" i="7"/>
  <c r="I450" i="7"/>
  <c r="G446" i="7"/>
  <c r="F430" i="7"/>
  <c r="L398" i="7"/>
  <c r="H381" i="7"/>
  <c r="H377" i="7"/>
  <c r="J373" i="7"/>
  <c r="I364" i="7"/>
  <c r="H360" i="7"/>
  <c r="G348" i="7"/>
  <c r="I344" i="7"/>
  <c r="H340" i="7"/>
  <c r="H328" i="7"/>
  <c r="I670" i="7"/>
  <c r="H646" i="7"/>
  <c r="G591" i="7"/>
  <c r="J583" i="7"/>
  <c r="H563" i="7"/>
  <c r="I556" i="7"/>
  <c r="J538" i="7"/>
  <c r="I520" i="7"/>
  <c r="L489" i="7"/>
  <c r="I484" i="7"/>
  <c r="F479" i="7"/>
  <c r="G464" i="7"/>
  <c r="G459" i="7"/>
  <c r="G455" i="7"/>
  <c r="H450" i="7"/>
  <c r="L415" i="7"/>
  <c r="L389" i="7"/>
  <c r="G381" i="7"/>
  <c r="G377" i="7"/>
  <c r="I373" i="7"/>
  <c r="H364" i="7"/>
  <c r="G360" i="7"/>
  <c r="G776" i="7"/>
  <c r="F717" i="7"/>
  <c r="I621" i="7"/>
  <c r="I613" i="7"/>
  <c r="I583" i="7"/>
  <c r="L569" i="7"/>
  <c r="H556" i="7"/>
  <c r="L543" i="7"/>
  <c r="H538" i="7"/>
  <c r="L532" i="7"/>
  <c r="F520" i="7"/>
  <c r="L503" i="7"/>
  <c r="H484" i="7"/>
  <c r="F464" i="7"/>
  <c r="F459" i="7"/>
  <c r="G450" i="7"/>
  <c r="L441" i="7"/>
  <c r="I437" i="7"/>
  <c r="L433" i="7"/>
  <c r="L406" i="7"/>
  <c r="L393" i="7"/>
  <c r="L384" i="7"/>
  <c r="L725" i="7"/>
  <c r="H583" i="7"/>
  <c r="G556" i="7"/>
  <c r="L549" i="7"/>
  <c r="J514" i="7"/>
  <c r="L493" i="7"/>
  <c r="J489" i="7"/>
  <c r="G484" i="7"/>
  <c r="F450" i="7"/>
  <c r="H437" i="7"/>
  <c r="J419" i="7"/>
  <c r="J415" i="7"/>
  <c r="L410" i="7"/>
  <c r="J393" i="7"/>
  <c r="F364" i="7"/>
  <c r="F344" i="7"/>
  <c r="L331" i="7"/>
  <c r="L311" i="7"/>
  <c r="L307" i="7"/>
  <c r="L303" i="7"/>
  <c r="I289" i="7"/>
  <c r="L275" i="7"/>
  <c r="H884" i="7"/>
  <c r="H652" i="7"/>
  <c r="G583" i="7"/>
  <c r="H569" i="7"/>
  <c r="F556" i="7"/>
  <c r="J549" i="7"/>
  <c r="J543" i="7"/>
  <c r="I514" i="7"/>
  <c r="J503" i="7"/>
  <c r="I498" i="7"/>
  <c r="I493" i="7"/>
  <c r="L445" i="7"/>
  <c r="J441" i="7"/>
  <c r="G437" i="7"/>
  <c r="I433" i="7"/>
  <c r="I419" i="7"/>
  <c r="I415" i="7"/>
  <c r="I410" i="7"/>
  <c r="J406" i="7"/>
  <c r="J397" i="7"/>
  <c r="I393" i="7"/>
  <c r="J384" i="7"/>
  <c r="L380" i="7"/>
  <c r="G765" i="7"/>
  <c r="I725" i="7"/>
  <c r="G652" i="7"/>
  <c r="F604" i="7"/>
  <c r="F583" i="7"/>
  <c r="G575" i="7"/>
  <c r="G549" i="7"/>
  <c r="H543" i="7"/>
  <c r="I537" i="7"/>
  <c r="J519" i="7"/>
  <c r="G514" i="7"/>
  <c r="H508" i="7"/>
  <c r="G503" i="7"/>
  <c r="H498" i="7"/>
  <c r="H493" i="7"/>
  <c r="I478" i="7"/>
  <c r="H468" i="7"/>
  <c r="L463" i="7"/>
  <c r="I441" i="7"/>
  <c r="F437" i="7"/>
  <c r="H433" i="7"/>
  <c r="H419" i="7"/>
  <c r="H410" i="7"/>
  <c r="I406" i="7"/>
  <c r="L668" i="7"/>
  <c r="F652" i="7"/>
  <c r="J627" i="7"/>
  <c r="J696" i="7"/>
  <c r="L676" i="7"/>
  <c r="I668" i="7"/>
  <c r="G612" i="7"/>
  <c r="G589" i="7"/>
  <c r="I531" i="7"/>
  <c r="L524" i="7"/>
  <c r="F493" i="7"/>
  <c r="G488" i="7"/>
  <c r="G478" i="7"/>
  <c r="H472" i="7"/>
  <c r="F468" i="7"/>
  <c r="L453" i="7"/>
  <c r="L428" i="7"/>
  <c r="F419" i="7"/>
  <c r="H414" i="7"/>
  <c r="G397" i="7"/>
  <c r="J388" i="7"/>
  <c r="G384" i="7"/>
  <c r="H380" i="7"/>
  <c r="J376" i="7"/>
  <c r="J367" i="7"/>
  <c r="G359" i="7"/>
  <c r="I355" i="7"/>
  <c r="H351" i="7"/>
  <c r="J347" i="7"/>
  <c r="G343" i="7"/>
  <c r="I335" i="7"/>
  <c r="J327" i="7"/>
  <c r="G315" i="7"/>
  <c r="G303" i="7"/>
  <c r="G292" i="7"/>
  <c r="J278" i="7"/>
  <c r="I271" i="7"/>
  <c r="G263" i="7"/>
  <c r="H256" i="7"/>
  <c r="J252" i="7"/>
  <c r="J245" i="7"/>
  <c r="F238" i="7"/>
  <c r="G231" i="7"/>
  <c r="L227" i="7"/>
  <c r="L223" i="7"/>
  <c r="J220" i="7"/>
  <c r="H217" i="7"/>
  <c r="I206" i="7"/>
  <c r="F203" i="7"/>
  <c r="L196" i="7"/>
  <c r="I190" i="7"/>
  <c r="F187" i="7"/>
  <c r="I177" i="7"/>
  <c r="I696" i="7"/>
  <c r="F668" i="7"/>
  <c r="G636" i="7"/>
  <c r="F612" i="7"/>
  <c r="J597" i="7"/>
  <c r="G582" i="7"/>
  <c r="J574" i="7"/>
  <c r="H568" i="7"/>
  <c r="H561" i="7"/>
  <c r="H531" i="7"/>
  <c r="I524" i="7"/>
  <c r="J518" i="7"/>
  <c r="F488" i="7"/>
  <c r="G472" i="7"/>
  <c r="L462" i="7"/>
  <c r="J458" i="7"/>
  <c r="I453" i="7"/>
  <c r="J449" i="7"/>
  <c r="H428" i="7"/>
  <c r="G414" i="7"/>
  <c r="G401" i="7"/>
  <c r="F397" i="7"/>
  <c r="F388" i="7"/>
  <c r="I376" i="7"/>
  <c r="I367" i="7"/>
  <c r="I363" i="7"/>
  <c r="F359" i="7"/>
  <c r="G355" i="7"/>
  <c r="G351" i="7"/>
  <c r="I347" i="7"/>
  <c r="F343" i="7"/>
  <c r="J339" i="7"/>
  <c r="F335" i="7"/>
  <c r="I327" i="7"/>
  <c r="F303" i="7"/>
  <c r="J299" i="7"/>
  <c r="F292" i="7"/>
  <c r="J285" i="7"/>
  <c r="G278" i="7"/>
  <c r="F271" i="7"/>
  <c r="F263" i="7"/>
  <c r="F256" i="7"/>
  <c r="H252" i="7"/>
  <c r="I245" i="7"/>
  <c r="L234" i="7"/>
  <c r="F231" i="7"/>
  <c r="H227" i="7"/>
  <c r="I220" i="7"/>
  <c r="G217" i="7"/>
  <c r="H206" i="7"/>
  <c r="L199" i="7"/>
  <c r="F1037" i="7"/>
  <c r="H816" i="7"/>
  <c r="G784" i="7"/>
  <c r="G696" i="7"/>
  <c r="G643" i="7"/>
  <c r="J603" i="7"/>
  <c r="G574" i="7"/>
  <c r="F561" i="7"/>
  <c r="H524" i="7"/>
  <c r="G518" i="7"/>
  <c r="F513" i="7"/>
  <c r="L497" i="7"/>
  <c r="F472" i="7"/>
  <c r="H458" i="7"/>
  <c r="H453" i="7"/>
  <c r="I449" i="7"/>
  <c r="G428" i="7"/>
  <c r="F414" i="7"/>
  <c r="F401" i="7"/>
  <c r="F367" i="7"/>
  <c r="F363" i="7"/>
  <c r="F351" i="7"/>
  <c r="G339" i="7"/>
  <c r="H327" i="7"/>
  <c r="I285" i="7"/>
  <c r="F278" i="7"/>
  <c r="G252" i="7"/>
  <c r="F245" i="7"/>
  <c r="J234" i="7"/>
  <c r="F227" i="7"/>
  <c r="J223" i="7"/>
  <c r="H220" i="7"/>
  <c r="F217" i="7"/>
  <c r="G206" i="7"/>
  <c r="J196" i="7"/>
  <c r="F190" i="7"/>
  <c r="G177" i="7"/>
  <c r="F167" i="7"/>
  <c r="H156" i="7"/>
  <c r="H139" i="7"/>
  <c r="J132" i="7"/>
  <c r="I651" i="7"/>
  <c r="J542" i="7"/>
  <c r="J536" i="7"/>
  <c r="F524" i="7"/>
  <c r="I467" i="7"/>
  <c r="J462" i="7"/>
  <c r="G453" i="7"/>
  <c r="H449" i="7"/>
  <c r="I436" i="7"/>
  <c r="L432" i="7"/>
  <c r="J405" i="7"/>
  <c r="L330" i="7"/>
  <c r="I234" i="7"/>
  <c r="I223" i="7"/>
  <c r="G220" i="7"/>
  <c r="L202" i="7"/>
  <c r="J199" i="7"/>
  <c r="I196" i="7"/>
  <c r="J159" i="7"/>
  <c r="G156" i="7"/>
  <c r="J142" i="7"/>
  <c r="I132" i="7"/>
  <c r="G129" i="7"/>
  <c r="H114" i="7"/>
  <c r="I94" i="7"/>
  <c r="L74" i="7"/>
  <c r="J45" i="7"/>
  <c r="G42" i="7"/>
  <c r="F981" i="7"/>
  <c r="F754" i="7"/>
  <c r="L675" i="7"/>
  <c r="J626" i="7"/>
  <c r="L618" i="7"/>
  <c r="L581" i="7"/>
  <c r="L547" i="7"/>
  <c r="L492" i="7"/>
  <c r="J482" i="7"/>
  <c r="J477" i="7"/>
  <c r="F467" i="7"/>
  <c r="I462" i="7"/>
  <c r="G449" i="7"/>
  <c r="L444" i="7"/>
  <c r="H440" i="7"/>
  <c r="F436" i="7"/>
  <c r="L409" i="7"/>
  <c r="I405" i="7"/>
  <c r="H383" i="7"/>
  <c r="H306" i="7"/>
  <c r="L237" i="7"/>
  <c r="H234" i="7"/>
  <c r="H223" i="7"/>
  <c r="F220" i="7"/>
  <c r="I199" i="7"/>
  <c r="H196" i="7"/>
  <c r="I159" i="7"/>
  <c r="F156" i="7"/>
  <c r="I142" i="7"/>
  <c r="H132" i="7"/>
  <c r="F129" i="7"/>
  <c r="G114" i="7"/>
  <c r="H94" i="7"/>
  <c r="J48" i="7"/>
  <c r="I45" i="7"/>
  <c r="F42" i="7"/>
  <c r="E72" i="6"/>
  <c r="B11" i="5"/>
  <c r="C11" i="5" s="1"/>
  <c r="L732" i="7"/>
  <c r="I675" i="7"/>
  <c r="I626" i="7"/>
  <c r="I581" i="7"/>
  <c r="L553" i="7"/>
  <c r="H530" i="7"/>
  <c r="L501" i="7"/>
  <c r="I482" i="7"/>
  <c r="I477" i="7"/>
  <c r="H462" i="7"/>
  <c r="F440" i="7"/>
  <c r="J432" i="7"/>
  <c r="J409" i="7"/>
  <c r="H405" i="7"/>
  <c r="G383" i="7"/>
  <c r="L358" i="7"/>
  <c r="J330" i="7"/>
  <c r="L326" i="7"/>
  <c r="G306" i="7"/>
  <c r="L302" i="7"/>
  <c r="H281" i="7"/>
  <c r="J237" i="7"/>
  <c r="G234" i="7"/>
  <c r="G223" i="7"/>
  <c r="J202" i="7"/>
  <c r="H199" i="7"/>
  <c r="G196" i="7"/>
  <c r="H159" i="7"/>
  <c r="H142" i="7"/>
  <c r="G132" i="7"/>
  <c r="F114" i="7"/>
  <c r="G94" i="7"/>
  <c r="H74" i="7"/>
  <c r="I48" i="7"/>
  <c r="H45" i="7"/>
  <c r="L20" i="7"/>
  <c r="D72" i="6"/>
  <c r="V2903" i="2"/>
  <c r="V2798" i="2"/>
  <c r="W2802" i="2" s="1"/>
  <c r="V2693" i="2"/>
  <c r="V2182" i="2"/>
  <c r="V2077" i="2"/>
  <c r="W2081" i="2" s="1"/>
  <c r="V1972" i="2"/>
  <c r="V1461" i="2"/>
  <c r="V1356" i="2"/>
  <c r="W1360" i="2" s="1"/>
  <c r="V1251" i="2"/>
  <c r="L742" i="7"/>
  <c r="I713" i="7"/>
  <c r="H675" i="7"/>
  <c r="L573" i="7"/>
  <c r="F560" i="7"/>
  <c r="I547" i="7"/>
  <c r="G541" i="7"/>
  <c r="G530" i="7"/>
  <c r="L496" i="7"/>
  <c r="I492" i="7"/>
  <c r="J742" i="7"/>
  <c r="H617" i="7"/>
  <c r="G602" i="7"/>
  <c r="F573" i="7"/>
  <c r="G547" i="7"/>
  <c r="H506" i="7"/>
  <c r="H501" i="7"/>
  <c r="H496" i="7"/>
  <c r="L466" i="7"/>
  <c r="L435" i="7"/>
  <c r="H427" i="7"/>
  <c r="L391" i="7"/>
  <c r="H358" i="7"/>
  <c r="F330" i="7"/>
  <c r="H326" i="7"/>
  <c r="G237" i="7"/>
  <c r="G202" i="7"/>
  <c r="L169" i="7"/>
  <c r="J166" i="7"/>
  <c r="L128" i="7"/>
  <c r="F48" i="7"/>
  <c r="G20" i="7"/>
  <c r="E100" i="6"/>
  <c r="X3002" i="2"/>
  <c r="G675" i="7"/>
  <c r="I452" i="7"/>
  <c r="L363" i="7"/>
  <c r="J357" i="7"/>
  <c r="H346" i="7"/>
  <c r="J341" i="7"/>
  <c r="L335" i="7"/>
  <c r="I302" i="7"/>
  <c r="H279" i="7"/>
  <c r="G274" i="7"/>
  <c r="J263" i="7"/>
  <c r="H254" i="7"/>
  <c r="L236" i="7"/>
  <c r="I201" i="7"/>
  <c r="L664" i="7"/>
  <c r="H452" i="7"/>
  <c r="F444" i="7"/>
  <c r="I357" i="7"/>
  <c r="G346" i="7"/>
  <c r="G341" i="7"/>
  <c r="J329" i="7"/>
  <c r="I742" i="7"/>
  <c r="G572" i="7"/>
  <c r="I491" i="7"/>
  <c r="H393" i="7"/>
  <c r="H357" i="7"/>
  <c r="I329" i="7"/>
  <c r="F319" i="7"/>
  <c r="G307" i="7"/>
  <c r="J292" i="7"/>
  <c r="G283" i="7"/>
  <c r="H263" i="7"/>
  <c r="J258" i="7"/>
  <c r="I249" i="7"/>
  <c r="J236" i="7"/>
  <c r="J506" i="7"/>
  <c r="L351" i="7"/>
  <c r="H329" i="7"/>
  <c r="F307" i="7"/>
  <c r="H292" i="7"/>
  <c r="I258" i="7"/>
  <c r="H249" i="7"/>
  <c r="H236" i="7"/>
  <c r="J222" i="7"/>
  <c r="G169" i="7"/>
  <c r="G136" i="7"/>
  <c r="I128" i="7"/>
  <c r="G506" i="7"/>
  <c r="L458" i="7"/>
  <c r="L399" i="7"/>
  <c r="J351" i="7"/>
  <c r="L340" i="7"/>
  <c r="I334" i="7"/>
  <c r="L287" i="7"/>
  <c r="G258" i="7"/>
  <c r="G249" i="7"/>
  <c r="G236" i="7"/>
  <c r="L231" i="7"/>
  <c r="I222" i="7"/>
  <c r="F169" i="7"/>
  <c r="I593" i="7"/>
  <c r="I552" i="7"/>
  <c r="F543" i="7"/>
  <c r="F506" i="7"/>
  <c r="H466" i="7"/>
  <c r="I443" i="7"/>
  <c r="G406" i="7"/>
  <c r="H386" i="7"/>
  <c r="F368" i="7"/>
  <c r="H593" i="7"/>
  <c r="H552" i="7"/>
  <c r="H482" i="7"/>
  <c r="G466" i="7"/>
  <c r="F443" i="7"/>
  <c r="J399" i="7"/>
  <c r="G386" i="7"/>
  <c r="G345" i="7"/>
  <c r="F340" i="7"/>
  <c r="F306" i="7"/>
  <c r="J287" i="7"/>
  <c r="L282" i="7"/>
  <c r="I231" i="7"/>
  <c r="F222" i="7"/>
  <c r="I612" i="7"/>
  <c r="H602" i="7"/>
  <c r="G552" i="7"/>
  <c r="J523" i="7"/>
  <c r="J490" i="7"/>
  <c r="F482" i="7"/>
  <c r="F466" i="7"/>
  <c r="F457" i="7"/>
  <c r="J435" i="7"/>
  <c r="I399" i="7"/>
  <c r="F386" i="7"/>
  <c r="I380" i="7"/>
  <c r="L374" i="7"/>
  <c r="F345" i="7"/>
  <c r="G751" i="7"/>
  <c r="F602" i="7"/>
  <c r="H505" i="7"/>
  <c r="J472" i="7"/>
  <c r="I435" i="7"/>
  <c r="J412" i="7"/>
  <c r="L333" i="7"/>
  <c r="I282" i="7"/>
  <c r="L277" i="7"/>
  <c r="J257" i="7"/>
  <c r="J239" i="7"/>
  <c r="I235" i="7"/>
  <c r="J208" i="7"/>
  <c r="G505" i="7"/>
  <c r="L449" i="7"/>
  <c r="H435" i="7"/>
  <c r="L427" i="7"/>
  <c r="I412" i="7"/>
  <c r="G405" i="7"/>
  <c r="H391" i="7"/>
  <c r="J374" i="7"/>
  <c r="L367" i="7"/>
  <c r="I361" i="7"/>
  <c r="L355" i="7"/>
  <c r="I328" i="7"/>
  <c r="J322" i="7"/>
  <c r="H311" i="7"/>
  <c r="F496" i="7"/>
  <c r="H488" i="7"/>
  <c r="H481" i="7"/>
  <c r="I456" i="7"/>
  <c r="I448" i="7"/>
  <c r="G441" i="7"/>
  <c r="L390" i="7"/>
  <c r="L349" i="7"/>
  <c r="H344" i="7"/>
  <c r="F322" i="7"/>
  <c r="F305" i="7"/>
  <c r="G300" i="7"/>
  <c r="G286" i="7"/>
  <c r="F281" i="7"/>
  <c r="J261" i="7"/>
  <c r="H221" i="7"/>
  <c r="G199" i="7"/>
  <c r="H179" i="7"/>
  <c r="I127" i="7"/>
  <c r="J120" i="7"/>
  <c r="H105" i="7"/>
  <c r="G98" i="7"/>
  <c r="L78" i="7"/>
  <c r="F75" i="7"/>
  <c r="J67" i="7"/>
  <c r="G64" i="7"/>
  <c r="F49" i="7"/>
  <c r="G45" i="7"/>
  <c r="H38" i="7"/>
  <c r="L521" i="7"/>
  <c r="H456" i="7"/>
  <c r="I397" i="7"/>
  <c r="G344" i="7"/>
  <c r="L327" i="7"/>
  <c r="L294" i="7"/>
  <c r="G290" i="7"/>
  <c r="I261" i="7"/>
  <c r="F234" i="7"/>
  <c r="G221" i="7"/>
  <c r="F199" i="7"/>
  <c r="L187" i="7"/>
  <c r="L142" i="7"/>
  <c r="H127" i="7"/>
  <c r="J116" i="7"/>
  <c r="L101" i="7"/>
  <c r="I67" i="7"/>
  <c r="J41" i="7"/>
  <c r="G38" i="7"/>
  <c r="L27" i="7"/>
  <c r="H24" i="7"/>
  <c r="L579" i="7"/>
  <c r="J531" i="7"/>
  <c r="L470" i="7"/>
  <c r="G456" i="7"/>
  <c r="H426" i="7"/>
  <c r="H397" i="7"/>
  <c r="F390" i="7"/>
  <c r="I384" i="7"/>
  <c r="J378" i="7"/>
  <c r="I349" i="7"/>
  <c r="L315" i="7"/>
  <c r="F290" i="7"/>
  <c r="L276" i="7"/>
  <c r="L256" i="7"/>
  <c r="J247" i="7"/>
  <c r="I203" i="7"/>
  <c r="J158" i="7"/>
  <c r="I146" i="7"/>
  <c r="J130" i="7"/>
  <c r="G127" i="7"/>
  <c r="I116" i="7"/>
  <c r="J78" i="7"/>
  <c r="H67" i="7"/>
  <c r="I41" i="7"/>
  <c r="F38" i="7"/>
  <c r="L34" i="7"/>
  <c r="G24" i="7"/>
  <c r="I20" i="7"/>
  <c r="E210" i="6"/>
  <c r="I958" i="7"/>
  <c r="F511" i="7"/>
  <c r="H447" i="7"/>
  <c r="F433" i="7"/>
  <c r="H384" i="7"/>
  <c r="I378" i="7"/>
  <c r="I321" i="7"/>
  <c r="J315" i="7"/>
  <c r="J294" i="7"/>
  <c r="I276" i="7"/>
  <c r="L271" i="7"/>
  <c r="J256" i="7"/>
  <c r="I247" i="7"/>
  <c r="J238" i="7"/>
  <c r="H203" i="7"/>
  <c r="I187" i="7"/>
  <c r="L167" i="7"/>
  <c r="H158" i="7"/>
  <c r="H146" i="7"/>
  <c r="I130" i="7"/>
  <c r="H116" i="7"/>
  <c r="J101" i="7"/>
  <c r="I78" i="7"/>
  <c r="G67" i="7"/>
  <c r="H41" i="7"/>
  <c r="J27" i="7"/>
  <c r="F24" i="7"/>
  <c r="H20" i="7"/>
  <c r="H813" i="7"/>
  <c r="G702" i="7"/>
  <c r="I558" i="7"/>
  <c r="L495" i="7"/>
  <c r="J470" i="7"/>
  <c r="G462" i="7"/>
  <c r="G447" i="7"/>
  <c r="G410" i="7"/>
  <c r="G378" i="7"/>
  <c r="H343" i="7"/>
  <c r="F321" i="7"/>
  <c r="I315" i="7"/>
  <c r="J304" i="7"/>
  <c r="G294" i="7"/>
  <c r="J280" i="7"/>
  <c r="H276" i="7"/>
  <c r="I256" i="7"/>
  <c r="H247" i="7"/>
  <c r="H238" i="7"/>
  <c r="L233" i="7"/>
  <c r="G203" i="7"/>
  <c r="H187" i="7"/>
  <c r="G158" i="7"/>
  <c r="G146" i="7"/>
  <c r="L141" i="7"/>
  <c r="H130" i="7"/>
  <c r="L119" i="7"/>
  <c r="G116" i="7"/>
  <c r="I101" i="7"/>
  <c r="H78" i="7"/>
  <c r="L648" i="7"/>
  <c r="L510" i="7"/>
  <c r="L486" i="7"/>
  <c r="H470" i="7"/>
  <c r="L439" i="7"/>
  <c r="J365" i="7"/>
  <c r="H359" i="7"/>
  <c r="L353" i="7"/>
  <c r="H348" i="7"/>
  <c r="I326" i="7"/>
  <c r="I309" i="7"/>
  <c r="G304" i="7"/>
  <c r="L289" i="7"/>
  <c r="H280" i="7"/>
  <c r="J957" i="7"/>
  <c r="L823" i="7"/>
  <c r="G470" i="7"/>
  <c r="J439" i="7"/>
  <c r="I432" i="7"/>
  <c r="L417" i="7"/>
  <c r="I409" i="7"/>
  <c r="F383" i="7"/>
  <c r="I365" i="7"/>
  <c r="F348" i="7"/>
  <c r="G326" i="7"/>
  <c r="F309" i="7"/>
  <c r="J289" i="7"/>
  <c r="G280" i="7"/>
  <c r="L616" i="7"/>
  <c r="H547" i="7"/>
  <c r="H529" i="7"/>
  <c r="I501" i="7"/>
  <c r="J486" i="7"/>
  <c r="H478" i="7"/>
  <c r="L461" i="7"/>
  <c r="I439" i="7"/>
  <c r="G432" i="7"/>
  <c r="J353" i="7"/>
  <c r="J331" i="7"/>
  <c r="F326" i="7"/>
  <c r="J616" i="7"/>
  <c r="F530" i="7"/>
  <c r="I481" i="7"/>
  <c r="H431" i="7"/>
  <c r="L376" i="7"/>
  <c r="I351" i="7"/>
  <c r="G312" i="7"/>
  <c r="J298" i="7"/>
  <c r="H260" i="7"/>
  <c r="I254" i="7"/>
  <c r="F248" i="7"/>
  <c r="F202" i="7"/>
  <c r="L197" i="7"/>
  <c r="I178" i="7"/>
  <c r="H174" i="7"/>
  <c r="J169" i="7"/>
  <c r="H616" i="7"/>
  <c r="J595" i="7"/>
  <c r="L279" i="7"/>
  <c r="F254" i="7"/>
  <c r="I197" i="7"/>
  <c r="F174" i="7"/>
  <c r="I169" i="7"/>
  <c r="G159" i="7"/>
  <c r="L105" i="7"/>
  <c r="J75" i="7"/>
  <c r="F55" i="7"/>
  <c r="H35" i="7"/>
  <c r="I27" i="7"/>
  <c r="G12" i="7"/>
  <c r="E168" i="6"/>
  <c r="F391" i="7"/>
  <c r="J358" i="7"/>
  <c r="H304" i="7"/>
  <c r="L285" i="7"/>
  <c r="J279" i="7"/>
  <c r="H197" i="7"/>
  <c r="J192" i="7"/>
  <c r="H169" i="7"/>
  <c r="F159" i="7"/>
  <c r="J122" i="7"/>
  <c r="L118" i="7"/>
  <c r="L114" i="7"/>
  <c r="L88" i="7"/>
  <c r="I75" i="7"/>
  <c r="F67" i="7"/>
  <c r="J63" i="7"/>
  <c r="G529" i="7"/>
  <c r="L517" i="7"/>
  <c r="G439" i="7"/>
  <c r="G419" i="7"/>
  <c r="L408" i="7"/>
  <c r="G358" i="7"/>
  <c r="I279" i="7"/>
  <c r="F236" i="7"/>
  <c r="I230" i="7"/>
  <c r="J224" i="7"/>
  <c r="H212" i="7"/>
  <c r="G207" i="7"/>
  <c r="G197" i="7"/>
  <c r="I192" i="7"/>
  <c r="F178" i="7"/>
  <c r="H517" i="7"/>
  <c r="L448" i="7"/>
  <c r="F439" i="7"/>
  <c r="I319" i="7"/>
  <c r="G311" i="7"/>
  <c r="G279" i="7"/>
  <c r="L253" i="7"/>
  <c r="G247" i="7"/>
  <c r="G230" i="7"/>
  <c r="H224" i="7"/>
  <c r="F212" i="7"/>
  <c r="L201" i="7"/>
  <c r="F197" i="7"/>
  <c r="H192" i="7"/>
  <c r="J182" i="7"/>
  <c r="G517" i="7"/>
  <c r="G468" i="7"/>
  <c r="J408" i="7"/>
  <c r="L382" i="7"/>
  <c r="J333" i="7"/>
  <c r="L325" i="7"/>
  <c r="F311" i="7"/>
  <c r="J303" i="7"/>
  <c r="I253" i="7"/>
  <c r="G192" i="7"/>
  <c r="G187" i="7"/>
  <c r="I182" i="7"/>
  <c r="G173" i="7"/>
  <c r="F158" i="7"/>
  <c r="F130" i="7"/>
  <c r="F122" i="7"/>
  <c r="I408" i="7"/>
  <c r="L341" i="7"/>
  <c r="I333" i="7"/>
  <c r="I303" i="7"/>
  <c r="L290" i="7"/>
  <c r="I272" i="7"/>
  <c r="G253" i="7"/>
  <c r="H235" i="7"/>
  <c r="J206" i="7"/>
  <c r="G201" i="7"/>
  <c r="F192" i="7"/>
  <c r="H182" i="7"/>
  <c r="F173" i="7"/>
  <c r="L168" i="7"/>
  <c r="L153" i="7"/>
  <c r="L148" i="7"/>
  <c r="I657" i="7"/>
  <c r="F447" i="7"/>
  <c r="H408" i="7"/>
  <c r="J382" i="7"/>
  <c r="I374" i="7"/>
  <c r="G333" i="7"/>
  <c r="H325" i="7"/>
  <c r="H303" i="7"/>
  <c r="J284" i="7"/>
  <c r="G272" i="7"/>
  <c r="G235" i="7"/>
  <c r="I229" i="7"/>
  <c r="F223" i="7"/>
  <c r="F201" i="7"/>
  <c r="G182" i="7"/>
  <c r="L177" i="7"/>
  <c r="I382" i="7"/>
  <c r="H374" i="7"/>
  <c r="J364" i="7"/>
  <c r="L356" i="7"/>
  <c r="G325" i="7"/>
  <c r="J264" i="7"/>
  <c r="F235" i="7"/>
  <c r="F182" i="7"/>
  <c r="J168" i="7"/>
  <c r="J153" i="7"/>
  <c r="J139" i="7"/>
  <c r="L113" i="7"/>
  <c r="F88" i="7"/>
  <c r="L83" i="7"/>
  <c r="F537" i="7"/>
  <c r="L456" i="7"/>
  <c r="I417" i="7"/>
  <c r="G364" i="7"/>
  <c r="F284" i="7"/>
  <c r="H264" i="7"/>
  <c r="H246" i="7"/>
  <c r="I496" i="7"/>
  <c r="G427" i="7"/>
  <c r="G340" i="7"/>
  <c r="H316" i="7"/>
  <c r="L296" i="7"/>
  <c r="H289" i="7"/>
  <c r="F258" i="7"/>
  <c r="L222" i="7"/>
  <c r="L210" i="7"/>
  <c r="H177" i="7"/>
  <c r="L172" i="7"/>
  <c r="F168" i="7"/>
  <c r="H153" i="7"/>
  <c r="I129" i="7"/>
  <c r="I125" i="7"/>
  <c r="J113" i="7"/>
  <c r="I104" i="7"/>
  <c r="G496" i="7"/>
  <c r="F427" i="7"/>
  <c r="L388" i="7"/>
  <c r="G316" i="7"/>
  <c r="F302" i="7"/>
  <c r="I296" i="7"/>
  <c r="G289" i="7"/>
  <c r="I277" i="7"/>
  <c r="J271" i="7"/>
  <c r="L217" i="7"/>
  <c r="G153" i="7"/>
  <c r="L133" i="7"/>
  <c r="H129" i="7"/>
  <c r="H125" i="7"/>
  <c r="J121" i="7"/>
  <c r="I113" i="7"/>
  <c r="J355" i="7"/>
  <c r="I331" i="7"/>
  <c r="L308" i="7"/>
  <c r="F277" i="7"/>
  <c r="L263" i="7"/>
  <c r="I257" i="7"/>
  <c r="L239" i="7"/>
  <c r="J217" i="7"/>
  <c r="I210" i="7"/>
  <c r="G200" i="7"/>
  <c r="L190" i="7"/>
  <c r="I172" i="7"/>
  <c r="I445" i="7"/>
  <c r="G435" i="7"/>
  <c r="H315" i="7"/>
  <c r="F308" i="7"/>
  <c r="F405" i="7"/>
  <c r="J387" i="7"/>
  <c r="J379" i="7"/>
  <c r="I330" i="7"/>
  <c r="I322" i="7"/>
  <c r="F294" i="7"/>
  <c r="I288" i="7"/>
  <c r="J282" i="7"/>
  <c r="I250" i="7"/>
  <c r="G239" i="7"/>
  <c r="H233" i="7"/>
  <c r="L221" i="7"/>
  <c r="I379" i="7"/>
  <c r="H330" i="7"/>
  <c r="H322" i="7"/>
  <c r="H282" i="7"/>
  <c r="F276" i="7"/>
  <c r="L395" i="7"/>
  <c r="H361" i="7"/>
  <c r="G322" i="7"/>
  <c r="I300" i="7"/>
  <c r="G250" i="7"/>
  <c r="F855" i="7"/>
  <c r="I565" i="7"/>
  <c r="F512" i="7"/>
  <c r="F462" i="7"/>
  <c r="F353" i="7"/>
  <c r="H345" i="7"/>
  <c r="H300" i="7"/>
  <c r="F250" i="7"/>
  <c r="G204" i="7"/>
  <c r="I156" i="7"/>
  <c r="L151" i="7"/>
  <c r="I141" i="7"/>
  <c r="F128" i="7"/>
  <c r="I124" i="7"/>
  <c r="H99" i="7"/>
  <c r="G48" i="7"/>
  <c r="J36" i="7"/>
  <c r="H21" i="7"/>
  <c r="H17" i="7"/>
  <c r="D184" i="6"/>
  <c r="E64" i="6"/>
  <c r="D16" i="6"/>
  <c r="E6" i="6"/>
  <c r="B28" i="5"/>
  <c r="C28" i="5" s="1"/>
  <c r="X2801" i="2"/>
  <c r="V2490" i="2"/>
  <c r="X2487" i="2"/>
  <c r="X1974" i="2"/>
  <c r="V1559" i="2"/>
  <c r="F461" i="7"/>
  <c r="F124" i="7"/>
  <c r="J114" i="7"/>
  <c r="I99" i="7"/>
  <c r="J94" i="7"/>
  <c r="I89" i="7"/>
  <c r="G79" i="7"/>
  <c r="G74" i="7"/>
  <c r="H62" i="7"/>
  <c r="G53" i="7"/>
  <c r="H36" i="7"/>
  <c r="J24" i="7"/>
  <c r="F12" i="7"/>
  <c r="X2589" i="2"/>
  <c r="F274" i="7"/>
  <c r="G248" i="7"/>
  <c r="I217" i="7"/>
  <c r="H151" i="7"/>
  <c r="I114" i="7"/>
  <c r="G99" i="7"/>
  <c r="F94" i="7"/>
  <c r="G89" i="7"/>
  <c r="F79" i="7"/>
  <c r="F53" i="7"/>
  <c r="L48" i="7"/>
  <c r="G36" i="7"/>
  <c r="I24" i="7"/>
  <c r="D112" i="6"/>
  <c r="E50" i="6"/>
  <c r="X2696" i="2"/>
  <c r="V2589" i="2"/>
  <c r="V1971" i="2"/>
  <c r="V1768" i="2"/>
  <c r="W1772" i="2" s="1"/>
  <c r="V1765" i="2"/>
  <c r="V1562" i="2"/>
  <c r="W1566" i="2" s="1"/>
  <c r="X1559" i="2"/>
  <c r="V1354" i="2"/>
  <c r="V1256" i="2"/>
  <c r="X844" i="2"/>
  <c r="X739" i="2"/>
  <c r="X634" i="2"/>
  <c r="X529" i="2"/>
  <c r="V320" i="2"/>
  <c r="G493" i="7"/>
  <c r="L336" i="7"/>
  <c r="F289" i="7"/>
  <c r="J232" i="7"/>
  <c r="L208" i="7"/>
  <c r="F151" i="7"/>
  <c r="F145" i="7"/>
  <c r="J128" i="7"/>
  <c r="J118" i="7"/>
  <c r="H103" i="7"/>
  <c r="F89" i="7"/>
  <c r="F70" i="7"/>
  <c r="H48" i="7"/>
  <c r="H32" i="7"/>
  <c r="F28" i="7"/>
  <c r="E189" i="6"/>
  <c r="E162" i="6"/>
  <c r="J395" i="7"/>
  <c r="J385" i="7"/>
  <c r="F336" i="7"/>
  <c r="I239" i="7"/>
  <c r="G232" i="7"/>
  <c r="I208" i="7"/>
  <c r="J194" i="7"/>
  <c r="L139" i="7"/>
  <c r="H128" i="7"/>
  <c r="H118" i="7"/>
  <c r="L107" i="7"/>
  <c r="L61" i="7"/>
  <c r="L15" i="7"/>
  <c r="D189" i="6"/>
  <c r="E175" i="6"/>
  <c r="D162" i="6"/>
  <c r="D135" i="6"/>
  <c r="D76" i="6"/>
  <c r="L305" i="7"/>
  <c r="I263" i="7"/>
  <c r="H239" i="7"/>
  <c r="H208" i="7"/>
  <c r="G128" i="7"/>
  <c r="G118" i="7"/>
  <c r="L98" i="7"/>
  <c r="L73" i="7"/>
  <c r="L65" i="7"/>
  <c r="L39" i="7"/>
  <c r="E202" i="6"/>
  <c r="X3007" i="2"/>
  <c r="X3001" i="2"/>
  <c r="V2899" i="2"/>
  <c r="X2800" i="2"/>
  <c r="I470" i="7"/>
  <c r="F239" i="7"/>
  <c r="G208" i="7"/>
  <c r="H200" i="7"/>
  <c r="H188" i="7"/>
  <c r="L156" i="7"/>
  <c r="J150" i="7"/>
  <c r="I139" i="7"/>
  <c r="I133" i="7"/>
  <c r="F118" i="7"/>
  <c r="I107" i="7"/>
  <c r="I93" i="7"/>
  <c r="G78" i="7"/>
  <c r="I61" i="7"/>
  <c r="J43" i="7"/>
  <c r="L35" i="7"/>
  <c r="L31" i="7"/>
  <c r="L344" i="7"/>
  <c r="J305" i="7"/>
  <c r="I280" i="7"/>
  <c r="F255" i="7"/>
  <c r="F200" i="7"/>
  <c r="J156" i="7"/>
  <c r="I150" i="7"/>
  <c r="I144" i="7"/>
  <c r="H133" i="7"/>
  <c r="L102" i="7"/>
  <c r="J98" i="7"/>
  <c r="H93" i="7"/>
  <c r="J88" i="7"/>
  <c r="F78" i="7"/>
  <c r="J73" i="7"/>
  <c r="L69" i="7"/>
  <c r="I65" i="7"/>
  <c r="L500" i="7"/>
  <c r="J344" i="7"/>
  <c r="I305" i="7"/>
  <c r="F280" i="7"/>
  <c r="G222" i="7"/>
  <c r="L215" i="7"/>
  <c r="L181" i="7"/>
  <c r="G150" i="7"/>
  <c r="F144" i="7"/>
  <c r="G133" i="7"/>
  <c r="L122" i="7"/>
  <c r="J102" i="7"/>
  <c r="I98" i="7"/>
  <c r="I88" i="7"/>
  <c r="H83" i="7"/>
  <c r="I73" i="7"/>
  <c r="H65" i="7"/>
  <c r="J481" i="7"/>
  <c r="F362" i="7"/>
  <c r="G238" i="7"/>
  <c r="H231" i="7"/>
  <c r="J181" i="7"/>
  <c r="L174" i="7"/>
  <c r="I168" i="7"/>
  <c r="F133" i="7"/>
  <c r="L127" i="7"/>
  <c r="I122" i="7"/>
  <c r="I102" i="7"/>
  <c r="H88" i="7"/>
  <c r="G83" i="7"/>
  <c r="H73" i="7"/>
  <c r="J69" i="7"/>
  <c r="I47" i="7"/>
  <c r="G43" i="7"/>
  <c r="J500" i="7"/>
  <c r="J215" i="7"/>
  <c r="L193" i="7"/>
  <c r="L155" i="7"/>
  <c r="G122" i="7"/>
  <c r="H102" i="7"/>
  <c r="G88" i="7"/>
  <c r="G73" i="7"/>
  <c r="I69" i="7"/>
  <c r="J51" i="7"/>
  <c r="H47" i="7"/>
  <c r="F43" i="7"/>
  <c r="F35" i="7"/>
  <c r="F15" i="7"/>
  <c r="L10" i="7"/>
  <c r="H287" i="7"/>
  <c r="L254" i="7"/>
  <c r="L245" i="7"/>
  <c r="H215" i="7"/>
  <c r="J193" i="7"/>
  <c r="J174" i="7"/>
  <c r="I155" i="7"/>
  <c r="J149" i="7"/>
  <c r="J127" i="7"/>
  <c r="J117" i="7"/>
  <c r="G102" i="7"/>
  <c r="H69" i="7"/>
  <c r="I352" i="7"/>
  <c r="L261" i="7"/>
  <c r="J221" i="7"/>
  <c r="G215" i="7"/>
  <c r="I174" i="7"/>
  <c r="H155" i="7"/>
  <c r="L137" i="7"/>
  <c r="F132" i="7"/>
  <c r="I117" i="7"/>
  <c r="F102" i="7"/>
  <c r="F69" i="7"/>
  <c r="L64" i="7"/>
  <c r="L55" i="7"/>
  <c r="G51" i="7"/>
  <c r="L30" i="7"/>
  <c r="L26" i="7"/>
  <c r="H565" i="7"/>
  <c r="H237" i="7"/>
  <c r="G167" i="7"/>
  <c r="F155" i="7"/>
  <c r="I121" i="7"/>
  <c r="L72" i="7"/>
  <c r="I64" i="7"/>
  <c r="H55" i="7"/>
  <c r="L42" i="7"/>
  <c r="J38" i="7"/>
  <c r="I34" i="7"/>
  <c r="G26" i="7"/>
  <c r="G22" i="7"/>
  <c r="I18" i="7"/>
  <c r="G10" i="7"/>
  <c r="D156" i="6"/>
  <c r="D133" i="6"/>
  <c r="E119" i="6"/>
  <c r="V2901" i="2"/>
  <c r="W2905" i="2" s="1"/>
  <c r="X2898" i="2"/>
  <c r="V2692" i="2"/>
  <c r="V2283" i="2"/>
  <c r="W2287" i="2" s="1"/>
  <c r="V2280" i="2"/>
  <c r="V2220" i="2"/>
  <c r="V2080" i="2"/>
  <c r="X1668" i="2"/>
  <c r="X1665" i="2"/>
  <c r="G277" i="7"/>
  <c r="I260" i="7"/>
  <c r="L228" i="7"/>
  <c r="L220" i="7"/>
  <c r="L166" i="7"/>
  <c r="F101" i="7"/>
  <c r="I72" i="7"/>
  <c r="I42" i="7"/>
  <c r="F34" i="7"/>
  <c r="F18" i="7"/>
  <c r="D44" i="6"/>
  <c r="F423" i="7"/>
  <c r="L301" i="7"/>
  <c r="G293" i="7"/>
  <c r="L269" i="7"/>
  <c r="L243" i="7"/>
  <c r="I228" i="7"/>
  <c r="I185" i="7"/>
  <c r="I166" i="7"/>
  <c r="J105" i="7"/>
  <c r="J91" i="7"/>
  <c r="F76" i="7"/>
  <c r="H72" i="7"/>
  <c r="L63" i="7"/>
  <c r="L59" i="7"/>
  <c r="F46" i="7"/>
  <c r="V2593" i="2"/>
  <c r="V2520" i="2"/>
  <c r="X2387" i="2"/>
  <c r="V2181" i="2"/>
  <c r="V1920" i="2"/>
  <c r="V1868" i="2"/>
  <c r="V1459" i="2"/>
  <c r="W1463" i="2" s="1"/>
  <c r="X1456" i="2"/>
  <c r="X1358" i="2"/>
  <c r="V1050" i="2"/>
  <c r="X638" i="2"/>
  <c r="X533" i="2"/>
  <c r="X428" i="2"/>
  <c r="I641" i="7"/>
  <c r="F608" i="7"/>
  <c r="F586" i="7"/>
  <c r="F541" i="7"/>
  <c r="I465" i="7"/>
  <c r="L359" i="7"/>
  <c r="J301" i="7"/>
  <c r="H228" i="7"/>
  <c r="J204" i="7"/>
  <c r="H185" i="7"/>
  <c r="J172" i="7"/>
  <c r="H166" i="7"/>
  <c r="F160" i="7"/>
  <c r="L136" i="7"/>
  <c r="L125" i="7"/>
  <c r="L115" i="7"/>
  <c r="I105" i="7"/>
  <c r="I91" i="7"/>
  <c r="G72" i="7"/>
  <c r="I63" i="7"/>
  <c r="L21" i="7"/>
  <c r="E182" i="6"/>
  <c r="E128" i="6"/>
  <c r="D79" i="6"/>
  <c r="D30" i="6"/>
  <c r="D20" i="6"/>
  <c r="H641" i="7"/>
  <c r="I204" i="7"/>
  <c r="L178" i="7"/>
  <c r="H172" i="7"/>
  <c r="G166" i="7"/>
  <c r="H141" i="7"/>
  <c r="J125" i="7"/>
  <c r="L120" i="7"/>
  <c r="H91" i="7"/>
  <c r="F72" i="7"/>
  <c r="H63" i="7"/>
  <c r="J59" i="7"/>
  <c r="I17" i="7"/>
  <c r="E195" i="6"/>
  <c r="D168" i="6"/>
  <c r="D128" i="6"/>
  <c r="L250" i="7"/>
  <c r="L219" i="7"/>
  <c r="F204" i="7"/>
  <c r="J178" i="7"/>
  <c r="F172" i="7"/>
  <c r="F166" i="7"/>
  <c r="I153" i="7"/>
  <c r="G141" i="7"/>
  <c r="J136" i="7"/>
  <c r="G125" i="7"/>
  <c r="I115" i="7"/>
  <c r="J95" i="7"/>
  <c r="G91" i="7"/>
  <c r="G63" i="7"/>
  <c r="G59" i="7"/>
  <c r="G41" i="7"/>
  <c r="L160" i="7"/>
  <c r="F141" i="7"/>
  <c r="L124" i="7"/>
  <c r="H64" i="7"/>
  <c r="L38" i="7"/>
  <c r="I33" i="7"/>
  <c r="H27" i="7"/>
  <c r="I16" i="7"/>
  <c r="D169" i="6"/>
  <c r="D85" i="6"/>
  <c r="D8" i="6"/>
  <c r="X2389" i="2"/>
  <c r="V2386" i="2"/>
  <c r="W2390" i="2" s="1"/>
  <c r="V2383" i="2"/>
  <c r="X2282" i="2"/>
  <c r="H283" i="7"/>
  <c r="L85" i="7"/>
  <c r="L71" i="7"/>
  <c r="I38" i="7"/>
  <c r="G27" i="7"/>
  <c r="G16" i="7"/>
  <c r="J10" i="7"/>
  <c r="F244" i="7"/>
  <c r="J124" i="7"/>
  <c r="H108" i="7"/>
  <c r="G100" i="7"/>
  <c r="J21" i="7"/>
  <c r="F16" i="7"/>
  <c r="H10" i="7"/>
  <c r="V2902" i="2"/>
  <c r="V2800" i="2"/>
  <c r="X2285" i="2"/>
  <c r="V2078" i="2"/>
  <c r="X2075" i="2"/>
  <c r="L140" i="7"/>
  <c r="H124" i="7"/>
  <c r="F116" i="7"/>
  <c r="F100" i="7"/>
  <c r="J85" i="7"/>
  <c r="F63" i="7"/>
  <c r="F56" i="7"/>
  <c r="L49" i="7"/>
  <c r="I43" i="7"/>
  <c r="L32" i="7"/>
  <c r="I21" i="7"/>
  <c r="F10" i="7"/>
  <c r="L159" i="7"/>
  <c r="I85" i="7"/>
  <c r="J70" i="7"/>
  <c r="I49" i="7"/>
  <c r="H43" i="7"/>
  <c r="G21" i="7"/>
  <c r="X2595" i="2"/>
  <c r="V2592" i="2"/>
  <c r="W2596" i="2" s="1"/>
  <c r="I202" i="7"/>
  <c r="J140" i="7"/>
  <c r="H85" i="7"/>
  <c r="I70" i="7"/>
  <c r="H49" i="7"/>
  <c r="J26" i="7"/>
  <c r="F21" i="7"/>
  <c r="J15" i="7"/>
  <c r="E147" i="6"/>
  <c r="E51" i="6"/>
  <c r="J233" i="7"/>
  <c r="H202" i="7"/>
  <c r="J177" i="7"/>
  <c r="G148" i="7"/>
  <c r="H140" i="7"/>
  <c r="H115" i="7"/>
  <c r="G85" i="7"/>
  <c r="G49" i="7"/>
  <c r="F26" i="7"/>
  <c r="I15" i="7"/>
  <c r="D183" i="6"/>
  <c r="I377" i="7"/>
  <c r="I233" i="7"/>
  <c r="G115" i="7"/>
  <c r="L99" i="7"/>
  <c r="J76" i="7"/>
  <c r="I55" i="7"/>
  <c r="H15" i="7"/>
  <c r="E65" i="6"/>
  <c r="X2491" i="2"/>
  <c r="G565" i="7"/>
  <c r="L452" i="7"/>
  <c r="I431" i="7"/>
  <c r="F377" i="7"/>
  <c r="L299" i="7"/>
  <c r="L242" i="7"/>
  <c r="G233" i="7"/>
  <c r="F115" i="7"/>
  <c r="H106" i="7"/>
  <c r="J99" i="7"/>
  <c r="I76" i="7"/>
  <c r="J452" i="7"/>
  <c r="I176" i="7"/>
  <c r="L157" i="7"/>
  <c r="G130" i="7"/>
  <c r="I62" i="7"/>
  <c r="J42" i="7"/>
  <c r="E181" i="6"/>
  <c r="E146" i="6"/>
  <c r="B17" i="5"/>
  <c r="C17" i="5" s="1"/>
  <c r="V2898" i="2"/>
  <c r="V2720" i="2"/>
  <c r="X2698" i="2"/>
  <c r="I486" i="7"/>
  <c r="H396" i="7"/>
  <c r="J210" i="7"/>
  <c r="J184" i="7"/>
  <c r="H167" i="7"/>
  <c r="H25" i="7"/>
  <c r="D146" i="6"/>
  <c r="E97" i="6"/>
  <c r="X3006" i="2"/>
  <c r="X3003" i="2"/>
  <c r="X2904" i="2"/>
  <c r="F210" i="7"/>
  <c r="G184" i="7"/>
  <c r="F146" i="7"/>
  <c r="F121" i="7"/>
  <c r="F61" i="7"/>
  <c r="F47" i="7"/>
  <c r="I30" i="7"/>
  <c r="E196" i="6"/>
  <c r="X2591" i="2"/>
  <c r="V2284" i="2"/>
  <c r="X2183" i="2"/>
  <c r="X2180" i="2"/>
  <c r="V2074" i="2"/>
  <c r="V2020" i="2"/>
  <c r="X1770" i="2"/>
  <c r="X1560" i="2"/>
  <c r="X1460" i="2"/>
  <c r="V1457" i="2"/>
  <c r="V1152" i="2"/>
  <c r="X1149" i="2"/>
  <c r="X1050" i="2"/>
  <c r="X947" i="2"/>
  <c r="J240" i="7"/>
  <c r="F184" i="7"/>
  <c r="H75" i="7"/>
  <c r="H30" i="7"/>
  <c r="D196" i="6"/>
  <c r="D127" i="6"/>
  <c r="E15" i="6"/>
  <c r="X2594" i="2"/>
  <c r="V2183" i="2"/>
  <c r="V2180" i="2"/>
  <c r="W2184" i="2" s="1"/>
  <c r="X2177" i="2"/>
  <c r="V1770" i="2"/>
  <c r="X1563" i="2"/>
  <c r="V1560" i="2"/>
  <c r="V1460" i="2"/>
  <c r="X1357" i="2"/>
  <c r="X1354" i="2"/>
  <c r="X1047" i="2"/>
  <c r="V1020" i="2"/>
  <c r="V947" i="2"/>
  <c r="V636" i="2"/>
  <c r="X633" i="2"/>
  <c r="J190" i="7"/>
  <c r="J165" i="7"/>
  <c r="H104" i="7"/>
  <c r="I46" i="7"/>
  <c r="J40" i="7"/>
  <c r="I35" i="7"/>
  <c r="L24" i="7"/>
  <c r="L18" i="7"/>
  <c r="D211" i="6"/>
  <c r="E77" i="6"/>
  <c r="V2820" i="2"/>
  <c r="X1873" i="2"/>
  <c r="X1870" i="2"/>
  <c r="X1666" i="2"/>
  <c r="X1663" i="2"/>
  <c r="V1254" i="2"/>
  <c r="X1251" i="2"/>
  <c r="V1044" i="2"/>
  <c r="V944" i="2"/>
  <c r="W948" i="2" s="1"/>
  <c r="V844" i="2"/>
  <c r="X18" i="2"/>
  <c r="E9" i="2"/>
  <c r="J219" i="7"/>
  <c r="G190" i="7"/>
  <c r="G165" i="7"/>
  <c r="F104" i="7"/>
  <c r="G96" i="7"/>
  <c r="L66" i="7"/>
  <c r="H53" i="7"/>
  <c r="H46" i="7"/>
  <c r="I40" i="7"/>
  <c r="G35" i="7"/>
  <c r="J29" i="7"/>
  <c r="L12" i="7"/>
  <c r="D77" i="6"/>
  <c r="X2490" i="2"/>
  <c r="V2487" i="2"/>
  <c r="X1976" i="2"/>
  <c r="X1973" i="2"/>
  <c r="V1873" i="2"/>
  <c r="V1820" i="2"/>
  <c r="V1666" i="2"/>
  <c r="V1663" i="2"/>
  <c r="X941" i="2"/>
  <c r="I198" i="7"/>
  <c r="H40" i="7"/>
  <c r="I29" i="7"/>
  <c r="J18" i="7"/>
  <c r="D210" i="6"/>
  <c r="E126" i="6"/>
  <c r="E44" i="6"/>
  <c r="X2384" i="2"/>
  <c r="V1976" i="2"/>
  <c r="V941" i="2"/>
  <c r="V841" i="2"/>
  <c r="W845" i="2" s="1"/>
  <c r="V533" i="2"/>
  <c r="V226" i="2"/>
  <c r="V123" i="2"/>
  <c r="X15" i="2"/>
  <c r="H8" i="2"/>
  <c r="I286" i="7"/>
  <c r="H198" i="7"/>
  <c r="I136" i="7"/>
  <c r="H286" i="7"/>
  <c r="G257" i="7"/>
  <c r="F136" i="7"/>
  <c r="I119" i="7"/>
  <c r="L103" i="7"/>
  <c r="I95" i="7"/>
  <c r="J87" i="7"/>
  <c r="I66" i="7"/>
  <c r="F52" i="7"/>
  <c r="J34" i="7"/>
  <c r="L339" i="7"/>
  <c r="F257" i="7"/>
  <c r="L189" i="7"/>
  <c r="J126" i="7"/>
  <c r="H119" i="7"/>
  <c r="G95" i="7"/>
  <c r="G87" i="7"/>
  <c r="H66" i="7"/>
  <c r="F59" i="7"/>
  <c r="L45" i="7"/>
  <c r="H34" i="7"/>
  <c r="H12" i="7"/>
  <c r="E209" i="6"/>
  <c r="E174" i="6"/>
  <c r="E90" i="6"/>
  <c r="B27" i="5"/>
  <c r="C27" i="5" s="1"/>
  <c r="V3005" i="2"/>
  <c r="X2798" i="2"/>
  <c r="V2795" i="2"/>
  <c r="V2286" i="2"/>
  <c r="V2079" i="2"/>
  <c r="X1766" i="2"/>
  <c r="V1720" i="2"/>
  <c r="V1620" i="2"/>
  <c r="V1520" i="2"/>
  <c r="J62" i="7"/>
  <c r="E148" i="6"/>
  <c r="E57" i="6"/>
  <c r="X2693" i="2"/>
  <c r="V2620" i="2"/>
  <c r="V2492" i="2"/>
  <c r="V2389" i="2"/>
  <c r="V2178" i="2"/>
  <c r="X2079" i="2"/>
  <c r="X1868" i="2"/>
  <c r="X1767" i="2"/>
  <c r="X1353" i="2"/>
  <c r="G119" i="7"/>
  <c r="F80" i="7"/>
  <c r="J44" i="7"/>
  <c r="E218" i="6"/>
  <c r="D78" i="6"/>
  <c r="D57" i="6"/>
  <c r="E35" i="6"/>
  <c r="X2902" i="2"/>
  <c r="F119" i="7"/>
  <c r="I44" i="7"/>
  <c r="I36" i="7"/>
  <c r="D147" i="6"/>
  <c r="D100" i="6"/>
  <c r="B21" i="5"/>
  <c r="C21" i="5" s="1"/>
  <c r="V2920" i="2"/>
  <c r="V2799" i="2"/>
  <c r="X2590" i="2"/>
  <c r="X2286" i="2"/>
  <c r="X1871" i="2"/>
  <c r="X1662" i="2"/>
  <c r="V1565" i="2"/>
  <c r="V1047" i="2"/>
  <c r="W1051" i="2" s="1"/>
  <c r="X1044" i="2"/>
  <c r="X122" i="2"/>
  <c r="E9" i="1"/>
  <c r="G61" i="7"/>
  <c r="J28" i="7"/>
  <c r="F20" i="7"/>
  <c r="J12" i="7"/>
  <c r="E169" i="6"/>
  <c r="B12" i="5"/>
  <c r="C12" i="5" s="1"/>
  <c r="X3005" i="2"/>
  <c r="V2590" i="2"/>
  <c r="X2181" i="2"/>
  <c r="V1871" i="2"/>
  <c r="W1875" i="2" s="1"/>
  <c r="V1662" i="2"/>
  <c r="I79" i="7"/>
  <c r="I12" i="7"/>
  <c r="E191" i="6"/>
  <c r="E9" i="6"/>
  <c r="X2593" i="2"/>
  <c r="V1665" i="2"/>
  <c r="W1669" i="2" s="1"/>
  <c r="X1359" i="2"/>
  <c r="V1151" i="2"/>
  <c r="V1148" i="2"/>
  <c r="V1120" i="2"/>
  <c r="H79" i="7"/>
  <c r="E76" i="6"/>
  <c r="D9" i="6"/>
  <c r="X2488" i="2"/>
  <c r="X1874" i="2"/>
  <c r="V1359" i="2"/>
  <c r="X1250" i="2"/>
  <c r="I51" i="7"/>
  <c r="J35" i="7"/>
  <c r="G19" i="7"/>
  <c r="D190" i="6"/>
  <c r="E120" i="6"/>
  <c r="E55" i="6"/>
  <c r="V3001" i="2"/>
  <c r="X2795" i="2"/>
  <c r="X1971" i="2"/>
  <c r="V1874" i="2"/>
  <c r="X1461" i="2"/>
  <c r="G137" i="7"/>
  <c r="F87" i="7"/>
  <c r="F51" i="7"/>
  <c r="F19" i="7"/>
  <c r="D120" i="6"/>
  <c r="X2385" i="2"/>
  <c r="X1253" i="2"/>
  <c r="X945" i="2"/>
  <c r="J275" i="7"/>
  <c r="H210" i="7"/>
  <c r="I126" i="7"/>
  <c r="E28" i="6"/>
  <c r="E8" i="6"/>
  <c r="H275" i="7"/>
  <c r="G210" i="7"/>
  <c r="I179" i="7"/>
  <c r="G34" i="7"/>
  <c r="E211" i="6"/>
  <c r="E188" i="6"/>
  <c r="D163" i="6"/>
  <c r="D93" i="6"/>
  <c r="D28" i="6"/>
  <c r="X2695" i="2"/>
  <c r="V2388" i="2"/>
  <c r="V2177" i="2"/>
  <c r="X1977" i="2"/>
  <c r="V1766" i="2"/>
  <c r="V1668" i="2"/>
  <c r="J461" i="7"/>
  <c r="G275" i="7"/>
  <c r="F95" i="7"/>
  <c r="X2901" i="2"/>
  <c r="V2698" i="2"/>
  <c r="V2695" i="2"/>
  <c r="W2699" i="2" s="1"/>
  <c r="V1977" i="2"/>
  <c r="X1769" i="2"/>
  <c r="L328" i="7"/>
  <c r="I221" i="7"/>
  <c r="H18" i="7"/>
  <c r="E27" i="6"/>
  <c r="V3004" i="2"/>
  <c r="W3008" i="2" s="1"/>
  <c r="V2904" i="2"/>
  <c r="V2285" i="2"/>
  <c r="V1769" i="2"/>
  <c r="X1564" i="2"/>
  <c r="X1355" i="2"/>
  <c r="F328" i="7"/>
  <c r="H135" i="7"/>
  <c r="G25" i="7"/>
  <c r="E184" i="6"/>
  <c r="V2801" i="2"/>
  <c r="X2592" i="2"/>
  <c r="X1664" i="2"/>
  <c r="X1150" i="2"/>
  <c r="X1147" i="2"/>
  <c r="V121" i="2"/>
  <c r="X118" i="2"/>
  <c r="H9" i="2"/>
  <c r="F135" i="7"/>
  <c r="J104" i="7"/>
  <c r="L94" i="7"/>
  <c r="J33" i="7"/>
  <c r="F25" i="7"/>
  <c r="I9" i="7"/>
  <c r="E113" i="6"/>
  <c r="D113" i="6"/>
  <c r="D90" i="6"/>
  <c r="X2281" i="2"/>
  <c r="V1220" i="2"/>
  <c r="X1153" i="2"/>
  <c r="V920" i="2"/>
  <c r="V329" i="2"/>
  <c r="V224" i="2"/>
  <c r="X221" i="2"/>
  <c r="E8" i="2"/>
  <c r="G155" i="7"/>
  <c r="L75" i="7"/>
  <c r="J66" i="7"/>
  <c r="E23" i="6"/>
  <c r="X2797" i="2"/>
  <c r="V2595" i="2"/>
  <c r="V2420" i="2"/>
  <c r="V2384" i="2"/>
  <c r="V2281" i="2"/>
  <c r="V1153" i="2"/>
  <c r="X842" i="2"/>
  <c r="X839" i="2"/>
  <c r="X741" i="2"/>
  <c r="X326" i="2"/>
  <c r="V221" i="2"/>
  <c r="V18" i="2"/>
  <c r="B8" i="2"/>
  <c r="L347" i="7"/>
  <c r="H250" i="7"/>
  <c r="F196" i="7"/>
  <c r="G75" i="7"/>
  <c r="L16" i="7"/>
  <c r="E134" i="6"/>
  <c r="B26" i="5"/>
  <c r="C26" i="5" s="1"/>
  <c r="B7" i="5"/>
  <c r="C7" i="5" s="1"/>
  <c r="X2900" i="2"/>
  <c r="X2077" i="2"/>
  <c r="X2074" i="2"/>
  <c r="X1765" i="2"/>
  <c r="V1420" i="2"/>
  <c r="X1255" i="2"/>
  <c r="X1252" i="2"/>
  <c r="X944" i="2"/>
  <c r="V842" i="2"/>
  <c r="V839" i="2"/>
  <c r="V741" i="2"/>
  <c r="X738" i="2"/>
  <c r="X635" i="2"/>
  <c r="X632" i="2"/>
  <c r="V326" i="2"/>
  <c r="W330" i="2" s="1"/>
  <c r="V15" i="2"/>
  <c r="H7" i="2"/>
  <c r="H412" i="7"/>
  <c r="D65" i="6"/>
  <c r="V2387" i="2"/>
  <c r="V1667" i="2"/>
  <c r="V1255" i="2"/>
  <c r="V738" i="2"/>
  <c r="W742" i="2" s="1"/>
  <c r="V638" i="2"/>
  <c r="V635" i="2"/>
  <c r="W639" i="2" s="1"/>
  <c r="V632" i="2"/>
  <c r="X535" i="2"/>
  <c r="X532" i="2"/>
  <c r="X431" i="2"/>
  <c r="X323" i="2"/>
  <c r="E7" i="2"/>
  <c r="J260" i="7"/>
  <c r="J47" i="7"/>
  <c r="I39" i="7"/>
  <c r="I31" i="7"/>
  <c r="J16" i="7"/>
  <c r="D204" i="6"/>
  <c r="E154" i="6"/>
  <c r="E133" i="6"/>
  <c r="X2697" i="2"/>
  <c r="X2694" i="2"/>
  <c r="X2179" i="2"/>
  <c r="X1869" i="2"/>
  <c r="V1456" i="2"/>
  <c r="X735" i="2"/>
  <c r="V535" i="2"/>
  <c r="V532" i="2"/>
  <c r="W536" i="2" s="1"/>
  <c r="V529" i="2"/>
  <c r="F249" i="7"/>
  <c r="L121" i="7"/>
  <c r="G39" i="7"/>
  <c r="E203" i="6"/>
  <c r="D132" i="6"/>
  <c r="D64" i="6"/>
  <c r="B6" i="5"/>
  <c r="C6" i="5" s="1"/>
  <c r="X1872" i="2"/>
  <c r="V1563" i="2"/>
  <c r="V122" i="2"/>
  <c r="X430" i="2"/>
  <c r="V1150" i="2"/>
  <c r="W1154" i="2" s="1"/>
  <c r="V1869" i="2"/>
  <c r="D154" i="6"/>
  <c r="G15" i="7"/>
  <c r="G55" i="7"/>
  <c r="L143" i="7"/>
  <c r="I143" i="7"/>
  <c r="H143" i="7"/>
  <c r="G143" i="7"/>
  <c r="J143" i="7"/>
  <c r="G15" i="3"/>
  <c r="F15" i="3"/>
  <c r="A15" i="4" s="1"/>
  <c r="C15" i="3"/>
  <c r="K15" i="3" s="1" a="1"/>
  <c r="K15" i="3" s="1"/>
  <c r="D15" i="3"/>
  <c r="A17" i="4" s="1"/>
  <c r="E15" i="3"/>
  <c r="L15" i="3" s="1"/>
  <c r="D5" i="7"/>
  <c r="B34" i="5"/>
  <c r="C34" i="5" s="1"/>
  <c r="E21" i="6"/>
  <c r="F21" i="6"/>
  <c r="F177" i="6"/>
  <c r="F218" i="7"/>
  <c r="I218" i="7"/>
  <c r="H218" i="7"/>
  <c r="L218" i="7"/>
  <c r="J218" i="7"/>
  <c r="G218" i="7"/>
  <c r="B16" i="5"/>
  <c r="C16" i="5" s="1"/>
  <c r="D22" i="6"/>
  <c r="E22" i="6"/>
  <c r="F86" i="6"/>
  <c r="E86" i="6"/>
  <c r="D86" i="6"/>
  <c r="F22" i="6"/>
  <c r="D111" i="6"/>
  <c r="F111" i="6"/>
  <c r="E111" i="6"/>
  <c r="F134" i="6"/>
  <c r="D134" i="6"/>
  <c r="F204" i="6"/>
  <c r="G204" i="6" s="1"/>
  <c r="G66" i="7"/>
  <c r="F65" i="6"/>
  <c r="F205" i="6"/>
  <c r="D205" i="6"/>
  <c r="F9" i="7"/>
  <c r="L9" i="7"/>
  <c r="J9" i="7"/>
  <c r="H9" i="7"/>
  <c r="G9" i="7"/>
  <c r="F23" i="6"/>
  <c r="E69" i="6"/>
  <c r="E205" i="6"/>
  <c r="F9" i="3"/>
  <c r="A27" i="4" s="1"/>
  <c r="C9" i="3"/>
  <c r="K9" i="3" s="1" a="1"/>
  <c r="K9" i="3" s="1"/>
  <c r="E9" i="3"/>
  <c r="L9" i="3" s="1"/>
  <c r="D9" i="3"/>
  <c r="A29" i="4" s="1"/>
  <c r="B8" i="5"/>
  <c r="C8" i="5" s="1"/>
  <c r="E48" i="6"/>
  <c r="D48" i="6"/>
  <c r="D70" i="6"/>
  <c r="E70" i="6"/>
  <c r="F70" i="6"/>
  <c r="F90" i="6"/>
  <c r="F135" i="6"/>
  <c r="E160" i="6"/>
  <c r="F160" i="6"/>
  <c r="D160" i="6"/>
  <c r="L67" i="7"/>
  <c r="F48" i="6"/>
  <c r="F114" i="6"/>
  <c r="D114" i="6"/>
  <c r="F161" i="6"/>
  <c r="E161" i="6"/>
  <c r="D209" i="6"/>
  <c r="C18" i="3"/>
  <c r="K18" i="3" s="1" a="1"/>
  <c r="K18" i="3" s="1"/>
  <c r="B9" i="5"/>
  <c r="C9" i="5" s="1"/>
  <c r="B19" i="5"/>
  <c r="C19" i="5" s="1"/>
  <c r="F97" i="6"/>
  <c r="D188" i="6"/>
  <c r="F188" i="6"/>
  <c r="J147" i="7"/>
  <c r="G147" i="7"/>
  <c r="L147" i="7"/>
  <c r="I147" i="7"/>
  <c r="H147" i="7"/>
  <c r="F147" i="7"/>
  <c r="F140" i="6"/>
  <c r="E140" i="6"/>
  <c r="D140" i="6"/>
  <c r="J11" i="7"/>
  <c r="L11" i="7"/>
  <c r="G11" i="7"/>
  <c r="I11" i="7"/>
  <c r="H11" i="7"/>
  <c r="F18" i="3"/>
  <c r="A9" i="4" s="1"/>
  <c r="E18" i="3"/>
  <c r="L18" i="3" s="1"/>
  <c r="D18" i="3"/>
  <c r="A11" i="4" s="1"/>
  <c r="F189" i="6"/>
  <c r="F180" i="7"/>
  <c r="L180" i="7"/>
  <c r="J180" i="7"/>
  <c r="I180" i="7"/>
  <c r="H180" i="7"/>
  <c r="G180" i="7"/>
  <c r="D97" i="6"/>
  <c r="F212" i="6"/>
  <c r="F11" i="7"/>
  <c r="F29" i="6"/>
  <c r="F76" i="6"/>
  <c r="F171" i="7"/>
  <c r="H171" i="7"/>
  <c r="L171" i="7"/>
  <c r="J171" i="7"/>
  <c r="G171" i="7"/>
  <c r="B30" i="5"/>
  <c r="C30" i="5" s="1"/>
  <c r="E56" i="6"/>
  <c r="D191" i="6"/>
  <c r="F56" i="6"/>
  <c r="E99" i="6"/>
  <c r="F99" i="6"/>
  <c r="D99" i="6"/>
  <c r="F121" i="6"/>
  <c r="E121" i="6"/>
  <c r="D121" i="6"/>
  <c r="F146" i="6"/>
  <c r="F216" i="6"/>
  <c r="I171" i="7"/>
  <c r="F9" i="6"/>
  <c r="F34" i="6"/>
  <c r="E34" i="6"/>
  <c r="D34" i="6"/>
  <c r="F77" i="6"/>
  <c r="G80" i="7"/>
  <c r="J80" i="7"/>
  <c r="I80" i="7"/>
  <c r="H80" i="7"/>
  <c r="L80" i="7"/>
  <c r="F170" i="6"/>
  <c r="E170" i="6"/>
  <c r="D170" i="6"/>
  <c r="F218" i="6"/>
  <c r="D218" i="6"/>
  <c r="G27" i="4"/>
  <c r="B11" i="3"/>
  <c r="B13" i="5"/>
  <c r="C13" i="5" s="1"/>
  <c r="B31" i="5"/>
  <c r="C31" i="5" s="1"/>
  <c r="E13" i="6"/>
  <c r="F13" i="6"/>
  <c r="D13" i="6"/>
  <c r="F51" i="6"/>
  <c r="F6" i="6"/>
  <c r="F183" i="6"/>
  <c r="F133" i="6"/>
  <c r="F83" i="6"/>
  <c r="F16" i="6"/>
  <c r="H13" i="7"/>
  <c r="I13" i="7"/>
  <c r="G13" i="7"/>
  <c r="J13" i="7"/>
  <c r="L13" i="7"/>
  <c r="F13" i="7"/>
  <c r="E36" i="6"/>
  <c r="D36" i="6"/>
  <c r="L37" i="7"/>
  <c r="J37" i="7"/>
  <c r="I37" i="7"/>
  <c r="H37" i="7"/>
  <c r="G37" i="7"/>
  <c r="F37" i="7"/>
  <c r="F57" i="6"/>
  <c r="E125" i="6"/>
  <c r="F125" i="6"/>
  <c r="D125" i="6"/>
  <c r="M268" i="7"/>
  <c r="M265" i="7" s="1"/>
  <c r="D265" i="7"/>
  <c r="L258" i="7"/>
  <c r="F91" i="6"/>
  <c r="E91" i="6"/>
  <c r="D91" i="6"/>
  <c r="F107" i="6"/>
  <c r="F156" i="6"/>
  <c r="F14" i="6"/>
  <c r="E14" i="6"/>
  <c r="D14" i="6"/>
  <c r="D29" i="6"/>
  <c r="F44" i="6"/>
  <c r="F126" i="6"/>
  <c r="H82" i="7"/>
  <c r="J82" i="7"/>
  <c r="I82" i="7"/>
  <c r="G82" i="7"/>
  <c r="F82" i="7"/>
  <c r="E29" i="6"/>
  <c r="E93" i="6"/>
  <c r="B35" i="5"/>
  <c r="C35" i="5" s="1"/>
  <c r="F63" i="6"/>
  <c r="E63" i="6"/>
  <c r="D63" i="6"/>
  <c r="F93" i="6"/>
  <c r="E142" i="6"/>
  <c r="E177" i="6"/>
  <c r="F211" i="6"/>
  <c r="I19" i="7"/>
  <c r="L19" i="7"/>
  <c r="J19" i="7"/>
  <c r="H19" i="7"/>
  <c r="J25" i="7"/>
  <c r="L25" i="7"/>
  <c r="I25" i="7"/>
  <c r="L41" i="7"/>
  <c r="J54" i="7"/>
  <c r="L54" i="7"/>
  <c r="I54" i="7"/>
  <c r="H54" i="7"/>
  <c r="C57" i="7"/>
  <c r="L90" i="7"/>
  <c r="J90" i="7"/>
  <c r="I90" i="7"/>
  <c r="H90" i="7"/>
  <c r="G90" i="7"/>
  <c r="F90" i="7"/>
  <c r="D28" i="4"/>
  <c r="B29" i="5"/>
  <c r="C29" i="5" s="1"/>
  <c r="F78" i="6"/>
  <c r="E78" i="6"/>
  <c r="F127" i="6"/>
  <c r="F142" i="6"/>
  <c r="H14" i="7"/>
  <c r="L14" i="7"/>
  <c r="J14" i="7"/>
  <c r="F14" i="7"/>
  <c r="G14" i="7"/>
  <c r="F35" i="6"/>
  <c r="E49" i="6"/>
  <c r="F49" i="6"/>
  <c r="F79" i="6"/>
  <c r="F113" i="6"/>
  <c r="F162" i="6"/>
  <c r="D181" i="6"/>
  <c r="F181" i="6"/>
  <c r="F106" i="7"/>
  <c r="L106" i="7"/>
  <c r="J106" i="7"/>
  <c r="I106" i="7"/>
  <c r="G106" i="7"/>
  <c r="D35" i="6"/>
  <c r="D49" i="6"/>
  <c r="F163" i="6"/>
  <c r="E163" i="6"/>
  <c r="E216" i="6"/>
  <c r="D109" i="7"/>
  <c r="M115" i="7"/>
  <c r="C109" i="7" s="1"/>
  <c r="F131" i="7"/>
  <c r="J131" i="7"/>
  <c r="I131" i="7"/>
  <c r="H131" i="7"/>
  <c r="G131" i="7"/>
  <c r="F98" i="6"/>
  <c r="E98" i="6"/>
  <c r="D98" i="6"/>
  <c r="F147" i="6"/>
  <c r="E183" i="6"/>
  <c r="H92" i="7"/>
  <c r="L92" i="7"/>
  <c r="G92" i="7"/>
  <c r="J92" i="7"/>
  <c r="I92" i="7"/>
  <c r="D167" i="6"/>
  <c r="D217" i="6"/>
  <c r="E217" i="6"/>
  <c r="H77" i="7"/>
  <c r="J77" i="7"/>
  <c r="G77" i="7"/>
  <c r="F77" i="7"/>
  <c r="I77" i="7"/>
  <c r="L77" i="7"/>
  <c r="E167" i="6"/>
  <c r="D202" i="6"/>
  <c r="F217" i="6"/>
  <c r="F92" i="7"/>
  <c r="I100" i="7"/>
  <c r="J100" i="7"/>
  <c r="L100" i="7"/>
  <c r="H100" i="7"/>
  <c r="L131" i="7"/>
  <c r="L186" i="7"/>
  <c r="H186" i="7"/>
  <c r="I186" i="7"/>
  <c r="G186" i="7"/>
  <c r="F186" i="7"/>
  <c r="D84" i="6"/>
  <c r="D148" i="6"/>
  <c r="F148" i="6"/>
  <c r="F167" i="6"/>
  <c r="H178" i="7"/>
  <c r="J186" i="7"/>
  <c r="F7" i="6"/>
  <c r="F128" i="6"/>
  <c r="F28" i="6"/>
  <c r="F50" i="6"/>
  <c r="F202" i="6"/>
  <c r="F62" i="6"/>
  <c r="F85" i="6"/>
  <c r="F196" i="6"/>
  <c r="F8" i="6"/>
  <c r="F182" i="6"/>
  <c r="F195" i="6"/>
  <c r="F168" i="6"/>
  <c r="E7" i="6"/>
  <c r="F154" i="6"/>
  <c r="F104" i="6"/>
  <c r="G104" i="6" s="1"/>
  <c r="D7" i="6"/>
  <c r="F69" i="6"/>
  <c r="F84" i="6"/>
  <c r="F100" i="6"/>
  <c r="F118" i="6"/>
  <c r="E149" i="6"/>
  <c r="F149" i="6"/>
  <c r="D149" i="6"/>
  <c r="F184" i="6"/>
  <c r="I313" i="7"/>
  <c r="F313" i="7"/>
  <c r="L313" i="7"/>
  <c r="J313" i="7"/>
  <c r="H313" i="7"/>
  <c r="G313" i="7"/>
  <c r="L50" i="7"/>
  <c r="J50" i="7"/>
  <c r="H50" i="7"/>
  <c r="I50" i="7"/>
  <c r="G50" i="7"/>
  <c r="F50" i="7"/>
  <c r="F226" i="7"/>
  <c r="L226" i="7"/>
  <c r="I226" i="7"/>
  <c r="H226" i="7"/>
  <c r="D23" i="6"/>
  <c r="F55" i="6"/>
  <c r="F120" i="6"/>
  <c r="H81" i="7"/>
  <c r="G81" i="7"/>
  <c r="F81" i="7"/>
  <c r="F111" i="7"/>
  <c r="I111" i="7"/>
  <c r="H111" i="7"/>
  <c r="G111" i="7"/>
  <c r="J160" i="7"/>
  <c r="I160" i="7"/>
  <c r="H160" i="7"/>
  <c r="F16" i="3"/>
  <c r="D15" i="4" s="1"/>
  <c r="E20" i="6"/>
  <c r="E30" i="6"/>
  <c r="F43" i="6"/>
  <c r="E43" i="6"/>
  <c r="D43" i="6"/>
  <c r="D182" i="6"/>
  <c r="L46" i="7"/>
  <c r="L76" i="7"/>
  <c r="G76" i="7"/>
  <c r="H293" i="7"/>
  <c r="F293" i="7"/>
  <c r="J293" i="7"/>
  <c r="B24" i="5"/>
  <c r="C24" i="5" s="1"/>
  <c r="F219" i="6"/>
  <c r="E219" i="6"/>
  <c r="H68" i="7"/>
  <c r="L68" i="7"/>
  <c r="F68" i="7"/>
  <c r="I68" i="7"/>
  <c r="G68" i="7"/>
  <c r="I81" i="7"/>
  <c r="H96" i="7"/>
  <c r="I96" i="7"/>
  <c r="J96" i="7"/>
  <c r="J111" i="7"/>
  <c r="L198" i="7"/>
  <c r="F198" i="7"/>
  <c r="M423" i="7"/>
  <c r="D421" i="7"/>
  <c r="B10" i="5"/>
  <c r="C10" i="5" s="1"/>
  <c r="B15" i="5"/>
  <c r="C15" i="5" s="1"/>
  <c r="F20" i="6"/>
  <c r="F30" i="6"/>
  <c r="D56" i="6"/>
  <c r="D69" i="6"/>
  <c r="E79" i="6"/>
  <c r="F92" i="6"/>
  <c r="E92" i="6"/>
  <c r="E118" i="6"/>
  <c r="D142" i="6"/>
  <c r="E155" i="6"/>
  <c r="D155" i="6"/>
  <c r="D219" i="6"/>
  <c r="G30" i="7"/>
  <c r="F30" i="7"/>
  <c r="J81" i="7"/>
  <c r="L87" i="7"/>
  <c r="H87" i="7"/>
  <c r="H126" i="7"/>
  <c r="G126" i="7"/>
  <c r="F126" i="7"/>
  <c r="L126" i="7"/>
  <c r="J154" i="7"/>
  <c r="I154" i="7"/>
  <c r="L154" i="7"/>
  <c r="H154" i="7"/>
  <c r="G154" i="7"/>
  <c r="F154" i="7"/>
  <c r="G160" i="7"/>
  <c r="D92" i="6"/>
  <c r="D118" i="6"/>
  <c r="F132" i="6"/>
  <c r="E132" i="6"/>
  <c r="F155" i="6"/>
  <c r="F169" i="6"/>
  <c r="C5" i="7"/>
  <c r="B5" i="7"/>
  <c r="L22" i="7"/>
  <c r="I22" i="7"/>
  <c r="I26" i="7"/>
  <c r="H26" i="7"/>
  <c r="G46" i="7"/>
  <c r="F64" i="7"/>
  <c r="J68" i="7"/>
  <c r="H76" i="7"/>
  <c r="L81" i="7"/>
  <c r="F96" i="7"/>
  <c r="L111" i="7"/>
  <c r="H137" i="7"/>
  <c r="J137" i="7"/>
  <c r="F137" i="7"/>
  <c r="G198" i="7"/>
  <c r="H244" i="7"/>
  <c r="L244" i="7"/>
  <c r="I244" i="7"/>
  <c r="G244" i="7"/>
  <c r="J244" i="7"/>
  <c r="I293" i="7"/>
  <c r="L371" i="7"/>
  <c r="J371" i="7"/>
  <c r="I371" i="7"/>
  <c r="F371" i="7"/>
  <c r="H371" i="7"/>
  <c r="G371" i="7"/>
  <c r="J30" i="7"/>
  <c r="J46" i="7"/>
  <c r="G69" i="7"/>
  <c r="I87" i="7"/>
  <c r="L96" i="7"/>
  <c r="H117" i="7"/>
  <c r="G117" i="7"/>
  <c r="F117" i="7"/>
  <c r="L117" i="7"/>
  <c r="I137" i="7"/>
  <c r="J198" i="7"/>
  <c r="J97" i="7"/>
  <c r="L97" i="7"/>
  <c r="G97" i="7"/>
  <c r="I97" i="7"/>
  <c r="H97" i="7"/>
  <c r="F97" i="7"/>
  <c r="F181" i="7"/>
  <c r="I181" i="7"/>
  <c r="H181" i="7"/>
  <c r="J402" i="7"/>
  <c r="G402" i="7"/>
  <c r="F402" i="7"/>
  <c r="L402" i="7"/>
  <c r="I402" i="7"/>
  <c r="H402" i="7"/>
  <c r="I138" i="7"/>
  <c r="J138" i="7"/>
  <c r="H138" i="7"/>
  <c r="G138" i="7"/>
  <c r="F138" i="7"/>
  <c r="M323" i="7"/>
  <c r="C317" i="7" s="1"/>
  <c r="D317" i="7"/>
  <c r="F27" i="7"/>
  <c r="F31" i="7"/>
  <c r="H31" i="7"/>
  <c r="G31" i="7"/>
  <c r="J31" i="7"/>
  <c r="H56" i="7"/>
  <c r="I56" i="7"/>
  <c r="L56" i="7"/>
  <c r="J56" i="7"/>
  <c r="G56" i="7"/>
  <c r="J61" i="7"/>
  <c r="H61" i="7"/>
  <c r="L144" i="7"/>
  <c r="H144" i="7"/>
  <c r="G144" i="7"/>
  <c r="J144" i="7"/>
  <c r="G181" i="7"/>
  <c r="J262" i="7"/>
  <c r="H262" i="7"/>
  <c r="I262" i="7"/>
  <c r="G262" i="7"/>
  <c r="L262" i="7"/>
  <c r="F262" i="7"/>
  <c r="J52" i="7"/>
  <c r="L52" i="7"/>
  <c r="I52" i="7"/>
  <c r="J93" i="7"/>
  <c r="L93" i="7"/>
  <c r="G93" i="7"/>
  <c r="F93" i="7"/>
  <c r="L138" i="7"/>
  <c r="J255" i="7"/>
  <c r="G255" i="7"/>
  <c r="L255" i="7"/>
  <c r="H255" i="7"/>
  <c r="G194" i="7"/>
  <c r="L194" i="7"/>
  <c r="I194" i="7"/>
  <c r="L522" i="7"/>
  <c r="J522" i="7"/>
  <c r="I522" i="7"/>
  <c r="H522" i="7"/>
  <c r="G522" i="7"/>
  <c r="F522" i="7"/>
  <c r="H113" i="7"/>
  <c r="H123" i="7"/>
  <c r="G123" i="7"/>
  <c r="F123" i="7"/>
  <c r="L123" i="7"/>
  <c r="J123" i="7"/>
  <c r="L163" i="7"/>
  <c r="J163" i="7"/>
  <c r="G163" i="7"/>
  <c r="I163" i="7"/>
  <c r="H163" i="7"/>
  <c r="F163" i="7"/>
  <c r="I175" i="7"/>
  <c r="J175" i="7"/>
  <c r="H175" i="7"/>
  <c r="G175" i="7"/>
  <c r="F175" i="7"/>
  <c r="L175" i="7"/>
  <c r="G52" i="7"/>
  <c r="J84" i="7"/>
  <c r="I84" i="7"/>
  <c r="F84" i="7"/>
  <c r="L84" i="7"/>
  <c r="F194" i="7"/>
  <c r="H216" i="7"/>
  <c r="J216" i="7"/>
  <c r="L216" i="7"/>
  <c r="G216" i="7"/>
  <c r="I216" i="7"/>
  <c r="F216" i="7"/>
  <c r="L232" i="7"/>
  <c r="I232" i="7"/>
  <c r="H232" i="7"/>
  <c r="F232" i="7"/>
  <c r="I255" i="7"/>
  <c r="E12" i="3"/>
  <c r="L12" i="3" s="1"/>
  <c r="E62" i="6"/>
  <c r="D62" i="6"/>
  <c r="F175" i="6"/>
  <c r="D175" i="6"/>
  <c r="H28" i="7"/>
  <c r="L28" i="7"/>
  <c r="G32" i="7"/>
  <c r="F32" i="7"/>
  <c r="H52" i="7"/>
  <c r="L70" i="7"/>
  <c r="G103" i="7"/>
  <c r="J103" i="7"/>
  <c r="F103" i="7"/>
  <c r="I123" i="7"/>
  <c r="H145" i="7"/>
  <c r="G145" i="7"/>
  <c r="L145" i="7"/>
  <c r="I145" i="7"/>
  <c r="H194" i="7"/>
  <c r="M216" i="7"/>
  <c r="C213" i="7" s="1"/>
  <c r="D213" i="7"/>
  <c r="D27" i="6"/>
  <c r="F37" i="6"/>
  <c r="L44" i="7"/>
  <c r="G44" i="7"/>
  <c r="G84" i="7"/>
  <c r="G134" i="7"/>
  <c r="H134" i="7"/>
  <c r="J134" i="7"/>
  <c r="I134" i="7"/>
  <c r="F134" i="7"/>
  <c r="I157" i="7"/>
  <c r="H157" i="7"/>
  <c r="J157" i="7"/>
  <c r="J189" i="7"/>
  <c r="G189" i="7"/>
  <c r="F189" i="7"/>
  <c r="L40" i="7"/>
  <c r="G40" i="7"/>
  <c r="D57" i="7"/>
  <c r="H84" i="7"/>
  <c r="H176" i="7"/>
  <c r="L176" i="7"/>
  <c r="G176" i="7"/>
  <c r="J176" i="7"/>
  <c r="F27" i="6"/>
  <c r="E37" i="6"/>
  <c r="E176" i="6"/>
  <c r="D176" i="6"/>
  <c r="F203" i="6"/>
  <c r="D216" i="6"/>
  <c r="L8" i="7"/>
  <c r="J8" i="7"/>
  <c r="G8" i="7"/>
  <c r="H8" i="7"/>
  <c r="G28" i="7"/>
  <c r="I32" i="7"/>
  <c r="F44" i="7"/>
  <c r="F66" i="7"/>
  <c r="G70" i="7"/>
  <c r="F85" i="7"/>
  <c r="I103" i="7"/>
  <c r="G108" i="7"/>
  <c r="F108" i="7"/>
  <c r="L108" i="7"/>
  <c r="J108" i="7"/>
  <c r="I108" i="7"/>
  <c r="L134" i="7"/>
  <c r="I140" i="7"/>
  <c r="G140" i="7"/>
  <c r="F140" i="7"/>
  <c r="J145" i="7"/>
  <c r="F157" i="7"/>
  <c r="L170" i="7"/>
  <c r="J170" i="7"/>
  <c r="I170" i="7"/>
  <c r="H170" i="7"/>
  <c r="G170" i="7"/>
  <c r="F170" i="7"/>
  <c r="H189" i="7"/>
  <c r="F195" i="7"/>
  <c r="J195" i="7"/>
  <c r="I195" i="7"/>
  <c r="H195" i="7"/>
  <c r="G195" i="7"/>
  <c r="L195" i="7"/>
  <c r="J337" i="7"/>
  <c r="I337" i="7"/>
  <c r="H337" i="7"/>
  <c r="G337" i="7"/>
  <c r="F337" i="7"/>
  <c r="L337" i="7"/>
  <c r="F15" i="6"/>
  <c r="F176" i="6"/>
  <c r="F190" i="6"/>
  <c r="E190" i="6"/>
  <c r="D203" i="6"/>
  <c r="I28" i="7"/>
  <c r="J32" i="7"/>
  <c r="F40" i="7"/>
  <c r="H44" i="7"/>
  <c r="H70" i="7"/>
  <c r="L135" i="7"/>
  <c r="J135" i="7"/>
  <c r="G135" i="7"/>
  <c r="I135" i="7"/>
  <c r="G157" i="7"/>
  <c r="F176" i="7"/>
  <c r="I189" i="7"/>
  <c r="L209" i="7"/>
  <c r="J209" i="7"/>
  <c r="I209" i="7"/>
  <c r="H209" i="7"/>
  <c r="F209" i="7"/>
  <c r="G209" i="7"/>
  <c r="D51" i="6"/>
  <c r="F112" i="6"/>
  <c r="E112" i="6"/>
  <c r="E135" i="6"/>
  <c r="H29" i="7"/>
  <c r="G29" i="7"/>
  <c r="L29" i="7"/>
  <c r="H33" i="7"/>
  <c r="G33" i="7"/>
  <c r="F33" i="7"/>
  <c r="F73" i="7"/>
  <c r="H95" i="7"/>
  <c r="L95" i="7"/>
  <c r="J107" i="7"/>
  <c r="G107" i="7"/>
  <c r="H107" i="7"/>
  <c r="F107" i="7"/>
  <c r="J185" i="7"/>
  <c r="L185" i="7"/>
  <c r="G185" i="7"/>
  <c r="F185" i="7"/>
  <c r="J314" i="7"/>
  <c r="I314" i="7"/>
  <c r="L314" i="7"/>
  <c r="H314" i="7"/>
  <c r="G314" i="7"/>
  <c r="F314" i="7"/>
  <c r="D369" i="7"/>
  <c r="M371" i="7"/>
  <c r="M369" i="7" s="1"/>
  <c r="J228" i="7"/>
  <c r="F228" i="7"/>
  <c r="F301" i="7"/>
  <c r="H301" i="7"/>
  <c r="G301" i="7"/>
  <c r="I301" i="7"/>
  <c r="G228" i="7"/>
  <c r="F546" i="7"/>
  <c r="J246" i="7"/>
  <c r="I246" i="7"/>
  <c r="I251" i="7"/>
  <c r="H251" i="7"/>
  <c r="L251" i="7"/>
  <c r="J251" i="7"/>
  <c r="G251" i="7"/>
  <c r="H296" i="7"/>
  <c r="G296" i="7"/>
  <c r="F296" i="7"/>
  <c r="J296" i="7"/>
  <c r="H324" i="7"/>
  <c r="F324" i="7"/>
  <c r="L324" i="7"/>
  <c r="J324" i="7"/>
  <c r="G324" i="7"/>
  <c r="I324" i="7"/>
  <c r="G711" i="7"/>
  <c r="J711" i="7"/>
  <c r="I711" i="7"/>
  <c r="H711" i="7"/>
  <c r="L711" i="7"/>
  <c r="F711" i="7"/>
  <c r="I148" i="7"/>
  <c r="H148" i="7"/>
  <c r="F148" i="7"/>
  <c r="D161" i="7"/>
  <c r="M163" i="7"/>
  <c r="H191" i="7"/>
  <c r="L191" i="7"/>
  <c r="J191" i="7"/>
  <c r="I191" i="7"/>
  <c r="G191" i="7"/>
  <c r="F191" i="7"/>
  <c r="L240" i="7"/>
  <c r="G240" i="7"/>
  <c r="F240" i="7"/>
  <c r="I240" i="7"/>
  <c r="H240" i="7"/>
  <c r="F246" i="7"/>
  <c r="F251" i="7"/>
  <c r="H284" i="7"/>
  <c r="I284" i="7"/>
  <c r="L332" i="7"/>
  <c r="J332" i="7"/>
  <c r="I332" i="7"/>
  <c r="G332" i="7"/>
  <c r="H332" i="7"/>
  <c r="F332" i="7"/>
  <c r="H229" i="7"/>
  <c r="G229" i="7"/>
  <c r="L229" i="7"/>
  <c r="J229" i="7"/>
  <c r="G246" i="7"/>
  <c r="J79" i="7"/>
  <c r="J148" i="7"/>
  <c r="L192" i="7"/>
  <c r="I211" i="7"/>
  <c r="F211" i="7"/>
  <c r="H211" i="7"/>
  <c r="L211" i="7"/>
  <c r="J211" i="7"/>
  <c r="G211" i="7"/>
  <c r="F229" i="7"/>
  <c r="F253" i="7"/>
  <c r="J253" i="7"/>
  <c r="H253" i="7"/>
  <c r="G284" i="7"/>
  <c r="J297" i="7"/>
  <c r="I297" i="7"/>
  <c r="H297" i="7"/>
  <c r="G297" i="7"/>
  <c r="F297" i="7"/>
  <c r="I418" i="7"/>
  <c r="G418" i="7"/>
  <c r="F418" i="7"/>
  <c r="L418" i="7"/>
  <c r="J418" i="7"/>
  <c r="H418" i="7"/>
  <c r="J241" i="7"/>
  <c r="G241" i="7"/>
  <c r="L241" i="7"/>
  <c r="I241" i="7"/>
  <c r="H241" i="7"/>
  <c r="F241" i="7"/>
  <c r="L246" i="7"/>
  <c r="J259" i="7"/>
  <c r="G259" i="7"/>
  <c r="F259" i="7"/>
  <c r="L259" i="7"/>
  <c r="I259" i="7"/>
  <c r="H259" i="7"/>
  <c r="L212" i="7"/>
  <c r="J212" i="7"/>
  <c r="G212" i="7"/>
  <c r="I212" i="7"/>
  <c r="L224" i="7"/>
  <c r="I224" i="7"/>
  <c r="G224" i="7"/>
  <c r="F224" i="7"/>
  <c r="L284" i="7"/>
  <c r="L297" i="7"/>
  <c r="L149" i="7"/>
  <c r="I149" i="7"/>
  <c r="H149" i="7"/>
  <c r="G149" i="7"/>
  <c r="F149" i="7"/>
  <c r="F207" i="7"/>
  <c r="L207" i="7"/>
  <c r="J207" i="7"/>
  <c r="G242" i="7"/>
  <c r="F242" i="7"/>
  <c r="F273" i="7"/>
  <c r="H273" i="7"/>
  <c r="G273" i="7"/>
  <c r="I273" i="7"/>
  <c r="F529" i="7"/>
  <c r="L260" i="7"/>
  <c r="H291" i="7"/>
  <c r="G291" i="7"/>
  <c r="L291" i="7"/>
  <c r="I291" i="7"/>
  <c r="F291" i="7"/>
  <c r="H298" i="7"/>
  <c r="L298" i="7"/>
  <c r="I298" i="7"/>
  <c r="I342" i="7"/>
  <c r="J342" i="7"/>
  <c r="F342" i="7"/>
  <c r="L342" i="7"/>
  <c r="G342" i="7"/>
  <c r="H350" i="7"/>
  <c r="G350" i="7"/>
  <c r="F350" i="7"/>
  <c r="L350" i="7"/>
  <c r="I350" i="7"/>
  <c r="J350" i="7"/>
  <c r="H366" i="7"/>
  <c r="F366" i="7"/>
  <c r="J366" i="7"/>
  <c r="L366" i="7"/>
  <c r="I366" i="7"/>
  <c r="G366" i="7"/>
  <c r="L183" i="7"/>
  <c r="J183" i="7"/>
  <c r="I183" i="7"/>
  <c r="F183" i="7"/>
  <c r="H183" i="7"/>
  <c r="G183" i="7"/>
  <c r="I188" i="7"/>
  <c r="L188" i="7"/>
  <c r="J188" i="7"/>
  <c r="F219" i="7"/>
  <c r="I219" i="7"/>
  <c r="H242" i="7"/>
  <c r="J273" i="7"/>
  <c r="F449" i="7"/>
  <c r="L43" i="7"/>
  <c r="L51" i="7"/>
  <c r="H51" i="7"/>
  <c r="M57" i="7"/>
  <c r="L79" i="7"/>
  <c r="F165" i="7"/>
  <c r="I165" i="7"/>
  <c r="H165" i="7"/>
  <c r="L165" i="7"/>
  <c r="G178" i="7"/>
  <c r="H207" i="7"/>
  <c r="I242" i="7"/>
  <c r="I248" i="7"/>
  <c r="H248" i="7"/>
  <c r="L248" i="7"/>
  <c r="J248" i="7"/>
  <c r="F260" i="7"/>
  <c r="L273" i="7"/>
  <c r="J291" i="7"/>
  <c r="F298" i="7"/>
  <c r="H312" i="7"/>
  <c r="F312" i="7"/>
  <c r="L312" i="7"/>
  <c r="I312" i="7"/>
  <c r="J312" i="7"/>
  <c r="H342" i="7"/>
  <c r="H16" i="7"/>
  <c r="L47" i="7"/>
  <c r="G47" i="7"/>
  <c r="H89" i="7"/>
  <c r="J89" i="7"/>
  <c r="L89" i="7"/>
  <c r="H150" i="7"/>
  <c r="F150" i="7"/>
  <c r="L150" i="7"/>
  <c r="F188" i="7"/>
  <c r="I207" i="7"/>
  <c r="G219" i="7"/>
  <c r="J242" i="7"/>
  <c r="G260" i="7"/>
  <c r="G298" i="7"/>
  <c r="G188" i="7"/>
  <c r="F193" i="7"/>
  <c r="I193" i="7"/>
  <c r="H193" i="7"/>
  <c r="G193" i="7"/>
  <c r="H219" i="7"/>
  <c r="I225" i="7"/>
  <c r="J225" i="7"/>
  <c r="L225" i="7"/>
  <c r="H225" i="7"/>
  <c r="G225" i="7"/>
  <c r="F225" i="7"/>
  <c r="G268" i="7"/>
  <c r="F268" i="7"/>
  <c r="L268" i="7"/>
  <c r="J268" i="7"/>
  <c r="H268" i="7"/>
  <c r="L396" i="7"/>
  <c r="J396" i="7"/>
  <c r="I396" i="7"/>
  <c r="F396" i="7"/>
  <c r="L598" i="7"/>
  <c r="G598" i="7"/>
  <c r="J598" i="7"/>
  <c r="I598" i="7"/>
  <c r="H598" i="7"/>
  <c r="F598" i="7"/>
  <c r="H658" i="7"/>
  <c r="L658" i="7"/>
  <c r="J658" i="7"/>
  <c r="G658" i="7"/>
  <c r="I658" i="7"/>
  <c r="J588" i="7"/>
  <c r="I588" i="7"/>
  <c r="H588" i="7"/>
  <c r="L588" i="7"/>
  <c r="G588" i="7"/>
  <c r="F588" i="7"/>
  <c r="L968" i="7"/>
  <c r="J968" i="7"/>
  <c r="H968" i="7"/>
  <c r="G968" i="7"/>
  <c r="I968" i="7"/>
  <c r="F968" i="7"/>
  <c r="G396" i="7"/>
  <c r="F658" i="7"/>
  <c r="G813" i="7"/>
  <c r="I86" i="7"/>
  <c r="J86" i="7"/>
  <c r="G86" i="7"/>
  <c r="I243" i="7"/>
  <c r="H243" i="7"/>
  <c r="G243" i="7"/>
  <c r="I310" i="7"/>
  <c r="L310" i="7"/>
  <c r="J310" i="7"/>
  <c r="F310" i="7"/>
  <c r="H338" i="7"/>
  <c r="F338" i="7"/>
  <c r="J338" i="7"/>
  <c r="I338" i="7"/>
  <c r="H354" i="7"/>
  <c r="G354" i="7"/>
  <c r="L354" i="7"/>
  <c r="J354" i="7"/>
  <c r="J404" i="7"/>
  <c r="G404" i="7"/>
  <c r="F404" i="7"/>
  <c r="I487" i="7"/>
  <c r="J487" i="7"/>
  <c r="H487" i="7"/>
  <c r="F487" i="7"/>
  <c r="L487" i="7"/>
  <c r="G487" i="7"/>
  <c r="I540" i="7"/>
  <c r="G540" i="7"/>
  <c r="F540" i="7"/>
  <c r="L540" i="7"/>
  <c r="J540" i="7"/>
  <c r="H98" i="7"/>
  <c r="F105" i="7"/>
  <c r="H120" i="7"/>
  <c r="G120" i="7"/>
  <c r="F120" i="7"/>
  <c r="F179" i="7"/>
  <c r="L179" i="7"/>
  <c r="J179" i="7"/>
  <c r="L286" i="7"/>
  <c r="J286" i="7"/>
  <c r="J300" i="7"/>
  <c r="L300" i="7"/>
  <c r="I703" i="7"/>
  <c r="H703" i="7"/>
  <c r="G703" i="7"/>
  <c r="F703" i="7"/>
  <c r="J703" i="7"/>
  <c r="F119" i="6"/>
  <c r="F141" i="6"/>
  <c r="E141" i="6"/>
  <c r="D141" i="6"/>
  <c r="J49" i="7"/>
  <c r="F86" i="7"/>
  <c r="F113" i="7"/>
  <c r="I164" i="7"/>
  <c r="H164" i="7"/>
  <c r="F243" i="7"/>
  <c r="G310" i="7"/>
  <c r="G338" i="7"/>
  <c r="F354" i="7"/>
  <c r="H404" i="7"/>
  <c r="H540" i="7"/>
  <c r="F559" i="7"/>
  <c r="L559" i="7"/>
  <c r="I559" i="7"/>
  <c r="H559" i="7"/>
  <c r="G559" i="7"/>
  <c r="D17" i="3"/>
  <c r="G17" i="4" s="1"/>
  <c r="B17" i="3"/>
  <c r="F72" i="6"/>
  <c r="F210" i="6"/>
  <c r="D50" i="6"/>
  <c r="D119" i="6"/>
  <c r="I10" i="7"/>
  <c r="F17" i="7"/>
  <c r="L17" i="7"/>
  <c r="J17" i="7"/>
  <c r="G17" i="7"/>
  <c r="J53" i="7"/>
  <c r="I53" i="7"/>
  <c r="L53" i="7"/>
  <c r="F71" i="7"/>
  <c r="G71" i="7"/>
  <c r="J71" i="7"/>
  <c r="I71" i="7"/>
  <c r="H71" i="7"/>
  <c r="H86" i="7"/>
  <c r="F98" i="7"/>
  <c r="G105" i="7"/>
  <c r="G113" i="7"/>
  <c r="I120" i="7"/>
  <c r="J151" i="7"/>
  <c r="I151" i="7"/>
  <c r="G151" i="7"/>
  <c r="J155" i="7"/>
  <c r="G179" i="7"/>
  <c r="H230" i="7"/>
  <c r="L230" i="7"/>
  <c r="J230" i="7"/>
  <c r="F230" i="7"/>
  <c r="J243" i="7"/>
  <c r="F272" i="7"/>
  <c r="H272" i="7"/>
  <c r="L272" i="7"/>
  <c r="J272" i="7"/>
  <c r="F286" i="7"/>
  <c r="F300" i="7"/>
  <c r="H310" i="7"/>
  <c r="H333" i="7"/>
  <c r="F333" i="7"/>
  <c r="L338" i="7"/>
  <c r="I354" i="7"/>
  <c r="I404" i="7"/>
  <c r="L512" i="7"/>
  <c r="J512" i="7"/>
  <c r="I512" i="7"/>
  <c r="H512" i="7"/>
  <c r="G512" i="7"/>
  <c r="L703" i="7"/>
  <c r="L86" i="7"/>
  <c r="G172" i="7"/>
  <c r="H204" i="7"/>
  <c r="L204" i="7"/>
  <c r="F208" i="7"/>
  <c r="L235" i="7"/>
  <c r="J235" i="7"/>
  <c r="L257" i="7"/>
  <c r="H257" i="7"/>
  <c r="J267" i="7"/>
  <c r="G267" i="7"/>
  <c r="L267" i="7"/>
  <c r="I267" i="7"/>
  <c r="H267" i="7"/>
  <c r="F267" i="7"/>
  <c r="J277" i="7"/>
  <c r="H277" i="7"/>
  <c r="J295" i="7"/>
  <c r="G295" i="7"/>
  <c r="L295" i="7"/>
  <c r="I295" i="7"/>
  <c r="H295" i="7"/>
  <c r="F295" i="7"/>
  <c r="H379" i="7"/>
  <c r="G379" i="7"/>
  <c r="F379" i="7"/>
  <c r="L379" i="7"/>
  <c r="L404" i="7"/>
  <c r="J559" i="7"/>
  <c r="J580" i="7"/>
  <c r="I580" i="7"/>
  <c r="L580" i="7"/>
  <c r="G580" i="7"/>
  <c r="F580" i="7"/>
  <c r="J601" i="7"/>
  <c r="L601" i="7"/>
  <c r="I601" i="7"/>
  <c r="H601" i="7"/>
  <c r="G601" i="7"/>
  <c r="F601" i="7"/>
  <c r="I642" i="7"/>
  <c r="G642" i="7"/>
  <c r="L642" i="7"/>
  <c r="J642" i="7"/>
  <c r="F642" i="7"/>
  <c r="J323" i="7"/>
  <c r="L323" i="7"/>
  <c r="I323" i="7"/>
  <c r="H323" i="7"/>
  <c r="G323" i="7"/>
  <c r="F323" i="7"/>
  <c r="J356" i="7"/>
  <c r="I356" i="7"/>
  <c r="H356" i="7"/>
  <c r="G356" i="7"/>
  <c r="F356" i="7"/>
  <c r="L362" i="7"/>
  <c r="J362" i="7"/>
  <c r="G362" i="7"/>
  <c r="L368" i="7"/>
  <c r="J368" i="7"/>
  <c r="H368" i="7"/>
  <c r="G368" i="7"/>
  <c r="H392" i="7"/>
  <c r="F392" i="7"/>
  <c r="I392" i="7"/>
  <c r="G392" i="7"/>
  <c r="L392" i="7"/>
  <c r="J392" i="7"/>
  <c r="H642" i="7"/>
  <c r="J375" i="7"/>
  <c r="H375" i="7"/>
  <c r="G375" i="7"/>
  <c r="F375" i="7"/>
  <c r="L375" i="7"/>
  <c r="J413" i="7"/>
  <c r="G413" i="7"/>
  <c r="F413" i="7"/>
  <c r="H413" i="7"/>
  <c r="J429" i="7"/>
  <c r="H429" i="7"/>
  <c r="G429" i="7"/>
  <c r="I429" i="7"/>
  <c r="F429" i="7"/>
  <c r="L429" i="7"/>
  <c r="L535" i="7"/>
  <c r="J535" i="7"/>
  <c r="H535" i="7"/>
  <c r="J173" i="7"/>
  <c r="L173" i="7"/>
  <c r="I173" i="7"/>
  <c r="H173" i="7"/>
  <c r="J197" i="7"/>
  <c r="J201" i="7"/>
  <c r="H201" i="7"/>
  <c r="L283" i="7"/>
  <c r="J283" i="7"/>
  <c r="I283" i="7"/>
  <c r="F283" i="7"/>
  <c r="H319" i="7"/>
  <c r="G319" i="7"/>
  <c r="L319" i="7"/>
  <c r="J319" i="7"/>
  <c r="L357" i="7"/>
  <c r="G357" i="7"/>
  <c r="F357" i="7"/>
  <c r="H362" i="7"/>
  <c r="I368" i="7"/>
  <c r="I375" i="7"/>
  <c r="I413" i="7"/>
  <c r="M473" i="7"/>
  <c r="G269" i="7"/>
  <c r="H269" i="7"/>
  <c r="J269" i="7"/>
  <c r="I269" i="7"/>
  <c r="F269" i="7"/>
  <c r="J274" i="7"/>
  <c r="I274" i="7"/>
  <c r="L274" i="7"/>
  <c r="H274" i="7"/>
  <c r="F279" i="7"/>
  <c r="L346" i="7"/>
  <c r="J346" i="7"/>
  <c r="I346" i="7"/>
  <c r="F346" i="7"/>
  <c r="I362" i="7"/>
  <c r="L413" i="7"/>
  <c r="F535" i="7"/>
  <c r="H288" i="7"/>
  <c r="G288" i="7"/>
  <c r="L288" i="7"/>
  <c r="J288" i="7"/>
  <c r="G387" i="7"/>
  <c r="H387" i="7"/>
  <c r="F387" i="7"/>
  <c r="L387" i="7"/>
  <c r="L400" i="7"/>
  <c r="J400" i="7"/>
  <c r="I400" i="7"/>
  <c r="G400" i="7"/>
  <c r="F400" i="7"/>
  <c r="G535" i="7"/>
  <c r="H352" i="7"/>
  <c r="F352" i="7"/>
  <c r="L352" i="7"/>
  <c r="J352" i="7"/>
  <c r="G352" i="7"/>
  <c r="I535" i="7"/>
  <c r="F288" i="7"/>
  <c r="I387" i="7"/>
  <c r="H400" i="7"/>
  <c r="L431" i="7"/>
  <c r="J431" i="7"/>
  <c r="G431" i="7"/>
  <c r="F431" i="7"/>
  <c r="D14" i="3"/>
  <c r="G23" i="4" s="1"/>
  <c r="D83" i="6"/>
  <c r="F45" i="7"/>
  <c r="L132" i="7"/>
  <c r="J281" i="7"/>
  <c r="G281" i="7"/>
  <c r="I281" i="7"/>
  <c r="H334" i="7"/>
  <c r="G334" i="7"/>
  <c r="F334" i="7"/>
  <c r="L334" i="7"/>
  <c r="F409" i="7"/>
  <c r="L423" i="7"/>
  <c r="J423" i="7"/>
  <c r="I423" i="7"/>
  <c r="H423" i="7"/>
  <c r="I444" i="7"/>
  <c r="H444" i="7"/>
  <c r="G444" i="7"/>
  <c r="J457" i="7"/>
  <c r="H457" i="7"/>
  <c r="G457" i="7"/>
  <c r="I457" i="7"/>
  <c r="F567" i="7"/>
  <c r="H567" i="7"/>
  <c r="G567" i="7"/>
  <c r="L567" i="7"/>
  <c r="I567" i="7"/>
  <c r="J567" i="7"/>
  <c r="L36" i="7"/>
  <c r="J39" i="7"/>
  <c r="J65" i="7"/>
  <c r="F65" i="7"/>
  <c r="L91" i="7"/>
  <c r="L206" i="7"/>
  <c r="L252" i="7"/>
  <c r="I252" i="7"/>
  <c r="G285" i="7"/>
  <c r="F285" i="7"/>
  <c r="J334" i="7"/>
  <c r="I339" i="7"/>
  <c r="H339" i="7"/>
  <c r="G423" i="7"/>
  <c r="J428" i="7"/>
  <c r="I428" i="7"/>
  <c r="J444" i="7"/>
  <c r="L457" i="7"/>
  <c r="J507" i="7"/>
  <c r="G507" i="7"/>
  <c r="F507" i="7"/>
  <c r="L507" i="7"/>
  <c r="H507" i="7"/>
  <c r="H518" i="7"/>
  <c r="L518" i="7"/>
  <c r="I518" i="7"/>
  <c r="I574" i="7"/>
  <c r="L574" i="7"/>
  <c r="H574" i="7"/>
  <c r="B22" i="5"/>
  <c r="C22" i="5" s="1"/>
  <c r="J55" i="7"/>
  <c r="I59" i="7"/>
  <c r="H59" i="7"/>
  <c r="L62" i="7"/>
  <c r="G62" i="7"/>
  <c r="F62" i="7"/>
  <c r="H101" i="7"/>
  <c r="L104" i="7"/>
  <c r="G104" i="7"/>
  <c r="F139" i="7"/>
  <c r="G139" i="7"/>
  <c r="J167" i="7"/>
  <c r="I167" i="7"/>
  <c r="H190" i="7"/>
  <c r="J227" i="7"/>
  <c r="G227" i="7"/>
  <c r="I227" i="7"/>
  <c r="H245" i="7"/>
  <c r="G245" i="7"/>
  <c r="L278" i="7"/>
  <c r="I278" i="7"/>
  <c r="H278" i="7"/>
  <c r="F327" i="7"/>
  <c r="J363" i="7"/>
  <c r="H363" i="7"/>
  <c r="G363" i="7"/>
  <c r="J401" i="7"/>
  <c r="I401" i="7"/>
  <c r="L401" i="7"/>
  <c r="H401" i="7"/>
  <c r="L414" i="7"/>
  <c r="J414" i="7"/>
  <c r="I414" i="7"/>
  <c r="L472" i="7"/>
  <c r="I472" i="7"/>
  <c r="J497" i="7"/>
  <c r="H497" i="7"/>
  <c r="G497" i="7"/>
  <c r="I497" i="7"/>
  <c r="F497" i="7"/>
  <c r="L603" i="7"/>
  <c r="I603" i="7"/>
  <c r="H603" i="7"/>
  <c r="G603" i="7"/>
  <c r="F603" i="7"/>
  <c r="L659" i="7"/>
  <c r="J659" i="7"/>
  <c r="I659" i="7"/>
  <c r="H659" i="7"/>
  <c r="G659" i="7"/>
  <c r="F659" i="7"/>
  <c r="D55" i="6"/>
  <c r="F36" i="7"/>
  <c r="F39" i="7"/>
  <c r="G65" i="7"/>
  <c r="F91" i="7"/>
  <c r="L146" i="7"/>
  <c r="J146" i="7"/>
  <c r="F153" i="7"/>
  <c r="F206" i="7"/>
  <c r="J231" i="7"/>
  <c r="F252" i="7"/>
  <c r="H271" i="7"/>
  <c r="G271" i="7"/>
  <c r="L281" i="7"/>
  <c r="H285" i="7"/>
  <c r="L292" i="7"/>
  <c r="I292" i="7"/>
  <c r="J335" i="7"/>
  <c r="H335" i="7"/>
  <c r="G335" i="7"/>
  <c r="F339" i="7"/>
  <c r="L343" i="7"/>
  <c r="J343" i="7"/>
  <c r="I343" i="7"/>
  <c r="F355" i="7"/>
  <c r="J359" i="7"/>
  <c r="I359" i="7"/>
  <c r="L372" i="7"/>
  <c r="J372" i="7"/>
  <c r="I372" i="7"/>
  <c r="H376" i="7"/>
  <c r="G376" i="7"/>
  <c r="F376" i="7"/>
  <c r="I388" i="7"/>
  <c r="H388" i="7"/>
  <c r="G388" i="7"/>
  <c r="L397" i="7"/>
  <c r="F428" i="7"/>
  <c r="J502" i="7"/>
  <c r="H502" i="7"/>
  <c r="G502" i="7"/>
  <c r="F502" i="7"/>
  <c r="L502" i="7"/>
  <c r="I502" i="7"/>
  <c r="I507" i="7"/>
  <c r="F518" i="7"/>
  <c r="J554" i="7"/>
  <c r="H554" i="7"/>
  <c r="G554" i="7"/>
  <c r="F554" i="7"/>
  <c r="L554" i="7"/>
  <c r="I554" i="7"/>
  <c r="F574" i="7"/>
  <c r="G174" i="7"/>
  <c r="J187" i="7"/>
  <c r="L203" i="7"/>
  <c r="J203" i="7"/>
  <c r="L238" i="7"/>
  <c r="I238" i="7"/>
  <c r="F315" i="7"/>
  <c r="J410" i="7"/>
  <c r="J445" i="7"/>
  <c r="G445" i="7"/>
  <c r="F445" i="7"/>
  <c r="J483" i="7"/>
  <c r="H483" i="7"/>
  <c r="G483" i="7"/>
  <c r="L483" i="7"/>
  <c r="I483" i="7"/>
  <c r="J493" i="7"/>
  <c r="L249" i="7"/>
  <c r="J249" i="7"/>
  <c r="F275" i="7"/>
  <c r="I275" i="7"/>
  <c r="G282" i="7"/>
  <c r="F282" i="7"/>
  <c r="H307" i="7"/>
  <c r="J307" i="7"/>
  <c r="I307" i="7"/>
  <c r="I320" i="7"/>
  <c r="H406" i="7"/>
  <c r="F406" i="7"/>
  <c r="J537" i="7"/>
  <c r="H537" i="7"/>
  <c r="G537" i="7"/>
  <c r="L537" i="7"/>
  <c r="I627" i="7"/>
  <c r="F806" i="7"/>
  <c r="J806" i="7"/>
  <c r="I806" i="7"/>
  <c r="L806" i="7"/>
  <c r="G806" i="7"/>
  <c r="H806" i="7"/>
  <c r="L184" i="7"/>
  <c r="G393" i="7"/>
  <c r="F393" i="7"/>
  <c r="F410" i="7"/>
  <c r="L437" i="7"/>
  <c r="J437" i="7"/>
  <c r="H445" i="7"/>
  <c r="F463" i="7"/>
  <c r="F483" i="7"/>
  <c r="J498" i="7"/>
  <c r="G498" i="7"/>
  <c r="F498" i="7"/>
  <c r="L498" i="7"/>
  <c r="L508" i="7"/>
  <c r="J508" i="7"/>
  <c r="I508" i="7"/>
  <c r="G508" i="7"/>
  <c r="F508" i="7"/>
  <c r="H514" i="7"/>
  <c r="F514" i="7"/>
  <c r="L514" i="7"/>
  <c r="L519" i="7"/>
  <c r="I519" i="7"/>
  <c r="H519" i="7"/>
  <c r="G519" i="7"/>
  <c r="F519" i="7"/>
  <c r="I549" i="7"/>
  <c r="C785" i="7"/>
  <c r="B785" i="7"/>
  <c r="L454" i="7"/>
  <c r="J454" i="7"/>
  <c r="I454" i="7"/>
  <c r="G454" i="7"/>
  <c r="F454" i="7"/>
  <c r="H454" i="7"/>
  <c r="J637" i="7"/>
  <c r="H637" i="7"/>
  <c r="G637" i="7"/>
  <c r="F637" i="7"/>
  <c r="L637" i="7"/>
  <c r="J669" i="7"/>
  <c r="I669" i="7"/>
  <c r="L669" i="7"/>
  <c r="H669" i="7"/>
  <c r="G669" i="7"/>
  <c r="F669" i="7"/>
  <c r="L459" i="7"/>
  <c r="I459" i="7"/>
  <c r="H459" i="7"/>
  <c r="C473" i="7"/>
  <c r="J628" i="7"/>
  <c r="I628" i="7"/>
  <c r="G628" i="7"/>
  <c r="L628" i="7"/>
  <c r="H628" i="7"/>
  <c r="F628" i="7"/>
  <c r="I336" i="7"/>
  <c r="G336" i="7"/>
  <c r="J336" i="7"/>
  <c r="H336" i="7"/>
  <c r="J348" i="7"/>
  <c r="L360" i="7"/>
  <c r="J360" i="7"/>
  <c r="I360" i="7"/>
  <c r="F360" i="7"/>
  <c r="F381" i="7"/>
  <c r="J389" i="7"/>
  <c r="H389" i="7"/>
  <c r="G389" i="7"/>
  <c r="F389" i="7"/>
  <c r="I389" i="7"/>
  <c r="B473" i="7"/>
  <c r="I563" i="7"/>
  <c r="G563" i="7"/>
  <c r="F563" i="7"/>
  <c r="L563" i="7"/>
  <c r="I637" i="7"/>
  <c r="I425" i="7"/>
  <c r="H425" i="7"/>
  <c r="G425" i="7"/>
  <c r="F425" i="7"/>
  <c r="I509" i="7"/>
  <c r="G509" i="7"/>
  <c r="F509" i="7"/>
  <c r="H509" i="7"/>
  <c r="H576" i="7"/>
  <c r="L576" i="7"/>
  <c r="J576" i="7"/>
  <c r="I576" i="7"/>
  <c r="G576" i="7"/>
  <c r="F576" i="7"/>
  <c r="I689" i="7"/>
  <c r="L689" i="7"/>
  <c r="J689" i="7"/>
  <c r="G689" i="7"/>
  <c r="J726" i="7"/>
  <c r="L726" i="7"/>
  <c r="I726" i="7"/>
  <c r="H726" i="7"/>
  <c r="G726" i="7"/>
  <c r="D733" i="7"/>
  <c r="M737" i="7"/>
  <c r="C733" i="7" s="1"/>
  <c r="L411" i="7"/>
  <c r="I411" i="7"/>
  <c r="H411" i="7"/>
  <c r="G411" i="7"/>
  <c r="F411" i="7"/>
  <c r="H420" i="7"/>
  <c r="F420" i="7"/>
  <c r="J420" i="7"/>
  <c r="D525" i="7"/>
  <c r="M527" i="7"/>
  <c r="M525" i="7" s="1"/>
  <c r="H550" i="7"/>
  <c r="L550" i="7"/>
  <c r="I550" i="7"/>
  <c r="G550" i="7"/>
  <c r="F550" i="7"/>
  <c r="F843" i="7"/>
  <c r="G843" i="7"/>
  <c r="L843" i="7"/>
  <c r="J843" i="7"/>
  <c r="I843" i="7"/>
  <c r="H843" i="7"/>
  <c r="I316" i="7"/>
  <c r="J316" i="7"/>
  <c r="H385" i="7"/>
  <c r="G385" i="7"/>
  <c r="F385" i="7"/>
  <c r="L385" i="7"/>
  <c r="L394" i="7"/>
  <c r="J394" i="7"/>
  <c r="I394" i="7"/>
  <c r="J407" i="7"/>
  <c r="L407" i="7"/>
  <c r="I407" i="7"/>
  <c r="J425" i="7"/>
  <c r="L434" i="7"/>
  <c r="J434" i="7"/>
  <c r="J459" i="7"/>
  <c r="J504" i="7"/>
  <c r="G504" i="7"/>
  <c r="F504" i="7"/>
  <c r="H504" i="7"/>
  <c r="I504" i="7"/>
  <c r="J509" i="7"/>
  <c r="L584" i="7"/>
  <c r="J584" i="7"/>
  <c r="I584" i="7"/>
  <c r="F584" i="7"/>
  <c r="H584" i="7"/>
  <c r="F689" i="7"/>
  <c r="F726" i="7"/>
  <c r="I390" i="7"/>
  <c r="J403" i="7"/>
  <c r="H403" i="7"/>
  <c r="G403" i="7"/>
  <c r="L416" i="7"/>
  <c r="J416" i="7"/>
  <c r="I416" i="7"/>
  <c r="L425" i="7"/>
  <c r="H460" i="7"/>
  <c r="F460" i="7"/>
  <c r="J460" i="7"/>
  <c r="J550" i="7"/>
  <c r="F622" i="7"/>
  <c r="H689" i="7"/>
  <c r="J254" i="7"/>
  <c r="F316" i="7"/>
  <c r="F341" i="7"/>
  <c r="I348" i="7"/>
  <c r="I385" i="7"/>
  <c r="F394" i="7"/>
  <c r="F407" i="7"/>
  <c r="I420" i="7"/>
  <c r="F434" i="7"/>
  <c r="L465" i="7"/>
  <c r="J465" i="7"/>
  <c r="L509" i="7"/>
  <c r="G521" i="7"/>
  <c r="F521" i="7"/>
  <c r="G584" i="7"/>
  <c r="L426" i="7"/>
  <c r="J426" i="7"/>
  <c r="I426" i="7"/>
  <c r="F475" i="7"/>
  <c r="L485" i="7"/>
  <c r="J485" i="7"/>
  <c r="H485" i="7"/>
  <c r="G485" i="7"/>
  <c r="F485" i="7"/>
  <c r="L365" i="7"/>
  <c r="G365" i="7"/>
  <c r="F365" i="7"/>
  <c r="I403" i="7"/>
  <c r="G416" i="7"/>
  <c r="D473" i="7"/>
  <c r="H510" i="7"/>
  <c r="G510" i="7"/>
  <c r="F510" i="7"/>
  <c r="J510" i="7"/>
  <c r="L565" i="7"/>
  <c r="J565" i="7"/>
  <c r="F593" i="7"/>
  <c r="J593" i="7"/>
  <c r="L593" i="7"/>
  <c r="M629" i="7"/>
  <c r="C629" i="7"/>
  <c r="H663" i="7"/>
  <c r="J663" i="7"/>
  <c r="I663" i="7"/>
  <c r="F663" i="7"/>
  <c r="L663" i="7"/>
  <c r="F83" i="7"/>
  <c r="J83" i="7"/>
  <c r="I83" i="7"/>
  <c r="L116" i="7"/>
  <c r="J119" i="7"/>
  <c r="H122" i="7"/>
  <c r="F125" i="7"/>
  <c r="J141" i="7"/>
  <c r="L158" i="7"/>
  <c r="I158" i="7"/>
  <c r="F233" i="7"/>
  <c r="G254" i="7"/>
  <c r="L280" i="7"/>
  <c r="L316" i="7"/>
  <c r="I345" i="7"/>
  <c r="L345" i="7"/>
  <c r="J345" i="7"/>
  <c r="J349" i="7"/>
  <c r="H349" i="7"/>
  <c r="G349" i="7"/>
  <c r="F349" i="7"/>
  <c r="I353" i="7"/>
  <c r="H353" i="7"/>
  <c r="G353" i="7"/>
  <c r="H390" i="7"/>
  <c r="L403" i="7"/>
  <c r="H416" i="7"/>
  <c r="F426" i="7"/>
  <c r="I434" i="7"/>
  <c r="L447" i="7"/>
  <c r="J447" i="7"/>
  <c r="I447" i="7"/>
  <c r="L460" i="7"/>
  <c r="G465" i="7"/>
  <c r="I485" i="7"/>
  <c r="H500" i="7"/>
  <c r="F500" i="7"/>
  <c r="I500" i="7"/>
  <c r="G500" i="7"/>
  <c r="L505" i="7"/>
  <c r="J505" i="7"/>
  <c r="I505" i="7"/>
  <c r="F505" i="7"/>
  <c r="L632" i="7"/>
  <c r="J632" i="7"/>
  <c r="H632" i="7"/>
  <c r="I632" i="7"/>
  <c r="H258" i="7"/>
  <c r="I294" i="7"/>
  <c r="H294" i="7"/>
  <c r="H305" i="7"/>
  <c r="G305" i="7"/>
  <c r="J309" i="7"/>
  <c r="H309" i="7"/>
  <c r="G309" i="7"/>
  <c r="L309" i="7"/>
  <c r="L329" i="7"/>
  <c r="G329" i="7"/>
  <c r="F329" i="7"/>
  <c r="H365" i="7"/>
  <c r="J390" i="7"/>
  <c r="G408" i="7"/>
  <c r="F408" i="7"/>
  <c r="J417" i="7"/>
  <c r="H417" i="7"/>
  <c r="G417" i="7"/>
  <c r="F417" i="7"/>
  <c r="G426" i="7"/>
  <c r="L481" i="7"/>
  <c r="G481" i="7"/>
  <c r="F481" i="7"/>
  <c r="I510" i="7"/>
  <c r="L534" i="7"/>
  <c r="J534" i="7"/>
  <c r="I534" i="7"/>
  <c r="G534" i="7"/>
  <c r="F534" i="7"/>
  <c r="H534" i="7"/>
  <c r="F565" i="7"/>
  <c r="G593" i="7"/>
  <c r="G663" i="7"/>
  <c r="B681" i="7"/>
  <c r="L491" i="7"/>
  <c r="I536" i="7"/>
  <c r="L544" i="7"/>
  <c r="J544" i="7"/>
  <c r="I544" i="7"/>
  <c r="L613" i="7"/>
  <c r="J613" i="7"/>
  <c r="H698" i="7"/>
  <c r="L698" i="7"/>
  <c r="J698" i="7"/>
  <c r="I698" i="7"/>
  <c r="F698" i="7"/>
  <c r="L863" i="7"/>
  <c r="I863" i="7"/>
  <c r="H863" i="7"/>
  <c r="G863" i="7"/>
  <c r="I495" i="7"/>
  <c r="L523" i="7"/>
  <c r="I523" i="7"/>
  <c r="H523" i="7"/>
  <c r="G523" i="7"/>
  <c r="H618" i="7"/>
  <c r="J618" i="7"/>
  <c r="G618" i="7"/>
  <c r="F618" i="7"/>
  <c r="L643" i="7"/>
  <c r="J643" i="7"/>
  <c r="I643" i="7"/>
  <c r="H684" i="7"/>
  <c r="L684" i="7"/>
  <c r="J684" i="7"/>
  <c r="I684" i="7"/>
  <c r="F684" i="7"/>
  <c r="J691" i="7"/>
  <c r="I691" i="7"/>
  <c r="L691" i="7"/>
  <c r="H691" i="7"/>
  <c r="G691" i="7"/>
  <c r="F691" i="7"/>
  <c r="H778" i="7"/>
  <c r="G778" i="7"/>
  <c r="J778" i="7"/>
  <c r="I778" i="7"/>
  <c r="F778" i="7"/>
  <c r="F215" i="7"/>
  <c r="G256" i="7"/>
  <c r="J311" i="7"/>
  <c r="I311" i="7"/>
  <c r="J340" i="7"/>
  <c r="I340" i="7"/>
  <c r="J476" i="7"/>
  <c r="G491" i="7"/>
  <c r="F503" i="7"/>
  <c r="J511" i="7"/>
  <c r="H511" i="7"/>
  <c r="G511" i="7"/>
  <c r="I511" i="7"/>
  <c r="G536" i="7"/>
  <c r="G544" i="7"/>
  <c r="L599" i="7"/>
  <c r="J599" i="7"/>
  <c r="I599" i="7"/>
  <c r="H599" i="7"/>
  <c r="G613" i="7"/>
  <c r="G623" i="7"/>
  <c r="J623" i="7"/>
  <c r="H623" i="7"/>
  <c r="F623" i="7"/>
  <c r="L623" i="7"/>
  <c r="I623" i="7"/>
  <c r="H654" i="7"/>
  <c r="G654" i="7"/>
  <c r="D681" i="7"/>
  <c r="M684" i="7"/>
  <c r="M681" i="7" s="1"/>
  <c r="J863" i="7"/>
  <c r="J326" i="7"/>
  <c r="J391" i="7"/>
  <c r="I391" i="7"/>
  <c r="L440" i="7"/>
  <c r="J440" i="7"/>
  <c r="I440" i="7"/>
  <c r="H491" i="7"/>
  <c r="F523" i="7"/>
  <c r="H536" i="7"/>
  <c r="H544" i="7"/>
  <c r="F549" i="7"/>
  <c r="F553" i="7"/>
  <c r="J553" i="7"/>
  <c r="H553" i="7"/>
  <c r="L558" i="7"/>
  <c r="J558" i="7"/>
  <c r="J562" i="7"/>
  <c r="H562" i="7"/>
  <c r="G562" i="7"/>
  <c r="F562" i="7"/>
  <c r="F609" i="7"/>
  <c r="H613" i="7"/>
  <c r="I618" i="7"/>
  <c r="F643" i="7"/>
  <c r="G684" i="7"/>
  <c r="J737" i="7"/>
  <c r="G737" i="7"/>
  <c r="F737" i="7"/>
  <c r="L778" i="7"/>
  <c r="F920" i="7"/>
  <c r="J920" i="7"/>
  <c r="L920" i="7"/>
  <c r="H920" i="7"/>
  <c r="L929" i="7"/>
  <c r="J929" i="7"/>
  <c r="I929" i="7"/>
  <c r="G929" i="7"/>
  <c r="H929" i="7"/>
  <c r="J456" i="7"/>
  <c r="F484" i="7"/>
  <c r="J491" i="7"/>
  <c r="L541" i="7"/>
  <c r="J541" i="7"/>
  <c r="I541" i="7"/>
  <c r="H541" i="7"/>
  <c r="H549" i="7"/>
  <c r="G571" i="7"/>
  <c r="L595" i="7"/>
  <c r="H643" i="7"/>
  <c r="L671" i="7"/>
  <c r="J671" i="7"/>
  <c r="H671" i="7"/>
  <c r="G671" i="7"/>
  <c r="F671" i="7"/>
  <c r="I671" i="7"/>
  <c r="H685" i="7"/>
  <c r="L685" i="7"/>
  <c r="I685" i="7"/>
  <c r="G685" i="7"/>
  <c r="F685" i="7"/>
  <c r="L706" i="7"/>
  <c r="H706" i="7"/>
  <c r="J706" i="7"/>
  <c r="I706" i="7"/>
  <c r="G706" i="7"/>
  <c r="L468" i="7"/>
  <c r="J468" i="7"/>
  <c r="I468" i="7"/>
  <c r="L488" i="7"/>
  <c r="J488" i="7"/>
  <c r="I488" i="7"/>
  <c r="L536" i="7"/>
  <c r="H590" i="7"/>
  <c r="J590" i="7"/>
  <c r="L590" i="7"/>
  <c r="I590" i="7"/>
  <c r="G590" i="7"/>
  <c r="F600" i="7"/>
  <c r="L600" i="7"/>
  <c r="J600" i="7"/>
  <c r="G600" i="7"/>
  <c r="L619" i="7"/>
  <c r="J619" i="7"/>
  <c r="F619" i="7"/>
  <c r="I649" i="7"/>
  <c r="G649" i="7"/>
  <c r="I920" i="7"/>
  <c r="F649" i="7"/>
  <c r="L666" i="7"/>
  <c r="H666" i="7"/>
  <c r="L586" i="7"/>
  <c r="J586" i="7"/>
  <c r="H586" i="7"/>
  <c r="H649" i="7"/>
  <c r="H686" i="7"/>
  <c r="I686" i="7"/>
  <c r="G686" i="7"/>
  <c r="F686" i="7"/>
  <c r="L686" i="7"/>
  <c r="I707" i="7"/>
  <c r="L707" i="7"/>
  <c r="J707" i="7"/>
  <c r="H707" i="7"/>
  <c r="G707" i="7"/>
  <c r="L722" i="7"/>
  <c r="J722" i="7"/>
  <c r="I722" i="7"/>
  <c r="H722" i="7"/>
  <c r="F722" i="7"/>
  <c r="I799" i="7"/>
  <c r="J799" i="7"/>
  <c r="H799" i="7"/>
  <c r="G799" i="7"/>
  <c r="F799" i="7"/>
  <c r="J655" i="7"/>
  <c r="L655" i="7"/>
  <c r="I655" i="7"/>
  <c r="H655" i="7"/>
  <c r="F655" i="7"/>
  <c r="I791" i="7"/>
  <c r="H791" i="7"/>
  <c r="L791" i="7"/>
  <c r="J791" i="7"/>
  <c r="J686" i="7"/>
  <c r="L693" i="7"/>
  <c r="J693" i="7"/>
  <c r="I693" i="7"/>
  <c r="H693" i="7"/>
  <c r="G693" i="7"/>
  <c r="F693" i="7"/>
  <c r="F707" i="7"/>
  <c r="G722" i="7"/>
  <c r="G772" i="7"/>
  <c r="F772" i="7"/>
  <c r="I772" i="7"/>
  <c r="H772" i="7"/>
  <c r="L772" i="7"/>
  <c r="L799" i="7"/>
  <c r="L571" i="7"/>
  <c r="G586" i="7"/>
  <c r="J635" i="7"/>
  <c r="L635" i="7"/>
  <c r="G655" i="7"/>
  <c r="I666" i="7"/>
  <c r="F791" i="7"/>
  <c r="F453" i="7"/>
  <c r="L469" i="7"/>
  <c r="I586" i="7"/>
  <c r="J666" i="7"/>
  <c r="F673" i="7"/>
  <c r="L673" i="7"/>
  <c r="J673" i="7"/>
  <c r="I673" i="7"/>
  <c r="H673" i="7"/>
  <c r="G673" i="7"/>
  <c r="H708" i="7"/>
  <c r="G708" i="7"/>
  <c r="F708" i="7"/>
  <c r="L708" i="7"/>
  <c r="J708" i="7"/>
  <c r="I708" i="7"/>
  <c r="J772" i="7"/>
  <c r="G791" i="7"/>
  <c r="J625" i="7"/>
  <c r="G688" i="7"/>
  <c r="L688" i="7"/>
  <c r="J688" i="7"/>
  <c r="F688" i="7"/>
  <c r="F731" i="7"/>
  <c r="I731" i="7"/>
  <c r="G731" i="7"/>
  <c r="H731" i="7"/>
  <c r="H740" i="7"/>
  <c r="I740" i="7"/>
  <c r="J740" i="7"/>
  <c r="F740" i="7"/>
  <c r="L740" i="7"/>
  <c r="G740" i="7"/>
  <c r="M892" i="7"/>
  <c r="D889" i="7"/>
  <c r="F621" i="7"/>
  <c r="L621" i="7"/>
  <c r="J621" i="7"/>
  <c r="G667" i="7"/>
  <c r="F667" i="7"/>
  <c r="L667" i="7"/>
  <c r="J667" i="7"/>
  <c r="I667" i="7"/>
  <c r="L674" i="7"/>
  <c r="J674" i="7"/>
  <c r="I674" i="7"/>
  <c r="H674" i="7"/>
  <c r="I716" i="7"/>
  <c r="H716" i="7"/>
  <c r="L716" i="7"/>
  <c r="J716" i="7"/>
  <c r="G716" i="7"/>
  <c r="F716" i="7"/>
  <c r="L749" i="7"/>
  <c r="J749" i="7"/>
  <c r="I749" i="7"/>
  <c r="H749" i="7"/>
  <c r="F749" i="7"/>
  <c r="J547" i="7"/>
  <c r="J592" i="7"/>
  <c r="H592" i="7"/>
  <c r="G592" i="7"/>
  <c r="F592" i="7"/>
  <c r="I616" i="7"/>
  <c r="G616" i="7"/>
  <c r="L646" i="7"/>
  <c r="G646" i="7"/>
  <c r="H651" i="7"/>
  <c r="L651" i="7"/>
  <c r="J651" i="7"/>
  <c r="G651" i="7"/>
  <c r="L662" i="7"/>
  <c r="J662" i="7"/>
  <c r="I662" i="7"/>
  <c r="H688" i="7"/>
  <c r="J695" i="7"/>
  <c r="I695" i="7"/>
  <c r="H695" i="7"/>
  <c r="L695" i="7"/>
  <c r="G695" i="7"/>
  <c r="F695" i="7"/>
  <c r="J731" i="7"/>
  <c r="D195" i="6"/>
  <c r="L112" i="7"/>
  <c r="H136" i="7"/>
  <c r="F261" i="7"/>
  <c r="H382" i="7"/>
  <c r="G382" i="7"/>
  <c r="F382" i="7"/>
  <c r="L419" i="7"/>
  <c r="F435" i="7"/>
  <c r="I442" i="7"/>
  <c r="F442" i="7"/>
  <c r="H446" i="7"/>
  <c r="F446" i="7"/>
  <c r="J446" i="7"/>
  <c r="J453" i="7"/>
  <c r="I469" i="7"/>
  <c r="H486" i="7"/>
  <c r="F486" i="7"/>
  <c r="G486" i="7"/>
  <c r="L490" i="7"/>
  <c r="J501" i="7"/>
  <c r="G501" i="7"/>
  <c r="F501" i="7"/>
  <c r="F539" i="7"/>
  <c r="G539" i="7"/>
  <c r="G597" i="7"/>
  <c r="L597" i="7"/>
  <c r="I597" i="7"/>
  <c r="H597" i="7"/>
  <c r="F597" i="7"/>
  <c r="G621" i="7"/>
  <c r="H667" i="7"/>
  <c r="F674" i="7"/>
  <c r="I688" i="7"/>
  <c r="G749" i="7"/>
  <c r="F99" i="7"/>
  <c r="J115" i="7"/>
  <c r="I118" i="7"/>
  <c r="H121" i="7"/>
  <c r="G124" i="7"/>
  <c r="F127" i="7"/>
  <c r="J133" i="7"/>
  <c r="F287" i="7"/>
  <c r="I287" i="7"/>
  <c r="L306" i="7"/>
  <c r="J306" i="7"/>
  <c r="I306" i="7"/>
  <c r="J469" i="7"/>
  <c r="G543" i="7"/>
  <c r="F547" i="7"/>
  <c r="L551" i="7"/>
  <c r="J551" i="7"/>
  <c r="G551" i="7"/>
  <c r="F551" i="7"/>
  <c r="I551" i="7"/>
  <c r="H551" i="7"/>
  <c r="J560" i="7"/>
  <c r="H560" i="7"/>
  <c r="G560" i="7"/>
  <c r="L560" i="7"/>
  <c r="I560" i="7"/>
  <c r="L583" i="7"/>
  <c r="I592" i="7"/>
  <c r="F616" i="7"/>
  <c r="H621" i="7"/>
  <c r="L626" i="7"/>
  <c r="H626" i="7"/>
  <c r="F626" i="7"/>
  <c r="G626" i="7"/>
  <c r="F646" i="7"/>
  <c r="F651" i="7"/>
  <c r="F662" i="7"/>
  <c r="G674" i="7"/>
  <c r="L731" i="7"/>
  <c r="J614" i="7"/>
  <c r="I614" i="7"/>
  <c r="G614" i="7"/>
  <c r="F614" i="7"/>
  <c r="L787" i="7"/>
  <c r="J787" i="7"/>
  <c r="I787" i="7"/>
  <c r="H787" i="7"/>
  <c r="G822" i="7"/>
  <c r="F822" i="7"/>
  <c r="L822" i="7"/>
  <c r="J822" i="7"/>
  <c r="H822" i="7"/>
  <c r="I822" i="7"/>
  <c r="F247" i="7"/>
  <c r="L247" i="7"/>
  <c r="J471" i="7"/>
  <c r="H471" i="7"/>
  <c r="G471" i="7"/>
  <c r="L516" i="7"/>
  <c r="I516" i="7"/>
  <c r="H516" i="7"/>
  <c r="G516" i="7"/>
  <c r="G569" i="7"/>
  <c r="H614" i="7"/>
  <c r="F625" i="7"/>
  <c r="L640" i="7"/>
  <c r="J640" i="7"/>
  <c r="I640" i="7"/>
  <c r="H640" i="7"/>
  <c r="G640" i="7"/>
  <c r="F787" i="7"/>
  <c r="L831" i="7"/>
  <c r="J831" i="7"/>
  <c r="I831" i="7"/>
  <c r="H831" i="7"/>
  <c r="G831" i="7"/>
  <c r="L885" i="7"/>
  <c r="I885" i="7"/>
  <c r="J885" i="7"/>
  <c r="H885" i="7"/>
  <c r="L451" i="7"/>
  <c r="J451" i="7"/>
  <c r="G451" i="7"/>
  <c r="F451" i="7"/>
  <c r="L482" i="7"/>
  <c r="L585" i="7"/>
  <c r="G625" i="7"/>
  <c r="F633" i="7"/>
  <c r="J668" i="7"/>
  <c r="H712" i="7"/>
  <c r="I712" i="7"/>
  <c r="G712" i="7"/>
  <c r="L712" i="7"/>
  <c r="J712" i="7"/>
  <c r="F712" i="7"/>
  <c r="J750" i="7"/>
  <c r="I750" i="7"/>
  <c r="L750" i="7"/>
  <c r="F750" i="7"/>
  <c r="H750" i="7"/>
  <c r="G787" i="7"/>
  <c r="F395" i="7"/>
  <c r="L531" i="7"/>
  <c r="L538" i="7"/>
  <c r="L614" i="7"/>
  <c r="H625" i="7"/>
  <c r="L680" i="7"/>
  <c r="J680" i="7"/>
  <c r="I680" i="7"/>
  <c r="H876" i="7"/>
  <c r="G876" i="7"/>
  <c r="J876" i="7"/>
  <c r="I876" i="7"/>
  <c r="L876" i="7"/>
  <c r="F876" i="7"/>
  <c r="H432" i="7"/>
  <c r="F432" i="7"/>
  <c r="J448" i="7"/>
  <c r="G448" i="7"/>
  <c r="F448" i="7"/>
  <c r="J479" i="7"/>
  <c r="L513" i="7"/>
  <c r="I513" i="7"/>
  <c r="H513" i="7"/>
  <c r="G513" i="7"/>
  <c r="H566" i="7"/>
  <c r="F566" i="7"/>
  <c r="I573" i="7"/>
  <c r="J573" i="7"/>
  <c r="H573" i="7"/>
  <c r="G573" i="7"/>
  <c r="G585" i="7"/>
  <c r="I611" i="7"/>
  <c r="G611" i="7"/>
  <c r="F611" i="7"/>
  <c r="J615" i="7"/>
  <c r="H633" i="7"/>
  <c r="L652" i="7"/>
  <c r="L656" i="7"/>
  <c r="J656" i="7"/>
  <c r="I656" i="7"/>
  <c r="H660" i="7"/>
  <c r="L660" i="7"/>
  <c r="J660" i="7"/>
  <c r="I660" i="7"/>
  <c r="G668" i="7"/>
  <c r="F680" i="7"/>
  <c r="L699" i="7"/>
  <c r="F699" i="7"/>
  <c r="H756" i="7"/>
  <c r="G756" i="7"/>
  <c r="L832" i="7"/>
  <c r="J832" i="7"/>
  <c r="H832" i="7"/>
  <c r="G832" i="7"/>
  <c r="F832" i="7"/>
  <c r="I832" i="7"/>
  <c r="F517" i="7"/>
  <c r="J641" i="7"/>
  <c r="G641" i="7"/>
  <c r="L641" i="7"/>
  <c r="B733" i="7"/>
  <c r="L780" i="7"/>
  <c r="G780" i="7"/>
  <c r="J780" i="7"/>
  <c r="H780" i="7"/>
  <c r="I780" i="7"/>
  <c r="J877" i="7"/>
  <c r="I877" i="7"/>
  <c r="H877" i="7"/>
  <c r="G877" i="7"/>
  <c r="I825" i="7"/>
  <c r="J825" i="7"/>
  <c r="H825" i="7"/>
  <c r="F825" i="7"/>
  <c r="L825" i="7"/>
  <c r="G825" i="7"/>
  <c r="L860" i="7"/>
  <c r="G860" i="7"/>
  <c r="F860" i="7"/>
  <c r="I860" i="7"/>
  <c r="J860" i="7"/>
  <c r="H860" i="7"/>
  <c r="F1043" i="7"/>
  <c r="L1043" i="7"/>
  <c r="J1043" i="7"/>
  <c r="I1043" i="7"/>
  <c r="H1043" i="7"/>
  <c r="G1043" i="7"/>
  <c r="L1066" i="7"/>
  <c r="J1066" i="7"/>
  <c r="I1066" i="7"/>
  <c r="H1066" i="7"/>
  <c r="G1066" i="7"/>
  <c r="J608" i="7"/>
  <c r="H608" i="7"/>
  <c r="G608" i="7"/>
  <c r="L612" i="7"/>
  <c r="I634" i="7"/>
  <c r="L665" i="7"/>
  <c r="J665" i="7"/>
  <c r="I665" i="7"/>
  <c r="J677" i="7"/>
  <c r="L677" i="7"/>
  <c r="L719" i="7"/>
  <c r="J719" i="7"/>
  <c r="I719" i="7"/>
  <c r="H724" i="7"/>
  <c r="G724" i="7"/>
  <c r="I724" i="7"/>
  <c r="L724" i="7"/>
  <c r="L802" i="7"/>
  <c r="J802" i="7"/>
  <c r="I802" i="7"/>
  <c r="H802" i="7"/>
  <c r="G802" i="7"/>
  <c r="H826" i="7"/>
  <c r="F826" i="7"/>
  <c r="G826" i="7"/>
  <c r="L826" i="7"/>
  <c r="J826" i="7"/>
  <c r="I826" i="7"/>
  <c r="F687" i="7"/>
  <c r="J687" i="7"/>
  <c r="I700" i="7"/>
  <c r="H700" i="7"/>
  <c r="F700" i="7"/>
  <c r="G796" i="7"/>
  <c r="J796" i="7"/>
  <c r="H796" i="7"/>
  <c r="F1066" i="7"/>
  <c r="L638" i="7"/>
  <c r="H638" i="7"/>
  <c r="L653" i="7"/>
  <c r="J653" i="7"/>
  <c r="I653" i="7"/>
  <c r="H653" i="7"/>
  <c r="G653" i="7"/>
  <c r="F719" i="7"/>
  <c r="F724" i="7"/>
  <c r="H782" i="7"/>
  <c r="G782" i="7"/>
  <c r="F782" i="7"/>
  <c r="J782" i="7"/>
  <c r="L782" i="7"/>
  <c r="I782" i="7"/>
  <c r="F802" i="7"/>
  <c r="F907" i="7"/>
  <c r="J907" i="7"/>
  <c r="I907" i="7"/>
  <c r="L907" i="7"/>
  <c r="H907" i="7"/>
  <c r="G687" i="7"/>
  <c r="G700" i="7"/>
  <c r="J741" i="7"/>
  <c r="I741" i="7"/>
  <c r="G741" i="7"/>
  <c r="F741" i="7"/>
  <c r="L769" i="7"/>
  <c r="F796" i="7"/>
  <c r="L935" i="7"/>
  <c r="J935" i="7"/>
  <c r="H935" i="7"/>
  <c r="I935" i="7"/>
  <c r="G935" i="7"/>
  <c r="F935" i="7"/>
  <c r="I605" i="7"/>
  <c r="H605" i="7"/>
  <c r="H612" i="7"/>
  <c r="D629" i="7"/>
  <c r="F638" i="7"/>
  <c r="F653" i="7"/>
  <c r="H687" i="7"/>
  <c r="L696" i="7"/>
  <c r="J700" i="7"/>
  <c r="H719" i="7"/>
  <c r="I736" i="7"/>
  <c r="L736" i="7"/>
  <c r="H736" i="7"/>
  <c r="I796" i="7"/>
  <c r="I687" i="7"/>
  <c r="I710" i="7"/>
  <c r="H741" i="7"/>
  <c r="L796" i="7"/>
  <c r="J612" i="7"/>
  <c r="I638" i="7"/>
  <c r="F670" i="7"/>
  <c r="G670" i="7"/>
  <c r="L687" i="7"/>
  <c r="L692" i="7"/>
  <c r="H692" i="7"/>
  <c r="L700" i="7"/>
  <c r="L720" i="7"/>
  <c r="I720" i="7"/>
  <c r="J720" i="7"/>
  <c r="H720" i="7"/>
  <c r="G720" i="7"/>
  <c r="I753" i="7"/>
  <c r="H753" i="7"/>
  <c r="F753" i="7"/>
  <c r="L753" i="7"/>
  <c r="J753" i="7"/>
  <c r="G753" i="7"/>
  <c r="H975" i="7"/>
  <c r="G975" i="7"/>
  <c r="I975" i="7"/>
  <c r="F975" i="7"/>
  <c r="H378" i="7"/>
  <c r="F378" i="7"/>
  <c r="J443" i="7"/>
  <c r="H443" i="7"/>
  <c r="G443" i="7"/>
  <c r="L494" i="7"/>
  <c r="J494" i="7"/>
  <c r="I494" i="7"/>
  <c r="I557" i="7"/>
  <c r="H557" i="7"/>
  <c r="L557" i="7"/>
  <c r="J557" i="7"/>
  <c r="G557" i="7"/>
  <c r="J591" i="7"/>
  <c r="F591" i="7"/>
  <c r="L602" i="7"/>
  <c r="J602" i="7"/>
  <c r="I602" i="7"/>
  <c r="J605" i="7"/>
  <c r="H620" i="7"/>
  <c r="J620" i="7"/>
  <c r="G620" i="7"/>
  <c r="F620" i="7"/>
  <c r="L620" i="7"/>
  <c r="I620" i="7"/>
  <c r="H670" i="7"/>
  <c r="F692" i="7"/>
  <c r="H696" i="7"/>
  <c r="G710" i="7"/>
  <c r="F720" i="7"/>
  <c r="J736" i="7"/>
  <c r="D837" i="7"/>
  <c r="M839" i="7"/>
  <c r="M837" i="7" s="1"/>
  <c r="L986" i="7"/>
  <c r="I986" i="7"/>
  <c r="H986" i="7"/>
  <c r="F986" i="7"/>
  <c r="J986" i="7"/>
  <c r="L548" i="7"/>
  <c r="H564" i="7"/>
  <c r="J587" i="7"/>
  <c r="I587" i="7"/>
  <c r="I594" i="7"/>
  <c r="F607" i="7"/>
  <c r="H657" i="7"/>
  <c r="I729" i="7"/>
  <c r="D993" i="7"/>
  <c r="L383" i="7"/>
  <c r="L386" i="7"/>
  <c r="J386" i="7"/>
  <c r="I386" i="7"/>
  <c r="I617" i="7"/>
  <c r="J617" i="7"/>
  <c r="G617" i="7"/>
  <c r="F617" i="7"/>
  <c r="F701" i="7"/>
  <c r="G775" i="7"/>
  <c r="F775" i="7"/>
  <c r="L775" i="7"/>
  <c r="J775" i="7"/>
  <c r="I775" i="7"/>
  <c r="H775" i="7"/>
  <c r="J864" i="7"/>
  <c r="L864" i="7"/>
  <c r="H864" i="7"/>
  <c r="I864" i="7"/>
  <c r="G864" i="7"/>
  <c r="F864" i="7"/>
  <c r="H954" i="7"/>
  <c r="G954" i="7"/>
  <c r="L954" i="7"/>
  <c r="J954" i="7"/>
  <c r="M993" i="7"/>
  <c r="H42" i="7"/>
  <c r="L130" i="7"/>
  <c r="J321" i="7"/>
  <c r="H321" i="7"/>
  <c r="G321" i="7"/>
  <c r="F489" i="7"/>
  <c r="F495" i="7"/>
  <c r="F548" i="7"/>
  <c r="J561" i="7"/>
  <c r="F564" i="7"/>
  <c r="F587" i="7"/>
  <c r="F594" i="7"/>
  <c r="H604" i="7"/>
  <c r="G607" i="7"/>
  <c r="F627" i="7"/>
  <c r="F634" i="7"/>
  <c r="F657" i="7"/>
  <c r="F729" i="7"/>
  <c r="I781" i="7"/>
  <c r="H781" i="7"/>
  <c r="J781" i="7"/>
  <c r="G781" i="7"/>
  <c r="F781" i="7"/>
  <c r="F852" i="7"/>
  <c r="L852" i="7"/>
  <c r="J852" i="7"/>
  <c r="I852" i="7"/>
  <c r="H852" i="7"/>
  <c r="G852" i="7"/>
  <c r="D941" i="7"/>
  <c r="M954" i="7"/>
  <c r="M941" i="7" s="1"/>
  <c r="F647" i="7"/>
  <c r="L647" i="7"/>
  <c r="G721" i="7"/>
  <c r="F721" i="7"/>
  <c r="J721" i="7"/>
  <c r="L776" i="7"/>
  <c r="I776" i="7"/>
  <c r="H776" i="7"/>
  <c r="J776" i="7"/>
  <c r="G814" i="7"/>
  <c r="I814" i="7"/>
  <c r="L814" i="7"/>
  <c r="J841" i="7"/>
  <c r="F841" i="7"/>
  <c r="L841" i="7"/>
  <c r="I841" i="7"/>
  <c r="H841" i="7"/>
  <c r="G841" i="7"/>
  <c r="L477" i="7"/>
  <c r="L480" i="7"/>
  <c r="J480" i="7"/>
  <c r="I480" i="7"/>
  <c r="I548" i="7"/>
  <c r="J564" i="7"/>
  <c r="J581" i="7"/>
  <c r="L587" i="7"/>
  <c r="J594" i="7"/>
  <c r="J607" i="7"/>
  <c r="L617" i="7"/>
  <c r="H644" i="7"/>
  <c r="F644" i="7"/>
  <c r="L644" i="7"/>
  <c r="G647" i="7"/>
  <c r="J657" i="7"/>
  <c r="F661" i="7"/>
  <c r="J661" i="7"/>
  <c r="G683" i="7"/>
  <c r="I701" i="7"/>
  <c r="J709" i="7"/>
  <c r="H709" i="7"/>
  <c r="L709" i="7"/>
  <c r="H713" i="7"/>
  <c r="F713" i="7"/>
  <c r="J717" i="7"/>
  <c r="I717" i="7"/>
  <c r="G717" i="7"/>
  <c r="H721" i="7"/>
  <c r="J729" i="7"/>
  <c r="G758" i="7"/>
  <c r="F758" i="7"/>
  <c r="J758" i="7"/>
  <c r="H758" i="7"/>
  <c r="L781" i="7"/>
  <c r="J827" i="7"/>
  <c r="L827" i="7"/>
  <c r="I827" i="7"/>
  <c r="H827" i="7"/>
  <c r="G827" i="7"/>
  <c r="G847" i="7"/>
  <c r="J847" i="7"/>
  <c r="F853" i="7"/>
  <c r="J853" i="7"/>
  <c r="I853" i="7"/>
  <c r="H853" i="7"/>
  <c r="G853" i="7"/>
  <c r="F771" i="7"/>
  <c r="L771" i="7"/>
  <c r="J771" i="7"/>
  <c r="I771" i="7"/>
  <c r="H939" i="7"/>
  <c r="G939" i="7"/>
  <c r="F939" i="7"/>
  <c r="I939" i="7"/>
  <c r="H963" i="7"/>
  <c r="G963" i="7"/>
  <c r="F963" i="7"/>
  <c r="L872" i="7"/>
  <c r="J872" i="7"/>
  <c r="I872" i="7"/>
  <c r="H872" i="7"/>
  <c r="G872" i="7"/>
  <c r="J980" i="7"/>
  <c r="I980" i="7"/>
  <c r="H980" i="7"/>
  <c r="G980" i="7"/>
  <c r="F980" i="7"/>
  <c r="L980" i="7"/>
  <c r="L767" i="7"/>
  <c r="G767" i="7"/>
  <c r="F767" i="7"/>
  <c r="H771" i="7"/>
  <c r="F872" i="7"/>
  <c r="L1092" i="7"/>
  <c r="J1092" i="7"/>
  <c r="G1092" i="7"/>
  <c r="F1092" i="7"/>
  <c r="I1092" i="7"/>
  <c r="H1092" i="7"/>
  <c r="J1157" i="7"/>
  <c r="L1157" i="7"/>
  <c r="I1157" i="7"/>
  <c r="H1157" i="7"/>
  <c r="F1157" i="7"/>
  <c r="G1157" i="7"/>
  <c r="G810" i="7"/>
  <c r="L810" i="7"/>
  <c r="G896" i="7"/>
  <c r="F896" i="7"/>
  <c r="H896" i="7"/>
  <c r="L896" i="7"/>
  <c r="J896" i="7"/>
  <c r="I896" i="7"/>
  <c r="L963" i="7"/>
  <c r="H981" i="7"/>
  <c r="J981" i="7"/>
  <c r="I981" i="7"/>
  <c r="G981" i="7"/>
  <c r="L981" i="7"/>
  <c r="I783" i="7"/>
  <c r="J783" i="7"/>
  <c r="H783" i="7"/>
  <c r="G783" i="7"/>
  <c r="F783" i="7"/>
  <c r="J794" i="7"/>
  <c r="I794" i="7"/>
  <c r="H794" i="7"/>
  <c r="G794" i="7"/>
  <c r="J881" i="7"/>
  <c r="I881" i="7"/>
  <c r="L881" i="7"/>
  <c r="H881" i="7"/>
  <c r="G881" i="7"/>
  <c r="L1134" i="7"/>
  <c r="F1134" i="7"/>
  <c r="J1134" i="7"/>
  <c r="I1134" i="7"/>
  <c r="G1134" i="7"/>
  <c r="G1115" i="7"/>
  <c r="J1115" i="7"/>
  <c r="L1115" i="7"/>
  <c r="I1115" i="7"/>
  <c r="H1115" i="7"/>
  <c r="F727" i="7"/>
  <c r="J727" i="7"/>
  <c r="I727" i="7"/>
  <c r="L727" i="7"/>
  <c r="J784" i="7"/>
  <c r="I784" i="7"/>
  <c r="F784" i="7"/>
  <c r="L784" i="7"/>
  <c r="H784" i="7"/>
  <c r="J810" i="7"/>
  <c r="G868" i="7"/>
  <c r="J868" i="7"/>
  <c r="H868" i="7"/>
  <c r="I868" i="7"/>
  <c r="L868" i="7"/>
  <c r="J934" i="7"/>
  <c r="L934" i="7"/>
  <c r="I934" i="7"/>
  <c r="G934" i="7"/>
  <c r="I823" i="7"/>
  <c r="J823" i="7"/>
  <c r="H823" i="7"/>
  <c r="G823" i="7"/>
  <c r="F823" i="7"/>
  <c r="F1115" i="7"/>
  <c r="B837" i="7"/>
  <c r="F1011" i="7"/>
  <c r="L1011" i="7"/>
  <c r="H1011" i="7"/>
  <c r="J723" i="7"/>
  <c r="G764" i="7"/>
  <c r="F764" i="7"/>
  <c r="H844" i="7"/>
  <c r="G844" i="7"/>
  <c r="F844" i="7"/>
  <c r="G908" i="7"/>
  <c r="J908" i="7"/>
  <c r="I908" i="7"/>
  <c r="F908" i="7"/>
  <c r="I959" i="7"/>
  <c r="G959" i="7"/>
  <c r="F959" i="7"/>
  <c r="H959" i="7"/>
  <c r="F964" i="7"/>
  <c r="I964" i="7"/>
  <c r="H964" i="7"/>
  <c r="J964" i="7"/>
  <c r="L964" i="7"/>
  <c r="L988" i="7"/>
  <c r="J988" i="7"/>
  <c r="H988" i="7"/>
  <c r="G988" i="7"/>
  <c r="I988" i="7"/>
  <c r="F988" i="7"/>
  <c r="L1006" i="7"/>
  <c r="J1006" i="7"/>
  <c r="H1006" i="7"/>
  <c r="H1052" i="7"/>
  <c r="L1052" i="7"/>
  <c r="J1052" i="7"/>
  <c r="G1052" i="7"/>
  <c r="L572" i="7"/>
  <c r="J575" i="7"/>
  <c r="I697" i="7"/>
  <c r="H768" i="7"/>
  <c r="L815" i="7"/>
  <c r="G815" i="7"/>
  <c r="F815" i="7"/>
  <c r="F848" i="7"/>
  <c r="G848" i="7"/>
  <c r="J886" i="7"/>
  <c r="L886" i="7"/>
  <c r="I891" i="7"/>
  <c r="G891" i="7"/>
  <c r="H891" i="7"/>
  <c r="F891" i="7"/>
  <c r="L891" i="7"/>
  <c r="J891" i="7"/>
  <c r="L735" i="7"/>
  <c r="H761" i="7"/>
  <c r="G761" i="7"/>
  <c r="H764" i="7"/>
  <c r="G803" i="7"/>
  <c r="J803" i="7"/>
  <c r="I803" i="7"/>
  <c r="H803" i="7"/>
  <c r="I844" i="7"/>
  <c r="H908" i="7"/>
  <c r="G917" i="7"/>
  <c r="J917" i="7"/>
  <c r="L917" i="7"/>
  <c r="H917" i="7"/>
  <c r="F917" i="7"/>
  <c r="I946" i="7"/>
  <c r="H946" i="7"/>
  <c r="G946" i="7"/>
  <c r="F946" i="7"/>
  <c r="J959" i="7"/>
  <c r="G964" i="7"/>
  <c r="F1006" i="7"/>
  <c r="I1013" i="7"/>
  <c r="G1013" i="7"/>
  <c r="F1013" i="7"/>
  <c r="L1013" i="7"/>
  <c r="J1013" i="7"/>
  <c r="I1024" i="7"/>
  <c r="H1024" i="7"/>
  <c r="G1024" i="7"/>
  <c r="L1024" i="7"/>
  <c r="J1024" i="7"/>
  <c r="F1024" i="7"/>
  <c r="F1052" i="7"/>
  <c r="F572" i="7"/>
  <c r="F575" i="7"/>
  <c r="F579" i="7"/>
  <c r="H672" i="7"/>
  <c r="F675" i="7"/>
  <c r="F697" i="7"/>
  <c r="G723" i="7"/>
  <c r="I764" i="7"/>
  <c r="F768" i="7"/>
  <c r="H815" i="7"/>
  <c r="J844" i="7"/>
  <c r="H848" i="7"/>
  <c r="F886" i="7"/>
  <c r="F904" i="7"/>
  <c r="I904" i="7"/>
  <c r="L908" i="7"/>
  <c r="I955" i="7"/>
  <c r="L955" i="7"/>
  <c r="H955" i="7"/>
  <c r="L971" i="7"/>
  <c r="H971" i="7"/>
  <c r="G1006" i="7"/>
  <c r="I1052" i="7"/>
  <c r="I865" i="7"/>
  <c r="G865" i="7"/>
  <c r="H865" i="7"/>
  <c r="F865" i="7"/>
  <c r="H892" i="7"/>
  <c r="G892" i="7"/>
  <c r="F892" i="7"/>
  <c r="G922" i="7"/>
  <c r="F922" i="7"/>
  <c r="L922" i="7"/>
  <c r="L926" i="7"/>
  <c r="H926" i="7"/>
  <c r="G926" i="7"/>
  <c r="J926" i="7"/>
  <c r="H931" i="7"/>
  <c r="F931" i="7"/>
  <c r="J931" i="7"/>
  <c r="J965" i="7"/>
  <c r="I965" i="7"/>
  <c r="H965" i="7"/>
  <c r="G965" i="7"/>
  <c r="F965" i="7"/>
  <c r="H995" i="7"/>
  <c r="L995" i="7"/>
  <c r="J995" i="7"/>
  <c r="F995" i="7"/>
  <c r="I995" i="7"/>
  <c r="I1006" i="7"/>
  <c r="B1045" i="7"/>
  <c r="F1111" i="7"/>
  <c r="L1111" i="7"/>
  <c r="J1111" i="7"/>
  <c r="I1111" i="7"/>
  <c r="H1111" i="7"/>
  <c r="G1111" i="7"/>
  <c r="F909" i="7"/>
  <c r="L909" i="7"/>
  <c r="J909" i="7"/>
  <c r="H909" i="7"/>
  <c r="H977" i="7"/>
  <c r="G977" i="7"/>
  <c r="F977" i="7"/>
  <c r="J824" i="7"/>
  <c r="L824" i="7"/>
  <c r="F824" i="7"/>
  <c r="G947" i="7"/>
  <c r="G1078" i="7"/>
  <c r="J1078" i="7"/>
  <c r="I1078" i="7"/>
  <c r="L1078" i="7"/>
  <c r="H1078" i="7"/>
  <c r="F1078" i="7"/>
  <c r="F849" i="7"/>
  <c r="J849" i="7"/>
  <c r="I849" i="7"/>
  <c r="J874" i="7"/>
  <c r="I937" i="7"/>
  <c r="H951" i="7"/>
  <c r="G951" i="7"/>
  <c r="I951" i="7"/>
  <c r="L951" i="7"/>
  <c r="G966" i="7"/>
  <c r="F966" i="7"/>
  <c r="J966" i="7"/>
  <c r="L966" i="7"/>
  <c r="I977" i="7"/>
  <c r="L1019" i="7"/>
  <c r="F1019" i="7"/>
  <c r="I1019" i="7"/>
  <c r="H1019" i="7"/>
  <c r="G1019" i="7"/>
  <c r="J1019" i="7"/>
  <c r="H1026" i="7"/>
  <c r="G1026" i="7"/>
  <c r="F1026" i="7"/>
  <c r="L1026" i="7"/>
  <c r="I1026" i="7"/>
  <c r="L1033" i="7"/>
  <c r="J1033" i="7"/>
  <c r="H1033" i="7"/>
  <c r="F1033" i="7"/>
  <c r="F714" i="7"/>
  <c r="H808" i="7"/>
  <c r="G808" i="7"/>
  <c r="J820" i="7"/>
  <c r="H820" i="7"/>
  <c r="G824" i="7"/>
  <c r="G861" i="7"/>
  <c r="I861" i="7"/>
  <c r="H861" i="7"/>
  <c r="F861" i="7"/>
  <c r="J927" i="7"/>
  <c r="I927" i="7"/>
  <c r="F947" i="7"/>
  <c r="J977" i="7"/>
  <c r="G1002" i="7"/>
  <c r="J1002" i="7"/>
  <c r="L1002" i="7"/>
  <c r="I1002" i="7"/>
  <c r="L857" i="7"/>
  <c r="F857" i="7"/>
  <c r="H857" i="7"/>
  <c r="L932" i="7"/>
  <c r="I932" i="7"/>
  <c r="H932" i="7"/>
  <c r="G932" i="7"/>
  <c r="F932" i="7"/>
  <c r="G984" i="7"/>
  <c r="L984" i="7"/>
  <c r="J984" i="7"/>
  <c r="H984" i="7"/>
  <c r="F984" i="7"/>
  <c r="H728" i="7"/>
  <c r="J747" i="7"/>
  <c r="L747" i="7"/>
  <c r="I747" i="7"/>
  <c r="F747" i="7"/>
  <c r="J773" i="7"/>
  <c r="H773" i="7"/>
  <c r="F773" i="7"/>
  <c r="I777" i="7"/>
  <c r="H793" i="7"/>
  <c r="F808" i="7"/>
  <c r="F820" i="7"/>
  <c r="I824" i="7"/>
  <c r="G829" i="7"/>
  <c r="J829" i="7"/>
  <c r="H829" i="7"/>
  <c r="H849" i="7"/>
  <c r="J861" i="7"/>
  <c r="G874" i="7"/>
  <c r="I905" i="7"/>
  <c r="L905" i="7"/>
  <c r="H905" i="7"/>
  <c r="G905" i="7"/>
  <c r="F905" i="7"/>
  <c r="H914" i="7"/>
  <c r="J914" i="7"/>
  <c r="G914" i="7"/>
  <c r="F914" i="7"/>
  <c r="J923" i="7"/>
  <c r="I923" i="7"/>
  <c r="F927" i="7"/>
  <c r="G937" i="7"/>
  <c r="I947" i="7"/>
  <c r="J951" i="7"/>
  <c r="I966" i="7"/>
  <c r="L977" i="7"/>
  <c r="F1002" i="7"/>
  <c r="I1033" i="7"/>
  <c r="L849" i="7"/>
  <c r="G857" i="7"/>
  <c r="H874" i="7"/>
  <c r="G897" i="7"/>
  <c r="F897" i="7"/>
  <c r="J897" i="7"/>
  <c r="I897" i="7"/>
  <c r="J932" i="7"/>
  <c r="H943" i="7"/>
  <c r="G943" i="7"/>
  <c r="F943" i="7"/>
  <c r="J978" i="7"/>
  <c r="I978" i="7"/>
  <c r="H978" i="7"/>
  <c r="L978" i="7"/>
  <c r="F978" i="7"/>
  <c r="I984" i="7"/>
  <c r="G990" i="7"/>
  <c r="L990" i="7"/>
  <c r="J990" i="7"/>
  <c r="I990" i="7"/>
  <c r="H990" i="7"/>
  <c r="F990" i="7"/>
  <c r="F1020" i="7"/>
  <c r="M1048" i="7"/>
  <c r="M1045" i="7" s="1"/>
  <c r="D1045" i="7"/>
  <c r="C993" i="7"/>
  <c r="G1056" i="7"/>
  <c r="I1056" i="7"/>
  <c r="H1056" i="7"/>
  <c r="L1056" i="7"/>
  <c r="J1056" i="7"/>
  <c r="I797" i="7"/>
  <c r="J797" i="7"/>
  <c r="H797" i="7"/>
  <c r="L797" i="7"/>
  <c r="F850" i="7"/>
  <c r="I850" i="7"/>
  <c r="J857" i="7"/>
  <c r="I862" i="7"/>
  <c r="H862" i="7"/>
  <c r="H897" i="7"/>
  <c r="L927" i="7"/>
  <c r="I943" i="7"/>
  <c r="L947" i="7"/>
  <c r="G978" i="7"/>
  <c r="L985" i="7"/>
  <c r="I985" i="7"/>
  <c r="H985" i="7"/>
  <c r="G985" i="7"/>
  <c r="J985" i="7"/>
  <c r="G759" i="7"/>
  <c r="F759" i="7"/>
  <c r="F846" i="7"/>
  <c r="H846" i="7"/>
  <c r="G846" i="7"/>
  <c r="G854" i="7"/>
  <c r="H854" i="7"/>
  <c r="F854" i="7"/>
  <c r="L854" i="7"/>
  <c r="L874" i="7"/>
  <c r="L884" i="7"/>
  <c r="J884" i="7"/>
  <c r="I884" i="7"/>
  <c r="G884" i="7"/>
  <c r="L897" i="7"/>
  <c r="F906" i="7"/>
  <c r="H906" i="7"/>
  <c r="I906" i="7"/>
  <c r="G906" i="7"/>
  <c r="I919" i="7"/>
  <c r="F919" i="7"/>
  <c r="L919" i="7"/>
  <c r="H919" i="7"/>
  <c r="G919" i="7"/>
  <c r="L937" i="7"/>
  <c r="J943" i="7"/>
  <c r="I973" i="7"/>
  <c r="L973" i="7"/>
  <c r="J973" i="7"/>
  <c r="G973" i="7"/>
  <c r="L979" i="7"/>
  <c r="H979" i="7"/>
  <c r="G979" i="7"/>
  <c r="F979" i="7"/>
  <c r="I1028" i="7"/>
  <c r="F1028" i="7"/>
  <c r="L1028" i="7"/>
  <c r="J1028" i="7"/>
  <c r="F1056" i="7"/>
  <c r="I705" i="7"/>
  <c r="J725" i="7"/>
  <c r="J728" i="7"/>
  <c r="L744" i="7"/>
  <c r="J744" i="7"/>
  <c r="I744" i="7"/>
  <c r="L748" i="7"/>
  <c r="G748" i="7"/>
  <c r="F748" i="7"/>
  <c r="F790" i="7"/>
  <c r="J793" i="7"/>
  <c r="F797" i="7"/>
  <c r="L809" i="7"/>
  <c r="J809" i="7"/>
  <c r="I809" i="7"/>
  <c r="F809" i="7"/>
  <c r="F813" i="7"/>
  <c r="L817" i="7"/>
  <c r="G850" i="7"/>
  <c r="F862" i="7"/>
  <c r="I867" i="7"/>
  <c r="G867" i="7"/>
  <c r="L875" i="7"/>
  <c r="J875" i="7"/>
  <c r="H875" i="7"/>
  <c r="L938" i="7"/>
  <c r="F938" i="7"/>
  <c r="G938" i="7"/>
  <c r="F985" i="7"/>
  <c r="G1015" i="7"/>
  <c r="F1015" i="7"/>
  <c r="L1015" i="7"/>
  <c r="J1015" i="7"/>
  <c r="L702" i="7"/>
  <c r="F715" i="7"/>
  <c r="I715" i="7"/>
  <c r="H715" i="7"/>
  <c r="H759" i="7"/>
  <c r="G797" i="7"/>
  <c r="J821" i="7"/>
  <c r="F821" i="7"/>
  <c r="I821" i="7"/>
  <c r="G821" i="7"/>
  <c r="L834" i="7"/>
  <c r="I846" i="7"/>
  <c r="H850" i="7"/>
  <c r="I854" i="7"/>
  <c r="G862" i="7"/>
  <c r="F884" i="7"/>
  <c r="L943" i="7"/>
  <c r="G962" i="7"/>
  <c r="J962" i="7"/>
  <c r="I962" i="7"/>
  <c r="H962" i="7"/>
  <c r="L962" i="7"/>
  <c r="F962" i="7"/>
  <c r="H1057" i="7"/>
  <c r="I1073" i="7"/>
  <c r="H1073" i="7"/>
  <c r="J1073" i="7"/>
  <c r="G1073" i="7"/>
  <c r="F1073" i="7"/>
  <c r="L1073" i="7"/>
  <c r="L1133" i="7"/>
  <c r="I1133" i="7"/>
  <c r="H1133" i="7"/>
  <c r="G1133" i="7"/>
  <c r="L1093" i="7"/>
  <c r="J1093" i="7"/>
  <c r="J1542" i="7"/>
  <c r="I1542" i="7"/>
  <c r="G1542" i="7"/>
  <c r="H1542" i="7"/>
  <c r="F1542" i="7"/>
  <c r="L1542" i="7"/>
  <c r="G730" i="7"/>
  <c r="J751" i="7"/>
  <c r="I811" i="7"/>
  <c r="H883" i="7"/>
  <c r="G883" i="7"/>
  <c r="J952" i="7"/>
  <c r="L952" i="7"/>
  <c r="H960" i="7"/>
  <c r="G960" i="7"/>
  <c r="L960" i="7"/>
  <c r="F969" i="7"/>
  <c r="J1048" i="7"/>
  <c r="I1048" i="7"/>
  <c r="H1048" i="7"/>
  <c r="J1062" i="7"/>
  <c r="I1062" i="7"/>
  <c r="L770" i="7"/>
  <c r="J788" i="7"/>
  <c r="I788" i="7"/>
  <c r="I833" i="7"/>
  <c r="H833" i="7"/>
  <c r="J887" i="7"/>
  <c r="I887" i="7"/>
  <c r="H887" i="7"/>
  <c r="G902" i="7"/>
  <c r="F902" i="7"/>
  <c r="L928" i="7"/>
  <c r="F928" i="7"/>
  <c r="L983" i="7"/>
  <c r="I1029" i="7"/>
  <c r="H1029" i="7"/>
  <c r="G1029" i="7"/>
  <c r="I1067" i="7"/>
  <c r="J1067" i="7"/>
  <c r="H1067" i="7"/>
  <c r="L1067" i="7"/>
  <c r="G1067" i="7"/>
  <c r="F1067" i="7"/>
  <c r="G1093" i="7"/>
  <c r="I851" i="7"/>
  <c r="G851" i="7"/>
  <c r="F851" i="7"/>
  <c r="G910" i="7"/>
  <c r="G940" i="7"/>
  <c r="I940" i="7"/>
  <c r="J1068" i="7"/>
  <c r="I1068" i="7"/>
  <c r="H1168" i="7"/>
  <c r="G1168" i="7"/>
  <c r="F1168" i="7"/>
  <c r="L1168" i="7"/>
  <c r="J1168" i="7"/>
  <c r="J738" i="7"/>
  <c r="H770" i="7"/>
  <c r="H777" i="7"/>
  <c r="H788" i="7"/>
  <c r="J830" i="7"/>
  <c r="J833" i="7"/>
  <c r="L869" i="7"/>
  <c r="J869" i="7"/>
  <c r="I869" i="7"/>
  <c r="L887" i="7"/>
  <c r="G899" i="7"/>
  <c r="F899" i="7"/>
  <c r="J899" i="7"/>
  <c r="J902" i="7"/>
  <c r="I928" i="7"/>
  <c r="I945" i="7"/>
  <c r="H945" i="7"/>
  <c r="G945" i="7"/>
  <c r="L949" i="7"/>
  <c r="J949" i="7"/>
  <c r="I949" i="7"/>
  <c r="J953" i="7"/>
  <c r="I953" i="7"/>
  <c r="G961" i="7"/>
  <c r="F961" i="7"/>
  <c r="I1003" i="7"/>
  <c r="F1003" i="7"/>
  <c r="G1016" i="7"/>
  <c r="F1016" i="7"/>
  <c r="H1016" i="7"/>
  <c r="L1089" i="7"/>
  <c r="I1094" i="7"/>
  <c r="H1094" i="7"/>
  <c r="L1094" i="7"/>
  <c r="J1094" i="7"/>
  <c r="G1094" i="7"/>
  <c r="H1106" i="7"/>
  <c r="G1223" i="7"/>
  <c r="L1223" i="7"/>
  <c r="H1223" i="7"/>
  <c r="F1223" i="7"/>
  <c r="I1223" i="7"/>
  <c r="L730" i="7"/>
  <c r="L751" i="7"/>
  <c r="I770" i="7"/>
  <c r="L805" i="7"/>
  <c r="H851" i="7"/>
  <c r="L858" i="7"/>
  <c r="L902" i="7"/>
  <c r="F910" i="7"/>
  <c r="J928" i="7"/>
  <c r="F940" i="7"/>
  <c r="I983" i="7"/>
  <c r="G1008" i="7"/>
  <c r="L1008" i="7"/>
  <c r="J1025" i="7"/>
  <c r="F1025" i="7"/>
  <c r="G1025" i="7"/>
  <c r="L1029" i="7"/>
  <c r="J1039" i="7"/>
  <c r="I1039" i="7"/>
  <c r="L1054" i="7"/>
  <c r="F1058" i="7"/>
  <c r="I1058" i="7"/>
  <c r="H1058" i="7"/>
  <c r="G1058" i="7"/>
  <c r="F1068" i="7"/>
  <c r="I1168" i="7"/>
  <c r="L925" i="7"/>
  <c r="J970" i="7"/>
  <c r="I970" i="7"/>
  <c r="H970" i="7"/>
  <c r="G970" i="7"/>
  <c r="F1012" i="7"/>
  <c r="J1223" i="7"/>
  <c r="G1030" i="7"/>
  <c r="L1030" i="7"/>
  <c r="J1030" i="7"/>
  <c r="I1030" i="7"/>
  <c r="H1068" i="7"/>
  <c r="G1089" i="7"/>
  <c r="G1101" i="7"/>
  <c r="J1101" i="7"/>
  <c r="L1101" i="7"/>
  <c r="I1101" i="7"/>
  <c r="H1101" i="7"/>
  <c r="F1101" i="7"/>
  <c r="L1137" i="7"/>
  <c r="J1137" i="7"/>
  <c r="I1137" i="7"/>
  <c r="H1137" i="7"/>
  <c r="G1137" i="7"/>
  <c r="F1137" i="7"/>
  <c r="M1325" i="7"/>
  <c r="C1305" i="7" s="1"/>
  <c r="D1305" i="7"/>
  <c r="I1035" i="7"/>
  <c r="H1035" i="7"/>
  <c r="G1035" i="7"/>
  <c r="H1089" i="7"/>
  <c r="H1162" i="7"/>
  <c r="G1162" i="7"/>
  <c r="L1162" i="7"/>
  <c r="J1162" i="7"/>
  <c r="H1021" i="7"/>
  <c r="G1021" i="7"/>
  <c r="F1021" i="7"/>
  <c r="I1021" i="7"/>
  <c r="H1080" i="7"/>
  <c r="G1080" i="7"/>
  <c r="F1080" i="7"/>
  <c r="G1279" i="7"/>
  <c r="L1279" i="7"/>
  <c r="F1279" i="7"/>
  <c r="J1279" i="7"/>
  <c r="H1279" i="7"/>
  <c r="G1291" i="7"/>
  <c r="L1291" i="7"/>
  <c r="H1291" i="7"/>
  <c r="F1291" i="7"/>
  <c r="I1291" i="7"/>
  <c r="J1291" i="7"/>
  <c r="I1064" i="7"/>
  <c r="H1064" i="7"/>
  <c r="J1225" i="7"/>
  <c r="G1225" i="7"/>
  <c r="I1225" i="7"/>
  <c r="H1225" i="7"/>
  <c r="F1225" i="7"/>
  <c r="L1225" i="7"/>
  <c r="I1279" i="7"/>
  <c r="I1139" i="7"/>
  <c r="L1139" i="7"/>
  <c r="G1139" i="7"/>
  <c r="L1280" i="7"/>
  <c r="J1280" i="7"/>
  <c r="I1280" i="7"/>
  <c r="G1280" i="7"/>
  <c r="H1280" i="7"/>
  <c r="F1280" i="7"/>
  <c r="G976" i="7"/>
  <c r="H976" i="7"/>
  <c r="F976" i="7"/>
  <c r="L1000" i="7"/>
  <c r="F1022" i="7"/>
  <c r="L1022" i="7"/>
  <c r="L1036" i="7"/>
  <c r="J1036" i="7"/>
  <c r="H1036" i="7"/>
  <c r="G1036" i="7"/>
  <c r="J1064" i="7"/>
  <c r="L1103" i="7"/>
  <c r="J1103" i="7"/>
  <c r="F1139" i="7"/>
  <c r="L1064" i="7"/>
  <c r="I1081" i="7"/>
  <c r="F1081" i="7"/>
  <c r="L1081" i="7"/>
  <c r="J1081" i="7"/>
  <c r="J1113" i="7"/>
  <c r="L1113" i="7"/>
  <c r="I1113" i="7"/>
  <c r="J1139" i="7"/>
  <c r="H1018" i="7"/>
  <c r="G1018" i="7"/>
  <c r="F1018" i="7"/>
  <c r="G1081" i="7"/>
  <c r="F1113" i="7"/>
  <c r="F1271" i="7"/>
  <c r="I1271" i="7"/>
  <c r="H1271" i="7"/>
  <c r="G1271" i="7"/>
  <c r="L1271" i="7"/>
  <c r="J1271" i="7"/>
  <c r="I1041" i="7"/>
  <c r="H1041" i="7"/>
  <c r="G1041" i="7"/>
  <c r="F1041" i="7"/>
  <c r="L1071" i="7"/>
  <c r="J1071" i="7"/>
  <c r="I1071" i="7"/>
  <c r="H1071" i="7"/>
  <c r="G1071" i="7"/>
  <c r="I1076" i="7"/>
  <c r="H1076" i="7"/>
  <c r="L1076" i="7"/>
  <c r="H1081" i="7"/>
  <c r="C1097" i="7"/>
  <c r="B1097" i="7"/>
  <c r="G1113" i="7"/>
  <c r="F743" i="7"/>
  <c r="F769" i="7"/>
  <c r="D785" i="7"/>
  <c r="G800" i="7"/>
  <c r="I800" i="7"/>
  <c r="J800" i="7"/>
  <c r="G828" i="7"/>
  <c r="L828" i="7"/>
  <c r="F828" i="7"/>
  <c r="J871" i="7"/>
  <c r="L976" i="7"/>
  <c r="I1000" i="7"/>
  <c r="I1018" i="7"/>
  <c r="J1022" i="7"/>
  <c r="J1032" i="7"/>
  <c r="I1032" i="7"/>
  <c r="H1032" i="7"/>
  <c r="L1032" i="7"/>
  <c r="I1082" i="7"/>
  <c r="H1082" i="7"/>
  <c r="J1082" i="7"/>
  <c r="G1082" i="7"/>
  <c r="F1082" i="7"/>
  <c r="I1103" i="7"/>
  <c r="H1113" i="7"/>
  <c r="M1208" i="7"/>
  <c r="C1201" i="7" s="1"/>
  <c r="D1201" i="7"/>
  <c r="G1044" i="7"/>
  <c r="J1044" i="7"/>
  <c r="I1044" i="7"/>
  <c r="L1065" i="7"/>
  <c r="G1065" i="7"/>
  <c r="F1065" i="7"/>
  <c r="L1086" i="7"/>
  <c r="J1090" i="7"/>
  <c r="G1090" i="7"/>
  <c r="F1090" i="7"/>
  <c r="J1104" i="7"/>
  <c r="F1108" i="7"/>
  <c r="L1108" i="7"/>
  <c r="J1108" i="7"/>
  <c r="I1135" i="7"/>
  <c r="H1135" i="7"/>
  <c r="F1135" i="7"/>
  <c r="L1135" i="7"/>
  <c r="I1174" i="7"/>
  <c r="G1174" i="7"/>
  <c r="F1174" i="7"/>
  <c r="L1174" i="7"/>
  <c r="H1174" i="7"/>
  <c r="J1174" i="7"/>
  <c r="G1187" i="7"/>
  <c r="H1242" i="7"/>
  <c r="J1242" i="7"/>
  <c r="L1242" i="7"/>
  <c r="I1242" i="7"/>
  <c r="G1242" i="7"/>
  <c r="F916" i="7"/>
  <c r="G948" i="7"/>
  <c r="I948" i="7"/>
  <c r="H948" i="7"/>
  <c r="I999" i="7"/>
  <c r="G999" i="7"/>
  <c r="F999" i="7"/>
  <c r="I1049" i="7"/>
  <c r="L1049" i="7"/>
  <c r="L1125" i="7"/>
  <c r="L1146" i="7"/>
  <c r="J1146" i="7"/>
  <c r="F1146" i="7"/>
  <c r="I1095" i="7"/>
  <c r="J1095" i="7"/>
  <c r="G1100" i="7"/>
  <c r="F1100" i="7"/>
  <c r="L1141" i="7"/>
  <c r="J1141" i="7"/>
  <c r="I1141" i="7"/>
  <c r="H1141" i="7"/>
  <c r="L1235" i="7"/>
  <c r="J1235" i="7"/>
  <c r="I1235" i="7"/>
  <c r="H1235" i="7"/>
  <c r="J818" i="7"/>
  <c r="G882" i="7"/>
  <c r="L882" i="7"/>
  <c r="F903" i="7"/>
  <c r="F913" i="7"/>
  <c r="H916" i="7"/>
  <c r="J948" i="7"/>
  <c r="L991" i="7"/>
  <c r="J999" i="7"/>
  <c r="L1044" i="7"/>
  <c r="G1049" i="7"/>
  <c r="J1065" i="7"/>
  <c r="H1086" i="7"/>
  <c r="D1097" i="7"/>
  <c r="H1104" i="7"/>
  <c r="I1108" i="7"/>
  <c r="G1125" i="7"/>
  <c r="J1136" i="7"/>
  <c r="H1136" i="7"/>
  <c r="G1136" i="7"/>
  <c r="F1136" i="7"/>
  <c r="H1146" i="7"/>
  <c r="J1164" i="7"/>
  <c r="I1164" i="7"/>
  <c r="G1164" i="7"/>
  <c r="I1153" i="7"/>
  <c r="H1153" i="7"/>
  <c r="H1182" i="7"/>
  <c r="G1182" i="7"/>
  <c r="F1182" i="7"/>
  <c r="L1182" i="7"/>
  <c r="H1210" i="7"/>
  <c r="G1210" i="7"/>
  <c r="J1210" i="7"/>
  <c r="L1210" i="7"/>
  <c r="I1210" i="7"/>
  <c r="L1218" i="7"/>
  <c r="J1218" i="7"/>
  <c r="H1218" i="7"/>
  <c r="G1218" i="7"/>
  <c r="F1235" i="7"/>
  <c r="L1083" i="7"/>
  <c r="J1083" i="7"/>
  <c r="H1091" i="7"/>
  <c r="G1091" i="7"/>
  <c r="J1091" i="7"/>
  <c r="I1091" i="7"/>
  <c r="H1095" i="7"/>
  <c r="J1100" i="7"/>
  <c r="F1153" i="7"/>
  <c r="L1176" i="7"/>
  <c r="J1176" i="7"/>
  <c r="H1176" i="7"/>
  <c r="F1176" i="7"/>
  <c r="I1182" i="7"/>
  <c r="F1210" i="7"/>
  <c r="F1218" i="7"/>
  <c r="L1190" i="7"/>
  <c r="J1190" i="7"/>
  <c r="H1190" i="7"/>
  <c r="I1190" i="7"/>
  <c r="G1190" i="7"/>
  <c r="F1190" i="7"/>
  <c r="J1229" i="7"/>
  <c r="L1153" i="7"/>
  <c r="G1177" i="7"/>
  <c r="F1177" i="7"/>
  <c r="L1177" i="7"/>
  <c r="I1177" i="7"/>
  <c r="J1177" i="7"/>
  <c r="H1177" i="7"/>
  <c r="I1330" i="7"/>
  <c r="L1330" i="7"/>
  <c r="J1330" i="7"/>
  <c r="H1330" i="7"/>
  <c r="G1330" i="7"/>
  <c r="F1330" i="7"/>
  <c r="J1118" i="7"/>
  <c r="F1148" i="7"/>
  <c r="J1148" i="7"/>
  <c r="H1148" i="7"/>
  <c r="G1148" i="7"/>
  <c r="F1122" i="7"/>
  <c r="L1122" i="7"/>
  <c r="J1122" i="7"/>
  <c r="I1122" i="7"/>
  <c r="H1122" i="7"/>
  <c r="G1132" i="7"/>
  <c r="I1154" i="7"/>
  <c r="H1154" i="7"/>
  <c r="G1154" i="7"/>
  <c r="J1154" i="7"/>
  <c r="F1154" i="7"/>
  <c r="J779" i="7"/>
  <c r="H779" i="7"/>
  <c r="G779" i="7"/>
  <c r="G840" i="7"/>
  <c r="F840" i="7"/>
  <c r="L866" i="7"/>
  <c r="J866" i="7"/>
  <c r="G894" i="7"/>
  <c r="F894" i="7"/>
  <c r="I894" i="7"/>
  <c r="H894" i="7"/>
  <c r="H957" i="7"/>
  <c r="G957" i="7"/>
  <c r="L997" i="7"/>
  <c r="J997" i="7"/>
  <c r="H1005" i="7"/>
  <c r="L1005" i="7"/>
  <c r="H1038" i="7"/>
  <c r="G1038" i="7"/>
  <c r="F1038" i="7"/>
  <c r="L1042" i="7"/>
  <c r="J1042" i="7"/>
  <c r="I1042" i="7"/>
  <c r="F1118" i="7"/>
  <c r="G1143" i="7"/>
  <c r="L1143" i="7"/>
  <c r="J1143" i="7"/>
  <c r="I1143" i="7"/>
  <c r="H1143" i="7"/>
  <c r="I1148" i="7"/>
  <c r="H836" i="7"/>
  <c r="G836" i="7"/>
  <c r="F873" i="7"/>
  <c r="G873" i="7"/>
  <c r="I911" i="7"/>
  <c r="J911" i="7"/>
  <c r="H1001" i="7"/>
  <c r="G1001" i="7"/>
  <c r="F1001" i="7"/>
  <c r="L1051" i="7"/>
  <c r="J1051" i="7"/>
  <c r="I1059" i="7"/>
  <c r="H1059" i="7"/>
  <c r="L1059" i="7"/>
  <c r="J1063" i="7"/>
  <c r="G1063" i="7"/>
  <c r="F1063" i="7"/>
  <c r="H1102" i="7"/>
  <c r="G1102" i="7"/>
  <c r="J1102" i="7"/>
  <c r="F1106" i="7"/>
  <c r="L1110" i="7"/>
  <c r="I1110" i="7"/>
  <c r="H1110" i="7"/>
  <c r="G1110" i="7"/>
  <c r="G1118" i="7"/>
  <c r="G1122" i="7"/>
  <c r="L1154" i="7"/>
  <c r="H1160" i="7"/>
  <c r="L1160" i="7"/>
  <c r="I1160" i="7"/>
  <c r="G1160" i="7"/>
  <c r="I1166" i="7"/>
  <c r="F1166" i="7"/>
  <c r="L1166" i="7"/>
  <c r="H1166" i="7"/>
  <c r="G1023" i="7"/>
  <c r="F1023" i="7"/>
  <c r="H1031" i="7"/>
  <c r="F1031" i="7"/>
  <c r="G1106" i="7"/>
  <c r="H1118" i="7"/>
  <c r="J1127" i="7"/>
  <c r="I1127" i="7"/>
  <c r="L1127" i="7"/>
  <c r="F1127" i="7"/>
  <c r="L1148" i="7"/>
  <c r="I1027" i="7"/>
  <c r="J1027" i="7"/>
  <c r="H1027" i="7"/>
  <c r="F1051" i="7"/>
  <c r="F1059" i="7"/>
  <c r="H1063" i="7"/>
  <c r="F1102" i="7"/>
  <c r="F1110" i="7"/>
  <c r="I1118" i="7"/>
  <c r="L1144" i="7"/>
  <c r="H1144" i="7"/>
  <c r="G1144" i="7"/>
  <c r="F1144" i="7"/>
  <c r="F1160" i="7"/>
  <c r="G1166" i="7"/>
  <c r="H1192" i="7"/>
  <c r="I1192" i="7"/>
  <c r="G1192" i="7"/>
  <c r="L1192" i="7"/>
  <c r="J1192" i="7"/>
  <c r="I1230" i="7"/>
  <c r="H1230" i="7"/>
  <c r="G1230" i="7"/>
  <c r="J1230" i="7"/>
  <c r="F1230" i="7"/>
  <c r="H1213" i="7"/>
  <c r="G1213" i="7"/>
  <c r="F1213" i="7"/>
  <c r="G936" i="7"/>
  <c r="L982" i="7"/>
  <c r="I1053" i="7"/>
  <c r="G1053" i="7"/>
  <c r="F1053" i="7"/>
  <c r="F1105" i="7"/>
  <c r="L1105" i="7"/>
  <c r="J1175" i="7"/>
  <c r="I1175" i="7"/>
  <c r="L1193" i="7"/>
  <c r="I1193" i="7"/>
  <c r="H1193" i="7"/>
  <c r="G1193" i="7"/>
  <c r="H1219" i="7"/>
  <c r="L1219" i="7"/>
  <c r="J1219" i="7"/>
  <c r="G1219" i="7"/>
  <c r="F1219" i="7"/>
  <c r="L1272" i="7"/>
  <c r="J1272" i="7"/>
  <c r="I1272" i="7"/>
  <c r="H1272" i="7"/>
  <c r="F1272" i="7"/>
  <c r="G1272" i="7"/>
  <c r="F757" i="7"/>
  <c r="H870" i="7"/>
  <c r="G1070" i="7"/>
  <c r="J1070" i="7"/>
  <c r="I1070" i="7"/>
  <c r="I1112" i="7"/>
  <c r="H1112" i="7"/>
  <c r="G1112" i="7"/>
  <c r="G1119" i="7"/>
  <c r="I1188" i="7"/>
  <c r="J1213" i="7"/>
  <c r="H732" i="7"/>
  <c r="H754" i="7"/>
  <c r="I933" i="7"/>
  <c r="F936" i="7"/>
  <c r="L972" i="7"/>
  <c r="G972" i="7"/>
  <c r="F972" i="7"/>
  <c r="F982" i="7"/>
  <c r="L996" i="7"/>
  <c r="F1050" i="7"/>
  <c r="H1053" i="7"/>
  <c r="G1105" i="7"/>
  <c r="G1163" i="7"/>
  <c r="I1163" i="7"/>
  <c r="F1163" i="7"/>
  <c r="F1175" i="7"/>
  <c r="F1193" i="7"/>
  <c r="I1198" i="7"/>
  <c r="H1198" i="7"/>
  <c r="G1198" i="7"/>
  <c r="L1213" i="7"/>
  <c r="I1219" i="7"/>
  <c r="I1116" i="7"/>
  <c r="L1130" i="7"/>
  <c r="H1175" i="7"/>
  <c r="F1198" i="7"/>
  <c r="I1209" i="7"/>
  <c r="J1209" i="7"/>
  <c r="H1209" i="7"/>
  <c r="G1209" i="7"/>
  <c r="H1214" i="7"/>
  <c r="I1214" i="7"/>
  <c r="G1214" i="7"/>
  <c r="L1283" i="7"/>
  <c r="J1105" i="7"/>
  <c r="G1155" i="7"/>
  <c r="I1155" i="7"/>
  <c r="H1155" i="7"/>
  <c r="H1159" i="7"/>
  <c r="G1159" i="7"/>
  <c r="J1159" i="7"/>
  <c r="L1175" i="7"/>
  <c r="F1226" i="7"/>
  <c r="J1251" i="7"/>
  <c r="L1259" i="7"/>
  <c r="J1259" i="7"/>
  <c r="I1259" i="7"/>
  <c r="H1259" i="7"/>
  <c r="G1259" i="7"/>
  <c r="F1259" i="7"/>
  <c r="F1283" i="7"/>
  <c r="L1244" i="7"/>
  <c r="H1244" i="7"/>
  <c r="G1244" i="7"/>
  <c r="F1244" i="7"/>
  <c r="J1244" i="7"/>
  <c r="I1244" i="7"/>
  <c r="F1312" i="7"/>
  <c r="L1312" i="7"/>
  <c r="J1312" i="7"/>
  <c r="I1312" i="7"/>
  <c r="H1312" i="7"/>
  <c r="G1312" i="7"/>
  <c r="F1301" i="7"/>
  <c r="G1301" i="7"/>
  <c r="L1301" i="7"/>
  <c r="J1301" i="7"/>
  <c r="H1301" i="7"/>
  <c r="I1189" i="7"/>
  <c r="G1189" i="7"/>
  <c r="F1189" i="7"/>
  <c r="J1189" i="7"/>
  <c r="H1189" i="7"/>
  <c r="I1283" i="7"/>
  <c r="L1131" i="7"/>
  <c r="L1189" i="7"/>
  <c r="L1226" i="7"/>
  <c r="L1251" i="7"/>
  <c r="F1233" i="7"/>
  <c r="L1233" i="7"/>
  <c r="J1233" i="7"/>
  <c r="I1233" i="7"/>
  <c r="H1233" i="7"/>
  <c r="G1233" i="7"/>
  <c r="J1124" i="7"/>
  <c r="F1131" i="7"/>
  <c r="I1152" i="7"/>
  <c r="F1152" i="7"/>
  <c r="J1152" i="7"/>
  <c r="I1181" i="7"/>
  <c r="L1181" i="7"/>
  <c r="L1185" i="7"/>
  <c r="J1185" i="7"/>
  <c r="F1185" i="7"/>
  <c r="M1267" i="7"/>
  <c r="M1253" i="7" s="1"/>
  <c r="D1253" i="7"/>
  <c r="G1169" i="7"/>
  <c r="L1200" i="7"/>
  <c r="I1200" i="7"/>
  <c r="F1200" i="7"/>
  <c r="I1206" i="7"/>
  <c r="I987" i="7"/>
  <c r="F987" i="7"/>
  <c r="L987" i="7"/>
  <c r="H1075" i="7"/>
  <c r="G1075" i="7"/>
  <c r="F1075" i="7"/>
  <c r="L1107" i="7"/>
  <c r="J1107" i="7"/>
  <c r="G1124" i="7"/>
  <c r="I1131" i="7"/>
  <c r="H1152" i="7"/>
  <c r="F1169" i="7"/>
  <c r="G1181" i="7"/>
  <c r="H1185" i="7"/>
  <c r="G1200" i="7"/>
  <c r="I1286" i="7"/>
  <c r="H1286" i="7"/>
  <c r="G1286" i="7"/>
  <c r="J1286" i="7"/>
  <c r="L1286" i="7"/>
  <c r="F1286" i="7"/>
  <c r="J878" i="7"/>
  <c r="G1055" i="7"/>
  <c r="J1121" i="7"/>
  <c r="H1124" i="7"/>
  <c r="J1131" i="7"/>
  <c r="L1152" i="7"/>
  <c r="H1169" i="7"/>
  <c r="I1173" i="7"/>
  <c r="H1173" i="7"/>
  <c r="H1181" i="7"/>
  <c r="I1185" i="7"/>
  <c r="L1196" i="7"/>
  <c r="H1196" i="7"/>
  <c r="H1200" i="7"/>
  <c r="F1206" i="7"/>
  <c r="H958" i="7"/>
  <c r="G987" i="7"/>
  <c r="H998" i="7"/>
  <c r="J1072" i="7"/>
  <c r="F1072" i="7"/>
  <c r="I1075" i="7"/>
  <c r="I1079" i="7"/>
  <c r="H1079" i="7"/>
  <c r="I1124" i="7"/>
  <c r="M1149" i="7"/>
  <c r="L1161" i="7"/>
  <c r="I1161" i="7"/>
  <c r="J1161" i="7"/>
  <c r="H1161" i="7"/>
  <c r="G1161" i="7"/>
  <c r="I1169" i="7"/>
  <c r="J1181" i="7"/>
  <c r="J1186" i="7"/>
  <c r="F1186" i="7"/>
  <c r="J1200" i="7"/>
  <c r="G1206" i="7"/>
  <c r="L1278" i="7"/>
  <c r="J1278" i="7"/>
  <c r="G1278" i="7"/>
  <c r="F1278" i="7"/>
  <c r="H1278" i="7"/>
  <c r="B1305" i="7"/>
  <c r="I1336" i="7"/>
  <c r="L1336" i="7"/>
  <c r="J1336" i="7"/>
  <c r="F1336" i="7"/>
  <c r="G1203" i="7"/>
  <c r="J1203" i="7"/>
  <c r="J1239" i="7"/>
  <c r="H1239" i="7"/>
  <c r="L1247" i="7"/>
  <c r="J1247" i="7"/>
  <c r="I1247" i="7"/>
  <c r="H1247" i="7"/>
  <c r="G1267" i="7"/>
  <c r="L1267" i="7"/>
  <c r="L1296" i="7"/>
  <c r="J1296" i="7"/>
  <c r="I1296" i="7"/>
  <c r="H1296" i="7"/>
  <c r="G1296" i="7"/>
  <c r="L762" i="7"/>
  <c r="G1010" i="7"/>
  <c r="G1088" i="7"/>
  <c r="F1088" i="7"/>
  <c r="F1099" i="7"/>
  <c r="I1099" i="7"/>
  <c r="H1099" i="7"/>
  <c r="I1156" i="7"/>
  <c r="H1156" i="7"/>
  <c r="H1203" i="7"/>
  <c r="I1207" i="7"/>
  <c r="G1239" i="7"/>
  <c r="G1247" i="7"/>
  <c r="H1267" i="7"/>
  <c r="J765" i="7"/>
  <c r="H1004" i="7"/>
  <c r="G1007" i="7"/>
  <c r="H1085" i="7"/>
  <c r="G1085" i="7"/>
  <c r="J1138" i="7"/>
  <c r="H1138" i="7"/>
  <c r="F1195" i="7"/>
  <c r="L1195" i="7"/>
  <c r="I1195" i="7"/>
  <c r="H1195" i="7"/>
  <c r="I1203" i="7"/>
  <c r="J1211" i="7"/>
  <c r="L1211" i="7"/>
  <c r="G1211" i="7"/>
  <c r="I1215" i="7"/>
  <c r="H1215" i="7"/>
  <c r="G1215" i="7"/>
  <c r="J1215" i="7"/>
  <c r="I1239" i="7"/>
  <c r="I1267" i="7"/>
  <c r="L1364" i="7"/>
  <c r="J1364" i="7"/>
  <c r="I1364" i="7"/>
  <c r="H1364" i="7"/>
  <c r="F1364" i="7"/>
  <c r="H1142" i="7"/>
  <c r="L1203" i="7"/>
  <c r="L1239" i="7"/>
  <c r="L1236" i="7"/>
  <c r="F1236" i="7"/>
  <c r="L1269" i="7"/>
  <c r="H1269" i="7"/>
  <c r="J1466" i="7"/>
  <c r="F1466" i="7"/>
  <c r="I1466" i="7"/>
  <c r="G1466" i="7"/>
  <c r="H1466" i="7"/>
  <c r="L1466" i="7"/>
  <c r="F1315" i="7"/>
  <c r="L1315" i="7"/>
  <c r="F1269" i="7"/>
  <c r="J1407" i="7"/>
  <c r="L1407" i="7"/>
  <c r="H1407" i="7"/>
  <c r="I1407" i="7"/>
  <c r="F1407" i="7"/>
  <c r="J1236" i="7"/>
  <c r="L1255" i="7"/>
  <c r="J1255" i="7"/>
  <c r="G1269" i="7"/>
  <c r="G1315" i="7"/>
  <c r="J1386" i="7"/>
  <c r="L1386" i="7"/>
  <c r="H1386" i="7"/>
  <c r="G1386" i="7"/>
  <c r="I1269" i="7"/>
  <c r="F1275" i="7"/>
  <c r="H1315" i="7"/>
  <c r="G1407" i="7"/>
  <c r="L1188" i="7"/>
  <c r="L1221" i="7"/>
  <c r="J1269" i="7"/>
  <c r="I1315" i="7"/>
  <c r="H1332" i="7"/>
  <c r="F1332" i="7"/>
  <c r="J1332" i="7"/>
  <c r="I1332" i="7"/>
  <c r="G1332" i="7"/>
  <c r="F1386" i="7"/>
  <c r="J1315" i="7"/>
  <c r="I1386" i="7"/>
  <c r="L1332" i="7"/>
  <c r="I1387" i="7"/>
  <c r="G1387" i="7"/>
  <c r="H1387" i="7"/>
  <c r="J1387" i="7"/>
  <c r="F1387" i="7"/>
  <c r="L1387" i="7"/>
  <c r="F1172" i="7"/>
  <c r="J1324" i="7"/>
  <c r="F1324" i="7"/>
  <c r="L1324" i="7"/>
  <c r="I1324" i="7"/>
  <c r="F1349" i="7"/>
  <c r="I1349" i="7"/>
  <c r="H1349" i="7"/>
  <c r="J1349" i="7"/>
  <c r="L1349" i="7"/>
  <c r="G1349" i="7"/>
  <c r="F1378" i="7"/>
  <c r="J1378" i="7"/>
  <c r="I1378" i="7"/>
  <c r="G1378" i="7"/>
  <c r="L1378" i="7"/>
  <c r="H1378" i="7"/>
  <c r="L1151" i="7"/>
  <c r="I1261" i="7"/>
  <c r="G1261" i="7"/>
  <c r="F1261" i="7"/>
  <c r="H1288" i="7"/>
  <c r="G1288" i="7"/>
  <c r="F1288" i="7"/>
  <c r="G1342" i="7"/>
  <c r="J1342" i="7"/>
  <c r="I1342" i="7"/>
  <c r="H1342" i="7"/>
  <c r="F1342" i="7"/>
  <c r="I1140" i="7"/>
  <c r="L1140" i="7"/>
  <c r="J1158" i="7"/>
  <c r="I1158" i="7"/>
  <c r="G1158" i="7"/>
  <c r="G1172" i="7"/>
  <c r="J1221" i="7"/>
  <c r="G1171" i="7"/>
  <c r="F1171" i="7"/>
  <c r="G1208" i="7"/>
  <c r="L1208" i="7"/>
  <c r="H1356" i="7"/>
  <c r="G1356" i="7"/>
  <c r="L1356" i="7"/>
  <c r="J1356" i="7"/>
  <c r="I1356" i="7"/>
  <c r="F1356" i="7"/>
  <c r="F1117" i="7"/>
  <c r="G1129" i="7"/>
  <c r="F1132" i="7"/>
  <c r="G1145" i="7"/>
  <c r="H1171" i="7"/>
  <c r="F1187" i="7"/>
  <c r="F1208" i="7"/>
  <c r="H1264" i="7"/>
  <c r="L1264" i="7"/>
  <c r="J1264" i="7"/>
  <c r="I1264" i="7"/>
  <c r="I1285" i="7"/>
  <c r="I1316" i="7"/>
  <c r="G1316" i="7"/>
  <c r="L1316" i="7"/>
  <c r="J1316" i="7"/>
  <c r="H1316" i="7"/>
  <c r="C1357" i="7"/>
  <c r="B1357" i="7"/>
  <c r="F1034" i="7"/>
  <c r="F1114" i="7"/>
  <c r="H1165" i="7"/>
  <c r="G1165" i="7"/>
  <c r="I1171" i="7"/>
  <c r="J1184" i="7"/>
  <c r="H1205" i="7"/>
  <c r="J1205" i="7"/>
  <c r="H1208" i="7"/>
  <c r="H1216" i="7"/>
  <c r="J1326" i="7"/>
  <c r="L1326" i="7"/>
  <c r="I1326" i="7"/>
  <c r="H1326" i="7"/>
  <c r="G1326" i="7"/>
  <c r="F1257" i="7"/>
  <c r="J1257" i="7"/>
  <c r="I1408" i="7"/>
  <c r="G1408" i="7"/>
  <c r="L1408" i="7"/>
  <c r="J1408" i="7"/>
  <c r="H1408" i="7"/>
  <c r="F1245" i="7"/>
  <c r="L1302" i="7"/>
  <c r="J1302" i="7"/>
  <c r="I1302" i="7"/>
  <c r="H1302" i="7"/>
  <c r="G1302" i="7"/>
  <c r="F1302" i="7"/>
  <c r="F1294" i="7"/>
  <c r="F1350" i="7"/>
  <c r="J1350" i="7"/>
  <c r="I1350" i="7"/>
  <c r="H1350" i="7"/>
  <c r="G1350" i="7"/>
  <c r="L1350" i="7"/>
  <c r="G1308" i="7"/>
  <c r="J1308" i="7"/>
  <c r="L1308" i="7"/>
  <c r="J1298" i="7"/>
  <c r="I1298" i="7"/>
  <c r="H1298" i="7"/>
  <c r="G1333" i="7"/>
  <c r="L1333" i="7"/>
  <c r="J1333" i="7"/>
  <c r="I1333" i="7"/>
  <c r="H1333" i="7"/>
  <c r="F1333" i="7"/>
  <c r="L1351" i="7"/>
  <c r="I1351" i="7"/>
  <c r="H1351" i="7"/>
  <c r="J1351" i="7"/>
  <c r="G1351" i="7"/>
  <c r="F1351" i="7"/>
  <c r="F1308" i="7"/>
  <c r="I1328" i="7"/>
  <c r="L1328" i="7"/>
  <c r="J1282" i="7"/>
  <c r="L1282" i="7"/>
  <c r="H1282" i="7"/>
  <c r="I1282" i="7"/>
  <c r="G1298" i="7"/>
  <c r="I1308" i="7"/>
  <c r="H1313" i="7"/>
  <c r="J1313" i="7"/>
  <c r="I1313" i="7"/>
  <c r="G1313" i="7"/>
  <c r="F1313" i="7"/>
  <c r="M1357" i="7"/>
  <c r="L1266" i="7"/>
  <c r="H1266" i="7"/>
  <c r="G1266" i="7"/>
  <c r="F1270" i="7"/>
  <c r="G1282" i="7"/>
  <c r="J1299" i="7"/>
  <c r="I1299" i="7"/>
  <c r="H1299" i="7"/>
  <c r="G1299" i="7"/>
  <c r="L1250" i="7"/>
  <c r="J1250" i="7"/>
  <c r="I1250" i="7"/>
  <c r="L1314" i="7"/>
  <c r="J1314" i="7"/>
  <c r="I1323" i="7"/>
  <c r="H1323" i="7"/>
  <c r="G1323" i="7"/>
  <c r="F1323" i="7"/>
  <c r="I1329" i="7"/>
  <c r="L1329" i="7"/>
  <c r="H1329" i="7"/>
  <c r="G1329" i="7"/>
  <c r="F1329" i="7"/>
  <c r="H1436" i="7"/>
  <c r="I1436" i="7"/>
  <c r="G1436" i="7"/>
  <c r="J1300" i="7"/>
  <c r="I1300" i="7"/>
  <c r="I1394" i="7"/>
  <c r="G1394" i="7"/>
  <c r="L1394" i="7"/>
  <c r="F1394" i="7"/>
  <c r="J1394" i="7"/>
  <c r="H1394" i="7"/>
  <c r="F1436" i="7"/>
  <c r="I1467" i="7"/>
  <c r="G1467" i="7"/>
  <c r="L1467" i="7"/>
  <c r="H1467" i="7"/>
  <c r="J1467" i="7"/>
  <c r="F1467" i="7"/>
  <c r="J1212" i="7"/>
  <c r="L1241" i="7"/>
  <c r="G1293" i="7"/>
  <c r="I1293" i="7"/>
  <c r="H1293" i="7"/>
  <c r="F1293" i="7"/>
  <c r="H1355" i="7"/>
  <c r="F1355" i="7"/>
  <c r="L1355" i="7"/>
  <c r="J1355" i="7"/>
  <c r="I1355" i="7"/>
  <c r="G1355" i="7"/>
  <c r="I1420" i="7"/>
  <c r="G1420" i="7"/>
  <c r="J1420" i="7"/>
  <c r="L1420" i="7"/>
  <c r="H1420" i="7"/>
  <c r="F1420" i="7"/>
  <c r="G1084" i="7"/>
  <c r="L1180" i="7"/>
  <c r="L1222" i="7"/>
  <c r="G1222" i="7"/>
  <c r="L1258" i="7"/>
  <c r="H1268" i="7"/>
  <c r="G1268" i="7"/>
  <c r="F1268" i="7"/>
  <c r="L1317" i="7"/>
  <c r="L1321" i="7"/>
  <c r="J1361" i="7"/>
  <c r="I1361" i="7"/>
  <c r="H1361" i="7"/>
  <c r="G1361" i="7"/>
  <c r="I879" i="7"/>
  <c r="I1126" i="7"/>
  <c r="F1212" i="7"/>
  <c r="L1238" i="7"/>
  <c r="F1241" i="7"/>
  <c r="J1293" i="7"/>
  <c r="G1309" i="7"/>
  <c r="J1309" i="7"/>
  <c r="L1346" i="7"/>
  <c r="F1346" i="7"/>
  <c r="H1346" i="7"/>
  <c r="G1346" i="7"/>
  <c r="D1357" i="7"/>
  <c r="F1366" i="7"/>
  <c r="I1366" i="7"/>
  <c r="H1366" i="7"/>
  <c r="J1366" i="7"/>
  <c r="H1403" i="7"/>
  <c r="L1403" i="7"/>
  <c r="I1403" i="7"/>
  <c r="J1501" i="7"/>
  <c r="G1501" i="7"/>
  <c r="L1501" i="7"/>
  <c r="H1501" i="7"/>
  <c r="F1501" i="7"/>
  <c r="C1513" i="7"/>
  <c r="G1403" i="7"/>
  <c r="I1413" i="7"/>
  <c r="G1413" i="7"/>
  <c r="H1413" i="7"/>
  <c r="L1413" i="7"/>
  <c r="L1430" i="7"/>
  <c r="G1430" i="7"/>
  <c r="F1430" i="7"/>
  <c r="J1430" i="7"/>
  <c r="H1430" i="7"/>
  <c r="J1338" i="7"/>
  <c r="I1338" i="7"/>
  <c r="H1389" i="7"/>
  <c r="G1389" i="7"/>
  <c r="J1389" i="7"/>
  <c r="I1389" i="7"/>
  <c r="F1389" i="7"/>
  <c r="L1389" i="7"/>
  <c r="J1372" i="7"/>
  <c r="H1372" i="7"/>
  <c r="L1372" i="7"/>
  <c r="I1372" i="7"/>
  <c r="G1372" i="7"/>
  <c r="F1338" i="7"/>
  <c r="J1413" i="7"/>
  <c r="F1372" i="7"/>
  <c r="G1335" i="7"/>
  <c r="I1335" i="7"/>
  <c r="H1335" i="7"/>
  <c r="L1338" i="7"/>
  <c r="G1363" i="7"/>
  <c r="F1363" i="7"/>
  <c r="I1363" i="7"/>
  <c r="H1363" i="7"/>
  <c r="H1339" i="7"/>
  <c r="F1295" i="7"/>
  <c r="F1335" i="7"/>
  <c r="J1363" i="7"/>
  <c r="H1368" i="7"/>
  <c r="I1368" i="7"/>
  <c r="G1368" i="7"/>
  <c r="L1368" i="7"/>
  <c r="F1425" i="7"/>
  <c r="H1425" i="7"/>
  <c r="G1425" i="7"/>
  <c r="L1425" i="7"/>
  <c r="F1217" i="7"/>
  <c r="J1217" i="7"/>
  <c r="G1319" i="7"/>
  <c r="F1319" i="7"/>
  <c r="J1335" i="7"/>
  <c r="F1339" i="7"/>
  <c r="I1344" i="7"/>
  <c r="L1344" i="7"/>
  <c r="J1348" i="7"/>
  <c r="I1348" i="7"/>
  <c r="H1348" i="7"/>
  <c r="F1348" i="7"/>
  <c r="L1353" i="7"/>
  <c r="F1353" i="7"/>
  <c r="J1353" i="7"/>
  <c r="I1353" i="7"/>
  <c r="J1277" i="7"/>
  <c r="I1277" i="7"/>
  <c r="H1277" i="7"/>
  <c r="G1295" i="7"/>
  <c r="I1311" i="7"/>
  <c r="G1339" i="7"/>
  <c r="L1363" i="7"/>
  <c r="F1368" i="7"/>
  <c r="F1399" i="7"/>
  <c r="L1399" i="7"/>
  <c r="J1399" i="7"/>
  <c r="I1399" i="7"/>
  <c r="H1399" i="7"/>
  <c r="G1399" i="7"/>
  <c r="I1425" i="7"/>
  <c r="I1380" i="7"/>
  <c r="G1380" i="7"/>
  <c r="H1380" i="7"/>
  <c r="F1380" i="7"/>
  <c r="H1544" i="7"/>
  <c r="J1544" i="7"/>
  <c r="I1544" i="7"/>
  <c r="L1544" i="7"/>
  <c r="G1544" i="7"/>
  <c r="F1544" i="7"/>
  <c r="G1191" i="7"/>
  <c r="H1228" i="7"/>
  <c r="G1228" i="7"/>
  <c r="F1231" i="7"/>
  <c r="G1231" i="7"/>
  <c r="J1240" i="7"/>
  <c r="I1243" i="7"/>
  <c r="H1246" i="7"/>
  <c r="J1265" i="7"/>
  <c r="I1290" i="7"/>
  <c r="H1476" i="7"/>
  <c r="F1476" i="7"/>
  <c r="L1476" i="7"/>
  <c r="J1476" i="7"/>
  <c r="I1476" i="7"/>
  <c r="L1262" i="7"/>
  <c r="I1310" i="7"/>
  <c r="J1426" i="7"/>
  <c r="L1426" i="7"/>
  <c r="G1476" i="7"/>
  <c r="L1284" i="7"/>
  <c r="L1369" i="7"/>
  <c r="F1369" i="7"/>
  <c r="G1369" i="7"/>
  <c r="L1390" i="7"/>
  <c r="G1390" i="7"/>
  <c r="I1390" i="7"/>
  <c r="L1327" i="7"/>
  <c r="J1327" i="7"/>
  <c r="H1327" i="7"/>
  <c r="I1373" i="7"/>
  <c r="H1373" i="7"/>
  <c r="J1440" i="7"/>
  <c r="F1440" i="7"/>
  <c r="L1440" i="7"/>
  <c r="F1411" i="7"/>
  <c r="L1411" i="7"/>
  <c r="J1411" i="7"/>
  <c r="I1411" i="7"/>
  <c r="J1581" i="7"/>
  <c r="L1581" i="7"/>
  <c r="I1581" i="7"/>
  <c r="H1581" i="7"/>
  <c r="G1581" i="7"/>
  <c r="F1581" i="7"/>
  <c r="I1391" i="7"/>
  <c r="G1391" i="7"/>
  <c r="M1411" i="7"/>
  <c r="D1409" i="7"/>
  <c r="G1440" i="7"/>
  <c r="B1461" i="7"/>
  <c r="G1411" i="7"/>
  <c r="H1440" i="7"/>
  <c r="J1488" i="7"/>
  <c r="I1488" i="7"/>
  <c r="G1488" i="7"/>
  <c r="F1488" i="7"/>
  <c r="M1513" i="7"/>
  <c r="H1411" i="7"/>
  <c r="I1440" i="7"/>
  <c r="F1446" i="7"/>
  <c r="G1446" i="7"/>
  <c r="L1446" i="7"/>
  <c r="J1446" i="7"/>
  <c r="I1446" i="7"/>
  <c r="H1391" i="7"/>
  <c r="H1396" i="7"/>
  <c r="F1396" i="7"/>
  <c r="L1396" i="7"/>
  <c r="J1396" i="7"/>
  <c r="I1417" i="7"/>
  <c r="F1417" i="7"/>
  <c r="H1488" i="7"/>
  <c r="J1508" i="7"/>
  <c r="F1508" i="7"/>
  <c r="H1508" i="7"/>
  <c r="G1508" i="7"/>
  <c r="J1391" i="7"/>
  <c r="H1446" i="7"/>
  <c r="L1488" i="7"/>
  <c r="I1441" i="7"/>
  <c r="G1441" i="7"/>
  <c r="H1441" i="7"/>
  <c r="F1441" i="7"/>
  <c r="L1471" i="7"/>
  <c r="I1471" i="7"/>
  <c r="H1471" i="7"/>
  <c r="G1471" i="7"/>
  <c r="J1471" i="7"/>
  <c r="I1508" i="7"/>
  <c r="F1345" i="7"/>
  <c r="L1383" i="7"/>
  <c r="G1383" i="7"/>
  <c r="I1396" i="7"/>
  <c r="H1417" i="7"/>
  <c r="L1508" i="7"/>
  <c r="F1392" i="7"/>
  <c r="L1392" i="7"/>
  <c r="J1392" i="7"/>
  <c r="I1392" i="7"/>
  <c r="J1417" i="7"/>
  <c r="J1441" i="7"/>
  <c r="I1455" i="7"/>
  <c r="G1455" i="7"/>
  <c r="L1455" i="7"/>
  <c r="J1455" i="7"/>
  <c r="H1455" i="7"/>
  <c r="F1471" i="7"/>
  <c r="J1273" i="7"/>
  <c r="I1276" i="7"/>
  <c r="J1276" i="7"/>
  <c r="G1345" i="7"/>
  <c r="H1360" i="7"/>
  <c r="F1360" i="7"/>
  <c r="L1417" i="7"/>
  <c r="M1464" i="7"/>
  <c r="M1461" i="7" s="1"/>
  <c r="D1461" i="7"/>
  <c r="F1472" i="7"/>
  <c r="I1472" i="7"/>
  <c r="L1472" i="7"/>
  <c r="J1472" i="7"/>
  <c r="H1472" i="7"/>
  <c r="I1509" i="7"/>
  <c r="G1509" i="7"/>
  <c r="J1509" i="7"/>
  <c r="H1509" i="7"/>
  <c r="F1509" i="7"/>
  <c r="L1509" i="7"/>
  <c r="L1451" i="7"/>
  <c r="H1451" i="7"/>
  <c r="G1451" i="7"/>
  <c r="J1451" i="7"/>
  <c r="F1451" i="7"/>
  <c r="J1562" i="7"/>
  <c r="F1562" i="7"/>
  <c r="F1249" i="7"/>
  <c r="I1401" i="7"/>
  <c r="G1401" i="7"/>
  <c r="L1401" i="7"/>
  <c r="I1405" i="7"/>
  <c r="F1405" i="7"/>
  <c r="L1437" i="7"/>
  <c r="H1437" i="7"/>
  <c r="G1437" i="7"/>
  <c r="I1452" i="7"/>
  <c r="H1452" i="7"/>
  <c r="L1463" i="7"/>
  <c r="H1463" i="7"/>
  <c r="G1463" i="7"/>
  <c r="J1473" i="7"/>
  <c r="F1473" i="7"/>
  <c r="I1535" i="7"/>
  <c r="G1535" i="7"/>
  <c r="J1535" i="7"/>
  <c r="H1535" i="7"/>
  <c r="F1535" i="7"/>
  <c r="L1535" i="7"/>
  <c r="I1562" i="7"/>
  <c r="L1397" i="7"/>
  <c r="G1397" i="7"/>
  <c r="I1397" i="7"/>
  <c r="J1447" i="7"/>
  <c r="I1447" i="7"/>
  <c r="H1447" i="7"/>
  <c r="F1447" i="7"/>
  <c r="L1562" i="7"/>
  <c r="J1419" i="7"/>
  <c r="L1419" i="7"/>
  <c r="I1419" i="7"/>
  <c r="H1419" i="7"/>
  <c r="F1419" i="7"/>
  <c r="L1484" i="7"/>
  <c r="G1484" i="7"/>
  <c r="F1554" i="7"/>
  <c r="J1554" i="7"/>
  <c r="G1554" i="7"/>
  <c r="L1554" i="7"/>
  <c r="I1554" i="7"/>
  <c r="H1554" i="7"/>
  <c r="J1433" i="7"/>
  <c r="F1484" i="7"/>
  <c r="J1520" i="7"/>
  <c r="F1520" i="7"/>
  <c r="L1520" i="7"/>
  <c r="I1520" i="7"/>
  <c r="H1520" i="7"/>
  <c r="G1520" i="7"/>
  <c r="G1347" i="7"/>
  <c r="H1415" i="7"/>
  <c r="F1415" i="7"/>
  <c r="L1415" i="7"/>
  <c r="I1415" i="7"/>
  <c r="I1424" i="7"/>
  <c r="L1424" i="7"/>
  <c r="J1424" i="7"/>
  <c r="F1433" i="7"/>
  <c r="I1438" i="7"/>
  <c r="J1438" i="7"/>
  <c r="H1443" i="7"/>
  <c r="F1453" i="7"/>
  <c r="I1453" i="7"/>
  <c r="G1453" i="7"/>
  <c r="H1484" i="7"/>
  <c r="I1377" i="7"/>
  <c r="F1377" i="7"/>
  <c r="H1377" i="7"/>
  <c r="F1385" i="7"/>
  <c r="L1385" i="7"/>
  <c r="J1385" i="7"/>
  <c r="H1385" i="7"/>
  <c r="F1406" i="7"/>
  <c r="J1406" i="7"/>
  <c r="H1429" i="7"/>
  <c r="G1433" i="7"/>
  <c r="J1448" i="7"/>
  <c r="I1448" i="7"/>
  <c r="G1448" i="7"/>
  <c r="L1448" i="7"/>
  <c r="I1484" i="7"/>
  <c r="L1606" i="7"/>
  <c r="G1606" i="7"/>
  <c r="F1606" i="7"/>
  <c r="J1606" i="7"/>
  <c r="I1606" i="7"/>
  <c r="H1606" i="7"/>
  <c r="I1521" i="7"/>
  <c r="G1521" i="7"/>
  <c r="J1521" i="7"/>
  <c r="H1521" i="7"/>
  <c r="F1521" i="7"/>
  <c r="L1521" i="7"/>
  <c r="L1491" i="7"/>
  <c r="H1491" i="7"/>
  <c r="G1491" i="7"/>
  <c r="F1491" i="7"/>
  <c r="J1491" i="7"/>
  <c r="I1491" i="7"/>
  <c r="L1498" i="7"/>
  <c r="G1498" i="7"/>
  <c r="H1530" i="7"/>
  <c r="J1530" i="7"/>
  <c r="L1444" i="7"/>
  <c r="G1444" i="7"/>
  <c r="J1444" i="7"/>
  <c r="J1480" i="7"/>
  <c r="F1480" i="7"/>
  <c r="G1480" i="7"/>
  <c r="L1480" i="7"/>
  <c r="J1454" i="7"/>
  <c r="F1454" i="7"/>
  <c r="H1454" i="7"/>
  <c r="G1454" i="7"/>
  <c r="I1492" i="7"/>
  <c r="L1492" i="7"/>
  <c r="J1492" i="7"/>
  <c r="H1492" i="7"/>
  <c r="F1492" i="7"/>
  <c r="H1498" i="7"/>
  <c r="B1513" i="7"/>
  <c r="G1530" i="7"/>
  <c r="J1548" i="7"/>
  <c r="F1548" i="7"/>
  <c r="L1548" i="7"/>
  <c r="J1434" i="7"/>
  <c r="I1434" i="7"/>
  <c r="G1434" i="7"/>
  <c r="L1434" i="7"/>
  <c r="H1434" i="7"/>
  <c r="F1444" i="7"/>
  <c r="H1480" i="7"/>
  <c r="I1498" i="7"/>
  <c r="I1530" i="7"/>
  <c r="H1558" i="7"/>
  <c r="J1558" i="7"/>
  <c r="I1558" i="7"/>
  <c r="L1558" i="7"/>
  <c r="G1558" i="7"/>
  <c r="F1558" i="7"/>
  <c r="I1480" i="7"/>
  <c r="J1498" i="7"/>
  <c r="G1548" i="7"/>
  <c r="F1493" i="7"/>
  <c r="L1493" i="7"/>
  <c r="L1524" i="7"/>
  <c r="G1524" i="7"/>
  <c r="J1524" i="7"/>
  <c r="I1548" i="7"/>
  <c r="J1487" i="7"/>
  <c r="I1487" i="7"/>
  <c r="H1487" i="7"/>
  <c r="L1487" i="7"/>
  <c r="F1487" i="7"/>
  <c r="G1493" i="7"/>
  <c r="J1400" i="7"/>
  <c r="L1459" i="7"/>
  <c r="I1459" i="7"/>
  <c r="I1464" i="7"/>
  <c r="J1464" i="7"/>
  <c r="H1464" i="7"/>
  <c r="L1485" i="7"/>
  <c r="I1485" i="7"/>
  <c r="J1485" i="7"/>
  <c r="H1485" i="7"/>
  <c r="G1485" i="7"/>
  <c r="I1563" i="7"/>
  <c r="G1563" i="7"/>
  <c r="J1563" i="7"/>
  <c r="H1563" i="7"/>
  <c r="F1563" i="7"/>
  <c r="L1563" i="7"/>
  <c r="F1500" i="7"/>
  <c r="L1599" i="7"/>
  <c r="H1599" i="7"/>
  <c r="G1599" i="7"/>
  <c r="J1599" i="7"/>
  <c r="I1599" i="7"/>
  <c r="F1599" i="7"/>
  <c r="J1412" i="7"/>
  <c r="L1423" i="7"/>
  <c r="G1423" i="7"/>
  <c r="F1423" i="7"/>
  <c r="I1427" i="7"/>
  <c r="G1427" i="7"/>
  <c r="I1481" i="7"/>
  <c r="G1481" i="7"/>
  <c r="L1481" i="7"/>
  <c r="F1485" i="7"/>
  <c r="I1549" i="7"/>
  <c r="G1549" i="7"/>
  <c r="J1549" i="7"/>
  <c r="H1549" i="7"/>
  <c r="F1549" i="7"/>
  <c r="L1549" i="7"/>
  <c r="J1574" i="7"/>
  <c r="F1574" i="7"/>
  <c r="L1574" i="7"/>
  <c r="I1574" i="7"/>
  <c r="J1393" i="7"/>
  <c r="G1400" i="7"/>
  <c r="L1431" i="7"/>
  <c r="I1431" i="7"/>
  <c r="F1439" i="7"/>
  <c r="G1439" i="7"/>
  <c r="I1439" i="7"/>
  <c r="H1439" i="7"/>
  <c r="G1459" i="7"/>
  <c r="G1464" i="7"/>
  <c r="I1495" i="7"/>
  <c r="G1495" i="7"/>
  <c r="L1495" i="7"/>
  <c r="H1495" i="7"/>
  <c r="F1495" i="7"/>
  <c r="G1500" i="7"/>
  <c r="H1516" i="7"/>
  <c r="J1516" i="7"/>
  <c r="L1516" i="7"/>
  <c r="F1526" i="7"/>
  <c r="J1526" i="7"/>
  <c r="L1526" i="7"/>
  <c r="J1610" i="7"/>
  <c r="I1610" i="7"/>
  <c r="G1610" i="7"/>
  <c r="L1610" i="7"/>
  <c r="I1352" i="7"/>
  <c r="G1359" i="7"/>
  <c r="H1382" i="7"/>
  <c r="I1382" i="7"/>
  <c r="F1393" i="7"/>
  <c r="I1400" i="7"/>
  <c r="L1404" i="7"/>
  <c r="G1404" i="7"/>
  <c r="F1404" i="7"/>
  <c r="G1412" i="7"/>
  <c r="L1416" i="7"/>
  <c r="G1416" i="7"/>
  <c r="H1416" i="7"/>
  <c r="I1423" i="7"/>
  <c r="H1427" i="7"/>
  <c r="F1431" i="7"/>
  <c r="J1439" i="7"/>
  <c r="J1459" i="7"/>
  <c r="H1469" i="7"/>
  <c r="L1477" i="7"/>
  <c r="H1477" i="7"/>
  <c r="G1477" i="7"/>
  <c r="H1481" i="7"/>
  <c r="J1495" i="7"/>
  <c r="I1500" i="7"/>
  <c r="F1516" i="7"/>
  <c r="G1526" i="7"/>
  <c r="H1574" i="7"/>
  <c r="H1375" i="7"/>
  <c r="J1375" i="7"/>
  <c r="G1393" i="7"/>
  <c r="H1412" i="7"/>
  <c r="J1423" i="7"/>
  <c r="J1427" i="7"/>
  <c r="G1431" i="7"/>
  <c r="J1481" i="7"/>
  <c r="J1500" i="7"/>
  <c r="L1505" i="7"/>
  <c r="H1505" i="7"/>
  <c r="G1505" i="7"/>
  <c r="J1505" i="7"/>
  <c r="G1516" i="7"/>
  <c r="H1526" i="7"/>
  <c r="H1511" i="7"/>
  <c r="L1517" i="7"/>
  <c r="H1517" i="7"/>
  <c r="G1517" i="7"/>
  <c r="J1527" i="7"/>
  <c r="I1527" i="7"/>
  <c r="H1527" i="7"/>
  <c r="G1527" i="7"/>
  <c r="F1527" i="7"/>
  <c r="F1533" i="7"/>
  <c r="J1533" i="7"/>
  <c r="G1533" i="7"/>
  <c r="L1533" i="7"/>
  <c r="I1533" i="7"/>
  <c r="F1517" i="7"/>
  <c r="J1568" i="7"/>
  <c r="I1568" i="7"/>
  <c r="G1568" i="7"/>
  <c r="L1568" i="7"/>
  <c r="F1568" i="7"/>
  <c r="I1517" i="7"/>
  <c r="L1527" i="7"/>
  <c r="H1533" i="7"/>
  <c r="I1586" i="7"/>
  <c r="L1586" i="7"/>
  <c r="J1586" i="7"/>
  <c r="H1586" i="7"/>
  <c r="G1586" i="7"/>
  <c r="F1586" i="7"/>
  <c r="J1517" i="7"/>
  <c r="J1534" i="7"/>
  <c r="F1534" i="7"/>
  <c r="H1568" i="7"/>
  <c r="L1376" i="7"/>
  <c r="I1398" i="7"/>
  <c r="F1398" i="7"/>
  <c r="H1483" i="7"/>
  <c r="H1497" i="7"/>
  <c r="L1512" i="7"/>
  <c r="G1512" i="7"/>
  <c r="F1512" i="7"/>
  <c r="J1528" i="7"/>
  <c r="I1528" i="7"/>
  <c r="G1528" i="7"/>
  <c r="H1528" i="7"/>
  <c r="F1528" i="7"/>
  <c r="F1587" i="7"/>
  <c r="H1587" i="7"/>
  <c r="G1587" i="7"/>
  <c r="J1587" i="7"/>
  <c r="F1479" i="7"/>
  <c r="F1507" i="7"/>
  <c r="H1507" i="7"/>
  <c r="L1507" i="7"/>
  <c r="H1523" i="7"/>
  <c r="G1534" i="7"/>
  <c r="F1540" i="7"/>
  <c r="J1540" i="7"/>
  <c r="G1540" i="7"/>
  <c r="L1540" i="7"/>
  <c r="I1534" i="7"/>
  <c r="H1540" i="7"/>
  <c r="H1570" i="7"/>
  <c r="L1570" i="7"/>
  <c r="J1570" i="7"/>
  <c r="I1570" i="7"/>
  <c r="G1570" i="7"/>
  <c r="F1570" i="7"/>
  <c r="I1540" i="7"/>
  <c r="M1570" i="7"/>
  <c r="M1565" i="7" s="1"/>
  <c r="D1565" i="7"/>
  <c r="L1587" i="7"/>
  <c r="L1534" i="7"/>
  <c r="F1580" i="7"/>
  <c r="H1580" i="7"/>
  <c r="G1580" i="7"/>
  <c r="L1531" i="7"/>
  <c r="H1531" i="7"/>
  <c r="G1531" i="7"/>
  <c r="I1575" i="7"/>
  <c r="G1575" i="7"/>
  <c r="L1575" i="7"/>
  <c r="H1575" i="7"/>
  <c r="F1575" i="7"/>
  <c r="L1593" i="7"/>
  <c r="I1593" i="7"/>
  <c r="J1593" i="7"/>
  <c r="H1593" i="7"/>
  <c r="G1593" i="7"/>
  <c r="F1593" i="7"/>
  <c r="I1304" i="7"/>
  <c r="J1379" i="7"/>
  <c r="L1470" i="7"/>
  <c r="G1470" i="7"/>
  <c r="F1486" i="7"/>
  <c r="F1519" i="7"/>
  <c r="J1519" i="7"/>
  <c r="I1531" i="7"/>
  <c r="J1588" i="7"/>
  <c r="F1588" i="7"/>
  <c r="L1588" i="7"/>
  <c r="I1588" i="7"/>
  <c r="F1418" i="7"/>
  <c r="J1418" i="7"/>
  <c r="F1432" i="7"/>
  <c r="G1432" i="7"/>
  <c r="L1458" i="7"/>
  <c r="G1458" i="7"/>
  <c r="J1474" i="7"/>
  <c r="I1474" i="7"/>
  <c r="G1474" i="7"/>
  <c r="J1531" i="7"/>
  <c r="L1545" i="7"/>
  <c r="H1545" i="7"/>
  <c r="G1545" i="7"/>
  <c r="L1559" i="7"/>
  <c r="H1559" i="7"/>
  <c r="G1559" i="7"/>
  <c r="J1582" i="7"/>
  <c r="I1582" i="7"/>
  <c r="G1582" i="7"/>
  <c r="L1582" i="7"/>
  <c r="F1582" i="7"/>
  <c r="I1478" i="7"/>
  <c r="L1478" i="7"/>
  <c r="J1478" i="7"/>
  <c r="H1478" i="7"/>
  <c r="H1490" i="7"/>
  <c r="J1494" i="7"/>
  <c r="F1494" i="7"/>
  <c r="J1541" i="7"/>
  <c r="J1600" i="7"/>
  <c r="I1600" i="7"/>
  <c r="L1600" i="7"/>
  <c r="H1600" i="7"/>
  <c r="F1600" i="7"/>
  <c r="J1502" i="7"/>
  <c r="I1502" i="7"/>
  <c r="G1502" i="7"/>
  <c r="I1506" i="7"/>
  <c r="L1506" i="7"/>
  <c r="J1506" i="7"/>
  <c r="H1506" i="7"/>
  <c r="H1582" i="7"/>
  <c r="H1588" i="7"/>
  <c r="J1555" i="7"/>
  <c r="H1577" i="7"/>
  <c r="G1600" i="7"/>
  <c r="H1537" i="7"/>
  <c r="J1614" i="7"/>
  <c r="I1614" i="7"/>
  <c r="L1614" i="7"/>
  <c r="H1614" i="7"/>
  <c r="G1614" i="7"/>
  <c r="F1555" i="7"/>
  <c r="J1595" i="7"/>
  <c r="L1595" i="7"/>
  <c r="I1595" i="7"/>
  <c r="F1614" i="7"/>
  <c r="H1551" i="7"/>
  <c r="H1555" i="7"/>
  <c r="H1584" i="7"/>
  <c r="F1595" i="7"/>
  <c r="G1595" i="7"/>
  <c r="F1608" i="7"/>
  <c r="L1608" i="7"/>
  <c r="J1608" i="7"/>
  <c r="I1608" i="7"/>
  <c r="H1608" i="7"/>
  <c r="G1608" i="7"/>
  <c r="I1572" i="7"/>
  <c r="L1572" i="7"/>
  <c r="J1572" i="7"/>
  <c r="H1572" i="7"/>
  <c r="G1572" i="7"/>
  <c r="F1572" i="7"/>
  <c r="L1499" i="7"/>
  <c r="I1499" i="7"/>
  <c r="J1499" i="7"/>
  <c r="H1499" i="7"/>
  <c r="G1499" i="7"/>
  <c r="L1538" i="7"/>
  <c r="G1538" i="7"/>
  <c r="J1538" i="7"/>
  <c r="F1547" i="7"/>
  <c r="J1547" i="7"/>
  <c r="G1547" i="7"/>
  <c r="J1556" i="7"/>
  <c r="I1556" i="7"/>
  <c r="G1556" i="7"/>
  <c r="H1556" i="7"/>
  <c r="F1556" i="7"/>
  <c r="J1567" i="7"/>
  <c r="L1567" i="7"/>
  <c r="I1567" i="7"/>
  <c r="H1567" i="7"/>
  <c r="F1573" i="7"/>
  <c r="H1573" i="7"/>
  <c r="G1573" i="7"/>
  <c r="L1362" i="7"/>
  <c r="F1371" i="7"/>
  <c r="L1445" i="7"/>
  <c r="I1445" i="7"/>
  <c r="F1460" i="7"/>
  <c r="I1460" i="7"/>
  <c r="G1460" i="7"/>
  <c r="F1465" i="7"/>
  <c r="H1504" i="7"/>
  <c r="L1504" i="7"/>
  <c r="H1538" i="7"/>
  <c r="I1547" i="7"/>
  <c r="L1552" i="7"/>
  <c r="G1552" i="7"/>
  <c r="J1552" i="7"/>
  <c r="F1567" i="7"/>
  <c r="I1573" i="7"/>
  <c r="I1603" i="7"/>
  <c r="H1603" i="7"/>
  <c r="G1603" i="7"/>
  <c r="L1603" i="7"/>
  <c r="J1603" i="7"/>
  <c r="F1603" i="7"/>
  <c r="D1513" i="7"/>
  <c r="L1592" i="7"/>
  <c r="G1592" i="7"/>
  <c r="J1365" i="7"/>
  <c r="I1384" i="7"/>
  <c r="H1422" i="7"/>
  <c r="L1571" i="7"/>
  <c r="H1571" i="7"/>
  <c r="G1571" i="7"/>
  <c r="L1578" i="7"/>
  <c r="G1578" i="7"/>
  <c r="L1585" i="7"/>
  <c r="H1585" i="7"/>
  <c r="G1585" i="7"/>
  <c r="L1607" i="7"/>
  <c r="I1607" i="7"/>
  <c r="I1518" i="7"/>
  <c r="I1532" i="7"/>
  <c r="I1546" i="7"/>
  <c r="I1560" i="7"/>
  <c r="F1592" i="7"/>
  <c r="H1450" i="7"/>
  <c r="H1457" i="7"/>
  <c r="L1525" i="7"/>
  <c r="I1525" i="7"/>
  <c r="L1539" i="7"/>
  <c r="I1539" i="7"/>
  <c r="L1553" i="7"/>
  <c r="I1553" i="7"/>
  <c r="H1592" i="7"/>
  <c r="F1607" i="7"/>
  <c r="I1589" i="7"/>
  <c r="G1589" i="7"/>
  <c r="I1592" i="7"/>
  <c r="J1596" i="7"/>
  <c r="I1596" i="7"/>
  <c r="G1596" i="7"/>
  <c r="G1607" i="7"/>
  <c r="I1615" i="7"/>
  <c r="F1615" i="7"/>
  <c r="L1579" i="7"/>
  <c r="I1579" i="7"/>
  <c r="F1561" i="7"/>
  <c r="H1612" i="7"/>
  <c r="F1579" i="7"/>
  <c r="J1616" i="7"/>
  <c r="F1616" i="7"/>
  <c r="G1561" i="7"/>
  <c r="G1579" i="7"/>
  <c r="I1601" i="7"/>
  <c r="F1601" i="7"/>
  <c r="F1612" i="7"/>
  <c r="H1605" i="7"/>
  <c r="I1612" i="7"/>
  <c r="J1561" i="7"/>
  <c r="F1594" i="7"/>
  <c r="H1601" i="7"/>
  <c r="J1612" i="7"/>
  <c r="I1616" i="7"/>
  <c r="J1609" i="7"/>
  <c r="L1616" i="7"/>
  <c r="H1598" i="7"/>
  <c r="L1613" i="7"/>
  <c r="H1613" i="7"/>
  <c r="G1613" i="7"/>
  <c r="H1591" i="7"/>
  <c r="I1594" i="7"/>
  <c r="J1602" i="7"/>
  <c r="F1602" i="7"/>
  <c r="G127" i="6" l="1"/>
  <c r="G210" i="6"/>
  <c r="W21" i="2"/>
  <c r="M317" i="7"/>
  <c r="K969" i="7"/>
  <c r="G202" i="6"/>
  <c r="K18" i="5"/>
  <c r="G203" i="6"/>
  <c r="G28" i="6"/>
  <c r="G64" i="6"/>
  <c r="K1245" i="7"/>
  <c r="G84" i="6"/>
  <c r="K1371" i="7"/>
  <c r="K127" i="7"/>
  <c r="G36" i="6"/>
  <c r="G212" i="6"/>
  <c r="K261" i="7"/>
  <c r="K548" i="7"/>
  <c r="K503" i="7"/>
  <c r="G72" i="6"/>
  <c r="K1249" i="7"/>
  <c r="K1236" i="7"/>
  <c r="K495" i="7"/>
  <c r="K381" i="7"/>
  <c r="K1020" i="7"/>
  <c r="K572" i="7"/>
  <c r="K489" i="7"/>
  <c r="K813" i="7"/>
  <c r="K497" i="7"/>
  <c r="G114" i="6"/>
  <c r="K913" i="7"/>
  <c r="G13" i="6"/>
  <c r="G99" i="6"/>
  <c r="G100" i="6"/>
  <c r="K1604" i="7"/>
  <c r="M109" i="7"/>
  <c r="G56" i="6"/>
  <c r="G188" i="6"/>
  <c r="K279" i="7"/>
  <c r="K692" i="7"/>
  <c r="G37" i="6"/>
  <c r="G30" i="6"/>
  <c r="A11" i="2"/>
  <c r="K282" i="7"/>
  <c r="K339" i="7"/>
  <c r="K835" i="7"/>
  <c r="K1263" i="7"/>
  <c r="K855" i="7"/>
  <c r="K930" i="7"/>
  <c r="K434" i="7"/>
  <c r="K1206" i="7"/>
  <c r="K1051" i="7"/>
  <c r="G121" i="6"/>
  <c r="G106" i="6"/>
  <c r="C837" i="7"/>
  <c r="K1059" i="7"/>
  <c r="K903" i="7"/>
  <c r="K757" i="7"/>
  <c r="K500" i="7"/>
  <c r="K64" i="7"/>
  <c r="K768" i="7"/>
  <c r="G196" i="6"/>
  <c r="K564" i="7"/>
  <c r="K200" i="7"/>
  <c r="K1308" i="7"/>
  <c r="K1275" i="7"/>
  <c r="K760" i="7"/>
  <c r="K1312" i="7"/>
  <c r="K208" i="7"/>
  <c r="K1339" i="7"/>
  <c r="K1338" i="7"/>
  <c r="K1169" i="7"/>
  <c r="K1011" i="7"/>
  <c r="G161" i="6"/>
  <c r="B12" i="3"/>
  <c r="A22" i="4" s="1"/>
  <c r="K1096" i="7"/>
  <c r="K1113" i="7"/>
  <c r="K988" i="7"/>
  <c r="C941" i="7"/>
  <c r="G43" i="6"/>
  <c r="K1080" i="7"/>
  <c r="K593" i="7"/>
  <c r="K576" i="7"/>
  <c r="K529" i="7"/>
  <c r="G42" i="6"/>
  <c r="K916" i="7"/>
  <c r="K769" i="7"/>
  <c r="K790" i="7"/>
  <c r="M733" i="7"/>
  <c r="C369" i="7"/>
  <c r="K688" i="7"/>
  <c r="K619" i="7"/>
  <c r="K737" i="7"/>
  <c r="G83" i="6"/>
  <c r="K1270" i="7"/>
  <c r="K743" i="7"/>
  <c r="K748" i="7"/>
  <c r="K714" i="7"/>
  <c r="K724" i="7"/>
  <c r="G6" i="6"/>
  <c r="G147" i="6"/>
  <c r="G15" i="6"/>
  <c r="K1117" i="7"/>
  <c r="K1226" i="7"/>
  <c r="K904" i="7"/>
  <c r="G22" i="6"/>
  <c r="B13" i="3"/>
  <c r="H13" i="3" s="1"/>
  <c r="K1554" i="7"/>
  <c r="K1472" i="7"/>
  <c r="K886" i="7"/>
  <c r="K425" i="7"/>
  <c r="K1153" i="7"/>
  <c r="K1056" i="7"/>
  <c r="K670" i="7"/>
  <c r="K287" i="7"/>
  <c r="K708" i="7"/>
  <c r="K693" i="7"/>
  <c r="M33" i="5"/>
  <c r="K1494" i="7"/>
  <c r="K1241" i="7"/>
  <c r="K741" i="7"/>
  <c r="K125" i="7"/>
  <c r="E33" i="5"/>
  <c r="K78" i="7"/>
  <c r="G33" i="5"/>
  <c r="K1050" i="7"/>
  <c r="K977" i="7"/>
  <c r="K917" i="7"/>
  <c r="K92" i="7"/>
  <c r="I33" i="5"/>
  <c r="K894" i="7"/>
  <c r="K1135" i="7"/>
  <c r="K1041" i="7"/>
  <c r="K1137" i="7"/>
  <c r="C577" i="7"/>
  <c r="K36" i="7"/>
  <c r="K982" i="7"/>
  <c r="K449" i="7"/>
  <c r="K26" i="7"/>
  <c r="K718" i="7"/>
  <c r="K900" i="7"/>
  <c r="G32" i="5"/>
  <c r="K1294" i="7"/>
  <c r="K1114" i="7"/>
  <c r="K972" i="7"/>
  <c r="K32" i="5"/>
  <c r="K1034" i="7"/>
  <c r="G119" i="6"/>
  <c r="G163" i="6"/>
  <c r="G76" i="6"/>
  <c r="M32" i="5"/>
  <c r="K1465" i="7"/>
  <c r="K1486" i="7"/>
  <c r="K873" i="7"/>
  <c r="G169" i="6"/>
  <c r="G85" i="6"/>
  <c r="G29" i="6"/>
  <c r="M23" i="5"/>
  <c r="K1072" i="7"/>
  <c r="K1131" i="7"/>
  <c r="K1177" i="7"/>
  <c r="K1090" i="7"/>
  <c r="K828" i="7"/>
  <c r="K976" i="7"/>
  <c r="K902" i="7"/>
  <c r="K990" i="7"/>
  <c r="K747" i="7"/>
  <c r="C681" i="7"/>
  <c r="K507" i="7"/>
  <c r="K392" i="7"/>
  <c r="M213" i="7"/>
  <c r="K1268" i="7"/>
  <c r="K611" i="7"/>
  <c r="K618" i="7"/>
  <c r="K1336" i="7"/>
  <c r="K727" i="7"/>
  <c r="K644" i="7"/>
  <c r="K620" i="7"/>
  <c r="K826" i="7"/>
  <c r="K521" i="7"/>
  <c r="K1550" i="7"/>
  <c r="K915" i="7"/>
  <c r="K1444" i="7"/>
  <c r="K1168" i="7"/>
  <c r="K821" i="7"/>
  <c r="K170" i="7"/>
  <c r="G132" i="6"/>
  <c r="G50" i="6"/>
  <c r="K1581" i="7"/>
  <c r="K1333" i="7"/>
  <c r="K216" i="7"/>
  <c r="K402" i="7"/>
  <c r="K196" i="7"/>
  <c r="K1586" i="7"/>
  <c r="K395" i="7"/>
  <c r="K463" i="7"/>
  <c r="K275" i="7"/>
  <c r="K518" i="7"/>
  <c r="G21" i="6"/>
  <c r="K1278" i="7"/>
  <c r="K1043" i="7"/>
  <c r="G34" i="6"/>
  <c r="K132" i="7"/>
  <c r="K173" i="7"/>
  <c r="K555" i="7"/>
  <c r="K1487" i="7"/>
  <c r="K1396" i="7"/>
  <c r="K1366" i="7"/>
  <c r="K1420" i="7"/>
  <c r="K1257" i="7"/>
  <c r="K566" i="7"/>
  <c r="K310" i="7"/>
  <c r="G27" i="6"/>
  <c r="K895" i="7"/>
  <c r="K1557" i="7"/>
  <c r="M18" i="5"/>
  <c r="K1187" i="7"/>
  <c r="K1218" i="7"/>
  <c r="K715" i="7"/>
  <c r="K932" i="7"/>
  <c r="K1078" i="7"/>
  <c r="K1013" i="7"/>
  <c r="K591" i="7"/>
  <c r="K410" i="7"/>
  <c r="K502" i="7"/>
  <c r="K409" i="7"/>
  <c r="G162" i="6"/>
  <c r="G16" i="6"/>
  <c r="E18" i="5"/>
  <c r="E32" i="5"/>
  <c r="D26" i="4"/>
  <c r="H10" i="3"/>
  <c r="K987" i="7"/>
  <c r="K1063" i="7"/>
  <c r="K505" i="7"/>
  <c r="K510" i="7"/>
  <c r="G148" i="6"/>
  <c r="G113" i="6"/>
  <c r="G156" i="6"/>
  <c r="G216" i="6"/>
  <c r="K180" i="7"/>
  <c r="K679" i="7"/>
  <c r="K817" i="7"/>
  <c r="K1248" i="7"/>
  <c r="G18" i="5"/>
  <c r="K1479" i="7"/>
  <c r="K1377" i="7"/>
  <c r="K1012" i="7"/>
  <c r="K860" i="7"/>
  <c r="K546" i="7"/>
  <c r="K73" i="7"/>
  <c r="G184" i="6"/>
  <c r="G79" i="6"/>
  <c r="G107" i="6"/>
  <c r="G189" i="6"/>
  <c r="K433" i="7"/>
  <c r="K1612" i="7"/>
  <c r="K1404" i="7"/>
  <c r="K964" i="7"/>
  <c r="K341" i="7"/>
  <c r="K252" i="7"/>
  <c r="K354" i="7"/>
  <c r="K105" i="7"/>
  <c r="K366" i="7"/>
  <c r="K51" i="7"/>
  <c r="K1061" i="7"/>
  <c r="K1256" i="7"/>
  <c r="G23" i="5"/>
  <c r="K1015" i="7"/>
  <c r="K486" i="7"/>
  <c r="K609" i="7"/>
  <c r="K698" i="7"/>
  <c r="K316" i="7"/>
  <c r="G149" i="6"/>
  <c r="K186" i="7"/>
  <c r="K276" i="7"/>
  <c r="K1341" i="7"/>
  <c r="E23" i="5"/>
  <c r="K1439" i="7"/>
  <c r="K1521" i="7"/>
  <c r="K1189" i="7"/>
  <c r="K1163" i="7"/>
  <c r="K699" i="7"/>
  <c r="K233" i="7"/>
  <c r="K206" i="7"/>
  <c r="K295" i="7"/>
  <c r="K188" i="7"/>
  <c r="K533" i="7"/>
  <c r="K624" i="7"/>
  <c r="K1395" i="7"/>
  <c r="K1592" i="7"/>
  <c r="K1418" i="7"/>
  <c r="K1587" i="7"/>
  <c r="K1492" i="7"/>
  <c r="K1356" i="7"/>
  <c r="K848" i="7"/>
  <c r="K625" i="7"/>
  <c r="K662" i="7"/>
  <c r="K519" i="7"/>
  <c r="K153" i="7"/>
  <c r="H57" i="7"/>
  <c r="K243" i="7"/>
  <c r="G118" i="6"/>
  <c r="G160" i="6"/>
  <c r="G134" i="6"/>
  <c r="K143" i="7"/>
  <c r="K114" i="7"/>
  <c r="K639" i="7"/>
  <c r="K1109" i="7"/>
  <c r="K704" i="7"/>
  <c r="K950" i="7"/>
  <c r="K23" i="5"/>
  <c r="K1139" i="7"/>
  <c r="K1066" i="7"/>
  <c r="K680" i="7"/>
  <c r="K651" i="7"/>
  <c r="K365" i="7"/>
  <c r="K622" i="7"/>
  <c r="K420" i="7"/>
  <c r="I57" i="7"/>
  <c r="K65" i="7"/>
  <c r="G176" i="6"/>
  <c r="K280" i="7"/>
  <c r="K466" i="7"/>
  <c r="K430" i="7"/>
  <c r="K399" i="7"/>
  <c r="B19" i="3"/>
  <c r="K713" i="7"/>
  <c r="K729" i="7"/>
  <c r="K646" i="7"/>
  <c r="K667" i="7"/>
  <c r="K189" i="7"/>
  <c r="G211" i="6"/>
  <c r="G135" i="6"/>
  <c r="K289" i="7"/>
  <c r="K912" i="7"/>
  <c r="K989" i="7"/>
  <c r="E14" i="5"/>
  <c r="K1360" i="7"/>
  <c r="K1068" i="7"/>
  <c r="K657" i="7"/>
  <c r="K45" i="7"/>
  <c r="K113" i="7"/>
  <c r="K108" i="7"/>
  <c r="G69" i="6"/>
  <c r="G90" i="6"/>
  <c r="K18" i="7"/>
  <c r="K248" i="7"/>
  <c r="K589" i="7"/>
  <c r="K1374" i="7"/>
  <c r="K1543" i="7"/>
  <c r="G14" i="5"/>
  <c r="K1028" i="7"/>
  <c r="K854" i="7"/>
  <c r="K634" i="7"/>
  <c r="K315" i="7"/>
  <c r="K658" i="7"/>
  <c r="K68" i="7"/>
  <c r="K223" i="7"/>
  <c r="K383" i="7"/>
  <c r="I14" i="5"/>
  <c r="K820" i="7"/>
  <c r="K627" i="7"/>
  <c r="K633" i="7"/>
  <c r="K442" i="7"/>
  <c r="K684" i="7"/>
  <c r="K39" i="7"/>
  <c r="G112" i="6"/>
  <c r="K93" i="7"/>
  <c r="K31" i="7"/>
  <c r="K30" i="7"/>
  <c r="G120" i="6"/>
  <c r="G93" i="6"/>
  <c r="K244" i="7"/>
  <c r="K14" i="5"/>
  <c r="K1350" i="7"/>
  <c r="K1378" i="7"/>
  <c r="K808" i="7"/>
  <c r="I681" i="7"/>
  <c r="K300" i="7"/>
  <c r="K487" i="7"/>
  <c r="K968" i="7"/>
  <c r="K85" i="7"/>
  <c r="G154" i="6"/>
  <c r="K1147" i="7"/>
  <c r="K1519" i="7"/>
  <c r="K1558" i="7"/>
  <c r="K1454" i="7"/>
  <c r="K1606" i="7"/>
  <c r="K697" i="7"/>
  <c r="K378" i="7"/>
  <c r="K435" i="7"/>
  <c r="K484" i="7"/>
  <c r="C265" i="7"/>
  <c r="G57" i="6"/>
  <c r="G140" i="6"/>
  <c r="K1331" i="7"/>
  <c r="K1602" i="7"/>
  <c r="K1516" i="7"/>
  <c r="K884" i="7"/>
  <c r="K675" i="7"/>
  <c r="K594" i="7"/>
  <c r="K616" i="7"/>
  <c r="K99" i="7"/>
  <c r="K508" i="7"/>
  <c r="K327" i="7"/>
  <c r="K346" i="7"/>
  <c r="K66" i="7"/>
  <c r="G175" i="6"/>
  <c r="K37" i="7"/>
  <c r="G218" i="6"/>
  <c r="K20" i="7"/>
  <c r="K104" i="7"/>
  <c r="K128" i="7"/>
  <c r="K263" i="7"/>
  <c r="K299" i="7"/>
  <c r="K398" i="7"/>
  <c r="K373" i="7"/>
  <c r="K455" i="7"/>
  <c r="K762" i="7"/>
  <c r="K992" i="7"/>
  <c r="K1074" i="7"/>
  <c r="K1170" i="7"/>
  <c r="K1496" i="7"/>
  <c r="G71" i="6"/>
  <c r="K1533" i="7"/>
  <c r="K1549" i="7"/>
  <c r="K1471" i="7"/>
  <c r="G1409" i="7"/>
  <c r="K840" i="7"/>
  <c r="K587" i="7"/>
  <c r="K701" i="7"/>
  <c r="K975" i="7"/>
  <c r="K687" i="7"/>
  <c r="K451" i="7"/>
  <c r="K382" i="7"/>
  <c r="G195" i="6"/>
  <c r="G217" i="6"/>
  <c r="K328" i="7"/>
  <c r="G153" i="6"/>
  <c r="K1527" i="7"/>
  <c r="K1562" i="7"/>
  <c r="C1461" i="7"/>
  <c r="K1501" i="7"/>
  <c r="K617" i="7"/>
  <c r="K1388" i="7"/>
  <c r="K1572" i="7"/>
  <c r="K1398" i="7"/>
  <c r="K1101" i="7"/>
  <c r="K1542" i="7"/>
  <c r="K966" i="7"/>
  <c r="K892" i="7"/>
  <c r="K575" i="7"/>
  <c r="K247" i="7"/>
  <c r="K674" i="7"/>
  <c r="K355" i="7"/>
  <c r="K272" i="7"/>
  <c r="K703" i="7"/>
  <c r="G8" i="6"/>
  <c r="G170" i="6"/>
  <c r="K172" i="7"/>
  <c r="K199" i="7"/>
  <c r="K464" i="7"/>
  <c r="K490" i="7"/>
  <c r="K532" i="7"/>
  <c r="K801" i="7"/>
  <c r="K1017" i="7"/>
  <c r="K1237" i="7"/>
  <c r="K1564" i="7"/>
  <c r="B14" i="3"/>
  <c r="K1599" i="7"/>
  <c r="G1461" i="7"/>
  <c r="J1409" i="7"/>
  <c r="K1407" i="7"/>
  <c r="I1097" i="7"/>
  <c r="K1259" i="7"/>
  <c r="K919" i="7"/>
  <c r="I941" i="7"/>
  <c r="K978" i="7"/>
  <c r="L733" i="7"/>
  <c r="K638" i="7"/>
  <c r="K782" i="7"/>
  <c r="K822" i="7"/>
  <c r="K637" i="7"/>
  <c r="K312" i="7"/>
  <c r="K291" i="7"/>
  <c r="K232" i="7"/>
  <c r="H369" i="7"/>
  <c r="K50" i="7"/>
  <c r="K82" i="7"/>
  <c r="F57" i="7"/>
  <c r="K59" i="7"/>
  <c r="M17" i="5"/>
  <c r="G17" i="5"/>
  <c r="E17" i="5"/>
  <c r="I17" i="5"/>
  <c r="K17" i="5"/>
  <c r="K155" i="7"/>
  <c r="H213" i="7"/>
  <c r="K133" i="7"/>
  <c r="K178" i="7"/>
  <c r="K222" i="7"/>
  <c r="K560" i="7"/>
  <c r="K414" i="7"/>
  <c r="K488" i="7"/>
  <c r="K479" i="7"/>
  <c r="F837" i="7"/>
  <c r="K839" i="7"/>
  <c r="H837" i="7"/>
  <c r="K780" i="7"/>
  <c r="K304" i="7"/>
  <c r="G993" i="7"/>
  <c r="K1049" i="7"/>
  <c r="K1085" i="7"/>
  <c r="K1124" i="7"/>
  <c r="K1276" i="7"/>
  <c r="K1318" i="7"/>
  <c r="K1413" i="7"/>
  <c r="K1379" i="7"/>
  <c r="K1541" i="7"/>
  <c r="K372" i="7"/>
  <c r="K1601" i="7"/>
  <c r="K1432" i="7"/>
  <c r="H1461" i="7"/>
  <c r="L1409" i="7"/>
  <c r="K1346" i="7"/>
  <c r="K1313" i="7"/>
  <c r="K1132" i="7"/>
  <c r="K1261" i="7"/>
  <c r="K1099" i="7"/>
  <c r="F1097" i="7"/>
  <c r="K1213" i="7"/>
  <c r="K1021" i="7"/>
  <c r="K910" i="7"/>
  <c r="I993" i="7"/>
  <c r="J889" i="7"/>
  <c r="K1115" i="7"/>
  <c r="K695" i="7"/>
  <c r="K716" i="7"/>
  <c r="K799" i="7"/>
  <c r="K920" i="7"/>
  <c r="K534" i="7"/>
  <c r="K349" i="7"/>
  <c r="K584" i="7"/>
  <c r="K360" i="7"/>
  <c r="K296" i="7"/>
  <c r="K185" i="7"/>
  <c r="K195" i="7"/>
  <c r="K371" i="7"/>
  <c r="F369" i="7"/>
  <c r="G155" i="6"/>
  <c r="G92" i="6"/>
  <c r="K171" i="7"/>
  <c r="M16" i="5"/>
  <c r="G16" i="5"/>
  <c r="E16" i="5"/>
  <c r="K16" i="5"/>
  <c r="I16" i="5"/>
  <c r="K239" i="7"/>
  <c r="K294" i="7"/>
  <c r="K281" i="7"/>
  <c r="K524" i="7"/>
  <c r="K271" i="7"/>
  <c r="K583" i="7"/>
  <c r="K325" i="7"/>
  <c r="K911" i="7"/>
  <c r="K606" i="7"/>
  <c r="K458" i="7"/>
  <c r="K552" i="7"/>
  <c r="K1010" i="7"/>
  <c r="K742" i="7"/>
  <c r="K816" i="7"/>
  <c r="K923" i="7"/>
  <c r="K1040" i="7"/>
  <c r="K819" i="7"/>
  <c r="H1253" i="7"/>
  <c r="K1445" i="7"/>
  <c r="F1357" i="7"/>
  <c r="K1359" i="7"/>
  <c r="J1513" i="7"/>
  <c r="K1610" i="7"/>
  <c r="K1503" i="7"/>
  <c r="K41" i="7"/>
  <c r="K8" i="7"/>
  <c r="K1568" i="7"/>
  <c r="L1461" i="7"/>
  <c r="K1345" i="7"/>
  <c r="K1411" i="7"/>
  <c r="F1409" i="7"/>
  <c r="K1088" i="7"/>
  <c r="K1127" i="7"/>
  <c r="K1038" i="7"/>
  <c r="M1201" i="7"/>
  <c r="K1182" i="7"/>
  <c r="K905" i="7"/>
  <c r="K1033" i="7"/>
  <c r="K849" i="7"/>
  <c r="K995" i="7"/>
  <c r="F993" i="7"/>
  <c r="L889" i="7"/>
  <c r="K823" i="7"/>
  <c r="K517" i="7"/>
  <c r="H785" i="7"/>
  <c r="K551" i="7"/>
  <c r="K731" i="7"/>
  <c r="K483" i="7"/>
  <c r="K352" i="7"/>
  <c r="K269" i="7"/>
  <c r="K580" i="7"/>
  <c r="H17" i="3"/>
  <c r="G16" i="4"/>
  <c r="G14" i="4"/>
  <c r="K298" i="7"/>
  <c r="K253" i="7"/>
  <c r="K240" i="7"/>
  <c r="K176" i="7"/>
  <c r="K123" i="7"/>
  <c r="I369" i="7"/>
  <c r="G62" i="6"/>
  <c r="K77" i="7"/>
  <c r="K10" i="7"/>
  <c r="K166" i="7"/>
  <c r="K284" i="7"/>
  <c r="K391" i="7"/>
  <c r="K48" i="7"/>
  <c r="K129" i="7"/>
  <c r="K604" i="7"/>
  <c r="K459" i="7"/>
  <c r="F525" i="7"/>
  <c r="K527" i="7"/>
  <c r="K491" i="7"/>
  <c r="K635" i="7"/>
  <c r="K441" i="7"/>
  <c r="L473" i="7"/>
  <c r="K925" i="7"/>
  <c r="K650" i="7"/>
  <c r="K1242" i="7"/>
  <c r="K955" i="7"/>
  <c r="K845" i="7"/>
  <c r="K1089" i="7"/>
  <c r="K1188" i="7"/>
  <c r="H1045" i="7"/>
  <c r="K1455" i="7"/>
  <c r="K1361" i="7"/>
  <c r="K1469" i="7"/>
  <c r="K1370" i="7"/>
  <c r="K1551" i="7"/>
  <c r="K1538" i="7"/>
  <c r="K1510" i="7"/>
  <c r="K1605" i="7"/>
  <c r="K205" i="7"/>
  <c r="K270" i="7"/>
  <c r="G5" i="7"/>
  <c r="F1565" i="7"/>
  <c r="K1567" i="7"/>
  <c r="K1614" i="7"/>
  <c r="J993" i="7"/>
  <c r="K891" i="7"/>
  <c r="F889" i="7"/>
  <c r="I785" i="7"/>
  <c r="H421" i="7"/>
  <c r="K229" i="7"/>
  <c r="J369" i="7"/>
  <c r="K754" i="7"/>
  <c r="K867" i="7"/>
  <c r="K971" i="7"/>
  <c r="L1045" i="7"/>
  <c r="K866" i="7"/>
  <c r="K1062" i="7"/>
  <c r="K1094" i="7"/>
  <c r="K1030" i="7"/>
  <c r="K1055" i="7"/>
  <c r="K878" i="7"/>
  <c r="K1228" i="7"/>
  <c r="H1305" i="7"/>
  <c r="K1299" i="7"/>
  <c r="K1537" i="7"/>
  <c r="K1515" i="7"/>
  <c r="F1513" i="7"/>
  <c r="H5" i="7"/>
  <c r="K1580" i="7"/>
  <c r="K1528" i="7"/>
  <c r="K1446" i="7"/>
  <c r="K1440" i="7"/>
  <c r="K1335" i="7"/>
  <c r="L1149" i="7"/>
  <c r="K1386" i="7"/>
  <c r="K1230" i="7"/>
  <c r="K1122" i="7"/>
  <c r="K1210" i="7"/>
  <c r="K1073" i="7"/>
  <c r="L993" i="7"/>
  <c r="H889" i="7"/>
  <c r="K896" i="7"/>
  <c r="K607" i="7"/>
  <c r="K719" i="7"/>
  <c r="K832" i="7"/>
  <c r="G785" i="7"/>
  <c r="J785" i="7"/>
  <c r="K539" i="7"/>
  <c r="K843" i="7"/>
  <c r="G421" i="7"/>
  <c r="I421" i="7"/>
  <c r="K183" i="7"/>
  <c r="L369" i="7"/>
  <c r="K11" i="7"/>
  <c r="I7" i="5"/>
  <c r="G7" i="5"/>
  <c r="E7" i="5"/>
  <c r="M7" i="5"/>
  <c r="K7" i="5"/>
  <c r="K530" i="7"/>
  <c r="K305" i="7"/>
  <c r="K306" i="7"/>
  <c r="K981" i="7"/>
  <c r="K292" i="7"/>
  <c r="K536" i="7"/>
  <c r="K590" i="7"/>
  <c r="K656" i="7"/>
  <c r="K877" i="7"/>
  <c r="H577" i="7"/>
  <c r="K384" i="7"/>
  <c r="K800" i="7"/>
  <c r="K779" i="7"/>
  <c r="K803" i="7"/>
  <c r="K1071" i="7"/>
  <c r="K956" i="7"/>
  <c r="K1116" i="7"/>
  <c r="K1125" i="7"/>
  <c r="K1005" i="7"/>
  <c r="K1251" i="7"/>
  <c r="K1221" i="7"/>
  <c r="K1197" i="7"/>
  <c r="J1305" i="7"/>
  <c r="K1309" i="7"/>
  <c r="K1362" i="7"/>
  <c r="K1240" i="7"/>
  <c r="K1347" i="7"/>
  <c r="K1337" i="7"/>
  <c r="K1365" i="7"/>
  <c r="K1539" i="7"/>
  <c r="K1523" i="7"/>
  <c r="K1584" i="7"/>
  <c r="J5" i="7"/>
  <c r="K1616" i="7"/>
  <c r="K1547" i="7"/>
  <c r="K1393" i="7"/>
  <c r="K1453" i="7"/>
  <c r="K1295" i="7"/>
  <c r="K1430" i="7"/>
  <c r="K1329" i="7"/>
  <c r="K1269" i="7"/>
  <c r="K1193" i="7"/>
  <c r="K851" i="7"/>
  <c r="K906" i="7"/>
  <c r="K943" i="7"/>
  <c r="F941" i="7"/>
  <c r="H993" i="7"/>
  <c r="G889" i="7"/>
  <c r="K935" i="7"/>
  <c r="L785" i="7"/>
  <c r="K501" i="7"/>
  <c r="K671" i="7"/>
  <c r="F213" i="7"/>
  <c r="K215" i="7"/>
  <c r="K407" i="7"/>
  <c r="K550" i="7"/>
  <c r="K454" i="7"/>
  <c r="J421" i="7"/>
  <c r="K400" i="7"/>
  <c r="K338" i="7"/>
  <c r="K260" i="7"/>
  <c r="K191" i="7"/>
  <c r="K107" i="7"/>
  <c r="G126" i="6"/>
  <c r="K13" i="7"/>
  <c r="E6" i="5"/>
  <c r="K6" i="5"/>
  <c r="G6" i="5"/>
  <c r="M6" i="5"/>
  <c r="I6" i="5"/>
  <c r="M26" i="5"/>
  <c r="G26" i="5"/>
  <c r="K26" i="5"/>
  <c r="I26" i="5"/>
  <c r="E26" i="5"/>
  <c r="K204" i="7"/>
  <c r="K15" i="7"/>
  <c r="K336" i="7"/>
  <c r="K250" i="7"/>
  <c r="K234" i="7"/>
  <c r="K322" i="7"/>
  <c r="K340" i="7"/>
  <c r="K156" i="7"/>
  <c r="K472" i="7"/>
  <c r="K544" i="7"/>
  <c r="K542" i="7"/>
  <c r="I473" i="7"/>
  <c r="K471" i="7"/>
  <c r="K596" i="7"/>
  <c r="K678" i="7"/>
  <c r="K798" i="7"/>
  <c r="K725" i="7"/>
  <c r="K1087" i="7"/>
  <c r="K901" i="7"/>
  <c r="K957" i="7"/>
  <c r="K1164" i="7"/>
  <c r="K1266" i="7"/>
  <c r="K1260" i="7"/>
  <c r="K1321" i="7"/>
  <c r="K1322" i="7"/>
  <c r="K1448" i="7"/>
  <c r="K1367" i="7"/>
  <c r="K1243" i="7"/>
  <c r="K1340" i="7"/>
  <c r="K1435" i="7"/>
  <c r="K1536" i="7"/>
  <c r="K152" i="7"/>
  <c r="K22" i="7"/>
  <c r="L5" i="7"/>
  <c r="K1588" i="7"/>
  <c r="K1500" i="7"/>
  <c r="K1419" i="7"/>
  <c r="H1409" i="7"/>
  <c r="K1231" i="7"/>
  <c r="K1186" i="7"/>
  <c r="K1200" i="7"/>
  <c r="K1175" i="7"/>
  <c r="K1272" i="7"/>
  <c r="K1176" i="7"/>
  <c r="G941" i="7"/>
  <c r="K965" i="7"/>
  <c r="I889" i="7"/>
  <c r="K1134" i="7"/>
  <c r="K758" i="7"/>
  <c r="K750" i="7"/>
  <c r="F785" i="7"/>
  <c r="K787" i="7"/>
  <c r="K614" i="7"/>
  <c r="K547" i="7"/>
  <c r="K722" i="7"/>
  <c r="K778" i="7"/>
  <c r="K394" i="7"/>
  <c r="K139" i="7"/>
  <c r="L421" i="7"/>
  <c r="K429" i="7"/>
  <c r="K356" i="7"/>
  <c r="K193" i="7"/>
  <c r="K259" i="7"/>
  <c r="K522" i="7"/>
  <c r="B16" i="3"/>
  <c r="G20" i="6"/>
  <c r="G128" i="6"/>
  <c r="G44" i="6"/>
  <c r="G77" i="6"/>
  <c r="G97" i="6"/>
  <c r="G23" i="6"/>
  <c r="K35" i="7"/>
  <c r="K362" i="7"/>
  <c r="K405" i="7"/>
  <c r="K302" i="7"/>
  <c r="K537" i="7"/>
  <c r="K311" i="7"/>
  <c r="K326" i="7"/>
  <c r="K303" i="7"/>
  <c r="K520" i="7"/>
  <c r="K361" i="7"/>
  <c r="K456" i="7"/>
  <c r="K499" i="7"/>
  <c r="I629" i="7"/>
  <c r="K492" i="7"/>
  <c r="J473" i="7"/>
  <c r="K871" i="7"/>
  <c r="K830" i="7"/>
  <c r="F1149" i="7"/>
  <c r="K1151" i="7"/>
  <c r="K1181" i="7"/>
  <c r="K997" i="7"/>
  <c r="K880" i="7"/>
  <c r="K1196" i="7"/>
  <c r="K1107" i="7"/>
  <c r="K1300" i="7"/>
  <c r="K1326" i="7"/>
  <c r="K1303" i="7"/>
  <c r="K1524" i="7"/>
  <c r="G1305" i="7"/>
  <c r="K1246" i="7"/>
  <c r="K1400" i="7"/>
  <c r="K1383" i="7"/>
  <c r="K1343" i="7"/>
  <c r="K1459" i="7"/>
  <c r="G174" i="6"/>
  <c r="K60" i="7"/>
  <c r="I5" i="7"/>
  <c r="K1579" i="7"/>
  <c r="K1555" i="7"/>
  <c r="K1517" i="7"/>
  <c r="K1493" i="7"/>
  <c r="K1355" i="7"/>
  <c r="K1315" i="7"/>
  <c r="K1082" i="7"/>
  <c r="K1081" i="7"/>
  <c r="K1225" i="7"/>
  <c r="K850" i="7"/>
  <c r="H941" i="7"/>
  <c r="K1006" i="7"/>
  <c r="K852" i="7"/>
  <c r="K643" i="7"/>
  <c r="K481" i="7"/>
  <c r="K179" i="7"/>
  <c r="K15" i="5"/>
  <c r="E15" i="5"/>
  <c r="M15" i="5"/>
  <c r="G15" i="5"/>
  <c r="I15" i="5"/>
  <c r="G7" i="6"/>
  <c r="K106" i="7"/>
  <c r="G19" i="5"/>
  <c r="E19" i="5"/>
  <c r="M19" i="5"/>
  <c r="K19" i="5"/>
  <c r="I19" i="5"/>
  <c r="K218" i="7"/>
  <c r="K257" i="7"/>
  <c r="K56" i="7"/>
  <c r="K46" i="7"/>
  <c r="K43" i="7"/>
  <c r="K308" i="7"/>
  <c r="K447" i="7"/>
  <c r="K236" i="7"/>
  <c r="K55" i="7"/>
  <c r="K513" i="7"/>
  <c r="K344" i="7"/>
  <c r="K374" i="7"/>
  <c r="K557" i="7"/>
  <c r="K515" i="7"/>
  <c r="K641" i="7"/>
  <c r="H473" i="7"/>
  <c r="K665" i="7"/>
  <c r="K605" i="7"/>
  <c r="K738" i="7"/>
  <c r="K1032" i="7"/>
  <c r="K973" i="7"/>
  <c r="G1149" i="7"/>
  <c r="K1161" i="7"/>
  <c r="K1060" i="7"/>
  <c r="K1203" i="7"/>
  <c r="F1201" i="7"/>
  <c r="K1042" i="7"/>
  <c r="K1179" i="7"/>
  <c r="K1373" i="7"/>
  <c r="K1327" i="7"/>
  <c r="K1265" i="7"/>
  <c r="H1357" i="7"/>
  <c r="K1442" i="7"/>
  <c r="K1553" i="7"/>
  <c r="K1470" i="7"/>
  <c r="G105" i="6"/>
  <c r="K1412" i="7"/>
  <c r="G1357" i="7"/>
  <c r="K1563" i="7"/>
  <c r="K1405" i="7"/>
  <c r="K1488" i="7"/>
  <c r="K1212" i="7"/>
  <c r="K1332" i="7"/>
  <c r="I1201" i="7"/>
  <c r="K1031" i="7"/>
  <c r="K1148" i="7"/>
  <c r="K1026" i="7"/>
  <c r="K963" i="7"/>
  <c r="K781" i="7"/>
  <c r="K864" i="7"/>
  <c r="K504" i="7"/>
  <c r="K393" i="7"/>
  <c r="K285" i="7"/>
  <c r="K559" i="7"/>
  <c r="K120" i="7"/>
  <c r="K211" i="7"/>
  <c r="K154" i="7"/>
  <c r="I10" i="5"/>
  <c r="G10" i="5"/>
  <c r="M10" i="5"/>
  <c r="E10" i="5"/>
  <c r="K10" i="5"/>
  <c r="G181" i="6"/>
  <c r="I9" i="5"/>
  <c r="M9" i="5"/>
  <c r="K9" i="5"/>
  <c r="E9" i="5"/>
  <c r="G9" i="5"/>
  <c r="G177" i="6"/>
  <c r="K47" i="7"/>
  <c r="K63" i="7"/>
  <c r="L57" i="7"/>
  <c r="K353" i="7"/>
  <c r="K88" i="7"/>
  <c r="K167" i="7"/>
  <c r="K335" i="7"/>
  <c r="K652" i="7"/>
  <c r="K364" i="7"/>
  <c r="L525" i="7"/>
  <c r="K470" i="7"/>
  <c r="J525" i="7"/>
  <c r="K531" i="7"/>
  <c r="K735" i="7"/>
  <c r="F733" i="7"/>
  <c r="K677" i="7"/>
  <c r="H629" i="7"/>
  <c r="K858" i="7"/>
  <c r="K875" i="7"/>
  <c r="K983" i="7"/>
  <c r="K1057" i="7"/>
  <c r="G1045" i="7"/>
  <c r="K1183" i="7"/>
  <c r="K1250" i="7"/>
  <c r="K1227" i="7"/>
  <c r="K1397" i="7"/>
  <c r="K1429" i="7"/>
  <c r="J1357" i="7"/>
  <c r="K1552" i="7"/>
  <c r="I25" i="5"/>
  <c r="M25" i="5"/>
  <c r="K25" i="5"/>
  <c r="G25" i="5"/>
  <c r="E25" i="5"/>
  <c r="G191" i="6"/>
  <c r="G41" i="6"/>
  <c r="K528" i="7"/>
  <c r="K1048" i="7"/>
  <c r="K1561" i="7"/>
  <c r="K1512" i="7"/>
  <c r="K1433" i="7"/>
  <c r="K1441" i="7"/>
  <c r="K1353" i="7"/>
  <c r="K1363" i="7"/>
  <c r="K1293" i="7"/>
  <c r="K1067" i="7"/>
  <c r="K985" i="7"/>
  <c r="K857" i="7"/>
  <c r="K959" i="7"/>
  <c r="K1157" i="7"/>
  <c r="K772" i="7"/>
  <c r="K600" i="7"/>
  <c r="K334" i="7"/>
  <c r="K598" i="7"/>
  <c r="K157" i="7"/>
  <c r="K181" i="7"/>
  <c r="K61" i="7"/>
  <c r="K160" i="7"/>
  <c r="K69" i="7"/>
  <c r="K462" i="7"/>
  <c r="K427" i="7"/>
  <c r="K321" i="7"/>
  <c r="K290" i="7"/>
  <c r="K443" i="7"/>
  <c r="K330" i="7"/>
  <c r="K220" i="7"/>
  <c r="K612" i="7"/>
  <c r="K412" i="7"/>
  <c r="K660" i="7"/>
  <c r="K636" i="7"/>
  <c r="K516" i="7"/>
  <c r="K538" i="7"/>
  <c r="H681" i="7"/>
  <c r="K1008" i="7"/>
  <c r="K1317" i="7"/>
  <c r="K1258" i="7"/>
  <c r="I1253" i="7"/>
  <c r="K1234" i="7"/>
  <c r="K1402" i="7"/>
  <c r="K1403" i="7"/>
  <c r="K1483" i="7"/>
  <c r="K1290" i="7"/>
  <c r="K1325" i="7"/>
  <c r="G1513" i="7"/>
  <c r="K1570" i="7"/>
  <c r="K1574" i="7"/>
  <c r="K1544" i="7"/>
  <c r="K1323" i="7"/>
  <c r="K1023" i="7"/>
  <c r="K1330" i="7"/>
  <c r="K1174" i="7"/>
  <c r="K1223" i="7"/>
  <c r="K962" i="7"/>
  <c r="K824" i="7"/>
  <c r="K946" i="7"/>
  <c r="K712" i="7"/>
  <c r="K623" i="7"/>
  <c r="K509" i="7"/>
  <c r="K628" i="7"/>
  <c r="K62" i="7"/>
  <c r="K379" i="7"/>
  <c r="K273" i="7"/>
  <c r="K241" i="7"/>
  <c r="K40" i="7"/>
  <c r="K194" i="7"/>
  <c r="K97" i="7"/>
  <c r="M421" i="7"/>
  <c r="C421" i="7"/>
  <c r="K313" i="7"/>
  <c r="G167" i="6"/>
  <c r="G14" i="6"/>
  <c r="G9" i="6"/>
  <c r="K52" i="7"/>
  <c r="K121" i="7"/>
  <c r="K100" i="7"/>
  <c r="K102" i="7"/>
  <c r="K255" i="7"/>
  <c r="K28" i="7"/>
  <c r="K124" i="7"/>
  <c r="K512" i="7"/>
  <c r="K444" i="7"/>
  <c r="K190" i="7"/>
  <c r="K561" i="7"/>
  <c r="K343" i="7"/>
  <c r="K666" i="7"/>
  <c r="I525" i="7"/>
  <c r="K696" i="7"/>
  <c r="K1014" i="7"/>
  <c r="K751" i="7"/>
  <c r="K1077" i="7"/>
  <c r="K1064" i="7"/>
  <c r="K1070" i="7"/>
  <c r="K1126" i="7"/>
  <c r="K1320" i="7"/>
  <c r="I1461" i="7"/>
  <c r="L1513" i="7"/>
  <c r="K1532" i="7"/>
  <c r="K1456" i="7"/>
  <c r="K1571" i="7"/>
  <c r="K23" i="7"/>
  <c r="G58" i="6"/>
  <c r="K1582" i="7"/>
  <c r="K1348" i="7"/>
  <c r="K1219" i="7"/>
  <c r="K1001" i="7"/>
  <c r="K1136" i="7"/>
  <c r="K899" i="7"/>
  <c r="K938" i="7"/>
  <c r="K897" i="7"/>
  <c r="K815" i="7"/>
  <c r="K986" i="7"/>
  <c r="K796" i="7"/>
  <c r="K562" i="7"/>
  <c r="K691" i="7"/>
  <c r="K417" i="7"/>
  <c r="K428" i="7"/>
  <c r="K387" i="7"/>
  <c r="K323" i="7"/>
  <c r="K98" i="7"/>
  <c r="K242" i="7"/>
  <c r="M161" i="7"/>
  <c r="C161" i="7"/>
  <c r="K140" i="7"/>
  <c r="K198" i="7"/>
  <c r="K9" i="7"/>
  <c r="G34" i="5"/>
  <c r="K34" i="5"/>
  <c r="I34" i="5"/>
  <c r="E34" i="5"/>
  <c r="M34" i="5"/>
  <c r="K249" i="7"/>
  <c r="K146" i="7"/>
  <c r="K116" i="7"/>
  <c r="K76" i="7"/>
  <c r="K461" i="7"/>
  <c r="K668" i="7"/>
  <c r="K599" i="7"/>
  <c r="G473" i="7"/>
  <c r="K569" i="7"/>
  <c r="J733" i="7"/>
  <c r="K1133" i="7"/>
  <c r="K1145" i="7"/>
  <c r="K1084" i="7"/>
  <c r="K1138" i="7"/>
  <c r="K1205" i="7"/>
  <c r="K1282" i="7"/>
  <c r="K1252" i="7"/>
  <c r="K1391" i="7"/>
  <c r="K1434" i="7"/>
  <c r="K1457" i="7"/>
  <c r="K1578" i="7"/>
  <c r="K1464" i="7"/>
  <c r="K1615" i="7"/>
  <c r="K1447" i="7"/>
  <c r="K1302" i="7"/>
  <c r="K1171" i="7"/>
  <c r="K1466" i="7"/>
  <c r="K1195" i="7"/>
  <c r="K1286" i="7"/>
  <c r="K1185" i="7"/>
  <c r="K1100" i="7"/>
  <c r="K931" i="7"/>
  <c r="K908" i="7"/>
  <c r="K939" i="7"/>
  <c r="K825" i="7"/>
  <c r="K448" i="7"/>
  <c r="K707" i="7"/>
  <c r="K445" i="7"/>
  <c r="K357" i="7"/>
  <c r="K413" i="7"/>
  <c r="K33" i="7"/>
  <c r="K84" i="7"/>
  <c r="K137" i="7"/>
  <c r="K115" i="7"/>
  <c r="J57" i="7"/>
  <c r="K174" i="7"/>
  <c r="K602" i="7"/>
  <c r="K440" i="7"/>
  <c r="L837" i="7"/>
  <c r="H733" i="7"/>
  <c r="K777" i="7"/>
  <c r="K1035" i="7"/>
  <c r="K869" i="7"/>
  <c r="J1097" i="7"/>
  <c r="K1039" i="7"/>
  <c r="K1121" i="7"/>
  <c r="K1216" i="7"/>
  <c r="K1222" i="7"/>
  <c r="K1264" i="7"/>
  <c r="K1314" i="7"/>
  <c r="K1382" i="7"/>
  <c r="K1498" i="7"/>
  <c r="K1505" i="7"/>
  <c r="K1577" i="7"/>
  <c r="K1585" i="7"/>
  <c r="K1597" i="7"/>
  <c r="G198" i="6"/>
  <c r="G197" i="6"/>
  <c r="K148" i="7"/>
  <c r="K103" i="7"/>
  <c r="J109" i="7"/>
  <c r="G49" i="6"/>
  <c r="G133" i="6"/>
  <c r="G146" i="6"/>
  <c r="B9" i="3"/>
  <c r="B15" i="3"/>
  <c r="K25" i="7"/>
  <c r="K210" i="7"/>
  <c r="K70" i="7"/>
  <c r="K182" i="7"/>
  <c r="K217" i="7"/>
  <c r="K613" i="7"/>
  <c r="K929" i="7"/>
  <c r="I837" i="7"/>
  <c r="K640" i="7"/>
  <c r="K810" i="7"/>
  <c r="K789" i="7"/>
  <c r="K974" i="7"/>
  <c r="K1390" i="7"/>
  <c r="K1530" i="7"/>
  <c r="K54" i="7"/>
  <c r="K996" i="7"/>
  <c r="K1460" i="7"/>
  <c r="K1301" i="7"/>
  <c r="K1166" i="7"/>
  <c r="K841" i="7"/>
  <c r="G109" i="7"/>
  <c r="G183" i="6"/>
  <c r="G205" i="6"/>
  <c r="M21" i="5"/>
  <c r="G21" i="5"/>
  <c r="I21" i="5"/>
  <c r="K21" i="5"/>
  <c r="E21" i="5"/>
  <c r="K72" i="7"/>
  <c r="K89" i="7"/>
  <c r="K235" i="7"/>
  <c r="K192" i="7"/>
  <c r="K254" i="7"/>
  <c r="K390" i="7"/>
  <c r="K496" i="7"/>
  <c r="K345" i="7"/>
  <c r="K368" i="7"/>
  <c r="K359" i="7"/>
  <c r="K187" i="7"/>
  <c r="K437" i="7"/>
  <c r="K450" i="7"/>
  <c r="H525" i="7"/>
  <c r="L629" i="7"/>
  <c r="F629" i="7"/>
  <c r="K631" i="7"/>
  <c r="K702" i="7"/>
  <c r="K610" i="7"/>
  <c r="K804" i="7"/>
  <c r="K882" i="7"/>
  <c r="K1054" i="7"/>
  <c r="K1044" i="7"/>
  <c r="K1119" i="7"/>
  <c r="K1007" i="7"/>
  <c r="K1191" i="7"/>
  <c r="K1284" i="7"/>
  <c r="K1277" i="7"/>
  <c r="K1262" i="7"/>
  <c r="K1334" i="7"/>
  <c r="K1384" i="7"/>
  <c r="K1438" i="7"/>
  <c r="K1477" i="7"/>
  <c r="K1381" i="7"/>
  <c r="K1609" i="7"/>
  <c r="K29" i="7"/>
  <c r="K1480" i="7"/>
  <c r="K1415" i="7"/>
  <c r="K1369" i="7"/>
  <c r="K1372" i="7"/>
  <c r="K1467" i="7"/>
  <c r="K1351" i="7"/>
  <c r="K1160" i="7"/>
  <c r="K979" i="7"/>
  <c r="K1019" i="7"/>
  <c r="K432" i="7"/>
  <c r="K446" i="7"/>
  <c r="K408" i="7"/>
  <c r="K411" i="7"/>
  <c r="J317" i="7"/>
  <c r="K540" i="7"/>
  <c r="K396" i="7"/>
  <c r="K207" i="7"/>
  <c r="G190" i="6"/>
  <c r="L109" i="7"/>
  <c r="B12" i="1" s="1"/>
  <c r="K126" i="7"/>
  <c r="H109" i="7"/>
  <c r="G35" i="6"/>
  <c r="G91" i="6"/>
  <c r="B18" i="3"/>
  <c r="G48" i="6"/>
  <c r="G65" i="6"/>
  <c r="K21" i="7"/>
  <c r="K197" i="7"/>
  <c r="K717" i="7"/>
  <c r="I577" i="7"/>
  <c r="K676" i="7"/>
  <c r="G837" i="7"/>
  <c r="K694" i="7"/>
  <c r="K648" i="7"/>
  <c r="K776" i="7"/>
  <c r="K870" i="7"/>
  <c r="K812" i="7"/>
  <c r="K1083" i="7"/>
  <c r="K1140" i="7"/>
  <c r="K1143" i="7"/>
  <c r="K1292" i="7"/>
  <c r="K1156" i="7"/>
  <c r="K1354" i="7"/>
  <c r="K1120" i="7"/>
  <c r="K1285" i="7"/>
  <c r="K1450" i="7"/>
  <c r="K1421" i="7"/>
  <c r="K1458" i="7"/>
  <c r="K1611" i="7"/>
  <c r="K1569" i="7"/>
  <c r="K1593" i="7"/>
  <c r="K1526" i="7"/>
  <c r="K1451" i="7"/>
  <c r="K1380" i="7"/>
  <c r="K1349" i="7"/>
  <c r="M1305" i="7"/>
  <c r="C1253" i="7"/>
  <c r="K1144" i="7"/>
  <c r="K1146" i="7"/>
  <c r="K1291" i="7"/>
  <c r="K1058" i="7"/>
  <c r="L941" i="7"/>
  <c r="K947" i="7"/>
  <c r="K844" i="7"/>
  <c r="K1092" i="7"/>
  <c r="K700" i="7"/>
  <c r="K626" i="7"/>
  <c r="K485" i="7"/>
  <c r="K460" i="7"/>
  <c r="C525" i="7"/>
  <c r="K806" i="7"/>
  <c r="K376" i="7"/>
  <c r="K91" i="7"/>
  <c r="G22" i="5"/>
  <c r="E22" i="5"/>
  <c r="M22" i="5"/>
  <c r="K22" i="5"/>
  <c r="I22" i="5"/>
  <c r="L317" i="7"/>
  <c r="K375" i="7"/>
  <c r="K150" i="7"/>
  <c r="K165" i="7"/>
  <c r="K149" i="7"/>
  <c r="K711" i="7"/>
  <c r="K301" i="7"/>
  <c r="K96" i="7"/>
  <c r="I109" i="7"/>
  <c r="G51" i="6"/>
  <c r="K19" i="7"/>
  <c r="K136" i="7"/>
  <c r="K377" i="7"/>
  <c r="G213" i="7"/>
  <c r="K144" i="7"/>
  <c r="K53" i="7"/>
  <c r="K168" i="7"/>
  <c r="K67" i="7"/>
  <c r="K49" i="7"/>
  <c r="K307" i="7"/>
  <c r="K227" i="7"/>
  <c r="K494" i="7"/>
  <c r="K571" i="7"/>
  <c r="K595" i="7"/>
  <c r="K672" i="7"/>
  <c r="K859" i="7"/>
  <c r="J577" i="7"/>
  <c r="K970" i="7"/>
  <c r="K918" i="7"/>
  <c r="J1045" i="7"/>
  <c r="K874" i="7"/>
  <c r="I1149" i="7"/>
  <c r="K842" i="7"/>
  <c r="G1097" i="7"/>
  <c r="K1027" i="7"/>
  <c r="K1178" i="7"/>
  <c r="K1199" i="7"/>
  <c r="K1123" i="7"/>
  <c r="K1304" i="7"/>
  <c r="K1576" i="7"/>
  <c r="G139" i="6"/>
  <c r="K944" i="7"/>
  <c r="K1002" i="7"/>
  <c r="K783" i="7"/>
  <c r="K876" i="7"/>
  <c r="K686" i="7"/>
  <c r="G317" i="7"/>
  <c r="K333" i="7"/>
  <c r="K71" i="7"/>
  <c r="K350" i="7"/>
  <c r="K228" i="7"/>
  <c r="K175" i="7"/>
  <c r="K111" i="7"/>
  <c r="F109" i="7"/>
  <c r="K14" i="7"/>
  <c r="K135" i="7"/>
  <c r="K95" i="7"/>
  <c r="J213" i="7"/>
  <c r="K79" i="7"/>
  <c r="K28" i="5"/>
  <c r="M28" i="5"/>
  <c r="I28" i="5"/>
  <c r="G28" i="5"/>
  <c r="E28" i="5"/>
  <c r="K212" i="7"/>
  <c r="K386" i="7"/>
  <c r="K436" i="7"/>
  <c r="K1037" i="7"/>
  <c r="K203" i="7"/>
  <c r="G577" i="7"/>
  <c r="K452" i="7"/>
  <c r="K615" i="7"/>
  <c r="K74" i="7"/>
  <c r="K723" i="7"/>
  <c r="K814" i="7"/>
  <c r="K991" i="7"/>
  <c r="K868" i="7"/>
  <c r="K792" i="7"/>
  <c r="K1192" i="7"/>
  <c r="K732" i="7"/>
  <c r="K811" i="7"/>
  <c r="K945" i="7"/>
  <c r="K1079" i="7"/>
  <c r="K1207" i="7"/>
  <c r="K921" i="7"/>
  <c r="L1305" i="7"/>
  <c r="K1298" i="7"/>
  <c r="K1506" i="7"/>
  <c r="K1401" i="7"/>
  <c r="G1565" i="7"/>
  <c r="K1428" i="7"/>
  <c r="K1474" i="7"/>
  <c r="K1204" i="7"/>
  <c r="K1534" i="7"/>
  <c r="K1485" i="7"/>
  <c r="K1508" i="7"/>
  <c r="M1409" i="7"/>
  <c r="C1409" i="7"/>
  <c r="K1152" i="7"/>
  <c r="K936" i="7"/>
  <c r="K862" i="7"/>
  <c r="K846" i="7"/>
  <c r="K773" i="7"/>
  <c r="K771" i="7"/>
  <c r="K775" i="7"/>
  <c r="K720" i="7"/>
  <c r="K621" i="7"/>
  <c r="K535" i="7"/>
  <c r="H317" i="7"/>
  <c r="K86" i="7"/>
  <c r="K332" i="7"/>
  <c r="K32" i="7"/>
  <c r="K81" i="7"/>
  <c r="G98" i="6"/>
  <c r="K87" i="7"/>
  <c r="K184" i="7"/>
  <c r="K141" i="7"/>
  <c r="K541" i="7"/>
  <c r="K145" i="7"/>
  <c r="K511" i="7"/>
  <c r="K245" i="7"/>
  <c r="K388" i="7"/>
  <c r="G525" i="7"/>
  <c r="K585" i="7"/>
  <c r="K863" i="7"/>
  <c r="K221" i="7"/>
  <c r="K568" i="7"/>
  <c r="K756" i="7"/>
  <c r="K690" i="7"/>
  <c r="K710" i="7"/>
  <c r="J629" i="7"/>
  <c r="K807" i="7"/>
  <c r="K887" i="7"/>
  <c r="K949" i="7"/>
  <c r="K1095" i="7"/>
  <c r="K1155" i="7"/>
  <c r="L1097" i="7"/>
  <c r="K1159" i="7"/>
  <c r="K1129" i="7"/>
  <c r="K1311" i="7"/>
  <c r="K1211" i="7"/>
  <c r="K1289" i="7"/>
  <c r="I1305" i="7"/>
  <c r="K1287" i="7"/>
  <c r="K1497" i="7"/>
  <c r="K1583" i="7"/>
  <c r="K320" i="7"/>
  <c r="K1319" i="7"/>
  <c r="K1324" i="7"/>
  <c r="J1201" i="7"/>
  <c r="K1235" i="7"/>
  <c r="K1108" i="7"/>
  <c r="K1022" i="7"/>
  <c r="K928" i="7"/>
  <c r="K759" i="7"/>
  <c r="K861" i="7"/>
  <c r="K909" i="7"/>
  <c r="K922" i="7"/>
  <c r="K764" i="7"/>
  <c r="K784" i="7"/>
  <c r="G681" i="7"/>
  <c r="K592" i="7"/>
  <c r="K553" i="7"/>
  <c r="K329" i="7"/>
  <c r="K563" i="7"/>
  <c r="K514" i="7"/>
  <c r="K431" i="7"/>
  <c r="K283" i="7"/>
  <c r="K642" i="7"/>
  <c r="K418" i="7"/>
  <c r="K337" i="7"/>
  <c r="K117" i="7"/>
  <c r="K119" i="7"/>
  <c r="K586" i="7"/>
  <c r="L213" i="7"/>
  <c r="K151" i="7"/>
  <c r="K94" i="7"/>
  <c r="K277" i="7"/>
  <c r="K75" i="7"/>
  <c r="K506" i="7"/>
  <c r="K573" i="7"/>
  <c r="K397" i="7"/>
  <c r="K581" i="7"/>
  <c r="K645" i="7"/>
  <c r="K744" i="7"/>
  <c r="K745" i="7"/>
  <c r="K1004" i="7"/>
  <c r="F681" i="7"/>
  <c r="K683" i="7"/>
  <c r="K793" i="7"/>
  <c r="K898" i="7"/>
  <c r="K856" i="7"/>
  <c r="K926" i="7"/>
  <c r="K766" i="7"/>
  <c r="K883" i="7"/>
  <c r="K998" i="7"/>
  <c r="K953" i="7"/>
  <c r="K1247" i="7"/>
  <c r="K1158" i="7"/>
  <c r="K1215" i="7"/>
  <c r="K1255" i="7"/>
  <c r="F1253" i="7"/>
  <c r="L1357" i="7"/>
  <c r="K1414" i="7"/>
  <c r="K1499" i="7"/>
  <c r="K1590" i="7"/>
  <c r="K237" i="7"/>
  <c r="G20" i="5"/>
  <c r="M20" i="5"/>
  <c r="K20" i="5"/>
  <c r="I20" i="5"/>
  <c r="E20" i="5"/>
  <c r="K736" i="7"/>
  <c r="L1201" i="7"/>
  <c r="G1201" i="7"/>
  <c r="F577" i="7"/>
  <c r="K579" i="7"/>
  <c r="K872" i="7"/>
  <c r="M889" i="7"/>
  <c r="C889" i="7"/>
  <c r="K549" i="7"/>
  <c r="E31" i="5"/>
  <c r="G31" i="5"/>
  <c r="K31" i="5"/>
  <c r="I31" i="5"/>
  <c r="M31" i="5"/>
  <c r="K16" i="7"/>
  <c r="K608" i="7"/>
  <c r="K309" i="7"/>
  <c r="L577" i="7"/>
  <c r="K457" i="7"/>
  <c r="K543" i="7"/>
  <c r="K278" i="7"/>
  <c r="K419" i="7"/>
  <c r="K403" i="7"/>
  <c r="K1029" i="7"/>
  <c r="K705" i="7"/>
  <c r="J681" i="7"/>
  <c r="K954" i="7"/>
  <c r="K934" i="7"/>
  <c r="K833" i="7"/>
  <c r="K1091" i="7"/>
  <c r="K1224" i="7"/>
  <c r="K1229" i="7"/>
  <c r="K1267" i="7"/>
  <c r="K1165" i="7"/>
  <c r="K1316" i="7"/>
  <c r="K1352" i="7"/>
  <c r="K1273" i="7"/>
  <c r="K1274" i="7"/>
  <c r="K1310" i="7"/>
  <c r="J1461" i="7"/>
  <c r="K1598" i="7"/>
  <c r="K1504" i="7"/>
  <c r="H1513" i="7"/>
  <c r="K1511" i="7"/>
  <c r="K1607" i="7"/>
  <c r="K1573" i="7"/>
  <c r="K1540" i="7"/>
  <c r="K1495" i="7"/>
  <c r="K1535" i="7"/>
  <c r="K1417" i="7"/>
  <c r="K1436" i="7"/>
  <c r="K1342" i="7"/>
  <c r="K1110" i="7"/>
  <c r="K661" i="7"/>
  <c r="K673" i="7"/>
  <c r="K83" i="7"/>
  <c r="F473" i="7"/>
  <c r="K475" i="7"/>
  <c r="K669" i="7"/>
  <c r="K659" i="7"/>
  <c r="F265" i="7"/>
  <c r="K267" i="7"/>
  <c r="K286" i="7"/>
  <c r="K314" i="7"/>
  <c r="K27" i="7"/>
  <c r="G142" i="6"/>
  <c r="E13" i="5"/>
  <c r="M13" i="5"/>
  <c r="K13" i="5"/>
  <c r="I13" i="5"/>
  <c r="G13" i="5"/>
  <c r="G111" i="6"/>
  <c r="K27" i="5"/>
  <c r="M27" i="5"/>
  <c r="I27" i="5"/>
  <c r="G27" i="5"/>
  <c r="E27" i="5"/>
  <c r="G57" i="7"/>
  <c r="K423" i="7"/>
  <c r="F421" i="7"/>
  <c r="K118" i="7"/>
  <c r="K258" i="7"/>
  <c r="K24" i="7"/>
  <c r="K358" i="7"/>
  <c r="K761" i="7"/>
  <c r="K709" i="7"/>
  <c r="K770" i="7"/>
  <c r="K1000" i="7"/>
  <c r="K730" i="7"/>
  <c r="K937" i="7"/>
  <c r="K1036" i="7"/>
  <c r="K1296" i="7"/>
  <c r="K1344" i="7"/>
  <c r="K1427" i="7"/>
  <c r="I1513" i="7"/>
  <c r="K1531" i="7"/>
  <c r="K1529" i="7"/>
  <c r="H1565" i="7"/>
  <c r="K1575" i="7"/>
  <c r="K1431" i="7"/>
  <c r="K1406" i="7"/>
  <c r="K1520" i="7"/>
  <c r="K1509" i="7"/>
  <c r="K1217" i="7"/>
  <c r="K1172" i="7"/>
  <c r="K1364" i="7"/>
  <c r="K1102" i="7"/>
  <c r="K1154" i="7"/>
  <c r="K999" i="7"/>
  <c r="K1279" i="7"/>
  <c r="K1025" i="7"/>
  <c r="K1016" i="7"/>
  <c r="K809" i="7"/>
  <c r="K767" i="7"/>
  <c r="K426" i="7"/>
  <c r="K385" i="7"/>
  <c r="K406" i="7"/>
  <c r="H265" i="7"/>
  <c r="G141" i="6"/>
  <c r="K268" i="7"/>
  <c r="K342" i="7"/>
  <c r="K297" i="7"/>
  <c r="K163" i="7"/>
  <c r="F161" i="7"/>
  <c r="G55" i="6"/>
  <c r="G125" i="6"/>
  <c r="G26" i="4"/>
  <c r="G28" i="4"/>
  <c r="H11" i="3"/>
  <c r="G70" i="6"/>
  <c r="K159" i="7"/>
  <c r="K202" i="7"/>
  <c r="K348" i="7"/>
  <c r="K482" i="7"/>
  <c r="K467" i="7"/>
  <c r="K654" i="7"/>
  <c r="K416" i="7"/>
  <c r="K380" i="7"/>
  <c r="K831" i="7"/>
  <c r="K794" i="7"/>
  <c r="I733" i="7"/>
  <c r="K888" i="7"/>
  <c r="K805" i="7"/>
  <c r="K924" i="7"/>
  <c r="K1162" i="7"/>
  <c r="K1112" i="7"/>
  <c r="K1130" i="7"/>
  <c r="K1180" i="7"/>
  <c r="K1194" i="7"/>
  <c r="K1437" i="7"/>
  <c r="K1525" i="7"/>
  <c r="K1613" i="7"/>
  <c r="K1589" i="7"/>
  <c r="G209" i="6"/>
  <c r="K164" i="7"/>
  <c r="I1565" i="7"/>
  <c r="K1244" i="7"/>
  <c r="K1105" i="7"/>
  <c r="K1271" i="7"/>
  <c r="J941" i="7"/>
  <c r="K927" i="7"/>
  <c r="K1052" i="7"/>
  <c r="K853" i="7"/>
  <c r="K907" i="7"/>
  <c r="K740" i="7"/>
  <c r="K523" i="7"/>
  <c r="K663" i="7"/>
  <c r="K567" i="7"/>
  <c r="I265" i="7"/>
  <c r="K224" i="7"/>
  <c r="K134" i="7"/>
  <c r="H161" i="7"/>
  <c r="K131" i="7"/>
  <c r="M30" i="5"/>
  <c r="K30" i="5"/>
  <c r="E30" i="5"/>
  <c r="I30" i="5"/>
  <c r="G30" i="5"/>
  <c r="K201" i="7"/>
  <c r="K169" i="7"/>
  <c r="I11" i="5"/>
  <c r="M11" i="5"/>
  <c r="G11" i="5"/>
  <c r="E11" i="5"/>
  <c r="K11" i="5"/>
  <c r="K231" i="7"/>
  <c r="K468" i="7"/>
  <c r="K480" i="7"/>
  <c r="K885" i="7"/>
  <c r="K746" i="7"/>
  <c r="K951" i="7"/>
  <c r="K893" i="7"/>
  <c r="K948" i="7"/>
  <c r="K664" i="7"/>
  <c r="F1045" i="7"/>
  <c r="K1047" i="7"/>
  <c r="K1408" i="7"/>
  <c r="K1297" i="7"/>
  <c r="K1424" i="7"/>
  <c r="K1307" i="7"/>
  <c r="F1305" i="7"/>
  <c r="K1452" i="7"/>
  <c r="K1522" i="7"/>
  <c r="K1596" i="7"/>
  <c r="B40" i="5"/>
  <c r="C5" i="5"/>
  <c r="K632" i="7"/>
  <c r="F5" i="7"/>
  <c r="K7" i="7"/>
  <c r="K1594" i="7"/>
  <c r="K1603" i="7"/>
  <c r="L1565" i="7"/>
  <c r="K1423" i="7"/>
  <c r="K1484" i="7"/>
  <c r="K1392" i="7"/>
  <c r="K1389" i="7"/>
  <c r="K1394" i="7"/>
  <c r="K1387" i="7"/>
  <c r="H1201" i="7"/>
  <c r="K1198" i="7"/>
  <c r="K1053" i="7"/>
  <c r="K1190" i="7"/>
  <c r="K1280" i="7"/>
  <c r="K1003" i="7"/>
  <c r="K865" i="7"/>
  <c r="K1024" i="7"/>
  <c r="K721" i="7"/>
  <c r="K802" i="7"/>
  <c r="K749" i="7"/>
  <c r="K655" i="7"/>
  <c r="K389" i="7"/>
  <c r="K574" i="7"/>
  <c r="K601" i="7"/>
  <c r="L265" i="7"/>
  <c r="K17" i="7"/>
  <c r="K404" i="7"/>
  <c r="K225" i="7"/>
  <c r="K209" i="7"/>
  <c r="K44" i="7"/>
  <c r="I161" i="7"/>
  <c r="K138" i="7"/>
  <c r="G219" i="6"/>
  <c r="G168" i="6"/>
  <c r="G78" i="6"/>
  <c r="G63" i="6"/>
  <c r="K34" i="7"/>
  <c r="I317" i="7"/>
  <c r="K38" i="7"/>
  <c r="K351" i="7"/>
  <c r="K238" i="7"/>
  <c r="K556" i="7"/>
  <c r="I213" i="7"/>
  <c r="K558" i="7"/>
  <c r="K706" i="7"/>
  <c r="K142" i="7"/>
  <c r="K1173" i="7"/>
  <c r="K415" i="7"/>
  <c r="K752" i="7"/>
  <c r="K570" i="7"/>
  <c r="K827" i="7"/>
  <c r="K763" i="7"/>
  <c r="I1045" i="7"/>
  <c r="H1149" i="7"/>
  <c r="K952" i="7"/>
  <c r="K1209" i="7"/>
  <c r="K1232" i="7"/>
  <c r="K1481" i="7"/>
  <c r="I1357" i="7"/>
  <c r="K1416" i="7"/>
  <c r="K1502" i="7"/>
  <c r="K1545" i="7"/>
  <c r="J1565" i="7"/>
  <c r="K1608" i="7"/>
  <c r="K1208" i="7"/>
  <c r="J1253" i="7"/>
  <c r="K1065" i="7"/>
  <c r="K1111" i="7"/>
  <c r="K453" i="7"/>
  <c r="K288" i="7"/>
  <c r="G265" i="7"/>
  <c r="G161" i="7"/>
  <c r="K24" i="5"/>
  <c r="E24" i="5"/>
  <c r="M24" i="5"/>
  <c r="I24" i="5"/>
  <c r="G24" i="5"/>
  <c r="G29" i="5"/>
  <c r="E29" i="5"/>
  <c r="K29" i="5"/>
  <c r="M29" i="5"/>
  <c r="I29" i="5"/>
  <c r="M35" i="5"/>
  <c r="G35" i="5"/>
  <c r="K35" i="5"/>
  <c r="I35" i="5"/>
  <c r="E35" i="5"/>
  <c r="M12" i="5"/>
  <c r="K12" i="5"/>
  <c r="E12" i="5"/>
  <c r="I12" i="5"/>
  <c r="G12" i="5"/>
  <c r="K274" i="7"/>
  <c r="K122" i="7"/>
  <c r="K439" i="7"/>
  <c r="K42" i="7"/>
  <c r="K363" i="7"/>
  <c r="K755" i="7"/>
  <c r="K177" i="7"/>
  <c r="K438" i="7"/>
  <c r="G733" i="7"/>
  <c r="K834" i="7"/>
  <c r="K1076" i="7"/>
  <c r="K765" i="7"/>
  <c r="K933" i="7"/>
  <c r="K1069" i="7"/>
  <c r="K958" i="7"/>
  <c r="K1086" i="7"/>
  <c r="K1142" i="7"/>
  <c r="K1009" i="7"/>
  <c r="K1214" i="7"/>
  <c r="K1239" i="7"/>
  <c r="G1253" i="7"/>
  <c r="K1375" i="7"/>
  <c r="K1422" i="7"/>
  <c r="K1463" i="7"/>
  <c r="F1461" i="7"/>
  <c r="K1468" i="7"/>
  <c r="K1559" i="7"/>
  <c r="K1546" i="7"/>
  <c r="K1475" i="7"/>
  <c r="K476" i="7"/>
  <c r="K788" i="7"/>
  <c r="K1556" i="7"/>
  <c r="K1600" i="7"/>
  <c r="K1507" i="7"/>
  <c r="K1491" i="7"/>
  <c r="K1385" i="7"/>
  <c r="K1473" i="7"/>
  <c r="K1476" i="7"/>
  <c r="K1399" i="7"/>
  <c r="K1425" i="7"/>
  <c r="K1288" i="7"/>
  <c r="L1253" i="7"/>
  <c r="K1118" i="7"/>
  <c r="K1018" i="7"/>
  <c r="K961" i="7"/>
  <c r="K797" i="7"/>
  <c r="K914" i="7"/>
  <c r="K984" i="7"/>
  <c r="K980" i="7"/>
  <c r="K597" i="7"/>
  <c r="K791" i="7"/>
  <c r="K726" i="7"/>
  <c r="J265" i="7"/>
  <c r="K588" i="7"/>
  <c r="K219" i="7"/>
  <c r="K251" i="7"/>
  <c r="K324" i="7"/>
  <c r="J161" i="7"/>
  <c r="D52" i="8"/>
  <c r="E52" i="8" s="1"/>
  <c r="D48" i="8"/>
  <c r="E48" i="8" s="1"/>
  <c r="D44" i="8"/>
  <c r="E44" i="8" s="1"/>
  <c r="D40" i="8"/>
  <c r="E40" i="8" s="1"/>
  <c r="D36" i="8"/>
  <c r="E36" i="8" s="1"/>
  <c r="D32" i="8"/>
  <c r="E32" i="8" s="1"/>
  <c r="D51" i="8"/>
  <c r="E51" i="8" s="1"/>
  <c r="D47" i="8"/>
  <c r="E47" i="8" s="1"/>
  <c r="D43" i="8"/>
  <c r="E43" i="8" s="1"/>
  <c r="D54" i="8"/>
  <c r="E54" i="8" s="1"/>
  <c r="D50" i="8"/>
  <c r="E50" i="8" s="1"/>
  <c r="D46" i="8"/>
  <c r="E46" i="8" s="1"/>
  <c r="C54" i="8"/>
  <c r="C50" i="8"/>
  <c r="C46" i="8"/>
  <c r="C42" i="8"/>
  <c r="C38" i="8"/>
  <c r="D53" i="8"/>
  <c r="E53" i="8" s="1"/>
  <c r="D49" i="8"/>
  <c r="E49" i="8" s="1"/>
  <c r="D45" i="8"/>
  <c r="E45" i="8" s="1"/>
  <c r="C53" i="8"/>
  <c r="C49" i="8"/>
  <c r="C45" i="8"/>
  <c r="C41" i="8"/>
  <c r="C37" i="8"/>
  <c r="D29" i="8"/>
  <c r="E29" i="8" s="1"/>
  <c r="C23" i="8"/>
  <c r="C29" i="8"/>
  <c r="C36" i="8"/>
  <c r="D16" i="8"/>
  <c r="E16" i="8" s="1"/>
  <c r="D10" i="8"/>
  <c r="E10" i="8" s="1"/>
  <c r="D22" i="8"/>
  <c r="E22" i="8" s="1"/>
  <c r="C16" i="8"/>
  <c r="C10" i="8"/>
  <c r="C44" i="8"/>
  <c r="D35" i="8"/>
  <c r="E35" i="8" s="1"/>
  <c r="D28" i="8"/>
  <c r="E28" i="8" s="1"/>
  <c r="C22" i="8"/>
  <c r="C35" i="8"/>
  <c r="C28" i="8"/>
  <c r="C43" i="8"/>
  <c r="D15" i="8"/>
  <c r="E15" i="8" s="1"/>
  <c r="D9" i="8"/>
  <c r="E9" i="8" s="1"/>
  <c r="D21" i="8"/>
  <c r="E21" i="8" s="1"/>
  <c r="C15" i="8"/>
  <c r="C9" i="8"/>
  <c r="D27" i="8"/>
  <c r="E27" i="8" s="1"/>
  <c r="C21" i="8"/>
  <c r="D34" i="8"/>
  <c r="E34" i="8" s="1"/>
  <c r="C27" i="8"/>
  <c r="D42" i="8"/>
  <c r="E42" i="8" s="1"/>
  <c r="C34" i="8"/>
  <c r="D14" i="8"/>
  <c r="E14" i="8" s="1"/>
  <c r="C52" i="8"/>
  <c r="D41" i="8"/>
  <c r="E41" i="8" s="1"/>
  <c r="D33" i="8"/>
  <c r="E33" i="8" s="1"/>
  <c r="D20" i="8"/>
  <c r="E20" i="8" s="1"/>
  <c r="C14" i="8"/>
  <c r="D8" i="8"/>
  <c r="E8" i="8" s="1"/>
  <c r="C33" i="8"/>
  <c r="D26" i="8"/>
  <c r="E26" i="8" s="1"/>
  <c r="C20" i="8"/>
  <c r="C8" i="8"/>
  <c r="C51" i="8"/>
  <c r="C26" i="8"/>
  <c r="D13" i="8"/>
  <c r="E13" i="8" s="1"/>
  <c r="C40" i="8"/>
  <c r="D19" i="8"/>
  <c r="E19" i="8" s="1"/>
  <c r="C13" i="8"/>
  <c r="D7" i="8"/>
  <c r="E7" i="8" s="1"/>
  <c r="C32" i="8"/>
  <c r="D25" i="8"/>
  <c r="E25" i="8" s="1"/>
  <c r="C19" i="8"/>
  <c r="C7" i="8"/>
  <c r="D39" i="8"/>
  <c r="E39" i="8" s="1"/>
  <c r="C25" i="8"/>
  <c r="D5" i="8"/>
  <c r="E5" i="8" s="1"/>
  <c r="D24" i="8"/>
  <c r="E24" i="8" s="1"/>
  <c r="C5" i="8"/>
  <c r="C24" i="8"/>
  <c r="D23" i="8"/>
  <c r="E23" i="8" s="1"/>
  <c r="C48" i="8"/>
  <c r="D18" i="8"/>
  <c r="E18" i="8" s="1"/>
  <c r="C47" i="8"/>
  <c r="C18" i="8"/>
  <c r="C39" i="8"/>
  <c r="D17" i="8"/>
  <c r="E17" i="8" s="1"/>
  <c r="C17" i="8"/>
  <c r="D37" i="8"/>
  <c r="E37" i="8" s="1"/>
  <c r="C12" i="8"/>
  <c r="D38" i="8"/>
  <c r="E38" i="8" s="1"/>
  <c r="D31" i="8"/>
  <c r="E31" i="8" s="1"/>
  <c r="C31" i="8"/>
  <c r="D30" i="8"/>
  <c r="E30" i="8" s="1"/>
  <c r="C30" i="8"/>
  <c r="D12" i="8"/>
  <c r="E12" i="8" s="1"/>
  <c r="D11" i="8"/>
  <c r="E11" i="8" s="1"/>
  <c r="C11" i="8"/>
  <c r="D6" i="8"/>
  <c r="E6" i="8" s="1"/>
  <c r="C6" i="8"/>
  <c r="G182" i="6"/>
  <c r="K147" i="7"/>
  <c r="G86" i="6"/>
  <c r="K80" i="7"/>
  <c r="K130" i="7"/>
  <c r="K367" i="7"/>
  <c r="K469" i="7"/>
  <c r="L681" i="7"/>
  <c r="K728" i="7"/>
  <c r="K829" i="7"/>
  <c r="K331" i="7"/>
  <c r="K818" i="7"/>
  <c r="K739" i="7"/>
  <c r="K847" i="7"/>
  <c r="K1167" i="7"/>
  <c r="K1104" i="7"/>
  <c r="K836" i="7"/>
  <c r="K960" i="7"/>
  <c r="K1128" i="7"/>
  <c r="K795" i="7"/>
  <c r="K1141" i="7"/>
  <c r="K1220" i="7"/>
  <c r="J1149" i="7"/>
  <c r="K1426" i="7"/>
  <c r="K1376" i="7"/>
  <c r="K1490" i="7"/>
  <c r="K1482" i="7"/>
  <c r="K1595" i="7"/>
  <c r="K1548" i="7"/>
  <c r="I1409" i="7"/>
  <c r="K1368" i="7"/>
  <c r="H1097" i="7"/>
  <c r="K1075" i="7"/>
  <c r="K1233" i="7"/>
  <c r="K1283" i="7"/>
  <c r="K1106" i="7"/>
  <c r="K940" i="7"/>
  <c r="C1045" i="7"/>
  <c r="K647" i="7"/>
  <c r="K753" i="7"/>
  <c r="K653" i="7"/>
  <c r="K649" i="7"/>
  <c r="K685" i="7"/>
  <c r="K565" i="7"/>
  <c r="K689" i="7"/>
  <c r="K498" i="7"/>
  <c r="K554" i="7"/>
  <c r="K603" i="7"/>
  <c r="K230" i="7"/>
  <c r="K246" i="7"/>
  <c r="L161" i="7"/>
  <c r="K262" i="7"/>
  <c r="G369" i="7"/>
  <c r="K293" i="7"/>
  <c r="K226" i="7"/>
  <c r="K90" i="7"/>
  <c r="G8" i="5"/>
  <c r="E8" i="5"/>
  <c r="K8" i="5"/>
  <c r="M8" i="5"/>
  <c r="I8" i="5"/>
  <c r="K101" i="7"/>
  <c r="K12" i="7"/>
  <c r="K158" i="7"/>
  <c r="K319" i="7"/>
  <c r="F317" i="7"/>
  <c r="K401" i="7"/>
  <c r="K256" i="7"/>
  <c r="K493" i="7"/>
  <c r="K465" i="7"/>
  <c r="K477" i="7"/>
  <c r="K582" i="7"/>
  <c r="K264" i="7"/>
  <c r="K478" i="7"/>
  <c r="K347" i="7"/>
  <c r="K545" i="7"/>
  <c r="K774" i="7"/>
  <c r="K881" i="7"/>
  <c r="G629" i="7"/>
  <c r="K1093" i="7"/>
  <c r="K967" i="7"/>
  <c r="K879" i="7"/>
  <c r="K1103" i="7"/>
  <c r="J837" i="7"/>
  <c r="K1184" i="7"/>
  <c r="K1238" i="7"/>
  <c r="K1281" i="7"/>
  <c r="K1328" i="7"/>
  <c r="K1478" i="7"/>
  <c r="K1449" i="7"/>
  <c r="K1518" i="7"/>
  <c r="K1443" i="7"/>
  <c r="K1560" i="7"/>
  <c r="K1591" i="7"/>
  <c r="K1489" i="7"/>
  <c r="K112" i="7"/>
  <c r="K424" i="7"/>
  <c r="D20" i="4" l="1"/>
  <c r="D22" i="4"/>
  <c r="H12" i="3"/>
  <c r="A20" i="4"/>
  <c r="B5" i="8"/>
  <c r="F5" i="8" s="1"/>
  <c r="G5" i="8" s="1"/>
  <c r="H5" i="8" s="1"/>
  <c r="B54" i="8"/>
  <c r="F54" i="8" s="1"/>
  <c r="G54" i="8" s="1"/>
  <c r="H54" i="8" s="1"/>
  <c r="B26" i="8"/>
  <c r="F26" i="8" s="1"/>
  <c r="G26" i="8" s="1"/>
  <c r="H26" i="8" s="1"/>
  <c r="B39" i="8"/>
  <c r="F39" i="8" s="1"/>
  <c r="G39" i="8" s="1"/>
  <c r="H39" i="8" s="1"/>
  <c r="B43" i="8"/>
  <c r="F43" i="8" s="1"/>
  <c r="G43" i="8" s="1"/>
  <c r="H43" i="8" s="1"/>
  <c r="B49" i="8"/>
  <c r="F49" i="8" s="1"/>
  <c r="G49" i="8" s="1"/>
  <c r="H49" i="8" s="1"/>
  <c r="B12" i="8"/>
  <c r="F12" i="8" s="1"/>
  <c r="G12" i="8" s="1"/>
  <c r="B18" i="8"/>
  <c r="F18" i="8" s="1"/>
  <c r="G18" i="8" s="1"/>
  <c r="B10" i="8"/>
  <c r="F10" i="8" s="1"/>
  <c r="G10" i="8" s="1"/>
  <c r="H10" i="8" s="1"/>
  <c r="K1461" i="7"/>
  <c r="B44" i="8"/>
  <c r="F44" i="8" s="1"/>
  <c r="G44" i="8" s="1"/>
  <c r="H44" i="8" s="1"/>
  <c r="B19" i="8"/>
  <c r="F19" i="8" s="1"/>
  <c r="G19" i="8" s="1"/>
  <c r="H19" i="8" s="1"/>
  <c r="B21" i="8"/>
  <c r="F21" i="8" s="1"/>
  <c r="G21" i="8" s="1"/>
  <c r="H21" i="8" s="1"/>
  <c r="B45" i="8"/>
  <c r="F45" i="8" s="1"/>
  <c r="G45" i="8" s="1"/>
  <c r="H45" i="8" s="1"/>
  <c r="B32" i="8"/>
  <c r="F32" i="8" s="1"/>
  <c r="G32" i="8" s="1"/>
  <c r="H32" i="8" s="1"/>
  <c r="B42" i="8"/>
  <c r="F42" i="8" s="1"/>
  <c r="G42" i="8" s="1"/>
  <c r="H42" i="8" s="1"/>
  <c r="B50" i="8"/>
  <c r="F50" i="8" s="1"/>
  <c r="G50" i="8" s="1"/>
  <c r="H50" i="8" s="1"/>
  <c r="B48" i="8"/>
  <c r="F48" i="8" s="1"/>
  <c r="G48" i="8" s="1"/>
  <c r="H48" i="8" s="1"/>
  <c r="B62" i="8"/>
  <c r="B29" i="8"/>
  <c r="F29" i="8" s="1"/>
  <c r="G29" i="8" s="1"/>
  <c r="H29" i="8" s="1"/>
  <c r="B13" i="8"/>
  <c r="F13" i="8" s="1"/>
  <c r="G13" i="8" s="1"/>
  <c r="H13" i="8" s="1"/>
  <c r="B33" i="8"/>
  <c r="F33" i="8" s="1"/>
  <c r="G33" i="8" s="1"/>
  <c r="H33" i="8" s="1"/>
  <c r="B34" i="8"/>
  <c r="F34" i="8" s="1"/>
  <c r="G34" i="8" s="1"/>
  <c r="H34" i="8" s="1"/>
  <c r="B24" i="8"/>
  <c r="F24" i="8" s="1"/>
  <c r="G24" i="8" s="1"/>
  <c r="H24" i="8" s="1"/>
  <c r="B8" i="8"/>
  <c r="F8" i="8" s="1"/>
  <c r="G8" i="8" s="1"/>
  <c r="H8" i="8" s="1"/>
  <c r="B22" i="8"/>
  <c r="F22" i="8" s="1"/>
  <c r="G22" i="8" s="1"/>
  <c r="H22" i="8" s="1"/>
  <c r="B31" i="8"/>
  <c r="F31" i="8" s="1"/>
  <c r="G31" i="8" s="1"/>
  <c r="H31" i="8" s="1"/>
  <c r="B35" i="8"/>
  <c r="F35" i="8" s="1"/>
  <c r="G35" i="8" s="1"/>
  <c r="H35" i="8" s="1"/>
  <c r="B36" i="8"/>
  <c r="F36" i="8" s="1"/>
  <c r="G36" i="8" s="1"/>
  <c r="H36" i="8" s="1"/>
  <c r="B20" i="8"/>
  <c r="F20" i="8" s="1"/>
  <c r="G20" i="8" s="1"/>
  <c r="H20" i="8" s="1"/>
  <c r="B30" i="8"/>
  <c r="F30" i="8" s="1"/>
  <c r="G30" i="8" s="1"/>
  <c r="H30" i="8" s="1"/>
  <c r="B16" i="8"/>
  <c r="F16" i="8" s="1"/>
  <c r="G16" i="8" s="1"/>
  <c r="H16" i="8" s="1"/>
  <c r="B7" i="8"/>
  <c r="F7" i="8" s="1"/>
  <c r="G7" i="8" s="1"/>
  <c r="H7" i="8" s="1"/>
  <c r="B51" i="8"/>
  <c r="F51" i="8" s="1"/>
  <c r="G51" i="8" s="1"/>
  <c r="H51" i="8" s="1"/>
  <c r="B11" i="8"/>
  <c r="F11" i="8" s="1"/>
  <c r="G11" i="8" s="1"/>
  <c r="H11" i="8" s="1"/>
  <c r="B28" i="8"/>
  <c r="F28" i="8" s="1"/>
  <c r="G28" i="8" s="1"/>
  <c r="H28" i="8" s="1"/>
  <c r="B25" i="8"/>
  <c r="F25" i="8" s="1"/>
  <c r="G25" i="8" s="1"/>
  <c r="H25" i="8" s="1"/>
  <c r="B27" i="8"/>
  <c r="F27" i="8" s="1"/>
  <c r="G27" i="8" s="1"/>
  <c r="H27" i="8" s="1"/>
  <c r="B40" i="8"/>
  <c r="F40" i="8" s="1"/>
  <c r="G40" i="8" s="1"/>
  <c r="H40" i="8" s="1"/>
  <c r="B23" i="8"/>
  <c r="F23" i="8" s="1"/>
  <c r="G23" i="8" s="1"/>
  <c r="H23" i="8" s="1"/>
  <c r="B9" i="8"/>
  <c r="F9" i="8" s="1"/>
  <c r="G9" i="8" s="1"/>
  <c r="H9" i="8" s="1"/>
  <c r="B6" i="8"/>
  <c r="F6" i="8" s="1"/>
  <c r="G6" i="8" s="1"/>
  <c r="H6" i="8" s="1"/>
  <c r="B46" i="8"/>
  <c r="F46" i="8" s="1"/>
  <c r="G46" i="8" s="1"/>
  <c r="H46" i="8" s="1"/>
  <c r="B17" i="8"/>
  <c r="F17" i="8" s="1"/>
  <c r="G17" i="8" s="1"/>
  <c r="H17" i="8" s="1"/>
  <c r="B37" i="8"/>
  <c r="F37" i="8" s="1"/>
  <c r="G37" i="8" s="1"/>
  <c r="H37" i="8" s="1"/>
  <c r="B52" i="8"/>
  <c r="F52" i="8" s="1"/>
  <c r="G52" i="8" s="1"/>
  <c r="H52" i="8" s="1"/>
  <c r="B47" i="8"/>
  <c r="F47" i="8" s="1"/>
  <c r="G47" i="8" s="1"/>
  <c r="H47" i="8" s="1"/>
  <c r="B53" i="8"/>
  <c r="F53" i="8" s="1"/>
  <c r="G53" i="8" s="1"/>
  <c r="H53" i="8" s="1"/>
  <c r="G20" i="4"/>
  <c r="H14" i="3"/>
  <c r="G22" i="4"/>
  <c r="B14" i="8"/>
  <c r="F14" i="8" s="1"/>
  <c r="G14" i="8" s="1"/>
  <c r="H14" i="8" s="1"/>
  <c r="B41" i="8"/>
  <c r="F41" i="8" s="1"/>
  <c r="G41" i="8" s="1"/>
  <c r="H41" i="8" s="1"/>
  <c r="B38" i="8"/>
  <c r="F38" i="8" s="1"/>
  <c r="G38" i="8" s="1"/>
  <c r="H38" i="8" s="1"/>
  <c r="B15" i="8"/>
  <c r="F15" i="8" s="1"/>
  <c r="G15" i="8" s="1"/>
  <c r="H15" i="8" s="1"/>
  <c r="H19" i="3"/>
  <c r="D8" i="4"/>
  <c r="D10" i="4"/>
  <c r="K421" i="7"/>
  <c r="K629" i="7"/>
  <c r="K1357" i="7"/>
  <c r="K369" i="7"/>
  <c r="K317" i="7"/>
  <c r="K1253" i="7"/>
  <c r="K57" i="7"/>
  <c r="H18" i="8"/>
  <c r="K889" i="7"/>
  <c r="K525" i="7"/>
  <c r="A10" i="4"/>
  <c r="H18" i="3"/>
  <c r="A8" i="4"/>
  <c r="K5" i="7"/>
  <c r="D14" i="4"/>
  <c r="H16" i="3"/>
  <c r="D16" i="4"/>
  <c r="K1565" i="7"/>
  <c r="K161" i="7"/>
  <c r="K993" i="7"/>
  <c r="K213" i="7"/>
  <c r="K1149" i="7"/>
  <c r="B59" i="8"/>
  <c r="B41" i="5"/>
  <c r="K109" i="7"/>
  <c r="B11" i="1" s="1"/>
  <c r="K1513" i="7"/>
  <c r="K265" i="7"/>
  <c r="A16" i="4"/>
  <c r="H15" i="3"/>
  <c r="A14" i="4"/>
  <c r="K577" i="7"/>
  <c r="K681" i="7"/>
  <c r="H9" i="3"/>
  <c r="A5" i="3"/>
  <c r="A5" i="4" s="1"/>
  <c r="A28" i="4"/>
  <c r="F5" i="3"/>
  <c r="F5" i="4" s="1"/>
  <c r="E5" i="3"/>
  <c r="E5" i="4" s="1"/>
  <c r="D5" i="3"/>
  <c r="D5" i="4" s="1"/>
  <c r="B5" i="3"/>
  <c r="B5" i="4" s="1"/>
  <c r="C5" i="3"/>
  <c r="C5" i="4" s="1"/>
  <c r="A26" i="4"/>
  <c r="K837" i="7"/>
  <c r="K1305" i="7"/>
  <c r="K473" i="7"/>
  <c r="K941" i="7"/>
  <c r="K1409" i="7"/>
  <c r="M5" i="5"/>
  <c r="K5" i="5"/>
  <c r="I5" i="5"/>
  <c r="G5" i="5"/>
  <c r="E5" i="5"/>
  <c r="K1045" i="7"/>
  <c r="K785" i="7"/>
  <c r="K1097" i="7"/>
  <c r="K733" i="7"/>
  <c r="H12" i="8"/>
  <c r="K1201" i="7"/>
  <c r="B61" i="8" l="1"/>
  <c r="B63" i="8"/>
  <c r="B60" i="8"/>
  <c r="B42" i="5"/>
  <c r="B43" i="5"/>
  <c r="B45" i="5" s="1"/>
  <c r="B44" i="5"/>
  <c r="B46" i="5" s="1"/>
</calcChain>
</file>

<file path=xl/sharedStrings.xml><?xml version="1.0" encoding="utf-8"?>
<sst xmlns="http://schemas.openxmlformats.org/spreadsheetml/2006/main" count="4768" uniqueCount="417">
  <si>
    <t>오늘근무현황 — 실시간 대시보드</t>
  </si>
  <si>
    <t>조회날짜</t>
  </si>
  <si>
    <t>오늘 상태 요약</t>
  </si>
  <si>
    <t>방문완료 코스별</t>
  </si>
  <si>
    <t>월간 상태 요약</t>
  </si>
  <si>
    <t>오늘 예약건수</t>
  </si>
  <si>
    <t>A코스</t>
  </si>
  <si>
    <t>월 방문완료 콜</t>
  </si>
  <si>
    <t>오늘 방문완료 콜</t>
  </si>
  <si>
    <t>B코스</t>
  </si>
  <si>
    <t>월 예약건수</t>
  </si>
  <si>
    <t>오늘 노쇼</t>
  </si>
  <si>
    <t>C코스</t>
  </si>
  <si>
    <t>월 노쇼</t>
  </si>
  <si>
    <t>오늘 취소</t>
  </si>
  <si>
    <t>D코스</t>
  </si>
  <si>
    <t>월 취소</t>
  </si>
  <si>
    <t>오늘 결제합계</t>
  </si>
  <si>
    <t>E코스</t>
  </si>
  <si>
    <t>월 방문완료 매출</t>
  </si>
  <si>
    <t>오늘 마사지사 담당콜</t>
  </si>
  <si>
    <t>오늘 마사지사 정산</t>
  </si>
  <si>
    <t>오늘 코스별 실시간 입력은 [실시간콜입력] 시트에 손님 1명/1건씩 입력</t>
  </si>
  <si>
    <t>1) 손님 올 때마다 실시간콜입력에 날짜, 시간, 방번호, 코스, 마사지사1/2만 입력</t>
  </si>
  <si>
    <t>2) 코스별 결제금액과 마사지사 수당은 설정_코스수당 기준으로 자동 기입</t>
  </si>
  <si>
    <t>3) B코스 귀케어 수당은 귀케어일정산에서 당일 정상근무자끼리 자동 N분의1</t>
  </si>
  <si>
    <t>4) 운영팀 일일인센은 총콜 30/40/50콜 기준으로 자동 계산</t>
  </si>
  <si>
    <t>5) 월마감에서 만근 20일, 갯수왕 TOP3, 40콜 이상 조건 자동 반영</t>
  </si>
  <si>
    <t>g</t>
  </si>
  <si>
    <t>실시간콜입력</t>
  </si>
  <si>
    <t>하루 100개 슬롯형입니다. 예약/진행/방문완료/노쇼를 관리하고, 방문완료만 콜 인정·정산표에 자동 반영됩니다. 결제금액은 운영 확인용으로 표시하고, 마사지사 수당·귀케어풀은 숨김 처리했습니다.</t>
  </si>
  <si>
    <t>월간 상태 요약  |  이 영역은 항상 위에 고정됩니다</t>
  </si>
  <si>
    <t>월 방문완료 코스별</t>
  </si>
  <si>
    <t>월간 금액/정산 요약</t>
  </si>
  <si>
    <t>사용법: 아래 날짜 블록을 펼친 뒤 예약/방문완료/노쇼/취소를 입력합니다.
방문완료만 콜 인정 및 정산표에 반영됩니다.</t>
  </si>
  <si>
    <t>월 결제합계</t>
  </si>
  <si>
    <t>월 마사지사 정산</t>
  </si>
  <si>
    <t>월 귀케어 풀</t>
  </si>
  <si>
    <t>월 마사지 담당콜</t>
  </si>
  <si>
    <t>월 할인합계</t>
  </si>
  <si>
    <t>월 지출합계</t>
  </si>
  <si>
    <t>번호</t>
  </si>
  <si>
    <t>날짜</t>
  </si>
  <si>
    <t>시간</t>
  </si>
  <si>
    <t>방번호</t>
  </si>
  <si>
    <t>코스</t>
  </si>
  <si>
    <t>고객/메모</t>
  </si>
  <si>
    <t>마사지사1</t>
  </si>
  <si>
    <t>마사지사2</t>
  </si>
  <si>
    <t>귀케어담당</t>
  </si>
  <si>
    <t>결제금액</t>
  </si>
  <si>
    <t>마사지사1수당</t>
  </si>
  <si>
    <t>마사지사2수당</t>
  </si>
  <si>
    <t>귀케어풀</t>
  </si>
  <si>
    <t>콜인정</t>
  </si>
  <si>
    <t>예약상태</t>
  </si>
  <si>
    <t>할인구분</t>
  </si>
  <si>
    <t>결제수단</t>
  </si>
  <si>
    <t>비고</t>
  </si>
  <si>
    <t>확인</t>
  </si>
  <si>
    <t>101 호실</t>
  </si>
  <si>
    <t>A</t>
  </si>
  <si>
    <t>방문완료</t>
  </si>
  <si>
    <t>예약건수</t>
  </si>
  <si>
    <t>102 호실</t>
  </si>
  <si>
    <t>B</t>
  </si>
  <si>
    <t>귀케어1</t>
  </si>
  <si>
    <t>D</t>
  </si>
  <si>
    <t>노쇼/취소</t>
  </si>
  <si>
    <t>결제합계</t>
  </si>
  <si>
    <t>마사지사 정산</t>
  </si>
  <si>
    <t>할인건수</t>
  </si>
  <si>
    <t>할인합계</t>
  </si>
  <si>
    <t>마사지사담당</t>
  </si>
  <si>
    <t>지출합계</t>
  </si>
  <si>
    <t>지출 입력</t>
  </si>
  <si>
    <t>지출금액</t>
  </si>
  <si>
    <t>내용</t>
  </si>
  <si>
    <t>담당자</t>
  </si>
  <si>
    <t>일일 입력 끝</t>
  </si>
  <si>
    <t>C</t>
  </si>
  <si>
    <t>GANGNAM SPA 웨이터용 객실 현황판</t>
  </si>
  <si>
    <t>실시간콜입력에 시간 · 방번호 · 코스 · 마사지사1 · 예약상태 입력 → 이 화면 자동 반영</t>
  </si>
  <si>
    <t>사용중</t>
  </si>
  <si>
    <t>예약</t>
  </si>
  <si>
    <t>청소중</t>
  </si>
  <si>
    <t>종료확인</t>
  </si>
  <si>
    <t>빈방</t>
  </si>
  <si>
    <t>곧 종료</t>
  </si>
  <si>
    <t>상태</t>
  </si>
  <si>
    <t>담당</t>
  </si>
  <si>
    <t>시작</t>
  </si>
  <si>
    <t>남은분</t>
  </si>
  <si>
    <t>종료예정</t>
  </si>
  <si>
    <t>웨이터 안내</t>
  </si>
  <si>
    <t>메모</t>
  </si>
  <si>
    <t>기본상태</t>
  </si>
  <si>
    <t>코스시간</t>
  </si>
  <si>
    <t>시작DT</t>
  </si>
  <si>
    <t>103 호실</t>
  </si>
  <si>
    <t>201 호실</t>
  </si>
  <si>
    <t>202 호실</t>
  </si>
  <si>
    <t>203 호실</t>
  </si>
  <si>
    <t>301 호실</t>
  </si>
  <si>
    <t>302 호실</t>
  </si>
  <si>
    <t>303 호실</t>
  </si>
  <si>
    <t>401 호실</t>
  </si>
  <si>
    <t>402 호실</t>
  </si>
  <si>
    <t>사용 순서: 실시간콜입력에서 시간/방번호/코스/마사지사1/예약상태를 선택하면 TV현황판과 웨이터리스트가 자동 반영됩니다.</t>
  </si>
  <si>
    <t>상태 흐름: 예약 → 사용중 → 청소중 → 방문완료. 방문완료/취소/노쇼는 TV에서 자동 제외되어 빈방처럼 표시됩니다.</t>
  </si>
  <si>
    <t>남은시간은 사용중 상태에서만 표시됩니다. 시간이 0분이 되면 종료확인으로 표시됩니다.</t>
  </si>
  <si>
    <t>구글스프레드시트로 옮긴 뒤 TV현황판 또는 웨이터리스트 시트만 전체화면으로 띄우면 됩니다.</t>
  </si>
  <si>
    <t>GANGNAM SPA LIVE ROOM BOARD</t>
  </si>
  <si>
    <t>카운터 TV 전체화면용 · 웨이터리스트와 자동 연동</t>
  </si>
  <si>
    <t>TV 사용: 이 시트를 전체화면으로 띄우면 방 상태·코스·남은시간·담당자를 한눈에 볼 수 있습니다.</t>
  </si>
  <si>
    <t>수정은 실시간콜입력 시트에서만 하세요. TV현황판은 보는 용도입니다.</t>
  </si>
  <si>
    <t>운영팀 근무 / 일일인센 / 월인센</t>
  </si>
  <si>
    <t>출근상태는 정상/휴무/지각/조퇴/결근 중 선택. 지각·조퇴·결근은 해당일 일일인센 0원 처리.</t>
  </si>
  <si>
    <t>총콜</t>
  </si>
  <si>
    <t>일일개인인센</t>
  </si>
  <si>
    <t>팀장상태</t>
  </si>
  <si>
    <t>팀장인센</t>
  </si>
  <si>
    <t>카운터1상태</t>
  </si>
  <si>
    <t>카운터1인센</t>
  </si>
  <si>
    <t>카운터2상태</t>
  </si>
  <si>
    <t>카운터2인센</t>
  </si>
  <si>
    <t>웨이터1상태</t>
  </si>
  <si>
    <t>웨이터1인센</t>
  </si>
  <si>
    <t>웨이터2상태</t>
  </si>
  <si>
    <t>웨이터2인센</t>
  </si>
  <si>
    <t>정상</t>
  </si>
  <si>
    <t>월 인센 자동 계산</t>
  </si>
  <si>
    <t>월 총콜</t>
  </si>
  <si>
    <t>월인센 전체</t>
  </si>
  <si>
    <t>팀장 월인센</t>
  </si>
  <si>
    <t>카운터팀 월인센</t>
  </si>
  <si>
    <t>웨이터팀 월인센</t>
  </si>
  <si>
    <t>카운터 1인 기준</t>
  </si>
  <si>
    <t>웨이터 1인 기준</t>
  </si>
  <si>
    <t xml:space="preserve">귀케어 일일정산 </t>
  </si>
  <si>
    <t>B코스 방문완료 콜 기준 귀케어 풀을 날짜별 정상근무자 수로 N분의1 계산합니다.</t>
  </si>
  <si>
    <t>귀케어사</t>
  </si>
  <si>
    <t>근무상태</t>
  </si>
  <si>
    <t>당일 B콜</t>
  </si>
  <si>
    <t>당일 귀케어풀</t>
  </si>
  <si>
    <t>정상근무자수</t>
  </si>
  <si>
    <t>1인 지급액</t>
  </si>
  <si>
    <t>귀케어2</t>
  </si>
  <si>
    <t>귀케어3</t>
  </si>
  <si>
    <t>귀케어4</t>
  </si>
  <si>
    <t>마사지사 일일정산 — 실시간콜입력 자동 집계</t>
  </si>
  <si>
    <t>날짜별 합계 행 옆의 + / - 로 상세 마사지사 50명을 접고 펼칠 수 있습니다. 대기시간만 입력하면 만근 인정이 자동 체크됩니다.</t>
  </si>
  <si>
    <t>마사지사</t>
  </si>
  <si>
    <t>출근시간</t>
  </si>
  <si>
    <t>퇴근시간</t>
  </si>
  <si>
    <t>대기시간</t>
  </si>
  <si>
    <t>A콜</t>
  </si>
  <si>
    <t>B콜</t>
  </si>
  <si>
    <t>C콜</t>
  </si>
  <si>
    <t>D콜</t>
  </si>
  <si>
    <t>E콜</t>
  </si>
  <si>
    <t>당일정산</t>
  </si>
  <si>
    <t>만근인정</t>
  </si>
  <si>
    <t>-</t>
  </si>
  <si>
    <t>일별 합계</t>
  </si>
  <si>
    <t>마사지사3</t>
  </si>
  <si>
    <t>마사지사4</t>
  </si>
  <si>
    <t>마사지사5</t>
  </si>
  <si>
    <t>마사지사6</t>
  </si>
  <si>
    <t>마사지사7</t>
  </si>
  <si>
    <t>마사지사8</t>
  </si>
  <si>
    <t>마사지사9</t>
  </si>
  <si>
    <t>마사지사10</t>
  </si>
  <si>
    <t>마사지사11</t>
  </si>
  <si>
    <t>마사지사12</t>
  </si>
  <si>
    <t>마사지사13</t>
  </si>
  <si>
    <t>마사지사14</t>
  </si>
  <si>
    <t>마사지사15</t>
  </si>
  <si>
    <t>마사지사16</t>
  </si>
  <si>
    <t>마사지사17</t>
  </si>
  <si>
    <t>마사지사18</t>
  </si>
  <si>
    <t>마사지사19</t>
  </si>
  <si>
    <t>마사지사20</t>
  </si>
  <si>
    <t>마사지사21</t>
  </si>
  <si>
    <t>마사지사22</t>
  </si>
  <si>
    <t>마사지사23</t>
  </si>
  <si>
    <t>마사지사24</t>
  </si>
  <si>
    <t>마사지사25</t>
  </si>
  <si>
    <t>마사지사26</t>
  </si>
  <si>
    <t>마사지사27</t>
  </si>
  <si>
    <t>마사지사28</t>
  </si>
  <si>
    <t>마사지사29</t>
  </si>
  <si>
    <t>마사지사30</t>
  </si>
  <si>
    <t>마사지사31</t>
  </si>
  <si>
    <t>마사지사32</t>
  </si>
  <si>
    <t>마사지사33</t>
  </si>
  <si>
    <t>마사지사34</t>
  </si>
  <si>
    <t>마사지사35</t>
  </si>
  <si>
    <t>마사지사36</t>
  </si>
  <si>
    <t>마사지사37</t>
  </si>
  <si>
    <t>마사지사38</t>
  </si>
  <si>
    <t>마사지사39</t>
  </si>
  <si>
    <t>마사지사40</t>
  </si>
  <si>
    <t>마사지사41</t>
  </si>
  <si>
    <t>마사지사42</t>
  </si>
  <si>
    <t>마사지사43</t>
  </si>
  <si>
    <t>마사지사44</t>
  </si>
  <si>
    <t>마사지사45</t>
  </si>
  <si>
    <t>마사지사46</t>
  </si>
  <si>
    <t>마사지사47</t>
  </si>
  <si>
    <t>마사지사48</t>
  </si>
  <si>
    <t>마사지사49</t>
  </si>
  <si>
    <t>마사지사50</t>
  </si>
  <si>
    <t>월마감 — 만근 / 갯수왕 TOP3 / 총정산</t>
  </si>
  <si>
    <t>마사지사 일일정산과 실시간콜입력에서 자동 집계됩니다. 갯수왕은 월 총콜 40콜 이상만 대상입니다.</t>
  </si>
  <si>
    <t>월 정산액</t>
  </si>
  <si>
    <t>만근 인정일</t>
  </si>
  <si>
    <t>만근수당</t>
  </si>
  <si>
    <t>갯수왕순위</t>
  </si>
  <si>
    <t>갯수왕수당</t>
  </si>
  <si>
    <t>최종지급액</t>
  </si>
  <si>
    <t>운영팀 월마감 요약</t>
  </si>
  <si>
    <t>운영팀 월인센 전체</t>
  </si>
  <si>
    <t>운영팀 일일인센 합계</t>
  </si>
  <si>
    <t>귀케어 지급 합계</t>
  </si>
  <si>
    <t>마사지사 최종 지급 합계</t>
  </si>
  <si>
    <t>직원DB</t>
  </si>
  <si>
    <t>직원명은 다른 시트 드롭다운과 연결됩니다. 이름 변경 시 수당표 이름도 같이 맞춰주세요.</t>
  </si>
  <si>
    <t>구분</t>
  </si>
  <si>
    <t>이름</t>
  </si>
  <si>
    <t>직책</t>
  </si>
  <si>
    <t>주/야간</t>
  </si>
  <si>
    <t>기본급</t>
  </si>
  <si>
    <t>연락처</t>
  </si>
  <si>
    <t>생일</t>
  </si>
  <si>
    <t>입사일</t>
  </si>
  <si>
    <t>운영팀</t>
  </si>
  <si>
    <t>팀장</t>
  </si>
  <si>
    <t>전체</t>
  </si>
  <si>
    <t>재직</t>
  </si>
  <si>
    <t>카운터1</t>
  </si>
  <si>
    <t>카운터</t>
  </si>
  <si>
    <t>주간</t>
  </si>
  <si>
    <t>카운터2</t>
  </si>
  <si>
    <t>야간</t>
  </si>
  <si>
    <t>웨이터1</t>
  </si>
  <si>
    <t>웨이터</t>
  </si>
  <si>
    <t>웨이터2</t>
  </si>
  <si>
    <t>귀케어팀</t>
  </si>
  <si>
    <t>TV현황판 설정 / 드롭다운 목록</t>
  </si>
  <si>
    <t>시간목록</t>
  </si>
  <si>
    <t>코스코드</t>
  </si>
  <si>
    <t>코스시간(분)</t>
  </si>
  <si>
    <t>TV표시명</t>
  </si>
  <si>
    <t>코스명</t>
  </si>
  <si>
    <t>A 누루60</t>
  </si>
  <si>
    <t>60분 A코스 누루마사지</t>
  </si>
  <si>
    <t>B 귀청소90</t>
  </si>
  <si>
    <t>90분 B코스 귀청소+마사지</t>
  </si>
  <si>
    <t>C 때밀이90</t>
  </si>
  <si>
    <t>90분 C코스 때밀이+마사지</t>
  </si>
  <si>
    <t>D 2:1 90</t>
  </si>
  <si>
    <t>90분 D코스 2:1 코스</t>
  </si>
  <si>
    <t>노쇼</t>
  </si>
  <si>
    <t>E</t>
  </si>
  <si>
    <t>E 풀코스120</t>
  </si>
  <si>
    <t>120분 E코스 풀코스 패키지</t>
  </si>
  <si>
    <t>취소</t>
  </si>
  <si>
    <t>설정 / 코스별 수당 / 마사지사 개인별 단가</t>
  </si>
  <si>
    <t>운영월 기준</t>
  </si>
  <si>
    <t>파란색 칸만 수정하세요. 실시간콜입력에서 코스를 고르면 결제금액, 마사지사 수당, 귀케어 풀 수당이 자동으로 들어갑니다.</t>
  </si>
  <si>
    <t>기준월</t>
  </si>
  <si>
    <t>※ K2 한 칸만 바꾸면 각 시트 날짜가 월 단위로 자동 변경됩니다.</t>
  </si>
  <si>
    <t>코스 기본 설정</t>
  </si>
  <si>
    <t>날짜목록</t>
  </si>
  <si>
    <t>방번호목록</t>
  </si>
  <si>
    <t>귀케어목록</t>
  </si>
  <si>
    <t>마사지사목록</t>
  </si>
  <si>
    <t>기본판매가</t>
  </si>
  <si>
    <t>운영팀 콜인정</t>
  </si>
  <si>
    <t>귀케어 풀/콜</t>
  </si>
  <si>
    <t>마사지사2 필요</t>
  </si>
  <si>
    <t>귀케어 1</t>
  </si>
  <si>
    <t>마사지사 1</t>
  </si>
  <si>
    <t>N</t>
  </si>
  <si>
    <t>귀케어 2</t>
  </si>
  <si>
    <t>마사지사 2</t>
  </si>
  <si>
    <t>귀케어 수당은 일별 N분의1</t>
  </si>
  <si>
    <t>귀케어 3</t>
  </si>
  <si>
    <t>마사지사 3</t>
  </si>
  <si>
    <t>귀케어 4</t>
  </si>
  <si>
    <t>마사지사 4</t>
  </si>
  <si>
    <t>Y</t>
  </si>
  <si>
    <t>마사지사 2명 가능</t>
  </si>
  <si>
    <t>마사지사 5</t>
  </si>
  <si>
    <t>귀케어 포함</t>
  </si>
  <si>
    <t>마사지사 6</t>
  </si>
  <si>
    <t>마사지사 7</t>
  </si>
  <si>
    <t>마사지사 8</t>
  </si>
  <si>
    <t>마사지사 개인별 코스 수당표</t>
  </si>
  <si>
    <t>마사지사 9</t>
  </si>
  <si>
    <t>A수당</t>
  </si>
  <si>
    <t>B수당</t>
  </si>
  <si>
    <t>C수당</t>
  </si>
  <si>
    <t>D수당</t>
  </si>
  <si>
    <t>E수당</t>
  </si>
  <si>
    <t>마사지사 10</t>
  </si>
  <si>
    <t>마사지사 11</t>
  </si>
  <si>
    <t>마사지사 12</t>
  </si>
  <si>
    <t>마사지사 13</t>
  </si>
  <si>
    <t>마사지사 14</t>
  </si>
  <si>
    <t>마사지사 15</t>
  </si>
  <si>
    <t>마사지사 16</t>
  </si>
  <si>
    <t>마사지사 17</t>
  </si>
  <si>
    <t>마사지사 18</t>
  </si>
  <si>
    <t>마사지사 19</t>
  </si>
  <si>
    <t>마사지사 20</t>
  </si>
  <si>
    <t>마사지사 21</t>
  </si>
  <si>
    <t>마사지사 22</t>
  </si>
  <si>
    <t>마사지사 23</t>
  </si>
  <si>
    <t>마사지사 24</t>
  </si>
  <si>
    <t>마사지사 25</t>
  </si>
  <si>
    <t>마사지사 26</t>
  </si>
  <si>
    <t>마사지사 27</t>
  </si>
  <si>
    <t>마사지사 28</t>
  </si>
  <si>
    <t>마사지사 29</t>
  </si>
  <si>
    <t>마사지사 30</t>
  </si>
  <si>
    <t>마사지사 31</t>
  </si>
  <si>
    <t>마사지사 32</t>
  </si>
  <si>
    <t>마사지사 33</t>
  </si>
  <si>
    <t>마사지사 34</t>
  </si>
  <si>
    <t>마사지사 35</t>
  </si>
  <si>
    <t>마사지사 36</t>
  </si>
  <si>
    <t>마사지사 37</t>
  </si>
  <si>
    <t>마사지사 38</t>
  </si>
  <si>
    <t>마사지사 39</t>
  </si>
  <si>
    <t>마사지사 40</t>
  </si>
  <si>
    <t>마사지사 41</t>
  </si>
  <si>
    <t>마사지사 42</t>
  </si>
  <si>
    <t>마사지사 43</t>
  </si>
  <si>
    <t>마사지사 44</t>
  </si>
  <si>
    <t>마사지사 45</t>
  </si>
  <si>
    <t>마사지사 46</t>
  </si>
  <si>
    <t>마사지사 47</t>
  </si>
  <si>
    <t>마사지사 48</t>
  </si>
  <si>
    <t>마사지사 49</t>
  </si>
  <si>
    <t>마사지사 50</t>
  </si>
  <si>
    <t>운영팀 일일 인센 기준</t>
  </si>
  <si>
    <t>일 총콜 이상</t>
  </si>
  <si>
    <t>개인별 지급액</t>
  </si>
  <si>
    <t>운영팀 5명 총액</t>
  </si>
  <si>
    <t>30콜 달성</t>
  </si>
  <si>
    <t>40콜 달성</t>
  </si>
  <si>
    <t>50콜 달성</t>
  </si>
  <si>
    <t>운영팀 월 인센 기준</t>
  </si>
  <si>
    <t>월 총콜 이상</t>
  </si>
  <si>
    <t>운영팀 전체 월인센</t>
  </si>
  <si>
    <t>팀장%</t>
  </si>
  <si>
    <t>카운터팀%</t>
  </si>
  <si>
    <t>웨이터팀%</t>
  </si>
  <si>
    <t>귀케어</t>
  </si>
  <si>
    <t>11:00</t>
  </si>
  <si>
    <t>1번방</t>
  </si>
  <si>
    <t>현금</t>
  </si>
  <si>
    <t>11:30</t>
  </si>
  <si>
    <t>2번방</t>
  </si>
  <si>
    <t>카드</t>
  </si>
  <si>
    <t>12:00</t>
  </si>
  <si>
    <t>3번방</t>
  </si>
  <si>
    <t>계좌</t>
  </si>
  <si>
    <t>12:30</t>
  </si>
  <si>
    <t>4번방</t>
  </si>
  <si>
    <t>기타</t>
  </si>
  <si>
    <t>13:00</t>
  </si>
  <si>
    <t>5번방</t>
  </si>
  <si>
    <t>13:30</t>
  </si>
  <si>
    <t>6번방</t>
  </si>
  <si>
    <t>14:00</t>
  </si>
  <si>
    <t>7번방</t>
  </si>
  <si>
    <t>14:30</t>
  </si>
  <si>
    <t>8번방</t>
  </si>
  <si>
    <t>15:00</t>
  </si>
  <si>
    <t>9번방</t>
  </si>
  <si>
    <t>15:30</t>
  </si>
  <si>
    <t>10번방</t>
  </si>
  <si>
    <t>16:00</t>
  </si>
  <si>
    <t>11번방</t>
  </si>
  <si>
    <t>16:30</t>
  </si>
  <si>
    <t>12번방</t>
  </si>
  <si>
    <t>17:00</t>
  </si>
  <si>
    <t>13번방</t>
  </si>
  <si>
    <t>17:30</t>
  </si>
  <si>
    <t>14번방</t>
  </si>
  <si>
    <t>18:00</t>
  </si>
  <si>
    <t>15번방</t>
  </si>
  <si>
    <t>18:30</t>
  </si>
  <si>
    <t>16번방</t>
  </si>
  <si>
    <t>19:00</t>
  </si>
  <si>
    <t>17번방</t>
  </si>
  <si>
    <t>19:30</t>
  </si>
  <si>
    <t>18번방</t>
  </si>
  <si>
    <t>20:00</t>
  </si>
  <si>
    <t>19번방</t>
  </si>
  <si>
    <t>20:30</t>
  </si>
  <si>
    <t>20번방</t>
  </si>
  <si>
    <t>21:00</t>
  </si>
  <si>
    <t>21:30</t>
  </si>
  <si>
    <t>22:00</t>
  </si>
  <si>
    <t>22:30</t>
  </si>
  <si>
    <t>23:00</t>
  </si>
  <si>
    <t>23:30</t>
  </si>
  <si>
    <t>00:00</t>
  </si>
  <si>
    <t>00:30</t>
  </si>
  <si>
    <t>01:00</t>
  </si>
  <si>
    <t>01:30</t>
  </si>
  <si>
    <t>02:00</t>
  </si>
  <si>
    <t>02:30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</si>
</sst>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yyyy\-mm\-dd"/>
    <numFmt numFmtId="177" formatCode="#,##0&quot; 동&quot;;[Red]\(#,##0&quot; 동&quot;\);\-"/>
    <numFmt numFmtId="178" formatCode="#,##0&quot; 동&quot;;\-#,##0&quot; 동&quot;;\-"/>
    <numFmt numFmtId="179" formatCode="hh&quot;:&quot;mm"/>
    <numFmt numFmtId="180" formatCode="yyyy\.\ m\.\ d\ am/pm\ h:mm:ss"/>
    <numFmt numFmtId="181" formatCode="hh:mm"/>
    <numFmt numFmtId="182" formatCode="#,##0;\-;\-"/>
    <numFmt numFmtId="183" formatCode="yyyy\-mm"/>
    <numFmt numFmtId="184" formatCode="#,##0&quot; 동&quot;"/>
    <numFmt numFmtId="185" formatCode="#,##0\ &quot;동&quot;"/>
  </numFmts>
  <fonts count="46">
    <font>
      <sz val="11"/>
      <color theme="1"/>
      <name val="Calibri"/>
      <scheme val="minor"/>
    </font>
    <font>
      <b/>
      <sz val="18"/>
      <color rgb="FFFFFFFF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rgb="FF0000FF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1"/>
      <color theme="1"/>
      <name val="Calibri"/>
      <family val="2"/>
    </font>
    <font>
      <sz val="10"/>
      <color rgb="FF666666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color rgb="FF0000FF"/>
      <name val="Malgun Gothic"/>
      <family val="3"/>
      <charset val="129"/>
    </font>
    <font>
      <i/>
      <sz val="10"/>
      <color rgb="FF777777"/>
      <name val="Malgun Gothic"/>
      <family val="3"/>
      <charset val="129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Malgun Gothic"/>
      <family val="3"/>
      <charset val="129"/>
    </font>
    <font>
      <i/>
      <sz val="9"/>
      <color rgb="FF777777"/>
      <name val="Malgun Gothic"/>
      <family val="3"/>
      <charset val="129"/>
    </font>
    <font>
      <b/>
      <sz val="22"/>
      <color rgb="FFFDE68A"/>
      <name val="Calibri"/>
      <family val="2"/>
    </font>
    <font>
      <sz val="11"/>
      <color rgb="FFE5E7EB"/>
      <name val="Calibri"/>
      <family val="2"/>
    </font>
    <font>
      <b/>
      <sz val="18"/>
      <color rgb="FFFDE68A"/>
      <name val="Calibri"/>
      <family val="2"/>
    </font>
    <font>
      <b/>
      <sz val="18"/>
      <color rgb="FF0F172A"/>
      <name val="Calibri"/>
      <family val="2"/>
    </font>
    <font>
      <b/>
      <sz val="14"/>
      <color theme="1"/>
      <name val="Calibri"/>
      <family val="2"/>
    </font>
    <font>
      <b/>
      <sz val="18"/>
      <color rgb="FFB91C1C"/>
      <name val="Calibri"/>
      <family val="2"/>
    </font>
    <font>
      <b/>
      <sz val="13"/>
      <color theme="1"/>
      <name val="Calibri"/>
      <family val="2"/>
    </font>
    <font>
      <b/>
      <sz val="11"/>
      <color rgb="FF92400E"/>
      <name val="Calibri"/>
      <family val="2"/>
    </font>
    <font>
      <b/>
      <sz val="18"/>
      <color rgb="FFFFE86B"/>
      <name val="Calibri"/>
      <family val="2"/>
    </font>
    <font>
      <b/>
      <sz val="16"/>
      <color rgb="FFFFE86B"/>
      <name val="Calibri"/>
      <family val="2"/>
    </font>
    <font>
      <b/>
      <sz val="20"/>
      <color rgb="FFFFFFFF"/>
      <name val="Calibri"/>
      <family val="2"/>
    </font>
    <font>
      <b/>
      <sz val="18"/>
      <color rgb="FFFFFFFF"/>
      <name val="Calibri"/>
      <family val="2"/>
    </font>
    <font>
      <b/>
      <sz val="10"/>
      <color rgb="FFFFFFFF"/>
      <name val="Calibri"/>
      <family val="2"/>
    </font>
    <font>
      <b/>
      <sz val="24"/>
      <color rgb="FFFFFFFF"/>
      <name val="Calibri"/>
      <family val="2"/>
    </font>
    <font>
      <b/>
      <sz val="10"/>
      <color rgb="FF9A3412"/>
      <name val="Calibri"/>
      <family val="2"/>
    </font>
    <font>
      <sz val="11"/>
      <color rgb="FF666666"/>
      <name val="Malgun Gothic"/>
      <family val="3"/>
      <charset val="129"/>
    </font>
    <font>
      <b/>
      <sz val="12"/>
      <color rgb="FFFFFFFF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4"/>
      <color rgb="FFFFFFFF"/>
      <name val="Calibri"/>
      <family val="2"/>
    </font>
    <font>
      <sz val="11"/>
      <color theme="1"/>
      <name val="Arimo"/>
    </font>
    <font>
      <i/>
      <sz val="9"/>
      <color rgb="FF666666"/>
      <name val="Malgun Gothic"/>
      <family val="3"/>
      <charset val="129"/>
    </font>
    <font>
      <sz val="10"/>
      <color rgb="FF0000FF"/>
      <name val="Malgun Gothic"/>
      <family val="3"/>
      <charset val="129"/>
    </font>
    <font>
      <sz val="10"/>
      <color rgb="FFFF000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color rgb="FFFF0000"/>
      <name val="Calibri"/>
      <family val="2"/>
    </font>
    <font>
      <sz val="8"/>
      <name val="Calibri"/>
      <family val="3"/>
      <charset val="129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DDEBF7"/>
        <bgColor rgb="FFDDEBF7"/>
      </patternFill>
    </fill>
    <fill>
      <patternFill patternType="solid">
        <fgColor rgb="FF1F1F1F"/>
        <bgColor rgb="FF1F1F1F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  <fill>
      <patternFill patternType="solid">
        <fgColor rgb="FF94720A"/>
        <bgColor rgb="FF94720A"/>
      </patternFill>
    </fill>
    <fill>
      <patternFill patternType="solid">
        <fgColor rgb="FF0F172A"/>
        <bgColor rgb="FF0F172A"/>
      </patternFill>
    </fill>
    <fill>
      <patternFill patternType="solid">
        <fgColor rgb="FFEAF4FB"/>
        <bgColor rgb="FFEAF4FB"/>
      </patternFill>
    </fill>
    <fill>
      <patternFill patternType="solid">
        <fgColor rgb="FFFFFFFF"/>
        <bgColor rgb="FFFFFFFF"/>
      </patternFill>
    </fill>
    <fill>
      <patternFill patternType="solid">
        <fgColor rgb="FF070B14"/>
        <bgColor rgb="FF070B14"/>
      </patternFill>
    </fill>
    <fill>
      <patternFill patternType="solid">
        <fgColor rgb="FF111827"/>
        <bgColor rgb="FF111827"/>
      </patternFill>
    </fill>
    <fill>
      <patternFill patternType="solid">
        <fgColor rgb="FF1F2937"/>
        <bgColor rgb="FF1F2937"/>
      </patternFill>
    </fill>
    <fill>
      <patternFill patternType="solid">
        <fgColor rgb="FF0B1220"/>
        <bgColor rgb="FF0B1220"/>
      </patternFill>
    </fill>
    <fill>
      <patternFill patternType="solid">
        <fgColor rgb="FFF8FAFC"/>
        <bgColor rgb="FFF8FAFC"/>
      </patternFill>
    </fill>
    <fill>
      <patternFill patternType="solid">
        <fgColor rgb="FFFEF3C7"/>
        <bgColor rgb="FFFEF3C7"/>
      </patternFill>
    </fill>
    <fill>
      <patternFill patternType="solid">
        <fgColor rgb="FF07111D"/>
        <bgColor rgb="FF07111D"/>
      </patternFill>
    </fill>
    <fill>
      <patternFill patternType="solid">
        <fgColor rgb="FF991B1B"/>
        <bgColor rgb="FF991B1B"/>
      </patternFill>
    </fill>
    <fill>
      <patternFill patternType="solid">
        <fgColor rgb="FF5B3FD6"/>
        <bgColor rgb="FF5B3FD6"/>
      </patternFill>
    </fill>
    <fill>
      <patternFill patternType="solid">
        <fgColor rgb="FF1D4ED8"/>
        <bgColor rgb="FF1D4ED8"/>
      </patternFill>
    </fill>
    <fill>
      <patternFill patternType="solid">
        <fgColor rgb="FF666666"/>
        <bgColor rgb="FF666666"/>
      </patternFill>
    </fill>
    <fill>
      <patternFill patternType="solid">
        <fgColor rgb="FF087A50"/>
        <bgColor rgb="FF087A50"/>
      </patternFill>
    </fill>
    <fill>
      <patternFill patternType="solid">
        <fgColor rgb="FFF59E0B"/>
        <bgColor rgb="FFF59E0B"/>
      </patternFill>
    </fill>
    <fill>
      <patternFill patternType="solid">
        <fgColor rgb="FFFCE4D6"/>
        <bgColor rgb="FFFCE4D6"/>
      </patternFill>
    </fill>
    <fill>
      <patternFill patternType="solid">
        <fgColor rgb="FF1F1F1F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17365D"/>
      </patternFill>
    </fill>
  </fills>
  <borders count="1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EAF7"/>
      </top>
      <bottom style="thin">
        <color rgb="FFD9EAF7"/>
      </bottom>
      <diagonal/>
    </border>
    <border>
      <left/>
      <right style="thin">
        <color rgb="FFD9EAF7"/>
      </right>
      <top style="thin">
        <color rgb="FFD9EAF7"/>
      </top>
      <bottom style="thin">
        <color rgb="FFD9EAF7"/>
      </bottom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  <border>
      <left/>
      <right/>
      <top style="thin">
        <color rgb="FF7EA6C7"/>
      </top>
      <bottom style="thin">
        <color rgb="FF7EA6C7"/>
      </bottom>
      <diagonal/>
    </border>
    <border>
      <left/>
      <right/>
      <top style="thin">
        <color rgb="FF7EA6C7"/>
      </top>
      <bottom style="thin">
        <color rgb="FF7EA6C7"/>
      </bottom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9DB7B2"/>
      </top>
      <bottom style="thin">
        <color rgb="FF9DB7B2"/>
      </bottom>
      <diagonal/>
    </border>
    <border>
      <left/>
      <right style="thin">
        <color rgb="FF9DB7B2"/>
      </right>
      <top style="thin">
        <color rgb="FF9DB7B2"/>
      </top>
      <bottom style="thin">
        <color rgb="FF9DB7B2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9DB7B2"/>
      </left>
      <right style="thin">
        <color rgb="FF9DB7B2"/>
      </right>
      <top style="thin">
        <color rgb="FF9DB7B2"/>
      </top>
      <bottom style="thin">
        <color rgb="FF9DB7B2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76" fontId="4" fillId="3" borderId="2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vertical="center"/>
    </xf>
    <xf numFmtId="177" fontId="3" fillId="6" borderId="2" xfId="0" applyNumberFormat="1" applyFont="1" applyFill="1" applyBorder="1" applyAlignment="1">
      <alignment horizontal="center"/>
    </xf>
    <xf numFmtId="177" fontId="3" fillId="7" borderId="2" xfId="0" applyNumberFormat="1" applyFont="1" applyFill="1" applyBorder="1" applyAlignment="1">
      <alignment horizontal="center"/>
    </xf>
    <xf numFmtId="178" fontId="3" fillId="6" borderId="2" xfId="0" applyNumberFormat="1" applyFont="1" applyFill="1" applyBorder="1" applyAlignment="1">
      <alignment horizontal="center"/>
    </xf>
    <xf numFmtId="178" fontId="3" fillId="7" borderId="2" xfId="0" applyNumberFormat="1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7" fillId="0" borderId="0" xfId="0" applyFont="1"/>
    <xf numFmtId="179" fontId="7" fillId="0" borderId="0" xfId="0" applyNumberFormat="1" applyFont="1"/>
    <xf numFmtId="0" fontId="10" fillId="5" borderId="5" xfId="0" applyFont="1" applyFill="1" applyBorder="1" applyAlignment="1">
      <alignment horizontal="left" vertical="center"/>
    </xf>
    <xf numFmtId="0" fontId="11" fillId="3" borderId="5" xfId="0" applyFont="1" applyFill="1" applyBorder="1" applyAlignment="1">
      <alignment horizontal="center" vertical="center"/>
    </xf>
    <xf numFmtId="0" fontId="13" fillId="0" borderId="0" xfId="0" applyFont="1"/>
    <xf numFmtId="0" fontId="2" fillId="0" borderId="0" xfId="0" applyFont="1"/>
    <xf numFmtId="0" fontId="9" fillId="2" borderId="7" xfId="0" applyFont="1" applyFill="1" applyBorder="1" applyAlignment="1">
      <alignment horizontal="center" vertical="center"/>
    </xf>
    <xf numFmtId="179" fontId="14" fillId="9" borderId="7" xfId="0" applyNumberFormat="1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176" fontId="15" fillId="3" borderId="2" xfId="0" applyNumberFormat="1" applyFont="1" applyFill="1" applyBorder="1" applyAlignment="1">
      <alignment horizontal="center" vertical="center"/>
    </xf>
    <xf numFmtId="179" fontId="15" fillId="3" borderId="2" xfId="0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177" fontId="15" fillId="3" borderId="2" xfId="0" applyNumberFormat="1" applyFont="1" applyFill="1" applyBorder="1" applyAlignment="1">
      <alignment horizontal="center" vertical="center"/>
    </xf>
    <xf numFmtId="1" fontId="15" fillId="3" borderId="2" xfId="0" applyNumberFormat="1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176" fontId="15" fillId="10" borderId="2" xfId="0" applyNumberFormat="1" applyFont="1" applyFill="1" applyBorder="1" applyAlignment="1">
      <alignment horizontal="center" vertical="center"/>
    </xf>
    <xf numFmtId="179" fontId="15" fillId="10" borderId="2" xfId="0" applyNumberFormat="1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left" vertical="center"/>
    </xf>
    <xf numFmtId="177" fontId="15" fillId="10" borderId="2" xfId="0" applyNumberFormat="1" applyFont="1" applyFill="1" applyBorder="1" applyAlignment="1">
      <alignment horizontal="center" vertical="center"/>
    </xf>
    <xf numFmtId="1" fontId="15" fillId="10" borderId="2" xfId="0" applyNumberFormat="1" applyFont="1" applyFill="1" applyBorder="1" applyAlignment="1">
      <alignment horizontal="center" vertical="center"/>
    </xf>
    <xf numFmtId="180" fontId="15" fillId="10" borderId="2" xfId="0" applyNumberFormat="1" applyFont="1" applyFill="1" applyBorder="1" applyAlignment="1">
      <alignment horizontal="center" vertical="center"/>
    </xf>
    <xf numFmtId="0" fontId="16" fillId="11" borderId="8" xfId="0" applyFont="1" applyFill="1" applyBorder="1" applyAlignment="1">
      <alignment horizontal="center" vertical="center"/>
    </xf>
    <xf numFmtId="0" fontId="2" fillId="11" borderId="8" xfId="0" applyFont="1" applyFill="1" applyBorder="1"/>
    <xf numFmtId="179" fontId="2" fillId="11" borderId="8" xfId="0" applyNumberFormat="1" applyFont="1" applyFill="1" applyBorder="1"/>
    <xf numFmtId="179" fontId="9" fillId="2" borderId="7" xfId="0" applyNumberFormat="1" applyFont="1" applyFill="1" applyBorder="1" applyAlignment="1">
      <alignment horizontal="center" vertical="center"/>
    </xf>
    <xf numFmtId="0" fontId="14" fillId="14" borderId="8" xfId="0" applyFont="1" applyFill="1" applyBorder="1" applyAlignment="1">
      <alignment horizontal="center"/>
    </xf>
    <xf numFmtId="0" fontId="19" fillId="15" borderId="8" xfId="0" applyFont="1" applyFill="1" applyBorder="1" applyAlignment="1">
      <alignment horizontal="center"/>
    </xf>
    <xf numFmtId="0" fontId="14" fillId="9" borderId="8" xfId="0" applyFont="1" applyFill="1" applyBorder="1" applyAlignment="1">
      <alignment horizontal="center"/>
    </xf>
    <xf numFmtId="0" fontId="20" fillId="16" borderId="9" xfId="0" applyFont="1" applyFill="1" applyBorder="1" applyAlignment="1">
      <alignment horizontal="center" vertical="center"/>
    </xf>
    <xf numFmtId="0" fontId="21" fillId="16" borderId="9" xfId="0" applyFont="1" applyFill="1" applyBorder="1" applyAlignment="1">
      <alignment horizontal="center" vertical="center"/>
    </xf>
    <xf numFmtId="0" fontId="7" fillId="16" borderId="9" xfId="0" applyFont="1" applyFill="1" applyBorder="1" applyAlignment="1">
      <alignment horizontal="center" vertical="center"/>
    </xf>
    <xf numFmtId="181" fontId="7" fillId="16" borderId="9" xfId="0" applyNumberFormat="1" applyFont="1" applyFill="1" applyBorder="1" applyAlignment="1">
      <alignment horizontal="center" vertical="center"/>
    </xf>
    <xf numFmtId="1" fontId="22" fillId="16" borderId="9" xfId="0" applyNumberFormat="1" applyFont="1" applyFill="1" applyBorder="1" applyAlignment="1">
      <alignment horizontal="center" vertical="center"/>
    </xf>
    <xf numFmtId="0" fontId="23" fillId="16" borderId="9" xfId="0" applyFont="1" applyFill="1" applyBorder="1" applyAlignment="1">
      <alignment horizontal="center" vertical="center"/>
    </xf>
    <xf numFmtId="0" fontId="7" fillId="18" borderId="8" xfId="0" applyFont="1" applyFill="1" applyBorder="1" applyAlignment="1">
      <alignment horizontal="center" vertical="center" wrapText="1"/>
    </xf>
    <xf numFmtId="0" fontId="14" fillId="19" borderId="8" xfId="0" applyFont="1" applyFill="1" applyBorder="1" applyAlignment="1">
      <alignment horizontal="center" vertical="center"/>
    </xf>
    <xf numFmtId="0" fontId="14" fillId="20" borderId="8" xfId="0" applyFont="1" applyFill="1" applyBorder="1" applyAlignment="1">
      <alignment horizontal="center" vertical="center"/>
    </xf>
    <xf numFmtId="0" fontId="14" fillId="21" borderId="8" xfId="0" applyFont="1" applyFill="1" applyBorder="1" applyAlignment="1">
      <alignment horizontal="center" vertical="center"/>
    </xf>
    <xf numFmtId="0" fontId="14" fillId="22" borderId="8" xfId="0" applyFont="1" applyFill="1" applyBorder="1" applyAlignment="1">
      <alignment horizontal="center" vertical="center"/>
    </xf>
    <xf numFmtId="0" fontId="14" fillId="23" borderId="8" xfId="0" applyFont="1" applyFill="1" applyBorder="1" applyAlignment="1">
      <alignment horizontal="center" vertical="center"/>
    </xf>
    <xf numFmtId="0" fontId="14" fillId="24" borderId="8" xfId="0" applyFont="1" applyFill="1" applyBorder="1" applyAlignment="1">
      <alignment horizontal="center" vertical="center"/>
    </xf>
    <xf numFmtId="0" fontId="26" fillId="18" borderId="8" xfId="0" applyFont="1" applyFill="1" applyBorder="1" applyAlignment="1">
      <alignment horizontal="center" vertical="center"/>
    </xf>
    <xf numFmtId="0" fontId="6" fillId="18" borderId="8" xfId="0" applyFont="1" applyFill="1" applyBorder="1" applyAlignment="1">
      <alignment horizontal="center" vertical="center" wrapText="1"/>
    </xf>
    <xf numFmtId="0" fontId="30" fillId="18" borderId="8" xfId="0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vertical="center"/>
    </xf>
    <xf numFmtId="0" fontId="6" fillId="11" borderId="2" xfId="0" applyFont="1" applyFill="1" applyBorder="1" applyAlignment="1">
      <alignment vertical="center"/>
    </xf>
    <xf numFmtId="177" fontId="6" fillId="11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182" fontId="6" fillId="11" borderId="2" xfId="0" applyNumberFormat="1" applyFont="1" applyFill="1" applyBorder="1" applyAlignment="1">
      <alignment vertical="center"/>
    </xf>
    <xf numFmtId="176" fontId="34" fillId="25" borderId="7" xfId="0" applyNumberFormat="1" applyFont="1" applyFill="1" applyBorder="1" applyAlignment="1">
      <alignment horizontal="center" vertical="center"/>
    </xf>
    <xf numFmtId="0" fontId="34" fillId="25" borderId="7" xfId="0" applyFont="1" applyFill="1" applyBorder="1" applyAlignment="1">
      <alignment horizontal="center" vertical="center"/>
    </xf>
    <xf numFmtId="177" fontId="34" fillId="25" borderId="7" xfId="0" applyNumberFormat="1" applyFont="1" applyFill="1" applyBorder="1" applyAlignment="1">
      <alignment horizontal="center" vertical="center"/>
    </xf>
    <xf numFmtId="0" fontId="3" fillId="0" borderId="0" xfId="0" applyFont="1"/>
    <xf numFmtId="182" fontId="2" fillId="10" borderId="8" xfId="0" applyNumberFormat="1" applyFont="1" applyFill="1" applyBorder="1" applyAlignment="1">
      <alignment horizontal="center"/>
    </xf>
    <xf numFmtId="177" fontId="2" fillId="10" borderId="8" xfId="0" applyNumberFormat="1" applyFont="1" applyFill="1" applyBorder="1" applyAlignment="1">
      <alignment horizontal="center"/>
    </xf>
    <xf numFmtId="0" fontId="2" fillId="0" borderId="1" xfId="0" applyFont="1" applyBorder="1"/>
    <xf numFmtId="177" fontId="4" fillId="3" borderId="2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77" fontId="4" fillId="0" borderId="0" xfId="0" applyNumberFormat="1" applyFont="1" applyAlignment="1">
      <alignment vertical="center"/>
    </xf>
    <xf numFmtId="177" fontId="2" fillId="0" borderId="1" xfId="0" applyNumberFormat="1" applyFont="1" applyBorder="1" applyAlignment="1">
      <alignment vertical="center"/>
    </xf>
    <xf numFmtId="0" fontId="14" fillId="14" borderId="9" xfId="0" applyFont="1" applyFill="1" applyBorder="1" applyAlignment="1">
      <alignment horizontal="center" vertical="center"/>
    </xf>
    <xf numFmtId="0" fontId="36" fillId="16" borderId="9" xfId="0" applyFont="1" applyFill="1" applyBorder="1" applyAlignment="1">
      <alignment horizontal="center" vertical="center"/>
    </xf>
    <xf numFmtId="0" fontId="2" fillId="16" borderId="9" xfId="0" applyFont="1" applyFill="1" applyBorder="1" applyAlignment="1">
      <alignment horizontal="center" vertical="center"/>
    </xf>
    <xf numFmtId="0" fontId="5" fillId="2" borderId="8" xfId="0" applyFont="1" applyFill="1" applyBorder="1"/>
    <xf numFmtId="0" fontId="2" fillId="5" borderId="8" xfId="0" applyFont="1" applyFill="1" applyBorder="1"/>
    <xf numFmtId="183" fontId="2" fillId="3" borderId="8" xfId="0" applyNumberFormat="1" applyFont="1" applyFill="1" applyBorder="1"/>
    <xf numFmtId="0" fontId="37" fillId="0" borderId="0" xfId="0" applyFont="1"/>
    <xf numFmtId="0" fontId="5" fillId="2" borderId="2" xfId="0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179" fontId="4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177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2" fillId="5" borderId="1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9" fontId="4" fillId="3" borderId="2" xfId="0" applyNumberFormat="1" applyFont="1" applyFill="1" applyBorder="1" applyAlignment="1">
      <alignment vertical="center"/>
    </xf>
    <xf numFmtId="176" fontId="2" fillId="0" borderId="0" xfId="0" applyNumberFormat="1" applyFont="1"/>
    <xf numFmtId="3" fontId="38" fillId="3" borderId="5" xfId="0" applyNumberFormat="1" applyFont="1" applyFill="1" applyBorder="1" applyAlignment="1">
      <alignment horizontal="center" vertical="center"/>
    </xf>
    <xf numFmtId="184" fontId="38" fillId="3" borderId="5" xfId="0" applyNumberFormat="1" applyFont="1" applyFill="1" applyBorder="1" applyAlignment="1">
      <alignment horizontal="center" vertical="center"/>
    </xf>
    <xf numFmtId="184" fontId="39" fillId="3" borderId="5" xfId="0" applyNumberFormat="1" applyFont="1" applyFill="1" applyBorder="1" applyAlignment="1">
      <alignment horizontal="center" vertical="center"/>
    </xf>
    <xf numFmtId="185" fontId="39" fillId="3" borderId="5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left" vertical="center"/>
    </xf>
    <xf numFmtId="3" fontId="43" fillId="28" borderId="14" xfId="0" applyNumberFormat="1" applyFont="1" applyFill="1" applyBorder="1" applyAlignment="1">
      <alignment horizontal="center" vertical="center"/>
    </xf>
    <xf numFmtId="185" fontId="43" fillId="28" borderId="14" xfId="0" applyNumberFormat="1" applyFont="1" applyFill="1" applyBorder="1" applyAlignment="1">
      <alignment horizontal="center" vertical="center"/>
    </xf>
    <xf numFmtId="3" fontId="44" fillId="28" borderId="14" xfId="0" applyNumberFormat="1" applyFont="1" applyFill="1" applyBorder="1" applyAlignment="1">
      <alignment horizontal="center" vertical="center"/>
    </xf>
    <xf numFmtId="185" fontId="44" fillId="28" borderId="14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/>
    </xf>
    <xf numFmtId="185" fontId="13" fillId="28" borderId="14" xfId="0" applyNumberFormat="1" applyFont="1" applyFill="1" applyBorder="1" applyAlignment="1">
      <alignment horizontal="center" vertical="center"/>
    </xf>
    <xf numFmtId="0" fontId="0" fillId="28" borderId="14" xfId="0" applyFill="1" applyBorder="1" applyAlignment="1">
      <alignment horizontal="left" vertical="center"/>
    </xf>
    <xf numFmtId="0" fontId="0" fillId="28" borderId="14" xfId="0" applyFill="1" applyBorder="1" applyAlignment="1">
      <alignment horizontal="center" vertical="center"/>
    </xf>
    <xf numFmtId="185" fontId="0" fillId="28" borderId="14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5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41" fillId="29" borderId="14" xfId="0" applyFont="1" applyFill="1" applyBorder="1" applyAlignment="1">
      <alignment horizontal="center" vertical="center"/>
    </xf>
    <xf numFmtId="0" fontId="0" fillId="0" borderId="14" xfId="0" applyBorder="1"/>
    <xf numFmtId="0" fontId="41" fillId="26" borderId="1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0" fontId="0" fillId="0" borderId="6" xfId="0" applyBorder="1"/>
    <xf numFmtId="0" fontId="0" fillId="0" borderId="4" xfId="0" applyBorder="1"/>
    <xf numFmtId="0" fontId="9" fillId="4" borderId="5" xfId="0" applyFont="1" applyFill="1" applyBorder="1" applyAlignment="1">
      <alignment horizontal="center" vertical="center"/>
    </xf>
    <xf numFmtId="0" fontId="0" fillId="0" borderId="3" xfId="0" applyBorder="1"/>
    <xf numFmtId="0" fontId="8" fillId="0" borderId="0" xfId="0" applyFont="1" applyAlignment="1">
      <alignment horizontal="left" vertical="center"/>
    </xf>
    <xf numFmtId="0" fontId="0" fillId="0" borderId="0" xfId="0"/>
    <xf numFmtId="0" fontId="1" fillId="2" borderId="8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40" fillId="4" borderId="5" xfId="0" applyFont="1" applyFill="1" applyBorder="1" applyAlignment="1">
      <alignment horizontal="center" vertical="center"/>
    </xf>
    <xf numFmtId="0" fontId="24" fillId="17" borderId="8" xfId="0" applyFont="1" applyFill="1" applyBorder="1" applyAlignment="1">
      <alignment wrapText="1"/>
    </xf>
    <xf numFmtId="0" fontId="18" fillId="13" borderId="8" xfId="0" applyFont="1" applyFill="1" applyBorder="1" applyAlignment="1">
      <alignment horizontal="center"/>
    </xf>
    <xf numFmtId="0" fontId="17" fillId="12" borderId="8" xfId="0" applyFont="1" applyFill="1" applyBorder="1" applyAlignment="1">
      <alignment horizontal="center"/>
    </xf>
    <xf numFmtId="0" fontId="27" fillId="23" borderId="13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29" fillId="23" borderId="13" xfId="0" applyFont="1" applyFill="1" applyBorder="1" applyAlignment="1">
      <alignment horizontal="center" vertical="center" wrapText="1"/>
    </xf>
    <xf numFmtId="0" fontId="14" fillId="23" borderId="13" xfId="0" applyFont="1" applyFill="1" applyBorder="1" applyAlignment="1">
      <alignment horizontal="center" vertical="center" wrapText="1"/>
    </xf>
    <xf numFmtId="0" fontId="28" fillId="23" borderId="13" xfId="0" applyFont="1" applyFill="1" applyBorder="1" applyAlignment="1">
      <alignment horizontal="center" vertical="center" wrapText="1"/>
    </xf>
    <xf numFmtId="0" fontId="14" fillId="18" borderId="8" xfId="0" applyFont="1" applyFill="1" applyBorder="1" applyAlignment="1">
      <alignment horizontal="center" vertical="center" wrapText="1"/>
    </xf>
    <xf numFmtId="0" fontId="31" fillId="6" borderId="8" xfId="0" applyFont="1" applyFill="1" applyBorder="1" applyAlignment="1">
      <alignment horizontal="left" vertical="center"/>
    </xf>
    <xf numFmtId="0" fontId="25" fillId="18" borderId="8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left" vertical="center"/>
    </xf>
    <xf numFmtId="0" fontId="32" fillId="0" borderId="0" xfId="0" applyFont="1"/>
    <xf numFmtId="0" fontId="1" fillId="2" borderId="8" xfId="0" applyFont="1" applyFill="1" applyBorder="1" applyAlignment="1">
      <alignment horizontal="left" vertical="center"/>
    </xf>
    <xf numFmtId="0" fontId="5" fillId="2" borderId="8" xfId="0" applyFont="1" applyFill="1" applyBorder="1"/>
    <xf numFmtId="0" fontId="35" fillId="12" borderId="8" xfId="0" applyFont="1" applyFill="1" applyBorder="1" applyAlignment="1">
      <alignment horizontal="center"/>
    </xf>
  </cellXfs>
  <cellStyles count="1">
    <cellStyle name="표준" xfId="0" builtinId="0"/>
  </cellStyles>
  <dxfs count="60">
    <dxf>
      <font>
        <b/>
        <color rgb="FFFFFFFF"/>
      </font>
      <fill>
        <patternFill patternType="solid">
          <fgColor rgb="FF087A50"/>
          <bgColor rgb="FF087A5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FFFFFF"/>
      </font>
      <fill>
        <patternFill patternType="solid">
          <fgColor rgb="FF5B3FD6"/>
          <bgColor rgb="FF5B3FD6"/>
        </patternFill>
      </fill>
    </dxf>
    <dxf>
      <font>
        <b/>
        <color rgb="FFFFFFFF"/>
      </font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87A50"/>
          <bgColor rgb="FF087A5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FFFFFF"/>
      </font>
      <fill>
        <patternFill patternType="solid">
          <fgColor rgb="FF5B3FD6"/>
          <bgColor rgb="FF5B3FD6"/>
        </patternFill>
      </fill>
    </dxf>
    <dxf>
      <font>
        <b/>
        <color rgb="FFFFFFFF"/>
      </font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87A50"/>
          <bgColor rgb="FF087A5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FFFFFF"/>
      </font>
      <fill>
        <patternFill patternType="solid">
          <fgColor rgb="FF5B3FD6"/>
          <bgColor rgb="FF5B3FD6"/>
        </patternFill>
      </fill>
    </dxf>
    <dxf>
      <font>
        <b/>
        <color rgb="FFFFFFFF"/>
      </font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87A50"/>
          <bgColor rgb="FF087A50"/>
        </patternFill>
      </fill>
    </dxf>
    <dxf>
      <font>
        <b/>
        <color rgb="FFFFFFFF"/>
      </font>
      <fill>
        <patternFill patternType="solid">
          <fgColor rgb="FF111827"/>
          <bgColor rgb="FF111827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FFFFFF"/>
      </font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87A50"/>
          <bgColor rgb="FF087A5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FFFFFF"/>
      </font>
      <fill>
        <patternFill patternType="solid">
          <fgColor rgb="FF5B3FD6"/>
          <bgColor rgb="FF5B3FD6"/>
        </patternFill>
      </fill>
    </dxf>
    <dxf>
      <font>
        <b/>
        <color rgb="FFFFFFFF"/>
      </font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87A50"/>
          <bgColor rgb="FF087A5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FFFFFF"/>
      </font>
      <fill>
        <patternFill patternType="solid">
          <fgColor rgb="FF5B3FD6"/>
          <bgColor rgb="FF5B3FD6"/>
        </patternFill>
      </fill>
    </dxf>
    <dxf>
      <font>
        <b/>
        <color rgb="FFFFFFFF"/>
      </font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87A50"/>
          <bgColor rgb="FF087A5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FFFFFF"/>
      </font>
      <fill>
        <patternFill patternType="solid">
          <fgColor rgb="FF5B3FD6"/>
          <bgColor rgb="FF5B3FD6"/>
        </patternFill>
      </fill>
    </dxf>
    <dxf>
      <font>
        <b/>
        <color rgb="FFFFFFFF"/>
      </font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87A50"/>
          <bgColor rgb="FF087A5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FFFFFF"/>
      </font>
      <fill>
        <patternFill patternType="solid">
          <fgColor rgb="FF5B3FD6"/>
          <bgColor rgb="FF5B3FD6"/>
        </patternFill>
      </fill>
    </dxf>
    <dxf>
      <font>
        <b/>
        <color rgb="FFFFFFFF"/>
      </font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87A50"/>
          <bgColor rgb="FF087A5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FFFFFF"/>
      </font>
      <fill>
        <patternFill patternType="solid">
          <fgColor rgb="FF5B3FD6"/>
          <bgColor rgb="FF5B3FD6"/>
        </patternFill>
      </fill>
    </dxf>
    <dxf>
      <font>
        <b/>
        <color rgb="FFFFFFFF"/>
      </font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87A50"/>
          <bgColor rgb="FF087A5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FFFFFF"/>
      </font>
      <fill>
        <patternFill patternType="solid">
          <fgColor rgb="FF5B3FD6"/>
          <bgColor rgb="FF5B3FD6"/>
        </patternFill>
      </fill>
    </dxf>
    <dxf>
      <font>
        <b/>
        <color rgb="FFFFFFFF"/>
      </font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87A50"/>
          <bgColor rgb="FF087A50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FFFFFF"/>
      </font>
      <fill>
        <patternFill patternType="solid">
          <fgColor rgb="FF5B3FD6"/>
          <bgColor rgb="FF5B3FD6"/>
        </patternFill>
      </fill>
    </dxf>
    <dxf>
      <font>
        <b/>
        <color rgb="FFFFFFFF"/>
      </font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65F46"/>
          <bgColor rgb="FF065F46"/>
        </patternFill>
      </fill>
    </dxf>
    <dxf>
      <font>
        <b/>
        <color rgb="FFFFFFFF"/>
      </font>
      <fill>
        <patternFill patternType="solid">
          <fgColor rgb="FF111827"/>
          <bgColor rgb="FF111827"/>
        </patternFill>
      </fill>
    </dxf>
    <dxf>
      <font>
        <b/>
        <color rgb="FFFFFFFF"/>
      </font>
      <fill>
        <patternFill patternType="solid">
          <fgColor rgb="FF1E3A8A"/>
          <bgColor rgb="FF1E3A8A"/>
        </patternFill>
      </fill>
    </dxf>
    <dxf>
      <font>
        <b/>
        <color rgb="FFFFFFFF"/>
      </font>
      <fill>
        <patternFill patternType="solid">
          <fgColor rgb="FF92400E"/>
          <bgColor rgb="FF92400E"/>
        </patternFill>
      </fill>
    </dxf>
    <dxf>
      <font>
        <b/>
        <color rgb="FFFFFFFF"/>
      </font>
      <fill>
        <patternFill patternType="solid">
          <fgColor rgb="FF7F1D1D"/>
          <bgColor rgb="FF7F1D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showGridLines="0" workbookViewId="0">
      <selection activeCell="B51" sqref="B51"/>
    </sheetView>
  </sheetViews>
  <sheetFormatPr defaultColWidth="14.453125" defaultRowHeight="15" customHeight="1"/>
  <cols>
    <col min="1" max="2" width="18" customWidth="1"/>
    <col min="3" max="3" width="5" customWidth="1"/>
    <col min="4" max="5" width="18" customWidth="1"/>
    <col min="6" max="6" width="5" customWidth="1"/>
    <col min="7" max="8" width="18" customWidth="1"/>
  </cols>
  <sheetData>
    <row r="1" spans="1:8" ht="27.75" customHeight="1">
      <c r="A1" s="119" t="s">
        <v>0</v>
      </c>
      <c r="B1" s="115"/>
      <c r="C1" s="115"/>
      <c r="D1" s="115"/>
      <c r="E1" s="115"/>
      <c r="F1" s="115"/>
      <c r="G1" s="115"/>
      <c r="H1" s="115"/>
    </row>
    <row r="2" spans="1:8" ht="22.5" customHeight="1">
      <c r="A2" s="1"/>
      <c r="B2" s="1"/>
      <c r="C2" s="1"/>
      <c r="D2" s="1"/>
      <c r="E2" s="1"/>
      <c r="F2" s="1"/>
      <c r="G2" s="1"/>
      <c r="H2" s="1"/>
    </row>
    <row r="3" spans="1:8" ht="16.5" customHeight="1">
      <c r="A3" s="2" t="s">
        <v>1</v>
      </c>
      <c r="B3" s="3">
        <v>46176</v>
      </c>
      <c r="C3" s="1"/>
      <c r="D3" s="1"/>
      <c r="E3" s="1"/>
      <c r="F3" s="1"/>
      <c r="G3" s="1"/>
      <c r="H3" s="1"/>
    </row>
    <row r="4" spans="1:8" ht="16.5" customHeight="1">
      <c r="A4" s="1"/>
      <c r="B4" s="1"/>
      <c r="C4" s="1"/>
      <c r="D4" s="1"/>
      <c r="E4" s="1"/>
      <c r="F4" s="1"/>
      <c r="G4" s="1"/>
      <c r="H4" s="1"/>
    </row>
    <row r="5" spans="1:8" ht="16.5" customHeight="1">
      <c r="A5" s="117" t="s">
        <v>2</v>
      </c>
      <c r="B5" s="115"/>
      <c r="C5" s="4"/>
      <c r="D5" s="116" t="s">
        <v>3</v>
      </c>
      <c r="E5" s="115"/>
      <c r="F5" s="4"/>
      <c r="G5" s="117" t="s">
        <v>4</v>
      </c>
      <c r="H5" s="115"/>
    </row>
    <row r="6" spans="1:8" ht="16.5" customHeight="1">
      <c r="A6" s="5" t="s">
        <v>5</v>
      </c>
      <c r="B6" s="6">
        <f>COUNTIFS(실시간콜입력!$B:$B,$B$3,실시간콜입력!$O:$O,"&lt;&gt;")</f>
        <v>0</v>
      </c>
      <c r="C6" s="4"/>
      <c r="D6" s="5" t="s">
        <v>6</v>
      </c>
      <c r="E6" s="7">
        <f>COUNTIFS(실시간콜입력!$B:$B,$B$3,실시간콜입력!$E:$E,"A",실시간콜입력!$O:$O,"방문완료")</f>
        <v>0</v>
      </c>
      <c r="F6" s="4"/>
      <c r="G6" s="8" t="s">
        <v>7</v>
      </c>
      <c r="H6" s="7">
        <f>COUNTIFS(실시간콜입력!$O:$O,"방문완료")</f>
        <v>0</v>
      </c>
    </row>
    <row r="7" spans="1:8" ht="16.5" customHeight="1">
      <c r="A7" s="5" t="s">
        <v>8</v>
      </c>
      <c r="B7" s="6">
        <f>COUNTIFS(실시간콜입력!$B:$B,$B$3,실시간콜입력!$O:$O,"방문완료")</f>
        <v>0</v>
      </c>
      <c r="C7" s="4"/>
      <c r="D7" s="5" t="s">
        <v>9</v>
      </c>
      <c r="E7" s="7">
        <f>COUNTIFS(실시간콜입력!$B:$B,$B$3,실시간콜입력!$E:$E,"B",실시간콜입력!$O:$O,"방문완료")</f>
        <v>0</v>
      </c>
      <c r="F7" s="4"/>
      <c r="G7" s="8" t="s">
        <v>10</v>
      </c>
      <c r="H7" s="7">
        <f>COUNTIFS(실시간콜입력!$B:$B,"&gt;="&amp;DATE(YEAR($B$3),MONTH($B$3),1),실시간콜입력!$B:$B,"&lt;"&amp;EDATE(DATE(YEAR($B$3),MONTH($B$3),1),1),실시간콜입력!$O:$O,"&lt;&gt;")</f>
        <v>0</v>
      </c>
    </row>
    <row r="8" spans="1:8" ht="16.5" customHeight="1">
      <c r="A8" s="5" t="s">
        <v>11</v>
      </c>
      <c r="B8" s="6">
        <f>COUNTIFS(실시간콜입력!$B:$B,$B$3,실시간콜입력!$O:$O,"노쇼")</f>
        <v>0</v>
      </c>
      <c r="C8" s="4"/>
      <c r="D8" s="5" t="s">
        <v>12</v>
      </c>
      <c r="E8" s="7">
        <f>COUNTIFS(실시간콜입력!$B:$B,$B$3,실시간콜입력!$E:$E,"C",실시간콜입력!$O:$O,"방문완료")</f>
        <v>0</v>
      </c>
      <c r="F8" s="4"/>
      <c r="G8" s="8" t="s">
        <v>13</v>
      </c>
      <c r="H8" s="7">
        <f>COUNTIFS(실시간콜입력!$O:$O,"노쇼")</f>
        <v>0</v>
      </c>
    </row>
    <row r="9" spans="1:8" ht="16.5" customHeight="1">
      <c r="A9" s="5" t="s">
        <v>14</v>
      </c>
      <c r="B9" s="9">
        <f>COUNTIFS(실시간콜입력!$B:$B,$B$3,실시간콜입력!$O:$O,"취소")</f>
        <v>0</v>
      </c>
      <c r="C9" s="4"/>
      <c r="D9" s="5" t="s">
        <v>15</v>
      </c>
      <c r="E9" s="10">
        <f>COUNTIFS(실시간콜입력!$B:$B,$B$3,실시간콜입력!$E:$E,"D",실시간콜입력!$O:$O,"방문완료")</f>
        <v>0</v>
      </c>
      <c r="F9" s="4"/>
      <c r="G9" s="8" t="s">
        <v>16</v>
      </c>
      <c r="H9" s="7">
        <f>COUNTIFS(실시간콜입력!$O:$O,"취소")</f>
        <v>0</v>
      </c>
    </row>
    <row r="10" spans="1:8" ht="16.5" customHeight="1">
      <c r="A10" s="5" t="s">
        <v>17</v>
      </c>
      <c r="B10" s="11">
        <f>SUMIFS(실시간콜입력!$J:$J,실시간콜입력!$B:$B,$B$3,실시간콜입력!$O:$O,"방문완료")</f>
        <v>0</v>
      </c>
      <c r="C10" s="4"/>
      <c r="D10" s="5" t="s">
        <v>18</v>
      </c>
      <c r="E10" s="10">
        <f>COUNTIFS(실시간콜입력!$B:$B,$B$3,실시간콜입력!$E:$E,"E",실시간콜입력!$O:$O,"방문완료")</f>
        <v>0</v>
      </c>
      <c r="F10" s="4"/>
      <c r="G10" s="8" t="s">
        <v>19</v>
      </c>
      <c r="H10" s="12">
        <f>SUMIFS(실시간콜입력!$J:$J,실시간콜입력!$O:$O,"방문완료")</f>
        <v>0</v>
      </c>
    </row>
    <row r="11" spans="1:8" ht="16.5" customHeight="1">
      <c r="A11" s="5" t="s">
        <v>20</v>
      </c>
      <c r="B11" s="6">
        <f>SUMIFS(마사지사일정산!$K:$K,마사지사일정산!$A:$A,$B$3)</f>
        <v>0</v>
      </c>
      <c r="C11" s="4"/>
      <c r="D11" s="4"/>
      <c r="E11" s="4"/>
      <c r="F11" s="4"/>
      <c r="G11" s="4"/>
      <c r="H11" s="4"/>
    </row>
    <row r="12" spans="1:8" ht="16.5" customHeight="1">
      <c r="A12" s="5" t="s">
        <v>21</v>
      </c>
      <c r="B12" s="11">
        <f>SUMIFS(마사지사일정산!$L:$L,마사지사일정산!$A:$A,$B$3)</f>
        <v>0</v>
      </c>
      <c r="C12" s="4"/>
      <c r="D12" s="4"/>
      <c r="E12" s="4"/>
      <c r="F12" s="4"/>
      <c r="G12" s="4"/>
      <c r="H12" s="4"/>
    </row>
    <row r="13" spans="1:8" ht="16.5" customHeight="1">
      <c r="A13" s="4"/>
      <c r="B13" s="4"/>
      <c r="C13" s="4"/>
      <c r="D13" s="4"/>
      <c r="E13" s="4"/>
      <c r="F13" s="4"/>
      <c r="G13" s="4"/>
      <c r="H13" s="4"/>
    </row>
    <row r="14" spans="1:8" ht="16.5" customHeight="1">
      <c r="A14" s="118" t="s">
        <v>22</v>
      </c>
      <c r="B14" s="115"/>
      <c r="C14" s="115"/>
      <c r="D14" s="115"/>
      <c r="E14" s="115"/>
      <c r="F14" s="115"/>
      <c r="G14" s="115"/>
      <c r="H14" s="115"/>
    </row>
    <row r="15" spans="1:8" ht="16.5" customHeight="1">
      <c r="A15" s="114" t="s">
        <v>23</v>
      </c>
      <c r="B15" s="115"/>
      <c r="C15" s="115"/>
      <c r="D15" s="115"/>
      <c r="E15" s="115"/>
      <c r="F15" s="115"/>
      <c r="G15" s="115"/>
      <c r="H15" s="115"/>
    </row>
    <row r="16" spans="1:8" ht="16.5" customHeight="1">
      <c r="A16" s="114" t="s">
        <v>24</v>
      </c>
      <c r="B16" s="115"/>
      <c r="C16" s="115"/>
      <c r="D16" s="115"/>
      <c r="E16" s="115"/>
      <c r="F16" s="115"/>
      <c r="G16" s="115"/>
      <c r="H16" s="115"/>
    </row>
    <row r="17" spans="1:8" ht="16.5" customHeight="1">
      <c r="A17" s="114" t="s">
        <v>25</v>
      </c>
      <c r="B17" s="115"/>
      <c r="C17" s="115"/>
      <c r="D17" s="115"/>
      <c r="E17" s="115"/>
      <c r="F17" s="115"/>
      <c r="G17" s="115"/>
      <c r="H17" s="115"/>
    </row>
    <row r="18" spans="1:8" ht="16.5" customHeight="1">
      <c r="A18" s="114" t="s">
        <v>26</v>
      </c>
      <c r="B18" s="115"/>
      <c r="C18" s="115"/>
      <c r="D18" s="115"/>
      <c r="E18" s="115"/>
      <c r="F18" s="115"/>
      <c r="G18" s="115"/>
      <c r="H18" s="115"/>
    </row>
    <row r="19" spans="1:8" ht="16.5" customHeight="1">
      <c r="A19" s="114" t="s">
        <v>27</v>
      </c>
      <c r="B19" s="115"/>
      <c r="C19" s="115"/>
      <c r="D19" s="115"/>
      <c r="E19" s="115"/>
      <c r="F19" s="115"/>
      <c r="G19" s="115"/>
      <c r="H19" s="115"/>
    </row>
    <row r="20" spans="1:8" ht="16.5" customHeight="1"/>
    <row r="21" spans="1:8" ht="16.5" customHeight="1"/>
    <row r="22" spans="1:8" ht="16.5" customHeight="1"/>
    <row r="23" spans="1:8" ht="16.5" customHeight="1"/>
    <row r="24" spans="1:8" ht="16.5" customHeight="1">
      <c r="G24" s="14" t="s">
        <v>28</v>
      </c>
    </row>
    <row r="25" spans="1:8" ht="16.5" customHeight="1"/>
    <row r="26" spans="1:8" ht="16.5" customHeight="1"/>
    <row r="27" spans="1:8" ht="16.5" customHeight="1"/>
    <row r="28" spans="1:8" ht="16.5" customHeight="1"/>
    <row r="29" spans="1:8" ht="16.5" customHeight="1"/>
    <row r="30" spans="1:8" ht="16.5" customHeight="1"/>
    <row r="31" spans="1:8" ht="16.5" customHeight="1"/>
    <row r="32" spans="1:8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9:H19"/>
    <mergeCell ref="A14:H14"/>
    <mergeCell ref="A1:H1"/>
    <mergeCell ref="A17:H17"/>
    <mergeCell ref="A18:H18"/>
    <mergeCell ref="A15:H15"/>
    <mergeCell ref="A16:H16"/>
    <mergeCell ref="D5:E5"/>
    <mergeCell ref="A5:B5"/>
    <mergeCell ref="G5:H5"/>
  </mergeCells>
  <phoneticPr fontId="45" type="noConversion"/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설정_코스수당!$J$6:$J$35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A3204"/>
  <sheetViews>
    <sheetView showGridLines="0" tabSelected="1" workbookViewId="0">
      <pane ySplit="11" topLeftCell="A12" activePane="bottomLeft" state="frozen"/>
      <selection pane="bottomLeft" activeCell="O30" sqref="O30"/>
    </sheetView>
  </sheetViews>
  <sheetFormatPr defaultColWidth="14.453125" defaultRowHeight="15" customHeight="1" outlineLevelRow="1"/>
  <cols>
    <col min="1" max="1" width="17.54296875" customWidth="1"/>
    <col min="2" max="2" width="12" customWidth="1"/>
    <col min="3" max="3" width="10" customWidth="1"/>
    <col min="4" max="5" width="12" customWidth="1"/>
    <col min="6" max="6" width="20" customWidth="1"/>
    <col min="7" max="10" width="14" customWidth="1"/>
    <col min="11" max="11" width="11.81640625" hidden="1" customWidth="1"/>
    <col min="12" max="12" width="6.08984375" hidden="1" customWidth="1"/>
    <col min="13" max="13" width="14.81640625" customWidth="1"/>
    <col min="14" max="14" width="10" customWidth="1"/>
    <col min="15" max="15" width="12" customWidth="1"/>
    <col min="16" max="16" width="15" customWidth="1"/>
    <col min="17" max="17" width="12" customWidth="1"/>
    <col min="18" max="18" width="16" customWidth="1"/>
    <col min="19" max="19" width="10" customWidth="1"/>
    <col min="20" max="20" width="3" customWidth="1"/>
    <col min="21" max="21" width="14" customWidth="1"/>
    <col min="22" max="22" width="15" customWidth="1"/>
    <col min="23" max="23" width="12" customWidth="1"/>
    <col min="24" max="24" width="14" customWidth="1"/>
    <col min="25" max="27" width="12" customWidth="1"/>
  </cols>
  <sheetData>
    <row r="1" spans="1:27" ht="27.75" customHeight="1">
      <c r="A1" s="130" t="s">
        <v>29</v>
      </c>
      <c r="B1" s="129"/>
      <c r="C1" s="129"/>
      <c r="D1" s="129"/>
      <c r="P1" s="14"/>
    </row>
    <row r="2" spans="1:27" ht="22.5" customHeight="1">
      <c r="A2" s="128" t="s">
        <v>30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</row>
    <row r="3" spans="1:27" ht="19.5" customHeight="1">
      <c r="C3" s="15"/>
      <c r="P3" s="14"/>
    </row>
    <row r="4" spans="1:27" ht="19.5" customHeight="1">
      <c r="A4" s="126" t="s">
        <v>31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5"/>
    </row>
    <row r="5" spans="1:27" ht="19.5" customHeight="1">
      <c r="A5" s="16" t="s">
        <v>10</v>
      </c>
      <c r="B5" s="100">
        <f>COUNTIFS($B$14:$B$3113,"&gt;="&amp;DATE(YEAR(설정_코스수당!$K$2),MONTH(설정_코스수당!$K$2),1),$B$14:$B$3113,"&lt;"&amp;EDATE(DATE(YEAR(설정_코스수당!$K$2),MONTH(설정_코스수당!$K$2),1),1),$O$14:$O$3113,"&lt;&gt;")</f>
        <v>0</v>
      </c>
      <c r="C5" s="15"/>
      <c r="D5" s="131" t="s">
        <v>32</v>
      </c>
      <c r="E5" s="125"/>
      <c r="G5" s="131" t="s">
        <v>33</v>
      </c>
      <c r="H5" s="125"/>
      <c r="J5" s="132" t="s">
        <v>34</v>
      </c>
      <c r="K5" s="129"/>
      <c r="L5" s="129"/>
      <c r="M5" s="129"/>
      <c r="N5" s="129"/>
      <c r="O5" s="129"/>
      <c r="P5" s="129"/>
      <c r="Q5" s="129"/>
      <c r="R5" s="129"/>
      <c r="S5" s="129"/>
    </row>
    <row r="6" spans="1:27" ht="19.5" customHeight="1">
      <c r="A6" s="16" t="s">
        <v>7</v>
      </c>
      <c r="B6" s="100">
        <f>COUNTIFS($B$14:$B$3113,"&gt;="&amp;DATE(YEAR(설정_코스수당!$K$2),MONTH(설정_코스수당!$K$2),1),$B$14:$B$3113,"&lt;"&amp;EDATE(DATE(YEAR(설정_코스수당!$K$2),MONTH(설정_코스수당!$K$2),1),1),$O$14:$O$3113,"방문완료")</f>
        <v>0</v>
      </c>
      <c r="C6" s="15"/>
      <c r="D6" s="16" t="s">
        <v>6</v>
      </c>
      <c r="E6" s="100">
        <f>COUNTIFS($B$14:$B$3113,"&gt;="&amp;DATE(YEAR(설정_코스수당!$K$2),MONTH(설정_코스수당!$K$2),1),$B$14:$B$3113,"&lt;"&amp;EDATE(DATE(YEAR(설정_코스수당!$K$2),MONTH(설정_코스수당!$K$2),1),1),$E$14:$E$3113,"A",$O$14:$O$3113,"방문완료")</f>
        <v>0</v>
      </c>
      <c r="G6" s="16" t="s">
        <v>35</v>
      </c>
      <c r="H6" s="101">
        <f>SUMIFS($J$14:$J$3113,$B$14:$B$3113,"&gt;="&amp;DATE(YEAR(설정_코스수당!$K$2),MONTH(설정_코스수당!$K$2),1),$B$14:$B$3113,"&lt;"&amp;EDATE(DATE(YEAR(설정_코스수당!$K$2),MONTH(설정_코스수당!$K$2),1),1),$O$14:$O$3113,"방문완료")</f>
        <v>0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</row>
    <row r="7" spans="1:27" ht="19.5" customHeight="1">
      <c r="A7" s="16" t="s">
        <v>13</v>
      </c>
      <c r="B7" s="100">
        <f>COUNTIFS($B$14:$B$3113,"&gt;="&amp;DATE(YEAR(설정_코스수당!$K$2),MONTH(설정_코스수당!$K$2),1),$B$14:$B$3113,"&lt;"&amp;EDATE(DATE(YEAR(설정_코스수당!$K$2),MONTH(설정_코스수당!$K$2),1),1),$O$14:$O$3113,"노쇼")</f>
        <v>0</v>
      </c>
      <c r="C7" s="15"/>
      <c r="D7" s="16" t="s">
        <v>9</v>
      </c>
      <c r="E7" s="100">
        <f>COUNTIFS($B$14:$B$3113,"&gt;="&amp;DATE(YEAR(설정_코스수당!$K$2),MONTH(설정_코스수당!$K$2),1),$B$14:$B$3113,"&lt;"&amp;EDATE(DATE(YEAR(설정_코스수당!$K$2),MONTH(설정_코스수당!$K$2),1),1),$E$14:$E$3113,"B",$O$14:$O$3113,"방문완료")</f>
        <v>0</v>
      </c>
      <c r="G7" s="16" t="s">
        <v>36</v>
      </c>
      <c r="H7" s="101">
        <f>SUMIFS($K$14:$K$3113,$B$14:$B$3113,"&gt;="&amp;DATE(YEAR(설정_코스수당!$K$2),MONTH(설정_코스수당!$K$2),1),$B$14:$B$3113,"&lt;"&amp;EDATE(DATE(YEAR(설정_코스수당!$K$2),MONTH(설정_코스수당!$K$2),1),1),$O$14:$O$3113,"방문완료")+SUMIFS($L$14:$L$3113,$B$14:$B$3113,"&gt;="&amp;DATE(YEAR(설정_코스수당!$K$2),MONTH(설정_코스수당!$K$2),1),$B$14:$B$3113,"&lt;"&amp;EDATE(DATE(YEAR(설정_코스수당!$K$2),MONTH(설정_코스수당!$K$2),1),1),$O$14:$O$3113,"방문완료")</f>
        <v>0</v>
      </c>
      <c r="J7" s="129"/>
      <c r="K7" s="129"/>
      <c r="L7" s="129"/>
      <c r="M7" s="129"/>
      <c r="N7" s="129"/>
      <c r="O7" s="129"/>
      <c r="P7" s="129"/>
      <c r="Q7" s="129"/>
      <c r="R7" s="129"/>
      <c r="S7" s="129"/>
    </row>
    <row r="8" spans="1:27" ht="19.5" customHeight="1">
      <c r="A8" s="16" t="s">
        <v>16</v>
      </c>
      <c r="B8" s="100">
        <f>COUNTIFS($B$14:$B$3113,"&gt;="&amp;DATE(YEAR(설정_코스수당!$K$2),MONTH(설정_코스수당!$K$2),1),$B$14:$B$3113,"&lt;"&amp;EDATE(DATE(YEAR(설정_코스수당!$K$2),MONTH(설정_코스수당!$K$2),1),1),$O$14:$O$3113,"취소")</f>
        <v>0</v>
      </c>
      <c r="C8" s="15"/>
      <c r="D8" s="16" t="s">
        <v>12</v>
      </c>
      <c r="E8" s="100">
        <f>COUNTIFS($B$14:$B$3113,"&gt;="&amp;DATE(YEAR(설정_코스수당!$K$2),MONTH(설정_코스수당!$K$2),1),$B$14:$B$3113,"&lt;"&amp;EDATE(DATE(YEAR(설정_코스수당!$K$2),MONTH(설정_코스수당!$K$2),1),1),$E$14:$E$3113,"C",$O$14:$O$3113,"방문완료")</f>
        <v>0</v>
      </c>
      <c r="G8" s="16" t="s">
        <v>37</v>
      </c>
      <c r="H8" s="101">
        <f>SUMIFS($M$14:$M$3113,$B$14:$B$3113,"&gt;="&amp;DATE(YEAR(설정_코스수당!$K$2),MONTH(설정_코스수당!$K$2),1),$B$14:$B$3113,"&lt;"&amp;EDATE(DATE(YEAR(설정_코스수당!$K$2),MONTH(설정_코스수당!$K$2),1),1),$O$14:$O$3113,"방문완료")</f>
        <v>0</v>
      </c>
      <c r="J8" s="129"/>
      <c r="K8" s="129"/>
      <c r="L8" s="129"/>
      <c r="M8" s="129"/>
      <c r="N8" s="129"/>
      <c r="O8" s="129"/>
      <c r="P8" s="129"/>
      <c r="Q8" s="129"/>
      <c r="R8" s="129"/>
      <c r="S8" s="129"/>
    </row>
    <row r="9" spans="1:27" ht="19.5" customHeight="1">
      <c r="A9" s="16" t="s">
        <v>38</v>
      </c>
      <c r="B9" s="100">
        <f>COUNTIFS($B$14:$B$3113,"&gt;="&amp;DATE(YEAR(설정_코스수당!$K$2),MONTH(설정_코스수당!$K$2),1),$B$14:$B$3113,"&lt;"&amp;EDATE(DATE(YEAR(설정_코스수당!$K$2),MONTH(설정_코스수당!$K$2),1),1),$G$14:$G$3113,"&lt;&gt;",$O$14:$O$3113,"방문완료")+COUNTIFS($B$14:$B$3113,"&gt;="&amp;DATE(YEAR(설정_코스수당!$K$2),MONTH(설정_코스수당!$K$2),1),$B$14:$B$3113,"&lt;"&amp;EDATE(DATE(YEAR(설정_코스수당!$K$2),MONTH(설정_코스수당!$K$2),1),1),$H$14:$H$3113,"&lt;&gt;",$O$14:$O$3113,"방문완료")</f>
        <v>0</v>
      </c>
      <c r="C9" s="15"/>
      <c r="D9" s="16" t="s">
        <v>15</v>
      </c>
      <c r="E9" s="100">
        <f>COUNTIFS($B$14:$B$3113,"&gt;="&amp;DATE(YEAR(설정_코스수당!$K$2),MONTH(설정_코스수당!$K$2),1),$B$14:$B$3113,"&lt;"&amp;EDATE(DATE(YEAR(설정_코스수당!$K$2),MONTH(설정_코스수당!$K$2),1),1),$E$14:$E$3113,"D",$O$14:$O$3113,"방문완료")</f>
        <v>0</v>
      </c>
      <c r="G9" s="16" t="s">
        <v>39</v>
      </c>
      <c r="H9" s="102">
        <f>COUNTIFS($B$14:$B$3113,"&gt;="&amp;DATE(YEAR(설정_코스수당!$K$2),MONTH(설정_코스수당!$K$2),1),$B$14:$B$3113,"&lt;"&amp;EDATE(DATE(YEAR(설정_코스수당!$K$2),MONTH(설정_코스수당!$K$2),1),1),$O$14:$O$3113,"방문완료",$P$14:$P$3113,"&lt;&gt;",$P$14:$P$3113,"&lt;&gt;없음")*100000</f>
        <v>0</v>
      </c>
      <c r="P9" s="14"/>
    </row>
    <row r="10" spans="1:27" ht="19.5" customHeight="1">
      <c r="A10" s="16"/>
      <c r="B10" s="100"/>
      <c r="C10" s="15"/>
      <c r="D10" s="16" t="s">
        <v>18</v>
      </c>
      <c r="E10" s="100">
        <f>COUNTIFS($B$14:$B$3113,"&gt;="&amp;DATE(YEAR(설정_코스수당!$K$2),MONTH(설정_코스수당!$K$2),1),$B$14:$B$3113,"&lt;"&amp;EDATE(DATE(YEAR(설정_코스수당!$K$2),MONTH(설정_코스수당!$K$2),1),1),$E$14:$E$3113,"E",$O$14:$O$3113,"방문완료")</f>
        <v>0</v>
      </c>
      <c r="G10" s="16" t="s">
        <v>40</v>
      </c>
      <c r="H10" s="103">
        <f>SUM($U$25:$U$32,$U$128:$U$135,$U$231:$U$238,$U$334:$U$341,$U$437:$U$444,$U$540:$U$547,$U$643:$U$650,$U$746:$U$753,$U$849:$U$856,$U$952:$U$959,$U$1055:$U$1062,$U$1158:$U$1165,$U$1261:$U$1268,$U$1364:$U$1371,$U$1467:$U$1474,$U$1570:$U$1577,$U$1673:$U$1680,$U$1776:$U$1783,$U$1879:$U$1886,$U$1982:$U$1989,$U$2085:$U$2092,$U$2188:$U$2195,$U$2291:$U$2298,$U$2394:$U$2401,$U$2497:$U$2504,$U$2600:$U$2607,$U$2703:$U$2710,$U$2806:$U$2813,$U$2909:$U$2916,$U$3012:$U$3019,$U$3115:$U$3122)</f>
        <v>0</v>
      </c>
      <c r="P10" s="14"/>
    </row>
    <row r="11" spans="1:27" ht="19.5" customHeight="1">
      <c r="A11" s="133" t="str">
        <f>"계 : "&amp;TEXT(H6-H7-H8-H9-H10,"#,##0")&amp;" 동"</f>
        <v>계 : 0 동</v>
      </c>
      <c r="B11" s="127"/>
      <c r="C11" s="127"/>
      <c r="D11" s="127"/>
      <c r="E11" s="127"/>
      <c r="F11" s="127"/>
      <c r="G11" s="127"/>
      <c r="H11" s="125"/>
      <c r="P11" s="14"/>
    </row>
    <row r="12" spans="1:27" ht="21" customHeight="1">
      <c r="A12" s="123" t="str">
        <f>IF(1&lt;=DAY(DATE(YEAR(설정_코스수당!$K$2),MONTH(설정_코스수당!$K$2)+1,0)),TEXT(DATE(YEAR(설정_코스수당!$K$2),MONTH(설정_코스수당!$K$2),1),"yyyy-mm-dd")&amp;"  |  예약관리 100슬롯","")</f>
        <v>2026-06-01  |  예약관리 100슬롯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ht="19.5" customHeight="1" outlineLevel="1">
      <c r="A13" s="20" t="s">
        <v>41</v>
      </c>
      <c r="B13" s="20" t="s">
        <v>42</v>
      </c>
      <c r="C13" s="21" t="s">
        <v>43</v>
      </c>
      <c r="D13" s="22" t="s">
        <v>44</v>
      </c>
      <c r="E13" s="22" t="s">
        <v>45</v>
      </c>
      <c r="F13" s="20" t="s">
        <v>46</v>
      </c>
      <c r="G13" s="22" t="s">
        <v>47</v>
      </c>
      <c r="H13" s="20" t="s">
        <v>48</v>
      </c>
      <c r="I13" s="20" t="s">
        <v>49</v>
      </c>
      <c r="J13" s="20" t="s">
        <v>50</v>
      </c>
      <c r="K13" s="20" t="s">
        <v>51</v>
      </c>
      <c r="L13" s="20" t="s">
        <v>52</v>
      </c>
      <c r="M13" s="20" t="s">
        <v>53</v>
      </c>
      <c r="N13" s="20" t="s">
        <v>54</v>
      </c>
      <c r="O13" s="22" t="s">
        <v>55</v>
      </c>
      <c r="P13" s="20" t="s">
        <v>56</v>
      </c>
      <c r="Q13" s="20" t="s">
        <v>57</v>
      </c>
      <c r="R13" s="20" t="s">
        <v>58</v>
      </c>
      <c r="S13" s="20" t="s">
        <v>59</v>
      </c>
      <c r="U13" s="122" t="str">
        <f>IF(1&lt;=DAY(DATE(YEAR(설정_코스수당!$K$2),MONTH(설정_코스수당!$K$2)+1,0)),TEXT(DATE(YEAR(설정_코스수당!$K$2),MONTH(설정_코스수당!$K$2),1),"yyyy-mm-dd")&amp;" 일일 상태","")</f>
        <v>2026-06-01 일일 상태</v>
      </c>
      <c r="V13" s="125"/>
      <c r="W13" s="122" t="s">
        <v>3</v>
      </c>
      <c r="X13" s="125"/>
    </row>
    <row r="14" spans="1:27" ht="19.5" customHeight="1" outlineLevel="1">
      <c r="A14" s="23">
        <v>1</v>
      </c>
      <c r="B14" s="24">
        <f>IF(1&lt;=DAY(DATE(YEAR(설정_코스수당!$K$2),MONTH(설정_코스수당!$K$2)+1,0)),DATE(YEAR(설정_코스수당!$K$2),MONTH(설정_코스수당!$K$2),1),"")</f>
        <v>46174</v>
      </c>
      <c r="C14" s="25"/>
      <c r="D14" s="23"/>
      <c r="E14" s="23"/>
      <c r="F14" s="26"/>
      <c r="G14" s="23"/>
      <c r="H14" s="23"/>
      <c r="I14" s="23"/>
      <c r="J14" s="27">
        <f>IF($O14="방문완료",MAX(0,IFERROR(VLOOKUP($E14,설정_코스수당!$A$6:$H$10,4,FALSE),0)-IF(OR($P14="",$P14="없음"),0,100000)),0)</f>
        <v>0</v>
      </c>
      <c r="K14" s="27">
        <f t="array" ref="K14">IF($O14="방문완료",IFERROR(INDEX(설정_코스수당!$B$15:$F$64,MATCH($G14,설정_코스수당!$A$15:$A$64,0),MATCH($E14&amp;"수당",설정_코스수당!$B$14:$F$14,0)),0),0)</f>
        <v>0</v>
      </c>
      <c r="L14" s="27">
        <f t="array" ref="L14">IF($O14="방문완료",IF($H14="",0,IFERROR(INDEX(설정_코스수당!$B$15:$F$64,MATCH($H14,설정_코스수당!$A$15:$A$64,0),MATCH($E14&amp;"수당",설정_코스수당!$B$14:$F$14,0)),0)),0)</f>
        <v>0</v>
      </c>
      <c r="M14" s="27">
        <f>IF($O14="방문완료",IFERROR(VLOOKUP($E14,설정_코스수당!$A$6:$H$10,6,FALSE),0),0)</f>
        <v>0</v>
      </c>
      <c r="N14" s="28">
        <f t="shared" ref="N14:N45" si="0">IF($O14="방문완료",1,0)</f>
        <v>0</v>
      </c>
      <c r="O14" s="23"/>
      <c r="P14" s="23"/>
      <c r="Q14" s="23"/>
      <c r="R14" s="26"/>
      <c r="S14" s="23"/>
      <c r="U14" s="104" t="s">
        <v>63</v>
      </c>
      <c r="V14" s="105">
        <f>IF(1&lt;=DAY(DATE(YEAR(설정_코스수당!$K$2),MONTH(설정_코스수당!$K$2)+1,0)),COUNTIFS($B:$B,DATE(YEAR(설정_코스수당!$K$2),MONTH(설정_코스수당!$K$2),1),$O:$O,"&lt;&gt;"),"")</f>
        <v>0</v>
      </c>
      <c r="W14" s="104" t="s">
        <v>6</v>
      </c>
      <c r="X14" s="105">
        <f>IF(1&lt;=DAY(DATE(YEAR(설정_코스수당!$K$2),MONTH(설정_코스수당!$K$2)+1,0)),COUNTIFS($B:$B,DATE(YEAR(설정_코스수당!$K$2),MONTH(설정_코스수당!$K$2),1),$E:$E,"A",$O:$O,"방문완료"),"")</f>
        <v>0</v>
      </c>
    </row>
    <row r="15" spans="1:27" ht="19.5" customHeight="1" outlineLevel="1">
      <c r="A15" s="29">
        <v>2</v>
      </c>
      <c r="B15" s="30">
        <f>IF(1&lt;=DAY(DATE(YEAR(설정_코스수당!$K$2),MONTH(설정_코스수당!$K$2)+1,0)),DATE(YEAR(설정_코스수당!$K$2),MONTH(설정_코스수당!$K$2),1),"")</f>
        <v>46174</v>
      </c>
      <c r="C15" s="31"/>
      <c r="D15" s="29"/>
      <c r="E15" s="29"/>
      <c r="F15" s="32"/>
      <c r="G15" s="29"/>
      <c r="H15" s="29"/>
      <c r="I15" s="29"/>
      <c r="J15" s="33">
        <f>IF($O15="방문완료",MAX(0,IFERROR(VLOOKUP($E15,설정_코스수당!$A$6:$H$10,4,FALSE),0)-IF(OR($P15="",$P15="없음"),0,100000)),0)</f>
        <v>0</v>
      </c>
      <c r="K15" s="33">
        <f t="array" ref="K15">IF($O15="방문완료",IFERROR(INDEX(설정_코스수당!$B$15:$F$64,MATCH($G15,설정_코스수당!$A$15:$A$64,0),MATCH($E15&amp;"수당",설정_코스수당!$B$14:$F$14,0)),0),0)</f>
        <v>0</v>
      </c>
      <c r="L15" s="33">
        <f t="array" ref="L15">IF($O15="방문완료",IF($H15="",0,IFERROR(INDEX(설정_코스수당!$B$15:$F$64,MATCH($H15,설정_코스수당!$A$15:$A$64,0),MATCH($E15&amp;"수당",설정_코스수당!$B$14:$F$14,0)),0)),0)</f>
        <v>0</v>
      </c>
      <c r="M15" s="33">
        <f>IF($O15="방문완료",IFERROR(VLOOKUP($E15,설정_코스수당!$A$6:$H$10,6,FALSE),0),0)</f>
        <v>0</v>
      </c>
      <c r="N15" s="34">
        <f t="shared" si="0"/>
        <v>0</v>
      </c>
      <c r="O15" s="29"/>
      <c r="P15" s="29"/>
      <c r="Q15" s="29"/>
      <c r="R15" s="32"/>
      <c r="S15" s="29"/>
      <c r="U15" s="104" t="s">
        <v>62</v>
      </c>
      <c r="V15" s="105">
        <f>IF(1&lt;=DAY(DATE(YEAR(설정_코스수당!$K$2),MONTH(설정_코스수당!$K$2)+1,0)),COUNTIFS($B:$B,DATE(YEAR(설정_코스수당!$K$2),MONTH(설정_코스수당!$K$2),1),$O:$O,"방문완료"),"")</f>
        <v>0</v>
      </c>
      <c r="W15" s="104" t="s">
        <v>9</v>
      </c>
      <c r="X15" s="105">
        <f>IF(1&lt;=DAY(DATE(YEAR(설정_코스수당!$K$2),MONTH(설정_코스수당!$K$2)+1,0)),COUNTIFS($B:$B,DATE(YEAR(설정_코스수당!$K$2),MONTH(설정_코스수당!$K$2),1),$E:$E,"B",$O:$O,"방문완료"),"")</f>
        <v>0</v>
      </c>
    </row>
    <row r="16" spans="1:27" ht="19.5" customHeight="1" outlineLevel="1">
      <c r="A16" s="23">
        <v>3</v>
      </c>
      <c r="B16" s="24">
        <f>IF(1&lt;=DAY(DATE(YEAR(설정_코스수당!$K$2),MONTH(설정_코스수당!$K$2)+1,0)),DATE(YEAR(설정_코스수당!$K$2),MONTH(설정_코스수당!$K$2),1),"")</f>
        <v>46174</v>
      </c>
      <c r="C16" s="25"/>
      <c r="D16" s="23"/>
      <c r="E16" s="23"/>
      <c r="F16" s="26"/>
      <c r="G16" s="23"/>
      <c r="H16" s="23"/>
      <c r="I16" s="23"/>
      <c r="J16" s="27">
        <f>IF($O16="방문완료",MAX(0,IFERROR(VLOOKUP($E16,설정_코스수당!$A$6:$H$10,4,FALSE),0)-IF(OR($P16="",$P16="없음"),0,100000)),0)</f>
        <v>0</v>
      </c>
      <c r="K16" s="27">
        <f t="array" ref="K16">IF($O16="방문완료",IFERROR(INDEX(설정_코스수당!$B$15:$F$64,MATCH($G16,설정_코스수당!$A$15:$A$64,0),MATCH($E16&amp;"수당",설정_코스수당!$B$14:$F$14,0)),0),0)</f>
        <v>0</v>
      </c>
      <c r="L16" s="27">
        <f t="array" ref="L16">IF($O16="방문완료",IF($H16="",0,IFERROR(INDEX(설정_코스수당!$B$15:$F$64,MATCH($H16,설정_코스수당!$A$15:$A$64,0),MATCH($E16&amp;"수당",설정_코스수당!$B$14:$F$14,0)),0)),0)</f>
        <v>0</v>
      </c>
      <c r="M16" s="27">
        <f>IF($O16="방문완료",IFERROR(VLOOKUP($E16,설정_코스수당!$A$6:$H$10,6,FALSE),0),0)</f>
        <v>0</v>
      </c>
      <c r="N16" s="28">
        <f t="shared" si="0"/>
        <v>0</v>
      </c>
      <c r="O16" s="23"/>
      <c r="P16" s="23"/>
      <c r="Q16" s="23"/>
      <c r="R16" s="26"/>
      <c r="S16" s="23"/>
      <c r="U16" s="104" t="s">
        <v>68</v>
      </c>
      <c r="V16" s="105" t="str">
        <f>IF(1&lt;=DAY(DATE(YEAR(설정_코스수당!$K$2),MONTH(설정_코스수당!$K$2)+1,0)),COUNTIFS($B:$B,DATE(YEAR(설정_코스수당!$K$2),MONTH(설정_코스수당!$K$2),1),$O:$O,"노쇼")&amp;"/"&amp;COUNTIFS($B:$B,DATE(YEAR(설정_코스수당!$K$2),MONTH(설정_코스수당!$K$2),1),$O:$O,"취소"),"")</f>
        <v>0/0</v>
      </c>
      <c r="W16" s="104" t="s">
        <v>12</v>
      </c>
      <c r="X16" s="105">
        <f>IF(1&lt;=DAY(DATE(YEAR(설정_코스수당!$K$2),MONTH(설정_코스수당!$K$2)+1,0)),COUNTIFS($B:$B,DATE(YEAR(설정_코스수당!$K$2),MONTH(설정_코스수당!$K$2),1),$E:$E,"C",$O:$O,"방문완료"),"")</f>
        <v>0</v>
      </c>
    </row>
    <row r="17" spans="1:24" ht="19.5" customHeight="1" outlineLevel="1">
      <c r="A17" s="29">
        <v>4</v>
      </c>
      <c r="B17" s="30">
        <f>IF(1&lt;=DAY(DATE(YEAR(설정_코스수당!$K$2),MONTH(설정_코스수당!$K$2)+1,0)),DATE(YEAR(설정_코스수당!$K$2),MONTH(설정_코스수당!$K$2),1),"")</f>
        <v>46174</v>
      </c>
      <c r="C17" s="31"/>
      <c r="D17" s="29"/>
      <c r="E17" s="29"/>
      <c r="F17" s="32"/>
      <c r="G17" s="29"/>
      <c r="H17" s="29"/>
      <c r="I17" s="29"/>
      <c r="J17" s="33">
        <f>IF($O17="방문완료",MAX(0,IFERROR(VLOOKUP($E17,설정_코스수당!$A$6:$H$10,4,FALSE),0)-IF(OR($P17="",$P17="없음"),0,100000)),0)</f>
        <v>0</v>
      </c>
      <c r="K17" s="33">
        <f t="array" ref="K17">IF($O17="방문완료",IFERROR(INDEX(설정_코스수당!$B$15:$F$64,MATCH($G17,설정_코스수당!$A$15:$A$64,0),MATCH($E17&amp;"수당",설정_코스수당!$B$14:$F$14,0)),0),0)</f>
        <v>0</v>
      </c>
      <c r="L17" s="33">
        <f t="array" ref="L17">IF($O17="방문완료",IF($H17="",0,IFERROR(INDEX(설정_코스수당!$B$15:$F$64,MATCH($H17,설정_코스수당!$A$15:$A$64,0),MATCH($E17&amp;"수당",설정_코스수당!$B$14:$F$14,0)),0)),0)</f>
        <v>0</v>
      </c>
      <c r="M17" s="33">
        <f>IF($O17="방문완료",IFERROR(VLOOKUP($E17,설정_코스수당!$A$6:$H$10,6,FALSE),0),0)</f>
        <v>0</v>
      </c>
      <c r="N17" s="34">
        <f t="shared" si="0"/>
        <v>0</v>
      </c>
      <c r="O17" s="29"/>
      <c r="P17" s="29"/>
      <c r="Q17" s="29"/>
      <c r="R17" s="32"/>
      <c r="S17" s="29"/>
      <c r="U17" s="104" t="s">
        <v>69</v>
      </c>
      <c r="V17" s="106">
        <f>IF(1&lt;=DAY(DATE(YEAR(설정_코스수당!$K$2),MONTH(설정_코스수당!$K$2)+1,0)),SUMIFS($J:$J,$B:$B,DATE(YEAR(설정_코스수당!$K$2),MONTH(설정_코스수당!$K$2),1),$O:$O,"방문완료"),"")</f>
        <v>0</v>
      </c>
      <c r="W17" s="104" t="s">
        <v>15</v>
      </c>
      <c r="X17" s="105">
        <f>IF(1&lt;=DAY(DATE(YEAR(설정_코스수당!$K$2),MONTH(설정_코스수당!$K$2)+1,0)),COUNTIFS($B:$B,DATE(YEAR(설정_코스수당!$K$2),MONTH(설정_코스수당!$K$2),1),$E:$E,"D",$O:$O,"방문완료"),"")</f>
        <v>0</v>
      </c>
    </row>
    <row r="18" spans="1:24" ht="19.5" customHeight="1" outlineLevel="1">
      <c r="A18" s="23">
        <v>5</v>
      </c>
      <c r="B18" s="24">
        <f>IF(1&lt;=DAY(DATE(YEAR(설정_코스수당!$K$2),MONTH(설정_코스수당!$K$2)+1,0)),DATE(YEAR(설정_코스수당!$K$2),MONTH(설정_코스수당!$K$2),1),"")</f>
        <v>46174</v>
      </c>
      <c r="C18" s="25"/>
      <c r="D18" s="23"/>
      <c r="E18" s="23"/>
      <c r="F18" s="26"/>
      <c r="G18" s="23"/>
      <c r="H18" s="23"/>
      <c r="I18" s="23"/>
      <c r="J18" s="27">
        <f>IF($O18="방문완료",MAX(0,IFERROR(VLOOKUP($E18,설정_코스수당!$A$6:$H$10,4,FALSE),0)-IF(OR($P18="",$P18="없음"),0,100000)),0)</f>
        <v>0</v>
      </c>
      <c r="K18" s="27">
        <f t="array" ref="K18">IF($O18="방문완료",IFERROR(INDEX(설정_코스수당!$B$15:$F$64,MATCH($G18,설정_코스수당!$A$15:$A$64,0),MATCH($E18&amp;"수당",설정_코스수당!$B$14:$F$14,0)),0),0)</f>
        <v>0</v>
      </c>
      <c r="L18" s="27">
        <f t="array" ref="L18">IF($O18="방문완료",IF($H18="",0,IFERROR(INDEX(설정_코스수당!$B$15:$F$64,MATCH($H18,설정_코스수당!$A$15:$A$64,0),MATCH($E18&amp;"수당",설정_코스수당!$B$14:$F$14,0)),0)),0)</f>
        <v>0</v>
      </c>
      <c r="M18" s="27">
        <f>IF($O18="방문완료",IFERROR(VLOOKUP($E18,설정_코스수당!$A$6:$H$10,6,FALSE),0),0)</f>
        <v>0</v>
      </c>
      <c r="N18" s="28">
        <f t="shared" si="0"/>
        <v>0</v>
      </c>
      <c r="O18" s="23"/>
      <c r="P18" s="23"/>
      <c r="Q18" s="23"/>
      <c r="R18" s="26"/>
      <c r="S18" s="23"/>
      <c r="U18" s="104" t="s">
        <v>70</v>
      </c>
      <c r="V18" s="106">
        <f>IF(1&lt;=DAY(DATE(YEAR(설정_코스수당!$K$2),MONTH(설정_코스수당!$K$2)+1,0)),SUMIFS($K:$K,$B:$B,DATE(YEAR(설정_코스수당!$K$2),MONTH(설정_코스수당!$K$2),1),$O:$O,"방문완료")+SUMIFS($L:$L,$B:$B,DATE(YEAR(설정_코스수당!$K$2),MONTH(설정_코스수당!$K$2),1),$O:$O,"방문완료"),"")</f>
        <v>0</v>
      </c>
      <c r="W18" s="104" t="s">
        <v>18</v>
      </c>
      <c r="X18" s="105">
        <f>IF(1&lt;=DAY(DATE(YEAR(설정_코스수당!$K$2),MONTH(설정_코스수당!$K$2)+1,0)),COUNTIFS($B:$B,DATE(YEAR(설정_코스수당!$K$2),MONTH(설정_코스수당!$K$2),1),$E:$E,"E",$O:$O,"방문완료"),"")</f>
        <v>0</v>
      </c>
    </row>
    <row r="19" spans="1:24" ht="19.5" customHeight="1" outlineLevel="1">
      <c r="A19" s="29">
        <v>6</v>
      </c>
      <c r="B19" s="30">
        <f>IF(1&lt;=DAY(DATE(YEAR(설정_코스수당!$K$2),MONTH(설정_코스수당!$K$2)+1,0)),DATE(YEAR(설정_코스수당!$K$2),MONTH(설정_코스수당!$K$2),1),"")</f>
        <v>46174</v>
      </c>
      <c r="C19" s="31"/>
      <c r="D19" s="29"/>
      <c r="E19" s="29"/>
      <c r="F19" s="32"/>
      <c r="G19" s="29"/>
      <c r="H19" s="29"/>
      <c r="I19" s="29"/>
      <c r="J19" s="33">
        <f>IF($O19="방문완료",MAX(0,IFERROR(VLOOKUP($E19,설정_코스수당!$A$6:$H$10,4,FALSE),0)-IF(OR($P19="",$P19="없음"),0,100000)),0)</f>
        <v>0</v>
      </c>
      <c r="K19" s="33">
        <f t="array" ref="K19">IF($O19="방문완료",IFERROR(INDEX(설정_코스수당!$B$15:$F$64,MATCH($G19,설정_코스수당!$A$15:$A$64,0),MATCH($E19&amp;"수당",설정_코스수당!$B$14:$F$14,0)),0),0)</f>
        <v>0</v>
      </c>
      <c r="L19" s="33">
        <f t="array" ref="L19">IF($O19="방문완료",IF($H19="",0,IFERROR(INDEX(설정_코스수당!$B$15:$F$64,MATCH($H19,설정_코스수당!$A$15:$A$64,0),MATCH($E19&amp;"수당",설정_코스수당!$B$14:$F$14,0)),0)),0)</f>
        <v>0</v>
      </c>
      <c r="M19" s="33">
        <f>IF($O19="방문완료",IFERROR(VLOOKUP($E19,설정_코스수당!$A$6:$H$10,6,FALSE),0),0)</f>
        <v>0</v>
      </c>
      <c r="N19" s="34">
        <f t="shared" si="0"/>
        <v>0</v>
      </c>
      <c r="O19" s="29"/>
      <c r="P19" s="29"/>
      <c r="Q19" s="29"/>
      <c r="R19" s="32"/>
      <c r="S19" s="29"/>
      <c r="U19" s="104" t="s">
        <v>53</v>
      </c>
      <c r="V19" s="106">
        <f>IF(1&lt;=DAY(DATE(YEAR(설정_코스수당!$K$2),MONTH(설정_코스수당!$K$2)+1,0)),SUMIFS($M:$M,$B:$B,DATE(YEAR(설정_코스수당!$K$2),MONTH(설정_코스수당!$K$2),1),$O:$O,"방문완료"),"")</f>
        <v>0</v>
      </c>
      <c r="W19" s="104" t="s">
        <v>71</v>
      </c>
      <c r="X19" s="107">
        <f>IF(1&lt;=DAY(DATE(YEAR(설정_코스수당!$K$2),MONTH(설정_코스수당!$K$2)+1,0)),COUNTIFS($B:$B,DATE(YEAR(설정_코스수당!$K$2),MONTH(설정_코스수당!$K$2),1),$O:$O,"방문완료",$P:$P,"&lt;&gt;",$P:$P,"&lt;&gt;없음"),"")</f>
        <v>0</v>
      </c>
    </row>
    <row r="20" spans="1:24" ht="19.5" customHeight="1" outlineLevel="1">
      <c r="A20" s="23">
        <v>7</v>
      </c>
      <c r="B20" s="24">
        <f>IF(1&lt;=DAY(DATE(YEAR(설정_코스수당!$K$2),MONTH(설정_코스수당!$K$2)+1,0)),DATE(YEAR(설정_코스수당!$K$2),MONTH(설정_코스수당!$K$2),1),"")</f>
        <v>46174</v>
      </c>
      <c r="C20" s="25"/>
      <c r="D20" s="23"/>
      <c r="E20" s="23"/>
      <c r="F20" s="26"/>
      <c r="G20" s="23"/>
      <c r="H20" s="23"/>
      <c r="I20" s="23"/>
      <c r="J20" s="27">
        <f>IF($O20="방문완료",MAX(0,IFERROR(VLOOKUP($E20,설정_코스수당!$A$6:$H$10,4,FALSE),0)-IF(OR($P20="",$P20="없음"),0,100000)),0)</f>
        <v>0</v>
      </c>
      <c r="K20" s="27">
        <f t="array" ref="K20">IF($O20="방문완료",IFERROR(INDEX(설정_코스수당!$B$15:$F$64,MATCH($G20,설정_코스수당!$A$15:$A$64,0),MATCH($E20&amp;"수당",설정_코스수당!$B$14:$F$14,0)),0),0)</f>
        <v>0</v>
      </c>
      <c r="L20" s="27">
        <f t="array" ref="L20">IF($O20="방문완료",IF($H20="",0,IFERROR(INDEX(설정_코스수당!$B$15:$F$64,MATCH($H20,설정_코스수당!$A$15:$A$64,0),MATCH($E20&amp;"수당",설정_코스수당!$B$14:$F$14,0)),0)),0)</f>
        <v>0</v>
      </c>
      <c r="M20" s="27">
        <f>IF($O20="방문완료",IFERROR(VLOOKUP($E20,설정_코스수당!$A$6:$H$10,6,FALSE),0),0)</f>
        <v>0</v>
      </c>
      <c r="N20" s="28">
        <f t="shared" si="0"/>
        <v>0</v>
      </c>
      <c r="O20" s="23"/>
      <c r="P20" s="23"/>
      <c r="Q20" s="23"/>
      <c r="R20" s="26"/>
      <c r="S20" s="23"/>
      <c r="U20" s="104" t="s">
        <v>72</v>
      </c>
      <c r="V20" s="108">
        <f>IF(1&lt;=DAY(DATE(YEAR(설정_코스수당!$K$2),MONTH(설정_코스수당!$K$2)+1,0)),COUNTIFS($B:$B,DATE(YEAR(설정_코스수당!$K$2),MONTH(설정_코스수당!$K$2),1),$O:$O,"방문완료",$P:$P,"&lt;&gt;",$P:$P,"&lt;&gt;없음")*100000,"")</f>
        <v>0</v>
      </c>
      <c r="W20" s="104" t="s">
        <v>73</v>
      </c>
      <c r="X20" s="105">
        <f>IF(1&lt;=DAY(DATE(YEAR(설정_코스수당!$K$2),MONTH(설정_코스수당!$K$2)+1,0)),COUNTIFS($B:$B,DATE(YEAR(설정_코스수당!$K$2),MONTH(설정_코스수당!$K$2),1),$G:$G,"&lt;&gt;",$O:$O,"방문완료")+COUNTIFS($B:$B,DATE(YEAR(설정_코스수당!$K$2),MONTH(설정_코스수당!$K$2),1),$H:$H,"&lt;&gt;",$O:$O,"방문완료"),"")</f>
        <v>0</v>
      </c>
    </row>
    <row r="21" spans="1:24" ht="19.5" customHeight="1" outlineLevel="1">
      <c r="A21" s="29">
        <v>8</v>
      </c>
      <c r="B21" s="30">
        <f>IF(1&lt;=DAY(DATE(YEAR(설정_코스수당!$K$2),MONTH(설정_코스수당!$K$2)+1,0)),DATE(YEAR(설정_코스수당!$K$2),MONTH(설정_코스수당!$K$2),1),"")</f>
        <v>46174</v>
      </c>
      <c r="C21" s="31"/>
      <c r="D21" s="29"/>
      <c r="E21" s="29"/>
      <c r="F21" s="32"/>
      <c r="G21" s="29"/>
      <c r="H21" s="29"/>
      <c r="I21" s="29"/>
      <c r="J21" s="33">
        <f>IF($O21="방문완료",MAX(0,IFERROR(VLOOKUP($E21,설정_코스수당!$A$6:$H$10,4,FALSE),0)-IF(OR($P21="",$P21="없음"),0,100000)),0)</f>
        <v>0</v>
      </c>
      <c r="K21" s="33">
        <f t="array" ref="K21">IF($O21="방문완료",IFERROR(INDEX(설정_코스수당!$B$15:$F$64,MATCH($G21,설정_코스수당!$A$15:$A$64,0),MATCH($E21&amp;"수당",설정_코스수당!$B$14:$F$14,0)),0),0)</f>
        <v>0</v>
      </c>
      <c r="L21" s="33">
        <f t="array" ref="L21">IF($O21="방문완료",IF($H21="",0,IFERROR(INDEX(설정_코스수당!$B$15:$F$64,MATCH($H21,설정_코스수당!$A$15:$A$64,0),MATCH($E21&amp;"수당",설정_코스수당!$B$14:$F$14,0)),0)),0)</f>
        <v>0</v>
      </c>
      <c r="M21" s="33">
        <f>IF($O21="방문완료",IFERROR(VLOOKUP($E21,설정_코스수당!$A$6:$H$10,6,FALSE),0),0)</f>
        <v>0</v>
      </c>
      <c r="N21" s="34">
        <f t="shared" si="0"/>
        <v>0</v>
      </c>
      <c r="O21" s="29"/>
      <c r="P21" s="29"/>
      <c r="Q21" s="29"/>
      <c r="R21" s="32"/>
      <c r="S21" s="29"/>
      <c r="U21" s="104" t="s">
        <v>74</v>
      </c>
      <c r="V21" s="108">
        <f>IF(1&lt;=DAY(DATE(YEAR(설정_코스수당!$K$2),MONTH(설정_코스수당!$K$2)+1,0)),SUM($U$25:$U$32),"")</f>
        <v>0</v>
      </c>
      <c r="W21" s="122" t="str">
        <f>IF(1&lt;=DAY(DATE(YEAR(설정_코스수당!$K$2),MONTH(설정_코스수당!$K$2)+1,0)),"계 : "&amp;TEXT(V17-V18-V19-V20-V21,"#,##0")&amp;" 동","")</f>
        <v>계 : 0 동</v>
      </c>
      <c r="X21" s="122"/>
    </row>
    <row r="22" spans="1:24" ht="19.5" customHeight="1" outlineLevel="1">
      <c r="A22" s="23">
        <v>9</v>
      </c>
      <c r="B22" s="24">
        <f>IF(1&lt;=DAY(DATE(YEAR(설정_코스수당!$K$2),MONTH(설정_코스수당!$K$2)+1,0)),DATE(YEAR(설정_코스수당!$K$2),MONTH(설정_코스수당!$K$2),1),"")</f>
        <v>46174</v>
      </c>
      <c r="C22" s="25"/>
      <c r="D22" s="23"/>
      <c r="E22" s="23"/>
      <c r="F22" s="26"/>
      <c r="G22" s="23"/>
      <c r="H22" s="23"/>
      <c r="I22" s="23"/>
      <c r="J22" s="27">
        <f>IF($O22="방문완료",MAX(0,IFERROR(VLOOKUP($E22,설정_코스수당!$A$6:$H$10,4,FALSE),0)-IF(OR($P22="",$P22="없음"),0,100000)),0)</f>
        <v>0</v>
      </c>
      <c r="K22" s="27">
        <f t="array" ref="K22">IF($O22="방문완료",IFERROR(INDEX(설정_코스수당!$B$15:$F$64,MATCH($G22,설정_코스수당!$A$15:$A$64,0),MATCH($E22&amp;"수당",설정_코스수당!$B$14:$F$14,0)),0),0)</f>
        <v>0</v>
      </c>
      <c r="L22" s="27">
        <f t="array" ref="L22">IF($O22="방문완료",IF($H22="",0,IFERROR(INDEX(설정_코스수당!$B$15:$F$64,MATCH($H22,설정_코스수당!$A$15:$A$64,0),MATCH($E22&amp;"수당",설정_코스수당!$B$14:$F$14,0)),0)),0)</f>
        <v>0</v>
      </c>
      <c r="M22" s="27">
        <f>IF($O22="방문완료",IFERROR(VLOOKUP($E22,설정_코스수당!$A$6:$H$10,6,FALSE),0),0)</f>
        <v>0</v>
      </c>
      <c r="N22" s="28">
        <f t="shared" si="0"/>
        <v>0</v>
      </c>
      <c r="O22" s="23"/>
      <c r="P22" s="23"/>
      <c r="Q22" s="23"/>
      <c r="R22" s="26"/>
      <c r="S22" s="23"/>
      <c r="U22" s="18"/>
    </row>
    <row r="23" spans="1:24" ht="19.5" customHeight="1" outlineLevel="1">
      <c r="A23" s="29">
        <v>10</v>
      </c>
      <c r="B23" s="30">
        <f>IF(1&lt;=DAY(DATE(YEAR(설정_코스수당!$K$2),MONTH(설정_코스수당!$K$2)+1,0)),DATE(YEAR(설정_코스수당!$K$2),MONTH(설정_코스수당!$K$2),1),"")</f>
        <v>46174</v>
      </c>
      <c r="C23" s="31"/>
      <c r="D23" s="29"/>
      <c r="E23" s="29"/>
      <c r="F23" s="32"/>
      <c r="G23" s="29"/>
      <c r="H23" s="29"/>
      <c r="I23" s="29"/>
      <c r="J23" s="33">
        <f>IF($O23="방문완료",MAX(0,IFERROR(VLOOKUP($E23,설정_코스수당!$A$6:$H$10,4,FALSE),0)-IF(OR($P23="",$P23="없음"),0,100000)),0)</f>
        <v>0</v>
      </c>
      <c r="K23" s="33">
        <f t="array" ref="K23">IF($O23="방문완료",IFERROR(INDEX(설정_코스수당!$B$15:$F$64,MATCH($G23,설정_코스수당!$A$15:$A$64,0),MATCH($E23&amp;"수당",설정_코스수당!$B$14:$F$14,0)),0),0)</f>
        <v>0</v>
      </c>
      <c r="L23" s="33">
        <f t="array" ref="L23">IF($O23="방문완료",IF($H23="",0,IFERROR(INDEX(설정_코스수당!$B$15:$F$64,MATCH($H23,설정_코스수당!$A$15:$A$64,0),MATCH($E23&amp;"수당",설정_코스수당!$B$14:$F$14,0)),0)),0)</f>
        <v>0</v>
      </c>
      <c r="M23" s="33">
        <f>IF($O23="방문완료",IFERROR(VLOOKUP($E23,설정_코스수당!$A$6:$H$10,6,FALSE),0),0)</f>
        <v>0</v>
      </c>
      <c r="N23" s="34">
        <f t="shared" si="0"/>
        <v>0</v>
      </c>
      <c r="O23" s="29"/>
      <c r="P23" s="29"/>
      <c r="Q23" s="29"/>
      <c r="R23" s="32"/>
      <c r="S23" s="29"/>
      <c r="U23" s="120" t="s">
        <v>75</v>
      </c>
      <c r="V23" s="121"/>
      <c r="W23" s="121"/>
      <c r="X23" s="121"/>
    </row>
    <row r="24" spans="1:24" ht="19.5" customHeight="1" outlineLevel="1">
      <c r="A24" s="23">
        <v>11</v>
      </c>
      <c r="B24" s="24">
        <f>IF(1&lt;=DAY(DATE(YEAR(설정_코스수당!$K$2),MONTH(설정_코스수당!$K$2)+1,0)),DATE(YEAR(설정_코스수당!$K$2),MONTH(설정_코스수당!$K$2),1),"")</f>
        <v>46174</v>
      </c>
      <c r="C24" s="25"/>
      <c r="D24" s="23"/>
      <c r="E24" s="23"/>
      <c r="F24" s="26"/>
      <c r="G24" s="23"/>
      <c r="H24" s="23"/>
      <c r="I24" s="23"/>
      <c r="J24" s="27">
        <f>IF($O24="방문완료",MAX(0,IFERROR(VLOOKUP($E24,설정_코스수당!$A$6:$H$10,4,FALSE),0)-IF(OR($P24="",$P24="없음"),0,100000)),0)</f>
        <v>0</v>
      </c>
      <c r="K24" s="27">
        <f t="array" ref="K24">IF($O24="방문완료",IFERROR(INDEX(설정_코스수당!$B$15:$F$64,MATCH($G24,설정_코스수당!$A$15:$A$64,0),MATCH($E24&amp;"수당",설정_코스수당!$B$14:$F$14,0)),0),0)</f>
        <v>0</v>
      </c>
      <c r="L24" s="27">
        <f t="array" ref="L24">IF($O24="방문완료",IF($H24="",0,IFERROR(INDEX(설정_코스수당!$B$15:$F$64,MATCH($H24,설정_코스수당!$A$15:$A$64,0),MATCH($E24&amp;"수당",설정_코스수당!$B$14:$F$14,0)),0)),0)</f>
        <v>0</v>
      </c>
      <c r="M24" s="27">
        <f>IF($O24="방문완료",IFERROR(VLOOKUP($E24,설정_코스수당!$A$6:$H$10,6,FALSE),0),0)</f>
        <v>0</v>
      </c>
      <c r="N24" s="28">
        <f t="shared" si="0"/>
        <v>0</v>
      </c>
      <c r="O24" s="23"/>
      <c r="P24" s="23"/>
      <c r="Q24" s="23"/>
      <c r="R24" s="26"/>
      <c r="S24" s="23"/>
      <c r="U24" s="109" t="s">
        <v>76</v>
      </c>
      <c r="V24" s="109" t="s">
        <v>77</v>
      </c>
      <c r="W24" s="109" t="s">
        <v>78</v>
      </c>
      <c r="X24" s="109" t="s">
        <v>58</v>
      </c>
    </row>
    <row r="25" spans="1:24" ht="19.5" customHeight="1" outlineLevel="1">
      <c r="A25" s="29">
        <v>12</v>
      </c>
      <c r="B25" s="30">
        <f>IF(1&lt;=DAY(DATE(YEAR(설정_코스수당!$K$2),MONTH(설정_코스수당!$K$2)+1,0)),DATE(YEAR(설정_코스수당!$K$2),MONTH(설정_코스수당!$K$2),1),"")</f>
        <v>46174</v>
      </c>
      <c r="C25" s="31"/>
      <c r="D25" s="29"/>
      <c r="E25" s="29"/>
      <c r="F25" s="32"/>
      <c r="G25" s="29"/>
      <c r="H25" s="29"/>
      <c r="I25" s="29"/>
      <c r="J25" s="33">
        <f>IF($O25="방문완료",MAX(0,IFERROR(VLOOKUP($E25,설정_코스수당!$A$6:$H$10,4,FALSE),0)-IF(OR($P25="",$P25="없음"),0,100000)),0)</f>
        <v>0</v>
      </c>
      <c r="K25" s="33">
        <f t="array" ref="K25">IF($O25="방문완료",IFERROR(INDEX(설정_코스수당!$B$15:$F$64,MATCH($G25,설정_코스수당!$A$15:$A$64,0),MATCH($E25&amp;"수당",설정_코스수당!$B$14:$F$14,0)),0),0)</f>
        <v>0</v>
      </c>
      <c r="L25" s="33">
        <f t="array" ref="L25">IF($O25="방문완료",IF($H25="",0,IFERROR(INDEX(설정_코스수당!$B$15:$F$64,MATCH($H25,설정_코스수당!$A$15:$A$64,0),MATCH($E25&amp;"수당",설정_코스수당!$B$14:$F$14,0)),0)),0)</f>
        <v>0</v>
      </c>
      <c r="M25" s="33">
        <f>IF($O25="방문완료",IFERROR(VLOOKUP($E25,설정_코스수당!$A$6:$H$10,6,FALSE),0),0)</f>
        <v>0</v>
      </c>
      <c r="N25" s="34">
        <f t="shared" si="0"/>
        <v>0</v>
      </c>
      <c r="O25" s="29"/>
      <c r="P25" s="29"/>
      <c r="Q25" s="29"/>
      <c r="R25" s="32"/>
      <c r="S25" s="29"/>
      <c r="U25" s="110"/>
      <c r="V25" s="111"/>
      <c r="W25" s="112"/>
      <c r="X25" s="111"/>
    </row>
    <row r="26" spans="1:24" ht="19.5" customHeight="1" outlineLevel="1">
      <c r="A26" s="23">
        <v>13</v>
      </c>
      <c r="B26" s="24">
        <f>IF(1&lt;=DAY(DATE(YEAR(설정_코스수당!$K$2),MONTH(설정_코스수당!$K$2)+1,0)),DATE(YEAR(설정_코스수당!$K$2),MONTH(설정_코스수당!$K$2),1),"")</f>
        <v>46174</v>
      </c>
      <c r="C26" s="25"/>
      <c r="D26" s="23"/>
      <c r="E26" s="23"/>
      <c r="F26" s="26"/>
      <c r="G26" s="23"/>
      <c r="H26" s="23"/>
      <c r="I26" s="23"/>
      <c r="J26" s="27">
        <f>IF($O26="방문완료",MAX(0,IFERROR(VLOOKUP($E26,설정_코스수당!$A$6:$H$10,4,FALSE),0)-IF(OR($P26="",$P26="없음"),0,100000)),0)</f>
        <v>0</v>
      </c>
      <c r="K26" s="27">
        <f t="array" ref="K26">IF($O26="방문완료",IFERROR(INDEX(설정_코스수당!$B$15:$F$64,MATCH($G26,설정_코스수당!$A$15:$A$64,0),MATCH($E26&amp;"수당",설정_코스수당!$B$14:$F$14,0)),0),0)</f>
        <v>0</v>
      </c>
      <c r="L26" s="27">
        <f t="array" ref="L26">IF($O26="방문완료",IF($H26="",0,IFERROR(INDEX(설정_코스수당!$B$15:$F$64,MATCH($H26,설정_코스수당!$A$15:$A$64,0),MATCH($E26&amp;"수당",설정_코스수당!$B$14:$F$14,0)),0)),0)</f>
        <v>0</v>
      </c>
      <c r="M26" s="27">
        <f>IF($O26="방문완료",IFERROR(VLOOKUP($E26,설정_코스수당!$A$6:$H$10,6,FALSE),0),0)</f>
        <v>0</v>
      </c>
      <c r="N26" s="28">
        <f t="shared" si="0"/>
        <v>0</v>
      </c>
      <c r="O26" s="23"/>
      <c r="P26" s="23"/>
      <c r="Q26" s="23"/>
      <c r="R26" s="26"/>
      <c r="S26" s="23"/>
      <c r="U26" s="110"/>
      <c r="V26" s="111"/>
      <c r="W26" s="112"/>
      <c r="X26" s="111"/>
    </row>
    <row r="27" spans="1:24" ht="19.5" customHeight="1" outlineLevel="1">
      <c r="A27" s="29">
        <v>14</v>
      </c>
      <c r="B27" s="30">
        <f>IF(1&lt;=DAY(DATE(YEAR(설정_코스수당!$K$2),MONTH(설정_코스수당!$K$2)+1,0)),DATE(YEAR(설정_코스수당!$K$2),MONTH(설정_코스수당!$K$2),1),"")</f>
        <v>46174</v>
      </c>
      <c r="C27" s="35"/>
      <c r="D27" s="29"/>
      <c r="E27" s="29"/>
      <c r="F27" s="32"/>
      <c r="G27" s="29"/>
      <c r="H27" s="29"/>
      <c r="I27" s="29"/>
      <c r="J27" s="33">
        <f>IF($O27="방문완료",MAX(0,IFERROR(VLOOKUP($E27,설정_코스수당!$A$6:$H$10,4,FALSE),0)-IF(OR($P27="",$P27="없음"),0,100000)),0)</f>
        <v>0</v>
      </c>
      <c r="K27" s="33">
        <f t="array" ref="K27">IF($O27="방문완료",IFERROR(INDEX(설정_코스수당!$B$15:$F$64,MATCH($G27,설정_코스수당!$A$15:$A$64,0),MATCH($E27&amp;"수당",설정_코스수당!$B$14:$F$14,0)),0),0)</f>
        <v>0</v>
      </c>
      <c r="L27" s="33">
        <f t="array" ref="L27">IF($O27="방문완료",IF($H27="",0,IFERROR(INDEX(설정_코스수당!$B$15:$F$64,MATCH($H27,설정_코스수당!$A$15:$A$64,0),MATCH($E27&amp;"수당",설정_코스수당!$B$14:$F$14,0)),0)),0)</f>
        <v>0</v>
      </c>
      <c r="M27" s="33">
        <f>IF($O27="방문완료",IFERROR(VLOOKUP($E27,설정_코스수당!$A$6:$H$10,6,FALSE),0),0)</f>
        <v>0</v>
      </c>
      <c r="N27" s="34">
        <f t="shared" si="0"/>
        <v>0</v>
      </c>
      <c r="O27" s="29"/>
      <c r="P27" s="29"/>
      <c r="Q27" s="29"/>
      <c r="R27" s="32"/>
      <c r="S27" s="29"/>
      <c r="U27" s="113"/>
      <c r="V27" s="111"/>
      <c r="W27" s="112"/>
      <c r="X27" s="111"/>
    </row>
    <row r="28" spans="1:24" ht="19.5" customHeight="1" outlineLevel="1">
      <c r="A28" s="23">
        <v>15</v>
      </c>
      <c r="B28" s="24">
        <f>IF(1&lt;=DAY(DATE(YEAR(설정_코스수당!$K$2),MONTH(설정_코스수당!$K$2)+1,0)),DATE(YEAR(설정_코스수당!$K$2),MONTH(설정_코스수당!$K$2),1),"")</f>
        <v>46174</v>
      </c>
      <c r="C28" s="25"/>
      <c r="D28" s="23"/>
      <c r="E28" s="23"/>
      <c r="F28" s="26"/>
      <c r="G28" s="23"/>
      <c r="H28" s="23"/>
      <c r="I28" s="23"/>
      <c r="J28" s="27">
        <f>IF($O28="방문완료",MAX(0,IFERROR(VLOOKUP($E28,설정_코스수당!$A$6:$H$10,4,FALSE),0)-IF(OR($P28="",$P28="없음"),0,100000)),0)</f>
        <v>0</v>
      </c>
      <c r="K28" s="27">
        <f t="array" ref="K28">IF($O28="방문완료",IFERROR(INDEX(설정_코스수당!$B$15:$F$64,MATCH($G28,설정_코스수당!$A$15:$A$64,0),MATCH($E28&amp;"수당",설정_코스수당!$B$14:$F$14,0)),0),0)</f>
        <v>0</v>
      </c>
      <c r="L28" s="27">
        <f t="array" ref="L28">IF($O28="방문완료",IF($H28="",0,IFERROR(INDEX(설정_코스수당!$B$15:$F$64,MATCH($H28,설정_코스수당!$A$15:$A$64,0),MATCH($E28&amp;"수당",설정_코스수당!$B$14:$F$14,0)),0)),0)</f>
        <v>0</v>
      </c>
      <c r="M28" s="27">
        <f>IF($O28="방문완료",IFERROR(VLOOKUP($E28,설정_코스수당!$A$6:$H$10,6,FALSE),0),0)</f>
        <v>0</v>
      </c>
      <c r="N28" s="28">
        <f t="shared" si="0"/>
        <v>0</v>
      </c>
      <c r="O28" s="23"/>
      <c r="P28" s="23"/>
      <c r="Q28" s="23"/>
      <c r="R28" s="26"/>
      <c r="S28" s="23"/>
      <c r="U28" s="113"/>
      <c r="V28" s="111"/>
      <c r="W28" s="112"/>
      <c r="X28" s="111"/>
    </row>
    <row r="29" spans="1:24" ht="19.5" customHeight="1" outlineLevel="1">
      <c r="A29" s="29">
        <v>16</v>
      </c>
      <c r="B29" s="30">
        <f>IF(1&lt;=DAY(DATE(YEAR(설정_코스수당!$K$2),MONTH(설정_코스수당!$K$2)+1,0)),DATE(YEAR(설정_코스수당!$K$2),MONTH(설정_코스수당!$K$2),1),"")</f>
        <v>46174</v>
      </c>
      <c r="C29" s="31"/>
      <c r="D29" s="29"/>
      <c r="E29" s="29"/>
      <c r="F29" s="32"/>
      <c r="G29" s="29"/>
      <c r="H29" s="29"/>
      <c r="I29" s="29"/>
      <c r="J29" s="33">
        <f>IF($O29="방문완료",MAX(0,IFERROR(VLOOKUP($E29,설정_코스수당!$A$6:$H$10,4,FALSE),0)-IF(OR($P29="",$P29="없음"),0,100000)),0)</f>
        <v>0</v>
      </c>
      <c r="K29" s="33">
        <f t="array" ref="K29">IF($O29="방문완료",IFERROR(INDEX(설정_코스수당!$B$15:$F$64,MATCH($G29,설정_코스수당!$A$15:$A$64,0),MATCH($E29&amp;"수당",설정_코스수당!$B$14:$F$14,0)),0),0)</f>
        <v>0</v>
      </c>
      <c r="L29" s="33">
        <f t="array" ref="L29">IF($O29="방문완료",IF($H29="",0,IFERROR(INDEX(설정_코스수당!$B$15:$F$64,MATCH($H29,설정_코스수당!$A$15:$A$64,0),MATCH($E29&amp;"수당",설정_코스수당!$B$14:$F$14,0)),0)),0)</f>
        <v>0</v>
      </c>
      <c r="M29" s="33">
        <f>IF($O29="방문완료",IFERROR(VLOOKUP($E29,설정_코스수당!$A$6:$H$10,6,FALSE),0),0)</f>
        <v>0</v>
      </c>
      <c r="N29" s="34">
        <f t="shared" si="0"/>
        <v>0</v>
      </c>
      <c r="O29" s="29"/>
      <c r="P29" s="29"/>
      <c r="Q29" s="29"/>
      <c r="R29" s="32"/>
      <c r="S29" s="29"/>
      <c r="U29" s="113"/>
      <c r="V29" s="111"/>
      <c r="W29" s="112"/>
      <c r="X29" s="111"/>
    </row>
    <row r="30" spans="1:24" ht="19.5" customHeight="1" outlineLevel="1">
      <c r="A30" s="23">
        <v>17</v>
      </c>
      <c r="B30" s="24">
        <f>IF(1&lt;=DAY(DATE(YEAR(설정_코스수당!$K$2),MONTH(설정_코스수당!$K$2)+1,0)),DATE(YEAR(설정_코스수당!$K$2),MONTH(설정_코스수당!$K$2),1),"")</f>
        <v>46174</v>
      </c>
      <c r="C30" s="25"/>
      <c r="D30" s="23"/>
      <c r="E30" s="23"/>
      <c r="F30" s="26"/>
      <c r="G30" s="23"/>
      <c r="H30" s="23"/>
      <c r="I30" s="23"/>
      <c r="J30" s="27">
        <f>IF($O30="방문완료",MAX(0,IFERROR(VLOOKUP($E30,설정_코스수당!$A$6:$H$10,4,FALSE),0)-IF(OR($P30="",$P30="없음"),0,100000)),0)</f>
        <v>0</v>
      </c>
      <c r="K30" s="27">
        <f t="array" ref="K30">IF($O30="방문완료",IFERROR(INDEX(설정_코스수당!$B$15:$F$64,MATCH($G30,설정_코스수당!$A$15:$A$64,0),MATCH($E30&amp;"수당",설정_코스수당!$B$14:$F$14,0)),0),0)</f>
        <v>0</v>
      </c>
      <c r="L30" s="27">
        <f t="array" ref="L30">IF($O30="방문완료",IF($H30="",0,IFERROR(INDEX(설정_코스수당!$B$15:$F$64,MATCH($H30,설정_코스수당!$A$15:$A$64,0),MATCH($E30&amp;"수당",설정_코스수당!$B$14:$F$14,0)),0)),0)</f>
        <v>0</v>
      </c>
      <c r="M30" s="27">
        <f>IF($O30="방문완료",IFERROR(VLOOKUP($E30,설정_코스수당!$A$6:$H$10,6,FALSE),0),0)</f>
        <v>0</v>
      </c>
      <c r="N30" s="28">
        <f t="shared" si="0"/>
        <v>0</v>
      </c>
      <c r="O30" s="23"/>
      <c r="P30" s="23"/>
      <c r="Q30" s="23"/>
      <c r="R30" s="26"/>
      <c r="S30" s="23"/>
      <c r="U30" s="113"/>
      <c r="V30" s="111"/>
      <c r="W30" s="112"/>
      <c r="X30" s="111"/>
    </row>
    <row r="31" spans="1:24" ht="19.5" customHeight="1" outlineLevel="1">
      <c r="A31" s="29">
        <v>18</v>
      </c>
      <c r="B31" s="30">
        <f>IF(1&lt;=DAY(DATE(YEAR(설정_코스수당!$K$2),MONTH(설정_코스수당!$K$2)+1,0)),DATE(YEAR(설정_코스수당!$K$2),MONTH(설정_코스수당!$K$2),1),"")</f>
        <v>46174</v>
      </c>
      <c r="C31" s="35"/>
      <c r="D31" s="29"/>
      <c r="E31" s="29"/>
      <c r="F31" s="32"/>
      <c r="G31" s="29"/>
      <c r="H31" s="29"/>
      <c r="I31" s="29"/>
      <c r="J31" s="33">
        <f>IF($O31="방문완료",MAX(0,IFERROR(VLOOKUP($E31,설정_코스수당!$A$6:$H$10,4,FALSE),0)-IF(OR($P31="",$P31="없음"),0,100000)),0)</f>
        <v>0</v>
      </c>
      <c r="K31" s="33">
        <f t="array" ref="K31">IF($O31="방문완료",IFERROR(INDEX(설정_코스수당!$B$15:$F$64,MATCH($G31,설정_코스수당!$A$15:$A$64,0),MATCH($E31&amp;"수당",설정_코스수당!$B$14:$F$14,0)),0),0)</f>
        <v>0</v>
      </c>
      <c r="L31" s="33">
        <f t="array" ref="L31">IF($O31="방문완료",IF($H31="",0,IFERROR(INDEX(설정_코스수당!$B$15:$F$64,MATCH($H31,설정_코스수당!$A$15:$A$64,0),MATCH($E31&amp;"수당",설정_코스수당!$B$14:$F$14,0)),0)),0)</f>
        <v>0</v>
      </c>
      <c r="M31" s="33">
        <f>IF($O31="방문완료",IFERROR(VLOOKUP($E31,설정_코스수당!$A$6:$H$10,6,FALSE),0),0)</f>
        <v>0</v>
      </c>
      <c r="N31" s="34">
        <f t="shared" si="0"/>
        <v>0</v>
      </c>
      <c r="O31" s="29"/>
      <c r="P31" s="29"/>
      <c r="Q31" s="29"/>
      <c r="R31" s="32"/>
      <c r="S31" s="29"/>
      <c r="U31" s="113"/>
      <c r="V31" s="111"/>
      <c r="W31" s="112"/>
      <c r="X31" s="111"/>
    </row>
    <row r="32" spans="1:24" ht="19.5" customHeight="1" outlineLevel="1">
      <c r="A32" s="23">
        <v>19</v>
      </c>
      <c r="B32" s="24">
        <f>IF(1&lt;=DAY(DATE(YEAR(설정_코스수당!$K$2),MONTH(설정_코스수당!$K$2)+1,0)),DATE(YEAR(설정_코스수당!$K$2),MONTH(설정_코스수당!$K$2),1),"")</f>
        <v>46174</v>
      </c>
      <c r="C32" s="25"/>
      <c r="D32" s="23"/>
      <c r="E32" s="23"/>
      <c r="F32" s="26"/>
      <c r="G32" s="23"/>
      <c r="H32" s="23"/>
      <c r="I32" s="23"/>
      <c r="J32" s="27">
        <f>IF($O32="방문완료",MAX(0,IFERROR(VLOOKUP($E32,설정_코스수당!$A$6:$H$10,4,FALSE),0)-IF(OR($P32="",$P32="없음"),0,100000)),0)</f>
        <v>0</v>
      </c>
      <c r="K32" s="27">
        <f t="array" ref="K32">IF($O32="방문완료",IFERROR(INDEX(설정_코스수당!$B$15:$F$64,MATCH($G32,설정_코스수당!$A$15:$A$64,0),MATCH($E32&amp;"수당",설정_코스수당!$B$14:$F$14,0)),0),0)</f>
        <v>0</v>
      </c>
      <c r="L32" s="27">
        <f t="array" ref="L32">IF($O32="방문완료",IF($H32="",0,IFERROR(INDEX(설정_코스수당!$B$15:$F$64,MATCH($H32,설정_코스수당!$A$15:$A$64,0),MATCH($E32&amp;"수당",설정_코스수당!$B$14:$F$14,0)),0)),0)</f>
        <v>0</v>
      </c>
      <c r="M32" s="27">
        <f>IF($O32="방문완료",IFERROR(VLOOKUP($E32,설정_코스수당!$A$6:$H$10,6,FALSE),0),0)</f>
        <v>0</v>
      </c>
      <c r="N32" s="28">
        <f t="shared" si="0"/>
        <v>0</v>
      </c>
      <c r="O32" s="23"/>
      <c r="P32" s="23"/>
      <c r="Q32" s="23"/>
      <c r="R32" s="26"/>
      <c r="S32" s="23"/>
      <c r="U32" s="113"/>
      <c r="V32" s="111"/>
      <c r="W32" s="112"/>
      <c r="X32" s="111"/>
    </row>
    <row r="33" spans="1:19" ht="19.5" customHeight="1" outlineLevel="1">
      <c r="A33" s="29">
        <v>20</v>
      </c>
      <c r="B33" s="30">
        <f>IF(1&lt;=DAY(DATE(YEAR(설정_코스수당!$K$2),MONTH(설정_코스수당!$K$2)+1,0)),DATE(YEAR(설정_코스수당!$K$2),MONTH(설정_코스수당!$K$2),1),"")</f>
        <v>46174</v>
      </c>
      <c r="C33" s="31"/>
      <c r="D33" s="29"/>
      <c r="E33" s="29"/>
      <c r="F33" s="32"/>
      <c r="G33" s="29"/>
      <c r="H33" s="29"/>
      <c r="I33" s="29"/>
      <c r="J33" s="33">
        <f>IF($O33="방문완료",MAX(0,IFERROR(VLOOKUP($E33,설정_코스수당!$A$6:$H$10,4,FALSE),0)-IF(OR($P33="",$P33="없음"),0,100000)),0)</f>
        <v>0</v>
      </c>
      <c r="K33" s="33">
        <f t="array" ref="K33">IF($O33="방문완료",IFERROR(INDEX(설정_코스수당!$B$15:$F$64,MATCH($G33,설정_코스수당!$A$15:$A$64,0),MATCH($E33&amp;"수당",설정_코스수당!$B$14:$F$14,0)),0),0)</f>
        <v>0</v>
      </c>
      <c r="L33" s="33">
        <f t="array" ref="L33">IF($O33="방문완료",IF($H33="",0,IFERROR(INDEX(설정_코스수당!$B$15:$F$64,MATCH($H33,설정_코스수당!$A$15:$A$64,0),MATCH($E33&amp;"수당",설정_코스수당!$B$14:$F$14,0)),0)),0)</f>
        <v>0</v>
      </c>
      <c r="M33" s="33">
        <f>IF($O33="방문완료",IFERROR(VLOOKUP($E33,설정_코스수당!$A$6:$H$10,6,FALSE),0),0)</f>
        <v>0</v>
      </c>
      <c r="N33" s="34">
        <f t="shared" si="0"/>
        <v>0</v>
      </c>
      <c r="O33" s="29"/>
      <c r="P33" s="29"/>
      <c r="Q33" s="29"/>
      <c r="R33" s="32"/>
      <c r="S33" s="29"/>
    </row>
    <row r="34" spans="1:19" ht="19.5" customHeight="1" outlineLevel="1">
      <c r="A34" s="23">
        <v>21</v>
      </c>
      <c r="B34" s="24">
        <f>IF(1&lt;=DAY(DATE(YEAR(설정_코스수당!$K$2),MONTH(설정_코스수당!$K$2)+1,0)),DATE(YEAR(설정_코스수당!$K$2),MONTH(설정_코스수당!$K$2),1),"")</f>
        <v>46174</v>
      </c>
      <c r="C34" s="25"/>
      <c r="D34" s="23"/>
      <c r="E34" s="23"/>
      <c r="F34" s="26"/>
      <c r="G34" s="23"/>
      <c r="H34" s="23"/>
      <c r="I34" s="23"/>
      <c r="J34" s="27">
        <f>IF($O34="방문완료",MAX(0,IFERROR(VLOOKUP($E34,설정_코스수당!$A$6:$H$10,4,FALSE),0)-IF(OR($P34="",$P34="없음"),0,100000)),0)</f>
        <v>0</v>
      </c>
      <c r="K34" s="27">
        <f t="array" ref="K34">IF($O34="방문완료",IFERROR(INDEX(설정_코스수당!$B$15:$F$64,MATCH($G34,설정_코스수당!$A$15:$A$64,0),MATCH($E34&amp;"수당",설정_코스수당!$B$14:$F$14,0)),0),0)</f>
        <v>0</v>
      </c>
      <c r="L34" s="27">
        <f t="array" ref="L34">IF($O34="방문완료",IF($H34="",0,IFERROR(INDEX(설정_코스수당!$B$15:$F$64,MATCH($H34,설정_코스수당!$A$15:$A$64,0),MATCH($E34&amp;"수당",설정_코스수당!$B$14:$F$14,0)),0)),0)</f>
        <v>0</v>
      </c>
      <c r="M34" s="27">
        <f>IF($O34="방문완료",IFERROR(VLOOKUP($E34,설정_코스수당!$A$6:$H$10,6,FALSE),0),0)</f>
        <v>0</v>
      </c>
      <c r="N34" s="28">
        <f t="shared" si="0"/>
        <v>0</v>
      </c>
      <c r="O34" s="23"/>
      <c r="P34" s="23"/>
      <c r="Q34" s="23"/>
      <c r="R34" s="26"/>
      <c r="S34" s="23"/>
    </row>
    <row r="35" spans="1:19" ht="19.5" customHeight="1" outlineLevel="1">
      <c r="A35" s="29">
        <v>22</v>
      </c>
      <c r="B35" s="30">
        <f>IF(1&lt;=DAY(DATE(YEAR(설정_코스수당!$K$2),MONTH(설정_코스수당!$K$2)+1,0)),DATE(YEAR(설정_코스수당!$K$2),MONTH(설정_코스수당!$K$2),1),"")</f>
        <v>46174</v>
      </c>
      <c r="C35" s="31"/>
      <c r="D35" s="29"/>
      <c r="E35" s="29"/>
      <c r="F35" s="32"/>
      <c r="G35" s="29"/>
      <c r="H35" s="29"/>
      <c r="I35" s="29"/>
      <c r="J35" s="33">
        <f>IF($O35="방문완료",MAX(0,IFERROR(VLOOKUP($E35,설정_코스수당!$A$6:$H$10,4,FALSE),0)-IF(OR($P35="",$P35="없음"),0,100000)),0)</f>
        <v>0</v>
      </c>
      <c r="K35" s="33">
        <f t="array" ref="K35">IF($O35="방문완료",IFERROR(INDEX(설정_코스수당!$B$15:$F$64,MATCH($G35,설정_코스수당!$A$15:$A$64,0),MATCH($E35&amp;"수당",설정_코스수당!$B$14:$F$14,0)),0),0)</f>
        <v>0</v>
      </c>
      <c r="L35" s="33">
        <f t="array" ref="L35">IF($O35="방문완료",IF($H35="",0,IFERROR(INDEX(설정_코스수당!$B$15:$F$64,MATCH($H35,설정_코스수당!$A$15:$A$64,0),MATCH($E35&amp;"수당",설정_코스수당!$B$14:$F$14,0)),0)),0)</f>
        <v>0</v>
      </c>
      <c r="M35" s="33">
        <f>IF($O35="방문완료",IFERROR(VLOOKUP($E35,설정_코스수당!$A$6:$H$10,6,FALSE),0),0)</f>
        <v>0</v>
      </c>
      <c r="N35" s="34">
        <f t="shared" si="0"/>
        <v>0</v>
      </c>
      <c r="O35" s="29"/>
      <c r="P35" s="29"/>
      <c r="Q35" s="29"/>
      <c r="R35" s="32"/>
      <c r="S35" s="29"/>
    </row>
    <row r="36" spans="1:19" ht="19.5" customHeight="1" outlineLevel="1">
      <c r="A36" s="23">
        <v>23</v>
      </c>
      <c r="B36" s="24">
        <f>IF(1&lt;=DAY(DATE(YEAR(설정_코스수당!$K$2),MONTH(설정_코스수당!$K$2)+1,0)),DATE(YEAR(설정_코스수당!$K$2),MONTH(설정_코스수당!$K$2),1),"")</f>
        <v>46174</v>
      </c>
      <c r="C36" s="25"/>
      <c r="D36" s="23"/>
      <c r="E36" s="23"/>
      <c r="F36" s="26"/>
      <c r="G36" s="23"/>
      <c r="H36" s="23"/>
      <c r="I36" s="23"/>
      <c r="J36" s="27">
        <f>IF($O36="방문완료",MAX(0,IFERROR(VLOOKUP($E36,설정_코스수당!$A$6:$H$10,4,FALSE),0)-IF(OR($P36="",$P36="없음"),0,100000)),0)</f>
        <v>0</v>
      </c>
      <c r="K36" s="27">
        <f t="array" ref="K36">IF($O36="방문완료",IFERROR(INDEX(설정_코스수당!$B$15:$F$64,MATCH($G36,설정_코스수당!$A$15:$A$64,0),MATCH($E36&amp;"수당",설정_코스수당!$B$14:$F$14,0)),0),0)</f>
        <v>0</v>
      </c>
      <c r="L36" s="27">
        <f t="array" ref="L36">IF($O36="방문완료",IF($H36="",0,IFERROR(INDEX(설정_코스수당!$B$15:$F$64,MATCH($H36,설정_코스수당!$A$15:$A$64,0),MATCH($E36&amp;"수당",설정_코스수당!$B$14:$F$14,0)),0)),0)</f>
        <v>0</v>
      </c>
      <c r="M36" s="27">
        <f>IF($O36="방문완료",IFERROR(VLOOKUP($E36,설정_코스수당!$A$6:$H$10,6,FALSE),0),0)</f>
        <v>0</v>
      </c>
      <c r="N36" s="28">
        <f t="shared" si="0"/>
        <v>0</v>
      </c>
      <c r="O36" s="23"/>
      <c r="P36" s="23"/>
      <c r="Q36" s="23"/>
      <c r="R36" s="26"/>
      <c r="S36" s="23"/>
    </row>
    <row r="37" spans="1:19" ht="19.5" customHeight="1" outlineLevel="1">
      <c r="A37" s="29">
        <v>24</v>
      </c>
      <c r="B37" s="30">
        <f>IF(1&lt;=DAY(DATE(YEAR(설정_코스수당!$K$2),MONTH(설정_코스수당!$K$2)+1,0)),DATE(YEAR(설정_코스수당!$K$2),MONTH(설정_코스수당!$K$2),1),"")</f>
        <v>46174</v>
      </c>
      <c r="C37" s="31"/>
      <c r="D37" s="29"/>
      <c r="E37" s="29"/>
      <c r="F37" s="32"/>
      <c r="G37" s="29"/>
      <c r="H37" s="29"/>
      <c r="I37" s="29"/>
      <c r="J37" s="33">
        <f>IF($O37="방문완료",MAX(0,IFERROR(VLOOKUP($E37,설정_코스수당!$A$6:$H$10,4,FALSE),0)-IF(OR($P37="",$P37="없음"),0,100000)),0)</f>
        <v>0</v>
      </c>
      <c r="K37" s="33">
        <f t="array" ref="K37">IF($O37="방문완료",IFERROR(INDEX(설정_코스수당!$B$15:$F$64,MATCH($G37,설정_코스수당!$A$15:$A$64,0),MATCH($E37&amp;"수당",설정_코스수당!$B$14:$F$14,0)),0),0)</f>
        <v>0</v>
      </c>
      <c r="L37" s="33">
        <f t="array" ref="L37">IF($O37="방문완료",IF($H37="",0,IFERROR(INDEX(설정_코스수당!$B$15:$F$64,MATCH($H37,설정_코스수당!$A$15:$A$64,0),MATCH($E37&amp;"수당",설정_코스수당!$B$14:$F$14,0)),0)),0)</f>
        <v>0</v>
      </c>
      <c r="M37" s="33">
        <f>IF($O37="방문완료",IFERROR(VLOOKUP($E37,설정_코스수당!$A$6:$H$10,6,FALSE),0),0)</f>
        <v>0</v>
      </c>
      <c r="N37" s="34">
        <f t="shared" si="0"/>
        <v>0</v>
      </c>
      <c r="O37" s="29"/>
      <c r="P37" s="29"/>
      <c r="Q37" s="29"/>
      <c r="R37" s="32"/>
      <c r="S37" s="29"/>
    </row>
    <row r="38" spans="1:19" ht="19.5" customHeight="1" outlineLevel="1">
      <c r="A38" s="23">
        <v>25</v>
      </c>
      <c r="B38" s="24">
        <f>IF(1&lt;=DAY(DATE(YEAR(설정_코스수당!$K$2),MONTH(설정_코스수당!$K$2)+1,0)),DATE(YEAR(설정_코스수당!$K$2),MONTH(설정_코스수당!$K$2),1),"")</f>
        <v>46174</v>
      </c>
      <c r="C38" s="25"/>
      <c r="D38" s="23"/>
      <c r="E38" s="23"/>
      <c r="F38" s="26"/>
      <c r="G38" s="23"/>
      <c r="H38" s="23"/>
      <c r="I38" s="23"/>
      <c r="J38" s="27">
        <f>IF($O38="방문완료",MAX(0,IFERROR(VLOOKUP($E38,설정_코스수당!$A$6:$H$10,4,FALSE),0)-IF(OR($P38="",$P38="없음"),0,100000)),0)</f>
        <v>0</v>
      </c>
      <c r="K38" s="27">
        <f t="array" ref="K38">IF($O38="방문완료",IFERROR(INDEX(설정_코스수당!$B$15:$F$64,MATCH($G38,설정_코스수당!$A$15:$A$64,0),MATCH($E38&amp;"수당",설정_코스수당!$B$14:$F$14,0)),0),0)</f>
        <v>0</v>
      </c>
      <c r="L38" s="27">
        <f t="array" ref="L38">IF($O38="방문완료",IF($H38="",0,IFERROR(INDEX(설정_코스수당!$B$15:$F$64,MATCH($H38,설정_코스수당!$A$15:$A$64,0),MATCH($E38&amp;"수당",설정_코스수당!$B$14:$F$14,0)),0)),0)</f>
        <v>0</v>
      </c>
      <c r="M38" s="27">
        <f>IF($O38="방문완료",IFERROR(VLOOKUP($E38,설정_코스수당!$A$6:$H$10,6,FALSE),0),0)</f>
        <v>0</v>
      </c>
      <c r="N38" s="28">
        <f t="shared" si="0"/>
        <v>0</v>
      </c>
      <c r="O38" s="23"/>
      <c r="P38" s="23"/>
      <c r="Q38" s="23"/>
      <c r="R38" s="26"/>
      <c r="S38" s="23"/>
    </row>
    <row r="39" spans="1:19" ht="19.5" customHeight="1" outlineLevel="1">
      <c r="A39" s="29">
        <v>26</v>
      </c>
      <c r="B39" s="30">
        <f>IF(1&lt;=DAY(DATE(YEAR(설정_코스수당!$K$2),MONTH(설정_코스수당!$K$2)+1,0)),DATE(YEAR(설정_코스수당!$K$2),MONTH(설정_코스수당!$K$2),1),"")</f>
        <v>46174</v>
      </c>
      <c r="C39" s="31"/>
      <c r="D39" s="29"/>
      <c r="E39" s="29"/>
      <c r="F39" s="32"/>
      <c r="G39" s="29"/>
      <c r="H39" s="29"/>
      <c r="I39" s="29"/>
      <c r="J39" s="33">
        <f>IF($O39="방문완료",MAX(0,IFERROR(VLOOKUP($E39,설정_코스수당!$A$6:$H$10,4,FALSE),0)-IF(OR($P39="",$P39="없음"),0,100000)),0)</f>
        <v>0</v>
      </c>
      <c r="K39" s="33">
        <f t="array" ref="K39">IF($O39="방문완료",IFERROR(INDEX(설정_코스수당!$B$15:$F$64,MATCH($G39,설정_코스수당!$A$15:$A$64,0),MATCH($E39&amp;"수당",설정_코스수당!$B$14:$F$14,0)),0),0)</f>
        <v>0</v>
      </c>
      <c r="L39" s="33">
        <f t="array" ref="L39">IF($O39="방문완료",IF($H39="",0,IFERROR(INDEX(설정_코스수당!$B$15:$F$64,MATCH($H39,설정_코스수당!$A$15:$A$64,0),MATCH($E39&amp;"수당",설정_코스수당!$B$14:$F$14,0)),0)),0)</f>
        <v>0</v>
      </c>
      <c r="M39" s="33">
        <f>IF($O39="방문완료",IFERROR(VLOOKUP($E39,설정_코스수당!$A$6:$H$10,6,FALSE),0),0)</f>
        <v>0</v>
      </c>
      <c r="N39" s="34">
        <f t="shared" si="0"/>
        <v>0</v>
      </c>
      <c r="O39" s="29"/>
      <c r="P39" s="29"/>
      <c r="Q39" s="29"/>
      <c r="R39" s="32"/>
      <c r="S39" s="29"/>
    </row>
    <row r="40" spans="1:19" ht="19.5" customHeight="1" outlineLevel="1">
      <c r="A40" s="23">
        <v>27</v>
      </c>
      <c r="B40" s="24">
        <f>IF(1&lt;=DAY(DATE(YEAR(설정_코스수당!$K$2),MONTH(설정_코스수당!$K$2)+1,0)),DATE(YEAR(설정_코스수당!$K$2),MONTH(설정_코스수당!$K$2),1),"")</f>
        <v>46174</v>
      </c>
      <c r="C40" s="25"/>
      <c r="D40" s="23"/>
      <c r="E40" s="23"/>
      <c r="F40" s="26"/>
      <c r="G40" s="23"/>
      <c r="H40" s="23"/>
      <c r="I40" s="23"/>
      <c r="J40" s="27">
        <f>IF($O40="방문완료",MAX(0,IFERROR(VLOOKUP($E40,설정_코스수당!$A$6:$H$10,4,FALSE),0)-IF(OR($P40="",$P40="없음"),0,100000)),0)</f>
        <v>0</v>
      </c>
      <c r="K40" s="27">
        <f t="array" ref="K40">IF($O40="방문완료",IFERROR(INDEX(설정_코스수당!$B$15:$F$64,MATCH($G40,설정_코스수당!$A$15:$A$64,0),MATCH($E40&amp;"수당",설정_코스수당!$B$14:$F$14,0)),0),0)</f>
        <v>0</v>
      </c>
      <c r="L40" s="27">
        <f t="array" ref="L40">IF($O40="방문완료",IF($H40="",0,IFERROR(INDEX(설정_코스수당!$B$15:$F$64,MATCH($H40,설정_코스수당!$A$15:$A$64,0),MATCH($E40&amp;"수당",설정_코스수당!$B$14:$F$14,0)),0)),0)</f>
        <v>0</v>
      </c>
      <c r="M40" s="27">
        <f>IF($O40="방문완료",IFERROR(VLOOKUP($E40,설정_코스수당!$A$6:$H$10,6,FALSE),0),0)</f>
        <v>0</v>
      </c>
      <c r="N40" s="28">
        <f t="shared" si="0"/>
        <v>0</v>
      </c>
      <c r="O40" s="23"/>
      <c r="P40" s="23"/>
      <c r="Q40" s="23"/>
      <c r="R40" s="26"/>
      <c r="S40" s="23"/>
    </row>
    <row r="41" spans="1:19" ht="19.5" customHeight="1" outlineLevel="1">
      <c r="A41" s="29">
        <v>28</v>
      </c>
      <c r="B41" s="30">
        <f>IF(1&lt;=DAY(DATE(YEAR(설정_코스수당!$K$2),MONTH(설정_코스수당!$K$2)+1,0)),DATE(YEAR(설정_코스수당!$K$2),MONTH(설정_코스수당!$K$2),1),"")</f>
        <v>46174</v>
      </c>
      <c r="C41" s="31"/>
      <c r="D41" s="29"/>
      <c r="E41" s="29"/>
      <c r="F41" s="32"/>
      <c r="G41" s="29"/>
      <c r="H41" s="29"/>
      <c r="I41" s="29"/>
      <c r="J41" s="33">
        <f>IF($O41="방문완료",MAX(0,IFERROR(VLOOKUP($E41,설정_코스수당!$A$6:$H$10,4,FALSE),0)-IF(OR($P41="",$P41="없음"),0,100000)),0)</f>
        <v>0</v>
      </c>
      <c r="K41" s="33">
        <f t="array" ref="K41">IF($O41="방문완료",IFERROR(INDEX(설정_코스수당!$B$15:$F$64,MATCH($G41,설정_코스수당!$A$15:$A$64,0),MATCH($E41&amp;"수당",설정_코스수당!$B$14:$F$14,0)),0),0)</f>
        <v>0</v>
      </c>
      <c r="L41" s="33">
        <f t="array" ref="L41">IF($O41="방문완료",IF($H41="",0,IFERROR(INDEX(설정_코스수당!$B$15:$F$64,MATCH($H41,설정_코스수당!$A$15:$A$64,0),MATCH($E41&amp;"수당",설정_코스수당!$B$14:$F$14,0)),0)),0)</f>
        <v>0</v>
      </c>
      <c r="M41" s="33">
        <f>IF($O41="방문완료",IFERROR(VLOOKUP($E41,설정_코스수당!$A$6:$H$10,6,FALSE),0),0)</f>
        <v>0</v>
      </c>
      <c r="N41" s="34">
        <f t="shared" si="0"/>
        <v>0</v>
      </c>
      <c r="O41" s="29"/>
      <c r="P41" s="29"/>
      <c r="Q41" s="29"/>
      <c r="R41" s="32"/>
      <c r="S41" s="29"/>
    </row>
    <row r="42" spans="1:19" ht="19.5" customHeight="1" outlineLevel="1">
      <c r="A42" s="23">
        <v>29</v>
      </c>
      <c r="B42" s="24">
        <f>IF(1&lt;=DAY(DATE(YEAR(설정_코스수당!$K$2),MONTH(설정_코스수당!$K$2)+1,0)),DATE(YEAR(설정_코스수당!$K$2),MONTH(설정_코스수당!$K$2),1),"")</f>
        <v>46174</v>
      </c>
      <c r="C42" s="25"/>
      <c r="D42" s="23"/>
      <c r="E42" s="23"/>
      <c r="F42" s="26"/>
      <c r="G42" s="23"/>
      <c r="H42" s="23"/>
      <c r="I42" s="23"/>
      <c r="J42" s="27">
        <f>IF($O42="방문완료",MAX(0,IFERROR(VLOOKUP($E42,설정_코스수당!$A$6:$H$10,4,FALSE),0)-IF(OR($P42="",$P42="없음"),0,100000)),0)</f>
        <v>0</v>
      </c>
      <c r="K42" s="27">
        <f t="array" ref="K42">IF($O42="방문완료",IFERROR(INDEX(설정_코스수당!$B$15:$F$64,MATCH($G42,설정_코스수당!$A$15:$A$64,0),MATCH($E42&amp;"수당",설정_코스수당!$B$14:$F$14,0)),0),0)</f>
        <v>0</v>
      </c>
      <c r="L42" s="27">
        <f t="array" ref="L42">IF($O42="방문완료",IF($H42="",0,IFERROR(INDEX(설정_코스수당!$B$15:$F$64,MATCH($H42,설정_코스수당!$A$15:$A$64,0),MATCH($E42&amp;"수당",설정_코스수당!$B$14:$F$14,0)),0)),0)</f>
        <v>0</v>
      </c>
      <c r="M42" s="27">
        <f>IF($O42="방문완료",IFERROR(VLOOKUP($E42,설정_코스수당!$A$6:$H$10,6,FALSE),0),0)</f>
        <v>0</v>
      </c>
      <c r="N42" s="28">
        <f t="shared" si="0"/>
        <v>0</v>
      </c>
      <c r="O42" s="23"/>
      <c r="P42" s="23"/>
      <c r="Q42" s="23"/>
      <c r="R42" s="26"/>
      <c r="S42" s="23"/>
    </row>
    <row r="43" spans="1:19" ht="19.5" customHeight="1" outlineLevel="1">
      <c r="A43" s="29">
        <v>30</v>
      </c>
      <c r="B43" s="30">
        <f>IF(1&lt;=DAY(DATE(YEAR(설정_코스수당!$K$2),MONTH(설정_코스수당!$K$2)+1,0)),DATE(YEAR(설정_코스수당!$K$2),MONTH(설정_코스수당!$K$2),1),"")</f>
        <v>46174</v>
      </c>
      <c r="C43" s="31"/>
      <c r="D43" s="29"/>
      <c r="E43" s="29"/>
      <c r="F43" s="32"/>
      <c r="G43" s="29"/>
      <c r="H43" s="29"/>
      <c r="I43" s="29"/>
      <c r="J43" s="33">
        <f>IF($O43="방문완료",MAX(0,IFERROR(VLOOKUP($E43,설정_코스수당!$A$6:$H$10,4,FALSE),0)-IF(OR($P43="",$P43="없음"),0,100000)),0)</f>
        <v>0</v>
      </c>
      <c r="K43" s="33">
        <f t="array" ref="K43">IF($O43="방문완료",IFERROR(INDEX(설정_코스수당!$B$15:$F$64,MATCH($G43,설정_코스수당!$A$15:$A$64,0),MATCH($E43&amp;"수당",설정_코스수당!$B$14:$F$14,0)),0),0)</f>
        <v>0</v>
      </c>
      <c r="L43" s="33">
        <f t="array" ref="L43">IF($O43="방문완료",IF($H43="",0,IFERROR(INDEX(설정_코스수당!$B$15:$F$64,MATCH($H43,설정_코스수당!$A$15:$A$64,0),MATCH($E43&amp;"수당",설정_코스수당!$B$14:$F$14,0)),0)),0)</f>
        <v>0</v>
      </c>
      <c r="M43" s="33">
        <f>IF($O43="방문완료",IFERROR(VLOOKUP($E43,설정_코스수당!$A$6:$H$10,6,FALSE),0),0)</f>
        <v>0</v>
      </c>
      <c r="N43" s="34">
        <f t="shared" si="0"/>
        <v>0</v>
      </c>
      <c r="O43" s="29"/>
      <c r="P43" s="29"/>
      <c r="Q43" s="29"/>
      <c r="R43" s="32"/>
      <c r="S43" s="29"/>
    </row>
    <row r="44" spans="1:19" ht="19.5" customHeight="1" outlineLevel="1">
      <c r="A44" s="23">
        <v>31</v>
      </c>
      <c r="B44" s="24">
        <f>IF(1&lt;=DAY(DATE(YEAR(설정_코스수당!$K$2),MONTH(설정_코스수당!$K$2)+1,0)),DATE(YEAR(설정_코스수당!$K$2),MONTH(설정_코스수당!$K$2),1),"")</f>
        <v>46174</v>
      </c>
      <c r="C44" s="25"/>
      <c r="D44" s="23"/>
      <c r="E44" s="23"/>
      <c r="F44" s="26"/>
      <c r="G44" s="23"/>
      <c r="H44" s="23"/>
      <c r="I44" s="23"/>
      <c r="J44" s="27">
        <f>IF($O44="방문완료",MAX(0,IFERROR(VLOOKUP($E44,설정_코스수당!$A$6:$H$10,4,FALSE),0)-IF(OR($P44="",$P44="없음"),0,100000)),0)</f>
        <v>0</v>
      </c>
      <c r="K44" s="27">
        <f t="array" ref="K44">IF($O44="방문완료",IFERROR(INDEX(설정_코스수당!$B$15:$F$64,MATCH($G44,설정_코스수당!$A$15:$A$64,0),MATCH($E44&amp;"수당",설정_코스수당!$B$14:$F$14,0)),0),0)</f>
        <v>0</v>
      </c>
      <c r="L44" s="27">
        <f t="array" ref="L44">IF($O44="방문완료",IF($H44="",0,IFERROR(INDEX(설정_코스수당!$B$15:$F$64,MATCH($H44,설정_코스수당!$A$15:$A$64,0),MATCH($E44&amp;"수당",설정_코스수당!$B$14:$F$14,0)),0)),0)</f>
        <v>0</v>
      </c>
      <c r="M44" s="27">
        <f>IF($O44="방문완료",IFERROR(VLOOKUP($E44,설정_코스수당!$A$6:$H$10,6,FALSE),0),0)</f>
        <v>0</v>
      </c>
      <c r="N44" s="28">
        <f t="shared" si="0"/>
        <v>0</v>
      </c>
      <c r="O44" s="23"/>
      <c r="P44" s="23"/>
      <c r="Q44" s="23"/>
      <c r="R44" s="26"/>
      <c r="S44" s="23"/>
    </row>
    <row r="45" spans="1:19" ht="19.5" customHeight="1" outlineLevel="1">
      <c r="A45" s="29">
        <v>32</v>
      </c>
      <c r="B45" s="30">
        <f>IF(1&lt;=DAY(DATE(YEAR(설정_코스수당!$K$2),MONTH(설정_코스수당!$K$2)+1,0)),DATE(YEAR(설정_코스수당!$K$2),MONTH(설정_코스수당!$K$2),1),"")</f>
        <v>46174</v>
      </c>
      <c r="C45" s="31"/>
      <c r="D45" s="29"/>
      <c r="E45" s="29"/>
      <c r="F45" s="32"/>
      <c r="G45" s="29"/>
      <c r="H45" s="29"/>
      <c r="I45" s="29"/>
      <c r="J45" s="33">
        <f>IF($O45="방문완료",MAX(0,IFERROR(VLOOKUP($E45,설정_코스수당!$A$6:$H$10,4,FALSE),0)-IF(OR($P45="",$P45="없음"),0,100000)),0)</f>
        <v>0</v>
      </c>
      <c r="K45" s="33">
        <f t="array" ref="K45">IF($O45="방문완료",IFERROR(INDEX(설정_코스수당!$B$15:$F$64,MATCH($G45,설정_코스수당!$A$15:$A$64,0),MATCH($E45&amp;"수당",설정_코스수당!$B$14:$F$14,0)),0),0)</f>
        <v>0</v>
      </c>
      <c r="L45" s="33">
        <f t="array" ref="L45">IF($O45="방문완료",IF($H45="",0,IFERROR(INDEX(설정_코스수당!$B$15:$F$64,MATCH($H45,설정_코스수당!$A$15:$A$64,0),MATCH($E45&amp;"수당",설정_코스수당!$B$14:$F$14,0)),0)),0)</f>
        <v>0</v>
      </c>
      <c r="M45" s="33">
        <f>IF($O45="방문완료",IFERROR(VLOOKUP($E45,설정_코스수당!$A$6:$H$10,6,FALSE),0),0)</f>
        <v>0</v>
      </c>
      <c r="N45" s="34">
        <f t="shared" si="0"/>
        <v>0</v>
      </c>
      <c r="O45" s="29"/>
      <c r="P45" s="29"/>
      <c r="Q45" s="29"/>
      <c r="R45" s="32"/>
      <c r="S45" s="29"/>
    </row>
    <row r="46" spans="1:19" ht="19.5" customHeight="1" outlineLevel="1">
      <c r="A46" s="23">
        <v>33</v>
      </c>
      <c r="B46" s="24">
        <f>IF(1&lt;=DAY(DATE(YEAR(설정_코스수당!$K$2),MONTH(설정_코스수당!$K$2)+1,0)),DATE(YEAR(설정_코스수당!$K$2),MONTH(설정_코스수당!$K$2),1),"")</f>
        <v>46174</v>
      </c>
      <c r="C46" s="25"/>
      <c r="D46" s="23"/>
      <c r="E46" s="23"/>
      <c r="F46" s="26"/>
      <c r="G46" s="23"/>
      <c r="H46" s="23"/>
      <c r="I46" s="23"/>
      <c r="J46" s="27">
        <f>IF($O46="방문완료",MAX(0,IFERROR(VLOOKUP($E46,설정_코스수당!$A$6:$H$10,4,FALSE),0)-IF(OR($P46="",$P46="없음"),0,100000)),0)</f>
        <v>0</v>
      </c>
      <c r="K46" s="27">
        <f t="array" ref="K46">IF($O46="방문완료",IFERROR(INDEX(설정_코스수당!$B$15:$F$64,MATCH($G46,설정_코스수당!$A$15:$A$64,0),MATCH($E46&amp;"수당",설정_코스수당!$B$14:$F$14,0)),0),0)</f>
        <v>0</v>
      </c>
      <c r="L46" s="27">
        <f t="array" ref="L46">IF($O46="방문완료",IF($H46="",0,IFERROR(INDEX(설정_코스수당!$B$15:$F$64,MATCH($H46,설정_코스수당!$A$15:$A$64,0),MATCH($E46&amp;"수당",설정_코스수당!$B$14:$F$14,0)),0)),0)</f>
        <v>0</v>
      </c>
      <c r="M46" s="27">
        <f>IF($O46="방문완료",IFERROR(VLOOKUP($E46,설정_코스수당!$A$6:$H$10,6,FALSE),0),0)</f>
        <v>0</v>
      </c>
      <c r="N46" s="28">
        <f t="shared" ref="N46:N77" si="1">IF($O46="방문완료",1,0)</f>
        <v>0</v>
      </c>
      <c r="O46" s="23"/>
      <c r="P46" s="23"/>
      <c r="Q46" s="23"/>
      <c r="R46" s="26"/>
      <c r="S46" s="23"/>
    </row>
    <row r="47" spans="1:19" ht="19.5" customHeight="1" outlineLevel="1">
      <c r="A47" s="29">
        <v>34</v>
      </c>
      <c r="B47" s="30">
        <f>IF(1&lt;=DAY(DATE(YEAR(설정_코스수당!$K$2),MONTH(설정_코스수당!$K$2)+1,0)),DATE(YEAR(설정_코스수당!$K$2),MONTH(설정_코스수당!$K$2),1),"")</f>
        <v>46174</v>
      </c>
      <c r="C47" s="31"/>
      <c r="D47" s="29"/>
      <c r="E47" s="29"/>
      <c r="F47" s="32"/>
      <c r="G47" s="29"/>
      <c r="H47" s="29"/>
      <c r="I47" s="29"/>
      <c r="J47" s="33">
        <f>IF($O47="방문완료",MAX(0,IFERROR(VLOOKUP($E47,설정_코스수당!$A$6:$H$10,4,FALSE),0)-IF(OR($P47="",$P47="없음"),0,100000)),0)</f>
        <v>0</v>
      </c>
      <c r="K47" s="33">
        <f t="array" ref="K47">IF($O47="방문완료",IFERROR(INDEX(설정_코스수당!$B$15:$F$64,MATCH($G47,설정_코스수당!$A$15:$A$64,0),MATCH($E47&amp;"수당",설정_코스수당!$B$14:$F$14,0)),0),0)</f>
        <v>0</v>
      </c>
      <c r="L47" s="33">
        <f t="array" ref="L47">IF($O47="방문완료",IF($H47="",0,IFERROR(INDEX(설정_코스수당!$B$15:$F$64,MATCH($H47,설정_코스수당!$A$15:$A$64,0),MATCH($E47&amp;"수당",설정_코스수당!$B$14:$F$14,0)),0)),0)</f>
        <v>0</v>
      </c>
      <c r="M47" s="33">
        <f>IF($O47="방문완료",IFERROR(VLOOKUP($E47,설정_코스수당!$A$6:$H$10,6,FALSE),0),0)</f>
        <v>0</v>
      </c>
      <c r="N47" s="34">
        <f t="shared" si="1"/>
        <v>0</v>
      </c>
      <c r="O47" s="29"/>
      <c r="P47" s="29"/>
      <c r="Q47" s="29"/>
      <c r="R47" s="32"/>
      <c r="S47" s="29"/>
    </row>
    <row r="48" spans="1:19" ht="19.5" customHeight="1" outlineLevel="1">
      <c r="A48" s="23">
        <v>35</v>
      </c>
      <c r="B48" s="24">
        <f>IF(1&lt;=DAY(DATE(YEAR(설정_코스수당!$K$2),MONTH(설정_코스수당!$K$2)+1,0)),DATE(YEAR(설정_코스수당!$K$2),MONTH(설정_코스수당!$K$2),1),"")</f>
        <v>46174</v>
      </c>
      <c r="C48" s="25"/>
      <c r="D48" s="23"/>
      <c r="E48" s="23"/>
      <c r="F48" s="26"/>
      <c r="G48" s="23"/>
      <c r="H48" s="23"/>
      <c r="I48" s="23"/>
      <c r="J48" s="27">
        <f>IF($O48="방문완료",MAX(0,IFERROR(VLOOKUP($E48,설정_코스수당!$A$6:$H$10,4,FALSE),0)-IF(OR($P48="",$P48="없음"),0,100000)),0)</f>
        <v>0</v>
      </c>
      <c r="K48" s="27">
        <f t="array" ref="K48">IF($O48="방문완료",IFERROR(INDEX(설정_코스수당!$B$15:$F$64,MATCH($G48,설정_코스수당!$A$15:$A$64,0),MATCH($E48&amp;"수당",설정_코스수당!$B$14:$F$14,0)),0),0)</f>
        <v>0</v>
      </c>
      <c r="L48" s="27">
        <f t="array" ref="L48">IF($O48="방문완료",IF($H48="",0,IFERROR(INDEX(설정_코스수당!$B$15:$F$64,MATCH($H48,설정_코스수당!$A$15:$A$64,0),MATCH($E48&amp;"수당",설정_코스수당!$B$14:$F$14,0)),0)),0)</f>
        <v>0</v>
      </c>
      <c r="M48" s="27">
        <f>IF($O48="방문완료",IFERROR(VLOOKUP($E48,설정_코스수당!$A$6:$H$10,6,FALSE),0),0)</f>
        <v>0</v>
      </c>
      <c r="N48" s="28">
        <f t="shared" si="1"/>
        <v>0</v>
      </c>
      <c r="O48" s="23"/>
      <c r="P48" s="23"/>
      <c r="Q48" s="23"/>
      <c r="R48" s="26"/>
      <c r="S48" s="23"/>
    </row>
    <row r="49" spans="1:19" ht="19.5" customHeight="1" outlineLevel="1">
      <c r="A49" s="29">
        <v>36</v>
      </c>
      <c r="B49" s="30">
        <f>IF(1&lt;=DAY(DATE(YEAR(설정_코스수당!$K$2),MONTH(설정_코스수당!$K$2)+1,0)),DATE(YEAR(설정_코스수당!$K$2),MONTH(설정_코스수당!$K$2),1),"")</f>
        <v>46174</v>
      </c>
      <c r="C49" s="31"/>
      <c r="D49" s="29"/>
      <c r="E49" s="29"/>
      <c r="F49" s="32"/>
      <c r="G49" s="29"/>
      <c r="H49" s="29"/>
      <c r="I49" s="29"/>
      <c r="J49" s="33">
        <f>IF($O49="방문완료",MAX(0,IFERROR(VLOOKUP($E49,설정_코스수당!$A$6:$H$10,4,FALSE),0)-IF(OR($P49="",$P49="없음"),0,100000)),0)</f>
        <v>0</v>
      </c>
      <c r="K49" s="33">
        <f t="array" ref="K49">IF($O49="방문완료",IFERROR(INDEX(설정_코스수당!$B$15:$F$64,MATCH($G49,설정_코스수당!$A$15:$A$64,0),MATCH($E49&amp;"수당",설정_코스수당!$B$14:$F$14,0)),0),0)</f>
        <v>0</v>
      </c>
      <c r="L49" s="33">
        <f t="array" ref="L49">IF($O49="방문완료",IF($H49="",0,IFERROR(INDEX(설정_코스수당!$B$15:$F$64,MATCH($H49,설정_코스수당!$A$15:$A$64,0),MATCH($E49&amp;"수당",설정_코스수당!$B$14:$F$14,0)),0)),0)</f>
        <v>0</v>
      </c>
      <c r="M49" s="33">
        <f>IF($O49="방문완료",IFERROR(VLOOKUP($E49,설정_코스수당!$A$6:$H$10,6,FALSE),0),0)</f>
        <v>0</v>
      </c>
      <c r="N49" s="34">
        <f t="shared" si="1"/>
        <v>0</v>
      </c>
      <c r="O49" s="29"/>
      <c r="P49" s="29"/>
      <c r="Q49" s="29"/>
      <c r="R49" s="32"/>
      <c r="S49" s="29"/>
    </row>
    <row r="50" spans="1:19" ht="19.5" customHeight="1" outlineLevel="1">
      <c r="A50" s="23">
        <v>37</v>
      </c>
      <c r="B50" s="24">
        <f>IF(1&lt;=DAY(DATE(YEAR(설정_코스수당!$K$2),MONTH(설정_코스수당!$K$2)+1,0)),DATE(YEAR(설정_코스수당!$K$2),MONTH(설정_코스수당!$K$2),1),"")</f>
        <v>46174</v>
      </c>
      <c r="C50" s="25"/>
      <c r="D50" s="23"/>
      <c r="E50" s="23"/>
      <c r="F50" s="26"/>
      <c r="G50" s="23"/>
      <c r="H50" s="23"/>
      <c r="I50" s="23"/>
      <c r="J50" s="27">
        <f>IF($O50="방문완료",MAX(0,IFERROR(VLOOKUP($E50,설정_코스수당!$A$6:$H$10,4,FALSE),0)-IF(OR($P50="",$P50="없음"),0,100000)),0)</f>
        <v>0</v>
      </c>
      <c r="K50" s="27">
        <f t="array" ref="K50">IF($O50="방문완료",IFERROR(INDEX(설정_코스수당!$B$15:$F$64,MATCH($G50,설정_코스수당!$A$15:$A$64,0),MATCH($E50&amp;"수당",설정_코스수당!$B$14:$F$14,0)),0),0)</f>
        <v>0</v>
      </c>
      <c r="L50" s="27">
        <f t="array" ref="L50">IF($O50="방문완료",IF($H50="",0,IFERROR(INDEX(설정_코스수당!$B$15:$F$64,MATCH($H50,설정_코스수당!$A$15:$A$64,0),MATCH($E50&amp;"수당",설정_코스수당!$B$14:$F$14,0)),0)),0)</f>
        <v>0</v>
      </c>
      <c r="M50" s="27">
        <f>IF($O50="방문완료",IFERROR(VLOOKUP($E50,설정_코스수당!$A$6:$H$10,6,FALSE),0),0)</f>
        <v>0</v>
      </c>
      <c r="N50" s="28">
        <f t="shared" si="1"/>
        <v>0</v>
      </c>
      <c r="O50" s="23"/>
      <c r="P50" s="23"/>
      <c r="Q50" s="23"/>
      <c r="R50" s="26"/>
      <c r="S50" s="23"/>
    </row>
    <row r="51" spans="1:19" ht="19.5" customHeight="1" outlineLevel="1">
      <c r="A51" s="29">
        <v>38</v>
      </c>
      <c r="B51" s="30">
        <f>IF(1&lt;=DAY(DATE(YEAR(설정_코스수당!$K$2),MONTH(설정_코스수당!$K$2)+1,0)),DATE(YEAR(설정_코스수당!$K$2),MONTH(설정_코스수당!$K$2),1),"")</f>
        <v>46174</v>
      </c>
      <c r="C51" s="31"/>
      <c r="D51" s="29"/>
      <c r="E51" s="29"/>
      <c r="F51" s="32"/>
      <c r="G51" s="29"/>
      <c r="H51" s="29"/>
      <c r="I51" s="29"/>
      <c r="J51" s="33">
        <f>IF($O51="방문완료",MAX(0,IFERROR(VLOOKUP($E51,설정_코스수당!$A$6:$H$10,4,FALSE),0)-IF(OR($P51="",$P51="없음"),0,100000)),0)</f>
        <v>0</v>
      </c>
      <c r="K51" s="33">
        <f t="array" ref="K51">IF($O51="방문완료",IFERROR(INDEX(설정_코스수당!$B$15:$F$64,MATCH($G51,설정_코스수당!$A$15:$A$64,0),MATCH($E51&amp;"수당",설정_코스수당!$B$14:$F$14,0)),0),0)</f>
        <v>0</v>
      </c>
      <c r="L51" s="33">
        <f t="array" ref="L51">IF($O51="방문완료",IF($H51="",0,IFERROR(INDEX(설정_코스수당!$B$15:$F$64,MATCH($H51,설정_코스수당!$A$15:$A$64,0),MATCH($E51&amp;"수당",설정_코스수당!$B$14:$F$14,0)),0)),0)</f>
        <v>0</v>
      </c>
      <c r="M51" s="33">
        <f>IF($O51="방문완료",IFERROR(VLOOKUP($E51,설정_코스수당!$A$6:$H$10,6,FALSE),0),0)</f>
        <v>0</v>
      </c>
      <c r="N51" s="34">
        <f t="shared" si="1"/>
        <v>0</v>
      </c>
      <c r="O51" s="29"/>
      <c r="P51" s="29"/>
      <c r="Q51" s="29"/>
      <c r="R51" s="32"/>
      <c r="S51" s="29"/>
    </row>
    <row r="52" spans="1:19" ht="19.5" customHeight="1" outlineLevel="1">
      <c r="A52" s="23">
        <v>39</v>
      </c>
      <c r="B52" s="24">
        <f>IF(1&lt;=DAY(DATE(YEAR(설정_코스수당!$K$2),MONTH(설정_코스수당!$K$2)+1,0)),DATE(YEAR(설정_코스수당!$K$2),MONTH(설정_코스수당!$K$2),1),"")</f>
        <v>46174</v>
      </c>
      <c r="C52" s="25"/>
      <c r="D52" s="23"/>
      <c r="E52" s="23"/>
      <c r="F52" s="26"/>
      <c r="G52" s="23"/>
      <c r="H52" s="23"/>
      <c r="I52" s="23"/>
      <c r="J52" s="27">
        <f>IF($O52="방문완료",MAX(0,IFERROR(VLOOKUP($E52,설정_코스수당!$A$6:$H$10,4,FALSE),0)-IF(OR($P52="",$P52="없음"),0,100000)),0)</f>
        <v>0</v>
      </c>
      <c r="K52" s="27">
        <f t="array" ref="K52">IF($O52="방문완료",IFERROR(INDEX(설정_코스수당!$B$15:$F$64,MATCH($G52,설정_코스수당!$A$15:$A$64,0),MATCH($E52&amp;"수당",설정_코스수당!$B$14:$F$14,0)),0),0)</f>
        <v>0</v>
      </c>
      <c r="L52" s="27">
        <f t="array" ref="L52">IF($O52="방문완료",IF($H52="",0,IFERROR(INDEX(설정_코스수당!$B$15:$F$64,MATCH($H52,설정_코스수당!$A$15:$A$64,0),MATCH($E52&amp;"수당",설정_코스수당!$B$14:$F$14,0)),0)),0)</f>
        <v>0</v>
      </c>
      <c r="M52" s="27">
        <f>IF($O52="방문완료",IFERROR(VLOOKUP($E52,설정_코스수당!$A$6:$H$10,6,FALSE),0),0)</f>
        <v>0</v>
      </c>
      <c r="N52" s="28">
        <f t="shared" si="1"/>
        <v>0</v>
      </c>
      <c r="O52" s="23"/>
      <c r="P52" s="23"/>
      <c r="Q52" s="23"/>
      <c r="R52" s="26"/>
      <c r="S52" s="23"/>
    </row>
    <row r="53" spans="1:19" ht="19.5" customHeight="1" outlineLevel="1">
      <c r="A53" s="29">
        <v>40</v>
      </c>
      <c r="B53" s="30">
        <f>IF(1&lt;=DAY(DATE(YEAR(설정_코스수당!$K$2),MONTH(설정_코스수당!$K$2)+1,0)),DATE(YEAR(설정_코스수당!$K$2),MONTH(설정_코스수당!$K$2),1),"")</f>
        <v>46174</v>
      </c>
      <c r="C53" s="31"/>
      <c r="D53" s="29"/>
      <c r="E53" s="29"/>
      <c r="F53" s="32"/>
      <c r="G53" s="29"/>
      <c r="H53" s="29"/>
      <c r="I53" s="29"/>
      <c r="J53" s="33">
        <f>IF($O53="방문완료",MAX(0,IFERROR(VLOOKUP($E53,설정_코스수당!$A$6:$H$10,4,FALSE),0)-IF(OR($P53="",$P53="없음"),0,100000)),0)</f>
        <v>0</v>
      </c>
      <c r="K53" s="33">
        <f t="array" ref="K53">IF($O53="방문완료",IFERROR(INDEX(설정_코스수당!$B$15:$F$64,MATCH($G53,설정_코스수당!$A$15:$A$64,0),MATCH($E53&amp;"수당",설정_코스수당!$B$14:$F$14,0)),0),0)</f>
        <v>0</v>
      </c>
      <c r="L53" s="33">
        <f t="array" ref="L53">IF($O53="방문완료",IF($H53="",0,IFERROR(INDEX(설정_코스수당!$B$15:$F$64,MATCH($H53,설정_코스수당!$A$15:$A$64,0),MATCH($E53&amp;"수당",설정_코스수당!$B$14:$F$14,0)),0)),0)</f>
        <v>0</v>
      </c>
      <c r="M53" s="33">
        <f>IF($O53="방문완료",IFERROR(VLOOKUP($E53,설정_코스수당!$A$6:$H$10,6,FALSE),0),0)</f>
        <v>0</v>
      </c>
      <c r="N53" s="34">
        <f t="shared" si="1"/>
        <v>0</v>
      </c>
      <c r="O53" s="29"/>
      <c r="P53" s="29"/>
      <c r="Q53" s="29"/>
      <c r="R53" s="32"/>
      <c r="S53" s="29"/>
    </row>
    <row r="54" spans="1:19" ht="19.5" customHeight="1" outlineLevel="1">
      <c r="A54" s="23">
        <v>41</v>
      </c>
      <c r="B54" s="24">
        <f>IF(1&lt;=DAY(DATE(YEAR(설정_코스수당!$K$2),MONTH(설정_코스수당!$K$2)+1,0)),DATE(YEAR(설정_코스수당!$K$2),MONTH(설정_코스수당!$K$2),1),"")</f>
        <v>46174</v>
      </c>
      <c r="C54" s="25"/>
      <c r="D54" s="23"/>
      <c r="E54" s="23"/>
      <c r="F54" s="26"/>
      <c r="G54" s="23"/>
      <c r="H54" s="23"/>
      <c r="I54" s="23"/>
      <c r="J54" s="27">
        <f>IF($O54="방문완료",MAX(0,IFERROR(VLOOKUP($E54,설정_코스수당!$A$6:$H$10,4,FALSE),0)-IF(OR($P54="",$P54="없음"),0,100000)),0)</f>
        <v>0</v>
      </c>
      <c r="K54" s="27">
        <f t="array" ref="K54">IF($O54="방문완료",IFERROR(INDEX(설정_코스수당!$B$15:$F$64,MATCH($G54,설정_코스수당!$A$15:$A$64,0),MATCH($E54&amp;"수당",설정_코스수당!$B$14:$F$14,0)),0),0)</f>
        <v>0</v>
      </c>
      <c r="L54" s="27">
        <f t="array" ref="L54">IF($O54="방문완료",IF($H54="",0,IFERROR(INDEX(설정_코스수당!$B$15:$F$64,MATCH($H54,설정_코스수당!$A$15:$A$64,0),MATCH($E54&amp;"수당",설정_코스수당!$B$14:$F$14,0)),0)),0)</f>
        <v>0</v>
      </c>
      <c r="M54" s="27">
        <f>IF($O54="방문완료",IFERROR(VLOOKUP($E54,설정_코스수당!$A$6:$H$10,6,FALSE),0),0)</f>
        <v>0</v>
      </c>
      <c r="N54" s="28">
        <f t="shared" si="1"/>
        <v>0</v>
      </c>
      <c r="O54" s="23"/>
      <c r="P54" s="23"/>
      <c r="Q54" s="23"/>
      <c r="R54" s="26"/>
      <c r="S54" s="23"/>
    </row>
    <row r="55" spans="1:19" ht="19.5" customHeight="1" outlineLevel="1">
      <c r="A55" s="29">
        <v>42</v>
      </c>
      <c r="B55" s="30">
        <f>IF(1&lt;=DAY(DATE(YEAR(설정_코스수당!$K$2),MONTH(설정_코스수당!$K$2)+1,0)),DATE(YEAR(설정_코스수당!$K$2),MONTH(설정_코스수당!$K$2),1),"")</f>
        <v>46174</v>
      </c>
      <c r="C55" s="31"/>
      <c r="D55" s="29"/>
      <c r="E55" s="29"/>
      <c r="F55" s="32"/>
      <c r="G55" s="29"/>
      <c r="H55" s="29"/>
      <c r="I55" s="29"/>
      <c r="J55" s="33">
        <f>IF($O55="방문완료",MAX(0,IFERROR(VLOOKUP($E55,설정_코스수당!$A$6:$H$10,4,FALSE),0)-IF(OR($P55="",$P55="없음"),0,100000)),0)</f>
        <v>0</v>
      </c>
      <c r="K55" s="33">
        <f t="array" ref="K55">IF($O55="방문완료",IFERROR(INDEX(설정_코스수당!$B$15:$F$64,MATCH($G55,설정_코스수당!$A$15:$A$64,0),MATCH($E55&amp;"수당",설정_코스수당!$B$14:$F$14,0)),0),0)</f>
        <v>0</v>
      </c>
      <c r="L55" s="33">
        <f t="array" ref="L55">IF($O55="방문완료",IF($H55="",0,IFERROR(INDEX(설정_코스수당!$B$15:$F$64,MATCH($H55,설정_코스수당!$A$15:$A$64,0),MATCH($E55&amp;"수당",설정_코스수당!$B$14:$F$14,0)),0)),0)</f>
        <v>0</v>
      </c>
      <c r="M55" s="33">
        <f>IF($O55="방문완료",IFERROR(VLOOKUP($E55,설정_코스수당!$A$6:$H$10,6,FALSE),0),0)</f>
        <v>0</v>
      </c>
      <c r="N55" s="34">
        <f t="shared" si="1"/>
        <v>0</v>
      </c>
      <c r="O55" s="29"/>
      <c r="P55" s="29"/>
      <c r="Q55" s="29"/>
      <c r="R55" s="32"/>
      <c r="S55" s="29"/>
    </row>
    <row r="56" spans="1:19" ht="19.5" customHeight="1" outlineLevel="1">
      <c r="A56" s="23">
        <v>43</v>
      </c>
      <c r="B56" s="24">
        <f>IF(1&lt;=DAY(DATE(YEAR(설정_코스수당!$K$2),MONTH(설정_코스수당!$K$2)+1,0)),DATE(YEAR(설정_코스수당!$K$2),MONTH(설정_코스수당!$K$2),1),"")</f>
        <v>46174</v>
      </c>
      <c r="C56" s="25"/>
      <c r="D56" s="23"/>
      <c r="E56" s="23"/>
      <c r="F56" s="26"/>
      <c r="G56" s="23"/>
      <c r="H56" s="23"/>
      <c r="I56" s="23"/>
      <c r="J56" s="27">
        <f>IF($O56="방문완료",MAX(0,IFERROR(VLOOKUP($E56,설정_코스수당!$A$6:$H$10,4,FALSE),0)-IF(OR($P56="",$P56="없음"),0,100000)),0)</f>
        <v>0</v>
      </c>
      <c r="K56" s="27">
        <f t="array" ref="K56">IF($O56="방문완료",IFERROR(INDEX(설정_코스수당!$B$15:$F$64,MATCH($G56,설정_코스수당!$A$15:$A$64,0),MATCH($E56&amp;"수당",설정_코스수당!$B$14:$F$14,0)),0),0)</f>
        <v>0</v>
      </c>
      <c r="L56" s="27">
        <f t="array" ref="L56">IF($O56="방문완료",IF($H56="",0,IFERROR(INDEX(설정_코스수당!$B$15:$F$64,MATCH($H56,설정_코스수당!$A$15:$A$64,0),MATCH($E56&amp;"수당",설정_코스수당!$B$14:$F$14,0)),0)),0)</f>
        <v>0</v>
      </c>
      <c r="M56" s="27">
        <f>IF($O56="방문완료",IFERROR(VLOOKUP($E56,설정_코스수당!$A$6:$H$10,6,FALSE),0),0)</f>
        <v>0</v>
      </c>
      <c r="N56" s="28">
        <f t="shared" si="1"/>
        <v>0</v>
      </c>
      <c r="O56" s="23"/>
      <c r="P56" s="23"/>
      <c r="Q56" s="23"/>
      <c r="R56" s="26"/>
      <c r="S56" s="23"/>
    </row>
    <row r="57" spans="1:19" ht="19.5" customHeight="1" outlineLevel="1">
      <c r="A57" s="29">
        <v>44</v>
      </c>
      <c r="B57" s="30">
        <f>IF(1&lt;=DAY(DATE(YEAR(설정_코스수당!$K$2),MONTH(설정_코스수당!$K$2)+1,0)),DATE(YEAR(설정_코스수당!$K$2),MONTH(설정_코스수당!$K$2),1),"")</f>
        <v>46174</v>
      </c>
      <c r="C57" s="31"/>
      <c r="D57" s="29"/>
      <c r="E57" s="29"/>
      <c r="F57" s="32"/>
      <c r="G57" s="29"/>
      <c r="H57" s="29"/>
      <c r="I57" s="29"/>
      <c r="J57" s="33">
        <f>IF($O57="방문완료",MAX(0,IFERROR(VLOOKUP($E57,설정_코스수당!$A$6:$H$10,4,FALSE),0)-IF(OR($P57="",$P57="없음"),0,100000)),0)</f>
        <v>0</v>
      </c>
      <c r="K57" s="33">
        <f t="array" ref="K57">IF($O57="방문완료",IFERROR(INDEX(설정_코스수당!$B$15:$F$64,MATCH($G57,설정_코스수당!$A$15:$A$64,0),MATCH($E57&amp;"수당",설정_코스수당!$B$14:$F$14,0)),0),0)</f>
        <v>0</v>
      </c>
      <c r="L57" s="33">
        <f t="array" ref="L57">IF($O57="방문완료",IF($H57="",0,IFERROR(INDEX(설정_코스수당!$B$15:$F$64,MATCH($H57,설정_코스수당!$A$15:$A$64,0),MATCH($E57&amp;"수당",설정_코스수당!$B$14:$F$14,0)),0)),0)</f>
        <v>0</v>
      </c>
      <c r="M57" s="33">
        <f>IF($O57="방문완료",IFERROR(VLOOKUP($E57,설정_코스수당!$A$6:$H$10,6,FALSE),0),0)</f>
        <v>0</v>
      </c>
      <c r="N57" s="34">
        <f t="shared" si="1"/>
        <v>0</v>
      </c>
      <c r="O57" s="29"/>
      <c r="P57" s="29"/>
      <c r="Q57" s="29"/>
      <c r="R57" s="32"/>
      <c r="S57" s="29"/>
    </row>
    <row r="58" spans="1:19" ht="19.5" customHeight="1" outlineLevel="1">
      <c r="A58" s="23">
        <v>45</v>
      </c>
      <c r="B58" s="24">
        <f>IF(1&lt;=DAY(DATE(YEAR(설정_코스수당!$K$2),MONTH(설정_코스수당!$K$2)+1,0)),DATE(YEAR(설정_코스수당!$K$2),MONTH(설정_코스수당!$K$2),1),"")</f>
        <v>46174</v>
      </c>
      <c r="C58" s="25"/>
      <c r="D58" s="23"/>
      <c r="E58" s="23"/>
      <c r="F58" s="26"/>
      <c r="G58" s="23"/>
      <c r="H58" s="23"/>
      <c r="I58" s="23"/>
      <c r="J58" s="27">
        <f>IF($O58="방문완료",MAX(0,IFERROR(VLOOKUP($E58,설정_코스수당!$A$6:$H$10,4,FALSE),0)-IF(OR($P58="",$P58="없음"),0,100000)),0)</f>
        <v>0</v>
      </c>
      <c r="K58" s="27">
        <f t="array" ref="K58">IF($O58="방문완료",IFERROR(INDEX(설정_코스수당!$B$15:$F$64,MATCH($G58,설정_코스수당!$A$15:$A$64,0),MATCH($E58&amp;"수당",설정_코스수당!$B$14:$F$14,0)),0),0)</f>
        <v>0</v>
      </c>
      <c r="L58" s="27">
        <f t="array" ref="L58">IF($O58="방문완료",IF($H58="",0,IFERROR(INDEX(설정_코스수당!$B$15:$F$64,MATCH($H58,설정_코스수당!$A$15:$A$64,0),MATCH($E58&amp;"수당",설정_코스수당!$B$14:$F$14,0)),0)),0)</f>
        <v>0</v>
      </c>
      <c r="M58" s="27">
        <f>IF($O58="방문완료",IFERROR(VLOOKUP($E58,설정_코스수당!$A$6:$H$10,6,FALSE),0),0)</f>
        <v>0</v>
      </c>
      <c r="N58" s="28">
        <f t="shared" si="1"/>
        <v>0</v>
      </c>
      <c r="O58" s="23"/>
      <c r="P58" s="23"/>
      <c r="Q58" s="23"/>
      <c r="R58" s="26"/>
      <c r="S58" s="23"/>
    </row>
    <row r="59" spans="1:19" ht="19.5" customHeight="1" outlineLevel="1">
      <c r="A59" s="29">
        <v>46</v>
      </c>
      <c r="B59" s="30">
        <f>IF(1&lt;=DAY(DATE(YEAR(설정_코스수당!$K$2),MONTH(설정_코스수당!$K$2)+1,0)),DATE(YEAR(설정_코스수당!$K$2),MONTH(설정_코스수당!$K$2),1),"")</f>
        <v>46174</v>
      </c>
      <c r="C59" s="31"/>
      <c r="D59" s="29"/>
      <c r="E59" s="29"/>
      <c r="F59" s="32"/>
      <c r="G59" s="29"/>
      <c r="H59" s="29"/>
      <c r="I59" s="29"/>
      <c r="J59" s="33">
        <f>IF($O59="방문완료",MAX(0,IFERROR(VLOOKUP($E59,설정_코스수당!$A$6:$H$10,4,FALSE),0)-IF(OR($P59="",$P59="없음"),0,100000)),0)</f>
        <v>0</v>
      </c>
      <c r="K59" s="33">
        <f t="array" ref="K59">IF($O59="방문완료",IFERROR(INDEX(설정_코스수당!$B$15:$F$64,MATCH($G59,설정_코스수당!$A$15:$A$64,0),MATCH($E59&amp;"수당",설정_코스수당!$B$14:$F$14,0)),0),0)</f>
        <v>0</v>
      </c>
      <c r="L59" s="33">
        <f t="array" ref="L59">IF($O59="방문완료",IF($H59="",0,IFERROR(INDEX(설정_코스수당!$B$15:$F$64,MATCH($H59,설정_코스수당!$A$15:$A$64,0),MATCH($E59&amp;"수당",설정_코스수당!$B$14:$F$14,0)),0)),0)</f>
        <v>0</v>
      </c>
      <c r="M59" s="33">
        <f>IF($O59="방문완료",IFERROR(VLOOKUP($E59,설정_코스수당!$A$6:$H$10,6,FALSE),0),0)</f>
        <v>0</v>
      </c>
      <c r="N59" s="34">
        <f t="shared" si="1"/>
        <v>0</v>
      </c>
      <c r="O59" s="29"/>
      <c r="P59" s="29"/>
      <c r="Q59" s="29"/>
      <c r="R59" s="32"/>
      <c r="S59" s="29"/>
    </row>
    <row r="60" spans="1:19" ht="19.5" customHeight="1" outlineLevel="1">
      <c r="A60" s="23">
        <v>47</v>
      </c>
      <c r="B60" s="24">
        <f>IF(1&lt;=DAY(DATE(YEAR(설정_코스수당!$K$2),MONTH(설정_코스수당!$K$2)+1,0)),DATE(YEAR(설정_코스수당!$K$2),MONTH(설정_코스수당!$K$2),1),"")</f>
        <v>46174</v>
      </c>
      <c r="C60" s="25"/>
      <c r="D60" s="23"/>
      <c r="E60" s="23"/>
      <c r="F60" s="26"/>
      <c r="G60" s="23"/>
      <c r="H60" s="23"/>
      <c r="I60" s="23"/>
      <c r="J60" s="27">
        <f>IF($O60="방문완료",MAX(0,IFERROR(VLOOKUP($E60,설정_코스수당!$A$6:$H$10,4,FALSE),0)-IF(OR($P60="",$P60="없음"),0,100000)),0)</f>
        <v>0</v>
      </c>
      <c r="K60" s="27">
        <f t="array" ref="K60">IF($O60="방문완료",IFERROR(INDEX(설정_코스수당!$B$15:$F$64,MATCH($G60,설정_코스수당!$A$15:$A$64,0),MATCH($E60&amp;"수당",설정_코스수당!$B$14:$F$14,0)),0),0)</f>
        <v>0</v>
      </c>
      <c r="L60" s="27">
        <f t="array" ref="L60">IF($O60="방문완료",IF($H60="",0,IFERROR(INDEX(설정_코스수당!$B$15:$F$64,MATCH($H60,설정_코스수당!$A$15:$A$64,0),MATCH($E60&amp;"수당",설정_코스수당!$B$14:$F$14,0)),0)),0)</f>
        <v>0</v>
      </c>
      <c r="M60" s="27">
        <f>IF($O60="방문완료",IFERROR(VLOOKUP($E60,설정_코스수당!$A$6:$H$10,6,FALSE),0),0)</f>
        <v>0</v>
      </c>
      <c r="N60" s="28">
        <f t="shared" si="1"/>
        <v>0</v>
      </c>
      <c r="O60" s="23"/>
      <c r="P60" s="23"/>
      <c r="Q60" s="23"/>
      <c r="R60" s="26"/>
      <c r="S60" s="23"/>
    </row>
    <row r="61" spans="1:19" ht="19.5" customHeight="1" outlineLevel="1">
      <c r="A61" s="29">
        <v>48</v>
      </c>
      <c r="B61" s="30">
        <f>IF(1&lt;=DAY(DATE(YEAR(설정_코스수당!$K$2),MONTH(설정_코스수당!$K$2)+1,0)),DATE(YEAR(설정_코스수당!$K$2),MONTH(설정_코스수당!$K$2),1),"")</f>
        <v>46174</v>
      </c>
      <c r="C61" s="31"/>
      <c r="D61" s="29"/>
      <c r="E61" s="29"/>
      <c r="F61" s="32"/>
      <c r="G61" s="29"/>
      <c r="H61" s="29"/>
      <c r="I61" s="29"/>
      <c r="J61" s="33">
        <f>IF($O61="방문완료",MAX(0,IFERROR(VLOOKUP($E61,설정_코스수당!$A$6:$H$10,4,FALSE),0)-IF(OR($P61="",$P61="없음"),0,100000)),0)</f>
        <v>0</v>
      </c>
      <c r="K61" s="33">
        <f t="array" ref="K61">IF($O61="방문완료",IFERROR(INDEX(설정_코스수당!$B$15:$F$64,MATCH($G61,설정_코스수당!$A$15:$A$64,0),MATCH($E61&amp;"수당",설정_코스수당!$B$14:$F$14,0)),0),0)</f>
        <v>0</v>
      </c>
      <c r="L61" s="33">
        <f t="array" ref="L61">IF($O61="방문완료",IF($H61="",0,IFERROR(INDEX(설정_코스수당!$B$15:$F$64,MATCH($H61,설정_코스수당!$A$15:$A$64,0),MATCH($E61&amp;"수당",설정_코스수당!$B$14:$F$14,0)),0)),0)</f>
        <v>0</v>
      </c>
      <c r="M61" s="33">
        <f>IF($O61="방문완료",IFERROR(VLOOKUP($E61,설정_코스수당!$A$6:$H$10,6,FALSE),0),0)</f>
        <v>0</v>
      </c>
      <c r="N61" s="34">
        <f t="shared" si="1"/>
        <v>0</v>
      </c>
      <c r="O61" s="29"/>
      <c r="P61" s="29"/>
      <c r="Q61" s="29"/>
      <c r="R61" s="32"/>
      <c r="S61" s="29"/>
    </row>
    <row r="62" spans="1:19" ht="19.5" customHeight="1" outlineLevel="1">
      <c r="A62" s="23">
        <v>49</v>
      </c>
      <c r="B62" s="24">
        <f>IF(1&lt;=DAY(DATE(YEAR(설정_코스수당!$K$2),MONTH(설정_코스수당!$K$2)+1,0)),DATE(YEAR(설정_코스수당!$K$2),MONTH(설정_코스수당!$K$2),1),"")</f>
        <v>46174</v>
      </c>
      <c r="C62" s="25"/>
      <c r="D62" s="23"/>
      <c r="E62" s="23"/>
      <c r="F62" s="26"/>
      <c r="G62" s="23"/>
      <c r="H62" s="23"/>
      <c r="I62" s="23"/>
      <c r="J62" s="27">
        <f>IF($O62="방문완료",MAX(0,IFERROR(VLOOKUP($E62,설정_코스수당!$A$6:$H$10,4,FALSE),0)-IF(OR($P62="",$P62="없음"),0,100000)),0)</f>
        <v>0</v>
      </c>
      <c r="K62" s="27">
        <f t="array" ref="K62">IF($O62="방문완료",IFERROR(INDEX(설정_코스수당!$B$15:$F$64,MATCH($G62,설정_코스수당!$A$15:$A$64,0),MATCH($E62&amp;"수당",설정_코스수당!$B$14:$F$14,0)),0),0)</f>
        <v>0</v>
      </c>
      <c r="L62" s="27">
        <f t="array" ref="L62">IF($O62="방문완료",IF($H62="",0,IFERROR(INDEX(설정_코스수당!$B$15:$F$64,MATCH($H62,설정_코스수당!$A$15:$A$64,0),MATCH($E62&amp;"수당",설정_코스수당!$B$14:$F$14,0)),0)),0)</f>
        <v>0</v>
      </c>
      <c r="M62" s="27">
        <f>IF($O62="방문완료",IFERROR(VLOOKUP($E62,설정_코스수당!$A$6:$H$10,6,FALSE),0),0)</f>
        <v>0</v>
      </c>
      <c r="N62" s="28">
        <f t="shared" si="1"/>
        <v>0</v>
      </c>
      <c r="O62" s="23"/>
      <c r="P62" s="23"/>
      <c r="Q62" s="23"/>
      <c r="R62" s="26"/>
      <c r="S62" s="23"/>
    </row>
    <row r="63" spans="1:19" ht="19.5" customHeight="1" outlineLevel="1">
      <c r="A63" s="29">
        <v>50</v>
      </c>
      <c r="B63" s="30">
        <f>IF(1&lt;=DAY(DATE(YEAR(설정_코스수당!$K$2),MONTH(설정_코스수당!$K$2)+1,0)),DATE(YEAR(설정_코스수당!$K$2),MONTH(설정_코스수당!$K$2),1),"")</f>
        <v>46174</v>
      </c>
      <c r="C63" s="31"/>
      <c r="D63" s="29"/>
      <c r="E63" s="29"/>
      <c r="F63" s="32"/>
      <c r="G63" s="29"/>
      <c r="H63" s="29"/>
      <c r="I63" s="29"/>
      <c r="J63" s="33">
        <f>IF($O63="방문완료",MAX(0,IFERROR(VLOOKUP($E63,설정_코스수당!$A$6:$H$10,4,FALSE),0)-IF(OR($P63="",$P63="없음"),0,100000)),0)</f>
        <v>0</v>
      </c>
      <c r="K63" s="33">
        <f t="array" ref="K63">IF($O63="방문완료",IFERROR(INDEX(설정_코스수당!$B$15:$F$64,MATCH($G63,설정_코스수당!$A$15:$A$64,0),MATCH($E63&amp;"수당",설정_코스수당!$B$14:$F$14,0)),0),0)</f>
        <v>0</v>
      </c>
      <c r="L63" s="33">
        <f t="array" ref="L63">IF($O63="방문완료",IF($H63="",0,IFERROR(INDEX(설정_코스수당!$B$15:$F$64,MATCH($H63,설정_코스수당!$A$15:$A$64,0),MATCH($E63&amp;"수당",설정_코스수당!$B$14:$F$14,0)),0)),0)</f>
        <v>0</v>
      </c>
      <c r="M63" s="33">
        <f>IF($O63="방문완료",IFERROR(VLOOKUP($E63,설정_코스수당!$A$6:$H$10,6,FALSE),0),0)</f>
        <v>0</v>
      </c>
      <c r="N63" s="34">
        <f t="shared" si="1"/>
        <v>0</v>
      </c>
      <c r="O63" s="29"/>
      <c r="P63" s="29"/>
      <c r="Q63" s="29"/>
      <c r="R63" s="32"/>
      <c r="S63" s="29"/>
    </row>
    <row r="64" spans="1:19" ht="19.5" customHeight="1" outlineLevel="1">
      <c r="A64" s="23">
        <v>51</v>
      </c>
      <c r="B64" s="24">
        <f>IF(1&lt;=DAY(DATE(YEAR(설정_코스수당!$K$2),MONTH(설정_코스수당!$K$2)+1,0)),DATE(YEAR(설정_코스수당!$K$2),MONTH(설정_코스수당!$K$2),1),"")</f>
        <v>46174</v>
      </c>
      <c r="C64" s="25"/>
      <c r="D64" s="23"/>
      <c r="E64" s="23"/>
      <c r="F64" s="26"/>
      <c r="G64" s="23"/>
      <c r="H64" s="23"/>
      <c r="I64" s="23"/>
      <c r="J64" s="27">
        <f>IF($O64="방문완료",MAX(0,IFERROR(VLOOKUP($E64,설정_코스수당!$A$6:$H$10,4,FALSE),0)-IF(OR($P64="",$P64="없음"),0,100000)),0)</f>
        <v>0</v>
      </c>
      <c r="K64" s="27">
        <f t="array" ref="K64">IF($O64="방문완료",IFERROR(INDEX(설정_코스수당!$B$15:$F$64,MATCH($G64,설정_코스수당!$A$15:$A$64,0),MATCH($E64&amp;"수당",설정_코스수당!$B$14:$F$14,0)),0),0)</f>
        <v>0</v>
      </c>
      <c r="L64" s="27">
        <f t="array" ref="L64">IF($O64="방문완료",IF($H64="",0,IFERROR(INDEX(설정_코스수당!$B$15:$F$64,MATCH($H64,설정_코스수당!$A$15:$A$64,0),MATCH($E64&amp;"수당",설정_코스수당!$B$14:$F$14,0)),0)),0)</f>
        <v>0</v>
      </c>
      <c r="M64" s="27">
        <f>IF($O64="방문완료",IFERROR(VLOOKUP($E64,설정_코스수당!$A$6:$H$10,6,FALSE),0),0)</f>
        <v>0</v>
      </c>
      <c r="N64" s="28">
        <f t="shared" si="1"/>
        <v>0</v>
      </c>
      <c r="O64" s="23"/>
      <c r="P64" s="23"/>
      <c r="Q64" s="23"/>
      <c r="R64" s="26"/>
      <c r="S64" s="23"/>
    </row>
    <row r="65" spans="1:19" ht="19.5" customHeight="1" outlineLevel="1">
      <c r="A65" s="29">
        <v>52</v>
      </c>
      <c r="B65" s="30">
        <f>IF(1&lt;=DAY(DATE(YEAR(설정_코스수당!$K$2),MONTH(설정_코스수당!$K$2)+1,0)),DATE(YEAR(설정_코스수당!$K$2),MONTH(설정_코스수당!$K$2),1),"")</f>
        <v>46174</v>
      </c>
      <c r="C65" s="31"/>
      <c r="D65" s="29"/>
      <c r="E65" s="29"/>
      <c r="F65" s="32"/>
      <c r="G65" s="29"/>
      <c r="H65" s="29"/>
      <c r="I65" s="29"/>
      <c r="J65" s="33">
        <f>IF($O65="방문완료",MAX(0,IFERROR(VLOOKUP($E65,설정_코스수당!$A$6:$H$10,4,FALSE),0)-IF(OR($P65="",$P65="없음"),0,100000)),0)</f>
        <v>0</v>
      </c>
      <c r="K65" s="33">
        <f t="array" ref="K65">IF($O65="방문완료",IFERROR(INDEX(설정_코스수당!$B$15:$F$64,MATCH($G65,설정_코스수당!$A$15:$A$64,0),MATCH($E65&amp;"수당",설정_코스수당!$B$14:$F$14,0)),0),0)</f>
        <v>0</v>
      </c>
      <c r="L65" s="33">
        <f t="array" ref="L65">IF($O65="방문완료",IF($H65="",0,IFERROR(INDEX(설정_코스수당!$B$15:$F$64,MATCH($H65,설정_코스수당!$A$15:$A$64,0),MATCH($E65&amp;"수당",설정_코스수당!$B$14:$F$14,0)),0)),0)</f>
        <v>0</v>
      </c>
      <c r="M65" s="33">
        <f>IF($O65="방문완료",IFERROR(VLOOKUP($E65,설정_코스수당!$A$6:$H$10,6,FALSE),0),0)</f>
        <v>0</v>
      </c>
      <c r="N65" s="34">
        <f t="shared" si="1"/>
        <v>0</v>
      </c>
      <c r="O65" s="29"/>
      <c r="P65" s="29"/>
      <c r="Q65" s="29"/>
      <c r="R65" s="32"/>
      <c r="S65" s="29"/>
    </row>
    <row r="66" spans="1:19" ht="19.5" customHeight="1" outlineLevel="1">
      <c r="A66" s="23">
        <v>53</v>
      </c>
      <c r="B66" s="24">
        <f>IF(1&lt;=DAY(DATE(YEAR(설정_코스수당!$K$2),MONTH(설정_코스수당!$K$2)+1,0)),DATE(YEAR(설정_코스수당!$K$2),MONTH(설정_코스수당!$K$2),1),"")</f>
        <v>46174</v>
      </c>
      <c r="C66" s="25"/>
      <c r="D66" s="23"/>
      <c r="E66" s="23"/>
      <c r="F66" s="26"/>
      <c r="G66" s="23"/>
      <c r="H66" s="23"/>
      <c r="I66" s="23"/>
      <c r="J66" s="27">
        <f>IF($O66="방문완료",MAX(0,IFERROR(VLOOKUP($E66,설정_코스수당!$A$6:$H$10,4,FALSE),0)-IF(OR($P66="",$P66="없음"),0,100000)),0)</f>
        <v>0</v>
      </c>
      <c r="K66" s="27">
        <f t="array" ref="K66">IF($O66="방문완료",IFERROR(INDEX(설정_코스수당!$B$15:$F$64,MATCH($G66,설정_코스수당!$A$15:$A$64,0),MATCH($E66&amp;"수당",설정_코스수당!$B$14:$F$14,0)),0),0)</f>
        <v>0</v>
      </c>
      <c r="L66" s="27">
        <f t="array" ref="L66">IF($O66="방문완료",IF($H66="",0,IFERROR(INDEX(설정_코스수당!$B$15:$F$64,MATCH($H66,설정_코스수당!$A$15:$A$64,0),MATCH($E66&amp;"수당",설정_코스수당!$B$14:$F$14,0)),0)),0)</f>
        <v>0</v>
      </c>
      <c r="M66" s="27">
        <f>IF($O66="방문완료",IFERROR(VLOOKUP($E66,설정_코스수당!$A$6:$H$10,6,FALSE),0),0)</f>
        <v>0</v>
      </c>
      <c r="N66" s="28">
        <f t="shared" si="1"/>
        <v>0</v>
      </c>
      <c r="O66" s="23"/>
      <c r="P66" s="23"/>
      <c r="Q66" s="23"/>
      <c r="R66" s="26"/>
      <c r="S66" s="23"/>
    </row>
    <row r="67" spans="1:19" ht="19.5" customHeight="1" outlineLevel="1">
      <c r="A67" s="29">
        <v>54</v>
      </c>
      <c r="B67" s="30">
        <f>IF(1&lt;=DAY(DATE(YEAR(설정_코스수당!$K$2),MONTH(설정_코스수당!$K$2)+1,0)),DATE(YEAR(설정_코스수당!$K$2),MONTH(설정_코스수당!$K$2),1),"")</f>
        <v>46174</v>
      </c>
      <c r="C67" s="31"/>
      <c r="D67" s="29"/>
      <c r="E67" s="29"/>
      <c r="F67" s="32"/>
      <c r="G67" s="29"/>
      <c r="H67" s="29"/>
      <c r="I67" s="29"/>
      <c r="J67" s="33">
        <f>IF($O67="방문완료",MAX(0,IFERROR(VLOOKUP($E67,설정_코스수당!$A$6:$H$10,4,FALSE),0)-IF(OR($P67="",$P67="없음"),0,100000)),0)</f>
        <v>0</v>
      </c>
      <c r="K67" s="33">
        <f t="array" ref="K67">IF($O67="방문완료",IFERROR(INDEX(설정_코스수당!$B$15:$F$64,MATCH($G67,설정_코스수당!$A$15:$A$64,0),MATCH($E67&amp;"수당",설정_코스수당!$B$14:$F$14,0)),0),0)</f>
        <v>0</v>
      </c>
      <c r="L67" s="33">
        <f t="array" ref="L67">IF($O67="방문완료",IF($H67="",0,IFERROR(INDEX(설정_코스수당!$B$15:$F$64,MATCH($H67,설정_코스수당!$A$15:$A$64,0),MATCH($E67&amp;"수당",설정_코스수당!$B$14:$F$14,0)),0)),0)</f>
        <v>0</v>
      </c>
      <c r="M67" s="33">
        <f>IF($O67="방문완료",IFERROR(VLOOKUP($E67,설정_코스수당!$A$6:$H$10,6,FALSE),0),0)</f>
        <v>0</v>
      </c>
      <c r="N67" s="34">
        <f t="shared" si="1"/>
        <v>0</v>
      </c>
      <c r="O67" s="29"/>
      <c r="P67" s="29"/>
      <c r="Q67" s="29"/>
      <c r="R67" s="32"/>
      <c r="S67" s="29"/>
    </row>
    <row r="68" spans="1:19" ht="19.5" customHeight="1" outlineLevel="1">
      <c r="A68" s="23">
        <v>55</v>
      </c>
      <c r="B68" s="24">
        <f>IF(1&lt;=DAY(DATE(YEAR(설정_코스수당!$K$2),MONTH(설정_코스수당!$K$2)+1,0)),DATE(YEAR(설정_코스수당!$K$2),MONTH(설정_코스수당!$K$2),1),"")</f>
        <v>46174</v>
      </c>
      <c r="C68" s="25"/>
      <c r="D68" s="23"/>
      <c r="E68" s="23"/>
      <c r="F68" s="26"/>
      <c r="G68" s="23"/>
      <c r="H68" s="23"/>
      <c r="I68" s="23"/>
      <c r="J68" s="27">
        <f>IF($O68="방문완료",MAX(0,IFERROR(VLOOKUP($E68,설정_코스수당!$A$6:$H$10,4,FALSE),0)-IF(OR($P68="",$P68="없음"),0,100000)),0)</f>
        <v>0</v>
      </c>
      <c r="K68" s="27">
        <f t="array" ref="K68">IF($O68="방문완료",IFERROR(INDEX(설정_코스수당!$B$15:$F$64,MATCH($G68,설정_코스수당!$A$15:$A$64,0),MATCH($E68&amp;"수당",설정_코스수당!$B$14:$F$14,0)),0),0)</f>
        <v>0</v>
      </c>
      <c r="L68" s="27">
        <f t="array" ref="L68">IF($O68="방문완료",IF($H68="",0,IFERROR(INDEX(설정_코스수당!$B$15:$F$64,MATCH($H68,설정_코스수당!$A$15:$A$64,0),MATCH($E68&amp;"수당",설정_코스수당!$B$14:$F$14,0)),0)),0)</f>
        <v>0</v>
      </c>
      <c r="M68" s="27">
        <f>IF($O68="방문완료",IFERROR(VLOOKUP($E68,설정_코스수당!$A$6:$H$10,6,FALSE),0),0)</f>
        <v>0</v>
      </c>
      <c r="N68" s="28">
        <f t="shared" si="1"/>
        <v>0</v>
      </c>
      <c r="O68" s="23"/>
      <c r="P68" s="23"/>
      <c r="Q68" s="23"/>
      <c r="R68" s="26"/>
      <c r="S68" s="23"/>
    </row>
    <row r="69" spans="1:19" ht="19.5" customHeight="1" outlineLevel="1">
      <c r="A69" s="29">
        <v>56</v>
      </c>
      <c r="B69" s="30">
        <f>IF(1&lt;=DAY(DATE(YEAR(설정_코스수당!$K$2),MONTH(설정_코스수당!$K$2)+1,0)),DATE(YEAR(설정_코스수당!$K$2),MONTH(설정_코스수당!$K$2),1),"")</f>
        <v>46174</v>
      </c>
      <c r="C69" s="31"/>
      <c r="D69" s="29"/>
      <c r="E69" s="29"/>
      <c r="F69" s="32"/>
      <c r="G69" s="29"/>
      <c r="H69" s="29"/>
      <c r="I69" s="29"/>
      <c r="J69" s="33">
        <f>IF($O69="방문완료",MAX(0,IFERROR(VLOOKUP($E69,설정_코스수당!$A$6:$H$10,4,FALSE),0)-IF(OR($P69="",$P69="없음"),0,100000)),0)</f>
        <v>0</v>
      </c>
      <c r="K69" s="33">
        <f t="array" ref="K69">IF($O69="방문완료",IFERROR(INDEX(설정_코스수당!$B$15:$F$64,MATCH($G69,설정_코스수당!$A$15:$A$64,0),MATCH($E69&amp;"수당",설정_코스수당!$B$14:$F$14,0)),0),0)</f>
        <v>0</v>
      </c>
      <c r="L69" s="33">
        <f t="array" ref="L69">IF($O69="방문완료",IF($H69="",0,IFERROR(INDEX(설정_코스수당!$B$15:$F$64,MATCH($H69,설정_코스수당!$A$15:$A$64,0),MATCH($E69&amp;"수당",설정_코스수당!$B$14:$F$14,0)),0)),0)</f>
        <v>0</v>
      </c>
      <c r="M69" s="33">
        <f>IF($O69="방문완료",IFERROR(VLOOKUP($E69,설정_코스수당!$A$6:$H$10,6,FALSE),0),0)</f>
        <v>0</v>
      </c>
      <c r="N69" s="34">
        <f t="shared" si="1"/>
        <v>0</v>
      </c>
      <c r="O69" s="29"/>
      <c r="P69" s="29"/>
      <c r="Q69" s="29"/>
      <c r="R69" s="32"/>
      <c r="S69" s="29"/>
    </row>
    <row r="70" spans="1:19" ht="19.5" customHeight="1" outlineLevel="1">
      <c r="A70" s="23">
        <v>57</v>
      </c>
      <c r="B70" s="24">
        <f>IF(1&lt;=DAY(DATE(YEAR(설정_코스수당!$K$2),MONTH(설정_코스수당!$K$2)+1,0)),DATE(YEAR(설정_코스수당!$K$2),MONTH(설정_코스수당!$K$2),1),"")</f>
        <v>46174</v>
      </c>
      <c r="C70" s="25"/>
      <c r="D70" s="23"/>
      <c r="E70" s="23"/>
      <c r="F70" s="26"/>
      <c r="G70" s="23"/>
      <c r="H70" s="23"/>
      <c r="I70" s="23"/>
      <c r="J70" s="27">
        <f>IF($O70="방문완료",MAX(0,IFERROR(VLOOKUP($E70,설정_코스수당!$A$6:$H$10,4,FALSE),0)-IF(OR($P70="",$P70="없음"),0,100000)),0)</f>
        <v>0</v>
      </c>
      <c r="K70" s="27">
        <f t="array" ref="K70">IF($O70="방문완료",IFERROR(INDEX(설정_코스수당!$B$15:$F$64,MATCH($G70,설정_코스수당!$A$15:$A$64,0),MATCH($E70&amp;"수당",설정_코스수당!$B$14:$F$14,0)),0),0)</f>
        <v>0</v>
      </c>
      <c r="L70" s="27">
        <f t="array" ref="L70">IF($O70="방문완료",IF($H70="",0,IFERROR(INDEX(설정_코스수당!$B$15:$F$64,MATCH($H70,설정_코스수당!$A$15:$A$64,0),MATCH($E70&amp;"수당",설정_코스수당!$B$14:$F$14,0)),0)),0)</f>
        <v>0</v>
      </c>
      <c r="M70" s="27">
        <f>IF($O70="방문완료",IFERROR(VLOOKUP($E70,설정_코스수당!$A$6:$H$10,6,FALSE),0),0)</f>
        <v>0</v>
      </c>
      <c r="N70" s="28">
        <f t="shared" si="1"/>
        <v>0</v>
      </c>
      <c r="O70" s="23"/>
      <c r="P70" s="23"/>
      <c r="Q70" s="23"/>
      <c r="R70" s="26"/>
      <c r="S70" s="23"/>
    </row>
    <row r="71" spans="1:19" ht="19.5" customHeight="1" outlineLevel="1">
      <c r="A71" s="29">
        <v>58</v>
      </c>
      <c r="B71" s="30">
        <f>IF(1&lt;=DAY(DATE(YEAR(설정_코스수당!$K$2),MONTH(설정_코스수당!$K$2)+1,0)),DATE(YEAR(설정_코스수당!$K$2),MONTH(설정_코스수당!$K$2),1),"")</f>
        <v>46174</v>
      </c>
      <c r="C71" s="31"/>
      <c r="D71" s="29"/>
      <c r="E71" s="29"/>
      <c r="F71" s="32"/>
      <c r="G71" s="29"/>
      <c r="H71" s="29"/>
      <c r="I71" s="29"/>
      <c r="J71" s="33">
        <f>IF($O71="방문완료",MAX(0,IFERROR(VLOOKUP($E71,설정_코스수당!$A$6:$H$10,4,FALSE),0)-IF(OR($P71="",$P71="없음"),0,100000)),0)</f>
        <v>0</v>
      </c>
      <c r="K71" s="33">
        <f t="array" ref="K71">IF($O71="방문완료",IFERROR(INDEX(설정_코스수당!$B$15:$F$64,MATCH($G71,설정_코스수당!$A$15:$A$64,0),MATCH($E71&amp;"수당",설정_코스수당!$B$14:$F$14,0)),0),0)</f>
        <v>0</v>
      </c>
      <c r="L71" s="33">
        <f t="array" ref="L71">IF($O71="방문완료",IF($H71="",0,IFERROR(INDEX(설정_코스수당!$B$15:$F$64,MATCH($H71,설정_코스수당!$A$15:$A$64,0),MATCH($E71&amp;"수당",설정_코스수당!$B$14:$F$14,0)),0)),0)</f>
        <v>0</v>
      </c>
      <c r="M71" s="33">
        <f>IF($O71="방문완료",IFERROR(VLOOKUP($E71,설정_코스수당!$A$6:$H$10,6,FALSE),0),0)</f>
        <v>0</v>
      </c>
      <c r="N71" s="34">
        <f t="shared" si="1"/>
        <v>0</v>
      </c>
      <c r="O71" s="29"/>
      <c r="P71" s="29"/>
      <c r="Q71" s="29"/>
      <c r="R71" s="32"/>
      <c r="S71" s="29"/>
    </row>
    <row r="72" spans="1:19" ht="19.5" customHeight="1" outlineLevel="1">
      <c r="A72" s="23">
        <v>59</v>
      </c>
      <c r="B72" s="24">
        <f>IF(1&lt;=DAY(DATE(YEAR(설정_코스수당!$K$2),MONTH(설정_코스수당!$K$2)+1,0)),DATE(YEAR(설정_코스수당!$K$2),MONTH(설정_코스수당!$K$2),1),"")</f>
        <v>46174</v>
      </c>
      <c r="C72" s="25"/>
      <c r="D72" s="23"/>
      <c r="E72" s="23"/>
      <c r="F72" s="26"/>
      <c r="G72" s="23"/>
      <c r="H72" s="23"/>
      <c r="I72" s="23"/>
      <c r="J72" s="27">
        <f>IF($O72="방문완료",MAX(0,IFERROR(VLOOKUP($E72,설정_코스수당!$A$6:$H$10,4,FALSE),0)-IF(OR($P72="",$P72="없음"),0,100000)),0)</f>
        <v>0</v>
      </c>
      <c r="K72" s="27">
        <f t="array" ref="K72">IF($O72="방문완료",IFERROR(INDEX(설정_코스수당!$B$15:$F$64,MATCH($G72,설정_코스수당!$A$15:$A$64,0),MATCH($E72&amp;"수당",설정_코스수당!$B$14:$F$14,0)),0),0)</f>
        <v>0</v>
      </c>
      <c r="L72" s="27">
        <f t="array" ref="L72">IF($O72="방문완료",IF($H72="",0,IFERROR(INDEX(설정_코스수당!$B$15:$F$64,MATCH($H72,설정_코스수당!$A$15:$A$64,0),MATCH($E72&amp;"수당",설정_코스수당!$B$14:$F$14,0)),0)),0)</f>
        <v>0</v>
      </c>
      <c r="M72" s="27">
        <f>IF($O72="방문완료",IFERROR(VLOOKUP($E72,설정_코스수당!$A$6:$H$10,6,FALSE),0),0)</f>
        <v>0</v>
      </c>
      <c r="N72" s="28">
        <f t="shared" si="1"/>
        <v>0</v>
      </c>
      <c r="O72" s="23"/>
      <c r="P72" s="23"/>
      <c r="Q72" s="23"/>
      <c r="R72" s="26"/>
      <c r="S72" s="23"/>
    </row>
    <row r="73" spans="1:19" ht="19.5" customHeight="1" outlineLevel="1">
      <c r="A73" s="29">
        <v>60</v>
      </c>
      <c r="B73" s="30">
        <f>IF(1&lt;=DAY(DATE(YEAR(설정_코스수당!$K$2),MONTH(설정_코스수당!$K$2)+1,0)),DATE(YEAR(설정_코스수당!$K$2),MONTH(설정_코스수당!$K$2),1),"")</f>
        <v>46174</v>
      </c>
      <c r="C73" s="31"/>
      <c r="D73" s="29"/>
      <c r="E73" s="29"/>
      <c r="F73" s="32"/>
      <c r="G73" s="29"/>
      <c r="H73" s="29"/>
      <c r="I73" s="29"/>
      <c r="J73" s="33">
        <f>IF($O73="방문완료",MAX(0,IFERROR(VLOOKUP($E73,설정_코스수당!$A$6:$H$10,4,FALSE),0)-IF(OR($P73="",$P73="없음"),0,100000)),0)</f>
        <v>0</v>
      </c>
      <c r="K73" s="33">
        <f t="array" ref="K73">IF($O73="방문완료",IFERROR(INDEX(설정_코스수당!$B$15:$F$64,MATCH($G73,설정_코스수당!$A$15:$A$64,0),MATCH($E73&amp;"수당",설정_코스수당!$B$14:$F$14,0)),0),0)</f>
        <v>0</v>
      </c>
      <c r="L73" s="33">
        <f t="array" ref="L73">IF($O73="방문완료",IF($H73="",0,IFERROR(INDEX(설정_코스수당!$B$15:$F$64,MATCH($H73,설정_코스수당!$A$15:$A$64,0),MATCH($E73&amp;"수당",설정_코스수당!$B$14:$F$14,0)),0)),0)</f>
        <v>0</v>
      </c>
      <c r="M73" s="33">
        <f>IF($O73="방문완료",IFERROR(VLOOKUP($E73,설정_코스수당!$A$6:$H$10,6,FALSE),0),0)</f>
        <v>0</v>
      </c>
      <c r="N73" s="34">
        <f t="shared" si="1"/>
        <v>0</v>
      </c>
      <c r="O73" s="29"/>
      <c r="P73" s="29"/>
      <c r="Q73" s="29"/>
      <c r="R73" s="32"/>
      <c r="S73" s="29"/>
    </row>
    <row r="74" spans="1:19" ht="19.5" customHeight="1" outlineLevel="1">
      <c r="A74" s="23">
        <v>61</v>
      </c>
      <c r="B74" s="24">
        <f>IF(1&lt;=DAY(DATE(YEAR(설정_코스수당!$K$2),MONTH(설정_코스수당!$K$2)+1,0)),DATE(YEAR(설정_코스수당!$K$2),MONTH(설정_코스수당!$K$2),1),"")</f>
        <v>46174</v>
      </c>
      <c r="C74" s="25"/>
      <c r="D74" s="23"/>
      <c r="E74" s="23"/>
      <c r="F74" s="26"/>
      <c r="G74" s="23"/>
      <c r="H74" s="23"/>
      <c r="I74" s="23"/>
      <c r="J74" s="27">
        <f>IF($O74="방문완료",MAX(0,IFERROR(VLOOKUP($E74,설정_코스수당!$A$6:$H$10,4,FALSE),0)-IF(OR($P74="",$P74="없음"),0,100000)),0)</f>
        <v>0</v>
      </c>
      <c r="K74" s="27">
        <f t="array" ref="K74">IF($O74="방문완료",IFERROR(INDEX(설정_코스수당!$B$15:$F$64,MATCH($G74,설정_코스수당!$A$15:$A$64,0),MATCH($E74&amp;"수당",설정_코스수당!$B$14:$F$14,0)),0),0)</f>
        <v>0</v>
      </c>
      <c r="L74" s="27">
        <f t="array" ref="L74">IF($O74="방문완료",IF($H74="",0,IFERROR(INDEX(설정_코스수당!$B$15:$F$64,MATCH($H74,설정_코스수당!$A$15:$A$64,0),MATCH($E74&amp;"수당",설정_코스수당!$B$14:$F$14,0)),0)),0)</f>
        <v>0</v>
      </c>
      <c r="M74" s="27">
        <f>IF($O74="방문완료",IFERROR(VLOOKUP($E74,설정_코스수당!$A$6:$H$10,6,FALSE),0),0)</f>
        <v>0</v>
      </c>
      <c r="N74" s="28">
        <f t="shared" si="1"/>
        <v>0</v>
      </c>
      <c r="O74" s="23"/>
      <c r="P74" s="23"/>
      <c r="Q74" s="23"/>
      <c r="R74" s="26"/>
      <c r="S74" s="23"/>
    </row>
    <row r="75" spans="1:19" ht="19.5" customHeight="1" outlineLevel="1">
      <c r="A75" s="29">
        <v>62</v>
      </c>
      <c r="B75" s="30">
        <f>IF(1&lt;=DAY(DATE(YEAR(설정_코스수당!$K$2),MONTH(설정_코스수당!$K$2)+1,0)),DATE(YEAR(설정_코스수당!$K$2),MONTH(설정_코스수당!$K$2),1),"")</f>
        <v>46174</v>
      </c>
      <c r="C75" s="31"/>
      <c r="D75" s="29"/>
      <c r="E75" s="29"/>
      <c r="F75" s="32"/>
      <c r="G75" s="29"/>
      <c r="H75" s="29"/>
      <c r="I75" s="29"/>
      <c r="J75" s="33">
        <f>IF($O75="방문완료",MAX(0,IFERROR(VLOOKUP($E75,설정_코스수당!$A$6:$H$10,4,FALSE),0)-IF(OR($P75="",$P75="없음"),0,100000)),0)</f>
        <v>0</v>
      </c>
      <c r="K75" s="33">
        <f t="array" ref="K75">IF($O75="방문완료",IFERROR(INDEX(설정_코스수당!$B$15:$F$64,MATCH($G75,설정_코스수당!$A$15:$A$64,0),MATCH($E75&amp;"수당",설정_코스수당!$B$14:$F$14,0)),0),0)</f>
        <v>0</v>
      </c>
      <c r="L75" s="33">
        <f t="array" ref="L75">IF($O75="방문완료",IF($H75="",0,IFERROR(INDEX(설정_코스수당!$B$15:$F$64,MATCH($H75,설정_코스수당!$A$15:$A$64,0),MATCH($E75&amp;"수당",설정_코스수당!$B$14:$F$14,0)),0)),0)</f>
        <v>0</v>
      </c>
      <c r="M75" s="33">
        <f>IF($O75="방문완료",IFERROR(VLOOKUP($E75,설정_코스수당!$A$6:$H$10,6,FALSE),0),0)</f>
        <v>0</v>
      </c>
      <c r="N75" s="34">
        <f t="shared" si="1"/>
        <v>0</v>
      </c>
      <c r="O75" s="29"/>
      <c r="P75" s="29"/>
      <c r="Q75" s="29"/>
      <c r="R75" s="32"/>
      <c r="S75" s="29"/>
    </row>
    <row r="76" spans="1:19" ht="19.5" customHeight="1" outlineLevel="1">
      <c r="A76" s="23">
        <v>63</v>
      </c>
      <c r="B76" s="24">
        <f>IF(1&lt;=DAY(DATE(YEAR(설정_코스수당!$K$2),MONTH(설정_코스수당!$K$2)+1,0)),DATE(YEAR(설정_코스수당!$K$2),MONTH(설정_코스수당!$K$2),1),"")</f>
        <v>46174</v>
      </c>
      <c r="C76" s="25"/>
      <c r="D76" s="23"/>
      <c r="E76" s="23"/>
      <c r="F76" s="26"/>
      <c r="G76" s="23"/>
      <c r="H76" s="23"/>
      <c r="I76" s="23"/>
      <c r="J76" s="27">
        <f>IF($O76="방문완료",MAX(0,IFERROR(VLOOKUP($E76,설정_코스수당!$A$6:$H$10,4,FALSE),0)-IF(OR($P76="",$P76="없음"),0,100000)),0)</f>
        <v>0</v>
      </c>
      <c r="K76" s="27">
        <f t="array" ref="K76">IF($O76="방문완료",IFERROR(INDEX(설정_코스수당!$B$15:$F$64,MATCH($G76,설정_코스수당!$A$15:$A$64,0),MATCH($E76&amp;"수당",설정_코스수당!$B$14:$F$14,0)),0),0)</f>
        <v>0</v>
      </c>
      <c r="L76" s="27">
        <f t="array" ref="L76">IF($O76="방문완료",IF($H76="",0,IFERROR(INDEX(설정_코스수당!$B$15:$F$64,MATCH($H76,설정_코스수당!$A$15:$A$64,0),MATCH($E76&amp;"수당",설정_코스수당!$B$14:$F$14,0)),0)),0)</f>
        <v>0</v>
      </c>
      <c r="M76" s="27">
        <f>IF($O76="방문완료",IFERROR(VLOOKUP($E76,설정_코스수당!$A$6:$H$10,6,FALSE),0),0)</f>
        <v>0</v>
      </c>
      <c r="N76" s="28">
        <f t="shared" si="1"/>
        <v>0</v>
      </c>
      <c r="O76" s="23"/>
      <c r="P76" s="23"/>
      <c r="Q76" s="23"/>
      <c r="R76" s="26"/>
      <c r="S76" s="23"/>
    </row>
    <row r="77" spans="1:19" ht="19.5" customHeight="1" outlineLevel="1">
      <c r="A77" s="29">
        <v>64</v>
      </c>
      <c r="B77" s="30">
        <f>IF(1&lt;=DAY(DATE(YEAR(설정_코스수당!$K$2),MONTH(설정_코스수당!$K$2)+1,0)),DATE(YEAR(설정_코스수당!$K$2),MONTH(설정_코스수당!$K$2),1),"")</f>
        <v>46174</v>
      </c>
      <c r="C77" s="31"/>
      <c r="D77" s="29"/>
      <c r="E77" s="29"/>
      <c r="F77" s="32"/>
      <c r="G77" s="29"/>
      <c r="H77" s="29"/>
      <c r="I77" s="29"/>
      <c r="J77" s="33">
        <f>IF($O77="방문완료",MAX(0,IFERROR(VLOOKUP($E77,설정_코스수당!$A$6:$H$10,4,FALSE),0)-IF(OR($P77="",$P77="없음"),0,100000)),0)</f>
        <v>0</v>
      </c>
      <c r="K77" s="33">
        <f t="array" ref="K77">IF($O77="방문완료",IFERROR(INDEX(설정_코스수당!$B$15:$F$64,MATCH($G77,설정_코스수당!$A$15:$A$64,0),MATCH($E77&amp;"수당",설정_코스수당!$B$14:$F$14,0)),0),0)</f>
        <v>0</v>
      </c>
      <c r="L77" s="33">
        <f t="array" ref="L77">IF($O77="방문완료",IF($H77="",0,IFERROR(INDEX(설정_코스수당!$B$15:$F$64,MATCH($H77,설정_코스수당!$A$15:$A$64,0),MATCH($E77&amp;"수당",설정_코스수당!$B$14:$F$14,0)),0)),0)</f>
        <v>0</v>
      </c>
      <c r="M77" s="33">
        <f>IF($O77="방문완료",IFERROR(VLOOKUP($E77,설정_코스수당!$A$6:$H$10,6,FALSE),0),0)</f>
        <v>0</v>
      </c>
      <c r="N77" s="34">
        <f t="shared" si="1"/>
        <v>0</v>
      </c>
      <c r="O77" s="29"/>
      <c r="P77" s="29"/>
      <c r="Q77" s="29"/>
      <c r="R77" s="32"/>
      <c r="S77" s="29"/>
    </row>
    <row r="78" spans="1:19" ht="19.5" customHeight="1" outlineLevel="1">
      <c r="A78" s="23">
        <v>65</v>
      </c>
      <c r="B78" s="24">
        <f>IF(1&lt;=DAY(DATE(YEAR(설정_코스수당!$K$2),MONTH(설정_코스수당!$K$2)+1,0)),DATE(YEAR(설정_코스수당!$K$2),MONTH(설정_코스수당!$K$2),1),"")</f>
        <v>46174</v>
      </c>
      <c r="C78" s="25"/>
      <c r="D78" s="23"/>
      <c r="E78" s="23"/>
      <c r="F78" s="26"/>
      <c r="G78" s="23"/>
      <c r="H78" s="23"/>
      <c r="I78" s="23"/>
      <c r="J78" s="27">
        <f>IF($O78="방문완료",MAX(0,IFERROR(VLOOKUP($E78,설정_코스수당!$A$6:$H$10,4,FALSE),0)-IF(OR($P78="",$P78="없음"),0,100000)),0)</f>
        <v>0</v>
      </c>
      <c r="K78" s="27">
        <f t="array" ref="K78">IF($O78="방문완료",IFERROR(INDEX(설정_코스수당!$B$15:$F$64,MATCH($G78,설정_코스수당!$A$15:$A$64,0),MATCH($E78&amp;"수당",설정_코스수당!$B$14:$F$14,0)),0),0)</f>
        <v>0</v>
      </c>
      <c r="L78" s="27">
        <f t="array" ref="L78">IF($O78="방문완료",IF($H78="",0,IFERROR(INDEX(설정_코스수당!$B$15:$F$64,MATCH($H78,설정_코스수당!$A$15:$A$64,0),MATCH($E78&amp;"수당",설정_코스수당!$B$14:$F$14,0)),0)),0)</f>
        <v>0</v>
      </c>
      <c r="M78" s="27">
        <f>IF($O78="방문완료",IFERROR(VLOOKUP($E78,설정_코스수당!$A$6:$H$10,6,FALSE),0),0)</f>
        <v>0</v>
      </c>
      <c r="N78" s="28">
        <f t="shared" ref="N78:N113" si="2">IF($O78="방문완료",1,0)</f>
        <v>0</v>
      </c>
      <c r="O78" s="23"/>
      <c r="P78" s="23"/>
      <c r="Q78" s="23"/>
      <c r="R78" s="26"/>
      <c r="S78" s="23"/>
    </row>
    <row r="79" spans="1:19" ht="19.5" customHeight="1" outlineLevel="1">
      <c r="A79" s="29">
        <v>66</v>
      </c>
      <c r="B79" s="30">
        <f>IF(1&lt;=DAY(DATE(YEAR(설정_코스수당!$K$2),MONTH(설정_코스수당!$K$2)+1,0)),DATE(YEAR(설정_코스수당!$K$2),MONTH(설정_코스수당!$K$2),1),"")</f>
        <v>46174</v>
      </c>
      <c r="C79" s="31"/>
      <c r="D79" s="29"/>
      <c r="E79" s="29"/>
      <c r="F79" s="32"/>
      <c r="G79" s="29"/>
      <c r="H79" s="29"/>
      <c r="I79" s="29"/>
      <c r="J79" s="33">
        <f>IF($O79="방문완료",MAX(0,IFERROR(VLOOKUP($E79,설정_코스수당!$A$6:$H$10,4,FALSE),0)-IF(OR($P79="",$P79="없음"),0,100000)),0)</f>
        <v>0</v>
      </c>
      <c r="K79" s="33">
        <f t="array" ref="K79">IF($O79="방문완료",IFERROR(INDEX(설정_코스수당!$B$15:$F$64,MATCH($G79,설정_코스수당!$A$15:$A$64,0),MATCH($E79&amp;"수당",설정_코스수당!$B$14:$F$14,0)),0),0)</f>
        <v>0</v>
      </c>
      <c r="L79" s="33">
        <f t="array" ref="L79">IF($O79="방문완료",IF($H79="",0,IFERROR(INDEX(설정_코스수당!$B$15:$F$64,MATCH($H79,설정_코스수당!$A$15:$A$64,0),MATCH($E79&amp;"수당",설정_코스수당!$B$14:$F$14,0)),0)),0)</f>
        <v>0</v>
      </c>
      <c r="M79" s="33">
        <f>IF($O79="방문완료",IFERROR(VLOOKUP($E79,설정_코스수당!$A$6:$H$10,6,FALSE),0),0)</f>
        <v>0</v>
      </c>
      <c r="N79" s="34">
        <f t="shared" si="2"/>
        <v>0</v>
      </c>
      <c r="O79" s="29"/>
      <c r="P79" s="29"/>
      <c r="Q79" s="29"/>
      <c r="R79" s="32"/>
      <c r="S79" s="29"/>
    </row>
    <row r="80" spans="1:19" ht="19.5" customHeight="1" outlineLevel="1">
      <c r="A80" s="23">
        <v>67</v>
      </c>
      <c r="B80" s="24">
        <f>IF(1&lt;=DAY(DATE(YEAR(설정_코스수당!$K$2),MONTH(설정_코스수당!$K$2)+1,0)),DATE(YEAR(설정_코스수당!$K$2),MONTH(설정_코스수당!$K$2),1),"")</f>
        <v>46174</v>
      </c>
      <c r="C80" s="25"/>
      <c r="D80" s="23"/>
      <c r="E80" s="23"/>
      <c r="F80" s="26"/>
      <c r="G80" s="23"/>
      <c r="H80" s="23"/>
      <c r="I80" s="23"/>
      <c r="J80" s="27">
        <f>IF($O80="방문완료",MAX(0,IFERROR(VLOOKUP($E80,설정_코스수당!$A$6:$H$10,4,FALSE),0)-IF(OR($P80="",$P80="없음"),0,100000)),0)</f>
        <v>0</v>
      </c>
      <c r="K80" s="27">
        <f t="array" ref="K80">IF($O80="방문완료",IFERROR(INDEX(설정_코스수당!$B$15:$F$64,MATCH($G80,설정_코스수당!$A$15:$A$64,0),MATCH($E80&amp;"수당",설정_코스수당!$B$14:$F$14,0)),0),0)</f>
        <v>0</v>
      </c>
      <c r="L80" s="27">
        <f t="array" ref="L80">IF($O80="방문완료",IF($H80="",0,IFERROR(INDEX(설정_코스수당!$B$15:$F$64,MATCH($H80,설정_코스수당!$A$15:$A$64,0),MATCH($E80&amp;"수당",설정_코스수당!$B$14:$F$14,0)),0)),0)</f>
        <v>0</v>
      </c>
      <c r="M80" s="27">
        <f>IF($O80="방문완료",IFERROR(VLOOKUP($E80,설정_코스수당!$A$6:$H$10,6,FALSE),0),0)</f>
        <v>0</v>
      </c>
      <c r="N80" s="28">
        <f t="shared" si="2"/>
        <v>0</v>
      </c>
      <c r="O80" s="23"/>
      <c r="P80" s="23"/>
      <c r="Q80" s="23"/>
      <c r="R80" s="26"/>
      <c r="S80" s="23"/>
    </row>
    <row r="81" spans="1:19" ht="19.5" customHeight="1" outlineLevel="1">
      <c r="A81" s="29">
        <v>68</v>
      </c>
      <c r="B81" s="30">
        <f>IF(1&lt;=DAY(DATE(YEAR(설정_코스수당!$K$2),MONTH(설정_코스수당!$K$2)+1,0)),DATE(YEAR(설정_코스수당!$K$2),MONTH(설정_코스수당!$K$2),1),"")</f>
        <v>46174</v>
      </c>
      <c r="C81" s="31"/>
      <c r="D81" s="29"/>
      <c r="E81" s="29"/>
      <c r="F81" s="32"/>
      <c r="G81" s="29"/>
      <c r="H81" s="29"/>
      <c r="I81" s="29"/>
      <c r="J81" s="33">
        <f>IF($O81="방문완료",MAX(0,IFERROR(VLOOKUP($E81,설정_코스수당!$A$6:$H$10,4,FALSE),0)-IF(OR($P81="",$P81="없음"),0,100000)),0)</f>
        <v>0</v>
      </c>
      <c r="K81" s="33">
        <f t="array" ref="K81">IF($O81="방문완료",IFERROR(INDEX(설정_코스수당!$B$15:$F$64,MATCH($G81,설정_코스수당!$A$15:$A$64,0),MATCH($E81&amp;"수당",설정_코스수당!$B$14:$F$14,0)),0),0)</f>
        <v>0</v>
      </c>
      <c r="L81" s="33">
        <f t="array" ref="L81">IF($O81="방문완료",IF($H81="",0,IFERROR(INDEX(설정_코스수당!$B$15:$F$64,MATCH($H81,설정_코스수당!$A$15:$A$64,0),MATCH($E81&amp;"수당",설정_코스수당!$B$14:$F$14,0)),0)),0)</f>
        <v>0</v>
      </c>
      <c r="M81" s="33">
        <f>IF($O81="방문완료",IFERROR(VLOOKUP($E81,설정_코스수당!$A$6:$H$10,6,FALSE),0),0)</f>
        <v>0</v>
      </c>
      <c r="N81" s="34">
        <f t="shared" si="2"/>
        <v>0</v>
      </c>
      <c r="O81" s="29"/>
      <c r="P81" s="29"/>
      <c r="Q81" s="29"/>
      <c r="R81" s="32"/>
      <c r="S81" s="29"/>
    </row>
    <row r="82" spans="1:19" ht="19.5" customHeight="1" outlineLevel="1">
      <c r="A82" s="23">
        <v>69</v>
      </c>
      <c r="B82" s="24">
        <f>IF(1&lt;=DAY(DATE(YEAR(설정_코스수당!$K$2),MONTH(설정_코스수당!$K$2)+1,0)),DATE(YEAR(설정_코스수당!$K$2),MONTH(설정_코스수당!$K$2),1),"")</f>
        <v>46174</v>
      </c>
      <c r="C82" s="25"/>
      <c r="D82" s="23"/>
      <c r="E82" s="23"/>
      <c r="F82" s="26"/>
      <c r="G82" s="23"/>
      <c r="H82" s="23"/>
      <c r="I82" s="23"/>
      <c r="J82" s="27">
        <f>IF($O82="방문완료",MAX(0,IFERROR(VLOOKUP($E82,설정_코스수당!$A$6:$H$10,4,FALSE),0)-IF(OR($P82="",$P82="없음"),0,100000)),0)</f>
        <v>0</v>
      </c>
      <c r="K82" s="27">
        <f t="array" ref="K82">IF($O82="방문완료",IFERROR(INDEX(설정_코스수당!$B$15:$F$64,MATCH($G82,설정_코스수당!$A$15:$A$64,0),MATCH($E82&amp;"수당",설정_코스수당!$B$14:$F$14,0)),0),0)</f>
        <v>0</v>
      </c>
      <c r="L82" s="27">
        <f t="array" ref="L82">IF($O82="방문완료",IF($H82="",0,IFERROR(INDEX(설정_코스수당!$B$15:$F$64,MATCH($H82,설정_코스수당!$A$15:$A$64,0),MATCH($E82&amp;"수당",설정_코스수당!$B$14:$F$14,0)),0)),0)</f>
        <v>0</v>
      </c>
      <c r="M82" s="27">
        <f>IF($O82="방문완료",IFERROR(VLOOKUP($E82,설정_코스수당!$A$6:$H$10,6,FALSE),0),0)</f>
        <v>0</v>
      </c>
      <c r="N82" s="28">
        <f t="shared" si="2"/>
        <v>0</v>
      </c>
      <c r="O82" s="23"/>
      <c r="P82" s="23"/>
      <c r="Q82" s="23"/>
      <c r="R82" s="26"/>
      <c r="S82" s="23"/>
    </row>
    <row r="83" spans="1:19" ht="19.5" customHeight="1" outlineLevel="1">
      <c r="A83" s="29">
        <v>70</v>
      </c>
      <c r="B83" s="30">
        <f>IF(1&lt;=DAY(DATE(YEAR(설정_코스수당!$K$2),MONTH(설정_코스수당!$K$2)+1,0)),DATE(YEAR(설정_코스수당!$K$2),MONTH(설정_코스수당!$K$2),1),"")</f>
        <v>46174</v>
      </c>
      <c r="C83" s="31"/>
      <c r="D83" s="29"/>
      <c r="E83" s="29"/>
      <c r="F83" s="32"/>
      <c r="G83" s="29"/>
      <c r="H83" s="29"/>
      <c r="I83" s="29"/>
      <c r="J83" s="33">
        <f>IF($O83="방문완료",MAX(0,IFERROR(VLOOKUP($E83,설정_코스수당!$A$6:$H$10,4,FALSE),0)-IF(OR($P83="",$P83="없음"),0,100000)),0)</f>
        <v>0</v>
      </c>
      <c r="K83" s="33">
        <f t="array" ref="K83">IF($O83="방문완료",IFERROR(INDEX(설정_코스수당!$B$15:$F$64,MATCH($G83,설정_코스수당!$A$15:$A$64,0),MATCH($E83&amp;"수당",설정_코스수당!$B$14:$F$14,0)),0),0)</f>
        <v>0</v>
      </c>
      <c r="L83" s="33">
        <f t="array" ref="L83">IF($O83="방문완료",IF($H83="",0,IFERROR(INDEX(설정_코스수당!$B$15:$F$64,MATCH($H83,설정_코스수당!$A$15:$A$64,0),MATCH($E83&amp;"수당",설정_코스수당!$B$14:$F$14,0)),0)),0)</f>
        <v>0</v>
      </c>
      <c r="M83" s="33">
        <f>IF($O83="방문완료",IFERROR(VLOOKUP($E83,설정_코스수당!$A$6:$H$10,6,FALSE),0),0)</f>
        <v>0</v>
      </c>
      <c r="N83" s="34">
        <f t="shared" si="2"/>
        <v>0</v>
      </c>
      <c r="O83" s="29"/>
      <c r="P83" s="29"/>
      <c r="Q83" s="29"/>
      <c r="R83" s="32"/>
      <c r="S83" s="29"/>
    </row>
    <row r="84" spans="1:19" ht="19.5" customHeight="1" outlineLevel="1">
      <c r="A84" s="23">
        <v>71</v>
      </c>
      <c r="B84" s="24">
        <f>IF(1&lt;=DAY(DATE(YEAR(설정_코스수당!$K$2),MONTH(설정_코스수당!$K$2)+1,0)),DATE(YEAR(설정_코스수당!$K$2),MONTH(설정_코스수당!$K$2),1),"")</f>
        <v>46174</v>
      </c>
      <c r="C84" s="25"/>
      <c r="D84" s="23"/>
      <c r="E84" s="23"/>
      <c r="F84" s="26"/>
      <c r="G84" s="23"/>
      <c r="H84" s="23"/>
      <c r="I84" s="23"/>
      <c r="J84" s="27">
        <f>IF($O84="방문완료",MAX(0,IFERROR(VLOOKUP($E84,설정_코스수당!$A$6:$H$10,4,FALSE),0)-IF(OR($P84="",$P84="없음"),0,100000)),0)</f>
        <v>0</v>
      </c>
      <c r="K84" s="27">
        <f t="array" ref="K84">IF($O84="방문완료",IFERROR(INDEX(설정_코스수당!$B$15:$F$64,MATCH($G84,설정_코스수당!$A$15:$A$64,0),MATCH($E84&amp;"수당",설정_코스수당!$B$14:$F$14,0)),0),0)</f>
        <v>0</v>
      </c>
      <c r="L84" s="27">
        <f t="array" ref="L84">IF($O84="방문완료",IF($H84="",0,IFERROR(INDEX(설정_코스수당!$B$15:$F$64,MATCH($H84,설정_코스수당!$A$15:$A$64,0),MATCH($E84&amp;"수당",설정_코스수당!$B$14:$F$14,0)),0)),0)</f>
        <v>0</v>
      </c>
      <c r="M84" s="27">
        <f>IF($O84="방문완료",IFERROR(VLOOKUP($E84,설정_코스수당!$A$6:$H$10,6,FALSE),0),0)</f>
        <v>0</v>
      </c>
      <c r="N84" s="28">
        <f t="shared" si="2"/>
        <v>0</v>
      </c>
      <c r="O84" s="23"/>
      <c r="P84" s="23"/>
      <c r="Q84" s="23"/>
      <c r="R84" s="26"/>
      <c r="S84" s="23"/>
    </row>
    <row r="85" spans="1:19" ht="19.5" customHeight="1" outlineLevel="1">
      <c r="A85" s="29">
        <v>72</v>
      </c>
      <c r="B85" s="30">
        <f>IF(1&lt;=DAY(DATE(YEAR(설정_코스수당!$K$2),MONTH(설정_코스수당!$K$2)+1,0)),DATE(YEAR(설정_코스수당!$K$2),MONTH(설정_코스수당!$K$2),1),"")</f>
        <v>46174</v>
      </c>
      <c r="C85" s="31"/>
      <c r="D85" s="29"/>
      <c r="E85" s="29"/>
      <c r="F85" s="32"/>
      <c r="G85" s="29"/>
      <c r="H85" s="29"/>
      <c r="I85" s="29"/>
      <c r="J85" s="33">
        <f>IF($O85="방문완료",MAX(0,IFERROR(VLOOKUP($E85,설정_코스수당!$A$6:$H$10,4,FALSE),0)-IF(OR($P85="",$P85="없음"),0,100000)),0)</f>
        <v>0</v>
      </c>
      <c r="K85" s="33">
        <f t="array" ref="K85">IF($O85="방문완료",IFERROR(INDEX(설정_코스수당!$B$15:$F$64,MATCH($G85,설정_코스수당!$A$15:$A$64,0),MATCH($E85&amp;"수당",설정_코스수당!$B$14:$F$14,0)),0),0)</f>
        <v>0</v>
      </c>
      <c r="L85" s="33">
        <f t="array" ref="L85">IF($O85="방문완료",IF($H85="",0,IFERROR(INDEX(설정_코스수당!$B$15:$F$64,MATCH($H85,설정_코스수당!$A$15:$A$64,0),MATCH($E85&amp;"수당",설정_코스수당!$B$14:$F$14,0)),0)),0)</f>
        <v>0</v>
      </c>
      <c r="M85" s="33">
        <f>IF($O85="방문완료",IFERROR(VLOOKUP($E85,설정_코스수당!$A$6:$H$10,6,FALSE),0),0)</f>
        <v>0</v>
      </c>
      <c r="N85" s="34">
        <f t="shared" si="2"/>
        <v>0</v>
      </c>
      <c r="O85" s="29"/>
      <c r="P85" s="29"/>
      <c r="Q85" s="29"/>
      <c r="R85" s="32"/>
      <c r="S85" s="29"/>
    </row>
    <row r="86" spans="1:19" ht="19.5" customHeight="1" outlineLevel="1">
      <c r="A86" s="23">
        <v>73</v>
      </c>
      <c r="B86" s="24">
        <f>IF(1&lt;=DAY(DATE(YEAR(설정_코스수당!$K$2),MONTH(설정_코스수당!$K$2)+1,0)),DATE(YEAR(설정_코스수당!$K$2),MONTH(설정_코스수당!$K$2),1),"")</f>
        <v>46174</v>
      </c>
      <c r="C86" s="25"/>
      <c r="D86" s="23"/>
      <c r="E86" s="23"/>
      <c r="F86" s="26"/>
      <c r="G86" s="23"/>
      <c r="H86" s="23"/>
      <c r="I86" s="23"/>
      <c r="J86" s="27">
        <f>IF($O86="방문완료",MAX(0,IFERROR(VLOOKUP($E86,설정_코스수당!$A$6:$H$10,4,FALSE),0)-IF(OR($P86="",$P86="없음"),0,100000)),0)</f>
        <v>0</v>
      </c>
      <c r="K86" s="27">
        <f t="array" ref="K86">IF($O86="방문완료",IFERROR(INDEX(설정_코스수당!$B$15:$F$64,MATCH($G86,설정_코스수당!$A$15:$A$64,0),MATCH($E86&amp;"수당",설정_코스수당!$B$14:$F$14,0)),0),0)</f>
        <v>0</v>
      </c>
      <c r="L86" s="27">
        <f t="array" ref="L86">IF($O86="방문완료",IF($H86="",0,IFERROR(INDEX(설정_코스수당!$B$15:$F$64,MATCH($H86,설정_코스수당!$A$15:$A$64,0),MATCH($E86&amp;"수당",설정_코스수당!$B$14:$F$14,0)),0)),0)</f>
        <v>0</v>
      </c>
      <c r="M86" s="27">
        <f>IF($O86="방문완료",IFERROR(VLOOKUP($E86,설정_코스수당!$A$6:$H$10,6,FALSE),0),0)</f>
        <v>0</v>
      </c>
      <c r="N86" s="28">
        <f t="shared" si="2"/>
        <v>0</v>
      </c>
      <c r="O86" s="23"/>
      <c r="P86" s="23"/>
      <c r="Q86" s="23"/>
      <c r="R86" s="26"/>
      <c r="S86" s="23"/>
    </row>
    <row r="87" spans="1:19" ht="19.5" customHeight="1" outlineLevel="1">
      <c r="A87" s="29">
        <v>74</v>
      </c>
      <c r="B87" s="30">
        <f>IF(1&lt;=DAY(DATE(YEAR(설정_코스수당!$K$2),MONTH(설정_코스수당!$K$2)+1,0)),DATE(YEAR(설정_코스수당!$K$2),MONTH(설정_코스수당!$K$2),1),"")</f>
        <v>46174</v>
      </c>
      <c r="C87" s="31"/>
      <c r="D87" s="29"/>
      <c r="E87" s="29"/>
      <c r="F87" s="32"/>
      <c r="G87" s="29"/>
      <c r="H87" s="29"/>
      <c r="I87" s="29"/>
      <c r="J87" s="33">
        <f>IF($O87="방문완료",MAX(0,IFERROR(VLOOKUP($E87,설정_코스수당!$A$6:$H$10,4,FALSE),0)-IF(OR($P87="",$P87="없음"),0,100000)),0)</f>
        <v>0</v>
      </c>
      <c r="K87" s="33">
        <f t="array" ref="K87">IF($O87="방문완료",IFERROR(INDEX(설정_코스수당!$B$15:$F$64,MATCH($G87,설정_코스수당!$A$15:$A$64,0),MATCH($E87&amp;"수당",설정_코스수당!$B$14:$F$14,0)),0),0)</f>
        <v>0</v>
      </c>
      <c r="L87" s="33">
        <f t="array" ref="L87">IF($O87="방문완료",IF($H87="",0,IFERROR(INDEX(설정_코스수당!$B$15:$F$64,MATCH($H87,설정_코스수당!$A$15:$A$64,0),MATCH($E87&amp;"수당",설정_코스수당!$B$14:$F$14,0)),0)),0)</f>
        <v>0</v>
      </c>
      <c r="M87" s="33">
        <f>IF($O87="방문완료",IFERROR(VLOOKUP($E87,설정_코스수당!$A$6:$H$10,6,FALSE),0),0)</f>
        <v>0</v>
      </c>
      <c r="N87" s="34">
        <f t="shared" si="2"/>
        <v>0</v>
      </c>
      <c r="O87" s="29"/>
      <c r="P87" s="29"/>
      <c r="Q87" s="29"/>
      <c r="R87" s="32"/>
      <c r="S87" s="29"/>
    </row>
    <row r="88" spans="1:19" ht="19.5" customHeight="1" outlineLevel="1">
      <c r="A88" s="23">
        <v>75</v>
      </c>
      <c r="B88" s="24">
        <f>IF(1&lt;=DAY(DATE(YEAR(설정_코스수당!$K$2),MONTH(설정_코스수당!$K$2)+1,0)),DATE(YEAR(설정_코스수당!$K$2),MONTH(설정_코스수당!$K$2),1),"")</f>
        <v>46174</v>
      </c>
      <c r="C88" s="25"/>
      <c r="D88" s="23"/>
      <c r="E88" s="23"/>
      <c r="F88" s="26"/>
      <c r="G88" s="23"/>
      <c r="H88" s="23"/>
      <c r="I88" s="23"/>
      <c r="J88" s="27">
        <f>IF($O88="방문완료",MAX(0,IFERROR(VLOOKUP($E88,설정_코스수당!$A$6:$H$10,4,FALSE),0)-IF(OR($P88="",$P88="없음"),0,100000)),0)</f>
        <v>0</v>
      </c>
      <c r="K88" s="27">
        <f t="array" ref="K88">IF($O88="방문완료",IFERROR(INDEX(설정_코스수당!$B$15:$F$64,MATCH($G88,설정_코스수당!$A$15:$A$64,0),MATCH($E88&amp;"수당",설정_코스수당!$B$14:$F$14,0)),0),0)</f>
        <v>0</v>
      </c>
      <c r="L88" s="27">
        <f t="array" ref="L88">IF($O88="방문완료",IF($H88="",0,IFERROR(INDEX(설정_코스수당!$B$15:$F$64,MATCH($H88,설정_코스수당!$A$15:$A$64,0),MATCH($E88&amp;"수당",설정_코스수당!$B$14:$F$14,0)),0)),0)</f>
        <v>0</v>
      </c>
      <c r="M88" s="27">
        <f>IF($O88="방문완료",IFERROR(VLOOKUP($E88,설정_코스수당!$A$6:$H$10,6,FALSE),0),0)</f>
        <v>0</v>
      </c>
      <c r="N88" s="28">
        <f t="shared" si="2"/>
        <v>0</v>
      </c>
      <c r="O88" s="23"/>
      <c r="P88" s="23"/>
      <c r="Q88" s="23"/>
      <c r="R88" s="26"/>
      <c r="S88" s="23"/>
    </row>
    <row r="89" spans="1:19" ht="19.5" customHeight="1" outlineLevel="1">
      <c r="A89" s="29">
        <v>76</v>
      </c>
      <c r="B89" s="30">
        <f>IF(1&lt;=DAY(DATE(YEAR(설정_코스수당!$K$2),MONTH(설정_코스수당!$K$2)+1,0)),DATE(YEAR(설정_코스수당!$K$2),MONTH(설정_코스수당!$K$2),1),"")</f>
        <v>46174</v>
      </c>
      <c r="C89" s="31"/>
      <c r="D89" s="29"/>
      <c r="E89" s="29"/>
      <c r="F89" s="32"/>
      <c r="G89" s="29"/>
      <c r="H89" s="29"/>
      <c r="I89" s="29"/>
      <c r="J89" s="33">
        <f>IF($O89="방문완료",MAX(0,IFERROR(VLOOKUP($E89,설정_코스수당!$A$6:$H$10,4,FALSE),0)-IF(OR($P89="",$P89="없음"),0,100000)),0)</f>
        <v>0</v>
      </c>
      <c r="K89" s="33">
        <f t="array" ref="K89">IF($O89="방문완료",IFERROR(INDEX(설정_코스수당!$B$15:$F$64,MATCH($G89,설정_코스수당!$A$15:$A$64,0),MATCH($E89&amp;"수당",설정_코스수당!$B$14:$F$14,0)),0),0)</f>
        <v>0</v>
      </c>
      <c r="L89" s="33">
        <f t="array" ref="L89">IF($O89="방문완료",IF($H89="",0,IFERROR(INDEX(설정_코스수당!$B$15:$F$64,MATCH($H89,설정_코스수당!$A$15:$A$64,0),MATCH($E89&amp;"수당",설정_코스수당!$B$14:$F$14,0)),0)),0)</f>
        <v>0</v>
      </c>
      <c r="M89" s="33">
        <f>IF($O89="방문완료",IFERROR(VLOOKUP($E89,설정_코스수당!$A$6:$H$10,6,FALSE),0),0)</f>
        <v>0</v>
      </c>
      <c r="N89" s="34">
        <f t="shared" si="2"/>
        <v>0</v>
      </c>
      <c r="O89" s="29"/>
      <c r="P89" s="29"/>
      <c r="Q89" s="29"/>
      <c r="R89" s="32"/>
      <c r="S89" s="29"/>
    </row>
    <row r="90" spans="1:19" ht="19.5" customHeight="1" outlineLevel="1">
      <c r="A90" s="23">
        <v>77</v>
      </c>
      <c r="B90" s="24">
        <f>IF(1&lt;=DAY(DATE(YEAR(설정_코스수당!$K$2),MONTH(설정_코스수당!$K$2)+1,0)),DATE(YEAR(설정_코스수당!$K$2),MONTH(설정_코스수당!$K$2),1),"")</f>
        <v>46174</v>
      </c>
      <c r="C90" s="25"/>
      <c r="D90" s="23"/>
      <c r="E90" s="23"/>
      <c r="F90" s="26"/>
      <c r="G90" s="23"/>
      <c r="H90" s="23"/>
      <c r="I90" s="23"/>
      <c r="J90" s="27">
        <f>IF($O90="방문완료",MAX(0,IFERROR(VLOOKUP($E90,설정_코스수당!$A$6:$H$10,4,FALSE),0)-IF(OR($P90="",$P90="없음"),0,100000)),0)</f>
        <v>0</v>
      </c>
      <c r="K90" s="27">
        <f t="array" ref="K90">IF($O90="방문완료",IFERROR(INDEX(설정_코스수당!$B$15:$F$64,MATCH($G90,설정_코스수당!$A$15:$A$64,0),MATCH($E90&amp;"수당",설정_코스수당!$B$14:$F$14,0)),0),0)</f>
        <v>0</v>
      </c>
      <c r="L90" s="27">
        <f t="array" ref="L90">IF($O90="방문완료",IF($H90="",0,IFERROR(INDEX(설정_코스수당!$B$15:$F$64,MATCH($H90,설정_코스수당!$A$15:$A$64,0),MATCH($E90&amp;"수당",설정_코스수당!$B$14:$F$14,0)),0)),0)</f>
        <v>0</v>
      </c>
      <c r="M90" s="27">
        <f>IF($O90="방문완료",IFERROR(VLOOKUP($E90,설정_코스수당!$A$6:$H$10,6,FALSE),0),0)</f>
        <v>0</v>
      </c>
      <c r="N90" s="28">
        <f t="shared" si="2"/>
        <v>0</v>
      </c>
      <c r="O90" s="23"/>
      <c r="P90" s="23"/>
      <c r="Q90" s="23"/>
      <c r="R90" s="26"/>
      <c r="S90" s="23"/>
    </row>
    <row r="91" spans="1:19" ht="19.5" customHeight="1" outlineLevel="1">
      <c r="A91" s="29">
        <v>78</v>
      </c>
      <c r="B91" s="30">
        <f>IF(1&lt;=DAY(DATE(YEAR(설정_코스수당!$K$2),MONTH(설정_코스수당!$K$2)+1,0)),DATE(YEAR(설정_코스수당!$K$2),MONTH(설정_코스수당!$K$2),1),"")</f>
        <v>46174</v>
      </c>
      <c r="C91" s="31"/>
      <c r="D91" s="29"/>
      <c r="E91" s="29"/>
      <c r="F91" s="32"/>
      <c r="G91" s="29"/>
      <c r="H91" s="29"/>
      <c r="I91" s="29"/>
      <c r="J91" s="33">
        <f>IF($O91="방문완료",MAX(0,IFERROR(VLOOKUP($E91,설정_코스수당!$A$6:$H$10,4,FALSE),0)-IF(OR($P91="",$P91="없음"),0,100000)),0)</f>
        <v>0</v>
      </c>
      <c r="K91" s="33">
        <f t="array" ref="K91">IF($O91="방문완료",IFERROR(INDEX(설정_코스수당!$B$15:$F$64,MATCH($G91,설정_코스수당!$A$15:$A$64,0),MATCH($E91&amp;"수당",설정_코스수당!$B$14:$F$14,0)),0),0)</f>
        <v>0</v>
      </c>
      <c r="L91" s="33">
        <f t="array" ref="L91">IF($O91="방문완료",IF($H91="",0,IFERROR(INDEX(설정_코스수당!$B$15:$F$64,MATCH($H91,설정_코스수당!$A$15:$A$64,0),MATCH($E91&amp;"수당",설정_코스수당!$B$14:$F$14,0)),0)),0)</f>
        <v>0</v>
      </c>
      <c r="M91" s="33">
        <f>IF($O91="방문완료",IFERROR(VLOOKUP($E91,설정_코스수당!$A$6:$H$10,6,FALSE),0),0)</f>
        <v>0</v>
      </c>
      <c r="N91" s="34">
        <f t="shared" si="2"/>
        <v>0</v>
      </c>
      <c r="O91" s="29"/>
      <c r="P91" s="29"/>
      <c r="Q91" s="29"/>
      <c r="R91" s="32"/>
      <c r="S91" s="29"/>
    </row>
    <row r="92" spans="1:19" ht="19.5" customHeight="1" outlineLevel="1">
      <c r="A92" s="23">
        <v>79</v>
      </c>
      <c r="B92" s="24">
        <f>IF(1&lt;=DAY(DATE(YEAR(설정_코스수당!$K$2),MONTH(설정_코스수당!$K$2)+1,0)),DATE(YEAR(설정_코스수당!$K$2),MONTH(설정_코스수당!$K$2),1),"")</f>
        <v>46174</v>
      </c>
      <c r="C92" s="25"/>
      <c r="D92" s="23"/>
      <c r="E92" s="23"/>
      <c r="F92" s="26"/>
      <c r="G92" s="23"/>
      <c r="H92" s="23"/>
      <c r="I92" s="23"/>
      <c r="J92" s="27">
        <f>IF($O92="방문완료",MAX(0,IFERROR(VLOOKUP($E92,설정_코스수당!$A$6:$H$10,4,FALSE),0)-IF(OR($P92="",$P92="없음"),0,100000)),0)</f>
        <v>0</v>
      </c>
      <c r="K92" s="27">
        <f t="array" ref="K92">IF($O92="방문완료",IFERROR(INDEX(설정_코스수당!$B$15:$F$64,MATCH($G92,설정_코스수당!$A$15:$A$64,0),MATCH($E92&amp;"수당",설정_코스수당!$B$14:$F$14,0)),0),0)</f>
        <v>0</v>
      </c>
      <c r="L92" s="27">
        <f t="array" ref="L92">IF($O92="방문완료",IF($H92="",0,IFERROR(INDEX(설정_코스수당!$B$15:$F$64,MATCH($H92,설정_코스수당!$A$15:$A$64,0),MATCH($E92&amp;"수당",설정_코스수당!$B$14:$F$14,0)),0)),0)</f>
        <v>0</v>
      </c>
      <c r="M92" s="27">
        <f>IF($O92="방문완료",IFERROR(VLOOKUP($E92,설정_코스수당!$A$6:$H$10,6,FALSE),0),0)</f>
        <v>0</v>
      </c>
      <c r="N92" s="28">
        <f t="shared" si="2"/>
        <v>0</v>
      </c>
      <c r="O92" s="23"/>
      <c r="P92" s="23"/>
      <c r="Q92" s="23"/>
      <c r="R92" s="26"/>
      <c r="S92" s="23"/>
    </row>
    <row r="93" spans="1:19" ht="19.5" customHeight="1" outlineLevel="1">
      <c r="A93" s="29">
        <v>80</v>
      </c>
      <c r="B93" s="30">
        <f>IF(1&lt;=DAY(DATE(YEAR(설정_코스수당!$K$2),MONTH(설정_코스수당!$K$2)+1,0)),DATE(YEAR(설정_코스수당!$K$2),MONTH(설정_코스수당!$K$2),1),"")</f>
        <v>46174</v>
      </c>
      <c r="C93" s="31"/>
      <c r="D93" s="29"/>
      <c r="E93" s="29"/>
      <c r="F93" s="32"/>
      <c r="G93" s="29"/>
      <c r="H93" s="29"/>
      <c r="I93" s="29"/>
      <c r="J93" s="33">
        <f>IF($O93="방문완료",MAX(0,IFERROR(VLOOKUP($E93,설정_코스수당!$A$6:$H$10,4,FALSE),0)-IF(OR($P93="",$P93="없음"),0,100000)),0)</f>
        <v>0</v>
      </c>
      <c r="K93" s="33">
        <f t="array" ref="K93">IF($O93="방문완료",IFERROR(INDEX(설정_코스수당!$B$15:$F$64,MATCH($G93,설정_코스수당!$A$15:$A$64,0),MATCH($E93&amp;"수당",설정_코스수당!$B$14:$F$14,0)),0),0)</f>
        <v>0</v>
      </c>
      <c r="L93" s="33">
        <f t="array" ref="L93">IF($O93="방문완료",IF($H93="",0,IFERROR(INDEX(설정_코스수당!$B$15:$F$64,MATCH($H93,설정_코스수당!$A$15:$A$64,0),MATCH($E93&amp;"수당",설정_코스수당!$B$14:$F$14,0)),0)),0)</f>
        <v>0</v>
      </c>
      <c r="M93" s="33">
        <f>IF($O93="방문완료",IFERROR(VLOOKUP($E93,설정_코스수당!$A$6:$H$10,6,FALSE),0),0)</f>
        <v>0</v>
      </c>
      <c r="N93" s="34">
        <f t="shared" si="2"/>
        <v>0</v>
      </c>
      <c r="O93" s="29"/>
      <c r="P93" s="29"/>
      <c r="Q93" s="29"/>
      <c r="R93" s="32"/>
      <c r="S93" s="29"/>
    </row>
    <row r="94" spans="1:19" ht="19.5" customHeight="1" outlineLevel="1">
      <c r="A94" s="23">
        <v>81</v>
      </c>
      <c r="B94" s="24">
        <f>IF(1&lt;=DAY(DATE(YEAR(설정_코스수당!$K$2),MONTH(설정_코스수당!$K$2)+1,0)),DATE(YEAR(설정_코스수당!$K$2),MONTH(설정_코스수당!$K$2),1),"")</f>
        <v>46174</v>
      </c>
      <c r="C94" s="25"/>
      <c r="D94" s="23"/>
      <c r="E94" s="23"/>
      <c r="F94" s="26"/>
      <c r="G94" s="23"/>
      <c r="H94" s="23"/>
      <c r="I94" s="23"/>
      <c r="J94" s="27">
        <f>IF($O94="방문완료",MAX(0,IFERROR(VLOOKUP($E94,설정_코스수당!$A$6:$H$10,4,FALSE),0)-IF(OR($P94="",$P94="없음"),0,100000)),0)</f>
        <v>0</v>
      </c>
      <c r="K94" s="27">
        <f t="array" ref="K94">IF($O94="방문완료",IFERROR(INDEX(설정_코스수당!$B$15:$F$64,MATCH($G94,설정_코스수당!$A$15:$A$64,0),MATCH($E94&amp;"수당",설정_코스수당!$B$14:$F$14,0)),0),0)</f>
        <v>0</v>
      </c>
      <c r="L94" s="27">
        <f t="array" ref="L94">IF($O94="방문완료",IF($H94="",0,IFERROR(INDEX(설정_코스수당!$B$15:$F$64,MATCH($H94,설정_코스수당!$A$15:$A$64,0),MATCH($E94&amp;"수당",설정_코스수당!$B$14:$F$14,0)),0)),0)</f>
        <v>0</v>
      </c>
      <c r="M94" s="27">
        <f>IF($O94="방문완료",IFERROR(VLOOKUP($E94,설정_코스수당!$A$6:$H$10,6,FALSE),0),0)</f>
        <v>0</v>
      </c>
      <c r="N94" s="28">
        <f t="shared" si="2"/>
        <v>0</v>
      </c>
      <c r="O94" s="23"/>
      <c r="P94" s="23"/>
      <c r="Q94" s="23"/>
      <c r="R94" s="26"/>
      <c r="S94" s="23"/>
    </row>
    <row r="95" spans="1:19" ht="19.5" customHeight="1" outlineLevel="1">
      <c r="A95" s="29">
        <v>82</v>
      </c>
      <c r="B95" s="30">
        <f>IF(1&lt;=DAY(DATE(YEAR(설정_코스수당!$K$2),MONTH(설정_코스수당!$K$2)+1,0)),DATE(YEAR(설정_코스수당!$K$2),MONTH(설정_코스수당!$K$2),1),"")</f>
        <v>46174</v>
      </c>
      <c r="C95" s="31"/>
      <c r="D95" s="29"/>
      <c r="E95" s="29"/>
      <c r="F95" s="32"/>
      <c r="G95" s="29"/>
      <c r="H95" s="29"/>
      <c r="I95" s="29"/>
      <c r="J95" s="33">
        <f>IF($O95="방문완료",MAX(0,IFERROR(VLOOKUP($E95,설정_코스수당!$A$6:$H$10,4,FALSE),0)-IF(OR($P95="",$P95="없음"),0,100000)),0)</f>
        <v>0</v>
      </c>
      <c r="K95" s="33">
        <f t="array" ref="K95">IF($O95="방문완료",IFERROR(INDEX(설정_코스수당!$B$15:$F$64,MATCH($G95,설정_코스수당!$A$15:$A$64,0),MATCH($E95&amp;"수당",설정_코스수당!$B$14:$F$14,0)),0),0)</f>
        <v>0</v>
      </c>
      <c r="L95" s="33">
        <f t="array" ref="L95">IF($O95="방문완료",IF($H95="",0,IFERROR(INDEX(설정_코스수당!$B$15:$F$64,MATCH($H95,설정_코스수당!$A$15:$A$64,0),MATCH($E95&amp;"수당",설정_코스수당!$B$14:$F$14,0)),0)),0)</f>
        <v>0</v>
      </c>
      <c r="M95" s="33">
        <f>IF($O95="방문완료",IFERROR(VLOOKUP($E95,설정_코스수당!$A$6:$H$10,6,FALSE),0),0)</f>
        <v>0</v>
      </c>
      <c r="N95" s="34">
        <f t="shared" si="2"/>
        <v>0</v>
      </c>
      <c r="O95" s="29"/>
      <c r="P95" s="29"/>
      <c r="Q95" s="29"/>
      <c r="R95" s="32"/>
      <c r="S95" s="29"/>
    </row>
    <row r="96" spans="1:19" ht="19.5" customHeight="1" outlineLevel="1">
      <c r="A96" s="23">
        <v>83</v>
      </c>
      <c r="B96" s="24">
        <f>IF(1&lt;=DAY(DATE(YEAR(설정_코스수당!$K$2),MONTH(설정_코스수당!$K$2)+1,0)),DATE(YEAR(설정_코스수당!$K$2),MONTH(설정_코스수당!$K$2),1),"")</f>
        <v>46174</v>
      </c>
      <c r="C96" s="25"/>
      <c r="D96" s="23"/>
      <c r="E96" s="23"/>
      <c r="F96" s="26"/>
      <c r="G96" s="23"/>
      <c r="H96" s="23"/>
      <c r="I96" s="23"/>
      <c r="J96" s="27">
        <f>IF($O96="방문완료",MAX(0,IFERROR(VLOOKUP($E96,설정_코스수당!$A$6:$H$10,4,FALSE),0)-IF(OR($P96="",$P96="없음"),0,100000)),0)</f>
        <v>0</v>
      </c>
      <c r="K96" s="27">
        <f t="array" ref="K96">IF($O96="방문완료",IFERROR(INDEX(설정_코스수당!$B$15:$F$64,MATCH($G96,설정_코스수당!$A$15:$A$64,0),MATCH($E96&amp;"수당",설정_코스수당!$B$14:$F$14,0)),0),0)</f>
        <v>0</v>
      </c>
      <c r="L96" s="27">
        <f t="array" ref="L96">IF($O96="방문완료",IF($H96="",0,IFERROR(INDEX(설정_코스수당!$B$15:$F$64,MATCH($H96,설정_코스수당!$A$15:$A$64,0),MATCH($E96&amp;"수당",설정_코스수당!$B$14:$F$14,0)),0)),0)</f>
        <v>0</v>
      </c>
      <c r="M96" s="27">
        <f>IF($O96="방문완료",IFERROR(VLOOKUP($E96,설정_코스수당!$A$6:$H$10,6,FALSE),0),0)</f>
        <v>0</v>
      </c>
      <c r="N96" s="28">
        <f t="shared" si="2"/>
        <v>0</v>
      </c>
      <c r="O96" s="23"/>
      <c r="P96" s="23"/>
      <c r="Q96" s="23"/>
      <c r="R96" s="26"/>
      <c r="S96" s="23"/>
    </row>
    <row r="97" spans="1:19" ht="19.5" customHeight="1" outlineLevel="1">
      <c r="A97" s="29">
        <v>84</v>
      </c>
      <c r="B97" s="30">
        <f>IF(1&lt;=DAY(DATE(YEAR(설정_코스수당!$K$2),MONTH(설정_코스수당!$K$2)+1,0)),DATE(YEAR(설정_코스수당!$K$2),MONTH(설정_코스수당!$K$2),1),"")</f>
        <v>46174</v>
      </c>
      <c r="C97" s="31"/>
      <c r="D97" s="29"/>
      <c r="E97" s="29"/>
      <c r="F97" s="32"/>
      <c r="G97" s="29"/>
      <c r="H97" s="29"/>
      <c r="I97" s="29"/>
      <c r="J97" s="33">
        <f>IF($O97="방문완료",MAX(0,IFERROR(VLOOKUP($E97,설정_코스수당!$A$6:$H$10,4,FALSE),0)-IF(OR($P97="",$P97="없음"),0,100000)),0)</f>
        <v>0</v>
      </c>
      <c r="K97" s="33">
        <f t="array" ref="K97">IF($O97="방문완료",IFERROR(INDEX(설정_코스수당!$B$15:$F$64,MATCH($G97,설정_코스수당!$A$15:$A$64,0),MATCH($E97&amp;"수당",설정_코스수당!$B$14:$F$14,0)),0),0)</f>
        <v>0</v>
      </c>
      <c r="L97" s="33">
        <f t="array" ref="L97">IF($O97="방문완료",IF($H97="",0,IFERROR(INDEX(설정_코스수당!$B$15:$F$64,MATCH($H97,설정_코스수당!$A$15:$A$64,0),MATCH($E97&amp;"수당",설정_코스수당!$B$14:$F$14,0)),0)),0)</f>
        <v>0</v>
      </c>
      <c r="M97" s="33">
        <f>IF($O97="방문완료",IFERROR(VLOOKUP($E97,설정_코스수당!$A$6:$H$10,6,FALSE),0),0)</f>
        <v>0</v>
      </c>
      <c r="N97" s="34">
        <f t="shared" si="2"/>
        <v>0</v>
      </c>
      <c r="O97" s="29"/>
      <c r="P97" s="29"/>
      <c r="Q97" s="29"/>
      <c r="R97" s="32"/>
      <c r="S97" s="29"/>
    </row>
    <row r="98" spans="1:19" ht="19.5" customHeight="1" outlineLevel="1">
      <c r="A98" s="23">
        <v>85</v>
      </c>
      <c r="B98" s="24">
        <f>IF(1&lt;=DAY(DATE(YEAR(설정_코스수당!$K$2),MONTH(설정_코스수당!$K$2)+1,0)),DATE(YEAR(설정_코스수당!$K$2),MONTH(설정_코스수당!$K$2),1),"")</f>
        <v>46174</v>
      </c>
      <c r="C98" s="25"/>
      <c r="D98" s="23"/>
      <c r="E98" s="23"/>
      <c r="F98" s="26"/>
      <c r="G98" s="23"/>
      <c r="H98" s="23"/>
      <c r="I98" s="23"/>
      <c r="J98" s="27">
        <f>IF($O98="방문완료",MAX(0,IFERROR(VLOOKUP($E98,설정_코스수당!$A$6:$H$10,4,FALSE),0)-IF(OR($P98="",$P98="없음"),0,100000)),0)</f>
        <v>0</v>
      </c>
      <c r="K98" s="27">
        <f t="array" ref="K98">IF($O98="방문완료",IFERROR(INDEX(설정_코스수당!$B$15:$F$64,MATCH($G98,설정_코스수당!$A$15:$A$64,0),MATCH($E98&amp;"수당",설정_코스수당!$B$14:$F$14,0)),0),0)</f>
        <v>0</v>
      </c>
      <c r="L98" s="27">
        <f t="array" ref="L98">IF($O98="방문완료",IF($H98="",0,IFERROR(INDEX(설정_코스수당!$B$15:$F$64,MATCH($H98,설정_코스수당!$A$15:$A$64,0),MATCH($E98&amp;"수당",설정_코스수당!$B$14:$F$14,0)),0)),0)</f>
        <v>0</v>
      </c>
      <c r="M98" s="27">
        <f>IF($O98="방문완료",IFERROR(VLOOKUP($E98,설정_코스수당!$A$6:$H$10,6,FALSE),0),0)</f>
        <v>0</v>
      </c>
      <c r="N98" s="28">
        <f t="shared" si="2"/>
        <v>0</v>
      </c>
      <c r="O98" s="23"/>
      <c r="P98" s="23"/>
      <c r="Q98" s="23"/>
      <c r="R98" s="26"/>
      <c r="S98" s="23"/>
    </row>
    <row r="99" spans="1:19" ht="19.5" customHeight="1" outlineLevel="1">
      <c r="A99" s="29">
        <v>86</v>
      </c>
      <c r="B99" s="30">
        <f>IF(1&lt;=DAY(DATE(YEAR(설정_코스수당!$K$2),MONTH(설정_코스수당!$K$2)+1,0)),DATE(YEAR(설정_코스수당!$K$2),MONTH(설정_코스수당!$K$2),1),"")</f>
        <v>46174</v>
      </c>
      <c r="C99" s="31"/>
      <c r="D99" s="29"/>
      <c r="E99" s="29"/>
      <c r="F99" s="32"/>
      <c r="G99" s="29"/>
      <c r="H99" s="29"/>
      <c r="I99" s="29"/>
      <c r="J99" s="33">
        <f>IF($O99="방문완료",MAX(0,IFERROR(VLOOKUP($E99,설정_코스수당!$A$6:$H$10,4,FALSE),0)-IF(OR($P99="",$P99="없음"),0,100000)),0)</f>
        <v>0</v>
      </c>
      <c r="K99" s="33">
        <f t="array" ref="K99">IF($O99="방문완료",IFERROR(INDEX(설정_코스수당!$B$15:$F$64,MATCH($G99,설정_코스수당!$A$15:$A$64,0),MATCH($E99&amp;"수당",설정_코스수당!$B$14:$F$14,0)),0),0)</f>
        <v>0</v>
      </c>
      <c r="L99" s="33">
        <f t="array" ref="L99">IF($O99="방문완료",IF($H99="",0,IFERROR(INDEX(설정_코스수당!$B$15:$F$64,MATCH($H99,설정_코스수당!$A$15:$A$64,0),MATCH($E99&amp;"수당",설정_코스수당!$B$14:$F$14,0)),0)),0)</f>
        <v>0</v>
      </c>
      <c r="M99" s="33">
        <f>IF($O99="방문완료",IFERROR(VLOOKUP($E99,설정_코스수당!$A$6:$H$10,6,FALSE),0),0)</f>
        <v>0</v>
      </c>
      <c r="N99" s="34">
        <f t="shared" si="2"/>
        <v>0</v>
      </c>
      <c r="O99" s="29"/>
      <c r="P99" s="29"/>
      <c r="Q99" s="29"/>
      <c r="R99" s="32"/>
      <c r="S99" s="29"/>
    </row>
    <row r="100" spans="1:19" ht="19.5" customHeight="1" outlineLevel="1">
      <c r="A100" s="23">
        <v>87</v>
      </c>
      <c r="B100" s="24">
        <f>IF(1&lt;=DAY(DATE(YEAR(설정_코스수당!$K$2),MONTH(설정_코스수당!$K$2)+1,0)),DATE(YEAR(설정_코스수당!$K$2),MONTH(설정_코스수당!$K$2),1),"")</f>
        <v>46174</v>
      </c>
      <c r="C100" s="25"/>
      <c r="D100" s="23"/>
      <c r="E100" s="23"/>
      <c r="F100" s="26"/>
      <c r="G100" s="23"/>
      <c r="H100" s="23"/>
      <c r="I100" s="23"/>
      <c r="J100" s="27">
        <f>IF($O100="방문완료",MAX(0,IFERROR(VLOOKUP($E100,설정_코스수당!$A$6:$H$10,4,FALSE),0)-IF(OR($P100="",$P100="없음"),0,100000)),0)</f>
        <v>0</v>
      </c>
      <c r="K100" s="27">
        <f t="array" ref="K100">IF($O100="방문완료",IFERROR(INDEX(설정_코스수당!$B$15:$F$64,MATCH($G100,설정_코스수당!$A$15:$A$64,0),MATCH($E100&amp;"수당",설정_코스수당!$B$14:$F$14,0)),0),0)</f>
        <v>0</v>
      </c>
      <c r="L100" s="27">
        <f t="array" ref="L100">IF($O100="방문완료",IF($H100="",0,IFERROR(INDEX(설정_코스수당!$B$15:$F$64,MATCH($H100,설정_코스수당!$A$15:$A$64,0),MATCH($E100&amp;"수당",설정_코스수당!$B$14:$F$14,0)),0)),0)</f>
        <v>0</v>
      </c>
      <c r="M100" s="27">
        <f>IF($O100="방문완료",IFERROR(VLOOKUP($E100,설정_코스수당!$A$6:$H$10,6,FALSE),0),0)</f>
        <v>0</v>
      </c>
      <c r="N100" s="28">
        <f t="shared" si="2"/>
        <v>0</v>
      </c>
      <c r="O100" s="23"/>
      <c r="P100" s="23"/>
      <c r="Q100" s="23"/>
      <c r="R100" s="26"/>
      <c r="S100" s="23"/>
    </row>
    <row r="101" spans="1:19" ht="19.5" customHeight="1" outlineLevel="1">
      <c r="A101" s="29">
        <v>88</v>
      </c>
      <c r="B101" s="30">
        <f>IF(1&lt;=DAY(DATE(YEAR(설정_코스수당!$K$2),MONTH(설정_코스수당!$K$2)+1,0)),DATE(YEAR(설정_코스수당!$K$2),MONTH(설정_코스수당!$K$2),1),"")</f>
        <v>46174</v>
      </c>
      <c r="C101" s="31"/>
      <c r="D101" s="29"/>
      <c r="E101" s="29"/>
      <c r="F101" s="32"/>
      <c r="G101" s="29"/>
      <c r="H101" s="29"/>
      <c r="I101" s="29"/>
      <c r="J101" s="33">
        <f>IF($O101="방문완료",MAX(0,IFERROR(VLOOKUP($E101,설정_코스수당!$A$6:$H$10,4,FALSE),0)-IF(OR($P101="",$P101="없음"),0,100000)),0)</f>
        <v>0</v>
      </c>
      <c r="K101" s="33">
        <f t="array" ref="K101">IF($O101="방문완료",IFERROR(INDEX(설정_코스수당!$B$15:$F$64,MATCH($G101,설정_코스수당!$A$15:$A$64,0),MATCH($E101&amp;"수당",설정_코스수당!$B$14:$F$14,0)),0),0)</f>
        <v>0</v>
      </c>
      <c r="L101" s="33">
        <f t="array" ref="L101">IF($O101="방문완료",IF($H101="",0,IFERROR(INDEX(설정_코스수당!$B$15:$F$64,MATCH($H101,설정_코스수당!$A$15:$A$64,0),MATCH($E101&amp;"수당",설정_코스수당!$B$14:$F$14,0)),0)),0)</f>
        <v>0</v>
      </c>
      <c r="M101" s="33">
        <f>IF($O101="방문완료",IFERROR(VLOOKUP($E101,설정_코스수당!$A$6:$H$10,6,FALSE),0),0)</f>
        <v>0</v>
      </c>
      <c r="N101" s="34">
        <f t="shared" si="2"/>
        <v>0</v>
      </c>
      <c r="O101" s="29"/>
      <c r="P101" s="29"/>
      <c r="Q101" s="29"/>
      <c r="R101" s="32"/>
      <c r="S101" s="29"/>
    </row>
    <row r="102" spans="1:19" ht="19.5" customHeight="1" outlineLevel="1">
      <c r="A102" s="23">
        <v>89</v>
      </c>
      <c r="B102" s="24">
        <f>IF(1&lt;=DAY(DATE(YEAR(설정_코스수당!$K$2),MONTH(설정_코스수당!$K$2)+1,0)),DATE(YEAR(설정_코스수당!$K$2),MONTH(설정_코스수당!$K$2),1),"")</f>
        <v>46174</v>
      </c>
      <c r="C102" s="25"/>
      <c r="D102" s="23"/>
      <c r="E102" s="23"/>
      <c r="F102" s="26"/>
      <c r="G102" s="23"/>
      <c r="H102" s="23"/>
      <c r="I102" s="23"/>
      <c r="J102" s="27">
        <f>IF($O102="방문완료",MAX(0,IFERROR(VLOOKUP($E102,설정_코스수당!$A$6:$H$10,4,FALSE),0)-IF(OR($P102="",$P102="없음"),0,100000)),0)</f>
        <v>0</v>
      </c>
      <c r="K102" s="27">
        <f t="array" ref="K102">IF($O102="방문완료",IFERROR(INDEX(설정_코스수당!$B$15:$F$64,MATCH($G102,설정_코스수당!$A$15:$A$64,0),MATCH($E102&amp;"수당",설정_코스수당!$B$14:$F$14,0)),0),0)</f>
        <v>0</v>
      </c>
      <c r="L102" s="27">
        <f t="array" ref="L102">IF($O102="방문완료",IF($H102="",0,IFERROR(INDEX(설정_코스수당!$B$15:$F$64,MATCH($H102,설정_코스수당!$A$15:$A$64,0),MATCH($E102&amp;"수당",설정_코스수당!$B$14:$F$14,0)),0)),0)</f>
        <v>0</v>
      </c>
      <c r="M102" s="27">
        <f>IF($O102="방문완료",IFERROR(VLOOKUP($E102,설정_코스수당!$A$6:$H$10,6,FALSE),0),0)</f>
        <v>0</v>
      </c>
      <c r="N102" s="28">
        <f t="shared" si="2"/>
        <v>0</v>
      </c>
      <c r="O102" s="23"/>
      <c r="P102" s="23"/>
      <c r="Q102" s="23"/>
      <c r="R102" s="26"/>
      <c r="S102" s="23"/>
    </row>
    <row r="103" spans="1:19" ht="19.5" customHeight="1" outlineLevel="1">
      <c r="A103" s="29">
        <v>90</v>
      </c>
      <c r="B103" s="30">
        <f>IF(1&lt;=DAY(DATE(YEAR(설정_코스수당!$K$2),MONTH(설정_코스수당!$K$2)+1,0)),DATE(YEAR(설정_코스수당!$K$2),MONTH(설정_코스수당!$K$2),1),"")</f>
        <v>46174</v>
      </c>
      <c r="C103" s="31"/>
      <c r="D103" s="29"/>
      <c r="E103" s="29"/>
      <c r="F103" s="32"/>
      <c r="G103" s="29"/>
      <c r="H103" s="29"/>
      <c r="I103" s="29"/>
      <c r="J103" s="33">
        <f>IF($O103="방문완료",MAX(0,IFERROR(VLOOKUP($E103,설정_코스수당!$A$6:$H$10,4,FALSE),0)-IF(OR($P103="",$P103="없음"),0,100000)),0)</f>
        <v>0</v>
      </c>
      <c r="K103" s="33">
        <f t="array" ref="K103">IF($O103="방문완료",IFERROR(INDEX(설정_코스수당!$B$15:$F$64,MATCH($G103,설정_코스수당!$A$15:$A$64,0),MATCH($E103&amp;"수당",설정_코스수당!$B$14:$F$14,0)),0),0)</f>
        <v>0</v>
      </c>
      <c r="L103" s="33">
        <f t="array" ref="L103">IF($O103="방문완료",IF($H103="",0,IFERROR(INDEX(설정_코스수당!$B$15:$F$64,MATCH($H103,설정_코스수당!$A$15:$A$64,0),MATCH($E103&amp;"수당",설정_코스수당!$B$14:$F$14,0)),0)),0)</f>
        <v>0</v>
      </c>
      <c r="M103" s="33">
        <f>IF($O103="방문완료",IFERROR(VLOOKUP($E103,설정_코스수당!$A$6:$H$10,6,FALSE),0),0)</f>
        <v>0</v>
      </c>
      <c r="N103" s="34">
        <f t="shared" si="2"/>
        <v>0</v>
      </c>
      <c r="O103" s="29"/>
      <c r="P103" s="29"/>
      <c r="Q103" s="29"/>
      <c r="R103" s="32"/>
      <c r="S103" s="29"/>
    </row>
    <row r="104" spans="1:19" ht="19.5" customHeight="1" outlineLevel="1">
      <c r="A104" s="23">
        <v>91</v>
      </c>
      <c r="B104" s="24">
        <f>IF(1&lt;=DAY(DATE(YEAR(설정_코스수당!$K$2),MONTH(설정_코스수당!$K$2)+1,0)),DATE(YEAR(설정_코스수당!$K$2),MONTH(설정_코스수당!$K$2),1),"")</f>
        <v>46174</v>
      </c>
      <c r="C104" s="25"/>
      <c r="D104" s="23"/>
      <c r="E104" s="23"/>
      <c r="F104" s="26"/>
      <c r="G104" s="23"/>
      <c r="H104" s="23"/>
      <c r="I104" s="23"/>
      <c r="J104" s="27">
        <f>IF($O104="방문완료",MAX(0,IFERROR(VLOOKUP($E104,설정_코스수당!$A$6:$H$10,4,FALSE),0)-IF(OR($P104="",$P104="없음"),0,100000)),0)</f>
        <v>0</v>
      </c>
      <c r="K104" s="27">
        <f t="array" ref="K104">IF($O104="방문완료",IFERROR(INDEX(설정_코스수당!$B$15:$F$64,MATCH($G104,설정_코스수당!$A$15:$A$64,0),MATCH($E104&amp;"수당",설정_코스수당!$B$14:$F$14,0)),0),0)</f>
        <v>0</v>
      </c>
      <c r="L104" s="27">
        <f t="array" ref="L104">IF($O104="방문완료",IF($H104="",0,IFERROR(INDEX(설정_코스수당!$B$15:$F$64,MATCH($H104,설정_코스수당!$A$15:$A$64,0),MATCH($E104&amp;"수당",설정_코스수당!$B$14:$F$14,0)),0)),0)</f>
        <v>0</v>
      </c>
      <c r="M104" s="27">
        <f>IF($O104="방문완료",IFERROR(VLOOKUP($E104,설정_코스수당!$A$6:$H$10,6,FALSE),0),0)</f>
        <v>0</v>
      </c>
      <c r="N104" s="28">
        <f t="shared" si="2"/>
        <v>0</v>
      </c>
      <c r="O104" s="23"/>
      <c r="P104" s="23"/>
      <c r="Q104" s="23"/>
      <c r="R104" s="26"/>
      <c r="S104" s="23"/>
    </row>
    <row r="105" spans="1:19" ht="19.5" customHeight="1" outlineLevel="1">
      <c r="A105" s="29">
        <v>92</v>
      </c>
      <c r="B105" s="30">
        <f>IF(1&lt;=DAY(DATE(YEAR(설정_코스수당!$K$2),MONTH(설정_코스수당!$K$2)+1,0)),DATE(YEAR(설정_코스수당!$K$2),MONTH(설정_코스수당!$K$2),1),"")</f>
        <v>46174</v>
      </c>
      <c r="C105" s="31"/>
      <c r="D105" s="29"/>
      <c r="E105" s="29"/>
      <c r="F105" s="32"/>
      <c r="G105" s="29"/>
      <c r="H105" s="29"/>
      <c r="I105" s="29"/>
      <c r="J105" s="33">
        <f>IF($O105="방문완료",MAX(0,IFERROR(VLOOKUP($E105,설정_코스수당!$A$6:$H$10,4,FALSE),0)-IF(OR($P105="",$P105="없음"),0,100000)),0)</f>
        <v>0</v>
      </c>
      <c r="K105" s="33">
        <f t="array" ref="K105">IF($O105="방문완료",IFERROR(INDEX(설정_코스수당!$B$15:$F$64,MATCH($G105,설정_코스수당!$A$15:$A$64,0),MATCH($E105&amp;"수당",설정_코스수당!$B$14:$F$14,0)),0),0)</f>
        <v>0</v>
      </c>
      <c r="L105" s="33">
        <f t="array" ref="L105">IF($O105="방문완료",IF($H105="",0,IFERROR(INDEX(설정_코스수당!$B$15:$F$64,MATCH($H105,설정_코스수당!$A$15:$A$64,0),MATCH($E105&amp;"수당",설정_코스수당!$B$14:$F$14,0)),0)),0)</f>
        <v>0</v>
      </c>
      <c r="M105" s="33">
        <f>IF($O105="방문완료",IFERROR(VLOOKUP($E105,설정_코스수당!$A$6:$H$10,6,FALSE),0),0)</f>
        <v>0</v>
      </c>
      <c r="N105" s="34">
        <f t="shared" si="2"/>
        <v>0</v>
      </c>
      <c r="O105" s="29"/>
      <c r="P105" s="29"/>
      <c r="Q105" s="29"/>
      <c r="R105" s="32"/>
      <c r="S105" s="29"/>
    </row>
    <row r="106" spans="1:19" ht="19.5" customHeight="1" outlineLevel="1">
      <c r="A106" s="23">
        <v>93</v>
      </c>
      <c r="B106" s="24">
        <f>IF(1&lt;=DAY(DATE(YEAR(설정_코스수당!$K$2),MONTH(설정_코스수당!$K$2)+1,0)),DATE(YEAR(설정_코스수당!$K$2),MONTH(설정_코스수당!$K$2),1),"")</f>
        <v>46174</v>
      </c>
      <c r="C106" s="25"/>
      <c r="D106" s="23"/>
      <c r="E106" s="23"/>
      <c r="F106" s="26"/>
      <c r="G106" s="23"/>
      <c r="H106" s="23"/>
      <c r="I106" s="23"/>
      <c r="J106" s="27">
        <f>IF($O106="방문완료",MAX(0,IFERROR(VLOOKUP($E106,설정_코스수당!$A$6:$H$10,4,FALSE),0)-IF(OR($P106="",$P106="없음"),0,100000)),0)</f>
        <v>0</v>
      </c>
      <c r="K106" s="27">
        <f t="array" ref="K106">IF($O106="방문완료",IFERROR(INDEX(설정_코스수당!$B$15:$F$64,MATCH($G106,설정_코스수당!$A$15:$A$64,0),MATCH($E106&amp;"수당",설정_코스수당!$B$14:$F$14,0)),0),0)</f>
        <v>0</v>
      </c>
      <c r="L106" s="27">
        <f t="array" ref="L106">IF($O106="방문완료",IF($H106="",0,IFERROR(INDEX(설정_코스수당!$B$15:$F$64,MATCH($H106,설정_코스수당!$A$15:$A$64,0),MATCH($E106&amp;"수당",설정_코스수당!$B$14:$F$14,0)),0)),0)</f>
        <v>0</v>
      </c>
      <c r="M106" s="27">
        <f>IF($O106="방문완료",IFERROR(VLOOKUP($E106,설정_코스수당!$A$6:$H$10,6,FALSE),0),0)</f>
        <v>0</v>
      </c>
      <c r="N106" s="28">
        <f t="shared" si="2"/>
        <v>0</v>
      </c>
      <c r="O106" s="23"/>
      <c r="P106" s="23"/>
      <c r="Q106" s="23"/>
      <c r="R106" s="26"/>
      <c r="S106" s="23"/>
    </row>
    <row r="107" spans="1:19" ht="19.5" customHeight="1" outlineLevel="1">
      <c r="A107" s="29">
        <v>94</v>
      </c>
      <c r="B107" s="30">
        <f>IF(1&lt;=DAY(DATE(YEAR(설정_코스수당!$K$2),MONTH(설정_코스수당!$K$2)+1,0)),DATE(YEAR(설정_코스수당!$K$2),MONTH(설정_코스수당!$K$2),1),"")</f>
        <v>46174</v>
      </c>
      <c r="C107" s="31"/>
      <c r="D107" s="29"/>
      <c r="E107" s="29"/>
      <c r="F107" s="32"/>
      <c r="G107" s="29"/>
      <c r="H107" s="29"/>
      <c r="I107" s="29"/>
      <c r="J107" s="33">
        <f>IF($O107="방문완료",MAX(0,IFERROR(VLOOKUP($E107,설정_코스수당!$A$6:$H$10,4,FALSE),0)-IF(OR($P107="",$P107="없음"),0,100000)),0)</f>
        <v>0</v>
      </c>
      <c r="K107" s="33">
        <f t="array" ref="K107">IF($O107="방문완료",IFERROR(INDEX(설정_코스수당!$B$15:$F$64,MATCH($G107,설정_코스수당!$A$15:$A$64,0),MATCH($E107&amp;"수당",설정_코스수당!$B$14:$F$14,0)),0),0)</f>
        <v>0</v>
      </c>
      <c r="L107" s="33">
        <f t="array" ref="L107">IF($O107="방문완료",IF($H107="",0,IFERROR(INDEX(설정_코스수당!$B$15:$F$64,MATCH($H107,설정_코스수당!$A$15:$A$64,0),MATCH($E107&amp;"수당",설정_코스수당!$B$14:$F$14,0)),0)),0)</f>
        <v>0</v>
      </c>
      <c r="M107" s="33">
        <f>IF($O107="방문완료",IFERROR(VLOOKUP($E107,설정_코스수당!$A$6:$H$10,6,FALSE),0),0)</f>
        <v>0</v>
      </c>
      <c r="N107" s="34">
        <f t="shared" si="2"/>
        <v>0</v>
      </c>
      <c r="O107" s="29"/>
      <c r="P107" s="29"/>
      <c r="Q107" s="29"/>
      <c r="R107" s="32"/>
      <c r="S107" s="29"/>
    </row>
    <row r="108" spans="1:19" ht="19.5" customHeight="1" outlineLevel="1">
      <c r="A108" s="23">
        <v>95</v>
      </c>
      <c r="B108" s="24">
        <f>IF(1&lt;=DAY(DATE(YEAR(설정_코스수당!$K$2),MONTH(설정_코스수당!$K$2)+1,0)),DATE(YEAR(설정_코스수당!$K$2),MONTH(설정_코스수당!$K$2),1),"")</f>
        <v>46174</v>
      </c>
      <c r="C108" s="25"/>
      <c r="D108" s="23"/>
      <c r="E108" s="23"/>
      <c r="F108" s="26"/>
      <c r="G108" s="23"/>
      <c r="H108" s="23"/>
      <c r="I108" s="23"/>
      <c r="J108" s="27">
        <f>IF($O108="방문완료",MAX(0,IFERROR(VLOOKUP($E108,설정_코스수당!$A$6:$H$10,4,FALSE),0)-IF(OR($P108="",$P108="없음"),0,100000)),0)</f>
        <v>0</v>
      </c>
      <c r="K108" s="27">
        <f t="array" ref="K108">IF($O108="방문완료",IFERROR(INDEX(설정_코스수당!$B$15:$F$64,MATCH($G108,설정_코스수당!$A$15:$A$64,0),MATCH($E108&amp;"수당",설정_코스수당!$B$14:$F$14,0)),0),0)</f>
        <v>0</v>
      </c>
      <c r="L108" s="27">
        <f t="array" ref="L108">IF($O108="방문완료",IF($H108="",0,IFERROR(INDEX(설정_코스수당!$B$15:$F$64,MATCH($H108,설정_코스수당!$A$15:$A$64,0),MATCH($E108&amp;"수당",설정_코스수당!$B$14:$F$14,0)),0)),0)</f>
        <v>0</v>
      </c>
      <c r="M108" s="27">
        <f>IF($O108="방문완료",IFERROR(VLOOKUP($E108,설정_코스수당!$A$6:$H$10,6,FALSE),0),0)</f>
        <v>0</v>
      </c>
      <c r="N108" s="28">
        <f t="shared" si="2"/>
        <v>0</v>
      </c>
      <c r="O108" s="23"/>
      <c r="P108" s="23"/>
      <c r="Q108" s="23"/>
      <c r="R108" s="26"/>
      <c r="S108" s="23"/>
    </row>
    <row r="109" spans="1:19" ht="19.5" customHeight="1" outlineLevel="1">
      <c r="A109" s="29">
        <v>96</v>
      </c>
      <c r="B109" s="30">
        <f>IF(1&lt;=DAY(DATE(YEAR(설정_코스수당!$K$2),MONTH(설정_코스수당!$K$2)+1,0)),DATE(YEAR(설정_코스수당!$K$2),MONTH(설정_코스수당!$K$2),1),"")</f>
        <v>46174</v>
      </c>
      <c r="C109" s="31"/>
      <c r="D109" s="29"/>
      <c r="E109" s="29"/>
      <c r="F109" s="32"/>
      <c r="G109" s="29"/>
      <c r="H109" s="29"/>
      <c r="I109" s="29"/>
      <c r="J109" s="33">
        <f>IF($O109="방문완료",MAX(0,IFERROR(VLOOKUP($E109,설정_코스수당!$A$6:$H$10,4,FALSE),0)-IF(OR($P109="",$P109="없음"),0,100000)),0)</f>
        <v>0</v>
      </c>
      <c r="K109" s="33">
        <f t="array" ref="K109">IF($O109="방문완료",IFERROR(INDEX(설정_코스수당!$B$15:$F$64,MATCH($G109,설정_코스수당!$A$15:$A$64,0),MATCH($E109&amp;"수당",설정_코스수당!$B$14:$F$14,0)),0),0)</f>
        <v>0</v>
      </c>
      <c r="L109" s="33">
        <f t="array" ref="L109">IF($O109="방문완료",IF($H109="",0,IFERROR(INDEX(설정_코스수당!$B$15:$F$64,MATCH($H109,설정_코스수당!$A$15:$A$64,0),MATCH($E109&amp;"수당",설정_코스수당!$B$14:$F$14,0)),0)),0)</f>
        <v>0</v>
      </c>
      <c r="M109" s="33">
        <f>IF($O109="방문완료",IFERROR(VLOOKUP($E109,설정_코스수당!$A$6:$H$10,6,FALSE),0),0)</f>
        <v>0</v>
      </c>
      <c r="N109" s="34">
        <f t="shared" si="2"/>
        <v>0</v>
      </c>
      <c r="O109" s="29"/>
      <c r="P109" s="29"/>
      <c r="Q109" s="29"/>
      <c r="R109" s="32"/>
      <c r="S109" s="29"/>
    </row>
    <row r="110" spans="1:19" ht="19.5" customHeight="1" outlineLevel="1">
      <c r="A110" s="23">
        <v>97</v>
      </c>
      <c r="B110" s="24">
        <f>IF(1&lt;=DAY(DATE(YEAR(설정_코스수당!$K$2),MONTH(설정_코스수당!$K$2)+1,0)),DATE(YEAR(설정_코스수당!$K$2),MONTH(설정_코스수당!$K$2),1),"")</f>
        <v>46174</v>
      </c>
      <c r="C110" s="25"/>
      <c r="D110" s="23"/>
      <c r="E110" s="23"/>
      <c r="F110" s="26"/>
      <c r="G110" s="23"/>
      <c r="H110" s="23"/>
      <c r="I110" s="23"/>
      <c r="J110" s="27">
        <f>IF($O110="방문완료",MAX(0,IFERROR(VLOOKUP($E110,설정_코스수당!$A$6:$H$10,4,FALSE),0)-IF(OR($P110="",$P110="없음"),0,100000)),0)</f>
        <v>0</v>
      </c>
      <c r="K110" s="27">
        <f t="array" ref="K110">IF($O110="방문완료",IFERROR(INDEX(설정_코스수당!$B$15:$F$64,MATCH($G110,설정_코스수당!$A$15:$A$64,0),MATCH($E110&amp;"수당",설정_코스수당!$B$14:$F$14,0)),0),0)</f>
        <v>0</v>
      </c>
      <c r="L110" s="27">
        <f t="array" ref="L110">IF($O110="방문완료",IF($H110="",0,IFERROR(INDEX(설정_코스수당!$B$15:$F$64,MATCH($H110,설정_코스수당!$A$15:$A$64,0),MATCH($E110&amp;"수당",설정_코스수당!$B$14:$F$14,0)),0)),0)</f>
        <v>0</v>
      </c>
      <c r="M110" s="27">
        <f>IF($O110="방문완료",IFERROR(VLOOKUP($E110,설정_코스수당!$A$6:$H$10,6,FALSE),0),0)</f>
        <v>0</v>
      </c>
      <c r="N110" s="28">
        <f t="shared" si="2"/>
        <v>0</v>
      </c>
      <c r="O110" s="23"/>
      <c r="P110" s="23"/>
      <c r="Q110" s="23"/>
      <c r="R110" s="26"/>
      <c r="S110" s="23"/>
    </row>
    <row r="111" spans="1:19" ht="19.5" customHeight="1" outlineLevel="1">
      <c r="A111" s="29">
        <v>98</v>
      </c>
      <c r="B111" s="30">
        <f>IF(1&lt;=DAY(DATE(YEAR(설정_코스수당!$K$2),MONTH(설정_코스수당!$K$2)+1,0)),DATE(YEAR(설정_코스수당!$K$2),MONTH(설정_코스수당!$K$2),1),"")</f>
        <v>46174</v>
      </c>
      <c r="C111" s="31"/>
      <c r="D111" s="29"/>
      <c r="E111" s="29"/>
      <c r="F111" s="32"/>
      <c r="G111" s="29"/>
      <c r="H111" s="29"/>
      <c r="I111" s="29"/>
      <c r="J111" s="33">
        <f>IF($O111="방문완료",MAX(0,IFERROR(VLOOKUP($E111,설정_코스수당!$A$6:$H$10,4,FALSE),0)-IF(OR($P111="",$P111="없음"),0,100000)),0)</f>
        <v>0</v>
      </c>
      <c r="K111" s="33">
        <f t="array" ref="K111">IF($O111="방문완료",IFERROR(INDEX(설정_코스수당!$B$15:$F$64,MATCH($G111,설정_코스수당!$A$15:$A$64,0),MATCH($E111&amp;"수당",설정_코스수당!$B$14:$F$14,0)),0),0)</f>
        <v>0</v>
      </c>
      <c r="L111" s="33">
        <f t="array" ref="L111">IF($O111="방문완료",IF($H111="",0,IFERROR(INDEX(설정_코스수당!$B$15:$F$64,MATCH($H111,설정_코스수당!$A$15:$A$64,0),MATCH($E111&amp;"수당",설정_코스수당!$B$14:$F$14,0)),0)),0)</f>
        <v>0</v>
      </c>
      <c r="M111" s="33">
        <f>IF($O111="방문완료",IFERROR(VLOOKUP($E111,설정_코스수당!$A$6:$H$10,6,FALSE),0),0)</f>
        <v>0</v>
      </c>
      <c r="N111" s="34">
        <f t="shared" si="2"/>
        <v>0</v>
      </c>
      <c r="O111" s="29"/>
      <c r="P111" s="29"/>
      <c r="Q111" s="29"/>
      <c r="R111" s="32"/>
      <c r="S111" s="29"/>
    </row>
    <row r="112" spans="1:19" ht="19.5" customHeight="1" outlineLevel="1">
      <c r="A112" s="23">
        <v>99</v>
      </c>
      <c r="B112" s="24">
        <f>IF(1&lt;=DAY(DATE(YEAR(설정_코스수당!$K$2),MONTH(설정_코스수당!$K$2)+1,0)),DATE(YEAR(설정_코스수당!$K$2),MONTH(설정_코스수당!$K$2),1),"")</f>
        <v>46174</v>
      </c>
      <c r="C112" s="25"/>
      <c r="D112" s="23"/>
      <c r="E112" s="23"/>
      <c r="F112" s="26"/>
      <c r="G112" s="23"/>
      <c r="H112" s="23"/>
      <c r="I112" s="23"/>
      <c r="J112" s="27">
        <f>IF($O112="방문완료",MAX(0,IFERROR(VLOOKUP($E112,설정_코스수당!$A$6:$H$10,4,FALSE),0)-IF(OR($P112="",$P112="없음"),0,100000)),0)</f>
        <v>0</v>
      </c>
      <c r="K112" s="27">
        <f t="array" ref="K112">IF($O112="방문완료",IFERROR(INDEX(설정_코스수당!$B$15:$F$64,MATCH($G112,설정_코스수당!$A$15:$A$64,0),MATCH($E112&amp;"수당",설정_코스수당!$B$14:$F$14,0)),0),0)</f>
        <v>0</v>
      </c>
      <c r="L112" s="27">
        <f t="array" ref="L112">IF($O112="방문완료",IF($H112="",0,IFERROR(INDEX(설정_코스수당!$B$15:$F$64,MATCH($H112,설정_코스수당!$A$15:$A$64,0),MATCH($E112&amp;"수당",설정_코스수당!$B$14:$F$14,0)),0)),0)</f>
        <v>0</v>
      </c>
      <c r="M112" s="27">
        <f>IF($O112="방문완료",IFERROR(VLOOKUP($E112,설정_코스수당!$A$6:$H$10,6,FALSE),0),0)</f>
        <v>0</v>
      </c>
      <c r="N112" s="28">
        <f t="shared" si="2"/>
        <v>0</v>
      </c>
      <c r="O112" s="23"/>
      <c r="P112" s="23"/>
      <c r="Q112" s="23"/>
      <c r="R112" s="26"/>
      <c r="S112" s="23"/>
    </row>
    <row r="113" spans="1:27" ht="19.5" customHeight="1" outlineLevel="1">
      <c r="A113" s="29">
        <v>100</v>
      </c>
      <c r="B113" s="30">
        <f>IF(1&lt;=DAY(DATE(YEAR(설정_코스수당!$K$2),MONTH(설정_코스수당!$K$2)+1,0)),DATE(YEAR(설정_코스수당!$K$2),MONTH(설정_코스수당!$K$2),1),"")</f>
        <v>46174</v>
      </c>
      <c r="C113" s="31"/>
      <c r="D113" s="29"/>
      <c r="E113" s="29"/>
      <c r="F113" s="32"/>
      <c r="G113" s="29"/>
      <c r="H113" s="29"/>
      <c r="I113" s="29"/>
      <c r="J113" s="33">
        <f>IF($O113="방문완료",MAX(0,IFERROR(VLOOKUP($E113,설정_코스수당!$A$6:$H$10,4,FALSE),0)-IF(OR($P113="",$P113="없음"),0,100000)),0)</f>
        <v>0</v>
      </c>
      <c r="K113" s="33">
        <f t="array" ref="K113">IF($O113="방문완료",IFERROR(INDEX(설정_코스수당!$B$15:$F$64,MATCH($G113,설정_코스수당!$A$15:$A$64,0),MATCH($E113&amp;"수당",설정_코스수당!$B$14:$F$14,0)),0),0)</f>
        <v>0</v>
      </c>
      <c r="L113" s="33">
        <f t="array" ref="L113">IF($O113="방문완료",IF($H113="",0,IFERROR(INDEX(설정_코스수당!$B$15:$F$64,MATCH($H113,설정_코스수당!$A$15:$A$64,0),MATCH($E113&amp;"수당",설정_코스수당!$B$14:$F$14,0)),0)),0)</f>
        <v>0</v>
      </c>
      <c r="M113" s="33">
        <f>IF($O113="방문완료",IFERROR(VLOOKUP($E113,설정_코스수당!$A$6:$H$10,6,FALSE),0),0)</f>
        <v>0</v>
      </c>
      <c r="N113" s="34">
        <f t="shared" si="2"/>
        <v>0</v>
      </c>
      <c r="O113" s="29"/>
      <c r="P113" s="29"/>
      <c r="Q113" s="29"/>
      <c r="R113" s="32"/>
      <c r="S113" s="29"/>
    </row>
    <row r="114" spans="1:27" ht="19.5" customHeight="1" outlineLevel="1">
      <c r="A114" s="36" t="s">
        <v>79</v>
      </c>
      <c r="B114" s="37"/>
      <c r="C114" s="38"/>
      <c r="D114" s="37"/>
      <c r="E114" s="37"/>
      <c r="F114" s="37"/>
      <c r="G114" s="37"/>
      <c r="H114" s="37"/>
      <c r="I114" s="37"/>
      <c r="J114" s="37">
        <f>IF($O114="방문완료",MAX(0,IFERROR(VLOOKUP($E114,설정_코스수당!$A$6:$H$10,4,FALSE),0)-IF(OR($P114="",$P114="없음"),0,100000)),0)</f>
        <v>0</v>
      </c>
      <c r="O114" s="18"/>
      <c r="P114" s="14"/>
      <c r="Q114" s="18"/>
      <c r="S114" s="18"/>
    </row>
    <row r="115" spans="1:27" ht="21" customHeight="1" collapsed="1">
      <c r="A115" s="123" t="str">
        <f>IF(2&lt;=DAY(DATE(YEAR(설정_코스수당!$K$2),MONTH(설정_코스수당!$K$2)+1,0)),TEXT(DATE(YEAR(설정_코스수당!$K$2),MONTH(설정_코스수당!$K$2),2),"yyyy-mm-dd")&amp;"  |  예약관리 100슬롯","")</f>
        <v>2026-06-02  |  예약관리 100슬롯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spans="1:27" ht="19.5" hidden="1" customHeight="1" outlineLevel="1">
      <c r="A116" s="20" t="s">
        <v>41</v>
      </c>
      <c r="B116" s="20" t="s">
        <v>42</v>
      </c>
      <c r="C116" s="39" t="s">
        <v>43</v>
      </c>
      <c r="D116" s="20" t="s">
        <v>44</v>
      </c>
      <c r="E116" s="20" t="s">
        <v>45</v>
      </c>
      <c r="F116" s="20" t="s">
        <v>46</v>
      </c>
      <c r="G116" s="20" t="s">
        <v>47</v>
      </c>
      <c r="H116" s="20" t="s">
        <v>48</v>
      </c>
      <c r="I116" s="20" t="s">
        <v>49</v>
      </c>
      <c r="J116" s="20" t="s">
        <v>50</v>
      </c>
      <c r="K116" s="20" t="s">
        <v>51</v>
      </c>
      <c r="L116" s="20" t="s">
        <v>52</v>
      </c>
      <c r="M116" s="20" t="s">
        <v>53</v>
      </c>
      <c r="N116" s="20" t="s">
        <v>54</v>
      </c>
      <c r="O116" s="20" t="s">
        <v>55</v>
      </c>
      <c r="P116" s="20" t="s">
        <v>56</v>
      </c>
      <c r="Q116" s="20" t="s">
        <v>57</v>
      </c>
      <c r="R116" s="20" t="s">
        <v>58</v>
      </c>
      <c r="S116" s="20" t="s">
        <v>59</v>
      </c>
      <c r="U116" s="122" t="str">
        <f>IF(2&lt;=DAY(DATE(YEAR(설정_코스수당!$K$2),MONTH(설정_코스수당!$K$2)+1,0)),TEXT(DATE(YEAR(설정_코스수당!$K$2),MONTH(설정_코스수당!$K$2),2),"yyyy-mm-dd")&amp;" 일일 상태","")</f>
        <v>2026-06-02 일일 상태</v>
      </c>
      <c r="V116" s="125"/>
      <c r="W116" s="122" t="s">
        <v>3</v>
      </c>
      <c r="X116" s="125"/>
    </row>
    <row r="117" spans="1:27" ht="19.5" hidden="1" customHeight="1" outlineLevel="1">
      <c r="A117" s="23">
        <v>1</v>
      </c>
      <c r="B117" s="24">
        <f>IF(2&lt;=DAY(DATE(YEAR(설정_코스수당!$K$2),MONTH(설정_코스수당!$K$2)+1,0)),DATE(YEAR(설정_코스수당!$K$2),MONTH(설정_코스수당!$K$2),2),"")</f>
        <v>46175</v>
      </c>
      <c r="C117" s="25"/>
      <c r="D117" s="23"/>
      <c r="E117" s="23"/>
      <c r="F117" s="26"/>
      <c r="G117" s="23"/>
      <c r="H117" s="23"/>
      <c r="I117" s="23"/>
      <c r="J117" s="27">
        <f>IF($O117="방문완료",MAX(0,IFERROR(VLOOKUP($E117,설정_코스수당!$A$6:$H$10,4,FALSE),0)-IF(OR($P117="",$P117="없음"),0,100000)),0)</f>
        <v>0</v>
      </c>
      <c r="K117" s="27">
        <f t="array" ref="K117">IF($O117="방문완료",IFERROR(INDEX(설정_코스수당!$B$15:$F$64,MATCH($G117,설정_코스수당!$A$15:$A$64,0),MATCH($E117&amp;"수당",설정_코스수당!$B$14:$F$14,0)),0),0)</f>
        <v>0</v>
      </c>
      <c r="L117" s="27">
        <f t="array" ref="L117">IF($O117="방문완료",IF($H117="",0,IFERROR(INDEX(설정_코스수당!$B$15:$F$64,MATCH($H117,설정_코스수당!$A$15:$A$64,0),MATCH($E117&amp;"수당",설정_코스수당!$B$14:$F$14,0)),0)),0)</f>
        <v>0</v>
      </c>
      <c r="M117" s="27">
        <f>IF($O117="방문완료",IFERROR(VLOOKUP($E117,설정_코스수당!$A$6:$H$10,6,FALSE),0),0)</f>
        <v>0</v>
      </c>
      <c r="N117" s="28">
        <f t="shared" ref="N117:N148" si="3">IF($O117="방문완료",1,0)</f>
        <v>0</v>
      </c>
      <c r="O117" s="23"/>
      <c r="P117" s="23"/>
      <c r="Q117" s="23"/>
      <c r="R117" s="26"/>
      <c r="S117" s="23"/>
      <c r="U117" s="104" t="s">
        <v>63</v>
      </c>
      <c r="V117" s="105">
        <f>IF(2&lt;=DAY(DATE(YEAR(설정_코스수당!$K$2),MONTH(설정_코스수당!$K$2)+1,0)),COUNTIFS($B:$B,DATE(YEAR(설정_코스수당!$K$2),MONTH(설정_코스수당!$K$2),2),$O:$O,"&lt;&gt;"),"")</f>
        <v>0</v>
      </c>
      <c r="W117" s="104" t="s">
        <v>6</v>
      </c>
      <c r="X117" s="105">
        <f>IF(2&lt;=DAY(DATE(YEAR(설정_코스수당!$K$2),MONTH(설정_코스수당!$K$2)+1,0)),COUNTIFS($B:$B,DATE(YEAR(설정_코스수당!$K$2),MONTH(설정_코스수당!$K$2),2),$E:$E,"A",$O:$O,"방문완료"),"")</f>
        <v>0</v>
      </c>
    </row>
    <row r="118" spans="1:27" ht="19.5" hidden="1" customHeight="1" outlineLevel="1">
      <c r="A118" s="29">
        <v>2</v>
      </c>
      <c r="B118" s="30">
        <f>IF(2&lt;=DAY(DATE(YEAR(설정_코스수당!$K$2),MONTH(설정_코스수당!$K$2)+1,0)),DATE(YEAR(설정_코스수당!$K$2),MONTH(설정_코스수당!$K$2),2),"")</f>
        <v>46175</v>
      </c>
      <c r="C118" s="31"/>
      <c r="D118" s="29"/>
      <c r="E118" s="29"/>
      <c r="F118" s="32"/>
      <c r="G118" s="29"/>
      <c r="H118" s="29"/>
      <c r="I118" s="29"/>
      <c r="J118" s="33">
        <f>IF($O118="방문완료",MAX(0,IFERROR(VLOOKUP($E118,설정_코스수당!$A$6:$H$10,4,FALSE),0)-IF(OR($P118="",$P118="없음"),0,100000)),0)</f>
        <v>0</v>
      </c>
      <c r="K118" s="33">
        <f t="array" ref="K118">IF($O118="방문완료",IFERROR(INDEX(설정_코스수당!$B$15:$F$64,MATCH($G118,설정_코스수당!$A$15:$A$64,0),MATCH($E118&amp;"수당",설정_코스수당!$B$14:$F$14,0)),0),0)</f>
        <v>0</v>
      </c>
      <c r="L118" s="33">
        <f t="array" ref="L118">IF($O118="방문완료",IF($H118="",0,IFERROR(INDEX(설정_코스수당!$B$15:$F$64,MATCH($H118,설정_코스수당!$A$15:$A$64,0),MATCH($E118&amp;"수당",설정_코스수당!$B$14:$F$14,0)),0)),0)</f>
        <v>0</v>
      </c>
      <c r="M118" s="33">
        <f>IF($O118="방문완료",IFERROR(VLOOKUP($E118,설정_코스수당!$A$6:$H$10,6,FALSE),0),0)</f>
        <v>0</v>
      </c>
      <c r="N118" s="34">
        <f t="shared" si="3"/>
        <v>0</v>
      </c>
      <c r="O118" s="29"/>
      <c r="P118" s="29"/>
      <c r="Q118" s="29"/>
      <c r="R118" s="32"/>
      <c r="S118" s="29"/>
      <c r="U118" s="104" t="s">
        <v>62</v>
      </c>
      <c r="V118" s="105">
        <f>IF(2&lt;=DAY(DATE(YEAR(설정_코스수당!$K$2),MONTH(설정_코스수당!$K$2)+1,0)),COUNTIFS($B:$B,DATE(YEAR(설정_코스수당!$K$2),MONTH(설정_코스수당!$K$2),2),$O:$O,"방문완료"),"")</f>
        <v>0</v>
      </c>
      <c r="W118" s="104" t="s">
        <v>9</v>
      </c>
      <c r="X118" s="105">
        <f>IF(2&lt;=DAY(DATE(YEAR(설정_코스수당!$K$2),MONTH(설정_코스수당!$K$2)+1,0)),COUNTIFS($B:$B,DATE(YEAR(설정_코스수당!$K$2),MONTH(설정_코스수당!$K$2),2),$E:$E,"B",$O:$O,"방문완료"),"")</f>
        <v>0</v>
      </c>
    </row>
    <row r="119" spans="1:27" ht="19.5" hidden="1" customHeight="1" outlineLevel="1">
      <c r="A119" s="23">
        <v>3</v>
      </c>
      <c r="B119" s="24">
        <f>IF(2&lt;=DAY(DATE(YEAR(설정_코스수당!$K$2),MONTH(설정_코스수당!$K$2)+1,0)),DATE(YEAR(설정_코스수당!$K$2),MONTH(설정_코스수당!$K$2),2),"")</f>
        <v>46175</v>
      </c>
      <c r="C119" s="25"/>
      <c r="D119" s="23"/>
      <c r="E119" s="23"/>
      <c r="F119" s="26"/>
      <c r="G119" s="23"/>
      <c r="H119" s="23"/>
      <c r="I119" s="23"/>
      <c r="J119" s="27">
        <f>IF($O119="방문완료",MAX(0,IFERROR(VLOOKUP($E119,설정_코스수당!$A$6:$H$10,4,FALSE),0)-IF(OR($P119="",$P119="없음"),0,100000)),0)</f>
        <v>0</v>
      </c>
      <c r="K119" s="27">
        <f t="array" ref="K119">IF($O119="방문완료",IFERROR(INDEX(설정_코스수당!$B$15:$F$64,MATCH($G119,설정_코스수당!$A$15:$A$64,0),MATCH($E119&amp;"수당",설정_코스수당!$B$14:$F$14,0)),0),0)</f>
        <v>0</v>
      </c>
      <c r="L119" s="27">
        <f t="array" ref="L119">IF($O119="방문완료",IF($H119="",0,IFERROR(INDEX(설정_코스수당!$B$15:$F$64,MATCH($H119,설정_코스수당!$A$15:$A$64,0),MATCH($E119&amp;"수당",설정_코스수당!$B$14:$F$14,0)),0)),0)</f>
        <v>0</v>
      </c>
      <c r="M119" s="27">
        <f>IF($O119="방문완료",IFERROR(VLOOKUP($E119,설정_코스수당!$A$6:$H$10,6,FALSE),0),0)</f>
        <v>0</v>
      </c>
      <c r="N119" s="28">
        <f t="shared" si="3"/>
        <v>0</v>
      </c>
      <c r="O119" s="23"/>
      <c r="P119" s="23"/>
      <c r="Q119" s="23"/>
      <c r="R119" s="26"/>
      <c r="S119" s="23"/>
      <c r="U119" s="104" t="s">
        <v>68</v>
      </c>
      <c r="V119" s="105" t="str">
        <f>IF(2&lt;=DAY(DATE(YEAR(설정_코스수당!$K$2),MONTH(설정_코스수당!$K$2)+1,0)),COUNTIFS($B:$B,DATE(YEAR(설정_코스수당!$K$2),MONTH(설정_코스수당!$K$2),2),$O:$O,"노쇼")&amp;"/"&amp;COUNTIFS($B:$B,DATE(YEAR(설정_코스수당!$K$2),MONTH(설정_코스수당!$K$2),2),$O:$O,"취소"),"")</f>
        <v>0/0</v>
      </c>
      <c r="W119" s="104" t="s">
        <v>12</v>
      </c>
      <c r="X119" s="105">
        <f>IF(2&lt;=DAY(DATE(YEAR(설정_코스수당!$K$2),MONTH(설정_코스수당!$K$2)+1,0)),COUNTIFS($B:$B,DATE(YEAR(설정_코스수당!$K$2),MONTH(설정_코스수당!$K$2),2),$E:$E,"C",$O:$O,"방문완료"),"")</f>
        <v>0</v>
      </c>
    </row>
    <row r="120" spans="1:27" ht="19.5" hidden="1" customHeight="1" outlineLevel="1">
      <c r="A120" s="29">
        <v>4</v>
      </c>
      <c r="B120" s="30">
        <f>IF(2&lt;=DAY(DATE(YEAR(설정_코스수당!$K$2),MONTH(설정_코스수당!$K$2)+1,0)),DATE(YEAR(설정_코스수당!$K$2),MONTH(설정_코스수당!$K$2),2),"")</f>
        <v>46175</v>
      </c>
      <c r="C120" s="31"/>
      <c r="D120" s="29"/>
      <c r="E120" s="29"/>
      <c r="F120" s="32"/>
      <c r="G120" s="29"/>
      <c r="H120" s="29"/>
      <c r="I120" s="29"/>
      <c r="J120" s="33">
        <f>IF($O120="방문완료",MAX(0,IFERROR(VLOOKUP($E120,설정_코스수당!$A$6:$H$10,4,FALSE),0)-IF(OR($P120="",$P120="없음"),0,100000)),0)</f>
        <v>0</v>
      </c>
      <c r="K120" s="33">
        <f t="array" ref="K120">IF($O120="방문완료",IFERROR(INDEX(설정_코스수당!$B$15:$F$64,MATCH($G120,설정_코스수당!$A$15:$A$64,0),MATCH($E120&amp;"수당",설정_코스수당!$B$14:$F$14,0)),0),0)</f>
        <v>0</v>
      </c>
      <c r="L120" s="33">
        <f t="array" ref="L120">IF($O120="방문완료",IF($H120="",0,IFERROR(INDEX(설정_코스수당!$B$15:$F$64,MATCH($H120,설정_코스수당!$A$15:$A$64,0),MATCH($E120&amp;"수당",설정_코스수당!$B$14:$F$14,0)),0)),0)</f>
        <v>0</v>
      </c>
      <c r="M120" s="33">
        <f>IF($O120="방문완료",IFERROR(VLOOKUP($E120,설정_코스수당!$A$6:$H$10,6,FALSE),0),0)</f>
        <v>0</v>
      </c>
      <c r="N120" s="34">
        <f t="shared" si="3"/>
        <v>0</v>
      </c>
      <c r="O120" s="29"/>
      <c r="P120" s="29"/>
      <c r="Q120" s="29"/>
      <c r="R120" s="32"/>
      <c r="S120" s="29"/>
      <c r="U120" s="104" t="s">
        <v>69</v>
      </c>
      <c r="V120" s="106">
        <f>IF(2&lt;=DAY(DATE(YEAR(설정_코스수당!$K$2),MONTH(설정_코스수당!$K$2)+1,0)),SUMIFS($J:$J,$B:$B,DATE(YEAR(설정_코스수당!$K$2),MONTH(설정_코스수당!$K$2),2),$O:$O,"방문완료"),"")</f>
        <v>0</v>
      </c>
      <c r="W120" s="104" t="s">
        <v>15</v>
      </c>
      <c r="X120" s="105">
        <f>IF(2&lt;=DAY(DATE(YEAR(설정_코스수당!$K$2),MONTH(설정_코스수당!$K$2)+1,0)),COUNTIFS($B:$B,DATE(YEAR(설정_코스수당!$K$2),MONTH(설정_코스수당!$K$2),2),$E:$E,"D",$O:$O,"방문완료"),"")</f>
        <v>0</v>
      </c>
    </row>
    <row r="121" spans="1:27" ht="19.5" hidden="1" customHeight="1" outlineLevel="1">
      <c r="A121" s="23">
        <v>5</v>
      </c>
      <c r="B121" s="24">
        <f>IF(2&lt;=DAY(DATE(YEAR(설정_코스수당!$K$2),MONTH(설정_코스수당!$K$2)+1,0)),DATE(YEAR(설정_코스수당!$K$2),MONTH(설정_코스수당!$K$2),2),"")</f>
        <v>46175</v>
      </c>
      <c r="C121" s="25"/>
      <c r="D121" s="23"/>
      <c r="E121" s="23"/>
      <c r="F121" s="26"/>
      <c r="G121" s="23"/>
      <c r="H121" s="23"/>
      <c r="I121" s="23"/>
      <c r="J121" s="27">
        <f>IF($O121="방문완료",MAX(0,IFERROR(VLOOKUP($E121,설정_코스수당!$A$6:$H$10,4,FALSE),0)-IF(OR($P121="",$P121="없음"),0,100000)),0)</f>
        <v>0</v>
      </c>
      <c r="K121" s="27">
        <f t="array" ref="K121">IF($O121="방문완료",IFERROR(INDEX(설정_코스수당!$B$15:$F$64,MATCH($G121,설정_코스수당!$A$15:$A$64,0),MATCH($E121&amp;"수당",설정_코스수당!$B$14:$F$14,0)),0),0)</f>
        <v>0</v>
      </c>
      <c r="L121" s="27">
        <f t="array" ref="L121">IF($O121="방문완료",IF($H121="",0,IFERROR(INDEX(설정_코스수당!$B$15:$F$64,MATCH($H121,설정_코스수당!$A$15:$A$64,0),MATCH($E121&amp;"수당",설정_코스수당!$B$14:$F$14,0)),0)),0)</f>
        <v>0</v>
      </c>
      <c r="M121" s="27">
        <f>IF($O121="방문완료",IFERROR(VLOOKUP($E121,설정_코스수당!$A$6:$H$10,6,FALSE),0),0)</f>
        <v>0</v>
      </c>
      <c r="N121" s="28">
        <f t="shared" si="3"/>
        <v>0</v>
      </c>
      <c r="O121" s="23"/>
      <c r="P121" s="23"/>
      <c r="Q121" s="23"/>
      <c r="R121" s="26"/>
      <c r="S121" s="23"/>
      <c r="U121" s="104" t="s">
        <v>70</v>
      </c>
      <c r="V121" s="106">
        <f>IF(2&lt;=DAY(DATE(YEAR(설정_코스수당!$K$2),MONTH(설정_코스수당!$K$2)+1,0)),SUMIFS($K:$K,$B:$B,DATE(YEAR(설정_코스수당!$K$2),MONTH(설정_코스수당!$K$2),2),$O:$O,"방문완료")+SUMIFS($L:$L,$B:$B,DATE(YEAR(설정_코스수당!$K$2),MONTH(설정_코스수당!$K$2),2),$O:$O,"방문완료"),"")</f>
        <v>0</v>
      </c>
      <c r="W121" s="104" t="s">
        <v>18</v>
      </c>
      <c r="X121" s="105">
        <f>IF(2&lt;=DAY(DATE(YEAR(설정_코스수당!$K$2),MONTH(설정_코스수당!$K$2)+1,0)),COUNTIFS($B:$B,DATE(YEAR(설정_코스수당!$K$2),MONTH(설정_코스수당!$K$2),2),$E:$E,"E",$O:$O,"방문완료"),"")</f>
        <v>0</v>
      </c>
    </row>
    <row r="122" spans="1:27" ht="19.5" hidden="1" customHeight="1" outlineLevel="1">
      <c r="A122" s="29">
        <v>6</v>
      </c>
      <c r="B122" s="30">
        <f>IF(2&lt;=DAY(DATE(YEAR(설정_코스수당!$K$2),MONTH(설정_코스수당!$K$2)+1,0)),DATE(YEAR(설정_코스수당!$K$2),MONTH(설정_코스수당!$K$2),2),"")</f>
        <v>46175</v>
      </c>
      <c r="C122" s="31"/>
      <c r="D122" s="29"/>
      <c r="E122" s="29"/>
      <c r="F122" s="32"/>
      <c r="G122" s="29"/>
      <c r="H122" s="29"/>
      <c r="I122" s="29"/>
      <c r="J122" s="33">
        <f>IF($O122="방문완료",MAX(0,IFERROR(VLOOKUP($E122,설정_코스수당!$A$6:$H$10,4,FALSE),0)-IF(OR($P122="",$P122="없음"),0,100000)),0)</f>
        <v>0</v>
      </c>
      <c r="K122" s="33">
        <f t="array" ref="K122">IF($O122="방문완료",IFERROR(INDEX(설정_코스수당!$B$15:$F$64,MATCH($G122,설정_코스수당!$A$15:$A$64,0),MATCH($E122&amp;"수당",설정_코스수당!$B$14:$F$14,0)),0),0)</f>
        <v>0</v>
      </c>
      <c r="L122" s="33">
        <f t="array" ref="L122">IF($O122="방문완료",IF($H122="",0,IFERROR(INDEX(설정_코스수당!$B$15:$F$64,MATCH($H122,설정_코스수당!$A$15:$A$64,0),MATCH($E122&amp;"수당",설정_코스수당!$B$14:$F$14,0)),0)),0)</f>
        <v>0</v>
      </c>
      <c r="M122" s="33">
        <f>IF($O122="방문완료",IFERROR(VLOOKUP($E122,설정_코스수당!$A$6:$H$10,6,FALSE),0),0)</f>
        <v>0</v>
      </c>
      <c r="N122" s="34">
        <f t="shared" si="3"/>
        <v>0</v>
      </c>
      <c r="O122" s="29"/>
      <c r="P122" s="29"/>
      <c r="Q122" s="29"/>
      <c r="R122" s="32"/>
      <c r="S122" s="29"/>
      <c r="U122" s="104" t="s">
        <v>53</v>
      </c>
      <c r="V122" s="106">
        <f>IF(2&lt;=DAY(DATE(YEAR(설정_코스수당!$K$2),MONTH(설정_코스수당!$K$2)+1,0)),SUMIFS($M:$M,$B:$B,DATE(YEAR(설정_코스수당!$K$2),MONTH(설정_코스수당!$K$2),2),$O:$O,"방문완료"),"")</f>
        <v>0</v>
      </c>
      <c r="W122" s="104" t="s">
        <v>71</v>
      </c>
      <c r="X122" s="107">
        <f>IF(2&lt;=DAY(DATE(YEAR(설정_코스수당!$K$2),MONTH(설정_코스수당!$K$2)+1,0)),COUNTIFS($B:$B,DATE(YEAR(설정_코스수당!$K$2),MONTH(설정_코스수당!$K$2),2),$O:$O,"방문완료",$P:$P,"&lt;&gt;",$P:$P,"&lt;&gt;없음"),"")</f>
        <v>0</v>
      </c>
    </row>
    <row r="123" spans="1:27" ht="19.5" hidden="1" customHeight="1" outlineLevel="1">
      <c r="A123" s="23">
        <v>7</v>
      </c>
      <c r="B123" s="24">
        <f>IF(2&lt;=DAY(DATE(YEAR(설정_코스수당!$K$2),MONTH(설정_코스수당!$K$2)+1,0)),DATE(YEAR(설정_코스수당!$K$2),MONTH(설정_코스수당!$K$2),2),"")</f>
        <v>46175</v>
      </c>
      <c r="C123" s="25"/>
      <c r="D123" s="23"/>
      <c r="E123" s="23"/>
      <c r="F123" s="26"/>
      <c r="G123" s="23"/>
      <c r="H123" s="23"/>
      <c r="I123" s="23"/>
      <c r="J123" s="27">
        <f>IF($O123="방문완료",MAX(0,IFERROR(VLOOKUP($E123,설정_코스수당!$A$6:$H$10,4,FALSE),0)-IF(OR($P123="",$P123="없음"),0,100000)),0)</f>
        <v>0</v>
      </c>
      <c r="K123" s="27">
        <f t="array" ref="K123">IF($O123="방문완료",IFERROR(INDEX(설정_코스수당!$B$15:$F$64,MATCH($G123,설정_코스수당!$A$15:$A$64,0),MATCH($E123&amp;"수당",설정_코스수당!$B$14:$F$14,0)),0),0)</f>
        <v>0</v>
      </c>
      <c r="L123" s="27">
        <f t="array" ref="L123">IF($O123="방문완료",IF($H123="",0,IFERROR(INDEX(설정_코스수당!$B$15:$F$64,MATCH($H123,설정_코스수당!$A$15:$A$64,0),MATCH($E123&amp;"수당",설정_코스수당!$B$14:$F$14,0)),0)),0)</f>
        <v>0</v>
      </c>
      <c r="M123" s="27">
        <f>IF($O123="방문완료",IFERROR(VLOOKUP($E123,설정_코스수당!$A$6:$H$10,6,FALSE),0),0)</f>
        <v>0</v>
      </c>
      <c r="N123" s="28">
        <f t="shared" si="3"/>
        <v>0</v>
      </c>
      <c r="O123" s="23"/>
      <c r="P123" s="23"/>
      <c r="Q123" s="23"/>
      <c r="R123" s="26"/>
      <c r="S123" s="23"/>
      <c r="U123" s="104" t="s">
        <v>72</v>
      </c>
      <c r="V123" s="108">
        <f>IF(2&lt;=DAY(DATE(YEAR(설정_코스수당!$K$2),MONTH(설정_코스수당!$K$2)+1,0)),COUNTIFS($B:$B,DATE(YEAR(설정_코스수당!$K$2),MONTH(설정_코스수당!$K$2),2),$O:$O,"방문완료",$P:$P,"&lt;&gt;",$P:$P,"&lt;&gt;없음")*100000,"")</f>
        <v>0</v>
      </c>
      <c r="W123" s="104" t="s">
        <v>73</v>
      </c>
      <c r="X123" s="105">
        <f>IF(2&lt;=DAY(DATE(YEAR(설정_코스수당!$K$2),MONTH(설정_코스수당!$K$2)+1,0)),COUNTIFS($B:$B,DATE(YEAR(설정_코스수당!$K$2),MONTH(설정_코스수당!$K$2),2),$G:$G,"&lt;&gt;",$O:$O,"방문완료")+COUNTIFS($B:$B,DATE(YEAR(설정_코스수당!$K$2),MONTH(설정_코스수당!$K$2),2),$H:$H,"&lt;&gt;",$O:$O,"방문완료"),"")</f>
        <v>0</v>
      </c>
    </row>
    <row r="124" spans="1:27" ht="19.5" hidden="1" customHeight="1" outlineLevel="1">
      <c r="A124" s="29">
        <v>8</v>
      </c>
      <c r="B124" s="30">
        <f>IF(2&lt;=DAY(DATE(YEAR(설정_코스수당!$K$2),MONTH(설정_코스수당!$K$2)+1,0)),DATE(YEAR(설정_코스수당!$K$2),MONTH(설정_코스수당!$K$2),2),"")</f>
        <v>46175</v>
      </c>
      <c r="C124" s="31"/>
      <c r="D124" s="29"/>
      <c r="E124" s="29"/>
      <c r="F124" s="32"/>
      <c r="G124" s="29"/>
      <c r="H124" s="29"/>
      <c r="I124" s="29"/>
      <c r="J124" s="33">
        <f>IF($O124="방문완료",MAX(0,IFERROR(VLOOKUP($E124,설정_코스수당!$A$6:$H$10,4,FALSE),0)-IF(OR($P124="",$P124="없음"),0,100000)),0)</f>
        <v>0</v>
      </c>
      <c r="K124" s="33">
        <f t="array" ref="K124">IF($O124="방문완료",IFERROR(INDEX(설정_코스수당!$B$15:$F$64,MATCH($G124,설정_코스수당!$A$15:$A$64,0),MATCH($E124&amp;"수당",설정_코스수당!$B$14:$F$14,0)),0),0)</f>
        <v>0</v>
      </c>
      <c r="L124" s="33">
        <f t="array" ref="L124">IF($O124="방문완료",IF($H124="",0,IFERROR(INDEX(설정_코스수당!$B$15:$F$64,MATCH($H124,설정_코스수당!$A$15:$A$64,0),MATCH($E124&amp;"수당",설정_코스수당!$B$14:$F$14,0)),0)),0)</f>
        <v>0</v>
      </c>
      <c r="M124" s="33">
        <f>IF($O124="방문완료",IFERROR(VLOOKUP($E124,설정_코스수당!$A$6:$H$10,6,FALSE),0),0)</f>
        <v>0</v>
      </c>
      <c r="N124" s="34">
        <f t="shared" si="3"/>
        <v>0</v>
      </c>
      <c r="O124" s="29"/>
      <c r="P124" s="29"/>
      <c r="Q124" s="29"/>
      <c r="R124" s="32"/>
      <c r="S124" s="29"/>
      <c r="U124" s="104" t="s">
        <v>74</v>
      </c>
      <c r="V124" s="108">
        <f>IF(2&lt;=DAY(DATE(YEAR(설정_코스수당!$K$2),MONTH(설정_코스수당!$K$2)+1,0)),SUM($U$128:$U$135),"")</f>
        <v>0</v>
      </c>
      <c r="W124" s="122" t="str">
        <f>IF(2&lt;=DAY(DATE(YEAR(설정_코스수당!$K$2),MONTH(설정_코스수당!$K$2)+1,0)),"계 : "&amp;TEXT(V120-V124,"#,##0")&amp;" 동","")</f>
        <v>계 : 0 동</v>
      </c>
      <c r="X124" s="122"/>
    </row>
    <row r="125" spans="1:27" ht="19.5" hidden="1" customHeight="1" outlineLevel="1">
      <c r="A125" s="23">
        <v>9</v>
      </c>
      <c r="B125" s="24">
        <f>IF(2&lt;=DAY(DATE(YEAR(설정_코스수당!$K$2),MONTH(설정_코스수당!$K$2)+1,0)),DATE(YEAR(설정_코스수당!$K$2),MONTH(설정_코스수당!$K$2),2),"")</f>
        <v>46175</v>
      </c>
      <c r="C125" s="25"/>
      <c r="D125" s="23"/>
      <c r="E125" s="23"/>
      <c r="F125" s="26"/>
      <c r="G125" s="23"/>
      <c r="H125" s="23"/>
      <c r="I125" s="23"/>
      <c r="J125" s="27">
        <f>IF($O125="방문완료",MAX(0,IFERROR(VLOOKUP($E125,설정_코스수당!$A$6:$H$10,4,FALSE),0)-IF(OR($P125="",$P125="없음"),0,100000)),0)</f>
        <v>0</v>
      </c>
      <c r="K125" s="27">
        <f t="array" ref="K125">IF($O125="방문완료",IFERROR(INDEX(설정_코스수당!$B$15:$F$64,MATCH($G125,설정_코스수당!$A$15:$A$64,0),MATCH($E125&amp;"수당",설정_코스수당!$B$14:$F$14,0)),0),0)</f>
        <v>0</v>
      </c>
      <c r="L125" s="27">
        <f t="array" ref="L125">IF($O125="방문완료",IF($H125="",0,IFERROR(INDEX(설정_코스수당!$B$15:$F$64,MATCH($H125,설정_코스수당!$A$15:$A$64,0),MATCH($E125&amp;"수당",설정_코스수당!$B$14:$F$14,0)),0)),0)</f>
        <v>0</v>
      </c>
      <c r="M125" s="27">
        <f>IF($O125="방문완료",IFERROR(VLOOKUP($E125,설정_코스수당!$A$6:$H$10,6,FALSE),0),0)</f>
        <v>0</v>
      </c>
      <c r="N125" s="28">
        <f t="shared" si="3"/>
        <v>0</v>
      </c>
      <c r="O125" s="23"/>
      <c r="P125" s="23"/>
      <c r="Q125" s="23"/>
      <c r="R125" s="26"/>
      <c r="S125" s="23"/>
    </row>
    <row r="126" spans="1:27" ht="19.5" hidden="1" customHeight="1" outlineLevel="1">
      <c r="A126" s="29">
        <v>10</v>
      </c>
      <c r="B126" s="30">
        <f>IF(2&lt;=DAY(DATE(YEAR(설정_코스수당!$K$2),MONTH(설정_코스수당!$K$2)+1,0)),DATE(YEAR(설정_코스수당!$K$2),MONTH(설정_코스수당!$K$2),2),"")</f>
        <v>46175</v>
      </c>
      <c r="C126" s="31"/>
      <c r="D126" s="29"/>
      <c r="E126" s="29"/>
      <c r="F126" s="32"/>
      <c r="G126" s="29"/>
      <c r="H126" s="29"/>
      <c r="I126" s="29"/>
      <c r="J126" s="33">
        <f>IF($O126="방문완료",MAX(0,IFERROR(VLOOKUP($E126,설정_코스수당!$A$6:$H$10,4,FALSE),0)-IF(OR($P126="",$P126="없음"),0,100000)),0)</f>
        <v>0</v>
      </c>
      <c r="K126" s="33">
        <f t="array" ref="K126">IF($O126="방문완료",IFERROR(INDEX(설정_코스수당!$B$15:$F$64,MATCH($G126,설정_코스수당!$A$15:$A$64,0),MATCH($E126&amp;"수당",설정_코스수당!$B$14:$F$14,0)),0),0)</f>
        <v>0</v>
      </c>
      <c r="L126" s="33">
        <f t="array" ref="L126">IF($O126="방문완료",IF($H126="",0,IFERROR(INDEX(설정_코스수당!$B$15:$F$64,MATCH($H126,설정_코스수당!$A$15:$A$64,0),MATCH($E126&amp;"수당",설정_코스수당!$B$14:$F$14,0)),0)),0)</f>
        <v>0</v>
      </c>
      <c r="M126" s="33">
        <f>IF($O126="방문완료",IFERROR(VLOOKUP($E126,설정_코스수당!$A$6:$H$10,6,FALSE),0),0)</f>
        <v>0</v>
      </c>
      <c r="N126" s="34">
        <f t="shared" si="3"/>
        <v>0</v>
      </c>
      <c r="O126" s="29"/>
      <c r="P126" s="29"/>
      <c r="Q126" s="29"/>
      <c r="R126" s="32"/>
      <c r="S126" s="29"/>
      <c r="U126" s="120" t="s">
        <v>75</v>
      </c>
      <c r="V126" s="121"/>
      <c r="W126" s="121"/>
      <c r="X126" s="121"/>
    </row>
    <row r="127" spans="1:27" ht="19.5" hidden="1" customHeight="1" outlineLevel="1">
      <c r="A127" s="23">
        <v>11</v>
      </c>
      <c r="B127" s="24">
        <f>IF(2&lt;=DAY(DATE(YEAR(설정_코스수당!$K$2),MONTH(설정_코스수당!$K$2)+1,0)),DATE(YEAR(설정_코스수당!$K$2),MONTH(설정_코스수당!$K$2),2),"")</f>
        <v>46175</v>
      </c>
      <c r="C127" s="25"/>
      <c r="D127" s="23"/>
      <c r="E127" s="23"/>
      <c r="F127" s="26"/>
      <c r="G127" s="23"/>
      <c r="H127" s="23"/>
      <c r="I127" s="23"/>
      <c r="J127" s="27">
        <f>IF($O127="방문완료",MAX(0,IFERROR(VLOOKUP($E127,설정_코스수당!$A$6:$H$10,4,FALSE),0)-IF(OR($P127="",$P127="없음"),0,100000)),0)</f>
        <v>0</v>
      </c>
      <c r="K127" s="27">
        <f t="array" ref="K127">IF($O127="방문완료",IFERROR(INDEX(설정_코스수당!$B$15:$F$64,MATCH($G127,설정_코스수당!$A$15:$A$64,0),MATCH($E127&amp;"수당",설정_코스수당!$B$14:$F$14,0)),0),0)</f>
        <v>0</v>
      </c>
      <c r="L127" s="27">
        <f t="array" ref="L127">IF($O127="방문완료",IF($H127="",0,IFERROR(INDEX(설정_코스수당!$B$15:$F$64,MATCH($H127,설정_코스수당!$A$15:$A$64,0),MATCH($E127&amp;"수당",설정_코스수당!$B$14:$F$14,0)),0)),0)</f>
        <v>0</v>
      </c>
      <c r="M127" s="27">
        <f>IF($O127="방문완료",IFERROR(VLOOKUP($E127,설정_코스수당!$A$6:$H$10,6,FALSE),0),0)</f>
        <v>0</v>
      </c>
      <c r="N127" s="28">
        <f t="shared" si="3"/>
        <v>0</v>
      </c>
      <c r="O127" s="23"/>
      <c r="P127" s="23"/>
      <c r="Q127" s="23"/>
      <c r="R127" s="26"/>
      <c r="S127" s="23"/>
      <c r="U127" s="109" t="s">
        <v>76</v>
      </c>
      <c r="V127" s="109" t="s">
        <v>77</v>
      </c>
      <c r="W127" s="109" t="s">
        <v>78</v>
      </c>
      <c r="X127" s="109" t="s">
        <v>58</v>
      </c>
    </row>
    <row r="128" spans="1:27" ht="19.5" hidden="1" customHeight="1" outlineLevel="1">
      <c r="A128" s="29">
        <v>12</v>
      </c>
      <c r="B128" s="30">
        <f>IF(2&lt;=DAY(DATE(YEAR(설정_코스수당!$K$2),MONTH(설정_코스수당!$K$2)+1,0)),DATE(YEAR(설정_코스수당!$K$2),MONTH(설정_코스수당!$K$2),2),"")</f>
        <v>46175</v>
      </c>
      <c r="C128" s="31"/>
      <c r="D128" s="29"/>
      <c r="E128" s="29"/>
      <c r="F128" s="32"/>
      <c r="G128" s="29"/>
      <c r="H128" s="29"/>
      <c r="I128" s="29"/>
      <c r="J128" s="33">
        <f>IF($O128="방문완료",MAX(0,IFERROR(VLOOKUP($E128,설정_코스수당!$A$6:$H$10,4,FALSE),0)-IF(OR($P128="",$P128="없음"),0,100000)),0)</f>
        <v>0</v>
      </c>
      <c r="K128" s="33">
        <f t="array" ref="K128">IF($O128="방문완료",IFERROR(INDEX(설정_코스수당!$B$15:$F$64,MATCH($G128,설정_코스수당!$A$15:$A$64,0),MATCH($E128&amp;"수당",설정_코스수당!$B$14:$F$14,0)),0),0)</f>
        <v>0</v>
      </c>
      <c r="L128" s="33">
        <f t="array" ref="L128">IF($O128="방문완료",IF($H128="",0,IFERROR(INDEX(설정_코스수당!$B$15:$F$64,MATCH($H128,설정_코스수당!$A$15:$A$64,0),MATCH($E128&amp;"수당",설정_코스수당!$B$14:$F$14,0)),0)),0)</f>
        <v>0</v>
      </c>
      <c r="M128" s="33">
        <f>IF($O128="방문완료",IFERROR(VLOOKUP($E128,설정_코스수당!$A$6:$H$10,6,FALSE),0),0)</f>
        <v>0</v>
      </c>
      <c r="N128" s="34">
        <f t="shared" si="3"/>
        <v>0</v>
      </c>
      <c r="O128" s="29"/>
      <c r="P128" s="29"/>
      <c r="Q128" s="29"/>
      <c r="R128" s="32"/>
      <c r="S128" s="29"/>
      <c r="U128" s="113"/>
      <c r="V128" s="111"/>
      <c r="W128" s="112"/>
      <c r="X128" s="111"/>
    </row>
    <row r="129" spans="1:24" ht="19.5" hidden="1" customHeight="1" outlineLevel="1">
      <c r="A129" s="23">
        <v>13</v>
      </c>
      <c r="B129" s="24">
        <f>IF(2&lt;=DAY(DATE(YEAR(설정_코스수당!$K$2),MONTH(설정_코스수당!$K$2)+1,0)),DATE(YEAR(설정_코스수당!$K$2),MONTH(설정_코스수당!$K$2),2),"")</f>
        <v>46175</v>
      </c>
      <c r="C129" s="25"/>
      <c r="D129" s="23"/>
      <c r="E129" s="23"/>
      <c r="F129" s="26"/>
      <c r="G129" s="23"/>
      <c r="H129" s="23"/>
      <c r="I129" s="23"/>
      <c r="J129" s="27">
        <f>IF($O129="방문완료",MAX(0,IFERROR(VLOOKUP($E129,설정_코스수당!$A$6:$H$10,4,FALSE),0)-IF(OR($P129="",$P129="없음"),0,100000)),0)</f>
        <v>0</v>
      </c>
      <c r="K129" s="27">
        <f t="array" ref="K129">IF($O129="방문완료",IFERROR(INDEX(설정_코스수당!$B$15:$F$64,MATCH($G129,설정_코스수당!$A$15:$A$64,0),MATCH($E129&amp;"수당",설정_코스수당!$B$14:$F$14,0)),0),0)</f>
        <v>0</v>
      </c>
      <c r="L129" s="27">
        <f t="array" ref="L129">IF($O129="방문완료",IF($H129="",0,IFERROR(INDEX(설정_코스수당!$B$15:$F$64,MATCH($H129,설정_코스수당!$A$15:$A$64,0),MATCH($E129&amp;"수당",설정_코스수당!$B$14:$F$14,0)),0)),0)</f>
        <v>0</v>
      </c>
      <c r="M129" s="27">
        <f>IF($O129="방문완료",IFERROR(VLOOKUP($E129,설정_코스수당!$A$6:$H$10,6,FALSE),0),0)</f>
        <v>0</v>
      </c>
      <c r="N129" s="28">
        <f t="shared" si="3"/>
        <v>0</v>
      </c>
      <c r="O129" s="23"/>
      <c r="P129" s="23"/>
      <c r="Q129" s="23"/>
      <c r="R129" s="26"/>
      <c r="S129" s="23"/>
      <c r="U129" s="113"/>
      <c r="V129" s="111"/>
      <c r="W129" s="112"/>
      <c r="X129" s="111"/>
    </row>
    <row r="130" spans="1:24" ht="19.5" hidden="1" customHeight="1" outlineLevel="1">
      <c r="A130" s="29">
        <v>14</v>
      </c>
      <c r="B130" s="30">
        <f>IF(2&lt;=DAY(DATE(YEAR(설정_코스수당!$K$2),MONTH(설정_코스수당!$K$2)+1,0)),DATE(YEAR(설정_코스수당!$K$2),MONTH(설정_코스수당!$K$2),2),"")</f>
        <v>46175</v>
      </c>
      <c r="C130" s="31"/>
      <c r="D130" s="29"/>
      <c r="E130" s="29"/>
      <c r="F130" s="32"/>
      <c r="G130" s="29"/>
      <c r="H130" s="29"/>
      <c r="I130" s="29"/>
      <c r="J130" s="33">
        <f>IF($O130="방문완료",MAX(0,IFERROR(VLOOKUP($E130,설정_코스수당!$A$6:$H$10,4,FALSE),0)-IF(OR($P130="",$P130="없음"),0,100000)),0)</f>
        <v>0</v>
      </c>
      <c r="K130" s="33">
        <f t="array" ref="K130">IF($O130="방문완료",IFERROR(INDEX(설정_코스수당!$B$15:$F$64,MATCH($G130,설정_코스수당!$A$15:$A$64,0),MATCH($E130&amp;"수당",설정_코스수당!$B$14:$F$14,0)),0),0)</f>
        <v>0</v>
      </c>
      <c r="L130" s="33">
        <f t="array" ref="L130">IF($O130="방문완료",IF($H130="",0,IFERROR(INDEX(설정_코스수당!$B$15:$F$64,MATCH($H130,설정_코스수당!$A$15:$A$64,0),MATCH($E130&amp;"수당",설정_코스수당!$B$14:$F$14,0)),0)),0)</f>
        <v>0</v>
      </c>
      <c r="M130" s="33">
        <f>IF($O130="방문완료",IFERROR(VLOOKUP($E130,설정_코스수당!$A$6:$H$10,6,FALSE),0),0)</f>
        <v>0</v>
      </c>
      <c r="N130" s="34">
        <f t="shared" si="3"/>
        <v>0</v>
      </c>
      <c r="O130" s="29"/>
      <c r="P130" s="29"/>
      <c r="Q130" s="29"/>
      <c r="R130" s="32"/>
      <c r="S130" s="29"/>
      <c r="U130" s="113"/>
      <c r="V130" s="111"/>
      <c r="W130" s="112"/>
      <c r="X130" s="111"/>
    </row>
    <row r="131" spans="1:24" ht="19.5" hidden="1" customHeight="1" outlineLevel="1">
      <c r="A131" s="23">
        <v>15</v>
      </c>
      <c r="B131" s="24">
        <f>IF(2&lt;=DAY(DATE(YEAR(설정_코스수당!$K$2),MONTH(설정_코스수당!$K$2)+1,0)),DATE(YEAR(설정_코스수당!$K$2),MONTH(설정_코스수당!$K$2),2),"")</f>
        <v>46175</v>
      </c>
      <c r="C131" s="25"/>
      <c r="D131" s="23"/>
      <c r="E131" s="23"/>
      <c r="F131" s="26"/>
      <c r="G131" s="23"/>
      <c r="H131" s="23"/>
      <c r="I131" s="23"/>
      <c r="J131" s="27">
        <f>IF($O131="방문완료",MAX(0,IFERROR(VLOOKUP($E131,설정_코스수당!$A$6:$H$10,4,FALSE),0)-IF(OR($P131="",$P131="없음"),0,100000)),0)</f>
        <v>0</v>
      </c>
      <c r="K131" s="27">
        <f t="array" ref="K131">IF($O131="방문완료",IFERROR(INDEX(설정_코스수당!$B$15:$F$64,MATCH($G131,설정_코스수당!$A$15:$A$64,0),MATCH($E131&amp;"수당",설정_코스수당!$B$14:$F$14,0)),0),0)</f>
        <v>0</v>
      </c>
      <c r="L131" s="27">
        <f t="array" ref="L131">IF($O131="방문완료",IF($H131="",0,IFERROR(INDEX(설정_코스수당!$B$15:$F$64,MATCH($H131,설정_코스수당!$A$15:$A$64,0),MATCH($E131&amp;"수당",설정_코스수당!$B$14:$F$14,0)),0)),0)</f>
        <v>0</v>
      </c>
      <c r="M131" s="27">
        <f>IF($O131="방문완료",IFERROR(VLOOKUP($E131,설정_코스수당!$A$6:$H$10,6,FALSE),0),0)</f>
        <v>0</v>
      </c>
      <c r="N131" s="28">
        <f t="shared" si="3"/>
        <v>0</v>
      </c>
      <c r="O131" s="23"/>
      <c r="P131" s="23"/>
      <c r="Q131" s="23"/>
      <c r="R131" s="26"/>
      <c r="S131" s="23"/>
      <c r="U131" s="113"/>
      <c r="V131" s="111"/>
      <c r="W131" s="112"/>
      <c r="X131" s="111"/>
    </row>
    <row r="132" spans="1:24" ht="19.5" hidden="1" customHeight="1" outlineLevel="1">
      <c r="A132" s="29">
        <v>16</v>
      </c>
      <c r="B132" s="30">
        <f>IF(2&lt;=DAY(DATE(YEAR(설정_코스수당!$K$2),MONTH(설정_코스수당!$K$2)+1,0)),DATE(YEAR(설정_코스수당!$K$2),MONTH(설정_코스수당!$K$2),2),"")</f>
        <v>46175</v>
      </c>
      <c r="C132" s="31"/>
      <c r="D132" s="29"/>
      <c r="E132" s="29"/>
      <c r="F132" s="32"/>
      <c r="G132" s="29"/>
      <c r="H132" s="29"/>
      <c r="I132" s="29"/>
      <c r="J132" s="33">
        <f>IF($O132="방문완료",MAX(0,IFERROR(VLOOKUP($E132,설정_코스수당!$A$6:$H$10,4,FALSE),0)-IF(OR($P132="",$P132="없음"),0,100000)),0)</f>
        <v>0</v>
      </c>
      <c r="K132" s="33">
        <f t="array" ref="K132">IF($O132="방문완료",IFERROR(INDEX(설정_코스수당!$B$15:$F$64,MATCH($G132,설정_코스수당!$A$15:$A$64,0),MATCH($E132&amp;"수당",설정_코스수당!$B$14:$F$14,0)),0),0)</f>
        <v>0</v>
      </c>
      <c r="L132" s="33">
        <f t="array" ref="L132">IF($O132="방문완료",IF($H132="",0,IFERROR(INDEX(설정_코스수당!$B$15:$F$64,MATCH($H132,설정_코스수당!$A$15:$A$64,0),MATCH($E132&amp;"수당",설정_코스수당!$B$14:$F$14,0)),0)),0)</f>
        <v>0</v>
      </c>
      <c r="M132" s="33">
        <f>IF($O132="방문완료",IFERROR(VLOOKUP($E132,설정_코스수당!$A$6:$H$10,6,FALSE),0),0)</f>
        <v>0</v>
      </c>
      <c r="N132" s="34">
        <f t="shared" si="3"/>
        <v>0</v>
      </c>
      <c r="O132" s="29"/>
      <c r="P132" s="29"/>
      <c r="Q132" s="29"/>
      <c r="R132" s="32"/>
      <c r="S132" s="29"/>
      <c r="U132" s="113"/>
      <c r="V132" s="111"/>
      <c r="W132" s="112"/>
      <c r="X132" s="111"/>
    </row>
    <row r="133" spans="1:24" ht="19.5" hidden="1" customHeight="1" outlineLevel="1">
      <c r="A133" s="23">
        <v>17</v>
      </c>
      <c r="B133" s="24">
        <f>IF(2&lt;=DAY(DATE(YEAR(설정_코스수당!$K$2),MONTH(설정_코스수당!$K$2)+1,0)),DATE(YEAR(설정_코스수당!$K$2),MONTH(설정_코스수당!$K$2),2),"")</f>
        <v>46175</v>
      </c>
      <c r="C133" s="25"/>
      <c r="D133" s="23"/>
      <c r="E133" s="23"/>
      <c r="F133" s="26"/>
      <c r="G133" s="23"/>
      <c r="H133" s="23"/>
      <c r="I133" s="23"/>
      <c r="J133" s="27">
        <f>IF($O133="방문완료",MAX(0,IFERROR(VLOOKUP($E133,설정_코스수당!$A$6:$H$10,4,FALSE),0)-IF(OR($P133="",$P133="없음"),0,100000)),0)</f>
        <v>0</v>
      </c>
      <c r="K133" s="27">
        <f t="array" ref="K133">IF($O133="방문완료",IFERROR(INDEX(설정_코스수당!$B$15:$F$64,MATCH($G133,설정_코스수당!$A$15:$A$64,0),MATCH($E133&amp;"수당",설정_코스수당!$B$14:$F$14,0)),0),0)</f>
        <v>0</v>
      </c>
      <c r="L133" s="27">
        <f t="array" ref="L133">IF($O133="방문완료",IF($H133="",0,IFERROR(INDEX(설정_코스수당!$B$15:$F$64,MATCH($H133,설정_코스수당!$A$15:$A$64,0),MATCH($E133&amp;"수당",설정_코스수당!$B$14:$F$14,0)),0)),0)</f>
        <v>0</v>
      </c>
      <c r="M133" s="27">
        <f>IF($O133="방문완료",IFERROR(VLOOKUP($E133,설정_코스수당!$A$6:$H$10,6,FALSE),0),0)</f>
        <v>0</v>
      </c>
      <c r="N133" s="28">
        <f t="shared" si="3"/>
        <v>0</v>
      </c>
      <c r="O133" s="23"/>
      <c r="P133" s="23"/>
      <c r="Q133" s="23"/>
      <c r="R133" s="26"/>
      <c r="S133" s="23"/>
      <c r="U133" s="113"/>
      <c r="V133" s="111"/>
      <c r="W133" s="112"/>
      <c r="X133" s="111"/>
    </row>
    <row r="134" spans="1:24" ht="19.5" hidden="1" customHeight="1" outlineLevel="1">
      <c r="A134" s="29">
        <v>18</v>
      </c>
      <c r="B134" s="30">
        <f>IF(2&lt;=DAY(DATE(YEAR(설정_코스수당!$K$2),MONTH(설정_코스수당!$K$2)+1,0)),DATE(YEAR(설정_코스수당!$K$2),MONTH(설정_코스수당!$K$2),2),"")</f>
        <v>46175</v>
      </c>
      <c r="C134" s="31"/>
      <c r="D134" s="29"/>
      <c r="E134" s="29"/>
      <c r="F134" s="32"/>
      <c r="G134" s="29"/>
      <c r="H134" s="29"/>
      <c r="I134" s="29"/>
      <c r="J134" s="33">
        <f>IF($O134="방문완료",MAX(0,IFERROR(VLOOKUP($E134,설정_코스수당!$A$6:$H$10,4,FALSE),0)-IF(OR($P134="",$P134="없음"),0,100000)),0)</f>
        <v>0</v>
      </c>
      <c r="K134" s="33">
        <f t="array" ref="K134">IF($O134="방문완료",IFERROR(INDEX(설정_코스수당!$B$15:$F$64,MATCH($G134,설정_코스수당!$A$15:$A$64,0),MATCH($E134&amp;"수당",설정_코스수당!$B$14:$F$14,0)),0),0)</f>
        <v>0</v>
      </c>
      <c r="L134" s="33">
        <f t="array" ref="L134">IF($O134="방문완료",IF($H134="",0,IFERROR(INDEX(설정_코스수당!$B$15:$F$64,MATCH($H134,설정_코스수당!$A$15:$A$64,0),MATCH($E134&amp;"수당",설정_코스수당!$B$14:$F$14,0)),0)),0)</f>
        <v>0</v>
      </c>
      <c r="M134" s="33">
        <f>IF($O134="방문완료",IFERROR(VLOOKUP($E134,설정_코스수당!$A$6:$H$10,6,FALSE),0),0)</f>
        <v>0</v>
      </c>
      <c r="N134" s="34">
        <f t="shared" si="3"/>
        <v>0</v>
      </c>
      <c r="O134" s="29"/>
      <c r="P134" s="29"/>
      <c r="Q134" s="29"/>
      <c r="R134" s="32"/>
      <c r="S134" s="29"/>
      <c r="U134" s="113"/>
      <c r="V134" s="111"/>
      <c r="W134" s="112"/>
      <c r="X134" s="111"/>
    </row>
    <row r="135" spans="1:24" ht="19.5" hidden="1" customHeight="1" outlineLevel="1">
      <c r="A135" s="23">
        <v>19</v>
      </c>
      <c r="B135" s="24">
        <f>IF(2&lt;=DAY(DATE(YEAR(설정_코스수당!$K$2),MONTH(설정_코스수당!$K$2)+1,0)),DATE(YEAR(설정_코스수당!$K$2),MONTH(설정_코스수당!$K$2),2),"")</f>
        <v>46175</v>
      </c>
      <c r="C135" s="25"/>
      <c r="D135" s="23"/>
      <c r="E135" s="23"/>
      <c r="F135" s="26"/>
      <c r="G135" s="23"/>
      <c r="H135" s="23"/>
      <c r="I135" s="23"/>
      <c r="J135" s="27">
        <f>IF($O135="방문완료",MAX(0,IFERROR(VLOOKUP($E135,설정_코스수당!$A$6:$H$10,4,FALSE),0)-IF(OR($P135="",$P135="없음"),0,100000)),0)</f>
        <v>0</v>
      </c>
      <c r="K135" s="27">
        <f t="array" ref="K135">IF($O135="방문완료",IFERROR(INDEX(설정_코스수당!$B$15:$F$64,MATCH($G135,설정_코스수당!$A$15:$A$64,0),MATCH($E135&amp;"수당",설정_코스수당!$B$14:$F$14,0)),0),0)</f>
        <v>0</v>
      </c>
      <c r="L135" s="27">
        <f t="array" ref="L135">IF($O135="방문완료",IF($H135="",0,IFERROR(INDEX(설정_코스수당!$B$15:$F$64,MATCH($H135,설정_코스수당!$A$15:$A$64,0),MATCH($E135&amp;"수당",설정_코스수당!$B$14:$F$14,0)),0)),0)</f>
        <v>0</v>
      </c>
      <c r="M135" s="27">
        <f>IF($O135="방문완료",IFERROR(VLOOKUP($E135,설정_코스수당!$A$6:$H$10,6,FALSE),0),0)</f>
        <v>0</v>
      </c>
      <c r="N135" s="28">
        <f t="shared" si="3"/>
        <v>0</v>
      </c>
      <c r="O135" s="23"/>
      <c r="P135" s="23"/>
      <c r="Q135" s="23"/>
      <c r="R135" s="26"/>
      <c r="S135" s="23"/>
      <c r="U135" s="113"/>
      <c r="V135" s="111"/>
      <c r="W135" s="112"/>
      <c r="X135" s="111"/>
    </row>
    <row r="136" spans="1:24" ht="19.5" hidden="1" customHeight="1" outlineLevel="1">
      <c r="A136" s="29">
        <v>20</v>
      </c>
      <c r="B136" s="30">
        <f>IF(2&lt;=DAY(DATE(YEAR(설정_코스수당!$K$2),MONTH(설정_코스수당!$K$2)+1,0)),DATE(YEAR(설정_코스수당!$K$2),MONTH(설정_코스수당!$K$2),2),"")</f>
        <v>46175</v>
      </c>
      <c r="C136" s="31"/>
      <c r="D136" s="29"/>
      <c r="E136" s="29"/>
      <c r="F136" s="32"/>
      <c r="G136" s="29"/>
      <c r="H136" s="29"/>
      <c r="I136" s="29"/>
      <c r="J136" s="33">
        <f>IF($O136="방문완료",MAX(0,IFERROR(VLOOKUP($E136,설정_코스수당!$A$6:$H$10,4,FALSE),0)-IF(OR($P136="",$P136="없음"),0,100000)),0)</f>
        <v>0</v>
      </c>
      <c r="K136" s="33">
        <f t="array" ref="K136">IF($O136="방문완료",IFERROR(INDEX(설정_코스수당!$B$15:$F$64,MATCH($G136,설정_코스수당!$A$15:$A$64,0),MATCH($E136&amp;"수당",설정_코스수당!$B$14:$F$14,0)),0),0)</f>
        <v>0</v>
      </c>
      <c r="L136" s="33">
        <f t="array" ref="L136">IF($O136="방문완료",IF($H136="",0,IFERROR(INDEX(설정_코스수당!$B$15:$F$64,MATCH($H136,설정_코스수당!$A$15:$A$64,0),MATCH($E136&amp;"수당",설정_코스수당!$B$14:$F$14,0)),0)),0)</f>
        <v>0</v>
      </c>
      <c r="M136" s="33">
        <f>IF($O136="방문완료",IFERROR(VLOOKUP($E136,설정_코스수당!$A$6:$H$10,6,FALSE),0),0)</f>
        <v>0</v>
      </c>
      <c r="N136" s="34">
        <f t="shared" si="3"/>
        <v>0</v>
      </c>
      <c r="O136" s="29"/>
      <c r="P136" s="29"/>
      <c r="Q136" s="29"/>
      <c r="R136" s="32"/>
      <c r="S136" s="29"/>
    </row>
    <row r="137" spans="1:24" ht="19.5" hidden="1" customHeight="1" outlineLevel="1">
      <c r="A137" s="23">
        <v>21</v>
      </c>
      <c r="B137" s="24">
        <f>IF(2&lt;=DAY(DATE(YEAR(설정_코스수당!$K$2),MONTH(설정_코스수당!$K$2)+1,0)),DATE(YEAR(설정_코스수당!$K$2),MONTH(설정_코스수당!$K$2),2),"")</f>
        <v>46175</v>
      </c>
      <c r="C137" s="25"/>
      <c r="D137" s="23"/>
      <c r="E137" s="23"/>
      <c r="F137" s="26"/>
      <c r="G137" s="23"/>
      <c r="H137" s="23"/>
      <c r="I137" s="23"/>
      <c r="J137" s="27">
        <f>IF($O137="방문완료",MAX(0,IFERROR(VLOOKUP($E137,설정_코스수당!$A$6:$H$10,4,FALSE),0)-IF(OR($P137="",$P137="없음"),0,100000)),0)</f>
        <v>0</v>
      </c>
      <c r="K137" s="27">
        <f t="array" ref="K137">IF($O137="방문완료",IFERROR(INDEX(설정_코스수당!$B$15:$F$64,MATCH($G137,설정_코스수당!$A$15:$A$64,0),MATCH($E137&amp;"수당",설정_코스수당!$B$14:$F$14,0)),0),0)</f>
        <v>0</v>
      </c>
      <c r="L137" s="27">
        <f t="array" ref="L137">IF($O137="방문완료",IF($H137="",0,IFERROR(INDEX(설정_코스수당!$B$15:$F$64,MATCH($H137,설정_코스수당!$A$15:$A$64,0),MATCH($E137&amp;"수당",설정_코스수당!$B$14:$F$14,0)),0)),0)</f>
        <v>0</v>
      </c>
      <c r="M137" s="27">
        <f>IF($O137="방문완료",IFERROR(VLOOKUP($E137,설정_코스수당!$A$6:$H$10,6,FALSE),0),0)</f>
        <v>0</v>
      </c>
      <c r="N137" s="28">
        <f t="shared" si="3"/>
        <v>0</v>
      </c>
      <c r="O137" s="23"/>
      <c r="P137" s="23"/>
      <c r="Q137" s="23"/>
      <c r="R137" s="26"/>
      <c r="S137" s="23"/>
    </row>
    <row r="138" spans="1:24" ht="19.5" hidden="1" customHeight="1" outlineLevel="1">
      <c r="A138" s="29">
        <v>22</v>
      </c>
      <c r="B138" s="30">
        <f>IF(2&lt;=DAY(DATE(YEAR(설정_코스수당!$K$2),MONTH(설정_코스수당!$K$2)+1,0)),DATE(YEAR(설정_코스수당!$K$2),MONTH(설정_코스수당!$K$2),2),"")</f>
        <v>46175</v>
      </c>
      <c r="C138" s="31"/>
      <c r="D138" s="29"/>
      <c r="E138" s="29"/>
      <c r="F138" s="32"/>
      <c r="G138" s="29"/>
      <c r="H138" s="29"/>
      <c r="I138" s="29"/>
      <c r="J138" s="33">
        <f>IF($O138="방문완료",MAX(0,IFERROR(VLOOKUP($E138,설정_코스수당!$A$6:$H$10,4,FALSE),0)-IF(OR($P138="",$P138="없음"),0,100000)),0)</f>
        <v>0</v>
      </c>
      <c r="K138" s="33">
        <f t="array" ref="K138">IF($O138="방문완료",IFERROR(INDEX(설정_코스수당!$B$15:$F$64,MATCH($G138,설정_코스수당!$A$15:$A$64,0),MATCH($E138&amp;"수당",설정_코스수당!$B$14:$F$14,0)),0),0)</f>
        <v>0</v>
      </c>
      <c r="L138" s="33">
        <f t="array" ref="L138">IF($O138="방문완료",IF($H138="",0,IFERROR(INDEX(설정_코스수당!$B$15:$F$64,MATCH($H138,설정_코스수당!$A$15:$A$64,0),MATCH($E138&amp;"수당",설정_코스수당!$B$14:$F$14,0)),0)),0)</f>
        <v>0</v>
      </c>
      <c r="M138" s="33">
        <f>IF($O138="방문완료",IFERROR(VLOOKUP($E138,설정_코스수당!$A$6:$H$10,6,FALSE),0),0)</f>
        <v>0</v>
      </c>
      <c r="N138" s="34">
        <f t="shared" si="3"/>
        <v>0</v>
      </c>
      <c r="O138" s="29"/>
      <c r="P138" s="29"/>
      <c r="Q138" s="29"/>
      <c r="R138" s="32"/>
      <c r="S138" s="29"/>
    </row>
    <row r="139" spans="1:24" ht="19.5" hidden="1" customHeight="1" outlineLevel="1">
      <c r="A139" s="23">
        <v>23</v>
      </c>
      <c r="B139" s="24">
        <f>IF(2&lt;=DAY(DATE(YEAR(설정_코스수당!$K$2),MONTH(설정_코스수당!$K$2)+1,0)),DATE(YEAR(설정_코스수당!$K$2),MONTH(설정_코스수당!$K$2),2),"")</f>
        <v>46175</v>
      </c>
      <c r="C139" s="25"/>
      <c r="D139" s="23"/>
      <c r="E139" s="23"/>
      <c r="F139" s="26"/>
      <c r="G139" s="23"/>
      <c r="H139" s="23"/>
      <c r="I139" s="23"/>
      <c r="J139" s="27">
        <f>IF($O139="방문완료",MAX(0,IFERROR(VLOOKUP($E139,설정_코스수당!$A$6:$H$10,4,FALSE),0)-IF(OR($P139="",$P139="없음"),0,100000)),0)</f>
        <v>0</v>
      </c>
      <c r="K139" s="27">
        <f t="array" ref="K139">IF($O139="방문완료",IFERROR(INDEX(설정_코스수당!$B$15:$F$64,MATCH($G139,설정_코스수당!$A$15:$A$64,0),MATCH($E139&amp;"수당",설정_코스수당!$B$14:$F$14,0)),0),0)</f>
        <v>0</v>
      </c>
      <c r="L139" s="27">
        <f t="array" ref="L139">IF($O139="방문완료",IF($H139="",0,IFERROR(INDEX(설정_코스수당!$B$15:$F$64,MATCH($H139,설정_코스수당!$A$15:$A$64,0),MATCH($E139&amp;"수당",설정_코스수당!$B$14:$F$14,0)),0)),0)</f>
        <v>0</v>
      </c>
      <c r="M139" s="27">
        <f>IF($O139="방문완료",IFERROR(VLOOKUP($E139,설정_코스수당!$A$6:$H$10,6,FALSE),0),0)</f>
        <v>0</v>
      </c>
      <c r="N139" s="28">
        <f t="shared" si="3"/>
        <v>0</v>
      </c>
      <c r="O139" s="23"/>
      <c r="P139" s="23"/>
      <c r="Q139" s="23"/>
      <c r="R139" s="26"/>
      <c r="S139" s="23"/>
    </row>
    <row r="140" spans="1:24" ht="19.5" hidden="1" customHeight="1" outlineLevel="1">
      <c r="A140" s="29">
        <v>24</v>
      </c>
      <c r="B140" s="30">
        <f>IF(2&lt;=DAY(DATE(YEAR(설정_코스수당!$K$2),MONTH(설정_코스수당!$K$2)+1,0)),DATE(YEAR(설정_코스수당!$K$2),MONTH(설정_코스수당!$K$2),2),"")</f>
        <v>46175</v>
      </c>
      <c r="C140" s="31"/>
      <c r="D140" s="29"/>
      <c r="E140" s="29"/>
      <c r="F140" s="32"/>
      <c r="G140" s="29"/>
      <c r="H140" s="29"/>
      <c r="I140" s="29"/>
      <c r="J140" s="33">
        <f>IF($O140="방문완료",MAX(0,IFERROR(VLOOKUP($E140,설정_코스수당!$A$6:$H$10,4,FALSE),0)-IF(OR($P140="",$P140="없음"),0,100000)),0)</f>
        <v>0</v>
      </c>
      <c r="K140" s="33">
        <f t="array" ref="K140">IF($O140="방문완료",IFERROR(INDEX(설정_코스수당!$B$15:$F$64,MATCH($G140,설정_코스수당!$A$15:$A$64,0),MATCH($E140&amp;"수당",설정_코스수당!$B$14:$F$14,0)),0),0)</f>
        <v>0</v>
      </c>
      <c r="L140" s="33">
        <f t="array" ref="L140">IF($O140="방문완료",IF($H140="",0,IFERROR(INDEX(설정_코스수당!$B$15:$F$64,MATCH($H140,설정_코스수당!$A$15:$A$64,0),MATCH($E140&amp;"수당",설정_코스수당!$B$14:$F$14,0)),0)),0)</f>
        <v>0</v>
      </c>
      <c r="M140" s="33">
        <f>IF($O140="방문완료",IFERROR(VLOOKUP($E140,설정_코스수당!$A$6:$H$10,6,FALSE),0),0)</f>
        <v>0</v>
      </c>
      <c r="N140" s="34">
        <f t="shared" si="3"/>
        <v>0</v>
      </c>
      <c r="O140" s="29"/>
      <c r="P140" s="29"/>
      <c r="Q140" s="29"/>
      <c r="R140" s="32"/>
      <c r="S140" s="29"/>
    </row>
    <row r="141" spans="1:24" ht="19.5" hidden="1" customHeight="1" outlineLevel="1">
      <c r="A141" s="23">
        <v>25</v>
      </c>
      <c r="B141" s="24">
        <f>IF(2&lt;=DAY(DATE(YEAR(설정_코스수당!$K$2),MONTH(설정_코스수당!$K$2)+1,0)),DATE(YEAR(설정_코스수당!$K$2),MONTH(설정_코스수당!$K$2),2),"")</f>
        <v>46175</v>
      </c>
      <c r="C141" s="25"/>
      <c r="D141" s="23"/>
      <c r="E141" s="23"/>
      <c r="F141" s="26"/>
      <c r="G141" s="23"/>
      <c r="H141" s="23"/>
      <c r="I141" s="23"/>
      <c r="J141" s="27">
        <f>IF($O141="방문완료",MAX(0,IFERROR(VLOOKUP($E141,설정_코스수당!$A$6:$H$10,4,FALSE),0)-IF(OR($P141="",$P141="없음"),0,100000)),0)</f>
        <v>0</v>
      </c>
      <c r="K141" s="27">
        <f t="array" ref="K141">IF($O141="방문완료",IFERROR(INDEX(설정_코스수당!$B$15:$F$64,MATCH($G141,설정_코스수당!$A$15:$A$64,0),MATCH($E141&amp;"수당",설정_코스수당!$B$14:$F$14,0)),0),0)</f>
        <v>0</v>
      </c>
      <c r="L141" s="27">
        <f t="array" ref="L141">IF($O141="방문완료",IF($H141="",0,IFERROR(INDEX(설정_코스수당!$B$15:$F$64,MATCH($H141,설정_코스수당!$A$15:$A$64,0),MATCH($E141&amp;"수당",설정_코스수당!$B$14:$F$14,0)),0)),0)</f>
        <v>0</v>
      </c>
      <c r="M141" s="27">
        <f>IF($O141="방문완료",IFERROR(VLOOKUP($E141,설정_코스수당!$A$6:$H$10,6,FALSE),0),0)</f>
        <v>0</v>
      </c>
      <c r="N141" s="28">
        <f t="shared" si="3"/>
        <v>0</v>
      </c>
      <c r="O141" s="23"/>
      <c r="P141" s="23"/>
      <c r="Q141" s="23"/>
      <c r="R141" s="26"/>
      <c r="S141" s="23"/>
    </row>
    <row r="142" spans="1:24" ht="19.5" hidden="1" customHeight="1" outlineLevel="1">
      <c r="A142" s="29">
        <v>26</v>
      </c>
      <c r="B142" s="30">
        <f>IF(2&lt;=DAY(DATE(YEAR(설정_코스수당!$K$2),MONTH(설정_코스수당!$K$2)+1,0)),DATE(YEAR(설정_코스수당!$K$2),MONTH(설정_코스수당!$K$2),2),"")</f>
        <v>46175</v>
      </c>
      <c r="C142" s="31"/>
      <c r="D142" s="29"/>
      <c r="E142" s="29"/>
      <c r="F142" s="32"/>
      <c r="G142" s="29"/>
      <c r="H142" s="29"/>
      <c r="I142" s="29"/>
      <c r="J142" s="33">
        <f>IF($O142="방문완료",MAX(0,IFERROR(VLOOKUP($E142,설정_코스수당!$A$6:$H$10,4,FALSE),0)-IF(OR($P142="",$P142="없음"),0,100000)),0)</f>
        <v>0</v>
      </c>
      <c r="K142" s="33">
        <f t="array" ref="K142">IF($O142="방문완료",IFERROR(INDEX(설정_코스수당!$B$15:$F$64,MATCH($G142,설정_코스수당!$A$15:$A$64,0),MATCH($E142&amp;"수당",설정_코스수당!$B$14:$F$14,0)),0),0)</f>
        <v>0</v>
      </c>
      <c r="L142" s="33">
        <f t="array" ref="L142">IF($O142="방문완료",IF($H142="",0,IFERROR(INDEX(설정_코스수당!$B$15:$F$64,MATCH($H142,설정_코스수당!$A$15:$A$64,0),MATCH($E142&amp;"수당",설정_코스수당!$B$14:$F$14,0)),0)),0)</f>
        <v>0</v>
      </c>
      <c r="M142" s="33">
        <f>IF($O142="방문완료",IFERROR(VLOOKUP($E142,설정_코스수당!$A$6:$H$10,6,FALSE),0),0)</f>
        <v>0</v>
      </c>
      <c r="N142" s="34">
        <f t="shared" si="3"/>
        <v>0</v>
      </c>
      <c r="O142" s="29"/>
      <c r="P142" s="29"/>
      <c r="Q142" s="29"/>
      <c r="R142" s="32"/>
      <c r="S142" s="29"/>
    </row>
    <row r="143" spans="1:24" ht="19.5" hidden="1" customHeight="1" outlineLevel="1">
      <c r="A143" s="23">
        <v>27</v>
      </c>
      <c r="B143" s="24">
        <f>IF(2&lt;=DAY(DATE(YEAR(설정_코스수당!$K$2),MONTH(설정_코스수당!$K$2)+1,0)),DATE(YEAR(설정_코스수당!$K$2),MONTH(설정_코스수당!$K$2),2),"")</f>
        <v>46175</v>
      </c>
      <c r="C143" s="25"/>
      <c r="D143" s="23"/>
      <c r="E143" s="23"/>
      <c r="F143" s="26"/>
      <c r="G143" s="23"/>
      <c r="H143" s="23"/>
      <c r="I143" s="23"/>
      <c r="J143" s="27">
        <f>IF($O143="방문완료",MAX(0,IFERROR(VLOOKUP($E143,설정_코스수당!$A$6:$H$10,4,FALSE),0)-IF(OR($P143="",$P143="없음"),0,100000)),0)</f>
        <v>0</v>
      </c>
      <c r="K143" s="27">
        <f t="array" ref="K143">IF($O143="방문완료",IFERROR(INDEX(설정_코스수당!$B$15:$F$64,MATCH($G143,설정_코스수당!$A$15:$A$64,0),MATCH($E143&amp;"수당",설정_코스수당!$B$14:$F$14,0)),0),0)</f>
        <v>0</v>
      </c>
      <c r="L143" s="27">
        <f t="array" ref="L143">IF($O143="방문완료",IF($H143="",0,IFERROR(INDEX(설정_코스수당!$B$15:$F$64,MATCH($H143,설정_코스수당!$A$15:$A$64,0),MATCH($E143&amp;"수당",설정_코스수당!$B$14:$F$14,0)),0)),0)</f>
        <v>0</v>
      </c>
      <c r="M143" s="27">
        <f>IF($O143="방문완료",IFERROR(VLOOKUP($E143,설정_코스수당!$A$6:$H$10,6,FALSE),0),0)</f>
        <v>0</v>
      </c>
      <c r="N143" s="28">
        <f t="shared" si="3"/>
        <v>0</v>
      </c>
      <c r="O143" s="23"/>
      <c r="P143" s="23"/>
      <c r="Q143" s="23"/>
      <c r="R143" s="26"/>
      <c r="S143" s="23"/>
    </row>
    <row r="144" spans="1:24" ht="19.5" hidden="1" customHeight="1" outlineLevel="1">
      <c r="A144" s="29">
        <v>28</v>
      </c>
      <c r="B144" s="30">
        <f>IF(2&lt;=DAY(DATE(YEAR(설정_코스수당!$K$2),MONTH(설정_코스수당!$K$2)+1,0)),DATE(YEAR(설정_코스수당!$K$2),MONTH(설정_코스수당!$K$2),2),"")</f>
        <v>46175</v>
      </c>
      <c r="C144" s="31"/>
      <c r="D144" s="29"/>
      <c r="E144" s="29"/>
      <c r="F144" s="32"/>
      <c r="G144" s="29"/>
      <c r="H144" s="29"/>
      <c r="I144" s="29"/>
      <c r="J144" s="33">
        <f>IF($O144="방문완료",MAX(0,IFERROR(VLOOKUP($E144,설정_코스수당!$A$6:$H$10,4,FALSE),0)-IF(OR($P144="",$P144="없음"),0,100000)),0)</f>
        <v>0</v>
      </c>
      <c r="K144" s="33">
        <f t="array" ref="K144">IF($O144="방문완료",IFERROR(INDEX(설정_코스수당!$B$15:$F$64,MATCH($G144,설정_코스수당!$A$15:$A$64,0),MATCH($E144&amp;"수당",설정_코스수당!$B$14:$F$14,0)),0),0)</f>
        <v>0</v>
      </c>
      <c r="L144" s="33">
        <f t="array" ref="L144">IF($O144="방문완료",IF($H144="",0,IFERROR(INDEX(설정_코스수당!$B$15:$F$64,MATCH($H144,설정_코스수당!$A$15:$A$64,0),MATCH($E144&amp;"수당",설정_코스수당!$B$14:$F$14,0)),0)),0)</f>
        <v>0</v>
      </c>
      <c r="M144" s="33">
        <f>IF($O144="방문완료",IFERROR(VLOOKUP($E144,설정_코스수당!$A$6:$H$10,6,FALSE),0),0)</f>
        <v>0</v>
      </c>
      <c r="N144" s="34">
        <f t="shared" si="3"/>
        <v>0</v>
      </c>
      <c r="O144" s="29"/>
      <c r="P144" s="29"/>
      <c r="Q144" s="29"/>
      <c r="R144" s="32"/>
      <c r="S144" s="29"/>
    </row>
    <row r="145" spans="1:19" ht="19.5" hidden="1" customHeight="1" outlineLevel="1">
      <c r="A145" s="23">
        <v>29</v>
      </c>
      <c r="B145" s="24">
        <f>IF(2&lt;=DAY(DATE(YEAR(설정_코스수당!$K$2),MONTH(설정_코스수당!$K$2)+1,0)),DATE(YEAR(설정_코스수당!$K$2),MONTH(설정_코스수당!$K$2),2),"")</f>
        <v>46175</v>
      </c>
      <c r="C145" s="25"/>
      <c r="D145" s="23"/>
      <c r="E145" s="23"/>
      <c r="F145" s="26"/>
      <c r="G145" s="23"/>
      <c r="H145" s="23"/>
      <c r="I145" s="23"/>
      <c r="J145" s="27">
        <f>IF($O145="방문완료",MAX(0,IFERROR(VLOOKUP($E145,설정_코스수당!$A$6:$H$10,4,FALSE),0)-IF(OR($P145="",$P145="없음"),0,100000)),0)</f>
        <v>0</v>
      </c>
      <c r="K145" s="27">
        <f t="array" ref="K145">IF($O145="방문완료",IFERROR(INDEX(설정_코스수당!$B$15:$F$64,MATCH($G145,설정_코스수당!$A$15:$A$64,0),MATCH($E145&amp;"수당",설정_코스수당!$B$14:$F$14,0)),0),0)</f>
        <v>0</v>
      </c>
      <c r="L145" s="27">
        <f t="array" ref="L145">IF($O145="방문완료",IF($H145="",0,IFERROR(INDEX(설정_코스수당!$B$15:$F$64,MATCH($H145,설정_코스수당!$A$15:$A$64,0),MATCH($E145&amp;"수당",설정_코스수당!$B$14:$F$14,0)),0)),0)</f>
        <v>0</v>
      </c>
      <c r="M145" s="27">
        <f>IF($O145="방문완료",IFERROR(VLOOKUP($E145,설정_코스수당!$A$6:$H$10,6,FALSE),0),0)</f>
        <v>0</v>
      </c>
      <c r="N145" s="28">
        <f t="shared" si="3"/>
        <v>0</v>
      </c>
      <c r="O145" s="23"/>
      <c r="P145" s="23"/>
      <c r="Q145" s="23"/>
      <c r="R145" s="26"/>
      <c r="S145" s="23"/>
    </row>
    <row r="146" spans="1:19" ht="19.5" hidden="1" customHeight="1" outlineLevel="1">
      <c r="A146" s="29">
        <v>30</v>
      </c>
      <c r="B146" s="30">
        <f>IF(2&lt;=DAY(DATE(YEAR(설정_코스수당!$K$2),MONTH(설정_코스수당!$K$2)+1,0)),DATE(YEAR(설정_코스수당!$K$2),MONTH(설정_코스수당!$K$2),2),"")</f>
        <v>46175</v>
      </c>
      <c r="C146" s="31"/>
      <c r="D146" s="29"/>
      <c r="E146" s="29"/>
      <c r="F146" s="32"/>
      <c r="G146" s="29"/>
      <c r="H146" s="29"/>
      <c r="I146" s="29"/>
      <c r="J146" s="33">
        <f>IF($O146="방문완료",MAX(0,IFERROR(VLOOKUP($E146,설정_코스수당!$A$6:$H$10,4,FALSE),0)-IF(OR($P146="",$P146="없음"),0,100000)),0)</f>
        <v>0</v>
      </c>
      <c r="K146" s="33">
        <f t="array" ref="K146">IF($O146="방문완료",IFERROR(INDEX(설정_코스수당!$B$15:$F$64,MATCH($G146,설정_코스수당!$A$15:$A$64,0),MATCH($E146&amp;"수당",설정_코스수당!$B$14:$F$14,0)),0),0)</f>
        <v>0</v>
      </c>
      <c r="L146" s="33">
        <f t="array" ref="L146">IF($O146="방문완료",IF($H146="",0,IFERROR(INDEX(설정_코스수당!$B$15:$F$64,MATCH($H146,설정_코스수당!$A$15:$A$64,0),MATCH($E146&amp;"수당",설정_코스수당!$B$14:$F$14,0)),0)),0)</f>
        <v>0</v>
      </c>
      <c r="M146" s="33">
        <f>IF($O146="방문완료",IFERROR(VLOOKUP($E146,설정_코스수당!$A$6:$H$10,6,FALSE),0),0)</f>
        <v>0</v>
      </c>
      <c r="N146" s="34">
        <f t="shared" si="3"/>
        <v>0</v>
      </c>
      <c r="O146" s="29"/>
      <c r="P146" s="29"/>
      <c r="Q146" s="29"/>
      <c r="R146" s="32"/>
      <c r="S146" s="29"/>
    </row>
    <row r="147" spans="1:19" ht="19.5" hidden="1" customHeight="1" outlineLevel="1">
      <c r="A147" s="23">
        <v>31</v>
      </c>
      <c r="B147" s="24">
        <f>IF(2&lt;=DAY(DATE(YEAR(설정_코스수당!$K$2),MONTH(설정_코스수당!$K$2)+1,0)),DATE(YEAR(설정_코스수당!$K$2),MONTH(설정_코스수당!$K$2),2),"")</f>
        <v>46175</v>
      </c>
      <c r="C147" s="25"/>
      <c r="D147" s="23"/>
      <c r="E147" s="23"/>
      <c r="F147" s="26"/>
      <c r="G147" s="23"/>
      <c r="H147" s="23"/>
      <c r="I147" s="23"/>
      <c r="J147" s="27">
        <f>IF($O147="방문완료",MAX(0,IFERROR(VLOOKUP($E147,설정_코스수당!$A$6:$H$10,4,FALSE),0)-IF(OR($P147="",$P147="없음"),0,100000)),0)</f>
        <v>0</v>
      </c>
      <c r="K147" s="27">
        <f t="array" ref="K147">IF($O147="방문완료",IFERROR(INDEX(설정_코스수당!$B$15:$F$64,MATCH($G147,설정_코스수당!$A$15:$A$64,0),MATCH($E147&amp;"수당",설정_코스수당!$B$14:$F$14,0)),0),0)</f>
        <v>0</v>
      </c>
      <c r="L147" s="27">
        <f t="array" ref="L147">IF($O147="방문완료",IF($H147="",0,IFERROR(INDEX(설정_코스수당!$B$15:$F$64,MATCH($H147,설정_코스수당!$A$15:$A$64,0),MATCH($E147&amp;"수당",설정_코스수당!$B$14:$F$14,0)),0)),0)</f>
        <v>0</v>
      </c>
      <c r="M147" s="27">
        <f>IF($O147="방문완료",IFERROR(VLOOKUP($E147,설정_코스수당!$A$6:$H$10,6,FALSE),0),0)</f>
        <v>0</v>
      </c>
      <c r="N147" s="28">
        <f t="shared" si="3"/>
        <v>0</v>
      </c>
      <c r="O147" s="23"/>
      <c r="P147" s="23"/>
      <c r="Q147" s="23"/>
      <c r="R147" s="26"/>
      <c r="S147" s="23"/>
    </row>
    <row r="148" spans="1:19" ht="19.5" hidden="1" customHeight="1" outlineLevel="1">
      <c r="A148" s="29">
        <v>32</v>
      </c>
      <c r="B148" s="30">
        <f>IF(2&lt;=DAY(DATE(YEAR(설정_코스수당!$K$2),MONTH(설정_코스수당!$K$2)+1,0)),DATE(YEAR(설정_코스수당!$K$2),MONTH(설정_코스수당!$K$2),2),"")</f>
        <v>46175</v>
      </c>
      <c r="C148" s="31"/>
      <c r="D148" s="29"/>
      <c r="E148" s="29"/>
      <c r="F148" s="32"/>
      <c r="G148" s="29"/>
      <c r="H148" s="29"/>
      <c r="I148" s="29"/>
      <c r="J148" s="33">
        <f>IF($O148="방문완료",MAX(0,IFERROR(VLOOKUP($E148,설정_코스수당!$A$6:$H$10,4,FALSE),0)-IF(OR($P148="",$P148="없음"),0,100000)),0)</f>
        <v>0</v>
      </c>
      <c r="K148" s="33">
        <f t="array" ref="K148">IF($O148="방문완료",IFERROR(INDEX(설정_코스수당!$B$15:$F$64,MATCH($G148,설정_코스수당!$A$15:$A$64,0),MATCH($E148&amp;"수당",설정_코스수당!$B$14:$F$14,0)),0),0)</f>
        <v>0</v>
      </c>
      <c r="L148" s="33">
        <f t="array" ref="L148">IF($O148="방문완료",IF($H148="",0,IFERROR(INDEX(설정_코스수당!$B$15:$F$64,MATCH($H148,설정_코스수당!$A$15:$A$64,0),MATCH($E148&amp;"수당",설정_코스수당!$B$14:$F$14,0)),0)),0)</f>
        <v>0</v>
      </c>
      <c r="M148" s="33">
        <f>IF($O148="방문완료",IFERROR(VLOOKUP($E148,설정_코스수당!$A$6:$H$10,6,FALSE),0),0)</f>
        <v>0</v>
      </c>
      <c r="N148" s="34">
        <f t="shared" si="3"/>
        <v>0</v>
      </c>
      <c r="O148" s="29"/>
      <c r="P148" s="29"/>
      <c r="Q148" s="29"/>
      <c r="R148" s="32"/>
      <c r="S148" s="29"/>
    </row>
    <row r="149" spans="1:19" ht="19.5" hidden="1" customHeight="1" outlineLevel="1">
      <c r="A149" s="23">
        <v>33</v>
      </c>
      <c r="B149" s="24">
        <f>IF(2&lt;=DAY(DATE(YEAR(설정_코스수당!$K$2),MONTH(설정_코스수당!$K$2)+1,0)),DATE(YEAR(설정_코스수당!$K$2),MONTH(설정_코스수당!$K$2),2),"")</f>
        <v>46175</v>
      </c>
      <c r="C149" s="25"/>
      <c r="D149" s="23"/>
      <c r="E149" s="23"/>
      <c r="F149" s="26"/>
      <c r="G149" s="23"/>
      <c r="H149" s="23"/>
      <c r="I149" s="23"/>
      <c r="J149" s="27">
        <f>IF($O149="방문완료",MAX(0,IFERROR(VLOOKUP($E149,설정_코스수당!$A$6:$H$10,4,FALSE),0)-IF(OR($P149="",$P149="없음"),0,100000)),0)</f>
        <v>0</v>
      </c>
      <c r="K149" s="27">
        <f t="array" ref="K149">IF($O149="방문완료",IFERROR(INDEX(설정_코스수당!$B$15:$F$64,MATCH($G149,설정_코스수당!$A$15:$A$64,0),MATCH($E149&amp;"수당",설정_코스수당!$B$14:$F$14,0)),0),0)</f>
        <v>0</v>
      </c>
      <c r="L149" s="27">
        <f t="array" ref="L149">IF($O149="방문완료",IF($H149="",0,IFERROR(INDEX(설정_코스수당!$B$15:$F$64,MATCH($H149,설정_코스수당!$A$15:$A$64,0),MATCH($E149&amp;"수당",설정_코스수당!$B$14:$F$14,0)),0)),0)</f>
        <v>0</v>
      </c>
      <c r="M149" s="27">
        <f>IF($O149="방문완료",IFERROR(VLOOKUP($E149,설정_코스수당!$A$6:$H$10,6,FALSE),0),0)</f>
        <v>0</v>
      </c>
      <c r="N149" s="28">
        <f t="shared" ref="N149:N180" si="4">IF($O149="방문완료",1,0)</f>
        <v>0</v>
      </c>
      <c r="O149" s="23"/>
      <c r="P149" s="23"/>
      <c r="Q149" s="23"/>
      <c r="R149" s="26"/>
      <c r="S149" s="23"/>
    </row>
    <row r="150" spans="1:19" ht="19.5" hidden="1" customHeight="1" outlineLevel="1">
      <c r="A150" s="29">
        <v>34</v>
      </c>
      <c r="B150" s="30">
        <f>IF(2&lt;=DAY(DATE(YEAR(설정_코스수당!$K$2),MONTH(설정_코스수당!$K$2)+1,0)),DATE(YEAR(설정_코스수당!$K$2),MONTH(설정_코스수당!$K$2),2),"")</f>
        <v>46175</v>
      </c>
      <c r="C150" s="31"/>
      <c r="D150" s="29"/>
      <c r="E150" s="29"/>
      <c r="F150" s="32"/>
      <c r="G150" s="29"/>
      <c r="H150" s="29"/>
      <c r="I150" s="29"/>
      <c r="J150" s="33">
        <f>IF($O150="방문완료",MAX(0,IFERROR(VLOOKUP($E150,설정_코스수당!$A$6:$H$10,4,FALSE),0)-IF(OR($P150="",$P150="없음"),0,100000)),0)</f>
        <v>0</v>
      </c>
      <c r="K150" s="33">
        <f t="array" ref="K150">IF($O150="방문완료",IFERROR(INDEX(설정_코스수당!$B$15:$F$64,MATCH($G150,설정_코스수당!$A$15:$A$64,0),MATCH($E150&amp;"수당",설정_코스수당!$B$14:$F$14,0)),0),0)</f>
        <v>0</v>
      </c>
      <c r="L150" s="33">
        <f t="array" ref="L150">IF($O150="방문완료",IF($H150="",0,IFERROR(INDEX(설정_코스수당!$B$15:$F$64,MATCH($H150,설정_코스수당!$A$15:$A$64,0),MATCH($E150&amp;"수당",설정_코스수당!$B$14:$F$14,0)),0)),0)</f>
        <v>0</v>
      </c>
      <c r="M150" s="33">
        <f>IF($O150="방문완료",IFERROR(VLOOKUP($E150,설정_코스수당!$A$6:$H$10,6,FALSE),0),0)</f>
        <v>0</v>
      </c>
      <c r="N150" s="34">
        <f t="shared" si="4"/>
        <v>0</v>
      </c>
      <c r="O150" s="29"/>
      <c r="P150" s="29"/>
      <c r="Q150" s="29"/>
      <c r="R150" s="32"/>
      <c r="S150" s="29"/>
    </row>
    <row r="151" spans="1:19" ht="19.5" hidden="1" customHeight="1" outlineLevel="1">
      <c r="A151" s="23">
        <v>35</v>
      </c>
      <c r="B151" s="24">
        <f>IF(2&lt;=DAY(DATE(YEAR(설정_코스수당!$K$2),MONTH(설정_코스수당!$K$2)+1,0)),DATE(YEAR(설정_코스수당!$K$2),MONTH(설정_코스수당!$K$2),2),"")</f>
        <v>46175</v>
      </c>
      <c r="C151" s="25"/>
      <c r="D151" s="23"/>
      <c r="E151" s="23"/>
      <c r="F151" s="26"/>
      <c r="G151" s="23"/>
      <c r="H151" s="23"/>
      <c r="I151" s="23"/>
      <c r="J151" s="27">
        <f>IF($O151="방문완료",MAX(0,IFERROR(VLOOKUP($E151,설정_코스수당!$A$6:$H$10,4,FALSE),0)-IF(OR($P151="",$P151="없음"),0,100000)),0)</f>
        <v>0</v>
      </c>
      <c r="K151" s="27">
        <f t="array" ref="K151">IF($O151="방문완료",IFERROR(INDEX(설정_코스수당!$B$15:$F$64,MATCH($G151,설정_코스수당!$A$15:$A$64,0),MATCH($E151&amp;"수당",설정_코스수당!$B$14:$F$14,0)),0),0)</f>
        <v>0</v>
      </c>
      <c r="L151" s="27">
        <f t="array" ref="L151">IF($O151="방문완료",IF($H151="",0,IFERROR(INDEX(설정_코스수당!$B$15:$F$64,MATCH($H151,설정_코스수당!$A$15:$A$64,0),MATCH($E151&amp;"수당",설정_코스수당!$B$14:$F$14,0)),0)),0)</f>
        <v>0</v>
      </c>
      <c r="M151" s="27">
        <f>IF($O151="방문완료",IFERROR(VLOOKUP($E151,설정_코스수당!$A$6:$H$10,6,FALSE),0),0)</f>
        <v>0</v>
      </c>
      <c r="N151" s="28">
        <f t="shared" si="4"/>
        <v>0</v>
      </c>
      <c r="O151" s="23"/>
      <c r="P151" s="23"/>
      <c r="Q151" s="23"/>
      <c r="R151" s="26"/>
      <c r="S151" s="23"/>
    </row>
    <row r="152" spans="1:19" ht="19.5" hidden="1" customHeight="1" outlineLevel="1">
      <c r="A152" s="29">
        <v>36</v>
      </c>
      <c r="B152" s="30">
        <f>IF(2&lt;=DAY(DATE(YEAR(설정_코스수당!$K$2),MONTH(설정_코스수당!$K$2)+1,0)),DATE(YEAR(설정_코스수당!$K$2),MONTH(설정_코스수당!$K$2),2),"")</f>
        <v>46175</v>
      </c>
      <c r="C152" s="31"/>
      <c r="D152" s="29"/>
      <c r="E152" s="29"/>
      <c r="F152" s="32"/>
      <c r="G152" s="29"/>
      <c r="H152" s="29"/>
      <c r="I152" s="29"/>
      <c r="J152" s="33">
        <f>IF($O152="방문완료",MAX(0,IFERROR(VLOOKUP($E152,설정_코스수당!$A$6:$H$10,4,FALSE),0)-IF(OR($P152="",$P152="없음"),0,100000)),0)</f>
        <v>0</v>
      </c>
      <c r="K152" s="33">
        <f t="array" ref="K152">IF($O152="방문완료",IFERROR(INDEX(설정_코스수당!$B$15:$F$64,MATCH($G152,설정_코스수당!$A$15:$A$64,0),MATCH($E152&amp;"수당",설정_코스수당!$B$14:$F$14,0)),0),0)</f>
        <v>0</v>
      </c>
      <c r="L152" s="33">
        <f t="array" ref="L152">IF($O152="방문완료",IF($H152="",0,IFERROR(INDEX(설정_코스수당!$B$15:$F$64,MATCH($H152,설정_코스수당!$A$15:$A$64,0),MATCH($E152&amp;"수당",설정_코스수당!$B$14:$F$14,0)),0)),0)</f>
        <v>0</v>
      </c>
      <c r="M152" s="33">
        <f>IF($O152="방문완료",IFERROR(VLOOKUP($E152,설정_코스수당!$A$6:$H$10,6,FALSE),0),0)</f>
        <v>0</v>
      </c>
      <c r="N152" s="34">
        <f t="shared" si="4"/>
        <v>0</v>
      </c>
      <c r="O152" s="29"/>
      <c r="P152" s="29"/>
      <c r="Q152" s="29"/>
      <c r="R152" s="32"/>
      <c r="S152" s="29"/>
    </row>
    <row r="153" spans="1:19" ht="19.5" hidden="1" customHeight="1" outlineLevel="1">
      <c r="A153" s="23">
        <v>37</v>
      </c>
      <c r="B153" s="24">
        <f>IF(2&lt;=DAY(DATE(YEAR(설정_코스수당!$K$2),MONTH(설정_코스수당!$K$2)+1,0)),DATE(YEAR(설정_코스수당!$K$2),MONTH(설정_코스수당!$K$2),2),"")</f>
        <v>46175</v>
      </c>
      <c r="C153" s="25"/>
      <c r="D153" s="23"/>
      <c r="E153" s="23"/>
      <c r="F153" s="26"/>
      <c r="G153" s="23"/>
      <c r="H153" s="23"/>
      <c r="I153" s="23"/>
      <c r="J153" s="27">
        <f>IF($O153="방문완료",MAX(0,IFERROR(VLOOKUP($E153,설정_코스수당!$A$6:$H$10,4,FALSE),0)-IF(OR($P153="",$P153="없음"),0,100000)),0)</f>
        <v>0</v>
      </c>
      <c r="K153" s="27">
        <f t="array" ref="K153">IF($O153="방문완료",IFERROR(INDEX(설정_코스수당!$B$15:$F$64,MATCH($G153,설정_코스수당!$A$15:$A$64,0),MATCH($E153&amp;"수당",설정_코스수당!$B$14:$F$14,0)),0),0)</f>
        <v>0</v>
      </c>
      <c r="L153" s="27">
        <f t="array" ref="L153">IF($O153="방문완료",IF($H153="",0,IFERROR(INDEX(설정_코스수당!$B$15:$F$64,MATCH($H153,설정_코스수당!$A$15:$A$64,0),MATCH($E153&amp;"수당",설정_코스수당!$B$14:$F$14,0)),0)),0)</f>
        <v>0</v>
      </c>
      <c r="M153" s="27">
        <f>IF($O153="방문완료",IFERROR(VLOOKUP($E153,설정_코스수당!$A$6:$H$10,6,FALSE),0),0)</f>
        <v>0</v>
      </c>
      <c r="N153" s="28">
        <f t="shared" si="4"/>
        <v>0</v>
      </c>
      <c r="O153" s="23"/>
      <c r="P153" s="23"/>
      <c r="Q153" s="23"/>
      <c r="R153" s="26"/>
      <c r="S153" s="23"/>
    </row>
    <row r="154" spans="1:19" ht="19.5" hidden="1" customHeight="1" outlineLevel="1">
      <c r="A154" s="29">
        <v>38</v>
      </c>
      <c r="B154" s="30">
        <f>IF(2&lt;=DAY(DATE(YEAR(설정_코스수당!$K$2),MONTH(설정_코스수당!$K$2)+1,0)),DATE(YEAR(설정_코스수당!$K$2),MONTH(설정_코스수당!$K$2),2),"")</f>
        <v>46175</v>
      </c>
      <c r="C154" s="31"/>
      <c r="D154" s="29"/>
      <c r="E154" s="29"/>
      <c r="F154" s="32"/>
      <c r="G154" s="29"/>
      <c r="H154" s="29"/>
      <c r="I154" s="29"/>
      <c r="J154" s="33">
        <f>IF($O154="방문완료",MAX(0,IFERROR(VLOOKUP($E154,설정_코스수당!$A$6:$H$10,4,FALSE),0)-IF(OR($P154="",$P154="없음"),0,100000)),0)</f>
        <v>0</v>
      </c>
      <c r="K154" s="33">
        <f t="array" ref="K154">IF($O154="방문완료",IFERROR(INDEX(설정_코스수당!$B$15:$F$64,MATCH($G154,설정_코스수당!$A$15:$A$64,0),MATCH($E154&amp;"수당",설정_코스수당!$B$14:$F$14,0)),0),0)</f>
        <v>0</v>
      </c>
      <c r="L154" s="33">
        <f t="array" ref="L154">IF($O154="방문완료",IF($H154="",0,IFERROR(INDEX(설정_코스수당!$B$15:$F$64,MATCH($H154,설정_코스수당!$A$15:$A$64,0),MATCH($E154&amp;"수당",설정_코스수당!$B$14:$F$14,0)),0)),0)</f>
        <v>0</v>
      </c>
      <c r="M154" s="33">
        <f>IF($O154="방문완료",IFERROR(VLOOKUP($E154,설정_코스수당!$A$6:$H$10,6,FALSE),0),0)</f>
        <v>0</v>
      </c>
      <c r="N154" s="34">
        <f t="shared" si="4"/>
        <v>0</v>
      </c>
      <c r="O154" s="29"/>
      <c r="P154" s="29"/>
      <c r="Q154" s="29"/>
      <c r="R154" s="32"/>
      <c r="S154" s="29"/>
    </row>
    <row r="155" spans="1:19" ht="19.5" hidden="1" customHeight="1" outlineLevel="1">
      <c r="A155" s="23">
        <v>39</v>
      </c>
      <c r="B155" s="24">
        <f>IF(2&lt;=DAY(DATE(YEAR(설정_코스수당!$K$2),MONTH(설정_코스수당!$K$2)+1,0)),DATE(YEAR(설정_코스수당!$K$2),MONTH(설정_코스수당!$K$2),2),"")</f>
        <v>46175</v>
      </c>
      <c r="C155" s="25"/>
      <c r="D155" s="23"/>
      <c r="E155" s="23"/>
      <c r="F155" s="26"/>
      <c r="G155" s="23"/>
      <c r="H155" s="23"/>
      <c r="I155" s="23"/>
      <c r="J155" s="27">
        <f>IF($O155="방문완료",MAX(0,IFERROR(VLOOKUP($E155,설정_코스수당!$A$6:$H$10,4,FALSE),0)-IF(OR($P155="",$P155="없음"),0,100000)),0)</f>
        <v>0</v>
      </c>
      <c r="K155" s="27">
        <f t="array" ref="K155">IF($O155="방문완료",IFERROR(INDEX(설정_코스수당!$B$15:$F$64,MATCH($G155,설정_코스수당!$A$15:$A$64,0),MATCH($E155&amp;"수당",설정_코스수당!$B$14:$F$14,0)),0),0)</f>
        <v>0</v>
      </c>
      <c r="L155" s="27">
        <f t="array" ref="L155">IF($O155="방문완료",IF($H155="",0,IFERROR(INDEX(설정_코스수당!$B$15:$F$64,MATCH($H155,설정_코스수당!$A$15:$A$64,0),MATCH($E155&amp;"수당",설정_코스수당!$B$14:$F$14,0)),0)),0)</f>
        <v>0</v>
      </c>
      <c r="M155" s="27">
        <f>IF($O155="방문완료",IFERROR(VLOOKUP($E155,설정_코스수당!$A$6:$H$10,6,FALSE),0),0)</f>
        <v>0</v>
      </c>
      <c r="N155" s="28">
        <f t="shared" si="4"/>
        <v>0</v>
      </c>
      <c r="O155" s="23"/>
      <c r="P155" s="23"/>
      <c r="Q155" s="23"/>
      <c r="R155" s="26"/>
      <c r="S155" s="23"/>
    </row>
    <row r="156" spans="1:19" ht="19.5" hidden="1" customHeight="1" outlineLevel="1">
      <c r="A156" s="29">
        <v>40</v>
      </c>
      <c r="B156" s="30">
        <f>IF(2&lt;=DAY(DATE(YEAR(설정_코스수당!$K$2),MONTH(설정_코스수당!$K$2)+1,0)),DATE(YEAR(설정_코스수당!$K$2),MONTH(설정_코스수당!$K$2),2),"")</f>
        <v>46175</v>
      </c>
      <c r="C156" s="31"/>
      <c r="D156" s="29"/>
      <c r="E156" s="29"/>
      <c r="F156" s="32"/>
      <c r="G156" s="29"/>
      <c r="H156" s="29"/>
      <c r="I156" s="29"/>
      <c r="J156" s="33">
        <f>IF($O156="방문완료",MAX(0,IFERROR(VLOOKUP($E156,설정_코스수당!$A$6:$H$10,4,FALSE),0)-IF(OR($P156="",$P156="없음"),0,100000)),0)</f>
        <v>0</v>
      </c>
      <c r="K156" s="33">
        <f t="array" ref="K156">IF($O156="방문완료",IFERROR(INDEX(설정_코스수당!$B$15:$F$64,MATCH($G156,설정_코스수당!$A$15:$A$64,0),MATCH($E156&amp;"수당",설정_코스수당!$B$14:$F$14,0)),0),0)</f>
        <v>0</v>
      </c>
      <c r="L156" s="33">
        <f t="array" ref="L156">IF($O156="방문완료",IF($H156="",0,IFERROR(INDEX(설정_코스수당!$B$15:$F$64,MATCH($H156,설정_코스수당!$A$15:$A$64,0),MATCH($E156&amp;"수당",설정_코스수당!$B$14:$F$14,0)),0)),0)</f>
        <v>0</v>
      </c>
      <c r="M156" s="33">
        <f>IF($O156="방문완료",IFERROR(VLOOKUP($E156,설정_코스수당!$A$6:$H$10,6,FALSE),0),0)</f>
        <v>0</v>
      </c>
      <c r="N156" s="34">
        <f t="shared" si="4"/>
        <v>0</v>
      </c>
      <c r="O156" s="29"/>
      <c r="P156" s="29"/>
      <c r="Q156" s="29"/>
      <c r="R156" s="32"/>
      <c r="S156" s="29"/>
    </row>
    <row r="157" spans="1:19" ht="19.5" hidden="1" customHeight="1" outlineLevel="1">
      <c r="A157" s="23">
        <v>41</v>
      </c>
      <c r="B157" s="24">
        <f>IF(2&lt;=DAY(DATE(YEAR(설정_코스수당!$K$2),MONTH(설정_코스수당!$K$2)+1,0)),DATE(YEAR(설정_코스수당!$K$2),MONTH(설정_코스수당!$K$2),2),"")</f>
        <v>46175</v>
      </c>
      <c r="C157" s="25"/>
      <c r="D157" s="23"/>
      <c r="E157" s="23"/>
      <c r="F157" s="26"/>
      <c r="G157" s="23"/>
      <c r="H157" s="23"/>
      <c r="I157" s="23"/>
      <c r="J157" s="27">
        <f>IF($O157="방문완료",MAX(0,IFERROR(VLOOKUP($E157,설정_코스수당!$A$6:$H$10,4,FALSE),0)-IF(OR($P157="",$P157="없음"),0,100000)),0)</f>
        <v>0</v>
      </c>
      <c r="K157" s="27">
        <f t="array" ref="K157">IF($O157="방문완료",IFERROR(INDEX(설정_코스수당!$B$15:$F$64,MATCH($G157,설정_코스수당!$A$15:$A$64,0),MATCH($E157&amp;"수당",설정_코스수당!$B$14:$F$14,0)),0),0)</f>
        <v>0</v>
      </c>
      <c r="L157" s="27">
        <f t="array" ref="L157">IF($O157="방문완료",IF($H157="",0,IFERROR(INDEX(설정_코스수당!$B$15:$F$64,MATCH($H157,설정_코스수당!$A$15:$A$64,0),MATCH($E157&amp;"수당",설정_코스수당!$B$14:$F$14,0)),0)),0)</f>
        <v>0</v>
      </c>
      <c r="M157" s="27">
        <f>IF($O157="방문완료",IFERROR(VLOOKUP($E157,설정_코스수당!$A$6:$H$10,6,FALSE),0),0)</f>
        <v>0</v>
      </c>
      <c r="N157" s="28">
        <f t="shared" si="4"/>
        <v>0</v>
      </c>
      <c r="O157" s="23"/>
      <c r="P157" s="23"/>
      <c r="Q157" s="23"/>
      <c r="R157" s="26"/>
      <c r="S157" s="23"/>
    </row>
    <row r="158" spans="1:19" ht="19.5" hidden="1" customHeight="1" outlineLevel="1">
      <c r="A158" s="29">
        <v>42</v>
      </c>
      <c r="B158" s="30">
        <f>IF(2&lt;=DAY(DATE(YEAR(설정_코스수당!$K$2),MONTH(설정_코스수당!$K$2)+1,0)),DATE(YEAR(설정_코스수당!$K$2),MONTH(설정_코스수당!$K$2),2),"")</f>
        <v>46175</v>
      </c>
      <c r="C158" s="31"/>
      <c r="D158" s="29"/>
      <c r="E158" s="29"/>
      <c r="F158" s="32"/>
      <c r="G158" s="29"/>
      <c r="H158" s="29"/>
      <c r="I158" s="29"/>
      <c r="J158" s="33">
        <f>IF($O158="방문완료",MAX(0,IFERROR(VLOOKUP($E158,설정_코스수당!$A$6:$H$10,4,FALSE),0)-IF(OR($P158="",$P158="없음"),0,100000)),0)</f>
        <v>0</v>
      </c>
      <c r="K158" s="33">
        <f t="array" ref="K158">IF($O158="방문완료",IFERROR(INDEX(설정_코스수당!$B$15:$F$64,MATCH($G158,설정_코스수당!$A$15:$A$64,0),MATCH($E158&amp;"수당",설정_코스수당!$B$14:$F$14,0)),0),0)</f>
        <v>0</v>
      </c>
      <c r="L158" s="33">
        <f t="array" ref="L158">IF($O158="방문완료",IF($H158="",0,IFERROR(INDEX(설정_코스수당!$B$15:$F$64,MATCH($H158,설정_코스수당!$A$15:$A$64,0),MATCH($E158&amp;"수당",설정_코스수당!$B$14:$F$14,0)),0)),0)</f>
        <v>0</v>
      </c>
      <c r="M158" s="33">
        <f>IF($O158="방문완료",IFERROR(VLOOKUP($E158,설정_코스수당!$A$6:$H$10,6,FALSE),0),0)</f>
        <v>0</v>
      </c>
      <c r="N158" s="34">
        <f t="shared" si="4"/>
        <v>0</v>
      </c>
      <c r="O158" s="29"/>
      <c r="P158" s="29"/>
      <c r="Q158" s="29"/>
      <c r="R158" s="32"/>
      <c r="S158" s="29"/>
    </row>
    <row r="159" spans="1:19" ht="19.5" hidden="1" customHeight="1" outlineLevel="1">
      <c r="A159" s="23">
        <v>43</v>
      </c>
      <c r="B159" s="24">
        <f>IF(2&lt;=DAY(DATE(YEAR(설정_코스수당!$K$2),MONTH(설정_코스수당!$K$2)+1,0)),DATE(YEAR(설정_코스수당!$K$2),MONTH(설정_코스수당!$K$2),2),"")</f>
        <v>46175</v>
      </c>
      <c r="C159" s="25"/>
      <c r="D159" s="23"/>
      <c r="E159" s="23"/>
      <c r="F159" s="26"/>
      <c r="G159" s="23"/>
      <c r="H159" s="23"/>
      <c r="I159" s="23"/>
      <c r="J159" s="27">
        <f>IF($O159="방문완료",MAX(0,IFERROR(VLOOKUP($E159,설정_코스수당!$A$6:$H$10,4,FALSE),0)-IF(OR($P159="",$P159="없음"),0,100000)),0)</f>
        <v>0</v>
      </c>
      <c r="K159" s="27">
        <f t="array" ref="K159">IF($O159="방문완료",IFERROR(INDEX(설정_코스수당!$B$15:$F$64,MATCH($G159,설정_코스수당!$A$15:$A$64,0),MATCH($E159&amp;"수당",설정_코스수당!$B$14:$F$14,0)),0),0)</f>
        <v>0</v>
      </c>
      <c r="L159" s="27">
        <f t="array" ref="L159">IF($O159="방문완료",IF($H159="",0,IFERROR(INDEX(설정_코스수당!$B$15:$F$64,MATCH($H159,설정_코스수당!$A$15:$A$64,0),MATCH($E159&amp;"수당",설정_코스수당!$B$14:$F$14,0)),0)),0)</f>
        <v>0</v>
      </c>
      <c r="M159" s="27">
        <f>IF($O159="방문완료",IFERROR(VLOOKUP($E159,설정_코스수당!$A$6:$H$10,6,FALSE),0),0)</f>
        <v>0</v>
      </c>
      <c r="N159" s="28">
        <f t="shared" si="4"/>
        <v>0</v>
      </c>
      <c r="O159" s="23"/>
      <c r="P159" s="23"/>
      <c r="Q159" s="23"/>
      <c r="R159" s="26"/>
      <c r="S159" s="23"/>
    </row>
    <row r="160" spans="1:19" ht="19.5" hidden="1" customHeight="1" outlineLevel="1">
      <c r="A160" s="29">
        <v>44</v>
      </c>
      <c r="B160" s="30">
        <f>IF(2&lt;=DAY(DATE(YEAR(설정_코스수당!$K$2),MONTH(설정_코스수당!$K$2)+1,0)),DATE(YEAR(설정_코스수당!$K$2),MONTH(설정_코스수당!$K$2),2),"")</f>
        <v>46175</v>
      </c>
      <c r="C160" s="31"/>
      <c r="D160" s="29"/>
      <c r="E160" s="29"/>
      <c r="F160" s="32"/>
      <c r="G160" s="29"/>
      <c r="H160" s="29"/>
      <c r="I160" s="29"/>
      <c r="J160" s="33">
        <f>IF($O160="방문완료",MAX(0,IFERROR(VLOOKUP($E160,설정_코스수당!$A$6:$H$10,4,FALSE),0)-IF(OR($P160="",$P160="없음"),0,100000)),0)</f>
        <v>0</v>
      </c>
      <c r="K160" s="33">
        <f t="array" ref="K160">IF($O160="방문완료",IFERROR(INDEX(설정_코스수당!$B$15:$F$64,MATCH($G160,설정_코스수당!$A$15:$A$64,0),MATCH($E160&amp;"수당",설정_코스수당!$B$14:$F$14,0)),0),0)</f>
        <v>0</v>
      </c>
      <c r="L160" s="33">
        <f t="array" ref="L160">IF($O160="방문완료",IF($H160="",0,IFERROR(INDEX(설정_코스수당!$B$15:$F$64,MATCH($H160,설정_코스수당!$A$15:$A$64,0),MATCH($E160&amp;"수당",설정_코스수당!$B$14:$F$14,0)),0)),0)</f>
        <v>0</v>
      </c>
      <c r="M160" s="33">
        <f>IF($O160="방문완료",IFERROR(VLOOKUP($E160,설정_코스수당!$A$6:$H$10,6,FALSE),0),0)</f>
        <v>0</v>
      </c>
      <c r="N160" s="34">
        <f t="shared" si="4"/>
        <v>0</v>
      </c>
      <c r="O160" s="29"/>
      <c r="P160" s="29"/>
      <c r="Q160" s="29"/>
      <c r="R160" s="32"/>
      <c r="S160" s="29"/>
    </row>
    <row r="161" spans="1:19" ht="19.5" hidden="1" customHeight="1" outlineLevel="1">
      <c r="A161" s="23">
        <v>45</v>
      </c>
      <c r="B161" s="24">
        <f>IF(2&lt;=DAY(DATE(YEAR(설정_코스수당!$K$2),MONTH(설정_코스수당!$K$2)+1,0)),DATE(YEAR(설정_코스수당!$K$2),MONTH(설정_코스수당!$K$2),2),"")</f>
        <v>46175</v>
      </c>
      <c r="C161" s="25"/>
      <c r="D161" s="23"/>
      <c r="E161" s="23"/>
      <c r="F161" s="26"/>
      <c r="G161" s="23"/>
      <c r="H161" s="23"/>
      <c r="I161" s="23"/>
      <c r="J161" s="27">
        <f>IF($O161="방문완료",MAX(0,IFERROR(VLOOKUP($E161,설정_코스수당!$A$6:$H$10,4,FALSE),0)-IF(OR($P161="",$P161="없음"),0,100000)),0)</f>
        <v>0</v>
      </c>
      <c r="K161" s="27">
        <f t="array" ref="K161">IF($O161="방문완료",IFERROR(INDEX(설정_코스수당!$B$15:$F$64,MATCH($G161,설정_코스수당!$A$15:$A$64,0),MATCH($E161&amp;"수당",설정_코스수당!$B$14:$F$14,0)),0),0)</f>
        <v>0</v>
      </c>
      <c r="L161" s="27">
        <f t="array" ref="L161">IF($O161="방문완료",IF($H161="",0,IFERROR(INDEX(설정_코스수당!$B$15:$F$64,MATCH($H161,설정_코스수당!$A$15:$A$64,0),MATCH($E161&amp;"수당",설정_코스수당!$B$14:$F$14,0)),0)),0)</f>
        <v>0</v>
      </c>
      <c r="M161" s="27">
        <f>IF($O161="방문완료",IFERROR(VLOOKUP($E161,설정_코스수당!$A$6:$H$10,6,FALSE),0),0)</f>
        <v>0</v>
      </c>
      <c r="N161" s="28">
        <f t="shared" si="4"/>
        <v>0</v>
      </c>
      <c r="O161" s="23"/>
      <c r="P161" s="23"/>
      <c r="Q161" s="23"/>
      <c r="R161" s="26"/>
      <c r="S161" s="23"/>
    </row>
    <row r="162" spans="1:19" ht="19.5" hidden="1" customHeight="1" outlineLevel="1">
      <c r="A162" s="29">
        <v>46</v>
      </c>
      <c r="B162" s="30">
        <f>IF(2&lt;=DAY(DATE(YEAR(설정_코스수당!$K$2),MONTH(설정_코스수당!$K$2)+1,0)),DATE(YEAR(설정_코스수당!$K$2),MONTH(설정_코스수당!$K$2),2),"")</f>
        <v>46175</v>
      </c>
      <c r="C162" s="31"/>
      <c r="D162" s="29"/>
      <c r="E162" s="29"/>
      <c r="F162" s="32"/>
      <c r="G162" s="29"/>
      <c r="H162" s="29"/>
      <c r="I162" s="29"/>
      <c r="J162" s="33">
        <f>IF($O162="방문완료",MAX(0,IFERROR(VLOOKUP($E162,설정_코스수당!$A$6:$H$10,4,FALSE),0)-IF(OR($P162="",$P162="없음"),0,100000)),0)</f>
        <v>0</v>
      </c>
      <c r="K162" s="33">
        <f t="array" ref="K162">IF($O162="방문완료",IFERROR(INDEX(설정_코스수당!$B$15:$F$64,MATCH($G162,설정_코스수당!$A$15:$A$64,0),MATCH($E162&amp;"수당",설정_코스수당!$B$14:$F$14,0)),0),0)</f>
        <v>0</v>
      </c>
      <c r="L162" s="33">
        <f t="array" ref="L162">IF($O162="방문완료",IF($H162="",0,IFERROR(INDEX(설정_코스수당!$B$15:$F$64,MATCH($H162,설정_코스수당!$A$15:$A$64,0),MATCH($E162&amp;"수당",설정_코스수당!$B$14:$F$14,0)),0)),0)</f>
        <v>0</v>
      </c>
      <c r="M162" s="33">
        <f>IF($O162="방문완료",IFERROR(VLOOKUP($E162,설정_코스수당!$A$6:$H$10,6,FALSE),0),0)</f>
        <v>0</v>
      </c>
      <c r="N162" s="34">
        <f t="shared" si="4"/>
        <v>0</v>
      </c>
      <c r="O162" s="29"/>
      <c r="P162" s="29"/>
      <c r="Q162" s="29"/>
      <c r="R162" s="32"/>
      <c r="S162" s="29"/>
    </row>
    <row r="163" spans="1:19" ht="19.5" hidden="1" customHeight="1" outlineLevel="1">
      <c r="A163" s="23">
        <v>47</v>
      </c>
      <c r="B163" s="24">
        <f>IF(2&lt;=DAY(DATE(YEAR(설정_코스수당!$K$2),MONTH(설정_코스수당!$K$2)+1,0)),DATE(YEAR(설정_코스수당!$K$2),MONTH(설정_코스수당!$K$2),2),"")</f>
        <v>46175</v>
      </c>
      <c r="C163" s="25"/>
      <c r="D163" s="23"/>
      <c r="E163" s="23"/>
      <c r="F163" s="26"/>
      <c r="G163" s="23"/>
      <c r="H163" s="23"/>
      <c r="I163" s="23"/>
      <c r="J163" s="27">
        <f>IF($O163="방문완료",MAX(0,IFERROR(VLOOKUP($E163,설정_코스수당!$A$6:$H$10,4,FALSE),0)-IF(OR($P163="",$P163="없음"),0,100000)),0)</f>
        <v>0</v>
      </c>
      <c r="K163" s="27">
        <f t="array" ref="K163">IF($O163="방문완료",IFERROR(INDEX(설정_코스수당!$B$15:$F$64,MATCH($G163,설정_코스수당!$A$15:$A$64,0),MATCH($E163&amp;"수당",설정_코스수당!$B$14:$F$14,0)),0),0)</f>
        <v>0</v>
      </c>
      <c r="L163" s="27">
        <f t="array" ref="L163">IF($O163="방문완료",IF($H163="",0,IFERROR(INDEX(설정_코스수당!$B$15:$F$64,MATCH($H163,설정_코스수당!$A$15:$A$64,0),MATCH($E163&amp;"수당",설정_코스수당!$B$14:$F$14,0)),0)),0)</f>
        <v>0</v>
      </c>
      <c r="M163" s="27">
        <f>IF($O163="방문완료",IFERROR(VLOOKUP($E163,설정_코스수당!$A$6:$H$10,6,FALSE),0),0)</f>
        <v>0</v>
      </c>
      <c r="N163" s="28">
        <f t="shared" si="4"/>
        <v>0</v>
      </c>
      <c r="O163" s="23"/>
      <c r="P163" s="23"/>
      <c r="Q163" s="23"/>
      <c r="R163" s="26"/>
      <c r="S163" s="23"/>
    </row>
    <row r="164" spans="1:19" ht="19.5" hidden="1" customHeight="1" outlineLevel="1">
      <c r="A164" s="29">
        <v>48</v>
      </c>
      <c r="B164" s="30">
        <f>IF(2&lt;=DAY(DATE(YEAR(설정_코스수당!$K$2),MONTH(설정_코스수당!$K$2)+1,0)),DATE(YEAR(설정_코스수당!$K$2),MONTH(설정_코스수당!$K$2),2),"")</f>
        <v>46175</v>
      </c>
      <c r="C164" s="31"/>
      <c r="D164" s="29"/>
      <c r="E164" s="29"/>
      <c r="F164" s="32"/>
      <c r="G164" s="29"/>
      <c r="H164" s="29"/>
      <c r="I164" s="29"/>
      <c r="J164" s="33">
        <f>IF($O164="방문완료",MAX(0,IFERROR(VLOOKUP($E164,설정_코스수당!$A$6:$H$10,4,FALSE),0)-IF(OR($P164="",$P164="없음"),0,100000)),0)</f>
        <v>0</v>
      </c>
      <c r="K164" s="33">
        <f t="array" ref="K164">IF($O164="방문완료",IFERROR(INDEX(설정_코스수당!$B$15:$F$64,MATCH($G164,설정_코스수당!$A$15:$A$64,0),MATCH($E164&amp;"수당",설정_코스수당!$B$14:$F$14,0)),0),0)</f>
        <v>0</v>
      </c>
      <c r="L164" s="33">
        <f t="array" ref="L164">IF($O164="방문완료",IF($H164="",0,IFERROR(INDEX(설정_코스수당!$B$15:$F$64,MATCH($H164,설정_코스수당!$A$15:$A$64,0),MATCH($E164&amp;"수당",설정_코스수당!$B$14:$F$14,0)),0)),0)</f>
        <v>0</v>
      </c>
      <c r="M164" s="33">
        <f>IF($O164="방문완료",IFERROR(VLOOKUP($E164,설정_코스수당!$A$6:$H$10,6,FALSE),0),0)</f>
        <v>0</v>
      </c>
      <c r="N164" s="34">
        <f t="shared" si="4"/>
        <v>0</v>
      </c>
      <c r="O164" s="29"/>
      <c r="P164" s="29"/>
      <c r="Q164" s="29"/>
      <c r="R164" s="32"/>
      <c r="S164" s="29"/>
    </row>
    <row r="165" spans="1:19" ht="19.5" hidden="1" customHeight="1" outlineLevel="1">
      <c r="A165" s="23">
        <v>49</v>
      </c>
      <c r="B165" s="24">
        <f>IF(2&lt;=DAY(DATE(YEAR(설정_코스수당!$K$2),MONTH(설정_코스수당!$K$2)+1,0)),DATE(YEAR(설정_코스수당!$K$2),MONTH(설정_코스수당!$K$2),2),"")</f>
        <v>46175</v>
      </c>
      <c r="C165" s="25"/>
      <c r="D165" s="23"/>
      <c r="E165" s="23"/>
      <c r="F165" s="26"/>
      <c r="G165" s="23"/>
      <c r="H165" s="23"/>
      <c r="I165" s="23"/>
      <c r="J165" s="27">
        <f>IF($O165="방문완료",MAX(0,IFERROR(VLOOKUP($E165,설정_코스수당!$A$6:$H$10,4,FALSE),0)-IF(OR($P165="",$P165="없음"),0,100000)),0)</f>
        <v>0</v>
      </c>
      <c r="K165" s="27">
        <f t="array" ref="K165">IF($O165="방문완료",IFERROR(INDEX(설정_코스수당!$B$15:$F$64,MATCH($G165,설정_코스수당!$A$15:$A$64,0),MATCH($E165&amp;"수당",설정_코스수당!$B$14:$F$14,0)),0),0)</f>
        <v>0</v>
      </c>
      <c r="L165" s="27">
        <f t="array" ref="L165">IF($O165="방문완료",IF($H165="",0,IFERROR(INDEX(설정_코스수당!$B$15:$F$64,MATCH($H165,설정_코스수당!$A$15:$A$64,0),MATCH($E165&amp;"수당",설정_코스수당!$B$14:$F$14,0)),0)),0)</f>
        <v>0</v>
      </c>
      <c r="M165" s="27">
        <f>IF($O165="방문완료",IFERROR(VLOOKUP($E165,설정_코스수당!$A$6:$H$10,6,FALSE),0),0)</f>
        <v>0</v>
      </c>
      <c r="N165" s="28">
        <f t="shared" si="4"/>
        <v>0</v>
      </c>
      <c r="O165" s="23"/>
      <c r="P165" s="23"/>
      <c r="Q165" s="23"/>
      <c r="R165" s="26"/>
      <c r="S165" s="23"/>
    </row>
    <row r="166" spans="1:19" ht="19.5" hidden="1" customHeight="1" outlineLevel="1">
      <c r="A166" s="29">
        <v>50</v>
      </c>
      <c r="B166" s="30">
        <f>IF(2&lt;=DAY(DATE(YEAR(설정_코스수당!$K$2),MONTH(설정_코스수당!$K$2)+1,0)),DATE(YEAR(설정_코스수당!$K$2),MONTH(설정_코스수당!$K$2),2),"")</f>
        <v>46175</v>
      </c>
      <c r="C166" s="31"/>
      <c r="D166" s="29"/>
      <c r="E166" s="29"/>
      <c r="F166" s="32"/>
      <c r="G166" s="29"/>
      <c r="H166" s="29"/>
      <c r="I166" s="29"/>
      <c r="J166" s="33">
        <f>IF($O166="방문완료",MAX(0,IFERROR(VLOOKUP($E166,설정_코스수당!$A$6:$H$10,4,FALSE),0)-IF(OR($P166="",$P166="없음"),0,100000)),0)</f>
        <v>0</v>
      </c>
      <c r="K166" s="33">
        <f t="array" ref="K166">IF($O166="방문완료",IFERROR(INDEX(설정_코스수당!$B$15:$F$64,MATCH($G166,설정_코스수당!$A$15:$A$64,0),MATCH($E166&amp;"수당",설정_코스수당!$B$14:$F$14,0)),0),0)</f>
        <v>0</v>
      </c>
      <c r="L166" s="33">
        <f t="array" ref="L166">IF($O166="방문완료",IF($H166="",0,IFERROR(INDEX(설정_코스수당!$B$15:$F$64,MATCH($H166,설정_코스수당!$A$15:$A$64,0),MATCH($E166&amp;"수당",설정_코스수당!$B$14:$F$14,0)),0)),0)</f>
        <v>0</v>
      </c>
      <c r="M166" s="33">
        <f>IF($O166="방문완료",IFERROR(VLOOKUP($E166,설정_코스수당!$A$6:$H$10,6,FALSE),0),0)</f>
        <v>0</v>
      </c>
      <c r="N166" s="34">
        <f t="shared" si="4"/>
        <v>0</v>
      </c>
      <c r="O166" s="29"/>
      <c r="P166" s="29"/>
      <c r="Q166" s="29"/>
      <c r="R166" s="32"/>
      <c r="S166" s="29"/>
    </row>
    <row r="167" spans="1:19" ht="19.5" hidden="1" customHeight="1" outlineLevel="1">
      <c r="A167" s="23">
        <v>51</v>
      </c>
      <c r="B167" s="24">
        <f>IF(2&lt;=DAY(DATE(YEAR(설정_코스수당!$K$2),MONTH(설정_코스수당!$K$2)+1,0)),DATE(YEAR(설정_코스수당!$K$2),MONTH(설정_코스수당!$K$2),2),"")</f>
        <v>46175</v>
      </c>
      <c r="C167" s="25"/>
      <c r="D167" s="23"/>
      <c r="E167" s="23"/>
      <c r="F167" s="26"/>
      <c r="G167" s="23"/>
      <c r="H167" s="23"/>
      <c r="I167" s="23"/>
      <c r="J167" s="27">
        <f>IF($O167="방문완료",MAX(0,IFERROR(VLOOKUP($E167,설정_코스수당!$A$6:$H$10,4,FALSE),0)-IF(OR($P167="",$P167="없음"),0,100000)),0)</f>
        <v>0</v>
      </c>
      <c r="K167" s="27">
        <f t="array" ref="K167">IF($O167="방문완료",IFERROR(INDEX(설정_코스수당!$B$15:$F$64,MATCH($G167,설정_코스수당!$A$15:$A$64,0),MATCH($E167&amp;"수당",설정_코스수당!$B$14:$F$14,0)),0),0)</f>
        <v>0</v>
      </c>
      <c r="L167" s="27">
        <f t="array" ref="L167">IF($O167="방문완료",IF($H167="",0,IFERROR(INDEX(설정_코스수당!$B$15:$F$64,MATCH($H167,설정_코스수당!$A$15:$A$64,0),MATCH($E167&amp;"수당",설정_코스수당!$B$14:$F$14,0)),0)),0)</f>
        <v>0</v>
      </c>
      <c r="M167" s="27">
        <f>IF($O167="방문완료",IFERROR(VLOOKUP($E167,설정_코스수당!$A$6:$H$10,6,FALSE),0),0)</f>
        <v>0</v>
      </c>
      <c r="N167" s="28">
        <f t="shared" si="4"/>
        <v>0</v>
      </c>
      <c r="O167" s="23"/>
      <c r="P167" s="23"/>
      <c r="Q167" s="23"/>
      <c r="R167" s="26"/>
      <c r="S167" s="23"/>
    </row>
    <row r="168" spans="1:19" ht="19.5" hidden="1" customHeight="1" outlineLevel="1">
      <c r="A168" s="29">
        <v>52</v>
      </c>
      <c r="B168" s="30">
        <f>IF(2&lt;=DAY(DATE(YEAR(설정_코스수당!$K$2),MONTH(설정_코스수당!$K$2)+1,0)),DATE(YEAR(설정_코스수당!$K$2),MONTH(설정_코스수당!$K$2),2),"")</f>
        <v>46175</v>
      </c>
      <c r="C168" s="31"/>
      <c r="D168" s="29"/>
      <c r="E168" s="29"/>
      <c r="F168" s="32"/>
      <c r="G168" s="29"/>
      <c r="H168" s="29"/>
      <c r="I168" s="29"/>
      <c r="J168" s="33">
        <f>IF($O168="방문완료",MAX(0,IFERROR(VLOOKUP($E168,설정_코스수당!$A$6:$H$10,4,FALSE),0)-IF(OR($P168="",$P168="없음"),0,100000)),0)</f>
        <v>0</v>
      </c>
      <c r="K168" s="33">
        <f t="array" ref="K168">IF($O168="방문완료",IFERROR(INDEX(설정_코스수당!$B$15:$F$64,MATCH($G168,설정_코스수당!$A$15:$A$64,0),MATCH($E168&amp;"수당",설정_코스수당!$B$14:$F$14,0)),0),0)</f>
        <v>0</v>
      </c>
      <c r="L168" s="33">
        <f t="array" ref="L168">IF($O168="방문완료",IF($H168="",0,IFERROR(INDEX(설정_코스수당!$B$15:$F$64,MATCH($H168,설정_코스수당!$A$15:$A$64,0),MATCH($E168&amp;"수당",설정_코스수당!$B$14:$F$14,0)),0)),0)</f>
        <v>0</v>
      </c>
      <c r="M168" s="33">
        <f>IF($O168="방문완료",IFERROR(VLOOKUP($E168,설정_코스수당!$A$6:$H$10,6,FALSE),0),0)</f>
        <v>0</v>
      </c>
      <c r="N168" s="34">
        <f t="shared" si="4"/>
        <v>0</v>
      </c>
      <c r="O168" s="29"/>
      <c r="P168" s="29"/>
      <c r="Q168" s="29"/>
      <c r="R168" s="32"/>
      <c r="S168" s="29"/>
    </row>
    <row r="169" spans="1:19" ht="19.5" hidden="1" customHeight="1" outlineLevel="1">
      <c r="A169" s="23">
        <v>53</v>
      </c>
      <c r="B169" s="24">
        <f>IF(2&lt;=DAY(DATE(YEAR(설정_코스수당!$K$2),MONTH(설정_코스수당!$K$2)+1,0)),DATE(YEAR(설정_코스수당!$K$2),MONTH(설정_코스수당!$K$2),2),"")</f>
        <v>46175</v>
      </c>
      <c r="C169" s="25"/>
      <c r="D169" s="23"/>
      <c r="E169" s="23"/>
      <c r="F169" s="26"/>
      <c r="G169" s="23"/>
      <c r="H169" s="23"/>
      <c r="I169" s="23"/>
      <c r="J169" s="27">
        <f>IF($O169="방문완료",MAX(0,IFERROR(VLOOKUP($E169,설정_코스수당!$A$6:$H$10,4,FALSE),0)-IF(OR($P169="",$P169="없음"),0,100000)),0)</f>
        <v>0</v>
      </c>
      <c r="K169" s="27">
        <f t="array" ref="K169">IF($O169="방문완료",IFERROR(INDEX(설정_코스수당!$B$15:$F$64,MATCH($G169,설정_코스수당!$A$15:$A$64,0),MATCH($E169&amp;"수당",설정_코스수당!$B$14:$F$14,0)),0),0)</f>
        <v>0</v>
      </c>
      <c r="L169" s="27">
        <f t="array" ref="L169">IF($O169="방문완료",IF($H169="",0,IFERROR(INDEX(설정_코스수당!$B$15:$F$64,MATCH($H169,설정_코스수당!$A$15:$A$64,0),MATCH($E169&amp;"수당",설정_코스수당!$B$14:$F$14,0)),0)),0)</f>
        <v>0</v>
      </c>
      <c r="M169" s="27">
        <f>IF($O169="방문완료",IFERROR(VLOOKUP($E169,설정_코스수당!$A$6:$H$10,6,FALSE),0),0)</f>
        <v>0</v>
      </c>
      <c r="N169" s="28">
        <f t="shared" si="4"/>
        <v>0</v>
      </c>
      <c r="O169" s="23"/>
      <c r="P169" s="23"/>
      <c r="Q169" s="23"/>
      <c r="R169" s="26"/>
      <c r="S169" s="23"/>
    </row>
    <row r="170" spans="1:19" ht="19.5" hidden="1" customHeight="1" outlineLevel="1">
      <c r="A170" s="29">
        <v>54</v>
      </c>
      <c r="B170" s="30">
        <f>IF(2&lt;=DAY(DATE(YEAR(설정_코스수당!$K$2),MONTH(설정_코스수당!$K$2)+1,0)),DATE(YEAR(설정_코스수당!$K$2),MONTH(설정_코스수당!$K$2),2),"")</f>
        <v>46175</v>
      </c>
      <c r="C170" s="31"/>
      <c r="D170" s="29"/>
      <c r="E170" s="29"/>
      <c r="F170" s="32"/>
      <c r="G170" s="29"/>
      <c r="H170" s="29"/>
      <c r="I170" s="29"/>
      <c r="J170" s="33">
        <f>IF($O170="방문완료",MAX(0,IFERROR(VLOOKUP($E170,설정_코스수당!$A$6:$H$10,4,FALSE),0)-IF(OR($P170="",$P170="없음"),0,100000)),0)</f>
        <v>0</v>
      </c>
      <c r="K170" s="33">
        <f t="array" ref="K170">IF($O170="방문완료",IFERROR(INDEX(설정_코스수당!$B$15:$F$64,MATCH($G170,설정_코스수당!$A$15:$A$64,0),MATCH($E170&amp;"수당",설정_코스수당!$B$14:$F$14,0)),0),0)</f>
        <v>0</v>
      </c>
      <c r="L170" s="33">
        <f t="array" ref="L170">IF($O170="방문완료",IF($H170="",0,IFERROR(INDEX(설정_코스수당!$B$15:$F$64,MATCH($H170,설정_코스수당!$A$15:$A$64,0),MATCH($E170&amp;"수당",설정_코스수당!$B$14:$F$14,0)),0)),0)</f>
        <v>0</v>
      </c>
      <c r="M170" s="33">
        <f>IF($O170="방문완료",IFERROR(VLOOKUP($E170,설정_코스수당!$A$6:$H$10,6,FALSE),0),0)</f>
        <v>0</v>
      </c>
      <c r="N170" s="34">
        <f t="shared" si="4"/>
        <v>0</v>
      </c>
      <c r="O170" s="29"/>
      <c r="P170" s="29"/>
      <c r="Q170" s="29"/>
      <c r="R170" s="32"/>
      <c r="S170" s="29"/>
    </row>
    <row r="171" spans="1:19" ht="19.5" hidden="1" customHeight="1" outlineLevel="1">
      <c r="A171" s="23">
        <v>55</v>
      </c>
      <c r="B171" s="24">
        <f>IF(2&lt;=DAY(DATE(YEAR(설정_코스수당!$K$2),MONTH(설정_코스수당!$K$2)+1,0)),DATE(YEAR(설정_코스수당!$K$2),MONTH(설정_코스수당!$K$2),2),"")</f>
        <v>46175</v>
      </c>
      <c r="C171" s="25"/>
      <c r="D171" s="23"/>
      <c r="E171" s="23"/>
      <c r="F171" s="26"/>
      <c r="G171" s="23"/>
      <c r="H171" s="23"/>
      <c r="I171" s="23"/>
      <c r="J171" s="27">
        <f>IF($O171="방문완료",MAX(0,IFERROR(VLOOKUP($E171,설정_코스수당!$A$6:$H$10,4,FALSE),0)-IF(OR($P171="",$P171="없음"),0,100000)),0)</f>
        <v>0</v>
      </c>
      <c r="K171" s="27">
        <f t="array" ref="K171">IF($O171="방문완료",IFERROR(INDEX(설정_코스수당!$B$15:$F$64,MATCH($G171,설정_코스수당!$A$15:$A$64,0),MATCH($E171&amp;"수당",설정_코스수당!$B$14:$F$14,0)),0),0)</f>
        <v>0</v>
      </c>
      <c r="L171" s="27">
        <f t="array" ref="L171">IF($O171="방문완료",IF($H171="",0,IFERROR(INDEX(설정_코스수당!$B$15:$F$64,MATCH($H171,설정_코스수당!$A$15:$A$64,0),MATCH($E171&amp;"수당",설정_코스수당!$B$14:$F$14,0)),0)),0)</f>
        <v>0</v>
      </c>
      <c r="M171" s="27">
        <f>IF($O171="방문완료",IFERROR(VLOOKUP($E171,설정_코스수당!$A$6:$H$10,6,FALSE),0),0)</f>
        <v>0</v>
      </c>
      <c r="N171" s="28">
        <f t="shared" si="4"/>
        <v>0</v>
      </c>
      <c r="O171" s="23"/>
      <c r="P171" s="23"/>
      <c r="Q171" s="23"/>
      <c r="R171" s="26"/>
      <c r="S171" s="23"/>
    </row>
    <row r="172" spans="1:19" ht="19.5" hidden="1" customHeight="1" outlineLevel="1">
      <c r="A172" s="29">
        <v>56</v>
      </c>
      <c r="B172" s="30">
        <f>IF(2&lt;=DAY(DATE(YEAR(설정_코스수당!$K$2),MONTH(설정_코스수당!$K$2)+1,0)),DATE(YEAR(설정_코스수당!$K$2),MONTH(설정_코스수당!$K$2),2),"")</f>
        <v>46175</v>
      </c>
      <c r="C172" s="31"/>
      <c r="D172" s="29"/>
      <c r="E172" s="29"/>
      <c r="F172" s="32"/>
      <c r="G172" s="29"/>
      <c r="H172" s="29"/>
      <c r="I172" s="29"/>
      <c r="J172" s="33">
        <f>IF($O172="방문완료",MAX(0,IFERROR(VLOOKUP($E172,설정_코스수당!$A$6:$H$10,4,FALSE),0)-IF(OR($P172="",$P172="없음"),0,100000)),0)</f>
        <v>0</v>
      </c>
      <c r="K172" s="33">
        <f t="array" ref="K172">IF($O172="방문완료",IFERROR(INDEX(설정_코스수당!$B$15:$F$64,MATCH($G172,설정_코스수당!$A$15:$A$64,0),MATCH($E172&amp;"수당",설정_코스수당!$B$14:$F$14,0)),0),0)</f>
        <v>0</v>
      </c>
      <c r="L172" s="33">
        <f t="array" ref="L172">IF($O172="방문완료",IF($H172="",0,IFERROR(INDEX(설정_코스수당!$B$15:$F$64,MATCH($H172,설정_코스수당!$A$15:$A$64,0),MATCH($E172&amp;"수당",설정_코스수당!$B$14:$F$14,0)),0)),0)</f>
        <v>0</v>
      </c>
      <c r="M172" s="33">
        <f>IF($O172="방문완료",IFERROR(VLOOKUP($E172,설정_코스수당!$A$6:$H$10,6,FALSE),0),0)</f>
        <v>0</v>
      </c>
      <c r="N172" s="34">
        <f t="shared" si="4"/>
        <v>0</v>
      </c>
      <c r="O172" s="29"/>
      <c r="P172" s="29"/>
      <c r="Q172" s="29"/>
      <c r="R172" s="32"/>
      <c r="S172" s="29"/>
    </row>
    <row r="173" spans="1:19" ht="19.5" hidden="1" customHeight="1" outlineLevel="1">
      <c r="A173" s="23">
        <v>57</v>
      </c>
      <c r="B173" s="24">
        <f>IF(2&lt;=DAY(DATE(YEAR(설정_코스수당!$K$2),MONTH(설정_코스수당!$K$2)+1,0)),DATE(YEAR(설정_코스수당!$K$2),MONTH(설정_코스수당!$K$2),2),"")</f>
        <v>46175</v>
      </c>
      <c r="C173" s="25"/>
      <c r="D173" s="23"/>
      <c r="E173" s="23"/>
      <c r="F173" s="26"/>
      <c r="G173" s="23"/>
      <c r="H173" s="23"/>
      <c r="I173" s="23"/>
      <c r="J173" s="27">
        <f>IF($O173="방문완료",MAX(0,IFERROR(VLOOKUP($E173,설정_코스수당!$A$6:$H$10,4,FALSE),0)-IF(OR($P173="",$P173="없음"),0,100000)),0)</f>
        <v>0</v>
      </c>
      <c r="K173" s="27">
        <f t="array" ref="K173">IF($O173="방문완료",IFERROR(INDEX(설정_코스수당!$B$15:$F$64,MATCH($G173,설정_코스수당!$A$15:$A$64,0),MATCH($E173&amp;"수당",설정_코스수당!$B$14:$F$14,0)),0),0)</f>
        <v>0</v>
      </c>
      <c r="L173" s="27">
        <f t="array" ref="L173">IF($O173="방문완료",IF($H173="",0,IFERROR(INDEX(설정_코스수당!$B$15:$F$64,MATCH($H173,설정_코스수당!$A$15:$A$64,0),MATCH($E173&amp;"수당",설정_코스수당!$B$14:$F$14,0)),0)),0)</f>
        <v>0</v>
      </c>
      <c r="M173" s="27">
        <f>IF($O173="방문완료",IFERROR(VLOOKUP($E173,설정_코스수당!$A$6:$H$10,6,FALSE),0),0)</f>
        <v>0</v>
      </c>
      <c r="N173" s="28">
        <f t="shared" si="4"/>
        <v>0</v>
      </c>
      <c r="O173" s="23"/>
      <c r="P173" s="23"/>
      <c r="Q173" s="23"/>
      <c r="R173" s="26"/>
      <c r="S173" s="23"/>
    </row>
    <row r="174" spans="1:19" ht="19.5" hidden="1" customHeight="1" outlineLevel="1">
      <c r="A174" s="29">
        <v>58</v>
      </c>
      <c r="B174" s="30">
        <f>IF(2&lt;=DAY(DATE(YEAR(설정_코스수당!$K$2),MONTH(설정_코스수당!$K$2)+1,0)),DATE(YEAR(설정_코스수당!$K$2),MONTH(설정_코스수당!$K$2),2),"")</f>
        <v>46175</v>
      </c>
      <c r="C174" s="31"/>
      <c r="D174" s="29"/>
      <c r="E174" s="29"/>
      <c r="F174" s="32"/>
      <c r="G174" s="29"/>
      <c r="H174" s="29"/>
      <c r="I174" s="29"/>
      <c r="J174" s="33">
        <f>IF($O174="방문완료",MAX(0,IFERROR(VLOOKUP($E174,설정_코스수당!$A$6:$H$10,4,FALSE),0)-IF(OR($P174="",$P174="없음"),0,100000)),0)</f>
        <v>0</v>
      </c>
      <c r="K174" s="33">
        <f t="array" ref="K174">IF($O174="방문완료",IFERROR(INDEX(설정_코스수당!$B$15:$F$64,MATCH($G174,설정_코스수당!$A$15:$A$64,0),MATCH($E174&amp;"수당",설정_코스수당!$B$14:$F$14,0)),0),0)</f>
        <v>0</v>
      </c>
      <c r="L174" s="33">
        <f t="array" ref="L174">IF($O174="방문완료",IF($H174="",0,IFERROR(INDEX(설정_코스수당!$B$15:$F$64,MATCH($H174,설정_코스수당!$A$15:$A$64,0),MATCH($E174&amp;"수당",설정_코스수당!$B$14:$F$14,0)),0)),0)</f>
        <v>0</v>
      </c>
      <c r="M174" s="33">
        <f>IF($O174="방문완료",IFERROR(VLOOKUP($E174,설정_코스수당!$A$6:$H$10,6,FALSE),0),0)</f>
        <v>0</v>
      </c>
      <c r="N174" s="34">
        <f t="shared" si="4"/>
        <v>0</v>
      </c>
      <c r="O174" s="29"/>
      <c r="P174" s="29"/>
      <c r="Q174" s="29"/>
      <c r="R174" s="32"/>
      <c r="S174" s="29"/>
    </row>
    <row r="175" spans="1:19" ht="19.5" hidden="1" customHeight="1" outlineLevel="1">
      <c r="A175" s="23">
        <v>59</v>
      </c>
      <c r="B175" s="24">
        <f>IF(2&lt;=DAY(DATE(YEAR(설정_코스수당!$K$2),MONTH(설정_코스수당!$K$2)+1,0)),DATE(YEAR(설정_코스수당!$K$2),MONTH(설정_코스수당!$K$2),2),"")</f>
        <v>46175</v>
      </c>
      <c r="C175" s="25"/>
      <c r="D175" s="23"/>
      <c r="E175" s="23"/>
      <c r="F175" s="26"/>
      <c r="G175" s="23"/>
      <c r="H175" s="23"/>
      <c r="I175" s="23"/>
      <c r="J175" s="27">
        <f>IF($O175="방문완료",MAX(0,IFERROR(VLOOKUP($E175,설정_코스수당!$A$6:$H$10,4,FALSE),0)-IF(OR($P175="",$P175="없음"),0,100000)),0)</f>
        <v>0</v>
      </c>
      <c r="K175" s="27">
        <f t="array" ref="K175">IF($O175="방문완료",IFERROR(INDEX(설정_코스수당!$B$15:$F$64,MATCH($G175,설정_코스수당!$A$15:$A$64,0),MATCH($E175&amp;"수당",설정_코스수당!$B$14:$F$14,0)),0),0)</f>
        <v>0</v>
      </c>
      <c r="L175" s="27">
        <f t="array" ref="L175">IF($O175="방문완료",IF($H175="",0,IFERROR(INDEX(설정_코스수당!$B$15:$F$64,MATCH($H175,설정_코스수당!$A$15:$A$64,0),MATCH($E175&amp;"수당",설정_코스수당!$B$14:$F$14,0)),0)),0)</f>
        <v>0</v>
      </c>
      <c r="M175" s="27">
        <f>IF($O175="방문완료",IFERROR(VLOOKUP($E175,설정_코스수당!$A$6:$H$10,6,FALSE),0),0)</f>
        <v>0</v>
      </c>
      <c r="N175" s="28">
        <f t="shared" si="4"/>
        <v>0</v>
      </c>
      <c r="O175" s="23"/>
      <c r="P175" s="23"/>
      <c r="Q175" s="23"/>
      <c r="R175" s="26"/>
      <c r="S175" s="23"/>
    </row>
    <row r="176" spans="1:19" ht="19.5" hidden="1" customHeight="1" outlineLevel="1">
      <c r="A176" s="29">
        <v>60</v>
      </c>
      <c r="B176" s="30">
        <f>IF(2&lt;=DAY(DATE(YEAR(설정_코스수당!$K$2),MONTH(설정_코스수당!$K$2)+1,0)),DATE(YEAR(설정_코스수당!$K$2),MONTH(설정_코스수당!$K$2),2),"")</f>
        <v>46175</v>
      </c>
      <c r="C176" s="31"/>
      <c r="D176" s="29"/>
      <c r="E176" s="29"/>
      <c r="F176" s="32"/>
      <c r="G176" s="29"/>
      <c r="H176" s="29"/>
      <c r="I176" s="29"/>
      <c r="J176" s="33">
        <f>IF($O176="방문완료",MAX(0,IFERROR(VLOOKUP($E176,설정_코스수당!$A$6:$H$10,4,FALSE),0)-IF(OR($P176="",$P176="없음"),0,100000)),0)</f>
        <v>0</v>
      </c>
      <c r="K176" s="33">
        <f t="array" ref="K176">IF($O176="방문완료",IFERROR(INDEX(설정_코스수당!$B$15:$F$64,MATCH($G176,설정_코스수당!$A$15:$A$64,0),MATCH($E176&amp;"수당",설정_코스수당!$B$14:$F$14,0)),0),0)</f>
        <v>0</v>
      </c>
      <c r="L176" s="33">
        <f t="array" ref="L176">IF($O176="방문완료",IF($H176="",0,IFERROR(INDEX(설정_코스수당!$B$15:$F$64,MATCH($H176,설정_코스수당!$A$15:$A$64,0),MATCH($E176&amp;"수당",설정_코스수당!$B$14:$F$14,0)),0)),0)</f>
        <v>0</v>
      </c>
      <c r="M176" s="33">
        <f>IF($O176="방문완료",IFERROR(VLOOKUP($E176,설정_코스수당!$A$6:$H$10,6,FALSE),0),0)</f>
        <v>0</v>
      </c>
      <c r="N176" s="34">
        <f t="shared" si="4"/>
        <v>0</v>
      </c>
      <c r="O176" s="29"/>
      <c r="P176" s="29"/>
      <c r="Q176" s="29"/>
      <c r="R176" s="32"/>
      <c r="S176" s="29"/>
    </row>
    <row r="177" spans="1:19" ht="19.5" hidden="1" customHeight="1" outlineLevel="1">
      <c r="A177" s="23">
        <v>61</v>
      </c>
      <c r="B177" s="24">
        <f>IF(2&lt;=DAY(DATE(YEAR(설정_코스수당!$K$2),MONTH(설정_코스수당!$K$2)+1,0)),DATE(YEAR(설정_코스수당!$K$2),MONTH(설정_코스수당!$K$2),2),"")</f>
        <v>46175</v>
      </c>
      <c r="C177" s="25"/>
      <c r="D177" s="23"/>
      <c r="E177" s="23"/>
      <c r="F177" s="26"/>
      <c r="G177" s="23"/>
      <c r="H177" s="23"/>
      <c r="I177" s="23"/>
      <c r="J177" s="27">
        <f>IF($O177="방문완료",MAX(0,IFERROR(VLOOKUP($E177,설정_코스수당!$A$6:$H$10,4,FALSE),0)-IF(OR($P177="",$P177="없음"),0,100000)),0)</f>
        <v>0</v>
      </c>
      <c r="K177" s="27">
        <f t="array" ref="K177">IF($O177="방문완료",IFERROR(INDEX(설정_코스수당!$B$15:$F$64,MATCH($G177,설정_코스수당!$A$15:$A$64,0),MATCH($E177&amp;"수당",설정_코스수당!$B$14:$F$14,0)),0),0)</f>
        <v>0</v>
      </c>
      <c r="L177" s="27">
        <f t="array" ref="L177">IF($O177="방문완료",IF($H177="",0,IFERROR(INDEX(설정_코스수당!$B$15:$F$64,MATCH($H177,설정_코스수당!$A$15:$A$64,0),MATCH($E177&amp;"수당",설정_코스수당!$B$14:$F$14,0)),0)),0)</f>
        <v>0</v>
      </c>
      <c r="M177" s="27">
        <f>IF($O177="방문완료",IFERROR(VLOOKUP($E177,설정_코스수당!$A$6:$H$10,6,FALSE),0),0)</f>
        <v>0</v>
      </c>
      <c r="N177" s="28">
        <f t="shared" si="4"/>
        <v>0</v>
      </c>
      <c r="O177" s="23"/>
      <c r="P177" s="23"/>
      <c r="Q177" s="23"/>
      <c r="R177" s="26"/>
      <c r="S177" s="23"/>
    </row>
    <row r="178" spans="1:19" ht="19.5" hidden="1" customHeight="1" outlineLevel="1">
      <c r="A178" s="29">
        <v>62</v>
      </c>
      <c r="B178" s="30">
        <f>IF(2&lt;=DAY(DATE(YEAR(설정_코스수당!$K$2),MONTH(설정_코스수당!$K$2)+1,0)),DATE(YEAR(설정_코스수당!$K$2),MONTH(설정_코스수당!$K$2),2),"")</f>
        <v>46175</v>
      </c>
      <c r="C178" s="31"/>
      <c r="D178" s="29"/>
      <c r="E178" s="29"/>
      <c r="F178" s="32"/>
      <c r="G178" s="29"/>
      <c r="H178" s="29"/>
      <c r="I178" s="29"/>
      <c r="J178" s="33">
        <f>IF($O178="방문완료",MAX(0,IFERROR(VLOOKUP($E178,설정_코스수당!$A$6:$H$10,4,FALSE),0)-IF(OR($P178="",$P178="없음"),0,100000)),0)</f>
        <v>0</v>
      </c>
      <c r="K178" s="33">
        <f t="array" ref="K178">IF($O178="방문완료",IFERROR(INDEX(설정_코스수당!$B$15:$F$64,MATCH($G178,설정_코스수당!$A$15:$A$64,0),MATCH($E178&amp;"수당",설정_코스수당!$B$14:$F$14,0)),0),0)</f>
        <v>0</v>
      </c>
      <c r="L178" s="33">
        <f t="array" ref="L178">IF($O178="방문완료",IF($H178="",0,IFERROR(INDEX(설정_코스수당!$B$15:$F$64,MATCH($H178,설정_코스수당!$A$15:$A$64,0),MATCH($E178&amp;"수당",설정_코스수당!$B$14:$F$14,0)),0)),0)</f>
        <v>0</v>
      </c>
      <c r="M178" s="33">
        <f>IF($O178="방문완료",IFERROR(VLOOKUP($E178,설정_코스수당!$A$6:$H$10,6,FALSE),0),0)</f>
        <v>0</v>
      </c>
      <c r="N178" s="34">
        <f t="shared" si="4"/>
        <v>0</v>
      </c>
      <c r="O178" s="29"/>
      <c r="P178" s="29"/>
      <c r="Q178" s="29"/>
      <c r="R178" s="32"/>
      <c r="S178" s="29"/>
    </row>
    <row r="179" spans="1:19" ht="19.5" hidden="1" customHeight="1" outlineLevel="1">
      <c r="A179" s="23">
        <v>63</v>
      </c>
      <c r="B179" s="24">
        <f>IF(2&lt;=DAY(DATE(YEAR(설정_코스수당!$K$2),MONTH(설정_코스수당!$K$2)+1,0)),DATE(YEAR(설정_코스수당!$K$2),MONTH(설정_코스수당!$K$2),2),"")</f>
        <v>46175</v>
      </c>
      <c r="C179" s="25"/>
      <c r="D179" s="23"/>
      <c r="E179" s="23"/>
      <c r="F179" s="26"/>
      <c r="G179" s="23"/>
      <c r="H179" s="23"/>
      <c r="I179" s="23"/>
      <c r="J179" s="27">
        <f>IF($O179="방문완료",MAX(0,IFERROR(VLOOKUP($E179,설정_코스수당!$A$6:$H$10,4,FALSE),0)-IF(OR($P179="",$P179="없음"),0,100000)),0)</f>
        <v>0</v>
      </c>
      <c r="K179" s="27">
        <f t="array" ref="K179">IF($O179="방문완료",IFERROR(INDEX(설정_코스수당!$B$15:$F$64,MATCH($G179,설정_코스수당!$A$15:$A$64,0),MATCH($E179&amp;"수당",설정_코스수당!$B$14:$F$14,0)),0),0)</f>
        <v>0</v>
      </c>
      <c r="L179" s="27">
        <f t="array" ref="L179">IF($O179="방문완료",IF($H179="",0,IFERROR(INDEX(설정_코스수당!$B$15:$F$64,MATCH($H179,설정_코스수당!$A$15:$A$64,0),MATCH($E179&amp;"수당",설정_코스수당!$B$14:$F$14,0)),0)),0)</f>
        <v>0</v>
      </c>
      <c r="M179" s="27">
        <f>IF($O179="방문완료",IFERROR(VLOOKUP($E179,설정_코스수당!$A$6:$H$10,6,FALSE),0),0)</f>
        <v>0</v>
      </c>
      <c r="N179" s="28">
        <f t="shared" si="4"/>
        <v>0</v>
      </c>
      <c r="O179" s="23"/>
      <c r="P179" s="23"/>
      <c r="Q179" s="23"/>
      <c r="R179" s="26"/>
      <c r="S179" s="23"/>
    </row>
    <row r="180" spans="1:19" ht="19.5" hidden="1" customHeight="1" outlineLevel="1">
      <c r="A180" s="29">
        <v>64</v>
      </c>
      <c r="B180" s="30">
        <f>IF(2&lt;=DAY(DATE(YEAR(설정_코스수당!$K$2),MONTH(설정_코스수당!$K$2)+1,0)),DATE(YEAR(설정_코스수당!$K$2),MONTH(설정_코스수당!$K$2),2),"")</f>
        <v>46175</v>
      </c>
      <c r="C180" s="31"/>
      <c r="D180" s="29"/>
      <c r="E180" s="29"/>
      <c r="F180" s="32"/>
      <c r="G180" s="29"/>
      <c r="H180" s="29"/>
      <c r="I180" s="29"/>
      <c r="J180" s="33">
        <f>IF($O180="방문완료",MAX(0,IFERROR(VLOOKUP($E180,설정_코스수당!$A$6:$H$10,4,FALSE),0)-IF(OR($P180="",$P180="없음"),0,100000)),0)</f>
        <v>0</v>
      </c>
      <c r="K180" s="33">
        <f t="array" ref="K180">IF($O180="방문완료",IFERROR(INDEX(설정_코스수당!$B$15:$F$64,MATCH($G180,설정_코스수당!$A$15:$A$64,0),MATCH($E180&amp;"수당",설정_코스수당!$B$14:$F$14,0)),0),0)</f>
        <v>0</v>
      </c>
      <c r="L180" s="33">
        <f t="array" ref="L180">IF($O180="방문완료",IF($H180="",0,IFERROR(INDEX(설정_코스수당!$B$15:$F$64,MATCH($H180,설정_코스수당!$A$15:$A$64,0),MATCH($E180&amp;"수당",설정_코스수당!$B$14:$F$14,0)),0)),0)</f>
        <v>0</v>
      </c>
      <c r="M180" s="33">
        <f>IF($O180="방문완료",IFERROR(VLOOKUP($E180,설정_코스수당!$A$6:$H$10,6,FALSE),0),0)</f>
        <v>0</v>
      </c>
      <c r="N180" s="34">
        <f t="shared" si="4"/>
        <v>0</v>
      </c>
      <c r="O180" s="29"/>
      <c r="P180" s="29"/>
      <c r="Q180" s="29"/>
      <c r="R180" s="32"/>
      <c r="S180" s="29"/>
    </row>
    <row r="181" spans="1:19" ht="19.5" hidden="1" customHeight="1" outlineLevel="1">
      <c r="A181" s="23">
        <v>65</v>
      </c>
      <c r="B181" s="24">
        <f>IF(2&lt;=DAY(DATE(YEAR(설정_코스수당!$K$2),MONTH(설정_코스수당!$K$2)+1,0)),DATE(YEAR(설정_코스수당!$K$2),MONTH(설정_코스수당!$K$2),2),"")</f>
        <v>46175</v>
      </c>
      <c r="C181" s="25"/>
      <c r="D181" s="23"/>
      <c r="E181" s="23"/>
      <c r="F181" s="26"/>
      <c r="G181" s="23"/>
      <c r="H181" s="23"/>
      <c r="I181" s="23"/>
      <c r="J181" s="27">
        <f>IF($O181="방문완료",MAX(0,IFERROR(VLOOKUP($E181,설정_코스수당!$A$6:$H$10,4,FALSE),0)-IF(OR($P181="",$P181="없음"),0,100000)),0)</f>
        <v>0</v>
      </c>
      <c r="K181" s="27">
        <f t="array" ref="K181">IF($O181="방문완료",IFERROR(INDEX(설정_코스수당!$B$15:$F$64,MATCH($G181,설정_코스수당!$A$15:$A$64,0),MATCH($E181&amp;"수당",설정_코스수당!$B$14:$F$14,0)),0),0)</f>
        <v>0</v>
      </c>
      <c r="L181" s="27">
        <f t="array" ref="L181">IF($O181="방문완료",IF($H181="",0,IFERROR(INDEX(설정_코스수당!$B$15:$F$64,MATCH($H181,설정_코스수당!$A$15:$A$64,0),MATCH($E181&amp;"수당",설정_코스수당!$B$14:$F$14,0)),0)),0)</f>
        <v>0</v>
      </c>
      <c r="M181" s="27">
        <f>IF($O181="방문완료",IFERROR(VLOOKUP($E181,설정_코스수당!$A$6:$H$10,6,FALSE),0),0)</f>
        <v>0</v>
      </c>
      <c r="N181" s="28">
        <f t="shared" ref="N181:N216" si="5">IF($O181="방문완료",1,0)</f>
        <v>0</v>
      </c>
      <c r="O181" s="23"/>
      <c r="P181" s="23"/>
      <c r="Q181" s="23"/>
      <c r="R181" s="26"/>
      <c r="S181" s="23"/>
    </row>
    <row r="182" spans="1:19" ht="19.5" hidden="1" customHeight="1" outlineLevel="1">
      <c r="A182" s="29">
        <v>66</v>
      </c>
      <c r="B182" s="30">
        <f>IF(2&lt;=DAY(DATE(YEAR(설정_코스수당!$K$2),MONTH(설정_코스수당!$K$2)+1,0)),DATE(YEAR(설정_코스수당!$K$2),MONTH(설정_코스수당!$K$2),2),"")</f>
        <v>46175</v>
      </c>
      <c r="C182" s="31"/>
      <c r="D182" s="29"/>
      <c r="E182" s="29"/>
      <c r="F182" s="32"/>
      <c r="G182" s="29"/>
      <c r="H182" s="29"/>
      <c r="I182" s="29"/>
      <c r="J182" s="33">
        <f>IF($O182="방문완료",MAX(0,IFERROR(VLOOKUP($E182,설정_코스수당!$A$6:$H$10,4,FALSE),0)-IF(OR($P182="",$P182="없음"),0,100000)),0)</f>
        <v>0</v>
      </c>
      <c r="K182" s="33">
        <f t="array" ref="K182">IF($O182="방문완료",IFERROR(INDEX(설정_코스수당!$B$15:$F$64,MATCH($G182,설정_코스수당!$A$15:$A$64,0),MATCH($E182&amp;"수당",설정_코스수당!$B$14:$F$14,0)),0),0)</f>
        <v>0</v>
      </c>
      <c r="L182" s="33">
        <f t="array" ref="L182">IF($O182="방문완료",IF($H182="",0,IFERROR(INDEX(설정_코스수당!$B$15:$F$64,MATCH($H182,설정_코스수당!$A$15:$A$64,0),MATCH($E182&amp;"수당",설정_코스수당!$B$14:$F$14,0)),0)),0)</f>
        <v>0</v>
      </c>
      <c r="M182" s="33">
        <f>IF($O182="방문완료",IFERROR(VLOOKUP($E182,설정_코스수당!$A$6:$H$10,6,FALSE),0),0)</f>
        <v>0</v>
      </c>
      <c r="N182" s="34">
        <f t="shared" si="5"/>
        <v>0</v>
      </c>
      <c r="O182" s="29"/>
      <c r="P182" s="29"/>
      <c r="Q182" s="29"/>
      <c r="R182" s="32"/>
      <c r="S182" s="29"/>
    </row>
    <row r="183" spans="1:19" ht="19.5" hidden="1" customHeight="1" outlineLevel="1">
      <c r="A183" s="23">
        <v>67</v>
      </c>
      <c r="B183" s="24">
        <f>IF(2&lt;=DAY(DATE(YEAR(설정_코스수당!$K$2),MONTH(설정_코스수당!$K$2)+1,0)),DATE(YEAR(설정_코스수당!$K$2),MONTH(설정_코스수당!$K$2),2),"")</f>
        <v>46175</v>
      </c>
      <c r="C183" s="25"/>
      <c r="D183" s="23"/>
      <c r="E183" s="23"/>
      <c r="F183" s="26"/>
      <c r="G183" s="23"/>
      <c r="H183" s="23"/>
      <c r="I183" s="23"/>
      <c r="J183" s="27">
        <f>IF($O183="방문완료",MAX(0,IFERROR(VLOOKUP($E183,설정_코스수당!$A$6:$H$10,4,FALSE),0)-IF(OR($P183="",$P183="없음"),0,100000)),0)</f>
        <v>0</v>
      </c>
      <c r="K183" s="27">
        <f t="array" ref="K183">IF($O183="방문완료",IFERROR(INDEX(설정_코스수당!$B$15:$F$64,MATCH($G183,설정_코스수당!$A$15:$A$64,0),MATCH($E183&amp;"수당",설정_코스수당!$B$14:$F$14,0)),0),0)</f>
        <v>0</v>
      </c>
      <c r="L183" s="27">
        <f t="array" ref="L183">IF($O183="방문완료",IF($H183="",0,IFERROR(INDEX(설정_코스수당!$B$15:$F$64,MATCH($H183,설정_코스수당!$A$15:$A$64,0),MATCH($E183&amp;"수당",설정_코스수당!$B$14:$F$14,0)),0)),0)</f>
        <v>0</v>
      </c>
      <c r="M183" s="27">
        <f>IF($O183="방문완료",IFERROR(VLOOKUP($E183,설정_코스수당!$A$6:$H$10,6,FALSE),0),0)</f>
        <v>0</v>
      </c>
      <c r="N183" s="28">
        <f t="shared" si="5"/>
        <v>0</v>
      </c>
      <c r="O183" s="23"/>
      <c r="P183" s="23"/>
      <c r="Q183" s="23"/>
      <c r="R183" s="26"/>
      <c r="S183" s="23"/>
    </row>
    <row r="184" spans="1:19" ht="19.5" hidden="1" customHeight="1" outlineLevel="1">
      <c r="A184" s="29">
        <v>68</v>
      </c>
      <c r="B184" s="30">
        <f>IF(2&lt;=DAY(DATE(YEAR(설정_코스수당!$K$2),MONTH(설정_코스수당!$K$2)+1,0)),DATE(YEAR(설정_코스수당!$K$2),MONTH(설정_코스수당!$K$2),2),"")</f>
        <v>46175</v>
      </c>
      <c r="C184" s="31"/>
      <c r="D184" s="29"/>
      <c r="E184" s="29"/>
      <c r="F184" s="32"/>
      <c r="G184" s="29"/>
      <c r="H184" s="29"/>
      <c r="I184" s="29"/>
      <c r="J184" s="33">
        <f>IF($O184="방문완료",MAX(0,IFERROR(VLOOKUP($E184,설정_코스수당!$A$6:$H$10,4,FALSE),0)-IF(OR($P184="",$P184="없음"),0,100000)),0)</f>
        <v>0</v>
      </c>
      <c r="K184" s="33">
        <f t="array" ref="K184">IF($O184="방문완료",IFERROR(INDEX(설정_코스수당!$B$15:$F$64,MATCH($G184,설정_코스수당!$A$15:$A$64,0),MATCH($E184&amp;"수당",설정_코스수당!$B$14:$F$14,0)),0),0)</f>
        <v>0</v>
      </c>
      <c r="L184" s="33">
        <f t="array" ref="L184">IF($O184="방문완료",IF($H184="",0,IFERROR(INDEX(설정_코스수당!$B$15:$F$64,MATCH($H184,설정_코스수당!$A$15:$A$64,0),MATCH($E184&amp;"수당",설정_코스수당!$B$14:$F$14,0)),0)),0)</f>
        <v>0</v>
      </c>
      <c r="M184" s="33">
        <f>IF($O184="방문완료",IFERROR(VLOOKUP($E184,설정_코스수당!$A$6:$H$10,6,FALSE),0),0)</f>
        <v>0</v>
      </c>
      <c r="N184" s="34">
        <f t="shared" si="5"/>
        <v>0</v>
      </c>
      <c r="O184" s="29"/>
      <c r="P184" s="29"/>
      <c r="Q184" s="29"/>
      <c r="R184" s="32"/>
      <c r="S184" s="29"/>
    </row>
    <row r="185" spans="1:19" ht="19.5" hidden="1" customHeight="1" outlineLevel="1">
      <c r="A185" s="23">
        <v>69</v>
      </c>
      <c r="B185" s="24">
        <f>IF(2&lt;=DAY(DATE(YEAR(설정_코스수당!$K$2),MONTH(설정_코스수당!$K$2)+1,0)),DATE(YEAR(설정_코스수당!$K$2),MONTH(설정_코스수당!$K$2),2),"")</f>
        <v>46175</v>
      </c>
      <c r="C185" s="25"/>
      <c r="D185" s="23"/>
      <c r="E185" s="23"/>
      <c r="F185" s="26"/>
      <c r="G185" s="23"/>
      <c r="H185" s="23"/>
      <c r="I185" s="23"/>
      <c r="J185" s="27">
        <f>IF($O185="방문완료",MAX(0,IFERROR(VLOOKUP($E185,설정_코스수당!$A$6:$H$10,4,FALSE),0)-IF(OR($P185="",$P185="없음"),0,100000)),0)</f>
        <v>0</v>
      </c>
      <c r="K185" s="27">
        <f t="array" ref="K185">IF($O185="방문완료",IFERROR(INDEX(설정_코스수당!$B$15:$F$64,MATCH($G185,설정_코스수당!$A$15:$A$64,0),MATCH($E185&amp;"수당",설정_코스수당!$B$14:$F$14,0)),0),0)</f>
        <v>0</v>
      </c>
      <c r="L185" s="27">
        <f t="array" ref="L185">IF($O185="방문완료",IF($H185="",0,IFERROR(INDEX(설정_코스수당!$B$15:$F$64,MATCH($H185,설정_코스수당!$A$15:$A$64,0),MATCH($E185&amp;"수당",설정_코스수당!$B$14:$F$14,0)),0)),0)</f>
        <v>0</v>
      </c>
      <c r="M185" s="27">
        <f>IF($O185="방문완료",IFERROR(VLOOKUP($E185,설정_코스수당!$A$6:$H$10,6,FALSE),0),0)</f>
        <v>0</v>
      </c>
      <c r="N185" s="28">
        <f t="shared" si="5"/>
        <v>0</v>
      </c>
      <c r="O185" s="23"/>
      <c r="P185" s="23"/>
      <c r="Q185" s="23"/>
      <c r="R185" s="26"/>
      <c r="S185" s="23"/>
    </row>
    <row r="186" spans="1:19" ht="19.5" hidden="1" customHeight="1" outlineLevel="1">
      <c r="A186" s="29">
        <v>70</v>
      </c>
      <c r="B186" s="30">
        <f>IF(2&lt;=DAY(DATE(YEAR(설정_코스수당!$K$2),MONTH(설정_코스수당!$K$2)+1,0)),DATE(YEAR(설정_코스수당!$K$2),MONTH(설정_코스수당!$K$2),2),"")</f>
        <v>46175</v>
      </c>
      <c r="C186" s="31"/>
      <c r="D186" s="29"/>
      <c r="E186" s="29"/>
      <c r="F186" s="32"/>
      <c r="G186" s="29"/>
      <c r="H186" s="29"/>
      <c r="I186" s="29"/>
      <c r="J186" s="33">
        <f>IF($O186="방문완료",MAX(0,IFERROR(VLOOKUP($E186,설정_코스수당!$A$6:$H$10,4,FALSE),0)-IF(OR($P186="",$P186="없음"),0,100000)),0)</f>
        <v>0</v>
      </c>
      <c r="K186" s="33">
        <f t="array" ref="K186">IF($O186="방문완료",IFERROR(INDEX(설정_코스수당!$B$15:$F$64,MATCH($G186,설정_코스수당!$A$15:$A$64,0),MATCH($E186&amp;"수당",설정_코스수당!$B$14:$F$14,0)),0),0)</f>
        <v>0</v>
      </c>
      <c r="L186" s="33">
        <f t="array" ref="L186">IF($O186="방문완료",IF($H186="",0,IFERROR(INDEX(설정_코스수당!$B$15:$F$64,MATCH($H186,설정_코스수당!$A$15:$A$64,0),MATCH($E186&amp;"수당",설정_코스수당!$B$14:$F$14,0)),0)),0)</f>
        <v>0</v>
      </c>
      <c r="M186" s="33">
        <f>IF($O186="방문완료",IFERROR(VLOOKUP($E186,설정_코스수당!$A$6:$H$10,6,FALSE),0),0)</f>
        <v>0</v>
      </c>
      <c r="N186" s="34">
        <f t="shared" si="5"/>
        <v>0</v>
      </c>
      <c r="O186" s="29"/>
      <c r="P186" s="29"/>
      <c r="Q186" s="29"/>
      <c r="R186" s="32"/>
      <c r="S186" s="29"/>
    </row>
    <row r="187" spans="1:19" ht="19.5" hidden="1" customHeight="1" outlineLevel="1">
      <c r="A187" s="23">
        <v>71</v>
      </c>
      <c r="B187" s="24">
        <f>IF(2&lt;=DAY(DATE(YEAR(설정_코스수당!$K$2),MONTH(설정_코스수당!$K$2)+1,0)),DATE(YEAR(설정_코스수당!$K$2),MONTH(설정_코스수당!$K$2),2),"")</f>
        <v>46175</v>
      </c>
      <c r="C187" s="25"/>
      <c r="D187" s="23"/>
      <c r="E187" s="23"/>
      <c r="F187" s="26"/>
      <c r="G187" s="23"/>
      <c r="H187" s="23"/>
      <c r="I187" s="23"/>
      <c r="J187" s="27">
        <f>IF($O187="방문완료",MAX(0,IFERROR(VLOOKUP($E187,설정_코스수당!$A$6:$H$10,4,FALSE),0)-IF(OR($P187="",$P187="없음"),0,100000)),0)</f>
        <v>0</v>
      </c>
      <c r="K187" s="27">
        <f t="array" ref="K187">IF($O187="방문완료",IFERROR(INDEX(설정_코스수당!$B$15:$F$64,MATCH($G187,설정_코스수당!$A$15:$A$64,0),MATCH($E187&amp;"수당",설정_코스수당!$B$14:$F$14,0)),0),0)</f>
        <v>0</v>
      </c>
      <c r="L187" s="27">
        <f t="array" ref="L187">IF($O187="방문완료",IF($H187="",0,IFERROR(INDEX(설정_코스수당!$B$15:$F$64,MATCH($H187,설정_코스수당!$A$15:$A$64,0),MATCH($E187&amp;"수당",설정_코스수당!$B$14:$F$14,0)),0)),0)</f>
        <v>0</v>
      </c>
      <c r="M187" s="27">
        <f>IF($O187="방문완료",IFERROR(VLOOKUP($E187,설정_코스수당!$A$6:$H$10,6,FALSE),0),0)</f>
        <v>0</v>
      </c>
      <c r="N187" s="28">
        <f t="shared" si="5"/>
        <v>0</v>
      </c>
      <c r="O187" s="23"/>
      <c r="P187" s="23"/>
      <c r="Q187" s="23"/>
      <c r="R187" s="26"/>
      <c r="S187" s="23"/>
    </row>
    <row r="188" spans="1:19" ht="19.5" hidden="1" customHeight="1" outlineLevel="1">
      <c r="A188" s="29">
        <v>72</v>
      </c>
      <c r="B188" s="30">
        <f>IF(2&lt;=DAY(DATE(YEAR(설정_코스수당!$K$2),MONTH(설정_코스수당!$K$2)+1,0)),DATE(YEAR(설정_코스수당!$K$2),MONTH(설정_코스수당!$K$2),2),"")</f>
        <v>46175</v>
      </c>
      <c r="C188" s="31"/>
      <c r="D188" s="29"/>
      <c r="E188" s="29"/>
      <c r="F188" s="32"/>
      <c r="G188" s="29"/>
      <c r="H188" s="29"/>
      <c r="I188" s="29"/>
      <c r="J188" s="33">
        <f>IF($O188="방문완료",MAX(0,IFERROR(VLOOKUP($E188,설정_코스수당!$A$6:$H$10,4,FALSE),0)-IF(OR($P188="",$P188="없음"),0,100000)),0)</f>
        <v>0</v>
      </c>
      <c r="K188" s="33">
        <f t="array" ref="K188">IF($O188="방문완료",IFERROR(INDEX(설정_코스수당!$B$15:$F$64,MATCH($G188,설정_코스수당!$A$15:$A$64,0),MATCH($E188&amp;"수당",설정_코스수당!$B$14:$F$14,0)),0),0)</f>
        <v>0</v>
      </c>
      <c r="L188" s="33">
        <f t="array" ref="L188">IF($O188="방문완료",IF($H188="",0,IFERROR(INDEX(설정_코스수당!$B$15:$F$64,MATCH($H188,설정_코스수당!$A$15:$A$64,0),MATCH($E188&amp;"수당",설정_코스수당!$B$14:$F$14,0)),0)),0)</f>
        <v>0</v>
      </c>
      <c r="M188" s="33">
        <f>IF($O188="방문완료",IFERROR(VLOOKUP($E188,설정_코스수당!$A$6:$H$10,6,FALSE),0),0)</f>
        <v>0</v>
      </c>
      <c r="N188" s="34">
        <f t="shared" si="5"/>
        <v>0</v>
      </c>
      <c r="O188" s="29"/>
      <c r="P188" s="29"/>
      <c r="Q188" s="29"/>
      <c r="R188" s="32"/>
      <c r="S188" s="29"/>
    </row>
    <row r="189" spans="1:19" ht="19.5" hidden="1" customHeight="1" outlineLevel="1">
      <c r="A189" s="23">
        <v>73</v>
      </c>
      <c r="B189" s="24">
        <f>IF(2&lt;=DAY(DATE(YEAR(설정_코스수당!$K$2),MONTH(설정_코스수당!$K$2)+1,0)),DATE(YEAR(설정_코스수당!$K$2),MONTH(설정_코스수당!$K$2),2),"")</f>
        <v>46175</v>
      </c>
      <c r="C189" s="25"/>
      <c r="D189" s="23"/>
      <c r="E189" s="23"/>
      <c r="F189" s="26"/>
      <c r="G189" s="23"/>
      <c r="H189" s="23"/>
      <c r="I189" s="23"/>
      <c r="J189" s="27">
        <f>IF($O189="방문완료",MAX(0,IFERROR(VLOOKUP($E189,설정_코스수당!$A$6:$H$10,4,FALSE),0)-IF(OR($P189="",$P189="없음"),0,100000)),0)</f>
        <v>0</v>
      </c>
      <c r="K189" s="27">
        <f t="array" ref="K189">IF($O189="방문완료",IFERROR(INDEX(설정_코스수당!$B$15:$F$64,MATCH($G189,설정_코스수당!$A$15:$A$64,0),MATCH($E189&amp;"수당",설정_코스수당!$B$14:$F$14,0)),0),0)</f>
        <v>0</v>
      </c>
      <c r="L189" s="27">
        <f t="array" ref="L189">IF($O189="방문완료",IF($H189="",0,IFERROR(INDEX(설정_코스수당!$B$15:$F$64,MATCH($H189,설정_코스수당!$A$15:$A$64,0),MATCH($E189&amp;"수당",설정_코스수당!$B$14:$F$14,0)),0)),0)</f>
        <v>0</v>
      </c>
      <c r="M189" s="27">
        <f>IF($O189="방문완료",IFERROR(VLOOKUP($E189,설정_코스수당!$A$6:$H$10,6,FALSE),0),0)</f>
        <v>0</v>
      </c>
      <c r="N189" s="28">
        <f t="shared" si="5"/>
        <v>0</v>
      </c>
      <c r="O189" s="23"/>
      <c r="P189" s="23"/>
      <c r="Q189" s="23"/>
      <c r="R189" s="26"/>
      <c r="S189" s="23"/>
    </row>
    <row r="190" spans="1:19" ht="19.5" hidden="1" customHeight="1" outlineLevel="1">
      <c r="A190" s="29">
        <v>74</v>
      </c>
      <c r="B190" s="30">
        <f>IF(2&lt;=DAY(DATE(YEAR(설정_코스수당!$K$2),MONTH(설정_코스수당!$K$2)+1,0)),DATE(YEAR(설정_코스수당!$K$2),MONTH(설정_코스수당!$K$2),2),"")</f>
        <v>46175</v>
      </c>
      <c r="C190" s="31"/>
      <c r="D190" s="29"/>
      <c r="E190" s="29"/>
      <c r="F190" s="32"/>
      <c r="G190" s="29"/>
      <c r="H190" s="29"/>
      <c r="I190" s="29"/>
      <c r="J190" s="33">
        <f>IF($O190="방문완료",MAX(0,IFERROR(VLOOKUP($E190,설정_코스수당!$A$6:$H$10,4,FALSE),0)-IF(OR($P190="",$P190="없음"),0,100000)),0)</f>
        <v>0</v>
      </c>
      <c r="K190" s="33">
        <f t="array" ref="K190">IF($O190="방문완료",IFERROR(INDEX(설정_코스수당!$B$15:$F$64,MATCH($G190,설정_코스수당!$A$15:$A$64,0),MATCH($E190&amp;"수당",설정_코스수당!$B$14:$F$14,0)),0),0)</f>
        <v>0</v>
      </c>
      <c r="L190" s="33">
        <f t="array" ref="L190">IF($O190="방문완료",IF($H190="",0,IFERROR(INDEX(설정_코스수당!$B$15:$F$64,MATCH($H190,설정_코스수당!$A$15:$A$64,0),MATCH($E190&amp;"수당",설정_코스수당!$B$14:$F$14,0)),0)),0)</f>
        <v>0</v>
      </c>
      <c r="M190" s="33">
        <f>IF($O190="방문완료",IFERROR(VLOOKUP($E190,설정_코스수당!$A$6:$H$10,6,FALSE),0),0)</f>
        <v>0</v>
      </c>
      <c r="N190" s="34">
        <f t="shared" si="5"/>
        <v>0</v>
      </c>
      <c r="O190" s="29"/>
      <c r="P190" s="29"/>
      <c r="Q190" s="29"/>
      <c r="R190" s="32"/>
      <c r="S190" s="29"/>
    </row>
    <row r="191" spans="1:19" ht="19.5" hidden="1" customHeight="1" outlineLevel="1">
      <c r="A191" s="23">
        <v>75</v>
      </c>
      <c r="B191" s="24">
        <f>IF(2&lt;=DAY(DATE(YEAR(설정_코스수당!$K$2),MONTH(설정_코스수당!$K$2)+1,0)),DATE(YEAR(설정_코스수당!$K$2),MONTH(설정_코스수당!$K$2),2),"")</f>
        <v>46175</v>
      </c>
      <c r="C191" s="25"/>
      <c r="D191" s="23"/>
      <c r="E191" s="23"/>
      <c r="F191" s="26"/>
      <c r="G191" s="23"/>
      <c r="H191" s="23"/>
      <c r="I191" s="23"/>
      <c r="J191" s="27">
        <f>IF($O191="방문완료",MAX(0,IFERROR(VLOOKUP($E191,설정_코스수당!$A$6:$H$10,4,FALSE),0)-IF(OR($P191="",$P191="없음"),0,100000)),0)</f>
        <v>0</v>
      </c>
      <c r="K191" s="27">
        <f t="array" ref="K191">IF($O191="방문완료",IFERROR(INDEX(설정_코스수당!$B$15:$F$64,MATCH($G191,설정_코스수당!$A$15:$A$64,0),MATCH($E191&amp;"수당",설정_코스수당!$B$14:$F$14,0)),0),0)</f>
        <v>0</v>
      </c>
      <c r="L191" s="27">
        <f t="array" ref="L191">IF($O191="방문완료",IF($H191="",0,IFERROR(INDEX(설정_코스수당!$B$15:$F$64,MATCH($H191,설정_코스수당!$A$15:$A$64,0),MATCH($E191&amp;"수당",설정_코스수당!$B$14:$F$14,0)),0)),0)</f>
        <v>0</v>
      </c>
      <c r="M191" s="27">
        <f>IF($O191="방문완료",IFERROR(VLOOKUP($E191,설정_코스수당!$A$6:$H$10,6,FALSE),0),0)</f>
        <v>0</v>
      </c>
      <c r="N191" s="28">
        <f t="shared" si="5"/>
        <v>0</v>
      </c>
      <c r="O191" s="23"/>
      <c r="P191" s="23"/>
      <c r="Q191" s="23"/>
      <c r="R191" s="26"/>
      <c r="S191" s="23"/>
    </row>
    <row r="192" spans="1:19" ht="19.5" hidden="1" customHeight="1" outlineLevel="1">
      <c r="A192" s="29">
        <v>76</v>
      </c>
      <c r="B192" s="30">
        <f>IF(2&lt;=DAY(DATE(YEAR(설정_코스수당!$K$2),MONTH(설정_코스수당!$K$2)+1,0)),DATE(YEAR(설정_코스수당!$K$2),MONTH(설정_코스수당!$K$2),2),"")</f>
        <v>46175</v>
      </c>
      <c r="C192" s="31"/>
      <c r="D192" s="29"/>
      <c r="E192" s="29"/>
      <c r="F192" s="32"/>
      <c r="G192" s="29"/>
      <c r="H192" s="29"/>
      <c r="I192" s="29"/>
      <c r="J192" s="33">
        <f>IF($O192="방문완료",MAX(0,IFERROR(VLOOKUP($E192,설정_코스수당!$A$6:$H$10,4,FALSE),0)-IF(OR($P192="",$P192="없음"),0,100000)),0)</f>
        <v>0</v>
      </c>
      <c r="K192" s="33">
        <f t="array" ref="K192">IF($O192="방문완료",IFERROR(INDEX(설정_코스수당!$B$15:$F$64,MATCH($G192,설정_코스수당!$A$15:$A$64,0),MATCH($E192&amp;"수당",설정_코스수당!$B$14:$F$14,0)),0),0)</f>
        <v>0</v>
      </c>
      <c r="L192" s="33">
        <f t="array" ref="L192">IF($O192="방문완료",IF($H192="",0,IFERROR(INDEX(설정_코스수당!$B$15:$F$64,MATCH($H192,설정_코스수당!$A$15:$A$64,0),MATCH($E192&amp;"수당",설정_코스수당!$B$14:$F$14,0)),0)),0)</f>
        <v>0</v>
      </c>
      <c r="M192" s="33">
        <f>IF($O192="방문완료",IFERROR(VLOOKUP($E192,설정_코스수당!$A$6:$H$10,6,FALSE),0),0)</f>
        <v>0</v>
      </c>
      <c r="N192" s="34">
        <f t="shared" si="5"/>
        <v>0</v>
      </c>
      <c r="O192" s="29"/>
      <c r="P192" s="29"/>
      <c r="Q192" s="29"/>
      <c r="R192" s="32"/>
      <c r="S192" s="29"/>
    </row>
    <row r="193" spans="1:19" ht="19.5" hidden="1" customHeight="1" outlineLevel="1">
      <c r="A193" s="23">
        <v>77</v>
      </c>
      <c r="B193" s="24">
        <f>IF(2&lt;=DAY(DATE(YEAR(설정_코스수당!$K$2),MONTH(설정_코스수당!$K$2)+1,0)),DATE(YEAR(설정_코스수당!$K$2),MONTH(설정_코스수당!$K$2),2),"")</f>
        <v>46175</v>
      </c>
      <c r="C193" s="25"/>
      <c r="D193" s="23"/>
      <c r="E193" s="23"/>
      <c r="F193" s="26"/>
      <c r="G193" s="23"/>
      <c r="H193" s="23"/>
      <c r="I193" s="23"/>
      <c r="J193" s="27">
        <f>IF($O193="방문완료",MAX(0,IFERROR(VLOOKUP($E193,설정_코스수당!$A$6:$H$10,4,FALSE),0)-IF(OR($P193="",$P193="없음"),0,100000)),0)</f>
        <v>0</v>
      </c>
      <c r="K193" s="27">
        <f t="array" ref="K193">IF($O193="방문완료",IFERROR(INDEX(설정_코스수당!$B$15:$F$64,MATCH($G193,설정_코스수당!$A$15:$A$64,0),MATCH($E193&amp;"수당",설정_코스수당!$B$14:$F$14,0)),0),0)</f>
        <v>0</v>
      </c>
      <c r="L193" s="27">
        <f t="array" ref="L193">IF($O193="방문완료",IF($H193="",0,IFERROR(INDEX(설정_코스수당!$B$15:$F$64,MATCH($H193,설정_코스수당!$A$15:$A$64,0),MATCH($E193&amp;"수당",설정_코스수당!$B$14:$F$14,0)),0)),0)</f>
        <v>0</v>
      </c>
      <c r="M193" s="27">
        <f>IF($O193="방문완료",IFERROR(VLOOKUP($E193,설정_코스수당!$A$6:$H$10,6,FALSE),0),0)</f>
        <v>0</v>
      </c>
      <c r="N193" s="28">
        <f t="shared" si="5"/>
        <v>0</v>
      </c>
      <c r="O193" s="23"/>
      <c r="P193" s="23"/>
      <c r="Q193" s="23"/>
      <c r="R193" s="26"/>
      <c r="S193" s="23"/>
    </row>
    <row r="194" spans="1:19" ht="19.5" hidden="1" customHeight="1" outlineLevel="1">
      <c r="A194" s="29">
        <v>78</v>
      </c>
      <c r="B194" s="30">
        <f>IF(2&lt;=DAY(DATE(YEAR(설정_코스수당!$K$2),MONTH(설정_코스수당!$K$2)+1,0)),DATE(YEAR(설정_코스수당!$K$2),MONTH(설정_코스수당!$K$2),2),"")</f>
        <v>46175</v>
      </c>
      <c r="C194" s="31"/>
      <c r="D194" s="29"/>
      <c r="E194" s="29"/>
      <c r="F194" s="32"/>
      <c r="G194" s="29"/>
      <c r="H194" s="29"/>
      <c r="I194" s="29"/>
      <c r="J194" s="33">
        <f>IF($O194="방문완료",MAX(0,IFERROR(VLOOKUP($E194,설정_코스수당!$A$6:$H$10,4,FALSE),0)-IF(OR($P194="",$P194="없음"),0,100000)),0)</f>
        <v>0</v>
      </c>
      <c r="K194" s="33">
        <f t="array" ref="K194">IF($O194="방문완료",IFERROR(INDEX(설정_코스수당!$B$15:$F$64,MATCH($G194,설정_코스수당!$A$15:$A$64,0),MATCH($E194&amp;"수당",설정_코스수당!$B$14:$F$14,0)),0),0)</f>
        <v>0</v>
      </c>
      <c r="L194" s="33">
        <f t="array" ref="L194">IF($O194="방문완료",IF($H194="",0,IFERROR(INDEX(설정_코스수당!$B$15:$F$64,MATCH($H194,설정_코스수당!$A$15:$A$64,0),MATCH($E194&amp;"수당",설정_코스수당!$B$14:$F$14,0)),0)),0)</f>
        <v>0</v>
      </c>
      <c r="M194" s="33">
        <f>IF($O194="방문완료",IFERROR(VLOOKUP($E194,설정_코스수당!$A$6:$H$10,6,FALSE),0),0)</f>
        <v>0</v>
      </c>
      <c r="N194" s="34">
        <f t="shared" si="5"/>
        <v>0</v>
      </c>
      <c r="O194" s="29"/>
      <c r="P194" s="29"/>
      <c r="Q194" s="29"/>
      <c r="R194" s="32"/>
      <c r="S194" s="29"/>
    </row>
    <row r="195" spans="1:19" ht="19.5" hidden="1" customHeight="1" outlineLevel="1">
      <c r="A195" s="23">
        <v>79</v>
      </c>
      <c r="B195" s="24">
        <f>IF(2&lt;=DAY(DATE(YEAR(설정_코스수당!$K$2),MONTH(설정_코스수당!$K$2)+1,0)),DATE(YEAR(설정_코스수당!$K$2),MONTH(설정_코스수당!$K$2),2),"")</f>
        <v>46175</v>
      </c>
      <c r="C195" s="25"/>
      <c r="D195" s="23"/>
      <c r="E195" s="23"/>
      <c r="F195" s="26"/>
      <c r="G195" s="23"/>
      <c r="H195" s="23"/>
      <c r="I195" s="23"/>
      <c r="J195" s="27">
        <f>IF($O195="방문완료",MAX(0,IFERROR(VLOOKUP($E195,설정_코스수당!$A$6:$H$10,4,FALSE),0)-IF(OR($P195="",$P195="없음"),0,100000)),0)</f>
        <v>0</v>
      </c>
      <c r="K195" s="27">
        <f t="array" ref="K195">IF($O195="방문완료",IFERROR(INDEX(설정_코스수당!$B$15:$F$64,MATCH($G195,설정_코스수당!$A$15:$A$64,0),MATCH($E195&amp;"수당",설정_코스수당!$B$14:$F$14,0)),0),0)</f>
        <v>0</v>
      </c>
      <c r="L195" s="27">
        <f t="array" ref="L195">IF($O195="방문완료",IF($H195="",0,IFERROR(INDEX(설정_코스수당!$B$15:$F$64,MATCH($H195,설정_코스수당!$A$15:$A$64,0),MATCH($E195&amp;"수당",설정_코스수당!$B$14:$F$14,0)),0)),0)</f>
        <v>0</v>
      </c>
      <c r="M195" s="27">
        <f>IF($O195="방문완료",IFERROR(VLOOKUP($E195,설정_코스수당!$A$6:$H$10,6,FALSE),0),0)</f>
        <v>0</v>
      </c>
      <c r="N195" s="28">
        <f t="shared" si="5"/>
        <v>0</v>
      </c>
      <c r="O195" s="23"/>
      <c r="P195" s="23"/>
      <c r="Q195" s="23"/>
      <c r="R195" s="26"/>
      <c r="S195" s="23"/>
    </row>
    <row r="196" spans="1:19" ht="19.5" hidden="1" customHeight="1" outlineLevel="1">
      <c r="A196" s="29">
        <v>80</v>
      </c>
      <c r="B196" s="30">
        <f>IF(2&lt;=DAY(DATE(YEAR(설정_코스수당!$K$2),MONTH(설정_코스수당!$K$2)+1,0)),DATE(YEAR(설정_코스수당!$K$2),MONTH(설정_코스수당!$K$2),2),"")</f>
        <v>46175</v>
      </c>
      <c r="C196" s="31"/>
      <c r="D196" s="29"/>
      <c r="E196" s="29"/>
      <c r="F196" s="32"/>
      <c r="G196" s="29"/>
      <c r="H196" s="29"/>
      <c r="I196" s="29"/>
      <c r="J196" s="33">
        <f>IF($O196="방문완료",MAX(0,IFERROR(VLOOKUP($E196,설정_코스수당!$A$6:$H$10,4,FALSE),0)-IF(OR($P196="",$P196="없음"),0,100000)),0)</f>
        <v>0</v>
      </c>
      <c r="K196" s="33">
        <f t="array" ref="K196">IF($O196="방문완료",IFERROR(INDEX(설정_코스수당!$B$15:$F$64,MATCH($G196,설정_코스수당!$A$15:$A$64,0),MATCH($E196&amp;"수당",설정_코스수당!$B$14:$F$14,0)),0),0)</f>
        <v>0</v>
      </c>
      <c r="L196" s="33">
        <f t="array" ref="L196">IF($O196="방문완료",IF($H196="",0,IFERROR(INDEX(설정_코스수당!$B$15:$F$64,MATCH($H196,설정_코스수당!$A$15:$A$64,0),MATCH($E196&amp;"수당",설정_코스수당!$B$14:$F$14,0)),0)),0)</f>
        <v>0</v>
      </c>
      <c r="M196" s="33">
        <f>IF($O196="방문완료",IFERROR(VLOOKUP($E196,설정_코스수당!$A$6:$H$10,6,FALSE),0),0)</f>
        <v>0</v>
      </c>
      <c r="N196" s="34">
        <f t="shared" si="5"/>
        <v>0</v>
      </c>
      <c r="O196" s="29"/>
      <c r="P196" s="29"/>
      <c r="Q196" s="29"/>
      <c r="R196" s="32"/>
      <c r="S196" s="29"/>
    </row>
    <row r="197" spans="1:19" ht="19.5" hidden="1" customHeight="1" outlineLevel="1">
      <c r="A197" s="23">
        <v>81</v>
      </c>
      <c r="B197" s="24">
        <f>IF(2&lt;=DAY(DATE(YEAR(설정_코스수당!$K$2),MONTH(설정_코스수당!$K$2)+1,0)),DATE(YEAR(설정_코스수당!$K$2),MONTH(설정_코스수당!$K$2),2),"")</f>
        <v>46175</v>
      </c>
      <c r="C197" s="25"/>
      <c r="D197" s="23"/>
      <c r="E197" s="23"/>
      <c r="F197" s="26"/>
      <c r="G197" s="23"/>
      <c r="H197" s="23"/>
      <c r="I197" s="23"/>
      <c r="J197" s="27">
        <f>IF($O197="방문완료",MAX(0,IFERROR(VLOOKUP($E197,설정_코스수당!$A$6:$H$10,4,FALSE),0)-IF(OR($P197="",$P197="없음"),0,100000)),0)</f>
        <v>0</v>
      </c>
      <c r="K197" s="27">
        <f t="array" ref="K197">IF($O197="방문완료",IFERROR(INDEX(설정_코스수당!$B$15:$F$64,MATCH($G197,설정_코스수당!$A$15:$A$64,0),MATCH($E197&amp;"수당",설정_코스수당!$B$14:$F$14,0)),0),0)</f>
        <v>0</v>
      </c>
      <c r="L197" s="27">
        <f t="array" ref="L197">IF($O197="방문완료",IF($H197="",0,IFERROR(INDEX(설정_코스수당!$B$15:$F$64,MATCH($H197,설정_코스수당!$A$15:$A$64,0),MATCH($E197&amp;"수당",설정_코스수당!$B$14:$F$14,0)),0)),0)</f>
        <v>0</v>
      </c>
      <c r="M197" s="27">
        <f>IF($O197="방문완료",IFERROR(VLOOKUP($E197,설정_코스수당!$A$6:$H$10,6,FALSE),0),0)</f>
        <v>0</v>
      </c>
      <c r="N197" s="28">
        <f t="shared" si="5"/>
        <v>0</v>
      </c>
      <c r="O197" s="23"/>
      <c r="P197" s="23"/>
      <c r="Q197" s="23"/>
      <c r="R197" s="26"/>
      <c r="S197" s="23"/>
    </row>
    <row r="198" spans="1:19" ht="19.5" hidden="1" customHeight="1" outlineLevel="1">
      <c r="A198" s="29">
        <v>82</v>
      </c>
      <c r="B198" s="30">
        <f>IF(2&lt;=DAY(DATE(YEAR(설정_코스수당!$K$2),MONTH(설정_코스수당!$K$2)+1,0)),DATE(YEAR(설정_코스수당!$K$2),MONTH(설정_코스수당!$K$2),2),"")</f>
        <v>46175</v>
      </c>
      <c r="C198" s="31"/>
      <c r="D198" s="29"/>
      <c r="E198" s="29"/>
      <c r="F198" s="32"/>
      <c r="G198" s="29"/>
      <c r="H198" s="29"/>
      <c r="I198" s="29"/>
      <c r="J198" s="33">
        <f>IF($O198="방문완료",MAX(0,IFERROR(VLOOKUP($E198,설정_코스수당!$A$6:$H$10,4,FALSE),0)-IF(OR($P198="",$P198="없음"),0,100000)),0)</f>
        <v>0</v>
      </c>
      <c r="K198" s="33">
        <f t="array" ref="K198">IF($O198="방문완료",IFERROR(INDEX(설정_코스수당!$B$15:$F$64,MATCH($G198,설정_코스수당!$A$15:$A$64,0),MATCH($E198&amp;"수당",설정_코스수당!$B$14:$F$14,0)),0),0)</f>
        <v>0</v>
      </c>
      <c r="L198" s="33">
        <f t="array" ref="L198">IF($O198="방문완료",IF($H198="",0,IFERROR(INDEX(설정_코스수당!$B$15:$F$64,MATCH($H198,설정_코스수당!$A$15:$A$64,0),MATCH($E198&amp;"수당",설정_코스수당!$B$14:$F$14,0)),0)),0)</f>
        <v>0</v>
      </c>
      <c r="M198" s="33">
        <f>IF($O198="방문완료",IFERROR(VLOOKUP($E198,설정_코스수당!$A$6:$H$10,6,FALSE),0),0)</f>
        <v>0</v>
      </c>
      <c r="N198" s="34">
        <f t="shared" si="5"/>
        <v>0</v>
      </c>
      <c r="O198" s="29"/>
      <c r="P198" s="29"/>
      <c r="Q198" s="29"/>
      <c r="R198" s="32"/>
      <c r="S198" s="29"/>
    </row>
    <row r="199" spans="1:19" ht="19.5" hidden="1" customHeight="1" outlineLevel="1">
      <c r="A199" s="23">
        <v>83</v>
      </c>
      <c r="B199" s="24">
        <f>IF(2&lt;=DAY(DATE(YEAR(설정_코스수당!$K$2),MONTH(설정_코스수당!$K$2)+1,0)),DATE(YEAR(설정_코스수당!$K$2),MONTH(설정_코스수당!$K$2),2),"")</f>
        <v>46175</v>
      </c>
      <c r="C199" s="25"/>
      <c r="D199" s="23"/>
      <c r="E199" s="23"/>
      <c r="F199" s="26"/>
      <c r="G199" s="23"/>
      <c r="H199" s="23"/>
      <c r="I199" s="23"/>
      <c r="J199" s="27">
        <f>IF($O199="방문완료",MAX(0,IFERROR(VLOOKUP($E199,설정_코스수당!$A$6:$H$10,4,FALSE),0)-IF(OR($P199="",$P199="없음"),0,100000)),0)</f>
        <v>0</v>
      </c>
      <c r="K199" s="27">
        <f t="array" ref="K199">IF($O199="방문완료",IFERROR(INDEX(설정_코스수당!$B$15:$F$64,MATCH($G199,설정_코스수당!$A$15:$A$64,0),MATCH($E199&amp;"수당",설정_코스수당!$B$14:$F$14,0)),0),0)</f>
        <v>0</v>
      </c>
      <c r="L199" s="27">
        <f t="array" ref="L199">IF($O199="방문완료",IF($H199="",0,IFERROR(INDEX(설정_코스수당!$B$15:$F$64,MATCH($H199,설정_코스수당!$A$15:$A$64,0),MATCH($E199&amp;"수당",설정_코스수당!$B$14:$F$14,0)),0)),0)</f>
        <v>0</v>
      </c>
      <c r="M199" s="27">
        <f>IF($O199="방문완료",IFERROR(VLOOKUP($E199,설정_코스수당!$A$6:$H$10,6,FALSE),0),0)</f>
        <v>0</v>
      </c>
      <c r="N199" s="28">
        <f t="shared" si="5"/>
        <v>0</v>
      </c>
      <c r="O199" s="23"/>
      <c r="P199" s="23"/>
      <c r="Q199" s="23"/>
      <c r="R199" s="26"/>
      <c r="S199" s="23"/>
    </row>
    <row r="200" spans="1:19" ht="19.5" hidden="1" customHeight="1" outlineLevel="1">
      <c r="A200" s="29">
        <v>84</v>
      </c>
      <c r="B200" s="30">
        <f>IF(2&lt;=DAY(DATE(YEAR(설정_코스수당!$K$2),MONTH(설정_코스수당!$K$2)+1,0)),DATE(YEAR(설정_코스수당!$K$2),MONTH(설정_코스수당!$K$2),2),"")</f>
        <v>46175</v>
      </c>
      <c r="C200" s="31"/>
      <c r="D200" s="29"/>
      <c r="E200" s="29"/>
      <c r="F200" s="32"/>
      <c r="G200" s="29"/>
      <c r="H200" s="29"/>
      <c r="I200" s="29"/>
      <c r="J200" s="33">
        <f>IF($O200="방문완료",MAX(0,IFERROR(VLOOKUP($E200,설정_코스수당!$A$6:$H$10,4,FALSE),0)-IF(OR($P200="",$P200="없음"),0,100000)),0)</f>
        <v>0</v>
      </c>
      <c r="K200" s="33">
        <f t="array" ref="K200">IF($O200="방문완료",IFERROR(INDEX(설정_코스수당!$B$15:$F$64,MATCH($G200,설정_코스수당!$A$15:$A$64,0),MATCH($E200&amp;"수당",설정_코스수당!$B$14:$F$14,0)),0),0)</f>
        <v>0</v>
      </c>
      <c r="L200" s="33">
        <f t="array" ref="L200">IF($O200="방문완료",IF($H200="",0,IFERROR(INDEX(설정_코스수당!$B$15:$F$64,MATCH($H200,설정_코스수당!$A$15:$A$64,0),MATCH($E200&amp;"수당",설정_코스수당!$B$14:$F$14,0)),0)),0)</f>
        <v>0</v>
      </c>
      <c r="M200" s="33">
        <f>IF($O200="방문완료",IFERROR(VLOOKUP($E200,설정_코스수당!$A$6:$H$10,6,FALSE),0),0)</f>
        <v>0</v>
      </c>
      <c r="N200" s="34">
        <f t="shared" si="5"/>
        <v>0</v>
      </c>
      <c r="O200" s="29"/>
      <c r="P200" s="29"/>
      <c r="Q200" s="29"/>
      <c r="R200" s="32"/>
      <c r="S200" s="29"/>
    </row>
    <row r="201" spans="1:19" ht="19.5" hidden="1" customHeight="1" outlineLevel="1">
      <c r="A201" s="23">
        <v>85</v>
      </c>
      <c r="B201" s="24">
        <f>IF(2&lt;=DAY(DATE(YEAR(설정_코스수당!$K$2),MONTH(설정_코스수당!$K$2)+1,0)),DATE(YEAR(설정_코스수당!$K$2),MONTH(설정_코스수당!$K$2),2),"")</f>
        <v>46175</v>
      </c>
      <c r="C201" s="25"/>
      <c r="D201" s="23"/>
      <c r="E201" s="23"/>
      <c r="F201" s="26"/>
      <c r="G201" s="23"/>
      <c r="H201" s="23"/>
      <c r="I201" s="23"/>
      <c r="J201" s="27">
        <f>IF($O201="방문완료",MAX(0,IFERROR(VLOOKUP($E201,설정_코스수당!$A$6:$H$10,4,FALSE),0)-IF(OR($P201="",$P201="없음"),0,100000)),0)</f>
        <v>0</v>
      </c>
      <c r="K201" s="27">
        <f t="array" ref="K201">IF($O201="방문완료",IFERROR(INDEX(설정_코스수당!$B$15:$F$64,MATCH($G201,설정_코스수당!$A$15:$A$64,0),MATCH($E201&amp;"수당",설정_코스수당!$B$14:$F$14,0)),0),0)</f>
        <v>0</v>
      </c>
      <c r="L201" s="27">
        <f t="array" ref="L201">IF($O201="방문완료",IF($H201="",0,IFERROR(INDEX(설정_코스수당!$B$15:$F$64,MATCH($H201,설정_코스수당!$A$15:$A$64,0),MATCH($E201&amp;"수당",설정_코스수당!$B$14:$F$14,0)),0)),0)</f>
        <v>0</v>
      </c>
      <c r="M201" s="27">
        <f>IF($O201="방문완료",IFERROR(VLOOKUP($E201,설정_코스수당!$A$6:$H$10,6,FALSE),0),0)</f>
        <v>0</v>
      </c>
      <c r="N201" s="28">
        <f t="shared" si="5"/>
        <v>0</v>
      </c>
      <c r="O201" s="23"/>
      <c r="P201" s="23"/>
      <c r="Q201" s="23"/>
      <c r="R201" s="26"/>
      <c r="S201" s="23"/>
    </row>
    <row r="202" spans="1:19" ht="19.5" hidden="1" customHeight="1" outlineLevel="1">
      <c r="A202" s="29">
        <v>86</v>
      </c>
      <c r="B202" s="30">
        <f>IF(2&lt;=DAY(DATE(YEAR(설정_코스수당!$K$2),MONTH(설정_코스수당!$K$2)+1,0)),DATE(YEAR(설정_코스수당!$K$2),MONTH(설정_코스수당!$K$2),2),"")</f>
        <v>46175</v>
      </c>
      <c r="C202" s="31"/>
      <c r="D202" s="29"/>
      <c r="E202" s="29"/>
      <c r="F202" s="32"/>
      <c r="G202" s="29"/>
      <c r="H202" s="29"/>
      <c r="I202" s="29"/>
      <c r="J202" s="33">
        <f>IF($O202="방문완료",MAX(0,IFERROR(VLOOKUP($E202,설정_코스수당!$A$6:$H$10,4,FALSE),0)-IF(OR($P202="",$P202="없음"),0,100000)),0)</f>
        <v>0</v>
      </c>
      <c r="K202" s="33">
        <f t="array" ref="K202">IF($O202="방문완료",IFERROR(INDEX(설정_코스수당!$B$15:$F$64,MATCH($G202,설정_코스수당!$A$15:$A$64,0),MATCH($E202&amp;"수당",설정_코스수당!$B$14:$F$14,0)),0),0)</f>
        <v>0</v>
      </c>
      <c r="L202" s="33">
        <f t="array" ref="L202">IF($O202="방문완료",IF($H202="",0,IFERROR(INDEX(설정_코스수당!$B$15:$F$64,MATCH($H202,설정_코스수당!$A$15:$A$64,0),MATCH($E202&amp;"수당",설정_코스수당!$B$14:$F$14,0)),0)),0)</f>
        <v>0</v>
      </c>
      <c r="M202" s="33">
        <f>IF($O202="방문완료",IFERROR(VLOOKUP($E202,설정_코스수당!$A$6:$H$10,6,FALSE),0),0)</f>
        <v>0</v>
      </c>
      <c r="N202" s="34">
        <f t="shared" si="5"/>
        <v>0</v>
      </c>
      <c r="O202" s="29"/>
      <c r="P202" s="29"/>
      <c r="Q202" s="29"/>
      <c r="R202" s="32"/>
      <c r="S202" s="29"/>
    </row>
    <row r="203" spans="1:19" ht="19.5" hidden="1" customHeight="1" outlineLevel="1">
      <c r="A203" s="23">
        <v>87</v>
      </c>
      <c r="B203" s="24">
        <f>IF(2&lt;=DAY(DATE(YEAR(설정_코스수당!$K$2),MONTH(설정_코스수당!$K$2)+1,0)),DATE(YEAR(설정_코스수당!$K$2),MONTH(설정_코스수당!$K$2),2),"")</f>
        <v>46175</v>
      </c>
      <c r="C203" s="25"/>
      <c r="D203" s="23"/>
      <c r="E203" s="23"/>
      <c r="F203" s="26"/>
      <c r="G203" s="23"/>
      <c r="H203" s="23"/>
      <c r="I203" s="23"/>
      <c r="J203" s="27">
        <f>IF($O203="방문완료",MAX(0,IFERROR(VLOOKUP($E203,설정_코스수당!$A$6:$H$10,4,FALSE),0)-IF(OR($P203="",$P203="없음"),0,100000)),0)</f>
        <v>0</v>
      </c>
      <c r="K203" s="27">
        <f t="array" ref="K203">IF($O203="방문완료",IFERROR(INDEX(설정_코스수당!$B$15:$F$64,MATCH($G203,설정_코스수당!$A$15:$A$64,0),MATCH($E203&amp;"수당",설정_코스수당!$B$14:$F$14,0)),0),0)</f>
        <v>0</v>
      </c>
      <c r="L203" s="27">
        <f t="array" ref="L203">IF($O203="방문완료",IF($H203="",0,IFERROR(INDEX(설정_코스수당!$B$15:$F$64,MATCH($H203,설정_코스수당!$A$15:$A$64,0),MATCH($E203&amp;"수당",설정_코스수당!$B$14:$F$14,0)),0)),0)</f>
        <v>0</v>
      </c>
      <c r="M203" s="27">
        <f>IF($O203="방문완료",IFERROR(VLOOKUP($E203,설정_코스수당!$A$6:$H$10,6,FALSE),0),0)</f>
        <v>0</v>
      </c>
      <c r="N203" s="28">
        <f t="shared" si="5"/>
        <v>0</v>
      </c>
      <c r="O203" s="23"/>
      <c r="P203" s="23"/>
      <c r="Q203" s="23"/>
      <c r="R203" s="26"/>
      <c r="S203" s="23"/>
    </row>
    <row r="204" spans="1:19" ht="19.5" hidden="1" customHeight="1" outlineLevel="1">
      <c r="A204" s="29">
        <v>88</v>
      </c>
      <c r="B204" s="30">
        <f>IF(2&lt;=DAY(DATE(YEAR(설정_코스수당!$K$2),MONTH(설정_코스수당!$K$2)+1,0)),DATE(YEAR(설정_코스수당!$K$2),MONTH(설정_코스수당!$K$2),2),"")</f>
        <v>46175</v>
      </c>
      <c r="C204" s="31"/>
      <c r="D204" s="29"/>
      <c r="E204" s="29"/>
      <c r="F204" s="32"/>
      <c r="G204" s="29"/>
      <c r="H204" s="29"/>
      <c r="I204" s="29"/>
      <c r="J204" s="33">
        <f>IF($O204="방문완료",MAX(0,IFERROR(VLOOKUP($E204,설정_코스수당!$A$6:$H$10,4,FALSE),0)-IF(OR($P204="",$P204="없음"),0,100000)),0)</f>
        <v>0</v>
      </c>
      <c r="K204" s="33">
        <f t="array" ref="K204">IF($O204="방문완료",IFERROR(INDEX(설정_코스수당!$B$15:$F$64,MATCH($G204,설정_코스수당!$A$15:$A$64,0),MATCH($E204&amp;"수당",설정_코스수당!$B$14:$F$14,0)),0),0)</f>
        <v>0</v>
      </c>
      <c r="L204" s="33">
        <f t="array" ref="L204">IF($O204="방문완료",IF($H204="",0,IFERROR(INDEX(설정_코스수당!$B$15:$F$64,MATCH($H204,설정_코스수당!$A$15:$A$64,0),MATCH($E204&amp;"수당",설정_코스수당!$B$14:$F$14,0)),0)),0)</f>
        <v>0</v>
      </c>
      <c r="M204" s="33">
        <f>IF($O204="방문완료",IFERROR(VLOOKUP($E204,설정_코스수당!$A$6:$H$10,6,FALSE),0),0)</f>
        <v>0</v>
      </c>
      <c r="N204" s="34">
        <f t="shared" si="5"/>
        <v>0</v>
      </c>
      <c r="O204" s="29"/>
      <c r="P204" s="29"/>
      <c r="Q204" s="29"/>
      <c r="R204" s="32"/>
      <c r="S204" s="29"/>
    </row>
    <row r="205" spans="1:19" ht="19.5" hidden="1" customHeight="1" outlineLevel="1">
      <c r="A205" s="23">
        <v>89</v>
      </c>
      <c r="B205" s="24">
        <f>IF(2&lt;=DAY(DATE(YEAR(설정_코스수당!$K$2),MONTH(설정_코스수당!$K$2)+1,0)),DATE(YEAR(설정_코스수당!$K$2),MONTH(설정_코스수당!$K$2),2),"")</f>
        <v>46175</v>
      </c>
      <c r="C205" s="25"/>
      <c r="D205" s="23"/>
      <c r="E205" s="23"/>
      <c r="F205" s="26"/>
      <c r="G205" s="23"/>
      <c r="H205" s="23"/>
      <c r="I205" s="23"/>
      <c r="J205" s="27">
        <f>IF($O205="방문완료",MAX(0,IFERROR(VLOOKUP($E205,설정_코스수당!$A$6:$H$10,4,FALSE),0)-IF(OR($P205="",$P205="없음"),0,100000)),0)</f>
        <v>0</v>
      </c>
      <c r="K205" s="27">
        <f t="array" ref="K205">IF($O205="방문완료",IFERROR(INDEX(설정_코스수당!$B$15:$F$64,MATCH($G205,설정_코스수당!$A$15:$A$64,0),MATCH($E205&amp;"수당",설정_코스수당!$B$14:$F$14,0)),0),0)</f>
        <v>0</v>
      </c>
      <c r="L205" s="27">
        <f t="array" ref="L205">IF($O205="방문완료",IF($H205="",0,IFERROR(INDEX(설정_코스수당!$B$15:$F$64,MATCH($H205,설정_코스수당!$A$15:$A$64,0),MATCH($E205&amp;"수당",설정_코스수당!$B$14:$F$14,0)),0)),0)</f>
        <v>0</v>
      </c>
      <c r="M205" s="27">
        <f>IF($O205="방문완료",IFERROR(VLOOKUP($E205,설정_코스수당!$A$6:$H$10,6,FALSE),0),0)</f>
        <v>0</v>
      </c>
      <c r="N205" s="28">
        <f t="shared" si="5"/>
        <v>0</v>
      </c>
      <c r="O205" s="23"/>
      <c r="P205" s="23"/>
      <c r="Q205" s="23"/>
      <c r="R205" s="26"/>
      <c r="S205" s="23"/>
    </row>
    <row r="206" spans="1:19" ht="19.5" hidden="1" customHeight="1" outlineLevel="1">
      <c r="A206" s="29">
        <v>90</v>
      </c>
      <c r="B206" s="30">
        <f>IF(2&lt;=DAY(DATE(YEAR(설정_코스수당!$K$2),MONTH(설정_코스수당!$K$2)+1,0)),DATE(YEAR(설정_코스수당!$K$2),MONTH(설정_코스수당!$K$2),2),"")</f>
        <v>46175</v>
      </c>
      <c r="C206" s="31"/>
      <c r="D206" s="29"/>
      <c r="E206" s="29"/>
      <c r="F206" s="32"/>
      <c r="G206" s="29"/>
      <c r="H206" s="29"/>
      <c r="I206" s="29"/>
      <c r="J206" s="33">
        <f>IF($O206="방문완료",MAX(0,IFERROR(VLOOKUP($E206,설정_코스수당!$A$6:$H$10,4,FALSE),0)-IF(OR($P206="",$P206="없음"),0,100000)),0)</f>
        <v>0</v>
      </c>
      <c r="K206" s="33">
        <f t="array" ref="K206">IF($O206="방문완료",IFERROR(INDEX(설정_코스수당!$B$15:$F$64,MATCH($G206,설정_코스수당!$A$15:$A$64,0),MATCH($E206&amp;"수당",설정_코스수당!$B$14:$F$14,0)),0),0)</f>
        <v>0</v>
      </c>
      <c r="L206" s="33">
        <f t="array" ref="L206">IF($O206="방문완료",IF($H206="",0,IFERROR(INDEX(설정_코스수당!$B$15:$F$64,MATCH($H206,설정_코스수당!$A$15:$A$64,0),MATCH($E206&amp;"수당",설정_코스수당!$B$14:$F$14,0)),0)),0)</f>
        <v>0</v>
      </c>
      <c r="M206" s="33">
        <f>IF($O206="방문완료",IFERROR(VLOOKUP($E206,설정_코스수당!$A$6:$H$10,6,FALSE),0),0)</f>
        <v>0</v>
      </c>
      <c r="N206" s="34">
        <f t="shared" si="5"/>
        <v>0</v>
      </c>
      <c r="O206" s="29"/>
      <c r="P206" s="29"/>
      <c r="Q206" s="29"/>
      <c r="R206" s="32"/>
      <c r="S206" s="29"/>
    </row>
    <row r="207" spans="1:19" ht="19.5" hidden="1" customHeight="1" outlineLevel="1">
      <c r="A207" s="23">
        <v>91</v>
      </c>
      <c r="B207" s="24">
        <f>IF(2&lt;=DAY(DATE(YEAR(설정_코스수당!$K$2),MONTH(설정_코스수당!$K$2)+1,0)),DATE(YEAR(설정_코스수당!$K$2),MONTH(설정_코스수당!$K$2),2),"")</f>
        <v>46175</v>
      </c>
      <c r="C207" s="25"/>
      <c r="D207" s="23"/>
      <c r="E207" s="23"/>
      <c r="F207" s="26"/>
      <c r="G207" s="23"/>
      <c r="H207" s="23"/>
      <c r="I207" s="23"/>
      <c r="J207" s="27">
        <f>IF($O207="방문완료",MAX(0,IFERROR(VLOOKUP($E207,설정_코스수당!$A$6:$H$10,4,FALSE),0)-IF(OR($P207="",$P207="없음"),0,100000)),0)</f>
        <v>0</v>
      </c>
      <c r="K207" s="27">
        <f t="array" ref="K207">IF($O207="방문완료",IFERROR(INDEX(설정_코스수당!$B$15:$F$64,MATCH($G207,설정_코스수당!$A$15:$A$64,0),MATCH($E207&amp;"수당",설정_코스수당!$B$14:$F$14,0)),0),0)</f>
        <v>0</v>
      </c>
      <c r="L207" s="27">
        <f t="array" ref="L207">IF($O207="방문완료",IF($H207="",0,IFERROR(INDEX(설정_코스수당!$B$15:$F$64,MATCH($H207,설정_코스수당!$A$15:$A$64,0),MATCH($E207&amp;"수당",설정_코스수당!$B$14:$F$14,0)),0)),0)</f>
        <v>0</v>
      </c>
      <c r="M207" s="27">
        <f>IF($O207="방문완료",IFERROR(VLOOKUP($E207,설정_코스수당!$A$6:$H$10,6,FALSE),0),0)</f>
        <v>0</v>
      </c>
      <c r="N207" s="28">
        <f t="shared" si="5"/>
        <v>0</v>
      </c>
      <c r="O207" s="23"/>
      <c r="P207" s="23"/>
      <c r="Q207" s="23"/>
      <c r="R207" s="26"/>
      <c r="S207" s="23"/>
    </row>
    <row r="208" spans="1:19" ht="19.5" hidden="1" customHeight="1" outlineLevel="1">
      <c r="A208" s="29">
        <v>92</v>
      </c>
      <c r="B208" s="30">
        <f>IF(2&lt;=DAY(DATE(YEAR(설정_코스수당!$K$2),MONTH(설정_코스수당!$K$2)+1,0)),DATE(YEAR(설정_코스수당!$K$2),MONTH(설정_코스수당!$K$2),2),"")</f>
        <v>46175</v>
      </c>
      <c r="C208" s="31"/>
      <c r="D208" s="29"/>
      <c r="E208" s="29"/>
      <c r="F208" s="32"/>
      <c r="G208" s="29"/>
      <c r="H208" s="29"/>
      <c r="I208" s="29"/>
      <c r="J208" s="33">
        <f>IF($O208="방문완료",MAX(0,IFERROR(VLOOKUP($E208,설정_코스수당!$A$6:$H$10,4,FALSE),0)-IF(OR($P208="",$P208="없음"),0,100000)),0)</f>
        <v>0</v>
      </c>
      <c r="K208" s="33">
        <f t="array" ref="K208">IF($O208="방문완료",IFERROR(INDEX(설정_코스수당!$B$15:$F$64,MATCH($G208,설정_코스수당!$A$15:$A$64,0),MATCH($E208&amp;"수당",설정_코스수당!$B$14:$F$14,0)),0),0)</f>
        <v>0</v>
      </c>
      <c r="L208" s="33">
        <f t="array" ref="L208">IF($O208="방문완료",IF($H208="",0,IFERROR(INDEX(설정_코스수당!$B$15:$F$64,MATCH($H208,설정_코스수당!$A$15:$A$64,0),MATCH($E208&amp;"수당",설정_코스수당!$B$14:$F$14,0)),0)),0)</f>
        <v>0</v>
      </c>
      <c r="M208" s="33">
        <f>IF($O208="방문완료",IFERROR(VLOOKUP($E208,설정_코스수당!$A$6:$H$10,6,FALSE),0),0)</f>
        <v>0</v>
      </c>
      <c r="N208" s="34">
        <f t="shared" si="5"/>
        <v>0</v>
      </c>
      <c r="O208" s="29"/>
      <c r="P208" s="29"/>
      <c r="Q208" s="29"/>
      <c r="R208" s="32"/>
      <c r="S208" s="29"/>
    </row>
    <row r="209" spans="1:27" ht="19.5" hidden="1" customHeight="1" outlineLevel="1">
      <c r="A209" s="23">
        <v>93</v>
      </c>
      <c r="B209" s="24">
        <f>IF(2&lt;=DAY(DATE(YEAR(설정_코스수당!$K$2),MONTH(설정_코스수당!$K$2)+1,0)),DATE(YEAR(설정_코스수당!$K$2),MONTH(설정_코스수당!$K$2),2),"")</f>
        <v>46175</v>
      </c>
      <c r="C209" s="25"/>
      <c r="D209" s="23"/>
      <c r="E209" s="23"/>
      <c r="F209" s="26"/>
      <c r="G209" s="23"/>
      <c r="H209" s="23"/>
      <c r="I209" s="23"/>
      <c r="J209" s="27">
        <f>IF($O209="방문완료",MAX(0,IFERROR(VLOOKUP($E209,설정_코스수당!$A$6:$H$10,4,FALSE),0)-IF(OR($P209="",$P209="없음"),0,100000)),0)</f>
        <v>0</v>
      </c>
      <c r="K209" s="27">
        <f t="array" ref="K209">IF($O209="방문완료",IFERROR(INDEX(설정_코스수당!$B$15:$F$64,MATCH($G209,설정_코스수당!$A$15:$A$64,0),MATCH($E209&amp;"수당",설정_코스수당!$B$14:$F$14,0)),0),0)</f>
        <v>0</v>
      </c>
      <c r="L209" s="27">
        <f t="array" ref="L209">IF($O209="방문완료",IF($H209="",0,IFERROR(INDEX(설정_코스수당!$B$15:$F$64,MATCH($H209,설정_코스수당!$A$15:$A$64,0),MATCH($E209&amp;"수당",설정_코스수당!$B$14:$F$14,0)),0)),0)</f>
        <v>0</v>
      </c>
      <c r="M209" s="27">
        <f>IF($O209="방문완료",IFERROR(VLOOKUP($E209,설정_코스수당!$A$6:$H$10,6,FALSE),0),0)</f>
        <v>0</v>
      </c>
      <c r="N209" s="28">
        <f t="shared" si="5"/>
        <v>0</v>
      </c>
      <c r="O209" s="23"/>
      <c r="P209" s="23"/>
      <c r="Q209" s="23"/>
      <c r="R209" s="26"/>
      <c r="S209" s="23"/>
    </row>
    <row r="210" spans="1:27" ht="19.5" hidden="1" customHeight="1" outlineLevel="1">
      <c r="A210" s="29">
        <v>94</v>
      </c>
      <c r="B210" s="30">
        <f>IF(2&lt;=DAY(DATE(YEAR(설정_코스수당!$K$2),MONTH(설정_코스수당!$K$2)+1,0)),DATE(YEAR(설정_코스수당!$K$2),MONTH(설정_코스수당!$K$2),2),"")</f>
        <v>46175</v>
      </c>
      <c r="C210" s="31"/>
      <c r="D210" s="29"/>
      <c r="E210" s="29"/>
      <c r="F210" s="32"/>
      <c r="G210" s="29"/>
      <c r="H210" s="29"/>
      <c r="I210" s="29"/>
      <c r="J210" s="33">
        <f>IF($O210="방문완료",MAX(0,IFERROR(VLOOKUP($E210,설정_코스수당!$A$6:$H$10,4,FALSE),0)-IF(OR($P210="",$P210="없음"),0,100000)),0)</f>
        <v>0</v>
      </c>
      <c r="K210" s="33">
        <f t="array" ref="K210">IF($O210="방문완료",IFERROR(INDEX(설정_코스수당!$B$15:$F$64,MATCH($G210,설정_코스수당!$A$15:$A$64,0),MATCH($E210&amp;"수당",설정_코스수당!$B$14:$F$14,0)),0),0)</f>
        <v>0</v>
      </c>
      <c r="L210" s="33">
        <f t="array" ref="L210">IF($O210="방문완료",IF($H210="",0,IFERROR(INDEX(설정_코스수당!$B$15:$F$64,MATCH($H210,설정_코스수당!$A$15:$A$64,0),MATCH($E210&amp;"수당",설정_코스수당!$B$14:$F$14,0)),0)),0)</f>
        <v>0</v>
      </c>
      <c r="M210" s="33">
        <f>IF($O210="방문완료",IFERROR(VLOOKUP($E210,설정_코스수당!$A$6:$H$10,6,FALSE),0),0)</f>
        <v>0</v>
      </c>
      <c r="N210" s="34">
        <f t="shared" si="5"/>
        <v>0</v>
      </c>
      <c r="O210" s="29"/>
      <c r="P210" s="29"/>
      <c r="Q210" s="29"/>
      <c r="R210" s="32"/>
      <c r="S210" s="29"/>
    </row>
    <row r="211" spans="1:27" ht="19.5" hidden="1" customHeight="1" outlineLevel="1">
      <c r="A211" s="23">
        <v>95</v>
      </c>
      <c r="B211" s="24">
        <f>IF(2&lt;=DAY(DATE(YEAR(설정_코스수당!$K$2),MONTH(설정_코스수당!$K$2)+1,0)),DATE(YEAR(설정_코스수당!$K$2),MONTH(설정_코스수당!$K$2),2),"")</f>
        <v>46175</v>
      </c>
      <c r="C211" s="25"/>
      <c r="D211" s="23"/>
      <c r="E211" s="23"/>
      <c r="F211" s="26"/>
      <c r="G211" s="23"/>
      <c r="H211" s="23"/>
      <c r="I211" s="23"/>
      <c r="J211" s="27">
        <f>IF($O211="방문완료",MAX(0,IFERROR(VLOOKUP($E211,설정_코스수당!$A$6:$H$10,4,FALSE),0)-IF(OR($P211="",$P211="없음"),0,100000)),0)</f>
        <v>0</v>
      </c>
      <c r="K211" s="27">
        <f t="array" ref="K211">IF($O211="방문완료",IFERROR(INDEX(설정_코스수당!$B$15:$F$64,MATCH($G211,설정_코스수당!$A$15:$A$64,0),MATCH($E211&amp;"수당",설정_코스수당!$B$14:$F$14,0)),0),0)</f>
        <v>0</v>
      </c>
      <c r="L211" s="27">
        <f t="array" ref="L211">IF($O211="방문완료",IF($H211="",0,IFERROR(INDEX(설정_코스수당!$B$15:$F$64,MATCH($H211,설정_코스수당!$A$15:$A$64,0),MATCH($E211&amp;"수당",설정_코스수당!$B$14:$F$14,0)),0)),0)</f>
        <v>0</v>
      </c>
      <c r="M211" s="27">
        <f>IF($O211="방문완료",IFERROR(VLOOKUP($E211,설정_코스수당!$A$6:$H$10,6,FALSE),0),0)</f>
        <v>0</v>
      </c>
      <c r="N211" s="28">
        <f t="shared" si="5"/>
        <v>0</v>
      </c>
      <c r="O211" s="23"/>
      <c r="P211" s="23"/>
      <c r="Q211" s="23"/>
      <c r="R211" s="26"/>
      <c r="S211" s="23"/>
    </row>
    <row r="212" spans="1:27" ht="19.5" hidden="1" customHeight="1" outlineLevel="1">
      <c r="A212" s="29">
        <v>96</v>
      </c>
      <c r="B212" s="30">
        <f>IF(2&lt;=DAY(DATE(YEAR(설정_코스수당!$K$2),MONTH(설정_코스수당!$K$2)+1,0)),DATE(YEAR(설정_코스수당!$K$2),MONTH(설정_코스수당!$K$2),2),"")</f>
        <v>46175</v>
      </c>
      <c r="C212" s="31"/>
      <c r="D212" s="29"/>
      <c r="E212" s="29"/>
      <c r="F212" s="32"/>
      <c r="G212" s="29"/>
      <c r="H212" s="29"/>
      <c r="I212" s="29"/>
      <c r="J212" s="33">
        <f>IF($O212="방문완료",MAX(0,IFERROR(VLOOKUP($E212,설정_코스수당!$A$6:$H$10,4,FALSE),0)-IF(OR($P212="",$P212="없음"),0,100000)),0)</f>
        <v>0</v>
      </c>
      <c r="K212" s="33">
        <f t="array" ref="K212">IF($O212="방문완료",IFERROR(INDEX(설정_코스수당!$B$15:$F$64,MATCH($G212,설정_코스수당!$A$15:$A$64,0),MATCH($E212&amp;"수당",설정_코스수당!$B$14:$F$14,0)),0),0)</f>
        <v>0</v>
      </c>
      <c r="L212" s="33">
        <f t="array" ref="L212">IF($O212="방문완료",IF($H212="",0,IFERROR(INDEX(설정_코스수당!$B$15:$F$64,MATCH($H212,설정_코스수당!$A$15:$A$64,0),MATCH($E212&amp;"수당",설정_코스수당!$B$14:$F$14,0)),0)),0)</f>
        <v>0</v>
      </c>
      <c r="M212" s="33">
        <f>IF($O212="방문완료",IFERROR(VLOOKUP($E212,설정_코스수당!$A$6:$H$10,6,FALSE),0),0)</f>
        <v>0</v>
      </c>
      <c r="N212" s="34">
        <f t="shared" si="5"/>
        <v>0</v>
      </c>
      <c r="O212" s="29"/>
      <c r="P212" s="29"/>
      <c r="Q212" s="29"/>
      <c r="R212" s="32"/>
      <c r="S212" s="29"/>
    </row>
    <row r="213" spans="1:27" ht="19.5" hidden="1" customHeight="1" outlineLevel="1">
      <c r="A213" s="23">
        <v>97</v>
      </c>
      <c r="B213" s="24">
        <f>IF(2&lt;=DAY(DATE(YEAR(설정_코스수당!$K$2),MONTH(설정_코스수당!$K$2)+1,0)),DATE(YEAR(설정_코스수당!$K$2),MONTH(설정_코스수당!$K$2),2),"")</f>
        <v>46175</v>
      </c>
      <c r="C213" s="25"/>
      <c r="D213" s="23"/>
      <c r="E213" s="23"/>
      <c r="F213" s="26"/>
      <c r="G213" s="23"/>
      <c r="H213" s="23"/>
      <c r="I213" s="23"/>
      <c r="J213" s="27">
        <f>IF($O213="방문완료",MAX(0,IFERROR(VLOOKUP($E213,설정_코스수당!$A$6:$H$10,4,FALSE),0)-IF(OR($P213="",$P213="없음"),0,100000)),0)</f>
        <v>0</v>
      </c>
      <c r="K213" s="27">
        <f t="array" ref="K213">IF($O213="방문완료",IFERROR(INDEX(설정_코스수당!$B$15:$F$64,MATCH($G213,설정_코스수당!$A$15:$A$64,0),MATCH($E213&amp;"수당",설정_코스수당!$B$14:$F$14,0)),0),0)</f>
        <v>0</v>
      </c>
      <c r="L213" s="27">
        <f t="array" ref="L213">IF($O213="방문완료",IF($H213="",0,IFERROR(INDEX(설정_코스수당!$B$15:$F$64,MATCH($H213,설정_코스수당!$A$15:$A$64,0),MATCH($E213&amp;"수당",설정_코스수당!$B$14:$F$14,0)),0)),0)</f>
        <v>0</v>
      </c>
      <c r="M213" s="27">
        <f>IF($O213="방문완료",IFERROR(VLOOKUP($E213,설정_코스수당!$A$6:$H$10,6,FALSE),0),0)</f>
        <v>0</v>
      </c>
      <c r="N213" s="28">
        <f t="shared" si="5"/>
        <v>0</v>
      </c>
      <c r="O213" s="23"/>
      <c r="P213" s="23"/>
      <c r="Q213" s="23"/>
      <c r="R213" s="26"/>
      <c r="S213" s="23"/>
    </row>
    <row r="214" spans="1:27" ht="19.5" hidden="1" customHeight="1" outlineLevel="1">
      <c r="A214" s="29">
        <v>98</v>
      </c>
      <c r="B214" s="30">
        <f>IF(2&lt;=DAY(DATE(YEAR(설정_코스수당!$K$2),MONTH(설정_코스수당!$K$2)+1,0)),DATE(YEAR(설정_코스수당!$K$2),MONTH(설정_코스수당!$K$2),2),"")</f>
        <v>46175</v>
      </c>
      <c r="C214" s="31"/>
      <c r="D214" s="29"/>
      <c r="E214" s="29"/>
      <c r="F214" s="32"/>
      <c r="G214" s="29"/>
      <c r="H214" s="29"/>
      <c r="I214" s="29"/>
      <c r="J214" s="33">
        <f>IF($O214="방문완료",MAX(0,IFERROR(VLOOKUP($E214,설정_코스수당!$A$6:$H$10,4,FALSE),0)-IF(OR($P214="",$P214="없음"),0,100000)),0)</f>
        <v>0</v>
      </c>
      <c r="K214" s="33">
        <f t="array" ref="K214">IF($O214="방문완료",IFERROR(INDEX(설정_코스수당!$B$15:$F$64,MATCH($G214,설정_코스수당!$A$15:$A$64,0),MATCH($E214&amp;"수당",설정_코스수당!$B$14:$F$14,0)),0),0)</f>
        <v>0</v>
      </c>
      <c r="L214" s="33">
        <f t="array" ref="L214">IF($O214="방문완료",IF($H214="",0,IFERROR(INDEX(설정_코스수당!$B$15:$F$64,MATCH($H214,설정_코스수당!$A$15:$A$64,0),MATCH($E214&amp;"수당",설정_코스수당!$B$14:$F$14,0)),0)),0)</f>
        <v>0</v>
      </c>
      <c r="M214" s="33">
        <f>IF($O214="방문완료",IFERROR(VLOOKUP($E214,설정_코스수당!$A$6:$H$10,6,FALSE),0),0)</f>
        <v>0</v>
      </c>
      <c r="N214" s="34">
        <f t="shared" si="5"/>
        <v>0</v>
      </c>
      <c r="O214" s="29"/>
      <c r="P214" s="29"/>
      <c r="Q214" s="29"/>
      <c r="R214" s="32"/>
      <c r="S214" s="29"/>
    </row>
    <row r="215" spans="1:27" ht="19.5" hidden="1" customHeight="1" outlineLevel="1">
      <c r="A215" s="23">
        <v>99</v>
      </c>
      <c r="B215" s="24">
        <f>IF(2&lt;=DAY(DATE(YEAR(설정_코스수당!$K$2),MONTH(설정_코스수당!$K$2)+1,0)),DATE(YEAR(설정_코스수당!$K$2),MONTH(설정_코스수당!$K$2),2),"")</f>
        <v>46175</v>
      </c>
      <c r="C215" s="25"/>
      <c r="D215" s="23"/>
      <c r="E215" s="23"/>
      <c r="F215" s="26"/>
      <c r="G215" s="23"/>
      <c r="H215" s="23"/>
      <c r="I215" s="23"/>
      <c r="J215" s="27">
        <f>IF($O215="방문완료",MAX(0,IFERROR(VLOOKUP($E215,설정_코스수당!$A$6:$H$10,4,FALSE),0)-IF(OR($P215="",$P215="없음"),0,100000)),0)</f>
        <v>0</v>
      </c>
      <c r="K215" s="27">
        <f t="array" ref="K215">IF($O215="방문완료",IFERROR(INDEX(설정_코스수당!$B$15:$F$64,MATCH($G215,설정_코스수당!$A$15:$A$64,0),MATCH($E215&amp;"수당",설정_코스수당!$B$14:$F$14,0)),0),0)</f>
        <v>0</v>
      </c>
      <c r="L215" s="27">
        <f t="array" ref="L215">IF($O215="방문완료",IF($H215="",0,IFERROR(INDEX(설정_코스수당!$B$15:$F$64,MATCH($H215,설정_코스수당!$A$15:$A$64,0),MATCH($E215&amp;"수당",설정_코스수당!$B$14:$F$14,0)),0)),0)</f>
        <v>0</v>
      </c>
      <c r="M215" s="27">
        <f>IF($O215="방문완료",IFERROR(VLOOKUP($E215,설정_코스수당!$A$6:$H$10,6,FALSE),0),0)</f>
        <v>0</v>
      </c>
      <c r="N215" s="28">
        <f t="shared" si="5"/>
        <v>0</v>
      </c>
      <c r="O215" s="23"/>
      <c r="P215" s="23"/>
      <c r="Q215" s="23"/>
      <c r="R215" s="26"/>
      <c r="S215" s="23"/>
    </row>
    <row r="216" spans="1:27" ht="19.5" hidden="1" customHeight="1" outlineLevel="1">
      <c r="A216" s="29">
        <v>100</v>
      </c>
      <c r="B216" s="30">
        <f>IF(2&lt;=DAY(DATE(YEAR(설정_코스수당!$K$2),MONTH(설정_코스수당!$K$2)+1,0)),DATE(YEAR(설정_코스수당!$K$2),MONTH(설정_코스수당!$K$2),2),"")</f>
        <v>46175</v>
      </c>
      <c r="C216" s="31"/>
      <c r="D216" s="29"/>
      <c r="E216" s="29"/>
      <c r="F216" s="32"/>
      <c r="G216" s="29"/>
      <c r="H216" s="29"/>
      <c r="I216" s="29"/>
      <c r="J216" s="33">
        <f>IF($O216="방문완료",MAX(0,IFERROR(VLOOKUP($E216,설정_코스수당!$A$6:$H$10,4,FALSE),0)-IF(OR($P216="",$P216="없음"),0,100000)),0)</f>
        <v>0</v>
      </c>
      <c r="K216" s="33">
        <f t="array" ref="K216">IF($O216="방문완료",IFERROR(INDEX(설정_코스수당!$B$15:$F$64,MATCH($G216,설정_코스수당!$A$15:$A$64,0),MATCH($E216&amp;"수당",설정_코스수당!$B$14:$F$14,0)),0),0)</f>
        <v>0</v>
      </c>
      <c r="L216" s="33">
        <f t="array" ref="L216">IF($O216="방문완료",IF($H216="",0,IFERROR(INDEX(설정_코스수당!$B$15:$F$64,MATCH($H216,설정_코스수당!$A$15:$A$64,0),MATCH($E216&amp;"수당",설정_코스수당!$B$14:$F$14,0)),0)),0)</f>
        <v>0</v>
      </c>
      <c r="M216" s="33">
        <f>IF($O216="방문완료",IFERROR(VLOOKUP($E216,설정_코스수당!$A$6:$H$10,6,FALSE),0),0)</f>
        <v>0</v>
      </c>
      <c r="N216" s="34">
        <f t="shared" si="5"/>
        <v>0</v>
      </c>
      <c r="O216" s="29"/>
      <c r="P216" s="29"/>
      <c r="Q216" s="29"/>
      <c r="R216" s="32"/>
      <c r="S216" s="29"/>
    </row>
    <row r="217" spans="1:27" ht="19.5" hidden="1" customHeight="1" outlineLevel="1">
      <c r="A217" s="36" t="s">
        <v>79</v>
      </c>
      <c r="B217" s="37"/>
      <c r="C217" s="38"/>
      <c r="D217" s="37"/>
      <c r="E217" s="37"/>
      <c r="F217" s="37"/>
      <c r="G217" s="37"/>
      <c r="H217" s="37"/>
      <c r="I217" s="37"/>
      <c r="J217" s="37">
        <f>IF($O217="방문완료",MAX(0,IFERROR(VLOOKUP($E217,설정_코스수당!$A$6:$H$10,4,FALSE),0)-IF(OR($P217="",$P217="없음"),0,100000)),0)</f>
        <v>0</v>
      </c>
      <c r="O217" s="18"/>
      <c r="P217" s="14"/>
      <c r="Q217" s="18"/>
      <c r="S217" s="18"/>
    </row>
    <row r="218" spans="1:27" ht="21" customHeight="1" collapsed="1">
      <c r="A218" s="123" t="str">
        <f>IF(3&lt;=DAY(DATE(YEAR(설정_코스수당!$K$2),MONTH(설정_코스수당!$K$2)+1,0)),TEXT(DATE(YEAR(설정_코스수당!$K$2),MONTH(설정_코스수당!$K$2),3),"yyyy-mm-dd")&amp;"  |  예약관리 100슬롯","")</f>
        <v>2026-06-03  |  예약관리 100슬롯</v>
      </c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spans="1:27" ht="19.5" hidden="1" customHeight="1" outlineLevel="1">
      <c r="A219" s="20" t="s">
        <v>41</v>
      </c>
      <c r="B219" s="20" t="s">
        <v>42</v>
      </c>
      <c r="C219" s="39" t="s">
        <v>43</v>
      </c>
      <c r="D219" s="20" t="s">
        <v>44</v>
      </c>
      <c r="E219" s="20" t="s">
        <v>45</v>
      </c>
      <c r="F219" s="20" t="s">
        <v>46</v>
      </c>
      <c r="G219" s="20" t="s">
        <v>47</v>
      </c>
      <c r="H219" s="20" t="s">
        <v>48</v>
      </c>
      <c r="I219" s="20" t="s">
        <v>49</v>
      </c>
      <c r="J219" s="20" t="s">
        <v>50</v>
      </c>
      <c r="K219" s="20" t="s">
        <v>51</v>
      </c>
      <c r="L219" s="20" t="s">
        <v>52</v>
      </c>
      <c r="M219" s="20" t="s">
        <v>53</v>
      </c>
      <c r="N219" s="20" t="s">
        <v>54</v>
      </c>
      <c r="O219" s="20" t="s">
        <v>55</v>
      </c>
      <c r="P219" s="20" t="s">
        <v>56</v>
      </c>
      <c r="Q219" s="20" t="s">
        <v>57</v>
      </c>
      <c r="R219" s="20" t="s">
        <v>58</v>
      </c>
      <c r="S219" s="20" t="s">
        <v>59</v>
      </c>
      <c r="U219" s="122" t="str">
        <f>IF(3&lt;=DAY(DATE(YEAR(설정_코스수당!$K$2),MONTH(설정_코스수당!$K$2)+1,0)),TEXT(DATE(YEAR(설정_코스수당!$K$2),MONTH(설정_코스수당!$K$2),3),"yyyy-mm-dd")&amp;" 일일 상태","")</f>
        <v>2026-06-03 일일 상태</v>
      </c>
      <c r="V219" s="125"/>
      <c r="W219" s="122" t="s">
        <v>3</v>
      </c>
      <c r="X219" s="125"/>
    </row>
    <row r="220" spans="1:27" ht="19.5" hidden="1" customHeight="1" outlineLevel="1">
      <c r="A220" s="23">
        <v>1</v>
      </c>
      <c r="B220" s="24">
        <f>IF(3&lt;=DAY(DATE(YEAR(설정_코스수당!$K$2),MONTH(설정_코스수당!$K$2)+1,0)),DATE(YEAR(설정_코스수당!$K$2),MONTH(설정_코스수당!$K$2),3),"")</f>
        <v>46176</v>
      </c>
      <c r="C220" s="25">
        <v>0.45833333333333331</v>
      </c>
      <c r="D220" s="23"/>
      <c r="E220" s="23"/>
      <c r="F220" s="26"/>
      <c r="G220" s="23"/>
      <c r="H220" s="23"/>
      <c r="I220" s="23"/>
      <c r="J220" s="27">
        <f>IF($O220="방문완료",MAX(0,IFERROR(VLOOKUP($E220,설정_코스수당!$A$6:$H$10,4,FALSE),0)-IF(OR($P220="",$P220="없음"),0,100000)),0)</f>
        <v>0</v>
      </c>
      <c r="K220" s="27">
        <f t="array" ref="K220">IF($O220="방문완료",IFERROR(INDEX(설정_코스수당!$B$15:$F$64,MATCH($G220,설정_코스수당!$A$15:$A$64,0),MATCH($E220&amp;"수당",설정_코스수당!$B$14:$F$14,0)),0),0)</f>
        <v>0</v>
      </c>
      <c r="L220" s="27">
        <f t="array" ref="L220">IF($O220="방문완료",IF($H220="",0,IFERROR(INDEX(설정_코스수당!$B$15:$F$64,MATCH($H220,설정_코스수당!$A$15:$A$64,0),MATCH($E220&amp;"수당",설정_코스수당!$B$14:$F$14,0)),0)),0)</f>
        <v>0</v>
      </c>
      <c r="M220" s="27">
        <f>IF($O220="방문완료",IFERROR(VLOOKUP($E220,설정_코스수당!$A$6:$H$10,6,FALSE),0),0)</f>
        <v>0</v>
      </c>
      <c r="N220" s="28">
        <f t="shared" ref="N220:N252" si="6">IF($O220="방문완료",1,0)</f>
        <v>0</v>
      </c>
      <c r="O220" s="23"/>
      <c r="P220" s="23"/>
      <c r="Q220" s="23"/>
      <c r="R220" s="26"/>
      <c r="S220" s="23"/>
      <c r="U220" s="104" t="s">
        <v>63</v>
      </c>
      <c r="V220" s="105">
        <f>IF(3&lt;=DAY(DATE(YEAR(설정_코스수당!$K$2),MONTH(설정_코스수당!$K$2)+1,0)),COUNTIFS($B:$B,DATE(YEAR(설정_코스수당!$K$2),MONTH(설정_코스수당!$K$2),3),$O:$O,"&lt;&gt;"),"")</f>
        <v>0</v>
      </c>
      <c r="W220" s="104" t="s">
        <v>6</v>
      </c>
      <c r="X220" s="105">
        <f>IF(3&lt;=DAY(DATE(YEAR(설정_코스수당!$K$2),MONTH(설정_코스수당!$K$2)+1,0)),COUNTIFS($B:$B,DATE(YEAR(설정_코스수당!$K$2),MONTH(설정_코스수당!$K$2),3),$E:$E,"A",$O:$O,"방문완료"),"")</f>
        <v>0</v>
      </c>
    </row>
    <row r="221" spans="1:27" ht="19.5" hidden="1" customHeight="1" outlineLevel="1">
      <c r="A221" s="29">
        <v>2</v>
      </c>
      <c r="B221" s="30">
        <f>IF(3&lt;=DAY(DATE(YEAR(설정_코스수당!$K$2),MONTH(설정_코스수당!$K$2)+1,0)),DATE(YEAR(설정_코스수당!$K$2),MONTH(설정_코스수당!$K$2),3),"")</f>
        <v>46176</v>
      </c>
      <c r="C221" s="31"/>
      <c r="D221" s="29"/>
      <c r="E221" s="29"/>
      <c r="F221" s="32"/>
      <c r="G221" s="29"/>
      <c r="H221" s="29"/>
      <c r="I221" s="29"/>
      <c r="J221" s="33">
        <f>IF($O221="방문완료",MAX(0,IFERROR(VLOOKUP($E221,설정_코스수당!$A$6:$H$10,4,FALSE),0)-IF(OR($P221="",$P221="없음"),0,100000)),0)</f>
        <v>0</v>
      </c>
      <c r="K221" s="33">
        <f t="array" ref="K221">IF($O221="방문완료",IFERROR(INDEX(설정_코스수당!$B$15:$F$64,MATCH($G221,설정_코스수당!$A$15:$A$64,0),MATCH($E221&amp;"수당",설정_코스수당!$B$14:$F$14,0)),0),0)</f>
        <v>0</v>
      </c>
      <c r="L221" s="33">
        <f t="array" ref="L221">IF($O221="방문완료",IF($H221="",0,IFERROR(INDEX(설정_코스수당!$B$15:$F$64,MATCH($H221,설정_코스수당!$A$15:$A$64,0),MATCH($E221&amp;"수당",설정_코스수당!$B$14:$F$14,0)),0)),0)</f>
        <v>0</v>
      </c>
      <c r="M221" s="33">
        <f>IF($O221="방문완료",IFERROR(VLOOKUP($E221,설정_코스수당!$A$6:$H$10,6,FALSE),0),0)</f>
        <v>0</v>
      </c>
      <c r="N221" s="34">
        <f t="shared" si="6"/>
        <v>0</v>
      </c>
      <c r="O221" s="29"/>
      <c r="P221" s="29"/>
      <c r="Q221" s="29"/>
      <c r="R221" s="32"/>
      <c r="S221" s="29"/>
      <c r="U221" s="104" t="s">
        <v>62</v>
      </c>
      <c r="V221" s="105">
        <f>IF(3&lt;=DAY(DATE(YEAR(설정_코스수당!$K$2),MONTH(설정_코스수당!$K$2)+1,0)),COUNTIFS($B:$B,DATE(YEAR(설정_코스수당!$K$2),MONTH(설정_코스수당!$K$2),3),$O:$O,"방문완료"),"")</f>
        <v>0</v>
      </c>
      <c r="W221" s="104" t="s">
        <v>9</v>
      </c>
      <c r="X221" s="105">
        <f>IF(3&lt;=DAY(DATE(YEAR(설정_코스수당!$K$2),MONTH(설정_코스수당!$K$2)+1,0)),COUNTIFS($B:$B,DATE(YEAR(설정_코스수당!$K$2),MONTH(설정_코스수당!$K$2),3),$E:$E,"B",$O:$O,"방문완료"),"")</f>
        <v>0</v>
      </c>
    </row>
    <row r="222" spans="1:27" ht="19.5" hidden="1" customHeight="1" outlineLevel="1">
      <c r="A222" s="23">
        <v>3</v>
      </c>
      <c r="B222" s="24">
        <f>IF(3&lt;=DAY(DATE(YEAR(설정_코스수당!$K$2),MONTH(설정_코스수당!$K$2)+1,0)),DATE(YEAR(설정_코스수당!$K$2),MONTH(설정_코스수당!$K$2),3),"")</f>
        <v>46176</v>
      </c>
      <c r="C222" s="25"/>
      <c r="D222" s="23"/>
      <c r="E222" s="23"/>
      <c r="F222" s="26"/>
      <c r="G222" s="23"/>
      <c r="H222" s="23"/>
      <c r="I222" s="23"/>
      <c r="J222" s="27">
        <f>IF($O222="방문완료",MAX(0,IFERROR(VLOOKUP($E222,설정_코스수당!$A$6:$H$10,4,FALSE),0)-IF(OR($P222="",$P222="없음"),0,100000)),0)</f>
        <v>0</v>
      </c>
      <c r="K222" s="27">
        <f t="array" ref="K222">IF($O222="방문완료",IFERROR(INDEX(설정_코스수당!$B$15:$F$64,MATCH($G222,설정_코스수당!$A$15:$A$64,0),MATCH($E222&amp;"수당",설정_코스수당!$B$14:$F$14,0)),0),0)</f>
        <v>0</v>
      </c>
      <c r="L222" s="27">
        <f t="array" ref="L222">IF($O222="방문완료",IF($H222="",0,IFERROR(INDEX(설정_코스수당!$B$15:$F$64,MATCH($H222,설정_코스수당!$A$15:$A$64,0),MATCH($E222&amp;"수당",설정_코스수당!$B$14:$F$14,0)),0)),0)</f>
        <v>0</v>
      </c>
      <c r="M222" s="27">
        <f>IF($O222="방문완료",IFERROR(VLOOKUP($E222,설정_코스수당!$A$6:$H$10,6,FALSE),0),0)</f>
        <v>0</v>
      </c>
      <c r="N222" s="28">
        <f t="shared" si="6"/>
        <v>0</v>
      </c>
      <c r="O222" s="23"/>
      <c r="P222" s="23"/>
      <c r="Q222" s="23"/>
      <c r="R222" s="26"/>
      <c r="S222" s="23"/>
      <c r="U222" s="104" t="s">
        <v>68</v>
      </c>
      <c r="V222" s="105" t="str">
        <f>IF(3&lt;=DAY(DATE(YEAR(설정_코스수당!$K$2),MONTH(설정_코스수당!$K$2)+1,0)),COUNTIFS($B:$B,DATE(YEAR(설정_코스수당!$K$2),MONTH(설정_코스수당!$K$2),3),$O:$O,"노쇼")&amp;"/"&amp;COUNTIFS($B:$B,DATE(YEAR(설정_코스수당!$K$2),MONTH(설정_코스수당!$K$2),3),$O:$O,"취소"),"")</f>
        <v>0/0</v>
      </c>
      <c r="W222" s="104" t="s">
        <v>12</v>
      </c>
      <c r="X222" s="105">
        <f>IF(3&lt;=DAY(DATE(YEAR(설정_코스수당!$K$2),MONTH(설정_코스수당!$K$2)+1,0)),COUNTIFS($B:$B,DATE(YEAR(설정_코스수당!$K$2),MONTH(설정_코스수당!$K$2),3),$E:$E,"C",$O:$O,"방문완료"),"")</f>
        <v>0</v>
      </c>
    </row>
    <row r="223" spans="1:27" ht="19.5" hidden="1" customHeight="1" outlineLevel="1">
      <c r="A223" s="29">
        <v>4</v>
      </c>
      <c r="B223" s="30">
        <f>IF(3&lt;=DAY(DATE(YEAR(설정_코스수당!$K$2),MONTH(설정_코스수당!$K$2)+1,0)),DATE(YEAR(설정_코스수당!$K$2),MONTH(설정_코스수당!$K$2),3),"")</f>
        <v>46176</v>
      </c>
      <c r="C223" s="31"/>
      <c r="D223" s="29"/>
      <c r="E223" s="29"/>
      <c r="F223" s="32"/>
      <c r="G223" s="29"/>
      <c r="H223" s="29"/>
      <c r="I223" s="29"/>
      <c r="J223" s="33">
        <f>IF($O223="방문완료",MAX(0,IFERROR(VLOOKUP($E223,설정_코스수당!$A$6:$H$10,4,FALSE),0)-IF(OR($P223="",$P223="없음"),0,100000)),0)</f>
        <v>0</v>
      </c>
      <c r="K223" s="33">
        <f t="array" ref="K223">IF($O223="방문완료",IFERROR(INDEX(설정_코스수당!$B$15:$F$64,MATCH($G223,설정_코스수당!$A$15:$A$64,0),MATCH($E223&amp;"수당",설정_코스수당!$B$14:$F$14,0)),0),0)</f>
        <v>0</v>
      </c>
      <c r="L223" s="33">
        <f t="array" ref="L223">IF($O223="방문완료",IF($H223="",0,IFERROR(INDEX(설정_코스수당!$B$15:$F$64,MATCH($H223,설정_코스수당!$A$15:$A$64,0),MATCH($E223&amp;"수당",설정_코스수당!$B$14:$F$14,0)),0)),0)</f>
        <v>0</v>
      </c>
      <c r="M223" s="33">
        <f>IF($O223="방문완료",IFERROR(VLOOKUP($E223,설정_코스수당!$A$6:$H$10,6,FALSE),0),0)</f>
        <v>0</v>
      </c>
      <c r="N223" s="34">
        <f t="shared" si="6"/>
        <v>0</v>
      </c>
      <c r="O223" s="29"/>
      <c r="P223" s="29"/>
      <c r="Q223" s="29"/>
      <c r="R223" s="32"/>
      <c r="S223" s="29"/>
      <c r="U223" s="104" t="s">
        <v>69</v>
      </c>
      <c r="V223" s="106">
        <f>IF(3&lt;=DAY(DATE(YEAR(설정_코스수당!$K$2),MONTH(설정_코스수당!$K$2)+1,0)),SUMIFS($J:$J,$B:$B,DATE(YEAR(설정_코스수당!$K$2),MONTH(설정_코스수당!$K$2),3),$O:$O,"방문완료"),"")</f>
        <v>0</v>
      </c>
      <c r="W223" s="104" t="s">
        <v>15</v>
      </c>
      <c r="X223" s="105">
        <f>IF(3&lt;=DAY(DATE(YEAR(설정_코스수당!$K$2),MONTH(설정_코스수당!$K$2)+1,0)),COUNTIFS($B:$B,DATE(YEAR(설정_코스수당!$K$2),MONTH(설정_코스수당!$K$2),3),$E:$E,"D",$O:$O,"방문완료"),"")</f>
        <v>0</v>
      </c>
    </row>
    <row r="224" spans="1:27" ht="19.5" hidden="1" customHeight="1" outlineLevel="1">
      <c r="A224" s="23">
        <v>5</v>
      </c>
      <c r="B224" s="24">
        <f>IF(3&lt;=DAY(DATE(YEAR(설정_코스수당!$K$2),MONTH(설정_코스수당!$K$2)+1,0)),DATE(YEAR(설정_코스수당!$K$2),MONTH(설정_코스수당!$K$2),3),"")</f>
        <v>46176</v>
      </c>
      <c r="C224" s="25"/>
      <c r="D224" s="23"/>
      <c r="E224" s="23"/>
      <c r="F224" s="26"/>
      <c r="G224" s="23"/>
      <c r="H224" s="23"/>
      <c r="I224" s="23"/>
      <c r="J224" s="27">
        <f>IF($O224="방문완료",MAX(0,IFERROR(VLOOKUP($E224,설정_코스수당!$A$6:$H$10,4,FALSE),0)-IF(OR($P224="",$P224="없음"),0,100000)),0)</f>
        <v>0</v>
      </c>
      <c r="K224" s="27">
        <f t="array" ref="K224">IF($O224="방문완료",IFERROR(INDEX(설정_코스수당!$B$15:$F$64,MATCH($G224,설정_코스수당!$A$15:$A$64,0),MATCH($E224&amp;"수당",설정_코스수당!$B$14:$F$14,0)),0),0)</f>
        <v>0</v>
      </c>
      <c r="L224" s="27">
        <f t="array" ref="L224">IF($O224="방문완료",IF($H224="",0,IFERROR(INDEX(설정_코스수당!$B$15:$F$64,MATCH($H224,설정_코스수당!$A$15:$A$64,0),MATCH($E224&amp;"수당",설정_코스수당!$B$14:$F$14,0)),0)),0)</f>
        <v>0</v>
      </c>
      <c r="M224" s="27">
        <f>IF($O224="방문완료",IFERROR(VLOOKUP($E224,설정_코스수당!$A$6:$H$10,6,FALSE),0),0)</f>
        <v>0</v>
      </c>
      <c r="N224" s="28">
        <f t="shared" si="6"/>
        <v>0</v>
      </c>
      <c r="O224" s="23"/>
      <c r="P224" s="23"/>
      <c r="Q224" s="23"/>
      <c r="R224" s="26"/>
      <c r="S224" s="23"/>
      <c r="U224" s="104" t="s">
        <v>70</v>
      </c>
      <c r="V224" s="106">
        <f>IF(3&lt;=DAY(DATE(YEAR(설정_코스수당!$K$2),MONTH(설정_코스수당!$K$2)+1,0)),SUMIFS($K:$K,$B:$B,DATE(YEAR(설정_코스수당!$K$2),MONTH(설정_코스수당!$K$2),3),$O:$O,"방문완료")+SUMIFS($L:$L,$B:$B,DATE(YEAR(설정_코스수당!$K$2),MONTH(설정_코스수당!$K$2),3),$O:$O,"방문완료"),"")</f>
        <v>0</v>
      </c>
      <c r="W224" s="104" t="s">
        <v>18</v>
      </c>
      <c r="X224" s="105">
        <f>IF(3&lt;=DAY(DATE(YEAR(설정_코스수당!$K$2),MONTH(설정_코스수당!$K$2)+1,0)),COUNTIFS($B:$B,DATE(YEAR(설정_코스수당!$K$2),MONTH(설정_코스수당!$K$2),3),$E:$E,"E",$O:$O,"방문완료"),"")</f>
        <v>0</v>
      </c>
    </row>
    <row r="225" spans="1:24" ht="19.5" hidden="1" customHeight="1" outlineLevel="1">
      <c r="A225" s="29">
        <v>6</v>
      </c>
      <c r="B225" s="30">
        <f>IF(3&lt;=DAY(DATE(YEAR(설정_코스수당!$K$2),MONTH(설정_코스수당!$K$2)+1,0)),DATE(YEAR(설정_코스수당!$K$2),MONTH(설정_코스수당!$K$2),3),"")</f>
        <v>46176</v>
      </c>
      <c r="C225" s="31"/>
      <c r="D225" s="29"/>
      <c r="E225" s="29"/>
      <c r="F225" s="32"/>
      <c r="G225" s="29"/>
      <c r="H225" s="29"/>
      <c r="I225" s="29"/>
      <c r="J225" s="33">
        <f>IF($O225="방문완료",MAX(0,IFERROR(VLOOKUP($E225,설정_코스수당!$A$6:$H$10,4,FALSE),0)-IF(OR($P225="",$P225="없음"),0,100000)),0)</f>
        <v>0</v>
      </c>
      <c r="K225" s="33">
        <f t="array" ref="K225">IF($O225="방문완료",IFERROR(INDEX(설정_코스수당!$B$15:$F$64,MATCH($G225,설정_코스수당!$A$15:$A$64,0),MATCH($E225&amp;"수당",설정_코스수당!$B$14:$F$14,0)),0),0)</f>
        <v>0</v>
      </c>
      <c r="L225" s="33">
        <f t="array" ref="L225">IF($O225="방문완료",IF($H225="",0,IFERROR(INDEX(설정_코스수당!$B$15:$F$64,MATCH($H225,설정_코스수당!$A$15:$A$64,0),MATCH($E225&amp;"수당",설정_코스수당!$B$14:$F$14,0)),0)),0)</f>
        <v>0</v>
      </c>
      <c r="M225" s="33">
        <f>IF($O225="방문완료",IFERROR(VLOOKUP($E225,설정_코스수당!$A$6:$H$10,6,FALSE),0),0)</f>
        <v>0</v>
      </c>
      <c r="N225" s="34">
        <f t="shared" si="6"/>
        <v>0</v>
      </c>
      <c r="O225" s="29"/>
      <c r="P225" s="29"/>
      <c r="Q225" s="29"/>
      <c r="R225" s="32"/>
      <c r="S225" s="29"/>
      <c r="U225" s="104" t="s">
        <v>53</v>
      </c>
      <c r="V225" s="106">
        <f>IF(3&lt;=DAY(DATE(YEAR(설정_코스수당!$K$2),MONTH(설정_코스수당!$K$2)+1,0)),SUMIFS($M:$M,$B:$B,DATE(YEAR(설정_코스수당!$K$2),MONTH(설정_코스수당!$K$2),3),$O:$O,"방문완료"),"")</f>
        <v>0</v>
      </c>
      <c r="W225" s="104" t="s">
        <v>71</v>
      </c>
      <c r="X225" s="107">
        <f>IF(3&lt;=DAY(DATE(YEAR(설정_코스수당!$K$2),MONTH(설정_코스수당!$K$2)+1,0)),COUNTIFS($B:$B,DATE(YEAR(설정_코스수당!$K$2),MONTH(설정_코스수당!$K$2),3),$O:$O,"방문완료",$P:$P,"&lt;&gt;",$P:$P,"&lt;&gt;없음"),"")</f>
        <v>0</v>
      </c>
    </row>
    <row r="226" spans="1:24" ht="19.5" hidden="1" customHeight="1" outlineLevel="1">
      <c r="A226" s="23">
        <v>7</v>
      </c>
      <c r="B226" s="24">
        <f>IF(3&lt;=DAY(DATE(YEAR(설정_코스수당!$K$2),MONTH(설정_코스수당!$K$2)+1,0)),DATE(YEAR(설정_코스수당!$K$2),MONTH(설정_코스수당!$K$2),3),"")</f>
        <v>46176</v>
      </c>
      <c r="C226" s="25"/>
      <c r="D226" s="23"/>
      <c r="E226" s="23"/>
      <c r="F226" s="26"/>
      <c r="G226" s="23"/>
      <c r="H226" s="23"/>
      <c r="I226" s="23"/>
      <c r="J226" s="27">
        <f>IF($O226="방문완료",MAX(0,IFERROR(VLOOKUP($E226,설정_코스수당!$A$6:$H$10,4,FALSE),0)-IF(OR($P226="",$P226="없음"),0,100000)),0)</f>
        <v>0</v>
      </c>
      <c r="K226" s="27">
        <f t="array" ref="K226">IF($O226="방문완료",IFERROR(INDEX(설정_코스수당!$B$15:$F$64,MATCH($G226,설정_코스수당!$A$15:$A$64,0),MATCH($E226&amp;"수당",설정_코스수당!$B$14:$F$14,0)),0),0)</f>
        <v>0</v>
      </c>
      <c r="L226" s="27">
        <f t="array" ref="L226">IF($O226="방문완료",IF($H226="",0,IFERROR(INDEX(설정_코스수당!$B$15:$F$64,MATCH($H226,설정_코스수당!$A$15:$A$64,0),MATCH($E226&amp;"수당",설정_코스수당!$B$14:$F$14,0)),0)),0)</f>
        <v>0</v>
      </c>
      <c r="M226" s="27">
        <f>IF($O226="방문완료",IFERROR(VLOOKUP($E226,설정_코스수당!$A$6:$H$10,6,FALSE),0),0)</f>
        <v>0</v>
      </c>
      <c r="N226" s="28">
        <f t="shared" si="6"/>
        <v>0</v>
      </c>
      <c r="O226" s="23"/>
      <c r="P226" s="23"/>
      <c r="Q226" s="23"/>
      <c r="R226" s="26"/>
      <c r="S226" s="23"/>
      <c r="U226" s="104" t="s">
        <v>72</v>
      </c>
      <c r="V226" s="108">
        <f>IF(3&lt;=DAY(DATE(YEAR(설정_코스수당!$K$2),MONTH(설정_코스수당!$K$2)+1,0)),COUNTIFS($B:$B,DATE(YEAR(설정_코스수당!$K$2),MONTH(설정_코스수당!$K$2),3),$O:$O,"방문완료",$P:$P,"&lt;&gt;",$P:$P,"&lt;&gt;없음")*100000,"")</f>
        <v>0</v>
      </c>
      <c r="W226" s="104" t="s">
        <v>73</v>
      </c>
      <c r="X226" s="105">
        <f>IF(3&lt;=DAY(DATE(YEAR(설정_코스수당!$K$2),MONTH(설정_코스수당!$K$2)+1,0)),COUNTIFS($B:$B,DATE(YEAR(설정_코스수당!$K$2),MONTH(설정_코스수당!$K$2),3),$G:$G,"&lt;&gt;",$O:$O,"방문완료")+COUNTIFS($B:$B,DATE(YEAR(설정_코스수당!$K$2),MONTH(설정_코스수당!$K$2),3),$H:$H,"&lt;&gt;",$O:$O,"방문완료"),"")</f>
        <v>0</v>
      </c>
    </row>
    <row r="227" spans="1:24" ht="19.5" hidden="1" customHeight="1" outlineLevel="1">
      <c r="A227" s="29">
        <v>8</v>
      </c>
      <c r="B227" s="30">
        <f>IF(3&lt;=DAY(DATE(YEAR(설정_코스수당!$K$2),MONTH(설정_코스수당!$K$2)+1,0)),DATE(YEAR(설정_코스수당!$K$2),MONTH(설정_코스수당!$K$2),3),"")</f>
        <v>46176</v>
      </c>
      <c r="C227" s="31"/>
      <c r="D227" s="29"/>
      <c r="E227" s="29"/>
      <c r="F227" s="32"/>
      <c r="G227" s="29"/>
      <c r="H227" s="29"/>
      <c r="I227" s="29"/>
      <c r="J227" s="33">
        <f>IF($O227="방문완료",MAX(0,IFERROR(VLOOKUP($E227,설정_코스수당!$A$6:$H$10,4,FALSE),0)-IF(OR($P227="",$P227="없음"),0,100000)),0)</f>
        <v>0</v>
      </c>
      <c r="K227" s="33">
        <f t="array" ref="K227">IF($O227="방문완료",IFERROR(INDEX(설정_코스수당!$B$15:$F$64,MATCH($G227,설정_코스수당!$A$15:$A$64,0),MATCH($E227&amp;"수당",설정_코스수당!$B$14:$F$14,0)),0),0)</f>
        <v>0</v>
      </c>
      <c r="L227" s="33">
        <f t="array" ref="L227">IF($O227="방문완료",IF($H227="",0,IFERROR(INDEX(설정_코스수당!$B$15:$F$64,MATCH($H227,설정_코스수당!$A$15:$A$64,0),MATCH($E227&amp;"수당",설정_코스수당!$B$14:$F$14,0)),0)),0)</f>
        <v>0</v>
      </c>
      <c r="M227" s="33">
        <f>IF($O227="방문완료",IFERROR(VLOOKUP($E227,설정_코스수당!$A$6:$H$10,6,FALSE),0),0)</f>
        <v>0</v>
      </c>
      <c r="N227" s="34">
        <f t="shared" si="6"/>
        <v>0</v>
      </c>
      <c r="O227" s="29"/>
      <c r="P227" s="29"/>
      <c r="Q227" s="29"/>
      <c r="R227" s="32"/>
      <c r="S227" s="29"/>
      <c r="U227" s="104" t="s">
        <v>74</v>
      </c>
      <c r="V227" s="108">
        <f>IF(3&lt;=DAY(DATE(YEAR(설정_코스수당!$K$2),MONTH(설정_코스수당!$K$2)+1,0)),SUM($U$231:$U$238),"")</f>
        <v>0</v>
      </c>
      <c r="W227" s="122" t="str">
        <f>IF(3&lt;=DAY(DATE(YEAR(설정_코스수당!$K$2),MONTH(설정_코스수당!$K$2)+1,0)),"계 : "&amp;TEXT(V223-V227,"#,##0")&amp;" 동","")</f>
        <v>계 : 0 동</v>
      </c>
      <c r="X227" s="122"/>
    </row>
    <row r="228" spans="1:24" ht="19.5" hidden="1" customHeight="1" outlineLevel="1">
      <c r="A228" s="23">
        <v>9</v>
      </c>
      <c r="B228" s="24">
        <f>IF(3&lt;=DAY(DATE(YEAR(설정_코스수당!$K$2),MONTH(설정_코스수당!$K$2)+1,0)),DATE(YEAR(설정_코스수당!$K$2),MONTH(설정_코스수당!$K$2),3),"")</f>
        <v>46176</v>
      </c>
      <c r="C228" s="25"/>
      <c r="D228" s="23"/>
      <c r="E228" s="23"/>
      <c r="F228" s="26"/>
      <c r="G228" s="23"/>
      <c r="H228" s="23"/>
      <c r="I228" s="23"/>
      <c r="J228" s="27">
        <f>IF($O228="방문완료",MAX(0,IFERROR(VLOOKUP($E228,설정_코스수당!$A$6:$H$10,4,FALSE),0)-IF(OR($P228="",$P228="없음"),0,100000)),0)</f>
        <v>0</v>
      </c>
      <c r="K228" s="27">
        <f t="array" ref="K228">IF($O228="방문완료",IFERROR(INDEX(설정_코스수당!$B$15:$F$64,MATCH($G228,설정_코스수당!$A$15:$A$64,0),MATCH($E228&amp;"수당",설정_코스수당!$B$14:$F$14,0)),0),0)</f>
        <v>0</v>
      </c>
      <c r="L228" s="27">
        <f t="array" ref="L228">IF($O228="방문완료",IF($H228="",0,IFERROR(INDEX(설정_코스수당!$B$15:$F$64,MATCH($H228,설정_코스수당!$A$15:$A$64,0),MATCH($E228&amp;"수당",설정_코스수당!$B$14:$F$14,0)),0)),0)</f>
        <v>0</v>
      </c>
      <c r="M228" s="27">
        <f>IF($O228="방문완료",IFERROR(VLOOKUP($E228,설정_코스수당!$A$6:$H$10,6,FALSE),0),0)</f>
        <v>0</v>
      </c>
      <c r="N228" s="28">
        <f t="shared" si="6"/>
        <v>0</v>
      </c>
      <c r="O228" s="23"/>
      <c r="P228" s="23"/>
      <c r="Q228" s="23"/>
      <c r="R228" s="26"/>
      <c r="S228" s="23"/>
    </row>
    <row r="229" spans="1:24" ht="19.5" hidden="1" customHeight="1" outlineLevel="1">
      <c r="A229" s="29">
        <v>10</v>
      </c>
      <c r="B229" s="30">
        <f>IF(3&lt;=DAY(DATE(YEAR(설정_코스수당!$K$2),MONTH(설정_코스수당!$K$2)+1,0)),DATE(YEAR(설정_코스수당!$K$2),MONTH(설정_코스수당!$K$2),3),"")</f>
        <v>46176</v>
      </c>
      <c r="C229" s="31"/>
      <c r="D229" s="29"/>
      <c r="E229" s="29"/>
      <c r="F229" s="32"/>
      <c r="G229" s="29"/>
      <c r="H229" s="29"/>
      <c r="I229" s="29"/>
      <c r="J229" s="33">
        <f>IF($O229="방문완료",MAX(0,IFERROR(VLOOKUP($E229,설정_코스수당!$A$6:$H$10,4,FALSE),0)-IF(OR($P229="",$P229="없음"),0,100000)),0)</f>
        <v>0</v>
      </c>
      <c r="K229" s="33">
        <f t="array" ref="K229">IF($O229="방문완료",IFERROR(INDEX(설정_코스수당!$B$15:$F$64,MATCH($G229,설정_코스수당!$A$15:$A$64,0),MATCH($E229&amp;"수당",설정_코스수당!$B$14:$F$14,0)),0),0)</f>
        <v>0</v>
      </c>
      <c r="L229" s="33">
        <f t="array" ref="L229">IF($O229="방문완료",IF($H229="",0,IFERROR(INDEX(설정_코스수당!$B$15:$F$64,MATCH($H229,설정_코스수당!$A$15:$A$64,0),MATCH($E229&amp;"수당",설정_코스수당!$B$14:$F$14,0)),0)),0)</f>
        <v>0</v>
      </c>
      <c r="M229" s="33">
        <f>IF($O229="방문완료",IFERROR(VLOOKUP($E229,설정_코스수당!$A$6:$H$10,6,FALSE),0),0)</f>
        <v>0</v>
      </c>
      <c r="N229" s="34">
        <f t="shared" si="6"/>
        <v>0</v>
      </c>
      <c r="O229" s="29"/>
      <c r="P229" s="29"/>
      <c r="Q229" s="29"/>
      <c r="R229" s="32"/>
      <c r="S229" s="29"/>
      <c r="U229" s="120" t="s">
        <v>75</v>
      </c>
      <c r="V229" s="121"/>
      <c r="W229" s="121"/>
      <c r="X229" s="121"/>
    </row>
    <row r="230" spans="1:24" ht="19.5" hidden="1" customHeight="1" outlineLevel="1">
      <c r="A230" s="23">
        <v>11</v>
      </c>
      <c r="B230" s="24">
        <f>IF(3&lt;=DAY(DATE(YEAR(설정_코스수당!$K$2),MONTH(설정_코스수당!$K$2)+1,0)),DATE(YEAR(설정_코스수당!$K$2),MONTH(설정_코스수당!$K$2),3),"")</f>
        <v>46176</v>
      </c>
      <c r="C230" s="25"/>
      <c r="D230" s="23"/>
      <c r="E230" s="23"/>
      <c r="F230" s="26"/>
      <c r="G230" s="23"/>
      <c r="H230" s="23"/>
      <c r="I230" s="23"/>
      <c r="J230" s="27">
        <f>IF($O230="방문완료",MAX(0,IFERROR(VLOOKUP($E230,설정_코스수당!$A$6:$H$10,4,FALSE),0)-IF(OR($P230="",$P230="없음"),0,100000)),0)</f>
        <v>0</v>
      </c>
      <c r="K230" s="27">
        <f t="array" ref="K230">IF($O230="방문완료",IFERROR(INDEX(설정_코스수당!$B$15:$F$64,MATCH($G230,설정_코스수당!$A$15:$A$64,0),MATCH($E230&amp;"수당",설정_코스수당!$B$14:$F$14,0)),0),0)</f>
        <v>0</v>
      </c>
      <c r="L230" s="27">
        <f t="array" ref="L230">IF($O230="방문완료",IF($H230="",0,IFERROR(INDEX(설정_코스수당!$B$15:$F$64,MATCH($H230,설정_코스수당!$A$15:$A$64,0),MATCH($E230&amp;"수당",설정_코스수당!$B$14:$F$14,0)),0)),0)</f>
        <v>0</v>
      </c>
      <c r="M230" s="27">
        <f>IF($O230="방문완료",IFERROR(VLOOKUP($E230,설정_코스수당!$A$6:$H$10,6,FALSE),0),0)</f>
        <v>0</v>
      </c>
      <c r="N230" s="28">
        <f t="shared" si="6"/>
        <v>0</v>
      </c>
      <c r="O230" s="23"/>
      <c r="P230" s="23"/>
      <c r="Q230" s="23"/>
      <c r="R230" s="26"/>
      <c r="S230" s="23"/>
      <c r="U230" s="109" t="s">
        <v>76</v>
      </c>
      <c r="V230" s="109" t="s">
        <v>77</v>
      </c>
      <c r="W230" s="109" t="s">
        <v>78</v>
      </c>
      <c r="X230" s="109" t="s">
        <v>58</v>
      </c>
    </row>
    <row r="231" spans="1:24" ht="19.5" hidden="1" customHeight="1" outlineLevel="1">
      <c r="A231" s="29">
        <v>12</v>
      </c>
      <c r="B231" s="30">
        <f>IF(3&lt;=DAY(DATE(YEAR(설정_코스수당!$K$2),MONTH(설정_코스수당!$K$2)+1,0)),DATE(YEAR(설정_코스수당!$K$2),MONTH(설정_코스수당!$K$2),3),"")</f>
        <v>46176</v>
      </c>
      <c r="C231" s="31"/>
      <c r="D231" s="29"/>
      <c r="E231" s="29"/>
      <c r="F231" s="32"/>
      <c r="G231" s="29"/>
      <c r="H231" s="29"/>
      <c r="I231" s="29"/>
      <c r="J231" s="33">
        <f>IF($O231="방문완료",MAX(0,IFERROR(VLOOKUP($E231,설정_코스수당!$A$6:$H$10,4,FALSE),0)-IF(OR($P231="",$P231="없음"),0,100000)),0)</f>
        <v>0</v>
      </c>
      <c r="K231" s="33">
        <f t="array" ref="K231">IF($O231="방문완료",IFERROR(INDEX(설정_코스수당!$B$15:$F$64,MATCH($G231,설정_코스수당!$A$15:$A$64,0),MATCH($E231&amp;"수당",설정_코스수당!$B$14:$F$14,0)),0),0)</f>
        <v>0</v>
      </c>
      <c r="L231" s="33">
        <f t="array" ref="L231">IF($O231="방문완료",IF($H231="",0,IFERROR(INDEX(설정_코스수당!$B$15:$F$64,MATCH($H231,설정_코스수당!$A$15:$A$64,0),MATCH($E231&amp;"수당",설정_코스수당!$B$14:$F$14,0)),0)),0)</f>
        <v>0</v>
      </c>
      <c r="M231" s="33">
        <f>IF($O231="방문완료",IFERROR(VLOOKUP($E231,설정_코스수당!$A$6:$H$10,6,FALSE),0),0)</f>
        <v>0</v>
      </c>
      <c r="N231" s="34">
        <f t="shared" si="6"/>
        <v>0</v>
      </c>
      <c r="O231" s="29"/>
      <c r="P231" s="29"/>
      <c r="Q231" s="29"/>
      <c r="R231" s="32"/>
      <c r="S231" s="29"/>
      <c r="U231" s="113"/>
      <c r="V231" s="111"/>
      <c r="W231" s="112"/>
      <c r="X231" s="111"/>
    </row>
    <row r="232" spans="1:24" ht="19.5" hidden="1" customHeight="1" outlineLevel="1">
      <c r="A232" s="23">
        <v>13</v>
      </c>
      <c r="B232" s="24">
        <f>IF(3&lt;=DAY(DATE(YEAR(설정_코스수당!$K$2),MONTH(설정_코스수당!$K$2)+1,0)),DATE(YEAR(설정_코스수당!$K$2),MONTH(설정_코스수당!$K$2),3),"")</f>
        <v>46176</v>
      </c>
      <c r="C232" s="25"/>
      <c r="D232" s="23"/>
      <c r="E232" s="23"/>
      <c r="F232" s="26"/>
      <c r="G232" s="23"/>
      <c r="H232" s="23"/>
      <c r="I232" s="23"/>
      <c r="J232" s="27">
        <f>IF($O232="방문완료",MAX(0,IFERROR(VLOOKUP($E232,설정_코스수당!$A$6:$H$10,4,FALSE),0)-IF(OR($P232="",$P232="없음"),0,100000)),0)</f>
        <v>0</v>
      </c>
      <c r="K232" s="27">
        <f t="array" ref="K232">IF($O232="방문완료",IFERROR(INDEX(설정_코스수당!$B$15:$F$64,MATCH($G232,설정_코스수당!$A$15:$A$64,0),MATCH($E232&amp;"수당",설정_코스수당!$B$14:$F$14,0)),0),0)</f>
        <v>0</v>
      </c>
      <c r="L232" s="27">
        <f t="array" ref="L232">IF($O232="방문완료",IF($H232="",0,IFERROR(INDEX(설정_코스수당!$B$15:$F$64,MATCH($H232,설정_코스수당!$A$15:$A$64,0),MATCH($E232&amp;"수당",설정_코스수당!$B$14:$F$14,0)),0)),0)</f>
        <v>0</v>
      </c>
      <c r="M232" s="27">
        <f>IF($O232="방문완료",IFERROR(VLOOKUP($E232,설정_코스수당!$A$6:$H$10,6,FALSE),0),0)</f>
        <v>0</v>
      </c>
      <c r="N232" s="28">
        <f t="shared" si="6"/>
        <v>0</v>
      </c>
      <c r="O232" s="23"/>
      <c r="P232" s="23"/>
      <c r="Q232" s="23"/>
      <c r="R232" s="26"/>
      <c r="S232" s="23"/>
      <c r="U232" s="113"/>
      <c r="V232" s="111"/>
      <c r="W232" s="112"/>
      <c r="X232" s="111"/>
    </row>
    <row r="233" spans="1:24" ht="19.5" hidden="1" customHeight="1" outlineLevel="1">
      <c r="A233" s="29">
        <v>14</v>
      </c>
      <c r="B233" s="30">
        <f>IF(3&lt;=DAY(DATE(YEAR(설정_코스수당!$K$2),MONTH(설정_코스수당!$K$2)+1,0)),DATE(YEAR(설정_코스수당!$K$2),MONTH(설정_코스수당!$K$2),3),"")</f>
        <v>46176</v>
      </c>
      <c r="C233" s="31"/>
      <c r="D233" s="29"/>
      <c r="E233" s="29"/>
      <c r="F233" s="32"/>
      <c r="G233" s="29"/>
      <c r="H233" s="29"/>
      <c r="I233" s="29"/>
      <c r="J233" s="33">
        <f>IF($O233="방문완료",MAX(0,IFERROR(VLOOKUP($E233,설정_코스수당!$A$6:$H$10,4,FALSE),0)-IF(OR($P233="",$P233="없음"),0,100000)),0)</f>
        <v>0</v>
      </c>
      <c r="K233" s="33">
        <f t="array" ref="K233">IF($O233="방문완료",IFERROR(INDEX(설정_코스수당!$B$15:$F$64,MATCH($G233,설정_코스수당!$A$15:$A$64,0),MATCH($E233&amp;"수당",설정_코스수당!$B$14:$F$14,0)),0),0)</f>
        <v>0</v>
      </c>
      <c r="L233" s="33">
        <f t="array" ref="L233">IF($O233="방문완료",IF($H233="",0,IFERROR(INDEX(설정_코스수당!$B$15:$F$64,MATCH($H233,설정_코스수당!$A$15:$A$64,0),MATCH($E233&amp;"수당",설정_코스수당!$B$14:$F$14,0)),0)),0)</f>
        <v>0</v>
      </c>
      <c r="M233" s="33">
        <f>IF($O233="방문완료",IFERROR(VLOOKUP($E233,설정_코스수당!$A$6:$H$10,6,FALSE),0),0)</f>
        <v>0</v>
      </c>
      <c r="N233" s="34">
        <f t="shared" si="6"/>
        <v>0</v>
      </c>
      <c r="O233" s="29"/>
      <c r="P233" s="29"/>
      <c r="Q233" s="29"/>
      <c r="R233" s="32"/>
      <c r="S233" s="29"/>
      <c r="U233" s="113"/>
      <c r="V233" s="111"/>
      <c r="W233" s="112"/>
      <c r="X233" s="111"/>
    </row>
    <row r="234" spans="1:24" ht="19.5" hidden="1" customHeight="1" outlineLevel="1">
      <c r="A234" s="23">
        <v>15</v>
      </c>
      <c r="B234" s="24">
        <f>IF(3&lt;=DAY(DATE(YEAR(설정_코스수당!$K$2),MONTH(설정_코스수당!$K$2)+1,0)),DATE(YEAR(설정_코스수당!$K$2),MONTH(설정_코스수당!$K$2),3),"")</f>
        <v>46176</v>
      </c>
      <c r="C234" s="25"/>
      <c r="D234" s="23"/>
      <c r="E234" s="23"/>
      <c r="F234" s="26"/>
      <c r="G234" s="23"/>
      <c r="H234" s="23"/>
      <c r="I234" s="23"/>
      <c r="J234" s="27">
        <f>IF($O234="방문완료",MAX(0,IFERROR(VLOOKUP($E234,설정_코스수당!$A$6:$H$10,4,FALSE),0)-IF(OR($P234="",$P234="없음"),0,100000)),0)</f>
        <v>0</v>
      </c>
      <c r="K234" s="27">
        <f t="array" ref="K234">IF($O234="방문완료",IFERROR(INDEX(설정_코스수당!$B$15:$F$64,MATCH($G234,설정_코스수당!$A$15:$A$64,0),MATCH($E234&amp;"수당",설정_코스수당!$B$14:$F$14,0)),0),0)</f>
        <v>0</v>
      </c>
      <c r="L234" s="27">
        <f t="array" ref="L234">IF($O234="방문완료",IF($H234="",0,IFERROR(INDEX(설정_코스수당!$B$15:$F$64,MATCH($H234,설정_코스수당!$A$15:$A$64,0),MATCH($E234&amp;"수당",설정_코스수당!$B$14:$F$14,0)),0)),0)</f>
        <v>0</v>
      </c>
      <c r="M234" s="27">
        <f>IF($O234="방문완료",IFERROR(VLOOKUP($E234,설정_코스수당!$A$6:$H$10,6,FALSE),0),0)</f>
        <v>0</v>
      </c>
      <c r="N234" s="28">
        <f t="shared" si="6"/>
        <v>0</v>
      </c>
      <c r="O234" s="23"/>
      <c r="P234" s="23"/>
      <c r="Q234" s="23"/>
      <c r="R234" s="26"/>
      <c r="S234" s="23"/>
      <c r="U234" s="113"/>
      <c r="V234" s="111"/>
      <c r="W234" s="112"/>
      <c r="X234" s="111"/>
    </row>
    <row r="235" spans="1:24" ht="19.5" hidden="1" customHeight="1" outlineLevel="1">
      <c r="A235" s="29">
        <v>16</v>
      </c>
      <c r="B235" s="30">
        <f>IF(3&lt;=DAY(DATE(YEAR(설정_코스수당!$K$2),MONTH(설정_코스수당!$K$2)+1,0)),DATE(YEAR(설정_코스수당!$K$2),MONTH(설정_코스수당!$K$2),3),"")</f>
        <v>46176</v>
      </c>
      <c r="C235" s="31"/>
      <c r="D235" s="29"/>
      <c r="E235" s="29"/>
      <c r="F235" s="32"/>
      <c r="G235" s="29"/>
      <c r="H235" s="29"/>
      <c r="I235" s="29"/>
      <c r="J235" s="33">
        <f>IF($O235="방문완료",MAX(0,IFERROR(VLOOKUP($E235,설정_코스수당!$A$6:$H$10,4,FALSE),0)-IF(OR($P235="",$P235="없음"),0,100000)),0)</f>
        <v>0</v>
      </c>
      <c r="K235" s="33">
        <f t="array" ref="K235">IF($O235="방문완료",IFERROR(INDEX(설정_코스수당!$B$15:$F$64,MATCH($G235,설정_코스수당!$A$15:$A$64,0),MATCH($E235&amp;"수당",설정_코스수당!$B$14:$F$14,0)),0),0)</f>
        <v>0</v>
      </c>
      <c r="L235" s="33">
        <f t="array" ref="L235">IF($O235="방문완료",IF($H235="",0,IFERROR(INDEX(설정_코스수당!$B$15:$F$64,MATCH($H235,설정_코스수당!$A$15:$A$64,0),MATCH($E235&amp;"수당",설정_코스수당!$B$14:$F$14,0)),0)),0)</f>
        <v>0</v>
      </c>
      <c r="M235" s="33">
        <f>IF($O235="방문완료",IFERROR(VLOOKUP($E235,설정_코스수당!$A$6:$H$10,6,FALSE),0),0)</f>
        <v>0</v>
      </c>
      <c r="N235" s="34">
        <f t="shared" si="6"/>
        <v>0</v>
      </c>
      <c r="O235" s="29"/>
      <c r="P235" s="29"/>
      <c r="Q235" s="29"/>
      <c r="R235" s="32"/>
      <c r="S235" s="29"/>
      <c r="U235" s="113"/>
      <c r="V235" s="111"/>
      <c r="W235" s="112"/>
      <c r="X235" s="111"/>
    </row>
    <row r="236" spans="1:24" ht="19.5" hidden="1" customHeight="1" outlineLevel="1">
      <c r="A236" s="23">
        <v>17</v>
      </c>
      <c r="B236" s="24">
        <f>IF(3&lt;=DAY(DATE(YEAR(설정_코스수당!$K$2),MONTH(설정_코스수당!$K$2)+1,0)),DATE(YEAR(설정_코스수당!$K$2),MONTH(설정_코스수당!$K$2),3),"")</f>
        <v>46176</v>
      </c>
      <c r="C236" s="25"/>
      <c r="D236" s="23"/>
      <c r="E236" s="23"/>
      <c r="F236" s="26"/>
      <c r="G236" s="23"/>
      <c r="H236" s="23"/>
      <c r="I236" s="23"/>
      <c r="J236" s="27">
        <f>IF($O236="방문완료",MAX(0,IFERROR(VLOOKUP($E236,설정_코스수당!$A$6:$H$10,4,FALSE),0)-IF(OR($P236="",$P236="없음"),0,100000)),0)</f>
        <v>0</v>
      </c>
      <c r="K236" s="27">
        <f t="array" ref="K236">IF($O236="방문완료",IFERROR(INDEX(설정_코스수당!$B$15:$F$64,MATCH($G236,설정_코스수당!$A$15:$A$64,0),MATCH($E236&amp;"수당",설정_코스수당!$B$14:$F$14,0)),0),0)</f>
        <v>0</v>
      </c>
      <c r="L236" s="27">
        <f t="array" ref="L236">IF($O236="방문완료",IF($H236="",0,IFERROR(INDEX(설정_코스수당!$B$15:$F$64,MATCH($H236,설정_코스수당!$A$15:$A$64,0),MATCH($E236&amp;"수당",설정_코스수당!$B$14:$F$14,0)),0)),0)</f>
        <v>0</v>
      </c>
      <c r="M236" s="27">
        <f>IF($O236="방문완료",IFERROR(VLOOKUP($E236,설정_코스수당!$A$6:$H$10,6,FALSE),0),0)</f>
        <v>0</v>
      </c>
      <c r="N236" s="28">
        <f t="shared" si="6"/>
        <v>0</v>
      </c>
      <c r="O236" s="23"/>
      <c r="P236" s="23"/>
      <c r="Q236" s="23"/>
      <c r="R236" s="26"/>
      <c r="S236" s="23"/>
      <c r="U236" s="113"/>
      <c r="V236" s="111"/>
      <c r="W236" s="112"/>
      <c r="X236" s="111"/>
    </row>
    <row r="237" spans="1:24" ht="19.5" hidden="1" customHeight="1" outlineLevel="1">
      <c r="A237" s="29">
        <v>18</v>
      </c>
      <c r="B237" s="30">
        <f>IF(3&lt;=DAY(DATE(YEAR(설정_코스수당!$K$2),MONTH(설정_코스수당!$K$2)+1,0)),DATE(YEAR(설정_코스수당!$K$2),MONTH(설정_코스수당!$K$2),3),"")</f>
        <v>46176</v>
      </c>
      <c r="C237" s="31"/>
      <c r="D237" s="29"/>
      <c r="E237" s="29"/>
      <c r="F237" s="32"/>
      <c r="G237" s="29"/>
      <c r="H237" s="29"/>
      <c r="I237" s="29"/>
      <c r="J237" s="33">
        <f>IF($O237="방문완료",MAX(0,IFERROR(VLOOKUP($E237,설정_코스수당!$A$6:$H$10,4,FALSE),0)-IF(OR($P237="",$P237="없음"),0,100000)),0)</f>
        <v>0</v>
      </c>
      <c r="K237" s="33">
        <f t="array" ref="K237">IF($O237="방문완료",IFERROR(INDEX(설정_코스수당!$B$15:$F$64,MATCH($G237,설정_코스수당!$A$15:$A$64,0),MATCH($E237&amp;"수당",설정_코스수당!$B$14:$F$14,0)),0),0)</f>
        <v>0</v>
      </c>
      <c r="L237" s="33">
        <f t="array" ref="L237">IF($O237="방문완료",IF($H237="",0,IFERROR(INDEX(설정_코스수당!$B$15:$F$64,MATCH($H237,설정_코스수당!$A$15:$A$64,0),MATCH($E237&amp;"수당",설정_코스수당!$B$14:$F$14,0)),0)),0)</f>
        <v>0</v>
      </c>
      <c r="M237" s="33">
        <f>IF($O237="방문완료",IFERROR(VLOOKUP($E237,설정_코스수당!$A$6:$H$10,6,FALSE),0),0)</f>
        <v>0</v>
      </c>
      <c r="N237" s="34">
        <f t="shared" si="6"/>
        <v>0</v>
      </c>
      <c r="O237" s="29"/>
      <c r="P237" s="29"/>
      <c r="Q237" s="29"/>
      <c r="R237" s="32"/>
      <c r="S237" s="29"/>
      <c r="U237" s="113"/>
      <c r="V237" s="111"/>
      <c r="W237" s="112"/>
      <c r="X237" s="111"/>
    </row>
    <row r="238" spans="1:24" ht="19.5" hidden="1" customHeight="1" outlineLevel="1">
      <c r="A238" s="23">
        <v>19</v>
      </c>
      <c r="B238" s="24">
        <f>IF(3&lt;=DAY(DATE(YEAR(설정_코스수당!$K$2),MONTH(설정_코스수당!$K$2)+1,0)),DATE(YEAR(설정_코스수당!$K$2),MONTH(설정_코스수당!$K$2),3),"")</f>
        <v>46176</v>
      </c>
      <c r="C238" s="25"/>
      <c r="D238" s="23"/>
      <c r="E238" s="23"/>
      <c r="F238" s="26"/>
      <c r="G238" s="23"/>
      <c r="H238" s="23"/>
      <c r="I238" s="23"/>
      <c r="J238" s="27">
        <f>IF($O238="방문완료",MAX(0,IFERROR(VLOOKUP($E238,설정_코스수당!$A$6:$H$10,4,FALSE),0)-IF(OR($P238="",$P238="없음"),0,100000)),0)</f>
        <v>0</v>
      </c>
      <c r="K238" s="27">
        <f t="array" ref="K238">IF($O238="방문완료",IFERROR(INDEX(설정_코스수당!$B$15:$F$64,MATCH($G238,설정_코스수당!$A$15:$A$64,0),MATCH($E238&amp;"수당",설정_코스수당!$B$14:$F$14,0)),0),0)</f>
        <v>0</v>
      </c>
      <c r="L238" s="27">
        <f t="array" ref="L238">IF($O238="방문완료",IF($H238="",0,IFERROR(INDEX(설정_코스수당!$B$15:$F$64,MATCH($H238,설정_코스수당!$A$15:$A$64,0),MATCH($E238&amp;"수당",설정_코스수당!$B$14:$F$14,0)),0)),0)</f>
        <v>0</v>
      </c>
      <c r="M238" s="27">
        <f>IF($O238="방문완료",IFERROR(VLOOKUP($E238,설정_코스수당!$A$6:$H$10,6,FALSE),0),0)</f>
        <v>0</v>
      </c>
      <c r="N238" s="28">
        <f t="shared" si="6"/>
        <v>0</v>
      </c>
      <c r="O238" s="23"/>
      <c r="P238" s="23"/>
      <c r="Q238" s="23"/>
      <c r="R238" s="26"/>
      <c r="S238" s="23"/>
      <c r="U238" s="113"/>
      <c r="V238" s="111"/>
      <c r="W238" s="112"/>
      <c r="X238" s="111"/>
    </row>
    <row r="239" spans="1:24" ht="19.5" hidden="1" customHeight="1" outlineLevel="1">
      <c r="A239" s="29">
        <v>20</v>
      </c>
      <c r="B239" s="30">
        <f>IF(3&lt;=DAY(DATE(YEAR(설정_코스수당!$K$2),MONTH(설정_코스수당!$K$2)+1,0)),DATE(YEAR(설정_코스수당!$K$2),MONTH(설정_코스수당!$K$2),3),"")</f>
        <v>46176</v>
      </c>
      <c r="C239" s="31"/>
      <c r="D239" s="29"/>
      <c r="E239" s="29"/>
      <c r="F239" s="32"/>
      <c r="G239" s="29"/>
      <c r="H239" s="29"/>
      <c r="I239" s="29"/>
      <c r="J239" s="33">
        <f>IF($O239="방문완료",MAX(0,IFERROR(VLOOKUP($E239,설정_코스수당!$A$6:$H$10,4,FALSE),0)-IF(OR($P239="",$P239="없음"),0,100000)),0)</f>
        <v>0</v>
      </c>
      <c r="K239" s="33">
        <f t="array" ref="K239">IF($O239="방문완료",IFERROR(INDEX(설정_코스수당!$B$15:$F$64,MATCH($G239,설정_코스수당!$A$15:$A$64,0),MATCH($E239&amp;"수당",설정_코스수당!$B$14:$F$14,0)),0),0)</f>
        <v>0</v>
      </c>
      <c r="L239" s="33">
        <f t="array" ref="L239">IF($O239="방문완료",IF($H239="",0,IFERROR(INDEX(설정_코스수당!$B$15:$F$64,MATCH($H239,설정_코스수당!$A$15:$A$64,0),MATCH($E239&amp;"수당",설정_코스수당!$B$14:$F$14,0)),0)),0)</f>
        <v>0</v>
      </c>
      <c r="M239" s="33">
        <f>IF($O239="방문완료",IFERROR(VLOOKUP($E239,설정_코스수당!$A$6:$H$10,6,FALSE),0),0)</f>
        <v>0</v>
      </c>
      <c r="N239" s="34">
        <f t="shared" si="6"/>
        <v>0</v>
      </c>
      <c r="O239" s="29"/>
      <c r="P239" s="29"/>
      <c r="Q239" s="29"/>
      <c r="R239" s="32"/>
      <c r="S239" s="29"/>
    </row>
    <row r="240" spans="1:24" ht="19.5" hidden="1" customHeight="1" outlineLevel="1">
      <c r="A240" s="23">
        <v>21</v>
      </c>
      <c r="B240" s="24">
        <f>IF(3&lt;=DAY(DATE(YEAR(설정_코스수당!$K$2),MONTH(설정_코스수당!$K$2)+1,0)),DATE(YEAR(설정_코스수당!$K$2),MONTH(설정_코스수당!$K$2),3),"")</f>
        <v>46176</v>
      </c>
      <c r="C240" s="25"/>
      <c r="D240" s="23"/>
      <c r="E240" s="23"/>
      <c r="F240" s="26"/>
      <c r="G240" s="23"/>
      <c r="H240" s="23"/>
      <c r="I240" s="23"/>
      <c r="J240" s="27">
        <f>IF($O240="방문완료",MAX(0,IFERROR(VLOOKUP($E240,설정_코스수당!$A$6:$H$10,4,FALSE),0)-IF(OR($P240="",$P240="없음"),0,100000)),0)</f>
        <v>0</v>
      </c>
      <c r="K240" s="27">
        <f t="array" ref="K240">IF($O240="방문완료",IFERROR(INDEX(설정_코스수당!$B$15:$F$64,MATCH($G240,설정_코스수당!$A$15:$A$64,0),MATCH($E240&amp;"수당",설정_코스수당!$B$14:$F$14,0)),0),0)</f>
        <v>0</v>
      </c>
      <c r="L240" s="27">
        <f t="array" ref="L240">IF($O240="방문완료",IF($H240="",0,IFERROR(INDEX(설정_코스수당!$B$15:$F$64,MATCH($H240,설정_코스수당!$A$15:$A$64,0),MATCH($E240&amp;"수당",설정_코스수당!$B$14:$F$14,0)),0)),0)</f>
        <v>0</v>
      </c>
      <c r="M240" s="27">
        <f>IF($O240="방문완료",IFERROR(VLOOKUP($E240,설정_코스수당!$A$6:$H$10,6,FALSE),0),0)</f>
        <v>0</v>
      </c>
      <c r="N240" s="28">
        <f t="shared" si="6"/>
        <v>0</v>
      </c>
      <c r="O240" s="23"/>
      <c r="P240" s="23"/>
      <c r="Q240" s="23"/>
      <c r="R240" s="26"/>
      <c r="S240" s="23"/>
    </row>
    <row r="241" spans="1:19" ht="19.5" hidden="1" customHeight="1" outlineLevel="1">
      <c r="A241" s="29">
        <v>22</v>
      </c>
      <c r="B241" s="30">
        <f>IF(3&lt;=DAY(DATE(YEAR(설정_코스수당!$K$2),MONTH(설정_코스수당!$K$2)+1,0)),DATE(YEAR(설정_코스수당!$K$2),MONTH(설정_코스수당!$K$2),3),"")</f>
        <v>46176</v>
      </c>
      <c r="C241" s="31"/>
      <c r="D241" s="29"/>
      <c r="E241" s="29"/>
      <c r="F241" s="32"/>
      <c r="G241" s="29"/>
      <c r="H241" s="29"/>
      <c r="I241" s="29"/>
      <c r="J241" s="33">
        <f>IF($O241="방문완료",MAX(0,IFERROR(VLOOKUP($E241,설정_코스수당!$A$6:$H$10,4,FALSE),0)-IF(OR($P241="",$P241="없음"),0,100000)),0)</f>
        <v>0</v>
      </c>
      <c r="K241" s="33">
        <f t="array" ref="K241">IF($O241="방문완료",IFERROR(INDEX(설정_코스수당!$B$15:$F$64,MATCH($G241,설정_코스수당!$A$15:$A$64,0),MATCH($E241&amp;"수당",설정_코스수당!$B$14:$F$14,0)),0),0)</f>
        <v>0</v>
      </c>
      <c r="L241" s="33">
        <f t="array" ref="L241">IF($O241="방문완료",IF($H241="",0,IFERROR(INDEX(설정_코스수당!$B$15:$F$64,MATCH($H241,설정_코스수당!$A$15:$A$64,0),MATCH($E241&amp;"수당",설정_코스수당!$B$14:$F$14,0)),0)),0)</f>
        <v>0</v>
      </c>
      <c r="M241" s="33">
        <f>IF($O241="방문완료",IFERROR(VLOOKUP($E241,설정_코스수당!$A$6:$H$10,6,FALSE),0),0)</f>
        <v>0</v>
      </c>
      <c r="N241" s="34">
        <f t="shared" si="6"/>
        <v>0</v>
      </c>
      <c r="O241" s="29"/>
      <c r="P241" s="29"/>
      <c r="Q241" s="29"/>
      <c r="R241" s="32"/>
      <c r="S241" s="29"/>
    </row>
    <row r="242" spans="1:19" ht="19.5" hidden="1" customHeight="1" outlineLevel="1">
      <c r="A242" s="23">
        <v>23</v>
      </c>
      <c r="B242" s="24">
        <f>IF(3&lt;=DAY(DATE(YEAR(설정_코스수당!$K$2),MONTH(설정_코스수당!$K$2)+1,0)),DATE(YEAR(설정_코스수당!$K$2),MONTH(설정_코스수당!$K$2),3),"")</f>
        <v>46176</v>
      </c>
      <c r="C242" s="25"/>
      <c r="D242" s="23"/>
      <c r="E242" s="23"/>
      <c r="F242" s="26"/>
      <c r="G242" s="23"/>
      <c r="H242" s="23"/>
      <c r="I242" s="23"/>
      <c r="J242" s="27">
        <f>IF($O242="방문완료",MAX(0,IFERROR(VLOOKUP($E242,설정_코스수당!$A$6:$H$10,4,FALSE),0)-IF(OR($P242="",$P242="없음"),0,100000)),0)</f>
        <v>0</v>
      </c>
      <c r="K242" s="27">
        <f t="array" ref="K242">IF($O242="방문완료",IFERROR(INDEX(설정_코스수당!$B$15:$F$64,MATCH($G242,설정_코스수당!$A$15:$A$64,0),MATCH($E242&amp;"수당",설정_코스수당!$B$14:$F$14,0)),0),0)</f>
        <v>0</v>
      </c>
      <c r="L242" s="27">
        <f t="array" ref="L242">IF($O242="방문완료",IF($H242="",0,IFERROR(INDEX(설정_코스수당!$B$15:$F$64,MATCH($H242,설정_코스수당!$A$15:$A$64,0),MATCH($E242&amp;"수당",설정_코스수당!$B$14:$F$14,0)),0)),0)</f>
        <v>0</v>
      </c>
      <c r="M242" s="27">
        <f>IF($O242="방문완료",IFERROR(VLOOKUP($E242,설정_코스수당!$A$6:$H$10,6,FALSE),0),0)</f>
        <v>0</v>
      </c>
      <c r="N242" s="28">
        <f t="shared" si="6"/>
        <v>0</v>
      </c>
      <c r="O242" s="23"/>
      <c r="P242" s="23"/>
      <c r="Q242" s="23"/>
      <c r="R242" s="26"/>
      <c r="S242" s="23"/>
    </row>
    <row r="243" spans="1:19" ht="19.5" hidden="1" customHeight="1" outlineLevel="1">
      <c r="A243" s="29">
        <v>24</v>
      </c>
      <c r="B243" s="30">
        <f>IF(3&lt;=DAY(DATE(YEAR(설정_코스수당!$K$2),MONTH(설정_코스수당!$K$2)+1,0)),DATE(YEAR(설정_코스수당!$K$2),MONTH(설정_코스수당!$K$2),3),"")</f>
        <v>46176</v>
      </c>
      <c r="C243" s="31"/>
      <c r="D243" s="29"/>
      <c r="E243" s="29"/>
      <c r="F243" s="32"/>
      <c r="G243" s="29"/>
      <c r="H243" s="29"/>
      <c r="I243" s="29"/>
      <c r="J243" s="33">
        <f>IF($O243="방문완료",MAX(0,IFERROR(VLOOKUP($E243,설정_코스수당!$A$6:$H$10,4,FALSE),0)-IF(OR($P243="",$P243="없음"),0,100000)),0)</f>
        <v>0</v>
      </c>
      <c r="K243" s="33">
        <f t="array" ref="K243">IF($O243="방문완료",IFERROR(INDEX(설정_코스수당!$B$15:$F$64,MATCH($G243,설정_코스수당!$A$15:$A$64,0),MATCH($E243&amp;"수당",설정_코스수당!$B$14:$F$14,0)),0),0)</f>
        <v>0</v>
      </c>
      <c r="L243" s="33">
        <f t="array" ref="L243">IF($O243="방문완료",IF($H243="",0,IFERROR(INDEX(설정_코스수당!$B$15:$F$64,MATCH($H243,설정_코스수당!$A$15:$A$64,0),MATCH($E243&amp;"수당",설정_코스수당!$B$14:$F$14,0)),0)),0)</f>
        <v>0</v>
      </c>
      <c r="M243" s="33">
        <f>IF($O243="방문완료",IFERROR(VLOOKUP($E243,설정_코스수당!$A$6:$H$10,6,FALSE),0),0)</f>
        <v>0</v>
      </c>
      <c r="N243" s="34">
        <f t="shared" si="6"/>
        <v>0</v>
      </c>
      <c r="O243" s="29"/>
      <c r="P243" s="29"/>
      <c r="Q243" s="29"/>
      <c r="R243" s="32"/>
      <c r="S243" s="29"/>
    </row>
    <row r="244" spans="1:19" ht="19.5" hidden="1" customHeight="1" outlineLevel="1">
      <c r="A244" s="23">
        <v>25</v>
      </c>
      <c r="B244" s="24">
        <f>IF(3&lt;=DAY(DATE(YEAR(설정_코스수당!$K$2),MONTH(설정_코스수당!$K$2)+1,0)),DATE(YEAR(설정_코스수당!$K$2),MONTH(설정_코스수당!$K$2),3),"")</f>
        <v>46176</v>
      </c>
      <c r="C244" s="25"/>
      <c r="D244" s="23"/>
      <c r="E244" s="23"/>
      <c r="F244" s="26"/>
      <c r="G244" s="23"/>
      <c r="H244" s="23"/>
      <c r="I244" s="23"/>
      <c r="J244" s="27">
        <f>IF($O244="방문완료",MAX(0,IFERROR(VLOOKUP($E244,설정_코스수당!$A$6:$H$10,4,FALSE),0)-IF(OR($P244="",$P244="없음"),0,100000)),0)</f>
        <v>0</v>
      </c>
      <c r="K244" s="27">
        <f t="array" ref="K244">IF($O244="방문완료",IFERROR(INDEX(설정_코스수당!$B$15:$F$64,MATCH($G244,설정_코스수당!$A$15:$A$64,0),MATCH($E244&amp;"수당",설정_코스수당!$B$14:$F$14,0)),0),0)</f>
        <v>0</v>
      </c>
      <c r="L244" s="27">
        <f t="array" ref="L244">IF($O244="방문완료",IF($H244="",0,IFERROR(INDEX(설정_코스수당!$B$15:$F$64,MATCH($H244,설정_코스수당!$A$15:$A$64,0),MATCH($E244&amp;"수당",설정_코스수당!$B$14:$F$14,0)),0)),0)</f>
        <v>0</v>
      </c>
      <c r="M244" s="27">
        <f>IF($O244="방문완료",IFERROR(VLOOKUP($E244,설정_코스수당!$A$6:$H$10,6,FALSE),0),0)</f>
        <v>0</v>
      </c>
      <c r="N244" s="28">
        <f t="shared" si="6"/>
        <v>0</v>
      </c>
      <c r="O244" s="23"/>
      <c r="P244" s="23"/>
      <c r="Q244" s="23"/>
      <c r="R244" s="26"/>
      <c r="S244" s="23"/>
    </row>
    <row r="245" spans="1:19" ht="19.5" hidden="1" customHeight="1" outlineLevel="1">
      <c r="A245" s="29">
        <v>26</v>
      </c>
      <c r="B245" s="30">
        <f>IF(3&lt;=DAY(DATE(YEAR(설정_코스수당!$K$2),MONTH(설정_코스수당!$K$2)+1,0)),DATE(YEAR(설정_코스수당!$K$2),MONTH(설정_코스수당!$K$2),3),"")</f>
        <v>46176</v>
      </c>
      <c r="C245" s="31"/>
      <c r="D245" s="29"/>
      <c r="E245" s="29"/>
      <c r="F245" s="32"/>
      <c r="G245" s="29"/>
      <c r="H245" s="29"/>
      <c r="I245" s="29"/>
      <c r="J245" s="33">
        <f>IF($O245="방문완료",MAX(0,IFERROR(VLOOKUP($E245,설정_코스수당!$A$6:$H$10,4,FALSE),0)-IF(OR($P245="",$P245="없음"),0,100000)),0)</f>
        <v>0</v>
      </c>
      <c r="K245" s="33">
        <f t="array" ref="K245">IF($O245="방문완료",IFERROR(INDEX(설정_코스수당!$B$15:$F$64,MATCH($G245,설정_코스수당!$A$15:$A$64,0),MATCH($E245&amp;"수당",설정_코스수당!$B$14:$F$14,0)),0),0)</f>
        <v>0</v>
      </c>
      <c r="L245" s="33">
        <f t="array" ref="L245">IF($O245="방문완료",IF($H245="",0,IFERROR(INDEX(설정_코스수당!$B$15:$F$64,MATCH($H245,설정_코스수당!$A$15:$A$64,0),MATCH($E245&amp;"수당",설정_코스수당!$B$14:$F$14,0)),0)),0)</f>
        <v>0</v>
      </c>
      <c r="M245" s="33">
        <f>IF($O245="방문완료",IFERROR(VLOOKUP($E245,설정_코스수당!$A$6:$H$10,6,FALSE),0),0)</f>
        <v>0</v>
      </c>
      <c r="N245" s="34">
        <f t="shared" si="6"/>
        <v>0</v>
      </c>
      <c r="O245" s="29"/>
      <c r="P245" s="29"/>
      <c r="Q245" s="29"/>
      <c r="R245" s="32"/>
      <c r="S245" s="29"/>
    </row>
    <row r="246" spans="1:19" ht="19.5" hidden="1" customHeight="1" outlineLevel="1">
      <c r="A246" s="23">
        <v>27</v>
      </c>
      <c r="B246" s="24">
        <f>IF(3&lt;=DAY(DATE(YEAR(설정_코스수당!$K$2),MONTH(설정_코스수당!$K$2)+1,0)),DATE(YEAR(설정_코스수당!$K$2),MONTH(설정_코스수당!$K$2),3),"")</f>
        <v>46176</v>
      </c>
      <c r="C246" s="25"/>
      <c r="D246" s="23"/>
      <c r="E246" s="23"/>
      <c r="F246" s="26"/>
      <c r="G246" s="23"/>
      <c r="H246" s="23"/>
      <c r="I246" s="23"/>
      <c r="J246" s="27">
        <f>IF($O246="방문완료",MAX(0,IFERROR(VLOOKUP($E246,설정_코스수당!$A$6:$H$10,4,FALSE),0)-IF(OR($P246="",$P246="없음"),0,100000)),0)</f>
        <v>0</v>
      </c>
      <c r="K246" s="27">
        <f t="array" ref="K246">IF($O246="방문완료",IFERROR(INDEX(설정_코스수당!$B$15:$F$64,MATCH($G246,설정_코스수당!$A$15:$A$64,0),MATCH($E246&amp;"수당",설정_코스수당!$B$14:$F$14,0)),0),0)</f>
        <v>0</v>
      </c>
      <c r="L246" s="27">
        <f t="array" ref="L246">IF($O246="방문완료",IF($H246="",0,IFERROR(INDEX(설정_코스수당!$B$15:$F$64,MATCH($H246,설정_코스수당!$A$15:$A$64,0),MATCH($E246&amp;"수당",설정_코스수당!$B$14:$F$14,0)),0)),0)</f>
        <v>0</v>
      </c>
      <c r="M246" s="27">
        <f>IF($O246="방문완료",IFERROR(VLOOKUP($E246,설정_코스수당!$A$6:$H$10,6,FALSE),0),0)</f>
        <v>0</v>
      </c>
      <c r="N246" s="28">
        <f t="shared" si="6"/>
        <v>0</v>
      </c>
      <c r="O246" s="23"/>
      <c r="P246" s="23"/>
      <c r="Q246" s="23"/>
      <c r="R246" s="26"/>
      <c r="S246" s="23"/>
    </row>
    <row r="247" spans="1:19" ht="19.5" hidden="1" customHeight="1" outlineLevel="1">
      <c r="A247" s="29">
        <v>28</v>
      </c>
      <c r="B247" s="30">
        <f>IF(3&lt;=DAY(DATE(YEAR(설정_코스수당!$K$2),MONTH(설정_코스수당!$K$2)+1,0)),DATE(YEAR(설정_코스수당!$K$2),MONTH(설정_코스수당!$K$2),3),"")</f>
        <v>46176</v>
      </c>
      <c r="C247" s="31"/>
      <c r="D247" s="29"/>
      <c r="E247" s="29"/>
      <c r="F247" s="32"/>
      <c r="G247" s="29"/>
      <c r="H247" s="29"/>
      <c r="I247" s="29"/>
      <c r="J247" s="33">
        <f>IF($O247="방문완료",MAX(0,IFERROR(VLOOKUP($E247,설정_코스수당!$A$6:$H$10,4,FALSE),0)-IF(OR($P247="",$P247="없음"),0,100000)),0)</f>
        <v>0</v>
      </c>
      <c r="K247" s="33">
        <f t="array" ref="K247">IF($O247="방문완료",IFERROR(INDEX(설정_코스수당!$B$15:$F$64,MATCH($G247,설정_코스수당!$A$15:$A$64,0),MATCH($E247&amp;"수당",설정_코스수당!$B$14:$F$14,0)),0),0)</f>
        <v>0</v>
      </c>
      <c r="L247" s="33">
        <f t="array" ref="L247">IF($O247="방문완료",IF($H247="",0,IFERROR(INDEX(설정_코스수당!$B$15:$F$64,MATCH($H247,설정_코스수당!$A$15:$A$64,0),MATCH($E247&amp;"수당",설정_코스수당!$B$14:$F$14,0)),0)),0)</f>
        <v>0</v>
      </c>
      <c r="M247" s="33">
        <f>IF($O247="방문완료",IFERROR(VLOOKUP($E247,설정_코스수당!$A$6:$H$10,6,FALSE),0),0)</f>
        <v>0</v>
      </c>
      <c r="N247" s="34">
        <f t="shared" si="6"/>
        <v>0</v>
      </c>
      <c r="O247" s="29"/>
      <c r="P247" s="29"/>
      <c r="Q247" s="29"/>
      <c r="R247" s="32"/>
      <c r="S247" s="29"/>
    </row>
    <row r="248" spans="1:19" ht="19.5" hidden="1" customHeight="1" outlineLevel="1">
      <c r="A248" s="23">
        <v>29</v>
      </c>
      <c r="B248" s="24">
        <f>IF(3&lt;=DAY(DATE(YEAR(설정_코스수당!$K$2),MONTH(설정_코스수당!$K$2)+1,0)),DATE(YEAR(설정_코스수당!$K$2),MONTH(설정_코스수당!$K$2),3),"")</f>
        <v>46176</v>
      </c>
      <c r="C248" s="25"/>
      <c r="D248" s="23"/>
      <c r="E248" s="23"/>
      <c r="F248" s="26"/>
      <c r="G248" s="23"/>
      <c r="H248" s="23"/>
      <c r="I248" s="23"/>
      <c r="J248" s="27">
        <f>IF($O248="방문완료",MAX(0,IFERROR(VLOOKUP($E248,설정_코스수당!$A$6:$H$10,4,FALSE),0)-IF(OR($P248="",$P248="없음"),0,100000)),0)</f>
        <v>0</v>
      </c>
      <c r="K248" s="27">
        <f t="array" ref="K248">IF($O248="방문완료",IFERROR(INDEX(설정_코스수당!$B$15:$F$64,MATCH($G248,설정_코스수당!$A$15:$A$64,0),MATCH($E248&amp;"수당",설정_코스수당!$B$14:$F$14,0)),0),0)</f>
        <v>0</v>
      </c>
      <c r="L248" s="27">
        <f t="array" ref="L248">IF($O248="방문완료",IF($H248="",0,IFERROR(INDEX(설정_코스수당!$B$15:$F$64,MATCH($H248,설정_코스수당!$A$15:$A$64,0),MATCH($E248&amp;"수당",설정_코스수당!$B$14:$F$14,0)),0)),0)</f>
        <v>0</v>
      </c>
      <c r="M248" s="27">
        <f>IF($O248="방문완료",IFERROR(VLOOKUP($E248,설정_코스수당!$A$6:$H$10,6,FALSE),0),0)</f>
        <v>0</v>
      </c>
      <c r="N248" s="28">
        <f t="shared" si="6"/>
        <v>0</v>
      </c>
      <c r="O248" s="23"/>
      <c r="P248" s="23"/>
      <c r="Q248" s="23"/>
      <c r="R248" s="26"/>
      <c r="S248" s="23"/>
    </row>
    <row r="249" spans="1:19" ht="19.5" hidden="1" customHeight="1" outlineLevel="1">
      <c r="A249" s="29">
        <v>30</v>
      </c>
      <c r="B249" s="30">
        <f>IF(3&lt;=DAY(DATE(YEAR(설정_코스수당!$K$2),MONTH(설정_코스수당!$K$2)+1,0)),DATE(YEAR(설정_코스수당!$K$2),MONTH(설정_코스수당!$K$2),3),"")</f>
        <v>46176</v>
      </c>
      <c r="C249" s="31"/>
      <c r="D249" s="29"/>
      <c r="E249" s="29"/>
      <c r="F249" s="32"/>
      <c r="G249" s="29"/>
      <c r="H249" s="29"/>
      <c r="I249" s="29"/>
      <c r="J249" s="33">
        <f>IF($O249="방문완료",MAX(0,IFERROR(VLOOKUP($E249,설정_코스수당!$A$6:$H$10,4,FALSE),0)-IF(OR($P249="",$P249="없음"),0,100000)),0)</f>
        <v>0</v>
      </c>
      <c r="K249" s="33">
        <f t="array" ref="K249">IF($O249="방문완료",IFERROR(INDEX(설정_코스수당!$B$15:$F$64,MATCH($G249,설정_코스수당!$A$15:$A$64,0),MATCH($E249&amp;"수당",설정_코스수당!$B$14:$F$14,0)),0),0)</f>
        <v>0</v>
      </c>
      <c r="L249" s="33">
        <f t="array" ref="L249">IF($O249="방문완료",IF($H249="",0,IFERROR(INDEX(설정_코스수당!$B$15:$F$64,MATCH($H249,설정_코스수당!$A$15:$A$64,0),MATCH($E249&amp;"수당",설정_코스수당!$B$14:$F$14,0)),0)),0)</f>
        <v>0</v>
      </c>
      <c r="M249" s="33">
        <f>IF($O249="방문완료",IFERROR(VLOOKUP($E249,설정_코스수당!$A$6:$H$10,6,FALSE),0),0)</f>
        <v>0</v>
      </c>
      <c r="N249" s="34">
        <f t="shared" si="6"/>
        <v>0</v>
      </c>
      <c r="O249" s="29"/>
      <c r="P249" s="29"/>
      <c r="Q249" s="29"/>
      <c r="R249" s="32"/>
      <c r="S249" s="29"/>
    </row>
    <row r="250" spans="1:19" ht="19.5" hidden="1" customHeight="1" outlineLevel="1">
      <c r="A250" s="23">
        <v>31</v>
      </c>
      <c r="B250" s="24">
        <f>IF(3&lt;=DAY(DATE(YEAR(설정_코스수당!$K$2),MONTH(설정_코스수당!$K$2)+1,0)),DATE(YEAR(설정_코스수당!$K$2),MONTH(설정_코스수당!$K$2),3),"")</f>
        <v>46176</v>
      </c>
      <c r="C250" s="25"/>
      <c r="D250" s="23"/>
      <c r="E250" s="23"/>
      <c r="F250" s="26"/>
      <c r="G250" s="23"/>
      <c r="H250" s="23"/>
      <c r="I250" s="23"/>
      <c r="J250" s="27">
        <f>IF($O250="방문완료",MAX(0,IFERROR(VLOOKUP($E250,설정_코스수당!$A$6:$H$10,4,FALSE),0)-IF(OR($P250="",$P250="없음"),0,100000)),0)</f>
        <v>0</v>
      </c>
      <c r="K250" s="27">
        <f t="array" ref="K250">IF($O250="방문완료",IFERROR(INDEX(설정_코스수당!$B$15:$F$64,MATCH($G250,설정_코스수당!$A$15:$A$64,0),MATCH($E250&amp;"수당",설정_코스수당!$B$14:$F$14,0)),0),0)</f>
        <v>0</v>
      </c>
      <c r="L250" s="27">
        <f t="array" ref="L250">IF($O250="방문완료",IF($H250="",0,IFERROR(INDEX(설정_코스수당!$B$15:$F$64,MATCH($H250,설정_코스수당!$A$15:$A$64,0),MATCH($E250&amp;"수당",설정_코스수당!$B$14:$F$14,0)),0)),0)</f>
        <v>0</v>
      </c>
      <c r="M250" s="27">
        <f>IF($O250="방문완료",IFERROR(VLOOKUP($E250,설정_코스수당!$A$6:$H$10,6,FALSE),0),0)</f>
        <v>0</v>
      </c>
      <c r="N250" s="28">
        <f t="shared" si="6"/>
        <v>0</v>
      </c>
      <c r="O250" s="23"/>
      <c r="P250" s="23"/>
      <c r="Q250" s="23"/>
      <c r="R250" s="26"/>
      <c r="S250" s="23"/>
    </row>
    <row r="251" spans="1:19" ht="19.5" hidden="1" customHeight="1" outlineLevel="1">
      <c r="A251" s="29">
        <v>32</v>
      </c>
      <c r="B251" s="30">
        <f>IF(3&lt;=DAY(DATE(YEAR(설정_코스수당!$K$2),MONTH(설정_코스수당!$K$2)+1,0)),DATE(YEAR(설정_코스수당!$K$2),MONTH(설정_코스수당!$K$2),3),"")</f>
        <v>46176</v>
      </c>
      <c r="C251" s="31"/>
      <c r="D251" s="29"/>
      <c r="E251" s="29"/>
      <c r="F251" s="32"/>
      <c r="G251" s="29"/>
      <c r="H251" s="29"/>
      <c r="I251" s="29"/>
      <c r="J251" s="33">
        <f>IF($O251="방문완료",MAX(0,IFERROR(VLOOKUP($E251,설정_코스수당!$A$6:$H$10,4,FALSE),0)-IF(OR($P251="",$P251="없음"),0,100000)),0)</f>
        <v>0</v>
      </c>
      <c r="K251" s="33">
        <f t="array" ref="K251">IF($O251="방문완료",IFERROR(INDEX(설정_코스수당!$B$15:$F$64,MATCH($G251,설정_코스수당!$A$15:$A$64,0),MATCH($E251&amp;"수당",설정_코스수당!$B$14:$F$14,0)),0),0)</f>
        <v>0</v>
      </c>
      <c r="L251" s="33">
        <f t="array" ref="L251">IF($O251="방문완료",IF($H251="",0,IFERROR(INDEX(설정_코스수당!$B$15:$F$64,MATCH($H251,설정_코스수당!$A$15:$A$64,0),MATCH($E251&amp;"수당",설정_코스수당!$B$14:$F$14,0)),0)),0)</f>
        <v>0</v>
      </c>
      <c r="M251" s="33">
        <f>IF($O251="방문완료",IFERROR(VLOOKUP($E251,설정_코스수당!$A$6:$H$10,6,FALSE),0),0)</f>
        <v>0</v>
      </c>
      <c r="N251" s="34">
        <f t="shared" si="6"/>
        <v>0</v>
      </c>
      <c r="O251" s="29"/>
      <c r="P251" s="29"/>
      <c r="Q251" s="29"/>
      <c r="R251" s="32"/>
      <c r="S251" s="29"/>
    </row>
    <row r="252" spans="1:19" ht="19.5" hidden="1" customHeight="1" outlineLevel="1">
      <c r="A252" s="23">
        <v>33</v>
      </c>
      <c r="B252" s="24">
        <f>IF(3&lt;=DAY(DATE(YEAR(설정_코스수당!$K$2),MONTH(설정_코스수당!$K$2)+1,0)),DATE(YEAR(설정_코스수당!$K$2),MONTH(설정_코스수당!$K$2),3),"")</f>
        <v>46176</v>
      </c>
      <c r="C252" s="25"/>
      <c r="D252" s="23"/>
      <c r="E252" s="23"/>
      <c r="F252" s="26"/>
      <c r="G252" s="23"/>
      <c r="H252" s="23"/>
      <c r="I252" s="23"/>
      <c r="J252" s="27">
        <f>IF($O252="방문완료",MAX(0,IFERROR(VLOOKUP($E252,설정_코스수당!$A$6:$H$10,4,FALSE),0)-IF(OR($P252="",$P252="없음"),0,100000)),0)</f>
        <v>0</v>
      </c>
      <c r="K252" s="27">
        <f t="array" ref="K252">IF($O252="방문완료",IFERROR(INDEX(설정_코스수당!$B$15:$F$64,MATCH($G252,설정_코스수당!$A$15:$A$64,0),MATCH($E252&amp;"수당",설정_코스수당!$B$14:$F$14,0)),0),0)</f>
        <v>0</v>
      </c>
      <c r="L252" s="27">
        <f t="array" ref="L252">IF($O252="방문완료",IF($H252="",0,IFERROR(INDEX(설정_코스수당!$B$15:$F$64,MATCH($H252,설정_코스수당!$A$15:$A$64,0),MATCH($E252&amp;"수당",설정_코스수당!$B$14:$F$14,0)),0)),0)</f>
        <v>0</v>
      </c>
      <c r="M252" s="27">
        <f>IF($O252="방문완료",IFERROR(VLOOKUP($E252,설정_코스수당!$A$6:$H$10,6,FALSE),0),0)</f>
        <v>0</v>
      </c>
      <c r="N252" s="28">
        <f t="shared" si="6"/>
        <v>0</v>
      </c>
      <c r="O252" s="23"/>
      <c r="P252" s="23"/>
      <c r="Q252" s="23"/>
      <c r="R252" s="26"/>
      <c r="S252" s="23"/>
    </row>
    <row r="253" spans="1:19" ht="19.5" hidden="1" customHeight="1" outlineLevel="1">
      <c r="A253" s="29">
        <v>34</v>
      </c>
      <c r="B253" s="30">
        <f>IF(3&lt;=DAY(DATE(YEAR(설정_코스수당!$K$2),MONTH(설정_코스수당!$K$2)+1,0)),DATE(YEAR(설정_코스수당!$K$2),MONTH(설정_코스수당!$K$2),3),"")</f>
        <v>46176</v>
      </c>
      <c r="C253" s="31"/>
      <c r="D253" s="29"/>
      <c r="E253" s="29"/>
      <c r="F253" s="32"/>
      <c r="G253" s="29"/>
      <c r="H253" s="29"/>
      <c r="I253" s="29"/>
      <c r="J253" s="33">
        <f>IF($O253="방문완료",MAX(0,IFERROR(VLOOKUP($E253,설정_코스수당!$A$6:$H$10,4,FALSE),0)-IF(OR($P253="",$P253="없음"),0,100000)),0)</f>
        <v>0</v>
      </c>
      <c r="K253" s="33">
        <f t="array" ref="K253">IF($O253="방문완료",IFERROR(INDEX(설정_코스수당!$B$15:$F$64,MATCH($G253,설정_코스수당!$A$15:$A$64,0),MATCH($E253&amp;"수당",설정_코스수당!$B$14:$F$14,0)),0),0)</f>
        <v>0</v>
      </c>
      <c r="L253" s="33">
        <f t="array" ref="L253">IF($O253="방문완료",IF($H253="",0,IFERROR(INDEX(설정_코스수당!$B$15:$F$64,MATCH($H253,설정_코스수당!$A$15:$A$64,0),MATCH($E253&amp;"수당",설정_코스수당!$B$14:$F$14,0)),0)),0)</f>
        <v>0</v>
      </c>
      <c r="M253" s="33">
        <f>IF($O253="방문완료",IFERROR(VLOOKUP($E253,설정_코스수당!$A$6:$H$10,6,FALSE),0),0)</f>
        <v>0</v>
      </c>
      <c r="N253" s="34">
        <f t="shared" ref="N253:N284" si="7">IF($O253="방문완료",1,0)</f>
        <v>0</v>
      </c>
      <c r="O253" s="29"/>
      <c r="P253" s="29"/>
      <c r="Q253" s="29"/>
      <c r="R253" s="32"/>
      <c r="S253" s="29"/>
    </row>
    <row r="254" spans="1:19" ht="19.5" hidden="1" customHeight="1" outlineLevel="1">
      <c r="A254" s="23">
        <v>35</v>
      </c>
      <c r="B254" s="24">
        <f>IF(3&lt;=DAY(DATE(YEAR(설정_코스수당!$K$2),MONTH(설정_코스수당!$K$2)+1,0)),DATE(YEAR(설정_코스수당!$K$2),MONTH(설정_코스수당!$K$2),3),"")</f>
        <v>46176</v>
      </c>
      <c r="C254" s="25"/>
      <c r="D254" s="23"/>
      <c r="E254" s="23"/>
      <c r="F254" s="26"/>
      <c r="G254" s="23"/>
      <c r="H254" s="23"/>
      <c r="I254" s="23"/>
      <c r="J254" s="27">
        <f>IF($O254="방문완료",MAX(0,IFERROR(VLOOKUP($E254,설정_코스수당!$A$6:$H$10,4,FALSE),0)-IF(OR($P254="",$P254="없음"),0,100000)),0)</f>
        <v>0</v>
      </c>
      <c r="K254" s="27">
        <f t="array" ref="K254">IF($O254="방문완료",IFERROR(INDEX(설정_코스수당!$B$15:$F$64,MATCH($G254,설정_코스수당!$A$15:$A$64,0),MATCH($E254&amp;"수당",설정_코스수당!$B$14:$F$14,0)),0),0)</f>
        <v>0</v>
      </c>
      <c r="L254" s="27">
        <f t="array" ref="L254">IF($O254="방문완료",IF($H254="",0,IFERROR(INDEX(설정_코스수당!$B$15:$F$64,MATCH($H254,설정_코스수당!$A$15:$A$64,0),MATCH($E254&amp;"수당",설정_코스수당!$B$14:$F$14,0)),0)),0)</f>
        <v>0</v>
      </c>
      <c r="M254" s="27">
        <f>IF($O254="방문완료",IFERROR(VLOOKUP($E254,설정_코스수당!$A$6:$H$10,6,FALSE),0),0)</f>
        <v>0</v>
      </c>
      <c r="N254" s="28">
        <f t="shared" si="7"/>
        <v>0</v>
      </c>
      <c r="O254" s="23"/>
      <c r="P254" s="23"/>
      <c r="Q254" s="23"/>
      <c r="R254" s="26"/>
      <c r="S254" s="23"/>
    </row>
    <row r="255" spans="1:19" ht="19.5" hidden="1" customHeight="1" outlineLevel="1">
      <c r="A255" s="29">
        <v>36</v>
      </c>
      <c r="B255" s="30">
        <f>IF(3&lt;=DAY(DATE(YEAR(설정_코스수당!$K$2),MONTH(설정_코스수당!$K$2)+1,0)),DATE(YEAR(설정_코스수당!$K$2),MONTH(설정_코스수당!$K$2),3),"")</f>
        <v>46176</v>
      </c>
      <c r="C255" s="31"/>
      <c r="D255" s="29"/>
      <c r="E255" s="29"/>
      <c r="F255" s="32"/>
      <c r="G255" s="29"/>
      <c r="H255" s="29"/>
      <c r="I255" s="29"/>
      <c r="J255" s="33">
        <f>IF($O255="방문완료",MAX(0,IFERROR(VLOOKUP($E255,설정_코스수당!$A$6:$H$10,4,FALSE),0)-IF(OR($P255="",$P255="없음"),0,100000)),0)</f>
        <v>0</v>
      </c>
      <c r="K255" s="33">
        <f t="array" ref="K255">IF($O255="방문완료",IFERROR(INDEX(설정_코스수당!$B$15:$F$64,MATCH($G255,설정_코스수당!$A$15:$A$64,0),MATCH($E255&amp;"수당",설정_코스수당!$B$14:$F$14,0)),0),0)</f>
        <v>0</v>
      </c>
      <c r="L255" s="33">
        <f t="array" ref="L255">IF($O255="방문완료",IF($H255="",0,IFERROR(INDEX(설정_코스수당!$B$15:$F$64,MATCH($H255,설정_코스수당!$A$15:$A$64,0),MATCH($E255&amp;"수당",설정_코스수당!$B$14:$F$14,0)),0)),0)</f>
        <v>0</v>
      </c>
      <c r="M255" s="33">
        <f>IF($O255="방문완료",IFERROR(VLOOKUP($E255,설정_코스수당!$A$6:$H$10,6,FALSE),0),0)</f>
        <v>0</v>
      </c>
      <c r="N255" s="34">
        <f t="shared" si="7"/>
        <v>0</v>
      </c>
      <c r="O255" s="29"/>
      <c r="P255" s="29"/>
      <c r="Q255" s="29"/>
      <c r="R255" s="32"/>
      <c r="S255" s="29"/>
    </row>
    <row r="256" spans="1:19" ht="19.5" hidden="1" customHeight="1" outlineLevel="1">
      <c r="A256" s="23">
        <v>37</v>
      </c>
      <c r="B256" s="24">
        <f>IF(3&lt;=DAY(DATE(YEAR(설정_코스수당!$K$2),MONTH(설정_코스수당!$K$2)+1,0)),DATE(YEAR(설정_코스수당!$K$2),MONTH(설정_코스수당!$K$2),3),"")</f>
        <v>46176</v>
      </c>
      <c r="C256" s="25"/>
      <c r="D256" s="23"/>
      <c r="E256" s="23"/>
      <c r="F256" s="26"/>
      <c r="G256" s="23"/>
      <c r="H256" s="23"/>
      <c r="I256" s="23"/>
      <c r="J256" s="27">
        <f>IF($O256="방문완료",MAX(0,IFERROR(VLOOKUP($E256,설정_코스수당!$A$6:$H$10,4,FALSE),0)-IF(OR($P256="",$P256="없음"),0,100000)),0)</f>
        <v>0</v>
      </c>
      <c r="K256" s="27">
        <f t="array" ref="K256">IF($O256="방문완료",IFERROR(INDEX(설정_코스수당!$B$15:$F$64,MATCH($G256,설정_코스수당!$A$15:$A$64,0),MATCH($E256&amp;"수당",설정_코스수당!$B$14:$F$14,0)),0),0)</f>
        <v>0</v>
      </c>
      <c r="L256" s="27">
        <f t="array" ref="L256">IF($O256="방문완료",IF($H256="",0,IFERROR(INDEX(설정_코스수당!$B$15:$F$64,MATCH($H256,설정_코스수당!$A$15:$A$64,0),MATCH($E256&amp;"수당",설정_코스수당!$B$14:$F$14,0)),0)),0)</f>
        <v>0</v>
      </c>
      <c r="M256" s="27">
        <f>IF($O256="방문완료",IFERROR(VLOOKUP($E256,설정_코스수당!$A$6:$H$10,6,FALSE),0),0)</f>
        <v>0</v>
      </c>
      <c r="N256" s="28">
        <f t="shared" si="7"/>
        <v>0</v>
      </c>
      <c r="O256" s="23"/>
      <c r="P256" s="23"/>
      <c r="Q256" s="23"/>
      <c r="R256" s="26"/>
      <c r="S256" s="23"/>
    </row>
    <row r="257" spans="1:19" ht="19.5" hidden="1" customHeight="1" outlineLevel="1">
      <c r="A257" s="29">
        <v>38</v>
      </c>
      <c r="B257" s="30">
        <f>IF(3&lt;=DAY(DATE(YEAR(설정_코스수당!$K$2),MONTH(설정_코스수당!$K$2)+1,0)),DATE(YEAR(설정_코스수당!$K$2),MONTH(설정_코스수당!$K$2),3),"")</f>
        <v>46176</v>
      </c>
      <c r="C257" s="31"/>
      <c r="D257" s="29"/>
      <c r="E257" s="29"/>
      <c r="F257" s="32"/>
      <c r="G257" s="29"/>
      <c r="H257" s="29"/>
      <c r="I257" s="29"/>
      <c r="J257" s="33">
        <f>IF($O257="방문완료",MAX(0,IFERROR(VLOOKUP($E257,설정_코스수당!$A$6:$H$10,4,FALSE),0)-IF(OR($P257="",$P257="없음"),0,100000)),0)</f>
        <v>0</v>
      </c>
      <c r="K257" s="33">
        <f t="array" ref="K257">IF($O257="방문완료",IFERROR(INDEX(설정_코스수당!$B$15:$F$64,MATCH($G257,설정_코스수당!$A$15:$A$64,0),MATCH($E257&amp;"수당",설정_코스수당!$B$14:$F$14,0)),0),0)</f>
        <v>0</v>
      </c>
      <c r="L257" s="33">
        <f t="array" ref="L257">IF($O257="방문완료",IF($H257="",0,IFERROR(INDEX(설정_코스수당!$B$15:$F$64,MATCH($H257,설정_코스수당!$A$15:$A$64,0),MATCH($E257&amp;"수당",설정_코스수당!$B$14:$F$14,0)),0)),0)</f>
        <v>0</v>
      </c>
      <c r="M257" s="33">
        <f>IF($O257="방문완료",IFERROR(VLOOKUP($E257,설정_코스수당!$A$6:$H$10,6,FALSE),0),0)</f>
        <v>0</v>
      </c>
      <c r="N257" s="34">
        <f t="shared" si="7"/>
        <v>0</v>
      </c>
      <c r="O257" s="29"/>
      <c r="P257" s="29"/>
      <c r="Q257" s="29"/>
      <c r="R257" s="32"/>
      <c r="S257" s="29"/>
    </row>
    <row r="258" spans="1:19" ht="19.5" hidden="1" customHeight="1" outlineLevel="1">
      <c r="A258" s="23">
        <v>39</v>
      </c>
      <c r="B258" s="24">
        <f>IF(3&lt;=DAY(DATE(YEAR(설정_코스수당!$K$2),MONTH(설정_코스수당!$K$2)+1,0)),DATE(YEAR(설정_코스수당!$K$2),MONTH(설정_코스수당!$K$2),3),"")</f>
        <v>46176</v>
      </c>
      <c r="C258" s="25"/>
      <c r="D258" s="23"/>
      <c r="E258" s="23"/>
      <c r="F258" s="26"/>
      <c r="G258" s="23"/>
      <c r="H258" s="23"/>
      <c r="I258" s="23"/>
      <c r="J258" s="27">
        <f>IF($O258="방문완료",MAX(0,IFERROR(VLOOKUP($E258,설정_코스수당!$A$6:$H$10,4,FALSE),0)-IF(OR($P258="",$P258="없음"),0,100000)),0)</f>
        <v>0</v>
      </c>
      <c r="K258" s="27">
        <f t="array" ref="K258">IF($O258="방문완료",IFERROR(INDEX(설정_코스수당!$B$15:$F$64,MATCH($G258,설정_코스수당!$A$15:$A$64,0),MATCH($E258&amp;"수당",설정_코스수당!$B$14:$F$14,0)),0),0)</f>
        <v>0</v>
      </c>
      <c r="L258" s="27">
        <f t="array" ref="L258">IF($O258="방문완료",IF($H258="",0,IFERROR(INDEX(설정_코스수당!$B$15:$F$64,MATCH($H258,설정_코스수당!$A$15:$A$64,0),MATCH($E258&amp;"수당",설정_코스수당!$B$14:$F$14,0)),0)),0)</f>
        <v>0</v>
      </c>
      <c r="M258" s="27">
        <f>IF($O258="방문완료",IFERROR(VLOOKUP($E258,설정_코스수당!$A$6:$H$10,6,FALSE),0),0)</f>
        <v>0</v>
      </c>
      <c r="N258" s="28">
        <f t="shared" si="7"/>
        <v>0</v>
      </c>
      <c r="O258" s="23"/>
      <c r="P258" s="23"/>
      <c r="Q258" s="23"/>
      <c r="R258" s="26"/>
      <c r="S258" s="23"/>
    </row>
    <row r="259" spans="1:19" ht="19.5" hidden="1" customHeight="1" outlineLevel="1">
      <c r="A259" s="29">
        <v>40</v>
      </c>
      <c r="B259" s="30">
        <f>IF(3&lt;=DAY(DATE(YEAR(설정_코스수당!$K$2),MONTH(설정_코스수당!$K$2)+1,0)),DATE(YEAR(설정_코스수당!$K$2),MONTH(설정_코스수당!$K$2),3),"")</f>
        <v>46176</v>
      </c>
      <c r="C259" s="31"/>
      <c r="D259" s="29"/>
      <c r="E259" s="29"/>
      <c r="F259" s="32"/>
      <c r="G259" s="29"/>
      <c r="H259" s="29"/>
      <c r="I259" s="29"/>
      <c r="J259" s="33">
        <f>IF($O259="방문완료",MAX(0,IFERROR(VLOOKUP($E259,설정_코스수당!$A$6:$H$10,4,FALSE),0)-IF(OR($P259="",$P259="없음"),0,100000)),0)</f>
        <v>0</v>
      </c>
      <c r="K259" s="33">
        <f t="array" ref="K259">IF($O259="방문완료",IFERROR(INDEX(설정_코스수당!$B$15:$F$64,MATCH($G259,설정_코스수당!$A$15:$A$64,0),MATCH($E259&amp;"수당",설정_코스수당!$B$14:$F$14,0)),0),0)</f>
        <v>0</v>
      </c>
      <c r="L259" s="33">
        <f t="array" ref="L259">IF($O259="방문완료",IF($H259="",0,IFERROR(INDEX(설정_코스수당!$B$15:$F$64,MATCH($H259,설정_코스수당!$A$15:$A$64,0),MATCH($E259&amp;"수당",설정_코스수당!$B$14:$F$14,0)),0)),0)</f>
        <v>0</v>
      </c>
      <c r="M259" s="33">
        <f>IF($O259="방문완료",IFERROR(VLOOKUP($E259,설정_코스수당!$A$6:$H$10,6,FALSE),0),0)</f>
        <v>0</v>
      </c>
      <c r="N259" s="34">
        <f t="shared" si="7"/>
        <v>0</v>
      </c>
      <c r="O259" s="29"/>
      <c r="P259" s="29"/>
      <c r="Q259" s="29"/>
      <c r="R259" s="32"/>
      <c r="S259" s="29"/>
    </row>
    <row r="260" spans="1:19" ht="19.5" hidden="1" customHeight="1" outlineLevel="1">
      <c r="A260" s="23">
        <v>41</v>
      </c>
      <c r="B260" s="24">
        <f>IF(3&lt;=DAY(DATE(YEAR(설정_코스수당!$K$2),MONTH(설정_코스수당!$K$2)+1,0)),DATE(YEAR(설정_코스수당!$K$2),MONTH(설정_코스수당!$K$2),3),"")</f>
        <v>46176</v>
      </c>
      <c r="C260" s="25"/>
      <c r="D260" s="23"/>
      <c r="E260" s="23"/>
      <c r="F260" s="26"/>
      <c r="G260" s="23"/>
      <c r="H260" s="23"/>
      <c r="I260" s="23"/>
      <c r="J260" s="27">
        <f>IF($O260="방문완료",MAX(0,IFERROR(VLOOKUP($E260,설정_코스수당!$A$6:$H$10,4,FALSE),0)-IF(OR($P260="",$P260="없음"),0,100000)),0)</f>
        <v>0</v>
      </c>
      <c r="K260" s="27">
        <f t="array" ref="K260">IF($O260="방문완료",IFERROR(INDEX(설정_코스수당!$B$15:$F$64,MATCH($G260,설정_코스수당!$A$15:$A$64,0),MATCH($E260&amp;"수당",설정_코스수당!$B$14:$F$14,0)),0),0)</f>
        <v>0</v>
      </c>
      <c r="L260" s="27">
        <f t="array" ref="L260">IF($O260="방문완료",IF($H260="",0,IFERROR(INDEX(설정_코스수당!$B$15:$F$64,MATCH($H260,설정_코스수당!$A$15:$A$64,0),MATCH($E260&amp;"수당",설정_코스수당!$B$14:$F$14,0)),0)),0)</f>
        <v>0</v>
      </c>
      <c r="M260" s="27">
        <f>IF($O260="방문완료",IFERROR(VLOOKUP($E260,설정_코스수당!$A$6:$H$10,6,FALSE),0),0)</f>
        <v>0</v>
      </c>
      <c r="N260" s="28">
        <f t="shared" si="7"/>
        <v>0</v>
      </c>
      <c r="O260" s="23"/>
      <c r="P260" s="23"/>
      <c r="Q260" s="23"/>
      <c r="R260" s="26"/>
      <c r="S260" s="23"/>
    </row>
    <row r="261" spans="1:19" ht="19.5" hidden="1" customHeight="1" outlineLevel="1">
      <c r="A261" s="29">
        <v>42</v>
      </c>
      <c r="B261" s="30">
        <f>IF(3&lt;=DAY(DATE(YEAR(설정_코스수당!$K$2),MONTH(설정_코스수당!$K$2)+1,0)),DATE(YEAR(설정_코스수당!$K$2),MONTH(설정_코스수당!$K$2),3),"")</f>
        <v>46176</v>
      </c>
      <c r="C261" s="31"/>
      <c r="D261" s="29"/>
      <c r="E261" s="29"/>
      <c r="F261" s="32"/>
      <c r="G261" s="29"/>
      <c r="H261" s="29"/>
      <c r="I261" s="29"/>
      <c r="J261" s="33">
        <f>IF($O261="방문완료",MAX(0,IFERROR(VLOOKUP($E261,설정_코스수당!$A$6:$H$10,4,FALSE),0)-IF(OR($P261="",$P261="없음"),0,100000)),0)</f>
        <v>0</v>
      </c>
      <c r="K261" s="33">
        <f t="array" ref="K261">IF($O261="방문완료",IFERROR(INDEX(설정_코스수당!$B$15:$F$64,MATCH($G261,설정_코스수당!$A$15:$A$64,0),MATCH($E261&amp;"수당",설정_코스수당!$B$14:$F$14,0)),0),0)</f>
        <v>0</v>
      </c>
      <c r="L261" s="33">
        <f t="array" ref="L261">IF($O261="방문완료",IF($H261="",0,IFERROR(INDEX(설정_코스수당!$B$15:$F$64,MATCH($H261,설정_코스수당!$A$15:$A$64,0),MATCH($E261&amp;"수당",설정_코스수당!$B$14:$F$14,0)),0)),0)</f>
        <v>0</v>
      </c>
      <c r="M261" s="33">
        <f>IF($O261="방문완료",IFERROR(VLOOKUP($E261,설정_코스수당!$A$6:$H$10,6,FALSE),0),0)</f>
        <v>0</v>
      </c>
      <c r="N261" s="34">
        <f t="shared" si="7"/>
        <v>0</v>
      </c>
      <c r="O261" s="29"/>
      <c r="P261" s="29"/>
      <c r="Q261" s="29"/>
      <c r="R261" s="32"/>
      <c r="S261" s="29"/>
    </row>
    <row r="262" spans="1:19" ht="19.5" hidden="1" customHeight="1" outlineLevel="1">
      <c r="A262" s="23">
        <v>43</v>
      </c>
      <c r="B262" s="24">
        <f>IF(3&lt;=DAY(DATE(YEAR(설정_코스수당!$K$2),MONTH(설정_코스수당!$K$2)+1,0)),DATE(YEAR(설정_코스수당!$K$2),MONTH(설정_코스수당!$K$2),3),"")</f>
        <v>46176</v>
      </c>
      <c r="C262" s="25"/>
      <c r="D262" s="23"/>
      <c r="E262" s="23"/>
      <c r="F262" s="26"/>
      <c r="G262" s="23"/>
      <c r="H262" s="23"/>
      <c r="I262" s="23"/>
      <c r="J262" s="27">
        <f>IF($O262="방문완료",MAX(0,IFERROR(VLOOKUP($E262,설정_코스수당!$A$6:$H$10,4,FALSE),0)-IF(OR($P262="",$P262="없음"),0,100000)),0)</f>
        <v>0</v>
      </c>
      <c r="K262" s="27">
        <f t="array" ref="K262">IF($O262="방문완료",IFERROR(INDEX(설정_코스수당!$B$15:$F$64,MATCH($G262,설정_코스수당!$A$15:$A$64,0),MATCH($E262&amp;"수당",설정_코스수당!$B$14:$F$14,0)),0),0)</f>
        <v>0</v>
      </c>
      <c r="L262" s="27">
        <f t="array" ref="L262">IF($O262="방문완료",IF($H262="",0,IFERROR(INDEX(설정_코스수당!$B$15:$F$64,MATCH($H262,설정_코스수당!$A$15:$A$64,0),MATCH($E262&amp;"수당",설정_코스수당!$B$14:$F$14,0)),0)),0)</f>
        <v>0</v>
      </c>
      <c r="M262" s="27">
        <f>IF($O262="방문완료",IFERROR(VLOOKUP($E262,설정_코스수당!$A$6:$H$10,6,FALSE),0),0)</f>
        <v>0</v>
      </c>
      <c r="N262" s="28">
        <f t="shared" si="7"/>
        <v>0</v>
      </c>
      <c r="O262" s="23"/>
      <c r="P262" s="23"/>
      <c r="Q262" s="23"/>
      <c r="R262" s="26"/>
      <c r="S262" s="23"/>
    </row>
    <row r="263" spans="1:19" ht="19.5" hidden="1" customHeight="1" outlineLevel="1">
      <c r="A263" s="29">
        <v>44</v>
      </c>
      <c r="B263" s="30">
        <f>IF(3&lt;=DAY(DATE(YEAR(설정_코스수당!$K$2),MONTH(설정_코스수당!$K$2)+1,0)),DATE(YEAR(설정_코스수당!$K$2),MONTH(설정_코스수당!$K$2),3),"")</f>
        <v>46176</v>
      </c>
      <c r="C263" s="31"/>
      <c r="D263" s="29"/>
      <c r="E263" s="29"/>
      <c r="F263" s="32"/>
      <c r="G263" s="29"/>
      <c r="H263" s="29"/>
      <c r="I263" s="29"/>
      <c r="J263" s="33">
        <f>IF($O263="방문완료",MAX(0,IFERROR(VLOOKUP($E263,설정_코스수당!$A$6:$H$10,4,FALSE),0)-IF(OR($P263="",$P263="없음"),0,100000)),0)</f>
        <v>0</v>
      </c>
      <c r="K263" s="33">
        <f t="array" ref="K263">IF($O263="방문완료",IFERROR(INDEX(설정_코스수당!$B$15:$F$64,MATCH($G263,설정_코스수당!$A$15:$A$64,0),MATCH($E263&amp;"수당",설정_코스수당!$B$14:$F$14,0)),0),0)</f>
        <v>0</v>
      </c>
      <c r="L263" s="33">
        <f t="array" ref="L263">IF($O263="방문완료",IF($H263="",0,IFERROR(INDEX(설정_코스수당!$B$15:$F$64,MATCH($H263,설정_코스수당!$A$15:$A$64,0),MATCH($E263&amp;"수당",설정_코스수당!$B$14:$F$14,0)),0)),0)</f>
        <v>0</v>
      </c>
      <c r="M263" s="33">
        <f>IF($O263="방문완료",IFERROR(VLOOKUP($E263,설정_코스수당!$A$6:$H$10,6,FALSE),0),0)</f>
        <v>0</v>
      </c>
      <c r="N263" s="34">
        <f t="shared" si="7"/>
        <v>0</v>
      </c>
      <c r="O263" s="29"/>
      <c r="P263" s="29"/>
      <c r="Q263" s="29"/>
      <c r="R263" s="32"/>
      <c r="S263" s="29"/>
    </row>
    <row r="264" spans="1:19" ht="19.5" hidden="1" customHeight="1" outlineLevel="1">
      <c r="A264" s="23">
        <v>45</v>
      </c>
      <c r="B264" s="24">
        <f>IF(3&lt;=DAY(DATE(YEAR(설정_코스수당!$K$2),MONTH(설정_코스수당!$K$2)+1,0)),DATE(YEAR(설정_코스수당!$K$2),MONTH(설정_코스수당!$K$2),3),"")</f>
        <v>46176</v>
      </c>
      <c r="C264" s="25"/>
      <c r="D264" s="23"/>
      <c r="E264" s="23"/>
      <c r="F264" s="26"/>
      <c r="G264" s="23"/>
      <c r="H264" s="23"/>
      <c r="I264" s="23"/>
      <c r="J264" s="27">
        <f>IF($O264="방문완료",MAX(0,IFERROR(VLOOKUP($E264,설정_코스수당!$A$6:$H$10,4,FALSE),0)-IF(OR($P264="",$P264="없음"),0,100000)),0)</f>
        <v>0</v>
      </c>
      <c r="K264" s="27">
        <f t="array" ref="K264">IF($O264="방문완료",IFERROR(INDEX(설정_코스수당!$B$15:$F$64,MATCH($G264,설정_코스수당!$A$15:$A$64,0),MATCH($E264&amp;"수당",설정_코스수당!$B$14:$F$14,0)),0),0)</f>
        <v>0</v>
      </c>
      <c r="L264" s="27">
        <f t="array" ref="L264">IF($O264="방문완료",IF($H264="",0,IFERROR(INDEX(설정_코스수당!$B$15:$F$64,MATCH($H264,설정_코스수당!$A$15:$A$64,0),MATCH($E264&amp;"수당",설정_코스수당!$B$14:$F$14,0)),0)),0)</f>
        <v>0</v>
      </c>
      <c r="M264" s="27">
        <f>IF($O264="방문완료",IFERROR(VLOOKUP($E264,설정_코스수당!$A$6:$H$10,6,FALSE),0),0)</f>
        <v>0</v>
      </c>
      <c r="N264" s="28">
        <f t="shared" si="7"/>
        <v>0</v>
      </c>
      <c r="O264" s="23"/>
      <c r="P264" s="23"/>
      <c r="Q264" s="23"/>
      <c r="R264" s="26"/>
      <c r="S264" s="23"/>
    </row>
    <row r="265" spans="1:19" ht="19.5" hidden="1" customHeight="1" outlineLevel="1">
      <c r="A265" s="29">
        <v>46</v>
      </c>
      <c r="B265" s="30">
        <f>IF(3&lt;=DAY(DATE(YEAR(설정_코스수당!$K$2),MONTH(설정_코스수당!$K$2)+1,0)),DATE(YEAR(설정_코스수당!$K$2),MONTH(설정_코스수당!$K$2),3),"")</f>
        <v>46176</v>
      </c>
      <c r="C265" s="31"/>
      <c r="D265" s="29"/>
      <c r="E265" s="29"/>
      <c r="F265" s="32"/>
      <c r="G265" s="29"/>
      <c r="H265" s="29"/>
      <c r="I265" s="29"/>
      <c r="J265" s="33">
        <f>IF($O265="방문완료",MAX(0,IFERROR(VLOOKUP($E265,설정_코스수당!$A$6:$H$10,4,FALSE),0)-IF(OR($P265="",$P265="없음"),0,100000)),0)</f>
        <v>0</v>
      </c>
      <c r="K265" s="33">
        <f t="array" ref="K265">IF($O265="방문완료",IFERROR(INDEX(설정_코스수당!$B$15:$F$64,MATCH($G265,설정_코스수당!$A$15:$A$64,0),MATCH($E265&amp;"수당",설정_코스수당!$B$14:$F$14,0)),0),0)</f>
        <v>0</v>
      </c>
      <c r="L265" s="33">
        <f t="array" ref="L265">IF($O265="방문완료",IF($H265="",0,IFERROR(INDEX(설정_코스수당!$B$15:$F$64,MATCH($H265,설정_코스수당!$A$15:$A$64,0),MATCH($E265&amp;"수당",설정_코스수당!$B$14:$F$14,0)),0)),0)</f>
        <v>0</v>
      </c>
      <c r="M265" s="33">
        <f>IF($O265="방문완료",IFERROR(VLOOKUP($E265,설정_코스수당!$A$6:$H$10,6,FALSE),0),0)</f>
        <v>0</v>
      </c>
      <c r="N265" s="34">
        <f t="shared" si="7"/>
        <v>0</v>
      </c>
      <c r="O265" s="29"/>
      <c r="P265" s="29"/>
      <c r="Q265" s="29"/>
      <c r="R265" s="32"/>
      <c r="S265" s="29"/>
    </row>
    <row r="266" spans="1:19" ht="19.5" hidden="1" customHeight="1" outlineLevel="1">
      <c r="A266" s="23">
        <v>47</v>
      </c>
      <c r="B266" s="24">
        <f>IF(3&lt;=DAY(DATE(YEAR(설정_코스수당!$K$2),MONTH(설정_코스수당!$K$2)+1,0)),DATE(YEAR(설정_코스수당!$K$2),MONTH(설정_코스수당!$K$2),3),"")</f>
        <v>46176</v>
      </c>
      <c r="C266" s="25"/>
      <c r="D266" s="23"/>
      <c r="E266" s="23"/>
      <c r="F266" s="26"/>
      <c r="G266" s="23"/>
      <c r="H266" s="23"/>
      <c r="I266" s="23"/>
      <c r="J266" s="27">
        <f>IF($O266="방문완료",MAX(0,IFERROR(VLOOKUP($E266,설정_코스수당!$A$6:$H$10,4,FALSE),0)-IF(OR($P266="",$P266="없음"),0,100000)),0)</f>
        <v>0</v>
      </c>
      <c r="K266" s="27">
        <f t="array" ref="K266">IF($O266="방문완료",IFERROR(INDEX(설정_코스수당!$B$15:$F$64,MATCH($G266,설정_코스수당!$A$15:$A$64,0),MATCH($E266&amp;"수당",설정_코스수당!$B$14:$F$14,0)),0),0)</f>
        <v>0</v>
      </c>
      <c r="L266" s="27">
        <f t="array" ref="L266">IF($O266="방문완료",IF($H266="",0,IFERROR(INDEX(설정_코스수당!$B$15:$F$64,MATCH($H266,설정_코스수당!$A$15:$A$64,0),MATCH($E266&amp;"수당",설정_코스수당!$B$14:$F$14,0)),0)),0)</f>
        <v>0</v>
      </c>
      <c r="M266" s="27">
        <f>IF($O266="방문완료",IFERROR(VLOOKUP($E266,설정_코스수당!$A$6:$H$10,6,FALSE),0),0)</f>
        <v>0</v>
      </c>
      <c r="N266" s="28">
        <f t="shared" si="7"/>
        <v>0</v>
      </c>
      <c r="O266" s="23"/>
      <c r="P266" s="23"/>
      <c r="Q266" s="23"/>
      <c r="R266" s="26"/>
      <c r="S266" s="23"/>
    </row>
    <row r="267" spans="1:19" ht="19.5" hidden="1" customHeight="1" outlineLevel="1">
      <c r="A267" s="29">
        <v>48</v>
      </c>
      <c r="B267" s="30">
        <f>IF(3&lt;=DAY(DATE(YEAR(설정_코스수당!$K$2),MONTH(설정_코스수당!$K$2)+1,0)),DATE(YEAR(설정_코스수당!$K$2),MONTH(설정_코스수당!$K$2),3),"")</f>
        <v>46176</v>
      </c>
      <c r="C267" s="31"/>
      <c r="D267" s="29"/>
      <c r="E267" s="29"/>
      <c r="F267" s="32"/>
      <c r="G267" s="29"/>
      <c r="H267" s="29"/>
      <c r="I267" s="29"/>
      <c r="J267" s="33">
        <f>IF($O267="방문완료",MAX(0,IFERROR(VLOOKUP($E267,설정_코스수당!$A$6:$H$10,4,FALSE),0)-IF(OR($P267="",$P267="없음"),0,100000)),0)</f>
        <v>0</v>
      </c>
      <c r="K267" s="33">
        <f t="array" ref="K267">IF($O267="방문완료",IFERROR(INDEX(설정_코스수당!$B$15:$F$64,MATCH($G267,설정_코스수당!$A$15:$A$64,0),MATCH($E267&amp;"수당",설정_코스수당!$B$14:$F$14,0)),0),0)</f>
        <v>0</v>
      </c>
      <c r="L267" s="33">
        <f t="array" ref="L267">IF($O267="방문완료",IF($H267="",0,IFERROR(INDEX(설정_코스수당!$B$15:$F$64,MATCH($H267,설정_코스수당!$A$15:$A$64,0),MATCH($E267&amp;"수당",설정_코스수당!$B$14:$F$14,0)),0)),0)</f>
        <v>0</v>
      </c>
      <c r="M267" s="33">
        <f>IF($O267="방문완료",IFERROR(VLOOKUP($E267,설정_코스수당!$A$6:$H$10,6,FALSE),0),0)</f>
        <v>0</v>
      </c>
      <c r="N267" s="34">
        <f t="shared" si="7"/>
        <v>0</v>
      </c>
      <c r="O267" s="29"/>
      <c r="P267" s="29"/>
      <c r="Q267" s="29"/>
      <c r="R267" s="32"/>
      <c r="S267" s="29"/>
    </row>
    <row r="268" spans="1:19" ht="19.5" hidden="1" customHeight="1" outlineLevel="1">
      <c r="A268" s="23">
        <v>49</v>
      </c>
      <c r="B268" s="24">
        <f>IF(3&lt;=DAY(DATE(YEAR(설정_코스수당!$K$2),MONTH(설정_코스수당!$K$2)+1,0)),DATE(YEAR(설정_코스수당!$K$2),MONTH(설정_코스수당!$K$2),3),"")</f>
        <v>46176</v>
      </c>
      <c r="C268" s="25"/>
      <c r="D268" s="23"/>
      <c r="E268" s="23"/>
      <c r="F268" s="26"/>
      <c r="G268" s="23"/>
      <c r="H268" s="23"/>
      <c r="I268" s="23"/>
      <c r="J268" s="27">
        <f>IF($O268="방문완료",MAX(0,IFERROR(VLOOKUP($E268,설정_코스수당!$A$6:$H$10,4,FALSE),0)-IF(OR($P268="",$P268="없음"),0,100000)),0)</f>
        <v>0</v>
      </c>
      <c r="K268" s="27">
        <f t="array" ref="K268">IF($O268="방문완료",IFERROR(INDEX(설정_코스수당!$B$15:$F$64,MATCH($G268,설정_코스수당!$A$15:$A$64,0),MATCH($E268&amp;"수당",설정_코스수당!$B$14:$F$14,0)),0),0)</f>
        <v>0</v>
      </c>
      <c r="L268" s="27">
        <f t="array" ref="L268">IF($O268="방문완료",IF($H268="",0,IFERROR(INDEX(설정_코스수당!$B$15:$F$64,MATCH($H268,설정_코스수당!$A$15:$A$64,0),MATCH($E268&amp;"수당",설정_코스수당!$B$14:$F$14,0)),0)),0)</f>
        <v>0</v>
      </c>
      <c r="M268" s="27">
        <f>IF($O268="방문완료",IFERROR(VLOOKUP($E268,설정_코스수당!$A$6:$H$10,6,FALSE),0),0)</f>
        <v>0</v>
      </c>
      <c r="N268" s="28">
        <f t="shared" si="7"/>
        <v>0</v>
      </c>
      <c r="O268" s="23"/>
      <c r="P268" s="23"/>
      <c r="Q268" s="23"/>
      <c r="R268" s="26"/>
      <c r="S268" s="23"/>
    </row>
    <row r="269" spans="1:19" ht="19.5" hidden="1" customHeight="1" outlineLevel="1">
      <c r="A269" s="29">
        <v>50</v>
      </c>
      <c r="B269" s="30">
        <f>IF(3&lt;=DAY(DATE(YEAR(설정_코스수당!$K$2),MONTH(설정_코스수당!$K$2)+1,0)),DATE(YEAR(설정_코스수당!$K$2),MONTH(설정_코스수당!$K$2),3),"")</f>
        <v>46176</v>
      </c>
      <c r="C269" s="31"/>
      <c r="D269" s="29"/>
      <c r="E269" s="29"/>
      <c r="F269" s="32"/>
      <c r="G269" s="29"/>
      <c r="H269" s="29"/>
      <c r="I269" s="29"/>
      <c r="J269" s="33">
        <f>IF($O269="방문완료",MAX(0,IFERROR(VLOOKUP($E269,설정_코스수당!$A$6:$H$10,4,FALSE),0)-IF(OR($P269="",$P269="없음"),0,100000)),0)</f>
        <v>0</v>
      </c>
      <c r="K269" s="33">
        <f t="array" ref="K269">IF($O269="방문완료",IFERROR(INDEX(설정_코스수당!$B$15:$F$64,MATCH($G269,설정_코스수당!$A$15:$A$64,0),MATCH($E269&amp;"수당",설정_코스수당!$B$14:$F$14,0)),0),0)</f>
        <v>0</v>
      </c>
      <c r="L269" s="33">
        <f t="array" ref="L269">IF($O269="방문완료",IF($H269="",0,IFERROR(INDEX(설정_코스수당!$B$15:$F$64,MATCH($H269,설정_코스수당!$A$15:$A$64,0),MATCH($E269&amp;"수당",설정_코스수당!$B$14:$F$14,0)),0)),0)</f>
        <v>0</v>
      </c>
      <c r="M269" s="33">
        <f>IF($O269="방문완료",IFERROR(VLOOKUP($E269,설정_코스수당!$A$6:$H$10,6,FALSE),0),0)</f>
        <v>0</v>
      </c>
      <c r="N269" s="34">
        <f t="shared" si="7"/>
        <v>0</v>
      </c>
      <c r="O269" s="29"/>
      <c r="P269" s="29"/>
      <c r="Q269" s="29"/>
      <c r="R269" s="32"/>
      <c r="S269" s="29"/>
    </row>
    <row r="270" spans="1:19" ht="19.5" hidden="1" customHeight="1" outlineLevel="1">
      <c r="A270" s="23">
        <v>51</v>
      </c>
      <c r="B270" s="24">
        <f>IF(3&lt;=DAY(DATE(YEAR(설정_코스수당!$K$2),MONTH(설정_코스수당!$K$2)+1,0)),DATE(YEAR(설정_코스수당!$K$2),MONTH(설정_코스수당!$K$2),3),"")</f>
        <v>46176</v>
      </c>
      <c r="C270" s="25"/>
      <c r="D270" s="23"/>
      <c r="E270" s="23"/>
      <c r="F270" s="26"/>
      <c r="G270" s="23"/>
      <c r="H270" s="23"/>
      <c r="I270" s="23"/>
      <c r="J270" s="27">
        <f>IF($O270="방문완료",MAX(0,IFERROR(VLOOKUP($E270,설정_코스수당!$A$6:$H$10,4,FALSE),0)-IF(OR($P270="",$P270="없음"),0,100000)),0)</f>
        <v>0</v>
      </c>
      <c r="K270" s="27">
        <f t="array" ref="K270">IF($O270="방문완료",IFERROR(INDEX(설정_코스수당!$B$15:$F$64,MATCH($G270,설정_코스수당!$A$15:$A$64,0),MATCH($E270&amp;"수당",설정_코스수당!$B$14:$F$14,0)),0),0)</f>
        <v>0</v>
      </c>
      <c r="L270" s="27">
        <f t="array" ref="L270">IF($O270="방문완료",IF($H270="",0,IFERROR(INDEX(설정_코스수당!$B$15:$F$64,MATCH($H270,설정_코스수당!$A$15:$A$64,0),MATCH($E270&amp;"수당",설정_코스수당!$B$14:$F$14,0)),0)),0)</f>
        <v>0</v>
      </c>
      <c r="M270" s="27">
        <f>IF($O270="방문완료",IFERROR(VLOOKUP($E270,설정_코스수당!$A$6:$H$10,6,FALSE),0),0)</f>
        <v>0</v>
      </c>
      <c r="N270" s="28">
        <f t="shared" si="7"/>
        <v>0</v>
      </c>
      <c r="O270" s="23"/>
      <c r="P270" s="23"/>
      <c r="Q270" s="23"/>
      <c r="R270" s="26"/>
      <c r="S270" s="23"/>
    </row>
    <row r="271" spans="1:19" ht="19.5" hidden="1" customHeight="1" outlineLevel="1">
      <c r="A271" s="29">
        <v>52</v>
      </c>
      <c r="B271" s="30">
        <f>IF(3&lt;=DAY(DATE(YEAR(설정_코스수당!$K$2),MONTH(설정_코스수당!$K$2)+1,0)),DATE(YEAR(설정_코스수당!$K$2),MONTH(설정_코스수당!$K$2),3),"")</f>
        <v>46176</v>
      </c>
      <c r="C271" s="31"/>
      <c r="D271" s="29"/>
      <c r="E271" s="29"/>
      <c r="F271" s="32"/>
      <c r="G271" s="29"/>
      <c r="H271" s="29"/>
      <c r="I271" s="29"/>
      <c r="J271" s="33">
        <f>IF($O271="방문완료",MAX(0,IFERROR(VLOOKUP($E271,설정_코스수당!$A$6:$H$10,4,FALSE),0)-IF(OR($P271="",$P271="없음"),0,100000)),0)</f>
        <v>0</v>
      </c>
      <c r="K271" s="33">
        <f t="array" ref="K271">IF($O271="방문완료",IFERROR(INDEX(설정_코스수당!$B$15:$F$64,MATCH($G271,설정_코스수당!$A$15:$A$64,0),MATCH($E271&amp;"수당",설정_코스수당!$B$14:$F$14,0)),0),0)</f>
        <v>0</v>
      </c>
      <c r="L271" s="33">
        <f t="array" ref="L271">IF($O271="방문완료",IF($H271="",0,IFERROR(INDEX(설정_코스수당!$B$15:$F$64,MATCH($H271,설정_코스수당!$A$15:$A$64,0),MATCH($E271&amp;"수당",설정_코스수당!$B$14:$F$14,0)),0)),0)</f>
        <v>0</v>
      </c>
      <c r="M271" s="33">
        <f>IF($O271="방문완료",IFERROR(VLOOKUP($E271,설정_코스수당!$A$6:$H$10,6,FALSE),0),0)</f>
        <v>0</v>
      </c>
      <c r="N271" s="34">
        <f t="shared" si="7"/>
        <v>0</v>
      </c>
      <c r="O271" s="29"/>
      <c r="P271" s="29"/>
      <c r="Q271" s="29"/>
      <c r="R271" s="32"/>
      <c r="S271" s="29"/>
    </row>
    <row r="272" spans="1:19" ht="19.5" hidden="1" customHeight="1" outlineLevel="1">
      <c r="A272" s="23">
        <v>53</v>
      </c>
      <c r="B272" s="24">
        <f>IF(3&lt;=DAY(DATE(YEAR(설정_코스수당!$K$2),MONTH(설정_코스수당!$K$2)+1,0)),DATE(YEAR(설정_코스수당!$K$2),MONTH(설정_코스수당!$K$2),3),"")</f>
        <v>46176</v>
      </c>
      <c r="C272" s="25"/>
      <c r="D272" s="23"/>
      <c r="E272" s="23"/>
      <c r="F272" s="26"/>
      <c r="G272" s="23"/>
      <c r="H272" s="23"/>
      <c r="I272" s="23"/>
      <c r="J272" s="27">
        <f>IF($O272="방문완료",MAX(0,IFERROR(VLOOKUP($E272,설정_코스수당!$A$6:$H$10,4,FALSE),0)-IF(OR($P272="",$P272="없음"),0,100000)),0)</f>
        <v>0</v>
      </c>
      <c r="K272" s="27">
        <f t="array" ref="K272">IF($O272="방문완료",IFERROR(INDEX(설정_코스수당!$B$15:$F$64,MATCH($G272,설정_코스수당!$A$15:$A$64,0),MATCH($E272&amp;"수당",설정_코스수당!$B$14:$F$14,0)),0),0)</f>
        <v>0</v>
      </c>
      <c r="L272" s="27">
        <f t="array" ref="L272">IF($O272="방문완료",IF($H272="",0,IFERROR(INDEX(설정_코스수당!$B$15:$F$64,MATCH($H272,설정_코스수당!$A$15:$A$64,0),MATCH($E272&amp;"수당",설정_코스수당!$B$14:$F$14,0)),0)),0)</f>
        <v>0</v>
      </c>
      <c r="M272" s="27">
        <f>IF($O272="방문완료",IFERROR(VLOOKUP($E272,설정_코스수당!$A$6:$H$10,6,FALSE),0),0)</f>
        <v>0</v>
      </c>
      <c r="N272" s="28">
        <f t="shared" si="7"/>
        <v>0</v>
      </c>
      <c r="O272" s="23"/>
      <c r="P272" s="23"/>
      <c r="Q272" s="23"/>
      <c r="R272" s="26"/>
      <c r="S272" s="23"/>
    </row>
    <row r="273" spans="1:19" ht="19.5" hidden="1" customHeight="1" outlineLevel="1">
      <c r="A273" s="29">
        <v>54</v>
      </c>
      <c r="B273" s="30">
        <f>IF(3&lt;=DAY(DATE(YEAR(설정_코스수당!$K$2),MONTH(설정_코스수당!$K$2)+1,0)),DATE(YEAR(설정_코스수당!$K$2),MONTH(설정_코스수당!$K$2),3),"")</f>
        <v>46176</v>
      </c>
      <c r="C273" s="31"/>
      <c r="D273" s="29"/>
      <c r="E273" s="29"/>
      <c r="F273" s="32"/>
      <c r="G273" s="29"/>
      <c r="H273" s="29"/>
      <c r="I273" s="29"/>
      <c r="J273" s="33">
        <f>IF($O273="방문완료",MAX(0,IFERROR(VLOOKUP($E273,설정_코스수당!$A$6:$H$10,4,FALSE),0)-IF(OR($P273="",$P273="없음"),0,100000)),0)</f>
        <v>0</v>
      </c>
      <c r="K273" s="33">
        <f t="array" ref="K273">IF($O273="방문완료",IFERROR(INDEX(설정_코스수당!$B$15:$F$64,MATCH($G273,설정_코스수당!$A$15:$A$64,0),MATCH($E273&amp;"수당",설정_코스수당!$B$14:$F$14,0)),0),0)</f>
        <v>0</v>
      </c>
      <c r="L273" s="33">
        <f t="array" ref="L273">IF($O273="방문완료",IF($H273="",0,IFERROR(INDEX(설정_코스수당!$B$15:$F$64,MATCH($H273,설정_코스수당!$A$15:$A$64,0),MATCH($E273&amp;"수당",설정_코스수당!$B$14:$F$14,0)),0)),0)</f>
        <v>0</v>
      </c>
      <c r="M273" s="33">
        <f>IF($O273="방문완료",IFERROR(VLOOKUP($E273,설정_코스수당!$A$6:$H$10,6,FALSE),0),0)</f>
        <v>0</v>
      </c>
      <c r="N273" s="34">
        <f t="shared" si="7"/>
        <v>0</v>
      </c>
      <c r="O273" s="29"/>
      <c r="P273" s="29"/>
      <c r="Q273" s="29"/>
      <c r="R273" s="32"/>
      <c r="S273" s="29"/>
    </row>
    <row r="274" spans="1:19" ht="19.5" hidden="1" customHeight="1" outlineLevel="1">
      <c r="A274" s="23">
        <v>55</v>
      </c>
      <c r="B274" s="24">
        <f>IF(3&lt;=DAY(DATE(YEAR(설정_코스수당!$K$2),MONTH(설정_코스수당!$K$2)+1,0)),DATE(YEAR(설정_코스수당!$K$2),MONTH(설정_코스수당!$K$2),3),"")</f>
        <v>46176</v>
      </c>
      <c r="C274" s="25"/>
      <c r="D274" s="23"/>
      <c r="E274" s="23"/>
      <c r="F274" s="26"/>
      <c r="G274" s="23"/>
      <c r="H274" s="23"/>
      <c r="I274" s="23"/>
      <c r="J274" s="27">
        <f>IF($O274="방문완료",MAX(0,IFERROR(VLOOKUP($E274,설정_코스수당!$A$6:$H$10,4,FALSE),0)-IF(OR($P274="",$P274="없음"),0,100000)),0)</f>
        <v>0</v>
      </c>
      <c r="K274" s="27">
        <f t="array" ref="K274">IF($O274="방문완료",IFERROR(INDEX(설정_코스수당!$B$15:$F$64,MATCH($G274,설정_코스수당!$A$15:$A$64,0),MATCH($E274&amp;"수당",설정_코스수당!$B$14:$F$14,0)),0),0)</f>
        <v>0</v>
      </c>
      <c r="L274" s="27">
        <f t="array" ref="L274">IF($O274="방문완료",IF($H274="",0,IFERROR(INDEX(설정_코스수당!$B$15:$F$64,MATCH($H274,설정_코스수당!$A$15:$A$64,0),MATCH($E274&amp;"수당",설정_코스수당!$B$14:$F$14,0)),0)),0)</f>
        <v>0</v>
      </c>
      <c r="M274" s="27">
        <f>IF($O274="방문완료",IFERROR(VLOOKUP($E274,설정_코스수당!$A$6:$H$10,6,FALSE),0),0)</f>
        <v>0</v>
      </c>
      <c r="N274" s="28">
        <f t="shared" si="7"/>
        <v>0</v>
      </c>
      <c r="O274" s="23"/>
      <c r="P274" s="23"/>
      <c r="Q274" s="23"/>
      <c r="R274" s="26"/>
      <c r="S274" s="23"/>
    </row>
    <row r="275" spans="1:19" ht="19.5" hidden="1" customHeight="1" outlineLevel="1">
      <c r="A275" s="29">
        <v>56</v>
      </c>
      <c r="B275" s="30">
        <f>IF(3&lt;=DAY(DATE(YEAR(설정_코스수당!$K$2),MONTH(설정_코스수당!$K$2)+1,0)),DATE(YEAR(설정_코스수당!$K$2),MONTH(설정_코스수당!$K$2),3),"")</f>
        <v>46176</v>
      </c>
      <c r="C275" s="31"/>
      <c r="D275" s="29"/>
      <c r="E275" s="29"/>
      <c r="F275" s="32"/>
      <c r="G275" s="29"/>
      <c r="H275" s="29"/>
      <c r="I275" s="29"/>
      <c r="J275" s="33">
        <f>IF($O275="방문완료",MAX(0,IFERROR(VLOOKUP($E275,설정_코스수당!$A$6:$H$10,4,FALSE),0)-IF(OR($P275="",$P275="없음"),0,100000)),0)</f>
        <v>0</v>
      </c>
      <c r="K275" s="33">
        <f t="array" ref="K275">IF($O275="방문완료",IFERROR(INDEX(설정_코스수당!$B$15:$F$64,MATCH($G275,설정_코스수당!$A$15:$A$64,0),MATCH($E275&amp;"수당",설정_코스수당!$B$14:$F$14,0)),0),0)</f>
        <v>0</v>
      </c>
      <c r="L275" s="33">
        <f t="array" ref="L275">IF($O275="방문완료",IF($H275="",0,IFERROR(INDEX(설정_코스수당!$B$15:$F$64,MATCH($H275,설정_코스수당!$A$15:$A$64,0),MATCH($E275&amp;"수당",설정_코스수당!$B$14:$F$14,0)),0)),0)</f>
        <v>0</v>
      </c>
      <c r="M275" s="33">
        <f>IF($O275="방문완료",IFERROR(VLOOKUP($E275,설정_코스수당!$A$6:$H$10,6,FALSE),0),0)</f>
        <v>0</v>
      </c>
      <c r="N275" s="34">
        <f t="shared" si="7"/>
        <v>0</v>
      </c>
      <c r="O275" s="29"/>
      <c r="P275" s="29"/>
      <c r="Q275" s="29"/>
      <c r="R275" s="32"/>
      <c r="S275" s="29"/>
    </row>
    <row r="276" spans="1:19" ht="19.5" hidden="1" customHeight="1" outlineLevel="1">
      <c r="A276" s="23">
        <v>57</v>
      </c>
      <c r="B276" s="24">
        <f>IF(3&lt;=DAY(DATE(YEAR(설정_코스수당!$K$2),MONTH(설정_코스수당!$K$2)+1,0)),DATE(YEAR(설정_코스수당!$K$2),MONTH(설정_코스수당!$K$2),3),"")</f>
        <v>46176</v>
      </c>
      <c r="C276" s="25"/>
      <c r="D276" s="23"/>
      <c r="E276" s="23"/>
      <c r="F276" s="26"/>
      <c r="G276" s="23"/>
      <c r="H276" s="23"/>
      <c r="I276" s="23"/>
      <c r="J276" s="27">
        <f>IF($O276="방문완료",MAX(0,IFERROR(VLOOKUP($E276,설정_코스수당!$A$6:$H$10,4,FALSE),0)-IF(OR($P276="",$P276="없음"),0,100000)),0)</f>
        <v>0</v>
      </c>
      <c r="K276" s="27">
        <f t="array" ref="K276">IF($O276="방문완료",IFERROR(INDEX(설정_코스수당!$B$15:$F$64,MATCH($G276,설정_코스수당!$A$15:$A$64,0),MATCH($E276&amp;"수당",설정_코스수당!$B$14:$F$14,0)),0),0)</f>
        <v>0</v>
      </c>
      <c r="L276" s="27">
        <f t="array" ref="L276">IF($O276="방문완료",IF($H276="",0,IFERROR(INDEX(설정_코스수당!$B$15:$F$64,MATCH($H276,설정_코스수당!$A$15:$A$64,0),MATCH($E276&amp;"수당",설정_코스수당!$B$14:$F$14,0)),0)),0)</f>
        <v>0</v>
      </c>
      <c r="M276" s="27">
        <f>IF($O276="방문완료",IFERROR(VLOOKUP($E276,설정_코스수당!$A$6:$H$10,6,FALSE),0),0)</f>
        <v>0</v>
      </c>
      <c r="N276" s="28">
        <f t="shared" si="7"/>
        <v>0</v>
      </c>
      <c r="O276" s="23"/>
      <c r="P276" s="23"/>
      <c r="Q276" s="23"/>
      <c r="R276" s="26"/>
      <c r="S276" s="23"/>
    </row>
    <row r="277" spans="1:19" ht="19.5" hidden="1" customHeight="1" outlineLevel="1">
      <c r="A277" s="29">
        <v>58</v>
      </c>
      <c r="B277" s="30">
        <f>IF(3&lt;=DAY(DATE(YEAR(설정_코스수당!$K$2),MONTH(설정_코스수당!$K$2)+1,0)),DATE(YEAR(설정_코스수당!$K$2),MONTH(설정_코스수당!$K$2),3),"")</f>
        <v>46176</v>
      </c>
      <c r="C277" s="31"/>
      <c r="D277" s="29"/>
      <c r="E277" s="29"/>
      <c r="F277" s="32"/>
      <c r="G277" s="29"/>
      <c r="H277" s="29"/>
      <c r="I277" s="29"/>
      <c r="J277" s="33">
        <f>IF($O277="방문완료",MAX(0,IFERROR(VLOOKUP($E277,설정_코스수당!$A$6:$H$10,4,FALSE),0)-IF(OR($P277="",$P277="없음"),0,100000)),0)</f>
        <v>0</v>
      </c>
      <c r="K277" s="33">
        <f t="array" ref="K277">IF($O277="방문완료",IFERROR(INDEX(설정_코스수당!$B$15:$F$64,MATCH($G277,설정_코스수당!$A$15:$A$64,0),MATCH($E277&amp;"수당",설정_코스수당!$B$14:$F$14,0)),0),0)</f>
        <v>0</v>
      </c>
      <c r="L277" s="33">
        <f t="array" ref="L277">IF($O277="방문완료",IF($H277="",0,IFERROR(INDEX(설정_코스수당!$B$15:$F$64,MATCH($H277,설정_코스수당!$A$15:$A$64,0),MATCH($E277&amp;"수당",설정_코스수당!$B$14:$F$14,0)),0)),0)</f>
        <v>0</v>
      </c>
      <c r="M277" s="33">
        <f>IF($O277="방문완료",IFERROR(VLOOKUP($E277,설정_코스수당!$A$6:$H$10,6,FALSE),0),0)</f>
        <v>0</v>
      </c>
      <c r="N277" s="34">
        <f t="shared" si="7"/>
        <v>0</v>
      </c>
      <c r="O277" s="29"/>
      <c r="P277" s="29"/>
      <c r="Q277" s="29"/>
      <c r="R277" s="32"/>
      <c r="S277" s="29"/>
    </row>
    <row r="278" spans="1:19" ht="19.5" hidden="1" customHeight="1" outlineLevel="1">
      <c r="A278" s="23">
        <v>59</v>
      </c>
      <c r="B278" s="24">
        <f>IF(3&lt;=DAY(DATE(YEAR(설정_코스수당!$K$2),MONTH(설정_코스수당!$K$2)+1,0)),DATE(YEAR(설정_코스수당!$K$2),MONTH(설정_코스수당!$K$2),3),"")</f>
        <v>46176</v>
      </c>
      <c r="C278" s="25"/>
      <c r="D278" s="23"/>
      <c r="E278" s="23"/>
      <c r="F278" s="26"/>
      <c r="G278" s="23"/>
      <c r="H278" s="23"/>
      <c r="I278" s="23"/>
      <c r="J278" s="27">
        <f>IF($O278="방문완료",MAX(0,IFERROR(VLOOKUP($E278,설정_코스수당!$A$6:$H$10,4,FALSE),0)-IF(OR($P278="",$P278="없음"),0,100000)),0)</f>
        <v>0</v>
      </c>
      <c r="K278" s="27">
        <f t="array" ref="K278">IF($O278="방문완료",IFERROR(INDEX(설정_코스수당!$B$15:$F$64,MATCH($G278,설정_코스수당!$A$15:$A$64,0),MATCH($E278&amp;"수당",설정_코스수당!$B$14:$F$14,0)),0),0)</f>
        <v>0</v>
      </c>
      <c r="L278" s="27">
        <f t="array" ref="L278">IF($O278="방문완료",IF($H278="",0,IFERROR(INDEX(설정_코스수당!$B$15:$F$64,MATCH($H278,설정_코스수당!$A$15:$A$64,0),MATCH($E278&amp;"수당",설정_코스수당!$B$14:$F$14,0)),0)),0)</f>
        <v>0</v>
      </c>
      <c r="M278" s="27">
        <f>IF($O278="방문완료",IFERROR(VLOOKUP($E278,설정_코스수당!$A$6:$H$10,6,FALSE),0),0)</f>
        <v>0</v>
      </c>
      <c r="N278" s="28">
        <f t="shared" si="7"/>
        <v>0</v>
      </c>
      <c r="O278" s="23"/>
      <c r="P278" s="23"/>
      <c r="Q278" s="23"/>
      <c r="R278" s="26"/>
      <c r="S278" s="23"/>
    </row>
    <row r="279" spans="1:19" ht="19.5" hidden="1" customHeight="1" outlineLevel="1">
      <c r="A279" s="29">
        <v>60</v>
      </c>
      <c r="B279" s="30">
        <f>IF(3&lt;=DAY(DATE(YEAR(설정_코스수당!$K$2),MONTH(설정_코스수당!$K$2)+1,0)),DATE(YEAR(설정_코스수당!$K$2),MONTH(설정_코스수당!$K$2),3),"")</f>
        <v>46176</v>
      </c>
      <c r="C279" s="31"/>
      <c r="D279" s="29"/>
      <c r="E279" s="29"/>
      <c r="F279" s="32"/>
      <c r="G279" s="29"/>
      <c r="H279" s="29"/>
      <c r="I279" s="29"/>
      <c r="J279" s="33">
        <f>IF($O279="방문완료",MAX(0,IFERROR(VLOOKUP($E279,설정_코스수당!$A$6:$H$10,4,FALSE),0)-IF(OR($P279="",$P279="없음"),0,100000)),0)</f>
        <v>0</v>
      </c>
      <c r="K279" s="33">
        <f t="array" ref="K279">IF($O279="방문완료",IFERROR(INDEX(설정_코스수당!$B$15:$F$64,MATCH($G279,설정_코스수당!$A$15:$A$64,0),MATCH($E279&amp;"수당",설정_코스수당!$B$14:$F$14,0)),0),0)</f>
        <v>0</v>
      </c>
      <c r="L279" s="33">
        <f t="array" ref="L279">IF($O279="방문완료",IF($H279="",0,IFERROR(INDEX(설정_코스수당!$B$15:$F$64,MATCH($H279,설정_코스수당!$A$15:$A$64,0),MATCH($E279&amp;"수당",설정_코스수당!$B$14:$F$14,0)),0)),0)</f>
        <v>0</v>
      </c>
      <c r="M279" s="33">
        <f>IF($O279="방문완료",IFERROR(VLOOKUP($E279,설정_코스수당!$A$6:$H$10,6,FALSE),0),0)</f>
        <v>0</v>
      </c>
      <c r="N279" s="34">
        <f t="shared" si="7"/>
        <v>0</v>
      </c>
      <c r="O279" s="29"/>
      <c r="P279" s="29"/>
      <c r="Q279" s="29"/>
      <c r="R279" s="32"/>
      <c r="S279" s="29"/>
    </row>
    <row r="280" spans="1:19" ht="19.5" hidden="1" customHeight="1" outlineLevel="1">
      <c r="A280" s="23">
        <v>61</v>
      </c>
      <c r="B280" s="24">
        <f>IF(3&lt;=DAY(DATE(YEAR(설정_코스수당!$K$2),MONTH(설정_코스수당!$K$2)+1,0)),DATE(YEAR(설정_코스수당!$K$2),MONTH(설정_코스수당!$K$2),3),"")</f>
        <v>46176</v>
      </c>
      <c r="C280" s="25"/>
      <c r="D280" s="23"/>
      <c r="E280" s="23"/>
      <c r="F280" s="26"/>
      <c r="G280" s="23"/>
      <c r="H280" s="23"/>
      <c r="I280" s="23"/>
      <c r="J280" s="27">
        <f>IF($O280="방문완료",MAX(0,IFERROR(VLOOKUP($E280,설정_코스수당!$A$6:$H$10,4,FALSE),0)-IF(OR($P280="",$P280="없음"),0,100000)),0)</f>
        <v>0</v>
      </c>
      <c r="K280" s="27">
        <f t="array" ref="K280">IF($O280="방문완료",IFERROR(INDEX(설정_코스수당!$B$15:$F$64,MATCH($G280,설정_코스수당!$A$15:$A$64,0),MATCH($E280&amp;"수당",설정_코스수당!$B$14:$F$14,0)),0),0)</f>
        <v>0</v>
      </c>
      <c r="L280" s="27">
        <f t="array" ref="L280">IF($O280="방문완료",IF($H280="",0,IFERROR(INDEX(설정_코스수당!$B$15:$F$64,MATCH($H280,설정_코스수당!$A$15:$A$64,0),MATCH($E280&amp;"수당",설정_코스수당!$B$14:$F$14,0)),0)),0)</f>
        <v>0</v>
      </c>
      <c r="M280" s="27">
        <f>IF($O280="방문완료",IFERROR(VLOOKUP($E280,설정_코스수당!$A$6:$H$10,6,FALSE),0),0)</f>
        <v>0</v>
      </c>
      <c r="N280" s="28">
        <f t="shared" si="7"/>
        <v>0</v>
      </c>
      <c r="O280" s="23"/>
      <c r="P280" s="23"/>
      <c r="Q280" s="23"/>
      <c r="R280" s="26"/>
      <c r="S280" s="23"/>
    </row>
    <row r="281" spans="1:19" ht="19.5" hidden="1" customHeight="1" outlineLevel="1">
      <c r="A281" s="29">
        <v>62</v>
      </c>
      <c r="B281" s="30">
        <f>IF(3&lt;=DAY(DATE(YEAR(설정_코스수당!$K$2),MONTH(설정_코스수당!$K$2)+1,0)),DATE(YEAR(설정_코스수당!$K$2),MONTH(설정_코스수당!$K$2),3),"")</f>
        <v>46176</v>
      </c>
      <c r="C281" s="31"/>
      <c r="D281" s="29"/>
      <c r="E281" s="29"/>
      <c r="F281" s="32"/>
      <c r="G281" s="29"/>
      <c r="H281" s="29"/>
      <c r="I281" s="29"/>
      <c r="J281" s="33">
        <f>IF($O281="방문완료",MAX(0,IFERROR(VLOOKUP($E281,설정_코스수당!$A$6:$H$10,4,FALSE),0)-IF(OR($P281="",$P281="없음"),0,100000)),0)</f>
        <v>0</v>
      </c>
      <c r="K281" s="33">
        <f t="array" ref="K281">IF($O281="방문완료",IFERROR(INDEX(설정_코스수당!$B$15:$F$64,MATCH($G281,설정_코스수당!$A$15:$A$64,0),MATCH($E281&amp;"수당",설정_코스수당!$B$14:$F$14,0)),0),0)</f>
        <v>0</v>
      </c>
      <c r="L281" s="33">
        <f t="array" ref="L281">IF($O281="방문완료",IF($H281="",0,IFERROR(INDEX(설정_코스수당!$B$15:$F$64,MATCH($H281,설정_코스수당!$A$15:$A$64,0),MATCH($E281&amp;"수당",설정_코스수당!$B$14:$F$14,0)),0)),0)</f>
        <v>0</v>
      </c>
      <c r="M281" s="33">
        <f>IF($O281="방문완료",IFERROR(VLOOKUP($E281,설정_코스수당!$A$6:$H$10,6,FALSE),0),0)</f>
        <v>0</v>
      </c>
      <c r="N281" s="34">
        <f t="shared" si="7"/>
        <v>0</v>
      </c>
      <c r="O281" s="29"/>
      <c r="P281" s="29"/>
      <c r="Q281" s="29"/>
      <c r="R281" s="32"/>
      <c r="S281" s="29"/>
    </row>
    <row r="282" spans="1:19" ht="19.5" hidden="1" customHeight="1" outlineLevel="1">
      <c r="A282" s="23">
        <v>63</v>
      </c>
      <c r="B282" s="24">
        <f>IF(3&lt;=DAY(DATE(YEAR(설정_코스수당!$K$2),MONTH(설정_코스수당!$K$2)+1,0)),DATE(YEAR(설정_코스수당!$K$2),MONTH(설정_코스수당!$K$2),3),"")</f>
        <v>46176</v>
      </c>
      <c r="C282" s="25"/>
      <c r="D282" s="23"/>
      <c r="E282" s="23"/>
      <c r="F282" s="26"/>
      <c r="G282" s="23"/>
      <c r="H282" s="23"/>
      <c r="I282" s="23"/>
      <c r="J282" s="27">
        <f>IF($O282="방문완료",MAX(0,IFERROR(VLOOKUP($E282,설정_코스수당!$A$6:$H$10,4,FALSE),0)-IF(OR($P282="",$P282="없음"),0,100000)),0)</f>
        <v>0</v>
      </c>
      <c r="K282" s="27">
        <f t="array" ref="K282">IF($O282="방문완료",IFERROR(INDEX(설정_코스수당!$B$15:$F$64,MATCH($G282,설정_코스수당!$A$15:$A$64,0),MATCH($E282&amp;"수당",설정_코스수당!$B$14:$F$14,0)),0),0)</f>
        <v>0</v>
      </c>
      <c r="L282" s="27">
        <f t="array" ref="L282">IF($O282="방문완료",IF($H282="",0,IFERROR(INDEX(설정_코스수당!$B$15:$F$64,MATCH($H282,설정_코스수당!$A$15:$A$64,0),MATCH($E282&amp;"수당",설정_코스수당!$B$14:$F$14,0)),0)),0)</f>
        <v>0</v>
      </c>
      <c r="M282" s="27">
        <f>IF($O282="방문완료",IFERROR(VLOOKUP($E282,설정_코스수당!$A$6:$H$10,6,FALSE),0),0)</f>
        <v>0</v>
      </c>
      <c r="N282" s="28">
        <f t="shared" si="7"/>
        <v>0</v>
      </c>
      <c r="O282" s="23"/>
      <c r="P282" s="23"/>
      <c r="Q282" s="23"/>
      <c r="R282" s="26"/>
      <c r="S282" s="23"/>
    </row>
    <row r="283" spans="1:19" ht="19.5" hidden="1" customHeight="1" outlineLevel="1">
      <c r="A283" s="29">
        <v>64</v>
      </c>
      <c r="B283" s="30">
        <f>IF(3&lt;=DAY(DATE(YEAR(설정_코스수당!$K$2),MONTH(설정_코스수당!$K$2)+1,0)),DATE(YEAR(설정_코스수당!$K$2),MONTH(설정_코스수당!$K$2),3),"")</f>
        <v>46176</v>
      </c>
      <c r="C283" s="31"/>
      <c r="D283" s="29"/>
      <c r="E283" s="29"/>
      <c r="F283" s="32"/>
      <c r="G283" s="29"/>
      <c r="H283" s="29"/>
      <c r="I283" s="29"/>
      <c r="J283" s="33">
        <f>IF($O283="방문완료",MAX(0,IFERROR(VLOOKUP($E283,설정_코스수당!$A$6:$H$10,4,FALSE),0)-IF(OR($P283="",$P283="없음"),0,100000)),0)</f>
        <v>0</v>
      </c>
      <c r="K283" s="33">
        <f t="array" ref="K283">IF($O283="방문완료",IFERROR(INDEX(설정_코스수당!$B$15:$F$64,MATCH($G283,설정_코스수당!$A$15:$A$64,0),MATCH($E283&amp;"수당",설정_코스수당!$B$14:$F$14,0)),0),0)</f>
        <v>0</v>
      </c>
      <c r="L283" s="33">
        <f t="array" ref="L283">IF($O283="방문완료",IF($H283="",0,IFERROR(INDEX(설정_코스수당!$B$15:$F$64,MATCH($H283,설정_코스수당!$A$15:$A$64,0),MATCH($E283&amp;"수당",설정_코스수당!$B$14:$F$14,0)),0)),0)</f>
        <v>0</v>
      </c>
      <c r="M283" s="33">
        <f>IF($O283="방문완료",IFERROR(VLOOKUP($E283,설정_코스수당!$A$6:$H$10,6,FALSE),0),0)</f>
        <v>0</v>
      </c>
      <c r="N283" s="34">
        <f t="shared" si="7"/>
        <v>0</v>
      </c>
      <c r="O283" s="29"/>
      <c r="P283" s="29"/>
      <c r="Q283" s="29"/>
      <c r="R283" s="32"/>
      <c r="S283" s="29"/>
    </row>
    <row r="284" spans="1:19" ht="19.5" hidden="1" customHeight="1" outlineLevel="1">
      <c r="A284" s="23">
        <v>65</v>
      </c>
      <c r="B284" s="24">
        <f>IF(3&lt;=DAY(DATE(YEAR(설정_코스수당!$K$2),MONTH(설정_코스수당!$K$2)+1,0)),DATE(YEAR(설정_코스수당!$K$2),MONTH(설정_코스수당!$K$2),3),"")</f>
        <v>46176</v>
      </c>
      <c r="C284" s="25"/>
      <c r="D284" s="23"/>
      <c r="E284" s="23"/>
      <c r="F284" s="26"/>
      <c r="G284" s="23"/>
      <c r="H284" s="23"/>
      <c r="I284" s="23"/>
      <c r="J284" s="27">
        <f>IF($O284="방문완료",MAX(0,IFERROR(VLOOKUP($E284,설정_코스수당!$A$6:$H$10,4,FALSE),0)-IF(OR($P284="",$P284="없음"),0,100000)),0)</f>
        <v>0</v>
      </c>
      <c r="K284" s="27">
        <f t="array" ref="K284">IF($O284="방문완료",IFERROR(INDEX(설정_코스수당!$B$15:$F$64,MATCH($G284,설정_코스수당!$A$15:$A$64,0),MATCH($E284&amp;"수당",설정_코스수당!$B$14:$F$14,0)),0),0)</f>
        <v>0</v>
      </c>
      <c r="L284" s="27">
        <f t="array" ref="L284">IF($O284="방문완료",IF($H284="",0,IFERROR(INDEX(설정_코스수당!$B$15:$F$64,MATCH($H284,설정_코스수당!$A$15:$A$64,0),MATCH($E284&amp;"수당",설정_코스수당!$B$14:$F$14,0)),0)),0)</f>
        <v>0</v>
      </c>
      <c r="M284" s="27">
        <f>IF($O284="방문완료",IFERROR(VLOOKUP($E284,설정_코스수당!$A$6:$H$10,6,FALSE),0),0)</f>
        <v>0</v>
      </c>
      <c r="N284" s="28">
        <f t="shared" si="7"/>
        <v>0</v>
      </c>
      <c r="O284" s="23"/>
      <c r="P284" s="23"/>
      <c r="Q284" s="23"/>
      <c r="R284" s="26"/>
      <c r="S284" s="23"/>
    </row>
    <row r="285" spans="1:19" ht="19.5" hidden="1" customHeight="1" outlineLevel="1">
      <c r="A285" s="29">
        <v>66</v>
      </c>
      <c r="B285" s="30">
        <f>IF(3&lt;=DAY(DATE(YEAR(설정_코스수당!$K$2),MONTH(설정_코스수당!$K$2)+1,0)),DATE(YEAR(설정_코스수당!$K$2),MONTH(설정_코스수당!$K$2),3),"")</f>
        <v>46176</v>
      </c>
      <c r="C285" s="31"/>
      <c r="D285" s="29"/>
      <c r="E285" s="29"/>
      <c r="F285" s="32"/>
      <c r="G285" s="29"/>
      <c r="H285" s="29"/>
      <c r="I285" s="29"/>
      <c r="J285" s="33">
        <f>IF($O285="방문완료",MAX(0,IFERROR(VLOOKUP($E285,설정_코스수당!$A$6:$H$10,4,FALSE),0)-IF(OR($P285="",$P285="없음"),0,100000)),0)</f>
        <v>0</v>
      </c>
      <c r="K285" s="33">
        <f t="array" ref="K285">IF($O285="방문완료",IFERROR(INDEX(설정_코스수당!$B$15:$F$64,MATCH($G285,설정_코스수당!$A$15:$A$64,0),MATCH($E285&amp;"수당",설정_코스수당!$B$14:$F$14,0)),0),0)</f>
        <v>0</v>
      </c>
      <c r="L285" s="33">
        <f t="array" ref="L285">IF($O285="방문완료",IF($H285="",0,IFERROR(INDEX(설정_코스수당!$B$15:$F$64,MATCH($H285,설정_코스수당!$A$15:$A$64,0),MATCH($E285&amp;"수당",설정_코스수당!$B$14:$F$14,0)),0)),0)</f>
        <v>0</v>
      </c>
      <c r="M285" s="33">
        <f>IF($O285="방문완료",IFERROR(VLOOKUP($E285,설정_코스수당!$A$6:$H$10,6,FALSE),0),0)</f>
        <v>0</v>
      </c>
      <c r="N285" s="34">
        <f t="shared" ref="N285:N319" si="8">IF($O285="방문완료",1,0)</f>
        <v>0</v>
      </c>
      <c r="O285" s="29"/>
      <c r="P285" s="29"/>
      <c r="Q285" s="29"/>
      <c r="R285" s="32"/>
      <c r="S285" s="29"/>
    </row>
    <row r="286" spans="1:19" ht="19.5" hidden="1" customHeight="1" outlineLevel="1">
      <c r="A286" s="23">
        <v>67</v>
      </c>
      <c r="B286" s="24">
        <f>IF(3&lt;=DAY(DATE(YEAR(설정_코스수당!$K$2),MONTH(설정_코스수당!$K$2)+1,0)),DATE(YEAR(설정_코스수당!$K$2),MONTH(설정_코스수당!$K$2),3),"")</f>
        <v>46176</v>
      </c>
      <c r="C286" s="25"/>
      <c r="D286" s="23"/>
      <c r="E286" s="23"/>
      <c r="F286" s="26"/>
      <c r="G286" s="23"/>
      <c r="H286" s="23"/>
      <c r="I286" s="23"/>
      <c r="J286" s="27">
        <f>IF($O286="방문완료",MAX(0,IFERROR(VLOOKUP($E286,설정_코스수당!$A$6:$H$10,4,FALSE),0)-IF(OR($P286="",$P286="없음"),0,100000)),0)</f>
        <v>0</v>
      </c>
      <c r="K286" s="27">
        <f t="array" ref="K286">IF($O286="방문완료",IFERROR(INDEX(설정_코스수당!$B$15:$F$64,MATCH($G286,설정_코스수당!$A$15:$A$64,0),MATCH($E286&amp;"수당",설정_코스수당!$B$14:$F$14,0)),0),0)</f>
        <v>0</v>
      </c>
      <c r="L286" s="27">
        <f t="array" ref="L286">IF($O286="방문완료",IF($H286="",0,IFERROR(INDEX(설정_코스수당!$B$15:$F$64,MATCH($H286,설정_코스수당!$A$15:$A$64,0),MATCH($E286&amp;"수당",설정_코스수당!$B$14:$F$14,0)),0)),0)</f>
        <v>0</v>
      </c>
      <c r="M286" s="27">
        <f>IF($O286="방문완료",IFERROR(VLOOKUP($E286,설정_코스수당!$A$6:$H$10,6,FALSE),0),0)</f>
        <v>0</v>
      </c>
      <c r="N286" s="28">
        <f t="shared" si="8"/>
        <v>0</v>
      </c>
      <c r="O286" s="23"/>
      <c r="P286" s="23"/>
      <c r="Q286" s="23"/>
      <c r="R286" s="26"/>
      <c r="S286" s="23"/>
    </row>
    <row r="287" spans="1:19" ht="19.5" hidden="1" customHeight="1" outlineLevel="1">
      <c r="A287" s="29">
        <v>68</v>
      </c>
      <c r="B287" s="30">
        <f>IF(3&lt;=DAY(DATE(YEAR(설정_코스수당!$K$2),MONTH(설정_코스수당!$K$2)+1,0)),DATE(YEAR(설정_코스수당!$K$2),MONTH(설정_코스수당!$K$2),3),"")</f>
        <v>46176</v>
      </c>
      <c r="C287" s="31"/>
      <c r="D287" s="29"/>
      <c r="E287" s="29"/>
      <c r="F287" s="32"/>
      <c r="G287" s="29"/>
      <c r="H287" s="29"/>
      <c r="I287" s="29"/>
      <c r="J287" s="33">
        <f>IF($O287="방문완료",MAX(0,IFERROR(VLOOKUP($E287,설정_코스수당!$A$6:$H$10,4,FALSE),0)-IF(OR($P287="",$P287="없음"),0,100000)),0)</f>
        <v>0</v>
      </c>
      <c r="K287" s="33">
        <f t="array" ref="K287">IF($O287="방문완료",IFERROR(INDEX(설정_코스수당!$B$15:$F$64,MATCH($G287,설정_코스수당!$A$15:$A$64,0),MATCH($E287&amp;"수당",설정_코스수당!$B$14:$F$14,0)),0),0)</f>
        <v>0</v>
      </c>
      <c r="L287" s="33">
        <f t="array" ref="L287">IF($O287="방문완료",IF($H287="",0,IFERROR(INDEX(설정_코스수당!$B$15:$F$64,MATCH($H287,설정_코스수당!$A$15:$A$64,0),MATCH($E287&amp;"수당",설정_코스수당!$B$14:$F$14,0)),0)),0)</f>
        <v>0</v>
      </c>
      <c r="M287" s="33">
        <f>IF($O287="방문완료",IFERROR(VLOOKUP($E287,설정_코스수당!$A$6:$H$10,6,FALSE),0),0)</f>
        <v>0</v>
      </c>
      <c r="N287" s="34">
        <f t="shared" si="8"/>
        <v>0</v>
      </c>
      <c r="O287" s="29"/>
      <c r="P287" s="29"/>
      <c r="Q287" s="29"/>
      <c r="R287" s="32"/>
      <c r="S287" s="29"/>
    </row>
    <row r="288" spans="1:19" ht="19.5" hidden="1" customHeight="1" outlineLevel="1">
      <c r="A288" s="23">
        <v>69</v>
      </c>
      <c r="B288" s="24">
        <f>IF(3&lt;=DAY(DATE(YEAR(설정_코스수당!$K$2),MONTH(설정_코스수당!$K$2)+1,0)),DATE(YEAR(설정_코스수당!$K$2),MONTH(설정_코스수당!$K$2),3),"")</f>
        <v>46176</v>
      </c>
      <c r="C288" s="25"/>
      <c r="D288" s="23"/>
      <c r="E288" s="23"/>
      <c r="F288" s="26"/>
      <c r="G288" s="23"/>
      <c r="H288" s="23"/>
      <c r="I288" s="23"/>
      <c r="J288" s="27">
        <f>IF($O288="방문완료",MAX(0,IFERROR(VLOOKUP($E288,설정_코스수당!$A$6:$H$10,4,FALSE),0)-IF(OR($P288="",$P288="없음"),0,100000)),0)</f>
        <v>0</v>
      </c>
      <c r="K288" s="27">
        <f t="array" ref="K288">IF($O288="방문완료",IFERROR(INDEX(설정_코스수당!$B$15:$F$64,MATCH($G288,설정_코스수당!$A$15:$A$64,0),MATCH($E288&amp;"수당",설정_코스수당!$B$14:$F$14,0)),0),0)</f>
        <v>0</v>
      </c>
      <c r="L288" s="27">
        <f t="array" ref="L288">IF($O288="방문완료",IF($H288="",0,IFERROR(INDEX(설정_코스수당!$B$15:$F$64,MATCH($H288,설정_코스수당!$A$15:$A$64,0),MATCH($E288&amp;"수당",설정_코스수당!$B$14:$F$14,0)),0)),0)</f>
        <v>0</v>
      </c>
      <c r="M288" s="27">
        <f>IF($O288="방문완료",IFERROR(VLOOKUP($E288,설정_코스수당!$A$6:$H$10,6,FALSE),0),0)</f>
        <v>0</v>
      </c>
      <c r="N288" s="28">
        <f t="shared" si="8"/>
        <v>0</v>
      </c>
      <c r="O288" s="23"/>
      <c r="P288" s="23"/>
      <c r="Q288" s="23"/>
      <c r="R288" s="26"/>
      <c r="S288" s="23"/>
    </row>
    <row r="289" spans="1:19" ht="19.5" hidden="1" customHeight="1" outlineLevel="1">
      <c r="A289" s="29">
        <v>70</v>
      </c>
      <c r="B289" s="30">
        <f>IF(3&lt;=DAY(DATE(YEAR(설정_코스수당!$K$2),MONTH(설정_코스수당!$K$2)+1,0)),DATE(YEAR(설정_코스수당!$K$2),MONTH(설정_코스수당!$K$2),3),"")</f>
        <v>46176</v>
      </c>
      <c r="C289" s="31"/>
      <c r="D289" s="29"/>
      <c r="E289" s="29"/>
      <c r="F289" s="32"/>
      <c r="G289" s="29"/>
      <c r="H289" s="29"/>
      <c r="I289" s="29"/>
      <c r="J289" s="33">
        <f>IF($O289="방문완료",MAX(0,IFERROR(VLOOKUP($E289,설정_코스수당!$A$6:$H$10,4,FALSE),0)-IF(OR($P289="",$P289="없음"),0,100000)),0)</f>
        <v>0</v>
      </c>
      <c r="K289" s="33">
        <f t="array" ref="K289">IF($O289="방문완료",IFERROR(INDEX(설정_코스수당!$B$15:$F$64,MATCH($G289,설정_코스수당!$A$15:$A$64,0),MATCH($E289&amp;"수당",설정_코스수당!$B$14:$F$14,0)),0),0)</f>
        <v>0</v>
      </c>
      <c r="L289" s="33">
        <f t="array" ref="L289">IF($O289="방문완료",IF($H289="",0,IFERROR(INDEX(설정_코스수당!$B$15:$F$64,MATCH($H289,설정_코스수당!$A$15:$A$64,0),MATCH($E289&amp;"수당",설정_코스수당!$B$14:$F$14,0)),0)),0)</f>
        <v>0</v>
      </c>
      <c r="M289" s="33">
        <f>IF($O289="방문완료",IFERROR(VLOOKUP($E289,설정_코스수당!$A$6:$H$10,6,FALSE),0),0)</f>
        <v>0</v>
      </c>
      <c r="N289" s="34">
        <f t="shared" si="8"/>
        <v>0</v>
      </c>
      <c r="O289" s="29"/>
      <c r="P289" s="29"/>
      <c r="Q289" s="29"/>
      <c r="R289" s="32"/>
      <c r="S289" s="29"/>
    </row>
    <row r="290" spans="1:19" ht="19.5" hidden="1" customHeight="1" outlineLevel="1">
      <c r="A290" s="23">
        <v>71</v>
      </c>
      <c r="B290" s="24">
        <f>IF(3&lt;=DAY(DATE(YEAR(설정_코스수당!$K$2),MONTH(설정_코스수당!$K$2)+1,0)),DATE(YEAR(설정_코스수당!$K$2),MONTH(설정_코스수당!$K$2),3),"")</f>
        <v>46176</v>
      </c>
      <c r="C290" s="25"/>
      <c r="D290" s="23"/>
      <c r="E290" s="23"/>
      <c r="F290" s="26"/>
      <c r="G290" s="23"/>
      <c r="H290" s="23"/>
      <c r="I290" s="23"/>
      <c r="J290" s="27">
        <f>IF($O290="방문완료",MAX(0,IFERROR(VLOOKUP($E290,설정_코스수당!$A$6:$H$10,4,FALSE),0)-IF(OR($P290="",$P290="없음"),0,100000)),0)</f>
        <v>0</v>
      </c>
      <c r="K290" s="27">
        <f t="array" ref="K290">IF($O290="방문완료",IFERROR(INDEX(설정_코스수당!$B$15:$F$64,MATCH($G290,설정_코스수당!$A$15:$A$64,0),MATCH($E290&amp;"수당",설정_코스수당!$B$14:$F$14,0)),0),0)</f>
        <v>0</v>
      </c>
      <c r="L290" s="27">
        <f t="array" ref="L290">IF($O290="방문완료",IF($H290="",0,IFERROR(INDEX(설정_코스수당!$B$15:$F$64,MATCH($H290,설정_코스수당!$A$15:$A$64,0),MATCH($E290&amp;"수당",설정_코스수당!$B$14:$F$14,0)),0)),0)</f>
        <v>0</v>
      </c>
      <c r="M290" s="27">
        <f>IF($O290="방문완료",IFERROR(VLOOKUP($E290,설정_코스수당!$A$6:$H$10,6,FALSE),0),0)</f>
        <v>0</v>
      </c>
      <c r="N290" s="28">
        <f t="shared" si="8"/>
        <v>0</v>
      </c>
      <c r="O290" s="23"/>
      <c r="P290" s="23"/>
      <c r="Q290" s="23"/>
      <c r="R290" s="26"/>
      <c r="S290" s="23"/>
    </row>
    <row r="291" spans="1:19" ht="19.5" hidden="1" customHeight="1" outlineLevel="1">
      <c r="A291" s="29">
        <v>72</v>
      </c>
      <c r="B291" s="30">
        <f>IF(3&lt;=DAY(DATE(YEAR(설정_코스수당!$K$2),MONTH(설정_코스수당!$K$2)+1,0)),DATE(YEAR(설정_코스수당!$K$2),MONTH(설정_코스수당!$K$2),3),"")</f>
        <v>46176</v>
      </c>
      <c r="C291" s="31"/>
      <c r="D291" s="29"/>
      <c r="E291" s="29"/>
      <c r="F291" s="32"/>
      <c r="G291" s="29"/>
      <c r="H291" s="29"/>
      <c r="I291" s="29"/>
      <c r="J291" s="33">
        <f>IF($O291="방문완료",MAX(0,IFERROR(VLOOKUP($E291,설정_코스수당!$A$6:$H$10,4,FALSE),0)-IF(OR($P291="",$P291="없음"),0,100000)),0)</f>
        <v>0</v>
      </c>
      <c r="K291" s="33">
        <f t="array" ref="K291">IF($O291="방문완료",IFERROR(INDEX(설정_코스수당!$B$15:$F$64,MATCH($G291,설정_코스수당!$A$15:$A$64,0),MATCH($E291&amp;"수당",설정_코스수당!$B$14:$F$14,0)),0),0)</f>
        <v>0</v>
      </c>
      <c r="L291" s="33">
        <f t="array" ref="L291">IF($O291="방문완료",IF($H291="",0,IFERROR(INDEX(설정_코스수당!$B$15:$F$64,MATCH($H291,설정_코스수당!$A$15:$A$64,0),MATCH($E291&amp;"수당",설정_코스수당!$B$14:$F$14,0)),0)),0)</f>
        <v>0</v>
      </c>
      <c r="M291" s="33">
        <f>IF($O291="방문완료",IFERROR(VLOOKUP($E291,설정_코스수당!$A$6:$H$10,6,FALSE),0),0)</f>
        <v>0</v>
      </c>
      <c r="N291" s="34">
        <f t="shared" si="8"/>
        <v>0</v>
      </c>
      <c r="O291" s="29"/>
      <c r="P291" s="29"/>
      <c r="Q291" s="29"/>
      <c r="R291" s="32"/>
      <c r="S291" s="29"/>
    </row>
    <row r="292" spans="1:19" ht="19.5" hidden="1" customHeight="1" outlineLevel="1">
      <c r="A292" s="23">
        <v>73</v>
      </c>
      <c r="B292" s="24">
        <f>IF(3&lt;=DAY(DATE(YEAR(설정_코스수당!$K$2),MONTH(설정_코스수당!$K$2)+1,0)),DATE(YEAR(설정_코스수당!$K$2),MONTH(설정_코스수당!$K$2),3),"")</f>
        <v>46176</v>
      </c>
      <c r="C292" s="25"/>
      <c r="D292" s="23"/>
      <c r="E292" s="23"/>
      <c r="F292" s="26"/>
      <c r="G292" s="23"/>
      <c r="H292" s="23"/>
      <c r="I292" s="23"/>
      <c r="J292" s="27">
        <f>IF($O292="방문완료",MAX(0,IFERROR(VLOOKUP($E292,설정_코스수당!$A$6:$H$10,4,FALSE),0)-IF(OR($P292="",$P292="없음"),0,100000)),0)</f>
        <v>0</v>
      </c>
      <c r="K292" s="27">
        <f t="array" ref="K292">IF($O292="방문완료",IFERROR(INDEX(설정_코스수당!$B$15:$F$64,MATCH($G292,설정_코스수당!$A$15:$A$64,0),MATCH($E292&amp;"수당",설정_코스수당!$B$14:$F$14,0)),0),0)</f>
        <v>0</v>
      </c>
      <c r="L292" s="27">
        <f t="array" ref="L292">IF($O292="방문완료",IF($H292="",0,IFERROR(INDEX(설정_코스수당!$B$15:$F$64,MATCH($H292,설정_코스수당!$A$15:$A$64,0),MATCH($E292&amp;"수당",설정_코스수당!$B$14:$F$14,0)),0)),0)</f>
        <v>0</v>
      </c>
      <c r="M292" s="27">
        <f>IF($O292="방문완료",IFERROR(VLOOKUP($E292,설정_코스수당!$A$6:$H$10,6,FALSE),0),0)</f>
        <v>0</v>
      </c>
      <c r="N292" s="28">
        <f t="shared" si="8"/>
        <v>0</v>
      </c>
      <c r="O292" s="23"/>
      <c r="P292" s="23"/>
      <c r="Q292" s="23"/>
      <c r="R292" s="26"/>
      <c r="S292" s="23"/>
    </row>
    <row r="293" spans="1:19" ht="19.5" hidden="1" customHeight="1" outlineLevel="1">
      <c r="A293" s="29">
        <v>74</v>
      </c>
      <c r="B293" s="30">
        <f>IF(3&lt;=DAY(DATE(YEAR(설정_코스수당!$K$2),MONTH(설정_코스수당!$K$2)+1,0)),DATE(YEAR(설정_코스수당!$K$2),MONTH(설정_코스수당!$K$2),3),"")</f>
        <v>46176</v>
      </c>
      <c r="C293" s="31"/>
      <c r="D293" s="29"/>
      <c r="E293" s="29"/>
      <c r="F293" s="32"/>
      <c r="G293" s="29"/>
      <c r="H293" s="29"/>
      <c r="I293" s="29"/>
      <c r="J293" s="33">
        <f>IF($O293="방문완료",MAX(0,IFERROR(VLOOKUP($E293,설정_코스수당!$A$6:$H$10,4,FALSE),0)-IF(OR($P293="",$P293="없음"),0,100000)),0)</f>
        <v>0</v>
      </c>
      <c r="K293" s="33">
        <f t="array" ref="K293">IF($O293="방문완료",IFERROR(INDEX(설정_코스수당!$B$15:$F$64,MATCH($G293,설정_코스수당!$A$15:$A$64,0),MATCH($E293&amp;"수당",설정_코스수당!$B$14:$F$14,0)),0),0)</f>
        <v>0</v>
      </c>
      <c r="L293" s="33">
        <f t="array" ref="L293">IF($O293="방문완료",IF($H293="",0,IFERROR(INDEX(설정_코스수당!$B$15:$F$64,MATCH($H293,설정_코스수당!$A$15:$A$64,0),MATCH($E293&amp;"수당",설정_코스수당!$B$14:$F$14,0)),0)),0)</f>
        <v>0</v>
      </c>
      <c r="M293" s="33">
        <f>IF($O293="방문완료",IFERROR(VLOOKUP($E293,설정_코스수당!$A$6:$H$10,6,FALSE),0),0)</f>
        <v>0</v>
      </c>
      <c r="N293" s="34">
        <f t="shared" si="8"/>
        <v>0</v>
      </c>
      <c r="O293" s="29"/>
      <c r="P293" s="29"/>
      <c r="Q293" s="29"/>
      <c r="R293" s="32"/>
      <c r="S293" s="29"/>
    </row>
    <row r="294" spans="1:19" ht="19.5" hidden="1" customHeight="1" outlineLevel="1">
      <c r="A294" s="23">
        <v>75</v>
      </c>
      <c r="B294" s="24">
        <f>IF(3&lt;=DAY(DATE(YEAR(설정_코스수당!$K$2),MONTH(설정_코스수당!$K$2)+1,0)),DATE(YEAR(설정_코스수당!$K$2),MONTH(설정_코스수당!$K$2),3),"")</f>
        <v>46176</v>
      </c>
      <c r="C294" s="25"/>
      <c r="D294" s="23"/>
      <c r="E294" s="23"/>
      <c r="F294" s="26"/>
      <c r="G294" s="23"/>
      <c r="H294" s="23"/>
      <c r="I294" s="23"/>
      <c r="J294" s="27">
        <f>IF($O294="방문완료",MAX(0,IFERROR(VLOOKUP($E294,설정_코스수당!$A$6:$H$10,4,FALSE),0)-IF(OR($P294="",$P294="없음"),0,100000)),0)</f>
        <v>0</v>
      </c>
      <c r="K294" s="27">
        <f t="array" ref="K294">IF($O294="방문완료",IFERROR(INDEX(설정_코스수당!$B$15:$F$64,MATCH($G294,설정_코스수당!$A$15:$A$64,0),MATCH($E294&amp;"수당",설정_코스수당!$B$14:$F$14,0)),0),0)</f>
        <v>0</v>
      </c>
      <c r="L294" s="27">
        <f t="array" ref="L294">IF($O294="방문완료",IF($H294="",0,IFERROR(INDEX(설정_코스수당!$B$15:$F$64,MATCH($H294,설정_코스수당!$A$15:$A$64,0),MATCH($E294&amp;"수당",설정_코스수당!$B$14:$F$14,0)),0)),0)</f>
        <v>0</v>
      </c>
      <c r="M294" s="27">
        <f>IF($O294="방문완료",IFERROR(VLOOKUP($E294,설정_코스수당!$A$6:$H$10,6,FALSE),0),0)</f>
        <v>0</v>
      </c>
      <c r="N294" s="28">
        <f t="shared" si="8"/>
        <v>0</v>
      </c>
      <c r="O294" s="23"/>
      <c r="P294" s="23"/>
      <c r="Q294" s="23"/>
      <c r="R294" s="26"/>
      <c r="S294" s="23"/>
    </row>
    <row r="295" spans="1:19" ht="19.5" hidden="1" customHeight="1" outlineLevel="1">
      <c r="A295" s="29">
        <v>76</v>
      </c>
      <c r="B295" s="30">
        <f>IF(3&lt;=DAY(DATE(YEAR(설정_코스수당!$K$2),MONTH(설정_코스수당!$K$2)+1,0)),DATE(YEAR(설정_코스수당!$K$2),MONTH(설정_코스수당!$K$2),3),"")</f>
        <v>46176</v>
      </c>
      <c r="C295" s="31"/>
      <c r="D295" s="29"/>
      <c r="E295" s="29"/>
      <c r="F295" s="32"/>
      <c r="G295" s="29"/>
      <c r="H295" s="29"/>
      <c r="I295" s="29"/>
      <c r="J295" s="33">
        <f>IF($O295="방문완료",MAX(0,IFERROR(VLOOKUP($E295,설정_코스수당!$A$6:$H$10,4,FALSE),0)-IF(OR($P295="",$P295="없음"),0,100000)),0)</f>
        <v>0</v>
      </c>
      <c r="K295" s="33">
        <f t="array" ref="K295">IF($O295="방문완료",IFERROR(INDEX(설정_코스수당!$B$15:$F$64,MATCH($G295,설정_코스수당!$A$15:$A$64,0),MATCH($E295&amp;"수당",설정_코스수당!$B$14:$F$14,0)),0),0)</f>
        <v>0</v>
      </c>
      <c r="L295" s="33">
        <f t="array" ref="L295">IF($O295="방문완료",IF($H295="",0,IFERROR(INDEX(설정_코스수당!$B$15:$F$64,MATCH($H295,설정_코스수당!$A$15:$A$64,0),MATCH($E295&amp;"수당",설정_코스수당!$B$14:$F$14,0)),0)),0)</f>
        <v>0</v>
      </c>
      <c r="M295" s="33">
        <f>IF($O295="방문완료",IFERROR(VLOOKUP($E295,설정_코스수당!$A$6:$H$10,6,FALSE),0),0)</f>
        <v>0</v>
      </c>
      <c r="N295" s="34">
        <f t="shared" si="8"/>
        <v>0</v>
      </c>
      <c r="O295" s="29"/>
      <c r="P295" s="29"/>
      <c r="Q295" s="29"/>
      <c r="R295" s="32"/>
      <c r="S295" s="29"/>
    </row>
    <row r="296" spans="1:19" ht="19.5" hidden="1" customHeight="1" outlineLevel="1">
      <c r="A296" s="23">
        <v>77</v>
      </c>
      <c r="B296" s="24">
        <f>IF(3&lt;=DAY(DATE(YEAR(설정_코스수당!$K$2),MONTH(설정_코스수당!$K$2)+1,0)),DATE(YEAR(설정_코스수당!$K$2),MONTH(설정_코스수당!$K$2),3),"")</f>
        <v>46176</v>
      </c>
      <c r="C296" s="25"/>
      <c r="D296" s="23"/>
      <c r="E296" s="23"/>
      <c r="F296" s="26"/>
      <c r="G296" s="23"/>
      <c r="H296" s="23"/>
      <c r="I296" s="23"/>
      <c r="J296" s="27">
        <f>IF($O296="방문완료",MAX(0,IFERROR(VLOOKUP($E296,설정_코스수당!$A$6:$H$10,4,FALSE),0)-IF(OR($P296="",$P296="없음"),0,100000)),0)</f>
        <v>0</v>
      </c>
      <c r="K296" s="27">
        <f t="array" ref="K296">IF($O296="방문완료",IFERROR(INDEX(설정_코스수당!$B$15:$F$64,MATCH($G296,설정_코스수당!$A$15:$A$64,0),MATCH($E296&amp;"수당",설정_코스수당!$B$14:$F$14,0)),0),0)</f>
        <v>0</v>
      </c>
      <c r="L296" s="27">
        <f t="array" ref="L296">IF($O296="방문완료",IF($H296="",0,IFERROR(INDEX(설정_코스수당!$B$15:$F$64,MATCH($H296,설정_코스수당!$A$15:$A$64,0),MATCH($E296&amp;"수당",설정_코스수당!$B$14:$F$14,0)),0)),0)</f>
        <v>0</v>
      </c>
      <c r="M296" s="27">
        <f>IF($O296="방문완료",IFERROR(VLOOKUP($E296,설정_코스수당!$A$6:$H$10,6,FALSE),0),0)</f>
        <v>0</v>
      </c>
      <c r="N296" s="28">
        <f t="shared" si="8"/>
        <v>0</v>
      </c>
      <c r="O296" s="23"/>
      <c r="P296" s="23"/>
      <c r="Q296" s="23"/>
      <c r="R296" s="26"/>
      <c r="S296" s="23"/>
    </row>
    <row r="297" spans="1:19" ht="19.5" hidden="1" customHeight="1" outlineLevel="1">
      <c r="A297" s="29">
        <v>78</v>
      </c>
      <c r="B297" s="30">
        <f>IF(3&lt;=DAY(DATE(YEAR(설정_코스수당!$K$2),MONTH(설정_코스수당!$K$2)+1,0)),DATE(YEAR(설정_코스수당!$K$2),MONTH(설정_코스수당!$K$2),3),"")</f>
        <v>46176</v>
      </c>
      <c r="C297" s="31"/>
      <c r="D297" s="29"/>
      <c r="E297" s="29"/>
      <c r="F297" s="32"/>
      <c r="G297" s="29"/>
      <c r="H297" s="29"/>
      <c r="I297" s="29"/>
      <c r="J297" s="33">
        <f>IF($O297="방문완료",MAX(0,IFERROR(VLOOKUP($E297,설정_코스수당!$A$6:$H$10,4,FALSE),0)-IF(OR($P297="",$P297="없음"),0,100000)),0)</f>
        <v>0</v>
      </c>
      <c r="K297" s="33">
        <f t="array" ref="K297">IF($O297="방문완료",IFERROR(INDEX(설정_코스수당!$B$15:$F$64,MATCH($G297,설정_코스수당!$A$15:$A$64,0),MATCH($E297&amp;"수당",설정_코스수당!$B$14:$F$14,0)),0),0)</f>
        <v>0</v>
      </c>
      <c r="L297" s="33">
        <f t="array" ref="L297">IF($O297="방문완료",IF($H297="",0,IFERROR(INDEX(설정_코스수당!$B$15:$F$64,MATCH($H297,설정_코스수당!$A$15:$A$64,0),MATCH($E297&amp;"수당",설정_코스수당!$B$14:$F$14,0)),0)),0)</f>
        <v>0</v>
      </c>
      <c r="M297" s="33">
        <f>IF($O297="방문완료",IFERROR(VLOOKUP($E297,설정_코스수당!$A$6:$H$10,6,FALSE),0),0)</f>
        <v>0</v>
      </c>
      <c r="N297" s="34">
        <f t="shared" si="8"/>
        <v>0</v>
      </c>
      <c r="O297" s="29"/>
      <c r="P297" s="29"/>
      <c r="Q297" s="29"/>
      <c r="R297" s="32"/>
      <c r="S297" s="29"/>
    </row>
    <row r="298" spans="1:19" ht="19.5" hidden="1" customHeight="1" outlineLevel="1">
      <c r="A298" s="23">
        <v>79</v>
      </c>
      <c r="B298" s="24">
        <f>IF(3&lt;=DAY(DATE(YEAR(설정_코스수당!$K$2),MONTH(설정_코스수당!$K$2)+1,0)),DATE(YEAR(설정_코스수당!$K$2),MONTH(설정_코스수당!$K$2),3),"")</f>
        <v>46176</v>
      </c>
      <c r="C298" s="25"/>
      <c r="D298" s="23"/>
      <c r="E298" s="23"/>
      <c r="F298" s="26"/>
      <c r="G298" s="23"/>
      <c r="H298" s="23"/>
      <c r="I298" s="23"/>
      <c r="J298" s="27">
        <f>IF($O298="방문완료",MAX(0,IFERROR(VLOOKUP($E298,설정_코스수당!$A$6:$H$10,4,FALSE),0)-IF(OR($P298="",$P298="없음"),0,100000)),0)</f>
        <v>0</v>
      </c>
      <c r="K298" s="27">
        <f t="array" ref="K298">IF($O298="방문완료",IFERROR(INDEX(설정_코스수당!$B$15:$F$64,MATCH($G298,설정_코스수당!$A$15:$A$64,0),MATCH($E298&amp;"수당",설정_코스수당!$B$14:$F$14,0)),0),0)</f>
        <v>0</v>
      </c>
      <c r="L298" s="27">
        <f t="array" ref="L298">IF($O298="방문완료",IF($H298="",0,IFERROR(INDEX(설정_코스수당!$B$15:$F$64,MATCH($H298,설정_코스수당!$A$15:$A$64,0),MATCH($E298&amp;"수당",설정_코스수당!$B$14:$F$14,0)),0)),0)</f>
        <v>0</v>
      </c>
      <c r="M298" s="27">
        <f>IF($O298="방문완료",IFERROR(VLOOKUP($E298,설정_코스수당!$A$6:$H$10,6,FALSE),0),0)</f>
        <v>0</v>
      </c>
      <c r="N298" s="28">
        <f t="shared" si="8"/>
        <v>0</v>
      </c>
      <c r="O298" s="23"/>
      <c r="P298" s="23"/>
      <c r="Q298" s="23"/>
      <c r="R298" s="26"/>
      <c r="S298" s="23"/>
    </row>
    <row r="299" spans="1:19" ht="19.5" hidden="1" customHeight="1" outlineLevel="1">
      <c r="A299" s="29">
        <v>80</v>
      </c>
      <c r="B299" s="30">
        <f>IF(3&lt;=DAY(DATE(YEAR(설정_코스수당!$K$2),MONTH(설정_코스수당!$K$2)+1,0)),DATE(YEAR(설정_코스수당!$K$2),MONTH(설정_코스수당!$K$2),3),"")</f>
        <v>46176</v>
      </c>
      <c r="C299" s="31"/>
      <c r="D299" s="29"/>
      <c r="E299" s="29"/>
      <c r="F299" s="32"/>
      <c r="G299" s="29"/>
      <c r="H299" s="29"/>
      <c r="I299" s="29"/>
      <c r="J299" s="33">
        <f>IF($O299="방문완료",MAX(0,IFERROR(VLOOKUP($E299,설정_코스수당!$A$6:$H$10,4,FALSE),0)-IF(OR($P299="",$P299="없음"),0,100000)),0)</f>
        <v>0</v>
      </c>
      <c r="K299" s="33">
        <f t="array" ref="K299">IF($O299="방문완료",IFERROR(INDEX(설정_코스수당!$B$15:$F$64,MATCH($G299,설정_코스수당!$A$15:$A$64,0),MATCH($E299&amp;"수당",설정_코스수당!$B$14:$F$14,0)),0),0)</f>
        <v>0</v>
      </c>
      <c r="L299" s="33">
        <f t="array" ref="L299">IF($O299="방문완료",IF($H299="",0,IFERROR(INDEX(설정_코스수당!$B$15:$F$64,MATCH($H299,설정_코스수당!$A$15:$A$64,0),MATCH($E299&amp;"수당",설정_코스수당!$B$14:$F$14,0)),0)),0)</f>
        <v>0</v>
      </c>
      <c r="M299" s="33">
        <f>IF($O299="방문완료",IFERROR(VLOOKUP($E299,설정_코스수당!$A$6:$H$10,6,FALSE),0),0)</f>
        <v>0</v>
      </c>
      <c r="N299" s="34">
        <f t="shared" si="8"/>
        <v>0</v>
      </c>
      <c r="O299" s="29"/>
      <c r="P299" s="29"/>
      <c r="Q299" s="29"/>
      <c r="R299" s="32"/>
      <c r="S299" s="29"/>
    </row>
    <row r="300" spans="1:19" ht="19.5" hidden="1" customHeight="1" outlineLevel="1">
      <c r="A300" s="23">
        <v>81</v>
      </c>
      <c r="B300" s="24">
        <f>IF(3&lt;=DAY(DATE(YEAR(설정_코스수당!$K$2),MONTH(설정_코스수당!$K$2)+1,0)),DATE(YEAR(설정_코스수당!$K$2),MONTH(설정_코스수당!$K$2),3),"")</f>
        <v>46176</v>
      </c>
      <c r="C300" s="25"/>
      <c r="D300" s="23"/>
      <c r="E300" s="23"/>
      <c r="F300" s="26"/>
      <c r="G300" s="23"/>
      <c r="H300" s="23"/>
      <c r="I300" s="23"/>
      <c r="J300" s="27">
        <f>IF($O300="방문완료",MAX(0,IFERROR(VLOOKUP($E300,설정_코스수당!$A$6:$H$10,4,FALSE),0)-IF(OR($P300="",$P300="없음"),0,100000)),0)</f>
        <v>0</v>
      </c>
      <c r="K300" s="27">
        <f t="array" ref="K300">IF($O300="방문완료",IFERROR(INDEX(설정_코스수당!$B$15:$F$64,MATCH($G300,설정_코스수당!$A$15:$A$64,0),MATCH($E300&amp;"수당",설정_코스수당!$B$14:$F$14,0)),0),0)</f>
        <v>0</v>
      </c>
      <c r="L300" s="27">
        <f t="array" ref="L300">IF($O300="방문완료",IF($H300="",0,IFERROR(INDEX(설정_코스수당!$B$15:$F$64,MATCH($H300,설정_코스수당!$A$15:$A$64,0),MATCH($E300&amp;"수당",설정_코스수당!$B$14:$F$14,0)),0)),0)</f>
        <v>0</v>
      </c>
      <c r="M300" s="27">
        <f>IF($O300="방문완료",IFERROR(VLOOKUP($E300,설정_코스수당!$A$6:$H$10,6,FALSE),0),0)</f>
        <v>0</v>
      </c>
      <c r="N300" s="28">
        <f t="shared" si="8"/>
        <v>0</v>
      </c>
      <c r="O300" s="23"/>
      <c r="P300" s="23"/>
      <c r="Q300" s="23"/>
      <c r="R300" s="26"/>
      <c r="S300" s="23"/>
    </row>
    <row r="301" spans="1:19" ht="19.5" hidden="1" customHeight="1" outlineLevel="1">
      <c r="A301" s="29">
        <v>82</v>
      </c>
      <c r="B301" s="30">
        <f>IF(3&lt;=DAY(DATE(YEAR(설정_코스수당!$K$2),MONTH(설정_코스수당!$K$2)+1,0)),DATE(YEAR(설정_코스수당!$K$2),MONTH(설정_코스수당!$K$2),3),"")</f>
        <v>46176</v>
      </c>
      <c r="C301" s="31"/>
      <c r="D301" s="29"/>
      <c r="E301" s="29"/>
      <c r="F301" s="32"/>
      <c r="G301" s="29"/>
      <c r="H301" s="29"/>
      <c r="I301" s="29"/>
      <c r="J301" s="33">
        <f>IF($O301="방문완료",MAX(0,IFERROR(VLOOKUP($E301,설정_코스수당!$A$6:$H$10,4,FALSE),0)-IF(OR($P301="",$P301="없음"),0,100000)),0)</f>
        <v>0</v>
      </c>
      <c r="K301" s="33">
        <f t="array" ref="K301">IF($O301="방문완료",IFERROR(INDEX(설정_코스수당!$B$15:$F$64,MATCH($G301,설정_코스수당!$A$15:$A$64,0),MATCH($E301&amp;"수당",설정_코스수당!$B$14:$F$14,0)),0),0)</f>
        <v>0</v>
      </c>
      <c r="L301" s="33">
        <f t="array" ref="L301">IF($O301="방문완료",IF($H301="",0,IFERROR(INDEX(설정_코스수당!$B$15:$F$64,MATCH($H301,설정_코스수당!$A$15:$A$64,0),MATCH($E301&amp;"수당",설정_코스수당!$B$14:$F$14,0)),0)),0)</f>
        <v>0</v>
      </c>
      <c r="M301" s="33">
        <f>IF($O301="방문완료",IFERROR(VLOOKUP($E301,설정_코스수당!$A$6:$H$10,6,FALSE),0),0)</f>
        <v>0</v>
      </c>
      <c r="N301" s="34">
        <f t="shared" si="8"/>
        <v>0</v>
      </c>
      <c r="O301" s="29"/>
      <c r="P301" s="29"/>
      <c r="Q301" s="29"/>
      <c r="R301" s="32"/>
      <c r="S301" s="29"/>
    </row>
    <row r="302" spans="1:19" ht="19.5" hidden="1" customHeight="1" outlineLevel="1">
      <c r="A302" s="23">
        <v>83</v>
      </c>
      <c r="B302" s="24">
        <f>IF(3&lt;=DAY(DATE(YEAR(설정_코스수당!$K$2),MONTH(설정_코스수당!$K$2)+1,0)),DATE(YEAR(설정_코스수당!$K$2),MONTH(설정_코스수당!$K$2),3),"")</f>
        <v>46176</v>
      </c>
      <c r="C302" s="25"/>
      <c r="D302" s="23"/>
      <c r="E302" s="23"/>
      <c r="F302" s="26"/>
      <c r="G302" s="23"/>
      <c r="H302" s="23"/>
      <c r="I302" s="23"/>
      <c r="J302" s="27">
        <f>IF($O302="방문완료",MAX(0,IFERROR(VLOOKUP($E302,설정_코스수당!$A$6:$H$10,4,FALSE),0)-IF(OR($P302="",$P302="없음"),0,100000)),0)</f>
        <v>0</v>
      </c>
      <c r="K302" s="27">
        <f t="array" ref="K302">IF($O302="방문완료",IFERROR(INDEX(설정_코스수당!$B$15:$F$64,MATCH($G302,설정_코스수당!$A$15:$A$64,0),MATCH($E302&amp;"수당",설정_코스수당!$B$14:$F$14,0)),0),0)</f>
        <v>0</v>
      </c>
      <c r="L302" s="27">
        <f t="array" ref="L302">IF($O302="방문완료",IF($H302="",0,IFERROR(INDEX(설정_코스수당!$B$15:$F$64,MATCH($H302,설정_코스수당!$A$15:$A$64,0),MATCH($E302&amp;"수당",설정_코스수당!$B$14:$F$14,0)),0)),0)</f>
        <v>0</v>
      </c>
      <c r="M302" s="27">
        <f>IF($O302="방문완료",IFERROR(VLOOKUP($E302,설정_코스수당!$A$6:$H$10,6,FALSE),0),0)</f>
        <v>0</v>
      </c>
      <c r="N302" s="28">
        <f t="shared" si="8"/>
        <v>0</v>
      </c>
      <c r="O302" s="23"/>
      <c r="P302" s="23"/>
      <c r="Q302" s="23"/>
      <c r="R302" s="26"/>
      <c r="S302" s="23"/>
    </row>
    <row r="303" spans="1:19" ht="19.5" hidden="1" customHeight="1" outlineLevel="1">
      <c r="A303" s="29">
        <v>84</v>
      </c>
      <c r="B303" s="30">
        <f>IF(3&lt;=DAY(DATE(YEAR(설정_코스수당!$K$2),MONTH(설정_코스수당!$K$2)+1,0)),DATE(YEAR(설정_코스수당!$K$2),MONTH(설정_코스수당!$K$2),3),"")</f>
        <v>46176</v>
      </c>
      <c r="C303" s="31"/>
      <c r="D303" s="29"/>
      <c r="E303" s="29"/>
      <c r="F303" s="32"/>
      <c r="G303" s="29"/>
      <c r="H303" s="29"/>
      <c r="I303" s="29"/>
      <c r="J303" s="33">
        <f>IF($O303="방문완료",MAX(0,IFERROR(VLOOKUP($E303,설정_코스수당!$A$6:$H$10,4,FALSE),0)-IF(OR($P303="",$P303="없음"),0,100000)),0)</f>
        <v>0</v>
      </c>
      <c r="K303" s="33">
        <f t="array" ref="K303">IF($O303="방문완료",IFERROR(INDEX(설정_코스수당!$B$15:$F$64,MATCH($G303,설정_코스수당!$A$15:$A$64,0),MATCH($E303&amp;"수당",설정_코스수당!$B$14:$F$14,0)),0),0)</f>
        <v>0</v>
      </c>
      <c r="L303" s="33">
        <f t="array" ref="L303">IF($O303="방문완료",IF($H303="",0,IFERROR(INDEX(설정_코스수당!$B$15:$F$64,MATCH($H303,설정_코스수당!$A$15:$A$64,0),MATCH($E303&amp;"수당",설정_코스수당!$B$14:$F$14,0)),0)),0)</f>
        <v>0</v>
      </c>
      <c r="M303" s="33">
        <f>IF($O303="방문완료",IFERROR(VLOOKUP($E303,설정_코스수당!$A$6:$H$10,6,FALSE),0),0)</f>
        <v>0</v>
      </c>
      <c r="N303" s="34">
        <f t="shared" si="8"/>
        <v>0</v>
      </c>
      <c r="O303" s="29"/>
      <c r="P303" s="29"/>
      <c r="Q303" s="29"/>
      <c r="R303" s="32"/>
      <c r="S303" s="29"/>
    </row>
    <row r="304" spans="1:19" ht="19.5" hidden="1" customHeight="1" outlineLevel="1">
      <c r="A304" s="23">
        <v>85</v>
      </c>
      <c r="B304" s="24">
        <f>IF(3&lt;=DAY(DATE(YEAR(설정_코스수당!$K$2),MONTH(설정_코스수당!$K$2)+1,0)),DATE(YEAR(설정_코스수당!$K$2),MONTH(설정_코스수당!$K$2),3),"")</f>
        <v>46176</v>
      </c>
      <c r="C304" s="25"/>
      <c r="D304" s="23"/>
      <c r="E304" s="23"/>
      <c r="F304" s="26"/>
      <c r="G304" s="23"/>
      <c r="H304" s="23"/>
      <c r="I304" s="23"/>
      <c r="J304" s="27">
        <f>IF($O304="방문완료",MAX(0,IFERROR(VLOOKUP($E304,설정_코스수당!$A$6:$H$10,4,FALSE),0)-IF(OR($P304="",$P304="없음"),0,100000)),0)</f>
        <v>0</v>
      </c>
      <c r="K304" s="27">
        <f t="array" ref="K304">IF($O304="방문완료",IFERROR(INDEX(설정_코스수당!$B$15:$F$64,MATCH($G304,설정_코스수당!$A$15:$A$64,0),MATCH($E304&amp;"수당",설정_코스수당!$B$14:$F$14,0)),0),0)</f>
        <v>0</v>
      </c>
      <c r="L304" s="27">
        <f t="array" ref="L304">IF($O304="방문완료",IF($H304="",0,IFERROR(INDEX(설정_코스수당!$B$15:$F$64,MATCH($H304,설정_코스수당!$A$15:$A$64,0),MATCH($E304&amp;"수당",설정_코스수당!$B$14:$F$14,0)),0)),0)</f>
        <v>0</v>
      </c>
      <c r="M304" s="27">
        <f>IF($O304="방문완료",IFERROR(VLOOKUP($E304,설정_코스수당!$A$6:$H$10,6,FALSE),0),0)</f>
        <v>0</v>
      </c>
      <c r="N304" s="28">
        <f t="shared" si="8"/>
        <v>0</v>
      </c>
      <c r="O304" s="23"/>
      <c r="P304" s="23"/>
      <c r="Q304" s="23"/>
      <c r="R304" s="26"/>
      <c r="S304" s="23"/>
    </row>
    <row r="305" spans="1:22" ht="19.5" hidden="1" customHeight="1" outlineLevel="1">
      <c r="A305" s="29">
        <v>86</v>
      </c>
      <c r="B305" s="30">
        <f>IF(3&lt;=DAY(DATE(YEAR(설정_코스수당!$K$2),MONTH(설정_코스수당!$K$2)+1,0)),DATE(YEAR(설정_코스수당!$K$2),MONTH(설정_코스수당!$K$2),3),"")</f>
        <v>46176</v>
      </c>
      <c r="C305" s="31"/>
      <c r="D305" s="29"/>
      <c r="E305" s="29"/>
      <c r="F305" s="32"/>
      <c r="G305" s="29"/>
      <c r="H305" s="29"/>
      <c r="I305" s="29"/>
      <c r="J305" s="33">
        <f>IF($O305="방문완료",MAX(0,IFERROR(VLOOKUP($E305,설정_코스수당!$A$6:$H$10,4,FALSE),0)-IF(OR($P305="",$P305="없음"),0,100000)),0)</f>
        <v>0</v>
      </c>
      <c r="K305" s="33">
        <f t="array" ref="K305">IF($O305="방문완료",IFERROR(INDEX(설정_코스수당!$B$15:$F$64,MATCH($G305,설정_코스수당!$A$15:$A$64,0),MATCH($E305&amp;"수당",설정_코스수당!$B$14:$F$14,0)),0),0)</f>
        <v>0</v>
      </c>
      <c r="L305" s="33">
        <f t="array" ref="L305">IF($O305="방문완료",IF($H305="",0,IFERROR(INDEX(설정_코스수당!$B$15:$F$64,MATCH($H305,설정_코스수당!$A$15:$A$64,0),MATCH($E305&amp;"수당",설정_코스수당!$B$14:$F$14,0)),0)),0)</f>
        <v>0</v>
      </c>
      <c r="M305" s="33">
        <f>IF($O305="방문완료",IFERROR(VLOOKUP($E305,설정_코스수당!$A$6:$H$10,6,FALSE),0),0)</f>
        <v>0</v>
      </c>
      <c r="N305" s="34">
        <f t="shared" si="8"/>
        <v>0</v>
      </c>
      <c r="O305" s="29"/>
      <c r="P305" s="29"/>
      <c r="Q305" s="29"/>
      <c r="R305" s="32"/>
      <c r="S305" s="29"/>
    </row>
    <row r="306" spans="1:22" ht="19.5" hidden="1" customHeight="1" outlineLevel="1">
      <c r="A306" s="23">
        <v>87</v>
      </c>
      <c r="B306" s="24">
        <f>IF(3&lt;=DAY(DATE(YEAR(설정_코스수당!$K$2),MONTH(설정_코스수당!$K$2)+1,0)),DATE(YEAR(설정_코스수당!$K$2),MONTH(설정_코스수당!$K$2),3),"")</f>
        <v>46176</v>
      </c>
      <c r="C306" s="25"/>
      <c r="D306" s="23"/>
      <c r="E306" s="23"/>
      <c r="F306" s="26"/>
      <c r="G306" s="23"/>
      <c r="H306" s="23"/>
      <c r="I306" s="23"/>
      <c r="J306" s="27">
        <f>IF($O306="방문완료",MAX(0,IFERROR(VLOOKUP($E306,설정_코스수당!$A$6:$H$10,4,FALSE),0)-IF(OR($P306="",$P306="없음"),0,100000)),0)</f>
        <v>0</v>
      </c>
      <c r="K306" s="27">
        <f t="array" ref="K306">IF($O306="방문완료",IFERROR(INDEX(설정_코스수당!$B$15:$F$64,MATCH($G306,설정_코스수당!$A$15:$A$64,0),MATCH($E306&amp;"수당",설정_코스수당!$B$14:$F$14,0)),0),0)</f>
        <v>0</v>
      </c>
      <c r="L306" s="27">
        <f t="array" ref="L306">IF($O306="방문완료",IF($H306="",0,IFERROR(INDEX(설정_코스수당!$B$15:$F$64,MATCH($H306,설정_코스수당!$A$15:$A$64,0),MATCH($E306&amp;"수당",설정_코스수당!$B$14:$F$14,0)),0)),0)</f>
        <v>0</v>
      </c>
      <c r="M306" s="27">
        <f>IF($O306="방문완료",IFERROR(VLOOKUP($E306,설정_코스수당!$A$6:$H$10,6,FALSE),0),0)</f>
        <v>0</v>
      </c>
      <c r="N306" s="28">
        <f t="shared" si="8"/>
        <v>0</v>
      </c>
      <c r="O306" s="23"/>
      <c r="P306" s="23"/>
      <c r="Q306" s="23"/>
      <c r="R306" s="26"/>
      <c r="S306" s="23"/>
    </row>
    <row r="307" spans="1:22" ht="19.5" hidden="1" customHeight="1" outlineLevel="1">
      <c r="A307" s="29">
        <v>88</v>
      </c>
      <c r="B307" s="30">
        <f>IF(3&lt;=DAY(DATE(YEAR(설정_코스수당!$K$2),MONTH(설정_코스수당!$K$2)+1,0)),DATE(YEAR(설정_코스수당!$K$2),MONTH(설정_코스수당!$K$2),3),"")</f>
        <v>46176</v>
      </c>
      <c r="C307" s="31"/>
      <c r="D307" s="29"/>
      <c r="E307" s="29"/>
      <c r="F307" s="32"/>
      <c r="G307" s="29"/>
      <c r="H307" s="29"/>
      <c r="I307" s="29"/>
      <c r="J307" s="33">
        <f>IF($O307="방문완료",MAX(0,IFERROR(VLOOKUP($E307,설정_코스수당!$A$6:$H$10,4,FALSE),0)-IF(OR($P307="",$P307="없음"),0,100000)),0)</f>
        <v>0</v>
      </c>
      <c r="K307" s="33">
        <f t="array" ref="K307">IF($O307="방문완료",IFERROR(INDEX(설정_코스수당!$B$15:$F$64,MATCH($G307,설정_코스수당!$A$15:$A$64,0),MATCH($E307&amp;"수당",설정_코스수당!$B$14:$F$14,0)),0),0)</f>
        <v>0</v>
      </c>
      <c r="L307" s="33">
        <f t="array" ref="L307">IF($O307="방문완료",IF($H307="",0,IFERROR(INDEX(설정_코스수당!$B$15:$F$64,MATCH($H307,설정_코스수당!$A$15:$A$64,0),MATCH($E307&amp;"수당",설정_코스수당!$B$14:$F$14,0)),0)),0)</f>
        <v>0</v>
      </c>
      <c r="M307" s="33">
        <f>IF($O307="방문완료",IFERROR(VLOOKUP($E307,설정_코스수당!$A$6:$H$10,6,FALSE),0),0)</f>
        <v>0</v>
      </c>
      <c r="N307" s="34">
        <f t="shared" si="8"/>
        <v>0</v>
      </c>
      <c r="O307" s="29"/>
      <c r="P307" s="29"/>
      <c r="Q307" s="29"/>
      <c r="R307" s="32"/>
      <c r="S307" s="29"/>
    </row>
    <row r="308" spans="1:22" ht="19.5" hidden="1" customHeight="1" outlineLevel="1">
      <c r="A308" s="23">
        <v>89</v>
      </c>
      <c r="B308" s="24">
        <f>IF(3&lt;=DAY(DATE(YEAR(설정_코스수당!$K$2),MONTH(설정_코스수당!$K$2)+1,0)),DATE(YEAR(설정_코스수당!$K$2),MONTH(설정_코스수당!$K$2),3),"")</f>
        <v>46176</v>
      </c>
      <c r="C308" s="25"/>
      <c r="D308" s="23"/>
      <c r="E308" s="23"/>
      <c r="F308" s="26"/>
      <c r="G308" s="23"/>
      <c r="H308" s="23"/>
      <c r="I308" s="23"/>
      <c r="J308" s="27">
        <f>IF($O308="방문완료",MAX(0,IFERROR(VLOOKUP($E308,설정_코스수당!$A$6:$H$10,4,FALSE),0)-IF(OR($P308="",$P308="없음"),0,100000)),0)</f>
        <v>0</v>
      </c>
      <c r="K308" s="27">
        <f t="array" ref="K308">IF($O308="방문완료",IFERROR(INDEX(설정_코스수당!$B$15:$F$64,MATCH($G308,설정_코스수당!$A$15:$A$64,0),MATCH($E308&amp;"수당",설정_코스수당!$B$14:$F$14,0)),0),0)</f>
        <v>0</v>
      </c>
      <c r="L308" s="27">
        <f t="array" ref="L308">IF($O308="방문완료",IF($H308="",0,IFERROR(INDEX(설정_코스수당!$B$15:$F$64,MATCH($H308,설정_코스수당!$A$15:$A$64,0),MATCH($E308&amp;"수당",설정_코스수당!$B$14:$F$14,0)),0)),0)</f>
        <v>0</v>
      </c>
      <c r="M308" s="27">
        <f>IF($O308="방문완료",IFERROR(VLOOKUP($E308,설정_코스수당!$A$6:$H$10,6,FALSE),0),0)</f>
        <v>0</v>
      </c>
      <c r="N308" s="28">
        <f t="shared" si="8"/>
        <v>0</v>
      </c>
      <c r="O308" s="23"/>
      <c r="P308" s="23"/>
      <c r="Q308" s="23"/>
      <c r="R308" s="26"/>
      <c r="S308" s="23"/>
    </row>
    <row r="309" spans="1:22" ht="19.5" hidden="1" customHeight="1" outlineLevel="1">
      <c r="A309" s="29">
        <v>90</v>
      </c>
      <c r="B309" s="30">
        <f>IF(3&lt;=DAY(DATE(YEAR(설정_코스수당!$K$2),MONTH(설정_코스수당!$K$2)+1,0)),DATE(YEAR(설정_코스수당!$K$2),MONTH(설정_코스수당!$K$2),3),"")</f>
        <v>46176</v>
      </c>
      <c r="C309" s="31"/>
      <c r="D309" s="29"/>
      <c r="E309" s="29"/>
      <c r="F309" s="32"/>
      <c r="G309" s="29"/>
      <c r="H309" s="29"/>
      <c r="I309" s="29"/>
      <c r="J309" s="33">
        <f>IF($O309="방문완료",MAX(0,IFERROR(VLOOKUP($E309,설정_코스수당!$A$6:$H$10,4,FALSE),0)-IF(OR($P309="",$P309="없음"),0,100000)),0)</f>
        <v>0</v>
      </c>
      <c r="K309" s="33">
        <f t="array" ref="K309">IF($O309="방문완료",IFERROR(INDEX(설정_코스수당!$B$15:$F$64,MATCH($G309,설정_코스수당!$A$15:$A$64,0),MATCH($E309&amp;"수당",설정_코스수당!$B$14:$F$14,0)),0),0)</f>
        <v>0</v>
      </c>
      <c r="L309" s="33">
        <f t="array" ref="L309">IF($O309="방문완료",IF($H309="",0,IFERROR(INDEX(설정_코스수당!$B$15:$F$64,MATCH($H309,설정_코스수당!$A$15:$A$64,0),MATCH($E309&amp;"수당",설정_코스수당!$B$14:$F$14,0)),0)),0)</f>
        <v>0</v>
      </c>
      <c r="M309" s="33">
        <f>IF($O309="방문완료",IFERROR(VLOOKUP($E309,설정_코스수당!$A$6:$H$10,6,FALSE),0),0)</f>
        <v>0</v>
      </c>
      <c r="N309" s="34">
        <f t="shared" si="8"/>
        <v>0</v>
      </c>
      <c r="O309" s="29"/>
      <c r="P309" s="29"/>
      <c r="Q309" s="29"/>
      <c r="R309" s="32"/>
      <c r="S309" s="29"/>
    </row>
    <row r="310" spans="1:22" ht="19.5" hidden="1" customHeight="1" outlineLevel="1">
      <c r="A310" s="23">
        <v>91</v>
      </c>
      <c r="B310" s="24">
        <f>IF(3&lt;=DAY(DATE(YEAR(설정_코스수당!$K$2),MONTH(설정_코스수당!$K$2)+1,0)),DATE(YEAR(설정_코스수당!$K$2),MONTH(설정_코스수당!$K$2),3),"")</f>
        <v>46176</v>
      </c>
      <c r="C310" s="25"/>
      <c r="D310" s="23"/>
      <c r="E310" s="23"/>
      <c r="F310" s="26"/>
      <c r="G310" s="23"/>
      <c r="H310" s="23"/>
      <c r="I310" s="23"/>
      <c r="J310" s="27">
        <f>IF($O310="방문완료",MAX(0,IFERROR(VLOOKUP($E310,설정_코스수당!$A$6:$H$10,4,FALSE),0)-IF(OR($P310="",$P310="없음"),0,100000)),0)</f>
        <v>0</v>
      </c>
      <c r="K310" s="27">
        <f t="array" ref="K310">IF($O310="방문완료",IFERROR(INDEX(설정_코스수당!$B$15:$F$64,MATCH($G310,설정_코스수당!$A$15:$A$64,0),MATCH($E310&amp;"수당",설정_코스수당!$B$14:$F$14,0)),0),0)</f>
        <v>0</v>
      </c>
      <c r="L310" s="27">
        <f t="array" ref="L310">IF($O310="방문완료",IF($H310="",0,IFERROR(INDEX(설정_코스수당!$B$15:$F$64,MATCH($H310,설정_코스수당!$A$15:$A$64,0),MATCH($E310&amp;"수당",설정_코스수당!$B$14:$F$14,0)),0)),0)</f>
        <v>0</v>
      </c>
      <c r="M310" s="27">
        <f>IF($O310="방문완료",IFERROR(VLOOKUP($E310,설정_코스수당!$A$6:$H$10,6,FALSE),0),0)</f>
        <v>0</v>
      </c>
      <c r="N310" s="28">
        <f t="shared" si="8"/>
        <v>0</v>
      </c>
      <c r="O310" s="23"/>
      <c r="P310" s="23"/>
      <c r="Q310" s="23"/>
      <c r="R310" s="26"/>
      <c r="S310" s="23"/>
    </row>
    <row r="311" spans="1:22" ht="19.5" hidden="1" customHeight="1" outlineLevel="1">
      <c r="A311" s="29">
        <v>92</v>
      </c>
      <c r="B311" s="30">
        <f>IF(3&lt;=DAY(DATE(YEAR(설정_코스수당!$K$2),MONTH(설정_코스수당!$K$2)+1,0)),DATE(YEAR(설정_코스수당!$K$2),MONTH(설정_코스수당!$K$2),3),"")</f>
        <v>46176</v>
      </c>
      <c r="C311" s="31"/>
      <c r="D311" s="29"/>
      <c r="E311" s="29"/>
      <c r="F311" s="32"/>
      <c r="G311" s="29"/>
      <c r="H311" s="29"/>
      <c r="I311" s="29"/>
      <c r="J311" s="33">
        <f>IF($O311="방문완료",MAX(0,IFERROR(VLOOKUP($E311,설정_코스수당!$A$6:$H$10,4,FALSE),0)-IF(OR($P311="",$P311="없음"),0,100000)),0)</f>
        <v>0</v>
      </c>
      <c r="K311" s="33">
        <f t="array" ref="K311">IF($O311="방문완료",IFERROR(INDEX(설정_코스수당!$B$15:$F$64,MATCH($G311,설정_코스수당!$A$15:$A$64,0),MATCH($E311&amp;"수당",설정_코스수당!$B$14:$F$14,0)),0),0)</f>
        <v>0</v>
      </c>
      <c r="L311" s="33">
        <f t="array" ref="L311">IF($O311="방문완료",IF($H311="",0,IFERROR(INDEX(설정_코스수당!$B$15:$F$64,MATCH($H311,설정_코스수당!$A$15:$A$64,0),MATCH($E311&amp;"수당",설정_코스수당!$B$14:$F$14,0)),0)),0)</f>
        <v>0</v>
      </c>
      <c r="M311" s="33">
        <f>IF($O311="방문완료",IFERROR(VLOOKUP($E311,설정_코스수당!$A$6:$H$10,6,FALSE),0),0)</f>
        <v>0</v>
      </c>
      <c r="N311" s="34">
        <f t="shared" si="8"/>
        <v>0</v>
      </c>
      <c r="O311" s="29"/>
      <c r="P311" s="29"/>
      <c r="Q311" s="29"/>
      <c r="R311" s="32"/>
      <c r="S311" s="29"/>
    </row>
    <row r="312" spans="1:22" ht="19.5" hidden="1" customHeight="1" outlineLevel="1">
      <c r="A312" s="23">
        <v>93</v>
      </c>
      <c r="B312" s="24">
        <f>IF(3&lt;=DAY(DATE(YEAR(설정_코스수당!$K$2),MONTH(설정_코스수당!$K$2)+1,0)),DATE(YEAR(설정_코스수당!$K$2),MONTH(설정_코스수당!$K$2),3),"")</f>
        <v>46176</v>
      </c>
      <c r="C312" s="25"/>
      <c r="D312" s="23"/>
      <c r="E312" s="23"/>
      <c r="F312" s="26"/>
      <c r="G312" s="23"/>
      <c r="H312" s="23"/>
      <c r="I312" s="23"/>
      <c r="J312" s="27">
        <f>IF($O312="방문완료",MAX(0,IFERROR(VLOOKUP($E312,설정_코스수당!$A$6:$H$10,4,FALSE),0)-IF(OR($P312="",$P312="없음"),0,100000)),0)</f>
        <v>0</v>
      </c>
      <c r="K312" s="27">
        <f t="array" ref="K312">IF($O312="방문완료",IFERROR(INDEX(설정_코스수당!$B$15:$F$64,MATCH($G312,설정_코스수당!$A$15:$A$64,0),MATCH($E312&amp;"수당",설정_코스수당!$B$14:$F$14,0)),0),0)</f>
        <v>0</v>
      </c>
      <c r="L312" s="27">
        <f t="array" ref="L312">IF($O312="방문완료",IF($H312="",0,IFERROR(INDEX(설정_코스수당!$B$15:$F$64,MATCH($H312,설정_코스수당!$A$15:$A$64,0),MATCH($E312&amp;"수당",설정_코스수당!$B$14:$F$14,0)),0)),0)</f>
        <v>0</v>
      </c>
      <c r="M312" s="27">
        <f>IF($O312="방문완료",IFERROR(VLOOKUP($E312,설정_코스수당!$A$6:$H$10,6,FALSE),0),0)</f>
        <v>0</v>
      </c>
      <c r="N312" s="28">
        <f t="shared" si="8"/>
        <v>0</v>
      </c>
      <c r="O312" s="23"/>
      <c r="P312" s="23"/>
      <c r="Q312" s="23"/>
      <c r="R312" s="26"/>
      <c r="S312" s="23"/>
    </row>
    <row r="313" spans="1:22" ht="19.5" hidden="1" customHeight="1" outlineLevel="1">
      <c r="A313" s="29">
        <v>94</v>
      </c>
      <c r="B313" s="30">
        <f>IF(3&lt;=DAY(DATE(YEAR(설정_코스수당!$K$2),MONTH(설정_코스수당!$K$2)+1,0)),DATE(YEAR(설정_코스수당!$K$2),MONTH(설정_코스수당!$K$2),3),"")</f>
        <v>46176</v>
      </c>
      <c r="C313" s="31"/>
      <c r="D313" s="29"/>
      <c r="E313" s="29"/>
      <c r="F313" s="32"/>
      <c r="G313" s="29"/>
      <c r="H313" s="29"/>
      <c r="I313" s="29"/>
      <c r="J313" s="33">
        <f>IF($O313="방문완료",MAX(0,IFERROR(VLOOKUP($E313,설정_코스수당!$A$6:$H$10,4,FALSE),0)-IF(OR($P313="",$P313="없음"),0,100000)),0)</f>
        <v>0</v>
      </c>
      <c r="K313" s="33">
        <f t="array" ref="K313">IF($O313="방문완료",IFERROR(INDEX(설정_코스수당!$B$15:$F$64,MATCH($G313,설정_코스수당!$A$15:$A$64,0),MATCH($E313&amp;"수당",설정_코스수당!$B$14:$F$14,0)),0),0)</f>
        <v>0</v>
      </c>
      <c r="L313" s="33">
        <f t="array" ref="L313">IF($O313="방문완료",IF($H313="",0,IFERROR(INDEX(설정_코스수당!$B$15:$F$64,MATCH($H313,설정_코스수당!$A$15:$A$64,0),MATCH($E313&amp;"수당",설정_코스수당!$B$14:$F$14,0)),0)),0)</f>
        <v>0</v>
      </c>
      <c r="M313" s="33">
        <f>IF($O313="방문완료",IFERROR(VLOOKUP($E313,설정_코스수당!$A$6:$H$10,6,FALSE),0),0)</f>
        <v>0</v>
      </c>
      <c r="N313" s="34">
        <f t="shared" si="8"/>
        <v>0</v>
      </c>
      <c r="O313" s="29"/>
      <c r="P313" s="29"/>
      <c r="Q313" s="29"/>
      <c r="R313" s="32"/>
      <c r="S313" s="29"/>
    </row>
    <row r="314" spans="1:22" ht="19.5" hidden="1" customHeight="1" outlineLevel="1">
      <c r="A314" s="23">
        <v>95</v>
      </c>
      <c r="B314" s="24">
        <f>IF(3&lt;=DAY(DATE(YEAR(설정_코스수당!$K$2),MONTH(설정_코스수당!$K$2)+1,0)),DATE(YEAR(설정_코스수당!$K$2),MONTH(설정_코스수당!$K$2),3),"")</f>
        <v>46176</v>
      </c>
      <c r="C314" s="25"/>
      <c r="D314" s="23"/>
      <c r="E314" s="23"/>
      <c r="F314" s="26"/>
      <c r="G314" s="23"/>
      <c r="H314" s="23"/>
      <c r="I314" s="23"/>
      <c r="J314" s="27">
        <f>IF($O314="방문완료",MAX(0,IFERROR(VLOOKUP($E314,설정_코스수당!$A$6:$H$10,4,FALSE),0)-IF(OR($P314="",$P314="없음"),0,100000)),0)</f>
        <v>0</v>
      </c>
      <c r="K314" s="27">
        <f t="array" ref="K314">IF($O314="방문완료",IFERROR(INDEX(설정_코스수당!$B$15:$F$64,MATCH($G314,설정_코스수당!$A$15:$A$64,0),MATCH($E314&amp;"수당",설정_코스수당!$B$14:$F$14,0)),0),0)</f>
        <v>0</v>
      </c>
      <c r="L314" s="27">
        <f t="array" ref="L314">IF($O314="방문완료",IF($H314="",0,IFERROR(INDEX(설정_코스수당!$B$15:$F$64,MATCH($H314,설정_코스수당!$A$15:$A$64,0),MATCH($E314&amp;"수당",설정_코스수당!$B$14:$F$14,0)),0)),0)</f>
        <v>0</v>
      </c>
      <c r="M314" s="27">
        <f>IF($O314="방문완료",IFERROR(VLOOKUP($E314,설정_코스수당!$A$6:$H$10,6,FALSE),0),0)</f>
        <v>0</v>
      </c>
      <c r="N314" s="28">
        <f t="shared" si="8"/>
        <v>0</v>
      </c>
      <c r="O314" s="23"/>
      <c r="P314" s="23"/>
      <c r="Q314" s="23"/>
      <c r="R314" s="26"/>
      <c r="S314" s="23"/>
    </row>
    <row r="315" spans="1:22" ht="19.5" hidden="1" customHeight="1" outlineLevel="1">
      <c r="A315" s="29">
        <v>96</v>
      </c>
      <c r="B315" s="30">
        <f>IF(3&lt;=DAY(DATE(YEAR(설정_코스수당!$K$2),MONTH(설정_코스수당!$K$2)+1,0)),DATE(YEAR(설정_코스수당!$K$2),MONTH(설정_코스수당!$K$2),3),"")</f>
        <v>46176</v>
      </c>
      <c r="C315" s="31"/>
      <c r="D315" s="29"/>
      <c r="E315" s="29"/>
      <c r="F315" s="32"/>
      <c r="G315" s="29"/>
      <c r="H315" s="29"/>
      <c r="I315" s="29"/>
      <c r="J315" s="33">
        <f>IF($O315="방문완료",MAX(0,IFERROR(VLOOKUP($E315,설정_코스수당!$A$6:$H$10,4,FALSE),0)-IF(OR($P315="",$P315="없음"),0,100000)),0)</f>
        <v>0</v>
      </c>
      <c r="K315" s="33">
        <f t="array" ref="K315">IF($O315="방문완료",IFERROR(INDEX(설정_코스수당!$B$15:$F$64,MATCH($G315,설정_코스수당!$A$15:$A$64,0),MATCH($E315&amp;"수당",설정_코스수당!$B$14:$F$14,0)),0),0)</f>
        <v>0</v>
      </c>
      <c r="L315" s="33">
        <f t="array" ref="L315">IF($O315="방문완료",IF($H315="",0,IFERROR(INDEX(설정_코스수당!$B$15:$F$64,MATCH($H315,설정_코스수당!$A$15:$A$64,0),MATCH($E315&amp;"수당",설정_코스수당!$B$14:$F$14,0)),0)),0)</f>
        <v>0</v>
      </c>
      <c r="M315" s="33">
        <f>IF($O315="방문완료",IFERROR(VLOOKUP($E315,설정_코스수당!$A$6:$H$10,6,FALSE),0),0)</f>
        <v>0</v>
      </c>
      <c r="N315" s="34">
        <f t="shared" si="8"/>
        <v>0</v>
      </c>
      <c r="O315" s="29"/>
      <c r="P315" s="29"/>
      <c r="Q315" s="29"/>
      <c r="R315" s="32"/>
      <c r="S315" s="29"/>
    </row>
    <row r="316" spans="1:22" ht="19.5" hidden="1" customHeight="1" outlineLevel="1">
      <c r="A316" s="23">
        <v>97</v>
      </c>
      <c r="B316" s="24">
        <f>IF(3&lt;=DAY(DATE(YEAR(설정_코스수당!$K$2),MONTH(설정_코스수당!$K$2)+1,0)),DATE(YEAR(설정_코스수당!$K$2),MONTH(설정_코스수당!$K$2),3),"")</f>
        <v>46176</v>
      </c>
      <c r="C316" s="25"/>
      <c r="D316" s="23"/>
      <c r="E316" s="23"/>
      <c r="F316" s="26"/>
      <c r="G316" s="23"/>
      <c r="H316" s="23"/>
      <c r="I316" s="23"/>
      <c r="J316" s="27">
        <f>IF($O316="방문완료",MAX(0,IFERROR(VLOOKUP($E316,설정_코스수당!$A$6:$H$10,4,FALSE),0)-IF(OR($P316="",$P316="없음"),0,100000)),0)</f>
        <v>0</v>
      </c>
      <c r="K316" s="27">
        <f t="array" ref="K316">IF($O316="방문완료",IFERROR(INDEX(설정_코스수당!$B$15:$F$64,MATCH($G316,설정_코스수당!$A$15:$A$64,0),MATCH($E316&amp;"수당",설정_코스수당!$B$14:$F$14,0)),0),0)</f>
        <v>0</v>
      </c>
      <c r="L316" s="27">
        <f t="array" ref="L316">IF($O316="방문완료",IF($H316="",0,IFERROR(INDEX(설정_코스수당!$B$15:$F$64,MATCH($H316,설정_코스수당!$A$15:$A$64,0),MATCH($E316&amp;"수당",설정_코스수당!$B$14:$F$14,0)),0)),0)</f>
        <v>0</v>
      </c>
      <c r="M316" s="27">
        <f>IF($O316="방문완료",IFERROR(VLOOKUP($E316,설정_코스수당!$A$6:$H$10,6,FALSE),0),0)</f>
        <v>0</v>
      </c>
      <c r="N316" s="28">
        <f t="shared" si="8"/>
        <v>0</v>
      </c>
      <c r="O316" s="23"/>
      <c r="P316" s="23"/>
      <c r="Q316" s="23"/>
      <c r="R316" s="26"/>
      <c r="S316" s="23"/>
    </row>
    <row r="317" spans="1:22" ht="19.5" hidden="1" customHeight="1" outlineLevel="1">
      <c r="A317" s="29">
        <v>98</v>
      </c>
      <c r="B317" s="30">
        <f>IF(3&lt;=DAY(DATE(YEAR(설정_코스수당!$K$2),MONTH(설정_코스수당!$K$2)+1,0)),DATE(YEAR(설정_코스수당!$K$2),MONTH(설정_코스수당!$K$2),3),"")</f>
        <v>46176</v>
      </c>
      <c r="C317" s="31"/>
      <c r="D317" s="29"/>
      <c r="E317" s="29"/>
      <c r="F317" s="32"/>
      <c r="G317" s="29"/>
      <c r="H317" s="29"/>
      <c r="I317" s="29"/>
      <c r="J317" s="33">
        <f>IF($O317="방문완료",MAX(0,IFERROR(VLOOKUP($E317,설정_코스수당!$A$6:$H$10,4,FALSE),0)-IF(OR($P317="",$P317="없음"),0,100000)),0)</f>
        <v>0</v>
      </c>
      <c r="K317" s="33">
        <f t="array" ref="K317">IF($O317="방문완료",IFERROR(INDEX(설정_코스수당!$B$15:$F$64,MATCH($G317,설정_코스수당!$A$15:$A$64,0),MATCH($E317&amp;"수당",설정_코스수당!$B$14:$F$14,0)),0),0)</f>
        <v>0</v>
      </c>
      <c r="L317" s="33">
        <f t="array" ref="L317">IF($O317="방문완료",IF($H317="",0,IFERROR(INDEX(설정_코스수당!$B$15:$F$64,MATCH($H317,설정_코스수당!$A$15:$A$64,0),MATCH($E317&amp;"수당",설정_코스수당!$B$14:$F$14,0)),0)),0)</f>
        <v>0</v>
      </c>
      <c r="M317" s="33">
        <f>IF($O317="방문완료",IFERROR(VLOOKUP($E317,설정_코스수당!$A$6:$H$10,6,FALSE),0),0)</f>
        <v>0</v>
      </c>
      <c r="N317" s="34">
        <f t="shared" si="8"/>
        <v>0</v>
      </c>
      <c r="O317" s="29"/>
      <c r="P317" s="29"/>
      <c r="Q317" s="29"/>
      <c r="R317" s="32"/>
      <c r="S317" s="29"/>
    </row>
    <row r="318" spans="1:22" ht="19.5" hidden="1" customHeight="1" outlineLevel="1">
      <c r="A318" s="23">
        <v>99</v>
      </c>
      <c r="B318" s="24">
        <f>IF(3&lt;=DAY(DATE(YEAR(설정_코스수당!$K$2),MONTH(설정_코스수당!$K$2)+1,0)),DATE(YEAR(설정_코스수당!$K$2),MONTH(설정_코스수당!$K$2),3),"")</f>
        <v>46176</v>
      </c>
      <c r="C318" s="25"/>
      <c r="D318" s="23"/>
      <c r="E318" s="23"/>
      <c r="F318" s="26"/>
      <c r="G318" s="23"/>
      <c r="H318" s="23"/>
      <c r="I318" s="23"/>
      <c r="J318" s="27">
        <f>IF($O318="방문완료",MAX(0,IFERROR(VLOOKUP($E318,설정_코스수당!$A$6:$H$10,4,FALSE),0)-IF(OR($P318="",$P318="없음"),0,100000)),0)</f>
        <v>0</v>
      </c>
      <c r="K318" s="27">
        <f t="array" ref="K318">IF($O318="방문완료",IFERROR(INDEX(설정_코스수당!$B$15:$F$64,MATCH($G318,설정_코스수당!$A$15:$A$64,0),MATCH($E318&amp;"수당",설정_코스수당!$B$14:$F$14,0)),0),0)</f>
        <v>0</v>
      </c>
      <c r="L318" s="27">
        <f t="array" ref="L318">IF($O318="방문완료",IF($H318="",0,IFERROR(INDEX(설정_코스수당!$B$15:$F$64,MATCH($H318,설정_코스수당!$A$15:$A$64,0),MATCH($E318&amp;"수당",설정_코스수당!$B$14:$F$14,0)),0)),0)</f>
        <v>0</v>
      </c>
      <c r="M318" s="27">
        <f>IF($O318="방문완료",IFERROR(VLOOKUP($E318,설정_코스수당!$A$6:$H$10,6,FALSE),0),0)</f>
        <v>0</v>
      </c>
      <c r="N318" s="28">
        <f t="shared" si="8"/>
        <v>0</v>
      </c>
      <c r="O318" s="23"/>
      <c r="P318" s="23"/>
      <c r="Q318" s="23"/>
      <c r="R318" s="26"/>
      <c r="S318" s="23"/>
    </row>
    <row r="319" spans="1:22" ht="19.5" hidden="1" customHeight="1" outlineLevel="1">
      <c r="A319" s="29">
        <v>100</v>
      </c>
      <c r="B319" s="30">
        <f>IF(3&lt;=DAY(DATE(YEAR(설정_코스수당!$K$2),MONTH(설정_코스수당!$K$2)+1,0)),DATE(YEAR(설정_코스수당!$K$2),MONTH(설정_코스수당!$K$2),3),"")</f>
        <v>46176</v>
      </c>
      <c r="C319" s="31"/>
      <c r="D319" s="29"/>
      <c r="E319" s="29"/>
      <c r="F319" s="32"/>
      <c r="G319" s="29"/>
      <c r="H319" s="29"/>
      <c r="I319" s="29"/>
      <c r="J319" s="33">
        <f>IF($O319="방문완료",MAX(0,IFERROR(VLOOKUP($E319,설정_코스수당!$A$6:$H$10,4,FALSE),0)-IF(OR($P319="",$P319="없음"),0,100000)),0)</f>
        <v>0</v>
      </c>
      <c r="K319" s="33">
        <f t="array" ref="K319">IF($O319="방문완료",IFERROR(INDEX(설정_코스수당!$B$15:$F$64,MATCH($G319,설정_코스수당!$A$15:$A$64,0),MATCH($E319&amp;"수당",설정_코스수당!$B$14:$F$14,0)),0),0)</f>
        <v>0</v>
      </c>
      <c r="L319" s="33">
        <f t="array" ref="L319">IF($O319="방문완료",IF($H319="",0,IFERROR(INDEX(설정_코스수당!$B$15:$F$64,MATCH($H319,설정_코스수당!$A$15:$A$64,0),MATCH($E319&amp;"수당",설정_코스수당!$B$14:$F$14,0)),0)),0)</f>
        <v>0</v>
      </c>
      <c r="M319" s="33">
        <f>IF($O319="방문완료",IFERROR(VLOOKUP($E319,설정_코스수당!$A$6:$H$10,6,FALSE),0),0)</f>
        <v>0</v>
      </c>
      <c r="N319" s="34">
        <f t="shared" si="8"/>
        <v>0</v>
      </c>
      <c r="O319" s="29"/>
      <c r="P319" s="29"/>
      <c r="Q319" s="29"/>
      <c r="R319" s="32"/>
      <c r="S319" s="29"/>
    </row>
    <row r="320" spans="1:22" ht="19.5" hidden="1" customHeight="1" outlineLevel="1">
      <c r="A320" s="36" t="s">
        <v>79</v>
      </c>
      <c r="B320" s="37"/>
      <c r="C320" s="38"/>
      <c r="D320" s="37"/>
      <c r="E320" s="37"/>
      <c r="F320" s="37"/>
      <c r="G320" s="37"/>
      <c r="H320" s="37"/>
      <c r="I320" s="37"/>
      <c r="J320" s="37">
        <f>IF($O320="방문완료",MAX(0,IFERROR(VLOOKUP($E320,설정_코스수당!$A$6:$H$10,4,FALSE),0)-IF(OR($P320="",$P320="없음"),0,100000)),0)</f>
        <v>0</v>
      </c>
      <c r="O320" s="18"/>
      <c r="P320" s="14"/>
      <c r="Q320" s="18"/>
      <c r="S320" s="18"/>
      <c r="V320" s="17">
        <f>IF(4&lt;=DAY(DATE(YEAR(설정_코스수당!$K$2),MONTH(설정_코스수당!$K$2)+1,0)),COUNTIFS($B:$B,DATE(YEAR(설정_코스수당!$K$2),MONTH(설정_코스수당!$K$2),4),$O:$O,"방문완료",$P:$P,"&lt;&gt;",$P:$P,"&lt;&gt;없음")*100000,"")</f>
        <v>0</v>
      </c>
    </row>
    <row r="321" spans="1:27" ht="21" customHeight="1" collapsed="1">
      <c r="A321" s="123" t="str">
        <f>IF(4&lt;=DAY(DATE(YEAR(설정_코스수당!$K$2),MONTH(설정_코스수당!$K$2)+1,0)),TEXT(DATE(YEAR(설정_코스수당!$K$2),MONTH(설정_코스수당!$K$2),4),"yyyy-mm-dd")&amp;"  |  예약관리 100슬롯","")</f>
        <v>2026-06-04  |  예약관리 100슬롯</v>
      </c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 spans="1:27" ht="19.5" hidden="1" customHeight="1" outlineLevel="1">
      <c r="A322" s="20" t="s">
        <v>41</v>
      </c>
      <c r="B322" s="20" t="s">
        <v>42</v>
      </c>
      <c r="C322" s="39" t="s">
        <v>43</v>
      </c>
      <c r="D322" s="20" t="s">
        <v>44</v>
      </c>
      <c r="E322" s="20" t="s">
        <v>45</v>
      </c>
      <c r="F322" s="20" t="s">
        <v>46</v>
      </c>
      <c r="G322" s="20" t="s">
        <v>47</v>
      </c>
      <c r="H322" s="20" t="s">
        <v>48</v>
      </c>
      <c r="I322" s="20" t="s">
        <v>49</v>
      </c>
      <c r="J322" s="20" t="s">
        <v>50</v>
      </c>
      <c r="K322" s="20" t="s">
        <v>51</v>
      </c>
      <c r="L322" s="20" t="s">
        <v>52</v>
      </c>
      <c r="M322" s="20" t="s">
        <v>53</v>
      </c>
      <c r="N322" s="20" t="s">
        <v>54</v>
      </c>
      <c r="O322" s="20" t="s">
        <v>55</v>
      </c>
      <c r="P322" s="20" t="s">
        <v>56</v>
      </c>
      <c r="Q322" s="18"/>
      <c r="R322" s="20" t="s">
        <v>58</v>
      </c>
      <c r="S322" s="20" t="s">
        <v>59</v>
      </c>
      <c r="U322" s="122" t="str">
        <f>IF(4&lt;=DAY(DATE(YEAR(설정_코스수당!$K$2),MONTH(설정_코스수당!$K$2)+1,0)),TEXT(DATE(YEAR(설정_코스수당!$K$2),MONTH(설정_코스수당!$K$2),4),"yyyy-mm-dd")&amp;" 일일 상태","")</f>
        <v>2026-06-04 일일 상태</v>
      </c>
      <c r="V322" s="125"/>
      <c r="W322" s="122" t="s">
        <v>3</v>
      </c>
      <c r="X322" s="125"/>
    </row>
    <row r="323" spans="1:27" ht="19.5" hidden="1" customHeight="1" outlineLevel="1">
      <c r="A323" s="23">
        <v>1</v>
      </c>
      <c r="B323" s="24">
        <f>IF(4&lt;=DAY(DATE(YEAR(설정_코스수당!$K$2),MONTH(설정_코스수당!$K$2)+1,0)),DATE(YEAR(설정_코스수당!$K$2),MONTH(설정_코스수당!$K$2),4),"")</f>
        <v>46177</v>
      </c>
      <c r="C323" s="25"/>
      <c r="D323" s="23"/>
      <c r="E323" s="23"/>
      <c r="F323" s="26"/>
      <c r="G323" s="23"/>
      <c r="H323" s="23"/>
      <c r="I323" s="23"/>
      <c r="J323" s="27">
        <f>IF($O323="방문완료",MAX(0,IFERROR(VLOOKUP($E323,설정_코스수당!$A$6:$H$10,4,FALSE),0)-IF(OR($P323="",$P323="없음"),0,100000)),0)</f>
        <v>0</v>
      </c>
      <c r="K323" s="27">
        <f t="array" ref="K323">IF($O323="방문완료",IFERROR(INDEX(설정_코스수당!$B$15:$F$64,MATCH($G323,설정_코스수당!$A$15:$A$64,0),MATCH($E323&amp;"수당",설정_코스수당!$B$14:$F$14,0)),0),0)</f>
        <v>0</v>
      </c>
      <c r="L323" s="27">
        <f t="array" ref="L323">IF($O323="방문완료",IF($H323="",0,IFERROR(INDEX(설정_코스수당!$B$15:$F$64,MATCH($H323,설정_코스수당!$A$15:$A$64,0),MATCH($E323&amp;"수당",설정_코스수당!$B$14:$F$14,0)),0)),0)</f>
        <v>0</v>
      </c>
      <c r="M323" s="27">
        <f>IF($O323="방문완료",IFERROR(VLOOKUP($E323,설정_코스수당!$A$6:$H$10,6,FALSE),0),0)</f>
        <v>0</v>
      </c>
      <c r="N323" s="28">
        <f t="shared" ref="N323:N354" si="9">IF($O323="방문완료",1,0)</f>
        <v>0</v>
      </c>
      <c r="O323" s="23"/>
      <c r="P323" s="23"/>
      <c r="Q323" s="23"/>
      <c r="R323" s="26"/>
      <c r="S323" s="23"/>
      <c r="U323" s="104" t="s">
        <v>63</v>
      </c>
      <c r="V323" s="105">
        <f>IF(4&lt;=DAY(DATE(YEAR(설정_코스수당!$K$2),MONTH(설정_코스수당!$K$2)+1,0)),COUNTIFS($B:$B,DATE(YEAR(설정_코스수당!$K$2),MONTH(설정_코스수당!$K$2),4),$O:$O,"&lt;&gt;"),"")</f>
        <v>0</v>
      </c>
      <c r="W323" s="104" t="s">
        <v>6</v>
      </c>
      <c r="X323" s="105">
        <f>IF(4&lt;=DAY(DATE(YEAR(설정_코스수당!$K$2),MONTH(설정_코스수당!$K$2)+1,0)),COUNTIFS($B:$B,DATE(YEAR(설정_코스수당!$K$2),MONTH(설정_코스수당!$K$2),4),$E:$E,"A",$O:$O,"방문완료"),"")</f>
        <v>0</v>
      </c>
    </row>
    <row r="324" spans="1:27" ht="19.5" hidden="1" customHeight="1" outlineLevel="1">
      <c r="A324" s="29">
        <v>2</v>
      </c>
      <c r="B324" s="30">
        <f>IF(4&lt;=DAY(DATE(YEAR(설정_코스수당!$K$2),MONTH(설정_코스수당!$K$2)+1,0)),DATE(YEAR(설정_코스수당!$K$2),MONTH(설정_코스수당!$K$2),4),"")</f>
        <v>46177</v>
      </c>
      <c r="C324" s="31"/>
      <c r="D324" s="29"/>
      <c r="E324" s="29"/>
      <c r="F324" s="32"/>
      <c r="G324" s="29"/>
      <c r="H324" s="29"/>
      <c r="I324" s="29"/>
      <c r="J324" s="33">
        <f>IF($O324="방문완료",MAX(0,IFERROR(VLOOKUP($E324,설정_코스수당!$A$6:$H$10,4,FALSE),0)-IF(OR($P324="",$P324="없음"),0,100000)),0)</f>
        <v>0</v>
      </c>
      <c r="K324" s="33">
        <f t="array" ref="K324">IF($O324="방문완료",IFERROR(INDEX(설정_코스수당!$B$15:$F$64,MATCH($G324,설정_코스수당!$A$15:$A$64,0),MATCH($E324&amp;"수당",설정_코스수당!$B$14:$F$14,0)),0),0)</f>
        <v>0</v>
      </c>
      <c r="L324" s="33">
        <f t="array" ref="L324">IF($O324="방문완료",IF($H324="",0,IFERROR(INDEX(설정_코스수당!$B$15:$F$64,MATCH($H324,설정_코스수당!$A$15:$A$64,0),MATCH($E324&amp;"수당",설정_코스수당!$B$14:$F$14,0)),0)),0)</f>
        <v>0</v>
      </c>
      <c r="M324" s="33">
        <f>IF($O324="방문완료",IFERROR(VLOOKUP($E324,설정_코스수당!$A$6:$H$10,6,FALSE),0),0)</f>
        <v>0</v>
      </c>
      <c r="N324" s="34">
        <f t="shared" si="9"/>
        <v>0</v>
      </c>
      <c r="O324" s="29"/>
      <c r="P324" s="29"/>
      <c r="Q324" s="29"/>
      <c r="R324" s="32"/>
      <c r="S324" s="29"/>
      <c r="U324" s="104" t="s">
        <v>62</v>
      </c>
      <c r="V324" s="105">
        <f>IF(4&lt;=DAY(DATE(YEAR(설정_코스수당!$K$2),MONTH(설정_코스수당!$K$2)+1,0)),COUNTIFS($B:$B,DATE(YEAR(설정_코스수당!$K$2),MONTH(설정_코스수당!$K$2),4),$O:$O,"방문완료"),"")</f>
        <v>0</v>
      </c>
      <c r="W324" s="104" t="s">
        <v>9</v>
      </c>
      <c r="X324" s="105">
        <f>IF(4&lt;=DAY(DATE(YEAR(설정_코스수당!$K$2),MONTH(설정_코스수당!$K$2)+1,0)),COUNTIFS($B:$B,DATE(YEAR(설정_코스수당!$K$2),MONTH(설정_코스수당!$K$2),4),$E:$E,"B",$O:$O,"방문완료"),"")</f>
        <v>0</v>
      </c>
    </row>
    <row r="325" spans="1:27" ht="19.5" hidden="1" customHeight="1" outlineLevel="1">
      <c r="A325" s="23">
        <v>3</v>
      </c>
      <c r="B325" s="24">
        <f>IF(4&lt;=DAY(DATE(YEAR(설정_코스수당!$K$2),MONTH(설정_코스수당!$K$2)+1,0)),DATE(YEAR(설정_코스수당!$K$2),MONTH(설정_코스수당!$K$2),4),"")</f>
        <v>46177</v>
      </c>
      <c r="C325" s="25"/>
      <c r="D325" s="23"/>
      <c r="E325" s="23"/>
      <c r="F325" s="26"/>
      <c r="G325" s="23"/>
      <c r="H325" s="23"/>
      <c r="I325" s="23"/>
      <c r="J325" s="27">
        <f>IF($O325="방문완료",MAX(0,IFERROR(VLOOKUP($E325,설정_코스수당!$A$6:$H$10,4,FALSE),0)-IF(OR($P325="",$P325="없음"),0,100000)),0)</f>
        <v>0</v>
      </c>
      <c r="K325" s="27">
        <f t="array" ref="K325">IF($O325="방문완료",IFERROR(INDEX(설정_코스수당!$B$15:$F$64,MATCH($G325,설정_코스수당!$A$15:$A$64,0),MATCH($E325&amp;"수당",설정_코스수당!$B$14:$F$14,0)),0),0)</f>
        <v>0</v>
      </c>
      <c r="L325" s="27">
        <f t="array" ref="L325">IF($O325="방문완료",IF($H325="",0,IFERROR(INDEX(설정_코스수당!$B$15:$F$64,MATCH($H325,설정_코스수당!$A$15:$A$64,0),MATCH($E325&amp;"수당",설정_코스수당!$B$14:$F$14,0)),0)),0)</f>
        <v>0</v>
      </c>
      <c r="M325" s="27">
        <f>IF($O325="방문완료",IFERROR(VLOOKUP($E325,설정_코스수당!$A$6:$H$10,6,FALSE),0),0)</f>
        <v>0</v>
      </c>
      <c r="N325" s="28">
        <f t="shared" si="9"/>
        <v>0</v>
      </c>
      <c r="O325" s="23"/>
      <c r="P325" s="23"/>
      <c r="Q325" s="23"/>
      <c r="R325" s="26"/>
      <c r="S325" s="23"/>
      <c r="U325" s="104" t="s">
        <v>68</v>
      </c>
      <c r="V325" s="105" t="str">
        <f>IF(4&lt;=DAY(DATE(YEAR(설정_코스수당!$K$2),MONTH(설정_코스수당!$K$2)+1,0)),COUNTIFS($B:$B,DATE(YEAR(설정_코스수당!$K$2),MONTH(설정_코스수당!$K$2),4),$O:$O,"노쇼")&amp;"/"&amp;COUNTIFS($B:$B,DATE(YEAR(설정_코스수당!$K$2),MONTH(설정_코스수당!$K$2),4),$O:$O,"취소"),"")</f>
        <v>0/0</v>
      </c>
      <c r="W325" s="104" t="s">
        <v>12</v>
      </c>
      <c r="X325" s="105">
        <f>IF(4&lt;=DAY(DATE(YEAR(설정_코스수당!$K$2),MONTH(설정_코스수당!$K$2)+1,0)),COUNTIFS($B:$B,DATE(YEAR(설정_코스수당!$K$2),MONTH(설정_코스수당!$K$2),4),$E:$E,"C",$O:$O,"방문완료"),"")</f>
        <v>0</v>
      </c>
    </row>
    <row r="326" spans="1:27" ht="19.5" hidden="1" customHeight="1" outlineLevel="1">
      <c r="A326" s="29">
        <v>4</v>
      </c>
      <c r="B326" s="30">
        <f>IF(4&lt;=DAY(DATE(YEAR(설정_코스수당!$K$2),MONTH(설정_코스수당!$K$2)+1,0)),DATE(YEAR(설정_코스수당!$K$2),MONTH(설정_코스수당!$K$2),4),"")</f>
        <v>46177</v>
      </c>
      <c r="C326" s="31"/>
      <c r="D326" s="29"/>
      <c r="E326" s="29"/>
      <c r="F326" s="32"/>
      <c r="G326" s="29"/>
      <c r="H326" s="29"/>
      <c r="I326" s="29"/>
      <c r="J326" s="33">
        <f>IF($O326="방문완료",MAX(0,IFERROR(VLOOKUP($E326,설정_코스수당!$A$6:$H$10,4,FALSE),0)-IF(OR($P326="",$P326="없음"),0,100000)),0)</f>
        <v>0</v>
      </c>
      <c r="K326" s="33">
        <f t="array" ref="K326">IF($O326="방문완료",IFERROR(INDEX(설정_코스수당!$B$15:$F$64,MATCH($G326,설정_코스수당!$A$15:$A$64,0),MATCH($E326&amp;"수당",설정_코스수당!$B$14:$F$14,0)),0),0)</f>
        <v>0</v>
      </c>
      <c r="L326" s="33">
        <f t="array" ref="L326">IF($O326="방문완료",IF($H326="",0,IFERROR(INDEX(설정_코스수당!$B$15:$F$64,MATCH($H326,설정_코스수당!$A$15:$A$64,0),MATCH($E326&amp;"수당",설정_코스수당!$B$14:$F$14,0)),0)),0)</f>
        <v>0</v>
      </c>
      <c r="M326" s="33">
        <f>IF($O326="방문완료",IFERROR(VLOOKUP($E326,설정_코스수당!$A$6:$H$10,6,FALSE),0),0)</f>
        <v>0</v>
      </c>
      <c r="N326" s="34">
        <f t="shared" si="9"/>
        <v>0</v>
      </c>
      <c r="O326" s="29"/>
      <c r="P326" s="29"/>
      <c r="Q326" s="29"/>
      <c r="R326" s="32"/>
      <c r="S326" s="29"/>
      <c r="U326" s="104" t="s">
        <v>69</v>
      </c>
      <c r="V326" s="106">
        <f>IF(4&lt;=DAY(DATE(YEAR(설정_코스수당!$K$2),MONTH(설정_코스수당!$K$2)+1,0)),SUMIFS($J:$J,$B:$B,DATE(YEAR(설정_코스수당!$K$2),MONTH(설정_코스수당!$K$2),4),$O:$O,"방문완료"),"")</f>
        <v>0</v>
      </c>
      <c r="W326" s="104" t="s">
        <v>15</v>
      </c>
      <c r="X326" s="105">
        <f>IF(4&lt;=DAY(DATE(YEAR(설정_코스수당!$K$2),MONTH(설정_코스수당!$K$2)+1,0)),COUNTIFS($B:$B,DATE(YEAR(설정_코스수당!$K$2),MONTH(설정_코스수당!$K$2),4),$E:$E,"D",$O:$O,"방문완료"),"")</f>
        <v>0</v>
      </c>
    </row>
    <row r="327" spans="1:27" ht="19.5" hidden="1" customHeight="1" outlineLevel="1">
      <c r="A327" s="23">
        <v>5</v>
      </c>
      <c r="B327" s="24">
        <f>IF(4&lt;=DAY(DATE(YEAR(설정_코스수당!$K$2),MONTH(설정_코스수당!$K$2)+1,0)),DATE(YEAR(설정_코스수당!$K$2),MONTH(설정_코스수당!$K$2),4),"")</f>
        <v>46177</v>
      </c>
      <c r="C327" s="25"/>
      <c r="D327" s="23"/>
      <c r="E327" s="23"/>
      <c r="F327" s="26"/>
      <c r="G327" s="23"/>
      <c r="H327" s="23"/>
      <c r="I327" s="23"/>
      <c r="J327" s="27">
        <f>IF($O327="방문완료",MAX(0,IFERROR(VLOOKUP($E327,설정_코스수당!$A$6:$H$10,4,FALSE),0)-IF(OR($P327="",$P327="없음"),0,100000)),0)</f>
        <v>0</v>
      </c>
      <c r="K327" s="27">
        <f t="array" ref="K327">IF($O327="방문완료",IFERROR(INDEX(설정_코스수당!$B$15:$F$64,MATCH($G327,설정_코스수당!$A$15:$A$64,0),MATCH($E327&amp;"수당",설정_코스수당!$B$14:$F$14,0)),0),0)</f>
        <v>0</v>
      </c>
      <c r="L327" s="27">
        <f t="array" ref="L327">IF($O327="방문완료",IF($H327="",0,IFERROR(INDEX(설정_코스수당!$B$15:$F$64,MATCH($H327,설정_코스수당!$A$15:$A$64,0),MATCH($E327&amp;"수당",설정_코스수당!$B$14:$F$14,0)),0)),0)</f>
        <v>0</v>
      </c>
      <c r="M327" s="27">
        <f>IF($O327="방문완료",IFERROR(VLOOKUP($E327,설정_코스수당!$A$6:$H$10,6,FALSE),0),0)</f>
        <v>0</v>
      </c>
      <c r="N327" s="28">
        <f t="shared" si="9"/>
        <v>0</v>
      </c>
      <c r="O327" s="23"/>
      <c r="P327" s="23"/>
      <c r="Q327" s="23"/>
      <c r="R327" s="26"/>
      <c r="S327" s="23"/>
      <c r="U327" s="104" t="s">
        <v>70</v>
      </c>
      <c r="V327" s="106">
        <f>IF(4&lt;=DAY(DATE(YEAR(설정_코스수당!$K$2),MONTH(설정_코스수당!$K$2)+1,0)),SUMIFS($K:$K,$B:$B,DATE(YEAR(설정_코스수당!$K$2),MONTH(설정_코스수당!$K$2),4),$O:$O,"방문완료")+SUMIFS($L:$L,$B:$B,DATE(YEAR(설정_코스수당!$K$2),MONTH(설정_코스수당!$K$2),4),$O:$O,"방문완료"),"")</f>
        <v>0</v>
      </c>
      <c r="W327" s="104" t="s">
        <v>18</v>
      </c>
      <c r="X327" s="105">
        <f>IF(4&lt;=DAY(DATE(YEAR(설정_코스수당!$K$2),MONTH(설정_코스수당!$K$2)+1,0)),COUNTIFS($B:$B,DATE(YEAR(설정_코스수당!$K$2),MONTH(설정_코스수당!$K$2),4),$E:$E,"E",$O:$O,"방문완료"),"")</f>
        <v>0</v>
      </c>
    </row>
    <row r="328" spans="1:27" ht="19.5" hidden="1" customHeight="1" outlineLevel="1">
      <c r="A328" s="29">
        <v>6</v>
      </c>
      <c r="B328" s="30">
        <f>IF(4&lt;=DAY(DATE(YEAR(설정_코스수당!$K$2),MONTH(설정_코스수당!$K$2)+1,0)),DATE(YEAR(설정_코스수당!$K$2),MONTH(설정_코스수당!$K$2),4),"")</f>
        <v>46177</v>
      </c>
      <c r="C328" s="31"/>
      <c r="D328" s="29"/>
      <c r="E328" s="29"/>
      <c r="F328" s="32"/>
      <c r="G328" s="29"/>
      <c r="H328" s="29"/>
      <c r="I328" s="29"/>
      <c r="J328" s="33">
        <f>IF($O328="방문완료",MAX(0,IFERROR(VLOOKUP($E328,설정_코스수당!$A$6:$H$10,4,FALSE),0)-IF(OR($P328="",$P328="없음"),0,100000)),0)</f>
        <v>0</v>
      </c>
      <c r="K328" s="33">
        <f t="array" ref="K328">IF($O328="방문완료",IFERROR(INDEX(설정_코스수당!$B$15:$F$64,MATCH($G328,설정_코스수당!$A$15:$A$64,0),MATCH($E328&amp;"수당",설정_코스수당!$B$14:$F$14,0)),0),0)</f>
        <v>0</v>
      </c>
      <c r="L328" s="33">
        <f t="array" ref="L328">IF($O328="방문완료",IF($H328="",0,IFERROR(INDEX(설정_코스수당!$B$15:$F$64,MATCH($H328,설정_코스수당!$A$15:$A$64,0),MATCH($E328&amp;"수당",설정_코스수당!$B$14:$F$14,0)),0)),0)</f>
        <v>0</v>
      </c>
      <c r="M328" s="33">
        <f>IF($O328="방문완료",IFERROR(VLOOKUP($E328,설정_코스수당!$A$6:$H$10,6,FALSE),0),0)</f>
        <v>0</v>
      </c>
      <c r="N328" s="34">
        <f t="shared" si="9"/>
        <v>0</v>
      </c>
      <c r="O328" s="29"/>
      <c r="P328" s="29"/>
      <c r="Q328" s="29"/>
      <c r="R328" s="32"/>
      <c r="S328" s="29"/>
      <c r="U328" s="104" t="s">
        <v>53</v>
      </c>
      <c r="V328" s="106">
        <f>IF(4&lt;=DAY(DATE(YEAR(설정_코스수당!$K$2),MONTH(설정_코스수당!$K$2)+1,0)),SUMIFS($M:$M,$B:$B,DATE(YEAR(설정_코스수당!$K$2),MONTH(설정_코스수당!$K$2),4),$O:$O,"방문완료"),"")</f>
        <v>0</v>
      </c>
      <c r="W328" s="104" t="s">
        <v>71</v>
      </c>
      <c r="X328" s="107">
        <f>IF(4&lt;=DAY(DATE(YEAR(설정_코스수당!$K$2),MONTH(설정_코스수당!$K$2)+1,0)),COUNTIFS($B:$B,DATE(YEAR(설정_코스수당!$K$2),MONTH(설정_코스수당!$K$2),4),$O:$O,"방문완료",$P:$P,"&lt;&gt;",$P:$P,"&lt;&gt;없음"),"")</f>
        <v>0</v>
      </c>
    </row>
    <row r="329" spans="1:27" ht="19.5" hidden="1" customHeight="1" outlineLevel="1">
      <c r="A329" s="23">
        <v>7</v>
      </c>
      <c r="B329" s="24">
        <f>IF(4&lt;=DAY(DATE(YEAR(설정_코스수당!$K$2),MONTH(설정_코스수당!$K$2)+1,0)),DATE(YEAR(설정_코스수당!$K$2),MONTH(설정_코스수당!$K$2),4),"")</f>
        <v>46177</v>
      </c>
      <c r="C329" s="25"/>
      <c r="D329" s="23"/>
      <c r="E329" s="23"/>
      <c r="F329" s="26"/>
      <c r="G329" s="23"/>
      <c r="H329" s="23"/>
      <c r="I329" s="23"/>
      <c r="J329" s="27">
        <f>IF($O329="방문완료",MAX(0,IFERROR(VLOOKUP($E329,설정_코스수당!$A$6:$H$10,4,FALSE),0)-IF(OR($P329="",$P329="없음"),0,100000)),0)</f>
        <v>0</v>
      </c>
      <c r="K329" s="27">
        <f t="array" ref="K329">IF($O329="방문완료",IFERROR(INDEX(설정_코스수당!$B$15:$F$64,MATCH($G329,설정_코스수당!$A$15:$A$64,0),MATCH($E329&amp;"수당",설정_코스수당!$B$14:$F$14,0)),0),0)</f>
        <v>0</v>
      </c>
      <c r="L329" s="27">
        <f t="array" ref="L329">IF($O329="방문완료",IF($H329="",0,IFERROR(INDEX(설정_코스수당!$B$15:$F$64,MATCH($H329,설정_코스수당!$A$15:$A$64,0),MATCH($E329&amp;"수당",설정_코스수당!$B$14:$F$14,0)),0)),0)</f>
        <v>0</v>
      </c>
      <c r="M329" s="27">
        <f>IF($O329="방문완료",IFERROR(VLOOKUP($E329,설정_코스수당!$A$6:$H$10,6,FALSE),0),0)</f>
        <v>0</v>
      </c>
      <c r="N329" s="28">
        <f t="shared" si="9"/>
        <v>0</v>
      </c>
      <c r="O329" s="23"/>
      <c r="P329" s="23"/>
      <c r="Q329" s="23"/>
      <c r="R329" s="26"/>
      <c r="S329" s="23"/>
      <c r="U329" s="104" t="s">
        <v>72</v>
      </c>
      <c r="V329" s="108">
        <f>IF(4&lt;=DAY(DATE(YEAR(설정_코스수당!$K$2),MONTH(설정_코스수당!$K$2)+1,0)),COUNTIFS($B:$B,DATE(YEAR(설정_코스수당!$K$2),MONTH(설정_코스수당!$K$2),4),$O:$O,"방문완료",$P:$P,"&lt;&gt;",$P:$P,"&lt;&gt;없음")*100000,"")</f>
        <v>0</v>
      </c>
      <c r="W329" s="104" t="s">
        <v>73</v>
      </c>
      <c r="X329" s="105">
        <f>IF(4&lt;=DAY(DATE(YEAR(설정_코스수당!$K$2),MONTH(설정_코스수당!$K$2)+1,0)),COUNTIFS($B:$B,DATE(YEAR(설정_코스수당!$K$2),MONTH(설정_코스수당!$K$2),4),$G:$G,"&lt;&gt;",$O:$O,"방문완료")+COUNTIFS($B:$B,DATE(YEAR(설정_코스수당!$K$2),MONTH(설정_코스수당!$K$2),4),$H:$H,"&lt;&gt;",$O:$O,"방문완료"),"")</f>
        <v>0</v>
      </c>
    </row>
    <row r="330" spans="1:27" ht="19.5" hidden="1" customHeight="1" outlineLevel="1">
      <c r="A330" s="29">
        <v>8</v>
      </c>
      <c r="B330" s="30">
        <f>IF(4&lt;=DAY(DATE(YEAR(설정_코스수당!$K$2),MONTH(설정_코스수당!$K$2)+1,0)),DATE(YEAR(설정_코스수당!$K$2),MONTH(설정_코스수당!$K$2),4),"")</f>
        <v>46177</v>
      </c>
      <c r="C330" s="31"/>
      <c r="D330" s="29"/>
      <c r="E330" s="29"/>
      <c r="F330" s="32"/>
      <c r="G330" s="29"/>
      <c r="H330" s="29"/>
      <c r="I330" s="29"/>
      <c r="J330" s="33">
        <f>IF($O330="방문완료",MAX(0,IFERROR(VLOOKUP($E330,설정_코스수당!$A$6:$H$10,4,FALSE),0)-IF(OR($P330="",$P330="없음"),0,100000)),0)</f>
        <v>0</v>
      </c>
      <c r="K330" s="33">
        <f t="array" ref="K330">IF($O330="방문완료",IFERROR(INDEX(설정_코스수당!$B$15:$F$64,MATCH($G330,설정_코스수당!$A$15:$A$64,0),MATCH($E330&amp;"수당",설정_코스수당!$B$14:$F$14,0)),0),0)</f>
        <v>0</v>
      </c>
      <c r="L330" s="33">
        <f t="array" ref="L330">IF($O330="방문완료",IF($H330="",0,IFERROR(INDEX(설정_코스수당!$B$15:$F$64,MATCH($H330,설정_코스수당!$A$15:$A$64,0),MATCH($E330&amp;"수당",설정_코스수당!$B$14:$F$14,0)),0)),0)</f>
        <v>0</v>
      </c>
      <c r="M330" s="33">
        <f>IF($O330="방문완료",IFERROR(VLOOKUP($E330,설정_코스수당!$A$6:$H$10,6,FALSE),0),0)</f>
        <v>0</v>
      </c>
      <c r="N330" s="34">
        <f t="shared" si="9"/>
        <v>0</v>
      </c>
      <c r="O330" s="29"/>
      <c r="P330" s="29"/>
      <c r="Q330" s="29"/>
      <c r="R330" s="32"/>
      <c r="S330" s="29"/>
      <c r="U330" s="104" t="s">
        <v>74</v>
      </c>
      <c r="V330" s="108">
        <f>IF(4&lt;=DAY(DATE(YEAR(설정_코스수당!$K$2),MONTH(설정_코스수당!$K$2)+1,0)),SUM($U$334:$U$341),"")</f>
        <v>0</v>
      </c>
      <c r="W330" s="122" t="str">
        <f>IF(4&lt;=DAY(DATE(YEAR(설정_코스수당!$K$2),MONTH(설정_코스수당!$K$2)+1,0)),"계 : "&amp;TEXT(V326-V330,"#,##0")&amp;" 동","")</f>
        <v>계 : 0 동</v>
      </c>
      <c r="X330" s="122"/>
    </row>
    <row r="331" spans="1:27" ht="19.5" hidden="1" customHeight="1" outlineLevel="1">
      <c r="A331" s="23">
        <v>9</v>
      </c>
      <c r="B331" s="24">
        <f>IF(4&lt;=DAY(DATE(YEAR(설정_코스수당!$K$2),MONTH(설정_코스수당!$K$2)+1,0)),DATE(YEAR(설정_코스수당!$K$2),MONTH(설정_코스수당!$K$2),4),"")</f>
        <v>46177</v>
      </c>
      <c r="C331" s="25"/>
      <c r="D331" s="23"/>
      <c r="E331" s="23"/>
      <c r="F331" s="26"/>
      <c r="G331" s="23"/>
      <c r="H331" s="23"/>
      <c r="I331" s="23"/>
      <c r="J331" s="27">
        <f>IF($O331="방문완료",MAX(0,IFERROR(VLOOKUP($E331,설정_코스수당!$A$6:$H$10,4,FALSE),0)-IF(OR($P331="",$P331="없음"),0,100000)),0)</f>
        <v>0</v>
      </c>
      <c r="K331" s="27">
        <f t="array" ref="K331">IF($O331="방문완료",IFERROR(INDEX(설정_코스수당!$B$15:$F$64,MATCH($G331,설정_코스수당!$A$15:$A$64,0),MATCH($E331&amp;"수당",설정_코스수당!$B$14:$F$14,0)),0),0)</f>
        <v>0</v>
      </c>
      <c r="L331" s="27">
        <f t="array" ref="L331">IF($O331="방문완료",IF($H331="",0,IFERROR(INDEX(설정_코스수당!$B$15:$F$64,MATCH($H331,설정_코스수당!$A$15:$A$64,0),MATCH($E331&amp;"수당",설정_코스수당!$B$14:$F$14,0)),0)),0)</f>
        <v>0</v>
      </c>
      <c r="M331" s="27">
        <f>IF($O331="방문완료",IFERROR(VLOOKUP($E331,설정_코스수당!$A$6:$H$10,6,FALSE),0),0)</f>
        <v>0</v>
      </c>
      <c r="N331" s="28">
        <f t="shared" si="9"/>
        <v>0</v>
      </c>
      <c r="O331" s="23"/>
      <c r="P331" s="23"/>
      <c r="Q331" s="23"/>
      <c r="R331" s="26"/>
      <c r="S331" s="23"/>
    </row>
    <row r="332" spans="1:27" ht="19.5" hidden="1" customHeight="1" outlineLevel="1">
      <c r="A332" s="29">
        <v>10</v>
      </c>
      <c r="B332" s="30">
        <f>IF(4&lt;=DAY(DATE(YEAR(설정_코스수당!$K$2),MONTH(설정_코스수당!$K$2)+1,0)),DATE(YEAR(설정_코스수당!$K$2),MONTH(설정_코스수당!$K$2),4),"")</f>
        <v>46177</v>
      </c>
      <c r="C332" s="31"/>
      <c r="D332" s="29"/>
      <c r="E332" s="29"/>
      <c r="F332" s="32"/>
      <c r="G332" s="29"/>
      <c r="H332" s="29"/>
      <c r="I332" s="29"/>
      <c r="J332" s="33">
        <f>IF($O332="방문완료",MAX(0,IFERROR(VLOOKUP($E332,설정_코스수당!$A$6:$H$10,4,FALSE),0)-IF(OR($P332="",$P332="없음"),0,100000)),0)</f>
        <v>0</v>
      </c>
      <c r="K332" s="33">
        <f t="array" ref="K332">IF($O332="방문완료",IFERROR(INDEX(설정_코스수당!$B$15:$F$64,MATCH($G332,설정_코스수당!$A$15:$A$64,0),MATCH($E332&amp;"수당",설정_코스수당!$B$14:$F$14,0)),0),0)</f>
        <v>0</v>
      </c>
      <c r="L332" s="33">
        <f t="array" ref="L332">IF($O332="방문완료",IF($H332="",0,IFERROR(INDEX(설정_코스수당!$B$15:$F$64,MATCH($H332,설정_코스수당!$A$15:$A$64,0),MATCH($E332&amp;"수당",설정_코스수당!$B$14:$F$14,0)),0)),0)</f>
        <v>0</v>
      </c>
      <c r="M332" s="33">
        <f>IF($O332="방문완료",IFERROR(VLOOKUP($E332,설정_코스수당!$A$6:$H$10,6,FALSE),0),0)</f>
        <v>0</v>
      </c>
      <c r="N332" s="34">
        <f t="shared" si="9"/>
        <v>0</v>
      </c>
      <c r="O332" s="29"/>
      <c r="P332" s="29"/>
      <c r="Q332" s="29"/>
      <c r="R332" s="32"/>
      <c r="S332" s="29"/>
      <c r="U332" s="120" t="s">
        <v>75</v>
      </c>
      <c r="V332" s="121"/>
      <c r="W332" s="121"/>
      <c r="X332" s="121"/>
    </row>
    <row r="333" spans="1:27" ht="19.5" hidden="1" customHeight="1" outlineLevel="1">
      <c r="A333" s="23">
        <v>11</v>
      </c>
      <c r="B333" s="24">
        <f>IF(4&lt;=DAY(DATE(YEAR(설정_코스수당!$K$2),MONTH(설정_코스수당!$K$2)+1,0)),DATE(YEAR(설정_코스수당!$K$2),MONTH(설정_코스수당!$K$2),4),"")</f>
        <v>46177</v>
      </c>
      <c r="C333" s="25"/>
      <c r="D333" s="23"/>
      <c r="E333" s="23"/>
      <c r="F333" s="26"/>
      <c r="G333" s="23"/>
      <c r="H333" s="23"/>
      <c r="I333" s="23"/>
      <c r="J333" s="27">
        <f>IF($O333="방문완료",MAX(0,IFERROR(VLOOKUP($E333,설정_코스수당!$A$6:$H$10,4,FALSE),0)-IF(OR($P333="",$P333="없음"),0,100000)),0)</f>
        <v>0</v>
      </c>
      <c r="K333" s="27">
        <f t="array" ref="K333">IF($O333="방문완료",IFERROR(INDEX(설정_코스수당!$B$15:$F$64,MATCH($G333,설정_코스수당!$A$15:$A$64,0),MATCH($E333&amp;"수당",설정_코스수당!$B$14:$F$14,0)),0),0)</f>
        <v>0</v>
      </c>
      <c r="L333" s="27">
        <f t="array" ref="L333">IF($O333="방문완료",IF($H333="",0,IFERROR(INDEX(설정_코스수당!$B$15:$F$64,MATCH($H333,설정_코스수당!$A$15:$A$64,0),MATCH($E333&amp;"수당",설정_코스수당!$B$14:$F$14,0)),0)),0)</f>
        <v>0</v>
      </c>
      <c r="M333" s="27">
        <f>IF($O333="방문완료",IFERROR(VLOOKUP($E333,설정_코스수당!$A$6:$H$10,6,FALSE),0),0)</f>
        <v>0</v>
      </c>
      <c r="N333" s="28">
        <f t="shared" si="9"/>
        <v>0</v>
      </c>
      <c r="O333" s="23"/>
      <c r="P333" s="23"/>
      <c r="Q333" s="23"/>
      <c r="R333" s="26"/>
      <c r="S333" s="23"/>
      <c r="U333" s="109" t="s">
        <v>76</v>
      </c>
      <c r="V333" s="109" t="s">
        <v>77</v>
      </c>
      <c r="W333" s="109" t="s">
        <v>78</v>
      </c>
      <c r="X333" s="109" t="s">
        <v>58</v>
      </c>
    </row>
    <row r="334" spans="1:27" ht="19.5" hidden="1" customHeight="1" outlineLevel="1">
      <c r="A334" s="29">
        <v>12</v>
      </c>
      <c r="B334" s="30">
        <f>IF(4&lt;=DAY(DATE(YEAR(설정_코스수당!$K$2),MONTH(설정_코스수당!$K$2)+1,0)),DATE(YEAR(설정_코스수당!$K$2),MONTH(설정_코스수당!$K$2),4),"")</f>
        <v>46177</v>
      </c>
      <c r="C334" s="31"/>
      <c r="D334" s="29"/>
      <c r="E334" s="29"/>
      <c r="F334" s="32"/>
      <c r="G334" s="29"/>
      <c r="H334" s="29"/>
      <c r="I334" s="29"/>
      <c r="J334" s="33">
        <f>IF($O334="방문완료",MAX(0,IFERROR(VLOOKUP($E334,설정_코스수당!$A$6:$H$10,4,FALSE),0)-IF(OR($P334="",$P334="없음"),0,100000)),0)</f>
        <v>0</v>
      </c>
      <c r="K334" s="33">
        <f t="array" ref="K334">IF($O334="방문완료",IFERROR(INDEX(설정_코스수당!$B$15:$F$64,MATCH($G334,설정_코스수당!$A$15:$A$64,0),MATCH($E334&amp;"수당",설정_코스수당!$B$14:$F$14,0)),0),0)</f>
        <v>0</v>
      </c>
      <c r="L334" s="33">
        <f t="array" ref="L334">IF($O334="방문완료",IF($H334="",0,IFERROR(INDEX(설정_코스수당!$B$15:$F$64,MATCH($H334,설정_코스수당!$A$15:$A$64,0),MATCH($E334&amp;"수당",설정_코스수당!$B$14:$F$14,0)),0)),0)</f>
        <v>0</v>
      </c>
      <c r="M334" s="33">
        <f>IF($O334="방문완료",IFERROR(VLOOKUP($E334,설정_코스수당!$A$6:$H$10,6,FALSE),0),0)</f>
        <v>0</v>
      </c>
      <c r="N334" s="34">
        <f t="shared" si="9"/>
        <v>0</v>
      </c>
      <c r="O334" s="29"/>
      <c r="P334" s="29"/>
      <c r="Q334" s="29"/>
      <c r="R334" s="32"/>
      <c r="S334" s="29"/>
      <c r="U334" s="113"/>
      <c r="V334" s="111"/>
      <c r="W334" s="112"/>
      <c r="X334" s="111"/>
    </row>
    <row r="335" spans="1:27" ht="19.5" hidden="1" customHeight="1" outlineLevel="1">
      <c r="A335" s="23">
        <v>13</v>
      </c>
      <c r="B335" s="24">
        <f>IF(4&lt;=DAY(DATE(YEAR(설정_코스수당!$K$2),MONTH(설정_코스수당!$K$2)+1,0)),DATE(YEAR(설정_코스수당!$K$2),MONTH(설정_코스수당!$K$2),4),"")</f>
        <v>46177</v>
      </c>
      <c r="C335" s="25"/>
      <c r="D335" s="23"/>
      <c r="E335" s="23"/>
      <c r="F335" s="26"/>
      <c r="G335" s="23"/>
      <c r="H335" s="23"/>
      <c r="I335" s="23"/>
      <c r="J335" s="27">
        <f>IF($O335="방문완료",MAX(0,IFERROR(VLOOKUP($E335,설정_코스수당!$A$6:$H$10,4,FALSE),0)-IF(OR($P335="",$P335="없음"),0,100000)),0)</f>
        <v>0</v>
      </c>
      <c r="K335" s="27">
        <f t="array" ref="K335">IF($O335="방문완료",IFERROR(INDEX(설정_코스수당!$B$15:$F$64,MATCH($G335,설정_코스수당!$A$15:$A$64,0),MATCH($E335&amp;"수당",설정_코스수당!$B$14:$F$14,0)),0),0)</f>
        <v>0</v>
      </c>
      <c r="L335" s="27">
        <f t="array" ref="L335">IF($O335="방문완료",IF($H335="",0,IFERROR(INDEX(설정_코스수당!$B$15:$F$64,MATCH($H335,설정_코스수당!$A$15:$A$64,0),MATCH($E335&amp;"수당",설정_코스수당!$B$14:$F$14,0)),0)),0)</f>
        <v>0</v>
      </c>
      <c r="M335" s="27">
        <f>IF($O335="방문완료",IFERROR(VLOOKUP($E335,설정_코스수당!$A$6:$H$10,6,FALSE),0),0)</f>
        <v>0</v>
      </c>
      <c r="N335" s="28">
        <f t="shared" si="9"/>
        <v>0</v>
      </c>
      <c r="O335" s="23"/>
      <c r="P335" s="23"/>
      <c r="Q335" s="23"/>
      <c r="R335" s="26"/>
      <c r="S335" s="23"/>
      <c r="U335" s="113"/>
      <c r="V335" s="111"/>
      <c r="W335" s="112"/>
      <c r="X335" s="111"/>
    </row>
    <row r="336" spans="1:27" ht="19.5" hidden="1" customHeight="1" outlineLevel="1">
      <c r="A336" s="29">
        <v>14</v>
      </c>
      <c r="B336" s="30">
        <f>IF(4&lt;=DAY(DATE(YEAR(설정_코스수당!$K$2),MONTH(설정_코스수당!$K$2)+1,0)),DATE(YEAR(설정_코스수당!$K$2),MONTH(설정_코스수당!$K$2),4),"")</f>
        <v>46177</v>
      </c>
      <c r="C336" s="31"/>
      <c r="D336" s="29"/>
      <c r="E336" s="29"/>
      <c r="F336" s="32"/>
      <c r="G336" s="29"/>
      <c r="H336" s="29"/>
      <c r="I336" s="29"/>
      <c r="J336" s="33">
        <f>IF($O336="방문완료",MAX(0,IFERROR(VLOOKUP($E336,설정_코스수당!$A$6:$H$10,4,FALSE),0)-IF(OR($P336="",$P336="없음"),0,100000)),0)</f>
        <v>0</v>
      </c>
      <c r="K336" s="33">
        <f t="array" ref="K336">IF($O336="방문완료",IFERROR(INDEX(설정_코스수당!$B$15:$F$64,MATCH($G336,설정_코스수당!$A$15:$A$64,0),MATCH($E336&amp;"수당",설정_코스수당!$B$14:$F$14,0)),0),0)</f>
        <v>0</v>
      </c>
      <c r="L336" s="33">
        <f t="array" ref="L336">IF($O336="방문완료",IF($H336="",0,IFERROR(INDEX(설정_코스수당!$B$15:$F$64,MATCH($H336,설정_코스수당!$A$15:$A$64,0),MATCH($E336&amp;"수당",설정_코스수당!$B$14:$F$14,0)),0)),0)</f>
        <v>0</v>
      </c>
      <c r="M336" s="33">
        <f>IF($O336="방문완료",IFERROR(VLOOKUP($E336,설정_코스수당!$A$6:$H$10,6,FALSE),0),0)</f>
        <v>0</v>
      </c>
      <c r="N336" s="34">
        <f t="shared" si="9"/>
        <v>0</v>
      </c>
      <c r="O336" s="29"/>
      <c r="P336" s="29"/>
      <c r="Q336" s="29"/>
      <c r="R336" s="32"/>
      <c r="S336" s="29"/>
      <c r="U336" s="113"/>
      <c r="V336" s="111"/>
      <c r="W336" s="112"/>
      <c r="X336" s="111"/>
    </row>
    <row r="337" spans="1:24" ht="19.5" hidden="1" customHeight="1" outlineLevel="1">
      <c r="A337" s="23">
        <v>15</v>
      </c>
      <c r="B337" s="24">
        <f>IF(4&lt;=DAY(DATE(YEAR(설정_코스수당!$K$2),MONTH(설정_코스수당!$K$2)+1,0)),DATE(YEAR(설정_코스수당!$K$2),MONTH(설정_코스수당!$K$2),4),"")</f>
        <v>46177</v>
      </c>
      <c r="C337" s="25"/>
      <c r="D337" s="23"/>
      <c r="E337" s="23"/>
      <c r="F337" s="26"/>
      <c r="G337" s="23"/>
      <c r="H337" s="23"/>
      <c r="I337" s="23"/>
      <c r="J337" s="27">
        <f>IF($O337="방문완료",MAX(0,IFERROR(VLOOKUP($E337,설정_코스수당!$A$6:$H$10,4,FALSE),0)-IF(OR($P337="",$P337="없음"),0,100000)),0)</f>
        <v>0</v>
      </c>
      <c r="K337" s="27">
        <f t="array" ref="K337">IF($O337="방문완료",IFERROR(INDEX(설정_코스수당!$B$15:$F$64,MATCH($G337,설정_코스수당!$A$15:$A$64,0),MATCH($E337&amp;"수당",설정_코스수당!$B$14:$F$14,0)),0),0)</f>
        <v>0</v>
      </c>
      <c r="L337" s="27">
        <f t="array" ref="L337">IF($O337="방문완료",IF($H337="",0,IFERROR(INDEX(설정_코스수당!$B$15:$F$64,MATCH($H337,설정_코스수당!$A$15:$A$64,0),MATCH($E337&amp;"수당",설정_코스수당!$B$14:$F$14,0)),0)),0)</f>
        <v>0</v>
      </c>
      <c r="M337" s="27">
        <f>IF($O337="방문완료",IFERROR(VLOOKUP($E337,설정_코스수당!$A$6:$H$10,6,FALSE),0),0)</f>
        <v>0</v>
      </c>
      <c r="N337" s="28">
        <f t="shared" si="9"/>
        <v>0</v>
      </c>
      <c r="O337" s="23"/>
      <c r="P337" s="23"/>
      <c r="Q337" s="23"/>
      <c r="R337" s="26"/>
      <c r="S337" s="23"/>
      <c r="U337" s="113"/>
      <c r="V337" s="111"/>
      <c r="W337" s="112"/>
      <c r="X337" s="111"/>
    </row>
    <row r="338" spans="1:24" ht="19.5" hidden="1" customHeight="1" outlineLevel="1">
      <c r="A338" s="29">
        <v>16</v>
      </c>
      <c r="B338" s="30">
        <f>IF(4&lt;=DAY(DATE(YEAR(설정_코스수당!$K$2),MONTH(설정_코스수당!$K$2)+1,0)),DATE(YEAR(설정_코스수당!$K$2),MONTH(설정_코스수당!$K$2),4),"")</f>
        <v>46177</v>
      </c>
      <c r="C338" s="31"/>
      <c r="D338" s="29"/>
      <c r="E338" s="29"/>
      <c r="F338" s="32"/>
      <c r="G338" s="29"/>
      <c r="H338" s="29"/>
      <c r="I338" s="29"/>
      <c r="J338" s="33">
        <f>IF($O338="방문완료",MAX(0,IFERROR(VLOOKUP($E338,설정_코스수당!$A$6:$H$10,4,FALSE),0)-IF(OR($P338="",$P338="없음"),0,100000)),0)</f>
        <v>0</v>
      </c>
      <c r="K338" s="33">
        <f t="array" ref="K338">IF($O338="방문완료",IFERROR(INDEX(설정_코스수당!$B$15:$F$64,MATCH($G338,설정_코스수당!$A$15:$A$64,0),MATCH($E338&amp;"수당",설정_코스수당!$B$14:$F$14,0)),0),0)</f>
        <v>0</v>
      </c>
      <c r="L338" s="33">
        <f t="array" ref="L338">IF($O338="방문완료",IF($H338="",0,IFERROR(INDEX(설정_코스수당!$B$15:$F$64,MATCH($H338,설정_코스수당!$A$15:$A$64,0),MATCH($E338&amp;"수당",설정_코스수당!$B$14:$F$14,0)),0)),0)</f>
        <v>0</v>
      </c>
      <c r="M338" s="33">
        <f>IF($O338="방문완료",IFERROR(VLOOKUP($E338,설정_코스수당!$A$6:$H$10,6,FALSE),0),0)</f>
        <v>0</v>
      </c>
      <c r="N338" s="34">
        <f t="shared" si="9"/>
        <v>0</v>
      </c>
      <c r="O338" s="29"/>
      <c r="P338" s="29"/>
      <c r="Q338" s="29"/>
      <c r="R338" s="32"/>
      <c r="S338" s="29"/>
      <c r="U338" s="113"/>
      <c r="V338" s="111"/>
      <c r="W338" s="112"/>
      <c r="X338" s="111"/>
    </row>
    <row r="339" spans="1:24" ht="19.5" hidden="1" customHeight="1" outlineLevel="1">
      <c r="A339" s="23">
        <v>17</v>
      </c>
      <c r="B339" s="24">
        <f>IF(4&lt;=DAY(DATE(YEAR(설정_코스수당!$K$2),MONTH(설정_코스수당!$K$2)+1,0)),DATE(YEAR(설정_코스수당!$K$2),MONTH(설정_코스수당!$K$2),4),"")</f>
        <v>46177</v>
      </c>
      <c r="C339" s="25"/>
      <c r="D339" s="23"/>
      <c r="E339" s="23"/>
      <c r="F339" s="26"/>
      <c r="G339" s="23"/>
      <c r="H339" s="23"/>
      <c r="I339" s="23"/>
      <c r="J339" s="27">
        <f>IF($O339="방문완료",MAX(0,IFERROR(VLOOKUP($E339,설정_코스수당!$A$6:$H$10,4,FALSE),0)-IF(OR($P339="",$P339="없음"),0,100000)),0)</f>
        <v>0</v>
      </c>
      <c r="K339" s="27">
        <f t="array" ref="K339">IF($O339="방문완료",IFERROR(INDEX(설정_코스수당!$B$15:$F$64,MATCH($G339,설정_코스수당!$A$15:$A$64,0),MATCH($E339&amp;"수당",설정_코스수당!$B$14:$F$14,0)),0),0)</f>
        <v>0</v>
      </c>
      <c r="L339" s="27">
        <f t="array" ref="L339">IF($O339="방문완료",IF($H339="",0,IFERROR(INDEX(설정_코스수당!$B$15:$F$64,MATCH($H339,설정_코스수당!$A$15:$A$64,0),MATCH($E339&amp;"수당",설정_코스수당!$B$14:$F$14,0)),0)),0)</f>
        <v>0</v>
      </c>
      <c r="M339" s="27">
        <f>IF($O339="방문완료",IFERROR(VLOOKUP($E339,설정_코스수당!$A$6:$H$10,6,FALSE),0),0)</f>
        <v>0</v>
      </c>
      <c r="N339" s="28">
        <f t="shared" si="9"/>
        <v>0</v>
      </c>
      <c r="O339" s="23"/>
      <c r="P339" s="23"/>
      <c r="Q339" s="23"/>
      <c r="R339" s="26"/>
      <c r="S339" s="23"/>
      <c r="U339" s="113"/>
      <c r="V339" s="111"/>
      <c r="W339" s="112"/>
      <c r="X339" s="111"/>
    </row>
    <row r="340" spans="1:24" ht="19.5" hidden="1" customHeight="1" outlineLevel="1">
      <c r="A340" s="29">
        <v>18</v>
      </c>
      <c r="B340" s="30">
        <f>IF(4&lt;=DAY(DATE(YEAR(설정_코스수당!$K$2),MONTH(설정_코스수당!$K$2)+1,0)),DATE(YEAR(설정_코스수당!$K$2),MONTH(설정_코스수당!$K$2),4),"")</f>
        <v>46177</v>
      </c>
      <c r="C340" s="31"/>
      <c r="D340" s="29"/>
      <c r="E340" s="29"/>
      <c r="F340" s="32"/>
      <c r="G340" s="29"/>
      <c r="H340" s="29"/>
      <c r="I340" s="29"/>
      <c r="J340" s="33">
        <f>IF($O340="방문완료",MAX(0,IFERROR(VLOOKUP($E340,설정_코스수당!$A$6:$H$10,4,FALSE),0)-IF(OR($P340="",$P340="없음"),0,100000)),0)</f>
        <v>0</v>
      </c>
      <c r="K340" s="33">
        <f t="array" ref="K340">IF($O340="방문완료",IFERROR(INDEX(설정_코스수당!$B$15:$F$64,MATCH($G340,설정_코스수당!$A$15:$A$64,0),MATCH($E340&amp;"수당",설정_코스수당!$B$14:$F$14,0)),0),0)</f>
        <v>0</v>
      </c>
      <c r="L340" s="33">
        <f t="array" ref="L340">IF($O340="방문완료",IF($H340="",0,IFERROR(INDEX(설정_코스수당!$B$15:$F$64,MATCH($H340,설정_코스수당!$A$15:$A$64,0),MATCH($E340&amp;"수당",설정_코스수당!$B$14:$F$14,0)),0)),0)</f>
        <v>0</v>
      </c>
      <c r="M340" s="33">
        <f>IF($O340="방문완료",IFERROR(VLOOKUP($E340,설정_코스수당!$A$6:$H$10,6,FALSE),0),0)</f>
        <v>0</v>
      </c>
      <c r="N340" s="34">
        <f t="shared" si="9"/>
        <v>0</v>
      </c>
      <c r="O340" s="29"/>
      <c r="P340" s="29"/>
      <c r="Q340" s="29"/>
      <c r="R340" s="32"/>
      <c r="S340" s="29"/>
      <c r="U340" s="113"/>
      <c r="V340" s="111"/>
      <c r="W340" s="112"/>
      <c r="X340" s="111"/>
    </row>
    <row r="341" spans="1:24" ht="19.5" hidden="1" customHeight="1" outlineLevel="1">
      <c r="A341" s="23">
        <v>19</v>
      </c>
      <c r="B341" s="24">
        <f>IF(4&lt;=DAY(DATE(YEAR(설정_코스수당!$K$2),MONTH(설정_코스수당!$K$2)+1,0)),DATE(YEAR(설정_코스수당!$K$2),MONTH(설정_코스수당!$K$2),4),"")</f>
        <v>46177</v>
      </c>
      <c r="C341" s="25"/>
      <c r="D341" s="23"/>
      <c r="E341" s="23"/>
      <c r="F341" s="26"/>
      <c r="G341" s="23"/>
      <c r="H341" s="23"/>
      <c r="I341" s="23"/>
      <c r="J341" s="27">
        <f>IF($O341="방문완료",MAX(0,IFERROR(VLOOKUP($E341,설정_코스수당!$A$6:$H$10,4,FALSE),0)-IF(OR($P341="",$P341="없음"),0,100000)),0)</f>
        <v>0</v>
      </c>
      <c r="K341" s="27">
        <f t="array" ref="K341">IF($O341="방문완료",IFERROR(INDEX(설정_코스수당!$B$15:$F$64,MATCH($G341,설정_코스수당!$A$15:$A$64,0),MATCH($E341&amp;"수당",설정_코스수당!$B$14:$F$14,0)),0),0)</f>
        <v>0</v>
      </c>
      <c r="L341" s="27">
        <f t="array" ref="L341">IF($O341="방문완료",IF($H341="",0,IFERROR(INDEX(설정_코스수당!$B$15:$F$64,MATCH($H341,설정_코스수당!$A$15:$A$64,0),MATCH($E341&amp;"수당",설정_코스수당!$B$14:$F$14,0)),0)),0)</f>
        <v>0</v>
      </c>
      <c r="M341" s="27">
        <f>IF($O341="방문완료",IFERROR(VLOOKUP($E341,설정_코스수당!$A$6:$H$10,6,FALSE),0),0)</f>
        <v>0</v>
      </c>
      <c r="N341" s="28">
        <f t="shared" si="9"/>
        <v>0</v>
      </c>
      <c r="O341" s="23"/>
      <c r="P341" s="23"/>
      <c r="Q341" s="23"/>
      <c r="R341" s="26"/>
      <c r="S341" s="23"/>
      <c r="U341" s="113"/>
      <c r="V341" s="111"/>
      <c r="W341" s="112"/>
      <c r="X341" s="111"/>
    </row>
    <row r="342" spans="1:24" ht="19.5" hidden="1" customHeight="1" outlineLevel="1">
      <c r="A342" s="29">
        <v>20</v>
      </c>
      <c r="B342" s="30">
        <f>IF(4&lt;=DAY(DATE(YEAR(설정_코스수당!$K$2),MONTH(설정_코스수당!$K$2)+1,0)),DATE(YEAR(설정_코스수당!$K$2),MONTH(설정_코스수당!$K$2),4),"")</f>
        <v>46177</v>
      </c>
      <c r="C342" s="31"/>
      <c r="D342" s="29"/>
      <c r="E342" s="29"/>
      <c r="F342" s="32"/>
      <c r="G342" s="29"/>
      <c r="H342" s="29"/>
      <c r="I342" s="29"/>
      <c r="J342" s="33">
        <f>IF($O342="방문완료",MAX(0,IFERROR(VLOOKUP($E342,설정_코스수당!$A$6:$H$10,4,FALSE),0)-IF(OR($P342="",$P342="없음"),0,100000)),0)</f>
        <v>0</v>
      </c>
      <c r="K342" s="33">
        <f t="array" ref="K342">IF($O342="방문완료",IFERROR(INDEX(설정_코스수당!$B$15:$F$64,MATCH($G342,설정_코스수당!$A$15:$A$64,0),MATCH($E342&amp;"수당",설정_코스수당!$B$14:$F$14,0)),0),0)</f>
        <v>0</v>
      </c>
      <c r="L342" s="33">
        <f t="array" ref="L342">IF($O342="방문완료",IF($H342="",0,IFERROR(INDEX(설정_코스수당!$B$15:$F$64,MATCH($H342,설정_코스수당!$A$15:$A$64,0),MATCH($E342&amp;"수당",설정_코스수당!$B$14:$F$14,0)),0)),0)</f>
        <v>0</v>
      </c>
      <c r="M342" s="33">
        <f>IF($O342="방문완료",IFERROR(VLOOKUP($E342,설정_코스수당!$A$6:$H$10,6,FALSE),0),0)</f>
        <v>0</v>
      </c>
      <c r="N342" s="34">
        <f t="shared" si="9"/>
        <v>0</v>
      </c>
      <c r="O342" s="29"/>
      <c r="P342" s="29"/>
      <c r="Q342" s="29"/>
      <c r="R342" s="32"/>
      <c r="S342" s="29"/>
    </row>
    <row r="343" spans="1:24" ht="19.5" hidden="1" customHeight="1" outlineLevel="1">
      <c r="A343" s="23">
        <v>21</v>
      </c>
      <c r="B343" s="24">
        <f>IF(4&lt;=DAY(DATE(YEAR(설정_코스수당!$K$2),MONTH(설정_코스수당!$K$2)+1,0)),DATE(YEAR(설정_코스수당!$K$2),MONTH(설정_코스수당!$K$2),4),"")</f>
        <v>46177</v>
      </c>
      <c r="C343" s="25"/>
      <c r="D343" s="23"/>
      <c r="E343" s="23"/>
      <c r="F343" s="26"/>
      <c r="G343" s="23"/>
      <c r="H343" s="23"/>
      <c r="I343" s="23"/>
      <c r="J343" s="27">
        <f>IF($O343="방문완료",MAX(0,IFERROR(VLOOKUP($E343,설정_코스수당!$A$6:$H$10,4,FALSE),0)-IF(OR($P343="",$P343="없음"),0,100000)),0)</f>
        <v>0</v>
      </c>
      <c r="K343" s="27">
        <f t="array" ref="K343">IF($O343="방문완료",IFERROR(INDEX(설정_코스수당!$B$15:$F$64,MATCH($G343,설정_코스수당!$A$15:$A$64,0),MATCH($E343&amp;"수당",설정_코스수당!$B$14:$F$14,0)),0),0)</f>
        <v>0</v>
      </c>
      <c r="L343" s="27">
        <f t="array" ref="L343">IF($O343="방문완료",IF($H343="",0,IFERROR(INDEX(설정_코스수당!$B$15:$F$64,MATCH($H343,설정_코스수당!$A$15:$A$64,0),MATCH($E343&amp;"수당",설정_코스수당!$B$14:$F$14,0)),0)),0)</f>
        <v>0</v>
      </c>
      <c r="M343" s="27">
        <f>IF($O343="방문완료",IFERROR(VLOOKUP($E343,설정_코스수당!$A$6:$H$10,6,FALSE),0),0)</f>
        <v>0</v>
      </c>
      <c r="N343" s="28">
        <f t="shared" si="9"/>
        <v>0</v>
      </c>
      <c r="O343" s="23"/>
      <c r="P343" s="23"/>
      <c r="Q343" s="23"/>
      <c r="R343" s="26"/>
      <c r="S343" s="23"/>
    </row>
    <row r="344" spans="1:24" ht="19.5" hidden="1" customHeight="1" outlineLevel="1">
      <c r="A344" s="29">
        <v>22</v>
      </c>
      <c r="B344" s="30">
        <f>IF(4&lt;=DAY(DATE(YEAR(설정_코스수당!$K$2),MONTH(설정_코스수당!$K$2)+1,0)),DATE(YEAR(설정_코스수당!$K$2),MONTH(설정_코스수당!$K$2),4),"")</f>
        <v>46177</v>
      </c>
      <c r="C344" s="31"/>
      <c r="D344" s="29"/>
      <c r="E344" s="29"/>
      <c r="F344" s="32"/>
      <c r="G344" s="29"/>
      <c r="H344" s="29"/>
      <c r="I344" s="29"/>
      <c r="J344" s="33">
        <f>IF($O344="방문완료",MAX(0,IFERROR(VLOOKUP($E344,설정_코스수당!$A$6:$H$10,4,FALSE),0)-IF(OR($P344="",$P344="없음"),0,100000)),0)</f>
        <v>0</v>
      </c>
      <c r="K344" s="33">
        <f t="array" ref="K344">IF($O344="방문완료",IFERROR(INDEX(설정_코스수당!$B$15:$F$64,MATCH($G344,설정_코스수당!$A$15:$A$64,0),MATCH($E344&amp;"수당",설정_코스수당!$B$14:$F$14,0)),0),0)</f>
        <v>0</v>
      </c>
      <c r="L344" s="33">
        <f t="array" ref="L344">IF($O344="방문완료",IF($H344="",0,IFERROR(INDEX(설정_코스수당!$B$15:$F$64,MATCH($H344,설정_코스수당!$A$15:$A$64,0),MATCH($E344&amp;"수당",설정_코스수당!$B$14:$F$14,0)),0)),0)</f>
        <v>0</v>
      </c>
      <c r="M344" s="33">
        <f>IF($O344="방문완료",IFERROR(VLOOKUP($E344,설정_코스수당!$A$6:$H$10,6,FALSE),0),0)</f>
        <v>0</v>
      </c>
      <c r="N344" s="34">
        <f t="shared" si="9"/>
        <v>0</v>
      </c>
      <c r="O344" s="29"/>
      <c r="P344" s="29"/>
      <c r="Q344" s="29"/>
      <c r="R344" s="32"/>
      <c r="S344" s="29"/>
    </row>
    <row r="345" spans="1:24" ht="19.5" hidden="1" customHeight="1" outlineLevel="1">
      <c r="A345" s="23">
        <v>23</v>
      </c>
      <c r="B345" s="24">
        <f>IF(4&lt;=DAY(DATE(YEAR(설정_코스수당!$K$2),MONTH(설정_코스수당!$K$2)+1,0)),DATE(YEAR(설정_코스수당!$K$2),MONTH(설정_코스수당!$K$2),4),"")</f>
        <v>46177</v>
      </c>
      <c r="C345" s="25"/>
      <c r="D345" s="23"/>
      <c r="E345" s="23"/>
      <c r="F345" s="26"/>
      <c r="G345" s="23"/>
      <c r="H345" s="23"/>
      <c r="I345" s="23"/>
      <c r="J345" s="27">
        <f>IF($O345="방문완료",MAX(0,IFERROR(VLOOKUP($E345,설정_코스수당!$A$6:$H$10,4,FALSE),0)-IF(OR($P345="",$P345="없음"),0,100000)),0)</f>
        <v>0</v>
      </c>
      <c r="K345" s="27">
        <f t="array" ref="K345">IF($O345="방문완료",IFERROR(INDEX(설정_코스수당!$B$15:$F$64,MATCH($G345,설정_코스수당!$A$15:$A$64,0),MATCH($E345&amp;"수당",설정_코스수당!$B$14:$F$14,0)),0),0)</f>
        <v>0</v>
      </c>
      <c r="L345" s="27">
        <f t="array" ref="L345">IF($O345="방문완료",IF($H345="",0,IFERROR(INDEX(설정_코스수당!$B$15:$F$64,MATCH($H345,설정_코스수당!$A$15:$A$64,0),MATCH($E345&amp;"수당",설정_코스수당!$B$14:$F$14,0)),0)),0)</f>
        <v>0</v>
      </c>
      <c r="M345" s="27">
        <f>IF($O345="방문완료",IFERROR(VLOOKUP($E345,설정_코스수당!$A$6:$H$10,6,FALSE),0),0)</f>
        <v>0</v>
      </c>
      <c r="N345" s="28">
        <f t="shared" si="9"/>
        <v>0</v>
      </c>
      <c r="O345" s="23"/>
      <c r="P345" s="23"/>
      <c r="Q345" s="23"/>
      <c r="R345" s="26"/>
      <c r="S345" s="23"/>
    </row>
    <row r="346" spans="1:24" ht="19.5" hidden="1" customHeight="1" outlineLevel="1">
      <c r="A346" s="29">
        <v>24</v>
      </c>
      <c r="B346" s="30">
        <f>IF(4&lt;=DAY(DATE(YEAR(설정_코스수당!$K$2),MONTH(설정_코스수당!$K$2)+1,0)),DATE(YEAR(설정_코스수당!$K$2),MONTH(설정_코스수당!$K$2),4),"")</f>
        <v>46177</v>
      </c>
      <c r="C346" s="31"/>
      <c r="D346" s="29"/>
      <c r="E346" s="29"/>
      <c r="F346" s="32"/>
      <c r="G346" s="29"/>
      <c r="H346" s="29"/>
      <c r="I346" s="29"/>
      <c r="J346" s="33">
        <f>IF($O346="방문완료",MAX(0,IFERROR(VLOOKUP($E346,설정_코스수당!$A$6:$H$10,4,FALSE),0)-IF(OR($P346="",$P346="없음"),0,100000)),0)</f>
        <v>0</v>
      </c>
      <c r="K346" s="33">
        <f t="array" ref="K346">IF($O346="방문완료",IFERROR(INDEX(설정_코스수당!$B$15:$F$64,MATCH($G346,설정_코스수당!$A$15:$A$64,0),MATCH($E346&amp;"수당",설정_코스수당!$B$14:$F$14,0)),0),0)</f>
        <v>0</v>
      </c>
      <c r="L346" s="33">
        <f t="array" ref="L346">IF($O346="방문완료",IF($H346="",0,IFERROR(INDEX(설정_코스수당!$B$15:$F$64,MATCH($H346,설정_코스수당!$A$15:$A$64,0),MATCH($E346&amp;"수당",설정_코스수당!$B$14:$F$14,0)),0)),0)</f>
        <v>0</v>
      </c>
      <c r="M346" s="33">
        <f>IF($O346="방문완료",IFERROR(VLOOKUP($E346,설정_코스수당!$A$6:$H$10,6,FALSE),0),0)</f>
        <v>0</v>
      </c>
      <c r="N346" s="34">
        <f t="shared" si="9"/>
        <v>0</v>
      </c>
      <c r="O346" s="29"/>
      <c r="P346" s="29"/>
      <c r="Q346" s="29"/>
      <c r="R346" s="32"/>
      <c r="S346" s="29"/>
    </row>
    <row r="347" spans="1:24" ht="19.5" hidden="1" customHeight="1" outlineLevel="1">
      <c r="A347" s="23">
        <v>25</v>
      </c>
      <c r="B347" s="24">
        <f>IF(4&lt;=DAY(DATE(YEAR(설정_코스수당!$K$2),MONTH(설정_코스수당!$K$2)+1,0)),DATE(YEAR(설정_코스수당!$K$2),MONTH(설정_코스수당!$K$2),4),"")</f>
        <v>46177</v>
      </c>
      <c r="C347" s="25"/>
      <c r="D347" s="23"/>
      <c r="E347" s="23"/>
      <c r="F347" s="26"/>
      <c r="G347" s="23"/>
      <c r="H347" s="23"/>
      <c r="I347" s="23"/>
      <c r="J347" s="27">
        <f>IF($O347="방문완료",MAX(0,IFERROR(VLOOKUP($E347,설정_코스수당!$A$6:$H$10,4,FALSE),0)-IF(OR($P347="",$P347="없음"),0,100000)),0)</f>
        <v>0</v>
      </c>
      <c r="K347" s="27">
        <f t="array" ref="K347">IF($O347="방문완료",IFERROR(INDEX(설정_코스수당!$B$15:$F$64,MATCH($G347,설정_코스수당!$A$15:$A$64,0),MATCH($E347&amp;"수당",설정_코스수당!$B$14:$F$14,0)),0),0)</f>
        <v>0</v>
      </c>
      <c r="L347" s="27">
        <f t="array" ref="L347">IF($O347="방문완료",IF($H347="",0,IFERROR(INDEX(설정_코스수당!$B$15:$F$64,MATCH($H347,설정_코스수당!$A$15:$A$64,0),MATCH($E347&amp;"수당",설정_코스수당!$B$14:$F$14,0)),0)),0)</f>
        <v>0</v>
      </c>
      <c r="M347" s="27">
        <f>IF($O347="방문완료",IFERROR(VLOOKUP($E347,설정_코스수당!$A$6:$H$10,6,FALSE),0),0)</f>
        <v>0</v>
      </c>
      <c r="N347" s="28">
        <f t="shared" si="9"/>
        <v>0</v>
      </c>
      <c r="O347" s="23"/>
      <c r="P347" s="23"/>
      <c r="Q347" s="23"/>
      <c r="R347" s="26"/>
      <c r="S347" s="23"/>
    </row>
    <row r="348" spans="1:24" ht="19.5" hidden="1" customHeight="1" outlineLevel="1">
      <c r="A348" s="29">
        <v>26</v>
      </c>
      <c r="B348" s="30">
        <f>IF(4&lt;=DAY(DATE(YEAR(설정_코스수당!$K$2),MONTH(설정_코스수당!$K$2)+1,0)),DATE(YEAR(설정_코스수당!$K$2),MONTH(설정_코스수당!$K$2),4),"")</f>
        <v>46177</v>
      </c>
      <c r="C348" s="31"/>
      <c r="D348" s="29"/>
      <c r="E348" s="29"/>
      <c r="F348" s="32"/>
      <c r="G348" s="29"/>
      <c r="H348" s="29"/>
      <c r="I348" s="29"/>
      <c r="J348" s="33">
        <f>IF($O348="방문완료",MAX(0,IFERROR(VLOOKUP($E348,설정_코스수당!$A$6:$H$10,4,FALSE),0)-IF(OR($P348="",$P348="없음"),0,100000)),0)</f>
        <v>0</v>
      </c>
      <c r="K348" s="33">
        <f t="array" ref="K348">IF($O348="방문완료",IFERROR(INDEX(설정_코스수당!$B$15:$F$64,MATCH($G348,설정_코스수당!$A$15:$A$64,0),MATCH($E348&amp;"수당",설정_코스수당!$B$14:$F$14,0)),0),0)</f>
        <v>0</v>
      </c>
      <c r="L348" s="33">
        <f t="array" ref="L348">IF($O348="방문완료",IF($H348="",0,IFERROR(INDEX(설정_코스수당!$B$15:$F$64,MATCH($H348,설정_코스수당!$A$15:$A$64,0),MATCH($E348&amp;"수당",설정_코스수당!$B$14:$F$14,0)),0)),0)</f>
        <v>0</v>
      </c>
      <c r="M348" s="33">
        <f>IF($O348="방문완료",IFERROR(VLOOKUP($E348,설정_코스수당!$A$6:$H$10,6,FALSE),0),0)</f>
        <v>0</v>
      </c>
      <c r="N348" s="34">
        <f t="shared" si="9"/>
        <v>0</v>
      </c>
      <c r="O348" s="29"/>
      <c r="P348" s="29"/>
      <c r="Q348" s="29"/>
      <c r="R348" s="32"/>
      <c r="S348" s="29"/>
    </row>
    <row r="349" spans="1:24" ht="19.5" hidden="1" customHeight="1" outlineLevel="1">
      <c r="A349" s="23">
        <v>27</v>
      </c>
      <c r="B349" s="24">
        <f>IF(4&lt;=DAY(DATE(YEAR(설정_코스수당!$K$2),MONTH(설정_코스수당!$K$2)+1,0)),DATE(YEAR(설정_코스수당!$K$2),MONTH(설정_코스수당!$K$2),4),"")</f>
        <v>46177</v>
      </c>
      <c r="C349" s="25"/>
      <c r="D349" s="23"/>
      <c r="E349" s="23"/>
      <c r="F349" s="26"/>
      <c r="G349" s="23"/>
      <c r="H349" s="23"/>
      <c r="I349" s="23"/>
      <c r="J349" s="27">
        <f>IF($O349="방문완료",MAX(0,IFERROR(VLOOKUP($E349,설정_코스수당!$A$6:$H$10,4,FALSE),0)-IF(OR($P349="",$P349="없음"),0,100000)),0)</f>
        <v>0</v>
      </c>
      <c r="K349" s="27">
        <f t="array" ref="K349">IF($O349="방문완료",IFERROR(INDEX(설정_코스수당!$B$15:$F$64,MATCH($G349,설정_코스수당!$A$15:$A$64,0),MATCH($E349&amp;"수당",설정_코스수당!$B$14:$F$14,0)),0),0)</f>
        <v>0</v>
      </c>
      <c r="L349" s="27">
        <f t="array" ref="L349">IF($O349="방문완료",IF($H349="",0,IFERROR(INDEX(설정_코스수당!$B$15:$F$64,MATCH($H349,설정_코스수당!$A$15:$A$64,0),MATCH($E349&amp;"수당",설정_코스수당!$B$14:$F$14,0)),0)),0)</f>
        <v>0</v>
      </c>
      <c r="M349" s="27">
        <f>IF($O349="방문완료",IFERROR(VLOOKUP($E349,설정_코스수당!$A$6:$H$10,6,FALSE),0),0)</f>
        <v>0</v>
      </c>
      <c r="N349" s="28">
        <f t="shared" si="9"/>
        <v>0</v>
      </c>
      <c r="O349" s="23"/>
      <c r="P349" s="23"/>
      <c r="Q349" s="23"/>
      <c r="R349" s="26"/>
      <c r="S349" s="23"/>
    </row>
    <row r="350" spans="1:24" ht="19.5" hidden="1" customHeight="1" outlineLevel="1">
      <c r="A350" s="29">
        <v>28</v>
      </c>
      <c r="B350" s="30">
        <f>IF(4&lt;=DAY(DATE(YEAR(설정_코스수당!$K$2),MONTH(설정_코스수당!$K$2)+1,0)),DATE(YEAR(설정_코스수당!$K$2),MONTH(설정_코스수당!$K$2),4),"")</f>
        <v>46177</v>
      </c>
      <c r="C350" s="31"/>
      <c r="D350" s="29"/>
      <c r="E350" s="29"/>
      <c r="F350" s="32"/>
      <c r="G350" s="29"/>
      <c r="H350" s="29"/>
      <c r="I350" s="29"/>
      <c r="J350" s="33">
        <f>IF($O350="방문완료",MAX(0,IFERROR(VLOOKUP($E350,설정_코스수당!$A$6:$H$10,4,FALSE),0)-IF(OR($P350="",$P350="없음"),0,100000)),0)</f>
        <v>0</v>
      </c>
      <c r="K350" s="33">
        <f t="array" ref="K350">IF($O350="방문완료",IFERROR(INDEX(설정_코스수당!$B$15:$F$64,MATCH($G350,설정_코스수당!$A$15:$A$64,0),MATCH($E350&amp;"수당",설정_코스수당!$B$14:$F$14,0)),0),0)</f>
        <v>0</v>
      </c>
      <c r="L350" s="33">
        <f t="array" ref="L350">IF($O350="방문완료",IF($H350="",0,IFERROR(INDEX(설정_코스수당!$B$15:$F$64,MATCH($H350,설정_코스수당!$A$15:$A$64,0),MATCH($E350&amp;"수당",설정_코스수당!$B$14:$F$14,0)),0)),0)</f>
        <v>0</v>
      </c>
      <c r="M350" s="33">
        <f>IF($O350="방문완료",IFERROR(VLOOKUP($E350,설정_코스수당!$A$6:$H$10,6,FALSE),0),0)</f>
        <v>0</v>
      </c>
      <c r="N350" s="34">
        <f t="shared" si="9"/>
        <v>0</v>
      </c>
      <c r="O350" s="29"/>
      <c r="P350" s="29"/>
      <c r="Q350" s="29"/>
      <c r="R350" s="32"/>
      <c r="S350" s="29"/>
    </row>
    <row r="351" spans="1:24" ht="19.5" hidden="1" customHeight="1" outlineLevel="1">
      <c r="A351" s="23">
        <v>29</v>
      </c>
      <c r="B351" s="24">
        <f>IF(4&lt;=DAY(DATE(YEAR(설정_코스수당!$K$2),MONTH(설정_코스수당!$K$2)+1,0)),DATE(YEAR(설정_코스수당!$K$2),MONTH(설정_코스수당!$K$2),4),"")</f>
        <v>46177</v>
      </c>
      <c r="C351" s="25"/>
      <c r="D351" s="23"/>
      <c r="E351" s="23"/>
      <c r="F351" s="26"/>
      <c r="G351" s="23"/>
      <c r="H351" s="23"/>
      <c r="I351" s="23"/>
      <c r="J351" s="27">
        <f>IF($O351="방문완료",MAX(0,IFERROR(VLOOKUP($E351,설정_코스수당!$A$6:$H$10,4,FALSE),0)-IF(OR($P351="",$P351="없음"),0,100000)),0)</f>
        <v>0</v>
      </c>
      <c r="K351" s="27">
        <f t="array" ref="K351">IF($O351="방문완료",IFERROR(INDEX(설정_코스수당!$B$15:$F$64,MATCH($G351,설정_코스수당!$A$15:$A$64,0),MATCH($E351&amp;"수당",설정_코스수당!$B$14:$F$14,0)),0),0)</f>
        <v>0</v>
      </c>
      <c r="L351" s="27">
        <f t="array" ref="L351">IF($O351="방문완료",IF($H351="",0,IFERROR(INDEX(설정_코스수당!$B$15:$F$64,MATCH($H351,설정_코스수당!$A$15:$A$64,0),MATCH($E351&amp;"수당",설정_코스수당!$B$14:$F$14,0)),0)),0)</f>
        <v>0</v>
      </c>
      <c r="M351" s="27">
        <f>IF($O351="방문완료",IFERROR(VLOOKUP($E351,설정_코스수당!$A$6:$H$10,6,FALSE),0),0)</f>
        <v>0</v>
      </c>
      <c r="N351" s="28">
        <f t="shared" si="9"/>
        <v>0</v>
      </c>
      <c r="O351" s="23"/>
      <c r="P351" s="23"/>
      <c r="Q351" s="23"/>
      <c r="R351" s="26"/>
      <c r="S351" s="23"/>
    </row>
    <row r="352" spans="1:24" ht="19.5" hidden="1" customHeight="1" outlineLevel="1">
      <c r="A352" s="29">
        <v>30</v>
      </c>
      <c r="B352" s="30">
        <f>IF(4&lt;=DAY(DATE(YEAR(설정_코스수당!$K$2),MONTH(설정_코스수당!$K$2)+1,0)),DATE(YEAR(설정_코스수당!$K$2),MONTH(설정_코스수당!$K$2),4),"")</f>
        <v>46177</v>
      </c>
      <c r="C352" s="31"/>
      <c r="D352" s="29"/>
      <c r="E352" s="29"/>
      <c r="F352" s="32"/>
      <c r="G352" s="29"/>
      <c r="H352" s="29"/>
      <c r="I352" s="29"/>
      <c r="J352" s="33">
        <f>IF($O352="방문완료",MAX(0,IFERROR(VLOOKUP($E352,설정_코스수당!$A$6:$H$10,4,FALSE),0)-IF(OR($P352="",$P352="없음"),0,100000)),0)</f>
        <v>0</v>
      </c>
      <c r="K352" s="33">
        <f t="array" ref="K352">IF($O352="방문완료",IFERROR(INDEX(설정_코스수당!$B$15:$F$64,MATCH($G352,설정_코스수당!$A$15:$A$64,0),MATCH($E352&amp;"수당",설정_코스수당!$B$14:$F$14,0)),0),0)</f>
        <v>0</v>
      </c>
      <c r="L352" s="33">
        <f t="array" ref="L352">IF($O352="방문완료",IF($H352="",0,IFERROR(INDEX(설정_코스수당!$B$15:$F$64,MATCH($H352,설정_코스수당!$A$15:$A$64,0),MATCH($E352&amp;"수당",설정_코스수당!$B$14:$F$14,0)),0)),0)</f>
        <v>0</v>
      </c>
      <c r="M352" s="33">
        <f>IF($O352="방문완료",IFERROR(VLOOKUP($E352,설정_코스수당!$A$6:$H$10,6,FALSE),0),0)</f>
        <v>0</v>
      </c>
      <c r="N352" s="34">
        <f t="shared" si="9"/>
        <v>0</v>
      </c>
      <c r="O352" s="29"/>
      <c r="P352" s="29"/>
      <c r="Q352" s="29"/>
      <c r="R352" s="32"/>
      <c r="S352" s="29"/>
    </row>
    <row r="353" spans="1:19" ht="19.5" hidden="1" customHeight="1" outlineLevel="1">
      <c r="A353" s="23">
        <v>31</v>
      </c>
      <c r="B353" s="24">
        <f>IF(4&lt;=DAY(DATE(YEAR(설정_코스수당!$K$2),MONTH(설정_코스수당!$K$2)+1,0)),DATE(YEAR(설정_코스수당!$K$2),MONTH(설정_코스수당!$K$2),4),"")</f>
        <v>46177</v>
      </c>
      <c r="C353" s="25"/>
      <c r="D353" s="23"/>
      <c r="E353" s="23"/>
      <c r="F353" s="26"/>
      <c r="G353" s="23"/>
      <c r="H353" s="23"/>
      <c r="I353" s="23"/>
      <c r="J353" s="27">
        <f>IF($O353="방문완료",MAX(0,IFERROR(VLOOKUP($E353,설정_코스수당!$A$6:$H$10,4,FALSE),0)-IF(OR($P353="",$P353="없음"),0,100000)),0)</f>
        <v>0</v>
      </c>
      <c r="K353" s="27">
        <f t="array" ref="K353">IF($O353="방문완료",IFERROR(INDEX(설정_코스수당!$B$15:$F$64,MATCH($G353,설정_코스수당!$A$15:$A$64,0),MATCH($E353&amp;"수당",설정_코스수당!$B$14:$F$14,0)),0),0)</f>
        <v>0</v>
      </c>
      <c r="L353" s="27">
        <f t="array" ref="L353">IF($O353="방문완료",IF($H353="",0,IFERROR(INDEX(설정_코스수당!$B$15:$F$64,MATCH($H353,설정_코스수당!$A$15:$A$64,0),MATCH($E353&amp;"수당",설정_코스수당!$B$14:$F$14,0)),0)),0)</f>
        <v>0</v>
      </c>
      <c r="M353" s="27">
        <f>IF($O353="방문완료",IFERROR(VLOOKUP($E353,설정_코스수당!$A$6:$H$10,6,FALSE),0),0)</f>
        <v>0</v>
      </c>
      <c r="N353" s="28">
        <f t="shared" si="9"/>
        <v>0</v>
      </c>
      <c r="O353" s="23"/>
      <c r="P353" s="23"/>
      <c r="Q353" s="23"/>
      <c r="R353" s="26"/>
      <c r="S353" s="23"/>
    </row>
    <row r="354" spans="1:19" ht="19.5" hidden="1" customHeight="1" outlineLevel="1">
      <c r="A354" s="29">
        <v>32</v>
      </c>
      <c r="B354" s="30">
        <f>IF(4&lt;=DAY(DATE(YEAR(설정_코스수당!$K$2),MONTH(설정_코스수당!$K$2)+1,0)),DATE(YEAR(설정_코스수당!$K$2),MONTH(설정_코스수당!$K$2),4),"")</f>
        <v>46177</v>
      </c>
      <c r="C354" s="31"/>
      <c r="D354" s="29"/>
      <c r="E354" s="29"/>
      <c r="F354" s="32"/>
      <c r="G354" s="29"/>
      <c r="H354" s="29"/>
      <c r="I354" s="29"/>
      <c r="J354" s="33">
        <f>IF($O354="방문완료",MAX(0,IFERROR(VLOOKUP($E354,설정_코스수당!$A$6:$H$10,4,FALSE),0)-IF(OR($P354="",$P354="없음"),0,100000)),0)</f>
        <v>0</v>
      </c>
      <c r="K354" s="33">
        <f t="array" ref="K354">IF($O354="방문완료",IFERROR(INDEX(설정_코스수당!$B$15:$F$64,MATCH($G354,설정_코스수당!$A$15:$A$64,0),MATCH($E354&amp;"수당",설정_코스수당!$B$14:$F$14,0)),0),0)</f>
        <v>0</v>
      </c>
      <c r="L354" s="33">
        <f t="array" ref="L354">IF($O354="방문완료",IF($H354="",0,IFERROR(INDEX(설정_코스수당!$B$15:$F$64,MATCH($H354,설정_코스수당!$A$15:$A$64,0),MATCH($E354&amp;"수당",설정_코스수당!$B$14:$F$14,0)),0)),0)</f>
        <v>0</v>
      </c>
      <c r="M354" s="33">
        <f>IF($O354="방문완료",IFERROR(VLOOKUP($E354,설정_코스수당!$A$6:$H$10,6,FALSE),0),0)</f>
        <v>0</v>
      </c>
      <c r="N354" s="34">
        <f t="shared" si="9"/>
        <v>0</v>
      </c>
      <c r="O354" s="29"/>
      <c r="P354" s="29"/>
      <c r="Q354" s="29"/>
      <c r="R354" s="32"/>
      <c r="S354" s="29"/>
    </row>
    <row r="355" spans="1:19" ht="19.5" hidden="1" customHeight="1" outlineLevel="1">
      <c r="A355" s="23">
        <v>33</v>
      </c>
      <c r="B355" s="24">
        <f>IF(4&lt;=DAY(DATE(YEAR(설정_코스수당!$K$2),MONTH(설정_코스수당!$K$2)+1,0)),DATE(YEAR(설정_코스수당!$K$2),MONTH(설정_코스수당!$K$2),4),"")</f>
        <v>46177</v>
      </c>
      <c r="C355" s="25"/>
      <c r="D355" s="23"/>
      <c r="E355" s="23"/>
      <c r="F355" s="26"/>
      <c r="G355" s="23"/>
      <c r="H355" s="23"/>
      <c r="I355" s="23"/>
      <c r="J355" s="27">
        <f>IF($O355="방문완료",MAX(0,IFERROR(VLOOKUP($E355,설정_코스수당!$A$6:$H$10,4,FALSE),0)-IF(OR($P355="",$P355="없음"),0,100000)),0)</f>
        <v>0</v>
      </c>
      <c r="K355" s="27">
        <f t="array" ref="K355">IF($O355="방문완료",IFERROR(INDEX(설정_코스수당!$B$15:$F$64,MATCH($G355,설정_코스수당!$A$15:$A$64,0),MATCH($E355&amp;"수당",설정_코스수당!$B$14:$F$14,0)),0),0)</f>
        <v>0</v>
      </c>
      <c r="L355" s="27">
        <f t="array" ref="L355">IF($O355="방문완료",IF($H355="",0,IFERROR(INDEX(설정_코스수당!$B$15:$F$64,MATCH($H355,설정_코스수당!$A$15:$A$64,0),MATCH($E355&amp;"수당",설정_코스수당!$B$14:$F$14,0)),0)),0)</f>
        <v>0</v>
      </c>
      <c r="M355" s="27">
        <f>IF($O355="방문완료",IFERROR(VLOOKUP($E355,설정_코스수당!$A$6:$H$10,6,FALSE),0),0)</f>
        <v>0</v>
      </c>
      <c r="N355" s="28">
        <f t="shared" ref="N355:N386" si="10">IF($O355="방문완료",1,0)</f>
        <v>0</v>
      </c>
      <c r="O355" s="23"/>
      <c r="P355" s="23"/>
      <c r="Q355" s="23"/>
      <c r="R355" s="26"/>
      <c r="S355" s="23"/>
    </row>
    <row r="356" spans="1:19" ht="19.5" hidden="1" customHeight="1" outlineLevel="1">
      <c r="A356" s="29">
        <v>34</v>
      </c>
      <c r="B356" s="30">
        <f>IF(4&lt;=DAY(DATE(YEAR(설정_코스수당!$K$2),MONTH(설정_코스수당!$K$2)+1,0)),DATE(YEAR(설정_코스수당!$K$2),MONTH(설정_코스수당!$K$2),4),"")</f>
        <v>46177</v>
      </c>
      <c r="C356" s="31"/>
      <c r="D356" s="29"/>
      <c r="E356" s="29"/>
      <c r="F356" s="32"/>
      <c r="G356" s="29"/>
      <c r="H356" s="29"/>
      <c r="I356" s="29"/>
      <c r="J356" s="33">
        <f>IF($O356="방문완료",MAX(0,IFERROR(VLOOKUP($E356,설정_코스수당!$A$6:$H$10,4,FALSE),0)-IF(OR($P356="",$P356="없음"),0,100000)),0)</f>
        <v>0</v>
      </c>
      <c r="K356" s="33">
        <f t="array" ref="K356">IF($O356="방문완료",IFERROR(INDEX(설정_코스수당!$B$15:$F$64,MATCH($G356,설정_코스수당!$A$15:$A$64,0),MATCH($E356&amp;"수당",설정_코스수당!$B$14:$F$14,0)),0),0)</f>
        <v>0</v>
      </c>
      <c r="L356" s="33">
        <f t="array" ref="L356">IF($O356="방문완료",IF($H356="",0,IFERROR(INDEX(설정_코스수당!$B$15:$F$64,MATCH($H356,설정_코스수당!$A$15:$A$64,0),MATCH($E356&amp;"수당",설정_코스수당!$B$14:$F$14,0)),0)),0)</f>
        <v>0</v>
      </c>
      <c r="M356" s="33">
        <f>IF($O356="방문완료",IFERROR(VLOOKUP($E356,설정_코스수당!$A$6:$H$10,6,FALSE),0),0)</f>
        <v>0</v>
      </c>
      <c r="N356" s="34">
        <f t="shared" si="10"/>
        <v>0</v>
      </c>
      <c r="O356" s="29"/>
      <c r="P356" s="29"/>
      <c r="Q356" s="29"/>
      <c r="R356" s="32"/>
      <c r="S356" s="29"/>
    </row>
    <row r="357" spans="1:19" ht="19.5" hidden="1" customHeight="1" outlineLevel="1">
      <c r="A357" s="23">
        <v>35</v>
      </c>
      <c r="B357" s="24">
        <f>IF(4&lt;=DAY(DATE(YEAR(설정_코스수당!$K$2),MONTH(설정_코스수당!$K$2)+1,0)),DATE(YEAR(설정_코스수당!$K$2),MONTH(설정_코스수당!$K$2),4),"")</f>
        <v>46177</v>
      </c>
      <c r="C357" s="25"/>
      <c r="D357" s="23"/>
      <c r="E357" s="23"/>
      <c r="F357" s="26"/>
      <c r="G357" s="23"/>
      <c r="H357" s="23"/>
      <c r="I357" s="23"/>
      <c r="J357" s="27">
        <f>IF($O357="방문완료",MAX(0,IFERROR(VLOOKUP($E357,설정_코스수당!$A$6:$H$10,4,FALSE),0)-IF(OR($P357="",$P357="없음"),0,100000)),0)</f>
        <v>0</v>
      </c>
      <c r="K357" s="27">
        <f t="array" ref="K357">IF($O357="방문완료",IFERROR(INDEX(설정_코스수당!$B$15:$F$64,MATCH($G357,설정_코스수당!$A$15:$A$64,0),MATCH($E357&amp;"수당",설정_코스수당!$B$14:$F$14,0)),0),0)</f>
        <v>0</v>
      </c>
      <c r="L357" s="27">
        <f t="array" ref="L357">IF($O357="방문완료",IF($H357="",0,IFERROR(INDEX(설정_코스수당!$B$15:$F$64,MATCH($H357,설정_코스수당!$A$15:$A$64,0),MATCH($E357&amp;"수당",설정_코스수당!$B$14:$F$14,0)),0)),0)</f>
        <v>0</v>
      </c>
      <c r="M357" s="27">
        <f>IF($O357="방문완료",IFERROR(VLOOKUP($E357,설정_코스수당!$A$6:$H$10,6,FALSE),0),0)</f>
        <v>0</v>
      </c>
      <c r="N357" s="28">
        <f t="shared" si="10"/>
        <v>0</v>
      </c>
      <c r="O357" s="23"/>
      <c r="P357" s="23"/>
      <c r="Q357" s="23"/>
      <c r="R357" s="26"/>
      <c r="S357" s="23"/>
    </row>
    <row r="358" spans="1:19" ht="19.5" hidden="1" customHeight="1" outlineLevel="1">
      <c r="A358" s="29">
        <v>36</v>
      </c>
      <c r="B358" s="30">
        <f>IF(4&lt;=DAY(DATE(YEAR(설정_코스수당!$K$2),MONTH(설정_코스수당!$K$2)+1,0)),DATE(YEAR(설정_코스수당!$K$2),MONTH(설정_코스수당!$K$2),4),"")</f>
        <v>46177</v>
      </c>
      <c r="C358" s="31"/>
      <c r="D358" s="29"/>
      <c r="E358" s="29"/>
      <c r="F358" s="32"/>
      <c r="G358" s="29"/>
      <c r="H358" s="29"/>
      <c r="I358" s="29"/>
      <c r="J358" s="33">
        <f>IF($O358="방문완료",MAX(0,IFERROR(VLOOKUP($E358,설정_코스수당!$A$6:$H$10,4,FALSE),0)-IF(OR($P358="",$P358="없음"),0,100000)),0)</f>
        <v>0</v>
      </c>
      <c r="K358" s="33">
        <f t="array" ref="K358">IF($O358="방문완료",IFERROR(INDEX(설정_코스수당!$B$15:$F$64,MATCH($G358,설정_코스수당!$A$15:$A$64,0),MATCH($E358&amp;"수당",설정_코스수당!$B$14:$F$14,0)),0),0)</f>
        <v>0</v>
      </c>
      <c r="L358" s="33">
        <f t="array" ref="L358">IF($O358="방문완료",IF($H358="",0,IFERROR(INDEX(설정_코스수당!$B$15:$F$64,MATCH($H358,설정_코스수당!$A$15:$A$64,0),MATCH($E358&amp;"수당",설정_코스수당!$B$14:$F$14,0)),0)),0)</f>
        <v>0</v>
      </c>
      <c r="M358" s="33">
        <f>IF($O358="방문완료",IFERROR(VLOOKUP($E358,설정_코스수당!$A$6:$H$10,6,FALSE),0),0)</f>
        <v>0</v>
      </c>
      <c r="N358" s="34">
        <f t="shared" si="10"/>
        <v>0</v>
      </c>
      <c r="O358" s="29"/>
      <c r="P358" s="29"/>
      <c r="Q358" s="29"/>
      <c r="R358" s="32"/>
      <c r="S358" s="29"/>
    </row>
    <row r="359" spans="1:19" ht="19.5" hidden="1" customHeight="1" outlineLevel="1">
      <c r="A359" s="23">
        <v>37</v>
      </c>
      <c r="B359" s="24">
        <f>IF(4&lt;=DAY(DATE(YEAR(설정_코스수당!$K$2),MONTH(설정_코스수당!$K$2)+1,0)),DATE(YEAR(설정_코스수당!$K$2),MONTH(설정_코스수당!$K$2),4),"")</f>
        <v>46177</v>
      </c>
      <c r="C359" s="25"/>
      <c r="D359" s="23"/>
      <c r="E359" s="23"/>
      <c r="F359" s="26"/>
      <c r="G359" s="23"/>
      <c r="H359" s="23"/>
      <c r="I359" s="23"/>
      <c r="J359" s="27">
        <f>IF($O359="방문완료",MAX(0,IFERROR(VLOOKUP($E359,설정_코스수당!$A$6:$H$10,4,FALSE),0)-IF(OR($P359="",$P359="없음"),0,100000)),0)</f>
        <v>0</v>
      </c>
      <c r="K359" s="27">
        <f t="array" ref="K359">IF($O359="방문완료",IFERROR(INDEX(설정_코스수당!$B$15:$F$64,MATCH($G359,설정_코스수당!$A$15:$A$64,0),MATCH($E359&amp;"수당",설정_코스수당!$B$14:$F$14,0)),0),0)</f>
        <v>0</v>
      </c>
      <c r="L359" s="27">
        <f t="array" ref="L359">IF($O359="방문완료",IF($H359="",0,IFERROR(INDEX(설정_코스수당!$B$15:$F$64,MATCH($H359,설정_코스수당!$A$15:$A$64,0),MATCH($E359&amp;"수당",설정_코스수당!$B$14:$F$14,0)),0)),0)</f>
        <v>0</v>
      </c>
      <c r="M359" s="27">
        <f>IF($O359="방문완료",IFERROR(VLOOKUP($E359,설정_코스수당!$A$6:$H$10,6,FALSE),0),0)</f>
        <v>0</v>
      </c>
      <c r="N359" s="28">
        <f t="shared" si="10"/>
        <v>0</v>
      </c>
      <c r="O359" s="23"/>
      <c r="P359" s="23"/>
      <c r="Q359" s="23"/>
      <c r="R359" s="26"/>
      <c r="S359" s="23"/>
    </row>
    <row r="360" spans="1:19" ht="19.5" hidden="1" customHeight="1" outlineLevel="1">
      <c r="A360" s="29">
        <v>38</v>
      </c>
      <c r="B360" s="30">
        <f>IF(4&lt;=DAY(DATE(YEAR(설정_코스수당!$K$2),MONTH(설정_코스수당!$K$2)+1,0)),DATE(YEAR(설정_코스수당!$K$2),MONTH(설정_코스수당!$K$2),4),"")</f>
        <v>46177</v>
      </c>
      <c r="C360" s="31"/>
      <c r="D360" s="29"/>
      <c r="E360" s="29"/>
      <c r="F360" s="32"/>
      <c r="G360" s="29"/>
      <c r="H360" s="29"/>
      <c r="I360" s="29"/>
      <c r="J360" s="33">
        <f>IF($O360="방문완료",MAX(0,IFERROR(VLOOKUP($E360,설정_코스수당!$A$6:$H$10,4,FALSE),0)-IF(OR($P360="",$P360="없음"),0,100000)),0)</f>
        <v>0</v>
      </c>
      <c r="K360" s="33">
        <f t="array" ref="K360">IF($O360="방문완료",IFERROR(INDEX(설정_코스수당!$B$15:$F$64,MATCH($G360,설정_코스수당!$A$15:$A$64,0),MATCH($E360&amp;"수당",설정_코스수당!$B$14:$F$14,0)),0),0)</f>
        <v>0</v>
      </c>
      <c r="L360" s="33">
        <f t="array" ref="L360">IF($O360="방문완료",IF($H360="",0,IFERROR(INDEX(설정_코스수당!$B$15:$F$64,MATCH($H360,설정_코스수당!$A$15:$A$64,0),MATCH($E360&amp;"수당",설정_코스수당!$B$14:$F$14,0)),0)),0)</f>
        <v>0</v>
      </c>
      <c r="M360" s="33">
        <f>IF($O360="방문완료",IFERROR(VLOOKUP($E360,설정_코스수당!$A$6:$H$10,6,FALSE),0),0)</f>
        <v>0</v>
      </c>
      <c r="N360" s="34">
        <f t="shared" si="10"/>
        <v>0</v>
      </c>
      <c r="O360" s="29"/>
      <c r="P360" s="29"/>
      <c r="Q360" s="29"/>
      <c r="R360" s="32"/>
      <c r="S360" s="29"/>
    </row>
    <row r="361" spans="1:19" ht="19.5" hidden="1" customHeight="1" outlineLevel="1">
      <c r="A361" s="23">
        <v>39</v>
      </c>
      <c r="B361" s="24">
        <f>IF(4&lt;=DAY(DATE(YEAR(설정_코스수당!$K$2),MONTH(설정_코스수당!$K$2)+1,0)),DATE(YEAR(설정_코스수당!$K$2),MONTH(설정_코스수당!$K$2),4),"")</f>
        <v>46177</v>
      </c>
      <c r="C361" s="25"/>
      <c r="D361" s="23"/>
      <c r="E361" s="23"/>
      <c r="F361" s="26"/>
      <c r="G361" s="23"/>
      <c r="H361" s="23"/>
      <c r="I361" s="23"/>
      <c r="J361" s="27">
        <f>IF($O361="방문완료",MAX(0,IFERROR(VLOOKUP($E361,설정_코스수당!$A$6:$H$10,4,FALSE),0)-IF(OR($P361="",$P361="없음"),0,100000)),0)</f>
        <v>0</v>
      </c>
      <c r="K361" s="27">
        <f t="array" ref="K361">IF($O361="방문완료",IFERROR(INDEX(설정_코스수당!$B$15:$F$64,MATCH($G361,설정_코스수당!$A$15:$A$64,0),MATCH($E361&amp;"수당",설정_코스수당!$B$14:$F$14,0)),0),0)</f>
        <v>0</v>
      </c>
      <c r="L361" s="27">
        <f t="array" ref="L361">IF($O361="방문완료",IF($H361="",0,IFERROR(INDEX(설정_코스수당!$B$15:$F$64,MATCH($H361,설정_코스수당!$A$15:$A$64,0),MATCH($E361&amp;"수당",설정_코스수당!$B$14:$F$14,0)),0)),0)</f>
        <v>0</v>
      </c>
      <c r="M361" s="27">
        <f>IF($O361="방문완료",IFERROR(VLOOKUP($E361,설정_코스수당!$A$6:$H$10,6,FALSE),0),0)</f>
        <v>0</v>
      </c>
      <c r="N361" s="28">
        <f t="shared" si="10"/>
        <v>0</v>
      </c>
      <c r="O361" s="23"/>
      <c r="P361" s="23"/>
      <c r="Q361" s="23"/>
      <c r="R361" s="26"/>
      <c r="S361" s="23"/>
    </row>
    <row r="362" spans="1:19" ht="19.5" hidden="1" customHeight="1" outlineLevel="1">
      <c r="A362" s="29">
        <v>40</v>
      </c>
      <c r="B362" s="30">
        <f>IF(4&lt;=DAY(DATE(YEAR(설정_코스수당!$K$2),MONTH(설정_코스수당!$K$2)+1,0)),DATE(YEAR(설정_코스수당!$K$2),MONTH(설정_코스수당!$K$2),4),"")</f>
        <v>46177</v>
      </c>
      <c r="C362" s="31"/>
      <c r="D362" s="29"/>
      <c r="E362" s="29"/>
      <c r="F362" s="32"/>
      <c r="G362" s="29"/>
      <c r="H362" s="29"/>
      <c r="I362" s="29"/>
      <c r="J362" s="33">
        <f>IF($O362="방문완료",MAX(0,IFERROR(VLOOKUP($E362,설정_코스수당!$A$6:$H$10,4,FALSE),0)-IF(OR($P362="",$P362="없음"),0,100000)),0)</f>
        <v>0</v>
      </c>
      <c r="K362" s="33">
        <f t="array" ref="K362">IF($O362="방문완료",IFERROR(INDEX(설정_코스수당!$B$15:$F$64,MATCH($G362,설정_코스수당!$A$15:$A$64,0),MATCH($E362&amp;"수당",설정_코스수당!$B$14:$F$14,0)),0),0)</f>
        <v>0</v>
      </c>
      <c r="L362" s="33">
        <f t="array" ref="L362">IF($O362="방문완료",IF($H362="",0,IFERROR(INDEX(설정_코스수당!$B$15:$F$64,MATCH($H362,설정_코스수당!$A$15:$A$64,0),MATCH($E362&amp;"수당",설정_코스수당!$B$14:$F$14,0)),0)),0)</f>
        <v>0</v>
      </c>
      <c r="M362" s="33">
        <f>IF($O362="방문완료",IFERROR(VLOOKUP($E362,설정_코스수당!$A$6:$H$10,6,FALSE),0),0)</f>
        <v>0</v>
      </c>
      <c r="N362" s="34">
        <f t="shared" si="10"/>
        <v>0</v>
      </c>
      <c r="O362" s="29"/>
      <c r="P362" s="29"/>
      <c r="Q362" s="29"/>
      <c r="R362" s="32"/>
      <c r="S362" s="29"/>
    </row>
    <row r="363" spans="1:19" ht="19.5" hidden="1" customHeight="1" outlineLevel="1">
      <c r="A363" s="23">
        <v>41</v>
      </c>
      <c r="B363" s="24">
        <f>IF(4&lt;=DAY(DATE(YEAR(설정_코스수당!$K$2),MONTH(설정_코스수당!$K$2)+1,0)),DATE(YEAR(설정_코스수당!$K$2),MONTH(설정_코스수당!$K$2),4),"")</f>
        <v>46177</v>
      </c>
      <c r="C363" s="25"/>
      <c r="D363" s="23"/>
      <c r="E363" s="23"/>
      <c r="F363" s="26"/>
      <c r="G363" s="23"/>
      <c r="H363" s="23"/>
      <c r="I363" s="23"/>
      <c r="J363" s="27">
        <f>IF($O363="방문완료",MAX(0,IFERROR(VLOOKUP($E363,설정_코스수당!$A$6:$H$10,4,FALSE),0)-IF(OR($P363="",$P363="없음"),0,100000)),0)</f>
        <v>0</v>
      </c>
      <c r="K363" s="27">
        <f t="array" ref="K363">IF($O363="방문완료",IFERROR(INDEX(설정_코스수당!$B$15:$F$64,MATCH($G363,설정_코스수당!$A$15:$A$64,0),MATCH($E363&amp;"수당",설정_코스수당!$B$14:$F$14,0)),0),0)</f>
        <v>0</v>
      </c>
      <c r="L363" s="27">
        <f t="array" ref="L363">IF($O363="방문완료",IF($H363="",0,IFERROR(INDEX(설정_코스수당!$B$15:$F$64,MATCH($H363,설정_코스수당!$A$15:$A$64,0),MATCH($E363&amp;"수당",설정_코스수당!$B$14:$F$14,0)),0)),0)</f>
        <v>0</v>
      </c>
      <c r="M363" s="27">
        <f>IF($O363="방문완료",IFERROR(VLOOKUP($E363,설정_코스수당!$A$6:$H$10,6,FALSE),0),0)</f>
        <v>0</v>
      </c>
      <c r="N363" s="28">
        <f t="shared" si="10"/>
        <v>0</v>
      </c>
      <c r="O363" s="23"/>
      <c r="P363" s="23"/>
      <c r="Q363" s="23"/>
      <c r="R363" s="26"/>
      <c r="S363" s="23"/>
    </row>
    <row r="364" spans="1:19" ht="19.5" hidden="1" customHeight="1" outlineLevel="1">
      <c r="A364" s="29">
        <v>42</v>
      </c>
      <c r="B364" s="30">
        <f>IF(4&lt;=DAY(DATE(YEAR(설정_코스수당!$K$2),MONTH(설정_코스수당!$K$2)+1,0)),DATE(YEAR(설정_코스수당!$K$2),MONTH(설정_코스수당!$K$2),4),"")</f>
        <v>46177</v>
      </c>
      <c r="C364" s="31"/>
      <c r="D364" s="29"/>
      <c r="E364" s="29"/>
      <c r="F364" s="32"/>
      <c r="G364" s="29"/>
      <c r="H364" s="29"/>
      <c r="I364" s="29"/>
      <c r="J364" s="33">
        <f>IF($O364="방문완료",MAX(0,IFERROR(VLOOKUP($E364,설정_코스수당!$A$6:$H$10,4,FALSE),0)-IF(OR($P364="",$P364="없음"),0,100000)),0)</f>
        <v>0</v>
      </c>
      <c r="K364" s="33">
        <f t="array" ref="K364">IF($O364="방문완료",IFERROR(INDEX(설정_코스수당!$B$15:$F$64,MATCH($G364,설정_코스수당!$A$15:$A$64,0),MATCH($E364&amp;"수당",설정_코스수당!$B$14:$F$14,0)),0),0)</f>
        <v>0</v>
      </c>
      <c r="L364" s="33">
        <f t="array" ref="L364">IF($O364="방문완료",IF($H364="",0,IFERROR(INDEX(설정_코스수당!$B$15:$F$64,MATCH($H364,설정_코스수당!$A$15:$A$64,0),MATCH($E364&amp;"수당",설정_코스수당!$B$14:$F$14,0)),0)),0)</f>
        <v>0</v>
      </c>
      <c r="M364" s="33">
        <f>IF($O364="방문완료",IFERROR(VLOOKUP($E364,설정_코스수당!$A$6:$H$10,6,FALSE),0),0)</f>
        <v>0</v>
      </c>
      <c r="N364" s="34">
        <f t="shared" si="10"/>
        <v>0</v>
      </c>
      <c r="O364" s="29"/>
      <c r="P364" s="29"/>
      <c r="Q364" s="29"/>
      <c r="R364" s="32"/>
      <c r="S364" s="29"/>
    </row>
    <row r="365" spans="1:19" ht="19.5" hidden="1" customHeight="1" outlineLevel="1">
      <c r="A365" s="23">
        <v>43</v>
      </c>
      <c r="B365" s="24">
        <f>IF(4&lt;=DAY(DATE(YEAR(설정_코스수당!$K$2),MONTH(설정_코스수당!$K$2)+1,0)),DATE(YEAR(설정_코스수당!$K$2),MONTH(설정_코스수당!$K$2),4),"")</f>
        <v>46177</v>
      </c>
      <c r="C365" s="25"/>
      <c r="D365" s="23"/>
      <c r="E365" s="23"/>
      <c r="F365" s="26"/>
      <c r="G365" s="23"/>
      <c r="H365" s="23"/>
      <c r="I365" s="23"/>
      <c r="J365" s="27">
        <f>IF($O365="방문완료",MAX(0,IFERROR(VLOOKUP($E365,설정_코스수당!$A$6:$H$10,4,FALSE),0)-IF(OR($P365="",$P365="없음"),0,100000)),0)</f>
        <v>0</v>
      </c>
      <c r="K365" s="27">
        <f t="array" ref="K365">IF($O365="방문완료",IFERROR(INDEX(설정_코스수당!$B$15:$F$64,MATCH($G365,설정_코스수당!$A$15:$A$64,0),MATCH($E365&amp;"수당",설정_코스수당!$B$14:$F$14,0)),0),0)</f>
        <v>0</v>
      </c>
      <c r="L365" s="27">
        <f t="array" ref="L365">IF($O365="방문완료",IF($H365="",0,IFERROR(INDEX(설정_코스수당!$B$15:$F$64,MATCH($H365,설정_코스수당!$A$15:$A$64,0),MATCH($E365&amp;"수당",설정_코스수당!$B$14:$F$14,0)),0)),0)</f>
        <v>0</v>
      </c>
      <c r="M365" s="27">
        <f>IF($O365="방문완료",IFERROR(VLOOKUP($E365,설정_코스수당!$A$6:$H$10,6,FALSE),0),0)</f>
        <v>0</v>
      </c>
      <c r="N365" s="28">
        <f t="shared" si="10"/>
        <v>0</v>
      </c>
      <c r="O365" s="23"/>
      <c r="P365" s="23"/>
      <c r="Q365" s="23"/>
      <c r="R365" s="26"/>
      <c r="S365" s="23"/>
    </row>
    <row r="366" spans="1:19" ht="19.5" hidden="1" customHeight="1" outlineLevel="1">
      <c r="A366" s="29">
        <v>44</v>
      </c>
      <c r="B366" s="30">
        <f>IF(4&lt;=DAY(DATE(YEAR(설정_코스수당!$K$2),MONTH(설정_코스수당!$K$2)+1,0)),DATE(YEAR(설정_코스수당!$K$2),MONTH(설정_코스수당!$K$2),4),"")</f>
        <v>46177</v>
      </c>
      <c r="C366" s="31"/>
      <c r="D366" s="29"/>
      <c r="E366" s="29"/>
      <c r="F366" s="32"/>
      <c r="G366" s="29"/>
      <c r="H366" s="29"/>
      <c r="I366" s="29"/>
      <c r="J366" s="33">
        <f>IF($O366="방문완료",MAX(0,IFERROR(VLOOKUP($E366,설정_코스수당!$A$6:$H$10,4,FALSE),0)-IF(OR($P366="",$P366="없음"),0,100000)),0)</f>
        <v>0</v>
      </c>
      <c r="K366" s="33">
        <f t="array" ref="K366">IF($O366="방문완료",IFERROR(INDEX(설정_코스수당!$B$15:$F$64,MATCH($G366,설정_코스수당!$A$15:$A$64,0),MATCH($E366&amp;"수당",설정_코스수당!$B$14:$F$14,0)),0),0)</f>
        <v>0</v>
      </c>
      <c r="L366" s="33">
        <f t="array" ref="L366">IF($O366="방문완료",IF($H366="",0,IFERROR(INDEX(설정_코스수당!$B$15:$F$64,MATCH($H366,설정_코스수당!$A$15:$A$64,0),MATCH($E366&amp;"수당",설정_코스수당!$B$14:$F$14,0)),0)),0)</f>
        <v>0</v>
      </c>
      <c r="M366" s="33">
        <f>IF($O366="방문완료",IFERROR(VLOOKUP($E366,설정_코스수당!$A$6:$H$10,6,FALSE),0),0)</f>
        <v>0</v>
      </c>
      <c r="N366" s="34">
        <f t="shared" si="10"/>
        <v>0</v>
      </c>
      <c r="O366" s="29"/>
      <c r="P366" s="29"/>
      <c r="Q366" s="29"/>
      <c r="R366" s="32"/>
      <c r="S366" s="29"/>
    </row>
    <row r="367" spans="1:19" ht="19.5" hidden="1" customHeight="1" outlineLevel="1">
      <c r="A367" s="23">
        <v>45</v>
      </c>
      <c r="B367" s="24">
        <f>IF(4&lt;=DAY(DATE(YEAR(설정_코스수당!$K$2),MONTH(설정_코스수당!$K$2)+1,0)),DATE(YEAR(설정_코스수당!$K$2),MONTH(설정_코스수당!$K$2),4),"")</f>
        <v>46177</v>
      </c>
      <c r="C367" s="25"/>
      <c r="D367" s="23"/>
      <c r="E367" s="23"/>
      <c r="F367" s="26"/>
      <c r="G367" s="23"/>
      <c r="H367" s="23"/>
      <c r="I367" s="23"/>
      <c r="J367" s="27">
        <f>IF($O367="방문완료",MAX(0,IFERROR(VLOOKUP($E367,설정_코스수당!$A$6:$H$10,4,FALSE),0)-IF(OR($P367="",$P367="없음"),0,100000)),0)</f>
        <v>0</v>
      </c>
      <c r="K367" s="27">
        <f t="array" ref="K367">IF($O367="방문완료",IFERROR(INDEX(설정_코스수당!$B$15:$F$64,MATCH($G367,설정_코스수당!$A$15:$A$64,0),MATCH($E367&amp;"수당",설정_코스수당!$B$14:$F$14,0)),0),0)</f>
        <v>0</v>
      </c>
      <c r="L367" s="27">
        <f t="array" ref="L367">IF($O367="방문완료",IF($H367="",0,IFERROR(INDEX(설정_코스수당!$B$15:$F$64,MATCH($H367,설정_코스수당!$A$15:$A$64,0),MATCH($E367&amp;"수당",설정_코스수당!$B$14:$F$14,0)),0)),0)</f>
        <v>0</v>
      </c>
      <c r="M367" s="27">
        <f>IF($O367="방문완료",IFERROR(VLOOKUP($E367,설정_코스수당!$A$6:$H$10,6,FALSE),0),0)</f>
        <v>0</v>
      </c>
      <c r="N367" s="28">
        <f t="shared" si="10"/>
        <v>0</v>
      </c>
      <c r="O367" s="23"/>
      <c r="P367" s="23"/>
      <c r="Q367" s="23"/>
      <c r="R367" s="26"/>
      <c r="S367" s="23"/>
    </row>
    <row r="368" spans="1:19" ht="19.5" hidden="1" customHeight="1" outlineLevel="1">
      <c r="A368" s="29">
        <v>46</v>
      </c>
      <c r="B368" s="30">
        <f>IF(4&lt;=DAY(DATE(YEAR(설정_코스수당!$K$2),MONTH(설정_코스수당!$K$2)+1,0)),DATE(YEAR(설정_코스수당!$K$2),MONTH(설정_코스수당!$K$2),4),"")</f>
        <v>46177</v>
      </c>
      <c r="C368" s="31"/>
      <c r="D368" s="29"/>
      <c r="E368" s="29"/>
      <c r="F368" s="32"/>
      <c r="G368" s="29"/>
      <c r="H368" s="29"/>
      <c r="I368" s="29"/>
      <c r="J368" s="33">
        <f>IF($O368="방문완료",MAX(0,IFERROR(VLOOKUP($E368,설정_코스수당!$A$6:$H$10,4,FALSE),0)-IF(OR($P368="",$P368="없음"),0,100000)),0)</f>
        <v>0</v>
      </c>
      <c r="K368" s="33">
        <f t="array" ref="K368">IF($O368="방문완료",IFERROR(INDEX(설정_코스수당!$B$15:$F$64,MATCH($G368,설정_코스수당!$A$15:$A$64,0),MATCH($E368&amp;"수당",설정_코스수당!$B$14:$F$14,0)),0),0)</f>
        <v>0</v>
      </c>
      <c r="L368" s="33">
        <f t="array" ref="L368">IF($O368="방문완료",IF($H368="",0,IFERROR(INDEX(설정_코스수당!$B$15:$F$64,MATCH($H368,설정_코스수당!$A$15:$A$64,0),MATCH($E368&amp;"수당",설정_코스수당!$B$14:$F$14,0)),0)),0)</f>
        <v>0</v>
      </c>
      <c r="M368" s="33">
        <f>IF($O368="방문완료",IFERROR(VLOOKUP($E368,설정_코스수당!$A$6:$H$10,6,FALSE),0),0)</f>
        <v>0</v>
      </c>
      <c r="N368" s="34">
        <f t="shared" si="10"/>
        <v>0</v>
      </c>
      <c r="O368" s="29"/>
      <c r="P368" s="29"/>
      <c r="Q368" s="29"/>
      <c r="R368" s="32"/>
      <c r="S368" s="29"/>
    </row>
    <row r="369" spans="1:19" ht="19.5" hidden="1" customHeight="1" outlineLevel="1">
      <c r="A369" s="23">
        <v>47</v>
      </c>
      <c r="B369" s="24">
        <f>IF(4&lt;=DAY(DATE(YEAR(설정_코스수당!$K$2),MONTH(설정_코스수당!$K$2)+1,0)),DATE(YEAR(설정_코스수당!$K$2),MONTH(설정_코스수당!$K$2),4),"")</f>
        <v>46177</v>
      </c>
      <c r="C369" s="25"/>
      <c r="D369" s="23"/>
      <c r="E369" s="23"/>
      <c r="F369" s="26"/>
      <c r="G369" s="23"/>
      <c r="H369" s="23"/>
      <c r="I369" s="23"/>
      <c r="J369" s="27">
        <f>IF($O369="방문완료",MAX(0,IFERROR(VLOOKUP($E369,설정_코스수당!$A$6:$H$10,4,FALSE),0)-IF(OR($P369="",$P369="없음"),0,100000)),0)</f>
        <v>0</v>
      </c>
      <c r="K369" s="27">
        <f t="array" ref="K369">IF($O369="방문완료",IFERROR(INDEX(설정_코스수당!$B$15:$F$64,MATCH($G369,설정_코스수당!$A$15:$A$64,0),MATCH($E369&amp;"수당",설정_코스수당!$B$14:$F$14,0)),0),0)</f>
        <v>0</v>
      </c>
      <c r="L369" s="27">
        <f t="array" ref="L369">IF($O369="방문완료",IF($H369="",0,IFERROR(INDEX(설정_코스수당!$B$15:$F$64,MATCH($H369,설정_코스수당!$A$15:$A$64,0),MATCH($E369&amp;"수당",설정_코스수당!$B$14:$F$14,0)),0)),0)</f>
        <v>0</v>
      </c>
      <c r="M369" s="27">
        <f>IF($O369="방문완료",IFERROR(VLOOKUP($E369,설정_코스수당!$A$6:$H$10,6,FALSE),0),0)</f>
        <v>0</v>
      </c>
      <c r="N369" s="28">
        <f t="shared" si="10"/>
        <v>0</v>
      </c>
      <c r="O369" s="23"/>
      <c r="P369" s="23"/>
      <c r="Q369" s="23"/>
      <c r="R369" s="26"/>
      <c r="S369" s="23"/>
    </row>
    <row r="370" spans="1:19" ht="19.5" hidden="1" customHeight="1" outlineLevel="1">
      <c r="A370" s="29">
        <v>48</v>
      </c>
      <c r="B370" s="30">
        <f>IF(4&lt;=DAY(DATE(YEAR(설정_코스수당!$K$2),MONTH(설정_코스수당!$K$2)+1,0)),DATE(YEAR(설정_코스수당!$K$2),MONTH(설정_코스수당!$K$2),4),"")</f>
        <v>46177</v>
      </c>
      <c r="C370" s="31"/>
      <c r="D370" s="29"/>
      <c r="E370" s="29"/>
      <c r="F370" s="32"/>
      <c r="G370" s="29"/>
      <c r="H370" s="29"/>
      <c r="I370" s="29"/>
      <c r="J370" s="33">
        <f>IF($O370="방문완료",MAX(0,IFERROR(VLOOKUP($E370,설정_코스수당!$A$6:$H$10,4,FALSE),0)-IF(OR($P370="",$P370="없음"),0,100000)),0)</f>
        <v>0</v>
      </c>
      <c r="K370" s="33">
        <f t="array" ref="K370">IF($O370="방문완료",IFERROR(INDEX(설정_코스수당!$B$15:$F$64,MATCH($G370,설정_코스수당!$A$15:$A$64,0),MATCH($E370&amp;"수당",설정_코스수당!$B$14:$F$14,0)),0),0)</f>
        <v>0</v>
      </c>
      <c r="L370" s="33">
        <f t="array" ref="L370">IF($O370="방문완료",IF($H370="",0,IFERROR(INDEX(설정_코스수당!$B$15:$F$64,MATCH($H370,설정_코스수당!$A$15:$A$64,0),MATCH($E370&amp;"수당",설정_코스수당!$B$14:$F$14,0)),0)),0)</f>
        <v>0</v>
      </c>
      <c r="M370" s="33">
        <f>IF($O370="방문완료",IFERROR(VLOOKUP($E370,설정_코스수당!$A$6:$H$10,6,FALSE),0),0)</f>
        <v>0</v>
      </c>
      <c r="N370" s="34">
        <f t="shared" si="10"/>
        <v>0</v>
      </c>
      <c r="O370" s="29"/>
      <c r="P370" s="29"/>
      <c r="Q370" s="29"/>
      <c r="R370" s="32"/>
      <c r="S370" s="29"/>
    </row>
    <row r="371" spans="1:19" ht="19.5" hidden="1" customHeight="1" outlineLevel="1">
      <c r="A371" s="23">
        <v>49</v>
      </c>
      <c r="B371" s="24">
        <f>IF(4&lt;=DAY(DATE(YEAR(설정_코스수당!$K$2),MONTH(설정_코스수당!$K$2)+1,0)),DATE(YEAR(설정_코스수당!$K$2),MONTH(설정_코스수당!$K$2),4),"")</f>
        <v>46177</v>
      </c>
      <c r="C371" s="25"/>
      <c r="D371" s="23"/>
      <c r="E371" s="23"/>
      <c r="F371" s="26"/>
      <c r="G371" s="23"/>
      <c r="H371" s="23"/>
      <c r="I371" s="23"/>
      <c r="J371" s="27">
        <f>IF($O371="방문완료",MAX(0,IFERROR(VLOOKUP($E371,설정_코스수당!$A$6:$H$10,4,FALSE),0)-IF(OR($P371="",$P371="없음"),0,100000)),0)</f>
        <v>0</v>
      </c>
      <c r="K371" s="27">
        <f t="array" ref="K371">IF($O371="방문완료",IFERROR(INDEX(설정_코스수당!$B$15:$F$64,MATCH($G371,설정_코스수당!$A$15:$A$64,0),MATCH($E371&amp;"수당",설정_코스수당!$B$14:$F$14,0)),0),0)</f>
        <v>0</v>
      </c>
      <c r="L371" s="27">
        <f t="array" ref="L371">IF($O371="방문완료",IF($H371="",0,IFERROR(INDEX(설정_코스수당!$B$15:$F$64,MATCH($H371,설정_코스수당!$A$15:$A$64,0),MATCH($E371&amp;"수당",설정_코스수당!$B$14:$F$14,0)),0)),0)</f>
        <v>0</v>
      </c>
      <c r="M371" s="27">
        <f>IF($O371="방문완료",IFERROR(VLOOKUP($E371,설정_코스수당!$A$6:$H$10,6,FALSE),0),0)</f>
        <v>0</v>
      </c>
      <c r="N371" s="28">
        <f t="shared" si="10"/>
        <v>0</v>
      </c>
      <c r="O371" s="23"/>
      <c r="P371" s="23"/>
      <c r="Q371" s="23"/>
      <c r="R371" s="26"/>
      <c r="S371" s="23"/>
    </row>
    <row r="372" spans="1:19" ht="19.5" hidden="1" customHeight="1" outlineLevel="1">
      <c r="A372" s="29">
        <v>50</v>
      </c>
      <c r="B372" s="30">
        <f>IF(4&lt;=DAY(DATE(YEAR(설정_코스수당!$K$2),MONTH(설정_코스수당!$K$2)+1,0)),DATE(YEAR(설정_코스수당!$K$2),MONTH(설정_코스수당!$K$2),4),"")</f>
        <v>46177</v>
      </c>
      <c r="C372" s="31"/>
      <c r="D372" s="29"/>
      <c r="E372" s="29"/>
      <c r="F372" s="32"/>
      <c r="G372" s="29"/>
      <c r="H372" s="29"/>
      <c r="I372" s="29"/>
      <c r="J372" s="33">
        <f>IF($O372="방문완료",MAX(0,IFERROR(VLOOKUP($E372,설정_코스수당!$A$6:$H$10,4,FALSE),0)-IF(OR($P372="",$P372="없음"),0,100000)),0)</f>
        <v>0</v>
      </c>
      <c r="K372" s="33">
        <f t="array" ref="K372">IF($O372="방문완료",IFERROR(INDEX(설정_코스수당!$B$15:$F$64,MATCH($G372,설정_코스수당!$A$15:$A$64,0),MATCH($E372&amp;"수당",설정_코스수당!$B$14:$F$14,0)),0),0)</f>
        <v>0</v>
      </c>
      <c r="L372" s="33">
        <f t="array" ref="L372">IF($O372="방문완료",IF($H372="",0,IFERROR(INDEX(설정_코스수당!$B$15:$F$64,MATCH($H372,설정_코스수당!$A$15:$A$64,0),MATCH($E372&amp;"수당",설정_코스수당!$B$14:$F$14,0)),0)),0)</f>
        <v>0</v>
      </c>
      <c r="M372" s="33">
        <f>IF($O372="방문완료",IFERROR(VLOOKUP($E372,설정_코스수당!$A$6:$H$10,6,FALSE),0),0)</f>
        <v>0</v>
      </c>
      <c r="N372" s="34">
        <f t="shared" si="10"/>
        <v>0</v>
      </c>
      <c r="O372" s="29"/>
      <c r="P372" s="29"/>
      <c r="Q372" s="29"/>
      <c r="R372" s="32"/>
      <c r="S372" s="29"/>
    </row>
    <row r="373" spans="1:19" ht="19.5" hidden="1" customHeight="1" outlineLevel="1">
      <c r="A373" s="23">
        <v>51</v>
      </c>
      <c r="B373" s="24">
        <f>IF(4&lt;=DAY(DATE(YEAR(설정_코스수당!$K$2),MONTH(설정_코스수당!$K$2)+1,0)),DATE(YEAR(설정_코스수당!$K$2),MONTH(설정_코스수당!$K$2),4),"")</f>
        <v>46177</v>
      </c>
      <c r="C373" s="25"/>
      <c r="D373" s="23"/>
      <c r="E373" s="23"/>
      <c r="F373" s="26"/>
      <c r="G373" s="23"/>
      <c r="H373" s="23"/>
      <c r="I373" s="23"/>
      <c r="J373" s="27">
        <f>IF($O373="방문완료",MAX(0,IFERROR(VLOOKUP($E373,설정_코스수당!$A$6:$H$10,4,FALSE),0)-IF(OR($P373="",$P373="없음"),0,100000)),0)</f>
        <v>0</v>
      </c>
      <c r="K373" s="27">
        <f t="array" ref="K373">IF($O373="방문완료",IFERROR(INDEX(설정_코스수당!$B$15:$F$64,MATCH($G373,설정_코스수당!$A$15:$A$64,0),MATCH($E373&amp;"수당",설정_코스수당!$B$14:$F$14,0)),0),0)</f>
        <v>0</v>
      </c>
      <c r="L373" s="27">
        <f t="array" ref="L373">IF($O373="방문완료",IF($H373="",0,IFERROR(INDEX(설정_코스수당!$B$15:$F$64,MATCH($H373,설정_코스수당!$A$15:$A$64,0),MATCH($E373&amp;"수당",설정_코스수당!$B$14:$F$14,0)),0)),0)</f>
        <v>0</v>
      </c>
      <c r="M373" s="27">
        <f>IF($O373="방문완료",IFERROR(VLOOKUP($E373,설정_코스수당!$A$6:$H$10,6,FALSE),0),0)</f>
        <v>0</v>
      </c>
      <c r="N373" s="28">
        <f t="shared" si="10"/>
        <v>0</v>
      </c>
      <c r="O373" s="23"/>
      <c r="P373" s="23"/>
      <c r="Q373" s="23"/>
      <c r="R373" s="26"/>
      <c r="S373" s="23"/>
    </row>
    <row r="374" spans="1:19" ht="19.5" hidden="1" customHeight="1" outlineLevel="1">
      <c r="A374" s="29">
        <v>52</v>
      </c>
      <c r="B374" s="30">
        <f>IF(4&lt;=DAY(DATE(YEAR(설정_코스수당!$K$2),MONTH(설정_코스수당!$K$2)+1,0)),DATE(YEAR(설정_코스수당!$K$2),MONTH(설정_코스수당!$K$2),4),"")</f>
        <v>46177</v>
      </c>
      <c r="C374" s="31"/>
      <c r="D374" s="29"/>
      <c r="E374" s="29"/>
      <c r="F374" s="32"/>
      <c r="G374" s="29"/>
      <c r="H374" s="29"/>
      <c r="I374" s="29"/>
      <c r="J374" s="33">
        <f>IF($O374="방문완료",MAX(0,IFERROR(VLOOKUP($E374,설정_코스수당!$A$6:$H$10,4,FALSE),0)-IF(OR($P374="",$P374="없음"),0,100000)),0)</f>
        <v>0</v>
      </c>
      <c r="K374" s="33">
        <f t="array" ref="K374">IF($O374="방문완료",IFERROR(INDEX(설정_코스수당!$B$15:$F$64,MATCH($G374,설정_코스수당!$A$15:$A$64,0),MATCH($E374&amp;"수당",설정_코스수당!$B$14:$F$14,0)),0),0)</f>
        <v>0</v>
      </c>
      <c r="L374" s="33">
        <f t="array" ref="L374">IF($O374="방문완료",IF($H374="",0,IFERROR(INDEX(설정_코스수당!$B$15:$F$64,MATCH($H374,설정_코스수당!$A$15:$A$64,0),MATCH($E374&amp;"수당",설정_코스수당!$B$14:$F$14,0)),0)),0)</f>
        <v>0</v>
      </c>
      <c r="M374" s="33">
        <f>IF($O374="방문완료",IFERROR(VLOOKUP($E374,설정_코스수당!$A$6:$H$10,6,FALSE),0),0)</f>
        <v>0</v>
      </c>
      <c r="N374" s="34">
        <f t="shared" si="10"/>
        <v>0</v>
      </c>
      <c r="O374" s="29"/>
      <c r="P374" s="29"/>
      <c r="Q374" s="29"/>
      <c r="R374" s="32"/>
      <c r="S374" s="29"/>
    </row>
    <row r="375" spans="1:19" ht="19.5" hidden="1" customHeight="1" outlineLevel="1">
      <c r="A375" s="23">
        <v>53</v>
      </c>
      <c r="B375" s="24">
        <f>IF(4&lt;=DAY(DATE(YEAR(설정_코스수당!$K$2),MONTH(설정_코스수당!$K$2)+1,0)),DATE(YEAR(설정_코스수당!$K$2),MONTH(설정_코스수당!$K$2),4),"")</f>
        <v>46177</v>
      </c>
      <c r="C375" s="25"/>
      <c r="D375" s="23"/>
      <c r="E375" s="23"/>
      <c r="F375" s="26"/>
      <c r="G375" s="23"/>
      <c r="H375" s="23"/>
      <c r="I375" s="23"/>
      <c r="J375" s="27">
        <f>IF($O375="방문완료",MAX(0,IFERROR(VLOOKUP($E375,설정_코스수당!$A$6:$H$10,4,FALSE),0)-IF(OR($P375="",$P375="없음"),0,100000)),0)</f>
        <v>0</v>
      </c>
      <c r="K375" s="27">
        <f t="array" ref="K375">IF($O375="방문완료",IFERROR(INDEX(설정_코스수당!$B$15:$F$64,MATCH($G375,설정_코스수당!$A$15:$A$64,0),MATCH($E375&amp;"수당",설정_코스수당!$B$14:$F$14,0)),0),0)</f>
        <v>0</v>
      </c>
      <c r="L375" s="27">
        <f t="array" ref="L375">IF($O375="방문완료",IF($H375="",0,IFERROR(INDEX(설정_코스수당!$B$15:$F$64,MATCH($H375,설정_코스수당!$A$15:$A$64,0),MATCH($E375&amp;"수당",설정_코스수당!$B$14:$F$14,0)),0)),0)</f>
        <v>0</v>
      </c>
      <c r="M375" s="27">
        <f>IF($O375="방문완료",IFERROR(VLOOKUP($E375,설정_코스수당!$A$6:$H$10,6,FALSE),0),0)</f>
        <v>0</v>
      </c>
      <c r="N375" s="28">
        <f t="shared" si="10"/>
        <v>0</v>
      </c>
      <c r="O375" s="23"/>
      <c r="P375" s="23"/>
      <c r="Q375" s="23"/>
      <c r="R375" s="26"/>
      <c r="S375" s="23"/>
    </row>
    <row r="376" spans="1:19" ht="19.5" hidden="1" customHeight="1" outlineLevel="1">
      <c r="A376" s="29">
        <v>54</v>
      </c>
      <c r="B376" s="30">
        <f>IF(4&lt;=DAY(DATE(YEAR(설정_코스수당!$K$2),MONTH(설정_코스수당!$K$2)+1,0)),DATE(YEAR(설정_코스수당!$K$2),MONTH(설정_코스수당!$K$2),4),"")</f>
        <v>46177</v>
      </c>
      <c r="C376" s="31"/>
      <c r="D376" s="29"/>
      <c r="E376" s="29"/>
      <c r="F376" s="32"/>
      <c r="G376" s="29"/>
      <c r="H376" s="29"/>
      <c r="I376" s="29"/>
      <c r="J376" s="33">
        <f>IF($O376="방문완료",MAX(0,IFERROR(VLOOKUP($E376,설정_코스수당!$A$6:$H$10,4,FALSE),0)-IF(OR($P376="",$P376="없음"),0,100000)),0)</f>
        <v>0</v>
      </c>
      <c r="K376" s="33">
        <f t="array" ref="K376">IF($O376="방문완료",IFERROR(INDEX(설정_코스수당!$B$15:$F$64,MATCH($G376,설정_코스수당!$A$15:$A$64,0),MATCH($E376&amp;"수당",설정_코스수당!$B$14:$F$14,0)),0),0)</f>
        <v>0</v>
      </c>
      <c r="L376" s="33">
        <f t="array" ref="L376">IF($O376="방문완료",IF($H376="",0,IFERROR(INDEX(설정_코스수당!$B$15:$F$64,MATCH($H376,설정_코스수당!$A$15:$A$64,0),MATCH($E376&amp;"수당",설정_코스수당!$B$14:$F$14,0)),0)),0)</f>
        <v>0</v>
      </c>
      <c r="M376" s="33">
        <f>IF($O376="방문완료",IFERROR(VLOOKUP($E376,설정_코스수당!$A$6:$H$10,6,FALSE),0),0)</f>
        <v>0</v>
      </c>
      <c r="N376" s="34">
        <f t="shared" si="10"/>
        <v>0</v>
      </c>
      <c r="O376" s="29"/>
      <c r="P376" s="29"/>
      <c r="Q376" s="29"/>
      <c r="R376" s="32"/>
      <c r="S376" s="29"/>
    </row>
    <row r="377" spans="1:19" ht="19.5" hidden="1" customHeight="1" outlineLevel="1">
      <c r="A377" s="23">
        <v>55</v>
      </c>
      <c r="B377" s="24">
        <f>IF(4&lt;=DAY(DATE(YEAR(설정_코스수당!$K$2),MONTH(설정_코스수당!$K$2)+1,0)),DATE(YEAR(설정_코스수당!$K$2),MONTH(설정_코스수당!$K$2),4),"")</f>
        <v>46177</v>
      </c>
      <c r="C377" s="25"/>
      <c r="D377" s="23"/>
      <c r="E377" s="23"/>
      <c r="F377" s="26"/>
      <c r="G377" s="23"/>
      <c r="H377" s="23"/>
      <c r="I377" s="23"/>
      <c r="J377" s="27">
        <f>IF($O377="방문완료",MAX(0,IFERROR(VLOOKUP($E377,설정_코스수당!$A$6:$H$10,4,FALSE),0)-IF(OR($P377="",$P377="없음"),0,100000)),0)</f>
        <v>0</v>
      </c>
      <c r="K377" s="27">
        <f t="array" ref="K377">IF($O377="방문완료",IFERROR(INDEX(설정_코스수당!$B$15:$F$64,MATCH($G377,설정_코스수당!$A$15:$A$64,0),MATCH($E377&amp;"수당",설정_코스수당!$B$14:$F$14,0)),0),0)</f>
        <v>0</v>
      </c>
      <c r="L377" s="27">
        <f t="array" ref="L377">IF($O377="방문완료",IF($H377="",0,IFERROR(INDEX(설정_코스수당!$B$15:$F$64,MATCH($H377,설정_코스수당!$A$15:$A$64,0),MATCH($E377&amp;"수당",설정_코스수당!$B$14:$F$14,0)),0)),0)</f>
        <v>0</v>
      </c>
      <c r="M377" s="27">
        <f>IF($O377="방문완료",IFERROR(VLOOKUP($E377,설정_코스수당!$A$6:$H$10,6,FALSE),0),0)</f>
        <v>0</v>
      </c>
      <c r="N377" s="28">
        <f t="shared" si="10"/>
        <v>0</v>
      </c>
      <c r="O377" s="23"/>
      <c r="P377" s="23"/>
      <c r="Q377" s="23"/>
      <c r="R377" s="26"/>
      <c r="S377" s="23"/>
    </row>
    <row r="378" spans="1:19" ht="19.5" hidden="1" customHeight="1" outlineLevel="1">
      <c r="A378" s="29">
        <v>56</v>
      </c>
      <c r="B378" s="30">
        <f>IF(4&lt;=DAY(DATE(YEAR(설정_코스수당!$K$2),MONTH(설정_코스수당!$K$2)+1,0)),DATE(YEAR(설정_코스수당!$K$2),MONTH(설정_코스수당!$K$2),4),"")</f>
        <v>46177</v>
      </c>
      <c r="C378" s="31"/>
      <c r="D378" s="29"/>
      <c r="E378" s="29"/>
      <c r="F378" s="32"/>
      <c r="G378" s="29"/>
      <c r="H378" s="29"/>
      <c r="I378" s="29"/>
      <c r="J378" s="33">
        <f>IF($O378="방문완료",MAX(0,IFERROR(VLOOKUP($E378,설정_코스수당!$A$6:$H$10,4,FALSE),0)-IF(OR($P378="",$P378="없음"),0,100000)),0)</f>
        <v>0</v>
      </c>
      <c r="K378" s="33">
        <f t="array" ref="K378">IF($O378="방문완료",IFERROR(INDEX(설정_코스수당!$B$15:$F$64,MATCH($G378,설정_코스수당!$A$15:$A$64,0),MATCH($E378&amp;"수당",설정_코스수당!$B$14:$F$14,0)),0),0)</f>
        <v>0</v>
      </c>
      <c r="L378" s="33">
        <f t="array" ref="L378">IF($O378="방문완료",IF($H378="",0,IFERROR(INDEX(설정_코스수당!$B$15:$F$64,MATCH($H378,설정_코스수당!$A$15:$A$64,0),MATCH($E378&amp;"수당",설정_코스수당!$B$14:$F$14,0)),0)),0)</f>
        <v>0</v>
      </c>
      <c r="M378" s="33">
        <f>IF($O378="방문완료",IFERROR(VLOOKUP($E378,설정_코스수당!$A$6:$H$10,6,FALSE),0),0)</f>
        <v>0</v>
      </c>
      <c r="N378" s="34">
        <f t="shared" si="10"/>
        <v>0</v>
      </c>
      <c r="O378" s="29"/>
      <c r="P378" s="29"/>
      <c r="Q378" s="29"/>
      <c r="R378" s="32"/>
      <c r="S378" s="29"/>
    </row>
    <row r="379" spans="1:19" ht="19.5" hidden="1" customHeight="1" outlineLevel="1">
      <c r="A379" s="23">
        <v>57</v>
      </c>
      <c r="B379" s="24">
        <f>IF(4&lt;=DAY(DATE(YEAR(설정_코스수당!$K$2),MONTH(설정_코스수당!$K$2)+1,0)),DATE(YEAR(설정_코스수당!$K$2),MONTH(설정_코스수당!$K$2),4),"")</f>
        <v>46177</v>
      </c>
      <c r="C379" s="25"/>
      <c r="D379" s="23"/>
      <c r="E379" s="23"/>
      <c r="F379" s="26"/>
      <c r="G379" s="23"/>
      <c r="H379" s="23"/>
      <c r="I379" s="23"/>
      <c r="J379" s="27">
        <f>IF($O379="방문완료",MAX(0,IFERROR(VLOOKUP($E379,설정_코스수당!$A$6:$H$10,4,FALSE),0)-IF(OR($P379="",$P379="없음"),0,100000)),0)</f>
        <v>0</v>
      </c>
      <c r="K379" s="27">
        <f t="array" ref="K379">IF($O379="방문완료",IFERROR(INDEX(설정_코스수당!$B$15:$F$64,MATCH($G379,설정_코스수당!$A$15:$A$64,0),MATCH($E379&amp;"수당",설정_코스수당!$B$14:$F$14,0)),0),0)</f>
        <v>0</v>
      </c>
      <c r="L379" s="27">
        <f t="array" ref="L379">IF($O379="방문완료",IF($H379="",0,IFERROR(INDEX(설정_코스수당!$B$15:$F$64,MATCH($H379,설정_코스수당!$A$15:$A$64,0),MATCH($E379&amp;"수당",설정_코스수당!$B$14:$F$14,0)),0)),0)</f>
        <v>0</v>
      </c>
      <c r="M379" s="27">
        <f>IF($O379="방문완료",IFERROR(VLOOKUP($E379,설정_코스수당!$A$6:$H$10,6,FALSE),0),0)</f>
        <v>0</v>
      </c>
      <c r="N379" s="28">
        <f t="shared" si="10"/>
        <v>0</v>
      </c>
      <c r="O379" s="23"/>
      <c r="P379" s="23"/>
      <c r="Q379" s="23"/>
      <c r="R379" s="26"/>
      <c r="S379" s="23"/>
    </row>
    <row r="380" spans="1:19" ht="19.5" hidden="1" customHeight="1" outlineLevel="1">
      <c r="A380" s="29">
        <v>58</v>
      </c>
      <c r="B380" s="30">
        <f>IF(4&lt;=DAY(DATE(YEAR(설정_코스수당!$K$2),MONTH(설정_코스수당!$K$2)+1,0)),DATE(YEAR(설정_코스수당!$K$2),MONTH(설정_코스수당!$K$2),4),"")</f>
        <v>46177</v>
      </c>
      <c r="C380" s="31"/>
      <c r="D380" s="29"/>
      <c r="E380" s="29"/>
      <c r="F380" s="32"/>
      <c r="G380" s="29"/>
      <c r="H380" s="29"/>
      <c r="I380" s="29"/>
      <c r="J380" s="33">
        <f>IF($O380="방문완료",MAX(0,IFERROR(VLOOKUP($E380,설정_코스수당!$A$6:$H$10,4,FALSE),0)-IF(OR($P380="",$P380="없음"),0,100000)),0)</f>
        <v>0</v>
      </c>
      <c r="K380" s="33">
        <f t="array" ref="K380">IF($O380="방문완료",IFERROR(INDEX(설정_코스수당!$B$15:$F$64,MATCH($G380,설정_코스수당!$A$15:$A$64,0),MATCH($E380&amp;"수당",설정_코스수당!$B$14:$F$14,0)),0),0)</f>
        <v>0</v>
      </c>
      <c r="L380" s="33">
        <f t="array" ref="L380">IF($O380="방문완료",IF($H380="",0,IFERROR(INDEX(설정_코스수당!$B$15:$F$64,MATCH($H380,설정_코스수당!$A$15:$A$64,0),MATCH($E380&amp;"수당",설정_코스수당!$B$14:$F$14,0)),0)),0)</f>
        <v>0</v>
      </c>
      <c r="M380" s="33">
        <f>IF($O380="방문완료",IFERROR(VLOOKUP($E380,설정_코스수당!$A$6:$H$10,6,FALSE),0),0)</f>
        <v>0</v>
      </c>
      <c r="N380" s="34">
        <f t="shared" si="10"/>
        <v>0</v>
      </c>
      <c r="O380" s="29"/>
      <c r="P380" s="29"/>
      <c r="Q380" s="29"/>
      <c r="R380" s="32"/>
      <c r="S380" s="29"/>
    </row>
    <row r="381" spans="1:19" ht="19.5" hidden="1" customHeight="1" outlineLevel="1">
      <c r="A381" s="23">
        <v>59</v>
      </c>
      <c r="B381" s="24">
        <f>IF(4&lt;=DAY(DATE(YEAR(설정_코스수당!$K$2),MONTH(설정_코스수당!$K$2)+1,0)),DATE(YEAR(설정_코스수당!$K$2),MONTH(설정_코스수당!$K$2),4),"")</f>
        <v>46177</v>
      </c>
      <c r="C381" s="25"/>
      <c r="D381" s="23"/>
      <c r="E381" s="23"/>
      <c r="F381" s="26"/>
      <c r="G381" s="23"/>
      <c r="H381" s="23"/>
      <c r="I381" s="23"/>
      <c r="J381" s="27">
        <f>IF($O381="방문완료",MAX(0,IFERROR(VLOOKUP($E381,설정_코스수당!$A$6:$H$10,4,FALSE),0)-IF(OR($P381="",$P381="없음"),0,100000)),0)</f>
        <v>0</v>
      </c>
      <c r="K381" s="27">
        <f t="array" ref="K381">IF($O381="방문완료",IFERROR(INDEX(설정_코스수당!$B$15:$F$64,MATCH($G381,설정_코스수당!$A$15:$A$64,0),MATCH($E381&amp;"수당",설정_코스수당!$B$14:$F$14,0)),0),0)</f>
        <v>0</v>
      </c>
      <c r="L381" s="27">
        <f t="array" ref="L381">IF($O381="방문완료",IF($H381="",0,IFERROR(INDEX(설정_코스수당!$B$15:$F$64,MATCH($H381,설정_코스수당!$A$15:$A$64,0),MATCH($E381&amp;"수당",설정_코스수당!$B$14:$F$14,0)),0)),0)</f>
        <v>0</v>
      </c>
      <c r="M381" s="27">
        <f>IF($O381="방문완료",IFERROR(VLOOKUP($E381,설정_코스수당!$A$6:$H$10,6,FALSE),0),0)</f>
        <v>0</v>
      </c>
      <c r="N381" s="28">
        <f t="shared" si="10"/>
        <v>0</v>
      </c>
      <c r="O381" s="23"/>
      <c r="P381" s="23"/>
      <c r="Q381" s="23"/>
      <c r="R381" s="26"/>
      <c r="S381" s="23"/>
    </row>
    <row r="382" spans="1:19" ht="19.5" hidden="1" customHeight="1" outlineLevel="1">
      <c r="A382" s="29">
        <v>60</v>
      </c>
      <c r="B382" s="30">
        <f>IF(4&lt;=DAY(DATE(YEAR(설정_코스수당!$K$2),MONTH(설정_코스수당!$K$2)+1,0)),DATE(YEAR(설정_코스수당!$K$2),MONTH(설정_코스수당!$K$2),4),"")</f>
        <v>46177</v>
      </c>
      <c r="C382" s="31"/>
      <c r="D382" s="29"/>
      <c r="E382" s="29"/>
      <c r="F382" s="32"/>
      <c r="G382" s="29"/>
      <c r="H382" s="29"/>
      <c r="I382" s="29"/>
      <c r="J382" s="33">
        <f>IF($O382="방문완료",MAX(0,IFERROR(VLOOKUP($E382,설정_코스수당!$A$6:$H$10,4,FALSE),0)-IF(OR($P382="",$P382="없음"),0,100000)),0)</f>
        <v>0</v>
      </c>
      <c r="K382" s="33">
        <f t="array" ref="K382">IF($O382="방문완료",IFERROR(INDEX(설정_코스수당!$B$15:$F$64,MATCH($G382,설정_코스수당!$A$15:$A$64,0),MATCH($E382&amp;"수당",설정_코스수당!$B$14:$F$14,0)),0),0)</f>
        <v>0</v>
      </c>
      <c r="L382" s="33">
        <f t="array" ref="L382">IF($O382="방문완료",IF($H382="",0,IFERROR(INDEX(설정_코스수당!$B$15:$F$64,MATCH($H382,설정_코스수당!$A$15:$A$64,0),MATCH($E382&amp;"수당",설정_코스수당!$B$14:$F$14,0)),0)),0)</f>
        <v>0</v>
      </c>
      <c r="M382" s="33">
        <f>IF($O382="방문완료",IFERROR(VLOOKUP($E382,설정_코스수당!$A$6:$H$10,6,FALSE),0),0)</f>
        <v>0</v>
      </c>
      <c r="N382" s="34">
        <f t="shared" si="10"/>
        <v>0</v>
      </c>
      <c r="O382" s="29"/>
      <c r="P382" s="29"/>
      <c r="Q382" s="29"/>
      <c r="R382" s="32"/>
      <c r="S382" s="29"/>
    </row>
    <row r="383" spans="1:19" ht="19.5" hidden="1" customHeight="1" outlineLevel="1">
      <c r="A383" s="23">
        <v>61</v>
      </c>
      <c r="B383" s="24">
        <f>IF(4&lt;=DAY(DATE(YEAR(설정_코스수당!$K$2),MONTH(설정_코스수당!$K$2)+1,0)),DATE(YEAR(설정_코스수당!$K$2),MONTH(설정_코스수당!$K$2),4),"")</f>
        <v>46177</v>
      </c>
      <c r="C383" s="25"/>
      <c r="D383" s="23"/>
      <c r="E383" s="23"/>
      <c r="F383" s="26"/>
      <c r="G383" s="23"/>
      <c r="H383" s="23"/>
      <c r="I383" s="23"/>
      <c r="J383" s="27">
        <f>IF($O383="방문완료",MAX(0,IFERROR(VLOOKUP($E383,설정_코스수당!$A$6:$H$10,4,FALSE),0)-IF(OR($P383="",$P383="없음"),0,100000)),0)</f>
        <v>0</v>
      </c>
      <c r="K383" s="27">
        <f t="array" ref="K383">IF($O383="방문완료",IFERROR(INDEX(설정_코스수당!$B$15:$F$64,MATCH($G383,설정_코스수당!$A$15:$A$64,0),MATCH($E383&amp;"수당",설정_코스수당!$B$14:$F$14,0)),0),0)</f>
        <v>0</v>
      </c>
      <c r="L383" s="27">
        <f t="array" ref="L383">IF($O383="방문완료",IF($H383="",0,IFERROR(INDEX(설정_코스수당!$B$15:$F$64,MATCH($H383,설정_코스수당!$A$15:$A$64,0),MATCH($E383&amp;"수당",설정_코스수당!$B$14:$F$14,0)),0)),0)</f>
        <v>0</v>
      </c>
      <c r="M383" s="27">
        <f>IF($O383="방문완료",IFERROR(VLOOKUP($E383,설정_코스수당!$A$6:$H$10,6,FALSE),0),0)</f>
        <v>0</v>
      </c>
      <c r="N383" s="28">
        <f t="shared" si="10"/>
        <v>0</v>
      </c>
      <c r="O383" s="23"/>
      <c r="P383" s="23"/>
      <c r="Q383" s="23"/>
      <c r="R383" s="26"/>
      <c r="S383" s="23"/>
    </row>
    <row r="384" spans="1:19" ht="19.5" hidden="1" customHeight="1" outlineLevel="1">
      <c r="A384" s="29">
        <v>62</v>
      </c>
      <c r="B384" s="30">
        <f>IF(4&lt;=DAY(DATE(YEAR(설정_코스수당!$K$2),MONTH(설정_코스수당!$K$2)+1,0)),DATE(YEAR(설정_코스수당!$K$2),MONTH(설정_코스수당!$K$2),4),"")</f>
        <v>46177</v>
      </c>
      <c r="C384" s="31"/>
      <c r="D384" s="29"/>
      <c r="E384" s="29"/>
      <c r="F384" s="32"/>
      <c r="G384" s="29"/>
      <c r="H384" s="29"/>
      <c r="I384" s="29"/>
      <c r="J384" s="33">
        <f>IF($O384="방문완료",MAX(0,IFERROR(VLOOKUP($E384,설정_코스수당!$A$6:$H$10,4,FALSE),0)-IF(OR($P384="",$P384="없음"),0,100000)),0)</f>
        <v>0</v>
      </c>
      <c r="K384" s="33">
        <f t="array" ref="K384">IF($O384="방문완료",IFERROR(INDEX(설정_코스수당!$B$15:$F$64,MATCH($G384,설정_코스수당!$A$15:$A$64,0),MATCH($E384&amp;"수당",설정_코스수당!$B$14:$F$14,0)),0),0)</f>
        <v>0</v>
      </c>
      <c r="L384" s="33">
        <f t="array" ref="L384">IF($O384="방문완료",IF($H384="",0,IFERROR(INDEX(설정_코스수당!$B$15:$F$64,MATCH($H384,설정_코스수당!$A$15:$A$64,0),MATCH($E384&amp;"수당",설정_코스수당!$B$14:$F$14,0)),0)),0)</f>
        <v>0</v>
      </c>
      <c r="M384" s="33">
        <f>IF($O384="방문완료",IFERROR(VLOOKUP($E384,설정_코스수당!$A$6:$H$10,6,FALSE),0),0)</f>
        <v>0</v>
      </c>
      <c r="N384" s="34">
        <f t="shared" si="10"/>
        <v>0</v>
      </c>
      <c r="O384" s="29"/>
      <c r="P384" s="29"/>
      <c r="Q384" s="29"/>
      <c r="R384" s="32"/>
      <c r="S384" s="29"/>
    </row>
    <row r="385" spans="1:19" ht="19.5" hidden="1" customHeight="1" outlineLevel="1">
      <c r="A385" s="23">
        <v>63</v>
      </c>
      <c r="B385" s="24">
        <f>IF(4&lt;=DAY(DATE(YEAR(설정_코스수당!$K$2),MONTH(설정_코스수당!$K$2)+1,0)),DATE(YEAR(설정_코스수당!$K$2),MONTH(설정_코스수당!$K$2),4),"")</f>
        <v>46177</v>
      </c>
      <c r="C385" s="25"/>
      <c r="D385" s="23"/>
      <c r="E385" s="23"/>
      <c r="F385" s="26"/>
      <c r="G385" s="23"/>
      <c r="H385" s="23"/>
      <c r="I385" s="23"/>
      <c r="J385" s="27">
        <f>IF($O385="방문완료",MAX(0,IFERROR(VLOOKUP($E385,설정_코스수당!$A$6:$H$10,4,FALSE),0)-IF(OR($P385="",$P385="없음"),0,100000)),0)</f>
        <v>0</v>
      </c>
      <c r="K385" s="27">
        <f t="array" ref="K385">IF($O385="방문완료",IFERROR(INDEX(설정_코스수당!$B$15:$F$64,MATCH($G385,설정_코스수당!$A$15:$A$64,0),MATCH($E385&amp;"수당",설정_코스수당!$B$14:$F$14,0)),0),0)</f>
        <v>0</v>
      </c>
      <c r="L385" s="27">
        <f t="array" ref="L385">IF($O385="방문완료",IF($H385="",0,IFERROR(INDEX(설정_코스수당!$B$15:$F$64,MATCH($H385,설정_코스수당!$A$15:$A$64,0),MATCH($E385&amp;"수당",설정_코스수당!$B$14:$F$14,0)),0)),0)</f>
        <v>0</v>
      </c>
      <c r="M385" s="27">
        <f>IF($O385="방문완료",IFERROR(VLOOKUP($E385,설정_코스수당!$A$6:$H$10,6,FALSE),0),0)</f>
        <v>0</v>
      </c>
      <c r="N385" s="28">
        <f t="shared" si="10"/>
        <v>0</v>
      </c>
      <c r="O385" s="23"/>
      <c r="P385" s="23"/>
      <c r="Q385" s="23"/>
      <c r="R385" s="26"/>
      <c r="S385" s="23"/>
    </row>
    <row r="386" spans="1:19" ht="19.5" hidden="1" customHeight="1" outlineLevel="1">
      <c r="A386" s="29">
        <v>64</v>
      </c>
      <c r="B386" s="30">
        <f>IF(4&lt;=DAY(DATE(YEAR(설정_코스수당!$K$2),MONTH(설정_코스수당!$K$2)+1,0)),DATE(YEAR(설정_코스수당!$K$2),MONTH(설정_코스수당!$K$2),4),"")</f>
        <v>46177</v>
      </c>
      <c r="C386" s="31"/>
      <c r="D386" s="29"/>
      <c r="E386" s="29"/>
      <c r="F386" s="32"/>
      <c r="G386" s="29"/>
      <c r="H386" s="29"/>
      <c r="I386" s="29"/>
      <c r="J386" s="33">
        <f>IF($O386="방문완료",MAX(0,IFERROR(VLOOKUP($E386,설정_코스수당!$A$6:$H$10,4,FALSE),0)-IF(OR($P386="",$P386="없음"),0,100000)),0)</f>
        <v>0</v>
      </c>
      <c r="K386" s="33">
        <f t="array" ref="K386">IF($O386="방문완료",IFERROR(INDEX(설정_코스수당!$B$15:$F$64,MATCH($G386,설정_코스수당!$A$15:$A$64,0),MATCH($E386&amp;"수당",설정_코스수당!$B$14:$F$14,0)),0),0)</f>
        <v>0</v>
      </c>
      <c r="L386" s="33">
        <f t="array" ref="L386">IF($O386="방문완료",IF($H386="",0,IFERROR(INDEX(설정_코스수당!$B$15:$F$64,MATCH($H386,설정_코스수당!$A$15:$A$64,0),MATCH($E386&amp;"수당",설정_코스수당!$B$14:$F$14,0)),0)),0)</f>
        <v>0</v>
      </c>
      <c r="M386" s="33">
        <f>IF($O386="방문완료",IFERROR(VLOOKUP($E386,설정_코스수당!$A$6:$H$10,6,FALSE),0),0)</f>
        <v>0</v>
      </c>
      <c r="N386" s="34">
        <f t="shared" si="10"/>
        <v>0</v>
      </c>
      <c r="O386" s="29"/>
      <c r="P386" s="29"/>
      <c r="Q386" s="29"/>
      <c r="R386" s="32"/>
      <c r="S386" s="29"/>
    </row>
    <row r="387" spans="1:19" ht="19.5" hidden="1" customHeight="1" outlineLevel="1">
      <c r="A387" s="23">
        <v>65</v>
      </c>
      <c r="B387" s="24">
        <f>IF(4&lt;=DAY(DATE(YEAR(설정_코스수당!$K$2),MONTH(설정_코스수당!$K$2)+1,0)),DATE(YEAR(설정_코스수당!$K$2),MONTH(설정_코스수당!$K$2),4),"")</f>
        <v>46177</v>
      </c>
      <c r="C387" s="25"/>
      <c r="D387" s="23"/>
      <c r="E387" s="23"/>
      <c r="F387" s="26"/>
      <c r="G387" s="23"/>
      <c r="H387" s="23"/>
      <c r="I387" s="23"/>
      <c r="J387" s="27">
        <f>IF($O387="방문완료",MAX(0,IFERROR(VLOOKUP($E387,설정_코스수당!$A$6:$H$10,4,FALSE),0)-IF(OR($P387="",$P387="없음"),0,100000)),0)</f>
        <v>0</v>
      </c>
      <c r="K387" s="27">
        <f t="array" ref="K387">IF($O387="방문완료",IFERROR(INDEX(설정_코스수당!$B$15:$F$64,MATCH($G387,설정_코스수당!$A$15:$A$64,0),MATCH($E387&amp;"수당",설정_코스수당!$B$14:$F$14,0)),0),0)</f>
        <v>0</v>
      </c>
      <c r="L387" s="27">
        <f t="array" ref="L387">IF($O387="방문완료",IF($H387="",0,IFERROR(INDEX(설정_코스수당!$B$15:$F$64,MATCH($H387,설정_코스수당!$A$15:$A$64,0),MATCH($E387&amp;"수당",설정_코스수당!$B$14:$F$14,0)),0)),0)</f>
        <v>0</v>
      </c>
      <c r="M387" s="27">
        <f>IF($O387="방문완료",IFERROR(VLOOKUP($E387,설정_코스수당!$A$6:$H$10,6,FALSE),0),0)</f>
        <v>0</v>
      </c>
      <c r="N387" s="28">
        <f t="shared" ref="N387:N422" si="11">IF($O387="방문완료",1,0)</f>
        <v>0</v>
      </c>
      <c r="O387" s="23"/>
      <c r="P387" s="23"/>
      <c r="Q387" s="23"/>
      <c r="R387" s="26"/>
      <c r="S387" s="23"/>
    </row>
    <row r="388" spans="1:19" ht="19.5" hidden="1" customHeight="1" outlineLevel="1">
      <c r="A388" s="29">
        <v>66</v>
      </c>
      <c r="B388" s="30">
        <f>IF(4&lt;=DAY(DATE(YEAR(설정_코스수당!$K$2),MONTH(설정_코스수당!$K$2)+1,0)),DATE(YEAR(설정_코스수당!$K$2),MONTH(설정_코스수당!$K$2),4),"")</f>
        <v>46177</v>
      </c>
      <c r="C388" s="31"/>
      <c r="D388" s="29"/>
      <c r="E388" s="29"/>
      <c r="F388" s="32"/>
      <c r="G388" s="29"/>
      <c r="H388" s="29"/>
      <c r="I388" s="29"/>
      <c r="J388" s="33">
        <f>IF($O388="방문완료",MAX(0,IFERROR(VLOOKUP($E388,설정_코스수당!$A$6:$H$10,4,FALSE),0)-IF(OR($P388="",$P388="없음"),0,100000)),0)</f>
        <v>0</v>
      </c>
      <c r="K388" s="33">
        <f t="array" ref="K388">IF($O388="방문완료",IFERROR(INDEX(설정_코스수당!$B$15:$F$64,MATCH($G388,설정_코스수당!$A$15:$A$64,0),MATCH($E388&amp;"수당",설정_코스수당!$B$14:$F$14,0)),0),0)</f>
        <v>0</v>
      </c>
      <c r="L388" s="33">
        <f t="array" ref="L388">IF($O388="방문완료",IF($H388="",0,IFERROR(INDEX(설정_코스수당!$B$15:$F$64,MATCH($H388,설정_코스수당!$A$15:$A$64,0),MATCH($E388&amp;"수당",설정_코스수당!$B$14:$F$14,0)),0)),0)</f>
        <v>0</v>
      </c>
      <c r="M388" s="33">
        <f>IF($O388="방문완료",IFERROR(VLOOKUP($E388,설정_코스수당!$A$6:$H$10,6,FALSE),0),0)</f>
        <v>0</v>
      </c>
      <c r="N388" s="34">
        <f t="shared" si="11"/>
        <v>0</v>
      </c>
      <c r="O388" s="29"/>
      <c r="P388" s="29"/>
      <c r="Q388" s="29"/>
      <c r="R388" s="32"/>
      <c r="S388" s="29"/>
    </row>
    <row r="389" spans="1:19" ht="19.5" hidden="1" customHeight="1" outlineLevel="1">
      <c r="A389" s="23">
        <v>67</v>
      </c>
      <c r="B389" s="24">
        <f>IF(4&lt;=DAY(DATE(YEAR(설정_코스수당!$K$2),MONTH(설정_코스수당!$K$2)+1,0)),DATE(YEAR(설정_코스수당!$K$2),MONTH(설정_코스수당!$K$2),4),"")</f>
        <v>46177</v>
      </c>
      <c r="C389" s="25"/>
      <c r="D389" s="23"/>
      <c r="E389" s="23"/>
      <c r="F389" s="26"/>
      <c r="G389" s="23"/>
      <c r="H389" s="23"/>
      <c r="I389" s="23"/>
      <c r="J389" s="27">
        <f>IF($O389="방문완료",MAX(0,IFERROR(VLOOKUP($E389,설정_코스수당!$A$6:$H$10,4,FALSE),0)-IF(OR($P389="",$P389="없음"),0,100000)),0)</f>
        <v>0</v>
      </c>
      <c r="K389" s="27">
        <f t="array" ref="K389">IF($O389="방문완료",IFERROR(INDEX(설정_코스수당!$B$15:$F$64,MATCH($G389,설정_코스수당!$A$15:$A$64,0),MATCH($E389&amp;"수당",설정_코스수당!$B$14:$F$14,0)),0),0)</f>
        <v>0</v>
      </c>
      <c r="L389" s="27">
        <f t="array" ref="L389">IF($O389="방문완료",IF($H389="",0,IFERROR(INDEX(설정_코스수당!$B$15:$F$64,MATCH($H389,설정_코스수당!$A$15:$A$64,0),MATCH($E389&amp;"수당",설정_코스수당!$B$14:$F$14,0)),0)),0)</f>
        <v>0</v>
      </c>
      <c r="M389" s="27">
        <f>IF($O389="방문완료",IFERROR(VLOOKUP($E389,설정_코스수당!$A$6:$H$10,6,FALSE),0),0)</f>
        <v>0</v>
      </c>
      <c r="N389" s="28">
        <f t="shared" si="11"/>
        <v>0</v>
      </c>
      <c r="O389" s="23"/>
      <c r="P389" s="23"/>
      <c r="Q389" s="23"/>
      <c r="R389" s="26"/>
      <c r="S389" s="23"/>
    </row>
    <row r="390" spans="1:19" ht="19.5" hidden="1" customHeight="1" outlineLevel="1">
      <c r="A390" s="29">
        <v>68</v>
      </c>
      <c r="B390" s="30">
        <f>IF(4&lt;=DAY(DATE(YEAR(설정_코스수당!$K$2),MONTH(설정_코스수당!$K$2)+1,0)),DATE(YEAR(설정_코스수당!$K$2),MONTH(설정_코스수당!$K$2),4),"")</f>
        <v>46177</v>
      </c>
      <c r="C390" s="31"/>
      <c r="D390" s="29"/>
      <c r="E390" s="29"/>
      <c r="F390" s="32"/>
      <c r="G390" s="29"/>
      <c r="H390" s="29"/>
      <c r="I390" s="29"/>
      <c r="J390" s="33">
        <f>IF($O390="방문완료",MAX(0,IFERROR(VLOOKUP($E390,설정_코스수당!$A$6:$H$10,4,FALSE),0)-IF(OR($P390="",$P390="없음"),0,100000)),0)</f>
        <v>0</v>
      </c>
      <c r="K390" s="33">
        <f t="array" ref="K390">IF($O390="방문완료",IFERROR(INDEX(설정_코스수당!$B$15:$F$64,MATCH($G390,설정_코스수당!$A$15:$A$64,0),MATCH($E390&amp;"수당",설정_코스수당!$B$14:$F$14,0)),0),0)</f>
        <v>0</v>
      </c>
      <c r="L390" s="33">
        <f t="array" ref="L390">IF($O390="방문완료",IF($H390="",0,IFERROR(INDEX(설정_코스수당!$B$15:$F$64,MATCH($H390,설정_코스수당!$A$15:$A$64,0),MATCH($E390&amp;"수당",설정_코스수당!$B$14:$F$14,0)),0)),0)</f>
        <v>0</v>
      </c>
      <c r="M390" s="33">
        <f>IF($O390="방문완료",IFERROR(VLOOKUP($E390,설정_코스수당!$A$6:$H$10,6,FALSE),0),0)</f>
        <v>0</v>
      </c>
      <c r="N390" s="34">
        <f t="shared" si="11"/>
        <v>0</v>
      </c>
      <c r="O390" s="29"/>
      <c r="P390" s="29"/>
      <c r="Q390" s="29"/>
      <c r="R390" s="32"/>
      <c r="S390" s="29"/>
    </row>
    <row r="391" spans="1:19" ht="19.5" hidden="1" customHeight="1" outlineLevel="1">
      <c r="A391" s="23">
        <v>69</v>
      </c>
      <c r="B391" s="24">
        <f>IF(4&lt;=DAY(DATE(YEAR(설정_코스수당!$K$2),MONTH(설정_코스수당!$K$2)+1,0)),DATE(YEAR(설정_코스수당!$K$2),MONTH(설정_코스수당!$K$2),4),"")</f>
        <v>46177</v>
      </c>
      <c r="C391" s="25"/>
      <c r="D391" s="23"/>
      <c r="E391" s="23"/>
      <c r="F391" s="26"/>
      <c r="G391" s="23"/>
      <c r="H391" s="23"/>
      <c r="I391" s="23"/>
      <c r="J391" s="27">
        <f>IF($O391="방문완료",MAX(0,IFERROR(VLOOKUP($E391,설정_코스수당!$A$6:$H$10,4,FALSE),0)-IF(OR($P391="",$P391="없음"),0,100000)),0)</f>
        <v>0</v>
      </c>
      <c r="K391" s="27">
        <f t="array" ref="K391">IF($O391="방문완료",IFERROR(INDEX(설정_코스수당!$B$15:$F$64,MATCH($G391,설정_코스수당!$A$15:$A$64,0),MATCH($E391&amp;"수당",설정_코스수당!$B$14:$F$14,0)),0),0)</f>
        <v>0</v>
      </c>
      <c r="L391" s="27">
        <f t="array" ref="L391">IF($O391="방문완료",IF($H391="",0,IFERROR(INDEX(설정_코스수당!$B$15:$F$64,MATCH($H391,설정_코스수당!$A$15:$A$64,0),MATCH($E391&amp;"수당",설정_코스수당!$B$14:$F$14,0)),0)),0)</f>
        <v>0</v>
      </c>
      <c r="M391" s="27">
        <f>IF($O391="방문완료",IFERROR(VLOOKUP($E391,설정_코스수당!$A$6:$H$10,6,FALSE),0),0)</f>
        <v>0</v>
      </c>
      <c r="N391" s="28">
        <f t="shared" si="11"/>
        <v>0</v>
      </c>
      <c r="O391" s="23"/>
      <c r="P391" s="23"/>
      <c r="Q391" s="23"/>
      <c r="R391" s="26"/>
      <c r="S391" s="23"/>
    </row>
    <row r="392" spans="1:19" ht="19.5" hidden="1" customHeight="1" outlineLevel="1">
      <c r="A392" s="29">
        <v>70</v>
      </c>
      <c r="B392" s="30">
        <f>IF(4&lt;=DAY(DATE(YEAR(설정_코스수당!$K$2),MONTH(설정_코스수당!$K$2)+1,0)),DATE(YEAR(설정_코스수당!$K$2),MONTH(설정_코스수당!$K$2),4),"")</f>
        <v>46177</v>
      </c>
      <c r="C392" s="31"/>
      <c r="D392" s="29"/>
      <c r="E392" s="29"/>
      <c r="F392" s="32"/>
      <c r="G392" s="29"/>
      <c r="H392" s="29"/>
      <c r="I392" s="29"/>
      <c r="J392" s="33">
        <f>IF($O392="방문완료",MAX(0,IFERROR(VLOOKUP($E392,설정_코스수당!$A$6:$H$10,4,FALSE),0)-IF(OR($P392="",$P392="없음"),0,100000)),0)</f>
        <v>0</v>
      </c>
      <c r="K392" s="33">
        <f t="array" ref="K392">IF($O392="방문완료",IFERROR(INDEX(설정_코스수당!$B$15:$F$64,MATCH($G392,설정_코스수당!$A$15:$A$64,0),MATCH($E392&amp;"수당",설정_코스수당!$B$14:$F$14,0)),0),0)</f>
        <v>0</v>
      </c>
      <c r="L392" s="33">
        <f t="array" ref="L392">IF($O392="방문완료",IF($H392="",0,IFERROR(INDEX(설정_코스수당!$B$15:$F$64,MATCH($H392,설정_코스수당!$A$15:$A$64,0),MATCH($E392&amp;"수당",설정_코스수당!$B$14:$F$14,0)),0)),0)</f>
        <v>0</v>
      </c>
      <c r="M392" s="33">
        <f>IF($O392="방문완료",IFERROR(VLOOKUP($E392,설정_코스수당!$A$6:$H$10,6,FALSE),0),0)</f>
        <v>0</v>
      </c>
      <c r="N392" s="34">
        <f t="shared" si="11"/>
        <v>0</v>
      </c>
      <c r="O392" s="29"/>
      <c r="P392" s="29"/>
      <c r="Q392" s="29"/>
      <c r="R392" s="32"/>
      <c r="S392" s="29"/>
    </row>
    <row r="393" spans="1:19" ht="19.5" hidden="1" customHeight="1" outlineLevel="1">
      <c r="A393" s="23">
        <v>71</v>
      </c>
      <c r="B393" s="24">
        <f>IF(4&lt;=DAY(DATE(YEAR(설정_코스수당!$K$2),MONTH(설정_코스수당!$K$2)+1,0)),DATE(YEAR(설정_코스수당!$K$2),MONTH(설정_코스수당!$K$2),4),"")</f>
        <v>46177</v>
      </c>
      <c r="C393" s="25"/>
      <c r="D393" s="23"/>
      <c r="E393" s="23"/>
      <c r="F393" s="26"/>
      <c r="G393" s="23"/>
      <c r="H393" s="23"/>
      <c r="I393" s="23"/>
      <c r="J393" s="27">
        <f>IF($O393="방문완료",MAX(0,IFERROR(VLOOKUP($E393,설정_코스수당!$A$6:$H$10,4,FALSE),0)-IF(OR($P393="",$P393="없음"),0,100000)),0)</f>
        <v>0</v>
      </c>
      <c r="K393" s="27">
        <f t="array" ref="K393">IF($O393="방문완료",IFERROR(INDEX(설정_코스수당!$B$15:$F$64,MATCH($G393,설정_코스수당!$A$15:$A$64,0),MATCH($E393&amp;"수당",설정_코스수당!$B$14:$F$14,0)),0),0)</f>
        <v>0</v>
      </c>
      <c r="L393" s="27">
        <f t="array" ref="L393">IF($O393="방문완료",IF($H393="",0,IFERROR(INDEX(설정_코스수당!$B$15:$F$64,MATCH($H393,설정_코스수당!$A$15:$A$64,0),MATCH($E393&amp;"수당",설정_코스수당!$B$14:$F$14,0)),0)),0)</f>
        <v>0</v>
      </c>
      <c r="M393" s="27">
        <f>IF($O393="방문완료",IFERROR(VLOOKUP($E393,설정_코스수당!$A$6:$H$10,6,FALSE),0),0)</f>
        <v>0</v>
      </c>
      <c r="N393" s="28">
        <f t="shared" si="11"/>
        <v>0</v>
      </c>
      <c r="O393" s="23"/>
      <c r="P393" s="23"/>
      <c r="Q393" s="23"/>
      <c r="R393" s="26"/>
      <c r="S393" s="23"/>
    </row>
    <row r="394" spans="1:19" ht="19.5" hidden="1" customHeight="1" outlineLevel="1">
      <c r="A394" s="29">
        <v>72</v>
      </c>
      <c r="B394" s="30">
        <f>IF(4&lt;=DAY(DATE(YEAR(설정_코스수당!$K$2),MONTH(설정_코스수당!$K$2)+1,0)),DATE(YEAR(설정_코스수당!$K$2),MONTH(설정_코스수당!$K$2),4),"")</f>
        <v>46177</v>
      </c>
      <c r="C394" s="31"/>
      <c r="D394" s="29"/>
      <c r="E394" s="29"/>
      <c r="F394" s="32"/>
      <c r="G394" s="29"/>
      <c r="H394" s="29"/>
      <c r="I394" s="29"/>
      <c r="J394" s="33">
        <f>IF($O394="방문완료",MAX(0,IFERROR(VLOOKUP($E394,설정_코스수당!$A$6:$H$10,4,FALSE),0)-IF(OR($P394="",$P394="없음"),0,100000)),0)</f>
        <v>0</v>
      </c>
      <c r="K394" s="33">
        <f t="array" ref="K394">IF($O394="방문완료",IFERROR(INDEX(설정_코스수당!$B$15:$F$64,MATCH($G394,설정_코스수당!$A$15:$A$64,0),MATCH($E394&amp;"수당",설정_코스수당!$B$14:$F$14,0)),0),0)</f>
        <v>0</v>
      </c>
      <c r="L394" s="33">
        <f t="array" ref="L394">IF($O394="방문완료",IF($H394="",0,IFERROR(INDEX(설정_코스수당!$B$15:$F$64,MATCH($H394,설정_코스수당!$A$15:$A$64,0),MATCH($E394&amp;"수당",설정_코스수당!$B$14:$F$14,0)),0)),0)</f>
        <v>0</v>
      </c>
      <c r="M394" s="33">
        <f>IF($O394="방문완료",IFERROR(VLOOKUP($E394,설정_코스수당!$A$6:$H$10,6,FALSE),0),0)</f>
        <v>0</v>
      </c>
      <c r="N394" s="34">
        <f t="shared" si="11"/>
        <v>0</v>
      </c>
      <c r="O394" s="29"/>
      <c r="P394" s="29"/>
      <c r="Q394" s="29"/>
      <c r="R394" s="32"/>
      <c r="S394" s="29"/>
    </row>
    <row r="395" spans="1:19" ht="19.5" hidden="1" customHeight="1" outlineLevel="1">
      <c r="A395" s="23">
        <v>73</v>
      </c>
      <c r="B395" s="24">
        <f>IF(4&lt;=DAY(DATE(YEAR(설정_코스수당!$K$2),MONTH(설정_코스수당!$K$2)+1,0)),DATE(YEAR(설정_코스수당!$K$2),MONTH(설정_코스수당!$K$2),4),"")</f>
        <v>46177</v>
      </c>
      <c r="C395" s="25"/>
      <c r="D395" s="23"/>
      <c r="E395" s="23"/>
      <c r="F395" s="26"/>
      <c r="G395" s="23"/>
      <c r="H395" s="23"/>
      <c r="I395" s="23"/>
      <c r="J395" s="27">
        <f>IF($O395="방문완료",MAX(0,IFERROR(VLOOKUP($E395,설정_코스수당!$A$6:$H$10,4,FALSE),0)-IF(OR($P395="",$P395="없음"),0,100000)),0)</f>
        <v>0</v>
      </c>
      <c r="K395" s="27">
        <f t="array" ref="K395">IF($O395="방문완료",IFERROR(INDEX(설정_코스수당!$B$15:$F$64,MATCH($G395,설정_코스수당!$A$15:$A$64,0),MATCH($E395&amp;"수당",설정_코스수당!$B$14:$F$14,0)),0),0)</f>
        <v>0</v>
      </c>
      <c r="L395" s="27">
        <f t="array" ref="L395">IF($O395="방문완료",IF($H395="",0,IFERROR(INDEX(설정_코스수당!$B$15:$F$64,MATCH($H395,설정_코스수당!$A$15:$A$64,0),MATCH($E395&amp;"수당",설정_코스수당!$B$14:$F$14,0)),0)),0)</f>
        <v>0</v>
      </c>
      <c r="M395" s="27">
        <f>IF($O395="방문완료",IFERROR(VLOOKUP($E395,설정_코스수당!$A$6:$H$10,6,FALSE),0),0)</f>
        <v>0</v>
      </c>
      <c r="N395" s="28">
        <f t="shared" si="11"/>
        <v>0</v>
      </c>
      <c r="O395" s="23"/>
      <c r="P395" s="23"/>
      <c r="Q395" s="23"/>
      <c r="R395" s="26"/>
      <c r="S395" s="23"/>
    </row>
    <row r="396" spans="1:19" ht="19.5" hidden="1" customHeight="1" outlineLevel="1">
      <c r="A396" s="29">
        <v>74</v>
      </c>
      <c r="B396" s="30">
        <f>IF(4&lt;=DAY(DATE(YEAR(설정_코스수당!$K$2),MONTH(설정_코스수당!$K$2)+1,0)),DATE(YEAR(설정_코스수당!$K$2),MONTH(설정_코스수당!$K$2),4),"")</f>
        <v>46177</v>
      </c>
      <c r="C396" s="31"/>
      <c r="D396" s="29"/>
      <c r="E396" s="29"/>
      <c r="F396" s="32"/>
      <c r="G396" s="29"/>
      <c r="H396" s="29"/>
      <c r="I396" s="29"/>
      <c r="J396" s="33">
        <f>IF($O396="방문완료",MAX(0,IFERROR(VLOOKUP($E396,설정_코스수당!$A$6:$H$10,4,FALSE),0)-IF(OR($P396="",$P396="없음"),0,100000)),0)</f>
        <v>0</v>
      </c>
      <c r="K396" s="33">
        <f t="array" ref="K396">IF($O396="방문완료",IFERROR(INDEX(설정_코스수당!$B$15:$F$64,MATCH($G396,설정_코스수당!$A$15:$A$64,0),MATCH($E396&amp;"수당",설정_코스수당!$B$14:$F$14,0)),0),0)</f>
        <v>0</v>
      </c>
      <c r="L396" s="33">
        <f t="array" ref="L396">IF($O396="방문완료",IF($H396="",0,IFERROR(INDEX(설정_코스수당!$B$15:$F$64,MATCH($H396,설정_코스수당!$A$15:$A$64,0),MATCH($E396&amp;"수당",설정_코스수당!$B$14:$F$14,0)),0)),0)</f>
        <v>0</v>
      </c>
      <c r="M396" s="33">
        <f>IF($O396="방문완료",IFERROR(VLOOKUP($E396,설정_코스수당!$A$6:$H$10,6,FALSE),0),0)</f>
        <v>0</v>
      </c>
      <c r="N396" s="34">
        <f t="shared" si="11"/>
        <v>0</v>
      </c>
      <c r="O396" s="29"/>
      <c r="P396" s="29"/>
      <c r="Q396" s="29"/>
      <c r="R396" s="32"/>
      <c r="S396" s="29"/>
    </row>
    <row r="397" spans="1:19" ht="19.5" hidden="1" customHeight="1" outlineLevel="1">
      <c r="A397" s="23">
        <v>75</v>
      </c>
      <c r="B397" s="24">
        <f>IF(4&lt;=DAY(DATE(YEAR(설정_코스수당!$K$2),MONTH(설정_코스수당!$K$2)+1,0)),DATE(YEAR(설정_코스수당!$K$2),MONTH(설정_코스수당!$K$2),4),"")</f>
        <v>46177</v>
      </c>
      <c r="C397" s="25"/>
      <c r="D397" s="23"/>
      <c r="E397" s="23"/>
      <c r="F397" s="26"/>
      <c r="G397" s="23"/>
      <c r="H397" s="23"/>
      <c r="I397" s="23"/>
      <c r="J397" s="27">
        <f>IF($O397="방문완료",MAX(0,IFERROR(VLOOKUP($E397,설정_코스수당!$A$6:$H$10,4,FALSE),0)-IF(OR($P397="",$P397="없음"),0,100000)),0)</f>
        <v>0</v>
      </c>
      <c r="K397" s="27">
        <f t="array" ref="K397">IF($O397="방문완료",IFERROR(INDEX(설정_코스수당!$B$15:$F$64,MATCH($G397,설정_코스수당!$A$15:$A$64,0),MATCH($E397&amp;"수당",설정_코스수당!$B$14:$F$14,0)),0),0)</f>
        <v>0</v>
      </c>
      <c r="L397" s="27">
        <f t="array" ref="L397">IF($O397="방문완료",IF($H397="",0,IFERROR(INDEX(설정_코스수당!$B$15:$F$64,MATCH($H397,설정_코스수당!$A$15:$A$64,0),MATCH($E397&amp;"수당",설정_코스수당!$B$14:$F$14,0)),0)),0)</f>
        <v>0</v>
      </c>
      <c r="M397" s="27">
        <f>IF($O397="방문완료",IFERROR(VLOOKUP($E397,설정_코스수당!$A$6:$H$10,6,FALSE),0),0)</f>
        <v>0</v>
      </c>
      <c r="N397" s="28">
        <f t="shared" si="11"/>
        <v>0</v>
      </c>
      <c r="O397" s="23"/>
      <c r="P397" s="23"/>
      <c r="Q397" s="23"/>
      <c r="R397" s="26"/>
      <c r="S397" s="23"/>
    </row>
    <row r="398" spans="1:19" ht="19.5" hidden="1" customHeight="1" outlineLevel="1">
      <c r="A398" s="29">
        <v>76</v>
      </c>
      <c r="B398" s="30">
        <f>IF(4&lt;=DAY(DATE(YEAR(설정_코스수당!$K$2),MONTH(설정_코스수당!$K$2)+1,0)),DATE(YEAR(설정_코스수당!$K$2),MONTH(설정_코스수당!$K$2),4),"")</f>
        <v>46177</v>
      </c>
      <c r="C398" s="31"/>
      <c r="D398" s="29"/>
      <c r="E398" s="29"/>
      <c r="F398" s="32"/>
      <c r="G398" s="29"/>
      <c r="H398" s="29"/>
      <c r="I398" s="29"/>
      <c r="J398" s="33">
        <f>IF($O398="방문완료",MAX(0,IFERROR(VLOOKUP($E398,설정_코스수당!$A$6:$H$10,4,FALSE),0)-IF(OR($P398="",$P398="없음"),0,100000)),0)</f>
        <v>0</v>
      </c>
      <c r="K398" s="33">
        <f t="array" ref="K398">IF($O398="방문완료",IFERROR(INDEX(설정_코스수당!$B$15:$F$64,MATCH($G398,설정_코스수당!$A$15:$A$64,0),MATCH($E398&amp;"수당",설정_코스수당!$B$14:$F$14,0)),0),0)</f>
        <v>0</v>
      </c>
      <c r="L398" s="33">
        <f t="array" ref="L398">IF($O398="방문완료",IF($H398="",0,IFERROR(INDEX(설정_코스수당!$B$15:$F$64,MATCH($H398,설정_코스수당!$A$15:$A$64,0),MATCH($E398&amp;"수당",설정_코스수당!$B$14:$F$14,0)),0)),0)</f>
        <v>0</v>
      </c>
      <c r="M398" s="33">
        <f>IF($O398="방문완료",IFERROR(VLOOKUP($E398,설정_코스수당!$A$6:$H$10,6,FALSE),0),0)</f>
        <v>0</v>
      </c>
      <c r="N398" s="34">
        <f t="shared" si="11"/>
        <v>0</v>
      </c>
      <c r="O398" s="29"/>
      <c r="P398" s="29"/>
      <c r="Q398" s="29"/>
      <c r="R398" s="32"/>
      <c r="S398" s="29"/>
    </row>
    <row r="399" spans="1:19" ht="19.5" hidden="1" customHeight="1" outlineLevel="1">
      <c r="A399" s="23">
        <v>77</v>
      </c>
      <c r="B399" s="24">
        <f>IF(4&lt;=DAY(DATE(YEAR(설정_코스수당!$K$2),MONTH(설정_코스수당!$K$2)+1,0)),DATE(YEAR(설정_코스수당!$K$2),MONTH(설정_코스수당!$K$2),4),"")</f>
        <v>46177</v>
      </c>
      <c r="C399" s="25"/>
      <c r="D399" s="23"/>
      <c r="E399" s="23"/>
      <c r="F399" s="26"/>
      <c r="G399" s="23"/>
      <c r="H399" s="23"/>
      <c r="I399" s="23"/>
      <c r="J399" s="27">
        <f>IF($O399="방문완료",MAX(0,IFERROR(VLOOKUP($E399,설정_코스수당!$A$6:$H$10,4,FALSE),0)-IF(OR($P399="",$P399="없음"),0,100000)),0)</f>
        <v>0</v>
      </c>
      <c r="K399" s="27">
        <f t="array" ref="K399">IF($O399="방문완료",IFERROR(INDEX(설정_코스수당!$B$15:$F$64,MATCH($G399,설정_코스수당!$A$15:$A$64,0),MATCH($E399&amp;"수당",설정_코스수당!$B$14:$F$14,0)),0),0)</f>
        <v>0</v>
      </c>
      <c r="L399" s="27">
        <f t="array" ref="L399">IF($O399="방문완료",IF($H399="",0,IFERROR(INDEX(설정_코스수당!$B$15:$F$64,MATCH($H399,설정_코스수당!$A$15:$A$64,0),MATCH($E399&amp;"수당",설정_코스수당!$B$14:$F$14,0)),0)),0)</f>
        <v>0</v>
      </c>
      <c r="M399" s="27">
        <f>IF($O399="방문완료",IFERROR(VLOOKUP($E399,설정_코스수당!$A$6:$H$10,6,FALSE),0),0)</f>
        <v>0</v>
      </c>
      <c r="N399" s="28">
        <f t="shared" si="11"/>
        <v>0</v>
      </c>
      <c r="O399" s="23"/>
      <c r="P399" s="23"/>
      <c r="Q399" s="23"/>
      <c r="R399" s="26"/>
      <c r="S399" s="23"/>
    </row>
    <row r="400" spans="1:19" ht="19.5" hidden="1" customHeight="1" outlineLevel="1">
      <c r="A400" s="29">
        <v>78</v>
      </c>
      <c r="B400" s="30">
        <f>IF(4&lt;=DAY(DATE(YEAR(설정_코스수당!$K$2),MONTH(설정_코스수당!$K$2)+1,0)),DATE(YEAR(설정_코스수당!$K$2),MONTH(설정_코스수당!$K$2),4),"")</f>
        <v>46177</v>
      </c>
      <c r="C400" s="31"/>
      <c r="D400" s="29"/>
      <c r="E400" s="29"/>
      <c r="F400" s="32"/>
      <c r="G400" s="29"/>
      <c r="H400" s="29"/>
      <c r="I400" s="29"/>
      <c r="J400" s="33">
        <f>IF($O400="방문완료",MAX(0,IFERROR(VLOOKUP($E400,설정_코스수당!$A$6:$H$10,4,FALSE),0)-IF(OR($P400="",$P400="없음"),0,100000)),0)</f>
        <v>0</v>
      </c>
      <c r="K400" s="33">
        <f t="array" ref="K400">IF($O400="방문완료",IFERROR(INDEX(설정_코스수당!$B$15:$F$64,MATCH($G400,설정_코스수당!$A$15:$A$64,0),MATCH($E400&amp;"수당",설정_코스수당!$B$14:$F$14,0)),0),0)</f>
        <v>0</v>
      </c>
      <c r="L400" s="33">
        <f t="array" ref="L400">IF($O400="방문완료",IF($H400="",0,IFERROR(INDEX(설정_코스수당!$B$15:$F$64,MATCH($H400,설정_코스수당!$A$15:$A$64,0),MATCH($E400&amp;"수당",설정_코스수당!$B$14:$F$14,0)),0)),0)</f>
        <v>0</v>
      </c>
      <c r="M400" s="33">
        <f>IF($O400="방문완료",IFERROR(VLOOKUP($E400,설정_코스수당!$A$6:$H$10,6,FALSE),0),0)</f>
        <v>0</v>
      </c>
      <c r="N400" s="34">
        <f t="shared" si="11"/>
        <v>0</v>
      </c>
      <c r="O400" s="29"/>
      <c r="P400" s="29"/>
      <c r="Q400" s="29"/>
      <c r="R400" s="32"/>
      <c r="S400" s="29"/>
    </row>
    <row r="401" spans="1:19" ht="19.5" hidden="1" customHeight="1" outlineLevel="1">
      <c r="A401" s="23">
        <v>79</v>
      </c>
      <c r="B401" s="24">
        <f>IF(4&lt;=DAY(DATE(YEAR(설정_코스수당!$K$2),MONTH(설정_코스수당!$K$2)+1,0)),DATE(YEAR(설정_코스수당!$K$2),MONTH(설정_코스수당!$K$2),4),"")</f>
        <v>46177</v>
      </c>
      <c r="C401" s="25"/>
      <c r="D401" s="23"/>
      <c r="E401" s="23"/>
      <c r="F401" s="26"/>
      <c r="G401" s="23"/>
      <c r="H401" s="23"/>
      <c r="I401" s="23"/>
      <c r="J401" s="27">
        <f>IF($O401="방문완료",MAX(0,IFERROR(VLOOKUP($E401,설정_코스수당!$A$6:$H$10,4,FALSE),0)-IF(OR($P401="",$P401="없음"),0,100000)),0)</f>
        <v>0</v>
      </c>
      <c r="K401" s="27">
        <f t="array" ref="K401">IF($O401="방문완료",IFERROR(INDEX(설정_코스수당!$B$15:$F$64,MATCH($G401,설정_코스수당!$A$15:$A$64,0),MATCH($E401&amp;"수당",설정_코스수당!$B$14:$F$14,0)),0),0)</f>
        <v>0</v>
      </c>
      <c r="L401" s="27">
        <f t="array" ref="L401">IF($O401="방문완료",IF($H401="",0,IFERROR(INDEX(설정_코스수당!$B$15:$F$64,MATCH($H401,설정_코스수당!$A$15:$A$64,0),MATCH($E401&amp;"수당",설정_코스수당!$B$14:$F$14,0)),0)),0)</f>
        <v>0</v>
      </c>
      <c r="M401" s="27">
        <f>IF($O401="방문완료",IFERROR(VLOOKUP($E401,설정_코스수당!$A$6:$H$10,6,FALSE),0),0)</f>
        <v>0</v>
      </c>
      <c r="N401" s="28">
        <f t="shared" si="11"/>
        <v>0</v>
      </c>
      <c r="O401" s="23"/>
      <c r="P401" s="23"/>
      <c r="Q401" s="23"/>
      <c r="R401" s="26"/>
      <c r="S401" s="23"/>
    </row>
    <row r="402" spans="1:19" ht="19.5" hidden="1" customHeight="1" outlineLevel="1">
      <c r="A402" s="29">
        <v>80</v>
      </c>
      <c r="B402" s="30">
        <f>IF(4&lt;=DAY(DATE(YEAR(설정_코스수당!$K$2),MONTH(설정_코스수당!$K$2)+1,0)),DATE(YEAR(설정_코스수당!$K$2),MONTH(설정_코스수당!$K$2),4),"")</f>
        <v>46177</v>
      </c>
      <c r="C402" s="31"/>
      <c r="D402" s="29"/>
      <c r="E402" s="29"/>
      <c r="F402" s="32"/>
      <c r="G402" s="29"/>
      <c r="H402" s="29"/>
      <c r="I402" s="29"/>
      <c r="J402" s="33">
        <f>IF($O402="방문완료",MAX(0,IFERROR(VLOOKUP($E402,설정_코스수당!$A$6:$H$10,4,FALSE),0)-IF(OR($P402="",$P402="없음"),0,100000)),0)</f>
        <v>0</v>
      </c>
      <c r="K402" s="33">
        <f t="array" ref="K402">IF($O402="방문완료",IFERROR(INDEX(설정_코스수당!$B$15:$F$64,MATCH($G402,설정_코스수당!$A$15:$A$64,0),MATCH($E402&amp;"수당",설정_코스수당!$B$14:$F$14,0)),0),0)</f>
        <v>0</v>
      </c>
      <c r="L402" s="33">
        <f t="array" ref="L402">IF($O402="방문완료",IF($H402="",0,IFERROR(INDEX(설정_코스수당!$B$15:$F$64,MATCH($H402,설정_코스수당!$A$15:$A$64,0),MATCH($E402&amp;"수당",설정_코스수당!$B$14:$F$14,0)),0)),0)</f>
        <v>0</v>
      </c>
      <c r="M402" s="33">
        <f>IF($O402="방문완료",IFERROR(VLOOKUP($E402,설정_코스수당!$A$6:$H$10,6,FALSE),0),0)</f>
        <v>0</v>
      </c>
      <c r="N402" s="34">
        <f t="shared" si="11"/>
        <v>0</v>
      </c>
      <c r="O402" s="29"/>
      <c r="P402" s="29"/>
      <c r="Q402" s="29"/>
      <c r="R402" s="32"/>
      <c r="S402" s="29"/>
    </row>
    <row r="403" spans="1:19" ht="19.5" hidden="1" customHeight="1" outlineLevel="1">
      <c r="A403" s="23">
        <v>81</v>
      </c>
      <c r="B403" s="24">
        <f>IF(4&lt;=DAY(DATE(YEAR(설정_코스수당!$K$2),MONTH(설정_코스수당!$K$2)+1,0)),DATE(YEAR(설정_코스수당!$K$2),MONTH(설정_코스수당!$K$2),4),"")</f>
        <v>46177</v>
      </c>
      <c r="C403" s="25"/>
      <c r="D403" s="23"/>
      <c r="E403" s="23"/>
      <c r="F403" s="26"/>
      <c r="G403" s="23"/>
      <c r="H403" s="23"/>
      <c r="I403" s="23"/>
      <c r="J403" s="27">
        <f>IF($O403="방문완료",MAX(0,IFERROR(VLOOKUP($E403,설정_코스수당!$A$6:$H$10,4,FALSE),0)-IF(OR($P403="",$P403="없음"),0,100000)),0)</f>
        <v>0</v>
      </c>
      <c r="K403" s="27">
        <f t="array" ref="K403">IF($O403="방문완료",IFERROR(INDEX(설정_코스수당!$B$15:$F$64,MATCH($G403,설정_코스수당!$A$15:$A$64,0),MATCH($E403&amp;"수당",설정_코스수당!$B$14:$F$14,0)),0),0)</f>
        <v>0</v>
      </c>
      <c r="L403" s="27">
        <f t="array" ref="L403">IF($O403="방문완료",IF($H403="",0,IFERROR(INDEX(설정_코스수당!$B$15:$F$64,MATCH($H403,설정_코스수당!$A$15:$A$64,0),MATCH($E403&amp;"수당",설정_코스수당!$B$14:$F$14,0)),0)),0)</f>
        <v>0</v>
      </c>
      <c r="M403" s="27">
        <f>IF($O403="방문완료",IFERROR(VLOOKUP($E403,설정_코스수당!$A$6:$H$10,6,FALSE),0),0)</f>
        <v>0</v>
      </c>
      <c r="N403" s="28">
        <f t="shared" si="11"/>
        <v>0</v>
      </c>
      <c r="O403" s="23"/>
      <c r="P403" s="23"/>
      <c r="Q403" s="23"/>
      <c r="R403" s="26"/>
      <c r="S403" s="23"/>
    </row>
    <row r="404" spans="1:19" ht="19.5" hidden="1" customHeight="1" outlineLevel="1">
      <c r="A404" s="29">
        <v>82</v>
      </c>
      <c r="B404" s="30">
        <f>IF(4&lt;=DAY(DATE(YEAR(설정_코스수당!$K$2),MONTH(설정_코스수당!$K$2)+1,0)),DATE(YEAR(설정_코스수당!$K$2),MONTH(설정_코스수당!$K$2),4),"")</f>
        <v>46177</v>
      </c>
      <c r="C404" s="31"/>
      <c r="D404" s="29"/>
      <c r="E404" s="29"/>
      <c r="F404" s="32"/>
      <c r="G404" s="29"/>
      <c r="H404" s="29"/>
      <c r="I404" s="29"/>
      <c r="J404" s="33">
        <f>IF($O404="방문완료",MAX(0,IFERROR(VLOOKUP($E404,설정_코스수당!$A$6:$H$10,4,FALSE),0)-IF(OR($P404="",$P404="없음"),0,100000)),0)</f>
        <v>0</v>
      </c>
      <c r="K404" s="33">
        <f t="array" ref="K404">IF($O404="방문완료",IFERROR(INDEX(설정_코스수당!$B$15:$F$64,MATCH($G404,설정_코스수당!$A$15:$A$64,0),MATCH($E404&amp;"수당",설정_코스수당!$B$14:$F$14,0)),0),0)</f>
        <v>0</v>
      </c>
      <c r="L404" s="33">
        <f t="array" ref="L404">IF($O404="방문완료",IF($H404="",0,IFERROR(INDEX(설정_코스수당!$B$15:$F$64,MATCH($H404,설정_코스수당!$A$15:$A$64,0),MATCH($E404&amp;"수당",설정_코스수당!$B$14:$F$14,0)),0)),0)</f>
        <v>0</v>
      </c>
      <c r="M404" s="33">
        <f>IF($O404="방문완료",IFERROR(VLOOKUP($E404,설정_코스수당!$A$6:$H$10,6,FALSE),0),0)</f>
        <v>0</v>
      </c>
      <c r="N404" s="34">
        <f t="shared" si="11"/>
        <v>0</v>
      </c>
      <c r="O404" s="29"/>
      <c r="P404" s="29"/>
      <c r="Q404" s="29"/>
      <c r="R404" s="32"/>
      <c r="S404" s="29"/>
    </row>
    <row r="405" spans="1:19" ht="19.5" hidden="1" customHeight="1" outlineLevel="1">
      <c r="A405" s="23">
        <v>83</v>
      </c>
      <c r="B405" s="24">
        <f>IF(4&lt;=DAY(DATE(YEAR(설정_코스수당!$K$2),MONTH(설정_코스수당!$K$2)+1,0)),DATE(YEAR(설정_코스수당!$K$2),MONTH(설정_코스수당!$K$2),4),"")</f>
        <v>46177</v>
      </c>
      <c r="C405" s="25"/>
      <c r="D405" s="23"/>
      <c r="E405" s="23"/>
      <c r="F405" s="26"/>
      <c r="G405" s="23"/>
      <c r="H405" s="23"/>
      <c r="I405" s="23"/>
      <c r="J405" s="27">
        <f>IF($O405="방문완료",MAX(0,IFERROR(VLOOKUP($E405,설정_코스수당!$A$6:$H$10,4,FALSE),0)-IF(OR($P405="",$P405="없음"),0,100000)),0)</f>
        <v>0</v>
      </c>
      <c r="K405" s="27">
        <f t="array" ref="K405">IF($O405="방문완료",IFERROR(INDEX(설정_코스수당!$B$15:$F$64,MATCH($G405,설정_코스수당!$A$15:$A$64,0),MATCH($E405&amp;"수당",설정_코스수당!$B$14:$F$14,0)),0),0)</f>
        <v>0</v>
      </c>
      <c r="L405" s="27">
        <f t="array" ref="L405">IF($O405="방문완료",IF($H405="",0,IFERROR(INDEX(설정_코스수당!$B$15:$F$64,MATCH($H405,설정_코스수당!$A$15:$A$64,0),MATCH($E405&amp;"수당",설정_코스수당!$B$14:$F$14,0)),0)),0)</f>
        <v>0</v>
      </c>
      <c r="M405" s="27">
        <f>IF($O405="방문완료",IFERROR(VLOOKUP($E405,설정_코스수당!$A$6:$H$10,6,FALSE),0),0)</f>
        <v>0</v>
      </c>
      <c r="N405" s="28">
        <f t="shared" si="11"/>
        <v>0</v>
      </c>
      <c r="O405" s="23"/>
      <c r="P405" s="23"/>
      <c r="Q405" s="23"/>
      <c r="R405" s="26"/>
      <c r="S405" s="23"/>
    </row>
    <row r="406" spans="1:19" ht="19.5" hidden="1" customHeight="1" outlineLevel="1">
      <c r="A406" s="29">
        <v>84</v>
      </c>
      <c r="B406" s="30">
        <f>IF(4&lt;=DAY(DATE(YEAR(설정_코스수당!$K$2),MONTH(설정_코스수당!$K$2)+1,0)),DATE(YEAR(설정_코스수당!$K$2),MONTH(설정_코스수당!$K$2),4),"")</f>
        <v>46177</v>
      </c>
      <c r="C406" s="31"/>
      <c r="D406" s="29"/>
      <c r="E406" s="29"/>
      <c r="F406" s="32"/>
      <c r="G406" s="29"/>
      <c r="H406" s="29"/>
      <c r="I406" s="29"/>
      <c r="J406" s="33">
        <f>IF($O406="방문완료",MAX(0,IFERROR(VLOOKUP($E406,설정_코스수당!$A$6:$H$10,4,FALSE),0)-IF(OR($P406="",$P406="없음"),0,100000)),0)</f>
        <v>0</v>
      </c>
      <c r="K406" s="33">
        <f t="array" ref="K406">IF($O406="방문완료",IFERROR(INDEX(설정_코스수당!$B$15:$F$64,MATCH($G406,설정_코스수당!$A$15:$A$64,0),MATCH($E406&amp;"수당",설정_코스수당!$B$14:$F$14,0)),0),0)</f>
        <v>0</v>
      </c>
      <c r="L406" s="33">
        <f t="array" ref="L406">IF($O406="방문완료",IF($H406="",0,IFERROR(INDEX(설정_코스수당!$B$15:$F$64,MATCH($H406,설정_코스수당!$A$15:$A$64,0),MATCH($E406&amp;"수당",설정_코스수당!$B$14:$F$14,0)),0)),0)</f>
        <v>0</v>
      </c>
      <c r="M406" s="33">
        <f>IF($O406="방문완료",IFERROR(VLOOKUP($E406,설정_코스수당!$A$6:$H$10,6,FALSE),0),0)</f>
        <v>0</v>
      </c>
      <c r="N406" s="34">
        <f t="shared" si="11"/>
        <v>0</v>
      </c>
      <c r="O406" s="29"/>
      <c r="P406" s="29"/>
      <c r="Q406" s="29"/>
      <c r="R406" s="32"/>
      <c r="S406" s="29"/>
    </row>
    <row r="407" spans="1:19" ht="19.5" hidden="1" customHeight="1" outlineLevel="1">
      <c r="A407" s="23">
        <v>85</v>
      </c>
      <c r="B407" s="24">
        <f>IF(4&lt;=DAY(DATE(YEAR(설정_코스수당!$K$2),MONTH(설정_코스수당!$K$2)+1,0)),DATE(YEAR(설정_코스수당!$K$2),MONTH(설정_코스수당!$K$2),4),"")</f>
        <v>46177</v>
      </c>
      <c r="C407" s="25"/>
      <c r="D407" s="23"/>
      <c r="E407" s="23"/>
      <c r="F407" s="26"/>
      <c r="G407" s="23"/>
      <c r="H407" s="23"/>
      <c r="I407" s="23"/>
      <c r="J407" s="27">
        <f>IF($O407="방문완료",MAX(0,IFERROR(VLOOKUP($E407,설정_코스수당!$A$6:$H$10,4,FALSE),0)-IF(OR($P407="",$P407="없음"),0,100000)),0)</f>
        <v>0</v>
      </c>
      <c r="K407" s="27">
        <f t="array" ref="K407">IF($O407="방문완료",IFERROR(INDEX(설정_코스수당!$B$15:$F$64,MATCH($G407,설정_코스수당!$A$15:$A$64,0),MATCH($E407&amp;"수당",설정_코스수당!$B$14:$F$14,0)),0),0)</f>
        <v>0</v>
      </c>
      <c r="L407" s="27">
        <f t="array" ref="L407">IF($O407="방문완료",IF($H407="",0,IFERROR(INDEX(설정_코스수당!$B$15:$F$64,MATCH($H407,설정_코스수당!$A$15:$A$64,0),MATCH($E407&amp;"수당",설정_코스수당!$B$14:$F$14,0)),0)),0)</f>
        <v>0</v>
      </c>
      <c r="M407" s="27">
        <f>IF($O407="방문완료",IFERROR(VLOOKUP($E407,설정_코스수당!$A$6:$H$10,6,FALSE),0),0)</f>
        <v>0</v>
      </c>
      <c r="N407" s="28">
        <f t="shared" si="11"/>
        <v>0</v>
      </c>
      <c r="O407" s="23"/>
      <c r="P407" s="23"/>
      <c r="Q407" s="23"/>
      <c r="R407" s="26"/>
      <c r="S407" s="23"/>
    </row>
    <row r="408" spans="1:19" ht="19.5" hidden="1" customHeight="1" outlineLevel="1">
      <c r="A408" s="29">
        <v>86</v>
      </c>
      <c r="B408" s="30">
        <f>IF(4&lt;=DAY(DATE(YEAR(설정_코스수당!$K$2),MONTH(설정_코스수당!$K$2)+1,0)),DATE(YEAR(설정_코스수당!$K$2),MONTH(설정_코스수당!$K$2),4),"")</f>
        <v>46177</v>
      </c>
      <c r="C408" s="31"/>
      <c r="D408" s="29"/>
      <c r="E408" s="29"/>
      <c r="F408" s="32"/>
      <c r="G408" s="29"/>
      <c r="H408" s="29"/>
      <c r="I408" s="29"/>
      <c r="J408" s="33">
        <f>IF($O408="방문완료",MAX(0,IFERROR(VLOOKUP($E408,설정_코스수당!$A$6:$H$10,4,FALSE),0)-IF(OR($P408="",$P408="없음"),0,100000)),0)</f>
        <v>0</v>
      </c>
      <c r="K408" s="33">
        <f t="array" ref="K408">IF($O408="방문완료",IFERROR(INDEX(설정_코스수당!$B$15:$F$64,MATCH($G408,설정_코스수당!$A$15:$A$64,0),MATCH($E408&amp;"수당",설정_코스수당!$B$14:$F$14,0)),0),0)</f>
        <v>0</v>
      </c>
      <c r="L408" s="33">
        <f t="array" ref="L408">IF($O408="방문완료",IF($H408="",0,IFERROR(INDEX(설정_코스수당!$B$15:$F$64,MATCH($H408,설정_코스수당!$A$15:$A$64,0),MATCH($E408&amp;"수당",설정_코스수당!$B$14:$F$14,0)),0)),0)</f>
        <v>0</v>
      </c>
      <c r="M408" s="33">
        <f>IF($O408="방문완료",IFERROR(VLOOKUP($E408,설정_코스수당!$A$6:$H$10,6,FALSE),0),0)</f>
        <v>0</v>
      </c>
      <c r="N408" s="34">
        <f t="shared" si="11"/>
        <v>0</v>
      </c>
      <c r="O408" s="29"/>
      <c r="P408" s="29"/>
      <c r="Q408" s="29"/>
      <c r="R408" s="32"/>
      <c r="S408" s="29"/>
    </row>
    <row r="409" spans="1:19" ht="19.5" hidden="1" customHeight="1" outlineLevel="1">
      <c r="A409" s="23">
        <v>87</v>
      </c>
      <c r="B409" s="24">
        <f>IF(4&lt;=DAY(DATE(YEAR(설정_코스수당!$K$2),MONTH(설정_코스수당!$K$2)+1,0)),DATE(YEAR(설정_코스수당!$K$2),MONTH(설정_코스수당!$K$2),4),"")</f>
        <v>46177</v>
      </c>
      <c r="C409" s="25"/>
      <c r="D409" s="23"/>
      <c r="E409" s="23"/>
      <c r="F409" s="26"/>
      <c r="G409" s="23"/>
      <c r="H409" s="23"/>
      <c r="I409" s="23"/>
      <c r="J409" s="27">
        <f>IF($O409="방문완료",MAX(0,IFERROR(VLOOKUP($E409,설정_코스수당!$A$6:$H$10,4,FALSE),0)-IF(OR($P409="",$P409="없음"),0,100000)),0)</f>
        <v>0</v>
      </c>
      <c r="K409" s="27">
        <f t="array" ref="K409">IF($O409="방문완료",IFERROR(INDEX(설정_코스수당!$B$15:$F$64,MATCH($G409,설정_코스수당!$A$15:$A$64,0),MATCH($E409&amp;"수당",설정_코스수당!$B$14:$F$14,0)),0),0)</f>
        <v>0</v>
      </c>
      <c r="L409" s="27">
        <f t="array" ref="L409">IF($O409="방문완료",IF($H409="",0,IFERROR(INDEX(설정_코스수당!$B$15:$F$64,MATCH($H409,설정_코스수당!$A$15:$A$64,0),MATCH($E409&amp;"수당",설정_코스수당!$B$14:$F$14,0)),0)),0)</f>
        <v>0</v>
      </c>
      <c r="M409" s="27">
        <f>IF($O409="방문완료",IFERROR(VLOOKUP($E409,설정_코스수당!$A$6:$H$10,6,FALSE),0),0)</f>
        <v>0</v>
      </c>
      <c r="N409" s="28">
        <f t="shared" si="11"/>
        <v>0</v>
      </c>
      <c r="O409" s="23"/>
      <c r="P409" s="23"/>
      <c r="Q409" s="23"/>
      <c r="R409" s="26"/>
      <c r="S409" s="23"/>
    </row>
    <row r="410" spans="1:19" ht="19.5" hidden="1" customHeight="1" outlineLevel="1">
      <c r="A410" s="29">
        <v>88</v>
      </c>
      <c r="B410" s="30">
        <f>IF(4&lt;=DAY(DATE(YEAR(설정_코스수당!$K$2),MONTH(설정_코스수당!$K$2)+1,0)),DATE(YEAR(설정_코스수당!$K$2),MONTH(설정_코스수당!$K$2),4),"")</f>
        <v>46177</v>
      </c>
      <c r="C410" s="31"/>
      <c r="D410" s="29"/>
      <c r="E410" s="29"/>
      <c r="F410" s="32"/>
      <c r="G410" s="29"/>
      <c r="H410" s="29"/>
      <c r="I410" s="29"/>
      <c r="J410" s="33">
        <f>IF($O410="방문완료",MAX(0,IFERROR(VLOOKUP($E410,설정_코스수당!$A$6:$H$10,4,FALSE),0)-IF(OR($P410="",$P410="없음"),0,100000)),0)</f>
        <v>0</v>
      </c>
      <c r="K410" s="33">
        <f t="array" ref="K410">IF($O410="방문완료",IFERROR(INDEX(설정_코스수당!$B$15:$F$64,MATCH($G410,설정_코스수당!$A$15:$A$64,0),MATCH($E410&amp;"수당",설정_코스수당!$B$14:$F$14,0)),0),0)</f>
        <v>0</v>
      </c>
      <c r="L410" s="33">
        <f t="array" ref="L410">IF($O410="방문완료",IF($H410="",0,IFERROR(INDEX(설정_코스수당!$B$15:$F$64,MATCH($H410,설정_코스수당!$A$15:$A$64,0),MATCH($E410&amp;"수당",설정_코스수당!$B$14:$F$14,0)),0)),0)</f>
        <v>0</v>
      </c>
      <c r="M410" s="33">
        <f>IF($O410="방문완료",IFERROR(VLOOKUP($E410,설정_코스수당!$A$6:$H$10,6,FALSE),0),0)</f>
        <v>0</v>
      </c>
      <c r="N410" s="34">
        <f t="shared" si="11"/>
        <v>0</v>
      </c>
      <c r="O410" s="29"/>
      <c r="P410" s="29"/>
      <c r="Q410" s="29"/>
      <c r="R410" s="32"/>
      <c r="S410" s="29"/>
    </row>
    <row r="411" spans="1:19" ht="19.5" hidden="1" customHeight="1" outlineLevel="1">
      <c r="A411" s="23">
        <v>89</v>
      </c>
      <c r="B411" s="24">
        <f>IF(4&lt;=DAY(DATE(YEAR(설정_코스수당!$K$2),MONTH(설정_코스수당!$K$2)+1,0)),DATE(YEAR(설정_코스수당!$K$2),MONTH(설정_코스수당!$K$2),4),"")</f>
        <v>46177</v>
      </c>
      <c r="C411" s="25"/>
      <c r="D411" s="23"/>
      <c r="E411" s="23"/>
      <c r="F411" s="26"/>
      <c r="G411" s="23"/>
      <c r="H411" s="23"/>
      <c r="I411" s="23"/>
      <c r="J411" s="27">
        <f>IF($O411="방문완료",MAX(0,IFERROR(VLOOKUP($E411,설정_코스수당!$A$6:$H$10,4,FALSE),0)-IF(OR($P411="",$P411="없음"),0,100000)),0)</f>
        <v>0</v>
      </c>
      <c r="K411" s="27">
        <f t="array" ref="K411">IF($O411="방문완료",IFERROR(INDEX(설정_코스수당!$B$15:$F$64,MATCH($G411,설정_코스수당!$A$15:$A$64,0),MATCH($E411&amp;"수당",설정_코스수당!$B$14:$F$14,0)),0),0)</f>
        <v>0</v>
      </c>
      <c r="L411" s="27">
        <f t="array" ref="L411">IF($O411="방문완료",IF($H411="",0,IFERROR(INDEX(설정_코스수당!$B$15:$F$64,MATCH($H411,설정_코스수당!$A$15:$A$64,0),MATCH($E411&amp;"수당",설정_코스수당!$B$14:$F$14,0)),0)),0)</f>
        <v>0</v>
      </c>
      <c r="M411" s="27">
        <f>IF($O411="방문완료",IFERROR(VLOOKUP($E411,설정_코스수당!$A$6:$H$10,6,FALSE),0),0)</f>
        <v>0</v>
      </c>
      <c r="N411" s="28">
        <f t="shared" si="11"/>
        <v>0</v>
      </c>
      <c r="O411" s="23"/>
      <c r="P411" s="23"/>
      <c r="Q411" s="23"/>
      <c r="R411" s="26"/>
      <c r="S411" s="23"/>
    </row>
    <row r="412" spans="1:19" ht="19.5" hidden="1" customHeight="1" outlineLevel="1">
      <c r="A412" s="29">
        <v>90</v>
      </c>
      <c r="B412" s="30">
        <f>IF(4&lt;=DAY(DATE(YEAR(설정_코스수당!$K$2),MONTH(설정_코스수당!$K$2)+1,0)),DATE(YEAR(설정_코스수당!$K$2),MONTH(설정_코스수당!$K$2),4),"")</f>
        <v>46177</v>
      </c>
      <c r="C412" s="31"/>
      <c r="D412" s="29"/>
      <c r="E412" s="29"/>
      <c r="F412" s="32"/>
      <c r="G412" s="29"/>
      <c r="H412" s="29"/>
      <c r="I412" s="29"/>
      <c r="J412" s="33">
        <f>IF($O412="방문완료",MAX(0,IFERROR(VLOOKUP($E412,설정_코스수당!$A$6:$H$10,4,FALSE),0)-IF(OR($P412="",$P412="없음"),0,100000)),0)</f>
        <v>0</v>
      </c>
      <c r="K412" s="33">
        <f t="array" ref="K412">IF($O412="방문완료",IFERROR(INDEX(설정_코스수당!$B$15:$F$64,MATCH($G412,설정_코스수당!$A$15:$A$64,0),MATCH($E412&amp;"수당",설정_코스수당!$B$14:$F$14,0)),0),0)</f>
        <v>0</v>
      </c>
      <c r="L412" s="33">
        <f t="array" ref="L412">IF($O412="방문완료",IF($H412="",0,IFERROR(INDEX(설정_코스수당!$B$15:$F$64,MATCH($H412,설정_코스수당!$A$15:$A$64,0),MATCH($E412&amp;"수당",설정_코스수당!$B$14:$F$14,0)),0)),0)</f>
        <v>0</v>
      </c>
      <c r="M412" s="33">
        <f>IF($O412="방문완료",IFERROR(VLOOKUP($E412,설정_코스수당!$A$6:$H$10,6,FALSE),0),0)</f>
        <v>0</v>
      </c>
      <c r="N412" s="34">
        <f t="shared" si="11"/>
        <v>0</v>
      </c>
      <c r="O412" s="29"/>
      <c r="P412" s="29"/>
      <c r="Q412" s="29"/>
      <c r="R412" s="32"/>
      <c r="S412" s="29"/>
    </row>
    <row r="413" spans="1:19" ht="19.5" hidden="1" customHeight="1" outlineLevel="1">
      <c r="A413" s="23">
        <v>91</v>
      </c>
      <c r="B413" s="24">
        <f>IF(4&lt;=DAY(DATE(YEAR(설정_코스수당!$K$2),MONTH(설정_코스수당!$K$2)+1,0)),DATE(YEAR(설정_코스수당!$K$2),MONTH(설정_코스수당!$K$2),4),"")</f>
        <v>46177</v>
      </c>
      <c r="C413" s="25"/>
      <c r="D413" s="23"/>
      <c r="E413" s="23"/>
      <c r="F413" s="26"/>
      <c r="G413" s="23"/>
      <c r="H413" s="23"/>
      <c r="I413" s="23"/>
      <c r="J413" s="27">
        <f>IF($O413="방문완료",MAX(0,IFERROR(VLOOKUP($E413,설정_코스수당!$A$6:$H$10,4,FALSE),0)-IF(OR($P413="",$P413="없음"),0,100000)),0)</f>
        <v>0</v>
      </c>
      <c r="K413" s="27">
        <f t="array" ref="K413">IF($O413="방문완료",IFERROR(INDEX(설정_코스수당!$B$15:$F$64,MATCH($G413,설정_코스수당!$A$15:$A$64,0),MATCH($E413&amp;"수당",설정_코스수당!$B$14:$F$14,0)),0),0)</f>
        <v>0</v>
      </c>
      <c r="L413" s="27">
        <f t="array" ref="L413">IF($O413="방문완료",IF($H413="",0,IFERROR(INDEX(설정_코스수당!$B$15:$F$64,MATCH($H413,설정_코스수당!$A$15:$A$64,0),MATCH($E413&amp;"수당",설정_코스수당!$B$14:$F$14,0)),0)),0)</f>
        <v>0</v>
      </c>
      <c r="M413" s="27">
        <f>IF($O413="방문완료",IFERROR(VLOOKUP($E413,설정_코스수당!$A$6:$H$10,6,FALSE),0),0)</f>
        <v>0</v>
      </c>
      <c r="N413" s="28">
        <f t="shared" si="11"/>
        <v>0</v>
      </c>
      <c r="O413" s="23"/>
      <c r="P413" s="23"/>
      <c r="Q413" s="23"/>
      <c r="R413" s="26"/>
      <c r="S413" s="23"/>
    </row>
    <row r="414" spans="1:19" ht="19.5" hidden="1" customHeight="1" outlineLevel="1">
      <c r="A414" s="29">
        <v>92</v>
      </c>
      <c r="B414" s="30">
        <f>IF(4&lt;=DAY(DATE(YEAR(설정_코스수당!$K$2),MONTH(설정_코스수당!$K$2)+1,0)),DATE(YEAR(설정_코스수당!$K$2),MONTH(설정_코스수당!$K$2),4),"")</f>
        <v>46177</v>
      </c>
      <c r="C414" s="31"/>
      <c r="D414" s="29"/>
      <c r="E414" s="29"/>
      <c r="F414" s="32"/>
      <c r="G414" s="29"/>
      <c r="H414" s="29"/>
      <c r="I414" s="29"/>
      <c r="J414" s="33">
        <f>IF($O414="방문완료",MAX(0,IFERROR(VLOOKUP($E414,설정_코스수당!$A$6:$H$10,4,FALSE),0)-IF(OR($P414="",$P414="없음"),0,100000)),0)</f>
        <v>0</v>
      </c>
      <c r="K414" s="33">
        <f t="array" ref="K414">IF($O414="방문완료",IFERROR(INDEX(설정_코스수당!$B$15:$F$64,MATCH($G414,설정_코스수당!$A$15:$A$64,0),MATCH($E414&amp;"수당",설정_코스수당!$B$14:$F$14,0)),0),0)</f>
        <v>0</v>
      </c>
      <c r="L414" s="33">
        <f t="array" ref="L414">IF($O414="방문완료",IF($H414="",0,IFERROR(INDEX(설정_코스수당!$B$15:$F$64,MATCH($H414,설정_코스수당!$A$15:$A$64,0),MATCH($E414&amp;"수당",설정_코스수당!$B$14:$F$14,0)),0)),0)</f>
        <v>0</v>
      </c>
      <c r="M414" s="33">
        <f>IF($O414="방문완료",IFERROR(VLOOKUP($E414,설정_코스수당!$A$6:$H$10,6,FALSE),0),0)</f>
        <v>0</v>
      </c>
      <c r="N414" s="34">
        <f t="shared" si="11"/>
        <v>0</v>
      </c>
      <c r="O414" s="29"/>
      <c r="P414" s="29"/>
      <c r="Q414" s="29"/>
      <c r="R414" s="32"/>
      <c r="S414" s="29"/>
    </row>
    <row r="415" spans="1:19" ht="19.5" hidden="1" customHeight="1" outlineLevel="1">
      <c r="A415" s="23">
        <v>93</v>
      </c>
      <c r="B415" s="24">
        <f>IF(4&lt;=DAY(DATE(YEAR(설정_코스수당!$K$2),MONTH(설정_코스수당!$K$2)+1,0)),DATE(YEAR(설정_코스수당!$K$2),MONTH(설정_코스수당!$K$2),4),"")</f>
        <v>46177</v>
      </c>
      <c r="C415" s="25"/>
      <c r="D415" s="23"/>
      <c r="E415" s="23"/>
      <c r="F415" s="26"/>
      <c r="G415" s="23"/>
      <c r="H415" s="23"/>
      <c r="I415" s="23"/>
      <c r="J415" s="27">
        <f>IF($O415="방문완료",MAX(0,IFERROR(VLOOKUP($E415,설정_코스수당!$A$6:$H$10,4,FALSE),0)-IF(OR($P415="",$P415="없음"),0,100000)),0)</f>
        <v>0</v>
      </c>
      <c r="K415" s="27">
        <f t="array" ref="K415">IF($O415="방문완료",IFERROR(INDEX(설정_코스수당!$B$15:$F$64,MATCH($G415,설정_코스수당!$A$15:$A$64,0),MATCH($E415&amp;"수당",설정_코스수당!$B$14:$F$14,0)),0),0)</f>
        <v>0</v>
      </c>
      <c r="L415" s="27">
        <f t="array" ref="L415">IF($O415="방문완료",IF($H415="",0,IFERROR(INDEX(설정_코스수당!$B$15:$F$64,MATCH($H415,설정_코스수당!$A$15:$A$64,0),MATCH($E415&amp;"수당",설정_코스수당!$B$14:$F$14,0)),0)),0)</f>
        <v>0</v>
      </c>
      <c r="M415" s="27">
        <f>IF($O415="방문완료",IFERROR(VLOOKUP($E415,설정_코스수당!$A$6:$H$10,6,FALSE),0),0)</f>
        <v>0</v>
      </c>
      <c r="N415" s="28">
        <f t="shared" si="11"/>
        <v>0</v>
      </c>
      <c r="O415" s="23"/>
      <c r="P415" s="23"/>
      <c r="Q415" s="23"/>
      <c r="R415" s="26"/>
      <c r="S415" s="23"/>
    </row>
    <row r="416" spans="1:19" ht="19.5" hidden="1" customHeight="1" outlineLevel="1">
      <c r="A416" s="29">
        <v>94</v>
      </c>
      <c r="B416" s="30">
        <f>IF(4&lt;=DAY(DATE(YEAR(설정_코스수당!$K$2),MONTH(설정_코스수당!$K$2)+1,0)),DATE(YEAR(설정_코스수당!$K$2),MONTH(설정_코스수당!$K$2),4),"")</f>
        <v>46177</v>
      </c>
      <c r="C416" s="31"/>
      <c r="D416" s="29"/>
      <c r="E416" s="29"/>
      <c r="F416" s="32"/>
      <c r="G416" s="29"/>
      <c r="H416" s="29"/>
      <c r="I416" s="29"/>
      <c r="J416" s="33">
        <f>IF($O416="방문완료",MAX(0,IFERROR(VLOOKUP($E416,설정_코스수당!$A$6:$H$10,4,FALSE),0)-IF(OR($P416="",$P416="없음"),0,100000)),0)</f>
        <v>0</v>
      </c>
      <c r="K416" s="33">
        <f t="array" ref="K416">IF($O416="방문완료",IFERROR(INDEX(설정_코스수당!$B$15:$F$64,MATCH($G416,설정_코스수당!$A$15:$A$64,0),MATCH($E416&amp;"수당",설정_코스수당!$B$14:$F$14,0)),0),0)</f>
        <v>0</v>
      </c>
      <c r="L416" s="33">
        <f t="array" ref="L416">IF($O416="방문완료",IF($H416="",0,IFERROR(INDEX(설정_코스수당!$B$15:$F$64,MATCH($H416,설정_코스수당!$A$15:$A$64,0),MATCH($E416&amp;"수당",설정_코스수당!$B$14:$F$14,0)),0)),0)</f>
        <v>0</v>
      </c>
      <c r="M416" s="33">
        <f>IF($O416="방문완료",IFERROR(VLOOKUP($E416,설정_코스수당!$A$6:$H$10,6,FALSE),0),0)</f>
        <v>0</v>
      </c>
      <c r="N416" s="34">
        <f t="shared" si="11"/>
        <v>0</v>
      </c>
      <c r="O416" s="29"/>
      <c r="P416" s="29"/>
      <c r="Q416" s="29"/>
      <c r="R416" s="32"/>
      <c r="S416" s="29"/>
    </row>
    <row r="417" spans="1:27" ht="19.5" hidden="1" customHeight="1" outlineLevel="1">
      <c r="A417" s="23">
        <v>95</v>
      </c>
      <c r="B417" s="24">
        <f>IF(4&lt;=DAY(DATE(YEAR(설정_코스수당!$K$2),MONTH(설정_코스수당!$K$2)+1,0)),DATE(YEAR(설정_코스수당!$K$2),MONTH(설정_코스수당!$K$2),4),"")</f>
        <v>46177</v>
      </c>
      <c r="C417" s="25"/>
      <c r="D417" s="23"/>
      <c r="E417" s="23"/>
      <c r="F417" s="26"/>
      <c r="G417" s="23"/>
      <c r="H417" s="23"/>
      <c r="I417" s="23"/>
      <c r="J417" s="27">
        <f>IF($O417="방문완료",MAX(0,IFERROR(VLOOKUP($E417,설정_코스수당!$A$6:$H$10,4,FALSE),0)-IF(OR($P417="",$P417="없음"),0,100000)),0)</f>
        <v>0</v>
      </c>
      <c r="K417" s="27">
        <f t="array" ref="K417">IF($O417="방문완료",IFERROR(INDEX(설정_코스수당!$B$15:$F$64,MATCH($G417,설정_코스수당!$A$15:$A$64,0),MATCH($E417&amp;"수당",설정_코스수당!$B$14:$F$14,0)),0),0)</f>
        <v>0</v>
      </c>
      <c r="L417" s="27">
        <f t="array" ref="L417">IF($O417="방문완료",IF($H417="",0,IFERROR(INDEX(설정_코스수당!$B$15:$F$64,MATCH($H417,설정_코스수당!$A$15:$A$64,0),MATCH($E417&amp;"수당",설정_코스수당!$B$14:$F$14,0)),0)),0)</f>
        <v>0</v>
      </c>
      <c r="M417" s="27">
        <f>IF($O417="방문완료",IFERROR(VLOOKUP($E417,설정_코스수당!$A$6:$H$10,6,FALSE),0),0)</f>
        <v>0</v>
      </c>
      <c r="N417" s="28">
        <f t="shared" si="11"/>
        <v>0</v>
      </c>
      <c r="O417" s="23"/>
      <c r="P417" s="23"/>
      <c r="Q417" s="23"/>
      <c r="R417" s="26"/>
      <c r="S417" s="23"/>
    </row>
    <row r="418" spans="1:27" ht="19.5" hidden="1" customHeight="1" outlineLevel="1">
      <c r="A418" s="29">
        <v>96</v>
      </c>
      <c r="B418" s="30">
        <f>IF(4&lt;=DAY(DATE(YEAR(설정_코스수당!$K$2),MONTH(설정_코스수당!$K$2)+1,0)),DATE(YEAR(설정_코스수당!$K$2),MONTH(설정_코스수당!$K$2),4),"")</f>
        <v>46177</v>
      </c>
      <c r="C418" s="31"/>
      <c r="D418" s="29"/>
      <c r="E418" s="29"/>
      <c r="F418" s="32"/>
      <c r="G418" s="29"/>
      <c r="H418" s="29"/>
      <c r="I418" s="29"/>
      <c r="J418" s="33">
        <f>IF($O418="방문완료",MAX(0,IFERROR(VLOOKUP($E418,설정_코스수당!$A$6:$H$10,4,FALSE),0)-IF(OR($P418="",$P418="없음"),0,100000)),0)</f>
        <v>0</v>
      </c>
      <c r="K418" s="33">
        <f t="array" ref="K418">IF($O418="방문완료",IFERROR(INDEX(설정_코스수당!$B$15:$F$64,MATCH($G418,설정_코스수당!$A$15:$A$64,0),MATCH($E418&amp;"수당",설정_코스수당!$B$14:$F$14,0)),0),0)</f>
        <v>0</v>
      </c>
      <c r="L418" s="33">
        <f t="array" ref="L418">IF($O418="방문완료",IF($H418="",0,IFERROR(INDEX(설정_코스수당!$B$15:$F$64,MATCH($H418,설정_코스수당!$A$15:$A$64,0),MATCH($E418&amp;"수당",설정_코스수당!$B$14:$F$14,0)),0)),0)</f>
        <v>0</v>
      </c>
      <c r="M418" s="33">
        <f>IF($O418="방문완료",IFERROR(VLOOKUP($E418,설정_코스수당!$A$6:$H$10,6,FALSE),0),0)</f>
        <v>0</v>
      </c>
      <c r="N418" s="34">
        <f t="shared" si="11"/>
        <v>0</v>
      </c>
      <c r="O418" s="29"/>
      <c r="P418" s="29"/>
      <c r="Q418" s="29"/>
      <c r="R418" s="32"/>
      <c r="S418" s="29"/>
    </row>
    <row r="419" spans="1:27" ht="19.5" hidden="1" customHeight="1" outlineLevel="1">
      <c r="A419" s="23">
        <v>97</v>
      </c>
      <c r="B419" s="24">
        <f>IF(4&lt;=DAY(DATE(YEAR(설정_코스수당!$K$2),MONTH(설정_코스수당!$K$2)+1,0)),DATE(YEAR(설정_코스수당!$K$2),MONTH(설정_코스수당!$K$2),4),"")</f>
        <v>46177</v>
      </c>
      <c r="C419" s="25"/>
      <c r="D419" s="23"/>
      <c r="E419" s="23"/>
      <c r="F419" s="26"/>
      <c r="G419" s="23"/>
      <c r="H419" s="23"/>
      <c r="I419" s="23"/>
      <c r="J419" s="27">
        <f>IF($O419="방문완료",MAX(0,IFERROR(VLOOKUP($E419,설정_코스수당!$A$6:$H$10,4,FALSE),0)-IF(OR($P419="",$P419="없음"),0,100000)),0)</f>
        <v>0</v>
      </c>
      <c r="K419" s="27">
        <f t="array" ref="K419">IF($O419="방문완료",IFERROR(INDEX(설정_코스수당!$B$15:$F$64,MATCH($G419,설정_코스수당!$A$15:$A$64,0),MATCH($E419&amp;"수당",설정_코스수당!$B$14:$F$14,0)),0),0)</f>
        <v>0</v>
      </c>
      <c r="L419" s="27">
        <f t="array" ref="L419">IF($O419="방문완료",IF($H419="",0,IFERROR(INDEX(설정_코스수당!$B$15:$F$64,MATCH($H419,설정_코스수당!$A$15:$A$64,0),MATCH($E419&amp;"수당",설정_코스수당!$B$14:$F$14,0)),0)),0)</f>
        <v>0</v>
      </c>
      <c r="M419" s="27">
        <f>IF($O419="방문완료",IFERROR(VLOOKUP($E419,설정_코스수당!$A$6:$H$10,6,FALSE),0),0)</f>
        <v>0</v>
      </c>
      <c r="N419" s="28">
        <f t="shared" si="11"/>
        <v>0</v>
      </c>
      <c r="O419" s="23"/>
      <c r="P419" s="23"/>
      <c r="Q419" s="23"/>
      <c r="R419" s="26"/>
      <c r="S419" s="23"/>
    </row>
    <row r="420" spans="1:27" ht="19.5" hidden="1" customHeight="1" outlineLevel="1">
      <c r="A420" s="29">
        <v>98</v>
      </c>
      <c r="B420" s="30">
        <f>IF(4&lt;=DAY(DATE(YEAR(설정_코스수당!$K$2),MONTH(설정_코스수당!$K$2)+1,0)),DATE(YEAR(설정_코스수당!$K$2),MONTH(설정_코스수당!$K$2),4),"")</f>
        <v>46177</v>
      </c>
      <c r="C420" s="31"/>
      <c r="D420" s="29"/>
      <c r="E420" s="29"/>
      <c r="F420" s="32"/>
      <c r="G420" s="29"/>
      <c r="H420" s="29"/>
      <c r="I420" s="29"/>
      <c r="J420" s="33">
        <f>IF($O420="방문완료",MAX(0,IFERROR(VLOOKUP($E420,설정_코스수당!$A$6:$H$10,4,FALSE),0)-IF(OR($P420="",$P420="없음"),0,100000)),0)</f>
        <v>0</v>
      </c>
      <c r="K420" s="33">
        <f t="array" ref="K420">IF($O420="방문완료",IFERROR(INDEX(설정_코스수당!$B$15:$F$64,MATCH($G420,설정_코스수당!$A$15:$A$64,0),MATCH($E420&amp;"수당",설정_코스수당!$B$14:$F$14,0)),0),0)</f>
        <v>0</v>
      </c>
      <c r="L420" s="33">
        <f t="array" ref="L420">IF($O420="방문완료",IF($H420="",0,IFERROR(INDEX(설정_코스수당!$B$15:$F$64,MATCH($H420,설정_코스수당!$A$15:$A$64,0),MATCH($E420&amp;"수당",설정_코스수당!$B$14:$F$14,0)),0)),0)</f>
        <v>0</v>
      </c>
      <c r="M420" s="33">
        <f>IF($O420="방문완료",IFERROR(VLOOKUP($E420,설정_코스수당!$A$6:$H$10,6,FALSE),0),0)</f>
        <v>0</v>
      </c>
      <c r="N420" s="34">
        <f t="shared" si="11"/>
        <v>0</v>
      </c>
      <c r="O420" s="29"/>
      <c r="P420" s="29"/>
      <c r="Q420" s="29"/>
      <c r="R420" s="32"/>
      <c r="S420" s="29"/>
      <c r="U420" s="16" t="s">
        <v>72</v>
      </c>
      <c r="V420" s="17">
        <f>IF(5&lt;=DAY(DATE(YEAR(설정_코스수당!$K$2),MONTH(설정_코스수당!$K$2)+1,0)),COUNTIFS($B:$B,DATE(YEAR(설정_코스수당!$K$2),MONTH(설정_코스수당!$K$2),5),$O:$O,"방문완료",$P:$P,"&lt;&gt;",$P:$P,"&lt;&gt;없음")*100000,"")</f>
        <v>0</v>
      </c>
    </row>
    <row r="421" spans="1:27" ht="19.5" hidden="1" customHeight="1" outlineLevel="1">
      <c r="A421" s="23">
        <v>99</v>
      </c>
      <c r="B421" s="24">
        <f>IF(4&lt;=DAY(DATE(YEAR(설정_코스수당!$K$2),MONTH(설정_코스수당!$K$2)+1,0)),DATE(YEAR(설정_코스수당!$K$2),MONTH(설정_코스수당!$K$2),4),"")</f>
        <v>46177</v>
      </c>
      <c r="C421" s="25"/>
      <c r="D421" s="23"/>
      <c r="E421" s="23"/>
      <c r="F421" s="26"/>
      <c r="G421" s="23"/>
      <c r="H421" s="23"/>
      <c r="I421" s="23"/>
      <c r="J421" s="27">
        <f>IF($O421="방문완료",MAX(0,IFERROR(VLOOKUP($E421,설정_코스수당!$A$6:$H$10,4,FALSE),0)-IF(OR($P421="",$P421="없음"),0,100000)),0)</f>
        <v>0</v>
      </c>
      <c r="K421" s="27">
        <f t="array" ref="K421">IF($O421="방문완료",IFERROR(INDEX(설정_코스수당!$B$15:$F$64,MATCH($G421,설정_코스수당!$A$15:$A$64,0),MATCH($E421&amp;"수당",설정_코스수당!$B$14:$F$14,0)),0),0)</f>
        <v>0</v>
      </c>
      <c r="L421" s="27">
        <f t="array" ref="L421">IF($O421="방문완료",IF($H421="",0,IFERROR(INDEX(설정_코스수당!$B$15:$F$64,MATCH($H421,설정_코스수당!$A$15:$A$64,0),MATCH($E421&amp;"수당",설정_코스수당!$B$14:$F$14,0)),0)),0)</f>
        <v>0</v>
      </c>
      <c r="M421" s="27">
        <f>IF($O421="방문완료",IFERROR(VLOOKUP($E421,설정_코스수당!$A$6:$H$10,6,FALSE),0),0)</f>
        <v>0</v>
      </c>
      <c r="N421" s="28">
        <f t="shared" si="11"/>
        <v>0</v>
      </c>
      <c r="O421" s="23"/>
      <c r="P421" s="23"/>
      <c r="Q421" s="23"/>
      <c r="R421" s="26"/>
      <c r="S421" s="23"/>
    </row>
    <row r="422" spans="1:27" ht="19.5" hidden="1" customHeight="1" outlineLevel="1">
      <c r="A422" s="29">
        <v>100</v>
      </c>
      <c r="B422" s="30">
        <f>IF(4&lt;=DAY(DATE(YEAR(설정_코스수당!$K$2),MONTH(설정_코스수당!$K$2)+1,0)),DATE(YEAR(설정_코스수당!$K$2),MONTH(설정_코스수당!$K$2),4),"")</f>
        <v>46177</v>
      </c>
      <c r="C422" s="31"/>
      <c r="D422" s="29"/>
      <c r="E422" s="29"/>
      <c r="F422" s="32"/>
      <c r="G422" s="29"/>
      <c r="H422" s="29"/>
      <c r="I422" s="29"/>
      <c r="J422" s="33">
        <f>IF($O422="방문완료",MAX(0,IFERROR(VLOOKUP($E422,설정_코스수당!$A$6:$H$10,4,FALSE),0)-IF(OR($P422="",$P422="없음"),0,100000)),0)</f>
        <v>0</v>
      </c>
      <c r="K422" s="33">
        <f t="array" ref="K422">IF($O422="방문완료",IFERROR(INDEX(설정_코스수당!$B$15:$F$64,MATCH($G422,설정_코스수당!$A$15:$A$64,0),MATCH($E422&amp;"수당",설정_코스수당!$B$14:$F$14,0)),0),0)</f>
        <v>0</v>
      </c>
      <c r="L422" s="33">
        <f t="array" ref="L422">IF($O422="방문완료",IF($H422="",0,IFERROR(INDEX(설정_코스수당!$B$15:$F$64,MATCH($H422,설정_코스수당!$A$15:$A$64,0),MATCH($E422&amp;"수당",설정_코스수당!$B$14:$F$14,0)),0)),0)</f>
        <v>0</v>
      </c>
      <c r="M422" s="33">
        <f>IF($O422="방문완료",IFERROR(VLOOKUP($E422,설정_코스수당!$A$6:$H$10,6,FALSE),0),0)</f>
        <v>0</v>
      </c>
      <c r="N422" s="34">
        <f t="shared" si="11"/>
        <v>0</v>
      </c>
      <c r="O422" s="29"/>
      <c r="P422" s="29"/>
      <c r="Q422" s="29"/>
      <c r="R422" s="32"/>
      <c r="S422" s="29"/>
    </row>
    <row r="423" spans="1:27" ht="19.5" hidden="1" customHeight="1" outlineLevel="1">
      <c r="A423" s="36" t="s">
        <v>79</v>
      </c>
      <c r="B423" s="37"/>
      <c r="C423" s="38"/>
      <c r="D423" s="37"/>
      <c r="E423" s="37"/>
      <c r="F423" s="37"/>
      <c r="G423" s="37"/>
      <c r="H423" s="37"/>
      <c r="I423" s="37"/>
      <c r="J423" s="37">
        <f>IF($O423="방문완료",MAX(0,IFERROR(VLOOKUP($E423,설정_코스수당!$A$6:$H$10,4,FALSE),0)-IF(OR($P423="",$P423="없음"),0,100000)),0)</f>
        <v>0</v>
      </c>
      <c r="O423" s="18"/>
      <c r="P423" s="14"/>
      <c r="Q423" s="18"/>
      <c r="S423" s="18"/>
    </row>
    <row r="424" spans="1:27" ht="21" customHeight="1" collapsed="1">
      <c r="A424" s="123" t="str">
        <f>IF(5&lt;=DAY(DATE(YEAR(설정_코스수당!$K$2),MONTH(설정_코스수당!$K$2)+1,0)),TEXT(DATE(YEAR(설정_코스수당!$K$2),MONTH(설정_코스수당!$K$2),5),"yyyy-mm-dd")&amp;"  |  예약관리 100슬롯","")</f>
        <v>2026-06-05  |  예약관리 100슬롯</v>
      </c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 spans="1:27" ht="19.5" hidden="1" customHeight="1" outlineLevel="1">
      <c r="A425" s="20" t="s">
        <v>41</v>
      </c>
      <c r="B425" s="20" t="s">
        <v>42</v>
      </c>
      <c r="C425" s="39" t="s">
        <v>43</v>
      </c>
      <c r="D425" s="20" t="s">
        <v>44</v>
      </c>
      <c r="E425" s="20" t="s">
        <v>45</v>
      </c>
      <c r="F425" s="20" t="s">
        <v>46</v>
      </c>
      <c r="G425" s="20" t="s">
        <v>47</v>
      </c>
      <c r="H425" s="20" t="s">
        <v>48</v>
      </c>
      <c r="I425" s="20" t="s">
        <v>49</v>
      </c>
      <c r="J425" s="20" t="s">
        <v>50</v>
      </c>
      <c r="K425" s="20" t="s">
        <v>51</v>
      </c>
      <c r="L425" s="20" t="s">
        <v>52</v>
      </c>
      <c r="M425" s="20" t="s">
        <v>53</v>
      </c>
      <c r="N425" s="20" t="s">
        <v>54</v>
      </c>
      <c r="O425" s="20" t="s">
        <v>55</v>
      </c>
      <c r="P425" s="20" t="s">
        <v>56</v>
      </c>
      <c r="Q425" s="18"/>
      <c r="R425" s="20" t="s">
        <v>58</v>
      </c>
      <c r="S425" s="20" t="s">
        <v>59</v>
      </c>
      <c r="U425" s="122" t="str">
        <f>IF(5&lt;=DAY(DATE(YEAR(설정_코스수당!$K$2),MONTH(설정_코스수당!$K$2)+1,0)),TEXT(DATE(YEAR(설정_코스수당!$K$2),MONTH(설정_코스수당!$K$2),5),"yyyy-mm-dd")&amp;" 일일 상태","")</f>
        <v>2026-06-05 일일 상태</v>
      </c>
      <c r="V425" s="125"/>
      <c r="W425" s="122" t="s">
        <v>3</v>
      </c>
      <c r="X425" s="125"/>
    </row>
    <row r="426" spans="1:27" ht="19.5" hidden="1" customHeight="1" outlineLevel="1">
      <c r="A426" s="23">
        <v>1</v>
      </c>
      <c r="B426" s="24">
        <f>IF(5&lt;=DAY(DATE(YEAR(설정_코스수당!$K$2),MONTH(설정_코스수당!$K$2)+1,0)),DATE(YEAR(설정_코스수당!$K$2),MONTH(설정_코스수당!$K$2),5),"")</f>
        <v>46178</v>
      </c>
      <c r="C426" s="25"/>
      <c r="D426" s="23"/>
      <c r="E426" s="23"/>
      <c r="F426" s="26"/>
      <c r="G426" s="23"/>
      <c r="H426" s="23"/>
      <c r="I426" s="23"/>
      <c r="J426" s="27">
        <f>IF($O426="방문완료",MAX(0,IFERROR(VLOOKUP($E426,설정_코스수당!$A$6:$H$10,4,FALSE),0)-IF(OR($P426="",$P426="없음"),0,100000)),0)</f>
        <v>0</v>
      </c>
      <c r="K426" s="27">
        <f t="array" ref="K426">IF($O426="방문완료",IFERROR(INDEX(설정_코스수당!$B$15:$F$64,MATCH($G426,설정_코스수당!$A$15:$A$64,0),MATCH($E426&amp;"수당",설정_코스수당!$B$14:$F$14,0)),0),0)</f>
        <v>0</v>
      </c>
      <c r="L426" s="27">
        <f t="array" ref="L426">IF($O426="방문완료",IF($H426="",0,IFERROR(INDEX(설정_코스수당!$B$15:$F$64,MATCH($H426,설정_코스수당!$A$15:$A$64,0),MATCH($E426&amp;"수당",설정_코스수당!$B$14:$F$14,0)),0)),0)</f>
        <v>0</v>
      </c>
      <c r="M426" s="27">
        <f>IF($O426="방문완료",IFERROR(VLOOKUP($E426,설정_코스수당!$A$6:$H$10,6,FALSE),0),0)</f>
        <v>0</v>
      </c>
      <c r="N426" s="28">
        <f t="shared" ref="N426:N457" si="12">IF($O426="방문완료",1,0)</f>
        <v>0</v>
      </c>
      <c r="O426" s="23"/>
      <c r="P426" s="23"/>
      <c r="Q426" s="23"/>
      <c r="R426" s="26"/>
      <c r="S426" s="23"/>
      <c r="U426" s="104" t="s">
        <v>63</v>
      </c>
      <c r="V426" s="105">
        <f>IF(5&lt;=DAY(DATE(YEAR(설정_코스수당!$K$2),MONTH(설정_코스수당!$K$2)+1,0)),COUNTIFS($B:$B,DATE(YEAR(설정_코스수당!$K$2),MONTH(설정_코스수당!$K$2),5),$O:$O,"&lt;&gt;"),"")</f>
        <v>0</v>
      </c>
      <c r="W426" s="104" t="s">
        <v>6</v>
      </c>
      <c r="X426" s="105">
        <f>IF(5&lt;=DAY(DATE(YEAR(설정_코스수당!$K$2),MONTH(설정_코스수당!$K$2)+1,0)),COUNTIFS($B:$B,DATE(YEAR(설정_코스수당!$K$2),MONTH(설정_코스수당!$K$2),5),$E:$E,"A",$O:$O,"방문완료"),"")</f>
        <v>0</v>
      </c>
    </row>
    <row r="427" spans="1:27" ht="19.5" hidden="1" customHeight="1" outlineLevel="1">
      <c r="A427" s="29">
        <v>2</v>
      </c>
      <c r="B427" s="30">
        <f>IF(5&lt;=DAY(DATE(YEAR(설정_코스수당!$K$2),MONTH(설정_코스수당!$K$2)+1,0)),DATE(YEAR(설정_코스수당!$K$2),MONTH(설정_코스수당!$K$2),5),"")</f>
        <v>46178</v>
      </c>
      <c r="C427" s="31"/>
      <c r="D427" s="29"/>
      <c r="E427" s="29"/>
      <c r="F427" s="32"/>
      <c r="G427" s="29"/>
      <c r="H427" s="29"/>
      <c r="I427" s="29"/>
      <c r="J427" s="33">
        <f>IF($O427="방문완료",MAX(0,IFERROR(VLOOKUP($E427,설정_코스수당!$A$6:$H$10,4,FALSE),0)-IF(OR($P427="",$P427="없음"),0,100000)),0)</f>
        <v>0</v>
      </c>
      <c r="K427" s="33">
        <f t="array" ref="K427">IF($O427="방문완료",IFERROR(INDEX(설정_코스수당!$B$15:$F$64,MATCH($G427,설정_코스수당!$A$15:$A$64,0),MATCH($E427&amp;"수당",설정_코스수당!$B$14:$F$14,0)),0),0)</f>
        <v>0</v>
      </c>
      <c r="L427" s="33">
        <f t="array" ref="L427">IF($O427="방문완료",IF($H427="",0,IFERROR(INDEX(설정_코스수당!$B$15:$F$64,MATCH($H427,설정_코스수당!$A$15:$A$64,0),MATCH($E427&amp;"수당",설정_코스수당!$B$14:$F$14,0)),0)),0)</f>
        <v>0</v>
      </c>
      <c r="M427" s="33">
        <f>IF($O427="방문완료",IFERROR(VLOOKUP($E427,설정_코스수당!$A$6:$H$10,6,FALSE),0),0)</f>
        <v>0</v>
      </c>
      <c r="N427" s="34">
        <f t="shared" si="12"/>
        <v>0</v>
      </c>
      <c r="O427" s="29"/>
      <c r="P427" s="29"/>
      <c r="Q427" s="29"/>
      <c r="R427" s="32"/>
      <c r="S427" s="29"/>
      <c r="U427" s="104" t="s">
        <v>62</v>
      </c>
      <c r="V427" s="105">
        <f>IF(5&lt;=DAY(DATE(YEAR(설정_코스수당!$K$2),MONTH(설정_코스수당!$K$2)+1,0)),COUNTIFS($B:$B,DATE(YEAR(설정_코스수당!$K$2),MONTH(설정_코스수당!$K$2),5),$O:$O,"방문완료"),"")</f>
        <v>0</v>
      </c>
      <c r="W427" s="104" t="s">
        <v>9</v>
      </c>
      <c r="X427" s="105">
        <f>IF(5&lt;=DAY(DATE(YEAR(설정_코스수당!$K$2),MONTH(설정_코스수당!$K$2)+1,0)),COUNTIFS($B:$B,DATE(YEAR(설정_코스수당!$K$2),MONTH(설정_코스수당!$K$2),5),$E:$E,"B",$O:$O,"방문완료"),"")</f>
        <v>0</v>
      </c>
    </row>
    <row r="428" spans="1:27" ht="19.5" hidden="1" customHeight="1" outlineLevel="1">
      <c r="A428" s="23">
        <v>3</v>
      </c>
      <c r="B428" s="24">
        <f>IF(5&lt;=DAY(DATE(YEAR(설정_코스수당!$K$2),MONTH(설정_코스수당!$K$2)+1,0)),DATE(YEAR(설정_코스수당!$K$2),MONTH(설정_코스수당!$K$2),5),"")</f>
        <v>46178</v>
      </c>
      <c r="C428" s="25"/>
      <c r="D428" s="23"/>
      <c r="E428" s="23"/>
      <c r="F428" s="26"/>
      <c r="G428" s="23"/>
      <c r="H428" s="23"/>
      <c r="I428" s="23"/>
      <c r="J428" s="27">
        <f>IF($O428="방문완료",MAX(0,IFERROR(VLOOKUP($E428,설정_코스수당!$A$6:$H$10,4,FALSE),0)-IF(OR($P428="",$P428="없음"),0,100000)),0)</f>
        <v>0</v>
      </c>
      <c r="K428" s="27">
        <f t="array" ref="K428">IF($O428="방문완료",IFERROR(INDEX(설정_코스수당!$B$15:$F$64,MATCH($G428,설정_코스수당!$A$15:$A$64,0),MATCH($E428&amp;"수당",설정_코스수당!$B$14:$F$14,0)),0),0)</f>
        <v>0</v>
      </c>
      <c r="L428" s="27">
        <f t="array" ref="L428">IF($O428="방문완료",IF($H428="",0,IFERROR(INDEX(설정_코스수당!$B$15:$F$64,MATCH($H428,설정_코스수당!$A$15:$A$64,0),MATCH($E428&amp;"수당",설정_코스수당!$B$14:$F$14,0)),0)),0)</f>
        <v>0</v>
      </c>
      <c r="M428" s="27">
        <f>IF($O428="방문완료",IFERROR(VLOOKUP($E428,설정_코스수당!$A$6:$H$10,6,FALSE),0),0)</f>
        <v>0</v>
      </c>
      <c r="N428" s="28">
        <f t="shared" si="12"/>
        <v>0</v>
      </c>
      <c r="O428" s="23"/>
      <c r="P428" s="23"/>
      <c r="Q428" s="23"/>
      <c r="R428" s="26"/>
      <c r="S428" s="23"/>
      <c r="U428" s="104" t="s">
        <v>68</v>
      </c>
      <c r="V428" s="105" t="str">
        <f>IF(5&lt;=DAY(DATE(YEAR(설정_코스수당!$K$2),MONTH(설정_코스수당!$K$2)+1,0)),COUNTIFS($B:$B,DATE(YEAR(설정_코스수당!$K$2),MONTH(설정_코스수당!$K$2),5),$O:$O,"노쇼")&amp;"/"&amp;COUNTIFS($B:$B,DATE(YEAR(설정_코스수당!$K$2),MONTH(설정_코스수당!$K$2),5),$O:$O,"취소"),"")</f>
        <v>0/0</v>
      </c>
      <c r="W428" s="104" t="s">
        <v>12</v>
      </c>
      <c r="X428" s="105">
        <f>IF(5&lt;=DAY(DATE(YEAR(설정_코스수당!$K$2),MONTH(설정_코스수당!$K$2)+1,0)),COUNTIFS($B:$B,DATE(YEAR(설정_코스수당!$K$2),MONTH(설정_코스수당!$K$2),5),$E:$E,"C",$O:$O,"방문완료"),"")</f>
        <v>0</v>
      </c>
    </row>
    <row r="429" spans="1:27" ht="19.5" hidden="1" customHeight="1" outlineLevel="1">
      <c r="A429" s="29">
        <v>4</v>
      </c>
      <c r="B429" s="30">
        <f>IF(5&lt;=DAY(DATE(YEAR(설정_코스수당!$K$2),MONTH(설정_코스수당!$K$2)+1,0)),DATE(YEAR(설정_코스수당!$K$2),MONTH(설정_코스수당!$K$2),5),"")</f>
        <v>46178</v>
      </c>
      <c r="C429" s="31"/>
      <c r="D429" s="29"/>
      <c r="E429" s="29"/>
      <c r="F429" s="32"/>
      <c r="G429" s="29"/>
      <c r="H429" s="29"/>
      <c r="I429" s="29"/>
      <c r="J429" s="33">
        <f>IF($O429="방문완료",MAX(0,IFERROR(VLOOKUP($E429,설정_코스수당!$A$6:$H$10,4,FALSE),0)-IF(OR($P429="",$P429="없음"),0,100000)),0)</f>
        <v>0</v>
      </c>
      <c r="K429" s="33">
        <f t="array" ref="K429">IF($O429="방문완료",IFERROR(INDEX(설정_코스수당!$B$15:$F$64,MATCH($G429,설정_코스수당!$A$15:$A$64,0),MATCH($E429&amp;"수당",설정_코스수당!$B$14:$F$14,0)),0),0)</f>
        <v>0</v>
      </c>
      <c r="L429" s="33">
        <f t="array" ref="L429">IF($O429="방문완료",IF($H429="",0,IFERROR(INDEX(설정_코스수당!$B$15:$F$64,MATCH($H429,설정_코스수당!$A$15:$A$64,0),MATCH($E429&amp;"수당",설정_코스수당!$B$14:$F$14,0)),0)),0)</f>
        <v>0</v>
      </c>
      <c r="M429" s="33">
        <f>IF($O429="방문완료",IFERROR(VLOOKUP($E429,설정_코스수당!$A$6:$H$10,6,FALSE),0),0)</f>
        <v>0</v>
      </c>
      <c r="N429" s="34">
        <f t="shared" si="12"/>
        <v>0</v>
      </c>
      <c r="O429" s="29"/>
      <c r="P429" s="29"/>
      <c r="Q429" s="29"/>
      <c r="R429" s="32"/>
      <c r="S429" s="29"/>
      <c r="U429" s="104" t="s">
        <v>69</v>
      </c>
      <c r="V429" s="106">
        <f>IF(5&lt;=DAY(DATE(YEAR(설정_코스수당!$K$2),MONTH(설정_코스수당!$K$2)+1,0)),SUMIFS($J:$J,$B:$B,DATE(YEAR(설정_코스수당!$K$2),MONTH(설정_코스수당!$K$2),5),$O:$O,"방문완료"),"")</f>
        <v>0</v>
      </c>
      <c r="W429" s="104" t="s">
        <v>15</v>
      </c>
      <c r="X429" s="105">
        <f>IF(5&lt;=DAY(DATE(YEAR(설정_코스수당!$K$2),MONTH(설정_코스수당!$K$2)+1,0)),COUNTIFS($B:$B,DATE(YEAR(설정_코스수당!$K$2),MONTH(설정_코스수당!$K$2),5),$E:$E,"D",$O:$O,"방문완료"),"")</f>
        <v>0</v>
      </c>
    </row>
    <row r="430" spans="1:27" ht="19.5" hidden="1" customHeight="1" outlineLevel="1">
      <c r="A430" s="23">
        <v>5</v>
      </c>
      <c r="B430" s="24">
        <f>IF(5&lt;=DAY(DATE(YEAR(설정_코스수당!$K$2),MONTH(설정_코스수당!$K$2)+1,0)),DATE(YEAR(설정_코스수당!$K$2),MONTH(설정_코스수당!$K$2),5),"")</f>
        <v>46178</v>
      </c>
      <c r="C430" s="25"/>
      <c r="D430" s="23"/>
      <c r="E430" s="23"/>
      <c r="F430" s="26"/>
      <c r="G430" s="23"/>
      <c r="H430" s="23"/>
      <c r="I430" s="23"/>
      <c r="J430" s="27">
        <f>IF($O430="방문완료",MAX(0,IFERROR(VLOOKUP($E430,설정_코스수당!$A$6:$H$10,4,FALSE),0)-IF(OR($P430="",$P430="없음"),0,100000)),0)</f>
        <v>0</v>
      </c>
      <c r="K430" s="27">
        <f t="array" ref="K430">IF($O430="방문완료",IFERROR(INDEX(설정_코스수당!$B$15:$F$64,MATCH($G430,설정_코스수당!$A$15:$A$64,0),MATCH($E430&amp;"수당",설정_코스수당!$B$14:$F$14,0)),0),0)</f>
        <v>0</v>
      </c>
      <c r="L430" s="27">
        <f t="array" ref="L430">IF($O430="방문완료",IF($H430="",0,IFERROR(INDEX(설정_코스수당!$B$15:$F$64,MATCH($H430,설정_코스수당!$A$15:$A$64,0),MATCH($E430&amp;"수당",설정_코스수당!$B$14:$F$14,0)),0)),0)</f>
        <v>0</v>
      </c>
      <c r="M430" s="27">
        <f>IF($O430="방문완료",IFERROR(VLOOKUP($E430,설정_코스수당!$A$6:$H$10,6,FALSE),0),0)</f>
        <v>0</v>
      </c>
      <c r="N430" s="28">
        <f t="shared" si="12"/>
        <v>0</v>
      </c>
      <c r="O430" s="23"/>
      <c r="P430" s="23"/>
      <c r="Q430" s="23"/>
      <c r="R430" s="26"/>
      <c r="S430" s="23"/>
      <c r="U430" s="104" t="s">
        <v>70</v>
      </c>
      <c r="V430" s="106">
        <f>IF(5&lt;=DAY(DATE(YEAR(설정_코스수당!$K$2),MONTH(설정_코스수당!$K$2)+1,0)),SUMIFS($K:$K,$B:$B,DATE(YEAR(설정_코스수당!$K$2),MONTH(설정_코스수당!$K$2),5),$O:$O,"방문완료")+SUMIFS($L:$L,$B:$B,DATE(YEAR(설정_코스수당!$K$2),MONTH(설정_코스수당!$K$2),5),$O:$O,"방문완료"),"")</f>
        <v>0</v>
      </c>
      <c r="W430" s="104" t="s">
        <v>18</v>
      </c>
      <c r="X430" s="105">
        <f>IF(5&lt;=DAY(DATE(YEAR(설정_코스수당!$K$2),MONTH(설정_코스수당!$K$2)+1,0)),COUNTIFS($B:$B,DATE(YEAR(설정_코스수당!$K$2),MONTH(설정_코스수당!$K$2),5),$E:$E,"E",$O:$O,"방문완료"),"")</f>
        <v>0</v>
      </c>
    </row>
    <row r="431" spans="1:27" ht="19.5" hidden="1" customHeight="1" outlineLevel="1">
      <c r="A431" s="29">
        <v>6</v>
      </c>
      <c r="B431" s="30">
        <f>IF(5&lt;=DAY(DATE(YEAR(설정_코스수당!$K$2),MONTH(설정_코스수당!$K$2)+1,0)),DATE(YEAR(설정_코스수당!$K$2),MONTH(설정_코스수당!$K$2),5),"")</f>
        <v>46178</v>
      </c>
      <c r="C431" s="31"/>
      <c r="D431" s="29"/>
      <c r="E431" s="29"/>
      <c r="F431" s="32"/>
      <c r="G431" s="29"/>
      <c r="H431" s="29"/>
      <c r="I431" s="29"/>
      <c r="J431" s="33">
        <f>IF($O431="방문완료",MAX(0,IFERROR(VLOOKUP($E431,설정_코스수당!$A$6:$H$10,4,FALSE),0)-IF(OR($P431="",$P431="없음"),0,100000)),0)</f>
        <v>0</v>
      </c>
      <c r="K431" s="33">
        <f t="array" ref="K431">IF($O431="방문완료",IFERROR(INDEX(설정_코스수당!$B$15:$F$64,MATCH($G431,설정_코스수당!$A$15:$A$64,0),MATCH($E431&amp;"수당",설정_코스수당!$B$14:$F$14,0)),0),0)</f>
        <v>0</v>
      </c>
      <c r="L431" s="33">
        <f t="array" ref="L431">IF($O431="방문완료",IF($H431="",0,IFERROR(INDEX(설정_코스수당!$B$15:$F$64,MATCH($H431,설정_코스수당!$A$15:$A$64,0),MATCH($E431&amp;"수당",설정_코스수당!$B$14:$F$14,0)),0)),0)</f>
        <v>0</v>
      </c>
      <c r="M431" s="33">
        <f>IF($O431="방문완료",IFERROR(VLOOKUP($E431,설정_코스수당!$A$6:$H$10,6,FALSE),0),0)</f>
        <v>0</v>
      </c>
      <c r="N431" s="34">
        <f t="shared" si="12"/>
        <v>0</v>
      </c>
      <c r="O431" s="29"/>
      <c r="P431" s="29"/>
      <c r="Q431" s="29"/>
      <c r="R431" s="32"/>
      <c r="S431" s="29"/>
      <c r="U431" s="104" t="s">
        <v>53</v>
      </c>
      <c r="V431" s="106">
        <f>IF(5&lt;=DAY(DATE(YEAR(설정_코스수당!$K$2),MONTH(설정_코스수당!$K$2)+1,0)),SUMIFS($M:$M,$B:$B,DATE(YEAR(설정_코스수당!$K$2),MONTH(설정_코스수당!$K$2),5),$O:$O,"방문완료"),"")</f>
        <v>0</v>
      </c>
      <c r="W431" s="104" t="s">
        <v>71</v>
      </c>
      <c r="X431" s="107">
        <f>IF(5&lt;=DAY(DATE(YEAR(설정_코스수당!$K$2),MONTH(설정_코스수당!$K$2)+1,0)),COUNTIFS($B:$B,DATE(YEAR(설정_코스수당!$K$2),MONTH(설정_코스수당!$K$2),5),$O:$O,"방문완료",$P:$P,"&lt;&gt;",$P:$P,"&lt;&gt;없음"),"")</f>
        <v>0</v>
      </c>
    </row>
    <row r="432" spans="1:27" ht="19.5" hidden="1" customHeight="1" outlineLevel="1">
      <c r="A432" s="23">
        <v>7</v>
      </c>
      <c r="B432" s="24">
        <f>IF(5&lt;=DAY(DATE(YEAR(설정_코스수당!$K$2),MONTH(설정_코스수당!$K$2)+1,0)),DATE(YEAR(설정_코스수당!$K$2),MONTH(설정_코스수당!$K$2),5),"")</f>
        <v>46178</v>
      </c>
      <c r="C432" s="25"/>
      <c r="D432" s="23"/>
      <c r="E432" s="23"/>
      <c r="F432" s="26"/>
      <c r="G432" s="23"/>
      <c r="H432" s="23"/>
      <c r="I432" s="23"/>
      <c r="J432" s="27">
        <f>IF($O432="방문완료",MAX(0,IFERROR(VLOOKUP($E432,설정_코스수당!$A$6:$H$10,4,FALSE),0)-IF(OR($P432="",$P432="없음"),0,100000)),0)</f>
        <v>0</v>
      </c>
      <c r="K432" s="27">
        <f t="array" ref="K432">IF($O432="방문완료",IFERROR(INDEX(설정_코스수당!$B$15:$F$64,MATCH($G432,설정_코스수당!$A$15:$A$64,0),MATCH($E432&amp;"수당",설정_코스수당!$B$14:$F$14,0)),0),0)</f>
        <v>0</v>
      </c>
      <c r="L432" s="27">
        <f t="array" ref="L432">IF($O432="방문완료",IF($H432="",0,IFERROR(INDEX(설정_코스수당!$B$15:$F$64,MATCH($H432,설정_코스수당!$A$15:$A$64,0),MATCH($E432&amp;"수당",설정_코스수당!$B$14:$F$14,0)),0)),0)</f>
        <v>0</v>
      </c>
      <c r="M432" s="27">
        <f>IF($O432="방문완료",IFERROR(VLOOKUP($E432,설정_코스수당!$A$6:$H$10,6,FALSE),0),0)</f>
        <v>0</v>
      </c>
      <c r="N432" s="28">
        <f t="shared" si="12"/>
        <v>0</v>
      </c>
      <c r="O432" s="23"/>
      <c r="P432" s="23"/>
      <c r="Q432" s="23"/>
      <c r="R432" s="26"/>
      <c r="S432" s="23"/>
      <c r="U432" s="104" t="s">
        <v>72</v>
      </c>
      <c r="V432" s="108">
        <f>IF(5&lt;=DAY(DATE(YEAR(설정_코스수당!$K$2),MONTH(설정_코스수당!$K$2)+1,0)),COUNTIFS($B:$B,DATE(YEAR(설정_코스수당!$K$2),MONTH(설정_코스수당!$K$2),5),$O:$O,"방문완료",$P:$P,"&lt;&gt;",$P:$P,"&lt;&gt;없음")*100000,"")</f>
        <v>0</v>
      </c>
      <c r="W432" s="104" t="s">
        <v>73</v>
      </c>
      <c r="X432" s="105">
        <f>IF(5&lt;=DAY(DATE(YEAR(설정_코스수당!$K$2),MONTH(설정_코스수당!$K$2)+1,0)),COUNTIFS($B:$B,DATE(YEAR(설정_코스수당!$K$2),MONTH(설정_코스수당!$K$2),5),$G:$G,"&lt;&gt;",$O:$O,"방문완료")+COUNTIFS($B:$B,DATE(YEAR(설정_코스수당!$K$2),MONTH(설정_코스수당!$K$2),5),$H:$H,"&lt;&gt;",$O:$O,"방문완료"),"")</f>
        <v>0</v>
      </c>
    </row>
    <row r="433" spans="1:24" ht="19.5" hidden="1" customHeight="1" outlineLevel="1">
      <c r="A433" s="29">
        <v>8</v>
      </c>
      <c r="B433" s="30">
        <f>IF(5&lt;=DAY(DATE(YEAR(설정_코스수당!$K$2),MONTH(설정_코스수당!$K$2)+1,0)),DATE(YEAR(설정_코스수당!$K$2),MONTH(설정_코스수당!$K$2),5),"")</f>
        <v>46178</v>
      </c>
      <c r="C433" s="31"/>
      <c r="D433" s="29"/>
      <c r="E433" s="29"/>
      <c r="F433" s="32"/>
      <c r="G433" s="29"/>
      <c r="H433" s="29"/>
      <c r="I433" s="29"/>
      <c r="J433" s="33">
        <f>IF($O433="방문완료",MAX(0,IFERROR(VLOOKUP($E433,설정_코스수당!$A$6:$H$10,4,FALSE),0)-IF(OR($P433="",$P433="없음"),0,100000)),0)</f>
        <v>0</v>
      </c>
      <c r="K433" s="33">
        <f t="array" ref="K433">IF($O433="방문완료",IFERROR(INDEX(설정_코스수당!$B$15:$F$64,MATCH($G433,설정_코스수당!$A$15:$A$64,0),MATCH($E433&amp;"수당",설정_코스수당!$B$14:$F$14,0)),0),0)</f>
        <v>0</v>
      </c>
      <c r="L433" s="33">
        <f t="array" ref="L433">IF($O433="방문완료",IF($H433="",0,IFERROR(INDEX(설정_코스수당!$B$15:$F$64,MATCH($H433,설정_코스수당!$A$15:$A$64,0),MATCH($E433&amp;"수당",설정_코스수당!$B$14:$F$14,0)),0)),0)</f>
        <v>0</v>
      </c>
      <c r="M433" s="33">
        <f>IF($O433="방문완료",IFERROR(VLOOKUP($E433,설정_코스수당!$A$6:$H$10,6,FALSE),0),0)</f>
        <v>0</v>
      </c>
      <c r="N433" s="34">
        <f t="shared" si="12"/>
        <v>0</v>
      </c>
      <c r="O433" s="29"/>
      <c r="P433" s="29"/>
      <c r="Q433" s="29"/>
      <c r="R433" s="32"/>
      <c r="S433" s="29"/>
      <c r="U433" s="104" t="s">
        <v>74</v>
      </c>
      <c r="V433" s="108">
        <f>IF(5&lt;=DAY(DATE(YEAR(설정_코스수당!$K$2),MONTH(설정_코스수당!$K$2)+1,0)),SUM($U$437:$U$444),"")</f>
        <v>0</v>
      </c>
      <c r="W433" s="122" t="str">
        <f>IF(5&lt;=DAY(DATE(YEAR(설정_코스수당!$K$2),MONTH(설정_코스수당!$K$2)+1,0)),"계 : "&amp;TEXT(V429-V433,"#,##0")&amp;" 동","")</f>
        <v>계 : 0 동</v>
      </c>
      <c r="X433" s="122"/>
    </row>
    <row r="434" spans="1:24" ht="19.5" hidden="1" customHeight="1" outlineLevel="1">
      <c r="A434" s="23">
        <v>9</v>
      </c>
      <c r="B434" s="24">
        <f>IF(5&lt;=DAY(DATE(YEAR(설정_코스수당!$K$2),MONTH(설정_코스수당!$K$2)+1,0)),DATE(YEAR(설정_코스수당!$K$2),MONTH(설정_코스수당!$K$2),5),"")</f>
        <v>46178</v>
      </c>
      <c r="C434" s="25"/>
      <c r="D434" s="23"/>
      <c r="E434" s="23"/>
      <c r="F434" s="26"/>
      <c r="G434" s="23"/>
      <c r="H434" s="23"/>
      <c r="I434" s="23"/>
      <c r="J434" s="27">
        <f>IF($O434="방문완료",MAX(0,IFERROR(VLOOKUP($E434,설정_코스수당!$A$6:$H$10,4,FALSE),0)-IF(OR($P434="",$P434="없음"),0,100000)),0)</f>
        <v>0</v>
      </c>
      <c r="K434" s="27">
        <f t="array" ref="K434">IF($O434="방문완료",IFERROR(INDEX(설정_코스수당!$B$15:$F$64,MATCH($G434,설정_코스수당!$A$15:$A$64,0),MATCH($E434&amp;"수당",설정_코스수당!$B$14:$F$14,0)),0),0)</f>
        <v>0</v>
      </c>
      <c r="L434" s="27">
        <f t="array" ref="L434">IF($O434="방문완료",IF($H434="",0,IFERROR(INDEX(설정_코스수당!$B$15:$F$64,MATCH($H434,설정_코스수당!$A$15:$A$64,0),MATCH($E434&amp;"수당",설정_코스수당!$B$14:$F$14,0)),0)),0)</f>
        <v>0</v>
      </c>
      <c r="M434" s="27">
        <f>IF($O434="방문완료",IFERROR(VLOOKUP($E434,설정_코스수당!$A$6:$H$10,6,FALSE),0),0)</f>
        <v>0</v>
      </c>
      <c r="N434" s="28">
        <f t="shared" si="12"/>
        <v>0</v>
      </c>
      <c r="O434" s="23"/>
      <c r="P434" s="23"/>
      <c r="Q434" s="23"/>
      <c r="R434" s="26"/>
      <c r="S434" s="23"/>
    </row>
    <row r="435" spans="1:24" ht="19.5" hidden="1" customHeight="1" outlineLevel="1">
      <c r="A435" s="29">
        <v>10</v>
      </c>
      <c r="B435" s="30">
        <f>IF(5&lt;=DAY(DATE(YEAR(설정_코스수당!$K$2),MONTH(설정_코스수당!$K$2)+1,0)),DATE(YEAR(설정_코스수당!$K$2),MONTH(설정_코스수당!$K$2),5),"")</f>
        <v>46178</v>
      </c>
      <c r="C435" s="31"/>
      <c r="D435" s="29"/>
      <c r="E435" s="29"/>
      <c r="F435" s="32"/>
      <c r="G435" s="29"/>
      <c r="H435" s="29"/>
      <c r="I435" s="29"/>
      <c r="J435" s="33">
        <f>IF($O435="방문완료",MAX(0,IFERROR(VLOOKUP($E435,설정_코스수당!$A$6:$H$10,4,FALSE),0)-IF(OR($P435="",$P435="없음"),0,100000)),0)</f>
        <v>0</v>
      </c>
      <c r="K435" s="33">
        <f t="array" ref="K435">IF($O435="방문완료",IFERROR(INDEX(설정_코스수당!$B$15:$F$64,MATCH($G435,설정_코스수당!$A$15:$A$64,0),MATCH($E435&amp;"수당",설정_코스수당!$B$14:$F$14,0)),0),0)</f>
        <v>0</v>
      </c>
      <c r="L435" s="33">
        <f t="array" ref="L435">IF($O435="방문완료",IF($H435="",0,IFERROR(INDEX(설정_코스수당!$B$15:$F$64,MATCH($H435,설정_코스수당!$A$15:$A$64,0),MATCH($E435&amp;"수당",설정_코스수당!$B$14:$F$14,0)),0)),0)</f>
        <v>0</v>
      </c>
      <c r="M435" s="33">
        <f>IF($O435="방문완료",IFERROR(VLOOKUP($E435,설정_코스수당!$A$6:$H$10,6,FALSE),0),0)</f>
        <v>0</v>
      </c>
      <c r="N435" s="34">
        <f t="shared" si="12"/>
        <v>0</v>
      </c>
      <c r="O435" s="29"/>
      <c r="P435" s="29"/>
      <c r="Q435" s="29"/>
      <c r="R435" s="32"/>
      <c r="S435" s="29"/>
      <c r="U435" s="120" t="s">
        <v>75</v>
      </c>
      <c r="V435" s="121"/>
      <c r="W435" s="121"/>
      <c r="X435" s="121"/>
    </row>
    <row r="436" spans="1:24" ht="19.5" hidden="1" customHeight="1" outlineLevel="1">
      <c r="A436" s="23">
        <v>11</v>
      </c>
      <c r="B436" s="24">
        <f>IF(5&lt;=DAY(DATE(YEAR(설정_코스수당!$K$2),MONTH(설정_코스수당!$K$2)+1,0)),DATE(YEAR(설정_코스수당!$K$2),MONTH(설정_코스수당!$K$2),5),"")</f>
        <v>46178</v>
      </c>
      <c r="C436" s="25"/>
      <c r="D436" s="23"/>
      <c r="E436" s="23"/>
      <c r="F436" s="26"/>
      <c r="G436" s="23"/>
      <c r="H436" s="23"/>
      <c r="I436" s="23"/>
      <c r="J436" s="27">
        <f>IF($O436="방문완료",MAX(0,IFERROR(VLOOKUP($E436,설정_코스수당!$A$6:$H$10,4,FALSE),0)-IF(OR($P436="",$P436="없음"),0,100000)),0)</f>
        <v>0</v>
      </c>
      <c r="K436" s="27">
        <f t="array" ref="K436">IF($O436="방문완료",IFERROR(INDEX(설정_코스수당!$B$15:$F$64,MATCH($G436,설정_코스수당!$A$15:$A$64,0),MATCH($E436&amp;"수당",설정_코스수당!$B$14:$F$14,0)),0),0)</f>
        <v>0</v>
      </c>
      <c r="L436" s="27">
        <f t="array" ref="L436">IF($O436="방문완료",IF($H436="",0,IFERROR(INDEX(설정_코스수당!$B$15:$F$64,MATCH($H436,설정_코스수당!$A$15:$A$64,0),MATCH($E436&amp;"수당",설정_코스수당!$B$14:$F$14,0)),0)),0)</f>
        <v>0</v>
      </c>
      <c r="M436" s="27">
        <f>IF($O436="방문완료",IFERROR(VLOOKUP($E436,설정_코스수당!$A$6:$H$10,6,FALSE),0),0)</f>
        <v>0</v>
      </c>
      <c r="N436" s="28">
        <f t="shared" si="12"/>
        <v>0</v>
      </c>
      <c r="O436" s="23"/>
      <c r="P436" s="23"/>
      <c r="Q436" s="23"/>
      <c r="R436" s="26"/>
      <c r="S436" s="23"/>
      <c r="U436" s="109" t="s">
        <v>76</v>
      </c>
      <c r="V436" s="109" t="s">
        <v>77</v>
      </c>
      <c r="W436" s="109" t="s">
        <v>78</v>
      </c>
      <c r="X436" s="109" t="s">
        <v>58</v>
      </c>
    </row>
    <row r="437" spans="1:24" ht="19.5" hidden="1" customHeight="1" outlineLevel="1">
      <c r="A437" s="29">
        <v>12</v>
      </c>
      <c r="B437" s="30">
        <f>IF(5&lt;=DAY(DATE(YEAR(설정_코스수당!$K$2),MONTH(설정_코스수당!$K$2)+1,0)),DATE(YEAR(설정_코스수당!$K$2),MONTH(설정_코스수당!$K$2),5),"")</f>
        <v>46178</v>
      </c>
      <c r="C437" s="31"/>
      <c r="D437" s="29"/>
      <c r="E437" s="29"/>
      <c r="F437" s="32"/>
      <c r="G437" s="29"/>
      <c r="H437" s="29"/>
      <c r="I437" s="29"/>
      <c r="J437" s="33">
        <f>IF($O437="방문완료",MAX(0,IFERROR(VLOOKUP($E437,설정_코스수당!$A$6:$H$10,4,FALSE),0)-IF(OR($P437="",$P437="없음"),0,100000)),0)</f>
        <v>0</v>
      </c>
      <c r="K437" s="33">
        <f t="array" ref="K437">IF($O437="방문완료",IFERROR(INDEX(설정_코스수당!$B$15:$F$64,MATCH($G437,설정_코스수당!$A$15:$A$64,0),MATCH($E437&amp;"수당",설정_코스수당!$B$14:$F$14,0)),0),0)</f>
        <v>0</v>
      </c>
      <c r="L437" s="33">
        <f t="array" ref="L437">IF($O437="방문완료",IF($H437="",0,IFERROR(INDEX(설정_코스수당!$B$15:$F$64,MATCH($H437,설정_코스수당!$A$15:$A$64,0),MATCH($E437&amp;"수당",설정_코스수당!$B$14:$F$14,0)),0)),0)</f>
        <v>0</v>
      </c>
      <c r="M437" s="33">
        <f>IF($O437="방문완료",IFERROR(VLOOKUP($E437,설정_코스수당!$A$6:$H$10,6,FALSE),0),0)</f>
        <v>0</v>
      </c>
      <c r="N437" s="34">
        <f t="shared" si="12"/>
        <v>0</v>
      </c>
      <c r="O437" s="29"/>
      <c r="P437" s="29"/>
      <c r="Q437" s="29"/>
      <c r="R437" s="32"/>
      <c r="S437" s="29"/>
      <c r="U437" s="113"/>
      <c r="V437" s="111"/>
      <c r="W437" s="112"/>
      <c r="X437" s="111"/>
    </row>
    <row r="438" spans="1:24" ht="19.5" hidden="1" customHeight="1" outlineLevel="1">
      <c r="A438" s="23">
        <v>13</v>
      </c>
      <c r="B438" s="24">
        <f>IF(5&lt;=DAY(DATE(YEAR(설정_코스수당!$K$2),MONTH(설정_코스수당!$K$2)+1,0)),DATE(YEAR(설정_코스수당!$K$2),MONTH(설정_코스수당!$K$2),5),"")</f>
        <v>46178</v>
      </c>
      <c r="C438" s="25"/>
      <c r="D438" s="23"/>
      <c r="E438" s="23"/>
      <c r="F438" s="26"/>
      <c r="G438" s="23"/>
      <c r="H438" s="23"/>
      <c r="I438" s="23"/>
      <c r="J438" s="27">
        <f>IF($O438="방문완료",MAX(0,IFERROR(VLOOKUP($E438,설정_코스수당!$A$6:$H$10,4,FALSE),0)-IF(OR($P438="",$P438="없음"),0,100000)),0)</f>
        <v>0</v>
      </c>
      <c r="K438" s="27">
        <f t="array" ref="K438">IF($O438="방문완료",IFERROR(INDEX(설정_코스수당!$B$15:$F$64,MATCH($G438,설정_코스수당!$A$15:$A$64,0),MATCH($E438&amp;"수당",설정_코스수당!$B$14:$F$14,0)),0),0)</f>
        <v>0</v>
      </c>
      <c r="L438" s="27">
        <f t="array" ref="L438">IF($O438="방문완료",IF($H438="",0,IFERROR(INDEX(설정_코스수당!$B$15:$F$64,MATCH($H438,설정_코스수당!$A$15:$A$64,0),MATCH($E438&amp;"수당",설정_코스수당!$B$14:$F$14,0)),0)),0)</f>
        <v>0</v>
      </c>
      <c r="M438" s="27">
        <f>IF($O438="방문완료",IFERROR(VLOOKUP($E438,설정_코스수당!$A$6:$H$10,6,FALSE),0),0)</f>
        <v>0</v>
      </c>
      <c r="N438" s="28">
        <f t="shared" si="12"/>
        <v>0</v>
      </c>
      <c r="O438" s="23"/>
      <c r="P438" s="23"/>
      <c r="Q438" s="23"/>
      <c r="R438" s="26"/>
      <c r="S438" s="23"/>
      <c r="U438" s="113"/>
      <c r="V438" s="111"/>
      <c r="W438" s="112"/>
      <c r="X438" s="111"/>
    </row>
    <row r="439" spans="1:24" ht="19.5" hidden="1" customHeight="1" outlineLevel="1">
      <c r="A439" s="29">
        <v>14</v>
      </c>
      <c r="B439" s="30">
        <f>IF(5&lt;=DAY(DATE(YEAR(설정_코스수당!$K$2),MONTH(설정_코스수당!$K$2)+1,0)),DATE(YEAR(설정_코스수당!$K$2),MONTH(설정_코스수당!$K$2),5),"")</f>
        <v>46178</v>
      </c>
      <c r="C439" s="31"/>
      <c r="D439" s="29"/>
      <c r="E439" s="29"/>
      <c r="F439" s="32"/>
      <c r="G439" s="29"/>
      <c r="H439" s="29"/>
      <c r="I439" s="29"/>
      <c r="J439" s="33">
        <f>IF($O439="방문완료",MAX(0,IFERROR(VLOOKUP($E439,설정_코스수당!$A$6:$H$10,4,FALSE),0)-IF(OR($P439="",$P439="없음"),0,100000)),0)</f>
        <v>0</v>
      </c>
      <c r="K439" s="33">
        <f t="array" ref="K439">IF($O439="방문완료",IFERROR(INDEX(설정_코스수당!$B$15:$F$64,MATCH($G439,설정_코스수당!$A$15:$A$64,0),MATCH($E439&amp;"수당",설정_코스수당!$B$14:$F$14,0)),0),0)</f>
        <v>0</v>
      </c>
      <c r="L439" s="33">
        <f t="array" ref="L439">IF($O439="방문완료",IF($H439="",0,IFERROR(INDEX(설정_코스수당!$B$15:$F$64,MATCH($H439,설정_코스수당!$A$15:$A$64,0),MATCH($E439&amp;"수당",설정_코스수당!$B$14:$F$14,0)),0)),0)</f>
        <v>0</v>
      </c>
      <c r="M439" s="33">
        <f>IF($O439="방문완료",IFERROR(VLOOKUP($E439,설정_코스수당!$A$6:$H$10,6,FALSE),0),0)</f>
        <v>0</v>
      </c>
      <c r="N439" s="34">
        <f t="shared" si="12"/>
        <v>0</v>
      </c>
      <c r="O439" s="29"/>
      <c r="P439" s="29"/>
      <c r="Q439" s="29"/>
      <c r="R439" s="32"/>
      <c r="S439" s="29"/>
      <c r="U439" s="113"/>
      <c r="V439" s="111"/>
      <c r="W439" s="112"/>
      <c r="X439" s="111"/>
    </row>
    <row r="440" spans="1:24" ht="19.5" hidden="1" customHeight="1" outlineLevel="1">
      <c r="A440" s="23">
        <v>15</v>
      </c>
      <c r="B440" s="24">
        <f>IF(5&lt;=DAY(DATE(YEAR(설정_코스수당!$K$2),MONTH(설정_코스수당!$K$2)+1,0)),DATE(YEAR(설정_코스수당!$K$2),MONTH(설정_코스수당!$K$2),5),"")</f>
        <v>46178</v>
      </c>
      <c r="C440" s="25"/>
      <c r="D440" s="23"/>
      <c r="E440" s="23"/>
      <c r="F440" s="26"/>
      <c r="G440" s="23"/>
      <c r="H440" s="23"/>
      <c r="I440" s="23"/>
      <c r="J440" s="27">
        <f>IF($O440="방문완료",MAX(0,IFERROR(VLOOKUP($E440,설정_코스수당!$A$6:$H$10,4,FALSE),0)-IF(OR($P440="",$P440="없음"),0,100000)),0)</f>
        <v>0</v>
      </c>
      <c r="K440" s="27">
        <f t="array" ref="K440">IF($O440="방문완료",IFERROR(INDEX(설정_코스수당!$B$15:$F$64,MATCH($G440,설정_코스수당!$A$15:$A$64,0),MATCH($E440&amp;"수당",설정_코스수당!$B$14:$F$14,0)),0),0)</f>
        <v>0</v>
      </c>
      <c r="L440" s="27">
        <f t="array" ref="L440">IF($O440="방문완료",IF($H440="",0,IFERROR(INDEX(설정_코스수당!$B$15:$F$64,MATCH($H440,설정_코스수당!$A$15:$A$64,0),MATCH($E440&amp;"수당",설정_코스수당!$B$14:$F$14,0)),0)),0)</f>
        <v>0</v>
      </c>
      <c r="M440" s="27">
        <f>IF($O440="방문완료",IFERROR(VLOOKUP($E440,설정_코스수당!$A$6:$H$10,6,FALSE),0),0)</f>
        <v>0</v>
      </c>
      <c r="N440" s="28">
        <f t="shared" si="12"/>
        <v>0</v>
      </c>
      <c r="O440" s="23"/>
      <c r="P440" s="23"/>
      <c r="Q440" s="23"/>
      <c r="R440" s="26"/>
      <c r="S440" s="23"/>
      <c r="U440" s="113"/>
      <c r="V440" s="111"/>
      <c r="W440" s="112"/>
      <c r="X440" s="111"/>
    </row>
    <row r="441" spans="1:24" ht="19.5" hidden="1" customHeight="1" outlineLevel="1">
      <c r="A441" s="29">
        <v>16</v>
      </c>
      <c r="B441" s="30">
        <f>IF(5&lt;=DAY(DATE(YEAR(설정_코스수당!$K$2),MONTH(설정_코스수당!$K$2)+1,0)),DATE(YEAR(설정_코스수당!$K$2),MONTH(설정_코스수당!$K$2),5),"")</f>
        <v>46178</v>
      </c>
      <c r="C441" s="31"/>
      <c r="D441" s="29"/>
      <c r="E441" s="29"/>
      <c r="F441" s="32"/>
      <c r="G441" s="29"/>
      <c r="H441" s="29"/>
      <c r="I441" s="29"/>
      <c r="J441" s="33">
        <f>IF($O441="방문완료",MAX(0,IFERROR(VLOOKUP($E441,설정_코스수당!$A$6:$H$10,4,FALSE),0)-IF(OR($P441="",$P441="없음"),0,100000)),0)</f>
        <v>0</v>
      </c>
      <c r="K441" s="33">
        <f t="array" ref="K441">IF($O441="방문완료",IFERROR(INDEX(설정_코스수당!$B$15:$F$64,MATCH($G441,설정_코스수당!$A$15:$A$64,0),MATCH($E441&amp;"수당",설정_코스수당!$B$14:$F$14,0)),0),0)</f>
        <v>0</v>
      </c>
      <c r="L441" s="33">
        <f t="array" ref="L441">IF($O441="방문완료",IF($H441="",0,IFERROR(INDEX(설정_코스수당!$B$15:$F$64,MATCH($H441,설정_코스수당!$A$15:$A$64,0),MATCH($E441&amp;"수당",설정_코스수당!$B$14:$F$14,0)),0)),0)</f>
        <v>0</v>
      </c>
      <c r="M441" s="33">
        <f>IF($O441="방문완료",IFERROR(VLOOKUP($E441,설정_코스수당!$A$6:$H$10,6,FALSE),0),0)</f>
        <v>0</v>
      </c>
      <c r="N441" s="34">
        <f t="shared" si="12"/>
        <v>0</v>
      </c>
      <c r="O441" s="29"/>
      <c r="P441" s="29"/>
      <c r="Q441" s="29"/>
      <c r="R441" s="32"/>
      <c r="S441" s="29"/>
      <c r="U441" s="113"/>
      <c r="V441" s="111"/>
      <c r="W441" s="112"/>
      <c r="X441" s="111"/>
    </row>
    <row r="442" spans="1:24" ht="19.5" hidden="1" customHeight="1" outlineLevel="1">
      <c r="A442" s="23">
        <v>17</v>
      </c>
      <c r="B442" s="24">
        <f>IF(5&lt;=DAY(DATE(YEAR(설정_코스수당!$K$2),MONTH(설정_코스수당!$K$2)+1,0)),DATE(YEAR(설정_코스수당!$K$2),MONTH(설정_코스수당!$K$2),5),"")</f>
        <v>46178</v>
      </c>
      <c r="C442" s="25"/>
      <c r="D442" s="23"/>
      <c r="E442" s="23"/>
      <c r="F442" s="26"/>
      <c r="G442" s="23"/>
      <c r="H442" s="23"/>
      <c r="I442" s="23"/>
      <c r="J442" s="27">
        <f>IF($O442="방문완료",MAX(0,IFERROR(VLOOKUP($E442,설정_코스수당!$A$6:$H$10,4,FALSE),0)-IF(OR($P442="",$P442="없음"),0,100000)),0)</f>
        <v>0</v>
      </c>
      <c r="K442" s="27">
        <f t="array" ref="K442">IF($O442="방문완료",IFERROR(INDEX(설정_코스수당!$B$15:$F$64,MATCH($G442,설정_코스수당!$A$15:$A$64,0),MATCH($E442&amp;"수당",설정_코스수당!$B$14:$F$14,0)),0),0)</f>
        <v>0</v>
      </c>
      <c r="L442" s="27">
        <f t="array" ref="L442">IF($O442="방문완료",IF($H442="",0,IFERROR(INDEX(설정_코스수당!$B$15:$F$64,MATCH($H442,설정_코스수당!$A$15:$A$64,0),MATCH($E442&amp;"수당",설정_코스수당!$B$14:$F$14,0)),0)),0)</f>
        <v>0</v>
      </c>
      <c r="M442" s="27">
        <f>IF($O442="방문완료",IFERROR(VLOOKUP($E442,설정_코스수당!$A$6:$H$10,6,FALSE),0),0)</f>
        <v>0</v>
      </c>
      <c r="N442" s="28">
        <f t="shared" si="12"/>
        <v>0</v>
      </c>
      <c r="O442" s="23"/>
      <c r="P442" s="23"/>
      <c r="Q442" s="23"/>
      <c r="R442" s="26"/>
      <c r="S442" s="23"/>
      <c r="U442" s="113"/>
      <c r="V442" s="111"/>
      <c r="W442" s="112"/>
      <c r="X442" s="111"/>
    </row>
    <row r="443" spans="1:24" ht="19.5" hidden="1" customHeight="1" outlineLevel="1">
      <c r="A443" s="29">
        <v>18</v>
      </c>
      <c r="B443" s="30">
        <f>IF(5&lt;=DAY(DATE(YEAR(설정_코스수당!$K$2),MONTH(설정_코스수당!$K$2)+1,0)),DATE(YEAR(설정_코스수당!$K$2),MONTH(설정_코스수당!$K$2),5),"")</f>
        <v>46178</v>
      </c>
      <c r="C443" s="31"/>
      <c r="D443" s="29"/>
      <c r="E443" s="29"/>
      <c r="F443" s="32"/>
      <c r="G443" s="29"/>
      <c r="H443" s="29"/>
      <c r="I443" s="29"/>
      <c r="J443" s="33">
        <f>IF($O443="방문완료",MAX(0,IFERROR(VLOOKUP($E443,설정_코스수당!$A$6:$H$10,4,FALSE),0)-IF(OR($P443="",$P443="없음"),0,100000)),0)</f>
        <v>0</v>
      </c>
      <c r="K443" s="33">
        <f t="array" ref="K443">IF($O443="방문완료",IFERROR(INDEX(설정_코스수당!$B$15:$F$64,MATCH($G443,설정_코스수당!$A$15:$A$64,0),MATCH($E443&amp;"수당",설정_코스수당!$B$14:$F$14,0)),0),0)</f>
        <v>0</v>
      </c>
      <c r="L443" s="33">
        <f t="array" ref="L443">IF($O443="방문완료",IF($H443="",0,IFERROR(INDEX(설정_코스수당!$B$15:$F$64,MATCH($H443,설정_코스수당!$A$15:$A$64,0),MATCH($E443&amp;"수당",설정_코스수당!$B$14:$F$14,0)),0)),0)</f>
        <v>0</v>
      </c>
      <c r="M443" s="33">
        <f>IF($O443="방문완료",IFERROR(VLOOKUP($E443,설정_코스수당!$A$6:$H$10,6,FALSE),0),0)</f>
        <v>0</v>
      </c>
      <c r="N443" s="34">
        <f t="shared" si="12"/>
        <v>0</v>
      </c>
      <c r="O443" s="29"/>
      <c r="P443" s="29"/>
      <c r="Q443" s="29"/>
      <c r="R443" s="32"/>
      <c r="S443" s="29"/>
      <c r="U443" s="113"/>
      <c r="V443" s="111"/>
      <c r="W443" s="112"/>
      <c r="X443" s="111"/>
    </row>
    <row r="444" spans="1:24" ht="19.5" hidden="1" customHeight="1" outlineLevel="1">
      <c r="A444" s="23">
        <v>19</v>
      </c>
      <c r="B444" s="24">
        <f>IF(5&lt;=DAY(DATE(YEAR(설정_코스수당!$K$2),MONTH(설정_코스수당!$K$2)+1,0)),DATE(YEAR(설정_코스수당!$K$2),MONTH(설정_코스수당!$K$2),5),"")</f>
        <v>46178</v>
      </c>
      <c r="C444" s="25"/>
      <c r="D444" s="23"/>
      <c r="E444" s="23"/>
      <c r="F444" s="26"/>
      <c r="G444" s="23"/>
      <c r="H444" s="23"/>
      <c r="I444" s="23"/>
      <c r="J444" s="27">
        <f>IF($O444="방문완료",MAX(0,IFERROR(VLOOKUP($E444,설정_코스수당!$A$6:$H$10,4,FALSE),0)-IF(OR($P444="",$P444="없음"),0,100000)),0)</f>
        <v>0</v>
      </c>
      <c r="K444" s="27">
        <f t="array" ref="K444">IF($O444="방문완료",IFERROR(INDEX(설정_코스수당!$B$15:$F$64,MATCH($G444,설정_코스수당!$A$15:$A$64,0),MATCH($E444&amp;"수당",설정_코스수당!$B$14:$F$14,0)),0),0)</f>
        <v>0</v>
      </c>
      <c r="L444" s="27">
        <f t="array" ref="L444">IF($O444="방문완료",IF($H444="",0,IFERROR(INDEX(설정_코스수당!$B$15:$F$64,MATCH($H444,설정_코스수당!$A$15:$A$64,0),MATCH($E444&amp;"수당",설정_코스수당!$B$14:$F$14,0)),0)),0)</f>
        <v>0</v>
      </c>
      <c r="M444" s="27">
        <f>IF($O444="방문완료",IFERROR(VLOOKUP($E444,설정_코스수당!$A$6:$H$10,6,FALSE),0),0)</f>
        <v>0</v>
      </c>
      <c r="N444" s="28">
        <f t="shared" si="12"/>
        <v>0</v>
      </c>
      <c r="O444" s="23"/>
      <c r="P444" s="23"/>
      <c r="Q444" s="23"/>
      <c r="R444" s="26"/>
      <c r="S444" s="23"/>
      <c r="U444" s="113"/>
      <c r="V444" s="111"/>
      <c r="W444" s="112"/>
      <c r="X444" s="111"/>
    </row>
    <row r="445" spans="1:24" ht="19.5" hidden="1" customHeight="1" outlineLevel="1">
      <c r="A445" s="29">
        <v>20</v>
      </c>
      <c r="B445" s="30">
        <f>IF(5&lt;=DAY(DATE(YEAR(설정_코스수당!$K$2),MONTH(설정_코스수당!$K$2)+1,0)),DATE(YEAR(설정_코스수당!$K$2),MONTH(설정_코스수당!$K$2),5),"")</f>
        <v>46178</v>
      </c>
      <c r="C445" s="31"/>
      <c r="D445" s="29"/>
      <c r="E445" s="29"/>
      <c r="F445" s="32"/>
      <c r="G445" s="29"/>
      <c r="H445" s="29"/>
      <c r="I445" s="29"/>
      <c r="J445" s="33">
        <f>IF($O445="방문완료",MAX(0,IFERROR(VLOOKUP($E445,설정_코스수당!$A$6:$H$10,4,FALSE),0)-IF(OR($P445="",$P445="없음"),0,100000)),0)</f>
        <v>0</v>
      </c>
      <c r="K445" s="33">
        <f t="array" ref="K445">IF($O445="방문완료",IFERROR(INDEX(설정_코스수당!$B$15:$F$64,MATCH($G445,설정_코스수당!$A$15:$A$64,0),MATCH($E445&amp;"수당",설정_코스수당!$B$14:$F$14,0)),0),0)</f>
        <v>0</v>
      </c>
      <c r="L445" s="33">
        <f t="array" ref="L445">IF($O445="방문완료",IF($H445="",0,IFERROR(INDEX(설정_코스수당!$B$15:$F$64,MATCH($H445,설정_코스수당!$A$15:$A$64,0),MATCH($E445&amp;"수당",설정_코스수당!$B$14:$F$14,0)),0)),0)</f>
        <v>0</v>
      </c>
      <c r="M445" s="33">
        <f>IF($O445="방문완료",IFERROR(VLOOKUP($E445,설정_코스수당!$A$6:$H$10,6,FALSE),0),0)</f>
        <v>0</v>
      </c>
      <c r="N445" s="34">
        <f t="shared" si="12"/>
        <v>0</v>
      </c>
      <c r="O445" s="29"/>
      <c r="P445" s="29"/>
      <c r="Q445" s="29"/>
      <c r="R445" s="32"/>
      <c r="S445" s="29"/>
    </row>
    <row r="446" spans="1:24" ht="19.5" hidden="1" customHeight="1" outlineLevel="1">
      <c r="A446" s="23">
        <v>21</v>
      </c>
      <c r="B446" s="24">
        <f>IF(5&lt;=DAY(DATE(YEAR(설정_코스수당!$K$2),MONTH(설정_코스수당!$K$2)+1,0)),DATE(YEAR(설정_코스수당!$K$2),MONTH(설정_코스수당!$K$2),5),"")</f>
        <v>46178</v>
      </c>
      <c r="C446" s="25"/>
      <c r="D446" s="23"/>
      <c r="E446" s="23"/>
      <c r="F446" s="26"/>
      <c r="G446" s="23"/>
      <c r="H446" s="23"/>
      <c r="I446" s="23"/>
      <c r="J446" s="27">
        <f>IF($O446="방문완료",MAX(0,IFERROR(VLOOKUP($E446,설정_코스수당!$A$6:$H$10,4,FALSE),0)-IF(OR($P446="",$P446="없음"),0,100000)),0)</f>
        <v>0</v>
      </c>
      <c r="K446" s="27">
        <f t="array" ref="K446">IF($O446="방문완료",IFERROR(INDEX(설정_코스수당!$B$15:$F$64,MATCH($G446,설정_코스수당!$A$15:$A$64,0),MATCH($E446&amp;"수당",설정_코스수당!$B$14:$F$14,0)),0),0)</f>
        <v>0</v>
      </c>
      <c r="L446" s="27">
        <f t="array" ref="L446">IF($O446="방문완료",IF($H446="",0,IFERROR(INDEX(설정_코스수당!$B$15:$F$64,MATCH($H446,설정_코스수당!$A$15:$A$64,0),MATCH($E446&amp;"수당",설정_코스수당!$B$14:$F$14,0)),0)),0)</f>
        <v>0</v>
      </c>
      <c r="M446" s="27">
        <f>IF($O446="방문완료",IFERROR(VLOOKUP($E446,설정_코스수당!$A$6:$H$10,6,FALSE),0),0)</f>
        <v>0</v>
      </c>
      <c r="N446" s="28">
        <f t="shared" si="12"/>
        <v>0</v>
      </c>
      <c r="O446" s="23"/>
      <c r="P446" s="23"/>
      <c r="Q446" s="23"/>
      <c r="R446" s="26"/>
      <c r="S446" s="23"/>
    </row>
    <row r="447" spans="1:24" ht="19.5" hidden="1" customHeight="1" outlineLevel="1">
      <c r="A447" s="29">
        <v>22</v>
      </c>
      <c r="B447" s="30">
        <f>IF(5&lt;=DAY(DATE(YEAR(설정_코스수당!$K$2),MONTH(설정_코스수당!$K$2)+1,0)),DATE(YEAR(설정_코스수당!$K$2),MONTH(설정_코스수당!$K$2),5),"")</f>
        <v>46178</v>
      </c>
      <c r="C447" s="31"/>
      <c r="D447" s="29"/>
      <c r="E447" s="29"/>
      <c r="F447" s="32"/>
      <c r="G447" s="29"/>
      <c r="H447" s="29"/>
      <c r="I447" s="29"/>
      <c r="J447" s="33">
        <f>IF($O447="방문완료",MAX(0,IFERROR(VLOOKUP($E447,설정_코스수당!$A$6:$H$10,4,FALSE),0)-IF(OR($P447="",$P447="없음"),0,100000)),0)</f>
        <v>0</v>
      </c>
      <c r="K447" s="33">
        <f t="array" ref="K447">IF($O447="방문완료",IFERROR(INDEX(설정_코스수당!$B$15:$F$64,MATCH($G447,설정_코스수당!$A$15:$A$64,0),MATCH($E447&amp;"수당",설정_코스수당!$B$14:$F$14,0)),0),0)</f>
        <v>0</v>
      </c>
      <c r="L447" s="33">
        <f t="array" ref="L447">IF($O447="방문완료",IF($H447="",0,IFERROR(INDEX(설정_코스수당!$B$15:$F$64,MATCH($H447,설정_코스수당!$A$15:$A$64,0),MATCH($E447&amp;"수당",설정_코스수당!$B$14:$F$14,0)),0)),0)</f>
        <v>0</v>
      </c>
      <c r="M447" s="33">
        <f>IF($O447="방문완료",IFERROR(VLOOKUP($E447,설정_코스수당!$A$6:$H$10,6,FALSE),0),0)</f>
        <v>0</v>
      </c>
      <c r="N447" s="34">
        <f t="shared" si="12"/>
        <v>0</v>
      </c>
      <c r="O447" s="29"/>
      <c r="P447" s="29"/>
      <c r="Q447" s="29"/>
      <c r="R447" s="32"/>
      <c r="S447" s="29"/>
    </row>
    <row r="448" spans="1:24" ht="19.5" hidden="1" customHeight="1" outlineLevel="1">
      <c r="A448" s="23">
        <v>23</v>
      </c>
      <c r="B448" s="24">
        <f>IF(5&lt;=DAY(DATE(YEAR(설정_코스수당!$K$2),MONTH(설정_코스수당!$K$2)+1,0)),DATE(YEAR(설정_코스수당!$K$2),MONTH(설정_코스수당!$K$2),5),"")</f>
        <v>46178</v>
      </c>
      <c r="C448" s="25"/>
      <c r="D448" s="23"/>
      <c r="E448" s="23"/>
      <c r="F448" s="26"/>
      <c r="G448" s="23"/>
      <c r="H448" s="23"/>
      <c r="I448" s="23"/>
      <c r="J448" s="27">
        <f>IF($O448="방문완료",MAX(0,IFERROR(VLOOKUP($E448,설정_코스수당!$A$6:$H$10,4,FALSE),0)-IF(OR($P448="",$P448="없음"),0,100000)),0)</f>
        <v>0</v>
      </c>
      <c r="K448" s="27">
        <f t="array" ref="K448">IF($O448="방문완료",IFERROR(INDEX(설정_코스수당!$B$15:$F$64,MATCH($G448,설정_코스수당!$A$15:$A$64,0),MATCH($E448&amp;"수당",설정_코스수당!$B$14:$F$14,0)),0),0)</f>
        <v>0</v>
      </c>
      <c r="L448" s="27">
        <f t="array" ref="L448">IF($O448="방문완료",IF($H448="",0,IFERROR(INDEX(설정_코스수당!$B$15:$F$64,MATCH($H448,설정_코스수당!$A$15:$A$64,0),MATCH($E448&amp;"수당",설정_코스수당!$B$14:$F$14,0)),0)),0)</f>
        <v>0</v>
      </c>
      <c r="M448" s="27">
        <f>IF($O448="방문완료",IFERROR(VLOOKUP($E448,설정_코스수당!$A$6:$H$10,6,FALSE),0),0)</f>
        <v>0</v>
      </c>
      <c r="N448" s="28">
        <f t="shared" si="12"/>
        <v>0</v>
      </c>
      <c r="O448" s="23"/>
      <c r="P448" s="23"/>
      <c r="Q448" s="23"/>
      <c r="R448" s="26"/>
      <c r="S448" s="23"/>
    </row>
    <row r="449" spans="1:19" ht="19.5" hidden="1" customHeight="1" outlineLevel="1">
      <c r="A449" s="29">
        <v>24</v>
      </c>
      <c r="B449" s="30">
        <f>IF(5&lt;=DAY(DATE(YEAR(설정_코스수당!$K$2),MONTH(설정_코스수당!$K$2)+1,0)),DATE(YEAR(설정_코스수당!$K$2),MONTH(설정_코스수당!$K$2),5),"")</f>
        <v>46178</v>
      </c>
      <c r="C449" s="31"/>
      <c r="D449" s="29"/>
      <c r="E449" s="29"/>
      <c r="F449" s="32"/>
      <c r="G449" s="29"/>
      <c r="H449" s="29"/>
      <c r="I449" s="29"/>
      <c r="J449" s="33">
        <f>IF($O449="방문완료",MAX(0,IFERROR(VLOOKUP($E449,설정_코스수당!$A$6:$H$10,4,FALSE),0)-IF(OR($P449="",$P449="없음"),0,100000)),0)</f>
        <v>0</v>
      </c>
      <c r="K449" s="33">
        <f t="array" ref="K449">IF($O449="방문완료",IFERROR(INDEX(설정_코스수당!$B$15:$F$64,MATCH($G449,설정_코스수당!$A$15:$A$64,0),MATCH($E449&amp;"수당",설정_코스수당!$B$14:$F$14,0)),0),0)</f>
        <v>0</v>
      </c>
      <c r="L449" s="33">
        <f t="array" ref="L449">IF($O449="방문완료",IF($H449="",0,IFERROR(INDEX(설정_코스수당!$B$15:$F$64,MATCH($H449,설정_코스수당!$A$15:$A$64,0),MATCH($E449&amp;"수당",설정_코스수당!$B$14:$F$14,0)),0)),0)</f>
        <v>0</v>
      </c>
      <c r="M449" s="33">
        <f>IF($O449="방문완료",IFERROR(VLOOKUP($E449,설정_코스수당!$A$6:$H$10,6,FALSE),0),0)</f>
        <v>0</v>
      </c>
      <c r="N449" s="34">
        <f t="shared" si="12"/>
        <v>0</v>
      </c>
      <c r="O449" s="29"/>
      <c r="P449" s="29"/>
      <c r="Q449" s="29"/>
      <c r="R449" s="32"/>
      <c r="S449" s="29"/>
    </row>
    <row r="450" spans="1:19" ht="19.5" hidden="1" customHeight="1" outlineLevel="1">
      <c r="A450" s="23">
        <v>25</v>
      </c>
      <c r="B450" s="24">
        <f>IF(5&lt;=DAY(DATE(YEAR(설정_코스수당!$K$2),MONTH(설정_코스수당!$K$2)+1,0)),DATE(YEAR(설정_코스수당!$K$2),MONTH(설정_코스수당!$K$2),5),"")</f>
        <v>46178</v>
      </c>
      <c r="C450" s="25"/>
      <c r="D450" s="23"/>
      <c r="E450" s="23"/>
      <c r="F450" s="26"/>
      <c r="G450" s="23"/>
      <c r="H450" s="23"/>
      <c r="I450" s="23"/>
      <c r="J450" s="27">
        <f>IF($O450="방문완료",MAX(0,IFERROR(VLOOKUP($E450,설정_코스수당!$A$6:$H$10,4,FALSE),0)-IF(OR($P450="",$P450="없음"),0,100000)),0)</f>
        <v>0</v>
      </c>
      <c r="K450" s="27">
        <f t="array" ref="K450">IF($O450="방문완료",IFERROR(INDEX(설정_코스수당!$B$15:$F$64,MATCH($G450,설정_코스수당!$A$15:$A$64,0),MATCH($E450&amp;"수당",설정_코스수당!$B$14:$F$14,0)),0),0)</f>
        <v>0</v>
      </c>
      <c r="L450" s="27">
        <f t="array" ref="L450">IF($O450="방문완료",IF($H450="",0,IFERROR(INDEX(설정_코스수당!$B$15:$F$64,MATCH($H450,설정_코스수당!$A$15:$A$64,0),MATCH($E450&amp;"수당",설정_코스수당!$B$14:$F$14,0)),0)),0)</f>
        <v>0</v>
      </c>
      <c r="M450" s="27">
        <f>IF($O450="방문완료",IFERROR(VLOOKUP($E450,설정_코스수당!$A$6:$H$10,6,FALSE),0),0)</f>
        <v>0</v>
      </c>
      <c r="N450" s="28">
        <f t="shared" si="12"/>
        <v>0</v>
      </c>
      <c r="O450" s="23"/>
      <c r="P450" s="23"/>
      <c r="Q450" s="23"/>
      <c r="R450" s="26"/>
      <c r="S450" s="23"/>
    </row>
    <row r="451" spans="1:19" ht="19.5" hidden="1" customHeight="1" outlineLevel="1">
      <c r="A451" s="29">
        <v>26</v>
      </c>
      <c r="B451" s="30">
        <f>IF(5&lt;=DAY(DATE(YEAR(설정_코스수당!$K$2),MONTH(설정_코스수당!$K$2)+1,0)),DATE(YEAR(설정_코스수당!$K$2),MONTH(설정_코스수당!$K$2),5),"")</f>
        <v>46178</v>
      </c>
      <c r="C451" s="31"/>
      <c r="D451" s="29"/>
      <c r="E451" s="29"/>
      <c r="F451" s="32"/>
      <c r="G451" s="29"/>
      <c r="H451" s="29"/>
      <c r="I451" s="29"/>
      <c r="J451" s="33">
        <f>IF($O451="방문완료",MAX(0,IFERROR(VLOOKUP($E451,설정_코스수당!$A$6:$H$10,4,FALSE),0)-IF(OR($P451="",$P451="없음"),0,100000)),0)</f>
        <v>0</v>
      </c>
      <c r="K451" s="33">
        <f t="array" ref="K451">IF($O451="방문완료",IFERROR(INDEX(설정_코스수당!$B$15:$F$64,MATCH($G451,설정_코스수당!$A$15:$A$64,0),MATCH($E451&amp;"수당",설정_코스수당!$B$14:$F$14,0)),0),0)</f>
        <v>0</v>
      </c>
      <c r="L451" s="33">
        <f t="array" ref="L451">IF($O451="방문완료",IF($H451="",0,IFERROR(INDEX(설정_코스수당!$B$15:$F$64,MATCH($H451,설정_코스수당!$A$15:$A$64,0),MATCH($E451&amp;"수당",설정_코스수당!$B$14:$F$14,0)),0)),0)</f>
        <v>0</v>
      </c>
      <c r="M451" s="33">
        <f>IF($O451="방문완료",IFERROR(VLOOKUP($E451,설정_코스수당!$A$6:$H$10,6,FALSE),0),0)</f>
        <v>0</v>
      </c>
      <c r="N451" s="34">
        <f t="shared" si="12"/>
        <v>0</v>
      </c>
      <c r="O451" s="29"/>
      <c r="P451" s="29"/>
      <c r="Q451" s="29"/>
      <c r="R451" s="32"/>
      <c r="S451" s="29"/>
    </row>
    <row r="452" spans="1:19" ht="19.5" hidden="1" customHeight="1" outlineLevel="1">
      <c r="A452" s="23">
        <v>27</v>
      </c>
      <c r="B452" s="24">
        <f>IF(5&lt;=DAY(DATE(YEAR(설정_코스수당!$K$2),MONTH(설정_코스수당!$K$2)+1,0)),DATE(YEAR(설정_코스수당!$K$2),MONTH(설정_코스수당!$K$2),5),"")</f>
        <v>46178</v>
      </c>
      <c r="C452" s="25"/>
      <c r="D452" s="23"/>
      <c r="E452" s="23"/>
      <c r="F452" s="26"/>
      <c r="G452" s="23"/>
      <c r="H452" s="23"/>
      <c r="I452" s="23"/>
      <c r="J452" s="27">
        <f>IF($O452="방문완료",MAX(0,IFERROR(VLOOKUP($E452,설정_코스수당!$A$6:$H$10,4,FALSE),0)-IF(OR($P452="",$P452="없음"),0,100000)),0)</f>
        <v>0</v>
      </c>
      <c r="K452" s="27">
        <f t="array" ref="K452">IF($O452="방문완료",IFERROR(INDEX(설정_코스수당!$B$15:$F$64,MATCH($G452,설정_코스수당!$A$15:$A$64,0),MATCH($E452&amp;"수당",설정_코스수당!$B$14:$F$14,0)),0),0)</f>
        <v>0</v>
      </c>
      <c r="L452" s="27">
        <f t="array" ref="L452">IF($O452="방문완료",IF($H452="",0,IFERROR(INDEX(설정_코스수당!$B$15:$F$64,MATCH($H452,설정_코스수당!$A$15:$A$64,0),MATCH($E452&amp;"수당",설정_코스수당!$B$14:$F$14,0)),0)),0)</f>
        <v>0</v>
      </c>
      <c r="M452" s="27">
        <f>IF($O452="방문완료",IFERROR(VLOOKUP($E452,설정_코스수당!$A$6:$H$10,6,FALSE),0),0)</f>
        <v>0</v>
      </c>
      <c r="N452" s="28">
        <f t="shared" si="12"/>
        <v>0</v>
      </c>
      <c r="O452" s="23"/>
      <c r="P452" s="23"/>
      <c r="Q452" s="23"/>
      <c r="R452" s="26"/>
      <c r="S452" s="23"/>
    </row>
    <row r="453" spans="1:19" ht="19.5" hidden="1" customHeight="1" outlineLevel="1">
      <c r="A453" s="29">
        <v>28</v>
      </c>
      <c r="B453" s="30">
        <f>IF(5&lt;=DAY(DATE(YEAR(설정_코스수당!$K$2),MONTH(설정_코스수당!$K$2)+1,0)),DATE(YEAR(설정_코스수당!$K$2),MONTH(설정_코스수당!$K$2),5),"")</f>
        <v>46178</v>
      </c>
      <c r="C453" s="31"/>
      <c r="D453" s="29"/>
      <c r="E453" s="29"/>
      <c r="F453" s="32"/>
      <c r="G453" s="29"/>
      <c r="H453" s="29"/>
      <c r="I453" s="29"/>
      <c r="J453" s="33">
        <f>IF($O453="방문완료",MAX(0,IFERROR(VLOOKUP($E453,설정_코스수당!$A$6:$H$10,4,FALSE),0)-IF(OR($P453="",$P453="없음"),0,100000)),0)</f>
        <v>0</v>
      </c>
      <c r="K453" s="33">
        <f t="array" ref="K453">IF($O453="방문완료",IFERROR(INDEX(설정_코스수당!$B$15:$F$64,MATCH($G453,설정_코스수당!$A$15:$A$64,0),MATCH($E453&amp;"수당",설정_코스수당!$B$14:$F$14,0)),0),0)</f>
        <v>0</v>
      </c>
      <c r="L453" s="33">
        <f t="array" ref="L453">IF($O453="방문완료",IF($H453="",0,IFERROR(INDEX(설정_코스수당!$B$15:$F$64,MATCH($H453,설정_코스수당!$A$15:$A$64,0),MATCH($E453&amp;"수당",설정_코스수당!$B$14:$F$14,0)),0)),0)</f>
        <v>0</v>
      </c>
      <c r="M453" s="33">
        <f>IF($O453="방문완료",IFERROR(VLOOKUP($E453,설정_코스수당!$A$6:$H$10,6,FALSE),0),0)</f>
        <v>0</v>
      </c>
      <c r="N453" s="34">
        <f t="shared" si="12"/>
        <v>0</v>
      </c>
      <c r="O453" s="29"/>
      <c r="P453" s="29"/>
      <c r="Q453" s="29"/>
      <c r="R453" s="32"/>
      <c r="S453" s="29"/>
    </row>
    <row r="454" spans="1:19" ht="19.5" hidden="1" customHeight="1" outlineLevel="1">
      <c r="A454" s="23">
        <v>29</v>
      </c>
      <c r="B454" s="24">
        <f>IF(5&lt;=DAY(DATE(YEAR(설정_코스수당!$K$2),MONTH(설정_코스수당!$K$2)+1,0)),DATE(YEAR(설정_코스수당!$K$2),MONTH(설정_코스수당!$K$2),5),"")</f>
        <v>46178</v>
      </c>
      <c r="C454" s="25"/>
      <c r="D454" s="23"/>
      <c r="E454" s="23"/>
      <c r="F454" s="26"/>
      <c r="G454" s="23"/>
      <c r="H454" s="23"/>
      <c r="I454" s="23"/>
      <c r="J454" s="27">
        <f>IF($O454="방문완료",MAX(0,IFERROR(VLOOKUP($E454,설정_코스수당!$A$6:$H$10,4,FALSE),0)-IF(OR($P454="",$P454="없음"),0,100000)),0)</f>
        <v>0</v>
      </c>
      <c r="K454" s="27">
        <f t="array" ref="K454">IF($O454="방문완료",IFERROR(INDEX(설정_코스수당!$B$15:$F$64,MATCH($G454,설정_코스수당!$A$15:$A$64,0),MATCH($E454&amp;"수당",설정_코스수당!$B$14:$F$14,0)),0),0)</f>
        <v>0</v>
      </c>
      <c r="L454" s="27">
        <f t="array" ref="L454">IF($O454="방문완료",IF($H454="",0,IFERROR(INDEX(설정_코스수당!$B$15:$F$64,MATCH($H454,설정_코스수당!$A$15:$A$64,0),MATCH($E454&amp;"수당",설정_코스수당!$B$14:$F$14,0)),0)),0)</f>
        <v>0</v>
      </c>
      <c r="M454" s="27">
        <f>IF($O454="방문완료",IFERROR(VLOOKUP($E454,설정_코스수당!$A$6:$H$10,6,FALSE),0),0)</f>
        <v>0</v>
      </c>
      <c r="N454" s="28">
        <f t="shared" si="12"/>
        <v>0</v>
      </c>
      <c r="O454" s="23"/>
      <c r="P454" s="23"/>
      <c r="Q454" s="23"/>
      <c r="R454" s="26"/>
      <c r="S454" s="23"/>
    </row>
    <row r="455" spans="1:19" ht="19.5" hidden="1" customHeight="1" outlineLevel="1">
      <c r="A455" s="29">
        <v>30</v>
      </c>
      <c r="B455" s="30">
        <f>IF(5&lt;=DAY(DATE(YEAR(설정_코스수당!$K$2),MONTH(설정_코스수당!$K$2)+1,0)),DATE(YEAR(설정_코스수당!$K$2),MONTH(설정_코스수당!$K$2),5),"")</f>
        <v>46178</v>
      </c>
      <c r="C455" s="31"/>
      <c r="D455" s="29"/>
      <c r="E455" s="29"/>
      <c r="F455" s="32"/>
      <c r="G455" s="29"/>
      <c r="H455" s="29"/>
      <c r="I455" s="29"/>
      <c r="J455" s="33">
        <f>IF($O455="방문완료",MAX(0,IFERROR(VLOOKUP($E455,설정_코스수당!$A$6:$H$10,4,FALSE),0)-IF(OR($P455="",$P455="없음"),0,100000)),0)</f>
        <v>0</v>
      </c>
      <c r="K455" s="33">
        <f t="array" ref="K455">IF($O455="방문완료",IFERROR(INDEX(설정_코스수당!$B$15:$F$64,MATCH($G455,설정_코스수당!$A$15:$A$64,0),MATCH($E455&amp;"수당",설정_코스수당!$B$14:$F$14,0)),0),0)</f>
        <v>0</v>
      </c>
      <c r="L455" s="33">
        <f t="array" ref="L455">IF($O455="방문완료",IF($H455="",0,IFERROR(INDEX(설정_코스수당!$B$15:$F$64,MATCH($H455,설정_코스수당!$A$15:$A$64,0),MATCH($E455&amp;"수당",설정_코스수당!$B$14:$F$14,0)),0)),0)</f>
        <v>0</v>
      </c>
      <c r="M455" s="33">
        <f>IF($O455="방문완료",IFERROR(VLOOKUP($E455,설정_코스수당!$A$6:$H$10,6,FALSE),0),0)</f>
        <v>0</v>
      </c>
      <c r="N455" s="34">
        <f t="shared" si="12"/>
        <v>0</v>
      </c>
      <c r="O455" s="29"/>
      <c r="P455" s="29"/>
      <c r="Q455" s="29"/>
      <c r="R455" s="32"/>
      <c r="S455" s="29"/>
    </row>
    <row r="456" spans="1:19" ht="19.5" hidden="1" customHeight="1" outlineLevel="1">
      <c r="A456" s="23">
        <v>31</v>
      </c>
      <c r="B456" s="24">
        <f>IF(5&lt;=DAY(DATE(YEAR(설정_코스수당!$K$2),MONTH(설정_코스수당!$K$2)+1,0)),DATE(YEAR(설정_코스수당!$K$2),MONTH(설정_코스수당!$K$2),5),"")</f>
        <v>46178</v>
      </c>
      <c r="C456" s="25"/>
      <c r="D456" s="23"/>
      <c r="E456" s="23"/>
      <c r="F456" s="26"/>
      <c r="G456" s="23"/>
      <c r="H456" s="23"/>
      <c r="I456" s="23"/>
      <c r="J456" s="27">
        <f>IF($O456="방문완료",MAX(0,IFERROR(VLOOKUP($E456,설정_코스수당!$A$6:$H$10,4,FALSE),0)-IF(OR($P456="",$P456="없음"),0,100000)),0)</f>
        <v>0</v>
      </c>
      <c r="K456" s="27">
        <f t="array" ref="K456">IF($O456="방문완료",IFERROR(INDEX(설정_코스수당!$B$15:$F$64,MATCH($G456,설정_코스수당!$A$15:$A$64,0),MATCH($E456&amp;"수당",설정_코스수당!$B$14:$F$14,0)),0),0)</f>
        <v>0</v>
      </c>
      <c r="L456" s="27">
        <f t="array" ref="L456">IF($O456="방문완료",IF($H456="",0,IFERROR(INDEX(설정_코스수당!$B$15:$F$64,MATCH($H456,설정_코스수당!$A$15:$A$64,0),MATCH($E456&amp;"수당",설정_코스수당!$B$14:$F$14,0)),0)),0)</f>
        <v>0</v>
      </c>
      <c r="M456" s="27">
        <f>IF($O456="방문완료",IFERROR(VLOOKUP($E456,설정_코스수당!$A$6:$H$10,6,FALSE),0),0)</f>
        <v>0</v>
      </c>
      <c r="N456" s="28">
        <f t="shared" si="12"/>
        <v>0</v>
      </c>
      <c r="O456" s="23"/>
      <c r="P456" s="23"/>
      <c r="Q456" s="23"/>
      <c r="R456" s="26"/>
      <c r="S456" s="23"/>
    </row>
    <row r="457" spans="1:19" ht="19.5" hidden="1" customHeight="1" outlineLevel="1">
      <c r="A457" s="29">
        <v>32</v>
      </c>
      <c r="B457" s="30">
        <f>IF(5&lt;=DAY(DATE(YEAR(설정_코스수당!$K$2),MONTH(설정_코스수당!$K$2)+1,0)),DATE(YEAR(설정_코스수당!$K$2),MONTH(설정_코스수당!$K$2),5),"")</f>
        <v>46178</v>
      </c>
      <c r="C457" s="31"/>
      <c r="D457" s="29"/>
      <c r="E457" s="29"/>
      <c r="F457" s="32"/>
      <c r="G457" s="29"/>
      <c r="H457" s="29"/>
      <c r="I457" s="29"/>
      <c r="J457" s="33">
        <f>IF($O457="방문완료",MAX(0,IFERROR(VLOOKUP($E457,설정_코스수당!$A$6:$H$10,4,FALSE),0)-IF(OR($P457="",$P457="없음"),0,100000)),0)</f>
        <v>0</v>
      </c>
      <c r="K457" s="33">
        <f t="array" ref="K457">IF($O457="방문완료",IFERROR(INDEX(설정_코스수당!$B$15:$F$64,MATCH($G457,설정_코스수당!$A$15:$A$64,0),MATCH($E457&amp;"수당",설정_코스수당!$B$14:$F$14,0)),0),0)</f>
        <v>0</v>
      </c>
      <c r="L457" s="33">
        <f t="array" ref="L457">IF($O457="방문완료",IF($H457="",0,IFERROR(INDEX(설정_코스수당!$B$15:$F$64,MATCH($H457,설정_코스수당!$A$15:$A$64,0),MATCH($E457&amp;"수당",설정_코스수당!$B$14:$F$14,0)),0)),0)</f>
        <v>0</v>
      </c>
      <c r="M457" s="33">
        <f>IF($O457="방문완료",IFERROR(VLOOKUP($E457,설정_코스수당!$A$6:$H$10,6,FALSE),0),0)</f>
        <v>0</v>
      </c>
      <c r="N457" s="34">
        <f t="shared" si="12"/>
        <v>0</v>
      </c>
      <c r="O457" s="29"/>
      <c r="P457" s="29"/>
      <c r="Q457" s="29"/>
      <c r="R457" s="32"/>
      <c r="S457" s="29"/>
    </row>
    <row r="458" spans="1:19" ht="19.5" hidden="1" customHeight="1" outlineLevel="1">
      <c r="A458" s="23">
        <v>33</v>
      </c>
      <c r="B458" s="24">
        <f>IF(5&lt;=DAY(DATE(YEAR(설정_코스수당!$K$2),MONTH(설정_코스수당!$K$2)+1,0)),DATE(YEAR(설정_코스수당!$K$2),MONTH(설정_코스수당!$K$2),5),"")</f>
        <v>46178</v>
      </c>
      <c r="C458" s="25"/>
      <c r="D458" s="23"/>
      <c r="E458" s="23"/>
      <c r="F458" s="26"/>
      <c r="G458" s="23"/>
      <c r="H458" s="23"/>
      <c r="I458" s="23"/>
      <c r="J458" s="27">
        <f>IF($O458="방문완료",MAX(0,IFERROR(VLOOKUP($E458,설정_코스수당!$A$6:$H$10,4,FALSE),0)-IF(OR($P458="",$P458="없음"),0,100000)),0)</f>
        <v>0</v>
      </c>
      <c r="K458" s="27">
        <f t="array" ref="K458">IF($O458="방문완료",IFERROR(INDEX(설정_코스수당!$B$15:$F$64,MATCH($G458,설정_코스수당!$A$15:$A$64,0),MATCH($E458&amp;"수당",설정_코스수당!$B$14:$F$14,0)),0),0)</f>
        <v>0</v>
      </c>
      <c r="L458" s="27">
        <f t="array" ref="L458">IF($O458="방문완료",IF($H458="",0,IFERROR(INDEX(설정_코스수당!$B$15:$F$64,MATCH($H458,설정_코스수당!$A$15:$A$64,0),MATCH($E458&amp;"수당",설정_코스수당!$B$14:$F$14,0)),0)),0)</f>
        <v>0</v>
      </c>
      <c r="M458" s="27">
        <f>IF($O458="방문완료",IFERROR(VLOOKUP($E458,설정_코스수당!$A$6:$H$10,6,FALSE),0),0)</f>
        <v>0</v>
      </c>
      <c r="N458" s="28">
        <f t="shared" ref="N458:N489" si="13">IF($O458="방문완료",1,0)</f>
        <v>0</v>
      </c>
      <c r="O458" s="23"/>
      <c r="P458" s="23"/>
      <c r="Q458" s="23"/>
      <c r="R458" s="26"/>
      <c r="S458" s="23"/>
    </row>
    <row r="459" spans="1:19" ht="19.5" hidden="1" customHeight="1" outlineLevel="1">
      <c r="A459" s="29">
        <v>34</v>
      </c>
      <c r="B459" s="30">
        <f>IF(5&lt;=DAY(DATE(YEAR(설정_코스수당!$K$2),MONTH(설정_코스수당!$K$2)+1,0)),DATE(YEAR(설정_코스수당!$K$2),MONTH(설정_코스수당!$K$2),5),"")</f>
        <v>46178</v>
      </c>
      <c r="C459" s="31"/>
      <c r="D459" s="29"/>
      <c r="E459" s="29"/>
      <c r="F459" s="32"/>
      <c r="G459" s="29"/>
      <c r="H459" s="29"/>
      <c r="I459" s="29"/>
      <c r="J459" s="33">
        <f>IF($O459="방문완료",MAX(0,IFERROR(VLOOKUP($E459,설정_코스수당!$A$6:$H$10,4,FALSE),0)-IF(OR($P459="",$P459="없음"),0,100000)),0)</f>
        <v>0</v>
      </c>
      <c r="K459" s="33">
        <f t="array" ref="K459">IF($O459="방문완료",IFERROR(INDEX(설정_코스수당!$B$15:$F$64,MATCH($G459,설정_코스수당!$A$15:$A$64,0),MATCH($E459&amp;"수당",설정_코스수당!$B$14:$F$14,0)),0),0)</f>
        <v>0</v>
      </c>
      <c r="L459" s="33">
        <f t="array" ref="L459">IF($O459="방문완료",IF($H459="",0,IFERROR(INDEX(설정_코스수당!$B$15:$F$64,MATCH($H459,설정_코스수당!$A$15:$A$64,0),MATCH($E459&amp;"수당",설정_코스수당!$B$14:$F$14,0)),0)),0)</f>
        <v>0</v>
      </c>
      <c r="M459" s="33">
        <f>IF($O459="방문완료",IFERROR(VLOOKUP($E459,설정_코스수당!$A$6:$H$10,6,FALSE),0),0)</f>
        <v>0</v>
      </c>
      <c r="N459" s="34">
        <f t="shared" si="13"/>
        <v>0</v>
      </c>
      <c r="O459" s="29"/>
      <c r="P459" s="29"/>
      <c r="Q459" s="29"/>
      <c r="R459" s="32"/>
      <c r="S459" s="29"/>
    </row>
    <row r="460" spans="1:19" ht="19.5" hidden="1" customHeight="1" outlineLevel="1">
      <c r="A460" s="23">
        <v>35</v>
      </c>
      <c r="B460" s="24">
        <f>IF(5&lt;=DAY(DATE(YEAR(설정_코스수당!$K$2),MONTH(설정_코스수당!$K$2)+1,0)),DATE(YEAR(설정_코스수당!$K$2),MONTH(설정_코스수당!$K$2),5),"")</f>
        <v>46178</v>
      </c>
      <c r="C460" s="25"/>
      <c r="D460" s="23"/>
      <c r="E460" s="23"/>
      <c r="F460" s="26"/>
      <c r="G460" s="23"/>
      <c r="H460" s="23"/>
      <c r="I460" s="23"/>
      <c r="J460" s="27">
        <f>IF($O460="방문완료",MAX(0,IFERROR(VLOOKUP($E460,설정_코스수당!$A$6:$H$10,4,FALSE),0)-IF(OR($P460="",$P460="없음"),0,100000)),0)</f>
        <v>0</v>
      </c>
      <c r="K460" s="27">
        <f t="array" ref="K460">IF($O460="방문완료",IFERROR(INDEX(설정_코스수당!$B$15:$F$64,MATCH($G460,설정_코스수당!$A$15:$A$64,0),MATCH($E460&amp;"수당",설정_코스수당!$B$14:$F$14,0)),0),0)</f>
        <v>0</v>
      </c>
      <c r="L460" s="27">
        <f t="array" ref="L460">IF($O460="방문완료",IF($H460="",0,IFERROR(INDEX(설정_코스수당!$B$15:$F$64,MATCH($H460,설정_코스수당!$A$15:$A$64,0),MATCH($E460&amp;"수당",설정_코스수당!$B$14:$F$14,0)),0)),0)</f>
        <v>0</v>
      </c>
      <c r="M460" s="27">
        <f>IF($O460="방문완료",IFERROR(VLOOKUP($E460,설정_코스수당!$A$6:$H$10,6,FALSE),0),0)</f>
        <v>0</v>
      </c>
      <c r="N460" s="28">
        <f t="shared" si="13"/>
        <v>0</v>
      </c>
      <c r="O460" s="23"/>
      <c r="P460" s="23"/>
      <c r="Q460" s="23"/>
      <c r="R460" s="26"/>
      <c r="S460" s="23"/>
    </row>
    <row r="461" spans="1:19" ht="19.5" hidden="1" customHeight="1" outlineLevel="1">
      <c r="A461" s="29">
        <v>36</v>
      </c>
      <c r="B461" s="30">
        <f>IF(5&lt;=DAY(DATE(YEAR(설정_코스수당!$K$2),MONTH(설정_코스수당!$K$2)+1,0)),DATE(YEAR(설정_코스수당!$K$2),MONTH(설정_코스수당!$K$2),5),"")</f>
        <v>46178</v>
      </c>
      <c r="C461" s="31"/>
      <c r="D461" s="29"/>
      <c r="E461" s="29"/>
      <c r="F461" s="32"/>
      <c r="G461" s="29"/>
      <c r="H461" s="29"/>
      <c r="I461" s="29"/>
      <c r="J461" s="33">
        <f>IF($O461="방문완료",MAX(0,IFERROR(VLOOKUP($E461,설정_코스수당!$A$6:$H$10,4,FALSE),0)-IF(OR($P461="",$P461="없음"),0,100000)),0)</f>
        <v>0</v>
      </c>
      <c r="K461" s="33">
        <f t="array" ref="K461">IF($O461="방문완료",IFERROR(INDEX(설정_코스수당!$B$15:$F$64,MATCH($G461,설정_코스수당!$A$15:$A$64,0),MATCH($E461&amp;"수당",설정_코스수당!$B$14:$F$14,0)),0),0)</f>
        <v>0</v>
      </c>
      <c r="L461" s="33">
        <f t="array" ref="L461">IF($O461="방문완료",IF($H461="",0,IFERROR(INDEX(설정_코스수당!$B$15:$F$64,MATCH($H461,설정_코스수당!$A$15:$A$64,0),MATCH($E461&amp;"수당",설정_코스수당!$B$14:$F$14,0)),0)),0)</f>
        <v>0</v>
      </c>
      <c r="M461" s="33">
        <f>IF($O461="방문완료",IFERROR(VLOOKUP($E461,설정_코스수당!$A$6:$H$10,6,FALSE),0),0)</f>
        <v>0</v>
      </c>
      <c r="N461" s="34">
        <f t="shared" si="13"/>
        <v>0</v>
      </c>
      <c r="O461" s="29"/>
      <c r="P461" s="29"/>
      <c r="Q461" s="29"/>
      <c r="R461" s="32"/>
      <c r="S461" s="29"/>
    </row>
    <row r="462" spans="1:19" ht="19.5" hidden="1" customHeight="1" outlineLevel="1">
      <c r="A462" s="23">
        <v>37</v>
      </c>
      <c r="B462" s="24">
        <f>IF(5&lt;=DAY(DATE(YEAR(설정_코스수당!$K$2),MONTH(설정_코스수당!$K$2)+1,0)),DATE(YEAR(설정_코스수당!$K$2),MONTH(설정_코스수당!$K$2),5),"")</f>
        <v>46178</v>
      </c>
      <c r="C462" s="25"/>
      <c r="D462" s="23"/>
      <c r="E462" s="23"/>
      <c r="F462" s="26"/>
      <c r="G462" s="23"/>
      <c r="H462" s="23"/>
      <c r="I462" s="23"/>
      <c r="J462" s="27">
        <f>IF($O462="방문완료",MAX(0,IFERROR(VLOOKUP($E462,설정_코스수당!$A$6:$H$10,4,FALSE),0)-IF(OR($P462="",$P462="없음"),0,100000)),0)</f>
        <v>0</v>
      </c>
      <c r="K462" s="27">
        <f t="array" ref="K462">IF($O462="방문완료",IFERROR(INDEX(설정_코스수당!$B$15:$F$64,MATCH($G462,설정_코스수당!$A$15:$A$64,0),MATCH($E462&amp;"수당",설정_코스수당!$B$14:$F$14,0)),0),0)</f>
        <v>0</v>
      </c>
      <c r="L462" s="27">
        <f t="array" ref="L462">IF($O462="방문완료",IF($H462="",0,IFERROR(INDEX(설정_코스수당!$B$15:$F$64,MATCH($H462,설정_코스수당!$A$15:$A$64,0),MATCH($E462&amp;"수당",설정_코스수당!$B$14:$F$14,0)),0)),0)</f>
        <v>0</v>
      </c>
      <c r="M462" s="27">
        <f>IF($O462="방문완료",IFERROR(VLOOKUP($E462,설정_코스수당!$A$6:$H$10,6,FALSE),0),0)</f>
        <v>0</v>
      </c>
      <c r="N462" s="28">
        <f t="shared" si="13"/>
        <v>0</v>
      </c>
      <c r="O462" s="23"/>
      <c r="P462" s="23"/>
      <c r="Q462" s="23"/>
      <c r="R462" s="26"/>
      <c r="S462" s="23"/>
    </row>
    <row r="463" spans="1:19" ht="19.5" hidden="1" customHeight="1" outlineLevel="1">
      <c r="A463" s="29">
        <v>38</v>
      </c>
      <c r="B463" s="30">
        <f>IF(5&lt;=DAY(DATE(YEAR(설정_코스수당!$K$2),MONTH(설정_코스수당!$K$2)+1,0)),DATE(YEAR(설정_코스수당!$K$2),MONTH(설정_코스수당!$K$2),5),"")</f>
        <v>46178</v>
      </c>
      <c r="C463" s="31"/>
      <c r="D463" s="29"/>
      <c r="E463" s="29"/>
      <c r="F463" s="32"/>
      <c r="G463" s="29"/>
      <c r="H463" s="29"/>
      <c r="I463" s="29"/>
      <c r="J463" s="33">
        <f>IF($O463="방문완료",MAX(0,IFERROR(VLOOKUP($E463,설정_코스수당!$A$6:$H$10,4,FALSE),0)-IF(OR($P463="",$P463="없음"),0,100000)),0)</f>
        <v>0</v>
      </c>
      <c r="K463" s="33">
        <f t="array" ref="K463">IF($O463="방문완료",IFERROR(INDEX(설정_코스수당!$B$15:$F$64,MATCH($G463,설정_코스수당!$A$15:$A$64,0),MATCH($E463&amp;"수당",설정_코스수당!$B$14:$F$14,0)),0),0)</f>
        <v>0</v>
      </c>
      <c r="L463" s="33">
        <f t="array" ref="L463">IF($O463="방문완료",IF($H463="",0,IFERROR(INDEX(설정_코스수당!$B$15:$F$64,MATCH($H463,설정_코스수당!$A$15:$A$64,0),MATCH($E463&amp;"수당",설정_코스수당!$B$14:$F$14,0)),0)),0)</f>
        <v>0</v>
      </c>
      <c r="M463" s="33">
        <f>IF($O463="방문완료",IFERROR(VLOOKUP($E463,설정_코스수당!$A$6:$H$10,6,FALSE),0),0)</f>
        <v>0</v>
      </c>
      <c r="N463" s="34">
        <f t="shared" si="13"/>
        <v>0</v>
      </c>
      <c r="O463" s="29"/>
      <c r="P463" s="29"/>
      <c r="Q463" s="29"/>
      <c r="R463" s="32"/>
      <c r="S463" s="29"/>
    </row>
    <row r="464" spans="1:19" ht="19.5" hidden="1" customHeight="1" outlineLevel="1">
      <c r="A464" s="23">
        <v>39</v>
      </c>
      <c r="B464" s="24">
        <f>IF(5&lt;=DAY(DATE(YEAR(설정_코스수당!$K$2),MONTH(설정_코스수당!$K$2)+1,0)),DATE(YEAR(설정_코스수당!$K$2),MONTH(설정_코스수당!$K$2),5),"")</f>
        <v>46178</v>
      </c>
      <c r="C464" s="25"/>
      <c r="D464" s="23"/>
      <c r="E464" s="23"/>
      <c r="F464" s="26"/>
      <c r="G464" s="23"/>
      <c r="H464" s="23"/>
      <c r="I464" s="23"/>
      <c r="J464" s="27">
        <f>IF($O464="방문완료",MAX(0,IFERROR(VLOOKUP($E464,설정_코스수당!$A$6:$H$10,4,FALSE),0)-IF(OR($P464="",$P464="없음"),0,100000)),0)</f>
        <v>0</v>
      </c>
      <c r="K464" s="27">
        <f t="array" ref="K464">IF($O464="방문완료",IFERROR(INDEX(설정_코스수당!$B$15:$F$64,MATCH($G464,설정_코스수당!$A$15:$A$64,0),MATCH($E464&amp;"수당",설정_코스수당!$B$14:$F$14,0)),0),0)</f>
        <v>0</v>
      </c>
      <c r="L464" s="27">
        <f t="array" ref="L464">IF($O464="방문완료",IF($H464="",0,IFERROR(INDEX(설정_코스수당!$B$15:$F$64,MATCH($H464,설정_코스수당!$A$15:$A$64,0),MATCH($E464&amp;"수당",설정_코스수당!$B$14:$F$14,0)),0)),0)</f>
        <v>0</v>
      </c>
      <c r="M464" s="27">
        <f>IF($O464="방문완료",IFERROR(VLOOKUP($E464,설정_코스수당!$A$6:$H$10,6,FALSE),0),0)</f>
        <v>0</v>
      </c>
      <c r="N464" s="28">
        <f t="shared" si="13"/>
        <v>0</v>
      </c>
      <c r="O464" s="23"/>
      <c r="P464" s="23"/>
      <c r="Q464" s="23"/>
      <c r="R464" s="26"/>
      <c r="S464" s="23"/>
    </row>
    <row r="465" spans="1:19" ht="19.5" hidden="1" customHeight="1" outlineLevel="1">
      <c r="A465" s="29">
        <v>40</v>
      </c>
      <c r="B465" s="30">
        <f>IF(5&lt;=DAY(DATE(YEAR(설정_코스수당!$K$2),MONTH(설정_코스수당!$K$2)+1,0)),DATE(YEAR(설정_코스수당!$K$2),MONTH(설정_코스수당!$K$2),5),"")</f>
        <v>46178</v>
      </c>
      <c r="C465" s="31"/>
      <c r="D465" s="29"/>
      <c r="E465" s="29"/>
      <c r="F465" s="32"/>
      <c r="G465" s="29"/>
      <c r="H465" s="29"/>
      <c r="I465" s="29"/>
      <c r="J465" s="33">
        <f>IF($O465="방문완료",MAX(0,IFERROR(VLOOKUP($E465,설정_코스수당!$A$6:$H$10,4,FALSE),0)-IF(OR($P465="",$P465="없음"),0,100000)),0)</f>
        <v>0</v>
      </c>
      <c r="K465" s="33">
        <f t="array" ref="K465">IF($O465="방문완료",IFERROR(INDEX(설정_코스수당!$B$15:$F$64,MATCH($G465,설정_코스수당!$A$15:$A$64,0),MATCH($E465&amp;"수당",설정_코스수당!$B$14:$F$14,0)),0),0)</f>
        <v>0</v>
      </c>
      <c r="L465" s="33">
        <f t="array" ref="L465">IF($O465="방문완료",IF($H465="",0,IFERROR(INDEX(설정_코스수당!$B$15:$F$64,MATCH($H465,설정_코스수당!$A$15:$A$64,0),MATCH($E465&amp;"수당",설정_코스수당!$B$14:$F$14,0)),0)),0)</f>
        <v>0</v>
      </c>
      <c r="M465" s="33">
        <f>IF($O465="방문완료",IFERROR(VLOOKUP($E465,설정_코스수당!$A$6:$H$10,6,FALSE),0),0)</f>
        <v>0</v>
      </c>
      <c r="N465" s="34">
        <f t="shared" si="13"/>
        <v>0</v>
      </c>
      <c r="O465" s="29"/>
      <c r="P465" s="29"/>
      <c r="Q465" s="29"/>
      <c r="R465" s="32"/>
      <c r="S465" s="29"/>
    </row>
    <row r="466" spans="1:19" ht="19.5" hidden="1" customHeight="1" outlineLevel="1">
      <c r="A466" s="23">
        <v>41</v>
      </c>
      <c r="B466" s="24">
        <f>IF(5&lt;=DAY(DATE(YEAR(설정_코스수당!$K$2),MONTH(설정_코스수당!$K$2)+1,0)),DATE(YEAR(설정_코스수당!$K$2),MONTH(설정_코스수당!$K$2),5),"")</f>
        <v>46178</v>
      </c>
      <c r="C466" s="25"/>
      <c r="D466" s="23"/>
      <c r="E466" s="23"/>
      <c r="F466" s="26"/>
      <c r="G466" s="23"/>
      <c r="H466" s="23"/>
      <c r="I466" s="23"/>
      <c r="J466" s="27">
        <f>IF($O466="방문완료",MAX(0,IFERROR(VLOOKUP($E466,설정_코스수당!$A$6:$H$10,4,FALSE),0)-IF(OR($P466="",$P466="없음"),0,100000)),0)</f>
        <v>0</v>
      </c>
      <c r="K466" s="27">
        <f t="array" ref="K466">IF($O466="방문완료",IFERROR(INDEX(설정_코스수당!$B$15:$F$64,MATCH($G466,설정_코스수당!$A$15:$A$64,0),MATCH($E466&amp;"수당",설정_코스수당!$B$14:$F$14,0)),0),0)</f>
        <v>0</v>
      </c>
      <c r="L466" s="27">
        <f t="array" ref="L466">IF($O466="방문완료",IF($H466="",0,IFERROR(INDEX(설정_코스수당!$B$15:$F$64,MATCH($H466,설정_코스수당!$A$15:$A$64,0),MATCH($E466&amp;"수당",설정_코스수당!$B$14:$F$14,0)),0)),0)</f>
        <v>0</v>
      </c>
      <c r="M466" s="27">
        <f>IF($O466="방문완료",IFERROR(VLOOKUP($E466,설정_코스수당!$A$6:$H$10,6,FALSE),0),0)</f>
        <v>0</v>
      </c>
      <c r="N466" s="28">
        <f t="shared" si="13"/>
        <v>0</v>
      </c>
      <c r="O466" s="23"/>
      <c r="P466" s="23"/>
      <c r="Q466" s="23"/>
      <c r="R466" s="26"/>
      <c r="S466" s="23"/>
    </row>
    <row r="467" spans="1:19" ht="19.5" hidden="1" customHeight="1" outlineLevel="1">
      <c r="A467" s="29">
        <v>42</v>
      </c>
      <c r="B467" s="30">
        <f>IF(5&lt;=DAY(DATE(YEAR(설정_코스수당!$K$2),MONTH(설정_코스수당!$K$2)+1,0)),DATE(YEAR(설정_코스수당!$K$2),MONTH(설정_코스수당!$K$2),5),"")</f>
        <v>46178</v>
      </c>
      <c r="C467" s="31"/>
      <c r="D467" s="29"/>
      <c r="E467" s="29"/>
      <c r="F467" s="32"/>
      <c r="G467" s="29"/>
      <c r="H467" s="29"/>
      <c r="I467" s="29"/>
      <c r="J467" s="33">
        <f>IF($O467="방문완료",MAX(0,IFERROR(VLOOKUP($E467,설정_코스수당!$A$6:$H$10,4,FALSE),0)-IF(OR($P467="",$P467="없음"),0,100000)),0)</f>
        <v>0</v>
      </c>
      <c r="K467" s="33">
        <f t="array" ref="K467">IF($O467="방문완료",IFERROR(INDEX(설정_코스수당!$B$15:$F$64,MATCH($G467,설정_코스수당!$A$15:$A$64,0),MATCH($E467&amp;"수당",설정_코스수당!$B$14:$F$14,0)),0),0)</f>
        <v>0</v>
      </c>
      <c r="L467" s="33">
        <f t="array" ref="L467">IF($O467="방문완료",IF($H467="",0,IFERROR(INDEX(설정_코스수당!$B$15:$F$64,MATCH($H467,설정_코스수당!$A$15:$A$64,0),MATCH($E467&amp;"수당",설정_코스수당!$B$14:$F$14,0)),0)),0)</f>
        <v>0</v>
      </c>
      <c r="M467" s="33">
        <f>IF($O467="방문완료",IFERROR(VLOOKUP($E467,설정_코스수당!$A$6:$H$10,6,FALSE),0),0)</f>
        <v>0</v>
      </c>
      <c r="N467" s="34">
        <f t="shared" si="13"/>
        <v>0</v>
      </c>
      <c r="O467" s="29"/>
      <c r="P467" s="29"/>
      <c r="Q467" s="29"/>
      <c r="R467" s="32"/>
      <c r="S467" s="29"/>
    </row>
    <row r="468" spans="1:19" ht="19.5" hidden="1" customHeight="1" outlineLevel="1">
      <c r="A468" s="23">
        <v>43</v>
      </c>
      <c r="B468" s="24">
        <f>IF(5&lt;=DAY(DATE(YEAR(설정_코스수당!$K$2),MONTH(설정_코스수당!$K$2)+1,0)),DATE(YEAR(설정_코스수당!$K$2),MONTH(설정_코스수당!$K$2),5),"")</f>
        <v>46178</v>
      </c>
      <c r="C468" s="25"/>
      <c r="D468" s="23"/>
      <c r="E468" s="23"/>
      <c r="F468" s="26"/>
      <c r="G468" s="23"/>
      <c r="H468" s="23"/>
      <c r="I468" s="23"/>
      <c r="J468" s="27">
        <f>IF($O468="방문완료",MAX(0,IFERROR(VLOOKUP($E468,설정_코스수당!$A$6:$H$10,4,FALSE),0)-IF(OR($P468="",$P468="없음"),0,100000)),0)</f>
        <v>0</v>
      </c>
      <c r="K468" s="27">
        <f t="array" ref="K468">IF($O468="방문완료",IFERROR(INDEX(설정_코스수당!$B$15:$F$64,MATCH($G468,설정_코스수당!$A$15:$A$64,0),MATCH($E468&amp;"수당",설정_코스수당!$B$14:$F$14,0)),0),0)</f>
        <v>0</v>
      </c>
      <c r="L468" s="27">
        <f t="array" ref="L468">IF($O468="방문완료",IF($H468="",0,IFERROR(INDEX(설정_코스수당!$B$15:$F$64,MATCH($H468,설정_코스수당!$A$15:$A$64,0),MATCH($E468&amp;"수당",설정_코스수당!$B$14:$F$14,0)),0)),0)</f>
        <v>0</v>
      </c>
      <c r="M468" s="27">
        <f>IF($O468="방문완료",IFERROR(VLOOKUP($E468,설정_코스수당!$A$6:$H$10,6,FALSE),0),0)</f>
        <v>0</v>
      </c>
      <c r="N468" s="28">
        <f t="shared" si="13"/>
        <v>0</v>
      </c>
      <c r="O468" s="23"/>
      <c r="P468" s="23"/>
      <c r="Q468" s="23"/>
      <c r="R468" s="26"/>
      <c r="S468" s="23"/>
    </row>
    <row r="469" spans="1:19" ht="19.5" hidden="1" customHeight="1" outlineLevel="1">
      <c r="A469" s="29">
        <v>44</v>
      </c>
      <c r="B469" s="30">
        <f>IF(5&lt;=DAY(DATE(YEAR(설정_코스수당!$K$2),MONTH(설정_코스수당!$K$2)+1,0)),DATE(YEAR(설정_코스수당!$K$2),MONTH(설정_코스수당!$K$2),5),"")</f>
        <v>46178</v>
      </c>
      <c r="C469" s="31"/>
      <c r="D469" s="29"/>
      <c r="E469" s="29"/>
      <c r="F469" s="32"/>
      <c r="G469" s="29"/>
      <c r="H469" s="29"/>
      <c r="I469" s="29"/>
      <c r="J469" s="33">
        <f>IF($O469="방문완료",MAX(0,IFERROR(VLOOKUP($E469,설정_코스수당!$A$6:$H$10,4,FALSE),0)-IF(OR($P469="",$P469="없음"),0,100000)),0)</f>
        <v>0</v>
      </c>
      <c r="K469" s="33">
        <f t="array" ref="K469">IF($O469="방문완료",IFERROR(INDEX(설정_코스수당!$B$15:$F$64,MATCH($G469,설정_코스수당!$A$15:$A$64,0),MATCH($E469&amp;"수당",설정_코스수당!$B$14:$F$14,0)),0),0)</f>
        <v>0</v>
      </c>
      <c r="L469" s="33">
        <f t="array" ref="L469">IF($O469="방문완료",IF($H469="",0,IFERROR(INDEX(설정_코스수당!$B$15:$F$64,MATCH($H469,설정_코스수당!$A$15:$A$64,0),MATCH($E469&amp;"수당",설정_코스수당!$B$14:$F$14,0)),0)),0)</f>
        <v>0</v>
      </c>
      <c r="M469" s="33">
        <f>IF($O469="방문완료",IFERROR(VLOOKUP($E469,설정_코스수당!$A$6:$H$10,6,FALSE),0),0)</f>
        <v>0</v>
      </c>
      <c r="N469" s="34">
        <f t="shared" si="13"/>
        <v>0</v>
      </c>
      <c r="O469" s="29"/>
      <c r="P469" s="29"/>
      <c r="Q469" s="29"/>
      <c r="R469" s="32"/>
      <c r="S469" s="29"/>
    </row>
    <row r="470" spans="1:19" ht="19.5" hidden="1" customHeight="1" outlineLevel="1">
      <c r="A470" s="23">
        <v>45</v>
      </c>
      <c r="B470" s="24">
        <f>IF(5&lt;=DAY(DATE(YEAR(설정_코스수당!$K$2),MONTH(설정_코스수당!$K$2)+1,0)),DATE(YEAR(설정_코스수당!$K$2),MONTH(설정_코스수당!$K$2),5),"")</f>
        <v>46178</v>
      </c>
      <c r="C470" s="25"/>
      <c r="D470" s="23"/>
      <c r="E470" s="23"/>
      <c r="F470" s="26"/>
      <c r="G470" s="23"/>
      <c r="H470" s="23"/>
      <c r="I470" s="23"/>
      <c r="J470" s="27">
        <f>IF($O470="방문완료",MAX(0,IFERROR(VLOOKUP($E470,설정_코스수당!$A$6:$H$10,4,FALSE),0)-IF(OR($P470="",$P470="없음"),0,100000)),0)</f>
        <v>0</v>
      </c>
      <c r="K470" s="27">
        <f t="array" ref="K470">IF($O470="방문완료",IFERROR(INDEX(설정_코스수당!$B$15:$F$64,MATCH($G470,설정_코스수당!$A$15:$A$64,0),MATCH($E470&amp;"수당",설정_코스수당!$B$14:$F$14,0)),0),0)</f>
        <v>0</v>
      </c>
      <c r="L470" s="27">
        <f t="array" ref="L470">IF($O470="방문완료",IF($H470="",0,IFERROR(INDEX(설정_코스수당!$B$15:$F$64,MATCH($H470,설정_코스수당!$A$15:$A$64,0),MATCH($E470&amp;"수당",설정_코스수당!$B$14:$F$14,0)),0)),0)</f>
        <v>0</v>
      </c>
      <c r="M470" s="27">
        <f>IF($O470="방문완료",IFERROR(VLOOKUP($E470,설정_코스수당!$A$6:$H$10,6,FALSE),0),0)</f>
        <v>0</v>
      </c>
      <c r="N470" s="28">
        <f t="shared" si="13"/>
        <v>0</v>
      </c>
      <c r="O470" s="23"/>
      <c r="P470" s="23"/>
      <c r="Q470" s="23"/>
      <c r="R470" s="26"/>
      <c r="S470" s="23"/>
    </row>
    <row r="471" spans="1:19" ht="19.5" hidden="1" customHeight="1" outlineLevel="1">
      <c r="A471" s="29">
        <v>46</v>
      </c>
      <c r="B471" s="30">
        <f>IF(5&lt;=DAY(DATE(YEAR(설정_코스수당!$K$2),MONTH(설정_코스수당!$K$2)+1,0)),DATE(YEAR(설정_코스수당!$K$2),MONTH(설정_코스수당!$K$2),5),"")</f>
        <v>46178</v>
      </c>
      <c r="C471" s="31"/>
      <c r="D471" s="29"/>
      <c r="E471" s="29"/>
      <c r="F471" s="32"/>
      <c r="G471" s="29"/>
      <c r="H471" s="29"/>
      <c r="I471" s="29"/>
      <c r="J471" s="33">
        <f>IF($O471="방문완료",MAX(0,IFERROR(VLOOKUP($E471,설정_코스수당!$A$6:$H$10,4,FALSE),0)-IF(OR($P471="",$P471="없음"),0,100000)),0)</f>
        <v>0</v>
      </c>
      <c r="K471" s="33">
        <f t="array" ref="K471">IF($O471="방문완료",IFERROR(INDEX(설정_코스수당!$B$15:$F$64,MATCH($G471,설정_코스수당!$A$15:$A$64,0),MATCH($E471&amp;"수당",설정_코스수당!$B$14:$F$14,0)),0),0)</f>
        <v>0</v>
      </c>
      <c r="L471" s="33">
        <f t="array" ref="L471">IF($O471="방문완료",IF($H471="",0,IFERROR(INDEX(설정_코스수당!$B$15:$F$64,MATCH($H471,설정_코스수당!$A$15:$A$64,0),MATCH($E471&amp;"수당",설정_코스수당!$B$14:$F$14,0)),0)),0)</f>
        <v>0</v>
      </c>
      <c r="M471" s="33">
        <f>IF($O471="방문완료",IFERROR(VLOOKUP($E471,설정_코스수당!$A$6:$H$10,6,FALSE),0),0)</f>
        <v>0</v>
      </c>
      <c r="N471" s="34">
        <f t="shared" si="13"/>
        <v>0</v>
      </c>
      <c r="O471" s="29"/>
      <c r="P471" s="29"/>
      <c r="Q471" s="29"/>
      <c r="R471" s="32"/>
      <c r="S471" s="29"/>
    </row>
    <row r="472" spans="1:19" ht="19.5" hidden="1" customHeight="1" outlineLevel="1">
      <c r="A472" s="23">
        <v>47</v>
      </c>
      <c r="B472" s="24">
        <f>IF(5&lt;=DAY(DATE(YEAR(설정_코스수당!$K$2),MONTH(설정_코스수당!$K$2)+1,0)),DATE(YEAR(설정_코스수당!$K$2),MONTH(설정_코스수당!$K$2),5),"")</f>
        <v>46178</v>
      </c>
      <c r="C472" s="25"/>
      <c r="D472" s="23"/>
      <c r="E472" s="23"/>
      <c r="F472" s="26"/>
      <c r="G472" s="23"/>
      <c r="H472" s="23"/>
      <c r="I472" s="23"/>
      <c r="J472" s="27">
        <f>IF($O472="방문완료",MAX(0,IFERROR(VLOOKUP($E472,설정_코스수당!$A$6:$H$10,4,FALSE),0)-IF(OR($P472="",$P472="없음"),0,100000)),0)</f>
        <v>0</v>
      </c>
      <c r="K472" s="27">
        <f t="array" ref="K472">IF($O472="방문완료",IFERROR(INDEX(설정_코스수당!$B$15:$F$64,MATCH($G472,설정_코스수당!$A$15:$A$64,0),MATCH($E472&amp;"수당",설정_코스수당!$B$14:$F$14,0)),0),0)</f>
        <v>0</v>
      </c>
      <c r="L472" s="27">
        <f t="array" ref="L472">IF($O472="방문완료",IF($H472="",0,IFERROR(INDEX(설정_코스수당!$B$15:$F$64,MATCH($H472,설정_코스수당!$A$15:$A$64,0),MATCH($E472&amp;"수당",설정_코스수당!$B$14:$F$14,0)),0)),0)</f>
        <v>0</v>
      </c>
      <c r="M472" s="27">
        <f>IF($O472="방문완료",IFERROR(VLOOKUP($E472,설정_코스수당!$A$6:$H$10,6,FALSE),0),0)</f>
        <v>0</v>
      </c>
      <c r="N472" s="28">
        <f t="shared" si="13"/>
        <v>0</v>
      </c>
      <c r="O472" s="23"/>
      <c r="P472" s="23"/>
      <c r="Q472" s="23"/>
      <c r="R472" s="26"/>
      <c r="S472" s="23"/>
    </row>
    <row r="473" spans="1:19" ht="19.5" hidden="1" customHeight="1" outlineLevel="1">
      <c r="A473" s="29">
        <v>48</v>
      </c>
      <c r="B473" s="30">
        <f>IF(5&lt;=DAY(DATE(YEAR(설정_코스수당!$K$2),MONTH(설정_코스수당!$K$2)+1,0)),DATE(YEAR(설정_코스수당!$K$2),MONTH(설정_코스수당!$K$2),5),"")</f>
        <v>46178</v>
      </c>
      <c r="C473" s="31"/>
      <c r="D473" s="29"/>
      <c r="E473" s="29"/>
      <c r="F473" s="32"/>
      <c r="G473" s="29"/>
      <c r="H473" s="29"/>
      <c r="I473" s="29"/>
      <c r="J473" s="33">
        <f>IF($O473="방문완료",MAX(0,IFERROR(VLOOKUP($E473,설정_코스수당!$A$6:$H$10,4,FALSE),0)-IF(OR($P473="",$P473="없음"),0,100000)),0)</f>
        <v>0</v>
      </c>
      <c r="K473" s="33">
        <f t="array" ref="K473">IF($O473="방문완료",IFERROR(INDEX(설정_코스수당!$B$15:$F$64,MATCH($G473,설정_코스수당!$A$15:$A$64,0),MATCH($E473&amp;"수당",설정_코스수당!$B$14:$F$14,0)),0),0)</f>
        <v>0</v>
      </c>
      <c r="L473" s="33">
        <f t="array" ref="L473">IF($O473="방문완료",IF($H473="",0,IFERROR(INDEX(설정_코스수당!$B$15:$F$64,MATCH($H473,설정_코스수당!$A$15:$A$64,0),MATCH($E473&amp;"수당",설정_코스수당!$B$14:$F$14,0)),0)),0)</f>
        <v>0</v>
      </c>
      <c r="M473" s="33">
        <f>IF($O473="방문완료",IFERROR(VLOOKUP($E473,설정_코스수당!$A$6:$H$10,6,FALSE),0),0)</f>
        <v>0</v>
      </c>
      <c r="N473" s="34">
        <f t="shared" si="13"/>
        <v>0</v>
      </c>
      <c r="O473" s="29"/>
      <c r="P473" s="29"/>
      <c r="Q473" s="29"/>
      <c r="R473" s="32"/>
      <c r="S473" s="29"/>
    </row>
    <row r="474" spans="1:19" ht="19.5" hidden="1" customHeight="1" outlineLevel="1">
      <c r="A474" s="23">
        <v>49</v>
      </c>
      <c r="B474" s="24">
        <f>IF(5&lt;=DAY(DATE(YEAR(설정_코스수당!$K$2),MONTH(설정_코스수당!$K$2)+1,0)),DATE(YEAR(설정_코스수당!$K$2),MONTH(설정_코스수당!$K$2),5),"")</f>
        <v>46178</v>
      </c>
      <c r="C474" s="25"/>
      <c r="D474" s="23"/>
      <c r="E474" s="23"/>
      <c r="F474" s="26"/>
      <c r="G474" s="23"/>
      <c r="H474" s="23"/>
      <c r="I474" s="23"/>
      <c r="J474" s="27">
        <f>IF($O474="방문완료",MAX(0,IFERROR(VLOOKUP($E474,설정_코스수당!$A$6:$H$10,4,FALSE),0)-IF(OR($P474="",$P474="없음"),0,100000)),0)</f>
        <v>0</v>
      </c>
      <c r="K474" s="27">
        <f t="array" ref="K474">IF($O474="방문완료",IFERROR(INDEX(설정_코스수당!$B$15:$F$64,MATCH($G474,설정_코스수당!$A$15:$A$64,0),MATCH($E474&amp;"수당",설정_코스수당!$B$14:$F$14,0)),0),0)</f>
        <v>0</v>
      </c>
      <c r="L474" s="27">
        <f t="array" ref="L474">IF($O474="방문완료",IF($H474="",0,IFERROR(INDEX(설정_코스수당!$B$15:$F$64,MATCH($H474,설정_코스수당!$A$15:$A$64,0),MATCH($E474&amp;"수당",설정_코스수당!$B$14:$F$14,0)),0)),0)</f>
        <v>0</v>
      </c>
      <c r="M474" s="27">
        <f>IF($O474="방문완료",IFERROR(VLOOKUP($E474,설정_코스수당!$A$6:$H$10,6,FALSE),0),0)</f>
        <v>0</v>
      </c>
      <c r="N474" s="28">
        <f t="shared" si="13"/>
        <v>0</v>
      </c>
      <c r="O474" s="23"/>
      <c r="P474" s="23"/>
      <c r="Q474" s="23"/>
      <c r="R474" s="26"/>
      <c r="S474" s="23"/>
    </row>
    <row r="475" spans="1:19" ht="19.5" hidden="1" customHeight="1" outlineLevel="1">
      <c r="A475" s="29">
        <v>50</v>
      </c>
      <c r="B475" s="30">
        <f>IF(5&lt;=DAY(DATE(YEAR(설정_코스수당!$K$2),MONTH(설정_코스수당!$K$2)+1,0)),DATE(YEAR(설정_코스수당!$K$2),MONTH(설정_코스수당!$K$2),5),"")</f>
        <v>46178</v>
      </c>
      <c r="C475" s="31"/>
      <c r="D475" s="29"/>
      <c r="E475" s="29"/>
      <c r="F475" s="32"/>
      <c r="G475" s="29"/>
      <c r="H475" s="29"/>
      <c r="I475" s="29"/>
      <c r="J475" s="33">
        <f>IF($O475="방문완료",MAX(0,IFERROR(VLOOKUP($E475,설정_코스수당!$A$6:$H$10,4,FALSE),0)-IF(OR($P475="",$P475="없음"),0,100000)),0)</f>
        <v>0</v>
      </c>
      <c r="K475" s="33">
        <f t="array" ref="K475">IF($O475="방문완료",IFERROR(INDEX(설정_코스수당!$B$15:$F$64,MATCH($G475,설정_코스수당!$A$15:$A$64,0),MATCH($E475&amp;"수당",설정_코스수당!$B$14:$F$14,0)),0),0)</f>
        <v>0</v>
      </c>
      <c r="L475" s="33">
        <f t="array" ref="L475">IF($O475="방문완료",IF($H475="",0,IFERROR(INDEX(설정_코스수당!$B$15:$F$64,MATCH($H475,설정_코스수당!$A$15:$A$64,0),MATCH($E475&amp;"수당",설정_코스수당!$B$14:$F$14,0)),0)),0)</f>
        <v>0</v>
      </c>
      <c r="M475" s="33">
        <f>IF($O475="방문완료",IFERROR(VLOOKUP($E475,설정_코스수당!$A$6:$H$10,6,FALSE),0),0)</f>
        <v>0</v>
      </c>
      <c r="N475" s="34">
        <f t="shared" si="13"/>
        <v>0</v>
      </c>
      <c r="O475" s="29"/>
      <c r="P475" s="29"/>
      <c r="Q475" s="29"/>
      <c r="R475" s="32"/>
      <c r="S475" s="29"/>
    </row>
    <row r="476" spans="1:19" ht="19.5" hidden="1" customHeight="1" outlineLevel="1">
      <c r="A476" s="23">
        <v>51</v>
      </c>
      <c r="B476" s="24">
        <f>IF(5&lt;=DAY(DATE(YEAR(설정_코스수당!$K$2),MONTH(설정_코스수당!$K$2)+1,0)),DATE(YEAR(설정_코스수당!$K$2),MONTH(설정_코스수당!$K$2),5),"")</f>
        <v>46178</v>
      </c>
      <c r="C476" s="25"/>
      <c r="D476" s="23"/>
      <c r="E476" s="23"/>
      <c r="F476" s="26"/>
      <c r="G476" s="23"/>
      <c r="H476" s="23"/>
      <c r="I476" s="23"/>
      <c r="J476" s="27">
        <f>IF($O476="방문완료",MAX(0,IFERROR(VLOOKUP($E476,설정_코스수당!$A$6:$H$10,4,FALSE),0)-IF(OR($P476="",$P476="없음"),0,100000)),0)</f>
        <v>0</v>
      </c>
      <c r="K476" s="27">
        <f t="array" ref="K476">IF($O476="방문완료",IFERROR(INDEX(설정_코스수당!$B$15:$F$64,MATCH($G476,설정_코스수당!$A$15:$A$64,0),MATCH($E476&amp;"수당",설정_코스수당!$B$14:$F$14,0)),0),0)</f>
        <v>0</v>
      </c>
      <c r="L476" s="27">
        <f t="array" ref="L476">IF($O476="방문완료",IF($H476="",0,IFERROR(INDEX(설정_코스수당!$B$15:$F$64,MATCH($H476,설정_코스수당!$A$15:$A$64,0),MATCH($E476&amp;"수당",설정_코스수당!$B$14:$F$14,0)),0)),0)</f>
        <v>0</v>
      </c>
      <c r="M476" s="27">
        <f>IF($O476="방문완료",IFERROR(VLOOKUP($E476,설정_코스수당!$A$6:$H$10,6,FALSE),0),0)</f>
        <v>0</v>
      </c>
      <c r="N476" s="28">
        <f t="shared" si="13"/>
        <v>0</v>
      </c>
      <c r="O476" s="23"/>
      <c r="P476" s="23"/>
      <c r="Q476" s="23"/>
      <c r="R476" s="26"/>
      <c r="S476" s="23"/>
    </row>
    <row r="477" spans="1:19" ht="19.5" hidden="1" customHeight="1" outlineLevel="1">
      <c r="A477" s="29">
        <v>52</v>
      </c>
      <c r="B477" s="30">
        <f>IF(5&lt;=DAY(DATE(YEAR(설정_코스수당!$K$2),MONTH(설정_코스수당!$K$2)+1,0)),DATE(YEAR(설정_코스수당!$K$2),MONTH(설정_코스수당!$K$2),5),"")</f>
        <v>46178</v>
      </c>
      <c r="C477" s="31"/>
      <c r="D477" s="29"/>
      <c r="E477" s="29"/>
      <c r="F477" s="32"/>
      <c r="G477" s="29"/>
      <c r="H477" s="29"/>
      <c r="I477" s="29"/>
      <c r="J477" s="33">
        <f>IF($O477="방문완료",MAX(0,IFERROR(VLOOKUP($E477,설정_코스수당!$A$6:$H$10,4,FALSE),0)-IF(OR($P477="",$P477="없음"),0,100000)),0)</f>
        <v>0</v>
      </c>
      <c r="K477" s="33">
        <f t="array" ref="K477">IF($O477="방문완료",IFERROR(INDEX(설정_코스수당!$B$15:$F$64,MATCH($G477,설정_코스수당!$A$15:$A$64,0),MATCH($E477&amp;"수당",설정_코스수당!$B$14:$F$14,0)),0),0)</f>
        <v>0</v>
      </c>
      <c r="L477" s="33">
        <f t="array" ref="L477">IF($O477="방문완료",IF($H477="",0,IFERROR(INDEX(설정_코스수당!$B$15:$F$64,MATCH($H477,설정_코스수당!$A$15:$A$64,0),MATCH($E477&amp;"수당",설정_코스수당!$B$14:$F$14,0)),0)),0)</f>
        <v>0</v>
      </c>
      <c r="M477" s="33">
        <f>IF($O477="방문완료",IFERROR(VLOOKUP($E477,설정_코스수당!$A$6:$H$10,6,FALSE),0),0)</f>
        <v>0</v>
      </c>
      <c r="N477" s="34">
        <f t="shared" si="13"/>
        <v>0</v>
      </c>
      <c r="O477" s="29"/>
      <c r="P477" s="29"/>
      <c r="Q477" s="29"/>
      <c r="R477" s="32"/>
      <c r="S477" s="29"/>
    </row>
    <row r="478" spans="1:19" ht="19.5" hidden="1" customHeight="1" outlineLevel="1">
      <c r="A478" s="23">
        <v>53</v>
      </c>
      <c r="B478" s="24">
        <f>IF(5&lt;=DAY(DATE(YEAR(설정_코스수당!$K$2),MONTH(설정_코스수당!$K$2)+1,0)),DATE(YEAR(설정_코스수당!$K$2),MONTH(설정_코스수당!$K$2),5),"")</f>
        <v>46178</v>
      </c>
      <c r="C478" s="25"/>
      <c r="D478" s="23"/>
      <c r="E478" s="23"/>
      <c r="F478" s="26"/>
      <c r="G478" s="23"/>
      <c r="H478" s="23"/>
      <c r="I478" s="23"/>
      <c r="J478" s="27">
        <f>IF($O478="방문완료",MAX(0,IFERROR(VLOOKUP($E478,설정_코스수당!$A$6:$H$10,4,FALSE),0)-IF(OR($P478="",$P478="없음"),0,100000)),0)</f>
        <v>0</v>
      </c>
      <c r="K478" s="27">
        <f t="array" ref="K478">IF($O478="방문완료",IFERROR(INDEX(설정_코스수당!$B$15:$F$64,MATCH($G478,설정_코스수당!$A$15:$A$64,0),MATCH($E478&amp;"수당",설정_코스수당!$B$14:$F$14,0)),0),0)</f>
        <v>0</v>
      </c>
      <c r="L478" s="27">
        <f t="array" ref="L478">IF($O478="방문완료",IF($H478="",0,IFERROR(INDEX(설정_코스수당!$B$15:$F$64,MATCH($H478,설정_코스수당!$A$15:$A$64,0),MATCH($E478&amp;"수당",설정_코스수당!$B$14:$F$14,0)),0)),0)</f>
        <v>0</v>
      </c>
      <c r="M478" s="27">
        <f>IF($O478="방문완료",IFERROR(VLOOKUP($E478,설정_코스수당!$A$6:$H$10,6,FALSE),0),0)</f>
        <v>0</v>
      </c>
      <c r="N478" s="28">
        <f t="shared" si="13"/>
        <v>0</v>
      </c>
      <c r="O478" s="23"/>
      <c r="P478" s="23"/>
      <c r="Q478" s="23"/>
      <c r="R478" s="26"/>
      <c r="S478" s="23"/>
    </row>
    <row r="479" spans="1:19" ht="19.5" hidden="1" customHeight="1" outlineLevel="1">
      <c r="A479" s="29">
        <v>54</v>
      </c>
      <c r="B479" s="30">
        <f>IF(5&lt;=DAY(DATE(YEAR(설정_코스수당!$K$2),MONTH(설정_코스수당!$K$2)+1,0)),DATE(YEAR(설정_코스수당!$K$2),MONTH(설정_코스수당!$K$2),5),"")</f>
        <v>46178</v>
      </c>
      <c r="C479" s="31"/>
      <c r="D479" s="29"/>
      <c r="E479" s="29"/>
      <c r="F479" s="32"/>
      <c r="G479" s="29"/>
      <c r="H479" s="29"/>
      <c r="I479" s="29"/>
      <c r="J479" s="33">
        <f>IF($O479="방문완료",MAX(0,IFERROR(VLOOKUP($E479,설정_코스수당!$A$6:$H$10,4,FALSE),0)-IF(OR($P479="",$P479="없음"),0,100000)),0)</f>
        <v>0</v>
      </c>
      <c r="K479" s="33">
        <f t="array" ref="K479">IF($O479="방문완료",IFERROR(INDEX(설정_코스수당!$B$15:$F$64,MATCH($G479,설정_코스수당!$A$15:$A$64,0),MATCH($E479&amp;"수당",설정_코스수당!$B$14:$F$14,0)),0),0)</f>
        <v>0</v>
      </c>
      <c r="L479" s="33">
        <f t="array" ref="L479">IF($O479="방문완료",IF($H479="",0,IFERROR(INDEX(설정_코스수당!$B$15:$F$64,MATCH($H479,설정_코스수당!$A$15:$A$64,0),MATCH($E479&amp;"수당",설정_코스수당!$B$14:$F$14,0)),0)),0)</f>
        <v>0</v>
      </c>
      <c r="M479" s="33">
        <f>IF($O479="방문완료",IFERROR(VLOOKUP($E479,설정_코스수당!$A$6:$H$10,6,FALSE),0),0)</f>
        <v>0</v>
      </c>
      <c r="N479" s="34">
        <f t="shared" si="13"/>
        <v>0</v>
      </c>
      <c r="O479" s="29"/>
      <c r="P479" s="29"/>
      <c r="Q479" s="29"/>
      <c r="R479" s="32"/>
      <c r="S479" s="29"/>
    </row>
    <row r="480" spans="1:19" ht="19.5" hidden="1" customHeight="1" outlineLevel="1">
      <c r="A480" s="23">
        <v>55</v>
      </c>
      <c r="B480" s="24">
        <f>IF(5&lt;=DAY(DATE(YEAR(설정_코스수당!$K$2),MONTH(설정_코스수당!$K$2)+1,0)),DATE(YEAR(설정_코스수당!$K$2),MONTH(설정_코스수당!$K$2),5),"")</f>
        <v>46178</v>
      </c>
      <c r="C480" s="25"/>
      <c r="D480" s="23"/>
      <c r="E480" s="23"/>
      <c r="F480" s="26"/>
      <c r="G480" s="23"/>
      <c r="H480" s="23"/>
      <c r="I480" s="23"/>
      <c r="J480" s="27">
        <f>IF($O480="방문완료",MAX(0,IFERROR(VLOOKUP($E480,설정_코스수당!$A$6:$H$10,4,FALSE),0)-IF(OR($P480="",$P480="없음"),0,100000)),0)</f>
        <v>0</v>
      </c>
      <c r="K480" s="27">
        <f t="array" ref="K480">IF($O480="방문완료",IFERROR(INDEX(설정_코스수당!$B$15:$F$64,MATCH($G480,설정_코스수당!$A$15:$A$64,0),MATCH($E480&amp;"수당",설정_코스수당!$B$14:$F$14,0)),0),0)</f>
        <v>0</v>
      </c>
      <c r="L480" s="27">
        <f t="array" ref="L480">IF($O480="방문완료",IF($H480="",0,IFERROR(INDEX(설정_코스수당!$B$15:$F$64,MATCH($H480,설정_코스수당!$A$15:$A$64,0),MATCH($E480&amp;"수당",설정_코스수당!$B$14:$F$14,0)),0)),0)</f>
        <v>0</v>
      </c>
      <c r="M480" s="27">
        <f>IF($O480="방문완료",IFERROR(VLOOKUP($E480,설정_코스수당!$A$6:$H$10,6,FALSE),0),0)</f>
        <v>0</v>
      </c>
      <c r="N480" s="28">
        <f t="shared" si="13"/>
        <v>0</v>
      </c>
      <c r="O480" s="23"/>
      <c r="P480" s="23"/>
      <c r="Q480" s="23"/>
      <c r="R480" s="26"/>
      <c r="S480" s="23"/>
    </row>
    <row r="481" spans="1:19" ht="19.5" hidden="1" customHeight="1" outlineLevel="1">
      <c r="A481" s="29">
        <v>56</v>
      </c>
      <c r="B481" s="30">
        <f>IF(5&lt;=DAY(DATE(YEAR(설정_코스수당!$K$2),MONTH(설정_코스수당!$K$2)+1,0)),DATE(YEAR(설정_코스수당!$K$2),MONTH(설정_코스수당!$K$2),5),"")</f>
        <v>46178</v>
      </c>
      <c r="C481" s="31"/>
      <c r="D481" s="29"/>
      <c r="E481" s="29"/>
      <c r="F481" s="32"/>
      <c r="G481" s="29"/>
      <c r="H481" s="29"/>
      <c r="I481" s="29"/>
      <c r="J481" s="33">
        <f>IF($O481="방문완료",MAX(0,IFERROR(VLOOKUP($E481,설정_코스수당!$A$6:$H$10,4,FALSE),0)-IF(OR($P481="",$P481="없음"),0,100000)),0)</f>
        <v>0</v>
      </c>
      <c r="K481" s="33">
        <f t="array" ref="K481">IF($O481="방문완료",IFERROR(INDEX(설정_코스수당!$B$15:$F$64,MATCH($G481,설정_코스수당!$A$15:$A$64,0),MATCH($E481&amp;"수당",설정_코스수당!$B$14:$F$14,0)),0),0)</f>
        <v>0</v>
      </c>
      <c r="L481" s="33">
        <f t="array" ref="L481">IF($O481="방문완료",IF($H481="",0,IFERROR(INDEX(설정_코스수당!$B$15:$F$64,MATCH($H481,설정_코스수당!$A$15:$A$64,0),MATCH($E481&amp;"수당",설정_코스수당!$B$14:$F$14,0)),0)),0)</f>
        <v>0</v>
      </c>
      <c r="M481" s="33">
        <f>IF($O481="방문완료",IFERROR(VLOOKUP($E481,설정_코스수당!$A$6:$H$10,6,FALSE),0),0)</f>
        <v>0</v>
      </c>
      <c r="N481" s="34">
        <f t="shared" si="13"/>
        <v>0</v>
      </c>
      <c r="O481" s="29"/>
      <c r="P481" s="29"/>
      <c r="Q481" s="29"/>
      <c r="R481" s="32"/>
      <c r="S481" s="29"/>
    </row>
    <row r="482" spans="1:19" ht="19.5" hidden="1" customHeight="1" outlineLevel="1">
      <c r="A482" s="23">
        <v>57</v>
      </c>
      <c r="B482" s="24">
        <f>IF(5&lt;=DAY(DATE(YEAR(설정_코스수당!$K$2),MONTH(설정_코스수당!$K$2)+1,0)),DATE(YEAR(설정_코스수당!$K$2),MONTH(설정_코스수당!$K$2),5),"")</f>
        <v>46178</v>
      </c>
      <c r="C482" s="25"/>
      <c r="D482" s="23"/>
      <c r="E482" s="23"/>
      <c r="F482" s="26"/>
      <c r="G482" s="23"/>
      <c r="H482" s="23"/>
      <c r="I482" s="23"/>
      <c r="J482" s="27">
        <f>IF($O482="방문완료",MAX(0,IFERROR(VLOOKUP($E482,설정_코스수당!$A$6:$H$10,4,FALSE),0)-IF(OR($P482="",$P482="없음"),0,100000)),0)</f>
        <v>0</v>
      </c>
      <c r="K482" s="27">
        <f t="array" ref="K482">IF($O482="방문완료",IFERROR(INDEX(설정_코스수당!$B$15:$F$64,MATCH($G482,설정_코스수당!$A$15:$A$64,0),MATCH($E482&amp;"수당",설정_코스수당!$B$14:$F$14,0)),0),0)</f>
        <v>0</v>
      </c>
      <c r="L482" s="27">
        <f t="array" ref="L482">IF($O482="방문완료",IF($H482="",0,IFERROR(INDEX(설정_코스수당!$B$15:$F$64,MATCH($H482,설정_코스수당!$A$15:$A$64,0),MATCH($E482&amp;"수당",설정_코스수당!$B$14:$F$14,0)),0)),0)</f>
        <v>0</v>
      </c>
      <c r="M482" s="27">
        <f>IF($O482="방문완료",IFERROR(VLOOKUP($E482,설정_코스수당!$A$6:$H$10,6,FALSE),0),0)</f>
        <v>0</v>
      </c>
      <c r="N482" s="28">
        <f t="shared" si="13"/>
        <v>0</v>
      </c>
      <c r="O482" s="23"/>
      <c r="P482" s="23"/>
      <c r="Q482" s="23"/>
      <c r="R482" s="26"/>
      <c r="S482" s="23"/>
    </row>
    <row r="483" spans="1:19" ht="19.5" hidden="1" customHeight="1" outlineLevel="1">
      <c r="A483" s="29">
        <v>58</v>
      </c>
      <c r="B483" s="30">
        <f>IF(5&lt;=DAY(DATE(YEAR(설정_코스수당!$K$2),MONTH(설정_코스수당!$K$2)+1,0)),DATE(YEAR(설정_코스수당!$K$2),MONTH(설정_코스수당!$K$2),5),"")</f>
        <v>46178</v>
      </c>
      <c r="C483" s="31"/>
      <c r="D483" s="29"/>
      <c r="E483" s="29"/>
      <c r="F483" s="32"/>
      <c r="G483" s="29"/>
      <c r="H483" s="29"/>
      <c r="I483" s="29"/>
      <c r="J483" s="33">
        <f>IF($O483="방문완료",MAX(0,IFERROR(VLOOKUP($E483,설정_코스수당!$A$6:$H$10,4,FALSE),0)-IF(OR($P483="",$P483="없음"),0,100000)),0)</f>
        <v>0</v>
      </c>
      <c r="K483" s="33">
        <f t="array" ref="K483">IF($O483="방문완료",IFERROR(INDEX(설정_코스수당!$B$15:$F$64,MATCH($G483,설정_코스수당!$A$15:$A$64,0),MATCH($E483&amp;"수당",설정_코스수당!$B$14:$F$14,0)),0),0)</f>
        <v>0</v>
      </c>
      <c r="L483" s="33">
        <f t="array" ref="L483">IF($O483="방문완료",IF($H483="",0,IFERROR(INDEX(설정_코스수당!$B$15:$F$64,MATCH($H483,설정_코스수당!$A$15:$A$64,0),MATCH($E483&amp;"수당",설정_코스수당!$B$14:$F$14,0)),0)),0)</f>
        <v>0</v>
      </c>
      <c r="M483" s="33">
        <f>IF($O483="방문완료",IFERROR(VLOOKUP($E483,설정_코스수당!$A$6:$H$10,6,FALSE),0),0)</f>
        <v>0</v>
      </c>
      <c r="N483" s="34">
        <f t="shared" si="13"/>
        <v>0</v>
      </c>
      <c r="O483" s="29"/>
      <c r="P483" s="29"/>
      <c r="Q483" s="29"/>
      <c r="R483" s="32"/>
      <c r="S483" s="29"/>
    </row>
    <row r="484" spans="1:19" ht="19.5" hidden="1" customHeight="1" outlineLevel="1">
      <c r="A484" s="23">
        <v>59</v>
      </c>
      <c r="B484" s="24">
        <f>IF(5&lt;=DAY(DATE(YEAR(설정_코스수당!$K$2),MONTH(설정_코스수당!$K$2)+1,0)),DATE(YEAR(설정_코스수당!$K$2),MONTH(설정_코스수당!$K$2),5),"")</f>
        <v>46178</v>
      </c>
      <c r="C484" s="25"/>
      <c r="D484" s="23"/>
      <c r="E484" s="23"/>
      <c r="F484" s="26"/>
      <c r="G484" s="23"/>
      <c r="H484" s="23"/>
      <c r="I484" s="23"/>
      <c r="J484" s="27">
        <f>IF($O484="방문완료",MAX(0,IFERROR(VLOOKUP($E484,설정_코스수당!$A$6:$H$10,4,FALSE),0)-IF(OR($P484="",$P484="없음"),0,100000)),0)</f>
        <v>0</v>
      </c>
      <c r="K484" s="27">
        <f t="array" ref="K484">IF($O484="방문완료",IFERROR(INDEX(설정_코스수당!$B$15:$F$64,MATCH($G484,설정_코스수당!$A$15:$A$64,0),MATCH($E484&amp;"수당",설정_코스수당!$B$14:$F$14,0)),0),0)</f>
        <v>0</v>
      </c>
      <c r="L484" s="27">
        <f t="array" ref="L484">IF($O484="방문완료",IF($H484="",0,IFERROR(INDEX(설정_코스수당!$B$15:$F$64,MATCH($H484,설정_코스수당!$A$15:$A$64,0),MATCH($E484&amp;"수당",설정_코스수당!$B$14:$F$14,0)),0)),0)</f>
        <v>0</v>
      </c>
      <c r="M484" s="27">
        <f>IF($O484="방문완료",IFERROR(VLOOKUP($E484,설정_코스수당!$A$6:$H$10,6,FALSE),0),0)</f>
        <v>0</v>
      </c>
      <c r="N484" s="28">
        <f t="shared" si="13"/>
        <v>0</v>
      </c>
      <c r="O484" s="23"/>
      <c r="P484" s="23"/>
      <c r="Q484" s="23"/>
      <c r="R484" s="26"/>
      <c r="S484" s="23"/>
    </row>
    <row r="485" spans="1:19" ht="19.5" hidden="1" customHeight="1" outlineLevel="1">
      <c r="A485" s="29">
        <v>60</v>
      </c>
      <c r="B485" s="30">
        <f>IF(5&lt;=DAY(DATE(YEAR(설정_코스수당!$K$2),MONTH(설정_코스수당!$K$2)+1,0)),DATE(YEAR(설정_코스수당!$K$2),MONTH(설정_코스수당!$K$2),5),"")</f>
        <v>46178</v>
      </c>
      <c r="C485" s="31"/>
      <c r="D485" s="29"/>
      <c r="E485" s="29"/>
      <c r="F485" s="32"/>
      <c r="G485" s="29"/>
      <c r="H485" s="29"/>
      <c r="I485" s="29"/>
      <c r="J485" s="33">
        <f>IF($O485="방문완료",MAX(0,IFERROR(VLOOKUP($E485,설정_코스수당!$A$6:$H$10,4,FALSE),0)-IF(OR($P485="",$P485="없음"),0,100000)),0)</f>
        <v>0</v>
      </c>
      <c r="K485" s="33">
        <f t="array" ref="K485">IF($O485="방문완료",IFERROR(INDEX(설정_코스수당!$B$15:$F$64,MATCH($G485,설정_코스수당!$A$15:$A$64,0),MATCH($E485&amp;"수당",설정_코스수당!$B$14:$F$14,0)),0),0)</f>
        <v>0</v>
      </c>
      <c r="L485" s="33">
        <f t="array" ref="L485">IF($O485="방문완료",IF($H485="",0,IFERROR(INDEX(설정_코스수당!$B$15:$F$64,MATCH($H485,설정_코스수당!$A$15:$A$64,0),MATCH($E485&amp;"수당",설정_코스수당!$B$14:$F$14,0)),0)),0)</f>
        <v>0</v>
      </c>
      <c r="M485" s="33">
        <f>IF($O485="방문완료",IFERROR(VLOOKUP($E485,설정_코스수당!$A$6:$H$10,6,FALSE),0),0)</f>
        <v>0</v>
      </c>
      <c r="N485" s="34">
        <f t="shared" si="13"/>
        <v>0</v>
      </c>
      <c r="O485" s="29"/>
      <c r="P485" s="29"/>
      <c r="Q485" s="29"/>
      <c r="R485" s="32"/>
      <c r="S485" s="29"/>
    </row>
    <row r="486" spans="1:19" ht="19.5" hidden="1" customHeight="1" outlineLevel="1">
      <c r="A486" s="23">
        <v>61</v>
      </c>
      <c r="B486" s="24">
        <f>IF(5&lt;=DAY(DATE(YEAR(설정_코스수당!$K$2),MONTH(설정_코스수당!$K$2)+1,0)),DATE(YEAR(설정_코스수당!$K$2),MONTH(설정_코스수당!$K$2),5),"")</f>
        <v>46178</v>
      </c>
      <c r="C486" s="25"/>
      <c r="D486" s="23"/>
      <c r="E486" s="23"/>
      <c r="F486" s="26"/>
      <c r="G486" s="23"/>
      <c r="H486" s="23"/>
      <c r="I486" s="23"/>
      <c r="J486" s="27">
        <f>IF($O486="방문완료",MAX(0,IFERROR(VLOOKUP($E486,설정_코스수당!$A$6:$H$10,4,FALSE),0)-IF(OR($P486="",$P486="없음"),0,100000)),0)</f>
        <v>0</v>
      </c>
      <c r="K486" s="27">
        <f t="array" ref="K486">IF($O486="방문완료",IFERROR(INDEX(설정_코스수당!$B$15:$F$64,MATCH($G486,설정_코스수당!$A$15:$A$64,0),MATCH($E486&amp;"수당",설정_코스수당!$B$14:$F$14,0)),0),0)</f>
        <v>0</v>
      </c>
      <c r="L486" s="27">
        <f t="array" ref="L486">IF($O486="방문완료",IF($H486="",0,IFERROR(INDEX(설정_코스수당!$B$15:$F$64,MATCH($H486,설정_코스수당!$A$15:$A$64,0),MATCH($E486&amp;"수당",설정_코스수당!$B$14:$F$14,0)),0)),0)</f>
        <v>0</v>
      </c>
      <c r="M486" s="27">
        <f>IF($O486="방문완료",IFERROR(VLOOKUP($E486,설정_코스수당!$A$6:$H$10,6,FALSE),0),0)</f>
        <v>0</v>
      </c>
      <c r="N486" s="28">
        <f t="shared" si="13"/>
        <v>0</v>
      </c>
      <c r="O486" s="23"/>
      <c r="P486" s="23"/>
      <c r="Q486" s="23"/>
      <c r="R486" s="26"/>
      <c r="S486" s="23"/>
    </row>
    <row r="487" spans="1:19" ht="19.5" hidden="1" customHeight="1" outlineLevel="1">
      <c r="A487" s="29">
        <v>62</v>
      </c>
      <c r="B487" s="30">
        <f>IF(5&lt;=DAY(DATE(YEAR(설정_코스수당!$K$2),MONTH(설정_코스수당!$K$2)+1,0)),DATE(YEAR(설정_코스수당!$K$2),MONTH(설정_코스수당!$K$2),5),"")</f>
        <v>46178</v>
      </c>
      <c r="C487" s="31"/>
      <c r="D487" s="29"/>
      <c r="E487" s="29"/>
      <c r="F487" s="32"/>
      <c r="G487" s="29"/>
      <c r="H487" s="29"/>
      <c r="I487" s="29"/>
      <c r="J487" s="33">
        <f>IF($O487="방문완료",MAX(0,IFERROR(VLOOKUP($E487,설정_코스수당!$A$6:$H$10,4,FALSE),0)-IF(OR($P487="",$P487="없음"),0,100000)),0)</f>
        <v>0</v>
      </c>
      <c r="K487" s="33">
        <f t="array" ref="K487">IF($O487="방문완료",IFERROR(INDEX(설정_코스수당!$B$15:$F$64,MATCH($G487,설정_코스수당!$A$15:$A$64,0),MATCH($E487&amp;"수당",설정_코스수당!$B$14:$F$14,0)),0),0)</f>
        <v>0</v>
      </c>
      <c r="L487" s="33">
        <f t="array" ref="L487">IF($O487="방문완료",IF($H487="",0,IFERROR(INDEX(설정_코스수당!$B$15:$F$64,MATCH($H487,설정_코스수당!$A$15:$A$64,0),MATCH($E487&amp;"수당",설정_코스수당!$B$14:$F$14,0)),0)),0)</f>
        <v>0</v>
      </c>
      <c r="M487" s="33">
        <f>IF($O487="방문완료",IFERROR(VLOOKUP($E487,설정_코스수당!$A$6:$H$10,6,FALSE),0),0)</f>
        <v>0</v>
      </c>
      <c r="N487" s="34">
        <f t="shared" si="13"/>
        <v>0</v>
      </c>
      <c r="O487" s="29"/>
      <c r="P487" s="29"/>
      <c r="Q487" s="29"/>
      <c r="R487" s="32"/>
      <c r="S487" s="29"/>
    </row>
    <row r="488" spans="1:19" ht="19.5" hidden="1" customHeight="1" outlineLevel="1">
      <c r="A488" s="23">
        <v>63</v>
      </c>
      <c r="B488" s="24">
        <f>IF(5&lt;=DAY(DATE(YEAR(설정_코스수당!$K$2),MONTH(설정_코스수당!$K$2)+1,0)),DATE(YEAR(설정_코스수당!$K$2),MONTH(설정_코스수당!$K$2),5),"")</f>
        <v>46178</v>
      </c>
      <c r="C488" s="25"/>
      <c r="D488" s="23"/>
      <c r="E488" s="23"/>
      <c r="F488" s="26"/>
      <c r="G488" s="23"/>
      <c r="H488" s="23"/>
      <c r="I488" s="23"/>
      <c r="J488" s="27">
        <f>IF($O488="방문완료",MAX(0,IFERROR(VLOOKUP($E488,설정_코스수당!$A$6:$H$10,4,FALSE),0)-IF(OR($P488="",$P488="없음"),0,100000)),0)</f>
        <v>0</v>
      </c>
      <c r="K488" s="27">
        <f t="array" ref="K488">IF($O488="방문완료",IFERROR(INDEX(설정_코스수당!$B$15:$F$64,MATCH($G488,설정_코스수당!$A$15:$A$64,0),MATCH($E488&amp;"수당",설정_코스수당!$B$14:$F$14,0)),0),0)</f>
        <v>0</v>
      </c>
      <c r="L488" s="27">
        <f t="array" ref="L488">IF($O488="방문완료",IF($H488="",0,IFERROR(INDEX(설정_코스수당!$B$15:$F$64,MATCH($H488,설정_코스수당!$A$15:$A$64,0),MATCH($E488&amp;"수당",설정_코스수당!$B$14:$F$14,0)),0)),0)</f>
        <v>0</v>
      </c>
      <c r="M488" s="27">
        <f>IF($O488="방문완료",IFERROR(VLOOKUP($E488,설정_코스수당!$A$6:$H$10,6,FALSE),0),0)</f>
        <v>0</v>
      </c>
      <c r="N488" s="28">
        <f t="shared" si="13"/>
        <v>0</v>
      </c>
      <c r="O488" s="23"/>
      <c r="P488" s="23"/>
      <c r="Q488" s="23"/>
      <c r="R488" s="26"/>
      <c r="S488" s="23"/>
    </row>
    <row r="489" spans="1:19" ht="19.5" hidden="1" customHeight="1" outlineLevel="1">
      <c r="A489" s="29">
        <v>64</v>
      </c>
      <c r="B489" s="30">
        <f>IF(5&lt;=DAY(DATE(YEAR(설정_코스수당!$K$2),MONTH(설정_코스수당!$K$2)+1,0)),DATE(YEAR(설정_코스수당!$K$2),MONTH(설정_코스수당!$K$2),5),"")</f>
        <v>46178</v>
      </c>
      <c r="C489" s="31"/>
      <c r="D489" s="29"/>
      <c r="E489" s="29"/>
      <c r="F489" s="32"/>
      <c r="G489" s="29"/>
      <c r="H489" s="29"/>
      <c r="I489" s="29"/>
      <c r="J489" s="33">
        <f>IF($O489="방문완료",MAX(0,IFERROR(VLOOKUP($E489,설정_코스수당!$A$6:$H$10,4,FALSE),0)-IF(OR($P489="",$P489="없음"),0,100000)),0)</f>
        <v>0</v>
      </c>
      <c r="K489" s="33">
        <f t="array" ref="K489">IF($O489="방문완료",IFERROR(INDEX(설정_코스수당!$B$15:$F$64,MATCH($G489,설정_코스수당!$A$15:$A$64,0),MATCH($E489&amp;"수당",설정_코스수당!$B$14:$F$14,0)),0),0)</f>
        <v>0</v>
      </c>
      <c r="L489" s="33">
        <f t="array" ref="L489">IF($O489="방문완료",IF($H489="",0,IFERROR(INDEX(설정_코스수당!$B$15:$F$64,MATCH($H489,설정_코스수당!$A$15:$A$64,0),MATCH($E489&amp;"수당",설정_코스수당!$B$14:$F$14,0)),0)),0)</f>
        <v>0</v>
      </c>
      <c r="M489" s="33">
        <f>IF($O489="방문완료",IFERROR(VLOOKUP($E489,설정_코스수당!$A$6:$H$10,6,FALSE),0),0)</f>
        <v>0</v>
      </c>
      <c r="N489" s="34">
        <f t="shared" si="13"/>
        <v>0</v>
      </c>
      <c r="O489" s="29"/>
      <c r="P489" s="29"/>
      <c r="Q489" s="29"/>
      <c r="R489" s="32"/>
      <c r="S489" s="29"/>
    </row>
    <row r="490" spans="1:19" ht="19.5" hidden="1" customHeight="1" outlineLevel="1">
      <c r="A490" s="23">
        <v>65</v>
      </c>
      <c r="B490" s="24">
        <f>IF(5&lt;=DAY(DATE(YEAR(설정_코스수당!$K$2),MONTH(설정_코스수당!$K$2)+1,0)),DATE(YEAR(설정_코스수당!$K$2),MONTH(설정_코스수당!$K$2),5),"")</f>
        <v>46178</v>
      </c>
      <c r="C490" s="25"/>
      <c r="D490" s="23"/>
      <c r="E490" s="23"/>
      <c r="F490" s="26"/>
      <c r="G490" s="23"/>
      <c r="H490" s="23"/>
      <c r="I490" s="23"/>
      <c r="J490" s="27">
        <f>IF($O490="방문완료",MAX(0,IFERROR(VLOOKUP($E490,설정_코스수당!$A$6:$H$10,4,FALSE),0)-IF(OR($P490="",$P490="없음"),0,100000)),0)</f>
        <v>0</v>
      </c>
      <c r="K490" s="27">
        <f t="array" ref="K490">IF($O490="방문완료",IFERROR(INDEX(설정_코스수당!$B$15:$F$64,MATCH($G490,설정_코스수당!$A$15:$A$64,0),MATCH($E490&amp;"수당",설정_코스수당!$B$14:$F$14,0)),0),0)</f>
        <v>0</v>
      </c>
      <c r="L490" s="27">
        <f t="array" ref="L490">IF($O490="방문완료",IF($H490="",0,IFERROR(INDEX(설정_코스수당!$B$15:$F$64,MATCH($H490,설정_코스수당!$A$15:$A$64,0),MATCH($E490&amp;"수당",설정_코스수당!$B$14:$F$14,0)),0)),0)</f>
        <v>0</v>
      </c>
      <c r="M490" s="27">
        <f>IF($O490="방문완료",IFERROR(VLOOKUP($E490,설정_코스수당!$A$6:$H$10,6,FALSE),0),0)</f>
        <v>0</v>
      </c>
      <c r="N490" s="28">
        <f t="shared" ref="N490:N525" si="14">IF($O490="방문완료",1,0)</f>
        <v>0</v>
      </c>
      <c r="O490" s="23"/>
      <c r="P490" s="23"/>
      <c r="Q490" s="23"/>
      <c r="R490" s="26"/>
      <c r="S490" s="23"/>
    </row>
    <row r="491" spans="1:19" ht="19.5" hidden="1" customHeight="1" outlineLevel="1">
      <c r="A491" s="29">
        <v>66</v>
      </c>
      <c r="B491" s="30">
        <f>IF(5&lt;=DAY(DATE(YEAR(설정_코스수당!$K$2),MONTH(설정_코스수당!$K$2)+1,0)),DATE(YEAR(설정_코스수당!$K$2),MONTH(설정_코스수당!$K$2),5),"")</f>
        <v>46178</v>
      </c>
      <c r="C491" s="31"/>
      <c r="D491" s="29"/>
      <c r="E491" s="29"/>
      <c r="F491" s="32"/>
      <c r="G491" s="29"/>
      <c r="H491" s="29"/>
      <c r="I491" s="29"/>
      <c r="J491" s="33">
        <f>IF($O491="방문완료",MAX(0,IFERROR(VLOOKUP($E491,설정_코스수당!$A$6:$H$10,4,FALSE),0)-IF(OR($P491="",$P491="없음"),0,100000)),0)</f>
        <v>0</v>
      </c>
      <c r="K491" s="33">
        <f t="array" ref="K491">IF($O491="방문완료",IFERROR(INDEX(설정_코스수당!$B$15:$F$64,MATCH($G491,설정_코스수당!$A$15:$A$64,0),MATCH($E491&amp;"수당",설정_코스수당!$B$14:$F$14,0)),0),0)</f>
        <v>0</v>
      </c>
      <c r="L491" s="33">
        <f t="array" ref="L491">IF($O491="방문완료",IF($H491="",0,IFERROR(INDEX(설정_코스수당!$B$15:$F$64,MATCH($H491,설정_코스수당!$A$15:$A$64,0),MATCH($E491&amp;"수당",설정_코스수당!$B$14:$F$14,0)),0)),0)</f>
        <v>0</v>
      </c>
      <c r="M491" s="33">
        <f>IF($O491="방문완료",IFERROR(VLOOKUP($E491,설정_코스수당!$A$6:$H$10,6,FALSE),0),0)</f>
        <v>0</v>
      </c>
      <c r="N491" s="34">
        <f t="shared" si="14"/>
        <v>0</v>
      </c>
      <c r="O491" s="29"/>
      <c r="P491" s="29"/>
      <c r="Q491" s="29"/>
      <c r="R491" s="32"/>
      <c r="S491" s="29"/>
    </row>
    <row r="492" spans="1:19" ht="19.5" hidden="1" customHeight="1" outlineLevel="1">
      <c r="A492" s="23">
        <v>67</v>
      </c>
      <c r="B492" s="24">
        <f>IF(5&lt;=DAY(DATE(YEAR(설정_코스수당!$K$2),MONTH(설정_코스수당!$K$2)+1,0)),DATE(YEAR(설정_코스수당!$K$2),MONTH(설정_코스수당!$K$2),5),"")</f>
        <v>46178</v>
      </c>
      <c r="C492" s="25"/>
      <c r="D492" s="23"/>
      <c r="E492" s="23"/>
      <c r="F492" s="26"/>
      <c r="G492" s="23"/>
      <c r="H492" s="23"/>
      <c r="I492" s="23"/>
      <c r="J492" s="27">
        <f>IF($O492="방문완료",MAX(0,IFERROR(VLOOKUP($E492,설정_코스수당!$A$6:$H$10,4,FALSE),0)-IF(OR($P492="",$P492="없음"),0,100000)),0)</f>
        <v>0</v>
      </c>
      <c r="K492" s="27">
        <f t="array" ref="K492">IF($O492="방문완료",IFERROR(INDEX(설정_코스수당!$B$15:$F$64,MATCH($G492,설정_코스수당!$A$15:$A$64,0),MATCH($E492&amp;"수당",설정_코스수당!$B$14:$F$14,0)),0),0)</f>
        <v>0</v>
      </c>
      <c r="L492" s="27">
        <f t="array" ref="L492">IF($O492="방문완료",IF($H492="",0,IFERROR(INDEX(설정_코스수당!$B$15:$F$64,MATCH($H492,설정_코스수당!$A$15:$A$64,0),MATCH($E492&amp;"수당",설정_코스수당!$B$14:$F$14,0)),0)),0)</f>
        <v>0</v>
      </c>
      <c r="M492" s="27">
        <f>IF($O492="방문완료",IFERROR(VLOOKUP($E492,설정_코스수당!$A$6:$H$10,6,FALSE),0),0)</f>
        <v>0</v>
      </c>
      <c r="N492" s="28">
        <f t="shared" si="14"/>
        <v>0</v>
      </c>
      <c r="O492" s="23"/>
      <c r="P492" s="23"/>
      <c r="Q492" s="23"/>
      <c r="R492" s="26"/>
      <c r="S492" s="23"/>
    </row>
    <row r="493" spans="1:19" ht="19.5" hidden="1" customHeight="1" outlineLevel="1">
      <c r="A493" s="29">
        <v>68</v>
      </c>
      <c r="B493" s="30">
        <f>IF(5&lt;=DAY(DATE(YEAR(설정_코스수당!$K$2),MONTH(설정_코스수당!$K$2)+1,0)),DATE(YEAR(설정_코스수당!$K$2),MONTH(설정_코스수당!$K$2),5),"")</f>
        <v>46178</v>
      </c>
      <c r="C493" s="31"/>
      <c r="D493" s="29"/>
      <c r="E493" s="29"/>
      <c r="F493" s="32"/>
      <c r="G493" s="29"/>
      <c r="H493" s="29"/>
      <c r="I493" s="29"/>
      <c r="J493" s="33">
        <f>IF($O493="방문완료",MAX(0,IFERROR(VLOOKUP($E493,설정_코스수당!$A$6:$H$10,4,FALSE),0)-IF(OR($P493="",$P493="없음"),0,100000)),0)</f>
        <v>0</v>
      </c>
      <c r="K493" s="33">
        <f t="array" ref="K493">IF($O493="방문완료",IFERROR(INDEX(설정_코스수당!$B$15:$F$64,MATCH($G493,설정_코스수당!$A$15:$A$64,0),MATCH($E493&amp;"수당",설정_코스수당!$B$14:$F$14,0)),0),0)</f>
        <v>0</v>
      </c>
      <c r="L493" s="33">
        <f t="array" ref="L493">IF($O493="방문완료",IF($H493="",0,IFERROR(INDEX(설정_코스수당!$B$15:$F$64,MATCH($H493,설정_코스수당!$A$15:$A$64,0),MATCH($E493&amp;"수당",설정_코스수당!$B$14:$F$14,0)),0)),0)</f>
        <v>0</v>
      </c>
      <c r="M493" s="33">
        <f>IF($O493="방문완료",IFERROR(VLOOKUP($E493,설정_코스수당!$A$6:$H$10,6,FALSE),0),0)</f>
        <v>0</v>
      </c>
      <c r="N493" s="34">
        <f t="shared" si="14"/>
        <v>0</v>
      </c>
      <c r="O493" s="29"/>
      <c r="P493" s="29"/>
      <c r="Q493" s="29"/>
      <c r="R493" s="32"/>
      <c r="S493" s="29"/>
    </row>
    <row r="494" spans="1:19" ht="19.5" hidden="1" customHeight="1" outlineLevel="1">
      <c r="A494" s="23">
        <v>69</v>
      </c>
      <c r="B494" s="24">
        <f>IF(5&lt;=DAY(DATE(YEAR(설정_코스수당!$K$2),MONTH(설정_코스수당!$K$2)+1,0)),DATE(YEAR(설정_코스수당!$K$2),MONTH(설정_코스수당!$K$2),5),"")</f>
        <v>46178</v>
      </c>
      <c r="C494" s="25"/>
      <c r="D494" s="23"/>
      <c r="E494" s="23"/>
      <c r="F494" s="26"/>
      <c r="G494" s="23"/>
      <c r="H494" s="23"/>
      <c r="I494" s="23"/>
      <c r="J494" s="27">
        <f>IF($O494="방문완료",MAX(0,IFERROR(VLOOKUP($E494,설정_코스수당!$A$6:$H$10,4,FALSE),0)-IF(OR($P494="",$P494="없음"),0,100000)),0)</f>
        <v>0</v>
      </c>
      <c r="K494" s="27">
        <f t="array" ref="K494">IF($O494="방문완료",IFERROR(INDEX(설정_코스수당!$B$15:$F$64,MATCH($G494,설정_코스수당!$A$15:$A$64,0),MATCH($E494&amp;"수당",설정_코스수당!$B$14:$F$14,0)),0),0)</f>
        <v>0</v>
      </c>
      <c r="L494" s="27">
        <f t="array" ref="L494">IF($O494="방문완료",IF($H494="",0,IFERROR(INDEX(설정_코스수당!$B$15:$F$64,MATCH($H494,설정_코스수당!$A$15:$A$64,0),MATCH($E494&amp;"수당",설정_코스수당!$B$14:$F$14,0)),0)),0)</f>
        <v>0</v>
      </c>
      <c r="M494" s="27">
        <f>IF($O494="방문완료",IFERROR(VLOOKUP($E494,설정_코스수당!$A$6:$H$10,6,FALSE),0),0)</f>
        <v>0</v>
      </c>
      <c r="N494" s="28">
        <f t="shared" si="14"/>
        <v>0</v>
      </c>
      <c r="O494" s="23"/>
      <c r="P494" s="23"/>
      <c r="Q494" s="23"/>
      <c r="R494" s="26"/>
      <c r="S494" s="23"/>
    </row>
    <row r="495" spans="1:19" ht="19.5" hidden="1" customHeight="1" outlineLevel="1">
      <c r="A495" s="29">
        <v>70</v>
      </c>
      <c r="B495" s="30">
        <f>IF(5&lt;=DAY(DATE(YEAR(설정_코스수당!$K$2),MONTH(설정_코스수당!$K$2)+1,0)),DATE(YEAR(설정_코스수당!$K$2),MONTH(설정_코스수당!$K$2),5),"")</f>
        <v>46178</v>
      </c>
      <c r="C495" s="31"/>
      <c r="D495" s="29"/>
      <c r="E495" s="29"/>
      <c r="F495" s="32"/>
      <c r="G495" s="29"/>
      <c r="H495" s="29"/>
      <c r="I495" s="29"/>
      <c r="J495" s="33">
        <f>IF($O495="방문완료",MAX(0,IFERROR(VLOOKUP($E495,설정_코스수당!$A$6:$H$10,4,FALSE),0)-IF(OR($P495="",$P495="없음"),0,100000)),0)</f>
        <v>0</v>
      </c>
      <c r="K495" s="33">
        <f t="array" ref="K495">IF($O495="방문완료",IFERROR(INDEX(설정_코스수당!$B$15:$F$64,MATCH($G495,설정_코스수당!$A$15:$A$64,0),MATCH($E495&amp;"수당",설정_코스수당!$B$14:$F$14,0)),0),0)</f>
        <v>0</v>
      </c>
      <c r="L495" s="33">
        <f t="array" ref="L495">IF($O495="방문완료",IF($H495="",0,IFERROR(INDEX(설정_코스수당!$B$15:$F$64,MATCH($H495,설정_코스수당!$A$15:$A$64,0),MATCH($E495&amp;"수당",설정_코스수당!$B$14:$F$14,0)),0)),0)</f>
        <v>0</v>
      </c>
      <c r="M495" s="33">
        <f>IF($O495="방문완료",IFERROR(VLOOKUP($E495,설정_코스수당!$A$6:$H$10,6,FALSE),0),0)</f>
        <v>0</v>
      </c>
      <c r="N495" s="34">
        <f t="shared" si="14"/>
        <v>0</v>
      </c>
      <c r="O495" s="29"/>
      <c r="P495" s="29"/>
      <c r="Q495" s="29"/>
      <c r="R495" s="32"/>
      <c r="S495" s="29"/>
    </row>
    <row r="496" spans="1:19" ht="19.5" hidden="1" customHeight="1" outlineLevel="1">
      <c r="A496" s="23">
        <v>71</v>
      </c>
      <c r="B496" s="24">
        <f>IF(5&lt;=DAY(DATE(YEAR(설정_코스수당!$K$2),MONTH(설정_코스수당!$K$2)+1,0)),DATE(YEAR(설정_코스수당!$K$2),MONTH(설정_코스수당!$K$2),5),"")</f>
        <v>46178</v>
      </c>
      <c r="C496" s="25"/>
      <c r="D496" s="23"/>
      <c r="E496" s="23"/>
      <c r="F496" s="26"/>
      <c r="G496" s="23"/>
      <c r="H496" s="23"/>
      <c r="I496" s="23"/>
      <c r="J496" s="27">
        <f>IF($O496="방문완료",MAX(0,IFERROR(VLOOKUP($E496,설정_코스수당!$A$6:$H$10,4,FALSE),0)-IF(OR($P496="",$P496="없음"),0,100000)),0)</f>
        <v>0</v>
      </c>
      <c r="K496" s="27">
        <f t="array" ref="K496">IF($O496="방문완료",IFERROR(INDEX(설정_코스수당!$B$15:$F$64,MATCH($G496,설정_코스수당!$A$15:$A$64,0),MATCH($E496&amp;"수당",설정_코스수당!$B$14:$F$14,0)),0),0)</f>
        <v>0</v>
      </c>
      <c r="L496" s="27">
        <f t="array" ref="L496">IF($O496="방문완료",IF($H496="",0,IFERROR(INDEX(설정_코스수당!$B$15:$F$64,MATCH($H496,설정_코스수당!$A$15:$A$64,0),MATCH($E496&amp;"수당",설정_코스수당!$B$14:$F$14,0)),0)),0)</f>
        <v>0</v>
      </c>
      <c r="M496" s="27">
        <f>IF($O496="방문완료",IFERROR(VLOOKUP($E496,설정_코스수당!$A$6:$H$10,6,FALSE),0),0)</f>
        <v>0</v>
      </c>
      <c r="N496" s="28">
        <f t="shared" si="14"/>
        <v>0</v>
      </c>
      <c r="O496" s="23"/>
      <c r="P496" s="23"/>
      <c r="Q496" s="23"/>
      <c r="R496" s="26"/>
      <c r="S496" s="23"/>
    </row>
    <row r="497" spans="1:19" ht="19.5" hidden="1" customHeight="1" outlineLevel="1">
      <c r="A497" s="29">
        <v>72</v>
      </c>
      <c r="B497" s="30">
        <f>IF(5&lt;=DAY(DATE(YEAR(설정_코스수당!$K$2),MONTH(설정_코스수당!$K$2)+1,0)),DATE(YEAR(설정_코스수당!$K$2),MONTH(설정_코스수당!$K$2),5),"")</f>
        <v>46178</v>
      </c>
      <c r="C497" s="31"/>
      <c r="D497" s="29"/>
      <c r="E497" s="29"/>
      <c r="F497" s="32"/>
      <c r="G497" s="29"/>
      <c r="H497" s="29"/>
      <c r="I497" s="29"/>
      <c r="J497" s="33">
        <f>IF($O497="방문완료",MAX(0,IFERROR(VLOOKUP($E497,설정_코스수당!$A$6:$H$10,4,FALSE),0)-IF(OR($P497="",$P497="없음"),0,100000)),0)</f>
        <v>0</v>
      </c>
      <c r="K497" s="33">
        <f t="array" ref="K497">IF($O497="방문완료",IFERROR(INDEX(설정_코스수당!$B$15:$F$64,MATCH($G497,설정_코스수당!$A$15:$A$64,0),MATCH($E497&amp;"수당",설정_코스수당!$B$14:$F$14,0)),0),0)</f>
        <v>0</v>
      </c>
      <c r="L497" s="33">
        <f t="array" ref="L497">IF($O497="방문완료",IF($H497="",0,IFERROR(INDEX(설정_코스수당!$B$15:$F$64,MATCH($H497,설정_코스수당!$A$15:$A$64,0),MATCH($E497&amp;"수당",설정_코스수당!$B$14:$F$14,0)),0)),0)</f>
        <v>0</v>
      </c>
      <c r="M497" s="33">
        <f>IF($O497="방문완료",IFERROR(VLOOKUP($E497,설정_코스수당!$A$6:$H$10,6,FALSE),0),0)</f>
        <v>0</v>
      </c>
      <c r="N497" s="34">
        <f t="shared" si="14"/>
        <v>0</v>
      </c>
      <c r="O497" s="29"/>
      <c r="P497" s="29"/>
      <c r="Q497" s="29"/>
      <c r="R497" s="32"/>
      <c r="S497" s="29"/>
    </row>
    <row r="498" spans="1:19" ht="19.5" hidden="1" customHeight="1" outlineLevel="1">
      <c r="A498" s="23">
        <v>73</v>
      </c>
      <c r="B498" s="24">
        <f>IF(5&lt;=DAY(DATE(YEAR(설정_코스수당!$K$2),MONTH(설정_코스수당!$K$2)+1,0)),DATE(YEAR(설정_코스수당!$K$2),MONTH(설정_코스수당!$K$2),5),"")</f>
        <v>46178</v>
      </c>
      <c r="C498" s="25"/>
      <c r="D498" s="23"/>
      <c r="E498" s="23"/>
      <c r="F498" s="26"/>
      <c r="G498" s="23"/>
      <c r="H498" s="23"/>
      <c r="I498" s="23"/>
      <c r="J498" s="27">
        <f>IF($O498="방문완료",MAX(0,IFERROR(VLOOKUP($E498,설정_코스수당!$A$6:$H$10,4,FALSE),0)-IF(OR($P498="",$P498="없음"),0,100000)),0)</f>
        <v>0</v>
      </c>
      <c r="K498" s="27">
        <f t="array" ref="K498">IF($O498="방문완료",IFERROR(INDEX(설정_코스수당!$B$15:$F$64,MATCH($G498,설정_코스수당!$A$15:$A$64,0),MATCH($E498&amp;"수당",설정_코스수당!$B$14:$F$14,0)),0),0)</f>
        <v>0</v>
      </c>
      <c r="L498" s="27">
        <f t="array" ref="L498">IF($O498="방문완료",IF($H498="",0,IFERROR(INDEX(설정_코스수당!$B$15:$F$64,MATCH($H498,설정_코스수당!$A$15:$A$64,0),MATCH($E498&amp;"수당",설정_코스수당!$B$14:$F$14,0)),0)),0)</f>
        <v>0</v>
      </c>
      <c r="M498" s="27">
        <f>IF($O498="방문완료",IFERROR(VLOOKUP($E498,설정_코스수당!$A$6:$H$10,6,FALSE),0),0)</f>
        <v>0</v>
      </c>
      <c r="N498" s="28">
        <f t="shared" si="14"/>
        <v>0</v>
      </c>
      <c r="O498" s="23"/>
      <c r="P498" s="23"/>
      <c r="Q498" s="23"/>
      <c r="R498" s="26"/>
      <c r="S498" s="23"/>
    </row>
    <row r="499" spans="1:19" ht="19.5" hidden="1" customHeight="1" outlineLevel="1">
      <c r="A499" s="29">
        <v>74</v>
      </c>
      <c r="B499" s="30">
        <f>IF(5&lt;=DAY(DATE(YEAR(설정_코스수당!$K$2),MONTH(설정_코스수당!$K$2)+1,0)),DATE(YEAR(설정_코스수당!$K$2),MONTH(설정_코스수당!$K$2),5),"")</f>
        <v>46178</v>
      </c>
      <c r="C499" s="31"/>
      <c r="D499" s="29"/>
      <c r="E499" s="29"/>
      <c r="F499" s="32"/>
      <c r="G499" s="29"/>
      <c r="H499" s="29"/>
      <c r="I499" s="29"/>
      <c r="J499" s="33">
        <f>IF($O499="방문완료",MAX(0,IFERROR(VLOOKUP($E499,설정_코스수당!$A$6:$H$10,4,FALSE),0)-IF(OR($P499="",$P499="없음"),0,100000)),0)</f>
        <v>0</v>
      </c>
      <c r="K499" s="33">
        <f t="array" ref="K499">IF($O499="방문완료",IFERROR(INDEX(설정_코스수당!$B$15:$F$64,MATCH($G499,설정_코스수당!$A$15:$A$64,0),MATCH($E499&amp;"수당",설정_코스수당!$B$14:$F$14,0)),0),0)</f>
        <v>0</v>
      </c>
      <c r="L499" s="33">
        <f t="array" ref="L499">IF($O499="방문완료",IF($H499="",0,IFERROR(INDEX(설정_코스수당!$B$15:$F$64,MATCH($H499,설정_코스수당!$A$15:$A$64,0),MATCH($E499&amp;"수당",설정_코스수당!$B$14:$F$14,0)),0)),0)</f>
        <v>0</v>
      </c>
      <c r="M499" s="33">
        <f>IF($O499="방문완료",IFERROR(VLOOKUP($E499,설정_코스수당!$A$6:$H$10,6,FALSE),0),0)</f>
        <v>0</v>
      </c>
      <c r="N499" s="34">
        <f t="shared" si="14"/>
        <v>0</v>
      </c>
      <c r="O499" s="29"/>
      <c r="P499" s="29"/>
      <c r="Q499" s="29"/>
      <c r="R499" s="32"/>
      <c r="S499" s="29"/>
    </row>
    <row r="500" spans="1:19" ht="19.5" hidden="1" customHeight="1" outlineLevel="1">
      <c r="A500" s="23">
        <v>75</v>
      </c>
      <c r="B500" s="24">
        <f>IF(5&lt;=DAY(DATE(YEAR(설정_코스수당!$K$2),MONTH(설정_코스수당!$K$2)+1,0)),DATE(YEAR(설정_코스수당!$K$2),MONTH(설정_코스수당!$K$2),5),"")</f>
        <v>46178</v>
      </c>
      <c r="C500" s="25"/>
      <c r="D500" s="23"/>
      <c r="E500" s="23"/>
      <c r="F500" s="26"/>
      <c r="G500" s="23"/>
      <c r="H500" s="23"/>
      <c r="I500" s="23"/>
      <c r="J500" s="27">
        <f>IF($O500="방문완료",MAX(0,IFERROR(VLOOKUP($E500,설정_코스수당!$A$6:$H$10,4,FALSE),0)-IF(OR($P500="",$P500="없음"),0,100000)),0)</f>
        <v>0</v>
      </c>
      <c r="K500" s="27">
        <f t="array" ref="K500">IF($O500="방문완료",IFERROR(INDEX(설정_코스수당!$B$15:$F$64,MATCH($G500,설정_코스수당!$A$15:$A$64,0),MATCH($E500&amp;"수당",설정_코스수당!$B$14:$F$14,0)),0),0)</f>
        <v>0</v>
      </c>
      <c r="L500" s="27">
        <f t="array" ref="L500">IF($O500="방문완료",IF($H500="",0,IFERROR(INDEX(설정_코스수당!$B$15:$F$64,MATCH($H500,설정_코스수당!$A$15:$A$64,0),MATCH($E500&amp;"수당",설정_코스수당!$B$14:$F$14,0)),0)),0)</f>
        <v>0</v>
      </c>
      <c r="M500" s="27">
        <f>IF($O500="방문완료",IFERROR(VLOOKUP($E500,설정_코스수당!$A$6:$H$10,6,FALSE),0),0)</f>
        <v>0</v>
      </c>
      <c r="N500" s="28">
        <f t="shared" si="14"/>
        <v>0</v>
      </c>
      <c r="O500" s="23"/>
      <c r="P500" s="23"/>
      <c r="Q500" s="23"/>
      <c r="R500" s="26"/>
      <c r="S500" s="23"/>
    </row>
    <row r="501" spans="1:19" ht="19.5" hidden="1" customHeight="1" outlineLevel="1">
      <c r="A501" s="29">
        <v>76</v>
      </c>
      <c r="B501" s="30">
        <f>IF(5&lt;=DAY(DATE(YEAR(설정_코스수당!$K$2),MONTH(설정_코스수당!$K$2)+1,0)),DATE(YEAR(설정_코스수당!$K$2),MONTH(설정_코스수당!$K$2),5),"")</f>
        <v>46178</v>
      </c>
      <c r="C501" s="31"/>
      <c r="D501" s="29"/>
      <c r="E501" s="29"/>
      <c r="F501" s="32"/>
      <c r="G501" s="29"/>
      <c r="H501" s="29"/>
      <c r="I501" s="29"/>
      <c r="J501" s="33">
        <f>IF($O501="방문완료",MAX(0,IFERROR(VLOOKUP($E501,설정_코스수당!$A$6:$H$10,4,FALSE),0)-IF(OR($P501="",$P501="없음"),0,100000)),0)</f>
        <v>0</v>
      </c>
      <c r="K501" s="33">
        <f t="array" ref="K501">IF($O501="방문완료",IFERROR(INDEX(설정_코스수당!$B$15:$F$64,MATCH($G501,설정_코스수당!$A$15:$A$64,0),MATCH($E501&amp;"수당",설정_코스수당!$B$14:$F$14,0)),0),0)</f>
        <v>0</v>
      </c>
      <c r="L501" s="33">
        <f t="array" ref="L501">IF($O501="방문완료",IF($H501="",0,IFERROR(INDEX(설정_코스수당!$B$15:$F$64,MATCH($H501,설정_코스수당!$A$15:$A$64,0),MATCH($E501&amp;"수당",설정_코스수당!$B$14:$F$14,0)),0)),0)</f>
        <v>0</v>
      </c>
      <c r="M501" s="33">
        <f>IF($O501="방문완료",IFERROR(VLOOKUP($E501,설정_코스수당!$A$6:$H$10,6,FALSE),0),0)</f>
        <v>0</v>
      </c>
      <c r="N501" s="34">
        <f t="shared" si="14"/>
        <v>0</v>
      </c>
      <c r="O501" s="29"/>
      <c r="P501" s="29"/>
      <c r="Q501" s="29"/>
      <c r="R501" s="32"/>
      <c r="S501" s="29"/>
    </row>
    <row r="502" spans="1:19" ht="19.5" hidden="1" customHeight="1" outlineLevel="1">
      <c r="A502" s="23">
        <v>77</v>
      </c>
      <c r="B502" s="24">
        <f>IF(5&lt;=DAY(DATE(YEAR(설정_코스수당!$K$2),MONTH(설정_코스수당!$K$2)+1,0)),DATE(YEAR(설정_코스수당!$K$2),MONTH(설정_코스수당!$K$2),5),"")</f>
        <v>46178</v>
      </c>
      <c r="C502" s="25"/>
      <c r="D502" s="23"/>
      <c r="E502" s="23"/>
      <c r="F502" s="26"/>
      <c r="G502" s="23"/>
      <c r="H502" s="23"/>
      <c r="I502" s="23"/>
      <c r="J502" s="27">
        <f>IF($O502="방문완료",MAX(0,IFERROR(VLOOKUP($E502,설정_코스수당!$A$6:$H$10,4,FALSE),0)-IF(OR($P502="",$P502="없음"),0,100000)),0)</f>
        <v>0</v>
      </c>
      <c r="K502" s="27">
        <f t="array" ref="K502">IF($O502="방문완료",IFERROR(INDEX(설정_코스수당!$B$15:$F$64,MATCH($G502,설정_코스수당!$A$15:$A$64,0),MATCH($E502&amp;"수당",설정_코스수당!$B$14:$F$14,0)),0),0)</f>
        <v>0</v>
      </c>
      <c r="L502" s="27">
        <f t="array" ref="L502">IF($O502="방문완료",IF($H502="",0,IFERROR(INDEX(설정_코스수당!$B$15:$F$64,MATCH($H502,설정_코스수당!$A$15:$A$64,0),MATCH($E502&amp;"수당",설정_코스수당!$B$14:$F$14,0)),0)),0)</f>
        <v>0</v>
      </c>
      <c r="M502" s="27">
        <f>IF($O502="방문완료",IFERROR(VLOOKUP($E502,설정_코스수당!$A$6:$H$10,6,FALSE),0),0)</f>
        <v>0</v>
      </c>
      <c r="N502" s="28">
        <f t="shared" si="14"/>
        <v>0</v>
      </c>
      <c r="O502" s="23"/>
      <c r="P502" s="23"/>
      <c r="Q502" s="23"/>
      <c r="R502" s="26"/>
      <c r="S502" s="23"/>
    </row>
    <row r="503" spans="1:19" ht="19.5" hidden="1" customHeight="1" outlineLevel="1">
      <c r="A503" s="29">
        <v>78</v>
      </c>
      <c r="B503" s="30">
        <f>IF(5&lt;=DAY(DATE(YEAR(설정_코스수당!$K$2),MONTH(설정_코스수당!$K$2)+1,0)),DATE(YEAR(설정_코스수당!$K$2),MONTH(설정_코스수당!$K$2),5),"")</f>
        <v>46178</v>
      </c>
      <c r="C503" s="31"/>
      <c r="D503" s="29"/>
      <c r="E503" s="29"/>
      <c r="F503" s="32"/>
      <c r="G503" s="29"/>
      <c r="H503" s="29"/>
      <c r="I503" s="29"/>
      <c r="J503" s="33">
        <f>IF($O503="방문완료",MAX(0,IFERROR(VLOOKUP($E503,설정_코스수당!$A$6:$H$10,4,FALSE),0)-IF(OR($P503="",$P503="없음"),0,100000)),0)</f>
        <v>0</v>
      </c>
      <c r="K503" s="33">
        <f t="array" ref="K503">IF($O503="방문완료",IFERROR(INDEX(설정_코스수당!$B$15:$F$64,MATCH($G503,설정_코스수당!$A$15:$A$64,0),MATCH($E503&amp;"수당",설정_코스수당!$B$14:$F$14,0)),0),0)</f>
        <v>0</v>
      </c>
      <c r="L503" s="33">
        <f t="array" ref="L503">IF($O503="방문완료",IF($H503="",0,IFERROR(INDEX(설정_코스수당!$B$15:$F$64,MATCH($H503,설정_코스수당!$A$15:$A$64,0),MATCH($E503&amp;"수당",설정_코스수당!$B$14:$F$14,0)),0)),0)</f>
        <v>0</v>
      </c>
      <c r="M503" s="33">
        <f>IF($O503="방문완료",IFERROR(VLOOKUP($E503,설정_코스수당!$A$6:$H$10,6,FALSE),0),0)</f>
        <v>0</v>
      </c>
      <c r="N503" s="34">
        <f t="shared" si="14"/>
        <v>0</v>
      </c>
      <c r="O503" s="29"/>
      <c r="P503" s="29"/>
      <c r="Q503" s="29"/>
      <c r="R503" s="32"/>
      <c r="S503" s="29"/>
    </row>
    <row r="504" spans="1:19" ht="19.5" hidden="1" customHeight="1" outlineLevel="1">
      <c r="A504" s="23">
        <v>79</v>
      </c>
      <c r="B504" s="24">
        <f>IF(5&lt;=DAY(DATE(YEAR(설정_코스수당!$K$2),MONTH(설정_코스수당!$K$2)+1,0)),DATE(YEAR(설정_코스수당!$K$2),MONTH(설정_코스수당!$K$2),5),"")</f>
        <v>46178</v>
      </c>
      <c r="C504" s="25"/>
      <c r="D504" s="23"/>
      <c r="E504" s="23"/>
      <c r="F504" s="26"/>
      <c r="G504" s="23"/>
      <c r="H504" s="23"/>
      <c r="I504" s="23"/>
      <c r="J504" s="27">
        <f>IF($O504="방문완료",MAX(0,IFERROR(VLOOKUP($E504,설정_코스수당!$A$6:$H$10,4,FALSE),0)-IF(OR($P504="",$P504="없음"),0,100000)),0)</f>
        <v>0</v>
      </c>
      <c r="K504" s="27">
        <f t="array" ref="K504">IF($O504="방문완료",IFERROR(INDEX(설정_코스수당!$B$15:$F$64,MATCH($G504,설정_코스수당!$A$15:$A$64,0),MATCH($E504&amp;"수당",설정_코스수당!$B$14:$F$14,0)),0),0)</f>
        <v>0</v>
      </c>
      <c r="L504" s="27">
        <f t="array" ref="L504">IF($O504="방문완료",IF($H504="",0,IFERROR(INDEX(설정_코스수당!$B$15:$F$64,MATCH($H504,설정_코스수당!$A$15:$A$64,0),MATCH($E504&amp;"수당",설정_코스수당!$B$14:$F$14,0)),0)),0)</f>
        <v>0</v>
      </c>
      <c r="M504" s="27">
        <f>IF($O504="방문완료",IFERROR(VLOOKUP($E504,설정_코스수당!$A$6:$H$10,6,FALSE),0),0)</f>
        <v>0</v>
      </c>
      <c r="N504" s="28">
        <f t="shared" si="14"/>
        <v>0</v>
      </c>
      <c r="O504" s="23"/>
      <c r="P504" s="23"/>
      <c r="Q504" s="23"/>
      <c r="R504" s="26"/>
      <c r="S504" s="23"/>
    </row>
    <row r="505" spans="1:19" ht="19.5" hidden="1" customHeight="1" outlineLevel="1">
      <c r="A505" s="29">
        <v>80</v>
      </c>
      <c r="B505" s="30">
        <f>IF(5&lt;=DAY(DATE(YEAR(설정_코스수당!$K$2),MONTH(설정_코스수당!$K$2)+1,0)),DATE(YEAR(설정_코스수당!$K$2),MONTH(설정_코스수당!$K$2),5),"")</f>
        <v>46178</v>
      </c>
      <c r="C505" s="31"/>
      <c r="D505" s="29"/>
      <c r="E505" s="29"/>
      <c r="F505" s="32"/>
      <c r="G505" s="29"/>
      <c r="H505" s="29"/>
      <c r="I505" s="29"/>
      <c r="J505" s="33">
        <f>IF($O505="방문완료",MAX(0,IFERROR(VLOOKUP($E505,설정_코스수당!$A$6:$H$10,4,FALSE),0)-IF(OR($P505="",$P505="없음"),0,100000)),0)</f>
        <v>0</v>
      </c>
      <c r="K505" s="33">
        <f t="array" ref="K505">IF($O505="방문완료",IFERROR(INDEX(설정_코스수당!$B$15:$F$64,MATCH($G505,설정_코스수당!$A$15:$A$64,0),MATCH($E505&amp;"수당",설정_코스수당!$B$14:$F$14,0)),0),0)</f>
        <v>0</v>
      </c>
      <c r="L505" s="33">
        <f t="array" ref="L505">IF($O505="방문완료",IF($H505="",0,IFERROR(INDEX(설정_코스수당!$B$15:$F$64,MATCH($H505,설정_코스수당!$A$15:$A$64,0),MATCH($E505&amp;"수당",설정_코스수당!$B$14:$F$14,0)),0)),0)</f>
        <v>0</v>
      </c>
      <c r="M505" s="33">
        <f>IF($O505="방문완료",IFERROR(VLOOKUP($E505,설정_코스수당!$A$6:$H$10,6,FALSE),0),0)</f>
        <v>0</v>
      </c>
      <c r="N505" s="34">
        <f t="shared" si="14"/>
        <v>0</v>
      </c>
      <c r="O505" s="29"/>
      <c r="P505" s="29"/>
      <c r="Q505" s="29"/>
      <c r="R505" s="32"/>
      <c r="S505" s="29"/>
    </row>
    <row r="506" spans="1:19" ht="19.5" hidden="1" customHeight="1" outlineLevel="1">
      <c r="A506" s="23">
        <v>81</v>
      </c>
      <c r="B506" s="24">
        <f>IF(5&lt;=DAY(DATE(YEAR(설정_코스수당!$K$2),MONTH(설정_코스수당!$K$2)+1,0)),DATE(YEAR(설정_코스수당!$K$2),MONTH(설정_코스수당!$K$2),5),"")</f>
        <v>46178</v>
      </c>
      <c r="C506" s="25"/>
      <c r="D506" s="23"/>
      <c r="E506" s="23"/>
      <c r="F506" s="26"/>
      <c r="G506" s="23"/>
      <c r="H506" s="23"/>
      <c r="I506" s="23"/>
      <c r="J506" s="27">
        <f>IF($O506="방문완료",MAX(0,IFERROR(VLOOKUP($E506,설정_코스수당!$A$6:$H$10,4,FALSE),0)-IF(OR($P506="",$P506="없음"),0,100000)),0)</f>
        <v>0</v>
      </c>
      <c r="K506" s="27">
        <f t="array" ref="K506">IF($O506="방문완료",IFERROR(INDEX(설정_코스수당!$B$15:$F$64,MATCH($G506,설정_코스수당!$A$15:$A$64,0),MATCH($E506&amp;"수당",설정_코스수당!$B$14:$F$14,0)),0),0)</f>
        <v>0</v>
      </c>
      <c r="L506" s="27">
        <f t="array" ref="L506">IF($O506="방문완료",IF($H506="",0,IFERROR(INDEX(설정_코스수당!$B$15:$F$64,MATCH($H506,설정_코스수당!$A$15:$A$64,0),MATCH($E506&amp;"수당",설정_코스수당!$B$14:$F$14,0)),0)),0)</f>
        <v>0</v>
      </c>
      <c r="M506" s="27">
        <f>IF($O506="방문완료",IFERROR(VLOOKUP($E506,설정_코스수당!$A$6:$H$10,6,FALSE),0),0)</f>
        <v>0</v>
      </c>
      <c r="N506" s="28">
        <f t="shared" si="14"/>
        <v>0</v>
      </c>
      <c r="O506" s="23"/>
      <c r="P506" s="23"/>
      <c r="Q506" s="23"/>
      <c r="R506" s="26"/>
      <c r="S506" s="23"/>
    </row>
    <row r="507" spans="1:19" ht="19.5" hidden="1" customHeight="1" outlineLevel="1">
      <c r="A507" s="29">
        <v>82</v>
      </c>
      <c r="B507" s="30">
        <f>IF(5&lt;=DAY(DATE(YEAR(설정_코스수당!$K$2),MONTH(설정_코스수당!$K$2)+1,0)),DATE(YEAR(설정_코스수당!$K$2),MONTH(설정_코스수당!$K$2),5),"")</f>
        <v>46178</v>
      </c>
      <c r="C507" s="31"/>
      <c r="D507" s="29"/>
      <c r="E507" s="29"/>
      <c r="F507" s="32"/>
      <c r="G507" s="29"/>
      <c r="H507" s="29"/>
      <c r="I507" s="29"/>
      <c r="J507" s="33">
        <f>IF($O507="방문완료",MAX(0,IFERROR(VLOOKUP($E507,설정_코스수당!$A$6:$H$10,4,FALSE),0)-IF(OR($P507="",$P507="없음"),0,100000)),0)</f>
        <v>0</v>
      </c>
      <c r="K507" s="33">
        <f t="array" ref="K507">IF($O507="방문완료",IFERROR(INDEX(설정_코스수당!$B$15:$F$64,MATCH($G507,설정_코스수당!$A$15:$A$64,0),MATCH($E507&amp;"수당",설정_코스수당!$B$14:$F$14,0)),0),0)</f>
        <v>0</v>
      </c>
      <c r="L507" s="33">
        <f t="array" ref="L507">IF($O507="방문완료",IF($H507="",0,IFERROR(INDEX(설정_코스수당!$B$15:$F$64,MATCH($H507,설정_코스수당!$A$15:$A$64,0),MATCH($E507&amp;"수당",설정_코스수당!$B$14:$F$14,0)),0)),0)</f>
        <v>0</v>
      </c>
      <c r="M507" s="33">
        <f>IF($O507="방문완료",IFERROR(VLOOKUP($E507,설정_코스수당!$A$6:$H$10,6,FALSE),0),0)</f>
        <v>0</v>
      </c>
      <c r="N507" s="34">
        <f t="shared" si="14"/>
        <v>0</v>
      </c>
      <c r="O507" s="29"/>
      <c r="P507" s="29"/>
      <c r="Q507" s="29"/>
      <c r="R507" s="32"/>
      <c r="S507" s="29"/>
    </row>
    <row r="508" spans="1:19" ht="19.5" hidden="1" customHeight="1" outlineLevel="1">
      <c r="A508" s="23">
        <v>83</v>
      </c>
      <c r="B508" s="24">
        <f>IF(5&lt;=DAY(DATE(YEAR(설정_코스수당!$K$2),MONTH(설정_코스수당!$K$2)+1,0)),DATE(YEAR(설정_코스수당!$K$2),MONTH(설정_코스수당!$K$2),5),"")</f>
        <v>46178</v>
      </c>
      <c r="C508" s="25"/>
      <c r="D508" s="23"/>
      <c r="E508" s="23"/>
      <c r="F508" s="26"/>
      <c r="G508" s="23"/>
      <c r="H508" s="23"/>
      <c r="I508" s="23"/>
      <c r="J508" s="27">
        <f>IF($O508="방문완료",MAX(0,IFERROR(VLOOKUP($E508,설정_코스수당!$A$6:$H$10,4,FALSE),0)-IF(OR($P508="",$P508="없음"),0,100000)),0)</f>
        <v>0</v>
      </c>
      <c r="K508" s="27">
        <f t="array" ref="K508">IF($O508="방문완료",IFERROR(INDEX(설정_코스수당!$B$15:$F$64,MATCH($G508,설정_코스수당!$A$15:$A$64,0),MATCH($E508&amp;"수당",설정_코스수당!$B$14:$F$14,0)),0),0)</f>
        <v>0</v>
      </c>
      <c r="L508" s="27">
        <f t="array" ref="L508">IF($O508="방문완료",IF($H508="",0,IFERROR(INDEX(설정_코스수당!$B$15:$F$64,MATCH($H508,설정_코스수당!$A$15:$A$64,0),MATCH($E508&amp;"수당",설정_코스수당!$B$14:$F$14,0)),0)),0)</f>
        <v>0</v>
      </c>
      <c r="M508" s="27">
        <f>IF($O508="방문완료",IFERROR(VLOOKUP($E508,설정_코스수당!$A$6:$H$10,6,FALSE),0),0)</f>
        <v>0</v>
      </c>
      <c r="N508" s="28">
        <f t="shared" si="14"/>
        <v>0</v>
      </c>
      <c r="O508" s="23"/>
      <c r="P508" s="23"/>
      <c r="Q508" s="23"/>
      <c r="R508" s="26"/>
      <c r="S508" s="23"/>
    </row>
    <row r="509" spans="1:19" ht="19.5" hidden="1" customHeight="1" outlineLevel="1">
      <c r="A509" s="29">
        <v>84</v>
      </c>
      <c r="B509" s="30">
        <f>IF(5&lt;=DAY(DATE(YEAR(설정_코스수당!$K$2),MONTH(설정_코스수당!$K$2)+1,0)),DATE(YEAR(설정_코스수당!$K$2),MONTH(설정_코스수당!$K$2),5),"")</f>
        <v>46178</v>
      </c>
      <c r="C509" s="31"/>
      <c r="D509" s="29"/>
      <c r="E509" s="29"/>
      <c r="F509" s="32"/>
      <c r="G509" s="29"/>
      <c r="H509" s="29"/>
      <c r="I509" s="29"/>
      <c r="J509" s="33">
        <f>IF($O509="방문완료",MAX(0,IFERROR(VLOOKUP($E509,설정_코스수당!$A$6:$H$10,4,FALSE),0)-IF(OR($P509="",$P509="없음"),0,100000)),0)</f>
        <v>0</v>
      </c>
      <c r="K509" s="33">
        <f t="array" ref="K509">IF($O509="방문완료",IFERROR(INDEX(설정_코스수당!$B$15:$F$64,MATCH($G509,설정_코스수당!$A$15:$A$64,0),MATCH($E509&amp;"수당",설정_코스수당!$B$14:$F$14,0)),0),0)</f>
        <v>0</v>
      </c>
      <c r="L509" s="33">
        <f t="array" ref="L509">IF($O509="방문완료",IF($H509="",0,IFERROR(INDEX(설정_코스수당!$B$15:$F$64,MATCH($H509,설정_코스수당!$A$15:$A$64,0),MATCH($E509&amp;"수당",설정_코스수당!$B$14:$F$14,0)),0)),0)</f>
        <v>0</v>
      </c>
      <c r="M509" s="33">
        <f>IF($O509="방문완료",IFERROR(VLOOKUP($E509,설정_코스수당!$A$6:$H$10,6,FALSE),0),0)</f>
        <v>0</v>
      </c>
      <c r="N509" s="34">
        <f t="shared" si="14"/>
        <v>0</v>
      </c>
      <c r="O509" s="29"/>
      <c r="P509" s="29"/>
      <c r="Q509" s="29"/>
      <c r="R509" s="32"/>
      <c r="S509" s="29"/>
    </row>
    <row r="510" spans="1:19" ht="19.5" hidden="1" customHeight="1" outlineLevel="1">
      <c r="A510" s="23">
        <v>85</v>
      </c>
      <c r="B510" s="24">
        <f>IF(5&lt;=DAY(DATE(YEAR(설정_코스수당!$K$2),MONTH(설정_코스수당!$K$2)+1,0)),DATE(YEAR(설정_코스수당!$K$2),MONTH(설정_코스수당!$K$2),5),"")</f>
        <v>46178</v>
      </c>
      <c r="C510" s="25"/>
      <c r="D510" s="23"/>
      <c r="E510" s="23"/>
      <c r="F510" s="26"/>
      <c r="G510" s="23"/>
      <c r="H510" s="23"/>
      <c r="I510" s="23"/>
      <c r="J510" s="27">
        <f>IF($O510="방문완료",MAX(0,IFERROR(VLOOKUP($E510,설정_코스수당!$A$6:$H$10,4,FALSE),0)-IF(OR($P510="",$P510="없음"),0,100000)),0)</f>
        <v>0</v>
      </c>
      <c r="K510" s="27">
        <f t="array" ref="K510">IF($O510="방문완료",IFERROR(INDEX(설정_코스수당!$B$15:$F$64,MATCH($G510,설정_코스수당!$A$15:$A$64,0),MATCH($E510&amp;"수당",설정_코스수당!$B$14:$F$14,0)),0),0)</f>
        <v>0</v>
      </c>
      <c r="L510" s="27">
        <f t="array" ref="L510">IF($O510="방문완료",IF($H510="",0,IFERROR(INDEX(설정_코스수당!$B$15:$F$64,MATCH($H510,설정_코스수당!$A$15:$A$64,0),MATCH($E510&amp;"수당",설정_코스수당!$B$14:$F$14,0)),0)),0)</f>
        <v>0</v>
      </c>
      <c r="M510" s="27">
        <f>IF($O510="방문완료",IFERROR(VLOOKUP($E510,설정_코스수당!$A$6:$H$10,6,FALSE),0),0)</f>
        <v>0</v>
      </c>
      <c r="N510" s="28">
        <f t="shared" si="14"/>
        <v>0</v>
      </c>
      <c r="O510" s="23"/>
      <c r="P510" s="23"/>
      <c r="Q510" s="23"/>
      <c r="R510" s="26"/>
      <c r="S510" s="23"/>
    </row>
    <row r="511" spans="1:19" ht="19.5" hidden="1" customHeight="1" outlineLevel="1">
      <c r="A511" s="29">
        <v>86</v>
      </c>
      <c r="B511" s="30">
        <f>IF(5&lt;=DAY(DATE(YEAR(설정_코스수당!$K$2),MONTH(설정_코스수당!$K$2)+1,0)),DATE(YEAR(설정_코스수당!$K$2),MONTH(설정_코스수당!$K$2),5),"")</f>
        <v>46178</v>
      </c>
      <c r="C511" s="31"/>
      <c r="D511" s="29"/>
      <c r="E511" s="29"/>
      <c r="F511" s="32"/>
      <c r="G511" s="29"/>
      <c r="H511" s="29"/>
      <c r="I511" s="29"/>
      <c r="J511" s="33">
        <f>IF($O511="방문완료",MAX(0,IFERROR(VLOOKUP($E511,설정_코스수당!$A$6:$H$10,4,FALSE),0)-IF(OR($P511="",$P511="없음"),0,100000)),0)</f>
        <v>0</v>
      </c>
      <c r="K511" s="33">
        <f t="array" ref="K511">IF($O511="방문완료",IFERROR(INDEX(설정_코스수당!$B$15:$F$64,MATCH($G511,설정_코스수당!$A$15:$A$64,0),MATCH($E511&amp;"수당",설정_코스수당!$B$14:$F$14,0)),0),0)</f>
        <v>0</v>
      </c>
      <c r="L511" s="33">
        <f t="array" ref="L511">IF($O511="방문완료",IF($H511="",0,IFERROR(INDEX(설정_코스수당!$B$15:$F$64,MATCH($H511,설정_코스수당!$A$15:$A$64,0),MATCH($E511&amp;"수당",설정_코스수당!$B$14:$F$14,0)),0)),0)</f>
        <v>0</v>
      </c>
      <c r="M511" s="33">
        <f>IF($O511="방문완료",IFERROR(VLOOKUP($E511,설정_코스수당!$A$6:$H$10,6,FALSE),0),0)</f>
        <v>0</v>
      </c>
      <c r="N511" s="34">
        <f t="shared" si="14"/>
        <v>0</v>
      </c>
      <c r="O511" s="29"/>
      <c r="P511" s="29"/>
      <c r="Q511" s="29"/>
      <c r="R511" s="32"/>
      <c r="S511" s="29"/>
    </row>
    <row r="512" spans="1:19" ht="19.5" hidden="1" customHeight="1" outlineLevel="1">
      <c r="A512" s="23">
        <v>87</v>
      </c>
      <c r="B512" s="24">
        <f>IF(5&lt;=DAY(DATE(YEAR(설정_코스수당!$K$2),MONTH(설정_코스수당!$K$2)+1,0)),DATE(YEAR(설정_코스수당!$K$2),MONTH(설정_코스수당!$K$2),5),"")</f>
        <v>46178</v>
      </c>
      <c r="C512" s="25"/>
      <c r="D512" s="23"/>
      <c r="E512" s="23"/>
      <c r="F512" s="26"/>
      <c r="G512" s="23"/>
      <c r="H512" s="23"/>
      <c r="I512" s="23"/>
      <c r="J512" s="27">
        <f>IF($O512="방문완료",MAX(0,IFERROR(VLOOKUP($E512,설정_코스수당!$A$6:$H$10,4,FALSE),0)-IF(OR($P512="",$P512="없음"),0,100000)),0)</f>
        <v>0</v>
      </c>
      <c r="K512" s="27">
        <f t="array" ref="K512">IF($O512="방문완료",IFERROR(INDEX(설정_코스수당!$B$15:$F$64,MATCH($G512,설정_코스수당!$A$15:$A$64,0),MATCH($E512&amp;"수당",설정_코스수당!$B$14:$F$14,0)),0),0)</f>
        <v>0</v>
      </c>
      <c r="L512" s="27">
        <f t="array" ref="L512">IF($O512="방문완료",IF($H512="",0,IFERROR(INDEX(설정_코스수당!$B$15:$F$64,MATCH($H512,설정_코스수당!$A$15:$A$64,0),MATCH($E512&amp;"수당",설정_코스수당!$B$14:$F$14,0)),0)),0)</f>
        <v>0</v>
      </c>
      <c r="M512" s="27">
        <f>IF($O512="방문완료",IFERROR(VLOOKUP($E512,설정_코스수당!$A$6:$H$10,6,FALSE),0),0)</f>
        <v>0</v>
      </c>
      <c r="N512" s="28">
        <f t="shared" si="14"/>
        <v>0</v>
      </c>
      <c r="O512" s="23"/>
      <c r="P512" s="23"/>
      <c r="Q512" s="23"/>
      <c r="R512" s="26"/>
      <c r="S512" s="23"/>
    </row>
    <row r="513" spans="1:27" ht="19.5" hidden="1" customHeight="1" outlineLevel="1">
      <c r="A513" s="29">
        <v>88</v>
      </c>
      <c r="B513" s="30">
        <f>IF(5&lt;=DAY(DATE(YEAR(설정_코스수당!$K$2),MONTH(설정_코스수당!$K$2)+1,0)),DATE(YEAR(설정_코스수당!$K$2),MONTH(설정_코스수당!$K$2),5),"")</f>
        <v>46178</v>
      </c>
      <c r="C513" s="31"/>
      <c r="D513" s="29"/>
      <c r="E513" s="29"/>
      <c r="F513" s="32"/>
      <c r="G513" s="29"/>
      <c r="H513" s="29"/>
      <c r="I513" s="29"/>
      <c r="J513" s="33">
        <f>IF($O513="방문완료",MAX(0,IFERROR(VLOOKUP($E513,설정_코스수당!$A$6:$H$10,4,FALSE),0)-IF(OR($P513="",$P513="없음"),0,100000)),0)</f>
        <v>0</v>
      </c>
      <c r="K513" s="33">
        <f t="array" ref="K513">IF($O513="방문완료",IFERROR(INDEX(설정_코스수당!$B$15:$F$64,MATCH($G513,설정_코스수당!$A$15:$A$64,0),MATCH($E513&amp;"수당",설정_코스수당!$B$14:$F$14,0)),0),0)</f>
        <v>0</v>
      </c>
      <c r="L513" s="33">
        <f t="array" ref="L513">IF($O513="방문완료",IF($H513="",0,IFERROR(INDEX(설정_코스수당!$B$15:$F$64,MATCH($H513,설정_코스수당!$A$15:$A$64,0),MATCH($E513&amp;"수당",설정_코스수당!$B$14:$F$14,0)),0)),0)</f>
        <v>0</v>
      </c>
      <c r="M513" s="33">
        <f>IF($O513="방문완료",IFERROR(VLOOKUP($E513,설정_코스수당!$A$6:$H$10,6,FALSE),0),0)</f>
        <v>0</v>
      </c>
      <c r="N513" s="34">
        <f t="shared" si="14"/>
        <v>0</v>
      </c>
      <c r="O513" s="29"/>
      <c r="P513" s="29"/>
      <c r="Q513" s="29"/>
      <c r="R513" s="32"/>
      <c r="S513" s="29"/>
    </row>
    <row r="514" spans="1:27" ht="19.5" hidden="1" customHeight="1" outlineLevel="1">
      <c r="A514" s="23">
        <v>89</v>
      </c>
      <c r="B514" s="24">
        <f>IF(5&lt;=DAY(DATE(YEAR(설정_코스수당!$K$2),MONTH(설정_코스수당!$K$2)+1,0)),DATE(YEAR(설정_코스수당!$K$2),MONTH(설정_코스수당!$K$2),5),"")</f>
        <v>46178</v>
      </c>
      <c r="C514" s="25"/>
      <c r="D514" s="23"/>
      <c r="E514" s="23"/>
      <c r="F514" s="26"/>
      <c r="G514" s="23"/>
      <c r="H514" s="23"/>
      <c r="I514" s="23"/>
      <c r="J514" s="27">
        <f>IF($O514="방문완료",MAX(0,IFERROR(VLOOKUP($E514,설정_코스수당!$A$6:$H$10,4,FALSE),0)-IF(OR($P514="",$P514="없음"),0,100000)),0)</f>
        <v>0</v>
      </c>
      <c r="K514" s="27">
        <f t="array" ref="K514">IF($O514="방문완료",IFERROR(INDEX(설정_코스수당!$B$15:$F$64,MATCH($G514,설정_코스수당!$A$15:$A$64,0),MATCH($E514&amp;"수당",설정_코스수당!$B$14:$F$14,0)),0),0)</f>
        <v>0</v>
      </c>
      <c r="L514" s="27">
        <f t="array" ref="L514">IF($O514="방문완료",IF($H514="",0,IFERROR(INDEX(설정_코스수당!$B$15:$F$64,MATCH($H514,설정_코스수당!$A$15:$A$64,0),MATCH($E514&amp;"수당",설정_코스수당!$B$14:$F$14,0)),0)),0)</f>
        <v>0</v>
      </c>
      <c r="M514" s="27">
        <f>IF($O514="방문완료",IFERROR(VLOOKUP($E514,설정_코스수당!$A$6:$H$10,6,FALSE),0),0)</f>
        <v>0</v>
      </c>
      <c r="N514" s="28">
        <f t="shared" si="14"/>
        <v>0</v>
      </c>
      <c r="O514" s="23"/>
      <c r="P514" s="23"/>
      <c r="Q514" s="23"/>
      <c r="R514" s="26"/>
      <c r="S514" s="23"/>
    </row>
    <row r="515" spans="1:27" ht="19.5" hidden="1" customHeight="1" outlineLevel="1">
      <c r="A515" s="29">
        <v>90</v>
      </c>
      <c r="B515" s="30">
        <f>IF(5&lt;=DAY(DATE(YEAR(설정_코스수당!$K$2),MONTH(설정_코스수당!$K$2)+1,0)),DATE(YEAR(설정_코스수당!$K$2),MONTH(설정_코스수당!$K$2),5),"")</f>
        <v>46178</v>
      </c>
      <c r="C515" s="31"/>
      <c r="D515" s="29"/>
      <c r="E515" s="29"/>
      <c r="F515" s="32"/>
      <c r="G515" s="29"/>
      <c r="H515" s="29"/>
      <c r="I515" s="29"/>
      <c r="J515" s="33">
        <f>IF($O515="방문완료",MAX(0,IFERROR(VLOOKUP($E515,설정_코스수당!$A$6:$H$10,4,FALSE),0)-IF(OR($P515="",$P515="없음"),0,100000)),0)</f>
        <v>0</v>
      </c>
      <c r="K515" s="33">
        <f t="array" ref="K515">IF($O515="방문완료",IFERROR(INDEX(설정_코스수당!$B$15:$F$64,MATCH($G515,설정_코스수당!$A$15:$A$64,0),MATCH($E515&amp;"수당",설정_코스수당!$B$14:$F$14,0)),0),0)</f>
        <v>0</v>
      </c>
      <c r="L515" s="33">
        <f t="array" ref="L515">IF($O515="방문완료",IF($H515="",0,IFERROR(INDEX(설정_코스수당!$B$15:$F$64,MATCH($H515,설정_코스수당!$A$15:$A$64,0),MATCH($E515&amp;"수당",설정_코스수당!$B$14:$F$14,0)),0)),0)</f>
        <v>0</v>
      </c>
      <c r="M515" s="33">
        <f>IF($O515="방문완료",IFERROR(VLOOKUP($E515,설정_코스수당!$A$6:$H$10,6,FALSE),0),0)</f>
        <v>0</v>
      </c>
      <c r="N515" s="34">
        <f t="shared" si="14"/>
        <v>0</v>
      </c>
      <c r="O515" s="29"/>
      <c r="P515" s="29"/>
      <c r="Q515" s="29"/>
      <c r="R515" s="32"/>
      <c r="S515" s="29"/>
    </row>
    <row r="516" spans="1:27" ht="19.5" hidden="1" customHeight="1" outlineLevel="1">
      <c r="A516" s="23">
        <v>91</v>
      </c>
      <c r="B516" s="24">
        <f>IF(5&lt;=DAY(DATE(YEAR(설정_코스수당!$K$2),MONTH(설정_코스수당!$K$2)+1,0)),DATE(YEAR(설정_코스수당!$K$2),MONTH(설정_코스수당!$K$2),5),"")</f>
        <v>46178</v>
      </c>
      <c r="C516" s="25"/>
      <c r="D516" s="23"/>
      <c r="E516" s="23"/>
      <c r="F516" s="26"/>
      <c r="G516" s="23"/>
      <c r="H516" s="23"/>
      <c r="I516" s="23"/>
      <c r="J516" s="27">
        <f>IF($O516="방문완료",MAX(0,IFERROR(VLOOKUP($E516,설정_코스수당!$A$6:$H$10,4,FALSE),0)-IF(OR($P516="",$P516="없음"),0,100000)),0)</f>
        <v>0</v>
      </c>
      <c r="K516" s="27">
        <f t="array" ref="K516">IF($O516="방문완료",IFERROR(INDEX(설정_코스수당!$B$15:$F$64,MATCH($G516,설정_코스수당!$A$15:$A$64,0),MATCH($E516&amp;"수당",설정_코스수당!$B$14:$F$14,0)),0),0)</f>
        <v>0</v>
      </c>
      <c r="L516" s="27">
        <f t="array" ref="L516">IF($O516="방문완료",IF($H516="",0,IFERROR(INDEX(설정_코스수당!$B$15:$F$64,MATCH($H516,설정_코스수당!$A$15:$A$64,0),MATCH($E516&amp;"수당",설정_코스수당!$B$14:$F$14,0)),0)),0)</f>
        <v>0</v>
      </c>
      <c r="M516" s="27">
        <f>IF($O516="방문완료",IFERROR(VLOOKUP($E516,설정_코스수당!$A$6:$H$10,6,FALSE),0),0)</f>
        <v>0</v>
      </c>
      <c r="N516" s="28">
        <f t="shared" si="14"/>
        <v>0</v>
      </c>
      <c r="O516" s="23"/>
      <c r="P516" s="23"/>
      <c r="Q516" s="23"/>
      <c r="R516" s="26"/>
      <c r="S516" s="23"/>
    </row>
    <row r="517" spans="1:27" ht="19.5" hidden="1" customHeight="1" outlineLevel="1">
      <c r="A517" s="29">
        <v>92</v>
      </c>
      <c r="B517" s="30">
        <f>IF(5&lt;=DAY(DATE(YEAR(설정_코스수당!$K$2),MONTH(설정_코스수당!$K$2)+1,0)),DATE(YEAR(설정_코스수당!$K$2),MONTH(설정_코스수당!$K$2),5),"")</f>
        <v>46178</v>
      </c>
      <c r="C517" s="31"/>
      <c r="D517" s="29"/>
      <c r="E517" s="29"/>
      <c r="F517" s="32"/>
      <c r="G517" s="29"/>
      <c r="H517" s="29"/>
      <c r="I517" s="29"/>
      <c r="J517" s="33">
        <f>IF($O517="방문완료",MAX(0,IFERROR(VLOOKUP($E517,설정_코스수당!$A$6:$H$10,4,FALSE),0)-IF(OR($P517="",$P517="없음"),0,100000)),0)</f>
        <v>0</v>
      </c>
      <c r="K517" s="33">
        <f t="array" ref="K517">IF($O517="방문완료",IFERROR(INDEX(설정_코스수당!$B$15:$F$64,MATCH($G517,설정_코스수당!$A$15:$A$64,0),MATCH($E517&amp;"수당",설정_코스수당!$B$14:$F$14,0)),0),0)</f>
        <v>0</v>
      </c>
      <c r="L517" s="33">
        <f t="array" ref="L517">IF($O517="방문완료",IF($H517="",0,IFERROR(INDEX(설정_코스수당!$B$15:$F$64,MATCH($H517,설정_코스수당!$A$15:$A$64,0),MATCH($E517&amp;"수당",설정_코스수당!$B$14:$F$14,0)),0)),0)</f>
        <v>0</v>
      </c>
      <c r="M517" s="33">
        <f>IF($O517="방문완료",IFERROR(VLOOKUP($E517,설정_코스수당!$A$6:$H$10,6,FALSE),0),0)</f>
        <v>0</v>
      </c>
      <c r="N517" s="34">
        <f t="shared" si="14"/>
        <v>0</v>
      </c>
      <c r="O517" s="29"/>
      <c r="P517" s="29"/>
      <c r="Q517" s="29"/>
      <c r="R517" s="32"/>
      <c r="S517" s="29"/>
    </row>
    <row r="518" spans="1:27" ht="19.5" hidden="1" customHeight="1" outlineLevel="1">
      <c r="A518" s="23">
        <v>93</v>
      </c>
      <c r="B518" s="24">
        <f>IF(5&lt;=DAY(DATE(YEAR(설정_코스수당!$K$2),MONTH(설정_코스수당!$K$2)+1,0)),DATE(YEAR(설정_코스수당!$K$2),MONTH(설정_코스수당!$K$2),5),"")</f>
        <v>46178</v>
      </c>
      <c r="C518" s="25"/>
      <c r="D518" s="23"/>
      <c r="E518" s="23"/>
      <c r="F518" s="26"/>
      <c r="G518" s="23"/>
      <c r="H518" s="23"/>
      <c r="I518" s="23"/>
      <c r="J518" s="27">
        <f>IF($O518="방문완료",MAX(0,IFERROR(VLOOKUP($E518,설정_코스수당!$A$6:$H$10,4,FALSE),0)-IF(OR($P518="",$P518="없음"),0,100000)),0)</f>
        <v>0</v>
      </c>
      <c r="K518" s="27">
        <f t="array" ref="K518">IF($O518="방문완료",IFERROR(INDEX(설정_코스수당!$B$15:$F$64,MATCH($G518,설정_코스수당!$A$15:$A$64,0),MATCH($E518&amp;"수당",설정_코스수당!$B$14:$F$14,0)),0),0)</f>
        <v>0</v>
      </c>
      <c r="L518" s="27">
        <f t="array" ref="L518">IF($O518="방문완료",IF($H518="",0,IFERROR(INDEX(설정_코스수당!$B$15:$F$64,MATCH($H518,설정_코스수당!$A$15:$A$64,0),MATCH($E518&amp;"수당",설정_코스수당!$B$14:$F$14,0)),0)),0)</f>
        <v>0</v>
      </c>
      <c r="M518" s="27">
        <f>IF($O518="방문완료",IFERROR(VLOOKUP($E518,설정_코스수당!$A$6:$H$10,6,FALSE),0),0)</f>
        <v>0</v>
      </c>
      <c r="N518" s="28">
        <f t="shared" si="14"/>
        <v>0</v>
      </c>
      <c r="O518" s="23"/>
      <c r="P518" s="23"/>
      <c r="Q518" s="23"/>
      <c r="R518" s="26"/>
      <c r="S518" s="23"/>
    </row>
    <row r="519" spans="1:27" ht="19.5" hidden="1" customHeight="1" outlineLevel="1">
      <c r="A519" s="29">
        <v>94</v>
      </c>
      <c r="B519" s="30">
        <f>IF(5&lt;=DAY(DATE(YEAR(설정_코스수당!$K$2),MONTH(설정_코스수당!$K$2)+1,0)),DATE(YEAR(설정_코스수당!$K$2),MONTH(설정_코스수당!$K$2),5),"")</f>
        <v>46178</v>
      </c>
      <c r="C519" s="31"/>
      <c r="D519" s="29"/>
      <c r="E519" s="29"/>
      <c r="F519" s="32"/>
      <c r="G519" s="29"/>
      <c r="H519" s="29"/>
      <c r="I519" s="29"/>
      <c r="J519" s="33">
        <f>IF($O519="방문완료",MAX(0,IFERROR(VLOOKUP($E519,설정_코스수당!$A$6:$H$10,4,FALSE),0)-IF(OR($P519="",$P519="없음"),0,100000)),0)</f>
        <v>0</v>
      </c>
      <c r="K519" s="33">
        <f t="array" ref="K519">IF($O519="방문완료",IFERROR(INDEX(설정_코스수당!$B$15:$F$64,MATCH($G519,설정_코스수당!$A$15:$A$64,0),MATCH($E519&amp;"수당",설정_코스수당!$B$14:$F$14,0)),0),0)</f>
        <v>0</v>
      </c>
      <c r="L519" s="33">
        <f t="array" ref="L519">IF($O519="방문완료",IF($H519="",0,IFERROR(INDEX(설정_코스수당!$B$15:$F$64,MATCH($H519,설정_코스수당!$A$15:$A$64,0),MATCH($E519&amp;"수당",설정_코스수당!$B$14:$F$14,0)),0)),0)</f>
        <v>0</v>
      </c>
      <c r="M519" s="33">
        <f>IF($O519="방문완료",IFERROR(VLOOKUP($E519,설정_코스수당!$A$6:$H$10,6,FALSE),0),0)</f>
        <v>0</v>
      </c>
      <c r="N519" s="34">
        <f t="shared" si="14"/>
        <v>0</v>
      </c>
      <c r="O519" s="29"/>
      <c r="P519" s="29"/>
      <c r="Q519" s="29"/>
      <c r="R519" s="32"/>
      <c r="S519" s="29"/>
    </row>
    <row r="520" spans="1:27" ht="19.5" hidden="1" customHeight="1" outlineLevel="1">
      <c r="A520" s="23">
        <v>95</v>
      </c>
      <c r="B520" s="24">
        <f>IF(5&lt;=DAY(DATE(YEAR(설정_코스수당!$K$2),MONTH(설정_코스수당!$K$2)+1,0)),DATE(YEAR(설정_코스수당!$K$2),MONTH(설정_코스수당!$K$2),5),"")</f>
        <v>46178</v>
      </c>
      <c r="C520" s="25"/>
      <c r="D520" s="23"/>
      <c r="E520" s="23"/>
      <c r="F520" s="26"/>
      <c r="G520" s="23"/>
      <c r="H520" s="23"/>
      <c r="I520" s="23"/>
      <c r="J520" s="27">
        <f>IF($O520="방문완료",MAX(0,IFERROR(VLOOKUP($E520,설정_코스수당!$A$6:$H$10,4,FALSE),0)-IF(OR($P520="",$P520="없음"),0,100000)),0)</f>
        <v>0</v>
      </c>
      <c r="K520" s="27">
        <f t="array" ref="K520">IF($O520="방문완료",IFERROR(INDEX(설정_코스수당!$B$15:$F$64,MATCH($G520,설정_코스수당!$A$15:$A$64,0),MATCH($E520&amp;"수당",설정_코스수당!$B$14:$F$14,0)),0),0)</f>
        <v>0</v>
      </c>
      <c r="L520" s="27">
        <f t="array" ref="L520">IF($O520="방문완료",IF($H520="",0,IFERROR(INDEX(설정_코스수당!$B$15:$F$64,MATCH($H520,설정_코스수당!$A$15:$A$64,0),MATCH($E520&amp;"수당",설정_코스수당!$B$14:$F$14,0)),0)),0)</f>
        <v>0</v>
      </c>
      <c r="M520" s="27">
        <f>IF($O520="방문완료",IFERROR(VLOOKUP($E520,설정_코스수당!$A$6:$H$10,6,FALSE),0),0)</f>
        <v>0</v>
      </c>
      <c r="N520" s="28">
        <f t="shared" si="14"/>
        <v>0</v>
      </c>
      <c r="O520" s="23"/>
      <c r="P520" s="23"/>
      <c r="Q520" s="23"/>
      <c r="R520" s="26"/>
      <c r="S520" s="23"/>
      <c r="U520" s="16" t="s">
        <v>72</v>
      </c>
      <c r="V520" s="17">
        <f>IF(6&lt;=DAY(DATE(YEAR(설정_코스수당!$K$2),MONTH(설정_코스수당!$K$2)+1,0)),COUNTIFS($B:$B,DATE(YEAR(설정_코스수당!$K$2),MONTH(설정_코스수당!$K$2),6),$O:$O,"방문완료",$P:$P,"&lt;&gt;",$P:$P,"&lt;&gt;없음")*100000,"")</f>
        <v>0</v>
      </c>
    </row>
    <row r="521" spans="1:27" ht="19.5" hidden="1" customHeight="1" outlineLevel="1">
      <c r="A521" s="29">
        <v>96</v>
      </c>
      <c r="B521" s="30">
        <f>IF(5&lt;=DAY(DATE(YEAR(설정_코스수당!$K$2),MONTH(설정_코스수당!$K$2)+1,0)),DATE(YEAR(설정_코스수당!$K$2),MONTH(설정_코스수당!$K$2),5),"")</f>
        <v>46178</v>
      </c>
      <c r="C521" s="31"/>
      <c r="D521" s="29"/>
      <c r="E521" s="29"/>
      <c r="F521" s="32"/>
      <c r="G521" s="29"/>
      <c r="H521" s="29"/>
      <c r="I521" s="29"/>
      <c r="J521" s="33">
        <f>IF($O521="방문완료",MAX(0,IFERROR(VLOOKUP($E521,설정_코스수당!$A$6:$H$10,4,FALSE),0)-IF(OR($P521="",$P521="없음"),0,100000)),0)</f>
        <v>0</v>
      </c>
      <c r="K521" s="33">
        <f t="array" ref="K521">IF($O521="방문완료",IFERROR(INDEX(설정_코스수당!$B$15:$F$64,MATCH($G521,설정_코스수당!$A$15:$A$64,0),MATCH($E521&amp;"수당",설정_코스수당!$B$14:$F$14,0)),0),0)</f>
        <v>0</v>
      </c>
      <c r="L521" s="33">
        <f t="array" ref="L521">IF($O521="방문완료",IF($H521="",0,IFERROR(INDEX(설정_코스수당!$B$15:$F$64,MATCH($H521,설정_코스수당!$A$15:$A$64,0),MATCH($E521&amp;"수당",설정_코스수당!$B$14:$F$14,0)),0)),0)</f>
        <v>0</v>
      </c>
      <c r="M521" s="33">
        <f>IF($O521="방문완료",IFERROR(VLOOKUP($E521,설정_코스수당!$A$6:$H$10,6,FALSE),0),0)</f>
        <v>0</v>
      </c>
      <c r="N521" s="34">
        <f t="shared" si="14"/>
        <v>0</v>
      </c>
      <c r="O521" s="29"/>
      <c r="P521" s="29"/>
      <c r="Q521" s="29"/>
      <c r="R521" s="32"/>
      <c r="S521" s="29"/>
    </row>
    <row r="522" spans="1:27" ht="19.5" hidden="1" customHeight="1" outlineLevel="1">
      <c r="A522" s="23">
        <v>97</v>
      </c>
      <c r="B522" s="24">
        <f>IF(5&lt;=DAY(DATE(YEAR(설정_코스수당!$K$2),MONTH(설정_코스수당!$K$2)+1,0)),DATE(YEAR(설정_코스수당!$K$2),MONTH(설정_코스수당!$K$2),5),"")</f>
        <v>46178</v>
      </c>
      <c r="C522" s="25"/>
      <c r="D522" s="23"/>
      <c r="E522" s="23"/>
      <c r="F522" s="26"/>
      <c r="G522" s="23"/>
      <c r="H522" s="23"/>
      <c r="I522" s="23"/>
      <c r="J522" s="27">
        <f>IF($O522="방문완료",MAX(0,IFERROR(VLOOKUP($E522,설정_코스수당!$A$6:$H$10,4,FALSE),0)-IF(OR($P522="",$P522="없음"),0,100000)),0)</f>
        <v>0</v>
      </c>
      <c r="K522" s="27">
        <f t="array" ref="K522">IF($O522="방문완료",IFERROR(INDEX(설정_코스수당!$B$15:$F$64,MATCH($G522,설정_코스수당!$A$15:$A$64,0),MATCH($E522&amp;"수당",설정_코스수당!$B$14:$F$14,0)),0),0)</f>
        <v>0</v>
      </c>
      <c r="L522" s="27">
        <f t="array" ref="L522">IF($O522="방문완료",IF($H522="",0,IFERROR(INDEX(설정_코스수당!$B$15:$F$64,MATCH($H522,설정_코스수당!$A$15:$A$64,0),MATCH($E522&amp;"수당",설정_코스수당!$B$14:$F$14,0)),0)),0)</f>
        <v>0</v>
      </c>
      <c r="M522" s="27">
        <f>IF($O522="방문완료",IFERROR(VLOOKUP($E522,설정_코스수당!$A$6:$H$10,6,FALSE),0),0)</f>
        <v>0</v>
      </c>
      <c r="N522" s="28">
        <f t="shared" si="14"/>
        <v>0</v>
      </c>
      <c r="O522" s="23"/>
      <c r="P522" s="23"/>
      <c r="Q522" s="23"/>
      <c r="R522" s="26"/>
      <c r="S522" s="23"/>
    </row>
    <row r="523" spans="1:27" ht="19.5" hidden="1" customHeight="1" outlineLevel="1">
      <c r="A523" s="29">
        <v>98</v>
      </c>
      <c r="B523" s="30">
        <f>IF(5&lt;=DAY(DATE(YEAR(설정_코스수당!$K$2),MONTH(설정_코스수당!$K$2)+1,0)),DATE(YEAR(설정_코스수당!$K$2),MONTH(설정_코스수당!$K$2),5),"")</f>
        <v>46178</v>
      </c>
      <c r="C523" s="31"/>
      <c r="D523" s="29"/>
      <c r="E523" s="29"/>
      <c r="F523" s="32"/>
      <c r="G523" s="29"/>
      <c r="H523" s="29"/>
      <c r="I523" s="29"/>
      <c r="J523" s="33">
        <f>IF($O523="방문완료",MAX(0,IFERROR(VLOOKUP($E523,설정_코스수당!$A$6:$H$10,4,FALSE),0)-IF(OR($P523="",$P523="없음"),0,100000)),0)</f>
        <v>0</v>
      </c>
      <c r="K523" s="33">
        <f t="array" ref="K523">IF($O523="방문완료",IFERROR(INDEX(설정_코스수당!$B$15:$F$64,MATCH($G523,설정_코스수당!$A$15:$A$64,0),MATCH($E523&amp;"수당",설정_코스수당!$B$14:$F$14,0)),0),0)</f>
        <v>0</v>
      </c>
      <c r="L523" s="33">
        <f t="array" ref="L523">IF($O523="방문완료",IF($H523="",0,IFERROR(INDEX(설정_코스수당!$B$15:$F$64,MATCH($H523,설정_코스수당!$A$15:$A$64,0),MATCH($E523&amp;"수당",설정_코스수당!$B$14:$F$14,0)),0)),0)</f>
        <v>0</v>
      </c>
      <c r="M523" s="33">
        <f>IF($O523="방문완료",IFERROR(VLOOKUP($E523,설정_코스수당!$A$6:$H$10,6,FALSE),0),0)</f>
        <v>0</v>
      </c>
      <c r="N523" s="34">
        <f t="shared" si="14"/>
        <v>0</v>
      </c>
      <c r="O523" s="29"/>
      <c r="P523" s="29"/>
      <c r="Q523" s="29"/>
      <c r="R523" s="32"/>
      <c r="S523" s="29"/>
    </row>
    <row r="524" spans="1:27" ht="19.5" hidden="1" customHeight="1" outlineLevel="1">
      <c r="A524" s="23">
        <v>99</v>
      </c>
      <c r="B524" s="24">
        <f>IF(5&lt;=DAY(DATE(YEAR(설정_코스수당!$K$2),MONTH(설정_코스수당!$K$2)+1,0)),DATE(YEAR(설정_코스수당!$K$2),MONTH(설정_코스수당!$K$2),5),"")</f>
        <v>46178</v>
      </c>
      <c r="C524" s="25"/>
      <c r="D524" s="23"/>
      <c r="E524" s="23"/>
      <c r="F524" s="26"/>
      <c r="G524" s="23"/>
      <c r="H524" s="23"/>
      <c r="I524" s="23"/>
      <c r="J524" s="27">
        <f>IF($O524="방문완료",MAX(0,IFERROR(VLOOKUP($E524,설정_코스수당!$A$6:$H$10,4,FALSE),0)-IF(OR($P524="",$P524="없음"),0,100000)),0)</f>
        <v>0</v>
      </c>
      <c r="K524" s="27">
        <f t="array" ref="K524">IF($O524="방문완료",IFERROR(INDEX(설정_코스수당!$B$15:$F$64,MATCH($G524,설정_코스수당!$A$15:$A$64,0),MATCH($E524&amp;"수당",설정_코스수당!$B$14:$F$14,0)),0),0)</f>
        <v>0</v>
      </c>
      <c r="L524" s="27">
        <f t="array" ref="L524">IF($O524="방문완료",IF($H524="",0,IFERROR(INDEX(설정_코스수당!$B$15:$F$64,MATCH($H524,설정_코스수당!$A$15:$A$64,0),MATCH($E524&amp;"수당",설정_코스수당!$B$14:$F$14,0)),0)),0)</f>
        <v>0</v>
      </c>
      <c r="M524" s="27">
        <f>IF($O524="방문완료",IFERROR(VLOOKUP($E524,설정_코스수당!$A$6:$H$10,6,FALSE),0),0)</f>
        <v>0</v>
      </c>
      <c r="N524" s="28">
        <f t="shared" si="14"/>
        <v>0</v>
      </c>
      <c r="O524" s="23"/>
      <c r="P524" s="23"/>
      <c r="Q524" s="23"/>
      <c r="R524" s="26"/>
      <c r="S524" s="23"/>
    </row>
    <row r="525" spans="1:27" ht="19.5" hidden="1" customHeight="1" outlineLevel="1">
      <c r="A525" s="29">
        <v>100</v>
      </c>
      <c r="B525" s="30">
        <f>IF(5&lt;=DAY(DATE(YEAR(설정_코스수당!$K$2),MONTH(설정_코스수당!$K$2)+1,0)),DATE(YEAR(설정_코스수당!$K$2),MONTH(설정_코스수당!$K$2),5),"")</f>
        <v>46178</v>
      </c>
      <c r="C525" s="31"/>
      <c r="D525" s="29"/>
      <c r="E525" s="29"/>
      <c r="F525" s="32"/>
      <c r="G525" s="29"/>
      <c r="H525" s="29"/>
      <c r="I525" s="29"/>
      <c r="J525" s="33">
        <f>IF($O525="방문완료",MAX(0,IFERROR(VLOOKUP($E525,설정_코스수당!$A$6:$H$10,4,FALSE),0)-IF(OR($P525="",$P525="없음"),0,100000)),0)</f>
        <v>0</v>
      </c>
      <c r="K525" s="33">
        <f t="array" ref="K525">IF($O525="방문완료",IFERROR(INDEX(설정_코스수당!$B$15:$F$64,MATCH($G525,설정_코스수당!$A$15:$A$64,0),MATCH($E525&amp;"수당",설정_코스수당!$B$14:$F$14,0)),0),0)</f>
        <v>0</v>
      </c>
      <c r="L525" s="33">
        <f t="array" ref="L525">IF($O525="방문완료",IF($H525="",0,IFERROR(INDEX(설정_코스수당!$B$15:$F$64,MATCH($H525,설정_코스수당!$A$15:$A$64,0),MATCH($E525&amp;"수당",설정_코스수당!$B$14:$F$14,0)),0)),0)</f>
        <v>0</v>
      </c>
      <c r="M525" s="33">
        <f>IF($O525="방문완료",IFERROR(VLOOKUP($E525,설정_코스수당!$A$6:$H$10,6,FALSE),0),0)</f>
        <v>0</v>
      </c>
      <c r="N525" s="34">
        <f t="shared" si="14"/>
        <v>0</v>
      </c>
      <c r="O525" s="29"/>
      <c r="P525" s="29"/>
      <c r="Q525" s="29"/>
      <c r="R525" s="32"/>
      <c r="S525" s="29"/>
    </row>
    <row r="526" spans="1:27" ht="19.5" hidden="1" customHeight="1" outlineLevel="1">
      <c r="A526" s="36" t="s">
        <v>79</v>
      </c>
      <c r="B526" s="37"/>
      <c r="C526" s="38"/>
      <c r="D526" s="37"/>
      <c r="E526" s="37"/>
      <c r="F526" s="37"/>
      <c r="G526" s="37"/>
      <c r="H526" s="37"/>
      <c r="I526" s="37"/>
      <c r="J526" s="37">
        <f>IF($O526="방문완료",MAX(0,IFERROR(VLOOKUP($E526,설정_코스수당!$A$6:$H$10,4,FALSE),0)-IF(OR($P526="",$P526="없음"),0,100000)),0)</f>
        <v>0</v>
      </c>
      <c r="O526" s="18"/>
      <c r="P526" s="14"/>
      <c r="Q526" s="18"/>
      <c r="S526" s="18"/>
    </row>
    <row r="527" spans="1:27" ht="21" customHeight="1" collapsed="1">
      <c r="A527" s="123" t="str">
        <f>IF(6&lt;=DAY(DATE(YEAR(설정_코스수당!$K$2),MONTH(설정_코스수당!$K$2)+1,0)),TEXT(DATE(YEAR(설정_코스수당!$K$2),MONTH(설정_코스수당!$K$2),6),"yyyy-mm-dd")&amp;"  |  예약관리 100슬롯","")</f>
        <v>2026-06-06  |  예약관리 100슬롯</v>
      </c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 spans="1:27" ht="19.5" hidden="1" customHeight="1" outlineLevel="1">
      <c r="A528" s="20" t="s">
        <v>41</v>
      </c>
      <c r="B528" s="20" t="s">
        <v>42</v>
      </c>
      <c r="C528" s="39" t="s">
        <v>43</v>
      </c>
      <c r="D528" s="20" t="s">
        <v>44</v>
      </c>
      <c r="E528" s="20" t="s">
        <v>45</v>
      </c>
      <c r="F528" s="20" t="s">
        <v>46</v>
      </c>
      <c r="G528" s="20" t="s">
        <v>47</v>
      </c>
      <c r="H528" s="20" t="s">
        <v>48</v>
      </c>
      <c r="I528" s="20" t="s">
        <v>49</v>
      </c>
      <c r="J528" s="20" t="s">
        <v>50</v>
      </c>
      <c r="K528" s="20" t="s">
        <v>51</v>
      </c>
      <c r="L528" s="20" t="s">
        <v>52</v>
      </c>
      <c r="M528" s="20" t="s">
        <v>53</v>
      </c>
      <c r="N528" s="20" t="s">
        <v>54</v>
      </c>
      <c r="O528" s="20" t="s">
        <v>55</v>
      </c>
      <c r="P528" s="20" t="s">
        <v>56</v>
      </c>
      <c r="Q528" s="18"/>
      <c r="R528" s="20" t="s">
        <v>58</v>
      </c>
      <c r="S528" s="20" t="s">
        <v>59</v>
      </c>
      <c r="U528" s="122" t="str">
        <f>IF(6&lt;=DAY(DATE(YEAR(설정_코스수당!$K$2),MONTH(설정_코스수당!$K$2)+1,0)),TEXT(DATE(YEAR(설정_코스수당!$K$2),MONTH(설정_코스수당!$K$2),6),"yyyy-mm-dd")&amp;" 일일 상태","")</f>
        <v>2026-06-06 일일 상태</v>
      </c>
      <c r="V528" s="125"/>
      <c r="W528" s="122" t="s">
        <v>3</v>
      </c>
      <c r="X528" s="125"/>
    </row>
    <row r="529" spans="1:24" ht="19.5" hidden="1" customHeight="1" outlineLevel="1">
      <c r="A529" s="23">
        <v>1</v>
      </c>
      <c r="B529" s="24">
        <f>IF(6&lt;=DAY(DATE(YEAR(설정_코스수당!$K$2),MONTH(설정_코스수당!$K$2)+1,0)),DATE(YEAR(설정_코스수당!$K$2),MONTH(설정_코스수당!$K$2),6),"")</f>
        <v>46179</v>
      </c>
      <c r="C529" s="25"/>
      <c r="D529" s="23"/>
      <c r="E529" s="23"/>
      <c r="F529" s="26"/>
      <c r="G529" s="23"/>
      <c r="H529" s="23"/>
      <c r="I529" s="23"/>
      <c r="J529" s="27">
        <f>IF($O529="방문완료",MAX(0,IFERROR(VLOOKUP($E529,설정_코스수당!$A$6:$H$10,4,FALSE),0)-IF(OR($P529="",$P529="없음"),0,100000)),0)</f>
        <v>0</v>
      </c>
      <c r="K529" s="27">
        <f t="array" ref="K529">IF($O529="방문완료",IFERROR(INDEX(설정_코스수당!$B$15:$F$64,MATCH($G529,설정_코스수당!$A$15:$A$64,0),MATCH($E529&amp;"수당",설정_코스수당!$B$14:$F$14,0)),0),0)</f>
        <v>0</v>
      </c>
      <c r="L529" s="27">
        <f t="array" ref="L529">IF($O529="방문완료",IF($H529="",0,IFERROR(INDEX(설정_코스수당!$B$15:$F$64,MATCH($H529,설정_코스수당!$A$15:$A$64,0),MATCH($E529&amp;"수당",설정_코스수당!$B$14:$F$14,0)),0)),0)</f>
        <v>0</v>
      </c>
      <c r="M529" s="27">
        <f>IF($O529="방문완료",IFERROR(VLOOKUP($E529,설정_코스수당!$A$6:$H$10,6,FALSE),0),0)</f>
        <v>0</v>
      </c>
      <c r="N529" s="28">
        <f t="shared" ref="N529:N560" si="15">IF($O529="방문완료",1,0)</f>
        <v>0</v>
      </c>
      <c r="O529" s="23"/>
      <c r="P529" s="23"/>
      <c r="Q529" s="23"/>
      <c r="R529" s="26"/>
      <c r="S529" s="23"/>
      <c r="U529" s="104" t="s">
        <v>63</v>
      </c>
      <c r="V529" s="105">
        <f>IF(6&lt;=DAY(DATE(YEAR(설정_코스수당!$K$2),MONTH(설정_코스수당!$K$2)+1,0)),COUNTIFS($B:$B,DATE(YEAR(설정_코스수당!$K$2),MONTH(설정_코스수당!$K$2),6),$O:$O,"&lt;&gt;"),"")</f>
        <v>0</v>
      </c>
      <c r="W529" s="104" t="s">
        <v>6</v>
      </c>
      <c r="X529" s="105">
        <f>IF(6&lt;=DAY(DATE(YEAR(설정_코스수당!$K$2),MONTH(설정_코스수당!$K$2)+1,0)),COUNTIFS($B:$B,DATE(YEAR(설정_코스수당!$K$2),MONTH(설정_코스수당!$K$2),6),$E:$E,"A",$O:$O,"방문완료"),"")</f>
        <v>0</v>
      </c>
    </row>
    <row r="530" spans="1:24" ht="19.5" hidden="1" customHeight="1" outlineLevel="1">
      <c r="A530" s="29">
        <v>2</v>
      </c>
      <c r="B530" s="30">
        <f>IF(6&lt;=DAY(DATE(YEAR(설정_코스수당!$K$2),MONTH(설정_코스수당!$K$2)+1,0)),DATE(YEAR(설정_코스수당!$K$2),MONTH(설정_코스수당!$K$2),6),"")</f>
        <v>46179</v>
      </c>
      <c r="C530" s="31"/>
      <c r="D530" s="29"/>
      <c r="E530" s="29"/>
      <c r="F530" s="32"/>
      <c r="G530" s="29"/>
      <c r="H530" s="29"/>
      <c r="I530" s="29"/>
      <c r="J530" s="33">
        <f>IF($O530="방문완료",MAX(0,IFERROR(VLOOKUP($E530,설정_코스수당!$A$6:$H$10,4,FALSE),0)-IF(OR($P530="",$P530="없음"),0,100000)),0)</f>
        <v>0</v>
      </c>
      <c r="K530" s="33">
        <f t="array" ref="K530">IF($O530="방문완료",IFERROR(INDEX(설정_코스수당!$B$15:$F$64,MATCH($G530,설정_코스수당!$A$15:$A$64,0),MATCH($E530&amp;"수당",설정_코스수당!$B$14:$F$14,0)),0),0)</f>
        <v>0</v>
      </c>
      <c r="L530" s="33">
        <f t="array" ref="L530">IF($O530="방문완료",IF($H530="",0,IFERROR(INDEX(설정_코스수당!$B$15:$F$64,MATCH($H530,설정_코스수당!$A$15:$A$64,0),MATCH($E530&amp;"수당",설정_코스수당!$B$14:$F$14,0)),0)),0)</f>
        <v>0</v>
      </c>
      <c r="M530" s="33">
        <f>IF($O530="방문완료",IFERROR(VLOOKUP($E530,설정_코스수당!$A$6:$H$10,6,FALSE),0),0)</f>
        <v>0</v>
      </c>
      <c r="N530" s="34">
        <f t="shared" si="15"/>
        <v>0</v>
      </c>
      <c r="O530" s="29"/>
      <c r="P530" s="29"/>
      <c r="Q530" s="29"/>
      <c r="R530" s="32"/>
      <c r="S530" s="29"/>
      <c r="U530" s="104" t="s">
        <v>62</v>
      </c>
      <c r="V530" s="105">
        <f>IF(6&lt;=DAY(DATE(YEAR(설정_코스수당!$K$2),MONTH(설정_코스수당!$K$2)+1,0)),COUNTIFS($B:$B,DATE(YEAR(설정_코스수당!$K$2),MONTH(설정_코스수당!$K$2),6),$O:$O,"방문완료"),"")</f>
        <v>0</v>
      </c>
      <c r="W530" s="104" t="s">
        <v>9</v>
      </c>
      <c r="X530" s="105">
        <f>IF(6&lt;=DAY(DATE(YEAR(설정_코스수당!$K$2),MONTH(설정_코스수당!$K$2)+1,0)),COUNTIFS($B:$B,DATE(YEAR(설정_코스수당!$K$2),MONTH(설정_코스수당!$K$2),6),$E:$E,"B",$O:$O,"방문완료"),"")</f>
        <v>0</v>
      </c>
    </row>
    <row r="531" spans="1:24" ht="19.5" hidden="1" customHeight="1" outlineLevel="1">
      <c r="A531" s="23">
        <v>3</v>
      </c>
      <c r="B531" s="24">
        <f>IF(6&lt;=DAY(DATE(YEAR(설정_코스수당!$K$2),MONTH(설정_코스수당!$K$2)+1,0)),DATE(YEAR(설정_코스수당!$K$2),MONTH(설정_코스수당!$K$2),6),"")</f>
        <v>46179</v>
      </c>
      <c r="C531" s="25"/>
      <c r="D531" s="23"/>
      <c r="E531" s="23"/>
      <c r="F531" s="26"/>
      <c r="G531" s="23"/>
      <c r="H531" s="23"/>
      <c r="I531" s="23"/>
      <c r="J531" s="27">
        <f>IF($O531="방문완료",MAX(0,IFERROR(VLOOKUP($E531,설정_코스수당!$A$6:$H$10,4,FALSE),0)-IF(OR($P531="",$P531="없음"),0,100000)),0)</f>
        <v>0</v>
      </c>
      <c r="K531" s="27">
        <f t="array" ref="K531">IF($O531="방문완료",IFERROR(INDEX(설정_코스수당!$B$15:$F$64,MATCH($G531,설정_코스수당!$A$15:$A$64,0),MATCH($E531&amp;"수당",설정_코스수당!$B$14:$F$14,0)),0),0)</f>
        <v>0</v>
      </c>
      <c r="L531" s="27">
        <f t="array" ref="L531">IF($O531="방문완료",IF($H531="",0,IFERROR(INDEX(설정_코스수당!$B$15:$F$64,MATCH($H531,설정_코스수당!$A$15:$A$64,0),MATCH($E531&amp;"수당",설정_코스수당!$B$14:$F$14,0)),0)),0)</f>
        <v>0</v>
      </c>
      <c r="M531" s="27">
        <f>IF($O531="방문완료",IFERROR(VLOOKUP($E531,설정_코스수당!$A$6:$H$10,6,FALSE),0),0)</f>
        <v>0</v>
      </c>
      <c r="N531" s="28">
        <f t="shared" si="15"/>
        <v>0</v>
      </c>
      <c r="O531" s="23"/>
      <c r="P531" s="23"/>
      <c r="Q531" s="23"/>
      <c r="R531" s="26"/>
      <c r="S531" s="23"/>
      <c r="U531" s="104" t="s">
        <v>68</v>
      </c>
      <c r="V531" s="105" t="str">
        <f>IF(6&lt;=DAY(DATE(YEAR(설정_코스수당!$K$2),MONTH(설정_코스수당!$K$2)+1,0)),COUNTIFS($B:$B,DATE(YEAR(설정_코스수당!$K$2),MONTH(설정_코스수당!$K$2),6),$O:$O,"노쇼")&amp;"/"&amp;COUNTIFS($B:$B,DATE(YEAR(설정_코스수당!$K$2),MONTH(설정_코스수당!$K$2),6),$O:$O,"취소"),"")</f>
        <v>0/0</v>
      </c>
      <c r="W531" s="104" t="s">
        <v>12</v>
      </c>
      <c r="X531" s="105">
        <f>IF(6&lt;=DAY(DATE(YEAR(설정_코스수당!$K$2),MONTH(설정_코스수당!$K$2)+1,0)),COUNTIFS($B:$B,DATE(YEAR(설정_코스수당!$K$2),MONTH(설정_코스수당!$K$2),6),$E:$E,"C",$O:$O,"방문완료"),"")</f>
        <v>0</v>
      </c>
    </row>
    <row r="532" spans="1:24" ht="19.5" hidden="1" customHeight="1" outlineLevel="1">
      <c r="A532" s="29">
        <v>4</v>
      </c>
      <c r="B532" s="30">
        <f>IF(6&lt;=DAY(DATE(YEAR(설정_코스수당!$K$2),MONTH(설정_코스수당!$K$2)+1,0)),DATE(YEAR(설정_코스수당!$K$2),MONTH(설정_코스수당!$K$2),6),"")</f>
        <v>46179</v>
      </c>
      <c r="C532" s="31"/>
      <c r="D532" s="29"/>
      <c r="E532" s="29"/>
      <c r="F532" s="32"/>
      <c r="G532" s="29"/>
      <c r="H532" s="29"/>
      <c r="I532" s="29"/>
      <c r="J532" s="33">
        <f>IF($O532="방문완료",MAX(0,IFERROR(VLOOKUP($E532,설정_코스수당!$A$6:$H$10,4,FALSE),0)-IF(OR($P532="",$P532="없음"),0,100000)),0)</f>
        <v>0</v>
      </c>
      <c r="K532" s="33">
        <f t="array" ref="K532">IF($O532="방문완료",IFERROR(INDEX(설정_코스수당!$B$15:$F$64,MATCH($G532,설정_코스수당!$A$15:$A$64,0),MATCH($E532&amp;"수당",설정_코스수당!$B$14:$F$14,0)),0),0)</f>
        <v>0</v>
      </c>
      <c r="L532" s="33">
        <f t="array" ref="L532">IF($O532="방문완료",IF($H532="",0,IFERROR(INDEX(설정_코스수당!$B$15:$F$64,MATCH($H532,설정_코스수당!$A$15:$A$64,0),MATCH($E532&amp;"수당",설정_코스수당!$B$14:$F$14,0)),0)),0)</f>
        <v>0</v>
      </c>
      <c r="M532" s="33">
        <f>IF($O532="방문완료",IFERROR(VLOOKUP($E532,설정_코스수당!$A$6:$H$10,6,FALSE),0),0)</f>
        <v>0</v>
      </c>
      <c r="N532" s="34">
        <f t="shared" si="15"/>
        <v>0</v>
      </c>
      <c r="O532" s="29"/>
      <c r="P532" s="29"/>
      <c r="Q532" s="29"/>
      <c r="R532" s="32"/>
      <c r="S532" s="29"/>
      <c r="U532" s="104" t="s">
        <v>69</v>
      </c>
      <c r="V532" s="106">
        <f>IF(6&lt;=DAY(DATE(YEAR(설정_코스수당!$K$2),MONTH(설정_코스수당!$K$2)+1,0)),SUMIFS($J:$J,$B:$B,DATE(YEAR(설정_코스수당!$K$2),MONTH(설정_코스수당!$K$2),6),$O:$O,"방문완료"),"")</f>
        <v>0</v>
      </c>
      <c r="W532" s="104" t="s">
        <v>15</v>
      </c>
      <c r="X532" s="105">
        <f>IF(6&lt;=DAY(DATE(YEAR(설정_코스수당!$K$2),MONTH(설정_코스수당!$K$2)+1,0)),COUNTIFS($B:$B,DATE(YEAR(설정_코스수당!$K$2),MONTH(설정_코스수당!$K$2),6),$E:$E,"D",$O:$O,"방문완료"),"")</f>
        <v>0</v>
      </c>
    </row>
    <row r="533" spans="1:24" ht="19.5" hidden="1" customHeight="1" outlineLevel="1">
      <c r="A533" s="23">
        <v>5</v>
      </c>
      <c r="B533" s="24">
        <f>IF(6&lt;=DAY(DATE(YEAR(설정_코스수당!$K$2),MONTH(설정_코스수당!$K$2)+1,0)),DATE(YEAR(설정_코스수당!$K$2),MONTH(설정_코스수당!$K$2),6),"")</f>
        <v>46179</v>
      </c>
      <c r="C533" s="25"/>
      <c r="D533" s="23"/>
      <c r="E533" s="23"/>
      <c r="F533" s="26"/>
      <c r="G533" s="23"/>
      <c r="H533" s="23"/>
      <c r="I533" s="23"/>
      <c r="J533" s="27">
        <f>IF($O533="방문완료",MAX(0,IFERROR(VLOOKUP($E533,설정_코스수당!$A$6:$H$10,4,FALSE),0)-IF(OR($P533="",$P533="없음"),0,100000)),0)</f>
        <v>0</v>
      </c>
      <c r="K533" s="27">
        <f t="array" ref="K533">IF($O533="방문완료",IFERROR(INDEX(설정_코스수당!$B$15:$F$64,MATCH($G533,설정_코스수당!$A$15:$A$64,0),MATCH($E533&amp;"수당",설정_코스수당!$B$14:$F$14,0)),0),0)</f>
        <v>0</v>
      </c>
      <c r="L533" s="27">
        <f t="array" ref="L533">IF($O533="방문완료",IF($H533="",0,IFERROR(INDEX(설정_코스수당!$B$15:$F$64,MATCH($H533,설정_코스수당!$A$15:$A$64,0),MATCH($E533&amp;"수당",설정_코스수당!$B$14:$F$14,0)),0)),0)</f>
        <v>0</v>
      </c>
      <c r="M533" s="27">
        <f>IF($O533="방문완료",IFERROR(VLOOKUP($E533,설정_코스수당!$A$6:$H$10,6,FALSE),0),0)</f>
        <v>0</v>
      </c>
      <c r="N533" s="28">
        <f t="shared" si="15"/>
        <v>0</v>
      </c>
      <c r="O533" s="23"/>
      <c r="P533" s="23"/>
      <c r="Q533" s="23"/>
      <c r="R533" s="26"/>
      <c r="S533" s="23"/>
      <c r="U533" s="104" t="s">
        <v>70</v>
      </c>
      <c r="V533" s="106">
        <f>IF(6&lt;=DAY(DATE(YEAR(설정_코스수당!$K$2),MONTH(설정_코스수당!$K$2)+1,0)),SUMIFS($K:$K,$B:$B,DATE(YEAR(설정_코스수당!$K$2),MONTH(설정_코스수당!$K$2),6),$O:$O,"방문완료")+SUMIFS($L:$L,$B:$B,DATE(YEAR(설정_코스수당!$K$2),MONTH(설정_코스수당!$K$2),6),$O:$O,"방문완료"),"")</f>
        <v>0</v>
      </c>
      <c r="W533" s="104" t="s">
        <v>18</v>
      </c>
      <c r="X533" s="105">
        <f>IF(6&lt;=DAY(DATE(YEAR(설정_코스수당!$K$2),MONTH(설정_코스수당!$K$2)+1,0)),COUNTIFS($B:$B,DATE(YEAR(설정_코스수당!$K$2),MONTH(설정_코스수당!$K$2),6),$E:$E,"E",$O:$O,"방문완료"),"")</f>
        <v>0</v>
      </c>
    </row>
    <row r="534" spans="1:24" ht="19.5" hidden="1" customHeight="1" outlineLevel="1">
      <c r="A534" s="29">
        <v>6</v>
      </c>
      <c r="B534" s="30">
        <f>IF(6&lt;=DAY(DATE(YEAR(설정_코스수당!$K$2),MONTH(설정_코스수당!$K$2)+1,0)),DATE(YEAR(설정_코스수당!$K$2),MONTH(설정_코스수당!$K$2),6),"")</f>
        <v>46179</v>
      </c>
      <c r="C534" s="31"/>
      <c r="D534" s="29"/>
      <c r="E534" s="29"/>
      <c r="F534" s="32"/>
      <c r="G534" s="29"/>
      <c r="H534" s="29"/>
      <c r="I534" s="29"/>
      <c r="J534" s="33">
        <f>IF($O534="방문완료",MAX(0,IFERROR(VLOOKUP($E534,설정_코스수당!$A$6:$H$10,4,FALSE),0)-IF(OR($P534="",$P534="없음"),0,100000)),0)</f>
        <v>0</v>
      </c>
      <c r="K534" s="33">
        <f t="array" ref="K534">IF($O534="방문완료",IFERROR(INDEX(설정_코스수당!$B$15:$F$64,MATCH($G534,설정_코스수당!$A$15:$A$64,0),MATCH($E534&amp;"수당",설정_코스수당!$B$14:$F$14,0)),0),0)</f>
        <v>0</v>
      </c>
      <c r="L534" s="33">
        <f t="array" ref="L534">IF($O534="방문완료",IF($H534="",0,IFERROR(INDEX(설정_코스수당!$B$15:$F$64,MATCH($H534,설정_코스수당!$A$15:$A$64,0),MATCH($E534&amp;"수당",설정_코스수당!$B$14:$F$14,0)),0)),0)</f>
        <v>0</v>
      </c>
      <c r="M534" s="33">
        <f>IF($O534="방문완료",IFERROR(VLOOKUP($E534,설정_코스수당!$A$6:$H$10,6,FALSE),0),0)</f>
        <v>0</v>
      </c>
      <c r="N534" s="34">
        <f t="shared" si="15"/>
        <v>0</v>
      </c>
      <c r="O534" s="29"/>
      <c r="P534" s="29"/>
      <c r="Q534" s="29"/>
      <c r="R534" s="32"/>
      <c r="S534" s="29"/>
      <c r="U534" s="104" t="s">
        <v>53</v>
      </c>
      <c r="V534" s="106">
        <f>IF(6&lt;=DAY(DATE(YEAR(설정_코스수당!$K$2),MONTH(설정_코스수당!$K$2)+1,0)),SUMIFS($M:$M,$B:$B,DATE(YEAR(설정_코스수당!$K$2),MONTH(설정_코스수당!$K$2),6),$O:$O,"방문완료"),"")</f>
        <v>0</v>
      </c>
      <c r="W534" s="104" t="s">
        <v>71</v>
      </c>
      <c r="X534" s="107">
        <f>IF(6&lt;=DAY(DATE(YEAR(설정_코스수당!$K$2),MONTH(설정_코스수당!$K$2)+1,0)),COUNTIFS($B:$B,DATE(YEAR(설정_코스수당!$K$2),MONTH(설정_코스수당!$K$2),6),$O:$O,"방문완료",$P:$P,"&lt;&gt;",$P:$P,"&lt;&gt;없음"),"")</f>
        <v>0</v>
      </c>
    </row>
    <row r="535" spans="1:24" ht="19.5" hidden="1" customHeight="1" outlineLevel="1">
      <c r="A535" s="23">
        <v>7</v>
      </c>
      <c r="B535" s="24">
        <f>IF(6&lt;=DAY(DATE(YEAR(설정_코스수당!$K$2),MONTH(설정_코스수당!$K$2)+1,0)),DATE(YEAR(설정_코스수당!$K$2),MONTH(설정_코스수당!$K$2),6),"")</f>
        <v>46179</v>
      </c>
      <c r="C535" s="25"/>
      <c r="D535" s="23"/>
      <c r="E535" s="23"/>
      <c r="F535" s="26"/>
      <c r="G535" s="23"/>
      <c r="H535" s="23"/>
      <c r="I535" s="23"/>
      <c r="J535" s="27">
        <f>IF($O535="방문완료",MAX(0,IFERROR(VLOOKUP($E535,설정_코스수당!$A$6:$H$10,4,FALSE),0)-IF(OR($P535="",$P535="없음"),0,100000)),0)</f>
        <v>0</v>
      </c>
      <c r="K535" s="27">
        <f t="array" ref="K535">IF($O535="방문완료",IFERROR(INDEX(설정_코스수당!$B$15:$F$64,MATCH($G535,설정_코스수당!$A$15:$A$64,0),MATCH($E535&amp;"수당",설정_코스수당!$B$14:$F$14,0)),0),0)</f>
        <v>0</v>
      </c>
      <c r="L535" s="27">
        <f t="array" ref="L535">IF($O535="방문완료",IF($H535="",0,IFERROR(INDEX(설정_코스수당!$B$15:$F$64,MATCH($H535,설정_코스수당!$A$15:$A$64,0),MATCH($E535&amp;"수당",설정_코스수당!$B$14:$F$14,0)),0)),0)</f>
        <v>0</v>
      </c>
      <c r="M535" s="27">
        <f>IF($O535="방문완료",IFERROR(VLOOKUP($E535,설정_코스수당!$A$6:$H$10,6,FALSE),0),0)</f>
        <v>0</v>
      </c>
      <c r="N535" s="28">
        <f t="shared" si="15"/>
        <v>0</v>
      </c>
      <c r="O535" s="23"/>
      <c r="P535" s="23"/>
      <c r="Q535" s="23"/>
      <c r="R535" s="26"/>
      <c r="S535" s="23"/>
      <c r="U535" s="104" t="s">
        <v>72</v>
      </c>
      <c r="V535" s="108">
        <f>IF(6&lt;=DAY(DATE(YEAR(설정_코스수당!$K$2),MONTH(설정_코스수당!$K$2)+1,0)),COUNTIFS($B:$B,DATE(YEAR(설정_코스수당!$K$2),MONTH(설정_코스수당!$K$2),6),$O:$O,"방문완료",$P:$P,"&lt;&gt;",$P:$P,"&lt;&gt;없음")*100000,"")</f>
        <v>0</v>
      </c>
      <c r="W535" s="104" t="s">
        <v>73</v>
      </c>
      <c r="X535" s="105">
        <f>IF(6&lt;=DAY(DATE(YEAR(설정_코스수당!$K$2),MONTH(설정_코스수당!$K$2)+1,0)),COUNTIFS($B:$B,DATE(YEAR(설정_코스수당!$K$2),MONTH(설정_코스수당!$K$2),6),$G:$G,"&lt;&gt;",$O:$O,"방문완료")+COUNTIFS($B:$B,DATE(YEAR(설정_코스수당!$K$2),MONTH(설정_코스수당!$K$2),6),$H:$H,"&lt;&gt;",$O:$O,"방문완료"),"")</f>
        <v>0</v>
      </c>
    </row>
    <row r="536" spans="1:24" ht="19.5" hidden="1" customHeight="1" outlineLevel="1">
      <c r="A536" s="29">
        <v>8</v>
      </c>
      <c r="B536" s="30">
        <f>IF(6&lt;=DAY(DATE(YEAR(설정_코스수당!$K$2),MONTH(설정_코스수당!$K$2)+1,0)),DATE(YEAR(설정_코스수당!$K$2),MONTH(설정_코스수당!$K$2),6),"")</f>
        <v>46179</v>
      </c>
      <c r="C536" s="31"/>
      <c r="D536" s="29"/>
      <c r="E536" s="29"/>
      <c r="F536" s="32"/>
      <c r="G536" s="29"/>
      <c r="H536" s="29"/>
      <c r="I536" s="29"/>
      <c r="J536" s="33">
        <f>IF($O536="방문완료",MAX(0,IFERROR(VLOOKUP($E536,설정_코스수당!$A$6:$H$10,4,FALSE),0)-IF(OR($P536="",$P536="없음"),0,100000)),0)</f>
        <v>0</v>
      </c>
      <c r="K536" s="33">
        <f t="array" ref="K536">IF($O536="방문완료",IFERROR(INDEX(설정_코스수당!$B$15:$F$64,MATCH($G536,설정_코스수당!$A$15:$A$64,0),MATCH($E536&amp;"수당",설정_코스수당!$B$14:$F$14,0)),0),0)</f>
        <v>0</v>
      </c>
      <c r="L536" s="33">
        <f t="array" ref="L536">IF($O536="방문완료",IF($H536="",0,IFERROR(INDEX(설정_코스수당!$B$15:$F$64,MATCH($H536,설정_코스수당!$A$15:$A$64,0),MATCH($E536&amp;"수당",설정_코스수당!$B$14:$F$14,0)),0)),0)</f>
        <v>0</v>
      </c>
      <c r="M536" s="33">
        <f>IF($O536="방문완료",IFERROR(VLOOKUP($E536,설정_코스수당!$A$6:$H$10,6,FALSE),0),0)</f>
        <v>0</v>
      </c>
      <c r="N536" s="34">
        <f t="shared" si="15"/>
        <v>0</v>
      </c>
      <c r="O536" s="29"/>
      <c r="P536" s="29"/>
      <c r="Q536" s="29"/>
      <c r="R536" s="32"/>
      <c r="S536" s="29"/>
      <c r="U536" s="104" t="s">
        <v>74</v>
      </c>
      <c r="V536" s="108">
        <f>IF(6&lt;=DAY(DATE(YEAR(설정_코스수당!$K$2),MONTH(설정_코스수당!$K$2)+1,0)),SUM($U$540:$U$547),"")</f>
        <v>0</v>
      </c>
      <c r="W536" s="122" t="str">
        <f>IF(6&lt;=DAY(DATE(YEAR(설정_코스수당!$K$2),MONTH(설정_코스수당!$K$2)+1,0)),"계 : "&amp;TEXT(V532-V536,"#,##0")&amp;" 동","")</f>
        <v>계 : 0 동</v>
      </c>
      <c r="X536" s="122"/>
    </row>
    <row r="537" spans="1:24" ht="19.5" hidden="1" customHeight="1" outlineLevel="1">
      <c r="A537" s="23">
        <v>9</v>
      </c>
      <c r="B537" s="24">
        <f>IF(6&lt;=DAY(DATE(YEAR(설정_코스수당!$K$2),MONTH(설정_코스수당!$K$2)+1,0)),DATE(YEAR(설정_코스수당!$K$2),MONTH(설정_코스수당!$K$2),6),"")</f>
        <v>46179</v>
      </c>
      <c r="C537" s="25"/>
      <c r="D537" s="23"/>
      <c r="E537" s="23"/>
      <c r="F537" s="26"/>
      <c r="G537" s="23"/>
      <c r="H537" s="23"/>
      <c r="I537" s="23"/>
      <c r="J537" s="27">
        <f>IF($O537="방문완료",MAX(0,IFERROR(VLOOKUP($E537,설정_코스수당!$A$6:$H$10,4,FALSE),0)-IF(OR($P537="",$P537="없음"),0,100000)),0)</f>
        <v>0</v>
      </c>
      <c r="K537" s="27">
        <f t="array" ref="K537">IF($O537="방문완료",IFERROR(INDEX(설정_코스수당!$B$15:$F$64,MATCH($G537,설정_코스수당!$A$15:$A$64,0),MATCH($E537&amp;"수당",설정_코스수당!$B$14:$F$14,0)),0),0)</f>
        <v>0</v>
      </c>
      <c r="L537" s="27">
        <f t="array" ref="L537">IF($O537="방문완료",IF($H537="",0,IFERROR(INDEX(설정_코스수당!$B$15:$F$64,MATCH($H537,설정_코스수당!$A$15:$A$64,0),MATCH($E537&amp;"수당",설정_코스수당!$B$14:$F$14,0)),0)),0)</f>
        <v>0</v>
      </c>
      <c r="M537" s="27">
        <f>IF($O537="방문완료",IFERROR(VLOOKUP($E537,설정_코스수당!$A$6:$H$10,6,FALSE),0),0)</f>
        <v>0</v>
      </c>
      <c r="N537" s="28">
        <f t="shared" si="15"/>
        <v>0</v>
      </c>
      <c r="O537" s="23"/>
      <c r="P537" s="23"/>
      <c r="Q537" s="23"/>
      <c r="R537" s="26"/>
      <c r="S537" s="23"/>
    </row>
    <row r="538" spans="1:24" ht="19.5" hidden="1" customHeight="1" outlineLevel="1">
      <c r="A538" s="29">
        <v>10</v>
      </c>
      <c r="B538" s="30">
        <f>IF(6&lt;=DAY(DATE(YEAR(설정_코스수당!$K$2),MONTH(설정_코스수당!$K$2)+1,0)),DATE(YEAR(설정_코스수당!$K$2),MONTH(설정_코스수당!$K$2),6),"")</f>
        <v>46179</v>
      </c>
      <c r="C538" s="31"/>
      <c r="D538" s="29"/>
      <c r="E538" s="29"/>
      <c r="F538" s="32"/>
      <c r="G538" s="29"/>
      <c r="H538" s="29"/>
      <c r="I538" s="29"/>
      <c r="J538" s="33">
        <f>IF($O538="방문완료",MAX(0,IFERROR(VLOOKUP($E538,설정_코스수당!$A$6:$H$10,4,FALSE),0)-IF(OR($P538="",$P538="없음"),0,100000)),0)</f>
        <v>0</v>
      </c>
      <c r="K538" s="33">
        <f t="array" ref="K538">IF($O538="방문완료",IFERROR(INDEX(설정_코스수당!$B$15:$F$64,MATCH($G538,설정_코스수당!$A$15:$A$64,0),MATCH($E538&amp;"수당",설정_코스수당!$B$14:$F$14,0)),0),0)</f>
        <v>0</v>
      </c>
      <c r="L538" s="33">
        <f t="array" ref="L538">IF($O538="방문완료",IF($H538="",0,IFERROR(INDEX(설정_코스수당!$B$15:$F$64,MATCH($H538,설정_코스수당!$A$15:$A$64,0),MATCH($E538&amp;"수당",설정_코스수당!$B$14:$F$14,0)),0)),0)</f>
        <v>0</v>
      </c>
      <c r="M538" s="33">
        <f>IF($O538="방문완료",IFERROR(VLOOKUP($E538,설정_코스수당!$A$6:$H$10,6,FALSE),0),0)</f>
        <v>0</v>
      </c>
      <c r="N538" s="34">
        <f t="shared" si="15"/>
        <v>0</v>
      </c>
      <c r="O538" s="29"/>
      <c r="P538" s="29"/>
      <c r="Q538" s="29"/>
      <c r="R538" s="32"/>
      <c r="S538" s="29"/>
      <c r="U538" s="120" t="s">
        <v>75</v>
      </c>
      <c r="V538" s="121"/>
      <c r="W538" s="121"/>
      <c r="X538" s="121"/>
    </row>
    <row r="539" spans="1:24" ht="19.5" hidden="1" customHeight="1" outlineLevel="1">
      <c r="A539" s="23">
        <v>11</v>
      </c>
      <c r="B539" s="24">
        <f>IF(6&lt;=DAY(DATE(YEAR(설정_코스수당!$K$2),MONTH(설정_코스수당!$K$2)+1,0)),DATE(YEAR(설정_코스수당!$K$2),MONTH(설정_코스수당!$K$2),6),"")</f>
        <v>46179</v>
      </c>
      <c r="C539" s="25"/>
      <c r="D539" s="23"/>
      <c r="E539" s="23"/>
      <c r="F539" s="26"/>
      <c r="G539" s="23"/>
      <c r="H539" s="23"/>
      <c r="I539" s="23"/>
      <c r="J539" s="27">
        <f>IF($O539="방문완료",MAX(0,IFERROR(VLOOKUP($E539,설정_코스수당!$A$6:$H$10,4,FALSE),0)-IF(OR($P539="",$P539="없음"),0,100000)),0)</f>
        <v>0</v>
      </c>
      <c r="K539" s="27">
        <f t="array" ref="K539">IF($O539="방문완료",IFERROR(INDEX(설정_코스수당!$B$15:$F$64,MATCH($G539,설정_코스수당!$A$15:$A$64,0),MATCH($E539&amp;"수당",설정_코스수당!$B$14:$F$14,0)),0),0)</f>
        <v>0</v>
      </c>
      <c r="L539" s="27">
        <f t="array" ref="L539">IF($O539="방문완료",IF($H539="",0,IFERROR(INDEX(설정_코스수당!$B$15:$F$64,MATCH($H539,설정_코스수당!$A$15:$A$64,0),MATCH($E539&amp;"수당",설정_코스수당!$B$14:$F$14,0)),0)),0)</f>
        <v>0</v>
      </c>
      <c r="M539" s="27">
        <f>IF($O539="방문완료",IFERROR(VLOOKUP($E539,설정_코스수당!$A$6:$H$10,6,FALSE),0),0)</f>
        <v>0</v>
      </c>
      <c r="N539" s="28">
        <f t="shared" si="15"/>
        <v>0</v>
      </c>
      <c r="O539" s="23"/>
      <c r="P539" s="23"/>
      <c r="Q539" s="23"/>
      <c r="R539" s="26"/>
      <c r="S539" s="23"/>
      <c r="U539" s="109" t="s">
        <v>76</v>
      </c>
      <c r="V539" s="109" t="s">
        <v>77</v>
      </c>
      <c r="W539" s="109" t="s">
        <v>78</v>
      </c>
      <c r="X539" s="109" t="s">
        <v>58</v>
      </c>
    </row>
    <row r="540" spans="1:24" ht="19.5" hidden="1" customHeight="1" outlineLevel="1">
      <c r="A540" s="29">
        <v>12</v>
      </c>
      <c r="B540" s="30">
        <f>IF(6&lt;=DAY(DATE(YEAR(설정_코스수당!$K$2),MONTH(설정_코스수당!$K$2)+1,0)),DATE(YEAR(설정_코스수당!$K$2),MONTH(설정_코스수당!$K$2),6),"")</f>
        <v>46179</v>
      </c>
      <c r="C540" s="31"/>
      <c r="D540" s="29"/>
      <c r="E540" s="29"/>
      <c r="F540" s="32"/>
      <c r="G540" s="29"/>
      <c r="H540" s="29"/>
      <c r="I540" s="29"/>
      <c r="J540" s="33">
        <f>IF($O540="방문완료",MAX(0,IFERROR(VLOOKUP($E540,설정_코스수당!$A$6:$H$10,4,FALSE),0)-IF(OR($P540="",$P540="없음"),0,100000)),0)</f>
        <v>0</v>
      </c>
      <c r="K540" s="33">
        <f t="array" ref="K540">IF($O540="방문완료",IFERROR(INDEX(설정_코스수당!$B$15:$F$64,MATCH($G540,설정_코스수당!$A$15:$A$64,0),MATCH($E540&amp;"수당",설정_코스수당!$B$14:$F$14,0)),0),0)</f>
        <v>0</v>
      </c>
      <c r="L540" s="33">
        <f t="array" ref="L540">IF($O540="방문완료",IF($H540="",0,IFERROR(INDEX(설정_코스수당!$B$15:$F$64,MATCH($H540,설정_코스수당!$A$15:$A$64,0),MATCH($E540&amp;"수당",설정_코스수당!$B$14:$F$14,0)),0)),0)</f>
        <v>0</v>
      </c>
      <c r="M540" s="33">
        <f>IF($O540="방문완료",IFERROR(VLOOKUP($E540,설정_코스수당!$A$6:$H$10,6,FALSE),0),0)</f>
        <v>0</v>
      </c>
      <c r="N540" s="34">
        <f t="shared" si="15"/>
        <v>0</v>
      </c>
      <c r="O540" s="29"/>
      <c r="P540" s="29"/>
      <c r="Q540" s="29"/>
      <c r="R540" s="32"/>
      <c r="S540" s="29"/>
      <c r="U540" s="113"/>
      <c r="V540" s="111"/>
      <c r="W540" s="112"/>
      <c r="X540" s="111"/>
    </row>
    <row r="541" spans="1:24" ht="19.5" hidden="1" customHeight="1" outlineLevel="1">
      <c r="A541" s="23">
        <v>13</v>
      </c>
      <c r="B541" s="24">
        <f>IF(6&lt;=DAY(DATE(YEAR(설정_코스수당!$K$2),MONTH(설정_코스수당!$K$2)+1,0)),DATE(YEAR(설정_코스수당!$K$2),MONTH(설정_코스수당!$K$2),6),"")</f>
        <v>46179</v>
      </c>
      <c r="C541" s="25"/>
      <c r="D541" s="23"/>
      <c r="E541" s="23"/>
      <c r="F541" s="26"/>
      <c r="G541" s="23"/>
      <c r="H541" s="23"/>
      <c r="I541" s="23"/>
      <c r="J541" s="27">
        <f>IF($O541="방문완료",MAX(0,IFERROR(VLOOKUP($E541,설정_코스수당!$A$6:$H$10,4,FALSE),0)-IF(OR($P541="",$P541="없음"),0,100000)),0)</f>
        <v>0</v>
      </c>
      <c r="K541" s="27">
        <f t="array" ref="K541">IF($O541="방문완료",IFERROR(INDEX(설정_코스수당!$B$15:$F$64,MATCH($G541,설정_코스수당!$A$15:$A$64,0),MATCH($E541&amp;"수당",설정_코스수당!$B$14:$F$14,0)),0),0)</f>
        <v>0</v>
      </c>
      <c r="L541" s="27">
        <f t="array" ref="L541">IF($O541="방문완료",IF($H541="",0,IFERROR(INDEX(설정_코스수당!$B$15:$F$64,MATCH($H541,설정_코스수당!$A$15:$A$64,0),MATCH($E541&amp;"수당",설정_코스수당!$B$14:$F$14,0)),0)),0)</f>
        <v>0</v>
      </c>
      <c r="M541" s="27">
        <f>IF($O541="방문완료",IFERROR(VLOOKUP($E541,설정_코스수당!$A$6:$H$10,6,FALSE),0),0)</f>
        <v>0</v>
      </c>
      <c r="N541" s="28">
        <f t="shared" si="15"/>
        <v>0</v>
      </c>
      <c r="O541" s="23"/>
      <c r="P541" s="23"/>
      <c r="Q541" s="23"/>
      <c r="R541" s="26"/>
      <c r="S541" s="23"/>
      <c r="U541" s="113"/>
      <c r="V541" s="111"/>
      <c r="W541" s="112"/>
      <c r="X541" s="111"/>
    </row>
    <row r="542" spans="1:24" ht="19.5" hidden="1" customHeight="1" outlineLevel="1">
      <c r="A542" s="29">
        <v>14</v>
      </c>
      <c r="B542" s="30">
        <f>IF(6&lt;=DAY(DATE(YEAR(설정_코스수당!$K$2),MONTH(설정_코스수당!$K$2)+1,0)),DATE(YEAR(설정_코스수당!$K$2),MONTH(설정_코스수당!$K$2),6),"")</f>
        <v>46179</v>
      </c>
      <c r="C542" s="31"/>
      <c r="D542" s="29"/>
      <c r="E542" s="29"/>
      <c r="F542" s="32"/>
      <c r="G542" s="29"/>
      <c r="H542" s="29"/>
      <c r="I542" s="29"/>
      <c r="J542" s="33">
        <f>IF($O542="방문완료",MAX(0,IFERROR(VLOOKUP($E542,설정_코스수당!$A$6:$H$10,4,FALSE),0)-IF(OR($P542="",$P542="없음"),0,100000)),0)</f>
        <v>0</v>
      </c>
      <c r="K542" s="33">
        <f t="array" ref="K542">IF($O542="방문완료",IFERROR(INDEX(설정_코스수당!$B$15:$F$64,MATCH($G542,설정_코스수당!$A$15:$A$64,0),MATCH($E542&amp;"수당",설정_코스수당!$B$14:$F$14,0)),0),0)</f>
        <v>0</v>
      </c>
      <c r="L542" s="33">
        <f t="array" ref="L542">IF($O542="방문완료",IF($H542="",0,IFERROR(INDEX(설정_코스수당!$B$15:$F$64,MATCH($H542,설정_코스수당!$A$15:$A$64,0),MATCH($E542&amp;"수당",설정_코스수당!$B$14:$F$14,0)),0)),0)</f>
        <v>0</v>
      </c>
      <c r="M542" s="33">
        <f>IF($O542="방문완료",IFERROR(VLOOKUP($E542,설정_코스수당!$A$6:$H$10,6,FALSE),0),0)</f>
        <v>0</v>
      </c>
      <c r="N542" s="34">
        <f t="shared" si="15"/>
        <v>0</v>
      </c>
      <c r="O542" s="29"/>
      <c r="P542" s="29"/>
      <c r="Q542" s="29"/>
      <c r="R542" s="32"/>
      <c r="S542" s="29"/>
      <c r="U542" s="113"/>
      <c r="V542" s="111"/>
      <c r="W542" s="112"/>
      <c r="X542" s="111"/>
    </row>
    <row r="543" spans="1:24" ht="19.5" hidden="1" customHeight="1" outlineLevel="1">
      <c r="A543" s="23">
        <v>15</v>
      </c>
      <c r="B543" s="24">
        <f>IF(6&lt;=DAY(DATE(YEAR(설정_코스수당!$K$2),MONTH(설정_코스수당!$K$2)+1,0)),DATE(YEAR(설정_코스수당!$K$2),MONTH(설정_코스수당!$K$2),6),"")</f>
        <v>46179</v>
      </c>
      <c r="C543" s="25"/>
      <c r="D543" s="23"/>
      <c r="E543" s="23"/>
      <c r="F543" s="26"/>
      <c r="G543" s="23"/>
      <c r="H543" s="23"/>
      <c r="I543" s="23"/>
      <c r="J543" s="27">
        <f>IF($O543="방문완료",MAX(0,IFERROR(VLOOKUP($E543,설정_코스수당!$A$6:$H$10,4,FALSE),0)-IF(OR($P543="",$P543="없음"),0,100000)),0)</f>
        <v>0</v>
      </c>
      <c r="K543" s="27">
        <f t="array" ref="K543">IF($O543="방문완료",IFERROR(INDEX(설정_코스수당!$B$15:$F$64,MATCH($G543,설정_코스수당!$A$15:$A$64,0),MATCH($E543&amp;"수당",설정_코스수당!$B$14:$F$14,0)),0),0)</f>
        <v>0</v>
      </c>
      <c r="L543" s="27">
        <f t="array" ref="L543">IF($O543="방문완료",IF($H543="",0,IFERROR(INDEX(설정_코스수당!$B$15:$F$64,MATCH($H543,설정_코스수당!$A$15:$A$64,0),MATCH($E543&amp;"수당",설정_코스수당!$B$14:$F$14,0)),0)),0)</f>
        <v>0</v>
      </c>
      <c r="M543" s="27">
        <f>IF($O543="방문완료",IFERROR(VLOOKUP($E543,설정_코스수당!$A$6:$H$10,6,FALSE),0),0)</f>
        <v>0</v>
      </c>
      <c r="N543" s="28">
        <f t="shared" si="15"/>
        <v>0</v>
      </c>
      <c r="O543" s="23"/>
      <c r="P543" s="23"/>
      <c r="Q543" s="23"/>
      <c r="R543" s="26"/>
      <c r="S543" s="23"/>
      <c r="U543" s="113"/>
      <c r="V543" s="111"/>
      <c r="W543" s="112"/>
      <c r="X543" s="111"/>
    </row>
    <row r="544" spans="1:24" ht="19.5" hidden="1" customHeight="1" outlineLevel="1">
      <c r="A544" s="29">
        <v>16</v>
      </c>
      <c r="B544" s="30">
        <f>IF(6&lt;=DAY(DATE(YEAR(설정_코스수당!$K$2),MONTH(설정_코스수당!$K$2)+1,0)),DATE(YEAR(설정_코스수당!$K$2),MONTH(설정_코스수당!$K$2),6),"")</f>
        <v>46179</v>
      </c>
      <c r="C544" s="31"/>
      <c r="D544" s="29"/>
      <c r="E544" s="29"/>
      <c r="F544" s="32"/>
      <c r="G544" s="29"/>
      <c r="H544" s="29"/>
      <c r="I544" s="29"/>
      <c r="J544" s="33">
        <f>IF($O544="방문완료",MAX(0,IFERROR(VLOOKUP($E544,설정_코스수당!$A$6:$H$10,4,FALSE),0)-IF(OR($P544="",$P544="없음"),0,100000)),0)</f>
        <v>0</v>
      </c>
      <c r="K544" s="33">
        <f t="array" ref="K544">IF($O544="방문완료",IFERROR(INDEX(설정_코스수당!$B$15:$F$64,MATCH($G544,설정_코스수당!$A$15:$A$64,0),MATCH($E544&amp;"수당",설정_코스수당!$B$14:$F$14,0)),0),0)</f>
        <v>0</v>
      </c>
      <c r="L544" s="33">
        <f t="array" ref="L544">IF($O544="방문완료",IF($H544="",0,IFERROR(INDEX(설정_코스수당!$B$15:$F$64,MATCH($H544,설정_코스수당!$A$15:$A$64,0),MATCH($E544&amp;"수당",설정_코스수당!$B$14:$F$14,0)),0)),0)</f>
        <v>0</v>
      </c>
      <c r="M544" s="33">
        <f>IF($O544="방문완료",IFERROR(VLOOKUP($E544,설정_코스수당!$A$6:$H$10,6,FALSE),0),0)</f>
        <v>0</v>
      </c>
      <c r="N544" s="34">
        <f t="shared" si="15"/>
        <v>0</v>
      </c>
      <c r="O544" s="29"/>
      <c r="P544" s="29"/>
      <c r="Q544" s="29"/>
      <c r="R544" s="32"/>
      <c r="S544" s="29"/>
      <c r="U544" s="113"/>
      <c r="V544" s="111"/>
      <c r="W544" s="112"/>
      <c r="X544" s="111"/>
    </row>
    <row r="545" spans="1:24" ht="19.5" hidden="1" customHeight="1" outlineLevel="1">
      <c r="A545" s="23">
        <v>17</v>
      </c>
      <c r="B545" s="24">
        <f>IF(6&lt;=DAY(DATE(YEAR(설정_코스수당!$K$2),MONTH(설정_코스수당!$K$2)+1,0)),DATE(YEAR(설정_코스수당!$K$2),MONTH(설정_코스수당!$K$2),6),"")</f>
        <v>46179</v>
      </c>
      <c r="C545" s="25"/>
      <c r="D545" s="23"/>
      <c r="E545" s="23"/>
      <c r="F545" s="26"/>
      <c r="G545" s="23"/>
      <c r="H545" s="23"/>
      <c r="I545" s="23"/>
      <c r="J545" s="27">
        <f>IF($O545="방문완료",MAX(0,IFERROR(VLOOKUP($E545,설정_코스수당!$A$6:$H$10,4,FALSE),0)-IF(OR($P545="",$P545="없음"),0,100000)),0)</f>
        <v>0</v>
      </c>
      <c r="K545" s="27">
        <f t="array" ref="K545">IF($O545="방문완료",IFERROR(INDEX(설정_코스수당!$B$15:$F$64,MATCH($G545,설정_코스수당!$A$15:$A$64,0),MATCH($E545&amp;"수당",설정_코스수당!$B$14:$F$14,0)),0),0)</f>
        <v>0</v>
      </c>
      <c r="L545" s="27">
        <f t="array" ref="L545">IF($O545="방문완료",IF($H545="",0,IFERROR(INDEX(설정_코스수당!$B$15:$F$64,MATCH($H545,설정_코스수당!$A$15:$A$64,0),MATCH($E545&amp;"수당",설정_코스수당!$B$14:$F$14,0)),0)),0)</f>
        <v>0</v>
      </c>
      <c r="M545" s="27">
        <f>IF($O545="방문완료",IFERROR(VLOOKUP($E545,설정_코스수당!$A$6:$H$10,6,FALSE),0),0)</f>
        <v>0</v>
      </c>
      <c r="N545" s="28">
        <f t="shared" si="15"/>
        <v>0</v>
      </c>
      <c r="O545" s="23"/>
      <c r="P545" s="23"/>
      <c r="Q545" s="23"/>
      <c r="R545" s="26"/>
      <c r="S545" s="23"/>
      <c r="U545" s="113"/>
      <c r="V545" s="111"/>
      <c r="W545" s="112"/>
      <c r="X545" s="111"/>
    </row>
    <row r="546" spans="1:24" ht="19.5" hidden="1" customHeight="1" outlineLevel="1">
      <c r="A546" s="29">
        <v>18</v>
      </c>
      <c r="B546" s="30">
        <f>IF(6&lt;=DAY(DATE(YEAR(설정_코스수당!$K$2),MONTH(설정_코스수당!$K$2)+1,0)),DATE(YEAR(설정_코스수당!$K$2),MONTH(설정_코스수당!$K$2),6),"")</f>
        <v>46179</v>
      </c>
      <c r="C546" s="31"/>
      <c r="D546" s="29"/>
      <c r="E546" s="29"/>
      <c r="F546" s="32"/>
      <c r="G546" s="29"/>
      <c r="H546" s="29"/>
      <c r="I546" s="29"/>
      <c r="J546" s="33">
        <f>IF($O546="방문완료",MAX(0,IFERROR(VLOOKUP($E546,설정_코스수당!$A$6:$H$10,4,FALSE),0)-IF(OR($P546="",$P546="없음"),0,100000)),0)</f>
        <v>0</v>
      </c>
      <c r="K546" s="33">
        <f t="array" ref="K546">IF($O546="방문완료",IFERROR(INDEX(설정_코스수당!$B$15:$F$64,MATCH($G546,설정_코스수당!$A$15:$A$64,0),MATCH($E546&amp;"수당",설정_코스수당!$B$14:$F$14,0)),0),0)</f>
        <v>0</v>
      </c>
      <c r="L546" s="33">
        <f t="array" ref="L546">IF($O546="방문완료",IF($H546="",0,IFERROR(INDEX(설정_코스수당!$B$15:$F$64,MATCH($H546,설정_코스수당!$A$15:$A$64,0),MATCH($E546&amp;"수당",설정_코스수당!$B$14:$F$14,0)),0)),0)</f>
        <v>0</v>
      </c>
      <c r="M546" s="33">
        <f>IF($O546="방문완료",IFERROR(VLOOKUP($E546,설정_코스수당!$A$6:$H$10,6,FALSE),0),0)</f>
        <v>0</v>
      </c>
      <c r="N546" s="34">
        <f t="shared" si="15"/>
        <v>0</v>
      </c>
      <c r="O546" s="29"/>
      <c r="P546" s="29"/>
      <c r="Q546" s="29"/>
      <c r="R546" s="32"/>
      <c r="S546" s="29"/>
      <c r="U546" s="113"/>
      <c r="V546" s="111"/>
      <c r="W546" s="112"/>
      <c r="X546" s="111"/>
    </row>
    <row r="547" spans="1:24" ht="19.5" hidden="1" customHeight="1" outlineLevel="1">
      <c r="A547" s="23">
        <v>19</v>
      </c>
      <c r="B547" s="24">
        <f>IF(6&lt;=DAY(DATE(YEAR(설정_코스수당!$K$2),MONTH(설정_코스수당!$K$2)+1,0)),DATE(YEAR(설정_코스수당!$K$2),MONTH(설정_코스수당!$K$2),6),"")</f>
        <v>46179</v>
      </c>
      <c r="C547" s="25"/>
      <c r="D547" s="23"/>
      <c r="E547" s="23"/>
      <c r="F547" s="26"/>
      <c r="G547" s="23"/>
      <c r="H547" s="23"/>
      <c r="I547" s="23"/>
      <c r="J547" s="27">
        <f>IF($O547="방문완료",MAX(0,IFERROR(VLOOKUP($E547,설정_코스수당!$A$6:$H$10,4,FALSE),0)-IF(OR($P547="",$P547="없음"),0,100000)),0)</f>
        <v>0</v>
      </c>
      <c r="K547" s="27">
        <f t="array" ref="K547">IF($O547="방문완료",IFERROR(INDEX(설정_코스수당!$B$15:$F$64,MATCH($G547,설정_코스수당!$A$15:$A$64,0),MATCH($E547&amp;"수당",설정_코스수당!$B$14:$F$14,0)),0),0)</f>
        <v>0</v>
      </c>
      <c r="L547" s="27">
        <f t="array" ref="L547">IF($O547="방문완료",IF($H547="",0,IFERROR(INDEX(설정_코스수당!$B$15:$F$64,MATCH($H547,설정_코스수당!$A$15:$A$64,0),MATCH($E547&amp;"수당",설정_코스수당!$B$14:$F$14,0)),0)),0)</f>
        <v>0</v>
      </c>
      <c r="M547" s="27">
        <f>IF($O547="방문완료",IFERROR(VLOOKUP($E547,설정_코스수당!$A$6:$H$10,6,FALSE),0),0)</f>
        <v>0</v>
      </c>
      <c r="N547" s="28">
        <f t="shared" si="15"/>
        <v>0</v>
      </c>
      <c r="O547" s="23"/>
      <c r="P547" s="23"/>
      <c r="Q547" s="23"/>
      <c r="R547" s="26"/>
      <c r="S547" s="23"/>
      <c r="U547" s="113"/>
      <c r="V547" s="111"/>
      <c r="W547" s="112"/>
      <c r="X547" s="111"/>
    </row>
    <row r="548" spans="1:24" ht="19.5" hidden="1" customHeight="1" outlineLevel="1">
      <c r="A548" s="29">
        <v>20</v>
      </c>
      <c r="B548" s="30">
        <f>IF(6&lt;=DAY(DATE(YEAR(설정_코스수당!$K$2),MONTH(설정_코스수당!$K$2)+1,0)),DATE(YEAR(설정_코스수당!$K$2),MONTH(설정_코스수당!$K$2),6),"")</f>
        <v>46179</v>
      </c>
      <c r="C548" s="31"/>
      <c r="D548" s="29"/>
      <c r="E548" s="29"/>
      <c r="F548" s="32"/>
      <c r="G548" s="29"/>
      <c r="H548" s="29"/>
      <c r="I548" s="29"/>
      <c r="J548" s="33">
        <f>IF($O548="방문완료",MAX(0,IFERROR(VLOOKUP($E548,설정_코스수당!$A$6:$H$10,4,FALSE),0)-IF(OR($P548="",$P548="없음"),0,100000)),0)</f>
        <v>0</v>
      </c>
      <c r="K548" s="33">
        <f t="array" ref="K548">IF($O548="방문완료",IFERROR(INDEX(설정_코스수당!$B$15:$F$64,MATCH($G548,설정_코스수당!$A$15:$A$64,0),MATCH($E548&amp;"수당",설정_코스수당!$B$14:$F$14,0)),0),0)</f>
        <v>0</v>
      </c>
      <c r="L548" s="33">
        <f t="array" ref="L548">IF($O548="방문완료",IF($H548="",0,IFERROR(INDEX(설정_코스수당!$B$15:$F$64,MATCH($H548,설정_코스수당!$A$15:$A$64,0),MATCH($E548&amp;"수당",설정_코스수당!$B$14:$F$14,0)),0)),0)</f>
        <v>0</v>
      </c>
      <c r="M548" s="33">
        <f>IF($O548="방문완료",IFERROR(VLOOKUP($E548,설정_코스수당!$A$6:$H$10,6,FALSE),0),0)</f>
        <v>0</v>
      </c>
      <c r="N548" s="34">
        <f t="shared" si="15"/>
        <v>0</v>
      </c>
      <c r="O548" s="29"/>
      <c r="P548" s="29"/>
      <c r="Q548" s="29"/>
      <c r="R548" s="32"/>
      <c r="S548" s="29"/>
    </row>
    <row r="549" spans="1:24" ht="19.5" hidden="1" customHeight="1" outlineLevel="1">
      <c r="A549" s="23">
        <v>21</v>
      </c>
      <c r="B549" s="24">
        <f>IF(6&lt;=DAY(DATE(YEAR(설정_코스수당!$K$2),MONTH(설정_코스수당!$K$2)+1,0)),DATE(YEAR(설정_코스수당!$K$2),MONTH(설정_코스수당!$K$2),6),"")</f>
        <v>46179</v>
      </c>
      <c r="C549" s="25"/>
      <c r="D549" s="23"/>
      <c r="E549" s="23"/>
      <c r="F549" s="26"/>
      <c r="G549" s="23"/>
      <c r="H549" s="23"/>
      <c r="I549" s="23"/>
      <c r="J549" s="27">
        <f>IF($O549="방문완료",MAX(0,IFERROR(VLOOKUP($E549,설정_코스수당!$A$6:$H$10,4,FALSE),0)-IF(OR($P549="",$P549="없음"),0,100000)),0)</f>
        <v>0</v>
      </c>
      <c r="K549" s="27">
        <f t="array" ref="K549">IF($O549="방문완료",IFERROR(INDEX(설정_코스수당!$B$15:$F$64,MATCH($G549,설정_코스수당!$A$15:$A$64,0),MATCH($E549&amp;"수당",설정_코스수당!$B$14:$F$14,0)),0),0)</f>
        <v>0</v>
      </c>
      <c r="L549" s="27">
        <f t="array" ref="L549">IF($O549="방문완료",IF($H549="",0,IFERROR(INDEX(설정_코스수당!$B$15:$F$64,MATCH($H549,설정_코스수당!$A$15:$A$64,0),MATCH($E549&amp;"수당",설정_코스수당!$B$14:$F$14,0)),0)),0)</f>
        <v>0</v>
      </c>
      <c r="M549" s="27">
        <f>IF($O549="방문완료",IFERROR(VLOOKUP($E549,설정_코스수당!$A$6:$H$10,6,FALSE),0),0)</f>
        <v>0</v>
      </c>
      <c r="N549" s="28">
        <f t="shared" si="15"/>
        <v>0</v>
      </c>
      <c r="O549" s="23"/>
      <c r="P549" s="23"/>
      <c r="Q549" s="23"/>
      <c r="R549" s="26"/>
      <c r="S549" s="23"/>
    </row>
    <row r="550" spans="1:24" ht="19.5" hidden="1" customHeight="1" outlineLevel="1">
      <c r="A550" s="29">
        <v>22</v>
      </c>
      <c r="B550" s="30">
        <f>IF(6&lt;=DAY(DATE(YEAR(설정_코스수당!$K$2),MONTH(설정_코스수당!$K$2)+1,0)),DATE(YEAR(설정_코스수당!$K$2),MONTH(설정_코스수당!$K$2),6),"")</f>
        <v>46179</v>
      </c>
      <c r="C550" s="31"/>
      <c r="D550" s="29"/>
      <c r="E550" s="29"/>
      <c r="F550" s="32"/>
      <c r="G550" s="29"/>
      <c r="H550" s="29"/>
      <c r="I550" s="29"/>
      <c r="J550" s="33">
        <f>IF($O550="방문완료",MAX(0,IFERROR(VLOOKUP($E550,설정_코스수당!$A$6:$H$10,4,FALSE),0)-IF(OR($P550="",$P550="없음"),0,100000)),0)</f>
        <v>0</v>
      </c>
      <c r="K550" s="33">
        <f t="array" ref="K550">IF($O550="방문완료",IFERROR(INDEX(설정_코스수당!$B$15:$F$64,MATCH($G550,설정_코스수당!$A$15:$A$64,0),MATCH($E550&amp;"수당",설정_코스수당!$B$14:$F$14,0)),0),0)</f>
        <v>0</v>
      </c>
      <c r="L550" s="33">
        <f t="array" ref="L550">IF($O550="방문완료",IF($H550="",0,IFERROR(INDEX(설정_코스수당!$B$15:$F$64,MATCH($H550,설정_코스수당!$A$15:$A$64,0),MATCH($E550&amp;"수당",설정_코스수당!$B$14:$F$14,0)),0)),0)</f>
        <v>0</v>
      </c>
      <c r="M550" s="33">
        <f>IF($O550="방문완료",IFERROR(VLOOKUP($E550,설정_코스수당!$A$6:$H$10,6,FALSE),0),0)</f>
        <v>0</v>
      </c>
      <c r="N550" s="34">
        <f t="shared" si="15"/>
        <v>0</v>
      </c>
      <c r="O550" s="29"/>
      <c r="P550" s="29"/>
      <c r="Q550" s="29"/>
      <c r="R550" s="32"/>
      <c r="S550" s="29"/>
    </row>
    <row r="551" spans="1:24" ht="19.5" hidden="1" customHeight="1" outlineLevel="1">
      <c r="A551" s="23">
        <v>23</v>
      </c>
      <c r="B551" s="24">
        <f>IF(6&lt;=DAY(DATE(YEAR(설정_코스수당!$K$2),MONTH(설정_코스수당!$K$2)+1,0)),DATE(YEAR(설정_코스수당!$K$2),MONTH(설정_코스수당!$K$2),6),"")</f>
        <v>46179</v>
      </c>
      <c r="C551" s="25"/>
      <c r="D551" s="23"/>
      <c r="E551" s="23"/>
      <c r="F551" s="26"/>
      <c r="G551" s="23"/>
      <c r="H551" s="23"/>
      <c r="I551" s="23"/>
      <c r="J551" s="27">
        <f>IF($O551="방문완료",MAX(0,IFERROR(VLOOKUP($E551,설정_코스수당!$A$6:$H$10,4,FALSE),0)-IF(OR($P551="",$P551="없음"),0,100000)),0)</f>
        <v>0</v>
      </c>
      <c r="K551" s="27">
        <f t="array" ref="K551">IF($O551="방문완료",IFERROR(INDEX(설정_코스수당!$B$15:$F$64,MATCH($G551,설정_코스수당!$A$15:$A$64,0),MATCH($E551&amp;"수당",설정_코스수당!$B$14:$F$14,0)),0),0)</f>
        <v>0</v>
      </c>
      <c r="L551" s="27">
        <f t="array" ref="L551">IF($O551="방문완료",IF($H551="",0,IFERROR(INDEX(설정_코스수당!$B$15:$F$64,MATCH($H551,설정_코스수당!$A$15:$A$64,0),MATCH($E551&amp;"수당",설정_코스수당!$B$14:$F$14,0)),0)),0)</f>
        <v>0</v>
      </c>
      <c r="M551" s="27">
        <f>IF($O551="방문완료",IFERROR(VLOOKUP($E551,설정_코스수당!$A$6:$H$10,6,FALSE),0),0)</f>
        <v>0</v>
      </c>
      <c r="N551" s="28">
        <f t="shared" si="15"/>
        <v>0</v>
      </c>
      <c r="O551" s="23"/>
      <c r="P551" s="23"/>
      <c r="Q551" s="23"/>
      <c r="R551" s="26"/>
      <c r="S551" s="23"/>
    </row>
    <row r="552" spans="1:24" ht="19.5" hidden="1" customHeight="1" outlineLevel="1">
      <c r="A552" s="29">
        <v>24</v>
      </c>
      <c r="B552" s="30">
        <f>IF(6&lt;=DAY(DATE(YEAR(설정_코스수당!$K$2),MONTH(설정_코스수당!$K$2)+1,0)),DATE(YEAR(설정_코스수당!$K$2),MONTH(설정_코스수당!$K$2),6),"")</f>
        <v>46179</v>
      </c>
      <c r="C552" s="31"/>
      <c r="D552" s="29"/>
      <c r="E552" s="29"/>
      <c r="F552" s="32"/>
      <c r="G552" s="29"/>
      <c r="H552" s="29"/>
      <c r="I552" s="29"/>
      <c r="J552" s="33">
        <f>IF($O552="방문완료",MAX(0,IFERROR(VLOOKUP($E552,설정_코스수당!$A$6:$H$10,4,FALSE),0)-IF(OR($P552="",$P552="없음"),0,100000)),0)</f>
        <v>0</v>
      </c>
      <c r="K552" s="33">
        <f t="array" ref="K552">IF($O552="방문완료",IFERROR(INDEX(설정_코스수당!$B$15:$F$64,MATCH($G552,설정_코스수당!$A$15:$A$64,0),MATCH($E552&amp;"수당",설정_코스수당!$B$14:$F$14,0)),0),0)</f>
        <v>0</v>
      </c>
      <c r="L552" s="33">
        <f t="array" ref="L552">IF($O552="방문완료",IF($H552="",0,IFERROR(INDEX(설정_코스수당!$B$15:$F$64,MATCH($H552,설정_코스수당!$A$15:$A$64,0),MATCH($E552&amp;"수당",설정_코스수당!$B$14:$F$14,0)),0)),0)</f>
        <v>0</v>
      </c>
      <c r="M552" s="33">
        <f>IF($O552="방문완료",IFERROR(VLOOKUP($E552,설정_코스수당!$A$6:$H$10,6,FALSE),0),0)</f>
        <v>0</v>
      </c>
      <c r="N552" s="34">
        <f t="shared" si="15"/>
        <v>0</v>
      </c>
      <c r="O552" s="29"/>
      <c r="P552" s="29"/>
      <c r="Q552" s="29"/>
      <c r="R552" s="32"/>
      <c r="S552" s="29"/>
    </row>
    <row r="553" spans="1:24" ht="19.5" hidden="1" customHeight="1" outlineLevel="1">
      <c r="A553" s="23">
        <v>25</v>
      </c>
      <c r="B553" s="24">
        <f>IF(6&lt;=DAY(DATE(YEAR(설정_코스수당!$K$2),MONTH(설정_코스수당!$K$2)+1,0)),DATE(YEAR(설정_코스수당!$K$2),MONTH(설정_코스수당!$K$2),6),"")</f>
        <v>46179</v>
      </c>
      <c r="C553" s="25"/>
      <c r="D553" s="23"/>
      <c r="E553" s="23"/>
      <c r="F553" s="26"/>
      <c r="G553" s="23"/>
      <c r="H553" s="23"/>
      <c r="I553" s="23"/>
      <c r="J553" s="27">
        <f>IF($O553="방문완료",MAX(0,IFERROR(VLOOKUP($E553,설정_코스수당!$A$6:$H$10,4,FALSE),0)-IF(OR($P553="",$P553="없음"),0,100000)),0)</f>
        <v>0</v>
      </c>
      <c r="K553" s="27">
        <f t="array" ref="K553">IF($O553="방문완료",IFERROR(INDEX(설정_코스수당!$B$15:$F$64,MATCH($G553,설정_코스수당!$A$15:$A$64,0),MATCH($E553&amp;"수당",설정_코스수당!$B$14:$F$14,0)),0),0)</f>
        <v>0</v>
      </c>
      <c r="L553" s="27">
        <f t="array" ref="L553">IF($O553="방문완료",IF($H553="",0,IFERROR(INDEX(설정_코스수당!$B$15:$F$64,MATCH($H553,설정_코스수당!$A$15:$A$64,0),MATCH($E553&amp;"수당",설정_코스수당!$B$14:$F$14,0)),0)),0)</f>
        <v>0</v>
      </c>
      <c r="M553" s="27">
        <f>IF($O553="방문완료",IFERROR(VLOOKUP($E553,설정_코스수당!$A$6:$H$10,6,FALSE),0),0)</f>
        <v>0</v>
      </c>
      <c r="N553" s="28">
        <f t="shared" si="15"/>
        <v>0</v>
      </c>
      <c r="O553" s="23"/>
      <c r="P553" s="23"/>
      <c r="Q553" s="23"/>
      <c r="R553" s="26"/>
      <c r="S553" s="23"/>
    </row>
    <row r="554" spans="1:24" ht="19.5" hidden="1" customHeight="1" outlineLevel="1">
      <c r="A554" s="29">
        <v>26</v>
      </c>
      <c r="B554" s="30">
        <f>IF(6&lt;=DAY(DATE(YEAR(설정_코스수당!$K$2),MONTH(설정_코스수당!$K$2)+1,0)),DATE(YEAR(설정_코스수당!$K$2),MONTH(설정_코스수당!$K$2),6),"")</f>
        <v>46179</v>
      </c>
      <c r="C554" s="31"/>
      <c r="D554" s="29"/>
      <c r="E554" s="29"/>
      <c r="F554" s="32"/>
      <c r="G554" s="29"/>
      <c r="H554" s="29"/>
      <c r="I554" s="29"/>
      <c r="J554" s="33">
        <f>IF($O554="방문완료",MAX(0,IFERROR(VLOOKUP($E554,설정_코스수당!$A$6:$H$10,4,FALSE),0)-IF(OR($P554="",$P554="없음"),0,100000)),0)</f>
        <v>0</v>
      </c>
      <c r="K554" s="33">
        <f t="array" ref="K554">IF($O554="방문완료",IFERROR(INDEX(설정_코스수당!$B$15:$F$64,MATCH($G554,설정_코스수당!$A$15:$A$64,0),MATCH($E554&amp;"수당",설정_코스수당!$B$14:$F$14,0)),0),0)</f>
        <v>0</v>
      </c>
      <c r="L554" s="33">
        <f t="array" ref="L554">IF($O554="방문완료",IF($H554="",0,IFERROR(INDEX(설정_코스수당!$B$15:$F$64,MATCH($H554,설정_코스수당!$A$15:$A$64,0),MATCH($E554&amp;"수당",설정_코스수당!$B$14:$F$14,0)),0)),0)</f>
        <v>0</v>
      </c>
      <c r="M554" s="33">
        <f>IF($O554="방문완료",IFERROR(VLOOKUP($E554,설정_코스수당!$A$6:$H$10,6,FALSE),0),0)</f>
        <v>0</v>
      </c>
      <c r="N554" s="34">
        <f t="shared" si="15"/>
        <v>0</v>
      </c>
      <c r="O554" s="29"/>
      <c r="P554" s="29"/>
      <c r="Q554" s="29"/>
      <c r="R554" s="32"/>
      <c r="S554" s="29"/>
    </row>
    <row r="555" spans="1:24" ht="19.5" hidden="1" customHeight="1" outlineLevel="1">
      <c r="A555" s="23">
        <v>27</v>
      </c>
      <c r="B555" s="24">
        <f>IF(6&lt;=DAY(DATE(YEAR(설정_코스수당!$K$2),MONTH(설정_코스수당!$K$2)+1,0)),DATE(YEAR(설정_코스수당!$K$2),MONTH(설정_코스수당!$K$2),6),"")</f>
        <v>46179</v>
      </c>
      <c r="C555" s="25"/>
      <c r="D555" s="23"/>
      <c r="E555" s="23"/>
      <c r="F555" s="26"/>
      <c r="G555" s="23"/>
      <c r="H555" s="23"/>
      <c r="I555" s="23"/>
      <c r="J555" s="27">
        <f>IF($O555="방문완료",MAX(0,IFERROR(VLOOKUP($E555,설정_코스수당!$A$6:$H$10,4,FALSE),0)-IF(OR($P555="",$P555="없음"),0,100000)),0)</f>
        <v>0</v>
      </c>
      <c r="K555" s="27">
        <f t="array" ref="K555">IF($O555="방문완료",IFERROR(INDEX(설정_코스수당!$B$15:$F$64,MATCH($G555,설정_코스수당!$A$15:$A$64,0),MATCH($E555&amp;"수당",설정_코스수당!$B$14:$F$14,0)),0),0)</f>
        <v>0</v>
      </c>
      <c r="L555" s="27">
        <f t="array" ref="L555">IF($O555="방문완료",IF($H555="",0,IFERROR(INDEX(설정_코스수당!$B$15:$F$64,MATCH($H555,설정_코스수당!$A$15:$A$64,0),MATCH($E555&amp;"수당",설정_코스수당!$B$14:$F$14,0)),0)),0)</f>
        <v>0</v>
      </c>
      <c r="M555" s="27">
        <f>IF($O555="방문완료",IFERROR(VLOOKUP($E555,설정_코스수당!$A$6:$H$10,6,FALSE),0),0)</f>
        <v>0</v>
      </c>
      <c r="N555" s="28">
        <f t="shared" si="15"/>
        <v>0</v>
      </c>
      <c r="O555" s="23"/>
      <c r="P555" s="23"/>
      <c r="Q555" s="23"/>
      <c r="R555" s="26"/>
      <c r="S555" s="23"/>
    </row>
    <row r="556" spans="1:24" ht="19.5" hidden="1" customHeight="1" outlineLevel="1">
      <c r="A556" s="29">
        <v>28</v>
      </c>
      <c r="B556" s="30">
        <f>IF(6&lt;=DAY(DATE(YEAR(설정_코스수당!$K$2),MONTH(설정_코스수당!$K$2)+1,0)),DATE(YEAR(설정_코스수당!$K$2),MONTH(설정_코스수당!$K$2),6),"")</f>
        <v>46179</v>
      </c>
      <c r="C556" s="31"/>
      <c r="D556" s="29"/>
      <c r="E556" s="29"/>
      <c r="F556" s="32"/>
      <c r="G556" s="29"/>
      <c r="H556" s="29"/>
      <c r="I556" s="29"/>
      <c r="J556" s="33">
        <f>IF($O556="방문완료",MAX(0,IFERROR(VLOOKUP($E556,설정_코스수당!$A$6:$H$10,4,FALSE),0)-IF(OR($P556="",$P556="없음"),0,100000)),0)</f>
        <v>0</v>
      </c>
      <c r="K556" s="33">
        <f t="array" ref="K556">IF($O556="방문완료",IFERROR(INDEX(설정_코스수당!$B$15:$F$64,MATCH($G556,설정_코스수당!$A$15:$A$64,0),MATCH($E556&amp;"수당",설정_코스수당!$B$14:$F$14,0)),0),0)</f>
        <v>0</v>
      </c>
      <c r="L556" s="33">
        <f t="array" ref="L556">IF($O556="방문완료",IF($H556="",0,IFERROR(INDEX(설정_코스수당!$B$15:$F$64,MATCH($H556,설정_코스수당!$A$15:$A$64,0),MATCH($E556&amp;"수당",설정_코스수당!$B$14:$F$14,0)),0)),0)</f>
        <v>0</v>
      </c>
      <c r="M556" s="33">
        <f>IF($O556="방문완료",IFERROR(VLOOKUP($E556,설정_코스수당!$A$6:$H$10,6,FALSE),0),0)</f>
        <v>0</v>
      </c>
      <c r="N556" s="34">
        <f t="shared" si="15"/>
        <v>0</v>
      </c>
      <c r="O556" s="29"/>
      <c r="P556" s="29"/>
      <c r="Q556" s="29"/>
      <c r="R556" s="32"/>
      <c r="S556" s="29"/>
    </row>
    <row r="557" spans="1:24" ht="19.5" hidden="1" customHeight="1" outlineLevel="1">
      <c r="A557" s="23">
        <v>29</v>
      </c>
      <c r="B557" s="24">
        <f>IF(6&lt;=DAY(DATE(YEAR(설정_코스수당!$K$2),MONTH(설정_코스수당!$K$2)+1,0)),DATE(YEAR(설정_코스수당!$K$2),MONTH(설정_코스수당!$K$2),6),"")</f>
        <v>46179</v>
      </c>
      <c r="C557" s="25"/>
      <c r="D557" s="23"/>
      <c r="E557" s="23"/>
      <c r="F557" s="26"/>
      <c r="G557" s="23"/>
      <c r="H557" s="23"/>
      <c r="I557" s="23"/>
      <c r="J557" s="27">
        <f>IF($O557="방문완료",MAX(0,IFERROR(VLOOKUP($E557,설정_코스수당!$A$6:$H$10,4,FALSE),0)-IF(OR($P557="",$P557="없음"),0,100000)),0)</f>
        <v>0</v>
      </c>
      <c r="K557" s="27">
        <f t="array" ref="K557">IF($O557="방문완료",IFERROR(INDEX(설정_코스수당!$B$15:$F$64,MATCH($G557,설정_코스수당!$A$15:$A$64,0),MATCH($E557&amp;"수당",설정_코스수당!$B$14:$F$14,0)),0),0)</f>
        <v>0</v>
      </c>
      <c r="L557" s="27">
        <f t="array" ref="L557">IF($O557="방문완료",IF($H557="",0,IFERROR(INDEX(설정_코스수당!$B$15:$F$64,MATCH($H557,설정_코스수당!$A$15:$A$64,0),MATCH($E557&amp;"수당",설정_코스수당!$B$14:$F$14,0)),0)),0)</f>
        <v>0</v>
      </c>
      <c r="M557" s="27">
        <f>IF($O557="방문완료",IFERROR(VLOOKUP($E557,설정_코스수당!$A$6:$H$10,6,FALSE),0),0)</f>
        <v>0</v>
      </c>
      <c r="N557" s="28">
        <f t="shared" si="15"/>
        <v>0</v>
      </c>
      <c r="O557" s="23"/>
      <c r="P557" s="23"/>
      <c r="Q557" s="23"/>
      <c r="R557" s="26"/>
      <c r="S557" s="23"/>
    </row>
    <row r="558" spans="1:24" ht="19.5" hidden="1" customHeight="1" outlineLevel="1">
      <c r="A558" s="29">
        <v>30</v>
      </c>
      <c r="B558" s="30">
        <f>IF(6&lt;=DAY(DATE(YEAR(설정_코스수당!$K$2),MONTH(설정_코스수당!$K$2)+1,0)),DATE(YEAR(설정_코스수당!$K$2),MONTH(설정_코스수당!$K$2),6),"")</f>
        <v>46179</v>
      </c>
      <c r="C558" s="31"/>
      <c r="D558" s="29"/>
      <c r="E558" s="29"/>
      <c r="F558" s="32"/>
      <c r="G558" s="29"/>
      <c r="H558" s="29"/>
      <c r="I558" s="29"/>
      <c r="J558" s="33">
        <f>IF($O558="방문완료",MAX(0,IFERROR(VLOOKUP($E558,설정_코스수당!$A$6:$H$10,4,FALSE),0)-IF(OR($P558="",$P558="없음"),0,100000)),0)</f>
        <v>0</v>
      </c>
      <c r="K558" s="33">
        <f t="array" ref="K558">IF($O558="방문완료",IFERROR(INDEX(설정_코스수당!$B$15:$F$64,MATCH($G558,설정_코스수당!$A$15:$A$64,0),MATCH($E558&amp;"수당",설정_코스수당!$B$14:$F$14,0)),0),0)</f>
        <v>0</v>
      </c>
      <c r="L558" s="33">
        <f t="array" ref="L558">IF($O558="방문완료",IF($H558="",0,IFERROR(INDEX(설정_코스수당!$B$15:$F$64,MATCH($H558,설정_코스수당!$A$15:$A$64,0),MATCH($E558&amp;"수당",설정_코스수당!$B$14:$F$14,0)),0)),0)</f>
        <v>0</v>
      </c>
      <c r="M558" s="33">
        <f>IF($O558="방문완료",IFERROR(VLOOKUP($E558,설정_코스수당!$A$6:$H$10,6,FALSE),0),0)</f>
        <v>0</v>
      </c>
      <c r="N558" s="34">
        <f t="shared" si="15"/>
        <v>0</v>
      </c>
      <c r="O558" s="29"/>
      <c r="P558" s="29"/>
      <c r="Q558" s="29"/>
      <c r="R558" s="32"/>
      <c r="S558" s="29"/>
    </row>
    <row r="559" spans="1:24" ht="19.5" hidden="1" customHeight="1" outlineLevel="1">
      <c r="A559" s="23">
        <v>31</v>
      </c>
      <c r="B559" s="24">
        <f>IF(6&lt;=DAY(DATE(YEAR(설정_코스수당!$K$2),MONTH(설정_코스수당!$K$2)+1,0)),DATE(YEAR(설정_코스수당!$K$2),MONTH(설정_코스수당!$K$2),6),"")</f>
        <v>46179</v>
      </c>
      <c r="C559" s="25"/>
      <c r="D559" s="23"/>
      <c r="E559" s="23"/>
      <c r="F559" s="26"/>
      <c r="G559" s="23"/>
      <c r="H559" s="23"/>
      <c r="I559" s="23"/>
      <c r="J559" s="27">
        <f>IF($O559="방문완료",MAX(0,IFERROR(VLOOKUP($E559,설정_코스수당!$A$6:$H$10,4,FALSE),0)-IF(OR($P559="",$P559="없음"),0,100000)),0)</f>
        <v>0</v>
      </c>
      <c r="K559" s="27">
        <f t="array" ref="K559">IF($O559="방문완료",IFERROR(INDEX(설정_코스수당!$B$15:$F$64,MATCH($G559,설정_코스수당!$A$15:$A$64,0),MATCH($E559&amp;"수당",설정_코스수당!$B$14:$F$14,0)),0),0)</f>
        <v>0</v>
      </c>
      <c r="L559" s="27">
        <f t="array" ref="L559">IF($O559="방문완료",IF($H559="",0,IFERROR(INDEX(설정_코스수당!$B$15:$F$64,MATCH($H559,설정_코스수당!$A$15:$A$64,0),MATCH($E559&amp;"수당",설정_코스수당!$B$14:$F$14,0)),0)),0)</f>
        <v>0</v>
      </c>
      <c r="M559" s="27">
        <f>IF($O559="방문완료",IFERROR(VLOOKUP($E559,설정_코스수당!$A$6:$H$10,6,FALSE),0),0)</f>
        <v>0</v>
      </c>
      <c r="N559" s="28">
        <f t="shared" si="15"/>
        <v>0</v>
      </c>
      <c r="O559" s="23"/>
      <c r="P559" s="23"/>
      <c r="Q559" s="23"/>
      <c r="R559" s="26"/>
      <c r="S559" s="23"/>
    </row>
    <row r="560" spans="1:24" ht="19.5" hidden="1" customHeight="1" outlineLevel="1">
      <c r="A560" s="29">
        <v>32</v>
      </c>
      <c r="B560" s="30">
        <f>IF(6&lt;=DAY(DATE(YEAR(설정_코스수당!$K$2),MONTH(설정_코스수당!$K$2)+1,0)),DATE(YEAR(설정_코스수당!$K$2),MONTH(설정_코스수당!$K$2),6),"")</f>
        <v>46179</v>
      </c>
      <c r="C560" s="31"/>
      <c r="D560" s="29"/>
      <c r="E560" s="29"/>
      <c r="F560" s="32"/>
      <c r="G560" s="29"/>
      <c r="H560" s="29"/>
      <c r="I560" s="29"/>
      <c r="J560" s="33">
        <f>IF($O560="방문완료",MAX(0,IFERROR(VLOOKUP($E560,설정_코스수당!$A$6:$H$10,4,FALSE),0)-IF(OR($P560="",$P560="없음"),0,100000)),0)</f>
        <v>0</v>
      </c>
      <c r="K560" s="33">
        <f t="array" ref="K560">IF($O560="방문완료",IFERROR(INDEX(설정_코스수당!$B$15:$F$64,MATCH($G560,설정_코스수당!$A$15:$A$64,0),MATCH($E560&amp;"수당",설정_코스수당!$B$14:$F$14,0)),0),0)</f>
        <v>0</v>
      </c>
      <c r="L560" s="33">
        <f t="array" ref="L560">IF($O560="방문완료",IF($H560="",0,IFERROR(INDEX(설정_코스수당!$B$15:$F$64,MATCH($H560,설정_코스수당!$A$15:$A$64,0),MATCH($E560&amp;"수당",설정_코스수당!$B$14:$F$14,0)),0)),0)</f>
        <v>0</v>
      </c>
      <c r="M560" s="33">
        <f>IF($O560="방문완료",IFERROR(VLOOKUP($E560,설정_코스수당!$A$6:$H$10,6,FALSE),0),0)</f>
        <v>0</v>
      </c>
      <c r="N560" s="34">
        <f t="shared" si="15"/>
        <v>0</v>
      </c>
      <c r="O560" s="29"/>
      <c r="P560" s="29"/>
      <c r="Q560" s="29"/>
      <c r="R560" s="32"/>
      <c r="S560" s="29"/>
    </row>
    <row r="561" spans="1:19" ht="19.5" hidden="1" customHeight="1" outlineLevel="1">
      <c r="A561" s="23">
        <v>33</v>
      </c>
      <c r="B561" s="24">
        <f>IF(6&lt;=DAY(DATE(YEAR(설정_코스수당!$K$2),MONTH(설정_코스수당!$K$2)+1,0)),DATE(YEAR(설정_코스수당!$K$2),MONTH(설정_코스수당!$K$2),6),"")</f>
        <v>46179</v>
      </c>
      <c r="C561" s="25"/>
      <c r="D561" s="23"/>
      <c r="E561" s="23"/>
      <c r="F561" s="26"/>
      <c r="G561" s="23"/>
      <c r="H561" s="23"/>
      <c r="I561" s="23"/>
      <c r="J561" s="27">
        <f>IF($O561="방문완료",MAX(0,IFERROR(VLOOKUP($E561,설정_코스수당!$A$6:$H$10,4,FALSE),0)-IF(OR($P561="",$P561="없음"),0,100000)),0)</f>
        <v>0</v>
      </c>
      <c r="K561" s="27">
        <f t="array" ref="K561">IF($O561="방문완료",IFERROR(INDEX(설정_코스수당!$B$15:$F$64,MATCH($G561,설정_코스수당!$A$15:$A$64,0),MATCH($E561&amp;"수당",설정_코스수당!$B$14:$F$14,0)),0),0)</f>
        <v>0</v>
      </c>
      <c r="L561" s="27">
        <f t="array" ref="L561">IF($O561="방문완료",IF($H561="",0,IFERROR(INDEX(설정_코스수당!$B$15:$F$64,MATCH($H561,설정_코스수당!$A$15:$A$64,0),MATCH($E561&amp;"수당",설정_코스수당!$B$14:$F$14,0)),0)),0)</f>
        <v>0</v>
      </c>
      <c r="M561" s="27">
        <f>IF($O561="방문완료",IFERROR(VLOOKUP($E561,설정_코스수당!$A$6:$H$10,6,FALSE),0),0)</f>
        <v>0</v>
      </c>
      <c r="N561" s="28">
        <f t="shared" ref="N561:N592" si="16">IF($O561="방문완료",1,0)</f>
        <v>0</v>
      </c>
      <c r="O561" s="23"/>
      <c r="P561" s="23"/>
      <c r="Q561" s="23"/>
      <c r="R561" s="26"/>
      <c r="S561" s="23"/>
    </row>
    <row r="562" spans="1:19" ht="19.5" hidden="1" customHeight="1" outlineLevel="1">
      <c r="A562" s="29">
        <v>34</v>
      </c>
      <c r="B562" s="30">
        <f>IF(6&lt;=DAY(DATE(YEAR(설정_코스수당!$K$2),MONTH(설정_코스수당!$K$2)+1,0)),DATE(YEAR(설정_코스수당!$K$2),MONTH(설정_코스수당!$K$2),6),"")</f>
        <v>46179</v>
      </c>
      <c r="C562" s="31"/>
      <c r="D562" s="29"/>
      <c r="E562" s="29"/>
      <c r="F562" s="32"/>
      <c r="G562" s="29"/>
      <c r="H562" s="29"/>
      <c r="I562" s="29"/>
      <c r="J562" s="33">
        <f>IF($O562="방문완료",MAX(0,IFERROR(VLOOKUP($E562,설정_코스수당!$A$6:$H$10,4,FALSE),0)-IF(OR($P562="",$P562="없음"),0,100000)),0)</f>
        <v>0</v>
      </c>
      <c r="K562" s="33">
        <f t="array" ref="K562">IF($O562="방문완료",IFERROR(INDEX(설정_코스수당!$B$15:$F$64,MATCH($G562,설정_코스수당!$A$15:$A$64,0),MATCH($E562&amp;"수당",설정_코스수당!$B$14:$F$14,0)),0),0)</f>
        <v>0</v>
      </c>
      <c r="L562" s="33">
        <f t="array" ref="L562">IF($O562="방문완료",IF($H562="",0,IFERROR(INDEX(설정_코스수당!$B$15:$F$64,MATCH($H562,설정_코스수당!$A$15:$A$64,0),MATCH($E562&amp;"수당",설정_코스수당!$B$14:$F$14,0)),0)),0)</f>
        <v>0</v>
      </c>
      <c r="M562" s="33">
        <f>IF($O562="방문완료",IFERROR(VLOOKUP($E562,설정_코스수당!$A$6:$H$10,6,FALSE),0),0)</f>
        <v>0</v>
      </c>
      <c r="N562" s="34">
        <f t="shared" si="16"/>
        <v>0</v>
      </c>
      <c r="O562" s="29"/>
      <c r="P562" s="29"/>
      <c r="Q562" s="29"/>
      <c r="R562" s="32"/>
      <c r="S562" s="29"/>
    </row>
    <row r="563" spans="1:19" ht="19.5" hidden="1" customHeight="1" outlineLevel="1">
      <c r="A563" s="23">
        <v>35</v>
      </c>
      <c r="B563" s="24">
        <f>IF(6&lt;=DAY(DATE(YEAR(설정_코스수당!$K$2),MONTH(설정_코스수당!$K$2)+1,0)),DATE(YEAR(설정_코스수당!$K$2),MONTH(설정_코스수당!$K$2),6),"")</f>
        <v>46179</v>
      </c>
      <c r="C563" s="25"/>
      <c r="D563" s="23"/>
      <c r="E563" s="23"/>
      <c r="F563" s="26"/>
      <c r="G563" s="23"/>
      <c r="H563" s="23"/>
      <c r="I563" s="23"/>
      <c r="J563" s="27">
        <f>IF($O563="방문완료",MAX(0,IFERROR(VLOOKUP($E563,설정_코스수당!$A$6:$H$10,4,FALSE),0)-IF(OR($P563="",$P563="없음"),0,100000)),0)</f>
        <v>0</v>
      </c>
      <c r="K563" s="27">
        <f t="array" ref="K563">IF($O563="방문완료",IFERROR(INDEX(설정_코스수당!$B$15:$F$64,MATCH($G563,설정_코스수당!$A$15:$A$64,0),MATCH($E563&amp;"수당",설정_코스수당!$B$14:$F$14,0)),0),0)</f>
        <v>0</v>
      </c>
      <c r="L563" s="27">
        <f t="array" ref="L563">IF($O563="방문완료",IF($H563="",0,IFERROR(INDEX(설정_코스수당!$B$15:$F$64,MATCH($H563,설정_코스수당!$A$15:$A$64,0),MATCH($E563&amp;"수당",설정_코스수당!$B$14:$F$14,0)),0)),0)</f>
        <v>0</v>
      </c>
      <c r="M563" s="27">
        <f>IF($O563="방문완료",IFERROR(VLOOKUP($E563,설정_코스수당!$A$6:$H$10,6,FALSE),0),0)</f>
        <v>0</v>
      </c>
      <c r="N563" s="28">
        <f t="shared" si="16"/>
        <v>0</v>
      </c>
      <c r="O563" s="23"/>
      <c r="P563" s="23"/>
      <c r="Q563" s="23"/>
      <c r="R563" s="26"/>
      <c r="S563" s="23"/>
    </row>
    <row r="564" spans="1:19" ht="19.5" hidden="1" customHeight="1" outlineLevel="1">
      <c r="A564" s="29">
        <v>36</v>
      </c>
      <c r="B564" s="30">
        <f>IF(6&lt;=DAY(DATE(YEAR(설정_코스수당!$K$2),MONTH(설정_코스수당!$K$2)+1,0)),DATE(YEAR(설정_코스수당!$K$2),MONTH(설정_코스수당!$K$2),6),"")</f>
        <v>46179</v>
      </c>
      <c r="C564" s="31"/>
      <c r="D564" s="29"/>
      <c r="E564" s="29"/>
      <c r="F564" s="32"/>
      <c r="G564" s="29"/>
      <c r="H564" s="29"/>
      <c r="I564" s="29"/>
      <c r="J564" s="33">
        <f>IF($O564="방문완료",MAX(0,IFERROR(VLOOKUP($E564,설정_코스수당!$A$6:$H$10,4,FALSE),0)-IF(OR($P564="",$P564="없음"),0,100000)),0)</f>
        <v>0</v>
      </c>
      <c r="K564" s="33">
        <f t="array" ref="K564">IF($O564="방문완료",IFERROR(INDEX(설정_코스수당!$B$15:$F$64,MATCH($G564,설정_코스수당!$A$15:$A$64,0),MATCH($E564&amp;"수당",설정_코스수당!$B$14:$F$14,0)),0),0)</f>
        <v>0</v>
      </c>
      <c r="L564" s="33">
        <f t="array" ref="L564">IF($O564="방문완료",IF($H564="",0,IFERROR(INDEX(설정_코스수당!$B$15:$F$64,MATCH($H564,설정_코스수당!$A$15:$A$64,0),MATCH($E564&amp;"수당",설정_코스수당!$B$14:$F$14,0)),0)),0)</f>
        <v>0</v>
      </c>
      <c r="M564" s="33">
        <f>IF($O564="방문완료",IFERROR(VLOOKUP($E564,설정_코스수당!$A$6:$H$10,6,FALSE),0),0)</f>
        <v>0</v>
      </c>
      <c r="N564" s="34">
        <f t="shared" si="16"/>
        <v>0</v>
      </c>
      <c r="O564" s="29"/>
      <c r="P564" s="29"/>
      <c r="Q564" s="29"/>
      <c r="R564" s="32"/>
      <c r="S564" s="29"/>
    </row>
    <row r="565" spans="1:19" ht="19.5" hidden="1" customHeight="1" outlineLevel="1">
      <c r="A565" s="23">
        <v>37</v>
      </c>
      <c r="B565" s="24">
        <f>IF(6&lt;=DAY(DATE(YEAR(설정_코스수당!$K$2),MONTH(설정_코스수당!$K$2)+1,0)),DATE(YEAR(설정_코스수당!$K$2),MONTH(설정_코스수당!$K$2),6),"")</f>
        <v>46179</v>
      </c>
      <c r="C565" s="25"/>
      <c r="D565" s="23"/>
      <c r="E565" s="23"/>
      <c r="F565" s="26"/>
      <c r="G565" s="23"/>
      <c r="H565" s="23"/>
      <c r="I565" s="23"/>
      <c r="J565" s="27">
        <f>IF($O565="방문완료",MAX(0,IFERROR(VLOOKUP($E565,설정_코스수당!$A$6:$H$10,4,FALSE),0)-IF(OR($P565="",$P565="없음"),0,100000)),0)</f>
        <v>0</v>
      </c>
      <c r="K565" s="27">
        <f t="array" ref="K565">IF($O565="방문완료",IFERROR(INDEX(설정_코스수당!$B$15:$F$64,MATCH($G565,설정_코스수당!$A$15:$A$64,0),MATCH($E565&amp;"수당",설정_코스수당!$B$14:$F$14,0)),0),0)</f>
        <v>0</v>
      </c>
      <c r="L565" s="27">
        <f t="array" ref="L565">IF($O565="방문완료",IF($H565="",0,IFERROR(INDEX(설정_코스수당!$B$15:$F$64,MATCH($H565,설정_코스수당!$A$15:$A$64,0),MATCH($E565&amp;"수당",설정_코스수당!$B$14:$F$14,0)),0)),0)</f>
        <v>0</v>
      </c>
      <c r="M565" s="27">
        <f>IF($O565="방문완료",IFERROR(VLOOKUP($E565,설정_코스수당!$A$6:$H$10,6,FALSE),0),0)</f>
        <v>0</v>
      </c>
      <c r="N565" s="28">
        <f t="shared" si="16"/>
        <v>0</v>
      </c>
      <c r="O565" s="23"/>
      <c r="P565" s="23"/>
      <c r="Q565" s="23"/>
      <c r="R565" s="26"/>
      <c r="S565" s="23"/>
    </row>
    <row r="566" spans="1:19" ht="19.5" hidden="1" customHeight="1" outlineLevel="1">
      <c r="A566" s="29">
        <v>38</v>
      </c>
      <c r="B566" s="30">
        <f>IF(6&lt;=DAY(DATE(YEAR(설정_코스수당!$K$2),MONTH(설정_코스수당!$K$2)+1,0)),DATE(YEAR(설정_코스수당!$K$2),MONTH(설정_코스수당!$K$2),6),"")</f>
        <v>46179</v>
      </c>
      <c r="C566" s="31"/>
      <c r="D566" s="29"/>
      <c r="E566" s="29"/>
      <c r="F566" s="32"/>
      <c r="G566" s="29"/>
      <c r="H566" s="29"/>
      <c r="I566" s="29"/>
      <c r="J566" s="33">
        <f>IF($O566="방문완료",MAX(0,IFERROR(VLOOKUP($E566,설정_코스수당!$A$6:$H$10,4,FALSE),0)-IF(OR($P566="",$P566="없음"),0,100000)),0)</f>
        <v>0</v>
      </c>
      <c r="K566" s="33">
        <f t="array" ref="K566">IF($O566="방문완료",IFERROR(INDEX(설정_코스수당!$B$15:$F$64,MATCH($G566,설정_코스수당!$A$15:$A$64,0),MATCH($E566&amp;"수당",설정_코스수당!$B$14:$F$14,0)),0),0)</f>
        <v>0</v>
      </c>
      <c r="L566" s="33">
        <f t="array" ref="L566">IF($O566="방문완료",IF($H566="",0,IFERROR(INDEX(설정_코스수당!$B$15:$F$64,MATCH($H566,설정_코스수당!$A$15:$A$64,0),MATCH($E566&amp;"수당",설정_코스수당!$B$14:$F$14,0)),0)),0)</f>
        <v>0</v>
      </c>
      <c r="M566" s="33">
        <f>IF($O566="방문완료",IFERROR(VLOOKUP($E566,설정_코스수당!$A$6:$H$10,6,FALSE),0),0)</f>
        <v>0</v>
      </c>
      <c r="N566" s="34">
        <f t="shared" si="16"/>
        <v>0</v>
      </c>
      <c r="O566" s="29"/>
      <c r="P566" s="29"/>
      <c r="Q566" s="29"/>
      <c r="R566" s="32"/>
      <c r="S566" s="29"/>
    </row>
    <row r="567" spans="1:19" ht="19.5" hidden="1" customHeight="1" outlineLevel="1">
      <c r="A567" s="23">
        <v>39</v>
      </c>
      <c r="B567" s="24">
        <f>IF(6&lt;=DAY(DATE(YEAR(설정_코스수당!$K$2),MONTH(설정_코스수당!$K$2)+1,0)),DATE(YEAR(설정_코스수당!$K$2),MONTH(설정_코스수당!$K$2),6),"")</f>
        <v>46179</v>
      </c>
      <c r="C567" s="25"/>
      <c r="D567" s="23"/>
      <c r="E567" s="23"/>
      <c r="F567" s="26"/>
      <c r="G567" s="23"/>
      <c r="H567" s="23"/>
      <c r="I567" s="23"/>
      <c r="J567" s="27">
        <f>IF($O567="방문완료",MAX(0,IFERROR(VLOOKUP($E567,설정_코스수당!$A$6:$H$10,4,FALSE),0)-IF(OR($P567="",$P567="없음"),0,100000)),0)</f>
        <v>0</v>
      </c>
      <c r="K567" s="27">
        <f t="array" ref="K567">IF($O567="방문완료",IFERROR(INDEX(설정_코스수당!$B$15:$F$64,MATCH($G567,설정_코스수당!$A$15:$A$64,0),MATCH($E567&amp;"수당",설정_코스수당!$B$14:$F$14,0)),0),0)</f>
        <v>0</v>
      </c>
      <c r="L567" s="27">
        <f t="array" ref="L567">IF($O567="방문완료",IF($H567="",0,IFERROR(INDEX(설정_코스수당!$B$15:$F$64,MATCH($H567,설정_코스수당!$A$15:$A$64,0),MATCH($E567&amp;"수당",설정_코스수당!$B$14:$F$14,0)),0)),0)</f>
        <v>0</v>
      </c>
      <c r="M567" s="27">
        <f>IF($O567="방문완료",IFERROR(VLOOKUP($E567,설정_코스수당!$A$6:$H$10,6,FALSE),0),0)</f>
        <v>0</v>
      </c>
      <c r="N567" s="28">
        <f t="shared" si="16"/>
        <v>0</v>
      </c>
      <c r="O567" s="23"/>
      <c r="P567" s="23"/>
      <c r="Q567" s="23"/>
      <c r="R567" s="26"/>
      <c r="S567" s="23"/>
    </row>
    <row r="568" spans="1:19" ht="19.5" hidden="1" customHeight="1" outlineLevel="1">
      <c r="A568" s="29">
        <v>40</v>
      </c>
      <c r="B568" s="30">
        <f>IF(6&lt;=DAY(DATE(YEAR(설정_코스수당!$K$2),MONTH(설정_코스수당!$K$2)+1,0)),DATE(YEAR(설정_코스수당!$K$2),MONTH(설정_코스수당!$K$2),6),"")</f>
        <v>46179</v>
      </c>
      <c r="C568" s="31"/>
      <c r="D568" s="29"/>
      <c r="E568" s="29"/>
      <c r="F568" s="32"/>
      <c r="G568" s="29"/>
      <c r="H568" s="29"/>
      <c r="I568" s="29"/>
      <c r="J568" s="33">
        <f>IF($O568="방문완료",MAX(0,IFERROR(VLOOKUP($E568,설정_코스수당!$A$6:$H$10,4,FALSE),0)-IF(OR($P568="",$P568="없음"),0,100000)),0)</f>
        <v>0</v>
      </c>
      <c r="K568" s="33">
        <f t="array" ref="K568">IF($O568="방문완료",IFERROR(INDEX(설정_코스수당!$B$15:$F$64,MATCH($G568,설정_코스수당!$A$15:$A$64,0),MATCH($E568&amp;"수당",설정_코스수당!$B$14:$F$14,0)),0),0)</f>
        <v>0</v>
      </c>
      <c r="L568" s="33">
        <f t="array" ref="L568">IF($O568="방문완료",IF($H568="",0,IFERROR(INDEX(설정_코스수당!$B$15:$F$64,MATCH($H568,설정_코스수당!$A$15:$A$64,0),MATCH($E568&amp;"수당",설정_코스수당!$B$14:$F$14,0)),0)),0)</f>
        <v>0</v>
      </c>
      <c r="M568" s="33">
        <f>IF($O568="방문완료",IFERROR(VLOOKUP($E568,설정_코스수당!$A$6:$H$10,6,FALSE),0),0)</f>
        <v>0</v>
      </c>
      <c r="N568" s="34">
        <f t="shared" si="16"/>
        <v>0</v>
      </c>
      <c r="O568" s="29"/>
      <c r="P568" s="29"/>
      <c r="Q568" s="29"/>
      <c r="R568" s="32"/>
      <c r="S568" s="29"/>
    </row>
    <row r="569" spans="1:19" ht="19.5" hidden="1" customHeight="1" outlineLevel="1">
      <c r="A569" s="23">
        <v>41</v>
      </c>
      <c r="B569" s="24">
        <f>IF(6&lt;=DAY(DATE(YEAR(설정_코스수당!$K$2),MONTH(설정_코스수당!$K$2)+1,0)),DATE(YEAR(설정_코스수당!$K$2),MONTH(설정_코스수당!$K$2),6),"")</f>
        <v>46179</v>
      </c>
      <c r="C569" s="25"/>
      <c r="D569" s="23"/>
      <c r="E569" s="23"/>
      <c r="F569" s="26"/>
      <c r="G569" s="23"/>
      <c r="H569" s="23"/>
      <c r="I569" s="23"/>
      <c r="J569" s="27">
        <f>IF($O569="방문완료",MAX(0,IFERROR(VLOOKUP($E569,설정_코스수당!$A$6:$H$10,4,FALSE),0)-IF(OR($P569="",$P569="없음"),0,100000)),0)</f>
        <v>0</v>
      </c>
      <c r="K569" s="27">
        <f t="array" ref="K569">IF($O569="방문완료",IFERROR(INDEX(설정_코스수당!$B$15:$F$64,MATCH($G569,설정_코스수당!$A$15:$A$64,0),MATCH($E569&amp;"수당",설정_코스수당!$B$14:$F$14,0)),0),0)</f>
        <v>0</v>
      </c>
      <c r="L569" s="27">
        <f t="array" ref="L569">IF($O569="방문완료",IF($H569="",0,IFERROR(INDEX(설정_코스수당!$B$15:$F$64,MATCH($H569,설정_코스수당!$A$15:$A$64,0),MATCH($E569&amp;"수당",설정_코스수당!$B$14:$F$14,0)),0)),0)</f>
        <v>0</v>
      </c>
      <c r="M569" s="27">
        <f>IF($O569="방문완료",IFERROR(VLOOKUP($E569,설정_코스수당!$A$6:$H$10,6,FALSE),0),0)</f>
        <v>0</v>
      </c>
      <c r="N569" s="28">
        <f t="shared" si="16"/>
        <v>0</v>
      </c>
      <c r="O569" s="23"/>
      <c r="P569" s="23"/>
      <c r="Q569" s="23"/>
      <c r="R569" s="26"/>
      <c r="S569" s="23"/>
    </row>
    <row r="570" spans="1:19" ht="19.5" hidden="1" customHeight="1" outlineLevel="1">
      <c r="A570" s="29">
        <v>42</v>
      </c>
      <c r="B570" s="30">
        <f>IF(6&lt;=DAY(DATE(YEAR(설정_코스수당!$K$2),MONTH(설정_코스수당!$K$2)+1,0)),DATE(YEAR(설정_코스수당!$K$2),MONTH(설정_코스수당!$K$2),6),"")</f>
        <v>46179</v>
      </c>
      <c r="C570" s="31"/>
      <c r="D570" s="29"/>
      <c r="E570" s="29"/>
      <c r="F570" s="32"/>
      <c r="G570" s="29"/>
      <c r="H570" s="29"/>
      <c r="I570" s="29"/>
      <c r="J570" s="33">
        <f>IF($O570="방문완료",MAX(0,IFERROR(VLOOKUP($E570,설정_코스수당!$A$6:$H$10,4,FALSE),0)-IF(OR($P570="",$P570="없음"),0,100000)),0)</f>
        <v>0</v>
      </c>
      <c r="K570" s="33">
        <f t="array" ref="K570">IF($O570="방문완료",IFERROR(INDEX(설정_코스수당!$B$15:$F$64,MATCH($G570,설정_코스수당!$A$15:$A$64,0),MATCH($E570&amp;"수당",설정_코스수당!$B$14:$F$14,0)),0),0)</f>
        <v>0</v>
      </c>
      <c r="L570" s="33">
        <f t="array" ref="L570">IF($O570="방문완료",IF($H570="",0,IFERROR(INDEX(설정_코스수당!$B$15:$F$64,MATCH($H570,설정_코스수당!$A$15:$A$64,0),MATCH($E570&amp;"수당",설정_코스수당!$B$14:$F$14,0)),0)),0)</f>
        <v>0</v>
      </c>
      <c r="M570" s="33">
        <f>IF($O570="방문완료",IFERROR(VLOOKUP($E570,설정_코스수당!$A$6:$H$10,6,FALSE),0),0)</f>
        <v>0</v>
      </c>
      <c r="N570" s="34">
        <f t="shared" si="16"/>
        <v>0</v>
      </c>
      <c r="O570" s="29"/>
      <c r="P570" s="29"/>
      <c r="Q570" s="29"/>
      <c r="R570" s="32"/>
      <c r="S570" s="29"/>
    </row>
    <row r="571" spans="1:19" ht="19.5" hidden="1" customHeight="1" outlineLevel="1">
      <c r="A571" s="23">
        <v>43</v>
      </c>
      <c r="B571" s="24">
        <f>IF(6&lt;=DAY(DATE(YEAR(설정_코스수당!$K$2),MONTH(설정_코스수당!$K$2)+1,0)),DATE(YEAR(설정_코스수당!$K$2),MONTH(설정_코스수당!$K$2),6),"")</f>
        <v>46179</v>
      </c>
      <c r="C571" s="25"/>
      <c r="D571" s="23"/>
      <c r="E571" s="23"/>
      <c r="F571" s="26"/>
      <c r="G571" s="23"/>
      <c r="H571" s="23"/>
      <c r="I571" s="23"/>
      <c r="J571" s="27">
        <f>IF($O571="방문완료",MAX(0,IFERROR(VLOOKUP($E571,설정_코스수당!$A$6:$H$10,4,FALSE),0)-IF(OR($P571="",$P571="없음"),0,100000)),0)</f>
        <v>0</v>
      </c>
      <c r="K571" s="27">
        <f t="array" ref="K571">IF($O571="방문완료",IFERROR(INDEX(설정_코스수당!$B$15:$F$64,MATCH($G571,설정_코스수당!$A$15:$A$64,0),MATCH($E571&amp;"수당",설정_코스수당!$B$14:$F$14,0)),0),0)</f>
        <v>0</v>
      </c>
      <c r="L571" s="27">
        <f t="array" ref="L571">IF($O571="방문완료",IF($H571="",0,IFERROR(INDEX(설정_코스수당!$B$15:$F$64,MATCH($H571,설정_코스수당!$A$15:$A$64,0),MATCH($E571&amp;"수당",설정_코스수당!$B$14:$F$14,0)),0)),0)</f>
        <v>0</v>
      </c>
      <c r="M571" s="27">
        <f>IF($O571="방문완료",IFERROR(VLOOKUP($E571,설정_코스수당!$A$6:$H$10,6,FALSE),0),0)</f>
        <v>0</v>
      </c>
      <c r="N571" s="28">
        <f t="shared" si="16"/>
        <v>0</v>
      </c>
      <c r="O571" s="23"/>
      <c r="P571" s="23"/>
      <c r="Q571" s="23"/>
      <c r="R571" s="26"/>
      <c r="S571" s="23"/>
    </row>
    <row r="572" spans="1:19" ht="19.5" hidden="1" customHeight="1" outlineLevel="1">
      <c r="A572" s="29">
        <v>44</v>
      </c>
      <c r="B572" s="30">
        <f>IF(6&lt;=DAY(DATE(YEAR(설정_코스수당!$K$2),MONTH(설정_코스수당!$K$2)+1,0)),DATE(YEAR(설정_코스수당!$K$2),MONTH(설정_코스수당!$K$2),6),"")</f>
        <v>46179</v>
      </c>
      <c r="C572" s="31"/>
      <c r="D572" s="29"/>
      <c r="E572" s="29"/>
      <c r="F572" s="32"/>
      <c r="G572" s="29"/>
      <c r="H572" s="29"/>
      <c r="I572" s="29"/>
      <c r="J572" s="33">
        <f>IF($O572="방문완료",MAX(0,IFERROR(VLOOKUP($E572,설정_코스수당!$A$6:$H$10,4,FALSE),0)-IF(OR($P572="",$P572="없음"),0,100000)),0)</f>
        <v>0</v>
      </c>
      <c r="K572" s="33">
        <f t="array" ref="K572">IF($O572="방문완료",IFERROR(INDEX(설정_코스수당!$B$15:$F$64,MATCH($G572,설정_코스수당!$A$15:$A$64,0),MATCH($E572&amp;"수당",설정_코스수당!$B$14:$F$14,0)),0),0)</f>
        <v>0</v>
      </c>
      <c r="L572" s="33">
        <f t="array" ref="L572">IF($O572="방문완료",IF($H572="",0,IFERROR(INDEX(설정_코스수당!$B$15:$F$64,MATCH($H572,설정_코스수당!$A$15:$A$64,0),MATCH($E572&amp;"수당",설정_코스수당!$B$14:$F$14,0)),0)),0)</f>
        <v>0</v>
      </c>
      <c r="M572" s="33">
        <f>IF($O572="방문완료",IFERROR(VLOOKUP($E572,설정_코스수당!$A$6:$H$10,6,FALSE),0),0)</f>
        <v>0</v>
      </c>
      <c r="N572" s="34">
        <f t="shared" si="16"/>
        <v>0</v>
      </c>
      <c r="O572" s="29"/>
      <c r="P572" s="29"/>
      <c r="Q572" s="29"/>
      <c r="R572" s="32"/>
      <c r="S572" s="29"/>
    </row>
    <row r="573" spans="1:19" ht="19.5" hidden="1" customHeight="1" outlineLevel="1">
      <c r="A573" s="23">
        <v>45</v>
      </c>
      <c r="B573" s="24">
        <f>IF(6&lt;=DAY(DATE(YEAR(설정_코스수당!$K$2),MONTH(설정_코스수당!$K$2)+1,0)),DATE(YEAR(설정_코스수당!$K$2),MONTH(설정_코스수당!$K$2),6),"")</f>
        <v>46179</v>
      </c>
      <c r="C573" s="25"/>
      <c r="D573" s="23"/>
      <c r="E573" s="23"/>
      <c r="F573" s="26"/>
      <c r="G573" s="23"/>
      <c r="H573" s="23"/>
      <c r="I573" s="23"/>
      <c r="J573" s="27">
        <f>IF($O573="방문완료",MAX(0,IFERROR(VLOOKUP($E573,설정_코스수당!$A$6:$H$10,4,FALSE),0)-IF(OR($P573="",$P573="없음"),0,100000)),0)</f>
        <v>0</v>
      </c>
      <c r="K573" s="27">
        <f t="array" ref="K573">IF($O573="방문완료",IFERROR(INDEX(설정_코스수당!$B$15:$F$64,MATCH($G573,설정_코스수당!$A$15:$A$64,0),MATCH($E573&amp;"수당",설정_코스수당!$B$14:$F$14,0)),0),0)</f>
        <v>0</v>
      </c>
      <c r="L573" s="27">
        <f t="array" ref="L573">IF($O573="방문완료",IF($H573="",0,IFERROR(INDEX(설정_코스수당!$B$15:$F$64,MATCH($H573,설정_코스수당!$A$15:$A$64,0),MATCH($E573&amp;"수당",설정_코스수당!$B$14:$F$14,0)),0)),0)</f>
        <v>0</v>
      </c>
      <c r="M573" s="27">
        <f>IF($O573="방문완료",IFERROR(VLOOKUP($E573,설정_코스수당!$A$6:$H$10,6,FALSE),0),0)</f>
        <v>0</v>
      </c>
      <c r="N573" s="28">
        <f t="shared" si="16"/>
        <v>0</v>
      </c>
      <c r="O573" s="23"/>
      <c r="P573" s="23"/>
      <c r="Q573" s="23"/>
      <c r="R573" s="26"/>
      <c r="S573" s="23"/>
    </row>
    <row r="574" spans="1:19" ht="19.5" hidden="1" customHeight="1" outlineLevel="1">
      <c r="A574" s="29">
        <v>46</v>
      </c>
      <c r="B574" s="30">
        <f>IF(6&lt;=DAY(DATE(YEAR(설정_코스수당!$K$2),MONTH(설정_코스수당!$K$2)+1,0)),DATE(YEAR(설정_코스수당!$K$2),MONTH(설정_코스수당!$K$2),6),"")</f>
        <v>46179</v>
      </c>
      <c r="C574" s="31"/>
      <c r="D574" s="29"/>
      <c r="E574" s="29"/>
      <c r="F574" s="32"/>
      <c r="G574" s="29"/>
      <c r="H574" s="29"/>
      <c r="I574" s="29"/>
      <c r="J574" s="33">
        <f>IF($O574="방문완료",MAX(0,IFERROR(VLOOKUP($E574,설정_코스수당!$A$6:$H$10,4,FALSE),0)-IF(OR($P574="",$P574="없음"),0,100000)),0)</f>
        <v>0</v>
      </c>
      <c r="K574" s="33">
        <f t="array" ref="K574">IF($O574="방문완료",IFERROR(INDEX(설정_코스수당!$B$15:$F$64,MATCH($G574,설정_코스수당!$A$15:$A$64,0),MATCH($E574&amp;"수당",설정_코스수당!$B$14:$F$14,0)),0),0)</f>
        <v>0</v>
      </c>
      <c r="L574" s="33">
        <f t="array" ref="L574">IF($O574="방문완료",IF($H574="",0,IFERROR(INDEX(설정_코스수당!$B$15:$F$64,MATCH($H574,설정_코스수당!$A$15:$A$64,0),MATCH($E574&amp;"수당",설정_코스수당!$B$14:$F$14,0)),0)),0)</f>
        <v>0</v>
      </c>
      <c r="M574" s="33">
        <f>IF($O574="방문완료",IFERROR(VLOOKUP($E574,설정_코스수당!$A$6:$H$10,6,FALSE),0),0)</f>
        <v>0</v>
      </c>
      <c r="N574" s="34">
        <f t="shared" si="16"/>
        <v>0</v>
      </c>
      <c r="O574" s="29"/>
      <c r="P574" s="29"/>
      <c r="Q574" s="29"/>
      <c r="R574" s="32"/>
      <c r="S574" s="29"/>
    </row>
    <row r="575" spans="1:19" ht="19.5" hidden="1" customHeight="1" outlineLevel="1">
      <c r="A575" s="23">
        <v>47</v>
      </c>
      <c r="B575" s="24">
        <f>IF(6&lt;=DAY(DATE(YEAR(설정_코스수당!$K$2),MONTH(설정_코스수당!$K$2)+1,0)),DATE(YEAR(설정_코스수당!$K$2),MONTH(설정_코스수당!$K$2),6),"")</f>
        <v>46179</v>
      </c>
      <c r="C575" s="25"/>
      <c r="D575" s="23"/>
      <c r="E575" s="23"/>
      <c r="F575" s="26"/>
      <c r="G575" s="23"/>
      <c r="H575" s="23"/>
      <c r="I575" s="23"/>
      <c r="J575" s="27">
        <f>IF($O575="방문완료",MAX(0,IFERROR(VLOOKUP($E575,설정_코스수당!$A$6:$H$10,4,FALSE),0)-IF(OR($P575="",$P575="없음"),0,100000)),0)</f>
        <v>0</v>
      </c>
      <c r="K575" s="27">
        <f t="array" ref="K575">IF($O575="방문완료",IFERROR(INDEX(설정_코스수당!$B$15:$F$64,MATCH($G575,설정_코스수당!$A$15:$A$64,0),MATCH($E575&amp;"수당",설정_코스수당!$B$14:$F$14,0)),0),0)</f>
        <v>0</v>
      </c>
      <c r="L575" s="27">
        <f t="array" ref="L575">IF($O575="방문완료",IF($H575="",0,IFERROR(INDEX(설정_코스수당!$B$15:$F$64,MATCH($H575,설정_코스수당!$A$15:$A$64,0),MATCH($E575&amp;"수당",설정_코스수당!$B$14:$F$14,0)),0)),0)</f>
        <v>0</v>
      </c>
      <c r="M575" s="27">
        <f>IF($O575="방문완료",IFERROR(VLOOKUP($E575,설정_코스수당!$A$6:$H$10,6,FALSE),0),0)</f>
        <v>0</v>
      </c>
      <c r="N575" s="28">
        <f t="shared" si="16"/>
        <v>0</v>
      </c>
      <c r="O575" s="23"/>
      <c r="P575" s="23"/>
      <c r="Q575" s="23"/>
      <c r="R575" s="26"/>
      <c r="S575" s="23"/>
    </row>
    <row r="576" spans="1:19" ht="19.5" hidden="1" customHeight="1" outlineLevel="1">
      <c r="A576" s="29">
        <v>48</v>
      </c>
      <c r="B576" s="30">
        <f>IF(6&lt;=DAY(DATE(YEAR(설정_코스수당!$K$2),MONTH(설정_코스수당!$K$2)+1,0)),DATE(YEAR(설정_코스수당!$K$2),MONTH(설정_코스수당!$K$2),6),"")</f>
        <v>46179</v>
      </c>
      <c r="C576" s="31"/>
      <c r="D576" s="29"/>
      <c r="E576" s="29"/>
      <c r="F576" s="32"/>
      <c r="G576" s="29"/>
      <c r="H576" s="29"/>
      <c r="I576" s="29"/>
      <c r="J576" s="33">
        <f>IF($O576="방문완료",MAX(0,IFERROR(VLOOKUP($E576,설정_코스수당!$A$6:$H$10,4,FALSE),0)-IF(OR($P576="",$P576="없음"),0,100000)),0)</f>
        <v>0</v>
      </c>
      <c r="K576" s="33">
        <f t="array" ref="K576">IF($O576="방문완료",IFERROR(INDEX(설정_코스수당!$B$15:$F$64,MATCH($G576,설정_코스수당!$A$15:$A$64,0),MATCH($E576&amp;"수당",설정_코스수당!$B$14:$F$14,0)),0),0)</f>
        <v>0</v>
      </c>
      <c r="L576" s="33">
        <f t="array" ref="L576">IF($O576="방문완료",IF($H576="",0,IFERROR(INDEX(설정_코스수당!$B$15:$F$64,MATCH($H576,설정_코스수당!$A$15:$A$64,0),MATCH($E576&amp;"수당",설정_코스수당!$B$14:$F$14,0)),0)),0)</f>
        <v>0</v>
      </c>
      <c r="M576" s="33">
        <f>IF($O576="방문완료",IFERROR(VLOOKUP($E576,설정_코스수당!$A$6:$H$10,6,FALSE),0),0)</f>
        <v>0</v>
      </c>
      <c r="N576" s="34">
        <f t="shared" si="16"/>
        <v>0</v>
      </c>
      <c r="O576" s="29"/>
      <c r="P576" s="29"/>
      <c r="Q576" s="29"/>
      <c r="R576" s="32"/>
      <c r="S576" s="29"/>
    </row>
    <row r="577" spans="1:19" ht="19.5" hidden="1" customHeight="1" outlineLevel="1">
      <c r="A577" s="23">
        <v>49</v>
      </c>
      <c r="B577" s="24">
        <f>IF(6&lt;=DAY(DATE(YEAR(설정_코스수당!$K$2),MONTH(설정_코스수당!$K$2)+1,0)),DATE(YEAR(설정_코스수당!$K$2),MONTH(설정_코스수당!$K$2),6),"")</f>
        <v>46179</v>
      </c>
      <c r="C577" s="25"/>
      <c r="D577" s="23"/>
      <c r="E577" s="23"/>
      <c r="F577" s="26"/>
      <c r="G577" s="23"/>
      <c r="H577" s="23"/>
      <c r="I577" s="23"/>
      <c r="J577" s="27">
        <f>IF($O577="방문완료",MAX(0,IFERROR(VLOOKUP($E577,설정_코스수당!$A$6:$H$10,4,FALSE),0)-IF(OR($P577="",$P577="없음"),0,100000)),0)</f>
        <v>0</v>
      </c>
      <c r="K577" s="27">
        <f t="array" ref="K577">IF($O577="방문완료",IFERROR(INDEX(설정_코스수당!$B$15:$F$64,MATCH($G577,설정_코스수당!$A$15:$A$64,0),MATCH($E577&amp;"수당",설정_코스수당!$B$14:$F$14,0)),0),0)</f>
        <v>0</v>
      </c>
      <c r="L577" s="27">
        <f t="array" ref="L577">IF($O577="방문완료",IF($H577="",0,IFERROR(INDEX(설정_코스수당!$B$15:$F$64,MATCH($H577,설정_코스수당!$A$15:$A$64,0),MATCH($E577&amp;"수당",설정_코스수당!$B$14:$F$14,0)),0)),0)</f>
        <v>0</v>
      </c>
      <c r="M577" s="27">
        <f>IF($O577="방문완료",IFERROR(VLOOKUP($E577,설정_코스수당!$A$6:$H$10,6,FALSE),0),0)</f>
        <v>0</v>
      </c>
      <c r="N577" s="28">
        <f t="shared" si="16"/>
        <v>0</v>
      </c>
      <c r="O577" s="23"/>
      <c r="P577" s="23"/>
      <c r="Q577" s="23"/>
      <c r="R577" s="26"/>
      <c r="S577" s="23"/>
    </row>
    <row r="578" spans="1:19" ht="19.5" hidden="1" customHeight="1" outlineLevel="1">
      <c r="A578" s="29">
        <v>50</v>
      </c>
      <c r="B578" s="30">
        <f>IF(6&lt;=DAY(DATE(YEAR(설정_코스수당!$K$2),MONTH(설정_코스수당!$K$2)+1,0)),DATE(YEAR(설정_코스수당!$K$2),MONTH(설정_코스수당!$K$2),6),"")</f>
        <v>46179</v>
      </c>
      <c r="C578" s="31"/>
      <c r="D578" s="29"/>
      <c r="E578" s="29"/>
      <c r="F578" s="32"/>
      <c r="G578" s="29"/>
      <c r="H578" s="29"/>
      <c r="I578" s="29"/>
      <c r="J578" s="33">
        <f>IF($O578="방문완료",MAX(0,IFERROR(VLOOKUP($E578,설정_코스수당!$A$6:$H$10,4,FALSE),0)-IF(OR($P578="",$P578="없음"),0,100000)),0)</f>
        <v>0</v>
      </c>
      <c r="K578" s="33">
        <f t="array" ref="K578">IF($O578="방문완료",IFERROR(INDEX(설정_코스수당!$B$15:$F$64,MATCH($G578,설정_코스수당!$A$15:$A$64,0),MATCH($E578&amp;"수당",설정_코스수당!$B$14:$F$14,0)),0),0)</f>
        <v>0</v>
      </c>
      <c r="L578" s="33">
        <f t="array" ref="L578">IF($O578="방문완료",IF($H578="",0,IFERROR(INDEX(설정_코스수당!$B$15:$F$64,MATCH($H578,설정_코스수당!$A$15:$A$64,0),MATCH($E578&amp;"수당",설정_코스수당!$B$14:$F$14,0)),0)),0)</f>
        <v>0</v>
      </c>
      <c r="M578" s="33">
        <f>IF($O578="방문완료",IFERROR(VLOOKUP($E578,설정_코스수당!$A$6:$H$10,6,FALSE),0),0)</f>
        <v>0</v>
      </c>
      <c r="N578" s="34">
        <f t="shared" si="16"/>
        <v>0</v>
      </c>
      <c r="O578" s="29"/>
      <c r="P578" s="29"/>
      <c r="Q578" s="29"/>
      <c r="R578" s="32"/>
      <c r="S578" s="29"/>
    </row>
    <row r="579" spans="1:19" ht="19.5" hidden="1" customHeight="1" outlineLevel="1">
      <c r="A579" s="23">
        <v>51</v>
      </c>
      <c r="B579" s="24">
        <f>IF(6&lt;=DAY(DATE(YEAR(설정_코스수당!$K$2),MONTH(설정_코스수당!$K$2)+1,0)),DATE(YEAR(설정_코스수당!$K$2),MONTH(설정_코스수당!$K$2),6),"")</f>
        <v>46179</v>
      </c>
      <c r="C579" s="25"/>
      <c r="D579" s="23"/>
      <c r="E579" s="23"/>
      <c r="F579" s="26"/>
      <c r="G579" s="23"/>
      <c r="H579" s="23"/>
      <c r="I579" s="23"/>
      <c r="J579" s="27">
        <f>IF($O579="방문완료",MAX(0,IFERROR(VLOOKUP($E579,설정_코스수당!$A$6:$H$10,4,FALSE),0)-IF(OR($P579="",$P579="없음"),0,100000)),0)</f>
        <v>0</v>
      </c>
      <c r="K579" s="27">
        <f t="array" ref="K579">IF($O579="방문완료",IFERROR(INDEX(설정_코스수당!$B$15:$F$64,MATCH($G579,설정_코스수당!$A$15:$A$64,0),MATCH($E579&amp;"수당",설정_코스수당!$B$14:$F$14,0)),0),0)</f>
        <v>0</v>
      </c>
      <c r="L579" s="27">
        <f t="array" ref="L579">IF($O579="방문완료",IF($H579="",0,IFERROR(INDEX(설정_코스수당!$B$15:$F$64,MATCH($H579,설정_코스수당!$A$15:$A$64,0),MATCH($E579&amp;"수당",설정_코스수당!$B$14:$F$14,0)),0)),0)</f>
        <v>0</v>
      </c>
      <c r="M579" s="27">
        <f>IF($O579="방문완료",IFERROR(VLOOKUP($E579,설정_코스수당!$A$6:$H$10,6,FALSE),0),0)</f>
        <v>0</v>
      </c>
      <c r="N579" s="28">
        <f t="shared" si="16"/>
        <v>0</v>
      </c>
      <c r="O579" s="23"/>
      <c r="P579" s="23"/>
      <c r="Q579" s="23"/>
      <c r="R579" s="26"/>
      <c r="S579" s="23"/>
    </row>
    <row r="580" spans="1:19" ht="19.5" hidden="1" customHeight="1" outlineLevel="1">
      <c r="A580" s="29">
        <v>52</v>
      </c>
      <c r="B580" s="30">
        <f>IF(6&lt;=DAY(DATE(YEAR(설정_코스수당!$K$2),MONTH(설정_코스수당!$K$2)+1,0)),DATE(YEAR(설정_코스수당!$K$2),MONTH(설정_코스수당!$K$2),6),"")</f>
        <v>46179</v>
      </c>
      <c r="C580" s="31"/>
      <c r="D580" s="29"/>
      <c r="E580" s="29"/>
      <c r="F580" s="32"/>
      <c r="G580" s="29"/>
      <c r="H580" s="29"/>
      <c r="I580" s="29"/>
      <c r="J580" s="33">
        <f>IF($O580="방문완료",MAX(0,IFERROR(VLOOKUP($E580,설정_코스수당!$A$6:$H$10,4,FALSE),0)-IF(OR($P580="",$P580="없음"),0,100000)),0)</f>
        <v>0</v>
      </c>
      <c r="K580" s="33">
        <f t="array" ref="K580">IF($O580="방문완료",IFERROR(INDEX(설정_코스수당!$B$15:$F$64,MATCH($G580,설정_코스수당!$A$15:$A$64,0),MATCH($E580&amp;"수당",설정_코스수당!$B$14:$F$14,0)),0),0)</f>
        <v>0</v>
      </c>
      <c r="L580" s="33">
        <f t="array" ref="L580">IF($O580="방문완료",IF($H580="",0,IFERROR(INDEX(설정_코스수당!$B$15:$F$64,MATCH($H580,설정_코스수당!$A$15:$A$64,0),MATCH($E580&amp;"수당",설정_코스수당!$B$14:$F$14,0)),0)),0)</f>
        <v>0</v>
      </c>
      <c r="M580" s="33">
        <f>IF($O580="방문완료",IFERROR(VLOOKUP($E580,설정_코스수당!$A$6:$H$10,6,FALSE),0),0)</f>
        <v>0</v>
      </c>
      <c r="N580" s="34">
        <f t="shared" si="16"/>
        <v>0</v>
      </c>
      <c r="O580" s="29"/>
      <c r="P580" s="29"/>
      <c r="Q580" s="29"/>
      <c r="R580" s="32"/>
      <c r="S580" s="29"/>
    </row>
    <row r="581" spans="1:19" ht="19.5" hidden="1" customHeight="1" outlineLevel="1">
      <c r="A581" s="23">
        <v>53</v>
      </c>
      <c r="B581" s="24">
        <f>IF(6&lt;=DAY(DATE(YEAR(설정_코스수당!$K$2),MONTH(설정_코스수당!$K$2)+1,0)),DATE(YEAR(설정_코스수당!$K$2),MONTH(설정_코스수당!$K$2),6),"")</f>
        <v>46179</v>
      </c>
      <c r="C581" s="25"/>
      <c r="D581" s="23"/>
      <c r="E581" s="23"/>
      <c r="F581" s="26"/>
      <c r="G581" s="23"/>
      <c r="H581" s="23"/>
      <c r="I581" s="23"/>
      <c r="J581" s="27">
        <f>IF($O581="방문완료",MAX(0,IFERROR(VLOOKUP($E581,설정_코스수당!$A$6:$H$10,4,FALSE),0)-IF(OR($P581="",$P581="없음"),0,100000)),0)</f>
        <v>0</v>
      </c>
      <c r="K581" s="27">
        <f t="array" ref="K581">IF($O581="방문완료",IFERROR(INDEX(설정_코스수당!$B$15:$F$64,MATCH($G581,설정_코스수당!$A$15:$A$64,0),MATCH($E581&amp;"수당",설정_코스수당!$B$14:$F$14,0)),0),0)</f>
        <v>0</v>
      </c>
      <c r="L581" s="27">
        <f t="array" ref="L581">IF($O581="방문완료",IF($H581="",0,IFERROR(INDEX(설정_코스수당!$B$15:$F$64,MATCH($H581,설정_코스수당!$A$15:$A$64,0),MATCH($E581&amp;"수당",설정_코스수당!$B$14:$F$14,0)),0)),0)</f>
        <v>0</v>
      </c>
      <c r="M581" s="27">
        <f>IF($O581="방문완료",IFERROR(VLOOKUP($E581,설정_코스수당!$A$6:$H$10,6,FALSE),0),0)</f>
        <v>0</v>
      </c>
      <c r="N581" s="28">
        <f t="shared" si="16"/>
        <v>0</v>
      </c>
      <c r="O581" s="23"/>
      <c r="P581" s="23"/>
      <c r="Q581" s="23"/>
      <c r="R581" s="26"/>
      <c r="S581" s="23"/>
    </row>
    <row r="582" spans="1:19" ht="19.5" hidden="1" customHeight="1" outlineLevel="1">
      <c r="A582" s="29">
        <v>54</v>
      </c>
      <c r="B582" s="30">
        <f>IF(6&lt;=DAY(DATE(YEAR(설정_코스수당!$K$2),MONTH(설정_코스수당!$K$2)+1,0)),DATE(YEAR(설정_코스수당!$K$2),MONTH(설정_코스수당!$K$2),6),"")</f>
        <v>46179</v>
      </c>
      <c r="C582" s="31"/>
      <c r="D582" s="29"/>
      <c r="E582" s="29"/>
      <c r="F582" s="32"/>
      <c r="G582" s="29"/>
      <c r="H582" s="29"/>
      <c r="I582" s="29"/>
      <c r="J582" s="33">
        <f>IF($O582="방문완료",MAX(0,IFERROR(VLOOKUP($E582,설정_코스수당!$A$6:$H$10,4,FALSE),0)-IF(OR($P582="",$P582="없음"),0,100000)),0)</f>
        <v>0</v>
      </c>
      <c r="K582" s="33">
        <f t="array" ref="K582">IF($O582="방문완료",IFERROR(INDEX(설정_코스수당!$B$15:$F$64,MATCH($G582,설정_코스수당!$A$15:$A$64,0),MATCH($E582&amp;"수당",설정_코스수당!$B$14:$F$14,0)),0),0)</f>
        <v>0</v>
      </c>
      <c r="L582" s="33">
        <f t="array" ref="L582">IF($O582="방문완료",IF($H582="",0,IFERROR(INDEX(설정_코스수당!$B$15:$F$64,MATCH($H582,설정_코스수당!$A$15:$A$64,0),MATCH($E582&amp;"수당",설정_코스수당!$B$14:$F$14,0)),0)),0)</f>
        <v>0</v>
      </c>
      <c r="M582" s="33">
        <f>IF($O582="방문완료",IFERROR(VLOOKUP($E582,설정_코스수당!$A$6:$H$10,6,FALSE),0),0)</f>
        <v>0</v>
      </c>
      <c r="N582" s="34">
        <f t="shared" si="16"/>
        <v>0</v>
      </c>
      <c r="O582" s="29"/>
      <c r="P582" s="29"/>
      <c r="Q582" s="29"/>
      <c r="R582" s="32"/>
      <c r="S582" s="29"/>
    </row>
    <row r="583" spans="1:19" ht="19.5" hidden="1" customHeight="1" outlineLevel="1">
      <c r="A583" s="23">
        <v>55</v>
      </c>
      <c r="B583" s="24">
        <f>IF(6&lt;=DAY(DATE(YEAR(설정_코스수당!$K$2),MONTH(설정_코스수당!$K$2)+1,0)),DATE(YEAR(설정_코스수당!$K$2),MONTH(설정_코스수당!$K$2),6),"")</f>
        <v>46179</v>
      </c>
      <c r="C583" s="25"/>
      <c r="D583" s="23"/>
      <c r="E583" s="23"/>
      <c r="F583" s="26"/>
      <c r="G583" s="23"/>
      <c r="H583" s="23"/>
      <c r="I583" s="23"/>
      <c r="J583" s="27">
        <f>IF($O583="방문완료",MAX(0,IFERROR(VLOOKUP($E583,설정_코스수당!$A$6:$H$10,4,FALSE),0)-IF(OR($P583="",$P583="없음"),0,100000)),0)</f>
        <v>0</v>
      </c>
      <c r="K583" s="27">
        <f t="array" ref="K583">IF($O583="방문완료",IFERROR(INDEX(설정_코스수당!$B$15:$F$64,MATCH($G583,설정_코스수당!$A$15:$A$64,0),MATCH($E583&amp;"수당",설정_코스수당!$B$14:$F$14,0)),0),0)</f>
        <v>0</v>
      </c>
      <c r="L583" s="27">
        <f t="array" ref="L583">IF($O583="방문완료",IF($H583="",0,IFERROR(INDEX(설정_코스수당!$B$15:$F$64,MATCH($H583,설정_코스수당!$A$15:$A$64,0),MATCH($E583&amp;"수당",설정_코스수당!$B$14:$F$14,0)),0)),0)</f>
        <v>0</v>
      </c>
      <c r="M583" s="27">
        <f>IF($O583="방문완료",IFERROR(VLOOKUP($E583,설정_코스수당!$A$6:$H$10,6,FALSE),0),0)</f>
        <v>0</v>
      </c>
      <c r="N583" s="28">
        <f t="shared" si="16"/>
        <v>0</v>
      </c>
      <c r="O583" s="23"/>
      <c r="P583" s="23"/>
      <c r="Q583" s="23"/>
      <c r="R583" s="26"/>
      <c r="S583" s="23"/>
    </row>
    <row r="584" spans="1:19" ht="19.5" hidden="1" customHeight="1" outlineLevel="1">
      <c r="A584" s="29">
        <v>56</v>
      </c>
      <c r="B584" s="30">
        <f>IF(6&lt;=DAY(DATE(YEAR(설정_코스수당!$K$2),MONTH(설정_코스수당!$K$2)+1,0)),DATE(YEAR(설정_코스수당!$K$2),MONTH(설정_코스수당!$K$2),6),"")</f>
        <v>46179</v>
      </c>
      <c r="C584" s="31"/>
      <c r="D584" s="29"/>
      <c r="E584" s="29"/>
      <c r="F584" s="32"/>
      <c r="G584" s="29"/>
      <c r="H584" s="29"/>
      <c r="I584" s="29"/>
      <c r="J584" s="33">
        <f>IF($O584="방문완료",MAX(0,IFERROR(VLOOKUP($E584,설정_코스수당!$A$6:$H$10,4,FALSE),0)-IF(OR($P584="",$P584="없음"),0,100000)),0)</f>
        <v>0</v>
      </c>
      <c r="K584" s="33">
        <f t="array" ref="K584">IF($O584="방문완료",IFERROR(INDEX(설정_코스수당!$B$15:$F$64,MATCH($G584,설정_코스수당!$A$15:$A$64,0),MATCH($E584&amp;"수당",설정_코스수당!$B$14:$F$14,0)),0),0)</f>
        <v>0</v>
      </c>
      <c r="L584" s="33">
        <f t="array" ref="L584">IF($O584="방문완료",IF($H584="",0,IFERROR(INDEX(설정_코스수당!$B$15:$F$64,MATCH($H584,설정_코스수당!$A$15:$A$64,0),MATCH($E584&amp;"수당",설정_코스수당!$B$14:$F$14,0)),0)),0)</f>
        <v>0</v>
      </c>
      <c r="M584" s="33">
        <f>IF($O584="방문완료",IFERROR(VLOOKUP($E584,설정_코스수당!$A$6:$H$10,6,FALSE),0),0)</f>
        <v>0</v>
      </c>
      <c r="N584" s="34">
        <f t="shared" si="16"/>
        <v>0</v>
      </c>
      <c r="O584" s="29"/>
      <c r="P584" s="29"/>
      <c r="Q584" s="29"/>
      <c r="R584" s="32"/>
      <c r="S584" s="29"/>
    </row>
    <row r="585" spans="1:19" ht="19.5" hidden="1" customHeight="1" outlineLevel="1">
      <c r="A585" s="23">
        <v>57</v>
      </c>
      <c r="B585" s="24">
        <f>IF(6&lt;=DAY(DATE(YEAR(설정_코스수당!$K$2),MONTH(설정_코스수당!$K$2)+1,0)),DATE(YEAR(설정_코스수당!$K$2),MONTH(설정_코스수당!$K$2),6),"")</f>
        <v>46179</v>
      </c>
      <c r="C585" s="25"/>
      <c r="D585" s="23"/>
      <c r="E585" s="23"/>
      <c r="F585" s="26"/>
      <c r="G585" s="23"/>
      <c r="H585" s="23"/>
      <c r="I585" s="23"/>
      <c r="J585" s="27">
        <f>IF($O585="방문완료",MAX(0,IFERROR(VLOOKUP($E585,설정_코스수당!$A$6:$H$10,4,FALSE),0)-IF(OR($P585="",$P585="없음"),0,100000)),0)</f>
        <v>0</v>
      </c>
      <c r="K585" s="27">
        <f t="array" ref="K585">IF($O585="방문완료",IFERROR(INDEX(설정_코스수당!$B$15:$F$64,MATCH($G585,설정_코스수당!$A$15:$A$64,0),MATCH($E585&amp;"수당",설정_코스수당!$B$14:$F$14,0)),0),0)</f>
        <v>0</v>
      </c>
      <c r="L585" s="27">
        <f t="array" ref="L585">IF($O585="방문완료",IF($H585="",0,IFERROR(INDEX(설정_코스수당!$B$15:$F$64,MATCH($H585,설정_코스수당!$A$15:$A$64,0),MATCH($E585&amp;"수당",설정_코스수당!$B$14:$F$14,0)),0)),0)</f>
        <v>0</v>
      </c>
      <c r="M585" s="27">
        <f>IF($O585="방문완료",IFERROR(VLOOKUP($E585,설정_코스수당!$A$6:$H$10,6,FALSE),0),0)</f>
        <v>0</v>
      </c>
      <c r="N585" s="28">
        <f t="shared" si="16"/>
        <v>0</v>
      </c>
      <c r="O585" s="23"/>
      <c r="P585" s="23"/>
      <c r="Q585" s="23"/>
      <c r="R585" s="26"/>
      <c r="S585" s="23"/>
    </row>
    <row r="586" spans="1:19" ht="19.5" hidden="1" customHeight="1" outlineLevel="1">
      <c r="A586" s="29">
        <v>58</v>
      </c>
      <c r="B586" s="30">
        <f>IF(6&lt;=DAY(DATE(YEAR(설정_코스수당!$K$2),MONTH(설정_코스수당!$K$2)+1,0)),DATE(YEAR(설정_코스수당!$K$2),MONTH(설정_코스수당!$K$2),6),"")</f>
        <v>46179</v>
      </c>
      <c r="C586" s="31"/>
      <c r="D586" s="29"/>
      <c r="E586" s="29"/>
      <c r="F586" s="32"/>
      <c r="G586" s="29"/>
      <c r="H586" s="29"/>
      <c r="I586" s="29"/>
      <c r="J586" s="33">
        <f>IF($O586="방문완료",MAX(0,IFERROR(VLOOKUP($E586,설정_코스수당!$A$6:$H$10,4,FALSE),0)-IF(OR($P586="",$P586="없음"),0,100000)),0)</f>
        <v>0</v>
      </c>
      <c r="K586" s="33">
        <f t="array" ref="K586">IF($O586="방문완료",IFERROR(INDEX(설정_코스수당!$B$15:$F$64,MATCH($G586,설정_코스수당!$A$15:$A$64,0),MATCH($E586&amp;"수당",설정_코스수당!$B$14:$F$14,0)),0),0)</f>
        <v>0</v>
      </c>
      <c r="L586" s="33">
        <f t="array" ref="L586">IF($O586="방문완료",IF($H586="",0,IFERROR(INDEX(설정_코스수당!$B$15:$F$64,MATCH($H586,설정_코스수당!$A$15:$A$64,0),MATCH($E586&amp;"수당",설정_코스수당!$B$14:$F$14,0)),0)),0)</f>
        <v>0</v>
      </c>
      <c r="M586" s="33">
        <f>IF($O586="방문완료",IFERROR(VLOOKUP($E586,설정_코스수당!$A$6:$H$10,6,FALSE),0),0)</f>
        <v>0</v>
      </c>
      <c r="N586" s="34">
        <f t="shared" si="16"/>
        <v>0</v>
      </c>
      <c r="O586" s="29"/>
      <c r="P586" s="29"/>
      <c r="Q586" s="29"/>
      <c r="R586" s="32"/>
      <c r="S586" s="29"/>
    </row>
    <row r="587" spans="1:19" ht="19.5" hidden="1" customHeight="1" outlineLevel="1">
      <c r="A587" s="23">
        <v>59</v>
      </c>
      <c r="B587" s="24">
        <f>IF(6&lt;=DAY(DATE(YEAR(설정_코스수당!$K$2),MONTH(설정_코스수당!$K$2)+1,0)),DATE(YEAR(설정_코스수당!$K$2),MONTH(설정_코스수당!$K$2),6),"")</f>
        <v>46179</v>
      </c>
      <c r="C587" s="25"/>
      <c r="D587" s="23"/>
      <c r="E587" s="23"/>
      <c r="F587" s="26"/>
      <c r="G587" s="23"/>
      <c r="H587" s="23"/>
      <c r="I587" s="23"/>
      <c r="J587" s="27">
        <f>IF($O587="방문완료",MAX(0,IFERROR(VLOOKUP($E587,설정_코스수당!$A$6:$H$10,4,FALSE),0)-IF(OR($P587="",$P587="없음"),0,100000)),0)</f>
        <v>0</v>
      </c>
      <c r="K587" s="27">
        <f t="array" ref="K587">IF($O587="방문완료",IFERROR(INDEX(설정_코스수당!$B$15:$F$64,MATCH($G587,설정_코스수당!$A$15:$A$64,0),MATCH($E587&amp;"수당",설정_코스수당!$B$14:$F$14,0)),0),0)</f>
        <v>0</v>
      </c>
      <c r="L587" s="27">
        <f t="array" ref="L587">IF($O587="방문완료",IF($H587="",0,IFERROR(INDEX(설정_코스수당!$B$15:$F$64,MATCH($H587,설정_코스수당!$A$15:$A$64,0),MATCH($E587&amp;"수당",설정_코스수당!$B$14:$F$14,0)),0)),0)</f>
        <v>0</v>
      </c>
      <c r="M587" s="27">
        <f>IF($O587="방문완료",IFERROR(VLOOKUP($E587,설정_코스수당!$A$6:$H$10,6,FALSE),0),0)</f>
        <v>0</v>
      </c>
      <c r="N587" s="28">
        <f t="shared" si="16"/>
        <v>0</v>
      </c>
      <c r="O587" s="23"/>
      <c r="P587" s="23"/>
      <c r="Q587" s="23"/>
      <c r="R587" s="26"/>
      <c r="S587" s="23"/>
    </row>
    <row r="588" spans="1:19" ht="19.5" hidden="1" customHeight="1" outlineLevel="1">
      <c r="A588" s="29">
        <v>60</v>
      </c>
      <c r="B588" s="30">
        <f>IF(6&lt;=DAY(DATE(YEAR(설정_코스수당!$K$2),MONTH(설정_코스수당!$K$2)+1,0)),DATE(YEAR(설정_코스수당!$K$2),MONTH(설정_코스수당!$K$2),6),"")</f>
        <v>46179</v>
      </c>
      <c r="C588" s="31"/>
      <c r="D588" s="29"/>
      <c r="E588" s="29"/>
      <c r="F588" s="32"/>
      <c r="G588" s="29"/>
      <c r="H588" s="29"/>
      <c r="I588" s="29"/>
      <c r="J588" s="33">
        <f>IF($O588="방문완료",MAX(0,IFERROR(VLOOKUP($E588,설정_코스수당!$A$6:$H$10,4,FALSE),0)-IF(OR($P588="",$P588="없음"),0,100000)),0)</f>
        <v>0</v>
      </c>
      <c r="K588" s="33">
        <f t="array" ref="K588">IF($O588="방문완료",IFERROR(INDEX(설정_코스수당!$B$15:$F$64,MATCH($G588,설정_코스수당!$A$15:$A$64,0),MATCH($E588&amp;"수당",설정_코스수당!$B$14:$F$14,0)),0),0)</f>
        <v>0</v>
      </c>
      <c r="L588" s="33">
        <f t="array" ref="L588">IF($O588="방문완료",IF($H588="",0,IFERROR(INDEX(설정_코스수당!$B$15:$F$64,MATCH($H588,설정_코스수당!$A$15:$A$64,0),MATCH($E588&amp;"수당",설정_코스수당!$B$14:$F$14,0)),0)),0)</f>
        <v>0</v>
      </c>
      <c r="M588" s="33">
        <f>IF($O588="방문완료",IFERROR(VLOOKUP($E588,설정_코스수당!$A$6:$H$10,6,FALSE),0),0)</f>
        <v>0</v>
      </c>
      <c r="N588" s="34">
        <f t="shared" si="16"/>
        <v>0</v>
      </c>
      <c r="O588" s="29"/>
      <c r="P588" s="29"/>
      <c r="Q588" s="29"/>
      <c r="R588" s="32"/>
      <c r="S588" s="29"/>
    </row>
    <row r="589" spans="1:19" ht="19.5" hidden="1" customHeight="1" outlineLevel="1">
      <c r="A589" s="23">
        <v>61</v>
      </c>
      <c r="B589" s="24">
        <f>IF(6&lt;=DAY(DATE(YEAR(설정_코스수당!$K$2),MONTH(설정_코스수당!$K$2)+1,0)),DATE(YEAR(설정_코스수당!$K$2),MONTH(설정_코스수당!$K$2),6),"")</f>
        <v>46179</v>
      </c>
      <c r="C589" s="25"/>
      <c r="D589" s="23"/>
      <c r="E589" s="23"/>
      <c r="F589" s="26"/>
      <c r="G589" s="23"/>
      <c r="H589" s="23"/>
      <c r="I589" s="23"/>
      <c r="J589" s="27">
        <f>IF($O589="방문완료",MAX(0,IFERROR(VLOOKUP($E589,설정_코스수당!$A$6:$H$10,4,FALSE),0)-IF(OR($P589="",$P589="없음"),0,100000)),0)</f>
        <v>0</v>
      </c>
      <c r="K589" s="27">
        <f t="array" ref="K589">IF($O589="방문완료",IFERROR(INDEX(설정_코스수당!$B$15:$F$64,MATCH($G589,설정_코스수당!$A$15:$A$64,0),MATCH($E589&amp;"수당",설정_코스수당!$B$14:$F$14,0)),0),0)</f>
        <v>0</v>
      </c>
      <c r="L589" s="27">
        <f t="array" ref="L589">IF($O589="방문완료",IF($H589="",0,IFERROR(INDEX(설정_코스수당!$B$15:$F$64,MATCH($H589,설정_코스수당!$A$15:$A$64,0),MATCH($E589&amp;"수당",설정_코스수당!$B$14:$F$14,0)),0)),0)</f>
        <v>0</v>
      </c>
      <c r="M589" s="27">
        <f>IF($O589="방문완료",IFERROR(VLOOKUP($E589,설정_코스수당!$A$6:$H$10,6,FALSE),0),0)</f>
        <v>0</v>
      </c>
      <c r="N589" s="28">
        <f t="shared" si="16"/>
        <v>0</v>
      </c>
      <c r="O589" s="23"/>
      <c r="P589" s="23"/>
      <c r="Q589" s="23"/>
      <c r="R589" s="26"/>
      <c r="S589" s="23"/>
    </row>
    <row r="590" spans="1:19" ht="19.5" hidden="1" customHeight="1" outlineLevel="1">
      <c r="A590" s="29">
        <v>62</v>
      </c>
      <c r="B590" s="30">
        <f>IF(6&lt;=DAY(DATE(YEAR(설정_코스수당!$K$2),MONTH(설정_코스수당!$K$2)+1,0)),DATE(YEAR(설정_코스수당!$K$2),MONTH(설정_코스수당!$K$2),6),"")</f>
        <v>46179</v>
      </c>
      <c r="C590" s="31"/>
      <c r="D590" s="29"/>
      <c r="E590" s="29"/>
      <c r="F590" s="32"/>
      <c r="G590" s="29"/>
      <c r="H590" s="29"/>
      <c r="I590" s="29"/>
      <c r="J590" s="33">
        <f>IF($O590="방문완료",MAX(0,IFERROR(VLOOKUP($E590,설정_코스수당!$A$6:$H$10,4,FALSE),0)-IF(OR($P590="",$P590="없음"),0,100000)),0)</f>
        <v>0</v>
      </c>
      <c r="K590" s="33">
        <f t="array" ref="K590">IF($O590="방문완료",IFERROR(INDEX(설정_코스수당!$B$15:$F$64,MATCH($G590,설정_코스수당!$A$15:$A$64,0),MATCH($E590&amp;"수당",설정_코스수당!$B$14:$F$14,0)),0),0)</f>
        <v>0</v>
      </c>
      <c r="L590" s="33">
        <f t="array" ref="L590">IF($O590="방문완료",IF($H590="",0,IFERROR(INDEX(설정_코스수당!$B$15:$F$64,MATCH($H590,설정_코스수당!$A$15:$A$64,0),MATCH($E590&amp;"수당",설정_코스수당!$B$14:$F$14,0)),0)),0)</f>
        <v>0</v>
      </c>
      <c r="M590" s="33">
        <f>IF($O590="방문완료",IFERROR(VLOOKUP($E590,설정_코스수당!$A$6:$H$10,6,FALSE),0),0)</f>
        <v>0</v>
      </c>
      <c r="N590" s="34">
        <f t="shared" si="16"/>
        <v>0</v>
      </c>
      <c r="O590" s="29"/>
      <c r="P590" s="29"/>
      <c r="Q590" s="29"/>
      <c r="R590" s="32"/>
      <c r="S590" s="29"/>
    </row>
    <row r="591" spans="1:19" ht="19.5" hidden="1" customHeight="1" outlineLevel="1">
      <c r="A591" s="23">
        <v>63</v>
      </c>
      <c r="B591" s="24">
        <f>IF(6&lt;=DAY(DATE(YEAR(설정_코스수당!$K$2),MONTH(설정_코스수당!$K$2)+1,0)),DATE(YEAR(설정_코스수당!$K$2),MONTH(설정_코스수당!$K$2),6),"")</f>
        <v>46179</v>
      </c>
      <c r="C591" s="25"/>
      <c r="D591" s="23"/>
      <c r="E591" s="23"/>
      <c r="F591" s="26"/>
      <c r="G591" s="23"/>
      <c r="H591" s="23"/>
      <c r="I591" s="23"/>
      <c r="J591" s="27">
        <f>IF($O591="방문완료",MAX(0,IFERROR(VLOOKUP($E591,설정_코스수당!$A$6:$H$10,4,FALSE),0)-IF(OR($P591="",$P591="없음"),0,100000)),0)</f>
        <v>0</v>
      </c>
      <c r="K591" s="27">
        <f t="array" ref="K591">IF($O591="방문완료",IFERROR(INDEX(설정_코스수당!$B$15:$F$64,MATCH($G591,설정_코스수당!$A$15:$A$64,0),MATCH($E591&amp;"수당",설정_코스수당!$B$14:$F$14,0)),0),0)</f>
        <v>0</v>
      </c>
      <c r="L591" s="27">
        <f t="array" ref="L591">IF($O591="방문완료",IF($H591="",0,IFERROR(INDEX(설정_코스수당!$B$15:$F$64,MATCH($H591,설정_코스수당!$A$15:$A$64,0),MATCH($E591&amp;"수당",설정_코스수당!$B$14:$F$14,0)),0)),0)</f>
        <v>0</v>
      </c>
      <c r="M591" s="27">
        <f>IF($O591="방문완료",IFERROR(VLOOKUP($E591,설정_코스수당!$A$6:$H$10,6,FALSE),0),0)</f>
        <v>0</v>
      </c>
      <c r="N591" s="28">
        <f t="shared" si="16"/>
        <v>0</v>
      </c>
      <c r="O591" s="23"/>
      <c r="P591" s="23"/>
      <c r="Q591" s="23"/>
      <c r="R591" s="26"/>
      <c r="S591" s="23"/>
    </row>
    <row r="592" spans="1:19" ht="19.5" hidden="1" customHeight="1" outlineLevel="1">
      <c r="A592" s="29">
        <v>64</v>
      </c>
      <c r="B592" s="30">
        <f>IF(6&lt;=DAY(DATE(YEAR(설정_코스수당!$K$2),MONTH(설정_코스수당!$K$2)+1,0)),DATE(YEAR(설정_코스수당!$K$2),MONTH(설정_코스수당!$K$2),6),"")</f>
        <v>46179</v>
      </c>
      <c r="C592" s="31"/>
      <c r="D592" s="29"/>
      <c r="E592" s="29"/>
      <c r="F592" s="32"/>
      <c r="G592" s="29"/>
      <c r="H592" s="29"/>
      <c r="I592" s="29"/>
      <c r="J592" s="33">
        <f>IF($O592="방문완료",MAX(0,IFERROR(VLOOKUP($E592,설정_코스수당!$A$6:$H$10,4,FALSE),0)-IF(OR($P592="",$P592="없음"),0,100000)),0)</f>
        <v>0</v>
      </c>
      <c r="K592" s="33">
        <f t="array" ref="K592">IF($O592="방문완료",IFERROR(INDEX(설정_코스수당!$B$15:$F$64,MATCH($G592,설정_코스수당!$A$15:$A$64,0),MATCH($E592&amp;"수당",설정_코스수당!$B$14:$F$14,0)),0),0)</f>
        <v>0</v>
      </c>
      <c r="L592" s="33">
        <f t="array" ref="L592">IF($O592="방문완료",IF($H592="",0,IFERROR(INDEX(설정_코스수당!$B$15:$F$64,MATCH($H592,설정_코스수당!$A$15:$A$64,0),MATCH($E592&amp;"수당",설정_코스수당!$B$14:$F$14,0)),0)),0)</f>
        <v>0</v>
      </c>
      <c r="M592" s="33">
        <f>IF($O592="방문완료",IFERROR(VLOOKUP($E592,설정_코스수당!$A$6:$H$10,6,FALSE),0),0)</f>
        <v>0</v>
      </c>
      <c r="N592" s="34">
        <f t="shared" si="16"/>
        <v>0</v>
      </c>
      <c r="O592" s="29"/>
      <c r="P592" s="29"/>
      <c r="Q592" s="29"/>
      <c r="R592" s="32"/>
      <c r="S592" s="29"/>
    </row>
    <row r="593" spans="1:19" ht="19.5" hidden="1" customHeight="1" outlineLevel="1">
      <c r="A593" s="23">
        <v>65</v>
      </c>
      <c r="B593" s="24">
        <f>IF(6&lt;=DAY(DATE(YEAR(설정_코스수당!$K$2),MONTH(설정_코스수당!$K$2)+1,0)),DATE(YEAR(설정_코스수당!$K$2),MONTH(설정_코스수당!$K$2),6),"")</f>
        <v>46179</v>
      </c>
      <c r="C593" s="25"/>
      <c r="D593" s="23"/>
      <c r="E593" s="23"/>
      <c r="F593" s="26"/>
      <c r="G593" s="23"/>
      <c r="H593" s="23"/>
      <c r="I593" s="23"/>
      <c r="J593" s="27">
        <f>IF($O593="방문완료",MAX(0,IFERROR(VLOOKUP($E593,설정_코스수당!$A$6:$H$10,4,FALSE),0)-IF(OR($P593="",$P593="없음"),0,100000)),0)</f>
        <v>0</v>
      </c>
      <c r="K593" s="27">
        <f t="array" ref="K593">IF($O593="방문완료",IFERROR(INDEX(설정_코스수당!$B$15:$F$64,MATCH($G593,설정_코스수당!$A$15:$A$64,0),MATCH($E593&amp;"수당",설정_코스수당!$B$14:$F$14,0)),0),0)</f>
        <v>0</v>
      </c>
      <c r="L593" s="27">
        <f t="array" ref="L593">IF($O593="방문완료",IF($H593="",0,IFERROR(INDEX(설정_코스수당!$B$15:$F$64,MATCH($H593,설정_코스수당!$A$15:$A$64,0),MATCH($E593&amp;"수당",설정_코스수당!$B$14:$F$14,0)),0)),0)</f>
        <v>0</v>
      </c>
      <c r="M593" s="27">
        <f>IF($O593="방문완료",IFERROR(VLOOKUP($E593,설정_코스수당!$A$6:$H$10,6,FALSE),0),0)</f>
        <v>0</v>
      </c>
      <c r="N593" s="28">
        <f t="shared" ref="N593:N628" si="17">IF($O593="방문완료",1,0)</f>
        <v>0</v>
      </c>
      <c r="O593" s="23"/>
      <c r="P593" s="23"/>
      <c r="Q593" s="23"/>
      <c r="R593" s="26"/>
      <c r="S593" s="23"/>
    </row>
    <row r="594" spans="1:19" ht="19.5" hidden="1" customHeight="1" outlineLevel="1">
      <c r="A594" s="29">
        <v>66</v>
      </c>
      <c r="B594" s="30">
        <f>IF(6&lt;=DAY(DATE(YEAR(설정_코스수당!$K$2),MONTH(설정_코스수당!$K$2)+1,0)),DATE(YEAR(설정_코스수당!$K$2),MONTH(설정_코스수당!$K$2),6),"")</f>
        <v>46179</v>
      </c>
      <c r="C594" s="31"/>
      <c r="D594" s="29"/>
      <c r="E594" s="29"/>
      <c r="F594" s="32"/>
      <c r="G594" s="29"/>
      <c r="H594" s="29"/>
      <c r="I594" s="29"/>
      <c r="J594" s="33">
        <f>IF($O594="방문완료",MAX(0,IFERROR(VLOOKUP($E594,설정_코스수당!$A$6:$H$10,4,FALSE),0)-IF(OR($P594="",$P594="없음"),0,100000)),0)</f>
        <v>0</v>
      </c>
      <c r="K594" s="33">
        <f t="array" ref="K594">IF($O594="방문완료",IFERROR(INDEX(설정_코스수당!$B$15:$F$64,MATCH($G594,설정_코스수당!$A$15:$A$64,0),MATCH($E594&amp;"수당",설정_코스수당!$B$14:$F$14,0)),0),0)</f>
        <v>0</v>
      </c>
      <c r="L594" s="33">
        <f t="array" ref="L594">IF($O594="방문완료",IF($H594="",0,IFERROR(INDEX(설정_코스수당!$B$15:$F$64,MATCH($H594,설정_코스수당!$A$15:$A$64,0),MATCH($E594&amp;"수당",설정_코스수당!$B$14:$F$14,0)),0)),0)</f>
        <v>0</v>
      </c>
      <c r="M594" s="33">
        <f>IF($O594="방문완료",IFERROR(VLOOKUP($E594,설정_코스수당!$A$6:$H$10,6,FALSE),0),0)</f>
        <v>0</v>
      </c>
      <c r="N594" s="34">
        <f t="shared" si="17"/>
        <v>0</v>
      </c>
      <c r="O594" s="29"/>
      <c r="P594" s="29"/>
      <c r="Q594" s="29"/>
      <c r="R594" s="32"/>
      <c r="S594" s="29"/>
    </row>
    <row r="595" spans="1:19" ht="19.5" hidden="1" customHeight="1" outlineLevel="1">
      <c r="A595" s="23">
        <v>67</v>
      </c>
      <c r="B595" s="24">
        <f>IF(6&lt;=DAY(DATE(YEAR(설정_코스수당!$K$2),MONTH(설정_코스수당!$K$2)+1,0)),DATE(YEAR(설정_코스수당!$K$2),MONTH(설정_코스수당!$K$2),6),"")</f>
        <v>46179</v>
      </c>
      <c r="C595" s="25"/>
      <c r="D595" s="23"/>
      <c r="E595" s="23"/>
      <c r="F595" s="26"/>
      <c r="G595" s="23"/>
      <c r="H595" s="23"/>
      <c r="I595" s="23"/>
      <c r="J595" s="27">
        <f>IF($O595="방문완료",MAX(0,IFERROR(VLOOKUP($E595,설정_코스수당!$A$6:$H$10,4,FALSE),0)-IF(OR($P595="",$P595="없음"),0,100000)),0)</f>
        <v>0</v>
      </c>
      <c r="K595" s="27">
        <f t="array" ref="K595">IF($O595="방문완료",IFERROR(INDEX(설정_코스수당!$B$15:$F$64,MATCH($G595,설정_코스수당!$A$15:$A$64,0),MATCH($E595&amp;"수당",설정_코스수당!$B$14:$F$14,0)),0),0)</f>
        <v>0</v>
      </c>
      <c r="L595" s="27">
        <f t="array" ref="L595">IF($O595="방문완료",IF($H595="",0,IFERROR(INDEX(설정_코스수당!$B$15:$F$64,MATCH($H595,설정_코스수당!$A$15:$A$64,0),MATCH($E595&amp;"수당",설정_코스수당!$B$14:$F$14,0)),0)),0)</f>
        <v>0</v>
      </c>
      <c r="M595" s="27">
        <f>IF($O595="방문완료",IFERROR(VLOOKUP($E595,설정_코스수당!$A$6:$H$10,6,FALSE),0),0)</f>
        <v>0</v>
      </c>
      <c r="N595" s="28">
        <f t="shared" si="17"/>
        <v>0</v>
      </c>
      <c r="O595" s="23"/>
      <c r="P595" s="23"/>
      <c r="Q595" s="23"/>
      <c r="R595" s="26"/>
      <c r="S595" s="23"/>
    </row>
    <row r="596" spans="1:19" ht="19.5" hidden="1" customHeight="1" outlineLevel="1">
      <c r="A596" s="29">
        <v>68</v>
      </c>
      <c r="B596" s="30">
        <f>IF(6&lt;=DAY(DATE(YEAR(설정_코스수당!$K$2),MONTH(설정_코스수당!$K$2)+1,0)),DATE(YEAR(설정_코스수당!$K$2),MONTH(설정_코스수당!$K$2),6),"")</f>
        <v>46179</v>
      </c>
      <c r="C596" s="31"/>
      <c r="D596" s="29"/>
      <c r="E596" s="29"/>
      <c r="F596" s="32"/>
      <c r="G596" s="29"/>
      <c r="H596" s="29"/>
      <c r="I596" s="29"/>
      <c r="J596" s="33">
        <f>IF($O596="방문완료",MAX(0,IFERROR(VLOOKUP($E596,설정_코스수당!$A$6:$H$10,4,FALSE),0)-IF(OR($P596="",$P596="없음"),0,100000)),0)</f>
        <v>0</v>
      </c>
      <c r="K596" s="33">
        <f t="array" ref="K596">IF($O596="방문완료",IFERROR(INDEX(설정_코스수당!$B$15:$F$64,MATCH($G596,설정_코스수당!$A$15:$A$64,0),MATCH($E596&amp;"수당",설정_코스수당!$B$14:$F$14,0)),0),0)</f>
        <v>0</v>
      </c>
      <c r="L596" s="33">
        <f t="array" ref="L596">IF($O596="방문완료",IF($H596="",0,IFERROR(INDEX(설정_코스수당!$B$15:$F$64,MATCH($H596,설정_코스수당!$A$15:$A$64,0),MATCH($E596&amp;"수당",설정_코스수당!$B$14:$F$14,0)),0)),0)</f>
        <v>0</v>
      </c>
      <c r="M596" s="33">
        <f>IF($O596="방문완료",IFERROR(VLOOKUP($E596,설정_코스수당!$A$6:$H$10,6,FALSE),0),0)</f>
        <v>0</v>
      </c>
      <c r="N596" s="34">
        <f t="shared" si="17"/>
        <v>0</v>
      </c>
      <c r="O596" s="29"/>
      <c r="P596" s="29"/>
      <c r="Q596" s="29"/>
      <c r="R596" s="32"/>
      <c r="S596" s="29"/>
    </row>
    <row r="597" spans="1:19" ht="19.5" hidden="1" customHeight="1" outlineLevel="1">
      <c r="A597" s="23">
        <v>69</v>
      </c>
      <c r="B597" s="24">
        <f>IF(6&lt;=DAY(DATE(YEAR(설정_코스수당!$K$2),MONTH(설정_코스수당!$K$2)+1,0)),DATE(YEAR(설정_코스수당!$K$2),MONTH(설정_코스수당!$K$2),6),"")</f>
        <v>46179</v>
      </c>
      <c r="C597" s="25"/>
      <c r="D597" s="23"/>
      <c r="E597" s="23"/>
      <c r="F597" s="26"/>
      <c r="G597" s="23"/>
      <c r="H597" s="23"/>
      <c r="I597" s="23"/>
      <c r="J597" s="27">
        <f>IF($O597="방문완료",MAX(0,IFERROR(VLOOKUP($E597,설정_코스수당!$A$6:$H$10,4,FALSE),0)-IF(OR($P597="",$P597="없음"),0,100000)),0)</f>
        <v>0</v>
      </c>
      <c r="K597" s="27">
        <f t="array" ref="K597">IF($O597="방문완료",IFERROR(INDEX(설정_코스수당!$B$15:$F$64,MATCH($G597,설정_코스수당!$A$15:$A$64,0),MATCH($E597&amp;"수당",설정_코스수당!$B$14:$F$14,0)),0),0)</f>
        <v>0</v>
      </c>
      <c r="L597" s="27">
        <f t="array" ref="L597">IF($O597="방문완료",IF($H597="",0,IFERROR(INDEX(설정_코스수당!$B$15:$F$64,MATCH($H597,설정_코스수당!$A$15:$A$64,0),MATCH($E597&amp;"수당",설정_코스수당!$B$14:$F$14,0)),0)),0)</f>
        <v>0</v>
      </c>
      <c r="M597" s="27">
        <f>IF($O597="방문완료",IFERROR(VLOOKUP($E597,설정_코스수당!$A$6:$H$10,6,FALSE),0),0)</f>
        <v>0</v>
      </c>
      <c r="N597" s="28">
        <f t="shared" si="17"/>
        <v>0</v>
      </c>
      <c r="O597" s="23"/>
      <c r="P597" s="23"/>
      <c r="Q597" s="23"/>
      <c r="R597" s="26"/>
      <c r="S597" s="23"/>
    </row>
    <row r="598" spans="1:19" ht="19.5" hidden="1" customHeight="1" outlineLevel="1">
      <c r="A598" s="29">
        <v>70</v>
      </c>
      <c r="B598" s="30">
        <f>IF(6&lt;=DAY(DATE(YEAR(설정_코스수당!$K$2),MONTH(설정_코스수당!$K$2)+1,0)),DATE(YEAR(설정_코스수당!$K$2),MONTH(설정_코스수당!$K$2),6),"")</f>
        <v>46179</v>
      </c>
      <c r="C598" s="31"/>
      <c r="D598" s="29"/>
      <c r="E598" s="29"/>
      <c r="F598" s="32"/>
      <c r="G598" s="29"/>
      <c r="H598" s="29"/>
      <c r="I598" s="29"/>
      <c r="J598" s="33">
        <f>IF($O598="방문완료",MAX(0,IFERROR(VLOOKUP($E598,설정_코스수당!$A$6:$H$10,4,FALSE),0)-IF(OR($P598="",$P598="없음"),0,100000)),0)</f>
        <v>0</v>
      </c>
      <c r="K598" s="33">
        <f t="array" ref="K598">IF($O598="방문완료",IFERROR(INDEX(설정_코스수당!$B$15:$F$64,MATCH($G598,설정_코스수당!$A$15:$A$64,0),MATCH($E598&amp;"수당",설정_코스수당!$B$14:$F$14,0)),0),0)</f>
        <v>0</v>
      </c>
      <c r="L598" s="33">
        <f t="array" ref="L598">IF($O598="방문완료",IF($H598="",0,IFERROR(INDEX(설정_코스수당!$B$15:$F$64,MATCH($H598,설정_코스수당!$A$15:$A$64,0),MATCH($E598&amp;"수당",설정_코스수당!$B$14:$F$14,0)),0)),0)</f>
        <v>0</v>
      </c>
      <c r="M598" s="33">
        <f>IF($O598="방문완료",IFERROR(VLOOKUP($E598,설정_코스수당!$A$6:$H$10,6,FALSE),0),0)</f>
        <v>0</v>
      </c>
      <c r="N598" s="34">
        <f t="shared" si="17"/>
        <v>0</v>
      </c>
      <c r="O598" s="29"/>
      <c r="P598" s="29"/>
      <c r="Q598" s="29"/>
      <c r="R598" s="32"/>
      <c r="S598" s="29"/>
    </row>
    <row r="599" spans="1:19" ht="19.5" hidden="1" customHeight="1" outlineLevel="1">
      <c r="A599" s="23">
        <v>71</v>
      </c>
      <c r="B599" s="24">
        <f>IF(6&lt;=DAY(DATE(YEAR(설정_코스수당!$K$2),MONTH(설정_코스수당!$K$2)+1,0)),DATE(YEAR(설정_코스수당!$K$2),MONTH(설정_코스수당!$K$2),6),"")</f>
        <v>46179</v>
      </c>
      <c r="C599" s="25"/>
      <c r="D599" s="23"/>
      <c r="E599" s="23"/>
      <c r="F599" s="26"/>
      <c r="G599" s="23"/>
      <c r="H599" s="23"/>
      <c r="I599" s="23"/>
      <c r="J599" s="27">
        <f>IF($O599="방문완료",MAX(0,IFERROR(VLOOKUP($E599,설정_코스수당!$A$6:$H$10,4,FALSE),0)-IF(OR($P599="",$P599="없음"),0,100000)),0)</f>
        <v>0</v>
      </c>
      <c r="K599" s="27">
        <f t="array" ref="K599">IF($O599="방문완료",IFERROR(INDEX(설정_코스수당!$B$15:$F$64,MATCH($G599,설정_코스수당!$A$15:$A$64,0),MATCH($E599&amp;"수당",설정_코스수당!$B$14:$F$14,0)),0),0)</f>
        <v>0</v>
      </c>
      <c r="L599" s="27">
        <f t="array" ref="L599">IF($O599="방문완료",IF($H599="",0,IFERROR(INDEX(설정_코스수당!$B$15:$F$64,MATCH($H599,설정_코스수당!$A$15:$A$64,0),MATCH($E599&amp;"수당",설정_코스수당!$B$14:$F$14,0)),0)),0)</f>
        <v>0</v>
      </c>
      <c r="M599" s="27">
        <f>IF($O599="방문완료",IFERROR(VLOOKUP($E599,설정_코스수당!$A$6:$H$10,6,FALSE),0),0)</f>
        <v>0</v>
      </c>
      <c r="N599" s="28">
        <f t="shared" si="17"/>
        <v>0</v>
      </c>
      <c r="O599" s="23"/>
      <c r="P599" s="23"/>
      <c r="Q599" s="23"/>
      <c r="R599" s="26"/>
      <c r="S599" s="23"/>
    </row>
    <row r="600" spans="1:19" ht="19.5" hidden="1" customHeight="1" outlineLevel="1">
      <c r="A600" s="29">
        <v>72</v>
      </c>
      <c r="B600" s="30">
        <f>IF(6&lt;=DAY(DATE(YEAR(설정_코스수당!$K$2),MONTH(설정_코스수당!$K$2)+1,0)),DATE(YEAR(설정_코스수당!$K$2),MONTH(설정_코스수당!$K$2),6),"")</f>
        <v>46179</v>
      </c>
      <c r="C600" s="31"/>
      <c r="D600" s="29"/>
      <c r="E600" s="29"/>
      <c r="F600" s="32"/>
      <c r="G600" s="29"/>
      <c r="H600" s="29"/>
      <c r="I600" s="29"/>
      <c r="J600" s="33">
        <f>IF($O600="방문완료",MAX(0,IFERROR(VLOOKUP($E600,설정_코스수당!$A$6:$H$10,4,FALSE),0)-IF(OR($P600="",$P600="없음"),0,100000)),0)</f>
        <v>0</v>
      </c>
      <c r="K600" s="33">
        <f t="array" ref="K600">IF($O600="방문완료",IFERROR(INDEX(설정_코스수당!$B$15:$F$64,MATCH($G600,설정_코스수당!$A$15:$A$64,0),MATCH($E600&amp;"수당",설정_코스수당!$B$14:$F$14,0)),0),0)</f>
        <v>0</v>
      </c>
      <c r="L600" s="33">
        <f t="array" ref="L600">IF($O600="방문완료",IF($H600="",0,IFERROR(INDEX(설정_코스수당!$B$15:$F$64,MATCH($H600,설정_코스수당!$A$15:$A$64,0),MATCH($E600&amp;"수당",설정_코스수당!$B$14:$F$14,0)),0)),0)</f>
        <v>0</v>
      </c>
      <c r="M600" s="33">
        <f>IF($O600="방문완료",IFERROR(VLOOKUP($E600,설정_코스수당!$A$6:$H$10,6,FALSE),0),0)</f>
        <v>0</v>
      </c>
      <c r="N600" s="34">
        <f t="shared" si="17"/>
        <v>0</v>
      </c>
      <c r="O600" s="29"/>
      <c r="P600" s="29"/>
      <c r="Q600" s="29"/>
      <c r="R600" s="32"/>
      <c r="S600" s="29"/>
    </row>
    <row r="601" spans="1:19" ht="19.5" hidden="1" customHeight="1" outlineLevel="1">
      <c r="A601" s="23">
        <v>73</v>
      </c>
      <c r="B601" s="24">
        <f>IF(6&lt;=DAY(DATE(YEAR(설정_코스수당!$K$2),MONTH(설정_코스수당!$K$2)+1,0)),DATE(YEAR(설정_코스수당!$K$2),MONTH(설정_코스수당!$K$2),6),"")</f>
        <v>46179</v>
      </c>
      <c r="C601" s="25"/>
      <c r="D601" s="23"/>
      <c r="E601" s="23"/>
      <c r="F601" s="26"/>
      <c r="G601" s="23"/>
      <c r="H601" s="23"/>
      <c r="I601" s="23"/>
      <c r="J601" s="27">
        <f>IF($O601="방문완료",MAX(0,IFERROR(VLOOKUP($E601,설정_코스수당!$A$6:$H$10,4,FALSE),0)-IF(OR($P601="",$P601="없음"),0,100000)),0)</f>
        <v>0</v>
      </c>
      <c r="K601" s="27">
        <f t="array" ref="K601">IF($O601="방문완료",IFERROR(INDEX(설정_코스수당!$B$15:$F$64,MATCH($G601,설정_코스수당!$A$15:$A$64,0),MATCH($E601&amp;"수당",설정_코스수당!$B$14:$F$14,0)),0),0)</f>
        <v>0</v>
      </c>
      <c r="L601" s="27">
        <f t="array" ref="L601">IF($O601="방문완료",IF($H601="",0,IFERROR(INDEX(설정_코스수당!$B$15:$F$64,MATCH($H601,설정_코스수당!$A$15:$A$64,0),MATCH($E601&amp;"수당",설정_코스수당!$B$14:$F$14,0)),0)),0)</f>
        <v>0</v>
      </c>
      <c r="M601" s="27">
        <f>IF($O601="방문완료",IFERROR(VLOOKUP($E601,설정_코스수당!$A$6:$H$10,6,FALSE),0),0)</f>
        <v>0</v>
      </c>
      <c r="N601" s="28">
        <f t="shared" si="17"/>
        <v>0</v>
      </c>
      <c r="O601" s="23"/>
      <c r="P601" s="23"/>
      <c r="Q601" s="23"/>
      <c r="R601" s="26"/>
      <c r="S601" s="23"/>
    </row>
    <row r="602" spans="1:19" ht="19.5" hidden="1" customHeight="1" outlineLevel="1">
      <c r="A602" s="29">
        <v>74</v>
      </c>
      <c r="B602" s="30">
        <f>IF(6&lt;=DAY(DATE(YEAR(설정_코스수당!$K$2),MONTH(설정_코스수당!$K$2)+1,0)),DATE(YEAR(설정_코스수당!$K$2),MONTH(설정_코스수당!$K$2),6),"")</f>
        <v>46179</v>
      </c>
      <c r="C602" s="31"/>
      <c r="D602" s="29"/>
      <c r="E602" s="29"/>
      <c r="F602" s="32"/>
      <c r="G602" s="29"/>
      <c r="H602" s="29"/>
      <c r="I602" s="29"/>
      <c r="J602" s="33">
        <f>IF($O602="방문완료",MAX(0,IFERROR(VLOOKUP($E602,설정_코스수당!$A$6:$H$10,4,FALSE),0)-IF(OR($P602="",$P602="없음"),0,100000)),0)</f>
        <v>0</v>
      </c>
      <c r="K602" s="33">
        <f t="array" ref="K602">IF($O602="방문완료",IFERROR(INDEX(설정_코스수당!$B$15:$F$64,MATCH($G602,설정_코스수당!$A$15:$A$64,0),MATCH($E602&amp;"수당",설정_코스수당!$B$14:$F$14,0)),0),0)</f>
        <v>0</v>
      </c>
      <c r="L602" s="33">
        <f t="array" ref="L602">IF($O602="방문완료",IF($H602="",0,IFERROR(INDEX(설정_코스수당!$B$15:$F$64,MATCH($H602,설정_코스수당!$A$15:$A$64,0),MATCH($E602&amp;"수당",설정_코스수당!$B$14:$F$14,0)),0)),0)</f>
        <v>0</v>
      </c>
      <c r="M602" s="33">
        <f>IF($O602="방문완료",IFERROR(VLOOKUP($E602,설정_코스수당!$A$6:$H$10,6,FALSE),0),0)</f>
        <v>0</v>
      </c>
      <c r="N602" s="34">
        <f t="shared" si="17"/>
        <v>0</v>
      </c>
      <c r="O602" s="29"/>
      <c r="P602" s="29"/>
      <c r="Q602" s="29"/>
      <c r="R602" s="32"/>
      <c r="S602" s="29"/>
    </row>
    <row r="603" spans="1:19" ht="19.5" hidden="1" customHeight="1" outlineLevel="1">
      <c r="A603" s="23">
        <v>75</v>
      </c>
      <c r="B603" s="24">
        <f>IF(6&lt;=DAY(DATE(YEAR(설정_코스수당!$K$2),MONTH(설정_코스수당!$K$2)+1,0)),DATE(YEAR(설정_코스수당!$K$2),MONTH(설정_코스수당!$K$2),6),"")</f>
        <v>46179</v>
      </c>
      <c r="C603" s="25"/>
      <c r="D603" s="23"/>
      <c r="E603" s="23"/>
      <c r="F603" s="26"/>
      <c r="G603" s="23"/>
      <c r="H603" s="23"/>
      <c r="I603" s="23"/>
      <c r="J603" s="27">
        <f>IF($O603="방문완료",MAX(0,IFERROR(VLOOKUP($E603,설정_코스수당!$A$6:$H$10,4,FALSE),0)-IF(OR($P603="",$P603="없음"),0,100000)),0)</f>
        <v>0</v>
      </c>
      <c r="K603" s="27">
        <f t="array" ref="K603">IF($O603="방문완료",IFERROR(INDEX(설정_코스수당!$B$15:$F$64,MATCH($G603,설정_코스수당!$A$15:$A$64,0),MATCH($E603&amp;"수당",설정_코스수당!$B$14:$F$14,0)),0),0)</f>
        <v>0</v>
      </c>
      <c r="L603" s="27">
        <f t="array" ref="L603">IF($O603="방문완료",IF($H603="",0,IFERROR(INDEX(설정_코스수당!$B$15:$F$64,MATCH($H603,설정_코스수당!$A$15:$A$64,0),MATCH($E603&amp;"수당",설정_코스수당!$B$14:$F$14,0)),0)),0)</f>
        <v>0</v>
      </c>
      <c r="M603" s="27">
        <f>IF($O603="방문완료",IFERROR(VLOOKUP($E603,설정_코스수당!$A$6:$H$10,6,FALSE),0),0)</f>
        <v>0</v>
      </c>
      <c r="N603" s="28">
        <f t="shared" si="17"/>
        <v>0</v>
      </c>
      <c r="O603" s="23"/>
      <c r="P603" s="23"/>
      <c r="Q603" s="23"/>
      <c r="R603" s="26"/>
      <c r="S603" s="23"/>
    </row>
    <row r="604" spans="1:19" ht="19.5" hidden="1" customHeight="1" outlineLevel="1">
      <c r="A604" s="29">
        <v>76</v>
      </c>
      <c r="B604" s="30">
        <f>IF(6&lt;=DAY(DATE(YEAR(설정_코스수당!$K$2),MONTH(설정_코스수당!$K$2)+1,0)),DATE(YEAR(설정_코스수당!$K$2),MONTH(설정_코스수당!$K$2),6),"")</f>
        <v>46179</v>
      </c>
      <c r="C604" s="31"/>
      <c r="D604" s="29"/>
      <c r="E604" s="29"/>
      <c r="F604" s="32"/>
      <c r="G604" s="29"/>
      <c r="H604" s="29"/>
      <c r="I604" s="29"/>
      <c r="J604" s="33">
        <f>IF($O604="방문완료",MAX(0,IFERROR(VLOOKUP($E604,설정_코스수당!$A$6:$H$10,4,FALSE),0)-IF(OR($P604="",$P604="없음"),0,100000)),0)</f>
        <v>0</v>
      </c>
      <c r="K604" s="33">
        <f t="array" ref="K604">IF($O604="방문완료",IFERROR(INDEX(설정_코스수당!$B$15:$F$64,MATCH($G604,설정_코스수당!$A$15:$A$64,0),MATCH($E604&amp;"수당",설정_코스수당!$B$14:$F$14,0)),0),0)</f>
        <v>0</v>
      </c>
      <c r="L604" s="33">
        <f t="array" ref="L604">IF($O604="방문완료",IF($H604="",0,IFERROR(INDEX(설정_코스수당!$B$15:$F$64,MATCH($H604,설정_코스수당!$A$15:$A$64,0),MATCH($E604&amp;"수당",설정_코스수당!$B$14:$F$14,0)),0)),0)</f>
        <v>0</v>
      </c>
      <c r="M604" s="33">
        <f>IF($O604="방문완료",IFERROR(VLOOKUP($E604,설정_코스수당!$A$6:$H$10,6,FALSE),0),0)</f>
        <v>0</v>
      </c>
      <c r="N604" s="34">
        <f t="shared" si="17"/>
        <v>0</v>
      </c>
      <c r="O604" s="29"/>
      <c r="P604" s="29"/>
      <c r="Q604" s="29"/>
      <c r="R604" s="32"/>
      <c r="S604" s="29"/>
    </row>
    <row r="605" spans="1:19" ht="19.5" hidden="1" customHeight="1" outlineLevel="1">
      <c r="A605" s="23">
        <v>77</v>
      </c>
      <c r="B605" s="24">
        <f>IF(6&lt;=DAY(DATE(YEAR(설정_코스수당!$K$2),MONTH(설정_코스수당!$K$2)+1,0)),DATE(YEAR(설정_코스수당!$K$2),MONTH(설정_코스수당!$K$2),6),"")</f>
        <v>46179</v>
      </c>
      <c r="C605" s="25"/>
      <c r="D605" s="23"/>
      <c r="E605" s="23"/>
      <c r="F605" s="26"/>
      <c r="G605" s="23"/>
      <c r="H605" s="23"/>
      <c r="I605" s="23"/>
      <c r="J605" s="27">
        <f>IF($O605="방문완료",MAX(0,IFERROR(VLOOKUP($E605,설정_코스수당!$A$6:$H$10,4,FALSE),0)-IF(OR($P605="",$P605="없음"),0,100000)),0)</f>
        <v>0</v>
      </c>
      <c r="K605" s="27">
        <f t="array" ref="K605">IF($O605="방문완료",IFERROR(INDEX(설정_코스수당!$B$15:$F$64,MATCH($G605,설정_코스수당!$A$15:$A$64,0),MATCH($E605&amp;"수당",설정_코스수당!$B$14:$F$14,0)),0),0)</f>
        <v>0</v>
      </c>
      <c r="L605" s="27">
        <f t="array" ref="L605">IF($O605="방문완료",IF($H605="",0,IFERROR(INDEX(설정_코스수당!$B$15:$F$64,MATCH($H605,설정_코스수당!$A$15:$A$64,0),MATCH($E605&amp;"수당",설정_코스수당!$B$14:$F$14,0)),0)),0)</f>
        <v>0</v>
      </c>
      <c r="M605" s="27">
        <f>IF($O605="방문완료",IFERROR(VLOOKUP($E605,설정_코스수당!$A$6:$H$10,6,FALSE),0),0)</f>
        <v>0</v>
      </c>
      <c r="N605" s="28">
        <f t="shared" si="17"/>
        <v>0</v>
      </c>
      <c r="O605" s="23"/>
      <c r="P605" s="23"/>
      <c r="Q605" s="23"/>
      <c r="R605" s="26"/>
      <c r="S605" s="23"/>
    </row>
    <row r="606" spans="1:19" ht="19.5" hidden="1" customHeight="1" outlineLevel="1">
      <c r="A606" s="29">
        <v>78</v>
      </c>
      <c r="B606" s="30">
        <f>IF(6&lt;=DAY(DATE(YEAR(설정_코스수당!$K$2),MONTH(설정_코스수당!$K$2)+1,0)),DATE(YEAR(설정_코스수당!$K$2),MONTH(설정_코스수당!$K$2),6),"")</f>
        <v>46179</v>
      </c>
      <c r="C606" s="31"/>
      <c r="D606" s="29"/>
      <c r="E606" s="29"/>
      <c r="F606" s="32"/>
      <c r="G606" s="29"/>
      <c r="H606" s="29"/>
      <c r="I606" s="29"/>
      <c r="J606" s="33">
        <f>IF($O606="방문완료",MAX(0,IFERROR(VLOOKUP($E606,설정_코스수당!$A$6:$H$10,4,FALSE),0)-IF(OR($P606="",$P606="없음"),0,100000)),0)</f>
        <v>0</v>
      </c>
      <c r="K606" s="33">
        <f t="array" ref="K606">IF($O606="방문완료",IFERROR(INDEX(설정_코스수당!$B$15:$F$64,MATCH($G606,설정_코스수당!$A$15:$A$64,0),MATCH($E606&amp;"수당",설정_코스수당!$B$14:$F$14,0)),0),0)</f>
        <v>0</v>
      </c>
      <c r="L606" s="33">
        <f t="array" ref="L606">IF($O606="방문완료",IF($H606="",0,IFERROR(INDEX(설정_코스수당!$B$15:$F$64,MATCH($H606,설정_코스수당!$A$15:$A$64,0),MATCH($E606&amp;"수당",설정_코스수당!$B$14:$F$14,0)),0)),0)</f>
        <v>0</v>
      </c>
      <c r="M606" s="33">
        <f>IF($O606="방문완료",IFERROR(VLOOKUP($E606,설정_코스수당!$A$6:$H$10,6,FALSE),0),0)</f>
        <v>0</v>
      </c>
      <c r="N606" s="34">
        <f t="shared" si="17"/>
        <v>0</v>
      </c>
      <c r="O606" s="29"/>
      <c r="P606" s="29"/>
      <c r="Q606" s="29"/>
      <c r="R606" s="32"/>
      <c r="S606" s="29"/>
    </row>
    <row r="607" spans="1:19" ht="19.5" hidden="1" customHeight="1" outlineLevel="1">
      <c r="A607" s="23">
        <v>79</v>
      </c>
      <c r="B607" s="24">
        <f>IF(6&lt;=DAY(DATE(YEAR(설정_코스수당!$K$2),MONTH(설정_코스수당!$K$2)+1,0)),DATE(YEAR(설정_코스수당!$K$2),MONTH(설정_코스수당!$K$2),6),"")</f>
        <v>46179</v>
      </c>
      <c r="C607" s="25"/>
      <c r="D607" s="23"/>
      <c r="E607" s="23"/>
      <c r="F607" s="26"/>
      <c r="G607" s="23"/>
      <c r="H607" s="23"/>
      <c r="I607" s="23"/>
      <c r="J607" s="27">
        <f>IF($O607="방문완료",MAX(0,IFERROR(VLOOKUP($E607,설정_코스수당!$A$6:$H$10,4,FALSE),0)-IF(OR($P607="",$P607="없음"),0,100000)),0)</f>
        <v>0</v>
      </c>
      <c r="K607" s="27">
        <f t="array" ref="K607">IF($O607="방문완료",IFERROR(INDEX(설정_코스수당!$B$15:$F$64,MATCH($G607,설정_코스수당!$A$15:$A$64,0),MATCH($E607&amp;"수당",설정_코스수당!$B$14:$F$14,0)),0),0)</f>
        <v>0</v>
      </c>
      <c r="L607" s="27">
        <f t="array" ref="L607">IF($O607="방문완료",IF($H607="",0,IFERROR(INDEX(설정_코스수당!$B$15:$F$64,MATCH($H607,설정_코스수당!$A$15:$A$64,0),MATCH($E607&amp;"수당",설정_코스수당!$B$14:$F$14,0)),0)),0)</f>
        <v>0</v>
      </c>
      <c r="M607" s="27">
        <f>IF($O607="방문완료",IFERROR(VLOOKUP($E607,설정_코스수당!$A$6:$H$10,6,FALSE),0),0)</f>
        <v>0</v>
      </c>
      <c r="N607" s="28">
        <f t="shared" si="17"/>
        <v>0</v>
      </c>
      <c r="O607" s="23"/>
      <c r="P607" s="23"/>
      <c r="Q607" s="23"/>
      <c r="R607" s="26"/>
      <c r="S607" s="23"/>
    </row>
    <row r="608" spans="1:19" ht="19.5" hidden="1" customHeight="1" outlineLevel="1">
      <c r="A608" s="29">
        <v>80</v>
      </c>
      <c r="B608" s="30">
        <f>IF(6&lt;=DAY(DATE(YEAR(설정_코스수당!$K$2),MONTH(설정_코스수당!$K$2)+1,0)),DATE(YEAR(설정_코스수당!$K$2),MONTH(설정_코스수당!$K$2),6),"")</f>
        <v>46179</v>
      </c>
      <c r="C608" s="31"/>
      <c r="D608" s="29"/>
      <c r="E608" s="29"/>
      <c r="F608" s="32"/>
      <c r="G608" s="29"/>
      <c r="H608" s="29"/>
      <c r="I608" s="29"/>
      <c r="J608" s="33">
        <f>IF($O608="방문완료",MAX(0,IFERROR(VLOOKUP($E608,설정_코스수당!$A$6:$H$10,4,FALSE),0)-IF(OR($P608="",$P608="없음"),0,100000)),0)</f>
        <v>0</v>
      </c>
      <c r="K608" s="33">
        <f t="array" ref="K608">IF($O608="방문완료",IFERROR(INDEX(설정_코스수당!$B$15:$F$64,MATCH($G608,설정_코스수당!$A$15:$A$64,0),MATCH($E608&amp;"수당",설정_코스수당!$B$14:$F$14,0)),0),0)</f>
        <v>0</v>
      </c>
      <c r="L608" s="33">
        <f t="array" ref="L608">IF($O608="방문완료",IF($H608="",0,IFERROR(INDEX(설정_코스수당!$B$15:$F$64,MATCH($H608,설정_코스수당!$A$15:$A$64,0),MATCH($E608&amp;"수당",설정_코스수당!$B$14:$F$14,0)),0)),0)</f>
        <v>0</v>
      </c>
      <c r="M608" s="33">
        <f>IF($O608="방문완료",IFERROR(VLOOKUP($E608,설정_코스수당!$A$6:$H$10,6,FALSE),0),0)</f>
        <v>0</v>
      </c>
      <c r="N608" s="34">
        <f t="shared" si="17"/>
        <v>0</v>
      </c>
      <c r="O608" s="29"/>
      <c r="P608" s="29"/>
      <c r="Q608" s="29"/>
      <c r="R608" s="32"/>
      <c r="S608" s="29"/>
    </row>
    <row r="609" spans="1:22" ht="19.5" hidden="1" customHeight="1" outlineLevel="1">
      <c r="A609" s="23">
        <v>81</v>
      </c>
      <c r="B609" s="24">
        <f>IF(6&lt;=DAY(DATE(YEAR(설정_코스수당!$K$2),MONTH(설정_코스수당!$K$2)+1,0)),DATE(YEAR(설정_코스수당!$K$2),MONTH(설정_코스수당!$K$2),6),"")</f>
        <v>46179</v>
      </c>
      <c r="C609" s="25"/>
      <c r="D609" s="23"/>
      <c r="E609" s="23"/>
      <c r="F609" s="26"/>
      <c r="G609" s="23"/>
      <c r="H609" s="23"/>
      <c r="I609" s="23"/>
      <c r="J609" s="27">
        <f>IF($O609="방문완료",MAX(0,IFERROR(VLOOKUP($E609,설정_코스수당!$A$6:$H$10,4,FALSE),0)-IF(OR($P609="",$P609="없음"),0,100000)),0)</f>
        <v>0</v>
      </c>
      <c r="K609" s="27">
        <f t="array" ref="K609">IF($O609="방문완료",IFERROR(INDEX(설정_코스수당!$B$15:$F$64,MATCH($G609,설정_코스수당!$A$15:$A$64,0),MATCH($E609&amp;"수당",설정_코스수당!$B$14:$F$14,0)),0),0)</f>
        <v>0</v>
      </c>
      <c r="L609" s="27">
        <f t="array" ref="L609">IF($O609="방문완료",IF($H609="",0,IFERROR(INDEX(설정_코스수당!$B$15:$F$64,MATCH($H609,설정_코스수당!$A$15:$A$64,0),MATCH($E609&amp;"수당",설정_코스수당!$B$14:$F$14,0)),0)),0)</f>
        <v>0</v>
      </c>
      <c r="M609" s="27">
        <f>IF($O609="방문완료",IFERROR(VLOOKUP($E609,설정_코스수당!$A$6:$H$10,6,FALSE),0),0)</f>
        <v>0</v>
      </c>
      <c r="N609" s="28">
        <f t="shared" si="17"/>
        <v>0</v>
      </c>
      <c r="O609" s="23"/>
      <c r="P609" s="23"/>
      <c r="Q609" s="23"/>
      <c r="R609" s="26"/>
      <c r="S609" s="23"/>
    </row>
    <row r="610" spans="1:22" ht="19.5" hidden="1" customHeight="1" outlineLevel="1">
      <c r="A610" s="29">
        <v>82</v>
      </c>
      <c r="B610" s="30">
        <f>IF(6&lt;=DAY(DATE(YEAR(설정_코스수당!$K$2),MONTH(설정_코스수당!$K$2)+1,0)),DATE(YEAR(설정_코스수당!$K$2),MONTH(설정_코스수당!$K$2),6),"")</f>
        <v>46179</v>
      </c>
      <c r="C610" s="31"/>
      <c r="D610" s="29"/>
      <c r="E610" s="29"/>
      <c r="F610" s="32"/>
      <c r="G610" s="29"/>
      <c r="H610" s="29"/>
      <c r="I610" s="29"/>
      <c r="J610" s="33">
        <f>IF($O610="방문완료",MAX(0,IFERROR(VLOOKUP($E610,설정_코스수당!$A$6:$H$10,4,FALSE),0)-IF(OR($P610="",$P610="없음"),0,100000)),0)</f>
        <v>0</v>
      </c>
      <c r="K610" s="33">
        <f t="array" ref="K610">IF($O610="방문완료",IFERROR(INDEX(설정_코스수당!$B$15:$F$64,MATCH($G610,설정_코스수당!$A$15:$A$64,0),MATCH($E610&amp;"수당",설정_코스수당!$B$14:$F$14,0)),0),0)</f>
        <v>0</v>
      </c>
      <c r="L610" s="33">
        <f t="array" ref="L610">IF($O610="방문완료",IF($H610="",0,IFERROR(INDEX(설정_코스수당!$B$15:$F$64,MATCH($H610,설정_코스수당!$A$15:$A$64,0),MATCH($E610&amp;"수당",설정_코스수당!$B$14:$F$14,0)),0)),0)</f>
        <v>0</v>
      </c>
      <c r="M610" s="33">
        <f>IF($O610="방문완료",IFERROR(VLOOKUP($E610,설정_코스수당!$A$6:$H$10,6,FALSE),0),0)</f>
        <v>0</v>
      </c>
      <c r="N610" s="34">
        <f t="shared" si="17"/>
        <v>0</v>
      </c>
      <c r="O610" s="29"/>
      <c r="P610" s="29"/>
      <c r="Q610" s="29"/>
      <c r="R610" s="32"/>
      <c r="S610" s="29"/>
    </row>
    <row r="611" spans="1:22" ht="19.5" hidden="1" customHeight="1" outlineLevel="1">
      <c r="A611" s="23">
        <v>83</v>
      </c>
      <c r="B611" s="24">
        <f>IF(6&lt;=DAY(DATE(YEAR(설정_코스수당!$K$2),MONTH(설정_코스수당!$K$2)+1,0)),DATE(YEAR(설정_코스수당!$K$2),MONTH(설정_코스수당!$K$2),6),"")</f>
        <v>46179</v>
      </c>
      <c r="C611" s="25"/>
      <c r="D611" s="23"/>
      <c r="E611" s="23"/>
      <c r="F611" s="26"/>
      <c r="G611" s="23"/>
      <c r="H611" s="23"/>
      <c r="I611" s="23"/>
      <c r="J611" s="27">
        <f>IF($O611="방문완료",MAX(0,IFERROR(VLOOKUP($E611,설정_코스수당!$A$6:$H$10,4,FALSE),0)-IF(OR($P611="",$P611="없음"),0,100000)),0)</f>
        <v>0</v>
      </c>
      <c r="K611" s="27">
        <f t="array" ref="K611">IF($O611="방문완료",IFERROR(INDEX(설정_코스수당!$B$15:$F$64,MATCH($G611,설정_코스수당!$A$15:$A$64,0),MATCH($E611&amp;"수당",설정_코스수당!$B$14:$F$14,0)),0),0)</f>
        <v>0</v>
      </c>
      <c r="L611" s="27">
        <f t="array" ref="L611">IF($O611="방문완료",IF($H611="",0,IFERROR(INDEX(설정_코스수당!$B$15:$F$64,MATCH($H611,설정_코스수당!$A$15:$A$64,0),MATCH($E611&amp;"수당",설정_코스수당!$B$14:$F$14,0)),0)),0)</f>
        <v>0</v>
      </c>
      <c r="M611" s="27">
        <f>IF($O611="방문완료",IFERROR(VLOOKUP($E611,설정_코스수당!$A$6:$H$10,6,FALSE),0),0)</f>
        <v>0</v>
      </c>
      <c r="N611" s="28">
        <f t="shared" si="17"/>
        <v>0</v>
      </c>
      <c r="O611" s="23"/>
      <c r="P611" s="23"/>
      <c r="Q611" s="23"/>
      <c r="R611" s="26"/>
      <c r="S611" s="23"/>
    </row>
    <row r="612" spans="1:22" ht="19.5" hidden="1" customHeight="1" outlineLevel="1">
      <c r="A612" s="29">
        <v>84</v>
      </c>
      <c r="B612" s="30">
        <f>IF(6&lt;=DAY(DATE(YEAR(설정_코스수당!$K$2),MONTH(설정_코스수당!$K$2)+1,0)),DATE(YEAR(설정_코스수당!$K$2),MONTH(설정_코스수당!$K$2),6),"")</f>
        <v>46179</v>
      </c>
      <c r="C612" s="31"/>
      <c r="D612" s="29"/>
      <c r="E612" s="29"/>
      <c r="F612" s="32"/>
      <c r="G612" s="29"/>
      <c r="H612" s="29"/>
      <c r="I612" s="29"/>
      <c r="J612" s="33">
        <f>IF($O612="방문완료",MAX(0,IFERROR(VLOOKUP($E612,설정_코스수당!$A$6:$H$10,4,FALSE),0)-IF(OR($P612="",$P612="없음"),0,100000)),0)</f>
        <v>0</v>
      </c>
      <c r="K612" s="33">
        <f t="array" ref="K612">IF($O612="방문완료",IFERROR(INDEX(설정_코스수당!$B$15:$F$64,MATCH($G612,설정_코스수당!$A$15:$A$64,0),MATCH($E612&amp;"수당",설정_코스수당!$B$14:$F$14,0)),0),0)</f>
        <v>0</v>
      </c>
      <c r="L612" s="33">
        <f t="array" ref="L612">IF($O612="방문완료",IF($H612="",0,IFERROR(INDEX(설정_코스수당!$B$15:$F$64,MATCH($H612,설정_코스수당!$A$15:$A$64,0),MATCH($E612&amp;"수당",설정_코스수당!$B$14:$F$14,0)),0)),0)</f>
        <v>0</v>
      </c>
      <c r="M612" s="33">
        <f>IF($O612="방문완료",IFERROR(VLOOKUP($E612,설정_코스수당!$A$6:$H$10,6,FALSE),0),0)</f>
        <v>0</v>
      </c>
      <c r="N612" s="34">
        <f t="shared" si="17"/>
        <v>0</v>
      </c>
      <c r="O612" s="29"/>
      <c r="P612" s="29"/>
      <c r="Q612" s="29"/>
      <c r="R612" s="32"/>
      <c r="S612" s="29"/>
    </row>
    <row r="613" spans="1:22" ht="19.5" hidden="1" customHeight="1" outlineLevel="1">
      <c r="A613" s="23">
        <v>85</v>
      </c>
      <c r="B613" s="24">
        <f>IF(6&lt;=DAY(DATE(YEAR(설정_코스수당!$K$2),MONTH(설정_코스수당!$K$2)+1,0)),DATE(YEAR(설정_코스수당!$K$2),MONTH(설정_코스수당!$K$2),6),"")</f>
        <v>46179</v>
      </c>
      <c r="C613" s="25"/>
      <c r="D613" s="23"/>
      <c r="E613" s="23"/>
      <c r="F613" s="26"/>
      <c r="G613" s="23"/>
      <c r="H613" s="23"/>
      <c r="I613" s="23"/>
      <c r="J613" s="27">
        <f>IF($O613="방문완료",MAX(0,IFERROR(VLOOKUP($E613,설정_코스수당!$A$6:$H$10,4,FALSE),0)-IF(OR($P613="",$P613="없음"),0,100000)),0)</f>
        <v>0</v>
      </c>
      <c r="K613" s="27">
        <f t="array" ref="K613">IF($O613="방문완료",IFERROR(INDEX(설정_코스수당!$B$15:$F$64,MATCH($G613,설정_코스수당!$A$15:$A$64,0),MATCH($E613&amp;"수당",설정_코스수당!$B$14:$F$14,0)),0),0)</f>
        <v>0</v>
      </c>
      <c r="L613" s="27">
        <f t="array" ref="L613">IF($O613="방문완료",IF($H613="",0,IFERROR(INDEX(설정_코스수당!$B$15:$F$64,MATCH($H613,설정_코스수당!$A$15:$A$64,0),MATCH($E613&amp;"수당",설정_코스수당!$B$14:$F$14,0)),0)),0)</f>
        <v>0</v>
      </c>
      <c r="M613" s="27">
        <f>IF($O613="방문완료",IFERROR(VLOOKUP($E613,설정_코스수당!$A$6:$H$10,6,FALSE),0),0)</f>
        <v>0</v>
      </c>
      <c r="N613" s="28">
        <f t="shared" si="17"/>
        <v>0</v>
      </c>
      <c r="O613" s="23"/>
      <c r="P613" s="23"/>
      <c r="Q613" s="23"/>
      <c r="R613" s="26"/>
      <c r="S613" s="23"/>
    </row>
    <row r="614" spans="1:22" ht="19.5" hidden="1" customHeight="1" outlineLevel="1">
      <c r="A614" s="29">
        <v>86</v>
      </c>
      <c r="B614" s="30">
        <f>IF(6&lt;=DAY(DATE(YEAR(설정_코스수당!$K$2),MONTH(설정_코스수당!$K$2)+1,0)),DATE(YEAR(설정_코스수당!$K$2),MONTH(설정_코스수당!$K$2),6),"")</f>
        <v>46179</v>
      </c>
      <c r="C614" s="31"/>
      <c r="D614" s="29"/>
      <c r="E614" s="29"/>
      <c r="F614" s="32"/>
      <c r="G614" s="29"/>
      <c r="H614" s="29"/>
      <c r="I614" s="29"/>
      <c r="J614" s="33">
        <f>IF($O614="방문완료",MAX(0,IFERROR(VLOOKUP($E614,설정_코스수당!$A$6:$H$10,4,FALSE),0)-IF(OR($P614="",$P614="없음"),0,100000)),0)</f>
        <v>0</v>
      </c>
      <c r="K614" s="33">
        <f t="array" ref="K614">IF($O614="방문완료",IFERROR(INDEX(설정_코스수당!$B$15:$F$64,MATCH($G614,설정_코스수당!$A$15:$A$64,0),MATCH($E614&amp;"수당",설정_코스수당!$B$14:$F$14,0)),0),0)</f>
        <v>0</v>
      </c>
      <c r="L614" s="33">
        <f t="array" ref="L614">IF($O614="방문완료",IF($H614="",0,IFERROR(INDEX(설정_코스수당!$B$15:$F$64,MATCH($H614,설정_코스수당!$A$15:$A$64,0),MATCH($E614&amp;"수당",설정_코스수당!$B$14:$F$14,0)),0)),0)</f>
        <v>0</v>
      </c>
      <c r="M614" s="33">
        <f>IF($O614="방문완료",IFERROR(VLOOKUP($E614,설정_코스수당!$A$6:$H$10,6,FALSE),0),0)</f>
        <v>0</v>
      </c>
      <c r="N614" s="34">
        <f t="shared" si="17"/>
        <v>0</v>
      </c>
      <c r="O614" s="29"/>
      <c r="P614" s="29"/>
      <c r="Q614" s="29"/>
      <c r="R614" s="32"/>
      <c r="S614" s="29"/>
    </row>
    <row r="615" spans="1:22" ht="19.5" hidden="1" customHeight="1" outlineLevel="1">
      <c r="A615" s="23">
        <v>87</v>
      </c>
      <c r="B615" s="24">
        <f>IF(6&lt;=DAY(DATE(YEAR(설정_코스수당!$K$2),MONTH(설정_코스수당!$K$2)+1,0)),DATE(YEAR(설정_코스수당!$K$2),MONTH(설정_코스수당!$K$2),6),"")</f>
        <v>46179</v>
      </c>
      <c r="C615" s="25"/>
      <c r="D615" s="23"/>
      <c r="E615" s="23"/>
      <c r="F615" s="26"/>
      <c r="G615" s="23"/>
      <c r="H615" s="23"/>
      <c r="I615" s="23"/>
      <c r="J615" s="27">
        <f>IF($O615="방문완료",MAX(0,IFERROR(VLOOKUP($E615,설정_코스수당!$A$6:$H$10,4,FALSE),0)-IF(OR($P615="",$P615="없음"),0,100000)),0)</f>
        <v>0</v>
      </c>
      <c r="K615" s="27">
        <f t="array" ref="K615">IF($O615="방문완료",IFERROR(INDEX(설정_코스수당!$B$15:$F$64,MATCH($G615,설정_코스수당!$A$15:$A$64,0),MATCH($E615&amp;"수당",설정_코스수당!$B$14:$F$14,0)),0),0)</f>
        <v>0</v>
      </c>
      <c r="L615" s="27">
        <f t="array" ref="L615">IF($O615="방문완료",IF($H615="",0,IFERROR(INDEX(설정_코스수당!$B$15:$F$64,MATCH($H615,설정_코스수당!$A$15:$A$64,0),MATCH($E615&amp;"수당",설정_코스수당!$B$14:$F$14,0)),0)),0)</f>
        <v>0</v>
      </c>
      <c r="M615" s="27">
        <f>IF($O615="방문완료",IFERROR(VLOOKUP($E615,설정_코스수당!$A$6:$H$10,6,FALSE),0),0)</f>
        <v>0</v>
      </c>
      <c r="N615" s="28">
        <f t="shared" si="17"/>
        <v>0</v>
      </c>
      <c r="O615" s="23"/>
      <c r="P615" s="23"/>
      <c r="Q615" s="23"/>
      <c r="R615" s="26"/>
      <c r="S615" s="23"/>
    </row>
    <row r="616" spans="1:22" ht="19.5" hidden="1" customHeight="1" outlineLevel="1">
      <c r="A616" s="29">
        <v>88</v>
      </c>
      <c r="B616" s="30">
        <f>IF(6&lt;=DAY(DATE(YEAR(설정_코스수당!$K$2),MONTH(설정_코스수당!$K$2)+1,0)),DATE(YEAR(설정_코스수당!$K$2),MONTH(설정_코스수당!$K$2),6),"")</f>
        <v>46179</v>
      </c>
      <c r="C616" s="31"/>
      <c r="D616" s="29"/>
      <c r="E616" s="29"/>
      <c r="F616" s="32"/>
      <c r="G616" s="29"/>
      <c r="H616" s="29"/>
      <c r="I616" s="29"/>
      <c r="J616" s="33">
        <f>IF($O616="방문완료",MAX(0,IFERROR(VLOOKUP($E616,설정_코스수당!$A$6:$H$10,4,FALSE),0)-IF(OR($P616="",$P616="없음"),0,100000)),0)</f>
        <v>0</v>
      </c>
      <c r="K616" s="33">
        <f t="array" ref="K616">IF($O616="방문완료",IFERROR(INDEX(설정_코스수당!$B$15:$F$64,MATCH($G616,설정_코스수당!$A$15:$A$64,0),MATCH($E616&amp;"수당",설정_코스수당!$B$14:$F$14,0)),0),0)</f>
        <v>0</v>
      </c>
      <c r="L616" s="33">
        <f t="array" ref="L616">IF($O616="방문완료",IF($H616="",0,IFERROR(INDEX(설정_코스수당!$B$15:$F$64,MATCH($H616,설정_코스수당!$A$15:$A$64,0),MATCH($E616&amp;"수당",설정_코스수당!$B$14:$F$14,0)),0)),0)</f>
        <v>0</v>
      </c>
      <c r="M616" s="33">
        <f>IF($O616="방문완료",IFERROR(VLOOKUP($E616,설정_코스수당!$A$6:$H$10,6,FALSE),0),0)</f>
        <v>0</v>
      </c>
      <c r="N616" s="34">
        <f t="shared" si="17"/>
        <v>0</v>
      </c>
      <c r="O616" s="29"/>
      <c r="P616" s="29"/>
      <c r="Q616" s="29"/>
      <c r="R616" s="32"/>
      <c r="S616" s="29"/>
    </row>
    <row r="617" spans="1:22" ht="19.5" hidden="1" customHeight="1" outlineLevel="1">
      <c r="A617" s="23">
        <v>89</v>
      </c>
      <c r="B617" s="24">
        <f>IF(6&lt;=DAY(DATE(YEAR(설정_코스수당!$K$2),MONTH(설정_코스수당!$K$2)+1,0)),DATE(YEAR(설정_코스수당!$K$2),MONTH(설정_코스수당!$K$2),6),"")</f>
        <v>46179</v>
      </c>
      <c r="C617" s="25"/>
      <c r="D617" s="23"/>
      <c r="E617" s="23"/>
      <c r="F617" s="26"/>
      <c r="G617" s="23"/>
      <c r="H617" s="23"/>
      <c r="I617" s="23"/>
      <c r="J617" s="27">
        <f>IF($O617="방문완료",MAX(0,IFERROR(VLOOKUP($E617,설정_코스수당!$A$6:$H$10,4,FALSE),0)-IF(OR($P617="",$P617="없음"),0,100000)),0)</f>
        <v>0</v>
      </c>
      <c r="K617" s="27">
        <f t="array" ref="K617">IF($O617="방문완료",IFERROR(INDEX(설정_코스수당!$B$15:$F$64,MATCH($G617,설정_코스수당!$A$15:$A$64,0),MATCH($E617&amp;"수당",설정_코스수당!$B$14:$F$14,0)),0),0)</f>
        <v>0</v>
      </c>
      <c r="L617" s="27">
        <f t="array" ref="L617">IF($O617="방문완료",IF($H617="",0,IFERROR(INDEX(설정_코스수당!$B$15:$F$64,MATCH($H617,설정_코스수당!$A$15:$A$64,0),MATCH($E617&amp;"수당",설정_코스수당!$B$14:$F$14,0)),0)),0)</f>
        <v>0</v>
      </c>
      <c r="M617" s="27">
        <f>IF($O617="방문완료",IFERROR(VLOOKUP($E617,설정_코스수당!$A$6:$H$10,6,FALSE),0),0)</f>
        <v>0</v>
      </c>
      <c r="N617" s="28">
        <f t="shared" si="17"/>
        <v>0</v>
      </c>
      <c r="O617" s="23"/>
      <c r="P617" s="23"/>
      <c r="Q617" s="23"/>
      <c r="R617" s="26"/>
      <c r="S617" s="23"/>
    </row>
    <row r="618" spans="1:22" ht="19.5" hidden="1" customHeight="1" outlineLevel="1">
      <c r="A618" s="29">
        <v>90</v>
      </c>
      <c r="B618" s="30">
        <f>IF(6&lt;=DAY(DATE(YEAR(설정_코스수당!$K$2),MONTH(설정_코스수당!$K$2)+1,0)),DATE(YEAR(설정_코스수당!$K$2),MONTH(설정_코스수당!$K$2),6),"")</f>
        <v>46179</v>
      </c>
      <c r="C618" s="31"/>
      <c r="D618" s="29"/>
      <c r="E618" s="29"/>
      <c r="F618" s="32"/>
      <c r="G618" s="29"/>
      <c r="H618" s="29"/>
      <c r="I618" s="29"/>
      <c r="J618" s="33">
        <f>IF($O618="방문완료",MAX(0,IFERROR(VLOOKUP($E618,설정_코스수당!$A$6:$H$10,4,FALSE),0)-IF(OR($P618="",$P618="없음"),0,100000)),0)</f>
        <v>0</v>
      </c>
      <c r="K618" s="33">
        <f t="array" ref="K618">IF($O618="방문완료",IFERROR(INDEX(설정_코스수당!$B$15:$F$64,MATCH($G618,설정_코스수당!$A$15:$A$64,0),MATCH($E618&amp;"수당",설정_코스수당!$B$14:$F$14,0)),0),0)</f>
        <v>0</v>
      </c>
      <c r="L618" s="33">
        <f t="array" ref="L618">IF($O618="방문완료",IF($H618="",0,IFERROR(INDEX(설정_코스수당!$B$15:$F$64,MATCH($H618,설정_코스수당!$A$15:$A$64,0),MATCH($E618&amp;"수당",설정_코스수당!$B$14:$F$14,0)),0)),0)</f>
        <v>0</v>
      </c>
      <c r="M618" s="33">
        <f>IF($O618="방문완료",IFERROR(VLOOKUP($E618,설정_코스수당!$A$6:$H$10,6,FALSE),0),0)</f>
        <v>0</v>
      </c>
      <c r="N618" s="34">
        <f t="shared" si="17"/>
        <v>0</v>
      </c>
      <c r="O618" s="29"/>
      <c r="P618" s="29"/>
      <c r="Q618" s="29"/>
      <c r="R618" s="32"/>
      <c r="S618" s="29"/>
    </row>
    <row r="619" spans="1:22" ht="19.5" hidden="1" customHeight="1" outlineLevel="1">
      <c r="A619" s="23">
        <v>91</v>
      </c>
      <c r="B619" s="24">
        <f>IF(6&lt;=DAY(DATE(YEAR(설정_코스수당!$K$2),MONTH(설정_코스수당!$K$2)+1,0)),DATE(YEAR(설정_코스수당!$K$2),MONTH(설정_코스수당!$K$2),6),"")</f>
        <v>46179</v>
      </c>
      <c r="C619" s="25"/>
      <c r="D619" s="23"/>
      <c r="E619" s="23"/>
      <c r="F619" s="26"/>
      <c r="G619" s="23"/>
      <c r="H619" s="23"/>
      <c r="I619" s="23"/>
      <c r="J619" s="27">
        <f>IF($O619="방문완료",MAX(0,IFERROR(VLOOKUP($E619,설정_코스수당!$A$6:$H$10,4,FALSE),0)-IF(OR($P619="",$P619="없음"),0,100000)),0)</f>
        <v>0</v>
      </c>
      <c r="K619" s="27">
        <f t="array" ref="K619">IF($O619="방문완료",IFERROR(INDEX(설정_코스수당!$B$15:$F$64,MATCH($G619,설정_코스수당!$A$15:$A$64,0),MATCH($E619&amp;"수당",설정_코스수당!$B$14:$F$14,0)),0),0)</f>
        <v>0</v>
      </c>
      <c r="L619" s="27">
        <f t="array" ref="L619">IF($O619="방문완료",IF($H619="",0,IFERROR(INDEX(설정_코스수당!$B$15:$F$64,MATCH($H619,설정_코스수당!$A$15:$A$64,0),MATCH($E619&amp;"수당",설정_코스수당!$B$14:$F$14,0)),0)),0)</f>
        <v>0</v>
      </c>
      <c r="M619" s="27">
        <f>IF($O619="방문완료",IFERROR(VLOOKUP($E619,설정_코스수당!$A$6:$H$10,6,FALSE),0),0)</f>
        <v>0</v>
      </c>
      <c r="N619" s="28">
        <f t="shared" si="17"/>
        <v>0</v>
      </c>
      <c r="O619" s="23"/>
      <c r="P619" s="23"/>
      <c r="Q619" s="23"/>
      <c r="R619" s="26"/>
      <c r="S619" s="23"/>
    </row>
    <row r="620" spans="1:22" ht="19.5" hidden="1" customHeight="1" outlineLevel="1">
      <c r="A620" s="29">
        <v>92</v>
      </c>
      <c r="B620" s="30">
        <f>IF(6&lt;=DAY(DATE(YEAR(설정_코스수당!$K$2),MONTH(설정_코스수당!$K$2)+1,0)),DATE(YEAR(설정_코스수당!$K$2),MONTH(설정_코스수당!$K$2),6),"")</f>
        <v>46179</v>
      </c>
      <c r="C620" s="31"/>
      <c r="D620" s="29"/>
      <c r="E620" s="29"/>
      <c r="F620" s="32"/>
      <c r="G620" s="29"/>
      <c r="H620" s="29"/>
      <c r="I620" s="29"/>
      <c r="J620" s="33">
        <f>IF($O620="방문완료",MAX(0,IFERROR(VLOOKUP($E620,설정_코스수당!$A$6:$H$10,4,FALSE),0)-IF(OR($P620="",$P620="없음"),0,100000)),0)</f>
        <v>0</v>
      </c>
      <c r="K620" s="33">
        <f t="array" ref="K620">IF($O620="방문완료",IFERROR(INDEX(설정_코스수당!$B$15:$F$64,MATCH($G620,설정_코스수당!$A$15:$A$64,0),MATCH($E620&amp;"수당",설정_코스수당!$B$14:$F$14,0)),0),0)</f>
        <v>0</v>
      </c>
      <c r="L620" s="33">
        <f t="array" ref="L620">IF($O620="방문완료",IF($H620="",0,IFERROR(INDEX(설정_코스수당!$B$15:$F$64,MATCH($H620,설정_코스수당!$A$15:$A$64,0),MATCH($E620&amp;"수당",설정_코스수당!$B$14:$F$14,0)),0)),0)</f>
        <v>0</v>
      </c>
      <c r="M620" s="33">
        <f>IF($O620="방문완료",IFERROR(VLOOKUP($E620,설정_코스수당!$A$6:$H$10,6,FALSE),0),0)</f>
        <v>0</v>
      </c>
      <c r="N620" s="34">
        <f t="shared" si="17"/>
        <v>0</v>
      </c>
      <c r="O620" s="29"/>
      <c r="P620" s="29"/>
      <c r="Q620" s="29"/>
      <c r="R620" s="32"/>
      <c r="S620" s="29"/>
      <c r="U620" s="16" t="s">
        <v>72</v>
      </c>
      <c r="V620" s="17">
        <f>IF(7&lt;=DAY(DATE(YEAR(설정_코스수당!$K$2),MONTH(설정_코스수당!$K$2)+1,0)),COUNTIFS($B:$B,DATE(YEAR(설정_코스수당!$K$2),MONTH(설정_코스수당!$K$2),7),$O:$O,"방문완료",$P:$P,"&lt;&gt;",$P:$P,"&lt;&gt;없음")*100000,"")</f>
        <v>0</v>
      </c>
    </row>
    <row r="621" spans="1:22" ht="19.5" hidden="1" customHeight="1" outlineLevel="1">
      <c r="A621" s="23">
        <v>93</v>
      </c>
      <c r="B621" s="24">
        <f>IF(6&lt;=DAY(DATE(YEAR(설정_코스수당!$K$2),MONTH(설정_코스수당!$K$2)+1,0)),DATE(YEAR(설정_코스수당!$K$2),MONTH(설정_코스수당!$K$2),6),"")</f>
        <v>46179</v>
      </c>
      <c r="C621" s="25"/>
      <c r="D621" s="23"/>
      <c r="E621" s="23"/>
      <c r="F621" s="26"/>
      <c r="G621" s="23"/>
      <c r="H621" s="23"/>
      <c r="I621" s="23"/>
      <c r="J621" s="27">
        <f>IF($O621="방문완료",MAX(0,IFERROR(VLOOKUP($E621,설정_코스수당!$A$6:$H$10,4,FALSE),0)-IF(OR($P621="",$P621="없음"),0,100000)),0)</f>
        <v>0</v>
      </c>
      <c r="K621" s="27">
        <f t="array" ref="K621">IF($O621="방문완료",IFERROR(INDEX(설정_코스수당!$B$15:$F$64,MATCH($G621,설정_코스수당!$A$15:$A$64,0),MATCH($E621&amp;"수당",설정_코스수당!$B$14:$F$14,0)),0),0)</f>
        <v>0</v>
      </c>
      <c r="L621" s="27">
        <f t="array" ref="L621">IF($O621="방문완료",IF($H621="",0,IFERROR(INDEX(설정_코스수당!$B$15:$F$64,MATCH($H621,설정_코스수당!$A$15:$A$64,0),MATCH($E621&amp;"수당",설정_코스수당!$B$14:$F$14,0)),0)),0)</f>
        <v>0</v>
      </c>
      <c r="M621" s="27">
        <f>IF($O621="방문완료",IFERROR(VLOOKUP($E621,설정_코스수당!$A$6:$H$10,6,FALSE),0),0)</f>
        <v>0</v>
      </c>
      <c r="N621" s="28">
        <f t="shared" si="17"/>
        <v>0</v>
      </c>
      <c r="O621" s="23"/>
      <c r="P621" s="23"/>
      <c r="Q621" s="23"/>
      <c r="R621" s="26"/>
      <c r="S621" s="23"/>
    </row>
    <row r="622" spans="1:22" ht="19.5" hidden="1" customHeight="1" outlineLevel="1">
      <c r="A622" s="29">
        <v>94</v>
      </c>
      <c r="B622" s="30">
        <f>IF(6&lt;=DAY(DATE(YEAR(설정_코스수당!$K$2),MONTH(설정_코스수당!$K$2)+1,0)),DATE(YEAR(설정_코스수당!$K$2),MONTH(설정_코스수당!$K$2),6),"")</f>
        <v>46179</v>
      </c>
      <c r="C622" s="31"/>
      <c r="D622" s="29"/>
      <c r="E622" s="29"/>
      <c r="F622" s="32"/>
      <c r="G622" s="29"/>
      <c r="H622" s="29"/>
      <c r="I622" s="29"/>
      <c r="J622" s="33">
        <f>IF($O622="방문완료",MAX(0,IFERROR(VLOOKUP($E622,설정_코스수당!$A$6:$H$10,4,FALSE),0)-IF(OR($P622="",$P622="없음"),0,100000)),0)</f>
        <v>0</v>
      </c>
      <c r="K622" s="33">
        <f t="array" ref="K622">IF($O622="방문완료",IFERROR(INDEX(설정_코스수당!$B$15:$F$64,MATCH($G622,설정_코스수당!$A$15:$A$64,0),MATCH($E622&amp;"수당",설정_코스수당!$B$14:$F$14,0)),0),0)</f>
        <v>0</v>
      </c>
      <c r="L622" s="33">
        <f t="array" ref="L622">IF($O622="방문완료",IF($H622="",0,IFERROR(INDEX(설정_코스수당!$B$15:$F$64,MATCH($H622,설정_코스수당!$A$15:$A$64,0),MATCH($E622&amp;"수당",설정_코스수당!$B$14:$F$14,0)),0)),0)</f>
        <v>0</v>
      </c>
      <c r="M622" s="33">
        <f>IF($O622="방문완료",IFERROR(VLOOKUP($E622,설정_코스수당!$A$6:$H$10,6,FALSE),0),0)</f>
        <v>0</v>
      </c>
      <c r="N622" s="34">
        <f t="shared" si="17"/>
        <v>0</v>
      </c>
      <c r="O622" s="29"/>
      <c r="P622" s="29"/>
      <c r="Q622" s="29"/>
      <c r="R622" s="32"/>
      <c r="S622" s="29"/>
    </row>
    <row r="623" spans="1:22" ht="19.5" hidden="1" customHeight="1" outlineLevel="1">
      <c r="A623" s="23">
        <v>95</v>
      </c>
      <c r="B623" s="24">
        <f>IF(6&lt;=DAY(DATE(YEAR(설정_코스수당!$K$2),MONTH(설정_코스수당!$K$2)+1,0)),DATE(YEAR(설정_코스수당!$K$2),MONTH(설정_코스수당!$K$2),6),"")</f>
        <v>46179</v>
      </c>
      <c r="C623" s="25"/>
      <c r="D623" s="23"/>
      <c r="E623" s="23"/>
      <c r="F623" s="26"/>
      <c r="G623" s="23"/>
      <c r="H623" s="23"/>
      <c r="I623" s="23"/>
      <c r="J623" s="27">
        <f>IF($O623="방문완료",MAX(0,IFERROR(VLOOKUP($E623,설정_코스수당!$A$6:$H$10,4,FALSE),0)-IF(OR($P623="",$P623="없음"),0,100000)),0)</f>
        <v>0</v>
      </c>
      <c r="K623" s="27">
        <f t="array" ref="K623">IF($O623="방문완료",IFERROR(INDEX(설정_코스수당!$B$15:$F$64,MATCH($G623,설정_코스수당!$A$15:$A$64,0),MATCH($E623&amp;"수당",설정_코스수당!$B$14:$F$14,0)),0),0)</f>
        <v>0</v>
      </c>
      <c r="L623" s="27">
        <f t="array" ref="L623">IF($O623="방문완료",IF($H623="",0,IFERROR(INDEX(설정_코스수당!$B$15:$F$64,MATCH($H623,설정_코스수당!$A$15:$A$64,0),MATCH($E623&amp;"수당",설정_코스수당!$B$14:$F$14,0)),0)),0)</f>
        <v>0</v>
      </c>
      <c r="M623" s="27">
        <f>IF($O623="방문완료",IFERROR(VLOOKUP($E623,설정_코스수당!$A$6:$H$10,6,FALSE),0),0)</f>
        <v>0</v>
      </c>
      <c r="N623" s="28">
        <f t="shared" si="17"/>
        <v>0</v>
      </c>
      <c r="O623" s="23"/>
      <c r="P623" s="23"/>
      <c r="Q623" s="23"/>
      <c r="R623" s="26"/>
      <c r="S623" s="23"/>
    </row>
    <row r="624" spans="1:22" ht="19.5" hidden="1" customHeight="1" outlineLevel="1">
      <c r="A624" s="29">
        <v>96</v>
      </c>
      <c r="B624" s="30">
        <f>IF(6&lt;=DAY(DATE(YEAR(설정_코스수당!$K$2),MONTH(설정_코스수당!$K$2)+1,0)),DATE(YEAR(설정_코스수당!$K$2),MONTH(설정_코스수당!$K$2),6),"")</f>
        <v>46179</v>
      </c>
      <c r="C624" s="31"/>
      <c r="D624" s="29"/>
      <c r="E624" s="29"/>
      <c r="F624" s="32"/>
      <c r="G624" s="29"/>
      <c r="H624" s="29"/>
      <c r="I624" s="29"/>
      <c r="J624" s="33">
        <f>IF($O624="방문완료",MAX(0,IFERROR(VLOOKUP($E624,설정_코스수당!$A$6:$H$10,4,FALSE),0)-IF(OR($P624="",$P624="없음"),0,100000)),0)</f>
        <v>0</v>
      </c>
      <c r="K624" s="33">
        <f t="array" ref="K624">IF($O624="방문완료",IFERROR(INDEX(설정_코스수당!$B$15:$F$64,MATCH($G624,설정_코스수당!$A$15:$A$64,0),MATCH($E624&amp;"수당",설정_코스수당!$B$14:$F$14,0)),0),0)</f>
        <v>0</v>
      </c>
      <c r="L624" s="33">
        <f t="array" ref="L624">IF($O624="방문완료",IF($H624="",0,IFERROR(INDEX(설정_코스수당!$B$15:$F$64,MATCH($H624,설정_코스수당!$A$15:$A$64,0),MATCH($E624&amp;"수당",설정_코스수당!$B$14:$F$14,0)),0)),0)</f>
        <v>0</v>
      </c>
      <c r="M624" s="33">
        <f>IF($O624="방문완료",IFERROR(VLOOKUP($E624,설정_코스수당!$A$6:$H$10,6,FALSE),0),0)</f>
        <v>0</v>
      </c>
      <c r="N624" s="34">
        <f t="shared" si="17"/>
        <v>0</v>
      </c>
      <c r="O624" s="29"/>
      <c r="P624" s="29"/>
      <c r="Q624" s="29"/>
      <c r="R624" s="32"/>
      <c r="S624" s="29"/>
    </row>
    <row r="625" spans="1:27" ht="19.5" hidden="1" customHeight="1" outlineLevel="1">
      <c r="A625" s="23">
        <v>97</v>
      </c>
      <c r="B625" s="24">
        <f>IF(6&lt;=DAY(DATE(YEAR(설정_코스수당!$K$2),MONTH(설정_코스수당!$K$2)+1,0)),DATE(YEAR(설정_코스수당!$K$2),MONTH(설정_코스수당!$K$2),6),"")</f>
        <v>46179</v>
      </c>
      <c r="C625" s="25"/>
      <c r="D625" s="23"/>
      <c r="E625" s="23"/>
      <c r="F625" s="26"/>
      <c r="G625" s="23"/>
      <c r="H625" s="23"/>
      <c r="I625" s="23"/>
      <c r="J625" s="27">
        <f>IF($O625="방문완료",MAX(0,IFERROR(VLOOKUP($E625,설정_코스수당!$A$6:$H$10,4,FALSE),0)-IF(OR($P625="",$P625="없음"),0,100000)),0)</f>
        <v>0</v>
      </c>
      <c r="K625" s="27">
        <f t="array" ref="K625">IF($O625="방문완료",IFERROR(INDEX(설정_코스수당!$B$15:$F$64,MATCH($G625,설정_코스수당!$A$15:$A$64,0),MATCH($E625&amp;"수당",설정_코스수당!$B$14:$F$14,0)),0),0)</f>
        <v>0</v>
      </c>
      <c r="L625" s="27">
        <f t="array" ref="L625">IF($O625="방문완료",IF($H625="",0,IFERROR(INDEX(설정_코스수당!$B$15:$F$64,MATCH($H625,설정_코스수당!$A$15:$A$64,0),MATCH($E625&amp;"수당",설정_코스수당!$B$14:$F$14,0)),0)),0)</f>
        <v>0</v>
      </c>
      <c r="M625" s="27">
        <f>IF($O625="방문완료",IFERROR(VLOOKUP($E625,설정_코스수당!$A$6:$H$10,6,FALSE),0),0)</f>
        <v>0</v>
      </c>
      <c r="N625" s="28">
        <f t="shared" si="17"/>
        <v>0</v>
      </c>
      <c r="O625" s="23"/>
      <c r="P625" s="23"/>
      <c r="Q625" s="23"/>
      <c r="R625" s="26"/>
      <c r="S625" s="23"/>
    </row>
    <row r="626" spans="1:27" ht="19.5" hidden="1" customHeight="1" outlineLevel="1">
      <c r="A626" s="29">
        <v>98</v>
      </c>
      <c r="B626" s="30">
        <f>IF(6&lt;=DAY(DATE(YEAR(설정_코스수당!$K$2),MONTH(설정_코스수당!$K$2)+1,0)),DATE(YEAR(설정_코스수당!$K$2),MONTH(설정_코스수당!$K$2),6),"")</f>
        <v>46179</v>
      </c>
      <c r="C626" s="31"/>
      <c r="D626" s="29"/>
      <c r="E626" s="29"/>
      <c r="F626" s="32"/>
      <c r="G626" s="29"/>
      <c r="H626" s="29"/>
      <c r="I626" s="29"/>
      <c r="J626" s="33">
        <f>IF($O626="방문완료",MAX(0,IFERROR(VLOOKUP($E626,설정_코스수당!$A$6:$H$10,4,FALSE),0)-IF(OR($P626="",$P626="없음"),0,100000)),0)</f>
        <v>0</v>
      </c>
      <c r="K626" s="33">
        <f t="array" ref="K626">IF($O626="방문완료",IFERROR(INDEX(설정_코스수당!$B$15:$F$64,MATCH($G626,설정_코스수당!$A$15:$A$64,0),MATCH($E626&amp;"수당",설정_코스수당!$B$14:$F$14,0)),0),0)</f>
        <v>0</v>
      </c>
      <c r="L626" s="33">
        <f t="array" ref="L626">IF($O626="방문완료",IF($H626="",0,IFERROR(INDEX(설정_코스수당!$B$15:$F$64,MATCH($H626,설정_코스수당!$A$15:$A$64,0),MATCH($E626&amp;"수당",설정_코스수당!$B$14:$F$14,0)),0)),0)</f>
        <v>0</v>
      </c>
      <c r="M626" s="33">
        <f>IF($O626="방문완료",IFERROR(VLOOKUP($E626,설정_코스수당!$A$6:$H$10,6,FALSE),0),0)</f>
        <v>0</v>
      </c>
      <c r="N626" s="34">
        <f t="shared" si="17"/>
        <v>0</v>
      </c>
      <c r="O626" s="29"/>
      <c r="P626" s="29"/>
      <c r="Q626" s="29"/>
      <c r="R626" s="32"/>
      <c r="S626" s="29"/>
    </row>
    <row r="627" spans="1:27" ht="19.5" hidden="1" customHeight="1" outlineLevel="1">
      <c r="A627" s="23">
        <v>99</v>
      </c>
      <c r="B627" s="24">
        <f>IF(6&lt;=DAY(DATE(YEAR(설정_코스수당!$K$2),MONTH(설정_코스수당!$K$2)+1,0)),DATE(YEAR(설정_코스수당!$K$2),MONTH(설정_코스수당!$K$2),6),"")</f>
        <v>46179</v>
      </c>
      <c r="C627" s="25"/>
      <c r="D627" s="23"/>
      <c r="E627" s="23"/>
      <c r="F627" s="26"/>
      <c r="G627" s="23"/>
      <c r="H627" s="23"/>
      <c r="I627" s="23"/>
      <c r="J627" s="27">
        <f>IF($O627="방문완료",MAX(0,IFERROR(VLOOKUP($E627,설정_코스수당!$A$6:$H$10,4,FALSE),0)-IF(OR($P627="",$P627="없음"),0,100000)),0)</f>
        <v>0</v>
      </c>
      <c r="K627" s="27">
        <f t="array" ref="K627">IF($O627="방문완료",IFERROR(INDEX(설정_코스수당!$B$15:$F$64,MATCH($G627,설정_코스수당!$A$15:$A$64,0),MATCH($E627&amp;"수당",설정_코스수당!$B$14:$F$14,0)),0),0)</f>
        <v>0</v>
      </c>
      <c r="L627" s="27">
        <f t="array" ref="L627">IF($O627="방문완료",IF($H627="",0,IFERROR(INDEX(설정_코스수당!$B$15:$F$64,MATCH($H627,설정_코스수당!$A$15:$A$64,0),MATCH($E627&amp;"수당",설정_코스수당!$B$14:$F$14,0)),0)),0)</f>
        <v>0</v>
      </c>
      <c r="M627" s="27">
        <f>IF($O627="방문완료",IFERROR(VLOOKUP($E627,설정_코스수당!$A$6:$H$10,6,FALSE),0),0)</f>
        <v>0</v>
      </c>
      <c r="N627" s="28">
        <f t="shared" si="17"/>
        <v>0</v>
      </c>
      <c r="O627" s="23"/>
      <c r="P627" s="23"/>
      <c r="Q627" s="23"/>
      <c r="R627" s="26"/>
      <c r="S627" s="23"/>
    </row>
    <row r="628" spans="1:27" ht="19.5" hidden="1" customHeight="1" outlineLevel="1">
      <c r="A628" s="29">
        <v>100</v>
      </c>
      <c r="B628" s="30">
        <f>IF(6&lt;=DAY(DATE(YEAR(설정_코스수당!$K$2),MONTH(설정_코스수당!$K$2)+1,0)),DATE(YEAR(설정_코스수당!$K$2),MONTH(설정_코스수당!$K$2),6),"")</f>
        <v>46179</v>
      </c>
      <c r="C628" s="31"/>
      <c r="D628" s="29"/>
      <c r="E628" s="29"/>
      <c r="F628" s="32"/>
      <c r="G628" s="29"/>
      <c r="H628" s="29"/>
      <c r="I628" s="29"/>
      <c r="J628" s="33">
        <f>IF($O628="방문완료",MAX(0,IFERROR(VLOOKUP($E628,설정_코스수당!$A$6:$H$10,4,FALSE),0)-IF(OR($P628="",$P628="없음"),0,100000)),0)</f>
        <v>0</v>
      </c>
      <c r="K628" s="33">
        <f t="array" ref="K628">IF($O628="방문완료",IFERROR(INDEX(설정_코스수당!$B$15:$F$64,MATCH($G628,설정_코스수당!$A$15:$A$64,0),MATCH($E628&amp;"수당",설정_코스수당!$B$14:$F$14,0)),0),0)</f>
        <v>0</v>
      </c>
      <c r="L628" s="33">
        <f t="array" ref="L628">IF($O628="방문완료",IF($H628="",0,IFERROR(INDEX(설정_코스수당!$B$15:$F$64,MATCH($H628,설정_코스수당!$A$15:$A$64,0),MATCH($E628&amp;"수당",설정_코스수당!$B$14:$F$14,0)),0)),0)</f>
        <v>0</v>
      </c>
      <c r="M628" s="33">
        <f>IF($O628="방문완료",IFERROR(VLOOKUP($E628,설정_코스수당!$A$6:$H$10,6,FALSE),0),0)</f>
        <v>0</v>
      </c>
      <c r="N628" s="34">
        <f t="shared" si="17"/>
        <v>0</v>
      </c>
      <c r="O628" s="29"/>
      <c r="P628" s="29"/>
      <c r="Q628" s="29"/>
      <c r="R628" s="32"/>
      <c r="S628" s="29"/>
    </row>
    <row r="629" spans="1:27" ht="19.5" hidden="1" customHeight="1" outlineLevel="1">
      <c r="A629" s="36" t="s">
        <v>79</v>
      </c>
      <c r="B629" s="37"/>
      <c r="C629" s="38"/>
      <c r="D629" s="37"/>
      <c r="E629" s="37"/>
      <c r="F629" s="37"/>
      <c r="G629" s="37"/>
      <c r="H629" s="37"/>
      <c r="I629" s="37"/>
      <c r="J629" s="37">
        <f>IF($O629="방문완료",MAX(0,IFERROR(VLOOKUP($E629,설정_코스수당!$A$6:$H$10,4,FALSE),0)-IF(OR($P629="",$P629="없음"),0,100000)),0)</f>
        <v>0</v>
      </c>
      <c r="O629" s="18"/>
      <c r="P629" s="14"/>
      <c r="Q629" s="18"/>
      <c r="S629" s="18"/>
    </row>
    <row r="630" spans="1:27" ht="21" customHeight="1" collapsed="1">
      <c r="A630" s="123" t="str">
        <f>IF(7&lt;=DAY(DATE(YEAR(설정_코스수당!$K$2),MONTH(설정_코스수당!$K$2)+1,0)),TEXT(DATE(YEAR(설정_코스수당!$K$2),MONTH(설정_코스수당!$K$2),7),"yyyy-mm-dd")&amp;"  |  예약관리 100슬롯","")</f>
        <v>2026-06-07  |  예약관리 100슬롯</v>
      </c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 spans="1:27" ht="19.5" hidden="1" customHeight="1" outlineLevel="1">
      <c r="A631" s="20" t="s">
        <v>41</v>
      </c>
      <c r="B631" s="20" t="s">
        <v>42</v>
      </c>
      <c r="C631" s="39" t="s">
        <v>43</v>
      </c>
      <c r="D631" s="20" t="s">
        <v>44</v>
      </c>
      <c r="E631" s="20" t="s">
        <v>45</v>
      </c>
      <c r="F631" s="20" t="s">
        <v>46</v>
      </c>
      <c r="G631" s="20" t="s">
        <v>47</v>
      </c>
      <c r="H631" s="20" t="s">
        <v>48</v>
      </c>
      <c r="I631" s="20" t="s">
        <v>49</v>
      </c>
      <c r="J631" s="20" t="s">
        <v>50</v>
      </c>
      <c r="K631" s="20" t="s">
        <v>51</v>
      </c>
      <c r="L631" s="20" t="s">
        <v>52</v>
      </c>
      <c r="M631" s="20" t="s">
        <v>53</v>
      </c>
      <c r="N631" s="20" t="s">
        <v>54</v>
      </c>
      <c r="O631" s="20" t="s">
        <v>55</v>
      </c>
      <c r="P631" s="20" t="s">
        <v>56</v>
      </c>
      <c r="Q631" s="18"/>
      <c r="R631" s="20" t="s">
        <v>58</v>
      </c>
      <c r="S631" s="20" t="s">
        <v>59</v>
      </c>
      <c r="U631" s="122" t="str">
        <f>IF(7&lt;=DAY(DATE(YEAR(설정_코스수당!$K$2),MONTH(설정_코스수당!$K$2)+1,0)),TEXT(DATE(YEAR(설정_코스수당!$K$2),MONTH(설정_코스수당!$K$2),7),"yyyy-mm-dd")&amp;" 일일 상태","")</f>
        <v>2026-06-07 일일 상태</v>
      </c>
      <c r="V631" s="125"/>
      <c r="W631" s="122" t="s">
        <v>3</v>
      </c>
      <c r="X631" s="125"/>
    </row>
    <row r="632" spans="1:27" ht="19.5" hidden="1" customHeight="1" outlineLevel="1">
      <c r="A632" s="23">
        <v>1</v>
      </c>
      <c r="B632" s="24">
        <f>IF(7&lt;=DAY(DATE(YEAR(설정_코스수당!$K$2),MONTH(설정_코스수당!$K$2)+1,0)),DATE(YEAR(설정_코스수당!$K$2),MONTH(설정_코스수당!$K$2),7),"")</f>
        <v>46180</v>
      </c>
      <c r="C632" s="25"/>
      <c r="D632" s="23"/>
      <c r="E632" s="23"/>
      <c r="F632" s="26"/>
      <c r="G632" s="23"/>
      <c r="H632" s="23"/>
      <c r="I632" s="23"/>
      <c r="J632" s="27">
        <f>IF($O632="방문완료",MAX(0,IFERROR(VLOOKUP($E632,설정_코스수당!$A$6:$H$10,4,FALSE),0)-IF(OR($P632="",$P632="없음"),0,100000)),0)</f>
        <v>0</v>
      </c>
      <c r="K632" s="27">
        <f t="array" ref="K632">IF($O632="방문완료",IFERROR(INDEX(설정_코스수당!$B$15:$F$64,MATCH($G632,설정_코스수당!$A$15:$A$64,0),MATCH($E632&amp;"수당",설정_코스수당!$B$14:$F$14,0)),0),0)</f>
        <v>0</v>
      </c>
      <c r="L632" s="27">
        <f t="array" ref="L632">IF($O632="방문완료",IF($H632="",0,IFERROR(INDEX(설정_코스수당!$B$15:$F$64,MATCH($H632,설정_코스수당!$A$15:$A$64,0),MATCH($E632&amp;"수당",설정_코스수당!$B$14:$F$14,0)),0)),0)</f>
        <v>0</v>
      </c>
      <c r="M632" s="27">
        <f>IF($O632="방문완료",IFERROR(VLOOKUP($E632,설정_코스수당!$A$6:$H$10,6,FALSE),0),0)</f>
        <v>0</v>
      </c>
      <c r="N632" s="28">
        <f t="shared" ref="N632:N663" si="18">IF($O632="방문완료",1,0)</f>
        <v>0</v>
      </c>
      <c r="O632" s="23"/>
      <c r="P632" s="23"/>
      <c r="Q632" s="23"/>
      <c r="R632" s="26"/>
      <c r="S632" s="23"/>
      <c r="U632" s="104" t="s">
        <v>63</v>
      </c>
      <c r="V632" s="105">
        <f>IF(7&lt;=DAY(DATE(YEAR(설정_코스수당!$K$2),MONTH(설정_코스수당!$K$2)+1,0)),COUNTIFS($B:$B,DATE(YEAR(설정_코스수당!$K$2),MONTH(설정_코스수당!$K$2),7),$O:$O,"&lt;&gt;"),"")</f>
        <v>0</v>
      </c>
      <c r="W632" s="104" t="s">
        <v>6</v>
      </c>
      <c r="X632" s="105">
        <f>IF(7&lt;=DAY(DATE(YEAR(설정_코스수당!$K$2),MONTH(설정_코스수당!$K$2)+1,0)),COUNTIFS($B:$B,DATE(YEAR(설정_코스수당!$K$2),MONTH(설정_코스수당!$K$2),7),$E:$E,"A",$O:$O,"방문완료"),"")</f>
        <v>0</v>
      </c>
    </row>
    <row r="633" spans="1:27" ht="19.5" hidden="1" customHeight="1" outlineLevel="1">
      <c r="A633" s="29">
        <v>2</v>
      </c>
      <c r="B633" s="30">
        <f>IF(7&lt;=DAY(DATE(YEAR(설정_코스수당!$K$2),MONTH(설정_코스수당!$K$2)+1,0)),DATE(YEAR(설정_코스수당!$K$2),MONTH(설정_코스수당!$K$2),7),"")</f>
        <v>46180</v>
      </c>
      <c r="C633" s="31"/>
      <c r="D633" s="29"/>
      <c r="E633" s="29"/>
      <c r="F633" s="32"/>
      <c r="G633" s="29"/>
      <c r="H633" s="29"/>
      <c r="I633" s="29"/>
      <c r="J633" s="33">
        <f>IF($O633="방문완료",MAX(0,IFERROR(VLOOKUP($E633,설정_코스수당!$A$6:$H$10,4,FALSE),0)-IF(OR($P633="",$P633="없음"),0,100000)),0)</f>
        <v>0</v>
      </c>
      <c r="K633" s="33">
        <f t="array" ref="K633">IF($O633="방문완료",IFERROR(INDEX(설정_코스수당!$B$15:$F$64,MATCH($G633,설정_코스수당!$A$15:$A$64,0),MATCH($E633&amp;"수당",설정_코스수당!$B$14:$F$14,0)),0),0)</f>
        <v>0</v>
      </c>
      <c r="L633" s="33">
        <f t="array" ref="L633">IF($O633="방문완료",IF($H633="",0,IFERROR(INDEX(설정_코스수당!$B$15:$F$64,MATCH($H633,설정_코스수당!$A$15:$A$64,0),MATCH($E633&amp;"수당",설정_코스수당!$B$14:$F$14,0)),0)),0)</f>
        <v>0</v>
      </c>
      <c r="M633" s="33">
        <f>IF($O633="방문완료",IFERROR(VLOOKUP($E633,설정_코스수당!$A$6:$H$10,6,FALSE),0),0)</f>
        <v>0</v>
      </c>
      <c r="N633" s="34">
        <f t="shared" si="18"/>
        <v>0</v>
      </c>
      <c r="O633" s="29"/>
      <c r="P633" s="29"/>
      <c r="Q633" s="29"/>
      <c r="R633" s="32"/>
      <c r="S633" s="29"/>
      <c r="U633" s="104" t="s">
        <v>62</v>
      </c>
      <c r="V633" s="105">
        <f>IF(7&lt;=DAY(DATE(YEAR(설정_코스수당!$K$2),MONTH(설정_코스수당!$K$2)+1,0)),COUNTIFS($B:$B,DATE(YEAR(설정_코스수당!$K$2),MONTH(설정_코스수당!$K$2),7),$O:$O,"방문완료"),"")</f>
        <v>0</v>
      </c>
      <c r="W633" s="104" t="s">
        <v>9</v>
      </c>
      <c r="X633" s="105">
        <f>IF(7&lt;=DAY(DATE(YEAR(설정_코스수당!$K$2),MONTH(설정_코스수당!$K$2)+1,0)),COUNTIFS($B:$B,DATE(YEAR(설정_코스수당!$K$2),MONTH(설정_코스수당!$K$2),7),$E:$E,"B",$O:$O,"방문완료"),"")</f>
        <v>0</v>
      </c>
    </row>
    <row r="634" spans="1:27" ht="19.5" hidden="1" customHeight="1" outlineLevel="1">
      <c r="A634" s="23">
        <v>3</v>
      </c>
      <c r="B634" s="24">
        <f>IF(7&lt;=DAY(DATE(YEAR(설정_코스수당!$K$2),MONTH(설정_코스수당!$K$2)+1,0)),DATE(YEAR(설정_코스수당!$K$2),MONTH(설정_코스수당!$K$2),7),"")</f>
        <v>46180</v>
      </c>
      <c r="C634" s="25"/>
      <c r="D634" s="23"/>
      <c r="E634" s="23"/>
      <c r="F634" s="26"/>
      <c r="G634" s="23"/>
      <c r="H634" s="23"/>
      <c r="I634" s="23"/>
      <c r="J634" s="27">
        <f>IF($O634="방문완료",MAX(0,IFERROR(VLOOKUP($E634,설정_코스수당!$A$6:$H$10,4,FALSE),0)-IF(OR($P634="",$P634="없음"),0,100000)),0)</f>
        <v>0</v>
      </c>
      <c r="K634" s="27">
        <f t="array" ref="K634">IF($O634="방문완료",IFERROR(INDEX(설정_코스수당!$B$15:$F$64,MATCH($G634,설정_코스수당!$A$15:$A$64,0),MATCH($E634&amp;"수당",설정_코스수당!$B$14:$F$14,0)),0),0)</f>
        <v>0</v>
      </c>
      <c r="L634" s="27">
        <f t="array" ref="L634">IF($O634="방문완료",IF($H634="",0,IFERROR(INDEX(설정_코스수당!$B$15:$F$64,MATCH($H634,설정_코스수당!$A$15:$A$64,0),MATCH($E634&amp;"수당",설정_코스수당!$B$14:$F$14,0)),0)),0)</f>
        <v>0</v>
      </c>
      <c r="M634" s="27">
        <f>IF($O634="방문완료",IFERROR(VLOOKUP($E634,설정_코스수당!$A$6:$H$10,6,FALSE),0),0)</f>
        <v>0</v>
      </c>
      <c r="N634" s="28">
        <f t="shared" si="18"/>
        <v>0</v>
      </c>
      <c r="O634" s="23"/>
      <c r="P634" s="23"/>
      <c r="Q634" s="23"/>
      <c r="R634" s="26"/>
      <c r="S634" s="23"/>
      <c r="U634" s="104" t="s">
        <v>68</v>
      </c>
      <c r="V634" s="105" t="str">
        <f>IF(7&lt;=DAY(DATE(YEAR(설정_코스수당!$K$2),MONTH(설정_코스수당!$K$2)+1,0)),COUNTIFS($B:$B,DATE(YEAR(설정_코스수당!$K$2),MONTH(설정_코스수당!$K$2),7),$O:$O,"노쇼")&amp;"/"&amp;COUNTIFS($B:$B,DATE(YEAR(설정_코스수당!$K$2),MONTH(설정_코스수당!$K$2),7),$O:$O,"취소"),"")</f>
        <v>0/0</v>
      </c>
      <c r="W634" s="104" t="s">
        <v>12</v>
      </c>
      <c r="X634" s="105">
        <f>IF(7&lt;=DAY(DATE(YEAR(설정_코스수당!$K$2),MONTH(설정_코스수당!$K$2)+1,0)),COUNTIFS($B:$B,DATE(YEAR(설정_코스수당!$K$2),MONTH(설정_코스수당!$K$2),7),$E:$E,"C",$O:$O,"방문완료"),"")</f>
        <v>0</v>
      </c>
    </row>
    <row r="635" spans="1:27" ht="19.5" hidden="1" customHeight="1" outlineLevel="1">
      <c r="A635" s="29">
        <v>4</v>
      </c>
      <c r="B635" s="30">
        <f>IF(7&lt;=DAY(DATE(YEAR(설정_코스수당!$K$2),MONTH(설정_코스수당!$K$2)+1,0)),DATE(YEAR(설정_코스수당!$K$2),MONTH(설정_코스수당!$K$2),7),"")</f>
        <v>46180</v>
      </c>
      <c r="C635" s="31"/>
      <c r="D635" s="29"/>
      <c r="E635" s="29"/>
      <c r="F635" s="32"/>
      <c r="G635" s="29"/>
      <c r="H635" s="29"/>
      <c r="I635" s="29"/>
      <c r="J635" s="33">
        <f>IF($O635="방문완료",MAX(0,IFERROR(VLOOKUP($E635,설정_코스수당!$A$6:$H$10,4,FALSE),0)-IF(OR($P635="",$P635="없음"),0,100000)),0)</f>
        <v>0</v>
      </c>
      <c r="K635" s="33">
        <f t="array" ref="K635">IF($O635="방문완료",IFERROR(INDEX(설정_코스수당!$B$15:$F$64,MATCH($G635,설정_코스수당!$A$15:$A$64,0),MATCH($E635&amp;"수당",설정_코스수당!$B$14:$F$14,0)),0),0)</f>
        <v>0</v>
      </c>
      <c r="L635" s="33">
        <f t="array" ref="L635">IF($O635="방문완료",IF($H635="",0,IFERROR(INDEX(설정_코스수당!$B$15:$F$64,MATCH($H635,설정_코스수당!$A$15:$A$64,0),MATCH($E635&amp;"수당",설정_코스수당!$B$14:$F$14,0)),0)),0)</f>
        <v>0</v>
      </c>
      <c r="M635" s="33">
        <f>IF($O635="방문완료",IFERROR(VLOOKUP($E635,설정_코스수당!$A$6:$H$10,6,FALSE),0),0)</f>
        <v>0</v>
      </c>
      <c r="N635" s="34">
        <f t="shared" si="18"/>
        <v>0</v>
      </c>
      <c r="O635" s="29"/>
      <c r="P635" s="29"/>
      <c r="Q635" s="29"/>
      <c r="R635" s="32"/>
      <c r="S635" s="29"/>
      <c r="U635" s="104" t="s">
        <v>69</v>
      </c>
      <c r="V635" s="106">
        <f>IF(7&lt;=DAY(DATE(YEAR(설정_코스수당!$K$2),MONTH(설정_코스수당!$K$2)+1,0)),SUMIFS($J:$J,$B:$B,DATE(YEAR(설정_코스수당!$K$2),MONTH(설정_코스수당!$K$2),7),$O:$O,"방문완료"),"")</f>
        <v>0</v>
      </c>
      <c r="W635" s="104" t="s">
        <v>15</v>
      </c>
      <c r="X635" s="105">
        <f>IF(7&lt;=DAY(DATE(YEAR(설정_코스수당!$K$2),MONTH(설정_코스수당!$K$2)+1,0)),COUNTIFS($B:$B,DATE(YEAR(설정_코스수당!$K$2),MONTH(설정_코스수당!$K$2),7),$E:$E,"D",$O:$O,"방문완료"),"")</f>
        <v>0</v>
      </c>
    </row>
    <row r="636" spans="1:27" ht="19.5" hidden="1" customHeight="1" outlineLevel="1">
      <c r="A636" s="23">
        <v>5</v>
      </c>
      <c r="B636" s="24">
        <f>IF(7&lt;=DAY(DATE(YEAR(설정_코스수당!$K$2),MONTH(설정_코스수당!$K$2)+1,0)),DATE(YEAR(설정_코스수당!$K$2),MONTH(설정_코스수당!$K$2),7),"")</f>
        <v>46180</v>
      </c>
      <c r="C636" s="25"/>
      <c r="D636" s="23"/>
      <c r="E636" s="23"/>
      <c r="F636" s="26"/>
      <c r="G636" s="23"/>
      <c r="H636" s="23"/>
      <c r="I636" s="23"/>
      <c r="J636" s="27">
        <f>IF($O636="방문완료",MAX(0,IFERROR(VLOOKUP($E636,설정_코스수당!$A$6:$H$10,4,FALSE),0)-IF(OR($P636="",$P636="없음"),0,100000)),0)</f>
        <v>0</v>
      </c>
      <c r="K636" s="27">
        <f t="array" ref="K636">IF($O636="방문완료",IFERROR(INDEX(설정_코스수당!$B$15:$F$64,MATCH($G636,설정_코스수당!$A$15:$A$64,0),MATCH($E636&amp;"수당",설정_코스수당!$B$14:$F$14,0)),0),0)</f>
        <v>0</v>
      </c>
      <c r="L636" s="27">
        <f t="array" ref="L636">IF($O636="방문완료",IF($H636="",0,IFERROR(INDEX(설정_코스수당!$B$15:$F$64,MATCH($H636,설정_코스수당!$A$15:$A$64,0),MATCH($E636&amp;"수당",설정_코스수당!$B$14:$F$14,0)),0)),0)</f>
        <v>0</v>
      </c>
      <c r="M636" s="27">
        <f>IF($O636="방문완료",IFERROR(VLOOKUP($E636,설정_코스수당!$A$6:$H$10,6,FALSE),0),0)</f>
        <v>0</v>
      </c>
      <c r="N636" s="28">
        <f t="shared" si="18"/>
        <v>0</v>
      </c>
      <c r="O636" s="23"/>
      <c r="P636" s="23"/>
      <c r="Q636" s="23"/>
      <c r="R636" s="26"/>
      <c r="S636" s="23"/>
      <c r="U636" s="104" t="s">
        <v>70</v>
      </c>
      <c r="V636" s="106">
        <f>IF(7&lt;=DAY(DATE(YEAR(설정_코스수당!$K$2),MONTH(설정_코스수당!$K$2)+1,0)),SUMIFS($K:$K,$B:$B,DATE(YEAR(설정_코스수당!$K$2),MONTH(설정_코스수당!$K$2),7),$O:$O,"방문완료")+SUMIFS($L:$L,$B:$B,DATE(YEAR(설정_코스수당!$K$2),MONTH(설정_코스수당!$K$2),7),$O:$O,"방문완료"),"")</f>
        <v>0</v>
      </c>
      <c r="W636" s="104" t="s">
        <v>18</v>
      </c>
      <c r="X636" s="105">
        <f>IF(7&lt;=DAY(DATE(YEAR(설정_코스수당!$K$2),MONTH(설정_코스수당!$K$2)+1,0)),COUNTIFS($B:$B,DATE(YEAR(설정_코스수당!$K$2),MONTH(설정_코스수당!$K$2),7),$E:$E,"E",$O:$O,"방문완료"),"")</f>
        <v>0</v>
      </c>
    </row>
    <row r="637" spans="1:27" ht="19.5" hidden="1" customHeight="1" outlineLevel="1">
      <c r="A637" s="29">
        <v>6</v>
      </c>
      <c r="B637" s="30">
        <f>IF(7&lt;=DAY(DATE(YEAR(설정_코스수당!$K$2),MONTH(설정_코스수당!$K$2)+1,0)),DATE(YEAR(설정_코스수당!$K$2),MONTH(설정_코스수당!$K$2),7),"")</f>
        <v>46180</v>
      </c>
      <c r="C637" s="31"/>
      <c r="D637" s="29"/>
      <c r="E637" s="29"/>
      <c r="F637" s="32"/>
      <c r="G637" s="29"/>
      <c r="H637" s="29"/>
      <c r="I637" s="29"/>
      <c r="J637" s="33">
        <f>IF($O637="방문완료",MAX(0,IFERROR(VLOOKUP($E637,설정_코스수당!$A$6:$H$10,4,FALSE),0)-IF(OR($P637="",$P637="없음"),0,100000)),0)</f>
        <v>0</v>
      </c>
      <c r="K637" s="33">
        <f t="array" ref="K637">IF($O637="방문완료",IFERROR(INDEX(설정_코스수당!$B$15:$F$64,MATCH($G637,설정_코스수당!$A$15:$A$64,0),MATCH($E637&amp;"수당",설정_코스수당!$B$14:$F$14,0)),0),0)</f>
        <v>0</v>
      </c>
      <c r="L637" s="33">
        <f t="array" ref="L637">IF($O637="방문완료",IF($H637="",0,IFERROR(INDEX(설정_코스수당!$B$15:$F$64,MATCH($H637,설정_코스수당!$A$15:$A$64,0),MATCH($E637&amp;"수당",설정_코스수당!$B$14:$F$14,0)),0)),0)</f>
        <v>0</v>
      </c>
      <c r="M637" s="33">
        <f>IF($O637="방문완료",IFERROR(VLOOKUP($E637,설정_코스수당!$A$6:$H$10,6,FALSE),0),0)</f>
        <v>0</v>
      </c>
      <c r="N637" s="34">
        <f t="shared" si="18"/>
        <v>0</v>
      </c>
      <c r="O637" s="29"/>
      <c r="P637" s="29"/>
      <c r="Q637" s="29"/>
      <c r="R637" s="32"/>
      <c r="S637" s="29"/>
      <c r="U637" s="104" t="s">
        <v>53</v>
      </c>
      <c r="V637" s="106">
        <f>IF(7&lt;=DAY(DATE(YEAR(설정_코스수당!$K$2),MONTH(설정_코스수당!$K$2)+1,0)),SUMIFS($M:$M,$B:$B,DATE(YEAR(설정_코스수당!$K$2),MONTH(설정_코스수당!$K$2),7),$O:$O,"방문완료"),"")</f>
        <v>0</v>
      </c>
      <c r="W637" s="104" t="s">
        <v>71</v>
      </c>
      <c r="X637" s="107">
        <f>IF(7&lt;=DAY(DATE(YEAR(설정_코스수당!$K$2),MONTH(설정_코스수당!$K$2)+1,0)),COUNTIFS($B:$B,DATE(YEAR(설정_코스수당!$K$2),MONTH(설정_코스수당!$K$2),7),$O:$O,"방문완료",$P:$P,"&lt;&gt;",$P:$P,"&lt;&gt;없음"),"")</f>
        <v>0</v>
      </c>
    </row>
    <row r="638" spans="1:27" ht="19.5" hidden="1" customHeight="1" outlineLevel="1">
      <c r="A638" s="23">
        <v>7</v>
      </c>
      <c r="B638" s="24">
        <f>IF(7&lt;=DAY(DATE(YEAR(설정_코스수당!$K$2),MONTH(설정_코스수당!$K$2)+1,0)),DATE(YEAR(설정_코스수당!$K$2),MONTH(설정_코스수당!$K$2),7),"")</f>
        <v>46180</v>
      </c>
      <c r="C638" s="25"/>
      <c r="D638" s="23"/>
      <c r="E638" s="23"/>
      <c r="F638" s="26"/>
      <c r="G638" s="23"/>
      <c r="H638" s="23"/>
      <c r="I638" s="23"/>
      <c r="J638" s="27">
        <f>IF($O638="방문완료",MAX(0,IFERROR(VLOOKUP($E638,설정_코스수당!$A$6:$H$10,4,FALSE),0)-IF(OR($P638="",$P638="없음"),0,100000)),0)</f>
        <v>0</v>
      </c>
      <c r="K638" s="27">
        <f t="array" ref="K638">IF($O638="방문완료",IFERROR(INDEX(설정_코스수당!$B$15:$F$64,MATCH($G638,설정_코스수당!$A$15:$A$64,0),MATCH($E638&amp;"수당",설정_코스수당!$B$14:$F$14,0)),0),0)</f>
        <v>0</v>
      </c>
      <c r="L638" s="27">
        <f t="array" ref="L638">IF($O638="방문완료",IF($H638="",0,IFERROR(INDEX(설정_코스수당!$B$15:$F$64,MATCH($H638,설정_코스수당!$A$15:$A$64,0),MATCH($E638&amp;"수당",설정_코스수당!$B$14:$F$14,0)),0)),0)</f>
        <v>0</v>
      </c>
      <c r="M638" s="27">
        <f>IF($O638="방문완료",IFERROR(VLOOKUP($E638,설정_코스수당!$A$6:$H$10,6,FALSE),0),0)</f>
        <v>0</v>
      </c>
      <c r="N638" s="28">
        <f t="shared" si="18"/>
        <v>0</v>
      </c>
      <c r="O638" s="23"/>
      <c r="P638" s="23"/>
      <c r="Q638" s="23"/>
      <c r="R638" s="26"/>
      <c r="S638" s="23"/>
      <c r="U638" s="104" t="s">
        <v>72</v>
      </c>
      <c r="V638" s="108">
        <f>IF(7&lt;=DAY(DATE(YEAR(설정_코스수당!$K$2),MONTH(설정_코스수당!$K$2)+1,0)),COUNTIFS($B:$B,DATE(YEAR(설정_코스수당!$K$2),MONTH(설정_코스수당!$K$2),7),$O:$O,"방문완료",$P:$P,"&lt;&gt;",$P:$P,"&lt;&gt;없음")*100000,"")</f>
        <v>0</v>
      </c>
      <c r="W638" s="104" t="s">
        <v>73</v>
      </c>
      <c r="X638" s="105">
        <f>IF(7&lt;=DAY(DATE(YEAR(설정_코스수당!$K$2),MONTH(설정_코스수당!$K$2)+1,0)),COUNTIFS($B:$B,DATE(YEAR(설정_코스수당!$K$2),MONTH(설정_코스수당!$K$2),7),$G:$G,"&lt;&gt;",$O:$O,"방문완료")+COUNTIFS($B:$B,DATE(YEAR(설정_코스수당!$K$2),MONTH(설정_코스수당!$K$2),7),$H:$H,"&lt;&gt;",$O:$O,"방문완료"),"")</f>
        <v>0</v>
      </c>
    </row>
    <row r="639" spans="1:27" ht="19.5" hidden="1" customHeight="1" outlineLevel="1">
      <c r="A639" s="29">
        <v>8</v>
      </c>
      <c r="B639" s="30">
        <f>IF(7&lt;=DAY(DATE(YEAR(설정_코스수당!$K$2),MONTH(설정_코스수당!$K$2)+1,0)),DATE(YEAR(설정_코스수당!$K$2),MONTH(설정_코스수당!$K$2),7),"")</f>
        <v>46180</v>
      </c>
      <c r="C639" s="31"/>
      <c r="D639" s="29"/>
      <c r="E639" s="29"/>
      <c r="F639" s="32"/>
      <c r="G639" s="29"/>
      <c r="H639" s="29"/>
      <c r="I639" s="29"/>
      <c r="J639" s="33">
        <f>IF($O639="방문완료",MAX(0,IFERROR(VLOOKUP($E639,설정_코스수당!$A$6:$H$10,4,FALSE),0)-IF(OR($P639="",$P639="없음"),0,100000)),0)</f>
        <v>0</v>
      </c>
      <c r="K639" s="33">
        <f t="array" ref="K639">IF($O639="방문완료",IFERROR(INDEX(설정_코스수당!$B$15:$F$64,MATCH($G639,설정_코스수당!$A$15:$A$64,0),MATCH($E639&amp;"수당",설정_코스수당!$B$14:$F$14,0)),0),0)</f>
        <v>0</v>
      </c>
      <c r="L639" s="33">
        <f t="array" ref="L639">IF($O639="방문완료",IF($H639="",0,IFERROR(INDEX(설정_코스수당!$B$15:$F$64,MATCH($H639,설정_코스수당!$A$15:$A$64,0),MATCH($E639&amp;"수당",설정_코스수당!$B$14:$F$14,0)),0)),0)</f>
        <v>0</v>
      </c>
      <c r="M639" s="33">
        <f>IF($O639="방문완료",IFERROR(VLOOKUP($E639,설정_코스수당!$A$6:$H$10,6,FALSE),0),0)</f>
        <v>0</v>
      </c>
      <c r="N639" s="34">
        <f t="shared" si="18"/>
        <v>0</v>
      </c>
      <c r="O639" s="29"/>
      <c r="P639" s="29"/>
      <c r="Q639" s="29"/>
      <c r="R639" s="32"/>
      <c r="S639" s="29"/>
      <c r="U639" s="104" t="s">
        <v>74</v>
      </c>
      <c r="V639" s="108">
        <f>IF(7&lt;=DAY(DATE(YEAR(설정_코스수당!$K$2),MONTH(설정_코스수당!$K$2)+1,0)),SUM($U$643:$U$650),"")</f>
        <v>0</v>
      </c>
      <c r="W639" s="122" t="str">
        <f>IF(7&lt;=DAY(DATE(YEAR(설정_코스수당!$K$2),MONTH(설정_코스수당!$K$2)+1,0)),"계 : "&amp;TEXT(V635-V639,"#,##0")&amp;" 동","")</f>
        <v>계 : 0 동</v>
      </c>
      <c r="X639" s="122"/>
    </row>
    <row r="640" spans="1:27" ht="19.5" hidden="1" customHeight="1" outlineLevel="1">
      <c r="A640" s="23">
        <v>9</v>
      </c>
      <c r="B640" s="24">
        <f>IF(7&lt;=DAY(DATE(YEAR(설정_코스수당!$K$2),MONTH(설정_코스수당!$K$2)+1,0)),DATE(YEAR(설정_코스수당!$K$2),MONTH(설정_코스수당!$K$2),7),"")</f>
        <v>46180</v>
      </c>
      <c r="C640" s="25"/>
      <c r="D640" s="23"/>
      <c r="E640" s="23"/>
      <c r="F640" s="26"/>
      <c r="G640" s="23"/>
      <c r="H640" s="23"/>
      <c r="I640" s="23"/>
      <c r="J640" s="27">
        <f>IF($O640="방문완료",MAX(0,IFERROR(VLOOKUP($E640,설정_코스수당!$A$6:$H$10,4,FALSE),0)-IF(OR($P640="",$P640="없음"),0,100000)),0)</f>
        <v>0</v>
      </c>
      <c r="K640" s="27">
        <f t="array" ref="K640">IF($O640="방문완료",IFERROR(INDEX(설정_코스수당!$B$15:$F$64,MATCH($G640,설정_코스수당!$A$15:$A$64,0),MATCH($E640&amp;"수당",설정_코스수당!$B$14:$F$14,0)),0),0)</f>
        <v>0</v>
      </c>
      <c r="L640" s="27">
        <f t="array" ref="L640">IF($O640="방문완료",IF($H640="",0,IFERROR(INDEX(설정_코스수당!$B$15:$F$64,MATCH($H640,설정_코스수당!$A$15:$A$64,0),MATCH($E640&amp;"수당",설정_코스수당!$B$14:$F$14,0)),0)),0)</f>
        <v>0</v>
      </c>
      <c r="M640" s="27">
        <f>IF($O640="방문완료",IFERROR(VLOOKUP($E640,설정_코스수당!$A$6:$H$10,6,FALSE),0),0)</f>
        <v>0</v>
      </c>
      <c r="N640" s="28">
        <f t="shared" si="18"/>
        <v>0</v>
      </c>
      <c r="O640" s="23"/>
      <c r="P640" s="23"/>
      <c r="Q640" s="23"/>
      <c r="R640" s="26"/>
      <c r="S640" s="23"/>
    </row>
    <row r="641" spans="1:24" ht="19.5" hidden="1" customHeight="1" outlineLevel="1">
      <c r="A641" s="29">
        <v>10</v>
      </c>
      <c r="B641" s="30">
        <f>IF(7&lt;=DAY(DATE(YEAR(설정_코스수당!$K$2),MONTH(설정_코스수당!$K$2)+1,0)),DATE(YEAR(설정_코스수당!$K$2),MONTH(설정_코스수당!$K$2),7),"")</f>
        <v>46180</v>
      </c>
      <c r="C641" s="31"/>
      <c r="D641" s="29"/>
      <c r="E641" s="29"/>
      <c r="F641" s="32"/>
      <c r="G641" s="29"/>
      <c r="H641" s="29"/>
      <c r="I641" s="29"/>
      <c r="J641" s="33">
        <f>IF($O641="방문완료",MAX(0,IFERROR(VLOOKUP($E641,설정_코스수당!$A$6:$H$10,4,FALSE),0)-IF(OR($P641="",$P641="없음"),0,100000)),0)</f>
        <v>0</v>
      </c>
      <c r="K641" s="33">
        <f t="array" ref="K641">IF($O641="방문완료",IFERROR(INDEX(설정_코스수당!$B$15:$F$64,MATCH($G641,설정_코스수당!$A$15:$A$64,0),MATCH($E641&amp;"수당",설정_코스수당!$B$14:$F$14,0)),0),0)</f>
        <v>0</v>
      </c>
      <c r="L641" s="33">
        <f t="array" ref="L641">IF($O641="방문완료",IF($H641="",0,IFERROR(INDEX(설정_코스수당!$B$15:$F$64,MATCH($H641,설정_코스수당!$A$15:$A$64,0),MATCH($E641&amp;"수당",설정_코스수당!$B$14:$F$14,0)),0)),0)</f>
        <v>0</v>
      </c>
      <c r="M641" s="33">
        <f>IF($O641="방문완료",IFERROR(VLOOKUP($E641,설정_코스수당!$A$6:$H$10,6,FALSE),0),0)</f>
        <v>0</v>
      </c>
      <c r="N641" s="34">
        <f t="shared" si="18"/>
        <v>0</v>
      </c>
      <c r="O641" s="29"/>
      <c r="P641" s="29"/>
      <c r="Q641" s="29"/>
      <c r="R641" s="32"/>
      <c r="S641" s="29"/>
      <c r="U641" s="120" t="s">
        <v>75</v>
      </c>
      <c r="V641" s="121"/>
      <c r="W641" s="121"/>
      <c r="X641" s="121"/>
    </row>
    <row r="642" spans="1:24" ht="19.5" hidden="1" customHeight="1" outlineLevel="1">
      <c r="A642" s="23">
        <v>11</v>
      </c>
      <c r="B642" s="24">
        <f>IF(7&lt;=DAY(DATE(YEAR(설정_코스수당!$K$2),MONTH(설정_코스수당!$K$2)+1,0)),DATE(YEAR(설정_코스수당!$K$2),MONTH(설정_코스수당!$K$2),7),"")</f>
        <v>46180</v>
      </c>
      <c r="C642" s="25"/>
      <c r="D642" s="23"/>
      <c r="E642" s="23"/>
      <c r="F642" s="26"/>
      <c r="G642" s="23"/>
      <c r="H642" s="23"/>
      <c r="I642" s="23"/>
      <c r="J642" s="27">
        <f>IF($O642="방문완료",MAX(0,IFERROR(VLOOKUP($E642,설정_코스수당!$A$6:$H$10,4,FALSE),0)-IF(OR($P642="",$P642="없음"),0,100000)),0)</f>
        <v>0</v>
      </c>
      <c r="K642" s="27">
        <f t="array" ref="K642">IF($O642="방문완료",IFERROR(INDEX(설정_코스수당!$B$15:$F$64,MATCH($G642,설정_코스수당!$A$15:$A$64,0),MATCH($E642&amp;"수당",설정_코스수당!$B$14:$F$14,0)),0),0)</f>
        <v>0</v>
      </c>
      <c r="L642" s="27">
        <f t="array" ref="L642">IF($O642="방문완료",IF($H642="",0,IFERROR(INDEX(설정_코스수당!$B$15:$F$64,MATCH($H642,설정_코스수당!$A$15:$A$64,0),MATCH($E642&amp;"수당",설정_코스수당!$B$14:$F$14,0)),0)),0)</f>
        <v>0</v>
      </c>
      <c r="M642" s="27">
        <f>IF($O642="방문완료",IFERROR(VLOOKUP($E642,설정_코스수당!$A$6:$H$10,6,FALSE),0),0)</f>
        <v>0</v>
      </c>
      <c r="N642" s="28">
        <f t="shared" si="18"/>
        <v>0</v>
      </c>
      <c r="O642" s="23"/>
      <c r="P642" s="23"/>
      <c r="Q642" s="23"/>
      <c r="R642" s="26"/>
      <c r="S642" s="23"/>
      <c r="U642" s="109" t="s">
        <v>76</v>
      </c>
      <c r="V642" s="109" t="s">
        <v>77</v>
      </c>
      <c r="W642" s="109" t="s">
        <v>78</v>
      </c>
      <c r="X642" s="109" t="s">
        <v>58</v>
      </c>
    </row>
    <row r="643" spans="1:24" ht="19.5" hidden="1" customHeight="1" outlineLevel="1">
      <c r="A643" s="29">
        <v>12</v>
      </c>
      <c r="B643" s="30">
        <f>IF(7&lt;=DAY(DATE(YEAR(설정_코스수당!$K$2),MONTH(설정_코스수당!$K$2)+1,0)),DATE(YEAR(설정_코스수당!$K$2),MONTH(설정_코스수당!$K$2),7),"")</f>
        <v>46180</v>
      </c>
      <c r="C643" s="31"/>
      <c r="D643" s="29"/>
      <c r="E643" s="29"/>
      <c r="F643" s="32"/>
      <c r="G643" s="29"/>
      <c r="H643" s="29"/>
      <c r="I643" s="29"/>
      <c r="J643" s="33">
        <f>IF($O643="방문완료",MAX(0,IFERROR(VLOOKUP($E643,설정_코스수당!$A$6:$H$10,4,FALSE),0)-IF(OR($P643="",$P643="없음"),0,100000)),0)</f>
        <v>0</v>
      </c>
      <c r="K643" s="33">
        <f t="array" ref="K643">IF($O643="방문완료",IFERROR(INDEX(설정_코스수당!$B$15:$F$64,MATCH($G643,설정_코스수당!$A$15:$A$64,0),MATCH($E643&amp;"수당",설정_코스수당!$B$14:$F$14,0)),0),0)</f>
        <v>0</v>
      </c>
      <c r="L643" s="33">
        <f t="array" ref="L643">IF($O643="방문완료",IF($H643="",0,IFERROR(INDEX(설정_코스수당!$B$15:$F$64,MATCH($H643,설정_코스수당!$A$15:$A$64,0),MATCH($E643&amp;"수당",설정_코스수당!$B$14:$F$14,0)),0)),0)</f>
        <v>0</v>
      </c>
      <c r="M643" s="33">
        <f>IF($O643="방문완료",IFERROR(VLOOKUP($E643,설정_코스수당!$A$6:$H$10,6,FALSE),0),0)</f>
        <v>0</v>
      </c>
      <c r="N643" s="34">
        <f t="shared" si="18"/>
        <v>0</v>
      </c>
      <c r="O643" s="29"/>
      <c r="P643" s="29"/>
      <c r="Q643" s="29"/>
      <c r="R643" s="32"/>
      <c r="S643" s="29"/>
      <c r="U643" s="113"/>
      <c r="V643" s="111"/>
      <c r="W643" s="112"/>
      <c r="X643" s="111"/>
    </row>
    <row r="644" spans="1:24" ht="19.5" hidden="1" customHeight="1" outlineLevel="1">
      <c r="A644" s="23">
        <v>13</v>
      </c>
      <c r="B644" s="24">
        <f>IF(7&lt;=DAY(DATE(YEAR(설정_코스수당!$K$2),MONTH(설정_코스수당!$K$2)+1,0)),DATE(YEAR(설정_코스수당!$K$2),MONTH(설정_코스수당!$K$2),7),"")</f>
        <v>46180</v>
      </c>
      <c r="C644" s="25"/>
      <c r="D644" s="23"/>
      <c r="E644" s="23"/>
      <c r="F644" s="26"/>
      <c r="G644" s="23"/>
      <c r="H644" s="23"/>
      <c r="I644" s="23"/>
      <c r="J644" s="27">
        <f>IF($O644="방문완료",MAX(0,IFERROR(VLOOKUP($E644,설정_코스수당!$A$6:$H$10,4,FALSE),0)-IF(OR($P644="",$P644="없음"),0,100000)),0)</f>
        <v>0</v>
      </c>
      <c r="K644" s="27">
        <f t="array" ref="K644">IF($O644="방문완료",IFERROR(INDEX(설정_코스수당!$B$15:$F$64,MATCH($G644,설정_코스수당!$A$15:$A$64,0),MATCH($E644&amp;"수당",설정_코스수당!$B$14:$F$14,0)),0),0)</f>
        <v>0</v>
      </c>
      <c r="L644" s="27">
        <f t="array" ref="L644">IF($O644="방문완료",IF($H644="",0,IFERROR(INDEX(설정_코스수당!$B$15:$F$64,MATCH($H644,설정_코스수당!$A$15:$A$64,0),MATCH($E644&amp;"수당",설정_코스수당!$B$14:$F$14,0)),0)),0)</f>
        <v>0</v>
      </c>
      <c r="M644" s="27">
        <f>IF($O644="방문완료",IFERROR(VLOOKUP($E644,설정_코스수당!$A$6:$H$10,6,FALSE),0),0)</f>
        <v>0</v>
      </c>
      <c r="N644" s="28">
        <f t="shared" si="18"/>
        <v>0</v>
      </c>
      <c r="O644" s="23"/>
      <c r="P644" s="23"/>
      <c r="Q644" s="23"/>
      <c r="R644" s="26"/>
      <c r="S644" s="23"/>
      <c r="U644" s="113"/>
      <c r="V644" s="111"/>
      <c r="W644" s="112"/>
      <c r="X644" s="111"/>
    </row>
    <row r="645" spans="1:24" ht="19.5" hidden="1" customHeight="1" outlineLevel="1">
      <c r="A645" s="29">
        <v>14</v>
      </c>
      <c r="B645" s="30">
        <f>IF(7&lt;=DAY(DATE(YEAR(설정_코스수당!$K$2),MONTH(설정_코스수당!$K$2)+1,0)),DATE(YEAR(설정_코스수당!$K$2),MONTH(설정_코스수당!$K$2),7),"")</f>
        <v>46180</v>
      </c>
      <c r="C645" s="31"/>
      <c r="D645" s="29"/>
      <c r="E645" s="29"/>
      <c r="F645" s="32"/>
      <c r="G645" s="29"/>
      <c r="H645" s="29"/>
      <c r="I645" s="29"/>
      <c r="J645" s="33">
        <f>IF($O645="방문완료",MAX(0,IFERROR(VLOOKUP($E645,설정_코스수당!$A$6:$H$10,4,FALSE),0)-IF(OR($P645="",$P645="없음"),0,100000)),0)</f>
        <v>0</v>
      </c>
      <c r="K645" s="33">
        <f t="array" ref="K645">IF($O645="방문완료",IFERROR(INDEX(설정_코스수당!$B$15:$F$64,MATCH($G645,설정_코스수당!$A$15:$A$64,0),MATCH($E645&amp;"수당",설정_코스수당!$B$14:$F$14,0)),0),0)</f>
        <v>0</v>
      </c>
      <c r="L645" s="33">
        <f t="array" ref="L645">IF($O645="방문완료",IF($H645="",0,IFERROR(INDEX(설정_코스수당!$B$15:$F$64,MATCH($H645,설정_코스수당!$A$15:$A$64,0),MATCH($E645&amp;"수당",설정_코스수당!$B$14:$F$14,0)),0)),0)</f>
        <v>0</v>
      </c>
      <c r="M645" s="33">
        <f>IF($O645="방문완료",IFERROR(VLOOKUP($E645,설정_코스수당!$A$6:$H$10,6,FALSE),0),0)</f>
        <v>0</v>
      </c>
      <c r="N645" s="34">
        <f t="shared" si="18"/>
        <v>0</v>
      </c>
      <c r="O645" s="29"/>
      <c r="P645" s="29"/>
      <c r="Q645" s="29"/>
      <c r="R645" s="32"/>
      <c r="S645" s="29"/>
      <c r="U645" s="113"/>
      <c r="V645" s="111"/>
      <c r="W645" s="112"/>
      <c r="X645" s="111"/>
    </row>
    <row r="646" spans="1:24" ht="19.5" hidden="1" customHeight="1" outlineLevel="1">
      <c r="A646" s="23">
        <v>15</v>
      </c>
      <c r="B646" s="24">
        <f>IF(7&lt;=DAY(DATE(YEAR(설정_코스수당!$K$2),MONTH(설정_코스수당!$K$2)+1,0)),DATE(YEAR(설정_코스수당!$K$2),MONTH(설정_코스수당!$K$2),7),"")</f>
        <v>46180</v>
      </c>
      <c r="C646" s="25"/>
      <c r="D646" s="23"/>
      <c r="E646" s="23"/>
      <c r="F646" s="26"/>
      <c r="G646" s="23"/>
      <c r="H646" s="23"/>
      <c r="I646" s="23"/>
      <c r="J646" s="27">
        <f>IF($O646="방문완료",MAX(0,IFERROR(VLOOKUP($E646,설정_코스수당!$A$6:$H$10,4,FALSE),0)-IF(OR($P646="",$P646="없음"),0,100000)),0)</f>
        <v>0</v>
      </c>
      <c r="K646" s="27">
        <f t="array" ref="K646">IF($O646="방문완료",IFERROR(INDEX(설정_코스수당!$B$15:$F$64,MATCH($G646,설정_코스수당!$A$15:$A$64,0),MATCH($E646&amp;"수당",설정_코스수당!$B$14:$F$14,0)),0),0)</f>
        <v>0</v>
      </c>
      <c r="L646" s="27">
        <f t="array" ref="L646">IF($O646="방문완료",IF($H646="",0,IFERROR(INDEX(설정_코스수당!$B$15:$F$64,MATCH($H646,설정_코스수당!$A$15:$A$64,0),MATCH($E646&amp;"수당",설정_코스수당!$B$14:$F$14,0)),0)),0)</f>
        <v>0</v>
      </c>
      <c r="M646" s="27">
        <f>IF($O646="방문완료",IFERROR(VLOOKUP($E646,설정_코스수당!$A$6:$H$10,6,FALSE),0),0)</f>
        <v>0</v>
      </c>
      <c r="N646" s="28">
        <f t="shared" si="18"/>
        <v>0</v>
      </c>
      <c r="O646" s="23"/>
      <c r="P646" s="23"/>
      <c r="Q646" s="23"/>
      <c r="R646" s="26"/>
      <c r="S646" s="23"/>
      <c r="U646" s="113"/>
      <c r="V646" s="111"/>
      <c r="W646" s="112"/>
      <c r="X646" s="111"/>
    </row>
    <row r="647" spans="1:24" ht="19.5" hidden="1" customHeight="1" outlineLevel="1">
      <c r="A647" s="29">
        <v>16</v>
      </c>
      <c r="B647" s="30">
        <f>IF(7&lt;=DAY(DATE(YEAR(설정_코스수당!$K$2),MONTH(설정_코스수당!$K$2)+1,0)),DATE(YEAR(설정_코스수당!$K$2),MONTH(설정_코스수당!$K$2),7),"")</f>
        <v>46180</v>
      </c>
      <c r="C647" s="31"/>
      <c r="D647" s="29"/>
      <c r="E647" s="29"/>
      <c r="F647" s="32"/>
      <c r="G647" s="29"/>
      <c r="H647" s="29"/>
      <c r="I647" s="29"/>
      <c r="J647" s="33">
        <f>IF($O647="방문완료",MAX(0,IFERROR(VLOOKUP($E647,설정_코스수당!$A$6:$H$10,4,FALSE),0)-IF(OR($P647="",$P647="없음"),0,100000)),0)</f>
        <v>0</v>
      </c>
      <c r="K647" s="33">
        <f t="array" ref="K647">IF($O647="방문완료",IFERROR(INDEX(설정_코스수당!$B$15:$F$64,MATCH($G647,설정_코스수당!$A$15:$A$64,0),MATCH($E647&amp;"수당",설정_코스수당!$B$14:$F$14,0)),0),0)</f>
        <v>0</v>
      </c>
      <c r="L647" s="33">
        <f t="array" ref="L647">IF($O647="방문완료",IF($H647="",0,IFERROR(INDEX(설정_코스수당!$B$15:$F$64,MATCH($H647,설정_코스수당!$A$15:$A$64,0),MATCH($E647&amp;"수당",설정_코스수당!$B$14:$F$14,0)),0)),0)</f>
        <v>0</v>
      </c>
      <c r="M647" s="33">
        <f>IF($O647="방문완료",IFERROR(VLOOKUP($E647,설정_코스수당!$A$6:$H$10,6,FALSE),0),0)</f>
        <v>0</v>
      </c>
      <c r="N647" s="34">
        <f t="shared" si="18"/>
        <v>0</v>
      </c>
      <c r="O647" s="29"/>
      <c r="P647" s="29"/>
      <c r="Q647" s="29"/>
      <c r="R647" s="32"/>
      <c r="S647" s="29"/>
      <c r="U647" s="113"/>
      <c r="V647" s="111"/>
      <c r="W647" s="112"/>
      <c r="X647" s="111"/>
    </row>
    <row r="648" spans="1:24" ht="19.5" hidden="1" customHeight="1" outlineLevel="1">
      <c r="A648" s="23">
        <v>17</v>
      </c>
      <c r="B648" s="24">
        <f>IF(7&lt;=DAY(DATE(YEAR(설정_코스수당!$K$2),MONTH(설정_코스수당!$K$2)+1,0)),DATE(YEAR(설정_코스수당!$K$2),MONTH(설정_코스수당!$K$2),7),"")</f>
        <v>46180</v>
      </c>
      <c r="C648" s="25"/>
      <c r="D648" s="23"/>
      <c r="E648" s="23"/>
      <c r="F648" s="26"/>
      <c r="G648" s="23"/>
      <c r="H648" s="23"/>
      <c r="I648" s="23"/>
      <c r="J648" s="27">
        <f>IF($O648="방문완료",MAX(0,IFERROR(VLOOKUP($E648,설정_코스수당!$A$6:$H$10,4,FALSE),0)-IF(OR($P648="",$P648="없음"),0,100000)),0)</f>
        <v>0</v>
      </c>
      <c r="K648" s="27">
        <f t="array" ref="K648">IF($O648="방문완료",IFERROR(INDEX(설정_코스수당!$B$15:$F$64,MATCH($G648,설정_코스수당!$A$15:$A$64,0),MATCH($E648&amp;"수당",설정_코스수당!$B$14:$F$14,0)),0),0)</f>
        <v>0</v>
      </c>
      <c r="L648" s="27">
        <f t="array" ref="L648">IF($O648="방문완료",IF($H648="",0,IFERROR(INDEX(설정_코스수당!$B$15:$F$64,MATCH($H648,설정_코스수당!$A$15:$A$64,0),MATCH($E648&amp;"수당",설정_코스수당!$B$14:$F$14,0)),0)),0)</f>
        <v>0</v>
      </c>
      <c r="M648" s="27">
        <f>IF($O648="방문완료",IFERROR(VLOOKUP($E648,설정_코스수당!$A$6:$H$10,6,FALSE),0),0)</f>
        <v>0</v>
      </c>
      <c r="N648" s="28">
        <f t="shared" si="18"/>
        <v>0</v>
      </c>
      <c r="O648" s="23"/>
      <c r="P648" s="23"/>
      <c r="Q648" s="23"/>
      <c r="R648" s="26"/>
      <c r="S648" s="23"/>
      <c r="U648" s="113"/>
      <c r="V648" s="111"/>
      <c r="W648" s="112"/>
      <c r="X648" s="111"/>
    </row>
    <row r="649" spans="1:24" ht="19.5" hidden="1" customHeight="1" outlineLevel="1">
      <c r="A649" s="29">
        <v>18</v>
      </c>
      <c r="B649" s="30">
        <f>IF(7&lt;=DAY(DATE(YEAR(설정_코스수당!$K$2),MONTH(설정_코스수당!$K$2)+1,0)),DATE(YEAR(설정_코스수당!$K$2),MONTH(설정_코스수당!$K$2),7),"")</f>
        <v>46180</v>
      </c>
      <c r="C649" s="31"/>
      <c r="D649" s="29"/>
      <c r="E649" s="29"/>
      <c r="F649" s="32"/>
      <c r="G649" s="29"/>
      <c r="H649" s="29"/>
      <c r="I649" s="29"/>
      <c r="J649" s="33">
        <f>IF($O649="방문완료",MAX(0,IFERROR(VLOOKUP($E649,설정_코스수당!$A$6:$H$10,4,FALSE),0)-IF(OR($P649="",$P649="없음"),0,100000)),0)</f>
        <v>0</v>
      </c>
      <c r="K649" s="33">
        <f t="array" ref="K649">IF($O649="방문완료",IFERROR(INDEX(설정_코스수당!$B$15:$F$64,MATCH($G649,설정_코스수당!$A$15:$A$64,0),MATCH($E649&amp;"수당",설정_코스수당!$B$14:$F$14,0)),0),0)</f>
        <v>0</v>
      </c>
      <c r="L649" s="33">
        <f t="array" ref="L649">IF($O649="방문완료",IF($H649="",0,IFERROR(INDEX(설정_코스수당!$B$15:$F$64,MATCH($H649,설정_코스수당!$A$15:$A$64,0),MATCH($E649&amp;"수당",설정_코스수당!$B$14:$F$14,0)),0)),0)</f>
        <v>0</v>
      </c>
      <c r="M649" s="33">
        <f>IF($O649="방문완료",IFERROR(VLOOKUP($E649,설정_코스수당!$A$6:$H$10,6,FALSE),0),0)</f>
        <v>0</v>
      </c>
      <c r="N649" s="34">
        <f t="shared" si="18"/>
        <v>0</v>
      </c>
      <c r="O649" s="29"/>
      <c r="P649" s="29"/>
      <c r="Q649" s="29"/>
      <c r="R649" s="32"/>
      <c r="S649" s="29"/>
      <c r="U649" s="113"/>
      <c r="V649" s="111"/>
      <c r="W649" s="112"/>
      <c r="X649" s="111"/>
    </row>
    <row r="650" spans="1:24" ht="19.5" hidden="1" customHeight="1" outlineLevel="1">
      <c r="A650" s="23">
        <v>19</v>
      </c>
      <c r="B650" s="24">
        <f>IF(7&lt;=DAY(DATE(YEAR(설정_코스수당!$K$2),MONTH(설정_코스수당!$K$2)+1,0)),DATE(YEAR(설정_코스수당!$K$2),MONTH(설정_코스수당!$K$2),7),"")</f>
        <v>46180</v>
      </c>
      <c r="C650" s="25"/>
      <c r="D650" s="23"/>
      <c r="E650" s="23"/>
      <c r="F650" s="26"/>
      <c r="G650" s="23"/>
      <c r="H650" s="23"/>
      <c r="I650" s="23"/>
      <c r="J650" s="27">
        <f>IF($O650="방문완료",MAX(0,IFERROR(VLOOKUP($E650,설정_코스수당!$A$6:$H$10,4,FALSE),0)-IF(OR($P650="",$P650="없음"),0,100000)),0)</f>
        <v>0</v>
      </c>
      <c r="K650" s="27">
        <f t="array" ref="K650">IF($O650="방문완료",IFERROR(INDEX(설정_코스수당!$B$15:$F$64,MATCH($G650,설정_코스수당!$A$15:$A$64,0),MATCH($E650&amp;"수당",설정_코스수당!$B$14:$F$14,0)),0),0)</f>
        <v>0</v>
      </c>
      <c r="L650" s="27">
        <f t="array" ref="L650">IF($O650="방문완료",IF($H650="",0,IFERROR(INDEX(설정_코스수당!$B$15:$F$64,MATCH($H650,설정_코스수당!$A$15:$A$64,0),MATCH($E650&amp;"수당",설정_코스수당!$B$14:$F$14,0)),0)),0)</f>
        <v>0</v>
      </c>
      <c r="M650" s="27">
        <f>IF($O650="방문완료",IFERROR(VLOOKUP($E650,설정_코스수당!$A$6:$H$10,6,FALSE),0),0)</f>
        <v>0</v>
      </c>
      <c r="N650" s="28">
        <f t="shared" si="18"/>
        <v>0</v>
      </c>
      <c r="O650" s="23"/>
      <c r="P650" s="23"/>
      <c r="Q650" s="23"/>
      <c r="R650" s="26"/>
      <c r="S650" s="23"/>
      <c r="U650" s="113"/>
      <c r="V650" s="111"/>
      <c r="W650" s="112"/>
      <c r="X650" s="111"/>
    </row>
    <row r="651" spans="1:24" ht="19.5" hidden="1" customHeight="1" outlineLevel="1">
      <c r="A651" s="29">
        <v>20</v>
      </c>
      <c r="B651" s="30">
        <f>IF(7&lt;=DAY(DATE(YEAR(설정_코스수당!$K$2),MONTH(설정_코스수당!$K$2)+1,0)),DATE(YEAR(설정_코스수당!$K$2),MONTH(설정_코스수당!$K$2),7),"")</f>
        <v>46180</v>
      </c>
      <c r="C651" s="31"/>
      <c r="D651" s="29"/>
      <c r="E651" s="29"/>
      <c r="F651" s="32"/>
      <c r="G651" s="29"/>
      <c r="H651" s="29"/>
      <c r="I651" s="29"/>
      <c r="J651" s="33">
        <f>IF($O651="방문완료",MAX(0,IFERROR(VLOOKUP($E651,설정_코스수당!$A$6:$H$10,4,FALSE),0)-IF(OR($P651="",$P651="없음"),0,100000)),0)</f>
        <v>0</v>
      </c>
      <c r="K651" s="33">
        <f t="array" ref="K651">IF($O651="방문완료",IFERROR(INDEX(설정_코스수당!$B$15:$F$64,MATCH($G651,설정_코스수당!$A$15:$A$64,0),MATCH($E651&amp;"수당",설정_코스수당!$B$14:$F$14,0)),0),0)</f>
        <v>0</v>
      </c>
      <c r="L651" s="33">
        <f t="array" ref="L651">IF($O651="방문완료",IF($H651="",0,IFERROR(INDEX(설정_코스수당!$B$15:$F$64,MATCH($H651,설정_코스수당!$A$15:$A$64,0),MATCH($E651&amp;"수당",설정_코스수당!$B$14:$F$14,0)),0)),0)</f>
        <v>0</v>
      </c>
      <c r="M651" s="33">
        <f>IF($O651="방문완료",IFERROR(VLOOKUP($E651,설정_코스수당!$A$6:$H$10,6,FALSE),0),0)</f>
        <v>0</v>
      </c>
      <c r="N651" s="34">
        <f t="shared" si="18"/>
        <v>0</v>
      </c>
      <c r="O651" s="29"/>
      <c r="P651" s="29"/>
      <c r="Q651" s="29"/>
      <c r="R651" s="32"/>
      <c r="S651" s="29"/>
    </row>
    <row r="652" spans="1:24" ht="19.5" hidden="1" customHeight="1" outlineLevel="1">
      <c r="A652" s="23">
        <v>21</v>
      </c>
      <c r="B652" s="24">
        <f>IF(7&lt;=DAY(DATE(YEAR(설정_코스수당!$K$2),MONTH(설정_코스수당!$K$2)+1,0)),DATE(YEAR(설정_코스수당!$K$2),MONTH(설정_코스수당!$K$2),7),"")</f>
        <v>46180</v>
      </c>
      <c r="C652" s="25"/>
      <c r="D652" s="23"/>
      <c r="E652" s="23"/>
      <c r="F652" s="26"/>
      <c r="G652" s="23"/>
      <c r="H652" s="23"/>
      <c r="I652" s="23"/>
      <c r="J652" s="27">
        <f>IF($O652="방문완료",MAX(0,IFERROR(VLOOKUP($E652,설정_코스수당!$A$6:$H$10,4,FALSE),0)-IF(OR($P652="",$P652="없음"),0,100000)),0)</f>
        <v>0</v>
      </c>
      <c r="K652" s="27">
        <f t="array" ref="K652">IF($O652="방문완료",IFERROR(INDEX(설정_코스수당!$B$15:$F$64,MATCH($G652,설정_코스수당!$A$15:$A$64,0),MATCH($E652&amp;"수당",설정_코스수당!$B$14:$F$14,0)),0),0)</f>
        <v>0</v>
      </c>
      <c r="L652" s="27">
        <f t="array" ref="L652">IF($O652="방문완료",IF($H652="",0,IFERROR(INDEX(설정_코스수당!$B$15:$F$64,MATCH($H652,설정_코스수당!$A$15:$A$64,0),MATCH($E652&amp;"수당",설정_코스수당!$B$14:$F$14,0)),0)),0)</f>
        <v>0</v>
      </c>
      <c r="M652" s="27">
        <f>IF($O652="방문완료",IFERROR(VLOOKUP($E652,설정_코스수당!$A$6:$H$10,6,FALSE),0),0)</f>
        <v>0</v>
      </c>
      <c r="N652" s="28">
        <f t="shared" si="18"/>
        <v>0</v>
      </c>
      <c r="O652" s="23"/>
      <c r="P652" s="23"/>
      <c r="Q652" s="23"/>
      <c r="R652" s="26"/>
      <c r="S652" s="23"/>
    </row>
    <row r="653" spans="1:24" ht="19.5" hidden="1" customHeight="1" outlineLevel="1">
      <c r="A653" s="29">
        <v>22</v>
      </c>
      <c r="B653" s="30">
        <f>IF(7&lt;=DAY(DATE(YEAR(설정_코스수당!$K$2),MONTH(설정_코스수당!$K$2)+1,0)),DATE(YEAR(설정_코스수당!$K$2),MONTH(설정_코스수당!$K$2),7),"")</f>
        <v>46180</v>
      </c>
      <c r="C653" s="31"/>
      <c r="D653" s="29"/>
      <c r="E653" s="29"/>
      <c r="F653" s="32"/>
      <c r="G653" s="29"/>
      <c r="H653" s="29"/>
      <c r="I653" s="29"/>
      <c r="J653" s="33">
        <f>IF($O653="방문완료",MAX(0,IFERROR(VLOOKUP($E653,설정_코스수당!$A$6:$H$10,4,FALSE),0)-IF(OR($P653="",$P653="없음"),0,100000)),0)</f>
        <v>0</v>
      </c>
      <c r="K653" s="33">
        <f t="array" ref="K653">IF($O653="방문완료",IFERROR(INDEX(설정_코스수당!$B$15:$F$64,MATCH($G653,설정_코스수당!$A$15:$A$64,0),MATCH($E653&amp;"수당",설정_코스수당!$B$14:$F$14,0)),0),0)</f>
        <v>0</v>
      </c>
      <c r="L653" s="33">
        <f t="array" ref="L653">IF($O653="방문완료",IF($H653="",0,IFERROR(INDEX(설정_코스수당!$B$15:$F$64,MATCH($H653,설정_코스수당!$A$15:$A$64,0),MATCH($E653&amp;"수당",설정_코스수당!$B$14:$F$14,0)),0)),0)</f>
        <v>0</v>
      </c>
      <c r="M653" s="33">
        <f>IF($O653="방문완료",IFERROR(VLOOKUP($E653,설정_코스수당!$A$6:$H$10,6,FALSE),0),0)</f>
        <v>0</v>
      </c>
      <c r="N653" s="34">
        <f t="shared" si="18"/>
        <v>0</v>
      </c>
      <c r="O653" s="29"/>
      <c r="P653" s="29"/>
      <c r="Q653" s="29"/>
      <c r="R653" s="32"/>
      <c r="S653" s="29"/>
    </row>
    <row r="654" spans="1:24" ht="19.5" hidden="1" customHeight="1" outlineLevel="1">
      <c r="A654" s="23">
        <v>23</v>
      </c>
      <c r="B654" s="24">
        <f>IF(7&lt;=DAY(DATE(YEAR(설정_코스수당!$K$2),MONTH(설정_코스수당!$K$2)+1,0)),DATE(YEAR(설정_코스수당!$K$2),MONTH(설정_코스수당!$K$2),7),"")</f>
        <v>46180</v>
      </c>
      <c r="C654" s="25"/>
      <c r="D654" s="23"/>
      <c r="E654" s="23"/>
      <c r="F654" s="26"/>
      <c r="G654" s="23"/>
      <c r="H654" s="23"/>
      <c r="I654" s="23"/>
      <c r="J654" s="27">
        <f>IF($O654="방문완료",MAX(0,IFERROR(VLOOKUP($E654,설정_코스수당!$A$6:$H$10,4,FALSE),0)-IF(OR($P654="",$P654="없음"),0,100000)),0)</f>
        <v>0</v>
      </c>
      <c r="K654" s="27">
        <f t="array" ref="K654">IF($O654="방문완료",IFERROR(INDEX(설정_코스수당!$B$15:$F$64,MATCH($G654,설정_코스수당!$A$15:$A$64,0),MATCH($E654&amp;"수당",설정_코스수당!$B$14:$F$14,0)),0),0)</f>
        <v>0</v>
      </c>
      <c r="L654" s="27">
        <f t="array" ref="L654">IF($O654="방문완료",IF($H654="",0,IFERROR(INDEX(설정_코스수당!$B$15:$F$64,MATCH($H654,설정_코스수당!$A$15:$A$64,0),MATCH($E654&amp;"수당",설정_코스수당!$B$14:$F$14,0)),0)),0)</f>
        <v>0</v>
      </c>
      <c r="M654" s="27">
        <f>IF($O654="방문완료",IFERROR(VLOOKUP($E654,설정_코스수당!$A$6:$H$10,6,FALSE),0),0)</f>
        <v>0</v>
      </c>
      <c r="N654" s="28">
        <f t="shared" si="18"/>
        <v>0</v>
      </c>
      <c r="O654" s="23"/>
      <c r="P654" s="23"/>
      <c r="Q654" s="23"/>
      <c r="R654" s="26"/>
      <c r="S654" s="23"/>
    </row>
    <row r="655" spans="1:24" ht="19.5" hidden="1" customHeight="1" outlineLevel="1">
      <c r="A655" s="29">
        <v>24</v>
      </c>
      <c r="B655" s="30">
        <f>IF(7&lt;=DAY(DATE(YEAR(설정_코스수당!$K$2),MONTH(설정_코스수당!$K$2)+1,0)),DATE(YEAR(설정_코스수당!$K$2),MONTH(설정_코스수당!$K$2),7),"")</f>
        <v>46180</v>
      </c>
      <c r="C655" s="31"/>
      <c r="D655" s="29"/>
      <c r="E655" s="29"/>
      <c r="F655" s="32"/>
      <c r="G655" s="29"/>
      <c r="H655" s="29"/>
      <c r="I655" s="29"/>
      <c r="J655" s="33">
        <f>IF($O655="방문완료",MAX(0,IFERROR(VLOOKUP($E655,설정_코스수당!$A$6:$H$10,4,FALSE),0)-IF(OR($P655="",$P655="없음"),0,100000)),0)</f>
        <v>0</v>
      </c>
      <c r="K655" s="33">
        <f t="array" ref="K655">IF($O655="방문완료",IFERROR(INDEX(설정_코스수당!$B$15:$F$64,MATCH($G655,설정_코스수당!$A$15:$A$64,0),MATCH($E655&amp;"수당",설정_코스수당!$B$14:$F$14,0)),0),0)</f>
        <v>0</v>
      </c>
      <c r="L655" s="33">
        <f t="array" ref="L655">IF($O655="방문완료",IF($H655="",0,IFERROR(INDEX(설정_코스수당!$B$15:$F$64,MATCH($H655,설정_코스수당!$A$15:$A$64,0),MATCH($E655&amp;"수당",설정_코스수당!$B$14:$F$14,0)),0)),0)</f>
        <v>0</v>
      </c>
      <c r="M655" s="33">
        <f>IF($O655="방문완료",IFERROR(VLOOKUP($E655,설정_코스수당!$A$6:$H$10,6,FALSE),0),0)</f>
        <v>0</v>
      </c>
      <c r="N655" s="34">
        <f t="shared" si="18"/>
        <v>0</v>
      </c>
      <c r="O655" s="29"/>
      <c r="P655" s="29"/>
      <c r="Q655" s="29"/>
      <c r="R655" s="32"/>
      <c r="S655" s="29"/>
    </row>
    <row r="656" spans="1:24" ht="19.5" hidden="1" customHeight="1" outlineLevel="1">
      <c r="A656" s="23">
        <v>25</v>
      </c>
      <c r="B656" s="24">
        <f>IF(7&lt;=DAY(DATE(YEAR(설정_코스수당!$K$2),MONTH(설정_코스수당!$K$2)+1,0)),DATE(YEAR(설정_코스수당!$K$2),MONTH(설정_코스수당!$K$2),7),"")</f>
        <v>46180</v>
      </c>
      <c r="C656" s="25"/>
      <c r="D656" s="23"/>
      <c r="E656" s="23"/>
      <c r="F656" s="26"/>
      <c r="G656" s="23"/>
      <c r="H656" s="23"/>
      <c r="I656" s="23"/>
      <c r="J656" s="27">
        <f>IF($O656="방문완료",MAX(0,IFERROR(VLOOKUP($E656,설정_코스수당!$A$6:$H$10,4,FALSE),0)-IF(OR($P656="",$P656="없음"),0,100000)),0)</f>
        <v>0</v>
      </c>
      <c r="K656" s="27">
        <f t="array" ref="K656">IF($O656="방문완료",IFERROR(INDEX(설정_코스수당!$B$15:$F$64,MATCH($G656,설정_코스수당!$A$15:$A$64,0),MATCH($E656&amp;"수당",설정_코스수당!$B$14:$F$14,0)),0),0)</f>
        <v>0</v>
      </c>
      <c r="L656" s="27">
        <f t="array" ref="L656">IF($O656="방문완료",IF($H656="",0,IFERROR(INDEX(설정_코스수당!$B$15:$F$64,MATCH($H656,설정_코스수당!$A$15:$A$64,0),MATCH($E656&amp;"수당",설정_코스수당!$B$14:$F$14,0)),0)),0)</f>
        <v>0</v>
      </c>
      <c r="M656" s="27">
        <f>IF($O656="방문완료",IFERROR(VLOOKUP($E656,설정_코스수당!$A$6:$H$10,6,FALSE),0),0)</f>
        <v>0</v>
      </c>
      <c r="N656" s="28">
        <f t="shared" si="18"/>
        <v>0</v>
      </c>
      <c r="O656" s="23"/>
      <c r="P656" s="23"/>
      <c r="Q656" s="23"/>
      <c r="R656" s="26"/>
      <c r="S656" s="23"/>
    </row>
    <row r="657" spans="1:19" ht="19.5" hidden="1" customHeight="1" outlineLevel="1">
      <c r="A657" s="29">
        <v>26</v>
      </c>
      <c r="B657" s="30">
        <f>IF(7&lt;=DAY(DATE(YEAR(설정_코스수당!$K$2),MONTH(설정_코스수당!$K$2)+1,0)),DATE(YEAR(설정_코스수당!$K$2),MONTH(설정_코스수당!$K$2),7),"")</f>
        <v>46180</v>
      </c>
      <c r="C657" s="31"/>
      <c r="D657" s="29"/>
      <c r="E657" s="29"/>
      <c r="F657" s="32"/>
      <c r="G657" s="29"/>
      <c r="H657" s="29"/>
      <c r="I657" s="29"/>
      <c r="J657" s="33">
        <f>IF($O657="방문완료",MAX(0,IFERROR(VLOOKUP($E657,설정_코스수당!$A$6:$H$10,4,FALSE),0)-IF(OR($P657="",$P657="없음"),0,100000)),0)</f>
        <v>0</v>
      </c>
      <c r="K657" s="33">
        <f t="array" ref="K657">IF($O657="방문완료",IFERROR(INDEX(설정_코스수당!$B$15:$F$64,MATCH($G657,설정_코스수당!$A$15:$A$64,0),MATCH($E657&amp;"수당",설정_코스수당!$B$14:$F$14,0)),0),0)</f>
        <v>0</v>
      </c>
      <c r="L657" s="33">
        <f t="array" ref="L657">IF($O657="방문완료",IF($H657="",0,IFERROR(INDEX(설정_코스수당!$B$15:$F$64,MATCH($H657,설정_코스수당!$A$15:$A$64,0),MATCH($E657&amp;"수당",설정_코스수당!$B$14:$F$14,0)),0)),0)</f>
        <v>0</v>
      </c>
      <c r="M657" s="33">
        <f>IF($O657="방문완료",IFERROR(VLOOKUP($E657,설정_코스수당!$A$6:$H$10,6,FALSE),0),0)</f>
        <v>0</v>
      </c>
      <c r="N657" s="34">
        <f t="shared" si="18"/>
        <v>0</v>
      </c>
      <c r="O657" s="29"/>
      <c r="P657" s="29"/>
      <c r="Q657" s="29"/>
      <c r="R657" s="32"/>
      <c r="S657" s="29"/>
    </row>
    <row r="658" spans="1:19" ht="19.5" hidden="1" customHeight="1" outlineLevel="1">
      <c r="A658" s="23">
        <v>27</v>
      </c>
      <c r="B658" s="24">
        <f>IF(7&lt;=DAY(DATE(YEAR(설정_코스수당!$K$2),MONTH(설정_코스수당!$K$2)+1,0)),DATE(YEAR(설정_코스수당!$K$2),MONTH(설정_코스수당!$K$2),7),"")</f>
        <v>46180</v>
      </c>
      <c r="C658" s="25"/>
      <c r="D658" s="23"/>
      <c r="E658" s="23"/>
      <c r="F658" s="26"/>
      <c r="G658" s="23"/>
      <c r="H658" s="23"/>
      <c r="I658" s="23"/>
      <c r="J658" s="27">
        <f>IF($O658="방문완료",MAX(0,IFERROR(VLOOKUP($E658,설정_코스수당!$A$6:$H$10,4,FALSE),0)-IF(OR($P658="",$P658="없음"),0,100000)),0)</f>
        <v>0</v>
      </c>
      <c r="K658" s="27">
        <f t="array" ref="K658">IF($O658="방문완료",IFERROR(INDEX(설정_코스수당!$B$15:$F$64,MATCH($G658,설정_코스수당!$A$15:$A$64,0),MATCH($E658&amp;"수당",설정_코스수당!$B$14:$F$14,0)),0),0)</f>
        <v>0</v>
      </c>
      <c r="L658" s="27">
        <f t="array" ref="L658">IF($O658="방문완료",IF($H658="",0,IFERROR(INDEX(설정_코스수당!$B$15:$F$64,MATCH($H658,설정_코스수당!$A$15:$A$64,0),MATCH($E658&amp;"수당",설정_코스수당!$B$14:$F$14,0)),0)),0)</f>
        <v>0</v>
      </c>
      <c r="M658" s="27">
        <f>IF($O658="방문완료",IFERROR(VLOOKUP($E658,설정_코스수당!$A$6:$H$10,6,FALSE),0),0)</f>
        <v>0</v>
      </c>
      <c r="N658" s="28">
        <f t="shared" si="18"/>
        <v>0</v>
      </c>
      <c r="O658" s="23"/>
      <c r="P658" s="23"/>
      <c r="Q658" s="23"/>
      <c r="R658" s="26"/>
      <c r="S658" s="23"/>
    </row>
    <row r="659" spans="1:19" ht="19.5" hidden="1" customHeight="1" outlineLevel="1">
      <c r="A659" s="29">
        <v>28</v>
      </c>
      <c r="B659" s="30">
        <f>IF(7&lt;=DAY(DATE(YEAR(설정_코스수당!$K$2),MONTH(설정_코스수당!$K$2)+1,0)),DATE(YEAR(설정_코스수당!$K$2),MONTH(설정_코스수당!$K$2),7),"")</f>
        <v>46180</v>
      </c>
      <c r="C659" s="31"/>
      <c r="D659" s="29"/>
      <c r="E659" s="29"/>
      <c r="F659" s="32"/>
      <c r="G659" s="29"/>
      <c r="H659" s="29"/>
      <c r="I659" s="29"/>
      <c r="J659" s="33">
        <f>IF($O659="방문완료",MAX(0,IFERROR(VLOOKUP($E659,설정_코스수당!$A$6:$H$10,4,FALSE),0)-IF(OR($P659="",$P659="없음"),0,100000)),0)</f>
        <v>0</v>
      </c>
      <c r="K659" s="33">
        <f t="array" ref="K659">IF($O659="방문완료",IFERROR(INDEX(설정_코스수당!$B$15:$F$64,MATCH($G659,설정_코스수당!$A$15:$A$64,0),MATCH($E659&amp;"수당",설정_코스수당!$B$14:$F$14,0)),0),0)</f>
        <v>0</v>
      </c>
      <c r="L659" s="33">
        <f t="array" ref="L659">IF($O659="방문완료",IF($H659="",0,IFERROR(INDEX(설정_코스수당!$B$15:$F$64,MATCH($H659,설정_코스수당!$A$15:$A$64,0),MATCH($E659&amp;"수당",설정_코스수당!$B$14:$F$14,0)),0)),0)</f>
        <v>0</v>
      </c>
      <c r="M659" s="33">
        <f>IF($O659="방문완료",IFERROR(VLOOKUP($E659,설정_코스수당!$A$6:$H$10,6,FALSE),0),0)</f>
        <v>0</v>
      </c>
      <c r="N659" s="34">
        <f t="shared" si="18"/>
        <v>0</v>
      </c>
      <c r="O659" s="29"/>
      <c r="P659" s="29"/>
      <c r="Q659" s="29"/>
      <c r="R659" s="32"/>
      <c r="S659" s="29"/>
    </row>
    <row r="660" spans="1:19" ht="19.5" hidden="1" customHeight="1" outlineLevel="1">
      <c r="A660" s="23">
        <v>29</v>
      </c>
      <c r="B660" s="24">
        <f>IF(7&lt;=DAY(DATE(YEAR(설정_코스수당!$K$2),MONTH(설정_코스수당!$K$2)+1,0)),DATE(YEAR(설정_코스수당!$K$2),MONTH(설정_코스수당!$K$2),7),"")</f>
        <v>46180</v>
      </c>
      <c r="C660" s="25"/>
      <c r="D660" s="23"/>
      <c r="E660" s="23"/>
      <c r="F660" s="26"/>
      <c r="G660" s="23"/>
      <c r="H660" s="23"/>
      <c r="I660" s="23"/>
      <c r="J660" s="27">
        <f>IF($O660="방문완료",MAX(0,IFERROR(VLOOKUP($E660,설정_코스수당!$A$6:$H$10,4,FALSE),0)-IF(OR($P660="",$P660="없음"),0,100000)),0)</f>
        <v>0</v>
      </c>
      <c r="K660" s="27">
        <f t="array" ref="K660">IF($O660="방문완료",IFERROR(INDEX(설정_코스수당!$B$15:$F$64,MATCH($G660,설정_코스수당!$A$15:$A$64,0),MATCH($E660&amp;"수당",설정_코스수당!$B$14:$F$14,0)),0),0)</f>
        <v>0</v>
      </c>
      <c r="L660" s="27">
        <f t="array" ref="L660">IF($O660="방문완료",IF($H660="",0,IFERROR(INDEX(설정_코스수당!$B$15:$F$64,MATCH($H660,설정_코스수당!$A$15:$A$64,0),MATCH($E660&amp;"수당",설정_코스수당!$B$14:$F$14,0)),0)),0)</f>
        <v>0</v>
      </c>
      <c r="M660" s="27">
        <f>IF($O660="방문완료",IFERROR(VLOOKUP($E660,설정_코스수당!$A$6:$H$10,6,FALSE),0),0)</f>
        <v>0</v>
      </c>
      <c r="N660" s="28">
        <f t="shared" si="18"/>
        <v>0</v>
      </c>
      <c r="O660" s="23"/>
      <c r="P660" s="23"/>
      <c r="Q660" s="23"/>
      <c r="R660" s="26"/>
      <c r="S660" s="23"/>
    </row>
    <row r="661" spans="1:19" ht="19.5" hidden="1" customHeight="1" outlineLevel="1">
      <c r="A661" s="29">
        <v>30</v>
      </c>
      <c r="B661" s="30">
        <f>IF(7&lt;=DAY(DATE(YEAR(설정_코스수당!$K$2),MONTH(설정_코스수당!$K$2)+1,0)),DATE(YEAR(설정_코스수당!$K$2),MONTH(설정_코스수당!$K$2),7),"")</f>
        <v>46180</v>
      </c>
      <c r="C661" s="31"/>
      <c r="D661" s="29"/>
      <c r="E661" s="29"/>
      <c r="F661" s="32"/>
      <c r="G661" s="29"/>
      <c r="H661" s="29"/>
      <c r="I661" s="29"/>
      <c r="J661" s="33">
        <f>IF($O661="방문완료",MAX(0,IFERROR(VLOOKUP($E661,설정_코스수당!$A$6:$H$10,4,FALSE),0)-IF(OR($P661="",$P661="없음"),0,100000)),0)</f>
        <v>0</v>
      </c>
      <c r="K661" s="33">
        <f t="array" ref="K661">IF($O661="방문완료",IFERROR(INDEX(설정_코스수당!$B$15:$F$64,MATCH($G661,설정_코스수당!$A$15:$A$64,0),MATCH($E661&amp;"수당",설정_코스수당!$B$14:$F$14,0)),0),0)</f>
        <v>0</v>
      </c>
      <c r="L661" s="33">
        <f t="array" ref="L661">IF($O661="방문완료",IF($H661="",0,IFERROR(INDEX(설정_코스수당!$B$15:$F$64,MATCH($H661,설정_코스수당!$A$15:$A$64,0),MATCH($E661&amp;"수당",설정_코스수당!$B$14:$F$14,0)),0)),0)</f>
        <v>0</v>
      </c>
      <c r="M661" s="33">
        <f>IF($O661="방문완료",IFERROR(VLOOKUP($E661,설정_코스수당!$A$6:$H$10,6,FALSE),0),0)</f>
        <v>0</v>
      </c>
      <c r="N661" s="34">
        <f t="shared" si="18"/>
        <v>0</v>
      </c>
      <c r="O661" s="29"/>
      <c r="P661" s="29"/>
      <c r="Q661" s="29"/>
      <c r="R661" s="32"/>
      <c r="S661" s="29"/>
    </row>
    <row r="662" spans="1:19" ht="19.5" hidden="1" customHeight="1" outlineLevel="1">
      <c r="A662" s="23">
        <v>31</v>
      </c>
      <c r="B662" s="24">
        <f>IF(7&lt;=DAY(DATE(YEAR(설정_코스수당!$K$2),MONTH(설정_코스수당!$K$2)+1,0)),DATE(YEAR(설정_코스수당!$K$2),MONTH(설정_코스수당!$K$2),7),"")</f>
        <v>46180</v>
      </c>
      <c r="C662" s="25"/>
      <c r="D662" s="23"/>
      <c r="E662" s="23"/>
      <c r="F662" s="26"/>
      <c r="G662" s="23"/>
      <c r="H662" s="23"/>
      <c r="I662" s="23"/>
      <c r="J662" s="27">
        <f>IF($O662="방문완료",MAX(0,IFERROR(VLOOKUP($E662,설정_코스수당!$A$6:$H$10,4,FALSE),0)-IF(OR($P662="",$P662="없음"),0,100000)),0)</f>
        <v>0</v>
      </c>
      <c r="K662" s="27">
        <f t="array" ref="K662">IF($O662="방문완료",IFERROR(INDEX(설정_코스수당!$B$15:$F$64,MATCH($G662,설정_코스수당!$A$15:$A$64,0),MATCH($E662&amp;"수당",설정_코스수당!$B$14:$F$14,0)),0),0)</f>
        <v>0</v>
      </c>
      <c r="L662" s="27">
        <f t="array" ref="L662">IF($O662="방문완료",IF($H662="",0,IFERROR(INDEX(설정_코스수당!$B$15:$F$64,MATCH($H662,설정_코스수당!$A$15:$A$64,0),MATCH($E662&amp;"수당",설정_코스수당!$B$14:$F$14,0)),0)),0)</f>
        <v>0</v>
      </c>
      <c r="M662" s="27">
        <f>IF($O662="방문완료",IFERROR(VLOOKUP($E662,설정_코스수당!$A$6:$H$10,6,FALSE),0),0)</f>
        <v>0</v>
      </c>
      <c r="N662" s="28">
        <f t="shared" si="18"/>
        <v>0</v>
      </c>
      <c r="O662" s="23"/>
      <c r="P662" s="23"/>
      <c r="Q662" s="23"/>
      <c r="R662" s="26"/>
      <c r="S662" s="23"/>
    </row>
    <row r="663" spans="1:19" ht="19.5" hidden="1" customHeight="1" outlineLevel="1">
      <c r="A663" s="29">
        <v>32</v>
      </c>
      <c r="B663" s="30">
        <f>IF(7&lt;=DAY(DATE(YEAR(설정_코스수당!$K$2),MONTH(설정_코스수당!$K$2)+1,0)),DATE(YEAR(설정_코스수당!$K$2),MONTH(설정_코스수당!$K$2),7),"")</f>
        <v>46180</v>
      </c>
      <c r="C663" s="31"/>
      <c r="D663" s="29"/>
      <c r="E663" s="29"/>
      <c r="F663" s="32"/>
      <c r="G663" s="29"/>
      <c r="H663" s="29"/>
      <c r="I663" s="29"/>
      <c r="J663" s="33">
        <f>IF($O663="방문완료",MAX(0,IFERROR(VLOOKUP($E663,설정_코스수당!$A$6:$H$10,4,FALSE),0)-IF(OR($P663="",$P663="없음"),0,100000)),0)</f>
        <v>0</v>
      </c>
      <c r="K663" s="33">
        <f t="array" ref="K663">IF($O663="방문완료",IFERROR(INDEX(설정_코스수당!$B$15:$F$64,MATCH($G663,설정_코스수당!$A$15:$A$64,0),MATCH($E663&amp;"수당",설정_코스수당!$B$14:$F$14,0)),0),0)</f>
        <v>0</v>
      </c>
      <c r="L663" s="33">
        <f t="array" ref="L663">IF($O663="방문완료",IF($H663="",0,IFERROR(INDEX(설정_코스수당!$B$15:$F$64,MATCH($H663,설정_코스수당!$A$15:$A$64,0),MATCH($E663&amp;"수당",설정_코스수당!$B$14:$F$14,0)),0)),0)</f>
        <v>0</v>
      </c>
      <c r="M663" s="33">
        <f>IF($O663="방문완료",IFERROR(VLOOKUP($E663,설정_코스수당!$A$6:$H$10,6,FALSE),0),0)</f>
        <v>0</v>
      </c>
      <c r="N663" s="34">
        <f t="shared" si="18"/>
        <v>0</v>
      </c>
      <c r="O663" s="29"/>
      <c r="P663" s="29"/>
      <c r="Q663" s="29"/>
      <c r="R663" s="32"/>
      <c r="S663" s="29"/>
    </row>
    <row r="664" spans="1:19" ht="19.5" hidden="1" customHeight="1" outlineLevel="1">
      <c r="A664" s="23">
        <v>33</v>
      </c>
      <c r="B664" s="24">
        <f>IF(7&lt;=DAY(DATE(YEAR(설정_코스수당!$K$2),MONTH(설정_코스수당!$K$2)+1,0)),DATE(YEAR(설정_코스수당!$K$2),MONTH(설정_코스수당!$K$2),7),"")</f>
        <v>46180</v>
      </c>
      <c r="C664" s="25"/>
      <c r="D664" s="23"/>
      <c r="E664" s="23"/>
      <c r="F664" s="26"/>
      <c r="G664" s="23"/>
      <c r="H664" s="23"/>
      <c r="I664" s="23"/>
      <c r="J664" s="27">
        <f>IF($O664="방문완료",MAX(0,IFERROR(VLOOKUP($E664,설정_코스수당!$A$6:$H$10,4,FALSE),0)-IF(OR($P664="",$P664="없음"),0,100000)),0)</f>
        <v>0</v>
      </c>
      <c r="K664" s="27">
        <f t="array" ref="K664">IF($O664="방문완료",IFERROR(INDEX(설정_코스수당!$B$15:$F$64,MATCH($G664,설정_코스수당!$A$15:$A$64,0),MATCH($E664&amp;"수당",설정_코스수당!$B$14:$F$14,0)),0),0)</f>
        <v>0</v>
      </c>
      <c r="L664" s="27">
        <f t="array" ref="L664">IF($O664="방문완료",IF($H664="",0,IFERROR(INDEX(설정_코스수당!$B$15:$F$64,MATCH($H664,설정_코스수당!$A$15:$A$64,0),MATCH($E664&amp;"수당",설정_코스수당!$B$14:$F$14,0)),0)),0)</f>
        <v>0</v>
      </c>
      <c r="M664" s="27">
        <f>IF($O664="방문완료",IFERROR(VLOOKUP($E664,설정_코스수당!$A$6:$H$10,6,FALSE),0),0)</f>
        <v>0</v>
      </c>
      <c r="N664" s="28">
        <f t="shared" ref="N664:N695" si="19">IF($O664="방문완료",1,0)</f>
        <v>0</v>
      </c>
      <c r="O664" s="23"/>
      <c r="P664" s="23"/>
      <c r="Q664" s="23"/>
      <c r="R664" s="26"/>
      <c r="S664" s="23"/>
    </row>
    <row r="665" spans="1:19" ht="19.5" hidden="1" customHeight="1" outlineLevel="1">
      <c r="A665" s="29">
        <v>34</v>
      </c>
      <c r="B665" s="30">
        <f>IF(7&lt;=DAY(DATE(YEAR(설정_코스수당!$K$2),MONTH(설정_코스수당!$K$2)+1,0)),DATE(YEAR(설정_코스수당!$K$2),MONTH(설정_코스수당!$K$2),7),"")</f>
        <v>46180</v>
      </c>
      <c r="C665" s="31"/>
      <c r="D665" s="29"/>
      <c r="E665" s="29"/>
      <c r="F665" s="32"/>
      <c r="G665" s="29"/>
      <c r="H665" s="29"/>
      <c r="I665" s="29"/>
      <c r="J665" s="33">
        <f>IF($O665="방문완료",MAX(0,IFERROR(VLOOKUP($E665,설정_코스수당!$A$6:$H$10,4,FALSE),0)-IF(OR($P665="",$P665="없음"),0,100000)),0)</f>
        <v>0</v>
      </c>
      <c r="K665" s="33">
        <f t="array" ref="K665">IF($O665="방문완료",IFERROR(INDEX(설정_코스수당!$B$15:$F$64,MATCH($G665,설정_코스수당!$A$15:$A$64,0),MATCH($E665&amp;"수당",설정_코스수당!$B$14:$F$14,0)),0),0)</f>
        <v>0</v>
      </c>
      <c r="L665" s="33">
        <f t="array" ref="L665">IF($O665="방문완료",IF($H665="",0,IFERROR(INDEX(설정_코스수당!$B$15:$F$64,MATCH($H665,설정_코스수당!$A$15:$A$64,0),MATCH($E665&amp;"수당",설정_코스수당!$B$14:$F$14,0)),0)),0)</f>
        <v>0</v>
      </c>
      <c r="M665" s="33">
        <f>IF($O665="방문완료",IFERROR(VLOOKUP($E665,설정_코스수당!$A$6:$H$10,6,FALSE),0),0)</f>
        <v>0</v>
      </c>
      <c r="N665" s="34">
        <f t="shared" si="19"/>
        <v>0</v>
      </c>
      <c r="O665" s="29"/>
      <c r="P665" s="29"/>
      <c r="Q665" s="29"/>
      <c r="R665" s="32"/>
      <c r="S665" s="29"/>
    </row>
    <row r="666" spans="1:19" ht="19.5" hidden="1" customHeight="1" outlineLevel="1">
      <c r="A666" s="23">
        <v>35</v>
      </c>
      <c r="B666" s="24">
        <f>IF(7&lt;=DAY(DATE(YEAR(설정_코스수당!$K$2),MONTH(설정_코스수당!$K$2)+1,0)),DATE(YEAR(설정_코스수당!$K$2),MONTH(설정_코스수당!$K$2),7),"")</f>
        <v>46180</v>
      </c>
      <c r="C666" s="25"/>
      <c r="D666" s="23"/>
      <c r="E666" s="23"/>
      <c r="F666" s="26"/>
      <c r="G666" s="23"/>
      <c r="H666" s="23"/>
      <c r="I666" s="23"/>
      <c r="J666" s="27">
        <f>IF($O666="방문완료",MAX(0,IFERROR(VLOOKUP($E666,설정_코스수당!$A$6:$H$10,4,FALSE),0)-IF(OR($P666="",$P666="없음"),0,100000)),0)</f>
        <v>0</v>
      </c>
      <c r="K666" s="27">
        <f t="array" ref="K666">IF($O666="방문완료",IFERROR(INDEX(설정_코스수당!$B$15:$F$64,MATCH($G666,설정_코스수당!$A$15:$A$64,0),MATCH($E666&amp;"수당",설정_코스수당!$B$14:$F$14,0)),0),0)</f>
        <v>0</v>
      </c>
      <c r="L666" s="27">
        <f t="array" ref="L666">IF($O666="방문완료",IF($H666="",0,IFERROR(INDEX(설정_코스수당!$B$15:$F$64,MATCH($H666,설정_코스수당!$A$15:$A$64,0),MATCH($E666&amp;"수당",설정_코스수당!$B$14:$F$14,0)),0)),0)</f>
        <v>0</v>
      </c>
      <c r="M666" s="27">
        <f>IF($O666="방문완료",IFERROR(VLOOKUP($E666,설정_코스수당!$A$6:$H$10,6,FALSE),0),0)</f>
        <v>0</v>
      </c>
      <c r="N666" s="28">
        <f t="shared" si="19"/>
        <v>0</v>
      </c>
      <c r="O666" s="23"/>
      <c r="P666" s="23"/>
      <c r="Q666" s="23"/>
      <c r="R666" s="26"/>
      <c r="S666" s="23"/>
    </row>
    <row r="667" spans="1:19" ht="19.5" hidden="1" customHeight="1" outlineLevel="1">
      <c r="A667" s="29">
        <v>36</v>
      </c>
      <c r="B667" s="30">
        <f>IF(7&lt;=DAY(DATE(YEAR(설정_코스수당!$K$2),MONTH(설정_코스수당!$K$2)+1,0)),DATE(YEAR(설정_코스수당!$K$2),MONTH(설정_코스수당!$K$2),7),"")</f>
        <v>46180</v>
      </c>
      <c r="C667" s="31"/>
      <c r="D667" s="29"/>
      <c r="E667" s="29"/>
      <c r="F667" s="32"/>
      <c r="G667" s="29"/>
      <c r="H667" s="29"/>
      <c r="I667" s="29"/>
      <c r="J667" s="33">
        <f>IF($O667="방문완료",MAX(0,IFERROR(VLOOKUP($E667,설정_코스수당!$A$6:$H$10,4,FALSE),0)-IF(OR($P667="",$P667="없음"),0,100000)),0)</f>
        <v>0</v>
      </c>
      <c r="K667" s="33">
        <f t="array" ref="K667">IF($O667="방문완료",IFERROR(INDEX(설정_코스수당!$B$15:$F$64,MATCH($G667,설정_코스수당!$A$15:$A$64,0),MATCH($E667&amp;"수당",설정_코스수당!$B$14:$F$14,0)),0),0)</f>
        <v>0</v>
      </c>
      <c r="L667" s="33">
        <f t="array" ref="L667">IF($O667="방문완료",IF($H667="",0,IFERROR(INDEX(설정_코스수당!$B$15:$F$64,MATCH($H667,설정_코스수당!$A$15:$A$64,0),MATCH($E667&amp;"수당",설정_코스수당!$B$14:$F$14,0)),0)),0)</f>
        <v>0</v>
      </c>
      <c r="M667" s="33">
        <f>IF($O667="방문완료",IFERROR(VLOOKUP($E667,설정_코스수당!$A$6:$H$10,6,FALSE),0),0)</f>
        <v>0</v>
      </c>
      <c r="N667" s="34">
        <f t="shared" si="19"/>
        <v>0</v>
      </c>
      <c r="O667" s="29"/>
      <c r="P667" s="29"/>
      <c r="Q667" s="29"/>
      <c r="R667" s="32"/>
      <c r="S667" s="29"/>
    </row>
    <row r="668" spans="1:19" ht="19.5" hidden="1" customHeight="1" outlineLevel="1">
      <c r="A668" s="23">
        <v>37</v>
      </c>
      <c r="B668" s="24">
        <f>IF(7&lt;=DAY(DATE(YEAR(설정_코스수당!$K$2),MONTH(설정_코스수당!$K$2)+1,0)),DATE(YEAR(설정_코스수당!$K$2),MONTH(설정_코스수당!$K$2),7),"")</f>
        <v>46180</v>
      </c>
      <c r="C668" s="25"/>
      <c r="D668" s="23"/>
      <c r="E668" s="23"/>
      <c r="F668" s="26"/>
      <c r="G668" s="23"/>
      <c r="H668" s="23"/>
      <c r="I668" s="23"/>
      <c r="J668" s="27">
        <f>IF($O668="방문완료",MAX(0,IFERROR(VLOOKUP($E668,설정_코스수당!$A$6:$H$10,4,FALSE),0)-IF(OR($P668="",$P668="없음"),0,100000)),0)</f>
        <v>0</v>
      </c>
      <c r="K668" s="27">
        <f t="array" ref="K668">IF($O668="방문완료",IFERROR(INDEX(설정_코스수당!$B$15:$F$64,MATCH($G668,설정_코스수당!$A$15:$A$64,0),MATCH($E668&amp;"수당",설정_코스수당!$B$14:$F$14,0)),0),0)</f>
        <v>0</v>
      </c>
      <c r="L668" s="27">
        <f t="array" ref="L668">IF($O668="방문완료",IF($H668="",0,IFERROR(INDEX(설정_코스수당!$B$15:$F$64,MATCH($H668,설정_코스수당!$A$15:$A$64,0),MATCH($E668&amp;"수당",설정_코스수당!$B$14:$F$14,0)),0)),0)</f>
        <v>0</v>
      </c>
      <c r="M668" s="27">
        <f>IF($O668="방문완료",IFERROR(VLOOKUP($E668,설정_코스수당!$A$6:$H$10,6,FALSE),0),0)</f>
        <v>0</v>
      </c>
      <c r="N668" s="28">
        <f t="shared" si="19"/>
        <v>0</v>
      </c>
      <c r="O668" s="23"/>
      <c r="P668" s="23"/>
      <c r="Q668" s="23"/>
      <c r="R668" s="26"/>
      <c r="S668" s="23"/>
    </row>
    <row r="669" spans="1:19" ht="19.5" hidden="1" customHeight="1" outlineLevel="1">
      <c r="A669" s="29">
        <v>38</v>
      </c>
      <c r="B669" s="30">
        <f>IF(7&lt;=DAY(DATE(YEAR(설정_코스수당!$K$2),MONTH(설정_코스수당!$K$2)+1,0)),DATE(YEAR(설정_코스수당!$K$2),MONTH(설정_코스수당!$K$2),7),"")</f>
        <v>46180</v>
      </c>
      <c r="C669" s="31"/>
      <c r="D669" s="29"/>
      <c r="E669" s="29"/>
      <c r="F669" s="32"/>
      <c r="G669" s="29"/>
      <c r="H669" s="29"/>
      <c r="I669" s="29"/>
      <c r="J669" s="33">
        <f>IF($O669="방문완료",MAX(0,IFERROR(VLOOKUP($E669,설정_코스수당!$A$6:$H$10,4,FALSE),0)-IF(OR($P669="",$P669="없음"),0,100000)),0)</f>
        <v>0</v>
      </c>
      <c r="K669" s="33">
        <f t="array" ref="K669">IF($O669="방문완료",IFERROR(INDEX(설정_코스수당!$B$15:$F$64,MATCH($G669,설정_코스수당!$A$15:$A$64,0),MATCH($E669&amp;"수당",설정_코스수당!$B$14:$F$14,0)),0),0)</f>
        <v>0</v>
      </c>
      <c r="L669" s="33">
        <f t="array" ref="L669">IF($O669="방문완료",IF($H669="",0,IFERROR(INDEX(설정_코스수당!$B$15:$F$64,MATCH($H669,설정_코스수당!$A$15:$A$64,0),MATCH($E669&amp;"수당",설정_코스수당!$B$14:$F$14,0)),0)),0)</f>
        <v>0</v>
      </c>
      <c r="M669" s="33">
        <f>IF($O669="방문완료",IFERROR(VLOOKUP($E669,설정_코스수당!$A$6:$H$10,6,FALSE),0),0)</f>
        <v>0</v>
      </c>
      <c r="N669" s="34">
        <f t="shared" si="19"/>
        <v>0</v>
      </c>
      <c r="O669" s="29"/>
      <c r="P669" s="29"/>
      <c r="Q669" s="29"/>
      <c r="R669" s="32"/>
      <c r="S669" s="29"/>
    </row>
    <row r="670" spans="1:19" ht="19.5" hidden="1" customHeight="1" outlineLevel="1">
      <c r="A670" s="23">
        <v>39</v>
      </c>
      <c r="B670" s="24">
        <f>IF(7&lt;=DAY(DATE(YEAR(설정_코스수당!$K$2),MONTH(설정_코스수당!$K$2)+1,0)),DATE(YEAR(설정_코스수당!$K$2),MONTH(설정_코스수당!$K$2),7),"")</f>
        <v>46180</v>
      </c>
      <c r="C670" s="25"/>
      <c r="D670" s="23"/>
      <c r="E670" s="23"/>
      <c r="F670" s="26"/>
      <c r="G670" s="23"/>
      <c r="H670" s="23"/>
      <c r="I670" s="23"/>
      <c r="J670" s="27">
        <f>IF($O670="방문완료",MAX(0,IFERROR(VLOOKUP($E670,설정_코스수당!$A$6:$H$10,4,FALSE),0)-IF(OR($P670="",$P670="없음"),0,100000)),0)</f>
        <v>0</v>
      </c>
      <c r="K670" s="27">
        <f t="array" ref="K670">IF($O670="방문완료",IFERROR(INDEX(설정_코스수당!$B$15:$F$64,MATCH($G670,설정_코스수당!$A$15:$A$64,0),MATCH($E670&amp;"수당",설정_코스수당!$B$14:$F$14,0)),0),0)</f>
        <v>0</v>
      </c>
      <c r="L670" s="27">
        <f t="array" ref="L670">IF($O670="방문완료",IF($H670="",0,IFERROR(INDEX(설정_코스수당!$B$15:$F$64,MATCH($H670,설정_코스수당!$A$15:$A$64,0),MATCH($E670&amp;"수당",설정_코스수당!$B$14:$F$14,0)),0)),0)</f>
        <v>0</v>
      </c>
      <c r="M670" s="27">
        <f>IF($O670="방문완료",IFERROR(VLOOKUP($E670,설정_코스수당!$A$6:$H$10,6,FALSE),0),0)</f>
        <v>0</v>
      </c>
      <c r="N670" s="28">
        <f t="shared" si="19"/>
        <v>0</v>
      </c>
      <c r="O670" s="23"/>
      <c r="P670" s="23"/>
      <c r="Q670" s="23"/>
      <c r="R670" s="26"/>
      <c r="S670" s="23"/>
    </row>
    <row r="671" spans="1:19" ht="19.5" hidden="1" customHeight="1" outlineLevel="1">
      <c r="A671" s="29">
        <v>40</v>
      </c>
      <c r="B671" s="30">
        <f>IF(7&lt;=DAY(DATE(YEAR(설정_코스수당!$K$2),MONTH(설정_코스수당!$K$2)+1,0)),DATE(YEAR(설정_코스수당!$K$2),MONTH(설정_코스수당!$K$2),7),"")</f>
        <v>46180</v>
      </c>
      <c r="C671" s="31"/>
      <c r="D671" s="29"/>
      <c r="E671" s="29"/>
      <c r="F671" s="32"/>
      <c r="G671" s="29"/>
      <c r="H671" s="29"/>
      <c r="I671" s="29"/>
      <c r="J671" s="33">
        <f>IF($O671="방문완료",MAX(0,IFERROR(VLOOKUP($E671,설정_코스수당!$A$6:$H$10,4,FALSE),0)-IF(OR($P671="",$P671="없음"),0,100000)),0)</f>
        <v>0</v>
      </c>
      <c r="K671" s="33">
        <f t="array" ref="K671">IF($O671="방문완료",IFERROR(INDEX(설정_코스수당!$B$15:$F$64,MATCH($G671,설정_코스수당!$A$15:$A$64,0),MATCH($E671&amp;"수당",설정_코스수당!$B$14:$F$14,0)),0),0)</f>
        <v>0</v>
      </c>
      <c r="L671" s="33">
        <f t="array" ref="L671">IF($O671="방문완료",IF($H671="",0,IFERROR(INDEX(설정_코스수당!$B$15:$F$64,MATCH($H671,설정_코스수당!$A$15:$A$64,0),MATCH($E671&amp;"수당",설정_코스수당!$B$14:$F$14,0)),0)),0)</f>
        <v>0</v>
      </c>
      <c r="M671" s="33">
        <f>IF($O671="방문완료",IFERROR(VLOOKUP($E671,설정_코스수당!$A$6:$H$10,6,FALSE),0),0)</f>
        <v>0</v>
      </c>
      <c r="N671" s="34">
        <f t="shared" si="19"/>
        <v>0</v>
      </c>
      <c r="O671" s="29"/>
      <c r="P671" s="29"/>
      <c r="Q671" s="29"/>
      <c r="R671" s="32"/>
      <c r="S671" s="29"/>
    </row>
    <row r="672" spans="1:19" ht="19.5" hidden="1" customHeight="1" outlineLevel="1">
      <c r="A672" s="23">
        <v>41</v>
      </c>
      <c r="B672" s="24">
        <f>IF(7&lt;=DAY(DATE(YEAR(설정_코스수당!$K$2),MONTH(설정_코스수당!$K$2)+1,0)),DATE(YEAR(설정_코스수당!$K$2),MONTH(설정_코스수당!$K$2),7),"")</f>
        <v>46180</v>
      </c>
      <c r="C672" s="25"/>
      <c r="D672" s="23"/>
      <c r="E672" s="23"/>
      <c r="F672" s="26"/>
      <c r="G672" s="23"/>
      <c r="H672" s="23"/>
      <c r="I672" s="23"/>
      <c r="J672" s="27">
        <f>IF($O672="방문완료",MAX(0,IFERROR(VLOOKUP($E672,설정_코스수당!$A$6:$H$10,4,FALSE),0)-IF(OR($P672="",$P672="없음"),0,100000)),0)</f>
        <v>0</v>
      </c>
      <c r="K672" s="27">
        <f t="array" ref="K672">IF($O672="방문완료",IFERROR(INDEX(설정_코스수당!$B$15:$F$64,MATCH($G672,설정_코스수당!$A$15:$A$64,0),MATCH($E672&amp;"수당",설정_코스수당!$B$14:$F$14,0)),0),0)</f>
        <v>0</v>
      </c>
      <c r="L672" s="27">
        <f t="array" ref="L672">IF($O672="방문완료",IF($H672="",0,IFERROR(INDEX(설정_코스수당!$B$15:$F$64,MATCH($H672,설정_코스수당!$A$15:$A$64,0),MATCH($E672&amp;"수당",설정_코스수당!$B$14:$F$14,0)),0)),0)</f>
        <v>0</v>
      </c>
      <c r="M672" s="27">
        <f>IF($O672="방문완료",IFERROR(VLOOKUP($E672,설정_코스수당!$A$6:$H$10,6,FALSE),0),0)</f>
        <v>0</v>
      </c>
      <c r="N672" s="28">
        <f t="shared" si="19"/>
        <v>0</v>
      </c>
      <c r="O672" s="23"/>
      <c r="P672" s="23"/>
      <c r="Q672" s="23"/>
      <c r="R672" s="26"/>
      <c r="S672" s="23"/>
    </row>
    <row r="673" spans="1:19" ht="19.5" hidden="1" customHeight="1" outlineLevel="1">
      <c r="A673" s="29">
        <v>42</v>
      </c>
      <c r="B673" s="30">
        <f>IF(7&lt;=DAY(DATE(YEAR(설정_코스수당!$K$2),MONTH(설정_코스수당!$K$2)+1,0)),DATE(YEAR(설정_코스수당!$K$2),MONTH(설정_코스수당!$K$2),7),"")</f>
        <v>46180</v>
      </c>
      <c r="C673" s="31"/>
      <c r="D673" s="29"/>
      <c r="E673" s="29"/>
      <c r="F673" s="32"/>
      <c r="G673" s="29"/>
      <c r="H673" s="29"/>
      <c r="I673" s="29"/>
      <c r="J673" s="33">
        <f>IF($O673="방문완료",MAX(0,IFERROR(VLOOKUP($E673,설정_코스수당!$A$6:$H$10,4,FALSE),0)-IF(OR($P673="",$P673="없음"),0,100000)),0)</f>
        <v>0</v>
      </c>
      <c r="K673" s="33">
        <f t="array" ref="K673">IF($O673="방문완료",IFERROR(INDEX(설정_코스수당!$B$15:$F$64,MATCH($G673,설정_코스수당!$A$15:$A$64,0),MATCH($E673&amp;"수당",설정_코스수당!$B$14:$F$14,0)),0),0)</f>
        <v>0</v>
      </c>
      <c r="L673" s="33">
        <f t="array" ref="L673">IF($O673="방문완료",IF($H673="",0,IFERROR(INDEX(설정_코스수당!$B$15:$F$64,MATCH($H673,설정_코스수당!$A$15:$A$64,0),MATCH($E673&amp;"수당",설정_코스수당!$B$14:$F$14,0)),0)),0)</f>
        <v>0</v>
      </c>
      <c r="M673" s="33">
        <f>IF($O673="방문완료",IFERROR(VLOOKUP($E673,설정_코스수당!$A$6:$H$10,6,FALSE),0),0)</f>
        <v>0</v>
      </c>
      <c r="N673" s="34">
        <f t="shared" si="19"/>
        <v>0</v>
      </c>
      <c r="O673" s="29"/>
      <c r="P673" s="29"/>
      <c r="Q673" s="29"/>
      <c r="R673" s="32"/>
      <c r="S673" s="29"/>
    </row>
    <row r="674" spans="1:19" ht="19.5" hidden="1" customHeight="1" outlineLevel="1">
      <c r="A674" s="23">
        <v>43</v>
      </c>
      <c r="B674" s="24">
        <f>IF(7&lt;=DAY(DATE(YEAR(설정_코스수당!$K$2),MONTH(설정_코스수당!$K$2)+1,0)),DATE(YEAR(설정_코스수당!$K$2),MONTH(설정_코스수당!$K$2),7),"")</f>
        <v>46180</v>
      </c>
      <c r="C674" s="25"/>
      <c r="D674" s="23"/>
      <c r="E674" s="23"/>
      <c r="F674" s="26"/>
      <c r="G674" s="23"/>
      <c r="H674" s="23"/>
      <c r="I674" s="23"/>
      <c r="J674" s="27">
        <f>IF($O674="방문완료",MAX(0,IFERROR(VLOOKUP($E674,설정_코스수당!$A$6:$H$10,4,FALSE),0)-IF(OR($P674="",$P674="없음"),0,100000)),0)</f>
        <v>0</v>
      </c>
      <c r="K674" s="27">
        <f t="array" ref="K674">IF($O674="방문완료",IFERROR(INDEX(설정_코스수당!$B$15:$F$64,MATCH($G674,설정_코스수당!$A$15:$A$64,0),MATCH($E674&amp;"수당",설정_코스수당!$B$14:$F$14,0)),0),0)</f>
        <v>0</v>
      </c>
      <c r="L674" s="27">
        <f t="array" ref="L674">IF($O674="방문완료",IF($H674="",0,IFERROR(INDEX(설정_코스수당!$B$15:$F$64,MATCH($H674,설정_코스수당!$A$15:$A$64,0),MATCH($E674&amp;"수당",설정_코스수당!$B$14:$F$14,0)),0)),0)</f>
        <v>0</v>
      </c>
      <c r="M674" s="27">
        <f>IF($O674="방문완료",IFERROR(VLOOKUP($E674,설정_코스수당!$A$6:$H$10,6,FALSE),0),0)</f>
        <v>0</v>
      </c>
      <c r="N674" s="28">
        <f t="shared" si="19"/>
        <v>0</v>
      </c>
      <c r="O674" s="23"/>
      <c r="P674" s="23"/>
      <c r="Q674" s="23"/>
      <c r="R674" s="26"/>
      <c r="S674" s="23"/>
    </row>
    <row r="675" spans="1:19" ht="19.5" hidden="1" customHeight="1" outlineLevel="1">
      <c r="A675" s="29">
        <v>44</v>
      </c>
      <c r="B675" s="30">
        <f>IF(7&lt;=DAY(DATE(YEAR(설정_코스수당!$K$2),MONTH(설정_코스수당!$K$2)+1,0)),DATE(YEAR(설정_코스수당!$K$2),MONTH(설정_코스수당!$K$2),7),"")</f>
        <v>46180</v>
      </c>
      <c r="C675" s="31"/>
      <c r="D675" s="29"/>
      <c r="E675" s="29"/>
      <c r="F675" s="32"/>
      <c r="G675" s="29"/>
      <c r="H675" s="29"/>
      <c r="I675" s="29"/>
      <c r="J675" s="33">
        <f>IF($O675="방문완료",MAX(0,IFERROR(VLOOKUP($E675,설정_코스수당!$A$6:$H$10,4,FALSE),0)-IF(OR($P675="",$P675="없음"),0,100000)),0)</f>
        <v>0</v>
      </c>
      <c r="K675" s="33">
        <f t="array" ref="K675">IF($O675="방문완료",IFERROR(INDEX(설정_코스수당!$B$15:$F$64,MATCH($G675,설정_코스수당!$A$15:$A$64,0),MATCH($E675&amp;"수당",설정_코스수당!$B$14:$F$14,0)),0),0)</f>
        <v>0</v>
      </c>
      <c r="L675" s="33">
        <f t="array" ref="L675">IF($O675="방문완료",IF($H675="",0,IFERROR(INDEX(설정_코스수당!$B$15:$F$64,MATCH($H675,설정_코스수당!$A$15:$A$64,0),MATCH($E675&amp;"수당",설정_코스수당!$B$14:$F$14,0)),0)),0)</f>
        <v>0</v>
      </c>
      <c r="M675" s="33">
        <f>IF($O675="방문완료",IFERROR(VLOOKUP($E675,설정_코스수당!$A$6:$H$10,6,FALSE),0),0)</f>
        <v>0</v>
      </c>
      <c r="N675" s="34">
        <f t="shared" si="19"/>
        <v>0</v>
      </c>
      <c r="O675" s="29"/>
      <c r="P675" s="29"/>
      <c r="Q675" s="29"/>
      <c r="R675" s="32"/>
      <c r="S675" s="29"/>
    </row>
    <row r="676" spans="1:19" ht="19.5" hidden="1" customHeight="1" outlineLevel="1">
      <c r="A676" s="23">
        <v>45</v>
      </c>
      <c r="B676" s="24">
        <f>IF(7&lt;=DAY(DATE(YEAR(설정_코스수당!$K$2),MONTH(설정_코스수당!$K$2)+1,0)),DATE(YEAR(설정_코스수당!$K$2),MONTH(설정_코스수당!$K$2),7),"")</f>
        <v>46180</v>
      </c>
      <c r="C676" s="25"/>
      <c r="D676" s="23"/>
      <c r="E676" s="23"/>
      <c r="F676" s="26"/>
      <c r="G676" s="23"/>
      <c r="H676" s="23"/>
      <c r="I676" s="23"/>
      <c r="J676" s="27">
        <f>IF($O676="방문완료",MAX(0,IFERROR(VLOOKUP($E676,설정_코스수당!$A$6:$H$10,4,FALSE),0)-IF(OR($P676="",$P676="없음"),0,100000)),0)</f>
        <v>0</v>
      </c>
      <c r="K676" s="27">
        <f t="array" ref="K676">IF($O676="방문완료",IFERROR(INDEX(설정_코스수당!$B$15:$F$64,MATCH($G676,설정_코스수당!$A$15:$A$64,0),MATCH($E676&amp;"수당",설정_코스수당!$B$14:$F$14,0)),0),0)</f>
        <v>0</v>
      </c>
      <c r="L676" s="27">
        <f t="array" ref="L676">IF($O676="방문완료",IF($H676="",0,IFERROR(INDEX(설정_코스수당!$B$15:$F$64,MATCH($H676,설정_코스수당!$A$15:$A$64,0),MATCH($E676&amp;"수당",설정_코스수당!$B$14:$F$14,0)),0)),0)</f>
        <v>0</v>
      </c>
      <c r="M676" s="27">
        <f>IF($O676="방문완료",IFERROR(VLOOKUP($E676,설정_코스수당!$A$6:$H$10,6,FALSE),0),0)</f>
        <v>0</v>
      </c>
      <c r="N676" s="28">
        <f t="shared" si="19"/>
        <v>0</v>
      </c>
      <c r="O676" s="23"/>
      <c r="P676" s="23"/>
      <c r="Q676" s="23"/>
      <c r="R676" s="26"/>
      <c r="S676" s="23"/>
    </row>
    <row r="677" spans="1:19" ht="19.5" hidden="1" customHeight="1" outlineLevel="1">
      <c r="A677" s="29">
        <v>46</v>
      </c>
      <c r="B677" s="30">
        <f>IF(7&lt;=DAY(DATE(YEAR(설정_코스수당!$K$2),MONTH(설정_코스수당!$K$2)+1,0)),DATE(YEAR(설정_코스수당!$K$2),MONTH(설정_코스수당!$K$2),7),"")</f>
        <v>46180</v>
      </c>
      <c r="C677" s="31"/>
      <c r="D677" s="29"/>
      <c r="E677" s="29"/>
      <c r="F677" s="32"/>
      <c r="G677" s="29"/>
      <c r="H677" s="29"/>
      <c r="I677" s="29"/>
      <c r="J677" s="33">
        <f>IF($O677="방문완료",MAX(0,IFERROR(VLOOKUP($E677,설정_코스수당!$A$6:$H$10,4,FALSE),0)-IF(OR($P677="",$P677="없음"),0,100000)),0)</f>
        <v>0</v>
      </c>
      <c r="K677" s="33">
        <f t="array" ref="K677">IF($O677="방문완료",IFERROR(INDEX(설정_코스수당!$B$15:$F$64,MATCH($G677,설정_코스수당!$A$15:$A$64,0),MATCH($E677&amp;"수당",설정_코스수당!$B$14:$F$14,0)),0),0)</f>
        <v>0</v>
      </c>
      <c r="L677" s="33">
        <f t="array" ref="L677">IF($O677="방문완료",IF($H677="",0,IFERROR(INDEX(설정_코스수당!$B$15:$F$64,MATCH($H677,설정_코스수당!$A$15:$A$64,0),MATCH($E677&amp;"수당",설정_코스수당!$B$14:$F$14,0)),0)),0)</f>
        <v>0</v>
      </c>
      <c r="M677" s="33">
        <f>IF($O677="방문완료",IFERROR(VLOOKUP($E677,설정_코스수당!$A$6:$H$10,6,FALSE),0),0)</f>
        <v>0</v>
      </c>
      <c r="N677" s="34">
        <f t="shared" si="19"/>
        <v>0</v>
      </c>
      <c r="O677" s="29"/>
      <c r="P677" s="29"/>
      <c r="Q677" s="29"/>
      <c r="R677" s="32"/>
      <c r="S677" s="29"/>
    </row>
    <row r="678" spans="1:19" ht="19.5" hidden="1" customHeight="1" outlineLevel="1">
      <c r="A678" s="23">
        <v>47</v>
      </c>
      <c r="B678" s="24">
        <f>IF(7&lt;=DAY(DATE(YEAR(설정_코스수당!$K$2),MONTH(설정_코스수당!$K$2)+1,0)),DATE(YEAR(설정_코스수당!$K$2),MONTH(설정_코스수당!$K$2),7),"")</f>
        <v>46180</v>
      </c>
      <c r="C678" s="25"/>
      <c r="D678" s="23"/>
      <c r="E678" s="23"/>
      <c r="F678" s="26"/>
      <c r="G678" s="23"/>
      <c r="H678" s="23"/>
      <c r="I678" s="23"/>
      <c r="J678" s="27">
        <f>IF($O678="방문완료",MAX(0,IFERROR(VLOOKUP($E678,설정_코스수당!$A$6:$H$10,4,FALSE),0)-IF(OR($P678="",$P678="없음"),0,100000)),0)</f>
        <v>0</v>
      </c>
      <c r="K678" s="27">
        <f t="array" ref="K678">IF($O678="방문완료",IFERROR(INDEX(설정_코스수당!$B$15:$F$64,MATCH($G678,설정_코스수당!$A$15:$A$64,0),MATCH($E678&amp;"수당",설정_코스수당!$B$14:$F$14,0)),0),0)</f>
        <v>0</v>
      </c>
      <c r="L678" s="27">
        <f t="array" ref="L678">IF($O678="방문완료",IF($H678="",0,IFERROR(INDEX(설정_코스수당!$B$15:$F$64,MATCH($H678,설정_코스수당!$A$15:$A$64,0),MATCH($E678&amp;"수당",설정_코스수당!$B$14:$F$14,0)),0)),0)</f>
        <v>0</v>
      </c>
      <c r="M678" s="27">
        <f>IF($O678="방문완료",IFERROR(VLOOKUP($E678,설정_코스수당!$A$6:$H$10,6,FALSE),0),0)</f>
        <v>0</v>
      </c>
      <c r="N678" s="28">
        <f t="shared" si="19"/>
        <v>0</v>
      </c>
      <c r="O678" s="23"/>
      <c r="P678" s="23"/>
      <c r="Q678" s="23"/>
      <c r="R678" s="26"/>
      <c r="S678" s="23"/>
    </row>
    <row r="679" spans="1:19" ht="19.5" hidden="1" customHeight="1" outlineLevel="1">
      <c r="A679" s="29">
        <v>48</v>
      </c>
      <c r="B679" s="30">
        <f>IF(7&lt;=DAY(DATE(YEAR(설정_코스수당!$K$2),MONTH(설정_코스수당!$K$2)+1,0)),DATE(YEAR(설정_코스수당!$K$2),MONTH(설정_코스수당!$K$2),7),"")</f>
        <v>46180</v>
      </c>
      <c r="C679" s="31"/>
      <c r="D679" s="29"/>
      <c r="E679" s="29"/>
      <c r="F679" s="32"/>
      <c r="G679" s="29"/>
      <c r="H679" s="29"/>
      <c r="I679" s="29"/>
      <c r="J679" s="33">
        <f>IF($O679="방문완료",MAX(0,IFERROR(VLOOKUP($E679,설정_코스수당!$A$6:$H$10,4,FALSE),0)-IF(OR($P679="",$P679="없음"),0,100000)),0)</f>
        <v>0</v>
      </c>
      <c r="K679" s="33">
        <f t="array" ref="K679">IF($O679="방문완료",IFERROR(INDEX(설정_코스수당!$B$15:$F$64,MATCH($G679,설정_코스수당!$A$15:$A$64,0),MATCH($E679&amp;"수당",설정_코스수당!$B$14:$F$14,0)),0),0)</f>
        <v>0</v>
      </c>
      <c r="L679" s="33">
        <f t="array" ref="L679">IF($O679="방문완료",IF($H679="",0,IFERROR(INDEX(설정_코스수당!$B$15:$F$64,MATCH($H679,설정_코스수당!$A$15:$A$64,0),MATCH($E679&amp;"수당",설정_코스수당!$B$14:$F$14,0)),0)),0)</f>
        <v>0</v>
      </c>
      <c r="M679" s="33">
        <f>IF($O679="방문완료",IFERROR(VLOOKUP($E679,설정_코스수당!$A$6:$H$10,6,FALSE),0),0)</f>
        <v>0</v>
      </c>
      <c r="N679" s="34">
        <f t="shared" si="19"/>
        <v>0</v>
      </c>
      <c r="O679" s="29"/>
      <c r="P679" s="29"/>
      <c r="Q679" s="29"/>
      <c r="R679" s="32"/>
      <c r="S679" s="29"/>
    </row>
    <row r="680" spans="1:19" ht="19.5" hidden="1" customHeight="1" outlineLevel="1">
      <c r="A680" s="23">
        <v>49</v>
      </c>
      <c r="B680" s="24">
        <f>IF(7&lt;=DAY(DATE(YEAR(설정_코스수당!$K$2),MONTH(설정_코스수당!$K$2)+1,0)),DATE(YEAR(설정_코스수당!$K$2),MONTH(설정_코스수당!$K$2),7),"")</f>
        <v>46180</v>
      </c>
      <c r="C680" s="25"/>
      <c r="D680" s="23"/>
      <c r="E680" s="23"/>
      <c r="F680" s="26"/>
      <c r="G680" s="23"/>
      <c r="H680" s="23"/>
      <c r="I680" s="23"/>
      <c r="J680" s="27">
        <f>IF($O680="방문완료",MAX(0,IFERROR(VLOOKUP($E680,설정_코스수당!$A$6:$H$10,4,FALSE),0)-IF(OR($P680="",$P680="없음"),0,100000)),0)</f>
        <v>0</v>
      </c>
      <c r="K680" s="27">
        <f t="array" ref="K680">IF($O680="방문완료",IFERROR(INDEX(설정_코스수당!$B$15:$F$64,MATCH($G680,설정_코스수당!$A$15:$A$64,0),MATCH($E680&amp;"수당",설정_코스수당!$B$14:$F$14,0)),0),0)</f>
        <v>0</v>
      </c>
      <c r="L680" s="27">
        <f t="array" ref="L680">IF($O680="방문완료",IF($H680="",0,IFERROR(INDEX(설정_코스수당!$B$15:$F$64,MATCH($H680,설정_코스수당!$A$15:$A$64,0),MATCH($E680&amp;"수당",설정_코스수당!$B$14:$F$14,0)),0)),0)</f>
        <v>0</v>
      </c>
      <c r="M680" s="27">
        <f>IF($O680="방문완료",IFERROR(VLOOKUP($E680,설정_코스수당!$A$6:$H$10,6,FALSE),0),0)</f>
        <v>0</v>
      </c>
      <c r="N680" s="28">
        <f t="shared" si="19"/>
        <v>0</v>
      </c>
      <c r="O680" s="23"/>
      <c r="P680" s="23"/>
      <c r="Q680" s="23"/>
      <c r="R680" s="26"/>
      <c r="S680" s="23"/>
    </row>
    <row r="681" spans="1:19" ht="19.5" hidden="1" customHeight="1" outlineLevel="1">
      <c r="A681" s="29">
        <v>50</v>
      </c>
      <c r="B681" s="30">
        <f>IF(7&lt;=DAY(DATE(YEAR(설정_코스수당!$K$2),MONTH(설정_코스수당!$K$2)+1,0)),DATE(YEAR(설정_코스수당!$K$2),MONTH(설정_코스수당!$K$2),7),"")</f>
        <v>46180</v>
      </c>
      <c r="C681" s="31"/>
      <c r="D681" s="29"/>
      <c r="E681" s="29"/>
      <c r="F681" s="32"/>
      <c r="G681" s="29"/>
      <c r="H681" s="29"/>
      <c r="I681" s="29"/>
      <c r="J681" s="33">
        <f>IF($O681="방문완료",MAX(0,IFERROR(VLOOKUP($E681,설정_코스수당!$A$6:$H$10,4,FALSE),0)-IF(OR($P681="",$P681="없음"),0,100000)),0)</f>
        <v>0</v>
      </c>
      <c r="K681" s="33">
        <f t="array" ref="K681">IF($O681="방문완료",IFERROR(INDEX(설정_코스수당!$B$15:$F$64,MATCH($G681,설정_코스수당!$A$15:$A$64,0),MATCH($E681&amp;"수당",설정_코스수당!$B$14:$F$14,0)),0),0)</f>
        <v>0</v>
      </c>
      <c r="L681" s="33">
        <f t="array" ref="L681">IF($O681="방문완료",IF($H681="",0,IFERROR(INDEX(설정_코스수당!$B$15:$F$64,MATCH($H681,설정_코스수당!$A$15:$A$64,0),MATCH($E681&amp;"수당",설정_코스수당!$B$14:$F$14,0)),0)),0)</f>
        <v>0</v>
      </c>
      <c r="M681" s="33">
        <f>IF($O681="방문완료",IFERROR(VLOOKUP($E681,설정_코스수당!$A$6:$H$10,6,FALSE),0),0)</f>
        <v>0</v>
      </c>
      <c r="N681" s="34">
        <f t="shared" si="19"/>
        <v>0</v>
      </c>
      <c r="O681" s="29"/>
      <c r="P681" s="29"/>
      <c r="Q681" s="29"/>
      <c r="R681" s="32"/>
      <c r="S681" s="29"/>
    </row>
    <row r="682" spans="1:19" ht="19.5" hidden="1" customHeight="1" outlineLevel="1">
      <c r="A682" s="23">
        <v>51</v>
      </c>
      <c r="B682" s="24">
        <f>IF(7&lt;=DAY(DATE(YEAR(설정_코스수당!$K$2),MONTH(설정_코스수당!$K$2)+1,0)),DATE(YEAR(설정_코스수당!$K$2),MONTH(설정_코스수당!$K$2),7),"")</f>
        <v>46180</v>
      </c>
      <c r="C682" s="25"/>
      <c r="D682" s="23"/>
      <c r="E682" s="23"/>
      <c r="F682" s="26"/>
      <c r="G682" s="23"/>
      <c r="H682" s="23"/>
      <c r="I682" s="23"/>
      <c r="J682" s="27">
        <f>IF($O682="방문완료",MAX(0,IFERROR(VLOOKUP($E682,설정_코스수당!$A$6:$H$10,4,FALSE),0)-IF(OR($P682="",$P682="없음"),0,100000)),0)</f>
        <v>0</v>
      </c>
      <c r="K682" s="27">
        <f t="array" ref="K682">IF($O682="방문완료",IFERROR(INDEX(설정_코스수당!$B$15:$F$64,MATCH($G682,설정_코스수당!$A$15:$A$64,0),MATCH($E682&amp;"수당",설정_코스수당!$B$14:$F$14,0)),0),0)</f>
        <v>0</v>
      </c>
      <c r="L682" s="27">
        <f t="array" ref="L682">IF($O682="방문완료",IF($H682="",0,IFERROR(INDEX(설정_코스수당!$B$15:$F$64,MATCH($H682,설정_코스수당!$A$15:$A$64,0),MATCH($E682&amp;"수당",설정_코스수당!$B$14:$F$14,0)),0)),0)</f>
        <v>0</v>
      </c>
      <c r="M682" s="27">
        <f>IF($O682="방문완료",IFERROR(VLOOKUP($E682,설정_코스수당!$A$6:$H$10,6,FALSE),0),0)</f>
        <v>0</v>
      </c>
      <c r="N682" s="28">
        <f t="shared" si="19"/>
        <v>0</v>
      </c>
      <c r="O682" s="23"/>
      <c r="P682" s="23"/>
      <c r="Q682" s="23"/>
      <c r="R682" s="26"/>
      <c r="S682" s="23"/>
    </row>
    <row r="683" spans="1:19" ht="19.5" hidden="1" customHeight="1" outlineLevel="1">
      <c r="A683" s="29">
        <v>52</v>
      </c>
      <c r="B683" s="30">
        <f>IF(7&lt;=DAY(DATE(YEAR(설정_코스수당!$K$2),MONTH(설정_코스수당!$K$2)+1,0)),DATE(YEAR(설정_코스수당!$K$2),MONTH(설정_코스수당!$K$2),7),"")</f>
        <v>46180</v>
      </c>
      <c r="C683" s="31"/>
      <c r="D683" s="29"/>
      <c r="E683" s="29"/>
      <c r="F683" s="32"/>
      <c r="G683" s="29"/>
      <c r="H683" s="29"/>
      <c r="I683" s="29"/>
      <c r="J683" s="33">
        <f>IF($O683="방문완료",MAX(0,IFERROR(VLOOKUP($E683,설정_코스수당!$A$6:$H$10,4,FALSE),0)-IF(OR($P683="",$P683="없음"),0,100000)),0)</f>
        <v>0</v>
      </c>
      <c r="K683" s="33">
        <f t="array" ref="K683">IF($O683="방문완료",IFERROR(INDEX(설정_코스수당!$B$15:$F$64,MATCH($G683,설정_코스수당!$A$15:$A$64,0),MATCH($E683&amp;"수당",설정_코스수당!$B$14:$F$14,0)),0),0)</f>
        <v>0</v>
      </c>
      <c r="L683" s="33">
        <f t="array" ref="L683">IF($O683="방문완료",IF($H683="",0,IFERROR(INDEX(설정_코스수당!$B$15:$F$64,MATCH($H683,설정_코스수당!$A$15:$A$64,0),MATCH($E683&amp;"수당",설정_코스수당!$B$14:$F$14,0)),0)),0)</f>
        <v>0</v>
      </c>
      <c r="M683" s="33">
        <f>IF($O683="방문완료",IFERROR(VLOOKUP($E683,설정_코스수당!$A$6:$H$10,6,FALSE),0),0)</f>
        <v>0</v>
      </c>
      <c r="N683" s="34">
        <f t="shared" si="19"/>
        <v>0</v>
      </c>
      <c r="O683" s="29"/>
      <c r="P683" s="29"/>
      <c r="Q683" s="29"/>
      <c r="R683" s="32"/>
      <c r="S683" s="29"/>
    </row>
    <row r="684" spans="1:19" ht="19.5" hidden="1" customHeight="1" outlineLevel="1">
      <c r="A684" s="23">
        <v>53</v>
      </c>
      <c r="B684" s="24">
        <f>IF(7&lt;=DAY(DATE(YEAR(설정_코스수당!$K$2),MONTH(설정_코스수당!$K$2)+1,0)),DATE(YEAR(설정_코스수당!$K$2),MONTH(설정_코스수당!$K$2),7),"")</f>
        <v>46180</v>
      </c>
      <c r="C684" s="25"/>
      <c r="D684" s="23"/>
      <c r="E684" s="23"/>
      <c r="F684" s="26"/>
      <c r="G684" s="23"/>
      <c r="H684" s="23"/>
      <c r="I684" s="23"/>
      <c r="J684" s="27">
        <f>IF($O684="방문완료",MAX(0,IFERROR(VLOOKUP($E684,설정_코스수당!$A$6:$H$10,4,FALSE),0)-IF(OR($P684="",$P684="없음"),0,100000)),0)</f>
        <v>0</v>
      </c>
      <c r="K684" s="27">
        <f t="array" ref="K684">IF($O684="방문완료",IFERROR(INDEX(설정_코스수당!$B$15:$F$64,MATCH($G684,설정_코스수당!$A$15:$A$64,0),MATCH($E684&amp;"수당",설정_코스수당!$B$14:$F$14,0)),0),0)</f>
        <v>0</v>
      </c>
      <c r="L684" s="27">
        <f t="array" ref="L684">IF($O684="방문완료",IF($H684="",0,IFERROR(INDEX(설정_코스수당!$B$15:$F$64,MATCH($H684,설정_코스수당!$A$15:$A$64,0),MATCH($E684&amp;"수당",설정_코스수당!$B$14:$F$14,0)),0)),0)</f>
        <v>0</v>
      </c>
      <c r="M684" s="27">
        <f>IF($O684="방문완료",IFERROR(VLOOKUP($E684,설정_코스수당!$A$6:$H$10,6,FALSE),0),0)</f>
        <v>0</v>
      </c>
      <c r="N684" s="28">
        <f t="shared" si="19"/>
        <v>0</v>
      </c>
      <c r="O684" s="23"/>
      <c r="P684" s="23"/>
      <c r="Q684" s="23"/>
      <c r="R684" s="26"/>
      <c r="S684" s="23"/>
    </row>
    <row r="685" spans="1:19" ht="19.5" hidden="1" customHeight="1" outlineLevel="1">
      <c r="A685" s="29">
        <v>54</v>
      </c>
      <c r="B685" s="30">
        <f>IF(7&lt;=DAY(DATE(YEAR(설정_코스수당!$K$2),MONTH(설정_코스수당!$K$2)+1,0)),DATE(YEAR(설정_코스수당!$K$2),MONTH(설정_코스수당!$K$2),7),"")</f>
        <v>46180</v>
      </c>
      <c r="C685" s="31"/>
      <c r="D685" s="29"/>
      <c r="E685" s="29"/>
      <c r="F685" s="32"/>
      <c r="G685" s="29"/>
      <c r="H685" s="29"/>
      <c r="I685" s="29"/>
      <c r="J685" s="33">
        <f>IF($O685="방문완료",MAX(0,IFERROR(VLOOKUP($E685,설정_코스수당!$A$6:$H$10,4,FALSE),0)-IF(OR($P685="",$P685="없음"),0,100000)),0)</f>
        <v>0</v>
      </c>
      <c r="K685" s="33">
        <f t="array" ref="K685">IF($O685="방문완료",IFERROR(INDEX(설정_코스수당!$B$15:$F$64,MATCH($G685,설정_코스수당!$A$15:$A$64,0),MATCH($E685&amp;"수당",설정_코스수당!$B$14:$F$14,0)),0),0)</f>
        <v>0</v>
      </c>
      <c r="L685" s="33">
        <f t="array" ref="L685">IF($O685="방문완료",IF($H685="",0,IFERROR(INDEX(설정_코스수당!$B$15:$F$64,MATCH($H685,설정_코스수당!$A$15:$A$64,0),MATCH($E685&amp;"수당",설정_코스수당!$B$14:$F$14,0)),0)),0)</f>
        <v>0</v>
      </c>
      <c r="M685" s="33">
        <f>IF($O685="방문완료",IFERROR(VLOOKUP($E685,설정_코스수당!$A$6:$H$10,6,FALSE),0),0)</f>
        <v>0</v>
      </c>
      <c r="N685" s="34">
        <f t="shared" si="19"/>
        <v>0</v>
      </c>
      <c r="O685" s="29"/>
      <c r="P685" s="29"/>
      <c r="Q685" s="29"/>
      <c r="R685" s="32"/>
      <c r="S685" s="29"/>
    </row>
    <row r="686" spans="1:19" ht="19.5" hidden="1" customHeight="1" outlineLevel="1">
      <c r="A686" s="23">
        <v>55</v>
      </c>
      <c r="B686" s="24">
        <f>IF(7&lt;=DAY(DATE(YEAR(설정_코스수당!$K$2),MONTH(설정_코스수당!$K$2)+1,0)),DATE(YEAR(설정_코스수당!$K$2),MONTH(설정_코스수당!$K$2),7),"")</f>
        <v>46180</v>
      </c>
      <c r="C686" s="25"/>
      <c r="D686" s="23"/>
      <c r="E686" s="23"/>
      <c r="F686" s="26"/>
      <c r="G686" s="23"/>
      <c r="H686" s="23"/>
      <c r="I686" s="23"/>
      <c r="J686" s="27">
        <f>IF($O686="방문완료",MAX(0,IFERROR(VLOOKUP($E686,설정_코스수당!$A$6:$H$10,4,FALSE),0)-IF(OR($P686="",$P686="없음"),0,100000)),0)</f>
        <v>0</v>
      </c>
      <c r="K686" s="27">
        <f t="array" ref="K686">IF($O686="방문완료",IFERROR(INDEX(설정_코스수당!$B$15:$F$64,MATCH($G686,설정_코스수당!$A$15:$A$64,0),MATCH($E686&amp;"수당",설정_코스수당!$B$14:$F$14,0)),0),0)</f>
        <v>0</v>
      </c>
      <c r="L686" s="27">
        <f t="array" ref="L686">IF($O686="방문완료",IF($H686="",0,IFERROR(INDEX(설정_코스수당!$B$15:$F$64,MATCH($H686,설정_코스수당!$A$15:$A$64,0),MATCH($E686&amp;"수당",설정_코스수당!$B$14:$F$14,0)),0)),0)</f>
        <v>0</v>
      </c>
      <c r="M686" s="27">
        <f>IF($O686="방문완료",IFERROR(VLOOKUP($E686,설정_코스수당!$A$6:$H$10,6,FALSE),0),0)</f>
        <v>0</v>
      </c>
      <c r="N686" s="28">
        <f t="shared" si="19"/>
        <v>0</v>
      </c>
      <c r="O686" s="23"/>
      <c r="P686" s="23"/>
      <c r="Q686" s="23"/>
      <c r="R686" s="26"/>
      <c r="S686" s="23"/>
    </row>
    <row r="687" spans="1:19" ht="19.5" hidden="1" customHeight="1" outlineLevel="1">
      <c r="A687" s="29">
        <v>56</v>
      </c>
      <c r="B687" s="30">
        <f>IF(7&lt;=DAY(DATE(YEAR(설정_코스수당!$K$2),MONTH(설정_코스수당!$K$2)+1,0)),DATE(YEAR(설정_코스수당!$K$2),MONTH(설정_코스수당!$K$2),7),"")</f>
        <v>46180</v>
      </c>
      <c r="C687" s="31"/>
      <c r="D687" s="29"/>
      <c r="E687" s="29"/>
      <c r="F687" s="32"/>
      <c r="G687" s="29"/>
      <c r="H687" s="29"/>
      <c r="I687" s="29"/>
      <c r="J687" s="33">
        <f>IF($O687="방문완료",MAX(0,IFERROR(VLOOKUP($E687,설정_코스수당!$A$6:$H$10,4,FALSE),0)-IF(OR($P687="",$P687="없음"),0,100000)),0)</f>
        <v>0</v>
      </c>
      <c r="K687" s="33">
        <f t="array" ref="K687">IF($O687="방문완료",IFERROR(INDEX(설정_코스수당!$B$15:$F$64,MATCH($G687,설정_코스수당!$A$15:$A$64,0),MATCH($E687&amp;"수당",설정_코스수당!$B$14:$F$14,0)),0),0)</f>
        <v>0</v>
      </c>
      <c r="L687" s="33">
        <f t="array" ref="L687">IF($O687="방문완료",IF($H687="",0,IFERROR(INDEX(설정_코스수당!$B$15:$F$64,MATCH($H687,설정_코스수당!$A$15:$A$64,0),MATCH($E687&amp;"수당",설정_코스수당!$B$14:$F$14,0)),0)),0)</f>
        <v>0</v>
      </c>
      <c r="M687" s="33">
        <f>IF($O687="방문완료",IFERROR(VLOOKUP($E687,설정_코스수당!$A$6:$H$10,6,FALSE),0),0)</f>
        <v>0</v>
      </c>
      <c r="N687" s="34">
        <f t="shared" si="19"/>
        <v>0</v>
      </c>
      <c r="O687" s="29"/>
      <c r="P687" s="29"/>
      <c r="Q687" s="29"/>
      <c r="R687" s="32"/>
      <c r="S687" s="29"/>
    </row>
    <row r="688" spans="1:19" ht="19.5" hidden="1" customHeight="1" outlineLevel="1">
      <c r="A688" s="23">
        <v>57</v>
      </c>
      <c r="B688" s="24">
        <f>IF(7&lt;=DAY(DATE(YEAR(설정_코스수당!$K$2),MONTH(설정_코스수당!$K$2)+1,0)),DATE(YEAR(설정_코스수당!$K$2),MONTH(설정_코스수당!$K$2),7),"")</f>
        <v>46180</v>
      </c>
      <c r="C688" s="25"/>
      <c r="D688" s="23"/>
      <c r="E688" s="23"/>
      <c r="F688" s="26"/>
      <c r="G688" s="23"/>
      <c r="H688" s="23"/>
      <c r="I688" s="23"/>
      <c r="J688" s="27">
        <f>IF($O688="방문완료",MAX(0,IFERROR(VLOOKUP($E688,설정_코스수당!$A$6:$H$10,4,FALSE),0)-IF(OR($P688="",$P688="없음"),0,100000)),0)</f>
        <v>0</v>
      </c>
      <c r="K688" s="27">
        <f t="array" ref="K688">IF($O688="방문완료",IFERROR(INDEX(설정_코스수당!$B$15:$F$64,MATCH($G688,설정_코스수당!$A$15:$A$64,0),MATCH($E688&amp;"수당",설정_코스수당!$B$14:$F$14,0)),0),0)</f>
        <v>0</v>
      </c>
      <c r="L688" s="27">
        <f t="array" ref="L688">IF($O688="방문완료",IF($H688="",0,IFERROR(INDEX(설정_코스수당!$B$15:$F$64,MATCH($H688,설정_코스수당!$A$15:$A$64,0),MATCH($E688&amp;"수당",설정_코스수당!$B$14:$F$14,0)),0)),0)</f>
        <v>0</v>
      </c>
      <c r="M688" s="27">
        <f>IF($O688="방문완료",IFERROR(VLOOKUP($E688,설정_코스수당!$A$6:$H$10,6,FALSE),0),0)</f>
        <v>0</v>
      </c>
      <c r="N688" s="28">
        <f t="shared" si="19"/>
        <v>0</v>
      </c>
      <c r="O688" s="23"/>
      <c r="P688" s="23"/>
      <c r="Q688" s="23"/>
      <c r="R688" s="26"/>
      <c r="S688" s="23"/>
    </row>
    <row r="689" spans="1:19" ht="19.5" hidden="1" customHeight="1" outlineLevel="1">
      <c r="A689" s="29">
        <v>58</v>
      </c>
      <c r="B689" s="30">
        <f>IF(7&lt;=DAY(DATE(YEAR(설정_코스수당!$K$2),MONTH(설정_코스수당!$K$2)+1,0)),DATE(YEAR(설정_코스수당!$K$2),MONTH(설정_코스수당!$K$2),7),"")</f>
        <v>46180</v>
      </c>
      <c r="C689" s="31"/>
      <c r="D689" s="29"/>
      <c r="E689" s="29"/>
      <c r="F689" s="32"/>
      <c r="G689" s="29"/>
      <c r="H689" s="29"/>
      <c r="I689" s="29"/>
      <c r="J689" s="33">
        <f>IF($O689="방문완료",MAX(0,IFERROR(VLOOKUP($E689,설정_코스수당!$A$6:$H$10,4,FALSE),0)-IF(OR($P689="",$P689="없음"),0,100000)),0)</f>
        <v>0</v>
      </c>
      <c r="K689" s="33">
        <f t="array" ref="K689">IF($O689="방문완료",IFERROR(INDEX(설정_코스수당!$B$15:$F$64,MATCH($G689,설정_코스수당!$A$15:$A$64,0),MATCH($E689&amp;"수당",설정_코스수당!$B$14:$F$14,0)),0),0)</f>
        <v>0</v>
      </c>
      <c r="L689" s="33">
        <f t="array" ref="L689">IF($O689="방문완료",IF($H689="",0,IFERROR(INDEX(설정_코스수당!$B$15:$F$64,MATCH($H689,설정_코스수당!$A$15:$A$64,0),MATCH($E689&amp;"수당",설정_코스수당!$B$14:$F$14,0)),0)),0)</f>
        <v>0</v>
      </c>
      <c r="M689" s="33">
        <f>IF($O689="방문완료",IFERROR(VLOOKUP($E689,설정_코스수당!$A$6:$H$10,6,FALSE),0),0)</f>
        <v>0</v>
      </c>
      <c r="N689" s="34">
        <f t="shared" si="19"/>
        <v>0</v>
      </c>
      <c r="O689" s="29"/>
      <c r="P689" s="29"/>
      <c r="Q689" s="29"/>
      <c r="R689" s="32"/>
      <c r="S689" s="29"/>
    </row>
    <row r="690" spans="1:19" ht="19.5" hidden="1" customHeight="1" outlineLevel="1">
      <c r="A690" s="23">
        <v>59</v>
      </c>
      <c r="B690" s="24">
        <f>IF(7&lt;=DAY(DATE(YEAR(설정_코스수당!$K$2),MONTH(설정_코스수당!$K$2)+1,0)),DATE(YEAR(설정_코스수당!$K$2),MONTH(설정_코스수당!$K$2),7),"")</f>
        <v>46180</v>
      </c>
      <c r="C690" s="25"/>
      <c r="D690" s="23"/>
      <c r="E690" s="23"/>
      <c r="F690" s="26"/>
      <c r="G690" s="23"/>
      <c r="H690" s="23"/>
      <c r="I690" s="23"/>
      <c r="J690" s="27">
        <f>IF($O690="방문완료",MAX(0,IFERROR(VLOOKUP($E690,설정_코스수당!$A$6:$H$10,4,FALSE),0)-IF(OR($P690="",$P690="없음"),0,100000)),0)</f>
        <v>0</v>
      </c>
      <c r="K690" s="27">
        <f t="array" ref="K690">IF($O690="방문완료",IFERROR(INDEX(설정_코스수당!$B$15:$F$64,MATCH($G690,설정_코스수당!$A$15:$A$64,0),MATCH($E690&amp;"수당",설정_코스수당!$B$14:$F$14,0)),0),0)</f>
        <v>0</v>
      </c>
      <c r="L690" s="27">
        <f t="array" ref="L690">IF($O690="방문완료",IF($H690="",0,IFERROR(INDEX(설정_코스수당!$B$15:$F$64,MATCH($H690,설정_코스수당!$A$15:$A$64,0),MATCH($E690&amp;"수당",설정_코스수당!$B$14:$F$14,0)),0)),0)</f>
        <v>0</v>
      </c>
      <c r="M690" s="27">
        <f>IF($O690="방문완료",IFERROR(VLOOKUP($E690,설정_코스수당!$A$6:$H$10,6,FALSE),0),0)</f>
        <v>0</v>
      </c>
      <c r="N690" s="28">
        <f t="shared" si="19"/>
        <v>0</v>
      </c>
      <c r="O690" s="23"/>
      <c r="P690" s="23"/>
      <c r="Q690" s="23"/>
      <c r="R690" s="26"/>
      <c r="S690" s="23"/>
    </row>
    <row r="691" spans="1:19" ht="19.5" hidden="1" customHeight="1" outlineLevel="1">
      <c r="A691" s="29">
        <v>60</v>
      </c>
      <c r="B691" s="30">
        <f>IF(7&lt;=DAY(DATE(YEAR(설정_코스수당!$K$2),MONTH(설정_코스수당!$K$2)+1,0)),DATE(YEAR(설정_코스수당!$K$2),MONTH(설정_코스수당!$K$2),7),"")</f>
        <v>46180</v>
      </c>
      <c r="C691" s="31"/>
      <c r="D691" s="29"/>
      <c r="E691" s="29"/>
      <c r="F691" s="32"/>
      <c r="G691" s="29"/>
      <c r="H691" s="29"/>
      <c r="I691" s="29"/>
      <c r="J691" s="33">
        <f>IF($O691="방문완료",MAX(0,IFERROR(VLOOKUP($E691,설정_코스수당!$A$6:$H$10,4,FALSE),0)-IF(OR($P691="",$P691="없음"),0,100000)),0)</f>
        <v>0</v>
      </c>
      <c r="K691" s="33">
        <f t="array" ref="K691">IF($O691="방문완료",IFERROR(INDEX(설정_코스수당!$B$15:$F$64,MATCH($G691,설정_코스수당!$A$15:$A$64,0),MATCH($E691&amp;"수당",설정_코스수당!$B$14:$F$14,0)),0),0)</f>
        <v>0</v>
      </c>
      <c r="L691" s="33">
        <f t="array" ref="L691">IF($O691="방문완료",IF($H691="",0,IFERROR(INDEX(설정_코스수당!$B$15:$F$64,MATCH($H691,설정_코스수당!$A$15:$A$64,0),MATCH($E691&amp;"수당",설정_코스수당!$B$14:$F$14,0)),0)),0)</f>
        <v>0</v>
      </c>
      <c r="M691" s="33">
        <f>IF($O691="방문완료",IFERROR(VLOOKUP($E691,설정_코스수당!$A$6:$H$10,6,FALSE),0),0)</f>
        <v>0</v>
      </c>
      <c r="N691" s="34">
        <f t="shared" si="19"/>
        <v>0</v>
      </c>
      <c r="O691" s="29"/>
      <c r="P691" s="29"/>
      <c r="Q691" s="29"/>
      <c r="R691" s="32"/>
      <c r="S691" s="29"/>
    </row>
    <row r="692" spans="1:19" ht="19.5" hidden="1" customHeight="1" outlineLevel="1">
      <c r="A692" s="23">
        <v>61</v>
      </c>
      <c r="B692" s="24">
        <f>IF(7&lt;=DAY(DATE(YEAR(설정_코스수당!$K$2),MONTH(설정_코스수당!$K$2)+1,0)),DATE(YEAR(설정_코스수당!$K$2),MONTH(설정_코스수당!$K$2),7),"")</f>
        <v>46180</v>
      </c>
      <c r="C692" s="25"/>
      <c r="D692" s="23"/>
      <c r="E692" s="23"/>
      <c r="F692" s="26"/>
      <c r="G692" s="23"/>
      <c r="H692" s="23"/>
      <c r="I692" s="23"/>
      <c r="J692" s="27">
        <f>IF($O692="방문완료",MAX(0,IFERROR(VLOOKUP($E692,설정_코스수당!$A$6:$H$10,4,FALSE),0)-IF(OR($P692="",$P692="없음"),0,100000)),0)</f>
        <v>0</v>
      </c>
      <c r="K692" s="27">
        <f t="array" ref="K692">IF($O692="방문완료",IFERROR(INDEX(설정_코스수당!$B$15:$F$64,MATCH($G692,설정_코스수당!$A$15:$A$64,0),MATCH($E692&amp;"수당",설정_코스수당!$B$14:$F$14,0)),0),0)</f>
        <v>0</v>
      </c>
      <c r="L692" s="27">
        <f t="array" ref="L692">IF($O692="방문완료",IF($H692="",0,IFERROR(INDEX(설정_코스수당!$B$15:$F$64,MATCH($H692,설정_코스수당!$A$15:$A$64,0),MATCH($E692&amp;"수당",설정_코스수당!$B$14:$F$14,0)),0)),0)</f>
        <v>0</v>
      </c>
      <c r="M692" s="27">
        <f>IF($O692="방문완료",IFERROR(VLOOKUP($E692,설정_코스수당!$A$6:$H$10,6,FALSE),0),0)</f>
        <v>0</v>
      </c>
      <c r="N692" s="28">
        <f t="shared" si="19"/>
        <v>0</v>
      </c>
      <c r="O692" s="23"/>
      <c r="P692" s="23"/>
      <c r="Q692" s="23"/>
      <c r="R692" s="26"/>
      <c r="S692" s="23"/>
    </row>
    <row r="693" spans="1:19" ht="19.5" hidden="1" customHeight="1" outlineLevel="1">
      <c r="A693" s="29">
        <v>62</v>
      </c>
      <c r="B693" s="30">
        <f>IF(7&lt;=DAY(DATE(YEAR(설정_코스수당!$K$2),MONTH(설정_코스수당!$K$2)+1,0)),DATE(YEAR(설정_코스수당!$K$2),MONTH(설정_코스수당!$K$2),7),"")</f>
        <v>46180</v>
      </c>
      <c r="C693" s="31"/>
      <c r="D693" s="29"/>
      <c r="E693" s="29"/>
      <c r="F693" s="32"/>
      <c r="G693" s="29"/>
      <c r="H693" s="29"/>
      <c r="I693" s="29"/>
      <c r="J693" s="33">
        <f>IF($O693="방문완료",MAX(0,IFERROR(VLOOKUP($E693,설정_코스수당!$A$6:$H$10,4,FALSE),0)-IF(OR($P693="",$P693="없음"),0,100000)),0)</f>
        <v>0</v>
      </c>
      <c r="K693" s="33">
        <f t="array" ref="K693">IF($O693="방문완료",IFERROR(INDEX(설정_코스수당!$B$15:$F$64,MATCH($G693,설정_코스수당!$A$15:$A$64,0),MATCH($E693&amp;"수당",설정_코스수당!$B$14:$F$14,0)),0),0)</f>
        <v>0</v>
      </c>
      <c r="L693" s="33">
        <f t="array" ref="L693">IF($O693="방문완료",IF($H693="",0,IFERROR(INDEX(설정_코스수당!$B$15:$F$64,MATCH($H693,설정_코스수당!$A$15:$A$64,0),MATCH($E693&amp;"수당",설정_코스수당!$B$14:$F$14,0)),0)),0)</f>
        <v>0</v>
      </c>
      <c r="M693" s="33">
        <f>IF($O693="방문완료",IFERROR(VLOOKUP($E693,설정_코스수당!$A$6:$H$10,6,FALSE),0),0)</f>
        <v>0</v>
      </c>
      <c r="N693" s="34">
        <f t="shared" si="19"/>
        <v>0</v>
      </c>
      <c r="O693" s="29"/>
      <c r="P693" s="29"/>
      <c r="Q693" s="29"/>
      <c r="R693" s="32"/>
      <c r="S693" s="29"/>
    </row>
    <row r="694" spans="1:19" ht="19.5" hidden="1" customHeight="1" outlineLevel="1">
      <c r="A694" s="23">
        <v>63</v>
      </c>
      <c r="B694" s="24">
        <f>IF(7&lt;=DAY(DATE(YEAR(설정_코스수당!$K$2),MONTH(설정_코스수당!$K$2)+1,0)),DATE(YEAR(설정_코스수당!$K$2),MONTH(설정_코스수당!$K$2),7),"")</f>
        <v>46180</v>
      </c>
      <c r="C694" s="25"/>
      <c r="D694" s="23"/>
      <c r="E694" s="23"/>
      <c r="F694" s="26"/>
      <c r="G694" s="23"/>
      <c r="H694" s="23"/>
      <c r="I694" s="23"/>
      <c r="J694" s="27">
        <f>IF($O694="방문완료",MAX(0,IFERROR(VLOOKUP($E694,설정_코스수당!$A$6:$H$10,4,FALSE),0)-IF(OR($P694="",$P694="없음"),0,100000)),0)</f>
        <v>0</v>
      </c>
      <c r="K694" s="27">
        <f t="array" ref="K694">IF($O694="방문완료",IFERROR(INDEX(설정_코스수당!$B$15:$F$64,MATCH($G694,설정_코스수당!$A$15:$A$64,0),MATCH($E694&amp;"수당",설정_코스수당!$B$14:$F$14,0)),0),0)</f>
        <v>0</v>
      </c>
      <c r="L694" s="27">
        <f t="array" ref="L694">IF($O694="방문완료",IF($H694="",0,IFERROR(INDEX(설정_코스수당!$B$15:$F$64,MATCH($H694,설정_코스수당!$A$15:$A$64,0),MATCH($E694&amp;"수당",설정_코스수당!$B$14:$F$14,0)),0)),0)</f>
        <v>0</v>
      </c>
      <c r="M694" s="27">
        <f>IF($O694="방문완료",IFERROR(VLOOKUP($E694,설정_코스수당!$A$6:$H$10,6,FALSE),0),0)</f>
        <v>0</v>
      </c>
      <c r="N694" s="28">
        <f t="shared" si="19"/>
        <v>0</v>
      </c>
      <c r="O694" s="23"/>
      <c r="P694" s="23"/>
      <c r="Q694" s="23"/>
      <c r="R694" s="26"/>
      <c r="S694" s="23"/>
    </row>
    <row r="695" spans="1:19" ht="19.5" hidden="1" customHeight="1" outlineLevel="1">
      <c r="A695" s="29">
        <v>64</v>
      </c>
      <c r="B695" s="30">
        <f>IF(7&lt;=DAY(DATE(YEAR(설정_코스수당!$K$2),MONTH(설정_코스수당!$K$2)+1,0)),DATE(YEAR(설정_코스수당!$K$2),MONTH(설정_코스수당!$K$2),7),"")</f>
        <v>46180</v>
      </c>
      <c r="C695" s="31"/>
      <c r="D695" s="29"/>
      <c r="E695" s="29"/>
      <c r="F695" s="32"/>
      <c r="G695" s="29"/>
      <c r="H695" s="29"/>
      <c r="I695" s="29"/>
      <c r="J695" s="33">
        <f>IF($O695="방문완료",MAX(0,IFERROR(VLOOKUP($E695,설정_코스수당!$A$6:$H$10,4,FALSE),0)-IF(OR($P695="",$P695="없음"),0,100000)),0)</f>
        <v>0</v>
      </c>
      <c r="K695" s="33">
        <f t="array" ref="K695">IF($O695="방문완료",IFERROR(INDEX(설정_코스수당!$B$15:$F$64,MATCH($G695,설정_코스수당!$A$15:$A$64,0),MATCH($E695&amp;"수당",설정_코스수당!$B$14:$F$14,0)),0),0)</f>
        <v>0</v>
      </c>
      <c r="L695" s="33">
        <f t="array" ref="L695">IF($O695="방문완료",IF($H695="",0,IFERROR(INDEX(설정_코스수당!$B$15:$F$64,MATCH($H695,설정_코스수당!$A$15:$A$64,0),MATCH($E695&amp;"수당",설정_코스수당!$B$14:$F$14,0)),0)),0)</f>
        <v>0</v>
      </c>
      <c r="M695" s="33">
        <f>IF($O695="방문완료",IFERROR(VLOOKUP($E695,설정_코스수당!$A$6:$H$10,6,FALSE),0),0)</f>
        <v>0</v>
      </c>
      <c r="N695" s="34">
        <f t="shared" si="19"/>
        <v>0</v>
      </c>
      <c r="O695" s="29"/>
      <c r="P695" s="29"/>
      <c r="Q695" s="29"/>
      <c r="R695" s="32"/>
      <c r="S695" s="29"/>
    </row>
    <row r="696" spans="1:19" ht="19.5" hidden="1" customHeight="1" outlineLevel="1">
      <c r="A696" s="23">
        <v>65</v>
      </c>
      <c r="B696" s="24">
        <f>IF(7&lt;=DAY(DATE(YEAR(설정_코스수당!$K$2),MONTH(설정_코스수당!$K$2)+1,0)),DATE(YEAR(설정_코스수당!$K$2),MONTH(설정_코스수당!$K$2),7),"")</f>
        <v>46180</v>
      </c>
      <c r="C696" s="25"/>
      <c r="D696" s="23"/>
      <c r="E696" s="23"/>
      <c r="F696" s="26"/>
      <c r="G696" s="23"/>
      <c r="H696" s="23"/>
      <c r="I696" s="23"/>
      <c r="J696" s="27">
        <f>IF($O696="방문완료",MAX(0,IFERROR(VLOOKUP($E696,설정_코스수당!$A$6:$H$10,4,FALSE),0)-IF(OR($P696="",$P696="없음"),0,100000)),0)</f>
        <v>0</v>
      </c>
      <c r="K696" s="27">
        <f t="array" ref="K696">IF($O696="방문완료",IFERROR(INDEX(설정_코스수당!$B$15:$F$64,MATCH($G696,설정_코스수당!$A$15:$A$64,0),MATCH($E696&amp;"수당",설정_코스수당!$B$14:$F$14,0)),0),0)</f>
        <v>0</v>
      </c>
      <c r="L696" s="27">
        <f t="array" ref="L696">IF($O696="방문완료",IF($H696="",0,IFERROR(INDEX(설정_코스수당!$B$15:$F$64,MATCH($H696,설정_코스수당!$A$15:$A$64,0),MATCH($E696&amp;"수당",설정_코스수당!$B$14:$F$14,0)),0)),0)</f>
        <v>0</v>
      </c>
      <c r="M696" s="27">
        <f>IF($O696="방문완료",IFERROR(VLOOKUP($E696,설정_코스수당!$A$6:$H$10,6,FALSE),0),0)</f>
        <v>0</v>
      </c>
      <c r="N696" s="28">
        <f t="shared" ref="N696:N731" si="20">IF($O696="방문완료",1,0)</f>
        <v>0</v>
      </c>
      <c r="O696" s="23"/>
      <c r="P696" s="23"/>
      <c r="Q696" s="23"/>
      <c r="R696" s="26"/>
      <c r="S696" s="23"/>
    </row>
    <row r="697" spans="1:19" ht="19.5" hidden="1" customHeight="1" outlineLevel="1">
      <c r="A697" s="29">
        <v>66</v>
      </c>
      <c r="B697" s="30">
        <f>IF(7&lt;=DAY(DATE(YEAR(설정_코스수당!$K$2),MONTH(설정_코스수당!$K$2)+1,0)),DATE(YEAR(설정_코스수당!$K$2),MONTH(설정_코스수당!$K$2),7),"")</f>
        <v>46180</v>
      </c>
      <c r="C697" s="31"/>
      <c r="D697" s="29"/>
      <c r="E697" s="29"/>
      <c r="F697" s="32"/>
      <c r="G697" s="29"/>
      <c r="H697" s="29"/>
      <c r="I697" s="29"/>
      <c r="J697" s="33">
        <f>IF($O697="방문완료",MAX(0,IFERROR(VLOOKUP($E697,설정_코스수당!$A$6:$H$10,4,FALSE),0)-IF(OR($P697="",$P697="없음"),0,100000)),0)</f>
        <v>0</v>
      </c>
      <c r="K697" s="33">
        <f t="array" ref="K697">IF($O697="방문완료",IFERROR(INDEX(설정_코스수당!$B$15:$F$64,MATCH($G697,설정_코스수당!$A$15:$A$64,0),MATCH($E697&amp;"수당",설정_코스수당!$B$14:$F$14,0)),0),0)</f>
        <v>0</v>
      </c>
      <c r="L697" s="33">
        <f t="array" ref="L697">IF($O697="방문완료",IF($H697="",0,IFERROR(INDEX(설정_코스수당!$B$15:$F$64,MATCH($H697,설정_코스수당!$A$15:$A$64,0),MATCH($E697&amp;"수당",설정_코스수당!$B$14:$F$14,0)),0)),0)</f>
        <v>0</v>
      </c>
      <c r="M697" s="33">
        <f>IF($O697="방문완료",IFERROR(VLOOKUP($E697,설정_코스수당!$A$6:$H$10,6,FALSE),0),0)</f>
        <v>0</v>
      </c>
      <c r="N697" s="34">
        <f t="shared" si="20"/>
        <v>0</v>
      </c>
      <c r="O697" s="29"/>
      <c r="P697" s="29"/>
      <c r="Q697" s="29"/>
      <c r="R697" s="32"/>
      <c r="S697" s="29"/>
    </row>
    <row r="698" spans="1:19" ht="19.5" hidden="1" customHeight="1" outlineLevel="1">
      <c r="A698" s="23">
        <v>67</v>
      </c>
      <c r="B698" s="24">
        <f>IF(7&lt;=DAY(DATE(YEAR(설정_코스수당!$K$2),MONTH(설정_코스수당!$K$2)+1,0)),DATE(YEAR(설정_코스수당!$K$2),MONTH(설정_코스수당!$K$2),7),"")</f>
        <v>46180</v>
      </c>
      <c r="C698" s="25"/>
      <c r="D698" s="23"/>
      <c r="E698" s="23"/>
      <c r="F698" s="26"/>
      <c r="G698" s="23"/>
      <c r="H698" s="23"/>
      <c r="I698" s="23"/>
      <c r="J698" s="27">
        <f>IF($O698="방문완료",MAX(0,IFERROR(VLOOKUP($E698,설정_코스수당!$A$6:$H$10,4,FALSE),0)-IF(OR($P698="",$P698="없음"),0,100000)),0)</f>
        <v>0</v>
      </c>
      <c r="K698" s="27">
        <f t="array" ref="K698">IF($O698="방문완료",IFERROR(INDEX(설정_코스수당!$B$15:$F$64,MATCH($G698,설정_코스수당!$A$15:$A$64,0),MATCH($E698&amp;"수당",설정_코스수당!$B$14:$F$14,0)),0),0)</f>
        <v>0</v>
      </c>
      <c r="L698" s="27">
        <f t="array" ref="L698">IF($O698="방문완료",IF($H698="",0,IFERROR(INDEX(설정_코스수당!$B$15:$F$64,MATCH($H698,설정_코스수당!$A$15:$A$64,0),MATCH($E698&amp;"수당",설정_코스수당!$B$14:$F$14,0)),0)),0)</f>
        <v>0</v>
      </c>
      <c r="M698" s="27">
        <f>IF($O698="방문완료",IFERROR(VLOOKUP($E698,설정_코스수당!$A$6:$H$10,6,FALSE),0),0)</f>
        <v>0</v>
      </c>
      <c r="N698" s="28">
        <f t="shared" si="20"/>
        <v>0</v>
      </c>
      <c r="O698" s="23"/>
      <c r="P698" s="23"/>
      <c r="Q698" s="23"/>
      <c r="R698" s="26"/>
      <c r="S698" s="23"/>
    </row>
    <row r="699" spans="1:19" ht="19.5" hidden="1" customHeight="1" outlineLevel="1">
      <c r="A699" s="29">
        <v>68</v>
      </c>
      <c r="B699" s="30">
        <f>IF(7&lt;=DAY(DATE(YEAR(설정_코스수당!$K$2),MONTH(설정_코스수당!$K$2)+1,0)),DATE(YEAR(설정_코스수당!$K$2),MONTH(설정_코스수당!$K$2),7),"")</f>
        <v>46180</v>
      </c>
      <c r="C699" s="31"/>
      <c r="D699" s="29"/>
      <c r="E699" s="29"/>
      <c r="F699" s="32"/>
      <c r="G699" s="29"/>
      <c r="H699" s="29"/>
      <c r="I699" s="29"/>
      <c r="J699" s="33">
        <f>IF($O699="방문완료",MAX(0,IFERROR(VLOOKUP($E699,설정_코스수당!$A$6:$H$10,4,FALSE),0)-IF(OR($P699="",$P699="없음"),0,100000)),0)</f>
        <v>0</v>
      </c>
      <c r="K699" s="33">
        <f t="array" ref="K699">IF($O699="방문완료",IFERROR(INDEX(설정_코스수당!$B$15:$F$64,MATCH($G699,설정_코스수당!$A$15:$A$64,0),MATCH($E699&amp;"수당",설정_코스수당!$B$14:$F$14,0)),0),0)</f>
        <v>0</v>
      </c>
      <c r="L699" s="33">
        <f t="array" ref="L699">IF($O699="방문완료",IF($H699="",0,IFERROR(INDEX(설정_코스수당!$B$15:$F$64,MATCH($H699,설정_코스수당!$A$15:$A$64,0),MATCH($E699&amp;"수당",설정_코스수당!$B$14:$F$14,0)),0)),0)</f>
        <v>0</v>
      </c>
      <c r="M699" s="33">
        <f>IF($O699="방문완료",IFERROR(VLOOKUP($E699,설정_코스수당!$A$6:$H$10,6,FALSE),0),0)</f>
        <v>0</v>
      </c>
      <c r="N699" s="34">
        <f t="shared" si="20"/>
        <v>0</v>
      </c>
      <c r="O699" s="29"/>
      <c r="P699" s="29"/>
      <c r="Q699" s="29"/>
      <c r="R699" s="32"/>
      <c r="S699" s="29"/>
    </row>
    <row r="700" spans="1:19" ht="19.5" hidden="1" customHeight="1" outlineLevel="1">
      <c r="A700" s="23">
        <v>69</v>
      </c>
      <c r="B700" s="24">
        <f>IF(7&lt;=DAY(DATE(YEAR(설정_코스수당!$K$2),MONTH(설정_코스수당!$K$2)+1,0)),DATE(YEAR(설정_코스수당!$K$2),MONTH(설정_코스수당!$K$2),7),"")</f>
        <v>46180</v>
      </c>
      <c r="C700" s="25"/>
      <c r="D700" s="23"/>
      <c r="E700" s="23"/>
      <c r="F700" s="26"/>
      <c r="G700" s="23"/>
      <c r="H700" s="23"/>
      <c r="I700" s="23"/>
      <c r="J700" s="27">
        <f>IF($O700="방문완료",MAX(0,IFERROR(VLOOKUP($E700,설정_코스수당!$A$6:$H$10,4,FALSE),0)-IF(OR($P700="",$P700="없음"),0,100000)),0)</f>
        <v>0</v>
      </c>
      <c r="K700" s="27">
        <f t="array" ref="K700">IF($O700="방문완료",IFERROR(INDEX(설정_코스수당!$B$15:$F$64,MATCH($G700,설정_코스수당!$A$15:$A$64,0),MATCH($E700&amp;"수당",설정_코스수당!$B$14:$F$14,0)),0),0)</f>
        <v>0</v>
      </c>
      <c r="L700" s="27">
        <f t="array" ref="L700">IF($O700="방문완료",IF($H700="",0,IFERROR(INDEX(설정_코스수당!$B$15:$F$64,MATCH($H700,설정_코스수당!$A$15:$A$64,0),MATCH($E700&amp;"수당",설정_코스수당!$B$14:$F$14,0)),0)),0)</f>
        <v>0</v>
      </c>
      <c r="M700" s="27">
        <f>IF($O700="방문완료",IFERROR(VLOOKUP($E700,설정_코스수당!$A$6:$H$10,6,FALSE),0),0)</f>
        <v>0</v>
      </c>
      <c r="N700" s="28">
        <f t="shared" si="20"/>
        <v>0</v>
      </c>
      <c r="O700" s="23"/>
      <c r="P700" s="23"/>
      <c r="Q700" s="23"/>
      <c r="R700" s="26"/>
      <c r="S700" s="23"/>
    </row>
    <row r="701" spans="1:19" ht="19.5" hidden="1" customHeight="1" outlineLevel="1">
      <c r="A701" s="29">
        <v>70</v>
      </c>
      <c r="B701" s="30">
        <f>IF(7&lt;=DAY(DATE(YEAR(설정_코스수당!$K$2),MONTH(설정_코스수당!$K$2)+1,0)),DATE(YEAR(설정_코스수당!$K$2),MONTH(설정_코스수당!$K$2),7),"")</f>
        <v>46180</v>
      </c>
      <c r="C701" s="31"/>
      <c r="D701" s="29"/>
      <c r="E701" s="29"/>
      <c r="F701" s="32"/>
      <c r="G701" s="29"/>
      <c r="H701" s="29"/>
      <c r="I701" s="29"/>
      <c r="J701" s="33">
        <f>IF($O701="방문완료",MAX(0,IFERROR(VLOOKUP($E701,설정_코스수당!$A$6:$H$10,4,FALSE),0)-IF(OR($P701="",$P701="없음"),0,100000)),0)</f>
        <v>0</v>
      </c>
      <c r="K701" s="33">
        <f t="array" ref="K701">IF($O701="방문완료",IFERROR(INDEX(설정_코스수당!$B$15:$F$64,MATCH($G701,설정_코스수당!$A$15:$A$64,0),MATCH($E701&amp;"수당",설정_코스수당!$B$14:$F$14,0)),0),0)</f>
        <v>0</v>
      </c>
      <c r="L701" s="33">
        <f t="array" ref="L701">IF($O701="방문완료",IF($H701="",0,IFERROR(INDEX(설정_코스수당!$B$15:$F$64,MATCH($H701,설정_코스수당!$A$15:$A$64,0),MATCH($E701&amp;"수당",설정_코스수당!$B$14:$F$14,0)),0)),0)</f>
        <v>0</v>
      </c>
      <c r="M701" s="33">
        <f>IF($O701="방문완료",IFERROR(VLOOKUP($E701,설정_코스수당!$A$6:$H$10,6,FALSE),0),0)</f>
        <v>0</v>
      </c>
      <c r="N701" s="34">
        <f t="shared" si="20"/>
        <v>0</v>
      </c>
      <c r="O701" s="29"/>
      <c r="P701" s="29"/>
      <c r="Q701" s="29"/>
      <c r="R701" s="32"/>
      <c r="S701" s="29"/>
    </row>
    <row r="702" spans="1:19" ht="19.5" hidden="1" customHeight="1" outlineLevel="1">
      <c r="A702" s="23">
        <v>71</v>
      </c>
      <c r="B702" s="24">
        <f>IF(7&lt;=DAY(DATE(YEAR(설정_코스수당!$K$2),MONTH(설정_코스수당!$K$2)+1,0)),DATE(YEAR(설정_코스수당!$K$2),MONTH(설정_코스수당!$K$2),7),"")</f>
        <v>46180</v>
      </c>
      <c r="C702" s="25"/>
      <c r="D702" s="23"/>
      <c r="E702" s="23"/>
      <c r="F702" s="26"/>
      <c r="G702" s="23"/>
      <c r="H702" s="23"/>
      <c r="I702" s="23"/>
      <c r="J702" s="27">
        <f>IF($O702="방문완료",MAX(0,IFERROR(VLOOKUP($E702,설정_코스수당!$A$6:$H$10,4,FALSE),0)-IF(OR($P702="",$P702="없음"),0,100000)),0)</f>
        <v>0</v>
      </c>
      <c r="K702" s="27">
        <f t="array" ref="K702">IF($O702="방문완료",IFERROR(INDEX(설정_코스수당!$B$15:$F$64,MATCH($G702,설정_코스수당!$A$15:$A$64,0),MATCH($E702&amp;"수당",설정_코스수당!$B$14:$F$14,0)),0),0)</f>
        <v>0</v>
      </c>
      <c r="L702" s="27">
        <f t="array" ref="L702">IF($O702="방문완료",IF($H702="",0,IFERROR(INDEX(설정_코스수당!$B$15:$F$64,MATCH($H702,설정_코스수당!$A$15:$A$64,0),MATCH($E702&amp;"수당",설정_코스수당!$B$14:$F$14,0)),0)),0)</f>
        <v>0</v>
      </c>
      <c r="M702" s="27">
        <f>IF($O702="방문완료",IFERROR(VLOOKUP($E702,설정_코스수당!$A$6:$H$10,6,FALSE),0),0)</f>
        <v>0</v>
      </c>
      <c r="N702" s="28">
        <f t="shared" si="20"/>
        <v>0</v>
      </c>
      <c r="O702" s="23"/>
      <c r="P702" s="23"/>
      <c r="Q702" s="23"/>
      <c r="R702" s="26"/>
      <c r="S702" s="23"/>
    </row>
    <row r="703" spans="1:19" ht="19.5" hidden="1" customHeight="1" outlineLevel="1">
      <c r="A703" s="29">
        <v>72</v>
      </c>
      <c r="B703" s="30">
        <f>IF(7&lt;=DAY(DATE(YEAR(설정_코스수당!$K$2),MONTH(설정_코스수당!$K$2)+1,0)),DATE(YEAR(설정_코스수당!$K$2),MONTH(설정_코스수당!$K$2),7),"")</f>
        <v>46180</v>
      </c>
      <c r="C703" s="31"/>
      <c r="D703" s="29"/>
      <c r="E703" s="29"/>
      <c r="F703" s="32"/>
      <c r="G703" s="29"/>
      <c r="H703" s="29"/>
      <c r="I703" s="29"/>
      <c r="J703" s="33">
        <f>IF($O703="방문완료",MAX(0,IFERROR(VLOOKUP($E703,설정_코스수당!$A$6:$H$10,4,FALSE),0)-IF(OR($P703="",$P703="없음"),0,100000)),0)</f>
        <v>0</v>
      </c>
      <c r="K703" s="33">
        <f t="array" ref="K703">IF($O703="방문완료",IFERROR(INDEX(설정_코스수당!$B$15:$F$64,MATCH($G703,설정_코스수당!$A$15:$A$64,0),MATCH($E703&amp;"수당",설정_코스수당!$B$14:$F$14,0)),0),0)</f>
        <v>0</v>
      </c>
      <c r="L703" s="33">
        <f t="array" ref="L703">IF($O703="방문완료",IF($H703="",0,IFERROR(INDEX(설정_코스수당!$B$15:$F$64,MATCH($H703,설정_코스수당!$A$15:$A$64,0),MATCH($E703&amp;"수당",설정_코스수당!$B$14:$F$14,0)),0)),0)</f>
        <v>0</v>
      </c>
      <c r="M703" s="33">
        <f>IF($O703="방문완료",IFERROR(VLOOKUP($E703,설정_코스수당!$A$6:$H$10,6,FALSE),0),0)</f>
        <v>0</v>
      </c>
      <c r="N703" s="34">
        <f t="shared" si="20"/>
        <v>0</v>
      </c>
      <c r="O703" s="29"/>
      <c r="P703" s="29"/>
      <c r="Q703" s="29"/>
      <c r="R703" s="32"/>
      <c r="S703" s="29"/>
    </row>
    <row r="704" spans="1:19" ht="19.5" hidden="1" customHeight="1" outlineLevel="1">
      <c r="A704" s="23">
        <v>73</v>
      </c>
      <c r="B704" s="24">
        <f>IF(7&lt;=DAY(DATE(YEAR(설정_코스수당!$K$2),MONTH(설정_코스수당!$K$2)+1,0)),DATE(YEAR(설정_코스수당!$K$2),MONTH(설정_코스수당!$K$2),7),"")</f>
        <v>46180</v>
      </c>
      <c r="C704" s="25"/>
      <c r="D704" s="23"/>
      <c r="E704" s="23"/>
      <c r="F704" s="26"/>
      <c r="G704" s="23"/>
      <c r="H704" s="23"/>
      <c r="I704" s="23"/>
      <c r="J704" s="27">
        <f>IF($O704="방문완료",MAX(0,IFERROR(VLOOKUP($E704,설정_코스수당!$A$6:$H$10,4,FALSE),0)-IF(OR($P704="",$P704="없음"),0,100000)),0)</f>
        <v>0</v>
      </c>
      <c r="K704" s="27">
        <f t="array" ref="K704">IF($O704="방문완료",IFERROR(INDEX(설정_코스수당!$B$15:$F$64,MATCH($G704,설정_코스수당!$A$15:$A$64,0),MATCH($E704&amp;"수당",설정_코스수당!$B$14:$F$14,0)),0),0)</f>
        <v>0</v>
      </c>
      <c r="L704" s="27">
        <f t="array" ref="L704">IF($O704="방문완료",IF($H704="",0,IFERROR(INDEX(설정_코스수당!$B$15:$F$64,MATCH($H704,설정_코스수당!$A$15:$A$64,0),MATCH($E704&amp;"수당",설정_코스수당!$B$14:$F$14,0)),0)),0)</f>
        <v>0</v>
      </c>
      <c r="M704" s="27">
        <f>IF($O704="방문완료",IFERROR(VLOOKUP($E704,설정_코스수당!$A$6:$H$10,6,FALSE),0),0)</f>
        <v>0</v>
      </c>
      <c r="N704" s="28">
        <f t="shared" si="20"/>
        <v>0</v>
      </c>
      <c r="O704" s="23"/>
      <c r="P704" s="23"/>
      <c r="Q704" s="23"/>
      <c r="R704" s="26"/>
      <c r="S704" s="23"/>
    </row>
    <row r="705" spans="1:22" ht="19.5" hidden="1" customHeight="1" outlineLevel="1">
      <c r="A705" s="29">
        <v>74</v>
      </c>
      <c r="B705" s="30">
        <f>IF(7&lt;=DAY(DATE(YEAR(설정_코스수당!$K$2),MONTH(설정_코스수당!$K$2)+1,0)),DATE(YEAR(설정_코스수당!$K$2),MONTH(설정_코스수당!$K$2),7),"")</f>
        <v>46180</v>
      </c>
      <c r="C705" s="31"/>
      <c r="D705" s="29"/>
      <c r="E705" s="29"/>
      <c r="F705" s="32"/>
      <c r="G705" s="29"/>
      <c r="H705" s="29"/>
      <c r="I705" s="29"/>
      <c r="J705" s="33">
        <f>IF($O705="방문완료",MAX(0,IFERROR(VLOOKUP($E705,설정_코스수당!$A$6:$H$10,4,FALSE),0)-IF(OR($P705="",$P705="없음"),0,100000)),0)</f>
        <v>0</v>
      </c>
      <c r="K705" s="33">
        <f t="array" ref="K705">IF($O705="방문완료",IFERROR(INDEX(설정_코스수당!$B$15:$F$64,MATCH($G705,설정_코스수당!$A$15:$A$64,0),MATCH($E705&amp;"수당",설정_코스수당!$B$14:$F$14,0)),0),0)</f>
        <v>0</v>
      </c>
      <c r="L705" s="33">
        <f t="array" ref="L705">IF($O705="방문완료",IF($H705="",0,IFERROR(INDEX(설정_코스수당!$B$15:$F$64,MATCH($H705,설정_코스수당!$A$15:$A$64,0),MATCH($E705&amp;"수당",설정_코스수당!$B$14:$F$14,0)),0)),0)</f>
        <v>0</v>
      </c>
      <c r="M705" s="33">
        <f>IF($O705="방문완료",IFERROR(VLOOKUP($E705,설정_코스수당!$A$6:$H$10,6,FALSE),0),0)</f>
        <v>0</v>
      </c>
      <c r="N705" s="34">
        <f t="shared" si="20"/>
        <v>0</v>
      </c>
      <c r="O705" s="29"/>
      <c r="P705" s="29"/>
      <c r="Q705" s="29"/>
      <c r="R705" s="32"/>
      <c r="S705" s="29"/>
    </row>
    <row r="706" spans="1:22" ht="19.5" hidden="1" customHeight="1" outlineLevel="1">
      <c r="A706" s="23">
        <v>75</v>
      </c>
      <c r="B706" s="24">
        <f>IF(7&lt;=DAY(DATE(YEAR(설정_코스수당!$K$2),MONTH(설정_코스수당!$K$2)+1,0)),DATE(YEAR(설정_코스수당!$K$2),MONTH(설정_코스수당!$K$2),7),"")</f>
        <v>46180</v>
      </c>
      <c r="C706" s="25"/>
      <c r="D706" s="23"/>
      <c r="E706" s="23"/>
      <c r="F706" s="26"/>
      <c r="G706" s="23"/>
      <c r="H706" s="23"/>
      <c r="I706" s="23"/>
      <c r="J706" s="27">
        <f>IF($O706="방문완료",MAX(0,IFERROR(VLOOKUP($E706,설정_코스수당!$A$6:$H$10,4,FALSE),0)-IF(OR($P706="",$P706="없음"),0,100000)),0)</f>
        <v>0</v>
      </c>
      <c r="K706" s="27">
        <f t="array" ref="K706">IF($O706="방문완료",IFERROR(INDEX(설정_코스수당!$B$15:$F$64,MATCH($G706,설정_코스수당!$A$15:$A$64,0),MATCH($E706&amp;"수당",설정_코스수당!$B$14:$F$14,0)),0),0)</f>
        <v>0</v>
      </c>
      <c r="L706" s="27">
        <f t="array" ref="L706">IF($O706="방문완료",IF($H706="",0,IFERROR(INDEX(설정_코스수당!$B$15:$F$64,MATCH($H706,설정_코스수당!$A$15:$A$64,0),MATCH($E706&amp;"수당",설정_코스수당!$B$14:$F$14,0)),0)),0)</f>
        <v>0</v>
      </c>
      <c r="M706" s="27">
        <f>IF($O706="방문완료",IFERROR(VLOOKUP($E706,설정_코스수당!$A$6:$H$10,6,FALSE),0),0)</f>
        <v>0</v>
      </c>
      <c r="N706" s="28">
        <f t="shared" si="20"/>
        <v>0</v>
      </c>
      <c r="O706" s="23"/>
      <c r="P706" s="23"/>
      <c r="Q706" s="23"/>
      <c r="R706" s="26"/>
      <c r="S706" s="23"/>
    </row>
    <row r="707" spans="1:22" ht="19.5" hidden="1" customHeight="1" outlineLevel="1">
      <c r="A707" s="29">
        <v>76</v>
      </c>
      <c r="B707" s="30">
        <f>IF(7&lt;=DAY(DATE(YEAR(설정_코스수당!$K$2),MONTH(설정_코스수당!$K$2)+1,0)),DATE(YEAR(설정_코스수당!$K$2),MONTH(설정_코스수당!$K$2),7),"")</f>
        <v>46180</v>
      </c>
      <c r="C707" s="31"/>
      <c r="D707" s="29"/>
      <c r="E707" s="29"/>
      <c r="F707" s="32"/>
      <c r="G707" s="29"/>
      <c r="H707" s="29"/>
      <c r="I707" s="29"/>
      <c r="J707" s="33">
        <f>IF($O707="방문완료",MAX(0,IFERROR(VLOOKUP($E707,설정_코스수당!$A$6:$H$10,4,FALSE),0)-IF(OR($P707="",$P707="없음"),0,100000)),0)</f>
        <v>0</v>
      </c>
      <c r="K707" s="33">
        <f t="array" ref="K707">IF($O707="방문완료",IFERROR(INDEX(설정_코스수당!$B$15:$F$64,MATCH($G707,설정_코스수당!$A$15:$A$64,0),MATCH($E707&amp;"수당",설정_코스수당!$B$14:$F$14,0)),0),0)</f>
        <v>0</v>
      </c>
      <c r="L707" s="33">
        <f t="array" ref="L707">IF($O707="방문완료",IF($H707="",0,IFERROR(INDEX(설정_코스수당!$B$15:$F$64,MATCH($H707,설정_코스수당!$A$15:$A$64,0),MATCH($E707&amp;"수당",설정_코스수당!$B$14:$F$14,0)),0)),0)</f>
        <v>0</v>
      </c>
      <c r="M707" s="33">
        <f>IF($O707="방문완료",IFERROR(VLOOKUP($E707,설정_코스수당!$A$6:$H$10,6,FALSE),0),0)</f>
        <v>0</v>
      </c>
      <c r="N707" s="34">
        <f t="shared" si="20"/>
        <v>0</v>
      </c>
      <c r="O707" s="29"/>
      <c r="P707" s="29"/>
      <c r="Q707" s="29"/>
      <c r="R707" s="32"/>
      <c r="S707" s="29"/>
    </row>
    <row r="708" spans="1:22" ht="19.5" hidden="1" customHeight="1" outlineLevel="1">
      <c r="A708" s="23">
        <v>77</v>
      </c>
      <c r="B708" s="24">
        <f>IF(7&lt;=DAY(DATE(YEAR(설정_코스수당!$K$2),MONTH(설정_코스수당!$K$2)+1,0)),DATE(YEAR(설정_코스수당!$K$2),MONTH(설정_코스수당!$K$2),7),"")</f>
        <v>46180</v>
      </c>
      <c r="C708" s="25"/>
      <c r="D708" s="23"/>
      <c r="E708" s="23"/>
      <c r="F708" s="26"/>
      <c r="G708" s="23"/>
      <c r="H708" s="23"/>
      <c r="I708" s="23"/>
      <c r="J708" s="27">
        <f>IF($O708="방문완료",MAX(0,IFERROR(VLOOKUP($E708,설정_코스수당!$A$6:$H$10,4,FALSE),0)-IF(OR($P708="",$P708="없음"),0,100000)),0)</f>
        <v>0</v>
      </c>
      <c r="K708" s="27">
        <f t="array" ref="K708">IF($O708="방문완료",IFERROR(INDEX(설정_코스수당!$B$15:$F$64,MATCH($G708,설정_코스수당!$A$15:$A$64,0),MATCH($E708&amp;"수당",설정_코스수당!$B$14:$F$14,0)),0),0)</f>
        <v>0</v>
      </c>
      <c r="L708" s="27">
        <f t="array" ref="L708">IF($O708="방문완료",IF($H708="",0,IFERROR(INDEX(설정_코스수당!$B$15:$F$64,MATCH($H708,설정_코스수당!$A$15:$A$64,0),MATCH($E708&amp;"수당",설정_코스수당!$B$14:$F$14,0)),0)),0)</f>
        <v>0</v>
      </c>
      <c r="M708" s="27">
        <f>IF($O708="방문완료",IFERROR(VLOOKUP($E708,설정_코스수당!$A$6:$H$10,6,FALSE),0),0)</f>
        <v>0</v>
      </c>
      <c r="N708" s="28">
        <f t="shared" si="20"/>
        <v>0</v>
      </c>
      <c r="O708" s="23"/>
      <c r="P708" s="23"/>
      <c r="Q708" s="23"/>
      <c r="R708" s="26"/>
      <c r="S708" s="23"/>
    </row>
    <row r="709" spans="1:22" ht="19.5" hidden="1" customHeight="1" outlineLevel="1">
      <c r="A709" s="29">
        <v>78</v>
      </c>
      <c r="B709" s="30">
        <f>IF(7&lt;=DAY(DATE(YEAR(설정_코스수당!$K$2),MONTH(설정_코스수당!$K$2)+1,0)),DATE(YEAR(설정_코스수당!$K$2),MONTH(설정_코스수당!$K$2),7),"")</f>
        <v>46180</v>
      </c>
      <c r="C709" s="31"/>
      <c r="D709" s="29"/>
      <c r="E709" s="29"/>
      <c r="F709" s="32"/>
      <c r="G709" s="29"/>
      <c r="H709" s="29"/>
      <c r="I709" s="29"/>
      <c r="J709" s="33">
        <f>IF($O709="방문완료",MAX(0,IFERROR(VLOOKUP($E709,설정_코스수당!$A$6:$H$10,4,FALSE),0)-IF(OR($P709="",$P709="없음"),0,100000)),0)</f>
        <v>0</v>
      </c>
      <c r="K709" s="33">
        <f t="array" ref="K709">IF($O709="방문완료",IFERROR(INDEX(설정_코스수당!$B$15:$F$64,MATCH($G709,설정_코스수당!$A$15:$A$64,0),MATCH($E709&amp;"수당",설정_코스수당!$B$14:$F$14,0)),0),0)</f>
        <v>0</v>
      </c>
      <c r="L709" s="33">
        <f t="array" ref="L709">IF($O709="방문완료",IF($H709="",0,IFERROR(INDEX(설정_코스수당!$B$15:$F$64,MATCH($H709,설정_코스수당!$A$15:$A$64,0),MATCH($E709&amp;"수당",설정_코스수당!$B$14:$F$14,0)),0)),0)</f>
        <v>0</v>
      </c>
      <c r="M709" s="33">
        <f>IF($O709="방문완료",IFERROR(VLOOKUP($E709,설정_코스수당!$A$6:$H$10,6,FALSE),0),0)</f>
        <v>0</v>
      </c>
      <c r="N709" s="34">
        <f t="shared" si="20"/>
        <v>0</v>
      </c>
      <c r="O709" s="29"/>
      <c r="P709" s="29"/>
      <c r="Q709" s="29"/>
      <c r="R709" s="32"/>
      <c r="S709" s="29"/>
    </row>
    <row r="710" spans="1:22" ht="19.5" hidden="1" customHeight="1" outlineLevel="1">
      <c r="A710" s="23">
        <v>79</v>
      </c>
      <c r="B710" s="24">
        <f>IF(7&lt;=DAY(DATE(YEAR(설정_코스수당!$K$2),MONTH(설정_코스수당!$K$2)+1,0)),DATE(YEAR(설정_코스수당!$K$2),MONTH(설정_코스수당!$K$2),7),"")</f>
        <v>46180</v>
      </c>
      <c r="C710" s="25"/>
      <c r="D710" s="23"/>
      <c r="E710" s="23"/>
      <c r="F710" s="26"/>
      <c r="G710" s="23"/>
      <c r="H710" s="23"/>
      <c r="I710" s="23"/>
      <c r="J710" s="27">
        <f>IF($O710="방문완료",MAX(0,IFERROR(VLOOKUP($E710,설정_코스수당!$A$6:$H$10,4,FALSE),0)-IF(OR($P710="",$P710="없음"),0,100000)),0)</f>
        <v>0</v>
      </c>
      <c r="K710" s="27">
        <f t="array" ref="K710">IF($O710="방문완료",IFERROR(INDEX(설정_코스수당!$B$15:$F$64,MATCH($G710,설정_코스수당!$A$15:$A$64,0),MATCH($E710&amp;"수당",설정_코스수당!$B$14:$F$14,0)),0),0)</f>
        <v>0</v>
      </c>
      <c r="L710" s="27">
        <f t="array" ref="L710">IF($O710="방문완료",IF($H710="",0,IFERROR(INDEX(설정_코스수당!$B$15:$F$64,MATCH($H710,설정_코스수당!$A$15:$A$64,0),MATCH($E710&amp;"수당",설정_코스수당!$B$14:$F$14,0)),0)),0)</f>
        <v>0</v>
      </c>
      <c r="M710" s="27">
        <f>IF($O710="방문완료",IFERROR(VLOOKUP($E710,설정_코스수당!$A$6:$H$10,6,FALSE),0),0)</f>
        <v>0</v>
      </c>
      <c r="N710" s="28">
        <f t="shared" si="20"/>
        <v>0</v>
      </c>
      <c r="O710" s="23"/>
      <c r="P710" s="23"/>
      <c r="Q710" s="23"/>
      <c r="R710" s="26"/>
      <c r="S710" s="23"/>
    </row>
    <row r="711" spans="1:22" ht="19.5" hidden="1" customHeight="1" outlineLevel="1">
      <c r="A711" s="29">
        <v>80</v>
      </c>
      <c r="B711" s="30">
        <f>IF(7&lt;=DAY(DATE(YEAR(설정_코스수당!$K$2),MONTH(설정_코스수당!$K$2)+1,0)),DATE(YEAR(설정_코스수당!$K$2),MONTH(설정_코스수당!$K$2),7),"")</f>
        <v>46180</v>
      </c>
      <c r="C711" s="31"/>
      <c r="D711" s="29"/>
      <c r="E711" s="29"/>
      <c r="F711" s="32"/>
      <c r="G711" s="29"/>
      <c r="H711" s="29"/>
      <c r="I711" s="29"/>
      <c r="J711" s="33">
        <f>IF($O711="방문완료",MAX(0,IFERROR(VLOOKUP($E711,설정_코스수당!$A$6:$H$10,4,FALSE),0)-IF(OR($P711="",$P711="없음"),0,100000)),0)</f>
        <v>0</v>
      </c>
      <c r="K711" s="33">
        <f t="array" ref="K711">IF($O711="방문완료",IFERROR(INDEX(설정_코스수당!$B$15:$F$64,MATCH($G711,설정_코스수당!$A$15:$A$64,0),MATCH($E711&amp;"수당",설정_코스수당!$B$14:$F$14,0)),0),0)</f>
        <v>0</v>
      </c>
      <c r="L711" s="33">
        <f t="array" ref="L711">IF($O711="방문완료",IF($H711="",0,IFERROR(INDEX(설정_코스수당!$B$15:$F$64,MATCH($H711,설정_코스수당!$A$15:$A$64,0),MATCH($E711&amp;"수당",설정_코스수당!$B$14:$F$14,0)),0)),0)</f>
        <v>0</v>
      </c>
      <c r="M711" s="33">
        <f>IF($O711="방문완료",IFERROR(VLOOKUP($E711,설정_코스수당!$A$6:$H$10,6,FALSE),0),0)</f>
        <v>0</v>
      </c>
      <c r="N711" s="34">
        <f t="shared" si="20"/>
        <v>0</v>
      </c>
      <c r="O711" s="29"/>
      <c r="P711" s="29"/>
      <c r="Q711" s="29"/>
      <c r="R711" s="32"/>
      <c r="S711" s="29"/>
    </row>
    <row r="712" spans="1:22" ht="19.5" hidden="1" customHeight="1" outlineLevel="1">
      <c r="A712" s="23">
        <v>81</v>
      </c>
      <c r="B712" s="24">
        <f>IF(7&lt;=DAY(DATE(YEAR(설정_코스수당!$K$2),MONTH(설정_코스수당!$K$2)+1,0)),DATE(YEAR(설정_코스수당!$K$2),MONTH(설정_코스수당!$K$2),7),"")</f>
        <v>46180</v>
      </c>
      <c r="C712" s="25"/>
      <c r="D712" s="23"/>
      <c r="E712" s="23"/>
      <c r="F712" s="26"/>
      <c r="G712" s="23"/>
      <c r="H712" s="23"/>
      <c r="I712" s="23"/>
      <c r="J712" s="27">
        <f>IF($O712="방문완료",MAX(0,IFERROR(VLOOKUP($E712,설정_코스수당!$A$6:$H$10,4,FALSE),0)-IF(OR($P712="",$P712="없음"),0,100000)),0)</f>
        <v>0</v>
      </c>
      <c r="K712" s="27">
        <f t="array" ref="K712">IF($O712="방문완료",IFERROR(INDEX(설정_코스수당!$B$15:$F$64,MATCH($G712,설정_코스수당!$A$15:$A$64,0),MATCH($E712&amp;"수당",설정_코스수당!$B$14:$F$14,0)),0),0)</f>
        <v>0</v>
      </c>
      <c r="L712" s="27">
        <f t="array" ref="L712">IF($O712="방문완료",IF($H712="",0,IFERROR(INDEX(설정_코스수당!$B$15:$F$64,MATCH($H712,설정_코스수당!$A$15:$A$64,0),MATCH($E712&amp;"수당",설정_코스수당!$B$14:$F$14,0)),0)),0)</f>
        <v>0</v>
      </c>
      <c r="M712" s="27">
        <f>IF($O712="방문완료",IFERROR(VLOOKUP($E712,설정_코스수당!$A$6:$H$10,6,FALSE),0),0)</f>
        <v>0</v>
      </c>
      <c r="N712" s="28">
        <f t="shared" si="20"/>
        <v>0</v>
      </c>
      <c r="O712" s="23"/>
      <c r="P712" s="23"/>
      <c r="Q712" s="23"/>
      <c r="R712" s="26"/>
      <c r="S712" s="23"/>
    </row>
    <row r="713" spans="1:22" ht="19.5" hidden="1" customHeight="1" outlineLevel="1">
      <c r="A713" s="29">
        <v>82</v>
      </c>
      <c r="B713" s="30">
        <f>IF(7&lt;=DAY(DATE(YEAR(설정_코스수당!$K$2),MONTH(설정_코스수당!$K$2)+1,0)),DATE(YEAR(설정_코스수당!$K$2),MONTH(설정_코스수당!$K$2),7),"")</f>
        <v>46180</v>
      </c>
      <c r="C713" s="31"/>
      <c r="D713" s="29"/>
      <c r="E713" s="29"/>
      <c r="F713" s="32"/>
      <c r="G713" s="29"/>
      <c r="H713" s="29"/>
      <c r="I713" s="29"/>
      <c r="J713" s="33">
        <f>IF($O713="방문완료",MAX(0,IFERROR(VLOOKUP($E713,설정_코스수당!$A$6:$H$10,4,FALSE),0)-IF(OR($P713="",$P713="없음"),0,100000)),0)</f>
        <v>0</v>
      </c>
      <c r="K713" s="33">
        <f t="array" ref="K713">IF($O713="방문완료",IFERROR(INDEX(설정_코스수당!$B$15:$F$64,MATCH($G713,설정_코스수당!$A$15:$A$64,0),MATCH($E713&amp;"수당",설정_코스수당!$B$14:$F$14,0)),0),0)</f>
        <v>0</v>
      </c>
      <c r="L713" s="33">
        <f t="array" ref="L713">IF($O713="방문완료",IF($H713="",0,IFERROR(INDEX(설정_코스수당!$B$15:$F$64,MATCH($H713,설정_코스수당!$A$15:$A$64,0),MATCH($E713&amp;"수당",설정_코스수당!$B$14:$F$14,0)),0)),0)</f>
        <v>0</v>
      </c>
      <c r="M713" s="33">
        <f>IF($O713="방문완료",IFERROR(VLOOKUP($E713,설정_코스수당!$A$6:$H$10,6,FALSE),0),0)</f>
        <v>0</v>
      </c>
      <c r="N713" s="34">
        <f t="shared" si="20"/>
        <v>0</v>
      </c>
      <c r="O713" s="29"/>
      <c r="P713" s="29"/>
      <c r="Q713" s="29"/>
      <c r="R713" s="32"/>
      <c r="S713" s="29"/>
    </row>
    <row r="714" spans="1:22" ht="19.5" hidden="1" customHeight="1" outlineLevel="1">
      <c r="A714" s="23">
        <v>83</v>
      </c>
      <c r="B714" s="24">
        <f>IF(7&lt;=DAY(DATE(YEAR(설정_코스수당!$K$2),MONTH(설정_코스수당!$K$2)+1,0)),DATE(YEAR(설정_코스수당!$K$2),MONTH(설정_코스수당!$K$2),7),"")</f>
        <v>46180</v>
      </c>
      <c r="C714" s="25"/>
      <c r="D714" s="23"/>
      <c r="E714" s="23"/>
      <c r="F714" s="26"/>
      <c r="G714" s="23"/>
      <c r="H714" s="23"/>
      <c r="I714" s="23"/>
      <c r="J714" s="27">
        <f>IF($O714="방문완료",MAX(0,IFERROR(VLOOKUP($E714,설정_코스수당!$A$6:$H$10,4,FALSE),0)-IF(OR($P714="",$P714="없음"),0,100000)),0)</f>
        <v>0</v>
      </c>
      <c r="K714" s="27">
        <f t="array" ref="K714">IF($O714="방문완료",IFERROR(INDEX(설정_코스수당!$B$15:$F$64,MATCH($G714,설정_코스수당!$A$15:$A$64,0),MATCH($E714&amp;"수당",설정_코스수당!$B$14:$F$14,0)),0),0)</f>
        <v>0</v>
      </c>
      <c r="L714" s="27">
        <f t="array" ref="L714">IF($O714="방문완료",IF($H714="",0,IFERROR(INDEX(설정_코스수당!$B$15:$F$64,MATCH($H714,설정_코스수당!$A$15:$A$64,0),MATCH($E714&amp;"수당",설정_코스수당!$B$14:$F$14,0)),0)),0)</f>
        <v>0</v>
      </c>
      <c r="M714" s="27">
        <f>IF($O714="방문완료",IFERROR(VLOOKUP($E714,설정_코스수당!$A$6:$H$10,6,FALSE),0),0)</f>
        <v>0</v>
      </c>
      <c r="N714" s="28">
        <f t="shared" si="20"/>
        <v>0</v>
      </c>
      <c r="O714" s="23"/>
      <c r="P714" s="23"/>
      <c r="Q714" s="23"/>
      <c r="R714" s="26"/>
      <c r="S714" s="23"/>
    </row>
    <row r="715" spans="1:22" ht="19.5" hidden="1" customHeight="1" outlineLevel="1">
      <c r="A715" s="29">
        <v>84</v>
      </c>
      <c r="B715" s="30">
        <f>IF(7&lt;=DAY(DATE(YEAR(설정_코스수당!$K$2),MONTH(설정_코스수당!$K$2)+1,0)),DATE(YEAR(설정_코스수당!$K$2),MONTH(설정_코스수당!$K$2),7),"")</f>
        <v>46180</v>
      </c>
      <c r="C715" s="31"/>
      <c r="D715" s="29"/>
      <c r="E715" s="29"/>
      <c r="F715" s="32"/>
      <c r="G715" s="29"/>
      <c r="H715" s="29"/>
      <c r="I715" s="29"/>
      <c r="J715" s="33">
        <f>IF($O715="방문완료",MAX(0,IFERROR(VLOOKUP($E715,설정_코스수당!$A$6:$H$10,4,FALSE),0)-IF(OR($P715="",$P715="없음"),0,100000)),0)</f>
        <v>0</v>
      </c>
      <c r="K715" s="33">
        <f t="array" ref="K715">IF($O715="방문완료",IFERROR(INDEX(설정_코스수당!$B$15:$F$64,MATCH($G715,설정_코스수당!$A$15:$A$64,0),MATCH($E715&amp;"수당",설정_코스수당!$B$14:$F$14,0)),0),0)</f>
        <v>0</v>
      </c>
      <c r="L715" s="33">
        <f t="array" ref="L715">IF($O715="방문완료",IF($H715="",0,IFERROR(INDEX(설정_코스수당!$B$15:$F$64,MATCH($H715,설정_코스수당!$A$15:$A$64,0),MATCH($E715&amp;"수당",설정_코스수당!$B$14:$F$14,0)),0)),0)</f>
        <v>0</v>
      </c>
      <c r="M715" s="33">
        <f>IF($O715="방문완료",IFERROR(VLOOKUP($E715,설정_코스수당!$A$6:$H$10,6,FALSE),0),0)</f>
        <v>0</v>
      </c>
      <c r="N715" s="34">
        <f t="shared" si="20"/>
        <v>0</v>
      </c>
      <c r="O715" s="29"/>
      <c r="P715" s="29"/>
      <c r="Q715" s="29"/>
      <c r="R715" s="32"/>
      <c r="S715" s="29"/>
    </row>
    <row r="716" spans="1:22" ht="19.5" hidden="1" customHeight="1" outlineLevel="1">
      <c r="A716" s="23">
        <v>85</v>
      </c>
      <c r="B716" s="24">
        <f>IF(7&lt;=DAY(DATE(YEAR(설정_코스수당!$K$2),MONTH(설정_코스수당!$K$2)+1,0)),DATE(YEAR(설정_코스수당!$K$2),MONTH(설정_코스수당!$K$2),7),"")</f>
        <v>46180</v>
      </c>
      <c r="C716" s="25"/>
      <c r="D716" s="23"/>
      <c r="E716" s="23"/>
      <c r="F716" s="26"/>
      <c r="G716" s="23"/>
      <c r="H716" s="23"/>
      <c r="I716" s="23"/>
      <c r="J716" s="27">
        <f>IF($O716="방문완료",MAX(0,IFERROR(VLOOKUP($E716,설정_코스수당!$A$6:$H$10,4,FALSE),0)-IF(OR($P716="",$P716="없음"),0,100000)),0)</f>
        <v>0</v>
      </c>
      <c r="K716" s="27">
        <f t="array" ref="K716">IF($O716="방문완료",IFERROR(INDEX(설정_코스수당!$B$15:$F$64,MATCH($G716,설정_코스수당!$A$15:$A$64,0),MATCH($E716&amp;"수당",설정_코스수당!$B$14:$F$14,0)),0),0)</f>
        <v>0</v>
      </c>
      <c r="L716" s="27">
        <f t="array" ref="L716">IF($O716="방문완료",IF($H716="",0,IFERROR(INDEX(설정_코스수당!$B$15:$F$64,MATCH($H716,설정_코스수당!$A$15:$A$64,0),MATCH($E716&amp;"수당",설정_코스수당!$B$14:$F$14,0)),0)),0)</f>
        <v>0</v>
      </c>
      <c r="M716" s="27">
        <f>IF($O716="방문완료",IFERROR(VLOOKUP($E716,설정_코스수당!$A$6:$H$10,6,FALSE),0),0)</f>
        <v>0</v>
      </c>
      <c r="N716" s="28">
        <f t="shared" si="20"/>
        <v>0</v>
      </c>
      <c r="O716" s="23"/>
      <c r="P716" s="23"/>
      <c r="Q716" s="23"/>
      <c r="R716" s="26"/>
      <c r="S716" s="23"/>
    </row>
    <row r="717" spans="1:22" ht="19.5" hidden="1" customHeight="1" outlineLevel="1">
      <c r="A717" s="29">
        <v>86</v>
      </c>
      <c r="B717" s="30">
        <f>IF(7&lt;=DAY(DATE(YEAR(설정_코스수당!$K$2),MONTH(설정_코스수당!$K$2)+1,0)),DATE(YEAR(설정_코스수당!$K$2),MONTH(설정_코스수당!$K$2),7),"")</f>
        <v>46180</v>
      </c>
      <c r="C717" s="31"/>
      <c r="D717" s="29"/>
      <c r="E717" s="29"/>
      <c r="F717" s="32"/>
      <c r="G717" s="29"/>
      <c r="H717" s="29"/>
      <c r="I717" s="29"/>
      <c r="J717" s="33">
        <f>IF($O717="방문완료",MAX(0,IFERROR(VLOOKUP($E717,설정_코스수당!$A$6:$H$10,4,FALSE),0)-IF(OR($P717="",$P717="없음"),0,100000)),0)</f>
        <v>0</v>
      </c>
      <c r="K717" s="33">
        <f t="array" ref="K717">IF($O717="방문완료",IFERROR(INDEX(설정_코스수당!$B$15:$F$64,MATCH($G717,설정_코스수당!$A$15:$A$64,0),MATCH($E717&amp;"수당",설정_코스수당!$B$14:$F$14,0)),0),0)</f>
        <v>0</v>
      </c>
      <c r="L717" s="33">
        <f t="array" ref="L717">IF($O717="방문완료",IF($H717="",0,IFERROR(INDEX(설정_코스수당!$B$15:$F$64,MATCH($H717,설정_코스수당!$A$15:$A$64,0),MATCH($E717&amp;"수당",설정_코스수당!$B$14:$F$14,0)),0)),0)</f>
        <v>0</v>
      </c>
      <c r="M717" s="33">
        <f>IF($O717="방문완료",IFERROR(VLOOKUP($E717,설정_코스수당!$A$6:$H$10,6,FALSE),0),0)</f>
        <v>0</v>
      </c>
      <c r="N717" s="34">
        <f t="shared" si="20"/>
        <v>0</v>
      </c>
      <c r="O717" s="29"/>
      <c r="P717" s="29"/>
      <c r="Q717" s="29"/>
      <c r="R717" s="32"/>
      <c r="S717" s="29"/>
    </row>
    <row r="718" spans="1:22" ht="19.5" hidden="1" customHeight="1" outlineLevel="1">
      <c r="A718" s="23">
        <v>87</v>
      </c>
      <c r="B718" s="24">
        <f>IF(7&lt;=DAY(DATE(YEAR(설정_코스수당!$K$2),MONTH(설정_코스수당!$K$2)+1,0)),DATE(YEAR(설정_코스수당!$K$2),MONTH(설정_코스수당!$K$2),7),"")</f>
        <v>46180</v>
      </c>
      <c r="C718" s="25"/>
      <c r="D718" s="23"/>
      <c r="E718" s="23"/>
      <c r="F718" s="26"/>
      <c r="G718" s="23"/>
      <c r="H718" s="23"/>
      <c r="I718" s="23"/>
      <c r="J718" s="27">
        <f>IF($O718="방문완료",MAX(0,IFERROR(VLOOKUP($E718,설정_코스수당!$A$6:$H$10,4,FALSE),0)-IF(OR($P718="",$P718="없음"),0,100000)),0)</f>
        <v>0</v>
      </c>
      <c r="K718" s="27">
        <f t="array" ref="K718">IF($O718="방문완료",IFERROR(INDEX(설정_코스수당!$B$15:$F$64,MATCH($G718,설정_코스수당!$A$15:$A$64,0),MATCH($E718&amp;"수당",설정_코스수당!$B$14:$F$14,0)),0),0)</f>
        <v>0</v>
      </c>
      <c r="L718" s="27">
        <f t="array" ref="L718">IF($O718="방문완료",IF($H718="",0,IFERROR(INDEX(설정_코스수당!$B$15:$F$64,MATCH($H718,설정_코스수당!$A$15:$A$64,0),MATCH($E718&amp;"수당",설정_코스수당!$B$14:$F$14,0)),0)),0)</f>
        <v>0</v>
      </c>
      <c r="M718" s="27">
        <f>IF($O718="방문완료",IFERROR(VLOOKUP($E718,설정_코스수당!$A$6:$H$10,6,FALSE),0),0)</f>
        <v>0</v>
      </c>
      <c r="N718" s="28">
        <f t="shared" si="20"/>
        <v>0</v>
      </c>
      <c r="O718" s="23"/>
      <c r="P718" s="23"/>
      <c r="Q718" s="23"/>
      <c r="R718" s="26"/>
      <c r="S718" s="23"/>
    </row>
    <row r="719" spans="1:22" ht="19.5" hidden="1" customHeight="1" outlineLevel="1">
      <c r="A719" s="29">
        <v>88</v>
      </c>
      <c r="B719" s="30">
        <f>IF(7&lt;=DAY(DATE(YEAR(설정_코스수당!$K$2),MONTH(설정_코스수당!$K$2)+1,0)),DATE(YEAR(설정_코스수당!$K$2),MONTH(설정_코스수당!$K$2),7),"")</f>
        <v>46180</v>
      </c>
      <c r="C719" s="31"/>
      <c r="D719" s="29"/>
      <c r="E719" s="29"/>
      <c r="F719" s="32"/>
      <c r="G719" s="29"/>
      <c r="H719" s="29"/>
      <c r="I719" s="29"/>
      <c r="J719" s="33">
        <f>IF($O719="방문완료",MAX(0,IFERROR(VLOOKUP($E719,설정_코스수당!$A$6:$H$10,4,FALSE),0)-IF(OR($P719="",$P719="없음"),0,100000)),0)</f>
        <v>0</v>
      </c>
      <c r="K719" s="33">
        <f t="array" ref="K719">IF($O719="방문완료",IFERROR(INDEX(설정_코스수당!$B$15:$F$64,MATCH($G719,설정_코스수당!$A$15:$A$64,0),MATCH($E719&amp;"수당",설정_코스수당!$B$14:$F$14,0)),0),0)</f>
        <v>0</v>
      </c>
      <c r="L719" s="33">
        <f t="array" ref="L719">IF($O719="방문완료",IF($H719="",0,IFERROR(INDEX(설정_코스수당!$B$15:$F$64,MATCH($H719,설정_코스수당!$A$15:$A$64,0),MATCH($E719&amp;"수당",설정_코스수당!$B$14:$F$14,0)),0)),0)</f>
        <v>0</v>
      </c>
      <c r="M719" s="33">
        <f>IF($O719="방문완료",IFERROR(VLOOKUP($E719,설정_코스수당!$A$6:$H$10,6,FALSE),0),0)</f>
        <v>0</v>
      </c>
      <c r="N719" s="34">
        <f t="shared" si="20"/>
        <v>0</v>
      </c>
      <c r="O719" s="29"/>
      <c r="P719" s="29"/>
      <c r="Q719" s="29"/>
      <c r="R719" s="32"/>
      <c r="S719" s="29"/>
    </row>
    <row r="720" spans="1:22" ht="19.5" hidden="1" customHeight="1" outlineLevel="1">
      <c r="A720" s="23">
        <v>89</v>
      </c>
      <c r="B720" s="24">
        <f>IF(7&lt;=DAY(DATE(YEAR(설정_코스수당!$K$2),MONTH(설정_코스수당!$K$2)+1,0)),DATE(YEAR(설정_코스수당!$K$2),MONTH(설정_코스수당!$K$2),7),"")</f>
        <v>46180</v>
      </c>
      <c r="C720" s="25"/>
      <c r="D720" s="23"/>
      <c r="E720" s="23"/>
      <c r="F720" s="26"/>
      <c r="G720" s="23"/>
      <c r="H720" s="23"/>
      <c r="I720" s="23"/>
      <c r="J720" s="27">
        <f>IF($O720="방문완료",MAX(0,IFERROR(VLOOKUP($E720,설정_코스수당!$A$6:$H$10,4,FALSE),0)-IF(OR($P720="",$P720="없음"),0,100000)),0)</f>
        <v>0</v>
      </c>
      <c r="K720" s="27">
        <f t="array" ref="K720">IF($O720="방문완료",IFERROR(INDEX(설정_코스수당!$B$15:$F$64,MATCH($G720,설정_코스수당!$A$15:$A$64,0),MATCH($E720&amp;"수당",설정_코스수당!$B$14:$F$14,0)),0),0)</f>
        <v>0</v>
      </c>
      <c r="L720" s="27">
        <f t="array" ref="L720">IF($O720="방문완료",IF($H720="",0,IFERROR(INDEX(설정_코스수당!$B$15:$F$64,MATCH($H720,설정_코스수당!$A$15:$A$64,0),MATCH($E720&amp;"수당",설정_코스수당!$B$14:$F$14,0)),0)),0)</f>
        <v>0</v>
      </c>
      <c r="M720" s="27">
        <f>IF($O720="방문완료",IFERROR(VLOOKUP($E720,설정_코스수당!$A$6:$H$10,6,FALSE),0),0)</f>
        <v>0</v>
      </c>
      <c r="N720" s="28">
        <f t="shared" si="20"/>
        <v>0</v>
      </c>
      <c r="O720" s="23"/>
      <c r="P720" s="23"/>
      <c r="Q720" s="23"/>
      <c r="R720" s="26"/>
      <c r="S720" s="23"/>
      <c r="U720" s="16" t="s">
        <v>72</v>
      </c>
      <c r="V720" s="17">
        <f>IF(8&lt;=DAY(DATE(YEAR(설정_코스수당!$K$2),MONTH(설정_코스수당!$K$2)+1,0)),COUNTIFS($B:$B,DATE(YEAR(설정_코스수당!$K$2),MONTH(설정_코스수당!$K$2),8),$O:$O,"방문완료",$P:$P,"&lt;&gt;",$P:$P,"&lt;&gt;없음")*100000,"")</f>
        <v>0</v>
      </c>
    </row>
    <row r="721" spans="1:27" ht="19.5" hidden="1" customHeight="1" outlineLevel="1">
      <c r="A721" s="29">
        <v>90</v>
      </c>
      <c r="B721" s="30">
        <f>IF(7&lt;=DAY(DATE(YEAR(설정_코스수당!$K$2),MONTH(설정_코스수당!$K$2)+1,0)),DATE(YEAR(설정_코스수당!$K$2),MONTH(설정_코스수당!$K$2),7),"")</f>
        <v>46180</v>
      </c>
      <c r="C721" s="31"/>
      <c r="D721" s="29"/>
      <c r="E721" s="29"/>
      <c r="F721" s="32"/>
      <c r="G721" s="29"/>
      <c r="H721" s="29"/>
      <c r="I721" s="29"/>
      <c r="J721" s="33">
        <f>IF($O721="방문완료",MAX(0,IFERROR(VLOOKUP($E721,설정_코스수당!$A$6:$H$10,4,FALSE),0)-IF(OR($P721="",$P721="없음"),0,100000)),0)</f>
        <v>0</v>
      </c>
      <c r="K721" s="33">
        <f t="array" ref="K721">IF($O721="방문완료",IFERROR(INDEX(설정_코스수당!$B$15:$F$64,MATCH($G721,설정_코스수당!$A$15:$A$64,0),MATCH($E721&amp;"수당",설정_코스수당!$B$14:$F$14,0)),0),0)</f>
        <v>0</v>
      </c>
      <c r="L721" s="33">
        <f t="array" ref="L721">IF($O721="방문완료",IF($H721="",0,IFERROR(INDEX(설정_코스수당!$B$15:$F$64,MATCH($H721,설정_코스수당!$A$15:$A$64,0),MATCH($E721&amp;"수당",설정_코스수당!$B$14:$F$14,0)),0)),0)</f>
        <v>0</v>
      </c>
      <c r="M721" s="33">
        <f>IF($O721="방문완료",IFERROR(VLOOKUP($E721,설정_코스수당!$A$6:$H$10,6,FALSE),0),0)</f>
        <v>0</v>
      </c>
      <c r="N721" s="34">
        <f t="shared" si="20"/>
        <v>0</v>
      </c>
      <c r="O721" s="29"/>
      <c r="P721" s="29"/>
      <c r="Q721" s="29"/>
      <c r="R721" s="32"/>
      <c r="S721" s="29"/>
    </row>
    <row r="722" spans="1:27" ht="19.5" hidden="1" customHeight="1" outlineLevel="1">
      <c r="A722" s="23">
        <v>91</v>
      </c>
      <c r="B722" s="24">
        <f>IF(7&lt;=DAY(DATE(YEAR(설정_코스수당!$K$2),MONTH(설정_코스수당!$K$2)+1,0)),DATE(YEAR(설정_코스수당!$K$2),MONTH(설정_코스수당!$K$2),7),"")</f>
        <v>46180</v>
      </c>
      <c r="C722" s="25"/>
      <c r="D722" s="23"/>
      <c r="E722" s="23"/>
      <c r="F722" s="26"/>
      <c r="G722" s="23"/>
      <c r="H722" s="23"/>
      <c r="I722" s="23"/>
      <c r="J722" s="27">
        <f>IF($O722="방문완료",MAX(0,IFERROR(VLOOKUP($E722,설정_코스수당!$A$6:$H$10,4,FALSE),0)-IF(OR($P722="",$P722="없음"),0,100000)),0)</f>
        <v>0</v>
      </c>
      <c r="K722" s="27">
        <f t="array" ref="K722">IF($O722="방문완료",IFERROR(INDEX(설정_코스수당!$B$15:$F$64,MATCH($G722,설정_코스수당!$A$15:$A$64,0),MATCH($E722&amp;"수당",설정_코스수당!$B$14:$F$14,0)),0),0)</f>
        <v>0</v>
      </c>
      <c r="L722" s="27">
        <f t="array" ref="L722">IF($O722="방문완료",IF($H722="",0,IFERROR(INDEX(설정_코스수당!$B$15:$F$64,MATCH($H722,설정_코스수당!$A$15:$A$64,0),MATCH($E722&amp;"수당",설정_코스수당!$B$14:$F$14,0)),0)),0)</f>
        <v>0</v>
      </c>
      <c r="M722" s="27">
        <f>IF($O722="방문완료",IFERROR(VLOOKUP($E722,설정_코스수당!$A$6:$H$10,6,FALSE),0),0)</f>
        <v>0</v>
      </c>
      <c r="N722" s="28">
        <f t="shared" si="20"/>
        <v>0</v>
      </c>
      <c r="O722" s="23"/>
      <c r="P722" s="23"/>
      <c r="Q722" s="23"/>
      <c r="R722" s="26"/>
      <c r="S722" s="23"/>
    </row>
    <row r="723" spans="1:27" ht="19.5" hidden="1" customHeight="1" outlineLevel="1">
      <c r="A723" s="29">
        <v>92</v>
      </c>
      <c r="B723" s="30">
        <f>IF(7&lt;=DAY(DATE(YEAR(설정_코스수당!$K$2),MONTH(설정_코스수당!$K$2)+1,0)),DATE(YEAR(설정_코스수당!$K$2),MONTH(설정_코스수당!$K$2),7),"")</f>
        <v>46180</v>
      </c>
      <c r="C723" s="31"/>
      <c r="D723" s="29"/>
      <c r="E723" s="29"/>
      <c r="F723" s="32"/>
      <c r="G723" s="29"/>
      <c r="H723" s="29"/>
      <c r="I723" s="29"/>
      <c r="J723" s="33">
        <f>IF($O723="방문완료",MAX(0,IFERROR(VLOOKUP($E723,설정_코스수당!$A$6:$H$10,4,FALSE),0)-IF(OR($P723="",$P723="없음"),0,100000)),0)</f>
        <v>0</v>
      </c>
      <c r="K723" s="33">
        <f t="array" ref="K723">IF($O723="방문완료",IFERROR(INDEX(설정_코스수당!$B$15:$F$64,MATCH($G723,설정_코스수당!$A$15:$A$64,0),MATCH($E723&amp;"수당",설정_코스수당!$B$14:$F$14,0)),0),0)</f>
        <v>0</v>
      </c>
      <c r="L723" s="33">
        <f t="array" ref="L723">IF($O723="방문완료",IF($H723="",0,IFERROR(INDEX(설정_코스수당!$B$15:$F$64,MATCH($H723,설정_코스수당!$A$15:$A$64,0),MATCH($E723&amp;"수당",설정_코스수당!$B$14:$F$14,0)),0)),0)</f>
        <v>0</v>
      </c>
      <c r="M723" s="33">
        <f>IF($O723="방문완료",IFERROR(VLOOKUP($E723,설정_코스수당!$A$6:$H$10,6,FALSE),0),0)</f>
        <v>0</v>
      </c>
      <c r="N723" s="34">
        <f t="shared" si="20"/>
        <v>0</v>
      </c>
      <c r="O723" s="29"/>
      <c r="P723" s="29"/>
      <c r="Q723" s="29"/>
      <c r="R723" s="32"/>
      <c r="S723" s="29"/>
    </row>
    <row r="724" spans="1:27" ht="19.5" hidden="1" customHeight="1" outlineLevel="1">
      <c r="A724" s="23">
        <v>93</v>
      </c>
      <c r="B724" s="24">
        <f>IF(7&lt;=DAY(DATE(YEAR(설정_코스수당!$K$2),MONTH(설정_코스수당!$K$2)+1,0)),DATE(YEAR(설정_코스수당!$K$2),MONTH(설정_코스수당!$K$2),7),"")</f>
        <v>46180</v>
      </c>
      <c r="C724" s="25"/>
      <c r="D724" s="23"/>
      <c r="E724" s="23"/>
      <c r="F724" s="26"/>
      <c r="G724" s="23"/>
      <c r="H724" s="23"/>
      <c r="I724" s="23"/>
      <c r="J724" s="27">
        <f>IF($O724="방문완료",MAX(0,IFERROR(VLOOKUP($E724,설정_코스수당!$A$6:$H$10,4,FALSE),0)-IF(OR($P724="",$P724="없음"),0,100000)),0)</f>
        <v>0</v>
      </c>
      <c r="K724" s="27">
        <f t="array" ref="K724">IF($O724="방문완료",IFERROR(INDEX(설정_코스수당!$B$15:$F$64,MATCH($G724,설정_코스수당!$A$15:$A$64,0),MATCH($E724&amp;"수당",설정_코스수당!$B$14:$F$14,0)),0),0)</f>
        <v>0</v>
      </c>
      <c r="L724" s="27">
        <f t="array" ref="L724">IF($O724="방문완료",IF($H724="",0,IFERROR(INDEX(설정_코스수당!$B$15:$F$64,MATCH($H724,설정_코스수당!$A$15:$A$64,0),MATCH($E724&amp;"수당",설정_코스수당!$B$14:$F$14,0)),0)),0)</f>
        <v>0</v>
      </c>
      <c r="M724" s="27">
        <f>IF($O724="방문완료",IFERROR(VLOOKUP($E724,설정_코스수당!$A$6:$H$10,6,FALSE),0),0)</f>
        <v>0</v>
      </c>
      <c r="N724" s="28">
        <f t="shared" si="20"/>
        <v>0</v>
      </c>
      <c r="O724" s="23"/>
      <c r="P724" s="23"/>
      <c r="Q724" s="23"/>
      <c r="R724" s="26"/>
      <c r="S724" s="23"/>
    </row>
    <row r="725" spans="1:27" ht="19.5" hidden="1" customHeight="1" outlineLevel="1">
      <c r="A725" s="29">
        <v>94</v>
      </c>
      <c r="B725" s="30">
        <f>IF(7&lt;=DAY(DATE(YEAR(설정_코스수당!$K$2),MONTH(설정_코스수당!$K$2)+1,0)),DATE(YEAR(설정_코스수당!$K$2),MONTH(설정_코스수당!$K$2),7),"")</f>
        <v>46180</v>
      </c>
      <c r="C725" s="31"/>
      <c r="D725" s="29"/>
      <c r="E725" s="29"/>
      <c r="F725" s="32"/>
      <c r="G725" s="29"/>
      <c r="H725" s="29"/>
      <c r="I725" s="29"/>
      <c r="J725" s="33">
        <f>IF($O725="방문완료",MAX(0,IFERROR(VLOOKUP($E725,설정_코스수당!$A$6:$H$10,4,FALSE),0)-IF(OR($P725="",$P725="없음"),0,100000)),0)</f>
        <v>0</v>
      </c>
      <c r="K725" s="33">
        <f t="array" ref="K725">IF($O725="방문완료",IFERROR(INDEX(설정_코스수당!$B$15:$F$64,MATCH($G725,설정_코스수당!$A$15:$A$64,0),MATCH($E725&amp;"수당",설정_코스수당!$B$14:$F$14,0)),0),0)</f>
        <v>0</v>
      </c>
      <c r="L725" s="33">
        <f t="array" ref="L725">IF($O725="방문완료",IF($H725="",0,IFERROR(INDEX(설정_코스수당!$B$15:$F$64,MATCH($H725,설정_코스수당!$A$15:$A$64,0),MATCH($E725&amp;"수당",설정_코스수당!$B$14:$F$14,0)),0)),0)</f>
        <v>0</v>
      </c>
      <c r="M725" s="33">
        <f>IF($O725="방문완료",IFERROR(VLOOKUP($E725,설정_코스수당!$A$6:$H$10,6,FALSE),0),0)</f>
        <v>0</v>
      </c>
      <c r="N725" s="34">
        <f t="shared" si="20"/>
        <v>0</v>
      </c>
      <c r="O725" s="29"/>
      <c r="P725" s="29"/>
      <c r="Q725" s="29"/>
      <c r="R725" s="32"/>
      <c r="S725" s="29"/>
    </row>
    <row r="726" spans="1:27" ht="19.5" hidden="1" customHeight="1" outlineLevel="1">
      <c r="A726" s="23">
        <v>95</v>
      </c>
      <c r="B726" s="24">
        <f>IF(7&lt;=DAY(DATE(YEAR(설정_코스수당!$K$2),MONTH(설정_코스수당!$K$2)+1,0)),DATE(YEAR(설정_코스수당!$K$2),MONTH(설정_코스수당!$K$2),7),"")</f>
        <v>46180</v>
      </c>
      <c r="C726" s="25"/>
      <c r="D726" s="23"/>
      <c r="E726" s="23"/>
      <c r="F726" s="26"/>
      <c r="G726" s="23"/>
      <c r="H726" s="23"/>
      <c r="I726" s="23"/>
      <c r="J726" s="27">
        <f>IF($O726="방문완료",MAX(0,IFERROR(VLOOKUP($E726,설정_코스수당!$A$6:$H$10,4,FALSE),0)-IF(OR($P726="",$P726="없음"),0,100000)),0)</f>
        <v>0</v>
      </c>
      <c r="K726" s="27">
        <f t="array" ref="K726">IF($O726="방문완료",IFERROR(INDEX(설정_코스수당!$B$15:$F$64,MATCH($G726,설정_코스수당!$A$15:$A$64,0),MATCH($E726&amp;"수당",설정_코스수당!$B$14:$F$14,0)),0),0)</f>
        <v>0</v>
      </c>
      <c r="L726" s="27">
        <f t="array" ref="L726">IF($O726="방문완료",IF($H726="",0,IFERROR(INDEX(설정_코스수당!$B$15:$F$64,MATCH($H726,설정_코스수당!$A$15:$A$64,0),MATCH($E726&amp;"수당",설정_코스수당!$B$14:$F$14,0)),0)),0)</f>
        <v>0</v>
      </c>
      <c r="M726" s="27">
        <f>IF($O726="방문완료",IFERROR(VLOOKUP($E726,설정_코스수당!$A$6:$H$10,6,FALSE),0),0)</f>
        <v>0</v>
      </c>
      <c r="N726" s="28">
        <f t="shared" si="20"/>
        <v>0</v>
      </c>
      <c r="O726" s="23"/>
      <c r="P726" s="23"/>
      <c r="Q726" s="23"/>
      <c r="R726" s="26"/>
      <c r="S726" s="23"/>
    </row>
    <row r="727" spans="1:27" ht="19.5" hidden="1" customHeight="1" outlineLevel="1">
      <c r="A727" s="29">
        <v>96</v>
      </c>
      <c r="B727" s="30">
        <f>IF(7&lt;=DAY(DATE(YEAR(설정_코스수당!$K$2),MONTH(설정_코스수당!$K$2)+1,0)),DATE(YEAR(설정_코스수당!$K$2),MONTH(설정_코스수당!$K$2),7),"")</f>
        <v>46180</v>
      </c>
      <c r="C727" s="31"/>
      <c r="D727" s="29"/>
      <c r="E727" s="29"/>
      <c r="F727" s="32"/>
      <c r="G727" s="29"/>
      <c r="H727" s="29"/>
      <c r="I727" s="29"/>
      <c r="J727" s="33">
        <f>IF($O727="방문완료",MAX(0,IFERROR(VLOOKUP($E727,설정_코스수당!$A$6:$H$10,4,FALSE),0)-IF(OR($P727="",$P727="없음"),0,100000)),0)</f>
        <v>0</v>
      </c>
      <c r="K727" s="33">
        <f t="array" ref="K727">IF($O727="방문완료",IFERROR(INDEX(설정_코스수당!$B$15:$F$64,MATCH($G727,설정_코스수당!$A$15:$A$64,0),MATCH($E727&amp;"수당",설정_코스수당!$B$14:$F$14,0)),0),0)</f>
        <v>0</v>
      </c>
      <c r="L727" s="33">
        <f t="array" ref="L727">IF($O727="방문완료",IF($H727="",0,IFERROR(INDEX(설정_코스수당!$B$15:$F$64,MATCH($H727,설정_코스수당!$A$15:$A$64,0),MATCH($E727&amp;"수당",설정_코스수당!$B$14:$F$14,0)),0)),0)</f>
        <v>0</v>
      </c>
      <c r="M727" s="33">
        <f>IF($O727="방문완료",IFERROR(VLOOKUP($E727,설정_코스수당!$A$6:$H$10,6,FALSE),0),0)</f>
        <v>0</v>
      </c>
      <c r="N727" s="34">
        <f t="shared" si="20"/>
        <v>0</v>
      </c>
      <c r="O727" s="29"/>
      <c r="P727" s="29"/>
      <c r="Q727" s="29"/>
      <c r="R727" s="32"/>
      <c r="S727" s="29"/>
    </row>
    <row r="728" spans="1:27" ht="19.5" hidden="1" customHeight="1" outlineLevel="1">
      <c r="A728" s="23">
        <v>97</v>
      </c>
      <c r="B728" s="24">
        <f>IF(7&lt;=DAY(DATE(YEAR(설정_코스수당!$K$2),MONTH(설정_코스수당!$K$2)+1,0)),DATE(YEAR(설정_코스수당!$K$2),MONTH(설정_코스수당!$K$2),7),"")</f>
        <v>46180</v>
      </c>
      <c r="C728" s="25"/>
      <c r="D728" s="23"/>
      <c r="E728" s="23"/>
      <c r="F728" s="26"/>
      <c r="G728" s="23"/>
      <c r="H728" s="23"/>
      <c r="I728" s="23"/>
      <c r="J728" s="27">
        <f>IF($O728="방문완료",MAX(0,IFERROR(VLOOKUP($E728,설정_코스수당!$A$6:$H$10,4,FALSE),0)-IF(OR($P728="",$P728="없음"),0,100000)),0)</f>
        <v>0</v>
      </c>
      <c r="K728" s="27">
        <f t="array" ref="K728">IF($O728="방문완료",IFERROR(INDEX(설정_코스수당!$B$15:$F$64,MATCH($G728,설정_코스수당!$A$15:$A$64,0),MATCH($E728&amp;"수당",설정_코스수당!$B$14:$F$14,0)),0),0)</f>
        <v>0</v>
      </c>
      <c r="L728" s="27">
        <f t="array" ref="L728">IF($O728="방문완료",IF($H728="",0,IFERROR(INDEX(설정_코스수당!$B$15:$F$64,MATCH($H728,설정_코스수당!$A$15:$A$64,0),MATCH($E728&amp;"수당",설정_코스수당!$B$14:$F$14,0)),0)),0)</f>
        <v>0</v>
      </c>
      <c r="M728" s="27">
        <f>IF($O728="방문완료",IFERROR(VLOOKUP($E728,설정_코스수당!$A$6:$H$10,6,FALSE),0),0)</f>
        <v>0</v>
      </c>
      <c r="N728" s="28">
        <f t="shared" si="20"/>
        <v>0</v>
      </c>
      <c r="O728" s="23"/>
      <c r="P728" s="23"/>
      <c r="Q728" s="23"/>
      <c r="R728" s="26"/>
      <c r="S728" s="23"/>
    </row>
    <row r="729" spans="1:27" ht="19.5" hidden="1" customHeight="1" outlineLevel="1">
      <c r="A729" s="29">
        <v>98</v>
      </c>
      <c r="B729" s="30">
        <f>IF(7&lt;=DAY(DATE(YEAR(설정_코스수당!$K$2),MONTH(설정_코스수당!$K$2)+1,0)),DATE(YEAR(설정_코스수당!$K$2),MONTH(설정_코스수당!$K$2),7),"")</f>
        <v>46180</v>
      </c>
      <c r="C729" s="31"/>
      <c r="D729" s="29"/>
      <c r="E729" s="29"/>
      <c r="F729" s="32"/>
      <c r="G729" s="29"/>
      <c r="H729" s="29"/>
      <c r="I729" s="29"/>
      <c r="J729" s="33">
        <f>IF($O729="방문완료",MAX(0,IFERROR(VLOOKUP($E729,설정_코스수당!$A$6:$H$10,4,FALSE),0)-IF(OR($P729="",$P729="없음"),0,100000)),0)</f>
        <v>0</v>
      </c>
      <c r="K729" s="33">
        <f t="array" ref="K729">IF($O729="방문완료",IFERROR(INDEX(설정_코스수당!$B$15:$F$64,MATCH($G729,설정_코스수당!$A$15:$A$64,0),MATCH($E729&amp;"수당",설정_코스수당!$B$14:$F$14,0)),0),0)</f>
        <v>0</v>
      </c>
      <c r="L729" s="33">
        <f t="array" ref="L729">IF($O729="방문완료",IF($H729="",0,IFERROR(INDEX(설정_코스수당!$B$15:$F$64,MATCH($H729,설정_코스수당!$A$15:$A$64,0),MATCH($E729&amp;"수당",설정_코스수당!$B$14:$F$14,0)),0)),0)</f>
        <v>0</v>
      </c>
      <c r="M729" s="33">
        <f>IF($O729="방문완료",IFERROR(VLOOKUP($E729,설정_코스수당!$A$6:$H$10,6,FALSE),0),0)</f>
        <v>0</v>
      </c>
      <c r="N729" s="34">
        <f t="shared" si="20"/>
        <v>0</v>
      </c>
      <c r="O729" s="29"/>
      <c r="P729" s="29"/>
      <c r="Q729" s="29"/>
      <c r="R729" s="32"/>
      <c r="S729" s="29"/>
    </row>
    <row r="730" spans="1:27" ht="19.5" hidden="1" customHeight="1" outlineLevel="1">
      <c r="A730" s="23">
        <v>99</v>
      </c>
      <c r="B730" s="24">
        <f>IF(7&lt;=DAY(DATE(YEAR(설정_코스수당!$K$2),MONTH(설정_코스수당!$K$2)+1,0)),DATE(YEAR(설정_코스수당!$K$2),MONTH(설정_코스수당!$K$2),7),"")</f>
        <v>46180</v>
      </c>
      <c r="C730" s="25"/>
      <c r="D730" s="23"/>
      <c r="E730" s="23"/>
      <c r="F730" s="26"/>
      <c r="G730" s="23"/>
      <c r="H730" s="23"/>
      <c r="I730" s="23"/>
      <c r="J730" s="27">
        <f>IF($O730="방문완료",MAX(0,IFERROR(VLOOKUP($E730,설정_코스수당!$A$6:$H$10,4,FALSE),0)-IF(OR($P730="",$P730="없음"),0,100000)),0)</f>
        <v>0</v>
      </c>
      <c r="K730" s="27">
        <f t="array" ref="K730">IF($O730="방문완료",IFERROR(INDEX(설정_코스수당!$B$15:$F$64,MATCH($G730,설정_코스수당!$A$15:$A$64,0),MATCH($E730&amp;"수당",설정_코스수당!$B$14:$F$14,0)),0),0)</f>
        <v>0</v>
      </c>
      <c r="L730" s="27">
        <f t="array" ref="L730">IF($O730="방문완료",IF($H730="",0,IFERROR(INDEX(설정_코스수당!$B$15:$F$64,MATCH($H730,설정_코스수당!$A$15:$A$64,0),MATCH($E730&amp;"수당",설정_코스수당!$B$14:$F$14,0)),0)),0)</f>
        <v>0</v>
      </c>
      <c r="M730" s="27">
        <f>IF($O730="방문완료",IFERROR(VLOOKUP($E730,설정_코스수당!$A$6:$H$10,6,FALSE),0),0)</f>
        <v>0</v>
      </c>
      <c r="N730" s="28">
        <f t="shared" si="20"/>
        <v>0</v>
      </c>
      <c r="O730" s="23"/>
      <c r="P730" s="23"/>
      <c r="Q730" s="23"/>
      <c r="R730" s="26"/>
      <c r="S730" s="23"/>
    </row>
    <row r="731" spans="1:27" ht="19.5" hidden="1" customHeight="1" outlineLevel="1">
      <c r="A731" s="29">
        <v>100</v>
      </c>
      <c r="B731" s="30">
        <f>IF(7&lt;=DAY(DATE(YEAR(설정_코스수당!$K$2),MONTH(설정_코스수당!$K$2)+1,0)),DATE(YEAR(설정_코스수당!$K$2),MONTH(설정_코스수당!$K$2),7),"")</f>
        <v>46180</v>
      </c>
      <c r="C731" s="31"/>
      <c r="D731" s="29"/>
      <c r="E731" s="29"/>
      <c r="F731" s="32"/>
      <c r="G731" s="29"/>
      <c r="H731" s="29"/>
      <c r="I731" s="29"/>
      <c r="J731" s="33">
        <f>IF($O731="방문완료",MAX(0,IFERROR(VLOOKUP($E731,설정_코스수당!$A$6:$H$10,4,FALSE),0)-IF(OR($P731="",$P731="없음"),0,100000)),0)</f>
        <v>0</v>
      </c>
      <c r="K731" s="33">
        <f t="array" ref="K731">IF($O731="방문완료",IFERROR(INDEX(설정_코스수당!$B$15:$F$64,MATCH($G731,설정_코스수당!$A$15:$A$64,0),MATCH($E731&amp;"수당",설정_코스수당!$B$14:$F$14,0)),0),0)</f>
        <v>0</v>
      </c>
      <c r="L731" s="33">
        <f t="array" ref="L731">IF($O731="방문완료",IF($H731="",0,IFERROR(INDEX(설정_코스수당!$B$15:$F$64,MATCH($H731,설정_코스수당!$A$15:$A$64,0),MATCH($E731&amp;"수당",설정_코스수당!$B$14:$F$14,0)),0)),0)</f>
        <v>0</v>
      </c>
      <c r="M731" s="33">
        <f>IF($O731="방문완료",IFERROR(VLOOKUP($E731,설정_코스수당!$A$6:$H$10,6,FALSE),0),0)</f>
        <v>0</v>
      </c>
      <c r="N731" s="34">
        <f t="shared" si="20"/>
        <v>0</v>
      </c>
      <c r="O731" s="29"/>
      <c r="P731" s="29"/>
      <c r="Q731" s="29"/>
      <c r="R731" s="32"/>
      <c r="S731" s="29"/>
    </row>
    <row r="732" spans="1:27" ht="19.5" hidden="1" customHeight="1" outlineLevel="1">
      <c r="A732" s="36" t="s">
        <v>79</v>
      </c>
      <c r="B732" s="37"/>
      <c r="C732" s="38"/>
      <c r="D732" s="37"/>
      <c r="E732" s="37"/>
      <c r="F732" s="37"/>
      <c r="G732" s="37"/>
      <c r="H732" s="37"/>
      <c r="I732" s="37"/>
      <c r="J732" s="37">
        <f>IF($O732="방문완료",MAX(0,IFERROR(VLOOKUP($E732,설정_코스수당!$A$6:$H$10,4,FALSE),0)-IF(OR($P732="",$P732="없음"),0,100000)),0)</f>
        <v>0</v>
      </c>
      <c r="O732" s="18"/>
      <c r="P732" s="14"/>
      <c r="Q732" s="18"/>
      <c r="S732" s="18"/>
    </row>
    <row r="733" spans="1:27" ht="21" customHeight="1" collapsed="1">
      <c r="A733" s="123" t="str">
        <f>IF(8&lt;=DAY(DATE(YEAR(설정_코스수당!$K$2),MONTH(설정_코스수당!$K$2)+1,0)),TEXT(DATE(YEAR(설정_코스수당!$K$2),MONTH(설정_코스수당!$K$2),8),"yyyy-mm-dd")&amp;"  |  예약관리 100슬롯","")</f>
        <v>2026-06-08  |  예약관리 100슬롯</v>
      </c>
      <c r="B733" s="124"/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 spans="1:27" ht="19.5" hidden="1" customHeight="1" outlineLevel="1">
      <c r="A734" s="20" t="s">
        <v>41</v>
      </c>
      <c r="B734" s="20" t="s">
        <v>42</v>
      </c>
      <c r="C734" s="39" t="s">
        <v>43</v>
      </c>
      <c r="D734" s="20" t="s">
        <v>44</v>
      </c>
      <c r="E734" s="20" t="s">
        <v>45</v>
      </c>
      <c r="F734" s="20" t="s">
        <v>46</v>
      </c>
      <c r="G734" s="20" t="s">
        <v>47</v>
      </c>
      <c r="H734" s="20" t="s">
        <v>48</v>
      </c>
      <c r="I734" s="20" t="s">
        <v>49</v>
      </c>
      <c r="J734" s="20" t="s">
        <v>50</v>
      </c>
      <c r="K734" s="20" t="s">
        <v>51</v>
      </c>
      <c r="L734" s="20" t="s">
        <v>52</v>
      </c>
      <c r="M734" s="20" t="s">
        <v>53</v>
      </c>
      <c r="N734" s="20" t="s">
        <v>54</v>
      </c>
      <c r="O734" s="20" t="s">
        <v>55</v>
      </c>
      <c r="P734" s="20" t="s">
        <v>56</v>
      </c>
      <c r="Q734" s="18"/>
      <c r="R734" s="20" t="s">
        <v>58</v>
      </c>
      <c r="S734" s="20" t="s">
        <v>59</v>
      </c>
      <c r="U734" s="122" t="str">
        <f>IF(8&lt;=DAY(DATE(YEAR(설정_코스수당!$K$2),MONTH(설정_코스수당!$K$2)+1,0)),TEXT(DATE(YEAR(설정_코스수당!$K$2),MONTH(설정_코스수당!$K$2),8),"yyyy-mm-dd")&amp;" 일일 상태","")</f>
        <v>2026-06-08 일일 상태</v>
      </c>
      <c r="V734" s="125"/>
      <c r="W734" s="122" t="s">
        <v>3</v>
      </c>
      <c r="X734" s="125"/>
    </row>
    <row r="735" spans="1:27" ht="19.5" hidden="1" customHeight="1" outlineLevel="1">
      <c r="A735" s="23">
        <v>1</v>
      </c>
      <c r="B735" s="24">
        <f>IF(8&lt;=DAY(DATE(YEAR(설정_코스수당!$K$2),MONTH(설정_코스수당!$K$2)+1,0)),DATE(YEAR(설정_코스수당!$K$2),MONTH(설정_코스수당!$K$2),8),"")</f>
        <v>46181</v>
      </c>
      <c r="C735" s="25"/>
      <c r="D735" s="23"/>
      <c r="E735" s="23"/>
      <c r="F735" s="26"/>
      <c r="G735" s="23"/>
      <c r="H735" s="23"/>
      <c r="I735" s="23"/>
      <c r="J735" s="27">
        <f>IF($O735="방문완료",MAX(0,IFERROR(VLOOKUP($E735,설정_코스수당!$A$6:$H$10,4,FALSE),0)-IF(OR($P735="",$P735="없음"),0,100000)),0)</f>
        <v>0</v>
      </c>
      <c r="K735" s="27">
        <f t="array" ref="K735">IF($O735="방문완료",IFERROR(INDEX(설정_코스수당!$B$15:$F$64,MATCH($G735,설정_코스수당!$A$15:$A$64,0),MATCH($E735&amp;"수당",설정_코스수당!$B$14:$F$14,0)),0),0)</f>
        <v>0</v>
      </c>
      <c r="L735" s="27">
        <f t="array" ref="L735">IF($O735="방문완료",IF($H735="",0,IFERROR(INDEX(설정_코스수당!$B$15:$F$64,MATCH($H735,설정_코스수당!$A$15:$A$64,0),MATCH($E735&amp;"수당",설정_코스수당!$B$14:$F$14,0)),0)),0)</f>
        <v>0</v>
      </c>
      <c r="M735" s="27">
        <f>IF($O735="방문완료",IFERROR(VLOOKUP($E735,설정_코스수당!$A$6:$H$10,6,FALSE),0),0)</f>
        <v>0</v>
      </c>
      <c r="N735" s="28">
        <f t="shared" ref="N735:N766" si="21">IF($O735="방문완료",1,0)</f>
        <v>0</v>
      </c>
      <c r="O735" s="23"/>
      <c r="P735" s="23"/>
      <c r="Q735" s="23"/>
      <c r="R735" s="26"/>
      <c r="S735" s="23"/>
      <c r="U735" s="104" t="s">
        <v>63</v>
      </c>
      <c r="V735" s="105">
        <f>IF(8&lt;=DAY(DATE(YEAR(설정_코스수당!$K$2),MONTH(설정_코스수당!$K$2)+1,0)),COUNTIFS($B:$B,DATE(YEAR(설정_코스수당!$K$2),MONTH(설정_코스수당!$K$2),8),$O:$O,"&lt;&gt;"),"")</f>
        <v>0</v>
      </c>
      <c r="W735" s="104" t="s">
        <v>6</v>
      </c>
      <c r="X735" s="105">
        <f>IF(8&lt;=DAY(DATE(YEAR(설정_코스수당!$K$2),MONTH(설정_코스수당!$K$2)+1,0)),COUNTIFS($B:$B,DATE(YEAR(설정_코스수당!$K$2),MONTH(설정_코스수당!$K$2),8),$E:$E,"A",$O:$O,"방문완료"),"")</f>
        <v>0</v>
      </c>
    </row>
    <row r="736" spans="1:27" ht="19.5" hidden="1" customHeight="1" outlineLevel="1">
      <c r="A736" s="29">
        <v>2</v>
      </c>
      <c r="B736" s="30">
        <f>IF(8&lt;=DAY(DATE(YEAR(설정_코스수당!$K$2),MONTH(설정_코스수당!$K$2)+1,0)),DATE(YEAR(설정_코스수당!$K$2),MONTH(설정_코스수당!$K$2),8),"")</f>
        <v>46181</v>
      </c>
      <c r="C736" s="31"/>
      <c r="D736" s="29"/>
      <c r="E736" s="29"/>
      <c r="F736" s="32"/>
      <c r="G736" s="29"/>
      <c r="H736" s="29"/>
      <c r="I736" s="29"/>
      <c r="J736" s="33">
        <f>IF($O736="방문완료",MAX(0,IFERROR(VLOOKUP($E736,설정_코스수당!$A$6:$H$10,4,FALSE),0)-IF(OR($P736="",$P736="없음"),0,100000)),0)</f>
        <v>0</v>
      </c>
      <c r="K736" s="33">
        <f t="array" ref="K736">IF($O736="방문완료",IFERROR(INDEX(설정_코스수당!$B$15:$F$64,MATCH($G736,설정_코스수당!$A$15:$A$64,0),MATCH($E736&amp;"수당",설정_코스수당!$B$14:$F$14,0)),0),0)</f>
        <v>0</v>
      </c>
      <c r="L736" s="33">
        <f t="array" ref="L736">IF($O736="방문완료",IF($H736="",0,IFERROR(INDEX(설정_코스수당!$B$15:$F$64,MATCH($H736,설정_코스수당!$A$15:$A$64,0),MATCH($E736&amp;"수당",설정_코스수당!$B$14:$F$14,0)),0)),0)</f>
        <v>0</v>
      </c>
      <c r="M736" s="33">
        <f>IF($O736="방문완료",IFERROR(VLOOKUP($E736,설정_코스수당!$A$6:$H$10,6,FALSE),0),0)</f>
        <v>0</v>
      </c>
      <c r="N736" s="34">
        <f t="shared" si="21"/>
        <v>0</v>
      </c>
      <c r="O736" s="29"/>
      <c r="P736" s="29"/>
      <c r="Q736" s="29"/>
      <c r="R736" s="32"/>
      <c r="S736" s="29"/>
      <c r="U736" s="104" t="s">
        <v>62</v>
      </c>
      <c r="V736" s="105">
        <f>IF(8&lt;=DAY(DATE(YEAR(설정_코스수당!$K$2),MONTH(설정_코스수당!$K$2)+1,0)),COUNTIFS($B:$B,DATE(YEAR(설정_코스수당!$K$2),MONTH(설정_코스수당!$K$2),8),$O:$O,"방문완료"),"")</f>
        <v>0</v>
      </c>
      <c r="W736" s="104" t="s">
        <v>9</v>
      </c>
      <c r="X736" s="105">
        <f>IF(8&lt;=DAY(DATE(YEAR(설정_코스수당!$K$2),MONTH(설정_코스수당!$K$2)+1,0)),COUNTIFS($B:$B,DATE(YEAR(설정_코스수당!$K$2),MONTH(설정_코스수당!$K$2),8),$E:$E,"B",$O:$O,"방문완료"),"")</f>
        <v>0</v>
      </c>
    </row>
    <row r="737" spans="1:24" ht="19.5" hidden="1" customHeight="1" outlineLevel="1">
      <c r="A737" s="23">
        <v>3</v>
      </c>
      <c r="B737" s="24">
        <f>IF(8&lt;=DAY(DATE(YEAR(설정_코스수당!$K$2),MONTH(설정_코스수당!$K$2)+1,0)),DATE(YEAR(설정_코스수당!$K$2),MONTH(설정_코스수당!$K$2),8),"")</f>
        <v>46181</v>
      </c>
      <c r="C737" s="25"/>
      <c r="D737" s="23"/>
      <c r="E737" s="23"/>
      <c r="F737" s="26"/>
      <c r="G737" s="23"/>
      <c r="H737" s="23"/>
      <c r="I737" s="23"/>
      <c r="J737" s="27">
        <f>IF($O737="방문완료",MAX(0,IFERROR(VLOOKUP($E737,설정_코스수당!$A$6:$H$10,4,FALSE),0)-IF(OR($P737="",$P737="없음"),0,100000)),0)</f>
        <v>0</v>
      </c>
      <c r="K737" s="27">
        <f t="array" ref="K737">IF($O737="방문완료",IFERROR(INDEX(설정_코스수당!$B$15:$F$64,MATCH($G737,설정_코스수당!$A$15:$A$64,0),MATCH($E737&amp;"수당",설정_코스수당!$B$14:$F$14,0)),0),0)</f>
        <v>0</v>
      </c>
      <c r="L737" s="27">
        <f t="array" ref="L737">IF($O737="방문완료",IF($H737="",0,IFERROR(INDEX(설정_코스수당!$B$15:$F$64,MATCH($H737,설정_코스수당!$A$15:$A$64,0),MATCH($E737&amp;"수당",설정_코스수당!$B$14:$F$14,0)),0)),0)</f>
        <v>0</v>
      </c>
      <c r="M737" s="27">
        <f>IF($O737="방문완료",IFERROR(VLOOKUP($E737,설정_코스수당!$A$6:$H$10,6,FALSE),0),0)</f>
        <v>0</v>
      </c>
      <c r="N737" s="28">
        <f t="shared" si="21"/>
        <v>0</v>
      </c>
      <c r="O737" s="23"/>
      <c r="P737" s="23"/>
      <c r="Q737" s="23"/>
      <c r="R737" s="26"/>
      <c r="S737" s="23"/>
      <c r="U737" s="104" t="s">
        <v>68</v>
      </c>
      <c r="V737" s="105" t="str">
        <f>IF(8&lt;=DAY(DATE(YEAR(설정_코스수당!$K$2),MONTH(설정_코스수당!$K$2)+1,0)),COUNTIFS($B:$B,DATE(YEAR(설정_코스수당!$K$2),MONTH(설정_코스수당!$K$2),8),$O:$O,"노쇼")&amp;"/"&amp;COUNTIFS($B:$B,DATE(YEAR(설정_코스수당!$K$2),MONTH(설정_코스수당!$K$2),8),$O:$O,"취소"),"")</f>
        <v>0/0</v>
      </c>
      <c r="W737" s="104" t="s">
        <v>12</v>
      </c>
      <c r="X737" s="105">
        <f>IF(8&lt;=DAY(DATE(YEAR(설정_코스수당!$K$2),MONTH(설정_코스수당!$K$2)+1,0)),COUNTIFS($B:$B,DATE(YEAR(설정_코스수당!$K$2),MONTH(설정_코스수당!$K$2),8),$E:$E,"C",$O:$O,"방문완료"),"")</f>
        <v>0</v>
      </c>
    </row>
    <row r="738" spans="1:24" ht="19.5" hidden="1" customHeight="1" outlineLevel="1">
      <c r="A738" s="29">
        <v>4</v>
      </c>
      <c r="B738" s="30">
        <f>IF(8&lt;=DAY(DATE(YEAR(설정_코스수당!$K$2),MONTH(설정_코스수당!$K$2)+1,0)),DATE(YEAR(설정_코스수당!$K$2),MONTH(설정_코스수당!$K$2),8),"")</f>
        <v>46181</v>
      </c>
      <c r="C738" s="31"/>
      <c r="D738" s="29"/>
      <c r="E738" s="29"/>
      <c r="F738" s="32"/>
      <c r="G738" s="29"/>
      <c r="H738" s="29"/>
      <c r="I738" s="29"/>
      <c r="J738" s="33">
        <f>IF($O738="방문완료",MAX(0,IFERROR(VLOOKUP($E738,설정_코스수당!$A$6:$H$10,4,FALSE),0)-IF(OR($P738="",$P738="없음"),0,100000)),0)</f>
        <v>0</v>
      </c>
      <c r="K738" s="33">
        <f t="array" ref="K738">IF($O738="방문완료",IFERROR(INDEX(설정_코스수당!$B$15:$F$64,MATCH($G738,설정_코스수당!$A$15:$A$64,0),MATCH($E738&amp;"수당",설정_코스수당!$B$14:$F$14,0)),0),0)</f>
        <v>0</v>
      </c>
      <c r="L738" s="33">
        <f t="array" ref="L738">IF($O738="방문완료",IF($H738="",0,IFERROR(INDEX(설정_코스수당!$B$15:$F$64,MATCH($H738,설정_코스수당!$A$15:$A$64,0),MATCH($E738&amp;"수당",설정_코스수당!$B$14:$F$14,0)),0)),0)</f>
        <v>0</v>
      </c>
      <c r="M738" s="33">
        <f>IF($O738="방문완료",IFERROR(VLOOKUP($E738,설정_코스수당!$A$6:$H$10,6,FALSE),0),0)</f>
        <v>0</v>
      </c>
      <c r="N738" s="34">
        <f t="shared" si="21"/>
        <v>0</v>
      </c>
      <c r="O738" s="29"/>
      <c r="P738" s="29"/>
      <c r="Q738" s="29"/>
      <c r="R738" s="32"/>
      <c r="S738" s="29"/>
      <c r="U738" s="104" t="s">
        <v>69</v>
      </c>
      <c r="V738" s="106">
        <f>IF(8&lt;=DAY(DATE(YEAR(설정_코스수당!$K$2),MONTH(설정_코스수당!$K$2)+1,0)),SUMIFS($J:$J,$B:$B,DATE(YEAR(설정_코스수당!$K$2),MONTH(설정_코스수당!$K$2),8),$O:$O,"방문완료"),"")</f>
        <v>0</v>
      </c>
      <c r="W738" s="104" t="s">
        <v>15</v>
      </c>
      <c r="X738" s="105">
        <f>IF(8&lt;=DAY(DATE(YEAR(설정_코스수당!$K$2),MONTH(설정_코스수당!$K$2)+1,0)),COUNTIFS($B:$B,DATE(YEAR(설정_코스수당!$K$2),MONTH(설정_코스수당!$K$2),8),$E:$E,"D",$O:$O,"방문완료"),"")</f>
        <v>0</v>
      </c>
    </row>
    <row r="739" spans="1:24" ht="19.5" hidden="1" customHeight="1" outlineLevel="1">
      <c r="A739" s="23">
        <v>5</v>
      </c>
      <c r="B739" s="24">
        <f>IF(8&lt;=DAY(DATE(YEAR(설정_코스수당!$K$2),MONTH(설정_코스수당!$K$2)+1,0)),DATE(YEAR(설정_코스수당!$K$2),MONTH(설정_코스수당!$K$2),8),"")</f>
        <v>46181</v>
      </c>
      <c r="C739" s="25"/>
      <c r="D739" s="23"/>
      <c r="E739" s="23"/>
      <c r="F739" s="26"/>
      <c r="G739" s="23"/>
      <c r="H739" s="23"/>
      <c r="I739" s="23"/>
      <c r="J739" s="27">
        <f>IF($O739="방문완료",MAX(0,IFERROR(VLOOKUP($E739,설정_코스수당!$A$6:$H$10,4,FALSE),0)-IF(OR($P739="",$P739="없음"),0,100000)),0)</f>
        <v>0</v>
      </c>
      <c r="K739" s="27">
        <f t="array" ref="K739">IF($O739="방문완료",IFERROR(INDEX(설정_코스수당!$B$15:$F$64,MATCH($G739,설정_코스수당!$A$15:$A$64,0),MATCH($E739&amp;"수당",설정_코스수당!$B$14:$F$14,0)),0),0)</f>
        <v>0</v>
      </c>
      <c r="L739" s="27">
        <f t="array" ref="L739">IF($O739="방문완료",IF($H739="",0,IFERROR(INDEX(설정_코스수당!$B$15:$F$64,MATCH($H739,설정_코스수당!$A$15:$A$64,0),MATCH($E739&amp;"수당",설정_코스수당!$B$14:$F$14,0)),0)),0)</f>
        <v>0</v>
      </c>
      <c r="M739" s="27">
        <f>IF($O739="방문완료",IFERROR(VLOOKUP($E739,설정_코스수당!$A$6:$H$10,6,FALSE),0),0)</f>
        <v>0</v>
      </c>
      <c r="N739" s="28">
        <f t="shared" si="21"/>
        <v>0</v>
      </c>
      <c r="O739" s="23"/>
      <c r="P739" s="23"/>
      <c r="Q739" s="23"/>
      <c r="R739" s="26"/>
      <c r="S739" s="23"/>
      <c r="U739" s="104" t="s">
        <v>70</v>
      </c>
      <c r="V739" s="106">
        <f>IF(8&lt;=DAY(DATE(YEAR(설정_코스수당!$K$2),MONTH(설정_코스수당!$K$2)+1,0)),SUMIFS($K:$K,$B:$B,DATE(YEAR(설정_코스수당!$K$2),MONTH(설정_코스수당!$K$2),8),$O:$O,"방문완료")+SUMIFS($L:$L,$B:$B,DATE(YEAR(설정_코스수당!$K$2),MONTH(설정_코스수당!$K$2),8),$O:$O,"방문완료"),"")</f>
        <v>0</v>
      </c>
      <c r="W739" s="104" t="s">
        <v>18</v>
      </c>
      <c r="X739" s="105">
        <f>IF(8&lt;=DAY(DATE(YEAR(설정_코스수당!$K$2),MONTH(설정_코스수당!$K$2)+1,0)),COUNTIFS($B:$B,DATE(YEAR(설정_코스수당!$K$2),MONTH(설정_코스수당!$K$2),8),$E:$E,"E",$O:$O,"방문완료"),"")</f>
        <v>0</v>
      </c>
    </row>
    <row r="740" spans="1:24" ht="19.5" hidden="1" customHeight="1" outlineLevel="1">
      <c r="A740" s="29">
        <v>6</v>
      </c>
      <c r="B740" s="30">
        <f>IF(8&lt;=DAY(DATE(YEAR(설정_코스수당!$K$2),MONTH(설정_코스수당!$K$2)+1,0)),DATE(YEAR(설정_코스수당!$K$2),MONTH(설정_코스수당!$K$2),8),"")</f>
        <v>46181</v>
      </c>
      <c r="C740" s="31"/>
      <c r="D740" s="29"/>
      <c r="E740" s="29"/>
      <c r="F740" s="32"/>
      <c r="G740" s="29"/>
      <c r="H740" s="29"/>
      <c r="I740" s="29"/>
      <c r="J740" s="33">
        <f>IF($O740="방문완료",MAX(0,IFERROR(VLOOKUP($E740,설정_코스수당!$A$6:$H$10,4,FALSE),0)-IF(OR($P740="",$P740="없음"),0,100000)),0)</f>
        <v>0</v>
      </c>
      <c r="K740" s="33">
        <f t="array" ref="K740">IF($O740="방문완료",IFERROR(INDEX(설정_코스수당!$B$15:$F$64,MATCH($G740,설정_코스수당!$A$15:$A$64,0),MATCH($E740&amp;"수당",설정_코스수당!$B$14:$F$14,0)),0),0)</f>
        <v>0</v>
      </c>
      <c r="L740" s="33">
        <f t="array" ref="L740">IF($O740="방문완료",IF($H740="",0,IFERROR(INDEX(설정_코스수당!$B$15:$F$64,MATCH($H740,설정_코스수당!$A$15:$A$64,0),MATCH($E740&amp;"수당",설정_코스수당!$B$14:$F$14,0)),0)),0)</f>
        <v>0</v>
      </c>
      <c r="M740" s="33">
        <f>IF($O740="방문완료",IFERROR(VLOOKUP($E740,설정_코스수당!$A$6:$H$10,6,FALSE),0),0)</f>
        <v>0</v>
      </c>
      <c r="N740" s="34">
        <f t="shared" si="21"/>
        <v>0</v>
      </c>
      <c r="O740" s="29"/>
      <c r="P740" s="29"/>
      <c r="Q740" s="29"/>
      <c r="R740" s="32"/>
      <c r="S740" s="29"/>
      <c r="U740" s="104" t="s">
        <v>53</v>
      </c>
      <c r="V740" s="106">
        <f>IF(8&lt;=DAY(DATE(YEAR(설정_코스수당!$K$2),MONTH(설정_코스수당!$K$2)+1,0)),SUMIFS($M:$M,$B:$B,DATE(YEAR(설정_코스수당!$K$2),MONTH(설정_코스수당!$K$2),8),$O:$O,"방문완료"),"")</f>
        <v>0</v>
      </c>
      <c r="W740" s="104" t="s">
        <v>71</v>
      </c>
      <c r="X740" s="107">
        <f>IF(8&lt;=DAY(DATE(YEAR(설정_코스수당!$K$2),MONTH(설정_코스수당!$K$2)+1,0)),COUNTIFS($B:$B,DATE(YEAR(설정_코스수당!$K$2),MONTH(설정_코스수당!$K$2),8),$O:$O,"방문완료",$P:$P,"&lt;&gt;",$P:$P,"&lt;&gt;없음"),"")</f>
        <v>0</v>
      </c>
    </row>
    <row r="741" spans="1:24" ht="19.5" hidden="1" customHeight="1" outlineLevel="1">
      <c r="A741" s="23">
        <v>7</v>
      </c>
      <c r="B741" s="24">
        <f>IF(8&lt;=DAY(DATE(YEAR(설정_코스수당!$K$2),MONTH(설정_코스수당!$K$2)+1,0)),DATE(YEAR(설정_코스수당!$K$2),MONTH(설정_코스수당!$K$2),8),"")</f>
        <v>46181</v>
      </c>
      <c r="C741" s="25"/>
      <c r="D741" s="23"/>
      <c r="E741" s="23"/>
      <c r="F741" s="26"/>
      <c r="G741" s="23"/>
      <c r="H741" s="23"/>
      <c r="I741" s="23"/>
      <c r="J741" s="27">
        <f>IF($O741="방문완료",MAX(0,IFERROR(VLOOKUP($E741,설정_코스수당!$A$6:$H$10,4,FALSE),0)-IF(OR($P741="",$P741="없음"),0,100000)),0)</f>
        <v>0</v>
      </c>
      <c r="K741" s="27">
        <f t="array" ref="K741">IF($O741="방문완료",IFERROR(INDEX(설정_코스수당!$B$15:$F$64,MATCH($G741,설정_코스수당!$A$15:$A$64,0),MATCH($E741&amp;"수당",설정_코스수당!$B$14:$F$14,0)),0),0)</f>
        <v>0</v>
      </c>
      <c r="L741" s="27">
        <f t="array" ref="L741">IF($O741="방문완료",IF($H741="",0,IFERROR(INDEX(설정_코스수당!$B$15:$F$64,MATCH($H741,설정_코스수당!$A$15:$A$64,0),MATCH($E741&amp;"수당",설정_코스수당!$B$14:$F$14,0)),0)),0)</f>
        <v>0</v>
      </c>
      <c r="M741" s="27">
        <f>IF($O741="방문완료",IFERROR(VLOOKUP($E741,설정_코스수당!$A$6:$H$10,6,FALSE),0),0)</f>
        <v>0</v>
      </c>
      <c r="N741" s="28">
        <f t="shared" si="21"/>
        <v>0</v>
      </c>
      <c r="O741" s="23"/>
      <c r="P741" s="23"/>
      <c r="Q741" s="23"/>
      <c r="R741" s="26"/>
      <c r="S741" s="23"/>
      <c r="U741" s="104" t="s">
        <v>72</v>
      </c>
      <c r="V741" s="108">
        <f>IF(8&lt;=DAY(DATE(YEAR(설정_코스수당!$K$2),MONTH(설정_코스수당!$K$2)+1,0)),COUNTIFS($B:$B,DATE(YEAR(설정_코스수당!$K$2),MONTH(설정_코스수당!$K$2),8),$O:$O,"방문완료",$P:$P,"&lt;&gt;",$P:$P,"&lt;&gt;없음")*100000,"")</f>
        <v>0</v>
      </c>
      <c r="W741" s="104" t="s">
        <v>73</v>
      </c>
      <c r="X741" s="105">
        <f>IF(8&lt;=DAY(DATE(YEAR(설정_코스수당!$K$2),MONTH(설정_코스수당!$K$2)+1,0)),COUNTIFS($B:$B,DATE(YEAR(설정_코스수당!$K$2),MONTH(설정_코스수당!$K$2),8),$G:$G,"&lt;&gt;",$O:$O,"방문완료")+COUNTIFS($B:$B,DATE(YEAR(설정_코스수당!$K$2),MONTH(설정_코스수당!$K$2),8),$H:$H,"&lt;&gt;",$O:$O,"방문완료"),"")</f>
        <v>0</v>
      </c>
    </row>
    <row r="742" spans="1:24" ht="19.5" hidden="1" customHeight="1" outlineLevel="1">
      <c r="A742" s="29">
        <v>8</v>
      </c>
      <c r="B742" s="30">
        <f>IF(8&lt;=DAY(DATE(YEAR(설정_코스수당!$K$2),MONTH(설정_코스수당!$K$2)+1,0)),DATE(YEAR(설정_코스수당!$K$2),MONTH(설정_코스수당!$K$2),8),"")</f>
        <v>46181</v>
      </c>
      <c r="C742" s="31"/>
      <c r="D742" s="29"/>
      <c r="E742" s="29"/>
      <c r="F742" s="32"/>
      <c r="G742" s="29"/>
      <c r="H742" s="29"/>
      <c r="I742" s="29"/>
      <c r="J742" s="33">
        <f>IF($O742="방문완료",MAX(0,IFERROR(VLOOKUP($E742,설정_코스수당!$A$6:$H$10,4,FALSE),0)-IF(OR($P742="",$P742="없음"),0,100000)),0)</f>
        <v>0</v>
      </c>
      <c r="K742" s="33">
        <f t="array" ref="K742">IF($O742="방문완료",IFERROR(INDEX(설정_코스수당!$B$15:$F$64,MATCH($G742,설정_코스수당!$A$15:$A$64,0),MATCH($E742&amp;"수당",설정_코스수당!$B$14:$F$14,0)),0),0)</f>
        <v>0</v>
      </c>
      <c r="L742" s="33">
        <f t="array" ref="L742">IF($O742="방문완료",IF($H742="",0,IFERROR(INDEX(설정_코스수당!$B$15:$F$64,MATCH($H742,설정_코스수당!$A$15:$A$64,0),MATCH($E742&amp;"수당",설정_코스수당!$B$14:$F$14,0)),0)),0)</f>
        <v>0</v>
      </c>
      <c r="M742" s="33">
        <f>IF($O742="방문완료",IFERROR(VLOOKUP($E742,설정_코스수당!$A$6:$H$10,6,FALSE),0),0)</f>
        <v>0</v>
      </c>
      <c r="N742" s="34">
        <f t="shared" si="21"/>
        <v>0</v>
      </c>
      <c r="O742" s="29"/>
      <c r="P742" s="29"/>
      <c r="Q742" s="29"/>
      <c r="R742" s="32"/>
      <c r="S742" s="29"/>
      <c r="U742" s="104" t="s">
        <v>74</v>
      </c>
      <c r="V742" s="108">
        <f>IF(8&lt;=DAY(DATE(YEAR(설정_코스수당!$K$2),MONTH(설정_코스수당!$K$2)+1,0)),SUM($U$746:$U$753),"")</f>
        <v>0</v>
      </c>
      <c r="W742" s="122" t="str">
        <f>IF(8&lt;=DAY(DATE(YEAR(설정_코스수당!$K$2),MONTH(설정_코스수당!$K$2)+1,0)),"계 : "&amp;TEXT(V738-V742,"#,##0")&amp;" 동","")</f>
        <v>계 : 0 동</v>
      </c>
      <c r="X742" s="122"/>
    </row>
    <row r="743" spans="1:24" ht="19.5" hidden="1" customHeight="1" outlineLevel="1">
      <c r="A743" s="23">
        <v>9</v>
      </c>
      <c r="B743" s="24">
        <f>IF(8&lt;=DAY(DATE(YEAR(설정_코스수당!$K$2),MONTH(설정_코스수당!$K$2)+1,0)),DATE(YEAR(설정_코스수당!$K$2),MONTH(설정_코스수당!$K$2),8),"")</f>
        <v>46181</v>
      </c>
      <c r="C743" s="25"/>
      <c r="D743" s="23"/>
      <c r="E743" s="23"/>
      <c r="F743" s="26"/>
      <c r="G743" s="23"/>
      <c r="H743" s="23"/>
      <c r="I743" s="23"/>
      <c r="J743" s="27">
        <f>IF($O743="방문완료",MAX(0,IFERROR(VLOOKUP($E743,설정_코스수당!$A$6:$H$10,4,FALSE),0)-IF(OR($P743="",$P743="없음"),0,100000)),0)</f>
        <v>0</v>
      </c>
      <c r="K743" s="27">
        <f t="array" ref="K743">IF($O743="방문완료",IFERROR(INDEX(설정_코스수당!$B$15:$F$64,MATCH($G743,설정_코스수당!$A$15:$A$64,0),MATCH($E743&amp;"수당",설정_코스수당!$B$14:$F$14,0)),0),0)</f>
        <v>0</v>
      </c>
      <c r="L743" s="27">
        <f t="array" ref="L743">IF($O743="방문완료",IF($H743="",0,IFERROR(INDEX(설정_코스수당!$B$15:$F$64,MATCH($H743,설정_코스수당!$A$15:$A$64,0),MATCH($E743&amp;"수당",설정_코스수당!$B$14:$F$14,0)),0)),0)</f>
        <v>0</v>
      </c>
      <c r="M743" s="27">
        <f>IF($O743="방문완료",IFERROR(VLOOKUP($E743,설정_코스수당!$A$6:$H$10,6,FALSE),0),0)</f>
        <v>0</v>
      </c>
      <c r="N743" s="28">
        <f t="shared" si="21"/>
        <v>0</v>
      </c>
      <c r="O743" s="23"/>
      <c r="P743" s="23"/>
      <c r="Q743" s="23"/>
      <c r="R743" s="26"/>
      <c r="S743" s="23"/>
    </row>
    <row r="744" spans="1:24" ht="19.5" hidden="1" customHeight="1" outlineLevel="1">
      <c r="A744" s="29">
        <v>10</v>
      </c>
      <c r="B744" s="30">
        <f>IF(8&lt;=DAY(DATE(YEAR(설정_코스수당!$K$2),MONTH(설정_코스수당!$K$2)+1,0)),DATE(YEAR(설정_코스수당!$K$2),MONTH(설정_코스수당!$K$2),8),"")</f>
        <v>46181</v>
      </c>
      <c r="C744" s="31"/>
      <c r="D744" s="29"/>
      <c r="E744" s="29"/>
      <c r="F744" s="32"/>
      <c r="G744" s="29"/>
      <c r="H744" s="29"/>
      <c r="I744" s="29"/>
      <c r="J744" s="33">
        <f>IF($O744="방문완료",MAX(0,IFERROR(VLOOKUP($E744,설정_코스수당!$A$6:$H$10,4,FALSE),0)-IF(OR($P744="",$P744="없음"),0,100000)),0)</f>
        <v>0</v>
      </c>
      <c r="K744" s="33">
        <f t="array" ref="K744">IF($O744="방문완료",IFERROR(INDEX(설정_코스수당!$B$15:$F$64,MATCH($G744,설정_코스수당!$A$15:$A$64,0),MATCH($E744&amp;"수당",설정_코스수당!$B$14:$F$14,0)),0),0)</f>
        <v>0</v>
      </c>
      <c r="L744" s="33">
        <f t="array" ref="L744">IF($O744="방문완료",IF($H744="",0,IFERROR(INDEX(설정_코스수당!$B$15:$F$64,MATCH($H744,설정_코스수당!$A$15:$A$64,0),MATCH($E744&amp;"수당",설정_코스수당!$B$14:$F$14,0)),0)),0)</f>
        <v>0</v>
      </c>
      <c r="M744" s="33">
        <f>IF($O744="방문완료",IFERROR(VLOOKUP($E744,설정_코스수당!$A$6:$H$10,6,FALSE),0),0)</f>
        <v>0</v>
      </c>
      <c r="N744" s="34">
        <f t="shared" si="21"/>
        <v>0</v>
      </c>
      <c r="O744" s="29"/>
      <c r="P744" s="29"/>
      <c r="Q744" s="29"/>
      <c r="R744" s="32"/>
      <c r="S744" s="29"/>
      <c r="U744" s="120" t="s">
        <v>75</v>
      </c>
      <c r="V744" s="121"/>
      <c r="W744" s="121"/>
      <c r="X744" s="121"/>
    </row>
    <row r="745" spans="1:24" ht="19.5" hidden="1" customHeight="1" outlineLevel="1">
      <c r="A745" s="23">
        <v>11</v>
      </c>
      <c r="B745" s="24">
        <f>IF(8&lt;=DAY(DATE(YEAR(설정_코스수당!$K$2),MONTH(설정_코스수당!$K$2)+1,0)),DATE(YEAR(설정_코스수당!$K$2),MONTH(설정_코스수당!$K$2),8),"")</f>
        <v>46181</v>
      </c>
      <c r="C745" s="25"/>
      <c r="D745" s="23"/>
      <c r="E745" s="23"/>
      <c r="F745" s="26"/>
      <c r="G745" s="23"/>
      <c r="H745" s="23"/>
      <c r="I745" s="23"/>
      <c r="J745" s="27">
        <f>IF($O745="방문완료",MAX(0,IFERROR(VLOOKUP($E745,설정_코스수당!$A$6:$H$10,4,FALSE),0)-IF(OR($P745="",$P745="없음"),0,100000)),0)</f>
        <v>0</v>
      </c>
      <c r="K745" s="27">
        <f t="array" ref="K745">IF($O745="방문완료",IFERROR(INDEX(설정_코스수당!$B$15:$F$64,MATCH($G745,설정_코스수당!$A$15:$A$64,0),MATCH($E745&amp;"수당",설정_코스수당!$B$14:$F$14,0)),0),0)</f>
        <v>0</v>
      </c>
      <c r="L745" s="27">
        <f t="array" ref="L745">IF($O745="방문완료",IF($H745="",0,IFERROR(INDEX(설정_코스수당!$B$15:$F$64,MATCH($H745,설정_코스수당!$A$15:$A$64,0),MATCH($E745&amp;"수당",설정_코스수당!$B$14:$F$14,0)),0)),0)</f>
        <v>0</v>
      </c>
      <c r="M745" s="27">
        <f>IF($O745="방문완료",IFERROR(VLOOKUP($E745,설정_코스수당!$A$6:$H$10,6,FALSE),0),0)</f>
        <v>0</v>
      </c>
      <c r="N745" s="28">
        <f t="shared" si="21"/>
        <v>0</v>
      </c>
      <c r="O745" s="23"/>
      <c r="P745" s="23"/>
      <c r="Q745" s="23"/>
      <c r="R745" s="26"/>
      <c r="S745" s="23"/>
      <c r="U745" s="109" t="s">
        <v>76</v>
      </c>
      <c r="V745" s="109" t="s">
        <v>77</v>
      </c>
      <c r="W745" s="109" t="s">
        <v>78</v>
      </c>
      <c r="X745" s="109" t="s">
        <v>58</v>
      </c>
    </row>
    <row r="746" spans="1:24" ht="19.5" hidden="1" customHeight="1" outlineLevel="1">
      <c r="A746" s="29">
        <v>12</v>
      </c>
      <c r="B746" s="30">
        <f>IF(8&lt;=DAY(DATE(YEAR(설정_코스수당!$K$2),MONTH(설정_코스수당!$K$2)+1,0)),DATE(YEAR(설정_코스수당!$K$2),MONTH(설정_코스수당!$K$2),8),"")</f>
        <v>46181</v>
      </c>
      <c r="C746" s="31"/>
      <c r="D746" s="29"/>
      <c r="E746" s="29"/>
      <c r="F746" s="32"/>
      <c r="G746" s="29"/>
      <c r="H746" s="29"/>
      <c r="I746" s="29"/>
      <c r="J746" s="33">
        <f>IF($O746="방문완료",MAX(0,IFERROR(VLOOKUP($E746,설정_코스수당!$A$6:$H$10,4,FALSE),0)-IF(OR($P746="",$P746="없음"),0,100000)),0)</f>
        <v>0</v>
      </c>
      <c r="K746" s="33">
        <f t="array" ref="K746">IF($O746="방문완료",IFERROR(INDEX(설정_코스수당!$B$15:$F$64,MATCH($G746,설정_코스수당!$A$15:$A$64,0),MATCH($E746&amp;"수당",설정_코스수당!$B$14:$F$14,0)),0),0)</f>
        <v>0</v>
      </c>
      <c r="L746" s="33">
        <f t="array" ref="L746">IF($O746="방문완료",IF($H746="",0,IFERROR(INDEX(설정_코스수당!$B$15:$F$64,MATCH($H746,설정_코스수당!$A$15:$A$64,0),MATCH($E746&amp;"수당",설정_코스수당!$B$14:$F$14,0)),0)),0)</f>
        <v>0</v>
      </c>
      <c r="M746" s="33">
        <f>IF($O746="방문완료",IFERROR(VLOOKUP($E746,설정_코스수당!$A$6:$H$10,6,FALSE),0),0)</f>
        <v>0</v>
      </c>
      <c r="N746" s="34">
        <f t="shared" si="21"/>
        <v>0</v>
      </c>
      <c r="O746" s="29"/>
      <c r="P746" s="29"/>
      <c r="Q746" s="29"/>
      <c r="R746" s="32"/>
      <c r="S746" s="29"/>
      <c r="U746" s="113"/>
      <c r="V746" s="111"/>
      <c r="W746" s="112"/>
      <c r="X746" s="111"/>
    </row>
    <row r="747" spans="1:24" ht="19.5" hidden="1" customHeight="1" outlineLevel="1">
      <c r="A747" s="23">
        <v>13</v>
      </c>
      <c r="B747" s="24">
        <f>IF(8&lt;=DAY(DATE(YEAR(설정_코스수당!$K$2),MONTH(설정_코스수당!$K$2)+1,0)),DATE(YEAR(설정_코스수당!$K$2),MONTH(설정_코스수당!$K$2),8),"")</f>
        <v>46181</v>
      </c>
      <c r="C747" s="25"/>
      <c r="D747" s="23"/>
      <c r="E747" s="23"/>
      <c r="F747" s="26"/>
      <c r="G747" s="23"/>
      <c r="H747" s="23"/>
      <c r="I747" s="23"/>
      <c r="J747" s="27">
        <f>IF($O747="방문완료",MAX(0,IFERROR(VLOOKUP($E747,설정_코스수당!$A$6:$H$10,4,FALSE),0)-IF(OR($P747="",$P747="없음"),0,100000)),0)</f>
        <v>0</v>
      </c>
      <c r="K747" s="27">
        <f t="array" ref="K747">IF($O747="방문완료",IFERROR(INDEX(설정_코스수당!$B$15:$F$64,MATCH($G747,설정_코스수당!$A$15:$A$64,0),MATCH($E747&amp;"수당",설정_코스수당!$B$14:$F$14,0)),0),0)</f>
        <v>0</v>
      </c>
      <c r="L747" s="27">
        <f t="array" ref="L747">IF($O747="방문완료",IF($H747="",0,IFERROR(INDEX(설정_코스수당!$B$15:$F$64,MATCH($H747,설정_코스수당!$A$15:$A$64,0),MATCH($E747&amp;"수당",설정_코스수당!$B$14:$F$14,0)),0)),0)</f>
        <v>0</v>
      </c>
      <c r="M747" s="27">
        <f>IF($O747="방문완료",IFERROR(VLOOKUP($E747,설정_코스수당!$A$6:$H$10,6,FALSE),0),0)</f>
        <v>0</v>
      </c>
      <c r="N747" s="28">
        <f t="shared" si="21"/>
        <v>0</v>
      </c>
      <c r="O747" s="23"/>
      <c r="P747" s="23"/>
      <c r="Q747" s="23"/>
      <c r="R747" s="26"/>
      <c r="S747" s="23"/>
      <c r="U747" s="113"/>
      <c r="V747" s="111"/>
      <c r="W747" s="112"/>
      <c r="X747" s="111"/>
    </row>
    <row r="748" spans="1:24" ht="19.5" hidden="1" customHeight="1" outlineLevel="1">
      <c r="A748" s="29">
        <v>14</v>
      </c>
      <c r="B748" s="30">
        <f>IF(8&lt;=DAY(DATE(YEAR(설정_코스수당!$K$2),MONTH(설정_코스수당!$K$2)+1,0)),DATE(YEAR(설정_코스수당!$K$2),MONTH(설정_코스수당!$K$2),8),"")</f>
        <v>46181</v>
      </c>
      <c r="C748" s="31"/>
      <c r="D748" s="29"/>
      <c r="E748" s="29"/>
      <c r="F748" s="32"/>
      <c r="G748" s="29"/>
      <c r="H748" s="29"/>
      <c r="I748" s="29"/>
      <c r="J748" s="33">
        <f>IF($O748="방문완료",MAX(0,IFERROR(VLOOKUP($E748,설정_코스수당!$A$6:$H$10,4,FALSE),0)-IF(OR($P748="",$P748="없음"),0,100000)),0)</f>
        <v>0</v>
      </c>
      <c r="K748" s="33">
        <f t="array" ref="K748">IF($O748="방문완료",IFERROR(INDEX(설정_코스수당!$B$15:$F$64,MATCH($G748,설정_코스수당!$A$15:$A$64,0),MATCH($E748&amp;"수당",설정_코스수당!$B$14:$F$14,0)),0),0)</f>
        <v>0</v>
      </c>
      <c r="L748" s="33">
        <f t="array" ref="L748">IF($O748="방문완료",IF($H748="",0,IFERROR(INDEX(설정_코스수당!$B$15:$F$64,MATCH($H748,설정_코스수당!$A$15:$A$64,0),MATCH($E748&amp;"수당",설정_코스수당!$B$14:$F$14,0)),0)),0)</f>
        <v>0</v>
      </c>
      <c r="M748" s="33">
        <f>IF($O748="방문완료",IFERROR(VLOOKUP($E748,설정_코스수당!$A$6:$H$10,6,FALSE),0),0)</f>
        <v>0</v>
      </c>
      <c r="N748" s="34">
        <f t="shared" si="21"/>
        <v>0</v>
      </c>
      <c r="O748" s="29"/>
      <c r="P748" s="29"/>
      <c r="Q748" s="29"/>
      <c r="R748" s="32"/>
      <c r="S748" s="29"/>
      <c r="U748" s="113"/>
      <c r="V748" s="111"/>
      <c r="W748" s="112"/>
      <c r="X748" s="111"/>
    </row>
    <row r="749" spans="1:24" ht="19.5" hidden="1" customHeight="1" outlineLevel="1">
      <c r="A749" s="23">
        <v>15</v>
      </c>
      <c r="B749" s="24">
        <f>IF(8&lt;=DAY(DATE(YEAR(설정_코스수당!$K$2),MONTH(설정_코스수당!$K$2)+1,0)),DATE(YEAR(설정_코스수당!$K$2),MONTH(설정_코스수당!$K$2),8),"")</f>
        <v>46181</v>
      </c>
      <c r="C749" s="25"/>
      <c r="D749" s="23"/>
      <c r="E749" s="23"/>
      <c r="F749" s="26"/>
      <c r="G749" s="23"/>
      <c r="H749" s="23"/>
      <c r="I749" s="23"/>
      <c r="J749" s="27">
        <f>IF($O749="방문완료",MAX(0,IFERROR(VLOOKUP($E749,설정_코스수당!$A$6:$H$10,4,FALSE),0)-IF(OR($P749="",$P749="없음"),0,100000)),0)</f>
        <v>0</v>
      </c>
      <c r="K749" s="27">
        <f t="array" ref="K749">IF($O749="방문완료",IFERROR(INDEX(설정_코스수당!$B$15:$F$64,MATCH($G749,설정_코스수당!$A$15:$A$64,0),MATCH($E749&amp;"수당",설정_코스수당!$B$14:$F$14,0)),0),0)</f>
        <v>0</v>
      </c>
      <c r="L749" s="27">
        <f t="array" ref="L749">IF($O749="방문완료",IF($H749="",0,IFERROR(INDEX(설정_코스수당!$B$15:$F$64,MATCH($H749,설정_코스수당!$A$15:$A$64,0),MATCH($E749&amp;"수당",설정_코스수당!$B$14:$F$14,0)),0)),0)</f>
        <v>0</v>
      </c>
      <c r="M749" s="27">
        <f>IF($O749="방문완료",IFERROR(VLOOKUP($E749,설정_코스수당!$A$6:$H$10,6,FALSE),0),0)</f>
        <v>0</v>
      </c>
      <c r="N749" s="28">
        <f t="shared" si="21"/>
        <v>0</v>
      </c>
      <c r="O749" s="23"/>
      <c r="P749" s="23"/>
      <c r="Q749" s="23"/>
      <c r="R749" s="26"/>
      <c r="S749" s="23"/>
      <c r="U749" s="113"/>
      <c r="V749" s="111"/>
      <c r="W749" s="112"/>
      <c r="X749" s="111"/>
    </row>
    <row r="750" spans="1:24" ht="19.5" hidden="1" customHeight="1" outlineLevel="1">
      <c r="A750" s="29">
        <v>16</v>
      </c>
      <c r="B750" s="30">
        <f>IF(8&lt;=DAY(DATE(YEAR(설정_코스수당!$K$2),MONTH(설정_코스수당!$K$2)+1,0)),DATE(YEAR(설정_코스수당!$K$2),MONTH(설정_코스수당!$K$2),8),"")</f>
        <v>46181</v>
      </c>
      <c r="C750" s="31"/>
      <c r="D750" s="29"/>
      <c r="E750" s="29"/>
      <c r="F750" s="32"/>
      <c r="G750" s="29"/>
      <c r="H750" s="29"/>
      <c r="I750" s="29"/>
      <c r="J750" s="33">
        <f>IF($O750="방문완료",MAX(0,IFERROR(VLOOKUP($E750,설정_코스수당!$A$6:$H$10,4,FALSE),0)-IF(OR($P750="",$P750="없음"),0,100000)),0)</f>
        <v>0</v>
      </c>
      <c r="K750" s="33">
        <f t="array" ref="K750">IF($O750="방문완료",IFERROR(INDEX(설정_코스수당!$B$15:$F$64,MATCH($G750,설정_코스수당!$A$15:$A$64,0),MATCH($E750&amp;"수당",설정_코스수당!$B$14:$F$14,0)),0),0)</f>
        <v>0</v>
      </c>
      <c r="L750" s="33">
        <f t="array" ref="L750">IF($O750="방문완료",IF($H750="",0,IFERROR(INDEX(설정_코스수당!$B$15:$F$64,MATCH($H750,설정_코스수당!$A$15:$A$64,0),MATCH($E750&amp;"수당",설정_코스수당!$B$14:$F$14,0)),0)),0)</f>
        <v>0</v>
      </c>
      <c r="M750" s="33">
        <f>IF($O750="방문완료",IFERROR(VLOOKUP($E750,설정_코스수당!$A$6:$H$10,6,FALSE),0),0)</f>
        <v>0</v>
      </c>
      <c r="N750" s="34">
        <f t="shared" si="21"/>
        <v>0</v>
      </c>
      <c r="O750" s="29"/>
      <c r="P750" s="29"/>
      <c r="Q750" s="29"/>
      <c r="R750" s="32"/>
      <c r="S750" s="29"/>
      <c r="U750" s="113"/>
      <c r="V750" s="111"/>
      <c r="W750" s="112"/>
      <c r="X750" s="111"/>
    </row>
    <row r="751" spans="1:24" ht="19.5" hidden="1" customHeight="1" outlineLevel="1">
      <c r="A751" s="23">
        <v>17</v>
      </c>
      <c r="B751" s="24">
        <f>IF(8&lt;=DAY(DATE(YEAR(설정_코스수당!$K$2),MONTH(설정_코스수당!$K$2)+1,0)),DATE(YEAR(설정_코스수당!$K$2),MONTH(설정_코스수당!$K$2),8),"")</f>
        <v>46181</v>
      </c>
      <c r="C751" s="25"/>
      <c r="D751" s="23"/>
      <c r="E751" s="23"/>
      <c r="F751" s="26"/>
      <c r="G751" s="23"/>
      <c r="H751" s="23"/>
      <c r="I751" s="23"/>
      <c r="J751" s="27">
        <f>IF($O751="방문완료",MAX(0,IFERROR(VLOOKUP($E751,설정_코스수당!$A$6:$H$10,4,FALSE),0)-IF(OR($P751="",$P751="없음"),0,100000)),0)</f>
        <v>0</v>
      </c>
      <c r="K751" s="27">
        <f t="array" ref="K751">IF($O751="방문완료",IFERROR(INDEX(설정_코스수당!$B$15:$F$64,MATCH($G751,설정_코스수당!$A$15:$A$64,0),MATCH($E751&amp;"수당",설정_코스수당!$B$14:$F$14,0)),0),0)</f>
        <v>0</v>
      </c>
      <c r="L751" s="27">
        <f t="array" ref="L751">IF($O751="방문완료",IF($H751="",0,IFERROR(INDEX(설정_코스수당!$B$15:$F$64,MATCH($H751,설정_코스수당!$A$15:$A$64,0),MATCH($E751&amp;"수당",설정_코스수당!$B$14:$F$14,0)),0)),0)</f>
        <v>0</v>
      </c>
      <c r="M751" s="27">
        <f>IF($O751="방문완료",IFERROR(VLOOKUP($E751,설정_코스수당!$A$6:$H$10,6,FALSE),0),0)</f>
        <v>0</v>
      </c>
      <c r="N751" s="28">
        <f t="shared" si="21"/>
        <v>0</v>
      </c>
      <c r="O751" s="23"/>
      <c r="P751" s="23"/>
      <c r="Q751" s="23"/>
      <c r="R751" s="26"/>
      <c r="S751" s="23"/>
      <c r="U751" s="113"/>
      <c r="V751" s="111"/>
      <c r="W751" s="112"/>
      <c r="X751" s="111"/>
    </row>
    <row r="752" spans="1:24" ht="19.5" hidden="1" customHeight="1" outlineLevel="1">
      <c r="A752" s="29">
        <v>18</v>
      </c>
      <c r="B752" s="30">
        <f>IF(8&lt;=DAY(DATE(YEAR(설정_코스수당!$K$2),MONTH(설정_코스수당!$K$2)+1,0)),DATE(YEAR(설정_코스수당!$K$2),MONTH(설정_코스수당!$K$2),8),"")</f>
        <v>46181</v>
      </c>
      <c r="C752" s="31"/>
      <c r="D752" s="29"/>
      <c r="E752" s="29"/>
      <c r="F752" s="32"/>
      <c r="G752" s="29"/>
      <c r="H752" s="29"/>
      <c r="I752" s="29"/>
      <c r="J752" s="33">
        <f>IF($O752="방문완료",MAX(0,IFERROR(VLOOKUP($E752,설정_코스수당!$A$6:$H$10,4,FALSE),0)-IF(OR($P752="",$P752="없음"),0,100000)),0)</f>
        <v>0</v>
      </c>
      <c r="K752" s="33">
        <f t="array" ref="K752">IF($O752="방문완료",IFERROR(INDEX(설정_코스수당!$B$15:$F$64,MATCH($G752,설정_코스수당!$A$15:$A$64,0),MATCH($E752&amp;"수당",설정_코스수당!$B$14:$F$14,0)),0),0)</f>
        <v>0</v>
      </c>
      <c r="L752" s="33">
        <f t="array" ref="L752">IF($O752="방문완료",IF($H752="",0,IFERROR(INDEX(설정_코스수당!$B$15:$F$64,MATCH($H752,설정_코스수당!$A$15:$A$64,0),MATCH($E752&amp;"수당",설정_코스수당!$B$14:$F$14,0)),0)),0)</f>
        <v>0</v>
      </c>
      <c r="M752" s="33">
        <f>IF($O752="방문완료",IFERROR(VLOOKUP($E752,설정_코스수당!$A$6:$H$10,6,FALSE),0),0)</f>
        <v>0</v>
      </c>
      <c r="N752" s="34">
        <f t="shared" si="21"/>
        <v>0</v>
      </c>
      <c r="O752" s="29"/>
      <c r="P752" s="29"/>
      <c r="Q752" s="29"/>
      <c r="R752" s="32"/>
      <c r="S752" s="29"/>
      <c r="U752" s="113"/>
      <c r="V752" s="111"/>
      <c r="W752" s="112"/>
      <c r="X752" s="111"/>
    </row>
    <row r="753" spans="1:24" ht="19.5" hidden="1" customHeight="1" outlineLevel="1">
      <c r="A753" s="23">
        <v>19</v>
      </c>
      <c r="B753" s="24">
        <f>IF(8&lt;=DAY(DATE(YEAR(설정_코스수당!$K$2),MONTH(설정_코스수당!$K$2)+1,0)),DATE(YEAR(설정_코스수당!$K$2),MONTH(설정_코스수당!$K$2),8),"")</f>
        <v>46181</v>
      </c>
      <c r="C753" s="25"/>
      <c r="D753" s="23"/>
      <c r="E753" s="23"/>
      <c r="F753" s="26"/>
      <c r="G753" s="23"/>
      <c r="H753" s="23"/>
      <c r="I753" s="23"/>
      <c r="J753" s="27">
        <f>IF($O753="방문완료",MAX(0,IFERROR(VLOOKUP($E753,설정_코스수당!$A$6:$H$10,4,FALSE),0)-IF(OR($P753="",$P753="없음"),0,100000)),0)</f>
        <v>0</v>
      </c>
      <c r="K753" s="27">
        <f t="array" ref="K753">IF($O753="방문완료",IFERROR(INDEX(설정_코스수당!$B$15:$F$64,MATCH($G753,설정_코스수당!$A$15:$A$64,0),MATCH($E753&amp;"수당",설정_코스수당!$B$14:$F$14,0)),0),0)</f>
        <v>0</v>
      </c>
      <c r="L753" s="27">
        <f t="array" ref="L753">IF($O753="방문완료",IF($H753="",0,IFERROR(INDEX(설정_코스수당!$B$15:$F$64,MATCH($H753,설정_코스수당!$A$15:$A$64,0),MATCH($E753&amp;"수당",설정_코스수당!$B$14:$F$14,0)),0)),0)</f>
        <v>0</v>
      </c>
      <c r="M753" s="27">
        <f>IF($O753="방문완료",IFERROR(VLOOKUP($E753,설정_코스수당!$A$6:$H$10,6,FALSE),0),0)</f>
        <v>0</v>
      </c>
      <c r="N753" s="28">
        <f t="shared" si="21"/>
        <v>0</v>
      </c>
      <c r="O753" s="23"/>
      <c r="P753" s="23"/>
      <c r="Q753" s="23"/>
      <c r="R753" s="26"/>
      <c r="S753" s="23"/>
      <c r="U753" s="113"/>
      <c r="V753" s="111"/>
      <c r="W753" s="112"/>
      <c r="X753" s="111"/>
    </row>
    <row r="754" spans="1:24" ht="19.5" hidden="1" customHeight="1" outlineLevel="1">
      <c r="A754" s="29">
        <v>20</v>
      </c>
      <c r="B754" s="30">
        <f>IF(8&lt;=DAY(DATE(YEAR(설정_코스수당!$K$2),MONTH(설정_코스수당!$K$2)+1,0)),DATE(YEAR(설정_코스수당!$K$2),MONTH(설정_코스수당!$K$2),8),"")</f>
        <v>46181</v>
      </c>
      <c r="C754" s="31"/>
      <c r="D754" s="29"/>
      <c r="E754" s="29"/>
      <c r="F754" s="32"/>
      <c r="G754" s="29"/>
      <c r="H754" s="29"/>
      <c r="I754" s="29"/>
      <c r="J754" s="33">
        <f>IF($O754="방문완료",MAX(0,IFERROR(VLOOKUP($E754,설정_코스수당!$A$6:$H$10,4,FALSE),0)-IF(OR($P754="",$P754="없음"),0,100000)),0)</f>
        <v>0</v>
      </c>
      <c r="K754" s="33">
        <f t="array" ref="K754">IF($O754="방문완료",IFERROR(INDEX(설정_코스수당!$B$15:$F$64,MATCH($G754,설정_코스수당!$A$15:$A$64,0),MATCH($E754&amp;"수당",설정_코스수당!$B$14:$F$14,0)),0),0)</f>
        <v>0</v>
      </c>
      <c r="L754" s="33">
        <f t="array" ref="L754">IF($O754="방문완료",IF($H754="",0,IFERROR(INDEX(설정_코스수당!$B$15:$F$64,MATCH($H754,설정_코스수당!$A$15:$A$64,0),MATCH($E754&amp;"수당",설정_코스수당!$B$14:$F$14,0)),0)),0)</f>
        <v>0</v>
      </c>
      <c r="M754" s="33">
        <f>IF($O754="방문완료",IFERROR(VLOOKUP($E754,설정_코스수당!$A$6:$H$10,6,FALSE),0),0)</f>
        <v>0</v>
      </c>
      <c r="N754" s="34">
        <f t="shared" si="21"/>
        <v>0</v>
      </c>
      <c r="O754" s="29"/>
      <c r="P754" s="29"/>
      <c r="Q754" s="29"/>
      <c r="R754" s="32"/>
      <c r="S754" s="29"/>
    </row>
    <row r="755" spans="1:24" ht="19.5" hidden="1" customHeight="1" outlineLevel="1">
      <c r="A755" s="23">
        <v>21</v>
      </c>
      <c r="B755" s="24">
        <f>IF(8&lt;=DAY(DATE(YEAR(설정_코스수당!$K$2),MONTH(설정_코스수당!$K$2)+1,0)),DATE(YEAR(설정_코스수당!$K$2),MONTH(설정_코스수당!$K$2),8),"")</f>
        <v>46181</v>
      </c>
      <c r="C755" s="25"/>
      <c r="D755" s="23"/>
      <c r="E755" s="23"/>
      <c r="F755" s="26"/>
      <c r="G755" s="23"/>
      <c r="H755" s="23"/>
      <c r="I755" s="23"/>
      <c r="J755" s="27">
        <f>IF($O755="방문완료",MAX(0,IFERROR(VLOOKUP($E755,설정_코스수당!$A$6:$H$10,4,FALSE),0)-IF(OR($P755="",$P755="없음"),0,100000)),0)</f>
        <v>0</v>
      </c>
      <c r="K755" s="27">
        <f t="array" ref="K755">IF($O755="방문완료",IFERROR(INDEX(설정_코스수당!$B$15:$F$64,MATCH($G755,설정_코스수당!$A$15:$A$64,0),MATCH($E755&amp;"수당",설정_코스수당!$B$14:$F$14,0)),0),0)</f>
        <v>0</v>
      </c>
      <c r="L755" s="27">
        <f t="array" ref="L755">IF($O755="방문완료",IF($H755="",0,IFERROR(INDEX(설정_코스수당!$B$15:$F$64,MATCH($H755,설정_코스수당!$A$15:$A$64,0),MATCH($E755&amp;"수당",설정_코스수당!$B$14:$F$14,0)),0)),0)</f>
        <v>0</v>
      </c>
      <c r="M755" s="27">
        <f>IF($O755="방문완료",IFERROR(VLOOKUP($E755,설정_코스수당!$A$6:$H$10,6,FALSE),0),0)</f>
        <v>0</v>
      </c>
      <c r="N755" s="28">
        <f t="shared" si="21"/>
        <v>0</v>
      </c>
      <c r="O755" s="23"/>
      <c r="P755" s="23"/>
      <c r="Q755" s="23"/>
      <c r="R755" s="26"/>
      <c r="S755" s="23"/>
    </row>
    <row r="756" spans="1:24" ht="19.5" hidden="1" customHeight="1" outlineLevel="1">
      <c r="A756" s="29">
        <v>22</v>
      </c>
      <c r="B756" s="30">
        <f>IF(8&lt;=DAY(DATE(YEAR(설정_코스수당!$K$2),MONTH(설정_코스수당!$K$2)+1,0)),DATE(YEAR(설정_코스수당!$K$2),MONTH(설정_코스수당!$K$2),8),"")</f>
        <v>46181</v>
      </c>
      <c r="C756" s="31"/>
      <c r="D756" s="29"/>
      <c r="E756" s="29"/>
      <c r="F756" s="32"/>
      <c r="G756" s="29"/>
      <c r="H756" s="29"/>
      <c r="I756" s="29"/>
      <c r="J756" s="33">
        <f>IF($O756="방문완료",MAX(0,IFERROR(VLOOKUP($E756,설정_코스수당!$A$6:$H$10,4,FALSE),0)-IF(OR($P756="",$P756="없음"),0,100000)),0)</f>
        <v>0</v>
      </c>
      <c r="K756" s="33">
        <f t="array" ref="K756">IF($O756="방문완료",IFERROR(INDEX(설정_코스수당!$B$15:$F$64,MATCH($G756,설정_코스수당!$A$15:$A$64,0),MATCH($E756&amp;"수당",설정_코스수당!$B$14:$F$14,0)),0),0)</f>
        <v>0</v>
      </c>
      <c r="L756" s="33">
        <f t="array" ref="L756">IF($O756="방문완료",IF($H756="",0,IFERROR(INDEX(설정_코스수당!$B$15:$F$64,MATCH($H756,설정_코스수당!$A$15:$A$64,0),MATCH($E756&amp;"수당",설정_코스수당!$B$14:$F$14,0)),0)),0)</f>
        <v>0</v>
      </c>
      <c r="M756" s="33">
        <f>IF($O756="방문완료",IFERROR(VLOOKUP($E756,설정_코스수당!$A$6:$H$10,6,FALSE),0),0)</f>
        <v>0</v>
      </c>
      <c r="N756" s="34">
        <f t="shared" si="21"/>
        <v>0</v>
      </c>
      <c r="O756" s="29"/>
      <c r="P756" s="29"/>
      <c r="Q756" s="29"/>
      <c r="R756" s="32"/>
      <c r="S756" s="29"/>
    </row>
    <row r="757" spans="1:24" ht="19.5" hidden="1" customHeight="1" outlineLevel="1">
      <c r="A757" s="23">
        <v>23</v>
      </c>
      <c r="B757" s="24">
        <f>IF(8&lt;=DAY(DATE(YEAR(설정_코스수당!$K$2),MONTH(설정_코스수당!$K$2)+1,0)),DATE(YEAR(설정_코스수당!$K$2),MONTH(설정_코스수당!$K$2),8),"")</f>
        <v>46181</v>
      </c>
      <c r="C757" s="25"/>
      <c r="D757" s="23"/>
      <c r="E757" s="23"/>
      <c r="F757" s="26"/>
      <c r="G757" s="23"/>
      <c r="H757" s="23"/>
      <c r="I757" s="23"/>
      <c r="J757" s="27">
        <f>IF($O757="방문완료",MAX(0,IFERROR(VLOOKUP($E757,설정_코스수당!$A$6:$H$10,4,FALSE),0)-IF(OR($P757="",$P757="없음"),0,100000)),0)</f>
        <v>0</v>
      </c>
      <c r="K757" s="27">
        <f t="array" ref="K757">IF($O757="방문완료",IFERROR(INDEX(설정_코스수당!$B$15:$F$64,MATCH($G757,설정_코스수당!$A$15:$A$64,0),MATCH($E757&amp;"수당",설정_코스수당!$B$14:$F$14,0)),0),0)</f>
        <v>0</v>
      </c>
      <c r="L757" s="27">
        <f t="array" ref="L757">IF($O757="방문완료",IF($H757="",0,IFERROR(INDEX(설정_코스수당!$B$15:$F$64,MATCH($H757,설정_코스수당!$A$15:$A$64,0),MATCH($E757&amp;"수당",설정_코스수당!$B$14:$F$14,0)),0)),0)</f>
        <v>0</v>
      </c>
      <c r="M757" s="27">
        <f>IF($O757="방문완료",IFERROR(VLOOKUP($E757,설정_코스수당!$A$6:$H$10,6,FALSE),0),0)</f>
        <v>0</v>
      </c>
      <c r="N757" s="28">
        <f t="shared" si="21"/>
        <v>0</v>
      </c>
      <c r="O757" s="23"/>
      <c r="P757" s="23"/>
      <c r="Q757" s="23"/>
      <c r="R757" s="26"/>
      <c r="S757" s="23"/>
    </row>
    <row r="758" spans="1:24" ht="19.5" hidden="1" customHeight="1" outlineLevel="1">
      <c r="A758" s="29">
        <v>24</v>
      </c>
      <c r="B758" s="30">
        <f>IF(8&lt;=DAY(DATE(YEAR(설정_코스수당!$K$2),MONTH(설정_코스수당!$K$2)+1,0)),DATE(YEAR(설정_코스수당!$K$2),MONTH(설정_코스수당!$K$2),8),"")</f>
        <v>46181</v>
      </c>
      <c r="C758" s="31"/>
      <c r="D758" s="29"/>
      <c r="E758" s="29"/>
      <c r="F758" s="32"/>
      <c r="G758" s="29"/>
      <c r="H758" s="29"/>
      <c r="I758" s="29"/>
      <c r="J758" s="33">
        <f>IF($O758="방문완료",MAX(0,IFERROR(VLOOKUP($E758,설정_코스수당!$A$6:$H$10,4,FALSE),0)-IF(OR($P758="",$P758="없음"),0,100000)),0)</f>
        <v>0</v>
      </c>
      <c r="K758" s="33">
        <f t="array" ref="K758">IF($O758="방문완료",IFERROR(INDEX(설정_코스수당!$B$15:$F$64,MATCH($G758,설정_코스수당!$A$15:$A$64,0),MATCH($E758&amp;"수당",설정_코스수당!$B$14:$F$14,0)),0),0)</f>
        <v>0</v>
      </c>
      <c r="L758" s="33">
        <f t="array" ref="L758">IF($O758="방문완료",IF($H758="",0,IFERROR(INDEX(설정_코스수당!$B$15:$F$64,MATCH($H758,설정_코스수당!$A$15:$A$64,0),MATCH($E758&amp;"수당",설정_코스수당!$B$14:$F$14,0)),0)),0)</f>
        <v>0</v>
      </c>
      <c r="M758" s="33">
        <f>IF($O758="방문완료",IFERROR(VLOOKUP($E758,설정_코스수당!$A$6:$H$10,6,FALSE),0),0)</f>
        <v>0</v>
      </c>
      <c r="N758" s="34">
        <f t="shared" si="21"/>
        <v>0</v>
      </c>
      <c r="O758" s="29"/>
      <c r="P758" s="29"/>
      <c r="Q758" s="29"/>
      <c r="R758" s="32"/>
      <c r="S758" s="29"/>
    </row>
    <row r="759" spans="1:24" ht="19.5" hidden="1" customHeight="1" outlineLevel="1">
      <c r="A759" s="23">
        <v>25</v>
      </c>
      <c r="B759" s="24">
        <f>IF(8&lt;=DAY(DATE(YEAR(설정_코스수당!$K$2),MONTH(설정_코스수당!$K$2)+1,0)),DATE(YEAR(설정_코스수당!$K$2),MONTH(설정_코스수당!$K$2),8),"")</f>
        <v>46181</v>
      </c>
      <c r="C759" s="25"/>
      <c r="D759" s="23"/>
      <c r="E759" s="23"/>
      <c r="F759" s="26"/>
      <c r="G759" s="23"/>
      <c r="H759" s="23"/>
      <c r="I759" s="23"/>
      <c r="J759" s="27">
        <f>IF($O759="방문완료",MAX(0,IFERROR(VLOOKUP($E759,설정_코스수당!$A$6:$H$10,4,FALSE),0)-IF(OR($P759="",$P759="없음"),0,100000)),0)</f>
        <v>0</v>
      </c>
      <c r="K759" s="27">
        <f t="array" ref="K759">IF($O759="방문완료",IFERROR(INDEX(설정_코스수당!$B$15:$F$64,MATCH($G759,설정_코스수당!$A$15:$A$64,0),MATCH($E759&amp;"수당",설정_코스수당!$B$14:$F$14,0)),0),0)</f>
        <v>0</v>
      </c>
      <c r="L759" s="27">
        <f t="array" ref="L759">IF($O759="방문완료",IF($H759="",0,IFERROR(INDEX(설정_코스수당!$B$15:$F$64,MATCH($H759,설정_코스수당!$A$15:$A$64,0),MATCH($E759&amp;"수당",설정_코스수당!$B$14:$F$14,0)),0)),0)</f>
        <v>0</v>
      </c>
      <c r="M759" s="27">
        <f>IF($O759="방문완료",IFERROR(VLOOKUP($E759,설정_코스수당!$A$6:$H$10,6,FALSE),0),0)</f>
        <v>0</v>
      </c>
      <c r="N759" s="28">
        <f t="shared" si="21"/>
        <v>0</v>
      </c>
      <c r="O759" s="23"/>
      <c r="P759" s="23"/>
      <c r="Q759" s="23"/>
      <c r="R759" s="26"/>
      <c r="S759" s="23"/>
    </row>
    <row r="760" spans="1:24" ht="19.5" hidden="1" customHeight="1" outlineLevel="1">
      <c r="A760" s="29">
        <v>26</v>
      </c>
      <c r="B760" s="30">
        <f>IF(8&lt;=DAY(DATE(YEAR(설정_코스수당!$K$2),MONTH(설정_코스수당!$K$2)+1,0)),DATE(YEAR(설정_코스수당!$K$2),MONTH(설정_코스수당!$K$2),8),"")</f>
        <v>46181</v>
      </c>
      <c r="C760" s="31"/>
      <c r="D760" s="29"/>
      <c r="E760" s="29"/>
      <c r="F760" s="32"/>
      <c r="G760" s="29"/>
      <c r="H760" s="29"/>
      <c r="I760" s="29"/>
      <c r="J760" s="33">
        <f>IF($O760="방문완료",MAX(0,IFERROR(VLOOKUP($E760,설정_코스수당!$A$6:$H$10,4,FALSE),0)-IF(OR($P760="",$P760="없음"),0,100000)),0)</f>
        <v>0</v>
      </c>
      <c r="K760" s="33">
        <f t="array" ref="K760">IF($O760="방문완료",IFERROR(INDEX(설정_코스수당!$B$15:$F$64,MATCH($G760,설정_코스수당!$A$15:$A$64,0),MATCH($E760&amp;"수당",설정_코스수당!$B$14:$F$14,0)),0),0)</f>
        <v>0</v>
      </c>
      <c r="L760" s="33">
        <f t="array" ref="L760">IF($O760="방문완료",IF($H760="",0,IFERROR(INDEX(설정_코스수당!$B$15:$F$64,MATCH($H760,설정_코스수당!$A$15:$A$64,0),MATCH($E760&amp;"수당",설정_코스수당!$B$14:$F$14,0)),0)),0)</f>
        <v>0</v>
      </c>
      <c r="M760" s="33">
        <f>IF($O760="방문완료",IFERROR(VLOOKUP($E760,설정_코스수당!$A$6:$H$10,6,FALSE),0),0)</f>
        <v>0</v>
      </c>
      <c r="N760" s="34">
        <f t="shared" si="21"/>
        <v>0</v>
      </c>
      <c r="O760" s="29"/>
      <c r="P760" s="29"/>
      <c r="Q760" s="29"/>
      <c r="R760" s="32"/>
      <c r="S760" s="29"/>
    </row>
    <row r="761" spans="1:24" ht="19.5" hidden="1" customHeight="1" outlineLevel="1">
      <c r="A761" s="23">
        <v>27</v>
      </c>
      <c r="B761" s="24">
        <f>IF(8&lt;=DAY(DATE(YEAR(설정_코스수당!$K$2),MONTH(설정_코스수당!$K$2)+1,0)),DATE(YEAR(설정_코스수당!$K$2),MONTH(설정_코스수당!$K$2),8),"")</f>
        <v>46181</v>
      </c>
      <c r="C761" s="25"/>
      <c r="D761" s="23"/>
      <c r="E761" s="23"/>
      <c r="F761" s="26"/>
      <c r="G761" s="23"/>
      <c r="H761" s="23"/>
      <c r="I761" s="23"/>
      <c r="J761" s="27">
        <f>IF($O761="방문완료",MAX(0,IFERROR(VLOOKUP($E761,설정_코스수당!$A$6:$H$10,4,FALSE),0)-IF(OR($P761="",$P761="없음"),0,100000)),0)</f>
        <v>0</v>
      </c>
      <c r="K761" s="27">
        <f t="array" ref="K761">IF($O761="방문완료",IFERROR(INDEX(설정_코스수당!$B$15:$F$64,MATCH($G761,설정_코스수당!$A$15:$A$64,0),MATCH($E761&amp;"수당",설정_코스수당!$B$14:$F$14,0)),0),0)</f>
        <v>0</v>
      </c>
      <c r="L761" s="27">
        <f t="array" ref="L761">IF($O761="방문완료",IF($H761="",0,IFERROR(INDEX(설정_코스수당!$B$15:$F$64,MATCH($H761,설정_코스수당!$A$15:$A$64,0),MATCH($E761&amp;"수당",설정_코스수당!$B$14:$F$14,0)),0)),0)</f>
        <v>0</v>
      </c>
      <c r="M761" s="27">
        <f>IF($O761="방문완료",IFERROR(VLOOKUP($E761,설정_코스수당!$A$6:$H$10,6,FALSE),0),0)</f>
        <v>0</v>
      </c>
      <c r="N761" s="28">
        <f t="shared" si="21"/>
        <v>0</v>
      </c>
      <c r="O761" s="23"/>
      <c r="P761" s="23"/>
      <c r="Q761" s="23"/>
      <c r="R761" s="26"/>
      <c r="S761" s="23"/>
    </row>
    <row r="762" spans="1:24" ht="19.5" hidden="1" customHeight="1" outlineLevel="1">
      <c r="A762" s="29">
        <v>28</v>
      </c>
      <c r="B762" s="30">
        <f>IF(8&lt;=DAY(DATE(YEAR(설정_코스수당!$K$2),MONTH(설정_코스수당!$K$2)+1,0)),DATE(YEAR(설정_코스수당!$K$2),MONTH(설정_코스수당!$K$2),8),"")</f>
        <v>46181</v>
      </c>
      <c r="C762" s="31"/>
      <c r="D762" s="29"/>
      <c r="E762" s="29"/>
      <c r="F762" s="32"/>
      <c r="G762" s="29"/>
      <c r="H762" s="29"/>
      <c r="I762" s="29"/>
      <c r="J762" s="33">
        <f>IF($O762="방문완료",MAX(0,IFERROR(VLOOKUP($E762,설정_코스수당!$A$6:$H$10,4,FALSE),0)-IF(OR($P762="",$P762="없음"),0,100000)),0)</f>
        <v>0</v>
      </c>
      <c r="K762" s="33">
        <f t="array" ref="K762">IF($O762="방문완료",IFERROR(INDEX(설정_코스수당!$B$15:$F$64,MATCH($G762,설정_코스수당!$A$15:$A$64,0),MATCH($E762&amp;"수당",설정_코스수당!$B$14:$F$14,0)),0),0)</f>
        <v>0</v>
      </c>
      <c r="L762" s="33">
        <f t="array" ref="L762">IF($O762="방문완료",IF($H762="",0,IFERROR(INDEX(설정_코스수당!$B$15:$F$64,MATCH($H762,설정_코스수당!$A$15:$A$64,0),MATCH($E762&amp;"수당",설정_코스수당!$B$14:$F$14,0)),0)),0)</f>
        <v>0</v>
      </c>
      <c r="M762" s="33">
        <f>IF($O762="방문완료",IFERROR(VLOOKUP($E762,설정_코스수당!$A$6:$H$10,6,FALSE),0),0)</f>
        <v>0</v>
      </c>
      <c r="N762" s="34">
        <f t="shared" si="21"/>
        <v>0</v>
      </c>
      <c r="O762" s="29"/>
      <c r="P762" s="29"/>
      <c r="Q762" s="29"/>
      <c r="R762" s="32"/>
      <c r="S762" s="29"/>
    </row>
    <row r="763" spans="1:24" ht="19.5" hidden="1" customHeight="1" outlineLevel="1">
      <c r="A763" s="23">
        <v>29</v>
      </c>
      <c r="B763" s="24">
        <f>IF(8&lt;=DAY(DATE(YEAR(설정_코스수당!$K$2),MONTH(설정_코스수당!$K$2)+1,0)),DATE(YEAR(설정_코스수당!$K$2),MONTH(설정_코스수당!$K$2),8),"")</f>
        <v>46181</v>
      </c>
      <c r="C763" s="25"/>
      <c r="D763" s="23"/>
      <c r="E763" s="23"/>
      <c r="F763" s="26"/>
      <c r="G763" s="23"/>
      <c r="H763" s="23"/>
      <c r="I763" s="23"/>
      <c r="J763" s="27">
        <f>IF($O763="방문완료",MAX(0,IFERROR(VLOOKUP($E763,설정_코스수당!$A$6:$H$10,4,FALSE),0)-IF(OR($P763="",$P763="없음"),0,100000)),0)</f>
        <v>0</v>
      </c>
      <c r="K763" s="27">
        <f t="array" ref="K763">IF($O763="방문완료",IFERROR(INDEX(설정_코스수당!$B$15:$F$64,MATCH($G763,설정_코스수당!$A$15:$A$64,0),MATCH($E763&amp;"수당",설정_코스수당!$B$14:$F$14,0)),0),0)</f>
        <v>0</v>
      </c>
      <c r="L763" s="27">
        <f t="array" ref="L763">IF($O763="방문완료",IF($H763="",0,IFERROR(INDEX(설정_코스수당!$B$15:$F$64,MATCH($H763,설정_코스수당!$A$15:$A$64,0),MATCH($E763&amp;"수당",설정_코스수당!$B$14:$F$14,0)),0)),0)</f>
        <v>0</v>
      </c>
      <c r="M763" s="27">
        <f>IF($O763="방문완료",IFERROR(VLOOKUP($E763,설정_코스수당!$A$6:$H$10,6,FALSE),0),0)</f>
        <v>0</v>
      </c>
      <c r="N763" s="28">
        <f t="shared" si="21"/>
        <v>0</v>
      </c>
      <c r="O763" s="23"/>
      <c r="P763" s="23"/>
      <c r="Q763" s="23"/>
      <c r="R763" s="26"/>
      <c r="S763" s="23"/>
    </row>
    <row r="764" spans="1:24" ht="19.5" hidden="1" customHeight="1" outlineLevel="1">
      <c r="A764" s="29">
        <v>30</v>
      </c>
      <c r="B764" s="30">
        <f>IF(8&lt;=DAY(DATE(YEAR(설정_코스수당!$K$2),MONTH(설정_코스수당!$K$2)+1,0)),DATE(YEAR(설정_코스수당!$K$2),MONTH(설정_코스수당!$K$2),8),"")</f>
        <v>46181</v>
      </c>
      <c r="C764" s="31"/>
      <c r="D764" s="29"/>
      <c r="E764" s="29"/>
      <c r="F764" s="32"/>
      <c r="G764" s="29"/>
      <c r="H764" s="29"/>
      <c r="I764" s="29"/>
      <c r="J764" s="33">
        <f>IF($O764="방문완료",MAX(0,IFERROR(VLOOKUP($E764,설정_코스수당!$A$6:$H$10,4,FALSE),0)-IF(OR($P764="",$P764="없음"),0,100000)),0)</f>
        <v>0</v>
      </c>
      <c r="K764" s="33">
        <f t="array" ref="K764">IF($O764="방문완료",IFERROR(INDEX(설정_코스수당!$B$15:$F$64,MATCH($G764,설정_코스수당!$A$15:$A$64,0),MATCH($E764&amp;"수당",설정_코스수당!$B$14:$F$14,0)),0),0)</f>
        <v>0</v>
      </c>
      <c r="L764" s="33">
        <f t="array" ref="L764">IF($O764="방문완료",IF($H764="",0,IFERROR(INDEX(설정_코스수당!$B$15:$F$64,MATCH($H764,설정_코스수당!$A$15:$A$64,0),MATCH($E764&amp;"수당",설정_코스수당!$B$14:$F$14,0)),0)),0)</f>
        <v>0</v>
      </c>
      <c r="M764" s="33">
        <f>IF($O764="방문완료",IFERROR(VLOOKUP($E764,설정_코스수당!$A$6:$H$10,6,FALSE),0),0)</f>
        <v>0</v>
      </c>
      <c r="N764" s="34">
        <f t="shared" si="21"/>
        <v>0</v>
      </c>
      <c r="O764" s="29"/>
      <c r="P764" s="29"/>
      <c r="Q764" s="29"/>
      <c r="R764" s="32"/>
      <c r="S764" s="29"/>
    </row>
    <row r="765" spans="1:24" ht="19.5" hidden="1" customHeight="1" outlineLevel="1">
      <c r="A765" s="23">
        <v>31</v>
      </c>
      <c r="B765" s="24">
        <f>IF(8&lt;=DAY(DATE(YEAR(설정_코스수당!$K$2),MONTH(설정_코스수당!$K$2)+1,0)),DATE(YEAR(설정_코스수당!$K$2),MONTH(설정_코스수당!$K$2),8),"")</f>
        <v>46181</v>
      </c>
      <c r="C765" s="25"/>
      <c r="D765" s="23"/>
      <c r="E765" s="23"/>
      <c r="F765" s="26"/>
      <c r="G765" s="23"/>
      <c r="H765" s="23"/>
      <c r="I765" s="23"/>
      <c r="J765" s="27">
        <f>IF($O765="방문완료",MAX(0,IFERROR(VLOOKUP($E765,설정_코스수당!$A$6:$H$10,4,FALSE),0)-IF(OR($P765="",$P765="없음"),0,100000)),0)</f>
        <v>0</v>
      </c>
      <c r="K765" s="27">
        <f t="array" ref="K765">IF($O765="방문완료",IFERROR(INDEX(설정_코스수당!$B$15:$F$64,MATCH($G765,설정_코스수당!$A$15:$A$64,0),MATCH($E765&amp;"수당",설정_코스수당!$B$14:$F$14,0)),0),0)</f>
        <v>0</v>
      </c>
      <c r="L765" s="27">
        <f t="array" ref="L765">IF($O765="방문완료",IF($H765="",0,IFERROR(INDEX(설정_코스수당!$B$15:$F$64,MATCH($H765,설정_코스수당!$A$15:$A$64,0),MATCH($E765&amp;"수당",설정_코스수당!$B$14:$F$14,0)),0)),0)</f>
        <v>0</v>
      </c>
      <c r="M765" s="27">
        <f>IF($O765="방문완료",IFERROR(VLOOKUP($E765,설정_코스수당!$A$6:$H$10,6,FALSE),0),0)</f>
        <v>0</v>
      </c>
      <c r="N765" s="28">
        <f t="shared" si="21"/>
        <v>0</v>
      </c>
      <c r="O765" s="23"/>
      <c r="P765" s="23"/>
      <c r="Q765" s="23"/>
      <c r="R765" s="26"/>
      <c r="S765" s="23"/>
    </row>
    <row r="766" spans="1:24" ht="19.5" hidden="1" customHeight="1" outlineLevel="1">
      <c r="A766" s="29">
        <v>32</v>
      </c>
      <c r="B766" s="30">
        <f>IF(8&lt;=DAY(DATE(YEAR(설정_코스수당!$K$2),MONTH(설정_코스수당!$K$2)+1,0)),DATE(YEAR(설정_코스수당!$K$2),MONTH(설정_코스수당!$K$2),8),"")</f>
        <v>46181</v>
      </c>
      <c r="C766" s="31"/>
      <c r="D766" s="29"/>
      <c r="E766" s="29"/>
      <c r="F766" s="32"/>
      <c r="G766" s="29"/>
      <c r="H766" s="29"/>
      <c r="I766" s="29"/>
      <c r="J766" s="33">
        <f>IF($O766="방문완료",MAX(0,IFERROR(VLOOKUP($E766,설정_코스수당!$A$6:$H$10,4,FALSE),0)-IF(OR($P766="",$P766="없음"),0,100000)),0)</f>
        <v>0</v>
      </c>
      <c r="K766" s="33">
        <f t="array" ref="K766">IF($O766="방문완료",IFERROR(INDEX(설정_코스수당!$B$15:$F$64,MATCH($G766,설정_코스수당!$A$15:$A$64,0),MATCH($E766&amp;"수당",설정_코스수당!$B$14:$F$14,0)),0),0)</f>
        <v>0</v>
      </c>
      <c r="L766" s="33">
        <f t="array" ref="L766">IF($O766="방문완료",IF($H766="",0,IFERROR(INDEX(설정_코스수당!$B$15:$F$64,MATCH($H766,설정_코스수당!$A$15:$A$64,0),MATCH($E766&amp;"수당",설정_코스수당!$B$14:$F$14,0)),0)),0)</f>
        <v>0</v>
      </c>
      <c r="M766" s="33">
        <f>IF($O766="방문완료",IFERROR(VLOOKUP($E766,설정_코스수당!$A$6:$H$10,6,FALSE),0),0)</f>
        <v>0</v>
      </c>
      <c r="N766" s="34">
        <f t="shared" si="21"/>
        <v>0</v>
      </c>
      <c r="O766" s="29"/>
      <c r="P766" s="29"/>
      <c r="Q766" s="29"/>
      <c r="R766" s="32"/>
      <c r="S766" s="29"/>
    </row>
    <row r="767" spans="1:24" ht="19.5" hidden="1" customHeight="1" outlineLevel="1">
      <c r="A767" s="23">
        <v>33</v>
      </c>
      <c r="B767" s="24">
        <f>IF(8&lt;=DAY(DATE(YEAR(설정_코스수당!$K$2),MONTH(설정_코스수당!$K$2)+1,0)),DATE(YEAR(설정_코스수당!$K$2),MONTH(설정_코스수당!$K$2),8),"")</f>
        <v>46181</v>
      </c>
      <c r="C767" s="25"/>
      <c r="D767" s="23"/>
      <c r="E767" s="23"/>
      <c r="F767" s="26"/>
      <c r="G767" s="23"/>
      <c r="H767" s="23"/>
      <c r="I767" s="23"/>
      <c r="J767" s="27">
        <f>IF($O767="방문완료",MAX(0,IFERROR(VLOOKUP($E767,설정_코스수당!$A$6:$H$10,4,FALSE),0)-IF(OR($P767="",$P767="없음"),0,100000)),0)</f>
        <v>0</v>
      </c>
      <c r="K767" s="27">
        <f t="array" ref="K767">IF($O767="방문완료",IFERROR(INDEX(설정_코스수당!$B$15:$F$64,MATCH($G767,설정_코스수당!$A$15:$A$64,0),MATCH($E767&amp;"수당",설정_코스수당!$B$14:$F$14,0)),0),0)</f>
        <v>0</v>
      </c>
      <c r="L767" s="27">
        <f t="array" ref="L767">IF($O767="방문완료",IF($H767="",0,IFERROR(INDEX(설정_코스수당!$B$15:$F$64,MATCH($H767,설정_코스수당!$A$15:$A$64,0),MATCH($E767&amp;"수당",설정_코스수당!$B$14:$F$14,0)),0)),0)</f>
        <v>0</v>
      </c>
      <c r="M767" s="27">
        <f>IF($O767="방문완료",IFERROR(VLOOKUP($E767,설정_코스수당!$A$6:$H$10,6,FALSE),0),0)</f>
        <v>0</v>
      </c>
      <c r="N767" s="28">
        <f t="shared" ref="N767:N798" si="22">IF($O767="방문완료",1,0)</f>
        <v>0</v>
      </c>
      <c r="O767" s="23"/>
      <c r="P767" s="23"/>
      <c r="Q767" s="23"/>
      <c r="R767" s="26"/>
      <c r="S767" s="23"/>
    </row>
    <row r="768" spans="1:24" ht="19.5" hidden="1" customHeight="1" outlineLevel="1">
      <c r="A768" s="29">
        <v>34</v>
      </c>
      <c r="B768" s="30">
        <f>IF(8&lt;=DAY(DATE(YEAR(설정_코스수당!$K$2),MONTH(설정_코스수당!$K$2)+1,0)),DATE(YEAR(설정_코스수당!$K$2),MONTH(설정_코스수당!$K$2),8),"")</f>
        <v>46181</v>
      </c>
      <c r="C768" s="31"/>
      <c r="D768" s="29"/>
      <c r="E768" s="29"/>
      <c r="F768" s="32"/>
      <c r="G768" s="29"/>
      <c r="H768" s="29"/>
      <c r="I768" s="29"/>
      <c r="J768" s="33">
        <f>IF($O768="방문완료",MAX(0,IFERROR(VLOOKUP($E768,설정_코스수당!$A$6:$H$10,4,FALSE),0)-IF(OR($P768="",$P768="없음"),0,100000)),0)</f>
        <v>0</v>
      </c>
      <c r="K768" s="33">
        <f t="array" ref="K768">IF($O768="방문완료",IFERROR(INDEX(설정_코스수당!$B$15:$F$64,MATCH($G768,설정_코스수당!$A$15:$A$64,0),MATCH($E768&amp;"수당",설정_코스수당!$B$14:$F$14,0)),0),0)</f>
        <v>0</v>
      </c>
      <c r="L768" s="33">
        <f t="array" ref="L768">IF($O768="방문완료",IF($H768="",0,IFERROR(INDEX(설정_코스수당!$B$15:$F$64,MATCH($H768,설정_코스수당!$A$15:$A$64,0),MATCH($E768&amp;"수당",설정_코스수당!$B$14:$F$14,0)),0)),0)</f>
        <v>0</v>
      </c>
      <c r="M768" s="33">
        <f>IF($O768="방문완료",IFERROR(VLOOKUP($E768,설정_코스수당!$A$6:$H$10,6,FALSE),0),0)</f>
        <v>0</v>
      </c>
      <c r="N768" s="34">
        <f t="shared" si="22"/>
        <v>0</v>
      </c>
      <c r="O768" s="29"/>
      <c r="P768" s="29"/>
      <c r="Q768" s="29"/>
      <c r="R768" s="32"/>
      <c r="S768" s="29"/>
    </row>
    <row r="769" spans="1:19" ht="19.5" hidden="1" customHeight="1" outlineLevel="1">
      <c r="A769" s="23">
        <v>35</v>
      </c>
      <c r="B769" s="24">
        <f>IF(8&lt;=DAY(DATE(YEAR(설정_코스수당!$K$2),MONTH(설정_코스수당!$K$2)+1,0)),DATE(YEAR(설정_코스수당!$K$2),MONTH(설정_코스수당!$K$2),8),"")</f>
        <v>46181</v>
      </c>
      <c r="C769" s="25"/>
      <c r="D769" s="23"/>
      <c r="E769" s="23"/>
      <c r="F769" s="26"/>
      <c r="G769" s="23"/>
      <c r="H769" s="23"/>
      <c r="I769" s="23"/>
      <c r="J769" s="27">
        <f>IF($O769="방문완료",MAX(0,IFERROR(VLOOKUP($E769,설정_코스수당!$A$6:$H$10,4,FALSE),0)-IF(OR($P769="",$P769="없음"),0,100000)),0)</f>
        <v>0</v>
      </c>
      <c r="K769" s="27">
        <f t="array" ref="K769">IF($O769="방문완료",IFERROR(INDEX(설정_코스수당!$B$15:$F$64,MATCH($G769,설정_코스수당!$A$15:$A$64,0),MATCH($E769&amp;"수당",설정_코스수당!$B$14:$F$14,0)),0),0)</f>
        <v>0</v>
      </c>
      <c r="L769" s="27">
        <f t="array" ref="L769">IF($O769="방문완료",IF($H769="",0,IFERROR(INDEX(설정_코스수당!$B$15:$F$64,MATCH($H769,설정_코스수당!$A$15:$A$64,0),MATCH($E769&amp;"수당",설정_코스수당!$B$14:$F$14,0)),0)),0)</f>
        <v>0</v>
      </c>
      <c r="M769" s="27">
        <f>IF($O769="방문완료",IFERROR(VLOOKUP($E769,설정_코스수당!$A$6:$H$10,6,FALSE),0),0)</f>
        <v>0</v>
      </c>
      <c r="N769" s="28">
        <f t="shared" si="22"/>
        <v>0</v>
      </c>
      <c r="O769" s="23"/>
      <c r="P769" s="23"/>
      <c r="Q769" s="23"/>
      <c r="R769" s="26"/>
      <c r="S769" s="23"/>
    </row>
    <row r="770" spans="1:19" ht="19.5" hidden="1" customHeight="1" outlineLevel="1">
      <c r="A770" s="29">
        <v>36</v>
      </c>
      <c r="B770" s="30">
        <f>IF(8&lt;=DAY(DATE(YEAR(설정_코스수당!$K$2),MONTH(설정_코스수당!$K$2)+1,0)),DATE(YEAR(설정_코스수당!$K$2),MONTH(설정_코스수당!$K$2),8),"")</f>
        <v>46181</v>
      </c>
      <c r="C770" s="31"/>
      <c r="D770" s="29"/>
      <c r="E770" s="29"/>
      <c r="F770" s="32"/>
      <c r="G770" s="29"/>
      <c r="H770" s="29"/>
      <c r="I770" s="29"/>
      <c r="J770" s="33">
        <f>IF($O770="방문완료",MAX(0,IFERROR(VLOOKUP($E770,설정_코스수당!$A$6:$H$10,4,FALSE),0)-IF(OR($P770="",$P770="없음"),0,100000)),0)</f>
        <v>0</v>
      </c>
      <c r="K770" s="33">
        <f t="array" ref="K770">IF($O770="방문완료",IFERROR(INDEX(설정_코스수당!$B$15:$F$64,MATCH($G770,설정_코스수당!$A$15:$A$64,0),MATCH($E770&amp;"수당",설정_코스수당!$B$14:$F$14,0)),0),0)</f>
        <v>0</v>
      </c>
      <c r="L770" s="33">
        <f t="array" ref="L770">IF($O770="방문완료",IF($H770="",0,IFERROR(INDEX(설정_코스수당!$B$15:$F$64,MATCH($H770,설정_코스수당!$A$15:$A$64,0),MATCH($E770&amp;"수당",설정_코스수당!$B$14:$F$14,0)),0)),0)</f>
        <v>0</v>
      </c>
      <c r="M770" s="33">
        <f>IF($O770="방문완료",IFERROR(VLOOKUP($E770,설정_코스수당!$A$6:$H$10,6,FALSE),0),0)</f>
        <v>0</v>
      </c>
      <c r="N770" s="34">
        <f t="shared" si="22"/>
        <v>0</v>
      </c>
      <c r="O770" s="29"/>
      <c r="P770" s="29"/>
      <c r="Q770" s="29"/>
      <c r="R770" s="32"/>
      <c r="S770" s="29"/>
    </row>
    <row r="771" spans="1:19" ht="19.5" hidden="1" customHeight="1" outlineLevel="1">
      <c r="A771" s="23">
        <v>37</v>
      </c>
      <c r="B771" s="24">
        <f>IF(8&lt;=DAY(DATE(YEAR(설정_코스수당!$K$2),MONTH(설정_코스수당!$K$2)+1,0)),DATE(YEAR(설정_코스수당!$K$2),MONTH(설정_코스수당!$K$2),8),"")</f>
        <v>46181</v>
      </c>
      <c r="C771" s="25"/>
      <c r="D771" s="23"/>
      <c r="E771" s="23"/>
      <c r="F771" s="26"/>
      <c r="G771" s="23"/>
      <c r="H771" s="23"/>
      <c r="I771" s="23"/>
      <c r="J771" s="27">
        <f>IF($O771="방문완료",MAX(0,IFERROR(VLOOKUP($E771,설정_코스수당!$A$6:$H$10,4,FALSE),0)-IF(OR($P771="",$P771="없음"),0,100000)),0)</f>
        <v>0</v>
      </c>
      <c r="K771" s="27">
        <f t="array" ref="K771">IF($O771="방문완료",IFERROR(INDEX(설정_코스수당!$B$15:$F$64,MATCH($G771,설정_코스수당!$A$15:$A$64,0),MATCH($E771&amp;"수당",설정_코스수당!$B$14:$F$14,0)),0),0)</f>
        <v>0</v>
      </c>
      <c r="L771" s="27">
        <f t="array" ref="L771">IF($O771="방문완료",IF($H771="",0,IFERROR(INDEX(설정_코스수당!$B$15:$F$64,MATCH($H771,설정_코스수당!$A$15:$A$64,0),MATCH($E771&amp;"수당",설정_코스수당!$B$14:$F$14,0)),0)),0)</f>
        <v>0</v>
      </c>
      <c r="M771" s="27">
        <f>IF($O771="방문완료",IFERROR(VLOOKUP($E771,설정_코스수당!$A$6:$H$10,6,FALSE),0),0)</f>
        <v>0</v>
      </c>
      <c r="N771" s="28">
        <f t="shared" si="22"/>
        <v>0</v>
      </c>
      <c r="O771" s="23"/>
      <c r="P771" s="23"/>
      <c r="Q771" s="23"/>
      <c r="R771" s="26"/>
      <c r="S771" s="23"/>
    </row>
    <row r="772" spans="1:19" ht="19.5" hidden="1" customHeight="1" outlineLevel="1">
      <c r="A772" s="29">
        <v>38</v>
      </c>
      <c r="B772" s="30">
        <f>IF(8&lt;=DAY(DATE(YEAR(설정_코스수당!$K$2),MONTH(설정_코스수당!$K$2)+1,0)),DATE(YEAR(설정_코스수당!$K$2),MONTH(설정_코스수당!$K$2),8),"")</f>
        <v>46181</v>
      </c>
      <c r="C772" s="31"/>
      <c r="D772" s="29"/>
      <c r="E772" s="29"/>
      <c r="F772" s="32"/>
      <c r="G772" s="29"/>
      <c r="H772" s="29"/>
      <c r="I772" s="29"/>
      <c r="J772" s="33">
        <f>IF($O772="방문완료",MAX(0,IFERROR(VLOOKUP($E772,설정_코스수당!$A$6:$H$10,4,FALSE),0)-IF(OR($P772="",$P772="없음"),0,100000)),0)</f>
        <v>0</v>
      </c>
      <c r="K772" s="33">
        <f t="array" ref="K772">IF($O772="방문완료",IFERROR(INDEX(설정_코스수당!$B$15:$F$64,MATCH($G772,설정_코스수당!$A$15:$A$64,0),MATCH($E772&amp;"수당",설정_코스수당!$B$14:$F$14,0)),0),0)</f>
        <v>0</v>
      </c>
      <c r="L772" s="33">
        <f t="array" ref="L772">IF($O772="방문완료",IF($H772="",0,IFERROR(INDEX(설정_코스수당!$B$15:$F$64,MATCH($H772,설정_코스수당!$A$15:$A$64,0),MATCH($E772&amp;"수당",설정_코스수당!$B$14:$F$14,0)),0)),0)</f>
        <v>0</v>
      </c>
      <c r="M772" s="33">
        <f>IF($O772="방문완료",IFERROR(VLOOKUP($E772,설정_코스수당!$A$6:$H$10,6,FALSE),0),0)</f>
        <v>0</v>
      </c>
      <c r="N772" s="34">
        <f t="shared" si="22"/>
        <v>0</v>
      </c>
      <c r="O772" s="29"/>
      <c r="P772" s="29"/>
      <c r="Q772" s="29"/>
      <c r="R772" s="32"/>
      <c r="S772" s="29"/>
    </row>
    <row r="773" spans="1:19" ht="19.5" hidden="1" customHeight="1" outlineLevel="1">
      <c r="A773" s="23">
        <v>39</v>
      </c>
      <c r="B773" s="24">
        <f>IF(8&lt;=DAY(DATE(YEAR(설정_코스수당!$K$2),MONTH(설정_코스수당!$K$2)+1,0)),DATE(YEAR(설정_코스수당!$K$2),MONTH(설정_코스수당!$K$2),8),"")</f>
        <v>46181</v>
      </c>
      <c r="C773" s="25"/>
      <c r="D773" s="23"/>
      <c r="E773" s="23"/>
      <c r="F773" s="26"/>
      <c r="G773" s="23"/>
      <c r="H773" s="23"/>
      <c r="I773" s="23"/>
      <c r="J773" s="27">
        <f>IF($O773="방문완료",MAX(0,IFERROR(VLOOKUP($E773,설정_코스수당!$A$6:$H$10,4,FALSE),0)-IF(OR($P773="",$P773="없음"),0,100000)),0)</f>
        <v>0</v>
      </c>
      <c r="K773" s="27">
        <f t="array" ref="K773">IF($O773="방문완료",IFERROR(INDEX(설정_코스수당!$B$15:$F$64,MATCH($G773,설정_코스수당!$A$15:$A$64,0),MATCH($E773&amp;"수당",설정_코스수당!$B$14:$F$14,0)),0),0)</f>
        <v>0</v>
      </c>
      <c r="L773" s="27">
        <f t="array" ref="L773">IF($O773="방문완료",IF($H773="",0,IFERROR(INDEX(설정_코스수당!$B$15:$F$64,MATCH($H773,설정_코스수당!$A$15:$A$64,0),MATCH($E773&amp;"수당",설정_코스수당!$B$14:$F$14,0)),0)),0)</f>
        <v>0</v>
      </c>
      <c r="M773" s="27">
        <f>IF($O773="방문완료",IFERROR(VLOOKUP($E773,설정_코스수당!$A$6:$H$10,6,FALSE),0),0)</f>
        <v>0</v>
      </c>
      <c r="N773" s="28">
        <f t="shared" si="22"/>
        <v>0</v>
      </c>
      <c r="O773" s="23"/>
      <c r="P773" s="23"/>
      <c r="Q773" s="23"/>
      <c r="R773" s="26"/>
      <c r="S773" s="23"/>
    </row>
    <row r="774" spans="1:19" ht="19.5" hidden="1" customHeight="1" outlineLevel="1">
      <c r="A774" s="29">
        <v>40</v>
      </c>
      <c r="B774" s="30">
        <f>IF(8&lt;=DAY(DATE(YEAR(설정_코스수당!$K$2),MONTH(설정_코스수당!$K$2)+1,0)),DATE(YEAR(설정_코스수당!$K$2),MONTH(설정_코스수당!$K$2),8),"")</f>
        <v>46181</v>
      </c>
      <c r="C774" s="31"/>
      <c r="D774" s="29"/>
      <c r="E774" s="29"/>
      <c r="F774" s="32"/>
      <c r="G774" s="29"/>
      <c r="H774" s="29"/>
      <c r="I774" s="29"/>
      <c r="J774" s="33">
        <f>IF($O774="방문완료",MAX(0,IFERROR(VLOOKUP($E774,설정_코스수당!$A$6:$H$10,4,FALSE),0)-IF(OR($P774="",$P774="없음"),0,100000)),0)</f>
        <v>0</v>
      </c>
      <c r="K774" s="33">
        <f t="array" ref="K774">IF($O774="방문완료",IFERROR(INDEX(설정_코스수당!$B$15:$F$64,MATCH($G774,설정_코스수당!$A$15:$A$64,0),MATCH($E774&amp;"수당",설정_코스수당!$B$14:$F$14,0)),0),0)</f>
        <v>0</v>
      </c>
      <c r="L774" s="33">
        <f t="array" ref="L774">IF($O774="방문완료",IF($H774="",0,IFERROR(INDEX(설정_코스수당!$B$15:$F$64,MATCH($H774,설정_코스수당!$A$15:$A$64,0),MATCH($E774&amp;"수당",설정_코스수당!$B$14:$F$14,0)),0)),0)</f>
        <v>0</v>
      </c>
      <c r="M774" s="33">
        <f>IF($O774="방문완료",IFERROR(VLOOKUP($E774,설정_코스수당!$A$6:$H$10,6,FALSE),0),0)</f>
        <v>0</v>
      </c>
      <c r="N774" s="34">
        <f t="shared" si="22"/>
        <v>0</v>
      </c>
      <c r="O774" s="29"/>
      <c r="P774" s="29"/>
      <c r="Q774" s="29"/>
      <c r="R774" s="32"/>
      <c r="S774" s="29"/>
    </row>
    <row r="775" spans="1:19" ht="19.5" hidden="1" customHeight="1" outlineLevel="1">
      <c r="A775" s="23">
        <v>41</v>
      </c>
      <c r="B775" s="24">
        <f>IF(8&lt;=DAY(DATE(YEAR(설정_코스수당!$K$2),MONTH(설정_코스수당!$K$2)+1,0)),DATE(YEAR(설정_코스수당!$K$2),MONTH(설정_코스수당!$K$2),8),"")</f>
        <v>46181</v>
      </c>
      <c r="C775" s="25"/>
      <c r="D775" s="23"/>
      <c r="E775" s="23"/>
      <c r="F775" s="26"/>
      <c r="G775" s="23"/>
      <c r="H775" s="23"/>
      <c r="I775" s="23"/>
      <c r="J775" s="27">
        <f>IF($O775="방문완료",MAX(0,IFERROR(VLOOKUP($E775,설정_코스수당!$A$6:$H$10,4,FALSE),0)-IF(OR($P775="",$P775="없음"),0,100000)),0)</f>
        <v>0</v>
      </c>
      <c r="K775" s="27">
        <f t="array" ref="K775">IF($O775="방문완료",IFERROR(INDEX(설정_코스수당!$B$15:$F$64,MATCH($G775,설정_코스수당!$A$15:$A$64,0),MATCH($E775&amp;"수당",설정_코스수당!$B$14:$F$14,0)),0),0)</f>
        <v>0</v>
      </c>
      <c r="L775" s="27">
        <f t="array" ref="L775">IF($O775="방문완료",IF($H775="",0,IFERROR(INDEX(설정_코스수당!$B$15:$F$64,MATCH($H775,설정_코스수당!$A$15:$A$64,0),MATCH($E775&amp;"수당",설정_코스수당!$B$14:$F$14,0)),0)),0)</f>
        <v>0</v>
      </c>
      <c r="M775" s="27">
        <f>IF($O775="방문완료",IFERROR(VLOOKUP($E775,설정_코스수당!$A$6:$H$10,6,FALSE),0),0)</f>
        <v>0</v>
      </c>
      <c r="N775" s="28">
        <f t="shared" si="22"/>
        <v>0</v>
      </c>
      <c r="O775" s="23"/>
      <c r="P775" s="23"/>
      <c r="Q775" s="23"/>
      <c r="R775" s="26"/>
      <c r="S775" s="23"/>
    </row>
    <row r="776" spans="1:19" ht="19.5" hidden="1" customHeight="1" outlineLevel="1">
      <c r="A776" s="29">
        <v>42</v>
      </c>
      <c r="B776" s="30">
        <f>IF(8&lt;=DAY(DATE(YEAR(설정_코스수당!$K$2),MONTH(설정_코스수당!$K$2)+1,0)),DATE(YEAR(설정_코스수당!$K$2),MONTH(설정_코스수당!$K$2),8),"")</f>
        <v>46181</v>
      </c>
      <c r="C776" s="31"/>
      <c r="D776" s="29"/>
      <c r="E776" s="29"/>
      <c r="F776" s="32"/>
      <c r="G776" s="29"/>
      <c r="H776" s="29"/>
      <c r="I776" s="29"/>
      <c r="J776" s="33">
        <f>IF($O776="방문완료",MAX(0,IFERROR(VLOOKUP($E776,설정_코스수당!$A$6:$H$10,4,FALSE),0)-IF(OR($P776="",$P776="없음"),0,100000)),0)</f>
        <v>0</v>
      </c>
      <c r="K776" s="33">
        <f t="array" ref="K776">IF($O776="방문완료",IFERROR(INDEX(설정_코스수당!$B$15:$F$64,MATCH($G776,설정_코스수당!$A$15:$A$64,0),MATCH($E776&amp;"수당",설정_코스수당!$B$14:$F$14,0)),0),0)</f>
        <v>0</v>
      </c>
      <c r="L776" s="33">
        <f t="array" ref="L776">IF($O776="방문완료",IF($H776="",0,IFERROR(INDEX(설정_코스수당!$B$15:$F$64,MATCH($H776,설정_코스수당!$A$15:$A$64,0),MATCH($E776&amp;"수당",설정_코스수당!$B$14:$F$14,0)),0)),0)</f>
        <v>0</v>
      </c>
      <c r="M776" s="33">
        <f>IF($O776="방문완료",IFERROR(VLOOKUP($E776,설정_코스수당!$A$6:$H$10,6,FALSE),0),0)</f>
        <v>0</v>
      </c>
      <c r="N776" s="34">
        <f t="shared" si="22"/>
        <v>0</v>
      </c>
      <c r="O776" s="29"/>
      <c r="P776" s="29"/>
      <c r="Q776" s="29"/>
      <c r="R776" s="32"/>
      <c r="S776" s="29"/>
    </row>
    <row r="777" spans="1:19" ht="19.5" hidden="1" customHeight="1" outlineLevel="1">
      <c r="A777" s="23">
        <v>43</v>
      </c>
      <c r="B777" s="24">
        <f>IF(8&lt;=DAY(DATE(YEAR(설정_코스수당!$K$2),MONTH(설정_코스수당!$K$2)+1,0)),DATE(YEAR(설정_코스수당!$K$2),MONTH(설정_코스수당!$K$2),8),"")</f>
        <v>46181</v>
      </c>
      <c r="C777" s="25"/>
      <c r="D777" s="23"/>
      <c r="E777" s="23"/>
      <c r="F777" s="26"/>
      <c r="G777" s="23"/>
      <c r="H777" s="23"/>
      <c r="I777" s="23"/>
      <c r="J777" s="27">
        <f>IF($O777="방문완료",MAX(0,IFERROR(VLOOKUP($E777,설정_코스수당!$A$6:$H$10,4,FALSE),0)-IF(OR($P777="",$P777="없음"),0,100000)),0)</f>
        <v>0</v>
      </c>
      <c r="K777" s="27">
        <f t="array" ref="K777">IF($O777="방문완료",IFERROR(INDEX(설정_코스수당!$B$15:$F$64,MATCH($G777,설정_코스수당!$A$15:$A$64,0),MATCH($E777&amp;"수당",설정_코스수당!$B$14:$F$14,0)),0),0)</f>
        <v>0</v>
      </c>
      <c r="L777" s="27">
        <f t="array" ref="L777">IF($O777="방문완료",IF($H777="",0,IFERROR(INDEX(설정_코스수당!$B$15:$F$64,MATCH($H777,설정_코스수당!$A$15:$A$64,0),MATCH($E777&amp;"수당",설정_코스수당!$B$14:$F$14,0)),0)),0)</f>
        <v>0</v>
      </c>
      <c r="M777" s="27">
        <f>IF($O777="방문완료",IFERROR(VLOOKUP($E777,설정_코스수당!$A$6:$H$10,6,FALSE),0),0)</f>
        <v>0</v>
      </c>
      <c r="N777" s="28">
        <f t="shared" si="22"/>
        <v>0</v>
      </c>
      <c r="O777" s="23"/>
      <c r="P777" s="23"/>
      <c r="Q777" s="23"/>
      <c r="R777" s="26"/>
      <c r="S777" s="23"/>
    </row>
    <row r="778" spans="1:19" ht="19.5" hidden="1" customHeight="1" outlineLevel="1">
      <c r="A778" s="29">
        <v>44</v>
      </c>
      <c r="B778" s="30">
        <f>IF(8&lt;=DAY(DATE(YEAR(설정_코스수당!$K$2),MONTH(설정_코스수당!$K$2)+1,0)),DATE(YEAR(설정_코스수당!$K$2),MONTH(설정_코스수당!$K$2),8),"")</f>
        <v>46181</v>
      </c>
      <c r="C778" s="31"/>
      <c r="D778" s="29"/>
      <c r="E778" s="29"/>
      <c r="F778" s="32"/>
      <c r="G778" s="29"/>
      <c r="H778" s="29"/>
      <c r="I778" s="29"/>
      <c r="J778" s="33">
        <f>IF($O778="방문완료",MAX(0,IFERROR(VLOOKUP($E778,설정_코스수당!$A$6:$H$10,4,FALSE),0)-IF(OR($P778="",$P778="없음"),0,100000)),0)</f>
        <v>0</v>
      </c>
      <c r="K778" s="33">
        <f t="array" ref="K778">IF($O778="방문완료",IFERROR(INDEX(설정_코스수당!$B$15:$F$64,MATCH($G778,설정_코스수당!$A$15:$A$64,0),MATCH($E778&amp;"수당",설정_코스수당!$B$14:$F$14,0)),0),0)</f>
        <v>0</v>
      </c>
      <c r="L778" s="33">
        <f t="array" ref="L778">IF($O778="방문완료",IF($H778="",0,IFERROR(INDEX(설정_코스수당!$B$15:$F$64,MATCH($H778,설정_코스수당!$A$15:$A$64,0),MATCH($E778&amp;"수당",설정_코스수당!$B$14:$F$14,0)),0)),0)</f>
        <v>0</v>
      </c>
      <c r="M778" s="33">
        <f>IF($O778="방문완료",IFERROR(VLOOKUP($E778,설정_코스수당!$A$6:$H$10,6,FALSE),0),0)</f>
        <v>0</v>
      </c>
      <c r="N778" s="34">
        <f t="shared" si="22"/>
        <v>0</v>
      </c>
      <c r="O778" s="29"/>
      <c r="P778" s="29"/>
      <c r="Q778" s="29"/>
      <c r="R778" s="32"/>
      <c r="S778" s="29"/>
    </row>
    <row r="779" spans="1:19" ht="19.5" hidden="1" customHeight="1" outlineLevel="1">
      <c r="A779" s="23">
        <v>45</v>
      </c>
      <c r="B779" s="24">
        <f>IF(8&lt;=DAY(DATE(YEAR(설정_코스수당!$K$2),MONTH(설정_코스수당!$K$2)+1,0)),DATE(YEAR(설정_코스수당!$K$2),MONTH(설정_코스수당!$K$2),8),"")</f>
        <v>46181</v>
      </c>
      <c r="C779" s="25"/>
      <c r="D779" s="23"/>
      <c r="E779" s="23"/>
      <c r="F779" s="26"/>
      <c r="G779" s="23"/>
      <c r="H779" s="23"/>
      <c r="I779" s="23"/>
      <c r="J779" s="27">
        <f>IF($O779="방문완료",MAX(0,IFERROR(VLOOKUP($E779,설정_코스수당!$A$6:$H$10,4,FALSE),0)-IF(OR($P779="",$P779="없음"),0,100000)),0)</f>
        <v>0</v>
      </c>
      <c r="K779" s="27">
        <f t="array" ref="K779">IF($O779="방문완료",IFERROR(INDEX(설정_코스수당!$B$15:$F$64,MATCH($G779,설정_코스수당!$A$15:$A$64,0),MATCH($E779&amp;"수당",설정_코스수당!$B$14:$F$14,0)),0),0)</f>
        <v>0</v>
      </c>
      <c r="L779" s="27">
        <f t="array" ref="L779">IF($O779="방문완료",IF($H779="",0,IFERROR(INDEX(설정_코스수당!$B$15:$F$64,MATCH($H779,설정_코스수당!$A$15:$A$64,0),MATCH($E779&amp;"수당",설정_코스수당!$B$14:$F$14,0)),0)),0)</f>
        <v>0</v>
      </c>
      <c r="M779" s="27">
        <f>IF($O779="방문완료",IFERROR(VLOOKUP($E779,설정_코스수당!$A$6:$H$10,6,FALSE),0),0)</f>
        <v>0</v>
      </c>
      <c r="N779" s="28">
        <f t="shared" si="22"/>
        <v>0</v>
      </c>
      <c r="O779" s="23"/>
      <c r="P779" s="23"/>
      <c r="Q779" s="23"/>
      <c r="R779" s="26"/>
      <c r="S779" s="23"/>
    </row>
    <row r="780" spans="1:19" ht="19.5" hidden="1" customHeight="1" outlineLevel="1">
      <c r="A780" s="29">
        <v>46</v>
      </c>
      <c r="B780" s="30">
        <f>IF(8&lt;=DAY(DATE(YEAR(설정_코스수당!$K$2),MONTH(설정_코스수당!$K$2)+1,0)),DATE(YEAR(설정_코스수당!$K$2),MONTH(설정_코스수당!$K$2),8),"")</f>
        <v>46181</v>
      </c>
      <c r="C780" s="31"/>
      <c r="D780" s="29"/>
      <c r="E780" s="29"/>
      <c r="F780" s="32"/>
      <c r="G780" s="29"/>
      <c r="H780" s="29"/>
      <c r="I780" s="29"/>
      <c r="J780" s="33">
        <f>IF($O780="방문완료",MAX(0,IFERROR(VLOOKUP($E780,설정_코스수당!$A$6:$H$10,4,FALSE),0)-IF(OR($P780="",$P780="없음"),0,100000)),0)</f>
        <v>0</v>
      </c>
      <c r="K780" s="33">
        <f t="array" ref="K780">IF($O780="방문완료",IFERROR(INDEX(설정_코스수당!$B$15:$F$64,MATCH($G780,설정_코스수당!$A$15:$A$64,0),MATCH($E780&amp;"수당",설정_코스수당!$B$14:$F$14,0)),0),0)</f>
        <v>0</v>
      </c>
      <c r="L780" s="33">
        <f t="array" ref="L780">IF($O780="방문완료",IF($H780="",0,IFERROR(INDEX(설정_코스수당!$B$15:$F$64,MATCH($H780,설정_코스수당!$A$15:$A$64,0),MATCH($E780&amp;"수당",설정_코스수당!$B$14:$F$14,0)),0)),0)</f>
        <v>0</v>
      </c>
      <c r="M780" s="33">
        <f>IF($O780="방문완료",IFERROR(VLOOKUP($E780,설정_코스수당!$A$6:$H$10,6,FALSE),0),0)</f>
        <v>0</v>
      </c>
      <c r="N780" s="34">
        <f t="shared" si="22"/>
        <v>0</v>
      </c>
      <c r="O780" s="29"/>
      <c r="P780" s="29"/>
      <c r="Q780" s="29"/>
      <c r="R780" s="32"/>
      <c r="S780" s="29"/>
    </row>
    <row r="781" spans="1:19" ht="19.5" hidden="1" customHeight="1" outlineLevel="1">
      <c r="A781" s="23">
        <v>47</v>
      </c>
      <c r="B781" s="24">
        <f>IF(8&lt;=DAY(DATE(YEAR(설정_코스수당!$K$2),MONTH(설정_코스수당!$K$2)+1,0)),DATE(YEAR(설정_코스수당!$K$2),MONTH(설정_코스수당!$K$2),8),"")</f>
        <v>46181</v>
      </c>
      <c r="C781" s="25"/>
      <c r="D781" s="23"/>
      <c r="E781" s="23"/>
      <c r="F781" s="26"/>
      <c r="G781" s="23"/>
      <c r="H781" s="23"/>
      <c r="I781" s="23"/>
      <c r="J781" s="27">
        <f>IF($O781="방문완료",MAX(0,IFERROR(VLOOKUP($E781,설정_코스수당!$A$6:$H$10,4,FALSE),0)-IF(OR($P781="",$P781="없음"),0,100000)),0)</f>
        <v>0</v>
      </c>
      <c r="K781" s="27">
        <f t="array" ref="K781">IF($O781="방문완료",IFERROR(INDEX(설정_코스수당!$B$15:$F$64,MATCH($G781,설정_코스수당!$A$15:$A$64,0),MATCH($E781&amp;"수당",설정_코스수당!$B$14:$F$14,0)),0),0)</f>
        <v>0</v>
      </c>
      <c r="L781" s="27">
        <f t="array" ref="L781">IF($O781="방문완료",IF($H781="",0,IFERROR(INDEX(설정_코스수당!$B$15:$F$64,MATCH($H781,설정_코스수당!$A$15:$A$64,0),MATCH($E781&amp;"수당",설정_코스수당!$B$14:$F$14,0)),0)),0)</f>
        <v>0</v>
      </c>
      <c r="M781" s="27">
        <f>IF($O781="방문완료",IFERROR(VLOOKUP($E781,설정_코스수당!$A$6:$H$10,6,FALSE),0),0)</f>
        <v>0</v>
      </c>
      <c r="N781" s="28">
        <f t="shared" si="22"/>
        <v>0</v>
      </c>
      <c r="O781" s="23"/>
      <c r="P781" s="23"/>
      <c r="Q781" s="23"/>
      <c r="R781" s="26"/>
      <c r="S781" s="23"/>
    </row>
    <row r="782" spans="1:19" ht="19.5" hidden="1" customHeight="1" outlineLevel="1">
      <c r="A782" s="29">
        <v>48</v>
      </c>
      <c r="B782" s="30">
        <f>IF(8&lt;=DAY(DATE(YEAR(설정_코스수당!$K$2),MONTH(설정_코스수당!$K$2)+1,0)),DATE(YEAR(설정_코스수당!$K$2),MONTH(설정_코스수당!$K$2),8),"")</f>
        <v>46181</v>
      </c>
      <c r="C782" s="31"/>
      <c r="D782" s="29"/>
      <c r="E782" s="29"/>
      <c r="F782" s="32"/>
      <c r="G782" s="29"/>
      <c r="H782" s="29"/>
      <c r="I782" s="29"/>
      <c r="J782" s="33">
        <f>IF($O782="방문완료",MAX(0,IFERROR(VLOOKUP($E782,설정_코스수당!$A$6:$H$10,4,FALSE),0)-IF(OR($P782="",$P782="없음"),0,100000)),0)</f>
        <v>0</v>
      </c>
      <c r="K782" s="33">
        <f t="array" ref="K782">IF($O782="방문완료",IFERROR(INDEX(설정_코스수당!$B$15:$F$64,MATCH($G782,설정_코스수당!$A$15:$A$64,0),MATCH($E782&amp;"수당",설정_코스수당!$B$14:$F$14,0)),0),0)</f>
        <v>0</v>
      </c>
      <c r="L782" s="33">
        <f t="array" ref="L782">IF($O782="방문완료",IF($H782="",0,IFERROR(INDEX(설정_코스수당!$B$15:$F$64,MATCH($H782,설정_코스수당!$A$15:$A$64,0),MATCH($E782&amp;"수당",설정_코스수당!$B$14:$F$14,0)),0)),0)</f>
        <v>0</v>
      </c>
      <c r="M782" s="33">
        <f>IF($O782="방문완료",IFERROR(VLOOKUP($E782,설정_코스수당!$A$6:$H$10,6,FALSE),0),0)</f>
        <v>0</v>
      </c>
      <c r="N782" s="34">
        <f t="shared" si="22"/>
        <v>0</v>
      </c>
      <c r="O782" s="29"/>
      <c r="P782" s="29"/>
      <c r="Q782" s="29"/>
      <c r="R782" s="32"/>
      <c r="S782" s="29"/>
    </row>
    <row r="783" spans="1:19" ht="19.5" hidden="1" customHeight="1" outlineLevel="1">
      <c r="A783" s="23">
        <v>49</v>
      </c>
      <c r="B783" s="24">
        <f>IF(8&lt;=DAY(DATE(YEAR(설정_코스수당!$K$2),MONTH(설정_코스수당!$K$2)+1,0)),DATE(YEAR(설정_코스수당!$K$2),MONTH(설정_코스수당!$K$2),8),"")</f>
        <v>46181</v>
      </c>
      <c r="C783" s="25"/>
      <c r="D783" s="23"/>
      <c r="E783" s="23"/>
      <c r="F783" s="26"/>
      <c r="G783" s="23"/>
      <c r="H783" s="23"/>
      <c r="I783" s="23"/>
      <c r="J783" s="27">
        <f>IF($O783="방문완료",MAX(0,IFERROR(VLOOKUP($E783,설정_코스수당!$A$6:$H$10,4,FALSE),0)-IF(OR($P783="",$P783="없음"),0,100000)),0)</f>
        <v>0</v>
      </c>
      <c r="K783" s="27">
        <f t="array" ref="K783">IF($O783="방문완료",IFERROR(INDEX(설정_코스수당!$B$15:$F$64,MATCH($G783,설정_코스수당!$A$15:$A$64,0),MATCH($E783&amp;"수당",설정_코스수당!$B$14:$F$14,0)),0),0)</f>
        <v>0</v>
      </c>
      <c r="L783" s="27">
        <f t="array" ref="L783">IF($O783="방문완료",IF($H783="",0,IFERROR(INDEX(설정_코스수당!$B$15:$F$64,MATCH($H783,설정_코스수당!$A$15:$A$64,0),MATCH($E783&amp;"수당",설정_코스수당!$B$14:$F$14,0)),0)),0)</f>
        <v>0</v>
      </c>
      <c r="M783" s="27">
        <f>IF($O783="방문완료",IFERROR(VLOOKUP($E783,설정_코스수당!$A$6:$H$10,6,FALSE),0),0)</f>
        <v>0</v>
      </c>
      <c r="N783" s="28">
        <f t="shared" si="22"/>
        <v>0</v>
      </c>
      <c r="O783" s="23"/>
      <c r="P783" s="23"/>
      <c r="Q783" s="23"/>
      <c r="R783" s="26"/>
      <c r="S783" s="23"/>
    </row>
    <row r="784" spans="1:19" ht="19.5" hidden="1" customHeight="1" outlineLevel="1">
      <c r="A784" s="29">
        <v>50</v>
      </c>
      <c r="B784" s="30">
        <f>IF(8&lt;=DAY(DATE(YEAR(설정_코스수당!$K$2),MONTH(설정_코스수당!$K$2)+1,0)),DATE(YEAR(설정_코스수당!$K$2),MONTH(설정_코스수당!$K$2),8),"")</f>
        <v>46181</v>
      </c>
      <c r="C784" s="31"/>
      <c r="D784" s="29"/>
      <c r="E784" s="29"/>
      <c r="F784" s="32"/>
      <c r="G784" s="29"/>
      <c r="H784" s="29"/>
      <c r="I784" s="29"/>
      <c r="J784" s="33">
        <f>IF($O784="방문완료",MAX(0,IFERROR(VLOOKUP($E784,설정_코스수당!$A$6:$H$10,4,FALSE),0)-IF(OR($P784="",$P784="없음"),0,100000)),0)</f>
        <v>0</v>
      </c>
      <c r="K784" s="33">
        <f t="array" ref="K784">IF($O784="방문완료",IFERROR(INDEX(설정_코스수당!$B$15:$F$64,MATCH($G784,설정_코스수당!$A$15:$A$64,0),MATCH($E784&amp;"수당",설정_코스수당!$B$14:$F$14,0)),0),0)</f>
        <v>0</v>
      </c>
      <c r="L784" s="33">
        <f t="array" ref="L784">IF($O784="방문완료",IF($H784="",0,IFERROR(INDEX(설정_코스수당!$B$15:$F$64,MATCH($H784,설정_코스수당!$A$15:$A$64,0),MATCH($E784&amp;"수당",설정_코스수당!$B$14:$F$14,0)),0)),0)</f>
        <v>0</v>
      </c>
      <c r="M784" s="33">
        <f>IF($O784="방문완료",IFERROR(VLOOKUP($E784,설정_코스수당!$A$6:$H$10,6,FALSE),0),0)</f>
        <v>0</v>
      </c>
      <c r="N784" s="34">
        <f t="shared" si="22"/>
        <v>0</v>
      </c>
      <c r="O784" s="29"/>
      <c r="P784" s="29"/>
      <c r="Q784" s="29"/>
      <c r="R784" s="32"/>
      <c r="S784" s="29"/>
    </row>
    <row r="785" spans="1:19" ht="19.5" hidden="1" customHeight="1" outlineLevel="1">
      <c r="A785" s="23">
        <v>51</v>
      </c>
      <c r="B785" s="24">
        <f>IF(8&lt;=DAY(DATE(YEAR(설정_코스수당!$K$2),MONTH(설정_코스수당!$K$2)+1,0)),DATE(YEAR(설정_코스수당!$K$2),MONTH(설정_코스수당!$K$2),8),"")</f>
        <v>46181</v>
      </c>
      <c r="C785" s="25"/>
      <c r="D785" s="23"/>
      <c r="E785" s="23"/>
      <c r="F785" s="26"/>
      <c r="G785" s="23"/>
      <c r="H785" s="23"/>
      <c r="I785" s="23"/>
      <c r="J785" s="27">
        <f>IF($O785="방문완료",MAX(0,IFERROR(VLOOKUP($E785,설정_코스수당!$A$6:$H$10,4,FALSE),0)-IF(OR($P785="",$P785="없음"),0,100000)),0)</f>
        <v>0</v>
      </c>
      <c r="K785" s="27">
        <f t="array" ref="K785">IF($O785="방문완료",IFERROR(INDEX(설정_코스수당!$B$15:$F$64,MATCH($G785,설정_코스수당!$A$15:$A$64,0),MATCH($E785&amp;"수당",설정_코스수당!$B$14:$F$14,0)),0),0)</f>
        <v>0</v>
      </c>
      <c r="L785" s="27">
        <f t="array" ref="L785">IF($O785="방문완료",IF($H785="",0,IFERROR(INDEX(설정_코스수당!$B$15:$F$64,MATCH($H785,설정_코스수당!$A$15:$A$64,0),MATCH($E785&amp;"수당",설정_코스수당!$B$14:$F$14,0)),0)),0)</f>
        <v>0</v>
      </c>
      <c r="M785" s="27">
        <f>IF($O785="방문완료",IFERROR(VLOOKUP($E785,설정_코스수당!$A$6:$H$10,6,FALSE),0),0)</f>
        <v>0</v>
      </c>
      <c r="N785" s="28">
        <f t="shared" si="22"/>
        <v>0</v>
      </c>
      <c r="O785" s="23"/>
      <c r="P785" s="23"/>
      <c r="Q785" s="23"/>
      <c r="R785" s="26"/>
      <c r="S785" s="23"/>
    </row>
    <row r="786" spans="1:19" ht="19.5" hidden="1" customHeight="1" outlineLevel="1">
      <c r="A786" s="29">
        <v>52</v>
      </c>
      <c r="B786" s="30">
        <f>IF(8&lt;=DAY(DATE(YEAR(설정_코스수당!$K$2),MONTH(설정_코스수당!$K$2)+1,0)),DATE(YEAR(설정_코스수당!$K$2),MONTH(설정_코스수당!$K$2),8),"")</f>
        <v>46181</v>
      </c>
      <c r="C786" s="31"/>
      <c r="D786" s="29"/>
      <c r="E786" s="29"/>
      <c r="F786" s="32"/>
      <c r="G786" s="29"/>
      <c r="H786" s="29"/>
      <c r="I786" s="29"/>
      <c r="J786" s="33">
        <f>IF($O786="방문완료",MAX(0,IFERROR(VLOOKUP($E786,설정_코스수당!$A$6:$H$10,4,FALSE),0)-IF(OR($P786="",$P786="없음"),0,100000)),0)</f>
        <v>0</v>
      </c>
      <c r="K786" s="33">
        <f t="array" ref="K786">IF($O786="방문완료",IFERROR(INDEX(설정_코스수당!$B$15:$F$64,MATCH($G786,설정_코스수당!$A$15:$A$64,0),MATCH($E786&amp;"수당",설정_코스수당!$B$14:$F$14,0)),0),0)</f>
        <v>0</v>
      </c>
      <c r="L786" s="33">
        <f t="array" ref="L786">IF($O786="방문완료",IF($H786="",0,IFERROR(INDEX(설정_코스수당!$B$15:$F$64,MATCH($H786,설정_코스수당!$A$15:$A$64,0),MATCH($E786&amp;"수당",설정_코스수당!$B$14:$F$14,0)),0)),0)</f>
        <v>0</v>
      </c>
      <c r="M786" s="33">
        <f>IF($O786="방문완료",IFERROR(VLOOKUP($E786,설정_코스수당!$A$6:$H$10,6,FALSE),0),0)</f>
        <v>0</v>
      </c>
      <c r="N786" s="34">
        <f t="shared" si="22"/>
        <v>0</v>
      </c>
      <c r="O786" s="29"/>
      <c r="P786" s="29"/>
      <c r="Q786" s="29"/>
      <c r="R786" s="32"/>
      <c r="S786" s="29"/>
    </row>
    <row r="787" spans="1:19" ht="19.5" hidden="1" customHeight="1" outlineLevel="1">
      <c r="A787" s="23">
        <v>53</v>
      </c>
      <c r="B787" s="24">
        <f>IF(8&lt;=DAY(DATE(YEAR(설정_코스수당!$K$2),MONTH(설정_코스수당!$K$2)+1,0)),DATE(YEAR(설정_코스수당!$K$2),MONTH(설정_코스수당!$K$2),8),"")</f>
        <v>46181</v>
      </c>
      <c r="C787" s="25"/>
      <c r="D787" s="23"/>
      <c r="E787" s="23"/>
      <c r="F787" s="26"/>
      <c r="G787" s="23"/>
      <c r="H787" s="23"/>
      <c r="I787" s="23"/>
      <c r="J787" s="27">
        <f>IF($O787="방문완료",MAX(0,IFERROR(VLOOKUP($E787,설정_코스수당!$A$6:$H$10,4,FALSE),0)-IF(OR($P787="",$P787="없음"),0,100000)),0)</f>
        <v>0</v>
      </c>
      <c r="K787" s="27">
        <f t="array" ref="K787">IF($O787="방문완료",IFERROR(INDEX(설정_코스수당!$B$15:$F$64,MATCH($G787,설정_코스수당!$A$15:$A$64,0),MATCH($E787&amp;"수당",설정_코스수당!$B$14:$F$14,0)),0),0)</f>
        <v>0</v>
      </c>
      <c r="L787" s="27">
        <f t="array" ref="L787">IF($O787="방문완료",IF($H787="",0,IFERROR(INDEX(설정_코스수당!$B$15:$F$64,MATCH($H787,설정_코스수당!$A$15:$A$64,0),MATCH($E787&amp;"수당",설정_코스수당!$B$14:$F$14,0)),0)),0)</f>
        <v>0</v>
      </c>
      <c r="M787" s="27">
        <f>IF($O787="방문완료",IFERROR(VLOOKUP($E787,설정_코스수당!$A$6:$H$10,6,FALSE),0),0)</f>
        <v>0</v>
      </c>
      <c r="N787" s="28">
        <f t="shared" si="22"/>
        <v>0</v>
      </c>
      <c r="O787" s="23"/>
      <c r="P787" s="23"/>
      <c r="Q787" s="23"/>
      <c r="R787" s="26"/>
      <c r="S787" s="23"/>
    </row>
    <row r="788" spans="1:19" ht="19.5" hidden="1" customHeight="1" outlineLevel="1">
      <c r="A788" s="29">
        <v>54</v>
      </c>
      <c r="B788" s="30">
        <f>IF(8&lt;=DAY(DATE(YEAR(설정_코스수당!$K$2),MONTH(설정_코스수당!$K$2)+1,0)),DATE(YEAR(설정_코스수당!$K$2),MONTH(설정_코스수당!$K$2),8),"")</f>
        <v>46181</v>
      </c>
      <c r="C788" s="31"/>
      <c r="D788" s="29"/>
      <c r="E788" s="29"/>
      <c r="F788" s="32"/>
      <c r="G788" s="29"/>
      <c r="H788" s="29"/>
      <c r="I788" s="29"/>
      <c r="J788" s="33">
        <f>IF($O788="방문완료",MAX(0,IFERROR(VLOOKUP($E788,설정_코스수당!$A$6:$H$10,4,FALSE),0)-IF(OR($P788="",$P788="없음"),0,100000)),0)</f>
        <v>0</v>
      </c>
      <c r="K788" s="33">
        <f t="array" ref="K788">IF($O788="방문완료",IFERROR(INDEX(설정_코스수당!$B$15:$F$64,MATCH($G788,설정_코스수당!$A$15:$A$64,0),MATCH($E788&amp;"수당",설정_코스수당!$B$14:$F$14,0)),0),0)</f>
        <v>0</v>
      </c>
      <c r="L788" s="33">
        <f t="array" ref="L788">IF($O788="방문완료",IF($H788="",0,IFERROR(INDEX(설정_코스수당!$B$15:$F$64,MATCH($H788,설정_코스수당!$A$15:$A$64,0),MATCH($E788&amp;"수당",설정_코스수당!$B$14:$F$14,0)),0)),0)</f>
        <v>0</v>
      </c>
      <c r="M788" s="33">
        <f>IF($O788="방문완료",IFERROR(VLOOKUP($E788,설정_코스수당!$A$6:$H$10,6,FALSE),0),0)</f>
        <v>0</v>
      </c>
      <c r="N788" s="34">
        <f t="shared" si="22"/>
        <v>0</v>
      </c>
      <c r="O788" s="29"/>
      <c r="P788" s="29"/>
      <c r="Q788" s="29"/>
      <c r="R788" s="32"/>
      <c r="S788" s="29"/>
    </row>
    <row r="789" spans="1:19" ht="19.5" hidden="1" customHeight="1" outlineLevel="1">
      <c r="A789" s="23">
        <v>55</v>
      </c>
      <c r="B789" s="24">
        <f>IF(8&lt;=DAY(DATE(YEAR(설정_코스수당!$K$2),MONTH(설정_코스수당!$K$2)+1,0)),DATE(YEAR(설정_코스수당!$K$2),MONTH(설정_코스수당!$K$2),8),"")</f>
        <v>46181</v>
      </c>
      <c r="C789" s="25"/>
      <c r="D789" s="23"/>
      <c r="E789" s="23"/>
      <c r="F789" s="26"/>
      <c r="G789" s="23"/>
      <c r="H789" s="23"/>
      <c r="I789" s="23"/>
      <c r="J789" s="27">
        <f>IF($O789="방문완료",MAX(0,IFERROR(VLOOKUP($E789,설정_코스수당!$A$6:$H$10,4,FALSE),0)-IF(OR($P789="",$P789="없음"),0,100000)),0)</f>
        <v>0</v>
      </c>
      <c r="K789" s="27">
        <f t="array" ref="K789">IF($O789="방문완료",IFERROR(INDEX(설정_코스수당!$B$15:$F$64,MATCH($G789,설정_코스수당!$A$15:$A$64,0),MATCH($E789&amp;"수당",설정_코스수당!$B$14:$F$14,0)),0),0)</f>
        <v>0</v>
      </c>
      <c r="L789" s="27">
        <f t="array" ref="L789">IF($O789="방문완료",IF($H789="",0,IFERROR(INDEX(설정_코스수당!$B$15:$F$64,MATCH($H789,설정_코스수당!$A$15:$A$64,0),MATCH($E789&amp;"수당",설정_코스수당!$B$14:$F$14,0)),0)),0)</f>
        <v>0</v>
      </c>
      <c r="M789" s="27">
        <f>IF($O789="방문완료",IFERROR(VLOOKUP($E789,설정_코스수당!$A$6:$H$10,6,FALSE),0),0)</f>
        <v>0</v>
      </c>
      <c r="N789" s="28">
        <f t="shared" si="22"/>
        <v>0</v>
      </c>
      <c r="O789" s="23"/>
      <c r="P789" s="23"/>
      <c r="Q789" s="23"/>
      <c r="R789" s="26"/>
      <c r="S789" s="23"/>
    </row>
    <row r="790" spans="1:19" ht="19.5" hidden="1" customHeight="1" outlineLevel="1">
      <c r="A790" s="29">
        <v>56</v>
      </c>
      <c r="B790" s="30">
        <f>IF(8&lt;=DAY(DATE(YEAR(설정_코스수당!$K$2),MONTH(설정_코스수당!$K$2)+1,0)),DATE(YEAR(설정_코스수당!$K$2),MONTH(설정_코스수당!$K$2),8),"")</f>
        <v>46181</v>
      </c>
      <c r="C790" s="31"/>
      <c r="D790" s="29"/>
      <c r="E790" s="29"/>
      <c r="F790" s="32"/>
      <c r="G790" s="29"/>
      <c r="H790" s="29"/>
      <c r="I790" s="29"/>
      <c r="J790" s="33">
        <f>IF($O790="방문완료",MAX(0,IFERROR(VLOOKUP($E790,설정_코스수당!$A$6:$H$10,4,FALSE),0)-IF(OR($P790="",$P790="없음"),0,100000)),0)</f>
        <v>0</v>
      </c>
      <c r="K790" s="33">
        <f t="array" ref="K790">IF($O790="방문완료",IFERROR(INDEX(설정_코스수당!$B$15:$F$64,MATCH($G790,설정_코스수당!$A$15:$A$64,0),MATCH($E790&amp;"수당",설정_코스수당!$B$14:$F$14,0)),0),0)</f>
        <v>0</v>
      </c>
      <c r="L790" s="33">
        <f t="array" ref="L790">IF($O790="방문완료",IF($H790="",0,IFERROR(INDEX(설정_코스수당!$B$15:$F$64,MATCH($H790,설정_코스수당!$A$15:$A$64,0),MATCH($E790&amp;"수당",설정_코스수당!$B$14:$F$14,0)),0)),0)</f>
        <v>0</v>
      </c>
      <c r="M790" s="33">
        <f>IF($O790="방문완료",IFERROR(VLOOKUP($E790,설정_코스수당!$A$6:$H$10,6,FALSE),0),0)</f>
        <v>0</v>
      </c>
      <c r="N790" s="34">
        <f t="shared" si="22"/>
        <v>0</v>
      </c>
      <c r="O790" s="29"/>
      <c r="P790" s="29"/>
      <c r="Q790" s="29"/>
      <c r="R790" s="32"/>
      <c r="S790" s="29"/>
    </row>
    <row r="791" spans="1:19" ht="19.5" hidden="1" customHeight="1" outlineLevel="1">
      <c r="A791" s="23">
        <v>57</v>
      </c>
      <c r="B791" s="24">
        <f>IF(8&lt;=DAY(DATE(YEAR(설정_코스수당!$K$2),MONTH(설정_코스수당!$K$2)+1,0)),DATE(YEAR(설정_코스수당!$K$2),MONTH(설정_코스수당!$K$2),8),"")</f>
        <v>46181</v>
      </c>
      <c r="C791" s="25"/>
      <c r="D791" s="23"/>
      <c r="E791" s="23"/>
      <c r="F791" s="26"/>
      <c r="G791" s="23"/>
      <c r="H791" s="23"/>
      <c r="I791" s="23"/>
      <c r="J791" s="27">
        <f>IF($O791="방문완료",MAX(0,IFERROR(VLOOKUP($E791,설정_코스수당!$A$6:$H$10,4,FALSE),0)-IF(OR($P791="",$P791="없음"),0,100000)),0)</f>
        <v>0</v>
      </c>
      <c r="K791" s="27">
        <f t="array" ref="K791">IF($O791="방문완료",IFERROR(INDEX(설정_코스수당!$B$15:$F$64,MATCH($G791,설정_코스수당!$A$15:$A$64,0),MATCH($E791&amp;"수당",설정_코스수당!$B$14:$F$14,0)),0),0)</f>
        <v>0</v>
      </c>
      <c r="L791" s="27">
        <f t="array" ref="L791">IF($O791="방문완료",IF($H791="",0,IFERROR(INDEX(설정_코스수당!$B$15:$F$64,MATCH($H791,설정_코스수당!$A$15:$A$64,0),MATCH($E791&amp;"수당",설정_코스수당!$B$14:$F$14,0)),0)),0)</f>
        <v>0</v>
      </c>
      <c r="M791" s="27">
        <f>IF($O791="방문완료",IFERROR(VLOOKUP($E791,설정_코스수당!$A$6:$H$10,6,FALSE),0),0)</f>
        <v>0</v>
      </c>
      <c r="N791" s="28">
        <f t="shared" si="22"/>
        <v>0</v>
      </c>
      <c r="O791" s="23"/>
      <c r="P791" s="23"/>
      <c r="Q791" s="23"/>
      <c r="R791" s="26"/>
      <c r="S791" s="23"/>
    </row>
    <row r="792" spans="1:19" ht="19.5" hidden="1" customHeight="1" outlineLevel="1">
      <c r="A792" s="29">
        <v>58</v>
      </c>
      <c r="B792" s="30">
        <f>IF(8&lt;=DAY(DATE(YEAR(설정_코스수당!$K$2),MONTH(설정_코스수당!$K$2)+1,0)),DATE(YEAR(설정_코스수당!$K$2),MONTH(설정_코스수당!$K$2),8),"")</f>
        <v>46181</v>
      </c>
      <c r="C792" s="31"/>
      <c r="D792" s="29"/>
      <c r="E792" s="29"/>
      <c r="F792" s="32"/>
      <c r="G792" s="29"/>
      <c r="H792" s="29"/>
      <c r="I792" s="29"/>
      <c r="J792" s="33">
        <f>IF($O792="방문완료",MAX(0,IFERROR(VLOOKUP($E792,설정_코스수당!$A$6:$H$10,4,FALSE),0)-IF(OR($P792="",$P792="없음"),0,100000)),0)</f>
        <v>0</v>
      </c>
      <c r="K792" s="33">
        <f t="array" ref="K792">IF($O792="방문완료",IFERROR(INDEX(설정_코스수당!$B$15:$F$64,MATCH($G792,설정_코스수당!$A$15:$A$64,0),MATCH($E792&amp;"수당",설정_코스수당!$B$14:$F$14,0)),0),0)</f>
        <v>0</v>
      </c>
      <c r="L792" s="33">
        <f t="array" ref="L792">IF($O792="방문완료",IF($H792="",0,IFERROR(INDEX(설정_코스수당!$B$15:$F$64,MATCH($H792,설정_코스수당!$A$15:$A$64,0),MATCH($E792&amp;"수당",설정_코스수당!$B$14:$F$14,0)),0)),0)</f>
        <v>0</v>
      </c>
      <c r="M792" s="33">
        <f>IF($O792="방문완료",IFERROR(VLOOKUP($E792,설정_코스수당!$A$6:$H$10,6,FALSE),0),0)</f>
        <v>0</v>
      </c>
      <c r="N792" s="34">
        <f t="shared" si="22"/>
        <v>0</v>
      </c>
      <c r="O792" s="29"/>
      <c r="P792" s="29"/>
      <c r="Q792" s="29"/>
      <c r="R792" s="32"/>
      <c r="S792" s="29"/>
    </row>
    <row r="793" spans="1:19" ht="19.5" hidden="1" customHeight="1" outlineLevel="1">
      <c r="A793" s="23">
        <v>59</v>
      </c>
      <c r="B793" s="24">
        <f>IF(8&lt;=DAY(DATE(YEAR(설정_코스수당!$K$2),MONTH(설정_코스수당!$K$2)+1,0)),DATE(YEAR(설정_코스수당!$K$2),MONTH(설정_코스수당!$K$2),8),"")</f>
        <v>46181</v>
      </c>
      <c r="C793" s="25"/>
      <c r="D793" s="23"/>
      <c r="E793" s="23"/>
      <c r="F793" s="26"/>
      <c r="G793" s="23"/>
      <c r="H793" s="23"/>
      <c r="I793" s="23"/>
      <c r="J793" s="27">
        <f>IF($O793="방문완료",MAX(0,IFERROR(VLOOKUP($E793,설정_코스수당!$A$6:$H$10,4,FALSE),0)-IF(OR($P793="",$P793="없음"),0,100000)),0)</f>
        <v>0</v>
      </c>
      <c r="K793" s="27">
        <f t="array" ref="K793">IF($O793="방문완료",IFERROR(INDEX(설정_코스수당!$B$15:$F$64,MATCH($G793,설정_코스수당!$A$15:$A$64,0),MATCH($E793&amp;"수당",설정_코스수당!$B$14:$F$14,0)),0),0)</f>
        <v>0</v>
      </c>
      <c r="L793" s="27">
        <f t="array" ref="L793">IF($O793="방문완료",IF($H793="",0,IFERROR(INDEX(설정_코스수당!$B$15:$F$64,MATCH($H793,설정_코스수당!$A$15:$A$64,0),MATCH($E793&amp;"수당",설정_코스수당!$B$14:$F$14,0)),0)),0)</f>
        <v>0</v>
      </c>
      <c r="M793" s="27">
        <f>IF($O793="방문완료",IFERROR(VLOOKUP($E793,설정_코스수당!$A$6:$H$10,6,FALSE),0),0)</f>
        <v>0</v>
      </c>
      <c r="N793" s="28">
        <f t="shared" si="22"/>
        <v>0</v>
      </c>
      <c r="O793" s="23"/>
      <c r="P793" s="23"/>
      <c r="Q793" s="23"/>
      <c r="R793" s="26"/>
      <c r="S793" s="23"/>
    </row>
    <row r="794" spans="1:19" ht="19.5" hidden="1" customHeight="1" outlineLevel="1">
      <c r="A794" s="29">
        <v>60</v>
      </c>
      <c r="B794" s="30">
        <f>IF(8&lt;=DAY(DATE(YEAR(설정_코스수당!$K$2),MONTH(설정_코스수당!$K$2)+1,0)),DATE(YEAR(설정_코스수당!$K$2),MONTH(설정_코스수당!$K$2),8),"")</f>
        <v>46181</v>
      </c>
      <c r="C794" s="31"/>
      <c r="D794" s="29"/>
      <c r="E794" s="29"/>
      <c r="F794" s="32"/>
      <c r="G794" s="29"/>
      <c r="H794" s="29"/>
      <c r="I794" s="29"/>
      <c r="J794" s="33">
        <f>IF($O794="방문완료",MAX(0,IFERROR(VLOOKUP($E794,설정_코스수당!$A$6:$H$10,4,FALSE),0)-IF(OR($P794="",$P794="없음"),0,100000)),0)</f>
        <v>0</v>
      </c>
      <c r="K794" s="33">
        <f t="array" ref="K794">IF($O794="방문완료",IFERROR(INDEX(설정_코스수당!$B$15:$F$64,MATCH($G794,설정_코스수당!$A$15:$A$64,0),MATCH($E794&amp;"수당",설정_코스수당!$B$14:$F$14,0)),0),0)</f>
        <v>0</v>
      </c>
      <c r="L794" s="33">
        <f t="array" ref="L794">IF($O794="방문완료",IF($H794="",0,IFERROR(INDEX(설정_코스수당!$B$15:$F$64,MATCH($H794,설정_코스수당!$A$15:$A$64,0),MATCH($E794&amp;"수당",설정_코스수당!$B$14:$F$14,0)),0)),0)</f>
        <v>0</v>
      </c>
      <c r="M794" s="33">
        <f>IF($O794="방문완료",IFERROR(VLOOKUP($E794,설정_코스수당!$A$6:$H$10,6,FALSE),0),0)</f>
        <v>0</v>
      </c>
      <c r="N794" s="34">
        <f t="shared" si="22"/>
        <v>0</v>
      </c>
      <c r="O794" s="29"/>
      <c r="P794" s="29"/>
      <c r="Q794" s="29"/>
      <c r="R794" s="32"/>
      <c r="S794" s="29"/>
    </row>
    <row r="795" spans="1:19" ht="19.5" hidden="1" customHeight="1" outlineLevel="1">
      <c r="A795" s="23">
        <v>61</v>
      </c>
      <c r="B795" s="24">
        <f>IF(8&lt;=DAY(DATE(YEAR(설정_코스수당!$K$2),MONTH(설정_코스수당!$K$2)+1,0)),DATE(YEAR(설정_코스수당!$K$2),MONTH(설정_코스수당!$K$2),8),"")</f>
        <v>46181</v>
      </c>
      <c r="C795" s="25"/>
      <c r="D795" s="23"/>
      <c r="E795" s="23"/>
      <c r="F795" s="26"/>
      <c r="G795" s="23"/>
      <c r="H795" s="23"/>
      <c r="I795" s="23"/>
      <c r="J795" s="27">
        <f>IF($O795="방문완료",MAX(0,IFERROR(VLOOKUP($E795,설정_코스수당!$A$6:$H$10,4,FALSE),0)-IF(OR($P795="",$P795="없음"),0,100000)),0)</f>
        <v>0</v>
      </c>
      <c r="K795" s="27">
        <f t="array" ref="K795">IF($O795="방문완료",IFERROR(INDEX(설정_코스수당!$B$15:$F$64,MATCH($G795,설정_코스수당!$A$15:$A$64,0),MATCH($E795&amp;"수당",설정_코스수당!$B$14:$F$14,0)),0),0)</f>
        <v>0</v>
      </c>
      <c r="L795" s="27">
        <f t="array" ref="L795">IF($O795="방문완료",IF($H795="",0,IFERROR(INDEX(설정_코스수당!$B$15:$F$64,MATCH($H795,설정_코스수당!$A$15:$A$64,0),MATCH($E795&amp;"수당",설정_코스수당!$B$14:$F$14,0)),0)),0)</f>
        <v>0</v>
      </c>
      <c r="M795" s="27">
        <f>IF($O795="방문완료",IFERROR(VLOOKUP($E795,설정_코스수당!$A$6:$H$10,6,FALSE),0),0)</f>
        <v>0</v>
      </c>
      <c r="N795" s="28">
        <f t="shared" si="22"/>
        <v>0</v>
      </c>
      <c r="O795" s="23"/>
      <c r="P795" s="23"/>
      <c r="Q795" s="23"/>
      <c r="R795" s="26"/>
      <c r="S795" s="23"/>
    </row>
    <row r="796" spans="1:19" ht="19.5" hidden="1" customHeight="1" outlineLevel="1">
      <c r="A796" s="29">
        <v>62</v>
      </c>
      <c r="B796" s="30">
        <f>IF(8&lt;=DAY(DATE(YEAR(설정_코스수당!$K$2),MONTH(설정_코스수당!$K$2)+1,0)),DATE(YEAR(설정_코스수당!$K$2),MONTH(설정_코스수당!$K$2),8),"")</f>
        <v>46181</v>
      </c>
      <c r="C796" s="31"/>
      <c r="D796" s="29"/>
      <c r="E796" s="29"/>
      <c r="F796" s="32"/>
      <c r="G796" s="29"/>
      <c r="H796" s="29"/>
      <c r="I796" s="29"/>
      <c r="J796" s="33">
        <f>IF($O796="방문완료",MAX(0,IFERROR(VLOOKUP($E796,설정_코스수당!$A$6:$H$10,4,FALSE),0)-IF(OR($P796="",$P796="없음"),0,100000)),0)</f>
        <v>0</v>
      </c>
      <c r="K796" s="33">
        <f t="array" ref="K796">IF($O796="방문완료",IFERROR(INDEX(설정_코스수당!$B$15:$F$64,MATCH($G796,설정_코스수당!$A$15:$A$64,0),MATCH($E796&amp;"수당",설정_코스수당!$B$14:$F$14,0)),0),0)</f>
        <v>0</v>
      </c>
      <c r="L796" s="33">
        <f t="array" ref="L796">IF($O796="방문완료",IF($H796="",0,IFERROR(INDEX(설정_코스수당!$B$15:$F$64,MATCH($H796,설정_코스수당!$A$15:$A$64,0),MATCH($E796&amp;"수당",설정_코스수당!$B$14:$F$14,0)),0)),0)</f>
        <v>0</v>
      </c>
      <c r="M796" s="33">
        <f>IF($O796="방문완료",IFERROR(VLOOKUP($E796,설정_코스수당!$A$6:$H$10,6,FALSE),0),0)</f>
        <v>0</v>
      </c>
      <c r="N796" s="34">
        <f t="shared" si="22"/>
        <v>0</v>
      </c>
      <c r="O796" s="29"/>
      <c r="P796" s="29"/>
      <c r="Q796" s="29"/>
      <c r="R796" s="32"/>
      <c r="S796" s="29"/>
    </row>
    <row r="797" spans="1:19" ht="19.5" hidden="1" customHeight="1" outlineLevel="1">
      <c r="A797" s="23">
        <v>63</v>
      </c>
      <c r="B797" s="24">
        <f>IF(8&lt;=DAY(DATE(YEAR(설정_코스수당!$K$2),MONTH(설정_코스수당!$K$2)+1,0)),DATE(YEAR(설정_코스수당!$K$2),MONTH(설정_코스수당!$K$2),8),"")</f>
        <v>46181</v>
      </c>
      <c r="C797" s="25"/>
      <c r="D797" s="23"/>
      <c r="E797" s="23"/>
      <c r="F797" s="26"/>
      <c r="G797" s="23"/>
      <c r="H797" s="23"/>
      <c r="I797" s="23"/>
      <c r="J797" s="27">
        <f>IF($O797="방문완료",MAX(0,IFERROR(VLOOKUP($E797,설정_코스수당!$A$6:$H$10,4,FALSE),0)-IF(OR($P797="",$P797="없음"),0,100000)),0)</f>
        <v>0</v>
      </c>
      <c r="K797" s="27">
        <f t="array" ref="K797">IF($O797="방문완료",IFERROR(INDEX(설정_코스수당!$B$15:$F$64,MATCH($G797,설정_코스수당!$A$15:$A$64,0),MATCH($E797&amp;"수당",설정_코스수당!$B$14:$F$14,0)),0),0)</f>
        <v>0</v>
      </c>
      <c r="L797" s="27">
        <f t="array" ref="L797">IF($O797="방문완료",IF($H797="",0,IFERROR(INDEX(설정_코스수당!$B$15:$F$64,MATCH($H797,설정_코스수당!$A$15:$A$64,0),MATCH($E797&amp;"수당",설정_코스수당!$B$14:$F$14,0)),0)),0)</f>
        <v>0</v>
      </c>
      <c r="M797" s="27">
        <f>IF($O797="방문완료",IFERROR(VLOOKUP($E797,설정_코스수당!$A$6:$H$10,6,FALSE),0),0)</f>
        <v>0</v>
      </c>
      <c r="N797" s="28">
        <f t="shared" si="22"/>
        <v>0</v>
      </c>
      <c r="O797" s="23"/>
      <c r="P797" s="23"/>
      <c r="Q797" s="23"/>
      <c r="R797" s="26"/>
      <c r="S797" s="23"/>
    </row>
    <row r="798" spans="1:19" ht="19.5" hidden="1" customHeight="1" outlineLevel="1">
      <c r="A798" s="29">
        <v>64</v>
      </c>
      <c r="B798" s="30">
        <f>IF(8&lt;=DAY(DATE(YEAR(설정_코스수당!$K$2),MONTH(설정_코스수당!$K$2)+1,0)),DATE(YEAR(설정_코스수당!$K$2),MONTH(설정_코스수당!$K$2),8),"")</f>
        <v>46181</v>
      </c>
      <c r="C798" s="31"/>
      <c r="D798" s="29"/>
      <c r="E798" s="29"/>
      <c r="F798" s="32"/>
      <c r="G798" s="29"/>
      <c r="H798" s="29"/>
      <c r="I798" s="29"/>
      <c r="J798" s="33">
        <f>IF($O798="방문완료",MAX(0,IFERROR(VLOOKUP($E798,설정_코스수당!$A$6:$H$10,4,FALSE),0)-IF(OR($P798="",$P798="없음"),0,100000)),0)</f>
        <v>0</v>
      </c>
      <c r="K798" s="33">
        <f t="array" ref="K798">IF($O798="방문완료",IFERROR(INDEX(설정_코스수당!$B$15:$F$64,MATCH($G798,설정_코스수당!$A$15:$A$64,0),MATCH($E798&amp;"수당",설정_코스수당!$B$14:$F$14,0)),0),0)</f>
        <v>0</v>
      </c>
      <c r="L798" s="33">
        <f t="array" ref="L798">IF($O798="방문완료",IF($H798="",0,IFERROR(INDEX(설정_코스수당!$B$15:$F$64,MATCH($H798,설정_코스수당!$A$15:$A$64,0),MATCH($E798&amp;"수당",설정_코스수당!$B$14:$F$14,0)),0)),0)</f>
        <v>0</v>
      </c>
      <c r="M798" s="33">
        <f>IF($O798="방문완료",IFERROR(VLOOKUP($E798,설정_코스수당!$A$6:$H$10,6,FALSE),0),0)</f>
        <v>0</v>
      </c>
      <c r="N798" s="34">
        <f t="shared" si="22"/>
        <v>0</v>
      </c>
      <c r="O798" s="29"/>
      <c r="P798" s="29"/>
      <c r="Q798" s="29"/>
      <c r="R798" s="32"/>
      <c r="S798" s="29"/>
    </row>
    <row r="799" spans="1:19" ht="19.5" hidden="1" customHeight="1" outlineLevel="1">
      <c r="A799" s="23">
        <v>65</v>
      </c>
      <c r="B799" s="24">
        <f>IF(8&lt;=DAY(DATE(YEAR(설정_코스수당!$K$2),MONTH(설정_코스수당!$K$2)+1,0)),DATE(YEAR(설정_코스수당!$K$2),MONTH(설정_코스수당!$K$2),8),"")</f>
        <v>46181</v>
      </c>
      <c r="C799" s="25"/>
      <c r="D799" s="23"/>
      <c r="E799" s="23"/>
      <c r="F799" s="26"/>
      <c r="G799" s="23"/>
      <c r="H799" s="23"/>
      <c r="I799" s="23"/>
      <c r="J799" s="27">
        <f>IF($O799="방문완료",MAX(0,IFERROR(VLOOKUP($E799,설정_코스수당!$A$6:$H$10,4,FALSE),0)-IF(OR($P799="",$P799="없음"),0,100000)),0)</f>
        <v>0</v>
      </c>
      <c r="K799" s="27">
        <f t="array" ref="K799">IF($O799="방문완료",IFERROR(INDEX(설정_코스수당!$B$15:$F$64,MATCH($G799,설정_코스수당!$A$15:$A$64,0),MATCH($E799&amp;"수당",설정_코스수당!$B$14:$F$14,0)),0),0)</f>
        <v>0</v>
      </c>
      <c r="L799" s="27">
        <f t="array" ref="L799">IF($O799="방문완료",IF($H799="",0,IFERROR(INDEX(설정_코스수당!$B$15:$F$64,MATCH($H799,설정_코스수당!$A$15:$A$64,0),MATCH($E799&amp;"수당",설정_코스수당!$B$14:$F$14,0)),0)),0)</f>
        <v>0</v>
      </c>
      <c r="M799" s="27">
        <f>IF($O799="방문완료",IFERROR(VLOOKUP($E799,설정_코스수당!$A$6:$H$10,6,FALSE),0),0)</f>
        <v>0</v>
      </c>
      <c r="N799" s="28">
        <f t="shared" ref="N799:N834" si="23">IF($O799="방문완료",1,0)</f>
        <v>0</v>
      </c>
      <c r="O799" s="23"/>
      <c r="P799" s="23"/>
      <c r="Q799" s="23"/>
      <c r="R799" s="26"/>
      <c r="S799" s="23"/>
    </row>
    <row r="800" spans="1:19" ht="19.5" hidden="1" customHeight="1" outlineLevel="1">
      <c r="A800" s="29">
        <v>66</v>
      </c>
      <c r="B800" s="30">
        <f>IF(8&lt;=DAY(DATE(YEAR(설정_코스수당!$K$2),MONTH(설정_코스수당!$K$2)+1,0)),DATE(YEAR(설정_코스수당!$K$2),MONTH(설정_코스수당!$K$2),8),"")</f>
        <v>46181</v>
      </c>
      <c r="C800" s="31"/>
      <c r="D800" s="29"/>
      <c r="E800" s="29"/>
      <c r="F800" s="32"/>
      <c r="G800" s="29"/>
      <c r="H800" s="29"/>
      <c r="I800" s="29"/>
      <c r="J800" s="33">
        <f>IF($O800="방문완료",MAX(0,IFERROR(VLOOKUP($E800,설정_코스수당!$A$6:$H$10,4,FALSE),0)-IF(OR($P800="",$P800="없음"),0,100000)),0)</f>
        <v>0</v>
      </c>
      <c r="K800" s="33">
        <f t="array" ref="K800">IF($O800="방문완료",IFERROR(INDEX(설정_코스수당!$B$15:$F$64,MATCH($G800,설정_코스수당!$A$15:$A$64,0),MATCH($E800&amp;"수당",설정_코스수당!$B$14:$F$14,0)),0),0)</f>
        <v>0</v>
      </c>
      <c r="L800" s="33">
        <f t="array" ref="L800">IF($O800="방문완료",IF($H800="",0,IFERROR(INDEX(설정_코스수당!$B$15:$F$64,MATCH($H800,설정_코스수당!$A$15:$A$64,0),MATCH($E800&amp;"수당",설정_코스수당!$B$14:$F$14,0)),0)),0)</f>
        <v>0</v>
      </c>
      <c r="M800" s="33">
        <f>IF($O800="방문완료",IFERROR(VLOOKUP($E800,설정_코스수당!$A$6:$H$10,6,FALSE),0),0)</f>
        <v>0</v>
      </c>
      <c r="N800" s="34">
        <f t="shared" si="23"/>
        <v>0</v>
      </c>
      <c r="O800" s="29"/>
      <c r="P800" s="29"/>
      <c r="Q800" s="29"/>
      <c r="R800" s="32"/>
      <c r="S800" s="29"/>
    </row>
    <row r="801" spans="1:19" ht="19.5" hidden="1" customHeight="1" outlineLevel="1">
      <c r="A801" s="23">
        <v>67</v>
      </c>
      <c r="B801" s="24">
        <f>IF(8&lt;=DAY(DATE(YEAR(설정_코스수당!$K$2),MONTH(설정_코스수당!$K$2)+1,0)),DATE(YEAR(설정_코스수당!$K$2),MONTH(설정_코스수당!$K$2),8),"")</f>
        <v>46181</v>
      </c>
      <c r="C801" s="25"/>
      <c r="D801" s="23"/>
      <c r="E801" s="23"/>
      <c r="F801" s="26"/>
      <c r="G801" s="23"/>
      <c r="H801" s="23"/>
      <c r="I801" s="23"/>
      <c r="J801" s="27">
        <f>IF($O801="방문완료",MAX(0,IFERROR(VLOOKUP($E801,설정_코스수당!$A$6:$H$10,4,FALSE),0)-IF(OR($P801="",$P801="없음"),0,100000)),0)</f>
        <v>0</v>
      </c>
      <c r="K801" s="27">
        <f t="array" ref="K801">IF($O801="방문완료",IFERROR(INDEX(설정_코스수당!$B$15:$F$64,MATCH($G801,설정_코스수당!$A$15:$A$64,0),MATCH($E801&amp;"수당",설정_코스수당!$B$14:$F$14,0)),0),0)</f>
        <v>0</v>
      </c>
      <c r="L801" s="27">
        <f t="array" ref="L801">IF($O801="방문완료",IF($H801="",0,IFERROR(INDEX(설정_코스수당!$B$15:$F$64,MATCH($H801,설정_코스수당!$A$15:$A$64,0),MATCH($E801&amp;"수당",설정_코스수당!$B$14:$F$14,0)),0)),0)</f>
        <v>0</v>
      </c>
      <c r="M801" s="27">
        <f>IF($O801="방문완료",IFERROR(VLOOKUP($E801,설정_코스수당!$A$6:$H$10,6,FALSE),0),0)</f>
        <v>0</v>
      </c>
      <c r="N801" s="28">
        <f t="shared" si="23"/>
        <v>0</v>
      </c>
      <c r="O801" s="23"/>
      <c r="P801" s="23"/>
      <c r="Q801" s="23"/>
      <c r="R801" s="26"/>
      <c r="S801" s="23"/>
    </row>
    <row r="802" spans="1:19" ht="19.5" hidden="1" customHeight="1" outlineLevel="1">
      <c r="A802" s="29">
        <v>68</v>
      </c>
      <c r="B802" s="30">
        <f>IF(8&lt;=DAY(DATE(YEAR(설정_코스수당!$K$2),MONTH(설정_코스수당!$K$2)+1,0)),DATE(YEAR(설정_코스수당!$K$2),MONTH(설정_코스수당!$K$2),8),"")</f>
        <v>46181</v>
      </c>
      <c r="C802" s="31"/>
      <c r="D802" s="29"/>
      <c r="E802" s="29"/>
      <c r="F802" s="32"/>
      <c r="G802" s="29"/>
      <c r="H802" s="29"/>
      <c r="I802" s="29"/>
      <c r="J802" s="33">
        <f>IF($O802="방문완료",MAX(0,IFERROR(VLOOKUP($E802,설정_코스수당!$A$6:$H$10,4,FALSE),0)-IF(OR($P802="",$P802="없음"),0,100000)),0)</f>
        <v>0</v>
      </c>
      <c r="K802" s="33">
        <f t="array" ref="K802">IF($O802="방문완료",IFERROR(INDEX(설정_코스수당!$B$15:$F$64,MATCH($G802,설정_코스수당!$A$15:$A$64,0),MATCH($E802&amp;"수당",설정_코스수당!$B$14:$F$14,0)),0),0)</f>
        <v>0</v>
      </c>
      <c r="L802" s="33">
        <f t="array" ref="L802">IF($O802="방문완료",IF($H802="",0,IFERROR(INDEX(설정_코스수당!$B$15:$F$64,MATCH($H802,설정_코스수당!$A$15:$A$64,0),MATCH($E802&amp;"수당",설정_코스수당!$B$14:$F$14,0)),0)),0)</f>
        <v>0</v>
      </c>
      <c r="M802" s="33">
        <f>IF($O802="방문완료",IFERROR(VLOOKUP($E802,설정_코스수당!$A$6:$H$10,6,FALSE),0),0)</f>
        <v>0</v>
      </c>
      <c r="N802" s="34">
        <f t="shared" si="23"/>
        <v>0</v>
      </c>
      <c r="O802" s="29"/>
      <c r="P802" s="29"/>
      <c r="Q802" s="29"/>
      <c r="R802" s="32"/>
      <c r="S802" s="29"/>
    </row>
    <row r="803" spans="1:19" ht="19.5" hidden="1" customHeight="1" outlineLevel="1">
      <c r="A803" s="23">
        <v>69</v>
      </c>
      <c r="B803" s="24">
        <f>IF(8&lt;=DAY(DATE(YEAR(설정_코스수당!$K$2),MONTH(설정_코스수당!$K$2)+1,0)),DATE(YEAR(설정_코스수당!$K$2),MONTH(설정_코스수당!$K$2),8),"")</f>
        <v>46181</v>
      </c>
      <c r="C803" s="25"/>
      <c r="D803" s="23"/>
      <c r="E803" s="23"/>
      <c r="F803" s="26"/>
      <c r="G803" s="23"/>
      <c r="H803" s="23"/>
      <c r="I803" s="23"/>
      <c r="J803" s="27">
        <f>IF($O803="방문완료",MAX(0,IFERROR(VLOOKUP($E803,설정_코스수당!$A$6:$H$10,4,FALSE),0)-IF(OR($P803="",$P803="없음"),0,100000)),0)</f>
        <v>0</v>
      </c>
      <c r="K803" s="27">
        <f t="array" ref="K803">IF($O803="방문완료",IFERROR(INDEX(설정_코스수당!$B$15:$F$64,MATCH($G803,설정_코스수당!$A$15:$A$64,0),MATCH($E803&amp;"수당",설정_코스수당!$B$14:$F$14,0)),0),0)</f>
        <v>0</v>
      </c>
      <c r="L803" s="27">
        <f t="array" ref="L803">IF($O803="방문완료",IF($H803="",0,IFERROR(INDEX(설정_코스수당!$B$15:$F$64,MATCH($H803,설정_코스수당!$A$15:$A$64,0),MATCH($E803&amp;"수당",설정_코스수당!$B$14:$F$14,0)),0)),0)</f>
        <v>0</v>
      </c>
      <c r="M803" s="27">
        <f>IF($O803="방문완료",IFERROR(VLOOKUP($E803,설정_코스수당!$A$6:$H$10,6,FALSE),0),0)</f>
        <v>0</v>
      </c>
      <c r="N803" s="28">
        <f t="shared" si="23"/>
        <v>0</v>
      </c>
      <c r="O803" s="23"/>
      <c r="P803" s="23"/>
      <c r="Q803" s="23"/>
      <c r="R803" s="26"/>
      <c r="S803" s="23"/>
    </row>
    <row r="804" spans="1:19" ht="19.5" hidden="1" customHeight="1" outlineLevel="1">
      <c r="A804" s="29">
        <v>70</v>
      </c>
      <c r="B804" s="30">
        <f>IF(8&lt;=DAY(DATE(YEAR(설정_코스수당!$K$2),MONTH(설정_코스수당!$K$2)+1,0)),DATE(YEAR(설정_코스수당!$K$2),MONTH(설정_코스수당!$K$2),8),"")</f>
        <v>46181</v>
      </c>
      <c r="C804" s="31"/>
      <c r="D804" s="29"/>
      <c r="E804" s="29"/>
      <c r="F804" s="32"/>
      <c r="G804" s="29"/>
      <c r="H804" s="29"/>
      <c r="I804" s="29"/>
      <c r="J804" s="33">
        <f>IF($O804="방문완료",MAX(0,IFERROR(VLOOKUP($E804,설정_코스수당!$A$6:$H$10,4,FALSE),0)-IF(OR($P804="",$P804="없음"),0,100000)),0)</f>
        <v>0</v>
      </c>
      <c r="K804" s="33">
        <f t="array" ref="K804">IF($O804="방문완료",IFERROR(INDEX(설정_코스수당!$B$15:$F$64,MATCH($G804,설정_코스수당!$A$15:$A$64,0),MATCH($E804&amp;"수당",설정_코스수당!$B$14:$F$14,0)),0),0)</f>
        <v>0</v>
      </c>
      <c r="L804" s="33">
        <f t="array" ref="L804">IF($O804="방문완료",IF($H804="",0,IFERROR(INDEX(설정_코스수당!$B$15:$F$64,MATCH($H804,설정_코스수당!$A$15:$A$64,0),MATCH($E804&amp;"수당",설정_코스수당!$B$14:$F$14,0)),0)),0)</f>
        <v>0</v>
      </c>
      <c r="M804" s="33">
        <f>IF($O804="방문완료",IFERROR(VLOOKUP($E804,설정_코스수당!$A$6:$H$10,6,FALSE),0),0)</f>
        <v>0</v>
      </c>
      <c r="N804" s="34">
        <f t="shared" si="23"/>
        <v>0</v>
      </c>
      <c r="O804" s="29"/>
      <c r="P804" s="29"/>
      <c r="Q804" s="29"/>
      <c r="R804" s="32"/>
      <c r="S804" s="29"/>
    </row>
    <row r="805" spans="1:19" ht="19.5" hidden="1" customHeight="1" outlineLevel="1">
      <c r="A805" s="23">
        <v>71</v>
      </c>
      <c r="B805" s="24">
        <f>IF(8&lt;=DAY(DATE(YEAR(설정_코스수당!$K$2),MONTH(설정_코스수당!$K$2)+1,0)),DATE(YEAR(설정_코스수당!$K$2),MONTH(설정_코스수당!$K$2),8),"")</f>
        <v>46181</v>
      </c>
      <c r="C805" s="25"/>
      <c r="D805" s="23"/>
      <c r="E805" s="23"/>
      <c r="F805" s="26"/>
      <c r="G805" s="23"/>
      <c r="H805" s="23"/>
      <c r="I805" s="23"/>
      <c r="J805" s="27">
        <f>IF($O805="방문완료",MAX(0,IFERROR(VLOOKUP($E805,설정_코스수당!$A$6:$H$10,4,FALSE),0)-IF(OR($P805="",$P805="없음"),0,100000)),0)</f>
        <v>0</v>
      </c>
      <c r="K805" s="27">
        <f t="array" ref="K805">IF($O805="방문완료",IFERROR(INDEX(설정_코스수당!$B$15:$F$64,MATCH($G805,설정_코스수당!$A$15:$A$64,0),MATCH($E805&amp;"수당",설정_코스수당!$B$14:$F$14,0)),0),0)</f>
        <v>0</v>
      </c>
      <c r="L805" s="27">
        <f t="array" ref="L805">IF($O805="방문완료",IF($H805="",0,IFERROR(INDEX(설정_코스수당!$B$15:$F$64,MATCH($H805,설정_코스수당!$A$15:$A$64,0),MATCH($E805&amp;"수당",설정_코스수당!$B$14:$F$14,0)),0)),0)</f>
        <v>0</v>
      </c>
      <c r="M805" s="27">
        <f>IF($O805="방문완료",IFERROR(VLOOKUP($E805,설정_코스수당!$A$6:$H$10,6,FALSE),0),0)</f>
        <v>0</v>
      </c>
      <c r="N805" s="28">
        <f t="shared" si="23"/>
        <v>0</v>
      </c>
      <c r="O805" s="23"/>
      <c r="P805" s="23"/>
      <c r="Q805" s="23"/>
      <c r="R805" s="26"/>
      <c r="S805" s="23"/>
    </row>
    <row r="806" spans="1:19" ht="19.5" hidden="1" customHeight="1" outlineLevel="1">
      <c r="A806" s="29">
        <v>72</v>
      </c>
      <c r="B806" s="30">
        <f>IF(8&lt;=DAY(DATE(YEAR(설정_코스수당!$K$2),MONTH(설정_코스수당!$K$2)+1,0)),DATE(YEAR(설정_코스수당!$K$2),MONTH(설정_코스수당!$K$2),8),"")</f>
        <v>46181</v>
      </c>
      <c r="C806" s="31"/>
      <c r="D806" s="29"/>
      <c r="E806" s="29"/>
      <c r="F806" s="32"/>
      <c r="G806" s="29"/>
      <c r="H806" s="29"/>
      <c r="I806" s="29"/>
      <c r="J806" s="33">
        <f>IF($O806="방문완료",MAX(0,IFERROR(VLOOKUP($E806,설정_코스수당!$A$6:$H$10,4,FALSE),0)-IF(OR($P806="",$P806="없음"),0,100000)),0)</f>
        <v>0</v>
      </c>
      <c r="K806" s="33">
        <f t="array" ref="K806">IF($O806="방문완료",IFERROR(INDEX(설정_코스수당!$B$15:$F$64,MATCH($G806,설정_코스수당!$A$15:$A$64,0),MATCH($E806&amp;"수당",설정_코스수당!$B$14:$F$14,0)),0),0)</f>
        <v>0</v>
      </c>
      <c r="L806" s="33">
        <f t="array" ref="L806">IF($O806="방문완료",IF($H806="",0,IFERROR(INDEX(설정_코스수당!$B$15:$F$64,MATCH($H806,설정_코스수당!$A$15:$A$64,0),MATCH($E806&amp;"수당",설정_코스수당!$B$14:$F$14,0)),0)),0)</f>
        <v>0</v>
      </c>
      <c r="M806" s="33">
        <f>IF($O806="방문완료",IFERROR(VLOOKUP($E806,설정_코스수당!$A$6:$H$10,6,FALSE),0),0)</f>
        <v>0</v>
      </c>
      <c r="N806" s="34">
        <f t="shared" si="23"/>
        <v>0</v>
      </c>
      <c r="O806" s="29"/>
      <c r="P806" s="29"/>
      <c r="Q806" s="29"/>
      <c r="R806" s="32"/>
      <c r="S806" s="29"/>
    </row>
    <row r="807" spans="1:19" ht="19.5" hidden="1" customHeight="1" outlineLevel="1">
      <c r="A807" s="23">
        <v>73</v>
      </c>
      <c r="B807" s="24">
        <f>IF(8&lt;=DAY(DATE(YEAR(설정_코스수당!$K$2),MONTH(설정_코스수당!$K$2)+1,0)),DATE(YEAR(설정_코스수당!$K$2),MONTH(설정_코스수당!$K$2),8),"")</f>
        <v>46181</v>
      </c>
      <c r="C807" s="25"/>
      <c r="D807" s="23"/>
      <c r="E807" s="23"/>
      <c r="F807" s="26"/>
      <c r="G807" s="23"/>
      <c r="H807" s="23"/>
      <c r="I807" s="23"/>
      <c r="J807" s="27">
        <f>IF($O807="방문완료",MAX(0,IFERROR(VLOOKUP($E807,설정_코스수당!$A$6:$H$10,4,FALSE),0)-IF(OR($P807="",$P807="없음"),0,100000)),0)</f>
        <v>0</v>
      </c>
      <c r="K807" s="27">
        <f t="array" ref="K807">IF($O807="방문완료",IFERROR(INDEX(설정_코스수당!$B$15:$F$64,MATCH($G807,설정_코스수당!$A$15:$A$64,0),MATCH($E807&amp;"수당",설정_코스수당!$B$14:$F$14,0)),0),0)</f>
        <v>0</v>
      </c>
      <c r="L807" s="27">
        <f t="array" ref="L807">IF($O807="방문완료",IF($H807="",0,IFERROR(INDEX(설정_코스수당!$B$15:$F$64,MATCH($H807,설정_코스수당!$A$15:$A$64,0),MATCH($E807&amp;"수당",설정_코스수당!$B$14:$F$14,0)),0)),0)</f>
        <v>0</v>
      </c>
      <c r="M807" s="27">
        <f>IF($O807="방문완료",IFERROR(VLOOKUP($E807,설정_코스수당!$A$6:$H$10,6,FALSE),0),0)</f>
        <v>0</v>
      </c>
      <c r="N807" s="28">
        <f t="shared" si="23"/>
        <v>0</v>
      </c>
      <c r="O807" s="23"/>
      <c r="P807" s="23"/>
      <c r="Q807" s="23"/>
      <c r="R807" s="26"/>
      <c r="S807" s="23"/>
    </row>
    <row r="808" spans="1:19" ht="19.5" hidden="1" customHeight="1" outlineLevel="1">
      <c r="A808" s="29">
        <v>74</v>
      </c>
      <c r="B808" s="30">
        <f>IF(8&lt;=DAY(DATE(YEAR(설정_코스수당!$K$2),MONTH(설정_코스수당!$K$2)+1,0)),DATE(YEAR(설정_코스수당!$K$2),MONTH(설정_코스수당!$K$2),8),"")</f>
        <v>46181</v>
      </c>
      <c r="C808" s="31"/>
      <c r="D808" s="29"/>
      <c r="E808" s="29"/>
      <c r="F808" s="32"/>
      <c r="G808" s="29"/>
      <c r="H808" s="29"/>
      <c r="I808" s="29"/>
      <c r="J808" s="33">
        <f>IF($O808="방문완료",MAX(0,IFERROR(VLOOKUP($E808,설정_코스수당!$A$6:$H$10,4,FALSE),0)-IF(OR($P808="",$P808="없음"),0,100000)),0)</f>
        <v>0</v>
      </c>
      <c r="K808" s="33">
        <f t="array" ref="K808">IF($O808="방문완료",IFERROR(INDEX(설정_코스수당!$B$15:$F$64,MATCH($G808,설정_코스수당!$A$15:$A$64,0),MATCH($E808&amp;"수당",설정_코스수당!$B$14:$F$14,0)),0),0)</f>
        <v>0</v>
      </c>
      <c r="L808" s="33">
        <f t="array" ref="L808">IF($O808="방문완료",IF($H808="",0,IFERROR(INDEX(설정_코스수당!$B$15:$F$64,MATCH($H808,설정_코스수당!$A$15:$A$64,0),MATCH($E808&amp;"수당",설정_코스수당!$B$14:$F$14,0)),0)),0)</f>
        <v>0</v>
      </c>
      <c r="M808" s="33">
        <f>IF($O808="방문완료",IFERROR(VLOOKUP($E808,설정_코스수당!$A$6:$H$10,6,FALSE),0),0)</f>
        <v>0</v>
      </c>
      <c r="N808" s="34">
        <f t="shared" si="23"/>
        <v>0</v>
      </c>
      <c r="O808" s="29"/>
      <c r="P808" s="29"/>
      <c r="Q808" s="29"/>
      <c r="R808" s="32"/>
      <c r="S808" s="29"/>
    </row>
    <row r="809" spans="1:19" ht="19.5" hidden="1" customHeight="1" outlineLevel="1">
      <c r="A809" s="23">
        <v>75</v>
      </c>
      <c r="B809" s="24">
        <f>IF(8&lt;=DAY(DATE(YEAR(설정_코스수당!$K$2),MONTH(설정_코스수당!$K$2)+1,0)),DATE(YEAR(설정_코스수당!$K$2),MONTH(설정_코스수당!$K$2),8),"")</f>
        <v>46181</v>
      </c>
      <c r="C809" s="25"/>
      <c r="D809" s="23"/>
      <c r="E809" s="23"/>
      <c r="F809" s="26"/>
      <c r="G809" s="23"/>
      <c r="H809" s="23"/>
      <c r="I809" s="23"/>
      <c r="J809" s="27">
        <f>IF($O809="방문완료",MAX(0,IFERROR(VLOOKUP($E809,설정_코스수당!$A$6:$H$10,4,FALSE),0)-IF(OR($P809="",$P809="없음"),0,100000)),0)</f>
        <v>0</v>
      </c>
      <c r="K809" s="27">
        <f t="array" ref="K809">IF($O809="방문완료",IFERROR(INDEX(설정_코스수당!$B$15:$F$64,MATCH($G809,설정_코스수당!$A$15:$A$64,0),MATCH($E809&amp;"수당",설정_코스수당!$B$14:$F$14,0)),0),0)</f>
        <v>0</v>
      </c>
      <c r="L809" s="27">
        <f t="array" ref="L809">IF($O809="방문완료",IF($H809="",0,IFERROR(INDEX(설정_코스수당!$B$15:$F$64,MATCH($H809,설정_코스수당!$A$15:$A$64,0),MATCH($E809&amp;"수당",설정_코스수당!$B$14:$F$14,0)),0)),0)</f>
        <v>0</v>
      </c>
      <c r="M809" s="27">
        <f>IF($O809="방문완료",IFERROR(VLOOKUP($E809,설정_코스수당!$A$6:$H$10,6,FALSE),0),0)</f>
        <v>0</v>
      </c>
      <c r="N809" s="28">
        <f t="shared" si="23"/>
        <v>0</v>
      </c>
      <c r="O809" s="23"/>
      <c r="P809" s="23"/>
      <c r="Q809" s="23"/>
      <c r="R809" s="26"/>
      <c r="S809" s="23"/>
    </row>
    <row r="810" spans="1:19" ht="19.5" hidden="1" customHeight="1" outlineLevel="1">
      <c r="A810" s="29">
        <v>76</v>
      </c>
      <c r="B810" s="30">
        <f>IF(8&lt;=DAY(DATE(YEAR(설정_코스수당!$K$2),MONTH(설정_코스수당!$K$2)+1,0)),DATE(YEAR(설정_코스수당!$K$2),MONTH(설정_코스수당!$K$2),8),"")</f>
        <v>46181</v>
      </c>
      <c r="C810" s="31"/>
      <c r="D810" s="29"/>
      <c r="E810" s="29"/>
      <c r="F810" s="32"/>
      <c r="G810" s="29"/>
      <c r="H810" s="29"/>
      <c r="I810" s="29"/>
      <c r="J810" s="33">
        <f>IF($O810="방문완료",MAX(0,IFERROR(VLOOKUP($E810,설정_코스수당!$A$6:$H$10,4,FALSE),0)-IF(OR($P810="",$P810="없음"),0,100000)),0)</f>
        <v>0</v>
      </c>
      <c r="K810" s="33">
        <f t="array" ref="K810">IF($O810="방문완료",IFERROR(INDEX(설정_코스수당!$B$15:$F$64,MATCH($G810,설정_코스수당!$A$15:$A$64,0),MATCH($E810&amp;"수당",설정_코스수당!$B$14:$F$14,0)),0),0)</f>
        <v>0</v>
      </c>
      <c r="L810" s="33">
        <f t="array" ref="L810">IF($O810="방문완료",IF($H810="",0,IFERROR(INDEX(설정_코스수당!$B$15:$F$64,MATCH($H810,설정_코스수당!$A$15:$A$64,0),MATCH($E810&amp;"수당",설정_코스수당!$B$14:$F$14,0)),0)),0)</f>
        <v>0</v>
      </c>
      <c r="M810" s="33">
        <f>IF($O810="방문완료",IFERROR(VLOOKUP($E810,설정_코스수당!$A$6:$H$10,6,FALSE),0),0)</f>
        <v>0</v>
      </c>
      <c r="N810" s="34">
        <f t="shared" si="23"/>
        <v>0</v>
      </c>
      <c r="O810" s="29"/>
      <c r="P810" s="29"/>
      <c r="Q810" s="29"/>
      <c r="R810" s="32"/>
      <c r="S810" s="29"/>
    </row>
    <row r="811" spans="1:19" ht="19.5" hidden="1" customHeight="1" outlineLevel="1">
      <c r="A811" s="23">
        <v>77</v>
      </c>
      <c r="B811" s="24">
        <f>IF(8&lt;=DAY(DATE(YEAR(설정_코스수당!$K$2),MONTH(설정_코스수당!$K$2)+1,0)),DATE(YEAR(설정_코스수당!$K$2),MONTH(설정_코스수당!$K$2),8),"")</f>
        <v>46181</v>
      </c>
      <c r="C811" s="25"/>
      <c r="D811" s="23"/>
      <c r="E811" s="23"/>
      <c r="F811" s="26"/>
      <c r="G811" s="23"/>
      <c r="H811" s="23"/>
      <c r="I811" s="23"/>
      <c r="J811" s="27">
        <f>IF($O811="방문완료",MAX(0,IFERROR(VLOOKUP($E811,설정_코스수당!$A$6:$H$10,4,FALSE),0)-IF(OR($P811="",$P811="없음"),0,100000)),0)</f>
        <v>0</v>
      </c>
      <c r="K811" s="27">
        <f t="array" ref="K811">IF($O811="방문완료",IFERROR(INDEX(설정_코스수당!$B$15:$F$64,MATCH($G811,설정_코스수당!$A$15:$A$64,0),MATCH($E811&amp;"수당",설정_코스수당!$B$14:$F$14,0)),0),0)</f>
        <v>0</v>
      </c>
      <c r="L811" s="27">
        <f t="array" ref="L811">IF($O811="방문완료",IF($H811="",0,IFERROR(INDEX(설정_코스수당!$B$15:$F$64,MATCH($H811,설정_코스수당!$A$15:$A$64,0),MATCH($E811&amp;"수당",설정_코스수당!$B$14:$F$14,0)),0)),0)</f>
        <v>0</v>
      </c>
      <c r="M811" s="27">
        <f>IF($O811="방문완료",IFERROR(VLOOKUP($E811,설정_코스수당!$A$6:$H$10,6,FALSE),0),0)</f>
        <v>0</v>
      </c>
      <c r="N811" s="28">
        <f t="shared" si="23"/>
        <v>0</v>
      </c>
      <c r="O811" s="23"/>
      <c r="P811" s="23"/>
      <c r="Q811" s="23"/>
      <c r="R811" s="26"/>
      <c r="S811" s="23"/>
    </row>
    <row r="812" spans="1:19" ht="19.5" hidden="1" customHeight="1" outlineLevel="1">
      <c r="A812" s="29">
        <v>78</v>
      </c>
      <c r="B812" s="30">
        <f>IF(8&lt;=DAY(DATE(YEAR(설정_코스수당!$K$2),MONTH(설정_코스수당!$K$2)+1,0)),DATE(YEAR(설정_코스수당!$K$2),MONTH(설정_코스수당!$K$2),8),"")</f>
        <v>46181</v>
      </c>
      <c r="C812" s="31"/>
      <c r="D812" s="29"/>
      <c r="E812" s="29"/>
      <c r="F812" s="32"/>
      <c r="G812" s="29"/>
      <c r="H812" s="29"/>
      <c r="I812" s="29"/>
      <c r="J812" s="33">
        <f>IF($O812="방문완료",MAX(0,IFERROR(VLOOKUP($E812,설정_코스수당!$A$6:$H$10,4,FALSE),0)-IF(OR($P812="",$P812="없음"),0,100000)),0)</f>
        <v>0</v>
      </c>
      <c r="K812" s="33">
        <f t="array" ref="K812">IF($O812="방문완료",IFERROR(INDEX(설정_코스수당!$B$15:$F$64,MATCH($G812,설정_코스수당!$A$15:$A$64,0),MATCH($E812&amp;"수당",설정_코스수당!$B$14:$F$14,0)),0),0)</f>
        <v>0</v>
      </c>
      <c r="L812" s="33">
        <f t="array" ref="L812">IF($O812="방문완료",IF($H812="",0,IFERROR(INDEX(설정_코스수당!$B$15:$F$64,MATCH($H812,설정_코스수당!$A$15:$A$64,0),MATCH($E812&amp;"수당",설정_코스수당!$B$14:$F$14,0)),0)),0)</f>
        <v>0</v>
      </c>
      <c r="M812" s="33">
        <f>IF($O812="방문완료",IFERROR(VLOOKUP($E812,설정_코스수당!$A$6:$H$10,6,FALSE),0),0)</f>
        <v>0</v>
      </c>
      <c r="N812" s="34">
        <f t="shared" si="23"/>
        <v>0</v>
      </c>
      <c r="O812" s="29"/>
      <c r="P812" s="29"/>
      <c r="Q812" s="29"/>
      <c r="R812" s="32"/>
      <c r="S812" s="29"/>
    </row>
    <row r="813" spans="1:19" ht="19.5" hidden="1" customHeight="1" outlineLevel="1">
      <c r="A813" s="23">
        <v>79</v>
      </c>
      <c r="B813" s="24">
        <f>IF(8&lt;=DAY(DATE(YEAR(설정_코스수당!$K$2),MONTH(설정_코스수당!$K$2)+1,0)),DATE(YEAR(설정_코스수당!$K$2),MONTH(설정_코스수당!$K$2),8),"")</f>
        <v>46181</v>
      </c>
      <c r="C813" s="25"/>
      <c r="D813" s="23"/>
      <c r="E813" s="23"/>
      <c r="F813" s="26"/>
      <c r="G813" s="23"/>
      <c r="H813" s="23"/>
      <c r="I813" s="23"/>
      <c r="J813" s="27">
        <f>IF($O813="방문완료",MAX(0,IFERROR(VLOOKUP($E813,설정_코스수당!$A$6:$H$10,4,FALSE),0)-IF(OR($P813="",$P813="없음"),0,100000)),0)</f>
        <v>0</v>
      </c>
      <c r="K813" s="27">
        <f t="array" ref="K813">IF($O813="방문완료",IFERROR(INDEX(설정_코스수당!$B$15:$F$64,MATCH($G813,설정_코스수당!$A$15:$A$64,0),MATCH($E813&amp;"수당",설정_코스수당!$B$14:$F$14,0)),0),0)</f>
        <v>0</v>
      </c>
      <c r="L813" s="27">
        <f t="array" ref="L813">IF($O813="방문완료",IF($H813="",0,IFERROR(INDEX(설정_코스수당!$B$15:$F$64,MATCH($H813,설정_코스수당!$A$15:$A$64,0),MATCH($E813&amp;"수당",설정_코스수당!$B$14:$F$14,0)),0)),0)</f>
        <v>0</v>
      </c>
      <c r="M813" s="27">
        <f>IF($O813="방문완료",IFERROR(VLOOKUP($E813,설정_코스수당!$A$6:$H$10,6,FALSE),0),0)</f>
        <v>0</v>
      </c>
      <c r="N813" s="28">
        <f t="shared" si="23"/>
        <v>0</v>
      </c>
      <c r="O813" s="23"/>
      <c r="P813" s="23"/>
      <c r="Q813" s="23"/>
      <c r="R813" s="26"/>
      <c r="S813" s="23"/>
    </row>
    <row r="814" spans="1:19" ht="19.5" hidden="1" customHeight="1" outlineLevel="1">
      <c r="A814" s="29">
        <v>80</v>
      </c>
      <c r="B814" s="30">
        <f>IF(8&lt;=DAY(DATE(YEAR(설정_코스수당!$K$2),MONTH(설정_코스수당!$K$2)+1,0)),DATE(YEAR(설정_코스수당!$K$2),MONTH(설정_코스수당!$K$2),8),"")</f>
        <v>46181</v>
      </c>
      <c r="C814" s="31"/>
      <c r="D814" s="29"/>
      <c r="E814" s="29"/>
      <c r="F814" s="32"/>
      <c r="G814" s="29"/>
      <c r="H814" s="29"/>
      <c r="I814" s="29"/>
      <c r="J814" s="33">
        <f>IF($O814="방문완료",MAX(0,IFERROR(VLOOKUP($E814,설정_코스수당!$A$6:$H$10,4,FALSE),0)-IF(OR($P814="",$P814="없음"),0,100000)),0)</f>
        <v>0</v>
      </c>
      <c r="K814" s="33">
        <f t="array" ref="K814">IF($O814="방문완료",IFERROR(INDEX(설정_코스수당!$B$15:$F$64,MATCH($G814,설정_코스수당!$A$15:$A$64,0),MATCH($E814&amp;"수당",설정_코스수당!$B$14:$F$14,0)),0),0)</f>
        <v>0</v>
      </c>
      <c r="L814" s="33">
        <f t="array" ref="L814">IF($O814="방문완료",IF($H814="",0,IFERROR(INDEX(설정_코스수당!$B$15:$F$64,MATCH($H814,설정_코스수당!$A$15:$A$64,0),MATCH($E814&amp;"수당",설정_코스수당!$B$14:$F$14,0)),0)),0)</f>
        <v>0</v>
      </c>
      <c r="M814" s="33">
        <f>IF($O814="방문완료",IFERROR(VLOOKUP($E814,설정_코스수당!$A$6:$H$10,6,FALSE),0),0)</f>
        <v>0</v>
      </c>
      <c r="N814" s="34">
        <f t="shared" si="23"/>
        <v>0</v>
      </c>
      <c r="O814" s="29"/>
      <c r="P814" s="29"/>
      <c r="Q814" s="29"/>
      <c r="R814" s="32"/>
      <c r="S814" s="29"/>
    </row>
    <row r="815" spans="1:19" ht="19.5" hidden="1" customHeight="1" outlineLevel="1">
      <c r="A815" s="23">
        <v>81</v>
      </c>
      <c r="B815" s="24">
        <f>IF(8&lt;=DAY(DATE(YEAR(설정_코스수당!$K$2),MONTH(설정_코스수당!$K$2)+1,0)),DATE(YEAR(설정_코스수당!$K$2),MONTH(설정_코스수당!$K$2),8),"")</f>
        <v>46181</v>
      </c>
      <c r="C815" s="25"/>
      <c r="D815" s="23"/>
      <c r="E815" s="23"/>
      <c r="F815" s="26"/>
      <c r="G815" s="23"/>
      <c r="H815" s="23"/>
      <c r="I815" s="23"/>
      <c r="J815" s="27">
        <f>IF($O815="방문완료",MAX(0,IFERROR(VLOOKUP($E815,설정_코스수당!$A$6:$H$10,4,FALSE),0)-IF(OR($P815="",$P815="없음"),0,100000)),0)</f>
        <v>0</v>
      </c>
      <c r="K815" s="27">
        <f t="array" ref="K815">IF($O815="방문완료",IFERROR(INDEX(설정_코스수당!$B$15:$F$64,MATCH($G815,설정_코스수당!$A$15:$A$64,0),MATCH($E815&amp;"수당",설정_코스수당!$B$14:$F$14,0)),0),0)</f>
        <v>0</v>
      </c>
      <c r="L815" s="27">
        <f t="array" ref="L815">IF($O815="방문완료",IF($H815="",0,IFERROR(INDEX(설정_코스수당!$B$15:$F$64,MATCH($H815,설정_코스수당!$A$15:$A$64,0),MATCH($E815&amp;"수당",설정_코스수당!$B$14:$F$14,0)),0)),0)</f>
        <v>0</v>
      </c>
      <c r="M815" s="27">
        <f>IF($O815="방문완료",IFERROR(VLOOKUP($E815,설정_코스수당!$A$6:$H$10,6,FALSE),0),0)</f>
        <v>0</v>
      </c>
      <c r="N815" s="28">
        <f t="shared" si="23"/>
        <v>0</v>
      </c>
      <c r="O815" s="23"/>
      <c r="P815" s="23"/>
      <c r="Q815" s="23"/>
      <c r="R815" s="26"/>
      <c r="S815" s="23"/>
    </row>
    <row r="816" spans="1:19" ht="19.5" hidden="1" customHeight="1" outlineLevel="1">
      <c r="A816" s="29">
        <v>82</v>
      </c>
      <c r="B816" s="30">
        <f>IF(8&lt;=DAY(DATE(YEAR(설정_코스수당!$K$2),MONTH(설정_코스수당!$K$2)+1,0)),DATE(YEAR(설정_코스수당!$K$2),MONTH(설정_코스수당!$K$2),8),"")</f>
        <v>46181</v>
      </c>
      <c r="C816" s="31"/>
      <c r="D816" s="29"/>
      <c r="E816" s="29"/>
      <c r="F816" s="32"/>
      <c r="G816" s="29"/>
      <c r="H816" s="29"/>
      <c r="I816" s="29"/>
      <c r="J816" s="33">
        <f>IF($O816="방문완료",MAX(0,IFERROR(VLOOKUP($E816,설정_코스수당!$A$6:$H$10,4,FALSE),0)-IF(OR($P816="",$P816="없음"),0,100000)),0)</f>
        <v>0</v>
      </c>
      <c r="K816" s="33">
        <f t="array" ref="K816">IF($O816="방문완료",IFERROR(INDEX(설정_코스수당!$B$15:$F$64,MATCH($G816,설정_코스수당!$A$15:$A$64,0),MATCH($E816&amp;"수당",설정_코스수당!$B$14:$F$14,0)),0),0)</f>
        <v>0</v>
      </c>
      <c r="L816" s="33">
        <f t="array" ref="L816">IF($O816="방문완료",IF($H816="",0,IFERROR(INDEX(설정_코스수당!$B$15:$F$64,MATCH($H816,설정_코스수당!$A$15:$A$64,0),MATCH($E816&amp;"수당",설정_코스수당!$B$14:$F$14,0)),0)),0)</f>
        <v>0</v>
      </c>
      <c r="M816" s="33">
        <f>IF($O816="방문완료",IFERROR(VLOOKUP($E816,설정_코스수당!$A$6:$H$10,6,FALSE),0),0)</f>
        <v>0</v>
      </c>
      <c r="N816" s="34">
        <f t="shared" si="23"/>
        <v>0</v>
      </c>
      <c r="O816" s="29"/>
      <c r="P816" s="29"/>
      <c r="Q816" s="29"/>
      <c r="R816" s="32"/>
      <c r="S816" s="29"/>
    </row>
    <row r="817" spans="1:22" ht="19.5" hidden="1" customHeight="1" outlineLevel="1">
      <c r="A817" s="23">
        <v>83</v>
      </c>
      <c r="B817" s="24">
        <f>IF(8&lt;=DAY(DATE(YEAR(설정_코스수당!$K$2),MONTH(설정_코스수당!$K$2)+1,0)),DATE(YEAR(설정_코스수당!$K$2),MONTH(설정_코스수당!$K$2),8),"")</f>
        <v>46181</v>
      </c>
      <c r="C817" s="25"/>
      <c r="D817" s="23"/>
      <c r="E817" s="23"/>
      <c r="F817" s="26"/>
      <c r="G817" s="23"/>
      <c r="H817" s="23"/>
      <c r="I817" s="23"/>
      <c r="J817" s="27">
        <f>IF($O817="방문완료",MAX(0,IFERROR(VLOOKUP($E817,설정_코스수당!$A$6:$H$10,4,FALSE),0)-IF(OR($P817="",$P817="없음"),0,100000)),0)</f>
        <v>0</v>
      </c>
      <c r="K817" s="27">
        <f t="array" ref="K817">IF($O817="방문완료",IFERROR(INDEX(설정_코스수당!$B$15:$F$64,MATCH($G817,설정_코스수당!$A$15:$A$64,0),MATCH($E817&amp;"수당",설정_코스수당!$B$14:$F$14,0)),0),0)</f>
        <v>0</v>
      </c>
      <c r="L817" s="27">
        <f t="array" ref="L817">IF($O817="방문완료",IF($H817="",0,IFERROR(INDEX(설정_코스수당!$B$15:$F$64,MATCH($H817,설정_코스수당!$A$15:$A$64,0),MATCH($E817&amp;"수당",설정_코스수당!$B$14:$F$14,0)),0)),0)</f>
        <v>0</v>
      </c>
      <c r="M817" s="27">
        <f>IF($O817="방문완료",IFERROR(VLOOKUP($E817,설정_코스수당!$A$6:$H$10,6,FALSE),0),0)</f>
        <v>0</v>
      </c>
      <c r="N817" s="28">
        <f t="shared" si="23"/>
        <v>0</v>
      </c>
      <c r="O817" s="23"/>
      <c r="P817" s="23"/>
      <c r="Q817" s="23"/>
      <c r="R817" s="26"/>
      <c r="S817" s="23"/>
    </row>
    <row r="818" spans="1:22" ht="19.5" hidden="1" customHeight="1" outlineLevel="1">
      <c r="A818" s="29">
        <v>84</v>
      </c>
      <c r="B818" s="30">
        <f>IF(8&lt;=DAY(DATE(YEAR(설정_코스수당!$K$2),MONTH(설정_코스수당!$K$2)+1,0)),DATE(YEAR(설정_코스수당!$K$2),MONTH(설정_코스수당!$K$2),8),"")</f>
        <v>46181</v>
      </c>
      <c r="C818" s="31"/>
      <c r="D818" s="29"/>
      <c r="E818" s="29"/>
      <c r="F818" s="32"/>
      <c r="G818" s="29"/>
      <c r="H818" s="29"/>
      <c r="I818" s="29"/>
      <c r="J818" s="33">
        <f>IF($O818="방문완료",MAX(0,IFERROR(VLOOKUP($E818,설정_코스수당!$A$6:$H$10,4,FALSE),0)-IF(OR($P818="",$P818="없음"),0,100000)),0)</f>
        <v>0</v>
      </c>
      <c r="K818" s="33">
        <f t="array" ref="K818">IF($O818="방문완료",IFERROR(INDEX(설정_코스수당!$B$15:$F$64,MATCH($G818,설정_코스수당!$A$15:$A$64,0),MATCH($E818&amp;"수당",설정_코스수당!$B$14:$F$14,0)),0),0)</f>
        <v>0</v>
      </c>
      <c r="L818" s="33">
        <f t="array" ref="L818">IF($O818="방문완료",IF($H818="",0,IFERROR(INDEX(설정_코스수당!$B$15:$F$64,MATCH($H818,설정_코스수당!$A$15:$A$64,0),MATCH($E818&amp;"수당",설정_코스수당!$B$14:$F$14,0)),0)),0)</f>
        <v>0</v>
      </c>
      <c r="M818" s="33">
        <f>IF($O818="방문완료",IFERROR(VLOOKUP($E818,설정_코스수당!$A$6:$H$10,6,FALSE),0),0)</f>
        <v>0</v>
      </c>
      <c r="N818" s="34">
        <f t="shared" si="23"/>
        <v>0</v>
      </c>
      <c r="O818" s="29"/>
      <c r="P818" s="29"/>
      <c r="Q818" s="29"/>
      <c r="R818" s="32"/>
      <c r="S818" s="29"/>
    </row>
    <row r="819" spans="1:22" ht="19.5" hidden="1" customHeight="1" outlineLevel="1">
      <c r="A819" s="23">
        <v>85</v>
      </c>
      <c r="B819" s="24">
        <f>IF(8&lt;=DAY(DATE(YEAR(설정_코스수당!$K$2),MONTH(설정_코스수당!$K$2)+1,0)),DATE(YEAR(설정_코스수당!$K$2),MONTH(설정_코스수당!$K$2),8),"")</f>
        <v>46181</v>
      </c>
      <c r="C819" s="25"/>
      <c r="D819" s="23"/>
      <c r="E819" s="23"/>
      <c r="F819" s="26"/>
      <c r="G819" s="23"/>
      <c r="H819" s="23"/>
      <c r="I819" s="23"/>
      <c r="J819" s="27">
        <f>IF($O819="방문완료",MAX(0,IFERROR(VLOOKUP($E819,설정_코스수당!$A$6:$H$10,4,FALSE),0)-IF(OR($P819="",$P819="없음"),0,100000)),0)</f>
        <v>0</v>
      </c>
      <c r="K819" s="27">
        <f t="array" ref="K819">IF($O819="방문완료",IFERROR(INDEX(설정_코스수당!$B$15:$F$64,MATCH($G819,설정_코스수당!$A$15:$A$64,0),MATCH($E819&amp;"수당",설정_코스수당!$B$14:$F$14,0)),0),0)</f>
        <v>0</v>
      </c>
      <c r="L819" s="27">
        <f t="array" ref="L819">IF($O819="방문완료",IF($H819="",0,IFERROR(INDEX(설정_코스수당!$B$15:$F$64,MATCH($H819,설정_코스수당!$A$15:$A$64,0),MATCH($E819&amp;"수당",설정_코스수당!$B$14:$F$14,0)),0)),0)</f>
        <v>0</v>
      </c>
      <c r="M819" s="27">
        <f>IF($O819="방문완료",IFERROR(VLOOKUP($E819,설정_코스수당!$A$6:$H$10,6,FALSE),0),0)</f>
        <v>0</v>
      </c>
      <c r="N819" s="28">
        <f t="shared" si="23"/>
        <v>0</v>
      </c>
      <c r="O819" s="23"/>
      <c r="P819" s="23"/>
      <c r="Q819" s="23"/>
      <c r="R819" s="26"/>
      <c r="S819" s="23"/>
    </row>
    <row r="820" spans="1:22" ht="19.5" hidden="1" customHeight="1" outlineLevel="1">
      <c r="A820" s="29">
        <v>86</v>
      </c>
      <c r="B820" s="30">
        <f>IF(8&lt;=DAY(DATE(YEAR(설정_코스수당!$K$2),MONTH(설정_코스수당!$K$2)+1,0)),DATE(YEAR(설정_코스수당!$K$2),MONTH(설정_코스수당!$K$2),8),"")</f>
        <v>46181</v>
      </c>
      <c r="C820" s="31"/>
      <c r="D820" s="29"/>
      <c r="E820" s="29"/>
      <c r="F820" s="32"/>
      <c r="G820" s="29"/>
      <c r="H820" s="29"/>
      <c r="I820" s="29"/>
      <c r="J820" s="33">
        <f>IF($O820="방문완료",MAX(0,IFERROR(VLOOKUP($E820,설정_코스수당!$A$6:$H$10,4,FALSE),0)-IF(OR($P820="",$P820="없음"),0,100000)),0)</f>
        <v>0</v>
      </c>
      <c r="K820" s="33">
        <f t="array" ref="K820">IF($O820="방문완료",IFERROR(INDEX(설정_코스수당!$B$15:$F$64,MATCH($G820,설정_코스수당!$A$15:$A$64,0),MATCH($E820&amp;"수당",설정_코스수당!$B$14:$F$14,0)),0),0)</f>
        <v>0</v>
      </c>
      <c r="L820" s="33">
        <f t="array" ref="L820">IF($O820="방문완료",IF($H820="",0,IFERROR(INDEX(설정_코스수당!$B$15:$F$64,MATCH($H820,설정_코스수당!$A$15:$A$64,0),MATCH($E820&amp;"수당",설정_코스수당!$B$14:$F$14,0)),0)),0)</f>
        <v>0</v>
      </c>
      <c r="M820" s="33">
        <f>IF($O820="방문완료",IFERROR(VLOOKUP($E820,설정_코스수당!$A$6:$H$10,6,FALSE),0),0)</f>
        <v>0</v>
      </c>
      <c r="N820" s="34">
        <f t="shared" si="23"/>
        <v>0</v>
      </c>
      <c r="O820" s="29"/>
      <c r="P820" s="29"/>
      <c r="Q820" s="29"/>
      <c r="R820" s="32"/>
      <c r="S820" s="29"/>
      <c r="U820" s="16" t="s">
        <v>72</v>
      </c>
      <c r="V820" s="17">
        <f>IF(9&lt;=DAY(DATE(YEAR(설정_코스수당!$K$2),MONTH(설정_코스수당!$K$2)+1,0)),COUNTIFS($B:$B,DATE(YEAR(설정_코스수당!$K$2),MONTH(설정_코스수당!$K$2),9),$O:$O,"방문완료",$P:$P,"&lt;&gt;",$P:$P,"&lt;&gt;없음")*100000,"")</f>
        <v>0</v>
      </c>
    </row>
    <row r="821" spans="1:22" ht="19.5" hidden="1" customHeight="1" outlineLevel="1">
      <c r="A821" s="23">
        <v>87</v>
      </c>
      <c r="B821" s="24">
        <f>IF(8&lt;=DAY(DATE(YEAR(설정_코스수당!$K$2),MONTH(설정_코스수당!$K$2)+1,0)),DATE(YEAR(설정_코스수당!$K$2),MONTH(설정_코스수당!$K$2),8),"")</f>
        <v>46181</v>
      </c>
      <c r="C821" s="25"/>
      <c r="D821" s="23"/>
      <c r="E821" s="23"/>
      <c r="F821" s="26"/>
      <c r="G821" s="23"/>
      <c r="H821" s="23"/>
      <c r="I821" s="23"/>
      <c r="J821" s="27">
        <f>IF($O821="방문완료",MAX(0,IFERROR(VLOOKUP($E821,설정_코스수당!$A$6:$H$10,4,FALSE),0)-IF(OR($P821="",$P821="없음"),0,100000)),0)</f>
        <v>0</v>
      </c>
      <c r="K821" s="27">
        <f t="array" ref="K821">IF($O821="방문완료",IFERROR(INDEX(설정_코스수당!$B$15:$F$64,MATCH($G821,설정_코스수당!$A$15:$A$64,0),MATCH($E821&amp;"수당",설정_코스수당!$B$14:$F$14,0)),0),0)</f>
        <v>0</v>
      </c>
      <c r="L821" s="27">
        <f t="array" ref="L821">IF($O821="방문완료",IF($H821="",0,IFERROR(INDEX(설정_코스수당!$B$15:$F$64,MATCH($H821,설정_코스수당!$A$15:$A$64,0),MATCH($E821&amp;"수당",설정_코스수당!$B$14:$F$14,0)),0)),0)</f>
        <v>0</v>
      </c>
      <c r="M821" s="27">
        <f>IF($O821="방문완료",IFERROR(VLOOKUP($E821,설정_코스수당!$A$6:$H$10,6,FALSE),0),0)</f>
        <v>0</v>
      </c>
      <c r="N821" s="28">
        <f t="shared" si="23"/>
        <v>0</v>
      </c>
      <c r="O821" s="23"/>
      <c r="P821" s="23"/>
      <c r="Q821" s="23"/>
      <c r="R821" s="26"/>
      <c r="S821" s="23"/>
    </row>
    <row r="822" spans="1:22" ht="19.5" hidden="1" customHeight="1" outlineLevel="1">
      <c r="A822" s="29">
        <v>88</v>
      </c>
      <c r="B822" s="30">
        <f>IF(8&lt;=DAY(DATE(YEAR(설정_코스수당!$K$2),MONTH(설정_코스수당!$K$2)+1,0)),DATE(YEAR(설정_코스수당!$K$2),MONTH(설정_코스수당!$K$2),8),"")</f>
        <v>46181</v>
      </c>
      <c r="C822" s="31"/>
      <c r="D822" s="29"/>
      <c r="E822" s="29"/>
      <c r="F822" s="32"/>
      <c r="G822" s="29"/>
      <c r="H822" s="29"/>
      <c r="I822" s="29"/>
      <c r="J822" s="33">
        <f>IF($O822="방문완료",MAX(0,IFERROR(VLOOKUP($E822,설정_코스수당!$A$6:$H$10,4,FALSE),0)-IF(OR($P822="",$P822="없음"),0,100000)),0)</f>
        <v>0</v>
      </c>
      <c r="K822" s="33">
        <f t="array" ref="K822">IF($O822="방문완료",IFERROR(INDEX(설정_코스수당!$B$15:$F$64,MATCH($G822,설정_코스수당!$A$15:$A$64,0),MATCH($E822&amp;"수당",설정_코스수당!$B$14:$F$14,0)),0),0)</f>
        <v>0</v>
      </c>
      <c r="L822" s="33">
        <f t="array" ref="L822">IF($O822="방문완료",IF($H822="",0,IFERROR(INDEX(설정_코스수당!$B$15:$F$64,MATCH($H822,설정_코스수당!$A$15:$A$64,0),MATCH($E822&amp;"수당",설정_코스수당!$B$14:$F$14,0)),0)),0)</f>
        <v>0</v>
      </c>
      <c r="M822" s="33">
        <f>IF($O822="방문완료",IFERROR(VLOOKUP($E822,설정_코스수당!$A$6:$H$10,6,FALSE),0),0)</f>
        <v>0</v>
      </c>
      <c r="N822" s="34">
        <f t="shared" si="23"/>
        <v>0</v>
      </c>
      <c r="O822" s="29"/>
      <c r="P822" s="29"/>
      <c r="Q822" s="29"/>
      <c r="R822" s="32"/>
      <c r="S822" s="29"/>
    </row>
    <row r="823" spans="1:22" ht="19.5" hidden="1" customHeight="1" outlineLevel="1">
      <c r="A823" s="23">
        <v>89</v>
      </c>
      <c r="B823" s="24">
        <f>IF(8&lt;=DAY(DATE(YEAR(설정_코스수당!$K$2),MONTH(설정_코스수당!$K$2)+1,0)),DATE(YEAR(설정_코스수당!$K$2),MONTH(설정_코스수당!$K$2),8),"")</f>
        <v>46181</v>
      </c>
      <c r="C823" s="25"/>
      <c r="D823" s="23"/>
      <c r="E823" s="23"/>
      <c r="F823" s="26"/>
      <c r="G823" s="23"/>
      <c r="H823" s="23"/>
      <c r="I823" s="23"/>
      <c r="J823" s="27">
        <f>IF($O823="방문완료",MAX(0,IFERROR(VLOOKUP($E823,설정_코스수당!$A$6:$H$10,4,FALSE),0)-IF(OR($P823="",$P823="없음"),0,100000)),0)</f>
        <v>0</v>
      </c>
      <c r="K823" s="27">
        <f t="array" ref="K823">IF($O823="방문완료",IFERROR(INDEX(설정_코스수당!$B$15:$F$64,MATCH($G823,설정_코스수당!$A$15:$A$64,0),MATCH($E823&amp;"수당",설정_코스수당!$B$14:$F$14,0)),0),0)</f>
        <v>0</v>
      </c>
      <c r="L823" s="27">
        <f t="array" ref="L823">IF($O823="방문완료",IF($H823="",0,IFERROR(INDEX(설정_코스수당!$B$15:$F$64,MATCH($H823,설정_코스수당!$A$15:$A$64,0),MATCH($E823&amp;"수당",설정_코스수당!$B$14:$F$14,0)),0)),0)</f>
        <v>0</v>
      </c>
      <c r="M823" s="27">
        <f>IF($O823="방문완료",IFERROR(VLOOKUP($E823,설정_코스수당!$A$6:$H$10,6,FALSE),0),0)</f>
        <v>0</v>
      </c>
      <c r="N823" s="28">
        <f t="shared" si="23"/>
        <v>0</v>
      </c>
      <c r="O823" s="23"/>
      <c r="P823" s="23"/>
      <c r="Q823" s="23"/>
      <c r="R823" s="26"/>
      <c r="S823" s="23"/>
    </row>
    <row r="824" spans="1:22" ht="19.5" hidden="1" customHeight="1" outlineLevel="1">
      <c r="A824" s="29">
        <v>90</v>
      </c>
      <c r="B824" s="30">
        <f>IF(8&lt;=DAY(DATE(YEAR(설정_코스수당!$K$2),MONTH(설정_코스수당!$K$2)+1,0)),DATE(YEAR(설정_코스수당!$K$2),MONTH(설정_코스수당!$K$2),8),"")</f>
        <v>46181</v>
      </c>
      <c r="C824" s="31"/>
      <c r="D824" s="29"/>
      <c r="E824" s="29"/>
      <c r="F824" s="32"/>
      <c r="G824" s="29"/>
      <c r="H824" s="29"/>
      <c r="I824" s="29"/>
      <c r="J824" s="33">
        <f>IF($O824="방문완료",MAX(0,IFERROR(VLOOKUP($E824,설정_코스수당!$A$6:$H$10,4,FALSE),0)-IF(OR($P824="",$P824="없음"),0,100000)),0)</f>
        <v>0</v>
      </c>
      <c r="K824" s="33">
        <f t="array" ref="K824">IF($O824="방문완료",IFERROR(INDEX(설정_코스수당!$B$15:$F$64,MATCH($G824,설정_코스수당!$A$15:$A$64,0),MATCH($E824&amp;"수당",설정_코스수당!$B$14:$F$14,0)),0),0)</f>
        <v>0</v>
      </c>
      <c r="L824" s="33">
        <f t="array" ref="L824">IF($O824="방문완료",IF($H824="",0,IFERROR(INDEX(설정_코스수당!$B$15:$F$64,MATCH($H824,설정_코스수당!$A$15:$A$64,0),MATCH($E824&amp;"수당",설정_코스수당!$B$14:$F$14,0)),0)),0)</f>
        <v>0</v>
      </c>
      <c r="M824" s="33">
        <f>IF($O824="방문완료",IFERROR(VLOOKUP($E824,설정_코스수당!$A$6:$H$10,6,FALSE),0),0)</f>
        <v>0</v>
      </c>
      <c r="N824" s="34">
        <f t="shared" si="23"/>
        <v>0</v>
      </c>
      <c r="O824" s="29"/>
      <c r="P824" s="29"/>
      <c r="Q824" s="29"/>
      <c r="R824" s="32"/>
      <c r="S824" s="29"/>
    </row>
    <row r="825" spans="1:22" ht="19.5" hidden="1" customHeight="1" outlineLevel="1">
      <c r="A825" s="23">
        <v>91</v>
      </c>
      <c r="B825" s="24">
        <f>IF(8&lt;=DAY(DATE(YEAR(설정_코스수당!$K$2),MONTH(설정_코스수당!$K$2)+1,0)),DATE(YEAR(설정_코스수당!$K$2),MONTH(설정_코스수당!$K$2),8),"")</f>
        <v>46181</v>
      </c>
      <c r="C825" s="25"/>
      <c r="D825" s="23"/>
      <c r="E825" s="23"/>
      <c r="F825" s="26"/>
      <c r="G825" s="23"/>
      <c r="H825" s="23"/>
      <c r="I825" s="23"/>
      <c r="J825" s="27">
        <f>IF($O825="방문완료",MAX(0,IFERROR(VLOOKUP($E825,설정_코스수당!$A$6:$H$10,4,FALSE),0)-IF(OR($P825="",$P825="없음"),0,100000)),0)</f>
        <v>0</v>
      </c>
      <c r="K825" s="27">
        <f t="array" ref="K825">IF($O825="방문완료",IFERROR(INDEX(설정_코스수당!$B$15:$F$64,MATCH($G825,설정_코스수당!$A$15:$A$64,0),MATCH($E825&amp;"수당",설정_코스수당!$B$14:$F$14,0)),0),0)</f>
        <v>0</v>
      </c>
      <c r="L825" s="27">
        <f t="array" ref="L825">IF($O825="방문완료",IF($H825="",0,IFERROR(INDEX(설정_코스수당!$B$15:$F$64,MATCH($H825,설정_코스수당!$A$15:$A$64,0),MATCH($E825&amp;"수당",설정_코스수당!$B$14:$F$14,0)),0)),0)</f>
        <v>0</v>
      </c>
      <c r="M825" s="27">
        <f>IF($O825="방문완료",IFERROR(VLOOKUP($E825,설정_코스수당!$A$6:$H$10,6,FALSE),0),0)</f>
        <v>0</v>
      </c>
      <c r="N825" s="28">
        <f t="shared" si="23"/>
        <v>0</v>
      </c>
      <c r="O825" s="23"/>
      <c r="P825" s="23"/>
      <c r="Q825" s="23"/>
      <c r="R825" s="26"/>
      <c r="S825" s="23"/>
    </row>
    <row r="826" spans="1:22" ht="19.5" hidden="1" customHeight="1" outlineLevel="1">
      <c r="A826" s="29">
        <v>92</v>
      </c>
      <c r="B826" s="30">
        <f>IF(8&lt;=DAY(DATE(YEAR(설정_코스수당!$K$2),MONTH(설정_코스수당!$K$2)+1,0)),DATE(YEAR(설정_코스수당!$K$2),MONTH(설정_코스수당!$K$2),8),"")</f>
        <v>46181</v>
      </c>
      <c r="C826" s="31"/>
      <c r="D826" s="29"/>
      <c r="E826" s="29"/>
      <c r="F826" s="32"/>
      <c r="G826" s="29"/>
      <c r="H826" s="29"/>
      <c r="I826" s="29"/>
      <c r="J826" s="33">
        <f>IF($O826="방문완료",MAX(0,IFERROR(VLOOKUP($E826,설정_코스수당!$A$6:$H$10,4,FALSE),0)-IF(OR($P826="",$P826="없음"),0,100000)),0)</f>
        <v>0</v>
      </c>
      <c r="K826" s="33">
        <f t="array" ref="K826">IF($O826="방문완료",IFERROR(INDEX(설정_코스수당!$B$15:$F$64,MATCH($G826,설정_코스수당!$A$15:$A$64,0),MATCH($E826&amp;"수당",설정_코스수당!$B$14:$F$14,0)),0),0)</f>
        <v>0</v>
      </c>
      <c r="L826" s="33">
        <f t="array" ref="L826">IF($O826="방문완료",IF($H826="",0,IFERROR(INDEX(설정_코스수당!$B$15:$F$64,MATCH($H826,설정_코스수당!$A$15:$A$64,0),MATCH($E826&amp;"수당",설정_코스수당!$B$14:$F$14,0)),0)),0)</f>
        <v>0</v>
      </c>
      <c r="M826" s="33">
        <f>IF($O826="방문완료",IFERROR(VLOOKUP($E826,설정_코스수당!$A$6:$H$10,6,FALSE),0),0)</f>
        <v>0</v>
      </c>
      <c r="N826" s="34">
        <f t="shared" si="23"/>
        <v>0</v>
      </c>
      <c r="O826" s="29"/>
      <c r="P826" s="29"/>
      <c r="Q826" s="29"/>
      <c r="R826" s="32"/>
      <c r="S826" s="29"/>
    </row>
    <row r="827" spans="1:22" ht="19.5" hidden="1" customHeight="1" outlineLevel="1">
      <c r="A827" s="23">
        <v>93</v>
      </c>
      <c r="B827" s="24">
        <f>IF(8&lt;=DAY(DATE(YEAR(설정_코스수당!$K$2),MONTH(설정_코스수당!$K$2)+1,0)),DATE(YEAR(설정_코스수당!$K$2),MONTH(설정_코스수당!$K$2),8),"")</f>
        <v>46181</v>
      </c>
      <c r="C827" s="25"/>
      <c r="D827" s="23"/>
      <c r="E827" s="23"/>
      <c r="F827" s="26"/>
      <c r="G827" s="23"/>
      <c r="H827" s="23"/>
      <c r="I827" s="23"/>
      <c r="J827" s="27">
        <f>IF($O827="방문완료",MAX(0,IFERROR(VLOOKUP($E827,설정_코스수당!$A$6:$H$10,4,FALSE),0)-IF(OR($P827="",$P827="없음"),0,100000)),0)</f>
        <v>0</v>
      </c>
      <c r="K827" s="27">
        <f t="array" ref="K827">IF($O827="방문완료",IFERROR(INDEX(설정_코스수당!$B$15:$F$64,MATCH($G827,설정_코스수당!$A$15:$A$64,0),MATCH($E827&amp;"수당",설정_코스수당!$B$14:$F$14,0)),0),0)</f>
        <v>0</v>
      </c>
      <c r="L827" s="27">
        <f t="array" ref="L827">IF($O827="방문완료",IF($H827="",0,IFERROR(INDEX(설정_코스수당!$B$15:$F$64,MATCH($H827,설정_코스수당!$A$15:$A$64,0),MATCH($E827&amp;"수당",설정_코스수당!$B$14:$F$14,0)),0)),0)</f>
        <v>0</v>
      </c>
      <c r="M827" s="27">
        <f>IF($O827="방문완료",IFERROR(VLOOKUP($E827,설정_코스수당!$A$6:$H$10,6,FALSE),0),0)</f>
        <v>0</v>
      </c>
      <c r="N827" s="28">
        <f t="shared" si="23"/>
        <v>0</v>
      </c>
      <c r="O827" s="23"/>
      <c r="P827" s="23"/>
      <c r="Q827" s="23"/>
      <c r="R827" s="26"/>
      <c r="S827" s="23"/>
    </row>
    <row r="828" spans="1:22" ht="19.5" hidden="1" customHeight="1" outlineLevel="1">
      <c r="A828" s="29">
        <v>94</v>
      </c>
      <c r="B828" s="30">
        <f>IF(8&lt;=DAY(DATE(YEAR(설정_코스수당!$K$2),MONTH(설정_코스수당!$K$2)+1,0)),DATE(YEAR(설정_코스수당!$K$2),MONTH(설정_코스수당!$K$2),8),"")</f>
        <v>46181</v>
      </c>
      <c r="C828" s="31"/>
      <c r="D828" s="29"/>
      <c r="E828" s="29"/>
      <c r="F828" s="32"/>
      <c r="G828" s="29"/>
      <c r="H828" s="29"/>
      <c r="I828" s="29"/>
      <c r="J828" s="33">
        <f>IF($O828="방문완료",MAX(0,IFERROR(VLOOKUP($E828,설정_코스수당!$A$6:$H$10,4,FALSE),0)-IF(OR($P828="",$P828="없음"),0,100000)),0)</f>
        <v>0</v>
      </c>
      <c r="K828" s="33">
        <f t="array" ref="K828">IF($O828="방문완료",IFERROR(INDEX(설정_코스수당!$B$15:$F$64,MATCH($G828,설정_코스수당!$A$15:$A$64,0),MATCH($E828&amp;"수당",설정_코스수당!$B$14:$F$14,0)),0),0)</f>
        <v>0</v>
      </c>
      <c r="L828" s="33">
        <f t="array" ref="L828">IF($O828="방문완료",IF($H828="",0,IFERROR(INDEX(설정_코스수당!$B$15:$F$64,MATCH($H828,설정_코스수당!$A$15:$A$64,0),MATCH($E828&amp;"수당",설정_코스수당!$B$14:$F$14,0)),0)),0)</f>
        <v>0</v>
      </c>
      <c r="M828" s="33">
        <f>IF($O828="방문완료",IFERROR(VLOOKUP($E828,설정_코스수당!$A$6:$H$10,6,FALSE),0),0)</f>
        <v>0</v>
      </c>
      <c r="N828" s="34">
        <f t="shared" si="23"/>
        <v>0</v>
      </c>
      <c r="O828" s="29"/>
      <c r="P828" s="29"/>
      <c r="Q828" s="29"/>
      <c r="R828" s="32"/>
      <c r="S828" s="29"/>
    </row>
    <row r="829" spans="1:22" ht="19.5" hidden="1" customHeight="1" outlineLevel="1">
      <c r="A829" s="23">
        <v>95</v>
      </c>
      <c r="B829" s="24">
        <f>IF(8&lt;=DAY(DATE(YEAR(설정_코스수당!$K$2),MONTH(설정_코스수당!$K$2)+1,0)),DATE(YEAR(설정_코스수당!$K$2),MONTH(설정_코스수당!$K$2),8),"")</f>
        <v>46181</v>
      </c>
      <c r="C829" s="25"/>
      <c r="D829" s="23"/>
      <c r="E829" s="23"/>
      <c r="F829" s="26"/>
      <c r="G829" s="23"/>
      <c r="H829" s="23"/>
      <c r="I829" s="23"/>
      <c r="J829" s="27">
        <f>IF($O829="방문완료",MAX(0,IFERROR(VLOOKUP($E829,설정_코스수당!$A$6:$H$10,4,FALSE),0)-IF(OR($P829="",$P829="없음"),0,100000)),0)</f>
        <v>0</v>
      </c>
      <c r="K829" s="27">
        <f t="array" ref="K829">IF($O829="방문완료",IFERROR(INDEX(설정_코스수당!$B$15:$F$64,MATCH($G829,설정_코스수당!$A$15:$A$64,0),MATCH($E829&amp;"수당",설정_코스수당!$B$14:$F$14,0)),0),0)</f>
        <v>0</v>
      </c>
      <c r="L829" s="27">
        <f t="array" ref="L829">IF($O829="방문완료",IF($H829="",0,IFERROR(INDEX(설정_코스수당!$B$15:$F$64,MATCH($H829,설정_코스수당!$A$15:$A$64,0),MATCH($E829&amp;"수당",설정_코스수당!$B$14:$F$14,0)),0)),0)</f>
        <v>0</v>
      </c>
      <c r="M829" s="27">
        <f>IF($O829="방문완료",IFERROR(VLOOKUP($E829,설정_코스수당!$A$6:$H$10,6,FALSE),0),0)</f>
        <v>0</v>
      </c>
      <c r="N829" s="28">
        <f t="shared" si="23"/>
        <v>0</v>
      </c>
      <c r="O829" s="23"/>
      <c r="P829" s="23"/>
      <c r="Q829" s="23"/>
      <c r="R829" s="26"/>
      <c r="S829" s="23"/>
    </row>
    <row r="830" spans="1:22" ht="19.5" hidden="1" customHeight="1" outlineLevel="1">
      <c r="A830" s="29">
        <v>96</v>
      </c>
      <c r="B830" s="30">
        <f>IF(8&lt;=DAY(DATE(YEAR(설정_코스수당!$K$2),MONTH(설정_코스수당!$K$2)+1,0)),DATE(YEAR(설정_코스수당!$K$2),MONTH(설정_코스수당!$K$2),8),"")</f>
        <v>46181</v>
      </c>
      <c r="C830" s="31"/>
      <c r="D830" s="29"/>
      <c r="E830" s="29"/>
      <c r="F830" s="32"/>
      <c r="G830" s="29"/>
      <c r="H830" s="29"/>
      <c r="I830" s="29"/>
      <c r="J830" s="33">
        <f>IF($O830="방문완료",MAX(0,IFERROR(VLOOKUP($E830,설정_코스수당!$A$6:$H$10,4,FALSE),0)-IF(OR($P830="",$P830="없음"),0,100000)),0)</f>
        <v>0</v>
      </c>
      <c r="K830" s="33">
        <f t="array" ref="K830">IF($O830="방문완료",IFERROR(INDEX(설정_코스수당!$B$15:$F$64,MATCH($G830,설정_코스수당!$A$15:$A$64,0),MATCH($E830&amp;"수당",설정_코스수당!$B$14:$F$14,0)),0),0)</f>
        <v>0</v>
      </c>
      <c r="L830" s="33">
        <f t="array" ref="L830">IF($O830="방문완료",IF($H830="",0,IFERROR(INDEX(설정_코스수당!$B$15:$F$64,MATCH($H830,설정_코스수당!$A$15:$A$64,0),MATCH($E830&amp;"수당",설정_코스수당!$B$14:$F$14,0)),0)),0)</f>
        <v>0</v>
      </c>
      <c r="M830" s="33">
        <f>IF($O830="방문완료",IFERROR(VLOOKUP($E830,설정_코스수당!$A$6:$H$10,6,FALSE),0),0)</f>
        <v>0</v>
      </c>
      <c r="N830" s="34">
        <f t="shared" si="23"/>
        <v>0</v>
      </c>
      <c r="O830" s="29"/>
      <c r="P830" s="29"/>
      <c r="Q830" s="29"/>
      <c r="R830" s="32"/>
      <c r="S830" s="29"/>
    </row>
    <row r="831" spans="1:22" ht="19.5" hidden="1" customHeight="1" outlineLevel="1">
      <c r="A831" s="23">
        <v>97</v>
      </c>
      <c r="B831" s="24">
        <f>IF(8&lt;=DAY(DATE(YEAR(설정_코스수당!$K$2),MONTH(설정_코스수당!$K$2)+1,0)),DATE(YEAR(설정_코스수당!$K$2),MONTH(설정_코스수당!$K$2),8),"")</f>
        <v>46181</v>
      </c>
      <c r="C831" s="25"/>
      <c r="D831" s="23"/>
      <c r="E831" s="23"/>
      <c r="F831" s="26"/>
      <c r="G831" s="23"/>
      <c r="H831" s="23"/>
      <c r="I831" s="23"/>
      <c r="J831" s="27">
        <f>IF($O831="방문완료",MAX(0,IFERROR(VLOOKUP($E831,설정_코스수당!$A$6:$H$10,4,FALSE),0)-IF(OR($P831="",$P831="없음"),0,100000)),0)</f>
        <v>0</v>
      </c>
      <c r="K831" s="27">
        <f t="array" ref="K831">IF($O831="방문완료",IFERROR(INDEX(설정_코스수당!$B$15:$F$64,MATCH($G831,설정_코스수당!$A$15:$A$64,0),MATCH($E831&amp;"수당",설정_코스수당!$B$14:$F$14,0)),0),0)</f>
        <v>0</v>
      </c>
      <c r="L831" s="27">
        <f t="array" ref="L831">IF($O831="방문완료",IF($H831="",0,IFERROR(INDEX(설정_코스수당!$B$15:$F$64,MATCH($H831,설정_코스수당!$A$15:$A$64,0),MATCH($E831&amp;"수당",설정_코스수당!$B$14:$F$14,0)),0)),0)</f>
        <v>0</v>
      </c>
      <c r="M831" s="27">
        <f>IF($O831="방문완료",IFERROR(VLOOKUP($E831,설정_코스수당!$A$6:$H$10,6,FALSE),0),0)</f>
        <v>0</v>
      </c>
      <c r="N831" s="28">
        <f t="shared" si="23"/>
        <v>0</v>
      </c>
      <c r="O831" s="23"/>
      <c r="P831" s="23"/>
      <c r="Q831" s="23"/>
      <c r="R831" s="26"/>
      <c r="S831" s="23"/>
    </row>
    <row r="832" spans="1:22" ht="19.5" hidden="1" customHeight="1" outlineLevel="1">
      <c r="A832" s="29">
        <v>98</v>
      </c>
      <c r="B832" s="30">
        <f>IF(8&lt;=DAY(DATE(YEAR(설정_코스수당!$K$2),MONTH(설정_코스수당!$K$2)+1,0)),DATE(YEAR(설정_코스수당!$K$2),MONTH(설정_코스수당!$K$2),8),"")</f>
        <v>46181</v>
      </c>
      <c r="C832" s="31"/>
      <c r="D832" s="29"/>
      <c r="E832" s="29"/>
      <c r="F832" s="32"/>
      <c r="G832" s="29"/>
      <c r="H832" s="29"/>
      <c r="I832" s="29"/>
      <c r="J832" s="33">
        <f>IF($O832="방문완료",MAX(0,IFERROR(VLOOKUP($E832,설정_코스수당!$A$6:$H$10,4,FALSE),0)-IF(OR($P832="",$P832="없음"),0,100000)),0)</f>
        <v>0</v>
      </c>
      <c r="K832" s="33">
        <f t="array" ref="K832">IF($O832="방문완료",IFERROR(INDEX(설정_코스수당!$B$15:$F$64,MATCH($G832,설정_코스수당!$A$15:$A$64,0),MATCH($E832&amp;"수당",설정_코스수당!$B$14:$F$14,0)),0),0)</f>
        <v>0</v>
      </c>
      <c r="L832" s="33">
        <f t="array" ref="L832">IF($O832="방문완료",IF($H832="",0,IFERROR(INDEX(설정_코스수당!$B$15:$F$64,MATCH($H832,설정_코스수당!$A$15:$A$64,0),MATCH($E832&amp;"수당",설정_코스수당!$B$14:$F$14,0)),0)),0)</f>
        <v>0</v>
      </c>
      <c r="M832" s="33">
        <f>IF($O832="방문완료",IFERROR(VLOOKUP($E832,설정_코스수당!$A$6:$H$10,6,FALSE),0),0)</f>
        <v>0</v>
      </c>
      <c r="N832" s="34">
        <f t="shared" si="23"/>
        <v>0</v>
      </c>
      <c r="O832" s="29"/>
      <c r="P832" s="29"/>
      <c r="Q832" s="29"/>
      <c r="R832" s="32"/>
      <c r="S832" s="29"/>
    </row>
    <row r="833" spans="1:27" ht="19.5" hidden="1" customHeight="1" outlineLevel="1">
      <c r="A833" s="23">
        <v>99</v>
      </c>
      <c r="B833" s="24">
        <f>IF(8&lt;=DAY(DATE(YEAR(설정_코스수당!$K$2),MONTH(설정_코스수당!$K$2)+1,0)),DATE(YEAR(설정_코스수당!$K$2),MONTH(설정_코스수당!$K$2),8),"")</f>
        <v>46181</v>
      </c>
      <c r="C833" s="25"/>
      <c r="D833" s="23"/>
      <c r="E833" s="23"/>
      <c r="F833" s="26"/>
      <c r="G833" s="23"/>
      <c r="H833" s="23"/>
      <c r="I833" s="23"/>
      <c r="J833" s="27">
        <f>IF($O833="방문완료",MAX(0,IFERROR(VLOOKUP($E833,설정_코스수당!$A$6:$H$10,4,FALSE),0)-IF(OR($P833="",$P833="없음"),0,100000)),0)</f>
        <v>0</v>
      </c>
      <c r="K833" s="27">
        <f t="array" ref="K833">IF($O833="방문완료",IFERROR(INDEX(설정_코스수당!$B$15:$F$64,MATCH($G833,설정_코스수당!$A$15:$A$64,0),MATCH($E833&amp;"수당",설정_코스수당!$B$14:$F$14,0)),0),0)</f>
        <v>0</v>
      </c>
      <c r="L833" s="27">
        <f t="array" ref="L833">IF($O833="방문완료",IF($H833="",0,IFERROR(INDEX(설정_코스수당!$B$15:$F$64,MATCH($H833,설정_코스수당!$A$15:$A$64,0),MATCH($E833&amp;"수당",설정_코스수당!$B$14:$F$14,0)),0)),0)</f>
        <v>0</v>
      </c>
      <c r="M833" s="27">
        <f>IF($O833="방문완료",IFERROR(VLOOKUP($E833,설정_코스수당!$A$6:$H$10,6,FALSE),0),0)</f>
        <v>0</v>
      </c>
      <c r="N833" s="28">
        <f t="shared" si="23"/>
        <v>0</v>
      </c>
      <c r="O833" s="23"/>
      <c r="P833" s="23"/>
      <c r="Q833" s="23"/>
      <c r="R833" s="26"/>
      <c r="S833" s="23"/>
    </row>
    <row r="834" spans="1:27" ht="19.5" hidden="1" customHeight="1" outlineLevel="1">
      <c r="A834" s="29">
        <v>100</v>
      </c>
      <c r="B834" s="30">
        <f>IF(8&lt;=DAY(DATE(YEAR(설정_코스수당!$K$2),MONTH(설정_코스수당!$K$2)+1,0)),DATE(YEAR(설정_코스수당!$K$2),MONTH(설정_코스수당!$K$2),8),"")</f>
        <v>46181</v>
      </c>
      <c r="C834" s="31"/>
      <c r="D834" s="29"/>
      <c r="E834" s="29"/>
      <c r="F834" s="32"/>
      <c r="G834" s="29"/>
      <c r="H834" s="29"/>
      <c r="I834" s="29"/>
      <c r="J834" s="33">
        <f>IF($O834="방문완료",MAX(0,IFERROR(VLOOKUP($E834,설정_코스수당!$A$6:$H$10,4,FALSE),0)-IF(OR($P834="",$P834="없음"),0,100000)),0)</f>
        <v>0</v>
      </c>
      <c r="K834" s="33">
        <f t="array" ref="K834">IF($O834="방문완료",IFERROR(INDEX(설정_코스수당!$B$15:$F$64,MATCH($G834,설정_코스수당!$A$15:$A$64,0),MATCH($E834&amp;"수당",설정_코스수당!$B$14:$F$14,0)),0),0)</f>
        <v>0</v>
      </c>
      <c r="L834" s="33">
        <f t="array" ref="L834">IF($O834="방문완료",IF($H834="",0,IFERROR(INDEX(설정_코스수당!$B$15:$F$64,MATCH($H834,설정_코스수당!$A$15:$A$64,0),MATCH($E834&amp;"수당",설정_코스수당!$B$14:$F$14,0)),0)),0)</f>
        <v>0</v>
      </c>
      <c r="M834" s="33">
        <f>IF($O834="방문완료",IFERROR(VLOOKUP($E834,설정_코스수당!$A$6:$H$10,6,FALSE),0),0)</f>
        <v>0</v>
      </c>
      <c r="N834" s="34">
        <f t="shared" si="23"/>
        <v>0</v>
      </c>
      <c r="O834" s="29"/>
      <c r="P834" s="29"/>
      <c r="Q834" s="29"/>
      <c r="R834" s="32"/>
      <c r="S834" s="29"/>
    </row>
    <row r="835" spans="1:27" ht="19.5" hidden="1" customHeight="1" outlineLevel="1">
      <c r="A835" s="36" t="s">
        <v>79</v>
      </c>
      <c r="B835" s="37"/>
      <c r="C835" s="38"/>
      <c r="D835" s="37"/>
      <c r="E835" s="37"/>
      <c r="F835" s="37"/>
      <c r="G835" s="37"/>
      <c r="H835" s="37"/>
      <c r="I835" s="37"/>
      <c r="J835" s="37">
        <f>IF($O835="방문완료",MAX(0,IFERROR(VLOOKUP($E835,설정_코스수당!$A$6:$H$10,4,FALSE),0)-IF(OR($P835="",$P835="없음"),0,100000)),0)</f>
        <v>0</v>
      </c>
      <c r="O835" s="18"/>
      <c r="P835" s="14"/>
      <c r="Q835" s="18"/>
      <c r="S835" s="18"/>
    </row>
    <row r="836" spans="1:27" ht="21" customHeight="1" collapsed="1">
      <c r="A836" s="123" t="str">
        <f>IF(9&lt;=DAY(DATE(YEAR(설정_코스수당!$K$2),MONTH(설정_코스수당!$K$2)+1,0)),TEXT(DATE(YEAR(설정_코스수당!$K$2),MONTH(설정_코스수당!$K$2),9),"yyyy-mm-dd")&amp;"  |  예약관리 100슬롯","")</f>
        <v>2026-06-09  |  예약관리 100슬롯</v>
      </c>
      <c r="B836" s="124"/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 spans="1:27" ht="19.5" hidden="1" customHeight="1" outlineLevel="1">
      <c r="A837" s="20" t="s">
        <v>41</v>
      </c>
      <c r="B837" s="20" t="s">
        <v>42</v>
      </c>
      <c r="C837" s="39" t="s">
        <v>43</v>
      </c>
      <c r="D837" s="20" t="s">
        <v>44</v>
      </c>
      <c r="E837" s="20" t="s">
        <v>45</v>
      </c>
      <c r="F837" s="20" t="s">
        <v>46</v>
      </c>
      <c r="G837" s="20" t="s">
        <v>47</v>
      </c>
      <c r="H837" s="20" t="s">
        <v>48</v>
      </c>
      <c r="I837" s="20" t="s">
        <v>49</v>
      </c>
      <c r="J837" s="20" t="s">
        <v>50</v>
      </c>
      <c r="K837" s="20" t="s">
        <v>51</v>
      </c>
      <c r="L837" s="20" t="s">
        <v>52</v>
      </c>
      <c r="M837" s="20" t="s">
        <v>53</v>
      </c>
      <c r="N837" s="20" t="s">
        <v>54</v>
      </c>
      <c r="O837" s="20" t="s">
        <v>55</v>
      </c>
      <c r="P837" s="20" t="s">
        <v>56</v>
      </c>
      <c r="Q837" s="18"/>
      <c r="R837" s="20" t="s">
        <v>58</v>
      </c>
      <c r="S837" s="20" t="s">
        <v>59</v>
      </c>
      <c r="U837" s="122" t="str">
        <f>IF(9&lt;=DAY(DATE(YEAR(설정_코스수당!$K$2),MONTH(설정_코스수당!$K$2)+1,0)),TEXT(DATE(YEAR(설정_코스수당!$K$2),MONTH(설정_코스수당!$K$2),9),"yyyy-mm-dd")&amp;" 일일 상태","")</f>
        <v>2026-06-09 일일 상태</v>
      </c>
      <c r="V837" s="125"/>
      <c r="W837" s="122" t="s">
        <v>3</v>
      </c>
      <c r="X837" s="125"/>
    </row>
    <row r="838" spans="1:27" ht="19.5" hidden="1" customHeight="1" outlineLevel="1">
      <c r="A838" s="23">
        <v>1</v>
      </c>
      <c r="B838" s="24">
        <f>IF(9&lt;=DAY(DATE(YEAR(설정_코스수당!$K$2),MONTH(설정_코스수당!$K$2)+1,0)),DATE(YEAR(설정_코스수당!$K$2),MONTH(설정_코스수당!$K$2),9),"")</f>
        <v>46182</v>
      </c>
      <c r="C838" s="25"/>
      <c r="D838" s="23"/>
      <c r="E838" s="23"/>
      <c r="F838" s="26"/>
      <c r="G838" s="23"/>
      <c r="H838" s="23"/>
      <c r="I838" s="23"/>
      <c r="J838" s="27">
        <f>IF($O838="방문완료",MAX(0,IFERROR(VLOOKUP($E838,설정_코스수당!$A$6:$H$10,4,FALSE),0)-IF(OR($P838="",$P838="없음"),0,100000)),0)</f>
        <v>0</v>
      </c>
      <c r="K838" s="27">
        <f t="array" ref="K838">IF($O838="방문완료",IFERROR(INDEX(설정_코스수당!$B$15:$F$64,MATCH($G838,설정_코스수당!$A$15:$A$64,0),MATCH($E838&amp;"수당",설정_코스수당!$B$14:$F$14,0)),0),0)</f>
        <v>0</v>
      </c>
      <c r="L838" s="27">
        <f t="array" ref="L838">IF($O838="방문완료",IF($H838="",0,IFERROR(INDEX(설정_코스수당!$B$15:$F$64,MATCH($H838,설정_코스수당!$A$15:$A$64,0),MATCH($E838&amp;"수당",설정_코스수당!$B$14:$F$14,0)),0)),0)</f>
        <v>0</v>
      </c>
      <c r="M838" s="27">
        <f>IF($O838="방문완료",IFERROR(VLOOKUP($E838,설정_코스수당!$A$6:$H$10,6,FALSE),0),0)</f>
        <v>0</v>
      </c>
      <c r="N838" s="28">
        <f t="shared" ref="N838:N869" si="24">IF($O838="방문완료",1,0)</f>
        <v>0</v>
      </c>
      <c r="O838" s="23"/>
      <c r="P838" s="23"/>
      <c r="Q838" s="23"/>
      <c r="R838" s="26"/>
      <c r="S838" s="23"/>
      <c r="U838" s="104" t="s">
        <v>63</v>
      </c>
      <c r="V838" s="105">
        <f>IF(9&lt;=DAY(DATE(YEAR(설정_코스수당!$K$2),MONTH(설정_코스수당!$K$2)+1,0)),COUNTIFS($B:$B,DATE(YEAR(설정_코스수당!$K$2),MONTH(설정_코스수당!$K$2),9),$O:$O,"&lt;&gt;"),"")</f>
        <v>0</v>
      </c>
      <c r="W838" s="104" t="s">
        <v>6</v>
      </c>
      <c r="X838" s="105">
        <f>IF(9&lt;=DAY(DATE(YEAR(설정_코스수당!$K$2),MONTH(설정_코스수당!$K$2)+1,0)),COUNTIFS($B:$B,DATE(YEAR(설정_코스수당!$K$2),MONTH(설정_코스수당!$K$2),9),$E:$E,"A",$O:$O,"방문완료"),"")</f>
        <v>0</v>
      </c>
    </row>
    <row r="839" spans="1:27" ht="19.5" hidden="1" customHeight="1" outlineLevel="1">
      <c r="A839" s="29">
        <v>2</v>
      </c>
      <c r="B839" s="30">
        <f>IF(9&lt;=DAY(DATE(YEAR(설정_코스수당!$K$2),MONTH(설정_코스수당!$K$2)+1,0)),DATE(YEAR(설정_코스수당!$K$2),MONTH(설정_코스수당!$K$2),9),"")</f>
        <v>46182</v>
      </c>
      <c r="C839" s="31"/>
      <c r="D839" s="29"/>
      <c r="E839" s="29"/>
      <c r="F839" s="32"/>
      <c r="G839" s="29"/>
      <c r="H839" s="29"/>
      <c r="I839" s="29"/>
      <c r="J839" s="33">
        <f>IF($O839="방문완료",MAX(0,IFERROR(VLOOKUP($E839,설정_코스수당!$A$6:$H$10,4,FALSE),0)-IF(OR($P839="",$P839="없음"),0,100000)),0)</f>
        <v>0</v>
      </c>
      <c r="K839" s="33">
        <f t="array" ref="K839">IF($O839="방문완료",IFERROR(INDEX(설정_코스수당!$B$15:$F$64,MATCH($G839,설정_코스수당!$A$15:$A$64,0),MATCH($E839&amp;"수당",설정_코스수당!$B$14:$F$14,0)),0),0)</f>
        <v>0</v>
      </c>
      <c r="L839" s="33">
        <f t="array" ref="L839">IF($O839="방문완료",IF($H839="",0,IFERROR(INDEX(설정_코스수당!$B$15:$F$64,MATCH($H839,설정_코스수당!$A$15:$A$64,0),MATCH($E839&amp;"수당",설정_코스수당!$B$14:$F$14,0)),0)),0)</f>
        <v>0</v>
      </c>
      <c r="M839" s="33">
        <f>IF($O839="방문완료",IFERROR(VLOOKUP($E839,설정_코스수당!$A$6:$H$10,6,FALSE),0),0)</f>
        <v>0</v>
      </c>
      <c r="N839" s="34">
        <f t="shared" si="24"/>
        <v>0</v>
      </c>
      <c r="O839" s="29"/>
      <c r="P839" s="29"/>
      <c r="Q839" s="29"/>
      <c r="R839" s="32"/>
      <c r="S839" s="29"/>
      <c r="U839" s="104" t="s">
        <v>62</v>
      </c>
      <c r="V839" s="105">
        <f>IF(9&lt;=DAY(DATE(YEAR(설정_코스수당!$K$2),MONTH(설정_코스수당!$K$2)+1,0)),COUNTIFS($B:$B,DATE(YEAR(설정_코스수당!$K$2),MONTH(설정_코스수당!$K$2),9),$O:$O,"방문완료"),"")</f>
        <v>0</v>
      </c>
      <c r="W839" s="104" t="s">
        <v>9</v>
      </c>
      <c r="X839" s="105">
        <f>IF(9&lt;=DAY(DATE(YEAR(설정_코스수당!$K$2),MONTH(설정_코스수당!$K$2)+1,0)),COUNTIFS($B:$B,DATE(YEAR(설정_코스수당!$K$2),MONTH(설정_코스수당!$K$2),9),$E:$E,"B",$O:$O,"방문완료"),"")</f>
        <v>0</v>
      </c>
    </row>
    <row r="840" spans="1:27" ht="19.5" hidden="1" customHeight="1" outlineLevel="1">
      <c r="A840" s="23">
        <v>3</v>
      </c>
      <c r="B840" s="24">
        <f>IF(9&lt;=DAY(DATE(YEAR(설정_코스수당!$K$2),MONTH(설정_코스수당!$K$2)+1,0)),DATE(YEAR(설정_코스수당!$K$2),MONTH(설정_코스수당!$K$2),9),"")</f>
        <v>46182</v>
      </c>
      <c r="C840" s="25"/>
      <c r="D840" s="23"/>
      <c r="E840" s="23"/>
      <c r="F840" s="26"/>
      <c r="G840" s="23"/>
      <c r="H840" s="23"/>
      <c r="I840" s="23"/>
      <c r="J840" s="27">
        <f>IF($O840="방문완료",MAX(0,IFERROR(VLOOKUP($E840,설정_코스수당!$A$6:$H$10,4,FALSE),0)-IF(OR($P840="",$P840="없음"),0,100000)),0)</f>
        <v>0</v>
      </c>
      <c r="K840" s="27">
        <f t="array" ref="K840">IF($O840="방문완료",IFERROR(INDEX(설정_코스수당!$B$15:$F$64,MATCH($G840,설정_코스수당!$A$15:$A$64,0),MATCH($E840&amp;"수당",설정_코스수당!$B$14:$F$14,0)),0),0)</f>
        <v>0</v>
      </c>
      <c r="L840" s="27">
        <f t="array" ref="L840">IF($O840="방문완료",IF($H840="",0,IFERROR(INDEX(설정_코스수당!$B$15:$F$64,MATCH($H840,설정_코스수당!$A$15:$A$64,0),MATCH($E840&amp;"수당",설정_코스수당!$B$14:$F$14,0)),0)),0)</f>
        <v>0</v>
      </c>
      <c r="M840" s="27">
        <f>IF($O840="방문완료",IFERROR(VLOOKUP($E840,설정_코스수당!$A$6:$H$10,6,FALSE),0),0)</f>
        <v>0</v>
      </c>
      <c r="N840" s="28">
        <f t="shared" si="24"/>
        <v>0</v>
      </c>
      <c r="O840" s="23"/>
      <c r="P840" s="23"/>
      <c r="Q840" s="23"/>
      <c r="R840" s="26"/>
      <c r="S840" s="23"/>
      <c r="U840" s="104" t="s">
        <v>68</v>
      </c>
      <c r="V840" s="105" t="str">
        <f>IF(9&lt;=DAY(DATE(YEAR(설정_코스수당!$K$2),MONTH(설정_코스수당!$K$2)+1,0)),COUNTIFS($B:$B,DATE(YEAR(설정_코스수당!$K$2),MONTH(설정_코스수당!$K$2),9),$O:$O,"노쇼")&amp;"/"&amp;COUNTIFS($B:$B,DATE(YEAR(설정_코스수당!$K$2),MONTH(설정_코스수당!$K$2),9),$O:$O,"취소"),"")</f>
        <v>0/0</v>
      </c>
      <c r="W840" s="104" t="s">
        <v>12</v>
      </c>
      <c r="X840" s="105">
        <f>IF(9&lt;=DAY(DATE(YEAR(설정_코스수당!$K$2),MONTH(설정_코스수당!$K$2)+1,0)),COUNTIFS($B:$B,DATE(YEAR(설정_코스수당!$K$2),MONTH(설정_코스수당!$K$2),9),$E:$E,"C",$O:$O,"방문완료"),"")</f>
        <v>0</v>
      </c>
    </row>
    <row r="841" spans="1:27" ht="19.5" hidden="1" customHeight="1" outlineLevel="1">
      <c r="A841" s="29">
        <v>4</v>
      </c>
      <c r="B841" s="30">
        <f>IF(9&lt;=DAY(DATE(YEAR(설정_코스수당!$K$2),MONTH(설정_코스수당!$K$2)+1,0)),DATE(YEAR(설정_코스수당!$K$2),MONTH(설정_코스수당!$K$2),9),"")</f>
        <v>46182</v>
      </c>
      <c r="C841" s="31"/>
      <c r="D841" s="29"/>
      <c r="E841" s="29"/>
      <c r="F841" s="32"/>
      <c r="G841" s="29"/>
      <c r="H841" s="29"/>
      <c r="I841" s="29"/>
      <c r="J841" s="33">
        <f>IF($O841="방문완료",MAX(0,IFERROR(VLOOKUP($E841,설정_코스수당!$A$6:$H$10,4,FALSE),0)-IF(OR($P841="",$P841="없음"),0,100000)),0)</f>
        <v>0</v>
      </c>
      <c r="K841" s="33">
        <f t="array" ref="K841">IF($O841="방문완료",IFERROR(INDEX(설정_코스수당!$B$15:$F$64,MATCH($G841,설정_코스수당!$A$15:$A$64,0),MATCH($E841&amp;"수당",설정_코스수당!$B$14:$F$14,0)),0),0)</f>
        <v>0</v>
      </c>
      <c r="L841" s="33">
        <f t="array" ref="L841">IF($O841="방문완료",IF($H841="",0,IFERROR(INDEX(설정_코스수당!$B$15:$F$64,MATCH($H841,설정_코스수당!$A$15:$A$64,0),MATCH($E841&amp;"수당",설정_코스수당!$B$14:$F$14,0)),0)),0)</f>
        <v>0</v>
      </c>
      <c r="M841" s="33">
        <f>IF($O841="방문완료",IFERROR(VLOOKUP($E841,설정_코스수당!$A$6:$H$10,6,FALSE),0),0)</f>
        <v>0</v>
      </c>
      <c r="N841" s="34">
        <f t="shared" si="24"/>
        <v>0</v>
      </c>
      <c r="O841" s="29"/>
      <c r="P841" s="29"/>
      <c r="Q841" s="29"/>
      <c r="R841" s="32"/>
      <c r="S841" s="29"/>
      <c r="U841" s="104" t="s">
        <v>69</v>
      </c>
      <c r="V841" s="106">
        <f>IF(9&lt;=DAY(DATE(YEAR(설정_코스수당!$K$2),MONTH(설정_코스수당!$K$2)+1,0)),SUMIFS($J:$J,$B:$B,DATE(YEAR(설정_코스수당!$K$2),MONTH(설정_코스수당!$K$2),9),$O:$O,"방문완료"),"")</f>
        <v>0</v>
      </c>
      <c r="W841" s="104" t="s">
        <v>15</v>
      </c>
      <c r="X841" s="105">
        <f>IF(9&lt;=DAY(DATE(YEAR(설정_코스수당!$K$2),MONTH(설정_코스수당!$K$2)+1,0)),COUNTIFS($B:$B,DATE(YEAR(설정_코스수당!$K$2),MONTH(설정_코스수당!$K$2),9),$E:$E,"D",$O:$O,"방문완료"),"")</f>
        <v>0</v>
      </c>
    </row>
    <row r="842" spans="1:27" ht="19.5" hidden="1" customHeight="1" outlineLevel="1">
      <c r="A842" s="23">
        <v>5</v>
      </c>
      <c r="B842" s="24">
        <f>IF(9&lt;=DAY(DATE(YEAR(설정_코스수당!$K$2),MONTH(설정_코스수당!$K$2)+1,0)),DATE(YEAR(설정_코스수당!$K$2),MONTH(설정_코스수당!$K$2),9),"")</f>
        <v>46182</v>
      </c>
      <c r="C842" s="25"/>
      <c r="D842" s="23"/>
      <c r="E842" s="23"/>
      <c r="F842" s="26"/>
      <c r="G842" s="23"/>
      <c r="H842" s="23"/>
      <c r="I842" s="23"/>
      <c r="J842" s="27">
        <f>IF($O842="방문완료",MAX(0,IFERROR(VLOOKUP($E842,설정_코스수당!$A$6:$H$10,4,FALSE),0)-IF(OR($P842="",$P842="없음"),0,100000)),0)</f>
        <v>0</v>
      </c>
      <c r="K842" s="27">
        <f t="array" ref="K842">IF($O842="방문완료",IFERROR(INDEX(설정_코스수당!$B$15:$F$64,MATCH($G842,설정_코스수당!$A$15:$A$64,0),MATCH($E842&amp;"수당",설정_코스수당!$B$14:$F$14,0)),0),0)</f>
        <v>0</v>
      </c>
      <c r="L842" s="27">
        <f t="array" ref="L842">IF($O842="방문완료",IF($H842="",0,IFERROR(INDEX(설정_코스수당!$B$15:$F$64,MATCH($H842,설정_코스수당!$A$15:$A$64,0),MATCH($E842&amp;"수당",설정_코스수당!$B$14:$F$14,0)),0)),0)</f>
        <v>0</v>
      </c>
      <c r="M842" s="27">
        <f>IF($O842="방문완료",IFERROR(VLOOKUP($E842,설정_코스수당!$A$6:$H$10,6,FALSE),0),0)</f>
        <v>0</v>
      </c>
      <c r="N842" s="28">
        <f t="shared" si="24"/>
        <v>0</v>
      </c>
      <c r="O842" s="23"/>
      <c r="P842" s="23"/>
      <c r="Q842" s="23"/>
      <c r="R842" s="26"/>
      <c r="S842" s="23"/>
      <c r="U842" s="104" t="s">
        <v>70</v>
      </c>
      <c r="V842" s="106">
        <f>IF(9&lt;=DAY(DATE(YEAR(설정_코스수당!$K$2),MONTH(설정_코스수당!$K$2)+1,0)),SUMIFS($K:$K,$B:$B,DATE(YEAR(설정_코스수당!$K$2),MONTH(설정_코스수당!$K$2),9),$O:$O,"방문완료")+SUMIFS($L:$L,$B:$B,DATE(YEAR(설정_코스수당!$K$2),MONTH(설정_코스수당!$K$2),9),$O:$O,"방문완료"),"")</f>
        <v>0</v>
      </c>
      <c r="W842" s="104" t="s">
        <v>18</v>
      </c>
      <c r="X842" s="105">
        <f>IF(9&lt;=DAY(DATE(YEAR(설정_코스수당!$K$2),MONTH(설정_코스수당!$K$2)+1,0)),COUNTIFS($B:$B,DATE(YEAR(설정_코스수당!$K$2),MONTH(설정_코스수당!$K$2),9),$E:$E,"E",$O:$O,"방문완료"),"")</f>
        <v>0</v>
      </c>
    </row>
    <row r="843" spans="1:27" ht="19.5" hidden="1" customHeight="1" outlineLevel="1">
      <c r="A843" s="29">
        <v>6</v>
      </c>
      <c r="B843" s="30">
        <f>IF(9&lt;=DAY(DATE(YEAR(설정_코스수당!$K$2),MONTH(설정_코스수당!$K$2)+1,0)),DATE(YEAR(설정_코스수당!$K$2),MONTH(설정_코스수당!$K$2),9),"")</f>
        <v>46182</v>
      </c>
      <c r="C843" s="31"/>
      <c r="D843" s="29"/>
      <c r="E843" s="29"/>
      <c r="F843" s="32"/>
      <c r="G843" s="29"/>
      <c r="H843" s="29"/>
      <c r="I843" s="29"/>
      <c r="J843" s="33">
        <f>IF($O843="방문완료",MAX(0,IFERROR(VLOOKUP($E843,설정_코스수당!$A$6:$H$10,4,FALSE),0)-IF(OR($P843="",$P843="없음"),0,100000)),0)</f>
        <v>0</v>
      </c>
      <c r="K843" s="33">
        <f t="array" ref="K843">IF($O843="방문완료",IFERROR(INDEX(설정_코스수당!$B$15:$F$64,MATCH($G843,설정_코스수당!$A$15:$A$64,0),MATCH($E843&amp;"수당",설정_코스수당!$B$14:$F$14,0)),0),0)</f>
        <v>0</v>
      </c>
      <c r="L843" s="33">
        <f t="array" ref="L843">IF($O843="방문완료",IF($H843="",0,IFERROR(INDEX(설정_코스수당!$B$15:$F$64,MATCH($H843,설정_코스수당!$A$15:$A$64,0),MATCH($E843&amp;"수당",설정_코스수당!$B$14:$F$14,0)),0)),0)</f>
        <v>0</v>
      </c>
      <c r="M843" s="33">
        <f>IF($O843="방문완료",IFERROR(VLOOKUP($E843,설정_코스수당!$A$6:$H$10,6,FALSE),0),0)</f>
        <v>0</v>
      </c>
      <c r="N843" s="34">
        <f t="shared" si="24"/>
        <v>0</v>
      </c>
      <c r="O843" s="29"/>
      <c r="P843" s="29"/>
      <c r="Q843" s="29"/>
      <c r="R843" s="32"/>
      <c r="S843" s="29"/>
      <c r="U843" s="104" t="s">
        <v>53</v>
      </c>
      <c r="V843" s="106">
        <f>IF(9&lt;=DAY(DATE(YEAR(설정_코스수당!$K$2),MONTH(설정_코스수당!$K$2)+1,0)),SUMIFS($M:$M,$B:$B,DATE(YEAR(설정_코스수당!$K$2),MONTH(설정_코스수당!$K$2),9),$O:$O,"방문완료"),"")</f>
        <v>0</v>
      </c>
      <c r="W843" s="104" t="s">
        <v>71</v>
      </c>
      <c r="X843" s="107">
        <f>IF(9&lt;=DAY(DATE(YEAR(설정_코스수당!$K$2),MONTH(설정_코스수당!$K$2)+1,0)),COUNTIFS($B:$B,DATE(YEAR(설정_코스수당!$K$2),MONTH(설정_코스수당!$K$2),9),$O:$O,"방문완료",$P:$P,"&lt;&gt;",$P:$P,"&lt;&gt;없음"),"")</f>
        <v>0</v>
      </c>
    </row>
    <row r="844" spans="1:27" ht="19.5" hidden="1" customHeight="1" outlineLevel="1">
      <c r="A844" s="23">
        <v>7</v>
      </c>
      <c r="B844" s="24">
        <f>IF(9&lt;=DAY(DATE(YEAR(설정_코스수당!$K$2),MONTH(설정_코스수당!$K$2)+1,0)),DATE(YEAR(설정_코스수당!$K$2),MONTH(설정_코스수당!$K$2),9),"")</f>
        <v>46182</v>
      </c>
      <c r="C844" s="25"/>
      <c r="D844" s="23"/>
      <c r="E844" s="23"/>
      <c r="F844" s="26"/>
      <c r="G844" s="23"/>
      <c r="H844" s="23"/>
      <c r="I844" s="23"/>
      <c r="J844" s="27">
        <f>IF($O844="방문완료",MAX(0,IFERROR(VLOOKUP($E844,설정_코스수당!$A$6:$H$10,4,FALSE),0)-IF(OR($P844="",$P844="없음"),0,100000)),0)</f>
        <v>0</v>
      </c>
      <c r="K844" s="27">
        <f t="array" ref="K844">IF($O844="방문완료",IFERROR(INDEX(설정_코스수당!$B$15:$F$64,MATCH($G844,설정_코스수당!$A$15:$A$64,0),MATCH($E844&amp;"수당",설정_코스수당!$B$14:$F$14,0)),0),0)</f>
        <v>0</v>
      </c>
      <c r="L844" s="27">
        <f t="array" ref="L844">IF($O844="방문완료",IF($H844="",0,IFERROR(INDEX(설정_코스수당!$B$15:$F$64,MATCH($H844,설정_코스수당!$A$15:$A$64,0),MATCH($E844&amp;"수당",설정_코스수당!$B$14:$F$14,0)),0)),0)</f>
        <v>0</v>
      </c>
      <c r="M844" s="27">
        <f>IF($O844="방문완료",IFERROR(VLOOKUP($E844,설정_코스수당!$A$6:$H$10,6,FALSE),0),0)</f>
        <v>0</v>
      </c>
      <c r="N844" s="28">
        <f t="shared" si="24"/>
        <v>0</v>
      </c>
      <c r="O844" s="23"/>
      <c r="P844" s="23"/>
      <c r="Q844" s="23"/>
      <c r="R844" s="26"/>
      <c r="S844" s="23"/>
      <c r="U844" s="104" t="s">
        <v>72</v>
      </c>
      <c r="V844" s="108">
        <f>IF(9&lt;=DAY(DATE(YEAR(설정_코스수당!$K$2),MONTH(설정_코스수당!$K$2)+1,0)),COUNTIFS($B:$B,DATE(YEAR(설정_코스수당!$K$2),MONTH(설정_코스수당!$K$2),9),$O:$O,"방문완료",$P:$P,"&lt;&gt;",$P:$P,"&lt;&gt;없음")*100000,"")</f>
        <v>0</v>
      </c>
      <c r="W844" s="104" t="s">
        <v>73</v>
      </c>
      <c r="X844" s="105">
        <f>IF(9&lt;=DAY(DATE(YEAR(설정_코스수당!$K$2),MONTH(설정_코스수당!$K$2)+1,0)),COUNTIFS($B:$B,DATE(YEAR(설정_코스수당!$K$2),MONTH(설정_코스수당!$K$2),9),$G:$G,"&lt;&gt;",$O:$O,"방문완료")+COUNTIFS($B:$B,DATE(YEAR(설정_코스수당!$K$2),MONTH(설정_코스수당!$K$2),9),$H:$H,"&lt;&gt;",$O:$O,"방문완료"),"")</f>
        <v>0</v>
      </c>
    </row>
    <row r="845" spans="1:27" ht="19.5" hidden="1" customHeight="1" outlineLevel="1">
      <c r="A845" s="29">
        <v>8</v>
      </c>
      <c r="B845" s="30">
        <f>IF(9&lt;=DAY(DATE(YEAR(설정_코스수당!$K$2),MONTH(설정_코스수당!$K$2)+1,0)),DATE(YEAR(설정_코스수당!$K$2),MONTH(설정_코스수당!$K$2),9),"")</f>
        <v>46182</v>
      </c>
      <c r="C845" s="31"/>
      <c r="D845" s="29"/>
      <c r="E845" s="29"/>
      <c r="F845" s="32"/>
      <c r="G845" s="29"/>
      <c r="H845" s="29"/>
      <c r="I845" s="29"/>
      <c r="J845" s="33">
        <f>IF($O845="방문완료",MAX(0,IFERROR(VLOOKUP($E845,설정_코스수당!$A$6:$H$10,4,FALSE),0)-IF(OR($P845="",$P845="없음"),0,100000)),0)</f>
        <v>0</v>
      </c>
      <c r="K845" s="33">
        <f t="array" ref="K845">IF($O845="방문완료",IFERROR(INDEX(설정_코스수당!$B$15:$F$64,MATCH($G845,설정_코스수당!$A$15:$A$64,0),MATCH($E845&amp;"수당",설정_코스수당!$B$14:$F$14,0)),0),0)</f>
        <v>0</v>
      </c>
      <c r="L845" s="33">
        <f t="array" ref="L845">IF($O845="방문완료",IF($H845="",0,IFERROR(INDEX(설정_코스수당!$B$15:$F$64,MATCH($H845,설정_코스수당!$A$15:$A$64,0),MATCH($E845&amp;"수당",설정_코스수당!$B$14:$F$14,0)),0)),0)</f>
        <v>0</v>
      </c>
      <c r="M845" s="33">
        <f>IF($O845="방문완료",IFERROR(VLOOKUP($E845,설정_코스수당!$A$6:$H$10,6,FALSE),0),0)</f>
        <v>0</v>
      </c>
      <c r="N845" s="34">
        <f t="shared" si="24"/>
        <v>0</v>
      </c>
      <c r="O845" s="29"/>
      <c r="P845" s="29"/>
      <c r="Q845" s="29"/>
      <c r="R845" s="32"/>
      <c r="S845" s="29"/>
      <c r="U845" s="104" t="s">
        <v>74</v>
      </c>
      <c r="V845" s="108">
        <f>IF(9&lt;=DAY(DATE(YEAR(설정_코스수당!$K$2),MONTH(설정_코스수당!$K$2)+1,0)),SUM($U$849:$U$856),"")</f>
        <v>0</v>
      </c>
      <c r="W845" s="122" t="str">
        <f>IF(9&lt;=DAY(DATE(YEAR(설정_코스수당!$K$2),MONTH(설정_코스수당!$K$2)+1,0)),"계 : "&amp;TEXT(V841-V845,"#,##0")&amp;" 동","")</f>
        <v>계 : 0 동</v>
      </c>
      <c r="X845" s="122"/>
    </row>
    <row r="846" spans="1:27" ht="19.5" hidden="1" customHeight="1" outlineLevel="1">
      <c r="A846" s="23">
        <v>9</v>
      </c>
      <c r="B846" s="24">
        <f>IF(9&lt;=DAY(DATE(YEAR(설정_코스수당!$K$2),MONTH(설정_코스수당!$K$2)+1,0)),DATE(YEAR(설정_코스수당!$K$2),MONTH(설정_코스수당!$K$2),9),"")</f>
        <v>46182</v>
      </c>
      <c r="C846" s="25"/>
      <c r="D846" s="23"/>
      <c r="E846" s="23"/>
      <c r="F846" s="26"/>
      <c r="G846" s="23"/>
      <c r="H846" s="23"/>
      <c r="I846" s="23"/>
      <c r="J846" s="27">
        <f>IF($O846="방문완료",MAX(0,IFERROR(VLOOKUP($E846,설정_코스수당!$A$6:$H$10,4,FALSE),0)-IF(OR($P846="",$P846="없음"),0,100000)),0)</f>
        <v>0</v>
      </c>
      <c r="K846" s="27">
        <f t="array" ref="K846">IF($O846="방문완료",IFERROR(INDEX(설정_코스수당!$B$15:$F$64,MATCH($G846,설정_코스수당!$A$15:$A$64,0),MATCH($E846&amp;"수당",설정_코스수당!$B$14:$F$14,0)),0),0)</f>
        <v>0</v>
      </c>
      <c r="L846" s="27">
        <f t="array" ref="L846">IF($O846="방문완료",IF($H846="",0,IFERROR(INDEX(설정_코스수당!$B$15:$F$64,MATCH($H846,설정_코스수당!$A$15:$A$64,0),MATCH($E846&amp;"수당",설정_코스수당!$B$14:$F$14,0)),0)),0)</f>
        <v>0</v>
      </c>
      <c r="M846" s="27">
        <f>IF($O846="방문완료",IFERROR(VLOOKUP($E846,설정_코스수당!$A$6:$H$10,6,FALSE),0),0)</f>
        <v>0</v>
      </c>
      <c r="N846" s="28">
        <f t="shared" si="24"/>
        <v>0</v>
      </c>
      <c r="O846" s="23"/>
      <c r="P846" s="23"/>
      <c r="Q846" s="23"/>
      <c r="R846" s="26"/>
      <c r="S846" s="23"/>
    </row>
    <row r="847" spans="1:27" ht="19.5" hidden="1" customHeight="1" outlineLevel="1">
      <c r="A847" s="29">
        <v>10</v>
      </c>
      <c r="B847" s="30">
        <f>IF(9&lt;=DAY(DATE(YEAR(설정_코스수당!$K$2),MONTH(설정_코스수당!$K$2)+1,0)),DATE(YEAR(설정_코스수당!$K$2),MONTH(설정_코스수당!$K$2),9),"")</f>
        <v>46182</v>
      </c>
      <c r="C847" s="31"/>
      <c r="D847" s="29"/>
      <c r="E847" s="29"/>
      <c r="F847" s="32"/>
      <c r="G847" s="29"/>
      <c r="H847" s="29"/>
      <c r="I847" s="29"/>
      <c r="J847" s="33">
        <f>IF($O847="방문완료",MAX(0,IFERROR(VLOOKUP($E847,설정_코스수당!$A$6:$H$10,4,FALSE),0)-IF(OR($P847="",$P847="없음"),0,100000)),0)</f>
        <v>0</v>
      </c>
      <c r="K847" s="33">
        <f t="array" ref="K847">IF($O847="방문완료",IFERROR(INDEX(설정_코스수당!$B$15:$F$64,MATCH($G847,설정_코스수당!$A$15:$A$64,0),MATCH($E847&amp;"수당",설정_코스수당!$B$14:$F$14,0)),0),0)</f>
        <v>0</v>
      </c>
      <c r="L847" s="33">
        <f t="array" ref="L847">IF($O847="방문완료",IF($H847="",0,IFERROR(INDEX(설정_코스수당!$B$15:$F$64,MATCH($H847,설정_코스수당!$A$15:$A$64,0),MATCH($E847&amp;"수당",설정_코스수당!$B$14:$F$14,0)),0)),0)</f>
        <v>0</v>
      </c>
      <c r="M847" s="33">
        <f>IF($O847="방문완료",IFERROR(VLOOKUP($E847,설정_코스수당!$A$6:$H$10,6,FALSE),0),0)</f>
        <v>0</v>
      </c>
      <c r="N847" s="34">
        <f t="shared" si="24"/>
        <v>0</v>
      </c>
      <c r="O847" s="29"/>
      <c r="P847" s="29"/>
      <c r="Q847" s="29"/>
      <c r="R847" s="32"/>
      <c r="S847" s="29"/>
      <c r="U847" s="120" t="s">
        <v>75</v>
      </c>
      <c r="V847" s="121"/>
      <c r="W847" s="121"/>
      <c r="X847" s="121"/>
    </row>
    <row r="848" spans="1:27" ht="19.5" hidden="1" customHeight="1" outlineLevel="1">
      <c r="A848" s="23">
        <v>11</v>
      </c>
      <c r="B848" s="24">
        <f>IF(9&lt;=DAY(DATE(YEAR(설정_코스수당!$K$2),MONTH(설정_코스수당!$K$2)+1,0)),DATE(YEAR(설정_코스수당!$K$2),MONTH(설정_코스수당!$K$2),9),"")</f>
        <v>46182</v>
      </c>
      <c r="C848" s="25"/>
      <c r="D848" s="23"/>
      <c r="E848" s="23"/>
      <c r="F848" s="26"/>
      <c r="G848" s="23"/>
      <c r="H848" s="23"/>
      <c r="I848" s="23"/>
      <c r="J848" s="27">
        <f>IF($O848="방문완료",MAX(0,IFERROR(VLOOKUP($E848,설정_코스수당!$A$6:$H$10,4,FALSE),0)-IF(OR($P848="",$P848="없음"),0,100000)),0)</f>
        <v>0</v>
      </c>
      <c r="K848" s="27">
        <f t="array" ref="K848">IF($O848="방문완료",IFERROR(INDEX(설정_코스수당!$B$15:$F$64,MATCH($G848,설정_코스수당!$A$15:$A$64,0),MATCH($E848&amp;"수당",설정_코스수당!$B$14:$F$14,0)),0),0)</f>
        <v>0</v>
      </c>
      <c r="L848" s="27">
        <f t="array" ref="L848">IF($O848="방문완료",IF($H848="",0,IFERROR(INDEX(설정_코스수당!$B$15:$F$64,MATCH($H848,설정_코스수당!$A$15:$A$64,0),MATCH($E848&amp;"수당",설정_코스수당!$B$14:$F$14,0)),0)),0)</f>
        <v>0</v>
      </c>
      <c r="M848" s="27">
        <f>IF($O848="방문완료",IFERROR(VLOOKUP($E848,설정_코스수당!$A$6:$H$10,6,FALSE),0),0)</f>
        <v>0</v>
      </c>
      <c r="N848" s="28">
        <f t="shared" si="24"/>
        <v>0</v>
      </c>
      <c r="O848" s="23"/>
      <c r="P848" s="23"/>
      <c r="Q848" s="23"/>
      <c r="R848" s="26"/>
      <c r="S848" s="23"/>
      <c r="U848" s="109" t="s">
        <v>76</v>
      </c>
      <c r="V848" s="109" t="s">
        <v>77</v>
      </c>
      <c r="W848" s="109" t="s">
        <v>78</v>
      </c>
      <c r="X848" s="109" t="s">
        <v>58</v>
      </c>
    </row>
    <row r="849" spans="1:24" ht="19.5" hidden="1" customHeight="1" outlineLevel="1">
      <c r="A849" s="29">
        <v>12</v>
      </c>
      <c r="B849" s="30">
        <f>IF(9&lt;=DAY(DATE(YEAR(설정_코스수당!$K$2),MONTH(설정_코스수당!$K$2)+1,0)),DATE(YEAR(설정_코스수당!$K$2),MONTH(설정_코스수당!$K$2),9),"")</f>
        <v>46182</v>
      </c>
      <c r="C849" s="31"/>
      <c r="D849" s="29"/>
      <c r="E849" s="29"/>
      <c r="F849" s="32"/>
      <c r="G849" s="29"/>
      <c r="H849" s="29"/>
      <c r="I849" s="29"/>
      <c r="J849" s="33">
        <f>IF($O849="방문완료",MAX(0,IFERROR(VLOOKUP($E849,설정_코스수당!$A$6:$H$10,4,FALSE),0)-IF(OR($P849="",$P849="없음"),0,100000)),0)</f>
        <v>0</v>
      </c>
      <c r="K849" s="33">
        <f t="array" ref="K849">IF($O849="방문완료",IFERROR(INDEX(설정_코스수당!$B$15:$F$64,MATCH($G849,설정_코스수당!$A$15:$A$64,0),MATCH($E849&amp;"수당",설정_코스수당!$B$14:$F$14,0)),0),0)</f>
        <v>0</v>
      </c>
      <c r="L849" s="33">
        <f t="array" ref="L849">IF($O849="방문완료",IF($H849="",0,IFERROR(INDEX(설정_코스수당!$B$15:$F$64,MATCH($H849,설정_코스수당!$A$15:$A$64,0),MATCH($E849&amp;"수당",설정_코스수당!$B$14:$F$14,0)),0)),0)</f>
        <v>0</v>
      </c>
      <c r="M849" s="33">
        <f>IF($O849="방문완료",IFERROR(VLOOKUP($E849,설정_코스수당!$A$6:$H$10,6,FALSE),0),0)</f>
        <v>0</v>
      </c>
      <c r="N849" s="34">
        <f t="shared" si="24"/>
        <v>0</v>
      </c>
      <c r="O849" s="29"/>
      <c r="P849" s="29"/>
      <c r="Q849" s="29"/>
      <c r="R849" s="32"/>
      <c r="S849" s="29"/>
      <c r="U849" s="113"/>
      <c r="V849" s="111"/>
      <c r="W849" s="112"/>
      <c r="X849" s="111"/>
    </row>
    <row r="850" spans="1:24" ht="19.5" hidden="1" customHeight="1" outlineLevel="1">
      <c r="A850" s="23">
        <v>13</v>
      </c>
      <c r="B850" s="24">
        <f>IF(9&lt;=DAY(DATE(YEAR(설정_코스수당!$K$2),MONTH(설정_코스수당!$K$2)+1,0)),DATE(YEAR(설정_코스수당!$K$2),MONTH(설정_코스수당!$K$2),9),"")</f>
        <v>46182</v>
      </c>
      <c r="C850" s="25"/>
      <c r="D850" s="23"/>
      <c r="E850" s="23"/>
      <c r="F850" s="26"/>
      <c r="G850" s="23"/>
      <c r="H850" s="23"/>
      <c r="I850" s="23"/>
      <c r="J850" s="27">
        <f>IF($O850="방문완료",MAX(0,IFERROR(VLOOKUP($E850,설정_코스수당!$A$6:$H$10,4,FALSE),0)-IF(OR($P850="",$P850="없음"),0,100000)),0)</f>
        <v>0</v>
      </c>
      <c r="K850" s="27">
        <f t="array" ref="K850">IF($O850="방문완료",IFERROR(INDEX(설정_코스수당!$B$15:$F$64,MATCH($G850,설정_코스수당!$A$15:$A$64,0),MATCH($E850&amp;"수당",설정_코스수당!$B$14:$F$14,0)),0),0)</f>
        <v>0</v>
      </c>
      <c r="L850" s="27">
        <f t="array" ref="L850">IF($O850="방문완료",IF($H850="",0,IFERROR(INDEX(설정_코스수당!$B$15:$F$64,MATCH($H850,설정_코스수당!$A$15:$A$64,0),MATCH($E850&amp;"수당",설정_코스수당!$B$14:$F$14,0)),0)),0)</f>
        <v>0</v>
      </c>
      <c r="M850" s="27">
        <f>IF($O850="방문완료",IFERROR(VLOOKUP($E850,설정_코스수당!$A$6:$H$10,6,FALSE),0),0)</f>
        <v>0</v>
      </c>
      <c r="N850" s="28">
        <f t="shared" si="24"/>
        <v>0</v>
      </c>
      <c r="O850" s="23"/>
      <c r="P850" s="23"/>
      <c r="Q850" s="23"/>
      <c r="R850" s="26"/>
      <c r="S850" s="23"/>
      <c r="U850" s="113"/>
      <c r="V850" s="111"/>
      <c r="W850" s="112"/>
      <c r="X850" s="111"/>
    </row>
    <row r="851" spans="1:24" ht="19.5" hidden="1" customHeight="1" outlineLevel="1">
      <c r="A851" s="29">
        <v>14</v>
      </c>
      <c r="B851" s="30">
        <f>IF(9&lt;=DAY(DATE(YEAR(설정_코스수당!$K$2),MONTH(설정_코스수당!$K$2)+1,0)),DATE(YEAR(설정_코스수당!$K$2),MONTH(설정_코스수당!$K$2),9),"")</f>
        <v>46182</v>
      </c>
      <c r="C851" s="31"/>
      <c r="D851" s="29"/>
      <c r="E851" s="29"/>
      <c r="F851" s="32"/>
      <c r="G851" s="29"/>
      <c r="H851" s="29"/>
      <c r="I851" s="29"/>
      <c r="J851" s="33">
        <f>IF($O851="방문완료",MAX(0,IFERROR(VLOOKUP($E851,설정_코스수당!$A$6:$H$10,4,FALSE),0)-IF(OR($P851="",$P851="없음"),0,100000)),0)</f>
        <v>0</v>
      </c>
      <c r="K851" s="33">
        <f t="array" ref="K851">IF($O851="방문완료",IFERROR(INDEX(설정_코스수당!$B$15:$F$64,MATCH($G851,설정_코스수당!$A$15:$A$64,0),MATCH($E851&amp;"수당",설정_코스수당!$B$14:$F$14,0)),0),0)</f>
        <v>0</v>
      </c>
      <c r="L851" s="33">
        <f t="array" ref="L851">IF($O851="방문완료",IF($H851="",0,IFERROR(INDEX(설정_코스수당!$B$15:$F$64,MATCH($H851,설정_코스수당!$A$15:$A$64,0),MATCH($E851&amp;"수당",설정_코스수당!$B$14:$F$14,0)),0)),0)</f>
        <v>0</v>
      </c>
      <c r="M851" s="33">
        <f>IF($O851="방문완료",IFERROR(VLOOKUP($E851,설정_코스수당!$A$6:$H$10,6,FALSE),0),0)</f>
        <v>0</v>
      </c>
      <c r="N851" s="34">
        <f t="shared" si="24"/>
        <v>0</v>
      </c>
      <c r="O851" s="29"/>
      <c r="P851" s="29"/>
      <c r="Q851" s="29"/>
      <c r="R851" s="32"/>
      <c r="S851" s="29"/>
      <c r="U851" s="113"/>
      <c r="V851" s="111"/>
      <c r="W851" s="112"/>
      <c r="X851" s="111"/>
    </row>
    <row r="852" spans="1:24" ht="19.5" hidden="1" customHeight="1" outlineLevel="1">
      <c r="A852" s="23">
        <v>15</v>
      </c>
      <c r="B852" s="24">
        <f>IF(9&lt;=DAY(DATE(YEAR(설정_코스수당!$K$2),MONTH(설정_코스수당!$K$2)+1,0)),DATE(YEAR(설정_코스수당!$K$2),MONTH(설정_코스수당!$K$2),9),"")</f>
        <v>46182</v>
      </c>
      <c r="C852" s="25"/>
      <c r="D852" s="23"/>
      <c r="E852" s="23"/>
      <c r="F852" s="26"/>
      <c r="G852" s="23"/>
      <c r="H852" s="23"/>
      <c r="I852" s="23"/>
      <c r="J852" s="27">
        <f>IF($O852="방문완료",MAX(0,IFERROR(VLOOKUP($E852,설정_코스수당!$A$6:$H$10,4,FALSE),0)-IF(OR($P852="",$P852="없음"),0,100000)),0)</f>
        <v>0</v>
      </c>
      <c r="K852" s="27">
        <f t="array" ref="K852">IF($O852="방문완료",IFERROR(INDEX(설정_코스수당!$B$15:$F$64,MATCH($G852,설정_코스수당!$A$15:$A$64,0),MATCH($E852&amp;"수당",설정_코스수당!$B$14:$F$14,0)),0),0)</f>
        <v>0</v>
      </c>
      <c r="L852" s="27">
        <f t="array" ref="L852">IF($O852="방문완료",IF($H852="",0,IFERROR(INDEX(설정_코스수당!$B$15:$F$64,MATCH($H852,설정_코스수당!$A$15:$A$64,0),MATCH($E852&amp;"수당",설정_코스수당!$B$14:$F$14,0)),0)),0)</f>
        <v>0</v>
      </c>
      <c r="M852" s="27">
        <f>IF($O852="방문완료",IFERROR(VLOOKUP($E852,설정_코스수당!$A$6:$H$10,6,FALSE),0),0)</f>
        <v>0</v>
      </c>
      <c r="N852" s="28">
        <f t="shared" si="24"/>
        <v>0</v>
      </c>
      <c r="O852" s="23"/>
      <c r="P852" s="23"/>
      <c r="Q852" s="23"/>
      <c r="R852" s="26"/>
      <c r="S852" s="23"/>
      <c r="U852" s="113"/>
      <c r="V852" s="111"/>
      <c r="W852" s="112"/>
      <c r="X852" s="111"/>
    </row>
    <row r="853" spans="1:24" ht="19.5" hidden="1" customHeight="1" outlineLevel="1">
      <c r="A853" s="29">
        <v>16</v>
      </c>
      <c r="B853" s="30">
        <f>IF(9&lt;=DAY(DATE(YEAR(설정_코스수당!$K$2),MONTH(설정_코스수당!$K$2)+1,0)),DATE(YEAR(설정_코스수당!$K$2),MONTH(설정_코스수당!$K$2),9),"")</f>
        <v>46182</v>
      </c>
      <c r="C853" s="31"/>
      <c r="D853" s="29"/>
      <c r="E853" s="29"/>
      <c r="F853" s="32"/>
      <c r="G853" s="29"/>
      <c r="H853" s="29"/>
      <c r="I853" s="29"/>
      <c r="J853" s="33">
        <f>IF($O853="방문완료",MAX(0,IFERROR(VLOOKUP($E853,설정_코스수당!$A$6:$H$10,4,FALSE),0)-IF(OR($P853="",$P853="없음"),0,100000)),0)</f>
        <v>0</v>
      </c>
      <c r="K853" s="33">
        <f t="array" ref="K853">IF($O853="방문완료",IFERROR(INDEX(설정_코스수당!$B$15:$F$64,MATCH($G853,설정_코스수당!$A$15:$A$64,0),MATCH($E853&amp;"수당",설정_코스수당!$B$14:$F$14,0)),0),0)</f>
        <v>0</v>
      </c>
      <c r="L853" s="33">
        <f t="array" ref="L853">IF($O853="방문완료",IF($H853="",0,IFERROR(INDEX(설정_코스수당!$B$15:$F$64,MATCH($H853,설정_코스수당!$A$15:$A$64,0),MATCH($E853&amp;"수당",설정_코스수당!$B$14:$F$14,0)),0)),0)</f>
        <v>0</v>
      </c>
      <c r="M853" s="33">
        <f>IF($O853="방문완료",IFERROR(VLOOKUP($E853,설정_코스수당!$A$6:$H$10,6,FALSE),0),0)</f>
        <v>0</v>
      </c>
      <c r="N853" s="34">
        <f t="shared" si="24"/>
        <v>0</v>
      </c>
      <c r="O853" s="29"/>
      <c r="P853" s="29"/>
      <c r="Q853" s="29"/>
      <c r="R853" s="32"/>
      <c r="S853" s="29"/>
      <c r="U853" s="113"/>
      <c r="V853" s="111"/>
      <c r="W853" s="112"/>
      <c r="X853" s="111"/>
    </row>
    <row r="854" spans="1:24" ht="19.5" hidden="1" customHeight="1" outlineLevel="1">
      <c r="A854" s="23">
        <v>17</v>
      </c>
      <c r="B854" s="24">
        <f>IF(9&lt;=DAY(DATE(YEAR(설정_코스수당!$K$2),MONTH(설정_코스수당!$K$2)+1,0)),DATE(YEAR(설정_코스수당!$K$2),MONTH(설정_코스수당!$K$2),9),"")</f>
        <v>46182</v>
      </c>
      <c r="C854" s="25"/>
      <c r="D854" s="23"/>
      <c r="E854" s="23"/>
      <c r="F854" s="26"/>
      <c r="G854" s="23"/>
      <c r="H854" s="23"/>
      <c r="I854" s="23"/>
      <c r="J854" s="27">
        <f>IF($O854="방문완료",MAX(0,IFERROR(VLOOKUP($E854,설정_코스수당!$A$6:$H$10,4,FALSE),0)-IF(OR($P854="",$P854="없음"),0,100000)),0)</f>
        <v>0</v>
      </c>
      <c r="K854" s="27">
        <f t="array" ref="K854">IF($O854="방문완료",IFERROR(INDEX(설정_코스수당!$B$15:$F$64,MATCH($G854,설정_코스수당!$A$15:$A$64,0),MATCH($E854&amp;"수당",설정_코스수당!$B$14:$F$14,0)),0),0)</f>
        <v>0</v>
      </c>
      <c r="L854" s="27">
        <f t="array" ref="L854">IF($O854="방문완료",IF($H854="",0,IFERROR(INDEX(설정_코스수당!$B$15:$F$64,MATCH($H854,설정_코스수당!$A$15:$A$64,0),MATCH($E854&amp;"수당",설정_코스수당!$B$14:$F$14,0)),0)),0)</f>
        <v>0</v>
      </c>
      <c r="M854" s="27">
        <f>IF($O854="방문완료",IFERROR(VLOOKUP($E854,설정_코스수당!$A$6:$H$10,6,FALSE),0),0)</f>
        <v>0</v>
      </c>
      <c r="N854" s="28">
        <f t="shared" si="24"/>
        <v>0</v>
      </c>
      <c r="O854" s="23"/>
      <c r="P854" s="23"/>
      <c r="Q854" s="23"/>
      <c r="R854" s="26"/>
      <c r="S854" s="23"/>
      <c r="U854" s="113"/>
      <c r="V854" s="111"/>
      <c r="W854" s="112"/>
      <c r="X854" s="111"/>
    </row>
    <row r="855" spans="1:24" ht="19.5" hidden="1" customHeight="1" outlineLevel="1">
      <c r="A855" s="29">
        <v>18</v>
      </c>
      <c r="B855" s="30">
        <f>IF(9&lt;=DAY(DATE(YEAR(설정_코스수당!$K$2),MONTH(설정_코스수당!$K$2)+1,0)),DATE(YEAR(설정_코스수당!$K$2),MONTH(설정_코스수당!$K$2),9),"")</f>
        <v>46182</v>
      </c>
      <c r="C855" s="31"/>
      <c r="D855" s="29"/>
      <c r="E855" s="29"/>
      <c r="F855" s="32"/>
      <c r="G855" s="29"/>
      <c r="H855" s="29"/>
      <c r="I855" s="29"/>
      <c r="J855" s="33">
        <f>IF($O855="방문완료",MAX(0,IFERROR(VLOOKUP($E855,설정_코스수당!$A$6:$H$10,4,FALSE),0)-IF(OR($P855="",$P855="없음"),0,100000)),0)</f>
        <v>0</v>
      </c>
      <c r="K855" s="33">
        <f t="array" ref="K855">IF($O855="방문완료",IFERROR(INDEX(설정_코스수당!$B$15:$F$64,MATCH($G855,설정_코스수당!$A$15:$A$64,0),MATCH($E855&amp;"수당",설정_코스수당!$B$14:$F$14,0)),0),0)</f>
        <v>0</v>
      </c>
      <c r="L855" s="33">
        <f t="array" ref="L855">IF($O855="방문완료",IF($H855="",0,IFERROR(INDEX(설정_코스수당!$B$15:$F$64,MATCH($H855,설정_코스수당!$A$15:$A$64,0),MATCH($E855&amp;"수당",설정_코스수당!$B$14:$F$14,0)),0)),0)</f>
        <v>0</v>
      </c>
      <c r="M855" s="33">
        <f>IF($O855="방문완료",IFERROR(VLOOKUP($E855,설정_코스수당!$A$6:$H$10,6,FALSE),0),0)</f>
        <v>0</v>
      </c>
      <c r="N855" s="34">
        <f t="shared" si="24"/>
        <v>0</v>
      </c>
      <c r="O855" s="29"/>
      <c r="P855" s="29"/>
      <c r="Q855" s="29"/>
      <c r="R855" s="32"/>
      <c r="S855" s="29"/>
      <c r="U855" s="113"/>
      <c r="V855" s="111"/>
      <c r="W855" s="112"/>
      <c r="X855" s="111"/>
    </row>
    <row r="856" spans="1:24" ht="19.5" hidden="1" customHeight="1" outlineLevel="1">
      <c r="A856" s="23">
        <v>19</v>
      </c>
      <c r="B856" s="24">
        <f>IF(9&lt;=DAY(DATE(YEAR(설정_코스수당!$K$2),MONTH(설정_코스수당!$K$2)+1,0)),DATE(YEAR(설정_코스수당!$K$2),MONTH(설정_코스수당!$K$2),9),"")</f>
        <v>46182</v>
      </c>
      <c r="C856" s="25"/>
      <c r="D856" s="23"/>
      <c r="E856" s="23"/>
      <c r="F856" s="26"/>
      <c r="G856" s="23"/>
      <c r="H856" s="23"/>
      <c r="I856" s="23"/>
      <c r="J856" s="27">
        <f>IF($O856="방문완료",MAX(0,IFERROR(VLOOKUP($E856,설정_코스수당!$A$6:$H$10,4,FALSE),0)-IF(OR($P856="",$P856="없음"),0,100000)),0)</f>
        <v>0</v>
      </c>
      <c r="K856" s="27">
        <f t="array" ref="K856">IF($O856="방문완료",IFERROR(INDEX(설정_코스수당!$B$15:$F$64,MATCH($G856,설정_코스수당!$A$15:$A$64,0),MATCH($E856&amp;"수당",설정_코스수당!$B$14:$F$14,0)),0),0)</f>
        <v>0</v>
      </c>
      <c r="L856" s="27">
        <f t="array" ref="L856">IF($O856="방문완료",IF($H856="",0,IFERROR(INDEX(설정_코스수당!$B$15:$F$64,MATCH($H856,설정_코스수당!$A$15:$A$64,0),MATCH($E856&amp;"수당",설정_코스수당!$B$14:$F$14,0)),0)),0)</f>
        <v>0</v>
      </c>
      <c r="M856" s="27">
        <f>IF($O856="방문완료",IFERROR(VLOOKUP($E856,설정_코스수당!$A$6:$H$10,6,FALSE),0),0)</f>
        <v>0</v>
      </c>
      <c r="N856" s="28">
        <f t="shared" si="24"/>
        <v>0</v>
      </c>
      <c r="O856" s="23"/>
      <c r="P856" s="23"/>
      <c r="Q856" s="23"/>
      <c r="R856" s="26"/>
      <c r="S856" s="23"/>
      <c r="U856" s="113"/>
      <c r="V856" s="111"/>
      <c r="W856" s="112"/>
      <c r="X856" s="111"/>
    </row>
    <row r="857" spans="1:24" ht="19.5" hidden="1" customHeight="1" outlineLevel="1">
      <c r="A857" s="29">
        <v>20</v>
      </c>
      <c r="B857" s="30">
        <f>IF(9&lt;=DAY(DATE(YEAR(설정_코스수당!$K$2),MONTH(설정_코스수당!$K$2)+1,0)),DATE(YEAR(설정_코스수당!$K$2),MONTH(설정_코스수당!$K$2),9),"")</f>
        <v>46182</v>
      </c>
      <c r="C857" s="31"/>
      <c r="D857" s="29"/>
      <c r="E857" s="29"/>
      <c r="F857" s="32"/>
      <c r="G857" s="29"/>
      <c r="H857" s="29"/>
      <c r="I857" s="29"/>
      <c r="J857" s="33">
        <f>IF($O857="방문완료",MAX(0,IFERROR(VLOOKUP($E857,설정_코스수당!$A$6:$H$10,4,FALSE),0)-IF(OR($P857="",$P857="없음"),0,100000)),0)</f>
        <v>0</v>
      </c>
      <c r="K857" s="33">
        <f t="array" ref="K857">IF($O857="방문완료",IFERROR(INDEX(설정_코스수당!$B$15:$F$64,MATCH($G857,설정_코스수당!$A$15:$A$64,0),MATCH($E857&amp;"수당",설정_코스수당!$B$14:$F$14,0)),0),0)</f>
        <v>0</v>
      </c>
      <c r="L857" s="33">
        <f t="array" ref="L857">IF($O857="방문완료",IF($H857="",0,IFERROR(INDEX(설정_코스수당!$B$15:$F$64,MATCH($H857,설정_코스수당!$A$15:$A$64,0),MATCH($E857&amp;"수당",설정_코스수당!$B$14:$F$14,0)),0)),0)</f>
        <v>0</v>
      </c>
      <c r="M857" s="33">
        <f>IF($O857="방문완료",IFERROR(VLOOKUP($E857,설정_코스수당!$A$6:$H$10,6,FALSE),0),0)</f>
        <v>0</v>
      </c>
      <c r="N857" s="34">
        <f t="shared" si="24"/>
        <v>0</v>
      </c>
      <c r="O857" s="29"/>
      <c r="P857" s="29"/>
      <c r="Q857" s="29"/>
      <c r="R857" s="32"/>
      <c r="S857" s="29"/>
    </row>
    <row r="858" spans="1:24" ht="19.5" hidden="1" customHeight="1" outlineLevel="1">
      <c r="A858" s="23">
        <v>21</v>
      </c>
      <c r="B858" s="24">
        <f>IF(9&lt;=DAY(DATE(YEAR(설정_코스수당!$K$2),MONTH(설정_코스수당!$K$2)+1,0)),DATE(YEAR(설정_코스수당!$K$2),MONTH(설정_코스수당!$K$2),9),"")</f>
        <v>46182</v>
      </c>
      <c r="C858" s="25"/>
      <c r="D858" s="23"/>
      <c r="E858" s="23"/>
      <c r="F858" s="26"/>
      <c r="G858" s="23"/>
      <c r="H858" s="23"/>
      <c r="I858" s="23"/>
      <c r="J858" s="27">
        <f>IF($O858="방문완료",MAX(0,IFERROR(VLOOKUP($E858,설정_코스수당!$A$6:$H$10,4,FALSE),0)-IF(OR($P858="",$P858="없음"),0,100000)),0)</f>
        <v>0</v>
      </c>
      <c r="K858" s="27">
        <f t="array" ref="K858">IF($O858="방문완료",IFERROR(INDEX(설정_코스수당!$B$15:$F$64,MATCH($G858,설정_코스수당!$A$15:$A$64,0),MATCH($E858&amp;"수당",설정_코스수당!$B$14:$F$14,0)),0),0)</f>
        <v>0</v>
      </c>
      <c r="L858" s="27">
        <f t="array" ref="L858">IF($O858="방문완료",IF($H858="",0,IFERROR(INDEX(설정_코스수당!$B$15:$F$64,MATCH($H858,설정_코스수당!$A$15:$A$64,0),MATCH($E858&amp;"수당",설정_코스수당!$B$14:$F$14,0)),0)),0)</f>
        <v>0</v>
      </c>
      <c r="M858" s="27">
        <f>IF($O858="방문완료",IFERROR(VLOOKUP($E858,설정_코스수당!$A$6:$H$10,6,FALSE),0),0)</f>
        <v>0</v>
      </c>
      <c r="N858" s="28">
        <f t="shared" si="24"/>
        <v>0</v>
      </c>
      <c r="O858" s="23"/>
      <c r="P858" s="23"/>
      <c r="Q858" s="23"/>
      <c r="R858" s="26"/>
      <c r="S858" s="23"/>
    </row>
    <row r="859" spans="1:24" ht="19.5" hidden="1" customHeight="1" outlineLevel="1">
      <c r="A859" s="29">
        <v>22</v>
      </c>
      <c r="B859" s="30">
        <f>IF(9&lt;=DAY(DATE(YEAR(설정_코스수당!$K$2),MONTH(설정_코스수당!$K$2)+1,0)),DATE(YEAR(설정_코스수당!$K$2),MONTH(설정_코스수당!$K$2),9),"")</f>
        <v>46182</v>
      </c>
      <c r="C859" s="31"/>
      <c r="D859" s="29"/>
      <c r="E859" s="29"/>
      <c r="F859" s="32"/>
      <c r="G859" s="29"/>
      <c r="H859" s="29"/>
      <c r="I859" s="29"/>
      <c r="J859" s="33">
        <f>IF($O859="방문완료",MAX(0,IFERROR(VLOOKUP($E859,설정_코스수당!$A$6:$H$10,4,FALSE),0)-IF(OR($P859="",$P859="없음"),0,100000)),0)</f>
        <v>0</v>
      </c>
      <c r="K859" s="33">
        <f t="array" ref="K859">IF($O859="방문완료",IFERROR(INDEX(설정_코스수당!$B$15:$F$64,MATCH($G859,설정_코스수당!$A$15:$A$64,0),MATCH($E859&amp;"수당",설정_코스수당!$B$14:$F$14,0)),0),0)</f>
        <v>0</v>
      </c>
      <c r="L859" s="33">
        <f t="array" ref="L859">IF($O859="방문완료",IF($H859="",0,IFERROR(INDEX(설정_코스수당!$B$15:$F$64,MATCH($H859,설정_코스수당!$A$15:$A$64,0),MATCH($E859&amp;"수당",설정_코스수당!$B$14:$F$14,0)),0)),0)</f>
        <v>0</v>
      </c>
      <c r="M859" s="33">
        <f>IF($O859="방문완료",IFERROR(VLOOKUP($E859,설정_코스수당!$A$6:$H$10,6,FALSE),0),0)</f>
        <v>0</v>
      </c>
      <c r="N859" s="34">
        <f t="shared" si="24"/>
        <v>0</v>
      </c>
      <c r="O859" s="29"/>
      <c r="P859" s="29"/>
      <c r="Q859" s="29"/>
      <c r="R859" s="32"/>
      <c r="S859" s="29"/>
    </row>
    <row r="860" spans="1:24" ht="19.5" hidden="1" customHeight="1" outlineLevel="1">
      <c r="A860" s="23">
        <v>23</v>
      </c>
      <c r="B860" s="24">
        <f>IF(9&lt;=DAY(DATE(YEAR(설정_코스수당!$K$2),MONTH(설정_코스수당!$K$2)+1,0)),DATE(YEAR(설정_코스수당!$K$2),MONTH(설정_코스수당!$K$2),9),"")</f>
        <v>46182</v>
      </c>
      <c r="C860" s="25"/>
      <c r="D860" s="23"/>
      <c r="E860" s="23"/>
      <c r="F860" s="26"/>
      <c r="G860" s="23"/>
      <c r="H860" s="23"/>
      <c r="I860" s="23"/>
      <c r="J860" s="27">
        <f>IF($O860="방문완료",MAX(0,IFERROR(VLOOKUP($E860,설정_코스수당!$A$6:$H$10,4,FALSE),0)-IF(OR($P860="",$P860="없음"),0,100000)),0)</f>
        <v>0</v>
      </c>
      <c r="K860" s="27">
        <f t="array" ref="K860">IF($O860="방문완료",IFERROR(INDEX(설정_코스수당!$B$15:$F$64,MATCH($G860,설정_코스수당!$A$15:$A$64,0),MATCH($E860&amp;"수당",설정_코스수당!$B$14:$F$14,0)),0),0)</f>
        <v>0</v>
      </c>
      <c r="L860" s="27">
        <f t="array" ref="L860">IF($O860="방문완료",IF($H860="",0,IFERROR(INDEX(설정_코스수당!$B$15:$F$64,MATCH($H860,설정_코스수당!$A$15:$A$64,0),MATCH($E860&amp;"수당",설정_코스수당!$B$14:$F$14,0)),0)),0)</f>
        <v>0</v>
      </c>
      <c r="M860" s="27">
        <f>IF($O860="방문완료",IFERROR(VLOOKUP($E860,설정_코스수당!$A$6:$H$10,6,FALSE),0),0)</f>
        <v>0</v>
      </c>
      <c r="N860" s="28">
        <f t="shared" si="24"/>
        <v>0</v>
      </c>
      <c r="O860" s="23"/>
      <c r="P860" s="23"/>
      <c r="Q860" s="23"/>
      <c r="R860" s="26"/>
      <c r="S860" s="23"/>
    </row>
    <row r="861" spans="1:24" ht="19.5" hidden="1" customHeight="1" outlineLevel="1">
      <c r="A861" s="29">
        <v>24</v>
      </c>
      <c r="B861" s="30">
        <f>IF(9&lt;=DAY(DATE(YEAR(설정_코스수당!$K$2),MONTH(설정_코스수당!$K$2)+1,0)),DATE(YEAR(설정_코스수당!$K$2),MONTH(설정_코스수당!$K$2),9),"")</f>
        <v>46182</v>
      </c>
      <c r="C861" s="31"/>
      <c r="D861" s="29"/>
      <c r="E861" s="29"/>
      <c r="F861" s="32"/>
      <c r="G861" s="29"/>
      <c r="H861" s="29"/>
      <c r="I861" s="29"/>
      <c r="J861" s="33">
        <f>IF($O861="방문완료",MAX(0,IFERROR(VLOOKUP($E861,설정_코스수당!$A$6:$H$10,4,FALSE),0)-IF(OR($P861="",$P861="없음"),0,100000)),0)</f>
        <v>0</v>
      </c>
      <c r="K861" s="33">
        <f t="array" ref="K861">IF($O861="방문완료",IFERROR(INDEX(설정_코스수당!$B$15:$F$64,MATCH($G861,설정_코스수당!$A$15:$A$64,0),MATCH($E861&amp;"수당",설정_코스수당!$B$14:$F$14,0)),0),0)</f>
        <v>0</v>
      </c>
      <c r="L861" s="33">
        <f t="array" ref="L861">IF($O861="방문완료",IF($H861="",0,IFERROR(INDEX(설정_코스수당!$B$15:$F$64,MATCH($H861,설정_코스수당!$A$15:$A$64,0),MATCH($E861&amp;"수당",설정_코스수당!$B$14:$F$14,0)),0)),0)</f>
        <v>0</v>
      </c>
      <c r="M861" s="33">
        <f>IF($O861="방문완료",IFERROR(VLOOKUP($E861,설정_코스수당!$A$6:$H$10,6,FALSE),0),0)</f>
        <v>0</v>
      </c>
      <c r="N861" s="34">
        <f t="shared" si="24"/>
        <v>0</v>
      </c>
      <c r="O861" s="29"/>
      <c r="P861" s="29"/>
      <c r="Q861" s="29"/>
      <c r="R861" s="32"/>
      <c r="S861" s="29"/>
    </row>
    <row r="862" spans="1:24" ht="19.5" hidden="1" customHeight="1" outlineLevel="1">
      <c r="A862" s="23">
        <v>25</v>
      </c>
      <c r="B862" s="24">
        <f>IF(9&lt;=DAY(DATE(YEAR(설정_코스수당!$K$2),MONTH(설정_코스수당!$K$2)+1,0)),DATE(YEAR(설정_코스수당!$K$2),MONTH(설정_코스수당!$K$2),9),"")</f>
        <v>46182</v>
      </c>
      <c r="C862" s="25"/>
      <c r="D862" s="23"/>
      <c r="E862" s="23"/>
      <c r="F862" s="26"/>
      <c r="G862" s="23"/>
      <c r="H862" s="23"/>
      <c r="I862" s="23"/>
      <c r="J862" s="27">
        <f>IF($O862="방문완료",MAX(0,IFERROR(VLOOKUP($E862,설정_코스수당!$A$6:$H$10,4,FALSE),0)-IF(OR($P862="",$P862="없음"),0,100000)),0)</f>
        <v>0</v>
      </c>
      <c r="K862" s="27">
        <f t="array" ref="K862">IF($O862="방문완료",IFERROR(INDEX(설정_코스수당!$B$15:$F$64,MATCH($G862,설정_코스수당!$A$15:$A$64,0),MATCH($E862&amp;"수당",설정_코스수당!$B$14:$F$14,0)),0),0)</f>
        <v>0</v>
      </c>
      <c r="L862" s="27">
        <f t="array" ref="L862">IF($O862="방문완료",IF($H862="",0,IFERROR(INDEX(설정_코스수당!$B$15:$F$64,MATCH($H862,설정_코스수당!$A$15:$A$64,0),MATCH($E862&amp;"수당",설정_코스수당!$B$14:$F$14,0)),0)),0)</f>
        <v>0</v>
      </c>
      <c r="M862" s="27">
        <f>IF($O862="방문완료",IFERROR(VLOOKUP($E862,설정_코스수당!$A$6:$H$10,6,FALSE),0),0)</f>
        <v>0</v>
      </c>
      <c r="N862" s="28">
        <f t="shared" si="24"/>
        <v>0</v>
      </c>
      <c r="O862" s="23"/>
      <c r="P862" s="23"/>
      <c r="Q862" s="23"/>
      <c r="R862" s="26"/>
      <c r="S862" s="23"/>
    </row>
    <row r="863" spans="1:24" ht="19.5" hidden="1" customHeight="1" outlineLevel="1">
      <c r="A863" s="29">
        <v>26</v>
      </c>
      <c r="B863" s="30">
        <f>IF(9&lt;=DAY(DATE(YEAR(설정_코스수당!$K$2),MONTH(설정_코스수당!$K$2)+1,0)),DATE(YEAR(설정_코스수당!$K$2),MONTH(설정_코스수당!$K$2),9),"")</f>
        <v>46182</v>
      </c>
      <c r="C863" s="31"/>
      <c r="D863" s="29"/>
      <c r="E863" s="29"/>
      <c r="F863" s="32"/>
      <c r="G863" s="29"/>
      <c r="H863" s="29"/>
      <c r="I863" s="29"/>
      <c r="J863" s="33">
        <f>IF($O863="방문완료",MAX(0,IFERROR(VLOOKUP($E863,설정_코스수당!$A$6:$H$10,4,FALSE),0)-IF(OR($P863="",$P863="없음"),0,100000)),0)</f>
        <v>0</v>
      </c>
      <c r="K863" s="33">
        <f t="array" ref="K863">IF($O863="방문완료",IFERROR(INDEX(설정_코스수당!$B$15:$F$64,MATCH($G863,설정_코스수당!$A$15:$A$64,0),MATCH($E863&amp;"수당",설정_코스수당!$B$14:$F$14,0)),0),0)</f>
        <v>0</v>
      </c>
      <c r="L863" s="33">
        <f t="array" ref="L863">IF($O863="방문완료",IF($H863="",0,IFERROR(INDEX(설정_코스수당!$B$15:$F$64,MATCH($H863,설정_코스수당!$A$15:$A$64,0),MATCH($E863&amp;"수당",설정_코스수당!$B$14:$F$14,0)),0)),0)</f>
        <v>0</v>
      </c>
      <c r="M863" s="33">
        <f>IF($O863="방문완료",IFERROR(VLOOKUP($E863,설정_코스수당!$A$6:$H$10,6,FALSE),0),0)</f>
        <v>0</v>
      </c>
      <c r="N863" s="34">
        <f t="shared" si="24"/>
        <v>0</v>
      </c>
      <c r="O863" s="29"/>
      <c r="P863" s="29"/>
      <c r="Q863" s="29"/>
      <c r="R863" s="32"/>
      <c r="S863" s="29"/>
    </row>
    <row r="864" spans="1:24" ht="19.5" hidden="1" customHeight="1" outlineLevel="1">
      <c r="A864" s="23">
        <v>27</v>
      </c>
      <c r="B864" s="24">
        <f>IF(9&lt;=DAY(DATE(YEAR(설정_코스수당!$K$2),MONTH(설정_코스수당!$K$2)+1,0)),DATE(YEAR(설정_코스수당!$K$2),MONTH(설정_코스수당!$K$2),9),"")</f>
        <v>46182</v>
      </c>
      <c r="C864" s="25"/>
      <c r="D864" s="23"/>
      <c r="E864" s="23"/>
      <c r="F864" s="26"/>
      <c r="G864" s="23"/>
      <c r="H864" s="23"/>
      <c r="I864" s="23"/>
      <c r="J864" s="27">
        <f>IF($O864="방문완료",MAX(0,IFERROR(VLOOKUP($E864,설정_코스수당!$A$6:$H$10,4,FALSE),0)-IF(OR($P864="",$P864="없음"),0,100000)),0)</f>
        <v>0</v>
      </c>
      <c r="K864" s="27">
        <f t="array" ref="K864">IF($O864="방문완료",IFERROR(INDEX(설정_코스수당!$B$15:$F$64,MATCH($G864,설정_코스수당!$A$15:$A$64,0),MATCH($E864&amp;"수당",설정_코스수당!$B$14:$F$14,0)),0),0)</f>
        <v>0</v>
      </c>
      <c r="L864" s="27">
        <f t="array" ref="L864">IF($O864="방문완료",IF($H864="",0,IFERROR(INDEX(설정_코스수당!$B$15:$F$64,MATCH($H864,설정_코스수당!$A$15:$A$64,0),MATCH($E864&amp;"수당",설정_코스수당!$B$14:$F$14,0)),0)),0)</f>
        <v>0</v>
      </c>
      <c r="M864" s="27">
        <f>IF($O864="방문완료",IFERROR(VLOOKUP($E864,설정_코스수당!$A$6:$H$10,6,FALSE),0),0)</f>
        <v>0</v>
      </c>
      <c r="N864" s="28">
        <f t="shared" si="24"/>
        <v>0</v>
      </c>
      <c r="O864" s="23"/>
      <c r="P864" s="23"/>
      <c r="Q864" s="23"/>
      <c r="R864" s="26"/>
      <c r="S864" s="23"/>
    </row>
    <row r="865" spans="1:19" ht="19.5" hidden="1" customHeight="1" outlineLevel="1">
      <c r="A865" s="29">
        <v>28</v>
      </c>
      <c r="B865" s="30">
        <f>IF(9&lt;=DAY(DATE(YEAR(설정_코스수당!$K$2),MONTH(설정_코스수당!$K$2)+1,0)),DATE(YEAR(설정_코스수당!$K$2),MONTH(설정_코스수당!$K$2),9),"")</f>
        <v>46182</v>
      </c>
      <c r="C865" s="31"/>
      <c r="D865" s="29"/>
      <c r="E865" s="29"/>
      <c r="F865" s="32"/>
      <c r="G865" s="29"/>
      <c r="H865" s="29"/>
      <c r="I865" s="29"/>
      <c r="J865" s="33">
        <f>IF($O865="방문완료",MAX(0,IFERROR(VLOOKUP($E865,설정_코스수당!$A$6:$H$10,4,FALSE),0)-IF(OR($P865="",$P865="없음"),0,100000)),0)</f>
        <v>0</v>
      </c>
      <c r="K865" s="33">
        <f t="array" ref="K865">IF($O865="방문완료",IFERROR(INDEX(설정_코스수당!$B$15:$F$64,MATCH($G865,설정_코스수당!$A$15:$A$64,0),MATCH($E865&amp;"수당",설정_코스수당!$B$14:$F$14,0)),0),0)</f>
        <v>0</v>
      </c>
      <c r="L865" s="33">
        <f t="array" ref="L865">IF($O865="방문완료",IF($H865="",0,IFERROR(INDEX(설정_코스수당!$B$15:$F$64,MATCH($H865,설정_코스수당!$A$15:$A$64,0),MATCH($E865&amp;"수당",설정_코스수당!$B$14:$F$14,0)),0)),0)</f>
        <v>0</v>
      </c>
      <c r="M865" s="33">
        <f>IF($O865="방문완료",IFERROR(VLOOKUP($E865,설정_코스수당!$A$6:$H$10,6,FALSE),0),0)</f>
        <v>0</v>
      </c>
      <c r="N865" s="34">
        <f t="shared" si="24"/>
        <v>0</v>
      </c>
      <c r="O865" s="29"/>
      <c r="P865" s="29"/>
      <c r="Q865" s="29"/>
      <c r="R865" s="32"/>
      <c r="S865" s="29"/>
    </row>
    <row r="866" spans="1:19" ht="19.5" hidden="1" customHeight="1" outlineLevel="1">
      <c r="A866" s="23">
        <v>29</v>
      </c>
      <c r="B866" s="24">
        <f>IF(9&lt;=DAY(DATE(YEAR(설정_코스수당!$K$2),MONTH(설정_코스수당!$K$2)+1,0)),DATE(YEAR(설정_코스수당!$K$2),MONTH(설정_코스수당!$K$2),9),"")</f>
        <v>46182</v>
      </c>
      <c r="C866" s="25"/>
      <c r="D866" s="23"/>
      <c r="E866" s="23"/>
      <c r="F866" s="26"/>
      <c r="G866" s="23"/>
      <c r="H866" s="23"/>
      <c r="I866" s="23"/>
      <c r="J866" s="27">
        <f>IF($O866="방문완료",MAX(0,IFERROR(VLOOKUP($E866,설정_코스수당!$A$6:$H$10,4,FALSE),0)-IF(OR($P866="",$P866="없음"),0,100000)),0)</f>
        <v>0</v>
      </c>
      <c r="K866" s="27">
        <f t="array" ref="K866">IF($O866="방문완료",IFERROR(INDEX(설정_코스수당!$B$15:$F$64,MATCH($G866,설정_코스수당!$A$15:$A$64,0),MATCH($E866&amp;"수당",설정_코스수당!$B$14:$F$14,0)),0),0)</f>
        <v>0</v>
      </c>
      <c r="L866" s="27">
        <f t="array" ref="L866">IF($O866="방문완료",IF($H866="",0,IFERROR(INDEX(설정_코스수당!$B$15:$F$64,MATCH($H866,설정_코스수당!$A$15:$A$64,0),MATCH($E866&amp;"수당",설정_코스수당!$B$14:$F$14,0)),0)),0)</f>
        <v>0</v>
      </c>
      <c r="M866" s="27">
        <f>IF($O866="방문완료",IFERROR(VLOOKUP($E866,설정_코스수당!$A$6:$H$10,6,FALSE),0),0)</f>
        <v>0</v>
      </c>
      <c r="N866" s="28">
        <f t="shared" si="24"/>
        <v>0</v>
      </c>
      <c r="O866" s="23"/>
      <c r="P866" s="23"/>
      <c r="Q866" s="23"/>
      <c r="R866" s="26"/>
      <c r="S866" s="23"/>
    </row>
    <row r="867" spans="1:19" ht="19.5" hidden="1" customHeight="1" outlineLevel="1">
      <c r="A867" s="29">
        <v>30</v>
      </c>
      <c r="B867" s="30">
        <f>IF(9&lt;=DAY(DATE(YEAR(설정_코스수당!$K$2),MONTH(설정_코스수당!$K$2)+1,0)),DATE(YEAR(설정_코스수당!$K$2),MONTH(설정_코스수당!$K$2),9),"")</f>
        <v>46182</v>
      </c>
      <c r="C867" s="31"/>
      <c r="D867" s="29"/>
      <c r="E867" s="29"/>
      <c r="F867" s="32"/>
      <c r="G867" s="29"/>
      <c r="H867" s="29"/>
      <c r="I867" s="29"/>
      <c r="J867" s="33">
        <f>IF($O867="방문완료",MAX(0,IFERROR(VLOOKUP($E867,설정_코스수당!$A$6:$H$10,4,FALSE),0)-IF(OR($P867="",$P867="없음"),0,100000)),0)</f>
        <v>0</v>
      </c>
      <c r="K867" s="33">
        <f t="array" ref="K867">IF($O867="방문완료",IFERROR(INDEX(설정_코스수당!$B$15:$F$64,MATCH($G867,설정_코스수당!$A$15:$A$64,0),MATCH($E867&amp;"수당",설정_코스수당!$B$14:$F$14,0)),0),0)</f>
        <v>0</v>
      </c>
      <c r="L867" s="33">
        <f t="array" ref="L867">IF($O867="방문완료",IF($H867="",0,IFERROR(INDEX(설정_코스수당!$B$15:$F$64,MATCH($H867,설정_코스수당!$A$15:$A$64,0),MATCH($E867&amp;"수당",설정_코스수당!$B$14:$F$14,0)),0)),0)</f>
        <v>0</v>
      </c>
      <c r="M867" s="33">
        <f>IF($O867="방문완료",IFERROR(VLOOKUP($E867,설정_코스수당!$A$6:$H$10,6,FALSE),0),0)</f>
        <v>0</v>
      </c>
      <c r="N867" s="34">
        <f t="shared" si="24"/>
        <v>0</v>
      </c>
      <c r="O867" s="29"/>
      <c r="P867" s="29"/>
      <c r="Q867" s="29"/>
      <c r="R867" s="32"/>
      <c r="S867" s="29"/>
    </row>
    <row r="868" spans="1:19" ht="19.5" hidden="1" customHeight="1" outlineLevel="1">
      <c r="A868" s="23">
        <v>31</v>
      </c>
      <c r="B868" s="24">
        <f>IF(9&lt;=DAY(DATE(YEAR(설정_코스수당!$K$2),MONTH(설정_코스수당!$K$2)+1,0)),DATE(YEAR(설정_코스수당!$K$2),MONTH(설정_코스수당!$K$2),9),"")</f>
        <v>46182</v>
      </c>
      <c r="C868" s="25"/>
      <c r="D868" s="23"/>
      <c r="E868" s="23"/>
      <c r="F868" s="26"/>
      <c r="G868" s="23"/>
      <c r="H868" s="23"/>
      <c r="I868" s="23"/>
      <c r="J868" s="27">
        <f>IF($O868="방문완료",MAX(0,IFERROR(VLOOKUP($E868,설정_코스수당!$A$6:$H$10,4,FALSE),0)-IF(OR($P868="",$P868="없음"),0,100000)),0)</f>
        <v>0</v>
      </c>
      <c r="K868" s="27">
        <f t="array" ref="K868">IF($O868="방문완료",IFERROR(INDEX(설정_코스수당!$B$15:$F$64,MATCH($G868,설정_코스수당!$A$15:$A$64,0),MATCH($E868&amp;"수당",설정_코스수당!$B$14:$F$14,0)),0),0)</f>
        <v>0</v>
      </c>
      <c r="L868" s="27">
        <f t="array" ref="L868">IF($O868="방문완료",IF($H868="",0,IFERROR(INDEX(설정_코스수당!$B$15:$F$64,MATCH($H868,설정_코스수당!$A$15:$A$64,0),MATCH($E868&amp;"수당",설정_코스수당!$B$14:$F$14,0)),0)),0)</f>
        <v>0</v>
      </c>
      <c r="M868" s="27">
        <f>IF($O868="방문완료",IFERROR(VLOOKUP($E868,설정_코스수당!$A$6:$H$10,6,FALSE),0),0)</f>
        <v>0</v>
      </c>
      <c r="N868" s="28">
        <f t="shared" si="24"/>
        <v>0</v>
      </c>
      <c r="O868" s="23"/>
      <c r="P868" s="23"/>
      <c r="Q868" s="23"/>
      <c r="R868" s="26"/>
      <c r="S868" s="23"/>
    </row>
    <row r="869" spans="1:19" ht="19.5" hidden="1" customHeight="1" outlineLevel="1">
      <c r="A869" s="29">
        <v>32</v>
      </c>
      <c r="B869" s="30">
        <f>IF(9&lt;=DAY(DATE(YEAR(설정_코스수당!$K$2),MONTH(설정_코스수당!$K$2)+1,0)),DATE(YEAR(설정_코스수당!$K$2),MONTH(설정_코스수당!$K$2),9),"")</f>
        <v>46182</v>
      </c>
      <c r="C869" s="31"/>
      <c r="D869" s="29"/>
      <c r="E869" s="29"/>
      <c r="F869" s="32"/>
      <c r="G869" s="29"/>
      <c r="H869" s="29"/>
      <c r="I869" s="29"/>
      <c r="J869" s="33">
        <f>IF($O869="방문완료",MAX(0,IFERROR(VLOOKUP($E869,설정_코스수당!$A$6:$H$10,4,FALSE),0)-IF(OR($P869="",$P869="없음"),0,100000)),0)</f>
        <v>0</v>
      </c>
      <c r="K869" s="33">
        <f t="array" ref="K869">IF($O869="방문완료",IFERROR(INDEX(설정_코스수당!$B$15:$F$64,MATCH($G869,설정_코스수당!$A$15:$A$64,0),MATCH($E869&amp;"수당",설정_코스수당!$B$14:$F$14,0)),0),0)</f>
        <v>0</v>
      </c>
      <c r="L869" s="33">
        <f t="array" ref="L869">IF($O869="방문완료",IF($H869="",0,IFERROR(INDEX(설정_코스수당!$B$15:$F$64,MATCH($H869,설정_코스수당!$A$15:$A$64,0),MATCH($E869&amp;"수당",설정_코스수당!$B$14:$F$14,0)),0)),0)</f>
        <v>0</v>
      </c>
      <c r="M869" s="33">
        <f>IF($O869="방문완료",IFERROR(VLOOKUP($E869,설정_코스수당!$A$6:$H$10,6,FALSE),0),0)</f>
        <v>0</v>
      </c>
      <c r="N869" s="34">
        <f t="shared" si="24"/>
        <v>0</v>
      </c>
      <c r="O869" s="29"/>
      <c r="P869" s="29"/>
      <c r="Q869" s="29"/>
      <c r="R869" s="32"/>
      <c r="S869" s="29"/>
    </row>
    <row r="870" spans="1:19" ht="19.5" hidden="1" customHeight="1" outlineLevel="1">
      <c r="A870" s="23">
        <v>33</v>
      </c>
      <c r="B870" s="24">
        <f>IF(9&lt;=DAY(DATE(YEAR(설정_코스수당!$K$2),MONTH(설정_코스수당!$K$2)+1,0)),DATE(YEAR(설정_코스수당!$K$2),MONTH(설정_코스수당!$K$2),9),"")</f>
        <v>46182</v>
      </c>
      <c r="C870" s="25"/>
      <c r="D870" s="23"/>
      <c r="E870" s="23"/>
      <c r="F870" s="26"/>
      <c r="G870" s="23"/>
      <c r="H870" s="23"/>
      <c r="I870" s="23"/>
      <c r="J870" s="27">
        <f>IF($O870="방문완료",MAX(0,IFERROR(VLOOKUP($E870,설정_코스수당!$A$6:$H$10,4,FALSE),0)-IF(OR($P870="",$P870="없음"),0,100000)),0)</f>
        <v>0</v>
      </c>
      <c r="K870" s="27">
        <f t="array" ref="K870">IF($O870="방문완료",IFERROR(INDEX(설정_코스수당!$B$15:$F$64,MATCH($G870,설정_코스수당!$A$15:$A$64,0),MATCH($E870&amp;"수당",설정_코스수당!$B$14:$F$14,0)),0),0)</f>
        <v>0</v>
      </c>
      <c r="L870" s="27">
        <f t="array" ref="L870">IF($O870="방문완료",IF($H870="",0,IFERROR(INDEX(설정_코스수당!$B$15:$F$64,MATCH($H870,설정_코스수당!$A$15:$A$64,0),MATCH($E870&amp;"수당",설정_코스수당!$B$14:$F$14,0)),0)),0)</f>
        <v>0</v>
      </c>
      <c r="M870" s="27">
        <f>IF($O870="방문완료",IFERROR(VLOOKUP($E870,설정_코스수당!$A$6:$H$10,6,FALSE),0),0)</f>
        <v>0</v>
      </c>
      <c r="N870" s="28">
        <f t="shared" ref="N870:N901" si="25">IF($O870="방문완료",1,0)</f>
        <v>0</v>
      </c>
      <c r="O870" s="23"/>
      <c r="P870" s="23"/>
      <c r="Q870" s="23"/>
      <c r="R870" s="26"/>
      <c r="S870" s="23"/>
    </row>
    <row r="871" spans="1:19" ht="19.5" hidden="1" customHeight="1" outlineLevel="1">
      <c r="A871" s="29">
        <v>34</v>
      </c>
      <c r="B871" s="30">
        <f>IF(9&lt;=DAY(DATE(YEAR(설정_코스수당!$K$2),MONTH(설정_코스수당!$K$2)+1,0)),DATE(YEAR(설정_코스수당!$K$2),MONTH(설정_코스수당!$K$2),9),"")</f>
        <v>46182</v>
      </c>
      <c r="C871" s="31"/>
      <c r="D871" s="29"/>
      <c r="E871" s="29"/>
      <c r="F871" s="32"/>
      <c r="G871" s="29"/>
      <c r="H871" s="29"/>
      <c r="I871" s="29"/>
      <c r="J871" s="33">
        <f>IF($O871="방문완료",MAX(0,IFERROR(VLOOKUP($E871,설정_코스수당!$A$6:$H$10,4,FALSE),0)-IF(OR($P871="",$P871="없음"),0,100000)),0)</f>
        <v>0</v>
      </c>
      <c r="K871" s="33">
        <f t="array" ref="K871">IF($O871="방문완료",IFERROR(INDEX(설정_코스수당!$B$15:$F$64,MATCH($G871,설정_코스수당!$A$15:$A$64,0),MATCH($E871&amp;"수당",설정_코스수당!$B$14:$F$14,0)),0),0)</f>
        <v>0</v>
      </c>
      <c r="L871" s="33">
        <f t="array" ref="L871">IF($O871="방문완료",IF($H871="",0,IFERROR(INDEX(설정_코스수당!$B$15:$F$64,MATCH($H871,설정_코스수당!$A$15:$A$64,0),MATCH($E871&amp;"수당",설정_코스수당!$B$14:$F$14,0)),0)),0)</f>
        <v>0</v>
      </c>
      <c r="M871" s="33">
        <f>IF($O871="방문완료",IFERROR(VLOOKUP($E871,설정_코스수당!$A$6:$H$10,6,FALSE),0),0)</f>
        <v>0</v>
      </c>
      <c r="N871" s="34">
        <f t="shared" si="25"/>
        <v>0</v>
      </c>
      <c r="O871" s="29"/>
      <c r="P871" s="29"/>
      <c r="Q871" s="29"/>
      <c r="R871" s="32"/>
      <c r="S871" s="29"/>
    </row>
    <row r="872" spans="1:19" ht="19.5" hidden="1" customHeight="1" outlineLevel="1">
      <c r="A872" s="23">
        <v>35</v>
      </c>
      <c r="B872" s="24">
        <f>IF(9&lt;=DAY(DATE(YEAR(설정_코스수당!$K$2),MONTH(설정_코스수당!$K$2)+1,0)),DATE(YEAR(설정_코스수당!$K$2),MONTH(설정_코스수당!$K$2),9),"")</f>
        <v>46182</v>
      </c>
      <c r="C872" s="25"/>
      <c r="D872" s="23"/>
      <c r="E872" s="23"/>
      <c r="F872" s="26"/>
      <c r="G872" s="23"/>
      <c r="H872" s="23"/>
      <c r="I872" s="23"/>
      <c r="J872" s="27">
        <f>IF($O872="방문완료",MAX(0,IFERROR(VLOOKUP($E872,설정_코스수당!$A$6:$H$10,4,FALSE),0)-IF(OR($P872="",$P872="없음"),0,100000)),0)</f>
        <v>0</v>
      </c>
      <c r="K872" s="27">
        <f t="array" ref="K872">IF($O872="방문완료",IFERROR(INDEX(설정_코스수당!$B$15:$F$64,MATCH($G872,설정_코스수당!$A$15:$A$64,0),MATCH($E872&amp;"수당",설정_코스수당!$B$14:$F$14,0)),0),0)</f>
        <v>0</v>
      </c>
      <c r="L872" s="27">
        <f t="array" ref="L872">IF($O872="방문완료",IF($H872="",0,IFERROR(INDEX(설정_코스수당!$B$15:$F$64,MATCH($H872,설정_코스수당!$A$15:$A$64,0),MATCH($E872&amp;"수당",설정_코스수당!$B$14:$F$14,0)),0)),0)</f>
        <v>0</v>
      </c>
      <c r="M872" s="27">
        <f>IF($O872="방문완료",IFERROR(VLOOKUP($E872,설정_코스수당!$A$6:$H$10,6,FALSE),0),0)</f>
        <v>0</v>
      </c>
      <c r="N872" s="28">
        <f t="shared" si="25"/>
        <v>0</v>
      </c>
      <c r="O872" s="23"/>
      <c r="P872" s="23"/>
      <c r="Q872" s="23"/>
      <c r="R872" s="26"/>
      <c r="S872" s="23"/>
    </row>
    <row r="873" spans="1:19" ht="19.5" hidden="1" customHeight="1" outlineLevel="1">
      <c r="A873" s="29">
        <v>36</v>
      </c>
      <c r="B873" s="30">
        <f>IF(9&lt;=DAY(DATE(YEAR(설정_코스수당!$K$2),MONTH(설정_코스수당!$K$2)+1,0)),DATE(YEAR(설정_코스수당!$K$2),MONTH(설정_코스수당!$K$2),9),"")</f>
        <v>46182</v>
      </c>
      <c r="C873" s="31"/>
      <c r="D873" s="29"/>
      <c r="E873" s="29"/>
      <c r="F873" s="32"/>
      <c r="G873" s="29"/>
      <c r="H873" s="29"/>
      <c r="I873" s="29"/>
      <c r="J873" s="33">
        <f>IF($O873="방문완료",MAX(0,IFERROR(VLOOKUP($E873,설정_코스수당!$A$6:$H$10,4,FALSE),0)-IF(OR($P873="",$P873="없음"),0,100000)),0)</f>
        <v>0</v>
      </c>
      <c r="K873" s="33">
        <f t="array" ref="K873">IF($O873="방문완료",IFERROR(INDEX(설정_코스수당!$B$15:$F$64,MATCH($G873,설정_코스수당!$A$15:$A$64,0),MATCH($E873&amp;"수당",설정_코스수당!$B$14:$F$14,0)),0),0)</f>
        <v>0</v>
      </c>
      <c r="L873" s="33">
        <f t="array" ref="L873">IF($O873="방문완료",IF($H873="",0,IFERROR(INDEX(설정_코스수당!$B$15:$F$64,MATCH($H873,설정_코스수당!$A$15:$A$64,0),MATCH($E873&amp;"수당",설정_코스수당!$B$14:$F$14,0)),0)),0)</f>
        <v>0</v>
      </c>
      <c r="M873" s="33">
        <f>IF($O873="방문완료",IFERROR(VLOOKUP($E873,설정_코스수당!$A$6:$H$10,6,FALSE),0),0)</f>
        <v>0</v>
      </c>
      <c r="N873" s="34">
        <f t="shared" si="25"/>
        <v>0</v>
      </c>
      <c r="O873" s="29"/>
      <c r="P873" s="29"/>
      <c r="Q873" s="29"/>
      <c r="R873" s="32"/>
      <c r="S873" s="29"/>
    </row>
    <row r="874" spans="1:19" ht="19.5" hidden="1" customHeight="1" outlineLevel="1">
      <c r="A874" s="23">
        <v>37</v>
      </c>
      <c r="B874" s="24">
        <f>IF(9&lt;=DAY(DATE(YEAR(설정_코스수당!$K$2),MONTH(설정_코스수당!$K$2)+1,0)),DATE(YEAR(설정_코스수당!$K$2),MONTH(설정_코스수당!$K$2),9),"")</f>
        <v>46182</v>
      </c>
      <c r="C874" s="25"/>
      <c r="D874" s="23"/>
      <c r="E874" s="23"/>
      <c r="F874" s="26"/>
      <c r="G874" s="23"/>
      <c r="H874" s="23"/>
      <c r="I874" s="23"/>
      <c r="J874" s="27">
        <f>IF($O874="방문완료",MAX(0,IFERROR(VLOOKUP($E874,설정_코스수당!$A$6:$H$10,4,FALSE),0)-IF(OR($P874="",$P874="없음"),0,100000)),0)</f>
        <v>0</v>
      </c>
      <c r="K874" s="27">
        <f t="array" ref="K874">IF($O874="방문완료",IFERROR(INDEX(설정_코스수당!$B$15:$F$64,MATCH($G874,설정_코스수당!$A$15:$A$64,0),MATCH($E874&amp;"수당",설정_코스수당!$B$14:$F$14,0)),0),0)</f>
        <v>0</v>
      </c>
      <c r="L874" s="27">
        <f t="array" ref="L874">IF($O874="방문완료",IF($H874="",0,IFERROR(INDEX(설정_코스수당!$B$15:$F$64,MATCH($H874,설정_코스수당!$A$15:$A$64,0),MATCH($E874&amp;"수당",설정_코스수당!$B$14:$F$14,0)),0)),0)</f>
        <v>0</v>
      </c>
      <c r="M874" s="27">
        <f>IF($O874="방문완료",IFERROR(VLOOKUP($E874,설정_코스수당!$A$6:$H$10,6,FALSE),0),0)</f>
        <v>0</v>
      </c>
      <c r="N874" s="28">
        <f t="shared" si="25"/>
        <v>0</v>
      </c>
      <c r="O874" s="23"/>
      <c r="P874" s="23"/>
      <c r="Q874" s="23"/>
      <c r="R874" s="26"/>
      <c r="S874" s="23"/>
    </row>
    <row r="875" spans="1:19" ht="19.5" hidden="1" customHeight="1" outlineLevel="1">
      <c r="A875" s="29">
        <v>38</v>
      </c>
      <c r="B875" s="30">
        <f>IF(9&lt;=DAY(DATE(YEAR(설정_코스수당!$K$2),MONTH(설정_코스수당!$K$2)+1,0)),DATE(YEAR(설정_코스수당!$K$2),MONTH(설정_코스수당!$K$2),9),"")</f>
        <v>46182</v>
      </c>
      <c r="C875" s="31"/>
      <c r="D875" s="29"/>
      <c r="E875" s="29"/>
      <c r="F875" s="32"/>
      <c r="G875" s="29"/>
      <c r="H875" s="29"/>
      <c r="I875" s="29"/>
      <c r="J875" s="33">
        <f>IF($O875="방문완료",MAX(0,IFERROR(VLOOKUP($E875,설정_코스수당!$A$6:$H$10,4,FALSE),0)-IF(OR($P875="",$P875="없음"),0,100000)),0)</f>
        <v>0</v>
      </c>
      <c r="K875" s="33">
        <f t="array" ref="K875">IF($O875="방문완료",IFERROR(INDEX(설정_코스수당!$B$15:$F$64,MATCH($G875,설정_코스수당!$A$15:$A$64,0),MATCH($E875&amp;"수당",설정_코스수당!$B$14:$F$14,0)),0),0)</f>
        <v>0</v>
      </c>
      <c r="L875" s="33">
        <f t="array" ref="L875">IF($O875="방문완료",IF($H875="",0,IFERROR(INDEX(설정_코스수당!$B$15:$F$64,MATCH($H875,설정_코스수당!$A$15:$A$64,0),MATCH($E875&amp;"수당",설정_코스수당!$B$14:$F$14,0)),0)),0)</f>
        <v>0</v>
      </c>
      <c r="M875" s="33">
        <f>IF($O875="방문완료",IFERROR(VLOOKUP($E875,설정_코스수당!$A$6:$H$10,6,FALSE),0),0)</f>
        <v>0</v>
      </c>
      <c r="N875" s="34">
        <f t="shared" si="25"/>
        <v>0</v>
      </c>
      <c r="O875" s="29"/>
      <c r="P875" s="29"/>
      <c r="Q875" s="29"/>
      <c r="R875" s="32"/>
      <c r="S875" s="29"/>
    </row>
    <row r="876" spans="1:19" ht="19.5" hidden="1" customHeight="1" outlineLevel="1">
      <c r="A876" s="23">
        <v>39</v>
      </c>
      <c r="B876" s="24">
        <f>IF(9&lt;=DAY(DATE(YEAR(설정_코스수당!$K$2),MONTH(설정_코스수당!$K$2)+1,0)),DATE(YEAR(설정_코스수당!$K$2),MONTH(설정_코스수당!$K$2),9),"")</f>
        <v>46182</v>
      </c>
      <c r="C876" s="25"/>
      <c r="D876" s="23"/>
      <c r="E876" s="23"/>
      <c r="F876" s="26"/>
      <c r="G876" s="23"/>
      <c r="H876" s="23"/>
      <c r="I876" s="23"/>
      <c r="J876" s="27">
        <f>IF($O876="방문완료",MAX(0,IFERROR(VLOOKUP($E876,설정_코스수당!$A$6:$H$10,4,FALSE),0)-IF(OR($P876="",$P876="없음"),0,100000)),0)</f>
        <v>0</v>
      </c>
      <c r="K876" s="27">
        <f t="array" ref="K876">IF($O876="방문완료",IFERROR(INDEX(설정_코스수당!$B$15:$F$64,MATCH($G876,설정_코스수당!$A$15:$A$64,0),MATCH($E876&amp;"수당",설정_코스수당!$B$14:$F$14,0)),0),0)</f>
        <v>0</v>
      </c>
      <c r="L876" s="27">
        <f t="array" ref="L876">IF($O876="방문완료",IF($H876="",0,IFERROR(INDEX(설정_코스수당!$B$15:$F$64,MATCH($H876,설정_코스수당!$A$15:$A$64,0),MATCH($E876&amp;"수당",설정_코스수당!$B$14:$F$14,0)),0)),0)</f>
        <v>0</v>
      </c>
      <c r="M876" s="27">
        <f>IF($O876="방문완료",IFERROR(VLOOKUP($E876,설정_코스수당!$A$6:$H$10,6,FALSE),0),0)</f>
        <v>0</v>
      </c>
      <c r="N876" s="28">
        <f t="shared" si="25"/>
        <v>0</v>
      </c>
      <c r="O876" s="23"/>
      <c r="P876" s="23"/>
      <c r="Q876" s="23"/>
      <c r="R876" s="26"/>
      <c r="S876" s="23"/>
    </row>
    <row r="877" spans="1:19" ht="19.5" hidden="1" customHeight="1" outlineLevel="1">
      <c r="A877" s="29">
        <v>40</v>
      </c>
      <c r="B877" s="30">
        <f>IF(9&lt;=DAY(DATE(YEAR(설정_코스수당!$K$2),MONTH(설정_코스수당!$K$2)+1,0)),DATE(YEAR(설정_코스수당!$K$2),MONTH(설정_코스수당!$K$2),9),"")</f>
        <v>46182</v>
      </c>
      <c r="C877" s="31"/>
      <c r="D877" s="29"/>
      <c r="E877" s="29"/>
      <c r="F877" s="32"/>
      <c r="G877" s="29"/>
      <c r="H877" s="29"/>
      <c r="I877" s="29"/>
      <c r="J877" s="33">
        <f>IF($O877="방문완료",MAX(0,IFERROR(VLOOKUP($E877,설정_코스수당!$A$6:$H$10,4,FALSE),0)-IF(OR($P877="",$P877="없음"),0,100000)),0)</f>
        <v>0</v>
      </c>
      <c r="K877" s="33">
        <f t="array" ref="K877">IF($O877="방문완료",IFERROR(INDEX(설정_코스수당!$B$15:$F$64,MATCH($G877,설정_코스수당!$A$15:$A$64,0),MATCH($E877&amp;"수당",설정_코스수당!$B$14:$F$14,0)),0),0)</f>
        <v>0</v>
      </c>
      <c r="L877" s="33">
        <f t="array" ref="L877">IF($O877="방문완료",IF($H877="",0,IFERROR(INDEX(설정_코스수당!$B$15:$F$64,MATCH($H877,설정_코스수당!$A$15:$A$64,0),MATCH($E877&amp;"수당",설정_코스수당!$B$14:$F$14,0)),0)),0)</f>
        <v>0</v>
      </c>
      <c r="M877" s="33">
        <f>IF($O877="방문완료",IFERROR(VLOOKUP($E877,설정_코스수당!$A$6:$H$10,6,FALSE),0),0)</f>
        <v>0</v>
      </c>
      <c r="N877" s="34">
        <f t="shared" si="25"/>
        <v>0</v>
      </c>
      <c r="O877" s="29"/>
      <c r="P877" s="29"/>
      <c r="Q877" s="29"/>
      <c r="R877" s="32"/>
      <c r="S877" s="29"/>
    </row>
    <row r="878" spans="1:19" ht="19.5" hidden="1" customHeight="1" outlineLevel="1">
      <c r="A878" s="23">
        <v>41</v>
      </c>
      <c r="B878" s="24">
        <f>IF(9&lt;=DAY(DATE(YEAR(설정_코스수당!$K$2),MONTH(설정_코스수당!$K$2)+1,0)),DATE(YEAR(설정_코스수당!$K$2),MONTH(설정_코스수당!$K$2),9),"")</f>
        <v>46182</v>
      </c>
      <c r="C878" s="25"/>
      <c r="D878" s="23"/>
      <c r="E878" s="23"/>
      <c r="F878" s="26"/>
      <c r="G878" s="23"/>
      <c r="H878" s="23"/>
      <c r="I878" s="23"/>
      <c r="J878" s="27">
        <f>IF($O878="방문완료",MAX(0,IFERROR(VLOOKUP($E878,설정_코스수당!$A$6:$H$10,4,FALSE),0)-IF(OR($P878="",$P878="없음"),0,100000)),0)</f>
        <v>0</v>
      </c>
      <c r="K878" s="27">
        <f t="array" ref="K878">IF($O878="방문완료",IFERROR(INDEX(설정_코스수당!$B$15:$F$64,MATCH($G878,설정_코스수당!$A$15:$A$64,0),MATCH($E878&amp;"수당",설정_코스수당!$B$14:$F$14,0)),0),0)</f>
        <v>0</v>
      </c>
      <c r="L878" s="27">
        <f t="array" ref="L878">IF($O878="방문완료",IF($H878="",0,IFERROR(INDEX(설정_코스수당!$B$15:$F$64,MATCH($H878,설정_코스수당!$A$15:$A$64,0),MATCH($E878&amp;"수당",설정_코스수당!$B$14:$F$14,0)),0)),0)</f>
        <v>0</v>
      </c>
      <c r="M878" s="27">
        <f>IF($O878="방문완료",IFERROR(VLOOKUP($E878,설정_코스수당!$A$6:$H$10,6,FALSE),0),0)</f>
        <v>0</v>
      </c>
      <c r="N878" s="28">
        <f t="shared" si="25"/>
        <v>0</v>
      </c>
      <c r="O878" s="23"/>
      <c r="P878" s="23"/>
      <c r="Q878" s="23"/>
      <c r="R878" s="26"/>
      <c r="S878" s="23"/>
    </row>
    <row r="879" spans="1:19" ht="19.5" hidden="1" customHeight="1" outlineLevel="1">
      <c r="A879" s="29">
        <v>42</v>
      </c>
      <c r="B879" s="30">
        <f>IF(9&lt;=DAY(DATE(YEAR(설정_코스수당!$K$2),MONTH(설정_코스수당!$K$2)+1,0)),DATE(YEAR(설정_코스수당!$K$2),MONTH(설정_코스수당!$K$2),9),"")</f>
        <v>46182</v>
      </c>
      <c r="C879" s="31"/>
      <c r="D879" s="29"/>
      <c r="E879" s="29"/>
      <c r="F879" s="32"/>
      <c r="G879" s="29"/>
      <c r="H879" s="29"/>
      <c r="I879" s="29"/>
      <c r="J879" s="33">
        <f>IF($O879="방문완료",MAX(0,IFERROR(VLOOKUP($E879,설정_코스수당!$A$6:$H$10,4,FALSE),0)-IF(OR($P879="",$P879="없음"),0,100000)),0)</f>
        <v>0</v>
      </c>
      <c r="K879" s="33">
        <f t="array" ref="K879">IF($O879="방문완료",IFERROR(INDEX(설정_코스수당!$B$15:$F$64,MATCH($G879,설정_코스수당!$A$15:$A$64,0),MATCH($E879&amp;"수당",설정_코스수당!$B$14:$F$14,0)),0),0)</f>
        <v>0</v>
      </c>
      <c r="L879" s="33">
        <f t="array" ref="L879">IF($O879="방문완료",IF($H879="",0,IFERROR(INDEX(설정_코스수당!$B$15:$F$64,MATCH($H879,설정_코스수당!$A$15:$A$64,0),MATCH($E879&amp;"수당",설정_코스수당!$B$14:$F$14,0)),0)),0)</f>
        <v>0</v>
      </c>
      <c r="M879" s="33">
        <f>IF($O879="방문완료",IFERROR(VLOOKUP($E879,설정_코스수당!$A$6:$H$10,6,FALSE),0),0)</f>
        <v>0</v>
      </c>
      <c r="N879" s="34">
        <f t="shared" si="25"/>
        <v>0</v>
      </c>
      <c r="O879" s="29"/>
      <c r="P879" s="29"/>
      <c r="Q879" s="29"/>
      <c r="R879" s="32"/>
      <c r="S879" s="29"/>
    </row>
    <row r="880" spans="1:19" ht="19.5" hidden="1" customHeight="1" outlineLevel="1">
      <c r="A880" s="23">
        <v>43</v>
      </c>
      <c r="B880" s="24">
        <f>IF(9&lt;=DAY(DATE(YEAR(설정_코스수당!$K$2),MONTH(설정_코스수당!$K$2)+1,0)),DATE(YEAR(설정_코스수당!$K$2),MONTH(설정_코스수당!$K$2),9),"")</f>
        <v>46182</v>
      </c>
      <c r="C880" s="25"/>
      <c r="D880" s="23"/>
      <c r="E880" s="23"/>
      <c r="F880" s="26"/>
      <c r="G880" s="23"/>
      <c r="H880" s="23"/>
      <c r="I880" s="23"/>
      <c r="J880" s="27">
        <f>IF($O880="방문완료",MAX(0,IFERROR(VLOOKUP($E880,설정_코스수당!$A$6:$H$10,4,FALSE),0)-IF(OR($P880="",$P880="없음"),0,100000)),0)</f>
        <v>0</v>
      </c>
      <c r="K880" s="27">
        <f t="array" ref="K880">IF($O880="방문완료",IFERROR(INDEX(설정_코스수당!$B$15:$F$64,MATCH($G880,설정_코스수당!$A$15:$A$64,0),MATCH($E880&amp;"수당",설정_코스수당!$B$14:$F$14,0)),0),0)</f>
        <v>0</v>
      </c>
      <c r="L880" s="27">
        <f t="array" ref="L880">IF($O880="방문완료",IF($H880="",0,IFERROR(INDEX(설정_코스수당!$B$15:$F$64,MATCH($H880,설정_코스수당!$A$15:$A$64,0),MATCH($E880&amp;"수당",설정_코스수당!$B$14:$F$14,0)),0)),0)</f>
        <v>0</v>
      </c>
      <c r="M880" s="27">
        <f>IF($O880="방문완료",IFERROR(VLOOKUP($E880,설정_코스수당!$A$6:$H$10,6,FALSE),0),0)</f>
        <v>0</v>
      </c>
      <c r="N880" s="28">
        <f t="shared" si="25"/>
        <v>0</v>
      </c>
      <c r="O880" s="23"/>
      <c r="P880" s="23"/>
      <c r="Q880" s="23"/>
      <c r="R880" s="26"/>
      <c r="S880" s="23"/>
    </row>
    <row r="881" spans="1:19" ht="19.5" hidden="1" customHeight="1" outlineLevel="1">
      <c r="A881" s="29">
        <v>44</v>
      </c>
      <c r="B881" s="30">
        <f>IF(9&lt;=DAY(DATE(YEAR(설정_코스수당!$K$2),MONTH(설정_코스수당!$K$2)+1,0)),DATE(YEAR(설정_코스수당!$K$2),MONTH(설정_코스수당!$K$2),9),"")</f>
        <v>46182</v>
      </c>
      <c r="C881" s="31"/>
      <c r="D881" s="29"/>
      <c r="E881" s="29"/>
      <c r="F881" s="32"/>
      <c r="G881" s="29"/>
      <c r="H881" s="29"/>
      <c r="I881" s="29"/>
      <c r="J881" s="33">
        <f>IF($O881="방문완료",MAX(0,IFERROR(VLOOKUP($E881,설정_코스수당!$A$6:$H$10,4,FALSE),0)-IF(OR($P881="",$P881="없음"),0,100000)),0)</f>
        <v>0</v>
      </c>
      <c r="K881" s="33">
        <f t="array" ref="K881">IF($O881="방문완료",IFERROR(INDEX(설정_코스수당!$B$15:$F$64,MATCH($G881,설정_코스수당!$A$15:$A$64,0),MATCH($E881&amp;"수당",설정_코스수당!$B$14:$F$14,0)),0),0)</f>
        <v>0</v>
      </c>
      <c r="L881" s="33">
        <f t="array" ref="L881">IF($O881="방문완료",IF($H881="",0,IFERROR(INDEX(설정_코스수당!$B$15:$F$64,MATCH($H881,설정_코스수당!$A$15:$A$64,0),MATCH($E881&amp;"수당",설정_코스수당!$B$14:$F$14,0)),0)),0)</f>
        <v>0</v>
      </c>
      <c r="M881" s="33">
        <f>IF($O881="방문완료",IFERROR(VLOOKUP($E881,설정_코스수당!$A$6:$H$10,6,FALSE),0),0)</f>
        <v>0</v>
      </c>
      <c r="N881" s="34">
        <f t="shared" si="25"/>
        <v>0</v>
      </c>
      <c r="O881" s="29"/>
      <c r="P881" s="29"/>
      <c r="Q881" s="29"/>
      <c r="R881" s="32"/>
      <c r="S881" s="29"/>
    </row>
    <row r="882" spans="1:19" ht="19.5" hidden="1" customHeight="1" outlineLevel="1">
      <c r="A882" s="23">
        <v>45</v>
      </c>
      <c r="B882" s="24">
        <f>IF(9&lt;=DAY(DATE(YEAR(설정_코스수당!$K$2),MONTH(설정_코스수당!$K$2)+1,0)),DATE(YEAR(설정_코스수당!$K$2),MONTH(설정_코스수당!$K$2),9),"")</f>
        <v>46182</v>
      </c>
      <c r="C882" s="25"/>
      <c r="D882" s="23"/>
      <c r="E882" s="23"/>
      <c r="F882" s="26"/>
      <c r="G882" s="23"/>
      <c r="H882" s="23"/>
      <c r="I882" s="23"/>
      <c r="J882" s="27">
        <f>IF($O882="방문완료",MAX(0,IFERROR(VLOOKUP($E882,설정_코스수당!$A$6:$H$10,4,FALSE),0)-IF(OR($P882="",$P882="없음"),0,100000)),0)</f>
        <v>0</v>
      </c>
      <c r="K882" s="27">
        <f t="array" ref="K882">IF($O882="방문완료",IFERROR(INDEX(설정_코스수당!$B$15:$F$64,MATCH($G882,설정_코스수당!$A$15:$A$64,0),MATCH($E882&amp;"수당",설정_코스수당!$B$14:$F$14,0)),0),0)</f>
        <v>0</v>
      </c>
      <c r="L882" s="27">
        <f t="array" ref="L882">IF($O882="방문완료",IF($H882="",0,IFERROR(INDEX(설정_코스수당!$B$15:$F$64,MATCH($H882,설정_코스수당!$A$15:$A$64,0),MATCH($E882&amp;"수당",설정_코스수당!$B$14:$F$14,0)),0)),0)</f>
        <v>0</v>
      </c>
      <c r="M882" s="27">
        <f>IF($O882="방문완료",IFERROR(VLOOKUP($E882,설정_코스수당!$A$6:$H$10,6,FALSE),0),0)</f>
        <v>0</v>
      </c>
      <c r="N882" s="28">
        <f t="shared" si="25"/>
        <v>0</v>
      </c>
      <c r="O882" s="23"/>
      <c r="P882" s="23"/>
      <c r="Q882" s="23"/>
      <c r="R882" s="26"/>
      <c r="S882" s="23"/>
    </row>
    <row r="883" spans="1:19" ht="19.5" hidden="1" customHeight="1" outlineLevel="1">
      <c r="A883" s="29">
        <v>46</v>
      </c>
      <c r="B883" s="30">
        <f>IF(9&lt;=DAY(DATE(YEAR(설정_코스수당!$K$2),MONTH(설정_코스수당!$K$2)+1,0)),DATE(YEAR(설정_코스수당!$K$2),MONTH(설정_코스수당!$K$2),9),"")</f>
        <v>46182</v>
      </c>
      <c r="C883" s="31"/>
      <c r="D883" s="29"/>
      <c r="E883" s="29"/>
      <c r="F883" s="32"/>
      <c r="G883" s="29"/>
      <c r="H883" s="29"/>
      <c r="I883" s="29"/>
      <c r="J883" s="33">
        <f>IF($O883="방문완료",MAX(0,IFERROR(VLOOKUP($E883,설정_코스수당!$A$6:$H$10,4,FALSE),0)-IF(OR($P883="",$P883="없음"),0,100000)),0)</f>
        <v>0</v>
      </c>
      <c r="K883" s="33">
        <f t="array" ref="K883">IF($O883="방문완료",IFERROR(INDEX(설정_코스수당!$B$15:$F$64,MATCH($G883,설정_코스수당!$A$15:$A$64,0),MATCH($E883&amp;"수당",설정_코스수당!$B$14:$F$14,0)),0),0)</f>
        <v>0</v>
      </c>
      <c r="L883" s="33">
        <f t="array" ref="L883">IF($O883="방문완료",IF($H883="",0,IFERROR(INDEX(설정_코스수당!$B$15:$F$64,MATCH($H883,설정_코스수당!$A$15:$A$64,0),MATCH($E883&amp;"수당",설정_코스수당!$B$14:$F$14,0)),0)),0)</f>
        <v>0</v>
      </c>
      <c r="M883" s="33">
        <f>IF($O883="방문완료",IFERROR(VLOOKUP($E883,설정_코스수당!$A$6:$H$10,6,FALSE),0),0)</f>
        <v>0</v>
      </c>
      <c r="N883" s="34">
        <f t="shared" si="25"/>
        <v>0</v>
      </c>
      <c r="O883" s="29"/>
      <c r="P883" s="29"/>
      <c r="Q883" s="29"/>
      <c r="R883" s="32"/>
      <c r="S883" s="29"/>
    </row>
    <row r="884" spans="1:19" ht="19.5" hidden="1" customHeight="1" outlineLevel="1">
      <c r="A884" s="23">
        <v>47</v>
      </c>
      <c r="B884" s="24">
        <f>IF(9&lt;=DAY(DATE(YEAR(설정_코스수당!$K$2),MONTH(설정_코스수당!$K$2)+1,0)),DATE(YEAR(설정_코스수당!$K$2),MONTH(설정_코스수당!$K$2),9),"")</f>
        <v>46182</v>
      </c>
      <c r="C884" s="25"/>
      <c r="D884" s="23"/>
      <c r="E884" s="23"/>
      <c r="F884" s="26"/>
      <c r="G884" s="23"/>
      <c r="H884" s="23"/>
      <c r="I884" s="23"/>
      <c r="J884" s="27">
        <f>IF($O884="방문완료",MAX(0,IFERROR(VLOOKUP($E884,설정_코스수당!$A$6:$H$10,4,FALSE),0)-IF(OR($P884="",$P884="없음"),0,100000)),0)</f>
        <v>0</v>
      </c>
      <c r="K884" s="27">
        <f t="array" ref="K884">IF($O884="방문완료",IFERROR(INDEX(설정_코스수당!$B$15:$F$64,MATCH($G884,설정_코스수당!$A$15:$A$64,0),MATCH($E884&amp;"수당",설정_코스수당!$B$14:$F$14,0)),0),0)</f>
        <v>0</v>
      </c>
      <c r="L884" s="27">
        <f t="array" ref="L884">IF($O884="방문완료",IF($H884="",0,IFERROR(INDEX(설정_코스수당!$B$15:$F$64,MATCH($H884,설정_코스수당!$A$15:$A$64,0),MATCH($E884&amp;"수당",설정_코스수당!$B$14:$F$14,0)),0)),0)</f>
        <v>0</v>
      </c>
      <c r="M884" s="27">
        <f>IF($O884="방문완료",IFERROR(VLOOKUP($E884,설정_코스수당!$A$6:$H$10,6,FALSE),0),0)</f>
        <v>0</v>
      </c>
      <c r="N884" s="28">
        <f t="shared" si="25"/>
        <v>0</v>
      </c>
      <c r="O884" s="23"/>
      <c r="P884" s="23"/>
      <c r="Q884" s="23"/>
      <c r="R884" s="26"/>
      <c r="S884" s="23"/>
    </row>
    <row r="885" spans="1:19" ht="19.5" hidden="1" customHeight="1" outlineLevel="1">
      <c r="A885" s="29">
        <v>48</v>
      </c>
      <c r="B885" s="30">
        <f>IF(9&lt;=DAY(DATE(YEAR(설정_코스수당!$K$2),MONTH(설정_코스수당!$K$2)+1,0)),DATE(YEAR(설정_코스수당!$K$2),MONTH(설정_코스수당!$K$2),9),"")</f>
        <v>46182</v>
      </c>
      <c r="C885" s="31"/>
      <c r="D885" s="29"/>
      <c r="E885" s="29"/>
      <c r="F885" s="32"/>
      <c r="G885" s="29"/>
      <c r="H885" s="29"/>
      <c r="I885" s="29"/>
      <c r="J885" s="33">
        <f>IF($O885="방문완료",MAX(0,IFERROR(VLOOKUP($E885,설정_코스수당!$A$6:$H$10,4,FALSE),0)-IF(OR($P885="",$P885="없음"),0,100000)),0)</f>
        <v>0</v>
      </c>
      <c r="K885" s="33">
        <f t="array" ref="K885">IF($O885="방문완료",IFERROR(INDEX(설정_코스수당!$B$15:$F$64,MATCH($G885,설정_코스수당!$A$15:$A$64,0),MATCH($E885&amp;"수당",설정_코스수당!$B$14:$F$14,0)),0),0)</f>
        <v>0</v>
      </c>
      <c r="L885" s="33">
        <f t="array" ref="L885">IF($O885="방문완료",IF($H885="",0,IFERROR(INDEX(설정_코스수당!$B$15:$F$64,MATCH($H885,설정_코스수당!$A$15:$A$64,0),MATCH($E885&amp;"수당",설정_코스수당!$B$14:$F$14,0)),0)),0)</f>
        <v>0</v>
      </c>
      <c r="M885" s="33">
        <f>IF($O885="방문완료",IFERROR(VLOOKUP($E885,설정_코스수당!$A$6:$H$10,6,FALSE),0),0)</f>
        <v>0</v>
      </c>
      <c r="N885" s="34">
        <f t="shared" si="25"/>
        <v>0</v>
      </c>
      <c r="O885" s="29"/>
      <c r="P885" s="29"/>
      <c r="Q885" s="29"/>
      <c r="R885" s="32"/>
      <c r="S885" s="29"/>
    </row>
    <row r="886" spans="1:19" ht="19.5" hidden="1" customHeight="1" outlineLevel="1">
      <c r="A886" s="23">
        <v>49</v>
      </c>
      <c r="B886" s="24">
        <f>IF(9&lt;=DAY(DATE(YEAR(설정_코스수당!$K$2),MONTH(설정_코스수당!$K$2)+1,0)),DATE(YEAR(설정_코스수당!$K$2),MONTH(설정_코스수당!$K$2),9),"")</f>
        <v>46182</v>
      </c>
      <c r="C886" s="25"/>
      <c r="D886" s="23"/>
      <c r="E886" s="23"/>
      <c r="F886" s="26"/>
      <c r="G886" s="23"/>
      <c r="H886" s="23"/>
      <c r="I886" s="23"/>
      <c r="J886" s="27">
        <f>IF($O886="방문완료",MAX(0,IFERROR(VLOOKUP($E886,설정_코스수당!$A$6:$H$10,4,FALSE),0)-IF(OR($P886="",$P886="없음"),0,100000)),0)</f>
        <v>0</v>
      </c>
      <c r="K886" s="27">
        <f t="array" ref="K886">IF($O886="방문완료",IFERROR(INDEX(설정_코스수당!$B$15:$F$64,MATCH($G886,설정_코스수당!$A$15:$A$64,0),MATCH($E886&amp;"수당",설정_코스수당!$B$14:$F$14,0)),0),0)</f>
        <v>0</v>
      </c>
      <c r="L886" s="27">
        <f t="array" ref="L886">IF($O886="방문완료",IF($H886="",0,IFERROR(INDEX(설정_코스수당!$B$15:$F$64,MATCH($H886,설정_코스수당!$A$15:$A$64,0),MATCH($E886&amp;"수당",설정_코스수당!$B$14:$F$14,0)),0)),0)</f>
        <v>0</v>
      </c>
      <c r="M886" s="27">
        <f>IF($O886="방문완료",IFERROR(VLOOKUP($E886,설정_코스수당!$A$6:$H$10,6,FALSE),0),0)</f>
        <v>0</v>
      </c>
      <c r="N886" s="28">
        <f t="shared" si="25"/>
        <v>0</v>
      </c>
      <c r="O886" s="23"/>
      <c r="P886" s="23"/>
      <c r="Q886" s="23"/>
      <c r="R886" s="26"/>
      <c r="S886" s="23"/>
    </row>
    <row r="887" spans="1:19" ht="19.5" hidden="1" customHeight="1" outlineLevel="1">
      <c r="A887" s="29">
        <v>50</v>
      </c>
      <c r="B887" s="30">
        <f>IF(9&lt;=DAY(DATE(YEAR(설정_코스수당!$K$2),MONTH(설정_코스수당!$K$2)+1,0)),DATE(YEAR(설정_코스수당!$K$2),MONTH(설정_코스수당!$K$2),9),"")</f>
        <v>46182</v>
      </c>
      <c r="C887" s="31"/>
      <c r="D887" s="29"/>
      <c r="E887" s="29"/>
      <c r="F887" s="32"/>
      <c r="G887" s="29"/>
      <c r="H887" s="29"/>
      <c r="I887" s="29"/>
      <c r="J887" s="33">
        <f>IF($O887="방문완료",MAX(0,IFERROR(VLOOKUP($E887,설정_코스수당!$A$6:$H$10,4,FALSE),0)-IF(OR($P887="",$P887="없음"),0,100000)),0)</f>
        <v>0</v>
      </c>
      <c r="K887" s="33">
        <f t="array" ref="K887">IF($O887="방문완료",IFERROR(INDEX(설정_코스수당!$B$15:$F$64,MATCH($G887,설정_코스수당!$A$15:$A$64,0),MATCH($E887&amp;"수당",설정_코스수당!$B$14:$F$14,0)),0),0)</f>
        <v>0</v>
      </c>
      <c r="L887" s="33">
        <f t="array" ref="L887">IF($O887="방문완료",IF($H887="",0,IFERROR(INDEX(설정_코스수당!$B$15:$F$64,MATCH($H887,설정_코스수당!$A$15:$A$64,0),MATCH($E887&amp;"수당",설정_코스수당!$B$14:$F$14,0)),0)),0)</f>
        <v>0</v>
      </c>
      <c r="M887" s="33">
        <f>IF($O887="방문완료",IFERROR(VLOOKUP($E887,설정_코스수당!$A$6:$H$10,6,FALSE),0),0)</f>
        <v>0</v>
      </c>
      <c r="N887" s="34">
        <f t="shared" si="25"/>
        <v>0</v>
      </c>
      <c r="O887" s="29"/>
      <c r="P887" s="29"/>
      <c r="Q887" s="29"/>
      <c r="R887" s="32"/>
      <c r="S887" s="29"/>
    </row>
    <row r="888" spans="1:19" ht="19.5" hidden="1" customHeight="1" outlineLevel="1">
      <c r="A888" s="23">
        <v>51</v>
      </c>
      <c r="B888" s="24">
        <f>IF(9&lt;=DAY(DATE(YEAR(설정_코스수당!$K$2),MONTH(설정_코스수당!$K$2)+1,0)),DATE(YEAR(설정_코스수당!$K$2),MONTH(설정_코스수당!$K$2),9),"")</f>
        <v>46182</v>
      </c>
      <c r="C888" s="25"/>
      <c r="D888" s="23"/>
      <c r="E888" s="23"/>
      <c r="F888" s="26"/>
      <c r="G888" s="23"/>
      <c r="H888" s="23"/>
      <c r="I888" s="23"/>
      <c r="J888" s="27">
        <f>IF($O888="방문완료",MAX(0,IFERROR(VLOOKUP($E888,설정_코스수당!$A$6:$H$10,4,FALSE),0)-IF(OR($P888="",$P888="없음"),0,100000)),0)</f>
        <v>0</v>
      </c>
      <c r="K888" s="27">
        <f t="array" ref="K888">IF($O888="방문완료",IFERROR(INDEX(설정_코스수당!$B$15:$F$64,MATCH($G888,설정_코스수당!$A$15:$A$64,0),MATCH($E888&amp;"수당",설정_코스수당!$B$14:$F$14,0)),0),0)</f>
        <v>0</v>
      </c>
      <c r="L888" s="27">
        <f t="array" ref="L888">IF($O888="방문완료",IF($H888="",0,IFERROR(INDEX(설정_코스수당!$B$15:$F$64,MATCH($H888,설정_코스수당!$A$15:$A$64,0),MATCH($E888&amp;"수당",설정_코스수당!$B$14:$F$14,0)),0)),0)</f>
        <v>0</v>
      </c>
      <c r="M888" s="27">
        <f>IF($O888="방문완료",IFERROR(VLOOKUP($E888,설정_코스수당!$A$6:$H$10,6,FALSE),0),0)</f>
        <v>0</v>
      </c>
      <c r="N888" s="28">
        <f t="shared" si="25"/>
        <v>0</v>
      </c>
      <c r="O888" s="23"/>
      <c r="P888" s="23"/>
      <c r="Q888" s="23"/>
      <c r="R888" s="26"/>
      <c r="S888" s="23"/>
    </row>
    <row r="889" spans="1:19" ht="19.5" hidden="1" customHeight="1" outlineLevel="1">
      <c r="A889" s="29">
        <v>52</v>
      </c>
      <c r="B889" s="30">
        <f>IF(9&lt;=DAY(DATE(YEAR(설정_코스수당!$K$2),MONTH(설정_코스수당!$K$2)+1,0)),DATE(YEAR(설정_코스수당!$K$2),MONTH(설정_코스수당!$K$2),9),"")</f>
        <v>46182</v>
      </c>
      <c r="C889" s="31"/>
      <c r="D889" s="29"/>
      <c r="E889" s="29"/>
      <c r="F889" s="32"/>
      <c r="G889" s="29"/>
      <c r="H889" s="29"/>
      <c r="I889" s="29"/>
      <c r="J889" s="33">
        <f>IF($O889="방문완료",MAX(0,IFERROR(VLOOKUP($E889,설정_코스수당!$A$6:$H$10,4,FALSE),0)-IF(OR($P889="",$P889="없음"),0,100000)),0)</f>
        <v>0</v>
      </c>
      <c r="K889" s="33">
        <f t="array" ref="K889">IF($O889="방문완료",IFERROR(INDEX(설정_코스수당!$B$15:$F$64,MATCH($G889,설정_코스수당!$A$15:$A$64,0),MATCH($E889&amp;"수당",설정_코스수당!$B$14:$F$14,0)),0),0)</f>
        <v>0</v>
      </c>
      <c r="L889" s="33">
        <f t="array" ref="L889">IF($O889="방문완료",IF($H889="",0,IFERROR(INDEX(설정_코스수당!$B$15:$F$64,MATCH($H889,설정_코스수당!$A$15:$A$64,0),MATCH($E889&amp;"수당",설정_코스수당!$B$14:$F$14,0)),0)),0)</f>
        <v>0</v>
      </c>
      <c r="M889" s="33">
        <f>IF($O889="방문완료",IFERROR(VLOOKUP($E889,설정_코스수당!$A$6:$H$10,6,FALSE),0),0)</f>
        <v>0</v>
      </c>
      <c r="N889" s="34">
        <f t="shared" si="25"/>
        <v>0</v>
      </c>
      <c r="O889" s="29"/>
      <c r="P889" s="29"/>
      <c r="Q889" s="29"/>
      <c r="R889" s="32"/>
      <c r="S889" s="29"/>
    </row>
    <row r="890" spans="1:19" ht="19.5" hidden="1" customHeight="1" outlineLevel="1">
      <c r="A890" s="23">
        <v>53</v>
      </c>
      <c r="B890" s="24">
        <f>IF(9&lt;=DAY(DATE(YEAR(설정_코스수당!$K$2),MONTH(설정_코스수당!$K$2)+1,0)),DATE(YEAR(설정_코스수당!$K$2),MONTH(설정_코스수당!$K$2),9),"")</f>
        <v>46182</v>
      </c>
      <c r="C890" s="25"/>
      <c r="D890" s="23"/>
      <c r="E890" s="23"/>
      <c r="F890" s="26"/>
      <c r="G890" s="23"/>
      <c r="H890" s="23"/>
      <c r="I890" s="23"/>
      <c r="J890" s="27">
        <f>IF($O890="방문완료",MAX(0,IFERROR(VLOOKUP($E890,설정_코스수당!$A$6:$H$10,4,FALSE),0)-IF(OR($P890="",$P890="없음"),0,100000)),0)</f>
        <v>0</v>
      </c>
      <c r="K890" s="27">
        <f t="array" ref="K890">IF($O890="방문완료",IFERROR(INDEX(설정_코스수당!$B$15:$F$64,MATCH($G890,설정_코스수당!$A$15:$A$64,0),MATCH($E890&amp;"수당",설정_코스수당!$B$14:$F$14,0)),0),0)</f>
        <v>0</v>
      </c>
      <c r="L890" s="27">
        <f t="array" ref="L890">IF($O890="방문완료",IF($H890="",0,IFERROR(INDEX(설정_코스수당!$B$15:$F$64,MATCH($H890,설정_코스수당!$A$15:$A$64,0),MATCH($E890&amp;"수당",설정_코스수당!$B$14:$F$14,0)),0)),0)</f>
        <v>0</v>
      </c>
      <c r="M890" s="27">
        <f>IF($O890="방문완료",IFERROR(VLOOKUP($E890,설정_코스수당!$A$6:$H$10,6,FALSE),0),0)</f>
        <v>0</v>
      </c>
      <c r="N890" s="28">
        <f t="shared" si="25"/>
        <v>0</v>
      </c>
      <c r="O890" s="23"/>
      <c r="P890" s="23"/>
      <c r="Q890" s="23"/>
      <c r="R890" s="26"/>
      <c r="S890" s="23"/>
    </row>
    <row r="891" spans="1:19" ht="19.5" hidden="1" customHeight="1" outlineLevel="1">
      <c r="A891" s="29">
        <v>54</v>
      </c>
      <c r="B891" s="30">
        <f>IF(9&lt;=DAY(DATE(YEAR(설정_코스수당!$K$2),MONTH(설정_코스수당!$K$2)+1,0)),DATE(YEAR(설정_코스수당!$K$2),MONTH(설정_코스수당!$K$2),9),"")</f>
        <v>46182</v>
      </c>
      <c r="C891" s="31"/>
      <c r="D891" s="29"/>
      <c r="E891" s="29"/>
      <c r="F891" s="32"/>
      <c r="G891" s="29"/>
      <c r="H891" s="29"/>
      <c r="I891" s="29"/>
      <c r="J891" s="33">
        <f>IF($O891="방문완료",MAX(0,IFERROR(VLOOKUP($E891,설정_코스수당!$A$6:$H$10,4,FALSE),0)-IF(OR($P891="",$P891="없음"),0,100000)),0)</f>
        <v>0</v>
      </c>
      <c r="K891" s="33">
        <f t="array" ref="K891">IF($O891="방문완료",IFERROR(INDEX(설정_코스수당!$B$15:$F$64,MATCH($G891,설정_코스수당!$A$15:$A$64,0),MATCH($E891&amp;"수당",설정_코스수당!$B$14:$F$14,0)),0),0)</f>
        <v>0</v>
      </c>
      <c r="L891" s="33">
        <f t="array" ref="L891">IF($O891="방문완료",IF($H891="",0,IFERROR(INDEX(설정_코스수당!$B$15:$F$64,MATCH($H891,설정_코스수당!$A$15:$A$64,0),MATCH($E891&amp;"수당",설정_코스수당!$B$14:$F$14,0)),0)),0)</f>
        <v>0</v>
      </c>
      <c r="M891" s="33">
        <f>IF($O891="방문완료",IFERROR(VLOOKUP($E891,설정_코스수당!$A$6:$H$10,6,FALSE),0),0)</f>
        <v>0</v>
      </c>
      <c r="N891" s="34">
        <f t="shared" si="25"/>
        <v>0</v>
      </c>
      <c r="O891" s="29"/>
      <c r="P891" s="29"/>
      <c r="Q891" s="29"/>
      <c r="R891" s="32"/>
      <c r="S891" s="29"/>
    </row>
    <row r="892" spans="1:19" ht="19.5" hidden="1" customHeight="1" outlineLevel="1">
      <c r="A892" s="23">
        <v>55</v>
      </c>
      <c r="B892" s="24">
        <f>IF(9&lt;=DAY(DATE(YEAR(설정_코스수당!$K$2),MONTH(설정_코스수당!$K$2)+1,0)),DATE(YEAR(설정_코스수당!$K$2),MONTH(설정_코스수당!$K$2),9),"")</f>
        <v>46182</v>
      </c>
      <c r="C892" s="25"/>
      <c r="D892" s="23"/>
      <c r="E892" s="23"/>
      <c r="F892" s="26"/>
      <c r="G892" s="23"/>
      <c r="H892" s="23"/>
      <c r="I892" s="23"/>
      <c r="J892" s="27">
        <f>IF($O892="방문완료",MAX(0,IFERROR(VLOOKUP($E892,설정_코스수당!$A$6:$H$10,4,FALSE),0)-IF(OR($P892="",$P892="없음"),0,100000)),0)</f>
        <v>0</v>
      </c>
      <c r="K892" s="27">
        <f t="array" ref="K892">IF($O892="방문완료",IFERROR(INDEX(설정_코스수당!$B$15:$F$64,MATCH($G892,설정_코스수당!$A$15:$A$64,0),MATCH($E892&amp;"수당",설정_코스수당!$B$14:$F$14,0)),0),0)</f>
        <v>0</v>
      </c>
      <c r="L892" s="27">
        <f t="array" ref="L892">IF($O892="방문완료",IF($H892="",0,IFERROR(INDEX(설정_코스수당!$B$15:$F$64,MATCH($H892,설정_코스수당!$A$15:$A$64,0),MATCH($E892&amp;"수당",설정_코스수당!$B$14:$F$14,0)),0)),0)</f>
        <v>0</v>
      </c>
      <c r="M892" s="27">
        <f>IF($O892="방문완료",IFERROR(VLOOKUP($E892,설정_코스수당!$A$6:$H$10,6,FALSE),0),0)</f>
        <v>0</v>
      </c>
      <c r="N892" s="28">
        <f t="shared" si="25"/>
        <v>0</v>
      </c>
      <c r="O892" s="23"/>
      <c r="P892" s="23"/>
      <c r="Q892" s="23"/>
      <c r="R892" s="26"/>
      <c r="S892" s="23"/>
    </row>
    <row r="893" spans="1:19" ht="19.5" hidden="1" customHeight="1" outlineLevel="1">
      <c r="A893" s="29">
        <v>56</v>
      </c>
      <c r="B893" s="30">
        <f>IF(9&lt;=DAY(DATE(YEAR(설정_코스수당!$K$2),MONTH(설정_코스수당!$K$2)+1,0)),DATE(YEAR(설정_코스수당!$K$2),MONTH(설정_코스수당!$K$2),9),"")</f>
        <v>46182</v>
      </c>
      <c r="C893" s="31"/>
      <c r="D893" s="29"/>
      <c r="E893" s="29"/>
      <c r="F893" s="32"/>
      <c r="G893" s="29"/>
      <c r="H893" s="29"/>
      <c r="I893" s="29"/>
      <c r="J893" s="33">
        <f>IF($O893="방문완료",MAX(0,IFERROR(VLOOKUP($E893,설정_코스수당!$A$6:$H$10,4,FALSE),0)-IF(OR($P893="",$P893="없음"),0,100000)),0)</f>
        <v>0</v>
      </c>
      <c r="K893" s="33">
        <f t="array" ref="K893">IF($O893="방문완료",IFERROR(INDEX(설정_코스수당!$B$15:$F$64,MATCH($G893,설정_코스수당!$A$15:$A$64,0),MATCH($E893&amp;"수당",설정_코스수당!$B$14:$F$14,0)),0),0)</f>
        <v>0</v>
      </c>
      <c r="L893" s="33">
        <f t="array" ref="L893">IF($O893="방문완료",IF($H893="",0,IFERROR(INDEX(설정_코스수당!$B$15:$F$64,MATCH($H893,설정_코스수당!$A$15:$A$64,0),MATCH($E893&amp;"수당",설정_코스수당!$B$14:$F$14,0)),0)),0)</f>
        <v>0</v>
      </c>
      <c r="M893" s="33">
        <f>IF($O893="방문완료",IFERROR(VLOOKUP($E893,설정_코스수당!$A$6:$H$10,6,FALSE),0),0)</f>
        <v>0</v>
      </c>
      <c r="N893" s="34">
        <f t="shared" si="25"/>
        <v>0</v>
      </c>
      <c r="O893" s="29"/>
      <c r="P893" s="29"/>
      <c r="Q893" s="29"/>
      <c r="R893" s="32"/>
      <c r="S893" s="29"/>
    </row>
    <row r="894" spans="1:19" ht="19.5" hidden="1" customHeight="1" outlineLevel="1">
      <c r="A894" s="23">
        <v>57</v>
      </c>
      <c r="B894" s="24">
        <f>IF(9&lt;=DAY(DATE(YEAR(설정_코스수당!$K$2),MONTH(설정_코스수당!$K$2)+1,0)),DATE(YEAR(설정_코스수당!$K$2),MONTH(설정_코스수당!$K$2),9),"")</f>
        <v>46182</v>
      </c>
      <c r="C894" s="25"/>
      <c r="D894" s="23"/>
      <c r="E894" s="23"/>
      <c r="F894" s="26"/>
      <c r="G894" s="23"/>
      <c r="H894" s="23"/>
      <c r="I894" s="23"/>
      <c r="J894" s="27">
        <f>IF($O894="방문완료",MAX(0,IFERROR(VLOOKUP($E894,설정_코스수당!$A$6:$H$10,4,FALSE),0)-IF(OR($P894="",$P894="없음"),0,100000)),0)</f>
        <v>0</v>
      </c>
      <c r="K894" s="27">
        <f t="array" ref="K894">IF($O894="방문완료",IFERROR(INDEX(설정_코스수당!$B$15:$F$64,MATCH($G894,설정_코스수당!$A$15:$A$64,0),MATCH($E894&amp;"수당",설정_코스수당!$B$14:$F$14,0)),0),0)</f>
        <v>0</v>
      </c>
      <c r="L894" s="27">
        <f t="array" ref="L894">IF($O894="방문완료",IF($H894="",0,IFERROR(INDEX(설정_코스수당!$B$15:$F$64,MATCH($H894,설정_코스수당!$A$15:$A$64,0),MATCH($E894&amp;"수당",설정_코스수당!$B$14:$F$14,0)),0)),0)</f>
        <v>0</v>
      </c>
      <c r="M894" s="27">
        <f>IF($O894="방문완료",IFERROR(VLOOKUP($E894,설정_코스수당!$A$6:$H$10,6,FALSE),0),0)</f>
        <v>0</v>
      </c>
      <c r="N894" s="28">
        <f t="shared" si="25"/>
        <v>0</v>
      </c>
      <c r="O894" s="23"/>
      <c r="P894" s="23"/>
      <c r="Q894" s="23"/>
      <c r="R894" s="26"/>
      <c r="S894" s="23"/>
    </row>
    <row r="895" spans="1:19" ht="19.5" hidden="1" customHeight="1" outlineLevel="1">
      <c r="A895" s="29">
        <v>58</v>
      </c>
      <c r="B895" s="30">
        <f>IF(9&lt;=DAY(DATE(YEAR(설정_코스수당!$K$2),MONTH(설정_코스수당!$K$2)+1,0)),DATE(YEAR(설정_코스수당!$K$2),MONTH(설정_코스수당!$K$2),9),"")</f>
        <v>46182</v>
      </c>
      <c r="C895" s="31"/>
      <c r="D895" s="29"/>
      <c r="E895" s="29"/>
      <c r="F895" s="32"/>
      <c r="G895" s="29"/>
      <c r="H895" s="29"/>
      <c r="I895" s="29"/>
      <c r="J895" s="33">
        <f>IF($O895="방문완료",MAX(0,IFERROR(VLOOKUP($E895,설정_코스수당!$A$6:$H$10,4,FALSE),0)-IF(OR($P895="",$P895="없음"),0,100000)),0)</f>
        <v>0</v>
      </c>
      <c r="K895" s="33">
        <f t="array" ref="K895">IF($O895="방문완료",IFERROR(INDEX(설정_코스수당!$B$15:$F$64,MATCH($G895,설정_코스수당!$A$15:$A$64,0),MATCH($E895&amp;"수당",설정_코스수당!$B$14:$F$14,0)),0),0)</f>
        <v>0</v>
      </c>
      <c r="L895" s="33">
        <f t="array" ref="L895">IF($O895="방문완료",IF($H895="",0,IFERROR(INDEX(설정_코스수당!$B$15:$F$64,MATCH($H895,설정_코스수당!$A$15:$A$64,0),MATCH($E895&amp;"수당",설정_코스수당!$B$14:$F$14,0)),0)),0)</f>
        <v>0</v>
      </c>
      <c r="M895" s="33">
        <f>IF($O895="방문완료",IFERROR(VLOOKUP($E895,설정_코스수당!$A$6:$H$10,6,FALSE),0),0)</f>
        <v>0</v>
      </c>
      <c r="N895" s="34">
        <f t="shared" si="25"/>
        <v>0</v>
      </c>
      <c r="O895" s="29"/>
      <c r="P895" s="29"/>
      <c r="Q895" s="29"/>
      <c r="R895" s="32"/>
      <c r="S895" s="29"/>
    </row>
    <row r="896" spans="1:19" ht="19.5" hidden="1" customHeight="1" outlineLevel="1">
      <c r="A896" s="23">
        <v>59</v>
      </c>
      <c r="B896" s="24">
        <f>IF(9&lt;=DAY(DATE(YEAR(설정_코스수당!$K$2),MONTH(설정_코스수당!$K$2)+1,0)),DATE(YEAR(설정_코스수당!$K$2),MONTH(설정_코스수당!$K$2),9),"")</f>
        <v>46182</v>
      </c>
      <c r="C896" s="25"/>
      <c r="D896" s="23"/>
      <c r="E896" s="23"/>
      <c r="F896" s="26"/>
      <c r="G896" s="23"/>
      <c r="H896" s="23"/>
      <c r="I896" s="23"/>
      <c r="J896" s="27">
        <f>IF($O896="방문완료",MAX(0,IFERROR(VLOOKUP($E896,설정_코스수당!$A$6:$H$10,4,FALSE),0)-IF(OR($P896="",$P896="없음"),0,100000)),0)</f>
        <v>0</v>
      </c>
      <c r="K896" s="27">
        <f t="array" ref="K896">IF($O896="방문완료",IFERROR(INDEX(설정_코스수당!$B$15:$F$64,MATCH($G896,설정_코스수당!$A$15:$A$64,0),MATCH($E896&amp;"수당",설정_코스수당!$B$14:$F$14,0)),0),0)</f>
        <v>0</v>
      </c>
      <c r="L896" s="27">
        <f t="array" ref="L896">IF($O896="방문완료",IF($H896="",0,IFERROR(INDEX(설정_코스수당!$B$15:$F$64,MATCH($H896,설정_코스수당!$A$15:$A$64,0),MATCH($E896&amp;"수당",설정_코스수당!$B$14:$F$14,0)),0)),0)</f>
        <v>0</v>
      </c>
      <c r="M896" s="27">
        <f>IF($O896="방문완료",IFERROR(VLOOKUP($E896,설정_코스수당!$A$6:$H$10,6,FALSE),0),0)</f>
        <v>0</v>
      </c>
      <c r="N896" s="28">
        <f t="shared" si="25"/>
        <v>0</v>
      </c>
      <c r="O896" s="23"/>
      <c r="P896" s="23"/>
      <c r="Q896" s="23"/>
      <c r="R896" s="26"/>
      <c r="S896" s="23"/>
    </row>
    <row r="897" spans="1:19" ht="19.5" hidden="1" customHeight="1" outlineLevel="1">
      <c r="A897" s="29">
        <v>60</v>
      </c>
      <c r="B897" s="30">
        <f>IF(9&lt;=DAY(DATE(YEAR(설정_코스수당!$K$2),MONTH(설정_코스수당!$K$2)+1,0)),DATE(YEAR(설정_코스수당!$K$2),MONTH(설정_코스수당!$K$2),9),"")</f>
        <v>46182</v>
      </c>
      <c r="C897" s="31"/>
      <c r="D897" s="29"/>
      <c r="E897" s="29"/>
      <c r="F897" s="32"/>
      <c r="G897" s="29"/>
      <c r="H897" s="29"/>
      <c r="I897" s="29"/>
      <c r="J897" s="33">
        <f>IF($O897="방문완료",MAX(0,IFERROR(VLOOKUP($E897,설정_코스수당!$A$6:$H$10,4,FALSE),0)-IF(OR($P897="",$P897="없음"),0,100000)),0)</f>
        <v>0</v>
      </c>
      <c r="K897" s="33">
        <f t="array" ref="K897">IF($O897="방문완료",IFERROR(INDEX(설정_코스수당!$B$15:$F$64,MATCH($G897,설정_코스수당!$A$15:$A$64,0),MATCH($E897&amp;"수당",설정_코스수당!$B$14:$F$14,0)),0),0)</f>
        <v>0</v>
      </c>
      <c r="L897" s="33">
        <f t="array" ref="L897">IF($O897="방문완료",IF($H897="",0,IFERROR(INDEX(설정_코스수당!$B$15:$F$64,MATCH($H897,설정_코스수당!$A$15:$A$64,0),MATCH($E897&amp;"수당",설정_코스수당!$B$14:$F$14,0)),0)),0)</f>
        <v>0</v>
      </c>
      <c r="M897" s="33">
        <f>IF($O897="방문완료",IFERROR(VLOOKUP($E897,설정_코스수당!$A$6:$H$10,6,FALSE),0),0)</f>
        <v>0</v>
      </c>
      <c r="N897" s="34">
        <f t="shared" si="25"/>
        <v>0</v>
      </c>
      <c r="O897" s="29"/>
      <c r="P897" s="29"/>
      <c r="Q897" s="29"/>
      <c r="R897" s="32"/>
      <c r="S897" s="29"/>
    </row>
    <row r="898" spans="1:19" ht="19.5" hidden="1" customHeight="1" outlineLevel="1">
      <c r="A898" s="23">
        <v>61</v>
      </c>
      <c r="B898" s="24">
        <f>IF(9&lt;=DAY(DATE(YEAR(설정_코스수당!$K$2),MONTH(설정_코스수당!$K$2)+1,0)),DATE(YEAR(설정_코스수당!$K$2),MONTH(설정_코스수당!$K$2),9),"")</f>
        <v>46182</v>
      </c>
      <c r="C898" s="25"/>
      <c r="D898" s="23"/>
      <c r="E898" s="23"/>
      <c r="F898" s="26"/>
      <c r="G898" s="23"/>
      <c r="H898" s="23"/>
      <c r="I898" s="23"/>
      <c r="J898" s="27">
        <f>IF($O898="방문완료",MAX(0,IFERROR(VLOOKUP($E898,설정_코스수당!$A$6:$H$10,4,FALSE),0)-IF(OR($P898="",$P898="없음"),0,100000)),0)</f>
        <v>0</v>
      </c>
      <c r="K898" s="27">
        <f t="array" ref="K898">IF($O898="방문완료",IFERROR(INDEX(설정_코스수당!$B$15:$F$64,MATCH($G898,설정_코스수당!$A$15:$A$64,0),MATCH($E898&amp;"수당",설정_코스수당!$B$14:$F$14,0)),0),0)</f>
        <v>0</v>
      </c>
      <c r="L898" s="27">
        <f t="array" ref="L898">IF($O898="방문완료",IF($H898="",0,IFERROR(INDEX(설정_코스수당!$B$15:$F$64,MATCH($H898,설정_코스수당!$A$15:$A$64,0),MATCH($E898&amp;"수당",설정_코스수당!$B$14:$F$14,0)),0)),0)</f>
        <v>0</v>
      </c>
      <c r="M898" s="27">
        <f>IF($O898="방문완료",IFERROR(VLOOKUP($E898,설정_코스수당!$A$6:$H$10,6,FALSE),0),0)</f>
        <v>0</v>
      </c>
      <c r="N898" s="28">
        <f t="shared" si="25"/>
        <v>0</v>
      </c>
      <c r="O898" s="23"/>
      <c r="P898" s="23"/>
      <c r="Q898" s="23"/>
      <c r="R898" s="26"/>
      <c r="S898" s="23"/>
    </row>
    <row r="899" spans="1:19" ht="19.5" hidden="1" customHeight="1" outlineLevel="1">
      <c r="A899" s="29">
        <v>62</v>
      </c>
      <c r="B899" s="30">
        <f>IF(9&lt;=DAY(DATE(YEAR(설정_코스수당!$K$2),MONTH(설정_코스수당!$K$2)+1,0)),DATE(YEAR(설정_코스수당!$K$2),MONTH(설정_코스수당!$K$2),9),"")</f>
        <v>46182</v>
      </c>
      <c r="C899" s="31"/>
      <c r="D899" s="29"/>
      <c r="E899" s="29"/>
      <c r="F899" s="32"/>
      <c r="G899" s="29"/>
      <c r="H899" s="29"/>
      <c r="I899" s="29"/>
      <c r="J899" s="33">
        <f>IF($O899="방문완료",MAX(0,IFERROR(VLOOKUP($E899,설정_코스수당!$A$6:$H$10,4,FALSE),0)-IF(OR($P899="",$P899="없음"),0,100000)),0)</f>
        <v>0</v>
      </c>
      <c r="K899" s="33">
        <f t="array" ref="K899">IF($O899="방문완료",IFERROR(INDEX(설정_코스수당!$B$15:$F$64,MATCH($G899,설정_코스수당!$A$15:$A$64,0),MATCH($E899&amp;"수당",설정_코스수당!$B$14:$F$14,0)),0),0)</f>
        <v>0</v>
      </c>
      <c r="L899" s="33">
        <f t="array" ref="L899">IF($O899="방문완료",IF($H899="",0,IFERROR(INDEX(설정_코스수당!$B$15:$F$64,MATCH($H899,설정_코스수당!$A$15:$A$64,0),MATCH($E899&amp;"수당",설정_코스수당!$B$14:$F$14,0)),0)),0)</f>
        <v>0</v>
      </c>
      <c r="M899" s="33">
        <f>IF($O899="방문완료",IFERROR(VLOOKUP($E899,설정_코스수당!$A$6:$H$10,6,FALSE),0),0)</f>
        <v>0</v>
      </c>
      <c r="N899" s="34">
        <f t="shared" si="25"/>
        <v>0</v>
      </c>
      <c r="O899" s="29"/>
      <c r="P899" s="29"/>
      <c r="Q899" s="29"/>
      <c r="R899" s="32"/>
      <c r="S899" s="29"/>
    </row>
    <row r="900" spans="1:19" ht="19.5" hidden="1" customHeight="1" outlineLevel="1">
      <c r="A900" s="23">
        <v>63</v>
      </c>
      <c r="B900" s="24">
        <f>IF(9&lt;=DAY(DATE(YEAR(설정_코스수당!$K$2),MONTH(설정_코스수당!$K$2)+1,0)),DATE(YEAR(설정_코스수당!$K$2),MONTH(설정_코스수당!$K$2),9),"")</f>
        <v>46182</v>
      </c>
      <c r="C900" s="25"/>
      <c r="D900" s="23"/>
      <c r="E900" s="23"/>
      <c r="F900" s="26"/>
      <c r="G900" s="23"/>
      <c r="H900" s="23"/>
      <c r="I900" s="23"/>
      <c r="J900" s="27">
        <f>IF($O900="방문완료",MAX(0,IFERROR(VLOOKUP($E900,설정_코스수당!$A$6:$H$10,4,FALSE),0)-IF(OR($P900="",$P900="없음"),0,100000)),0)</f>
        <v>0</v>
      </c>
      <c r="K900" s="27">
        <f t="array" ref="K900">IF($O900="방문완료",IFERROR(INDEX(설정_코스수당!$B$15:$F$64,MATCH($G900,설정_코스수당!$A$15:$A$64,0),MATCH($E900&amp;"수당",설정_코스수당!$B$14:$F$14,0)),0),0)</f>
        <v>0</v>
      </c>
      <c r="L900" s="27">
        <f t="array" ref="L900">IF($O900="방문완료",IF($H900="",0,IFERROR(INDEX(설정_코스수당!$B$15:$F$64,MATCH($H900,설정_코스수당!$A$15:$A$64,0),MATCH($E900&amp;"수당",설정_코스수당!$B$14:$F$14,0)),0)),0)</f>
        <v>0</v>
      </c>
      <c r="M900" s="27">
        <f>IF($O900="방문완료",IFERROR(VLOOKUP($E900,설정_코스수당!$A$6:$H$10,6,FALSE),0),0)</f>
        <v>0</v>
      </c>
      <c r="N900" s="28">
        <f t="shared" si="25"/>
        <v>0</v>
      </c>
      <c r="O900" s="23"/>
      <c r="P900" s="23"/>
      <c r="Q900" s="23"/>
      <c r="R900" s="26"/>
      <c r="S900" s="23"/>
    </row>
    <row r="901" spans="1:19" ht="19.5" hidden="1" customHeight="1" outlineLevel="1">
      <c r="A901" s="29">
        <v>64</v>
      </c>
      <c r="B901" s="30">
        <f>IF(9&lt;=DAY(DATE(YEAR(설정_코스수당!$K$2),MONTH(설정_코스수당!$K$2)+1,0)),DATE(YEAR(설정_코스수당!$K$2),MONTH(설정_코스수당!$K$2),9),"")</f>
        <v>46182</v>
      </c>
      <c r="C901" s="31"/>
      <c r="D901" s="29"/>
      <c r="E901" s="29"/>
      <c r="F901" s="32"/>
      <c r="G901" s="29"/>
      <c r="H901" s="29"/>
      <c r="I901" s="29"/>
      <c r="J901" s="33">
        <f>IF($O901="방문완료",MAX(0,IFERROR(VLOOKUP($E901,설정_코스수당!$A$6:$H$10,4,FALSE),0)-IF(OR($P901="",$P901="없음"),0,100000)),0)</f>
        <v>0</v>
      </c>
      <c r="K901" s="33">
        <f t="array" ref="K901">IF($O901="방문완료",IFERROR(INDEX(설정_코스수당!$B$15:$F$64,MATCH($G901,설정_코스수당!$A$15:$A$64,0),MATCH($E901&amp;"수당",설정_코스수당!$B$14:$F$14,0)),0),0)</f>
        <v>0</v>
      </c>
      <c r="L901" s="33">
        <f t="array" ref="L901">IF($O901="방문완료",IF($H901="",0,IFERROR(INDEX(설정_코스수당!$B$15:$F$64,MATCH($H901,설정_코스수당!$A$15:$A$64,0),MATCH($E901&amp;"수당",설정_코스수당!$B$14:$F$14,0)),0)),0)</f>
        <v>0</v>
      </c>
      <c r="M901" s="33">
        <f>IF($O901="방문완료",IFERROR(VLOOKUP($E901,설정_코스수당!$A$6:$H$10,6,FALSE),0),0)</f>
        <v>0</v>
      </c>
      <c r="N901" s="34">
        <f t="shared" si="25"/>
        <v>0</v>
      </c>
      <c r="O901" s="29"/>
      <c r="P901" s="29"/>
      <c r="Q901" s="29"/>
      <c r="R901" s="32"/>
      <c r="S901" s="29"/>
    </row>
    <row r="902" spans="1:19" ht="19.5" hidden="1" customHeight="1" outlineLevel="1">
      <c r="A902" s="23">
        <v>65</v>
      </c>
      <c r="B902" s="24">
        <f>IF(9&lt;=DAY(DATE(YEAR(설정_코스수당!$K$2),MONTH(설정_코스수당!$K$2)+1,0)),DATE(YEAR(설정_코스수당!$K$2),MONTH(설정_코스수당!$K$2),9),"")</f>
        <v>46182</v>
      </c>
      <c r="C902" s="25"/>
      <c r="D902" s="23"/>
      <c r="E902" s="23"/>
      <c r="F902" s="26"/>
      <c r="G902" s="23"/>
      <c r="H902" s="23"/>
      <c r="I902" s="23"/>
      <c r="J902" s="27">
        <f>IF($O902="방문완료",MAX(0,IFERROR(VLOOKUP($E902,설정_코스수당!$A$6:$H$10,4,FALSE),0)-IF(OR($P902="",$P902="없음"),0,100000)),0)</f>
        <v>0</v>
      </c>
      <c r="K902" s="27">
        <f t="array" ref="K902">IF($O902="방문완료",IFERROR(INDEX(설정_코스수당!$B$15:$F$64,MATCH($G902,설정_코스수당!$A$15:$A$64,0),MATCH($E902&amp;"수당",설정_코스수당!$B$14:$F$14,0)),0),0)</f>
        <v>0</v>
      </c>
      <c r="L902" s="27">
        <f t="array" ref="L902">IF($O902="방문완료",IF($H902="",0,IFERROR(INDEX(설정_코스수당!$B$15:$F$64,MATCH($H902,설정_코스수당!$A$15:$A$64,0),MATCH($E902&amp;"수당",설정_코스수당!$B$14:$F$14,0)),0)),0)</f>
        <v>0</v>
      </c>
      <c r="M902" s="27">
        <f>IF($O902="방문완료",IFERROR(VLOOKUP($E902,설정_코스수당!$A$6:$H$10,6,FALSE),0),0)</f>
        <v>0</v>
      </c>
      <c r="N902" s="28">
        <f t="shared" ref="N902:N937" si="26">IF($O902="방문완료",1,0)</f>
        <v>0</v>
      </c>
      <c r="O902" s="23"/>
      <c r="P902" s="23"/>
      <c r="Q902" s="23"/>
      <c r="R902" s="26"/>
      <c r="S902" s="23"/>
    </row>
    <row r="903" spans="1:19" ht="19.5" hidden="1" customHeight="1" outlineLevel="1">
      <c r="A903" s="29">
        <v>66</v>
      </c>
      <c r="B903" s="30">
        <f>IF(9&lt;=DAY(DATE(YEAR(설정_코스수당!$K$2),MONTH(설정_코스수당!$K$2)+1,0)),DATE(YEAR(설정_코스수당!$K$2),MONTH(설정_코스수당!$K$2),9),"")</f>
        <v>46182</v>
      </c>
      <c r="C903" s="31"/>
      <c r="D903" s="29"/>
      <c r="E903" s="29"/>
      <c r="F903" s="32"/>
      <c r="G903" s="29"/>
      <c r="H903" s="29"/>
      <c r="I903" s="29"/>
      <c r="J903" s="33">
        <f>IF($O903="방문완료",MAX(0,IFERROR(VLOOKUP($E903,설정_코스수당!$A$6:$H$10,4,FALSE),0)-IF(OR($P903="",$P903="없음"),0,100000)),0)</f>
        <v>0</v>
      </c>
      <c r="K903" s="33">
        <f t="array" ref="K903">IF($O903="방문완료",IFERROR(INDEX(설정_코스수당!$B$15:$F$64,MATCH($G903,설정_코스수당!$A$15:$A$64,0),MATCH($E903&amp;"수당",설정_코스수당!$B$14:$F$14,0)),0),0)</f>
        <v>0</v>
      </c>
      <c r="L903" s="33">
        <f t="array" ref="L903">IF($O903="방문완료",IF($H903="",0,IFERROR(INDEX(설정_코스수당!$B$15:$F$64,MATCH($H903,설정_코스수당!$A$15:$A$64,0),MATCH($E903&amp;"수당",설정_코스수당!$B$14:$F$14,0)),0)),0)</f>
        <v>0</v>
      </c>
      <c r="M903" s="33">
        <f>IF($O903="방문완료",IFERROR(VLOOKUP($E903,설정_코스수당!$A$6:$H$10,6,FALSE),0),0)</f>
        <v>0</v>
      </c>
      <c r="N903" s="34">
        <f t="shared" si="26"/>
        <v>0</v>
      </c>
      <c r="O903" s="29"/>
      <c r="P903" s="29"/>
      <c r="Q903" s="29"/>
      <c r="R903" s="32"/>
      <c r="S903" s="29"/>
    </row>
    <row r="904" spans="1:19" ht="19.5" hidden="1" customHeight="1" outlineLevel="1">
      <c r="A904" s="23">
        <v>67</v>
      </c>
      <c r="B904" s="24">
        <f>IF(9&lt;=DAY(DATE(YEAR(설정_코스수당!$K$2),MONTH(설정_코스수당!$K$2)+1,0)),DATE(YEAR(설정_코스수당!$K$2),MONTH(설정_코스수당!$K$2),9),"")</f>
        <v>46182</v>
      </c>
      <c r="C904" s="25"/>
      <c r="D904" s="23"/>
      <c r="E904" s="23"/>
      <c r="F904" s="26"/>
      <c r="G904" s="23"/>
      <c r="H904" s="23"/>
      <c r="I904" s="23"/>
      <c r="J904" s="27">
        <f>IF($O904="방문완료",MAX(0,IFERROR(VLOOKUP($E904,설정_코스수당!$A$6:$H$10,4,FALSE),0)-IF(OR($P904="",$P904="없음"),0,100000)),0)</f>
        <v>0</v>
      </c>
      <c r="K904" s="27">
        <f t="array" ref="K904">IF($O904="방문완료",IFERROR(INDEX(설정_코스수당!$B$15:$F$64,MATCH($G904,설정_코스수당!$A$15:$A$64,0),MATCH($E904&amp;"수당",설정_코스수당!$B$14:$F$14,0)),0),0)</f>
        <v>0</v>
      </c>
      <c r="L904" s="27">
        <f t="array" ref="L904">IF($O904="방문완료",IF($H904="",0,IFERROR(INDEX(설정_코스수당!$B$15:$F$64,MATCH($H904,설정_코스수당!$A$15:$A$64,0),MATCH($E904&amp;"수당",설정_코스수당!$B$14:$F$14,0)),0)),0)</f>
        <v>0</v>
      </c>
      <c r="M904" s="27">
        <f>IF($O904="방문완료",IFERROR(VLOOKUP($E904,설정_코스수당!$A$6:$H$10,6,FALSE),0),0)</f>
        <v>0</v>
      </c>
      <c r="N904" s="28">
        <f t="shared" si="26"/>
        <v>0</v>
      </c>
      <c r="O904" s="23"/>
      <c r="P904" s="23"/>
      <c r="Q904" s="23"/>
      <c r="R904" s="26"/>
      <c r="S904" s="23"/>
    </row>
    <row r="905" spans="1:19" ht="19.5" hidden="1" customHeight="1" outlineLevel="1">
      <c r="A905" s="29">
        <v>68</v>
      </c>
      <c r="B905" s="30">
        <f>IF(9&lt;=DAY(DATE(YEAR(설정_코스수당!$K$2),MONTH(설정_코스수당!$K$2)+1,0)),DATE(YEAR(설정_코스수당!$K$2),MONTH(설정_코스수당!$K$2),9),"")</f>
        <v>46182</v>
      </c>
      <c r="C905" s="31"/>
      <c r="D905" s="29"/>
      <c r="E905" s="29"/>
      <c r="F905" s="32"/>
      <c r="G905" s="29"/>
      <c r="H905" s="29"/>
      <c r="I905" s="29"/>
      <c r="J905" s="33">
        <f>IF($O905="방문완료",MAX(0,IFERROR(VLOOKUP($E905,설정_코스수당!$A$6:$H$10,4,FALSE),0)-IF(OR($P905="",$P905="없음"),0,100000)),0)</f>
        <v>0</v>
      </c>
      <c r="K905" s="33">
        <f t="array" ref="K905">IF($O905="방문완료",IFERROR(INDEX(설정_코스수당!$B$15:$F$64,MATCH($G905,설정_코스수당!$A$15:$A$64,0),MATCH($E905&amp;"수당",설정_코스수당!$B$14:$F$14,0)),0),0)</f>
        <v>0</v>
      </c>
      <c r="L905" s="33">
        <f t="array" ref="L905">IF($O905="방문완료",IF($H905="",0,IFERROR(INDEX(설정_코스수당!$B$15:$F$64,MATCH($H905,설정_코스수당!$A$15:$A$64,0),MATCH($E905&amp;"수당",설정_코스수당!$B$14:$F$14,0)),0)),0)</f>
        <v>0</v>
      </c>
      <c r="M905" s="33">
        <f>IF($O905="방문완료",IFERROR(VLOOKUP($E905,설정_코스수당!$A$6:$H$10,6,FALSE),0),0)</f>
        <v>0</v>
      </c>
      <c r="N905" s="34">
        <f t="shared" si="26"/>
        <v>0</v>
      </c>
      <c r="O905" s="29"/>
      <c r="P905" s="29"/>
      <c r="Q905" s="29"/>
      <c r="R905" s="32"/>
      <c r="S905" s="29"/>
    </row>
    <row r="906" spans="1:19" ht="19.5" hidden="1" customHeight="1" outlineLevel="1">
      <c r="A906" s="23">
        <v>69</v>
      </c>
      <c r="B906" s="24">
        <f>IF(9&lt;=DAY(DATE(YEAR(설정_코스수당!$K$2),MONTH(설정_코스수당!$K$2)+1,0)),DATE(YEAR(설정_코스수당!$K$2),MONTH(설정_코스수당!$K$2),9),"")</f>
        <v>46182</v>
      </c>
      <c r="C906" s="25"/>
      <c r="D906" s="23"/>
      <c r="E906" s="23"/>
      <c r="F906" s="26"/>
      <c r="G906" s="23"/>
      <c r="H906" s="23"/>
      <c r="I906" s="23"/>
      <c r="J906" s="27">
        <f>IF($O906="방문완료",MAX(0,IFERROR(VLOOKUP($E906,설정_코스수당!$A$6:$H$10,4,FALSE),0)-IF(OR($P906="",$P906="없음"),0,100000)),0)</f>
        <v>0</v>
      </c>
      <c r="K906" s="27">
        <f t="array" ref="K906">IF($O906="방문완료",IFERROR(INDEX(설정_코스수당!$B$15:$F$64,MATCH($G906,설정_코스수당!$A$15:$A$64,0),MATCH($E906&amp;"수당",설정_코스수당!$B$14:$F$14,0)),0),0)</f>
        <v>0</v>
      </c>
      <c r="L906" s="27">
        <f t="array" ref="L906">IF($O906="방문완료",IF($H906="",0,IFERROR(INDEX(설정_코스수당!$B$15:$F$64,MATCH($H906,설정_코스수당!$A$15:$A$64,0),MATCH($E906&amp;"수당",설정_코스수당!$B$14:$F$14,0)),0)),0)</f>
        <v>0</v>
      </c>
      <c r="M906" s="27">
        <f>IF($O906="방문완료",IFERROR(VLOOKUP($E906,설정_코스수당!$A$6:$H$10,6,FALSE),0),0)</f>
        <v>0</v>
      </c>
      <c r="N906" s="28">
        <f t="shared" si="26"/>
        <v>0</v>
      </c>
      <c r="O906" s="23"/>
      <c r="P906" s="23"/>
      <c r="Q906" s="23"/>
      <c r="R906" s="26"/>
      <c r="S906" s="23"/>
    </row>
    <row r="907" spans="1:19" ht="19.5" hidden="1" customHeight="1" outlineLevel="1">
      <c r="A907" s="29">
        <v>70</v>
      </c>
      <c r="B907" s="30">
        <f>IF(9&lt;=DAY(DATE(YEAR(설정_코스수당!$K$2),MONTH(설정_코스수당!$K$2)+1,0)),DATE(YEAR(설정_코스수당!$K$2),MONTH(설정_코스수당!$K$2),9),"")</f>
        <v>46182</v>
      </c>
      <c r="C907" s="31"/>
      <c r="D907" s="29"/>
      <c r="E907" s="29"/>
      <c r="F907" s="32"/>
      <c r="G907" s="29"/>
      <c r="H907" s="29"/>
      <c r="I907" s="29"/>
      <c r="J907" s="33">
        <f>IF($O907="방문완료",MAX(0,IFERROR(VLOOKUP($E907,설정_코스수당!$A$6:$H$10,4,FALSE),0)-IF(OR($P907="",$P907="없음"),0,100000)),0)</f>
        <v>0</v>
      </c>
      <c r="K907" s="33">
        <f t="array" ref="K907">IF($O907="방문완료",IFERROR(INDEX(설정_코스수당!$B$15:$F$64,MATCH($G907,설정_코스수당!$A$15:$A$64,0),MATCH($E907&amp;"수당",설정_코스수당!$B$14:$F$14,0)),0),0)</f>
        <v>0</v>
      </c>
      <c r="L907" s="33">
        <f t="array" ref="L907">IF($O907="방문완료",IF($H907="",0,IFERROR(INDEX(설정_코스수당!$B$15:$F$64,MATCH($H907,설정_코스수당!$A$15:$A$64,0),MATCH($E907&amp;"수당",설정_코스수당!$B$14:$F$14,0)),0)),0)</f>
        <v>0</v>
      </c>
      <c r="M907" s="33">
        <f>IF($O907="방문완료",IFERROR(VLOOKUP($E907,설정_코스수당!$A$6:$H$10,6,FALSE),0),0)</f>
        <v>0</v>
      </c>
      <c r="N907" s="34">
        <f t="shared" si="26"/>
        <v>0</v>
      </c>
      <c r="O907" s="29"/>
      <c r="P907" s="29"/>
      <c r="Q907" s="29"/>
      <c r="R907" s="32"/>
      <c r="S907" s="29"/>
    </row>
    <row r="908" spans="1:19" ht="19.5" hidden="1" customHeight="1" outlineLevel="1">
      <c r="A908" s="23">
        <v>71</v>
      </c>
      <c r="B908" s="24">
        <f>IF(9&lt;=DAY(DATE(YEAR(설정_코스수당!$K$2),MONTH(설정_코스수당!$K$2)+1,0)),DATE(YEAR(설정_코스수당!$K$2),MONTH(설정_코스수당!$K$2),9),"")</f>
        <v>46182</v>
      </c>
      <c r="C908" s="25"/>
      <c r="D908" s="23"/>
      <c r="E908" s="23"/>
      <c r="F908" s="26"/>
      <c r="G908" s="23"/>
      <c r="H908" s="23"/>
      <c r="I908" s="23"/>
      <c r="J908" s="27">
        <f>IF($O908="방문완료",MAX(0,IFERROR(VLOOKUP($E908,설정_코스수당!$A$6:$H$10,4,FALSE),0)-IF(OR($P908="",$P908="없음"),0,100000)),0)</f>
        <v>0</v>
      </c>
      <c r="K908" s="27">
        <f t="array" ref="K908">IF($O908="방문완료",IFERROR(INDEX(설정_코스수당!$B$15:$F$64,MATCH($G908,설정_코스수당!$A$15:$A$64,0),MATCH($E908&amp;"수당",설정_코스수당!$B$14:$F$14,0)),0),0)</f>
        <v>0</v>
      </c>
      <c r="L908" s="27">
        <f t="array" ref="L908">IF($O908="방문완료",IF($H908="",0,IFERROR(INDEX(설정_코스수당!$B$15:$F$64,MATCH($H908,설정_코스수당!$A$15:$A$64,0),MATCH($E908&amp;"수당",설정_코스수당!$B$14:$F$14,0)),0)),0)</f>
        <v>0</v>
      </c>
      <c r="M908" s="27">
        <f>IF($O908="방문완료",IFERROR(VLOOKUP($E908,설정_코스수당!$A$6:$H$10,6,FALSE),0),0)</f>
        <v>0</v>
      </c>
      <c r="N908" s="28">
        <f t="shared" si="26"/>
        <v>0</v>
      </c>
      <c r="O908" s="23"/>
      <c r="P908" s="23"/>
      <c r="Q908" s="23"/>
      <c r="R908" s="26"/>
      <c r="S908" s="23"/>
    </row>
    <row r="909" spans="1:19" ht="19.5" hidden="1" customHeight="1" outlineLevel="1">
      <c r="A909" s="29">
        <v>72</v>
      </c>
      <c r="B909" s="30">
        <f>IF(9&lt;=DAY(DATE(YEAR(설정_코스수당!$K$2),MONTH(설정_코스수당!$K$2)+1,0)),DATE(YEAR(설정_코스수당!$K$2),MONTH(설정_코스수당!$K$2),9),"")</f>
        <v>46182</v>
      </c>
      <c r="C909" s="31"/>
      <c r="D909" s="29"/>
      <c r="E909" s="29"/>
      <c r="F909" s="32"/>
      <c r="G909" s="29"/>
      <c r="H909" s="29"/>
      <c r="I909" s="29"/>
      <c r="J909" s="33">
        <f>IF($O909="방문완료",MAX(0,IFERROR(VLOOKUP($E909,설정_코스수당!$A$6:$H$10,4,FALSE),0)-IF(OR($P909="",$P909="없음"),0,100000)),0)</f>
        <v>0</v>
      </c>
      <c r="K909" s="33">
        <f t="array" ref="K909">IF($O909="방문완료",IFERROR(INDEX(설정_코스수당!$B$15:$F$64,MATCH($G909,설정_코스수당!$A$15:$A$64,0),MATCH($E909&amp;"수당",설정_코스수당!$B$14:$F$14,0)),0),0)</f>
        <v>0</v>
      </c>
      <c r="L909" s="33">
        <f t="array" ref="L909">IF($O909="방문완료",IF($H909="",0,IFERROR(INDEX(설정_코스수당!$B$15:$F$64,MATCH($H909,설정_코스수당!$A$15:$A$64,0),MATCH($E909&amp;"수당",설정_코스수당!$B$14:$F$14,0)),0)),0)</f>
        <v>0</v>
      </c>
      <c r="M909" s="33">
        <f>IF($O909="방문완료",IFERROR(VLOOKUP($E909,설정_코스수당!$A$6:$H$10,6,FALSE),0),0)</f>
        <v>0</v>
      </c>
      <c r="N909" s="34">
        <f t="shared" si="26"/>
        <v>0</v>
      </c>
      <c r="O909" s="29"/>
      <c r="P909" s="29"/>
      <c r="Q909" s="29"/>
      <c r="R909" s="32"/>
      <c r="S909" s="29"/>
    </row>
    <row r="910" spans="1:19" ht="19.5" hidden="1" customHeight="1" outlineLevel="1">
      <c r="A910" s="23">
        <v>73</v>
      </c>
      <c r="B910" s="24">
        <f>IF(9&lt;=DAY(DATE(YEAR(설정_코스수당!$K$2),MONTH(설정_코스수당!$K$2)+1,0)),DATE(YEAR(설정_코스수당!$K$2),MONTH(설정_코스수당!$K$2),9),"")</f>
        <v>46182</v>
      </c>
      <c r="C910" s="25"/>
      <c r="D910" s="23"/>
      <c r="E910" s="23"/>
      <c r="F910" s="26"/>
      <c r="G910" s="23"/>
      <c r="H910" s="23"/>
      <c r="I910" s="23"/>
      <c r="J910" s="27">
        <f>IF($O910="방문완료",MAX(0,IFERROR(VLOOKUP($E910,설정_코스수당!$A$6:$H$10,4,FALSE),0)-IF(OR($P910="",$P910="없음"),0,100000)),0)</f>
        <v>0</v>
      </c>
      <c r="K910" s="27">
        <f t="array" ref="K910">IF($O910="방문완료",IFERROR(INDEX(설정_코스수당!$B$15:$F$64,MATCH($G910,설정_코스수당!$A$15:$A$64,0),MATCH($E910&amp;"수당",설정_코스수당!$B$14:$F$14,0)),0),0)</f>
        <v>0</v>
      </c>
      <c r="L910" s="27">
        <f t="array" ref="L910">IF($O910="방문완료",IF($H910="",0,IFERROR(INDEX(설정_코스수당!$B$15:$F$64,MATCH($H910,설정_코스수당!$A$15:$A$64,0),MATCH($E910&amp;"수당",설정_코스수당!$B$14:$F$14,0)),0)),0)</f>
        <v>0</v>
      </c>
      <c r="M910" s="27">
        <f>IF($O910="방문완료",IFERROR(VLOOKUP($E910,설정_코스수당!$A$6:$H$10,6,FALSE),0),0)</f>
        <v>0</v>
      </c>
      <c r="N910" s="28">
        <f t="shared" si="26"/>
        <v>0</v>
      </c>
      <c r="O910" s="23"/>
      <c r="P910" s="23"/>
      <c r="Q910" s="23"/>
      <c r="R910" s="26"/>
      <c r="S910" s="23"/>
    </row>
    <row r="911" spans="1:19" ht="19.5" hidden="1" customHeight="1" outlineLevel="1">
      <c r="A911" s="29">
        <v>74</v>
      </c>
      <c r="B911" s="30">
        <f>IF(9&lt;=DAY(DATE(YEAR(설정_코스수당!$K$2),MONTH(설정_코스수당!$K$2)+1,0)),DATE(YEAR(설정_코스수당!$K$2),MONTH(설정_코스수당!$K$2),9),"")</f>
        <v>46182</v>
      </c>
      <c r="C911" s="31"/>
      <c r="D911" s="29"/>
      <c r="E911" s="29"/>
      <c r="F911" s="32"/>
      <c r="G911" s="29"/>
      <c r="H911" s="29"/>
      <c r="I911" s="29"/>
      <c r="J911" s="33">
        <f>IF($O911="방문완료",MAX(0,IFERROR(VLOOKUP($E911,설정_코스수당!$A$6:$H$10,4,FALSE),0)-IF(OR($P911="",$P911="없음"),0,100000)),0)</f>
        <v>0</v>
      </c>
      <c r="K911" s="33">
        <f t="array" ref="K911">IF($O911="방문완료",IFERROR(INDEX(설정_코스수당!$B$15:$F$64,MATCH($G911,설정_코스수당!$A$15:$A$64,0),MATCH($E911&amp;"수당",설정_코스수당!$B$14:$F$14,0)),0),0)</f>
        <v>0</v>
      </c>
      <c r="L911" s="33">
        <f t="array" ref="L911">IF($O911="방문완료",IF($H911="",0,IFERROR(INDEX(설정_코스수당!$B$15:$F$64,MATCH($H911,설정_코스수당!$A$15:$A$64,0),MATCH($E911&amp;"수당",설정_코스수당!$B$14:$F$14,0)),0)),0)</f>
        <v>0</v>
      </c>
      <c r="M911" s="33">
        <f>IF($O911="방문완료",IFERROR(VLOOKUP($E911,설정_코스수당!$A$6:$H$10,6,FALSE),0),0)</f>
        <v>0</v>
      </c>
      <c r="N911" s="34">
        <f t="shared" si="26"/>
        <v>0</v>
      </c>
      <c r="O911" s="29"/>
      <c r="P911" s="29"/>
      <c r="Q911" s="29"/>
      <c r="R911" s="32"/>
      <c r="S911" s="29"/>
    </row>
    <row r="912" spans="1:19" ht="19.5" hidden="1" customHeight="1" outlineLevel="1">
      <c r="A912" s="23">
        <v>75</v>
      </c>
      <c r="B912" s="24">
        <f>IF(9&lt;=DAY(DATE(YEAR(설정_코스수당!$K$2),MONTH(설정_코스수당!$K$2)+1,0)),DATE(YEAR(설정_코스수당!$K$2),MONTH(설정_코스수당!$K$2),9),"")</f>
        <v>46182</v>
      </c>
      <c r="C912" s="25"/>
      <c r="D912" s="23"/>
      <c r="E912" s="23"/>
      <c r="F912" s="26"/>
      <c r="G912" s="23"/>
      <c r="H912" s="23"/>
      <c r="I912" s="23"/>
      <c r="J912" s="27">
        <f>IF($O912="방문완료",MAX(0,IFERROR(VLOOKUP($E912,설정_코스수당!$A$6:$H$10,4,FALSE),0)-IF(OR($P912="",$P912="없음"),0,100000)),0)</f>
        <v>0</v>
      </c>
      <c r="K912" s="27">
        <f t="array" ref="K912">IF($O912="방문완료",IFERROR(INDEX(설정_코스수당!$B$15:$F$64,MATCH($G912,설정_코스수당!$A$15:$A$64,0),MATCH($E912&amp;"수당",설정_코스수당!$B$14:$F$14,0)),0),0)</f>
        <v>0</v>
      </c>
      <c r="L912" s="27">
        <f t="array" ref="L912">IF($O912="방문완료",IF($H912="",0,IFERROR(INDEX(설정_코스수당!$B$15:$F$64,MATCH($H912,설정_코스수당!$A$15:$A$64,0),MATCH($E912&amp;"수당",설정_코스수당!$B$14:$F$14,0)),0)),0)</f>
        <v>0</v>
      </c>
      <c r="M912" s="27">
        <f>IF($O912="방문완료",IFERROR(VLOOKUP($E912,설정_코스수당!$A$6:$H$10,6,FALSE),0),0)</f>
        <v>0</v>
      </c>
      <c r="N912" s="28">
        <f t="shared" si="26"/>
        <v>0</v>
      </c>
      <c r="O912" s="23"/>
      <c r="P912" s="23"/>
      <c r="Q912" s="23"/>
      <c r="R912" s="26"/>
      <c r="S912" s="23"/>
    </row>
    <row r="913" spans="1:22" ht="19.5" hidden="1" customHeight="1" outlineLevel="1">
      <c r="A913" s="29">
        <v>76</v>
      </c>
      <c r="B913" s="30">
        <f>IF(9&lt;=DAY(DATE(YEAR(설정_코스수당!$K$2),MONTH(설정_코스수당!$K$2)+1,0)),DATE(YEAR(설정_코스수당!$K$2),MONTH(설정_코스수당!$K$2),9),"")</f>
        <v>46182</v>
      </c>
      <c r="C913" s="31"/>
      <c r="D913" s="29"/>
      <c r="E913" s="29"/>
      <c r="F913" s="32"/>
      <c r="G913" s="29"/>
      <c r="H913" s="29"/>
      <c r="I913" s="29"/>
      <c r="J913" s="33">
        <f>IF($O913="방문완료",MAX(0,IFERROR(VLOOKUP($E913,설정_코스수당!$A$6:$H$10,4,FALSE),0)-IF(OR($P913="",$P913="없음"),0,100000)),0)</f>
        <v>0</v>
      </c>
      <c r="K913" s="33">
        <f t="array" ref="K913">IF($O913="방문완료",IFERROR(INDEX(설정_코스수당!$B$15:$F$64,MATCH($G913,설정_코스수당!$A$15:$A$64,0),MATCH($E913&amp;"수당",설정_코스수당!$B$14:$F$14,0)),0),0)</f>
        <v>0</v>
      </c>
      <c r="L913" s="33">
        <f t="array" ref="L913">IF($O913="방문완료",IF($H913="",0,IFERROR(INDEX(설정_코스수당!$B$15:$F$64,MATCH($H913,설정_코스수당!$A$15:$A$64,0),MATCH($E913&amp;"수당",설정_코스수당!$B$14:$F$14,0)),0)),0)</f>
        <v>0</v>
      </c>
      <c r="M913" s="33">
        <f>IF($O913="방문완료",IFERROR(VLOOKUP($E913,설정_코스수당!$A$6:$H$10,6,FALSE),0),0)</f>
        <v>0</v>
      </c>
      <c r="N913" s="34">
        <f t="shared" si="26"/>
        <v>0</v>
      </c>
      <c r="O913" s="29"/>
      <c r="P913" s="29"/>
      <c r="Q913" s="29"/>
      <c r="R913" s="32"/>
      <c r="S913" s="29"/>
    </row>
    <row r="914" spans="1:22" ht="19.5" hidden="1" customHeight="1" outlineLevel="1">
      <c r="A914" s="23">
        <v>77</v>
      </c>
      <c r="B914" s="24">
        <f>IF(9&lt;=DAY(DATE(YEAR(설정_코스수당!$K$2),MONTH(설정_코스수당!$K$2)+1,0)),DATE(YEAR(설정_코스수당!$K$2),MONTH(설정_코스수당!$K$2),9),"")</f>
        <v>46182</v>
      </c>
      <c r="C914" s="25"/>
      <c r="D914" s="23"/>
      <c r="E914" s="23"/>
      <c r="F914" s="26"/>
      <c r="G914" s="23"/>
      <c r="H914" s="23"/>
      <c r="I914" s="23"/>
      <c r="J914" s="27">
        <f>IF($O914="방문완료",MAX(0,IFERROR(VLOOKUP($E914,설정_코스수당!$A$6:$H$10,4,FALSE),0)-IF(OR($P914="",$P914="없음"),0,100000)),0)</f>
        <v>0</v>
      </c>
      <c r="K914" s="27">
        <f t="array" ref="K914">IF($O914="방문완료",IFERROR(INDEX(설정_코스수당!$B$15:$F$64,MATCH($G914,설정_코스수당!$A$15:$A$64,0),MATCH($E914&amp;"수당",설정_코스수당!$B$14:$F$14,0)),0),0)</f>
        <v>0</v>
      </c>
      <c r="L914" s="27">
        <f t="array" ref="L914">IF($O914="방문완료",IF($H914="",0,IFERROR(INDEX(설정_코스수당!$B$15:$F$64,MATCH($H914,설정_코스수당!$A$15:$A$64,0),MATCH($E914&amp;"수당",설정_코스수당!$B$14:$F$14,0)),0)),0)</f>
        <v>0</v>
      </c>
      <c r="M914" s="27">
        <f>IF($O914="방문완료",IFERROR(VLOOKUP($E914,설정_코스수당!$A$6:$H$10,6,FALSE),0),0)</f>
        <v>0</v>
      </c>
      <c r="N914" s="28">
        <f t="shared" si="26"/>
        <v>0</v>
      </c>
      <c r="O914" s="23"/>
      <c r="P914" s="23"/>
      <c r="Q914" s="23"/>
      <c r="R914" s="26"/>
      <c r="S914" s="23"/>
    </row>
    <row r="915" spans="1:22" ht="19.5" hidden="1" customHeight="1" outlineLevel="1">
      <c r="A915" s="29">
        <v>78</v>
      </c>
      <c r="B915" s="30">
        <f>IF(9&lt;=DAY(DATE(YEAR(설정_코스수당!$K$2),MONTH(설정_코스수당!$K$2)+1,0)),DATE(YEAR(설정_코스수당!$K$2),MONTH(설정_코스수당!$K$2),9),"")</f>
        <v>46182</v>
      </c>
      <c r="C915" s="31"/>
      <c r="D915" s="29"/>
      <c r="E915" s="29"/>
      <c r="F915" s="32"/>
      <c r="G915" s="29"/>
      <c r="H915" s="29"/>
      <c r="I915" s="29"/>
      <c r="J915" s="33">
        <f>IF($O915="방문완료",MAX(0,IFERROR(VLOOKUP($E915,설정_코스수당!$A$6:$H$10,4,FALSE),0)-IF(OR($P915="",$P915="없음"),0,100000)),0)</f>
        <v>0</v>
      </c>
      <c r="K915" s="33">
        <f t="array" ref="K915">IF($O915="방문완료",IFERROR(INDEX(설정_코스수당!$B$15:$F$64,MATCH($G915,설정_코스수당!$A$15:$A$64,0),MATCH($E915&amp;"수당",설정_코스수당!$B$14:$F$14,0)),0),0)</f>
        <v>0</v>
      </c>
      <c r="L915" s="33">
        <f t="array" ref="L915">IF($O915="방문완료",IF($H915="",0,IFERROR(INDEX(설정_코스수당!$B$15:$F$64,MATCH($H915,설정_코스수당!$A$15:$A$64,0),MATCH($E915&amp;"수당",설정_코스수당!$B$14:$F$14,0)),0)),0)</f>
        <v>0</v>
      </c>
      <c r="M915" s="33">
        <f>IF($O915="방문완료",IFERROR(VLOOKUP($E915,설정_코스수당!$A$6:$H$10,6,FALSE),0),0)</f>
        <v>0</v>
      </c>
      <c r="N915" s="34">
        <f t="shared" si="26"/>
        <v>0</v>
      </c>
      <c r="O915" s="29"/>
      <c r="P915" s="29"/>
      <c r="Q915" s="29"/>
      <c r="R915" s="32"/>
      <c r="S915" s="29"/>
    </row>
    <row r="916" spans="1:22" ht="19.5" hidden="1" customHeight="1" outlineLevel="1">
      <c r="A916" s="23">
        <v>79</v>
      </c>
      <c r="B916" s="24">
        <f>IF(9&lt;=DAY(DATE(YEAR(설정_코스수당!$K$2),MONTH(설정_코스수당!$K$2)+1,0)),DATE(YEAR(설정_코스수당!$K$2),MONTH(설정_코스수당!$K$2),9),"")</f>
        <v>46182</v>
      </c>
      <c r="C916" s="25"/>
      <c r="D916" s="23"/>
      <c r="E916" s="23"/>
      <c r="F916" s="26"/>
      <c r="G916" s="23"/>
      <c r="H916" s="23"/>
      <c r="I916" s="23"/>
      <c r="J916" s="27">
        <f>IF($O916="방문완료",MAX(0,IFERROR(VLOOKUP($E916,설정_코스수당!$A$6:$H$10,4,FALSE),0)-IF(OR($P916="",$P916="없음"),0,100000)),0)</f>
        <v>0</v>
      </c>
      <c r="K916" s="27">
        <f t="array" ref="K916">IF($O916="방문완료",IFERROR(INDEX(설정_코스수당!$B$15:$F$64,MATCH($G916,설정_코스수당!$A$15:$A$64,0),MATCH($E916&amp;"수당",설정_코스수당!$B$14:$F$14,0)),0),0)</f>
        <v>0</v>
      </c>
      <c r="L916" s="27">
        <f t="array" ref="L916">IF($O916="방문완료",IF($H916="",0,IFERROR(INDEX(설정_코스수당!$B$15:$F$64,MATCH($H916,설정_코스수당!$A$15:$A$64,0),MATCH($E916&amp;"수당",설정_코스수당!$B$14:$F$14,0)),0)),0)</f>
        <v>0</v>
      </c>
      <c r="M916" s="27">
        <f>IF($O916="방문완료",IFERROR(VLOOKUP($E916,설정_코스수당!$A$6:$H$10,6,FALSE),0),0)</f>
        <v>0</v>
      </c>
      <c r="N916" s="28">
        <f t="shared" si="26"/>
        <v>0</v>
      </c>
      <c r="O916" s="23"/>
      <c r="P916" s="23"/>
      <c r="Q916" s="23"/>
      <c r="R916" s="26"/>
      <c r="S916" s="23"/>
    </row>
    <row r="917" spans="1:22" ht="19.5" hidden="1" customHeight="1" outlineLevel="1">
      <c r="A917" s="29">
        <v>80</v>
      </c>
      <c r="B917" s="30">
        <f>IF(9&lt;=DAY(DATE(YEAR(설정_코스수당!$K$2),MONTH(설정_코스수당!$K$2)+1,0)),DATE(YEAR(설정_코스수당!$K$2),MONTH(설정_코스수당!$K$2),9),"")</f>
        <v>46182</v>
      </c>
      <c r="C917" s="31"/>
      <c r="D917" s="29"/>
      <c r="E917" s="29"/>
      <c r="F917" s="32"/>
      <c r="G917" s="29"/>
      <c r="H917" s="29"/>
      <c r="I917" s="29"/>
      <c r="J917" s="33">
        <f>IF($O917="방문완료",MAX(0,IFERROR(VLOOKUP($E917,설정_코스수당!$A$6:$H$10,4,FALSE),0)-IF(OR($P917="",$P917="없음"),0,100000)),0)</f>
        <v>0</v>
      </c>
      <c r="K917" s="33">
        <f t="array" ref="K917">IF($O917="방문완료",IFERROR(INDEX(설정_코스수당!$B$15:$F$64,MATCH($G917,설정_코스수당!$A$15:$A$64,0),MATCH($E917&amp;"수당",설정_코스수당!$B$14:$F$14,0)),0),0)</f>
        <v>0</v>
      </c>
      <c r="L917" s="33">
        <f t="array" ref="L917">IF($O917="방문완료",IF($H917="",0,IFERROR(INDEX(설정_코스수당!$B$15:$F$64,MATCH($H917,설정_코스수당!$A$15:$A$64,0),MATCH($E917&amp;"수당",설정_코스수당!$B$14:$F$14,0)),0)),0)</f>
        <v>0</v>
      </c>
      <c r="M917" s="33">
        <f>IF($O917="방문완료",IFERROR(VLOOKUP($E917,설정_코스수당!$A$6:$H$10,6,FALSE),0),0)</f>
        <v>0</v>
      </c>
      <c r="N917" s="34">
        <f t="shared" si="26"/>
        <v>0</v>
      </c>
      <c r="O917" s="29"/>
      <c r="P917" s="29"/>
      <c r="Q917" s="29"/>
      <c r="R917" s="32"/>
      <c r="S917" s="29"/>
    </row>
    <row r="918" spans="1:22" ht="19.5" hidden="1" customHeight="1" outlineLevel="1">
      <c r="A918" s="23">
        <v>81</v>
      </c>
      <c r="B918" s="24">
        <f>IF(9&lt;=DAY(DATE(YEAR(설정_코스수당!$K$2),MONTH(설정_코스수당!$K$2)+1,0)),DATE(YEAR(설정_코스수당!$K$2),MONTH(설정_코스수당!$K$2),9),"")</f>
        <v>46182</v>
      </c>
      <c r="C918" s="25"/>
      <c r="D918" s="23"/>
      <c r="E918" s="23"/>
      <c r="F918" s="26"/>
      <c r="G918" s="23"/>
      <c r="H918" s="23"/>
      <c r="I918" s="23"/>
      <c r="J918" s="27">
        <f>IF($O918="방문완료",MAX(0,IFERROR(VLOOKUP($E918,설정_코스수당!$A$6:$H$10,4,FALSE),0)-IF(OR($P918="",$P918="없음"),0,100000)),0)</f>
        <v>0</v>
      </c>
      <c r="K918" s="27">
        <f t="array" ref="K918">IF($O918="방문완료",IFERROR(INDEX(설정_코스수당!$B$15:$F$64,MATCH($G918,설정_코스수당!$A$15:$A$64,0),MATCH($E918&amp;"수당",설정_코스수당!$B$14:$F$14,0)),0),0)</f>
        <v>0</v>
      </c>
      <c r="L918" s="27">
        <f t="array" ref="L918">IF($O918="방문완료",IF($H918="",0,IFERROR(INDEX(설정_코스수당!$B$15:$F$64,MATCH($H918,설정_코스수당!$A$15:$A$64,0),MATCH($E918&amp;"수당",설정_코스수당!$B$14:$F$14,0)),0)),0)</f>
        <v>0</v>
      </c>
      <c r="M918" s="27">
        <f>IF($O918="방문완료",IFERROR(VLOOKUP($E918,설정_코스수당!$A$6:$H$10,6,FALSE),0),0)</f>
        <v>0</v>
      </c>
      <c r="N918" s="28">
        <f t="shared" si="26"/>
        <v>0</v>
      </c>
      <c r="O918" s="23"/>
      <c r="P918" s="23"/>
      <c r="Q918" s="23"/>
      <c r="R918" s="26"/>
      <c r="S918" s="23"/>
    </row>
    <row r="919" spans="1:22" ht="19.5" hidden="1" customHeight="1" outlineLevel="1">
      <c r="A919" s="29">
        <v>82</v>
      </c>
      <c r="B919" s="30">
        <f>IF(9&lt;=DAY(DATE(YEAR(설정_코스수당!$K$2),MONTH(설정_코스수당!$K$2)+1,0)),DATE(YEAR(설정_코스수당!$K$2),MONTH(설정_코스수당!$K$2),9),"")</f>
        <v>46182</v>
      </c>
      <c r="C919" s="31"/>
      <c r="D919" s="29"/>
      <c r="E919" s="29"/>
      <c r="F919" s="32"/>
      <c r="G919" s="29"/>
      <c r="H919" s="29"/>
      <c r="I919" s="29"/>
      <c r="J919" s="33">
        <f>IF($O919="방문완료",MAX(0,IFERROR(VLOOKUP($E919,설정_코스수당!$A$6:$H$10,4,FALSE),0)-IF(OR($P919="",$P919="없음"),0,100000)),0)</f>
        <v>0</v>
      </c>
      <c r="K919" s="33">
        <f t="array" ref="K919">IF($O919="방문완료",IFERROR(INDEX(설정_코스수당!$B$15:$F$64,MATCH($G919,설정_코스수당!$A$15:$A$64,0),MATCH($E919&amp;"수당",설정_코스수당!$B$14:$F$14,0)),0),0)</f>
        <v>0</v>
      </c>
      <c r="L919" s="33">
        <f t="array" ref="L919">IF($O919="방문완료",IF($H919="",0,IFERROR(INDEX(설정_코스수당!$B$15:$F$64,MATCH($H919,설정_코스수당!$A$15:$A$64,0),MATCH($E919&amp;"수당",설정_코스수당!$B$14:$F$14,0)),0)),0)</f>
        <v>0</v>
      </c>
      <c r="M919" s="33">
        <f>IF($O919="방문완료",IFERROR(VLOOKUP($E919,설정_코스수당!$A$6:$H$10,6,FALSE),0),0)</f>
        <v>0</v>
      </c>
      <c r="N919" s="34">
        <f t="shared" si="26"/>
        <v>0</v>
      </c>
      <c r="O919" s="29"/>
      <c r="P919" s="29"/>
      <c r="Q919" s="29"/>
      <c r="R919" s="32"/>
      <c r="S919" s="29"/>
    </row>
    <row r="920" spans="1:22" ht="19.5" hidden="1" customHeight="1" outlineLevel="1">
      <c r="A920" s="23">
        <v>83</v>
      </c>
      <c r="B920" s="24">
        <f>IF(9&lt;=DAY(DATE(YEAR(설정_코스수당!$K$2),MONTH(설정_코스수당!$K$2)+1,0)),DATE(YEAR(설정_코스수당!$K$2),MONTH(설정_코스수당!$K$2),9),"")</f>
        <v>46182</v>
      </c>
      <c r="C920" s="25"/>
      <c r="D920" s="23"/>
      <c r="E920" s="23"/>
      <c r="F920" s="26"/>
      <c r="G920" s="23"/>
      <c r="H920" s="23"/>
      <c r="I920" s="23"/>
      <c r="J920" s="27">
        <f>IF($O920="방문완료",MAX(0,IFERROR(VLOOKUP($E920,설정_코스수당!$A$6:$H$10,4,FALSE),0)-IF(OR($P920="",$P920="없음"),0,100000)),0)</f>
        <v>0</v>
      </c>
      <c r="K920" s="27">
        <f t="array" ref="K920">IF($O920="방문완료",IFERROR(INDEX(설정_코스수당!$B$15:$F$64,MATCH($G920,설정_코스수당!$A$15:$A$64,0),MATCH($E920&amp;"수당",설정_코스수당!$B$14:$F$14,0)),0),0)</f>
        <v>0</v>
      </c>
      <c r="L920" s="27">
        <f t="array" ref="L920">IF($O920="방문완료",IF($H920="",0,IFERROR(INDEX(설정_코스수당!$B$15:$F$64,MATCH($H920,설정_코스수당!$A$15:$A$64,0),MATCH($E920&amp;"수당",설정_코스수당!$B$14:$F$14,0)),0)),0)</f>
        <v>0</v>
      </c>
      <c r="M920" s="27">
        <f>IF($O920="방문완료",IFERROR(VLOOKUP($E920,설정_코스수당!$A$6:$H$10,6,FALSE),0),0)</f>
        <v>0</v>
      </c>
      <c r="N920" s="28">
        <f t="shared" si="26"/>
        <v>0</v>
      </c>
      <c r="O920" s="23"/>
      <c r="P920" s="23"/>
      <c r="Q920" s="23"/>
      <c r="R920" s="26"/>
      <c r="S920" s="23"/>
      <c r="U920" s="16" t="s">
        <v>72</v>
      </c>
      <c r="V920" s="17">
        <f>IF(10&lt;=DAY(DATE(YEAR(설정_코스수당!$K$2),MONTH(설정_코스수당!$K$2)+1,0)),COUNTIFS($B:$B,DATE(YEAR(설정_코스수당!$K$2),MONTH(설정_코스수당!$K$2),10),$O:$O,"방문완료",$P:$P,"&lt;&gt;",$P:$P,"&lt;&gt;없음")*100000,"")</f>
        <v>0</v>
      </c>
    </row>
    <row r="921" spans="1:22" ht="19.5" hidden="1" customHeight="1" outlineLevel="1">
      <c r="A921" s="29">
        <v>84</v>
      </c>
      <c r="B921" s="30">
        <f>IF(9&lt;=DAY(DATE(YEAR(설정_코스수당!$K$2),MONTH(설정_코스수당!$K$2)+1,0)),DATE(YEAR(설정_코스수당!$K$2),MONTH(설정_코스수당!$K$2),9),"")</f>
        <v>46182</v>
      </c>
      <c r="C921" s="31"/>
      <c r="D921" s="29"/>
      <c r="E921" s="29"/>
      <c r="F921" s="32"/>
      <c r="G921" s="29"/>
      <c r="H921" s="29"/>
      <c r="I921" s="29"/>
      <c r="J921" s="33">
        <f>IF($O921="방문완료",MAX(0,IFERROR(VLOOKUP($E921,설정_코스수당!$A$6:$H$10,4,FALSE),0)-IF(OR($P921="",$P921="없음"),0,100000)),0)</f>
        <v>0</v>
      </c>
      <c r="K921" s="33">
        <f t="array" ref="K921">IF($O921="방문완료",IFERROR(INDEX(설정_코스수당!$B$15:$F$64,MATCH($G921,설정_코스수당!$A$15:$A$64,0),MATCH($E921&amp;"수당",설정_코스수당!$B$14:$F$14,0)),0),0)</f>
        <v>0</v>
      </c>
      <c r="L921" s="33">
        <f t="array" ref="L921">IF($O921="방문완료",IF($H921="",0,IFERROR(INDEX(설정_코스수당!$B$15:$F$64,MATCH($H921,설정_코스수당!$A$15:$A$64,0),MATCH($E921&amp;"수당",설정_코스수당!$B$14:$F$14,0)),0)),0)</f>
        <v>0</v>
      </c>
      <c r="M921" s="33">
        <f>IF($O921="방문완료",IFERROR(VLOOKUP($E921,설정_코스수당!$A$6:$H$10,6,FALSE),0),0)</f>
        <v>0</v>
      </c>
      <c r="N921" s="34">
        <f t="shared" si="26"/>
        <v>0</v>
      </c>
      <c r="O921" s="29"/>
      <c r="P921" s="29"/>
      <c r="Q921" s="29"/>
      <c r="R921" s="32"/>
      <c r="S921" s="29"/>
    </row>
    <row r="922" spans="1:22" ht="19.5" hidden="1" customHeight="1" outlineLevel="1">
      <c r="A922" s="23">
        <v>85</v>
      </c>
      <c r="B922" s="24">
        <f>IF(9&lt;=DAY(DATE(YEAR(설정_코스수당!$K$2),MONTH(설정_코스수당!$K$2)+1,0)),DATE(YEAR(설정_코스수당!$K$2),MONTH(설정_코스수당!$K$2),9),"")</f>
        <v>46182</v>
      </c>
      <c r="C922" s="25"/>
      <c r="D922" s="23"/>
      <c r="E922" s="23"/>
      <c r="F922" s="26"/>
      <c r="G922" s="23"/>
      <c r="H922" s="23"/>
      <c r="I922" s="23"/>
      <c r="J922" s="27">
        <f>IF($O922="방문완료",MAX(0,IFERROR(VLOOKUP($E922,설정_코스수당!$A$6:$H$10,4,FALSE),0)-IF(OR($P922="",$P922="없음"),0,100000)),0)</f>
        <v>0</v>
      </c>
      <c r="K922" s="27">
        <f t="array" ref="K922">IF($O922="방문완료",IFERROR(INDEX(설정_코스수당!$B$15:$F$64,MATCH($G922,설정_코스수당!$A$15:$A$64,0),MATCH($E922&amp;"수당",설정_코스수당!$B$14:$F$14,0)),0),0)</f>
        <v>0</v>
      </c>
      <c r="L922" s="27">
        <f t="array" ref="L922">IF($O922="방문완료",IF($H922="",0,IFERROR(INDEX(설정_코스수당!$B$15:$F$64,MATCH($H922,설정_코스수당!$A$15:$A$64,0),MATCH($E922&amp;"수당",설정_코스수당!$B$14:$F$14,0)),0)),0)</f>
        <v>0</v>
      </c>
      <c r="M922" s="27">
        <f>IF($O922="방문완료",IFERROR(VLOOKUP($E922,설정_코스수당!$A$6:$H$10,6,FALSE),0),0)</f>
        <v>0</v>
      </c>
      <c r="N922" s="28">
        <f t="shared" si="26"/>
        <v>0</v>
      </c>
      <c r="O922" s="23"/>
      <c r="P922" s="23"/>
      <c r="Q922" s="23"/>
      <c r="R922" s="26"/>
      <c r="S922" s="23"/>
    </row>
    <row r="923" spans="1:22" ht="19.5" hidden="1" customHeight="1" outlineLevel="1">
      <c r="A923" s="29">
        <v>86</v>
      </c>
      <c r="B923" s="30">
        <f>IF(9&lt;=DAY(DATE(YEAR(설정_코스수당!$K$2),MONTH(설정_코스수당!$K$2)+1,0)),DATE(YEAR(설정_코스수당!$K$2),MONTH(설정_코스수당!$K$2),9),"")</f>
        <v>46182</v>
      </c>
      <c r="C923" s="31"/>
      <c r="D923" s="29"/>
      <c r="E923" s="29"/>
      <c r="F923" s="32"/>
      <c r="G923" s="29"/>
      <c r="H923" s="29"/>
      <c r="I923" s="29"/>
      <c r="J923" s="33">
        <f>IF($O923="방문완료",MAX(0,IFERROR(VLOOKUP($E923,설정_코스수당!$A$6:$H$10,4,FALSE),0)-IF(OR($P923="",$P923="없음"),0,100000)),0)</f>
        <v>0</v>
      </c>
      <c r="K923" s="33">
        <f t="array" ref="K923">IF($O923="방문완료",IFERROR(INDEX(설정_코스수당!$B$15:$F$64,MATCH($G923,설정_코스수당!$A$15:$A$64,0),MATCH($E923&amp;"수당",설정_코스수당!$B$14:$F$14,0)),0),0)</f>
        <v>0</v>
      </c>
      <c r="L923" s="33">
        <f t="array" ref="L923">IF($O923="방문완료",IF($H923="",0,IFERROR(INDEX(설정_코스수당!$B$15:$F$64,MATCH($H923,설정_코스수당!$A$15:$A$64,0),MATCH($E923&amp;"수당",설정_코스수당!$B$14:$F$14,0)),0)),0)</f>
        <v>0</v>
      </c>
      <c r="M923" s="33">
        <f>IF($O923="방문완료",IFERROR(VLOOKUP($E923,설정_코스수당!$A$6:$H$10,6,FALSE),0),0)</f>
        <v>0</v>
      </c>
      <c r="N923" s="34">
        <f t="shared" si="26"/>
        <v>0</v>
      </c>
      <c r="O923" s="29"/>
      <c r="P923" s="29"/>
      <c r="Q923" s="29"/>
      <c r="R923" s="32"/>
      <c r="S923" s="29"/>
    </row>
    <row r="924" spans="1:22" ht="19.5" hidden="1" customHeight="1" outlineLevel="1">
      <c r="A924" s="23">
        <v>87</v>
      </c>
      <c r="B924" s="24">
        <f>IF(9&lt;=DAY(DATE(YEAR(설정_코스수당!$K$2),MONTH(설정_코스수당!$K$2)+1,0)),DATE(YEAR(설정_코스수당!$K$2),MONTH(설정_코스수당!$K$2),9),"")</f>
        <v>46182</v>
      </c>
      <c r="C924" s="25"/>
      <c r="D924" s="23"/>
      <c r="E924" s="23"/>
      <c r="F924" s="26"/>
      <c r="G924" s="23"/>
      <c r="H924" s="23"/>
      <c r="I924" s="23"/>
      <c r="J924" s="27">
        <f>IF($O924="방문완료",MAX(0,IFERROR(VLOOKUP($E924,설정_코스수당!$A$6:$H$10,4,FALSE),0)-IF(OR($P924="",$P924="없음"),0,100000)),0)</f>
        <v>0</v>
      </c>
      <c r="K924" s="27">
        <f t="array" ref="K924">IF($O924="방문완료",IFERROR(INDEX(설정_코스수당!$B$15:$F$64,MATCH($G924,설정_코스수당!$A$15:$A$64,0),MATCH($E924&amp;"수당",설정_코스수당!$B$14:$F$14,0)),0),0)</f>
        <v>0</v>
      </c>
      <c r="L924" s="27">
        <f t="array" ref="L924">IF($O924="방문완료",IF($H924="",0,IFERROR(INDEX(설정_코스수당!$B$15:$F$64,MATCH($H924,설정_코스수당!$A$15:$A$64,0),MATCH($E924&amp;"수당",설정_코스수당!$B$14:$F$14,0)),0)),0)</f>
        <v>0</v>
      </c>
      <c r="M924" s="27">
        <f>IF($O924="방문완료",IFERROR(VLOOKUP($E924,설정_코스수당!$A$6:$H$10,6,FALSE),0),0)</f>
        <v>0</v>
      </c>
      <c r="N924" s="28">
        <f t="shared" si="26"/>
        <v>0</v>
      </c>
      <c r="O924" s="23"/>
      <c r="P924" s="23"/>
      <c r="Q924" s="23"/>
      <c r="R924" s="26"/>
      <c r="S924" s="23"/>
    </row>
    <row r="925" spans="1:22" ht="19.5" hidden="1" customHeight="1" outlineLevel="1">
      <c r="A925" s="29">
        <v>88</v>
      </c>
      <c r="B925" s="30">
        <f>IF(9&lt;=DAY(DATE(YEAR(설정_코스수당!$K$2),MONTH(설정_코스수당!$K$2)+1,0)),DATE(YEAR(설정_코스수당!$K$2),MONTH(설정_코스수당!$K$2),9),"")</f>
        <v>46182</v>
      </c>
      <c r="C925" s="31"/>
      <c r="D925" s="29"/>
      <c r="E925" s="29"/>
      <c r="F925" s="32"/>
      <c r="G925" s="29"/>
      <c r="H925" s="29"/>
      <c r="I925" s="29"/>
      <c r="J925" s="33">
        <f>IF($O925="방문완료",MAX(0,IFERROR(VLOOKUP($E925,설정_코스수당!$A$6:$H$10,4,FALSE),0)-IF(OR($P925="",$P925="없음"),0,100000)),0)</f>
        <v>0</v>
      </c>
      <c r="K925" s="33">
        <f t="array" ref="K925">IF($O925="방문완료",IFERROR(INDEX(설정_코스수당!$B$15:$F$64,MATCH($G925,설정_코스수당!$A$15:$A$64,0),MATCH($E925&amp;"수당",설정_코스수당!$B$14:$F$14,0)),0),0)</f>
        <v>0</v>
      </c>
      <c r="L925" s="33">
        <f t="array" ref="L925">IF($O925="방문완료",IF($H925="",0,IFERROR(INDEX(설정_코스수당!$B$15:$F$64,MATCH($H925,설정_코스수당!$A$15:$A$64,0),MATCH($E925&amp;"수당",설정_코스수당!$B$14:$F$14,0)),0)),0)</f>
        <v>0</v>
      </c>
      <c r="M925" s="33">
        <f>IF($O925="방문완료",IFERROR(VLOOKUP($E925,설정_코스수당!$A$6:$H$10,6,FALSE),0),0)</f>
        <v>0</v>
      </c>
      <c r="N925" s="34">
        <f t="shared" si="26"/>
        <v>0</v>
      </c>
      <c r="O925" s="29"/>
      <c r="P925" s="29"/>
      <c r="Q925" s="29"/>
      <c r="R925" s="32"/>
      <c r="S925" s="29"/>
    </row>
    <row r="926" spans="1:22" ht="19.5" hidden="1" customHeight="1" outlineLevel="1">
      <c r="A926" s="23">
        <v>89</v>
      </c>
      <c r="B926" s="24">
        <f>IF(9&lt;=DAY(DATE(YEAR(설정_코스수당!$K$2),MONTH(설정_코스수당!$K$2)+1,0)),DATE(YEAR(설정_코스수당!$K$2),MONTH(설정_코스수당!$K$2),9),"")</f>
        <v>46182</v>
      </c>
      <c r="C926" s="25"/>
      <c r="D926" s="23"/>
      <c r="E926" s="23"/>
      <c r="F926" s="26"/>
      <c r="G926" s="23"/>
      <c r="H926" s="23"/>
      <c r="I926" s="23"/>
      <c r="J926" s="27">
        <f>IF($O926="방문완료",MAX(0,IFERROR(VLOOKUP($E926,설정_코스수당!$A$6:$H$10,4,FALSE),0)-IF(OR($P926="",$P926="없음"),0,100000)),0)</f>
        <v>0</v>
      </c>
      <c r="K926" s="27">
        <f t="array" ref="K926">IF($O926="방문완료",IFERROR(INDEX(설정_코스수당!$B$15:$F$64,MATCH($G926,설정_코스수당!$A$15:$A$64,0),MATCH($E926&amp;"수당",설정_코스수당!$B$14:$F$14,0)),0),0)</f>
        <v>0</v>
      </c>
      <c r="L926" s="27">
        <f t="array" ref="L926">IF($O926="방문완료",IF($H926="",0,IFERROR(INDEX(설정_코스수당!$B$15:$F$64,MATCH($H926,설정_코스수당!$A$15:$A$64,0),MATCH($E926&amp;"수당",설정_코스수당!$B$14:$F$14,0)),0)),0)</f>
        <v>0</v>
      </c>
      <c r="M926" s="27">
        <f>IF($O926="방문완료",IFERROR(VLOOKUP($E926,설정_코스수당!$A$6:$H$10,6,FALSE),0),0)</f>
        <v>0</v>
      </c>
      <c r="N926" s="28">
        <f t="shared" si="26"/>
        <v>0</v>
      </c>
      <c r="O926" s="23"/>
      <c r="P926" s="23"/>
      <c r="Q926" s="23"/>
      <c r="R926" s="26"/>
      <c r="S926" s="23"/>
    </row>
    <row r="927" spans="1:22" ht="19.5" hidden="1" customHeight="1" outlineLevel="1">
      <c r="A927" s="29">
        <v>90</v>
      </c>
      <c r="B927" s="30">
        <f>IF(9&lt;=DAY(DATE(YEAR(설정_코스수당!$K$2),MONTH(설정_코스수당!$K$2)+1,0)),DATE(YEAR(설정_코스수당!$K$2),MONTH(설정_코스수당!$K$2),9),"")</f>
        <v>46182</v>
      </c>
      <c r="C927" s="31"/>
      <c r="D927" s="29"/>
      <c r="E927" s="29"/>
      <c r="F927" s="32"/>
      <c r="G927" s="29"/>
      <c r="H927" s="29"/>
      <c r="I927" s="29"/>
      <c r="J927" s="33">
        <f>IF($O927="방문완료",MAX(0,IFERROR(VLOOKUP($E927,설정_코스수당!$A$6:$H$10,4,FALSE),0)-IF(OR($P927="",$P927="없음"),0,100000)),0)</f>
        <v>0</v>
      </c>
      <c r="K927" s="33">
        <f t="array" ref="K927">IF($O927="방문완료",IFERROR(INDEX(설정_코스수당!$B$15:$F$64,MATCH($G927,설정_코스수당!$A$15:$A$64,0),MATCH($E927&amp;"수당",설정_코스수당!$B$14:$F$14,0)),0),0)</f>
        <v>0</v>
      </c>
      <c r="L927" s="33">
        <f t="array" ref="L927">IF($O927="방문완료",IF($H927="",0,IFERROR(INDEX(설정_코스수당!$B$15:$F$64,MATCH($H927,설정_코스수당!$A$15:$A$64,0),MATCH($E927&amp;"수당",설정_코스수당!$B$14:$F$14,0)),0)),0)</f>
        <v>0</v>
      </c>
      <c r="M927" s="33">
        <f>IF($O927="방문완료",IFERROR(VLOOKUP($E927,설정_코스수당!$A$6:$H$10,6,FALSE),0),0)</f>
        <v>0</v>
      </c>
      <c r="N927" s="34">
        <f t="shared" si="26"/>
        <v>0</v>
      </c>
      <c r="O927" s="29"/>
      <c r="P927" s="29"/>
      <c r="Q927" s="29"/>
      <c r="R927" s="32"/>
      <c r="S927" s="29"/>
    </row>
    <row r="928" spans="1:22" ht="19.5" hidden="1" customHeight="1" outlineLevel="1">
      <c r="A928" s="23">
        <v>91</v>
      </c>
      <c r="B928" s="24">
        <f>IF(9&lt;=DAY(DATE(YEAR(설정_코스수당!$K$2),MONTH(설정_코스수당!$K$2)+1,0)),DATE(YEAR(설정_코스수당!$K$2),MONTH(설정_코스수당!$K$2),9),"")</f>
        <v>46182</v>
      </c>
      <c r="C928" s="25"/>
      <c r="D928" s="23"/>
      <c r="E928" s="23"/>
      <c r="F928" s="26"/>
      <c r="G928" s="23"/>
      <c r="H928" s="23"/>
      <c r="I928" s="23"/>
      <c r="J928" s="27">
        <f>IF($O928="방문완료",MAX(0,IFERROR(VLOOKUP($E928,설정_코스수당!$A$6:$H$10,4,FALSE),0)-IF(OR($P928="",$P928="없음"),0,100000)),0)</f>
        <v>0</v>
      </c>
      <c r="K928" s="27">
        <f t="array" ref="K928">IF($O928="방문완료",IFERROR(INDEX(설정_코스수당!$B$15:$F$64,MATCH($G928,설정_코스수당!$A$15:$A$64,0),MATCH($E928&amp;"수당",설정_코스수당!$B$14:$F$14,0)),0),0)</f>
        <v>0</v>
      </c>
      <c r="L928" s="27">
        <f t="array" ref="L928">IF($O928="방문완료",IF($H928="",0,IFERROR(INDEX(설정_코스수당!$B$15:$F$64,MATCH($H928,설정_코스수당!$A$15:$A$64,0),MATCH($E928&amp;"수당",설정_코스수당!$B$14:$F$14,0)),0)),0)</f>
        <v>0</v>
      </c>
      <c r="M928" s="27">
        <f>IF($O928="방문완료",IFERROR(VLOOKUP($E928,설정_코스수당!$A$6:$H$10,6,FALSE),0),0)</f>
        <v>0</v>
      </c>
      <c r="N928" s="28">
        <f t="shared" si="26"/>
        <v>0</v>
      </c>
      <c r="O928" s="23"/>
      <c r="P928" s="23"/>
      <c r="Q928" s="23"/>
      <c r="R928" s="26"/>
      <c r="S928" s="23"/>
    </row>
    <row r="929" spans="1:27" ht="19.5" hidden="1" customHeight="1" outlineLevel="1">
      <c r="A929" s="29">
        <v>92</v>
      </c>
      <c r="B929" s="30">
        <f>IF(9&lt;=DAY(DATE(YEAR(설정_코스수당!$K$2),MONTH(설정_코스수당!$K$2)+1,0)),DATE(YEAR(설정_코스수당!$K$2),MONTH(설정_코스수당!$K$2),9),"")</f>
        <v>46182</v>
      </c>
      <c r="C929" s="31"/>
      <c r="D929" s="29"/>
      <c r="E929" s="29"/>
      <c r="F929" s="32"/>
      <c r="G929" s="29"/>
      <c r="H929" s="29"/>
      <c r="I929" s="29"/>
      <c r="J929" s="33">
        <f>IF($O929="방문완료",MAX(0,IFERROR(VLOOKUP($E929,설정_코스수당!$A$6:$H$10,4,FALSE),0)-IF(OR($P929="",$P929="없음"),0,100000)),0)</f>
        <v>0</v>
      </c>
      <c r="K929" s="33">
        <f t="array" ref="K929">IF($O929="방문완료",IFERROR(INDEX(설정_코스수당!$B$15:$F$64,MATCH($G929,설정_코스수당!$A$15:$A$64,0),MATCH($E929&amp;"수당",설정_코스수당!$B$14:$F$14,0)),0),0)</f>
        <v>0</v>
      </c>
      <c r="L929" s="33">
        <f t="array" ref="L929">IF($O929="방문완료",IF($H929="",0,IFERROR(INDEX(설정_코스수당!$B$15:$F$64,MATCH($H929,설정_코스수당!$A$15:$A$64,0),MATCH($E929&amp;"수당",설정_코스수당!$B$14:$F$14,0)),0)),0)</f>
        <v>0</v>
      </c>
      <c r="M929" s="33">
        <f>IF($O929="방문완료",IFERROR(VLOOKUP($E929,설정_코스수당!$A$6:$H$10,6,FALSE),0),0)</f>
        <v>0</v>
      </c>
      <c r="N929" s="34">
        <f t="shared" si="26"/>
        <v>0</v>
      </c>
      <c r="O929" s="29"/>
      <c r="P929" s="29"/>
      <c r="Q929" s="29"/>
      <c r="R929" s="32"/>
      <c r="S929" s="29"/>
    </row>
    <row r="930" spans="1:27" ht="19.5" hidden="1" customHeight="1" outlineLevel="1">
      <c r="A930" s="23">
        <v>93</v>
      </c>
      <c r="B930" s="24">
        <f>IF(9&lt;=DAY(DATE(YEAR(설정_코스수당!$K$2),MONTH(설정_코스수당!$K$2)+1,0)),DATE(YEAR(설정_코스수당!$K$2),MONTH(설정_코스수당!$K$2),9),"")</f>
        <v>46182</v>
      </c>
      <c r="C930" s="25"/>
      <c r="D930" s="23"/>
      <c r="E930" s="23"/>
      <c r="F930" s="26"/>
      <c r="G930" s="23"/>
      <c r="H930" s="23"/>
      <c r="I930" s="23"/>
      <c r="J930" s="27">
        <f>IF($O930="방문완료",MAX(0,IFERROR(VLOOKUP($E930,설정_코스수당!$A$6:$H$10,4,FALSE),0)-IF(OR($P930="",$P930="없음"),0,100000)),0)</f>
        <v>0</v>
      </c>
      <c r="K930" s="27">
        <f t="array" ref="K930">IF($O930="방문완료",IFERROR(INDEX(설정_코스수당!$B$15:$F$64,MATCH($G930,설정_코스수당!$A$15:$A$64,0),MATCH($E930&amp;"수당",설정_코스수당!$B$14:$F$14,0)),0),0)</f>
        <v>0</v>
      </c>
      <c r="L930" s="27">
        <f t="array" ref="L930">IF($O930="방문완료",IF($H930="",0,IFERROR(INDEX(설정_코스수당!$B$15:$F$64,MATCH($H930,설정_코스수당!$A$15:$A$64,0),MATCH($E930&amp;"수당",설정_코스수당!$B$14:$F$14,0)),0)),0)</f>
        <v>0</v>
      </c>
      <c r="M930" s="27">
        <f>IF($O930="방문완료",IFERROR(VLOOKUP($E930,설정_코스수당!$A$6:$H$10,6,FALSE),0),0)</f>
        <v>0</v>
      </c>
      <c r="N930" s="28">
        <f t="shared" si="26"/>
        <v>0</v>
      </c>
      <c r="O930" s="23"/>
      <c r="P930" s="23"/>
      <c r="Q930" s="23"/>
      <c r="R930" s="26"/>
      <c r="S930" s="23"/>
    </row>
    <row r="931" spans="1:27" ht="19.5" hidden="1" customHeight="1" outlineLevel="1">
      <c r="A931" s="29">
        <v>94</v>
      </c>
      <c r="B931" s="30">
        <f>IF(9&lt;=DAY(DATE(YEAR(설정_코스수당!$K$2),MONTH(설정_코스수당!$K$2)+1,0)),DATE(YEAR(설정_코스수당!$K$2),MONTH(설정_코스수당!$K$2),9),"")</f>
        <v>46182</v>
      </c>
      <c r="C931" s="31"/>
      <c r="D931" s="29"/>
      <c r="E931" s="29"/>
      <c r="F931" s="32"/>
      <c r="G931" s="29"/>
      <c r="H931" s="29"/>
      <c r="I931" s="29"/>
      <c r="J931" s="33">
        <f>IF($O931="방문완료",MAX(0,IFERROR(VLOOKUP($E931,설정_코스수당!$A$6:$H$10,4,FALSE),0)-IF(OR($P931="",$P931="없음"),0,100000)),0)</f>
        <v>0</v>
      </c>
      <c r="K931" s="33">
        <f t="array" ref="K931">IF($O931="방문완료",IFERROR(INDEX(설정_코스수당!$B$15:$F$64,MATCH($G931,설정_코스수당!$A$15:$A$64,0),MATCH($E931&amp;"수당",설정_코스수당!$B$14:$F$14,0)),0),0)</f>
        <v>0</v>
      </c>
      <c r="L931" s="33">
        <f t="array" ref="L931">IF($O931="방문완료",IF($H931="",0,IFERROR(INDEX(설정_코스수당!$B$15:$F$64,MATCH($H931,설정_코스수당!$A$15:$A$64,0),MATCH($E931&amp;"수당",설정_코스수당!$B$14:$F$14,0)),0)),0)</f>
        <v>0</v>
      </c>
      <c r="M931" s="33">
        <f>IF($O931="방문완료",IFERROR(VLOOKUP($E931,설정_코스수당!$A$6:$H$10,6,FALSE),0),0)</f>
        <v>0</v>
      </c>
      <c r="N931" s="34">
        <f t="shared" si="26"/>
        <v>0</v>
      </c>
      <c r="O931" s="29"/>
      <c r="P931" s="29"/>
      <c r="Q931" s="29"/>
      <c r="R931" s="32"/>
      <c r="S931" s="29"/>
    </row>
    <row r="932" spans="1:27" ht="19.5" hidden="1" customHeight="1" outlineLevel="1">
      <c r="A932" s="23">
        <v>95</v>
      </c>
      <c r="B932" s="24">
        <f>IF(9&lt;=DAY(DATE(YEAR(설정_코스수당!$K$2),MONTH(설정_코스수당!$K$2)+1,0)),DATE(YEAR(설정_코스수당!$K$2),MONTH(설정_코스수당!$K$2),9),"")</f>
        <v>46182</v>
      </c>
      <c r="C932" s="25"/>
      <c r="D932" s="23"/>
      <c r="E932" s="23"/>
      <c r="F932" s="26"/>
      <c r="G932" s="23"/>
      <c r="H932" s="23"/>
      <c r="I932" s="23"/>
      <c r="J932" s="27">
        <f>IF($O932="방문완료",MAX(0,IFERROR(VLOOKUP($E932,설정_코스수당!$A$6:$H$10,4,FALSE),0)-IF(OR($P932="",$P932="없음"),0,100000)),0)</f>
        <v>0</v>
      </c>
      <c r="K932" s="27">
        <f t="array" ref="K932">IF($O932="방문완료",IFERROR(INDEX(설정_코스수당!$B$15:$F$64,MATCH($G932,설정_코스수당!$A$15:$A$64,0),MATCH($E932&amp;"수당",설정_코스수당!$B$14:$F$14,0)),0),0)</f>
        <v>0</v>
      </c>
      <c r="L932" s="27">
        <f t="array" ref="L932">IF($O932="방문완료",IF($H932="",0,IFERROR(INDEX(설정_코스수당!$B$15:$F$64,MATCH($H932,설정_코스수당!$A$15:$A$64,0),MATCH($E932&amp;"수당",설정_코스수당!$B$14:$F$14,0)),0)),0)</f>
        <v>0</v>
      </c>
      <c r="M932" s="27">
        <f>IF($O932="방문완료",IFERROR(VLOOKUP($E932,설정_코스수당!$A$6:$H$10,6,FALSE),0),0)</f>
        <v>0</v>
      </c>
      <c r="N932" s="28">
        <f t="shared" si="26"/>
        <v>0</v>
      </c>
      <c r="O932" s="23"/>
      <c r="P932" s="23"/>
      <c r="Q932" s="23"/>
      <c r="R932" s="26"/>
      <c r="S932" s="23"/>
    </row>
    <row r="933" spans="1:27" ht="19.5" hidden="1" customHeight="1" outlineLevel="1">
      <c r="A933" s="29">
        <v>96</v>
      </c>
      <c r="B933" s="30">
        <f>IF(9&lt;=DAY(DATE(YEAR(설정_코스수당!$K$2),MONTH(설정_코스수당!$K$2)+1,0)),DATE(YEAR(설정_코스수당!$K$2),MONTH(설정_코스수당!$K$2),9),"")</f>
        <v>46182</v>
      </c>
      <c r="C933" s="31"/>
      <c r="D933" s="29"/>
      <c r="E933" s="29"/>
      <c r="F933" s="32"/>
      <c r="G933" s="29"/>
      <c r="H933" s="29"/>
      <c r="I933" s="29"/>
      <c r="J933" s="33">
        <f>IF($O933="방문완료",MAX(0,IFERROR(VLOOKUP($E933,설정_코스수당!$A$6:$H$10,4,FALSE),0)-IF(OR($P933="",$P933="없음"),0,100000)),0)</f>
        <v>0</v>
      </c>
      <c r="K933" s="33">
        <f t="array" ref="K933">IF($O933="방문완료",IFERROR(INDEX(설정_코스수당!$B$15:$F$64,MATCH($G933,설정_코스수당!$A$15:$A$64,0),MATCH($E933&amp;"수당",설정_코스수당!$B$14:$F$14,0)),0),0)</f>
        <v>0</v>
      </c>
      <c r="L933" s="33">
        <f t="array" ref="L933">IF($O933="방문완료",IF($H933="",0,IFERROR(INDEX(설정_코스수당!$B$15:$F$64,MATCH($H933,설정_코스수당!$A$15:$A$64,0),MATCH($E933&amp;"수당",설정_코스수당!$B$14:$F$14,0)),0)),0)</f>
        <v>0</v>
      </c>
      <c r="M933" s="33">
        <f>IF($O933="방문완료",IFERROR(VLOOKUP($E933,설정_코스수당!$A$6:$H$10,6,FALSE),0),0)</f>
        <v>0</v>
      </c>
      <c r="N933" s="34">
        <f t="shared" si="26"/>
        <v>0</v>
      </c>
      <c r="O933" s="29"/>
      <c r="P933" s="29"/>
      <c r="Q933" s="29"/>
      <c r="R933" s="32"/>
      <c r="S933" s="29"/>
    </row>
    <row r="934" spans="1:27" ht="19.5" hidden="1" customHeight="1" outlineLevel="1">
      <c r="A934" s="23">
        <v>97</v>
      </c>
      <c r="B934" s="24">
        <f>IF(9&lt;=DAY(DATE(YEAR(설정_코스수당!$K$2),MONTH(설정_코스수당!$K$2)+1,0)),DATE(YEAR(설정_코스수당!$K$2),MONTH(설정_코스수당!$K$2),9),"")</f>
        <v>46182</v>
      </c>
      <c r="C934" s="25"/>
      <c r="D934" s="23"/>
      <c r="E934" s="23"/>
      <c r="F934" s="26"/>
      <c r="G934" s="23"/>
      <c r="H934" s="23"/>
      <c r="I934" s="23"/>
      <c r="J934" s="27">
        <f>IF($O934="방문완료",MAX(0,IFERROR(VLOOKUP($E934,설정_코스수당!$A$6:$H$10,4,FALSE),0)-IF(OR($P934="",$P934="없음"),0,100000)),0)</f>
        <v>0</v>
      </c>
      <c r="K934" s="27">
        <f t="array" ref="K934">IF($O934="방문완료",IFERROR(INDEX(설정_코스수당!$B$15:$F$64,MATCH($G934,설정_코스수당!$A$15:$A$64,0),MATCH($E934&amp;"수당",설정_코스수당!$B$14:$F$14,0)),0),0)</f>
        <v>0</v>
      </c>
      <c r="L934" s="27">
        <f t="array" ref="L934">IF($O934="방문완료",IF($H934="",0,IFERROR(INDEX(설정_코스수당!$B$15:$F$64,MATCH($H934,설정_코스수당!$A$15:$A$64,0),MATCH($E934&amp;"수당",설정_코스수당!$B$14:$F$14,0)),0)),0)</f>
        <v>0</v>
      </c>
      <c r="M934" s="27">
        <f>IF($O934="방문완료",IFERROR(VLOOKUP($E934,설정_코스수당!$A$6:$H$10,6,FALSE),0),0)</f>
        <v>0</v>
      </c>
      <c r="N934" s="28">
        <f t="shared" si="26"/>
        <v>0</v>
      </c>
      <c r="O934" s="23"/>
      <c r="P934" s="23"/>
      <c r="Q934" s="23"/>
      <c r="R934" s="26"/>
      <c r="S934" s="23"/>
    </row>
    <row r="935" spans="1:27" ht="19.5" hidden="1" customHeight="1" outlineLevel="1">
      <c r="A935" s="29">
        <v>98</v>
      </c>
      <c r="B935" s="30">
        <f>IF(9&lt;=DAY(DATE(YEAR(설정_코스수당!$K$2),MONTH(설정_코스수당!$K$2)+1,0)),DATE(YEAR(설정_코스수당!$K$2),MONTH(설정_코스수당!$K$2),9),"")</f>
        <v>46182</v>
      </c>
      <c r="C935" s="31"/>
      <c r="D935" s="29"/>
      <c r="E935" s="29"/>
      <c r="F935" s="32"/>
      <c r="G935" s="29"/>
      <c r="H935" s="29"/>
      <c r="I935" s="29"/>
      <c r="J935" s="33">
        <f>IF($O935="방문완료",MAX(0,IFERROR(VLOOKUP($E935,설정_코스수당!$A$6:$H$10,4,FALSE),0)-IF(OR($P935="",$P935="없음"),0,100000)),0)</f>
        <v>0</v>
      </c>
      <c r="K935" s="33">
        <f t="array" ref="K935">IF($O935="방문완료",IFERROR(INDEX(설정_코스수당!$B$15:$F$64,MATCH($G935,설정_코스수당!$A$15:$A$64,0),MATCH($E935&amp;"수당",설정_코스수당!$B$14:$F$14,0)),0),0)</f>
        <v>0</v>
      </c>
      <c r="L935" s="33">
        <f t="array" ref="L935">IF($O935="방문완료",IF($H935="",0,IFERROR(INDEX(설정_코스수당!$B$15:$F$64,MATCH($H935,설정_코스수당!$A$15:$A$64,0),MATCH($E935&amp;"수당",설정_코스수당!$B$14:$F$14,0)),0)),0)</f>
        <v>0</v>
      </c>
      <c r="M935" s="33">
        <f>IF($O935="방문완료",IFERROR(VLOOKUP($E935,설정_코스수당!$A$6:$H$10,6,FALSE),0),0)</f>
        <v>0</v>
      </c>
      <c r="N935" s="34">
        <f t="shared" si="26"/>
        <v>0</v>
      </c>
      <c r="O935" s="29"/>
      <c r="P935" s="29"/>
      <c r="Q935" s="29"/>
      <c r="R935" s="32"/>
      <c r="S935" s="29"/>
    </row>
    <row r="936" spans="1:27" ht="19.5" hidden="1" customHeight="1" outlineLevel="1">
      <c r="A936" s="23">
        <v>99</v>
      </c>
      <c r="B936" s="24">
        <f>IF(9&lt;=DAY(DATE(YEAR(설정_코스수당!$K$2),MONTH(설정_코스수당!$K$2)+1,0)),DATE(YEAR(설정_코스수당!$K$2),MONTH(설정_코스수당!$K$2),9),"")</f>
        <v>46182</v>
      </c>
      <c r="C936" s="25"/>
      <c r="D936" s="23"/>
      <c r="E936" s="23"/>
      <c r="F936" s="26"/>
      <c r="G936" s="23"/>
      <c r="H936" s="23"/>
      <c r="I936" s="23"/>
      <c r="J936" s="27">
        <f>IF($O936="방문완료",MAX(0,IFERROR(VLOOKUP($E936,설정_코스수당!$A$6:$H$10,4,FALSE),0)-IF(OR($P936="",$P936="없음"),0,100000)),0)</f>
        <v>0</v>
      </c>
      <c r="K936" s="27">
        <f t="array" ref="K936">IF($O936="방문완료",IFERROR(INDEX(설정_코스수당!$B$15:$F$64,MATCH($G936,설정_코스수당!$A$15:$A$64,0),MATCH($E936&amp;"수당",설정_코스수당!$B$14:$F$14,0)),0),0)</f>
        <v>0</v>
      </c>
      <c r="L936" s="27">
        <f t="array" ref="L936">IF($O936="방문완료",IF($H936="",0,IFERROR(INDEX(설정_코스수당!$B$15:$F$64,MATCH($H936,설정_코스수당!$A$15:$A$64,0),MATCH($E936&amp;"수당",설정_코스수당!$B$14:$F$14,0)),0)),0)</f>
        <v>0</v>
      </c>
      <c r="M936" s="27">
        <f>IF($O936="방문완료",IFERROR(VLOOKUP($E936,설정_코스수당!$A$6:$H$10,6,FALSE),0),0)</f>
        <v>0</v>
      </c>
      <c r="N936" s="28">
        <f t="shared" si="26"/>
        <v>0</v>
      </c>
      <c r="O936" s="23"/>
      <c r="P936" s="23"/>
      <c r="Q936" s="23"/>
      <c r="R936" s="26"/>
      <c r="S936" s="23"/>
    </row>
    <row r="937" spans="1:27" ht="19.5" hidden="1" customHeight="1" outlineLevel="1">
      <c r="A937" s="29">
        <v>100</v>
      </c>
      <c r="B937" s="30">
        <f>IF(9&lt;=DAY(DATE(YEAR(설정_코스수당!$K$2),MONTH(설정_코스수당!$K$2)+1,0)),DATE(YEAR(설정_코스수당!$K$2),MONTH(설정_코스수당!$K$2),9),"")</f>
        <v>46182</v>
      </c>
      <c r="C937" s="31"/>
      <c r="D937" s="29"/>
      <c r="E937" s="29"/>
      <c r="F937" s="32"/>
      <c r="G937" s="29"/>
      <c r="H937" s="29"/>
      <c r="I937" s="29"/>
      <c r="J937" s="33">
        <f>IF($O937="방문완료",MAX(0,IFERROR(VLOOKUP($E937,설정_코스수당!$A$6:$H$10,4,FALSE),0)-IF(OR($P937="",$P937="없음"),0,100000)),0)</f>
        <v>0</v>
      </c>
      <c r="K937" s="33">
        <f t="array" ref="K937">IF($O937="방문완료",IFERROR(INDEX(설정_코스수당!$B$15:$F$64,MATCH($G937,설정_코스수당!$A$15:$A$64,0),MATCH($E937&amp;"수당",설정_코스수당!$B$14:$F$14,0)),0),0)</f>
        <v>0</v>
      </c>
      <c r="L937" s="33">
        <f t="array" ref="L937">IF($O937="방문완료",IF($H937="",0,IFERROR(INDEX(설정_코스수당!$B$15:$F$64,MATCH($H937,설정_코스수당!$A$15:$A$64,0),MATCH($E937&amp;"수당",설정_코스수당!$B$14:$F$14,0)),0)),0)</f>
        <v>0</v>
      </c>
      <c r="M937" s="33">
        <f>IF($O937="방문완료",IFERROR(VLOOKUP($E937,설정_코스수당!$A$6:$H$10,6,FALSE),0),0)</f>
        <v>0</v>
      </c>
      <c r="N937" s="34">
        <f t="shared" si="26"/>
        <v>0</v>
      </c>
      <c r="O937" s="29"/>
      <c r="P937" s="29"/>
      <c r="Q937" s="29"/>
      <c r="R937" s="32"/>
      <c r="S937" s="29"/>
    </row>
    <row r="938" spans="1:27" ht="19.5" hidden="1" customHeight="1" outlineLevel="1">
      <c r="A938" s="36" t="s">
        <v>79</v>
      </c>
      <c r="B938" s="37"/>
      <c r="C938" s="38"/>
      <c r="D938" s="37"/>
      <c r="E938" s="37"/>
      <c r="F938" s="37"/>
      <c r="G938" s="37"/>
      <c r="H938" s="37"/>
      <c r="I938" s="37"/>
      <c r="J938" s="37">
        <f>IF($O938="방문완료",MAX(0,IFERROR(VLOOKUP($E938,설정_코스수당!$A$6:$H$10,4,FALSE),0)-IF(OR($P938="",$P938="없음"),0,100000)),0)</f>
        <v>0</v>
      </c>
      <c r="O938" s="18"/>
      <c r="P938" s="14"/>
      <c r="Q938" s="18"/>
      <c r="S938" s="18"/>
    </row>
    <row r="939" spans="1:27" ht="21" customHeight="1" collapsed="1">
      <c r="A939" s="123" t="str">
        <f>IF(10&lt;=DAY(DATE(YEAR(설정_코스수당!$K$2),MONTH(설정_코스수당!$K$2)+1,0)),TEXT(DATE(YEAR(설정_코스수당!$K$2),MONTH(설정_코스수당!$K$2),10),"yyyy-mm-dd")&amp;"  |  예약관리 100슬롯","")</f>
        <v>2026-06-10  |  예약관리 100슬롯</v>
      </c>
      <c r="B939" s="124"/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 spans="1:27" ht="19.5" hidden="1" customHeight="1" outlineLevel="1">
      <c r="A940" s="20" t="s">
        <v>41</v>
      </c>
      <c r="B940" s="20" t="s">
        <v>42</v>
      </c>
      <c r="C940" s="39" t="s">
        <v>43</v>
      </c>
      <c r="D940" s="20" t="s">
        <v>44</v>
      </c>
      <c r="E940" s="20" t="s">
        <v>45</v>
      </c>
      <c r="F940" s="20" t="s">
        <v>46</v>
      </c>
      <c r="G940" s="20" t="s">
        <v>47</v>
      </c>
      <c r="H940" s="20" t="s">
        <v>48</v>
      </c>
      <c r="I940" s="20" t="s">
        <v>49</v>
      </c>
      <c r="J940" s="20" t="s">
        <v>50</v>
      </c>
      <c r="K940" s="20" t="s">
        <v>51</v>
      </c>
      <c r="L940" s="20" t="s">
        <v>52</v>
      </c>
      <c r="M940" s="20" t="s">
        <v>53</v>
      </c>
      <c r="N940" s="20" t="s">
        <v>54</v>
      </c>
      <c r="O940" s="20" t="s">
        <v>55</v>
      </c>
      <c r="P940" s="20" t="s">
        <v>56</v>
      </c>
      <c r="Q940" s="18"/>
      <c r="R940" s="20" t="s">
        <v>58</v>
      </c>
      <c r="S940" s="20" t="s">
        <v>59</v>
      </c>
      <c r="U940" s="122" t="str">
        <f>IF(10&lt;=DAY(DATE(YEAR(설정_코스수당!$K$2),MONTH(설정_코스수당!$K$2)+1,0)),TEXT(DATE(YEAR(설정_코스수당!$K$2),MONTH(설정_코스수당!$K$2),10),"yyyy-mm-dd")&amp;" 일일 상태","")</f>
        <v>2026-06-10 일일 상태</v>
      </c>
      <c r="V940" s="125"/>
      <c r="W940" s="122" t="s">
        <v>3</v>
      </c>
      <c r="X940" s="125"/>
    </row>
    <row r="941" spans="1:27" ht="19.5" hidden="1" customHeight="1" outlineLevel="1">
      <c r="A941" s="23">
        <v>1</v>
      </c>
      <c r="B941" s="24">
        <f>IF(10&lt;=DAY(DATE(YEAR(설정_코스수당!$K$2),MONTH(설정_코스수당!$K$2)+1,0)),DATE(YEAR(설정_코스수당!$K$2),MONTH(설정_코스수당!$K$2),10),"")</f>
        <v>46183</v>
      </c>
      <c r="C941" s="25"/>
      <c r="D941" s="23"/>
      <c r="E941" s="23"/>
      <c r="F941" s="26"/>
      <c r="G941" s="23"/>
      <c r="H941" s="23"/>
      <c r="I941" s="23"/>
      <c r="J941" s="27">
        <f>IF($O941="방문완료",MAX(0,IFERROR(VLOOKUP($E941,설정_코스수당!$A$6:$H$10,4,FALSE),0)-IF(OR($P941="",$P941="없음"),0,100000)),0)</f>
        <v>0</v>
      </c>
      <c r="K941" s="27">
        <f t="array" ref="K941">IF($O941="방문완료",IFERROR(INDEX(설정_코스수당!$B$15:$F$64,MATCH($G941,설정_코스수당!$A$15:$A$64,0),MATCH($E941&amp;"수당",설정_코스수당!$B$14:$F$14,0)),0),0)</f>
        <v>0</v>
      </c>
      <c r="L941" s="27">
        <f t="array" ref="L941">IF($O941="방문완료",IF($H941="",0,IFERROR(INDEX(설정_코스수당!$B$15:$F$64,MATCH($H941,설정_코스수당!$A$15:$A$64,0),MATCH($E941&amp;"수당",설정_코스수당!$B$14:$F$14,0)),0)),0)</f>
        <v>0</v>
      </c>
      <c r="M941" s="27">
        <f>IF($O941="방문완료",IFERROR(VLOOKUP($E941,설정_코스수당!$A$6:$H$10,6,FALSE),0),0)</f>
        <v>0</v>
      </c>
      <c r="N941" s="28">
        <f t="shared" ref="N941:N972" si="27">IF($O941="방문완료",1,0)</f>
        <v>0</v>
      </c>
      <c r="O941" s="23"/>
      <c r="P941" s="23"/>
      <c r="Q941" s="23"/>
      <c r="R941" s="26"/>
      <c r="S941" s="23"/>
      <c r="U941" s="104" t="s">
        <v>63</v>
      </c>
      <c r="V941" s="105">
        <f>IF(10&lt;=DAY(DATE(YEAR(설정_코스수당!$K$2),MONTH(설정_코스수당!$K$2)+1,0)),COUNTIFS($B:$B,DATE(YEAR(설정_코스수당!$K$2),MONTH(설정_코스수당!$K$2),10),$O:$O,"&lt;&gt;"),"")</f>
        <v>0</v>
      </c>
      <c r="W941" s="104" t="s">
        <v>6</v>
      </c>
      <c r="X941" s="105">
        <f>IF(10&lt;=DAY(DATE(YEAR(설정_코스수당!$K$2),MONTH(설정_코스수당!$K$2)+1,0)),COUNTIFS($B:$B,DATE(YEAR(설정_코스수당!$K$2),MONTH(설정_코스수당!$K$2),10),$E:$E,"A",$O:$O,"방문완료"),"")</f>
        <v>0</v>
      </c>
    </row>
    <row r="942" spans="1:27" ht="19.5" hidden="1" customHeight="1" outlineLevel="1">
      <c r="A942" s="29">
        <v>2</v>
      </c>
      <c r="B942" s="30">
        <f>IF(10&lt;=DAY(DATE(YEAR(설정_코스수당!$K$2),MONTH(설정_코스수당!$K$2)+1,0)),DATE(YEAR(설정_코스수당!$K$2),MONTH(설정_코스수당!$K$2),10),"")</f>
        <v>46183</v>
      </c>
      <c r="C942" s="31"/>
      <c r="D942" s="29"/>
      <c r="E942" s="29"/>
      <c r="F942" s="32"/>
      <c r="G942" s="29"/>
      <c r="H942" s="29"/>
      <c r="I942" s="29"/>
      <c r="J942" s="33">
        <f>IF($O942="방문완료",MAX(0,IFERROR(VLOOKUP($E942,설정_코스수당!$A$6:$H$10,4,FALSE),0)-IF(OR($P942="",$P942="없음"),0,100000)),0)</f>
        <v>0</v>
      </c>
      <c r="K942" s="33">
        <f t="array" ref="K942">IF($O942="방문완료",IFERROR(INDEX(설정_코스수당!$B$15:$F$64,MATCH($G942,설정_코스수당!$A$15:$A$64,0),MATCH($E942&amp;"수당",설정_코스수당!$B$14:$F$14,0)),0),0)</f>
        <v>0</v>
      </c>
      <c r="L942" s="33">
        <f t="array" ref="L942">IF($O942="방문완료",IF($H942="",0,IFERROR(INDEX(설정_코스수당!$B$15:$F$64,MATCH($H942,설정_코스수당!$A$15:$A$64,0),MATCH($E942&amp;"수당",설정_코스수당!$B$14:$F$14,0)),0)),0)</f>
        <v>0</v>
      </c>
      <c r="M942" s="33">
        <f>IF($O942="방문완료",IFERROR(VLOOKUP($E942,설정_코스수당!$A$6:$H$10,6,FALSE),0),0)</f>
        <v>0</v>
      </c>
      <c r="N942" s="34">
        <f t="shared" si="27"/>
        <v>0</v>
      </c>
      <c r="O942" s="29"/>
      <c r="P942" s="29"/>
      <c r="Q942" s="29"/>
      <c r="R942" s="32"/>
      <c r="S942" s="29"/>
      <c r="U942" s="104" t="s">
        <v>62</v>
      </c>
      <c r="V942" s="105">
        <f>IF(10&lt;=DAY(DATE(YEAR(설정_코스수당!$K$2),MONTH(설정_코스수당!$K$2)+1,0)),COUNTIFS($B:$B,DATE(YEAR(설정_코스수당!$K$2),MONTH(설정_코스수당!$K$2),10),$O:$O,"방문완료"),"")</f>
        <v>0</v>
      </c>
      <c r="W942" s="104" t="s">
        <v>9</v>
      </c>
      <c r="X942" s="105">
        <f>IF(10&lt;=DAY(DATE(YEAR(설정_코스수당!$K$2),MONTH(설정_코스수당!$K$2)+1,0)),COUNTIFS($B:$B,DATE(YEAR(설정_코스수당!$K$2),MONTH(설정_코스수당!$K$2),10),$E:$E,"B",$O:$O,"방문완료"),"")</f>
        <v>0</v>
      </c>
    </row>
    <row r="943" spans="1:27" ht="19.5" hidden="1" customHeight="1" outlineLevel="1">
      <c r="A943" s="23">
        <v>3</v>
      </c>
      <c r="B943" s="24">
        <f>IF(10&lt;=DAY(DATE(YEAR(설정_코스수당!$K$2),MONTH(설정_코스수당!$K$2)+1,0)),DATE(YEAR(설정_코스수당!$K$2),MONTH(설정_코스수당!$K$2),10),"")</f>
        <v>46183</v>
      </c>
      <c r="C943" s="25"/>
      <c r="D943" s="23"/>
      <c r="E943" s="23"/>
      <c r="F943" s="26"/>
      <c r="G943" s="23"/>
      <c r="H943" s="23"/>
      <c r="I943" s="23"/>
      <c r="J943" s="27">
        <f>IF($O943="방문완료",MAX(0,IFERROR(VLOOKUP($E943,설정_코스수당!$A$6:$H$10,4,FALSE),0)-IF(OR($P943="",$P943="없음"),0,100000)),0)</f>
        <v>0</v>
      </c>
      <c r="K943" s="27">
        <f t="array" ref="K943">IF($O943="방문완료",IFERROR(INDEX(설정_코스수당!$B$15:$F$64,MATCH($G943,설정_코스수당!$A$15:$A$64,0),MATCH($E943&amp;"수당",설정_코스수당!$B$14:$F$14,0)),0),0)</f>
        <v>0</v>
      </c>
      <c r="L943" s="27">
        <f t="array" ref="L943">IF($O943="방문완료",IF($H943="",0,IFERROR(INDEX(설정_코스수당!$B$15:$F$64,MATCH($H943,설정_코스수당!$A$15:$A$64,0),MATCH($E943&amp;"수당",설정_코스수당!$B$14:$F$14,0)),0)),0)</f>
        <v>0</v>
      </c>
      <c r="M943" s="27">
        <f>IF($O943="방문완료",IFERROR(VLOOKUP($E943,설정_코스수당!$A$6:$H$10,6,FALSE),0),0)</f>
        <v>0</v>
      </c>
      <c r="N943" s="28">
        <f t="shared" si="27"/>
        <v>0</v>
      </c>
      <c r="O943" s="23"/>
      <c r="P943" s="23"/>
      <c r="Q943" s="23"/>
      <c r="R943" s="26"/>
      <c r="S943" s="23"/>
      <c r="U943" s="104" t="s">
        <v>68</v>
      </c>
      <c r="V943" s="105" t="str">
        <f>IF(10&lt;=DAY(DATE(YEAR(설정_코스수당!$K$2),MONTH(설정_코스수당!$K$2)+1,0)),COUNTIFS($B:$B,DATE(YEAR(설정_코스수당!$K$2),MONTH(설정_코스수당!$K$2),10),$O:$O,"노쇼")&amp;"/"&amp;COUNTIFS($B:$B,DATE(YEAR(설정_코스수당!$K$2),MONTH(설정_코스수당!$K$2),10),$O:$O,"취소"),"")</f>
        <v>0/0</v>
      </c>
      <c r="W943" s="104" t="s">
        <v>12</v>
      </c>
      <c r="X943" s="105">
        <f>IF(10&lt;=DAY(DATE(YEAR(설정_코스수당!$K$2),MONTH(설정_코스수당!$K$2)+1,0)),COUNTIFS($B:$B,DATE(YEAR(설정_코스수당!$K$2),MONTH(설정_코스수당!$K$2),10),$E:$E,"C",$O:$O,"방문완료"),"")</f>
        <v>0</v>
      </c>
    </row>
    <row r="944" spans="1:27" ht="19.5" hidden="1" customHeight="1" outlineLevel="1">
      <c r="A944" s="29">
        <v>4</v>
      </c>
      <c r="B944" s="30">
        <f>IF(10&lt;=DAY(DATE(YEAR(설정_코스수당!$K$2),MONTH(설정_코스수당!$K$2)+1,0)),DATE(YEAR(설정_코스수당!$K$2),MONTH(설정_코스수당!$K$2),10),"")</f>
        <v>46183</v>
      </c>
      <c r="C944" s="31"/>
      <c r="D944" s="29"/>
      <c r="E944" s="29"/>
      <c r="F944" s="32"/>
      <c r="G944" s="29"/>
      <c r="H944" s="29"/>
      <c r="I944" s="29"/>
      <c r="J944" s="33">
        <f>IF($O944="방문완료",MAX(0,IFERROR(VLOOKUP($E944,설정_코스수당!$A$6:$H$10,4,FALSE),0)-IF(OR($P944="",$P944="없음"),0,100000)),0)</f>
        <v>0</v>
      </c>
      <c r="K944" s="33">
        <f t="array" ref="K944">IF($O944="방문완료",IFERROR(INDEX(설정_코스수당!$B$15:$F$64,MATCH($G944,설정_코스수당!$A$15:$A$64,0),MATCH($E944&amp;"수당",설정_코스수당!$B$14:$F$14,0)),0),0)</f>
        <v>0</v>
      </c>
      <c r="L944" s="33">
        <f t="array" ref="L944">IF($O944="방문완료",IF($H944="",0,IFERROR(INDEX(설정_코스수당!$B$15:$F$64,MATCH($H944,설정_코스수당!$A$15:$A$64,0),MATCH($E944&amp;"수당",설정_코스수당!$B$14:$F$14,0)),0)),0)</f>
        <v>0</v>
      </c>
      <c r="M944" s="33">
        <f>IF($O944="방문완료",IFERROR(VLOOKUP($E944,설정_코스수당!$A$6:$H$10,6,FALSE),0),0)</f>
        <v>0</v>
      </c>
      <c r="N944" s="34">
        <f t="shared" si="27"/>
        <v>0</v>
      </c>
      <c r="O944" s="29"/>
      <c r="P944" s="29"/>
      <c r="Q944" s="29"/>
      <c r="R944" s="32"/>
      <c r="S944" s="29"/>
      <c r="U944" s="104" t="s">
        <v>69</v>
      </c>
      <c r="V944" s="106">
        <f>IF(10&lt;=DAY(DATE(YEAR(설정_코스수당!$K$2),MONTH(설정_코스수당!$K$2)+1,0)),SUMIFS($J:$J,$B:$B,DATE(YEAR(설정_코스수당!$K$2),MONTH(설정_코스수당!$K$2),10),$O:$O,"방문완료"),"")</f>
        <v>0</v>
      </c>
      <c r="W944" s="104" t="s">
        <v>15</v>
      </c>
      <c r="X944" s="105">
        <f>IF(10&lt;=DAY(DATE(YEAR(설정_코스수당!$K$2),MONTH(설정_코스수당!$K$2)+1,0)),COUNTIFS($B:$B,DATE(YEAR(설정_코스수당!$K$2),MONTH(설정_코스수당!$K$2),10),$E:$E,"D",$O:$O,"방문완료"),"")</f>
        <v>0</v>
      </c>
    </row>
    <row r="945" spans="1:24" ht="19.5" hidden="1" customHeight="1" outlineLevel="1">
      <c r="A945" s="23">
        <v>5</v>
      </c>
      <c r="B945" s="24">
        <f>IF(10&lt;=DAY(DATE(YEAR(설정_코스수당!$K$2),MONTH(설정_코스수당!$K$2)+1,0)),DATE(YEAR(설정_코스수당!$K$2),MONTH(설정_코스수당!$K$2),10),"")</f>
        <v>46183</v>
      </c>
      <c r="C945" s="25"/>
      <c r="D945" s="23"/>
      <c r="E945" s="23"/>
      <c r="F945" s="26"/>
      <c r="G945" s="23"/>
      <c r="H945" s="23"/>
      <c r="I945" s="23"/>
      <c r="J945" s="27">
        <f>IF($O945="방문완료",MAX(0,IFERROR(VLOOKUP($E945,설정_코스수당!$A$6:$H$10,4,FALSE),0)-IF(OR($P945="",$P945="없음"),0,100000)),0)</f>
        <v>0</v>
      </c>
      <c r="K945" s="27">
        <f t="array" ref="K945">IF($O945="방문완료",IFERROR(INDEX(설정_코스수당!$B$15:$F$64,MATCH($G945,설정_코스수당!$A$15:$A$64,0),MATCH($E945&amp;"수당",설정_코스수당!$B$14:$F$14,0)),0),0)</f>
        <v>0</v>
      </c>
      <c r="L945" s="27">
        <f t="array" ref="L945">IF($O945="방문완료",IF($H945="",0,IFERROR(INDEX(설정_코스수당!$B$15:$F$64,MATCH($H945,설정_코스수당!$A$15:$A$64,0),MATCH($E945&amp;"수당",설정_코스수당!$B$14:$F$14,0)),0)),0)</f>
        <v>0</v>
      </c>
      <c r="M945" s="27">
        <f>IF($O945="방문완료",IFERROR(VLOOKUP($E945,설정_코스수당!$A$6:$H$10,6,FALSE),0),0)</f>
        <v>0</v>
      </c>
      <c r="N945" s="28">
        <f t="shared" si="27"/>
        <v>0</v>
      </c>
      <c r="O945" s="23"/>
      <c r="P945" s="23"/>
      <c r="Q945" s="23"/>
      <c r="R945" s="26"/>
      <c r="S945" s="23"/>
      <c r="U945" s="104" t="s">
        <v>70</v>
      </c>
      <c r="V945" s="106">
        <f>IF(10&lt;=DAY(DATE(YEAR(설정_코스수당!$K$2),MONTH(설정_코스수당!$K$2)+1,0)),SUMIFS($K:$K,$B:$B,DATE(YEAR(설정_코스수당!$K$2),MONTH(설정_코스수당!$K$2),10),$O:$O,"방문완료")+SUMIFS($L:$L,$B:$B,DATE(YEAR(설정_코스수당!$K$2),MONTH(설정_코스수당!$K$2),10),$O:$O,"방문완료"),"")</f>
        <v>0</v>
      </c>
      <c r="W945" s="104" t="s">
        <v>18</v>
      </c>
      <c r="X945" s="105">
        <f>IF(10&lt;=DAY(DATE(YEAR(설정_코스수당!$K$2),MONTH(설정_코스수당!$K$2)+1,0)),COUNTIFS($B:$B,DATE(YEAR(설정_코스수당!$K$2),MONTH(설정_코스수당!$K$2),10),$E:$E,"E",$O:$O,"방문완료"),"")</f>
        <v>0</v>
      </c>
    </row>
    <row r="946" spans="1:24" ht="19.5" hidden="1" customHeight="1" outlineLevel="1">
      <c r="A946" s="29">
        <v>6</v>
      </c>
      <c r="B946" s="30">
        <f>IF(10&lt;=DAY(DATE(YEAR(설정_코스수당!$K$2),MONTH(설정_코스수당!$K$2)+1,0)),DATE(YEAR(설정_코스수당!$K$2),MONTH(설정_코스수당!$K$2),10),"")</f>
        <v>46183</v>
      </c>
      <c r="C946" s="31"/>
      <c r="D946" s="29"/>
      <c r="E946" s="29"/>
      <c r="F946" s="32"/>
      <c r="G946" s="29"/>
      <c r="H946" s="29"/>
      <c r="I946" s="29"/>
      <c r="J946" s="33">
        <f>IF($O946="방문완료",MAX(0,IFERROR(VLOOKUP($E946,설정_코스수당!$A$6:$H$10,4,FALSE),0)-IF(OR($P946="",$P946="없음"),0,100000)),0)</f>
        <v>0</v>
      </c>
      <c r="K946" s="33">
        <f t="array" ref="K946">IF($O946="방문완료",IFERROR(INDEX(설정_코스수당!$B$15:$F$64,MATCH($G946,설정_코스수당!$A$15:$A$64,0),MATCH($E946&amp;"수당",설정_코스수당!$B$14:$F$14,0)),0),0)</f>
        <v>0</v>
      </c>
      <c r="L946" s="33">
        <f t="array" ref="L946">IF($O946="방문완료",IF($H946="",0,IFERROR(INDEX(설정_코스수당!$B$15:$F$64,MATCH($H946,설정_코스수당!$A$15:$A$64,0),MATCH($E946&amp;"수당",설정_코스수당!$B$14:$F$14,0)),0)),0)</f>
        <v>0</v>
      </c>
      <c r="M946" s="33">
        <f>IF($O946="방문완료",IFERROR(VLOOKUP($E946,설정_코스수당!$A$6:$H$10,6,FALSE),0),0)</f>
        <v>0</v>
      </c>
      <c r="N946" s="34">
        <f t="shared" si="27"/>
        <v>0</v>
      </c>
      <c r="O946" s="29"/>
      <c r="P946" s="29"/>
      <c r="Q946" s="29"/>
      <c r="R946" s="32"/>
      <c r="S946" s="29"/>
      <c r="U946" s="104" t="s">
        <v>53</v>
      </c>
      <c r="V946" s="106">
        <f>IF(10&lt;=DAY(DATE(YEAR(설정_코스수당!$K$2),MONTH(설정_코스수당!$K$2)+1,0)),SUMIFS($M:$M,$B:$B,DATE(YEAR(설정_코스수당!$K$2),MONTH(설정_코스수당!$K$2),10),$O:$O,"방문완료"),"")</f>
        <v>0</v>
      </c>
      <c r="W946" s="104" t="s">
        <v>71</v>
      </c>
      <c r="X946" s="107">
        <f>IF(10&lt;=DAY(DATE(YEAR(설정_코스수당!$K$2),MONTH(설정_코스수당!$K$2)+1,0)),COUNTIFS($B:$B,DATE(YEAR(설정_코스수당!$K$2),MONTH(설정_코스수당!$K$2),10),$O:$O,"방문완료",$P:$P,"&lt;&gt;",$P:$P,"&lt;&gt;없음"),"")</f>
        <v>0</v>
      </c>
    </row>
    <row r="947" spans="1:24" ht="19.5" hidden="1" customHeight="1" outlineLevel="1">
      <c r="A947" s="23">
        <v>7</v>
      </c>
      <c r="B947" s="24">
        <f>IF(10&lt;=DAY(DATE(YEAR(설정_코스수당!$K$2),MONTH(설정_코스수당!$K$2)+1,0)),DATE(YEAR(설정_코스수당!$K$2),MONTH(설정_코스수당!$K$2),10),"")</f>
        <v>46183</v>
      </c>
      <c r="C947" s="25"/>
      <c r="D947" s="23"/>
      <c r="E947" s="23"/>
      <c r="F947" s="26"/>
      <c r="G947" s="23"/>
      <c r="H947" s="23"/>
      <c r="I947" s="23"/>
      <c r="J947" s="27">
        <f>IF($O947="방문완료",MAX(0,IFERROR(VLOOKUP($E947,설정_코스수당!$A$6:$H$10,4,FALSE),0)-IF(OR($P947="",$P947="없음"),0,100000)),0)</f>
        <v>0</v>
      </c>
      <c r="K947" s="27">
        <f t="array" ref="K947">IF($O947="방문완료",IFERROR(INDEX(설정_코스수당!$B$15:$F$64,MATCH($G947,설정_코스수당!$A$15:$A$64,0),MATCH($E947&amp;"수당",설정_코스수당!$B$14:$F$14,0)),0),0)</f>
        <v>0</v>
      </c>
      <c r="L947" s="27">
        <f t="array" ref="L947">IF($O947="방문완료",IF($H947="",0,IFERROR(INDEX(설정_코스수당!$B$15:$F$64,MATCH($H947,설정_코스수당!$A$15:$A$64,0),MATCH($E947&amp;"수당",설정_코스수당!$B$14:$F$14,0)),0)),0)</f>
        <v>0</v>
      </c>
      <c r="M947" s="27">
        <f>IF($O947="방문완료",IFERROR(VLOOKUP($E947,설정_코스수당!$A$6:$H$10,6,FALSE),0),0)</f>
        <v>0</v>
      </c>
      <c r="N947" s="28">
        <f t="shared" si="27"/>
        <v>0</v>
      </c>
      <c r="O947" s="23"/>
      <c r="P947" s="23"/>
      <c r="Q947" s="23"/>
      <c r="R947" s="26"/>
      <c r="S947" s="23"/>
      <c r="U947" s="104" t="s">
        <v>72</v>
      </c>
      <c r="V947" s="108">
        <f>IF(10&lt;=DAY(DATE(YEAR(설정_코스수당!$K$2),MONTH(설정_코스수당!$K$2)+1,0)),COUNTIFS($B:$B,DATE(YEAR(설정_코스수당!$K$2),MONTH(설정_코스수당!$K$2),10),$O:$O,"방문완료",$P:$P,"&lt;&gt;",$P:$P,"&lt;&gt;없음")*100000,"")</f>
        <v>0</v>
      </c>
      <c r="W947" s="104" t="s">
        <v>73</v>
      </c>
      <c r="X947" s="105">
        <f>IF(10&lt;=DAY(DATE(YEAR(설정_코스수당!$K$2),MONTH(설정_코스수당!$K$2)+1,0)),COUNTIFS($B:$B,DATE(YEAR(설정_코스수당!$K$2),MONTH(설정_코스수당!$K$2),10),$G:$G,"&lt;&gt;",$O:$O,"방문완료")+COUNTIFS($B:$B,DATE(YEAR(설정_코스수당!$K$2),MONTH(설정_코스수당!$K$2),10),$H:$H,"&lt;&gt;",$O:$O,"방문완료"),"")</f>
        <v>0</v>
      </c>
    </row>
    <row r="948" spans="1:24" ht="19.5" hidden="1" customHeight="1" outlineLevel="1">
      <c r="A948" s="29">
        <v>8</v>
      </c>
      <c r="B948" s="30">
        <f>IF(10&lt;=DAY(DATE(YEAR(설정_코스수당!$K$2),MONTH(설정_코스수당!$K$2)+1,0)),DATE(YEAR(설정_코스수당!$K$2),MONTH(설정_코스수당!$K$2),10),"")</f>
        <v>46183</v>
      </c>
      <c r="C948" s="31"/>
      <c r="D948" s="29"/>
      <c r="E948" s="29"/>
      <c r="F948" s="32"/>
      <c r="G948" s="29"/>
      <c r="H948" s="29"/>
      <c r="I948" s="29"/>
      <c r="J948" s="33">
        <f>IF($O948="방문완료",MAX(0,IFERROR(VLOOKUP($E948,설정_코스수당!$A$6:$H$10,4,FALSE),0)-IF(OR($P948="",$P948="없음"),0,100000)),0)</f>
        <v>0</v>
      </c>
      <c r="K948" s="33">
        <f t="array" ref="K948">IF($O948="방문완료",IFERROR(INDEX(설정_코스수당!$B$15:$F$64,MATCH($G948,설정_코스수당!$A$15:$A$64,0),MATCH($E948&amp;"수당",설정_코스수당!$B$14:$F$14,0)),0),0)</f>
        <v>0</v>
      </c>
      <c r="L948" s="33">
        <f t="array" ref="L948">IF($O948="방문완료",IF($H948="",0,IFERROR(INDEX(설정_코스수당!$B$15:$F$64,MATCH($H948,설정_코스수당!$A$15:$A$64,0),MATCH($E948&amp;"수당",설정_코스수당!$B$14:$F$14,0)),0)),0)</f>
        <v>0</v>
      </c>
      <c r="M948" s="33">
        <f>IF($O948="방문완료",IFERROR(VLOOKUP($E948,설정_코스수당!$A$6:$H$10,6,FALSE),0),0)</f>
        <v>0</v>
      </c>
      <c r="N948" s="34">
        <f t="shared" si="27"/>
        <v>0</v>
      </c>
      <c r="O948" s="29"/>
      <c r="P948" s="29"/>
      <c r="Q948" s="29"/>
      <c r="R948" s="32"/>
      <c r="S948" s="29"/>
      <c r="U948" s="104" t="s">
        <v>74</v>
      </c>
      <c r="V948" s="108">
        <f>IF(10&lt;=DAY(DATE(YEAR(설정_코스수당!$K$2),MONTH(설정_코스수당!$K$2)+1,0)),SUM($U$952:$U$959),"")</f>
        <v>0</v>
      </c>
      <c r="W948" s="122" t="str">
        <f>IF(10&lt;=DAY(DATE(YEAR(설정_코스수당!$K$2),MONTH(설정_코스수당!$K$2)+1,0)),"계 : "&amp;TEXT(V944-V948,"#,##0")&amp;" 동","")</f>
        <v>계 : 0 동</v>
      </c>
      <c r="X948" s="122"/>
    </row>
    <row r="949" spans="1:24" ht="19.5" hidden="1" customHeight="1" outlineLevel="1">
      <c r="A949" s="23">
        <v>9</v>
      </c>
      <c r="B949" s="24">
        <f>IF(10&lt;=DAY(DATE(YEAR(설정_코스수당!$K$2),MONTH(설정_코스수당!$K$2)+1,0)),DATE(YEAR(설정_코스수당!$K$2),MONTH(설정_코스수당!$K$2),10),"")</f>
        <v>46183</v>
      </c>
      <c r="C949" s="25"/>
      <c r="D949" s="23"/>
      <c r="E949" s="23"/>
      <c r="F949" s="26"/>
      <c r="G949" s="23"/>
      <c r="H949" s="23"/>
      <c r="I949" s="23"/>
      <c r="J949" s="27">
        <f>IF($O949="방문완료",MAX(0,IFERROR(VLOOKUP($E949,설정_코스수당!$A$6:$H$10,4,FALSE),0)-IF(OR($P949="",$P949="없음"),0,100000)),0)</f>
        <v>0</v>
      </c>
      <c r="K949" s="27">
        <f t="array" ref="K949">IF($O949="방문완료",IFERROR(INDEX(설정_코스수당!$B$15:$F$64,MATCH($G949,설정_코스수당!$A$15:$A$64,0),MATCH($E949&amp;"수당",설정_코스수당!$B$14:$F$14,0)),0),0)</f>
        <v>0</v>
      </c>
      <c r="L949" s="27">
        <f t="array" ref="L949">IF($O949="방문완료",IF($H949="",0,IFERROR(INDEX(설정_코스수당!$B$15:$F$64,MATCH($H949,설정_코스수당!$A$15:$A$64,0),MATCH($E949&amp;"수당",설정_코스수당!$B$14:$F$14,0)),0)),0)</f>
        <v>0</v>
      </c>
      <c r="M949" s="27">
        <f>IF($O949="방문완료",IFERROR(VLOOKUP($E949,설정_코스수당!$A$6:$H$10,6,FALSE),0),0)</f>
        <v>0</v>
      </c>
      <c r="N949" s="28">
        <f t="shared" si="27"/>
        <v>0</v>
      </c>
      <c r="O949" s="23"/>
      <c r="P949" s="23"/>
      <c r="Q949" s="23"/>
      <c r="R949" s="26"/>
      <c r="S949" s="23"/>
    </row>
    <row r="950" spans="1:24" ht="19.5" hidden="1" customHeight="1" outlineLevel="1">
      <c r="A950" s="29">
        <v>10</v>
      </c>
      <c r="B950" s="30">
        <f>IF(10&lt;=DAY(DATE(YEAR(설정_코스수당!$K$2),MONTH(설정_코스수당!$K$2)+1,0)),DATE(YEAR(설정_코스수당!$K$2),MONTH(설정_코스수당!$K$2),10),"")</f>
        <v>46183</v>
      </c>
      <c r="C950" s="31"/>
      <c r="D950" s="29"/>
      <c r="E950" s="29"/>
      <c r="F950" s="32"/>
      <c r="G950" s="29"/>
      <c r="H950" s="29"/>
      <c r="I950" s="29"/>
      <c r="J950" s="33">
        <f>IF($O950="방문완료",MAX(0,IFERROR(VLOOKUP($E950,설정_코스수당!$A$6:$H$10,4,FALSE),0)-IF(OR($P950="",$P950="없음"),0,100000)),0)</f>
        <v>0</v>
      </c>
      <c r="K950" s="33">
        <f t="array" ref="K950">IF($O950="방문완료",IFERROR(INDEX(설정_코스수당!$B$15:$F$64,MATCH($G950,설정_코스수당!$A$15:$A$64,0),MATCH($E950&amp;"수당",설정_코스수당!$B$14:$F$14,0)),0),0)</f>
        <v>0</v>
      </c>
      <c r="L950" s="33">
        <f t="array" ref="L950">IF($O950="방문완료",IF($H950="",0,IFERROR(INDEX(설정_코스수당!$B$15:$F$64,MATCH($H950,설정_코스수당!$A$15:$A$64,0),MATCH($E950&amp;"수당",설정_코스수당!$B$14:$F$14,0)),0)),0)</f>
        <v>0</v>
      </c>
      <c r="M950" s="33">
        <f>IF($O950="방문완료",IFERROR(VLOOKUP($E950,설정_코스수당!$A$6:$H$10,6,FALSE),0),0)</f>
        <v>0</v>
      </c>
      <c r="N950" s="34">
        <f t="shared" si="27"/>
        <v>0</v>
      </c>
      <c r="O950" s="29"/>
      <c r="P950" s="29"/>
      <c r="Q950" s="29"/>
      <c r="R950" s="32"/>
      <c r="S950" s="29"/>
      <c r="U950" s="120" t="s">
        <v>75</v>
      </c>
      <c r="V950" s="121"/>
      <c r="W950" s="121"/>
      <c r="X950" s="121"/>
    </row>
    <row r="951" spans="1:24" ht="19.5" hidden="1" customHeight="1" outlineLevel="1">
      <c r="A951" s="23">
        <v>11</v>
      </c>
      <c r="B951" s="24">
        <f>IF(10&lt;=DAY(DATE(YEAR(설정_코스수당!$K$2),MONTH(설정_코스수당!$K$2)+1,0)),DATE(YEAR(설정_코스수당!$K$2),MONTH(설정_코스수당!$K$2),10),"")</f>
        <v>46183</v>
      </c>
      <c r="C951" s="25"/>
      <c r="D951" s="23"/>
      <c r="E951" s="23"/>
      <c r="F951" s="26"/>
      <c r="G951" s="23"/>
      <c r="H951" s="23"/>
      <c r="I951" s="23"/>
      <c r="J951" s="27">
        <f>IF($O951="방문완료",MAX(0,IFERROR(VLOOKUP($E951,설정_코스수당!$A$6:$H$10,4,FALSE),0)-IF(OR($P951="",$P951="없음"),0,100000)),0)</f>
        <v>0</v>
      </c>
      <c r="K951" s="27">
        <f t="array" ref="K951">IF($O951="방문완료",IFERROR(INDEX(설정_코스수당!$B$15:$F$64,MATCH($G951,설정_코스수당!$A$15:$A$64,0),MATCH($E951&amp;"수당",설정_코스수당!$B$14:$F$14,0)),0),0)</f>
        <v>0</v>
      </c>
      <c r="L951" s="27">
        <f t="array" ref="L951">IF($O951="방문완료",IF($H951="",0,IFERROR(INDEX(설정_코스수당!$B$15:$F$64,MATCH($H951,설정_코스수당!$A$15:$A$64,0),MATCH($E951&amp;"수당",설정_코스수당!$B$14:$F$14,0)),0)),0)</f>
        <v>0</v>
      </c>
      <c r="M951" s="27">
        <f>IF($O951="방문완료",IFERROR(VLOOKUP($E951,설정_코스수당!$A$6:$H$10,6,FALSE),0),0)</f>
        <v>0</v>
      </c>
      <c r="N951" s="28">
        <f t="shared" si="27"/>
        <v>0</v>
      </c>
      <c r="O951" s="23"/>
      <c r="P951" s="23"/>
      <c r="Q951" s="23"/>
      <c r="R951" s="26"/>
      <c r="S951" s="23"/>
      <c r="U951" s="109" t="s">
        <v>76</v>
      </c>
      <c r="V951" s="109" t="s">
        <v>77</v>
      </c>
      <c r="W951" s="109" t="s">
        <v>78</v>
      </c>
      <c r="X951" s="109" t="s">
        <v>58</v>
      </c>
    </row>
    <row r="952" spans="1:24" ht="19.5" hidden="1" customHeight="1" outlineLevel="1">
      <c r="A952" s="29">
        <v>12</v>
      </c>
      <c r="B952" s="30">
        <f>IF(10&lt;=DAY(DATE(YEAR(설정_코스수당!$K$2),MONTH(설정_코스수당!$K$2)+1,0)),DATE(YEAR(설정_코스수당!$K$2),MONTH(설정_코스수당!$K$2),10),"")</f>
        <v>46183</v>
      </c>
      <c r="C952" s="31"/>
      <c r="D952" s="29"/>
      <c r="E952" s="29"/>
      <c r="F952" s="32"/>
      <c r="G952" s="29"/>
      <c r="H952" s="29"/>
      <c r="I952" s="29"/>
      <c r="J952" s="33">
        <f>IF($O952="방문완료",MAX(0,IFERROR(VLOOKUP($E952,설정_코스수당!$A$6:$H$10,4,FALSE),0)-IF(OR($P952="",$P952="없음"),0,100000)),0)</f>
        <v>0</v>
      </c>
      <c r="K952" s="33">
        <f t="array" ref="K952">IF($O952="방문완료",IFERROR(INDEX(설정_코스수당!$B$15:$F$64,MATCH($G952,설정_코스수당!$A$15:$A$64,0),MATCH($E952&amp;"수당",설정_코스수당!$B$14:$F$14,0)),0),0)</f>
        <v>0</v>
      </c>
      <c r="L952" s="33">
        <f t="array" ref="L952">IF($O952="방문완료",IF($H952="",0,IFERROR(INDEX(설정_코스수당!$B$15:$F$64,MATCH($H952,설정_코스수당!$A$15:$A$64,0),MATCH($E952&amp;"수당",설정_코스수당!$B$14:$F$14,0)),0)),0)</f>
        <v>0</v>
      </c>
      <c r="M952" s="33">
        <f>IF($O952="방문완료",IFERROR(VLOOKUP($E952,설정_코스수당!$A$6:$H$10,6,FALSE),0),0)</f>
        <v>0</v>
      </c>
      <c r="N952" s="34">
        <f t="shared" si="27"/>
        <v>0</v>
      </c>
      <c r="O952" s="29"/>
      <c r="P952" s="29"/>
      <c r="Q952" s="29"/>
      <c r="R952" s="32"/>
      <c r="S952" s="29"/>
      <c r="U952" s="113"/>
      <c r="V952" s="111"/>
      <c r="W952" s="112"/>
      <c r="X952" s="111"/>
    </row>
    <row r="953" spans="1:24" ht="19.5" hidden="1" customHeight="1" outlineLevel="1">
      <c r="A953" s="23">
        <v>13</v>
      </c>
      <c r="B953" s="24">
        <f>IF(10&lt;=DAY(DATE(YEAR(설정_코스수당!$K$2),MONTH(설정_코스수당!$K$2)+1,0)),DATE(YEAR(설정_코스수당!$K$2),MONTH(설정_코스수당!$K$2),10),"")</f>
        <v>46183</v>
      </c>
      <c r="C953" s="25"/>
      <c r="D953" s="23"/>
      <c r="E953" s="23"/>
      <c r="F953" s="26"/>
      <c r="G953" s="23"/>
      <c r="H953" s="23"/>
      <c r="I953" s="23"/>
      <c r="J953" s="27">
        <f>IF($O953="방문완료",MAX(0,IFERROR(VLOOKUP($E953,설정_코스수당!$A$6:$H$10,4,FALSE),0)-IF(OR($P953="",$P953="없음"),0,100000)),0)</f>
        <v>0</v>
      </c>
      <c r="K953" s="27">
        <f t="array" ref="K953">IF($O953="방문완료",IFERROR(INDEX(설정_코스수당!$B$15:$F$64,MATCH($G953,설정_코스수당!$A$15:$A$64,0),MATCH($E953&amp;"수당",설정_코스수당!$B$14:$F$14,0)),0),0)</f>
        <v>0</v>
      </c>
      <c r="L953" s="27">
        <f t="array" ref="L953">IF($O953="방문완료",IF($H953="",0,IFERROR(INDEX(설정_코스수당!$B$15:$F$64,MATCH($H953,설정_코스수당!$A$15:$A$64,0),MATCH($E953&amp;"수당",설정_코스수당!$B$14:$F$14,0)),0)),0)</f>
        <v>0</v>
      </c>
      <c r="M953" s="27">
        <f>IF($O953="방문완료",IFERROR(VLOOKUP($E953,설정_코스수당!$A$6:$H$10,6,FALSE),0),0)</f>
        <v>0</v>
      </c>
      <c r="N953" s="28">
        <f t="shared" si="27"/>
        <v>0</v>
      </c>
      <c r="O953" s="23"/>
      <c r="P953" s="23"/>
      <c r="Q953" s="23"/>
      <c r="R953" s="26"/>
      <c r="S953" s="23"/>
      <c r="U953" s="113"/>
      <c r="V953" s="111"/>
      <c r="W953" s="112"/>
      <c r="X953" s="111"/>
    </row>
    <row r="954" spans="1:24" ht="19.5" hidden="1" customHeight="1" outlineLevel="1">
      <c r="A954" s="29">
        <v>14</v>
      </c>
      <c r="B954" s="30">
        <f>IF(10&lt;=DAY(DATE(YEAR(설정_코스수당!$K$2),MONTH(설정_코스수당!$K$2)+1,0)),DATE(YEAR(설정_코스수당!$K$2),MONTH(설정_코스수당!$K$2),10),"")</f>
        <v>46183</v>
      </c>
      <c r="C954" s="31"/>
      <c r="D954" s="29"/>
      <c r="E954" s="29"/>
      <c r="F954" s="32"/>
      <c r="G954" s="29"/>
      <c r="H954" s="29"/>
      <c r="I954" s="29"/>
      <c r="J954" s="33">
        <f>IF($O954="방문완료",MAX(0,IFERROR(VLOOKUP($E954,설정_코스수당!$A$6:$H$10,4,FALSE),0)-IF(OR($P954="",$P954="없음"),0,100000)),0)</f>
        <v>0</v>
      </c>
      <c r="K954" s="33">
        <f t="array" ref="K954">IF($O954="방문완료",IFERROR(INDEX(설정_코스수당!$B$15:$F$64,MATCH($G954,설정_코스수당!$A$15:$A$64,0),MATCH($E954&amp;"수당",설정_코스수당!$B$14:$F$14,0)),0),0)</f>
        <v>0</v>
      </c>
      <c r="L954" s="33">
        <f t="array" ref="L954">IF($O954="방문완료",IF($H954="",0,IFERROR(INDEX(설정_코스수당!$B$15:$F$64,MATCH($H954,설정_코스수당!$A$15:$A$64,0),MATCH($E954&amp;"수당",설정_코스수당!$B$14:$F$14,0)),0)),0)</f>
        <v>0</v>
      </c>
      <c r="M954" s="33">
        <f>IF($O954="방문완료",IFERROR(VLOOKUP($E954,설정_코스수당!$A$6:$H$10,6,FALSE),0),0)</f>
        <v>0</v>
      </c>
      <c r="N954" s="34">
        <f t="shared" si="27"/>
        <v>0</v>
      </c>
      <c r="O954" s="29"/>
      <c r="P954" s="29"/>
      <c r="Q954" s="29"/>
      <c r="R954" s="32"/>
      <c r="S954" s="29"/>
      <c r="U954" s="113"/>
      <c r="V954" s="111"/>
      <c r="W954" s="112"/>
      <c r="X954" s="111"/>
    </row>
    <row r="955" spans="1:24" ht="19.5" hidden="1" customHeight="1" outlineLevel="1">
      <c r="A955" s="23">
        <v>15</v>
      </c>
      <c r="B955" s="24">
        <f>IF(10&lt;=DAY(DATE(YEAR(설정_코스수당!$K$2),MONTH(설정_코스수당!$K$2)+1,0)),DATE(YEAR(설정_코스수당!$K$2),MONTH(설정_코스수당!$K$2),10),"")</f>
        <v>46183</v>
      </c>
      <c r="C955" s="25"/>
      <c r="D955" s="23"/>
      <c r="E955" s="23"/>
      <c r="F955" s="26"/>
      <c r="G955" s="23"/>
      <c r="H955" s="23"/>
      <c r="I955" s="23"/>
      <c r="J955" s="27">
        <f>IF($O955="방문완료",MAX(0,IFERROR(VLOOKUP($E955,설정_코스수당!$A$6:$H$10,4,FALSE),0)-IF(OR($P955="",$P955="없음"),0,100000)),0)</f>
        <v>0</v>
      </c>
      <c r="K955" s="27">
        <f t="array" ref="K955">IF($O955="방문완료",IFERROR(INDEX(설정_코스수당!$B$15:$F$64,MATCH($G955,설정_코스수당!$A$15:$A$64,0),MATCH($E955&amp;"수당",설정_코스수당!$B$14:$F$14,0)),0),0)</f>
        <v>0</v>
      </c>
      <c r="L955" s="27">
        <f t="array" ref="L955">IF($O955="방문완료",IF($H955="",0,IFERROR(INDEX(설정_코스수당!$B$15:$F$64,MATCH($H955,설정_코스수당!$A$15:$A$64,0),MATCH($E955&amp;"수당",설정_코스수당!$B$14:$F$14,0)),0)),0)</f>
        <v>0</v>
      </c>
      <c r="M955" s="27">
        <f>IF($O955="방문완료",IFERROR(VLOOKUP($E955,설정_코스수당!$A$6:$H$10,6,FALSE),0),0)</f>
        <v>0</v>
      </c>
      <c r="N955" s="28">
        <f t="shared" si="27"/>
        <v>0</v>
      </c>
      <c r="O955" s="23"/>
      <c r="P955" s="23"/>
      <c r="Q955" s="23"/>
      <c r="R955" s="26"/>
      <c r="S955" s="23"/>
      <c r="U955" s="113"/>
      <c r="V955" s="111"/>
      <c r="W955" s="112"/>
      <c r="X955" s="111"/>
    </row>
    <row r="956" spans="1:24" ht="19.5" hidden="1" customHeight="1" outlineLevel="1">
      <c r="A956" s="29">
        <v>16</v>
      </c>
      <c r="B956" s="30">
        <f>IF(10&lt;=DAY(DATE(YEAR(설정_코스수당!$K$2),MONTH(설정_코스수당!$K$2)+1,0)),DATE(YEAR(설정_코스수당!$K$2),MONTH(설정_코스수당!$K$2),10),"")</f>
        <v>46183</v>
      </c>
      <c r="C956" s="31"/>
      <c r="D956" s="29"/>
      <c r="E956" s="29"/>
      <c r="F956" s="32"/>
      <c r="G956" s="29"/>
      <c r="H956" s="29"/>
      <c r="I956" s="29"/>
      <c r="J956" s="33">
        <f>IF($O956="방문완료",MAX(0,IFERROR(VLOOKUP($E956,설정_코스수당!$A$6:$H$10,4,FALSE),0)-IF(OR($P956="",$P956="없음"),0,100000)),0)</f>
        <v>0</v>
      </c>
      <c r="K956" s="33">
        <f t="array" ref="K956">IF($O956="방문완료",IFERROR(INDEX(설정_코스수당!$B$15:$F$64,MATCH($G956,설정_코스수당!$A$15:$A$64,0),MATCH($E956&amp;"수당",설정_코스수당!$B$14:$F$14,0)),0),0)</f>
        <v>0</v>
      </c>
      <c r="L956" s="33">
        <f t="array" ref="L956">IF($O956="방문완료",IF($H956="",0,IFERROR(INDEX(설정_코스수당!$B$15:$F$64,MATCH($H956,설정_코스수당!$A$15:$A$64,0),MATCH($E956&amp;"수당",설정_코스수당!$B$14:$F$14,0)),0)),0)</f>
        <v>0</v>
      </c>
      <c r="M956" s="33">
        <f>IF($O956="방문완료",IFERROR(VLOOKUP($E956,설정_코스수당!$A$6:$H$10,6,FALSE),0),0)</f>
        <v>0</v>
      </c>
      <c r="N956" s="34">
        <f t="shared" si="27"/>
        <v>0</v>
      </c>
      <c r="O956" s="29"/>
      <c r="P956" s="29"/>
      <c r="Q956" s="29"/>
      <c r="R956" s="32"/>
      <c r="S956" s="29"/>
      <c r="U956" s="113"/>
      <c r="V956" s="111"/>
      <c r="W956" s="112"/>
      <c r="X956" s="111"/>
    </row>
    <row r="957" spans="1:24" ht="19.5" hidden="1" customHeight="1" outlineLevel="1">
      <c r="A957" s="23">
        <v>17</v>
      </c>
      <c r="B957" s="24">
        <f>IF(10&lt;=DAY(DATE(YEAR(설정_코스수당!$K$2),MONTH(설정_코스수당!$K$2)+1,0)),DATE(YEAR(설정_코스수당!$K$2),MONTH(설정_코스수당!$K$2),10),"")</f>
        <v>46183</v>
      </c>
      <c r="C957" s="25"/>
      <c r="D957" s="23"/>
      <c r="E957" s="23"/>
      <c r="F957" s="26"/>
      <c r="G957" s="23"/>
      <c r="H957" s="23"/>
      <c r="I957" s="23"/>
      <c r="J957" s="27">
        <f>IF($O957="방문완료",MAX(0,IFERROR(VLOOKUP($E957,설정_코스수당!$A$6:$H$10,4,FALSE),0)-IF(OR($P957="",$P957="없음"),0,100000)),0)</f>
        <v>0</v>
      </c>
      <c r="K957" s="27">
        <f t="array" ref="K957">IF($O957="방문완료",IFERROR(INDEX(설정_코스수당!$B$15:$F$64,MATCH($G957,설정_코스수당!$A$15:$A$64,0),MATCH($E957&amp;"수당",설정_코스수당!$B$14:$F$14,0)),0),0)</f>
        <v>0</v>
      </c>
      <c r="L957" s="27">
        <f t="array" ref="L957">IF($O957="방문완료",IF($H957="",0,IFERROR(INDEX(설정_코스수당!$B$15:$F$64,MATCH($H957,설정_코스수당!$A$15:$A$64,0),MATCH($E957&amp;"수당",설정_코스수당!$B$14:$F$14,0)),0)),0)</f>
        <v>0</v>
      </c>
      <c r="M957" s="27">
        <f>IF($O957="방문완료",IFERROR(VLOOKUP($E957,설정_코스수당!$A$6:$H$10,6,FALSE),0),0)</f>
        <v>0</v>
      </c>
      <c r="N957" s="28">
        <f t="shared" si="27"/>
        <v>0</v>
      </c>
      <c r="O957" s="23"/>
      <c r="P957" s="23"/>
      <c r="Q957" s="23"/>
      <c r="R957" s="26"/>
      <c r="S957" s="23"/>
      <c r="U957" s="113"/>
      <c r="V957" s="111"/>
      <c r="W957" s="112"/>
      <c r="X957" s="111"/>
    </row>
    <row r="958" spans="1:24" ht="19.5" hidden="1" customHeight="1" outlineLevel="1">
      <c r="A958" s="29">
        <v>18</v>
      </c>
      <c r="B958" s="30">
        <f>IF(10&lt;=DAY(DATE(YEAR(설정_코스수당!$K$2),MONTH(설정_코스수당!$K$2)+1,0)),DATE(YEAR(설정_코스수당!$K$2),MONTH(설정_코스수당!$K$2),10),"")</f>
        <v>46183</v>
      </c>
      <c r="C958" s="31"/>
      <c r="D958" s="29"/>
      <c r="E958" s="29"/>
      <c r="F958" s="32"/>
      <c r="G958" s="29"/>
      <c r="H958" s="29"/>
      <c r="I958" s="29"/>
      <c r="J958" s="33">
        <f>IF($O958="방문완료",MAX(0,IFERROR(VLOOKUP($E958,설정_코스수당!$A$6:$H$10,4,FALSE),0)-IF(OR($P958="",$P958="없음"),0,100000)),0)</f>
        <v>0</v>
      </c>
      <c r="K958" s="33">
        <f t="array" ref="K958">IF($O958="방문완료",IFERROR(INDEX(설정_코스수당!$B$15:$F$64,MATCH($G958,설정_코스수당!$A$15:$A$64,0),MATCH($E958&amp;"수당",설정_코스수당!$B$14:$F$14,0)),0),0)</f>
        <v>0</v>
      </c>
      <c r="L958" s="33">
        <f t="array" ref="L958">IF($O958="방문완료",IF($H958="",0,IFERROR(INDEX(설정_코스수당!$B$15:$F$64,MATCH($H958,설정_코스수당!$A$15:$A$64,0),MATCH($E958&amp;"수당",설정_코스수당!$B$14:$F$14,0)),0)),0)</f>
        <v>0</v>
      </c>
      <c r="M958" s="33">
        <f>IF($O958="방문완료",IFERROR(VLOOKUP($E958,설정_코스수당!$A$6:$H$10,6,FALSE),0),0)</f>
        <v>0</v>
      </c>
      <c r="N958" s="34">
        <f t="shared" si="27"/>
        <v>0</v>
      </c>
      <c r="O958" s="29"/>
      <c r="P958" s="29"/>
      <c r="Q958" s="29"/>
      <c r="R958" s="32"/>
      <c r="S958" s="29"/>
      <c r="U958" s="113"/>
      <c r="V958" s="111"/>
      <c r="W958" s="112"/>
      <c r="X958" s="111"/>
    </row>
    <row r="959" spans="1:24" ht="19.5" hidden="1" customHeight="1" outlineLevel="1">
      <c r="A959" s="23">
        <v>19</v>
      </c>
      <c r="B959" s="24">
        <f>IF(10&lt;=DAY(DATE(YEAR(설정_코스수당!$K$2),MONTH(설정_코스수당!$K$2)+1,0)),DATE(YEAR(설정_코스수당!$K$2),MONTH(설정_코스수당!$K$2),10),"")</f>
        <v>46183</v>
      </c>
      <c r="C959" s="25"/>
      <c r="D959" s="23"/>
      <c r="E959" s="23"/>
      <c r="F959" s="26"/>
      <c r="G959" s="23"/>
      <c r="H959" s="23"/>
      <c r="I959" s="23"/>
      <c r="J959" s="27">
        <f>IF($O959="방문완료",MAX(0,IFERROR(VLOOKUP($E959,설정_코스수당!$A$6:$H$10,4,FALSE),0)-IF(OR($P959="",$P959="없음"),0,100000)),0)</f>
        <v>0</v>
      </c>
      <c r="K959" s="27">
        <f t="array" ref="K959">IF($O959="방문완료",IFERROR(INDEX(설정_코스수당!$B$15:$F$64,MATCH($G959,설정_코스수당!$A$15:$A$64,0),MATCH($E959&amp;"수당",설정_코스수당!$B$14:$F$14,0)),0),0)</f>
        <v>0</v>
      </c>
      <c r="L959" s="27">
        <f t="array" ref="L959">IF($O959="방문완료",IF($H959="",0,IFERROR(INDEX(설정_코스수당!$B$15:$F$64,MATCH($H959,설정_코스수당!$A$15:$A$64,0),MATCH($E959&amp;"수당",설정_코스수당!$B$14:$F$14,0)),0)),0)</f>
        <v>0</v>
      </c>
      <c r="M959" s="27">
        <f>IF($O959="방문완료",IFERROR(VLOOKUP($E959,설정_코스수당!$A$6:$H$10,6,FALSE),0),0)</f>
        <v>0</v>
      </c>
      <c r="N959" s="28">
        <f t="shared" si="27"/>
        <v>0</v>
      </c>
      <c r="O959" s="23"/>
      <c r="P959" s="23"/>
      <c r="Q959" s="23"/>
      <c r="R959" s="26"/>
      <c r="S959" s="23"/>
      <c r="U959" s="113"/>
      <c r="V959" s="111"/>
      <c r="W959" s="112"/>
      <c r="X959" s="111"/>
    </row>
    <row r="960" spans="1:24" ht="19.5" hidden="1" customHeight="1" outlineLevel="1">
      <c r="A960" s="29">
        <v>20</v>
      </c>
      <c r="B960" s="30">
        <f>IF(10&lt;=DAY(DATE(YEAR(설정_코스수당!$K$2),MONTH(설정_코스수당!$K$2)+1,0)),DATE(YEAR(설정_코스수당!$K$2),MONTH(설정_코스수당!$K$2),10),"")</f>
        <v>46183</v>
      </c>
      <c r="C960" s="31"/>
      <c r="D960" s="29"/>
      <c r="E960" s="29"/>
      <c r="F960" s="32"/>
      <c r="G960" s="29"/>
      <c r="H960" s="29"/>
      <c r="I960" s="29"/>
      <c r="J960" s="33">
        <f>IF($O960="방문완료",MAX(0,IFERROR(VLOOKUP($E960,설정_코스수당!$A$6:$H$10,4,FALSE),0)-IF(OR($P960="",$P960="없음"),0,100000)),0)</f>
        <v>0</v>
      </c>
      <c r="K960" s="33">
        <f t="array" ref="K960">IF($O960="방문완료",IFERROR(INDEX(설정_코스수당!$B$15:$F$64,MATCH($G960,설정_코스수당!$A$15:$A$64,0),MATCH($E960&amp;"수당",설정_코스수당!$B$14:$F$14,0)),0),0)</f>
        <v>0</v>
      </c>
      <c r="L960" s="33">
        <f t="array" ref="L960">IF($O960="방문완료",IF($H960="",0,IFERROR(INDEX(설정_코스수당!$B$15:$F$64,MATCH($H960,설정_코스수당!$A$15:$A$64,0),MATCH($E960&amp;"수당",설정_코스수당!$B$14:$F$14,0)),0)),0)</f>
        <v>0</v>
      </c>
      <c r="M960" s="33">
        <f>IF($O960="방문완료",IFERROR(VLOOKUP($E960,설정_코스수당!$A$6:$H$10,6,FALSE),0),0)</f>
        <v>0</v>
      </c>
      <c r="N960" s="34">
        <f t="shared" si="27"/>
        <v>0</v>
      </c>
      <c r="O960" s="29"/>
      <c r="P960" s="29"/>
      <c r="Q960" s="29"/>
      <c r="R960" s="32"/>
      <c r="S960" s="29"/>
    </row>
    <row r="961" spans="1:19" ht="19.5" hidden="1" customHeight="1" outlineLevel="1">
      <c r="A961" s="23">
        <v>21</v>
      </c>
      <c r="B961" s="24">
        <f>IF(10&lt;=DAY(DATE(YEAR(설정_코스수당!$K$2),MONTH(설정_코스수당!$K$2)+1,0)),DATE(YEAR(설정_코스수당!$K$2),MONTH(설정_코스수당!$K$2),10),"")</f>
        <v>46183</v>
      </c>
      <c r="C961" s="25"/>
      <c r="D961" s="23"/>
      <c r="E961" s="23"/>
      <c r="F961" s="26"/>
      <c r="G961" s="23"/>
      <c r="H961" s="23"/>
      <c r="I961" s="23"/>
      <c r="J961" s="27">
        <f>IF($O961="방문완료",MAX(0,IFERROR(VLOOKUP($E961,설정_코스수당!$A$6:$H$10,4,FALSE),0)-IF(OR($P961="",$P961="없음"),0,100000)),0)</f>
        <v>0</v>
      </c>
      <c r="K961" s="27">
        <f t="array" ref="K961">IF($O961="방문완료",IFERROR(INDEX(설정_코스수당!$B$15:$F$64,MATCH($G961,설정_코스수당!$A$15:$A$64,0),MATCH($E961&amp;"수당",설정_코스수당!$B$14:$F$14,0)),0),0)</f>
        <v>0</v>
      </c>
      <c r="L961" s="27">
        <f t="array" ref="L961">IF($O961="방문완료",IF($H961="",0,IFERROR(INDEX(설정_코스수당!$B$15:$F$64,MATCH($H961,설정_코스수당!$A$15:$A$64,0),MATCH($E961&amp;"수당",설정_코스수당!$B$14:$F$14,0)),0)),0)</f>
        <v>0</v>
      </c>
      <c r="M961" s="27">
        <f>IF($O961="방문완료",IFERROR(VLOOKUP($E961,설정_코스수당!$A$6:$H$10,6,FALSE),0),0)</f>
        <v>0</v>
      </c>
      <c r="N961" s="28">
        <f t="shared" si="27"/>
        <v>0</v>
      </c>
      <c r="O961" s="23"/>
      <c r="P961" s="23"/>
      <c r="Q961" s="23"/>
      <c r="R961" s="26"/>
      <c r="S961" s="23"/>
    </row>
    <row r="962" spans="1:19" ht="19.5" hidden="1" customHeight="1" outlineLevel="1">
      <c r="A962" s="29">
        <v>22</v>
      </c>
      <c r="B962" s="30">
        <f>IF(10&lt;=DAY(DATE(YEAR(설정_코스수당!$K$2),MONTH(설정_코스수당!$K$2)+1,0)),DATE(YEAR(설정_코스수당!$K$2),MONTH(설정_코스수당!$K$2),10),"")</f>
        <v>46183</v>
      </c>
      <c r="C962" s="31"/>
      <c r="D962" s="29"/>
      <c r="E962" s="29"/>
      <c r="F962" s="32"/>
      <c r="G962" s="29"/>
      <c r="H962" s="29"/>
      <c r="I962" s="29"/>
      <c r="J962" s="33">
        <f>IF($O962="방문완료",MAX(0,IFERROR(VLOOKUP($E962,설정_코스수당!$A$6:$H$10,4,FALSE),0)-IF(OR($P962="",$P962="없음"),0,100000)),0)</f>
        <v>0</v>
      </c>
      <c r="K962" s="33">
        <f t="array" ref="K962">IF($O962="방문완료",IFERROR(INDEX(설정_코스수당!$B$15:$F$64,MATCH($G962,설정_코스수당!$A$15:$A$64,0),MATCH($E962&amp;"수당",설정_코스수당!$B$14:$F$14,0)),0),0)</f>
        <v>0</v>
      </c>
      <c r="L962" s="33">
        <f t="array" ref="L962">IF($O962="방문완료",IF($H962="",0,IFERROR(INDEX(설정_코스수당!$B$15:$F$64,MATCH($H962,설정_코스수당!$A$15:$A$64,0),MATCH($E962&amp;"수당",설정_코스수당!$B$14:$F$14,0)),0)),0)</f>
        <v>0</v>
      </c>
      <c r="M962" s="33">
        <f>IF($O962="방문완료",IFERROR(VLOOKUP($E962,설정_코스수당!$A$6:$H$10,6,FALSE),0),0)</f>
        <v>0</v>
      </c>
      <c r="N962" s="34">
        <f t="shared" si="27"/>
        <v>0</v>
      </c>
      <c r="O962" s="29"/>
      <c r="P962" s="29"/>
      <c r="Q962" s="29"/>
      <c r="R962" s="32"/>
      <c r="S962" s="29"/>
    </row>
    <row r="963" spans="1:19" ht="19.5" hidden="1" customHeight="1" outlineLevel="1">
      <c r="A963" s="23">
        <v>23</v>
      </c>
      <c r="B963" s="24">
        <f>IF(10&lt;=DAY(DATE(YEAR(설정_코스수당!$K$2),MONTH(설정_코스수당!$K$2)+1,0)),DATE(YEAR(설정_코스수당!$K$2),MONTH(설정_코스수당!$K$2),10),"")</f>
        <v>46183</v>
      </c>
      <c r="C963" s="25"/>
      <c r="D963" s="23"/>
      <c r="E963" s="23"/>
      <c r="F963" s="26"/>
      <c r="G963" s="23"/>
      <c r="H963" s="23"/>
      <c r="I963" s="23"/>
      <c r="J963" s="27">
        <f>IF($O963="방문완료",MAX(0,IFERROR(VLOOKUP($E963,설정_코스수당!$A$6:$H$10,4,FALSE),0)-IF(OR($P963="",$P963="없음"),0,100000)),0)</f>
        <v>0</v>
      </c>
      <c r="K963" s="27">
        <f t="array" ref="K963">IF($O963="방문완료",IFERROR(INDEX(설정_코스수당!$B$15:$F$64,MATCH($G963,설정_코스수당!$A$15:$A$64,0),MATCH($E963&amp;"수당",설정_코스수당!$B$14:$F$14,0)),0),0)</f>
        <v>0</v>
      </c>
      <c r="L963" s="27">
        <f t="array" ref="L963">IF($O963="방문완료",IF($H963="",0,IFERROR(INDEX(설정_코스수당!$B$15:$F$64,MATCH($H963,설정_코스수당!$A$15:$A$64,0),MATCH($E963&amp;"수당",설정_코스수당!$B$14:$F$14,0)),0)),0)</f>
        <v>0</v>
      </c>
      <c r="M963" s="27">
        <f>IF($O963="방문완료",IFERROR(VLOOKUP($E963,설정_코스수당!$A$6:$H$10,6,FALSE),0),0)</f>
        <v>0</v>
      </c>
      <c r="N963" s="28">
        <f t="shared" si="27"/>
        <v>0</v>
      </c>
      <c r="O963" s="23"/>
      <c r="P963" s="23"/>
      <c r="Q963" s="23"/>
      <c r="R963" s="26"/>
      <c r="S963" s="23"/>
    </row>
    <row r="964" spans="1:19" ht="19.5" hidden="1" customHeight="1" outlineLevel="1">
      <c r="A964" s="29">
        <v>24</v>
      </c>
      <c r="B964" s="30">
        <f>IF(10&lt;=DAY(DATE(YEAR(설정_코스수당!$K$2),MONTH(설정_코스수당!$K$2)+1,0)),DATE(YEAR(설정_코스수당!$K$2),MONTH(설정_코스수당!$K$2),10),"")</f>
        <v>46183</v>
      </c>
      <c r="C964" s="31"/>
      <c r="D964" s="29"/>
      <c r="E964" s="29"/>
      <c r="F964" s="32"/>
      <c r="G964" s="29"/>
      <c r="H964" s="29"/>
      <c r="I964" s="29"/>
      <c r="J964" s="33">
        <f>IF($O964="방문완료",MAX(0,IFERROR(VLOOKUP($E964,설정_코스수당!$A$6:$H$10,4,FALSE),0)-IF(OR($P964="",$P964="없음"),0,100000)),0)</f>
        <v>0</v>
      </c>
      <c r="K964" s="33">
        <f t="array" ref="K964">IF($O964="방문완료",IFERROR(INDEX(설정_코스수당!$B$15:$F$64,MATCH($G964,설정_코스수당!$A$15:$A$64,0),MATCH($E964&amp;"수당",설정_코스수당!$B$14:$F$14,0)),0),0)</f>
        <v>0</v>
      </c>
      <c r="L964" s="33">
        <f t="array" ref="L964">IF($O964="방문완료",IF($H964="",0,IFERROR(INDEX(설정_코스수당!$B$15:$F$64,MATCH($H964,설정_코스수당!$A$15:$A$64,0),MATCH($E964&amp;"수당",설정_코스수당!$B$14:$F$14,0)),0)),0)</f>
        <v>0</v>
      </c>
      <c r="M964" s="33">
        <f>IF($O964="방문완료",IFERROR(VLOOKUP($E964,설정_코스수당!$A$6:$H$10,6,FALSE),0),0)</f>
        <v>0</v>
      </c>
      <c r="N964" s="34">
        <f t="shared" si="27"/>
        <v>0</v>
      </c>
      <c r="O964" s="29"/>
      <c r="P964" s="29"/>
      <c r="Q964" s="29"/>
      <c r="R964" s="32"/>
      <c r="S964" s="29"/>
    </row>
    <row r="965" spans="1:19" ht="19.5" hidden="1" customHeight="1" outlineLevel="1">
      <c r="A965" s="23">
        <v>25</v>
      </c>
      <c r="B965" s="24">
        <f>IF(10&lt;=DAY(DATE(YEAR(설정_코스수당!$K$2),MONTH(설정_코스수당!$K$2)+1,0)),DATE(YEAR(설정_코스수당!$K$2),MONTH(설정_코스수당!$K$2),10),"")</f>
        <v>46183</v>
      </c>
      <c r="C965" s="25"/>
      <c r="D965" s="23"/>
      <c r="E965" s="23"/>
      <c r="F965" s="26"/>
      <c r="G965" s="23"/>
      <c r="H965" s="23"/>
      <c r="I965" s="23"/>
      <c r="J965" s="27">
        <f>IF($O965="방문완료",MAX(0,IFERROR(VLOOKUP($E965,설정_코스수당!$A$6:$H$10,4,FALSE),0)-IF(OR($P965="",$P965="없음"),0,100000)),0)</f>
        <v>0</v>
      </c>
      <c r="K965" s="27">
        <f t="array" ref="K965">IF($O965="방문완료",IFERROR(INDEX(설정_코스수당!$B$15:$F$64,MATCH($G965,설정_코스수당!$A$15:$A$64,0),MATCH($E965&amp;"수당",설정_코스수당!$B$14:$F$14,0)),0),0)</f>
        <v>0</v>
      </c>
      <c r="L965" s="27">
        <f t="array" ref="L965">IF($O965="방문완료",IF($H965="",0,IFERROR(INDEX(설정_코스수당!$B$15:$F$64,MATCH($H965,설정_코스수당!$A$15:$A$64,0),MATCH($E965&amp;"수당",설정_코스수당!$B$14:$F$14,0)),0)),0)</f>
        <v>0</v>
      </c>
      <c r="M965" s="27">
        <f>IF($O965="방문완료",IFERROR(VLOOKUP($E965,설정_코스수당!$A$6:$H$10,6,FALSE),0),0)</f>
        <v>0</v>
      </c>
      <c r="N965" s="28">
        <f t="shared" si="27"/>
        <v>0</v>
      </c>
      <c r="O965" s="23"/>
      <c r="P965" s="23"/>
      <c r="Q965" s="23"/>
      <c r="R965" s="26"/>
      <c r="S965" s="23"/>
    </row>
    <row r="966" spans="1:19" ht="19.5" hidden="1" customHeight="1" outlineLevel="1">
      <c r="A966" s="29">
        <v>26</v>
      </c>
      <c r="B966" s="30">
        <f>IF(10&lt;=DAY(DATE(YEAR(설정_코스수당!$K$2),MONTH(설정_코스수당!$K$2)+1,0)),DATE(YEAR(설정_코스수당!$K$2),MONTH(설정_코스수당!$K$2),10),"")</f>
        <v>46183</v>
      </c>
      <c r="C966" s="31"/>
      <c r="D966" s="29"/>
      <c r="E966" s="29"/>
      <c r="F966" s="32"/>
      <c r="G966" s="29"/>
      <c r="H966" s="29"/>
      <c r="I966" s="29"/>
      <c r="J966" s="33">
        <f>IF($O966="방문완료",MAX(0,IFERROR(VLOOKUP($E966,설정_코스수당!$A$6:$H$10,4,FALSE),0)-IF(OR($P966="",$P966="없음"),0,100000)),0)</f>
        <v>0</v>
      </c>
      <c r="K966" s="33">
        <f t="array" ref="K966">IF($O966="방문완료",IFERROR(INDEX(설정_코스수당!$B$15:$F$64,MATCH($G966,설정_코스수당!$A$15:$A$64,0),MATCH($E966&amp;"수당",설정_코스수당!$B$14:$F$14,0)),0),0)</f>
        <v>0</v>
      </c>
      <c r="L966" s="33">
        <f t="array" ref="L966">IF($O966="방문완료",IF($H966="",0,IFERROR(INDEX(설정_코스수당!$B$15:$F$64,MATCH($H966,설정_코스수당!$A$15:$A$64,0),MATCH($E966&amp;"수당",설정_코스수당!$B$14:$F$14,0)),0)),0)</f>
        <v>0</v>
      </c>
      <c r="M966" s="33">
        <f>IF($O966="방문완료",IFERROR(VLOOKUP($E966,설정_코스수당!$A$6:$H$10,6,FALSE),0),0)</f>
        <v>0</v>
      </c>
      <c r="N966" s="34">
        <f t="shared" si="27"/>
        <v>0</v>
      </c>
      <c r="O966" s="29"/>
      <c r="P966" s="29"/>
      <c r="Q966" s="29"/>
      <c r="R966" s="32"/>
      <c r="S966" s="29"/>
    </row>
    <row r="967" spans="1:19" ht="19.5" hidden="1" customHeight="1" outlineLevel="1">
      <c r="A967" s="23">
        <v>27</v>
      </c>
      <c r="B967" s="24">
        <f>IF(10&lt;=DAY(DATE(YEAR(설정_코스수당!$K$2),MONTH(설정_코스수당!$K$2)+1,0)),DATE(YEAR(설정_코스수당!$K$2),MONTH(설정_코스수당!$K$2),10),"")</f>
        <v>46183</v>
      </c>
      <c r="C967" s="25"/>
      <c r="D967" s="23"/>
      <c r="E967" s="23"/>
      <c r="F967" s="26"/>
      <c r="G967" s="23"/>
      <c r="H967" s="23"/>
      <c r="I967" s="23"/>
      <c r="J967" s="27">
        <f>IF($O967="방문완료",MAX(0,IFERROR(VLOOKUP($E967,설정_코스수당!$A$6:$H$10,4,FALSE),0)-IF(OR($P967="",$P967="없음"),0,100000)),0)</f>
        <v>0</v>
      </c>
      <c r="K967" s="27">
        <f t="array" ref="K967">IF($O967="방문완료",IFERROR(INDEX(설정_코스수당!$B$15:$F$64,MATCH($G967,설정_코스수당!$A$15:$A$64,0),MATCH($E967&amp;"수당",설정_코스수당!$B$14:$F$14,0)),0),0)</f>
        <v>0</v>
      </c>
      <c r="L967" s="27">
        <f t="array" ref="L967">IF($O967="방문완료",IF($H967="",0,IFERROR(INDEX(설정_코스수당!$B$15:$F$64,MATCH($H967,설정_코스수당!$A$15:$A$64,0),MATCH($E967&amp;"수당",설정_코스수당!$B$14:$F$14,0)),0)),0)</f>
        <v>0</v>
      </c>
      <c r="M967" s="27">
        <f>IF($O967="방문완료",IFERROR(VLOOKUP($E967,설정_코스수당!$A$6:$H$10,6,FALSE),0),0)</f>
        <v>0</v>
      </c>
      <c r="N967" s="28">
        <f t="shared" si="27"/>
        <v>0</v>
      </c>
      <c r="O967" s="23"/>
      <c r="P967" s="23"/>
      <c r="Q967" s="23"/>
      <c r="R967" s="26"/>
      <c r="S967" s="23"/>
    </row>
    <row r="968" spans="1:19" ht="19.5" hidden="1" customHeight="1" outlineLevel="1">
      <c r="A968" s="29">
        <v>28</v>
      </c>
      <c r="B968" s="30">
        <f>IF(10&lt;=DAY(DATE(YEAR(설정_코스수당!$K$2),MONTH(설정_코스수당!$K$2)+1,0)),DATE(YEAR(설정_코스수당!$K$2),MONTH(설정_코스수당!$K$2),10),"")</f>
        <v>46183</v>
      </c>
      <c r="C968" s="31"/>
      <c r="D968" s="29"/>
      <c r="E968" s="29"/>
      <c r="F968" s="32"/>
      <c r="G968" s="29"/>
      <c r="H968" s="29"/>
      <c r="I968" s="29"/>
      <c r="J968" s="33">
        <f>IF($O968="방문완료",MAX(0,IFERROR(VLOOKUP($E968,설정_코스수당!$A$6:$H$10,4,FALSE),0)-IF(OR($P968="",$P968="없음"),0,100000)),0)</f>
        <v>0</v>
      </c>
      <c r="K968" s="33">
        <f t="array" ref="K968">IF($O968="방문완료",IFERROR(INDEX(설정_코스수당!$B$15:$F$64,MATCH($G968,설정_코스수당!$A$15:$A$64,0),MATCH($E968&amp;"수당",설정_코스수당!$B$14:$F$14,0)),0),0)</f>
        <v>0</v>
      </c>
      <c r="L968" s="33">
        <f t="array" ref="L968">IF($O968="방문완료",IF($H968="",0,IFERROR(INDEX(설정_코스수당!$B$15:$F$64,MATCH($H968,설정_코스수당!$A$15:$A$64,0),MATCH($E968&amp;"수당",설정_코스수당!$B$14:$F$14,0)),0)),0)</f>
        <v>0</v>
      </c>
      <c r="M968" s="33">
        <f>IF($O968="방문완료",IFERROR(VLOOKUP($E968,설정_코스수당!$A$6:$H$10,6,FALSE),0),0)</f>
        <v>0</v>
      </c>
      <c r="N968" s="34">
        <f t="shared" si="27"/>
        <v>0</v>
      </c>
      <c r="O968" s="29"/>
      <c r="P968" s="29"/>
      <c r="Q968" s="29"/>
      <c r="R968" s="32"/>
      <c r="S968" s="29"/>
    </row>
    <row r="969" spans="1:19" ht="19.5" hidden="1" customHeight="1" outlineLevel="1">
      <c r="A969" s="23">
        <v>29</v>
      </c>
      <c r="B969" s="24">
        <f>IF(10&lt;=DAY(DATE(YEAR(설정_코스수당!$K$2),MONTH(설정_코스수당!$K$2)+1,0)),DATE(YEAR(설정_코스수당!$K$2),MONTH(설정_코스수당!$K$2),10),"")</f>
        <v>46183</v>
      </c>
      <c r="C969" s="25"/>
      <c r="D969" s="23"/>
      <c r="E969" s="23"/>
      <c r="F969" s="26"/>
      <c r="G969" s="23"/>
      <c r="H969" s="23"/>
      <c r="I969" s="23"/>
      <c r="J969" s="27">
        <f>IF($O969="방문완료",MAX(0,IFERROR(VLOOKUP($E969,설정_코스수당!$A$6:$H$10,4,FALSE),0)-IF(OR($P969="",$P969="없음"),0,100000)),0)</f>
        <v>0</v>
      </c>
      <c r="K969" s="27">
        <f t="array" ref="K969">IF($O969="방문완료",IFERROR(INDEX(설정_코스수당!$B$15:$F$64,MATCH($G969,설정_코스수당!$A$15:$A$64,0),MATCH($E969&amp;"수당",설정_코스수당!$B$14:$F$14,0)),0),0)</f>
        <v>0</v>
      </c>
      <c r="L969" s="27">
        <f t="array" ref="L969">IF($O969="방문완료",IF($H969="",0,IFERROR(INDEX(설정_코스수당!$B$15:$F$64,MATCH($H969,설정_코스수당!$A$15:$A$64,0),MATCH($E969&amp;"수당",설정_코스수당!$B$14:$F$14,0)),0)),0)</f>
        <v>0</v>
      </c>
      <c r="M969" s="27">
        <f>IF($O969="방문완료",IFERROR(VLOOKUP($E969,설정_코스수당!$A$6:$H$10,6,FALSE),0),0)</f>
        <v>0</v>
      </c>
      <c r="N969" s="28">
        <f t="shared" si="27"/>
        <v>0</v>
      </c>
      <c r="O969" s="23"/>
      <c r="P969" s="23"/>
      <c r="Q969" s="23"/>
      <c r="R969" s="26"/>
      <c r="S969" s="23"/>
    </row>
    <row r="970" spans="1:19" ht="19.5" hidden="1" customHeight="1" outlineLevel="1">
      <c r="A970" s="29">
        <v>30</v>
      </c>
      <c r="B970" s="30">
        <f>IF(10&lt;=DAY(DATE(YEAR(설정_코스수당!$K$2),MONTH(설정_코스수당!$K$2)+1,0)),DATE(YEAR(설정_코스수당!$K$2),MONTH(설정_코스수당!$K$2),10),"")</f>
        <v>46183</v>
      </c>
      <c r="C970" s="31"/>
      <c r="D970" s="29"/>
      <c r="E970" s="29"/>
      <c r="F970" s="32"/>
      <c r="G970" s="29"/>
      <c r="H970" s="29"/>
      <c r="I970" s="29"/>
      <c r="J970" s="33">
        <f>IF($O970="방문완료",MAX(0,IFERROR(VLOOKUP($E970,설정_코스수당!$A$6:$H$10,4,FALSE),0)-IF(OR($P970="",$P970="없음"),0,100000)),0)</f>
        <v>0</v>
      </c>
      <c r="K970" s="33">
        <f t="array" ref="K970">IF($O970="방문완료",IFERROR(INDEX(설정_코스수당!$B$15:$F$64,MATCH($G970,설정_코스수당!$A$15:$A$64,0),MATCH($E970&amp;"수당",설정_코스수당!$B$14:$F$14,0)),0),0)</f>
        <v>0</v>
      </c>
      <c r="L970" s="33">
        <f t="array" ref="L970">IF($O970="방문완료",IF($H970="",0,IFERROR(INDEX(설정_코스수당!$B$15:$F$64,MATCH($H970,설정_코스수당!$A$15:$A$64,0),MATCH($E970&amp;"수당",설정_코스수당!$B$14:$F$14,0)),0)),0)</f>
        <v>0</v>
      </c>
      <c r="M970" s="33">
        <f>IF($O970="방문완료",IFERROR(VLOOKUP($E970,설정_코스수당!$A$6:$H$10,6,FALSE),0),0)</f>
        <v>0</v>
      </c>
      <c r="N970" s="34">
        <f t="shared" si="27"/>
        <v>0</v>
      </c>
      <c r="O970" s="29"/>
      <c r="P970" s="29"/>
      <c r="Q970" s="29"/>
      <c r="R970" s="32"/>
      <c r="S970" s="29"/>
    </row>
    <row r="971" spans="1:19" ht="19.5" hidden="1" customHeight="1" outlineLevel="1">
      <c r="A971" s="23">
        <v>31</v>
      </c>
      <c r="B971" s="24">
        <f>IF(10&lt;=DAY(DATE(YEAR(설정_코스수당!$K$2),MONTH(설정_코스수당!$K$2)+1,0)),DATE(YEAR(설정_코스수당!$K$2),MONTH(설정_코스수당!$K$2),10),"")</f>
        <v>46183</v>
      </c>
      <c r="C971" s="25"/>
      <c r="D971" s="23"/>
      <c r="E971" s="23"/>
      <c r="F971" s="26"/>
      <c r="G971" s="23"/>
      <c r="H971" s="23"/>
      <c r="I971" s="23"/>
      <c r="J971" s="27">
        <f>IF($O971="방문완료",MAX(0,IFERROR(VLOOKUP($E971,설정_코스수당!$A$6:$H$10,4,FALSE),0)-IF(OR($P971="",$P971="없음"),0,100000)),0)</f>
        <v>0</v>
      </c>
      <c r="K971" s="27">
        <f t="array" ref="K971">IF($O971="방문완료",IFERROR(INDEX(설정_코스수당!$B$15:$F$64,MATCH($G971,설정_코스수당!$A$15:$A$64,0),MATCH($E971&amp;"수당",설정_코스수당!$B$14:$F$14,0)),0),0)</f>
        <v>0</v>
      </c>
      <c r="L971" s="27">
        <f t="array" ref="L971">IF($O971="방문완료",IF($H971="",0,IFERROR(INDEX(설정_코스수당!$B$15:$F$64,MATCH($H971,설정_코스수당!$A$15:$A$64,0),MATCH($E971&amp;"수당",설정_코스수당!$B$14:$F$14,0)),0)),0)</f>
        <v>0</v>
      </c>
      <c r="M971" s="27">
        <f>IF($O971="방문완료",IFERROR(VLOOKUP($E971,설정_코스수당!$A$6:$H$10,6,FALSE),0),0)</f>
        <v>0</v>
      </c>
      <c r="N971" s="28">
        <f t="shared" si="27"/>
        <v>0</v>
      </c>
      <c r="O971" s="23"/>
      <c r="P971" s="23"/>
      <c r="Q971" s="23"/>
      <c r="R971" s="26"/>
      <c r="S971" s="23"/>
    </row>
    <row r="972" spans="1:19" ht="19.5" hidden="1" customHeight="1" outlineLevel="1">
      <c r="A972" s="29">
        <v>32</v>
      </c>
      <c r="B972" s="30">
        <f>IF(10&lt;=DAY(DATE(YEAR(설정_코스수당!$K$2),MONTH(설정_코스수당!$K$2)+1,0)),DATE(YEAR(설정_코스수당!$K$2),MONTH(설정_코스수당!$K$2),10),"")</f>
        <v>46183</v>
      </c>
      <c r="C972" s="31"/>
      <c r="D972" s="29"/>
      <c r="E972" s="29"/>
      <c r="F972" s="32"/>
      <c r="G972" s="29"/>
      <c r="H972" s="29"/>
      <c r="I972" s="29"/>
      <c r="J972" s="33">
        <f>IF($O972="방문완료",MAX(0,IFERROR(VLOOKUP($E972,설정_코스수당!$A$6:$H$10,4,FALSE),0)-IF(OR($P972="",$P972="없음"),0,100000)),0)</f>
        <v>0</v>
      </c>
      <c r="K972" s="33">
        <f t="array" ref="K972">IF($O972="방문완료",IFERROR(INDEX(설정_코스수당!$B$15:$F$64,MATCH($G972,설정_코스수당!$A$15:$A$64,0),MATCH($E972&amp;"수당",설정_코스수당!$B$14:$F$14,0)),0),0)</f>
        <v>0</v>
      </c>
      <c r="L972" s="33">
        <f t="array" ref="L972">IF($O972="방문완료",IF($H972="",0,IFERROR(INDEX(설정_코스수당!$B$15:$F$64,MATCH($H972,설정_코스수당!$A$15:$A$64,0),MATCH($E972&amp;"수당",설정_코스수당!$B$14:$F$14,0)),0)),0)</f>
        <v>0</v>
      </c>
      <c r="M972" s="33">
        <f>IF($O972="방문완료",IFERROR(VLOOKUP($E972,설정_코스수당!$A$6:$H$10,6,FALSE),0),0)</f>
        <v>0</v>
      </c>
      <c r="N972" s="34">
        <f t="shared" si="27"/>
        <v>0</v>
      </c>
      <c r="O972" s="29"/>
      <c r="P972" s="29"/>
      <c r="Q972" s="29"/>
      <c r="R972" s="32"/>
      <c r="S972" s="29"/>
    </row>
    <row r="973" spans="1:19" ht="19.5" hidden="1" customHeight="1" outlineLevel="1">
      <c r="A973" s="23">
        <v>33</v>
      </c>
      <c r="B973" s="24">
        <f>IF(10&lt;=DAY(DATE(YEAR(설정_코스수당!$K$2),MONTH(설정_코스수당!$K$2)+1,0)),DATE(YEAR(설정_코스수당!$K$2),MONTH(설정_코스수당!$K$2),10),"")</f>
        <v>46183</v>
      </c>
      <c r="C973" s="25"/>
      <c r="D973" s="23"/>
      <c r="E973" s="23"/>
      <c r="F973" s="26"/>
      <c r="G973" s="23"/>
      <c r="H973" s="23"/>
      <c r="I973" s="23"/>
      <c r="J973" s="27">
        <f>IF($O973="방문완료",MAX(0,IFERROR(VLOOKUP($E973,설정_코스수당!$A$6:$H$10,4,FALSE),0)-IF(OR($P973="",$P973="없음"),0,100000)),0)</f>
        <v>0</v>
      </c>
      <c r="K973" s="27">
        <f t="array" ref="K973">IF($O973="방문완료",IFERROR(INDEX(설정_코스수당!$B$15:$F$64,MATCH($G973,설정_코스수당!$A$15:$A$64,0),MATCH($E973&amp;"수당",설정_코스수당!$B$14:$F$14,0)),0),0)</f>
        <v>0</v>
      </c>
      <c r="L973" s="27">
        <f t="array" ref="L973">IF($O973="방문완료",IF($H973="",0,IFERROR(INDEX(설정_코스수당!$B$15:$F$64,MATCH($H973,설정_코스수당!$A$15:$A$64,0),MATCH($E973&amp;"수당",설정_코스수당!$B$14:$F$14,0)),0)),0)</f>
        <v>0</v>
      </c>
      <c r="M973" s="27">
        <f>IF($O973="방문완료",IFERROR(VLOOKUP($E973,설정_코스수당!$A$6:$H$10,6,FALSE),0),0)</f>
        <v>0</v>
      </c>
      <c r="N973" s="28">
        <f t="shared" ref="N973:N1004" si="28">IF($O973="방문완료",1,0)</f>
        <v>0</v>
      </c>
      <c r="O973" s="23"/>
      <c r="P973" s="23"/>
      <c r="Q973" s="23"/>
      <c r="R973" s="26"/>
      <c r="S973" s="23"/>
    </row>
    <row r="974" spans="1:19" ht="19.5" hidden="1" customHeight="1" outlineLevel="1">
      <c r="A974" s="29">
        <v>34</v>
      </c>
      <c r="B974" s="30">
        <f>IF(10&lt;=DAY(DATE(YEAR(설정_코스수당!$K$2),MONTH(설정_코스수당!$K$2)+1,0)),DATE(YEAR(설정_코스수당!$K$2),MONTH(설정_코스수당!$K$2),10),"")</f>
        <v>46183</v>
      </c>
      <c r="C974" s="31"/>
      <c r="D974" s="29"/>
      <c r="E974" s="29"/>
      <c r="F974" s="32"/>
      <c r="G974" s="29"/>
      <c r="H974" s="29"/>
      <c r="I974" s="29"/>
      <c r="J974" s="33">
        <f>IF($O974="방문완료",MAX(0,IFERROR(VLOOKUP($E974,설정_코스수당!$A$6:$H$10,4,FALSE),0)-IF(OR($P974="",$P974="없음"),0,100000)),0)</f>
        <v>0</v>
      </c>
      <c r="K974" s="33">
        <f t="array" ref="K974">IF($O974="방문완료",IFERROR(INDEX(설정_코스수당!$B$15:$F$64,MATCH($G974,설정_코스수당!$A$15:$A$64,0),MATCH($E974&amp;"수당",설정_코스수당!$B$14:$F$14,0)),0),0)</f>
        <v>0</v>
      </c>
      <c r="L974" s="33">
        <f t="array" ref="L974">IF($O974="방문완료",IF($H974="",0,IFERROR(INDEX(설정_코스수당!$B$15:$F$64,MATCH($H974,설정_코스수당!$A$15:$A$64,0),MATCH($E974&amp;"수당",설정_코스수당!$B$14:$F$14,0)),0)),0)</f>
        <v>0</v>
      </c>
      <c r="M974" s="33">
        <f>IF($O974="방문완료",IFERROR(VLOOKUP($E974,설정_코스수당!$A$6:$H$10,6,FALSE),0),0)</f>
        <v>0</v>
      </c>
      <c r="N974" s="34">
        <f t="shared" si="28"/>
        <v>0</v>
      </c>
      <c r="O974" s="29"/>
      <c r="P974" s="29"/>
      <c r="Q974" s="29"/>
      <c r="R974" s="32"/>
      <c r="S974" s="29"/>
    </row>
    <row r="975" spans="1:19" ht="19.5" hidden="1" customHeight="1" outlineLevel="1">
      <c r="A975" s="23">
        <v>35</v>
      </c>
      <c r="B975" s="24">
        <f>IF(10&lt;=DAY(DATE(YEAR(설정_코스수당!$K$2),MONTH(설정_코스수당!$K$2)+1,0)),DATE(YEAR(설정_코스수당!$K$2),MONTH(설정_코스수당!$K$2),10),"")</f>
        <v>46183</v>
      </c>
      <c r="C975" s="25"/>
      <c r="D975" s="23"/>
      <c r="E975" s="23"/>
      <c r="F975" s="26"/>
      <c r="G975" s="23"/>
      <c r="H975" s="23"/>
      <c r="I975" s="23"/>
      <c r="J975" s="27">
        <f>IF($O975="방문완료",MAX(0,IFERROR(VLOOKUP($E975,설정_코스수당!$A$6:$H$10,4,FALSE),0)-IF(OR($P975="",$P975="없음"),0,100000)),0)</f>
        <v>0</v>
      </c>
      <c r="K975" s="27">
        <f t="array" ref="K975">IF($O975="방문완료",IFERROR(INDEX(설정_코스수당!$B$15:$F$64,MATCH($G975,설정_코스수당!$A$15:$A$64,0),MATCH($E975&amp;"수당",설정_코스수당!$B$14:$F$14,0)),0),0)</f>
        <v>0</v>
      </c>
      <c r="L975" s="27">
        <f t="array" ref="L975">IF($O975="방문완료",IF($H975="",0,IFERROR(INDEX(설정_코스수당!$B$15:$F$64,MATCH($H975,설정_코스수당!$A$15:$A$64,0),MATCH($E975&amp;"수당",설정_코스수당!$B$14:$F$14,0)),0)),0)</f>
        <v>0</v>
      </c>
      <c r="M975" s="27">
        <f>IF($O975="방문완료",IFERROR(VLOOKUP($E975,설정_코스수당!$A$6:$H$10,6,FALSE),0),0)</f>
        <v>0</v>
      </c>
      <c r="N975" s="28">
        <f t="shared" si="28"/>
        <v>0</v>
      </c>
      <c r="O975" s="23"/>
      <c r="P975" s="23"/>
      <c r="Q975" s="23"/>
      <c r="R975" s="26"/>
      <c r="S975" s="23"/>
    </row>
    <row r="976" spans="1:19" ht="19.5" hidden="1" customHeight="1" outlineLevel="1">
      <c r="A976" s="29">
        <v>36</v>
      </c>
      <c r="B976" s="30">
        <f>IF(10&lt;=DAY(DATE(YEAR(설정_코스수당!$K$2),MONTH(설정_코스수당!$K$2)+1,0)),DATE(YEAR(설정_코스수당!$K$2),MONTH(설정_코스수당!$K$2),10),"")</f>
        <v>46183</v>
      </c>
      <c r="C976" s="31"/>
      <c r="D976" s="29"/>
      <c r="E976" s="29"/>
      <c r="F976" s="32"/>
      <c r="G976" s="29"/>
      <c r="H976" s="29"/>
      <c r="I976" s="29"/>
      <c r="J976" s="33">
        <f>IF($O976="방문완료",MAX(0,IFERROR(VLOOKUP($E976,설정_코스수당!$A$6:$H$10,4,FALSE),0)-IF(OR($P976="",$P976="없음"),0,100000)),0)</f>
        <v>0</v>
      </c>
      <c r="K976" s="33">
        <f t="array" ref="K976">IF($O976="방문완료",IFERROR(INDEX(설정_코스수당!$B$15:$F$64,MATCH($G976,설정_코스수당!$A$15:$A$64,0),MATCH($E976&amp;"수당",설정_코스수당!$B$14:$F$14,0)),0),0)</f>
        <v>0</v>
      </c>
      <c r="L976" s="33">
        <f t="array" ref="L976">IF($O976="방문완료",IF($H976="",0,IFERROR(INDEX(설정_코스수당!$B$15:$F$64,MATCH($H976,설정_코스수당!$A$15:$A$64,0),MATCH($E976&amp;"수당",설정_코스수당!$B$14:$F$14,0)),0)),0)</f>
        <v>0</v>
      </c>
      <c r="M976" s="33">
        <f>IF($O976="방문완료",IFERROR(VLOOKUP($E976,설정_코스수당!$A$6:$H$10,6,FALSE),0),0)</f>
        <v>0</v>
      </c>
      <c r="N976" s="34">
        <f t="shared" si="28"/>
        <v>0</v>
      </c>
      <c r="O976" s="29"/>
      <c r="P976" s="29"/>
      <c r="Q976" s="29"/>
      <c r="R976" s="32"/>
      <c r="S976" s="29"/>
    </row>
    <row r="977" spans="1:19" ht="19.5" hidden="1" customHeight="1" outlineLevel="1">
      <c r="A977" s="23">
        <v>37</v>
      </c>
      <c r="B977" s="24">
        <f>IF(10&lt;=DAY(DATE(YEAR(설정_코스수당!$K$2),MONTH(설정_코스수당!$K$2)+1,0)),DATE(YEAR(설정_코스수당!$K$2),MONTH(설정_코스수당!$K$2),10),"")</f>
        <v>46183</v>
      </c>
      <c r="C977" s="25"/>
      <c r="D977" s="23"/>
      <c r="E977" s="23"/>
      <c r="F977" s="26"/>
      <c r="G977" s="23"/>
      <c r="H977" s="23"/>
      <c r="I977" s="23"/>
      <c r="J977" s="27">
        <f>IF($O977="방문완료",MAX(0,IFERROR(VLOOKUP($E977,설정_코스수당!$A$6:$H$10,4,FALSE),0)-IF(OR($P977="",$P977="없음"),0,100000)),0)</f>
        <v>0</v>
      </c>
      <c r="K977" s="27">
        <f t="array" ref="K977">IF($O977="방문완료",IFERROR(INDEX(설정_코스수당!$B$15:$F$64,MATCH($G977,설정_코스수당!$A$15:$A$64,0),MATCH($E977&amp;"수당",설정_코스수당!$B$14:$F$14,0)),0),0)</f>
        <v>0</v>
      </c>
      <c r="L977" s="27">
        <f t="array" ref="L977">IF($O977="방문완료",IF($H977="",0,IFERROR(INDEX(설정_코스수당!$B$15:$F$64,MATCH($H977,설정_코스수당!$A$15:$A$64,0),MATCH($E977&amp;"수당",설정_코스수당!$B$14:$F$14,0)),0)),0)</f>
        <v>0</v>
      </c>
      <c r="M977" s="27">
        <f>IF($O977="방문완료",IFERROR(VLOOKUP($E977,설정_코스수당!$A$6:$H$10,6,FALSE),0),0)</f>
        <v>0</v>
      </c>
      <c r="N977" s="28">
        <f t="shared" si="28"/>
        <v>0</v>
      </c>
      <c r="O977" s="23"/>
      <c r="P977" s="23"/>
      <c r="Q977" s="23"/>
      <c r="R977" s="26"/>
      <c r="S977" s="23"/>
    </row>
    <row r="978" spans="1:19" ht="19.5" hidden="1" customHeight="1" outlineLevel="1">
      <c r="A978" s="29">
        <v>38</v>
      </c>
      <c r="B978" s="30">
        <f>IF(10&lt;=DAY(DATE(YEAR(설정_코스수당!$K$2),MONTH(설정_코스수당!$K$2)+1,0)),DATE(YEAR(설정_코스수당!$K$2),MONTH(설정_코스수당!$K$2),10),"")</f>
        <v>46183</v>
      </c>
      <c r="C978" s="31"/>
      <c r="D978" s="29"/>
      <c r="E978" s="29"/>
      <c r="F978" s="32"/>
      <c r="G978" s="29"/>
      <c r="H978" s="29"/>
      <c r="I978" s="29"/>
      <c r="J978" s="33">
        <f>IF($O978="방문완료",MAX(0,IFERROR(VLOOKUP($E978,설정_코스수당!$A$6:$H$10,4,FALSE),0)-IF(OR($P978="",$P978="없음"),0,100000)),0)</f>
        <v>0</v>
      </c>
      <c r="K978" s="33">
        <f t="array" ref="K978">IF($O978="방문완료",IFERROR(INDEX(설정_코스수당!$B$15:$F$64,MATCH($G978,설정_코스수당!$A$15:$A$64,0),MATCH($E978&amp;"수당",설정_코스수당!$B$14:$F$14,0)),0),0)</f>
        <v>0</v>
      </c>
      <c r="L978" s="33">
        <f t="array" ref="L978">IF($O978="방문완료",IF($H978="",0,IFERROR(INDEX(설정_코스수당!$B$15:$F$64,MATCH($H978,설정_코스수당!$A$15:$A$64,0),MATCH($E978&amp;"수당",설정_코스수당!$B$14:$F$14,0)),0)),0)</f>
        <v>0</v>
      </c>
      <c r="M978" s="33">
        <f>IF($O978="방문완료",IFERROR(VLOOKUP($E978,설정_코스수당!$A$6:$H$10,6,FALSE),0),0)</f>
        <v>0</v>
      </c>
      <c r="N978" s="34">
        <f t="shared" si="28"/>
        <v>0</v>
      </c>
      <c r="O978" s="29"/>
      <c r="P978" s="29"/>
      <c r="Q978" s="29"/>
      <c r="R978" s="32"/>
      <c r="S978" s="29"/>
    </row>
    <row r="979" spans="1:19" ht="19.5" hidden="1" customHeight="1" outlineLevel="1">
      <c r="A979" s="23">
        <v>39</v>
      </c>
      <c r="B979" s="24">
        <f>IF(10&lt;=DAY(DATE(YEAR(설정_코스수당!$K$2),MONTH(설정_코스수당!$K$2)+1,0)),DATE(YEAR(설정_코스수당!$K$2),MONTH(설정_코스수당!$K$2),10),"")</f>
        <v>46183</v>
      </c>
      <c r="C979" s="25"/>
      <c r="D979" s="23"/>
      <c r="E979" s="23"/>
      <c r="F979" s="26"/>
      <c r="G979" s="23"/>
      <c r="H979" s="23"/>
      <c r="I979" s="23"/>
      <c r="J979" s="27">
        <f>IF($O979="방문완료",MAX(0,IFERROR(VLOOKUP($E979,설정_코스수당!$A$6:$H$10,4,FALSE),0)-IF(OR($P979="",$P979="없음"),0,100000)),0)</f>
        <v>0</v>
      </c>
      <c r="K979" s="27">
        <f t="array" ref="K979">IF($O979="방문완료",IFERROR(INDEX(설정_코스수당!$B$15:$F$64,MATCH($G979,설정_코스수당!$A$15:$A$64,0),MATCH($E979&amp;"수당",설정_코스수당!$B$14:$F$14,0)),0),0)</f>
        <v>0</v>
      </c>
      <c r="L979" s="27">
        <f t="array" ref="L979">IF($O979="방문완료",IF($H979="",0,IFERROR(INDEX(설정_코스수당!$B$15:$F$64,MATCH($H979,설정_코스수당!$A$15:$A$64,0),MATCH($E979&amp;"수당",설정_코스수당!$B$14:$F$14,0)),0)),0)</f>
        <v>0</v>
      </c>
      <c r="M979" s="27">
        <f>IF($O979="방문완료",IFERROR(VLOOKUP($E979,설정_코스수당!$A$6:$H$10,6,FALSE),0),0)</f>
        <v>0</v>
      </c>
      <c r="N979" s="28">
        <f t="shared" si="28"/>
        <v>0</v>
      </c>
      <c r="O979" s="23"/>
      <c r="P979" s="23"/>
      <c r="Q979" s="23"/>
      <c r="R979" s="26"/>
      <c r="S979" s="23"/>
    </row>
    <row r="980" spans="1:19" ht="19.5" hidden="1" customHeight="1" outlineLevel="1">
      <c r="A980" s="29">
        <v>40</v>
      </c>
      <c r="B980" s="30">
        <f>IF(10&lt;=DAY(DATE(YEAR(설정_코스수당!$K$2),MONTH(설정_코스수당!$K$2)+1,0)),DATE(YEAR(설정_코스수당!$K$2),MONTH(설정_코스수당!$K$2),10),"")</f>
        <v>46183</v>
      </c>
      <c r="C980" s="31"/>
      <c r="D980" s="29"/>
      <c r="E980" s="29"/>
      <c r="F980" s="32"/>
      <c r="G980" s="29"/>
      <c r="H980" s="29"/>
      <c r="I980" s="29"/>
      <c r="J980" s="33">
        <f>IF($O980="방문완료",MAX(0,IFERROR(VLOOKUP($E980,설정_코스수당!$A$6:$H$10,4,FALSE),0)-IF(OR($P980="",$P980="없음"),0,100000)),0)</f>
        <v>0</v>
      </c>
      <c r="K980" s="33">
        <f t="array" ref="K980">IF($O980="방문완료",IFERROR(INDEX(설정_코스수당!$B$15:$F$64,MATCH($G980,설정_코스수당!$A$15:$A$64,0),MATCH($E980&amp;"수당",설정_코스수당!$B$14:$F$14,0)),0),0)</f>
        <v>0</v>
      </c>
      <c r="L980" s="33">
        <f t="array" ref="L980">IF($O980="방문완료",IF($H980="",0,IFERROR(INDEX(설정_코스수당!$B$15:$F$64,MATCH($H980,설정_코스수당!$A$15:$A$64,0),MATCH($E980&amp;"수당",설정_코스수당!$B$14:$F$14,0)),0)),0)</f>
        <v>0</v>
      </c>
      <c r="M980" s="33">
        <f>IF($O980="방문완료",IFERROR(VLOOKUP($E980,설정_코스수당!$A$6:$H$10,6,FALSE),0),0)</f>
        <v>0</v>
      </c>
      <c r="N980" s="34">
        <f t="shared" si="28"/>
        <v>0</v>
      </c>
      <c r="O980" s="29"/>
      <c r="P980" s="29"/>
      <c r="Q980" s="29"/>
      <c r="R980" s="32"/>
      <c r="S980" s="29"/>
    </row>
    <row r="981" spans="1:19" ht="19.5" hidden="1" customHeight="1" outlineLevel="1">
      <c r="A981" s="23">
        <v>41</v>
      </c>
      <c r="B981" s="24">
        <f>IF(10&lt;=DAY(DATE(YEAR(설정_코스수당!$K$2),MONTH(설정_코스수당!$K$2)+1,0)),DATE(YEAR(설정_코스수당!$K$2),MONTH(설정_코스수당!$K$2),10),"")</f>
        <v>46183</v>
      </c>
      <c r="C981" s="25"/>
      <c r="D981" s="23"/>
      <c r="E981" s="23"/>
      <c r="F981" s="26"/>
      <c r="G981" s="23"/>
      <c r="H981" s="23"/>
      <c r="I981" s="23"/>
      <c r="J981" s="27">
        <f>IF($O981="방문완료",MAX(0,IFERROR(VLOOKUP($E981,설정_코스수당!$A$6:$H$10,4,FALSE),0)-IF(OR($P981="",$P981="없음"),0,100000)),0)</f>
        <v>0</v>
      </c>
      <c r="K981" s="27">
        <f t="array" ref="K981">IF($O981="방문완료",IFERROR(INDEX(설정_코스수당!$B$15:$F$64,MATCH($G981,설정_코스수당!$A$15:$A$64,0),MATCH($E981&amp;"수당",설정_코스수당!$B$14:$F$14,0)),0),0)</f>
        <v>0</v>
      </c>
      <c r="L981" s="27">
        <f t="array" ref="L981">IF($O981="방문완료",IF($H981="",0,IFERROR(INDEX(설정_코스수당!$B$15:$F$64,MATCH($H981,설정_코스수당!$A$15:$A$64,0),MATCH($E981&amp;"수당",설정_코스수당!$B$14:$F$14,0)),0)),0)</f>
        <v>0</v>
      </c>
      <c r="M981" s="27">
        <f>IF($O981="방문완료",IFERROR(VLOOKUP($E981,설정_코스수당!$A$6:$H$10,6,FALSE),0),0)</f>
        <v>0</v>
      </c>
      <c r="N981" s="28">
        <f t="shared" si="28"/>
        <v>0</v>
      </c>
      <c r="O981" s="23"/>
      <c r="P981" s="23"/>
      <c r="Q981" s="23"/>
      <c r="R981" s="26"/>
      <c r="S981" s="23"/>
    </row>
    <row r="982" spans="1:19" ht="19.5" hidden="1" customHeight="1" outlineLevel="1">
      <c r="A982" s="29">
        <v>42</v>
      </c>
      <c r="B982" s="30">
        <f>IF(10&lt;=DAY(DATE(YEAR(설정_코스수당!$K$2),MONTH(설정_코스수당!$K$2)+1,0)),DATE(YEAR(설정_코스수당!$K$2),MONTH(설정_코스수당!$K$2),10),"")</f>
        <v>46183</v>
      </c>
      <c r="C982" s="31"/>
      <c r="D982" s="29"/>
      <c r="E982" s="29"/>
      <c r="F982" s="32"/>
      <c r="G982" s="29"/>
      <c r="H982" s="29"/>
      <c r="I982" s="29"/>
      <c r="J982" s="33">
        <f>IF($O982="방문완료",MAX(0,IFERROR(VLOOKUP($E982,설정_코스수당!$A$6:$H$10,4,FALSE),0)-IF(OR($P982="",$P982="없음"),0,100000)),0)</f>
        <v>0</v>
      </c>
      <c r="K982" s="33">
        <f t="array" ref="K982">IF($O982="방문완료",IFERROR(INDEX(설정_코스수당!$B$15:$F$64,MATCH($G982,설정_코스수당!$A$15:$A$64,0),MATCH($E982&amp;"수당",설정_코스수당!$B$14:$F$14,0)),0),0)</f>
        <v>0</v>
      </c>
      <c r="L982" s="33">
        <f t="array" ref="L982">IF($O982="방문완료",IF($H982="",0,IFERROR(INDEX(설정_코스수당!$B$15:$F$64,MATCH($H982,설정_코스수당!$A$15:$A$64,0),MATCH($E982&amp;"수당",설정_코스수당!$B$14:$F$14,0)),0)),0)</f>
        <v>0</v>
      </c>
      <c r="M982" s="33">
        <f>IF($O982="방문완료",IFERROR(VLOOKUP($E982,설정_코스수당!$A$6:$H$10,6,FALSE),0),0)</f>
        <v>0</v>
      </c>
      <c r="N982" s="34">
        <f t="shared" si="28"/>
        <v>0</v>
      </c>
      <c r="O982" s="29"/>
      <c r="P982" s="29"/>
      <c r="Q982" s="29"/>
      <c r="R982" s="32"/>
      <c r="S982" s="29"/>
    </row>
    <row r="983" spans="1:19" ht="19.5" hidden="1" customHeight="1" outlineLevel="1">
      <c r="A983" s="23">
        <v>43</v>
      </c>
      <c r="B983" s="24">
        <f>IF(10&lt;=DAY(DATE(YEAR(설정_코스수당!$K$2),MONTH(설정_코스수당!$K$2)+1,0)),DATE(YEAR(설정_코스수당!$K$2),MONTH(설정_코스수당!$K$2),10),"")</f>
        <v>46183</v>
      </c>
      <c r="C983" s="25"/>
      <c r="D983" s="23"/>
      <c r="E983" s="23"/>
      <c r="F983" s="26"/>
      <c r="G983" s="23"/>
      <c r="H983" s="23"/>
      <c r="I983" s="23"/>
      <c r="J983" s="27">
        <f>IF($O983="방문완료",MAX(0,IFERROR(VLOOKUP($E983,설정_코스수당!$A$6:$H$10,4,FALSE),0)-IF(OR($P983="",$P983="없음"),0,100000)),0)</f>
        <v>0</v>
      </c>
      <c r="K983" s="27">
        <f t="array" ref="K983">IF($O983="방문완료",IFERROR(INDEX(설정_코스수당!$B$15:$F$64,MATCH($G983,설정_코스수당!$A$15:$A$64,0),MATCH($E983&amp;"수당",설정_코스수당!$B$14:$F$14,0)),0),0)</f>
        <v>0</v>
      </c>
      <c r="L983" s="27">
        <f t="array" ref="L983">IF($O983="방문완료",IF($H983="",0,IFERROR(INDEX(설정_코스수당!$B$15:$F$64,MATCH($H983,설정_코스수당!$A$15:$A$64,0),MATCH($E983&amp;"수당",설정_코스수당!$B$14:$F$14,0)),0)),0)</f>
        <v>0</v>
      </c>
      <c r="M983" s="27">
        <f>IF($O983="방문완료",IFERROR(VLOOKUP($E983,설정_코스수당!$A$6:$H$10,6,FALSE),0),0)</f>
        <v>0</v>
      </c>
      <c r="N983" s="28">
        <f t="shared" si="28"/>
        <v>0</v>
      </c>
      <c r="O983" s="23"/>
      <c r="P983" s="23"/>
      <c r="Q983" s="23"/>
      <c r="R983" s="26"/>
      <c r="S983" s="23"/>
    </row>
    <row r="984" spans="1:19" ht="19.5" hidden="1" customHeight="1" outlineLevel="1">
      <c r="A984" s="29">
        <v>44</v>
      </c>
      <c r="B984" s="30">
        <f>IF(10&lt;=DAY(DATE(YEAR(설정_코스수당!$K$2),MONTH(설정_코스수당!$K$2)+1,0)),DATE(YEAR(설정_코스수당!$K$2),MONTH(설정_코스수당!$K$2),10),"")</f>
        <v>46183</v>
      </c>
      <c r="C984" s="31"/>
      <c r="D984" s="29"/>
      <c r="E984" s="29"/>
      <c r="F984" s="32"/>
      <c r="G984" s="29"/>
      <c r="H984" s="29"/>
      <c r="I984" s="29"/>
      <c r="J984" s="33">
        <f>IF($O984="방문완료",MAX(0,IFERROR(VLOOKUP($E984,설정_코스수당!$A$6:$H$10,4,FALSE),0)-IF(OR($P984="",$P984="없음"),0,100000)),0)</f>
        <v>0</v>
      </c>
      <c r="K984" s="33">
        <f t="array" ref="K984">IF($O984="방문완료",IFERROR(INDEX(설정_코스수당!$B$15:$F$64,MATCH($G984,설정_코스수당!$A$15:$A$64,0),MATCH($E984&amp;"수당",설정_코스수당!$B$14:$F$14,0)),0),0)</f>
        <v>0</v>
      </c>
      <c r="L984" s="33">
        <f t="array" ref="L984">IF($O984="방문완료",IF($H984="",0,IFERROR(INDEX(설정_코스수당!$B$15:$F$64,MATCH($H984,설정_코스수당!$A$15:$A$64,0),MATCH($E984&amp;"수당",설정_코스수당!$B$14:$F$14,0)),0)),0)</f>
        <v>0</v>
      </c>
      <c r="M984" s="33">
        <f>IF($O984="방문완료",IFERROR(VLOOKUP($E984,설정_코스수당!$A$6:$H$10,6,FALSE),0),0)</f>
        <v>0</v>
      </c>
      <c r="N984" s="34">
        <f t="shared" si="28"/>
        <v>0</v>
      </c>
      <c r="O984" s="29"/>
      <c r="P984" s="29"/>
      <c r="Q984" s="29"/>
      <c r="R984" s="32"/>
      <c r="S984" s="29"/>
    </row>
    <row r="985" spans="1:19" ht="19.5" hidden="1" customHeight="1" outlineLevel="1">
      <c r="A985" s="23">
        <v>45</v>
      </c>
      <c r="B985" s="24">
        <f>IF(10&lt;=DAY(DATE(YEAR(설정_코스수당!$K$2),MONTH(설정_코스수당!$K$2)+1,0)),DATE(YEAR(설정_코스수당!$K$2),MONTH(설정_코스수당!$K$2),10),"")</f>
        <v>46183</v>
      </c>
      <c r="C985" s="25"/>
      <c r="D985" s="23"/>
      <c r="E985" s="23"/>
      <c r="F985" s="26"/>
      <c r="G985" s="23"/>
      <c r="H985" s="23"/>
      <c r="I985" s="23"/>
      <c r="J985" s="27">
        <f>IF($O985="방문완료",MAX(0,IFERROR(VLOOKUP($E985,설정_코스수당!$A$6:$H$10,4,FALSE),0)-IF(OR($P985="",$P985="없음"),0,100000)),0)</f>
        <v>0</v>
      </c>
      <c r="K985" s="27">
        <f t="array" ref="K985">IF($O985="방문완료",IFERROR(INDEX(설정_코스수당!$B$15:$F$64,MATCH($G985,설정_코스수당!$A$15:$A$64,0),MATCH($E985&amp;"수당",설정_코스수당!$B$14:$F$14,0)),0),0)</f>
        <v>0</v>
      </c>
      <c r="L985" s="27">
        <f t="array" ref="L985">IF($O985="방문완료",IF($H985="",0,IFERROR(INDEX(설정_코스수당!$B$15:$F$64,MATCH($H985,설정_코스수당!$A$15:$A$64,0),MATCH($E985&amp;"수당",설정_코스수당!$B$14:$F$14,0)),0)),0)</f>
        <v>0</v>
      </c>
      <c r="M985" s="27">
        <f>IF($O985="방문완료",IFERROR(VLOOKUP($E985,설정_코스수당!$A$6:$H$10,6,FALSE),0),0)</f>
        <v>0</v>
      </c>
      <c r="N985" s="28">
        <f t="shared" si="28"/>
        <v>0</v>
      </c>
      <c r="O985" s="23"/>
      <c r="P985" s="23"/>
      <c r="Q985" s="23"/>
      <c r="R985" s="26"/>
      <c r="S985" s="23"/>
    </row>
    <row r="986" spans="1:19" ht="19.5" hidden="1" customHeight="1" outlineLevel="1">
      <c r="A986" s="29">
        <v>46</v>
      </c>
      <c r="B986" s="30">
        <f>IF(10&lt;=DAY(DATE(YEAR(설정_코스수당!$K$2),MONTH(설정_코스수당!$K$2)+1,0)),DATE(YEAR(설정_코스수당!$K$2),MONTH(설정_코스수당!$K$2),10),"")</f>
        <v>46183</v>
      </c>
      <c r="C986" s="31"/>
      <c r="D986" s="29"/>
      <c r="E986" s="29"/>
      <c r="F986" s="32"/>
      <c r="G986" s="29"/>
      <c r="H986" s="29"/>
      <c r="I986" s="29"/>
      <c r="J986" s="33">
        <f>IF($O986="방문완료",MAX(0,IFERROR(VLOOKUP($E986,설정_코스수당!$A$6:$H$10,4,FALSE),0)-IF(OR($P986="",$P986="없음"),0,100000)),0)</f>
        <v>0</v>
      </c>
      <c r="K986" s="33">
        <f t="array" ref="K986">IF($O986="방문완료",IFERROR(INDEX(설정_코스수당!$B$15:$F$64,MATCH($G986,설정_코스수당!$A$15:$A$64,0),MATCH($E986&amp;"수당",설정_코스수당!$B$14:$F$14,0)),0),0)</f>
        <v>0</v>
      </c>
      <c r="L986" s="33">
        <f t="array" ref="L986">IF($O986="방문완료",IF($H986="",0,IFERROR(INDEX(설정_코스수당!$B$15:$F$64,MATCH($H986,설정_코스수당!$A$15:$A$64,0),MATCH($E986&amp;"수당",설정_코스수당!$B$14:$F$14,0)),0)),0)</f>
        <v>0</v>
      </c>
      <c r="M986" s="33">
        <f>IF($O986="방문완료",IFERROR(VLOOKUP($E986,설정_코스수당!$A$6:$H$10,6,FALSE),0),0)</f>
        <v>0</v>
      </c>
      <c r="N986" s="34">
        <f t="shared" si="28"/>
        <v>0</v>
      </c>
      <c r="O986" s="29"/>
      <c r="P986" s="29"/>
      <c r="Q986" s="29"/>
      <c r="R986" s="32"/>
      <c r="S986" s="29"/>
    </row>
    <row r="987" spans="1:19" ht="19.5" hidden="1" customHeight="1" outlineLevel="1">
      <c r="A987" s="23">
        <v>47</v>
      </c>
      <c r="B987" s="24">
        <f>IF(10&lt;=DAY(DATE(YEAR(설정_코스수당!$K$2),MONTH(설정_코스수당!$K$2)+1,0)),DATE(YEAR(설정_코스수당!$K$2),MONTH(설정_코스수당!$K$2),10),"")</f>
        <v>46183</v>
      </c>
      <c r="C987" s="25"/>
      <c r="D987" s="23"/>
      <c r="E987" s="23"/>
      <c r="F987" s="26"/>
      <c r="G987" s="23"/>
      <c r="H987" s="23"/>
      <c r="I987" s="23"/>
      <c r="J987" s="27">
        <f>IF($O987="방문완료",MAX(0,IFERROR(VLOOKUP($E987,설정_코스수당!$A$6:$H$10,4,FALSE),0)-IF(OR($P987="",$P987="없음"),0,100000)),0)</f>
        <v>0</v>
      </c>
      <c r="K987" s="27">
        <f t="array" ref="K987">IF($O987="방문완료",IFERROR(INDEX(설정_코스수당!$B$15:$F$64,MATCH($G987,설정_코스수당!$A$15:$A$64,0),MATCH($E987&amp;"수당",설정_코스수당!$B$14:$F$14,0)),0),0)</f>
        <v>0</v>
      </c>
      <c r="L987" s="27">
        <f t="array" ref="L987">IF($O987="방문완료",IF($H987="",0,IFERROR(INDEX(설정_코스수당!$B$15:$F$64,MATCH($H987,설정_코스수당!$A$15:$A$64,0),MATCH($E987&amp;"수당",설정_코스수당!$B$14:$F$14,0)),0)),0)</f>
        <v>0</v>
      </c>
      <c r="M987" s="27">
        <f>IF($O987="방문완료",IFERROR(VLOOKUP($E987,설정_코스수당!$A$6:$H$10,6,FALSE),0),0)</f>
        <v>0</v>
      </c>
      <c r="N987" s="28">
        <f t="shared" si="28"/>
        <v>0</v>
      </c>
      <c r="O987" s="23"/>
      <c r="P987" s="23"/>
      <c r="Q987" s="23"/>
      <c r="R987" s="26"/>
      <c r="S987" s="23"/>
    </row>
    <row r="988" spans="1:19" ht="19.5" hidden="1" customHeight="1" outlineLevel="1">
      <c r="A988" s="29">
        <v>48</v>
      </c>
      <c r="B988" s="30">
        <f>IF(10&lt;=DAY(DATE(YEAR(설정_코스수당!$K$2),MONTH(설정_코스수당!$K$2)+1,0)),DATE(YEAR(설정_코스수당!$K$2),MONTH(설정_코스수당!$K$2),10),"")</f>
        <v>46183</v>
      </c>
      <c r="C988" s="31"/>
      <c r="D988" s="29"/>
      <c r="E988" s="29"/>
      <c r="F988" s="32"/>
      <c r="G988" s="29"/>
      <c r="H988" s="29"/>
      <c r="I988" s="29"/>
      <c r="J988" s="33">
        <f>IF($O988="방문완료",MAX(0,IFERROR(VLOOKUP($E988,설정_코스수당!$A$6:$H$10,4,FALSE),0)-IF(OR($P988="",$P988="없음"),0,100000)),0)</f>
        <v>0</v>
      </c>
      <c r="K988" s="33">
        <f t="array" ref="K988">IF($O988="방문완료",IFERROR(INDEX(설정_코스수당!$B$15:$F$64,MATCH($G988,설정_코스수당!$A$15:$A$64,0),MATCH($E988&amp;"수당",설정_코스수당!$B$14:$F$14,0)),0),0)</f>
        <v>0</v>
      </c>
      <c r="L988" s="33">
        <f t="array" ref="L988">IF($O988="방문완료",IF($H988="",0,IFERROR(INDEX(설정_코스수당!$B$15:$F$64,MATCH($H988,설정_코스수당!$A$15:$A$64,0),MATCH($E988&amp;"수당",설정_코스수당!$B$14:$F$14,0)),0)),0)</f>
        <v>0</v>
      </c>
      <c r="M988" s="33">
        <f>IF($O988="방문완료",IFERROR(VLOOKUP($E988,설정_코스수당!$A$6:$H$10,6,FALSE),0),0)</f>
        <v>0</v>
      </c>
      <c r="N988" s="34">
        <f t="shared" si="28"/>
        <v>0</v>
      </c>
      <c r="O988" s="29"/>
      <c r="P988" s="29"/>
      <c r="Q988" s="29"/>
      <c r="R988" s="32"/>
      <c r="S988" s="29"/>
    </row>
    <row r="989" spans="1:19" ht="19.5" hidden="1" customHeight="1" outlineLevel="1">
      <c r="A989" s="23">
        <v>49</v>
      </c>
      <c r="B989" s="24">
        <f>IF(10&lt;=DAY(DATE(YEAR(설정_코스수당!$K$2),MONTH(설정_코스수당!$K$2)+1,0)),DATE(YEAR(설정_코스수당!$K$2),MONTH(설정_코스수당!$K$2),10),"")</f>
        <v>46183</v>
      </c>
      <c r="C989" s="25"/>
      <c r="D989" s="23"/>
      <c r="E989" s="23"/>
      <c r="F989" s="26"/>
      <c r="G989" s="23"/>
      <c r="H989" s="23"/>
      <c r="I989" s="23"/>
      <c r="J989" s="27">
        <f>IF($O989="방문완료",MAX(0,IFERROR(VLOOKUP($E989,설정_코스수당!$A$6:$H$10,4,FALSE),0)-IF(OR($P989="",$P989="없음"),0,100000)),0)</f>
        <v>0</v>
      </c>
      <c r="K989" s="27">
        <f t="array" ref="K989">IF($O989="방문완료",IFERROR(INDEX(설정_코스수당!$B$15:$F$64,MATCH($G989,설정_코스수당!$A$15:$A$64,0),MATCH($E989&amp;"수당",설정_코스수당!$B$14:$F$14,0)),0),0)</f>
        <v>0</v>
      </c>
      <c r="L989" s="27">
        <f t="array" ref="L989">IF($O989="방문완료",IF($H989="",0,IFERROR(INDEX(설정_코스수당!$B$15:$F$64,MATCH($H989,설정_코스수당!$A$15:$A$64,0),MATCH($E989&amp;"수당",설정_코스수당!$B$14:$F$14,0)),0)),0)</f>
        <v>0</v>
      </c>
      <c r="M989" s="27">
        <f>IF($O989="방문완료",IFERROR(VLOOKUP($E989,설정_코스수당!$A$6:$H$10,6,FALSE),0),0)</f>
        <v>0</v>
      </c>
      <c r="N989" s="28">
        <f t="shared" si="28"/>
        <v>0</v>
      </c>
      <c r="O989" s="23"/>
      <c r="P989" s="23"/>
      <c r="Q989" s="23"/>
      <c r="R989" s="26"/>
      <c r="S989" s="23"/>
    </row>
    <row r="990" spans="1:19" ht="19.5" hidden="1" customHeight="1" outlineLevel="1">
      <c r="A990" s="29">
        <v>50</v>
      </c>
      <c r="B990" s="30">
        <f>IF(10&lt;=DAY(DATE(YEAR(설정_코스수당!$K$2),MONTH(설정_코스수당!$K$2)+1,0)),DATE(YEAR(설정_코스수당!$K$2),MONTH(설정_코스수당!$K$2),10),"")</f>
        <v>46183</v>
      </c>
      <c r="C990" s="31"/>
      <c r="D990" s="29"/>
      <c r="E990" s="29"/>
      <c r="F990" s="32"/>
      <c r="G990" s="29"/>
      <c r="H990" s="29"/>
      <c r="I990" s="29"/>
      <c r="J990" s="33">
        <f>IF($O990="방문완료",MAX(0,IFERROR(VLOOKUP($E990,설정_코스수당!$A$6:$H$10,4,FALSE),0)-IF(OR($P990="",$P990="없음"),0,100000)),0)</f>
        <v>0</v>
      </c>
      <c r="K990" s="33">
        <f t="array" ref="K990">IF($O990="방문완료",IFERROR(INDEX(설정_코스수당!$B$15:$F$64,MATCH($G990,설정_코스수당!$A$15:$A$64,0),MATCH($E990&amp;"수당",설정_코스수당!$B$14:$F$14,0)),0),0)</f>
        <v>0</v>
      </c>
      <c r="L990" s="33">
        <f t="array" ref="L990">IF($O990="방문완료",IF($H990="",0,IFERROR(INDEX(설정_코스수당!$B$15:$F$64,MATCH($H990,설정_코스수당!$A$15:$A$64,0),MATCH($E990&amp;"수당",설정_코스수당!$B$14:$F$14,0)),0)),0)</f>
        <v>0</v>
      </c>
      <c r="M990" s="33">
        <f>IF($O990="방문완료",IFERROR(VLOOKUP($E990,설정_코스수당!$A$6:$H$10,6,FALSE),0),0)</f>
        <v>0</v>
      </c>
      <c r="N990" s="34">
        <f t="shared" si="28"/>
        <v>0</v>
      </c>
      <c r="O990" s="29"/>
      <c r="P990" s="29"/>
      <c r="Q990" s="29"/>
      <c r="R990" s="32"/>
      <c r="S990" s="29"/>
    </row>
    <row r="991" spans="1:19" ht="19.5" hidden="1" customHeight="1" outlineLevel="1">
      <c r="A991" s="23">
        <v>51</v>
      </c>
      <c r="B991" s="24">
        <f>IF(10&lt;=DAY(DATE(YEAR(설정_코스수당!$K$2),MONTH(설정_코스수당!$K$2)+1,0)),DATE(YEAR(설정_코스수당!$K$2),MONTH(설정_코스수당!$K$2),10),"")</f>
        <v>46183</v>
      </c>
      <c r="C991" s="25"/>
      <c r="D991" s="23"/>
      <c r="E991" s="23"/>
      <c r="F991" s="26"/>
      <c r="G991" s="23"/>
      <c r="H991" s="23"/>
      <c r="I991" s="23"/>
      <c r="J991" s="27">
        <f>IF($O991="방문완료",MAX(0,IFERROR(VLOOKUP($E991,설정_코스수당!$A$6:$H$10,4,FALSE),0)-IF(OR($P991="",$P991="없음"),0,100000)),0)</f>
        <v>0</v>
      </c>
      <c r="K991" s="27">
        <f t="array" ref="K991">IF($O991="방문완료",IFERROR(INDEX(설정_코스수당!$B$15:$F$64,MATCH($G991,설정_코스수당!$A$15:$A$64,0),MATCH($E991&amp;"수당",설정_코스수당!$B$14:$F$14,0)),0),0)</f>
        <v>0</v>
      </c>
      <c r="L991" s="27">
        <f t="array" ref="L991">IF($O991="방문완료",IF($H991="",0,IFERROR(INDEX(설정_코스수당!$B$15:$F$64,MATCH($H991,설정_코스수당!$A$15:$A$64,0),MATCH($E991&amp;"수당",설정_코스수당!$B$14:$F$14,0)),0)),0)</f>
        <v>0</v>
      </c>
      <c r="M991" s="27">
        <f>IF($O991="방문완료",IFERROR(VLOOKUP($E991,설정_코스수당!$A$6:$H$10,6,FALSE),0),0)</f>
        <v>0</v>
      </c>
      <c r="N991" s="28">
        <f t="shared" si="28"/>
        <v>0</v>
      </c>
      <c r="O991" s="23"/>
      <c r="P991" s="23"/>
      <c r="Q991" s="23"/>
      <c r="R991" s="26"/>
      <c r="S991" s="23"/>
    </row>
    <row r="992" spans="1:19" ht="19.5" hidden="1" customHeight="1" outlineLevel="1">
      <c r="A992" s="29">
        <v>52</v>
      </c>
      <c r="B992" s="30">
        <f>IF(10&lt;=DAY(DATE(YEAR(설정_코스수당!$K$2),MONTH(설정_코스수당!$K$2)+1,0)),DATE(YEAR(설정_코스수당!$K$2),MONTH(설정_코스수당!$K$2),10),"")</f>
        <v>46183</v>
      </c>
      <c r="C992" s="31"/>
      <c r="D992" s="29"/>
      <c r="E992" s="29"/>
      <c r="F992" s="32"/>
      <c r="G992" s="29"/>
      <c r="H992" s="29"/>
      <c r="I992" s="29"/>
      <c r="J992" s="33">
        <f>IF($O992="방문완료",MAX(0,IFERROR(VLOOKUP($E992,설정_코스수당!$A$6:$H$10,4,FALSE),0)-IF(OR($P992="",$P992="없음"),0,100000)),0)</f>
        <v>0</v>
      </c>
      <c r="K992" s="33">
        <f t="array" ref="K992">IF($O992="방문완료",IFERROR(INDEX(설정_코스수당!$B$15:$F$64,MATCH($G992,설정_코스수당!$A$15:$A$64,0),MATCH($E992&amp;"수당",설정_코스수당!$B$14:$F$14,0)),0),0)</f>
        <v>0</v>
      </c>
      <c r="L992" s="33">
        <f t="array" ref="L992">IF($O992="방문완료",IF($H992="",0,IFERROR(INDEX(설정_코스수당!$B$15:$F$64,MATCH($H992,설정_코스수당!$A$15:$A$64,0),MATCH($E992&amp;"수당",설정_코스수당!$B$14:$F$14,0)),0)),0)</f>
        <v>0</v>
      </c>
      <c r="M992" s="33">
        <f>IF($O992="방문완료",IFERROR(VLOOKUP($E992,설정_코스수당!$A$6:$H$10,6,FALSE),0),0)</f>
        <v>0</v>
      </c>
      <c r="N992" s="34">
        <f t="shared" si="28"/>
        <v>0</v>
      </c>
      <c r="O992" s="29"/>
      <c r="P992" s="29"/>
      <c r="Q992" s="29"/>
      <c r="R992" s="32"/>
      <c r="S992" s="29"/>
    </row>
    <row r="993" spans="1:19" ht="19.5" hidden="1" customHeight="1" outlineLevel="1">
      <c r="A993" s="23">
        <v>53</v>
      </c>
      <c r="B993" s="24">
        <f>IF(10&lt;=DAY(DATE(YEAR(설정_코스수당!$K$2),MONTH(설정_코스수당!$K$2)+1,0)),DATE(YEAR(설정_코스수당!$K$2),MONTH(설정_코스수당!$K$2),10),"")</f>
        <v>46183</v>
      </c>
      <c r="C993" s="25"/>
      <c r="D993" s="23"/>
      <c r="E993" s="23"/>
      <c r="F993" s="26"/>
      <c r="G993" s="23"/>
      <c r="H993" s="23"/>
      <c r="I993" s="23"/>
      <c r="J993" s="27">
        <f>IF($O993="방문완료",MAX(0,IFERROR(VLOOKUP($E993,설정_코스수당!$A$6:$H$10,4,FALSE),0)-IF(OR($P993="",$P993="없음"),0,100000)),0)</f>
        <v>0</v>
      </c>
      <c r="K993" s="27">
        <f t="array" ref="K993">IF($O993="방문완료",IFERROR(INDEX(설정_코스수당!$B$15:$F$64,MATCH($G993,설정_코스수당!$A$15:$A$64,0),MATCH($E993&amp;"수당",설정_코스수당!$B$14:$F$14,0)),0),0)</f>
        <v>0</v>
      </c>
      <c r="L993" s="27">
        <f t="array" ref="L993">IF($O993="방문완료",IF($H993="",0,IFERROR(INDEX(설정_코스수당!$B$15:$F$64,MATCH($H993,설정_코스수당!$A$15:$A$64,0),MATCH($E993&amp;"수당",설정_코스수당!$B$14:$F$14,0)),0)),0)</f>
        <v>0</v>
      </c>
      <c r="M993" s="27">
        <f>IF($O993="방문완료",IFERROR(VLOOKUP($E993,설정_코스수당!$A$6:$H$10,6,FALSE),0),0)</f>
        <v>0</v>
      </c>
      <c r="N993" s="28">
        <f t="shared" si="28"/>
        <v>0</v>
      </c>
      <c r="O993" s="23"/>
      <c r="P993" s="23"/>
      <c r="Q993" s="23"/>
      <c r="R993" s="26"/>
      <c r="S993" s="23"/>
    </row>
    <row r="994" spans="1:19" ht="19.5" hidden="1" customHeight="1" outlineLevel="1">
      <c r="A994" s="29">
        <v>54</v>
      </c>
      <c r="B994" s="30">
        <f>IF(10&lt;=DAY(DATE(YEAR(설정_코스수당!$K$2),MONTH(설정_코스수당!$K$2)+1,0)),DATE(YEAR(설정_코스수당!$K$2),MONTH(설정_코스수당!$K$2),10),"")</f>
        <v>46183</v>
      </c>
      <c r="C994" s="31"/>
      <c r="D994" s="29"/>
      <c r="E994" s="29"/>
      <c r="F994" s="32"/>
      <c r="G994" s="29"/>
      <c r="H994" s="29"/>
      <c r="I994" s="29"/>
      <c r="J994" s="33">
        <f>IF($O994="방문완료",MAX(0,IFERROR(VLOOKUP($E994,설정_코스수당!$A$6:$H$10,4,FALSE),0)-IF(OR($P994="",$P994="없음"),0,100000)),0)</f>
        <v>0</v>
      </c>
      <c r="K994" s="33">
        <f t="array" ref="K994">IF($O994="방문완료",IFERROR(INDEX(설정_코스수당!$B$15:$F$64,MATCH($G994,설정_코스수당!$A$15:$A$64,0),MATCH($E994&amp;"수당",설정_코스수당!$B$14:$F$14,0)),0),0)</f>
        <v>0</v>
      </c>
      <c r="L994" s="33">
        <f t="array" ref="L994">IF($O994="방문완료",IF($H994="",0,IFERROR(INDEX(설정_코스수당!$B$15:$F$64,MATCH($H994,설정_코스수당!$A$15:$A$64,0),MATCH($E994&amp;"수당",설정_코스수당!$B$14:$F$14,0)),0)),0)</f>
        <v>0</v>
      </c>
      <c r="M994" s="33">
        <f>IF($O994="방문완료",IFERROR(VLOOKUP($E994,설정_코스수당!$A$6:$H$10,6,FALSE),0),0)</f>
        <v>0</v>
      </c>
      <c r="N994" s="34">
        <f t="shared" si="28"/>
        <v>0</v>
      </c>
      <c r="O994" s="29"/>
      <c r="P994" s="29"/>
      <c r="Q994" s="29"/>
      <c r="R994" s="32"/>
      <c r="S994" s="29"/>
    </row>
    <row r="995" spans="1:19" ht="19.5" hidden="1" customHeight="1" outlineLevel="1">
      <c r="A995" s="23">
        <v>55</v>
      </c>
      <c r="B995" s="24">
        <f>IF(10&lt;=DAY(DATE(YEAR(설정_코스수당!$K$2),MONTH(설정_코스수당!$K$2)+1,0)),DATE(YEAR(설정_코스수당!$K$2),MONTH(설정_코스수당!$K$2),10),"")</f>
        <v>46183</v>
      </c>
      <c r="C995" s="25"/>
      <c r="D995" s="23"/>
      <c r="E995" s="23"/>
      <c r="F995" s="26"/>
      <c r="G995" s="23"/>
      <c r="H995" s="23"/>
      <c r="I995" s="23"/>
      <c r="J995" s="27">
        <f>IF($O995="방문완료",MAX(0,IFERROR(VLOOKUP($E995,설정_코스수당!$A$6:$H$10,4,FALSE),0)-IF(OR($P995="",$P995="없음"),0,100000)),0)</f>
        <v>0</v>
      </c>
      <c r="K995" s="27">
        <f t="array" ref="K995">IF($O995="방문완료",IFERROR(INDEX(설정_코스수당!$B$15:$F$64,MATCH($G995,설정_코스수당!$A$15:$A$64,0),MATCH($E995&amp;"수당",설정_코스수당!$B$14:$F$14,0)),0),0)</f>
        <v>0</v>
      </c>
      <c r="L995" s="27">
        <f t="array" ref="L995">IF($O995="방문완료",IF($H995="",0,IFERROR(INDEX(설정_코스수당!$B$15:$F$64,MATCH($H995,설정_코스수당!$A$15:$A$64,0),MATCH($E995&amp;"수당",설정_코스수당!$B$14:$F$14,0)),0)),0)</f>
        <v>0</v>
      </c>
      <c r="M995" s="27">
        <f>IF($O995="방문완료",IFERROR(VLOOKUP($E995,설정_코스수당!$A$6:$H$10,6,FALSE),0),0)</f>
        <v>0</v>
      </c>
      <c r="N995" s="28">
        <f t="shared" si="28"/>
        <v>0</v>
      </c>
      <c r="O995" s="23"/>
      <c r="P995" s="23"/>
      <c r="Q995" s="23"/>
      <c r="R995" s="26"/>
      <c r="S995" s="23"/>
    </row>
    <row r="996" spans="1:19" ht="19.5" hidden="1" customHeight="1" outlineLevel="1">
      <c r="A996" s="29">
        <v>56</v>
      </c>
      <c r="B996" s="30">
        <f>IF(10&lt;=DAY(DATE(YEAR(설정_코스수당!$K$2),MONTH(설정_코스수당!$K$2)+1,0)),DATE(YEAR(설정_코스수당!$K$2),MONTH(설정_코스수당!$K$2),10),"")</f>
        <v>46183</v>
      </c>
      <c r="C996" s="31"/>
      <c r="D996" s="29"/>
      <c r="E996" s="29"/>
      <c r="F996" s="32"/>
      <c r="G996" s="29"/>
      <c r="H996" s="29"/>
      <c r="I996" s="29"/>
      <c r="J996" s="33">
        <f>IF($O996="방문완료",MAX(0,IFERROR(VLOOKUP($E996,설정_코스수당!$A$6:$H$10,4,FALSE),0)-IF(OR($P996="",$P996="없음"),0,100000)),0)</f>
        <v>0</v>
      </c>
      <c r="K996" s="33">
        <f t="array" ref="K996">IF($O996="방문완료",IFERROR(INDEX(설정_코스수당!$B$15:$F$64,MATCH($G996,설정_코스수당!$A$15:$A$64,0),MATCH($E996&amp;"수당",설정_코스수당!$B$14:$F$14,0)),0),0)</f>
        <v>0</v>
      </c>
      <c r="L996" s="33">
        <f t="array" ref="L996">IF($O996="방문완료",IF($H996="",0,IFERROR(INDEX(설정_코스수당!$B$15:$F$64,MATCH($H996,설정_코스수당!$A$15:$A$64,0),MATCH($E996&amp;"수당",설정_코스수당!$B$14:$F$14,0)),0)),0)</f>
        <v>0</v>
      </c>
      <c r="M996" s="33">
        <f>IF($O996="방문완료",IFERROR(VLOOKUP($E996,설정_코스수당!$A$6:$H$10,6,FALSE),0),0)</f>
        <v>0</v>
      </c>
      <c r="N996" s="34">
        <f t="shared" si="28"/>
        <v>0</v>
      </c>
      <c r="O996" s="29"/>
      <c r="P996" s="29"/>
      <c r="Q996" s="29"/>
      <c r="R996" s="32"/>
      <c r="S996" s="29"/>
    </row>
    <row r="997" spans="1:19" ht="19.5" hidden="1" customHeight="1" outlineLevel="1">
      <c r="A997" s="23">
        <v>57</v>
      </c>
      <c r="B997" s="24">
        <f>IF(10&lt;=DAY(DATE(YEAR(설정_코스수당!$K$2),MONTH(설정_코스수당!$K$2)+1,0)),DATE(YEAR(설정_코스수당!$K$2),MONTH(설정_코스수당!$K$2),10),"")</f>
        <v>46183</v>
      </c>
      <c r="C997" s="25"/>
      <c r="D997" s="23"/>
      <c r="E997" s="23"/>
      <c r="F997" s="26"/>
      <c r="G997" s="23"/>
      <c r="H997" s="23"/>
      <c r="I997" s="23"/>
      <c r="J997" s="27">
        <f>IF($O997="방문완료",MAX(0,IFERROR(VLOOKUP($E997,설정_코스수당!$A$6:$H$10,4,FALSE),0)-IF(OR($P997="",$P997="없음"),0,100000)),0)</f>
        <v>0</v>
      </c>
      <c r="K997" s="27">
        <f t="array" ref="K997">IF($O997="방문완료",IFERROR(INDEX(설정_코스수당!$B$15:$F$64,MATCH($G997,설정_코스수당!$A$15:$A$64,0),MATCH($E997&amp;"수당",설정_코스수당!$B$14:$F$14,0)),0),0)</f>
        <v>0</v>
      </c>
      <c r="L997" s="27">
        <f t="array" ref="L997">IF($O997="방문완료",IF($H997="",0,IFERROR(INDEX(설정_코스수당!$B$15:$F$64,MATCH($H997,설정_코스수당!$A$15:$A$64,0),MATCH($E997&amp;"수당",설정_코스수당!$B$14:$F$14,0)),0)),0)</f>
        <v>0</v>
      </c>
      <c r="M997" s="27">
        <f>IF($O997="방문완료",IFERROR(VLOOKUP($E997,설정_코스수당!$A$6:$H$10,6,FALSE),0),0)</f>
        <v>0</v>
      </c>
      <c r="N997" s="28">
        <f t="shared" si="28"/>
        <v>0</v>
      </c>
      <c r="O997" s="23"/>
      <c r="P997" s="23"/>
      <c r="Q997" s="23"/>
      <c r="R997" s="26"/>
      <c r="S997" s="23"/>
    </row>
    <row r="998" spans="1:19" ht="19.5" hidden="1" customHeight="1" outlineLevel="1">
      <c r="A998" s="29">
        <v>58</v>
      </c>
      <c r="B998" s="30">
        <f>IF(10&lt;=DAY(DATE(YEAR(설정_코스수당!$K$2),MONTH(설정_코스수당!$K$2)+1,0)),DATE(YEAR(설정_코스수당!$K$2),MONTH(설정_코스수당!$K$2),10),"")</f>
        <v>46183</v>
      </c>
      <c r="C998" s="31"/>
      <c r="D998" s="29"/>
      <c r="E998" s="29"/>
      <c r="F998" s="32"/>
      <c r="G998" s="29"/>
      <c r="H998" s="29"/>
      <c r="I998" s="29"/>
      <c r="J998" s="33">
        <f>IF($O998="방문완료",MAX(0,IFERROR(VLOOKUP($E998,설정_코스수당!$A$6:$H$10,4,FALSE),0)-IF(OR($P998="",$P998="없음"),0,100000)),0)</f>
        <v>0</v>
      </c>
      <c r="K998" s="33">
        <f t="array" ref="K998">IF($O998="방문완료",IFERROR(INDEX(설정_코스수당!$B$15:$F$64,MATCH($G998,설정_코스수당!$A$15:$A$64,0),MATCH($E998&amp;"수당",설정_코스수당!$B$14:$F$14,0)),0),0)</f>
        <v>0</v>
      </c>
      <c r="L998" s="33">
        <f t="array" ref="L998">IF($O998="방문완료",IF($H998="",0,IFERROR(INDEX(설정_코스수당!$B$15:$F$64,MATCH($H998,설정_코스수당!$A$15:$A$64,0),MATCH($E998&amp;"수당",설정_코스수당!$B$14:$F$14,0)),0)),0)</f>
        <v>0</v>
      </c>
      <c r="M998" s="33">
        <f>IF($O998="방문완료",IFERROR(VLOOKUP($E998,설정_코스수당!$A$6:$H$10,6,FALSE),0),0)</f>
        <v>0</v>
      </c>
      <c r="N998" s="34">
        <f t="shared" si="28"/>
        <v>0</v>
      </c>
      <c r="O998" s="29"/>
      <c r="P998" s="29"/>
      <c r="Q998" s="29"/>
      <c r="R998" s="32"/>
      <c r="S998" s="29"/>
    </row>
    <row r="999" spans="1:19" ht="19.5" hidden="1" customHeight="1" outlineLevel="1">
      <c r="A999" s="23">
        <v>59</v>
      </c>
      <c r="B999" s="24">
        <f>IF(10&lt;=DAY(DATE(YEAR(설정_코스수당!$K$2),MONTH(설정_코스수당!$K$2)+1,0)),DATE(YEAR(설정_코스수당!$K$2),MONTH(설정_코스수당!$K$2),10),"")</f>
        <v>46183</v>
      </c>
      <c r="C999" s="25"/>
      <c r="D999" s="23"/>
      <c r="E999" s="23"/>
      <c r="F999" s="26"/>
      <c r="G999" s="23"/>
      <c r="H999" s="23"/>
      <c r="I999" s="23"/>
      <c r="J999" s="27">
        <f>IF($O999="방문완료",MAX(0,IFERROR(VLOOKUP($E999,설정_코스수당!$A$6:$H$10,4,FALSE),0)-IF(OR($P999="",$P999="없음"),0,100000)),0)</f>
        <v>0</v>
      </c>
      <c r="K999" s="27">
        <f t="array" ref="K999">IF($O999="방문완료",IFERROR(INDEX(설정_코스수당!$B$15:$F$64,MATCH($G999,설정_코스수당!$A$15:$A$64,0),MATCH($E999&amp;"수당",설정_코스수당!$B$14:$F$14,0)),0),0)</f>
        <v>0</v>
      </c>
      <c r="L999" s="27">
        <f t="array" ref="L999">IF($O999="방문완료",IF($H999="",0,IFERROR(INDEX(설정_코스수당!$B$15:$F$64,MATCH($H999,설정_코스수당!$A$15:$A$64,0),MATCH($E999&amp;"수당",설정_코스수당!$B$14:$F$14,0)),0)),0)</f>
        <v>0</v>
      </c>
      <c r="M999" s="27">
        <f>IF($O999="방문완료",IFERROR(VLOOKUP($E999,설정_코스수당!$A$6:$H$10,6,FALSE),0),0)</f>
        <v>0</v>
      </c>
      <c r="N999" s="28">
        <f t="shared" si="28"/>
        <v>0</v>
      </c>
      <c r="O999" s="23"/>
      <c r="P999" s="23"/>
      <c r="Q999" s="23"/>
      <c r="R999" s="26"/>
      <c r="S999" s="23"/>
    </row>
    <row r="1000" spans="1:19" ht="19.5" hidden="1" customHeight="1" outlineLevel="1">
      <c r="A1000" s="29">
        <v>60</v>
      </c>
      <c r="B1000" s="30">
        <f>IF(10&lt;=DAY(DATE(YEAR(설정_코스수당!$K$2),MONTH(설정_코스수당!$K$2)+1,0)),DATE(YEAR(설정_코스수당!$K$2),MONTH(설정_코스수당!$K$2),10),"")</f>
        <v>46183</v>
      </c>
      <c r="C1000" s="31"/>
      <c r="D1000" s="29"/>
      <c r="E1000" s="29"/>
      <c r="F1000" s="32"/>
      <c r="G1000" s="29"/>
      <c r="H1000" s="29"/>
      <c r="I1000" s="29"/>
      <c r="J1000" s="33">
        <f>IF($O1000="방문완료",MAX(0,IFERROR(VLOOKUP($E1000,설정_코스수당!$A$6:$H$10,4,FALSE),0)-IF(OR($P1000="",$P1000="없음"),0,100000)),0)</f>
        <v>0</v>
      </c>
      <c r="K1000" s="33">
        <f t="array" ref="K1000">IF($O1000="방문완료",IFERROR(INDEX(설정_코스수당!$B$15:$F$64,MATCH($G1000,설정_코스수당!$A$15:$A$64,0),MATCH($E1000&amp;"수당",설정_코스수당!$B$14:$F$14,0)),0),0)</f>
        <v>0</v>
      </c>
      <c r="L1000" s="33">
        <f t="array" ref="L1000">IF($O1000="방문완료",IF($H1000="",0,IFERROR(INDEX(설정_코스수당!$B$15:$F$64,MATCH($H1000,설정_코스수당!$A$15:$A$64,0),MATCH($E1000&amp;"수당",설정_코스수당!$B$14:$F$14,0)),0)),0)</f>
        <v>0</v>
      </c>
      <c r="M1000" s="33">
        <f>IF($O1000="방문완료",IFERROR(VLOOKUP($E1000,설정_코스수당!$A$6:$H$10,6,FALSE),0),0)</f>
        <v>0</v>
      </c>
      <c r="N1000" s="34">
        <f t="shared" si="28"/>
        <v>0</v>
      </c>
      <c r="O1000" s="29"/>
      <c r="P1000" s="29"/>
      <c r="Q1000" s="29"/>
      <c r="R1000" s="32"/>
      <c r="S1000" s="29"/>
    </row>
    <row r="1001" spans="1:19" ht="19.5" hidden="1" customHeight="1" outlineLevel="1">
      <c r="A1001" s="23">
        <v>61</v>
      </c>
      <c r="B1001" s="24">
        <f>IF(10&lt;=DAY(DATE(YEAR(설정_코스수당!$K$2),MONTH(설정_코스수당!$K$2)+1,0)),DATE(YEAR(설정_코스수당!$K$2),MONTH(설정_코스수당!$K$2),10),"")</f>
        <v>46183</v>
      </c>
      <c r="C1001" s="25"/>
      <c r="D1001" s="23"/>
      <c r="E1001" s="23"/>
      <c r="F1001" s="26"/>
      <c r="G1001" s="23"/>
      <c r="H1001" s="23"/>
      <c r="I1001" s="23"/>
      <c r="J1001" s="27">
        <f>IF($O1001="방문완료",MAX(0,IFERROR(VLOOKUP($E1001,설정_코스수당!$A$6:$H$10,4,FALSE),0)-IF(OR($P1001="",$P1001="없음"),0,100000)),0)</f>
        <v>0</v>
      </c>
      <c r="K1001" s="27">
        <f t="array" ref="K1001">IF($O1001="방문완료",IFERROR(INDEX(설정_코스수당!$B$15:$F$64,MATCH($G1001,설정_코스수당!$A$15:$A$64,0),MATCH($E1001&amp;"수당",설정_코스수당!$B$14:$F$14,0)),0),0)</f>
        <v>0</v>
      </c>
      <c r="L1001" s="27">
        <f t="array" ref="L1001">IF($O1001="방문완료",IF($H1001="",0,IFERROR(INDEX(설정_코스수당!$B$15:$F$64,MATCH($H1001,설정_코스수당!$A$15:$A$64,0),MATCH($E1001&amp;"수당",설정_코스수당!$B$14:$F$14,0)),0)),0)</f>
        <v>0</v>
      </c>
      <c r="M1001" s="27">
        <f>IF($O1001="방문완료",IFERROR(VLOOKUP($E1001,설정_코스수당!$A$6:$H$10,6,FALSE),0),0)</f>
        <v>0</v>
      </c>
      <c r="N1001" s="28">
        <f t="shared" si="28"/>
        <v>0</v>
      </c>
      <c r="O1001" s="23"/>
      <c r="P1001" s="23"/>
      <c r="Q1001" s="23"/>
      <c r="R1001" s="26"/>
      <c r="S1001" s="23"/>
    </row>
    <row r="1002" spans="1:19" ht="19.5" hidden="1" customHeight="1" outlineLevel="1">
      <c r="A1002" s="29">
        <v>62</v>
      </c>
      <c r="B1002" s="30">
        <f>IF(10&lt;=DAY(DATE(YEAR(설정_코스수당!$K$2),MONTH(설정_코스수당!$K$2)+1,0)),DATE(YEAR(설정_코스수당!$K$2),MONTH(설정_코스수당!$K$2),10),"")</f>
        <v>46183</v>
      </c>
      <c r="C1002" s="31"/>
      <c r="D1002" s="29"/>
      <c r="E1002" s="29"/>
      <c r="F1002" s="32"/>
      <c r="G1002" s="29"/>
      <c r="H1002" s="29"/>
      <c r="I1002" s="29"/>
      <c r="J1002" s="33">
        <f>IF($O1002="방문완료",MAX(0,IFERROR(VLOOKUP($E1002,설정_코스수당!$A$6:$H$10,4,FALSE),0)-IF(OR($P1002="",$P1002="없음"),0,100000)),0)</f>
        <v>0</v>
      </c>
      <c r="K1002" s="33">
        <f t="array" ref="K1002">IF($O1002="방문완료",IFERROR(INDEX(설정_코스수당!$B$15:$F$64,MATCH($G1002,설정_코스수당!$A$15:$A$64,0),MATCH($E1002&amp;"수당",설정_코스수당!$B$14:$F$14,0)),0),0)</f>
        <v>0</v>
      </c>
      <c r="L1002" s="33">
        <f t="array" ref="L1002">IF($O1002="방문완료",IF($H1002="",0,IFERROR(INDEX(설정_코스수당!$B$15:$F$64,MATCH($H1002,설정_코스수당!$A$15:$A$64,0),MATCH($E1002&amp;"수당",설정_코스수당!$B$14:$F$14,0)),0)),0)</f>
        <v>0</v>
      </c>
      <c r="M1002" s="33">
        <f>IF($O1002="방문완료",IFERROR(VLOOKUP($E1002,설정_코스수당!$A$6:$H$10,6,FALSE),0),0)</f>
        <v>0</v>
      </c>
      <c r="N1002" s="34">
        <f t="shared" si="28"/>
        <v>0</v>
      </c>
      <c r="O1002" s="29"/>
      <c r="P1002" s="29"/>
      <c r="Q1002" s="29"/>
      <c r="R1002" s="32"/>
      <c r="S1002" s="29"/>
    </row>
    <row r="1003" spans="1:19" ht="19.5" hidden="1" customHeight="1" outlineLevel="1">
      <c r="A1003" s="23">
        <v>63</v>
      </c>
      <c r="B1003" s="24">
        <f>IF(10&lt;=DAY(DATE(YEAR(설정_코스수당!$K$2),MONTH(설정_코스수당!$K$2)+1,0)),DATE(YEAR(설정_코스수당!$K$2),MONTH(설정_코스수당!$K$2),10),"")</f>
        <v>46183</v>
      </c>
      <c r="C1003" s="25"/>
      <c r="D1003" s="23"/>
      <c r="E1003" s="23"/>
      <c r="F1003" s="26"/>
      <c r="G1003" s="23"/>
      <c r="H1003" s="23"/>
      <c r="I1003" s="23"/>
      <c r="J1003" s="27">
        <f>IF($O1003="방문완료",MAX(0,IFERROR(VLOOKUP($E1003,설정_코스수당!$A$6:$H$10,4,FALSE),0)-IF(OR($P1003="",$P1003="없음"),0,100000)),0)</f>
        <v>0</v>
      </c>
      <c r="K1003" s="27">
        <f t="array" ref="K1003">IF($O1003="방문완료",IFERROR(INDEX(설정_코스수당!$B$15:$F$64,MATCH($G1003,설정_코스수당!$A$15:$A$64,0),MATCH($E1003&amp;"수당",설정_코스수당!$B$14:$F$14,0)),0),0)</f>
        <v>0</v>
      </c>
      <c r="L1003" s="27">
        <f t="array" ref="L1003">IF($O1003="방문완료",IF($H1003="",0,IFERROR(INDEX(설정_코스수당!$B$15:$F$64,MATCH($H1003,설정_코스수당!$A$15:$A$64,0),MATCH($E1003&amp;"수당",설정_코스수당!$B$14:$F$14,0)),0)),0)</f>
        <v>0</v>
      </c>
      <c r="M1003" s="27">
        <f>IF($O1003="방문완료",IFERROR(VLOOKUP($E1003,설정_코스수당!$A$6:$H$10,6,FALSE),0),0)</f>
        <v>0</v>
      </c>
      <c r="N1003" s="28">
        <f t="shared" si="28"/>
        <v>0</v>
      </c>
      <c r="O1003" s="23"/>
      <c r="P1003" s="23"/>
      <c r="Q1003" s="23"/>
      <c r="R1003" s="26"/>
      <c r="S1003" s="23"/>
    </row>
    <row r="1004" spans="1:19" ht="19.5" hidden="1" customHeight="1" outlineLevel="1">
      <c r="A1004" s="29">
        <v>64</v>
      </c>
      <c r="B1004" s="30">
        <f>IF(10&lt;=DAY(DATE(YEAR(설정_코스수당!$K$2),MONTH(설정_코스수당!$K$2)+1,0)),DATE(YEAR(설정_코스수당!$K$2),MONTH(설정_코스수당!$K$2),10),"")</f>
        <v>46183</v>
      </c>
      <c r="C1004" s="31"/>
      <c r="D1004" s="29"/>
      <c r="E1004" s="29"/>
      <c r="F1004" s="32"/>
      <c r="G1004" s="29"/>
      <c r="H1004" s="29"/>
      <c r="I1004" s="29"/>
      <c r="J1004" s="33">
        <f>IF($O1004="방문완료",MAX(0,IFERROR(VLOOKUP($E1004,설정_코스수당!$A$6:$H$10,4,FALSE),0)-IF(OR($P1004="",$P1004="없음"),0,100000)),0)</f>
        <v>0</v>
      </c>
      <c r="K1004" s="33">
        <f t="array" ref="K1004">IF($O1004="방문완료",IFERROR(INDEX(설정_코스수당!$B$15:$F$64,MATCH($G1004,설정_코스수당!$A$15:$A$64,0),MATCH($E1004&amp;"수당",설정_코스수당!$B$14:$F$14,0)),0),0)</f>
        <v>0</v>
      </c>
      <c r="L1004" s="33">
        <f t="array" ref="L1004">IF($O1004="방문완료",IF($H1004="",0,IFERROR(INDEX(설정_코스수당!$B$15:$F$64,MATCH($H1004,설정_코스수당!$A$15:$A$64,0),MATCH($E1004&amp;"수당",설정_코스수당!$B$14:$F$14,0)),0)),0)</f>
        <v>0</v>
      </c>
      <c r="M1004" s="33">
        <f>IF($O1004="방문완료",IFERROR(VLOOKUP($E1004,설정_코스수당!$A$6:$H$10,6,FALSE),0),0)</f>
        <v>0</v>
      </c>
      <c r="N1004" s="34">
        <f t="shared" si="28"/>
        <v>0</v>
      </c>
      <c r="O1004" s="29"/>
      <c r="P1004" s="29"/>
      <c r="Q1004" s="29"/>
      <c r="R1004" s="32"/>
      <c r="S1004" s="29"/>
    </row>
    <row r="1005" spans="1:19" ht="19.5" hidden="1" customHeight="1" outlineLevel="1">
      <c r="A1005" s="23">
        <v>65</v>
      </c>
      <c r="B1005" s="24">
        <f>IF(10&lt;=DAY(DATE(YEAR(설정_코스수당!$K$2),MONTH(설정_코스수당!$K$2)+1,0)),DATE(YEAR(설정_코스수당!$K$2),MONTH(설정_코스수당!$K$2),10),"")</f>
        <v>46183</v>
      </c>
      <c r="C1005" s="25"/>
      <c r="D1005" s="23"/>
      <c r="E1005" s="23"/>
      <c r="F1005" s="26"/>
      <c r="G1005" s="23"/>
      <c r="H1005" s="23"/>
      <c r="I1005" s="23"/>
      <c r="J1005" s="27">
        <f>IF($O1005="방문완료",MAX(0,IFERROR(VLOOKUP($E1005,설정_코스수당!$A$6:$H$10,4,FALSE),0)-IF(OR($P1005="",$P1005="없음"),0,100000)),0)</f>
        <v>0</v>
      </c>
      <c r="K1005" s="27">
        <f t="array" ref="K1005">IF($O1005="방문완료",IFERROR(INDEX(설정_코스수당!$B$15:$F$64,MATCH($G1005,설정_코스수당!$A$15:$A$64,0),MATCH($E1005&amp;"수당",설정_코스수당!$B$14:$F$14,0)),0),0)</f>
        <v>0</v>
      </c>
      <c r="L1005" s="27">
        <f t="array" ref="L1005">IF($O1005="방문완료",IF($H1005="",0,IFERROR(INDEX(설정_코스수당!$B$15:$F$64,MATCH($H1005,설정_코스수당!$A$15:$A$64,0),MATCH($E1005&amp;"수당",설정_코스수당!$B$14:$F$14,0)),0)),0)</f>
        <v>0</v>
      </c>
      <c r="M1005" s="27">
        <f>IF($O1005="방문완료",IFERROR(VLOOKUP($E1005,설정_코스수당!$A$6:$H$10,6,FALSE),0),0)</f>
        <v>0</v>
      </c>
      <c r="N1005" s="28">
        <f t="shared" ref="N1005:N1040" si="29">IF($O1005="방문완료",1,0)</f>
        <v>0</v>
      </c>
      <c r="O1005" s="23"/>
      <c r="P1005" s="23"/>
      <c r="Q1005" s="23"/>
      <c r="R1005" s="26"/>
      <c r="S1005" s="23"/>
    </row>
    <row r="1006" spans="1:19" ht="19.5" hidden="1" customHeight="1" outlineLevel="1">
      <c r="A1006" s="29">
        <v>66</v>
      </c>
      <c r="B1006" s="30">
        <f>IF(10&lt;=DAY(DATE(YEAR(설정_코스수당!$K$2),MONTH(설정_코스수당!$K$2)+1,0)),DATE(YEAR(설정_코스수당!$K$2),MONTH(설정_코스수당!$K$2),10),"")</f>
        <v>46183</v>
      </c>
      <c r="C1006" s="31"/>
      <c r="D1006" s="29"/>
      <c r="E1006" s="29"/>
      <c r="F1006" s="32"/>
      <c r="G1006" s="29"/>
      <c r="H1006" s="29"/>
      <c r="I1006" s="29"/>
      <c r="J1006" s="33">
        <f>IF($O1006="방문완료",MAX(0,IFERROR(VLOOKUP($E1006,설정_코스수당!$A$6:$H$10,4,FALSE),0)-IF(OR($P1006="",$P1006="없음"),0,100000)),0)</f>
        <v>0</v>
      </c>
      <c r="K1006" s="33">
        <f t="array" ref="K1006">IF($O1006="방문완료",IFERROR(INDEX(설정_코스수당!$B$15:$F$64,MATCH($G1006,설정_코스수당!$A$15:$A$64,0),MATCH($E1006&amp;"수당",설정_코스수당!$B$14:$F$14,0)),0),0)</f>
        <v>0</v>
      </c>
      <c r="L1006" s="33">
        <f t="array" ref="L1006">IF($O1006="방문완료",IF($H1006="",0,IFERROR(INDEX(설정_코스수당!$B$15:$F$64,MATCH($H1006,설정_코스수당!$A$15:$A$64,0),MATCH($E1006&amp;"수당",설정_코스수당!$B$14:$F$14,0)),0)),0)</f>
        <v>0</v>
      </c>
      <c r="M1006" s="33">
        <f>IF($O1006="방문완료",IFERROR(VLOOKUP($E1006,설정_코스수당!$A$6:$H$10,6,FALSE),0),0)</f>
        <v>0</v>
      </c>
      <c r="N1006" s="34">
        <f t="shared" si="29"/>
        <v>0</v>
      </c>
      <c r="O1006" s="29"/>
      <c r="P1006" s="29"/>
      <c r="Q1006" s="29"/>
      <c r="R1006" s="32"/>
      <c r="S1006" s="29"/>
    </row>
    <row r="1007" spans="1:19" ht="19.5" hidden="1" customHeight="1" outlineLevel="1">
      <c r="A1007" s="23">
        <v>67</v>
      </c>
      <c r="B1007" s="24">
        <f>IF(10&lt;=DAY(DATE(YEAR(설정_코스수당!$K$2),MONTH(설정_코스수당!$K$2)+1,0)),DATE(YEAR(설정_코스수당!$K$2),MONTH(설정_코스수당!$K$2),10),"")</f>
        <v>46183</v>
      </c>
      <c r="C1007" s="25"/>
      <c r="D1007" s="23"/>
      <c r="E1007" s="23"/>
      <c r="F1007" s="26"/>
      <c r="G1007" s="23"/>
      <c r="H1007" s="23"/>
      <c r="I1007" s="23"/>
      <c r="J1007" s="27">
        <f>IF($O1007="방문완료",MAX(0,IFERROR(VLOOKUP($E1007,설정_코스수당!$A$6:$H$10,4,FALSE),0)-IF(OR($P1007="",$P1007="없음"),0,100000)),0)</f>
        <v>0</v>
      </c>
      <c r="K1007" s="27">
        <f t="array" ref="K1007">IF($O1007="방문완료",IFERROR(INDEX(설정_코스수당!$B$15:$F$64,MATCH($G1007,설정_코스수당!$A$15:$A$64,0),MATCH($E1007&amp;"수당",설정_코스수당!$B$14:$F$14,0)),0),0)</f>
        <v>0</v>
      </c>
      <c r="L1007" s="27">
        <f t="array" ref="L1007">IF($O1007="방문완료",IF($H1007="",0,IFERROR(INDEX(설정_코스수당!$B$15:$F$64,MATCH($H1007,설정_코스수당!$A$15:$A$64,0),MATCH($E1007&amp;"수당",설정_코스수당!$B$14:$F$14,0)),0)),0)</f>
        <v>0</v>
      </c>
      <c r="M1007" s="27">
        <f>IF($O1007="방문완료",IFERROR(VLOOKUP($E1007,설정_코스수당!$A$6:$H$10,6,FALSE),0),0)</f>
        <v>0</v>
      </c>
      <c r="N1007" s="28">
        <f t="shared" si="29"/>
        <v>0</v>
      </c>
      <c r="O1007" s="23"/>
      <c r="P1007" s="23"/>
      <c r="Q1007" s="23"/>
      <c r="R1007" s="26"/>
      <c r="S1007" s="23"/>
    </row>
    <row r="1008" spans="1:19" ht="19.5" hidden="1" customHeight="1" outlineLevel="1">
      <c r="A1008" s="29">
        <v>68</v>
      </c>
      <c r="B1008" s="30">
        <f>IF(10&lt;=DAY(DATE(YEAR(설정_코스수당!$K$2),MONTH(설정_코스수당!$K$2)+1,0)),DATE(YEAR(설정_코스수당!$K$2),MONTH(설정_코스수당!$K$2),10),"")</f>
        <v>46183</v>
      </c>
      <c r="C1008" s="31"/>
      <c r="D1008" s="29"/>
      <c r="E1008" s="29"/>
      <c r="F1008" s="32"/>
      <c r="G1008" s="29"/>
      <c r="H1008" s="29"/>
      <c r="I1008" s="29"/>
      <c r="J1008" s="33">
        <f>IF($O1008="방문완료",MAX(0,IFERROR(VLOOKUP($E1008,설정_코스수당!$A$6:$H$10,4,FALSE),0)-IF(OR($P1008="",$P1008="없음"),0,100000)),0)</f>
        <v>0</v>
      </c>
      <c r="K1008" s="33">
        <f t="array" ref="K1008">IF($O1008="방문완료",IFERROR(INDEX(설정_코스수당!$B$15:$F$64,MATCH($G1008,설정_코스수당!$A$15:$A$64,0),MATCH($E1008&amp;"수당",설정_코스수당!$B$14:$F$14,0)),0),0)</f>
        <v>0</v>
      </c>
      <c r="L1008" s="33">
        <f t="array" ref="L1008">IF($O1008="방문완료",IF($H1008="",0,IFERROR(INDEX(설정_코스수당!$B$15:$F$64,MATCH($H1008,설정_코스수당!$A$15:$A$64,0),MATCH($E1008&amp;"수당",설정_코스수당!$B$14:$F$14,0)),0)),0)</f>
        <v>0</v>
      </c>
      <c r="M1008" s="33">
        <f>IF($O1008="방문완료",IFERROR(VLOOKUP($E1008,설정_코스수당!$A$6:$H$10,6,FALSE),0),0)</f>
        <v>0</v>
      </c>
      <c r="N1008" s="34">
        <f t="shared" si="29"/>
        <v>0</v>
      </c>
      <c r="O1008" s="29"/>
      <c r="P1008" s="29"/>
      <c r="Q1008" s="29"/>
      <c r="R1008" s="32"/>
      <c r="S1008" s="29"/>
    </row>
    <row r="1009" spans="1:22" ht="19.5" hidden="1" customHeight="1" outlineLevel="1">
      <c r="A1009" s="23">
        <v>69</v>
      </c>
      <c r="B1009" s="24">
        <f>IF(10&lt;=DAY(DATE(YEAR(설정_코스수당!$K$2),MONTH(설정_코스수당!$K$2)+1,0)),DATE(YEAR(설정_코스수당!$K$2),MONTH(설정_코스수당!$K$2),10),"")</f>
        <v>46183</v>
      </c>
      <c r="C1009" s="25"/>
      <c r="D1009" s="23"/>
      <c r="E1009" s="23"/>
      <c r="F1009" s="26"/>
      <c r="G1009" s="23"/>
      <c r="H1009" s="23"/>
      <c r="I1009" s="23"/>
      <c r="J1009" s="27">
        <f>IF($O1009="방문완료",MAX(0,IFERROR(VLOOKUP($E1009,설정_코스수당!$A$6:$H$10,4,FALSE),0)-IF(OR($P1009="",$P1009="없음"),0,100000)),0)</f>
        <v>0</v>
      </c>
      <c r="K1009" s="27">
        <f t="array" ref="K1009">IF($O1009="방문완료",IFERROR(INDEX(설정_코스수당!$B$15:$F$64,MATCH($G1009,설정_코스수당!$A$15:$A$64,0),MATCH($E1009&amp;"수당",설정_코스수당!$B$14:$F$14,0)),0),0)</f>
        <v>0</v>
      </c>
      <c r="L1009" s="27">
        <f t="array" ref="L1009">IF($O1009="방문완료",IF($H1009="",0,IFERROR(INDEX(설정_코스수당!$B$15:$F$64,MATCH($H1009,설정_코스수당!$A$15:$A$64,0),MATCH($E1009&amp;"수당",설정_코스수당!$B$14:$F$14,0)),0)),0)</f>
        <v>0</v>
      </c>
      <c r="M1009" s="27">
        <f>IF($O1009="방문완료",IFERROR(VLOOKUP($E1009,설정_코스수당!$A$6:$H$10,6,FALSE),0),0)</f>
        <v>0</v>
      </c>
      <c r="N1009" s="28">
        <f t="shared" si="29"/>
        <v>0</v>
      </c>
      <c r="O1009" s="23"/>
      <c r="P1009" s="23"/>
      <c r="Q1009" s="23"/>
      <c r="R1009" s="26"/>
      <c r="S1009" s="23"/>
    </row>
    <row r="1010" spans="1:22" ht="19.5" hidden="1" customHeight="1" outlineLevel="1">
      <c r="A1010" s="29">
        <v>70</v>
      </c>
      <c r="B1010" s="30">
        <f>IF(10&lt;=DAY(DATE(YEAR(설정_코스수당!$K$2),MONTH(설정_코스수당!$K$2)+1,0)),DATE(YEAR(설정_코스수당!$K$2),MONTH(설정_코스수당!$K$2),10),"")</f>
        <v>46183</v>
      </c>
      <c r="C1010" s="31"/>
      <c r="D1010" s="29"/>
      <c r="E1010" s="29"/>
      <c r="F1010" s="32"/>
      <c r="G1010" s="29"/>
      <c r="H1010" s="29"/>
      <c r="I1010" s="29"/>
      <c r="J1010" s="33">
        <f>IF($O1010="방문완료",MAX(0,IFERROR(VLOOKUP($E1010,설정_코스수당!$A$6:$H$10,4,FALSE),0)-IF(OR($P1010="",$P1010="없음"),0,100000)),0)</f>
        <v>0</v>
      </c>
      <c r="K1010" s="33">
        <f t="array" ref="K1010">IF($O1010="방문완료",IFERROR(INDEX(설정_코스수당!$B$15:$F$64,MATCH($G1010,설정_코스수당!$A$15:$A$64,0),MATCH($E1010&amp;"수당",설정_코스수당!$B$14:$F$14,0)),0),0)</f>
        <v>0</v>
      </c>
      <c r="L1010" s="33">
        <f t="array" ref="L1010">IF($O1010="방문완료",IF($H1010="",0,IFERROR(INDEX(설정_코스수당!$B$15:$F$64,MATCH($H1010,설정_코스수당!$A$15:$A$64,0),MATCH($E1010&amp;"수당",설정_코스수당!$B$14:$F$14,0)),0)),0)</f>
        <v>0</v>
      </c>
      <c r="M1010" s="33">
        <f>IF($O1010="방문완료",IFERROR(VLOOKUP($E1010,설정_코스수당!$A$6:$H$10,6,FALSE),0),0)</f>
        <v>0</v>
      </c>
      <c r="N1010" s="34">
        <f t="shared" si="29"/>
        <v>0</v>
      </c>
      <c r="O1010" s="29"/>
      <c r="P1010" s="29"/>
      <c r="Q1010" s="29"/>
      <c r="R1010" s="32"/>
      <c r="S1010" s="29"/>
    </row>
    <row r="1011" spans="1:22" ht="19.5" hidden="1" customHeight="1" outlineLevel="1">
      <c r="A1011" s="23">
        <v>71</v>
      </c>
      <c r="B1011" s="24">
        <f>IF(10&lt;=DAY(DATE(YEAR(설정_코스수당!$K$2),MONTH(설정_코스수당!$K$2)+1,0)),DATE(YEAR(설정_코스수당!$K$2),MONTH(설정_코스수당!$K$2),10),"")</f>
        <v>46183</v>
      </c>
      <c r="C1011" s="25"/>
      <c r="D1011" s="23"/>
      <c r="E1011" s="23"/>
      <c r="F1011" s="26"/>
      <c r="G1011" s="23"/>
      <c r="H1011" s="23"/>
      <c r="I1011" s="23"/>
      <c r="J1011" s="27">
        <f>IF($O1011="방문완료",MAX(0,IFERROR(VLOOKUP($E1011,설정_코스수당!$A$6:$H$10,4,FALSE),0)-IF(OR($P1011="",$P1011="없음"),0,100000)),0)</f>
        <v>0</v>
      </c>
      <c r="K1011" s="27">
        <f t="array" ref="K1011">IF($O1011="방문완료",IFERROR(INDEX(설정_코스수당!$B$15:$F$64,MATCH($G1011,설정_코스수당!$A$15:$A$64,0),MATCH($E1011&amp;"수당",설정_코스수당!$B$14:$F$14,0)),0),0)</f>
        <v>0</v>
      </c>
      <c r="L1011" s="27">
        <f t="array" ref="L1011">IF($O1011="방문완료",IF($H1011="",0,IFERROR(INDEX(설정_코스수당!$B$15:$F$64,MATCH($H1011,설정_코스수당!$A$15:$A$64,0),MATCH($E1011&amp;"수당",설정_코스수당!$B$14:$F$14,0)),0)),0)</f>
        <v>0</v>
      </c>
      <c r="M1011" s="27">
        <f>IF($O1011="방문완료",IFERROR(VLOOKUP($E1011,설정_코스수당!$A$6:$H$10,6,FALSE),0),0)</f>
        <v>0</v>
      </c>
      <c r="N1011" s="28">
        <f t="shared" si="29"/>
        <v>0</v>
      </c>
      <c r="O1011" s="23"/>
      <c r="P1011" s="23"/>
      <c r="Q1011" s="23"/>
      <c r="R1011" s="26"/>
      <c r="S1011" s="23"/>
    </row>
    <row r="1012" spans="1:22" ht="19.5" hidden="1" customHeight="1" outlineLevel="1">
      <c r="A1012" s="29">
        <v>72</v>
      </c>
      <c r="B1012" s="30">
        <f>IF(10&lt;=DAY(DATE(YEAR(설정_코스수당!$K$2),MONTH(설정_코스수당!$K$2)+1,0)),DATE(YEAR(설정_코스수당!$K$2),MONTH(설정_코스수당!$K$2),10),"")</f>
        <v>46183</v>
      </c>
      <c r="C1012" s="31"/>
      <c r="D1012" s="29"/>
      <c r="E1012" s="29"/>
      <c r="F1012" s="32"/>
      <c r="G1012" s="29"/>
      <c r="H1012" s="29"/>
      <c r="I1012" s="29"/>
      <c r="J1012" s="33">
        <f>IF($O1012="방문완료",MAX(0,IFERROR(VLOOKUP($E1012,설정_코스수당!$A$6:$H$10,4,FALSE),0)-IF(OR($P1012="",$P1012="없음"),0,100000)),0)</f>
        <v>0</v>
      </c>
      <c r="K1012" s="33">
        <f t="array" ref="K1012">IF($O1012="방문완료",IFERROR(INDEX(설정_코스수당!$B$15:$F$64,MATCH($G1012,설정_코스수당!$A$15:$A$64,0),MATCH($E1012&amp;"수당",설정_코스수당!$B$14:$F$14,0)),0),0)</f>
        <v>0</v>
      </c>
      <c r="L1012" s="33">
        <f t="array" ref="L1012">IF($O1012="방문완료",IF($H1012="",0,IFERROR(INDEX(설정_코스수당!$B$15:$F$64,MATCH($H1012,설정_코스수당!$A$15:$A$64,0),MATCH($E1012&amp;"수당",설정_코스수당!$B$14:$F$14,0)),0)),0)</f>
        <v>0</v>
      </c>
      <c r="M1012" s="33">
        <f>IF($O1012="방문완료",IFERROR(VLOOKUP($E1012,설정_코스수당!$A$6:$H$10,6,FALSE),0),0)</f>
        <v>0</v>
      </c>
      <c r="N1012" s="34">
        <f t="shared" si="29"/>
        <v>0</v>
      </c>
      <c r="O1012" s="29"/>
      <c r="P1012" s="29"/>
      <c r="Q1012" s="29"/>
      <c r="R1012" s="32"/>
      <c r="S1012" s="29"/>
    </row>
    <row r="1013" spans="1:22" ht="19.5" hidden="1" customHeight="1" outlineLevel="1">
      <c r="A1013" s="23">
        <v>73</v>
      </c>
      <c r="B1013" s="24">
        <f>IF(10&lt;=DAY(DATE(YEAR(설정_코스수당!$K$2),MONTH(설정_코스수당!$K$2)+1,0)),DATE(YEAR(설정_코스수당!$K$2),MONTH(설정_코스수당!$K$2),10),"")</f>
        <v>46183</v>
      </c>
      <c r="C1013" s="25"/>
      <c r="D1013" s="23"/>
      <c r="E1013" s="23"/>
      <c r="F1013" s="26"/>
      <c r="G1013" s="23"/>
      <c r="H1013" s="23"/>
      <c r="I1013" s="23"/>
      <c r="J1013" s="27">
        <f>IF($O1013="방문완료",MAX(0,IFERROR(VLOOKUP($E1013,설정_코스수당!$A$6:$H$10,4,FALSE),0)-IF(OR($P1013="",$P1013="없음"),0,100000)),0)</f>
        <v>0</v>
      </c>
      <c r="K1013" s="27">
        <f t="array" ref="K1013">IF($O1013="방문완료",IFERROR(INDEX(설정_코스수당!$B$15:$F$64,MATCH($G1013,설정_코스수당!$A$15:$A$64,0),MATCH($E1013&amp;"수당",설정_코스수당!$B$14:$F$14,0)),0),0)</f>
        <v>0</v>
      </c>
      <c r="L1013" s="27">
        <f t="array" ref="L1013">IF($O1013="방문완료",IF($H1013="",0,IFERROR(INDEX(설정_코스수당!$B$15:$F$64,MATCH($H1013,설정_코스수당!$A$15:$A$64,0),MATCH($E1013&amp;"수당",설정_코스수당!$B$14:$F$14,0)),0)),0)</f>
        <v>0</v>
      </c>
      <c r="M1013" s="27">
        <f>IF($O1013="방문완료",IFERROR(VLOOKUP($E1013,설정_코스수당!$A$6:$H$10,6,FALSE),0),0)</f>
        <v>0</v>
      </c>
      <c r="N1013" s="28">
        <f t="shared" si="29"/>
        <v>0</v>
      </c>
      <c r="O1013" s="23"/>
      <c r="P1013" s="23"/>
      <c r="Q1013" s="23"/>
      <c r="R1013" s="26"/>
      <c r="S1013" s="23"/>
    </row>
    <row r="1014" spans="1:22" ht="19.5" hidden="1" customHeight="1" outlineLevel="1">
      <c r="A1014" s="29">
        <v>74</v>
      </c>
      <c r="B1014" s="30">
        <f>IF(10&lt;=DAY(DATE(YEAR(설정_코스수당!$K$2),MONTH(설정_코스수당!$K$2)+1,0)),DATE(YEAR(설정_코스수당!$K$2),MONTH(설정_코스수당!$K$2),10),"")</f>
        <v>46183</v>
      </c>
      <c r="C1014" s="31"/>
      <c r="D1014" s="29"/>
      <c r="E1014" s="29"/>
      <c r="F1014" s="32"/>
      <c r="G1014" s="29"/>
      <c r="H1014" s="29"/>
      <c r="I1014" s="29"/>
      <c r="J1014" s="33">
        <f>IF($O1014="방문완료",MAX(0,IFERROR(VLOOKUP($E1014,설정_코스수당!$A$6:$H$10,4,FALSE),0)-IF(OR($P1014="",$P1014="없음"),0,100000)),0)</f>
        <v>0</v>
      </c>
      <c r="K1014" s="33">
        <f t="array" ref="K1014">IF($O1014="방문완료",IFERROR(INDEX(설정_코스수당!$B$15:$F$64,MATCH($G1014,설정_코스수당!$A$15:$A$64,0),MATCH($E1014&amp;"수당",설정_코스수당!$B$14:$F$14,0)),0),0)</f>
        <v>0</v>
      </c>
      <c r="L1014" s="33">
        <f t="array" ref="L1014">IF($O1014="방문완료",IF($H1014="",0,IFERROR(INDEX(설정_코스수당!$B$15:$F$64,MATCH($H1014,설정_코스수당!$A$15:$A$64,0),MATCH($E1014&amp;"수당",설정_코스수당!$B$14:$F$14,0)),0)),0)</f>
        <v>0</v>
      </c>
      <c r="M1014" s="33">
        <f>IF($O1014="방문완료",IFERROR(VLOOKUP($E1014,설정_코스수당!$A$6:$H$10,6,FALSE),0),0)</f>
        <v>0</v>
      </c>
      <c r="N1014" s="34">
        <f t="shared" si="29"/>
        <v>0</v>
      </c>
      <c r="O1014" s="29"/>
      <c r="P1014" s="29"/>
      <c r="Q1014" s="29"/>
      <c r="R1014" s="32"/>
      <c r="S1014" s="29"/>
    </row>
    <row r="1015" spans="1:22" ht="19.5" hidden="1" customHeight="1" outlineLevel="1">
      <c r="A1015" s="23">
        <v>75</v>
      </c>
      <c r="B1015" s="24">
        <f>IF(10&lt;=DAY(DATE(YEAR(설정_코스수당!$K$2),MONTH(설정_코스수당!$K$2)+1,0)),DATE(YEAR(설정_코스수당!$K$2),MONTH(설정_코스수당!$K$2),10),"")</f>
        <v>46183</v>
      </c>
      <c r="C1015" s="25"/>
      <c r="D1015" s="23"/>
      <c r="E1015" s="23"/>
      <c r="F1015" s="26"/>
      <c r="G1015" s="23"/>
      <c r="H1015" s="23"/>
      <c r="I1015" s="23"/>
      <c r="J1015" s="27">
        <f>IF($O1015="방문완료",MAX(0,IFERROR(VLOOKUP($E1015,설정_코스수당!$A$6:$H$10,4,FALSE),0)-IF(OR($P1015="",$P1015="없음"),0,100000)),0)</f>
        <v>0</v>
      </c>
      <c r="K1015" s="27">
        <f t="array" ref="K1015">IF($O1015="방문완료",IFERROR(INDEX(설정_코스수당!$B$15:$F$64,MATCH($G1015,설정_코스수당!$A$15:$A$64,0),MATCH($E1015&amp;"수당",설정_코스수당!$B$14:$F$14,0)),0),0)</f>
        <v>0</v>
      </c>
      <c r="L1015" s="27">
        <f t="array" ref="L1015">IF($O1015="방문완료",IF($H1015="",0,IFERROR(INDEX(설정_코스수당!$B$15:$F$64,MATCH($H1015,설정_코스수당!$A$15:$A$64,0),MATCH($E1015&amp;"수당",설정_코스수당!$B$14:$F$14,0)),0)),0)</f>
        <v>0</v>
      </c>
      <c r="M1015" s="27">
        <f>IF($O1015="방문완료",IFERROR(VLOOKUP($E1015,설정_코스수당!$A$6:$H$10,6,FALSE),0),0)</f>
        <v>0</v>
      </c>
      <c r="N1015" s="28">
        <f t="shared" si="29"/>
        <v>0</v>
      </c>
      <c r="O1015" s="23"/>
      <c r="P1015" s="23"/>
      <c r="Q1015" s="23"/>
      <c r="R1015" s="26"/>
      <c r="S1015" s="23"/>
    </row>
    <row r="1016" spans="1:22" ht="19.5" hidden="1" customHeight="1" outlineLevel="1">
      <c r="A1016" s="29">
        <v>76</v>
      </c>
      <c r="B1016" s="30">
        <f>IF(10&lt;=DAY(DATE(YEAR(설정_코스수당!$K$2),MONTH(설정_코스수당!$K$2)+1,0)),DATE(YEAR(설정_코스수당!$K$2),MONTH(설정_코스수당!$K$2),10),"")</f>
        <v>46183</v>
      </c>
      <c r="C1016" s="31"/>
      <c r="D1016" s="29"/>
      <c r="E1016" s="29"/>
      <c r="F1016" s="32"/>
      <c r="G1016" s="29"/>
      <c r="H1016" s="29"/>
      <c r="I1016" s="29"/>
      <c r="J1016" s="33">
        <f>IF($O1016="방문완료",MAX(0,IFERROR(VLOOKUP($E1016,설정_코스수당!$A$6:$H$10,4,FALSE),0)-IF(OR($P1016="",$P1016="없음"),0,100000)),0)</f>
        <v>0</v>
      </c>
      <c r="K1016" s="33">
        <f t="array" ref="K1016">IF($O1016="방문완료",IFERROR(INDEX(설정_코스수당!$B$15:$F$64,MATCH($G1016,설정_코스수당!$A$15:$A$64,0),MATCH($E1016&amp;"수당",설정_코스수당!$B$14:$F$14,0)),0),0)</f>
        <v>0</v>
      </c>
      <c r="L1016" s="33">
        <f t="array" ref="L1016">IF($O1016="방문완료",IF($H1016="",0,IFERROR(INDEX(설정_코스수당!$B$15:$F$64,MATCH($H1016,설정_코스수당!$A$15:$A$64,0),MATCH($E1016&amp;"수당",설정_코스수당!$B$14:$F$14,0)),0)),0)</f>
        <v>0</v>
      </c>
      <c r="M1016" s="33">
        <f>IF($O1016="방문완료",IFERROR(VLOOKUP($E1016,설정_코스수당!$A$6:$H$10,6,FALSE),0),0)</f>
        <v>0</v>
      </c>
      <c r="N1016" s="34">
        <f t="shared" si="29"/>
        <v>0</v>
      </c>
      <c r="O1016" s="29"/>
      <c r="P1016" s="29"/>
      <c r="Q1016" s="29"/>
      <c r="R1016" s="32"/>
      <c r="S1016" s="29"/>
    </row>
    <row r="1017" spans="1:22" ht="19.5" hidden="1" customHeight="1" outlineLevel="1">
      <c r="A1017" s="23">
        <v>77</v>
      </c>
      <c r="B1017" s="24">
        <f>IF(10&lt;=DAY(DATE(YEAR(설정_코스수당!$K$2),MONTH(설정_코스수당!$K$2)+1,0)),DATE(YEAR(설정_코스수당!$K$2),MONTH(설정_코스수당!$K$2),10),"")</f>
        <v>46183</v>
      </c>
      <c r="C1017" s="25"/>
      <c r="D1017" s="23"/>
      <c r="E1017" s="23"/>
      <c r="F1017" s="26"/>
      <c r="G1017" s="23"/>
      <c r="H1017" s="23"/>
      <c r="I1017" s="23"/>
      <c r="J1017" s="27">
        <f>IF($O1017="방문완료",MAX(0,IFERROR(VLOOKUP($E1017,설정_코스수당!$A$6:$H$10,4,FALSE),0)-IF(OR($P1017="",$P1017="없음"),0,100000)),0)</f>
        <v>0</v>
      </c>
      <c r="K1017" s="27">
        <f t="array" ref="K1017">IF($O1017="방문완료",IFERROR(INDEX(설정_코스수당!$B$15:$F$64,MATCH($G1017,설정_코스수당!$A$15:$A$64,0),MATCH($E1017&amp;"수당",설정_코스수당!$B$14:$F$14,0)),0),0)</f>
        <v>0</v>
      </c>
      <c r="L1017" s="27">
        <f t="array" ref="L1017">IF($O1017="방문완료",IF($H1017="",0,IFERROR(INDEX(설정_코스수당!$B$15:$F$64,MATCH($H1017,설정_코스수당!$A$15:$A$64,0),MATCH($E1017&amp;"수당",설정_코스수당!$B$14:$F$14,0)),0)),0)</f>
        <v>0</v>
      </c>
      <c r="M1017" s="27">
        <f>IF($O1017="방문완료",IFERROR(VLOOKUP($E1017,설정_코스수당!$A$6:$H$10,6,FALSE),0),0)</f>
        <v>0</v>
      </c>
      <c r="N1017" s="28">
        <f t="shared" si="29"/>
        <v>0</v>
      </c>
      <c r="O1017" s="23"/>
      <c r="P1017" s="23"/>
      <c r="Q1017" s="23"/>
      <c r="R1017" s="26"/>
      <c r="S1017" s="23"/>
    </row>
    <row r="1018" spans="1:22" ht="19.5" hidden="1" customHeight="1" outlineLevel="1">
      <c r="A1018" s="29">
        <v>78</v>
      </c>
      <c r="B1018" s="30">
        <f>IF(10&lt;=DAY(DATE(YEAR(설정_코스수당!$K$2),MONTH(설정_코스수당!$K$2)+1,0)),DATE(YEAR(설정_코스수당!$K$2),MONTH(설정_코스수당!$K$2),10),"")</f>
        <v>46183</v>
      </c>
      <c r="C1018" s="31"/>
      <c r="D1018" s="29"/>
      <c r="E1018" s="29"/>
      <c r="F1018" s="32"/>
      <c r="G1018" s="29"/>
      <c r="H1018" s="29"/>
      <c r="I1018" s="29"/>
      <c r="J1018" s="33">
        <f>IF($O1018="방문완료",MAX(0,IFERROR(VLOOKUP($E1018,설정_코스수당!$A$6:$H$10,4,FALSE),0)-IF(OR($P1018="",$P1018="없음"),0,100000)),0)</f>
        <v>0</v>
      </c>
      <c r="K1018" s="33">
        <f t="array" ref="K1018">IF($O1018="방문완료",IFERROR(INDEX(설정_코스수당!$B$15:$F$64,MATCH($G1018,설정_코스수당!$A$15:$A$64,0),MATCH($E1018&amp;"수당",설정_코스수당!$B$14:$F$14,0)),0),0)</f>
        <v>0</v>
      </c>
      <c r="L1018" s="33">
        <f t="array" ref="L1018">IF($O1018="방문완료",IF($H1018="",0,IFERROR(INDEX(설정_코스수당!$B$15:$F$64,MATCH($H1018,설정_코스수당!$A$15:$A$64,0),MATCH($E1018&amp;"수당",설정_코스수당!$B$14:$F$14,0)),0)),0)</f>
        <v>0</v>
      </c>
      <c r="M1018" s="33">
        <f>IF($O1018="방문완료",IFERROR(VLOOKUP($E1018,설정_코스수당!$A$6:$H$10,6,FALSE),0),0)</f>
        <v>0</v>
      </c>
      <c r="N1018" s="34">
        <f t="shared" si="29"/>
        <v>0</v>
      </c>
      <c r="O1018" s="29"/>
      <c r="P1018" s="29"/>
      <c r="Q1018" s="29"/>
      <c r="R1018" s="32"/>
      <c r="S1018" s="29"/>
    </row>
    <row r="1019" spans="1:22" ht="19.5" hidden="1" customHeight="1" outlineLevel="1">
      <c r="A1019" s="23">
        <v>79</v>
      </c>
      <c r="B1019" s="24">
        <f>IF(10&lt;=DAY(DATE(YEAR(설정_코스수당!$K$2),MONTH(설정_코스수당!$K$2)+1,0)),DATE(YEAR(설정_코스수당!$K$2),MONTH(설정_코스수당!$K$2),10),"")</f>
        <v>46183</v>
      </c>
      <c r="C1019" s="25"/>
      <c r="D1019" s="23"/>
      <c r="E1019" s="23"/>
      <c r="F1019" s="26"/>
      <c r="G1019" s="23"/>
      <c r="H1019" s="23"/>
      <c r="I1019" s="23"/>
      <c r="J1019" s="27">
        <f>IF($O1019="방문완료",MAX(0,IFERROR(VLOOKUP($E1019,설정_코스수당!$A$6:$H$10,4,FALSE),0)-IF(OR($P1019="",$P1019="없음"),0,100000)),0)</f>
        <v>0</v>
      </c>
      <c r="K1019" s="27">
        <f t="array" ref="K1019">IF($O1019="방문완료",IFERROR(INDEX(설정_코스수당!$B$15:$F$64,MATCH($G1019,설정_코스수당!$A$15:$A$64,0),MATCH($E1019&amp;"수당",설정_코스수당!$B$14:$F$14,0)),0),0)</f>
        <v>0</v>
      </c>
      <c r="L1019" s="27">
        <f t="array" ref="L1019">IF($O1019="방문완료",IF($H1019="",0,IFERROR(INDEX(설정_코스수당!$B$15:$F$64,MATCH($H1019,설정_코스수당!$A$15:$A$64,0),MATCH($E1019&amp;"수당",설정_코스수당!$B$14:$F$14,0)),0)),0)</f>
        <v>0</v>
      </c>
      <c r="M1019" s="27">
        <f>IF($O1019="방문완료",IFERROR(VLOOKUP($E1019,설정_코스수당!$A$6:$H$10,6,FALSE),0),0)</f>
        <v>0</v>
      </c>
      <c r="N1019" s="28">
        <f t="shared" si="29"/>
        <v>0</v>
      </c>
      <c r="O1019" s="23"/>
      <c r="P1019" s="23"/>
      <c r="Q1019" s="23"/>
      <c r="R1019" s="26"/>
      <c r="S1019" s="23"/>
    </row>
    <row r="1020" spans="1:22" ht="19.5" hidden="1" customHeight="1" outlineLevel="1">
      <c r="A1020" s="29">
        <v>80</v>
      </c>
      <c r="B1020" s="30">
        <f>IF(10&lt;=DAY(DATE(YEAR(설정_코스수당!$K$2),MONTH(설정_코스수당!$K$2)+1,0)),DATE(YEAR(설정_코스수당!$K$2),MONTH(설정_코스수당!$K$2),10),"")</f>
        <v>46183</v>
      </c>
      <c r="C1020" s="31"/>
      <c r="D1020" s="29"/>
      <c r="E1020" s="29"/>
      <c r="F1020" s="32"/>
      <c r="G1020" s="29"/>
      <c r="H1020" s="29"/>
      <c r="I1020" s="29"/>
      <c r="J1020" s="33">
        <f>IF($O1020="방문완료",MAX(0,IFERROR(VLOOKUP($E1020,설정_코스수당!$A$6:$H$10,4,FALSE),0)-IF(OR($P1020="",$P1020="없음"),0,100000)),0)</f>
        <v>0</v>
      </c>
      <c r="K1020" s="33">
        <f t="array" ref="K1020">IF($O1020="방문완료",IFERROR(INDEX(설정_코스수당!$B$15:$F$64,MATCH($G1020,설정_코스수당!$A$15:$A$64,0),MATCH($E1020&amp;"수당",설정_코스수당!$B$14:$F$14,0)),0),0)</f>
        <v>0</v>
      </c>
      <c r="L1020" s="33">
        <f t="array" ref="L1020">IF($O1020="방문완료",IF($H1020="",0,IFERROR(INDEX(설정_코스수당!$B$15:$F$64,MATCH($H1020,설정_코스수당!$A$15:$A$64,0),MATCH($E1020&amp;"수당",설정_코스수당!$B$14:$F$14,0)),0)),0)</f>
        <v>0</v>
      </c>
      <c r="M1020" s="33">
        <f>IF($O1020="방문완료",IFERROR(VLOOKUP($E1020,설정_코스수당!$A$6:$H$10,6,FALSE),0),0)</f>
        <v>0</v>
      </c>
      <c r="N1020" s="34">
        <f t="shared" si="29"/>
        <v>0</v>
      </c>
      <c r="O1020" s="29"/>
      <c r="P1020" s="29"/>
      <c r="Q1020" s="29"/>
      <c r="R1020" s="32"/>
      <c r="S1020" s="29"/>
      <c r="U1020" s="16" t="s">
        <v>72</v>
      </c>
      <c r="V1020" s="17">
        <f>IF(11&lt;=DAY(DATE(YEAR(설정_코스수당!$K$2),MONTH(설정_코스수당!$K$2)+1,0)),COUNTIFS($B:$B,DATE(YEAR(설정_코스수당!$K$2),MONTH(설정_코스수당!$K$2),11),$O:$O,"방문완료",$P:$P,"&lt;&gt;",$P:$P,"&lt;&gt;없음")*100000,"")</f>
        <v>0</v>
      </c>
    </row>
    <row r="1021" spans="1:22" ht="19.5" hidden="1" customHeight="1" outlineLevel="1">
      <c r="A1021" s="23">
        <v>81</v>
      </c>
      <c r="B1021" s="24">
        <f>IF(10&lt;=DAY(DATE(YEAR(설정_코스수당!$K$2),MONTH(설정_코스수당!$K$2)+1,0)),DATE(YEAR(설정_코스수당!$K$2),MONTH(설정_코스수당!$K$2),10),"")</f>
        <v>46183</v>
      </c>
      <c r="C1021" s="25"/>
      <c r="D1021" s="23"/>
      <c r="E1021" s="23"/>
      <c r="F1021" s="26"/>
      <c r="G1021" s="23"/>
      <c r="H1021" s="23"/>
      <c r="I1021" s="23"/>
      <c r="J1021" s="27">
        <f>IF($O1021="방문완료",MAX(0,IFERROR(VLOOKUP($E1021,설정_코스수당!$A$6:$H$10,4,FALSE),0)-IF(OR($P1021="",$P1021="없음"),0,100000)),0)</f>
        <v>0</v>
      </c>
      <c r="K1021" s="27">
        <f t="array" ref="K1021">IF($O1021="방문완료",IFERROR(INDEX(설정_코스수당!$B$15:$F$64,MATCH($G1021,설정_코스수당!$A$15:$A$64,0),MATCH($E1021&amp;"수당",설정_코스수당!$B$14:$F$14,0)),0),0)</f>
        <v>0</v>
      </c>
      <c r="L1021" s="27">
        <f t="array" ref="L1021">IF($O1021="방문완료",IF($H1021="",0,IFERROR(INDEX(설정_코스수당!$B$15:$F$64,MATCH($H1021,설정_코스수당!$A$15:$A$64,0),MATCH($E1021&amp;"수당",설정_코스수당!$B$14:$F$14,0)),0)),0)</f>
        <v>0</v>
      </c>
      <c r="M1021" s="27">
        <f>IF($O1021="방문완료",IFERROR(VLOOKUP($E1021,설정_코스수당!$A$6:$H$10,6,FALSE),0),0)</f>
        <v>0</v>
      </c>
      <c r="N1021" s="28">
        <f t="shared" si="29"/>
        <v>0</v>
      </c>
      <c r="O1021" s="23"/>
      <c r="P1021" s="23"/>
      <c r="Q1021" s="23"/>
      <c r="R1021" s="26"/>
      <c r="S1021" s="23"/>
    </row>
    <row r="1022" spans="1:22" ht="19.5" hidden="1" customHeight="1" outlineLevel="1">
      <c r="A1022" s="29">
        <v>82</v>
      </c>
      <c r="B1022" s="30">
        <f>IF(10&lt;=DAY(DATE(YEAR(설정_코스수당!$K$2),MONTH(설정_코스수당!$K$2)+1,0)),DATE(YEAR(설정_코스수당!$K$2),MONTH(설정_코스수당!$K$2),10),"")</f>
        <v>46183</v>
      </c>
      <c r="C1022" s="31"/>
      <c r="D1022" s="29"/>
      <c r="E1022" s="29"/>
      <c r="F1022" s="32"/>
      <c r="G1022" s="29"/>
      <c r="H1022" s="29"/>
      <c r="I1022" s="29"/>
      <c r="J1022" s="33">
        <f>IF($O1022="방문완료",MAX(0,IFERROR(VLOOKUP($E1022,설정_코스수당!$A$6:$H$10,4,FALSE),0)-IF(OR($P1022="",$P1022="없음"),0,100000)),0)</f>
        <v>0</v>
      </c>
      <c r="K1022" s="33">
        <f t="array" ref="K1022">IF($O1022="방문완료",IFERROR(INDEX(설정_코스수당!$B$15:$F$64,MATCH($G1022,설정_코스수당!$A$15:$A$64,0),MATCH($E1022&amp;"수당",설정_코스수당!$B$14:$F$14,0)),0),0)</f>
        <v>0</v>
      </c>
      <c r="L1022" s="33">
        <f t="array" ref="L1022">IF($O1022="방문완료",IF($H1022="",0,IFERROR(INDEX(설정_코스수당!$B$15:$F$64,MATCH($H1022,설정_코스수당!$A$15:$A$64,0),MATCH($E1022&amp;"수당",설정_코스수당!$B$14:$F$14,0)),0)),0)</f>
        <v>0</v>
      </c>
      <c r="M1022" s="33">
        <f>IF($O1022="방문완료",IFERROR(VLOOKUP($E1022,설정_코스수당!$A$6:$H$10,6,FALSE),0),0)</f>
        <v>0</v>
      </c>
      <c r="N1022" s="34">
        <f t="shared" si="29"/>
        <v>0</v>
      </c>
      <c r="O1022" s="29"/>
      <c r="P1022" s="29"/>
      <c r="Q1022" s="29"/>
      <c r="R1022" s="32"/>
      <c r="S1022" s="29"/>
    </row>
    <row r="1023" spans="1:22" ht="19.5" hidden="1" customHeight="1" outlineLevel="1">
      <c r="A1023" s="23">
        <v>83</v>
      </c>
      <c r="B1023" s="24">
        <f>IF(10&lt;=DAY(DATE(YEAR(설정_코스수당!$K$2),MONTH(설정_코스수당!$K$2)+1,0)),DATE(YEAR(설정_코스수당!$K$2),MONTH(설정_코스수당!$K$2),10),"")</f>
        <v>46183</v>
      </c>
      <c r="C1023" s="25"/>
      <c r="D1023" s="23"/>
      <c r="E1023" s="23"/>
      <c r="F1023" s="26"/>
      <c r="G1023" s="23"/>
      <c r="H1023" s="23"/>
      <c r="I1023" s="23"/>
      <c r="J1023" s="27">
        <f>IF($O1023="방문완료",MAX(0,IFERROR(VLOOKUP($E1023,설정_코스수당!$A$6:$H$10,4,FALSE),0)-IF(OR($P1023="",$P1023="없음"),0,100000)),0)</f>
        <v>0</v>
      </c>
      <c r="K1023" s="27">
        <f t="array" ref="K1023">IF($O1023="방문완료",IFERROR(INDEX(설정_코스수당!$B$15:$F$64,MATCH($G1023,설정_코스수당!$A$15:$A$64,0),MATCH($E1023&amp;"수당",설정_코스수당!$B$14:$F$14,0)),0),0)</f>
        <v>0</v>
      </c>
      <c r="L1023" s="27">
        <f t="array" ref="L1023">IF($O1023="방문완료",IF($H1023="",0,IFERROR(INDEX(설정_코스수당!$B$15:$F$64,MATCH($H1023,설정_코스수당!$A$15:$A$64,0),MATCH($E1023&amp;"수당",설정_코스수당!$B$14:$F$14,0)),0)),0)</f>
        <v>0</v>
      </c>
      <c r="M1023" s="27">
        <f>IF($O1023="방문완료",IFERROR(VLOOKUP($E1023,설정_코스수당!$A$6:$H$10,6,FALSE),0),0)</f>
        <v>0</v>
      </c>
      <c r="N1023" s="28">
        <f t="shared" si="29"/>
        <v>0</v>
      </c>
      <c r="O1023" s="23"/>
      <c r="P1023" s="23"/>
      <c r="Q1023" s="23"/>
      <c r="R1023" s="26"/>
      <c r="S1023" s="23"/>
    </row>
    <row r="1024" spans="1:22" ht="19.5" hidden="1" customHeight="1" outlineLevel="1">
      <c r="A1024" s="29">
        <v>84</v>
      </c>
      <c r="B1024" s="30">
        <f>IF(10&lt;=DAY(DATE(YEAR(설정_코스수당!$K$2),MONTH(설정_코스수당!$K$2)+1,0)),DATE(YEAR(설정_코스수당!$K$2),MONTH(설정_코스수당!$K$2),10),"")</f>
        <v>46183</v>
      </c>
      <c r="C1024" s="31"/>
      <c r="D1024" s="29"/>
      <c r="E1024" s="29"/>
      <c r="F1024" s="32"/>
      <c r="G1024" s="29"/>
      <c r="H1024" s="29"/>
      <c r="I1024" s="29"/>
      <c r="J1024" s="33">
        <f>IF($O1024="방문완료",MAX(0,IFERROR(VLOOKUP($E1024,설정_코스수당!$A$6:$H$10,4,FALSE),0)-IF(OR($P1024="",$P1024="없음"),0,100000)),0)</f>
        <v>0</v>
      </c>
      <c r="K1024" s="33">
        <f t="array" ref="K1024">IF($O1024="방문완료",IFERROR(INDEX(설정_코스수당!$B$15:$F$64,MATCH($G1024,설정_코스수당!$A$15:$A$64,0),MATCH($E1024&amp;"수당",설정_코스수당!$B$14:$F$14,0)),0),0)</f>
        <v>0</v>
      </c>
      <c r="L1024" s="33">
        <f t="array" ref="L1024">IF($O1024="방문완료",IF($H1024="",0,IFERROR(INDEX(설정_코스수당!$B$15:$F$64,MATCH($H1024,설정_코스수당!$A$15:$A$64,0),MATCH($E1024&amp;"수당",설정_코스수당!$B$14:$F$14,0)),0)),0)</f>
        <v>0</v>
      </c>
      <c r="M1024" s="33">
        <f>IF($O1024="방문완료",IFERROR(VLOOKUP($E1024,설정_코스수당!$A$6:$H$10,6,FALSE),0),0)</f>
        <v>0</v>
      </c>
      <c r="N1024" s="34">
        <f t="shared" si="29"/>
        <v>0</v>
      </c>
      <c r="O1024" s="29"/>
      <c r="P1024" s="29"/>
      <c r="Q1024" s="29"/>
      <c r="R1024" s="32"/>
      <c r="S1024" s="29"/>
    </row>
    <row r="1025" spans="1:19" ht="19.5" hidden="1" customHeight="1" outlineLevel="1">
      <c r="A1025" s="23">
        <v>85</v>
      </c>
      <c r="B1025" s="24">
        <f>IF(10&lt;=DAY(DATE(YEAR(설정_코스수당!$K$2),MONTH(설정_코스수당!$K$2)+1,0)),DATE(YEAR(설정_코스수당!$K$2),MONTH(설정_코스수당!$K$2),10),"")</f>
        <v>46183</v>
      </c>
      <c r="C1025" s="25"/>
      <c r="D1025" s="23"/>
      <c r="E1025" s="23"/>
      <c r="F1025" s="26"/>
      <c r="G1025" s="23"/>
      <c r="H1025" s="23"/>
      <c r="I1025" s="23"/>
      <c r="J1025" s="27">
        <f>IF($O1025="방문완료",MAX(0,IFERROR(VLOOKUP($E1025,설정_코스수당!$A$6:$H$10,4,FALSE),0)-IF(OR($P1025="",$P1025="없음"),0,100000)),0)</f>
        <v>0</v>
      </c>
      <c r="K1025" s="27">
        <f t="array" ref="K1025">IF($O1025="방문완료",IFERROR(INDEX(설정_코스수당!$B$15:$F$64,MATCH($G1025,설정_코스수당!$A$15:$A$64,0),MATCH($E1025&amp;"수당",설정_코스수당!$B$14:$F$14,0)),0),0)</f>
        <v>0</v>
      </c>
      <c r="L1025" s="27">
        <f t="array" ref="L1025">IF($O1025="방문완료",IF($H1025="",0,IFERROR(INDEX(설정_코스수당!$B$15:$F$64,MATCH($H1025,설정_코스수당!$A$15:$A$64,0),MATCH($E1025&amp;"수당",설정_코스수당!$B$14:$F$14,0)),0)),0)</f>
        <v>0</v>
      </c>
      <c r="M1025" s="27">
        <f>IF($O1025="방문완료",IFERROR(VLOOKUP($E1025,설정_코스수당!$A$6:$H$10,6,FALSE),0),0)</f>
        <v>0</v>
      </c>
      <c r="N1025" s="28">
        <f t="shared" si="29"/>
        <v>0</v>
      </c>
      <c r="O1025" s="23"/>
      <c r="P1025" s="23"/>
      <c r="Q1025" s="23"/>
      <c r="R1025" s="26"/>
      <c r="S1025" s="23"/>
    </row>
    <row r="1026" spans="1:19" ht="19.5" hidden="1" customHeight="1" outlineLevel="1">
      <c r="A1026" s="29">
        <v>86</v>
      </c>
      <c r="B1026" s="30">
        <f>IF(10&lt;=DAY(DATE(YEAR(설정_코스수당!$K$2),MONTH(설정_코스수당!$K$2)+1,0)),DATE(YEAR(설정_코스수당!$K$2),MONTH(설정_코스수당!$K$2),10),"")</f>
        <v>46183</v>
      </c>
      <c r="C1026" s="31"/>
      <c r="D1026" s="29"/>
      <c r="E1026" s="29"/>
      <c r="F1026" s="32"/>
      <c r="G1026" s="29"/>
      <c r="H1026" s="29"/>
      <c r="I1026" s="29"/>
      <c r="J1026" s="33">
        <f>IF($O1026="방문완료",MAX(0,IFERROR(VLOOKUP($E1026,설정_코스수당!$A$6:$H$10,4,FALSE),0)-IF(OR($P1026="",$P1026="없음"),0,100000)),0)</f>
        <v>0</v>
      </c>
      <c r="K1026" s="33">
        <f t="array" ref="K1026">IF($O1026="방문완료",IFERROR(INDEX(설정_코스수당!$B$15:$F$64,MATCH($G1026,설정_코스수당!$A$15:$A$64,0),MATCH($E1026&amp;"수당",설정_코스수당!$B$14:$F$14,0)),0),0)</f>
        <v>0</v>
      </c>
      <c r="L1026" s="33">
        <f t="array" ref="L1026">IF($O1026="방문완료",IF($H1026="",0,IFERROR(INDEX(설정_코스수당!$B$15:$F$64,MATCH($H1026,설정_코스수당!$A$15:$A$64,0),MATCH($E1026&amp;"수당",설정_코스수당!$B$14:$F$14,0)),0)),0)</f>
        <v>0</v>
      </c>
      <c r="M1026" s="33">
        <f>IF($O1026="방문완료",IFERROR(VLOOKUP($E1026,설정_코스수당!$A$6:$H$10,6,FALSE),0),0)</f>
        <v>0</v>
      </c>
      <c r="N1026" s="34">
        <f t="shared" si="29"/>
        <v>0</v>
      </c>
      <c r="O1026" s="29"/>
      <c r="P1026" s="29"/>
      <c r="Q1026" s="29"/>
      <c r="R1026" s="32"/>
      <c r="S1026" s="29"/>
    </row>
    <row r="1027" spans="1:19" ht="19.5" hidden="1" customHeight="1" outlineLevel="1">
      <c r="A1027" s="23">
        <v>87</v>
      </c>
      <c r="B1027" s="24">
        <f>IF(10&lt;=DAY(DATE(YEAR(설정_코스수당!$K$2),MONTH(설정_코스수당!$K$2)+1,0)),DATE(YEAR(설정_코스수당!$K$2),MONTH(설정_코스수당!$K$2),10),"")</f>
        <v>46183</v>
      </c>
      <c r="C1027" s="25"/>
      <c r="D1027" s="23"/>
      <c r="E1027" s="23"/>
      <c r="F1027" s="26"/>
      <c r="G1027" s="23"/>
      <c r="H1027" s="23"/>
      <c r="I1027" s="23"/>
      <c r="J1027" s="27">
        <f>IF($O1027="방문완료",MAX(0,IFERROR(VLOOKUP($E1027,설정_코스수당!$A$6:$H$10,4,FALSE),0)-IF(OR($P1027="",$P1027="없음"),0,100000)),0)</f>
        <v>0</v>
      </c>
      <c r="K1027" s="27">
        <f t="array" ref="K1027">IF($O1027="방문완료",IFERROR(INDEX(설정_코스수당!$B$15:$F$64,MATCH($G1027,설정_코스수당!$A$15:$A$64,0),MATCH($E1027&amp;"수당",설정_코스수당!$B$14:$F$14,0)),0),0)</f>
        <v>0</v>
      </c>
      <c r="L1027" s="27">
        <f t="array" ref="L1027">IF($O1027="방문완료",IF($H1027="",0,IFERROR(INDEX(설정_코스수당!$B$15:$F$64,MATCH($H1027,설정_코스수당!$A$15:$A$64,0),MATCH($E1027&amp;"수당",설정_코스수당!$B$14:$F$14,0)),0)),0)</f>
        <v>0</v>
      </c>
      <c r="M1027" s="27">
        <f>IF($O1027="방문완료",IFERROR(VLOOKUP($E1027,설정_코스수당!$A$6:$H$10,6,FALSE),0),0)</f>
        <v>0</v>
      </c>
      <c r="N1027" s="28">
        <f t="shared" si="29"/>
        <v>0</v>
      </c>
      <c r="O1027" s="23"/>
      <c r="P1027" s="23"/>
      <c r="Q1027" s="23"/>
      <c r="R1027" s="26"/>
      <c r="S1027" s="23"/>
    </row>
    <row r="1028" spans="1:19" ht="19.5" hidden="1" customHeight="1" outlineLevel="1">
      <c r="A1028" s="29">
        <v>88</v>
      </c>
      <c r="B1028" s="30">
        <f>IF(10&lt;=DAY(DATE(YEAR(설정_코스수당!$K$2),MONTH(설정_코스수당!$K$2)+1,0)),DATE(YEAR(설정_코스수당!$K$2),MONTH(설정_코스수당!$K$2),10),"")</f>
        <v>46183</v>
      </c>
      <c r="C1028" s="31"/>
      <c r="D1028" s="29"/>
      <c r="E1028" s="29"/>
      <c r="F1028" s="32"/>
      <c r="G1028" s="29"/>
      <c r="H1028" s="29"/>
      <c r="I1028" s="29"/>
      <c r="J1028" s="33">
        <f>IF($O1028="방문완료",MAX(0,IFERROR(VLOOKUP($E1028,설정_코스수당!$A$6:$H$10,4,FALSE),0)-IF(OR($P1028="",$P1028="없음"),0,100000)),0)</f>
        <v>0</v>
      </c>
      <c r="K1028" s="33">
        <f t="array" ref="K1028">IF($O1028="방문완료",IFERROR(INDEX(설정_코스수당!$B$15:$F$64,MATCH($G1028,설정_코스수당!$A$15:$A$64,0),MATCH($E1028&amp;"수당",설정_코스수당!$B$14:$F$14,0)),0),0)</f>
        <v>0</v>
      </c>
      <c r="L1028" s="33">
        <f t="array" ref="L1028">IF($O1028="방문완료",IF($H1028="",0,IFERROR(INDEX(설정_코스수당!$B$15:$F$64,MATCH($H1028,설정_코스수당!$A$15:$A$64,0),MATCH($E1028&amp;"수당",설정_코스수당!$B$14:$F$14,0)),0)),0)</f>
        <v>0</v>
      </c>
      <c r="M1028" s="33">
        <f>IF($O1028="방문완료",IFERROR(VLOOKUP($E1028,설정_코스수당!$A$6:$H$10,6,FALSE),0),0)</f>
        <v>0</v>
      </c>
      <c r="N1028" s="34">
        <f t="shared" si="29"/>
        <v>0</v>
      </c>
      <c r="O1028" s="29"/>
      <c r="P1028" s="29"/>
      <c r="Q1028" s="29"/>
      <c r="R1028" s="32"/>
      <c r="S1028" s="29"/>
    </row>
    <row r="1029" spans="1:19" ht="19.5" hidden="1" customHeight="1" outlineLevel="1">
      <c r="A1029" s="23">
        <v>89</v>
      </c>
      <c r="B1029" s="24">
        <f>IF(10&lt;=DAY(DATE(YEAR(설정_코스수당!$K$2),MONTH(설정_코스수당!$K$2)+1,0)),DATE(YEAR(설정_코스수당!$K$2),MONTH(설정_코스수당!$K$2),10),"")</f>
        <v>46183</v>
      </c>
      <c r="C1029" s="25"/>
      <c r="D1029" s="23"/>
      <c r="E1029" s="23"/>
      <c r="F1029" s="26"/>
      <c r="G1029" s="23"/>
      <c r="H1029" s="23"/>
      <c r="I1029" s="23"/>
      <c r="J1029" s="27">
        <f>IF($O1029="방문완료",MAX(0,IFERROR(VLOOKUP($E1029,설정_코스수당!$A$6:$H$10,4,FALSE),0)-IF(OR($P1029="",$P1029="없음"),0,100000)),0)</f>
        <v>0</v>
      </c>
      <c r="K1029" s="27">
        <f t="array" ref="K1029">IF($O1029="방문완료",IFERROR(INDEX(설정_코스수당!$B$15:$F$64,MATCH($G1029,설정_코스수당!$A$15:$A$64,0),MATCH($E1029&amp;"수당",설정_코스수당!$B$14:$F$14,0)),0),0)</f>
        <v>0</v>
      </c>
      <c r="L1029" s="27">
        <f t="array" ref="L1029">IF($O1029="방문완료",IF($H1029="",0,IFERROR(INDEX(설정_코스수당!$B$15:$F$64,MATCH($H1029,설정_코스수당!$A$15:$A$64,0),MATCH($E1029&amp;"수당",설정_코스수당!$B$14:$F$14,0)),0)),0)</f>
        <v>0</v>
      </c>
      <c r="M1029" s="27">
        <f>IF($O1029="방문완료",IFERROR(VLOOKUP($E1029,설정_코스수당!$A$6:$H$10,6,FALSE),0),0)</f>
        <v>0</v>
      </c>
      <c r="N1029" s="28">
        <f t="shared" si="29"/>
        <v>0</v>
      </c>
      <c r="O1029" s="23"/>
      <c r="P1029" s="23"/>
      <c r="Q1029" s="23"/>
      <c r="R1029" s="26"/>
      <c r="S1029" s="23"/>
    </row>
    <row r="1030" spans="1:19" ht="19.5" hidden="1" customHeight="1" outlineLevel="1">
      <c r="A1030" s="29">
        <v>90</v>
      </c>
      <c r="B1030" s="30">
        <f>IF(10&lt;=DAY(DATE(YEAR(설정_코스수당!$K$2),MONTH(설정_코스수당!$K$2)+1,0)),DATE(YEAR(설정_코스수당!$K$2),MONTH(설정_코스수당!$K$2),10),"")</f>
        <v>46183</v>
      </c>
      <c r="C1030" s="31"/>
      <c r="D1030" s="29"/>
      <c r="E1030" s="29"/>
      <c r="F1030" s="32"/>
      <c r="G1030" s="29"/>
      <c r="H1030" s="29"/>
      <c r="I1030" s="29"/>
      <c r="J1030" s="33">
        <f>IF($O1030="방문완료",MAX(0,IFERROR(VLOOKUP($E1030,설정_코스수당!$A$6:$H$10,4,FALSE),0)-IF(OR($P1030="",$P1030="없음"),0,100000)),0)</f>
        <v>0</v>
      </c>
      <c r="K1030" s="33">
        <f t="array" ref="K1030">IF($O1030="방문완료",IFERROR(INDEX(설정_코스수당!$B$15:$F$64,MATCH($G1030,설정_코스수당!$A$15:$A$64,0),MATCH($E1030&amp;"수당",설정_코스수당!$B$14:$F$14,0)),0),0)</f>
        <v>0</v>
      </c>
      <c r="L1030" s="33">
        <f t="array" ref="L1030">IF($O1030="방문완료",IF($H1030="",0,IFERROR(INDEX(설정_코스수당!$B$15:$F$64,MATCH($H1030,설정_코스수당!$A$15:$A$64,0),MATCH($E1030&amp;"수당",설정_코스수당!$B$14:$F$14,0)),0)),0)</f>
        <v>0</v>
      </c>
      <c r="M1030" s="33">
        <f>IF($O1030="방문완료",IFERROR(VLOOKUP($E1030,설정_코스수당!$A$6:$H$10,6,FALSE),0),0)</f>
        <v>0</v>
      </c>
      <c r="N1030" s="34">
        <f t="shared" si="29"/>
        <v>0</v>
      </c>
      <c r="O1030" s="29"/>
      <c r="P1030" s="29"/>
      <c r="Q1030" s="29"/>
      <c r="R1030" s="32"/>
      <c r="S1030" s="29"/>
    </row>
    <row r="1031" spans="1:19" ht="19.5" hidden="1" customHeight="1" outlineLevel="1">
      <c r="A1031" s="23">
        <v>91</v>
      </c>
      <c r="B1031" s="24">
        <f>IF(10&lt;=DAY(DATE(YEAR(설정_코스수당!$K$2),MONTH(설정_코스수당!$K$2)+1,0)),DATE(YEAR(설정_코스수당!$K$2),MONTH(설정_코스수당!$K$2),10),"")</f>
        <v>46183</v>
      </c>
      <c r="C1031" s="25"/>
      <c r="D1031" s="23"/>
      <c r="E1031" s="23"/>
      <c r="F1031" s="26"/>
      <c r="G1031" s="23"/>
      <c r="H1031" s="23"/>
      <c r="I1031" s="23"/>
      <c r="J1031" s="27">
        <f>IF($O1031="방문완료",MAX(0,IFERROR(VLOOKUP($E1031,설정_코스수당!$A$6:$H$10,4,FALSE),0)-IF(OR($P1031="",$P1031="없음"),0,100000)),0)</f>
        <v>0</v>
      </c>
      <c r="K1031" s="27">
        <f t="array" ref="K1031">IF($O1031="방문완료",IFERROR(INDEX(설정_코스수당!$B$15:$F$64,MATCH($G1031,설정_코스수당!$A$15:$A$64,0),MATCH($E1031&amp;"수당",설정_코스수당!$B$14:$F$14,0)),0),0)</f>
        <v>0</v>
      </c>
      <c r="L1031" s="27">
        <f t="array" ref="L1031">IF($O1031="방문완료",IF($H1031="",0,IFERROR(INDEX(설정_코스수당!$B$15:$F$64,MATCH($H1031,설정_코스수당!$A$15:$A$64,0),MATCH($E1031&amp;"수당",설정_코스수당!$B$14:$F$14,0)),0)),0)</f>
        <v>0</v>
      </c>
      <c r="M1031" s="27">
        <f>IF($O1031="방문완료",IFERROR(VLOOKUP($E1031,설정_코스수당!$A$6:$H$10,6,FALSE),0),0)</f>
        <v>0</v>
      </c>
      <c r="N1031" s="28">
        <f t="shared" si="29"/>
        <v>0</v>
      </c>
      <c r="O1031" s="23"/>
      <c r="P1031" s="23"/>
      <c r="Q1031" s="23"/>
      <c r="R1031" s="26"/>
      <c r="S1031" s="23"/>
    </row>
    <row r="1032" spans="1:19" ht="19.5" hidden="1" customHeight="1" outlineLevel="1">
      <c r="A1032" s="29">
        <v>92</v>
      </c>
      <c r="B1032" s="30">
        <f>IF(10&lt;=DAY(DATE(YEAR(설정_코스수당!$K$2),MONTH(설정_코스수당!$K$2)+1,0)),DATE(YEAR(설정_코스수당!$K$2),MONTH(설정_코스수당!$K$2),10),"")</f>
        <v>46183</v>
      </c>
      <c r="C1032" s="31"/>
      <c r="D1032" s="29"/>
      <c r="E1032" s="29"/>
      <c r="F1032" s="32"/>
      <c r="G1032" s="29"/>
      <c r="H1032" s="29"/>
      <c r="I1032" s="29"/>
      <c r="J1032" s="33">
        <f>IF($O1032="방문완료",MAX(0,IFERROR(VLOOKUP($E1032,설정_코스수당!$A$6:$H$10,4,FALSE),0)-IF(OR($P1032="",$P1032="없음"),0,100000)),0)</f>
        <v>0</v>
      </c>
      <c r="K1032" s="33">
        <f t="array" ref="K1032">IF($O1032="방문완료",IFERROR(INDEX(설정_코스수당!$B$15:$F$64,MATCH($G1032,설정_코스수당!$A$15:$A$64,0),MATCH($E1032&amp;"수당",설정_코스수당!$B$14:$F$14,0)),0),0)</f>
        <v>0</v>
      </c>
      <c r="L1032" s="33">
        <f t="array" ref="L1032">IF($O1032="방문완료",IF($H1032="",0,IFERROR(INDEX(설정_코스수당!$B$15:$F$64,MATCH($H1032,설정_코스수당!$A$15:$A$64,0),MATCH($E1032&amp;"수당",설정_코스수당!$B$14:$F$14,0)),0)),0)</f>
        <v>0</v>
      </c>
      <c r="M1032" s="33">
        <f>IF($O1032="방문완료",IFERROR(VLOOKUP($E1032,설정_코스수당!$A$6:$H$10,6,FALSE),0),0)</f>
        <v>0</v>
      </c>
      <c r="N1032" s="34">
        <f t="shared" si="29"/>
        <v>0</v>
      </c>
      <c r="O1032" s="29"/>
      <c r="P1032" s="29"/>
      <c r="Q1032" s="29"/>
      <c r="R1032" s="32"/>
      <c r="S1032" s="29"/>
    </row>
    <row r="1033" spans="1:19" ht="19.5" hidden="1" customHeight="1" outlineLevel="1">
      <c r="A1033" s="23">
        <v>93</v>
      </c>
      <c r="B1033" s="24">
        <f>IF(10&lt;=DAY(DATE(YEAR(설정_코스수당!$K$2),MONTH(설정_코스수당!$K$2)+1,0)),DATE(YEAR(설정_코스수당!$K$2),MONTH(설정_코스수당!$K$2),10),"")</f>
        <v>46183</v>
      </c>
      <c r="C1033" s="25"/>
      <c r="D1033" s="23"/>
      <c r="E1033" s="23"/>
      <c r="F1033" s="26"/>
      <c r="G1033" s="23"/>
      <c r="H1033" s="23"/>
      <c r="I1033" s="23"/>
      <c r="J1033" s="27">
        <f>IF($O1033="방문완료",MAX(0,IFERROR(VLOOKUP($E1033,설정_코스수당!$A$6:$H$10,4,FALSE),0)-IF(OR($P1033="",$P1033="없음"),0,100000)),0)</f>
        <v>0</v>
      </c>
      <c r="K1033" s="27">
        <f t="array" ref="K1033">IF($O1033="방문완료",IFERROR(INDEX(설정_코스수당!$B$15:$F$64,MATCH($G1033,설정_코스수당!$A$15:$A$64,0),MATCH($E1033&amp;"수당",설정_코스수당!$B$14:$F$14,0)),0),0)</f>
        <v>0</v>
      </c>
      <c r="L1033" s="27">
        <f t="array" ref="L1033">IF($O1033="방문완료",IF($H1033="",0,IFERROR(INDEX(설정_코스수당!$B$15:$F$64,MATCH($H1033,설정_코스수당!$A$15:$A$64,0),MATCH($E1033&amp;"수당",설정_코스수당!$B$14:$F$14,0)),0)),0)</f>
        <v>0</v>
      </c>
      <c r="M1033" s="27">
        <f>IF($O1033="방문완료",IFERROR(VLOOKUP($E1033,설정_코스수당!$A$6:$H$10,6,FALSE),0),0)</f>
        <v>0</v>
      </c>
      <c r="N1033" s="28">
        <f t="shared" si="29"/>
        <v>0</v>
      </c>
      <c r="O1033" s="23"/>
      <c r="P1033" s="23"/>
      <c r="Q1033" s="23"/>
      <c r="R1033" s="26"/>
      <c r="S1033" s="23"/>
    </row>
    <row r="1034" spans="1:19" ht="19.5" hidden="1" customHeight="1" outlineLevel="1">
      <c r="A1034" s="29">
        <v>94</v>
      </c>
      <c r="B1034" s="30">
        <f>IF(10&lt;=DAY(DATE(YEAR(설정_코스수당!$K$2),MONTH(설정_코스수당!$K$2)+1,0)),DATE(YEAR(설정_코스수당!$K$2),MONTH(설정_코스수당!$K$2),10),"")</f>
        <v>46183</v>
      </c>
      <c r="C1034" s="31"/>
      <c r="D1034" s="29"/>
      <c r="E1034" s="29"/>
      <c r="F1034" s="32"/>
      <c r="G1034" s="29"/>
      <c r="H1034" s="29"/>
      <c r="I1034" s="29"/>
      <c r="J1034" s="33">
        <f>IF($O1034="방문완료",MAX(0,IFERROR(VLOOKUP($E1034,설정_코스수당!$A$6:$H$10,4,FALSE),0)-IF(OR($P1034="",$P1034="없음"),0,100000)),0)</f>
        <v>0</v>
      </c>
      <c r="K1034" s="33">
        <f t="array" ref="K1034">IF($O1034="방문완료",IFERROR(INDEX(설정_코스수당!$B$15:$F$64,MATCH($G1034,설정_코스수당!$A$15:$A$64,0),MATCH($E1034&amp;"수당",설정_코스수당!$B$14:$F$14,0)),0),0)</f>
        <v>0</v>
      </c>
      <c r="L1034" s="33">
        <f t="array" ref="L1034">IF($O1034="방문완료",IF($H1034="",0,IFERROR(INDEX(설정_코스수당!$B$15:$F$64,MATCH($H1034,설정_코스수당!$A$15:$A$64,0),MATCH($E1034&amp;"수당",설정_코스수당!$B$14:$F$14,0)),0)),0)</f>
        <v>0</v>
      </c>
      <c r="M1034" s="33">
        <f>IF($O1034="방문완료",IFERROR(VLOOKUP($E1034,설정_코스수당!$A$6:$H$10,6,FALSE),0),0)</f>
        <v>0</v>
      </c>
      <c r="N1034" s="34">
        <f t="shared" si="29"/>
        <v>0</v>
      </c>
      <c r="O1034" s="29"/>
      <c r="P1034" s="29"/>
      <c r="Q1034" s="29"/>
      <c r="R1034" s="32"/>
      <c r="S1034" s="29"/>
    </row>
    <row r="1035" spans="1:19" ht="19.5" hidden="1" customHeight="1" outlineLevel="1">
      <c r="A1035" s="23">
        <v>95</v>
      </c>
      <c r="B1035" s="24">
        <f>IF(10&lt;=DAY(DATE(YEAR(설정_코스수당!$K$2),MONTH(설정_코스수당!$K$2)+1,0)),DATE(YEAR(설정_코스수당!$K$2),MONTH(설정_코스수당!$K$2),10),"")</f>
        <v>46183</v>
      </c>
      <c r="C1035" s="25"/>
      <c r="D1035" s="23"/>
      <c r="E1035" s="23"/>
      <c r="F1035" s="26"/>
      <c r="G1035" s="23"/>
      <c r="H1035" s="23"/>
      <c r="I1035" s="23"/>
      <c r="J1035" s="27">
        <f>IF($O1035="방문완료",MAX(0,IFERROR(VLOOKUP($E1035,설정_코스수당!$A$6:$H$10,4,FALSE),0)-IF(OR($P1035="",$P1035="없음"),0,100000)),0)</f>
        <v>0</v>
      </c>
      <c r="K1035" s="27">
        <f t="array" ref="K1035">IF($O1035="방문완료",IFERROR(INDEX(설정_코스수당!$B$15:$F$64,MATCH($G1035,설정_코스수당!$A$15:$A$64,0),MATCH($E1035&amp;"수당",설정_코스수당!$B$14:$F$14,0)),0),0)</f>
        <v>0</v>
      </c>
      <c r="L1035" s="27">
        <f t="array" ref="L1035">IF($O1035="방문완료",IF($H1035="",0,IFERROR(INDEX(설정_코스수당!$B$15:$F$64,MATCH($H1035,설정_코스수당!$A$15:$A$64,0),MATCH($E1035&amp;"수당",설정_코스수당!$B$14:$F$14,0)),0)),0)</f>
        <v>0</v>
      </c>
      <c r="M1035" s="27">
        <f>IF($O1035="방문완료",IFERROR(VLOOKUP($E1035,설정_코스수당!$A$6:$H$10,6,FALSE),0),0)</f>
        <v>0</v>
      </c>
      <c r="N1035" s="28">
        <f t="shared" si="29"/>
        <v>0</v>
      </c>
      <c r="O1035" s="23"/>
      <c r="P1035" s="23"/>
      <c r="Q1035" s="23"/>
      <c r="R1035" s="26"/>
      <c r="S1035" s="23"/>
    </row>
    <row r="1036" spans="1:19" ht="19.5" hidden="1" customHeight="1" outlineLevel="1">
      <c r="A1036" s="29">
        <v>96</v>
      </c>
      <c r="B1036" s="30">
        <f>IF(10&lt;=DAY(DATE(YEAR(설정_코스수당!$K$2),MONTH(설정_코스수당!$K$2)+1,0)),DATE(YEAR(설정_코스수당!$K$2),MONTH(설정_코스수당!$K$2),10),"")</f>
        <v>46183</v>
      </c>
      <c r="C1036" s="31"/>
      <c r="D1036" s="29"/>
      <c r="E1036" s="29"/>
      <c r="F1036" s="32"/>
      <c r="G1036" s="29"/>
      <c r="H1036" s="29"/>
      <c r="I1036" s="29"/>
      <c r="J1036" s="33">
        <f>IF($O1036="방문완료",MAX(0,IFERROR(VLOOKUP($E1036,설정_코스수당!$A$6:$H$10,4,FALSE),0)-IF(OR($P1036="",$P1036="없음"),0,100000)),0)</f>
        <v>0</v>
      </c>
      <c r="K1036" s="33">
        <f t="array" ref="K1036">IF($O1036="방문완료",IFERROR(INDEX(설정_코스수당!$B$15:$F$64,MATCH($G1036,설정_코스수당!$A$15:$A$64,0),MATCH($E1036&amp;"수당",설정_코스수당!$B$14:$F$14,0)),0),0)</f>
        <v>0</v>
      </c>
      <c r="L1036" s="33">
        <f t="array" ref="L1036">IF($O1036="방문완료",IF($H1036="",0,IFERROR(INDEX(설정_코스수당!$B$15:$F$64,MATCH($H1036,설정_코스수당!$A$15:$A$64,0),MATCH($E1036&amp;"수당",설정_코스수당!$B$14:$F$14,0)),0)),0)</f>
        <v>0</v>
      </c>
      <c r="M1036" s="33">
        <f>IF($O1036="방문완료",IFERROR(VLOOKUP($E1036,설정_코스수당!$A$6:$H$10,6,FALSE),0),0)</f>
        <v>0</v>
      </c>
      <c r="N1036" s="34">
        <f t="shared" si="29"/>
        <v>0</v>
      </c>
      <c r="O1036" s="29"/>
      <c r="P1036" s="29"/>
      <c r="Q1036" s="29"/>
      <c r="R1036" s="32"/>
      <c r="S1036" s="29"/>
    </row>
    <row r="1037" spans="1:19" ht="19.5" hidden="1" customHeight="1" outlineLevel="1">
      <c r="A1037" s="23">
        <v>97</v>
      </c>
      <c r="B1037" s="24">
        <f>IF(10&lt;=DAY(DATE(YEAR(설정_코스수당!$K$2),MONTH(설정_코스수당!$K$2)+1,0)),DATE(YEAR(설정_코스수당!$K$2),MONTH(설정_코스수당!$K$2),10),"")</f>
        <v>46183</v>
      </c>
      <c r="C1037" s="25"/>
      <c r="D1037" s="23"/>
      <c r="E1037" s="23"/>
      <c r="F1037" s="26"/>
      <c r="G1037" s="23"/>
      <c r="H1037" s="23"/>
      <c r="I1037" s="23"/>
      <c r="J1037" s="27">
        <f>IF($O1037="방문완료",MAX(0,IFERROR(VLOOKUP($E1037,설정_코스수당!$A$6:$H$10,4,FALSE),0)-IF(OR($P1037="",$P1037="없음"),0,100000)),0)</f>
        <v>0</v>
      </c>
      <c r="K1037" s="27">
        <f t="array" ref="K1037">IF($O1037="방문완료",IFERROR(INDEX(설정_코스수당!$B$15:$F$64,MATCH($G1037,설정_코스수당!$A$15:$A$64,0),MATCH($E1037&amp;"수당",설정_코스수당!$B$14:$F$14,0)),0),0)</f>
        <v>0</v>
      </c>
      <c r="L1037" s="27">
        <f t="array" ref="L1037">IF($O1037="방문완료",IF($H1037="",0,IFERROR(INDEX(설정_코스수당!$B$15:$F$64,MATCH($H1037,설정_코스수당!$A$15:$A$64,0),MATCH($E1037&amp;"수당",설정_코스수당!$B$14:$F$14,0)),0)),0)</f>
        <v>0</v>
      </c>
      <c r="M1037" s="27">
        <f>IF($O1037="방문완료",IFERROR(VLOOKUP($E1037,설정_코스수당!$A$6:$H$10,6,FALSE),0),0)</f>
        <v>0</v>
      </c>
      <c r="N1037" s="28">
        <f t="shared" si="29"/>
        <v>0</v>
      </c>
      <c r="O1037" s="23"/>
      <c r="P1037" s="23"/>
      <c r="Q1037" s="23"/>
      <c r="R1037" s="26"/>
      <c r="S1037" s="23"/>
    </row>
    <row r="1038" spans="1:19" ht="19.5" hidden="1" customHeight="1" outlineLevel="1">
      <c r="A1038" s="29">
        <v>98</v>
      </c>
      <c r="B1038" s="30">
        <f>IF(10&lt;=DAY(DATE(YEAR(설정_코스수당!$K$2),MONTH(설정_코스수당!$K$2)+1,0)),DATE(YEAR(설정_코스수당!$K$2),MONTH(설정_코스수당!$K$2),10),"")</f>
        <v>46183</v>
      </c>
      <c r="C1038" s="31"/>
      <c r="D1038" s="29"/>
      <c r="E1038" s="29"/>
      <c r="F1038" s="32"/>
      <c r="G1038" s="29"/>
      <c r="H1038" s="29"/>
      <c r="I1038" s="29"/>
      <c r="J1038" s="33">
        <f>IF($O1038="방문완료",MAX(0,IFERROR(VLOOKUP($E1038,설정_코스수당!$A$6:$H$10,4,FALSE),0)-IF(OR($P1038="",$P1038="없음"),0,100000)),0)</f>
        <v>0</v>
      </c>
      <c r="K1038" s="33">
        <f t="array" ref="K1038">IF($O1038="방문완료",IFERROR(INDEX(설정_코스수당!$B$15:$F$64,MATCH($G1038,설정_코스수당!$A$15:$A$64,0),MATCH($E1038&amp;"수당",설정_코스수당!$B$14:$F$14,0)),0),0)</f>
        <v>0</v>
      </c>
      <c r="L1038" s="33">
        <f t="array" ref="L1038">IF($O1038="방문완료",IF($H1038="",0,IFERROR(INDEX(설정_코스수당!$B$15:$F$64,MATCH($H1038,설정_코스수당!$A$15:$A$64,0),MATCH($E1038&amp;"수당",설정_코스수당!$B$14:$F$14,0)),0)),0)</f>
        <v>0</v>
      </c>
      <c r="M1038" s="33">
        <f>IF($O1038="방문완료",IFERROR(VLOOKUP($E1038,설정_코스수당!$A$6:$H$10,6,FALSE),0),0)</f>
        <v>0</v>
      </c>
      <c r="N1038" s="34">
        <f t="shared" si="29"/>
        <v>0</v>
      </c>
      <c r="O1038" s="29"/>
      <c r="P1038" s="29"/>
      <c r="Q1038" s="29"/>
      <c r="R1038" s="32"/>
      <c r="S1038" s="29"/>
    </row>
    <row r="1039" spans="1:19" ht="19.5" hidden="1" customHeight="1" outlineLevel="1">
      <c r="A1039" s="23">
        <v>99</v>
      </c>
      <c r="B1039" s="24">
        <f>IF(10&lt;=DAY(DATE(YEAR(설정_코스수당!$K$2),MONTH(설정_코스수당!$K$2)+1,0)),DATE(YEAR(설정_코스수당!$K$2),MONTH(설정_코스수당!$K$2),10),"")</f>
        <v>46183</v>
      </c>
      <c r="C1039" s="25"/>
      <c r="D1039" s="23"/>
      <c r="E1039" s="23"/>
      <c r="F1039" s="26"/>
      <c r="G1039" s="23"/>
      <c r="H1039" s="23"/>
      <c r="I1039" s="23"/>
      <c r="J1039" s="27">
        <f>IF($O1039="방문완료",MAX(0,IFERROR(VLOOKUP($E1039,설정_코스수당!$A$6:$H$10,4,FALSE),0)-IF(OR($P1039="",$P1039="없음"),0,100000)),0)</f>
        <v>0</v>
      </c>
      <c r="K1039" s="27">
        <f t="array" ref="K1039">IF($O1039="방문완료",IFERROR(INDEX(설정_코스수당!$B$15:$F$64,MATCH($G1039,설정_코스수당!$A$15:$A$64,0),MATCH($E1039&amp;"수당",설정_코스수당!$B$14:$F$14,0)),0),0)</f>
        <v>0</v>
      </c>
      <c r="L1039" s="27">
        <f t="array" ref="L1039">IF($O1039="방문완료",IF($H1039="",0,IFERROR(INDEX(설정_코스수당!$B$15:$F$64,MATCH($H1039,설정_코스수당!$A$15:$A$64,0),MATCH($E1039&amp;"수당",설정_코스수당!$B$14:$F$14,0)),0)),0)</f>
        <v>0</v>
      </c>
      <c r="M1039" s="27">
        <f>IF($O1039="방문완료",IFERROR(VLOOKUP($E1039,설정_코스수당!$A$6:$H$10,6,FALSE),0),0)</f>
        <v>0</v>
      </c>
      <c r="N1039" s="28">
        <f t="shared" si="29"/>
        <v>0</v>
      </c>
      <c r="O1039" s="23"/>
      <c r="P1039" s="23"/>
      <c r="Q1039" s="23"/>
      <c r="R1039" s="26"/>
      <c r="S1039" s="23"/>
    </row>
    <row r="1040" spans="1:19" ht="19.5" hidden="1" customHeight="1" outlineLevel="1">
      <c r="A1040" s="29">
        <v>100</v>
      </c>
      <c r="B1040" s="30">
        <f>IF(10&lt;=DAY(DATE(YEAR(설정_코스수당!$K$2),MONTH(설정_코스수당!$K$2)+1,0)),DATE(YEAR(설정_코스수당!$K$2),MONTH(설정_코스수당!$K$2),10),"")</f>
        <v>46183</v>
      </c>
      <c r="C1040" s="31"/>
      <c r="D1040" s="29"/>
      <c r="E1040" s="29"/>
      <c r="F1040" s="32"/>
      <c r="G1040" s="29"/>
      <c r="H1040" s="29"/>
      <c r="I1040" s="29"/>
      <c r="J1040" s="33">
        <f>IF($O1040="방문완료",MAX(0,IFERROR(VLOOKUP($E1040,설정_코스수당!$A$6:$H$10,4,FALSE),0)-IF(OR($P1040="",$P1040="없음"),0,100000)),0)</f>
        <v>0</v>
      </c>
      <c r="K1040" s="33">
        <f t="array" ref="K1040">IF($O1040="방문완료",IFERROR(INDEX(설정_코스수당!$B$15:$F$64,MATCH($G1040,설정_코스수당!$A$15:$A$64,0),MATCH($E1040&amp;"수당",설정_코스수당!$B$14:$F$14,0)),0),0)</f>
        <v>0</v>
      </c>
      <c r="L1040" s="33">
        <f t="array" ref="L1040">IF($O1040="방문완료",IF($H1040="",0,IFERROR(INDEX(설정_코스수당!$B$15:$F$64,MATCH($H1040,설정_코스수당!$A$15:$A$64,0),MATCH($E1040&amp;"수당",설정_코스수당!$B$14:$F$14,0)),0)),0)</f>
        <v>0</v>
      </c>
      <c r="M1040" s="33">
        <f>IF($O1040="방문완료",IFERROR(VLOOKUP($E1040,설정_코스수당!$A$6:$H$10,6,FALSE),0),0)</f>
        <v>0</v>
      </c>
      <c r="N1040" s="34">
        <f t="shared" si="29"/>
        <v>0</v>
      </c>
      <c r="O1040" s="29"/>
      <c r="P1040" s="29"/>
      <c r="Q1040" s="29"/>
      <c r="R1040" s="32"/>
      <c r="S1040" s="29"/>
    </row>
    <row r="1041" spans="1:27" ht="19.5" hidden="1" customHeight="1" outlineLevel="1">
      <c r="A1041" s="36" t="s">
        <v>79</v>
      </c>
      <c r="B1041" s="37"/>
      <c r="C1041" s="38"/>
      <c r="D1041" s="37"/>
      <c r="E1041" s="37"/>
      <c r="F1041" s="37"/>
      <c r="G1041" s="37"/>
      <c r="H1041" s="37"/>
      <c r="I1041" s="37"/>
      <c r="J1041" s="37">
        <f>IF($O1041="방문완료",MAX(0,IFERROR(VLOOKUP($E1041,설정_코스수당!$A$6:$H$10,4,FALSE),0)-IF(OR($P1041="",$P1041="없음"),0,100000)),0)</f>
        <v>0</v>
      </c>
      <c r="O1041" s="18"/>
      <c r="P1041" s="14"/>
      <c r="Q1041" s="18"/>
      <c r="S1041" s="18"/>
    </row>
    <row r="1042" spans="1:27" ht="21" customHeight="1" collapsed="1">
      <c r="A1042" s="123" t="str">
        <f>IF(11&lt;=DAY(DATE(YEAR(설정_코스수당!$K$2),MONTH(설정_코스수당!$K$2)+1,0)),TEXT(DATE(YEAR(설정_코스수당!$K$2),MONTH(설정_코스수당!$K$2),11),"yyyy-mm-dd")&amp;"  |  예약관리 100슬롯","")</f>
        <v>2026-06-11  |  예약관리 100슬롯</v>
      </c>
      <c r="B1042" s="124"/>
      <c r="C1042" s="124"/>
      <c r="D1042" s="124"/>
      <c r="E1042" s="124"/>
      <c r="F1042" s="124"/>
      <c r="G1042" s="124"/>
      <c r="H1042" s="124"/>
      <c r="I1042" s="124"/>
      <c r="J1042" s="124"/>
      <c r="K1042" s="124"/>
      <c r="L1042" s="124"/>
      <c r="M1042" s="124"/>
      <c r="N1042" s="124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</row>
    <row r="1043" spans="1:27" ht="19.5" hidden="1" customHeight="1" outlineLevel="1">
      <c r="A1043" s="20" t="s">
        <v>41</v>
      </c>
      <c r="B1043" s="20" t="s">
        <v>42</v>
      </c>
      <c r="C1043" s="39" t="s">
        <v>43</v>
      </c>
      <c r="D1043" s="20" t="s">
        <v>44</v>
      </c>
      <c r="E1043" s="20" t="s">
        <v>45</v>
      </c>
      <c r="F1043" s="20" t="s">
        <v>46</v>
      </c>
      <c r="G1043" s="20" t="s">
        <v>47</v>
      </c>
      <c r="H1043" s="20" t="s">
        <v>48</v>
      </c>
      <c r="I1043" s="20" t="s">
        <v>49</v>
      </c>
      <c r="J1043" s="20" t="s">
        <v>50</v>
      </c>
      <c r="K1043" s="20" t="s">
        <v>51</v>
      </c>
      <c r="L1043" s="20" t="s">
        <v>52</v>
      </c>
      <c r="M1043" s="20" t="s">
        <v>53</v>
      </c>
      <c r="N1043" s="20" t="s">
        <v>54</v>
      </c>
      <c r="O1043" s="20" t="s">
        <v>55</v>
      </c>
      <c r="P1043" s="20" t="s">
        <v>56</v>
      </c>
      <c r="Q1043" s="18"/>
      <c r="R1043" s="20" t="s">
        <v>58</v>
      </c>
      <c r="S1043" s="20" t="s">
        <v>59</v>
      </c>
      <c r="U1043" s="122" t="str">
        <f>IF(11&lt;=DAY(DATE(YEAR(설정_코스수당!$K$2),MONTH(설정_코스수당!$K$2)+1,0)),TEXT(DATE(YEAR(설정_코스수당!$K$2),MONTH(설정_코스수당!$K$2),11),"yyyy-mm-dd")&amp;" 일일 상태","")</f>
        <v>2026-06-11 일일 상태</v>
      </c>
      <c r="V1043" s="125"/>
      <c r="W1043" s="122" t="s">
        <v>3</v>
      </c>
      <c r="X1043" s="125"/>
    </row>
    <row r="1044" spans="1:27" ht="19.5" hidden="1" customHeight="1" outlineLevel="1">
      <c r="A1044" s="23">
        <v>1</v>
      </c>
      <c r="B1044" s="24">
        <f>IF(11&lt;=DAY(DATE(YEAR(설정_코스수당!$K$2),MONTH(설정_코스수당!$K$2)+1,0)),DATE(YEAR(설정_코스수당!$K$2),MONTH(설정_코스수당!$K$2),11),"")</f>
        <v>46184</v>
      </c>
      <c r="C1044" s="25"/>
      <c r="D1044" s="23"/>
      <c r="E1044" s="23"/>
      <c r="F1044" s="26"/>
      <c r="G1044" s="23"/>
      <c r="H1044" s="23"/>
      <c r="I1044" s="23"/>
      <c r="J1044" s="27">
        <f>IF($O1044="방문완료",MAX(0,IFERROR(VLOOKUP($E1044,설정_코스수당!$A$6:$H$10,4,FALSE),0)-IF(OR($P1044="",$P1044="없음"),0,100000)),0)</f>
        <v>0</v>
      </c>
      <c r="K1044" s="27">
        <f t="array" ref="K1044">IF($O1044="방문완료",IFERROR(INDEX(설정_코스수당!$B$15:$F$64,MATCH($G1044,설정_코스수당!$A$15:$A$64,0),MATCH($E1044&amp;"수당",설정_코스수당!$B$14:$F$14,0)),0),0)</f>
        <v>0</v>
      </c>
      <c r="L1044" s="27">
        <f t="array" ref="L1044">IF($O1044="방문완료",IF($H1044="",0,IFERROR(INDEX(설정_코스수당!$B$15:$F$64,MATCH($H1044,설정_코스수당!$A$15:$A$64,0),MATCH($E1044&amp;"수당",설정_코스수당!$B$14:$F$14,0)),0)),0)</f>
        <v>0</v>
      </c>
      <c r="M1044" s="27">
        <f>IF($O1044="방문완료",IFERROR(VLOOKUP($E1044,설정_코스수당!$A$6:$H$10,6,FALSE),0),0)</f>
        <v>0</v>
      </c>
      <c r="N1044" s="28">
        <f t="shared" ref="N1044:N1075" si="30">IF($O1044="방문완료",1,0)</f>
        <v>0</v>
      </c>
      <c r="O1044" s="23"/>
      <c r="P1044" s="23"/>
      <c r="Q1044" s="23"/>
      <c r="R1044" s="26"/>
      <c r="S1044" s="23"/>
      <c r="U1044" s="104" t="s">
        <v>63</v>
      </c>
      <c r="V1044" s="105">
        <f>IF(11&lt;=DAY(DATE(YEAR(설정_코스수당!$K$2),MONTH(설정_코스수당!$K$2)+1,0)),COUNTIFS($B:$B,DATE(YEAR(설정_코스수당!$K$2),MONTH(설정_코스수당!$K$2),11),$O:$O,"&lt;&gt;"),"")</f>
        <v>0</v>
      </c>
      <c r="W1044" s="104" t="s">
        <v>6</v>
      </c>
      <c r="X1044" s="105">
        <f>IF(11&lt;=DAY(DATE(YEAR(설정_코스수당!$K$2),MONTH(설정_코스수당!$K$2)+1,0)),COUNTIFS($B:$B,DATE(YEAR(설정_코스수당!$K$2),MONTH(설정_코스수당!$K$2),11),$E:$E,"A",$O:$O,"방문완료"),"")</f>
        <v>0</v>
      </c>
    </row>
    <row r="1045" spans="1:27" ht="19.5" hidden="1" customHeight="1" outlineLevel="1">
      <c r="A1045" s="29">
        <v>2</v>
      </c>
      <c r="B1045" s="30">
        <f>IF(11&lt;=DAY(DATE(YEAR(설정_코스수당!$K$2),MONTH(설정_코스수당!$K$2)+1,0)),DATE(YEAR(설정_코스수당!$K$2),MONTH(설정_코스수당!$K$2),11),"")</f>
        <v>46184</v>
      </c>
      <c r="C1045" s="31"/>
      <c r="D1045" s="29"/>
      <c r="E1045" s="29"/>
      <c r="F1045" s="32"/>
      <c r="G1045" s="29"/>
      <c r="H1045" s="29"/>
      <c r="I1045" s="29"/>
      <c r="J1045" s="33">
        <f>IF($O1045="방문완료",MAX(0,IFERROR(VLOOKUP($E1045,설정_코스수당!$A$6:$H$10,4,FALSE),0)-IF(OR($P1045="",$P1045="없음"),0,100000)),0)</f>
        <v>0</v>
      </c>
      <c r="K1045" s="33">
        <f t="array" ref="K1045">IF($O1045="방문완료",IFERROR(INDEX(설정_코스수당!$B$15:$F$64,MATCH($G1045,설정_코스수당!$A$15:$A$64,0),MATCH($E1045&amp;"수당",설정_코스수당!$B$14:$F$14,0)),0),0)</f>
        <v>0</v>
      </c>
      <c r="L1045" s="33">
        <f t="array" ref="L1045">IF($O1045="방문완료",IF($H1045="",0,IFERROR(INDEX(설정_코스수당!$B$15:$F$64,MATCH($H1045,설정_코스수당!$A$15:$A$64,0),MATCH($E1045&amp;"수당",설정_코스수당!$B$14:$F$14,0)),0)),0)</f>
        <v>0</v>
      </c>
      <c r="M1045" s="33">
        <f>IF($O1045="방문완료",IFERROR(VLOOKUP($E1045,설정_코스수당!$A$6:$H$10,6,FALSE),0),0)</f>
        <v>0</v>
      </c>
      <c r="N1045" s="34">
        <f t="shared" si="30"/>
        <v>0</v>
      </c>
      <c r="O1045" s="29"/>
      <c r="P1045" s="29"/>
      <c r="Q1045" s="29"/>
      <c r="R1045" s="32"/>
      <c r="S1045" s="29"/>
      <c r="U1045" s="104" t="s">
        <v>62</v>
      </c>
      <c r="V1045" s="105">
        <f>IF(11&lt;=DAY(DATE(YEAR(설정_코스수당!$K$2),MONTH(설정_코스수당!$K$2)+1,0)),COUNTIFS($B:$B,DATE(YEAR(설정_코스수당!$K$2),MONTH(설정_코스수당!$K$2),11),$O:$O,"방문완료"),"")</f>
        <v>0</v>
      </c>
      <c r="W1045" s="104" t="s">
        <v>9</v>
      </c>
      <c r="X1045" s="105">
        <f>IF(11&lt;=DAY(DATE(YEAR(설정_코스수당!$K$2),MONTH(설정_코스수당!$K$2)+1,0)),COUNTIFS($B:$B,DATE(YEAR(설정_코스수당!$K$2),MONTH(설정_코스수당!$K$2),11),$E:$E,"B",$O:$O,"방문완료"),"")</f>
        <v>0</v>
      </c>
    </row>
    <row r="1046" spans="1:27" ht="19.5" hidden="1" customHeight="1" outlineLevel="1">
      <c r="A1046" s="23">
        <v>3</v>
      </c>
      <c r="B1046" s="24">
        <f>IF(11&lt;=DAY(DATE(YEAR(설정_코스수당!$K$2),MONTH(설정_코스수당!$K$2)+1,0)),DATE(YEAR(설정_코스수당!$K$2),MONTH(설정_코스수당!$K$2),11),"")</f>
        <v>46184</v>
      </c>
      <c r="C1046" s="25"/>
      <c r="D1046" s="23"/>
      <c r="E1046" s="23"/>
      <c r="F1046" s="26"/>
      <c r="G1046" s="23"/>
      <c r="H1046" s="23"/>
      <c r="I1046" s="23"/>
      <c r="J1046" s="27">
        <f>IF($O1046="방문완료",MAX(0,IFERROR(VLOOKUP($E1046,설정_코스수당!$A$6:$H$10,4,FALSE),0)-IF(OR($P1046="",$P1046="없음"),0,100000)),0)</f>
        <v>0</v>
      </c>
      <c r="K1046" s="27">
        <f t="array" ref="K1046">IF($O1046="방문완료",IFERROR(INDEX(설정_코스수당!$B$15:$F$64,MATCH($G1046,설정_코스수당!$A$15:$A$64,0),MATCH($E1046&amp;"수당",설정_코스수당!$B$14:$F$14,0)),0),0)</f>
        <v>0</v>
      </c>
      <c r="L1046" s="27">
        <f t="array" ref="L1046">IF($O1046="방문완료",IF($H1046="",0,IFERROR(INDEX(설정_코스수당!$B$15:$F$64,MATCH($H1046,설정_코스수당!$A$15:$A$64,0),MATCH($E1046&amp;"수당",설정_코스수당!$B$14:$F$14,0)),0)),0)</f>
        <v>0</v>
      </c>
      <c r="M1046" s="27">
        <f>IF($O1046="방문완료",IFERROR(VLOOKUP($E1046,설정_코스수당!$A$6:$H$10,6,FALSE),0),0)</f>
        <v>0</v>
      </c>
      <c r="N1046" s="28">
        <f t="shared" si="30"/>
        <v>0</v>
      </c>
      <c r="O1046" s="23"/>
      <c r="P1046" s="23"/>
      <c r="Q1046" s="23"/>
      <c r="R1046" s="26"/>
      <c r="S1046" s="23"/>
      <c r="U1046" s="104" t="s">
        <v>68</v>
      </c>
      <c r="V1046" s="105" t="str">
        <f>IF(11&lt;=DAY(DATE(YEAR(설정_코스수당!$K$2),MONTH(설정_코스수당!$K$2)+1,0)),COUNTIFS($B:$B,DATE(YEAR(설정_코스수당!$K$2),MONTH(설정_코스수당!$K$2),11),$O:$O,"노쇼")&amp;"/"&amp;COUNTIFS($B:$B,DATE(YEAR(설정_코스수당!$K$2),MONTH(설정_코스수당!$K$2),11),$O:$O,"취소"),"")</f>
        <v>0/0</v>
      </c>
      <c r="W1046" s="104" t="s">
        <v>12</v>
      </c>
      <c r="X1046" s="105">
        <f>IF(11&lt;=DAY(DATE(YEAR(설정_코스수당!$K$2),MONTH(설정_코스수당!$K$2)+1,0)),COUNTIFS($B:$B,DATE(YEAR(설정_코스수당!$K$2),MONTH(설정_코스수당!$K$2),11),$E:$E,"C",$O:$O,"방문완료"),"")</f>
        <v>0</v>
      </c>
    </row>
    <row r="1047" spans="1:27" ht="19.5" hidden="1" customHeight="1" outlineLevel="1">
      <c r="A1047" s="29">
        <v>4</v>
      </c>
      <c r="B1047" s="30">
        <f>IF(11&lt;=DAY(DATE(YEAR(설정_코스수당!$K$2),MONTH(설정_코스수당!$K$2)+1,0)),DATE(YEAR(설정_코스수당!$K$2),MONTH(설정_코스수당!$K$2),11),"")</f>
        <v>46184</v>
      </c>
      <c r="C1047" s="31"/>
      <c r="D1047" s="29"/>
      <c r="E1047" s="29"/>
      <c r="F1047" s="32"/>
      <c r="G1047" s="29"/>
      <c r="H1047" s="29"/>
      <c r="I1047" s="29"/>
      <c r="J1047" s="33">
        <f>IF($O1047="방문완료",MAX(0,IFERROR(VLOOKUP($E1047,설정_코스수당!$A$6:$H$10,4,FALSE),0)-IF(OR($P1047="",$P1047="없음"),0,100000)),0)</f>
        <v>0</v>
      </c>
      <c r="K1047" s="33">
        <f t="array" ref="K1047">IF($O1047="방문완료",IFERROR(INDEX(설정_코스수당!$B$15:$F$64,MATCH($G1047,설정_코스수당!$A$15:$A$64,0),MATCH($E1047&amp;"수당",설정_코스수당!$B$14:$F$14,0)),0),0)</f>
        <v>0</v>
      </c>
      <c r="L1047" s="33">
        <f t="array" ref="L1047">IF($O1047="방문완료",IF($H1047="",0,IFERROR(INDEX(설정_코스수당!$B$15:$F$64,MATCH($H1047,설정_코스수당!$A$15:$A$64,0),MATCH($E1047&amp;"수당",설정_코스수당!$B$14:$F$14,0)),0)),0)</f>
        <v>0</v>
      </c>
      <c r="M1047" s="33">
        <f>IF($O1047="방문완료",IFERROR(VLOOKUP($E1047,설정_코스수당!$A$6:$H$10,6,FALSE),0),0)</f>
        <v>0</v>
      </c>
      <c r="N1047" s="34">
        <f t="shared" si="30"/>
        <v>0</v>
      </c>
      <c r="O1047" s="29"/>
      <c r="P1047" s="29"/>
      <c r="Q1047" s="29"/>
      <c r="R1047" s="32"/>
      <c r="S1047" s="29"/>
      <c r="U1047" s="104" t="s">
        <v>69</v>
      </c>
      <c r="V1047" s="106">
        <f>IF(11&lt;=DAY(DATE(YEAR(설정_코스수당!$K$2),MONTH(설정_코스수당!$K$2)+1,0)),SUMIFS($J:$J,$B:$B,DATE(YEAR(설정_코스수당!$K$2),MONTH(설정_코스수당!$K$2),11),$O:$O,"방문완료"),"")</f>
        <v>0</v>
      </c>
      <c r="W1047" s="104" t="s">
        <v>15</v>
      </c>
      <c r="X1047" s="105">
        <f>IF(11&lt;=DAY(DATE(YEAR(설정_코스수당!$K$2),MONTH(설정_코스수당!$K$2)+1,0)),COUNTIFS($B:$B,DATE(YEAR(설정_코스수당!$K$2),MONTH(설정_코스수당!$K$2),11),$E:$E,"D",$O:$O,"방문완료"),"")</f>
        <v>0</v>
      </c>
    </row>
    <row r="1048" spans="1:27" ht="19.5" hidden="1" customHeight="1" outlineLevel="1">
      <c r="A1048" s="23">
        <v>5</v>
      </c>
      <c r="B1048" s="24">
        <f>IF(11&lt;=DAY(DATE(YEAR(설정_코스수당!$K$2),MONTH(설정_코스수당!$K$2)+1,0)),DATE(YEAR(설정_코스수당!$K$2),MONTH(설정_코스수당!$K$2),11),"")</f>
        <v>46184</v>
      </c>
      <c r="C1048" s="25"/>
      <c r="D1048" s="23"/>
      <c r="E1048" s="23"/>
      <c r="F1048" s="26"/>
      <c r="G1048" s="23"/>
      <c r="H1048" s="23"/>
      <c r="I1048" s="23"/>
      <c r="J1048" s="27">
        <f>IF($O1048="방문완료",MAX(0,IFERROR(VLOOKUP($E1048,설정_코스수당!$A$6:$H$10,4,FALSE),0)-IF(OR($P1048="",$P1048="없음"),0,100000)),0)</f>
        <v>0</v>
      </c>
      <c r="K1048" s="27">
        <f t="array" ref="K1048">IF($O1048="방문완료",IFERROR(INDEX(설정_코스수당!$B$15:$F$64,MATCH($G1048,설정_코스수당!$A$15:$A$64,0),MATCH($E1048&amp;"수당",설정_코스수당!$B$14:$F$14,0)),0),0)</f>
        <v>0</v>
      </c>
      <c r="L1048" s="27">
        <f t="array" ref="L1048">IF($O1048="방문완료",IF($H1048="",0,IFERROR(INDEX(설정_코스수당!$B$15:$F$64,MATCH($H1048,설정_코스수당!$A$15:$A$64,0),MATCH($E1048&amp;"수당",설정_코스수당!$B$14:$F$14,0)),0)),0)</f>
        <v>0</v>
      </c>
      <c r="M1048" s="27">
        <f>IF($O1048="방문완료",IFERROR(VLOOKUP($E1048,설정_코스수당!$A$6:$H$10,6,FALSE),0),0)</f>
        <v>0</v>
      </c>
      <c r="N1048" s="28">
        <f t="shared" si="30"/>
        <v>0</v>
      </c>
      <c r="O1048" s="23"/>
      <c r="P1048" s="23"/>
      <c r="Q1048" s="23"/>
      <c r="R1048" s="26"/>
      <c r="S1048" s="23"/>
      <c r="U1048" s="104" t="s">
        <v>70</v>
      </c>
      <c r="V1048" s="106">
        <f>IF(11&lt;=DAY(DATE(YEAR(설정_코스수당!$K$2),MONTH(설정_코스수당!$K$2)+1,0)),SUMIFS($K:$K,$B:$B,DATE(YEAR(설정_코스수당!$K$2),MONTH(설정_코스수당!$K$2),11),$O:$O,"방문완료")+SUMIFS($L:$L,$B:$B,DATE(YEAR(설정_코스수당!$K$2),MONTH(설정_코스수당!$K$2),11),$O:$O,"방문완료"),"")</f>
        <v>0</v>
      </c>
      <c r="W1048" s="104" t="s">
        <v>18</v>
      </c>
      <c r="X1048" s="105">
        <f>IF(11&lt;=DAY(DATE(YEAR(설정_코스수당!$K$2),MONTH(설정_코스수당!$K$2)+1,0)),COUNTIFS($B:$B,DATE(YEAR(설정_코스수당!$K$2),MONTH(설정_코스수당!$K$2),11),$E:$E,"E",$O:$O,"방문완료"),"")</f>
        <v>0</v>
      </c>
    </row>
    <row r="1049" spans="1:27" ht="19.5" hidden="1" customHeight="1" outlineLevel="1">
      <c r="A1049" s="29">
        <v>6</v>
      </c>
      <c r="B1049" s="30">
        <f>IF(11&lt;=DAY(DATE(YEAR(설정_코스수당!$K$2),MONTH(설정_코스수당!$K$2)+1,0)),DATE(YEAR(설정_코스수당!$K$2),MONTH(설정_코스수당!$K$2),11),"")</f>
        <v>46184</v>
      </c>
      <c r="C1049" s="31"/>
      <c r="D1049" s="29"/>
      <c r="E1049" s="29"/>
      <c r="F1049" s="32"/>
      <c r="G1049" s="29"/>
      <c r="H1049" s="29"/>
      <c r="I1049" s="29"/>
      <c r="J1049" s="33">
        <f>IF($O1049="방문완료",MAX(0,IFERROR(VLOOKUP($E1049,설정_코스수당!$A$6:$H$10,4,FALSE),0)-IF(OR($P1049="",$P1049="없음"),0,100000)),0)</f>
        <v>0</v>
      </c>
      <c r="K1049" s="33">
        <f t="array" ref="K1049">IF($O1049="방문완료",IFERROR(INDEX(설정_코스수당!$B$15:$F$64,MATCH($G1049,설정_코스수당!$A$15:$A$64,0),MATCH($E1049&amp;"수당",설정_코스수당!$B$14:$F$14,0)),0),0)</f>
        <v>0</v>
      </c>
      <c r="L1049" s="33">
        <f t="array" ref="L1049">IF($O1049="방문완료",IF($H1049="",0,IFERROR(INDEX(설정_코스수당!$B$15:$F$64,MATCH($H1049,설정_코스수당!$A$15:$A$64,0),MATCH($E1049&amp;"수당",설정_코스수당!$B$14:$F$14,0)),0)),0)</f>
        <v>0</v>
      </c>
      <c r="M1049" s="33">
        <f>IF($O1049="방문완료",IFERROR(VLOOKUP($E1049,설정_코스수당!$A$6:$H$10,6,FALSE),0),0)</f>
        <v>0</v>
      </c>
      <c r="N1049" s="34">
        <f t="shared" si="30"/>
        <v>0</v>
      </c>
      <c r="O1049" s="29"/>
      <c r="P1049" s="29"/>
      <c r="Q1049" s="29"/>
      <c r="R1049" s="32"/>
      <c r="S1049" s="29"/>
      <c r="U1049" s="104" t="s">
        <v>53</v>
      </c>
      <c r="V1049" s="106">
        <f>IF(11&lt;=DAY(DATE(YEAR(설정_코스수당!$K$2),MONTH(설정_코스수당!$K$2)+1,0)),SUMIFS($M:$M,$B:$B,DATE(YEAR(설정_코스수당!$K$2),MONTH(설정_코스수당!$K$2),11),$O:$O,"방문완료"),"")</f>
        <v>0</v>
      </c>
      <c r="W1049" s="104" t="s">
        <v>71</v>
      </c>
      <c r="X1049" s="107">
        <f>IF(11&lt;=DAY(DATE(YEAR(설정_코스수당!$K$2),MONTH(설정_코스수당!$K$2)+1,0)),COUNTIFS($B:$B,DATE(YEAR(설정_코스수당!$K$2),MONTH(설정_코스수당!$K$2),11),$O:$O,"방문완료",$P:$P,"&lt;&gt;",$P:$P,"&lt;&gt;없음"),"")</f>
        <v>0</v>
      </c>
    </row>
    <row r="1050" spans="1:27" ht="19.5" hidden="1" customHeight="1" outlineLevel="1">
      <c r="A1050" s="23">
        <v>7</v>
      </c>
      <c r="B1050" s="24">
        <f>IF(11&lt;=DAY(DATE(YEAR(설정_코스수당!$K$2),MONTH(설정_코스수당!$K$2)+1,0)),DATE(YEAR(설정_코스수당!$K$2),MONTH(설정_코스수당!$K$2),11),"")</f>
        <v>46184</v>
      </c>
      <c r="C1050" s="25"/>
      <c r="D1050" s="23"/>
      <c r="E1050" s="23"/>
      <c r="F1050" s="26"/>
      <c r="G1050" s="23"/>
      <c r="H1050" s="23"/>
      <c r="I1050" s="23"/>
      <c r="J1050" s="27">
        <f>IF($O1050="방문완료",MAX(0,IFERROR(VLOOKUP($E1050,설정_코스수당!$A$6:$H$10,4,FALSE),0)-IF(OR($P1050="",$P1050="없음"),0,100000)),0)</f>
        <v>0</v>
      </c>
      <c r="K1050" s="27">
        <f t="array" ref="K1050">IF($O1050="방문완료",IFERROR(INDEX(설정_코스수당!$B$15:$F$64,MATCH($G1050,설정_코스수당!$A$15:$A$64,0),MATCH($E1050&amp;"수당",설정_코스수당!$B$14:$F$14,0)),0),0)</f>
        <v>0</v>
      </c>
      <c r="L1050" s="27">
        <f t="array" ref="L1050">IF($O1050="방문완료",IF($H1050="",0,IFERROR(INDEX(설정_코스수당!$B$15:$F$64,MATCH($H1050,설정_코스수당!$A$15:$A$64,0),MATCH($E1050&amp;"수당",설정_코스수당!$B$14:$F$14,0)),0)),0)</f>
        <v>0</v>
      </c>
      <c r="M1050" s="27">
        <f>IF($O1050="방문완료",IFERROR(VLOOKUP($E1050,설정_코스수당!$A$6:$H$10,6,FALSE),0),0)</f>
        <v>0</v>
      </c>
      <c r="N1050" s="28">
        <f t="shared" si="30"/>
        <v>0</v>
      </c>
      <c r="O1050" s="23"/>
      <c r="P1050" s="23"/>
      <c r="Q1050" s="23"/>
      <c r="R1050" s="26"/>
      <c r="S1050" s="23"/>
      <c r="U1050" s="104" t="s">
        <v>72</v>
      </c>
      <c r="V1050" s="108">
        <f>IF(11&lt;=DAY(DATE(YEAR(설정_코스수당!$K$2),MONTH(설정_코스수당!$K$2)+1,0)),COUNTIFS($B:$B,DATE(YEAR(설정_코스수당!$K$2),MONTH(설정_코스수당!$K$2),11),$O:$O,"방문완료",$P:$P,"&lt;&gt;",$P:$P,"&lt;&gt;없음")*100000,"")</f>
        <v>0</v>
      </c>
      <c r="W1050" s="104" t="s">
        <v>73</v>
      </c>
      <c r="X1050" s="105">
        <f>IF(11&lt;=DAY(DATE(YEAR(설정_코스수당!$K$2),MONTH(설정_코스수당!$K$2)+1,0)),COUNTIFS($B:$B,DATE(YEAR(설정_코스수당!$K$2),MONTH(설정_코스수당!$K$2),11),$G:$G,"&lt;&gt;",$O:$O,"방문완료")+COUNTIFS($B:$B,DATE(YEAR(설정_코스수당!$K$2),MONTH(설정_코스수당!$K$2),11),$H:$H,"&lt;&gt;",$O:$O,"방문완료"),"")</f>
        <v>0</v>
      </c>
    </row>
    <row r="1051" spans="1:27" ht="19.5" hidden="1" customHeight="1" outlineLevel="1">
      <c r="A1051" s="29">
        <v>8</v>
      </c>
      <c r="B1051" s="30">
        <f>IF(11&lt;=DAY(DATE(YEAR(설정_코스수당!$K$2),MONTH(설정_코스수당!$K$2)+1,0)),DATE(YEAR(설정_코스수당!$K$2),MONTH(설정_코스수당!$K$2),11),"")</f>
        <v>46184</v>
      </c>
      <c r="C1051" s="31"/>
      <c r="D1051" s="29"/>
      <c r="E1051" s="29"/>
      <c r="F1051" s="32"/>
      <c r="G1051" s="29"/>
      <c r="H1051" s="29"/>
      <c r="I1051" s="29"/>
      <c r="J1051" s="33">
        <f>IF($O1051="방문완료",MAX(0,IFERROR(VLOOKUP($E1051,설정_코스수당!$A$6:$H$10,4,FALSE),0)-IF(OR($P1051="",$P1051="없음"),0,100000)),0)</f>
        <v>0</v>
      </c>
      <c r="K1051" s="33">
        <f t="array" ref="K1051">IF($O1051="방문완료",IFERROR(INDEX(설정_코스수당!$B$15:$F$64,MATCH($G1051,설정_코스수당!$A$15:$A$64,0),MATCH($E1051&amp;"수당",설정_코스수당!$B$14:$F$14,0)),0),0)</f>
        <v>0</v>
      </c>
      <c r="L1051" s="33">
        <f t="array" ref="L1051">IF($O1051="방문완료",IF($H1051="",0,IFERROR(INDEX(설정_코스수당!$B$15:$F$64,MATCH($H1051,설정_코스수당!$A$15:$A$64,0),MATCH($E1051&amp;"수당",설정_코스수당!$B$14:$F$14,0)),0)),0)</f>
        <v>0</v>
      </c>
      <c r="M1051" s="33">
        <f>IF($O1051="방문완료",IFERROR(VLOOKUP($E1051,설정_코스수당!$A$6:$H$10,6,FALSE),0),0)</f>
        <v>0</v>
      </c>
      <c r="N1051" s="34">
        <f t="shared" si="30"/>
        <v>0</v>
      </c>
      <c r="O1051" s="29"/>
      <c r="P1051" s="29"/>
      <c r="Q1051" s="29"/>
      <c r="R1051" s="32"/>
      <c r="S1051" s="29"/>
      <c r="U1051" s="104" t="s">
        <v>74</v>
      </c>
      <c r="V1051" s="108">
        <f>IF(11&lt;=DAY(DATE(YEAR(설정_코스수당!$K$2),MONTH(설정_코스수당!$K$2)+1,0)),SUM($U$1055:$U$1062),"")</f>
        <v>0</v>
      </c>
      <c r="W1051" s="122" t="str">
        <f>IF(11&lt;=DAY(DATE(YEAR(설정_코스수당!$K$2),MONTH(설정_코스수당!$K$2)+1,0)),"계 : "&amp;TEXT(V1047-V1051,"#,##0")&amp;" 동","")</f>
        <v>계 : 0 동</v>
      </c>
      <c r="X1051" s="122"/>
    </row>
    <row r="1052" spans="1:27" ht="19.5" hidden="1" customHeight="1" outlineLevel="1">
      <c r="A1052" s="23">
        <v>9</v>
      </c>
      <c r="B1052" s="24">
        <f>IF(11&lt;=DAY(DATE(YEAR(설정_코스수당!$K$2),MONTH(설정_코스수당!$K$2)+1,0)),DATE(YEAR(설정_코스수당!$K$2),MONTH(설정_코스수당!$K$2),11),"")</f>
        <v>46184</v>
      </c>
      <c r="C1052" s="25"/>
      <c r="D1052" s="23"/>
      <c r="E1052" s="23"/>
      <c r="F1052" s="26"/>
      <c r="G1052" s="23"/>
      <c r="H1052" s="23"/>
      <c r="I1052" s="23"/>
      <c r="J1052" s="27">
        <f>IF($O1052="방문완료",MAX(0,IFERROR(VLOOKUP($E1052,설정_코스수당!$A$6:$H$10,4,FALSE),0)-IF(OR($P1052="",$P1052="없음"),0,100000)),0)</f>
        <v>0</v>
      </c>
      <c r="K1052" s="27">
        <f t="array" ref="K1052">IF($O1052="방문완료",IFERROR(INDEX(설정_코스수당!$B$15:$F$64,MATCH($G1052,설정_코스수당!$A$15:$A$64,0),MATCH($E1052&amp;"수당",설정_코스수당!$B$14:$F$14,0)),0),0)</f>
        <v>0</v>
      </c>
      <c r="L1052" s="27">
        <f t="array" ref="L1052">IF($O1052="방문완료",IF($H1052="",0,IFERROR(INDEX(설정_코스수당!$B$15:$F$64,MATCH($H1052,설정_코스수당!$A$15:$A$64,0),MATCH($E1052&amp;"수당",설정_코스수당!$B$14:$F$14,0)),0)),0)</f>
        <v>0</v>
      </c>
      <c r="M1052" s="27">
        <f>IF($O1052="방문완료",IFERROR(VLOOKUP($E1052,설정_코스수당!$A$6:$H$10,6,FALSE),0),0)</f>
        <v>0</v>
      </c>
      <c r="N1052" s="28">
        <f t="shared" si="30"/>
        <v>0</v>
      </c>
      <c r="O1052" s="23"/>
      <c r="P1052" s="23"/>
      <c r="Q1052" s="23"/>
      <c r="R1052" s="26"/>
      <c r="S1052" s="23"/>
    </row>
    <row r="1053" spans="1:27" ht="19.5" hidden="1" customHeight="1" outlineLevel="1">
      <c r="A1053" s="29">
        <v>10</v>
      </c>
      <c r="B1053" s="30">
        <f>IF(11&lt;=DAY(DATE(YEAR(설정_코스수당!$K$2),MONTH(설정_코스수당!$K$2)+1,0)),DATE(YEAR(설정_코스수당!$K$2),MONTH(설정_코스수당!$K$2),11),"")</f>
        <v>46184</v>
      </c>
      <c r="C1053" s="31"/>
      <c r="D1053" s="29"/>
      <c r="E1053" s="29"/>
      <c r="F1053" s="32"/>
      <c r="G1053" s="29"/>
      <c r="H1053" s="29"/>
      <c r="I1053" s="29"/>
      <c r="J1053" s="33">
        <f>IF($O1053="방문완료",MAX(0,IFERROR(VLOOKUP($E1053,설정_코스수당!$A$6:$H$10,4,FALSE),0)-IF(OR($P1053="",$P1053="없음"),0,100000)),0)</f>
        <v>0</v>
      </c>
      <c r="K1053" s="33">
        <f t="array" ref="K1053">IF($O1053="방문완료",IFERROR(INDEX(설정_코스수당!$B$15:$F$64,MATCH($G1053,설정_코스수당!$A$15:$A$64,0),MATCH($E1053&amp;"수당",설정_코스수당!$B$14:$F$14,0)),0),0)</f>
        <v>0</v>
      </c>
      <c r="L1053" s="33">
        <f t="array" ref="L1053">IF($O1053="방문완료",IF($H1053="",0,IFERROR(INDEX(설정_코스수당!$B$15:$F$64,MATCH($H1053,설정_코스수당!$A$15:$A$64,0),MATCH($E1053&amp;"수당",설정_코스수당!$B$14:$F$14,0)),0)),0)</f>
        <v>0</v>
      </c>
      <c r="M1053" s="33">
        <f>IF($O1053="방문완료",IFERROR(VLOOKUP($E1053,설정_코스수당!$A$6:$H$10,6,FALSE),0),0)</f>
        <v>0</v>
      </c>
      <c r="N1053" s="34">
        <f t="shared" si="30"/>
        <v>0</v>
      </c>
      <c r="O1053" s="29"/>
      <c r="P1053" s="29"/>
      <c r="Q1053" s="29"/>
      <c r="R1053" s="32"/>
      <c r="S1053" s="29"/>
      <c r="U1053" s="120" t="s">
        <v>75</v>
      </c>
      <c r="V1053" s="121"/>
      <c r="W1053" s="121"/>
      <c r="X1053" s="121"/>
    </row>
    <row r="1054" spans="1:27" ht="19.5" hidden="1" customHeight="1" outlineLevel="1">
      <c r="A1054" s="23">
        <v>11</v>
      </c>
      <c r="B1054" s="24">
        <f>IF(11&lt;=DAY(DATE(YEAR(설정_코스수당!$K$2),MONTH(설정_코스수당!$K$2)+1,0)),DATE(YEAR(설정_코스수당!$K$2),MONTH(설정_코스수당!$K$2),11),"")</f>
        <v>46184</v>
      </c>
      <c r="C1054" s="25"/>
      <c r="D1054" s="23"/>
      <c r="E1054" s="23"/>
      <c r="F1054" s="26"/>
      <c r="G1054" s="23"/>
      <c r="H1054" s="23"/>
      <c r="I1054" s="23"/>
      <c r="J1054" s="27">
        <f>IF($O1054="방문완료",MAX(0,IFERROR(VLOOKUP($E1054,설정_코스수당!$A$6:$H$10,4,FALSE),0)-IF(OR($P1054="",$P1054="없음"),0,100000)),0)</f>
        <v>0</v>
      </c>
      <c r="K1054" s="27">
        <f t="array" ref="K1054">IF($O1054="방문완료",IFERROR(INDEX(설정_코스수당!$B$15:$F$64,MATCH($G1054,설정_코스수당!$A$15:$A$64,0),MATCH($E1054&amp;"수당",설정_코스수당!$B$14:$F$14,0)),0),0)</f>
        <v>0</v>
      </c>
      <c r="L1054" s="27">
        <f t="array" ref="L1054">IF($O1054="방문완료",IF($H1054="",0,IFERROR(INDEX(설정_코스수당!$B$15:$F$64,MATCH($H1054,설정_코스수당!$A$15:$A$64,0),MATCH($E1054&amp;"수당",설정_코스수당!$B$14:$F$14,0)),0)),0)</f>
        <v>0</v>
      </c>
      <c r="M1054" s="27">
        <f>IF($O1054="방문완료",IFERROR(VLOOKUP($E1054,설정_코스수당!$A$6:$H$10,6,FALSE),0),0)</f>
        <v>0</v>
      </c>
      <c r="N1054" s="28">
        <f t="shared" si="30"/>
        <v>0</v>
      </c>
      <c r="O1054" s="23"/>
      <c r="P1054" s="23"/>
      <c r="Q1054" s="23"/>
      <c r="R1054" s="26"/>
      <c r="S1054" s="23"/>
      <c r="U1054" s="109" t="s">
        <v>76</v>
      </c>
      <c r="V1054" s="109" t="s">
        <v>77</v>
      </c>
      <c r="W1054" s="109" t="s">
        <v>78</v>
      </c>
      <c r="X1054" s="109" t="s">
        <v>58</v>
      </c>
    </row>
    <row r="1055" spans="1:27" ht="19.5" hidden="1" customHeight="1" outlineLevel="1">
      <c r="A1055" s="29">
        <v>12</v>
      </c>
      <c r="B1055" s="30">
        <f>IF(11&lt;=DAY(DATE(YEAR(설정_코스수당!$K$2),MONTH(설정_코스수당!$K$2)+1,0)),DATE(YEAR(설정_코스수당!$K$2),MONTH(설정_코스수당!$K$2),11),"")</f>
        <v>46184</v>
      </c>
      <c r="C1055" s="31"/>
      <c r="D1055" s="29"/>
      <c r="E1055" s="29"/>
      <c r="F1055" s="32"/>
      <c r="G1055" s="29"/>
      <c r="H1055" s="29"/>
      <c r="I1055" s="29"/>
      <c r="J1055" s="33">
        <f>IF($O1055="방문완료",MAX(0,IFERROR(VLOOKUP($E1055,설정_코스수당!$A$6:$H$10,4,FALSE),0)-IF(OR($P1055="",$P1055="없음"),0,100000)),0)</f>
        <v>0</v>
      </c>
      <c r="K1055" s="33">
        <f t="array" ref="K1055">IF($O1055="방문완료",IFERROR(INDEX(설정_코스수당!$B$15:$F$64,MATCH($G1055,설정_코스수당!$A$15:$A$64,0),MATCH($E1055&amp;"수당",설정_코스수당!$B$14:$F$14,0)),0),0)</f>
        <v>0</v>
      </c>
      <c r="L1055" s="33">
        <f t="array" ref="L1055">IF($O1055="방문완료",IF($H1055="",0,IFERROR(INDEX(설정_코스수당!$B$15:$F$64,MATCH($H1055,설정_코스수당!$A$15:$A$64,0),MATCH($E1055&amp;"수당",설정_코스수당!$B$14:$F$14,0)),0)),0)</f>
        <v>0</v>
      </c>
      <c r="M1055" s="33">
        <f>IF($O1055="방문완료",IFERROR(VLOOKUP($E1055,설정_코스수당!$A$6:$H$10,6,FALSE),0),0)</f>
        <v>0</v>
      </c>
      <c r="N1055" s="34">
        <f t="shared" si="30"/>
        <v>0</v>
      </c>
      <c r="O1055" s="29"/>
      <c r="P1055" s="29"/>
      <c r="Q1055" s="29"/>
      <c r="R1055" s="32"/>
      <c r="S1055" s="29"/>
      <c r="U1055" s="113"/>
      <c r="V1055" s="111"/>
      <c r="W1055" s="112"/>
      <c r="X1055" s="111"/>
    </row>
    <row r="1056" spans="1:27" ht="19.5" hidden="1" customHeight="1" outlineLevel="1">
      <c r="A1056" s="23">
        <v>13</v>
      </c>
      <c r="B1056" s="24">
        <f>IF(11&lt;=DAY(DATE(YEAR(설정_코스수당!$K$2),MONTH(설정_코스수당!$K$2)+1,0)),DATE(YEAR(설정_코스수당!$K$2),MONTH(설정_코스수당!$K$2),11),"")</f>
        <v>46184</v>
      </c>
      <c r="C1056" s="25"/>
      <c r="D1056" s="23"/>
      <c r="E1056" s="23"/>
      <c r="F1056" s="26"/>
      <c r="G1056" s="23"/>
      <c r="H1056" s="23"/>
      <c r="I1056" s="23"/>
      <c r="J1056" s="27">
        <f>IF($O1056="방문완료",MAX(0,IFERROR(VLOOKUP($E1056,설정_코스수당!$A$6:$H$10,4,FALSE),0)-IF(OR($P1056="",$P1056="없음"),0,100000)),0)</f>
        <v>0</v>
      </c>
      <c r="K1056" s="27">
        <f t="array" ref="K1056">IF($O1056="방문완료",IFERROR(INDEX(설정_코스수당!$B$15:$F$64,MATCH($G1056,설정_코스수당!$A$15:$A$64,0),MATCH($E1056&amp;"수당",설정_코스수당!$B$14:$F$14,0)),0),0)</f>
        <v>0</v>
      </c>
      <c r="L1056" s="27">
        <f t="array" ref="L1056">IF($O1056="방문완료",IF($H1056="",0,IFERROR(INDEX(설정_코스수당!$B$15:$F$64,MATCH($H1056,설정_코스수당!$A$15:$A$64,0),MATCH($E1056&amp;"수당",설정_코스수당!$B$14:$F$14,0)),0)),0)</f>
        <v>0</v>
      </c>
      <c r="M1056" s="27">
        <f>IF($O1056="방문완료",IFERROR(VLOOKUP($E1056,설정_코스수당!$A$6:$H$10,6,FALSE),0),0)</f>
        <v>0</v>
      </c>
      <c r="N1056" s="28">
        <f t="shared" si="30"/>
        <v>0</v>
      </c>
      <c r="O1056" s="23"/>
      <c r="P1056" s="23"/>
      <c r="Q1056" s="23"/>
      <c r="R1056" s="26"/>
      <c r="S1056" s="23"/>
      <c r="U1056" s="113"/>
      <c r="V1056" s="111"/>
      <c r="W1056" s="112"/>
      <c r="X1056" s="111"/>
    </row>
    <row r="1057" spans="1:24" ht="19.5" hidden="1" customHeight="1" outlineLevel="1">
      <c r="A1057" s="29">
        <v>14</v>
      </c>
      <c r="B1057" s="30">
        <f>IF(11&lt;=DAY(DATE(YEAR(설정_코스수당!$K$2),MONTH(설정_코스수당!$K$2)+1,0)),DATE(YEAR(설정_코스수당!$K$2),MONTH(설정_코스수당!$K$2),11),"")</f>
        <v>46184</v>
      </c>
      <c r="C1057" s="31"/>
      <c r="D1057" s="29"/>
      <c r="E1057" s="29"/>
      <c r="F1057" s="32"/>
      <c r="G1057" s="29"/>
      <c r="H1057" s="29"/>
      <c r="I1057" s="29"/>
      <c r="J1057" s="33">
        <f>IF($O1057="방문완료",MAX(0,IFERROR(VLOOKUP($E1057,설정_코스수당!$A$6:$H$10,4,FALSE),0)-IF(OR($P1057="",$P1057="없음"),0,100000)),0)</f>
        <v>0</v>
      </c>
      <c r="K1057" s="33">
        <f t="array" ref="K1057">IF($O1057="방문완료",IFERROR(INDEX(설정_코스수당!$B$15:$F$64,MATCH($G1057,설정_코스수당!$A$15:$A$64,0),MATCH($E1057&amp;"수당",설정_코스수당!$B$14:$F$14,0)),0),0)</f>
        <v>0</v>
      </c>
      <c r="L1057" s="33">
        <f t="array" ref="L1057">IF($O1057="방문완료",IF($H1057="",0,IFERROR(INDEX(설정_코스수당!$B$15:$F$64,MATCH($H1057,설정_코스수당!$A$15:$A$64,0),MATCH($E1057&amp;"수당",설정_코스수당!$B$14:$F$14,0)),0)),0)</f>
        <v>0</v>
      </c>
      <c r="M1057" s="33">
        <f>IF($O1057="방문완료",IFERROR(VLOOKUP($E1057,설정_코스수당!$A$6:$H$10,6,FALSE),0),0)</f>
        <v>0</v>
      </c>
      <c r="N1057" s="34">
        <f t="shared" si="30"/>
        <v>0</v>
      </c>
      <c r="O1057" s="29"/>
      <c r="P1057" s="29"/>
      <c r="Q1057" s="29"/>
      <c r="R1057" s="32"/>
      <c r="S1057" s="29"/>
      <c r="U1057" s="113"/>
      <c r="V1057" s="111"/>
      <c r="W1057" s="112"/>
      <c r="X1057" s="111"/>
    </row>
    <row r="1058" spans="1:24" ht="19.5" hidden="1" customHeight="1" outlineLevel="1">
      <c r="A1058" s="23">
        <v>15</v>
      </c>
      <c r="B1058" s="24">
        <f>IF(11&lt;=DAY(DATE(YEAR(설정_코스수당!$K$2),MONTH(설정_코스수당!$K$2)+1,0)),DATE(YEAR(설정_코스수당!$K$2),MONTH(설정_코스수당!$K$2),11),"")</f>
        <v>46184</v>
      </c>
      <c r="C1058" s="25"/>
      <c r="D1058" s="23"/>
      <c r="E1058" s="23"/>
      <c r="F1058" s="26"/>
      <c r="G1058" s="23"/>
      <c r="H1058" s="23"/>
      <c r="I1058" s="23"/>
      <c r="J1058" s="27">
        <f>IF($O1058="방문완료",MAX(0,IFERROR(VLOOKUP($E1058,설정_코스수당!$A$6:$H$10,4,FALSE),0)-IF(OR($P1058="",$P1058="없음"),0,100000)),0)</f>
        <v>0</v>
      </c>
      <c r="K1058" s="27">
        <f t="array" ref="K1058">IF($O1058="방문완료",IFERROR(INDEX(설정_코스수당!$B$15:$F$64,MATCH($G1058,설정_코스수당!$A$15:$A$64,0),MATCH($E1058&amp;"수당",설정_코스수당!$B$14:$F$14,0)),0),0)</f>
        <v>0</v>
      </c>
      <c r="L1058" s="27">
        <f t="array" ref="L1058">IF($O1058="방문완료",IF($H1058="",0,IFERROR(INDEX(설정_코스수당!$B$15:$F$64,MATCH($H1058,설정_코스수당!$A$15:$A$64,0),MATCH($E1058&amp;"수당",설정_코스수당!$B$14:$F$14,0)),0)),0)</f>
        <v>0</v>
      </c>
      <c r="M1058" s="27">
        <f>IF($O1058="방문완료",IFERROR(VLOOKUP($E1058,설정_코스수당!$A$6:$H$10,6,FALSE),0),0)</f>
        <v>0</v>
      </c>
      <c r="N1058" s="28">
        <f t="shared" si="30"/>
        <v>0</v>
      </c>
      <c r="O1058" s="23"/>
      <c r="P1058" s="23"/>
      <c r="Q1058" s="23"/>
      <c r="R1058" s="26"/>
      <c r="S1058" s="23"/>
      <c r="U1058" s="113"/>
      <c r="V1058" s="111"/>
      <c r="W1058" s="112"/>
      <c r="X1058" s="111"/>
    </row>
    <row r="1059" spans="1:24" ht="19.5" hidden="1" customHeight="1" outlineLevel="1">
      <c r="A1059" s="29">
        <v>16</v>
      </c>
      <c r="B1059" s="30">
        <f>IF(11&lt;=DAY(DATE(YEAR(설정_코스수당!$K$2),MONTH(설정_코스수당!$K$2)+1,0)),DATE(YEAR(설정_코스수당!$K$2),MONTH(설정_코스수당!$K$2),11),"")</f>
        <v>46184</v>
      </c>
      <c r="C1059" s="31"/>
      <c r="D1059" s="29"/>
      <c r="E1059" s="29"/>
      <c r="F1059" s="32"/>
      <c r="G1059" s="29"/>
      <c r="H1059" s="29"/>
      <c r="I1059" s="29"/>
      <c r="J1059" s="33">
        <f>IF($O1059="방문완료",MAX(0,IFERROR(VLOOKUP($E1059,설정_코스수당!$A$6:$H$10,4,FALSE),0)-IF(OR($P1059="",$P1059="없음"),0,100000)),0)</f>
        <v>0</v>
      </c>
      <c r="K1059" s="33">
        <f t="array" ref="K1059">IF($O1059="방문완료",IFERROR(INDEX(설정_코스수당!$B$15:$F$64,MATCH($G1059,설정_코스수당!$A$15:$A$64,0),MATCH($E1059&amp;"수당",설정_코스수당!$B$14:$F$14,0)),0),0)</f>
        <v>0</v>
      </c>
      <c r="L1059" s="33">
        <f t="array" ref="L1059">IF($O1059="방문완료",IF($H1059="",0,IFERROR(INDEX(설정_코스수당!$B$15:$F$64,MATCH($H1059,설정_코스수당!$A$15:$A$64,0),MATCH($E1059&amp;"수당",설정_코스수당!$B$14:$F$14,0)),0)),0)</f>
        <v>0</v>
      </c>
      <c r="M1059" s="33">
        <f>IF($O1059="방문완료",IFERROR(VLOOKUP($E1059,설정_코스수당!$A$6:$H$10,6,FALSE),0),0)</f>
        <v>0</v>
      </c>
      <c r="N1059" s="34">
        <f t="shared" si="30"/>
        <v>0</v>
      </c>
      <c r="O1059" s="29"/>
      <c r="P1059" s="29"/>
      <c r="Q1059" s="29"/>
      <c r="R1059" s="32"/>
      <c r="S1059" s="29"/>
      <c r="U1059" s="113"/>
      <c r="V1059" s="111"/>
      <c r="W1059" s="112"/>
      <c r="X1059" s="111"/>
    </row>
    <row r="1060" spans="1:24" ht="19.5" hidden="1" customHeight="1" outlineLevel="1">
      <c r="A1060" s="23">
        <v>17</v>
      </c>
      <c r="B1060" s="24">
        <f>IF(11&lt;=DAY(DATE(YEAR(설정_코스수당!$K$2),MONTH(설정_코스수당!$K$2)+1,0)),DATE(YEAR(설정_코스수당!$K$2),MONTH(설정_코스수당!$K$2),11),"")</f>
        <v>46184</v>
      </c>
      <c r="C1060" s="25"/>
      <c r="D1060" s="23"/>
      <c r="E1060" s="23"/>
      <c r="F1060" s="26"/>
      <c r="G1060" s="23"/>
      <c r="H1060" s="23"/>
      <c r="I1060" s="23"/>
      <c r="J1060" s="27">
        <f>IF($O1060="방문완료",MAX(0,IFERROR(VLOOKUP($E1060,설정_코스수당!$A$6:$H$10,4,FALSE),0)-IF(OR($P1060="",$P1060="없음"),0,100000)),0)</f>
        <v>0</v>
      </c>
      <c r="K1060" s="27">
        <f t="array" ref="K1060">IF($O1060="방문완료",IFERROR(INDEX(설정_코스수당!$B$15:$F$64,MATCH($G1060,설정_코스수당!$A$15:$A$64,0),MATCH($E1060&amp;"수당",설정_코스수당!$B$14:$F$14,0)),0),0)</f>
        <v>0</v>
      </c>
      <c r="L1060" s="27">
        <f t="array" ref="L1060">IF($O1060="방문완료",IF($H1060="",0,IFERROR(INDEX(설정_코스수당!$B$15:$F$64,MATCH($H1060,설정_코스수당!$A$15:$A$64,0),MATCH($E1060&amp;"수당",설정_코스수당!$B$14:$F$14,0)),0)),0)</f>
        <v>0</v>
      </c>
      <c r="M1060" s="27">
        <f>IF($O1060="방문완료",IFERROR(VLOOKUP($E1060,설정_코스수당!$A$6:$H$10,6,FALSE),0),0)</f>
        <v>0</v>
      </c>
      <c r="N1060" s="28">
        <f t="shared" si="30"/>
        <v>0</v>
      </c>
      <c r="O1060" s="23"/>
      <c r="P1060" s="23"/>
      <c r="Q1060" s="23"/>
      <c r="R1060" s="26"/>
      <c r="S1060" s="23"/>
      <c r="U1060" s="113"/>
      <c r="V1060" s="111"/>
      <c r="W1060" s="112"/>
      <c r="X1060" s="111"/>
    </row>
    <row r="1061" spans="1:24" ht="19.5" hidden="1" customHeight="1" outlineLevel="1">
      <c r="A1061" s="29">
        <v>18</v>
      </c>
      <c r="B1061" s="30">
        <f>IF(11&lt;=DAY(DATE(YEAR(설정_코스수당!$K$2),MONTH(설정_코스수당!$K$2)+1,0)),DATE(YEAR(설정_코스수당!$K$2),MONTH(설정_코스수당!$K$2),11),"")</f>
        <v>46184</v>
      </c>
      <c r="C1061" s="31"/>
      <c r="D1061" s="29"/>
      <c r="E1061" s="29"/>
      <c r="F1061" s="32"/>
      <c r="G1061" s="29"/>
      <c r="H1061" s="29"/>
      <c r="I1061" s="29"/>
      <c r="J1061" s="33">
        <f>IF($O1061="방문완료",MAX(0,IFERROR(VLOOKUP($E1061,설정_코스수당!$A$6:$H$10,4,FALSE),0)-IF(OR($P1061="",$P1061="없음"),0,100000)),0)</f>
        <v>0</v>
      </c>
      <c r="K1061" s="33">
        <f t="array" ref="K1061">IF($O1061="방문완료",IFERROR(INDEX(설정_코스수당!$B$15:$F$64,MATCH($G1061,설정_코스수당!$A$15:$A$64,0),MATCH($E1061&amp;"수당",설정_코스수당!$B$14:$F$14,0)),0),0)</f>
        <v>0</v>
      </c>
      <c r="L1061" s="33">
        <f t="array" ref="L1061">IF($O1061="방문완료",IF($H1061="",0,IFERROR(INDEX(설정_코스수당!$B$15:$F$64,MATCH($H1061,설정_코스수당!$A$15:$A$64,0),MATCH($E1061&amp;"수당",설정_코스수당!$B$14:$F$14,0)),0)),0)</f>
        <v>0</v>
      </c>
      <c r="M1061" s="33">
        <f>IF($O1061="방문완료",IFERROR(VLOOKUP($E1061,설정_코스수당!$A$6:$H$10,6,FALSE),0),0)</f>
        <v>0</v>
      </c>
      <c r="N1061" s="34">
        <f t="shared" si="30"/>
        <v>0</v>
      </c>
      <c r="O1061" s="29"/>
      <c r="P1061" s="29"/>
      <c r="Q1061" s="29"/>
      <c r="R1061" s="32"/>
      <c r="S1061" s="29"/>
      <c r="U1061" s="113"/>
      <c r="V1061" s="111"/>
      <c r="W1061" s="112"/>
      <c r="X1061" s="111"/>
    </row>
    <row r="1062" spans="1:24" ht="19.5" hidden="1" customHeight="1" outlineLevel="1">
      <c r="A1062" s="23">
        <v>19</v>
      </c>
      <c r="B1062" s="24">
        <f>IF(11&lt;=DAY(DATE(YEAR(설정_코스수당!$K$2),MONTH(설정_코스수당!$K$2)+1,0)),DATE(YEAR(설정_코스수당!$K$2),MONTH(설정_코스수당!$K$2),11),"")</f>
        <v>46184</v>
      </c>
      <c r="C1062" s="25"/>
      <c r="D1062" s="23"/>
      <c r="E1062" s="23"/>
      <c r="F1062" s="26"/>
      <c r="G1062" s="23"/>
      <c r="H1062" s="23"/>
      <c r="I1062" s="23"/>
      <c r="J1062" s="27">
        <f>IF($O1062="방문완료",MAX(0,IFERROR(VLOOKUP($E1062,설정_코스수당!$A$6:$H$10,4,FALSE),0)-IF(OR($P1062="",$P1062="없음"),0,100000)),0)</f>
        <v>0</v>
      </c>
      <c r="K1062" s="27">
        <f t="array" ref="K1062">IF($O1062="방문완료",IFERROR(INDEX(설정_코스수당!$B$15:$F$64,MATCH($G1062,설정_코스수당!$A$15:$A$64,0),MATCH($E1062&amp;"수당",설정_코스수당!$B$14:$F$14,0)),0),0)</f>
        <v>0</v>
      </c>
      <c r="L1062" s="27">
        <f t="array" ref="L1062">IF($O1062="방문완료",IF($H1062="",0,IFERROR(INDEX(설정_코스수당!$B$15:$F$64,MATCH($H1062,설정_코스수당!$A$15:$A$64,0),MATCH($E1062&amp;"수당",설정_코스수당!$B$14:$F$14,0)),0)),0)</f>
        <v>0</v>
      </c>
      <c r="M1062" s="27">
        <f>IF($O1062="방문완료",IFERROR(VLOOKUP($E1062,설정_코스수당!$A$6:$H$10,6,FALSE),0),0)</f>
        <v>0</v>
      </c>
      <c r="N1062" s="28">
        <f t="shared" si="30"/>
        <v>0</v>
      </c>
      <c r="O1062" s="23"/>
      <c r="P1062" s="23"/>
      <c r="Q1062" s="23"/>
      <c r="R1062" s="26"/>
      <c r="S1062" s="23"/>
      <c r="U1062" s="113"/>
      <c r="V1062" s="111"/>
      <c r="W1062" s="112"/>
      <c r="X1062" s="111"/>
    </row>
    <row r="1063" spans="1:24" ht="19.5" hidden="1" customHeight="1" outlineLevel="1">
      <c r="A1063" s="29">
        <v>20</v>
      </c>
      <c r="B1063" s="30">
        <f>IF(11&lt;=DAY(DATE(YEAR(설정_코스수당!$K$2),MONTH(설정_코스수당!$K$2)+1,0)),DATE(YEAR(설정_코스수당!$K$2),MONTH(설정_코스수당!$K$2),11),"")</f>
        <v>46184</v>
      </c>
      <c r="C1063" s="31"/>
      <c r="D1063" s="29"/>
      <c r="E1063" s="29"/>
      <c r="F1063" s="32"/>
      <c r="G1063" s="29"/>
      <c r="H1063" s="29"/>
      <c r="I1063" s="29"/>
      <c r="J1063" s="33">
        <f>IF($O1063="방문완료",MAX(0,IFERROR(VLOOKUP($E1063,설정_코스수당!$A$6:$H$10,4,FALSE),0)-IF(OR($P1063="",$P1063="없음"),0,100000)),0)</f>
        <v>0</v>
      </c>
      <c r="K1063" s="33">
        <f t="array" ref="K1063">IF($O1063="방문완료",IFERROR(INDEX(설정_코스수당!$B$15:$F$64,MATCH($G1063,설정_코스수당!$A$15:$A$64,0),MATCH($E1063&amp;"수당",설정_코스수당!$B$14:$F$14,0)),0),0)</f>
        <v>0</v>
      </c>
      <c r="L1063" s="33">
        <f t="array" ref="L1063">IF($O1063="방문완료",IF($H1063="",0,IFERROR(INDEX(설정_코스수당!$B$15:$F$64,MATCH($H1063,설정_코스수당!$A$15:$A$64,0),MATCH($E1063&amp;"수당",설정_코스수당!$B$14:$F$14,0)),0)),0)</f>
        <v>0</v>
      </c>
      <c r="M1063" s="33">
        <f>IF($O1063="방문완료",IFERROR(VLOOKUP($E1063,설정_코스수당!$A$6:$H$10,6,FALSE),0),0)</f>
        <v>0</v>
      </c>
      <c r="N1063" s="34">
        <f t="shared" si="30"/>
        <v>0</v>
      </c>
      <c r="O1063" s="29"/>
      <c r="P1063" s="29"/>
      <c r="Q1063" s="29"/>
      <c r="R1063" s="32"/>
      <c r="S1063" s="29"/>
    </row>
    <row r="1064" spans="1:24" ht="19.5" hidden="1" customHeight="1" outlineLevel="1">
      <c r="A1064" s="23">
        <v>21</v>
      </c>
      <c r="B1064" s="24">
        <f>IF(11&lt;=DAY(DATE(YEAR(설정_코스수당!$K$2),MONTH(설정_코스수당!$K$2)+1,0)),DATE(YEAR(설정_코스수당!$K$2),MONTH(설정_코스수당!$K$2),11),"")</f>
        <v>46184</v>
      </c>
      <c r="C1064" s="25"/>
      <c r="D1064" s="23"/>
      <c r="E1064" s="23"/>
      <c r="F1064" s="26"/>
      <c r="G1064" s="23"/>
      <c r="H1064" s="23"/>
      <c r="I1064" s="23"/>
      <c r="J1064" s="27">
        <f>IF($O1064="방문완료",MAX(0,IFERROR(VLOOKUP($E1064,설정_코스수당!$A$6:$H$10,4,FALSE),0)-IF(OR($P1064="",$P1064="없음"),0,100000)),0)</f>
        <v>0</v>
      </c>
      <c r="K1064" s="27">
        <f t="array" ref="K1064">IF($O1064="방문완료",IFERROR(INDEX(설정_코스수당!$B$15:$F$64,MATCH($G1064,설정_코스수당!$A$15:$A$64,0),MATCH($E1064&amp;"수당",설정_코스수당!$B$14:$F$14,0)),0),0)</f>
        <v>0</v>
      </c>
      <c r="L1064" s="27">
        <f t="array" ref="L1064">IF($O1064="방문완료",IF($H1064="",0,IFERROR(INDEX(설정_코스수당!$B$15:$F$64,MATCH($H1064,설정_코스수당!$A$15:$A$64,0),MATCH($E1064&amp;"수당",설정_코스수당!$B$14:$F$14,0)),0)),0)</f>
        <v>0</v>
      </c>
      <c r="M1064" s="27">
        <f>IF($O1064="방문완료",IFERROR(VLOOKUP($E1064,설정_코스수당!$A$6:$H$10,6,FALSE),0),0)</f>
        <v>0</v>
      </c>
      <c r="N1064" s="28">
        <f t="shared" si="30"/>
        <v>0</v>
      </c>
      <c r="O1064" s="23"/>
      <c r="P1064" s="23"/>
      <c r="Q1064" s="23"/>
      <c r="R1064" s="26"/>
      <c r="S1064" s="23"/>
    </row>
    <row r="1065" spans="1:24" ht="19.5" hidden="1" customHeight="1" outlineLevel="1">
      <c r="A1065" s="29">
        <v>22</v>
      </c>
      <c r="B1065" s="30">
        <f>IF(11&lt;=DAY(DATE(YEAR(설정_코스수당!$K$2),MONTH(설정_코스수당!$K$2)+1,0)),DATE(YEAR(설정_코스수당!$K$2),MONTH(설정_코스수당!$K$2),11),"")</f>
        <v>46184</v>
      </c>
      <c r="C1065" s="31"/>
      <c r="D1065" s="29"/>
      <c r="E1065" s="29"/>
      <c r="F1065" s="32"/>
      <c r="G1065" s="29"/>
      <c r="H1065" s="29"/>
      <c r="I1065" s="29"/>
      <c r="J1065" s="33">
        <f>IF($O1065="방문완료",MAX(0,IFERROR(VLOOKUP($E1065,설정_코스수당!$A$6:$H$10,4,FALSE),0)-IF(OR($P1065="",$P1065="없음"),0,100000)),0)</f>
        <v>0</v>
      </c>
      <c r="K1065" s="33">
        <f t="array" ref="K1065">IF($O1065="방문완료",IFERROR(INDEX(설정_코스수당!$B$15:$F$64,MATCH($G1065,설정_코스수당!$A$15:$A$64,0),MATCH($E1065&amp;"수당",설정_코스수당!$B$14:$F$14,0)),0),0)</f>
        <v>0</v>
      </c>
      <c r="L1065" s="33">
        <f t="array" ref="L1065">IF($O1065="방문완료",IF($H1065="",0,IFERROR(INDEX(설정_코스수당!$B$15:$F$64,MATCH($H1065,설정_코스수당!$A$15:$A$64,0),MATCH($E1065&amp;"수당",설정_코스수당!$B$14:$F$14,0)),0)),0)</f>
        <v>0</v>
      </c>
      <c r="M1065" s="33">
        <f>IF($O1065="방문완료",IFERROR(VLOOKUP($E1065,설정_코스수당!$A$6:$H$10,6,FALSE),0),0)</f>
        <v>0</v>
      </c>
      <c r="N1065" s="34">
        <f t="shared" si="30"/>
        <v>0</v>
      </c>
      <c r="O1065" s="29"/>
      <c r="P1065" s="29"/>
      <c r="Q1065" s="29"/>
      <c r="R1065" s="32"/>
      <c r="S1065" s="29"/>
    </row>
    <row r="1066" spans="1:24" ht="19.5" hidden="1" customHeight="1" outlineLevel="1">
      <c r="A1066" s="23">
        <v>23</v>
      </c>
      <c r="B1066" s="24">
        <f>IF(11&lt;=DAY(DATE(YEAR(설정_코스수당!$K$2),MONTH(설정_코스수당!$K$2)+1,0)),DATE(YEAR(설정_코스수당!$K$2),MONTH(설정_코스수당!$K$2),11),"")</f>
        <v>46184</v>
      </c>
      <c r="C1066" s="25"/>
      <c r="D1066" s="23"/>
      <c r="E1066" s="23"/>
      <c r="F1066" s="26"/>
      <c r="G1066" s="23"/>
      <c r="H1066" s="23"/>
      <c r="I1066" s="23"/>
      <c r="J1066" s="27">
        <f>IF($O1066="방문완료",MAX(0,IFERROR(VLOOKUP($E1066,설정_코스수당!$A$6:$H$10,4,FALSE),0)-IF(OR($P1066="",$P1066="없음"),0,100000)),0)</f>
        <v>0</v>
      </c>
      <c r="K1066" s="27">
        <f t="array" ref="K1066">IF($O1066="방문완료",IFERROR(INDEX(설정_코스수당!$B$15:$F$64,MATCH($G1066,설정_코스수당!$A$15:$A$64,0),MATCH($E1066&amp;"수당",설정_코스수당!$B$14:$F$14,0)),0),0)</f>
        <v>0</v>
      </c>
      <c r="L1066" s="27">
        <f t="array" ref="L1066">IF($O1066="방문완료",IF($H1066="",0,IFERROR(INDEX(설정_코스수당!$B$15:$F$64,MATCH($H1066,설정_코스수당!$A$15:$A$64,0),MATCH($E1066&amp;"수당",설정_코스수당!$B$14:$F$14,0)),0)),0)</f>
        <v>0</v>
      </c>
      <c r="M1066" s="27">
        <f>IF($O1066="방문완료",IFERROR(VLOOKUP($E1066,설정_코스수당!$A$6:$H$10,6,FALSE),0),0)</f>
        <v>0</v>
      </c>
      <c r="N1066" s="28">
        <f t="shared" si="30"/>
        <v>0</v>
      </c>
      <c r="O1066" s="23"/>
      <c r="P1066" s="23"/>
      <c r="Q1066" s="23"/>
      <c r="R1066" s="26"/>
      <c r="S1066" s="23"/>
    </row>
    <row r="1067" spans="1:24" ht="19.5" hidden="1" customHeight="1" outlineLevel="1">
      <c r="A1067" s="29">
        <v>24</v>
      </c>
      <c r="B1067" s="30">
        <f>IF(11&lt;=DAY(DATE(YEAR(설정_코스수당!$K$2),MONTH(설정_코스수당!$K$2)+1,0)),DATE(YEAR(설정_코스수당!$K$2),MONTH(설정_코스수당!$K$2),11),"")</f>
        <v>46184</v>
      </c>
      <c r="C1067" s="31"/>
      <c r="D1067" s="29"/>
      <c r="E1067" s="29"/>
      <c r="F1067" s="32"/>
      <c r="G1067" s="29"/>
      <c r="H1067" s="29"/>
      <c r="I1067" s="29"/>
      <c r="J1067" s="33">
        <f>IF($O1067="방문완료",MAX(0,IFERROR(VLOOKUP($E1067,설정_코스수당!$A$6:$H$10,4,FALSE),0)-IF(OR($P1067="",$P1067="없음"),0,100000)),0)</f>
        <v>0</v>
      </c>
      <c r="K1067" s="33">
        <f t="array" ref="K1067">IF($O1067="방문완료",IFERROR(INDEX(설정_코스수당!$B$15:$F$64,MATCH($G1067,설정_코스수당!$A$15:$A$64,0),MATCH($E1067&amp;"수당",설정_코스수당!$B$14:$F$14,0)),0),0)</f>
        <v>0</v>
      </c>
      <c r="L1067" s="33">
        <f t="array" ref="L1067">IF($O1067="방문완료",IF($H1067="",0,IFERROR(INDEX(설정_코스수당!$B$15:$F$64,MATCH($H1067,설정_코스수당!$A$15:$A$64,0),MATCH($E1067&amp;"수당",설정_코스수당!$B$14:$F$14,0)),0)),0)</f>
        <v>0</v>
      </c>
      <c r="M1067" s="33">
        <f>IF($O1067="방문완료",IFERROR(VLOOKUP($E1067,설정_코스수당!$A$6:$H$10,6,FALSE),0),0)</f>
        <v>0</v>
      </c>
      <c r="N1067" s="34">
        <f t="shared" si="30"/>
        <v>0</v>
      </c>
      <c r="O1067" s="29"/>
      <c r="P1067" s="29"/>
      <c r="Q1067" s="29"/>
      <c r="R1067" s="32"/>
      <c r="S1067" s="29"/>
    </row>
    <row r="1068" spans="1:24" ht="19.5" hidden="1" customHeight="1" outlineLevel="1">
      <c r="A1068" s="23">
        <v>25</v>
      </c>
      <c r="B1068" s="24">
        <f>IF(11&lt;=DAY(DATE(YEAR(설정_코스수당!$K$2),MONTH(설정_코스수당!$K$2)+1,0)),DATE(YEAR(설정_코스수당!$K$2),MONTH(설정_코스수당!$K$2),11),"")</f>
        <v>46184</v>
      </c>
      <c r="C1068" s="25"/>
      <c r="D1068" s="23"/>
      <c r="E1068" s="23"/>
      <c r="F1068" s="26"/>
      <c r="G1068" s="23"/>
      <c r="H1068" s="23"/>
      <c r="I1068" s="23"/>
      <c r="J1068" s="27">
        <f>IF($O1068="방문완료",MAX(0,IFERROR(VLOOKUP($E1068,설정_코스수당!$A$6:$H$10,4,FALSE),0)-IF(OR($P1068="",$P1068="없음"),0,100000)),0)</f>
        <v>0</v>
      </c>
      <c r="K1068" s="27">
        <f t="array" ref="K1068">IF($O1068="방문완료",IFERROR(INDEX(설정_코스수당!$B$15:$F$64,MATCH($G1068,설정_코스수당!$A$15:$A$64,0),MATCH($E1068&amp;"수당",설정_코스수당!$B$14:$F$14,0)),0),0)</f>
        <v>0</v>
      </c>
      <c r="L1068" s="27">
        <f t="array" ref="L1068">IF($O1068="방문완료",IF($H1068="",0,IFERROR(INDEX(설정_코스수당!$B$15:$F$64,MATCH($H1068,설정_코스수당!$A$15:$A$64,0),MATCH($E1068&amp;"수당",설정_코스수당!$B$14:$F$14,0)),0)),0)</f>
        <v>0</v>
      </c>
      <c r="M1068" s="27">
        <f>IF($O1068="방문완료",IFERROR(VLOOKUP($E1068,설정_코스수당!$A$6:$H$10,6,FALSE),0),0)</f>
        <v>0</v>
      </c>
      <c r="N1068" s="28">
        <f t="shared" si="30"/>
        <v>0</v>
      </c>
      <c r="O1068" s="23"/>
      <c r="P1068" s="23"/>
      <c r="Q1068" s="23"/>
      <c r="R1068" s="26"/>
      <c r="S1068" s="23"/>
    </row>
    <row r="1069" spans="1:24" ht="19.5" hidden="1" customHeight="1" outlineLevel="1">
      <c r="A1069" s="29">
        <v>26</v>
      </c>
      <c r="B1069" s="30">
        <f>IF(11&lt;=DAY(DATE(YEAR(설정_코스수당!$K$2),MONTH(설정_코스수당!$K$2)+1,0)),DATE(YEAR(설정_코스수당!$K$2),MONTH(설정_코스수당!$K$2),11),"")</f>
        <v>46184</v>
      </c>
      <c r="C1069" s="31"/>
      <c r="D1069" s="29"/>
      <c r="E1069" s="29"/>
      <c r="F1069" s="32"/>
      <c r="G1069" s="29"/>
      <c r="H1069" s="29"/>
      <c r="I1069" s="29"/>
      <c r="J1069" s="33">
        <f>IF($O1069="방문완료",MAX(0,IFERROR(VLOOKUP($E1069,설정_코스수당!$A$6:$H$10,4,FALSE),0)-IF(OR($P1069="",$P1069="없음"),0,100000)),0)</f>
        <v>0</v>
      </c>
      <c r="K1069" s="33">
        <f t="array" ref="K1069">IF($O1069="방문완료",IFERROR(INDEX(설정_코스수당!$B$15:$F$64,MATCH($G1069,설정_코스수당!$A$15:$A$64,0),MATCH($E1069&amp;"수당",설정_코스수당!$B$14:$F$14,0)),0),0)</f>
        <v>0</v>
      </c>
      <c r="L1069" s="33">
        <f t="array" ref="L1069">IF($O1069="방문완료",IF($H1069="",0,IFERROR(INDEX(설정_코스수당!$B$15:$F$64,MATCH($H1069,설정_코스수당!$A$15:$A$64,0),MATCH($E1069&amp;"수당",설정_코스수당!$B$14:$F$14,0)),0)),0)</f>
        <v>0</v>
      </c>
      <c r="M1069" s="33">
        <f>IF($O1069="방문완료",IFERROR(VLOOKUP($E1069,설정_코스수당!$A$6:$H$10,6,FALSE),0),0)</f>
        <v>0</v>
      </c>
      <c r="N1069" s="34">
        <f t="shared" si="30"/>
        <v>0</v>
      </c>
      <c r="O1069" s="29"/>
      <c r="P1069" s="29"/>
      <c r="Q1069" s="29"/>
      <c r="R1069" s="32"/>
      <c r="S1069" s="29"/>
    </row>
    <row r="1070" spans="1:24" ht="19.5" hidden="1" customHeight="1" outlineLevel="1">
      <c r="A1070" s="23">
        <v>27</v>
      </c>
      <c r="B1070" s="24">
        <f>IF(11&lt;=DAY(DATE(YEAR(설정_코스수당!$K$2),MONTH(설정_코스수당!$K$2)+1,0)),DATE(YEAR(설정_코스수당!$K$2),MONTH(설정_코스수당!$K$2),11),"")</f>
        <v>46184</v>
      </c>
      <c r="C1070" s="25"/>
      <c r="D1070" s="23"/>
      <c r="E1070" s="23"/>
      <c r="F1070" s="26"/>
      <c r="G1070" s="23"/>
      <c r="H1070" s="23"/>
      <c r="I1070" s="23"/>
      <c r="J1070" s="27">
        <f>IF($O1070="방문완료",MAX(0,IFERROR(VLOOKUP($E1070,설정_코스수당!$A$6:$H$10,4,FALSE),0)-IF(OR($P1070="",$P1070="없음"),0,100000)),0)</f>
        <v>0</v>
      </c>
      <c r="K1070" s="27">
        <f t="array" ref="K1070">IF($O1070="방문완료",IFERROR(INDEX(설정_코스수당!$B$15:$F$64,MATCH($G1070,설정_코스수당!$A$15:$A$64,0),MATCH($E1070&amp;"수당",설정_코스수당!$B$14:$F$14,0)),0),0)</f>
        <v>0</v>
      </c>
      <c r="L1070" s="27">
        <f t="array" ref="L1070">IF($O1070="방문완료",IF($H1070="",0,IFERROR(INDEX(설정_코스수당!$B$15:$F$64,MATCH($H1070,설정_코스수당!$A$15:$A$64,0),MATCH($E1070&amp;"수당",설정_코스수당!$B$14:$F$14,0)),0)),0)</f>
        <v>0</v>
      </c>
      <c r="M1070" s="27">
        <f>IF($O1070="방문완료",IFERROR(VLOOKUP($E1070,설정_코스수당!$A$6:$H$10,6,FALSE),0),0)</f>
        <v>0</v>
      </c>
      <c r="N1070" s="28">
        <f t="shared" si="30"/>
        <v>0</v>
      </c>
      <c r="O1070" s="23"/>
      <c r="P1070" s="23"/>
      <c r="Q1070" s="23"/>
      <c r="R1070" s="26"/>
      <c r="S1070" s="23"/>
    </row>
    <row r="1071" spans="1:24" ht="19.5" hidden="1" customHeight="1" outlineLevel="1">
      <c r="A1071" s="29">
        <v>28</v>
      </c>
      <c r="B1071" s="30">
        <f>IF(11&lt;=DAY(DATE(YEAR(설정_코스수당!$K$2),MONTH(설정_코스수당!$K$2)+1,0)),DATE(YEAR(설정_코스수당!$K$2),MONTH(설정_코스수당!$K$2),11),"")</f>
        <v>46184</v>
      </c>
      <c r="C1071" s="31"/>
      <c r="D1071" s="29"/>
      <c r="E1071" s="29"/>
      <c r="F1071" s="32"/>
      <c r="G1071" s="29"/>
      <c r="H1071" s="29"/>
      <c r="I1071" s="29"/>
      <c r="J1071" s="33">
        <f>IF($O1071="방문완료",MAX(0,IFERROR(VLOOKUP($E1071,설정_코스수당!$A$6:$H$10,4,FALSE),0)-IF(OR($P1071="",$P1071="없음"),0,100000)),0)</f>
        <v>0</v>
      </c>
      <c r="K1071" s="33">
        <f t="array" ref="K1071">IF($O1071="방문완료",IFERROR(INDEX(설정_코스수당!$B$15:$F$64,MATCH($G1071,설정_코스수당!$A$15:$A$64,0),MATCH($E1071&amp;"수당",설정_코스수당!$B$14:$F$14,0)),0),0)</f>
        <v>0</v>
      </c>
      <c r="L1071" s="33">
        <f t="array" ref="L1071">IF($O1071="방문완료",IF($H1071="",0,IFERROR(INDEX(설정_코스수당!$B$15:$F$64,MATCH($H1071,설정_코스수당!$A$15:$A$64,0),MATCH($E1071&amp;"수당",설정_코스수당!$B$14:$F$14,0)),0)),0)</f>
        <v>0</v>
      </c>
      <c r="M1071" s="33">
        <f>IF($O1071="방문완료",IFERROR(VLOOKUP($E1071,설정_코스수당!$A$6:$H$10,6,FALSE),0),0)</f>
        <v>0</v>
      </c>
      <c r="N1071" s="34">
        <f t="shared" si="30"/>
        <v>0</v>
      </c>
      <c r="O1071" s="29"/>
      <c r="P1071" s="29"/>
      <c r="Q1071" s="29"/>
      <c r="R1071" s="32"/>
      <c r="S1071" s="29"/>
    </row>
    <row r="1072" spans="1:24" ht="19.5" hidden="1" customHeight="1" outlineLevel="1">
      <c r="A1072" s="23">
        <v>29</v>
      </c>
      <c r="B1072" s="24">
        <f>IF(11&lt;=DAY(DATE(YEAR(설정_코스수당!$K$2),MONTH(설정_코스수당!$K$2)+1,0)),DATE(YEAR(설정_코스수당!$K$2),MONTH(설정_코스수당!$K$2),11),"")</f>
        <v>46184</v>
      </c>
      <c r="C1072" s="25"/>
      <c r="D1072" s="23"/>
      <c r="E1072" s="23"/>
      <c r="F1072" s="26"/>
      <c r="G1072" s="23"/>
      <c r="H1072" s="23"/>
      <c r="I1072" s="23"/>
      <c r="J1072" s="27">
        <f>IF($O1072="방문완료",MAX(0,IFERROR(VLOOKUP($E1072,설정_코스수당!$A$6:$H$10,4,FALSE),0)-IF(OR($P1072="",$P1072="없음"),0,100000)),0)</f>
        <v>0</v>
      </c>
      <c r="K1072" s="27">
        <f t="array" ref="K1072">IF($O1072="방문완료",IFERROR(INDEX(설정_코스수당!$B$15:$F$64,MATCH($G1072,설정_코스수당!$A$15:$A$64,0),MATCH($E1072&amp;"수당",설정_코스수당!$B$14:$F$14,0)),0),0)</f>
        <v>0</v>
      </c>
      <c r="L1072" s="27">
        <f t="array" ref="L1072">IF($O1072="방문완료",IF($H1072="",0,IFERROR(INDEX(설정_코스수당!$B$15:$F$64,MATCH($H1072,설정_코스수당!$A$15:$A$64,0),MATCH($E1072&amp;"수당",설정_코스수당!$B$14:$F$14,0)),0)),0)</f>
        <v>0</v>
      </c>
      <c r="M1072" s="27">
        <f>IF($O1072="방문완료",IFERROR(VLOOKUP($E1072,설정_코스수당!$A$6:$H$10,6,FALSE),0),0)</f>
        <v>0</v>
      </c>
      <c r="N1072" s="28">
        <f t="shared" si="30"/>
        <v>0</v>
      </c>
      <c r="O1072" s="23"/>
      <c r="P1072" s="23"/>
      <c r="Q1072" s="23"/>
      <c r="R1072" s="26"/>
      <c r="S1072" s="23"/>
    </row>
    <row r="1073" spans="1:19" ht="19.5" hidden="1" customHeight="1" outlineLevel="1">
      <c r="A1073" s="29">
        <v>30</v>
      </c>
      <c r="B1073" s="30">
        <f>IF(11&lt;=DAY(DATE(YEAR(설정_코스수당!$K$2),MONTH(설정_코스수당!$K$2)+1,0)),DATE(YEAR(설정_코스수당!$K$2),MONTH(설정_코스수당!$K$2),11),"")</f>
        <v>46184</v>
      </c>
      <c r="C1073" s="31"/>
      <c r="D1073" s="29"/>
      <c r="E1073" s="29"/>
      <c r="F1073" s="32"/>
      <c r="G1073" s="29"/>
      <c r="H1073" s="29"/>
      <c r="I1073" s="29"/>
      <c r="J1073" s="33">
        <f>IF($O1073="방문완료",MAX(0,IFERROR(VLOOKUP($E1073,설정_코스수당!$A$6:$H$10,4,FALSE),0)-IF(OR($P1073="",$P1073="없음"),0,100000)),0)</f>
        <v>0</v>
      </c>
      <c r="K1073" s="33">
        <f t="array" ref="K1073">IF($O1073="방문완료",IFERROR(INDEX(설정_코스수당!$B$15:$F$64,MATCH($G1073,설정_코스수당!$A$15:$A$64,0),MATCH($E1073&amp;"수당",설정_코스수당!$B$14:$F$14,0)),0),0)</f>
        <v>0</v>
      </c>
      <c r="L1073" s="33">
        <f t="array" ref="L1073">IF($O1073="방문완료",IF($H1073="",0,IFERROR(INDEX(설정_코스수당!$B$15:$F$64,MATCH($H1073,설정_코스수당!$A$15:$A$64,0),MATCH($E1073&amp;"수당",설정_코스수당!$B$14:$F$14,0)),0)),0)</f>
        <v>0</v>
      </c>
      <c r="M1073" s="33">
        <f>IF($O1073="방문완료",IFERROR(VLOOKUP($E1073,설정_코스수당!$A$6:$H$10,6,FALSE),0),0)</f>
        <v>0</v>
      </c>
      <c r="N1073" s="34">
        <f t="shared" si="30"/>
        <v>0</v>
      </c>
      <c r="O1073" s="29"/>
      <c r="P1073" s="29"/>
      <c r="Q1073" s="29"/>
      <c r="R1073" s="32"/>
      <c r="S1073" s="29"/>
    </row>
    <row r="1074" spans="1:19" ht="19.5" hidden="1" customHeight="1" outlineLevel="1">
      <c r="A1074" s="23">
        <v>31</v>
      </c>
      <c r="B1074" s="24">
        <f>IF(11&lt;=DAY(DATE(YEAR(설정_코스수당!$K$2),MONTH(설정_코스수당!$K$2)+1,0)),DATE(YEAR(설정_코스수당!$K$2),MONTH(설정_코스수당!$K$2),11),"")</f>
        <v>46184</v>
      </c>
      <c r="C1074" s="25"/>
      <c r="D1074" s="23"/>
      <c r="E1074" s="23"/>
      <c r="F1074" s="26"/>
      <c r="G1074" s="23"/>
      <c r="H1074" s="23"/>
      <c r="I1074" s="23"/>
      <c r="J1074" s="27">
        <f>IF($O1074="방문완료",MAX(0,IFERROR(VLOOKUP($E1074,설정_코스수당!$A$6:$H$10,4,FALSE),0)-IF(OR($P1074="",$P1074="없음"),0,100000)),0)</f>
        <v>0</v>
      </c>
      <c r="K1074" s="27">
        <f t="array" ref="K1074">IF($O1074="방문완료",IFERROR(INDEX(설정_코스수당!$B$15:$F$64,MATCH($G1074,설정_코스수당!$A$15:$A$64,0),MATCH($E1074&amp;"수당",설정_코스수당!$B$14:$F$14,0)),0),0)</f>
        <v>0</v>
      </c>
      <c r="L1074" s="27">
        <f t="array" ref="L1074">IF($O1074="방문완료",IF($H1074="",0,IFERROR(INDEX(설정_코스수당!$B$15:$F$64,MATCH($H1074,설정_코스수당!$A$15:$A$64,0),MATCH($E1074&amp;"수당",설정_코스수당!$B$14:$F$14,0)),0)),0)</f>
        <v>0</v>
      </c>
      <c r="M1074" s="27">
        <f>IF($O1074="방문완료",IFERROR(VLOOKUP($E1074,설정_코스수당!$A$6:$H$10,6,FALSE),0),0)</f>
        <v>0</v>
      </c>
      <c r="N1074" s="28">
        <f t="shared" si="30"/>
        <v>0</v>
      </c>
      <c r="O1074" s="23"/>
      <c r="P1074" s="23"/>
      <c r="Q1074" s="23"/>
      <c r="R1074" s="26"/>
      <c r="S1074" s="23"/>
    </row>
    <row r="1075" spans="1:19" ht="19.5" hidden="1" customHeight="1" outlineLevel="1">
      <c r="A1075" s="29">
        <v>32</v>
      </c>
      <c r="B1075" s="30">
        <f>IF(11&lt;=DAY(DATE(YEAR(설정_코스수당!$K$2),MONTH(설정_코스수당!$K$2)+1,0)),DATE(YEAR(설정_코스수당!$K$2),MONTH(설정_코스수당!$K$2),11),"")</f>
        <v>46184</v>
      </c>
      <c r="C1075" s="31"/>
      <c r="D1075" s="29"/>
      <c r="E1075" s="29"/>
      <c r="F1075" s="32"/>
      <c r="G1075" s="29"/>
      <c r="H1075" s="29"/>
      <c r="I1075" s="29"/>
      <c r="J1075" s="33">
        <f>IF($O1075="방문완료",MAX(0,IFERROR(VLOOKUP($E1075,설정_코스수당!$A$6:$H$10,4,FALSE),0)-IF(OR($P1075="",$P1075="없음"),0,100000)),0)</f>
        <v>0</v>
      </c>
      <c r="K1075" s="33">
        <f t="array" ref="K1075">IF($O1075="방문완료",IFERROR(INDEX(설정_코스수당!$B$15:$F$64,MATCH($G1075,설정_코스수당!$A$15:$A$64,0),MATCH($E1075&amp;"수당",설정_코스수당!$B$14:$F$14,0)),0),0)</f>
        <v>0</v>
      </c>
      <c r="L1075" s="33">
        <f t="array" ref="L1075">IF($O1075="방문완료",IF($H1075="",0,IFERROR(INDEX(설정_코스수당!$B$15:$F$64,MATCH($H1075,설정_코스수당!$A$15:$A$64,0),MATCH($E1075&amp;"수당",설정_코스수당!$B$14:$F$14,0)),0)),0)</f>
        <v>0</v>
      </c>
      <c r="M1075" s="33">
        <f>IF($O1075="방문완료",IFERROR(VLOOKUP($E1075,설정_코스수당!$A$6:$H$10,6,FALSE),0),0)</f>
        <v>0</v>
      </c>
      <c r="N1075" s="34">
        <f t="shared" si="30"/>
        <v>0</v>
      </c>
      <c r="O1075" s="29"/>
      <c r="P1075" s="29"/>
      <c r="Q1075" s="29"/>
      <c r="R1075" s="32"/>
      <c r="S1075" s="29"/>
    </row>
    <row r="1076" spans="1:19" ht="19.5" hidden="1" customHeight="1" outlineLevel="1">
      <c r="A1076" s="23">
        <v>33</v>
      </c>
      <c r="B1076" s="24">
        <f>IF(11&lt;=DAY(DATE(YEAR(설정_코스수당!$K$2),MONTH(설정_코스수당!$K$2)+1,0)),DATE(YEAR(설정_코스수당!$K$2),MONTH(설정_코스수당!$K$2),11),"")</f>
        <v>46184</v>
      </c>
      <c r="C1076" s="25"/>
      <c r="D1076" s="23"/>
      <c r="E1076" s="23"/>
      <c r="F1076" s="26"/>
      <c r="G1076" s="23"/>
      <c r="H1076" s="23"/>
      <c r="I1076" s="23"/>
      <c r="J1076" s="27">
        <f>IF($O1076="방문완료",MAX(0,IFERROR(VLOOKUP($E1076,설정_코스수당!$A$6:$H$10,4,FALSE),0)-IF(OR($P1076="",$P1076="없음"),0,100000)),0)</f>
        <v>0</v>
      </c>
      <c r="K1076" s="27">
        <f t="array" ref="K1076">IF($O1076="방문완료",IFERROR(INDEX(설정_코스수당!$B$15:$F$64,MATCH($G1076,설정_코스수당!$A$15:$A$64,0),MATCH($E1076&amp;"수당",설정_코스수당!$B$14:$F$14,0)),0),0)</f>
        <v>0</v>
      </c>
      <c r="L1076" s="27">
        <f t="array" ref="L1076">IF($O1076="방문완료",IF($H1076="",0,IFERROR(INDEX(설정_코스수당!$B$15:$F$64,MATCH($H1076,설정_코스수당!$A$15:$A$64,0),MATCH($E1076&amp;"수당",설정_코스수당!$B$14:$F$14,0)),0)),0)</f>
        <v>0</v>
      </c>
      <c r="M1076" s="27">
        <f>IF($O1076="방문완료",IFERROR(VLOOKUP($E1076,설정_코스수당!$A$6:$H$10,6,FALSE),0),0)</f>
        <v>0</v>
      </c>
      <c r="N1076" s="28">
        <f t="shared" ref="N1076:N1107" si="31">IF($O1076="방문완료",1,0)</f>
        <v>0</v>
      </c>
      <c r="O1076" s="23"/>
      <c r="P1076" s="23"/>
      <c r="Q1076" s="23"/>
      <c r="R1076" s="26"/>
      <c r="S1076" s="23"/>
    </row>
    <row r="1077" spans="1:19" ht="19.5" hidden="1" customHeight="1" outlineLevel="1">
      <c r="A1077" s="29">
        <v>34</v>
      </c>
      <c r="B1077" s="30">
        <f>IF(11&lt;=DAY(DATE(YEAR(설정_코스수당!$K$2),MONTH(설정_코스수당!$K$2)+1,0)),DATE(YEAR(설정_코스수당!$K$2),MONTH(설정_코스수당!$K$2),11),"")</f>
        <v>46184</v>
      </c>
      <c r="C1077" s="31"/>
      <c r="D1077" s="29"/>
      <c r="E1077" s="29"/>
      <c r="F1077" s="32"/>
      <c r="G1077" s="29"/>
      <c r="H1077" s="29"/>
      <c r="I1077" s="29"/>
      <c r="J1077" s="33">
        <f>IF($O1077="방문완료",MAX(0,IFERROR(VLOOKUP($E1077,설정_코스수당!$A$6:$H$10,4,FALSE),0)-IF(OR($P1077="",$P1077="없음"),0,100000)),0)</f>
        <v>0</v>
      </c>
      <c r="K1077" s="33">
        <f t="array" ref="K1077">IF($O1077="방문완료",IFERROR(INDEX(설정_코스수당!$B$15:$F$64,MATCH($G1077,설정_코스수당!$A$15:$A$64,0),MATCH($E1077&amp;"수당",설정_코스수당!$B$14:$F$14,0)),0),0)</f>
        <v>0</v>
      </c>
      <c r="L1077" s="33">
        <f t="array" ref="L1077">IF($O1077="방문완료",IF($H1077="",0,IFERROR(INDEX(설정_코스수당!$B$15:$F$64,MATCH($H1077,설정_코스수당!$A$15:$A$64,0),MATCH($E1077&amp;"수당",설정_코스수당!$B$14:$F$14,0)),0)),0)</f>
        <v>0</v>
      </c>
      <c r="M1077" s="33">
        <f>IF($O1077="방문완료",IFERROR(VLOOKUP($E1077,설정_코스수당!$A$6:$H$10,6,FALSE),0),0)</f>
        <v>0</v>
      </c>
      <c r="N1077" s="34">
        <f t="shared" si="31"/>
        <v>0</v>
      </c>
      <c r="O1077" s="29"/>
      <c r="P1077" s="29"/>
      <c r="Q1077" s="29"/>
      <c r="R1077" s="32"/>
      <c r="S1077" s="29"/>
    </row>
    <row r="1078" spans="1:19" ht="19.5" hidden="1" customHeight="1" outlineLevel="1">
      <c r="A1078" s="23">
        <v>35</v>
      </c>
      <c r="B1078" s="24">
        <f>IF(11&lt;=DAY(DATE(YEAR(설정_코스수당!$K$2),MONTH(설정_코스수당!$K$2)+1,0)),DATE(YEAR(설정_코스수당!$K$2),MONTH(설정_코스수당!$K$2),11),"")</f>
        <v>46184</v>
      </c>
      <c r="C1078" s="25"/>
      <c r="D1078" s="23"/>
      <c r="E1078" s="23"/>
      <c r="F1078" s="26"/>
      <c r="G1078" s="23"/>
      <c r="H1078" s="23"/>
      <c r="I1078" s="23"/>
      <c r="J1078" s="27">
        <f>IF($O1078="방문완료",MAX(0,IFERROR(VLOOKUP($E1078,설정_코스수당!$A$6:$H$10,4,FALSE),0)-IF(OR($P1078="",$P1078="없음"),0,100000)),0)</f>
        <v>0</v>
      </c>
      <c r="K1078" s="27">
        <f t="array" ref="K1078">IF($O1078="방문완료",IFERROR(INDEX(설정_코스수당!$B$15:$F$64,MATCH($G1078,설정_코스수당!$A$15:$A$64,0),MATCH($E1078&amp;"수당",설정_코스수당!$B$14:$F$14,0)),0),0)</f>
        <v>0</v>
      </c>
      <c r="L1078" s="27">
        <f t="array" ref="L1078">IF($O1078="방문완료",IF($H1078="",0,IFERROR(INDEX(설정_코스수당!$B$15:$F$64,MATCH($H1078,설정_코스수당!$A$15:$A$64,0),MATCH($E1078&amp;"수당",설정_코스수당!$B$14:$F$14,0)),0)),0)</f>
        <v>0</v>
      </c>
      <c r="M1078" s="27">
        <f>IF($O1078="방문완료",IFERROR(VLOOKUP($E1078,설정_코스수당!$A$6:$H$10,6,FALSE),0),0)</f>
        <v>0</v>
      </c>
      <c r="N1078" s="28">
        <f t="shared" si="31"/>
        <v>0</v>
      </c>
      <c r="O1078" s="23"/>
      <c r="P1078" s="23"/>
      <c r="Q1078" s="23"/>
      <c r="R1078" s="26"/>
      <c r="S1078" s="23"/>
    </row>
    <row r="1079" spans="1:19" ht="19.5" hidden="1" customHeight="1" outlineLevel="1">
      <c r="A1079" s="29">
        <v>36</v>
      </c>
      <c r="B1079" s="30">
        <f>IF(11&lt;=DAY(DATE(YEAR(설정_코스수당!$K$2),MONTH(설정_코스수당!$K$2)+1,0)),DATE(YEAR(설정_코스수당!$K$2),MONTH(설정_코스수당!$K$2),11),"")</f>
        <v>46184</v>
      </c>
      <c r="C1079" s="31"/>
      <c r="D1079" s="29"/>
      <c r="E1079" s="29"/>
      <c r="F1079" s="32"/>
      <c r="G1079" s="29"/>
      <c r="H1079" s="29"/>
      <c r="I1079" s="29"/>
      <c r="J1079" s="33">
        <f>IF($O1079="방문완료",MAX(0,IFERROR(VLOOKUP($E1079,설정_코스수당!$A$6:$H$10,4,FALSE),0)-IF(OR($P1079="",$P1079="없음"),0,100000)),0)</f>
        <v>0</v>
      </c>
      <c r="K1079" s="33">
        <f t="array" ref="K1079">IF($O1079="방문완료",IFERROR(INDEX(설정_코스수당!$B$15:$F$64,MATCH($G1079,설정_코스수당!$A$15:$A$64,0),MATCH($E1079&amp;"수당",설정_코스수당!$B$14:$F$14,0)),0),0)</f>
        <v>0</v>
      </c>
      <c r="L1079" s="33">
        <f t="array" ref="L1079">IF($O1079="방문완료",IF($H1079="",0,IFERROR(INDEX(설정_코스수당!$B$15:$F$64,MATCH($H1079,설정_코스수당!$A$15:$A$64,0),MATCH($E1079&amp;"수당",설정_코스수당!$B$14:$F$14,0)),0)),0)</f>
        <v>0</v>
      </c>
      <c r="M1079" s="33">
        <f>IF($O1079="방문완료",IFERROR(VLOOKUP($E1079,설정_코스수당!$A$6:$H$10,6,FALSE),0),0)</f>
        <v>0</v>
      </c>
      <c r="N1079" s="34">
        <f t="shared" si="31"/>
        <v>0</v>
      </c>
      <c r="O1079" s="29"/>
      <c r="P1079" s="29"/>
      <c r="Q1079" s="29"/>
      <c r="R1079" s="32"/>
      <c r="S1079" s="29"/>
    </row>
    <row r="1080" spans="1:19" ht="19.5" hidden="1" customHeight="1" outlineLevel="1">
      <c r="A1080" s="23">
        <v>37</v>
      </c>
      <c r="B1080" s="24">
        <f>IF(11&lt;=DAY(DATE(YEAR(설정_코스수당!$K$2),MONTH(설정_코스수당!$K$2)+1,0)),DATE(YEAR(설정_코스수당!$K$2),MONTH(설정_코스수당!$K$2),11),"")</f>
        <v>46184</v>
      </c>
      <c r="C1080" s="25"/>
      <c r="D1080" s="23"/>
      <c r="E1080" s="23"/>
      <c r="F1080" s="26"/>
      <c r="G1080" s="23"/>
      <c r="H1080" s="23"/>
      <c r="I1080" s="23"/>
      <c r="J1080" s="27">
        <f>IF($O1080="방문완료",MAX(0,IFERROR(VLOOKUP($E1080,설정_코스수당!$A$6:$H$10,4,FALSE),0)-IF(OR($P1080="",$P1080="없음"),0,100000)),0)</f>
        <v>0</v>
      </c>
      <c r="K1080" s="27">
        <f t="array" ref="K1080">IF($O1080="방문완료",IFERROR(INDEX(설정_코스수당!$B$15:$F$64,MATCH($G1080,설정_코스수당!$A$15:$A$64,0),MATCH($E1080&amp;"수당",설정_코스수당!$B$14:$F$14,0)),0),0)</f>
        <v>0</v>
      </c>
      <c r="L1080" s="27">
        <f t="array" ref="L1080">IF($O1080="방문완료",IF($H1080="",0,IFERROR(INDEX(설정_코스수당!$B$15:$F$64,MATCH($H1080,설정_코스수당!$A$15:$A$64,0),MATCH($E1080&amp;"수당",설정_코스수당!$B$14:$F$14,0)),0)),0)</f>
        <v>0</v>
      </c>
      <c r="M1080" s="27">
        <f>IF($O1080="방문완료",IFERROR(VLOOKUP($E1080,설정_코스수당!$A$6:$H$10,6,FALSE),0),0)</f>
        <v>0</v>
      </c>
      <c r="N1080" s="28">
        <f t="shared" si="31"/>
        <v>0</v>
      </c>
      <c r="O1080" s="23"/>
      <c r="P1080" s="23"/>
      <c r="Q1080" s="23"/>
      <c r="R1080" s="26"/>
      <c r="S1080" s="23"/>
    </row>
    <row r="1081" spans="1:19" ht="19.5" hidden="1" customHeight="1" outlineLevel="1">
      <c r="A1081" s="29">
        <v>38</v>
      </c>
      <c r="B1081" s="30">
        <f>IF(11&lt;=DAY(DATE(YEAR(설정_코스수당!$K$2),MONTH(설정_코스수당!$K$2)+1,0)),DATE(YEAR(설정_코스수당!$K$2),MONTH(설정_코스수당!$K$2),11),"")</f>
        <v>46184</v>
      </c>
      <c r="C1081" s="31"/>
      <c r="D1081" s="29"/>
      <c r="E1081" s="29"/>
      <c r="F1081" s="32"/>
      <c r="G1081" s="29"/>
      <c r="H1081" s="29"/>
      <c r="I1081" s="29"/>
      <c r="J1081" s="33">
        <f>IF($O1081="방문완료",MAX(0,IFERROR(VLOOKUP($E1081,설정_코스수당!$A$6:$H$10,4,FALSE),0)-IF(OR($P1081="",$P1081="없음"),0,100000)),0)</f>
        <v>0</v>
      </c>
      <c r="K1081" s="33">
        <f t="array" ref="K1081">IF($O1081="방문완료",IFERROR(INDEX(설정_코스수당!$B$15:$F$64,MATCH($G1081,설정_코스수당!$A$15:$A$64,0),MATCH($E1081&amp;"수당",설정_코스수당!$B$14:$F$14,0)),0),0)</f>
        <v>0</v>
      </c>
      <c r="L1081" s="33">
        <f t="array" ref="L1081">IF($O1081="방문완료",IF($H1081="",0,IFERROR(INDEX(설정_코스수당!$B$15:$F$64,MATCH($H1081,설정_코스수당!$A$15:$A$64,0),MATCH($E1081&amp;"수당",설정_코스수당!$B$14:$F$14,0)),0)),0)</f>
        <v>0</v>
      </c>
      <c r="M1081" s="33">
        <f>IF($O1081="방문완료",IFERROR(VLOOKUP($E1081,설정_코스수당!$A$6:$H$10,6,FALSE),0),0)</f>
        <v>0</v>
      </c>
      <c r="N1081" s="34">
        <f t="shared" si="31"/>
        <v>0</v>
      </c>
      <c r="O1081" s="29"/>
      <c r="P1081" s="29"/>
      <c r="Q1081" s="29"/>
      <c r="R1081" s="32"/>
      <c r="S1081" s="29"/>
    </row>
    <row r="1082" spans="1:19" ht="19.5" hidden="1" customHeight="1" outlineLevel="1">
      <c r="A1082" s="23">
        <v>39</v>
      </c>
      <c r="B1082" s="24">
        <f>IF(11&lt;=DAY(DATE(YEAR(설정_코스수당!$K$2),MONTH(설정_코스수당!$K$2)+1,0)),DATE(YEAR(설정_코스수당!$K$2),MONTH(설정_코스수당!$K$2),11),"")</f>
        <v>46184</v>
      </c>
      <c r="C1082" s="25"/>
      <c r="D1082" s="23"/>
      <c r="E1082" s="23"/>
      <c r="F1082" s="26"/>
      <c r="G1082" s="23"/>
      <c r="H1082" s="23"/>
      <c r="I1082" s="23"/>
      <c r="J1082" s="27">
        <f>IF($O1082="방문완료",MAX(0,IFERROR(VLOOKUP($E1082,설정_코스수당!$A$6:$H$10,4,FALSE),0)-IF(OR($P1082="",$P1082="없음"),0,100000)),0)</f>
        <v>0</v>
      </c>
      <c r="K1082" s="27">
        <f t="array" ref="K1082">IF($O1082="방문완료",IFERROR(INDEX(설정_코스수당!$B$15:$F$64,MATCH($G1082,설정_코스수당!$A$15:$A$64,0),MATCH($E1082&amp;"수당",설정_코스수당!$B$14:$F$14,0)),0),0)</f>
        <v>0</v>
      </c>
      <c r="L1082" s="27">
        <f t="array" ref="L1082">IF($O1082="방문완료",IF($H1082="",0,IFERROR(INDEX(설정_코스수당!$B$15:$F$64,MATCH($H1082,설정_코스수당!$A$15:$A$64,0),MATCH($E1082&amp;"수당",설정_코스수당!$B$14:$F$14,0)),0)),0)</f>
        <v>0</v>
      </c>
      <c r="M1082" s="27">
        <f>IF($O1082="방문완료",IFERROR(VLOOKUP($E1082,설정_코스수당!$A$6:$H$10,6,FALSE),0),0)</f>
        <v>0</v>
      </c>
      <c r="N1082" s="28">
        <f t="shared" si="31"/>
        <v>0</v>
      </c>
      <c r="O1082" s="23"/>
      <c r="P1082" s="23"/>
      <c r="Q1082" s="23"/>
      <c r="R1082" s="26"/>
      <c r="S1082" s="23"/>
    </row>
    <row r="1083" spans="1:19" ht="19.5" hidden="1" customHeight="1" outlineLevel="1">
      <c r="A1083" s="29">
        <v>40</v>
      </c>
      <c r="B1083" s="30">
        <f>IF(11&lt;=DAY(DATE(YEAR(설정_코스수당!$K$2),MONTH(설정_코스수당!$K$2)+1,0)),DATE(YEAR(설정_코스수당!$K$2),MONTH(설정_코스수당!$K$2),11),"")</f>
        <v>46184</v>
      </c>
      <c r="C1083" s="31"/>
      <c r="D1083" s="29"/>
      <c r="E1083" s="29"/>
      <c r="F1083" s="32"/>
      <c r="G1083" s="29"/>
      <c r="H1083" s="29"/>
      <c r="I1083" s="29"/>
      <c r="J1083" s="33">
        <f>IF($O1083="방문완료",MAX(0,IFERROR(VLOOKUP($E1083,설정_코스수당!$A$6:$H$10,4,FALSE),0)-IF(OR($P1083="",$P1083="없음"),0,100000)),0)</f>
        <v>0</v>
      </c>
      <c r="K1083" s="33">
        <f t="array" ref="K1083">IF($O1083="방문완료",IFERROR(INDEX(설정_코스수당!$B$15:$F$64,MATCH($G1083,설정_코스수당!$A$15:$A$64,0),MATCH($E1083&amp;"수당",설정_코스수당!$B$14:$F$14,0)),0),0)</f>
        <v>0</v>
      </c>
      <c r="L1083" s="33">
        <f t="array" ref="L1083">IF($O1083="방문완료",IF($H1083="",0,IFERROR(INDEX(설정_코스수당!$B$15:$F$64,MATCH($H1083,설정_코스수당!$A$15:$A$64,0),MATCH($E1083&amp;"수당",설정_코스수당!$B$14:$F$14,0)),0)),0)</f>
        <v>0</v>
      </c>
      <c r="M1083" s="33">
        <f>IF($O1083="방문완료",IFERROR(VLOOKUP($E1083,설정_코스수당!$A$6:$H$10,6,FALSE),0),0)</f>
        <v>0</v>
      </c>
      <c r="N1083" s="34">
        <f t="shared" si="31"/>
        <v>0</v>
      </c>
      <c r="O1083" s="29"/>
      <c r="P1083" s="29"/>
      <c r="Q1083" s="29"/>
      <c r="R1083" s="32"/>
      <c r="S1083" s="29"/>
    </row>
    <row r="1084" spans="1:19" ht="19.5" hidden="1" customHeight="1" outlineLevel="1">
      <c r="A1084" s="23">
        <v>41</v>
      </c>
      <c r="B1084" s="24">
        <f>IF(11&lt;=DAY(DATE(YEAR(설정_코스수당!$K$2),MONTH(설정_코스수당!$K$2)+1,0)),DATE(YEAR(설정_코스수당!$K$2),MONTH(설정_코스수당!$K$2),11),"")</f>
        <v>46184</v>
      </c>
      <c r="C1084" s="25"/>
      <c r="D1084" s="23"/>
      <c r="E1084" s="23"/>
      <c r="F1084" s="26"/>
      <c r="G1084" s="23"/>
      <c r="H1084" s="23"/>
      <c r="I1084" s="23"/>
      <c r="J1084" s="27">
        <f>IF($O1084="방문완료",MAX(0,IFERROR(VLOOKUP($E1084,설정_코스수당!$A$6:$H$10,4,FALSE),0)-IF(OR($P1084="",$P1084="없음"),0,100000)),0)</f>
        <v>0</v>
      </c>
      <c r="K1084" s="27">
        <f t="array" ref="K1084">IF($O1084="방문완료",IFERROR(INDEX(설정_코스수당!$B$15:$F$64,MATCH($G1084,설정_코스수당!$A$15:$A$64,0),MATCH($E1084&amp;"수당",설정_코스수당!$B$14:$F$14,0)),0),0)</f>
        <v>0</v>
      </c>
      <c r="L1084" s="27">
        <f t="array" ref="L1084">IF($O1084="방문완료",IF($H1084="",0,IFERROR(INDEX(설정_코스수당!$B$15:$F$64,MATCH($H1084,설정_코스수당!$A$15:$A$64,0),MATCH($E1084&amp;"수당",설정_코스수당!$B$14:$F$14,0)),0)),0)</f>
        <v>0</v>
      </c>
      <c r="M1084" s="27">
        <f>IF($O1084="방문완료",IFERROR(VLOOKUP($E1084,설정_코스수당!$A$6:$H$10,6,FALSE),0),0)</f>
        <v>0</v>
      </c>
      <c r="N1084" s="28">
        <f t="shared" si="31"/>
        <v>0</v>
      </c>
      <c r="O1084" s="23"/>
      <c r="P1084" s="23"/>
      <c r="Q1084" s="23"/>
      <c r="R1084" s="26"/>
      <c r="S1084" s="23"/>
    </row>
    <row r="1085" spans="1:19" ht="19.5" hidden="1" customHeight="1" outlineLevel="1">
      <c r="A1085" s="29">
        <v>42</v>
      </c>
      <c r="B1085" s="30">
        <f>IF(11&lt;=DAY(DATE(YEAR(설정_코스수당!$K$2),MONTH(설정_코스수당!$K$2)+1,0)),DATE(YEAR(설정_코스수당!$K$2),MONTH(설정_코스수당!$K$2),11),"")</f>
        <v>46184</v>
      </c>
      <c r="C1085" s="31"/>
      <c r="D1085" s="29"/>
      <c r="E1085" s="29"/>
      <c r="F1085" s="32"/>
      <c r="G1085" s="29"/>
      <c r="H1085" s="29"/>
      <c r="I1085" s="29"/>
      <c r="J1085" s="33">
        <f>IF($O1085="방문완료",MAX(0,IFERROR(VLOOKUP($E1085,설정_코스수당!$A$6:$H$10,4,FALSE),0)-IF(OR($P1085="",$P1085="없음"),0,100000)),0)</f>
        <v>0</v>
      </c>
      <c r="K1085" s="33">
        <f t="array" ref="K1085">IF($O1085="방문완료",IFERROR(INDEX(설정_코스수당!$B$15:$F$64,MATCH($G1085,설정_코스수당!$A$15:$A$64,0),MATCH($E1085&amp;"수당",설정_코스수당!$B$14:$F$14,0)),0),0)</f>
        <v>0</v>
      </c>
      <c r="L1085" s="33">
        <f t="array" ref="L1085">IF($O1085="방문완료",IF($H1085="",0,IFERROR(INDEX(설정_코스수당!$B$15:$F$64,MATCH($H1085,설정_코스수당!$A$15:$A$64,0),MATCH($E1085&amp;"수당",설정_코스수당!$B$14:$F$14,0)),0)),0)</f>
        <v>0</v>
      </c>
      <c r="M1085" s="33">
        <f>IF($O1085="방문완료",IFERROR(VLOOKUP($E1085,설정_코스수당!$A$6:$H$10,6,FALSE),0),0)</f>
        <v>0</v>
      </c>
      <c r="N1085" s="34">
        <f t="shared" si="31"/>
        <v>0</v>
      </c>
      <c r="O1085" s="29"/>
      <c r="P1085" s="29"/>
      <c r="Q1085" s="29"/>
      <c r="R1085" s="32"/>
      <c r="S1085" s="29"/>
    </row>
    <row r="1086" spans="1:19" ht="19.5" hidden="1" customHeight="1" outlineLevel="1">
      <c r="A1086" s="23">
        <v>43</v>
      </c>
      <c r="B1086" s="24">
        <f>IF(11&lt;=DAY(DATE(YEAR(설정_코스수당!$K$2),MONTH(설정_코스수당!$K$2)+1,0)),DATE(YEAR(설정_코스수당!$K$2),MONTH(설정_코스수당!$K$2),11),"")</f>
        <v>46184</v>
      </c>
      <c r="C1086" s="25"/>
      <c r="D1086" s="23"/>
      <c r="E1086" s="23"/>
      <c r="F1086" s="26"/>
      <c r="G1086" s="23"/>
      <c r="H1086" s="23"/>
      <c r="I1086" s="23"/>
      <c r="J1086" s="27">
        <f>IF($O1086="방문완료",MAX(0,IFERROR(VLOOKUP($E1086,설정_코스수당!$A$6:$H$10,4,FALSE),0)-IF(OR($P1086="",$P1086="없음"),0,100000)),0)</f>
        <v>0</v>
      </c>
      <c r="K1086" s="27">
        <f t="array" ref="K1086">IF($O1086="방문완료",IFERROR(INDEX(설정_코스수당!$B$15:$F$64,MATCH($G1086,설정_코스수당!$A$15:$A$64,0),MATCH($E1086&amp;"수당",설정_코스수당!$B$14:$F$14,0)),0),0)</f>
        <v>0</v>
      </c>
      <c r="L1086" s="27">
        <f t="array" ref="L1086">IF($O1086="방문완료",IF($H1086="",0,IFERROR(INDEX(설정_코스수당!$B$15:$F$64,MATCH($H1086,설정_코스수당!$A$15:$A$64,0),MATCH($E1086&amp;"수당",설정_코스수당!$B$14:$F$14,0)),0)),0)</f>
        <v>0</v>
      </c>
      <c r="M1086" s="27">
        <f>IF($O1086="방문완료",IFERROR(VLOOKUP($E1086,설정_코스수당!$A$6:$H$10,6,FALSE),0),0)</f>
        <v>0</v>
      </c>
      <c r="N1086" s="28">
        <f t="shared" si="31"/>
        <v>0</v>
      </c>
      <c r="O1086" s="23"/>
      <c r="P1086" s="23"/>
      <c r="Q1086" s="23"/>
      <c r="R1086" s="26"/>
      <c r="S1086" s="23"/>
    </row>
    <row r="1087" spans="1:19" ht="19.5" hidden="1" customHeight="1" outlineLevel="1">
      <c r="A1087" s="29">
        <v>44</v>
      </c>
      <c r="B1087" s="30">
        <f>IF(11&lt;=DAY(DATE(YEAR(설정_코스수당!$K$2),MONTH(설정_코스수당!$K$2)+1,0)),DATE(YEAR(설정_코스수당!$K$2),MONTH(설정_코스수당!$K$2),11),"")</f>
        <v>46184</v>
      </c>
      <c r="C1087" s="31"/>
      <c r="D1087" s="29"/>
      <c r="E1087" s="29"/>
      <c r="F1087" s="32"/>
      <c r="G1087" s="29"/>
      <c r="H1087" s="29"/>
      <c r="I1087" s="29"/>
      <c r="J1087" s="33">
        <f>IF($O1087="방문완료",MAX(0,IFERROR(VLOOKUP($E1087,설정_코스수당!$A$6:$H$10,4,FALSE),0)-IF(OR($P1087="",$P1087="없음"),0,100000)),0)</f>
        <v>0</v>
      </c>
      <c r="K1087" s="33">
        <f t="array" ref="K1087">IF($O1087="방문완료",IFERROR(INDEX(설정_코스수당!$B$15:$F$64,MATCH($G1087,설정_코스수당!$A$15:$A$64,0),MATCH($E1087&amp;"수당",설정_코스수당!$B$14:$F$14,0)),0),0)</f>
        <v>0</v>
      </c>
      <c r="L1087" s="33">
        <f t="array" ref="L1087">IF($O1087="방문완료",IF($H1087="",0,IFERROR(INDEX(설정_코스수당!$B$15:$F$64,MATCH($H1087,설정_코스수당!$A$15:$A$64,0),MATCH($E1087&amp;"수당",설정_코스수당!$B$14:$F$14,0)),0)),0)</f>
        <v>0</v>
      </c>
      <c r="M1087" s="33">
        <f>IF($O1087="방문완료",IFERROR(VLOOKUP($E1087,설정_코스수당!$A$6:$H$10,6,FALSE),0),0)</f>
        <v>0</v>
      </c>
      <c r="N1087" s="34">
        <f t="shared" si="31"/>
        <v>0</v>
      </c>
      <c r="O1087" s="29"/>
      <c r="P1087" s="29"/>
      <c r="Q1087" s="29"/>
      <c r="R1087" s="32"/>
      <c r="S1087" s="29"/>
    </row>
    <row r="1088" spans="1:19" ht="19.5" hidden="1" customHeight="1" outlineLevel="1">
      <c r="A1088" s="23">
        <v>45</v>
      </c>
      <c r="B1088" s="24">
        <f>IF(11&lt;=DAY(DATE(YEAR(설정_코스수당!$K$2),MONTH(설정_코스수당!$K$2)+1,0)),DATE(YEAR(설정_코스수당!$K$2),MONTH(설정_코스수당!$K$2),11),"")</f>
        <v>46184</v>
      </c>
      <c r="C1088" s="25"/>
      <c r="D1088" s="23"/>
      <c r="E1088" s="23"/>
      <c r="F1088" s="26"/>
      <c r="G1088" s="23"/>
      <c r="H1088" s="23"/>
      <c r="I1088" s="23"/>
      <c r="J1088" s="27">
        <f>IF($O1088="방문완료",MAX(0,IFERROR(VLOOKUP($E1088,설정_코스수당!$A$6:$H$10,4,FALSE),0)-IF(OR($P1088="",$P1088="없음"),0,100000)),0)</f>
        <v>0</v>
      </c>
      <c r="K1088" s="27">
        <f t="array" ref="K1088">IF($O1088="방문완료",IFERROR(INDEX(설정_코스수당!$B$15:$F$64,MATCH($G1088,설정_코스수당!$A$15:$A$64,0),MATCH($E1088&amp;"수당",설정_코스수당!$B$14:$F$14,0)),0),0)</f>
        <v>0</v>
      </c>
      <c r="L1088" s="27">
        <f t="array" ref="L1088">IF($O1088="방문완료",IF($H1088="",0,IFERROR(INDEX(설정_코스수당!$B$15:$F$64,MATCH($H1088,설정_코스수당!$A$15:$A$64,0),MATCH($E1088&amp;"수당",설정_코스수당!$B$14:$F$14,0)),0)),0)</f>
        <v>0</v>
      </c>
      <c r="M1088" s="27">
        <f>IF($O1088="방문완료",IFERROR(VLOOKUP($E1088,설정_코스수당!$A$6:$H$10,6,FALSE),0),0)</f>
        <v>0</v>
      </c>
      <c r="N1088" s="28">
        <f t="shared" si="31"/>
        <v>0</v>
      </c>
      <c r="O1088" s="23"/>
      <c r="P1088" s="23"/>
      <c r="Q1088" s="23"/>
      <c r="R1088" s="26"/>
      <c r="S1088" s="23"/>
    </row>
    <row r="1089" spans="1:19" ht="19.5" hidden="1" customHeight="1" outlineLevel="1">
      <c r="A1089" s="29">
        <v>46</v>
      </c>
      <c r="B1089" s="30">
        <f>IF(11&lt;=DAY(DATE(YEAR(설정_코스수당!$K$2),MONTH(설정_코스수당!$K$2)+1,0)),DATE(YEAR(설정_코스수당!$K$2),MONTH(설정_코스수당!$K$2),11),"")</f>
        <v>46184</v>
      </c>
      <c r="C1089" s="31"/>
      <c r="D1089" s="29"/>
      <c r="E1089" s="29"/>
      <c r="F1089" s="32"/>
      <c r="G1089" s="29"/>
      <c r="H1089" s="29"/>
      <c r="I1089" s="29"/>
      <c r="J1089" s="33">
        <f>IF($O1089="방문완료",MAX(0,IFERROR(VLOOKUP($E1089,설정_코스수당!$A$6:$H$10,4,FALSE),0)-IF(OR($P1089="",$P1089="없음"),0,100000)),0)</f>
        <v>0</v>
      </c>
      <c r="K1089" s="33">
        <f t="array" ref="K1089">IF($O1089="방문완료",IFERROR(INDEX(설정_코스수당!$B$15:$F$64,MATCH($G1089,설정_코스수당!$A$15:$A$64,0),MATCH($E1089&amp;"수당",설정_코스수당!$B$14:$F$14,0)),0),0)</f>
        <v>0</v>
      </c>
      <c r="L1089" s="33">
        <f t="array" ref="L1089">IF($O1089="방문완료",IF($H1089="",0,IFERROR(INDEX(설정_코스수당!$B$15:$F$64,MATCH($H1089,설정_코스수당!$A$15:$A$64,0),MATCH($E1089&amp;"수당",설정_코스수당!$B$14:$F$14,0)),0)),0)</f>
        <v>0</v>
      </c>
      <c r="M1089" s="33">
        <f>IF($O1089="방문완료",IFERROR(VLOOKUP($E1089,설정_코스수당!$A$6:$H$10,6,FALSE),0),0)</f>
        <v>0</v>
      </c>
      <c r="N1089" s="34">
        <f t="shared" si="31"/>
        <v>0</v>
      </c>
      <c r="O1089" s="29"/>
      <c r="P1089" s="29"/>
      <c r="Q1089" s="29"/>
      <c r="R1089" s="32"/>
      <c r="S1089" s="29"/>
    </row>
    <row r="1090" spans="1:19" ht="19.5" hidden="1" customHeight="1" outlineLevel="1">
      <c r="A1090" s="23">
        <v>47</v>
      </c>
      <c r="B1090" s="24">
        <f>IF(11&lt;=DAY(DATE(YEAR(설정_코스수당!$K$2),MONTH(설정_코스수당!$K$2)+1,0)),DATE(YEAR(설정_코스수당!$K$2),MONTH(설정_코스수당!$K$2),11),"")</f>
        <v>46184</v>
      </c>
      <c r="C1090" s="25"/>
      <c r="D1090" s="23"/>
      <c r="E1090" s="23"/>
      <c r="F1090" s="26"/>
      <c r="G1090" s="23"/>
      <c r="H1090" s="23"/>
      <c r="I1090" s="23"/>
      <c r="J1090" s="27">
        <f>IF($O1090="방문완료",MAX(0,IFERROR(VLOOKUP($E1090,설정_코스수당!$A$6:$H$10,4,FALSE),0)-IF(OR($P1090="",$P1090="없음"),0,100000)),0)</f>
        <v>0</v>
      </c>
      <c r="K1090" s="27">
        <f t="array" ref="K1090">IF($O1090="방문완료",IFERROR(INDEX(설정_코스수당!$B$15:$F$64,MATCH($G1090,설정_코스수당!$A$15:$A$64,0),MATCH($E1090&amp;"수당",설정_코스수당!$B$14:$F$14,0)),0),0)</f>
        <v>0</v>
      </c>
      <c r="L1090" s="27">
        <f t="array" ref="L1090">IF($O1090="방문완료",IF($H1090="",0,IFERROR(INDEX(설정_코스수당!$B$15:$F$64,MATCH($H1090,설정_코스수당!$A$15:$A$64,0),MATCH($E1090&amp;"수당",설정_코스수당!$B$14:$F$14,0)),0)),0)</f>
        <v>0</v>
      </c>
      <c r="M1090" s="27">
        <f>IF($O1090="방문완료",IFERROR(VLOOKUP($E1090,설정_코스수당!$A$6:$H$10,6,FALSE),0),0)</f>
        <v>0</v>
      </c>
      <c r="N1090" s="28">
        <f t="shared" si="31"/>
        <v>0</v>
      </c>
      <c r="O1090" s="23"/>
      <c r="P1090" s="23"/>
      <c r="Q1090" s="23"/>
      <c r="R1090" s="26"/>
      <c r="S1090" s="23"/>
    </row>
    <row r="1091" spans="1:19" ht="19.5" hidden="1" customHeight="1" outlineLevel="1">
      <c r="A1091" s="29">
        <v>48</v>
      </c>
      <c r="B1091" s="30">
        <f>IF(11&lt;=DAY(DATE(YEAR(설정_코스수당!$K$2),MONTH(설정_코스수당!$K$2)+1,0)),DATE(YEAR(설정_코스수당!$K$2),MONTH(설정_코스수당!$K$2),11),"")</f>
        <v>46184</v>
      </c>
      <c r="C1091" s="31"/>
      <c r="D1091" s="29"/>
      <c r="E1091" s="29"/>
      <c r="F1091" s="32"/>
      <c r="G1091" s="29"/>
      <c r="H1091" s="29"/>
      <c r="I1091" s="29"/>
      <c r="J1091" s="33">
        <f>IF($O1091="방문완료",MAX(0,IFERROR(VLOOKUP($E1091,설정_코스수당!$A$6:$H$10,4,FALSE),0)-IF(OR($P1091="",$P1091="없음"),0,100000)),0)</f>
        <v>0</v>
      </c>
      <c r="K1091" s="33">
        <f t="array" ref="K1091">IF($O1091="방문완료",IFERROR(INDEX(설정_코스수당!$B$15:$F$64,MATCH($G1091,설정_코스수당!$A$15:$A$64,0),MATCH($E1091&amp;"수당",설정_코스수당!$B$14:$F$14,0)),0),0)</f>
        <v>0</v>
      </c>
      <c r="L1091" s="33">
        <f t="array" ref="L1091">IF($O1091="방문완료",IF($H1091="",0,IFERROR(INDEX(설정_코스수당!$B$15:$F$64,MATCH($H1091,설정_코스수당!$A$15:$A$64,0),MATCH($E1091&amp;"수당",설정_코스수당!$B$14:$F$14,0)),0)),0)</f>
        <v>0</v>
      </c>
      <c r="M1091" s="33">
        <f>IF($O1091="방문완료",IFERROR(VLOOKUP($E1091,설정_코스수당!$A$6:$H$10,6,FALSE),0),0)</f>
        <v>0</v>
      </c>
      <c r="N1091" s="34">
        <f t="shared" si="31"/>
        <v>0</v>
      </c>
      <c r="O1091" s="29"/>
      <c r="P1091" s="29"/>
      <c r="Q1091" s="29"/>
      <c r="R1091" s="32"/>
      <c r="S1091" s="29"/>
    </row>
    <row r="1092" spans="1:19" ht="19.5" hidden="1" customHeight="1" outlineLevel="1">
      <c r="A1092" s="23">
        <v>49</v>
      </c>
      <c r="B1092" s="24">
        <f>IF(11&lt;=DAY(DATE(YEAR(설정_코스수당!$K$2),MONTH(설정_코스수당!$K$2)+1,0)),DATE(YEAR(설정_코스수당!$K$2),MONTH(설정_코스수당!$K$2),11),"")</f>
        <v>46184</v>
      </c>
      <c r="C1092" s="25"/>
      <c r="D1092" s="23"/>
      <c r="E1092" s="23"/>
      <c r="F1092" s="26"/>
      <c r="G1092" s="23"/>
      <c r="H1092" s="23"/>
      <c r="I1092" s="23"/>
      <c r="J1092" s="27">
        <f>IF($O1092="방문완료",MAX(0,IFERROR(VLOOKUP($E1092,설정_코스수당!$A$6:$H$10,4,FALSE),0)-IF(OR($P1092="",$P1092="없음"),0,100000)),0)</f>
        <v>0</v>
      </c>
      <c r="K1092" s="27">
        <f t="array" ref="K1092">IF($O1092="방문완료",IFERROR(INDEX(설정_코스수당!$B$15:$F$64,MATCH($G1092,설정_코스수당!$A$15:$A$64,0),MATCH($E1092&amp;"수당",설정_코스수당!$B$14:$F$14,0)),0),0)</f>
        <v>0</v>
      </c>
      <c r="L1092" s="27">
        <f t="array" ref="L1092">IF($O1092="방문완료",IF($H1092="",0,IFERROR(INDEX(설정_코스수당!$B$15:$F$64,MATCH($H1092,설정_코스수당!$A$15:$A$64,0),MATCH($E1092&amp;"수당",설정_코스수당!$B$14:$F$14,0)),0)),0)</f>
        <v>0</v>
      </c>
      <c r="M1092" s="27">
        <f>IF($O1092="방문완료",IFERROR(VLOOKUP($E1092,설정_코스수당!$A$6:$H$10,6,FALSE),0),0)</f>
        <v>0</v>
      </c>
      <c r="N1092" s="28">
        <f t="shared" si="31"/>
        <v>0</v>
      </c>
      <c r="O1092" s="23"/>
      <c r="P1092" s="23"/>
      <c r="Q1092" s="23"/>
      <c r="R1092" s="26"/>
      <c r="S1092" s="23"/>
    </row>
    <row r="1093" spans="1:19" ht="19.5" hidden="1" customHeight="1" outlineLevel="1">
      <c r="A1093" s="29">
        <v>50</v>
      </c>
      <c r="B1093" s="30">
        <f>IF(11&lt;=DAY(DATE(YEAR(설정_코스수당!$K$2),MONTH(설정_코스수당!$K$2)+1,0)),DATE(YEAR(설정_코스수당!$K$2),MONTH(설정_코스수당!$K$2),11),"")</f>
        <v>46184</v>
      </c>
      <c r="C1093" s="31"/>
      <c r="D1093" s="29"/>
      <c r="E1093" s="29"/>
      <c r="F1093" s="32"/>
      <c r="G1093" s="29"/>
      <c r="H1093" s="29"/>
      <c r="I1093" s="29"/>
      <c r="J1093" s="33">
        <f>IF($O1093="방문완료",MAX(0,IFERROR(VLOOKUP($E1093,설정_코스수당!$A$6:$H$10,4,FALSE),0)-IF(OR($P1093="",$P1093="없음"),0,100000)),0)</f>
        <v>0</v>
      </c>
      <c r="K1093" s="33">
        <f t="array" ref="K1093">IF($O1093="방문완료",IFERROR(INDEX(설정_코스수당!$B$15:$F$64,MATCH($G1093,설정_코스수당!$A$15:$A$64,0),MATCH($E1093&amp;"수당",설정_코스수당!$B$14:$F$14,0)),0),0)</f>
        <v>0</v>
      </c>
      <c r="L1093" s="33">
        <f t="array" ref="L1093">IF($O1093="방문완료",IF($H1093="",0,IFERROR(INDEX(설정_코스수당!$B$15:$F$64,MATCH($H1093,설정_코스수당!$A$15:$A$64,0),MATCH($E1093&amp;"수당",설정_코스수당!$B$14:$F$14,0)),0)),0)</f>
        <v>0</v>
      </c>
      <c r="M1093" s="33">
        <f>IF($O1093="방문완료",IFERROR(VLOOKUP($E1093,설정_코스수당!$A$6:$H$10,6,FALSE),0),0)</f>
        <v>0</v>
      </c>
      <c r="N1093" s="34">
        <f t="shared" si="31"/>
        <v>0</v>
      </c>
      <c r="O1093" s="29"/>
      <c r="P1093" s="29"/>
      <c r="Q1093" s="29"/>
      <c r="R1093" s="32"/>
      <c r="S1093" s="29"/>
    </row>
    <row r="1094" spans="1:19" ht="19.5" hidden="1" customHeight="1" outlineLevel="1">
      <c r="A1094" s="23">
        <v>51</v>
      </c>
      <c r="B1094" s="24">
        <f>IF(11&lt;=DAY(DATE(YEAR(설정_코스수당!$K$2),MONTH(설정_코스수당!$K$2)+1,0)),DATE(YEAR(설정_코스수당!$K$2),MONTH(설정_코스수당!$K$2),11),"")</f>
        <v>46184</v>
      </c>
      <c r="C1094" s="25"/>
      <c r="D1094" s="23"/>
      <c r="E1094" s="23"/>
      <c r="F1094" s="26"/>
      <c r="G1094" s="23"/>
      <c r="H1094" s="23"/>
      <c r="I1094" s="23"/>
      <c r="J1094" s="27">
        <f>IF($O1094="방문완료",MAX(0,IFERROR(VLOOKUP($E1094,설정_코스수당!$A$6:$H$10,4,FALSE),0)-IF(OR($P1094="",$P1094="없음"),0,100000)),0)</f>
        <v>0</v>
      </c>
      <c r="K1094" s="27">
        <f t="array" ref="K1094">IF($O1094="방문완료",IFERROR(INDEX(설정_코스수당!$B$15:$F$64,MATCH($G1094,설정_코스수당!$A$15:$A$64,0),MATCH($E1094&amp;"수당",설정_코스수당!$B$14:$F$14,0)),0),0)</f>
        <v>0</v>
      </c>
      <c r="L1094" s="27">
        <f t="array" ref="L1094">IF($O1094="방문완료",IF($H1094="",0,IFERROR(INDEX(설정_코스수당!$B$15:$F$64,MATCH($H1094,설정_코스수당!$A$15:$A$64,0),MATCH($E1094&amp;"수당",설정_코스수당!$B$14:$F$14,0)),0)),0)</f>
        <v>0</v>
      </c>
      <c r="M1094" s="27">
        <f>IF($O1094="방문완료",IFERROR(VLOOKUP($E1094,설정_코스수당!$A$6:$H$10,6,FALSE),0),0)</f>
        <v>0</v>
      </c>
      <c r="N1094" s="28">
        <f t="shared" si="31"/>
        <v>0</v>
      </c>
      <c r="O1094" s="23"/>
      <c r="P1094" s="23"/>
      <c r="Q1094" s="23"/>
      <c r="R1094" s="26"/>
      <c r="S1094" s="23"/>
    </row>
    <row r="1095" spans="1:19" ht="19.5" hidden="1" customHeight="1" outlineLevel="1">
      <c r="A1095" s="29">
        <v>52</v>
      </c>
      <c r="B1095" s="30">
        <f>IF(11&lt;=DAY(DATE(YEAR(설정_코스수당!$K$2),MONTH(설정_코스수당!$K$2)+1,0)),DATE(YEAR(설정_코스수당!$K$2),MONTH(설정_코스수당!$K$2),11),"")</f>
        <v>46184</v>
      </c>
      <c r="C1095" s="31"/>
      <c r="D1095" s="29"/>
      <c r="E1095" s="29"/>
      <c r="F1095" s="32"/>
      <c r="G1095" s="29"/>
      <c r="H1095" s="29"/>
      <c r="I1095" s="29"/>
      <c r="J1095" s="33">
        <f>IF($O1095="방문완료",MAX(0,IFERROR(VLOOKUP($E1095,설정_코스수당!$A$6:$H$10,4,FALSE),0)-IF(OR($P1095="",$P1095="없음"),0,100000)),0)</f>
        <v>0</v>
      </c>
      <c r="K1095" s="33">
        <f t="array" ref="K1095">IF($O1095="방문완료",IFERROR(INDEX(설정_코스수당!$B$15:$F$64,MATCH($G1095,설정_코스수당!$A$15:$A$64,0),MATCH($E1095&amp;"수당",설정_코스수당!$B$14:$F$14,0)),0),0)</f>
        <v>0</v>
      </c>
      <c r="L1095" s="33">
        <f t="array" ref="L1095">IF($O1095="방문완료",IF($H1095="",0,IFERROR(INDEX(설정_코스수당!$B$15:$F$64,MATCH($H1095,설정_코스수당!$A$15:$A$64,0),MATCH($E1095&amp;"수당",설정_코스수당!$B$14:$F$14,0)),0)),0)</f>
        <v>0</v>
      </c>
      <c r="M1095" s="33">
        <f>IF($O1095="방문완료",IFERROR(VLOOKUP($E1095,설정_코스수당!$A$6:$H$10,6,FALSE),0),0)</f>
        <v>0</v>
      </c>
      <c r="N1095" s="34">
        <f t="shared" si="31"/>
        <v>0</v>
      </c>
      <c r="O1095" s="29"/>
      <c r="P1095" s="29"/>
      <c r="Q1095" s="29"/>
      <c r="R1095" s="32"/>
      <c r="S1095" s="29"/>
    </row>
    <row r="1096" spans="1:19" ht="19.5" hidden="1" customHeight="1" outlineLevel="1">
      <c r="A1096" s="23">
        <v>53</v>
      </c>
      <c r="B1096" s="24">
        <f>IF(11&lt;=DAY(DATE(YEAR(설정_코스수당!$K$2),MONTH(설정_코스수당!$K$2)+1,0)),DATE(YEAR(설정_코스수당!$K$2),MONTH(설정_코스수당!$K$2),11),"")</f>
        <v>46184</v>
      </c>
      <c r="C1096" s="25"/>
      <c r="D1096" s="23"/>
      <c r="E1096" s="23"/>
      <c r="F1096" s="26"/>
      <c r="G1096" s="23"/>
      <c r="H1096" s="23"/>
      <c r="I1096" s="23"/>
      <c r="J1096" s="27">
        <f>IF($O1096="방문완료",MAX(0,IFERROR(VLOOKUP($E1096,설정_코스수당!$A$6:$H$10,4,FALSE),0)-IF(OR($P1096="",$P1096="없음"),0,100000)),0)</f>
        <v>0</v>
      </c>
      <c r="K1096" s="27">
        <f t="array" ref="K1096">IF($O1096="방문완료",IFERROR(INDEX(설정_코스수당!$B$15:$F$64,MATCH($G1096,설정_코스수당!$A$15:$A$64,0),MATCH($E1096&amp;"수당",설정_코스수당!$B$14:$F$14,0)),0),0)</f>
        <v>0</v>
      </c>
      <c r="L1096" s="27">
        <f t="array" ref="L1096">IF($O1096="방문완료",IF($H1096="",0,IFERROR(INDEX(설정_코스수당!$B$15:$F$64,MATCH($H1096,설정_코스수당!$A$15:$A$64,0),MATCH($E1096&amp;"수당",설정_코스수당!$B$14:$F$14,0)),0)),0)</f>
        <v>0</v>
      </c>
      <c r="M1096" s="27">
        <f>IF($O1096="방문완료",IFERROR(VLOOKUP($E1096,설정_코스수당!$A$6:$H$10,6,FALSE),0),0)</f>
        <v>0</v>
      </c>
      <c r="N1096" s="28">
        <f t="shared" si="31"/>
        <v>0</v>
      </c>
      <c r="O1096" s="23"/>
      <c r="P1096" s="23"/>
      <c r="Q1096" s="23"/>
      <c r="R1096" s="26"/>
      <c r="S1096" s="23"/>
    </row>
    <row r="1097" spans="1:19" ht="19.5" hidden="1" customHeight="1" outlineLevel="1">
      <c r="A1097" s="29">
        <v>54</v>
      </c>
      <c r="B1097" s="30">
        <f>IF(11&lt;=DAY(DATE(YEAR(설정_코스수당!$K$2),MONTH(설정_코스수당!$K$2)+1,0)),DATE(YEAR(설정_코스수당!$K$2),MONTH(설정_코스수당!$K$2),11),"")</f>
        <v>46184</v>
      </c>
      <c r="C1097" s="31"/>
      <c r="D1097" s="29"/>
      <c r="E1097" s="29"/>
      <c r="F1097" s="32"/>
      <c r="G1097" s="29"/>
      <c r="H1097" s="29"/>
      <c r="I1097" s="29"/>
      <c r="J1097" s="33">
        <f>IF($O1097="방문완료",MAX(0,IFERROR(VLOOKUP($E1097,설정_코스수당!$A$6:$H$10,4,FALSE),0)-IF(OR($P1097="",$P1097="없음"),0,100000)),0)</f>
        <v>0</v>
      </c>
      <c r="K1097" s="33">
        <f t="array" ref="K1097">IF($O1097="방문완료",IFERROR(INDEX(설정_코스수당!$B$15:$F$64,MATCH($G1097,설정_코스수당!$A$15:$A$64,0),MATCH($E1097&amp;"수당",설정_코스수당!$B$14:$F$14,0)),0),0)</f>
        <v>0</v>
      </c>
      <c r="L1097" s="33">
        <f t="array" ref="L1097">IF($O1097="방문완료",IF($H1097="",0,IFERROR(INDEX(설정_코스수당!$B$15:$F$64,MATCH($H1097,설정_코스수당!$A$15:$A$64,0),MATCH($E1097&amp;"수당",설정_코스수당!$B$14:$F$14,0)),0)),0)</f>
        <v>0</v>
      </c>
      <c r="M1097" s="33">
        <f>IF($O1097="방문완료",IFERROR(VLOOKUP($E1097,설정_코스수당!$A$6:$H$10,6,FALSE),0),0)</f>
        <v>0</v>
      </c>
      <c r="N1097" s="34">
        <f t="shared" si="31"/>
        <v>0</v>
      </c>
      <c r="O1097" s="29"/>
      <c r="P1097" s="29"/>
      <c r="Q1097" s="29"/>
      <c r="R1097" s="32"/>
      <c r="S1097" s="29"/>
    </row>
    <row r="1098" spans="1:19" ht="19.5" hidden="1" customHeight="1" outlineLevel="1">
      <c r="A1098" s="23">
        <v>55</v>
      </c>
      <c r="B1098" s="24">
        <f>IF(11&lt;=DAY(DATE(YEAR(설정_코스수당!$K$2),MONTH(설정_코스수당!$K$2)+1,0)),DATE(YEAR(설정_코스수당!$K$2),MONTH(설정_코스수당!$K$2),11),"")</f>
        <v>46184</v>
      </c>
      <c r="C1098" s="25"/>
      <c r="D1098" s="23"/>
      <c r="E1098" s="23"/>
      <c r="F1098" s="26"/>
      <c r="G1098" s="23"/>
      <c r="H1098" s="23"/>
      <c r="I1098" s="23"/>
      <c r="J1098" s="27">
        <f>IF($O1098="방문완료",MAX(0,IFERROR(VLOOKUP($E1098,설정_코스수당!$A$6:$H$10,4,FALSE),0)-IF(OR($P1098="",$P1098="없음"),0,100000)),0)</f>
        <v>0</v>
      </c>
      <c r="K1098" s="27">
        <f t="array" ref="K1098">IF($O1098="방문완료",IFERROR(INDEX(설정_코스수당!$B$15:$F$64,MATCH($G1098,설정_코스수당!$A$15:$A$64,0),MATCH($E1098&amp;"수당",설정_코스수당!$B$14:$F$14,0)),0),0)</f>
        <v>0</v>
      </c>
      <c r="L1098" s="27">
        <f t="array" ref="L1098">IF($O1098="방문완료",IF($H1098="",0,IFERROR(INDEX(설정_코스수당!$B$15:$F$64,MATCH($H1098,설정_코스수당!$A$15:$A$64,0),MATCH($E1098&amp;"수당",설정_코스수당!$B$14:$F$14,0)),0)),0)</f>
        <v>0</v>
      </c>
      <c r="M1098" s="27">
        <f>IF($O1098="방문완료",IFERROR(VLOOKUP($E1098,설정_코스수당!$A$6:$H$10,6,FALSE),0),0)</f>
        <v>0</v>
      </c>
      <c r="N1098" s="28">
        <f t="shared" si="31"/>
        <v>0</v>
      </c>
      <c r="O1098" s="23"/>
      <c r="P1098" s="23"/>
      <c r="Q1098" s="23"/>
      <c r="R1098" s="26"/>
      <c r="S1098" s="23"/>
    </row>
    <row r="1099" spans="1:19" ht="19.5" hidden="1" customHeight="1" outlineLevel="1">
      <c r="A1099" s="29">
        <v>56</v>
      </c>
      <c r="B1099" s="30">
        <f>IF(11&lt;=DAY(DATE(YEAR(설정_코스수당!$K$2),MONTH(설정_코스수당!$K$2)+1,0)),DATE(YEAR(설정_코스수당!$K$2),MONTH(설정_코스수당!$K$2),11),"")</f>
        <v>46184</v>
      </c>
      <c r="C1099" s="31"/>
      <c r="D1099" s="29"/>
      <c r="E1099" s="29"/>
      <c r="F1099" s="32"/>
      <c r="G1099" s="29"/>
      <c r="H1099" s="29"/>
      <c r="I1099" s="29"/>
      <c r="J1099" s="33">
        <f>IF($O1099="방문완료",MAX(0,IFERROR(VLOOKUP($E1099,설정_코스수당!$A$6:$H$10,4,FALSE),0)-IF(OR($P1099="",$P1099="없음"),0,100000)),0)</f>
        <v>0</v>
      </c>
      <c r="K1099" s="33">
        <f t="array" ref="K1099">IF($O1099="방문완료",IFERROR(INDEX(설정_코스수당!$B$15:$F$64,MATCH($G1099,설정_코스수당!$A$15:$A$64,0),MATCH($E1099&amp;"수당",설정_코스수당!$B$14:$F$14,0)),0),0)</f>
        <v>0</v>
      </c>
      <c r="L1099" s="33">
        <f t="array" ref="L1099">IF($O1099="방문완료",IF($H1099="",0,IFERROR(INDEX(설정_코스수당!$B$15:$F$64,MATCH($H1099,설정_코스수당!$A$15:$A$64,0),MATCH($E1099&amp;"수당",설정_코스수당!$B$14:$F$14,0)),0)),0)</f>
        <v>0</v>
      </c>
      <c r="M1099" s="33">
        <f>IF($O1099="방문완료",IFERROR(VLOOKUP($E1099,설정_코스수당!$A$6:$H$10,6,FALSE),0),0)</f>
        <v>0</v>
      </c>
      <c r="N1099" s="34">
        <f t="shared" si="31"/>
        <v>0</v>
      </c>
      <c r="O1099" s="29"/>
      <c r="P1099" s="29"/>
      <c r="Q1099" s="29"/>
      <c r="R1099" s="32"/>
      <c r="S1099" s="29"/>
    </row>
    <row r="1100" spans="1:19" ht="19.5" hidden="1" customHeight="1" outlineLevel="1">
      <c r="A1100" s="23">
        <v>57</v>
      </c>
      <c r="B1100" s="24">
        <f>IF(11&lt;=DAY(DATE(YEAR(설정_코스수당!$K$2),MONTH(설정_코스수당!$K$2)+1,0)),DATE(YEAR(설정_코스수당!$K$2),MONTH(설정_코스수당!$K$2),11),"")</f>
        <v>46184</v>
      </c>
      <c r="C1100" s="25"/>
      <c r="D1100" s="23"/>
      <c r="E1100" s="23"/>
      <c r="F1100" s="26"/>
      <c r="G1100" s="23"/>
      <c r="H1100" s="23"/>
      <c r="I1100" s="23"/>
      <c r="J1100" s="27">
        <f>IF($O1100="방문완료",MAX(0,IFERROR(VLOOKUP($E1100,설정_코스수당!$A$6:$H$10,4,FALSE),0)-IF(OR($P1100="",$P1100="없음"),0,100000)),0)</f>
        <v>0</v>
      </c>
      <c r="K1100" s="27">
        <f t="array" ref="K1100">IF($O1100="방문완료",IFERROR(INDEX(설정_코스수당!$B$15:$F$64,MATCH($G1100,설정_코스수당!$A$15:$A$64,0),MATCH($E1100&amp;"수당",설정_코스수당!$B$14:$F$14,0)),0),0)</f>
        <v>0</v>
      </c>
      <c r="L1100" s="27">
        <f t="array" ref="L1100">IF($O1100="방문완료",IF($H1100="",0,IFERROR(INDEX(설정_코스수당!$B$15:$F$64,MATCH($H1100,설정_코스수당!$A$15:$A$64,0),MATCH($E1100&amp;"수당",설정_코스수당!$B$14:$F$14,0)),0)),0)</f>
        <v>0</v>
      </c>
      <c r="M1100" s="27">
        <f>IF($O1100="방문완료",IFERROR(VLOOKUP($E1100,설정_코스수당!$A$6:$H$10,6,FALSE),0),0)</f>
        <v>0</v>
      </c>
      <c r="N1100" s="28">
        <f t="shared" si="31"/>
        <v>0</v>
      </c>
      <c r="O1100" s="23"/>
      <c r="P1100" s="23"/>
      <c r="Q1100" s="23"/>
      <c r="R1100" s="26"/>
      <c r="S1100" s="23"/>
    </row>
    <row r="1101" spans="1:19" ht="19.5" hidden="1" customHeight="1" outlineLevel="1">
      <c r="A1101" s="29">
        <v>58</v>
      </c>
      <c r="B1101" s="30">
        <f>IF(11&lt;=DAY(DATE(YEAR(설정_코스수당!$K$2),MONTH(설정_코스수당!$K$2)+1,0)),DATE(YEAR(설정_코스수당!$K$2),MONTH(설정_코스수당!$K$2),11),"")</f>
        <v>46184</v>
      </c>
      <c r="C1101" s="31"/>
      <c r="D1101" s="29"/>
      <c r="E1101" s="29"/>
      <c r="F1101" s="32"/>
      <c r="G1101" s="29"/>
      <c r="H1101" s="29"/>
      <c r="I1101" s="29"/>
      <c r="J1101" s="33">
        <f>IF($O1101="방문완료",MAX(0,IFERROR(VLOOKUP($E1101,설정_코스수당!$A$6:$H$10,4,FALSE),0)-IF(OR($P1101="",$P1101="없음"),0,100000)),0)</f>
        <v>0</v>
      </c>
      <c r="K1101" s="33">
        <f t="array" ref="K1101">IF($O1101="방문완료",IFERROR(INDEX(설정_코스수당!$B$15:$F$64,MATCH($G1101,설정_코스수당!$A$15:$A$64,0),MATCH($E1101&amp;"수당",설정_코스수당!$B$14:$F$14,0)),0),0)</f>
        <v>0</v>
      </c>
      <c r="L1101" s="33">
        <f t="array" ref="L1101">IF($O1101="방문완료",IF($H1101="",0,IFERROR(INDEX(설정_코스수당!$B$15:$F$64,MATCH($H1101,설정_코스수당!$A$15:$A$64,0),MATCH($E1101&amp;"수당",설정_코스수당!$B$14:$F$14,0)),0)),0)</f>
        <v>0</v>
      </c>
      <c r="M1101" s="33">
        <f>IF($O1101="방문완료",IFERROR(VLOOKUP($E1101,설정_코스수당!$A$6:$H$10,6,FALSE),0),0)</f>
        <v>0</v>
      </c>
      <c r="N1101" s="34">
        <f t="shared" si="31"/>
        <v>0</v>
      </c>
      <c r="O1101" s="29"/>
      <c r="P1101" s="29"/>
      <c r="Q1101" s="29"/>
      <c r="R1101" s="32"/>
      <c r="S1101" s="29"/>
    </row>
    <row r="1102" spans="1:19" ht="19.5" hidden="1" customHeight="1" outlineLevel="1">
      <c r="A1102" s="23">
        <v>59</v>
      </c>
      <c r="B1102" s="24">
        <f>IF(11&lt;=DAY(DATE(YEAR(설정_코스수당!$K$2),MONTH(설정_코스수당!$K$2)+1,0)),DATE(YEAR(설정_코스수당!$K$2),MONTH(설정_코스수당!$K$2),11),"")</f>
        <v>46184</v>
      </c>
      <c r="C1102" s="25"/>
      <c r="D1102" s="23"/>
      <c r="E1102" s="23"/>
      <c r="F1102" s="26"/>
      <c r="G1102" s="23"/>
      <c r="H1102" s="23"/>
      <c r="I1102" s="23"/>
      <c r="J1102" s="27">
        <f>IF($O1102="방문완료",MAX(0,IFERROR(VLOOKUP($E1102,설정_코스수당!$A$6:$H$10,4,FALSE),0)-IF(OR($P1102="",$P1102="없음"),0,100000)),0)</f>
        <v>0</v>
      </c>
      <c r="K1102" s="27">
        <f t="array" ref="K1102">IF($O1102="방문완료",IFERROR(INDEX(설정_코스수당!$B$15:$F$64,MATCH($G1102,설정_코스수당!$A$15:$A$64,0),MATCH($E1102&amp;"수당",설정_코스수당!$B$14:$F$14,0)),0),0)</f>
        <v>0</v>
      </c>
      <c r="L1102" s="27">
        <f t="array" ref="L1102">IF($O1102="방문완료",IF($H1102="",0,IFERROR(INDEX(설정_코스수당!$B$15:$F$64,MATCH($H1102,설정_코스수당!$A$15:$A$64,0),MATCH($E1102&amp;"수당",설정_코스수당!$B$14:$F$14,0)),0)),0)</f>
        <v>0</v>
      </c>
      <c r="M1102" s="27">
        <f>IF($O1102="방문완료",IFERROR(VLOOKUP($E1102,설정_코스수당!$A$6:$H$10,6,FALSE),0),0)</f>
        <v>0</v>
      </c>
      <c r="N1102" s="28">
        <f t="shared" si="31"/>
        <v>0</v>
      </c>
      <c r="O1102" s="23"/>
      <c r="P1102" s="23"/>
      <c r="Q1102" s="23"/>
      <c r="R1102" s="26"/>
      <c r="S1102" s="23"/>
    </row>
    <row r="1103" spans="1:19" ht="19.5" hidden="1" customHeight="1" outlineLevel="1">
      <c r="A1103" s="29">
        <v>60</v>
      </c>
      <c r="B1103" s="30">
        <f>IF(11&lt;=DAY(DATE(YEAR(설정_코스수당!$K$2),MONTH(설정_코스수당!$K$2)+1,0)),DATE(YEAR(설정_코스수당!$K$2),MONTH(설정_코스수당!$K$2),11),"")</f>
        <v>46184</v>
      </c>
      <c r="C1103" s="31"/>
      <c r="D1103" s="29"/>
      <c r="E1103" s="29"/>
      <c r="F1103" s="32"/>
      <c r="G1103" s="29"/>
      <c r="H1103" s="29"/>
      <c r="I1103" s="29"/>
      <c r="J1103" s="33">
        <f>IF($O1103="방문완료",MAX(0,IFERROR(VLOOKUP($E1103,설정_코스수당!$A$6:$H$10,4,FALSE),0)-IF(OR($P1103="",$P1103="없음"),0,100000)),0)</f>
        <v>0</v>
      </c>
      <c r="K1103" s="33">
        <f t="array" ref="K1103">IF($O1103="방문완료",IFERROR(INDEX(설정_코스수당!$B$15:$F$64,MATCH($G1103,설정_코스수당!$A$15:$A$64,0),MATCH($E1103&amp;"수당",설정_코스수당!$B$14:$F$14,0)),0),0)</f>
        <v>0</v>
      </c>
      <c r="L1103" s="33">
        <f t="array" ref="L1103">IF($O1103="방문완료",IF($H1103="",0,IFERROR(INDEX(설정_코스수당!$B$15:$F$64,MATCH($H1103,설정_코스수당!$A$15:$A$64,0),MATCH($E1103&amp;"수당",설정_코스수당!$B$14:$F$14,0)),0)),0)</f>
        <v>0</v>
      </c>
      <c r="M1103" s="33">
        <f>IF($O1103="방문완료",IFERROR(VLOOKUP($E1103,설정_코스수당!$A$6:$H$10,6,FALSE),0),0)</f>
        <v>0</v>
      </c>
      <c r="N1103" s="34">
        <f t="shared" si="31"/>
        <v>0</v>
      </c>
      <c r="O1103" s="29"/>
      <c r="P1103" s="29"/>
      <c r="Q1103" s="29"/>
      <c r="R1103" s="32"/>
      <c r="S1103" s="29"/>
    </row>
    <row r="1104" spans="1:19" ht="19.5" hidden="1" customHeight="1" outlineLevel="1">
      <c r="A1104" s="23">
        <v>61</v>
      </c>
      <c r="B1104" s="24">
        <f>IF(11&lt;=DAY(DATE(YEAR(설정_코스수당!$K$2),MONTH(설정_코스수당!$K$2)+1,0)),DATE(YEAR(설정_코스수당!$K$2),MONTH(설정_코스수당!$K$2),11),"")</f>
        <v>46184</v>
      </c>
      <c r="C1104" s="25"/>
      <c r="D1104" s="23"/>
      <c r="E1104" s="23"/>
      <c r="F1104" s="26"/>
      <c r="G1104" s="23"/>
      <c r="H1104" s="23"/>
      <c r="I1104" s="23"/>
      <c r="J1104" s="27">
        <f>IF($O1104="방문완료",MAX(0,IFERROR(VLOOKUP($E1104,설정_코스수당!$A$6:$H$10,4,FALSE),0)-IF(OR($P1104="",$P1104="없음"),0,100000)),0)</f>
        <v>0</v>
      </c>
      <c r="K1104" s="27">
        <f t="array" ref="K1104">IF($O1104="방문완료",IFERROR(INDEX(설정_코스수당!$B$15:$F$64,MATCH($G1104,설정_코스수당!$A$15:$A$64,0),MATCH($E1104&amp;"수당",설정_코스수당!$B$14:$F$14,0)),0),0)</f>
        <v>0</v>
      </c>
      <c r="L1104" s="27">
        <f t="array" ref="L1104">IF($O1104="방문완료",IF($H1104="",0,IFERROR(INDEX(설정_코스수당!$B$15:$F$64,MATCH($H1104,설정_코스수당!$A$15:$A$64,0),MATCH($E1104&amp;"수당",설정_코스수당!$B$14:$F$14,0)),0)),0)</f>
        <v>0</v>
      </c>
      <c r="M1104" s="27">
        <f>IF($O1104="방문완료",IFERROR(VLOOKUP($E1104,설정_코스수당!$A$6:$H$10,6,FALSE),0),0)</f>
        <v>0</v>
      </c>
      <c r="N1104" s="28">
        <f t="shared" si="31"/>
        <v>0</v>
      </c>
      <c r="O1104" s="23"/>
      <c r="P1104" s="23"/>
      <c r="Q1104" s="23"/>
      <c r="R1104" s="26"/>
      <c r="S1104" s="23"/>
    </row>
    <row r="1105" spans="1:22" ht="19.5" hidden="1" customHeight="1" outlineLevel="1">
      <c r="A1105" s="29">
        <v>62</v>
      </c>
      <c r="B1105" s="30">
        <f>IF(11&lt;=DAY(DATE(YEAR(설정_코스수당!$K$2),MONTH(설정_코스수당!$K$2)+1,0)),DATE(YEAR(설정_코스수당!$K$2),MONTH(설정_코스수당!$K$2),11),"")</f>
        <v>46184</v>
      </c>
      <c r="C1105" s="31"/>
      <c r="D1105" s="29"/>
      <c r="E1105" s="29"/>
      <c r="F1105" s="32"/>
      <c r="G1105" s="29"/>
      <c r="H1105" s="29"/>
      <c r="I1105" s="29"/>
      <c r="J1105" s="33">
        <f>IF($O1105="방문완료",MAX(0,IFERROR(VLOOKUP($E1105,설정_코스수당!$A$6:$H$10,4,FALSE),0)-IF(OR($P1105="",$P1105="없음"),0,100000)),0)</f>
        <v>0</v>
      </c>
      <c r="K1105" s="33">
        <f t="array" ref="K1105">IF($O1105="방문완료",IFERROR(INDEX(설정_코스수당!$B$15:$F$64,MATCH($G1105,설정_코스수당!$A$15:$A$64,0),MATCH($E1105&amp;"수당",설정_코스수당!$B$14:$F$14,0)),0),0)</f>
        <v>0</v>
      </c>
      <c r="L1105" s="33">
        <f t="array" ref="L1105">IF($O1105="방문완료",IF($H1105="",0,IFERROR(INDEX(설정_코스수당!$B$15:$F$64,MATCH($H1105,설정_코스수당!$A$15:$A$64,0),MATCH($E1105&amp;"수당",설정_코스수당!$B$14:$F$14,0)),0)),0)</f>
        <v>0</v>
      </c>
      <c r="M1105" s="33">
        <f>IF($O1105="방문완료",IFERROR(VLOOKUP($E1105,설정_코스수당!$A$6:$H$10,6,FALSE),0),0)</f>
        <v>0</v>
      </c>
      <c r="N1105" s="34">
        <f t="shared" si="31"/>
        <v>0</v>
      </c>
      <c r="O1105" s="29"/>
      <c r="P1105" s="29"/>
      <c r="Q1105" s="29"/>
      <c r="R1105" s="32"/>
      <c r="S1105" s="29"/>
    </row>
    <row r="1106" spans="1:22" ht="19.5" hidden="1" customHeight="1" outlineLevel="1">
      <c r="A1106" s="23">
        <v>63</v>
      </c>
      <c r="B1106" s="24">
        <f>IF(11&lt;=DAY(DATE(YEAR(설정_코스수당!$K$2),MONTH(설정_코스수당!$K$2)+1,0)),DATE(YEAR(설정_코스수당!$K$2),MONTH(설정_코스수당!$K$2),11),"")</f>
        <v>46184</v>
      </c>
      <c r="C1106" s="25"/>
      <c r="D1106" s="23"/>
      <c r="E1106" s="23"/>
      <c r="F1106" s="26"/>
      <c r="G1106" s="23"/>
      <c r="H1106" s="23"/>
      <c r="I1106" s="23"/>
      <c r="J1106" s="27">
        <f>IF($O1106="방문완료",MAX(0,IFERROR(VLOOKUP($E1106,설정_코스수당!$A$6:$H$10,4,FALSE),0)-IF(OR($P1106="",$P1106="없음"),0,100000)),0)</f>
        <v>0</v>
      </c>
      <c r="K1106" s="27">
        <f t="array" ref="K1106">IF($O1106="방문완료",IFERROR(INDEX(설정_코스수당!$B$15:$F$64,MATCH($G1106,설정_코스수당!$A$15:$A$64,0),MATCH($E1106&amp;"수당",설정_코스수당!$B$14:$F$14,0)),0),0)</f>
        <v>0</v>
      </c>
      <c r="L1106" s="27">
        <f t="array" ref="L1106">IF($O1106="방문완료",IF($H1106="",0,IFERROR(INDEX(설정_코스수당!$B$15:$F$64,MATCH($H1106,설정_코스수당!$A$15:$A$64,0),MATCH($E1106&amp;"수당",설정_코스수당!$B$14:$F$14,0)),0)),0)</f>
        <v>0</v>
      </c>
      <c r="M1106" s="27">
        <f>IF($O1106="방문완료",IFERROR(VLOOKUP($E1106,설정_코스수당!$A$6:$H$10,6,FALSE),0),0)</f>
        <v>0</v>
      </c>
      <c r="N1106" s="28">
        <f t="shared" si="31"/>
        <v>0</v>
      </c>
      <c r="O1106" s="23"/>
      <c r="P1106" s="23"/>
      <c r="Q1106" s="23"/>
      <c r="R1106" s="26"/>
      <c r="S1106" s="23"/>
    </row>
    <row r="1107" spans="1:22" ht="19.5" hidden="1" customHeight="1" outlineLevel="1">
      <c r="A1107" s="29">
        <v>64</v>
      </c>
      <c r="B1107" s="30">
        <f>IF(11&lt;=DAY(DATE(YEAR(설정_코스수당!$K$2),MONTH(설정_코스수당!$K$2)+1,0)),DATE(YEAR(설정_코스수당!$K$2),MONTH(설정_코스수당!$K$2),11),"")</f>
        <v>46184</v>
      </c>
      <c r="C1107" s="31"/>
      <c r="D1107" s="29"/>
      <c r="E1107" s="29"/>
      <c r="F1107" s="32"/>
      <c r="G1107" s="29"/>
      <c r="H1107" s="29"/>
      <c r="I1107" s="29"/>
      <c r="J1107" s="33">
        <f>IF($O1107="방문완료",MAX(0,IFERROR(VLOOKUP($E1107,설정_코스수당!$A$6:$H$10,4,FALSE),0)-IF(OR($P1107="",$P1107="없음"),0,100000)),0)</f>
        <v>0</v>
      </c>
      <c r="K1107" s="33">
        <f t="array" ref="K1107">IF($O1107="방문완료",IFERROR(INDEX(설정_코스수당!$B$15:$F$64,MATCH($G1107,설정_코스수당!$A$15:$A$64,0),MATCH($E1107&amp;"수당",설정_코스수당!$B$14:$F$14,0)),0),0)</f>
        <v>0</v>
      </c>
      <c r="L1107" s="33">
        <f t="array" ref="L1107">IF($O1107="방문완료",IF($H1107="",0,IFERROR(INDEX(설정_코스수당!$B$15:$F$64,MATCH($H1107,설정_코스수당!$A$15:$A$64,0),MATCH($E1107&amp;"수당",설정_코스수당!$B$14:$F$14,0)),0)),0)</f>
        <v>0</v>
      </c>
      <c r="M1107" s="33">
        <f>IF($O1107="방문완료",IFERROR(VLOOKUP($E1107,설정_코스수당!$A$6:$H$10,6,FALSE),0),0)</f>
        <v>0</v>
      </c>
      <c r="N1107" s="34">
        <f t="shared" si="31"/>
        <v>0</v>
      </c>
      <c r="O1107" s="29"/>
      <c r="P1107" s="29"/>
      <c r="Q1107" s="29"/>
      <c r="R1107" s="32"/>
      <c r="S1107" s="29"/>
    </row>
    <row r="1108" spans="1:22" ht="19.5" hidden="1" customHeight="1" outlineLevel="1">
      <c r="A1108" s="23">
        <v>65</v>
      </c>
      <c r="B1108" s="24">
        <f>IF(11&lt;=DAY(DATE(YEAR(설정_코스수당!$K$2),MONTH(설정_코스수당!$K$2)+1,0)),DATE(YEAR(설정_코스수당!$K$2),MONTH(설정_코스수당!$K$2),11),"")</f>
        <v>46184</v>
      </c>
      <c r="C1108" s="25"/>
      <c r="D1108" s="23"/>
      <c r="E1108" s="23"/>
      <c r="F1108" s="26"/>
      <c r="G1108" s="23"/>
      <c r="H1108" s="23"/>
      <c r="I1108" s="23"/>
      <c r="J1108" s="27">
        <f>IF($O1108="방문완료",MAX(0,IFERROR(VLOOKUP($E1108,설정_코스수당!$A$6:$H$10,4,FALSE),0)-IF(OR($P1108="",$P1108="없음"),0,100000)),0)</f>
        <v>0</v>
      </c>
      <c r="K1108" s="27">
        <f t="array" ref="K1108">IF($O1108="방문완료",IFERROR(INDEX(설정_코스수당!$B$15:$F$64,MATCH($G1108,설정_코스수당!$A$15:$A$64,0),MATCH($E1108&amp;"수당",설정_코스수당!$B$14:$F$14,0)),0),0)</f>
        <v>0</v>
      </c>
      <c r="L1108" s="27">
        <f t="array" ref="L1108">IF($O1108="방문완료",IF($H1108="",0,IFERROR(INDEX(설정_코스수당!$B$15:$F$64,MATCH($H1108,설정_코스수당!$A$15:$A$64,0),MATCH($E1108&amp;"수당",설정_코스수당!$B$14:$F$14,0)),0)),0)</f>
        <v>0</v>
      </c>
      <c r="M1108" s="27">
        <f>IF($O1108="방문완료",IFERROR(VLOOKUP($E1108,설정_코스수당!$A$6:$H$10,6,FALSE),0),0)</f>
        <v>0</v>
      </c>
      <c r="N1108" s="28">
        <f t="shared" ref="N1108:N1143" si="32">IF($O1108="방문완료",1,0)</f>
        <v>0</v>
      </c>
      <c r="O1108" s="23"/>
      <c r="P1108" s="23"/>
      <c r="Q1108" s="23"/>
      <c r="R1108" s="26"/>
      <c r="S1108" s="23"/>
    </row>
    <row r="1109" spans="1:22" ht="19.5" hidden="1" customHeight="1" outlineLevel="1">
      <c r="A1109" s="29">
        <v>66</v>
      </c>
      <c r="B1109" s="30">
        <f>IF(11&lt;=DAY(DATE(YEAR(설정_코스수당!$K$2),MONTH(설정_코스수당!$K$2)+1,0)),DATE(YEAR(설정_코스수당!$K$2),MONTH(설정_코스수당!$K$2),11),"")</f>
        <v>46184</v>
      </c>
      <c r="C1109" s="31"/>
      <c r="D1109" s="29"/>
      <c r="E1109" s="29"/>
      <c r="F1109" s="32"/>
      <c r="G1109" s="29"/>
      <c r="H1109" s="29"/>
      <c r="I1109" s="29"/>
      <c r="J1109" s="33">
        <f>IF($O1109="방문완료",MAX(0,IFERROR(VLOOKUP($E1109,설정_코스수당!$A$6:$H$10,4,FALSE),0)-IF(OR($P1109="",$P1109="없음"),0,100000)),0)</f>
        <v>0</v>
      </c>
      <c r="K1109" s="33">
        <f t="array" ref="K1109">IF($O1109="방문완료",IFERROR(INDEX(설정_코스수당!$B$15:$F$64,MATCH($G1109,설정_코스수당!$A$15:$A$64,0),MATCH($E1109&amp;"수당",설정_코스수당!$B$14:$F$14,0)),0),0)</f>
        <v>0</v>
      </c>
      <c r="L1109" s="33">
        <f t="array" ref="L1109">IF($O1109="방문완료",IF($H1109="",0,IFERROR(INDEX(설정_코스수당!$B$15:$F$64,MATCH($H1109,설정_코스수당!$A$15:$A$64,0),MATCH($E1109&amp;"수당",설정_코스수당!$B$14:$F$14,0)),0)),0)</f>
        <v>0</v>
      </c>
      <c r="M1109" s="33">
        <f>IF($O1109="방문완료",IFERROR(VLOOKUP($E1109,설정_코스수당!$A$6:$H$10,6,FALSE),0),0)</f>
        <v>0</v>
      </c>
      <c r="N1109" s="34">
        <f t="shared" si="32"/>
        <v>0</v>
      </c>
      <c r="O1109" s="29"/>
      <c r="P1109" s="29"/>
      <c r="Q1109" s="29"/>
      <c r="R1109" s="32"/>
      <c r="S1109" s="29"/>
    </row>
    <row r="1110" spans="1:22" ht="19.5" hidden="1" customHeight="1" outlineLevel="1">
      <c r="A1110" s="23">
        <v>67</v>
      </c>
      <c r="B1110" s="24">
        <f>IF(11&lt;=DAY(DATE(YEAR(설정_코스수당!$K$2),MONTH(설정_코스수당!$K$2)+1,0)),DATE(YEAR(설정_코스수당!$K$2),MONTH(설정_코스수당!$K$2),11),"")</f>
        <v>46184</v>
      </c>
      <c r="C1110" s="25"/>
      <c r="D1110" s="23"/>
      <c r="E1110" s="23"/>
      <c r="F1110" s="26"/>
      <c r="G1110" s="23"/>
      <c r="H1110" s="23"/>
      <c r="I1110" s="23"/>
      <c r="J1110" s="27">
        <f>IF($O1110="방문완료",MAX(0,IFERROR(VLOOKUP($E1110,설정_코스수당!$A$6:$H$10,4,FALSE),0)-IF(OR($P1110="",$P1110="없음"),0,100000)),0)</f>
        <v>0</v>
      </c>
      <c r="K1110" s="27">
        <f t="array" ref="K1110">IF($O1110="방문완료",IFERROR(INDEX(설정_코스수당!$B$15:$F$64,MATCH($G1110,설정_코스수당!$A$15:$A$64,0),MATCH($E1110&amp;"수당",설정_코스수당!$B$14:$F$14,0)),0),0)</f>
        <v>0</v>
      </c>
      <c r="L1110" s="27">
        <f t="array" ref="L1110">IF($O1110="방문완료",IF($H1110="",0,IFERROR(INDEX(설정_코스수당!$B$15:$F$64,MATCH($H1110,설정_코스수당!$A$15:$A$64,0),MATCH($E1110&amp;"수당",설정_코스수당!$B$14:$F$14,0)),0)),0)</f>
        <v>0</v>
      </c>
      <c r="M1110" s="27">
        <f>IF($O1110="방문완료",IFERROR(VLOOKUP($E1110,설정_코스수당!$A$6:$H$10,6,FALSE),0),0)</f>
        <v>0</v>
      </c>
      <c r="N1110" s="28">
        <f t="shared" si="32"/>
        <v>0</v>
      </c>
      <c r="O1110" s="23"/>
      <c r="P1110" s="23"/>
      <c r="Q1110" s="23"/>
      <c r="R1110" s="26"/>
      <c r="S1110" s="23"/>
    </row>
    <row r="1111" spans="1:22" ht="19.5" hidden="1" customHeight="1" outlineLevel="1">
      <c r="A1111" s="29">
        <v>68</v>
      </c>
      <c r="B1111" s="30">
        <f>IF(11&lt;=DAY(DATE(YEAR(설정_코스수당!$K$2),MONTH(설정_코스수당!$K$2)+1,0)),DATE(YEAR(설정_코스수당!$K$2),MONTH(설정_코스수당!$K$2),11),"")</f>
        <v>46184</v>
      </c>
      <c r="C1111" s="31"/>
      <c r="D1111" s="29"/>
      <c r="E1111" s="29"/>
      <c r="F1111" s="32"/>
      <c r="G1111" s="29"/>
      <c r="H1111" s="29"/>
      <c r="I1111" s="29"/>
      <c r="J1111" s="33">
        <f>IF($O1111="방문완료",MAX(0,IFERROR(VLOOKUP($E1111,설정_코스수당!$A$6:$H$10,4,FALSE),0)-IF(OR($P1111="",$P1111="없음"),0,100000)),0)</f>
        <v>0</v>
      </c>
      <c r="K1111" s="33">
        <f t="array" ref="K1111">IF($O1111="방문완료",IFERROR(INDEX(설정_코스수당!$B$15:$F$64,MATCH($G1111,설정_코스수당!$A$15:$A$64,0),MATCH($E1111&amp;"수당",설정_코스수당!$B$14:$F$14,0)),0),0)</f>
        <v>0</v>
      </c>
      <c r="L1111" s="33">
        <f t="array" ref="L1111">IF($O1111="방문완료",IF($H1111="",0,IFERROR(INDEX(설정_코스수당!$B$15:$F$64,MATCH($H1111,설정_코스수당!$A$15:$A$64,0),MATCH($E1111&amp;"수당",설정_코스수당!$B$14:$F$14,0)),0)),0)</f>
        <v>0</v>
      </c>
      <c r="M1111" s="33">
        <f>IF($O1111="방문완료",IFERROR(VLOOKUP($E1111,설정_코스수당!$A$6:$H$10,6,FALSE),0),0)</f>
        <v>0</v>
      </c>
      <c r="N1111" s="34">
        <f t="shared" si="32"/>
        <v>0</v>
      </c>
      <c r="O1111" s="29"/>
      <c r="P1111" s="29"/>
      <c r="Q1111" s="29"/>
      <c r="R1111" s="32"/>
      <c r="S1111" s="29"/>
    </row>
    <row r="1112" spans="1:22" ht="19.5" hidden="1" customHeight="1" outlineLevel="1">
      <c r="A1112" s="23">
        <v>69</v>
      </c>
      <c r="B1112" s="24">
        <f>IF(11&lt;=DAY(DATE(YEAR(설정_코스수당!$K$2),MONTH(설정_코스수당!$K$2)+1,0)),DATE(YEAR(설정_코스수당!$K$2),MONTH(설정_코스수당!$K$2),11),"")</f>
        <v>46184</v>
      </c>
      <c r="C1112" s="25"/>
      <c r="D1112" s="23"/>
      <c r="E1112" s="23"/>
      <c r="F1112" s="26"/>
      <c r="G1112" s="23"/>
      <c r="H1112" s="23"/>
      <c r="I1112" s="23"/>
      <c r="J1112" s="27">
        <f>IF($O1112="방문완료",MAX(0,IFERROR(VLOOKUP($E1112,설정_코스수당!$A$6:$H$10,4,FALSE),0)-IF(OR($P1112="",$P1112="없음"),0,100000)),0)</f>
        <v>0</v>
      </c>
      <c r="K1112" s="27">
        <f t="array" ref="K1112">IF($O1112="방문완료",IFERROR(INDEX(설정_코스수당!$B$15:$F$64,MATCH($G1112,설정_코스수당!$A$15:$A$64,0),MATCH($E1112&amp;"수당",설정_코스수당!$B$14:$F$14,0)),0),0)</f>
        <v>0</v>
      </c>
      <c r="L1112" s="27">
        <f t="array" ref="L1112">IF($O1112="방문완료",IF($H1112="",0,IFERROR(INDEX(설정_코스수당!$B$15:$F$64,MATCH($H1112,설정_코스수당!$A$15:$A$64,0),MATCH($E1112&amp;"수당",설정_코스수당!$B$14:$F$14,0)),0)),0)</f>
        <v>0</v>
      </c>
      <c r="M1112" s="27">
        <f>IF($O1112="방문완료",IFERROR(VLOOKUP($E1112,설정_코스수당!$A$6:$H$10,6,FALSE),0),0)</f>
        <v>0</v>
      </c>
      <c r="N1112" s="28">
        <f t="shared" si="32"/>
        <v>0</v>
      </c>
      <c r="O1112" s="23"/>
      <c r="P1112" s="23"/>
      <c r="Q1112" s="23"/>
      <c r="R1112" s="26"/>
      <c r="S1112" s="23"/>
    </row>
    <row r="1113" spans="1:22" ht="19.5" hidden="1" customHeight="1" outlineLevel="1">
      <c r="A1113" s="29">
        <v>70</v>
      </c>
      <c r="B1113" s="30">
        <f>IF(11&lt;=DAY(DATE(YEAR(설정_코스수당!$K$2),MONTH(설정_코스수당!$K$2)+1,0)),DATE(YEAR(설정_코스수당!$K$2),MONTH(설정_코스수당!$K$2),11),"")</f>
        <v>46184</v>
      </c>
      <c r="C1113" s="31"/>
      <c r="D1113" s="29"/>
      <c r="E1113" s="29"/>
      <c r="F1113" s="32"/>
      <c r="G1113" s="29"/>
      <c r="H1113" s="29"/>
      <c r="I1113" s="29"/>
      <c r="J1113" s="33">
        <f>IF($O1113="방문완료",MAX(0,IFERROR(VLOOKUP($E1113,설정_코스수당!$A$6:$H$10,4,FALSE),0)-IF(OR($P1113="",$P1113="없음"),0,100000)),0)</f>
        <v>0</v>
      </c>
      <c r="K1113" s="33">
        <f t="array" ref="K1113">IF($O1113="방문완료",IFERROR(INDEX(설정_코스수당!$B$15:$F$64,MATCH($G1113,설정_코스수당!$A$15:$A$64,0),MATCH($E1113&amp;"수당",설정_코스수당!$B$14:$F$14,0)),0),0)</f>
        <v>0</v>
      </c>
      <c r="L1113" s="33">
        <f t="array" ref="L1113">IF($O1113="방문완료",IF($H1113="",0,IFERROR(INDEX(설정_코스수당!$B$15:$F$64,MATCH($H1113,설정_코스수당!$A$15:$A$64,0),MATCH($E1113&amp;"수당",설정_코스수당!$B$14:$F$14,0)),0)),0)</f>
        <v>0</v>
      </c>
      <c r="M1113" s="33">
        <f>IF($O1113="방문완료",IFERROR(VLOOKUP($E1113,설정_코스수당!$A$6:$H$10,6,FALSE),0),0)</f>
        <v>0</v>
      </c>
      <c r="N1113" s="34">
        <f t="shared" si="32"/>
        <v>0</v>
      </c>
      <c r="O1113" s="29"/>
      <c r="P1113" s="29"/>
      <c r="Q1113" s="29"/>
      <c r="R1113" s="32"/>
      <c r="S1113" s="29"/>
    </row>
    <row r="1114" spans="1:22" ht="19.5" hidden="1" customHeight="1" outlineLevel="1">
      <c r="A1114" s="23">
        <v>71</v>
      </c>
      <c r="B1114" s="24">
        <f>IF(11&lt;=DAY(DATE(YEAR(설정_코스수당!$K$2),MONTH(설정_코스수당!$K$2)+1,0)),DATE(YEAR(설정_코스수당!$K$2),MONTH(설정_코스수당!$K$2),11),"")</f>
        <v>46184</v>
      </c>
      <c r="C1114" s="25"/>
      <c r="D1114" s="23"/>
      <c r="E1114" s="23"/>
      <c r="F1114" s="26"/>
      <c r="G1114" s="23"/>
      <c r="H1114" s="23"/>
      <c r="I1114" s="23"/>
      <c r="J1114" s="27">
        <f>IF($O1114="방문완료",MAX(0,IFERROR(VLOOKUP($E1114,설정_코스수당!$A$6:$H$10,4,FALSE),0)-IF(OR($P1114="",$P1114="없음"),0,100000)),0)</f>
        <v>0</v>
      </c>
      <c r="K1114" s="27">
        <f t="array" ref="K1114">IF($O1114="방문완료",IFERROR(INDEX(설정_코스수당!$B$15:$F$64,MATCH($G1114,설정_코스수당!$A$15:$A$64,0),MATCH($E1114&amp;"수당",설정_코스수당!$B$14:$F$14,0)),0),0)</f>
        <v>0</v>
      </c>
      <c r="L1114" s="27">
        <f t="array" ref="L1114">IF($O1114="방문완료",IF($H1114="",0,IFERROR(INDEX(설정_코스수당!$B$15:$F$64,MATCH($H1114,설정_코스수당!$A$15:$A$64,0),MATCH($E1114&amp;"수당",설정_코스수당!$B$14:$F$14,0)),0)),0)</f>
        <v>0</v>
      </c>
      <c r="M1114" s="27">
        <f>IF($O1114="방문완료",IFERROR(VLOOKUP($E1114,설정_코스수당!$A$6:$H$10,6,FALSE),0),0)</f>
        <v>0</v>
      </c>
      <c r="N1114" s="28">
        <f t="shared" si="32"/>
        <v>0</v>
      </c>
      <c r="O1114" s="23"/>
      <c r="P1114" s="23"/>
      <c r="Q1114" s="23"/>
      <c r="R1114" s="26"/>
      <c r="S1114" s="23"/>
    </row>
    <row r="1115" spans="1:22" ht="19.5" hidden="1" customHeight="1" outlineLevel="1">
      <c r="A1115" s="29">
        <v>72</v>
      </c>
      <c r="B1115" s="30">
        <f>IF(11&lt;=DAY(DATE(YEAR(설정_코스수당!$K$2),MONTH(설정_코스수당!$K$2)+1,0)),DATE(YEAR(설정_코스수당!$K$2),MONTH(설정_코스수당!$K$2),11),"")</f>
        <v>46184</v>
      </c>
      <c r="C1115" s="31"/>
      <c r="D1115" s="29"/>
      <c r="E1115" s="29"/>
      <c r="F1115" s="32"/>
      <c r="G1115" s="29"/>
      <c r="H1115" s="29"/>
      <c r="I1115" s="29"/>
      <c r="J1115" s="33">
        <f>IF($O1115="방문완료",MAX(0,IFERROR(VLOOKUP($E1115,설정_코스수당!$A$6:$H$10,4,FALSE),0)-IF(OR($P1115="",$P1115="없음"),0,100000)),0)</f>
        <v>0</v>
      </c>
      <c r="K1115" s="33">
        <f t="array" ref="K1115">IF($O1115="방문완료",IFERROR(INDEX(설정_코스수당!$B$15:$F$64,MATCH($G1115,설정_코스수당!$A$15:$A$64,0),MATCH($E1115&amp;"수당",설정_코스수당!$B$14:$F$14,0)),0),0)</f>
        <v>0</v>
      </c>
      <c r="L1115" s="33">
        <f t="array" ref="L1115">IF($O1115="방문완료",IF($H1115="",0,IFERROR(INDEX(설정_코스수당!$B$15:$F$64,MATCH($H1115,설정_코스수당!$A$15:$A$64,0),MATCH($E1115&amp;"수당",설정_코스수당!$B$14:$F$14,0)),0)),0)</f>
        <v>0</v>
      </c>
      <c r="M1115" s="33">
        <f>IF($O1115="방문완료",IFERROR(VLOOKUP($E1115,설정_코스수당!$A$6:$H$10,6,FALSE),0),0)</f>
        <v>0</v>
      </c>
      <c r="N1115" s="34">
        <f t="shared" si="32"/>
        <v>0</v>
      </c>
      <c r="O1115" s="29"/>
      <c r="P1115" s="29"/>
      <c r="Q1115" s="29"/>
      <c r="R1115" s="32"/>
      <c r="S1115" s="29"/>
    </row>
    <row r="1116" spans="1:22" ht="19.5" hidden="1" customHeight="1" outlineLevel="1">
      <c r="A1116" s="23">
        <v>73</v>
      </c>
      <c r="B1116" s="24">
        <f>IF(11&lt;=DAY(DATE(YEAR(설정_코스수당!$K$2),MONTH(설정_코스수당!$K$2)+1,0)),DATE(YEAR(설정_코스수당!$K$2),MONTH(설정_코스수당!$K$2),11),"")</f>
        <v>46184</v>
      </c>
      <c r="C1116" s="25"/>
      <c r="D1116" s="23"/>
      <c r="E1116" s="23"/>
      <c r="F1116" s="26"/>
      <c r="G1116" s="23"/>
      <c r="H1116" s="23"/>
      <c r="I1116" s="23"/>
      <c r="J1116" s="27">
        <f>IF($O1116="방문완료",MAX(0,IFERROR(VLOOKUP($E1116,설정_코스수당!$A$6:$H$10,4,FALSE),0)-IF(OR($P1116="",$P1116="없음"),0,100000)),0)</f>
        <v>0</v>
      </c>
      <c r="K1116" s="27">
        <f t="array" ref="K1116">IF($O1116="방문완료",IFERROR(INDEX(설정_코스수당!$B$15:$F$64,MATCH($G1116,설정_코스수당!$A$15:$A$64,0),MATCH($E1116&amp;"수당",설정_코스수당!$B$14:$F$14,0)),0),0)</f>
        <v>0</v>
      </c>
      <c r="L1116" s="27">
        <f t="array" ref="L1116">IF($O1116="방문완료",IF($H1116="",0,IFERROR(INDEX(설정_코스수당!$B$15:$F$64,MATCH($H1116,설정_코스수당!$A$15:$A$64,0),MATCH($E1116&amp;"수당",설정_코스수당!$B$14:$F$14,0)),0)),0)</f>
        <v>0</v>
      </c>
      <c r="M1116" s="27">
        <f>IF($O1116="방문완료",IFERROR(VLOOKUP($E1116,설정_코스수당!$A$6:$H$10,6,FALSE),0),0)</f>
        <v>0</v>
      </c>
      <c r="N1116" s="28">
        <f t="shared" si="32"/>
        <v>0</v>
      </c>
      <c r="O1116" s="23"/>
      <c r="P1116" s="23"/>
      <c r="Q1116" s="23"/>
      <c r="R1116" s="26"/>
      <c r="S1116" s="23"/>
    </row>
    <row r="1117" spans="1:22" ht="19.5" hidden="1" customHeight="1" outlineLevel="1">
      <c r="A1117" s="29">
        <v>74</v>
      </c>
      <c r="B1117" s="30">
        <f>IF(11&lt;=DAY(DATE(YEAR(설정_코스수당!$K$2),MONTH(설정_코스수당!$K$2)+1,0)),DATE(YEAR(설정_코스수당!$K$2),MONTH(설정_코스수당!$K$2),11),"")</f>
        <v>46184</v>
      </c>
      <c r="C1117" s="31"/>
      <c r="D1117" s="29"/>
      <c r="E1117" s="29"/>
      <c r="F1117" s="32"/>
      <c r="G1117" s="29"/>
      <c r="H1117" s="29"/>
      <c r="I1117" s="29"/>
      <c r="J1117" s="33">
        <f>IF($O1117="방문완료",MAX(0,IFERROR(VLOOKUP($E1117,설정_코스수당!$A$6:$H$10,4,FALSE),0)-IF(OR($P1117="",$P1117="없음"),0,100000)),0)</f>
        <v>0</v>
      </c>
      <c r="K1117" s="33">
        <f t="array" ref="K1117">IF($O1117="방문완료",IFERROR(INDEX(설정_코스수당!$B$15:$F$64,MATCH($G1117,설정_코스수당!$A$15:$A$64,0),MATCH($E1117&amp;"수당",설정_코스수당!$B$14:$F$14,0)),0),0)</f>
        <v>0</v>
      </c>
      <c r="L1117" s="33">
        <f t="array" ref="L1117">IF($O1117="방문완료",IF($H1117="",0,IFERROR(INDEX(설정_코스수당!$B$15:$F$64,MATCH($H1117,설정_코스수당!$A$15:$A$64,0),MATCH($E1117&amp;"수당",설정_코스수당!$B$14:$F$14,0)),0)),0)</f>
        <v>0</v>
      </c>
      <c r="M1117" s="33">
        <f>IF($O1117="방문완료",IFERROR(VLOOKUP($E1117,설정_코스수당!$A$6:$H$10,6,FALSE),0),0)</f>
        <v>0</v>
      </c>
      <c r="N1117" s="34">
        <f t="shared" si="32"/>
        <v>0</v>
      </c>
      <c r="O1117" s="29"/>
      <c r="P1117" s="29"/>
      <c r="Q1117" s="29"/>
      <c r="R1117" s="32"/>
      <c r="S1117" s="29"/>
    </row>
    <row r="1118" spans="1:22" ht="19.5" hidden="1" customHeight="1" outlineLevel="1">
      <c r="A1118" s="23">
        <v>75</v>
      </c>
      <c r="B1118" s="24">
        <f>IF(11&lt;=DAY(DATE(YEAR(설정_코스수당!$K$2),MONTH(설정_코스수당!$K$2)+1,0)),DATE(YEAR(설정_코스수당!$K$2),MONTH(설정_코스수당!$K$2),11),"")</f>
        <v>46184</v>
      </c>
      <c r="C1118" s="25"/>
      <c r="D1118" s="23"/>
      <c r="E1118" s="23"/>
      <c r="F1118" s="26"/>
      <c r="G1118" s="23"/>
      <c r="H1118" s="23"/>
      <c r="I1118" s="23"/>
      <c r="J1118" s="27">
        <f>IF($O1118="방문완료",MAX(0,IFERROR(VLOOKUP($E1118,설정_코스수당!$A$6:$H$10,4,FALSE),0)-IF(OR($P1118="",$P1118="없음"),0,100000)),0)</f>
        <v>0</v>
      </c>
      <c r="K1118" s="27">
        <f t="array" ref="K1118">IF($O1118="방문완료",IFERROR(INDEX(설정_코스수당!$B$15:$F$64,MATCH($G1118,설정_코스수당!$A$15:$A$64,0),MATCH($E1118&amp;"수당",설정_코스수당!$B$14:$F$14,0)),0),0)</f>
        <v>0</v>
      </c>
      <c r="L1118" s="27">
        <f t="array" ref="L1118">IF($O1118="방문완료",IF($H1118="",0,IFERROR(INDEX(설정_코스수당!$B$15:$F$64,MATCH($H1118,설정_코스수당!$A$15:$A$64,0),MATCH($E1118&amp;"수당",설정_코스수당!$B$14:$F$14,0)),0)),0)</f>
        <v>0</v>
      </c>
      <c r="M1118" s="27">
        <f>IF($O1118="방문완료",IFERROR(VLOOKUP($E1118,설정_코스수당!$A$6:$H$10,6,FALSE),0),0)</f>
        <v>0</v>
      </c>
      <c r="N1118" s="28">
        <f t="shared" si="32"/>
        <v>0</v>
      </c>
      <c r="O1118" s="23"/>
      <c r="P1118" s="23"/>
      <c r="Q1118" s="23"/>
      <c r="R1118" s="26"/>
      <c r="S1118" s="23"/>
    </row>
    <row r="1119" spans="1:22" ht="19.5" hidden="1" customHeight="1" outlineLevel="1">
      <c r="A1119" s="29">
        <v>76</v>
      </c>
      <c r="B1119" s="30">
        <f>IF(11&lt;=DAY(DATE(YEAR(설정_코스수당!$K$2),MONTH(설정_코스수당!$K$2)+1,0)),DATE(YEAR(설정_코스수당!$K$2),MONTH(설정_코스수당!$K$2),11),"")</f>
        <v>46184</v>
      </c>
      <c r="C1119" s="31"/>
      <c r="D1119" s="29"/>
      <c r="E1119" s="29"/>
      <c r="F1119" s="32"/>
      <c r="G1119" s="29"/>
      <c r="H1119" s="29"/>
      <c r="I1119" s="29"/>
      <c r="J1119" s="33">
        <f>IF($O1119="방문완료",MAX(0,IFERROR(VLOOKUP($E1119,설정_코스수당!$A$6:$H$10,4,FALSE),0)-IF(OR($P1119="",$P1119="없음"),0,100000)),0)</f>
        <v>0</v>
      </c>
      <c r="K1119" s="33">
        <f t="array" ref="K1119">IF($O1119="방문완료",IFERROR(INDEX(설정_코스수당!$B$15:$F$64,MATCH($G1119,설정_코스수당!$A$15:$A$64,0),MATCH($E1119&amp;"수당",설정_코스수당!$B$14:$F$14,0)),0),0)</f>
        <v>0</v>
      </c>
      <c r="L1119" s="33">
        <f t="array" ref="L1119">IF($O1119="방문완료",IF($H1119="",0,IFERROR(INDEX(설정_코스수당!$B$15:$F$64,MATCH($H1119,설정_코스수당!$A$15:$A$64,0),MATCH($E1119&amp;"수당",설정_코스수당!$B$14:$F$14,0)),0)),0)</f>
        <v>0</v>
      </c>
      <c r="M1119" s="33">
        <f>IF($O1119="방문완료",IFERROR(VLOOKUP($E1119,설정_코스수당!$A$6:$H$10,6,FALSE),0),0)</f>
        <v>0</v>
      </c>
      <c r="N1119" s="34">
        <f t="shared" si="32"/>
        <v>0</v>
      </c>
      <c r="O1119" s="29"/>
      <c r="P1119" s="29"/>
      <c r="Q1119" s="29"/>
      <c r="R1119" s="32"/>
      <c r="S1119" s="29"/>
    </row>
    <row r="1120" spans="1:22" ht="19.5" hidden="1" customHeight="1" outlineLevel="1">
      <c r="A1120" s="23">
        <v>77</v>
      </c>
      <c r="B1120" s="24">
        <f>IF(11&lt;=DAY(DATE(YEAR(설정_코스수당!$K$2),MONTH(설정_코스수당!$K$2)+1,0)),DATE(YEAR(설정_코스수당!$K$2),MONTH(설정_코스수당!$K$2),11),"")</f>
        <v>46184</v>
      </c>
      <c r="C1120" s="25"/>
      <c r="D1120" s="23"/>
      <c r="E1120" s="23"/>
      <c r="F1120" s="26"/>
      <c r="G1120" s="23"/>
      <c r="H1120" s="23"/>
      <c r="I1120" s="23"/>
      <c r="J1120" s="27">
        <f>IF($O1120="방문완료",MAX(0,IFERROR(VLOOKUP($E1120,설정_코스수당!$A$6:$H$10,4,FALSE),0)-IF(OR($P1120="",$P1120="없음"),0,100000)),0)</f>
        <v>0</v>
      </c>
      <c r="K1120" s="27">
        <f t="array" ref="K1120">IF($O1120="방문완료",IFERROR(INDEX(설정_코스수당!$B$15:$F$64,MATCH($G1120,설정_코스수당!$A$15:$A$64,0),MATCH($E1120&amp;"수당",설정_코스수당!$B$14:$F$14,0)),0),0)</f>
        <v>0</v>
      </c>
      <c r="L1120" s="27">
        <f t="array" ref="L1120">IF($O1120="방문완료",IF($H1120="",0,IFERROR(INDEX(설정_코스수당!$B$15:$F$64,MATCH($H1120,설정_코스수당!$A$15:$A$64,0),MATCH($E1120&amp;"수당",설정_코스수당!$B$14:$F$14,0)),0)),0)</f>
        <v>0</v>
      </c>
      <c r="M1120" s="27">
        <f>IF($O1120="방문완료",IFERROR(VLOOKUP($E1120,설정_코스수당!$A$6:$H$10,6,FALSE),0),0)</f>
        <v>0</v>
      </c>
      <c r="N1120" s="28">
        <f t="shared" si="32"/>
        <v>0</v>
      </c>
      <c r="O1120" s="23"/>
      <c r="P1120" s="23"/>
      <c r="Q1120" s="23"/>
      <c r="R1120" s="26"/>
      <c r="S1120" s="23"/>
      <c r="U1120" s="16" t="s">
        <v>72</v>
      </c>
      <c r="V1120" s="17">
        <f>IF(12&lt;=DAY(DATE(YEAR(설정_코스수당!$K$2),MONTH(설정_코스수당!$K$2)+1,0)),COUNTIFS($B:$B,DATE(YEAR(설정_코스수당!$K$2),MONTH(설정_코스수당!$K$2),12),$O:$O,"방문완료",$P:$P,"&lt;&gt;",$P:$P,"&lt;&gt;없음")*100000,"")</f>
        <v>0</v>
      </c>
    </row>
    <row r="1121" spans="1:19" ht="19.5" hidden="1" customHeight="1" outlineLevel="1">
      <c r="A1121" s="29">
        <v>78</v>
      </c>
      <c r="B1121" s="30">
        <f>IF(11&lt;=DAY(DATE(YEAR(설정_코스수당!$K$2),MONTH(설정_코스수당!$K$2)+1,0)),DATE(YEAR(설정_코스수당!$K$2),MONTH(설정_코스수당!$K$2),11),"")</f>
        <v>46184</v>
      </c>
      <c r="C1121" s="31"/>
      <c r="D1121" s="29"/>
      <c r="E1121" s="29"/>
      <c r="F1121" s="32"/>
      <c r="G1121" s="29"/>
      <c r="H1121" s="29"/>
      <c r="I1121" s="29"/>
      <c r="J1121" s="33">
        <f>IF($O1121="방문완료",MAX(0,IFERROR(VLOOKUP($E1121,설정_코스수당!$A$6:$H$10,4,FALSE),0)-IF(OR($P1121="",$P1121="없음"),0,100000)),0)</f>
        <v>0</v>
      </c>
      <c r="K1121" s="33">
        <f t="array" ref="K1121">IF($O1121="방문완료",IFERROR(INDEX(설정_코스수당!$B$15:$F$64,MATCH($G1121,설정_코스수당!$A$15:$A$64,0),MATCH($E1121&amp;"수당",설정_코스수당!$B$14:$F$14,0)),0),0)</f>
        <v>0</v>
      </c>
      <c r="L1121" s="33">
        <f t="array" ref="L1121">IF($O1121="방문완료",IF($H1121="",0,IFERROR(INDEX(설정_코스수당!$B$15:$F$64,MATCH($H1121,설정_코스수당!$A$15:$A$64,0),MATCH($E1121&amp;"수당",설정_코스수당!$B$14:$F$14,0)),0)),0)</f>
        <v>0</v>
      </c>
      <c r="M1121" s="33">
        <f>IF($O1121="방문완료",IFERROR(VLOOKUP($E1121,설정_코스수당!$A$6:$H$10,6,FALSE),0),0)</f>
        <v>0</v>
      </c>
      <c r="N1121" s="34">
        <f t="shared" si="32"/>
        <v>0</v>
      </c>
      <c r="O1121" s="29"/>
      <c r="P1121" s="29"/>
      <c r="Q1121" s="29"/>
      <c r="R1121" s="32"/>
      <c r="S1121" s="29"/>
    </row>
    <row r="1122" spans="1:19" ht="19.5" hidden="1" customHeight="1" outlineLevel="1">
      <c r="A1122" s="23">
        <v>79</v>
      </c>
      <c r="B1122" s="24">
        <f>IF(11&lt;=DAY(DATE(YEAR(설정_코스수당!$K$2),MONTH(설정_코스수당!$K$2)+1,0)),DATE(YEAR(설정_코스수당!$K$2),MONTH(설정_코스수당!$K$2),11),"")</f>
        <v>46184</v>
      </c>
      <c r="C1122" s="25"/>
      <c r="D1122" s="23"/>
      <c r="E1122" s="23"/>
      <c r="F1122" s="26"/>
      <c r="G1122" s="23"/>
      <c r="H1122" s="23"/>
      <c r="I1122" s="23"/>
      <c r="J1122" s="27">
        <f>IF($O1122="방문완료",MAX(0,IFERROR(VLOOKUP($E1122,설정_코스수당!$A$6:$H$10,4,FALSE),0)-IF(OR($P1122="",$P1122="없음"),0,100000)),0)</f>
        <v>0</v>
      </c>
      <c r="K1122" s="27">
        <f t="array" ref="K1122">IF($O1122="방문완료",IFERROR(INDEX(설정_코스수당!$B$15:$F$64,MATCH($G1122,설정_코스수당!$A$15:$A$64,0),MATCH($E1122&amp;"수당",설정_코스수당!$B$14:$F$14,0)),0),0)</f>
        <v>0</v>
      </c>
      <c r="L1122" s="27">
        <f t="array" ref="L1122">IF($O1122="방문완료",IF($H1122="",0,IFERROR(INDEX(설정_코스수당!$B$15:$F$64,MATCH($H1122,설정_코스수당!$A$15:$A$64,0),MATCH($E1122&amp;"수당",설정_코스수당!$B$14:$F$14,0)),0)),0)</f>
        <v>0</v>
      </c>
      <c r="M1122" s="27">
        <f>IF($O1122="방문완료",IFERROR(VLOOKUP($E1122,설정_코스수당!$A$6:$H$10,6,FALSE),0),0)</f>
        <v>0</v>
      </c>
      <c r="N1122" s="28">
        <f t="shared" si="32"/>
        <v>0</v>
      </c>
      <c r="O1122" s="23"/>
      <c r="P1122" s="23"/>
      <c r="Q1122" s="23"/>
      <c r="R1122" s="26"/>
      <c r="S1122" s="23"/>
    </row>
    <row r="1123" spans="1:19" ht="19.5" hidden="1" customHeight="1" outlineLevel="1">
      <c r="A1123" s="29">
        <v>80</v>
      </c>
      <c r="B1123" s="30">
        <f>IF(11&lt;=DAY(DATE(YEAR(설정_코스수당!$K$2),MONTH(설정_코스수당!$K$2)+1,0)),DATE(YEAR(설정_코스수당!$K$2),MONTH(설정_코스수당!$K$2),11),"")</f>
        <v>46184</v>
      </c>
      <c r="C1123" s="31"/>
      <c r="D1123" s="29"/>
      <c r="E1123" s="29"/>
      <c r="F1123" s="32"/>
      <c r="G1123" s="29"/>
      <c r="H1123" s="29"/>
      <c r="I1123" s="29"/>
      <c r="J1123" s="33">
        <f>IF($O1123="방문완료",MAX(0,IFERROR(VLOOKUP($E1123,설정_코스수당!$A$6:$H$10,4,FALSE),0)-IF(OR($P1123="",$P1123="없음"),0,100000)),0)</f>
        <v>0</v>
      </c>
      <c r="K1123" s="33">
        <f t="array" ref="K1123">IF($O1123="방문완료",IFERROR(INDEX(설정_코스수당!$B$15:$F$64,MATCH($G1123,설정_코스수당!$A$15:$A$64,0),MATCH($E1123&amp;"수당",설정_코스수당!$B$14:$F$14,0)),0),0)</f>
        <v>0</v>
      </c>
      <c r="L1123" s="33">
        <f t="array" ref="L1123">IF($O1123="방문완료",IF($H1123="",0,IFERROR(INDEX(설정_코스수당!$B$15:$F$64,MATCH($H1123,설정_코스수당!$A$15:$A$64,0),MATCH($E1123&amp;"수당",설정_코스수당!$B$14:$F$14,0)),0)),0)</f>
        <v>0</v>
      </c>
      <c r="M1123" s="33">
        <f>IF($O1123="방문완료",IFERROR(VLOOKUP($E1123,설정_코스수당!$A$6:$H$10,6,FALSE),0),0)</f>
        <v>0</v>
      </c>
      <c r="N1123" s="34">
        <f t="shared" si="32"/>
        <v>0</v>
      </c>
      <c r="O1123" s="29"/>
      <c r="P1123" s="29"/>
      <c r="Q1123" s="29"/>
      <c r="R1123" s="32"/>
      <c r="S1123" s="29"/>
    </row>
    <row r="1124" spans="1:19" ht="19.5" hidden="1" customHeight="1" outlineLevel="1">
      <c r="A1124" s="23">
        <v>81</v>
      </c>
      <c r="B1124" s="24">
        <f>IF(11&lt;=DAY(DATE(YEAR(설정_코스수당!$K$2),MONTH(설정_코스수당!$K$2)+1,0)),DATE(YEAR(설정_코스수당!$K$2),MONTH(설정_코스수당!$K$2),11),"")</f>
        <v>46184</v>
      </c>
      <c r="C1124" s="25"/>
      <c r="D1124" s="23"/>
      <c r="E1124" s="23"/>
      <c r="F1124" s="26"/>
      <c r="G1124" s="23"/>
      <c r="H1124" s="23"/>
      <c r="I1124" s="23"/>
      <c r="J1124" s="27">
        <f>IF($O1124="방문완료",MAX(0,IFERROR(VLOOKUP($E1124,설정_코스수당!$A$6:$H$10,4,FALSE),0)-IF(OR($P1124="",$P1124="없음"),0,100000)),0)</f>
        <v>0</v>
      </c>
      <c r="K1124" s="27">
        <f t="array" ref="K1124">IF($O1124="방문완료",IFERROR(INDEX(설정_코스수당!$B$15:$F$64,MATCH($G1124,설정_코스수당!$A$15:$A$64,0),MATCH($E1124&amp;"수당",설정_코스수당!$B$14:$F$14,0)),0),0)</f>
        <v>0</v>
      </c>
      <c r="L1124" s="27">
        <f t="array" ref="L1124">IF($O1124="방문완료",IF($H1124="",0,IFERROR(INDEX(설정_코스수당!$B$15:$F$64,MATCH($H1124,설정_코스수당!$A$15:$A$64,0),MATCH($E1124&amp;"수당",설정_코스수당!$B$14:$F$14,0)),0)),0)</f>
        <v>0</v>
      </c>
      <c r="M1124" s="27">
        <f>IF($O1124="방문완료",IFERROR(VLOOKUP($E1124,설정_코스수당!$A$6:$H$10,6,FALSE),0),0)</f>
        <v>0</v>
      </c>
      <c r="N1124" s="28">
        <f t="shared" si="32"/>
        <v>0</v>
      </c>
      <c r="O1124" s="23"/>
      <c r="P1124" s="23"/>
      <c r="Q1124" s="23"/>
      <c r="R1124" s="26"/>
      <c r="S1124" s="23"/>
    </row>
    <row r="1125" spans="1:19" ht="19.5" hidden="1" customHeight="1" outlineLevel="1">
      <c r="A1125" s="29">
        <v>82</v>
      </c>
      <c r="B1125" s="30">
        <f>IF(11&lt;=DAY(DATE(YEAR(설정_코스수당!$K$2),MONTH(설정_코스수당!$K$2)+1,0)),DATE(YEAR(설정_코스수당!$K$2),MONTH(설정_코스수당!$K$2),11),"")</f>
        <v>46184</v>
      </c>
      <c r="C1125" s="31"/>
      <c r="D1125" s="29"/>
      <c r="E1125" s="29"/>
      <c r="F1125" s="32"/>
      <c r="G1125" s="29"/>
      <c r="H1125" s="29"/>
      <c r="I1125" s="29"/>
      <c r="J1125" s="33">
        <f>IF($O1125="방문완료",MAX(0,IFERROR(VLOOKUP($E1125,설정_코스수당!$A$6:$H$10,4,FALSE),0)-IF(OR($P1125="",$P1125="없음"),0,100000)),0)</f>
        <v>0</v>
      </c>
      <c r="K1125" s="33">
        <f t="array" ref="K1125">IF($O1125="방문완료",IFERROR(INDEX(설정_코스수당!$B$15:$F$64,MATCH($G1125,설정_코스수당!$A$15:$A$64,0),MATCH($E1125&amp;"수당",설정_코스수당!$B$14:$F$14,0)),0),0)</f>
        <v>0</v>
      </c>
      <c r="L1125" s="33">
        <f t="array" ref="L1125">IF($O1125="방문완료",IF($H1125="",0,IFERROR(INDEX(설정_코스수당!$B$15:$F$64,MATCH($H1125,설정_코스수당!$A$15:$A$64,0),MATCH($E1125&amp;"수당",설정_코스수당!$B$14:$F$14,0)),0)),0)</f>
        <v>0</v>
      </c>
      <c r="M1125" s="33">
        <f>IF($O1125="방문완료",IFERROR(VLOOKUP($E1125,설정_코스수당!$A$6:$H$10,6,FALSE),0),0)</f>
        <v>0</v>
      </c>
      <c r="N1125" s="34">
        <f t="shared" si="32"/>
        <v>0</v>
      </c>
      <c r="O1125" s="29"/>
      <c r="P1125" s="29"/>
      <c r="Q1125" s="29"/>
      <c r="R1125" s="32"/>
      <c r="S1125" s="29"/>
    </row>
    <row r="1126" spans="1:19" ht="19.5" hidden="1" customHeight="1" outlineLevel="1">
      <c r="A1126" s="23">
        <v>83</v>
      </c>
      <c r="B1126" s="24">
        <f>IF(11&lt;=DAY(DATE(YEAR(설정_코스수당!$K$2),MONTH(설정_코스수당!$K$2)+1,0)),DATE(YEAR(설정_코스수당!$K$2),MONTH(설정_코스수당!$K$2),11),"")</f>
        <v>46184</v>
      </c>
      <c r="C1126" s="25"/>
      <c r="D1126" s="23"/>
      <c r="E1126" s="23"/>
      <c r="F1126" s="26"/>
      <c r="G1126" s="23"/>
      <c r="H1126" s="23"/>
      <c r="I1126" s="23"/>
      <c r="J1126" s="27">
        <f>IF($O1126="방문완료",MAX(0,IFERROR(VLOOKUP($E1126,설정_코스수당!$A$6:$H$10,4,FALSE),0)-IF(OR($P1126="",$P1126="없음"),0,100000)),0)</f>
        <v>0</v>
      </c>
      <c r="K1126" s="27">
        <f t="array" ref="K1126">IF($O1126="방문완료",IFERROR(INDEX(설정_코스수당!$B$15:$F$64,MATCH($G1126,설정_코스수당!$A$15:$A$64,0),MATCH($E1126&amp;"수당",설정_코스수당!$B$14:$F$14,0)),0),0)</f>
        <v>0</v>
      </c>
      <c r="L1126" s="27">
        <f t="array" ref="L1126">IF($O1126="방문완료",IF($H1126="",0,IFERROR(INDEX(설정_코스수당!$B$15:$F$64,MATCH($H1126,설정_코스수당!$A$15:$A$64,0),MATCH($E1126&amp;"수당",설정_코스수당!$B$14:$F$14,0)),0)),0)</f>
        <v>0</v>
      </c>
      <c r="M1126" s="27">
        <f>IF($O1126="방문완료",IFERROR(VLOOKUP($E1126,설정_코스수당!$A$6:$H$10,6,FALSE),0),0)</f>
        <v>0</v>
      </c>
      <c r="N1126" s="28">
        <f t="shared" si="32"/>
        <v>0</v>
      </c>
      <c r="O1126" s="23"/>
      <c r="P1126" s="23"/>
      <c r="Q1126" s="23"/>
      <c r="R1126" s="26"/>
      <c r="S1126" s="23"/>
    </row>
    <row r="1127" spans="1:19" ht="19.5" hidden="1" customHeight="1" outlineLevel="1">
      <c r="A1127" s="29">
        <v>84</v>
      </c>
      <c r="B1127" s="30">
        <f>IF(11&lt;=DAY(DATE(YEAR(설정_코스수당!$K$2),MONTH(설정_코스수당!$K$2)+1,0)),DATE(YEAR(설정_코스수당!$K$2),MONTH(설정_코스수당!$K$2),11),"")</f>
        <v>46184</v>
      </c>
      <c r="C1127" s="31"/>
      <c r="D1127" s="29"/>
      <c r="E1127" s="29"/>
      <c r="F1127" s="32"/>
      <c r="G1127" s="29"/>
      <c r="H1127" s="29"/>
      <c r="I1127" s="29"/>
      <c r="J1127" s="33">
        <f>IF($O1127="방문완료",MAX(0,IFERROR(VLOOKUP($E1127,설정_코스수당!$A$6:$H$10,4,FALSE),0)-IF(OR($P1127="",$P1127="없음"),0,100000)),0)</f>
        <v>0</v>
      </c>
      <c r="K1127" s="33">
        <f t="array" ref="K1127">IF($O1127="방문완료",IFERROR(INDEX(설정_코스수당!$B$15:$F$64,MATCH($G1127,설정_코스수당!$A$15:$A$64,0),MATCH($E1127&amp;"수당",설정_코스수당!$B$14:$F$14,0)),0),0)</f>
        <v>0</v>
      </c>
      <c r="L1127" s="33">
        <f t="array" ref="L1127">IF($O1127="방문완료",IF($H1127="",0,IFERROR(INDEX(설정_코스수당!$B$15:$F$64,MATCH($H1127,설정_코스수당!$A$15:$A$64,0),MATCH($E1127&amp;"수당",설정_코스수당!$B$14:$F$14,0)),0)),0)</f>
        <v>0</v>
      </c>
      <c r="M1127" s="33">
        <f>IF($O1127="방문완료",IFERROR(VLOOKUP($E1127,설정_코스수당!$A$6:$H$10,6,FALSE),0),0)</f>
        <v>0</v>
      </c>
      <c r="N1127" s="34">
        <f t="shared" si="32"/>
        <v>0</v>
      </c>
      <c r="O1127" s="29"/>
      <c r="P1127" s="29"/>
      <c r="Q1127" s="29"/>
      <c r="R1127" s="32"/>
      <c r="S1127" s="29"/>
    </row>
    <row r="1128" spans="1:19" ht="19.5" hidden="1" customHeight="1" outlineLevel="1">
      <c r="A1128" s="23">
        <v>85</v>
      </c>
      <c r="B1128" s="24">
        <f>IF(11&lt;=DAY(DATE(YEAR(설정_코스수당!$K$2),MONTH(설정_코스수당!$K$2)+1,0)),DATE(YEAR(설정_코스수당!$K$2),MONTH(설정_코스수당!$K$2),11),"")</f>
        <v>46184</v>
      </c>
      <c r="C1128" s="25"/>
      <c r="D1128" s="23"/>
      <c r="E1128" s="23"/>
      <c r="F1128" s="26"/>
      <c r="G1128" s="23"/>
      <c r="H1128" s="23"/>
      <c r="I1128" s="23"/>
      <c r="J1128" s="27">
        <f>IF($O1128="방문완료",MAX(0,IFERROR(VLOOKUP($E1128,설정_코스수당!$A$6:$H$10,4,FALSE),0)-IF(OR($P1128="",$P1128="없음"),0,100000)),0)</f>
        <v>0</v>
      </c>
      <c r="K1128" s="27">
        <f t="array" ref="K1128">IF($O1128="방문완료",IFERROR(INDEX(설정_코스수당!$B$15:$F$64,MATCH($G1128,설정_코스수당!$A$15:$A$64,0),MATCH($E1128&amp;"수당",설정_코스수당!$B$14:$F$14,0)),0),0)</f>
        <v>0</v>
      </c>
      <c r="L1128" s="27">
        <f t="array" ref="L1128">IF($O1128="방문완료",IF($H1128="",0,IFERROR(INDEX(설정_코스수당!$B$15:$F$64,MATCH($H1128,설정_코스수당!$A$15:$A$64,0),MATCH($E1128&amp;"수당",설정_코스수당!$B$14:$F$14,0)),0)),0)</f>
        <v>0</v>
      </c>
      <c r="M1128" s="27">
        <f>IF($O1128="방문완료",IFERROR(VLOOKUP($E1128,설정_코스수당!$A$6:$H$10,6,FALSE),0),0)</f>
        <v>0</v>
      </c>
      <c r="N1128" s="28">
        <f t="shared" si="32"/>
        <v>0</v>
      </c>
      <c r="O1128" s="23"/>
      <c r="P1128" s="23"/>
      <c r="Q1128" s="23"/>
      <c r="R1128" s="26"/>
      <c r="S1128" s="23"/>
    </row>
    <row r="1129" spans="1:19" ht="19.5" hidden="1" customHeight="1" outlineLevel="1">
      <c r="A1129" s="29">
        <v>86</v>
      </c>
      <c r="B1129" s="30">
        <f>IF(11&lt;=DAY(DATE(YEAR(설정_코스수당!$K$2),MONTH(설정_코스수당!$K$2)+1,0)),DATE(YEAR(설정_코스수당!$K$2),MONTH(설정_코스수당!$K$2),11),"")</f>
        <v>46184</v>
      </c>
      <c r="C1129" s="31"/>
      <c r="D1129" s="29"/>
      <c r="E1129" s="29"/>
      <c r="F1129" s="32"/>
      <c r="G1129" s="29"/>
      <c r="H1129" s="29"/>
      <c r="I1129" s="29"/>
      <c r="J1129" s="33">
        <f>IF($O1129="방문완료",MAX(0,IFERROR(VLOOKUP($E1129,설정_코스수당!$A$6:$H$10,4,FALSE),0)-IF(OR($P1129="",$P1129="없음"),0,100000)),0)</f>
        <v>0</v>
      </c>
      <c r="K1129" s="33">
        <f t="array" ref="K1129">IF($O1129="방문완료",IFERROR(INDEX(설정_코스수당!$B$15:$F$64,MATCH($G1129,설정_코스수당!$A$15:$A$64,0),MATCH($E1129&amp;"수당",설정_코스수당!$B$14:$F$14,0)),0),0)</f>
        <v>0</v>
      </c>
      <c r="L1129" s="33">
        <f t="array" ref="L1129">IF($O1129="방문완료",IF($H1129="",0,IFERROR(INDEX(설정_코스수당!$B$15:$F$64,MATCH($H1129,설정_코스수당!$A$15:$A$64,0),MATCH($E1129&amp;"수당",설정_코스수당!$B$14:$F$14,0)),0)),0)</f>
        <v>0</v>
      </c>
      <c r="M1129" s="33">
        <f>IF($O1129="방문완료",IFERROR(VLOOKUP($E1129,설정_코스수당!$A$6:$H$10,6,FALSE),0),0)</f>
        <v>0</v>
      </c>
      <c r="N1129" s="34">
        <f t="shared" si="32"/>
        <v>0</v>
      </c>
      <c r="O1129" s="29"/>
      <c r="P1129" s="29"/>
      <c r="Q1129" s="29"/>
      <c r="R1129" s="32"/>
      <c r="S1129" s="29"/>
    </row>
    <row r="1130" spans="1:19" ht="19.5" hidden="1" customHeight="1" outlineLevel="1">
      <c r="A1130" s="23">
        <v>87</v>
      </c>
      <c r="B1130" s="24">
        <f>IF(11&lt;=DAY(DATE(YEAR(설정_코스수당!$K$2),MONTH(설정_코스수당!$K$2)+1,0)),DATE(YEAR(설정_코스수당!$K$2),MONTH(설정_코스수당!$K$2),11),"")</f>
        <v>46184</v>
      </c>
      <c r="C1130" s="25"/>
      <c r="D1130" s="23"/>
      <c r="E1130" s="23"/>
      <c r="F1130" s="26"/>
      <c r="G1130" s="23"/>
      <c r="H1130" s="23"/>
      <c r="I1130" s="23"/>
      <c r="J1130" s="27">
        <f>IF($O1130="방문완료",MAX(0,IFERROR(VLOOKUP($E1130,설정_코스수당!$A$6:$H$10,4,FALSE),0)-IF(OR($P1130="",$P1130="없음"),0,100000)),0)</f>
        <v>0</v>
      </c>
      <c r="K1130" s="27">
        <f t="array" ref="K1130">IF($O1130="방문완료",IFERROR(INDEX(설정_코스수당!$B$15:$F$64,MATCH($G1130,설정_코스수당!$A$15:$A$64,0),MATCH($E1130&amp;"수당",설정_코스수당!$B$14:$F$14,0)),0),0)</f>
        <v>0</v>
      </c>
      <c r="L1130" s="27">
        <f t="array" ref="L1130">IF($O1130="방문완료",IF($H1130="",0,IFERROR(INDEX(설정_코스수당!$B$15:$F$64,MATCH($H1130,설정_코스수당!$A$15:$A$64,0),MATCH($E1130&amp;"수당",설정_코스수당!$B$14:$F$14,0)),0)),0)</f>
        <v>0</v>
      </c>
      <c r="M1130" s="27">
        <f>IF($O1130="방문완료",IFERROR(VLOOKUP($E1130,설정_코스수당!$A$6:$H$10,6,FALSE),0),0)</f>
        <v>0</v>
      </c>
      <c r="N1130" s="28">
        <f t="shared" si="32"/>
        <v>0</v>
      </c>
      <c r="O1130" s="23"/>
      <c r="P1130" s="23"/>
      <c r="Q1130" s="23"/>
      <c r="R1130" s="26"/>
      <c r="S1130" s="23"/>
    </row>
    <row r="1131" spans="1:19" ht="19.5" hidden="1" customHeight="1" outlineLevel="1">
      <c r="A1131" s="29">
        <v>88</v>
      </c>
      <c r="B1131" s="30">
        <f>IF(11&lt;=DAY(DATE(YEAR(설정_코스수당!$K$2),MONTH(설정_코스수당!$K$2)+1,0)),DATE(YEAR(설정_코스수당!$K$2),MONTH(설정_코스수당!$K$2),11),"")</f>
        <v>46184</v>
      </c>
      <c r="C1131" s="31"/>
      <c r="D1131" s="29"/>
      <c r="E1131" s="29"/>
      <c r="F1131" s="32"/>
      <c r="G1131" s="29"/>
      <c r="H1131" s="29"/>
      <c r="I1131" s="29"/>
      <c r="J1131" s="33">
        <f>IF($O1131="방문완료",MAX(0,IFERROR(VLOOKUP($E1131,설정_코스수당!$A$6:$H$10,4,FALSE),0)-IF(OR($P1131="",$P1131="없음"),0,100000)),0)</f>
        <v>0</v>
      </c>
      <c r="K1131" s="33">
        <f t="array" ref="K1131">IF($O1131="방문완료",IFERROR(INDEX(설정_코스수당!$B$15:$F$64,MATCH($G1131,설정_코스수당!$A$15:$A$64,0),MATCH($E1131&amp;"수당",설정_코스수당!$B$14:$F$14,0)),0),0)</f>
        <v>0</v>
      </c>
      <c r="L1131" s="33">
        <f t="array" ref="L1131">IF($O1131="방문완료",IF($H1131="",0,IFERROR(INDEX(설정_코스수당!$B$15:$F$64,MATCH($H1131,설정_코스수당!$A$15:$A$64,0),MATCH($E1131&amp;"수당",설정_코스수당!$B$14:$F$14,0)),0)),0)</f>
        <v>0</v>
      </c>
      <c r="M1131" s="33">
        <f>IF($O1131="방문완료",IFERROR(VLOOKUP($E1131,설정_코스수당!$A$6:$H$10,6,FALSE),0),0)</f>
        <v>0</v>
      </c>
      <c r="N1131" s="34">
        <f t="shared" si="32"/>
        <v>0</v>
      </c>
      <c r="O1131" s="29"/>
      <c r="P1131" s="29"/>
      <c r="Q1131" s="29"/>
      <c r="R1131" s="32"/>
      <c r="S1131" s="29"/>
    </row>
    <row r="1132" spans="1:19" ht="19.5" hidden="1" customHeight="1" outlineLevel="1">
      <c r="A1132" s="23">
        <v>89</v>
      </c>
      <c r="B1132" s="24">
        <f>IF(11&lt;=DAY(DATE(YEAR(설정_코스수당!$K$2),MONTH(설정_코스수당!$K$2)+1,0)),DATE(YEAR(설정_코스수당!$K$2),MONTH(설정_코스수당!$K$2),11),"")</f>
        <v>46184</v>
      </c>
      <c r="C1132" s="25"/>
      <c r="D1132" s="23"/>
      <c r="E1132" s="23"/>
      <c r="F1132" s="26"/>
      <c r="G1132" s="23"/>
      <c r="H1132" s="23"/>
      <c r="I1132" s="23"/>
      <c r="J1132" s="27">
        <f>IF($O1132="방문완료",MAX(0,IFERROR(VLOOKUP($E1132,설정_코스수당!$A$6:$H$10,4,FALSE),0)-IF(OR($P1132="",$P1132="없음"),0,100000)),0)</f>
        <v>0</v>
      </c>
      <c r="K1132" s="27">
        <f t="array" ref="K1132">IF($O1132="방문완료",IFERROR(INDEX(설정_코스수당!$B$15:$F$64,MATCH($G1132,설정_코스수당!$A$15:$A$64,0),MATCH($E1132&amp;"수당",설정_코스수당!$B$14:$F$14,0)),0),0)</f>
        <v>0</v>
      </c>
      <c r="L1132" s="27">
        <f t="array" ref="L1132">IF($O1132="방문완료",IF($H1132="",0,IFERROR(INDEX(설정_코스수당!$B$15:$F$64,MATCH($H1132,설정_코스수당!$A$15:$A$64,0),MATCH($E1132&amp;"수당",설정_코스수당!$B$14:$F$14,0)),0)),0)</f>
        <v>0</v>
      </c>
      <c r="M1132" s="27">
        <f>IF($O1132="방문완료",IFERROR(VLOOKUP($E1132,설정_코스수당!$A$6:$H$10,6,FALSE),0),0)</f>
        <v>0</v>
      </c>
      <c r="N1132" s="28">
        <f t="shared" si="32"/>
        <v>0</v>
      </c>
      <c r="O1132" s="23"/>
      <c r="P1132" s="23"/>
      <c r="Q1132" s="23"/>
      <c r="R1132" s="26"/>
      <c r="S1132" s="23"/>
    </row>
    <row r="1133" spans="1:19" ht="19.5" hidden="1" customHeight="1" outlineLevel="1">
      <c r="A1133" s="29">
        <v>90</v>
      </c>
      <c r="B1133" s="30">
        <f>IF(11&lt;=DAY(DATE(YEAR(설정_코스수당!$K$2),MONTH(설정_코스수당!$K$2)+1,0)),DATE(YEAR(설정_코스수당!$K$2),MONTH(설정_코스수당!$K$2),11),"")</f>
        <v>46184</v>
      </c>
      <c r="C1133" s="31"/>
      <c r="D1133" s="29"/>
      <c r="E1133" s="29"/>
      <c r="F1133" s="32"/>
      <c r="G1133" s="29"/>
      <c r="H1133" s="29"/>
      <c r="I1133" s="29"/>
      <c r="J1133" s="33">
        <f>IF($O1133="방문완료",MAX(0,IFERROR(VLOOKUP($E1133,설정_코스수당!$A$6:$H$10,4,FALSE),0)-IF(OR($P1133="",$P1133="없음"),0,100000)),0)</f>
        <v>0</v>
      </c>
      <c r="K1133" s="33">
        <f t="array" ref="K1133">IF($O1133="방문완료",IFERROR(INDEX(설정_코스수당!$B$15:$F$64,MATCH($G1133,설정_코스수당!$A$15:$A$64,0),MATCH($E1133&amp;"수당",설정_코스수당!$B$14:$F$14,0)),0),0)</f>
        <v>0</v>
      </c>
      <c r="L1133" s="33">
        <f t="array" ref="L1133">IF($O1133="방문완료",IF($H1133="",0,IFERROR(INDEX(설정_코스수당!$B$15:$F$64,MATCH($H1133,설정_코스수당!$A$15:$A$64,0),MATCH($E1133&amp;"수당",설정_코스수당!$B$14:$F$14,0)),0)),0)</f>
        <v>0</v>
      </c>
      <c r="M1133" s="33">
        <f>IF($O1133="방문완료",IFERROR(VLOOKUP($E1133,설정_코스수당!$A$6:$H$10,6,FALSE),0),0)</f>
        <v>0</v>
      </c>
      <c r="N1133" s="34">
        <f t="shared" si="32"/>
        <v>0</v>
      </c>
      <c r="O1133" s="29"/>
      <c r="P1133" s="29"/>
      <c r="Q1133" s="29"/>
      <c r="R1133" s="32"/>
      <c r="S1133" s="29"/>
    </row>
    <row r="1134" spans="1:19" ht="19.5" hidden="1" customHeight="1" outlineLevel="1">
      <c r="A1134" s="23">
        <v>91</v>
      </c>
      <c r="B1134" s="24">
        <f>IF(11&lt;=DAY(DATE(YEAR(설정_코스수당!$K$2),MONTH(설정_코스수당!$K$2)+1,0)),DATE(YEAR(설정_코스수당!$K$2),MONTH(설정_코스수당!$K$2),11),"")</f>
        <v>46184</v>
      </c>
      <c r="C1134" s="25"/>
      <c r="D1134" s="23"/>
      <c r="E1134" s="23"/>
      <c r="F1134" s="26"/>
      <c r="G1134" s="23"/>
      <c r="H1134" s="23"/>
      <c r="I1134" s="23"/>
      <c r="J1134" s="27">
        <f>IF($O1134="방문완료",MAX(0,IFERROR(VLOOKUP($E1134,설정_코스수당!$A$6:$H$10,4,FALSE),0)-IF(OR($P1134="",$P1134="없음"),0,100000)),0)</f>
        <v>0</v>
      </c>
      <c r="K1134" s="27">
        <f t="array" ref="K1134">IF($O1134="방문완료",IFERROR(INDEX(설정_코스수당!$B$15:$F$64,MATCH($G1134,설정_코스수당!$A$15:$A$64,0),MATCH($E1134&amp;"수당",설정_코스수당!$B$14:$F$14,0)),0),0)</f>
        <v>0</v>
      </c>
      <c r="L1134" s="27">
        <f t="array" ref="L1134">IF($O1134="방문완료",IF($H1134="",0,IFERROR(INDEX(설정_코스수당!$B$15:$F$64,MATCH($H1134,설정_코스수당!$A$15:$A$64,0),MATCH($E1134&amp;"수당",설정_코스수당!$B$14:$F$14,0)),0)),0)</f>
        <v>0</v>
      </c>
      <c r="M1134" s="27">
        <f>IF($O1134="방문완료",IFERROR(VLOOKUP($E1134,설정_코스수당!$A$6:$H$10,6,FALSE),0),0)</f>
        <v>0</v>
      </c>
      <c r="N1134" s="28">
        <f t="shared" si="32"/>
        <v>0</v>
      </c>
      <c r="O1134" s="23"/>
      <c r="P1134" s="23"/>
      <c r="Q1134" s="23"/>
      <c r="R1134" s="26"/>
      <c r="S1134" s="23"/>
    </row>
    <row r="1135" spans="1:19" ht="19.5" hidden="1" customHeight="1" outlineLevel="1">
      <c r="A1135" s="29">
        <v>92</v>
      </c>
      <c r="B1135" s="30">
        <f>IF(11&lt;=DAY(DATE(YEAR(설정_코스수당!$K$2),MONTH(설정_코스수당!$K$2)+1,0)),DATE(YEAR(설정_코스수당!$K$2),MONTH(설정_코스수당!$K$2),11),"")</f>
        <v>46184</v>
      </c>
      <c r="C1135" s="31"/>
      <c r="D1135" s="29"/>
      <c r="E1135" s="29"/>
      <c r="F1135" s="32"/>
      <c r="G1135" s="29"/>
      <c r="H1135" s="29"/>
      <c r="I1135" s="29"/>
      <c r="J1135" s="33">
        <f>IF($O1135="방문완료",MAX(0,IFERROR(VLOOKUP($E1135,설정_코스수당!$A$6:$H$10,4,FALSE),0)-IF(OR($P1135="",$P1135="없음"),0,100000)),0)</f>
        <v>0</v>
      </c>
      <c r="K1135" s="33">
        <f t="array" ref="K1135">IF($O1135="방문완료",IFERROR(INDEX(설정_코스수당!$B$15:$F$64,MATCH($G1135,설정_코스수당!$A$15:$A$64,0),MATCH($E1135&amp;"수당",설정_코스수당!$B$14:$F$14,0)),0),0)</f>
        <v>0</v>
      </c>
      <c r="L1135" s="33">
        <f t="array" ref="L1135">IF($O1135="방문완료",IF($H1135="",0,IFERROR(INDEX(설정_코스수당!$B$15:$F$64,MATCH($H1135,설정_코스수당!$A$15:$A$64,0),MATCH($E1135&amp;"수당",설정_코스수당!$B$14:$F$14,0)),0)),0)</f>
        <v>0</v>
      </c>
      <c r="M1135" s="33">
        <f>IF($O1135="방문완료",IFERROR(VLOOKUP($E1135,설정_코스수당!$A$6:$H$10,6,FALSE),0),0)</f>
        <v>0</v>
      </c>
      <c r="N1135" s="34">
        <f t="shared" si="32"/>
        <v>0</v>
      </c>
      <c r="O1135" s="29"/>
      <c r="P1135" s="29"/>
      <c r="Q1135" s="29"/>
      <c r="R1135" s="32"/>
      <c r="S1135" s="29"/>
    </row>
    <row r="1136" spans="1:19" ht="19.5" hidden="1" customHeight="1" outlineLevel="1">
      <c r="A1136" s="23">
        <v>93</v>
      </c>
      <c r="B1136" s="24">
        <f>IF(11&lt;=DAY(DATE(YEAR(설정_코스수당!$K$2),MONTH(설정_코스수당!$K$2)+1,0)),DATE(YEAR(설정_코스수당!$K$2),MONTH(설정_코스수당!$K$2),11),"")</f>
        <v>46184</v>
      </c>
      <c r="C1136" s="25"/>
      <c r="D1136" s="23"/>
      <c r="E1136" s="23"/>
      <c r="F1136" s="26"/>
      <c r="G1136" s="23"/>
      <c r="H1136" s="23"/>
      <c r="I1136" s="23"/>
      <c r="J1136" s="27">
        <f>IF($O1136="방문완료",MAX(0,IFERROR(VLOOKUP($E1136,설정_코스수당!$A$6:$H$10,4,FALSE),0)-IF(OR($P1136="",$P1136="없음"),0,100000)),0)</f>
        <v>0</v>
      </c>
      <c r="K1136" s="27">
        <f t="array" ref="K1136">IF($O1136="방문완료",IFERROR(INDEX(설정_코스수당!$B$15:$F$64,MATCH($G1136,설정_코스수당!$A$15:$A$64,0),MATCH($E1136&amp;"수당",설정_코스수당!$B$14:$F$14,0)),0),0)</f>
        <v>0</v>
      </c>
      <c r="L1136" s="27">
        <f t="array" ref="L1136">IF($O1136="방문완료",IF($H1136="",0,IFERROR(INDEX(설정_코스수당!$B$15:$F$64,MATCH($H1136,설정_코스수당!$A$15:$A$64,0),MATCH($E1136&amp;"수당",설정_코스수당!$B$14:$F$14,0)),0)),0)</f>
        <v>0</v>
      </c>
      <c r="M1136" s="27">
        <f>IF($O1136="방문완료",IFERROR(VLOOKUP($E1136,설정_코스수당!$A$6:$H$10,6,FALSE),0),0)</f>
        <v>0</v>
      </c>
      <c r="N1136" s="28">
        <f t="shared" si="32"/>
        <v>0</v>
      </c>
      <c r="O1136" s="23"/>
      <c r="P1136" s="23"/>
      <c r="Q1136" s="23"/>
      <c r="R1136" s="26"/>
      <c r="S1136" s="23"/>
    </row>
    <row r="1137" spans="1:27" ht="19.5" hidden="1" customHeight="1" outlineLevel="1">
      <c r="A1137" s="29">
        <v>94</v>
      </c>
      <c r="B1137" s="30">
        <f>IF(11&lt;=DAY(DATE(YEAR(설정_코스수당!$K$2),MONTH(설정_코스수당!$K$2)+1,0)),DATE(YEAR(설정_코스수당!$K$2),MONTH(설정_코스수당!$K$2),11),"")</f>
        <v>46184</v>
      </c>
      <c r="C1137" s="31"/>
      <c r="D1137" s="29"/>
      <c r="E1137" s="29"/>
      <c r="F1137" s="32"/>
      <c r="G1137" s="29"/>
      <c r="H1137" s="29"/>
      <c r="I1137" s="29"/>
      <c r="J1137" s="33">
        <f>IF($O1137="방문완료",MAX(0,IFERROR(VLOOKUP($E1137,설정_코스수당!$A$6:$H$10,4,FALSE),0)-IF(OR($P1137="",$P1137="없음"),0,100000)),0)</f>
        <v>0</v>
      </c>
      <c r="K1137" s="33">
        <f t="array" ref="K1137">IF($O1137="방문완료",IFERROR(INDEX(설정_코스수당!$B$15:$F$64,MATCH($G1137,설정_코스수당!$A$15:$A$64,0),MATCH($E1137&amp;"수당",설정_코스수당!$B$14:$F$14,0)),0),0)</f>
        <v>0</v>
      </c>
      <c r="L1137" s="33">
        <f t="array" ref="L1137">IF($O1137="방문완료",IF($H1137="",0,IFERROR(INDEX(설정_코스수당!$B$15:$F$64,MATCH($H1137,설정_코스수당!$A$15:$A$64,0),MATCH($E1137&amp;"수당",설정_코스수당!$B$14:$F$14,0)),0)),0)</f>
        <v>0</v>
      </c>
      <c r="M1137" s="33">
        <f>IF($O1137="방문완료",IFERROR(VLOOKUP($E1137,설정_코스수당!$A$6:$H$10,6,FALSE),0),0)</f>
        <v>0</v>
      </c>
      <c r="N1137" s="34">
        <f t="shared" si="32"/>
        <v>0</v>
      </c>
      <c r="O1137" s="29"/>
      <c r="P1137" s="29"/>
      <c r="Q1137" s="29"/>
      <c r="R1137" s="32"/>
      <c r="S1137" s="29"/>
    </row>
    <row r="1138" spans="1:27" ht="19.5" hidden="1" customHeight="1" outlineLevel="1">
      <c r="A1138" s="23">
        <v>95</v>
      </c>
      <c r="B1138" s="24">
        <f>IF(11&lt;=DAY(DATE(YEAR(설정_코스수당!$K$2),MONTH(설정_코스수당!$K$2)+1,0)),DATE(YEAR(설정_코스수당!$K$2),MONTH(설정_코스수당!$K$2),11),"")</f>
        <v>46184</v>
      </c>
      <c r="C1138" s="25"/>
      <c r="D1138" s="23"/>
      <c r="E1138" s="23"/>
      <c r="F1138" s="26"/>
      <c r="G1138" s="23"/>
      <c r="H1138" s="23"/>
      <c r="I1138" s="23"/>
      <c r="J1138" s="27">
        <f>IF($O1138="방문완료",MAX(0,IFERROR(VLOOKUP($E1138,설정_코스수당!$A$6:$H$10,4,FALSE),0)-IF(OR($P1138="",$P1138="없음"),0,100000)),0)</f>
        <v>0</v>
      </c>
      <c r="K1138" s="27">
        <f t="array" ref="K1138">IF($O1138="방문완료",IFERROR(INDEX(설정_코스수당!$B$15:$F$64,MATCH($G1138,설정_코스수당!$A$15:$A$64,0),MATCH($E1138&amp;"수당",설정_코스수당!$B$14:$F$14,0)),0),0)</f>
        <v>0</v>
      </c>
      <c r="L1138" s="27">
        <f t="array" ref="L1138">IF($O1138="방문완료",IF($H1138="",0,IFERROR(INDEX(설정_코스수당!$B$15:$F$64,MATCH($H1138,설정_코스수당!$A$15:$A$64,0),MATCH($E1138&amp;"수당",설정_코스수당!$B$14:$F$14,0)),0)),0)</f>
        <v>0</v>
      </c>
      <c r="M1138" s="27">
        <f>IF($O1138="방문완료",IFERROR(VLOOKUP($E1138,설정_코스수당!$A$6:$H$10,6,FALSE),0),0)</f>
        <v>0</v>
      </c>
      <c r="N1138" s="28">
        <f t="shared" si="32"/>
        <v>0</v>
      </c>
      <c r="O1138" s="23"/>
      <c r="P1138" s="23"/>
      <c r="Q1138" s="23"/>
      <c r="R1138" s="26"/>
      <c r="S1138" s="23"/>
    </row>
    <row r="1139" spans="1:27" ht="19.5" hidden="1" customHeight="1" outlineLevel="1">
      <c r="A1139" s="29">
        <v>96</v>
      </c>
      <c r="B1139" s="30">
        <f>IF(11&lt;=DAY(DATE(YEAR(설정_코스수당!$K$2),MONTH(설정_코스수당!$K$2)+1,0)),DATE(YEAR(설정_코스수당!$K$2),MONTH(설정_코스수당!$K$2),11),"")</f>
        <v>46184</v>
      </c>
      <c r="C1139" s="31"/>
      <c r="D1139" s="29"/>
      <c r="E1139" s="29"/>
      <c r="F1139" s="32"/>
      <c r="G1139" s="29"/>
      <c r="H1139" s="29"/>
      <c r="I1139" s="29"/>
      <c r="J1139" s="33">
        <f>IF($O1139="방문완료",MAX(0,IFERROR(VLOOKUP($E1139,설정_코스수당!$A$6:$H$10,4,FALSE),0)-IF(OR($P1139="",$P1139="없음"),0,100000)),0)</f>
        <v>0</v>
      </c>
      <c r="K1139" s="33">
        <f t="array" ref="K1139">IF($O1139="방문완료",IFERROR(INDEX(설정_코스수당!$B$15:$F$64,MATCH($G1139,설정_코스수당!$A$15:$A$64,0),MATCH($E1139&amp;"수당",설정_코스수당!$B$14:$F$14,0)),0),0)</f>
        <v>0</v>
      </c>
      <c r="L1139" s="33">
        <f t="array" ref="L1139">IF($O1139="방문완료",IF($H1139="",0,IFERROR(INDEX(설정_코스수당!$B$15:$F$64,MATCH($H1139,설정_코스수당!$A$15:$A$64,0),MATCH($E1139&amp;"수당",설정_코스수당!$B$14:$F$14,0)),0)),0)</f>
        <v>0</v>
      </c>
      <c r="M1139" s="33">
        <f>IF($O1139="방문완료",IFERROR(VLOOKUP($E1139,설정_코스수당!$A$6:$H$10,6,FALSE),0),0)</f>
        <v>0</v>
      </c>
      <c r="N1139" s="34">
        <f t="shared" si="32"/>
        <v>0</v>
      </c>
      <c r="O1139" s="29"/>
      <c r="P1139" s="29"/>
      <c r="Q1139" s="29"/>
      <c r="R1139" s="32"/>
      <c r="S1139" s="29"/>
    </row>
    <row r="1140" spans="1:27" ht="19.5" hidden="1" customHeight="1" outlineLevel="1">
      <c r="A1140" s="23">
        <v>97</v>
      </c>
      <c r="B1140" s="24">
        <f>IF(11&lt;=DAY(DATE(YEAR(설정_코스수당!$K$2),MONTH(설정_코스수당!$K$2)+1,0)),DATE(YEAR(설정_코스수당!$K$2),MONTH(설정_코스수당!$K$2),11),"")</f>
        <v>46184</v>
      </c>
      <c r="C1140" s="25"/>
      <c r="D1140" s="23"/>
      <c r="E1140" s="23"/>
      <c r="F1140" s="26"/>
      <c r="G1140" s="23"/>
      <c r="H1140" s="23"/>
      <c r="I1140" s="23"/>
      <c r="J1140" s="27">
        <f>IF($O1140="방문완료",MAX(0,IFERROR(VLOOKUP($E1140,설정_코스수당!$A$6:$H$10,4,FALSE),0)-IF(OR($P1140="",$P1140="없음"),0,100000)),0)</f>
        <v>0</v>
      </c>
      <c r="K1140" s="27">
        <f t="array" ref="K1140">IF($O1140="방문완료",IFERROR(INDEX(설정_코스수당!$B$15:$F$64,MATCH($G1140,설정_코스수당!$A$15:$A$64,0),MATCH($E1140&amp;"수당",설정_코스수당!$B$14:$F$14,0)),0),0)</f>
        <v>0</v>
      </c>
      <c r="L1140" s="27">
        <f t="array" ref="L1140">IF($O1140="방문완료",IF($H1140="",0,IFERROR(INDEX(설정_코스수당!$B$15:$F$64,MATCH($H1140,설정_코스수당!$A$15:$A$64,0),MATCH($E1140&amp;"수당",설정_코스수당!$B$14:$F$14,0)),0)),0)</f>
        <v>0</v>
      </c>
      <c r="M1140" s="27">
        <f>IF($O1140="방문완료",IFERROR(VLOOKUP($E1140,설정_코스수당!$A$6:$H$10,6,FALSE),0),0)</f>
        <v>0</v>
      </c>
      <c r="N1140" s="28">
        <f t="shared" si="32"/>
        <v>0</v>
      </c>
      <c r="O1140" s="23"/>
      <c r="P1140" s="23"/>
      <c r="Q1140" s="23"/>
      <c r="R1140" s="26"/>
      <c r="S1140" s="23"/>
    </row>
    <row r="1141" spans="1:27" ht="19.5" hidden="1" customHeight="1" outlineLevel="1">
      <c r="A1141" s="29">
        <v>98</v>
      </c>
      <c r="B1141" s="30">
        <f>IF(11&lt;=DAY(DATE(YEAR(설정_코스수당!$K$2),MONTH(설정_코스수당!$K$2)+1,0)),DATE(YEAR(설정_코스수당!$K$2),MONTH(설정_코스수당!$K$2),11),"")</f>
        <v>46184</v>
      </c>
      <c r="C1141" s="31"/>
      <c r="D1141" s="29"/>
      <c r="E1141" s="29"/>
      <c r="F1141" s="32"/>
      <c r="G1141" s="29"/>
      <c r="H1141" s="29"/>
      <c r="I1141" s="29"/>
      <c r="J1141" s="33">
        <f>IF($O1141="방문완료",MAX(0,IFERROR(VLOOKUP($E1141,설정_코스수당!$A$6:$H$10,4,FALSE),0)-IF(OR($P1141="",$P1141="없음"),0,100000)),0)</f>
        <v>0</v>
      </c>
      <c r="K1141" s="33">
        <f t="array" ref="K1141">IF($O1141="방문완료",IFERROR(INDEX(설정_코스수당!$B$15:$F$64,MATCH($G1141,설정_코스수당!$A$15:$A$64,0),MATCH($E1141&amp;"수당",설정_코스수당!$B$14:$F$14,0)),0),0)</f>
        <v>0</v>
      </c>
      <c r="L1141" s="33">
        <f t="array" ref="L1141">IF($O1141="방문완료",IF($H1141="",0,IFERROR(INDEX(설정_코스수당!$B$15:$F$64,MATCH($H1141,설정_코스수당!$A$15:$A$64,0),MATCH($E1141&amp;"수당",설정_코스수당!$B$14:$F$14,0)),0)),0)</f>
        <v>0</v>
      </c>
      <c r="M1141" s="33">
        <f>IF($O1141="방문완료",IFERROR(VLOOKUP($E1141,설정_코스수당!$A$6:$H$10,6,FALSE),0),0)</f>
        <v>0</v>
      </c>
      <c r="N1141" s="34">
        <f t="shared" si="32"/>
        <v>0</v>
      </c>
      <c r="O1141" s="29"/>
      <c r="P1141" s="29"/>
      <c r="Q1141" s="29"/>
      <c r="R1141" s="32"/>
      <c r="S1141" s="29"/>
    </row>
    <row r="1142" spans="1:27" ht="19.5" hidden="1" customHeight="1" outlineLevel="1">
      <c r="A1142" s="23">
        <v>99</v>
      </c>
      <c r="B1142" s="24">
        <f>IF(11&lt;=DAY(DATE(YEAR(설정_코스수당!$K$2),MONTH(설정_코스수당!$K$2)+1,0)),DATE(YEAR(설정_코스수당!$K$2),MONTH(설정_코스수당!$K$2),11),"")</f>
        <v>46184</v>
      </c>
      <c r="C1142" s="25"/>
      <c r="D1142" s="23"/>
      <c r="E1142" s="23"/>
      <c r="F1142" s="26"/>
      <c r="G1142" s="23"/>
      <c r="H1142" s="23"/>
      <c r="I1142" s="23"/>
      <c r="J1142" s="27">
        <f>IF($O1142="방문완료",MAX(0,IFERROR(VLOOKUP($E1142,설정_코스수당!$A$6:$H$10,4,FALSE),0)-IF(OR($P1142="",$P1142="없음"),0,100000)),0)</f>
        <v>0</v>
      </c>
      <c r="K1142" s="27">
        <f t="array" ref="K1142">IF($O1142="방문완료",IFERROR(INDEX(설정_코스수당!$B$15:$F$64,MATCH($G1142,설정_코스수당!$A$15:$A$64,0),MATCH($E1142&amp;"수당",설정_코스수당!$B$14:$F$14,0)),0),0)</f>
        <v>0</v>
      </c>
      <c r="L1142" s="27">
        <f t="array" ref="L1142">IF($O1142="방문완료",IF($H1142="",0,IFERROR(INDEX(설정_코스수당!$B$15:$F$64,MATCH($H1142,설정_코스수당!$A$15:$A$64,0),MATCH($E1142&amp;"수당",설정_코스수당!$B$14:$F$14,0)),0)),0)</f>
        <v>0</v>
      </c>
      <c r="M1142" s="27">
        <f>IF($O1142="방문완료",IFERROR(VLOOKUP($E1142,설정_코스수당!$A$6:$H$10,6,FALSE),0),0)</f>
        <v>0</v>
      </c>
      <c r="N1142" s="28">
        <f t="shared" si="32"/>
        <v>0</v>
      </c>
      <c r="O1142" s="23"/>
      <c r="P1142" s="23"/>
      <c r="Q1142" s="23"/>
      <c r="R1142" s="26"/>
      <c r="S1142" s="23"/>
    </row>
    <row r="1143" spans="1:27" ht="19.5" hidden="1" customHeight="1" outlineLevel="1">
      <c r="A1143" s="29">
        <v>100</v>
      </c>
      <c r="B1143" s="30">
        <f>IF(11&lt;=DAY(DATE(YEAR(설정_코스수당!$K$2),MONTH(설정_코스수당!$K$2)+1,0)),DATE(YEAR(설정_코스수당!$K$2),MONTH(설정_코스수당!$K$2),11),"")</f>
        <v>46184</v>
      </c>
      <c r="C1143" s="31"/>
      <c r="D1143" s="29"/>
      <c r="E1143" s="29"/>
      <c r="F1143" s="32"/>
      <c r="G1143" s="29"/>
      <c r="H1143" s="29"/>
      <c r="I1143" s="29"/>
      <c r="J1143" s="33">
        <f>IF($O1143="방문완료",MAX(0,IFERROR(VLOOKUP($E1143,설정_코스수당!$A$6:$H$10,4,FALSE),0)-IF(OR($P1143="",$P1143="없음"),0,100000)),0)</f>
        <v>0</v>
      </c>
      <c r="K1143" s="33">
        <f t="array" ref="K1143">IF($O1143="방문완료",IFERROR(INDEX(설정_코스수당!$B$15:$F$64,MATCH($G1143,설정_코스수당!$A$15:$A$64,0),MATCH($E1143&amp;"수당",설정_코스수당!$B$14:$F$14,0)),0),0)</f>
        <v>0</v>
      </c>
      <c r="L1143" s="33">
        <f t="array" ref="L1143">IF($O1143="방문완료",IF($H1143="",0,IFERROR(INDEX(설정_코스수당!$B$15:$F$64,MATCH($H1143,설정_코스수당!$A$15:$A$64,0),MATCH($E1143&amp;"수당",설정_코스수당!$B$14:$F$14,0)),0)),0)</f>
        <v>0</v>
      </c>
      <c r="M1143" s="33">
        <f>IF($O1143="방문완료",IFERROR(VLOOKUP($E1143,설정_코스수당!$A$6:$H$10,6,FALSE),0),0)</f>
        <v>0</v>
      </c>
      <c r="N1143" s="34">
        <f t="shared" si="32"/>
        <v>0</v>
      </c>
      <c r="O1143" s="29"/>
      <c r="P1143" s="29"/>
      <c r="Q1143" s="29"/>
      <c r="R1143" s="32"/>
      <c r="S1143" s="29"/>
    </row>
    <row r="1144" spans="1:27" ht="19.5" hidden="1" customHeight="1" outlineLevel="1">
      <c r="A1144" s="36" t="s">
        <v>79</v>
      </c>
      <c r="B1144" s="37"/>
      <c r="C1144" s="38"/>
      <c r="D1144" s="37"/>
      <c r="E1144" s="37"/>
      <c r="F1144" s="37"/>
      <c r="G1144" s="37"/>
      <c r="H1144" s="37"/>
      <c r="I1144" s="37"/>
      <c r="J1144" s="37">
        <f>IF($O1144="방문완료",MAX(0,IFERROR(VLOOKUP($E1144,설정_코스수당!$A$6:$H$10,4,FALSE),0)-IF(OR($P1144="",$P1144="없음"),0,100000)),0)</f>
        <v>0</v>
      </c>
      <c r="O1144" s="18"/>
      <c r="P1144" s="14"/>
      <c r="Q1144" s="18"/>
      <c r="S1144" s="18"/>
    </row>
    <row r="1145" spans="1:27" ht="21" customHeight="1" collapsed="1">
      <c r="A1145" s="123" t="str">
        <f>IF(12&lt;=DAY(DATE(YEAR(설정_코스수당!$K$2),MONTH(설정_코스수당!$K$2)+1,0)),TEXT(DATE(YEAR(설정_코스수당!$K$2),MONTH(설정_코스수당!$K$2),12),"yyyy-mm-dd")&amp;"  |  예약관리 100슬롯","")</f>
        <v>2026-06-12  |  예약관리 100슬롯</v>
      </c>
      <c r="B1145" s="124"/>
      <c r="C1145" s="124"/>
      <c r="D1145" s="124"/>
      <c r="E1145" s="124"/>
      <c r="F1145" s="124"/>
      <c r="G1145" s="124"/>
      <c r="H1145" s="124"/>
      <c r="I1145" s="124"/>
      <c r="J1145" s="124"/>
      <c r="K1145" s="124"/>
      <c r="L1145" s="124"/>
      <c r="M1145" s="124"/>
      <c r="N1145" s="124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</row>
    <row r="1146" spans="1:27" ht="19.5" hidden="1" customHeight="1" outlineLevel="1">
      <c r="A1146" s="20" t="s">
        <v>41</v>
      </c>
      <c r="B1146" s="20" t="s">
        <v>42</v>
      </c>
      <c r="C1146" s="39" t="s">
        <v>43</v>
      </c>
      <c r="D1146" s="20" t="s">
        <v>44</v>
      </c>
      <c r="E1146" s="20" t="s">
        <v>45</v>
      </c>
      <c r="F1146" s="20" t="s">
        <v>46</v>
      </c>
      <c r="G1146" s="20" t="s">
        <v>47</v>
      </c>
      <c r="H1146" s="20" t="s">
        <v>48</v>
      </c>
      <c r="I1146" s="20" t="s">
        <v>49</v>
      </c>
      <c r="J1146" s="20" t="s">
        <v>50</v>
      </c>
      <c r="K1146" s="20" t="s">
        <v>51</v>
      </c>
      <c r="L1146" s="20" t="s">
        <v>52</v>
      </c>
      <c r="M1146" s="20" t="s">
        <v>53</v>
      </c>
      <c r="N1146" s="20" t="s">
        <v>54</v>
      </c>
      <c r="O1146" s="20" t="s">
        <v>55</v>
      </c>
      <c r="P1146" s="20" t="s">
        <v>56</v>
      </c>
      <c r="Q1146" s="18"/>
      <c r="R1146" s="20" t="s">
        <v>58</v>
      </c>
      <c r="S1146" s="20" t="s">
        <v>59</v>
      </c>
      <c r="U1146" s="122" t="str">
        <f>IF(12&lt;=DAY(DATE(YEAR(설정_코스수당!$K$2),MONTH(설정_코스수당!$K$2)+1,0)),TEXT(DATE(YEAR(설정_코스수당!$K$2),MONTH(설정_코스수당!$K$2),12),"yyyy-mm-dd")&amp;" 일일 상태","")</f>
        <v>2026-06-12 일일 상태</v>
      </c>
      <c r="V1146" s="125"/>
      <c r="W1146" s="122" t="s">
        <v>3</v>
      </c>
      <c r="X1146" s="125"/>
    </row>
    <row r="1147" spans="1:27" ht="19.5" hidden="1" customHeight="1" outlineLevel="1">
      <c r="A1147" s="23">
        <v>1</v>
      </c>
      <c r="B1147" s="24">
        <f>IF(12&lt;=DAY(DATE(YEAR(설정_코스수당!$K$2),MONTH(설정_코스수당!$K$2)+1,0)),DATE(YEAR(설정_코스수당!$K$2),MONTH(설정_코스수당!$K$2),12),"")</f>
        <v>46185</v>
      </c>
      <c r="C1147" s="25"/>
      <c r="D1147" s="23"/>
      <c r="E1147" s="23"/>
      <c r="F1147" s="26"/>
      <c r="G1147" s="23"/>
      <c r="H1147" s="23"/>
      <c r="I1147" s="23"/>
      <c r="J1147" s="27">
        <f>IF($O1147="방문완료",MAX(0,IFERROR(VLOOKUP($E1147,설정_코스수당!$A$6:$H$10,4,FALSE),0)-IF(OR($P1147="",$P1147="없음"),0,100000)),0)</f>
        <v>0</v>
      </c>
      <c r="K1147" s="27">
        <f t="array" ref="K1147">IF($O1147="방문완료",IFERROR(INDEX(설정_코스수당!$B$15:$F$64,MATCH($G1147,설정_코스수당!$A$15:$A$64,0),MATCH($E1147&amp;"수당",설정_코스수당!$B$14:$F$14,0)),0),0)</f>
        <v>0</v>
      </c>
      <c r="L1147" s="27">
        <f t="array" ref="L1147">IF($O1147="방문완료",IF($H1147="",0,IFERROR(INDEX(설정_코스수당!$B$15:$F$64,MATCH($H1147,설정_코스수당!$A$15:$A$64,0),MATCH($E1147&amp;"수당",설정_코스수당!$B$14:$F$14,0)),0)),0)</f>
        <v>0</v>
      </c>
      <c r="M1147" s="27">
        <f>IF($O1147="방문완료",IFERROR(VLOOKUP($E1147,설정_코스수당!$A$6:$H$10,6,FALSE),0),0)</f>
        <v>0</v>
      </c>
      <c r="N1147" s="28">
        <f t="shared" ref="N1147:N1178" si="33">IF($O1147="방문완료",1,0)</f>
        <v>0</v>
      </c>
      <c r="O1147" s="23"/>
      <c r="P1147" s="23"/>
      <c r="Q1147" s="23"/>
      <c r="R1147" s="26"/>
      <c r="S1147" s="23"/>
      <c r="U1147" s="104" t="s">
        <v>63</v>
      </c>
      <c r="V1147" s="105">
        <f>IF(12&lt;=DAY(DATE(YEAR(설정_코스수당!$K$2),MONTH(설정_코스수당!$K$2)+1,0)),COUNTIFS($B:$B,DATE(YEAR(설정_코스수당!$K$2),MONTH(설정_코스수당!$K$2),12),$O:$O,"&lt;&gt;"),"")</f>
        <v>0</v>
      </c>
      <c r="W1147" s="104" t="s">
        <v>6</v>
      </c>
      <c r="X1147" s="105">
        <f>IF(12&lt;=DAY(DATE(YEAR(설정_코스수당!$K$2),MONTH(설정_코스수당!$K$2)+1,0)),COUNTIFS($B:$B,DATE(YEAR(설정_코스수당!$K$2),MONTH(설정_코스수당!$K$2),12),$E:$E,"A",$O:$O,"방문완료"),"")</f>
        <v>0</v>
      </c>
    </row>
    <row r="1148" spans="1:27" ht="19.5" hidden="1" customHeight="1" outlineLevel="1">
      <c r="A1148" s="29">
        <v>2</v>
      </c>
      <c r="B1148" s="30">
        <f>IF(12&lt;=DAY(DATE(YEAR(설정_코스수당!$K$2),MONTH(설정_코스수당!$K$2)+1,0)),DATE(YEAR(설정_코스수당!$K$2),MONTH(설정_코스수당!$K$2),12),"")</f>
        <v>46185</v>
      </c>
      <c r="C1148" s="31"/>
      <c r="D1148" s="29"/>
      <c r="E1148" s="29"/>
      <c r="F1148" s="32"/>
      <c r="G1148" s="29"/>
      <c r="H1148" s="29"/>
      <c r="I1148" s="29"/>
      <c r="J1148" s="33">
        <f>IF($O1148="방문완료",MAX(0,IFERROR(VLOOKUP($E1148,설정_코스수당!$A$6:$H$10,4,FALSE),0)-IF(OR($P1148="",$P1148="없음"),0,100000)),0)</f>
        <v>0</v>
      </c>
      <c r="K1148" s="33">
        <f t="array" ref="K1148">IF($O1148="방문완료",IFERROR(INDEX(설정_코스수당!$B$15:$F$64,MATCH($G1148,설정_코스수당!$A$15:$A$64,0),MATCH($E1148&amp;"수당",설정_코스수당!$B$14:$F$14,0)),0),0)</f>
        <v>0</v>
      </c>
      <c r="L1148" s="33">
        <f t="array" ref="L1148">IF($O1148="방문완료",IF($H1148="",0,IFERROR(INDEX(설정_코스수당!$B$15:$F$64,MATCH($H1148,설정_코스수당!$A$15:$A$64,0),MATCH($E1148&amp;"수당",설정_코스수당!$B$14:$F$14,0)),0)),0)</f>
        <v>0</v>
      </c>
      <c r="M1148" s="33">
        <f>IF($O1148="방문완료",IFERROR(VLOOKUP($E1148,설정_코스수당!$A$6:$H$10,6,FALSE),0),0)</f>
        <v>0</v>
      </c>
      <c r="N1148" s="34">
        <f t="shared" si="33"/>
        <v>0</v>
      </c>
      <c r="O1148" s="29"/>
      <c r="P1148" s="29"/>
      <c r="Q1148" s="29"/>
      <c r="R1148" s="32"/>
      <c r="S1148" s="29"/>
      <c r="U1148" s="104" t="s">
        <v>62</v>
      </c>
      <c r="V1148" s="105">
        <f>IF(12&lt;=DAY(DATE(YEAR(설정_코스수당!$K$2),MONTH(설정_코스수당!$K$2)+1,0)),COUNTIFS($B:$B,DATE(YEAR(설정_코스수당!$K$2),MONTH(설정_코스수당!$K$2),12),$O:$O,"방문완료"),"")</f>
        <v>0</v>
      </c>
      <c r="W1148" s="104" t="s">
        <v>9</v>
      </c>
      <c r="X1148" s="105">
        <f>IF(12&lt;=DAY(DATE(YEAR(설정_코스수당!$K$2),MONTH(설정_코스수당!$K$2)+1,0)),COUNTIFS($B:$B,DATE(YEAR(설정_코스수당!$K$2),MONTH(설정_코스수당!$K$2),12),$E:$E,"B",$O:$O,"방문완료"),"")</f>
        <v>0</v>
      </c>
    </row>
    <row r="1149" spans="1:27" ht="19.5" hidden="1" customHeight="1" outlineLevel="1">
      <c r="A1149" s="23">
        <v>3</v>
      </c>
      <c r="B1149" s="24">
        <f>IF(12&lt;=DAY(DATE(YEAR(설정_코스수당!$K$2),MONTH(설정_코스수당!$K$2)+1,0)),DATE(YEAR(설정_코스수당!$K$2),MONTH(설정_코스수당!$K$2),12),"")</f>
        <v>46185</v>
      </c>
      <c r="C1149" s="25"/>
      <c r="D1149" s="23"/>
      <c r="E1149" s="23"/>
      <c r="F1149" s="26"/>
      <c r="G1149" s="23"/>
      <c r="H1149" s="23"/>
      <c r="I1149" s="23"/>
      <c r="J1149" s="27">
        <f>IF($O1149="방문완료",MAX(0,IFERROR(VLOOKUP($E1149,설정_코스수당!$A$6:$H$10,4,FALSE),0)-IF(OR($P1149="",$P1149="없음"),0,100000)),0)</f>
        <v>0</v>
      </c>
      <c r="K1149" s="27">
        <f t="array" ref="K1149">IF($O1149="방문완료",IFERROR(INDEX(설정_코스수당!$B$15:$F$64,MATCH($G1149,설정_코스수당!$A$15:$A$64,0),MATCH($E1149&amp;"수당",설정_코스수당!$B$14:$F$14,0)),0),0)</f>
        <v>0</v>
      </c>
      <c r="L1149" s="27">
        <f t="array" ref="L1149">IF($O1149="방문완료",IF($H1149="",0,IFERROR(INDEX(설정_코스수당!$B$15:$F$64,MATCH($H1149,설정_코스수당!$A$15:$A$64,0),MATCH($E1149&amp;"수당",설정_코스수당!$B$14:$F$14,0)),0)),0)</f>
        <v>0</v>
      </c>
      <c r="M1149" s="27">
        <f>IF($O1149="방문완료",IFERROR(VLOOKUP($E1149,설정_코스수당!$A$6:$H$10,6,FALSE),0),0)</f>
        <v>0</v>
      </c>
      <c r="N1149" s="28">
        <f t="shared" si="33"/>
        <v>0</v>
      </c>
      <c r="O1149" s="23"/>
      <c r="P1149" s="23"/>
      <c r="Q1149" s="23"/>
      <c r="R1149" s="26"/>
      <c r="S1149" s="23"/>
      <c r="U1149" s="104" t="s">
        <v>68</v>
      </c>
      <c r="V1149" s="105" t="str">
        <f>IF(12&lt;=DAY(DATE(YEAR(설정_코스수당!$K$2),MONTH(설정_코스수당!$K$2)+1,0)),COUNTIFS($B:$B,DATE(YEAR(설정_코스수당!$K$2),MONTH(설정_코스수당!$K$2),12),$O:$O,"노쇼")&amp;"/"&amp;COUNTIFS($B:$B,DATE(YEAR(설정_코스수당!$K$2),MONTH(설정_코스수당!$K$2),12),$O:$O,"취소"),"")</f>
        <v>0/0</v>
      </c>
      <c r="W1149" s="104" t="s">
        <v>12</v>
      </c>
      <c r="X1149" s="105">
        <f>IF(12&lt;=DAY(DATE(YEAR(설정_코스수당!$K$2),MONTH(설정_코스수당!$K$2)+1,0)),COUNTIFS($B:$B,DATE(YEAR(설정_코스수당!$K$2),MONTH(설정_코스수당!$K$2),12),$E:$E,"C",$O:$O,"방문완료"),"")</f>
        <v>0</v>
      </c>
    </row>
    <row r="1150" spans="1:27" ht="19.5" hidden="1" customHeight="1" outlineLevel="1">
      <c r="A1150" s="29">
        <v>4</v>
      </c>
      <c r="B1150" s="30">
        <f>IF(12&lt;=DAY(DATE(YEAR(설정_코스수당!$K$2),MONTH(설정_코스수당!$K$2)+1,0)),DATE(YEAR(설정_코스수당!$K$2),MONTH(설정_코스수당!$K$2),12),"")</f>
        <v>46185</v>
      </c>
      <c r="C1150" s="31"/>
      <c r="D1150" s="29"/>
      <c r="E1150" s="29"/>
      <c r="F1150" s="32"/>
      <c r="G1150" s="29"/>
      <c r="H1150" s="29"/>
      <c r="I1150" s="29"/>
      <c r="J1150" s="33">
        <f>IF($O1150="방문완료",MAX(0,IFERROR(VLOOKUP($E1150,설정_코스수당!$A$6:$H$10,4,FALSE),0)-IF(OR($P1150="",$P1150="없음"),0,100000)),0)</f>
        <v>0</v>
      </c>
      <c r="K1150" s="33">
        <f t="array" ref="K1150">IF($O1150="방문완료",IFERROR(INDEX(설정_코스수당!$B$15:$F$64,MATCH($G1150,설정_코스수당!$A$15:$A$64,0),MATCH($E1150&amp;"수당",설정_코스수당!$B$14:$F$14,0)),0),0)</f>
        <v>0</v>
      </c>
      <c r="L1150" s="33">
        <f t="array" ref="L1150">IF($O1150="방문완료",IF($H1150="",0,IFERROR(INDEX(설정_코스수당!$B$15:$F$64,MATCH($H1150,설정_코스수당!$A$15:$A$64,0),MATCH($E1150&amp;"수당",설정_코스수당!$B$14:$F$14,0)),0)),0)</f>
        <v>0</v>
      </c>
      <c r="M1150" s="33">
        <f>IF($O1150="방문완료",IFERROR(VLOOKUP($E1150,설정_코스수당!$A$6:$H$10,6,FALSE),0),0)</f>
        <v>0</v>
      </c>
      <c r="N1150" s="34">
        <f t="shared" si="33"/>
        <v>0</v>
      </c>
      <c r="O1150" s="29"/>
      <c r="P1150" s="29"/>
      <c r="Q1150" s="29"/>
      <c r="R1150" s="32"/>
      <c r="S1150" s="29"/>
      <c r="U1150" s="104" t="s">
        <v>69</v>
      </c>
      <c r="V1150" s="106">
        <f>IF(12&lt;=DAY(DATE(YEAR(설정_코스수당!$K$2),MONTH(설정_코스수당!$K$2)+1,0)),SUMIFS($J:$J,$B:$B,DATE(YEAR(설정_코스수당!$K$2),MONTH(설정_코스수당!$K$2),12),$O:$O,"방문완료"),"")</f>
        <v>0</v>
      </c>
      <c r="W1150" s="104" t="s">
        <v>15</v>
      </c>
      <c r="X1150" s="105">
        <f>IF(12&lt;=DAY(DATE(YEAR(설정_코스수당!$K$2),MONTH(설정_코스수당!$K$2)+1,0)),COUNTIFS($B:$B,DATE(YEAR(설정_코스수당!$K$2),MONTH(설정_코스수당!$K$2),12),$E:$E,"D",$O:$O,"방문완료"),"")</f>
        <v>0</v>
      </c>
    </row>
    <row r="1151" spans="1:27" ht="19.5" hidden="1" customHeight="1" outlineLevel="1">
      <c r="A1151" s="23">
        <v>5</v>
      </c>
      <c r="B1151" s="24">
        <f>IF(12&lt;=DAY(DATE(YEAR(설정_코스수당!$K$2),MONTH(설정_코스수당!$K$2)+1,0)),DATE(YEAR(설정_코스수당!$K$2),MONTH(설정_코스수당!$K$2),12),"")</f>
        <v>46185</v>
      </c>
      <c r="C1151" s="25"/>
      <c r="D1151" s="23"/>
      <c r="E1151" s="23"/>
      <c r="F1151" s="26"/>
      <c r="G1151" s="23"/>
      <c r="H1151" s="23"/>
      <c r="I1151" s="23"/>
      <c r="J1151" s="27">
        <f>IF($O1151="방문완료",MAX(0,IFERROR(VLOOKUP($E1151,설정_코스수당!$A$6:$H$10,4,FALSE),0)-IF(OR($P1151="",$P1151="없음"),0,100000)),0)</f>
        <v>0</v>
      </c>
      <c r="K1151" s="27">
        <f t="array" ref="K1151">IF($O1151="방문완료",IFERROR(INDEX(설정_코스수당!$B$15:$F$64,MATCH($G1151,설정_코스수당!$A$15:$A$64,0),MATCH($E1151&amp;"수당",설정_코스수당!$B$14:$F$14,0)),0),0)</f>
        <v>0</v>
      </c>
      <c r="L1151" s="27">
        <f t="array" ref="L1151">IF($O1151="방문완료",IF($H1151="",0,IFERROR(INDEX(설정_코스수당!$B$15:$F$64,MATCH($H1151,설정_코스수당!$A$15:$A$64,0),MATCH($E1151&amp;"수당",설정_코스수당!$B$14:$F$14,0)),0)),0)</f>
        <v>0</v>
      </c>
      <c r="M1151" s="27">
        <f>IF($O1151="방문완료",IFERROR(VLOOKUP($E1151,설정_코스수당!$A$6:$H$10,6,FALSE),0),0)</f>
        <v>0</v>
      </c>
      <c r="N1151" s="28">
        <f t="shared" si="33"/>
        <v>0</v>
      </c>
      <c r="O1151" s="23"/>
      <c r="P1151" s="23"/>
      <c r="Q1151" s="23"/>
      <c r="R1151" s="26"/>
      <c r="S1151" s="23"/>
      <c r="U1151" s="104" t="s">
        <v>70</v>
      </c>
      <c r="V1151" s="106">
        <f>IF(12&lt;=DAY(DATE(YEAR(설정_코스수당!$K$2),MONTH(설정_코스수당!$K$2)+1,0)),SUMIFS($K:$K,$B:$B,DATE(YEAR(설정_코스수당!$K$2),MONTH(설정_코스수당!$K$2),12),$O:$O,"방문완료")+SUMIFS($L:$L,$B:$B,DATE(YEAR(설정_코스수당!$K$2),MONTH(설정_코스수당!$K$2),12),$O:$O,"방문완료"),"")</f>
        <v>0</v>
      </c>
      <c r="W1151" s="104" t="s">
        <v>18</v>
      </c>
      <c r="X1151" s="105">
        <f>IF(12&lt;=DAY(DATE(YEAR(설정_코스수당!$K$2),MONTH(설정_코스수당!$K$2)+1,0)),COUNTIFS($B:$B,DATE(YEAR(설정_코스수당!$K$2),MONTH(설정_코스수당!$K$2),12),$E:$E,"E",$O:$O,"방문완료"),"")</f>
        <v>0</v>
      </c>
    </row>
    <row r="1152" spans="1:27" ht="19.5" hidden="1" customHeight="1" outlineLevel="1">
      <c r="A1152" s="29">
        <v>6</v>
      </c>
      <c r="B1152" s="30">
        <f>IF(12&lt;=DAY(DATE(YEAR(설정_코스수당!$K$2),MONTH(설정_코스수당!$K$2)+1,0)),DATE(YEAR(설정_코스수당!$K$2),MONTH(설정_코스수당!$K$2),12),"")</f>
        <v>46185</v>
      </c>
      <c r="C1152" s="31"/>
      <c r="D1152" s="29"/>
      <c r="E1152" s="29"/>
      <c r="F1152" s="32"/>
      <c r="G1152" s="29"/>
      <c r="H1152" s="29"/>
      <c r="I1152" s="29"/>
      <c r="J1152" s="33">
        <f>IF($O1152="방문완료",MAX(0,IFERROR(VLOOKUP($E1152,설정_코스수당!$A$6:$H$10,4,FALSE),0)-IF(OR($P1152="",$P1152="없음"),0,100000)),0)</f>
        <v>0</v>
      </c>
      <c r="K1152" s="33">
        <f t="array" ref="K1152">IF($O1152="방문완료",IFERROR(INDEX(설정_코스수당!$B$15:$F$64,MATCH($G1152,설정_코스수당!$A$15:$A$64,0),MATCH($E1152&amp;"수당",설정_코스수당!$B$14:$F$14,0)),0),0)</f>
        <v>0</v>
      </c>
      <c r="L1152" s="33">
        <f t="array" ref="L1152">IF($O1152="방문완료",IF($H1152="",0,IFERROR(INDEX(설정_코스수당!$B$15:$F$64,MATCH($H1152,설정_코스수당!$A$15:$A$64,0),MATCH($E1152&amp;"수당",설정_코스수당!$B$14:$F$14,0)),0)),0)</f>
        <v>0</v>
      </c>
      <c r="M1152" s="33">
        <f>IF($O1152="방문완료",IFERROR(VLOOKUP($E1152,설정_코스수당!$A$6:$H$10,6,FALSE),0),0)</f>
        <v>0</v>
      </c>
      <c r="N1152" s="34">
        <f t="shared" si="33"/>
        <v>0</v>
      </c>
      <c r="O1152" s="29"/>
      <c r="P1152" s="29"/>
      <c r="Q1152" s="29"/>
      <c r="R1152" s="32"/>
      <c r="S1152" s="29"/>
      <c r="U1152" s="104" t="s">
        <v>53</v>
      </c>
      <c r="V1152" s="106">
        <f>IF(12&lt;=DAY(DATE(YEAR(설정_코스수당!$K$2),MONTH(설정_코스수당!$K$2)+1,0)),SUMIFS($M:$M,$B:$B,DATE(YEAR(설정_코스수당!$K$2),MONTH(설정_코스수당!$K$2),12),$O:$O,"방문완료"),"")</f>
        <v>0</v>
      </c>
      <c r="W1152" s="104" t="s">
        <v>71</v>
      </c>
      <c r="X1152" s="107">
        <f>IF(12&lt;=DAY(DATE(YEAR(설정_코스수당!$K$2),MONTH(설정_코스수당!$K$2)+1,0)),COUNTIFS($B:$B,DATE(YEAR(설정_코스수당!$K$2),MONTH(설정_코스수당!$K$2),12),$O:$O,"방문완료",$P:$P,"&lt;&gt;",$P:$P,"&lt;&gt;없음"),"")</f>
        <v>0</v>
      </c>
    </row>
    <row r="1153" spans="1:24" ht="19.5" hidden="1" customHeight="1" outlineLevel="1">
      <c r="A1153" s="23">
        <v>7</v>
      </c>
      <c r="B1153" s="24">
        <f>IF(12&lt;=DAY(DATE(YEAR(설정_코스수당!$K$2),MONTH(설정_코스수당!$K$2)+1,0)),DATE(YEAR(설정_코스수당!$K$2),MONTH(설정_코스수당!$K$2),12),"")</f>
        <v>46185</v>
      </c>
      <c r="C1153" s="25"/>
      <c r="D1153" s="23"/>
      <c r="E1153" s="23"/>
      <c r="F1153" s="26"/>
      <c r="G1153" s="23"/>
      <c r="H1153" s="23"/>
      <c r="I1153" s="23"/>
      <c r="J1153" s="27">
        <f>IF($O1153="방문완료",MAX(0,IFERROR(VLOOKUP($E1153,설정_코스수당!$A$6:$H$10,4,FALSE),0)-IF(OR($P1153="",$P1153="없음"),0,100000)),0)</f>
        <v>0</v>
      </c>
      <c r="K1153" s="27">
        <f t="array" ref="K1153">IF($O1153="방문완료",IFERROR(INDEX(설정_코스수당!$B$15:$F$64,MATCH($G1153,설정_코스수당!$A$15:$A$64,0),MATCH($E1153&amp;"수당",설정_코스수당!$B$14:$F$14,0)),0),0)</f>
        <v>0</v>
      </c>
      <c r="L1153" s="27">
        <f t="array" ref="L1153">IF($O1153="방문완료",IF($H1153="",0,IFERROR(INDEX(설정_코스수당!$B$15:$F$64,MATCH($H1153,설정_코스수당!$A$15:$A$64,0),MATCH($E1153&amp;"수당",설정_코스수당!$B$14:$F$14,0)),0)),0)</f>
        <v>0</v>
      </c>
      <c r="M1153" s="27">
        <f>IF($O1153="방문완료",IFERROR(VLOOKUP($E1153,설정_코스수당!$A$6:$H$10,6,FALSE),0),0)</f>
        <v>0</v>
      </c>
      <c r="N1153" s="28">
        <f t="shared" si="33"/>
        <v>0</v>
      </c>
      <c r="O1153" s="23"/>
      <c r="P1153" s="23"/>
      <c r="Q1153" s="23"/>
      <c r="R1153" s="26"/>
      <c r="S1153" s="23"/>
      <c r="U1153" s="104" t="s">
        <v>72</v>
      </c>
      <c r="V1153" s="108">
        <f>IF(12&lt;=DAY(DATE(YEAR(설정_코스수당!$K$2),MONTH(설정_코스수당!$K$2)+1,0)),COUNTIFS($B:$B,DATE(YEAR(설정_코스수당!$K$2),MONTH(설정_코스수당!$K$2),12),$O:$O,"방문완료",$P:$P,"&lt;&gt;",$P:$P,"&lt;&gt;없음")*100000,"")</f>
        <v>0</v>
      </c>
      <c r="W1153" s="104" t="s">
        <v>73</v>
      </c>
      <c r="X1153" s="105">
        <f>IF(12&lt;=DAY(DATE(YEAR(설정_코스수당!$K$2),MONTH(설정_코스수당!$K$2)+1,0)),COUNTIFS($B:$B,DATE(YEAR(설정_코스수당!$K$2),MONTH(설정_코스수당!$K$2),12),$G:$G,"&lt;&gt;",$O:$O,"방문완료")+COUNTIFS($B:$B,DATE(YEAR(설정_코스수당!$K$2),MONTH(설정_코스수당!$K$2),12),$H:$H,"&lt;&gt;",$O:$O,"방문완료"),"")</f>
        <v>0</v>
      </c>
    </row>
    <row r="1154" spans="1:24" ht="19.5" hidden="1" customHeight="1" outlineLevel="1">
      <c r="A1154" s="29">
        <v>8</v>
      </c>
      <c r="B1154" s="30">
        <f>IF(12&lt;=DAY(DATE(YEAR(설정_코스수당!$K$2),MONTH(설정_코스수당!$K$2)+1,0)),DATE(YEAR(설정_코스수당!$K$2),MONTH(설정_코스수당!$K$2),12),"")</f>
        <v>46185</v>
      </c>
      <c r="C1154" s="31"/>
      <c r="D1154" s="29"/>
      <c r="E1154" s="29"/>
      <c r="F1154" s="32"/>
      <c r="G1154" s="29"/>
      <c r="H1154" s="29"/>
      <c r="I1154" s="29"/>
      <c r="J1154" s="33">
        <f>IF($O1154="방문완료",MAX(0,IFERROR(VLOOKUP($E1154,설정_코스수당!$A$6:$H$10,4,FALSE),0)-IF(OR($P1154="",$P1154="없음"),0,100000)),0)</f>
        <v>0</v>
      </c>
      <c r="K1154" s="33">
        <f t="array" ref="K1154">IF($O1154="방문완료",IFERROR(INDEX(설정_코스수당!$B$15:$F$64,MATCH($G1154,설정_코스수당!$A$15:$A$64,0),MATCH($E1154&amp;"수당",설정_코스수당!$B$14:$F$14,0)),0),0)</f>
        <v>0</v>
      </c>
      <c r="L1154" s="33">
        <f t="array" ref="L1154">IF($O1154="방문완료",IF($H1154="",0,IFERROR(INDEX(설정_코스수당!$B$15:$F$64,MATCH($H1154,설정_코스수당!$A$15:$A$64,0),MATCH($E1154&amp;"수당",설정_코스수당!$B$14:$F$14,0)),0)),0)</f>
        <v>0</v>
      </c>
      <c r="M1154" s="33">
        <f>IF($O1154="방문완료",IFERROR(VLOOKUP($E1154,설정_코스수당!$A$6:$H$10,6,FALSE),0),0)</f>
        <v>0</v>
      </c>
      <c r="N1154" s="34">
        <f t="shared" si="33"/>
        <v>0</v>
      </c>
      <c r="O1154" s="29"/>
      <c r="P1154" s="29"/>
      <c r="Q1154" s="29"/>
      <c r="R1154" s="32"/>
      <c r="S1154" s="29"/>
      <c r="U1154" s="104" t="s">
        <v>74</v>
      </c>
      <c r="V1154" s="108">
        <f>IF(12&lt;=DAY(DATE(YEAR(설정_코스수당!$K$2),MONTH(설정_코스수당!$K$2)+1,0)),SUM($U$1158:$U$1165),"")</f>
        <v>0</v>
      </c>
      <c r="W1154" s="122" t="str">
        <f>IF(12&lt;=DAY(DATE(YEAR(설정_코스수당!$K$2),MONTH(설정_코스수당!$K$2)+1,0)),"계 : "&amp;TEXT(V1150-V1154,"#,##0")&amp;" 동","")</f>
        <v>계 : 0 동</v>
      </c>
      <c r="X1154" s="122"/>
    </row>
    <row r="1155" spans="1:24" ht="19.5" hidden="1" customHeight="1" outlineLevel="1">
      <c r="A1155" s="23">
        <v>9</v>
      </c>
      <c r="B1155" s="24">
        <f>IF(12&lt;=DAY(DATE(YEAR(설정_코스수당!$K$2),MONTH(설정_코스수당!$K$2)+1,0)),DATE(YEAR(설정_코스수당!$K$2),MONTH(설정_코스수당!$K$2),12),"")</f>
        <v>46185</v>
      </c>
      <c r="C1155" s="25"/>
      <c r="D1155" s="23"/>
      <c r="E1155" s="23"/>
      <c r="F1155" s="26"/>
      <c r="G1155" s="23"/>
      <c r="H1155" s="23"/>
      <c r="I1155" s="23"/>
      <c r="J1155" s="27">
        <f>IF($O1155="방문완료",MAX(0,IFERROR(VLOOKUP($E1155,설정_코스수당!$A$6:$H$10,4,FALSE),0)-IF(OR($P1155="",$P1155="없음"),0,100000)),0)</f>
        <v>0</v>
      </c>
      <c r="K1155" s="27">
        <f t="array" ref="K1155">IF($O1155="방문완료",IFERROR(INDEX(설정_코스수당!$B$15:$F$64,MATCH($G1155,설정_코스수당!$A$15:$A$64,0),MATCH($E1155&amp;"수당",설정_코스수당!$B$14:$F$14,0)),0),0)</f>
        <v>0</v>
      </c>
      <c r="L1155" s="27">
        <f t="array" ref="L1155">IF($O1155="방문완료",IF($H1155="",0,IFERROR(INDEX(설정_코스수당!$B$15:$F$64,MATCH($H1155,설정_코스수당!$A$15:$A$64,0),MATCH($E1155&amp;"수당",설정_코스수당!$B$14:$F$14,0)),0)),0)</f>
        <v>0</v>
      </c>
      <c r="M1155" s="27">
        <f>IF($O1155="방문완료",IFERROR(VLOOKUP($E1155,설정_코스수당!$A$6:$H$10,6,FALSE),0),0)</f>
        <v>0</v>
      </c>
      <c r="N1155" s="28">
        <f t="shared" si="33"/>
        <v>0</v>
      </c>
      <c r="O1155" s="23"/>
      <c r="P1155" s="23"/>
      <c r="Q1155" s="23"/>
      <c r="R1155" s="26"/>
      <c r="S1155" s="23"/>
    </row>
    <row r="1156" spans="1:24" ht="19.5" hidden="1" customHeight="1" outlineLevel="1">
      <c r="A1156" s="29">
        <v>10</v>
      </c>
      <c r="B1156" s="30">
        <f>IF(12&lt;=DAY(DATE(YEAR(설정_코스수당!$K$2),MONTH(설정_코스수당!$K$2)+1,0)),DATE(YEAR(설정_코스수당!$K$2),MONTH(설정_코스수당!$K$2),12),"")</f>
        <v>46185</v>
      </c>
      <c r="C1156" s="31"/>
      <c r="D1156" s="29"/>
      <c r="E1156" s="29"/>
      <c r="F1156" s="32"/>
      <c r="G1156" s="29"/>
      <c r="H1156" s="29"/>
      <c r="I1156" s="29"/>
      <c r="J1156" s="33">
        <f>IF($O1156="방문완료",MAX(0,IFERROR(VLOOKUP($E1156,설정_코스수당!$A$6:$H$10,4,FALSE),0)-IF(OR($P1156="",$P1156="없음"),0,100000)),0)</f>
        <v>0</v>
      </c>
      <c r="K1156" s="33">
        <f t="array" ref="K1156">IF($O1156="방문완료",IFERROR(INDEX(설정_코스수당!$B$15:$F$64,MATCH($G1156,설정_코스수당!$A$15:$A$64,0),MATCH($E1156&amp;"수당",설정_코스수당!$B$14:$F$14,0)),0),0)</f>
        <v>0</v>
      </c>
      <c r="L1156" s="33">
        <f t="array" ref="L1156">IF($O1156="방문완료",IF($H1156="",0,IFERROR(INDEX(설정_코스수당!$B$15:$F$64,MATCH($H1156,설정_코스수당!$A$15:$A$64,0),MATCH($E1156&amp;"수당",설정_코스수당!$B$14:$F$14,0)),0)),0)</f>
        <v>0</v>
      </c>
      <c r="M1156" s="33">
        <f>IF($O1156="방문완료",IFERROR(VLOOKUP($E1156,설정_코스수당!$A$6:$H$10,6,FALSE),0),0)</f>
        <v>0</v>
      </c>
      <c r="N1156" s="34">
        <f t="shared" si="33"/>
        <v>0</v>
      </c>
      <c r="O1156" s="29"/>
      <c r="P1156" s="29"/>
      <c r="Q1156" s="29"/>
      <c r="R1156" s="32"/>
      <c r="S1156" s="29"/>
      <c r="U1156" s="120" t="s">
        <v>75</v>
      </c>
      <c r="V1156" s="121"/>
      <c r="W1156" s="121"/>
      <c r="X1156" s="121"/>
    </row>
    <row r="1157" spans="1:24" ht="19.5" hidden="1" customHeight="1" outlineLevel="1">
      <c r="A1157" s="23">
        <v>11</v>
      </c>
      <c r="B1157" s="24">
        <f>IF(12&lt;=DAY(DATE(YEAR(설정_코스수당!$K$2),MONTH(설정_코스수당!$K$2)+1,0)),DATE(YEAR(설정_코스수당!$K$2),MONTH(설정_코스수당!$K$2),12),"")</f>
        <v>46185</v>
      </c>
      <c r="C1157" s="25"/>
      <c r="D1157" s="23"/>
      <c r="E1157" s="23"/>
      <c r="F1157" s="26"/>
      <c r="G1157" s="23"/>
      <c r="H1157" s="23"/>
      <c r="I1157" s="23"/>
      <c r="J1157" s="27">
        <f>IF($O1157="방문완료",MAX(0,IFERROR(VLOOKUP($E1157,설정_코스수당!$A$6:$H$10,4,FALSE),0)-IF(OR($P1157="",$P1157="없음"),0,100000)),0)</f>
        <v>0</v>
      </c>
      <c r="K1157" s="27">
        <f t="array" ref="K1157">IF($O1157="방문완료",IFERROR(INDEX(설정_코스수당!$B$15:$F$64,MATCH($G1157,설정_코스수당!$A$15:$A$64,0),MATCH($E1157&amp;"수당",설정_코스수당!$B$14:$F$14,0)),0),0)</f>
        <v>0</v>
      </c>
      <c r="L1157" s="27">
        <f t="array" ref="L1157">IF($O1157="방문완료",IF($H1157="",0,IFERROR(INDEX(설정_코스수당!$B$15:$F$64,MATCH($H1157,설정_코스수당!$A$15:$A$64,0),MATCH($E1157&amp;"수당",설정_코스수당!$B$14:$F$14,0)),0)),0)</f>
        <v>0</v>
      </c>
      <c r="M1157" s="27">
        <f>IF($O1157="방문완료",IFERROR(VLOOKUP($E1157,설정_코스수당!$A$6:$H$10,6,FALSE),0),0)</f>
        <v>0</v>
      </c>
      <c r="N1157" s="28">
        <f t="shared" si="33"/>
        <v>0</v>
      </c>
      <c r="O1157" s="23"/>
      <c r="P1157" s="23"/>
      <c r="Q1157" s="23"/>
      <c r="R1157" s="26"/>
      <c r="S1157" s="23"/>
      <c r="U1157" s="109" t="s">
        <v>76</v>
      </c>
      <c r="V1157" s="109" t="s">
        <v>77</v>
      </c>
      <c r="W1157" s="109" t="s">
        <v>78</v>
      </c>
      <c r="X1157" s="109" t="s">
        <v>58</v>
      </c>
    </row>
    <row r="1158" spans="1:24" ht="19.5" hidden="1" customHeight="1" outlineLevel="1">
      <c r="A1158" s="29">
        <v>12</v>
      </c>
      <c r="B1158" s="30">
        <f>IF(12&lt;=DAY(DATE(YEAR(설정_코스수당!$K$2),MONTH(설정_코스수당!$K$2)+1,0)),DATE(YEAR(설정_코스수당!$K$2),MONTH(설정_코스수당!$K$2),12),"")</f>
        <v>46185</v>
      </c>
      <c r="C1158" s="31"/>
      <c r="D1158" s="29"/>
      <c r="E1158" s="29"/>
      <c r="F1158" s="32"/>
      <c r="G1158" s="29"/>
      <c r="H1158" s="29"/>
      <c r="I1158" s="29"/>
      <c r="J1158" s="33">
        <f>IF($O1158="방문완료",MAX(0,IFERROR(VLOOKUP($E1158,설정_코스수당!$A$6:$H$10,4,FALSE),0)-IF(OR($P1158="",$P1158="없음"),0,100000)),0)</f>
        <v>0</v>
      </c>
      <c r="K1158" s="33">
        <f t="array" ref="K1158">IF($O1158="방문완료",IFERROR(INDEX(설정_코스수당!$B$15:$F$64,MATCH($G1158,설정_코스수당!$A$15:$A$64,0),MATCH($E1158&amp;"수당",설정_코스수당!$B$14:$F$14,0)),0),0)</f>
        <v>0</v>
      </c>
      <c r="L1158" s="33">
        <f t="array" ref="L1158">IF($O1158="방문완료",IF($H1158="",0,IFERROR(INDEX(설정_코스수당!$B$15:$F$64,MATCH($H1158,설정_코스수당!$A$15:$A$64,0),MATCH($E1158&amp;"수당",설정_코스수당!$B$14:$F$14,0)),0)),0)</f>
        <v>0</v>
      </c>
      <c r="M1158" s="33">
        <f>IF($O1158="방문완료",IFERROR(VLOOKUP($E1158,설정_코스수당!$A$6:$H$10,6,FALSE),0),0)</f>
        <v>0</v>
      </c>
      <c r="N1158" s="34">
        <f t="shared" si="33"/>
        <v>0</v>
      </c>
      <c r="O1158" s="29"/>
      <c r="P1158" s="29"/>
      <c r="Q1158" s="29"/>
      <c r="R1158" s="32"/>
      <c r="S1158" s="29"/>
      <c r="U1158" s="113"/>
      <c r="V1158" s="111"/>
      <c r="W1158" s="112"/>
      <c r="X1158" s="111"/>
    </row>
    <row r="1159" spans="1:24" ht="19.5" hidden="1" customHeight="1" outlineLevel="1">
      <c r="A1159" s="23">
        <v>13</v>
      </c>
      <c r="B1159" s="24">
        <f>IF(12&lt;=DAY(DATE(YEAR(설정_코스수당!$K$2),MONTH(설정_코스수당!$K$2)+1,0)),DATE(YEAR(설정_코스수당!$K$2),MONTH(설정_코스수당!$K$2),12),"")</f>
        <v>46185</v>
      </c>
      <c r="C1159" s="25"/>
      <c r="D1159" s="23"/>
      <c r="E1159" s="23"/>
      <c r="F1159" s="26"/>
      <c r="G1159" s="23"/>
      <c r="H1159" s="23"/>
      <c r="I1159" s="23"/>
      <c r="J1159" s="27">
        <f>IF($O1159="방문완료",MAX(0,IFERROR(VLOOKUP($E1159,설정_코스수당!$A$6:$H$10,4,FALSE),0)-IF(OR($P1159="",$P1159="없음"),0,100000)),0)</f>
        <v>0</v>
      </c>
      <c r="K1159" s="27">
        <f t="array" ref="K1159">IF($O1159="방문완료",IFERROR(INDEX(설정_코스수당!$B$15:$F$64,MATCH($G1159,설정_코스수당!$A$15:$A$64,0),MATCH($E1159&amp;"수당",설정_코스수당!$B$14:$F$14,0)),0),0)</f>
        <v>0</v>
      </c>
      <c r="L1159" s="27">
        <f t="array" ref="L1159">IF($O1159="방문완료",IF($H1159="",0,IFERROR(INDEX(설정_코스수당!$B$15:$F$64,MATCH($H1159,설정_코스수당!$A$15:$A$64,0),MATCH($E1159&amp;"수당",설정_코스수당!$B$14:$F$14,0)),0)),0)</f>
        <v>0</v>
      </c>
      <c r="M1159" s="27">
        <f>IF($O1159="방문완료",IFERROR(VLOOKUP($E1159,설정_코스수당!$A$6:$H$10,6,FALSE),0),0)</f>
        <v>0</v>
      </c>
      <c r="N1159" s="28">
        <f t="shared" si="33"/>
        <v>0</v>
      </c>
      <c r="O1159" s="23"/>
      <c r="P1159" s="23"/>
      <c r="Q1159" s="23"/>
      <c r="R1159" s="26"/>
      <c r="S1159" s="23"/>
      <c r="U1159" s="113"/>
      <c r="V1159" s="111"/>
      <c r="W1159" s="112"/>
      <c r="X1159" s="111"/>
    </row>
    <row r="1160" spans="1:24" ht="19.5" hidden="1" customHeight="1" outlineLevel="1">
      <c r="A1160" s="29">
        <v>14</v>
      </c>
      <c r="B1160" s="30">
        <f>IF(12&lt;=DAY(DATE(YEAR(설정_코스수당!$K$2),MONTH(설정_코스수당!$K$2)+1,0)),DATE(YEAR(설정_코스수당!$K$2),MONTH(설정_코스수당!$K$2),12),"")</f>
        <v>46185</v>
      </c>
      <c r="C1160" s="31"/>
      <c r="D1160" s="29"/>
      <c r="E1160" s="29"/>
      <c r="F1160" s="32"/>
      <c r="G1160" s="29"/>
      <c r="H1160" s="29"/>
      <c r="I1160" s="29"/>
      <c r="J1160" s="33">
        <f>IF($O1160="방문완료",MAX(0,IFERROR(VLOOKUP($E1160,설정_코스수당!$A$6:$H$10,4,FALSE),0)-IF(OR($P1160="",$P1160="없음"),0,100000)),0)</f>
        <v>0</v>
      </c>
      <c r="K1160" s="33">
        <f t="array" ref="K1160">IF($O1160="방문완료",IFERROR(INDEX(설정_코스수당!$B$15:$F$64,MATCH($G1160,설정_코스수당!$A$15:$A$64,0),MATCH($E1160&amp;"수당",설정_코스수당!$B$14:$F$14,0)),0),0)</f>
        <v>0</v>
      </c>
      <c r="L1160" s="33">
        <f t="array" ref="L1160">IF($O1160="방문완료",IF($H1160="",0,IFERROR(INDEX(설정_코스수당!$B$15:$F$64,MATCH($H1160,설정_코스수당!$A$15:$A$64,0),MATCH($E1160&amp;"수당",설정_코스수당!$B$14:$F$14,0)),0)),0)</f>
        <v>0</v>
      </c>
      <c r="M1160" s="33">
        <f>IF($O1160="방문완료",IFERROR(VLOOKUP($E1160,설정_코스수당!$A$6:$H$10,6,FALSE),0),0)</f>
        <v>0</v>
      </c>
      <c r="N1160" s="34">
        <f t="shared" si="33"/>
        <v>0</v>
      </c>
      <c r="O1160" s="29"/>
      <c r="P1160" s="29"/>
      <c r="Q1160" s="29"/>
      <c r="R1160" s="32"/>
      <c r="S1160" s="29"/>
      <c r="U1160" s="113"/>
      <c r="V1160" s="111"/>
      <c r="W1160" s="112"/>
      <c r="X1160" s="111"/>
    </row>
    <row r="1161" spans="1:24" ht="19.5" hidden="1" customHeight="1" outlineLevel="1">
      <c r="A1161" s="23">
        <v>15</v>
      </c>
      <c r="B1161" s="24">
        <f>IF(12&lt;=DAY(DATE(YEAR(설정_코스수당!$K$2),MONTH(설정_코스수당!$K$2)+1,0)),DATE(YEAR(설정_코스수당!$K$2),MONTH(설정_코스수당!$K$2),12),"")</f>
        <v>46185</v>
      </c>
      <c r="C1161" s="25"/>
      <c r="D1161" s="23"/>
      <c r="E1161" s="23"/>
      <c r="F1161" s="26"/>
      <c r="G1161" s="23"/>
      <c r="H1161" s="23"/>
      <c r="I1161" s="23"/>
      <c r="J1161" s="27">
        <f>IF($O1161="방문완료",MAX(0,IFERROR(VLOOKUP($E1161,설정_코스수당!$A$6:$H$10,4,FALSE),0)-IF(OR($P1161="",$P1161="없음"),0,100000)),0)</f>
        <v>0</v>
      </c>
      <c r="K1161" s="27">
        <f t="array" ref="K1161">IF($O1161="방문완료",IFERROR(INDEX(설정_코스수당!$B$15:$F$64,MATCH($G1161,설정_코스수당!$A$15:$A$64,0),MATCH($E1161&amp;"수당",설정_코스수당!$B$14:$F$14,0)),0),0)</f>
        <v>0</v>
      </c>
      <c r="L1161" s="27">
        <f t="array" ref="L1161">IF($O1161="방문완료",IF($H1161="",0,IFERROR(INDEX(설정_코스수당!$B$15:$F$64,MATCH($H1161,설정_코스수당!$A$15:$A$64,0),MATCH($E1161&amp;"수당",설정_코스수당!$B$14:$F$14,0)),0)),0)</f>
        <v>0</v>
      </c>
      <c r="M1161" s="27">
        <f>IF($O1161="방문완료",IFERROR(VLOOKUP($E1161,설정_코스수당!$A$6:$H$10,6,FALSE),0),0)</f>
        <v>0</v>
      </c>
      <c r="N1161" s="28">
        <f t="shared" si="33"/>
        <v>0</v>
      </c>
      <c r="O1161" s="23"/>
      <c r="P1161" s="23"/>
      <c r="Q1161" s="23"/>
      <c r="R1161" s="26"/>
      <c r="S1161" s="23"/>
      <c r="U1161" s="113"/>
      <c r="V1161" s="111"/>
      <c r="W1161" s="112"/>
      <c r="X1161" s="111"/>
    </row>
    <row r="1162" spans="1:24" ht="19.5" hidden="1" customHeight="1" outlineLevel="1">
      <c r="A1162" s="29">
        <v>16</v>
      </c>
      <c r="B1162" s="30">
        <f>IF(12&lt;=DAY(DATE(YEAR(설정_코스수당!$K$2),MONTH(설정_코스수당!$K$2)+1,0)),DATE(YEAR(설정_코스수당!$K$2),MONTH(설정_코스수당!$K$2),12),"")</f>
        <v>46185</v>
      </c>
      <c r="C1162" s="31"/>
      <c r="D1162" s="29"/>
      <c r="E1162" s="29"/>
      <c r="F1162" s="32"/>
      <c r="G1162" s="29"/>
      <c r="H1162" s="29"/>
      <c r="I1162" s="29"/>
      <c r="J1162" s="33">
        <f>IF($O1162="방문완료",MAX(0,IFERROR(VLOOKUP($E1162,설정_코스수당!$A$6:$H$10,4,FALSE),0)-IF(OR($P1162="",$P1162="없음"),0,100000)),0)</f>
        <v>0</v>
      </c>
      <c r="K1162" s="33">
        <f t="array" ref="K1162">IF($O1162="방문완료",IFERROR(INDEX(설정_코스수당!$B$15:$F$64,MATCH($G1162,설정_코스수당!$A$15:$A$64,0),MATCH($E1162&amp;"수당",설정_코스수당!$B$14:$F$14,0)),0),0)</f>
        <v>0</v>
      </c>
      <c r="L1162" s="33">
        <f t="array" ref="L1162">IF($O1162="방문완료",IF($H1162="",0,IFERROR(INDEX(설정_코스수당!$B$15:$F$64,MATCH($H1162,설정_코스수당!$A$15:$A$64,0),MATCH($E1162&amp;"수당",설정_코스수당!$B$14:$F$14,0)),0)),0)</f>
        <v>0</v>
      </c>
      <c r="M1162" s="33">
        <f>IF($O1162="방문완료",IFERROR(VLOOKUP($E1162,설정_코스수당!$A$6:$H$10,6,FALSE),0),0)</f>
        <v>0</v>
      </c>
      <c r="N1162" s="34">
        <f t="shared" si="33"/>
        <v>0</v>
      </c>
      <c r="O1162" s="29"/>
      <c r="P1162" s="29"/>
      <c r="Q1162" s="29"/>
      <c r="R1162" s="32"/>
      <c r="S1162" s="29"/>
      <c r="U1162" s="113"/>
      <c r="V1162" s="111"/>
      <c r="W1162" s="112"/>
      <c r="X1162" s="111"/>
    </row>
    <row r="1163" spans="1:24" ht="19.5" hidden="1" customHeight="1" outlineLevel="1">
      <c r="A1163" s="23">
        <v>17</v>
      </c>
      <c r="B1163" s="24">
        <f>IF(12&lt;=DAY(DATE(YEAR(설정_코스수당!$K$2),MONTH(설정_코스수당!$K$2)+1,0)),DATE(YEAR(설정_코스수당!$K$2),MONTH(설정_코스수당!$K$2),12),"")</f>
        <v>46185</v>
      </c>
      <c r="C1163" s="25"/>
      <c r="D1163" s="23"/>
      <c r="E1163" s="23"/>
      <c r="F1163" s="26"/>
      <c r="G1163" s="23"/>
      <c r="H1163" s="23"/>
      <c r="I1163" s="23"/>
      <c r="J1163" s="27">
        <f>IF($O1163="방문완료",MAX(0,IFERROR(VLOOKUP($E1163,설정_코스수당!$A$6:$H$10,4,FALSE),0)-IF(OR($P1163="",$P1163="없음"),0,100000)),0)</f>
        <v>0</v>
      </c>
      <c r="K1163" s="27">
        <f t="array" ref="K1163">IF($O1163="방문완료",IFERROR(INDEX(설정_코스수당!$B$15:$F$64,MATCH($G1163,설정_코스수당!$A$15:$A$64,0),MATCH($E1163&amp;"수당",설정_코스수당!$B$14:$F$14,0)),0),0)</f>
        <v>0</v>
      </c>
      <c r="L1163" s="27">
        <f t="array" ref="L1163">IF($O1163="방문완료",IF($H1163="",0,IFERROR(INDEX(설정_코스수당!$B$15:$F$64,MATCH($H1163,설정_코스수당!$A$15:$A$64,0),MATCH($E1163&amp;"수당",설정_코스수당!$B$14:$F$14,0)),0)),0)</f>
        <v>0</v>
      </c>
      <c r="M1163" s="27">
        <f>IF($O1163="방문완료",IFERROR(VLOOKUP($E1163,설정_코스수당!$A$6:$H$10,6,FALSE),0),0)</f>
        <v>0</v>
      </c>
      <c r="N1163" s="28">
        <f t="shared" si="33"/>
        <v>0</v>
      </c>
      <c r="O1163" s="23"/>
      <c r="P1163" s="23"/>
      <c r="Q1163" s="23"/>
      <c r="R1163" s="26"/>
      <c r="S1163" s="23"/>
      <c r="U1163" s="113"/>
      <c r="V1163" s="111"/>
      <c r="W1163" s="112"/>
      <c r="X1163" s="111"/>
    </row>
    <row r="1164" spans="1:24" ht="19.5" hidden="1" customHeight="1" outlineLevel="1">
      <c r="A1164" s="29">
        <v>18</v>
      </c>
      <c r="B1164" s="30">
        <f>IF(12&lt;=DAY(DATE(YEAR(설정_코스수당!$K$2),MONTH(설정_코스수당!$K$2)+1,0)),DATE(YEAR(설정_코스수당!$K$2),MONTH(설정_코스수당!$K$2),12),"")</f>
        <v>46185</v>
      </c>
      <c r="C1164" s="31"/>
      <c r="D1164" s="29"/>
      <c r="E1164" s="29"/>
      <c r="F1164" s="32"/>
      <c r="G1164" s="29"/>
      <c r="H1164" s="29"/>
      <c r="I1164" s="29"/>
      <c r="J1164" s="33">
        <f>IF($O1164="방문완료",MAX(0,IFERROR(VLOOKUP($E1164,설정_코스수당!$A$6:$H$10,4,FALSE),0)-IF(OR($P1164="",$P1164="없음"),0,100000)),0)</f>
        <v>0</v>
      </c>
      <c r="K1164" s="33">
        <f t="array" ref="K1164">IF($O1164="방문완료",IFERROR(INDEX(설정_코스수당!$B$15:$F$64,MATCH($G1164,설정_코스수당!$A$15:$A$64,0),MATCH($E1164&amp;"수당",설정_코스수당!$B$14:$F$14,0)),0),0)</f>
        <v>0</v>
      </c>
      <c r="L1164" s="33">
        <f t="array" ref="L1164">IF($O1164="방문완료",IF($H1164="",0,IFERROR(INDEX(설정_코스수당!$B$15:$F$64,MATCH($H1164,설정_코스수당!$A$15:$A$64,0),MATCH($E1164&amp;"수당",설정_코스수당!$B$14:$F$14,0)),0)),0)</f>
        <v>0</v>
      </c>
      <c r="M1164" s="33">
        <f>IF($O1164="방문완료",IFERROR(VLOOKUP($E1164,설정_코스수당!$A$6:$H$10,6,FALSE),0),0)</f>
        <v>0</v>
      </c>
      <c r="N1164" s="34">
        <f t="shared" si="33"/>
        <v>0</v>
      </c>
      <c r="O1164" s="29"/>
      <c r="P1164" s="29"/>
      <c r="Q1164" s="29"/>
      <c r="R1164" s="32"/>
      <c r="S1164" s="29"/>
      <c r="U1164" s="113"/>
      <c r="V1164" s="111"/>
      <c r="W1164" s="112"/>
      <c r="X1164" s="111"/>
    </row>
    <row r="1165" spans="1:24" ht="19.5" hidden="1" customHeight="1" outlineLevel="1">
      <c r="A1165" s="23">
        <v>19</v>
      </c>
      <c r="B1165" s="24">
        <f>IF(12&lt;=DAY(DATE(YEAR(설정_코스수당!$K$2),MONTH(설정_코스수당!$K$2)+1,0)),DATE(YEAR(설정_코스수당!$K$2),MONTH(설정_코스수당!$K$2),12),"")</f>
        <v>46185</v>
      </c>
      <c r="C1165" s="25"/>
      <c r="D1165" s="23"/>
      <c r="E1165" s="23"/>
      <c r="F1165" s="26"/>
      <c r="G1165" s="23"/>
      <c r="H1165" s="23"/>
      <c r="I1165" s="23"/>
      <c r="J1165" s="27">
        <f>IF($O1165="방문완료",MAX(0,IFERROR(VLOOKUP($E1165,설정_코스수당!$A$6:$H$10,4,FALSE),0)-IF(OR($P1165="",$P1165="없음"),0,100000)),0)</f>
        <v>0</v>
      </c>
      <c r="K1165" s="27">
        <f t="array" ref="K1165">IF($O1165="방문완료",IFERROR(INDEX(설정_코스수당!$B$15:$F$64,MATCH($G1165,설정_코스수당!$A$15:$A$64,0),MATCH($E1165&amp;"수당",설정_코스수당!$B$14:$F$14,0)),0),0)</f>
        <v>0</v>
      </c>
      <c r="L1165" s="27">
        <f t="array" ref="L1165">IF($O1165="방문완료",IF($H1165="",0,IFERROR(INDEX(설정_코스수당!$B$15:$F$64,MATCH($H1165,설정_코스수당!$A$15:$A$64,0),MATCH($E1165&amp;"수당",설정_코스수당!$B$14:$F$14,0)),0)),0)</f>
        <v>0</v>
      </c>
      <c r="M1165" s="27">
        <f>IF($O1165="방문완료",IFERROR(VLOOKUP($E1165,설정_코스수당!$A$6:$H$10,6,FALSE),0),0)</f>
        <v>0</v>
      </c>
      <c r="N1165" s="28">
        <f t="shared" si="33"/>
        <v>0</v>
      </c>
      <c r="O1165" s="23"/>
      <c r="P1165" s="23"/>
      <c r="Q1165" s="23"/>
      <c r="R1165" s="26"/>
      <c r="S1165" s="23"/>
      <c r="U1165" s="113"/>
      <c r="V1165" s="111"/>
      <c r="W1165" s="112"/>
      <c r="X1165" s="111"/>
    </row>
    <row r="1166" spans="1:24" ht="19.5" hidden="1" customHeight="1" outlineLevel="1">
      <c r="A1166" s="29">
        <v>20</v>
      </c>
      <c r="B1166" s="30">
        <f>IF(12&lt;=DAY(DATE(YEAR(설정_코스수당!$K$2),MONTH(설정_코스수당!$K$2)+1,0)),DATE(YEAR(설정_코스수당!$K$2),MONTH(설정_코스수당!$K$2),12),"")</f>
        <v>46185</v>
      </c>
      <c r="C1166" s="31"/>
      <c r="D1166" s="29"/>
      <c r="E1166" s="29"/>
      <c r="F1166" s="32"/>
      <c r="G1166" s="29"/>
      <c r="H1166" s="29"/>
      <c r="I1166" s="29"/>
      <c r="J1166" s="33">
        <f>IF($O1166="방문완료",MAX(0,IFERROR(VLOOKUP($E1166,설정_코스수당!$A$6:$H$10,4,FALSE),0)-IF(OR($P1166="",$P1166="없음"),0,100000)),0)</f>
        <v>0</v>
      </c>
      <c r="K1166" s="33">
        <f t="array" ref="K1166">IF($O1166="방문완료",IFERROR(INDEX(설정_코스수당!$B$15:$F$64,MATCH($G1166,설정_코스수당!$A$15:$A$64,0),MATCH($E1166&amp;"수당",설정_코스수당!$B$14:$F$14,0)),0),0)</f>
        <v>0</v>
      </c>
      <c r="L1166" s="33">
        <f t="array" ref="L1166">IF($O1166="방문완료",IF($H1166="",0,IFERROR(INDEX(설정_코스수당!$B$15:$F$64,MATCH($H1166,설정_코스수당!$A$15:$A$64,0),MATCH($E1166&amp;"수당",설정_코스수당!$B$14:$F$14,0)),0)),0)</f>
        <v>0</v>
      </c>
      <c r="M1166" s="33">
        <f>IF($O1166="방문완료",IFERROR(VLOOKUP($E1166,설정_코스수당!$A$6:$H$10,6,FALSE),0),0)</f>
        <v>0</v>
      </c>
      <c r="N1166" s="34">
        <f t="shared" si="33"/>
        <v>0</v>
      </c>
      <c r="O1166" s="29"/>
      <c r="P1166" s="29"/>
      <c r="Q1166" s="29"/>
      <c r="R1166" s="32"/>
      <c r="S1166" s="29"/>
    </row>
    <row r="1167" spans="1:24" ht="19.5" hidden="1" customHeight="1" outlineLevel="1">
      <c r="A1167" s="23">
        <v>21</v>
      </c>
      <c r="B1167" s="24">
        <f>IF(12&lt;=DAY(DATE(YEAR(설정_코스수당!$K$2),MONTH(설정_코스수당!$K$2)+1,0)),DATE(YEAR(설정_코스수당!$K$2),MONTH(설정_코스수당!$K$2),12),"")</f>
        <v>46185</v>
      </c>
      <c r="C1167" s="25"/>
      <c r="D1167" s="23"/>
      <c r="E1167" s="23"/>
      <c r="F1167" s="26"/>
      <c r="G1167" s="23"/>
      <c r="H1167" s="23"/>
      <c r="I1167" s="23"/>
      <c r="J1167" s="27">
        <f>IF($O1167="방문완료",MAX(0,IFERROR(VLOOKUP($E1167,설정_코스수당!$A$6:$H$10,4,FALSE),0)-IF(OR($P1167="",$P1167="없음"),0,100000)),0)</f>
        <v>0</v>
      </c>
      <c r="K1167" s="27">
        <f t="array" ref="K1167">IF($O1167="방문완료",IFERROR(INDEX(설정_코스수당!$B$15:$F$64,MATCH($G1167,설정_코스수당!$A$15:$A$64,0),MATCH($E1167&amp;"수당",설정_코스수당!$B$14:$F$14,0)),0),0)</f>
        <v>0</v>
      </c>
      <c r="L1167" s="27">
        <f t="array" ref="L1167">IF($O1167="방문완료",IF($H1167="",0,IFERROR(INDEX(설정_코스수당!$B$15:$F$64,MATCH($H1167,설정_코스수당!$A$15:$A$64,0),MATCH($E1167&amp;"수당",설정_코스수당!$B$14:$F$14,0)),0)),0)</f>
        <v>0</v>
      </c>
      <c r="M1167" s="27">
        <f>IF($O1167="방문완료",IFERROR(VLOOKUP($E1167,설정_코스수당!$A$6:$H$10,6,FALSE),0),0)</f>
        <v>0</v>
      </c>
      <c r="N1167" s="28">
        <f t="shared" si="33"/>
        <v>0</v>
      </c>
      <c r="O1167" s="23"/>
      <c r="P1167" s="23"/>
      <c r="Q1167" s="23"/>
      <c r="R1167" s="26"/>
      <c r="S1167" s="23"/>
    </row>
    <row r="1168" spans="1:24" ht="19.5" hidden="1" customHeight="1" outlineLevel="1">
      <c r="A1168" s="29">
        <v>22</v>
      </c>
      <c r="B1168" s="30">
        <f>IF(12&lt;=DAY(DATE(YEAR(설정_코스수당!$K$2),MONTH(설정_코스수당!$K$2)+1,0)),DATE(YEAR(설정_코스수당!$K$2),MONTH(설정_코스수당!$K$2),12),"")</f>
        <v>46185</v>
      </c>
      <c r="C1168" s="31"/>
      <c r="D1168" s="29"/>
      <c r="E1168" s="29"/>
      <c r="F1168" s="32"/>
      <c r="G1168" s="29"/>
      <c r="H1168" s="29"/>
      <c r="I1168" s="29"/>
      <c r="J1168" s="33">
        <f>IF($O1168="방문완료",MAX(0,IFERROR(VLOOKUP($E1168,설정_코스수당!$A$6:$H$10,4,FALSE),0)-IF(OR($P1168="",$P1168="없음"),0,100000)),0)</f>
        <v>0</v>
      </c>
      <c r="K1168" s="33">
        <f t="array" ref="K1168">IF($O1168="방문완료",IFERROR(INDEX(설정_코스수당!$B$15:$F$64,MATCH($G1168,설정_코스수당!$A$15:$A$64,0),MATCH($E1168&amp;"수당",설정_코스수당!$B$14:$F$14,0)),0),0)</f>
        <v>0</v>
      </c>
      <c r="L1168" s="33">
        <f t="array" ref="L1168">IF($O1168="방문완료",IF($H1168="",0,IFERROR(INDEX(설정_코스수당!$B$15:$F$64,MATCH($H1168,설정_코스수당!$A$15:$A$64,0),MATCH($E1168&amp;"수당",설정_코스수당!$B$14:$F$14,0)),0)),0)</f>
        <v>0</v>
      </c>
      <c r="M1168" s="33">
        <f>IF($O1168="방문완료",IFERROR(VLOOKUP($E1168,설정_코스수당!$A$6:$H$10,6,FALSE),0),0)</f>
        <v>0</v>
      </c>
      <c r="N1168" s="34">
        <f t="shared" si="33"/>
        <v>0</v>
      </c>
      <c r="O1168" s="29"/>
      <c r="P1168" s="29"/>
      <c r="Q1168" s="29"/>
      <c r="R1168" s="32"/>
      <c r="S1168" s="29"/>
    </row>
    <row r="1169" spans="1:19" ht="19.5" hidden="1" customHeight="1" outlineLevel="1">
      <c r="A1169" s="23">
        <v>23</v>
      </c>
      <c r="B1169" s="24">
        <f>IF(12&lt;=DAY(DATE(YEAR(설정_코스수당!$K$2),MONTH(설정_코스수당!$K$2)+1,0)),DATE(YEAR(설정_코스수당!$K$2),MONTH(설정_코스수당!$K$2),12),"")</f>
        <v>46185</v>
      </c>
      <c r="C1169" s="25"/>
      <c r="D1169" s="23"/>
      <c r="E1169" s="23"/>
      <c r="F1169" s="26"/>
      <c r="G1169" s="23"/>
      <c r="H1169" s="23"/>
      <c r="I1169" s="23"/>
      <c r="J1169" s="27">
        <f>IF($O1169="방문완료",MAX(0,IFERROR(VLOOKUP($E1169,설정_코스수당!$A$6:$H$10,4,FALSE),0)-IF(OR($P1169="",$P1169="없음"),0,100000)),0)</f>
        <v>0</v>
      </c>
      <c r="K1169" s="27">
        <f t="array" ref="K1169">IF($O1169="방문완료",IFERROR(INDEX(설정_코스수당!$B$15:$F$64,MATCH($G1169,설정_코스수당!$A$15:$A$64,0),MATCH($E1169&amp;"수당",설정_코스수당!$B$14:$F$14,0)),0),0)</f>
        <v>0</v>
      </c>
      <c r="L1169" s="27">
        <f t="array" ref="L1169">IF($O1169="방문완료",IF($H1169="",0,IFERROR(INDEX(설정_코스수당!$B$15:$F$64,MATCH($H1169,설정_코스수당!$A$15:$A$64,0),MATCH($E1169&amp;"수당",설정_코스수당!$B$14:$F$14,0)),0)),0)</f>
        <v>0</v>
      </c>
      <c r="M1169" s="27">
        <f>IF($O1169="방문완료",IFERROR(VLOOKUP($E1169,설정_코스수당!$A$6:$H$10,6,FALSE),0),0)</f>
        <v>0</v>
      </c>
      <c r="N1169" s="28">
        <f t="shared" si="33"/>
        <v>0</v>
      </c>
      <c r="O1169" s="23"/>
      <c r="P1169" s="23"/>
      <c r="Q1169" s="23"/>
      <c r="R1169" s="26"/>
      <c r="S1169" s="23"/>
    </row>
    <row r="1170" spans="1:19" ht="19.5" hidden="1" customHeight="1" outlineLevel="1">
      <c r="A1170" s="29">
        <v>24</v>
      </c>
      <c r="B1170" s="30">
        <f>IF(12&lt;=DAY(DATE(YEAR(설정_코스수당!$K$2),MONTH(설정_코스수당!$K$2)+1,0)),DATE(YEAR(설정_코스수당!$K$2),MONTH(설정_코스수당!$K$2),12),"")</f>
        <v>46185</v>
      </c>
      <c r="C1170" s="31"/>
      <c r="D1170" s="29"/>
      <c r="E1170" s="29"/>
      <c r="F1170" s="32"/>
      <c r="G1170" s="29"/>
      <c r="H1170" s="29"/>
      <c r="I1170" s="29"/>
      <c r="J1170" s="33">
        <f>IF($O1170="방문완료",MAX(0,IFERROR(VLOOKUP($E1170,설정_코스수당!$A$6:$H$10,4,FALSE),0)-IF(OR($P1170="",$P1170="없음"),0,100000)),0)</f>
        <v>0</v>
      </c>
      <c r="K1170" s="33">
        <f t="array" ref="K1170">IF($O1170="방문완료",IFERROR(INDEX(설정_코스수당!$B$15:$F$64,MATCH($G1170,설정_코스수당!$A$15:$A$64,0),MATCH($E1170&amp;"수당",설정_코스수당!$B$14:$F$14,0)),0),0)</f>
        <v>0</v>
      </c>
      <c r="L1170" s="33">
        <f t="array" ref="L1170">IF($O1170="방문완료",IF($H1170="",0,IFERROR(INDEX(설정_코스수당!$B$15:$F$64,MATCH($H1170,설정_코스수당!$A$15:$A$64,0),MATCH($E1170&amp;"수당",설정_코스수당!$B$14:$F$14,0)),0)),0)</f>
        <v>0</v>
      </c>
      <c r="M1170" s="33">
        <f>IF($O1170="방문완료",IFERROR(VLOOKUP($E1170,설정_코스수당!$A$6:$H$10,6,FALSE),0),0)</f>
        <v>0</v>
      </c>
      <c r="N1170" s="34">
        <f t="shared" si="33"/>
        <v>0</v>
      </c>
      <c r="O1170" s="29"/>
      <c r="P1170" s="29"/>
      <c r="Q1170" s="29"/>
      <c r="R1170" s="32"/>
      <c r="S1170" s="29"/>
    </row>
    <row r="1171" spans="1:19" ht="19.5" hidden="1" customHeight="1" outlineLevel="1">
      <c r="A1171" s="23">
        <v>25</v>
      </c>
      <c r="B1171" s="24">
        <f>IF(12&lt;=DAY(DATE(YEAR(설정_코스수당!$K$2),MONTH(설정_코스수당!$K$2)+1,0)),DATE(YEAR(설정_코스수당!$K$2),MONTH(설정_코스수당!$K$2),12),"")</f>
        <v>46185</v>
      </c>
      <c r="C1171" s="25"/>
      <c r="D1171" s="23"/>
      <c r="E1171" s="23"/>
      <c r="F1171" s="26"/>
      <c r="G1171" s="23"/>
      <c r="H1171" s="23"/>
      <c r="I1171" s="23"/>
      <c r="J1171" s="27">
        <f>IF($O1171="방문완료",MAX(0,IFERROR(VLOOKUP($E1171,설정_코스수당!$A$6:$H$10,4,FALSE),0)-IF(OR($P1171="",$P1171="없음"),0,100000)),0)</f>
        <v>0</v>
      </c>
      <c r="K1171" s="27">
        <f t="array" ref="K1171">IF($O1171="방문완료",IFERROR(INDEX(설정_코스수당!$B$15:$F$64,MATCH($G1171,설정_코스수당!$A$15:$A$64,0),MATCH($E1171&amp;"수당",설정_코스수당!$B$14:$F$14,0)),0),0)</f>
        <v>0</v>
      </c>
      <c r="L1171" s="27">
        <f t="array" ref="L1171">IF($O1171="방문완료",IF($H1171="",0,IFERROR(INDEX(설정_코스수당!$B$15:$F$64,MATCH($H1171,설정_코스수당!$A$15:$A$64,0),MATCH($E1171&amp;"수당",설정_코스수당!$B$14:$F$14,0)),0)),0)</f>
        <v>0</v>
      </c>
      <c r="M1171" s="27">
        <f>IF($O1171="방문완료",IFERROR(VLOOKUP($E1171,설정_코스수당!$A$6:$H$10,6,FALSE),0),0)</f>
        <v>0</v>
      </c>
      <c r="N1171" s="28">
        <f t="shared" si="33"/>
        <v>0</v>
      </c>
      <c r="O1171" s="23"/>
      <c r="P1171" s="23"/>
      <c r="Q1171" s="23"/>
      <c r="R1171" s="26"/>
      <c r="S1171" s="23"/>
    </row>
    <row r="1172" spans="1:19" ht="19.5" hidden="1" customHeight="1" outlineLevel="1">
      <c r="A1172" s="29">
        <v>26</v>
      </c>
      <c r="B1172" s="30">
        <f>IF(12&lt;=DAY(DATE(YEAR(설정_코스수당!$K$2),MONTH(설정_코스수당!$K$2)+1,0)),DATE(YEAR(설정_코스수당!$K$2),MONTH(설정_코스수당!$K$2),12),"")</f>
        <v>46185</v>
      </c>
      <c r="C1172" s="31"/>
      <c r="D1172" s="29"/>
      <c r="E1172" s="29"/>
      <c r="F1172" s="32"/>
      <c r="G1172" s="29"/>
      <c r="H1172" s="29"/>
      <c r="I1172" s="29"/>
      <c r="J1172" s="33">
        <f>IF($O1172="방문완료",MAX(0,IFERROR(VLOOKUP($E1172,설정_코스수당!$A$6:$H$10,4,FALSE),0)-IF(OR($P1172="",$P1172="없음"),0,100000)),0)</f>
        <v>0</v>
      </c>
      <c r="K1172" s="33">
        <f t="array" ref="K1172">IF($O1172="방문완료",IFERROR(INDEX(설정_코스수당!$B$15:$F$64,MATCH($G1172,설정_코스수당!$A$15:$A$64,0),MATCH($E1172&amp;"수당",설정_코스수당!$B$14:$F$14,0)),0),0)</f>
        <v>0</v>
      </c>
      <c r="L1172" s="33">
        <f t="array" ref="L1172">IF($O1172="방문완료",IF($H1172="",0,IFERROR(INDEX(설정_코스수당!$B$15:$F$64,MATCH($H1172,설정_코스수당!$A$15:$A$64,0),MATCH($E1172&amp;"수당",설정_코스수당!$B$14:$F$14,0)),0)),0)</f>
        <v>0</v>
      </c>
      <c r="M1172" s="33">
        <f>IF($O1172="방문완료",IFERROR(VLOOKUP($E1172,설정_코스수당!$A$6:$H$10,6,FALSE),0),0)</f>
        <v>0</v>
      </c>
      <c r="N1172" s="34">
        <f t="shared" si="33"/>
        <v>0</v>
      </c>
      <c r="O1172" s="29"/>
      <c r="P1172" s="29"/>
      <c r="Q1172" s="29"/>
      <c r="R1172" s="32"/>
      <c r="S1172" s="29"/>
    </row>
    <row r="1173" spans="1:19" ht="19.5" hidden="1" customHeight="1" outlineLevel="1">
      <c r="A1173" s="23">
        <v>27</v>
      </c>
      <c r="B1173" s="24">
        <f>IF(12&lt;=DAY(DATE(YEAR(설정_코스수당!$K$2),MONTH(설정_코스수당!$K$2)+1,0)),DATE(YEAR(설정_코스수당!$K$2),MONTH(설정_코스수당!$K$2),12),"")</f>
        <v>46185</v>
      </c>
      <c r="C1173" s="25"/>
      <c r="D1173" s="23"/>
      <c r="E1173" s="23"/>
      <c r="F1173" s="26"/>
      <c r="G1173" s="23"/>
      <c r="H1173" s="23"/>
      <c r="I1173" s="23"/>
      <c r="J1173" s="27">
        <f>IF($O1173="방문완료",MAX(0,IFERROR(VLOOKUP($E1173,설정_코스수당!$A$6:$H$10,4,FALSE),0)-IF(OR($P1173="",$P1173="없음"),0,100000)),0)</f>
        <v>0</v>
      </c>
      <c r="K1173" s="27">
        <f t="array" ref="K1173">IF($O1173="방문완료",IFERROR(INDEX(설정_코스수당!$B$15:$F$64,MATCH($G1173,설정_코스수당!$A$15:$A$64,0),MATCH($E1173&amp;"수당",설정_코스수당!$B$14:$F$14,0)),0),0)</f>
        <v>0</v>
      </c>
      <c r="L1173" s="27">
        <f t="array" ref="L1173">IF($O1173="방문완료",IF($H1173="",0,IFERROR(INDEX(설정_코스수당!$B$15:$F$64,MATCH($H1173,설정_코스수당!$A$15:$A$64,0),MATCH($E1173&amp;"수당",설정_코스수당!$B$14:$F$14,0)),0)),0)</f>
        <v>0</v>
      </c>
      <c r="M1173" s="27">
        <f>IF($O1173="방문완료",IFERROR(VLOOKUP($E1173,설정_코스수당!$A$6:$H$10,6,FALSE),0),0)</f>
        <v>0</v>
      </c>
      <c r="N1173" s="28">
        <f t="shared" si="33"/>
        <v>0</v>
      </c>
      <c r="O1173" s="23"/>
      <c r="P1173" s="23"/>
      <c r="Q1173" s="23"/>
      <c r="R1173" s="26"/>
      <c r="S1173" s="23"/>
    </row>
    <row r="1174" spans="1:19" ht="19.5" hidden="1" customHeight="1" outlineLevel="1">
      <c r="A1174" s="29">
        <v>28</v>
      </c>
      <c r="B1174" s="30">
        <f>IF(12&lt;=DAY(DATE(YEAR(설정_코스수당!$K$2),MONTH(설정_코스수당!$K$2)+1,0)),DATE(YEAR(설정_코스수당!$K$2),MONTH(설정_코스수당!$K$2),12),"")</f>
        <v>46185</v>
      </c>
      <c r="C1174" s="31"/>
      <c r="D1174" s="29"/>
      <c r="E1174" s="29"/>
      <c r="F1174" s="32"/>
      <c r="G1174" s="29"/>
      <c r="H1174" s="29"/>
      <c r="I1174" s="29"/>
      <c r="J1174" s="33">
        <f>IF($O1174="방문완료",MAX(0,IFERROR(VLOOKUP($E1174,설정_코스수당!$A$6:$H$10,4,FALSE),0)-IF(OR($P1174="",$P1174="없음"),0,100000)),0)</f>
        <v>0</v>
      </c>
      <c r="K1174" s="33">
        <f t="array" ref="K1174">IF($O1174="방문완료",IFERROR(INDEX(설정_코스수당!$B$15:$F$64,MATCH($G1174,설정_코스수당!$A$15:$A$64,0),MATCH($E1174&amp;"수당",설정_코스수당!$B$14:$F$14,0)),0),0)</f>
        <v>0</v>
      </c>
      <c r="L1174" s="33">
        <f t="array" ref="L1174">IF($O1174="방문완료",IF($H1174="",0,IFERROR(INDEX(설정_코스수당!$B$15:$F$64,MATCH($H1174,설정_코스수당!$A$15:$A$64,0),MATCH($E1174&amp;"수당",설정_코스수당!$B$14:$F$14,0)),0)),0)</f>
        <v>0</v>
      </c>
      <c r="M1174" s="33">
        <f>IF($O1174="방문완료",IFERROR(VLOOKUP($E1174,설정_코스수당!$A$6:$H$10,6,FALSE),0),0)</f>
        <v>0</v>
      </c>
      <c r="N1174" s="34">
        <f t="shared" si="33"/>
        <v>0</v>
      </c>
      <c r="O1174" s="29"/>
      <c r="P1174" s="29"/>
      <c r="Q1174" s="29"/>
      <c r="R1174" s="32"/>
      <c r="S1174" s="29"/>
    </row>
    <row r="1175" spans="1:19" ht="19.5" hidden="1" customHeight="1" outlineLevel="1">
      <c r="A1175" s="23">
        <v>29</v>
      </c>
      <c r="B1175" s="24">
        <f>IF(12&lt;=DAY(DATE(YEAR(설정_코스수당!$K$2),MONTH(설정_코스수당!$K$2)+1,0)),DATE(YEAR(설정_코스수당!$K$2),MONTH(설정_코스수당!$K$2),12),"")</f>
        <v>46185</v>
      </c>
      <c r="C1175" s="25"/>
      <c r="D1175" s="23"/>
      <c r="E1175" s="23"/>
      <c r="F1175" s="26"/>
      <c r="G1175" s="23"/>
      <c r="H1175" s="23"/>
      <c r="I1175" s="23"/>
      <c r="J1175" s="27">
        <f>IF($O1175="방문완료",MAX(0,IFERROR(VLOOKUP($E1175,설정_코스수당!$A$6:$H$10,4,FALSE),0)-IF(OR($P1175="",$P1175="없음"),0,100000)),0)</f>
        <v>0</v>
      </c>
      <c r="K1175" s="27">
        <f t="array" ref="K1175">IF($O1175="방문완료",IFERROR(INDEX(설정_코스수당!$B$15:$F$64,MATCH($G1175,설정_코스수당!$A$15:$A$64,0),MATCH($E1175&amp;"수당",설정_코스수당!$B$14:$F$14,0)),0),0)</f>
        <v>0</v>
      </c>
      <c r="L1175" s="27">
        <f t="array" ref="L1175">IF($O1175="방문완료",IF($H1175="",0,IFERROR(INDEX(설정_코스수당!$B$15:$F$64,MATCH($H1175,설정_코스수당!$A$15:$A$64,0),MATCH($E1175&amp;"수당",설정_코스수당!$B$14:$F$14,0)),0)),0)</f>
        <v>0</v>
      </c>
      <c r="M1175" s="27">
        <f>IF($O1175="방문완료",IFERROR(VLOOKUP($E1175,설정_코스수당!$A$6:$H$10,6,FALSE),0),0)</f>
        <v>0</v>
      </c>
      <c r="N1175" s="28">
        <f t="shared" si="33"/>
        <v>0</v>
      </c>
      <c r="O1175" s="23"/>
      <c r="P1175" s="23"/>
      <c r="Q1175" s="23"/>
      <c r="R1175" s="26"/>
      <c r="S1175" s="23"/>
    </row>
    <row r="1176" spans="1:19" ht="19.5" hidden="1" customHeight="1" outlineLevel="1">
      <c r="A1176" s="29">
        <v>30</v>
      </c>
      <c r="B1176" s="30">
        <f>IF(12&lt;=DAY(DATE(YEAR(설정_코스수당!$K$2),MONTH(설정_코스수당!$K$2)+1,0)),DATE(YEAR(설정_코스수당!$K$2),MONTH(설정_코스수당!$K$2),12),"")</f>
        <v>46185</v>
      </c>
      <c r="C1176" s="31"/>
      <c r="D1176" s="29"/>
      <c r="E1176" s="29"/>
      <c r="F1176" s="32"/>
      <c r="G1176" s="29"/>
      <c r="H1176" s="29"/>
      <c r="I1176" s="29"/>
      <c r="J1176" s="33">
        <f>IF($O1176="방문완료",MAX(0,IFERROR(VLOOKUP($E1176,설정_코스수당!$A$6:$H$10,4,FALSE),0)-IF(OR($P1176="",$P1176="없음"),0,100000)),0)</f>
        <v>0</v>
      </c>
      <c r="K1176" s="33">
        <f t="array" ref="K1176">IF($O1176="방문완료",IFERROR(INDEX(설정_코스수당!$B$15:$F$64,MATCH($G1176,설정_코스수당!$A$15:$A$64,0),MATCH($E1176&amp;"수당",설정_코스수당!$B$14:$F$14,0)),0),0)</f>
        <v>0</v>
      </c>
      <c r="L1176" s="33">
        <f t="array" ref="L1176">IF($O1176="방문완료",IF($H1176="",0,IFERROR(INDEX(설정_코스수당!$B$15:$F$64,MATCH($H1176,설정_코스수당!$A$15:$A$64,0),MATCH($E1176&amp;"수당",설정_코스수당!$B$14:$F$14,0)),0)),0)</f>
        <v>0</v>
      </c>
      <c r="M1176" s="33">
        <f>IF($O1176="방문완료",IFERROR(VLOOKUP($E1176,설정_코스수당!$A$6:$H$10,6,FALSE),0),0)</f>
        <v>0</v>
      </c>
      <c r="N1176" s="34">
        <f t="shared" si="33"/>
        <v>0</v>
      </c>
      <c r="O1176" s="29"/>
      <c r="P1176" s="29"/>
      <c r="Q1176" s="29"/>
      <c r="R1176" s="32"/>
      <c r="S1176" s="29"/>
    </row>
    <row r="1177" spans="1:19" ht="19.5" hidden="1" customHeight="1" outlineLevel="1">
      <c r="A1177" s="23">
        <v>31</v>
      </c>
      <c r="B1177" s="24">
        <f>IF(12&lt;=DAY(DATE(YEAR(설정_코스수당!$K$2),MONTH(설정_코스수당!$K$2)+1,0)),DATE(YEAR(설정_코스수당!$K$2),MONTH(설정_코스수당!$K$2),12),"")</f>
        <v>46185</v>
      </c>
      <c r="C1177" s="25"/>
      <c r="D1177" s="23"/>
      <c r="E1177" s="23"/>
      <c r="F1177" s="26"/>
      <c r="G1177" s="23"/>
      <c r="H1177" s="23"/>
      <c r="I1177" s="23"/>
      <c r="J1177" s="27">
        <f>IF($O1177="방문완료",MAX(0,IFERROR(VLOOKUP($E1177,설정_코스수당!$A$6:$H$10,4,FALSE),0)-IF(OR($P1177="",$P1177="없음"),0,100000)),0)</f>
        <v>0</v>
      </c>
      <c r="K1177" s="27">
        <f t="array" ref="K1177">IF($O1177="방문완료",IFERROR(INDEX(설정_코스수당!$B$15:$F$64,MATCH($G1177,설정_코스수당!$A$15:$A$64,0),MATCH($E1177&amp;"수당",설정_코스수당!$B$14:$F$14,0)),0),0)</f>
        <v>0</v>
      </c>
      <c r="L1177" s="27">
        <f t="array" ref="L1177">IF($O1177="방문완료",IF($H1177="",0,IFERROR(INDEX(설정_코스수당!$B$15:$F$64,MATCH($H1177,설정_코스수당!$A$15:$A$64,0),MATCH($E1177&amp;"수당",설정_코스수당!$B$14:$F$14,0)),0)),0)</f>
        <v>0</v>
      </c>
      <c r="M1177" s="27">
        <f>IF($O1177="방문완료",IFERROR(VLOOKUP($E1177,설정_코스수당!$A$6:$H$10,6,FALSE),0),0)</f>
        <v>0</v>
      </c>
      <c r="N1177" s="28">
        <f t="shared" si="33"/>
        <v>0</v>
      </c>
      <c r="O1177" s="23"/>
      <c r="P1177" s="23"/>
      <c r="Q1177" s="23"/>
      <c r="R1177" s="26"/>
      <c r="S1177" s="23"/>
    </row>
    <row r="1178" spans="1:19" ht="19.5" hidden="1" customHeight="1" outlineLevel="1">
      <c r="A1178" s="29">
        <v>32</v>
      </c>
      <c r="B1178" s="30">
        <f>IF(12&lt;=DAY(DATE(YEAR(설정_코스수당!$K$2),MONTH(설정_코스수당!$K$2)+1,0)),DATE(YEAR(설정_코스수당!$K$2),MONTH(설정_코스수당!$K$2),12),"")</f>
        <v>46185</v>
      </c>
      <c r="C1178" s="31"/>
      <c r="D1178" s="29"/>
      <c r="E1178" s="29"/>
      <c r="F1178" s="32"/>
      <c r="G1178" s="29"/>
      <c r="H1178" s="29"/>
      <c r="I1178" s="29"/>
      <c r="J1178" s="33">
        <f>IF($O1178="방문완료",MAX(0,IFERROR(VLOOKUP($E1178,설정_코스수당!$A$6:$H$10,4,FALSE),0)-IF(OR($P1178="",$P1178="없음"),0,100000)),0)</f>
        <v>0</v>
      </c>
      <c r="K1178" s="33">
        <f t="array" ref="K1178">IF($O1178="방문완료",IFERROR(INDEX(설정_코스수당!$B$15:$F$64,MATCH($G1178,설정_코스수당!$A$15:$A$64,0),MATCH($E1178&amp;"수당",설정_코스수당!$B$14:$F$14,0)),0),0)</f>
        <v>0</v>
      </c>
      <c r="L1178" s="33">
        <f t="array" ref="L1178">IF($O1178="방문완료",IF($H1178="",0,IFERROR(INDEX(설정_코스수당!$B$15:$F$64,MATCH($H1178,설정_코스수당!$A$15:$A$64,0),MATCH($E1178&amp;"수당",설정_코스수당!$B$14:$F$14,0)),0)),0)</f>
        <v>0</v>
      </c>
      <c r="M1178" s="33">
        <f>IF($O1178="방문완료",IFERROR(VLOOKUP($E1178,설정_코스수당!$A$6:$H$10,6,FALSE),0),0)</f>
        <v>0</v>
      </c>
      <c r="N1178" s="34">
        <f t="shared" si="33"/>
        <v>0</v>
      </c>
      <c r="O1178" s="29"/>
      <c r="P1178" s="29"/>
      <c r="Q1178" s="29"/>
      <c r="R1178" s="32"/>
      <c r="S1178" s="29"/>
    </row>
    <row r="1179" spans="1:19" ht="19.5" hidden="1" customHeight="1" outlineLevel="1">
      <c r="A1179" s="23">
        <v>33</v>
      </c>
      <c r="B1179" s="24">
        <f>IF(12&lt;=DAY(DATE(YEAR(설정_코스수당!$K$2),MONTH(설정_코스수당!$K$2)+1,0)),DATE(YEAR(설정_코스수당!$K$2),MONTH(설정_코스수당!$K$2),12),"")</f>
        <v>46185</v>
      </c>
      <c r="C1179" s="25"/>
      <c r="D1179" s="23"/>
      <c r="E1179" s="23"/>
      <c r="F1179" s="26"/>
      <c r="G1179" s="23"/>
      <c r="H1179" s="23"/>
      <c r="I1179" s="23"/>
      <c r="J1179" s="27">
        <f>IF($O1179="방문완료",MAX(0,IFERROR(VLOOKUP($E1179,설정_코스수당!$A$6:$H$10,4,FALSE),0)-IF(OR($P1179="",$P1179="없음"),0,100000)),0)</f>
        <v>0</v>
      </c>
      <c r="K1179" s="27">
        <f t="array" ref="K1179">IF($O1179="방문완료",IFERROR(INDEX(설정_코스수당!$B$15:$F$64,MATCH($G1179,설정_코스수당!$A$15:$A$64,0),MATCH($E1179&amp;"수당",설정_코스수당!$B$14:$F$14,0)),0),0)</f>
        <v>0</v>
      </c>
      <c r="L1179" s="27">
        <f t="array" ref="L1179">IF($O1179="방문완료",IF($H1179="",0,IFERROR(INDEX(설정_코스수당!$B$15:$F$64,MATCH($H1179,설정_코스수당!$A$15:$A$64,0),MATCH($E1179&amp;"수당",설정_코스수당!$B$14:$F$14,0)),0)),0)</f>
        <v>0</v>
      </c>
      <c r="M1179" s="27">
        <f>IF($O1179="방문완료",IFERROR(VLOOKUP($E1179,설정_코스수당!$A$6:$H$10,6,FALSE),0),0)</f>
        <v>0</v>
      </c>
      <c r="N1179" s="28">
        <f t="shared" ref="N1179:N1210" si="34">IF($O1179="방문완료",1,0)</f>
        <v>0</v>
      </c>
      <c r="O1179" s="23"/>
      <c r="P1179" s="23"/>
      <c r="Q1179" s="23"/>
      <c r="R1179" s="26"/>
      <c r="S1179" s="23"/>
    </row>
    <row r="1180" spans="1:19" ht="19.5" hidden="1" customHeight="1" outlineLevel="1">
      <c r="A1180" s="29">
        <v>34</v>
      </c>
      <c r="B1180" s="30">
        <f>IF(12&lt;=DAY(DATE(YEAR(설정_코스수당!$K$2),MONTH(설정_코스수당!$K$2)+1,0)),DATE(YEAR(설정_코스수당!$K$2),MONTH(설정_코스수당!$K$2),12),"")</f>
        <v>46185</v>
      </c>
      <c r="C1180" s="31"/>
      <c r="D1180" s="29"/>
      <c r="E1180" s="29"/>
      <c r="F1180" s="32"/>
      <c r="G1180" s="29"/>
      <c r="H1180" s="29"/>
      <c r="I1180" s="29"/>
      <c r="J1180" s="33">
        <f>IF($O1180="방문완료",MAX(0,IFERROR(VLOOKUP($E1180,설정_코스수당!$A$6:$H$10,4,FALSE),0)-IF(OR($P1180="",$P1180="없음"),0,100000)),0)</f>
        <v>0</v>
      </c>
      <c r="K1180" s="33">
        <f t="array" ref="K1180">IF($O1180="방문완료",IFERROR(INDEX(설정_코스수당!$B$15:$F$64,MATCH($G1180,설정_코스수당!$A$15:$A$64,0),MATCH($E1180&amp;"수당",설정_코스수당!$B$14:$F$14,0)),0),0)</f>
        <v>0</v>
      </c>
      <c r="L1180" s="33">
        <f t="array" ref="L1180">IF($O1180="방문완료",IF($H1180="",0,IFERROR(INDEX(설정_코스수당!$B$15:$F$64,MATCH($H1180,설정_코스수당!$A$15:$A$64,0),MATCH($E1180&amp;"수당",설정_코스수당!$B$14:$F$14,0)),0)),0)</f>
        <v>0</v>
      </c>
      <c r="M1180" s="33">
        <f>IF($O1180="방문완료",IFERROR(VLOOKUP($E1180,설정_코스수당!$A$6:$H$10,6,FALSE),0),0)</f>
        <v>0</v>
      </c>
      <c r="N1180" s="34">
        <f t="shared" si="34"/>
        <v>0</v>
      </c>
      <c r="O1180" s="29"/>
      <c r="P1180" s="29"/>
      <c r="Q1180" s="29"/>
      <c r="R1180" s="32"/>
      <c r="S1180" s="29"/>
    </row>
    <row r="1181" spans="1:19" ht="19.5" hidden="1" customHeight="1" outlineLevel="1">
      <c r="A1181" s="23">
        <v>35</v>
      </c>
      <c r="B1181" s="24">
        <f>IF(12&lt;=DAY(DATE(YEAR(설정_코스수당!$K$2),MONTH(설정_코스수당!$K$2)+1,0)),DATE(YEAR(설정_코스수당!$K$2),MONTH(설정_코스수당!$K$2),12),"")</f>
        <v>46185</v>
      </c>
      <c r="C1181" s="25"/>
      <c r="D1181" s="23"/>
      <c r="E1181" s="23"/>
      <c r="F1181" s="26"/>
      <c r="G1181" s="23"/>
      <c r="H1181" s="23"/>
      <c r="I1181" s="23"/>
      <c r="J1181" s="27">
        <f>IF($O1181="방문완료",MAX(0,IFERROR(VLOOKUP($E1181,설정_코스수당!$A$6:$H$10,4,FALSE),0)-IF(OR($P1181="",$P1181="없음"),0,100000)),0)</f>
        <v>0</v>
      </c>
      <c r="K1181" s="27">
        <f t="array" ref="K1181">IF($O1181="방문완료",IFERROR(INDEX(설정_코스수당!$B$15:$F$64,MATCH($G1181,설정_코스수당!$A$15:$A$64,0),MATCH($E1181&amp;"수당",설정_코스수당!$B$14:$F$14,0)),0),0)</f>
        <v>0</v>
      </c>
      <c r="L1181" s="27">
        <f t="array" ref="L1181">IF($O1181="방문완료",IF($H1181="",0,IFERROR(INDEX(설정_코스수당!$B$15:$F$64,MATCH($H1181,설정_코스수당!$A$15:$A$64,0),MATCH($E1181&amp;"수당",설정_코스수당!$B$14:$F$14,0)),0)),0)</f>
        <v>0</v>
      </c>
      <c r="M1181" s="27">
        <f>IF($O1181="방문완료",IFERROR(VLOOKUP($E1181,설정_코스수당!$A$6:$H$10,6,FALSE),0),0)</f>
        <v>0</v>
      </c>
      <c r="N1181" s="28">
        <f t="shared" si="34"/>
        <v>0</v>
      </c>
      <c r="O1181" s="23"/>
      <c r="P1181" s="23"/>
      <c r="Q1181" s="23"/>
      <c r="R1181" s="26"/>
      <c r="S1181" s="23"/>
    </row>
    <row r="1182" spans="1:19" ht="19.5" hidden="1" customHeight="1" outlineLevel="1">
      <c r="A1182" s="29">
        <v>36</v>
      </c>
      <c r="B1182" s="30">
        <f>IF(12&lt;=DAY(DATE(YEAR(설정_코스수당!$K$2),MONTH(설정_코스수당!$K$2)+1,0)),DATE(YEAR(설정_코스수당!$K$2),MONTH(설정_코스수당!$K$2),12),"")</f>
        <v>46185</v>
      </c>
      <c r="C1182" s="31"/>
      <c r="D1182" s="29"/>
      <c r="E1182" s="29"/>
      <c r="F1182" s="32"/>
      <c r="G1182" s="29"/>
      <c r="H1182" s="29"/>
      <c r="I1182" s="29"/>
      <c r="J1182" s="33">
        <f>IF($O1182="방문완료",MAX(0,IFERROR(VLOOKUP($E1182,설정_코스수당!$A$6:$H$10,4,FALSE),0)-IF(OR($P1182="",$P1182="없음"),0,100000)),0)</f>
        <v>0</v>
      </c>
      <c r="K1182" s="33">
        <f t="array" ref="K1182">IF($O1182="방문완료",IFERROR(INDEX(설정_코스수당!$B$15:$F$64,MATCH($G1182,설정_코스수당!$A$15:$A$64,0),MATCH($E1182&amp;"수당",설정_코스수당!$B$14:$F$14,0)),0),0)</f>
        <v>0</v>
      </c>
      <c r="L1182" s="33">
        <f t="array" ref="L1182">IF($O1182="방문완료",IF($H1182="",0,IFERROR(INDEX(설정_코스수당!$B$15:$F$64,MATCH($H1182,설정_코스수당!$A$15:$A$64,0),MATCH($E1182&amp;"수당",설정_코스수당!$B$14:$F$14,0)),0)),0)</f>
        <v>0</v>
      </c>
      <c r="M1182" s="33">
        <f>IF($O1182="방문완료",IFERROR(VLOOKUP($E1182,설정_코스수당!$A$6:$H$10,6,FALSE),0),0)</f>
        <v>0</v>
      </c>
      <c r="N1182" s="34">
        <f t="shared" si="34"/>
        <v>0</v>
      </c>
      <c r="O1182" s="29"/>
      <c r="P1182" s="29"/>
      <c r="Q1182" s="29"/>
      <c r="R1182" s="32"/>
      <c r="S1182" s="29"/>
    </row>
    <row r="1183" spans="1:19" ht="19.5" hidden="1" customHeight="1" outlineLevel="1">
      <c r="A1183" s="23">
        <v>37</v>
      </c>
      <c r="B1183" s="24">
        <f>IF(12&lt;=DAY(DATE(YEAR(설정_코스수당!$K$2),MONTH(설정_코스수당!$K$2)+1,0)),DATE(YEAR(설정_코스수당!$K$2),MONTH(설정_코스수당!$K$2),12),"")</f>
        <v>46185</v>
      </c>
      <c r="C1183" s="25"/>
      <c r="D1183" s="23"/>
      <c r="E1183" s="23"/>
      <c r="F1183" s="26"/>
      <c r="G1183" s="23"/>
      <c r="H1183" s="23"/>
      <c r="I1183" s="23"/>
      <c r="J1183" s="27">
        <f>IF($O1183="방문완료",MAX(0,IFERROR(VLOOKUP($E1183,설정_코스수당!$A$6:$H$10,4,FALSE),0)-IF(OR($P1183="",$P1183="없음"),0,100000)),0)</f>
        <v>0</v>
      </c>
      <c r="K1183" s="27">
        <f t="array" ref="K1183">IF($O1183="방문완료",IFERROR(INDEX(설정_코스수당!$B$15:$F$64,MATCH($G1183,설정_코스수당!$A$15:$A$64,0),MATCH($E1183&amp;"수당",설정_코스수당!$B$14:$F$14,0)),0),0)</f>
        <v>0</v>
      </c>
      <c r="L1183" s="27">
        <f t="array" ref="L1183">IF($O1183="방문완료",IF($H1183="",0,IFERROR(INDEX(설정_코스수당!$B$15:$F$64,MATCH($H1183,설정_코스수당!$A$15:$A$64,0),MATCH($E1183&amp;"수당",설정_코스수당!$B$14:$F$14,0)),0)),0)</f>
        <v>0</v>
      </c>
      <c r="M1183" s="27">
        <f>IF($O1183="방문완료",IFERROR(VLOOKUP($E1183,설정_코스수당!$A$6:$H$10,6,FALSE),0),0)</f>
        <v>0</v>
      </c>
      <c r="N1183" s="28">
        <f t="shared" si="34"/>
        <v>0</v>
      </c>
      <c r="O1183" s="23"/>
      <c r="P1183" s="23"/>
      <c r="Q1183" s="23"/>
      <c r="R1183" s="26"/>
      <c r="S1183" s="23"/>
    </row>
    <row r="1184" spans="1:19" ht="19.5" hidden="1" customHeight="1" outlineLevel="1">
      <c r="A1184" s="29">
        <v>38</v>
      </c>
      <c r="B1184" s="30">
        <f>IF(12&lt;=DAY(DATE(YEAR(설정_코스수당!$K$2),MONTH(설정_코스수당!$K$2)+1,0)),DATE(YEAR(설정_코스수당!$K$2),MONTH(설정_코스수당!$K$2),12),"")</f>
        <v>46185</v>
      </c>
      <c r="C1184" s="31"/>
      <c r="D1184" s="29"/>
      <c r="E1184" s="29"/>
      <c r="F1184" s="32"/>
      <c r="G1184" s="29"/>
      <c r="H1184" s="29"/>
      <c r="I1184" s="29"/>
      <c r="J1184" s="33">
        <f>IF($O1184="방문완료",MAX(0,IFERROR(VLOOKUP($E1184,설정_코스수당!$A$6:$H$10,4,FALSE),0)-IF(OR($P1184="",$P1184="없음"),0,100000)),0)</f>
        <v>0</v>
      </c>
      <c r="K1184" s="33">
        <f t="array" ref="K1184">IF($O1184="방문완료",IFERROR(INDEX(설정_코스수당!$B$15:$F$64,MATCH($G1184,설정_코스수당!$A$15:$A$64,0),MATCH($E1184&amp;"수당",설정_코스수당!$B$14:$F$14,0)),0),0)</f>
        <v>0</v>
      </c>
      <c r="L1184" s="33">
        <f t="array" ref="L1184">IF($O1184="방문완료",IF($H1184="",0,IFERROR(INDEX(설정_코스수당!$B$15:$F$64,MATCH($H1184,설정_코스수당!$A$15:$A$64,0),MATCH($E1184&amp;"수당",설정_코스수당!$B$14:$F$14,0)),0)),0)</f>
        <v>0</v>
      </c>
      <c r="M1184" s="33">
        <f>IF($O1184="방문완료",IFERROR(VLOOKUP($E1184,설정_코스수당!$A$6:$H$10,6,FALSE),0),0)</f>
        <v>0</v>
      </c>
      <c r="N1184" s="34">
        <f t="shared" si="34"/>
        <v>0</v>
      </c>
      <c r="O1184" s="29"/>
      <c r="P1184" s="29"/>
      <c r="Q1184" s="29"/>
      <c r="R1184" s="32"/>
      <c r="S1184" s="29"/>
    </row>
    <row r="1185" spans="1:19" ht="19.5" hidden="1" customHeight="1" outlineLevel="1">
      <c r="A1185" s="23">
        <v>39</v>
      </c>
      <c r="B1185" s="24">
        <f>IF(12&lt;=DAY(DATE(YEAR(설정_코스수당!$K$2),MONTH(설정_코스수당!$K$2)+1,0)),DATE(YEAR(설정_코스수당!$K$2),MONTH(설정_코스수당!$K$2),12),"")</f>
        <v>46185</v>
      </c>
      <c r="C1185" s="25"/>
      <c r="D1185" s="23"/>
      <c r="E1185" s="23"/>
      <c r="F1185" s="26"/>
      <c r="G1185" s="23"/>
      <c r="H1185" s="23"/>
      <c r="I1185" s="23"/>
      <c r="J1185" s="27">
        <f>IF($O1185="방문완료",MAX(0,IFERROR(VLOOKUP($E1185,설정_코스수당!$A$6:$H$10,4,FALSE),0)-IF(OR($P1185="",$P1185="없음"),0,100000)),0)</f>
        <v>0</v>
      </c>
      <c r="K1185" s="27">
        <f t="array" ref="K1185">IF($O1185="방문완료",IFERROR(INDEX(설정_코스수당!$B$15:$F$64,MATCH($G1185,설정_코스수당!$A$15:$A$64,0),MATCH($E1185&amp;"수당",설정_코스수당!$B$14:$F$14,0)),0),0)</f>
        <v>0</v>
      </c>
      <c r="L1185" s="27">
        <f t="array" ref="L1185">IF($O1185="방문완료",IF($H1185="",0,IFERROR(INDEX(설정_코스수당!$B$15:$F$64,MATCH($H1185,설정_코스수당!$A$15:$A$64,0),MATCH($E1185&amp;"수당",설정_코스수당!$B$14:$F$14,0)),0)),0)</f>
        <v>0</v>
      </c>
      <c r="M1185" s="27">
        <f>IF($O1185="방문완료",IFERROR(VLOOKUP($E1185,설정_코스수당!$A$6:$H$10,6,FALSE),0),0)</f>
        <v>0</v>
      </c>
      <c r="N1185" s="28">
        <f t="shared" si="34"/>
        <v>0</v>
      </c>
      <c r="O1185" s="23"/>
      <c r="P1185" s="23"/>
      <c r="Q1185" s="23"/>
      <c r="R1185" s="26"/>
      <c r="S1185" s="23"/>
    </row>
    <row r="1186" spans="1:19" ht="19.5" hidden="1" customHeight="1" outlineLevel="1">
      <c r="A1186" s="29">
        <v>40</v>
      </c>
      <c r="B1186" s="30">
        <f>IF(12&lt;=DAY(DATE(YEAR(설정_코스수당!$K$2),MONTH(설정_코스수당!$K$2)+1,0)),DATE(YEAR(설정_코스수당!$K$2),MONTH(설정_코스수당!$K$2),12),"")</f>
        <v>46185</v>
      </c>
      <c r="C1186" s="31"/>
      <c r="D1186" s="29"/>
      <c r="E1186" s="29"/>
      <c r="F1186" s="32"/>
      <c r="G1186" s="29"/>
      <c r="H1186" s="29"/>
      <c r="I1186" s="29"/>
      <c r="J1186" s="33">
        <f>IF($O1186="방문완료",MAX(0,IFERROR(VLOOKUP($E1186,설정_코스수당!$A$6:$H$10,4,FALSE),0)-IF(OR($P1186="",$P1186="없음"),0,100000)),0)</f>
        <v>0</v>
      </c>
      <c r="K1186" s="33">
        <f t="array" ref="K1186">IF($O1186="방문완료",IFERROR(INDEX(설정_코스수당!$B$15:$F$64,MATCH($G1186,설정_코스수당!$A$15:$A$64,0),MATCH($E1186&amp;"수당",설정_코스수당!$B$14:$F$14,0)),0),0)</f>
        <v>0</v>
      </c>
      <c r="L1186" s="33">
        <f t="array" ref="L1186">IF($O1186="방문완료",IF($H1186="",0,IFERROR(INDEX(설정_코스수당!$B$15:$F$64,MATCH($H1186,설정_코스수당!$A$15:$A$64,0),MATCH($E1186&amp;"수당",설정_코스수당!$B$14:$F$14,0)),0)),0)</f>
        <v>0</v>
      </c>
      <c r="M1186" s="33">
        <f>IF($O1186="방문완료",IFERROR(VLOOKUP($E1186,설정_코스수당!$A$6:$H$10,6,FALSE),0),0)</f>
        <v>0</v>
      </c>
      <c r="N1186" s="34">
        <f t="shared" si="34"/>
        <v>0</v>
      </c>
      <c r="O1186" s="29"/>
      <c r="P1186" s="29"/>
      <c r="Q1186" s="29"/>
      <c r="R1186" s="32"/>
      <c r="S1186" s="29"/>
    </row>
    <row r="1187" spans="1:19" ht="19.5" hidden="1" customHeight="1" outlineLevel="1">
      <c r="A1187" s="23">
        <v>41</v>
      </c>
      <c r="B1187" s="24">
        <f>IF(12&lt;=DAY(DATE(YEAR(설정_코스수당!$K$2),MONTH(설정_코스수당!$K$2)+1,0)),DATE(YEAR(설정_코스수당!$K$2),MONTH(설정_코스수당!$K$2),12),"")</f>
        <v>46185</v>
      </c>
      <c r="C1187" s="25"/>
      <c r="D1187" s="23"/>
      <c r="E1187" s="23"/>
      <c r="F1187" s="26"/>
      <c r="G1187" s="23"/>
      <c r="H1187" s="23"/>
      <c r="I1187" s="23"/>
      <c r="J1187" s="27">
        <f>IF($O1187="방문완료",MAX(0,IFERROR(VLOOKUP($E1187,설정_코스수당!$A$6:$H$10,4,FALSE),0)-IF(OR($P1187="",$P1187="없음"),0,100000)),0)</f>
        <v>0</v>
      </c>
      <c r="K1187" s="27">
        <f t="array" ref="K1187">IF($O1187="방문완료",IFERROR(INDEX(설정_코스수당!$B$15:$F$64,MATCH($G1187,설정_코스수당!$A$15:$A$64,0),MATCH($E1187&amp;"수당",설정_코스수당!$B$14:$F$14,0)),0),0)</f>
        <v>0</v>
      </c>
      <c r="L1187" s="27">
        <f t="array" ref="L1187">IF($O1187="방문완료",IF($H1187="",0,IFERROR(INDEX(설정_코스수당!$B$15:$F$64,MATCH($H1187,설정_코스수당!$A$15:$A$64,0),MATCH($E1187&amp;"수당",설정_코스수당!$B$14:$F$14,0)),0)),0)</f>
        <v>0</v>
      </c>
      <c r="M1187" s="27">
        <f>IF($O1187="방문완료",IFERROR(VLOOKUP($E1187,설정_코스수당!$A$6:$H$10,6,FALSE),0),0)</f>
        <v>0</v>
      </c>
      <c r="N1187" s="28">
        <f t="shared" si="34"/>
        <v>0</v>
      </c>
      <c r="O1187" s="23"/>
      <c r="P1187" s="23"/>
      <c r="Q1187" s="23"/>
      <c r="R1187" s="26"/>
      <c r="S1187" s="23"/>
    </row>
    <row r="1188" spans="1:19" ht="19.5" hidden="1" customHeight="1" outlineLevel="1">
      <c r="A1188" s="29">
        <v>42</v>
      </c>
      <c r="B1188" s="30">
        <f>IF(12&lt;=DAY(DATE(YEAR(설정_코스수당!$K$2),MONTH(설정_코스수당!$K$2)+1,0)),DATE(YEAR(설정_코스수당!$K$2),MONTH(설정_코스수당!$K$2),12),"")</f>
        <v>46185</v>
      </c>
      <c r="C1188" s="31"/>
      <c r="D1188" s="29"/>
      <c r="E1188" s="29"/>
      <c r="F1188" s="32"/>
      <c r="G1188" s="29"/>
      <c r="H1188" s="29"/>
      <c r="I1188" s="29"/>
      <c r="J1188" s="33">
        <f>IF($O1188="방문완료",MAX(0,IFERROR(VLOOKUP($E1188,설정_코스수당!$A$6:$H$10,4,FALSE),0)-IF(OR($P1188="",$P1188="없음"),0,100000)),0)</f>
        <v>0</v>
      </c>
      <c r="K1188" s="33">
        <f t="array" ref="K1188">IF($O1188="방문완료",IFERROR(INDEX(설정_코스수당!$B$15:$F$64,MATCH($G1188,설정_코스수당!$A$15:$A$64,0),MATCH($E1188&amp;"수당",설정_코스수당!$B$14:$F$14,0)),0),0)</f>
        <v>0</v>
      </c>
      <c r="L1188" s="33">
        <f t="array" ref="L1188">IF($O1188="방문완료",IF($H1188="",0,IFERROR(INDEX(설정_코스수당!$B$15:$F$64,MATCH($H1188,설정_코스수당!$A$15:$A$64,0),MATCH($E1188&amp;"수당",설정_코스수당!$B$14:$F$14,0)),0)),0)</f>
        <v>0</v>
      </c>
      <c r="M1188" s="33">
        <f>IF($O1188="방문완료",IFERROR(VLOOKUP($E1188,설정_코스수당!$A$6:$H$10,6,FALSE),0),0)</f>
        <v>0</v>
      </c>
      <c r="N1188" s="34">
        <f t="shared" si="34"/>
        <v>0</v>
      </c>
      <c r="O1188" s="29"/>
      <c r="P1188" s="29"/>
      <c r="Q1188" s="29"/>
      <c r="R1188" s="32"/>
      <c r="S1188" s="29"/>
    </row>
    <row r="1189" spans="1:19" ht="19.5" hidden="1" customHeight="1" outlineLevel="1">
      <c r="A1189" s="23">
        <v>43</v>
      </c>
      <c r="B1189" s="24">
        <f>IF(12&lt;=DAY(DATE(YEAR(설정_코스수당!$K$2),MONTH(설정_코스수당!$K$2)+1,0)),DATE(YEAR(설정_코스수당!$K$2),MONTH(설정_코스수당!$K$2),12),"")</f>
        <v>46185</v>
      </c>
      <c r="C1189" s="25"/>
      <c r="D1189" s="23"/>
      <c r="E1189" s="23"/>
      <c r="F1189" s="26"/>
      <c r="G1189" s="23"/>
      <c r="H1189" s="23"/>
      <c r="I1189" s="23"/>
      <c r="J1189" s="27">
        <f>IF($O1189="방문완료",MAX(0,IFERROR(VLOOKUP($E1189,설정_코스수당!$A$6:$H$10,4,FALSE),0)-IF(OR($P1189="",$P1189="없음"),0,100000)),0)</f>
        <v>0</v>
      </c>
      <c r="K1189" s="27">
        <f t="array" ref="K1189">IF($O1189="방문완료",IFERROR(INDEX(설정_코스수당!$B$15:$F$64,MATCH($G1189,설정_코스수당!$A$15:$A$64,0),MATCH($E1189&amp;"수당",설정_코스수당!$B$14:$F$14,0)),0),0)</f>
        <v>0</v>
      </c>
      <c r="L1189" s="27">
        <f t="array" ref="L1189">IF($O1189="방문완료",IF($H1189="",0,IFERROR(INDEX(설정_코스수당!$B$15:$F$64,MATCH($H1189,설정_코스수당!$A$15:$A$64,0),MATCH($E1189&amp;"수당",설정_코스수당!$B$14:$F$14,0)),0)),0)</f>
        <v>0</v>
      </c>
      <c r="M1189" s="27">
        <f>IF($O1189="방문완료",IFERROR(VLOOKUP($E1189,설정_코스수당!$A$6:$H$10,6,FALSE),0),0)</f>
        <v>0</v>
      </c>
      <c r="N1189" s="28">
        <f t="shared" si="34"/>
        <v>0</v>
      </c>
      <c r="O1189" s="23"/>
      <c r="P1189" s="23"/>
      <c r="Q1189" s="23"/>
      <c r="R1189" s="26"/>
      <c r="S1189" s="23"/>
    </row>
    <row r="1190" spans="1:19" ht="19.5" hidden="1" customHeight="1" outlineLevel="1">
      <c r="A1190" s="29">
        <v>44</v>
      </c>
      <c r="B1190" s="30">
        <f>IF(12&lt;=DAY(DATE(YEAR(설정_코스수당!$K$2),MONTH(설정_코스수당!$K$2)+1,0)),DATE(YEAR(설정_코스수당!$K$2),MONTH(설정_코스수당!$K$2),12),"")</f>
        <v>46185</v>
      </c>
      <c r="C1190" s="31"/>
      <c r="D1190" s="29"/>
      <c r="E1190" s="29"/>
      <c r="F1190" s="32"/>
      <c r="G1190" s="29"/>
      <c r="H1190" s="29"/>
      <c r="I1190" s="29"/>
      <c r="J1190" s="33">
        <f>IF($O1190="방문완료",MAX(0,IFERROR(VLOOKUP($E1190,설정_코스수당!$A$6:$H$10,4,FALSE),0)-IF(OR($P1190="",$P1190="없음"),0,100000)),0)</f>
        <v>0</v>
      </c>
      <c r="K1190" s="33">
        <f t="array" ref="K1190">IF($O1190="방문완료",IFERROR(INDEX(설정_코스수당!$B$15:$F$64,MATCH($G1190,설정_코스수당!$A$15:$A$64,0),MATCH($E1190&amp;"수당",설정_코스수당!$B$14:$F$14,0)),0),0)</f>
        <v>0</v>
      </c>
      <c r="L1190" s="33">
        <f t="array" ref="L1190">IF($O1190="방문완료",IF($H1190="",0,IFERROR(INDEX(설정_코스수당!$B$15:$F$64,MATCH($H1190,설정_코스수당!$A$15:$A$64,0),MATCH($E1190&amp;"수당",설정_코스수당!$B$14:$F$14,0)),0)),0)</f>
        <v>0</v>
      </c>
      <c r="M1190" s="33">
        <f>IF($O1190="방문완료",IFERROR(VLOOKUP($E1190,설정_코스수당!$A$6:$H$10,6,FALSE),0),0)</f>
        <v>0</v>
      </c>
      <c r="N1190" s="34">
        <f t="shared" si="34"/>
        <v>0</v>
      </c>
      <c r="O1190" s="29"/>
      <c r="P1190" s="29"/>
      <c r="Q1190" s="29"/>
      <c r="R1190" s="32"/>
      <c r="S1190" s="29"/>
    </row>
    <row r="1191" spans="1:19" ht="19.5" hidden="1" customHeight="1" outlineLevel="1">
      <c r="A1191" s="23">
        <v>45</v>
      </c>
      <c r="B1191" s="24">
        <f>IF(12&lt;=DAY(DATE(YEAR(설정_코스수당!$K$2),MONTH(설정_코스수당!$K$2)+1,0)),DATE(YEAR(설정_코스수당!$K$2),MONTH(설정_코스수당!$K$2),12),"")</f>
        <v>46185</v>
      </c>
      <c r="C1191" s="25"/>
      <c r="D1191" s="23"/>
      <c r="E1191" s="23"/>
      <c r="F1191" s="26"/>
      <c r="G1191" s="23"/>
      <c r="H1191" s="23"/>
      <c r="I1191" s="23"/>
      <c r="J1191" s="27">
        <f>IF($O1191="방문완료",MAX(0,IFERROR(VLOOKUP($E1191,설정_코스수당!$A$6:$H$10,4,FALSE),0)-IF(OR($P1191="",$P1191="없음"),0,100000)),0)</f>
        <v>0</v>
      </c>
      <c r="K1191" s="27">
        <f t="array" ref="K1191">IF($O1191="방문완료",IFERROR(INDEX(설정_코스수당!$B$15:$F$64,MATCH($G1191,설정_코스수당!$A$15:$A$64,0),MATCH($E1191&amp;"수당",설정_코스수당!$B$14:$F$14,0)),0),0)</f>
        <v>0</v>
      </c>
      <c r="L1191" s="27">
        <f t="array" ref="L1191">IF($O1191="방문완료",IF($H1191="",0,IFERROR(INDEX(설정_코스수당!$B$15:$F$64,MATCH($H1191,설정_코스수당!$A$15:$A$64,0),MATCH($E1191&amp;"수당",설정_코스수당!$B$14:$F$14,0)),0)),0)</f>
        <v>0</v>
      </c>
      <c r="M1191" s="27">
        <f>IF($O1191="방문완료",IFERROR(VLOOKUP($E1191,설정_코스수당!$A$6:$H$10,6,FALSE),0),0)</f>
        <v>0</v>
      </c>
      <c r="N1191" s="28">
        <f t="shared" si="34"/>
        <v>0</v>
      </c>
      <c r="O1191" s="23"/>
      <c r="P1191" s="23"/>
      <c r="Q1191" s="23"/>
      <c r="R1191" s="26"/>
      <c r="S1191" s="23"/>
    </row>
    <row r="1192" spans="1:19" ht="19.5" hidden="1" customHeight="1" outlineLevel="1">
      <c r="A1192" s="29">
        <v>46</v>
      </c>
      <c r="B1192" s="30">
        <f>IF(12&lt;=DAY(DATE(YEAR(설정_코스수당!$K$2),MONTH(설정_코스수당!$K$2)+1,0)),DATE(YEAR(설정_코스수당!$K$2),MONTH(설정_코스수당!$K$2),12),"")</f>
        <v>46185</v>
      </c>
      <c r="C1192" s="31"/>
      <c r="D1192" s="29"/>
      <c r="E1192" s="29"/>
      <c r="F1192" s="32"/>
      <c r="G1192" s="29"/>
      <c r="H1192" s="29"/>
      <c r="I1192" s="29"/>
      <c r="J1192" s="33">
        <f>IF($O1192="방문완료",MAX(0,IFERROR(VLOOKUP($E1192,설정_코스수당!$A$6:$H$10,4,FALSE),0)-IF(OR($P1192="",$P1192="없음"),0,100000)),0)</f>
        <v>0</v>
      </c>
      <c r="K1192" s="33">
        <f t="array" ref="K1192">IF($O1192="방문완료",IFERROR(INDEX(설정_코스수당!$B$15:$F$64,MATCH($G1192,설정_코스수당!$A$15:$A$64,0),MATCH($E1192&amp;"수당",설정_코스수당!$B$14:$F$14,0)),0),0)</f>
        <v>0</v>
      </c>
      <c r="L1192" s="33">
        <f t="array" ref="L1192">IF($O1192="방문완료",IF($H1192="",0,IFERROR(INDEX(설정_코스수당!$B$15:$F$64,MATCH($H1192,설정_코스수당!$A$15:$A$64,0),MATCH($E1192&amp;"수당",설정_코스수당!$B$14:$F$14,0)),0)),0)</f>
        <v>0</v>
      </c>
      <c r="M1192" s="33">
        <f>IF($O1192="방문완료",IFERROR(VLOOKUP($E1192,설정_코스수당!$A$6:$H$10,6,FALSE),0),0)</f>
        <v>0</v>
      </c>
      <c r="N1192" s="34">
        <f t="shared" si="34"/>
        <v>0</v>
      </c>
      <c r="O1192" s="29"/>
      <c r="P1192" s="29"/>
      <c r="Q1192" s="29"/>
      <c r="R1192" s="32"/>
      <c r="S1192" s="29"/>
    </row>
    <row r="1193" spans="1:19" ht="19.5" hidden="1" customHeight="1" outlineLevel="1">
      <c r="A1193" s="23">
        <v>47</v>
      </c>
      <c r="B1193" s="24">
        <f>IF(12&lt;=DAY(DATE(YEAR(설정_코스수당!$K$2),MONTH(설정_코스수당!$K$2)+1,0)),DATE(YEAR(설정_코스수당!$K$2),MONTH(설정_코스수당!$K$2),12),"")</f>
        <v>46185</v>
      </c>
      <c r="C1193" s="25"/>
      <c r="D1193" s="23"/>
      <c r="E1193" s="23"/>
      <c r="F1193" s="26"/>
      <c r="G1193" s="23"/>
      <c r="H1193" s="23"/>
      <c r="I1193" s="23"/>
      <c r="J1193" s="27">
        <f>IF($O1193="방문완료",MAX(0,IFERROR(VLOOKUP($E1193,설정_코스수당!$A$6:$H$10,4,FALSE),0)-IF(OR($P1193="",$P1193="없음"),0,100000)),0)</f>
        <v>0</v>
      </c>
      <c r="K1193" s="27">
        <f t="array" ref="K1193">IF($O1193="방문완료",IFERROR(INDEX(설정_코스수당!$B$15:$F$64,MATCH($G1193,설정_코스수당!$A$15:$A$64,0),MATCH($E1193&amp;"수당",설정_코스수당!$B$14:$F$14,0)),0),0)</f>
        <v>0</v>
      </c>
      <c r="L1193" s="27">
        <f t="array" ref="L1193">IF($O1193="방문완료",IF($H1193="",0,IFERROR(INDEX(설정_코스수당!$B$15:$F$64,MATCH($H1193,설정_코스수당!$A$15:$A$64,0),MATCH($E1193&amp;"수당",설정_코스수당!$B$14:$F$14,0)),0)),0)</f>
        <v>0</v>
      </c>
      <c r="M1193" s="27">
        <f>IF($O1193="방문완료",IFERROR(VLOOKUP($E1193,설정_코스수당!$A$6:$H$10,6,FALSE),0),0)</f>
        <v>0</v>
      </c>
      <c r="N1193" s="28">
        <f t="shared" si="34"/>
        <v>0</v>
      </c>
      <c r="O1193" s="23"/>
      <c r="P1193" s="23"/>
      <c r="Q1193" s="23"/>
      <c r="R1193" s="26"/>
      <c r="S1193" s="23"/>
    </row>
    <row r="1194" spans="1:19" ht="19.5" hidden="1" customHeight="1" outlineLevel="1">
      <c r="A1194" s="29">
        <v>48</v>
      </c>
      <c r="B1194" s="30">
        <f>IF(12&lt;=DAY(DATE(YEAR(설정_코스수당!$K$2),MONTH(설정_코스수당!$K$2)+1,0)),DATE(YEAR(설정_코스수당!$K$2),MONTH(설정_코스수당!$K$2),12),"")</f>
        <v>46185</v>
      </c>
      <c r="C1194" s="31"/>
      <c r="D1194" s="29"/>
      <c r="E1194" s="29"/>
      <c r="F1194" s="32"/>
      <c r="G1194" s="29"/>
      <c r="H1194" s="29"/>
      <c r="I1194" s="29"/>
      <c r="J1194" s="33">
        <f>IF($O1194="방문완료",MAX(0,IFERROR(VLOOKUP($E1194,설정_코스수당!$A$6:$H$10,4,FALSE),0)-IF(OR($P1194="",$P1194="없음"),0,100000)),0)</f>
        <v>0</v>
      </c>
      <c r="K1194" s="33">
        <f t="array" ref="K1194">IF($O1194="방문완료",IFERROR(INDEX(설정_코스수당!$B$15:$F$64,MATCH($G1194,설정_코스수당!$A$15:$A$64,0),MATCH($E1194&amp;"수당",설정_코스수당!$B$14:$F$14,0)),0),0)</f>
        <v>0</v>
      </c>
      <c r="L1194" s="33">
        <f t="array" ref="L1194">IF($O1194="방문완료",IF($H1194="",0,IFERROR(INDEX(설정_코스수당!$B$15:$F$64,MATCH($H1194,설정_코스수당!$A$15:$A$64,0),MATCH($E1194&amp;"수당",설정_코스수당!$B$14:$F$14,0)),0)),0)</f>
        <v>0</v>
      </c>
      <c r="M1194" s="33">
        <f>IF($O1194="방문완료",IFERROR(VLOOKUP($E1194,설정_코스수당!$A$6:$H$10,6,FALSE),0),0)</f>
        <v>0</v>
      </c>
      <c r="N1194" s="34">
        <f t="shared" si="34"/>
        <v>0</v>
      </c>
      <c r="O1194" s="29"/>
      <c r="P1194" s="29"/>
      <c r="Q1194" s="29"/>
      <c r="R1194" s="32"/>
      <c r="S1194" s="29"/>
    </row>
    <row r="1195" spans="1:19" ht="19.5" hidden="1" customHeight="1" outlineLevel="1">
      <c r="A1195" s="23">
        <v>49</v>
      </c>
      <c r="B1195" s="24">
        <f>IF(12&lt;=DAY(DATE(YEAR(설정_코스수당!$K$2),MONTH(설정_코스수당!$K$2)+1,0)),DATE(YEAR(설정_코스수당!$K$2),MONTH(설정_코스수당!$K$2),12),"")</f>
        <v>46185</v>
      </c>
      <c r="C1195" s="25"/>
      <c r="D1195" s="23"/>
      <c r="E1195" s="23"/>
      <c r="F1195" s="26"/>
      <c r="G1195" s="23"/>
      <c r="H1195" s="23"/>
      <c r="I1195" s="23"/>
      <c r="J1195" s="27">
        <f>IF($O1195="방문완료",MAX(0,IFERROR(VLOOKUP($E1195,설정_코스수당!$A$6:$H$10,4,FALSE),0)-IF(OR($P1195="",$P1195="없음"),0,100000)),0)</f>
        <v>0</v>
      </c>
      <c r="K1195" s="27">
        <f t="array" ref="K1195">IF($O1195="방문완료",IFERROR(INDEX(설정_코스수당!$B$15:$F$64,MATCH($G1195,설정_코스수당!$A$15:$A$64,0),MATCH($E1195&amp;"수당",설정_코스수당!$B$14:$F$14,0)),0),0)</f>
        <v>0</v>
      </c>
      <c r="L1195" s="27">
        <f t="array" ref="L1195">IF($O1195="방문완료",IF($H1195="",0,IFERROR(INDEX(설정_코스수당!$B$15:$F$64,MATCH($H1195,설정_코스수당!$A$15:$A$64,0),MATCH($E1195&amp;"수당",설정_코스수당!$B$14:$F$14,0)),0)),0)</f>
        <v>0</v>
      </c>
      <c r="M1195" s="27">
        <f>IF($O1195="방문완료",IFERROR(VLOOKUP($E1195,설정_코스수당!$A$6:$H$10,6,FALSE),0),0)</f>
        <v>0</v>
      </c>
      <c r="N1195" s="28">
        <f t="shared" si="34"/>
        <v>0</v>
      </c>
      <c r="O1195" s="23"/>
      <c r="P1195" s="23"/>
      <c r="Q1195" s="23"/>
      <c r="R1195" s="26"/>
      <c r="S1195" s="23"/>
    </row>
    <row r="1196" spans="1:19" ht="19.5" hidden="1" customHeight="1" outlineLevel="1">
      <c r="A1196" s="29">
        <v>50</v>
      </c>
      <c r="B1196" s="30">
        <f>IF(12&lt;=DAY(DATE(YEAR(설정_코스수당!$K$2),MONTH(설정_코스수당!$K$2)+1,0)),DATE(YEAR(설정_코스수당!$K$2),MONTH(설정_코스수당!$K$2),12),"")</f>
        <v>46185</v>
      </c>
      <c r="C1196" s="31"/>
      <c r="D1196" s="29"/>
      <c r="E1196" s="29"/>
      <c r="F1196" s="32"/>
      <c r="G1196" s="29"/>
      <c r="H1196" s="29"/>
      <c r="I1196" s="29"/>
      <c r="J1196" s="33">
        <f>IF($O1196="방문완료",MAX(0,IFERROR(VLOOKUP($E1196,설정_코스수당!$A$6:$H$10,4,FALSE),0)-IF(OR($P1196="",$P1196="없음"),0,100000)),0)</f>
        <v>0</v>
      </c>
      <c r="K1196" s="33">
        <f t="array" ref="K1196">IF($O1196="방문완료",IFERROR(INDEX(설정_코스수당!$B$15:$F$64,MATCH($G1196,설정_코스수당!$A$15:$A$64,0),MATCH($E1196&amp;"수당",설정_코스수당!$B$14:$F$14,0)),0),0)</f>
        <v>0</v>
      </c>
      <c r="L1196" s="33">
        <f t="array" ref="L1196">IF($O1196="방문완료",IF($H1196="",0,IFERROR(INDEX(설정_코스수당!$B$15:$F$64,MATCH($H1196,설정_코스수당!$A$15:$A$64,0),MATCH($E1196&amp;"수당",설정_코스수당!$B$14:$F$14,0)),0)),0)</f>
        <v>0</v>
      </c>
      <c r="M1196" s="33">
        <f>IF($O1196="방문완료",IFERROR(VLOOKUP($E1196,설정_코스수당!$A$6:$H$10,6,FALSE),0),0)</f>
        <v>0</v>
      </c>
      <c r="N1196" s="34">
        <f t="shared" si="34"/>
        <v>0</v>
      </c>
      <c r="O1196" s="29"/>
      <c r="P1196" s="29"/>
      <c r="Q1196" s="29"/>
      <c r="R1196" s="32"/>
      <c r="S1196" s="29"/>
    </row>
    <row r="1197" spans="1:19" ht="19.5" hidden="1" customHeight="1" outlineLevel="1">
      <c r="A1197" s="23">
        <v>51</v>
      </c>
      <c r="B1197" s="24">
        <f>IF(12&lt;=DAY(DATE(YEAR(설정_코스수당!$K$2),MONTH(설정_코스수당!$K$2)+1,0)),DATE(YEAR(설정_코스수당!$K$2),MONTH(설정_코스수당!$K$2),12),"")</f>
        <v>46185</v>
      </c>
      <c r="C1197" s="25"/>
      <c r="D1197" s="23"/>
      <c r="E1197" s="23"/>
      <c r="F1197" s="26"/>
      <c r="G1197" s="23"/>
      <c r="H1197" s="23"/>
      <c r="I1197" s="23"/>
      <c r="J1197" s="27">
        <f>IF($O1197="방문완료",MAX(0,IFERROR(VLOOKUP($E1197,설정_코스수당!$A$6:$H$10,4,FALSE),0)-IF(OR($P1197="",$P1197="없음"),0,100000)),0)</f>
        <v>0</v>
      </c>
      <c r="K1197" s="27">
        <f t="array" ref="K1197">IF($O1197="방문완료",IFERROR(INDEX(설정_코스수당!$B$15:$F$64,MATCH($G1197,설정_코스수당!$A$15:$A$64,0),MATCH($E1197&amp;"수당",설정_코스수당!$B$14:$F$14,0)),0),0)</f>
        <v>0</v>
      </c>
      <c r="L1197" s="27">
        <f t="array" ref="L1197">IF($O1197="방문완료",IF($H1197="",0,IFERROR(INDEX(설정_코스수당!$B$15:$F$64,MATCH($H1197,설정_코스수당!$A$15:$A$64,0),MATCH($E1197&amp;"수당",설정_코스수당!$B$14:$F$14,0)),0)),0)</f>
        <v>0</v>
      </c>
      <c r="M1197" s="27">
        <f>IF($O1197="방문완료",IFERROR(VLOOKUP($E1197,설정_코스수당!$A$6:$H$10,6,FALSE),0),0)</f>
        <v>0</v>
      </c>
      <c r="N1197" s="28">
        <f t="shared" si="34"/>
        <v>0</v>
      </c>
      <c r="O1197" s="23"/>
      <c r="P1197" s="23"/>
      <c r="Q1197" s="23"/>
      <c r="R1197" s="26"/>
      <c r="S1197" s="23"/>
    </row>
    <row r="1198" spans="1:19" ht="19.5" hidden="1" customHeight="1" outlineLevel="1">
      <c r="A1198" s="29">
        <v>52</v>
      </c>
      <c r="B1198" s="30">
        <f>IF(12&lt;=DAY(DATE(YEAR(설정_코스수당!$K$2),MONTH(설정_코스수당!$K$2)+1,0)),DATE(YEAR(설정_코스수당!$K$2),MONTH(설정_코스수당!$K$2),12),"")</f>
        <v>46185</v>
      </c>
      <c r="C1198" s="31"/>
      <c r="D1198" s="29"/>
      <c r="E1198" s="29"/>
      <c r="F1198" s="32"/>
      <c r="G1198" s="29"/>
      <c r="H1198" s="29"/>
      <c r="I1198" s="29"/>
      <c r="J1198" s="33">
        <f>IF($O1198="방문완료",MAX(0,IFERROR(VLOOKUP($E1198,설정_코스수당!$A$6:$H$10,4,FALSE),0)-IF(OR($P1198="",$P1198="없음"),0,100000)),0)</f>
        <v>0</v>
      </c>
      <c r="K1198" s="33">
        <f t="array" ref="K1198">IF($O1198="방문완료",IFERROR(INDEX(설정_코스수당!$B$15:$F$64,MATCH($G1198,설정_코스수당!$A$15:$A$64,0),MATCH($E1198&amp;"수당",설정_코스수당!$B$14:$F$14,0)),0),0)</f>
        <v>0</v>
      </c>
      <c r="L1198" s="33">
        <f t="array" ref="L1198">IF($O1198="방문완료",IF($H1198="",0,IFERROR(INDEX(설정_코스수당!$B$15:$F$64,MATCH($H1198,설정_코스수당!$A$15:$A$64,0),MATCH($E1198&amp;"수당",설정_코스수당!$B$14:$F$14,0)),0)),0)</f>
        <v>0</v>
      </c>
      <c r="M1198" s="33">
        <f>IF($O1198="방문완료",IFERROR(VLOOKUP($E1198,설정_코스수당!$A$6:$H$10,6,FALSE),0),0)</f>
        <v>0</v>
      </c>
      <c r="N1198" s="34">
        <f t="shared" si="34"/>
        <v>0</v>
      </c>
      <c r="O1198" s="29"/>
      <c r="P1198" s="29"/>
      <c r="Q1198" s="29"/>
      <c r="R1198" s="32"/>
      <c r="S1198" s="29"/>
    </row>
    <row r="1199" spans="1:19" ht="19.5" hidden="1" customHeight="1" outlineLevel="1">
      <c r="A1199" s="23">
        <v>53</v>
      </c>
      <c r="B1199" s="24">
        <f>IF(12&lt;=DAY(DATE(YEAR(설정_코스수당!$K$2),MONTH(설정_코스수당!$K$2)+1,0)),DATE(YEAR(설정_코스수당!$K$2),MONTH(설정_코스수당!$K$2),12),"")</f>
        <v>46185</v>
      </c>
      <c r="C1199" s="25"/>
      <c r="D1199" s="23"/>
      <c r="E1199" s="23"/>
      <c r="F1199" s="26"/>
      <c r="G1199" s="23"/>
      <c r="H1199" s="23"/>
      <c r="I1199" s="23"/>
      <c r="J1199" s="27">
        <f>IF($O1199="방문완료",MAX(0,IFERROR(VLOOKUP($E1199,설정_코스수당!$A$6:$H$10,4,FALSE),0)-IF(OR($P1199="",$P1199="없음"),0,100000)),0)</f>
        <v>0</v>
      </c>
      <c r="K1199" s="27">
        <f t="array" ref="K1199">IF($O1199="방문완료",IFERROR(INDEX(설정_코스수당!$B$15:$F$64,MATCH($G1199,설정_코스수당!$A$15:$A$64,0),MATCH($E1199&amp;"수당",설정_코스수당!$B$14:$F$14,0)),0),0)</f>
        <v>0</v>
      </c>
      <c r="L1199" s="27">
        <f t="array" ref="L1199">IF($O1199="방문완료",IF($H1199="",0,IFERROR(INDEX(설정_코스수당!$B$15:$F$64,MATCH($H1199,설정_코스수당!$A$15:$A$64,0),MATCH($E1199&amp;"수당",설정_코스수당!$B$14:$F$14,0)),0)),0)</f>
        <v>0</v>
      </c>
      <c r="M1199" s="27">
        <f>IF($O1199="방문완료",IFERROR(VLOOKUP($E1199,설정_코스수당!$A$6:$H$10,6,FALSE),0),0)</f>
        <v>0</v>
      </c>
      <c r="N1199" s="28">
        <f t="shared" si="34"/>
        <v>0</v>
      </c>
      <c r="O1199" s="23"/>
      <c r="P1199" s="23"/>
      <c r="Q1199" s="23"/>
      <c r="R1199" s="26"/>
      <c r="S1199" s="23"/>
    </row>
    <row r="1200" spans="1:19" ht="19.5" hidden="1" customHeight="1" outlineLevel="1">
      <c r="A1200" s="29">
        <v>54</v>
      </c>
      <c r="B1200" s="30">
        <f>IF(12&lt;=DAY(DATE(YEAR(설정_코스수당!$K$2),MONTH(설정_코스수당!$K$2)+1,0)),DATE(YEAR(설정_코스수당!$K$2),MONTH(설정_코스수당!$K$2),12),"")</f>
        <v>46185</v>
      </c>
      <c r="C1200" s="31"/>
      <c r="D1200" s="29"/>
      <c r="E1200" s="29"/>
      <c r="F1200" s="32"/>
      <c r="G1200" s="29"/>
      <c r="H1200" s="29"/>
      <c r="I1200" s="29"/>
      <c r="J1200" s="33">
        <f>IF($O1200="방문완료",MAX(0,IFERROR(VLOOKUP($E1200,설정_코스수당!$A$6:$H$10,4,FALSE),0)-IF(OR($P1200="",$P1200="없음"),0,100000)),0)</f>
        <v>0</v>
      </c>
      <c r="K1200" s="33">
        <f t="array" ref="K1200">IF($O1200="방문완료",IFERROR(INDEX(설정_코스수당!$B$15:$F$64,MATCH($G1200,설정_코스수당!$A$15:$A$64,0),MATCH($E1200&amp;"수당",설정_코스수당!$B$14:$F$14,0)),0),0)</f>
        <v>0</v>
      </c>
      <c r="L1200" s="33">
        <f t="array" ref="L1200">IF($O1200="방문완료",IF($H1200="",0,IFERROR(INDEX(설정_코스수당!$B$15:$F$64,MATCH($H1200,설정_코스수당!$A$15:$A$64,0),MATCH($E1200&amp;"수당",설정_코스수당!$B$14:$F$14,0)),0)),0)</f>
        <v>0</v>
      </c>
      <c r="M1200" s="33">
        <f>IF($O1200="방문완료",IFERROR(VLOOKUP($E1200,설정_코스수당!$A$6:$H$10,6,FALSE),0),0)</f>
        <v>0</v>
      </c>
      <c r="N1200" s="34">
        <f t="shared" si="34"/>
        <v>0</v>
      </c>
      <c r="O1200" s="29"/>
      <c r="P1200" s="29"/>
      <c r="Q1200" s="29"/>
      <c r="R1200" s="32"/>
      <c r="S1200" s="29"/>
    </row>
    <row r="1201" spans="1:19" ht="19.5" hidden="1" customHeight="1" outlineLevel="1">
      <c r="A1201" s="23">
        <v>55</v>
      </c>
      <c r="B1201" s="24">
        <f>IF(12&lt;=DAY(DATE(YEAR(설정_코스수당!$K$2),MONTH(설정_코스수당!$K$2)+1,0)),DATE(YEAR(설정_코스수당!$K$2),MONTH(설정_코스수당!$K$2),12),"")</f>
        <v>46185</v>
      </c>
      <c r="C1201" s="25"/>
      <c r="D1201" s="23"/>
      <c r="E1201" s="23"/>
      <c r="F1201" s="26"/>
      <c r="G1201" s="23"/>
      <c r="H1201" s="23"/>
      <c r="I1201" s="23"/>
      <c r="J1201" s="27">
        <f>IF($O1201="방문완료",MAX(0,IFERROR(VLOOKUP($E1201,설정_코스수당!$A$6:$H$10,4,FALSE),0)-IF(OR($P1201="",$P1201="없음"),0,100000)),0)</f>
        <v>0</v>
      </c>
      <c r="K1201" s="27">
        <f t="array" ref="K1201">IF($O1201="방문완료",IFERROR(INDEX(설정_코스수당!$B$15:$F$64,MATCH($G1201,설정_코스수당!$A$15:$A$64,0),MATCH($E1201&amp;"수당",설정_코스수당!$B$14:$F$14,0)),0),0)</f>
        <v>0</v>
      </c>
      <c r="L1201" s="27">
        <f t="array" ref="L1201">IF($O1201="방문완료",IF($H1201="",0,IFERROR(INDEX(설정_코스수당!$B$15:$F$64,MATCH($H1201,설정_코스수당!$A$15:$A$64,0),MATCH($E1201&amp;"수당",설정_코스수당!$B$14:$F$14,0)),0)),0)</f>
        <v>0</v>
      </c>
      <c r="M1201" s="27">
        <f>IF($O1201="방문완료",IFERROR(VLOOKUP($E1201,설정_코스수당!$A$6:$H$10,6,FALSE),0),0)</f>
        <v>0</v>
      </c>
      <c r="N1201" s="28">
        <f t="shared" si="34"/>
        <v>0</v>
      </c>
      <c r="O1201" s="23"/>
      <c r="P1201" s="23"/>
      <c r="Q1201" s="23"/>
      <c r="R1201" s="26"/>
      <c r="S1201" s="23"/>
    </row>
    <row r="1202" spans="1:19" ht="19.5" hidden="1" customHeight="1" outlineLevel="1">
      <c r="A1202" s="29">
        <v>56</v>
      </c>
      <c r="B1202" s="30">
        <f>IF(12&lt;=DAY(DATE(YEAR(설정_코스수당!$K$2),MONTH(설정_코스수당!$K$2)+1,0)),DATE(YEAR(설정_코스수당!$K$2),MONTH(설정_코스수당!$K$2),12),"")</f>
        <v>46185</v>
      </c>
      <c r="C1202" s="31"/>
      <c r="D1202" s="29"/>
      <c r="E1202" s="29"/>
      <c r="F1202" s="32"/>
      <c r="G1202" s="29"/>
      <c r="H1202" s="29"/>
      <c r="I1202" s="29"/>
      <c r="J1202" s="33">
        <f>IF($O1202="방문완료",MAX(0,IFERROR(VLOOKUP($E1202,설정_코스수당!$A$6:$H$10,4,FALSE),0)-IF(OR($P1202="",$P1202="없음"),0,100000)),0)</f>
        <v>0</v>
      </c>
      <c r="K1202" s="33">
        <f t="array" ref="K1202">IF($O1202="방문완료",IFERROR(INDEX(설정_코스수당!$B$15:$F$64,MATCH($G1202,설정_코스수당!$A$15:$A$64,0),MATCH($E1202&amp;"수당",설정_코스수당!$B$14:$F$14,0)),0),0)</f>
        <v>0</v>
      </c>
      <c r="L1202" s="33">
        <f t="array" ref="L1202">IF($O1202="방문완료",IF($H1202="",0,IFERROR(INDEX(설정_코스수당!$B$15:$F$64,MATCH($H1202,설정_코스수당!$A$15:$A$64,0),MATCH($E1202&amp;"수당",설정_코스수당!$B$14:$F$14,0)),0)),0)</f>
        <v>0</v>
      </c>
      <c r="M1202" s="33">
        <f>IF($O1202="방문완료",IFERROR(VLOOKUP($E1202,설정_코스수당!$A$6:$H$10,6,FALSE),0),0)</f>
        <v>0</v>
      </c>
      <c r="N1202" s="34">
        <f t="shared" si="34"/>
        <v>0</v>
      </c>
      <c r="O1202" s="29"/>
      <c r="P1202" s="29"/>
      <c r="Q1202" s="29"/>
      <c r="R1202" s="32"/>
      <c r="S1202" s="29"/>
    </row>
    <row r="1203" spans="1:19" ht="19.5" hidden="1" customHeight="1" outlineLevel="1">
      <c r="A1203" s="23">
        <v>57</v>
      </c>
      <c r="B1203" s="24">
        <f>IF(12&lt;=DAY(DATE(YEAR(설정_코스수당!$K$2),MONTH(설정_코스수당!$K$2)+1,0)),DATE(YEAR(설정_코스수당!$K$2),MONTH(설정_코스수당!$K$2),12),"")</f>
        <v>46185</v>
      </c>
      <c r="C1203" s="25"/>
      <c r="D1203" s="23"/>
      <c r="E1203" s="23"/>
      <c r="F1203" s="26"/>
      <c r="G1203" s="23"/>
      <c r="H1203" s="23"/>
      <c r="I1203" s="23"/>
      <c r="J1203" s="27">
        <f>IF($O1203="방문완료",MAX(0,IFERROR(VLOOKUP($E1203,설정_코스수당!$A$6:$H$10,4,FALSE),0)-IF(OR($P1203="",$P1203="없음"),0,100000)),0)</f>
        <v>0</v>
      </c>
      <c r="K1203" s="27">
        <f t="array" ref="K1203">IF($O1203="방문완료",IFERROR(INDEX(설정_코스수당!$B$15:$F$64,MATCH($G1203,설정_코스수당!$A$15:$A$64,0),MATCH($E1203&amp;"수당",설정_코스수당!$B$14:$F$14,0)),0),0)</f>
        <v>0</v>
      </c>
      <c r="L1203" s="27">
        <f t="array" ref="L1203">IF($O1203="방문완료",IF($H1203="",0,IFERROR(INDEX(설정_코스수당!$B$15:$F$64,MATCH($H1203,설정_코스수당!$A$15:$A$64,0),MATCH($E1203&amp;"수당",설정_코스수당!$B$14:$F$14,0)),0)),0)</f>
        <v>0</v>
      </c>
      <c r="M1203" s="27">
        <f>IF($O1203="방문완료",IFERROR(VLOOKUP($E1203,설정_코스수당!$A$6:$H$10,6,FALSE),0),0)</f>
        <v>0</v>
      </c>
      <c r="N1203" s="28">
        <f t="shared" si="34"/>
        <v>0</v>
      </c>
      <c r="O1203" s="23"/>
      <c r="P1203" s="23"/>
      <c r="Q1203" s="23"/>
      <c r="R1203" s="26"/>
      <c r="S1203" s="23"/>
    </row>
    <row r="1204" spans="1:19" ht="19.5" hidden="1" customHeight="1" outlineLevel="1">
      <c r="A1204" s="29">
        <v>58</v>
      </c>
      <c r="B1204" s="30">
        <f>IF(12&lt;=DAY(DATE(YEAR(설정_코스수당!$K$2),MONTH(설정_코스수당!$K$2)+1,0)),DATE(YEAR(설정_코스수당!$K$2),MONTH(설정_코스수당!$K$2),12),"")</f>
        <v>46185</v>
      </c>
      <c r="C1204" s="31"/>
      <c r="D1204" s="29"/>
      <c r="E1204" s="29"/>
      <c r="F1204" s="32"/>
      <c r="G1204" s="29"/>
      <c r="H1204" s="29"/>
      <c r="I1204" s="29"/>
      <c r="J1204" s="33">
        <f>IF($O1204="방문완료",MAX(0,IFERROR(VLOOKUP($E1204,설정_코스수당!$A$6:$H$10,4,FALSE),0)-IF(OR($P1204="",$P1204="없음"),0,100000)),0)</f>
        <v>0</v>
      </c>
      <c r="K1204" s="33">
        <f t="array" ref="K1204">IF($O1204="방문완료",IFERROR(INDEX(설정_코스수당!$B$15:$F$64,MATCH($G1204,설정_코스수당!$A$15:$A$64,0),MATCH($E1204&amp;"수당",설정_코스수당!$B$14:$F$14,0)),0),0)</f>
        <v>0</v>
      </c>
      <c r="L1204" s="33">
        <f t="array" ref="L1204">IF($O1204="방문완료",IF($H1204="",0,IFERROR(INDEX(설정_코스수당!$B$15:$F$64,MATCH($H1204,설정_코스수당!$A$15:$A$64,0),MATCH($E1204&amp;"수당",설정_코스수당!$B$14:$F$14,0)),0)),0)</f>
        <v>0</v>
      </c>
      <c r="M1204" s="33">
        <f>IF($O1204="방문완료",IFERROR(VLOOKUP($E1204,설정_코스수당!$A$6:$H$10,6,FALSE),0),0)</f>
        <v>0</v>
      </c>
      <c r="N1204" s="34">
        <f t="shared" si="34"/>
        <v>0</v>
      </c>
      <c r="O1204" s="29"/>
      <c r="P1204" s="29"/>
      <c r="Q1204" s="29"/>
      <c r="R1204" s="32"/>
      <c r="S1204" s="29"/>
    </row>
    <row r="1205" spans="1:19" ht="19.5" hidden="1" customHeight="1" outlineLevel="1">
      <c r="A1205" s="23">
        <v>59</v>
      </c>
      <c r="B1205" s="24">
        <f>IF(12&lt;=DAY(DATE(YEAR(설정_코스수당!$K$2),MONTH(설정_코스수당!$K$2)+1,0)),DATE(YEAR(설정_코스수당!$K$2),MONTH(설정_코스수당!$K$2),12),"")</f>
        <v>46185</v>
      </c>
      <c r="C1205" s="25"/>
      <c r="D1205" s="23"/>
      <c r="E1205" s="23"/>
      <c r="F1205" s="26"/>
      <c r="G1205" s="23"/>
      <c r="H1205" s="23"/>
      <c r="I1205" s="23"/>
      <c r="J1205" s="27">
        <f>IF($O1205="방문완료",MAX(0,IFERROR(VLOOKUP($E1205,설정_코스수당!$A$6:$H$10,4,FALSE),0)-IF(OR($P1205="",$P1205="없음"),0,100000)),0)</f>
        <v>0</v>
      </c>
      <c r="K1205" s="27">
        <f t="array" ref="K1205">IF($O1205="방문완료",IFERROR(INDEX(설정_코스수당!$B$15:$F$64,MATCH($G1205,설정_코스수당!$A$15:$A$64,0),MATCH($E1205&amp;"수당",설정_코스수당!$B$14:$F$14,0)),0),0)</f>
        <v>0</v>
      </c>
      <c r="L1205" s="27">
        <f t="array" ref="L1205">IF($O1205="방문완료",IF($H1205="",0,IFERROR(INDEX(설정_코스수당!$B$15:$F$64,MATCH($H1205,설정_코스수당!$A$15:$A$64,0),MATCH($E1205&amp;"수당",설정_코스수당!$B$14:$F$14,0)),0)),0)</f>
        <v>0</v>
      </c>
      <c r="M1205" s="27">
        <f>IF($O1205="방문완료",IFERROR(VLOOKUP($E1205,설정_코스수당!$A$6:$H$10,6,FALSE),0),0)</f>
        <v>0</v>
      </c>
      <c r="N1205" s="28">
        <f t="shared" si="34"/>
        <v>0</v>
      </c>
      <c r="O1205" s="23"/>
      <c r="P1205" s="23"/>
      <c r="Q1205" s="23"/>
      <c r="R1205" s="26"/>
      <c r="S1205" s="23"/>
    </row>
    <row r="1206" spans="1:19" ht="19.5" hidden="1" customHeight="1" outlineLevel="1">
      <c r="A1206" s="29">
        <v>60</v>
      </c>
      <c r="B1206" s="30">
        <f>IF(12&lt;=DAY(DATE(YEAR(설정_코스수당!$K$2),MONTH(설정_코스수당!$K$2)+1,0)),DATE(YEAR(설정_코스수당!$K$2),MONTH(설정_코스수당!$K$2),12),"")</f>
        <v>46185</v>
      </c>
      <c r="C1206" s="31"/>
      <c r="D1206" s="29"/>
      <c r="E1206" s="29"/>
      <c r="F1206" s="32"/>
      <c r="G1206" s="29"/>
      <c r="H1206" s="29"/>
      <c r="I1206" s="29"/>
      <c r="J1206" s="33">
        <f>IF($O1206="방문완료",MAX(0,IFERROR(VLOOKUP($E1206,설정_코스수당!$A$6:$H$10,4,FALSE),0)-IF(OR($P1206="",$P1206="없음"),0,100000)),0)</f>
        <v>0</v>
      </c>
      <c r="K1206" s="33">
        <f t="array" ref="K1206">IF($O1206="방문완료",IFERROR(INDEX(설정_코스수당!$B$15:$F$64,MATCH($G1206,설정_코스수당!$A$15:$A$64,0),MATCH($E1206&amp;"수당",설정_코스수당!$B$14:$F$14,0)),0),0)</f>
        <v>0</v>
      </c>
      <c r="L1206" s="33">
        <f t="array" ref="L1206">IF($O1206="방문완료",IF($H1206="",0,IFERROR(INDEX(설정_코스수당!$B$15:$F$64,MATCH($H1206,설정_코스수당!$A$15:$A$64,0),MATCH($E1206&amp;"수당",설정_코스수당!$B$14:$F$14,0)),0)),0)</f>
        <v>0</v>
      </c>
      <c r="M1206" s="33">
        <f>IF($O1206="방문완료",IFERROR(VLOOKUP($E1206,설정_코스수당!$A$6:$H$10,6,FALSE),0),0)</f>
        <v>0</v>
      </c>
      <c r="N1206" s="34">
        <f t="shared" si="34"/>
        <v>0</v>
      </c>
      <c r="O1206" s="29"/>
      <c r="P1206" s="29"/>
      <c r="Q1206" s="29"/>
      <c r="R1206" s="32"/>
      <c r="S1206" s="29"/>
    </row>
    <row r="1207" spans="1:19" ht="19.5" hidden="1" customHeight="1" outlineLevel="1">
      <c r="A1207" s="23">
        <v>61</v>
      </c>
      <c r="B1207" s="24">
        <f>IF(12&lt;=DAY(DATE(YEAR(설정_코스수당!$K$2),MONTH(설정_코스수당!$K$2)+1,0)),DATE(YEAR(설정_코스수당!$K$2),MONTH(설정_코스수당!$K$2),12),"")</f>
        <v>46185</v>
      </c>
      <c r="C1207" s="25"/>
      <c r="D1207" s="23"/>
      <c r="E1207" s="23"/>
      <c r="F1207" s="26"/>
      <c r="G1207" s="23"/>
      <c r="H1207" s="23"/>
      <c r="I1207" s="23"/>
      <c r="J1207" s="27">
        <f>IF($O1207="방문완료",MAX(0,IFERROR(VLOOKUP($E1207,설정_코스수당!$A$6:$H$10,4,FALSE),0)-IF(OR($P1207="",$P1207="없음"),0,100000)),0)</f>
        <v>0</v>
      </c>
      <c r="K1207" s="27">
        <f t="array" ref="K1207">IF($O1207="방문완료",IFERROR(INDEX(설정_코스수당!$B$15:$F$64,MATCH($G1207,설정_코스수당!$A$15:$A$64,0),MATCH($E1207&amp;"수당",설정_코스수당!$B$14:$F$14,0)),0),0)</f>
        <v>0</v>
      </c>
      <c r="L1207" s="27">
        <f t="array" ref="L1207">IF($O1207="방문완료",IF($H1207="",0,IFERROR(INDEX(설정_코스수당!$B$15:$F$64,MATCH($H1207,설정_코스수당!$A$15:$A$64,0),MATCH($E1207&amp;"수당",설정_코스수당!$B$14:$F$14,0)),0)),0)</f>
        <v>0</v>
      </c>
      <c r="M1207" s="27">
        <f>IF($O1207="방문완료",IFERROR(VLOOKUP($E1207,설정_코스수당!$A$6:$H$10,6,FALSE),0),0)</f>
        <v>0</v>
      </c>
      <c r="N1207" s="28">
        <f t="shared" si="34"/>
        <v>0</v>
      </c>
      <c r="O1207" s="23"/>
      <c r="P1207" s="23"/>
      <c r="Q1207" s="23"/>
      <c r="R1207" s="26"/>
      <c r="S1207" s="23"/>
    </row>
    <row r="1208" spans="1:19" ht="19.5" hidden="1" customHeight="1" outlineLevel="1">
      <c r="A1208" s="29">
        <v>62</v>
      </c>
      <c r="B1208" s="30">
        <f>IF(12&lt;=DAY(DATE(YEAR(설정_코스수당!$K$2),MONTH(설정_코스수당!$K$2)+1,0)),DATE(YEAR(설정_코스수당!$K$2),MONTH(설정_코스수당!$K$2),12),"")</f>
        <v>46185</v>
      </c>
      <c r="C1208" s="31"/>
      <c r="D1208" s="29"/>
      <c r="E1208" s="29"/>
      <c r="F1208" s="32"/>
      <c r="G1208" s="29"/>
      <c r="H1208" s="29"/>
      <c r="I1208" s="29"/>
      <c r="J1208" s="33">
        <f>IF($O1208="방문완료",MAX(0,IFERROR(VLOOKUP($E1208,설정_코스수당!$A$6:$H$10,4,FALSE),0)-IF(OR($P1208="",$P1208="없음"),0,100000)),0)</f>
        <v>0</v>
      </c>
      <c r="K1208" s="33">
        <f t="array" ref="K1208">IF($O1208="방문완료",IFERROR(INDEX(설정_코스수당!$B$15:$F$64,MATCH($G1208,설정_코스수당!$A$15:$A$64,0),MATCH($E1208&amp;"수당",설정_코스수당!$B$14:$F$14,0)),0),0)</f>
        <v>0</v>
      </c>
      <c r="L1208" s="33">
        <f t="array" ref="L1208">IF($O1208="방문완료",IF($H1208="",0,IFERROR(INDEX(설정_코스수당!$B$15:$F$64,MATCH($H1208,설정_코스수당!$A$15:$A$64,0),MATCH($E1208&amp;"수당",설정_코스수당!$B$14:$F$14,0)),0)),0)</f>
        <v>0</v>
      </c>
      <c r="M1208" s="33">
        <f>IF($O1208="방문완료",IFERROR(VLOOKUP($E1208,설정_코스수당!$A$6:$H$10,6,FALSE),0),0)</f>
        <v>0</v>
      </c>
      <c r="N1208" s="34">
        <f t="shared" si="34"/>
        <v>0</v>
      </c>
      <c r="O1208" s="29"/>
      <c r="P1208" s="29"/>
      <c r="Q1208" s="29"/>
      <c r="R1208" s="32"/>
      <c r="S1208" s="29"/>
    </row>
    <row r="1209" spans="1:19" ht="19.5" hidden="1" customHeight="1" outlineLevel="1">
      <c r="A1209" s="23">
        <v>63</v>
      </c>
      <c r="B1209" s="24">
        <f>IF(12&lt;=DAY(DATE(YEAR(설정_코스수당!$K$2),MONTH(설정_코스수당!$K$2)+1,0)),DATE(YEAR(설정_코스수당!$K$2),MONTH(설정_코스수당!$K$2),12),"")</f>
        <v>46185</v>
      </c>
      <c r="C1209" s="25"/>
      <c r="D1209" s="23"/>
      <c r="E1209" s="23"/>
      <c r="F1209" s="26"/>
      <c r="G1209" s="23"/>
      <c r="H1209" s="23"/>
      <c r="I1209" s="23"/>
      <c r="J1209" s="27">
        <f>IF($O1209="방문완료",MAX(0,IFERROR(VLOOKUP($E1209,설정_코스수당!$A$6:$H$10,4,FALSE),0)-IF(OR($P1209="",$P1209="없음"),0,100000)),0)</f>
        <v>0</v>
      </c>
      <c r="K1209" s="27">
        <f t="array" ref="K1209">IF($O1209="방문완료",IFERROR(INDEX(설정_코스수당!$B$15:$F$64,MATCH($G1209,설정_코스수당!$A$15:$A$64,0),MATCH($E1209&amp;"수당",설정_코스수당!$B$14:$F$14,0)),0),0)</f>
        <v>0</v>
      </c>
      <c r="L1209" s="27">
        <f t="array" ref="L1209">IF($O1209="방문완료",IF($H1209="",0,IFERROR(INDEX(설정_코스수당!$B$15:$F$64,MATCH($H1209,설정_코스수당!$A$15:$A$64,0),MATCH($E1209&amp;"수당",설정_코스수당!$B$14:$F$14,0)),0)),0)</f>
        <v>0</v>
      </c>
      <c r="M1209" s="27">
        <f>IF($O1209="방문완료",IFERROR(VLOOKUP($E1209,설정_코스수당!$A$6:$H$10,6,FALSE),0),0)</f>
        <v>0</v>
      </c>
      <c r="N1209" s="28">
        <f t="shared" si="34"/>
        <v>0</v>
      </c>
      <c r="O1209" s="23"/>
      <c r="P1209" s="23"/>
      <c r="Q1209" s="23"/>
      <c r="R1209" s="26"/>
      <c r="S1209" s="23"/>
    </row>
    <row r="1210" spans="1:19" ht="19.5" hidden="1" customHeight="1" outlineLevel="1">
      <c r="A1210" s="29">
        <v>64</v>
      </c>
      <c r="B1210" s="30">
        <f>IF(12&lt;=DAY(DATE(YEAR(설정_코스수당!$K$2),MONTH(설정_코스수당!$K$2)+1,0)),DATE(YEAR(설정_코스수당!$K$2),MONTH(설정_코스수당!$K$2),12),"")</f>
        <v>46185</v>
      </c>
      <c r="C1210" s="31"/>
      <c r="D1210" s="29"/>
      <c r="E1210" s="29"/>
      <c r="F1210" s="32"/>
      <c r="G1210" s="29"/>
      <c r="H1210" s="29"/>
      <c r="I1210" s="29"/>
      <c r="J1210" s="33">
        <f>IF($O1210="방문완료",MAX(0,IFERROR(VLOOKUP($E1210,설정_코스수당!$A$6:$H$10,4,FALSE),0)-IF(OR($P1210="",$P1210="없음"),0,100000)),0)</f>
        <v>0</v>
      </c>
      <c r="K1210" s="33">
        <f t="array" ref="K1210">IF($O1210="방문완료",IFERROR(INDEX(설정_코스수당!$B$15:$F$64,MATCH($G1210,설정_코스수당!$A$15:$A$64,0),MATCH($E1210&amp;"수당",설정_코스수당!$B$14:$F$14,0)),0),0)</f>
        <v>0</v>
      </c>
      <c r="L1210" s="33">
        <f t="array" ref="L1210">IF($O1210="방문완료",IF($H1210="",0,IFERROR(INDEX(설정_코스수당!$B$15:$F$64,MATCH($H1210,설정_코스수당!$A$15:$A$64,0),MATCH($E1210&amp;"수당",설정_코스수당!$B$14:$F$14,0)),0)),0)</f>
        <v>0</v>
      </c>
      <c r="M1210" s="33">
        <f>IF($O1210="방문완료",IFERROR(VLOOKUP($E1210,설정_코스수당!$A$6:$H$10,6,FALSE),0),0)</f>
        <v>0</v>
      </c>
      <c r="N1210" s="34">
        <f t="shared" si="34"/>
        <v>0</v>
      </c>
      <c r="O1210" s="29"/>
      <c r="P1210" s="29"/>
      <c r="Q1210" s="29"/>
      <c r="R1210" s="32"/>
      <c r="S1210" s="29"/>
    </row>
    <row r="1211" spans="1:19" ht="19.5" hidden="1" customHeight="1" outlineLevel="1">
      <c r="A1211" s="23">
        <v>65</v>
      </c>
      <c r="B1211" s="24">
        <f>IF(12&lt;=DAY(DATE(YEAR(설정_코스수당!$K$2),MONTH(설정_코스수당!$K$2)+1,0)),DATE(YEAR(설정_코스수당!$K$2),MONTH(설정_코스수당!$K$2),12),"")</f>
        <v>46185</v>
      </c>
      <c r="C1211" s="25"/>
      <c r="D1211" s="23"/>
      <c r="E1211" s="23"/>
      <c r="F1211" s="26"/>
      <c r="G1211" s="23"/>
      <c r="H1211" s="23"/>
      <c r="I1211" s="23"/>
      <c r="J1211" s="27">
        <f>IF($O1211="방문완료",MAX(0,IFERROR(VLOOKUP($E1211,설정_코스수당!$A$6:$H$10,4,FALSE),0)-IF(OR($P1211="",$P1211="없음"),0,100000)),0)</f>
        <v>0</v>
      </c>
      <c r="K1211" s="27">
        <f t="array" ref="K1211">IF($O1211="방문완료",IFERROR(INDEX(설정_코스수당!$B$15:$F$64,MATCH($G1211,설정_코스수당!$A$15:$A$64,0),MATCH($E1211&amp;"수당",설정_코스수당!$B$14:$F$14,0)),0),0)</f>
        <v>0</v>
      </c>
      <c r="L1211" s="27">
        <f t="array" ref="L1211">IF($O1211="방문완료",IF($H1211="",0,IFERROR(INDEX(설정_코스수당!$B$15:$F$64,MATCH($H1211,설정_코스수당!$A$15:$A$64,0),MATCH($E1211&amp;"수당",설정_코스수당!$B$14:$F$14,0)),0)),0)</f>
        <v>0</v>
      </c>
      <c r="M1211" s="27">
        <f>IF($O1211="방문완료",IFERROR(VLOOKUP($E1211,설정_코스수당!$A$6:$H$10,6,FALSE),0),0)</f>
        <v>0</v>
      </c>
      <c r="N1211" s="28">
        <f t="shared" ref="N1211:N1246" si="35">IF($O1211="방문완료",1,0)</f>
        <v>0</v>
      </c>
      <c r="O1211" s="23"/>
      <c r="P1211" s="23"/>
      <c r="Q1211" s="23"/>
      <c r="R1211" s="26"/>
      <c r="S1211" s="23"/>
    </row>
    <row r="1212" spans="1:19" ht="19.5" hidden="1" customHeight="1" outlineLevel="1">
      <c r="A1212" s="29">
        <v>66</v>
      </c>
      <c r="B1212" s="30">
        <f>IF(12&lt;=DAY(DATE(YEAR(설정_코스수당!$K$2),MONTH(설정_코스수당!$K$2)+1,0)),DATE(YEAR(설정_코스수당!$K$2),MONTH(설정_코스수당!$K$2),12),"")</f>
        <v>46185</v>
      </c>
      <c r="C1212" s="31"/>
      <c r="D1212" s="29"/>
      <c r="E1212" s="29"/>
      <c r="F1212" s="32"/>
      <c r="G1212" s="29"/>
      <c r="H1212" s="29"/>
      <c r="I1212" s="29"/>
      <c r="J1212" s="33">
        <f>IF($O1212="방문완료",MAX(0,IFERROR(VLOOKUP($E1212,설정_코스수당!$A$6:$H$10,4,FALSE),0)-IF(OR($P1212="",$P1212="없음"),0,100000)),0)</f>
        <v>0</v>
      </c>
      <c r="K1212" s="33">
        <f t="array" ref="K1212">IF($O1212="방문완료",IFERROR(INDEX(설정_코스수당!$B$15:$F$64,MATCH($G1212,설정_코스수당!$A$15:$A$64,0),MATCH($E1212&amp;"수당",설정_코스수당!$B$14:$F$14,0)),0),0)</f>
        <v>0</v>
      </c>
      <c r="L1212" s="33">
        <f t="array" ref="L1212">IF($O1212="방문완료",IF($H1212="",0,IFERROR(INDEX(설정_코스수당!$B$15:$F$64,MATCH($H1212,설정_코스수당!$A$15:$A$64,0),MATCH($E1212&amp;"수당",설정_코스수당!$B$14:$F$14,0)),0)),0)</f>
        <v>0</v>
      </c>
      <c r="M1212" s="33">
        <f>IF($O1212="방문완료",IFERROR(VLOOKUP($E1212,설정_코스수당!$A$6:$H$10,6,FALSE),0),0)</f>
        <v>0</v>
      </c>
      <c r="N1212" s="34">
        <f t="shared" si="35"/>
        <v>0</v>
      </c>
      <c r="O1212" s="29"/>
      <c r="P1212" s="29"/>
      <c r="Q1212" s="29"/>
      <c r="R1212" s="32"/>
      <c r="S1212" s="29"/>
    </row>
    <row r="1213" spans="1:19" ht="19.5" hidden="1" customHeight="1" outlineLevel="1">
      <c r="A1213" s="23">
        <v>67</v>
      </c>
      <c r="B1213" s="24">
        <f>IF(12&lt;=DAY(DATE(YEAR(설정_코스수당!$K$2),MONTH(설정_코스수당!$K$2)+1,0)),DATE(YEAR(설정_코스수당!$K$2),MONTH(설정_코스수당!$K$2),12),"")</f>
        <v>46185</v>
      </c>
      <c r="C1213" s="25"/>
      <c r="D1213" s="23"/>
      <c r="E1213" s="23"/>
      <c r="F1213" s="26"/>
      <c r="G1213" s="23"/>
      <c r="H1213" s="23"/>
      <c r="I1213" s="23"/>
      <c r="J1213" s="27">
        <f>IF($O1213="방문완료",MAX(0,IFERROR(VLOOKUP($E1213,설정_코스수당!$A$6:$H$10,4,FALSE),0)-IF(OR($P1213="",$P1213="없음"),0,100000)),0)</f>
        <v>0</v>
      </c>
      <c r="K1213" s="27">
        <f t="array" ref="K1213">IF($O1213="방문완료",IFERROR(INDEX(설정_코스수당!$B$15:$F$64,MATCH($G1213,설정_코스수당!$A$15:$A$64,0),MATCH($E1213&amp;"수당",설정_코스수당!$B$14:$F$14,0)),0),0)</f>
        <v>0</v>
      </c>
      <c r="L1213" s="27">
        <f t="array" ref="L1213">IF($O1213="방문완료",IF($H1213="",0,IFERROR(INDEX(설정_코스수당!$B$15:$F$64,MATCH($H1213,설정_코스수당!$A$15:$A$64,0),MATCH($E1213&amp;"수당",설정_코스수당!$B$14:$F$14,0)),0)),0)</f>
        <v>0</v>
      </c>
      <c r="M1213" s="27">
        <f>IF($O1213="방문완료",IFERROR(VLOOKUP($E1213,설정_코스수당!$A$6:$H$10,6,FALSE),0),0)</f>
        <v>0</v>
      </c>
      <c r="N1213" s="28">
        <f t="shared" si="35"/>
        <v>0</v>
      </c>
      <c r="O1213" s="23"/>
      <c r="P1213" s="23"/>
      <c r="Q1213" s="23"/>
      <c r="R1213" s="26"/>
      <c r="S1213" s="23"/>
    </row>
    <row r="1214" spans="1:19" ht="19.5" hidden="1" customHeight="1" outlineLevel="1">
      <c r="A1214" s="29">
        <v>68</v>
      </c>
      <c r="B1214" s="30">
        <f>IF(12&lt;=DAY(DATE(YEAR(설정_코스수당!$K$2),MONTH(설정_코스수당!$K$2)+1,0)),DATE(YEAR(설정_코스수당!$K$2),MONTH(설정_코스수당!$K$2),12),"")</f>
        <v>46185</v>
      </c>
      <c r="C1214" s="31"/>
      <c r="D1214" s="29"/>
      <c r="E1214" s="29"/>
      <c r="F1214" s="32"/>
      <c r="G1214" s="29"/>
      <c r="H1214" s="29"/>
      <c r="I1214" s="29"/>
      <c r="J1214" s="33">
        <f>IF($O1214="방문완료",MAX(0,IFERROR(VLOOKUP($E1214,설정_코스수당!$A$6:$H$10,4,FALSE),0)-IF(OR($P1214="",$P1214="없음"),0,100000)),0)</f>
        <v>0</v>
      </c>
      <c r="K1214" s="33">
        <f t="array" ref="K1214">IF($O1214="방문완료",IFERROR(INDEX(설정_코스수당!$B$15:$F$64,MATCH($G1214,설정_코스수당!$A$15:$A$64,0),MATCH($E1214&amp;"수당",설정_코스수당!$B$14:$F$14,0)),0),0)</f>
        <v>0</v>
      </c>
      <c r="L1214" s="33">
        <f t="array" ref="L1214">IF($O1214="방문완료",IF($H1214="",0,IFERROR(INDEX(설정_코스수당!$B$15:$F$64,MATCH($H1214,설정_코스수당!$A$15:$A$64,0),MATCH($E1214&amp;"수당",설정_코스수당!$B$14:$F$14,0)),0)),0)</f>
        <v>0</v>
      </c>
      <c r="M1214" s="33">
        <f>IF($O1214="방문완료",IFERROR(VLOOKUP($E1214,설정_코스수당!$A$6:$H$10,6,FALSE),0),0)</f>
        <v>0</v>
      </c>
      <c r="N1214" s="34">
        <f t="shared" si="35"/>
        <v>0</v>
      </c>
      <c r="O1214" s="29"/>
      <c r="P1214" s="29"/>
      <c r="Q1214" s="29"/>
      <c r="R1214" s="32"/>
      <c r="S1214" s="29"/>
    </row>
    <row r="1215" spans="1:19" ht="19.5" hidden="1" customHeight="1" outlineLevel="1">
      <c r="A1215" s="23">
        <v>69</v>
      </c>
      <c r="B1215" s="24">
        <f>IF(12&lt;=DAY(DATE(YEAR(설정_코스수당!$K$2),MONTH(설정_코스수당!$K$2)+1,0)),DATE(YEAR(설정_코스수당!$K$2),MONTH(설정_코스수당!$K$2),12),"")</f>
        <v>46185</v>
      </c>
      <c r="C1215" s="25"/>
      <c r="D1215" s="23"/>
      <c r="E1215" s="23"/>
      <c r="F1215" s="26"/>
      <c r="G1215" s="23"/>
      <c r="H1215" s="23"/>
      <c r="I1215" s="23"/>
      <c r="J1215" s="27">
        <f>IF($O1215="방문완료",MAX(0,IFERROR(VLOOKUP($E1215,설정_코스수당!$A$6:$H$10,4,FALSE),0)-IF(OR($P1215="",$P1215="없음"),0,100000)),0)</f>
        <v>0</v>
      </c>
      <c r="K1215" s="27">
        <f t="array" ref="K1215">IF($O1215="방문완료",IFERROR(INDEX(설정_코스수당!$B$15:$F$64,MATCH($G1215,설정_코스수당!$A$15:$A$64,0),MATCH($E1215&amp;"수당",설정_코스수당!$B$14:$F$14,0)),0),0)</f>
        <v>0</v>
      </c>
      <c r="L1215" s="27">
        <f t="array" ref="L1215">IF($O1215="방문완료",IF($H1215="",0,IFERROR(INDEX(설정_코스수당!$B$15:$F$64,MATCH($H1215,설정_코스수당!$A$15:$A$64,0),MATCH($E1215&amp;"수당",설정_코스수당!$B$14:$F$14,0)),0)),0)</f>
        <v>0</v>
      </c>
      <c r="M1215" s="27">
        <f>IF($O1215="방문완료",IFERROR(VLOOKUP($E1215,설정_코스수당!$A$6:$H$10,6,FALSE),0),0)</f>
        <v>0</v>
      </c>
      <c r="N1215" s="28">
        <f t="shared" si="35"/>
        <v>0</v>
      </c>
      <c r="O1215" s="23"/>
      <c r="P1215" s="23"/>
      <c r="Q1215" s="23"/>
      <c r="R1215" s="26"/>
      <c r="S1215" s="23"/>
    </row>
    <row r="1216" spans="1:19" ht="19.5" hidden="1" customHeight="1" outlineLevel="1">
      <c r="A1216" s="29">
        <v>70</v>
      </c>
      <c r="B1216" s="30">
        <f>IF(12&lt;=DAY(DATE(YEAR(설정_코스수당!$K$2),MONTH(설정_코스수당!$K$2)+1,0)),DATE(YEAR(설정_코스수당!$K$2),MONTH(설정_코스수당!$K$2),12),"")</f>
        <v>46185</v>
      </c>
      <c r="C1216" s="31"/>
      <c r="D1216" s="29"/>
      <c r="E1216" s="29"/>
      <c r="F1216" s="32"/>
      <c r="G1216" s="29"/>
      <c r="H1216" s="29"/>
      <c r="I1216" s="29"/>
      <c r="J1216" s="33">
        <f>IF($O1216="방문완료",MAX(0,IFERROR(VLOOKUP($E1216,설정_코스수당!$A$6:$H$10,4,FALSE),0)-IF(OR($P1216="",$P1216="없음"),0,100000)),0)</f>
        <v>0</v>
      </c>
      <c r="K1216" s="33">
        <f t="array" ref="K1216">IF($O1216="방문완료",IFERROR(INDEX(설정_코스수당!$B$15:$F$64,MATCH($G1216,설정_코스수당!$A$15:$A$64,0),MATCH($E1216&amp;"수당",설정_코스수당!$B$14:$F$14,0)),0),0)</f>
        <v>0</v>
      </c>
      <c r="L1216" s="33">
        <f t="array" ref="L1216">IF($O1216="방문완료",IF($H1216="",0,IFERROR(INDEX(설정_코스수당!$B$15:$F$64,MATCH($H1216,설정_코스수당!$A$15:$A$64,0),MATCH($E1216&amp;"수당",설정_코스수당!$B$14:$F$14,0)),0)),0)</f>
        <v>0</v>
      </c>
      <c r="M1216" s="33">
        <f>IF($O1216="방문완료",IFERROR(VLOOKUP($E1216,설정_코스수당!$A$6:$H$10,6,FALSE),0),0)</f>
        <v>0</v>
      </c>
      <c r="N1216" s="34">
        <f t="shared" si="35"/>
        <v>0</v>
      </c>
      <c r="O1216" s="29"/>
      <c r="P1216" s="29"/>
      <c r="Q1216" s="29"/>
      <c r="R1216" s="32"/>
      <c r="S1216" s="29"/>
    </row>
    <row r="1217" spans="1:22" ht="19.5" hidden="1" customHeight="1" outlineLevel="1">
      <c r="A1217" s="23">
        <v>71</v>
      </c>
      <c r="B1217" s="24">
        <f>IF(12&lt;=DAY(DATE(YEAR(설정_코스수당!$K$2),MONTH(설정_코스수당!$K$2)+1,0)),DATE(YEAR(설정_코스수당!$K$2),MONTH(설정_코스수당!$K$2),12),"")</f>
        <v>46185</v>
      </c>
      <c r="C1217" s="25"/>
      <c r="D1217" s="23"/>
      <c r="E1217" s="23"/>
      <c r="F1217" s="26"/>
      <c r="G1217" s="23"/>
      <c r="H1217" s="23"/>
      <c r="I1217" s="23"/>
      <c r="J1217" s="27">
        <f>IF($O1217="방문완료",MAX(0,IFERROR(VLOOKUP($E1217,설정_코스수당!$A$6:$H$10,4,FALSE),0)-IF(OR($P1217="",$P1217="없음"),0,100000)),0)</f>
        <v>0</v>
      </c>
      <c r="K1217" s="27">
        <f t="array" ref="K1217">IF($O1217="방문완료",IFERROR(INDEX(설정_코스수당!$B$15:$F$64,MATCH($G1217,설정_코스수당!$A$15:$A$64,0),MATCH($E1217&amp;"수당",설정_코스수당!$B$14:$F$14,0)),0),0)</f>
        <v>0</v>
      </c>
      <c r="L1217" s="27">
        <f t="array" ref="L1217">IF($O1217="방문완료",IF($H1217="",0,IFERROR(INDEX(설정_코스수당!$B$15:$F$64,MATCH($H1217,설정_코스수당!$A$15:$A$64,0),MATCH($E1217&amp;"수당",설정_코스수당!$B$14:$F$14,0)),0)),0)</f>
        <v>0</v>
      </c>
      <c r="M1217" s="27">
        <f>IF($O1217="방문완료",IFERROR(VLOOKUP($E1217,설정_코스수당!$A$6:$H$10,6,FALSE),0),0)</f>
        <v>0</v>
      </c>
      <c r="N1217" s="28">
        <f t="shared" si="35"/>
        <v>0</v>
      </c>
      <c r="O1217" s="23"/>
      <c r="P1217" s="23"/>
      <c r="Q1217" s="23"/>
      <c r="R1217" s="26"/>
      <c r="S1217" s="23"/>
    </row>
    <row r="1218" spans="1:22" ht="19.5" hidden="1" customHeight="1" outlineLevel="1">
      <c r="A1218" s="29">
        <v>72</v>
      </c>
      <c r="B1218" s="30">
        <f>IF(12&lt;=DAY(DATE(YEAR(설정_코스수당!$K$2),MONTH(설정_코스수당!$K$2)+1,0)),DATE(YEAR(설정_코스수당!$K$2),MONTH(설정_코스수당!$K$2),12),"")</f>
        <v>46185</v>
      </c>
      <c r="C1218" s="31"/>
      <c r="D1218" s="29"/>
      <c r="E1218" s="29"/>
      <c r="F1218" s="32"/>
      <c r="G1218" s="29"/>
      <c r="H1218" s="29"/>
      <c r="I1218" s="29"/>
      <c r="J1218" s="33">
        <f>IF($O1218="방문완료",MAX(0,IFERROR(VLOOKUP($E1218,설정_코스수당!$A$6:$H$10,4,FALSE),0)-IF(OR($P1218="",$P1218="없음"),0,100000)),0)</f>
        <v>0</v>
      </c>
      <c r="K1218" s="33">
        <f t="array" ref="K1218">IF($O1218="방문완료",IFERROR(INDEX(설정_코스수당!$B$15:$F$64,MATCH($G1218,설정_코스수당!$A$15:$A$64,0),MATCH($E1218&amp;"수당",설정_코스수당!$B$14:$F$14,0)),0),0)</f>
        <v>0</v>
      </c>
      <c r="L1218" s="33">
        <f t="array" ref="L1218">IF($O1218="방문완료",IF($H1218="",0,IFERROR(INDEX(설정_코스수당!$B$15:$F$64,MATCH($H1218,설정_코스수당!$A$15:$A$64,0),MATCH($E1218&amp;"수당",설정_코스수당!$B$14:$F$14,0)),0)),0)</f>
        <v>0</v>
      </c>
      <c r="M1218" s="33">
        <f>IF($O1218="방문완료",IFERROR(VLOOKUP($E1218,설정_코스수당!$A$6:$H$10,6,FALSE),0),0)</f>
        <v>0</v>
      </c>
      <c r="N1218" s="34">
        <f t="shared" si="35"/>
        <v>0</v>
      </c>
      <c r="O1218" s="29"/>
      <c r="P1218" s="29"/>
      <c r="Q1218" s="29"/>
      <c r="R1218" s="32"/>
      <c r="S1218" s="29"/>
    </row>
    <row r="1219" spans="1:22" ht="19.5" hidden="1" customHeight="1" outlineLevel="1">
      <c r="A1219" s="23">
        <v>73</v>
      </c>
      <c r="B1219" s="24">
        <f>IF(12&lt;=DAY(DATE(YEAR(설정_코스수당!$K$2),MONTH(설정_코스수당!$K$2)+1,0)),DATE(YEAR(설정_코스수당!$K$2),MONTH(설정_코스수당!$K$2),12),"")</f>
        <v>46185</v>
      </c>
      <c r="C1219" s="25"/>
      <c r="D1219" s="23"/>
      <c r="E1219" s="23"/>
      <c r="F1219" s="26"/>
      <c r="G1219" s="23"/>
      <c r="H1219" s="23"/>
      <c r="I1219" s="23"/>
      <c r="J1219" s="27">
        <f>IF($O1219="방문완료",MAX(0,IFERROR(VLOOKUP($E1219,설정_코스수당!$A$6:$H$10,4,FALSE),0)-IF(OR($P1219="",$P1219="없음"),0,100000)),0)</f>
        <v>0</v>
      </c>
      <c r="K1219" s="27">
        <f t="array" ref="K1219">IF($O1219="방문완료",IFERROR(INDEX(설정_코스수당!$B$15:$F$64,MATCH($G1219,설정_코스수당!$A$15:$A$64,0),MATCH($E1219&amp;"수당",설정_코스수당!$B$14:$F$14,0)),0),0)</f>
        <v>0</v>
      </c>
      <c r="L1219" s="27">
        <f t="array" ref="L1219">IF($O1219="방문완료",IF($H1219="",0,IFERROR(INDEX(설정_코스수당!$B$15:$F$64,MATCH($H1219,설정_코스수당!$A$15:$A$64,0),MATCH($E1219&amp;"수당",설정_코스수당!$B$14:$F$14,0)),0)),0)</f>
        <v>0</v>
      </c>
      <c r="M1219" s="27">
        <f>IF($O1219="방문완료",IFERROR(VLOOKUP($E1219,설정_코스수당!$A$6:$H$10,6,FALSE),0),0)</f>
        <v>0</v>
      </c>
      <c r="N1219" s="28">
        <f t="shared" si="35"/>
        <v>0</v>
      </c>
      <c r="O1219" s="23"/>
      <c r="P1219" s="23"/>
      <c r="Q1219" s="23"/>
      <c r="R1219" s="26"/>
      <c r="S1219" s="23"/>
    </row>
    <row r="1220" spans="1:22" ht="19.5" hidden="1" customHeight="1" outlineLevel="1">
      <c r="A1220" s="29">
        <v>74</v>
      </c>
      <c r="B1220" s="30">
        <f>IF(12&lt;=DAY(DATE(YEAR(설정_코스수당!$K$2),MONTH(설정_코스수당!$K$2)+1,0)),DATE(YEAR(설정_코스수당!$K$2),MONTH(설정_코스수당!$K$2),12),"")</f>
        <v>46185</v>
      </c>
      <c r="C1220" s="31"/>
      <c r="D1220" s="29"/>
      <c r="E1220" s="29"/>
      <c r="F1220" s="32"/>
      <c r="G1220" s="29"/>
      <c r="H1220" s="29"/>
      <c r="I1220" s="29"/>
      <c r="J1220" s="33">
        <f>IF($O1220="방문완료",MAX(0,IFERROR(VLOOKUP($E1220,설정_코스수당!$A$6:$H$10,4,FALSE),0)-IF(OR($P1220="",$P1220="없음"),0,100000)),0)</f>
        <v>0</v>
      </c>
      <c r="K1220" s="33">
        <f t="array" ref="K1220">IF($O1220="방문완료",IFERROR(INDEX(설정_코스수당!$B$15:$F$64,MATCH($G1220,설정_코스수당!$A$15:$A$64,0),MATCH($E1220&amp;"수당",설정_코스수당!$B$14:$F$14,0)),0),0)</f>
        <v>0</v>
      </c>
      <c r="L1220" s="33">
        <f t="array" ref="L1220">IF($O1220="방문완료",IF($H1220="",0,IFERROR(INDEX(설정_코스수당!$B$15:$F$64,MATCH($H1220,설정_코스수당!$A$15:$A$64,0),MATCH($E1220&amp;"수당",설정_코스수당!$B$14:$F$14,0)),0)),0)</f>
        <v>0</v>
      </c>
      <c r="M1220" s="33">
        <f>IF($O1220="방문완료",IFERROR(VLOOKUP($E1220,설정_코스수당!$A$6:$H$10,6,FALSE),0),0)</f>
        <v>0</v>
      </c>
      <c r="N1220" s="34">
        <f t="shared" si="35"/>
        <v>0</v>
      </c>
      <c r="O1220" s="29"/>
      <c r="P1220" s="29"/>
      <c r="Q1220" s="29"/>
      <c r="R1220" s="32"/>
      <c r="S1220" s="29"/>
      <c r="U1220" s="16" t="s">
        <v>72</v>
      </c>
      <c r="V1220" s="17">
        <f>IF(13&lt;=DAY(DATE(YEAR(설정_코스수당!$K$2),MONTH(설정_코스수당!$K$2)+1,0)),COUNTIFS($B:$B,DATE(YEAR(설정_코스수당!$K$2),MONTH(설정_코스수당!$K$2),13),$O:$O,"방문완료",$P:$P,"&lt;&gt;",$P:$P,"&lt;&gt;없음")*100000,"")</f>
        <v>0</v>
      </c>
    </row>
    <row r="1221" spans="1:22" ht="19.5" hidden="1" customHeight="1" outlineLevel="1">
      <c r="A1221" s="23">
        <v>75</v>
      </c>
      <c r="B1221" s="24">
        <f>IF(12&lt;=DAY(DATE(YEAR(설정_코스수당!$K$2),MONTH(설정_코스수당!$K$2)+1,0)),DATE(YEAR(설정_코스수당!$K$2),MONTH(설정_코스수당!$K$2),12),"")</f>
        <v>46185</v>
      </c>
      <c r="C1221" s="25"/>
      <c r="D1221" s="23"/>
      <c r="E1221" s="23"/>
      <c r="F1221" s="26"/>
      <c r="G1221" s="23"/>
      <c r="H1221" s="23"/>
      <c r="I1221" s="23"/>
      <c r="J1221" s="27">
        <f>IF($O1221="방문완료",MAX(0,IFERROR(VLOOKUP($E1221,설정_코스수당!$A$6:$H$10,4,FALSE),0)-IF(OR($P1221="",$P1221="없음"),0,100000)),0)</f>
        <v>0</v>
      </c>
      <c r="K1221" s="27">
        <f t="array" ref="K1221">IF($O1221="방문완료",IFERROR(INDEX(설정_코스수당!$B$15:$F$64,MATCH($G1221,설정_코스수당!$A$15:$A$64,0),MATCH($E1221&amp;"수당",설정_코스수당!$B$14:$F$14,0)),0),0)</f>
        <v>0</v>
      </c>
      <c r="L1221" s="27">
        <f t="array" ref="L1221">IF($O1221="방문완료",IF($H1221="",0,IFERROR(INDEX(설정_코스수당!$B$15:$F$64,MATCH($H1221,설정_코스수당!$A$15:$A$64,0),MATCH($E1221&amp;"수당",설정_코스수당!$B$14:$F$14,0)),0)),0)</f>
        <v>0</v>
      </c>
      <c r="M1221" s="27">
        <f>IF($O1221="방문완료",IFERROR(VLOOKUP($E1221,설정_코스수당!$A$6:$H$10,6,FALSE),0),0)</f>
        <v>0</v>
      </c>
      <c r="N1221" s="28">
        <f t="shared" si="35"/>
        <v>0</v>
      </c>
      <c r="O1221" s="23"/>
      <c r="P1221" s="23"/>
      <c r="Q1221" s="23"/>
      <c r="R1221" s="26"/>
      <c r="S1221" s="23"/>
    </row>
    <row r="1222" spans="1:22" ht="19.5" hidden="1" customHeight="1" outlineLevel="1">
      <c r="A1222" s="29">
        <v>76</v>
      </c>
      <c r="B1222" s="30">
        <f>IF(12&lt;=DAY(DATE(YEAR(설정_코스수당!$K$2),MONTH(설정_코스수당!$K$2)+1,0)),DATE(YEAR(설정_코스수당!$K$2),MONTH(설정_코스수당!$K$2),12),"")</f>
        <v>46185</v>
      </c>
      <c r="C1222" s="31"/>
      <c r="D1222" s="29"/>
      <c r="E1222" s="29"/>
      <c r="F1222" s="32"/>
      <c r="G1222" s="29"/>
      <c r="H1222" s="29"/>
      <c r="I1222" s="29"/>
      <c r="J1222" s="33">
        <f>IF($O1222="방문완료",MAX(0,IFERROR(VLOOKUP($E1222,설정_코스수당!$A$6:$H$10,4,FALSE),0)-IF(OR($P1222="",$P1222="없음"),0,100000)),0)</f>
        <v>0</v>
      </c>
      <c r="K1222" s="33">
        <f t="array" ref="K1222">IF($O1222="방문완료",IFERROR(INDEX(설정_코스수당!$B$15:$F$64,MATCH($G1222,설정_코스수당!$A$15:$A$64,0),MATCH($E1222&amp;"수당",설정_코스수당!$B$14:$F$14,0)),0),0)</f>
        <v>0</v>
      </c>
      <c r="L1222" s="33">
        <f t="array" ref="L1222">IF($O1222="방문완료",IF($H1222="",0,IFERROR(INDEX(설정_코스수당!$B$15:$F$64,MATCH($H1222,설정_코스수당!$A$15:$A$64,0),MATCH($E1222&amp;"수당",설정_코스수당!$B$14:$F$14,0)),0)),0)</f>
        <v>0</v>
      </c>
      <c r="M1222" s="33">
        <f>IF($O1222="방문완료",IFERROR(VLOOKUP($E1222,설정_코스수당!$A$6:$H$10,6,FALSE),0),0)</f>
        <v>0</v>
      </c>
      <c r="N1222" s="34">
        <f t="shared" si="35"/>
        <v>0</v>
      </c>
      <c r="O1222" s="29"/>
      <c r="P1222" s="29"/>
      <c r="Q1222" s="29"/>
      <c r="R1222" s="32"/>
      <c r="S1222" s="29"/>
    </row>
    <row r="1223" spans="1:22" ht="19.5" hidden="1" customHeight="1" outlineLevel="1">
      <c r="A1223" s="23">
        <v>77</v>
      </c>
      <c r="B1223" s="24">
        <f>IF(12&lt;=DAY(DATE(YEAR(설정_코스수당!$K$2),MONTH(설정_코스수당!$K$2)+1,0)),DATE(YEAR(설정_코스수당!$K$2),MONTH(설정_코스수당!$K$2),12),"")</f>
        <v>46185</v>
      </c>
      <c r="C1223" s="25"/>
      <c r="D1223" s="23"/>
      <c r="E1223" s="23"/>
      <c r="F1223" s="26"/>
      <c r="G1223" s="23"/>
      <c r="H1223" s="23"/>
      <c r="I1223" s="23"/>
      <c r="J1223" s="27">
        <f>IF($O1223="방문완료",MAX(0,IFERROR(VLOOKUP($E1223,설정_코스수당!$A$6:$H$10,4,FALSE),0)-IF(OR($P1223="",$P1223="없음"),0,100000)),0)</f>
        <v>0</v>
      </c>
      <c r="K1223" s="27">
        <f t="array" ref="K1223">IF($O1223="방문완료",IFERROR(INDEX(설정_코스수당!$B$15:$F$64,MATCH($G1223,설정_코스수당!$A$15:$A$64,0),MATCH($E1223&amp;"수당",설정_코스수당!$B$14:$F$14,0)),0),0)</f>
        <v>0</v>
      </c>
      <c r="L1223" s="27">
        <f t="array" ref="L1223">IF($O1223="방문완료",IF($H1223="",0,IFERROR(INDEX(설정_코스수당!$B$15:$F$64,MATCH($H1223,설정_코스수당!$A$15:$A$64,0),MATCH($E1223&amp;"수당",설정_코스수당!$B$14:$F$14,0)),0)),0)</f>
        <v>0</v>
      </c>
      <c r="M1223" s="27">
        <f>IF($O1223="방문완료",IFERROR(VLOOKUP($E1223,설정_코스수당!$A$6:$H$10,6,FALSE),0),0)</f>
        <v>0</v>
      </c>
      <c r="N1223" s="28">
        <f t="shared" si="35"/>
        <v>0</v>
      </c>
      <c r="O1223" s="23"/>
      <c r="P1223" s="23"/>
      <c r="Q1223" s="23"/>
      <c r="R1223" s="26"/>
      <c r="S1223" s="23"/>
    </row>
    <row r="1224" spans="1:22" ht="19.5" hidden="1" customHeight="1" outlineLevel="1">
      <c r="A1224" s="29">
        <v>78</v>
      </c>
      <c r="B1224" s="30">
        <f>IF(12&lt;=DAY(DATE(YEAR(설정_코스수당!$K$2),MONTH(설정_코스수당!$K$2)+1,0)),DATE(YEAR(설정_코스수당!$K$2),MONTH(설정_코스수당!$K$2),12),"")</f>
        <v>46185</v>
      </c>
      <c r="C1224" s="31"/>
      <c r="D1224" s="29"/>
      <c r="E1224" s="29"/>
      <c r="F1224" s="32"/>
      <c r="G1224" s="29"/>
      <c r="H1224" s="29"/>
      <c r="I1224" s="29"/>
      <c r="J1224" s="33">
        <f>IF($O1224="방문완료",MAX(0,IFERROR(VLOOKUP($E1224,설정_코스수당!$A$6:$H$10,4,FALSE),0)-IF(OR($P1224="",$P1224="없음"),0,100000)),0)</f>
        <v>0</v>
      </c>
      <c r="K1224" s="33">
        <f t="array" ref="K1224">IF($O1224="방문완료",IFERROR(INDEX(설정_코스수당!$B$15:$F$64,MATCH($G1224,설정_코스수당!$A$15:$A$64,0),MATCH($E1224&amp;"수당",설정_코스수당!$B$14:$F$14,0)),0),0)</f>
        <v>0</v>
      </c>
      <c r="L1224" s="33">
        <f t="array" ref="L1224">IF($O1224="방문완료",IF($H1224="",0,IFERROR(INDEX(설정_코스수당!$B$15:$F$64,MATCH($H1224,설정_코스수당!$A$15:$A$64,0),MATCH($E1224&amp;"수당",설정_코스수당!$B$14:$F$14,0)),0)),0)</f>
        <v>0</v>
      </c>
      <c r="M1224" s="33">
        <f>IF($O1224="방문완료",IFERROR(VLOOKUP($E1224,설정_코스수당!$A$6:$H$10,6,FALSE),0),0)</f>
        <v>0</v>
      </c>
      <c r="N1224" s="34">
        <f t="shared" si="35"/>
        <v>0</v>
      </c>
      <c r="O1224" s="29"/>
      <c r="P1224" s="29"/>
      <c r="Q1224" s="29"/>
      <c r="R1224" s="32"/>
      <c r="S1224" s="29"/>
    </row>
    <row r="1225" spans="1:22" ht="19.5" hidden="1" customHeight="1" outlineLevel="1">
      <c r="A1225" s="23">
        <v>79</v>
      </c>
      <c r="B1225" s="24">
        <f>IF(12&lt;=DAY(DATE(YEAR(설정_코스수당!$K$2),MONTH(설정_코스수당!$K$2)+1,0)),DATE(YEAR(설정_코스수당!$K$2),MONTH(설정_코스수당!$K$2),12),"")</f>
        <v>46185</v>
      </c>
      <c r="C1225" s="25"/>
      <c r="D1225" s="23"/>
      <c r="E1225" s="23"/>
      <c r="F1225" s="26"/>
      <c r="G1225" s="23"/>
      <c r="H1225" s="23"/>
      <c r="I1225" s="23"/>
      <c r="J1225" s="27">
        <f>IF($O1225="방문완료",MAX(0,IFERROR(VLOOKUP($E1225,설정_코스수당!$A$6:$H$10,4,FALSE),0)-IF(OR($P1225="",$P1225="없음"),0,100000)),0)</f>
        <v>0</v>
      </c>
      <c r="K1225" s="27">
        <f t="array" ref="K1225">IF($O1225="방문완료",IFERROR(INDEX(설정_코스수당!$B$15:$F$64,MATCH($G1225,설정_코스수당!$A$15:$A$64,0),MATCH($E1225&amp;"수당",설정_코스수당!$B$14:$F$14,0)),0),0)</f>
        <v>0</v>
      </c>
      <c r="L1225" s="27">
        <f t="array" ref="L1225">IF($O1225="방문완료",IF($H1225="",0,IFERROR(INDEX(설정_코스수당!$B$15:$F$64,MATCH($H1225,설정_코스수당!$A$15:$A$64,0),MATCH($E1225&amp;"수당",설정_코스수당!$B$14:$F$14,0)),0)),0)</f>
        <v>0</v>
      </c>
      <c r="M1225" s="27">
        <f>IF($O1225="방문완료",IFERROR(VLOOKUP($E1225,설정_코스수당!$A$6:$H$10,6,FALSE),0),0)</f>
        <v>0</v>
      </c>
      <c r="N1225" s="28">
        <f t="shared" si="35"/>
        <v>0</v>
      </c>
      <c r="O1225" s="23"/>
      <c r="P1225" s="23"/>
      <c r="Q1225" s="23"/>
      <c r="R1225" s="26"/>
      <c r="S1225" s="23"/>
    </row>
    <row r="1226" spans="1:22" ht="19.5" hidden="1" customHeight="1" outlineLevel="1">
      <c r="A1226" s="29">
        <v>80</v>
      </c>
      <c r="B1226" s="30">
        <f>IF(12&lt;=DAY(DATE(YEAR(설정_코스수당!$K$2),MONTH(설정_코스수당!$K$2)+1,0)),DATE(YEAR(설정_코스수당!$K$2),MONTH(설정_코스수당!$K$2),12),"")</f>
        <v>46185</v>
      </c>
      <c r="C1226" s="31"/>
      <c r="D1226" s="29"/>
      <c r="E1226" s="29"/>
      <c r="F1226" s="32"/>
      <c r="G1226" s="29"/>
      <c r="H1226" s="29"/>
      <c r="I1226" s="29"/>
      <c r="J1226" s="33">
        <f>IF($O1226="방문완료",MAX(0,IFERROR(VLOOKUP($E1226,설정_코스수당!$A$6:$H$10,4,FALSE),0)-IF(OR($P1226="",$P1226="없음"),0,100000)),0)</f>
        <v>0</v>
      </c>
      <c r="K1226" s="33">
        <f t="array" ref="K1226">IF($O1226="방문완료",IFERROR(INDEX(설정_코스수당!$B$15:$F$64,MATCH($G1226,설정_코스수당!$A$15:$A$64,0),MATCH($E1226&amp;"수당",설정_코스수당!$B$14:$F$14,0)),0),0)</f>
        <v>0</v>
      </c>
      <c r="L1226" s="33">
        <f t="array" ref="L1226">IF($O1226="방문완료",IF($H1226="",0,IFERROR(INDEX(설정_코스수당!$B$15:$F$64,MATCH($H1226,설정_코스수당!$A$15:$A$64,0),MATCH($E1226&amp;"수당",설정_코스수당!$B$14:$F$14,0)),0)),0)</f>
        <v>0</v>
      </c>
      <c r="M1226" s="33">
        <f>IF($O1226="방문완료",IFERROR(VLOOKUP($E1226,설정_코스수당!$A$6:$H$10,6,FALSE),0),0)</f>
        <v>0</v>
      </c>
      <c r="N1226" s="34">
        <f t="shared" si="35"/>
        <v>0</v>
      </c>
      <c r="O1226" s="29"/>
      <c r="P1226" s="29"/>
      <c r="Q1226" s="29"/>
      <c r="R1226" s="32"/>
      <c r="S1226" s="29"/>
    </row>
    <row r="1227" spans="1:22" ht="19.5" hidden="1" customHeight="1" outlineLevel="1">
      <c r="A1227" s="23">
        <v>81</v>
      </c>
      <c r="B1227" s="24">
        <f>IF(12&lt;=DAY(DATE(YEAR(설정_코스수당!$K$2),MONTH(설정_코스수당!$K$2)+1,0)),DATE(YEAR(설정_코스수당!$K$2),MONTH(설정_코스수당!$K$2),12),"")</f>
        <v>46185</v>
      </c>
      <c r="C1227" s="25"/>
      <c r="D1227" s="23"/>
      <c r="E1227" s="23"/>
      <c r="F1227" s="26"/>
      <c r="G1227" s="23"/>
      <c r="H1227" s="23"/>
      <c r="I1227" s="23"/>
      <c r="J1227" s="27">
        <f>IF($O1227="방문완료",MAX(0,IFERROR(VLOOKUP($E1227,설정_코스수당!$A$6:$H$10,4,FALSE),0)-IF(OR($P1227="",$P1227="없음"),0,100000)),0)</f>
        <v>0</v>
      </c>
      <c r="K1227" s="27">
        <f t="array" ref="K1227">IF($O1227="방문완료",IFERROR(INDEX(설정_코스수당!$B$15:$F$64,MATCH($G1227,설정_코스수당!$A$15:$A$64,0),MATCH($E1227&amp;"수당",설정_코스수당!$B$14:$F$14,0)),0),0)</f>
        <v>0</v>
      </c>
      <c r="L1227" s="27">
        <f t="array" ref="L1227">IF($O1227="방문완료",IF($H1227="",0,IFERROR(INDEX(설정_코스수당!$B$15:$F$64,MATCH($H1227,설정_코스수당!$A$15:$A$64,0),MATCH($E1227&amp;"수당",설정_코스수당!$B$14:$F$14,0)),0)),0)</f>
        <v>0</v>
      </c>
      <c r="M1227" s="27">
        <f>IF($O1227="방문완료",IFERROR(VLOOKUP($E1227,설정_코스수당!$A$6:$H$10,6,FALSE),0),0)</f>
        <v>0</v>
      </c>
      <c r="N1227" s="28">
        <f t="shared" si="35"/>
        <v>0</v>
      </c>
      <c r="O1227" s="23"/>
      <c r="P1227" s="23"/>
      <c r="Q1227" s="23"/>
      <c r="R1227" s="26"/>
      <c r="S1227" s="23"/>
    </row>
    <row r="1228" spans="1:22" ht="19.5" hidden="1" customHeight="1" outlineLevel="1">
      <c r="A1228" s="29">
        <v>82</v>
      </c>
      <c r="B1228" s="30">
        <f>IF(12&lt;=DAY(DATE(YEAR(설정_코스수당!$K$2),MONTH(설정_코스수당!$K$2)+1,0)),DATE(YEAR(설정_코스수당!$K$2),MONTH(설정_코스수당!$K$2),12),"")</f>
        <v>46185</v>
      </c>
      <c r="C1228" s="31"/>
      <c r="D1228" s="29"/>
      <c r="E1228" s="29"/>
      <c r="F1228" s="32"/>
      <c r="G1228" s="29"/>
      <c r="H1228" s="29"/>
      <c r="I1228" s="29"/>
      <c r="J1228" s="33">
        <f>IF($O1228="방문완료",MAX(0,IFERROR(VLOOKUP($E1228,설정_코스수당!$A$6:$H$10,4,FALSE),0)-IF(OR($P1228="",$P1228="없음"),0,100000)),0)</f>
        <v>0</v>
      </c>
      <c r="K1228" s="33">
        <f t="array" ref="K1228">IF($O1228="방문완료",IFERROR(INDEX(설정_코스수당!$B$15:$F$64,MATCH($G1228,설정_코스수당!$A$15:$A$64,0),MATCH($E1228&amp;"수당",설정_코스수당!$B$14:$F$14,0)),0),0)</f>
        <v>0</v>
      </c>
      <c r="L1228" s="33">
        <f t="array" ref="L1228">IF($O1228="방문완료",IF($H1228="",0,IFERROR(INDEX(설정_코스수당!$B$15:$F$64,MATCH($H1228,설정_코스수당!$A$15:$A$64,0),MATCH($E1228&amp;"수당",설정_코스수당!$B$14:$F$14,0)),0)),0)</f>
        <v>0</v>
      </c>
      <c r="M1228" s="33">
        <f>IF($O1228="방문완료",IFERROR(VLOOKUP($E1228,설정_코스수당!$A$6:$H$10,6,FALSE),0),0)</f>
        <v>0</v>
      </c>
      <c r="N1228" s="34">
        <f t="shared" si="35"/>
        <v>0</v>
      </c>
      <c r="O1228" s="29"/>
      <c r="P1228" s="29"/>
      <c r="Q1228" s="29"/>
      <c r="R1228" s="32"/>
      <c r="S1228" s="29"/>
    </row>
    <row r="1229" spans="1:22" ht="19.5" hidden="1" customHeight="1" outlineLevel="1">
      <c r="A1229" s="23">
        <v>83</v>
      </c>
      <c r="B1229" s="24">
        <f>IF(12&lt;=DAY(DATE(YEAR(설정_코스수당!$K$2),MONTH(설정_코스수당!$K$2)+1,0)),DATE(YEAR(설정_코스수당!$K$2),MONTH(설정_코스수당!$K$2),12),"")</f>
        <v>46185</v>
      </c>
      <c r="C1229" s="25"/>
      <c r="D1229" s="23"/>
      <c r="E1229" s="23"/>
      <c r="F1229" s="26"/>
      <c r="G1229" s="23"/>
      <c r="H1229" s="23"/>
      <c r="I1229" s="23"/>
      <c r="J1229" s="27">
        <f>IF($O1229="방문완료",MAX(0,IFERROR(VLOOKUP($E1229,설정_코스수당!$A$6:$H$10,4,FALSE),0)-IF(OR($P1229="",$P1229="없음"),0,100000)),0)</f>
        <v>0</v>
      </c>
      <c r="K1229" s="27">
        <f t="array" ref="K1229">IF($O1229="방문완료",IFERROR(INDEX(설정_코스수당!$B$15:$F$64,MATCH($G1229,설정_코스수당!$A$15:$A$64,0),MATCH($E1229&amp;"수당",설정_코스수당!$B$14:$F$14,0)),0),0)</f>
        <v>0</v>
      </c>
      <c r="L1229" s="27">
        <f t="array" ref="L1229">IF($O1229="방문완료",IF($H1229="",0,IFERROR(INDEX(설정_코스수당!$B$15:$F$64,MATCH($H1229,설정_코스수당!$A$15:$A$64,0),MATCH($E1229&amp;"수당",설정_코스수당!$B$14:$F$14,0)),0)),0)</f>
        <v>0</v>
      </c>
      <c r="M1229" s="27">
        <f>IF($O1229="방문완료",IFERROR(VLOOKUP($E1229,설정_코스수당!$A$6:$H$10,6,FALSE),0),0)</f>
        <v>0</v>
      </c>
      <c r="N1229" s="28">
        <f t="shared" si="35"/>
        <v>0</v>
      </c>
      <c r="O1229" s="23"/>
      <c r="P1229" s="23"/>
      <c r="Q1229" s="23"/>
      <c r="R1229" s="26"/>
      <c r="S1229" s="23"/>
    </row>
    <row r="1230" spans="1:22" ht="19.5" hidden="1" customHeight="1" outlineLevel="1">
      <c r="A1230" s="29">
        <v>84</v>
      </c>
      <c r="B1230" s="30">
        <f>IF(12&lt;=DAY(DATE(YEAR(설정_코스수당!$K$2),MONTH(설정_코스수당!$K$2)+1,0)),DATE(YEAR(설정_코스수당!$K$2),MONTH(설정_코스수당!$K$2),12),"")</f>
        <v>46185</v>
      </c>
      <c r="C1230" s="31"/>
      <c r="D1230" s="29"/>
      <c r="E1230" s="29"/>
      <c r="F1230" s="32"/>
      <c r="G1230" s="29"/>
      <c r="H1230" s="29"/>
      <c r="I1230" s="29"/>
      <c r="J1230" s="33">
        <f>IF($O1230="방문완료",MAX(0,IFERROR(VLOOKUP($E1230,설정_코스수당!$A$6:$H$10,4,FALSE),0)-IF(OR($P1230="",$P1230="없음"),0,100000)),0)</f>
        <v>0</v>
      </c>
      <c r="K1230" s="33">
        <f t="array" ref="K1230">IF($O1230="방문완료",IFERROR(INDEX(설정_코스수당!$B$15:$F$64,MATCH($G1230,설정_코스수당!$A$15:$A$64,0),MATCH($E1230&amp;"수당",설정_코스수당!$B$14:$F$14,0)),0),0)</f>
        <v>0</v>
      </c>
      <c r="L1230" s="33">
        <f t="array" ref="L1230">IF($O1230="방문완료",IF($H1230="",0,IFERROR(INDEX(설정_코스수당!$B$15:$F$64,MATCH($H1230,설정_코스수당!$A$15:$A$64,0),MATCH($E1230&amp;"수당",설정_코스수당!$B$14:$F$14,0)),0)),0)</f>
        <v>0</v>
      </c>
      <c r="M1230" s="33">
        <f>IF($O1230="방문완료",IFERROR(VLOOKUP($E1230,설정_코스수당!$A$6:$H$10,6,FALSE),0),0)</f>
        <v>0</v>
      </c>
      <c r="N1230" s="34">
        <f t="shared" si="35"/>
        <v>0</v>
      </c>
      <c r="O1230" s="29"/>
      <c r="P1230" s="29"/>
      <c r="Q1230" s="29"/>
      <c r="R1230" s="32"/>
      <c r="S1230" s="29"/>
    </row>
    <row r="1231" spans="1:22" ht="19.5" hidden="1" customHeight="1" outlineLevel="1">
      <c r="A1231" s="23">
        <v>85</v>
      </c>
      <c r="B1231" s="24">
        <f>IF(12&lt;=DAY(DATE(YEAR(설정_코스수당!$K$2),MONTH(설정_코스수당!$K$2)+1,0)),DATE(YEAR(설정_코스수당!$K$2),MONTH(설정_코스수당!$K$2),12),"")</f>
        <v>46185</v>
      </c>
      <c r="C1231" s="25"/>
      <c r="D1231" s="23"/>
      <c r="E1231" s="23"/>
      <c r="F1231" s="26"/>
      <c r="G1231" s="23"/>
      <c r="H1231" s="23"/>
      <c r="I1231" s="23"/>
      <c r="J1231" s="27">
        <f>IF($O1231="방문완료",MAX(0,IFERROR(VLOOKUP($E1231,설정_코스수당!$A$6:$H$10,4,FALSE),0)-IF(OR($P1231="",$P1231="없음"),0,100000)),0)</f>
        <v>0</v>
      </c>
      <c r="K1231" s="27">
        <f t="array" ref="K1231">IF($O1231="방문완료",IFERROR(INDEX(설정_코스수당!$B$15:$F$64,MATCH($G1231,설정_코스수당!$A$15:$A$64,0),MATCH($E1231&amp;"수당",설정_코스수당!$B$14:$F$14,0)),0),0)</f>
        <v>0</v>
      </c>
      <c r="L1231" s="27">
        <f t="array" ref="L1231">IF($O1231="방문완료",IF($H1231="",0,IFERROR(INDEX(설정_코스수당!$B$15:$F$64,MATCH($H1231,설정_코스수당!$A$15:$A$64,0),MATCH($E1231&amp;"수당",설정_코스수당!$B$14:$F$14,0)),0)),0)</f>
        <v>0</v>
      </c>
      <c r="M1231" s="27">
        <f>IF($O1231="방문완료",IFERROR(VLOOKUP($E1231,설정_코스수당!$A$6:$H$10,6,FALSE),0),0)</f>
        <v>0</v>
      </c>
      <c r="N1231" s="28">
        <f t="shared" si="35"/>
        <v>0</v>
      </c>
      <c r="O1231" s="23"/>
      <c r="P1231" s="23"/>
      <c r="Q1231" s="23"/>
      <c r="R1231" s="26"/>
      <c r="S1231" s="23"/>
    </row>
    <row r="1232" spans="1:22" ht="19.5" hidden="1" customHeight="1" outlineLevel="1">
      <c r="A1232" s="29">
        <v>86</v>
      </c>
      <c r="B1232" s="30">
        <f>IF(12&lt;=DAY(DATE(YEAR(설정_코스수당!$K$2),MONTH(설정_코스수당!$K$2)+1,0)),DATE(YEAR(설정_코스수당!$K$2),MONTH(설정_코스수당!$K$2),12),"")</f>
        <v>46185</v>
      </c>
      <c r="C1232" s="31"/>
      <c r="D1232" s="29"/>
      <c r="E1232" s="29"/>
      <c r="F1232" s="32"/>
      <c r="G1232" s="29"/>
      <c r="H1232" s="29"/>
      <c r="I1232" s="29"/>
      <c r="J1232" s="33">
        <f>IF($O1232="방문완료",MAX(0,IFERROR(VLOOKUP($E1232,설정_코스수당!$A$6:$H$10,4,FALSE),0)-IF(OR($P1232="",$P1232="없음"),0,100000)),0)</f>
        <v>0</v>
      </c>
      <c r="K1232" s="33">
        <f t="array" ref="K1232">IF($O1232="방문완료",IFERROR(INDEX(설정_코스수당!$B$15:$F$64,MATCH($G1232,설정_코스수당!$A$15:$A$64,0),MATCH($E1232&amp;"수당",설정_코스수당!$B$14:$F$14,0)),0),0)</f>
        <v>0</v>
      </c>
      <c r="L1232" s="33">
        <f t="array" ref="L1232">IF($O1232="방문완료",IF($H1232="",0,IFERROR(INDEX(설정_코스수당!$B$15:$F$64,MATCH($H1232,설정_코스수당!$A$15:$A$64,0),MATCH($E1232&amp;"수당",설정_코스수당!$B$14:$F$14,0)),0)),0)</f>
        <v>0</v>
      </c>
      <c r="M1232" s="33">
        <f>IF($O1232="방문완료",IFERROR(VLOOKUP($E1232,설정_코스수당!$A$6:$H$10,6,FALSE),0),0)</f>
        <v>0</v>
      </c>
      <c r="N1232" s="34">
        <f t="shared" si="35"/>
        <v>0</v>
      </c>
      <c r="O1232" s="29"/>
      <c r="P1232" s="29"/>
      <c r="Q1232" s="29"/>
      <c r="R1232" s="32"/>
      <c r="S1232" s="29"/>
    </row>
    <row r="1233" spans="1:27" ht="19.5" hidden="1" customHeight="1" outlineLevel="1">
      <c r="A1233" s="23">
        <v>87</v>
      </c>
      <c r="B1233" s="24">
        <f>IF(12&lt;=DAY(DATE(YEAR(설정_코스수당!$K$2),MONTH(설정_코스수당!$K$2)+1,0)),DATE(YEAR(설정_코스수당!$K$2),MONTH(설정_코스수당!$K$2),12),"")</f>
        <v>46185</v>
      </c>
      <c r="C1233" s="25"/>
      <c r="D1233" s="23"/>
      <c r="E1233" s="23"/>
      <c r="F1233" s="26"/>
      <c r="G1233" s="23"/>
      <c r="H1233" s="23"/>
      <c r="I1233" s="23"/>
      <c r="J1233" s="27">
        <f>IF($O1233="방문완료",MAX(0,IFERROR(VLOOKUP($E1233,설정_코스수당!$A$6:$H$10,4,FALSE),0)-IF(OR($P1233="",$P1233="없음"),0,100000)),0)</f>
        <v>0</v>
      </c>
      <c r="K1233" s="27">
        <f t="array" ref="K1233">IF($O1233="방문완료",IFERROR(INDEX(설정_코스수당!$B$15:$F$64,MATCH($G1233,설정_코스수당!$A$15:$A$64,0),MATCH($E1233&amp;"수당",설정_코스수당!$B$14:$F$14,0)),0),0)</f>
        <v>0</v>
      </c>
      <c r="L1233" s="27">
        <f t="array" ref="L1233">IF($O1233="방문완료",IF($H1233="",0,IFERROR(INDEX(설정_코스수당!$B$15:$F$64,MATCH($H1233,설정_코스수당!$A$15:$A$64,0),MATCH($E1233&amp;"수당",설정_코스수당!$B$14:$F$14,0)),0)),0)</f>
        <v>0</v>
      </c>
      <c r="M1233" s="27">
        <f>IF($O1233="방문완료",IFERROR(VLOOKUP($E1233,설정_코스수당!$A$6:$H$10,6,FALSE),0),0)</f>
        <v>0</v>
      </c>
      <c r="N1233" s="28">
        <f t="shared" si="35"/>
        <v>0</v>
      </c>
      <c r="O1233" s="23"/>
      <c r="P1233" s="23"/>
      <c r="Q1233" s="23"/>
      <c r="R1233" s="26"/>
      <c r="S1233" s="23"/>
    </row>
    <row r="1234" spans="1:27" ht="19.5" hidden="1" customHeight="1" outlineLevel="1">
      <c r="A1234" s="29">
        <v>88</v>
      </c>
      <c r="B1234" s="30">
        <f>IF(12&lt;=DAY(DATE(YEAR(설정_코스수당!$K$2),MONTH(설정_코스수당!$K$2)+1,0)),DATE(YEAR(설정_코스수당!$K$2),MONTH(설정_코스수당!$K$2),12),"")</f>
        <v>46185</v>
      </c>
      <c r="C1234" s="31"/>
      <c r="D1234" s="29"/>
      <c r="E1234" s="29"/>
      <c r="F1234" s="32"/>
      <c r="G1234" s="29"/>
      <c r="H1234" s="29"/>
      <c r="I1234" s="29"/>
      <c r="J1234" s="33">
        <f>IF($O1234="방문완료",MAX(0,IFERROR(VLOOKUP($E1234,설정_코스수당!$A$6:$H$10,4,FALSE),0)-IF(OR($P1234="",$P1234="없음"),0,100000)),0)</f>
        <v>0</v>
      </c>
      <c r="K1234" s="33">
        <f t="array" ref="K1234">IF($O1234="방문완료",IFERROR(INDEX(설정_코스수당!$B$15:$F$64,MATCH($G1234,설정_코스수당!$A$15:$A$64,0),MATCH($E1234&amp;"수당",설정_코스수당!$B$14:$F$14,0)),0),0)</f>
        <v>0</v>
      </c>
      <c r="L1234" s="33">
        <f t="array" ref="L1234">IF($O1234="방문완료",IF($H1234="",0,IFERROR(INDEX(설정_코스수당!$B$15:$F$64,MATCH($H1234,설정_코스수당!$A$15:$A$64,0),MATCH($E1234&amp;"수당",설정_코스수당!$B$14:$F$14,0)),0)),0)</f>
        <v>0</v>
      </c>
      <c r="M1234" s="33">
        <f>IF($O1234="방문완료",IFERROR(VLOOKUP($E1234,설정_코스수당!$A$6:$H$10,6,FALSE),0),0)</f>
        <v>0</v>
      </c>
      <c r="N1234" s="34">
        <f t="shared" si="35"/>
        <v>0</v>
      </c>
      <c r="O1234" s="29"/>
      <c r="P1234" s="29"/>
      <c r="Q1234" s="29"/>
      <c r="R1234" s="32"/>
      <c r="S1234" s="29"/>
    </row>
    <row r="1235" spans="1:27" ht="19.5" hidden="1" customHeight="1" outlineLevel="1">
      <c r="A1235" s="23">
        <v>89</v>
      </c>
      <c r="B1235" s="24">
        <f>IF(12&lt;=DAY(DATE(YEAR(설정_코스수당!$K$2),MONTH(설정_코스수당!$K$2)+1,0)),DATE(YEAR(설정_코스수당!$K$2),MONTH(설정_코스수당!$K$2),12),"")</f>
        <v>46185</v>
      </c>
      <c r="C1235" s="25"/>
      <c r="D1235" s="23"/>
      <c r="E1235" s="23"/>
      <c r="F1235" s="26"/>
      <c r="G1235" s="23"/>
      <c r="H1235" s="23"/>
      <c r="I1235" s="23"/>
      <c r="J1235" s="27">
        <f>IF($O1235="방문완료",MAX(0,IFERROR(VLOOKUP($E1235,설정_코스수당!$A$6:$H$10,4,FALSE),0)-IF(OR($P1235="",$P1235="없음"),0,100000)),0)</f>
        <v>0</v>
      </c>
      <c r="K1235" s="27">
        <f t="array" ref="K1235">IF($O1235="방문완료",IFERROR(INDEX(설정_코스수당!$B$15:$F$64,MATCH($G1235,설정_코스수당!$A$15:$A$64,0),MATCH($E1235&amp;"수당",설정_코스수당!$B$14:$F$14,0)),0),0)</f>
        <v>0</v>
      </c>
      <c r="L1235" s="27">
        <f t="array" ref="L1235">IF($O1235="방문완료",IF($H1235="",0,IFERROR(INDEX(설정_코스수당!$B$15:$F$64,MATCH($H1235,설정_코스수당!$A$15:$A$64,0),MATCH($E1235&amp;"수당",설정_코스수당!$B$14:$F$14,0)),0)),0)</f>
        <v>0</v>
      </c>
      <c r="M1235" s="27">
        <f>IF($O1235="방문완료",IFERROR(VLOOKUP($E1235,설정_코스수당!$A$6:$H$10,6,FALSE),0),0)</f>
        <v>0</v>
      </c>
      <c r="N1235" s="28">
        <f t="shared" si="35"/>
        <v>0</v>
      </c>
      <c r="O1235" s="23"/>
      <c r="P1235" s="23"/>
      <c r="Q1235" s="23"/>
      <c r="R1235" s="26"/>
      <c r="S1235" s="23"/>
    </row>
    <row r="1236" spans="1:27" ht="19.5" hidden="1" customHeight="1" outlineLevel="1">
      <c r="A1236" s="29">
        <v>90</v>
      </c>
      <c r="B1236" s="30">
        <f>IF(12&lt;=DAY(DATE(YEAR(설정_코스수당!$K$2),MONTH(설정_코스수당!$K$2)+1,0)),DATE(YEAR(설정_코스수당!$K$2),MONTH(설정_코스수당!$K$2),12),"")</f>
        <v>46185</v>
      </c>
      <c r="C1236" s="31"/>
      <c r="D1236" s="29"/>
      <c r="E1236" s="29"/>
      <c r="F1236" s="32"/>
      <c r="G1236" s="29"/>
      <c r="H1236" s="29"/>
      <c r="I1236" s="29"/>
      <c r="J1236" s="33">
        <f>IF($O1236="방문완료",MAX(0,IFERROR(VLOOKUP($E1236,설정_코스수당!$A$6:$H$10,4,FALSE),0)-IF(OR($P1236="",$P1236="없음"),0,100000)),0)</f>
        <v>0</v>
      </c>
      <c r="K1236" s="33">
        <f t="array" ref="K1236">IF($O1236="방문완료",IFERROR(INDEX(설정_코스수당!$B$15:$F$64,MATCH($G1236,설정_코스수당!$A$15:$A$64,0),MATCH($E1236&amp;"수당",설정_코스수당!$B$14:$F$14,0)),0),0)</f>
        <v>0</v>
      </c>
      <c r="L1236" s="33">
        <f t="array" ref="L1236">IF($O1236="방문완료",IF($H1236="",0,IFERROR(INDEX(설정_코스수당!$B$15:$F$64,MATCH($H1236,설정_코스수당!$A$15:$A$64,0),MATCH($E1236&amp;"수당",설정_코스수당!$B$14:$F$14,0)),0)),0)</f>
        <v>0</v>
      </c>
      <c r="M1236" s="33">
        <f>IF($O1236="방문완료",IFERROR(VLOOKUP($E1236,설정_코스수당!$A$6:$H$10,6,FALSE),0),0)</f>
        <v>0</v>
      </c>
      <c r="N1236" s="34">
        <f t="shared" si="35"/>
        <v>0</v>
      </c>
      <c r="O1236" s="29"/>
      <c r="P1236" s="29"/>
      <c r="Q1236" s="29"/>
      <c r="R1236" s="32"/>
      <c r="S1236" s="29"/>
    </row>
    <row r="1237" spans="1:27" ht="19.5" hidden="1" customHeight="1" outlineLevel="1">
      <c r="A1237" s="23">
        <v>91</v>
      </c>
      <c r="B1237" s="24">
        <f>IF(12&lt;=DAY(DATE(YEAR(설정_코스수당!$K$2),MONTH(설정_코스수당!$K$2)+1,0)),DATE(YEAR(설정_코스수당!$K$2),MONTH(설정_코스수당!$K$2),12),"")</f>
        <v>46185</v>
      </c>
      <c r="C1237" s="25"/>
      <c r="D1237" s="23"/>
      <c r="E1237" s="23"/>
      <c r="F1237" s="26"/>
      <c r="G1237" s="23"/>
      <c r="H1237" s="23"/>
      <c r="I1237" s="23"/>
      <c r="J1237" s="27">
        <f>IF($O1237="방문완료",MAX(0,IFERROR(VLOOKUP($E1237,설정_코스수당!$A$6:$H$10,4,FALSE),0)-IF(OR($P1237="",$P1237="없음"),0,100000)),0)</f>
        <v>0</v>
      </c>
      <c r="K1237" s="27">
        <f t="array" ref="K1237">IF($O1237="방문완료",IFERROR(INDEX(설정_코스수당!$B$15:$F$64,MATCH($G1237,설정_코스수당!$A$15:$A$64,0),MATCH($E1237&amp;"수당",설정_코스수당!$B$14:$F$14,0)),0),0)</f>
        <v>0</v>
      </c>
      <c r="L1237" s="27">
        <f t="array" ref="L1237">IF($O1237="방문완료",IF($H1237="",0,IFERROR(INDEX(설정_코스수당!$B$15:$F$64,MATCH($H1237,설정_코스수당!$A$15:$A$64,0),MATCH($E1237&amp;"수당",설정_코스수당!$B$14:$F$14,0)),0)),0)</f>
        <v>0</v>
      </c>
      <c r="M1237" s="27">
        <f>IF($O1237="방문완료",IFERROR(VLOOKUP($E1237,설정_코스수당!$A$6:$H$10,6,FALSE),0),0)</f>
        <v>0</v>
      </c>
      <c r="N1237" s="28">
        <f t="shared" si="35"/>
        <v>0</v>
      </c>
      <c r="O1237" s="23"/>
      <c r="P1237" s="23"/>
      <c r="Q1237" s="23"/>
      <c r="R1237" s="26"/>
      <c r="S1237" s="23"/>
    </row>
    <row r="1238" spans="1:27" ht="19.5" hidden="1" customHeight="1" outlineLevel="1">
      <c r="A1238" s="29">
        <v>92</v>
      </c>
      <c r="B1238" s="30">
        <f>IF(12&lt;=DAY(DATE(YEAR(설정_코스수당!$K$2),MONTH(설정_코스수당!$K$2)+1,0)),DATE(YEAR(설정_코스수당!$K$2),MONTH(설정_코스수당!$K$2),12),"")</f>
        <v>46185</v>
      </c>
      <c r="C1238" s="31"/>
      <c r="D1238" s="29"/>
      <c r="E1238" s="29"/>
      <c r="F1238" s="32"/>
      <c r="G1238" s="29"/>
      <c r="H1238" s="29"/>
      <c r="I1238" s="29"/>
      <c r="J1238" s="33">
        <f>IF($O1238="방문완료",MAX(0,IFERROR(VLOOKUP($E1238,설정_코스수당!$A$6:$H$10,4,FALSE),0)-IF(OR($P1238="",$P1238="없음"),0,100000)),0)</f>
        <v>0</v>
      </c>
      <c r="K1238" s="33">
        <f t="array" ref="K1238">IF($O1238="방문완료",IFERROR(INDEX(설정_코스수당!$B$15:$F$64,MATCH($G1238,설정_코스수당!$A$15:$A$64,0),MATCH($E1238&amp;"수당",설정_코스수당!$B$14:$F$14,0)),0),0)</f>
        <v>0</v>
      </c>
      <c r="L1238" s="33">
        <f t="array" ref="L1238">IF($O1238="방문완료",IF($H1238="",0,IFERROR(INDEX(설정_코스수당!$B$15:$F$64,MATCH($H1238,설정_코스수당!$A$15:$A$64,0),MATCH($E1238&amp;"수당",설정_코스수당!$B$14:$F$14,0)),0)),0)</f>
        <v>0</v>
      </c>
      <c r="M1238" s="33">
        <f>IF($O1238="방문완료",IFERROR(VLOOKUP($E1238,설정_코스수당!$A$6:$H$10,6,FALSE),0),0)</f>
        <v>0</v>
      </c>
      <c r="N1238" s="34">
        <f t="shared" si="35"/>
        <v>0</v>
      </c>
      <c r="O1238" s="29"/>
      <c r="P1238" s="29"/>
      <c r="Q1238" s="29"/>
      <c r="R1238" s="32"/>
      <c r="S1238" s="29"/>
    </row>
    <row r="1239" spans="1:27" ht="19.5" hidden="1" customHeight="1" outlineLevel="1">
      <c r="A1239" s="23">
        <v>93</v>
      </c>
      <c r="B1239" s="24">
        <f>IF(12&lt;=DAY(DATE(YEAR(설정_코스수당!$K$2),MONTH(설정_코스수당!$K$2)+1,0)),DATE(YEAR(설정_코스수당!$K$2),MONTH(설정_코스수당!$K$2),12),"")</f>
        <v>46185</v>
      </c>
      <c r="C1239" s="25"/>
      <c r="D1239" s="23"/>
      <c r="E1239" s="23"/>
      <c r="F1239" s="26"/>
      <c r="G1239" s="23"/>
      <c r="H1239" s="23"/>
      <c r="I1239" s="23"/>
      <c r="J1239" s="27">
        <f>IF($O1239="방문완료",MAX(0,IFERROR(VLOOKUP($E1239,설정_코스수당!$A$6:$H$10,4,FALSE),0)-IF(OR($P1239="",$P1239="없음"),0,100000)),0)</f>
        <v>0</v>
      </c>
      <c r="K1239" s="27">
        <f t="array" ref="K1239">IF($O1239="방문완료",IFERROR(INDEX(설정_코스수당!$B$15:$F$64,MATCH($G1239,설정_코스수당!$A$15:$A$64,0),MATCH($E1239&amp;"수당",설정_코스수당!$B$14:$F$14,0)),0),0)</f>
        <v>0</v>
      </c>
      <c r="L1239" s="27">
        <f t="array" ref="L1239">IF($O1239="방문완료",IF($H1239="",0,IFERROR(INDEX(설정_코스수당!$B$15:$F$64,MATCH($H1239,설정_코스수당!$A$15:$A$64,0),MATCH($E1239&amp;"수당",설정_코스수당!$B$14:$F$14,0)),0)),0)</f>
        <v>0</v>
      </c>
      <c r="M1239" s="27">
        <f>IF($O1239="방문완료",IFERROR(VLOOKUP($E1239,설정_코스수당!$A$6:$H$10,6,FALSE),0),0)</f>
        <v>0</v>
      </c>
      <c r="N1239" s="28">
        <f t="shared" si="35"/>
        <v>0</v>
      </c>
      <c r="O1239" s="23"/>
      <c r="P1239" s="23"/>
      <c r="Q1239" s="23"/>
      <c r="R1239" s="26"/>
      <c r="S1239" s="23"/>
    </row>
    <row r="1240" spans="1:27" ht="19.5" hidden="1" customHeight="1" outlineLevel="1">
      <c r="A1240" s="29">
        <v>94</v>
      </c>
      <c r="B1240" s="30">
        <f>IF(12&lt;=DAY(DATE(YEAR(설정_코스수당!$K$2),MONTH(설정_코스수당!$K$2)+1,0)),DATE(YEAR(설정_코스수당!$K$2),MONTH(설정_코스수당!$K$2),12),"")</f>
        <v>46185</v>
      </c>
      <c r="C1240" s="31"/>
      <c r="D1240" s="29"/>
      <c r="E1240" s="29"/>
      <c r="F1240" s="32"/>
      <c r="G1240" s="29"/>
      <c r="H1240" s="29"/>
      <c r="I1240" s="29"/>
      <c r="J1240" s="33">
        <f>IF($O1240="방문완료",MAX(0,IFERROR(VLOOKUP($E1240,설정_코스수당!$A$6:$H$10,4,FALSE),0)-IF(OR($P1240="",$P1240="없음"),0,100000)),0)</f>
        <v>0</v>
      </c>
      <c r="K1240" s="33">
        <f t="array" ref="K1240">IF($O1240="방문완료",IFERROR(INDEX(설정_코스수당!$B$15:$F$64,MATCH($G1240,설정_코스수당!$A$15:$A$64,0),MATCH($E1240&amp;"수당",설정_코스수당!$B$14:$F$14,0)),0),0)</f>
        <v>0</v>
      </c>
      <c r="L1240" s="33">
        <f t="array" ref="L1240">IF($O1240="방문완료",IF($H1240="",0,IFERROR(INDEX(설정_코스수당!$B$15:$F$64,MATCH($H1240,설정_코스수당!$A$15:$A$64,0),MATCH($E1240&amp;"수당",설정_코스수당!$B$14:$F$14,0)),0)),0)</f>
        <v>0</v>
      </c>
      <c r="M1240" s="33">
        <f>IF($O1240="방문완료",IFERROR(VLOOKUP($E1240,설정_코스수당!$A$6:$H$10,6,FALSE),0),0)</f>
        <v>0</v>
      </c>
      <c r="N1240" s="34">
        <f t="shared" si="35"/>
        <v>0</v>
      </c>
      <c r="O1240" s="29"/>
      <c r="P1240" s="29"/>
      <c r="Q1240" s="29"/>
      <c r="R1240" s="32"/>
      <c r="S1240" s="29"/>
    </row>
    <row r="1241" spans="1:27" ht="19.5" hidden="1" customHeight="1" outlineLevel="1">
      <c r="A1241" s="23">
        <v>95</v>
      </c>
      <c r="B1241" s="24">
        <f>IF(12&lt;=DAY(DATE(YEAR(설정_코스수당!$K$2),MONTH(설정_코스수당!$K$2)+1,0)),DATE(YEAR(설정_코스수당!$K$2),MONTH(설정_코스수당!$K$2),12),"")</f>
        <v>46185</v>
      </c>
      <c r="C1241" s="25"/>
      <c r="D1241" s="23"/>
      <c r="E1241" s="23"/>
      <c r="F1241" s="26"/>
      <c r="G1241" s="23"/>
      <c r="H1241" s="23"/>
      <c r="I1241" s="23"/>
      <c r="J1241" s="27">
        <f>IF($O1241="방문완료",MAX(0,IFERROR(VLOOKUP($E1241,설정_코스수당!$A$6:$H$10,4,FALSE),0)-IF(OR($P1241="",$P1241="없음"),0,100000)),0)</f>
        <v>0</v>
      </c>
      <c r="K1241" s="27">
        <f t="array" ref="K1241">IF($O1241="방문완료",IFERROR(INDEX(설정_코스수당!$B$15:$F$64,MATCH($G1241,설정_코스수당!$A$15:$A$64,0),MATCH($E1241&amp;"수당",설정_코스수당!$B$14:$F$14,0)),0),0)</f>
        <v>0</v>
      </c>
      <c r="L1241" s="27">
        <f t="array" ref="L1241">IF($O1241="방문완료",IF($H1241="",0,IFERROR(INDEX(설정_코스수당!$B$15:$F$64,MATCH($H1241,설정_코스수당!$A$15:$A$64,0),MATCH($E1241&amp;"수당",설정_코스수당!$B$14:$F$14,0)),0)),0)</f>
        <v>0</v>
      </c>
      <c r="M1241" s="27">
        <f>IF($O1241="방문완료",IFERROR(VLOOKUP($E1241,설정_코스수당!$A$6:$H$10,6,FALSE),0),0)</f>
        <v>0</v>
      </c>
      <c r="N1241" s="28">
        <f t="shared" si="35"/>
        <v>0</v>
      </c>
      <c r="O1241" s="23"/>
      <c r="P1241" s="23"/>
      <c r="Q1241" s="23"/>
      <c r="R1241" s="26"/>
      <c r="S1241" s="23"/>
    </row>
    <row r="1242" spans="1:27" ht="19.5" hidden="1" customHeight="1" outlineLevel="1">
      <c r="A1242" s="29">
        <v>96</v>
      </c>
      <c r="B1242" s="30">
        <f>IF(12&lt;=DAY(DATE(YEAR(설정_코스수당!$K$2),MONTH(설정_코스수당!$K$2)+1,0)),DATE(YEAR(설정_코스수당!$K$2),MONTH(설정_코스수당!$K$2),12),"")</f>
        <v>46185</v>
      </c>
      <c r="C1242" s="31"/>
      <c r="D1242" s="29"/>
      <c r="E1242" s="29"/>
      <c r="F1242" s="32"/>
      <c r="G1242" s="29"/>
      <c r="H1242" s="29"/>
      <c r="I1242" s="29"/>
      <c r="J1242" s="33">
        <f>IF($O1242="방문완료",MAX(0,IFERROR(VLOOKUP($E1242,설정_코스수당!$A$6:$H$10,4,FALSE),0)-IF(OR($P1242="",$P1242="없음"),0,100000)),0)</f>
        <v>0</v>
      </c>
      <c r="K1242" s="33">
        <f t="array" ref="K1242">IF($O1242="방문완료",IFERROR(INDEX(설정_코스수당!$B$15:$F$64,MATCH($G1242,설정_코스수당!$A$15:$A$64,0),MATCH($E1242&amp;"수당",설정_코스수당!$B$14:$F$14,0)),0),0)</f>
        <v>0</v>
      </c>
      <c r="L1242" s="33">
        <f t="array" ref="L1242">IF($O1242="방문완료",IF($H1242="",0,IFERROR(INDEX(설정_코스수당!$B$15:$F$64,MATCH($H1242,설정_코스수당!$A$15:$A$64,0),MATCH($E1242&amp;"수당",설정_코스수당!$B$14:$F$14,0)),0)),0)</f>
        <v>0</v>
      </c>
      <c r="M1242" s="33">
        <f>IF($O1242="방문완료",IFERROR(VLOOKUP($E1242,설정_코스수당!$A$6:$H$10,6,FALSE),0),0)</f>
        <v>0</v>
      </c>
      <c r="N1242" s="34">
        <f t="shared" si="35"/>
        <v>0</v>
      </c>
      <c r="O1242" s="29"/>
      <c r="P1242" s="29"/>
      <c r="Q1242" s="29"/>
      <c r="R1242" s="32"/>
      <c r="S1242" s="29"/>
    </row>
    <row r="1243" spans="1:27" ht="19.5" hidden="1" customHeight="1" outlineLevel="1">
      <c r="A1243" s="23">
        <v>97</v>
      </c>
      <c r="B1243" s="24">
        <f>IF(12&lt;=DAY(DATE(YEAR(설정_코스수당!$K$2),MONTH(설정_코스수당!$K$2)+1,0)),DATE(YEAR(설정_코스수당!$K$2),MONTH(설정_코스수당!$K$2),12),"")</f>
        <v>46185</v>
      </c>
      <c r="C1243" s="25"/>
      <c r="D1243" s="23"/>
      <c r="E1243" s="23"/>
      <c r="F1243" s="26"/>
      <c r="G1243" s="23"/>
      <c r="H1243" s="23"/>
      <c r="I1243" s="23"/>
      <c r="J1243" s="27">
        <f>IF($O1243="방문완료",MAX(0,IFERROR(VLOOKUP($E1243,설정_코스수당!$A$6:$H$10,4,FALSE),0)-IF(OR($P1243="",$P1243="없음"),0,100000)),0)</f>
        <v>0</v>
      </c>
      <c r="K1243" s="27">
        <f t="array" ref="K1243">IF($O1243="방문완료",IFERROR(INDEX(설정_코스수당!$B$15:$F$64,MATCH($G1243,설정_코스수당!$A$15:$A$64,0),MATCH($E1243&amp;"수당",설정_코스수당!$B$14:$F$14,0)),0),0)</f>
        <v>0</v>
      </c>
      <c r="L1243" s="27">
        <f t="array" ref="L1243">IF($O1243="방문완료",IF($H1243="",0,IFERROR(INDEX(설정_코스수당!$B$15:$F$64,MATCH($H1243,설정_코스수당!$A$15:$A$64,0),MATCH($E1243&amp;"수당",설정_코스수당!$B$14:$F$14,0)),0)),0)</f>
        <v>0</v>
      </c>
      <c r="M1243" s="27">
        <f>IF($O1243="방문완료",IFERROR(VLOOKUP($E1243,설정_코스수당!$A$6:$H$10,6,FALSE),0),0)</f>
        <v>0</v>
      </c>
      <c r="N1243" s="28">
        <f t="shared" si="35"/>
        <v>0</v>
      </c>
      <c r="O1243" s="23"/>
      <c r="P1243" s="23"/>
      <c r="Q1243" s="23"/>
      <c r="R1243" s="26"/>
      <c r="S1243" s="23"/>
    </row>
    <row r="1244" spans="1:27" ht="19.5" hidden="1" customHeight="1" outlineLevel="1">
      <c r="A1244" s="29">
        <v>98</v>
      </c>
      <c r="B1244" s="30">
        <f>IF(12&lt;=DAY(DATE(YEAR(설정_코스수당!$K$2),MONTH(설정_코스수당!$K$2)+1,0)),DATE(YEAR(설정_코스수당!$K$2),MONTH(설정_코스수당!$K$2),12),"")</f>
        <v>46185</v>
      </c>
      <c r="C1244" s="31"/>
      <c r="D1244" s="29"/>
      <c r="E1244" s="29"/>
      <c r="F1244" s="32"/>
      <c r="G1244" s="29"/>
      <c r="H1244" s="29"/>
      <c r="I1244" s="29"/>
      <c r="J1244" s="33">
        <f>IF($O1244="방문완료",MAX(0,IFERROR(VLOOKUP($E1244,설정_코스수당!$A$6:$H$10,4,FALSE),0)-IF(OR($P1244="",$P1244="없음"),0,100000)),0)</f>
        <v>0</v>
      </c>
      <c r="K1244" s="33">
        <f t="array" ref="K1244">IF($O1244="방문완료",IFERROR(INDEX(설정_코스수당!$B$15:$F$64,MATCH($G1244,설정_코스수당!$A$15:$A$64,0),MATCH($E1244&amp;"수당",설정_코스수당!$B$14:$F$14,0)),0),0)</f>
        <v>0</v>
      </c>
      <c r="L1244" s="33">
        <f t="array" ref="L1244">IF($O1244="방문완료",IF($H1244="",0,IFERROR(INDEX(설정_코스수당!$B$15:$F$64,MATCH($H1244,설정_코스수당!$A$15:$A$64,0),MATCH($E1244&amp;"수당",설정_코스수당!$B$14:$F$14,0)),0)),0)</f>
        <v>0</v>
      </c>
      <c r="M1244" s="33">
        <f>IF($O1244="방문완료",IFERROR(VLOOKUP($E1244,설정_코스수당!$A$6:$H$10,6,FALSE),0),0)</f>
        <v>0</v>
      </c>
      <c r="N1244" s="34">
        <f t="shared" si="35"/>
        <v>0</v>
      </c>
      <c r="O1244" s="29"/>
      <c r="P1244" s="29"/>
      <c r="Q1244" s="29"/>
      <c r="R1244" s="32"/>
      <c r="S1244" s="29"/>
    </row>
    <row r="1245" spans="1:27" ht="19.5" hidden="1" customHeight="1" outlineLevel="1">
      <c r="A1245" s="23">
        <v>99</v>
      </c>
      <c r="B1245" s="24">
        <f>IF(12&lt;=DAY(DATE(YEAR(설정_코스수당!$K$2),MONTH(설정_코스수당!$K$2)+1,0)),DATE(YEAR(설정_코스수당!$K$2),MONTH(설정_코스수당!$K$2),12),"")</f>
        <v>46185</v>
      </c>
      <c r="C1245" s="25"/>
      <c r="D1245" s="23"/>
      <c r="E1245" s="23"/>
      <c r="F1245" s="26"/>
      <c r="G1245" s="23"/>
      <c r="H1245" s="23"/>
      <c r="I1245" s="23"/>
      <c r="J1245" s="27">
        <f>IF($O1245="방문완료",MAX(0,IFERROR(VLOOKUP($E1245,설정_코스수당!$A$6:$H$10,4,FALSE),0)-IF(OR($P1245="",$P1245="없음"),0,100000)),0)</f>
        <v>0</v>
      </c>
      <c r="K1245" s="27">
        <f t="array" ref="K1245">IF($O1245="방문완료",IFERROR(INDEX(설정_코스수당!$B$15:$F$64,MATCH($G1245,설정_코스수당!$A$15:$A$64,0),MATCH($E1245&amp;"수당",설정_코스수당!$B$14:$F$14,0)),0),0)</f>
        <v>0</v>
      </c>
      <c r="L1245" s="27">
        <f t="array" ref="L1245">IF($O1245="방문완료",IF($H1245="",0,IFERROR(INDEX(설정_코스수당!$B$15:$F$64,MATCH($H1245,설정_코스수당!$A$15:$A$64,0),MATCH($E1245&amp;"수당",설정_코스수당!$B$14:$F$14,0)),0)),0)</f>
        <v>0</v>
      </c>
      <c r="M1245" s="27">
        <f>IF($O1245="방문완료",IFERROR(VLOOKUP($E1245,설정_코스수당!$A$6:$H$10,6,FALSE),0),0)</f>
        <v>0</v>
      </c>
      <c r="N1245" s="28">
        <f t="shared" si="35"/>
        <v>0</v>
      </c>
      <c r="O1245" s="23"/>
      <c r="P1245" s="23"/>
      <c r="Q1245" s="23"/>
      <c r="R1245" s="26"/>
      <c r="S1245" s="23"/>
    </row>
    <row r="1246" spans="1:27" ht="19.5" hidden="1" customHeight="1" outlineLevel="1">
      <c r="A1246" s="29">
        <v>100</v>
      </c>
      <c r="B1246" s="30">
        <f>IF(12&lt;=DAY(DATE(YEAR(설정_코스수당!$K$2),MONTH(설정_코스수당!$K$2)+1,0)),DATE(YEAR(설정_코스수당!$K$2),MONTH(설정_코스수당!$K$2),12),"")</f>
        <v>46185</v>
      </c>
      <c r="C1246" s="31"/>
      <c r="D1246" s="29"/>
      <c r="E1246" s="29"/>
      <c r="F1246" s="32"/>
      <c r="G1246" s="29"/>
      <c r="H1246" s="29"/>
      <c r="I1246" s="29"/>
      <c r="J1246" s="33">
        <f>IF($O1246="방문완료",MAX(0,IFERROR(VLOOKUP($E1246,설정_코스수당!$A$6:$H$10,4,FALSE),0)-IF(OR($P1246="",$P1246="없음"),0,100000)),0)</f>
        <v>0</v>
      </c>
      <c r="K1246" s="33">
        <f t="array" ref="K1246">IF($O1246="방문완료",IFERROR(INDEX(설정_코스수당!$B$15:$F$64,MATCH($G1246,설정_코스수당!$A$15:$A$64,0),MATCH($E1246&amp;"수당",설정_코스수당!$B$14:$F$14,0)),0),0)</f>
        <v>0</v>
      </c>
      <c r="L1246" s="33">
        <f t="array" ref="L1246">IF($O1246="방문완료",IF($H1246="",0,IFERROR(INDEX(설정_코스수당!$B$15:$F$64,MATCH($H1246,설정_코스수당!$A$15:$A$64,0),MATCH($E1246&amp;"수당",설정_코스수당!$B$14:$F$14,0)),0)),0)</f>
        <v>0</v>
      </c>
      <c r="M1246" s="33">
        <f>IF($O1246="방문완료",IFERROR(VLOOKUP($E1246,설정_코스수당!$A$6:$H$10,6,FALSE),0),0)</f>
        <v>0</v>
      </c>
      <c r="N1246" s="34">
        <f t="shared" si="35"/>
        <v>0</v>
      </c>
      <c r="O1246" s="29"/>
      <c r="P1246" s="29"/>
      <c r="Q1246" s="29"/>
      <c r="R1246" s="32"/>
      <c r="S1246" s="29"/>
    </row>
    <row r="1247" spans="1:27" ht="19.5" hidden="1" customHeight="1" outlineLevel="1">
      <c r="A1247" s="36" t="s">
        <v>79</v>
      </c>
      <c r="B1247" s="37"/>
      <c r="C1247" s="38"/>
      <c r="D1247" s="37"/>
      <c r="E1247" s="37"/>
      <c r="F1247" s="37"/>
      <c r="G1247" s="37"/>
      <c r="H1247" s="37"/>
      <c r="I1247" s="37"/>
      <c r="J1247" s="37">
        <f>IF($O1247="방문완료",MAX(0,IFERROR(VLOOKUP($E1247,설정_코스수당!$A$6:$H$10,4,FALSE),0)-IF(OR($P1247="",$P1247="없음"),0,100000)),0)</f>
        <v>0</v>
      </c>
      <c r="O1247" s="18"/>
      <c r="P1247" s="14"/>
      <c r="Q1247" s="18"/>
      <c r="S1247" s="18"/>
    </row>
    <row r="1248" spans="1:27" ht="21" customHeight="1" collapsed="1">
      <c r="A1248" s="123" t="str">
        <f>IF(13&lt;=DAY(DATE(YEAR(설정_코스수당!$K$2),MONTH(설정_코스수당!$K$2)+1,0)),TEXT(DATE(YEAR(설정_코스수당!$K$2),MONTH(설정_코스수당!$K$2),13),"yyyy-mm-dd")&amp;"  |  예약관리 100슬롯","")</f>
        <v>2026-06-13  |  예약관리 100슬롯</v>
      </c>
      <c r="B1248" s="124"/>
      <c r="C1248" s="124"/>
      <c r="D1248" s="124"/>
      <c r="E1248" s="124"/>
      <c r="F1248" s="124"/>
      <c r="G1248" s="124"/>
      <c r="H1248" s="124"/>
      <c r="I1248" s="124"/>
      <c r="J1248" s="124"/>
      <c r="K1248" s="124"/>
      <c r="L1248" s="124"/>
      <c r="M1248" s="124"/>
      <c r="N1248" s="124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</row>
    <row r="1249" spans="1:24" ht="19.5" hidden="1" customHeight="1" outlineLevel="1">
      <c r="A1249" s="20" t="s">
        <v>41</v>
      </c>
      <c r="B1249" s="20" t="s">
        <v>42</v>
      </c>
      <c r="C1249" s="39" t="s">
        <v>43</v>
      </c>
      <c r="D1249" s="20" t="s">
        <v>44</v>
      </c>
      <c r="E1249" s="20" t="s">
        <v>45</v>
      </c>
      <c r="F1249" s="20" t="s">
        <v>46</v>
      </c>
      <c r="G1249" s="20" t="s">
        <v>47</v>
      </c>
      <c r="H1249" s="20" t="s">
        <v>48</v>
      </c>
      <c r="I1249" s="20" t="s">
        <v>49</v>
      </c>
      <c r="J1249" s="20" t="s">
        <v>50</v>
      </c>
      <c r="K1249" s="20" t="s">
        <v>51</v>
      </c>
      <c r="L1249" s="20" t="s">
        <v>52</v>
      </c>
      <c r="M1249" s="20" t="s">
        <v>53</v>
      </c>
      <c r="N1249" s="20" t="s">
        <v>54</v>
      </c>
      <c r="O1249" s="20" t="s">
        <v>55</v>
      </c>
      <c r="P1249" s="20" t="s">
        <v>56</v>
      </c>
      <c r="Q1249" s="18"/>
      <c r="R1249" s="20" t="s">
        <v>58</v>
      </c>
      <c r="S1249" s="20" t="s">
        <v>59</v>
      </c>
      <c r="U1249" s="122" t="str">
        <f>IF(13&lt;=DAY(DATE(YEAR(설정_코스수당!$K$2),MONTH(설정_코스수당!$K$2)+1,0)),TEXT(DATE(YEAR(설정_코스수당!$K$2),MONTH(설정_코스수당!$K$2),13),"yyyy-mm-dd")&amp;" 일일 상태","")</f>
        <v>2026-06-13 일일 상태</v>
      </c>
      <c r="V1249" s="125"/>
      <c r="W1249" s="122" t="s">
        <v>3</v>
      </c>
      <c r="X1249" s="125"/>
    </row>
    <row r="1250" spans="1:24" ht="19.5" hidden="1" customHeight="1" outlineLevel="1">
      <c r="A1250" s="23">
        <v>1</v>
      </c>
      <c r="B1250" s="24">
        <f>IF(13&lt;=DAY(DATE(YEAR(설정_코스수당!$K$2),MONTH(설정_코스수당!$K$2)+1,0)),DATE(YEAR(설정_코스수당!$K$2),MONTH(설정_코스수당!$K$2),13),"")</f>
        <v>46186</v>
      </c>
      <c r="C1250" s="25"/>
      <c r="D1250" s="23"/>
      <c r="E1250" s="23"/>
      <c r="F1250" s="26"/>
      <c r="G1250" s="23"/>
      <c r="H1250" s="23"/>
      <c r="I1250" s="23"/>
      <c r="J1250" s="27">
        <f>IF($O1250="방문완료",MAX(0,IFERROR(VLOOKUP($E1250,설정_코스수당!$A$6:$H$10,4,FALSE),0)-IF(OR($P1250="",$P1250="없음"),0,100000)),0)</f>
        <v>0</v>
      </c>
      <c r="K1250" s="27">
        <f t="array" ref="K1250">IF($O1250="방문완료",IFERROR(INDEX(설정_코스수당!$B$15:$F$64,MATCH($G1250,설정_코스수당!$A$15:$A$64,0),MATCH($E1250&amp;"수당",설정_코스수당!$B$14:$F$14,0)),0),0)</f>
        <v>0</v>
      </c>
      <c r="L1250" s="27">
        <f t="array" ref="L1250">IF($O1250="방문완료",IF($H1250="",0,IFERROR(INDEX(설정_코스수당!$B$15:$F$64,MATCH($H1250,설정_코스수당!$A$15:$A$64,0),MATCH($E1250&amp;"수당",설정_코스수당!$B$14:$F$14,0)),0)),0)</f>
        <v>0</v>
      </c>
      <c r="M1250" s="27">
        <f>IF($O1250="방문완료",IFERROR(VLOOKUP($E1250,설정_코스수당!$A$6:$H$10,6,FALSE),0),0)</f>
        <v>0</v>
      </c>
      <c r="N1250" s="28">
        <f t="shared" ref="N1250:N1281" si="36">IF($O1250="방문완료",1,0)</f>
        <v>0</v>
      </c>
      <c r="O1250" s="23"/>
      <c r="P1250" s="23"/>
      <c r="Q1250" s="23"/>
      <c r="R1250" s="26"/>
      <c r="S1250" s="23"/>
      <c r="U1250" s="104" t="s">
        <v>63</v>
      </c>
      <c r="V1250" s="105">
        <f>IF(13&lt;=DAY(DATE(YEAR(설정_코스수당!$K$2),MONTH(설정_코스수당!$K$2)+1,0)),COUNTIFS($B:$B,DATE(YEAR(설정_코스수당!$K$2),MONTH(설정_코스수당!$K$2),13),$O:$O,"&lt;&gt;"),"")</f>
        <v>0</v>
      </c>
      <c r="W1250" s="104" t="s">
        <v>6</v>
      </c>
      <c r="X1250" s="105">
        <f>IF(13&lt;=DAY(DATE(YEAR(설정_코스수당!$K$2),MONTH(설정_코스수당!$K$2)+1,0)),COUNTIFS($B:$B,DATE(YEAR(설정_코스수당!$K$2),MONTH(설정_코스수당!$K$2),13),$E:$E,"A",$O:$O,"방문완료"),"")</f>
        <v>0</v>
      </c>
    </row>
    <row r="1251" spans="1:24" ht="19.5" hidden="1" customHeight="1" outlineLevel="1">
      <c r="A1251" s="29">
        <v>2</v>
      </c>
      <c r="B1251" s="30">
        <f>IF(13&lt;=DAY(DATE(YEAR(설정_코스수당!$K$2),MONTH(설정_코스수당!$K$2)+1,0)),DATE(YEAR(설정_코스수당!$K$2),MONTH(설정_코스수당!$K$2),13),"")</f>
        <v>46186</v>
      </c>
      <c r="C1251" s="31"/>
      <c r="D1251" s="29"/>
      <c r="E1251" s="29"/>
      <c r="F1251" s="32"/>
      <c r="G1251" s="29"/>
      <c r="H1251" s="29"/>
      <c r="I1251" s="29"/>
      <c r="J1251" s="33">
        <f>IF($O1251="방문완료",MAX(0,IFERROR(VLOOKUP($E1251,설정_코스수당!$A$6:$H$10,4,FALSE),0)-IF(OR($P1251="",$P1251="없음"),0,100000)),0)</f>
        <v>0</v>
      </c>
      <c r="K1251" s="33">
        <f t="array" ref="K1251">IF($O1251="방문완료",IFERROR(INDEX(설정_코스수당!$B$15:$F$64,MATCH($G1251,설정_코스수당!$A$15:$A$64,0),MATCH($E1251&amp;"수당",설정_코스수당!$B$14:$F$14,0)),0),0)</f>
        <v>0</v>
      </c>
      <c r="L1251" s="33">
        <f t="array" ref="L1251">IF($O1251="방문완료",IF($H1251="",0,IFERROR(INDEX(설정_코스수당!$B$15:$F$64,MATCH($H1251,설정_코스수당!$A$15:$A$64,0),MATCH($E1251&amp;"수당",설정_코스수당!$B$14:$F$14,0)),0)),0)</f>
        <v>0</v>
      </c>
      <c r="M1251" s="33">
        <f>IF($O1251="방문완료",IFERROR(VLOOKUP($E1251,설정_코스수당!$A$6:$H$10,6,FALSE),0),0)</f>
        <v>0</v>
      </c>
      <c r="N1251" s="34">
        <f t="shared" si="36"/>
        <v>0</v>
      </c>
      <c r="O1251" s="29"/>
      <c r="P1251" s="29"/>
      <c r="Q1251" s="29"/>
      <c r="R1251" s="32"/>
      <c r="S1251" s="29"/>
      <c r="U1251" s="104" t="s">
        <v>62</v>
      </c>
      <c r="V1251" s="105">
        <f>IF(13&lt;=DAY(DATE(YEAR(설정_코스수당!$K$2),MONTH(설정_코스수당!$K$2)+1,0)),COUNTIFS($B:$B,DATE(YEAR(설정_코스수당!$K$2),MONTH(설정_코스수당!$K$2),13),$O:$O,"방문완료"),"")</f>
        <v>0</v>
      </c>
      <c r="W1251" s="104" t="s">
        <v>9</v>
      </c>
      <c r="X1251" s="105">
        <f>IF(13&lt;=DAY(DATE(YEAR(설정_코스수당!$K$2),MONTH(설정_코스수당!$K$2)+1,0)),COUNTIFS($B:$B,DATE(YEAR(설정_코스수당!$K$2),MONTH(설정_코스수당!$K$2),13),$E:$E,"B",$O:$O,"방문완료"),"")</f>
        <v>0</v>
      </c>
    </row>
    <row r="1252" spans="1:24" ht="19.5" hidden="1" customHeight="1" outlineLevel="1">
      <c r="A1252" s="23">
        <v>3</v>
      </c>
      <c r="B1252" s="24">
        <f>IF(13&lt;=DAY(DATE(YEAR(설정_코스수당!$K$2),MONTH(설정_코스수당!$K$2)+1,0)),DATE(YEAR(설정_코스수당!$K$2),MONTH(설정_코스수당!$K$2),13),"")</f>
        <v>46186</v>
      </c>
      <c r="C1252" s="25"/>
      <c r="D1252" s="23"/>
      <c r="E1252" s="23"/>
      <c r="F1252" s="26"/>
      <c r="G1252" s="23"/>
      <c r="H1252" s="23"/>
      <c r="I1252" s="23"/>
      <c r="J1252" s="27">
        <f>IF($O1252="방문완료",MAX(0,IFERROR(VLOOKUP($E1252,설정_코스수당!$A$6:$H$10,4,FALSE),0)-IF(OR($P1252="",$P1252="없음"),0,100000)),0)</f>
        <v>0</v>
      </c>
      <c r="K1252" s="27">
        <f t="array" ref="K1252">IF($O1252="방문완료",IFERROR(INDEX(설정_코스수당!$B$15:$F$64,MATCH($G1252,설정_코스수당!$A$15:$A$64,0),MATCH($E1252&amp;"수당",설정_코스수당!$B$14:$F$14,0)),0),0)</f>
        <v>0</v>
      </c>
      <c r="L1252" s="27">
        <f t="array" ref="L1252">IF($O1252="방문완료",IF($H1252="",0,IFERROR(INDEX(설정_코스수당!$B$15:$F$64,MATCH($H1252,설정_코스수당!$A$15:$A$64,0),MATCH($E1252&amp;"수당",설정_코스수당!$B$14:$F$14,0)),0)),0)</f>
        <v>0</v>
      </c>
      <c r="M1252" s="27">
        <f>IF($O1252="방문완료",IFERROR(VLOOKUP($E1252,설정_코스수당!$A$6:$H$10,6,FALSE),0),0)</f>
        <v>0</v>
      </c>
      <c r="N1252" s="28">
        <f t="shared" si="36"/>
        <v>0</v>
      </c>
      <c r="O1252" s="23"/>
      <c r="P1252" s="23"/>
      <c r="Q1252" s="23"/>
      <c r="R1252" s="26"/>
      <c r="S1252" s="23"/>
      <c r="U1252" s="104" t="s">
        <v>68</v>
      </c>
      <c r="V1252" s="105" t="str">
        <f>IF(13&lt;=DAY(DATE(YEAR(설정_코스수당!$K$2),MONTH(설정_코스수당!$K$2)+1,0)),COUNTIFS($B:$B,DATE(YEAR(설정_코스수당!$K$2),MONTH(설정_코스수당!$K$2),13),$O:$O,"노쇼")&amp;"/"&amp;COUNTIFS($B:$B,DATE(YEAR(설정_코스수당!$K$2),MONTH(설정_코스수당!$K$2),13),$O:$O,"취소"),"")</f>
        <v>0/0</v>
      </c>
      <c r="W1252" s="104" t="s">
        <v>12</v>
      </c>
      <c r="X1252" s="105">
        <f>IF(13&lt;=DAY(DATE(YEAR(설정_코스수당!$K$2),MONTH(설정_코스수당!$K$2)+1,0)),COUNTIFS($B:$B,DATE(YEAR(설정_코스수당!$K$2),MONTH(설정_코스수당!$K$2),13),$E:$E,"C",$O:$O,"방문완료"),"")</f>
        <v>0</v>
      </c>
    </row>
    <row r="1253" spans="1:24" ht="19.5" hidden="1" customHeight="1" outlineLevel="1">
      <c r="A1253" s="29">
        <v>4</v>
      </c>
      <c r="B1253" s="30">
        <f>IF(13&lt;=DAY(DATE(YEAR(설정_코스수당!$K$2),MONTH(설정_코스수당!$K$2)+1,0)),DATE(YEAR(설정_코스수당!$K$2),MONTH(설정_코스수당!$K$2),13),"")</f>
        <v>46186</v>
      </c>
      <c r="C1253" s="31"/>
      <c r="D1253" s="29"/>
      <c r="E1253" s="29"/>
      <c r="F1253" s="32"/>
      <c r="G1253" s="29"/>
      <c r="H1253" s="29"/>
      <c r="I1253" s="29"/>
      <c r="J1253" s="33">
        <f>IF($O1253="방문완료",MAX(0,IFERROR(VLOOKUP($E1253,설정_코스수당!$A$6:$H$10,4,FALSE),0)-IF(OR($P1253="",$P1253="없음"),0,100000)),0)</f>
        <v>0</v>
      </c>
      <c r="K1253" s="33">
        <f t="array" ref="K1253">IF($O1253="방문완료",IFERROR(INDEX(설정_코스수당!$B$15:$F$64,MATCH($G1253,설정_코스수당!$A$15:$A$64,0),MATCH($E1253&amp;"수당",설정_코스수당!$B$14:$F$14,0)),0),0)</f>
        <v>0</v>
      </c>
      <c r="L1253" s="33">
        <f t="array" ref="L1253">IF($O1253="방문완료",IF($H1253="",0,IFERROR(INDEX(설정_코스수당!$B$15:$F$64,MATCH($H1253,설정_코스수당!$A$15:$A$64,0),MATCH($E1253&amp;"수당",설정_코스수당!$B$14:$F$14,0)),0)),0)</f>
        <v>0</v>
      </c>
      <c r="M1253" s="33">
        <f>IF($O1253="방문완료",IFERROR(VLOOKUP($E1253,설정_코스수당!$A$6:$H$10,6,FALSE),0),0)</f>
        <v>0</v>
      </c>
      <c r="N1253" s="34">
        <f t="shared" si="36"/>
        <v>0</v>
      </c>
      <c r="O1253" s="29"/>
      <c r="P1253" s="29"/>
      <c r="Q1253" s="29"/>
      <c r="R1253" s="32"/>
      <c r="S1253" s="29"/>
      <c r="U1253" s="104" t="s">
        <v>69</v>
      </c>
      <c r="V1253" s="106">
        <f>IF(13&lt;=DAY(DATE(YEAR(설정_코스수당!$K$2),MONTH(설정_코스수당!$K$2)+1,0)),SUMIFS($J:$J,$B:$B,DATE(YEAR(설정_코스수당!$K$2),MONTH(설정_코스수당!$K$2),13),$O:$O,"방문완료"),"")</f>
        <v>0</v>
      </c>
      <c r="W1253" s="104" t="s">
        <v>15</v>
      </c>
      <c r="X1253" s="105">
        <f>IF(13&lt;=DAY(DATE(YEAR(설정_코스수당!$K$2),MONTH(설정_코스수당!$K$2)+1,0)),COUNTIFS($B:$B,DATE(YEAR(설정_코스수당!$K$2),MONTH(설정_코스수당!$K$2),13),$E:$E,"D",$O:$O,"방문완료"),"")</f>
        <v>0</v>
      </c>
    </row>
    <row r="1254" spans="1:24" ht="19.5" hidden="1" customHeight="1" outlineLevel="1">
      <c r="A1254" s="23">
        <v>5</v>
      </c>
      <c r="B1254" s="24">
        <f>IF(13&lt;=DAY(DATE(YEAR(설정_코스수당!$K$2),MONTH(설정_코스수당!$K$2)+1,0)),DATE(YEAR(설정_코스수당!$K$2),MONTH(설정_코스수당!$K$2),13),"")</f>
        <v>46186</v>
      </c>
      <c r="C1254" s="25"/>
      <c r="D1254" s="23"/>
      <c r="E1254" s="23"/>
      <c r="F1254" s="26"/>
      <c r="G1254" s="23"/>
      <c r="H1254" s="23"/>
      <c r="I1254" s="23"/>
      <c r="J1254" s="27">
        <f>IF($O1254="방문완료",MAX(0,IFERROR(VLOOKUP($E1254,설정_코스수당!$A$6:$H$10,4,FALSE),0)-IF(OR($P1254="",$P1254="없음"),0,100000)),0)</f>
        <v>0</v>
      </c>
      <c r="K1254" s="27">
        <f t="array" ref="K1254">IF($O1254="방문완료",IFERROR(INDEX(설정_코스수당!$B$15:$F$64,MATCH($G1254,설정_코스수당!$A$15:$A$64,0),MATCH($E1254&amp;"수당",설정_코스수당!$B$14:$F$14,0)),0),0)</f>
        <v>0</v>
      </c>
      <c r="L1254" s="27">
        <f t="array" ref="L1254">IF($O1254="방문완료",IF($H1254="",0,IFERROR(INDEX(설정_코스수당!$B$15:$F$64,MATCH($H1254,설정_코스수당!$A$15:$A$64,0),MATCH($E1254&amp;"수당",설정_코스수당!$B$14:$F$14,0)),0)),0)</f>
        <v>0</v>
      </c>
      <c r="M1254" s="27">
        <f>IF($O1254="방문완료",IFERROR(VLOOKUP($E1254,설정_코스수당!$A$6:$H$10,6,FALSE),0),0)</f>
        <v>0</v>
      </c>
      <c r="N1254" s="28">
        <f t="shared" si="36"/>
        <v>0</v>
      </c>
      <c r="O1254" s="23"/>
      <c r="P1254" s="23"/>
      <c r="Q1254" s="23"/>
      <c r="R1254" s="26"/>
      <c r="S1254" s="23"/>
      <c r="U1254" s="104" t="s">
        <v>70</v>
      </c>
      <c r="V1254" s="106">
        <f>IF(13&lt;=DAY(DATE(YEAR(설정_코스수당!$K$2),MONTH(설정_코스수당!$K$2)+1,0)),SUMIFS($K:$K,$B:$B,DATE(YEAR(설정_코스수당!$K$2),MONTH(설정_코스수당!$K$2),13),$O:$O,"방문완료")+SUMIFS($L:$L,$B:$B,DATE(YEAR(설정_코스수당!$K$2),MONTH(설정_코스수당!$K$2),13),$O:$O,"방문완료"),"")</f>
        <v>0</v>
      </c>
      <c r="W1254" s="104" t="s">
        <v>18</v>
      </c>
      <c r="X1254" s="105">
        <f>IF(13&lt;=DAY(DATE(YEAR(설정_코스수당!$K$2),MONTH(설정_코스수당!$K$2)+1,0)),COUNTIFS($B:$B,DATE(YEAR(설정_코스수당!$K$2),MONTH(설정_코스수당!$K$2),13),$E:$E,"E",$O:$O,"방문완료"),"")</f>
        <v>0</v>
      </c>
    </row>
    <row r="1255" spans="1:24" ht="19.5" hidden="1" customHeight="1" outlineLevel="1">
      <c r="A1255" s="29">
        <v>6</v>
      </c>
      <c r="B1255" s="30">
        <f>IF(13&lt;=DAY(DATE(YEAR(설정_코스수당!$K$2),MONTH(설정_코스수당!$K$2)+1,0)),DATE(YEAR(설정_코스수당!$K$2),MONTH(설정_코스수당!$K$2),13),"")</f>
        <v>46186</v>
      </c>
      <c r="C1255" s="31"/>
      <c r="D1255" s="29"/>
      <c r="E1255" s="29"/>
      <c r="F1255" s="32"/>
      <c r="G1255" s="29"/>
      <c r="H1255" s="29"/>
      <c r="I1255" s="29"/>
      <c r="J1255" s="33">
        <f>IF($O1255="방문완료",MAX(0,IFERROR(VLOOKUP($E1255,설정_코스수당!$A$6:$H$10,4,FALSE),0)-IF(OR($P1255="",$P1255="없음"),0,100000)),0)</f>
        <v>0</v>
      </c>
      <c r="K1255" s="33">
        <f t="array" ref="K1255">IF($O1255="방문완료",IFERROR(INDEX(설정_코스수당!$B$15:$F$64,MATCH($G1255,설정_코스수당!$A$15:$A$64,0),MATCH($E1255&amp;"수당",설정_코스수당!$B$14:$F$14,0)),0),0)</f>
        <v>0</v>
      </c>
      <c r="L1255" s="33">
        <f t="array" ref="L1255">IF($O1255="방문완료",IF($H1255="",0,IFERROR(INDEX(설정_코스수당!$B$15:$F$64,MATCH($H1255,설정_코스수당!$A$15:$A$64,0),MATCH($E1255&amp;"수당",설정_코스수당!$B$14:$F$14,0)),0)),0)</f>
        <v>0</v>
      </c>
      <c r="M1255" s="33">
        <f>IF($O1255="방문완료",IFERROR(VLOOKUP($E1255,설정_코스수당!$A$6:$H$10,6,FALSE),0),0)</f>
        <v>0</v>
      </c>
      <c r="N1255" s="34">
        <f t="shared" si="36"/>
        <v>0</v>
      </c>
      <c r="O1255" s="29"/>
      <c r="P1255" s="29"/>
      <c r="Q1255" s="29"/>
      <c r="R1255" s="32"/>
      <c r="S1255" s="29"/>
      <c r="U1255" s="104" t="s">
        <v>53</v>
      </c>
      <c r="V1255" s="106">
        <f>IF(13&lt;=DAY(DATE(YEAR(설정_코스수당!$K$2),MONTH(설정_코스수당!$K$2)+1,0)),SUMIFS($M:$M,$B:$B,DATE(YEAR(설정_코스수당!$K$2),MONTH(설정_코스수당!$K$2),13),$O:$O,"방문완료"),"")</f>
        <v>0</v>
      </c>
      <c r="W1255" s="104" t="s">
        <v>71</v>
      </c>
      <c r="X1255" s="107">
        <f>IF(13&lt;=DAY(DATE(YEAR(설정_코스수당!$K$2),MONTH(설정_코스수당!$K$2)+1,0)),COUNTIFS($B:$B,DATE(YEAR(설정_코스수당!$K$2),MONTH(설정_코스수당!$K$2),13),$O:$O,"방문완료",$P:$P,"&lt;&gt;",$P:$P,"&lt;&gt;없음"),"")</f>
        <v>0</v>
      </c>
    </row>
    <row r="1256" spans="1:24" ht="19.5" hidden="1" customHeight="1" outlineLevel="1">
      <c r="A1256" s="23">
        <v>7</v>
      </c>
      <c r="B1256" s="24">
        <f>IF(13&lt;=DAY(DATE(YEAR(설정_코스수당!$K$2),MONTH(설정_코스수당!$K$2)+1,0)),DATE(YEAR(설정_코스수당!$K$2),MONTH(설정_코스수당!$K$2),13),"")</f>
        <v>46186</v>
      </c>
      <c r="C1256" s="25"/>
      <c r="D1256" s="23"/>
      <c r="E1256" s="23"/>
      <c r="F1256" s="26"/>
      <c r="G1256" s="23"/>
      <c r="H1256" s="23"/>
      <c r="I1256" s="23"/>
      <c r="J1256" s="27">
        <f>IF($O1256="방문완료",MAX(0,IFERROR(VLOOKUP($E1256,설정_코스수당!$A$6:$H$10,4,FALSE),0)-IF(OR($P1256="",$P1256="없음"),0,100000)),0)</f>
        <v>0</v>
      </c>
      <c r="K1256" s="27">
        <f t="array" ref="K1256">IF($O1256="방문완료",IFERROR(INDEX(설정_코스수당!$B$15:$F$64,MATCH($G1256,설정_코스수당!$A$15:$A$64,0),MATCH($E1256&amp;"수당",설정_코스수당!$B$14:$F$14,0)),0),0)</f>
        <v>0</v>
      </c>
      <c r="L1256" s="27">
        <f t="array" ref="L1256">IF($O1256="방문완료",IF($H1256="",0,IFERROR(INDEX(설정_코스수당!$B$15:$F$64,MATCH($H1256,설정_코스수당!$A$15:$A$64,0),MATCH($E1256&amp;"수당",설정_코스수당!$B$14:$F$14,0)),0)),0)</f>
        <v>0</v>
      </c>
      <c r="M1256" s="27">
        <f>IF($O1256="방문완료",IFERROR(VLOOKUP($E1256,설정_코스수당!$A$6:$H$10,6,FALSE),0),0)</f>
        <v>0</v>
      </c>
      <c r="N1256" s="28">
        <f t="shared" si="36"/>
        <v>0</v>
      </c>
      <c r="O1256" s="23"/>
      <c r="P1256" s="23"/>
      <c r="Q1256" s="23"/>
      <c r="R1256" s="26"/>
      <c r="S1256" s="23"/>
      <c r="U1256" s="104" t="s">
        <v>72</v>
      </c>
      <c r="V1256" s="108">
        <f>IF(13&lt;=DAY(DATE(YEAR(설정_코스수당!$K$2),MONTH(설정_코스수당!$K$2)+1,0)),COUNTIFS($B:$B,DATE(YEAR(설정_코스수당!$K$2),MONTH(설정_코스수당!$K$2),13),$O:$O,"방문완료",$P:$P,"&lt;&gt;",$P:$P,"&lt;&gt;없음")*100000,"")</f>
        <v>0</v>
      </c>
      <c r="W1256" s="104" t="s">
        <v>73</v>
      </c>
      <c r="X1256" s="105">
        <f>IF(13&lt;=DAY(DATE(YEAR(설정_코스수당!$K$2),MONTH(설정_코스수당!$K$2)+1,0)),COUNTIFS($B:$B,DATE(YEAR(설정_코스수당!$K$2),MONTH(설정_코스수당!$K$2),13),$G:$G,"&lt;&gt;",$O:$O,"방문완료")+COUNTIFS($B:$B,DATE(YEAR(설정_코스수당!$K$2),MONTH(설정_코스수당!$K$2),13),$H:$H,"&lt;&gt;",$O:$O,"방문완료"),"")</f>
        <v>0</v>
      </c>
    </row>
    <row r="1257" spans="1:24" ht="19.5" hidden="1" customHeight="1" outlineLevel="1">
      <c r="A1257" s="29">
        <v>8</v>
      </c>
      <c r="B1257" s="30">
        <f>IF(13&lt;=DAY(DATE(YEAR(설정_코스수당!$K$2),MONTH(설정_코스수당!$K$2)+1,0)),DATE(YEAR(설정_코스수당!$K$2),MONTH(설정_코스수당!$K$2),13),"")</f>
        <v>46186</v>
      </c>
      <c r="C1257" s="31"/>
      <c r="D1257" s="29"/>
      <c r="E1257" s="29"/>
      <c r="F1257" s="32"/>
      <c r="G1257" s="29"/>
      <c r="H1257" s="29"/>
      <c r="I1257" s="29"/>
      <c r="J1257" s="33">
        <f>IF($O1257="방문완료",MAX(0,IFERROR(VLOOKUP($E1257,설정_코스수당!$A$6:$H$10,4,FALSE),0)-IF(OR($P1257="",$P1257="없음"),0,100000)),0)</f>
        <v>0</v>
      </c>
      <c r="K1257" s="33">
        <f t="array" ref="K1257">IF($O1257="방문완료",IFERROR(INDEX(설정_코스수당!$B$15:$F$64,MATCH($G1257,설정_코스수당!$A$15:$A$64,0),MATCH($E1257&amp;"수당",설정_코스수당!$B$14:$F$14,0)),0),0)</f>
        <v>0</v>
      </c>
      <c r="L1257" s="33">
        <f t="array" ref="L1257">IF($O1257="방문완료",IF($H1257="",0,IFERROR(INDEX(설정_코스수당!$B$15:$F$64,MATCH($H1257,설정_코스수당!$A$15:$A$64,0),MATCH($E1257&amp;"수당",설정_코스수당!$B$14:$F$14,0)),0)),0)</f>
        <v>0</v>
      </c>
      <c r="M1257" s="33">
        <f>IF($O1257="방문완료",IFERROR(VLOOKUP($E1257,설정_코스수당!$A$6:$H$10,6,FALSE),0),0)</f>
        <v>0</v>
      </c>
      <c r="N1257" s="34">
        <f t="shared" si="36"/>
        <v>0</v>
      </c>
      <c r="O1257" s="29"/>
      <c r="P1257" s="29"/>
      <c r="Q1257" s="29"/>
      <c r="R1257" s="32"/>
      <c r="S1257" s="29"/>
      <c r="U1257" s="104" t="s">
        <v>74</v>
      </c>
      <c r="V1257" s="108">
        <f>IF(13&lt;=DAY(DATE(YEAR(설정_코스수당!$K$2),MONTH(설정_코스수당!$K$2)+1,0)),SUM($U$1261:$U$1268),"")</f>
        <v>0</v>
      </c>
      <c r="W1257" s="122" t="str">
        <f>IF(13&lt;=DAY(DATE(YEAR(설정_코스수당!$K$2),MONTH(설정_코스수당!$K$2)+1,0)),"계 : "&amp;TEXT(V1253-V1257,"#,##0")&amp;" 동","")</f>
        <v>계 : 0 동</v>
      </c>
      <c r="X1257" s="122"/>
    </row>
    <row r="1258" spans="1:24" ht="19.5" hidden="1" customHeight="1" outlineLevel="1">
      <c r="A1258" s="23">
        <v>9</v>
      </c>
      <c r="B1258" s="24">
        <f>IF(13&lt;=DAY(DATE(YEAR(설정_코스수당!$K$2),MONTH(설정_코스수당!$K$2)+1,0)),DATE(YEAR(설정_코스수당!$K$2),MONTH(설정_코스수당!$K$2),13),"")</f>
        <v>46186</v>
      </c>
      <c r="C1258" s="25"/>
      <c r="D1258" s="23"/>
      <c r="E1258" s="23"/>
      <c r="F1258" s="26"/>
      <c r="G1258" s="23"/>
      <c r="H1258" s="23"/>
      <c r="I1258" s="23"/>
      <c r="J1258" s="27">
        <f>IF($O1258="방문완료",MAX(0,IFERROR(VLOOKUP($E1258,설정_코스수당!$A$6:$H$10,4,FALSE),0)-IF(OR($P1258="",$P1258="없음"),0,100000)),0)</f>
        <v>0</v>
      </c>
      <c r="K1258" s="27">
        <f t="array" ref="K1258">IF($O1258="방문완료",IFERROR(INDEX(설정_코스수당!$B$15:$F$64,MATCH($G1258,설정_코스수당!$A$15:$A$64,0),MATCH($E1258&amp;"수당",설정_코스수당!$B$14:$F$14,0)),0),0)</f>
        <v>0</v>
      </c>
      <c r="L1258" s="27">
        <f t="array" ref="L1258">IF($O1258="방문완료",IF($H1258="",0,IFERROR(INDEX(설정_코스수당!$B$15:$F$64,MATCH($H1258,설정_코스수당!$A$15:$A$64,0),MATCH($E1258&amp;"수당",설정_코스수당!$B$14:$F$14,0)),0)),0)</f>
        <v>0</v>
      </c>
      <c r="M1258" s="27">
        <f>IF($O1258="방문완료",IFERROR(VLOOKUP($E1258,설정_코스수당!$A$6:$H$10,6,FALSE),0),0)</f>
        <v>0</v>
      </c>
      <c r="N1258" s="28">
        <f t="shared" si="36"/>
        <v>0</v>
      </c>
      <c r="O1258" s="23"/>
      <c r="P1258" s="23"/>
      <c r="Q1258" s="23"/>
      <c r="R1258" s="26"/>
      <c r="S1258" s="23"/>
    </row>
    <row r="1259" spans="1:24" ht="19.5" hidden="1" customHeight="1" outlineLevel="1">
      <c r="A1259" s="29">
        <v>10</v>
      </c>
      <c r="B1259" s="30">
        <f>IF(13&lt;=DAY(DATE(YEAR(설정_코스수당!$K$2),MONTH(설정_코스수당!$K$2)+1,0)),DATE(YEAR(설정_코스수당!$K$2),MONTH(설정_코스수당!$K$2),13),"")</f>
        <v>46186</v>
      </c>
      <c r="C1259" s="31"/>
      <c r="D1259" s="29"/>
      <c r="E1259" s="29"/>
      <c r="F1259" s="32"/>
      <c r="G1259" s="29"/>
      <c r="H1259" s="29"/>
      <c r="I1259" s="29"/>
      <c r="J1259" s="33">
        <f>IF($O1259="방문완료",MAX(0,IFERROR(VLOOKUP($E1259,설정_코스수당!$A$6:$H$10,4,FALSE),0)-IF(OR($P1259="",$P1259="없음"),0,100000)),0)</f>
        <v>0</v>
      </c>
      <c r="K1259" s="33">
        <f t="array" ref="K1259">IF($O1259="방문완료",IFERROR(INDEX(설정_코스수당!$B$15:$F$64,MATCH($G1259,설정_코스수당!$A$15:$A$64,0),MATCH($E1259&amp;"수당",설정_코스수당!$B$14:$F$14,0)),0),0)</f>
        <v>0</v>
      </c>
      <c r="L1259" s="33">
        <f t="array" ref="L1259">IF($O1259="방문완료",IF($H1259="",0,IFERROR(INDEX(설정_코스수당!$B$15:$F$64,MATCH($H1259,설정_코스수당!$A$15:$A$64,0),MATCH($E1259&amp;"수당",설정_코스수당!$B$14:$F$14,0)),0)),0)</f>
        <v>0</v>
      </c>
      <c r="M1259" s="33">
        <f>IF($O1259="방문완료",IFERROR(VLOOKUP($E1259,설정_코스수당!$A$6:$H$10,6,FALSE),0),0)</f>
        <v>0</v>
      </c>
      <c r="N1259" s="34">
        <f t="shared" si="36"/>
        <v>0</v>
      </c>
      <c r="O1259" s="29"/>
      <c r="P1259" s="29"/>
      <c r="Q1259" s="29"/>
      <c r="R1259" s="32"/>
      <c r="S1259" s="29"/>
      <c r="U1259" s="120" t="s">
        <v>75</v>
      </c>
      <c r="V1259" s="121"/>
      <c r="W1259" s="121"/>
      <c r="X1259" s="121"/>
    </row>
    <row r="1260" spans="1:24" ht="19.5" hidden="1" customHeight="1" outlineLevel="1">
      <c r="A1260" s="23">
        <v>11</v>
      </c>
      <c r="B1260" s="24">
        <f>IF(13&lt;=DAY(DATE(YEAR(설정_코스수당!$K$2),MONTH(설정_코스수당!$K$2)+1,0)),DATE(YEAR(설정_코스수당!$K$2),MONTH(설정_코스수당!$K$2),13),"")</f>
        <v>46186</v>
      </c>
      <c r="C1260" s="25"/>
      <c r="D1260" s="23"/>
      <c r="E1260" s="23"/>
      <c r="F1260" s="26"/>
      <c r="G1260" s="23"/>
      <c r="H1260" s="23"/>
      <c r="I1260" s="23"/>
      <c r="J1260" s="27">
        <f>IF($O1260="방문완료",MAX(0,IFERROR(VLOOKUP($E1260,설정_코스수당!$A$6:$H$10,4,FALSE),0)-IF(OR($P1260="",$P1260="없음"),0,100000)),0)</f>
        <v>0</v>
      </c>
      <c r="K1260" s="27">
        <f t="array" ref="K1260">IF($O1260="방문완료",IFERROR(INDEX(설정_코스수당!$B$15:$F$64,MATCH($G1260,설정_코스수당!$A$15:$A$64,0),MATCH($E1260&amp;"수당",설정_코스수당!$B$14:$F$14,0)),0),0)</f>
        <v>0</v>
      </c>
      <c r="L1260" s="27">
        <f t="array" ref="L1260">IF($O1260="방문완료",IF($H1260="",0,IFERROR(INDEX(설정_코스수당!$B$15:$F$64,MATCH($H1260,설정_코스수당!$A$15:$A$64,0),MATCH($E1260&amp;"수당",설정_코스수당!$B$14:$F$14,0)),0)),0)</f>
        <v>0</v>
      </c>
      <c r="M1260" s="27">
        <f>IF($O1260="방문완료",IFERROR(VLOOKUP($E1260,설정_코스수당!$A$6:$H$10,6,FALSE),0),0)</f>
        <v>0</v>
      </c>
      <c r="N1260" s="28">
        <f t="shared" si="36"/>
        <v>0</v>
      </c>
      <c r="O1260" s="23"/>
      <c r="P1260" s="23"/>
      <c r="Q1260" s="23"/>
      <c r="R1260" s="26"/>
      <c r="S1260" s="23"/>
      <c r="U1260" s="109" t="s">
        <v>76</v>
      </c>
      <c r="V1260" s="109" t="s">
        <v>77</v>
      </c>
      <c r="W1260" s="109" t="s">
        <v>78</v>
      </c>
      <c r="X1260" s="109" t="s">
        <v>58</v>
      </c>
    </row>
    <row r="1261" spans="1:24" ht="19.5" hidden="1" customHeight="1" outlineLevel="1">
      <c r="A1261" s="29">
        <v>12</v>
      </c>
      <c r="B1261" s="30">
        <f>IF(13&lt;=DAY(DATE(YEAR(설정_코스수당!$K$2),MONTH(설정_코스수당!$K$2)+1,0)),DATE(YEAR(설정_코스수당!$K$2),MONTH(설정_코스수당!$K$2),13),"")</f>
        <v>46186</v>
      </c>
      <c r="C1261" s="31"/>
      <c r="D1261" s="29"/>
      <c r="E1261" s="29"/>
      <c r="F1261" s="32"/>
      <c r="G1261" s="29"/>
      <c r="H1261" s="29"/>
      <c r="I1261" s="29"/>
      <c r="J1261" s="33">
        <f>IF($O1261="방문완료",MAX(0,IFERROR(VLOOKUP($E1261,설정_코스수당!$A$6:$H$10,4,FALSE),0)-IF(OR($P1261="",$P1261="없음"),0,100000)),0)</f>
        <v>0</v>
      </c>
      <c r="K1261" s="33">
        <f t="array" ref="K1261">IF($O1261="방문완료",IFERROR(INDEX(설정_코스수당!$B$15:$F$64,MATCH($G1261,설정_코스수당!$A$15:$A$64,0),MATCH($E1261&amp;"수당",설정_코스수당!$B$14:$F$14,0)),0),0)</f>
        <v>0</v>
      </c>
      <c r="L1261" s="33">
        <f t="array" ref="L1261">IF($O1261="방문완료",IF($H1261="",0,IFERROR(INDEX(설정_코스수당!$B$15:$F$64,MATCH($H1261,설정_코스수당!$A$15:$A$64,0),MATCH($E1261&amp;"수당",설정_코스수당!$B$14:$F$14,0)),0)),0)</f>
        <v>0</v>
      </c>
      <c r="M1261" s="33">
        <f>IF($O1261="방문완료",IFERROR(VLOOKUP($E1261,설정_코스수당!$A$6:$H$10,6,FALSE),0),0)</f>
        <v>0</v>
      </c>
      <c r="N1261" s="34">
        <f t="shared" si="36"/>
        <v>0</v>
      </c>
      <c r="O1261" s="29"/>
      <c r="P1261" s="29"/>
      <c r="Q1261" s="29"/>
      <c r="R1261" s="32"/>
      <c r="S1261" s="29"/>
      <c r="U1261" s="113"/>
      <c r="V1261" s="111"/>
      <c r="W1261" s="112"/>
      <c r="X1261" s="111"/>
    </row>
    <row r="1262" spans="1:24" ht="19.5" hidden="1" customHeight="1" outlineLevel="1">
      <c r="A1262" s="23">
        <v>13</v>
      </c>
      <c r="B1262" s="24">
        <f>IF(13&lt;=DAY(DATE(YEAR(설정_코스수당!$K$2),MONTH(설정_코스수당!$K$2)+1,0)),DATE(YEAR(설정_코스수당!$K$2),MONTH(설정_코스수당!$K$2),13),"")</f>
        <v>46186</v>
      </c>
      <c r="C1262" s="25"/>
      <c r="D1262" s="23"/>
      <c r="E1262" s="23"/>
      <c r="F1262" s="26"/>
      <c r="G1262" s="23"/>
      <c r="H1262" s="23"/>
      <c r="I1262" s="23"/>
      <c r="J1262" s="27">
        <f>IF($O1262="방문완료",MAX(0,IFERROR(VLOOKUP($E1262,설정_코스수당!$A$6:$H$10,4,FALSE),0)-IF(OR($P1262="",$P1262="없음"),0,100000)),0)</f>
        <v>0</v>
      </c>
      <c r="K1262" s="27">
        <f t="array" ref="K1262">IF($O1262="방문완료",IFERROR(INDEX(설정_코스수당!$B$15:$F$64,MATCH($G1262,설정_코스수당!$A$15:$A$64,0),MATCH($E1262&amp;"수당",설정_코스수당!$B$14:$F$14,0)),0),0)</f>
        <v>0</v>
      </c>
      <c r="L1262" s="27">
        <f t="array" ref="L1262">IF($O1262="방문완료",IF($H1262="",0,IFERROR(INDEX(설정_코스수당!$B$15:$F$64,MATCH($H1262,설정_코스수당!$A$15:$A$64,0),MATCH($E1262&amp;"수당",설정_코스수당!$B$14:$F$14,0)),0)),0)</f>
        <v>0</v>
      </c>
      <c r="M1262" s="27">
        <f>IF($O1262="방문완료",IFERROR(VLOOKUP($E1262,설정_코스수당!$A$6:$H$10,6,FALSE),0),0)</f>
        <v>0</v>
      </c>
      <c r="N1262" s="28">
        <f t="shared" si="36"/>
        <v>0</v>
      </c>
      <c r="O1262" s="23"/>
      <c r="P1262" s="23"/>
      <c r="Q1262" s="23"/>
      <c r="R1262" s="26"/>
      <c r="S1262" s="23"/>
      <c r="U1262" s="113"/>
      <c r="V1262" s="111"/>
      <c r="W1262" s="112"/>
      <c r="X1262" s="111"/>
    </row>
    <row r="1263" spans="1:24" ht="19.5" hidden="1" customHeight="1" outlineLevel="1">
      <c r="A1263" s="29">
        <v>14</v>
      </c>
      <c r="B1263" s="30">
        <f>IF(13&lt;=DAY(DATE(YEAR(설정_코스수당!$K$2),MONTH(설정_코스수당!$K$2)+1,0)),DATE(YEAR(설정_코스수당!$K$2),MONTH(설정_코스수당!$K$2),13),"")</f>
        <v>46186</v>
      </c>
      <c r="C1263" s="31"/>
      <c r="D1263" s="29"/>
      <c r="E1263" s="29"/>
      <c r="F1263" s="32"/>
      <c r="G1263" s="29"/>
      <c r="H1263" s="29"/>
      <c r="I1263" s="29"/>
      <c r="J1263" s="33">
        <f>IF($O1263="방문완료",MAX(0,IFERROR(VLOOKUP($E1263,설정_코스수당!$A$6:$H$10,4,FALSE),0)-IF(OR($P1263="",$P1263="없음"),0,100000)),0)</f>
        <v>0</v>
      </c>
      <c r="K1263" s="33">
        <f t="array" ref="K1263">IF($O1263="방문완료",IFERROR(INDEX(설정_코스수당!$B$15:$F$64,MATCH($G1263,설정_코스수당!$A$15:$A$64,0),MATCH($E1263&amp;"수당",설정_코스수당!$B$14:$F$14,0)),0),0)</f>
        <v>0</v>
      </c>
      <c r="L1263" s="33">
        <f t="array" ref="L1263">IF($O1263="방문완료",IF($H1263="",0,IFERROR(INDEX(설정_코스수당!$B$15:$F$64,MATCH($H1263,설정_코스수당!$A$15:$A$64,0),MATCH($E1263&amp;"수당",설정_코스수당!$B$14:$F$14,0)),0)),0)</f>
        <v>0</v>
      </c>
      <c r="M1263" s="33">
        <f>IF($O1263="방문완료",IFERROR(VLOOKUP($E1263,설정_코스수당!$A$6:$H$10,6,FALSE),0),0)</f>
        <v>0</v>
      </c>
      <c r="N1263" s="34">
        <f t="shared" si="36"/>
        <v>0</v>
      </c>
      <c r="O1263" s="29"/>
      <c r="P1263" s="29"/>
      <c r="Q1263" s="29"/>
      <c r="R1263" s="32"/>
      <c r="S1263" s="29"/>
      <c r="U1263" s="113"/>
      <c r="V1263" s="111"/>
      <c r="W1263" s="112"/>
      <c r="X1263" s="111"/>
    </row>
    <row r="1264" spans="1:24" ht="19.5" hidden="1" customHeight="1" outlineLevel="1">
      <c r="A1264" s="23">
        <v>15</v>
      </c>
      <c r="B1264" s="24">
        <f>IF(13&lt;=DAY(DATE(YEAR(설정_코스수당!$K$2),MONTH(설정_코스수당!$K$2)+1,0)),DATE(YEAR(설정_코스수당!$K$2),MONTH(설정_코스수당!$K$2),13),"")</f>
        <v>46186</v>
      </c>
      <c r="C1264" s="25"/>
      <c r="D1264" s="23"/>
      <c r="E1264" s="23"/>
      <c r="F1264" s="26"/>
      <c r="G1264" s="23"/>
      <c r="H1264" s="23"/>
      <c r="I1264" s="23"/>
      <c r="J1264" s="27">
        <f>IF($O1264="방문완료",MAX(0,IFERROR(VLOOKUP($E1264,설정_코스수당!$A$6:$H$10,4,FALSE),0)-IF(OR($P1264="",$P1264="없음"),0,100000)),0)</f>
        <v>0</v>
      </c>
      <c r="K1264" s="27">
        <f t="array" ref="K1264">IF($O1264="방문완료",IFERROR(INDEX(설정_코스수당!$B$15:$F$64,MATCH($G1264,설정_코스수당!$A$15:$A$64,0),MATCH($E1264&amp;"수당",설정_코스수당!$B$14:$F$14,0)),0),0)</f>
        <v>0</v>
      </c>
      <c r="L1264" s="27">
        <f t="array" ref="L1264">IF($O1264="방문완료",IF($H1264="",0,IFERROR(INDEX(설정_코스수당!$B$15:$F$64,MATCH($H1264,설정_코스수당!$A$15:$A$64,0),MATCH($E1264&amp;"수당",설정_코스수당!$B$14:$F$14,0)),0)),0)</f>
        <v>0</v>
      </c>
      <c r="M1264" s="27">
        <f>IF($O1264="방문완료",IFERROR(VLOOKUP($E1264,설정_코스수당!$A$6:$H$10,6,FALSE),0),0)</f>
        <v>0</v>
      </c>
      <c r="N1264" s="28">
        <f t="shared" si="36"/>
        <v>0</v>
      </c>
      <c r="O1264" s="23"/>
      <c r="P1264" s="23"/>
      <c r="Q1264" s="23"/>
      <c r="R1264" s="26"/>
      <c r="S1264" s="23"/>
      <c r="U1264" s="113"/>
      <c r="V1264" s="111"/>
      <c r="W1264" s="112"/>
      <c r="X1264" s="111"/>
    </row>
    <row r="1265" spans="1:24" ht="19.5" hidden="1" customHeight="1" outlineLevel="1">
      <c r="A1265" s="29">
        <v>16</v>
      </c>
      <c r="B1265" s="30">
        <f>IF(13&lt;=DAY(DATE(YEAR(설정_코스수당!$K$2),MONTH(설정_코스수당!$K$2)+1,0)),DATE(YEAR(설정_코스수당!$K$2),MONTH(설정_코스수당!$K$2),13),"")</f>
        <v>46186</v>
      </c>
      <c r="C1265" s="31"/>
      <c r="D1265" s="29"/>
      <c r="E1265" s="29"/>
      <c r="F1265" s="32"/>
      <c r="G1265" s="29"/>
      <c r="H1265" s="29"/>
      <c r="I1265" s="29"/>
      <c r="J1265" s="33">
        <f>IF($O1265="방문완료",MAX(0,IFERROR(VLOOKUP($E1265,설정_코스수당!$A$6:$H$10,4,FALSE),0)-IF(OR($P1265="",$P1265="없음"),0,100000)),0)</f>
        <v>0</v>
      </c>
      <c r="K1265" s="33">
        <f t="array" ref="K1265">IF($O1265="방문완료",IFERROR(INDEX(설정_코스수당!$B$15:$F$64,MATCH($G1265,설정_코스수당!$A$15:$A$64,0),MATCH($E1265&amp;"수당",설정_코스수당!$B$14:$F$14,0)),0),0)</f>
        <v>0</v>
      </c>
      <c r="L1265" s="33">
        <f t="array" ref="L1265">IF($O1265="방문완료",IF($H1265="",0,IFERROR(INDEX(설정_코스수당!$B$15:$F$64,MATCH($H1265,설정_코스수당!$A$15:$A$64,0),MATCH($E1265&amp;"수당",설정_코스수당!$B$14:$F$14,0)),0)),0)</f>
        <v>0</v>
      </c>
      <c r="M1265" s="33">
        <f>IF($O1265="방문완료",IFERROR(VLOOKUP($E1265,설정_코스수당!$A$6:$H$10,6,FALSE),0),0)</f>
        <v>0</v>
      </c>
      <c r="N1265" s="34">
        <f t="shared" si="36"/>
        <v>0</v>
      </c>
      <c r="O1265" s="29"/>
      <c r="P1265" s="29"/>
      <c r="Q1265" s="29"/>
      <c r="R1265" s="32"/>
      <c r="S1265" s="29"/>
      <c r="U1265" s="113"/>
      <c r="V1265" s="111"/>
      <c r="W1265" s="112"/>
      <c r="X1265" s="111"/>
    </row>
    <row r="1266" spans="1:24" ht="19.5" hidden="1" customHeight="1" outlineLevel="1">
      <c r="A1266" s="23">
        <v>17</v>
      </c>
      <c r="B1266" s="24">
        <f>IF(13&lt;=DAY(DATE(YEAR(설정_코스수당!$K$2),MONTH(설정_코스수당!$K$2)+1,0)),DATE(YEAR(설정_코스수당!$K$2),MONTH(설정_코스수당!$K$2),13),"")</f>
        <v>46186</v>
      </c>
      <c r="C1266" s="25"/>
      <c r="D1266" s="23"/>
      <c r="E1266" s="23"/>
      <c r="F1266" s="26"/>
      <c r="G1266" s="23"/>
      <c r="H1266" s="23"/>
      <c r="I1266" s="23"/>
      <c r="J1266" s="27">
        <f>IF($O1266="방문완료",MAX(0,IFERROR(VLOOKUP($E1266,설정_코스수당!$A$6:$H$10,4,FALSE),0)-IF(OR($P1266="",$P1266="없음"),0,100000)),0)</f>
        <v>0</v>
      </c>
      <c r="K1266" s="27">
        <f t="array" ref="K1266">IF($O1266="방문완료",IFERROR(INDEX(설정_코스수당!$B$15:$F$64,MATCH($G1266,설정_코스수당!$A$15:$A$64,0),MATCH($E1266&amp;"수당",설정_코스수당!$B$14:$F$14,0)),0),0)</f>
        <v>0</v>
      </c>
      <c r="L1266" s="27">
        <f t="array" ref="L1266">IF($O1266="방문완료",IF($H1266="",0,IFERROR(INDEX(설정_코스수당!$B$15:$F$64,MATCH($H1266,설정_코스수당!$A$15:$A$64,0),MATCH($E1266&amp;"수당",설정_코스수당!$B$14:$F$14,0)),0)),0)</f>
        <v>0</v>
      </c>
      <c r="M1266" s="27">
        <f>IF($O1266="방문완료",IFERROR(VLOOKUP($E1266,설정_코스수당!$A$6:$H$10,6,FALSE),0),0)</f>
        <v>0</v>
      </c>
      <c r="N1266" s="28">
        <f t="shared" si="36"/>
        <v>0</v>
      </c>
      <c r="O1266" s="23"/>
      <c r="P1266" s="23"/>
      <c r="Q1266" s="23"/>
      <c r="R1266" s="26"/>
      <c r="S1266" s="23"/>
      <c r="U1266" s="113"/>
      <c r="V1266" s="111"/>
      <c r="W1266" s="112"/>
      <c r="X1266" s="111"/>
    </row>
    <row r="1267" spans="1:24" ht="19.5" hidden="1" customHeight="1" outlineLevel="1">
      <c r="A1267" s="29">
        <v>18</v>
      </c>
      <c r="B1267" s="30">
        <f>IF(13&lt;=DAY(DATE(YEAR(설정_코스수당!$K$2),MONTH(설정_코스수당!$K$2)+1,0)),DATE(YEAR(설정_코스수당!$K$2),MONTH(설정_코스수당!$K$2),13),"")</f>
        <v>46186</v>
      </c>
      <c r="C1267" s="31"/>
      <c r="D1267" s="29"/>
      <c r="E1267" s="29"/>
      <c r="F1267" s="32"/>
      <c r="G1267" s="29"/>
      <c r="H1267" s="29"/>
      <c r="I1267" s="29"/>
      <c r="J1267" s="33">
        <f>IF($O1267="방문완료",MAX(0,IFERROR(VLOOKUP($E1267,설정_코스수당!$A$6:$H$10,4,FALSE),0)-IF(OR($P1267="",$P1267="없음"),0,100000)),0)</f>
        <v>0</v>
      </c>
      <c r="K1267" s="33">
        <f t="array" ref="K1267">IF($O1267="방문완료",IFERROR(INDEX(설정_코스수당!$B$15:$F$64,MATCH($G1267,설정_코스수당!$A$15:$A$64,0),MATCH($E1267&amp;"수당",설정_코스수당!$B$14:$F$14,0)),0),0)</f>
        <v>0</v>
      </c>
      <c r="L1267" s="33">
        <f t="array" ref="L1267">IF($O1267="방문완료",IF($H1267="",0,IFERROR(INDEX(설정_코스수당!$B$15:$F$64,MATCH($H1267,설정_코스수당!$A$15:$A$64,0),MATCH($E1267&amp;"수당",설정_코스수당!$B$14:$F$14,0)),0)),0)</f>
        <v>0</v>
      </c>
      <c r="M1267" s="33">
        <f>IF($O1267="방문완료",IFERROR(VLOOKUP($E1267,설정_코스수당!$A$6:$H$10,6,FALSE),0),0)</f>
        <v>0</v>
      </c>
      <c r="N1267" s="34">
        <f t="shared" si="36"/>
        <v>0</v>
      </c>
      <c r="O1267" s="29"/>
      <c r="P1267" s="29"/>
      <c r="Q1267" s="29"/>
      <c r="R1267" s="32"/>
      <c r="S1267" s="29"/>
      <c r="U1267" s="113"/>
      <c r="V1267" s="111"/>
      <c r="W1267" s="112"/>
      <c r="X1267" s="111"/>
    </row>
    <row r="1268" spans="1:24" ht="19.5" hidden="1" customHeight="1" outlineLevel="1">
      <c r="A1268" s="23">
        <v>19</v>
      </c>
      <c r="B1268" s="24">
        <f>IF(13&lt;=DAY(DATE(YEAR(설정_코스수당!$K$2),MONTH(설정_코스수당!$K$2)+1,0)),DATE(YEAR(설정_코스수당!$K$2),MONTH(설정_코스수당!$K$2),13),"")</f>
        <v>46186</v>
      </c>
      <c r="C1268" s="25"/>
      <c r="D1268" s="23"/>
      <c r="E1268" s="23"/>
      <c r="F1268" s="26"/>
      <c r="G1268" s="23"/>
      <c r="H1268" s="23"/>
      <c r="I1268" s="23"/>
      <c r="J1268" s="27">
        <f>IF($O1268="방문완료",MAX(0,IFERROR(VLOOKUP($E1268,설정_코스수당!$A$6:$H$10,4,FALSE),0)-IF(OR($P1268="",$P1268="없음"),0,100000)),0)</f>
        <v>0</v>
      </c>
      <c r="K1268" s="27">
        <f t="array" ref="K1268">IF($O1268="방문완료",IFERROR(INDEX(설정_코스수당!$B$15:$F$64,MATCH($G1268,설정_코스수당!$A$15:$A$64,0),MATCH($E1268&amp;"수당",설정_코스수당!$B$14:$F$14,0)),0),0)</f>
        <v>0</v>
      </c>
      <c r="L1268" s="27">
        <f t="array" ref="L1268">IF($O1268="방문완료",IF($H1268="",0,IFERROR(INDEX(설정_코스수당!$B$15:$F$64,MATCH($H1268,설정_코스수당!$A$15:$A$64,0),MATCH($E1268&amp;"수당",설정_코스수당!$B$14:$F$14,0)),0)),0)</f>
        <v>0</v>
      </c>
      <c r="M1268" s="27">
        <f>IF($O1268="방문완료",IFERROR(VLOOKUP($E1268,설정_코스수당!$A$6:$H$10,6,FALSE),0),0)</f>
        <v>0</v>
      </c>
      <c r="N1268" s="28">
        <f t="shared" si="36"/>
        <v>0</v>
      </c>
      <c r="O1268" s="23"/>
      <c r="P1268" s="23"/>
      <c r="Q1268" s="23"/>
      <c r="R1268" s="26"/>
      <c r="S1268" s="23"/>
      <c r="U1268" s="113"/>
      <c r="V1268" s="111"/>
      <c r="W1268" s="112"/>
      <c r="X1268" s="111"/>
    </row>
    <row r="1269" spans="1:24" ht="19.5" hidden="1" customHeight="1" outlineLevel="1">
      <c r="A1269" s="29">
        <v>20</v>
      </c>
      <c r="B1269" s="30">
        <f>IF(13&lt;=DAY(DATE(YEAR(설정_코스수당!$K$2),MONTH(설정_코스수당!$K$2)+1,0)),DATE(YEAR(설정_코스수당!$K$2),MONTH(설정_코스수당!$K$2),13),"")</f>
        <v>46186</v>
      </c>
      <c r="C1269" s="31"/>
      <c r="D1269" s="29"/>
      <c r="E1269" s="29"/>
      <c r="F1269" s="32"/>
      <c r="G1269" s="29"/>
      <c r="H1269" s="29"/>
      <c r="I1269" s="29"/>
      <c r="J1269" s="33">
        <f>IF($O1269="방문완료",MAX(0,IFERROR(VLOOKUP($E1269,설정_코스수당!$A$6:$H$10,4,FALSE),0)-IF(OR($P1269="",$P1269="없음"),0,100000)),0)</f>
        <v>0</v>
      </c>
      <c r="K1269" s="33">
        <f t="array" ref="K1269">IF($O1269="방문완료",IFERROR(INDEX(설정_코스수당!$B$15:$F$64,MATCH($G1269,설정_코스수당!$A$15:$A$64,0),MATCH($E1269&amp;"수당",설정_코스수당!$B$14:$F$14,0)),0),0)</f>
        <v>0</v>
      </c>
      <c r="L1269" s="33">
        <f t="array" ref="L1269">IF($O1269="방문완료",IF($H1269="",0,IFERROR(INDEX(설정_코스수당!$B$15:$F$64,MATCH($H1269,설정_코스수당!$A$15:$A$64,0),MATCH($E1269&amp;"수당",설정_코스수당!$B$14:$F$14,0)),0)),0)</f>
        <v>0</v>
      </c>
      <c r="M1269" s="33">
        <f>IF($O1269="방문완료",IFERROR(VLOOKUP($E1269,설정_코스수당!$A$6:$H$10,6,FALSE),0),0)</f>
        <v>0</v>
      </c>
      <c r="N1269" s="34">
        <f t="shared" si="36"/>
        <v>0</v>
      </c>
      <c r="O1269" s="29"/>
      <c r="P1269" s="29"/>
      <c r="Q1269" s="29"/>
      <c r="R1269" s="32"/>
      <c r="S1269" s="29"/>
    </row>
    <row r="1270" spans="1:24" ht="19.5" hidden="1" customHeight="1" outlineLevel="1">
      <c r="A1270" s="23">
        <v>21</v>
      </c>
      <c r="B1270" s="24">
        <f>IF(13&lt;=DAY(DATE(YEAR(설정_코스수당!$K$2),MONTH(설정_코스수당!$K$2)+1,0)),DATE(YEAR(설정_코스수당!$K$2),MONTH(설정_코스수당!$K$2),13),"")</f>
        <v>46186</v>
      </c>
      <c r="C1270" s="25"/>
      <c r="D1270" s="23"/>
      <c r="E1270" s="23"/>
      <c r="F1270" s="26"/>
      <c r="G1270" s="23"/>
      <c r="H1270" s="23"/>
      <c r="I1270" s="23"/>
      <c r="J1270" s="27">
        <f>IF($O1270="방문완료",MAX(0,IFERROR(VLOOKUP($E1270,설정_코스수당!$A$6:$H$10,4,FALSE),0)-IF(OR($P1270="",$P1270="없음"),0,100000)),0)</f>
        <v>0</v>
      </c>
      <c r="K1270" s="27">
        <f t="array" ref="K1270">IF($O1270="방문완료",IFERROR(INDEX(설정_코스수당!$B$15:$F$64,MATCH($G1270,설정_코스수당!$A$15:$A$64,0),MATCH($E1270&amp;"수당",설정_코스수당!$B$14:$F$14,0)),0),0)</f>
        <v>0</v>
      </c>
      <c r="L1270" s="27">
        <f t="array" ref="L1270">IF($O1270="방문완료",IF($H1270="",0,IFERROR(INDEX(설정_코스수당!$B$15:$F$64,MATCH($H1270,설정_코스수당!$A$15:$A$64,0),MATCH($E1270&amp;"수당",설정_코스수당!$B$14:$F$14,0)),0)),0)</f>
        <v>0</v>
      </c>
      <c r="M1270" s="27">
        <f>IF($O1270="방문완료",IFERROR(VLOOKUP($E1270,설정_코스수당!$A$6:$H$10,6,FALSE),0),0)</f>
        <v>0</v>
      </c>
      <c r="N1270" s="28">
        <f t="shared" si="36"/>
        <v>0</v>
      </c>
      <c r="O1270" s="23"/>
      <c r="P1270" s="23"/>
      <c r="Q1270" s="23"/>
      <c r="R1270" s="26"/>
      <c r="S1270" s="23"/>
    </row>
    <row r="1271" spans="1:24" ht="19.5" hidden="1" customHeight="1" outlineLevel="1">
      <c r="A1271" s="29">
        <v>22</v>
      </c>
      <c r="B1271" s="30">
        <f>IF(13&lt;=DAY(DATE(YEAR(설정_코스수당!$K$2),MONTH(설정_코스수당!$K$2)+1,0)),DATE(YEAR(설정_코스수당!$K$2),MONTH(설정_코스수당!$K$2),13),"")</f>
        <v>46186</v>
      </c>
      <c r="C1271" s="31"/>
      <c r="D1271" s="29"/>
      <c r="E1271" s="29"/>
      <c r="F1271" s="32"/>
      <c r="G1271" s="29"/>
      <c r="H1271" s="29"/>
      <c r="I1271" s="29"/>
      <c r="J1271" s="33">
        <f>IF($O1271="방문완료",MAX(0,IFERROR(VLOOKUP($E1271,설정_코스수당!$A$6:$H$10,4,FALSE),0)-IF(OR($P1271="",$P1271="없음"),0,100000)),0)</f>
        <v>0</v>
      </c>
      <c r="K1271" s="33">
        <f t="array" ref="K1271">IF($O1271="방문완료",IFERROR(INDEX(설정_코스수당!$B$15:$F$64,MATCH($G1271,설정_코스수당!$A$15:$A$64,0),MATCH($E1271&amp;"수당",설정_코스수당!$B$14:$F$14,0)),0),0)</f>
        <v>0</v>
      </c>
      <c r="L1271" s="33">
        <f t="array" ref="L1271">IF($O1271="방문완료",IF($H1271="",0,IFERROR(INDEX(설정_코스수당!$B$15:$F$64,MATCH($H1271,설정_코스수당!$A$15:$A$64,0),MATCH($E1271&amp;"수당",설정_코스수당!$B$14:$F$14,0)),0)),0)</f>
        <v>0</v>
      </c>
      <c r="M1271" s="33">
        <f>IF($O1271="방문완료",IFERROR(VLOOKUP($E1271,설정_코스수당!$A$6:$H$10,6,FALSE),0),0)</f>
        <v>0</v>
      </c>
      <c r="N1271" s="34">
        <f t="shared" si="36"/>
        <v>0</v>
      </c>
      <c r="O1271" s="29"/>
      <c r="P1271" s="29"/>
      <c r="Q1271" s="29"/>
      <c r="R1271" s="32"/>
      <c r="S1271" s="29"/>
    </row>
    <row r="1272" spans="1:24" ht="19.5" hidden="1" customHeight="1" outlineLevel="1">
      <c r="A1272" s="23">
        <v>23</v>
      </c>
      <c r="B1272" s="24">
        <f>IF(13&lt;=DAY(DATE(YEAR(설정_코스수당!$K$2),MONTH(설정_코스수당!$K$2)+1,0)),DATE(YEAR(설정_코스수당!$K$2),MONTH(설정_코스수당!$K$2),13),"")</f>
        <v>46186</v>
      </c>
      <c r="C1272" s="25"/>
      <c r="D1272" s="23"/>
      <c r="E1272" s="23"/>
      <c r="F1272" s="26"/>
      <c r="G1272" s="23"/>
      <c r="H1272" s="23"/>
      <c r="I1272" s="23"/>
      <c r="J1272" s="27">
        <f>IF($O1272="방문완료",MAX(0,IFERROR(VLOOKUP($E1272,설정_코스수당!$A$6:$H$10,4,FALSE),0)-IF(OR($P1272="",$P1272="없음"),0,100000)),0)</f>
        <v>0</v>
      </c>
      <c r="K1272" s="27">
        <f t="array" ref="K1272">IF($O1272="방문완료",IFERROR(INDEX(설정_코스수당!$B$15:$F$64,MATCH($G1272,설정_코스수당!$A$15:$A$64,0),MATCH($E1272&amp;"수당",설정_코스수당!$B$14:$F$14,0)),0),0)</f>
        <v>0</v>
      </c>
      <c r="L1272" s="27">
        <f t="array" ref="L1272">IF($O1272="방문완료",IF($H1272="",0,IFERROR(INDEX(설정_코스수당!$B$15:$F$64,MATCH($H1272,설정_코스수당!$A$15:$A$64,0),MATCH($E1272&amp;"수당",설정_코스수당!$B$14:$F$14,0)),0)),0)</f>
        <v>0</v>
      </c>
      <c r="M1272" s="27">
        <f>IF($O1272="방문완료",IFERROR(VLOOKUP($E1272,설정_코스수당!$A$6:$H$10,6,FALSE),0),0)</f>
        <v>0</v>
      </c>
      <c r="N1272" s="28">
        <f t="shared" si="36"/>
        <v>0</v>
      </c>
      <c r="O1272" s="23"/>
      <c r="P1272" s="23"/>
      <c r="Q1272" s="23"/>
      <c r="R1272" s="26"/>
      <c r="S1272" s="23"/>
    </row>
    <row r="1273" spans="1:24" ht="19.5" hidden="1" customHeight="1" outlineLevel="1">
      <c r="A1273" s="29">
        <v>24</v>
      </c>
      <c r="B1273" s="30">
        <f>IF(13&lt;=DAY(DATE(YEAR(설정_코스수당!$K$2),MONTH(설정_코스수당!$K$2)+1,0)),DATE(YEAR(설정_코스수당!$K$2),MONTH(설정_코스수당!$K$2),13),"")</f>
        <v>46186</v>
      </c>
      <c r="C1273" s="31"/>
      <c r="D1273" s="29"/>
      <c r="E1273" s="29"/>
      <c r="F1273" s="32"/>
      <c r="G1273" s="29"/>
      <c r="H1273" s="29"/>
      <c r="I1273" s="29"/>
      <c r="J1273" s="33">
        <f>IF($O1273="방문완료",MAX(0,IFERROR(VLOOKUP($E1273,설정_코스수당!$A$6:$H$10,4,FALSE),0)-IF(OR($P1273="",$P1273="없음"),0,100000)),0)</f>
        <v>0</v>
      </c>
      <c r="K1273" s="33">
        <f t="array" ref="K1273">IF($O1273="방문완료",IFERROR(INDEX(설정_코스수당!$B$15:$F$64,MATCH($G1273,설정_코스수당!$A$15:$A$64,0),MATCH($E1273&amp;"수당",설정_코스수당!$B$14:$F$14,0)),0),0)</f>
        <v>0</v>
      </c>
      <c r="L1273" s="33">
        <f t="array" ref="L1273">IF($O1273="방문완료",IF($H1273="",0,IFERROR(INDEX(설정_코스수당!$B$15:$F$64,MATCH($H1273,설정_코스수당!$A$15:$A$64,0),MATCH($E1273&amp;"수당",설정_코스수당!$B$14:$F$14,0)),0)),0)</f>
        <v>0</v>
      </c>
      <c r="M1273" s="33">
        <f>IF($O1273="방문완료",IFERROR(VLOOKUP($E1273,설정_코스수당!$A$6:$H$10,6,FALSE),0),0)</f>
        <v>0</v>
      </c>
      <c r="N1273" s="34">
        <f t="shared" si="36"/>
        <v>0</v>
      </c>
      <c r="O1273" s="29"/>
      <c r="P1273" s="29"/>
      <c r="Q1273" s="29"/>
      <c r="R1273" s="32"/>
      <c r="S1273" s="29"/>
    </row>
    <row r="1274" spans="1:24" ht="19.5" hidden="1" customHeight="1" outlineLevel="1">
      <c r="A1274" s="23">
        <v>25</v>
      </c>
      <c r="B1274" s="24">
        <f>IF(13&lt;=DAY(DATE(YEAR(설정_코스수당!$K$2),MONTH(설정_코스수당!$K$2)+1,0)),DATE(YEAR(설정_코스수당!$K$2),MONTH(설정_코스수당!$K$2),13),"")</f>
        <v>46186</v>
      </c>
      <c r="C1274" s="25"/>
      <c r="D1274" s="23"/>
      <c r="E1274" s="23"/>
      <c r="F1274" s="26"/>
      <c r="G1274" s="23"/>
      <c r="H1274" s="23"/>
      <c r="I1274" s="23"/>
      <c r="J1274" s="27">
        <f>IF($O1274="방문완료",MAX(0,IFERROR(VLOOKUP($E1274,설정_코스수당!$A$6:$H$10,4,FALSE),0)-IF(OR($P1274="",$P1274="없음"),0,100000)),0)</f>
        <v>0</v>
      </c>
      <c r="K1274" s="27">
        <f t="array" ref="K1274">IF($O1274="방문완료",IFERROR(INDEX(설정_코스수당!$B$15:$F$64,MATCH($G1274,설정_코스수당!$A$15:$A$64,0),MATCH($E1274&amp;"수당",설정_코스수당!$B$14:$F$14,0)),0),0)</f>
        <v>0</v>
      </c>
      <c r="L1274" s="27">
        <f t="array" ref="L1274">IF($O1274="방문완료",IF($H1274="",0,IFERROR(INDEX(설정_코스수당!$B$15:$F$64,MATCH($H1274,설정_코스수당!$A$15:$A$64,0),MATCH($E1274&amp;"수당",설정_코스수당!$B$14:$F$14,0)),0)),0)</f>
        <v>0</v>
      </c>
      <c r="M1274" s="27">
        <f>IF($O1274="방문완료",IFERROR(VLOOKUP($E1274,설정_코스수당!$A$6:$H$10,6,FALSE),0),0)</f>
        <v>0</v>
      </c>
      <c r="N1274" s="28">
        <f t="shared" si="36"/>
        <v>0</v>
      </c>
      <c r="O1274" s="23"/>
      <c r="P1274" s="23"/>
      <c r="Q1274" s="23"/>
      <c r="R1274" s="26"/>
      <c r="S1274" s="23"/>
    </row>
    <row r="1275" spans="1:24" ht="19.5" hidden="1" customHeight="1" outlineLevel="1">
      <c r="A1275" s="29">
        <v>26</v>
      </c>
      <c r="B1275" s="30">
        <f>IF(13&lt;=DAY(DATE(YEAR(설정_코스수당!$K$2),MONTH(설정_코스수당!$K$2)+1,0)),DATE(YEAR(설정_코스수당!$K$2),MONTH(설정_코스수당!$K$2),13),"")</f>
        <v>46186</v>
      </c>
      <c r="C1275" s="31"/>
      <c r="D1275" s="29"/>
      <c r="E1275" s="29"/>
      <c r="F1275" s="32"/>
      <c r="G1275" s="29"/>
      <c r="H1275" s="29"/>
      <c r="I1275" s="29"/>
      <c r="J1275" s="33">
        <f>IF($O1275="방문완료",MAX(0,IFERROR(VLOOKUP($E1275,설정_코스수당!$A$6:$H$10,4,FALSE),0)-IF(OR($P1275="",$P1275="없음"),0,100000)),0)</f>
        <v>0</v>
      </c>
      <c r="K1275" s="33">
        <f t="array" ref="K1275">IF($O1275="방문완료",IFERROR(INDEX(설정_코스수당!$B$15:$F$64,MATCH($G1275,설정_코스수당!$A$15:$A$64,0),MATCH($E1275&amp;"수당",설정_코스수당!$B$14:$F$14,0)),0),0)</f>
        <v>0</v>
      </c>
      <c r="L1275" s="33">
        <f t="array" ref="L1275">IF($O1275="방문완료",IF($H1275="",0,IFERROR(INDEX(설정_코스수당!$B$15:$F$64,MATCH($H1275,설정_코스수당!$A$15:$A$64,0),MATCH($E1275&amp;"수당",설정_코스수당!$B$14:$F$14,0)),0)),0)</f>
        <v>0</v>
      </c>
      <c r="M1275" s="33">
        <f>IF($O1275="방문완료",IFERROR(VLOOKUP($E1275,설정_코스수당!$A$6:$H$10,6,FALSE),0),0)</f>
        <v>0</v>
      </c>
      <c r="N1275" s="34">
        <f t="shared" si="36"/>
        <v>0</v>
      </c>
      <c r="O1275" s="29"/>
      <c r="P1275" s="29"/>
      <c r="Q1275" s="29"/>
      <c r="R1275" s="32"/>
      <c r="S1275" s="29"/>
    </row>
    <row r="1276" spans="1:24" ht="19.5" hidden="1" customHeight="1" outlineLevel="1">
      <c r="A1276" s="23">
        <v>27</v>
      </c>
      <c r="B1276" s="24">
        <f>IF(13&lt;=DAY(DATE(YEAR(설정_코스수당!$K$2),MONTH(설정_코스수당!$K$2)+1,0)),DATE(YEAR(설정_코스수당!$K$2),MONTH(설정_코스수당!$K$2),13),"")</f>
        <v>46186</v>
      </c>
      <c r="C1276" s="25"/>
      <c r="D1276" s="23"/>
      <c r="E1276" s="23"/>
      <c r="F1276" s="26"/>
      <c r="G1276" s="23"/>
      <c r="H1276" s="23"/>
      <c r="I1276" s="23"/>
      <c r="J1276" s="27">
        <f>IF($O1276="방문완료",MAX(0,IFERROR(VLOOKUP($E1276,설정_코스수당!$A$6:$H$10,4,FALSE),0)-IF(OR($P1276="",$P1276="없음"),0,100000)),0)</f>
        <v>0</v>
      </c>
      <c r="K1276" s="27">
        <f t="array" ref="K1276">IF($O1276="방문완료",IFERROR(INDEX(설정_코스수당!$B$15:$F$64,MATCH($G1276,설정_코스수당!$A$15:$A$64,0),MATCH($E1276&amp;"수당",설정_코스수당!$B$14:$F$14,0)),0),0)</f>
        <v>0</v>
      </c>
      <c r="L1276" s="27">
        <f t="array" ref="L1276">IF($O1276="방문완료",IF($H1276="",0,IFERROR(INDEX(설정_코스수당!$B$15:$F$64,MATCH($H1276,설정_코스수당!$A$15:$A$64,0),MATCH($E1276&amp;"수당",설정_코스수당!$B$14:$F$14,0)),0)),0)</f>
        <v>0</v>
      </c>
      <c r="M1276" s="27">
        <f>IF($O1276="방문완료",IFERROR(VLOOKUP($E1276,설정_코스수당!$A$6:$H$10,6,FALSE),0),0)</f>
        <v>0</v>
      </c>
      <c r="N1276" s="28">
        <f t="shared" si="36"/>
        <v>0</v>
      </c>
      <c r="O1276" s="23"/>
      <c r="P1276" s="23"/>
      <c r="Q1276" s="23"/>
      <c r="R1276" s="26"/>
      <c r="S1276" s="23"/>
    </row>
    <row r="1277" spans="1:24" ht="19.5" hidden="1" customHeight="1" outlineLevel="1">
      <c r="A1277" s="29">
        <v>28</v>
      </c>
      <c r="B1277" s="30">
        <f>IF(13&lt;=DAY(DATE(YEAR(설정_코스수당!$K$2),MONTH(설정_코스수당!$K$2)+1,0)),DATE(YEAR(설정_코스수당!$K$2),MONTH(설정_코스수당!$K$2),13),"")</f>
        <v>46186</v>
      </c>
      <c r="C1277" s="31"/>
      <c r="D1277" s="29"/>
      <c r="E1277" s="29"/>
      <c r="F1277" s="32"/>
      <c r="G1277" s="29"/>
      <c r="H1277" s="29"/>
      <c r="I1277" s="29"/>
      <c r="J1277" s="33">
        <f>IF($O1277="방문완료",MAX(0,IFERROR(VLOOKUP($E1277,설정_코스수당!$A$6:$H$10,4,FALSE),0)-IF(OR($P1277="",$P1277="없음"),0,100000)),0)</f>
        <v>0</v>
      </c>
      <c r="K1277" s="33">
        <f t="array" ref="K1277">IF($O1277="방문완료",IFERROR(INDEX(설정_코스수당!$B$15:$F$64,MATCH($G1277,설정_코스수당!$A$15:$A$64,0),MATCH($E1277&amp;"수당",설정_코스수당!$B$14:$F$14,0)),0),0)</f>
        <v>0</v>
      </c>
      <c r="L1277" s="33">
        <f t="array" ref="L1277">IF($O1277="방문완료",IF($H1277="",0,IFERROR(INDEX(설정_코스수당!$B$15:$F$64,MATCH($H1277,설정_코스수당!$A$15:$A$64,0),MATCH($E1277&amp;"수당",설정_코스수당!$B$14:$F$14,0)),0)),0)</f>
        <v>0</v>
      </c>
      <c r="M1277" s="33">
        <f>IF($O1277="방문완료",IFERROR(VLOOKUP($E1277,설정_코스수당!$A$6:$H$10,6,FALSE),0),0)</f>
        <v>0</v>
      </c>
      <c r="N1277" s="34">
        <f t="shared" si="36"/>
        <v>0</v>
      </c>
      <c r="O1277" s="29"/>
      <c r="P1277" s="29"/>
      <c r="Q1277" s="29"/>
      <c r="R1277" s="32"/>
      <c r="S1277" s="29"/>
    </row>
    <row r="1278" spans="1:24" ht="19.5" hidden="1" customHeight="1" outlineLevel="1">
      <c r="A1278" s="23">
        <v>29</v>
      </c>
      <c r="B1278" s="24">
        <f>IF(13&lt;=DAY(DATE(YEAR(설정_코스수당!$K$2),MONTH(설정_코스수당!$K$2)+1,0)),DATE(YEAR(설정_코스수당!$K$2),MONTH(설정_코스수당!$K$2),13),"")</f>
        <v>46186</v>
      </c>
      <c r="C1278" s="25"/>
      <c r="D1278" s="23"/>
      <c r="E1278" s="23"/>
      <c r="F1278" s="26"/>
      <c r="G1278" s="23"/>
      <c r="H1278" s="23"/>
      <c r="I1278" s="23"/>
      <c r="J1278" s="27">
        <f>IF($O1278="방문완료",MAX(0,IFERROR(VLOOKUP($E1278,설정_코스수당!$A$6:$H$10,4,FALSE),0)-IF(OR($P1278="",$P1278="없음"),0,100000)),0)</f>
        <v>0</v>
      </c>
      <c r="K1278" s="27">
        <f t="array" ref="K1278">IF($O1278="방문완료",IFERROR(INDEX(설정_코스수당!$B$15:$F$64,MATCH($G1278,설정_코스수당!$A$15:$A$64,0),MATCH($E1278&amp;"수당",설정_코스수당!$B$14:$F$14,0)),0),0)</f>
        <v>0</v>
      </c>
      <c r="L1278" s="27">
        <f t="array" ref="L1278">IF($O1278="방문완료",IF($H1278="",0,IFERROR(INDEX(설정_코스수당!$B$15:$F$64,MATCH($H1278,설정_코스수당!$A$15:$A$64,0),MATCH($E1278&amp;"수당",설정_코스수당!$B$14:$F$14,0)),0)),0)</f>
        <v>0</v>
      </c>
      <c r="M1278" s="27">
        <f>IF($O1278="방문완료",IFERROR(VLOOKUP($E1278,설정_코스수당!$A$6:$H$10,6,FALSE),0),0)</f>
        <v>0</v>
      </c>
      <c r="N1278" s="28">
        <f t="shared" si="36"/>
        <v>0</v>
      </c>
      <c r="O1278" s="23"/>
      <c r="P1278" s="23"/>
      <c r="Q1278" s="23"/>
      <c r="R1278" s="26"/>
      <c r="S1278" s="23"/>
    </row>
    <row r="1279" spans="1:24" ht="19.5" hidden="1" customHeight="1" outlineLevel="1">
      <c r="A1279" s="29">
        <v>30</v>
      </c>
      <c r="B1279" s="30">
        <f>IF(13&lt;=DAY(DATE(YEAR(설정_코스수당!$K$2),MONTH(설정_코스수당!$K$2)+1,0)),DATE(YEAR(설정_코스수당!$K$2),MONTH(설정_코스수당!$K$2),13),"")</f>
        <v>46186</v>
      </c>
      <c r="C1279" s="31"/>
      <c r="D1279" s="29"/>
      <c r="E1279" s="29"/>
      <c r="F1279" s="32"/>
      <c r="G1279" s="29"/>
      <c r="H1279" s="29"/>
      <c r="I1279" s="29"/>
      <c r="J1279" s="33">
        <f>IF($O1279="방문완료",MAX(0,IFERROR(VLOOKUP($E1279,설정_코스수당!$A$6:$H$10,4,FALSE),0)-IF(OR($P1279="",$P1279="없음"),0,100000)),0)</f>
        <v>0</v>
      </c>
      <c r="K1279" s="33">
        <f t="array" ref="K1279">IF($O1279="방문완료",IFERROR(INDEX(설정_코스수당!$B$15:$F$64,MATCH($G1279,설정_코스수당!$A$15:$A$64,0),MATCH($E1279&amp;"수당",설정_코스수당!$B$14:$F$14,0)),0),0)</f>
        <v>0</v>
      </c>
      <c r="L1279" s="33">
        <f t="array" ref="L1279">IF($O1279="방문완료",IF($H1279="",0,IFERROR(INDEX(설정_코스수당!$B$15:$F$64,MATCH($H1279,설정_코스수당!$A$15:$A$64,0),MATCH($E1279&amp;"수당",설정_코스수당!$B$14:$F$14,0)),0)),0)</f>
        <v>0</v>
      </c>
      <c r="M1279" s="33">
        <f>IF($O1279="방문완료",IFERROR(VLOOKUP($E1279,설정_코스수당!$A$6:$H$10,6,FALSE),0),0)</f>
        <v>0</v>
      </c>
      <c r="N1279" s="34">
        <f t="shared" si="36"/>
        <v>0</v>
      </c>
      <c r="O1279" s="29"/>
      <c r="P1279" s="29"/>
      <c r="Q1279" s="29"/>
      <c r="R1279" s="32"/>
      <c r="S1279" s="29"/>
    </row>
    <row r="1280" spans="1:24" ht="19.5" hidden="1" customHeight="1" outlineLevel="1">
      <c r="A1280" s="23">
        <v>31</v>
      </c>
      <c r="B1280" s="24">
        <f>IF(13&lt;=DAY(DATE(YEAR(설정_코스수당!$K$2),MONTH(설정_코스수당!$K$2)+1,0)),DATE(YEAR(설정_코스수당!$K$2),MONTH(설정_코스수당!$K$2),13),"")</f>
        <v>46186</v>
      </c>
      <c r="C1280" s="25"/>
      <c r="D1280" s="23"/>
      <c r="E1280" s="23"/>
      <c r="F1280" s="26"/>
      <c r="G1280" s="23"/>
      <c r="H1280" s="23"/>
      <c r="I1280" s="23"/>
      <c r="J1280" s="27">
        <f>IF($O1280="방문완료",MAX(0,IFERROR(VLOOKUP($E1280,설정_코스수당!$A$6:$H$10,4,FALSE),0)-IF(OR($P1280="",$P1280="없음"),0,100000)),0)</f>
        <v>0</v>
      </c>
      <c r="K1280" s="27">
        <f t="array" ref="K1280">IF($O1280="방문완료",IFERROR(INDEX(설정_코스수당!$B$15:$F$64,MATCH($G1280,설정_코스수당!$A$15:$A$64,0),MATCH($E1280&amp;"수당",설정_코스수당!$B$14:$F$14,0)),0),0)</f>
        <v>0</v>
      </c>
      <c r="L1280" s="27">
        <f t="array" ref="L1280">IF($O1280="방문완료",IF($H1280="",0,IFERROR(INDEX(설정_코스수당!$B$15:$F$64,MATCH($H1280,설정_코스수당!$A$15:$A$64,0),MATCH($E1280&amp;"수당",설정_코스수당!$B$14:$F$14,0)),0)),0)</f>
        <v>0</v>
      </c>
      <c r="M1280" s="27">
        <f>IF($O1280="방문완료",IFERROR(VLOOKUP($E1280,설정_코스수당!$A$6:$H$10,6,FALSE),0),0)</f>
        <v>0</v>
      </c>
      <c r="N1280" s="28">
        <f t="shared" si="36"/>
        <v>0</v>
      </c>
      <c r="O1280" s="23"/>
      <c r="P1280" s="23"/>
      <c r="Q1280" s="23"/>
      <c r="R1280" s="26"/>
      <c r="S1280" s="23"/>
    </row>
    <row r="1281" spans="1:19" ht="19.5" hidden="1" customHeight="1" outlineLevel="1">
      <c r="A1281" s="29">
        <v>32</v>
      </c>
      <c r="B1281" s="30">
        <f>IF(13&lt;=DAY(DATE(YEAR(설정_코스수당!$K$2),MONTH(설정_코스수당!$K$2)+1,0)),DATE(YEAR(설정_코스수당!$K$2),MONTH(설정_코스수당!$K$2),13),"")</f>
        <v>46186</v>
      </c>
      <c r="C1281" s="31"/>
      <c r="D1281" s="29"/>
      <c r="E1281" s="29"/>
      <c r="F1281" s="32"/>
      <c r="G1281" s="29"/>
      <c r="H1281" s="29"/>
      <c r="I1281" s="29"/>
      <c r="J1281" s="33">
        <f>IF($O1281="방문완료",MAX(0,IFERROR(VLOOKUP($E1281,설정_코스수당!$A$6:$H$10,4,FALSE),0)-IF(OR($P1281="",$P1281="없음"),0,100000)),0)</f>
        <v>0</v>
      </c>
      <c r="K1281" s="33">
        <f t="array" ref="K1281">IF($O1281="방문완료",IFERROR(INDEX(설정_코스수당!$B$15:$F$64,MATCH($G1281,설정_코스수당!$A$15:$A$64,0),MATCH($E1281&amp;"수당",설정_코스수당!$B$14:$F$14,0)),0),0)</f>
        <v>0</v>
      </c>
      <c r="L1281" s="33">
        <f t="array" ref="L1281">IF($O1281="방문완료",IF($H1281="",0,IFERROR(INDEX(설정_코스수당!$B$15:$F$64,MATCH($H1281,설정_코스수당!$A$15:$A$64,0),MATCH($E1281&amp;"수당",설정_코스수당!$B$14:$F$14,0)),0)),0)</f>
        <v>0</v>
      </c>
      <c r="M1281" s="33">
        <f>IF($O1281="방문완료",IFERROR(VLOOKUP($E1281,설정_코스수당!$A$6:$H$10,6,FALSE),0),0)</f>
        <v>0</v>
      </c>
      <c r="N1281" s="34">
        <f t="shared" si="36"/>
        <v>0</v>
      </c>
      <c r="O1281" s="29"/>
      <c r="P1281" s="29"/>
      <c r="Q1281" s="29"/>
      <c r="R1281" s="32"/>
      <c r="S1281" s="29"/>
    </row>
    <row r="1282" spans="1:19" ht="19.5" hidden="1" customHeight="1" outlineLevel="1">
      <c r="A1282" s="23">
        <v>33</v>
      </c>
      <c r="B1282" s="24">
        <f>IF(13&lt;=DAY(DATE(YEAR(설정_코스수당!$K$2),MONTH(설정_코스수당!$K$2)+1,0)),DATE(YEAR(설정_코스수당!$K$2),MONTH(설정_코스수당!$K$2),13),"")</f>
        <v>46186</v>
      </c>
      <c r="C1282" s="25"/>
      <c r="D1282" s="23"/>
      <c r="E1282" s="23"/>
      <c r="F1282" s="26"/>
      <c r="G1282" s="23"/>
      <c r="H1282" s="23"/>
      <c r="I1282" s="23"/>
      <c r="J1282" s="27">
        <f>IF($O1282="방문완료",MAX(0,IFERROR(VLOOKUP($E1282,설정_코스수당!$A$6:$H$10,4,FALSE),0)-IF(OR($P1282="",$P1282="없음"),0,100000)),0)</f>
        <v>0</v>
      </c>
      <c r="K1282" s="27">
        <f t="array" ref="K1282">IF($O1282="방문완료",IFERROR(INDEX(설정_코스수당!$B$15:$F$64,MATCH($G1282,설정_코스수당!$A$15:$A$64,0),MATCH($E1282&amp;"수당",설정_코스수당!$B$14:$F$14,0)),0),0)</f>
        <v>0</v>
      </c>
      <c r="L1282" s="27">
        <f t="array" ref="L1282">IF($O1282="방문완료",IF($H1282="",0,IFERROR(INDEX(설정_코스수당!$B$15:$F$64,MATCH($H1282,설정_코스수당!$A$15:$A$64,0),MATCH($E1282&amp;"수당",설정_코스수당!$B$14:$F$14,0)),0)),0)</f>
        <v>0</v>
      </c>
      <c r="M1282" s="27">
        <f>IF($O1282="방문완료",IFERROR(VLOOKUP($E1282,설정_코스수당!$A$6:$H$10,6,FALSE),0),0)</f>
        <v>0</v>
      </c>
      <c r="N1282" s="28">
        <f t="shared" ref="N1282:N1313" si="37">IF($O1282="방문완료",1,0)</f>
        <v>0</v>
      </c>
      <c r="O1282" s="23"/>
      <c r="P1282" s="23"/>
      <c r="Q1282" s="23"/>
      <c r="R1282" s="26"/>
      <c r="S1282" s="23"/>
    </row>
    <row r="1283" spans="1:19" ht="19.5" hidden="1" customHeight="1" outlineLevel="1">
      <c r="A1283" s="29">
        <v>34</v>
      </c>
      <c r="B1283" s="30">
        <f>IF(13&lt;=DAY(DATE(YEAR(설정_코스수당!$K$2),MONTH(설정_코스수당!$K$2)+1,0)),DATE(YEAR(설정_코스수당!$K$2),MONTH(설정_코스수당!$K$2),13),"")</f>
        <v>46186</v>
      </c>
      <c r="C1283" s="31"/>
      <c r="D1283" s="29"/>
      <c r="E1283" s="29"/>
      <c r="F1283" s="32"/>
      <c r="G1283" s="29"/>
      <c r="H1283" s="29"/>
      <c r="I1283" s="29"/>
      <c r="J1283" s="33">
        <f>IF($O1283="방문완료",MAX(0,IFERROR(VLOOKUP($E1283,설정_코스수당!$A$6:$H$10,4,FALSE),0)-IF(OR($P1283="",$P1283="없음"),0,100000)),0)</f>
        <v>0</v>
      </c>
      <c r="K1283" s="33">
        <f t="array" ref="K1283">IF($O1283="방문완료",IFERROR(INDEX(설정_코스수당!$B$15:$F$64,MATCH($G1283,설정_코스수당!$A$15:$A$64,0),MATCH($E1283&amp;"수당",설정_코스수당!$B$14:$F$14,0)),0),0)</f>
        <v>0</v>
      </c>
      <c r="L1283" s="33">
        <f t="array" ref="L1283">IF($O1283="방문완료",IF($H1283="",0,IFERROR(INDEX(설정_코스수당!$B$15:$F$64,MATCH($H1283,설정_코스수당!$A$15:$A$64,0),MATCH($E1283&amp;"수당",설정_코스수당!$B$14:$F$14,0)),0)),0)</f>
        <v>0</v>
      </c>
      <c r="M1283" s="33">
        <f>IF($O1283="방문완료",IFERROR(VLOOKUP($E1283,설정_코스수당!$A$6:$H$10,6,FALSE),0),0)</f>
        <v>0</v>
      </c>
      <c r="N1283" s="34">
        <f t="shared" si="37"/>
        <v>0</v>
      </c>
      <c r="O1283" s="29"/>
      <c r="P1283" s="29"/>
      <c r="Q1283" s="29"/>
      <c r="R1283" s="32"/>
      <c r="S1283" s="29"/>
    </row>
    <row r="1284" spans="1:19" ht="19.5" hidden="1" customHeight="1" outlineLevel="1">
      <c r="A1284" s="23">
        <v>35</v>
      </c>
      <c r="B1284" s="24">
        <f>IF(13&lt;=DAY(DATE(YEAR(설정_코스수당!$K$2),MONTH(설정_코스수당!$K$2)+1,0)),DATE(YEAR(설정_코스수당!$K$2),MONTH(설정_코스수당!$K$2),13),"")</f>
        <v>46186</v>
      </c>
      <c r="C1284" s="25"/>
      <c r="D1284" s="23"/>
      <c r="E1284" s="23"/>
      <c r="F1284" s="26"/>
      <c r="G1284" s="23"/>
      <c r="H1284" s="23"/>
      <c r="I1284" s="23"/>
      <c r="J1284" s="27">
        <f>IF($O1284="방문완료",MAX(0,IFERROR(VLOOKUP($E1284,설정_코스수당!$A$6:$H$10,4,FALSE),0)-IF(OR($P1284="",$P1284="없음"),0,100000)),0)</f>
        <v>0</v>
      </c>
      <c r="K1284" s="27">
        <f t="array" ref="K1284">IF($O1284="방문완료",IFERROR(INDEX(설정_코스수당!$B$15:$F$64,MATCH($G1284,설정_코스수당!$A$15:$A$64,0),MATCH($E1284&amp;"수당",설정_코스수당!$B$14:$F$14,0)),0),0)</f>
        <v>0</v>
      </c>
      <c r="L1284" s="27">
        <f t="array" ref="L1284">IF($O1284="방문완료",IF($H1284="",0,IFERROR(INDEX(설정_코스수당!$B$15:$F$64,MATCH($H1284,설정_코스수당!$A$15:$A$64,0),MATCH($E1284&amp;"수당",설정_코스수당!$B$14:$F$14,0)),0)),0)</f>
        <v>0</v>
      </c>
      <c r="M1284" s="27">
        <f>IF($O1284="방문완료",IFERROR(VLOOKUP($E1284,설정_코스수당!$A$6:$H$10,6,FALSE),0),0)</f>
        <v>0</v>
      </c>
      <c r="N1284" s="28">
        <f t="shared" si="37"/>
        <v>0</v>
      </c>
      <c r="O1284" s="23"/>
      <c r="P1284" s="23"/>
      <c r="Q1284" s="23"/>
      <c r="R1284" s="26"/>
      <c r="S1284" s="23"/>
    </row>
    <row r="1285" spans="1:19" ht="19.5" hidden="1" customHeight="1" outlineLevel="1">
      <c r="A1285" s="29">
        <v>36</v>
      </c>
      <c r="B1285" s="30">
        <f>IF(13&lt;=DAY(DATE(YEAR(설정_코스수당!$K$2),MONTH(설정_코스수당!$K$2)+1,0)),DATE(YEAR(설정_코스수당!$K$2),MONTH(설정_코스수당!$K$2),13),"")</f>
        <v>46186</v>
      </c>
      <c r="C1285" s="31"/>
      <c r="D1285" s="29"/>
      <c r="E1285" s="29"/>
      <c r="F1285" s="32"/>
      <c r="G1285" s="29"/>
      <c r="H1285" s="29"/>
      <c r="I1285" s="29"/>
      <c r="J1285" s="33">
        <f>IF($O1285="방문완료",MAX(0,IFERROR(VLOOKUP($E1285,설정_코스수당!$A$6:$H$10,4,FALSE),0)-IF(OR($P1285="",$P1285="없음"),0,100000)),0)</f>
        <v>0</v>
      </c>
      <c r="K1285" s="33">
        <f t="array" ref="K1285">IF($O1285="방문완료",IFERROR(INDEX(설정_코스수당!$B$15:$F$64,MATCH($G1285,설정_코스수당!$A$15:$A$64,0),MATCH($E1285&amp;"수당",설정_코스수당!$B$14:$F$14,0)),0),0)</f>
        <v>0</v>
      </c>
      <c r="L1285" s="33">
        <f t="array" ref="L1285">IF($O1285="방문완료",IF($H1285="",0,IFERROR(INDEX(설정_코스수당!$B$15:$F$64,MATCH($H1285,설정_코스수당!$A$15:$A$64,0),MATCH($E1285&amp;"수당",설정_코스수당!$B$14:$F$14,0)),0)),0)</f>
        <v>0</v>
      </c>
      <c r="M1285" s="33">
        <f>IF($O1285="방문완료",IFERROR(VLOOKUP($E1285,설정_코스수당!$A$6:$H$10,6,FALSE),0),0)</f>
        <v>0</v>
      </c>
      <c r="N1285" s="34">
        <f t="shared" si="37"/>
        <v>0</v>
      </c>
      <c r="O1285" s="29"/>
      <c r="P1285" s="29"/>
      <c r="Q1285" s="29"/>
      <c r="R1285" s="32"/>
      <c r="S1285" s="29"/>
    </row>
    <row r="1286" spans="1:19" ht="19.5" hidden="1" customHeight="1" outlineLevel="1">
      <c r="A1286" s="23">
        <v>37</v>
      </c>
      <c r="B1286" s="24">
        <f>IF(13&lt;=DAY(DATE(YEAR(설정_코스수당!$K$2),MONTH(설정_코스수당!$K$2)+1,0)),DATE(YEAR(설정_코스수당!$K$2),MONTH(설정_코스수당!$K$2),13),"")</f>
        <v>46186</v>
      </c>
      <c r="C1286" s="25"/>
      <c r="D1286" s="23"/>
      <c r="E1286" s="23"/>
      <c r="F1286" s="26"/>
      <c r="G1286" s="23"/>
      <c r="H1286" s="23"/>
      <c r="I1286" s="23"/>
      <c r="J1286" s="27">
        <f>IF($O1286="방문완료",MAX(0,IFERROR(VLOOKUP($E1286,설정_코스수당!$A$6:$H$10,4,FALSE),0)-IF(OR($P1286="",$P1286="없음"),0,100000)),0)</f>
        <v>0</v>
      </c>
      <c r="K1286" s="27">
        <f t="array" ref="K1286">IF($O1286="방문완료",IFERROR(INDEX(설정_코스수당!$B$15:$F$64,MATCH($G1286,설정_코스수당!$A$15:$A$64,0),MATCH($E1286&amp;"수당",설정_코스수당!$B$14:$F$14,0)),0),0)</f>
        <v>0</v>
      </c>
      <c r="L1286" s="27">
        <f t="array" ref="L1286">IF($O1286="방문완료",IF($H1286="",0,IFERROR(INDEX(설정_코스수당!$B$15:$F$64,MATCH($H1286,설정_코스수당!$A$15:$A$64,0),MATCH($E1286&amp;"수당",설정_코스수당!$B$14:$F$14,0)),0)),0)</f>
        <v>0</v>
      </c>
      <c r="M1286" s="27">
        <f>IF($O1286="방문완료",IFERROR(VLOOKUP($E1286,설정_코스수당!$A$6:$H$10,6,FALSE),0),0)</f>
        <v>0</v>
      </c>
      <c r="N1286" s="28">
        <f t="shared" si="37"/>
        <v>0</v>
      </c>
      <c r="O1286" s="23"/>
      <c r="P1286" s="23"/>
      <c r="Q1286" s="23"/>
      <c r="R1286" s="26"/>
      <c r="S1286" s="23"/>
    </row>
    <row r="1287" spans="1:19" ht="19.5" hidden="1" customHeight="1" outlineLevel="1">
      <c r="A1287" s="29">
        <v>38</v>
      </c>
      <c r="B1287" s="30">
        <f>IF(13&lt;=DAY(DATE(YEAR(설정_코스수당!$K$2),MONTH(설정_코스수당!$K$2)+1,0)),DATE(YEAR(설정_코스수당!$K$2),MONTH(설정_코스수당!$K$2),13),"")</f>
        <v>46186</v>
      </c>
      <c r="C1287" s="31"/>
      <c r="D1287" s="29"/>
      <c r="E1287" s="29"/>
      <c r="F1287" s="32"/>
      <c r="G1287" s="29"/>
      <c r="H1287" s="29"/>
      <c r="I1287" s="29"/>
      <c r="J1287" s="33">
        <f>IF($O1287="방문완료",MAX(0,IFERROR(VLOOKUP($E1287,설정_코스수당!$A$6:$H$10,4,FALSE),0)-IF(OR($P1287="",$P1287="없음"),0,100000)),0)</f>
        <v>0</v>
      </c>
      <c r="K1287" s="33">
        <f t="array" ref="K1287">IF($O1287="방문완료",IFERROR(INDEX(설정_코스수당!$B$15:$F$64,MATCH($G1287,설정_코스수당!$A$15:$A$64,0),MATCH($E1287&amp;"수당",설정_코스수당!$B$14:$F$14,0)),0),0)</f>
        <v>0</v>
      </c>
      <c r="L1287" s="33">
        <f t="array" ref="L1287">IF($O1287="방문완료",IF($H1287="",0,IFERROR(INDEX(설정_코스수당!$B$15:$F$64,MATCH($H1287,설정_코스수당!$A$15:$A$64,0),MATCH($E1287&amp;"수당",설정_코스수당!$B$14:$F$14,0)),0)),0)</f>
        <v>0</v>
      </c>
      <c r="M1287" s="33">
        <f>IF($O1287="방문완료",IFERROR(VLOOKUP($E1287,설정_코스수당!$A$6:$H$10,6,FALSE),0),0)</f>
        <v>0</v>
      </c>
      <c r="N1287" s="34">
        <f t="shared" si="37"/>
        <v>0</v>
      </c>
      <c r="O1287" s="29"/>
      <c r="P1287" s="29"/>
      <c r="Q1287" s="29"/>
      <c r="R1287" s="32"/>
      <c r="S1287" s="29"/>
    </row>
    <row r="1288" spans="1:19" ht="19.5" hidden="1" customHeight="1" outlineLevel="1">
      <c r="A1288" s="23">
        <v>39</v>
      </c>
      <c r="B1288" s="24">
        <f>IF(13&lt;=DAY(DATE(YEAR(설정_코스수당!$K$2),MONTH(설정_코스수당!$K$2)+1,0)),DATE(YEAR(설정_코스수당!$K$2),MONTH(설정_코스수당!$K$2),13),"")</f>
        <v>46186</v>
      </c>
      <c r="C1288" s="25"/>
      <c r="D1288" s="23"/>
      <c r="E1288" s="23"/>
      <c r="F1288" s="26"/>
      <c r="G1288" s="23"/>
      <c r="H1288" s="23"/>
      <c r="I1288" s="23"/>
      <c r="J1288" s="27">
        <f>IF($O1288="방문완료",MAX(0,IFERROR(VLOOKUP($E1288,설정_코스수당!$A$6:$H$10,4,FALSE),0)-IF(OR($P1288="",$P1288="없음"),0,100000)),0)</f>
        <v>0</v>
      </c>
      <c r="K1288" s="27">
        <f t="array" ref="K1288">IF($O1288="방문완료",IFERROR(INDEX(설정_코스수당!$B$15:$F$64,MATCH($G1288,설정_코스수당!$A$15:$A$64,0),MATCH($E1288&amp;"수당",설정_코스수당!$B$14:$F$14,0)),0),0)</f>
        <v>0</v>
      </c>
      <c r="L1288" s="27">
        <f t="array" ref="L1288">IF($O1288="방문완료",IF($H1288="",0,IFERROR(INDEX(설정_코스수당!$B$15:$F$64,MATCH($H1288,설정_코스수당!$A$15:$A$64,0),MATCH($E1288&amp;"수당",설정_코스수당!$B$14:$F$14,0)),0)),0)</f>
        <v>0</v>
      </c>
      <c r="M1288" s="27">
        <f>IF($O1288="방문완료",IFERROR(VLOOKUP($E1288,설정_코스수당!$A$6:$H$10,6,FALSE),0),0)</f>
        <v>0</v>
      </c>
      <c r="N1288" s="28">
        <f t="shared" si="37"/>
        <v>0</v>
      </c>
      <c r="O1288" s="23"/>
      <c r="P1288" s="23"/>
      <c r="Q1288" s="23"/>
      <c r="R1288" s="26"/>
      <c r="S1288" s="23"/>
    </row>
    <row r="1289" spans="1:19" ht="19.5" hidden="1" customHeight="1" outlineLevel="1">
      <c r="A1289" s="29">
        <v>40</v>
      </c>
      <c r="B1289" s="30">
        <f>IF(13&lt;=DAY(DATE(YEAR(설정_코스수당!$K$2),MONTH(설정_코스수당!$K$2)+1,0)),DATE(YEAR(설정_코스수당!$K$2),MONTH(설정_코스수당!$K$2),13),"")</f>
        <v>46186</v>
      </c>
      <c r="C1289" s="31"/>
      <c r="D1289" s="29"/>
      <c r="E1289" s="29"/>
      <c r="F1289" s="32"/>
      <c r="G1289" s="29"/>
      <c r="H1289" s="29"/>
      <c r="I1289" s="29"/>
      <c r="J1289" s="33">
        <f>IF($O1289="방문완료",MAX(0,IFERROR(VLOOKUP($E1289,설정_코스수당!$A$6:$H$10,4,FALSE),0)-IF(OR($P1289="",$P1289="없음"),0,100000)),0)</f>
        <v>0</v>
      </c>
      <c r="K1289" s="33">
        <f t="array" ref="K1289">IF($O1289="방문완료",IFERROR(INDEX(설정_코스수당!$B$15:$F$64,MATCH($G1289,설정_코스수당!$A$15:$A$64,0),MATCH($E1289&amp;"수당",설정_코스수당!$B$14:$F$14,0)),0),0)</f>
        <v>0</v>
      </c>
      <c r="L1289" s="33">
        <f t="array" ref="L1289">IF($O1289="방문완료",IF($H1289="",0,IFERROR(INDEX(설정_코스수당!$B$15:$F$64,MATCH($H1289,설정_코스수당!$A$15:$A$64,0),MATCH($E1289&amp;"수당",설정_코스수당!$B$14:$F$14,0)),0)),0)</f>
        <v>0</v>
      </c>
      <c r="M1289" s="33">
        <f>IF($O1289="방문완료",IFERROR(VLOOKUP($E1289,설정_코스수당!$A$6:$H$10,6,FALSE),0),0)</f>
        <v>0</v>
      </c>
      <c r="N1289" s="34">
        <f t="shared" si="37"/>
        <v>0</v>
      </c>
      <c r="O1289" s="29"/>
      <c r="P1289" s="29"/>
      <c r="Q1289" s="29"/>
      <c r="R1289" s="32"/>
      <c r="S1289" s="29"/>
    </row>
    <row r="1290" spans="1:19" ht="19.5" hidden="1" customHeight="1" outlineLevel="1">
      <c r="A1290" s="23">
        <v>41</v>
      </c>
      <c r="B1290" s="24">
        <f>IF(13&lt;=DAY(DATE(YEAR(설정_코스수당!$K$2),MONTH(설정_코스수당!$K$2)+1,0)),DATE(YEAR(설정_코스수당!$K$2),MONTH(설정_코스수당!$K$2),13),"")</f>
        <v>46186</v>
      </c>
      <c r="C1290" s="25"/>
      <c r="D1290" s="23"/>
      <c r="E1290" s="23"/>
      <c r="F1290" s="26"/>
      <c r="G1290" s="23"/>
      <c r="H1290" s="23"/>
      <c r="I1290" s="23"/>
      <c r="J1290" s="27">
        <f>IF($O1290="방문완료",MAX(0,IFERROR(VLOOKUP($E1290,설정_코스수당!$A$6:$H$10,4,FALSE),0)-IF(OR($P1290="",$P1290="없음"),0,100000)),0)</f>
        <v>0</v>
      </c>
      <c r="K1290" s="27">
        <f t="array" ref="K1290">IF($O1290="방문완료",IFERROR(INDEX(설정_코스수당!$B$15:$F$64,MATCH($G1290,설정_코스수당!$A$15:$A$64,0),MATCH($E1290&amp;"수당",설정_코스수당!$B$14:$F$14,0)),0),0)</f>
        <v>0</v>
      </c>
      <c r="L1290" s="27">
        <f t="array" ref="L1290">IF($O1290="방문완료",IF($H1290="",0,IFERROR(INDEX(설정_코스수당!$B$15:$F$64,MATCH($H1290,설정_코스수당!$A$15:$A$64,0),MATCH($E1290&amp;"수당",설정_코스수당!$B$14:$F$14,0)),0)),0)</f>
        <v>0</v>
      </c>
      <c r="M1290" s="27">
        <f>IF($O1290="방문완료",IFERROR(VLOOKUP($E1290,설정_코스수당!$A$6:$H$10,6,FALSE),0),0)</f>
        <v>0</v>
      </c>
      <c r="N1290" s="28">
        <f t="shared" si="37"/>
        <v>0</v>
      </c>
      <c r="O1290" s="23"/>
      <c r="P1290" s="23"/>
      <c r="Q1290" s="23"/>
      <c r="R1290" s="26"/>
      <c r="S1290" s="23"/>
    </row>
    <row r="1291" spans="1:19" ht="19.5" hidden="1" customHeight="1" outlineLevel="1">
      <c r="A1291" s="29">
        <v>42</v>
      </c>
      <c r="B1291" s="30">
        <f>IF(13&lt;=DAY(DATE(YEAR(설정_코스수당!$K$2),MONTH(설정_코스수당!$K$2)+1,0)),DATE(YEAR(설정_코스수당!$K$2),MONTH(설정_코스수당!$K$2),13),"")</f>
        <v>46186</v>
      </c>
      <c r="C1291" s="31"/>
      <c r="D1291" s="29"/>
      <c r="E1291" s="29"/>
      <c r="F1291" s="32"/>
      <c r="G1291" s="29"/>
      <c r="H1291" s="29"/>
      <c r="I1291" s="29"/>
      <c r="J1291" s="33">
        <f>IF($O1291="방문완료",MAX(0,IFERROR(VLOOKUP($E1291,설정_코스수당!$A$6:$H$10,4,FALSE),0)-IF(OR($P1291="",$P1291="없음"),0,100000)),0)</f>
        <v>0</v>
      </c>
      <c r="K1291" s="33">
        <f t="array" ref="K1291">IF($O1291="방문완료",IFERROR(INDEX(설정_코스수당!$B$15:$F$64,MATCH($G1291,설정_코스수당!$A$15:$A$64,0),MATCH($E1291&amp;"수당",설정_코스수당!$B$14:$F$14,0)),0),0)</f>
        <v>0</v>
      </c>
      <c r="L1291" s="33">
        <f t="array" ref="L1291">IF($O1291="방문완료",IF($H1291="",0,IFERROR(INDEX(설정_코스수당!$B$15:$F$64,MATCH($H1291,설정_코스수당!$A$15:$A$64,0),MATCH($E1291&amp;"수당",설정_코스수당!$B$14:$F$14,0)),0)),0)</f>
        <v>0</v>
      </c>
      <c r="M1291" s="33">
        <f>IF($O1291="방문완료",IFERROR(VLOOKUP($E1291,설정_코스수당!$A$6:$H$10,6,FALSE),0),0)</f>
        <v>0</v>
      </c>
      <c r="N1291" s="34">
        <f t="shared" si="37"/>
        <v>0</v>
      </c>
      <c r="O1291" s="29"/>
      <c r="P1291" s="29"/>
      <c r="Q1291" s="29"/>
      <c r="R1291" s="32"/>
      <c r="S1291" s="29"/>
    </row>
    <row r="1292" spans="1:19" ht="19.5" hidden="1" customHeight="1" outlineLevel="1">
      <c r="A1292" s="23">
        <v>43</v>
      </c>
      <c r="B1292" s="24">
        <f>IF(13&lt;=DAY(DATE(YEAR(설정_코스수당!$K$2),MONTH(설정_코스수당!$K$2)+1,0)),DATE(YEAR(설정_코스수당!$K$2),MONTH(설정_코스수당!$K$2),13),"")</f>
        <v>46186</v>
      </c>
      <c r="C1292" s="25"/>
      <c r="D1292" s="23"/>
      <c r="E1292" s="23"/>
      <c r="F1292" s="26"/>
      <c r="G1292" s="23"/>
      <c r="H1292" s="23"/>
      <c r="I1292" s="23"/>
      <c r="J1292" s="27">
        <f>IF($O1292="방문완료",MAX(0,IFERROR(VLOOKUP($E1292,설정_코스수당!$A$6:$H$10,4,FALSE),0)-IF(OR($P1292="",$P1292="없음"),0,100000)),0)</f>
        <v>0</v>
      </c>
      <c r="K1292" s="27">
        <f t="array" ref="K1292">IF($O1292="방문완료",IFERROR(INDEX(설정_코스수당!$B$15:$F$64,MATCH($G1292,설정_코스수당!$A$15:$A$64,0),MATCH($E1292&amp;"수당",설정_코스수당!$B$14:$F$14,0)),0),0)</f>
        <v>0</v>
      </c>
      <c r="L1292" s="27">
        <f t="array" ref="L1292">IF($O1292="방문완료",IF($H1292="",0,IFERROR(INDEX(설정_코스수당!$B$15:$F$64,MATCH($H1292,설정_코스수당!$A$15:$A$64,0),MATCH($E1292&amp;"수당",설정_코스수당!$B$14:$F$14,0)),0)),0)</f>
        <v>0</v>
      </c>
      <c r="M1292" s="27">
        <f>IF($O1292="방문완료",IFERROR(VLOOKUP($E1292,설정_코스수당!$A$6:$H$10,6,FALSE),0),0)</f>
        <v>0</v>
      </c>
      <c r="N1292" s="28">
        <f t="shared" si="37"/>
        <v>0</v>
      </c>
      <c r="O1292" s="23"/>
      <c r="P1292" s="23"/>
      <c r="Q1292" s="23"/>
      <c r="R1292" s="26"/>
      <c r="S1292" s="23"/>
    </row>
    <row r="1293" spans="1:19" ht="19.5" hidden="1" customHeight="1" outlineLevel="1">
      <c r="A1293" s="29">
        <v>44</v>
      </c>
      <c r="B1293" s="30">
        <f>IF(13&lt;=DAY(DATE(YEAR(설정_코스수당!$K$2),MONTH(설정_코스수당!$K$2)+1,0)),DATE(YEAR(설정_코스수당!$K$2),MONTH(설정_코스수당!$K$2),13),"")</f>
        <v>46186</v>
      </c>
      <c r="C1293" s="31"/>
      <c r="D1293" s="29"/>
      <c r="E1293" s="29"/>
      <c r="F1293" s="32"/>
      <c r="G1293" s="29"/>
      <c r="H1293" s="29"/>
      <c r="I1293" s="29"/>
      <c r="J1293" s="33">
        <f>IF($O1293="방문완료",MAX(0,IFERROR(VLOOKUP($E1293,설정_코스수당!$A$6:$H$10,4,FALSE),0)-IF(OR($P1293="",$P1293="없음"),0,100000)),0)</f>
        <v>0</v>
      </c>
      <c r="K1293" s="33">
        <f t="array" ref="K1293">IF($O1293="방문완료",IFERROR(INDEX(설정_코스수당!$B$15:$F$64,MATCH($G1293,설정_코스수당!$A$15:$A$64,0),MATCH($E1293&amp;"수당",설정_코스수당!$B$14:$F$14,0)),0),0)</f>
        <v>0</v>
      </c>
      <c r="L1293" s="33">
        <f t="array" ref="L1293">IF($O1293="방문완료",IF($H1293="",0,IFERROR(INDEX(설정_코스수당!$B$15:$F$64,MATCH($H1293,설정_코스수당!$A$15:$A$64,0),MATCH($E1293&amp;"수당",설정_코스수당!$B$14:$F$14,0)),0)),0)</f>
        <v>0</v>
      </c>
      <c r="M1293" s="33">
        <f>IF($O1293="방문완료",IFERROR(VLOOKUP($E1293,설정_코스수당!$A$6:$H$10,6,FALSE),0),0)</f>
        <v>0</v>
      </c>
      <c r="N1293" s="34">
        <f t="shared" si="37"/>
        <v>0</v>
      </c>
      <c r="O1293" s="29"/>
      <c r="P1293" s="29"/>
      <c r="Q1293" s="29"/>
      <c r="R1293" s="32"/>
      <c r="S1293" s="29"/>
    </row>
    <row r="1294" spans="1:19" ht="19.5" hidden="1" customHeight="1" outlineLevel="1">
      <c r="A1294" s="23">
        <v>45</v>
      </c>
      <c r="B1294" s="24">
        <f>IF(13&lt;=DAY(DATE(YEAR(설정_코스수당!$K$2),MONTH(설정_코스수당!$K$2)+1,0)),DATE(YEAR(설정_코스수당!$K$2),MONTH(설정_코스수당!$K$2),13),"")</f>
        <v>46186</v>
      </c>
      <c r="C1294" s="25"/>
      <c r="D1294" s="23"/>
      <c r="E1294" s="23"/>
      <c r="F1294" s="26"/>
      <c r="G1294" s="23"/>
      <c r="H1294" s="23"/>
      <c r="I1294" s="23"/>
      <c r="J1294" s="27">
        <f>IF($O1294="방문완료",MAX(0,IFERROR(VLOOKUP($E1294,설정_코스수당!$A$6:$H$10,4,FALSE),0)-IF(OR($P1294="",$P1294="없음"),0,100000)),0)</f>
        <v>0</v>
      </c>
      <c r="K1294" s="27">
        <f t="array" ref="K1294">IF($O1294="방문완료",IFERROR(INDEX(설정_코스수당!$B$15:$F$64,MATCH($G1294,설정_코스수당!$A$15:$A$64,0),MATCH($E1294&amp;"수당",설정_코스수당!$B$14:$F$14,0)),0),0)</f>
        <v>0</v>
      </c>
      <c r="L1294" s="27">
        <f t="array" ref="L1294">IF($O1294="방문완료",IF($H1294="",0,IFERROR(INDEX(설정_코스수당!$B$15:$F$64,MATCH($H1294,설정_코스수당!$A$15:$A$64,0),MATCH($E1294&amp;"수당",설정_코스수당!$B$14:$F$14,0)),0)),0)</f>
        <v>0</v>
      </c>
      <c r="M1294" s="27">
        <f>IF($O1294="방문완료",IFERROR(VLOOKUP($E1294,설정_코스수당!$A$6:$H$10,6,FALSE),0),0)</f>
        <v>0</v>
      </c>
      <c r="N1294" s="28">
        <f t="shared" si="37"/>
        <v>0</v>
      </c>
      <c r="O1294" s="23"/>
      <c r="P1294" s="23"/>
      <c r="Q1294" s="23"/>
      <c r="R1294" s="26"/>
      <c r="S1294" s="23"/>
    </row>
    <row r="1295" spans="1:19" ht="19.5" hidden="1" customHeight="1" outlineLevel="1">
      <c r="A1295" s="29">
        <v>46</v>
      </c>
      <c r="B1295" s="30">
        <f>IF(13&lt;=DAY(DATE(YEAR(설정_코스수당!$K$2),MONTH(설정_코스수당!$K$2)+1,0)),DATE(YEAR(설정_코스수당!$K$2),MONTH(설정_코스수당!$K$2),13),"")</f>
        <v>46186</v>
      </c>
      <c r="C1295" s="31"/>
      <c r="D1295" s="29"/>
      <c r="E1295" s="29"/>
      <c r="F1295" s="32"/>
      <c r="G1295" s="29"/>
      <c r="H1295" s="29"/>
      <c r="I1295" s="29"/>
      <c r="J1295" s="33">
        <f>IF($O1295="방문완료",MAX(0,IFERROR(VLOOKUP($E1295,설정_코스수당!$A$6:$H$10,4,FALSE),0)-IF(OR($P1295="",$P1295="없음"),0,100000)),0)</f>
        <v>0</v>
      </c>
      <c r="K1295" s="33">
        <f t="array" ref="K1295">IF($O1295="방문완료",IFERROR(INDEX(설정_코스수당!$B$15:$F$64,MATCH($G1295,설정_코스수당!$A$15:$A$64,0),MATCH($E1295&amp;"수당",설정_코스수당!$B$14:$F$14,0)),0),0)</f>
        <v>0</v>
      </c>
      <c r="L1295" s="33">
        <f t="array" ref="L1295">IF($O1295="방문완료",IF($H1295="",0,IFERROR(INDEX(설정_코스수당!$B$15:$F$64,MATCH($H1295,설정_코스수당!$A$15:$A$64,0),MATCH($E1295&amp;"수당",설정_코스수당!$B$14:$F$14,0)),0)),0)</f>
        <v>0</v>
      </c>
      <c r="M1295" s="33">
        <f>IF($O1295="방문완료",IFERROR(VLOOKUP($E1295,설정_코스수당!$A$6:$H$10,6,FALSE),0),0)</f>
        <v>0</v>
      </c>
      <c r="N1295" s="34">
        <f t="shared" si="37"/>
        <v>0</v>
      </c>
      <c r="O1295" s="29"/>
      <c r="P1295" s="29"/>
      <c r="Q1295" s="29"/>
      <c r="R1295" s="32"/>
      <c r="S1295" s="29"/>
    </row>
    <row r="1296" spans="1:19" ht="19.5" hidden="1" customHeight="1" outlineLevel="1">
      <c r="A1296" s="23">
        <v>47</v>
      </c>
      <c r="B1296" s="24">
        <f>IF(13&lt;=DAY(DATE(YEAR(설정_코스수당!$K$2),MONTH(설정_코스수당!$K$2)+1,0)),DATE(YEAR(설정_코스수당!$K$2),MONTH(설정_코스수당!$K$2),13),"")</f>
        <v>46186</v>
      </c>
      <c r="C1296" s="25"/>
      <c r="D1296" s="23"/>
      <c r="E1296" s="23"/>
      <c r="F1296" s="26"/>
      <c r="G1296" s="23"/>
      <c r="H1296" s="23"/>
      <c r="I1296" s="23"/>
      <c r="J1296" s="27">
        <f>IF($O1296="방문완료",MAX(0,IFERROR(VLOOKUP($E1296,설정_코스수당!$A$6:$H$10,4,FALSE),0)-IF(OR($P1296="",$P1296="없음"),0,100000)),0)</f>
        <v>0</v>
      </c>
      <c r="K1296" s="27">
        <f t="array" ref="K1296">IF($O1296="방문완료",IFERROR(INDEX(설정_코스수당!$B$15:$F$64,MATCH($G1296,설정_코스수당!$A$15:$A$64,0),MATCH($E1296&amp;"수당",설정_코스수당!$B$14:$F$14,0)),0),0)</f>
        <v>0</v>
      </c>
      <c r="L1296" s="27">
        <f t="array" ref="L1296">IF($O1296="방문완료",IF($H1296="",0,IFERROR(INDEX(설정_코스수당!$B$15:$F$64,MATCH($H1296,설정_코스수당!$A$15:$A$64,0),MATCH($E1296&amp;"수당",설정_코스수당!$B$14:$F$14,0)),0)),0)</f>
        <v>0</v>
      </c>
      <c r="M1296" s="27">
        <f>IF($O1296="방문완료",IFERROR(VLOOKUP($E1296,설정_코스수당!$A$6:$H$10,6,FALSE),0),0)</f>
        <v>0</v>
      </c>
      <c r="N1296" s="28">
        <f t="shared" si="37"/>
        <v>0</v>
      </c>
      <c r="O1296" s="23"/>
      <c r="P1296" s="23"/>
      <c r="Q1296" s="23"/>
      <c r="R1296" s="26"/>
      <c r="S1296" s="23"/>
    </row>
    <row r="1297" spans="1:19" ht="19.5" hidden="1" customHeight="1" outlineLevel="1">
      <c r="A1297" s="29">
        <v>48</v>
      </c>
      <c r="B1297" s="30">
        <f>IF(13&lt;=DAY(DATE(YEAR(설정_코스수당!$K$2),MONTH(설정_코스수당!$K$2)+1,0)),DATE(YEAR(설정_코스수당!$K$2),MONTH(설정_코스수당!$K$2),13),"")</f>
        <v>46186</v>
      </c>
      <c r="C1297" s="31"/>
      <c r="D1297" s="29"/>
      <c r="E1297" s="29"/>
      <c r="F1297" s="32"/>
      <c r="G1297" s="29"/>
      <c r="H1297" s="29"/>
      <c r="I1297" s="29"/>
      <c r="J1297" s="33">
        <f>IF($O1297="방문완료",MAX(0,IFERROR(VLOOKUP($E1297,설정_코스수당!$A$6:$H$10,4,FALSE),0)-IF(OR($P1297="",$P1297="없음"),0,100000)),0)</f>
        <v>0</v>
      </c>
      <c r="K1297" s="33">
        <f t="array" ref="K1297">IF($O1297="방문완료",IFERROR(INDEX(설정_코스수당!$B$15:$F$64,MATCH($G1297,설정_코스수당!$A$15:$A$64,0),MATCH($E1297&amp;"수당",설정_코스수당!$B$14:$F$14,0)),0),0)</f>
        <v>0</v>
      </c>
      <c r="L1297" s="33">
        <f t="array" ref="L1297">IF($O1297="방문완료",IF($H1297="",0,IFERROR(INDEX(설정_코스수당!$B$15:$F$64,MATCH($H1297,설정_코스수당!$A$15:$A$64,0),MATCH($E1297&amp;"수당",설정_코스수당!$B$14:$F$14,0)),0)),0)</f>
        <v>0</v>
      </c>
      <c r="M1297" s="33">
        <f>IF($O1297="방문완료",IFERROR(VLOOKUP($E1297,설정_코스수당!$A$6:$H$10,6,FALSE),0),0)</f>
        <v>0</v>
      </c>
      <c r="N1297" s="34">
        <f t="shared" si="37"/>
        <v>0</v>
      </c>
      <c r="O1297" s="29"/>
      <c r="P1297" s="29"/>
      <c r="Q1297" s="29"/>
      <c r="R1297" s="32"/>
      <c r="S1297" s="29"/>
    </row>
    <row r="1298" spans="1:19" ht="19.5" hidden="1" customHeight="1" outlineLevel="1">
      <c r="A1298" s="23">
        <v>49</v>
      </c>
      <c r="B1298" s="24">
        <f>IF(13&lt;=DAY(DATE(YEAR(설정_코스수당!$K$2),MONTH(설정_코스수당!$K$2)+1,0)),DATE(YEAR(설정_코스수당!$K$2),MONTH(설정_코스수당!$K$2),13),"")</f>
        <v>46186</v>
      </c>
      <c r="C1298" s="25"/>
      <c r="D1298" s="23"/>
      <c r="E1298" s="23"/>
      <c r="F1298" s="26"/>
      <c r="G1298" s="23"/>
      <c r="H1298" s="23"/>
      <c r="I1298" s="23"/>
      <c r="J1298" s="27">
        <f>IF($O1298="방문완료",MAX(0,IFERROR(VLOOKUP($E1298,설정_코스수당!$A$6:$H$10,4,FALSE),0)-IF(OR($P1298="",$P1298="없음"),0,100000)),0)</f>
        <v>0</v>
      </c>
      <c r="K1298" s="27">
        <f t="array" ref="K1298">IF($O1298="방문완료",IFERROR(INDEX(설정_코스수당!$B$15:$F$64,MATCH($G1298,설정_코스수당!$A$15:$A$64,0),MATCH($E1298&amp;"수당",설정_코스수당!$B$14:$F$14,0)),0),0)</f>
        <v>0</v>
      </c>
      <c r="L1298" s="27">
        <f t="array" ref="L1298">IF($O1298="방문완료",IF($H1298="",0,IFERROR(INDEX(설정_코스수당!$B$15:$F$64,MATCH($H1298,설정_코스수당!$A$15:$A$64,0),MATCH($E1298&amp;"수당",설정_코스수당!$B$14:$F$14,0)),0)),0)</f>
        <v>0</v>
      </c>
      <c r="M1298" s="27">
        <f>IF($O1298="방문완료",IFERROR(VLOOKUP($E1298,설정_코스수당!$A$6:$H$10,6,FALSE),0),0)</f>
        <v>0</v>
      </c>
      <c r="N1298" s="28">
        <f t="shared" si="37"/>
        <v>0</v>
      </c>
      <c r="O1298" s="23"/>
      <c r="P1298" s="23"/>
      <c r="Q1298" s="23"/>
      <c r="R1298" s="26"/>
      <c r="S1298" s="23"/>
    </row>
    <row r="1299" spans="1:19" ht="19.5" hidden="1" customHeight="1" outlineLevel="1">
      <c r="A1299" s="29">
        <v>50</v>
      </c>
      <c r="B1299" s="30">
        <f>IF(13&lt;=DAY(DATE(YEAR(설정_코스수당!$K$2),MONTH(설정_코스수당!$K$2)+1,0)),DATE(YEAR(설정_코스수당!$K$2),MONTH(설정_코스수당!$K$2),13),"")</f>
        <v>46186</v>
      </c>
      <c r="C1299" s="31"/>
      <c r="D1299" s="29"/>
      <c r="E1299" s="29"/>
      <c r="F1299" s="32"/>
      <c r="G1299" s="29"/>
      <c r="H1299" s="29"/>
      <c r="I1299" s="29"/>
      <c r="J1299" s="33">
        <f>IF($O1299="방문완료",MAX(0,IFERROR(VLOOKUP($E1299,설정_코스수당!$A$6:$H$10,4,FALSE),0)-IF(OR($P1299="",$P1299="없음"),0,100000)),0)</f>
        <v>0</v>
      </c>
      <c r="K1299" s="33">
        <f t="array" ref="K1299">IF($O1299="방문완료",IFERROR(INDEX(설정_코스수당!$B$15:$F$64,MATCH($G1299,설정_코스수당!$A$15:$A$64,0),MATCH($E1299&amp;"수당",설정_코스수당!$B$14:$F$14,0)),0),0)</f>
        <v>0</v>
      </c>
      <c r="L1299" s="33">
        <f t="array" ref="L1299">IF($O1299="방문완료",IF($H1299="",0,IFERROR(INDEX(설정_코스수당!$B$15:$F$64,MATCH($H1299,설정_코스수당!$A$15:$A$64,0),MATCH($E1299&amp;"수당",설정_코스수당!$B$14:$F$14,0)),0)),0)</f>
        <v>0</v>
      </c>
      <c r="M1299" s="33">
        <f>IF($O1299="방문완료",IFERROR(VLOOKUP($E1299,설정_코스수당!$A$6:$H$10,6,FALSE),0),0)</f>
        <v>0</v>
      </c>
      <c r="N1299" s="34">
        <f t="shared" si="37"/>
        <v>0</v>
      </c>
      <c r="O1299" s="29"/>
      <c r="P1299" s="29"/>
      <c r="Q1299" s="29"/>
      <c r="R1299" s="32"/>
      <c r="S1299" s="29"/>
    </row>
    <row r="1300" spans="1:19" ht="19.5" hidden="1" customHeight="1" outlineLevel="1">
      <c r="A1300" s="23">
        <v>51</v>
      </c>
      <c r="B1300" s="24">
        <f>IF(13&lt;=DAY(DATE(YEAR(설정_코스수당!$K$2),MONTH(설정_코스수당!$K$2)+1,0)),DATE(YEAR(설정_코스수당!$K$2),MONTH(설정_코스수당!$K$2),13),"")</f>
        <v>46186</v>
      </c>
      <c r="C1300" s="25"/>
      <c r="D1300" s="23"/>
      <c r="E1300" s="23"/>
      <c r="F1300" s="26"/>
      <c r="G1300" s="23"/>
      <c r="H1300" s="23"/>
      <c r="I1300" s="23"/>
      <c r="J1300" s="27">
        <f>IF($O1300="방문완료",MAX(0,IFERROR(VLOOKUP($E1300,설정_코스수당!$A$6:$H$10,4,FALSE),0)-IF(OR($P1300="",$P1300="없음"),0,100000)),0)</f>
        <v>0</v>
      </c>
      <c r="K1300" s="27">
        <f t="array" ref="K1300">IF($O1300="방문완료",IFERROR(INDEX(설정_코스수당!$B$15:$F$64,MATCH($G1300,설정_코스수당!$A$15:$A$64,0),MATCH($E1300&amp;"수당",설정_코스수당!$B$14:$F$14,0)),0),0)</f>
        <v>0</v>
      </c>
      <c r="L1300" s="27">
        <f t="array" ref="L1300">IF($O1300="방문완료",IF($H1300="",0,IFERROR(INDEX(설정_코스수당!$B$15:$F$64,MATCH($H1300,설정_코스수당!$A$15:$A$64,0),MATCH($E1300&amp;"수당",설정_코스수당!$B$14:$F$14,0)),0)),0)</f>
        <v>0</v>
      </c>
      <c r="M1300" s="27">
        <f>IF($O1300="방문완료",IFERROR(VLOOKUP($E1300,설정_코스수당!$A$6:$H$10,6,FALSE),0),0)</f>
        <v>0</v>
      </c>
      <c r="N1300" s="28">
        <f t="shared" si="37"/>
        <v>0</v>
      </c>
      <c r="O1300" s="23"/>
      <c r="P1300" s="23"/>
      <c r="Q1300" s="23"/>
      <c r="R1300" s="26"/>
      <c r="S1300" s="23"/>
    </row>
    <row r="1301" spans="1:19" ht="19.5" hidden="1" customHeight="1" outlineLevel="1">
      <c r="A1301" s="29">
        <v>52</v>
      </c>
      <c r="B1301" s="30">
        <f>IF(13&lt;=DAY(DATE(YEAR(설정_코스수당!$K$2),MONTH(설정_코스수당!$K$2)+1,0)),DATE(YEAR(설정_코스수당!$K$2),MONTH(설정_코스수당!$K$2),13),"")</f>
        <v>46186</v>
      </c>
      <c r="C1301" s="31"/>
      <c r="D1301" s="29"/>
      <c r="E1301" s="29"/>
      <c r="F1301" s="32"/>
      <c r="G1301" s="29"/>
      <c r="H1301" s="29"/>
      <c r="I1301" s="29"/>
      <c r="J1301" s="33">
        <f>IF($O1301="방문완료",MAX(0,IFERROR(VLOOKUP($E1301,설정_코스수당!$A$6:$H$10,4,FALSE),0)-IF(OR($P1301="",$P1301="없음"),0,100000)),0)</f>
        <v>0</v>
      </c>
      <c r="K1301" s="33">
        <f t="array" ref="K1301">IF($O1301="방문완료",IFERROR(INDEX(설정_코스수당!$B$15:$F$64,MATCH($G1301,설정_코스수당!$A$15:$A$64,0),MATCH($E1301&amp;"수당",설정_코스수당!$B$14:$F$14,0)),0),0)</f>
        <v>0</v>
      </c>
      <c r="L1301" s="33">
        <f t="array" ref="L1301">IF($O1301="방문완료",IF($H1301="",0,IFERROR(INDEX(설정_코스수당!$B$15:$F$64,MATCH($H1301,설정_코스수당!$A$15:$A$64,0),MATCH($E1301&amp;"수당",설정_코스수당!$B$14:$F$14,0)),0)),0)</f>
        <v>0</v>
      </c>
      <c r="M1301" s="33">
        <f>IF($O1301="방문완료",IFERROR(VLOOKUP($E1301,설정_코스수당!$A$6:$H$10,6,FALSE),0),0)</f>
        <v>0</v>
      </c>
      <c r="N1301" s="34">
        <f t="shared" si="37"/>
        <v>0</v>
      </c>
      <c r="O1301" s="29"/>
      <c r="P1301" s="29"/>
      <c r="Q1301" s="29"/>
      <c r="R1301" s="32"/>
      <c r="S1301" s="29"/>
    </row>
    <row r="1302" spans="1:19" ht="19.5" hidden="1" customHeight="1" outlineLevel="1">
      <c r="A1302" s="23">
        <v>53</v>
      </c>
      <c r="B1302" s="24">
        <f>IF(13&lt;=DAY(DATE(YEAR(설정_코스수당!$K$2),MONTH(설정_코스수당!$K$2)+1,0)),DATE(YEAR(설정_코스수당!$K$2),MONTH(설정_코스수당!$K$2),13),"")</f>
        <v>46186</v>
      </c>
      <c r="C1302" s="25"/>
      <c r="D1302" s="23"/>
      <c r="E1302" s="23"/>
      <c r="F1302" s="26"/>
      <c r="G1302" s="23"/>
      <c r="H1302" s="23"/>
      <c r="I1302" s="23"/>
      <c r="J1302" s="27">
        <f>IF($O1302="방문완료",MAX(0,IFERROR(VLOOKUP($E1302,설정_코스수당!$A$6:$H$10,4,FALSE),0)-IF(OR($P1302="",$P1302="없음"),0,100000)),0)</f>
        <v>0</v>
      </c>
      <c r="K1302" s="27">
        <f t="array" ref="K1302">IF($O1302="방문완료",IFERROR(INDEX(설정_코스수당!$B$15:$F$64,MATCH($G1302,설정_코스수당!$A$15:$A$64,0),MATCH($E1302&amp;"수당",설정_코스수당!$B$14:$F$14,0)),0),0)</f>
        <v>0</v>
      </c>
      <c r="L1302" s="27">
        <f t="array" ref="L1302">IF($O1302="방문완료",IF($H1302="",0,IFERROR(INDEX(설정_코스수당!$B$15:$F$64,MATCH($H1302,설정_코스수당!$A$15:$A$64,0),MATCH($E1302&amp;"수당",설정_코스수당!$B$14:$F$14,0)),0)),0)</f>
        <v>0</v>
      </c>
      <c r="M1302" s="27">
        <f>IF($O1302="방문완료",IFERROR(VLOOKUP($E1302,설정_코스수당!$A$6:$H$10,6,FALSE),0),0)</f>
        <v>0</v>
      </c>
      <c r="N1302" s="28">
        <f t="shared" si="37"/>
        <v>0</v>
      </c>
      <c r="O1302" s="23"/>
      <c r="P1302" s="23"/>
      <c r="Q1302" s="23"/>
      <c r="R1302" s="26"/>
      <c r="S1302" s="23"/>
    </row>
    <row r="1303" spans="1:19" ht="19.5" hidden="1" customHeight="1" outlineLevel="1">
      <c r="A1303" s="29">
        <v>54</v>
      </c>
      <c r="B1303" s="30">
        <f>IF(13&lt;=DAY(DATE(YEAR(설정_코스수당!$K$2),MONTH(설정_코스수당!$K$2)+1,0)),DATE(YEAR(설정_코스수당!$K$2),MONTH(설정_코스수당!$K$2),13),"")</f>
        <v>46186</v>
      </c>
      <c r="C1303" s="31"/>
      <c r="D1303" s="29"/>
      <c r="E1303" s="29"/>
      <c r="F1303" s="32"/>
      <c r="G1303" s="29"/>
      <c r="H1303" s="29"/>
      <c r="I1303" s="29"/>
      <c r="J1303" s="33">
        <f>IF($O1303="방문완료",MAX(0,IFERROR(VLOOKUP($E1303,설정_코스수당!$A$6:$H$10,4,FALSE),0)-IF(OR($P1303="",$P1303="없음"),0,100000)),0)</f>
        <v>0</v>
      </c>
      <c r="K1303" s="33">
        <f t="array" ref="K1303">IF($O1303="방문완료",IFERROR(INDEX(설정_코스수당!$B$15:$F$64,MATCH($G1303,설정_코스수당!$A$15:$A$64,0),MATCH($E1303&amp;"수당",설정_코스수당!$B$14:$F$14,0)),0),0)</f>
        <v>0</v>
      </c>
      <c r="L1303" s="33">
        <f t="array" ref="L1303">IF($O1303="방문완료",IF($H1303="",0,IFERROR(INDEX(설정_코스수당!$B$15:$F$64,MATCH($H1303,설정_코스수당!$A$15:$A$64,0),MATCH($E1303&amp;"수당",설정_코스수당!$B$14:$F$14,0)),0)),0)</f>
        <v>0</v>
      </c>
      <c r="M1303" s="33">
        <f>IF($O1303="방문완료",IFERROR(VLOOKUP($E1303,설정_코스수당!$A$6:$H$10,6,FALSE),0),0)</f>
        <v>0</v>
      </c>
      <c r="N1303" s="34">
        <f t="shared" si="37"/>
        <v>0</v>
      </c>
      <c r="O1303" s="29"/>
      <c r="P1303" s="29"/>
      <c r="Q1303" s="29"/>
      <c r="R1303" s="32"/>
      <c r="S1303" s="29"/>
    </row>
    <row r="1304" spans="1:19" ht="19.5" hidden="1" customHeight="1" outlineLevel="1">
      <c r="A1304" s="23">
        <v>55</v>
      </c>
      <c r="B1304" s="24">
        <f>IF(13&lt;=DAY(DATE(YEAR(설정_코스수당!$K$2),MONTH(설정_코스수당!$K$2)+1,0)),DATE(YEAR(설정_코스수당!$K$2),MONTH(설정_코스수당!$K$2),13),"")</f>
        <v>46186</v>
      </c>
      <c r="C1304" s="25"/>
      <c r="D1304" s="23"/>
      <c r="E1304" s="23"/>
      <c r="F1304" s="26"/>
      <c r="G1304" s="23"/>
      <c r="H1304" s="23"/>
      <c r="I1304" s="23"/>
      <c r="J1304" s="27">
        <f>IF($O1304="방문완료",MAX(0,IFERROR(VLOOKUP($E1304,설정_코스수당!$A$6:$H$10,4,FALSE),0)-IF(OR($P1304="",$P1304="없음"),0,100000)),0)</f>
        <v>0</v>
      </c>
      <c r="K1304" s="27">
        <f t="array" ref="K1304">IF($O1304="방문완료",IFERROR(INDEX(설정_코스수당!$B$15:$F$64,MATCH($G1304,설정_코스수당!$A$15:$A$64,0),MATCH($E1304&amp;"수당",설정_코스수당!$B$14:$F$14,0)),0),0)</f>
        <v>0</v>
      </c>
      <c r="L1304" s="27">
        <f t="array" ref="L1304">IF($O1304="방문완료",IF($H1304="",0,IFERROR(INDEX(설정_코스수당!$B$15:$F$64,MATCH($H1304,설정_코스수당!$A$15:$A$64,0),MATCH($E1304&amp;"수당",설정_코스수당!$B$14:$F$14,0)),0)),0)</f>
        <v>0</v>
      </c>
      <c r="M1304" s="27">
        <f>IF($O1304="방문완료",IFERROR(VLOOKUP($E1304,설정_코스수당!$A$6:$H$10,6,FALSE),0),0)</f>
        <v>0</v>
      </c>
      <c r="N1304" s="28">
        <f t="shared" si="37"/>
        <v>0</v>
      </c>
      <c r="O1304" s="23"/>
      <c r="P1304" s="23"/>
      <c r="Q1304" s="23"/>
      <c r="R1304" s="26"/>
      <c r="S1304" s="23"/>
    </row>
    <row r="1305" spans="1:19" ht="19.5" hidden="1" customHeight="1" outlineLevel="1">
      <c r="A1305" s="29">
        <v>56</v>
      </c>
      <c r="B1305" s="30">
        <f>IF(13&lt;=DAY(DATE(YEAR(설정_코스수당!$K$2),MONTH(설정_코스수당!$K$2)+1,0)),DATE(YEAR(설정_코스수당!$K$2),MONTH(설정_코스수당!$K$2),13),"")</f>
        <v>46186</v>
      </c>
      <c r="C1305" s="31"/>
      <c r="D1305" s="29"/>
      <c r="E1305" s="29"/>
      <c r="F1305" s="32"/>
      <c r="G1305" s="29"/>
      <c r="H1305" s="29"/>
      <c r="I1305" s="29"/>
      <c r="J1305" s="33">
        <f>IF($O1305="방문완료",MAX(0,IFERROR(VLOOKUP($E1305,설정_코스수당!$A$6:$H$10,4,FALSE),0)-IF(OR($P1305="",$P1305="없음"),0,100000)),0)</f>
        <v>0</v>
      </c>
      <c r="K1305" s="33">
        <f t="array" ref="K1305">IF($O1305="방문완료",IFERROR(INDEX(설정_코스수당!$B$15:$F$64,MATCH($G1305,설정_코스수당!$A$15:$A$64,0),MATCH($E1305&amp;"수당",설정_코스수당!$B$14:$F$14,0)),0),0)</f>
        <v>0</v>
      </c>
      <c r="L1305" s="33">
        <f t="array" ref="L1305">IF($O1305="방문완료",IF($H1305="",0,IFERROR(INDEX(설정_코스수당!$B$15:$F$64,MATCH($H1305,설정_코스수당!$A$15:$A$64,0),MATCH($E1305&amp;"수당",설정_코스수당!$B$14:$F$14,0)),0)),0)</f>
        <v>0</v>
      </c>
      <c r="M1305" s="33">
        <f>IF($O1305="방문완료",IFERROR(VLOOKUP($E1305,설정_코스수당!$A$6:$H$10,6,FALSE),0),0)</f>
        <v>0</v>
      </c>
      <c r="N1305" s="34">
        <f t="shared" si="37"/>
        <v>0</v>
      </c>
      <c r="O1305" s="29"/>
      <c r="P1305" s="29"/>
      <c r="Q1305" s="29"/>
      <c r="R1305" s="32"/>
      <c r="S1305" s="29"/>
    </row>
    <row r="1306" spans="1:19" ht="19.5" hidden="1" customHeight="1" outlineLevel="1">
      <c r="A1306" s="23">
        <v>57</v>
      </c>
      <c r="B1306" s="24">
        <f>IF(13&lt;=DAY(DATE(YEAR(설정_코스수당!$K$2),MONTH(설정_코스수당!$K$2)+1,0)),DATE(YEAR(설정_코스수당!$K$2),MONTH(설정_코스수당!$K$2),13),"")</f>
        <v>46186</v>
      </c>
      <c r="C1306" s="25"/>
      <c r="D1306" s="23"/>
      <c r="E1306" s="23"/>
      <c r="F1306" s="26"/>
      <c r="G1306" s="23"/>
      <c r="H1306" s="23"/>
      <c r="I1306" s="23"/>
      <c r="J1306" s="27">
        <f>IF($O1306="방문완료",MAX(0,IFERROR(VLOOKUP($E1306,설정_코스수당!$A$6:$H$10,4,FALSE),0)-IF(OR($P1306="",$P1306="없음"),0,100000)),0)</f>
        <v>0</v>
      </c>
      <c r="K1306" s="27">
        <f t="array" ref="K1306">IF($O1306="방문완료",IFERROR(INDEX(설정_코스수당!$B$15:$F$64,MATCH($G1306,설정_코스수당!$A$15:$A$64,0),MATCH($E1306&amp;"수당",설정_코스수당!$B$14:$F$14,0)),0),0)</f>
        <v>0</v>
      </c>
      <c r="L1306" s="27">
        <f t="array" ref="L1306">IF($O1306="방문완료",IF($H1306="",0,IFERROR(INDEX(설정_코스수당!$B$15:$F$64,MATCH($H1306,설정_코스수당!$A$15:$A$64,0),MATCH($E1306&amp;"수당",설정_코스수당!$B$14:$F$14,0)),0)),0)</f>
        <v>0</v>
      </c>
      <c r="M1306" s="27">
        <f>IF($O1306="방문완료",IFERROR(VLOOKUP($E1306,설정_코스수당!$A$6:$H$10,6,FALSE),0),0)</f>
        <v>0</v>
      </c>
      <c r="N1306" s="28">
        <f t="shared" si="37"/>
        <v>0</v>
      </c>
      <c r="O1306" s="23"/>
      <c r="P1306" s="23"/>
      <c r="Q1306" s="23"/>
      <c r="R1306" s="26"/>
      <c r="S1306" s="23"/>
    </row>
    <row r="1307" spans="1:19" ht="19.5" hidden="1" customHeight="1" outlineLevel="1">
      <c r="A1307" s="29">
        <v>58</v>
      </c>
      <c r="B1307" s="30">
        <f>IF(13&lt;=DAY(DATE(YEAR(설정_코스수당!$K$2),MONTH(설정_코스수당!$K$2)+1,0)),DATE(YEAR(설정_코스수당!$K$2),MONTH(설정_코스수당!$K$2),13),"")</f>
        <v>46186</v>
      </c>
      <c r="C1307" s="31"/>
      <c r="D1307" s="29"/>
      <c r="E1307" s="29"/>
      <c r="F1307" s="32"/>
      <c r="G1307" s="29"/>
      <c r="H1307" s="29"/>
      <c r="I1307" s="29"/>
      <c r="J1307" s="33">
        <f>IF($O1307="방문완료",MAX(0,IFERROR(VLOOKUP($E1307,설정_코스수당!$A$6:$H$10,4,FALSE),0)-IF(OR($P1307="",$P1307="없음"),0,100000)),0)</f>
        <v>0</v>
      </c>
      <c r="K1307" s="33">
        <f t="array" ref="K1307">IF($O1307="방문완료",IFERROR(INDEX(설정_코스수당!$B$15:$F$64,MATCH($G1307,설정_코스수당!$A$15:$A$64,0),MATCH($E1307&amp;"수당",설정_코스수당!$B$14:$F$14,0)),0),0)</f>
        <v>0</v>
      </c>
      <c r="L1307" s="33">
        <f t="array" ref="L1307">IF($O1307="방문완료",IF($H1307="",0,IFERROR(INDEX(설정_코스수당!$B$15:$F$64,MATCH($H1307,설정_코스수당!$A$15:$A$64,0),MATCH($E1307&amp;"수당",설정_코스수당!$B$14:$F$14,0)),0)),0)</f>
        <v>0</v>
      </c>
      <c r="M1307" s="33">
        <f>IF($O1307="방문완료",IFERROR(VLOOKUP($E1307,설정_코스수당!$A$6:$H$10,6,FALSE),0),0)</f>
        <v>0</v>
      </c>
      <c r="N1307" s="34">
        <f t="shared" si="37"/>
        <v>0</v>
      </c>
      <c r="O1307" s="29"/>
      <c r="P1307" s="29"/>
      <c r="Q1307" s="29"/>
      <c r="R1307" s="32"/>
      <c r="S1307" s="29"/>
    </row>
    <row r="1308" spans="1:19" ht="19.5" hidden="1" customHeight="1" outlineLevel="1">
      <c r="A1308" s="23">
        <v>59</v>
      </c>
      <c r="B1308" s="24">
        <f>IF(13&lt;=DAY(DATE(YEAR(설정_코스수당!$K$2),MONTH(설정_코스수당!$K$2)+1,0)),DATE(YEAR(설정_코스수당!$K$2),MONTH(설정_코스수당!$K$2),13),"")</f>
        <v>46186</v>
      </c>
      <c r="C1308" s="25"/>
      <c r="D1308" s="23"/>
      <c r="E1308" s="23"/>
      <c r="F1308" s="26"/>
      <c r="G1308" s="23"/>
      <c r="H1308" s="23"/>
      <c r="I1308" s="23"/>
      <c r="J1308" s="27">
        <f>IF($O1308="방문완료",MAX(0,IFERROR(VLOOKUP($E1308,설정_코스수당!$A$6:$H$10,4,FALSE),0)-IF(OR($P1308="",$P1308="없음"),0,100000)),0)</f>
        <v>0</v>
      </c>
      <c r="K1308" s="27">
        <f t="array" ref="K1308">IF($O1308="방문완료",IFERROR(INDEX(설정_코스수당!$B$15:$F$64,MATCH($G1308,설정_코스수당!$A$15:$A$64,0),MATCH($E1308&amp;"수당",설정_코스수당!$B$14:$F$14,0)),0),0)</f>
        <v>0</v>
      </c>
      <c r="L1308" s="27">
        <f t="array" ref="L1308">IF($O1308="방문완료",IF($H1308="",0,IFERROR(INDEX(설정_코스수당!$B$15:$F$64,MATCH($H1308,설정_코스수당!$A$15:$A$64,0),MATCH($E1308&amp;"수당",설정_코스수당!$B$14:$F$14,0)),0)),0)</f>
        <v>0</v>
      </c>
      <c r="M1308" s="27">
        <f>IF($O1308="방문완료",IFERROR(VLOOKUP($E1308,설정_코스수당!$A$6:$H$10,6,FALSE),0),0)</f>
        <v>0</v>
      </c>
      <c r="N1308" s="28">
        <f t="shared" si="37"/>
        <v>0</v>
      </c>
      <c r="O1308" s="23"/>
      <c r="P1308" s="23"/>
      <c r="Q1308" s="23"/>
      <c r="R1308" s="26"/>
      <c r="S1308" s="23"/>
    </row>
    <row r="1309" spans="1:19" ht="19.5" hidden="1" customHeight="1" outlineLevel="1">
      <c r="A1309" s="29">
        <v>60</v>
      </c>
      <c r="B1309" s="30">
        <f>IF(13&lt;=DAY(DATE(YEAR(설정_코스수당!$K$2),MONTH(설정_코스수당!$K$2)+1,0)),DATE(YEAR(설정_코스수당!$K$2),MONTH(설정_코스수당!$K$2),13),"")</f>
        <v>46186</v>
      </c>
      <c r="C1309" s="31"/>
      <c r="D1309" s="29"/>
      <c r="E1309" s="29"/>
      <c r="F1309" s="32"/>
      <c r="G1309" s="29"/>
      <c r="H1309" s="29"/>
      <c r="I1309" s="29"/>
      <c r="J1309" s="33">
        <f>IF($O1309="방문완료",MAX(0,IFERROR(VLOOKUP($E1309,설정_코스수당!$A$6:$H$10,4,FALSE),0)-IF(OR($P1309="",$P1309="없음"),0,100000)),0)</f>
        <v>0</v>
      </c>
      <c r="K1309" s="33">
        <f t="array" ref="K1309">IF($O1309="방문완료",IFERROR(INDEX(설정_코스수당!$B$15:$F$64,MATCH($G1309,설정_코스수당!$A$15:$A$64,0),MATCH($E1309&amp;"수당",설정_코스수당!$B$14:$F$14,0)),0),0)</f>
        <v>0</v>
      </c>
      <c r="L1309" s="33">
        <f t="array" ref="L1309">IF($O1309="방문완료",IF($H1309="",0,IFERROR(INDEX(설정_코스수당!$B$15:$F$64,MATCH($H1309,설정_코스수당!$A$15:$A$64,0),MATCH($E1309&amp;"수당",설정_코스수당!$B$14:$F$14,0)),0)),0)</f>
        <v>0</v>
      </c>
      <c r="M1309" s="33">
        <f>IF($O1309="방문완료",IFERROR(VLOOKUP($E1309,설정_코스수당!$A$6:$H$10,6,FALSE),0),0)</f>
        <v>0</v>
      </c>
      <c r="N1309" s="34">
        <f t="shared" si="37"/>
        <v>0</v>
      </c>
      <c r="O1309" s="29"/>
      <c r="P1309" s="29"/>
      <c r="Q1309" s="29"/>
      <c r="R1309" s="32"/>
      <c r="S1309" s="29"/>
    </row>
    <row r="1310" spans="1:19" ht="19.5" hidden="1" customHeight="1" outlineLevel="1">
      <c r="A1310" s="23">
        <v>61</v>
      </c>
      <c r="B1310" s="24">
        <f>IF(13&lt;=DAY(DATE(YEAR(설정_코스수당!$K$2),MONTH(설정_코스수당!$K$2)+1,0)),DATE(YEAR(설정_코스수당!$K$2),MONTH(설정_코스수당!$K$2),13),"")</f>
        <v>46186</v>
      </c>
      <c r="C1310" s="25"/>
      <c r="D1310" s="23"/>
      <c r="E1310" s="23"/>
      <c r="F1310" s="26"/>
      <c r="G1310" s="23"/>
      <c r="H1310" s="23"/>
      <c r="I1310" s="23"/>
      <c r="J1310" s="27">
        <f>IF($O1310="방문완료",MAX(0,IFERROR(VLOOKUP($E1310,설정_코스수당!$A$6:$H$10,4,FALSE),0)-IF(OR($P1310="",$P1310="없음"),0,100000)),0)</f>
        <v>0</v>
      </c>
      <c r="K1310" s="27">
        <f t="array" ref="K1310">IF($O1310="방문완료",IFERROR(INDEX(설정_코스수당!$B$15:$F$64,MATCH($G1310,설정_코스수당!$A$15:$A$64,0),MATCH($E1310&amp;"수당",설정_코스수당!$B$14:$F$14,0)),0),0)</f>
        <v>0</v>
      </c>
      <c r="L1310" s="27">
        <f t="array" ref="L1310">IF($O1310="방문완료",IF($H1310="",0,IFERROR(INDEX(설정_코스수당!$B$15:$F$64,MATCH($H1310,설정_코스수당!$A$15:$A$64,0),MATCH($E1310&amp;"수당",설정_코스수당!$B$14:$F$14,0)),0)),0)</f>
        <v>0</v>
      </c>
      <c r="M1310" s="27">
        <f>IF($O1310="방문완료",IFERROR(VLOOKUP($E1310,설정_코스수당!$A$6:$H$10,6,FALSE),0),0)</f>
        <v>0</v>
      </c>
      <c r="N1310" s="28">
        <f t="shared" si="37"/>
        <v>0</v>
      </c>
      <c r="O1310" s="23"/>
      <c r="P1310" s="23"/>
      <c r="Q1310" s="23"/>
      <c r="R1310" s="26"/>
      <c r="S1310" s="23"/>
    </row>
    <row r="1311" spans="1:19" ht="19.5" hidden="1" customHeight="1" outlineLevel="1">
      <c r="A1311" s="29">
        <v>62</v>
      </c>
      <c r="B1311" s="30">
        <f>IF(13&lt;=DAY(DATE(YEAR(설정_코스수당!$K$2),MONTH(설정_코스수당!$K$2)+1,0)),DATE(YEAR(설정_코스수당!$K$2),MONTH(설정_코스수당!$K$2),13),"")</f>
        <v>46186</v>
      </c>
      <c r="C1311" s="31"/>
      <c r="D1311" s="29"/>
      <c r="E1311" s="29"/>
      <c r="F1311" s="32"/>
      <c r="G1311" s="29"/>
      <c r="H1311" s="29"/>
      <c r="I1311" s="29"/>
      <c r="J1311" s="33">
        <f>IF($O1311="방문완료",MAX(0,IFERROR(VLOOKUP($E1311,설정_코스수당!$A$6:$H$10,4,FALSE),0)-IF(OR($P1311="",$P1311="없음"),0,100000)),0)</f>
        <v>0</v>
      </c>
      <c r="K1311" s="33">
        <f t="array" ref="K1311">IF($O1311="방문완료",IFERROR(INDEX(설정_코스수당!$B$15:$F$64,MATCH($G1311,설정_코스수당!$A$15:$A$64,0),MATCH($E1311&amp;"수당",설정_코스수당!$B$14:$F$14,0)),0),0)</f>
        <v>0</v>
      </c>
      <c r="L1311" s="33">
        <f t="array" ref="L1311">IF($O1311="방문완료",IF($H1311="",0,IFERROR(INDEX(설정_코스수당!$B$15:$F$64,MATCH($H1311,설정_코스수당!$A$15:$A$64,0),MATCH($E1311&amp;"수당",설정_코스수당!$B$14:$F$14,0)),0)),0)</f>
        <v>0</v>
      </c>
      <c r="M1311" s="33">
        <f>IF($O1311="방문완료",IFERROR(VLOOKUP($E1311,설정_코스수당!$A$6:$H$10,6,FALSE),0),0)</f>
        <v>0</v>
      </c>
      <c r="N1311" s="34">
        <f t="shared" si="37"/>
        <v>0</v>
      </c>
      <c r="O1311" s="29"/>
      <c r="P1311" s="29"/>
      <c r="Q1311" s="29"/>
      <c r="R1311" s="32"/>
      <c r="S1311" s="29"/>
    </row>
    <row r="1312" spans="1:19" ht="19.5" hidden="1" customHeight="1" outlineLevel="1">
      <c r="A1312" s="23">
        <v>63</v>
      </c>
      <c r="B1312" s="24">
        <f>IF(13&lt;=DAY(DATE(YEAR(설정_코스수당!$K$2),MONTH(설정_코스수당!$K$2)+1,0)),DATE(YEAR(설정_코스수당!$K$2),MONTH(설정_코스수당!$K$2),13),"")</f>
        <v>46186</v>
      </c>
      <c r="C1312" s="25"/>
      <c r="D1312" s="23"/>
      <c r="E1312" s="23"/>
      <c r="F1312" s="26"/>
      <c r="G1312" s="23"/>
      <c r="H1312" s="23"/>
      <c r="I1312" s="23"/>
      <c r="J1312" s="27">
        <f>IF($O1312="방문완료",MAX(0,IFERROR(VLOOKUP($E1312,설정_코스수당!$A$6:$H$10,4,FALSE),0)-IF(OR($P1312="",$P1312="없음"),0,100000)),0)</f>
        <v>0</v>
      </c>
      <c r="K1312" s="27">
        <f t="array" ref="K1312">IF($O1312="방문완료",IFERROR(INDEX(설정_코스수당!$B$15:$F$64,MATCH($G1312,설정_코스수당!$A$15:$A$64,0),MATCH($E1312&amp;"수당",설정_코스수당!$B$14:$F$14,0)),0),0)</f>
        <v>0</v>
      </c>
      <c r="L1312" s="27">
        <f t="array" ref="L1312">IF($O1312="방문완료",IF($H1312="",0,IFERROR(INDEX(설정_코스수당!$B$15:$F$64,MATCH($H1312,설정_코스수당!$A$15:$A$64,0),MATCH($E1312&amp;"수당",설정_코스수당!$B$14:$F$14,0)),0)),0)</f>
        <v>0</v>
      </c>
      <c r="M1312" s="27">
        <f>IF($O1312="방문완료",IFERROR(VLOOKUP($E1312,설정_코스수당!$A$6:$H$10,6,FALSE),0),0)</f>
        <v>0</v>
      </c>
      <c r="N1312" s="28">
        <f t="shared" si="37"/>
        <v>0</v>
      </c>
      <c r="O1312" s="23"/>
      <c r="P1312" s="23"/>
      <c r="Q1312" s="23"/>
      <c r="R1312" s="26"/>
      <c r="S1312" s="23"/>
    </row>
    <row r="1313" spans="1:22" ht="19.5" hidden="1" customHeight="1" outlineLevel="1">
      <c r="A1313" s="29">
        <v>64</v>
      </c>
      <c r="B1313" s="30">
        <f>IF(13&lt;=DAY(DATE(YEAR(설정_코스수당!$K$2),MONTH(설정_코스수당!$K$2)+1,0)),DATE(YEAR(설정_코스수당!$K$2),MONTH(설정_코스수당!$K$2),13),"")</f>
        <v>46186</v>
      </c>
      <c r="C1313" s="31"/>
      <c r="D1313" s="29"/>
      <c r="E1313" s="29"/>
      <c r="F1313" s="32"/>
      <c r="G1313" s="29"/>
      <c r="H1313" s="29"/>
      <c r="I1313" s="29"/>
      <c r="J1313" s="33">
        <f>IF($O1313="방문완료",MAX(0,IFERROR(VLOOKUP($E1313,설정_코스수당!$A$6:$H$10,4,FALSE),0)-IF(OR($P1313="",$P1313="없음"),0,100000)),0)</f>
        <v>0</v>
      </c>
      <c r="K1313" s="33">
        <f t="array" ref="K1313">IF($O1313="방문완료",IFERROR(INDEX(설정_코스수당!$B$15:$F$64,MATCH($G1313,설정_코스수당!$A$15:$A$64,0),MATCH($E1313&amp;"수당",설정_코스수당!$B$14:$F$14,0)),0),0)</f>
        <v>0</v>
      </c>
      <c r="L1313" s="33">
        <f t="array" ref="L1313">IF($O1313="방문완료",IF($H1313="",0,IFERROR(INDEX(설정_코스수당!$B$15:$F$64,MATCH($H1313,설정_코스수당!$A$15:$A$64,0),MATCH($E1313&amp;"수당",설정_코스수당!$B$14:$F$14,0)),0)),0)</f>
        <v>0</v>
      </c>
      <c r="M1313" s="33">
        <f>IF($O1313="방문완료",IFERROR(VLOOKUP($E1313,설정_코스수당!$A$6:$H$10,6,FALSE),0),0)</f>
        <v>0</v>
      </c>
      <c r="N1313" s="34">
        <f t="shared" si="37"/>
        <v>0</v>
      </c>
      <c r="O1313" s="29"/>
      <c r="P1313" s="29"/>
      <c r="Q1313" s="29"/>
      <c r="R1313" s="32"/>
      <c r="S1313" s="29"/>
    </row>
    <row r="1314" spans="1:22" ht="19.5" hidden="1" customHeight="1" outlineLevel="1">
      <c r="A1314" s="23">
        <v>65</v>
      </c>
      <c r="B1314" s="24">
        <f>IF(13&lt;=DAY(DATE(YEAR(설정_코스수당!$K$2),MONTH(설정_코스수당!$K$2)+1,0)),DATE(YEAR(설정_코스수당!$K$2),MONTH(설정_코스수당!$K$2),13),"")</f>
        <v>46186</v>
      </c>
      <c r="C1314" s="25"/>
      <c r="D1314" s="23"/>
      <c r="E1314" s="23"/>
      <c r="F1314" s="26"/>
      <c r="G1314" s="23"/>
      <c r="H1314" s="23"/>
      <c r="I1314" s="23"/>
      <c r="J1314" s="27">
        <f>IF($O1314="방문완료",MAX(0,IFERROR(VLOOKUP($E1314,설정_코스수당!$A$6:$H$10,4,FALSE),0)-IF(OR($P1314="",$P1314="없음"),0,100000)),0)</f>
        <v>0</v>
      </c>
      <c r="K1314" s="27">
        <f t="array" ref="K1314">IF($O1314="방문완료",IFERROR(INDEX(설정_코스수당!$B$15:$F$64,MATCH($G1314,설정_코스수당!$A$15:$A$64,0),MATCH($E1314&amp;"수당",설정_코스수당!$B$14:$F$14,0)),0),0)</f>
        <v>0</v>
      </c>
      <c r="L1314" s="27">
        <f t="array" ref="L1314">IF($O1314="방문완료",IF($H1314="",0,IFERROR(INDEX(설정_코스수당!$B$15:$F$64,MATCH($H1314,설정_코스수당!$A$15:$A$64,0),MATCH($E1314&amp;"수당",설정_코스수당!$B$14:$F$14,0)),0)),0)</f>
        <v>0</v>
      </c>
      <c r="M1314" s="27">
        <f>IF($O1314="방문완료",IFERROR(VLOOKUP($E1314,설정_코스수당!$A$6:$H$10,6,FALSE),0),0)</f>
        <v>0</v>
      </c>
      <c r="N1314" s="28">
        <f t="shared" ref="N1314:N1349" si="38">IF($O1314="방문완료",1,0)</f>
        <v>0</v>
      </c>
      <c r="O1314" s="23"/>
      <c r="P1314" s="23"/>
      <c r="Q1314" s="23"/>
      <c r="R1314" s="26"/>
      <c r="S1314" s="23"/>
    </row>
    <row r="1315" spans="1:22" ht="19.5" hidden="1" customHeight="1" outlineLevel="1">
      <c r="A1315" s="29">
        <v>66</v>
      </c>
      <c r="B1315" s="30">
        <f>IF(13&lt;=DAY(DATE(YEAR(설정_코스수당!$K$2),MONTH(설정_코스수당!$K$2)+1,0)),DATE(YEAR(설정_코스수당!$K$2),MONTH(설정_코스수당!$K$2),13),"")</f>
        <v>46186</v>
      </c>
      <c r="C1315" s="31"/>
      <c r="D1315" s="29"/>
      <c r="E1315" s="29"/>
      <c r="F1315" s="32"/>
      <c r="G1315" s="29"/>
      <c r="H1315" s="29"/>
      <c r="I1315" s="29"/>
      <c r="J1315" s="33">
        <f>IF($O1315="방문완료",MAX(0,IFERROR(VLOOKUP($E1315,설정_코스수당!$A$6:$H$10,4,FALSE),0)-IF(OR($P1315="",$P1315="없음"),0,100000)),0)</f>
        <v>0</v>
      </c>
      <c r="K1315" s="33">
        <f t="array" ref="K1315">IF($O1315="방문완료",IFERROR(INDEX(설정_코스수당!$B$15:$F$64,MATCH($G1315,설정_코스수당!$A$15:$A$64,0),MATCH($E1315&amp;"수당",설정_코스수당!$B$14:$F$14,0)),0),0)</f>
        <v>0</v>
      </c>
      <c r="L1315" s="33">
        <f t="array" ref="L1315">IF($O1315="방문완료",IF($H1315="",0,IFERROR(INDEX(설정_코스수당!$B$15:$F$64,MATCH($H1315,설정_코스수당!$A$15:$A$64,0),MATCH($E1315&amp;"수당",설정_코스수당!$B$14:$F$14,0)),0)),0)</f>
        <v>0</v>
      </c>
      <c r="M1315" s="33">
        <f>IF($O1315="방문완료",IFERROR(VLOOKUP($E1315,설정_코스수당!$A$6:$H$10,6,FALSE),0),0)</f>
        <v>0</v>
      </c>
      <c r="N1315" s="34">
        <f t="shared" si="38"/>
        <v>0</v>
      </c>
      <c r="O1315" s="29"/>
      <c r="P1315" s="29"/>
      <c r="Q1315" s="29"/>
      <c r="R1315" s="32"/>
      <c r="S1315" s="29"/>
    </row>
    <row r="1316" spans="1:22" ht="19.5" hidden="1" customHeight="1" outlineLevel="1">
      <c r="A1316" s="23">
        <v>67</v>
      </c>
      <c r="B1316" s="24">
        <f>IF(13&lt;=DAY(DATE(YEAR(설정_코스수당!$K$2),MONTH(설정_코스수당!$K$2)+1,0)),DATE(YEAR(설정_코스수당!$K$2),MONTH(설정_코스수당!$K$2),13),"")</f>
        <v>46186</v>
      </c>
      <c r="C1316" s="25"/>
      <c r="D1316" s="23"/>
      <c r="E1316" s="23"/>
      <c r="F1316" s="26"/>
      <c r="G1316" s="23"/>
      <c r="H1316" s="23"/>
      <c r="I1316" s="23"/>
      <c r="J1316" s="27">
        <f>IF($O1316="방문완료",MAX(0,IFERROR(VLOOKUP($E1316,설정_코스수당!$A$6:$H$10,4,FALSE),0)-IF(OR($P1316="",$P1316="없음"),0,100000)),0)</f>
        <v>0</v>
      </c>
      <c r="K1316" s="27">
        <f t="array" ref="K1316">IF($O1316="방문완료",IFERROR(INDEX(설정_코스수당!$B$15:$F$64,MATCH($G1316,설정_코스수당!$A$15:$A$64,0),MATCH($E1316&amp;"수당",설정_코스수당!$B$14:$F$14,0)),0),0)</f>
        <v>0</v>
      </c>
      <c r="L1316" s="27">
        <f t="array" ref="L1316">IF($O1316="방문완료",IF($H1316="",0,IFERROR(INDEX(설정_코스수당!$B$15:$F$64,MATCH($H1316,설정_코스수당!$A$15:$A$64,0),MATCH($E1316&amp;"수당",설정_코스수당!$B$14:$F$14,0)),0)),0)</f>
        <v>0</v>
      </c>
      <c r="M1316" s="27">
        <f>IF($O1316="방문완료",IFERROR(VLOOKUP($E1316,설정_코스수당!$A$6:$H$10,6,FALSE),0),0)</f>
        <v>0</v>
      </c>
      <c r="N1316" s="28">
        <f t="shared" si="38"/>
        <v>0</v>
      </c>
      <c r="O1316" s="23"/>
      <c r="P1316" s="23"/>
      <c r="Q1316" s="23"/>
      <c r="R1316" s="26"/>
      <c r="S1316" s="23"/>
    </row>
    <row r="1317" spans="1:22" ht="19.5" hidden="1" customHeight="1" outlineLevel="1">
      <c r="A1317" s="29">
        <v>68</v>
      </c>
      <c r="B1317" s="30">
        <f>IF(13&lt;=DAY(DATE(YEAR(설정_코스수당!$K$2),MONTH(설정_코스수당!$K$2)+1,0)),DATE(YEAR(설정_코스수당!$K$2),MONTH(설정_코스수당!$K$2),13),"")</f>
        <v>46186</v>
      </c>
      <c r="C1317" s="31"/>
      <c r="D1317" s="29"/>
      <c r="E1317" s="29"/>
      <c r="F1317" s="32"/>
      <c r="G1317" s="29"/>
      <c r="H1317" s="29"/>
      <c r="I1317" s="29"/>
      <c r="J1317" s="33">
        <f>IF($O1317="방문완료",MAX(0,IFERROR(VLOOKUP($E1317,설정_코스수당!$A$6:$H$10,4,FALSE),0)-IF(OR($P1317="",$P1317="없음"),0,100000)),0)</f>
        <v>0</v>
      </c>
      <c r="K1317" s="33">
        <f t="array" ref="K1317">IF($O1317="방문완료",IFERROR(INDEX(설정_코스수당!$B$15:$F$64,MATCH($G1317,설정_코스수당!$A$15:$A$64,0),MATCH($E1317&amp;"수당",설정_코스수당!$B$14:$F$14,0)),0),0)</f>
        <v>0</v>
      </c>
      <c r="L1317" s="33">
        <f t="array" ref="L1317">IF($O1317="방문완료",IF($H1317="",0,IFERROR(INDEX(설정_코스수당!$B$15:$F$64,MATCH($H1317,설정_코스수당!$A$15:$A$64,0),MATCH($E1317&amp;"수당",설정_코스수당!$B$14:$F$14,0)),0)),0)</f>
        <v>0</v>
      </c>
      <c r="M1317" s="33">
        <f>IF($O1317="방문완료",IFERROR(VLOOKUP($E1317,설정_코스수당!$A$6:$H$10,6,FALSE),0),0)</f>
        <v>0</v>
      </c>
      <c r="N1317" s="34">
        <f t="shared" si="38"/>
        <v>0</v>
      </c>
      <c r="O1317" s="29"/>
      <c r="P1317" s="29"/>
      <c r="Q1317" s="29"/>
      <c r="R1317" s="32"/>
      <c r="S1317" s="29"/>
    </row>
    <row r="1318" spans="1:22" ht="19.5" hidden="1" customHeight="1" outlineLevel="1">
      <c r="A1318" s="23">
        <v>69</v>
      </c>
      <c r="B1318" s="24">
        <f>IF(13&lt;=DAY(DATE(YEAR(설정_코스수당!$K$2),MONTH(설정_코스수당!$K$2)+1,0)),DATE(YEAR(설정_코스수당!$K$2),MONTH(설정_코스수당!$K$2),13),"")</f>
        <v>46186</v>
      </c>
      <c r="C1318" s="25"/>
      <c r="D1318" s="23"/>
      <c r="E1318" s="23"/>
      <c r="F1318" s="26"/>
      <c r="G1318" s="23"/>
      <c r="H1318" s="23"/>
      <c r="I1318" s="23"/>
      <c r="J1318" s="27">
        <f>IF($O1318="방문완료",MAX(0,IFERROR(VLOOKUP($E1318,설정_코스수당!$A$6:$H$10,4,FALSE),0)-IF(OR($P1318="",$P1318="없음"),0,100000)),0)</f>
        <v>0</v>
      </c>
      <c r="K1318" s="27">
        <f t="array" ref="K1318">IF($O1318="방문완료",IFERROR(INDEX(설정_코스수당!$B$15:$F$64,MATCH($G1318,설정_코스수당!$A$15:$A$64,0),MATCH($E1318&amp;"수당",설정_코스수당!$B$14:$F$14,0)),0),0)</f>
        <v>0</v>
      </c>
      <c r="L1318" s="27">
        <f t="array" ref="L1318">IF($O1318="방문완료",IF($H1318="",0,IFERROR(INDEX(설정_코스수당!$B$15:$F$64,MATCH($H1318,설정_코스수당!$A$15:$A$64,0),MATCH($E1318&amp;"수당",설정_코스수당!$B$14:$F$14,0)),0)),0)</f>
        <v>0</v>
      </c>
      <c r="M1318" s="27">
        <f>IF($O1318="방문완료",IFERROR(VLOOKUP($E1318,설정_코스수당!$A$6:$H$10,6,FALSE),0),0)</f>
        <v>0</v>
      </c>
      <c r="N1318" s="28">
        <f t="shared" si="38"/>
        <v>0</v>
      </c>
      <c r="O1318" s="23"/>
      <c r="P1318" s="23"/>
      <c r="Q1318" s="23"/>
      <c r="R1318" s="26"/>
      <c r="S1318" s="23"/>
    </row>
    <row r="1319" spans="1:22" ht="19.5" hidden="1" customHeight="1" outlineLevel="1">
      <c r="A1319" s="29">
        <v>70</v>
      </c>
      <c r="B1319" s="30">
        <f>IF(13&lt;=DAY(DATE(YEAR(설정_코스수당!$K$2),MONTH(설정_코스수당!$K$2)+1,0)),DATE(YEAR(설정_코스수당!$K$2),MONTH(설정_코스수당!$K$2),13),"")</f>
        <v>46186</v>
      </c>
      <c r="C1319" s="31"/>
      <c r="D1319" s="29"/>
      <c r="E1319" s="29"/>
      <c r="F1319" s="32"/>
      <c r="G1319" s="29"/>
      <c r="H1319" s="29"/>
      <c r="I1319" s="29"/>
      <c r="J1319" s="33">
        <f>IF($O1319="방문완료",MAX(0,IFERROR(VLOOKUP($E1319,설정_코스수당!$A$6:$H$10,4,FALSE),0)-IF(OR($P1319="",$P1319="없음"),0,100000)),0)</f>
        <v>0</v>
      </c>
      <c r="K1319" s="33">
        <f t="array" ref="K1319">IF($O1319="방문완료",IFERROR(INDEX(설정_코스수당!$B$15:$F$64,MATCH($G1319,설정_코스수당!$A$15:$A$64,0),MATCH($E1319&amp;"수당",설정_코스수당!$B$14:$F$14,0)),0),0)</f>
        <v>0</v>
      </c>
      <c r="L1319" s="33">
        <f t="array" ref="L1319">IF($O1319="방문완료",IF($H1319="",0,IFERROR(INDEX(설정_코스수당!$B$15:$F$64,MATCH($H1319,설정_코스수당!$A$15:$A$64,0),MATCH($E1319&amp;"수당",설정_코스수당!$B$14:$F$14,0)),0)),0)</f>
        <v>0</v>
      </c>
      <c r="M1319" s="33">
        <f>IF($O1319="방문완료",IFERROR(VLOOKUP($E1319,설정_코스수당!$A$6:$H$10,6,FALSE),0),0)</f>
        <v>0</v>
      </c>
      <c r="N1319" s="34">
        <f t="shared" si="38"/>
        <v>0</v>
      </c>
      <c r="O1319" s="29"/>
      <c r="P1319" s="29"/>
      <c r="Q1319" s="29"/>
      <c r="R1319" s="32"/>
      <c r="S1319" s="29"/>
    </row>
    <row r="1320" spans="1:22" ht="19.5" hidden="1" customHeight="1" outlineLevel="1">
      <c r="A1320" s="23">
        <v>71</v>
      </c>
      <c r="B1320" s="24">
        <f>IF(13&lt;=DAY(DATE(YEAR(설정_코스수당!$K$2),MONTH(설정_코스수당!$K$2)+1,0)),DATE(YEAR(설정_코스수당!$K$2),MONTH(설정_코스수당!$K$2),13),"")</f>
        <v>46186</v>
      </c>
      <c r="C1320" s="25"/>
      <c r="D1320" s="23"/>
      <c r="E1320" s="23"/>
      <c r="F1320" s="26"/>
      <c r="G1320" s="23"/>
      <c r="H1320" s="23"/>
      <c r="I1320" s="23"/>
      <c r="J1320" s="27">
        <f>IF($O1320="방문완료",MAX(0,IFERROR(VLOOKUP($E1320,설정_코스수당!$A$6:$H$10,4,FALSE),0)-IF(OR($P1320="",$P1320="없음"),0,100000)),0)</f>
        <v>0</v>
      </c>
      <c r="K1320" s="27">
        <f t="array" ref="K1320">IF($O1320="방문완료",IFERROR(INDEX(설정_코스수당!$B$15:$F$64,MATCH($G1320,설정_코스수당!$A$15:$A$64,0),MATCH($E1320&amp;"수당",설정_코스수당!$B$14:$F$14,0)),0),0)</f>
        <v>0</v>
      </c>
      <c r="L1320" s="27">
        <f t="array" ref="L1320">IF($O1320="방문완료",IF($H1320="",0,IFERROR(INDEX(설정_코스수당!$B$15:$F$64,MATCH($H1320,설정_코스수당!$A$15:$A$64,0),MATCH($E1320&amp;"수당",설정_코스수당!$B$14:$F$14,0)),0)),0)</f>
        <v>0</v>
      </c>
      <c r="M1320" s="27">
        <f>IF($O1320="방문완료",IFERROR(VLOOKUP($E1320,설정_코스수당!$A$6:$H$10,6,FALSE),0),0)</f>
        <v>0</v>
      </c>
      <c r="N1320" s="28">
        <f t="shared" si="38"/>
        <v>0</v>
      </c>
      <c r="O1320" s="23"/>
      <c r="P1320" s="23"/>
      <c r="Q1320" s="23"/>
      <c r="R1320" s="26"/>
      <c r="S1320" s="23"/>
      <c r="U1320" s="16" t="s">
        <v>72</v>
      </c>
      <c r="V1320" s="17">
        <f>IF(14&lt;=DAY(DATE(YEAR(설정_코스수당!$K$2),MONTH(설정_코스수당!$K$2)+1,0)),COUNTIFS($B:$B,DATE(YEAR(설정_코스수당!$K$2),MONTH(설정_코스수당!$K$2),14),$O:$O,"방문완료",$P:$P,"&lt;&gt;",$P:$P,"&lt;&gt;없음")*100000,"")</f>
        <v>0</v>
      </c>
    </row>
    <row r="1321" spans="1:22" ht="19.5" hidden="1" customHeight="1" outlineLevel="1">
      <c r="A1321" s="29">
        <v>72</v>
      </c>
      <c r="B1321" s="30">
        <f>IF(13&lt;=DAY(DATE(YEAR(설정_코스수당!$K$2),MONTH(설정_코스수당!$K$2)+1,0)),DATE(YEAR(설정_코스수당!$K$2),MONTH(설정_코스수당!$K$2),13),"")</f>
        <v>46186</v>
      </c>
      <c r="C1321" s="31"/>
      <c r="D1321" s="29"/>
      <c r="E1321" s="29"/>
      <c r="F1321" s="32"/>
      <c r="G1321" s="29"/>
      <c r="H1321" s="29"/>
      <c r="I1321" s="29"/>
      <c r="J1321" s="33">
        <f>IF($O1321="방문완료",MAX(0,IFERROR(VLOOKUP($E1321,설정_코스수당!$A$6:$H$10,4,FALSE),0)-IF(OR($P1321="",$P1321="없음"),0,100000)),0)</f>
        <v>0</v>
      </c>
      <c r="K1321" s="33">
        <f t="array" ref="K1321">IF($O1321="방문완료",IFERROR(INDEX(설정_코스수당!$B$15:$F$64,MATCH($G1321,설정_코스수당!$A$15:$A$64,0),MATCH($E1321&amp;"수당",설정_코스수당!$B$14:$F$14,0)),0),0)</f>
        <v>0</v>
      </c>
      <c r="L1321" s="33">
        <f t="array" ref="L1321">IF($O1321="방문완료",IF($H1321="",0,IFERROR(INDEX(설정_코스수당!$B$15:$F$64,MATCH($H1321,설정_코스수당!$A$15:$A$64,0),MATCH($E1321&amp;"수당",설정_코스수당!$B$14:$F$14,0)),0)),0)</f>
        <v>0</v>
      </c>
      <c r="M1321" s="33">
        <f>IF($O1321="방문완료",IFERROR(VLOOKUP($E1321,설정_코스수당!$A$6:$H$10,6,FALSE),0),0)</f>
        <v>0</v>
      </c>
      <c r="N1321" s="34">
        <f t="shared" si="38"/>
        <v>0</v>
      </c>
      <c r="O1321" s="29"/>
      <c r="P1321" s="29"/>
      <c r="Q1321" s="29"/>
      <c r="R1321" s="32"/>
      <c r="S1321" s="29"/>
    </row>
    <row r="1322" spans="1:22" ht="19.5" hidden="1" customHeight="1" outlineLevel="1">
      <c r="A1322" s="23">
        <v>73</v>
      </c>
      <c r="B1322" s="24">
        <f>IF(13&lt;=DAY(DATE(YEAR(설정_코스수당!$K$2),MONTH(설정_코스수당!$K$2)+1,0)),DATE(YEAR(설정_코스수당!$K$2),MONTH(설정_코스수당!$K$2),13),"")</f>
        <v>46186</v>
      </c>
      <c r="C1322" s="25"/>
      <c r="D1322" s="23"/>
      <c r="E1322" s="23"/>
      <c r="F1322" s="26"/>
      <c r="G1322" s="23"/>
      <c r="H1322" s="23"/>
      <c r="I1322" s="23"/>
      <c r="J1322" s="27">
        <f>IF($O1322="방문완료",MAX(0,IFERROR(VLOOKUP($E1322,설정_코스수당!$A$6:$H$10,4,FALSE),0)-IF(OR($P1322="",$P1322="없음"),0,100000)),0)</f>
        <v>0</v>
      </c>
      <c r="K1322" s="27">
        <f t="array" ref="K1322">IF($O1322="방문완료",IFERROR(INDEX(설정_코스수당!$B$15:$F$64,MATCH($G1322,설정_코스수당!$A$15:$A$64,0),MATCH($E1322&amp;"수당",설정_코스수당!$B$14:$F$14,0)),0),0)</f>
        <v>0</v>
      </c>
      <c r="L1322" s="27">
        <f t="array" ref="L1322">IF($O1322="방문완료",IF($H1322="",0,IFERROR(INDEX(설정_코스수당!$B$15:$F$64,MATCH($H1322,설정_코스수당!$A$15:$A$64,0),MATCH($E1322&amp;"수당",설정_코스수당!$B$14:$F$14,0)),0)),0)</f>
        <v>0</v>
      </c>
      <c r="M1322" s="27">
        <f>IF($O1322="방문완료",IFERROR(VLOOKUP($E1322,설정_코스수당!$A$6:$H$10,6,FALSE),0),0)</f>
        <v>0</v>
      </c>
      <c r="N1322" s="28">
        <f t="shared" si="38"/>
        <v>0</v>
      </c>
      <c r="O1322" s="23"/>
      <c r="P1322" s="23"/>
      <c r="Q1322" s="23"/>
      <c r="R1322" s="26"/>
      <c r="S1322" s="23"/>
    </row>
    <row r="1323" spans="1:22" ht="19.5" hidden="1" customHeight="1" outlineLevel="1">
      <c r="A1323" s="29">
        <v>74</v>
      </c>
      <c r="B1323" s="30">
        <f>IF(13&lt;=DAY(DATE(YEAR(설정_코스수당!$K$2),MONTH(설정_코스수당!$K$2)+1,0)),DATE(YEAR(설정_코스수당!$K$2),MONTH(설정_코스수당!$K$2),13),"")</f>
        <v>46186</v>
      </c>
      <c r="C1323" s="31"/>
      <c r="D1323" s="29"/>
      <c r="E1323" s="29"/>
      <c r="F1323" s="32"/>
      <c r="G1323" s="29"/>
      <c r="H1323" s="29"/>
      <c r="I1323" s="29"/>
      <c r="J1323" s="33">
        <f>IF($O1323="방문완료",MAX(0,IFERROR(VLOOKUP($E1323,설정_코스수당!$A$6:$H$10,4,FALSE),0)-IF(OR($P1323="",$P1323="없음"),0,100000)),0)</f>
        <v>0</v>
      </c>
      <c r="K1323" s="33">
        <f t="array" ref="K1323">IF($O1323="방문완료",IFERROR(INDEX(설정_코스수당!$B$15:$F$64,MATCH($G1323,설정_코스수당!$A$15:$A$64,0),MATCH($E1323&amp;"수당",설정_코스수당!$B$14:$F$14,0)),0),0)</f>
        <v>0</v>
      </c>
      <c r="L1323" s="33">
        <f t="array" ref="L1323">IF($O1323="방문완료",IF($H1323="",0,IFERROR(INDEX(설정_코스수당!$B$15:$F$64,MATCH($H1323,설정_코스수당!$A$15:$A$64,0),MATCH($E1323&amp;"수당",설정_코스수당!$B$14:$F$14,0)),0)),0)</f>
        <v>0</v>
      </c>
      <c r="M1323" s="33">
        <f>IF($O1323="방문완료",IFERROR(VLOOKUP($E1323,설정_코스수당!$A$6:$H$10,6,FALSE),0),0)</f>
        <v>0</v>
      </c>
      <c r="N1323" s="34">
        <f t="shared" si="38"/>
        <v>0</v>
      </c>
      <c r="O1323" s="29"/>
      <c r="P1323" s="29"/>
      <c r="Q1323" s="29"/>
      <c r="R1323" s="32"/>
      <c r="S1323" s="29"/>
    </row>
    <row r="1324" spans="1:22" ht="19.5" hidden="1" customHeight="1" outlineLevel="1">
      <c r="A1324" s="23">
        <v>75</v>
      </c>
      <c r="B1324" s="24">
        <f>IF(13&lt;=DAY(DATE(YEAR(설정_코스수당!$K$2),MONTH(설정_코스수당!$K$2)+1,0)),DATE(YEAR(설정_코스수당!$K$2),MONTH(설정_코스수당!$K$2),13),"")</f>
        <v>46186</v>
      </c>
      <c r="C1324" s="25"/>
      <c r="D1324" s="23"/>
      <c r="E1324" s="23"/>
      <c r="F1324" s="26"/>
      <c r="G1324" s="23"/>
      <c r="H1324" s="23"/>
      <c r="I1324" s="23"/>
      <c r="J1324" s="27">
        <f>IF($O1324="방문완료",MAX(0,IFERROR(VLOOKUP($E1324,설정_코스수당!$A$6:$H$10,4,FALSE),0)-IF(OR($P1324="",$P1324="없음"),0,100000)),0)</f>
        <v>0</v>
      </c>
      <c r="K1324" s="27">
        <f t="array" ref="K1324">IF($O1324="방문완료",IFERROR(INDEX(설정_코스수당!$B$15:$F$64,MATCH($G1324,설정_코스수당!$A$15:$A$64,0),MATCH($E1324&amp;"수당",설정_코스수당!$B$14:$F$14,0)),0),0)</f>
        <v>0</v>
      </c>
      <c r="L1324" s="27">
        <f t="array" ref="L1324">IF($O1324="방문완료",IF($H1324="",0,IFERROR(INDEX(설정_코스수당!$B$15:$F$64,MATCH($H1324,설정_코스수당!$A$15:$A$64,0),MATCH($E1324&amp;"수당",설정_코스수당!$B$14:$F$14,0)),0)),0)</f>
        <v>0</v>
      </c>
      <c r="M1324" s="27">
        <f>IF($O1324="방문완료",IFERROR(VLOOKUP($E1324,설정_코스수당!$A$6:$H$10,6,FALSE),0),0)</f>
        <v>0</v>
      </c>
      <c r="N1324" s="28">
        <f t="shared" si="38"/>
        <v>0</v>
      </c>
      <c r="O1324" s="23"/>
      <c r="P1324" s="23"/>
      <c r="Q1324" s="23"/>
      <c r="R1324" s="26"/>
      <c r="S1324" s="23"/>
    </row>
    <row r="1325" spans="1:22" ht="19.5" hidden="1" customHeight="1" outlineLevel="1">
      <c r="A1325" s="29">
        <v>76</v>
      </c>
      <c r="B1325" s="30">
        <f>IF(13&lt;=DAY(DATE(YEAR(설정_코스수당!$K$2),MONTH(설정_코스수당!$K$2)+1,0)),DATE(YEAR(설정_코스수당!$K$2),MONTH(설정_코스수당!$K$2),13),"")</f>
        <v>46186</v>
      </c>
      <c r="C1325" s="31"/>
      <c r="D1325" s="29"/>
      <c r="E1325" s="29"/>
      <c r="F1325" s="32"/>
      <c r="G1325" s="29"/>
      <c r="H1325" s="29"/>
      <c r="I1325" s="29"/>
      <c r="J1325" s="33">
        <f>IF($O1325="방문완료",MAX(0,IFERROR(VLOOKUP($E1325,설정_코스수당!$A$6:$H$10,4,FALSE),0)-IF(OR($P1325="",$P1325="없음"),0,100000)),0)</f>
        <v>0</v>
      </c>
      <c r="K1325" s="33">
        <f t="array" ref="K1325">IF($O1325="방문완료",IFERROR(INDEX(설정_코스수당!$B$15:$F$64,MATCH($G1325,설정_코스수당!$A$15:$A$64,0),MATCH($E1325&amp;"수당",설정_코스수당!$B$14:$F$14,0)),0),0)</f>
        <v>0</v>
      </c>
      <c r="L1325" s="33">
        <f t="array" ref="L1325">IF($O1325="방문완료",IF($H1325="",0,IFERROR(INDEX(설정_코스수당!$B$15:$F$64,MATCH($H1325,설정_코스수당!$A$15:$A$64,0),MATCH($E1325&amp;"수당",설정_코스수당!$B$14:$F$14,0)),0)),0)</f>
        <v>0</v>
      </c>
      <c r="M1325" s="33">
        <f>IF($O1325="방문완료",IFERROR(VLOOKUP($E1325,설정_코스수당!$A$6:$H$10,6,FALSE),0),0)</f>
        <v>0</v>
      </c>
      <c r="N1325" s="34">
        <f t="shared" si="38"/>
        <v>0</v>
      </c>
      <c r="O1325" s="29"/>
      <c r="P1325" s="29"/>
      <c r="Q1325" s="29"/>
      <c r="R1325" s="32"/>
      <c r="S1325" s="29"/>
    </row>
    <row r="1326" spans="1:22" ht="19.5" hidden="1" customHeight="1" outlineLevel="1">
      <c r="A1326" s="23">
        <v>77</v>
      </c>
      <c r="B1326" s="24">
        <f>IF(13&lt;=DAY(DATE(YEAR(설정_코스수당!$K$2),MONTH(설정_코스수당!$K$2)+1,0)),DATE(YEAR(설정_코스수당!$K$2),MONTH(설정_코스수당!$K$2),13),"")</f>
        <v>46186</v>
      </c>
      <c r="C1326" s="25"/>
      <c r="D1326" s="23"/>
      <c r="E1326" s="23"/>
      <c r="F1326" s="26"/>
      <c r="G1326" s="23"/>
      <c r="H1326" s="23"/>
      <c r="I1326" s="23"/>
      <c r="J1326" s="27">
        <f>IF($O1326="방문완료",MAX(0,IFERROR(VLOOKUP($E1326,설정_코스수당!$A$6:$H$10,4,FALSE),0)-IF(OR($P1326="",$P1326="없음"),0,100000)),0)</f>
        <v>0</v>
      </c>
      <c r="K1326" s="27">
        <f t="array" ref="K1326">IF($O1326="방문완료",IFERROR(INDEX(설정_코스수당!$B$15:$F$64,MATCH($G1326,설정_코스수당!$A$15:$A$64,0),MATCH($E1326&amp;"수당",설정_코스수당!$B$14:$F$14,0)),0),0)</f>
        <v>0</v>
      </c>
      <c r="L1326" s="27">
        <f t="array" ref="L1326">IF($O1326="방문완료",IF($H1326="",0,IFERROR(INDEX(설정_코스수당!$B$15:$F$64,MATCH($H1326,설정_코스수당!$A$15:$A$64,0),MATCH($E1326&amp;"수당",설정_코스수당!$B$14:$F$14,0)),0)),0)</f>
        <v>0</v>
      </c>
      <c r="M1326" s="27">
        <f>IF($O1326="방문완료",IFERROR(VLOOKUP($E1326,설정_코스수당!$A$6:$H$10,6,FALSE),0),0)</f>
        <v>0</v>
      </c>
      <c r="N1326" s="28">
        <f t="shared" si="38"/>
        <v>0</v>
      </c>
      <c r="O1326" s="23"/>
      <c r="P1326" s="23"/>
      <c r="Q1326" s="23"/>
      <c r="R1326" s="26"/>
      <c r="S1326" s="23"/>
    </row>
    <row r="1327" spans="1:22" ht="19.5" hidden="1" customHeight="1" outlineLevel="1">
      <c r="A1327" s="29">
        <v>78</v>
      </c>
      <c r="B1327" s="30">
        <f>IF(13&lt;=DAY(DATE(YEAR(설정_코스수당!$K$2),MONTH(설정_코스수당!$K$2)+1,0)),DATE(YEAR(설정_코스수당!$K$2),MONTH(설정_코스수당!$K$2),13),"")</f>
        <v>46186</v>
      </c>
      <c r="C1327" s="31"/>
      <c r="D1327" s="29"/>
      <c r="E1327" s="29"/>
      <c r="F1327" s="32"/>
      <c r="G1327" s="29"/>
      <c r="H1327" s="29"/>
      <c r="I1327" s="29"/>
      <c r="J1327" s="33">
        <f>IF($O1327="방문완료",MAX(0,IFERROR(VLOOKUP($E1327,설정_코스수당!$A$6:$H$10,4,FALSE),0)-IF(OR($P1327="",$P1327="없음"),0,100000)),0)</f>
        <v>0</v>
      </c>
      <c r="K1327" s="33">
        <f t="array" ref="K1327">IF($O1327="방문완료",IFERROR(INDEX(설정_코스수당!$B$15:$F$64,MATCH($G1327,설정_코스수당!$A$15:$A$64,0),MATCH($E1327&amp;"수당",설정_코스수당!$B$14:$F$14,0)),0),0)</f>
        <v>0</v>
      </c>
      <c r="L1327" s="33">
        <f t="array" ref="L1327">IF($O1327="방문완료",IF($H1327="",0,IFERROR(INDEX(설정_코스수당!$B$15:$F$64,MATCH($H1327,설정_코스수당!$A$15:$A$64,0),MATCH($E1327&amp;"수당",설정_코스수당!$B$14:$F$14,0)),0)),0)</f>
        <v>0</v>
      </c>
      <c r="M1327" s="33">
        <f>IF($O1327="방문완료",IFERROR(VLOOKUP($E1327,설정_코스수당!$A$6:$H$10,6,FALSE),0),0)</f>
        <v>0</v>
      </c>
      <c r="N1327" s="34">
        <f t="shared" si="38"/>
        <v>0</v>
      </c>
      <c r="O1327" s="29"/>
      <c r="P1327" s="29"/>
      <c r="Q1327" s="29"/>
      <c r="R1327" s="32"/>
      <c r="S1327" s="29"/>
    </row>
    <row r="1328" spans="1:22" ht="19.5" hidden="1" customHeight="1" outlineLevel="1">
      <c r="A1328" s="23">
        <v>79</v>
      </c>
      <c r="B1328" s="24">
        <f>IF(13&lt;=DAY(DATE(YEAR(설정_코스수당!$K$2),MONTH(설정_코스수당!$K$2)+1,0)),DATE(YEAR(설정_코스수당!$K$2),MONTH(설정_코스수당!$K$2),13),"")</f>
        <v>46186</v>
      </c>
      <c r="C1328" s="25"/>
      <c r="D1328" s="23"/>
      <c r="E1328" s="23"/>
      <c r="F1328" s="26"/>
      <c r="G1328" s="23"/>
      <c r="H1328" s="23"/>
      <c r="I1328" s="23"/>
      <c r="J1328" s="27">
        <f>IF($O1328="방문완료",MAX(0,IFERROR(VLOOKUP($E1328,설정_코스수당!$A$6:$H$10,4,FALSE),0)-IF(OR($P1328="",$P1328="없음"),0,100000)),0)</f>
        <v>0</v>
      </c>
      <c r="K1328" s="27">
        <f t="array" ref="K1328">IF($O1328="방문완료",IFERROR(INDEX(설정_코스수당!$B$15:$F$64,MATCH($G1328,설정_코스수당!$A$15:$A$64,0),MATCH($E1328&amp;"수당",설정_코스수당!$B$14:$F$14,0)),0),0)</f>
        <v>0</v>
      </c>
      <c r="L1328" s="27">
        <f t="array" ref="L1328">IF($O1328="방문완료",IF($H1328="",0,IFERROR(INDEX(설정_코스수당!$B$15:$F$64,MATCH($H1328,설정_코스수당!$A$15:$A$64,0),MATCH($E1328&amp;"수당",설정_코스수당!$B$14:$F$14,0)),0)),0)</f>
        <v>0</v>
      </c>
      <c r="M1328" s="27">
        <f>IF($O1328="방문완료",IFERROR(VLOOKUP($E1328,설정_코스수당!$A$6:$H$10,6,FALSE),0),0)</f>
        <v>0</v>
      </c>
      <c r="N1328" s="28">
        <f t="shared" si="38"/>
        <v>0</v>
      </c>
      <c r="O1328" s="23"/>
      <c r="P1328" s="23"/>
      <c r="Q1328" s="23"/>
      <c r="R1328" s="26"/>
      <c r="S1328" s="23"/>
    </row>
    <row r="1329" spans="1:19" ht="19.5" hidden="1" customHeight="1" outlineLevel="1">
      <c r="A1329" s="29">
        <v>80</v>
      </c>
      <c r="B1329" s="30">
        <f>IF(13&lt;=DAY(DATE(YEAR(설정_코스수당!$K$2),MONTH(설정_코스수당!$K$2)+1,0)),DATE(YEAR(설정_코스수당!$K$2),MONTH(설정_코스수당!$K$2),13),"")</f>
        <v>46186</v>
      </c>
      <c r="C1329" s="31"/>
      <c r="D1329" s="29"/>
      <c r="E1329" s="29"/>
      <c r="F1329" s="32"/>
      <c r="G1329" s="29"/>
      <c r="H1329" s="29"/>
      <c r="I1329" s="29"/>
      <c r="J1329" s="33">
        <f>IF($O1329="방문완료",MAX(0,IFERROR(VLOOKUP($E1329,설정_코스수당!$A$6:$H$10,4,FALSE),0)-IF(OR($P1329="",$P1329="없음"),0,100000)),0)</f>
        <v>0</v>
      </c>
      <c r="K1329" s="33">
        <f t="array" ref="K1329">IF($O1329="방문완료",IFERROR(INDEX(설정_코스수당!$B$15:$F$64,MATCH($G1329,설정_코스수당!$A$15:$A$64,0),MATCH($E1329&amp;"수당",설정_코스수당!$B$14:$F$14,0)),0),0)</f>
        <v>0</v>
      </c>
      <c r="L1329" s="33">
        <f t="array" ref="L1329">IF($O1329="방문완료",IF($H1329="",0,IFERROR(INDEX(설정_코스수당!$B$15:$F$64,MATCH($H1329,설정_코스수당!$A$15:$A$64,0),MATCH($E1329&amp;"수당",설정_코스수당!$B$14:$F$14,0)),0)),0)</f>
        <v>0</v>
      </c>
      <c r="M1329" s="33">
        <f>IF($O1329="방문완료",IFERROR(VLOOKUP($E1329,설정_코스수당!$A$6:$H$10,6,FALSE),0),0)</f>
        <v>0</v>
      </c>
      <c r="N1329" s="34">
        <f t="shared" si="38"/>
        <v>0</v>
      </c>
      <c r="O1329" s="29"/>
      <c r="P1329" s="29"/>
      <c r="Q1329" s="29"/>
      <c r="R1329" s="32"/>
      <c r="S1329" s="29"/>
    </row>
    <row r="1330" spans="1:19" ht="19.5" hidden="1" customHeight="1" outlineLevel="1">
      <c r="A1330" s="23">
        <v>81</v>
      </c>
      <c r="B1330" s="24">
        <f>IF(13&lt;=DAY(DATE(YEAR(설정_코스수당!$K$2),MONTH(설정_코스수당!$K$2)+1,0)),DATE(YEAR(설정_코스수당!$K$2),MONTH(설정_코스수당!$K$2),13),"")</f>
        <v>46186</v>
      </c>
      <c r="C1330" s="25"/>
      <c r="D1330" s="23"/>
      <c r="E1330" s="23"/>
      <c r="F1330" s="26"/>
      <c r="G1330" s="23"/>
      <c r="H1330" s="23"/>
      <c r="I1330" s="23"/>
      <c r="J1330" s="27">
        <f>IF($O1330="방문완료",MAX(0,IFERROR(VLOOKUP($E1330,설정_코스수당!$A$6:$H$10,4,FALSE),0)-IF(OR($P1330="",$P1330="없음"),0,100000)),0)</f>
        <v>0</v>
      </c>
      <c r="K1330" s="27">
        <f t="array" ref="K1330">IF($O1330="방문완료",IFERROR(INDEX(설정_코스수당!$B$15:$F$64,MATCH($G1330,설정_코스수당!$A$15:$A$64,0),MATCH($E1330&amp;"수당",설정_코스수당!$B$14:$F$14,0)),0),0)</f>
        <v>0</v>
      </c>
      <c r="L1330" s="27">
        <f t="array" ref="L1330">IF($O1330="방문완료",IF($H1330="",0,IFERROR(INDEX(설정_코스수당!$B$15:$F$64,MATCH($H1330,설정_코스수당!$A$15:$A$64,0),MATCH($E1330&amp;"수당",설정_코스수당!$B$14:$F$14,0)),0)),0)</f>
        <v>0</v>
      </c>
      <c r="M1330" s="27">
        <f>IF($O1330="방문완료",IFERROR(VLOOKUP($E1330,설정_코스수당!$A$6:$H$10,6,FALSE),0),0)</f>
        <v>0</v>
      </c>
      <c r="N1330" s="28">
        <f t="shared" si="38"/>
        <v>0</v>
      </c>
      <c r="O1330" s="23"/>
      <c r="P1330" s="23"/>
      <c r="Q1330" s="23"/>
      <c r="R1330" s="26"/>
      <c r="S1330" s="23"/>
    </row>
    <row r="1331" spans="1:19" ht="19.5" hidden="1" customHeight="1" outlineLevel="1">
      <c r="A1331" s="29">
        <v>82</v>
      </c>
      <c r="B1331" s="30">
        <f>IF(13&lt;=DAY(DATE(YEAR(설정_코스수당!$K$2),MONTH(설정_코스수당!$K$2)+1,0)),DATE(YEAR(설정_코스수당!$K$2),MONTH(설정_코스수당!$K$2),13),"")</f>
        <v>46186</v>
      </c>
      <c r="C1331" s="31"/>
      <c r="D1331" s="29"/>
      <c r="E1331" s="29"/>
      <c r="F1331" s="32"/>
      <c r="G1331" s="29"/>
      <c r="H1331" s="29"/>
      <c r="I1331" s="29"/>
      <c r="J1331" s="33">
        <f>IF($O1331="방문완료",MAX(0,IFERROR(VLOOKUP($E1331,설정_코스수당!$A$6:$H$10,4,FALSE),0)-IF(OR($P1331="",$P1331="없음"),0,100000)),0)</f>
        <v>0</v>
      </c>
      <c r="K1331" s="33">
        <f t="array" ref="K1331">IF($O1331="방문완료",IFERROR(INDEX(설정_코스수당!$B$15:$F$64,MATCH($G1331,설정_코스수당!$A$15:$A$64,0),MATCH($E1331&amp;"수당",설정_코스수당!$B$14:$F$14,0)),0),0)</f>
        <v>0</v>
      </c>
      <c r="L1331" s="33">
        <f t="array" ref="L1331">IF($O1331="방문완료",IF($H1331="",0,IFERROR(INDEX(설정_코스수당!$B$15:$F$64,MATCH($H1331,설정_코스수당!$A$15:$A$64,0),MATCH($E1331&amp;"수당",설정_코스수당!$B$14:$F$14,0)),0)),0)</f>
        <v>0</v>
      </c>
      <c r="M1331" s="33">
        <f>IF($O1331="방문완료",IFERROR(VLOOKUP($E1331,설정_코스수당!$A$6:$H$10,6,FALSE),0),0)</f>
        <v>0</v>
      </c>
      <c r="N1331" s="34">
        <f t="shared" si="38"/>
        <v>0</v>
      </c>
      <c r="O1331" s="29"/>
      <c r="P1331" s="29"/>
      <c r="Q1331" s="29"/>
      <c r="R1331" s="32"/>
      <c r="S1331" s="29"/>
    </row>
    <row r="1332" spans="1:19" ht="19.5" hidden="1" customHeight="1" outlineLevel="1">
      <c r="A1332" s="23">
        <v>83</v>
      </c>
      <c r="B1332" s="24">
        <f>IF(13&lt;=DAY(DATE(YEAR(설정_코스수당!$K$2),MONTH(설정_코스수당!$K$2)+1,0)),DATE(YEAR(설정_코스수당!$K$2),MONTH(설정_코스수당!$K$2),13),"")</f>
        <v>46186</v>
      </c>
      <c r="C1332" s="25"/>
      <c r="D1332" s="23"/>
      <c r="E1332" s="23"/>
      <c r="F1332" s="26"/>
      <c r="G1332" s="23"/>
      <c r="H1332" s="23"/>
      <c r="I1332" s="23"/>
      <c r="J1332" s="27">
        <f>IF($O1332="방문완료",MAX(0,IFERROR(VLOOKUP($E1332,설정_코스수당!$A$6:$H$10,4,FALSE),0)-IF(OR($P1332="",$P1332="없음"),0,100000)),0)</f>
        <v>0</v>
      </c>
      <c r="K1332" s="27">
        <f t="array" ref="K1332">IF($O1332="방문완료",IFERROR(INDEX(설정_코스수당!$B$15:$F$64,MATCH($G1332,설정_코스수당!$A$15:$A$64,0),MATCH($E1332&amp;"수당",설정_코스수당!$B$14:$F$14,0)),0),0)</f>
        <v>0</v>
      </c>
      <c r="L1332" s="27">
        <f t="array" ref="L1332">IF($O1332="방문완료",IF($H1332="",0,IFERROR(INDEX(설정_코스수당!$B$15:$F$64,MATCH($H1332,설정_코스수당!$A$15:$A$64,0),MATCH($E1332&amp;"수당",설정_코스수당!$B$14:$F$14,0)),0)),0)</f>
        <v>0</v>
      </c>
      <c r="M1332" s="27">
        <f>IF($O1332="방문완료",IFERROR(VLOOKUP($E1332,설정_코스수당!$A$6:$H$10,6,FALSE),0),0)</f>
        <v>0</v>
      </c>
      <c r="N1332" s="28">
        <f t="shared" si="38"/>
        <v>0</v>
      </c>
      <c r="O1332" s="23"/>
      <c r="P1332" s="23"/>
      <c r="Q1332" s="23"/>
      <c r="R1332" s="26"/>
      <c r="S1332" s="23"/>
    </row>
    <row r="1333" spans="1:19" ht="19.5" hidden="1" customHeight="1" outlineLevel="1">
      <c r="A1333" s="29">
        <v>84</v>
      </c>
      <c r="B1333" s="30">
        <f>IF(13&lt;=DAY(DATE(YEAR(설정_코스수당!$K$2),MONTH(설정_코스수당!$K$2)+1,0)),DATE(YEAR(설정_코스수당!$K$2),MONTH(설정_코스수당!$K$2),13),"")</f>
        <v>46186</v>
      </c>
      <c r="C1333" s="31"/>
      <c r="D1333" s="29"/>
      <c r="E1333" s="29"/>
      <c r="F1333" s="32"/>
      <c r="G1333" s="29"/>
      <c r="H1333" s="29"/>
      <c r="I1333" s="29"/>
      <c r="J1333" s="33">
        <f>IF($O1333="방문완료",MAX(0,IFERROR(VLOOKUP($E1333,설정_코스수당!$A$6:$H$10,4,FALSE),0)-IF(OR($P1333="",$P1333="없음"),0,100000)),0)</f>
        <v>0</v>
      </c>
      <c r="K1333" s="33">
        <f t="array" ref="K1333">IF($O1333="방문완료",IFERROR(INDEX(설정_코스수당!$B$15:$F$64,MATCH($G1333,설정_코스수당!$A$15:$A$64,0),MATCH($E1333&amp;"수당",설정_코스수당!$B$14:$F$14,0)),0),0)</f>
        <v>0</v>
      </c>
      <c r="L1333" s="33">
        <f t="array" ref="L1333">IF($O1333="방문완료",IF($H1333="",0,IFERROR(INDEX(설정_코스수당!$B$15:$F$64,MATCH($H1333,설정_코스수당!$A$15:$A$64,0),MATCH($E1333&amp;"수당",설정_코스수당!$B$14:$F$14,0)),0)),0)</f>
        <v>0</v>
      </c>
      <c r="M1333" s="33">
        <f>IF($O1333="방문완료",IFERROR(VLOOKUP($E1333,설정_코스수당!$A$6:$H$10,6,FALSE),0),0)</f>
        <v>0</v>
      </c>
      <c r="N1333" s="34">
        <f t="shared" si="38"/>
        <v>0</v>
      </c>
      <c r="O1333" s="29"/>
      <c r="P1333" s="29"/>
      <c r="Q1333" s="29"/>
      <c r="R1333" s="32"/>
      <c r="S1333" s="29"/>
    </row>
    <row r="1334" spans="1:19" ht="19.5" hidden="1" customHeight="1" outlineLevel="1">
      <c r="A1334" s="23">
        <v>85</v>
      </c>
      <c r="B1334" s="24">
        <f>IF(13&lt;=DAY(DATE(YEAR(설정_코스수당!$K$2),MONTH(설정_코스수당!$K$2)+1,0)),DATE(YEAR(설정_코스수당!$K$2),MONTH(설정_코스수당!$K$2),13),"")</f>
        <v>46186</v>
      </c>
      <c r="C1334" s="25"/>
      <c r="D1334" s="23"/>
      <c r="E1334" s="23"/>
      <c r="F1334" s="26"/>
      <c r="G1334" s="23"/>
      <c r="H1334" s="23"/>
      <c r="I1334" s="23"/>
      <c r="J1334" s="27">
        <f>IF($O1334="방문완료",MAX(0,IFERROR(VLOOKUP($E1334,설정_코스수당!$A$6:$H$10,4,FALSE),0)-IF(OR($P1334="",$P1334="없음"),0,100000)),0)</f>
        <v>0</v>
      </c>
      <c r="K1334" s="27">
        <f t="array" ref="K1334">IF($O1334="방문완료",IFERROR(INDEX(설정_코스수당!$B$15:$F$64,MATCH($G1334,설정_코스수당!$A$15:$A$64,0),MATCH($E1334&amp;"수당",설정_코스수당!$B$14:$F$14,0)),0),0)</f>
        <v>0</v>
      </c>
      <c r="L1334" s="27">
        <f t="array" ref="L1334">IF($O1334="방문완료",IF($H1334="",0,IFERROR(INDEX(설정_코스수당!$B$15:$F$64,MATCH($H1334,설정_코스수당!$A$15:$A$64,0),MATCH($E1334&amp;"수당",설정_코스수당!$B$14:$F$14,0)),0)),0)</f>
        <v>0</v>
      </c>
      <c r="M1334" s="27">
        <f>IF($O1334="방문완료",IFERROR(VLOOKUP($E1334,설정_코스수당!$A$6:$H$10,6,FALSE),0),0)</f>
        <v>0</v>
      </c>
      <c r="N1334" s="28">
        <f t="shared" si="38"/>
        <v>0</v>
      </c>
      <c r="O1334" s="23"/>
      <c r="P1334" s="23"/>
      <c r="Q1334" s="23"/>
      <c r="R1334" s="26"/>
      <c r="S1334" s="23"/>
    </row>
    <row r="1335" spans="1:19" ht="19.5" hidden="1" customHeight="1" outlineLevel="1">
      <c r="A1335" s="29">
        <v>86</v>
      </c>
      <c r="B1335" s="30">
        <f>IF(13&lt;=DAY(DATE(YEAR(설정_코스수당!$K$2),MONTH(설정_코스수당!$K$2)+1,0)),DATE(YEAR(설정_코스수당!$K$2),MONTH(설정_코스수당!$K$2),13),"")</f>
        <v>46186</v>
      </c>
      <c r="C1335" s="31"/>
      <c r="D1335" s="29"/>
      <c r="E1335" s="29"/>
      <c r="F1335" s="32"/>
      <c r="G1335" s="29"/>
      <c r="H1335" s="29"/>
      <c r="I1335" s="29"/>
      <c r="J1335" s="33">
        <f>IF($O1335="방문완료",MAX(0,IFERROR(VLOOKUP($E1335,설정_코스수당!$A$6:$H$10,4,FALSE),0)-IF(OR($P1335="",$P1335="없음"),0,100000)),0)</f>
        <v>0</v>
      </c>
      <c r="K1335" s="33">
        <f t="array" ref="K1335">IF($O1335="방문완료",IFERROR(INDEX(설정_코스수당!$B$15:$F$64,MATCH($G1335,설정_코스수당!$A$15:$A$64,0),MATCH($E1335&amp;"수당",설정_코스수당!$B$14:$F$14,0)),0),0)</f>
        <v>0</v>
      </c>
      <c r="L1335" s="33">
        <f t="array" ref="L1335">IF($O1335="방문완료",IF($H1335="",0,IFERROR(INDEX(설정_코스수당!$B$15:$F$64,MATCH($H1335,설정_코스수당!$A$15:$A$64,0),MATCH($E1335&amp;"수당",설정_코스수당!$B$14:$F$14,0)),0)),0)</f>
        <v>0</v>
      </c>
      <c r="M1335" s="33">
        <f>IF($O1335="방문완료",IFERROR(VLOOKUP($E1335,설정_코스수당!$A$6:$H$10,6,FALSE),0),0)</f>
        <v>0</v>
      </c>
      <c r="N1335" s="34">
        <f t="shared" si="38"/>
        <v>0</v>
      </c>
      <c r="O1335" s="29"/>
      <c r="P1335" s="29"/>
      <c r="Q1335" s="29"/>
      <c r="R1335" s="32"/>
      <c r="S1335" s="29"/>
    </row>
    <row r="1336" spans="1:19" ht="19.5" hidden="1" customHeight="1" outlineLevel="1">
      <c r="A1336" s="23">
        <v>87</v>
      </c>
      <c r="B1336" s="24">
        <f>IF(13&lt;=DAY(DATE(YEAR(설정_코스수당!$K$2),MONTH(설정_코스수당!$K$2)+1,0)),DATE(YEAR(설정_코스수당!$K$2),MONTH(설정_코스수당!$K$2),13),"")</f>
        <v>46186</v>
      </c>
      <c r="C1336" s="25"/>
      <c r="D1336" s="23"/>
      <c r="E1336" s="23"/>
      <c r="F1336" s="26"/>
      <c r="G1336" s="23"/>
      <c r="H1336" s="23"/>
      <c r="I1336" s="23"/>
      <c r="J1336" s="27">
        <f>IF($O1336="방문완료",MAX(0,IFERROR(VLOOKUP($E1336,설정_코스수당!$A$6:$H$10,4,FALSE),0)-IF(OR($P1336="",$P1336="없음"),0,100000)),0)</f>
        <v>0</v>
      </c>
      <c r="K1336" s="27">
        <f t="array" ref="K1336">IF($O1336="방문완료",IFERROR(INDEX(설정_코스수당!$B$15:$F$64,MATCH($G1336,설정_코스수당!$A$15:$A$64,0),MATCH($E1336&amp;"수당",설정_코스수당!$B$14:$F$14,0)),0),0)</f>
        <v>0</v>
      </c>
      <c r="L1336" s="27">
        <f t="array" ref="L1336">IF($O1336="방문완료",IF($H1336="",0,IFERROR(INDEX(설정_코스수당!$B$15:$F$64,MATCH($H1336,설정_코스수당!$A$15:$A$64,0),MATCH($E1336&amp;"수당",설정_코스수당!$B$14:$F$14,0)),0)),0)</f>
        <v>0</v>
      </c>
      <c r="M1336" s="27">
        <f>IF($O1336="방문완료",IFERROR(VLOOKUP($E1336,설정_코스수당!$A$6:$H$10,6,FALSE),0),0)</f>
        <v>0</v>
      </c>
      <c r="N1336" s="28">
        <f t="shared" si="38"/>
        <v>0</v>
      </c>
      <c r="O1336" s="23"/>
      <c r="P1336" s="23"/>
      <c r="Q1336" s="23"/>
      <c r="R1336" s="26"/>
      <c r="S1336" s="23"/>
    </row>
    <row r="1337" spans="1:19" ht="19.5" hidden="1" customHeight="1" outlineLevel="1">
      <c r="A1337" s="29">
        <v>88</v>
      </c>
      <c r="B1337" s="30">
        <f>IF(13&lt;=DAY(DATE(YEAR(설정_코스수당!$K$2),MONTH(설정_코스수당!$K$2)+1,0)),DATE(YEAR(설정_코스수당!$K$2),MONTH(설정_코스수당!$K$2),13),"")</f>
        <v>46186</v>
      </c>
      <c r="C1337" s="31"/>
      <c r="D1337" s="29"/>
      <c r="E1337" s="29"/>
      <c r="F1337" s="32"/>
      <c r="G1337" s="29"/>
      <c r="H1337" s="29"/>
      <c r="I1337" s="29"/>
      <c r="J1337" s="33">
        <f>IF($O1337="방문완료",MAX(0,IFERROR(VLOOKUP($E1337,설정_코스수당!$A$6:$H$10,4,FALSE),0)-IF(OR($P1337="",$P1337="없음"),0,100000)),0)</f>
        <v>0</v>
      </c>
      <c r="K1337" s="33">
        <f t="array" ref="K1337">IF($O1337="방문완료",IFERROR(INDEX(설정_코스수당!$B$15:$F$64,MATCH($G1337,설정_코스수당!$A$15:$A$64,0),MATCH($E1337&amp;"수당",설정_코스수당!$B$14:$F$14,0)),0),0)</f>
        <v>0</v>
      </c>
      <c r="L1337" s="33">
        <f t="array" ref="L1337">IF($O1337="방문완료",IF($H1337="",0,IFERROR(INDEX(설정_코스수당!$B$15:$F$64,MATCH($H1337,설정_코스수당!$A$15:$A$64,0),MATCH($E1337&amp;"수당",설정_코스수당!$B$14:$F$14,0)),0)),0)</f>
        <v>0</v>
      </c>
      <c r="M1337" s="33">
        <f>IF($O1337="방문완료",IFERROR(VLOOKUP($E1337,설정_코스수당!$A$6:$H$10,6,FALSE),0),0)</f>
        <v>0</v>
      </c>
      <c r="N1337" s="34">
        <f t="shared" si="38"/>
        <v>0</v>
      </c>
      <c r="O1337" s="29"/>
      <c r="P1337" s="29"/>
      <c r="Q1337" s="29"/>
      <c r="R1337" s="32"/>
      <c r="S1337" s="29"/>
    </row>
    <row r="1338" spans="1:19" ht="19.5" hidden="1" customHeight="1" outlineLevel="1">
      <c r="A1338" s="23">
        <v>89</v>
      </c>
      <c r="B1338" s="24">
        <f>IF(13&lt;=DAY(DATE(YEAR(설정_코스수당!$K$2),MONTH(설정_코스수당!$K$2)+1,0)),DATE(YEAR(설정_코스수당!$K$2),MONTH(설정_코스수당!$K$2),13),"")</f>
        <v>46186</v>
      </c>
      <c r="C1338" s="25"/>
      <c r="D1338" s="23"/>
      <c r="E1338" s="23"/>
      <c r="F1338" s="26"/>
      <c r="G1338" s="23"/>
      <c r="H1338" s="23"/>
      <c r="I1338" s="23"/>
      <c r="J1338" s="27">
        <f>IF($O1338="방문완료",MAX(0,IFERROR(VLOOKUP($E1338,설정_코스수당!$A$6:$H$10,4,FALSE),0)-IF(OR($P1338="",$P1338="없음"),0,100000)),0)</f>
        <v>0</v>
      </c>
      <c r="K1338" s="27">
        <f t="array" ref="K1338">IF($O1338="방문완료",IFERROR(INDEX(설정_코스수당!$B$15:$F$64,MATCH($G1338,설정_코스수당!$A$15:$A$64,0),MATCH($E1338&amp;"수당",설정_코스수당!$B$14:$F$14,0)),0),0)</f>
        <v>0</v>
      </c>
      <c r="L1338" s="27">
        <f t="array" ref="L1338">IF($O1338="방문완료",IF($H1338="",0,IFERROR(INDEX(설정_코스수당!$B$15:$F$64,MATCH($H1338,설정_코스수당!$A$15:$A$64,0),MATCH($E1338&amp;"수당",설정_코스수당!$B$14:$F$14,0)),0)),0)</f>
        <v>0</v>
      </c>
      <c r="M1338" s="27">
        <f>IF($O1338="방문완료",IFERROR(VLOOKUP($E1338,설정_코스수당!$A$6:$H$10,6,FALSE),0),0)</f>
        <v>0</v>
      </c>
      <c r="N1338" s="28">
        <f t="shared" si="38"/>
        <v>0</v>
      </c>
      <c r="O1338" s="23"/>
      <c r="P1338" s="23"/>
      <c r="Q1338" s="23"/>
      <c r="R1338" s="26"/>
      <c r="S1338" s="23"/>
    </row>
    <row r="1339" spans="1:19" ht="19.5" hidden="1" customHeight="1" outlineLevel="1">
      <c r="A1339" s="29">
        <v>90</v>
      </c>
      <c r="B1339" s="30">
        <f>IF(13&lt;=DAY(DATE(YEAR(설정_코스수당!$K$2),MONTH(설정_코스수당!$K$2)+1,0)),DATE(YEAR(설정_코스수당!$K$2),MONTH(설정_코스수당!$K$2),13),"")</f>
        <v>46186</v>
      </c>
      <c r="C1339" s="31"/>
      <c r="D1339" s="29"/>
      <c r="E1339" s="29"/>
      <c r="F1339" s="32"/>
      <c r="G1339" s="29"/>
      <c r="H1339" s="29"/>
      <c r="I1339" s="29"/>
      <c r="J1339" s="33">
        <f>IF($O1339="방문완료",MAX(0,IFERROR(VLOOKUP($E1339,설정_코스수당!$A$6:$H$10,4,FALSE),0)-IF(OR($P1339="",$P1339="없음"),0,100000)),0)</f>
        <v>0</v>
      </c>
      <c r="K1339" s="33">
        <f t="array" ref="K1339">IF($O1339="방문완료",IFERROR(INDEX(설정_코스수당!$B$15:$F$64,MATCH($G1339,설정_코스수당!$A$15:$A$64,0),MATCH($E1339&amp;"수당",설정_코스수당!$B$14:$F$14,0)),0),0)</f>
        <v>0</v>
      </c>
      <c r="L1339" s="33">
        <f t="array" ref="L1339">IF($O1339="방문완료",IF($H1339="",0,IFERROR(INDEX(설정_코스수당!$B$15:$F$64,MATCH($H1339,설정_코스수당!$A$15:$A$64,0),MATCH($E1339&amp;"수당",설정_코스수당!$B$14:$F$14,0)),0)),0)</f>
        <v>0</v>
      </c>
      <c r="M1339" s="33">
        <f>IF($O1339="방문완료",IFERROR(VLOOKUP($E1339,설정_코스수당!$A$6:$H$10,6,FALSE),0),0)</f>
        <v>0</v>
      </c>
      <c r="N1339" s="34">
        <f t="shared" si="38"/>
        <v>0</v>
      </c>
      <c r="O1339" s="29"/>
      <c r="P1339" s="29"/>
      <c r="Q1339" s="29"/>
      <c r="R1339" s="32"/>
      <c r="S1339" s="29"/>
    </row>
    <row r="1340" spans="1:19" ht="19.5" hidden="1" customHeight="1" outlineLevel="1">
      <c r="A1340" s="23">
        <v>91</v>
      </c>
      <c r="B1340" s="24">
        <f>IF(13&lt;=DAY(DATE(YEAR(설정_코스수당!$K$2),MONTH(설정_코스수당!$K$2)+1,0)),DATE(YEAR(설정_코스수당!$K$2),MONTH(설정_코스수당!$K$2),13),"")</f>
        <v>46186</v>
      </c>
      <c r="C1340" s="25"/>
      <c r="D1340" s="23"/>
      <c r="E1340" s="23"/>
      <c r="F1340" s="26"/>
      <c r="G1340" s="23"/>
      <c r="H1340" s="23"/>
      <c r="I1340" s="23"/>
      <c r="J1340" s="27">
        <f>IF($O1340="방문완료",MAX(0,IFERROR(VLOOKUP($E1340,설정_코스수당!$A$6:$H$10,4,FALSE),0)-IF(OR($P1340="",$P1340="없음"),0,100000)),0)</f>
        <v>0</v>
      </c>
      <c r="K1340" s="27">
        <f t="array" ref="K1340">IF($O1340="방문완료",IFERROR(INDEX(설정_코스수당!$B$15:$F$64,MATCH($G1340,설정_코스수당!$A$15:$A$64,0),MATCH($E1340&amp;"수당",설정_코스수당!$B$14:$F$14,0)),0),0)</f>
        <v>0</v>
      </c>
      <c r="L1340" s="27">
        <f t="array" ref="L1340">IF($O1340="방문완료",IF($H1340="",0,IFERROR(INDEX(설정_코스수당!$B$15:$F$64,MATCH($H1340,설정_코스수당!$A$15:$A$64,0),MATCH($E1340&amp;"수당",설정_코스수당!$B$14:$F$14,0)),0)),0)</f>
        <v>0</v>
      </c>
      <c r="M1340" s="27">
        <f>IF($O1340="방문완료",IFERROR(VLOOKUP($E1340,설정_코스수당!$A$6:$H$10,6,FALSE),0),0)</f>
        <v>0</v>
      </c>
      <c r="N1340" s="28">
        <f t="shared" si="38"/>
        <v>0</v>
      </c>
      <c r="O1340" s="23"/>
      <c r="P1340" s="23"/>
      <c r="Q1340" s="23"/>
      <c r="R1340" s="26"/>
      <c r="S1340" s="23"/>
    </row>
    <row r="1341" spans="1:19" ht="19.5" hidden="1" customHeight="1" outlineLevel="1">
      <c r="A1341" s="29">
        <v>92</v>
      </c>
      <c r="B1341" s="30">
        <f>IF(13&lt;=DAY(DATE(YEAR(설정_코스수당!$K$2),MONTH(설정_코스수당!$K$2)+1,0)),DATE(YEAR(설정_코스수당!$K$2),MONTH(설정_코스수당!$K$2),13),"")</f>
        <v>46186</v>
      </c>
      <c r="C1341" s="31"/>
      <c r="D1341" s="29"/>
      <c r="E1341" s="29"/>
      <c r="F1341" s="32"/>
      <c r="G1341" s="29"/>
      <c r="H1341" s="29"/>
      <c r="I1341" s="29"/>
      <c r="J1341" s="33">
        <f>IF($O1341="방문완료",MAX(0,IFERROR(VLOOKUP($E1341,설정_코스수당!$A$6:$H$10,4,FALSE),0)-IF(OR($P1341="",$P1341="없음"),0,100000)),0)</f>
        <v>0</v>
      </c>
      <c r="K1341" s="33">
        <f t="array" ref="K1341">IF($O1341="방문완료",IFERROR(INDEX(설정_코스수당!$B$15:$F$64,MATCH($G1341,설정_코스수당!$A$15:$A$64,0),MATCH($E1341&amp;"수당",설정_코스수당!$B$14:$F$14,0)),0),0)</f>
        <v>0</v>
      </c>
      <c r="L1341" s="33">
        <f t="array" ref="L1341">IF($O1341="방문완료",IF($H1341="",0,IFERROR(INDEX(설정_코스수당!$B$15:$F$64,MATCH($H1341,설정_코스수당!$A$15:$A$64,0),MATCH($E1341&amp;"수당",설정_코스수당!$B$14:$F$14,0)),0)),0)</f>
        <v>0</v>
      </c>
      <c r="M1341" s="33">
        <f>IF($O1341="방문완료",IFERROR(VLOOKUP($E1341,설정_코스수당!$A$6:$H$10,6,FALSE),0),0)</f>
        <v>0</v>
      </c>
      <c r="N1341" s="34">
        <f t="shared" si="38"/>
        <v>0</v>
      </c>
      <c r="O1341" s="29"/>
      <c r="P1341" s="29"/>
      <c r="Q1341" s="29"/>
      <c r="R1341" s="32"/>
      <c r="S1341" s="29"/>
    </row>
    <row r="1342" spans="1:19" ht="19.5" hidden="1" customHeight="1" outlineLevel="1">
      <c r="A1342" s="23">
        <v>93</v>
      </c>
      <c r="B1342" s="24">
        <f>IF(13&lt;=DAY(DATE(YEAR(설정_코스수당!$K$2),MONTH(설정_코스수당!$K$2)+1,0)),DATE(YEAR(설정_코스수당!$K$2),MONTH(설정_코스수당!$K$2),13),"")</f>
        <v>46186</v>
      </c>
      <c r="C1342" s="25"/>
      <c r="D1342" s="23"/>
      <c r="E1342" s="23"/>
      <c r="F1342" s="26"/>
      <c r="G1342" s="23"/>
      <c r="H1342" s="23"/>
      <c r="I1342" s="23"/>
      <c r="J1342" s="27">
        <f>IF($O1342="방문완료",MAX(0,IFERROR(VLOOKUP($E1342,설정_코스수당!$A$6:$H$10,4,FALSE),0)-IF(OR($P1342="",$P1342="없음"),0,100000)),0)</f>
        <v>0</v>
      </c>
      <c r="K1342" s="27">
        <f t="array" ref="K1342">IF($O1342="방문완료",IFERROR(INDEX(설정_코스수당!$B$15:$F$64,MATCH($G1342,설정_코스수당!$A$15:$A$64,0),MATCH($E1342&amp;"수당",설정_코스수당!$B$14:$F$14,0)),0),0)</f>
        <v>0</v>
      </c>
      <c r="L1342" s="27">
        <f t="array" ref="L1342">IF($O1342="방문완료",IF($H1342="",0,IFERROR(INDEX(설정_코스수당!$B$15:$F$64,MATCH($H1342,설정_코스수당!$A$15:$A$64,0),MATCH($E1342&amp;"수당",설정_코스수당!$B$14:$F$14,0)),0)),0)</f>
        <v>0</v>
      </c>
      <c r="M1342" s="27">
        <f>IF($O1342="방문완료",IFERROR(VLOOKUP($E1342,설정_코스수당!$A$6:$H$10,6,FALSE),0),0)</f>
        <v>0</v>
      </c>
      <c r="N1342" s="28">
        <f t="shared" si="38"/>
        <v>0</v>
      </c>
      <c r="O1342" s="23"/>
      <c r="P1342" s="23"/>
      <c r="Q1342" s="23"/>
      <c r="R1342" s="26"/>
      <c r="S1342" s="23"/>
    </row>
    <row r="1343" spans="1:19" ht="19.5" hidden="1" customHeight="1" outlineLevel="1">
      <c r="A1343" s="29">
        <v>94</v>
      </c>
      <c r="B1343" s="30">
        <f>IF(13&lt;=DAY(DATE(YEAR(설정_코스수당!$K$2),MONTH(설정_코스수당!$K$2)+1,0)),DATE(YEAR(설정_코스수당!$K$2),MONTH(설정_코스수당!$K$2),13),"")</f>
        <v>46186</v>
      </c>
      <c r="C1343" s="31"/>
      <c r="D1343" s="29"/>
      <c r="E1343" s="29"/>
      <c r="F1343" s="32"/>
      <c r="G1343" s="29"/>
      <c r="H1343" s="29"/>
      <c r="I1343" s="29"/>
      <c r="J1343" s="33">
        <f>IF($O1343="방문완료",MAX(0,IFERROR(VLOOKUP($E1343,설정_코스수당!$A$6:$H$10,4,FALSE),0)-IF(OR($P1343="",$P1343="없음"),0,100000)),0)</f>
        <v>0</v>
      </c>
      <c r="K1343" s="33">
        <f t="array" ref="K1343">IF($O1343="방문완료",IFERROR(INDEX(설정_코스수당!$B$15:$F$64,MATCH($G1343,설정_코스수당!$A$15:$A$64,0),MATCH($E1343&amp;"수당",설정_코스수당!$B$14:$F$14,0)),0),0)</f>
        <v>0</v>
      </c>
      <c r="L1343" s="33">
        <f t="array" ref="L1343">IF($O1343="방문완료",IF($H1343="",0,IFERROR(INDEX(설정_코스수당!$B$15:$F$64,MATCH($H1343,설정_코스수당!$A$15:$A$64,0),MATCH($E1343&amp;"수당",설정_코스수당!$B$14:$F$14,0)),0)),0)</f>
        <v>0</v>
      </c>
      <c r="M1343" s="33">
        <f>IF($O1343="방문완료",IFERROR(VLOOKUP($E1343,설정_코스수당!$A$6:$H$10,6,FALSE),0),0)</f>
        <v>0</v>
      </c>
      <c r="N1343" s="34">
        <f t="shared" si="38"/>
        <v>0</v>
      </c>
      <c r="O1343" s="29"/>
      <c r="P1343" s="29"/>
      <c r="Q1343" s="29"/>
      <c r="R1343" s="32"/>
      <c r="S1343" s="29"/>
    </row>
    <row r="1344" spans="1:19" ht="19.5" hidden="1" customHeight="1" outlineLevel="1">
      <c r="A1344" s="23">
        <v>95</v>
      </c>
      <c r="B1344" s="24">
        <f>IF(13&lt;=DAY(DATE(YEAR(설정_코스수당!$K$2),MONTH(설정_코스수당!$K$2)+1,0)),DATE(YEAR(설정_코스수당!$K$2),MONTH(설정_코스수당!$K$2),13),"")</f>
        <v>46186</v>
      </c>
      <c r="C1344" s="25"/>
      <c r="D1344" s="23"/>
      <c r="E1344" s="23"/>
      <c r="F1344" s="26"/>
      <c r="G1344" s="23"/>
      <c r="H1344" s="23"/>
      <c r="I1344" s="23"/>
      <c r="J1344" s="27">
        <f>IF($O1344="방문완료",MAX(0,IFERROR(VLOOKUP($E1344,설정_코스수당!$A$6:$H$10,4,FALSE),0)-IF(OR($P1344="",$P1344="없음"),0,100000)),0)</f>
        <v>0</v>
      </c>
      <c r="K1344" s="27">
        <f t="array" ref="K1344">IF($O1344="방문완료",IFERROR(INDEX(설정_코스수당!$B$15:$F$64,MATCH($G1344,설정_코스수당!$A$15:$A$64,0),MATCH($E1344&amp;"수당",설정_코스수당!$B$14:$F$14,0)),0),0)</f>
        <v>0</v>
      </c>
      <c r="L1344" s="27">
        <f t="array" ref="L1344">IF($O1344="방문완료",IF($H1344="",0,IFERROR(INDEX(설정_코스수당!$B$15:$F$64,MATCH($H1344,설정_코스수당!$A$15:$A$64,0),MATCH($E1344&amp;"수당",설정_코스수당!$B$14:$F$14,0)),0)),0)</f>
        <v>0</v>
      </c>
      <c r="M1344" s="27">
        <f>IF($O1344="방문완료",IFERROR(VLOOKUP($E1344,설정_코스수당!$A$6:$H$10,6,FALSE),0),0)</f>
        <v>0</v>
      </c>
      <c r="N1344" s="28">
        <f t="shared" si="38"/>
        <v>0</v>
      </c>
      <c r="O1344" s="23"/>
      <c r="P1344" s="23"/>
      <c r="Q1344" s="23"/>
      <c r="R1344" s="26"/>
      <c r="S1344" s="23"/>
    </row>
    <row r="1345" spans="1:27" ht="19.5" hidden="1" customHeight="1" outlineLevel="1">
      <c r="A1345" s="29">
        <v>96</v>
      </c>
      <c r="B1345" s="30">
        <f>IF(13&lt;=DAY(DATE(YEAR(설정_코스수당!$K$2),MONTH(설정_코스수당!$K$2)+1,0)),DATE(YEAR(설정_코스수당!$K$2),MONTH(설정_코스수당!$K$2),13),"")</f>
        <v>46186</v>
      </c>
      <c r="C1345" s="31"/>
      <c r="D1345" s="29"/>
      <c r="E1345" s="29"/>
      <c r="F1345" s="32"/>
      <c r="G1345" s="29"/>
      <c r="H1345" s="29"/>
      <c r="I1345" s="29"/>
      <c r="J1345" s="33">
        <f>IF($O1345="방문완료",MAX(0,IFERROR(VLOOKUP($E1345,설정_코스수당!$A$6:$H$10,4,FALSE),0)-IF(OR($P1345="",$P1345="없음"),0,100000)),0)</f>
        <v>0</v>
      </c>
      <c r="K1345" s="33">
        <f t="array" ref="K1345">IF($O1345="방문완료",IFERROR(INDEX(설정_코스수당!$B$15:$F$64,MATCH($G1345,설정_코스수당!$A$15:$A$64,0),MATCH($E1345&amp;"수당",설정_코스수당!$B$14:$F$14,0)),0),0)</f>
        <v>0</v>
      </c>
      <c r="L1345" s="33">
        <f t="array" ref="L1345">IF($O1345="방문완료",IF($H1345="",0,IFERROR(INDEX(설정_코스수당!$B$15:$F$64,MATCH($H1345,설정_코스수당!$A$15:$A$64,0),MATCH($E1345&amp;"수당",설정_코스수당!$B$14:$F$14,0)),0)),0)</f>
        <v>0</v>
      </c>
      <c r="M1345" s="33">
        <f>IF($O1345="방문완료",IFERROR(VLOOKUP($E1345,설정_코스수당!$A$6:$H$10,6,FALSE),0),0)</f>
        <v>0</v>
      </c>
      <c r="N1345" s="34">
        <f t="shared" si="38"/>
        <v>0</v>
      </c>
      <c r="O1345" s="29"/>
      <c r="P1345" s="29"/>
      <c r="Q1345" s="29"/>
      <c r="R1345" s="32"/>
      <c r="S1345" s="29"/>
    </row>
    <row r="1346" spans="1:27" ht="19.5" hidden="1" customHeight="1" outlineLevel="1">
      <c r="A1346" s="23">
        <v>97</v>
      </c>
      <c r="B1346" s="24">
        <f>IF(13&lt;=DAY(DATE(YEAR(설정_코스수당!$K$2),MONTH(설정_코스수당!$K$2)+1,0)),DATE(YEAR(설정_코스수당!$K$2),MONTH(설정_코스수당!$K$2),13),"")</f>
        <v>46186</v>
      </c>
      <c r="C1346" s="25"/>
      <c r="D1346" s="23"/>
      <c r="E1346" s="23"/>
      <c r="F1346" s="26"/>
      <c r="G1346" s="23"/>
      <c r="H1346" s="23"/>
      <c r="I1346" s="23"/>
      <c r="J1346" s="27">
        <f>IF($O1346="방문완료",MAX(0,IFERROR(VLOOKUP($E1346,설정_코스수당!$A$6:$H$10,4,FALSE),0)-IF(OR($P1346="",$P1346="없음"),0,100000)),0)</f>
        <v>0</v>
      </c>
      <c r="K1346" s="27">
        <f t="array" ref="K1346">IF($O1346="방문완료",IFERROR(INDEX(설정_코스수당!$B$15:$F$64,MATCH($G1346,설정_코스수당!$A$15:$A$64,0),MATCH($E1346&amp;"수당",설정_코스수당!$B$14:$F$14,0)),0),0)</f>
        <v>0</v>
      </c>
      <c r="L1346" s="27">
        <f t="array" ref="L1346">IF($O1346="방문완료",IF($H1346="",0,IFERROR(INDEX(설정_코스수당!$B$15:$F$64,MATCH($H1346,설정_코스수당!$A$15:$A$64,0),MATCH($E1346&amp;"수당",설정_코스수당!$B$14:$F$14,0)),0)),0)</f>
        <v>0</v>
      </c>
      <c r="M1346" s="27">
        <f>IF($O1346="방문완료",IFERROR(VLOOKUP($E1346,설정_코스수당!$A$6:$H$10,6,FALSE),0),0)</f>
        <v>0</v>
      </c>
      <c r="N1346" s="28">
        <f t="shared" si="38"/>
        <v>0</v>
      </c>
      <c r="O1346" s="23"/>
      <c r="P1346" s="23"/>
      <c r="Q1346" s="23"/>
      <c r="R1346" s="26"/>
      <c r="S1346" s="23"/>
    </row>
    <row r="1347" spans="1:27" ht="19.5" hidden="1" customHeight="1" outlineLevel="1">
      <c r="A1347" s="29">
        <v>98</v>
      </c>
      <c r="B1347" s="30">
        <f>IF(13&lt;=DAY(DATE(YEAR(설정_코스수당!$K$2),MONTH(설정_코스수당!$K$2)+1,0)),DATE(YEAR(설정_코스수당!$K$2),MONTH(설정_코스수당!$K$2),13),"")</f>
        <v>46186</v>
      </c>
      <c r="C1347" s="31"/>
      <c r="D1347" s="29"/>
      <c r="E1347" s="29"/>
      <c r="F1347" s="32"/>
      <c r="G1347" s="29"/>
      <c r="H1347" s="29"/>
      <c r="I1347" s="29"/>
      <c r="J1347" s="33">
        <f>IF($O1347="방문완료",MAX(0,IFERROR(VLOOKUP($E1347,설정_코스수당!$A$6:$H$10,4,FALSE),0)-IF(OR($P1347="",$P1347="없음"),0,100000)),0)</f>
        <v>0</v>
      </c>
      <c r="K1347" s="33">
        <f t="array" ref="K1347">IF($O1347="방문완료",IFERROR(INDEX(설정_코스수당!$B$15:$F$64,MATCH($G1347,설정_코스수당!$A$15:$A$64,0),MATCH($E1347&amp;"수당",설정_코스수당!$B$14:$F$14,0)),0),0)</f>
        <v>0</v>
      </c>
      <c r="L1347" s="33">
        <f t="array" ref="L1347">IF($O1347="방문완료",IF($H1347="",0,IFERROR(INDEX(설정_코스수당!$B$15:$F$64,MATCH($H1347,설정_코스수당!$A$15:$A$64,0),MATCH($E1347&amp;"수당",설정_코스수당!$B$14:$F$14,0)),0)),0)</f>
        <v>0</v>
      </c>
      <c r="M1347" s="33">
        <f>IF($O1347="방문완료",IFERROR(VLOOKUP($E1347,설정_코스수당!$A$6:$H$10,6,FALSE),0),0)</f>
        <v>0</v>
      </c>
      <c r="N1347" s="34">
        <f t="shared" si="38"/>
        <v>0</v>
      </c>
      <c r="O1347" s="29"/>
      <c r="P1347" s="29"/>
      <c r="Q1347" s="29"/>
      <c r="R1347" s="32"/>
      <c r="S1347" s="29"/>
    </row>
    <row r="1348" spans="1:27" ht="19.5" hidden="1" customHeight="1" outlineLevel="1">
      <c r="A1348" s="23">
        <v>99</v>
      </c>
      <c r="B1348" s="24">
        <f>IF(13&lt;=DAY(DATE(YEAR(설정_코스수당!$K$2),MONTH(설정_코스수당!$K$2)+1,0)),DATE(YEAR(설정_코스수당!$K$2),MONTH(설정_코스수당!$K$2),13),"")</f>
        <v>46186</v>
      </c>
      <c r="C1348" s="25"/>
      <c r="D1348" s="23"/>
      <c r="E1348" s="23"/>
      <c r="F1348" s="26"/>
      <c r="G1348" s="23"/>
      <c r="H1348" s="23"/>
      <c r="I1348" s="23"/>
      <c r="J1348" s="27">
        <f>IF($O1348="방문완료",MAX(0,IFERROR(VLOOKUP($E1348,설정_코스수당!$A$6:$H$10,4,FALSE),0)-IF(OR($P1348="",$P1348="없음"),0,100000)),0)</f>
        <v>0</v>
      </c>
      <c r="K1348" s="27">
        <f t="array" ref="K1348">IF($O1348="방문완료",IFERROR(INDEX(설정_코스수당!$B$15:$F$64,MATCH($G1348,설정_코스수당!$A$15:$A$64,0),MATCH($E1348&amp;"수당",설정_코스수당!$B$14:$F$14,0)),0),0)</f>
        <v>0</v>
      </c>
      <c r="L1348" s="27">
        <f t="array" ref="L1348">IF($O1348="방문완료",IF($H1348="",0,IFERROR(INDEX(설정_코스수당!$B$15:$F$64,MATCH($H1348,설정_코스수당!$A$15:$A$64,0),MATCH($E1348&amp;"수당",설정_코스수당!$B$14:$F$14,0)),0)),0)</f>
        <v>0</v>
      </c>
      <c r="M1348" s="27">
        <f>IF($O1348="방문완료",IFERROR(VLOOKUP($E1348,설정_코스수당!$A$6:$H$10,6,FALSE),0),0)</f>
        <v>0</v>
      </c>
      <c r="N1348" s="28">
        <f t="shared" si="38"/>
        <v>0</v>
      </c>
      <c r="O1348" s="23"/>
      <c r="P1348" s="23"/>
      <c r="Q1348" s="23"/>
      <c r="R1348" s="26"/>
      <c r="S1348" s="23"/>
    </row>
    <row r="1349" spans="1:27" ht="19.5" hidden="1" customHeight="1" outlineLevel="1">
      <c r="A1349" s="29">
        <v>100</v>
      </c>
      <c r="B1349" s="30">
        <f>IF(13&lt;=DAY(DATE(YEAR(설정_코스수당!$K$2),MONTH(설정_코스수당!$K$2)+1,0)),DATE(YEAR(설정_코스수당!$K$2),MONTH(설정_코스수당!$K$2),13),"")</f>
        <v>46186</v>
      </c>
      <c r="C1349" s="31"/>
      <c r="D1349" s="29"/>
      <c r="E1349" s="29"/>
      <c r="F1349" s="32"/>
      <c r="G1349" s="29"/>
      <c r="H1349" s="29"/>
      <c r="I1349" s="29"/>
      <c r="J1349" s="33">
        <f>IF($O1349="방문완료",MAX(0,IFERROR(VLOOKUP($E1349,설정_코스수당!$A$6:$H$10,4,FALSE),0)-IF(OR($P1349="",$P1349="없음"),0,100000)),0)</f>
        <v>0</v>
      </c>
      <c r="K1349" s="33">
        <f t="array" ref="K1349">IF($O1349="방문완료",IFERROR(INDEX(설정_코스수당!$B$15:$F$64,MATCH($G1349,설정_코스수당!$A$15:$A$64,0),MATCH($E1349&amp;"수당",설정_코스수당!$B$14:$F$14,0)),0),0)</f>
        <v>0</v>
      </c>
      <c r="L1349" s="33">
        <f t="array" ref="L1349">IF($O1349="방문완료",IF($H1349="",0,IFERROR(INDEX(설정_코스수당!$B$15:$F$64,MATCH($H1349,설정_코스수당!$A$15:$A$64,0),MATCH($E1349&amp;"수당",설정_코스수당!$B$14:$F$14,0)),0)),0)</f>
        <v>0</v>
      </c>
      <c r="M1349" s="33">
        <f>IF($O1349="방문완료",IFERROR(VLOOKUP($E1349,설정_코스수당!$A$6:$H$10,6,FALSE),0),0)</f>
        <v>0</v>
      </c>
      <c r="N1349" s="34">
        <f t="shared" si="38"/>
        <v>0</v>
      </c>
      <c r="O1349" s="29"/>
      <c r="P1349" s="29"/>
      <c r="Q1349" s="29"/>
      <c r="R1349" s="32"/>
      <c r="S1349" s="29"/>
    </row>
    <row r="1350" spans="1:27" ht="19.5" hidden="1" customHeight="1" outlineLevel="1">
      <c r="A1350" s="36" t="s">
        <v>79</v>
      </c>
      <c r="B1350" s="37"/>
      <c r="C1350" s="38"/>
      <c r="D1350" s="37"/>
      <c r="E1350" s="37"/>
      <c r="F1350" s="37"/>
      <c r="G1350" s="37"/>
      <c r="H1350" s="37"/>
      <c r="I1350" s="37"/>
      <c r="J1350" s="37">
        <f>IF($O1350="방문완료",MAX(0,IFERROR(VLOOKUP($E1350,설정_코스수당!$A$6:$H$10,4,FALSE),0)-IF(OR($P1350="",$P1350="없음"),0,100000)),0)</f>
        <v>0</v>
      </c>
      <c r="O1350" s="18"/>
      <c r="P1350" s="14"/>
      <c r="Q1350" s="18"/>
      <c r="S1350" s="18"/>
    </row>
    <row r="1351" spans="1:27" ht="21" customHeight="1" collapsed="1">
      <c r="A1351" s="123" t="str">
        <f>IF(14&lt;=DAY(DATE(YEAR(설정_코스수당!$K$2),MONTH(설정_코스수당!$K$2)+1,0)),TEXT(DATE(YEAR(설정_코스수당!$K$2),MONTH(설정_코스수당!$K$2),14),"yyyy-mm-dd")&amp;"  |  예약관리 100슬롯","")</f>
        <v>2026-06-14  |  예약관리 100슬롯</v>
      </c>
      <c r="B1351" s="124"/>
      <c r="C1351" s="124"/>
      <c r="D1351" s="124"/>
      <c r="E1351" s="124"/>
      <c r="F1351" s="124"/>
      <c r="G1351" s="124"/>
      <c r="H1351" s="124"/>
      <c r="I1351" s="124"/>
      <c r="J1351" s="124"/>
      <c r="K1351" s="124"/>
      <c r="L1351" s="124"/>
      <c r="M1351" s="124"/>
      <c r="N1351" s="124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</row>
    <row r="1352" spans="1:27" ht="19.5" hidden="1" customHeight="1" outlineLevel="1">
      <c r="A1352" s="20" t="s">
        <v>41</v>
      </c>
      <c r="B1352" s="20" t="s">
        <v>42</v>
      </c>
      <c r="C1352" s="39" t="s">
        <v>43</v>
      </c>
      <c r="D1352" s="20" t="s">
        <v>44</v>
      </c>
      <c r="E1352" s="20" t="s">
        <v>45</v>
      </c>
      <c r="F1352" s="20" t="s">
        <v>46</v>
      </c>
      <c r="G1352" s="20" t="s">
        <v>47</v>
      </c>
      <c r="H1352" s="20" t="s">
        <v>48</v>
      </c>
      <c r="I1352" s="20" t="s">
        <v>49</v>
      </c>
      <c r="J1352" s="20" t="s">
        <v>50</v>
      </c>
      <c r="K1352" s="20" t="s">
        <v>51</v>
      </c>
      <c r="L1352" s="20" t="s">
        <v>52</v>
      </c>
      <c r="M1352" s="20" t="s">
        <v>53</v>
      </c>
      <c r="N1352" s="20" t="s">
        <v>54</v>
      </c>
      <c r="O1352" s="20" t="s">
        <v>55</v>
      </c>
      <c r="P1352" s="20" t="s">
        <v>56</v>
      </c>
      <c r="Q1352" s="18"/>
      <c r="R1352" s="20" t="s">
        <v>58</v>
      </c>
      <c r="S1352" s="20" t="s">
        <v>59</v>
      </c>
      <c r="U1352" s="122" t="str">
        <f>IF(14&lt;=DAY(DATE(YEAR(설정_코스수당!$K$2),MONTH(설정_코스수당!$K$2)+1,0)),TEXT(DATE(YEAR(설정_코스수당!$K$2),MONTH(설정_코스수당!$K$2),14),"yyyy-mm-dd")&amp;" 일일 상태","")</f>
        <v>2026-06-14 일일 상태</v>
      </c>
      <c r="V1352" s="125"/>
      <c r="W1352" s="122" t="s">
        <v>3</v>
      </c>
      <c r="X1352" s="125"/>
    </row>
    <row r="1353" spans="1:27" ht="19.5" hidden="1" customHeight="1" outlineLevel="1">
      <c r="A1353" s="23">
        <v>1</v>
      </c>
      <c r="B1353" s="24">
        <f>IF(14&lt;=DAY(DATE(YEAR(설정_코스수당!$K$2),MONTH(설정_코스수당!$K$2)+1,0)),DATE(YEAR(설정_코스수당!$K$2),MONTH(설정_코스수당!$K$2),14),"")</f>
        <v>46187</v>
      </c>
      <c r="C1353" s="25"/>
      <c r="D1353" s="23"/>
      <c r="E1353" s="23"/>
      <c r="F1353" s="26"/>
      <c r="G1353" s="23"/>
      <c r="H1353" s="23"/>
      <c r="I1353" s="23"/>
      <c r="J1353" s="27">
        <f>IF($O1353="방문완료",MAX(0,IFERROR(VLOOKUP($E1353,설정_코스수당!$A$6:$H$10,4,FALSE),0)-IF(OR($P1353="",$P1353="없음"),0,100000)),0)</f>
        <v>0</v>
      </c>
      <c r="K1353" s="27">
        <f t="array" ref="K1353">IF($O1353="방문완료",IFERROR(INDEX(설정_코스수당!$B$15:$F$64,MATCH($G1353,설정_코스수당!$A$15:$A$64,0),MATCH($E1353&amp;"수당",설정_코스수당!$B$14:$F$14,0)),0),0)</f>
        <v>0</v>
      </c>
      <c r="L1353" s="27">
        <f t="array" ref="L1353">IF($O1353="방문완료",IF($H1353="",0,IFERROR(INDEX(설정_코스수당!$B$15:$F$64,MATCH($H1353,설정_코스수당!$A$15:$A$64,0),MATCH($E1353&amp;"수당",설정_코스수당!$B$14:$F$14,0)),0)),0)</f>
        <v>0</v>
      </c>
      <c r="M1353" s="27">
        <f>IF($O1353="방문완료",IFERROR(VLOOKUP($E1353,설정_코스수당!$A$6:$H$10,6,FALSE),0),0)</f>
        <v>0</v>
      </c>
      <c r="N1353" s="28">
        <f t="shared" ref="N1353:N1384" si="39">IF($O1353="방문완료",1,0)</f>
        <v>0</v>
      </c>
      <c r="O1353" s="23"/>
      <c r="P1353" s="23"/>
      <c r="Q1353" s="23"/>
      <c r="R1353" s="26"/>
      <c r="S1353" s="23"/>
      <c r="U1353" s="104" t="s">
        <v>63</v>
      </c>
      <c r="V1353" s="105">
        <f>IF(14&lt;=DAY(DATE(YEAR(설정_코스수당!$K$2),MONTH(설정_코스수당!$K$2)+1,0)),COUNTIFS($B:$B,DATE(YEAR(설정_코스수당!$K$2),MONTH(설정_코스수당!$K$2),14),$O:$O,"&lt;&gt;"),"")</f>
        <v>0</v>
      </c>
      <c r="W1353" s="104" t="s">
        <v>6</v>
      </c>
      <c r="X1353" s="105">
        <f>IF(14&lt;=DAY(DATE(YEAR(설정_코스수당!$K$2),MONTH(설정_코스수당!$K$2)+1,0)),COUNTIFS($B:$B,DATE(YEAR(설정_코스수당!$K$2),MONTH(설정_코스수당!$K$2),14),$E:$E,"A",$O:$O,"방문완료"),"")</f>
        <v>0</v>
      </c>
    </row>
    <row r="1354" spans="1:27" ht="19.5" hidden="1" customHeight="1" outlineLevel="1">
      <c r="A1354" s="29">
        <v>2</v>
      </c>
      <c r="B1354" s="30">
        <f>IF(14&lt;=DAY(DATE(YEAR(설정_코스수당!$K$2),MONTH(설정_코스수당!$K$2)+1,0)),DATE(YEAR(설정_코스수당!$K$2),MONTH(설정_코스수당!$K$2),14),"")</f>
        <v>46187</v>
      </c>
      <c r="C1354" s="31"/>
      <c r="D1354" s="29"/>
      <c r="E1354" s="29"/>
      <c r="F1354" s="32"/>
      <c r="G1354" s="29"/>
      <c r="H1354" s="29"/>
      <c r="I1354" s="29"/>
      <c r="J1354" s="33">
        <f>IF($O1354="방문완료",MAX(0,IFERROR(VLOOKUP($E1354,설정_코스수당!$A$6:$H$10,4,FALSE),0)-IF(OR($P1354="",$P1354="없음"),0,100000)),0)</f>
        <v>0</v>
      </c>
      <c r="K1354" s="33">
        <f t="array" ref="K1354">IF($O1354="방문완료",IFERROR(INDEX(설정_코스수당!$B$15:$F$64,MATCH($G1354,설정_코스수당!$A$15:$A$64,0),MATCH($E1354&amp;"수당",설정_코스수당!$B$14:$F$14,0)),0),0)</f>
        <v>0</v>
      </c>
      <c r="L1354" s="33">
        <f t="array" ref="L1354">IF($O1354="방문완료",IF($H1354="",0,IFERROR(INDEX(설정_코스수당!$B$15:$F$64,MATCH($H1354,설정_코스수당!$A$15:$A$64,0),MATCH($E1354&amp;"수당",설정_코스수당!$B$14:$F$14,0)),0)),0)</f>
        <v>0</v>
      </c>
      <c r="M1354" s="33">
        <f>IF($O1354="방문완료",IFERROR(VLOOKUP($E1354,설정_코스수당!$A$6:$H$10,6,FALSE),0),0)</f>
        <v>0</v>
      </c>
      <c r="N1354" s="34">
        <f t="shared" si="39"/>
        <v>0</v>
      </c>
      <c r="O1354" s="29"/>
      <c r="P1354" s="29"/>
      <c r="Q1354" s="29"/>
      <c r="R1354" s="32"/>
      <c r="S1354" s="29"/>
      <c r="U1354" s="104" t="s">
        <v>62</v>
      </c>
      <c r="V1354" s="105">
        <f>IF(14&lt;=DAY(DATE(YEAR(설정_코스수당!$K$2),MONTH(설정_코스수당!$K$2)+1,0)),COUNTIFS($B:$B,DATE(YEAR(설정_코스수당!$K$2),MONTH(설정_코스수당!$K$2),14),$O:$O,"방문완료"),"")</f>
        <v>0</v>
      </c>
      <c r="W1354" s="104" t="s">
        <v>9</v>
      </c>
      <c r="X1354" s="105">
        <f>IF(14&lt;=DAY(DATE(YEAR(설정_코스수당!$K$2),MONTH(설정_코스수당!$K$2)+1,0)),COUNTIFS($B:$B,DATE(YEAR(설정_코스수당!$K$2),MONTH(설정_코스수당!$K$2),14),$E:$E,"B",$O:$O,"방문완료"),"")</f>
        <v>0</v>
      </c>
    </row>
    <row r="1355" spans="1:27" ht="19.5" hidden="1" customHeight="1" outlineLevel="1">
      <c r="A1355" s="23">
        <v>3</v>
      </c>
      <c r="B1355" s="24">
        <f>IF(14&lt;=DAY(DATE(YEAR(설정_코스수당!$K$2),MONTH(설정_코스수당!$K$2)+1,0)),DATE(YEAR(설정_코스수당!$K$2),MONTH(설정_코스수당!$K$2),14),"")</f>
        <v>46187</v>
      </c>
      <c r="C1355" s="25"/>
      <c r="D1355" s="23"/>
      <c r="E1355" s="23"/>
      <c r="F1355" s="26"/>
      <c r="G1355" s="23"/>
      <c r="H1355" s="23"/>
      <c r="I1355" s="23"/>
      <c r="J1355" s="27">
        <f>IF($O1355="방문완료",MAX(0,IFERROR(VLOOKUP($E1355,설정_코스수당!$A$6:$H$10,4,FALSE),0)-IF(OR($P1355="",$P1355="없음"),0,100000)),0)</f>
        <v>0</v>
      </c>
      <c r="K1355" s="27">
        <f t="array" ref="K1355">IF($O1355="방문완료",IFERROR(INDEX(설정_코스수당!$B$15:$F$64,MATCH($G1355,설정_코스수당!$A$15:$A$64,0),MATCH($E1355&amp;"수당",설정_코스수당!$B$14:$F$14,0)),0),0)</f>
        <v>0</v>
      </c>
      <c r="L1355" s="27">
        <f t="array" ref="L1355">IF($O1355="방문완료",IF($H1355="",0,IFERROR(INDEX(설정_코스수당!$B$15:$F$64,MATCH($H1355,설정_코스수당!$A$15:$A$64,0),MATCH($E1355&amp;"수당",설정_코스수당!$B$14:$F$14,0)),0)),0)</f>
        <v>0</v>
      </c>
      <c r="M1355" s="27">
        <f>IF($O1355="방문완료",IFERROR(VLOOKUP($E1355,설정_코스수당!$A$6:$H$10,6,FALSE),0),0)</f>
        <v>0</v>
      </c>
      <c r="N1355" s="28">
        <f t="shared" si="39"/>
        <v>0</v>
      </c>
      <c r="O1355" s="23"/>
      <c r="P1355" s="23"/>
      <c r="Q1355" s="23"/>
      <c r="R1355" s="26"/>
      <c r="S1355" s="23"/>
      <c r="U1355" s="104" t="s">
        <v>68</v>
      </c>
      <c r="V1355" s="105" t="str">
        <f>IF(14&lt;=DAY(DATE(YEAR(설정_코스수당!$K$2),MONTH(설정_코스수당!$K$2)+1,0)),COUNTIFS($B:$B,DATE(YEAR(설정_코스수당!$K$2),MONTH(설정_코스수당!$K$2),14),$O:$O,"노쇼")&amp;"/"&amp;COUNTIFS($B:$B,DATE(YEAR(설정_코스수당!$K$2),MONTH(설정_코스수당!$K$2),14),$O:$O,"취소"),"")</f>
        <v>0/0</v>
      </c>
      <c r="W1355" s="104" t="s">
        <v>12</v>
      </c>
      <c r="X1355" s="105">
        <f>IF(14&lt;=DAY(DATE(YEAR(설정_코스수당!$K$2),MONTH(설정_코스수당!$K$2)+1,0)),COUNTIFS($B:$B,DATE(YEAR(설정_코스수당!$K$2),MONTH(설정_코스수당!$K$2),14),$E:$E,"C",$O:$O,"방문완료"),"")</f>
        <v>0</v>
      </c>
    </row>
    <row r="1356" spans="1:27" ht="19.5" hidden="1" customHeight="1" outlineLevel="1">
      <c r="A1356" s="29">
        <v>4</v>
      </c>
      <c r="B1356" s="30">
        <f>IF(14&lt;=DAY(DATE(YEAR(설정_코스수당!$K$2),MONTH(설정_코스수당!$K$2)+1,0)),DATE(YEAR(설정_코스수당!$K$2),MONTH(설정_코스수당!$K$2),14),"")</f>
        <v>46187</v>
      </c>
      <c r="C1356" s="31"/>
      <c r="D1356" s="29"/>
      <c r="E1356" s="29"/>
      <c r="F1356" s="32"/>
      <c r="G1356" s="29"/>
      <c r="H1356" s="29"/>
      <c r="I1356" s="29"/>
      <c r="J1356" s="33">
        <f>IF($O1356="방문완료",MAX(0,IFERROR(VLOOKUP($E1356,설정_코스수당!$A$6:$H$10,4,FALSE),0)-IF(OR($P1356="",$P1356="없음"),0,100000)),0)</f>
        <v>0</v>
      </c>
      <c r="K1356" s="33">
        <f t="array" ref="K1356">IF($O1356="방문완료",IFERROR(INDEX(설정_코스수당!$B$15:$F$64,MATCH($G1356,설정_코스수당!$A$15:$A$64,0),MATCH($E1356&amp;"수당",설정_코스수당!$B$14:$F$14,0)),0),0)</f>
        <v>0</v>
      </c>
      <c r="L1356" s="33">
        <f t="array" ref="L1356">IF($O1356="방문완료",IF($H1356="",0,IFERROR(INDEX(설정_코스수당!$B$15:$F$64,MATCH($H1356,설정_코스수당!$A$15:$A$64,0),MATCH($E1356&amp;"수당",설정_코스수당!$B$14:$F$14,0)),0)),0)</f>
        <v>0</v>
      </c>
      <c r="M1356" s="33">
        <f>IF($O1356="방문완료",IFERROR(VLOOKUP($E1356,설정_코스수당!$A$6:$H$10,6,FALSE),0),0)</f>
        <v>0</v>
      </c>
      <c r="N1356" s="34">
        <f t="shared" si="39"/>
        <v>0</v>
      </c>
      <c r="O1356" s="29"/>
      <c r="P1356" s="29"/>
      <c r="Q1356" s="29"/>
      <c r="R1356" s="32"/>
      <c r="S1356" s="29"/>
      <c r="U1356" s="104" t="s">
        <v>69</v>
      </c>
      <c r="V1356" s="106">
        <f>IF(14&lt;=DAY(DATE(YEAR(설정_코스수당!$K$2),MONTH(설정_코스수당!$K$2)+1,0)),SUMIFS($J:$J,$B:$B,DATE(YEAR(설정_코스수당!$K$2),MONTH(설정_코스수당!$K$2),14),$O:$O,"방문완료"),"")</f>
        <v>0</v>
      </c>
      <c r="W1356" s="104" t="s">
        <v>15</v>
      </c>
      <c r="X1356" s="105">
        <f>IF(14&lt;=DAY(DATE(YEAR(설정_코스수당!$K$2),MONTH(설정_코스수당!$K$2)+1,0)),COUNTIFS($B:$B,DATE(YEAR(설정_코스수당!$K$2),MONTH(설정_코스수당!$K$2),14),$E:$E,"D",$O:$O,"방문완료"),"")</f>
        <v>0</v>
      </c>
    </row>
    <row r="1357" spans="1:27" ht="19.5" hidden="1" customHeight="1" outlineLevel="1">
      <c r="A1357" s="23">
        <v>5</v>
      </c>
      <c r="B1357" s="24">
        <f>IF(14&lt;=DAY(DATE(YEAR(설정_코스수당!$K$2),MONTH(설정_코스수당!$K$2)+1,0)),DATE(YEAR(설정_코스수당!$K$2),MONTH(설정_코스수당!$K$2),14),"")</f>
        <v>46187</v>
      </c>
      <c r="C1357" s="25"/>
      <c r="D1357" s="23"/>
      <c r="E1357" s="23"/>
      <c r="F1357" s="26"/>
      <c r="G1357" s="23"/>
      <c r="H1357" s="23"/>
      <c r="I1357" s="23"/>
      <c r="J1357" s="27">
        <f>IF($O1357="방문완료",MAX(0,IFERROR(VLOOKUP($E1357,설정_코스수당!$A$6:$H$10,4,FALSE),0)-IF(OR($P1357="",$P1357="없음"),0,100000)),0)</f>
        <v>0</v>
      </c>
      <c r="K1357" s="27">
        <f t="array" ref="K1357">IF($O1357="방문완료",IFERROR(INDEX(설정_코스수당!$B$15:$F$64,MATCH($G1357,설정_코스수당!$A$15:$A$64,0),MATCH($E1357&amp;"수당",설정_코스수당!$B$14:$F$14,0)),0),0)</f>
        <v>0</v>
      </c>
      <c r="L1357" s="27">
        <f t="array" ref="L1357">IF($O1357="방문완료",IF($H1357="",0,IFERROR(INDEX(설정_코스수당!$B$15:$F$64,MATCH($H1357,설정_코스수당!$A$15:$A$64,0),MATCH($E1357&amp;"수당",설정_코스수당!$B$14:$F$14,0)),0)),0)</f>
        <v>0</v>
      </c>
      <c r="M1357" s="27">
        <f>IF($O1357="방문완료",IFERROR(VLOOKUP($E1357,설정_코스수당!$A$6:$H$10,6,FALSE),0),0)</f>
        <v>0</v>
      </c>
      <c r="N1357" s="28">
        <f t="shared" si="39"/>
        <v>0</v>
      </c>
      <c r="O1357" s="23"/>
      <c r="P1357" s="23"/>
      <c r="Q1357" s="23"/>
      <c r="R1357" s="26"/>
      <c r="S1357" s="23"/>
      <c r="U1357" s="104" t="s">
        <v>70</v>
      </c>
      <c r="V1357" s="106">
        <f>IF(14&lt;=DAY(DATE(YEAR(설정_코스수당!$K$2),MONTH(설정_코스수당!$K$2)+1,0)),SUMIFS($K:$K,$B:$B,DATE(YEAR(설정_코스수당!$K$2),MONTH(설정_코스수당!$K$2),14),$O:$O,"방문완료")+SUMIFS($L:$L,$B:$B,DATE(YEAR(설정_코스수당!$K$2),MONTH(설정_코스수당!$K$2),14),$O:$O,"방문완료"),"")</f>
        <v>0</v>
      </c>
      <c r="W1357" s="104" t="s">
        <v>18</v>
      </c>
      <c r="X1357" s="105">
        <f>IF(14&lt;=DAY(DATE(YEAR(설정_코스수당!$K$2),MONTH(설정_코스수당!$K$2)+1,0)),COUNTIFS($B:$B,DATE(YEAR(설정_코스수당!$K$2),MONTH(설정_코스수당!$K$2),14),$E:$E,"E",$O:$O,"방문완료"),"")</f>
        <v>0</v>
      </c>
    </row>
    <row r="1358" spans="1:27" ht="19.5" hidden="1" customHeight="1" outlineLevel="1">
      <c r="A1358" s="29">
        <v>6</v>
      </c>
      <c r="B1358" s="30">
        <f>IF(14&lt;=DAY(DATE(YEAR(설정_코스수당!$K$2),MONTH(설정_코스수당!$K$2)+1,0)),DATE(YEAR(설정_코스수당!$K$2),MONTH(설정_코스수당!$K$2),14),"")</f>
        <v>46187</v>
      </c>
      <c r="C1358" s="31"/>
      <c r="D1358" s="29"/>
      <c r="E1358" s="29"/>
      <c r="F1358" s="32"/>
      <c r="G1358" s="29"/>
      <c r="H1358" s="29"/>
      <c r="I1358" s="29"/>
      <c r="J1358" s="33">
        <f>IF($O1358="방문완료",MAX(0,IFERROR(VLOOKUP($E1358,설정_코스수당!$A$6:$H$10,4,FALSE),0)-IF(OR($P1358="",$P1358="없음"),0,100000)),0)</f>
        <v>0</v>
      </c>
      <c r="K1358" s="33">
        <f t="array" ref="K1358">IF($O1358="방문완료",IFERROR(INDEX(설정_코스수당!$B$15:$F$64,MATCH($G1358,설정_코스수당!$A$15:$A$64,0),MATCH($E1358&amp;"수당",설정_코스수당!$B$14:$F$14,0)),0),0)</f>
        <v>0</v>
      </c>
      <c r="L1358" s="33">
        <f t="array" ref="L1358">IF($O1358="방문완료",IF($H1358="",0,IFERROR(INDEX(설정_코스수당!$B$15:$F$64,MATCH($H1358,설정_코스수당!$A$15:$A$64,0),MATCH($E1358&amp;"수당",설정_코스수당!$B$14:$F$14,0)),0)),0)</f>
        <v>0</v>
      </c>
      <c r="M1358" s="33">
        <f>IF($O1358="방문완료",IFERROR(VLOOKUP($E1358,설정_코스수당!$A$6:$H$10,6,FALSE),0),0)</f>
        <v>0</v>
      </c>
      <c r="N1358" s="34">
        <f t="shared" si="39"/>
        <v>0</v>
      </c>
      <c r="O1358" s="29"/>
      <c r="P1358" s="29"/>
      <c r="Q1358" s="29"/>
      <c r="R1358" s="32"/>
      <c r="S1358" s="29"/>
      <c r="U1358" s="104" t="s">
        <v>53</v>
      </c>
      <c r="V1358" s="106">
        <f>IF(14&lt;=DAY(DATE(YEAR(설정_코스수당!$K$2),MONTH(설정_코스수당!$K$2)+1,0)),SUMIFS($M:$M,$B:$B,DATE(YEAR(설정_코스수당!$K$2),MONTH(설정_코스수당!$K$2),14),$O:$O,"방문완료"),"")</f>
        <v>0</v>
      </c>
      <c r="W1358" s="104" t="s">
        <v>71</v>
      </c>
      <c r="X1358" s="107">
        <f>IF(14&lt;=DAY(DATE(YEAR(설정_코스수당!$K$2),MONTH(설정_코스수당!$K$2)+1,0)),COUNTIFS($B:$B,DATE(YEAR(설정_코스수당!$K$2),MONTH(설정_코스수당!$K$2),14),$O:$O,"방문완료",$P:$P,"&lt;&gt;",$P:$P,"&lt;&gt;없음"),"")</f>
        <v>0</v>
      </c>
    </row>
    <row r="1359" spans="1:27" ht="19.5" hidden="1" customHeight="1" outlineLevel="1">
      <c r="A1359" s="23">
        <v>7</v>
      </c>
      <c r="B1359" s="24">
        <f>IF(14&lt;=DAY(DATE(YEAR(설정_코스수당!$K$2),MONTH(설정_코스수당!$K$2)+1,0)),DATE(YEAR(설정_코스수당!$K$2),MONTH(설정_코스수당!$K$2),14),"")</f>
        <v>46187</v>
      </c>
      <c r="C1359" s="25"/>
      <c r="D1359" s="23"/>
      <c r="E1359" s="23"/>
      <c r="F1359" s="26"/>
      <c r="G1359" s="23"/>
      <c r="H1359" s="23"/>
      <c r="I1359" s="23"/>
      <c r="J1359" s="27">
        <f>IF($O1359="방문완료",MAX(0,IFERROR(VLOOKUP($E1359,설정_코스수당!$A$6:$H$10,4,FALSE),0)-IF(OR($P1359="",$P1359="없음"),0,100000)),0)</f>
        <v>0</v>
      </c>
      <c r="K1359" s="27">
        <f t="array" ref="K1359">IF($O1359="방문완료",IFERROR(INDEX(설정_코스수당!$B$15:$F$64,MATCH($G1359,설정_코스수당!$A$15:$A$64,0),MATCH($E1359&amp;"수당",설정_코스수당!$B$14:$F$14,0)),0),0)</f>
        <v>0</v>
      </c>
      <c r="L1359" s="27">
        <f t="array" ref="L1359">IF($O1359="방문완료",IF($H1359="",0,IFERROR(INDEX(설정_코스수당!$B$15:$F$64,MATCH($H1359,설정_코스수당!$A$15:$A$64,0),MATCH($E1359&amp;"수당",설정_코스수당!$B$14:$F$14,0)),0)),0)</f>
        <v>0</v>
      </c>
      <c r="M1359" s="27">
        <f>IF($O1359="방문완료",IFERROR(VLOOKUP($E1359,설정_코스수당!$A$6:$H$10,6,FALSE),0),0)</f>
        <v>0</v>
      </c>
      <c r="N1359" s="28">
        <f t="shared" si="39"/>
        <v>0</v>
      </c>
      <c r="O1359" s="23"/>
      <c r="P1359" s="23"/>
      <c r="Q1359" s="23"/>
      <c r="R1359" s="26"/>
      <c r="S1359" s="23"/>
      <c r="U1359" s="104" t="s">
        <v>72</v>
      </c>
      <c r="V1359" s="108">
        <f>IF(14&lt;=DAY(DATE(YEAR(설정_코스수당!$K$2),MONTH(설정_코스수당!$K$2)+1,0)),COUNTIFS($B:$B,DATE(YEAR(설정_코스수당!$K$2),MONTH(설정_코스수당!$K$2),14),$O:$O,"방문완료",$P:$P,"&lt;&gt;",$P:$P,"&lt;&gt;없음")*100000,"")</f>
        <v>0</v>
      </c>
      <c r="W1359" s="104" t="s">
        <v>73</v>
      </c>
      <c r="X1359" s="105">
        <f>IF(14&lt;=DAY(DATE(YEAR(설정_코스수당!$K$2),MONTH(설정_코스수당!$K$2)+1,0)),COUNTIFS($B:$B,DATE(YEAR(설정_코스수당!$K$2),MONTH(설정_코스수당!$K$2),14),$G:$G,"&lt;&gt;",$O:$O,"방문완료")+COUNTIFS($B:$B,DATE(YEAR(설정_코스수당!$K$2),MONTH(설정_코스수당!$K$2),14),$H:$H,"&lt;&gt;",$O:$O,"방문완료"),"")</f>
        <v>0</v>
      </c>
    </row>
    <row r="1360" spans="1:27" ht="19.5" hidden="1" customHeight="1" outlineLevel="1">
      <c r="A1360" s="29">
        <v>8</v>
      </c>
      <c r="B1360" s="30">
        <f>IF(14&lt;=DAY(DATE(YEAR(설정_코스수당!$K$2),MONTH(설정_코스수당!$K$2)+1,0)),DATE(YEAR(설정_코스수당!$K$2),MONTH(설정_코스수당!$K$2),14),"")</f>
        <v>46187</v>
      </c>
      <c r="C1360" s="31"/>
      <c r="D1360" s="29"/>
      <c r="E1360" s="29"/>
      <c r="F1360" s="32"/>
      <c r="G1360" s="29"/>
      <c r="H1360" s="29"/>
      <c r="I1360" s="29"/>
      <c r="J1360" s="33">
        <f>IF($O1360="방문완료",MAX(0,IFERROR(VLOOKUP($E1360,설정_코스수당!$A$6:$H$10,4,FALSE),0)-IF(OR($P1360="",$P1360="없음"),0,100000)),0)</f>
        <v>0</v>
      </c>
      <c r="K1360" s="33">
        <f t="array" ref="K1360">IF($O1360="방문완료",IFERROR(INDEX(설정_코스수당!$B$15:$F$64,MATCH($G1360,설정_코스수당!$A$15:$A$64,0),MATCH($E1360&amp;"수당",설정_코스수당!$B$14:$F$14,0)),0),0)</f>
        <v>0</v>
      </c>
      <c r="L1360" s="33">
        <f t="array" ref="L1360">IF($O1360="방문완료",IF($H1360="",0,IFERROR(INDEX(설정_코스수당!$B$15:$F$64,MATCH($H1360,설정_코스수당!$A$15:$A$64,0),MATCH($E1360&amp;"수당",설정_코스수당!$B$14:$F$14,0)),0)),0)</f>
        <v>0</v>
      </c>
      <c r="M1360" s="33">
        <f>IF($O1360="방문완료",IFERROR(VLOOKUP($E1360,설정_코스수당!$A$6:$H$10,6,FALSE),0),0)</f>
        <v>0</v>
      </c>
      <c r="N1360" s="34">
        <f t="shared" si="39"/>
        <v>0</v>
      </c>
      <c r="O1360" s="29"/>
      <c r="P1360" s="29"/>
      <c r="Q1360" s="29"/>
      <c r="R1360" s="32"/>
      <c r="S1360" s="29"/>
      <c r="U1360" s="104" t="s">
        <v>74</v>
      </c>
      <c r="V1360" s="108">
        <f>IF(14&lt;=DAY(DATE(YEAR(설정_코스수당!$K$2),MONTH(설정_코스수당!$K$2)+1,0)),SUM($U$1364:$U$1371),"")</f>
        <v>0</v>
      </c>
      <c r="W1360" s="122" t="str">
        <f>IF(14&lt;=DAY(DATE(YEAR(설정_코스수당!$K$2),MONTH(설정_코스수당!$K$2)+1,0)),"계 : "&amp;TEXT(V1356-V1360,"#,##0")&amp;" 동","")</f>
        <v>계 : 0 동</v>
      </c>
      <c r="X1360" s="122"/>
    </row>
    <row r="1361" spans="1:24" ht="19.5" hidden="1" customHeight="1" outlineLevel="1">
      <c r="A1361" s="23">
        <v>9</v>
      </c>
      <c r="B1361" s="24">
        <f>IF(14&lt;=DAY(DATE(YEAR(설정_코스수당!$K$2),MONTH(설정_코스수당!$K$2)+1,0)),DATE(YEAR(설정_코스수당!$K$2),MONTH(설정_코스수당!$K$2),14),"")</f>
        <v>46187</v>
      </c>
      <c r="C1361" s="25"/>
      <c r="D1361" s="23"/>
      <c r="E1361" s="23"/>
      <c r="F1361" s="26"/>
      <c r="G1361" s="23"/>
      <c r="H1361" s="23"/>
      <c r="I1361" s="23"/>
      <c r="J1361" s="27">
        <f>IF($O1361="방문완료",MAX(0,IFERROR(VLOOKUP($E1361,설정_코스수당!$A$6:$H$10,4,FALSE),0)-IF(OR($P1361="",$P1361="없음"),0,100000)),0)</f>
        <v>0</v>
      </c>
      <c r="K1361" s="27">
        <f t="array" ref="K1361">IF($O1361="방문완료",IFERROR(INDEX(설정_코스수당!$B$15:$F$64,MATCH($G1361,설정_코스수당!$A$15:$A$64,0),MATCH($E1361&amp;"수당",설정_코스수당!$B$14:$F$14,0)),0),0)</f>
        <v>0</v>
      </c>
      <c r="L1361" s="27">
        <f t="array" ref="L1361">IF($O1361="방문완료",IF($H1361="",0,IFERROR(INDEX(설정_코스수당!$B$15:$F$64,MATCH($H1361,설정_코스수당!$A$15:$A$64,0),MATCH($E1361&amp;"수당",설정_코스수당!$B$14:$F$14,0)),0)),0)</f>
        <v>0</v>
      </c>
      <c r="M1361" s="27">
        <f>IF($O1361="방문완료",IFERROR(VLOOKUP($E1361,설정_코스수당!$A$6:$H$10,6,FALSE),0),0)</f>
        <v>0</v>
      </c>
      <c r="N1361" s="28">
        <f t="shared" si="39"/>
        <v>0</v>
      </c>
      <c r="O1361" s="23"/>
      <c r="P1361" s="23"/>
      <c r="Q1361" s="23"/>
      <c r="R1361" s="26"/>
      <c r="S1361" s="23"/>
    </row>
    <row r="1362" spans="1:24" ht="19.5" hidden="1" customHeight="1" outlineLevel="1">
      <c r="A1362" s="29">
        <v>10</v>
      </c>
      <c r="B1362" s="30">
        <f>IF(14&lt;=DAY(DATE(YEAR(설정_코스수당!$K$2),MONTH(설정_코스수당!$K$2)+1,0)),DATE(YEAR(설정_코스수당!$K$2),MONTH(설정_코스수당!$K$2),14),"")</f>
        <v>46187</v>
      </c>
      <c r="C1362" s="31"/>
      <c r="D1362" s="29"/>
      <c r="E1362" s="29"/>
      <c r="F1362" s="32"/>
      <c r="G1362" s="29"/>
      <c r="H1362" s="29"/>
      <c r="I1362" s="29"/>
      <c r="J1362" s="33">
        <f>IF($O1362="방문완료",MAX(0,IFERROR(VLOOKUP($E1362,설정_코스수당!$A$6:$H$10,4,FALSE),0)-IF(OR($P1362="",$P1362="없음"),0,100000)),0)</f>
        <v>0</v>
      </c>
      <c r="K1362" s="33">
        <f t="array" ref="K1362">IF($O1362="방문완료",IFERROR(INDEX(설정_코스수당!$B$15:$F$64,MATCH($G1362,설정_코스수당!$A$15:$A$64,0),MATCH($E1362&amp;"수당",설정_코스수당!$B$14:$F$14,0)),0),0)</f>
        <v>0</v>
      </c>
      <c r="L1362" s="33">
        <f t="array" ref="L1362">IF($O1362="방문완료",IF($H1362="",0,IFERROR(INDEX(설정_코스수당!$B$15:$F$64,MATCH($H1362,설정_코스수당!$A$15:$A$64,0),MATCH($E1362&amp;"수당",설정_코스수당!$B$14:$F$14,0)),0)),0)</f>
        <v>0</v>
      </c>
      <c r="M1362" s="33">
        <f>IF($O1362="방문완료",IFERROR(VLOOKUP($E1362,설정_코스수당!$A$6:$H$10,6,FALSE),0),0)</f>
        <v>0</v>
      </c>
      <c r="N1362" s="34">
        <f t="shared" si="39"/>
        <v>0</v>
      </c>
      <c r="O1362" s="29"/>
      <c r="P1362" s="29"/>
      <c r="Q1362" s="29"/>
      <c r="R1362" s="32"/>
      <c r="S1362" s="29"/>
      <c r="U1362" s="120" t="s">
        <v>75</v>
      </c>
      <c r="V1362" s="121"/>
      <c r="W1362" s="121"/>
      <c r="X1362" s="121"/>
    </row>
    <row r="1363" spans="1:24" ht="19.5" hidden="1" customHeight="1" outlineLevel="1">
      <c r="A1363" s="23">
        <v>11</v>
      </c>
      <c r="B1363" s="24">
        <f>IF(14&lt;=DAY(DATE(YEAR(설정_코스수당!$K$2),MONTH(설정_코스수당!$K$2)+1,0)),DATE(YEAR(설정_코스수당!$K$2),MONTH(설정_코스수당!$K$2),14),"")</f>
        <v>46187</v>
      </c>
      <c r="C1363" s="25"/>
      <c r="D1363" s="23"/>
      <c r="E1363" s="23"/>
      <c r="F1363" s="26"/>
      <c r="G1363" s="23"/>
      <c r="H1363" s="23"/>
      <c r="I1363" s="23"/>
      <c r="J1363" s="27">
        <f>IF($O1363="방문완료",MAX(0,IFERROR(VLOOKUP($E1363,설정_코스수당!$A$6:$H$10,4,FALSE),0)-IF(OR($P1363="",$P1363="없음"),0,100000)),0)</f>
        <v>0</v>
      </c>
      <c r="K1363" s="27">
        <f t="array" ref="K1363">IF($O1363="방문완료",IFERROR(INDEX(설정_코스수당!$B$15:$F$64,MATCH($G1363,설정_코스수당!$A$15:$A$64,0),MATCH($E1363&amp;"수당",설정_코스수당!$B$14:$F$14,0)),0),0)</f>
        <v>0</v>
      </c>
      <c r="L1363" s="27">
        <f t="array" ref="L1363">IF($O1363="방문완료",IF($H1363="",0,IFERROR(INDEX(설정_코스수당!$B$15:$F$64,MATCH($H1363,설정_코스수당!$A$15:$A$64,0),MATCH($E1363&amp;"수당",설정_코스수당!$B$14:$F$14,0)),0)),0)</f>
        <v>0</v>
      </c>
      <c r="M1363" s="27">
        <f>IF($O1363="방문완료",IFERROR(VLOOKUP($E1363,설정_코스수당!$A$6:$H$10,6,FALSE),0),0)</f>
        <v>0</v>
      </c>
      <c r="N1363" s="28">
        <f t="shared" si="39"/>
        <v>0</v>
      </c>
      <c r="O1363" s="23"/>
      <c r="P1363" s="23"/>
      <c r="Q1363" s="23"/>
      <c r="R1363" s="26"/>
      <c r="S1363" s="23"/>
      <c r="U1363" s="109" t="s">
        <v>76</v>
      </c>
      <c r="V1363" s="109" t="s">
        <v>77</v>
      </c>
      <c r="W1363" s="109" t="s">
        <v>78</v>
      </c>
      <c r="X1363" s="109" t="s">
        <v>58</v>
      </c>
    </row>
    <row r="1364" spans="1:24" ht="19.5" hidden="1" customHeight="1" outlineLevel="1">
      <c r="A1364" s="29">
        <v>12</v>
      </c>
      <c r="B1364" s="30">
        <f>IF(14&lt;=DAY(DATE(YEAR(설정_코스수당!$K$2),MONTH(설정_코스수당!$K$2)+1,0)),DATE(YEAR(설정_코스수당!$K$2),MONTH(설정_코스수당!$K$2),14),"")</f>
        <v>46187</v>
      </c>
      <c r="C1364" s="31"/>
      <c r="D1364" s="29"/>
      <c r="E1364" s="29"/>
      <c r="F1364" s="32"/>
      <c r="G1364" s="29"/>
      <c r="H1364" s="29"/>
      <c r="I1364" s="29"/>
      <c r="J1364" s="33">
        <f>IF($O1364="방문완료",MAX(0,IFERROR(VLOOKUP($E1364,설정_코스수당!$A$6:$H$10,4,FALSE),0)-IF(OR($P1364="",$P1364="없음"),0,100000)),0)</f>
        <v>0</v>
      </c>
      <c r="K1364" s="33">
        <f t="array" ref="K1364">IF($O1364="방문완료",IFERROR(INDEX(설정_코스수당!$B$15:$F$64,MATCH($G1364,설정_코스수당!$A$15:$A$64,0),MATCH($E1364&amp;"수당",설정_코스수당!$B$14:$F$14,0)),0),0)</f>
        <v>0</v>
      </c>
      <c r="L1364" s="33">
        <f t="array" ref="L1364">IF($O1364="방문완료",IF($H1364="",0,IFERROR(INDEX(설정_코스수당!$B$15:$F$64,MATCH($H1364,설정_코스수당!$A$15:$A$64,0),MATCH($E1364&amp;"수당",설정_코스수당!$B$14:$F$14,0)),0)),0)</f>
        <v>0</v>
      </c>
      <c r="M1364" s="33">
        <f>IF($O1364="방문완료",IFERROR(VLOOKUP($E1364,설정_코스수당!$A$6:$H$10,6,FALSE),0),0)</f>
        <v>0</v>
      </c>
      <c r="N1364" s="34">
        <f t="shared" si="39"/>
        <v>0</v>
      </c>
      <c r="O1364" s="29"/>
      <c r="P1364" s="29"/>
      <c r="Q1364" s="29"/>
      <c r="R1364" s="32"/>
      <c r="S1364" s="29"/>
      <c r="U1364" s="113"/>
      <c r="V1364" s="111"/>
      <c r="W1364" s="112"/>
      <c r="X1364" s="111"/>
    </row>
    <row r="1365" spans="1:24" ht="19.5" hidden="1" customHeight="1" outlineLevel="1">
      <c r="A1365" s="23">
        <v>13</v>
      </c>
      <c r="B1365" s="24">
        <f>IF(14&lt;=DAY(DATE(YEAR(설정_코스수당!$K$2),MONTH(설정_코스수당!$K$2)+1,0)),DATE(YEAR(설정_코스수당!$K$2),MONTH(설정_코스수당!$K$2),14),"")</f>
        <v>46187</v>
      </c>
      <c r="C1365" s="25"/>
      <c r="D1365" s="23"/>
      <c r="E1365" s="23"/>
      <c r="F1365" s="26"/>
      <c r="G1365" s="23"/>
      <c r="H1365" s="23"/>
      <c r="I1365" s="23"/>
      <c r="J1365" s="27">
        <f>IF($O1365="방문완료",MAX(0,IFERROR(VLOOKUP($E1365,설정_코스수당!$A$6:$H$10,4,FALSE),0)-IF(OR($P1365="",$P1365="없음"),0,100000)),0)</f>
        <v>0</v>
      </c>
      <c r="K1365" s="27">
        <f t="array" ref="K1365">IF($O1365="방문완료",IFERROR(INDEX(설정_코스수당!$B$15:$F$64,MATCH($G1365,설정_코스수당!$A$15:$A$64,0),MATCH($E1365&amp;"수당",설정_코스수당!$B$14:$F$14,0)),0),0)</f>
        <v>0</v>
      </c>
      <c r="L1365" s="27">
        <f t="array" ref="L1365">IF($O1365="방문완료",IF($H1365="",0,IFERROR(INDEX(설정_코스수당!$B$15:$F$64,MATCH($H1365,설정_코스수당!$A$15:$A$64,0),MATCH($E1365&amp;"수당",설정_코스수당!$B$14:$F$14,0)),0)),0)</f>
        <v>0</v>
      </c>
      <c r="M1365" s="27">
        <f>IF($O1365="방문완료",IFERROR(VLOOKUP($E1365,설정_코스수당!$A$6:$H$10,6,FALSE),0),0)</f>
        <v>0</v>
      </c>
      <c r="N1365" s="28">
        <f t="shared" si="39"/>
        <v>0</v>
      </c>
      <c r="O1365" s="23"/>
      <c r="P1365" s="23"/>
      <c r="Q1365" s="23"/>
      <c r="R1365" s="26"/>
      <c r="S1365" s="23"/>
      <c r="U1365" s="113"/>
      <c r="V1365" s="111"/>
      <c r="W1365" s="112"/>
      <c r="X1365" s="111"/>
    </row>
    <row r="1366" spans="1:24" ht="19.5" hidden="1" customHeight="1" outlineLevel="1">
      <c r="A1366" s="29">
        <v>14</v>
      </c>
      <c r="B1366" s="30">
        <f>IF(14&lt;=DAY(DATE(YEAR(설정_코스수당!$K$2),MONTH(설정_코스수당!$K$2)+1,0)),DATE(YEAR(설정_코스수당!$K$2),MONTH(설정_코스수당!$K$2),14),"")</f>
        <v>46187</v>
      </c>
      <c r="C1366" s="31"/>
      <c r="D1366" s="29"/>
      <c r="E1366" s="29"/>
      <c r="F1366" s="32"/>
      <c r="G1366" s="29"/>
      <c r="H1366" s="29"/>
      <c r="I1366" s="29"/>
      <c r="J1366" s="33">
        <f>IF($O1366="방문완료",MAX(0,IFERROR(VLOOKUP($E1366,설정_코스수당!$A$6:$H$10,4,FALSE),0)-IF(OR($P1366="",$P1366="없음"),0,100000)),0)</f>
        <v>0</v>
      </c>
      <c r="K1366" s="33">
        <f t="array" ref="K1366">IF($O1366="방문완료",IFERROR(INDEX(설정_코스수당!$B$15:$F$64,MATCH($G1366,설정_코스수당!$A$15:$A$64,0),MATCH($E1366&amp;"수당",설정_코스수당!$B$14:$F$14,0)),0),0)</f>
        <v>0</v>
      </c>
      <c r="L1366" s="33">
        <f t="array" ref="L1366">IF($O1366="방문완료",IF($H1366="",0,IFERROR(INDEX(설정_코스수당!$B$15:$F$64,MATCH($H1366,설정_코스수당!$A$15:$A$64,0),MATCH($E1366&amp;"수당",설정_코스수당!$B$14:$F$14,0)),0)),0)</f>
        <v>0</v>
      </c>
      <c r="M1366" s="33">
        <f>IF($O1366="방문완료",IFERROR(VLOOKUP($E1366,설정_코스수당!$A$6:$H$10,6,FALSE),0),0)</f>
        <v>0</v>
      </c>
      <c r="N1366" s="34">
        <f t="shared" si="39"/>
        <v>0</v>
      </c>
      <c r="O1366" s="29"/>
      <c r="P1366" s="29"/>
      <c r="Q1366" s="29"/>
      <c r="R1366" s="32"/>
      <c r="S1366" s="29"/>
      <c r="U1366" s="113"/>
      <c r="V1366" s="111"/>
      <c r="W1366" s="112"/>
      <c r="X1366" s="111"/>
    </row>
    <row r="1367" spans="1:24" ht="19.5" hidden="1" customHeight="1" outlineLevel="1">
      <c r="A1367" s="23">
        <v>15</v>
      </c>
      <c r="B1367" s="24">
        <f>IF(14&lt;=DAY(DATE(YEAR(설정_코스수당!$K$2),MONTH(설정_코스수당!$K$2)+1,0)),DATE(YEAR(설정_코스수당!$K$2),MONTH(설정_코스수당!$K$2),14),"")</f>
        <v>46187</v>
      </c>
      <c r="C1367" s="25"/>
      <c r="D1367" s="23"/>
      <c r="E1367" s="23"/>
      <c r="F1367" s="26"/>
      <c r="G1367" s="23"/>
      <c r="H1367" s="23"/>
      <c r="I1367" s="23"/>
      <c r="J1367" s="27">
        <f>IF($O1367="방문완료",MAX(0,IFERROR(VLOOKUP($E1367,설정_코스수당!$A$6:$H$10,4,FALSE),0)-IF(OR($P1367="",$P1367="없음"),0,100000)),0)</f>
        <v>0</v>
      </c>
      <c r="K1367" s="27">
        <f t="array" ref="K1367">IF($O1367="방문완료",IFERROR(INDEX(설정_코스수당!$B$15:$F$64,MATCH($G1367,설정_코스수당!$A$15:$A$64,0),MATCH($E1367&amp;"수당",설정_코스수당!$B$14:$F$14,0)),0),0)</f>
        <v>0</v>
      </c>
      <c r="L1367" s="27">
        <f t="array" ref="L1367">IF($O1367="방문완료",IF($H1367="",0,IFERROR(INDEX(설정_코스수당!$B$15:$F$64,MATCH($H1367,설정_코스수당!$A$15:$A$64,0),MATCH($E1367&amp;"수당",설정_코스수당!$B$14:$F$14,0)),0)),0)</f>
        <v>0</v>
      </c>
      <c r="M1367" s="27">
        <f>IF($O1367="방문완료",IFERROR(VLOOKUP($E1367,설정_코스수당!$A$6:$H$10,6,FALSE),0),0)</f>
        <v>0</v>
      </c>
      <c r="N1367" s="28">
        <f t="shared" si="39"/>
        <v>0</v>
      </c>
      <c r="O1367" s="23"/>
      <c r="P1367" s="23"/>
      <c r="Q1367" s="23"/>
      <c r="R1367" s="26"/>
      <c r="S1367" s="23"/>
      <c r="U1367" s="113"/>
      <c r="V1367" s="111"/>
      <c r="W1367" s="112"/>
      <c r="X1367" s="111"/>
    </row>
    <row r="1368" spans="1:24" ht="19.5" hidden="1" customHeight="1" outlineLevel="1">
      <c r="A1368" s="29">
        <v>16</v>
      </c>
      <c r="B1368" s="30">
        <f>IF(14&lt;=DAY(DATE(YEAR(설정_코스수당!$K$2),MONTH(설정_코스수당!$K$2)+1,0)),DATE(YEAR(설정_코스수당!$K$2),MONTH(설정_코스수당!$K$2),14),"")</f>
        <v>46187</v>
      </c>
      <c r="C1368" s="31"/>
      <c r="D1368" s="29"/>
      <c r="E1368" s="29"/>
      <c r="F1368" s="32"/>
      <c r="G1368" s="29"/>
      <c r="H1368" s="29"/>
      <c r="I1368" s="29"/>
      <c r="J1368" s="33">
        <f>IF($O1368="방문완료",MAX(0,IFERROR(VLOOKUP($E1368,설정_코스수당!$A$6:$H$10,4,FALSE),0)-IF(OR($P1368="",$P1368="없음"),0,100000)),0)</f>
        <v>0</v>
      </c>
      <c r="K1368" s="33">
        <f t="array" ref="K1368">IF($O1368="방문완료",IFERROR(INDEX(설정_코스수당!$B$15:$F$64,MATCH($G1368,설정_코스수당!$A$15:$A$64,0),MATCH($E1368&amp;"수당",설정_코스수당!$B$14:$F$14,0)),0),0)</f>
        <v>0</v>
      </c>
      <c r="L1368" s="33">
        <f t="array" ref="L1368">IF($O1368="방문완료",IF($H1368="",0,IFERROR(INDEX(설정_코스수당!$B$15:$F$64,MATCH($H1368,설정_코스수당!$A$15:$A$64,0),MATCH($E1368&amp;"수당",설정_코스수당!$B$14:$F$14,0)),0)),0)</f>
        <v>0</v>
      </c>
      <c r="M1368" s="33">
        <f>IF($O1368="방문완료",IFERROR(VLOOKUP($E1368,설정_코스수당!$A$6:$H$10,6,FALSE),0),0)</f>
        <v>0</v>
      </c>
      <c r="N1368" s="34">
        <f t="shared" si="39"/>
        <v>0</v>
      </c>
      <c r="O1368" s="29"/>
      <c r="P1368" s="29"/>
      <c r="Q1368" s="29"/>
      <c r="R1368" s="32"/>
      <c r="S1368" s="29"/>
      <c r="U1368" s="113"/>
      <c r="V1368" s="111"/>
      <c r="W1368" s="112"/>
      <c r="X1368" s="111"/>
    </row>
    <row r="1369" spans="1:24" ht="19.5" hidden="1" customHeight="1" outlineLevel="1">
      <c r="A1369" s="23">
        <v>17</v>
      </c>
      <c r="B1369" s="24">
        <f>IF(14&lt;=DAY(DATE(YEAR(설정_코스수당!$K$2),MONTH(설정_코스수당!$K$2)+1,0)),DATE(YEAR(설정_코스수당!$K$2),MONTH(설정_코스수당!$K$2),14),"")</f>
        <v>46187</v>
      </c>
      <c r="C1369" s="25"/>
      <c r="D1369" s="23"/>
      <c r="E1369" s="23"/>
      <c r="F1369" s="26"/>
      <c r="G1369" s="23"/>
      <c r="H1369" s="23"/>
      <c r="I1369" s="23"/>
      <c r="J1369" s="27">
        <f>IF($O1369="방문완료",MAX(0,IFERROR(VLOOKUP($E1369,설정_코스수당!$A$6:$H$10,4,FALSE),0)-IF(OR($P1369="",$P1369="없음"),0,100000)),0)</f>
        <v>0</v>
      </c>
      <c r="K1369" s="27">
        <f t="array" ref="K1369">IF($O1369="방문완료",IFERROR(INDEX(설정_코스수당!$B$15:$F$64,MATCH($G1369,설정_코스수당!$A$15:$A$64,0),MATCH($E1369&amp;"수당",설정_코스수당!$B$14:$F$14,0)),0),0)</f>
        <v>0</v>
      </c>
      <c r="L1369" s="27">
        <f t="array" ref="L1369">IF($O1369="방문완료",IF($H1369="",0,IFERROR(INDEX(설정_코스수당!$B$15:$F$64,MATCH($H1369,설정_코스수당!$A$15:$A$64,0),MATCH($E1369&amp;"수당",설정_코스수당!$B$14:$F$14,0)),0)),0)</f>
        <v>0</v>
      </c>
      <c r="M1369" s="27">
        <f>IF($O1369="방문완료",IFERROR(VLOOKUP($E1369,설정_코스수당!$A$6:$H$10,6,FALSE),0),0)</f>
        <v>0</v>
      </c>
      <c r="N1369" s="28">
        <f t="shared" si="39"/>
        <v>0</v>
      </c>
      <c r="O1369" s="23"/>
      <c r="P1369" s="23"/>
      <c r="Q1369" s="23"/>
      <c r="R1369" s="26"/>
      <c r="S1369" s="23"/>
      <c r="U1369" s="113"/>
      <c r="V1369" s="111"/>
      <c r="W1369" s="112"/>
      <c r="X1369" s="111"/>
    </row>
    <row r="1370" spans="1:24" ht="19.5" hidden="1" customHeight="1" outlineLevel="1">
      <c r="A1370" s="29">
        <v>18</v>
      </c>
      <c r="B1370" s="30">
        <f>IF(14&lt;=DAY(DATE(YEAR(설정_코스수당!$K$2),MONTH(설정_코스수당!$K$2)+1,0)),DATE(YEAR(설정_코스수당!$K$2),MONTH(설정_코스수당!$K$2),14),"")</f>
        <v>46187</v>
      </c>
      <c r="C1370" s="31"/>
      <c r="D1370" s="29"/>
      <c r="E1370" s="29"/>
      <c r="F1370" s="32"/>
      <c r="G1370" s="29"/>
      <c r="H1370" s="29"/>
      <c r="I1370" s="29"/>
      <c r="J1370" s="33">
        <f>IF($O1370="방문완료",MAX(0,IFERROR(VLOOKUP($E1370,설정_코스수당!$A$6:$H$10,4,FALSE),0)-IF(OR($P1370="",$P1370="없음"),0,100000)),0)</f>
        <v>0</v>
      </c>
      <c r="K1370" s="33">
        <f t="array" ref="K1370">IF($O1370="방문완료",IFERROR(INDEX(설정_코스수당!$B$15:$F$64,MATCH($G1370,설정_코스수당!$A$15:$A$64,0),MATCH($E1370&amp;"수당",설정_코스수당!$B$14:$F$14,0)),0),0)</f>
        <v>0</v>
      </c>
      <c r="L1370" s="33">
        <f t="array" ref="L1370">IF($O1370="방문완료",IF($H1370="",0,IFERROR(INDEX(설정_코스수당!$B$15:$F$64,MATCH($H1370,설정_코스수당!$A$15:$A$64,0),MATCH($E1370&amp;"수당",설정_코스수당!$B$14:$F$14,0)),0)),0)</f>
        <v>0</v>
      </c>
      <c r="M1370" s="33">
        <f>IF($O1370="방문완료",IFERROR(VLOOKUP($E1370,설정_코스수당!$A$6:$H$10,6,FALSE),0),0)</f>
        <v>0</v>
      </c>
      <c r="N1370" s="34">
        <f t="shared" si="39"/>
        <v>0</v>
      </c>
      <c r="O1370" s="29"/>
      <c r="P1370" s="29"/>
      <c r="Q1370" s="29"/>
      <c r="R1370" s="32"/>
      <c r="S1370" s="29"/>
      <c r="U1370" s="113"/>
      <c r="V1370" s="111"/>
      <c r="W1370" s="112"/>
      <c r="X1370" s="111"/>
    </row>
    <row r="1371" spans="1:24" ht="19.5" hidden="1" customHeight="1" outlineLevel="1">
      <c r="A1371" s="23">
        <v>19</v>
      </c>
      <c r="B1371" s="24">
        <f>IF(14&lt;=DAY(DATE(YEAR(설정_코스수당!$K$2),MONTH(설정_코스수당!$K$2)+1,0)),DATE(YEAR(설정_코스수당!$K$2),MONTH(설정_코스수당!$K$2),14),"")</f>
        <v>46187</v>
      </c>
      <c r="C1371" s="25"/>
      <c r="D1371" s="23"/>
      <c r="E1371" s="23"/>
      <c r="F1371" s="26"/>
      <c r="G1371" s="23"/>
      <c r="H1371" s="23"/>
      <c r="I1371" s="23"/>
      <c r="J1371" s="27">
        <f>IF($O1371="방문완료",MAX(0,IFERROR(VLOOKUP($E1371,설정_코스수당!$A$6:$H$10,4,FALSE),0)-IF(OR($P1371="",$P1371="없음"),0,100000)),0)</f>
        <v>0</v>
      </c>
      <c r="K1371" s="27">
        <f t="array" ref="K1371">IF($O1371="방문완료",IFERROR(INDEX(설정_코스수당!$B$15:$F$64,MATCH($G1371,설정_코스수당!$A$15:$A$64,0),MATCH($E1371&amp;"수당",설정_코스수당!$B$14:$F$14,0)),0),0)</f>
        <v>0</v>
      </c>
      <c r="L1371" s="27">
        <f t="array" ref="L1371">IF($O1371="방문완료",IF($H1371="",0,IFERROR(INDEX(설정_코스수당!$B$15:$F$64,MATCH($H1371,설정_코스수당!$A$15:$A$64,0),MATCH($E1371&amp;"수당",설정_코스수당!$B$14:$F$14,0)),0)),0)</f>
        <v>0</v>
      </c>
      <c r="M1371" s="27">
        <f>IF($O1371="방문완료",IFERROR(VLOOKUP($E1371,설정_코스수당!$A$6:$H$10,6,FALSE),0),0)</f>
        <v>0</v>
      </c>
      <c r="N1371" s="28">
        <f t="shared" si="39"/>
        <v>0</v>
      </c>
      <c r="O1371" s="23"/>
      <c r="P1371" s="23"/>
      <c r="Q1371" s="23"/>
      <c r="R1371" s="26"/>
      <c r="S1371" s="23"/>
      <c r="U1371" s="113"/>
      <c r="V1371" s="111"/>
      <c r="W1371" s="112"/>
      <c r="X1371" s="111"/>
    </row>
    <row r="1372" spans="1:24" ht="19.5" hidden="1" customHeight="1" outlineLevel="1">
      <c r="A1372" s="29">
        <v>20</v>
      </c>
      <c r="B1372" s="30">
        <f>IF(14&lt;=DAY(DATE(YEAR(설정_코스수당!$K$2),MONTH(설정_코스수당!$K$2)+1,0)),DATE(YEAR(설정_코스수당!$K$2),MONTH(설정_코스수당!$K$2),14),"")</f>
        <v>46187</v>
      </c>
      <c r="C1372" s="31"/>
      <c r="D1372" s="29"/>
      <c r="E1372" s="29"/>
      <c r="F1372" s="32"/>
      <c r="G1372" s="29"/>
      <c r="H1372" s="29"/>
      <c r="I1372" s="29"/>
      <c r="J1372" s="33">
        <f>IF($O1372="방문완료",MAX(0,IFERROR(VLOOKUP($E1372,설정_코스수당!$A$6:$H$10,4,FALSE),0)-IF(OR($P1372="",$P1372="없음"),0,100000)),0)</f>
        <v>0</v>
      </c>
      <c r="K1372" s="33">
        <f t="array" ref="K1372">IF($O1372="방문완료",IFERROR(INDEX(설정_코스수당!$B$15:$F$64,MATCH($G1372,설정_코스수당!$A$15:$A$64,0),MATCH($E1372&amp;"수당",설정_코스수당!$B$14:$F$14,0)),0),0)</f>
        <v>0</v>
      </c>
      <c r="L1372" s="33">
        <f t="array" ref="L1372">IF($O1372="방문완료",IF($H1372="",0,IFERROR(INDEX(설정_코스수당!$B$15:$F$64,MATCH($H1372,설정_코스수당!$A$15:$A$64,0),MATCH($E1372&amp;"수당",설정_코스수당!$B$14:$F$14,0)),0)),0)</f>
        <v>0</v>
      </c>
      <c r="M1372" s="33">
        <f>IF($O1372="방문완료",IFERROR(VLOOKUP($E1372,설정_코스수당!$A$6:$H$10,6,FALSE),0),0)</f>
        <v>0</v>
      </c>
      <c r="N1372" s="34">
        <f t="shared" si="39"/>
        <v>0</v>
      </c>
      <c r="O1372" s="29"/>
      <c r="P1372" s="29"/>
      <c r="Q1372" s="29"/>
      <c r="R1372" s="32"/>
      <c r="S1372" s="29"/>
    </row>
    <row r="1373" spans="1:24" ht="19.5" hidden="1" customHeight="1" outlineLevel="1">
      <c r="A1373" s="23">
        <v>21</v>
      </c>
      <c r="B1373" s="24">
        <f>IF(14&lt;=DAY(DATE(YEAR(설정_코스수당!$K$2),MONTH(설정_코스수당!$K$2)+1,0)),DATE(YEAR(설정_코스수당!$K$2),MONTH(설정_코스수당!$K$2),14),"")</f>
        <v>46187</v>
      </c>
      <c r="C1373" s="25"/>
      <c r="D1373" s="23"/>
      <c r="E1373" s="23"/>
      <c r="F1373" s="26"/>
      <c r="G1373" s="23"/>
      <c r="H1373" s="23"/>
      <c r="I1373" s="23"/>
      <c r="J1373" s="27">
        <f>IF($O1373="방문완료",MAX(0,IFERROR(VLOOKUP($E1373,설정_코스수당!$A$6:$H$10,4,FALSE),0)-IF(OR($P1373="",$P1373="없음"),0,100000)),0)</f>
        <v>0</v>
      </c>
      <c r="K1373" s="27">
        <f t="array" ref="K1373">IF($O1373="방문완료",IFERROR(INDEX(설정_코스수당!$B$15:$F$64,MATCH($G1373,설정_코스수당!$A$15:$A$64,0),MATCH($E1373&amp;"수당",설정_코스수당!$B$14:$F$14,0)),0),0)</f>
        <v>0</v>
      </c>
      <c r="L1373" s="27">
        <f t="array" ref="L1373">IF($O1373="방문완료",IF($H1373="",0,IFERROR(INDEX(설정_코스수당!$B$15:$F$64,MATCH($H1373,설정_코스수당!$A$15:$A$64,0),MATCH($E1373&amp;"수당",설정_코스수당!$B$14:$F$14,0)),0)),0)</f>
        <v>0</v>
      </c>
      <c r="M1373" s="27">
        <f>IF($O1373="방문완료",IFERROR(VLOOKUP($E1373,설정_코스수당!$A$6:$H$10,6,FALSE),0),0)</f>
        <v>0</v>
      </c>
      <c r="N1373" s="28">
        <f t="shared" si="39"/>
        <v>0</v>
      </c>
      <c r="O1373" s="23"/>
      <c r="P1373" s="23"/>
      <c r="Q1373" s="23"/>
      <c r="R1373" s="26"/>
      <c r="S1373" s="23"/>
    </row>
    <row r="1374" spans="1:24" ht="19.5" hidden="1" customHeight="1" outlineLevel="1">
      <c r="A1374" s="29">
        <v>22</v>
      </c>
      <c r="B1374" s="30">
        <f>IF(14&lt;=DAY(DATE(YEAR(설정_코스수당!$K$2),MONTH(설정_코스수당!$K$2)+1,0)),DATE(YEAR(설정_코스수당!$K$2),MONTH(설정_코스수당!$K$2),14),"")</f>
        <v>46187</v>
      </c>
      <c r="C1374" s="31"/>
      <c r="D1374" s="29"/>
      <c r="E1374" s="29"/>
      <c r="F1374" s="32"/>
      <c r="G1374" s="29"/>
      <c r="H1374" s="29"/>
      <c r="I1374" s="29"/>
      <c r="J1374" s="33">
        <f>IF($O1374="방문완료",MAX(0,IFERROR(VLOOKUP($E1374,설정_코스수당!$A$6:$H$10,4,FALSE),0)-IF(OR($P1374="",$P1374="없음"),0,100000)),0)</f>
        <v>0</v>
      </c>
      <c r="K1374" s="33">
        <f t="array" ref="K1374">IF($O1374="방문완료",IFERROR(INDEX(설정_코스수당!$B$15:$F$64,MATCH($G1374,설정_코스수당!$A$15:$A$64,0),MATCH($E1374&amp;"수당",설정_코스수당!$B$14:$F$14,0)),0),0)</f>
        <v>0</v>
      </c>
      <c r="L1374" s="33">
        <f t="array" ref="L1374">IF($O1374="방문완료",IF($H1374="",0,IFERROR(INDEX(설정_코스수당!$B$15:$F$64,MATCH($H1374,설정_코스수당!$A$15:$A$64,0),MATCH($E1374&amp;"수당",설정_코스수당!$B$14:$F$14,0)),0)),0)</f>
        <v>0</v>
      </c>
      <c r="M1374" s="33">
        <f>IF($O1374="방문완료",IFERROR(VLOOKUP($E1374,설정_코스수당!$A$6:$H$10,6,FALSE),0),0)</f>
        <v>0</v>
      </c>
      <c r="N1374" s="34">
        <f t="shared" si="39"/>
        <v>0</v>
      </c>
      <c r="O1374" s="29"/>
      <c r="P1374" s="29"/>
      <c r="Q1374" s="29"/>
      <c r="R1374" s="32"/>
      <c r="S1374" s="29"/>
    </row>
    <row r="1375" spans="1:24" ht="19.5" hidden="1" customHeight="1" outlineLevel="1">
      <c r="A1375" s="23">
        <v>23</v>
      </c>
      <c r="B1375" s="24">
        <f>IF(14&lt;=DAY(DATE(YEAR(설정_코스수당!$K$2),MONTH(설정_코스수당!$K$2)+1,0)),DATE(YEAR(설정_코스수당!$K$2),MONTH(설정_코스수당!$K$2),14),"")</f>
        <v>46187</v>
      </c>
      <c r="C1375" s="25"/>
      <c r="D1375" s="23"/>
      <c r="E1375" s="23"/>
      <c r="F1375" s="26"/>
      <c r="G1375" s="23"/>
      <c r="H1375" s="23"/>
      <c r="I1375" s="23"/>
      <c r="J1375" s="27">
        <f>IF($O1375="방문완료",MAX(0,IFERROR(VLOOKUP($E1375,설정_코스수당!$A$6:$H$10,4,FALSE),0)-IF(OR($P1375="",$P1375="없음"),0,100000)),0)</f>
        <v>0</v>
      </c>
      <c r="K1375" s="27">
        <f t="array" ref="K1375">IF($O1375="방문완료",IFERROR(INDEX(설정_코스수당!$B$15:$F$64,MATCH($G1375,설정_코스수당!$A$15:$A$64,0),MATCH($E1375&amp;"수당",설정_코스수당!$B$14:$F$14,0)),0),0)</f>
        <v>0</v>
      </c>
      <c r="L1375" s="27">
        <f t="array" ref="L1375">IF($O1375="방문완료",IF($H1375="",0,IFERROR(INDEX(설정_코스수당!$B$15:$F$64,MATCH($H1375,설정_코스수당!$A$15:$A$64,0),MATCH($E1375&amp;"수당",설정_코스수당!$B$14:$F$14,0)),0)),0)</f>
        <v>0</v>
      </c>
      <c r="M1375" s="27">
        <f>IF($O1375="방문완료",IFERROR(VLOOKUP($E1375,설정_코스수당!$A$6:$H$10,6,FALSE),0),0)</f>
        <v>0</v>
      </c>
      <c r="N1375" s="28">
        <f t="shared" si="39"/>
        <v>0</v>
      </c>
      <c r="O1375" s="23"/>
      <c r="P1375" s="23"/>
      <c r="Q1375" s="23"/>
      <c r="R1375" s="26"/>
      <c r="S1375" s="23"/>
    </row>
    <row r="1376" spans="1:24" ht="19.5" hidden="1" customHeight="1" outlineLevel="1">
      <c r="A1376" s="29">
        <v>24</v>
      </c>
      <c r="B1376" s="30">
        <f>IF(14&lt;=DAY(DATE(YEAR(설정_코스수당!$K$2),MONTH(설정_코스수당!$K$2)+1,0)),DATE(YEAR(설정_코스수당!$K$2),MONTH(설정_코스수당!$K$2),14),"")</f>
        <v>46187</v>
      </c>
      <c r="C1376" s="31"/>
      <c r="D1376" s="29"/>
      <c r="E1376" s="29"/>
      <c r="F1376" s="32"/>
      <c r="G1376" s="29"/>
      <c r="H1376" s="29"/>
      <c r="I1376" s="29"/>
      <c r="J1376" s="33">
        <f>IF($O1376="방문완료",MAX(0,IFERROR(VLOOKUP($E1376,설정_코스수당!$A$6:$H$10,4,FALSE),0)-IF(OR($P1376="",$P1376="없음"),0,100000)),0)</f>
        <v>0</v>
      </c>
      <c r="K1376" s="33">
        <f t="array" ref="K1376">IF($O1376="방문완료",IFERROR(INDEX(설정_코스수당!$B$15:$F$64,MATCH($G1376,설정_코스수당!$A$15:$A$64,0),MATCH($E1376&amp;"수당",설정_코스수당!$B$14:$F$14,0)),0),0)</f>
        <v>0</v>
      </c>
      <c r="L1376" s="33">
        <f t="array" ref="L1376">IF($O1376="방문완료",IF($H1376="",0,IFERROR(INDEX(설정_코스수당!$B$15:$F$64,MATCH($H1376,설정_코스수당!$A$15:$A$64,0),MATCH($E1376&amp;"수당",설정_코스수당!$B$14:$F$14,0)),0)),0)</f>
        <v>0</v>
      </c>
      <c r="M1376" s="33">
        <f>IF($O1376="방문완료",IFERROR(VLOOKUP($E1376,설정_코스수당!$A$6:$H$10,6,FALSE),0),0)</f>
        <v>0</v>
      </c>
      <c r="N1376" s="34">
        <f t="shared" si="39"/>
        <v>0</v>
      </c>
      <c r="O1376" s="29"/>
      <c r="P1376" s="29"/>
      <c r="Q1376" s="29"/>
      <c r="R1376" s="32"/>
      <c r="S1376" s="29"/>
    </row>
    <row r="1377" spans="1:19" ht="19.5" hidden="1" customHeight="1" outlineLevel="1">
      <c r="A1377" s="23">
        <v>25</v>
      </c>
      <c r="B1377" s="24">
        <f>IF(14&lt;=DAY(DATE(YEAR(설정_코스수당!$K$2),MONTH(설정_코스수당!$K$2)+1,0)),DATE(YEAR(설정_코스수당!$K$2),MONTH(설정_코스수당!$K$2),14),"")</f>
        <v>46187</v>
      </c>
      <c r="C1377" s="25"/>
      <c r="D1377" s="23"/>
      <c r="E1377" s="23"/>
      <c r="F1377" s="26"/>
      <c r="G1377" s="23"/>
      <c r="H1377" s="23"/>
      <c r="I1377" s="23"/>
      <c r="J1377" s="27">
        <f>IF($O1377="방문완료",MAX(0,IFERROR(VLOOKUP($E1377,설정_코스수당!$A$6:$H$10,4,FALSE),0)-IF(OR($P1377="",$P1377="없음"),0,100000)),0)</f>
        <v>0</v>
      </c>
      <c r="K1377" s="27">
        <f t="array" ref="K1377">IF($O1377="방문완료",IFERROR(INDEX(설정_코스수당!$B$15:$F$64,MATCH($G1377,설정_코스수당!$A$15:$A$64,0),MATCH($E1377&amp;"수당",설정_코스수당!$B$14:$F$14,0)),0),0)</f>
        <v>0</v>
      </c>
      <c r="L1377" s="27">
        <f t="array" ref="L1377">IF($O1377="방문완료",IF($H1377="",0,IFERROR(INDEX(설정_코스수당!$B$15:$F$64,MATCH($H1377,설정_코스수당!$A$15:$A$64,0),MATCH($E1377&amp;"수당",설정_코스수당!$B$14:$F$14,0)),0)),0)</f>
        <v>0</v>
      </c>
      <c r="M1377" s="27">
        <f>IF($O1377="방문완료",IFERROR(VLOOKUP($E1377,설정_코스수당!$A$6:$H$10,6,FALSE),0),0)</f>
        <v>0</v>
      </c>
      <c r="N1377" s="28">
        <f t="shared" si="39"/>
        <v>0</v>
      </c>
      <c r="O1377" s="23"/>
      <c r="P1377" s="23"/>
      <c r="Q1377" s="23"/>
      <c r="R1377" s="26"/>
      <c r="S1377" s="23"/>
    </row>
    <row r="1378" spans="1:19" ht="19.5" hidden="1" customHeight="1" outlineLevel="1">
      <c r="A1378" s="29">
        <v>26</v>
      </c>
      <c r="B1378" s="30">
        <f>IF(14&lt;=DAY(DATE(YEAR(설정_코스수당!$K$2),MONTH(설정_코스수당!$K$2)+1,0)),DATE(YEAR(설정_코스수당!$K$2),MONTH(설정_코스수당!$K$2),14),"")</f>
        <v>46187</v>
      </c>
      <c r="C1378" s="31"/>
      <c r="D1378" s="29"/>
      <c r="E1378" s="29"/>
      <c r="F1378" s="32"/>
      <c r="G1378" s="29"/>
      <c r="H1378" s="29"/>
      <c r="I1378" s="29"/>
      <c r="J1378" s="33">
        <f>IF($O1378="방문완료",MAX(0,IFERROR(VLOOKUP($E1378,설정_코스수당!$A$6:$H$10,4,FALSE),0)-IF(OR($P1378="",$P1378="없음"),0,100000)),0)</f>
        <v>0</v>
      </c>
      <c r="K1378" s="33">
        <f t="array" ref="K1378">IF($O1378="방문완료",IFERROR(INDEX(설정_코스수당!$B$15:$F$64,MATCH($G1378,설정_코스수당!$A$15:$A$64,0),MATCH($E1378&amp;"수당",설정_코스수당!$B$14:$F$14,0)),0),0)</f>
        <v>0</v>
      </c>
      <c r="L1378" s="33">
        <f t="array" ref="L1378">IF($O1378="방문완료",IF($H1378="",0,IFERROR(INDEX(설정_코스수당!$B$15:$F$64,MATCH($H1378,설정_코스수당!$A$15:$A$64,0),MATCH($E1378&amp;"수당",설정_코스수당!$B$14:$F$14,0)),0)),0)</f>
        <v>0</v>
      </c>
      <c r="M1378" s="33">
        <f>IF($O1378="방문완료",IFERROR(VLOOKUP($E1378,설정_코스수당!$A$6:$H$10,6,FALSE),0),0)</f>
        <v>0</v>
      </c>
      <c r="N1378" s="34">
        <f t="shared" si="39"/>
        <v>0</v>
      </c>
      <c r="O1378" s="29"/>
      <c r="P1378" s="29"/>
      <c r="Q1378" s="29"/>
      <c r="R1378" s="32"/>
      <c r="S1378" s="29"/>
    </row>
    <row r="1379" spans="1:19" ht="19.5" hidden="1" customHeight="1" outlineLevel="1">
      <c r="A1379" s="23">
        <v>27</v>
      </c>
      <c r="B1379" s="24">
        <f>IF(14&lt;=DAY(DATE(YEAR(설정_코스수당!$K$2),MONTH(설정_코스수당!$K$2)+1,0)),DATE(YEAR(설정_코스수당!$K$2),MONTH(설정_코스수당!$K$2),14),"")</f>
        <v>46187</v>
      </c>
      <c r="C1379" s="25"/>
      <c r="D1379" s="23"/>
      <c r="E1379" s="23"/>
      <c r="F1379" s="26"/>
      <c r="G1379" s="23"/>
      <c r="H1379" s="23"/>
      <c r="I1379" s="23"/>
      <c r="J1379" s="27">
        <f>IF($O1379="방문완료",MAX(0,IFERROR(VLOOKUP($E1379,설정_코스수당!$A$6:$H$10,4,FALSE),0)-IF(OR($P1379="",$P1379="없음"),0,100000)),0)</f>
        <v>0</v>
      </c>
      <c r="K1379" s="27">
        <f t="array" ref="K1379">IF($O1379="방문완료",IFERROR(INDEX(설정_코스수당!$B$15:$F$64,MATCH($G1379,설정_코스수당!$A$15:$A$64,0),MATCH($E1379&amp;"수당",설정_코스수당!$B$14:$F$14,0)),0),0)</f>
        <v>0</v>
      </c>
      <c r="L1379" s="27">
        <f t="array" ref="L1379">IF($O1379="방문완료",IF($H1379="",0,IFERROR(INDEX(설정_코스수당!$B$15:$F$64,MATCH($H1379,설정_코스수당!$A$15:$A$64,0),MATCH($E1379&amp;"수당",설정_코스수당!$B$14:$F$14,0)),0)),0)</f>
        <v>0</v>
      </c>
      <c r="M1379" s="27">
        <f>IF($O1379="방문완료",IFERROR(VLOOKUP($E1379,설정_코스수당!$A$6:$H$10,6,FALSE),0),0)</f>
        <v>0</v>
      </c>
      <c r="N1379" s="28">
        <f t="shared" si="39"/>
        <v>0</v>
      </c>
      <c r="O1379" s="23"/>
      <c r="P1379" s="23"/>
      <c r="Q1379" s="23"/>
      <c r="R1379" s="26"/>
      <c r="S1379" s="23"/>
    </row>
    <row r="1380" spans="1:19" ht="19.5" hidden="1" customHeight="1" outlineLevel="1">
      <c r="A1380" s="29">
        <v>28</v>
      </c>
      <c r="B1380" s="30">
        <f>IF(14&lt;=DAY(DATE(YEAR(설정_코스수당!$K$2),MONTH(설정_코스수당!$K$2)+1,0)),DATE(YEAR(설정_코스수당!$K$2),MONTH(설정_코스수당!$K$2),14),"")</f>
        <v>46187</v>
      </c>
      <c r="C1380" s="31"/>
      <c r="D1380" s="29"/>
      <c r="E1380" s="29"/>
      <c r="F1380" s="32"/>
      <c r="G1380" s="29"/>
      <c r="H1380" s="29"/>
      <c r="I1380" s="29"/>
      <c r="J1380" s="33">
        <f>IF($O1380="방문완료",MAX(0,IFERROR(VLOOKUP($E1380,설정_코스수당!$A$6:$H$10,4,FALSE),0)-IF(OR($P1380="",$P1380="없음"),0,100000)),0)</f>
        <v>0</v>
      </c>
      <c r="K1380" s="33">
        <f t="array" ref="K1380">IF($O1380="방문완료",IFERROR(INDEX(설정_코스수당!$B$15:$F$64,MATCH($G1380,설정_코스수당!$A$15:$A$64,0),MATCH($E1380&amp;"수당",설정_코스수당!$B$14:$F$14,0)),0),0)</f>
        <v>0</v>
      </c>
      <c r="L1380" s="33">
        <f t="array" ref="L1380">IF($O1380="방문완료",IF($H1380="",0,IFERROR(INDEX(설정_코스수당!$B$15:$F$64,MATCH($H1380,설정_코스수당!$A$15:$A$64,0),MATCH($E1380&amp;"수당",설정_코스수당!$B$14:$F$14,0)),0)),0)</f>
        <v>0</v>
      </c>
      <c r="M1380" s="33">
        <f>IF($O1380="방문완료",IFERROR(VLOOKUP($E1380,설정_코스수당!$A$6:$H$10,6,FALSE),0),0)</f>
        <v>0</v>
      </c>
      <c r="N1380" s="34">
        <f t="shared" si="39"/>
        <v>0</v>
      </c>
      <c r="O1380" s="29"/>
      <c r="P1380" s="29"/>
      <c r="Q1380" s="29"/>
      <c r="R1380" s="32"/>
      <c r="S1380" s="29"/>
    </row>
    <row r="1381" spans="1:19" ht="19.5" hidden="1" customHeight="1" outlineLevel="1">
      <c r="A1381" s="23">
        <v>29</v>
      </c>
      <c r="B1381" s="24">
        <f>IF(14&lt;=DAY(DATE(YEAR(설정_코스수당!$K$2),MONTH(설정_코스수당!$K$2)+1,0)),DATE(YEAR(설정_코스수당!$K$2),MONTH(설정_코스수당!$K$2),14),"")</f>
        <v>46187</v>
      </c>
      <c r="C1381" s="25"/>
      <c r="D1381" s="23"/>
      <c r="E1381" s="23"/>
      <c r="F1381" s="26"/>
      <c r="G1381" s="23"/>
      <c r="H1381" s="23"/>
      <c r="I1381" s="23"/>
      <c r="J1381" s="27">
        <f>IF($O1381="방문완료",MAX(0,IFERROR(VLOOKUP($E1381,설정_코스수당!$A$6:$H$10,4,FALSE),0)-IF(OR($P1381="",$P1381="없음"),0,100000)),0)</f>
        <v>0</v>
      </c>
      <c r="K1381" s="27">
        <f t="array" ref="K1381">IF($O1381="방문완료",IFERROR(INDEX(설정_코스수당!$B$15:$F$64,MATCH($G1381,설정_코스수당!$A$15:$A$64,0),MATCH($E1381&amp;"수당",설정_코스수당!$B$14:$F$14,0)),0),0)</f>
        <v>0</v>
      </c>
      <c r="L1381" s="27">
        <f t="array" ref="L1381">IF($O1381="방문완료",IF($H1381="",0,IFERROR(INDEX(설정_코스수당!$B$15:$F$64,MATCH($H1381,설정_코스수당!$A$15:$A$64,0),MATCH($E1381&amp;"수당",설정_코스수당!$B$14:$F$14,0)),0)),0)</f>
        <v>0</v>
      </c>
      <c r="M1381" s="27">
        <f>IF($O1381="방문완료",IFERROR(VLOOKUP($E1381,설정_코스수당!$A$6:$H$10,6,FALSE),0),0)</f>
        <v>0</v>
      </c>
      <c r="N1381" s="28">
        <f t="shared" si="39"/>
        <v>0</v>
      </c>
      <c r="O1381" s="23"/>
      <c r="P1381" s="23"/>
      <c r="Q1381" s="23"/>
      <c r="R1381" s="26"/>
      <c r="S1381" s="23"/>
    </row>
    <row r="1382" spans="1:19" ht="19.5" hidden="1" customHeight="1" outlineLevel="1">
      <c r="A1382" s="29">
        <v>30</v>
      </c>
      <c r="B1382" s="30">
        <f>IF(14&lt;=DAY(DATE(YEAR(설정_코스수당!$K$2),MONTH(설정_코스수당!$K$2)+1,0)),DATE(YEAR(설정_코스수당!$K$2),MONTH(설정_코스수당!$K$2),14),"")</f>
        <v>46187</v>
      </c>
      <c r="C1382" s="31"/>
      <c r="D1382" s="29"/>
      <c r="E1382" s="29"/>
      <c r="F1382" s="32"/>
      <c r="G1382" s="29"/>
      <c r="H1382" s="29"/>
      <c r="I1382" s="29"/>
      <c r="J1382" s="33">
        <f>IF($O1382="방문완료",MAX(0,IFERROR(VLOOKUP($E1382,설정_코스수당!$A$6:$H$10,4,FALSE),0)-IF(OR($P1382="",$P1382="없음"),0,100000)),0)</f>
        <v>0</v>
      </c>
      <c r="K1382" s="33">
        <f t="array" ref="K1382">IF($O1382="방문완료",IFERROR(INDEX(설정_코스수당!$B$15:$F$64,MATCH($G1382,설정_코스수당!$A$15:$A$64,0),MATCH($E1382&amp;"수당",설정_코스수당!$B$14:$F$14,0)),0),0)</f>
        <v>0</v>
      </c>
      <c r="L1382" s="33">
        <f t="array" ref="L1382">IF($O1382="방문완료",IF($H1382="",0,IFERROR(INDEX(설정_코스수당!$B$15:$F$64,MATCH($H1382,설정_코스수당!$A$15:$A$64,0),MATCH($E1382&amp;"수당",설정_코스수당!$B$14:$F$14,0)),0)),0)</f>
        <v>0</v>
      </c>
      <c r="M1382" s="33">
        <f>IF($O1382="방문완료",IFERROR(VLOOKUP($E1382,설정_코스수당!$A$6:$H$10,6,FALSE),0),0)</f>
        <v>0</v>
      </c>
      <c r="N1382" s="34">
        <f t="shared" si="39"/>
        <v>0</v>
      </c>
      <c r="O1382" s="29"/>
      <c r="P1382" s="29"/>
      <c r="Q1382" s="29"/>
      <c r="R1382" s="32"/>
      <c r="S1382" s="29"/>
    </row>
    <row r="1383" spans="1:19" ht="19.5" hidden="1" customHeight="1" outlineLevel="1">
      <c r="A1383" s="23">
        <v>31</v>
      </c>
      <c r="B1383" s="24">
        <f>IF(14&lt;=DAY(DATE(YEAR(설정_코스수당!$K$2),MONTH(설정_코스수당!$K$2)+1,0)),DATE(YEAR(설정_코스수당!$K$2),MONTH(설정_코스수당!$K$2),14),"")</f>
        <v>46187</v>
      </c>
      <c r="C1383" s="25"/>
      <c r="D1383" s="23"/>
      <c r="E1383" s="23"/>
      <c r="F1383" s="26"/>
      <c r="G1383" s="23"/>
      <c r="H1383" s="23"/>
      <c r="I1383" s="23"/>
      <c r="J1383" s="27">
        <f>IF($O1383="방문완료",MAX(0,IFERROR(VLOOKUP($E1383,설정_코스수당!$A$6:$H$10,4,FALSE),0)-IF(OR($P1383="",$P1383="없음"),0,100000)),0)</f>
        <v>0</v>
      </c>
      <c r="K1383" s="27">
        <f t="array" ref="K1383">IF($O1383="방문완료",IFERROR(INDEX(설정_코스수당!$B$15:$F$64,MATCH($G1383,설정_코스수당!$A$15:$A$64,0),MATCH($E1383&amp;"수당",설정_코스수당!$B$14:$F$14,0)),0),0)</f>
        <v>0</v>
      </c>
      <c r="L1383" s="27">
        <f t="array" ref="L1383">IF($O1383="방문완료",IF($H1383="",0,IFERROR(INDEX(설정_코스수당!$B$15:$F$64,MATCH($H1383,설정_코스수당!$A$15:$A$64,0),MATCH($E1383&amp;"수당",설정_코스수당!$B$14:$F$14,0)),0)),0)</f>
        <v>0</v>
      </c>
      <c r="M1383" s="27">
        <f>IF($O1383="방문완료",IFERROR(VLOOKUP($E1383,설정_코스수당!$A$6:$H$10,6,FALSE),0),0)</f>
        <v>0</v>
      </c>
      <c r="N1383" s="28">
        <f t="shared" si="39"/>
        <v>0</v>
      </c>
      <c r="O1383" s="23"/>
      <c r="P1383" s="23"/>
      <c r="Q1383" s="23"/>
      <c r="R1383" s="26"/>
      <c r="S1383" s="23"/>
    </row>
    <row r="1384" spans="1:19" ht="19.5" hidden="1" customHeight="1" outlineLevel="1">
      <c r="A1384" s="29">
        <v>32</v>
      </c>
      <c r="B1384" s="30">
        <f>IF(14&lt;=DAY(DATE(YEAR(설정_코스수당!$K$2),MONTH(설정_코스수당!$K$2)+1,0)),DATE(YEAR(설정_코스수당!$K$2),MONTH(설정_코스수당!$K$2),14),"")</f>
        <v>46187</v>
      </c>
      <c r="C1384" s="31"/>
      <c r="D1384" s="29"/>
      <c r="E1384" s="29"/>
      <c r="F1384" s="32"/>
      <c r="G1384" s="29"/>
      <c r="H1384" s="29"/>
      <c r="I1384" s="29"/>
      <c r="J1384" s="33">
        <f>IF($O1384="방문완료",MAX(0,IFERROR(VLOOKUP($E1384,설정_코스수당!$A$6:$H$10,4,FALSE),0)-IF(OR($P1384="",$P1384="없음"),0,100000)),0)</f>
        <v>0</v>
      </c>
      <c r="K1384" s="33">
        <f t="array" ref="K1384">IF($O1384="방문완료",IFERROR(INDEX(설정_코스수당!$B$15:$F$64,MATCH($G1384,설정_코스수당!$A$15:$A$64,0),MATCH($E1384&amp;"수당",설정_코스수당!$B$14:$F$14,0)),0),0)</f>
        <v>0</v>
      </c>
      <c r="L1384" s="33">
        <f t="array" ref="L1384">IF($O1384="방문완료",IF($H1384="",0,IFERROR(INDEX(설정_코스수당!$B$15:$F$64,MATCH($H1384,설정_코스수당!$A$15:$A$64,0),MATCH($E1384&amp;"수당",설정_코스수당!$B$14:$F$14,0)),0)),0)</f>
        <v>0</v>
      </c>
      <c r="M1384" s="33">
        <f>IF($O1384="방문완료",IFERROR(VLOOKUP($E1384,설정_코스수당!$A$6:$H$10,6,FALSE),0),0)</f>
        <v>0</v>
      </c>
      <c r="N1384" s="34">
        <f t="shared" si="39"/>
        <v>0</v>
      </c>
      <c r="O1384" s="29"/>
      <c r="P1384" s="29"/>
      <c r="Q1384" s="29"/>
      <c r="R1384" s="32"/>
      <c r="S1384" s="29"/>
    </row>
    <row r="1385" spans="1:19" ht="19.5" hidden="1" customHeight="1" outlineLevel="1">
      <c r="A1385" s="23">
        <v>33</v>
      </c>
      <c r="B1385" s="24">
        <f>IF(14&lt;=DAY(DATE(YEAR(설정_코스수당!$K$2),MONTH(설정_코스수당!$K$2)+1,0)),DATE(YEAR(설정_코스수당!$K$2),MONTH(설정_코스수당!$K$2),14),"")</f>
        <v>46187</v>
      </c>
      <c r="C1385" s="25"/>
      <c r="D1385" s="23"/>
      <c r="E1385" s="23"/>
      <c r="F1385" s="26"/>
      <c r="G1385" s="23"/>
      <c r="H1385" s="23"/>
      <c r="I1385" s="23"/>
      <c r="J1385" s="27">
        <f>IF($O1385="방문완료",MAX(0,IFERROR(VLOOKUP($E1385,설정_코스수당!$A$6:$H$10,4,FALSE),0)-IF(OR($P1385="",$P1385="없음"),0,100000)),0)</f>
        <v>0</v>
      </c>
      <c r="K1385" s="27">
        <f t="array" ref="K1385">IF($O1385="방문완료",IFERROR(INDEX(설정_코스수당!$B$15:$F$64,MATCH($G1385,설정_코스수당!$A$15:$A$64,0),MATCH($E1385&amp;"수당",설정_코스수당!$B$14:$F$14,0)),0),0)</f>
        <v>0</v>
      </c>
      <c r="L1385" s="27">
        <f t="array" ref="L1385">IF($O1385="방문완료",IF($H1385="",0,IFERROR(INDEX(설정_코스수당!$B$15:$F$64,MATCH($H1385,설정_코스수당!$A$15:$A$64,0),MATCH($E1385&amp;"수당",설정_코스수당!$B$14:$F$14,0)),0)),0)</f>
        <v>0</v>
      </c>
      <c r="M1385" s="27">
        <f>IF($O1385="방문완료",IFERROR(VLOOKUP($E1385,설정_코스수당!$A$6:$H$10,6,FALSE),0),0)</f>
        <v>0</v>
      </c>
      <c r="N1385" s="28">
        <f t="shared" ref="N1385:N1416" si="40">IF($O1385="방문완료",1,0)</f>
        <v>0</v>
      </c>
      <c r="O1385" s="23"/>
      <c r="P1385" s="23"/>
      <c r="Q1385" s="23"/>
      <c r="R1385" s="26"/>
      <c r="S1385" s="23"/>
    </row>
    <row r="1386" spans="1:19" ht="19.5" hidden="1" customHeight="1" outlineLevel="1">
      <c r="A1386" s="29">
        <v>34</v>
      </c>
      <c r="B1386" s="30">
        <f>IF(14&lt;=DAY(DATE(YEAR(설정_코스수당!$K$2),MONTH(설정_코스수당!$K$2)+1,0)),DATE(YEAR(설정_코스수당!$K$2),MONTH(설정_코스수당!$K$2),14),"")</f>
        <v>46187</v>
      </c>
      <c r="C1386" s="31"/>
      <c r="D1386" s="29"/>
      <c r="E1386" s="29"/>
      <c r="F1386" s="32"/>
      <c r="G1386" s="29"/>
      <c r="H1386" s="29"/>
      <c r="I1386" s="29"/>
      <c r="J1386" s="33">
        <f>IF($O1386="방문완료",MAX(0,IFERROR(VLOOKUP($E1386,설정_코스수당!$A$6:$H$10,4,FALSE),0)-IF(OR($P1386="",$P1386="없음"),0,100000)),0)</f>
        <v>0</v>
      </c>
      <c r="K1386" s="33">
        <f t="array" ref="K1386">IF($O1386="방문완료",IFERROR(INDEX(설정_코스수당!$B$15:$F$64,MATCH($G1386,설정_코스수당!$A$15:$A$64,0),MATCH($E1386&amp;"수당",설정_코스수당!$B$14:$F$14,0)),0),0)</f>
        <v>0</v>
      </c>
      <c r="L1386" s="33">
        <f t="array" ref="L1386">IF($O1386="방문완료",IF($H1386="",0,IFERROR(INDEX(설정_코스수당!$B$15:$F$64,MATCH($H1386,설정_코스수당!$A$15:$A$64,0),MATCH($E1386&amp;"수당",설정_코스수당!$B$14:$F$14,0)),0)),0)</f>
        <v>0</v>
      </c>
      <c r="M1386" s="33">
        <f>IF($O1386="방문완료",IFERROR(VLOOKUP($E1386,설정_코스수당!$A$6:$H$10,6,FALSE),0),0)</f>
        <v>0</v>
      </c>
      <c r="N1386" s="34">
        <f t="shared" si="40"/>
        <v>0</v>
      </c>
      <c r="O1386" s="29"/>
      <c r="P1386" s="29"/>
      <c r="Q1386" s="29"/>
      <c r="R1386" s="32"/>
      <c r="S1386" s="29"/>
    </row>
    <row r="1387" spans="1:19" ht="19.5" hidden="1" customHeight="1" outlineLevel="1">
      <c r="A1387" s="23">
        <v>35</v>
      </c>
      <c r="B1387" s="24">
        <f>IF(14&lt;=DAY(DATE(YEAR(설정_코스수당!$K$2),MONTH(설정_코스수당!$K$2)+1,0)),DATE(YEAR(설정_코스수당!$K$2),MONTH(설정_코스수당!$K$2),14),"")</f>
        <v>46187</v>
      </c>
      <c r="C1387" s="25"/>
      <c r="D1387" s="23"/>
      <c r="E1387" s="23"/>
      <c r="F1387" s="26"/>
      <c r="G1387" s="23"/>
      <c r="H1387" s="23"/>
      <c r="I1387" s="23"/>
      <c r="J1387" s="27">
        <f>IF($O1387="방문완료",MAX(0,IFERROR(VLOOKUP($E1387,설정_코스수당!$A$6:$H$10,4,FALSE),0)-IF(OR($P1387="",$P1387="없음"),0,100000)),0)</f>
        <v>0</v>
      </c>
      <c r="K1387" s="27">
        <f t="array" ref="K1387">IF($O1387="방문완료",IFERROR(INDEX(설정_코스수당!$B$15:$F$64,MATCH($G1387,설정_코스수당!$A$15:$A$64,0),MATCH($E1387&amp;"수당",설정_코스수당!$B$14:$F$14,0)),0),0)</f>
        <v>0</v>
      </c>
      <c r="L1387" s="27">
        <f t="array" ref="L1387">IF($O1387="방문완료",IF($H1387="",0,IFERROR(INDEX(설정_코스수당!$B$15:$F$64,MATCH($H1387,설정_코스수당!$A$15:$A$64,0),MATCH($E1387&amp;"수당",설정_코스수당!$B$14:$F$14,0)),0)),0)</f>
        <v>0</v>
      </c>
      <c r="M1387" s="27">
        <f>IF($O1387="방문완료",IFERROR(VLOOKUP($E1387,설정_코스수당!$A$6:$H$10,6,FALSE),0),0)</f>
        <v>0</v>
      </c>
      <c r="N1387" s="28">
        <f t="shared" si="40"/>
        <v>0</v>
      </c>
      <c r="O1387" s="23"/>
      <c r="P1387" s="23"/>
      <c r="Q1387" s="23"/>
      <c r="R1387" s="26"/>
      <c r="S1387" s="23"/>
    </row>
    <row r="1388" spans="1:19" ht="19.5" hidden="1" customHeight="1" outlineLevel="1">
      <c r="A1388" s="29">
        <v>36</v>
      </c>
      <c r="B1388" s="30">
        <f>IF(14&lt;=DAY(DATE(YEAR(설정_코스수당!$K$2),MONTH(설정_코스수당!$K$2)+1,0)),DATE(YEAR(설정_코스수당!$K$2),MONTH(설정_코스수당!$K$2),14),"")</f>
        <v>46187</v>
      </c>
      <c r="C1388" s="31"/>
      <c r="D1388" s="29"/>
      <c r="E1388" s="29"/>
      <c r="F1388" s="32"/>
      <c r="G1388" s="29"/>
      <c r="H1388" s="29"/>
      <c r="I1388" s="29"/>
      <c r="J1388" s="33">
        <f>IF($O1388="방문완료",MAX(0,IFERROR(VLOOKUP($E1388,설정_코스수당!$A$6:$H$10,4,FALSE),0)-IF(OR($P1388="",$P1388="없음"),0,100000)),0)</f>
        <v>0</v>
      </c>
      <c r="K1388" s="33">
        <f t="array" ref="K1388">IF($O1388="방문완료",IFERROR(INDEX(설정_코스수당!$B$15:$F$64,MATCH($G1388,설정_코스수당!$A$15:$A$64,0),MATCH($E1388&amp;"수당",설정_코스수당!$B$14:$F$14,0)),0),0)</f>
        <v>0</v>
      </c>
      <c r="L1388" s="33">
        <f t="array" ref="L1388">IF($O1388="방문완료",IF($H1388="",0,IFERROR(INDEX(설정_코스수당!$B$15:$F$64,MATCH($H1388,설정_코스수당!$A$15:$A$64,0),MATCH($E1388&amp;"수당",설정_코스수당!$B$14:$F$14,0)),0)),0)</f>
        <v>0</v>
      </c>
      <c r="M1388" s="33">
        <f>IF($O1388="방문완료",IFERROR(VLOOKUP($E1388,설정_코스수당!$A$6:$H$10,6,FALSE),0),0)</f>
        <v>0</v>
      </c>
      <c r="N1388" s="34">
        <f t="shared" si="40"/>
        <v>0</v>
      </c>
      <c r="O1388" s="29"/>
      <c r="P1388" s="29"/>
      <c r="Q1388" s="29"/>
      <c r="R1388" s="32"/>
      <c r="S1388" s="29"/>
    </row>
    <row r="1389" spans="1:19" ht="19.5" hidden="1" customHeight="1" outlineLevel="1">
      <c r="A1389" s="23">
        <v>37</v>
      </c>
      <c r="B1389" s="24">
        <f>IF(14&lt;=DAY(DATE(YEAR(설정_코스수당!$K$2),MONTH(설정_코스수당!$K$2)+1,0)),DATE(YEAR(설정_코스수당!$K$2),MONTH(설정_코스수당!$K$2),14),"")</f>
        <v>46187</v>
      </c>
      <c r="C1389" s="25"/>
      <c r="D1389" s="23"/>
      <c r="E1389" s="23"/>
      <c r="F1389" s="26"/>
      <c r="G1389" s="23"/>
      <c r="H1389" s="23"/>
      <c r="I1389" s="23"/>
      <c r="J1389" s="27">
        <f>IF($O1389="방문완료",MAX(0,IFERROR(VLOOKUP($E1389,설정_코스수당!$A$6:$H$10,4,FALSE),0)-IF(OR($P1389="",$P1389="없음"),0,100000)),0)</f>
        <v>0</v>
      </c>
      <c r="K1389" s="27">
        <f t="array" ref="K1389">IF($O1389="방문완료",IFERROR(INDEX(설정_코스수당!$B$15:$F$64,MATCH($G1389,설정_코스수당!$A$15:$A$64,0),MATCH($E1389&amp;"수당",설정_코스수당!$B$14:$F$14,0)),0),0)</f>
        <v>0</v>
      </c>
      <c r="L1389" s="27">
        <f t="array" ref="L1389">IF($O1389="방문완료",IF($H1389="",0,IFERROR(INDEX(설정_코스수당!$B$15:$F$64,MATCH($H1389,설정_코스수당!$A$15:$A$64,0),MATCH($E1389&amp;"수당",설정_코스수당!$B$14:$F$14,0)),0)),0)</f>
        <v>0</v>
      </c>
      <c r="M1389" s="27">
        <f>IF($O1389="방문완료",IFERROR(VLOOKUP($E1389,설정_코스수당!$A$6:$H$10,6,FALSE),0),0)</f>
        <v>0</v>
      </c>
      <c r="N1389" s="28">
        <f t="shared" si="40"/>
        <v>0</v>
      </c>
      <c r="O1389" s="23"/>
      <c r="P1389" s="23"/>
      <c r="Q1389" s="23"/>
      <c r="R1389" s="26"/>
      <c r="S1389" s="23"/>
    </row>
    <row r="1390" spans="1:19" ht="19.5" hidden="1" customHeight="1" outlineLevel="1">
      <c r="A1390" s="29">
        <v>38</v>
      </c>
      <c r="B1390" s="30">
        <f>IF(14&lt;=DAY(DATE(YEAR(설정_코스수당!$K$2),MONTH(설정_코스수당!$K$2)+1,0)),DATE(YEAR(설정_코스수당!$K$2),MONTH(설정_코스수당!$K$2),14),"")</f>
        <v>46187</v>
      </c>
      <c r="C1390" s="31"/>
      <c r="D1390" s="29"/>
      <c r="E1390" s="29"/>
      <c r="F1390" s="32"/>
      <c r="G1390" s="29"/>
      <c r="H1390" s="29"/>
      <c r="I1390" s="29"/>
      <c r="J1390" s="33">
        <f>IF($O1390="방문완료",MAX(0,IFERROR(VLOOKUP($E1390,설정_코스수당!$A$6:$H$10,4,FALSE),0)-IF(OR($P1390="",$P1390="없음"),0,100000)),0)</f>
        <v>0</v>
      </c>
      <c r="K1390" s="33">
        <f t="array" ref="K1390">IF($O1390="방문완료",IFERROR(INDEX(설정_코스수당!$B$15:$F$64,MATCH($G1390,설정_코스수당!$A$15:$A$64,0),MATCH($E1390&amp;"수당",설정_코스수당!$B$14:$F$14,0)),0),0)</f>
        <v>0</v>
      </c>
      <c r="L1390" s="33">
        <f t="array" ref="L1390">IF($O1390="방문완료",IF($H1390="",0,IFERROR(INDEX(설정_코스수당!$B$15:$F$64,MATCH($H1390,설정_코스수당!$A$15:$A$64,0),MATCH($E1390&amp;"수당",설정_코스수당!$B$14:$F$14,0)),0)),0)</f>
        <v>0</v>
      </c>
      <c r="M1390" s="33">
        <f>IF($O1390="방문완료",IFERROR(VLOOKUP($E1390,설정_코스수당!$A$6:$H$10,6,FALSE),0),0)</f>
        <v>0</v>
      </c>
      <c r="N1390" s="34">
        <f t="shared" si="40"/>
        <v>0</v>
      </c>
      <c r="O1390" s="29"/>
      <c r="P1390" s="29"/>
      <c r="Q1390" s="29"/>
      <c r="R1390" s="32"/>
      <c r="S1390" s="29"/>
    </row>
    <row r="1391" spans="1:19" ht="19.5" hidden="1" customHeight="1" outlineLevel="1">
      <c r="A1391" s="23">
        <v>39</v>
      </c>
      <c r="B1391" s="24">
        <f>IF(14&lt;=DAY(DATE(YEAR(설정_코스수당!$K$2),MONTH(설정_코스수당!$K$2)+1,0)),DATE(YEAR(설정_코스수당!$K$2),MONTH(설정_코스수당!$K$2),14),"")</f>
        <v>46187</v>
      </c>
      <c r="C1391" s="25"/>
      <c r="D1391" s="23"/>
      <c r="E1391" s="23"/>
      <c r="F1391" s="26"/>
      <c r="G1391" s="23"/>
      <c r="H1391" s="23"/>
      <c r="I1391" s="23"/>
      <c r="J1391" s="27">
        <f>IF($O1391="방문완료",MAX(0,IFERROR(VLOOKUP($E1391,설정_코스수당!$A$6:$H$10,4,FALSE),0)-IF(OR($P1391="",$P1391="없음"),0,100000)),0)</f>
        <v>0</v>
      </c>
      <c r="K1391" s="27">
        <f t="array" ref="K1391">IF($O1391="방문완료",IFERROR(INDEX(설정_코스수당!$B$15:$F$64,MATCH($G1391,설정_코스수당!$A$15:$A$64,0),MATCH($E1391&amp;"수당",설정_코스수당!$B$14:$F$14,0)),0),0)</f>
        <v>0</v>
      </c>
      <c r="L1391" s="27">
        <f t="array" ref="L1391">IF($O1391="방문완료",IF($H1391="",0,IFERROR(INDEX(설정_코스수당!$B$15:$F$64,MATCH($H1391,설정_코스수당!$A$15:$A$64,0),MATCH($E1391&amp;"수당",설정_코스수당!$B$14:$F$14,0)),0)),0)</f>
        <v>0</v>
      </c>
      <c r="M1391" s="27">
        <f>IF($O1391="방문완료",IFERROR(VLOOKUP($E1391,설정_코스수당!$A$6:$H$10,6,FALSE),0),0)</f>
        <v>0</v>
      </c>
      <c r="N1391" s="28">
        <f t="shared" si="40"/>
        <v>0</v>
      </c>
      <c r="O1391" s="23"/>
      <c r="P1391" s="23"/>
      <c r="Q1391" s="23"/>
      <c r="R1391" s="26"/>
      <c r="S1391" s="23"/>
    </row>
    <row r="1392" spans="1:19" ht="19.5" hidden="1" customHeight="1" outlineLevel="1">
      <c r="A1392" s="29">
        <v>40</v>
      </c>
      <c r="B1392" s="30">
        <f>IF(14&lt;=DAY(DATE(YEAR(설정_코스수당!$K$2),MONTH(설정_코스수당!$K$2)+1,0)),DATE(YEAR(설정_코스수당!$K$2),MONTH(설정_코스수당!$K$2),14),"")</f>
        <v>46187</v>
      </c>
      <c r="C1392" s="31"/>
      <c r="D1392" s="29"/>
      <c r="E1392" s="29"/>
      <c r="F1392" s="32"/>
      <c r="G1392" s="29"/>
      <c r="H1392" s="29"/>
      <c r="I1392" s="29"/>
      <c r="J1392" s="33">
        <f>IF($O1392="방문완료",MAX(0,IFERROR(VLOOKUP($E1392,설정_코스수당!$A$6:$H$10,4,FALSE),0)-IF(OR($P1392="",$P1392="없음"),0,100000)),0)</f>
        <v>0</v>
      </c>
      <c r="K1392" s="33">
        <f t="array" ref="K1392">IF($O1392="방문완료",IFERROR(INDEX(설정_코스수당!$B$15:$F$64,MATCH($G1392,설정_코스수당!$A$15:$A$64,0),MATCH($E1392&amp;"수당",설정_코스수당!$B$14:$F$14,0)),0),0)</f>
        <v>0</v>
      </c>
      <c r="L1392" s="33">
        <f t="array" ref="L1392">IF($O1392="방문완료",IF($H1392="",0,IFERROR(INDEX(설정_코스수당!$B$15:$F$64,MATCH($H1392,설정_코스수당!$A$15:$A$64,0),MATCH($E1392&amp;"수당",설정_코스수당!$B$14:$F$14,0)),0)),0)</f>
        <v>0</v>
      </c>
      <c r="M1392" s="33">
        <f>IF($O1392="방문완료",IFERROR(VLOOKUP($E1392,설정_코스수당!$A$6:$H$10,6,FALSE),0),0)</f>
        <v>0</v>
      </c>
      <c r="N1392" s="34">
        <f t="shared" si="40"/>
        <v>0</v>
      </c>
      <c r="O1392" s="29"/>
      <c r="P1392" s="29"/>
      <c r="Q1392" s="29"/>
      <c r="R1392" s="32"/>
      <c r="S1392" s="29"/>
    </row>
    <row r="1393" spans="1:19" ht="19.5" hidden="1" customHeight="1" outlineLevel="1">
      <c r="A1393" s="23">
        <v>41</v>
      </c>
      <c r="B1393" s="24">
        <f>IF(14&lt;=DAY(DATE(YEAR(설정_코스수당!$K$2),MONTH(설정_코스수당!$K$2)+1,0)),DATE(YEAR(설정_코스수당!$K$2),MONTH(설정_코스수당!$K$2),14),"")</f>
        <v>46187</v>
      </c>
      <c r="C1393" s="25"/>
      <c r="D1393" s="23"/>
      <c r="E1393" s="23"/>
      <c r="F1393" s="26"/>
      <c r="G1393" s="23"/>
      <c r="H1393" s="23"/>
      <c r="I1393" s="23"/>
      <c r="J1393" s="27">
        <f>IF($O1393="방문완료",MAX(0,IFERROR(VLOOKUP($E1393,설정_코스수당!$A$6:$H$10,4,FALSE),0)-IF(OR($P1393="",$P1393="없음"),0,100000)),0)</f>
        <v>0</v>
      </c>
      <c r="K1393" s="27">
        <f t="array" ref="K1393">IF($O1393="방문완료",IFERROR(INDEX(설정_코스수당!$B$15:$F$64,MATCH($G1393,설정_코스수당!$A$15:$A$64,0),MATCH($E1393&amp;"수당",설정_코스수당!$B$14:$F$14,0)),0),0)</f>
        <v>0</v>
      </c>
      <c r="L1393" s="27">
        <f t="array" ref="L1393">IF($O1393="방문완료",IF($H1393="",0,IFERROR(INDEX(설정_코스수당!$B$15:$F$64,MATCH($H1393,설정_코스수당!$A$15:$A$64,0),MATCH($E1393&amp;"수당",설정_코스수당!$B$14:$F$14,0)),0)),0)</f>
        <v>0</v>
      </c>
      <c r="M1393" s="27">
        <f>IF($O1393="방문완료",IFERROR(VLOOKUP($E1393,설정_코스수당!$A$6:$H$10,6,FALSE),0),0)</f>
        <v>0</v>
      </c>
      <c r="N1393" s="28">
        <f t="shared" si="40"/>
        <v>0</v>
      </c>
      <c r="O1393" s="23"/>
      <c r="P1393" s="23"/>
      <c r="Q1393" s="23"/>
      <c r="R1393" s="26"/>
      <c r="S1393" s="23"/>
    </row>
    <row r="1394" spans="1:19" ht="19.5" hidden="1" customHeight="1" outlineLevel="1">
      <c r="A1394" s="29">
        <v>42</v>
      </c>
      <c r="B1394" s="30">
        <f>IF(14&lt;=DAY(DATE(YEAR(설정_코스수당!$K$2),MONTH(설정_코스수당!$K$2)+1,0)),DATE(YEAR(설정_코스수당!$K$2),MONTH(설정_코스수당!$K$2),14),"")</f>
        <v>46187</v>
      </c>
      <c r="C1394" s="31"/>
      <c r="D1394" s="29"/>
      <c r="E1394" s="29"/>
      <c r="F1394" s="32"/>
      <c r="G1394" s="29"/>
      <c r="H1394" s="29"/>
      <c r="I1394" s="29"/>
      <c r="J1394" s="33">
        <f>IF($O1394="방문완료",MAX(0,IFERROR(VLOOKUP($E1394,설정_코스수당!$A$6:$H$10,4,FALSE),0)-IF(OR($P1394="",$P1394="없음"),0,100000)),0)</f>
        <v>0</v>
      </c>
      <c r="K1394" s="33">
        <f t="array" ref="K1394">IF($O1394="방문완료",IFERROR(INDEX(설정_코스수당!$B$15:$F$64,MATCH($G1394,설정_코스수당!$A$15:$A$64,0),MATCH($E1394&amp;"수당",설정_코스수당!$B$14:$F$14,0)),0),0)</f>
        <v>0</v>
      </c>
      <c r="L1394" s="33">
        <f t="array" ref="L1394">IF($O1394="방문완료",IF($H1394="",0,IFERROR(INDEX(설정_코스수당!$B$15:$F$64,MATCH($H1394,설정_코스수당!$A$15:$A$64,0),MATCH($E1394&amp;"수당",설정_코스수당!$B$14:$F$14,0)),0)),0)</f>
        <v>0</v>
      </c>
      <c r="M1394" s="33">
        <f>IF($O1394="방문완료",IFERROR(VLOOKUP($E1394,설정_코스수당!$A$6:$H$10,6,FALSE),0),0)</f>
        <v>0</v>
      </c>
      <c r="N1394" s="34">
        <f t="shared" si="40"/>
        <v>0</v>
      </c>
      <c r="O1394" s="29"/>
      <c r="P1394" s="29"/>
      <c r="Q1394" s="29"/>
      <c r="R1394" s="32"/>
      <c r="S1394" s="29"/>
    </row>
    <row r="1395" spans="1:19" ht="19.5" hidden="1" customHeight="1" outlineLevel="1">
      <c r="A1395" s="23">
        <v>43</v>
      </c>
      <c r="B1395" s="24">
        <f>IF(14&lt;=DAY(DATE(YEAR(설정_코스수당!$K$2),MONTH(설정_코스수당!$K$2)+1,0)),DATE(YEAR(설정_코스수당!$K$2),MONTH(설정_코스수당!$K$2),14),"")</f>
        <v>46187</v>
      </c>
      <c r="C1395" s="25"/>
      <c r="D1395" s="23"/>
      <c r="E1395" s="23"/>
      <c r="F1395" s="26"/>
      <c r="G1395" s="23"/>
      <c r="H1395" s="23"/>
      <c r="I1395" s="23"/>
      <c r="J1395" s="27">
        <f>IF($O1395="방문완료",MAX(0,IFERROR(VLOOKUP($E1395,설정_코스수당!$A$6:$H$10,4,FALSE),0)-IF(OR($P1395="",$P1395="없음"),0,100000)),0)</f>
        <v>0</v>
      </c>
      <c r="K1395" s="27">
        <f t="array" ref="K1395">IF($O1395="방문완료",IFERROR(INDEX(설정_코스수당!$B$15:$F$64,MATCH($G1395,설정_코스수당!$A$15:$A$64,0),MATCH($E1395&amp;"수당",설정_코스수당!$B$14:$F$14,0)),0),0)</f>
        <v>0</v>
      </c>
      <c r="L1395" s="27">
        <f t="array" ref="L1395">IF($O1395="방문완료",IF($H1395="",0,IFERROR(INDEX(설정_코스수당!$B$15:$F$64,MATCH($H1395,설정_코스수당!$A$15:$A$64,0),MATCH($E1395&amp;"수당",설정_코스수당!$B$14:$F$14,0)),0)),0)</f>
        <v>0</v>
      </c>
      <c r="M1395" s="27">
        <f>IF($O1395="방문완료",IFERROR(VLOOKUP($E1395,설정_코스수당!$A$6:$H$10,6,FALSE),0),0)</f>
        <v>0</v>
      </c>
      <c r="N1395" s="28">
        <f t="shared" si="40"/>
        <v>0</v>
      </c>
      <c r="O1395" s="23"/>
      <c r="P1395" s="23"/>
      <c r="Q1395" s="23"/>
      <c r="R1395" s="26"/>
      <c r="S1395" s="23"/>
    </row>
    <row r="1396" spans="1:19" ht="19.5" hidden="1" customHeight="1" outlineLevel="1">
      <c r="A1396" s="29">
        <v>44</v>
      </c>
      <c r="B1396" s="30">
        <f>IF(14&lt;=DAY(DATE(YEAR(설정_코스수당!$K$2),MONTH(설정_코스수당!$K$2)+1,0)),DATE(YEAR(설정_코스수당!$K$2),MONTH(설정_코스수당!$K$2),14),"")</f>
        <v>46187</v>
      </c>
      <c r="C1396" s="31"/>
      <c r="D1396" s="29"/>
      <c r="E1396" s="29"/>
      <c r="F1396" s="32"/>
      <c r="G1396" s="29"/>
      <c r="H1396" s="29"/>
      <c r="I1396" s="29"/>
      <c r="J1396" s="33">
        <f>IF($O1396="방문완료",MAX(0,IFERROR(VLOOKUP($E1396,설정_코스수당!$A$6:$H$10,4,FALSE),0)-IF(OR($P1396="",$P1396="없음"),0,100000)),0)</f>
        <v>0</v>
      </c>
      <c r="K1396" s="33">
        <f t="array" ref="K1396">IF($O1396="방문완료",IFERROR(INDEX(설정_코스수당!$B$15:$F$64,MATCH($G1396,설정_코스수당!$A$15:$A$64,0),MATCH($E1396&amp;"수당",설정_코스수당!$B$14:$F$14,0)),0),0)</f>
        <v>0</v>
      </c>
      <c r="L1396" s="33">
        <f t="array" ref="L1396">IF($O1396="방문완료",IF($H1396="",0,IFERROR(INDEX(설정_코스수당!$B$15:$F$64,MATCH($H1396,설정_코스수당!$A$15:$A$64,0),MATCH($E1396&amp;"수당",설정_코스수당!$B$14:$F$14,0)),0)),0)</f>
        <v>0</v>
      </c>
      <c r="M1396" s="33">
        <f>IF($O1396="방문완료",IFERROR(VLOOKUP($E1396,설정_코스수당!$A$6:$H$10,6,FALSE),0),0)</f>
        <v>0</v>
      </c>
      <c r="N1396" s="34">
        <f t="shared" si="40"/>
        <v>0</v>
      </c>
      <c r="O1396" s="29"/>
      <c r="P1396" s="29"/>
      <c r="Q1396" s="29"/>
      <c r="R1396" s="32"/>
      <c r="S1396" s="29"/>
    </row>
    <row r="1397" spans="1:19" ht="19.5" hidden="1" customHeight="1" outlineLevel="1">
      <c r="A1397" s="23">
        <v>45</v>
      </c>
      <c r="B1397" s="24">
        <f>IF(14&lt;=DAY(DATE(YEAR(설정_코스수당!$K$2),MONTH(설정_코스수당!$K$2)+1,0)),DATE(YEAR(설정_코스수당!$K$2),MONTH(설정_코스수당!$K$2),14),"")</f>
        <v>46187</v>
      </c>
      <c r="C1397" s="25"/>
      <c r="D1397" s="23"/>
      <c r="E1397" s="23"/>
      <c r="F1397" s="26"/>
      <c r="G1397" s="23"/>
      <c r="H1397" s="23"/>
      <c r="I1397" s="23"/>
      <c r="J1397" s="27">
        <f>IF($O1397="방문완료",MAX(0,IFERROR(VLOOKUP($E1397,설정_코스수당!$A$6:$H$10,4,FALSE),0)-IF(OR($P1397="",$P1397="없음"),0,100000)),0)</f>
        <v>0</v>
      </c>
      <c r="K1397" s="27">
        <f t="array" ref="K1397">IF($O1397="방문완료",IFERROR(INDEX(설정_코스수당!$B$15:$F$64,MATCH($G1397,설정_코스수당!$A$15:$A$64,0),MATCH($E1397&amp;"수당",설정_코스수당!$B$14:$F$14,0)),0),0)</f>
        <v>0</v>
      </c>
      <c r="L1397" s="27">
        <f t="array" ref="L1397">IF($O1397="방문완료",IF($H1397="",0,IFERROR(INDEX(설정_코스수당!$B$15:$F$64,MATCH($H1397,설정_코스수당!$A$15:$A$64,0),MATCH($E1397&amp;"수당",설정_코스수당!$B$14:$F$14,0)),0)),0)</f>
        <v>0</v>
      </c>
      <c r="M1397" s="27">
        <f>IF($O1397="방문완료",IFERROR(VLOOKUP($E1397,설정_코스수당!$A$6:$H$10,6,FALSE),0),0)</f>
        <v>0</v>
      </c>
      <c r="N1397" s="28">
        <f t="shared" si="40"/>
        <v>0</v>
      </c>
      <c r="O1397" s="23"/>
      <c r="P1397" s="23"/>
      <c r="Q1397" s="23"/>
      <c r="R1397" s="26"/>
      <c r="S1397" s="23"/>
    </row>
    <row r="1398" spans="1:19" ht="19.5" hidden="1" customHeight="1" outlineLevel="1">
      <c r="A1398" s="29">
        <v>46</v>
      </c>
      <c r="B1398" s="30">
        <f>IF(14&lt;=DAY(DATE(YEAR(설정_코스수당!$K$2),MONTH(설정_코스수당!$K$2)+1,0)),DATE(YEAR(설정_코스수당!$K$2),MONTH(설정_코스수당!$K$2),14),"")</f>
        <v>46187</v>
      </c>
      <c r="C1398" s="31"/>
      <c r="D1398" s="29"/>
      <c r="E1398" s="29"/>
      <c r="F1398" s="32"/>
      <c r="G1398" s="29"/>
      <c r="H1398" s="29"/>
      <c r="I1398" s="29"/>
      <c r="J1398" s="33">
        <f>IF($O1398="방문완료",MAX(0,IFERROR(VLOOKUP($E1398,설정_코스수당!$A$6:$H$10,4,FALSE),0)-IF(OR($P1398="",$P1398="없음"),0,100000)),0)</f>
        <v>0</v>
      </c>
      <c r="K1398" s="33">
        <f t="array" ref="K1398">IF($O1398="방문완료",IFERROR(INDEX(설정_코스수당!$B$15:$F$64,MATCH($G1398,설정_코스수당!$A$15:$A$64,0),MATCH($E1398&amp;"수당",설정_코스수당!$B$14:$F$14,0)),0),0)</f>
        <v>0</v>
      </c>
      <c r="L1398" s="33">
        <f t="array" ref="L1398">IF($O1398="방문완료",IF($H1398="",0,IFERROR(INDEX(설정_코스수당!$B$15:$F$64,MATCH($H1398,설정_코스수당!$A$15:$A$64,0),MATCH($E1398&amp;"수당",설정_코스수당!$B$14:$F$14,0)),0)),0)</f>
        <v>0</v>
      </c>
      <c r="M1398" s="33">
        <f>IF($O1398="방문완료",IFERROR(VLOOKUP($E1398,설정_코스수당!$A$6:$H$10,6,FALSE),0),0)</f>
        <v>0</v>
      </c>
      <c r="N1398" s="34">
        <f t="shared" si="40"/>
        <v>0</v>
      </c>
      <c r="O1398" s="29"/>
      <c r="P1398" s="29"/>
      <c r="Q1398" s="29"/>
      <c r="R1398" s="32"/>
      <c r="S1398" s="29"/>
    </row>
    <row r="1399" spans="1:19" ht="19.5" hidden="1" customHeight="1" outlineLevel="1">
      <c r="A1399" s="23">
        <v>47</v>
      </c>
      <c r="B1399" s="24">
        <f>IF(14&lt;=DAY(DATE(YEAR(설정_코스수당!$K$2),MONTH(설정_코스수당!$K$2)+1,0)),DATE(YEAR(설정_코스수당!$K$2),MONTH(설정_코스수당!$K$2),14),"")</f>
        <v>46187</v>
      </c>
      <c r="C1399" s="25"/>
      <c r="D1399" s="23"/>
      <c r="E1399" s="23"/>
      <c r="F1399" s="26"/>
      <c r="G1399" s="23"/>
      <c r="H1399" s="23"/>
      <c r="I1399" s="23"/>
      <c r="J1399" s="27">
        <f>IF($O1399="방문완료",MAX(0,IFERROR(VLOOKUP($E1399,설정_코스수당!$A$6:$H$10,4,FALSE),0)-IF(OR($P1399="",$P1399="없음"),0,100000)),0)</f>
        <v>0</v>
      </c>
      <c r="K1399" s="27">
        <f t="array" ref="K1399">IF($O1399="방문완료",IFERROR(INDEX(설정_코스수당!$B$15:$F$64,MATCH($G1399,설정_코스수당!$A$15:$A$64,0),MATCH($E1399&amp;"수당",설정_코스수당!$B$14:$F$14,0)),0),0)</f>
        <v>0</v>
      </c>
      <c r="L1399" s="27">
        <f t="array" ref="L1399">IF($O1399="방문완료",IF($H1399="",0,IFERROR(INDEX(설정_코스수당!$B$15:$F$64,MATCH($H1399,설정_코스수당!$A$15:$A$64,0),MATCH($E1399&amp;"수당",설정_코스수당!$B$14:$F$14,0)),0)),0)</f>
        <v>0</v>
      </c>
      <c r="M1399" s="27">
        <f>IF($O1399="방문완료",IFERROR(VLOOKUP($E1399,설정_코스수당!$A$6:$H$10,6,FALSE),0),0)</f>
        <v>0</v>
      </c>
      <c r="N1399" s="28">
        <f t="shared" si="40"/>
        <v>0</v>
      </c>
      <c r="O1399" s="23"/>
      <c r="P1399" s="23"/>
      <c r="Q1399" s="23"/>
      <c r="R1399" s="26"/>
      <c r="S1399" s="23"/>
    </row>
    <row r="1400" spans="1:19" ht="19.5" hidden="1" customHeight="1" outlineLevel="1">
      <c r="A1400" s="29">
        <v>48</v>
      </c>
      <c r="B1400" s="30">
        <f>IF(14&lt;=DAY(DATE(YEAR(설정_코스수당!$K$2),MONTH(설정_코스수당!$K$2)+1,0)),DATE(YEAR(설정_코스수당!$K$2),MONTH(설정_코스수당!$K$2),14),"")</f>
        <v>46187</v>
      </c>
      <c r="C1400" s="31"/>
      <c r="D1400" s="29"/>
      <c r="E1400" s="29"/>
      <c r="F1400" s="32"/>
      <c r="G1400" s="29"/>
      <c r="H1400" s="29"/>
      <c r="I1400" s="29"/>
      <c r="J1400" s="33">
        <f>IF($O1400="방문완료",MAX(0,IFERROR(VLOOKUP($E1400,설정_코스수당!$A$6:$H$10,4,FALSE),0)-IF(OR($P1400="",$P1400="없음"),0,100000)),0)</f>
        <v>0</v>
      </c>
      <c r="K1400" s="33">
        <f t="array" ref="K1400">IF($O1400="방문완료",IFERROR(INDEX(설정_코스수당!$B$15:$F$64,MATCH($G1400,설정_코스수당!$A$15:$A$64,0),MATCH($E1400&amp;"수당",설정_코스수당!$B$14:$F$14,0)),0),0)</f>
        <v>0</v>
      </c>
      <c r="L1400" s="33">
        <f t="array" ref="L1400">IF($O1400="방문완료",IF($H1400="",0,IFERROR(INDEX(설정_코스수당!$B$15:$F$64,MATCH($H1400,설정_코스수당!$A$15:$A$64,0),MATCH($E1400&amp;"수당",설정_코스수당!$B$14:$F$14,0)),0)),0)</f>
        <v>0</v>
      </c>
      <c r="M1400" s="33">
        <f>IF($O1400="방문완료",IFERROR(VLOOKUP($E1400,설정_코스수당!$A$6:$H$10,6,FALSE),0),0)</f>
        <v>0</v>
      </c>
      <c r="N1400" s="34">
        <f t="shared" si="40"/>
        <v>0</v>
      </c>
      <c r="O1400" s="29"/>
      <c r="P1400" s="29"/>
      <c r="Q1400" s="29"/>
      <c r="R1400" s="32"/>
      <c r="S1400" s="29"/>
    </row>
    <row r="1401" spans="1:19" ht="19.5" hidden="1" customHeight="1" outlineLevel="1">
      <c r="A1401" s="23">
        <v>49</v>
      </c>
      <c r="B1401" s="24">
        <f>IF(14&lt;=DAY(DATE(YEAR(설정_코스수당!$K$2),MONTH(설정_코스수당!$K$2)+1,0)),DATE(YEAR(설정_코스수당!$K$2),MONTH(설정_코스수당!$K$2),14),"")</f>
        <v>46187</v>
      </c>
      <c r="C1401" s="25"/>
      <c r="D1401" s="23"/>
      <c r="E1401" s="23"/>
      <c r="F1401" s="26"/>
      <c r="G1401" s="23"/>
      <c r="H1401" s="23"/>
      <c r="I1401" s="23"/>
      <c r="J1401" s="27">
        <f>IF($O1401="방문완료",MAX(0,IFERROR(VLOOKUP($E1401,설정_코스수당!$A$6:$H$10,4,FALSE),0)-IF(OR($P1401="",$P1401="없음"),0,100000)),0)</f>
        <v>0</v>
      </c>
      <c r="K1401" s="27">
        <f t="array" ref="K1401">IF($O1401="방문완료",IFERROR(INDEX(설정_코스수당!$B$15:$F$64,MATCH($G1401,설정_코스수당!$A$15:$A$64,0),MATCH($E1401&amp;"수당",설정_코스수당!$B$14:$F$14,0)),0),0)</f>
        <v>0</v>
      </c>
      <c r="L1401" s="27">
        <f t="array" ref="L1401">IF($O1401="방문완료",IF($H1401="",0,IFERROR(INDEX(설정_코스수당!$B$15:$F$64,MATCH($H1401,설정_코스수당!$A$15:$A$64,0),MATCH($E1401&amp;"수당",설정_코스수당!$B$14:$F$14,0)),0)),0)</f>
        <v>0</v>
      </c>
      <c r="M1401" s="27">
        <f>IF($O1401="방문완료",IFERROR(VLOOKUP($E1401,설정_코스수당!$A$6:$H$10,6,FALSE),0),0)</f>
        <v>0</v>
      </c>
      <c r="N1401" s="28">
        <f t="shared" si="40"/>
        <v>0</v>
      </c>
      <c r="O1401" s="23"/>
      <c r="P1401" s="23"/>
      <c r="Q1401" s="23"/>
      <c r="R1401" s="26"/>
      <c r="S1401" s="23"/>
    </row>
    <row r="1402" spans="1:19" ht="19.5" hidden="1" customHeight="1" outlineLevel="1">
      <c r="A1402" s="29">
        <v>50</v>
      </c>
      <c r="B1402" s="30">
        <f>IF(14&lt;=DAY(DATE(YEAR(설정_코스수당!$K$2),MONTH(설정_코스수당!$K$2)+1,0)),DATE(YEAR(설정_코스수당!$K$2),MONTH(설정_코스수당!$K$2),14),"")</f>
        <v>46187</v>
      </c>
      <c r="C1402" s="31"/>
      <c r="D1402" s="29"/>
      <c r="E1402" s="29"/>
      <c r="F1402" s="32"/>
      <c r="G1402" s="29"/>
      <c r="H1402" s="29"/>
      <c r="I1402" s="29"/>
      <c r="J1402" s="33">
        <f>IF($O1402="방문완료",MAX(0,IFERROR(VLOOKUP($E1402,설정_코스수당!$A$6:$H$10,4,FALSE),0)-IF(OR($P1402="",$P1402="없음"),0,100000)),0)</f>
        <v>0</v>
      </c>
      <c r="K1402" s="33">
        <f t="array" ref="K1402">IF($O1402="방문완료",IFERROR(INDEX(설정_코스수당!$B$15:$F$64,MATCH($G1402,설정_코스수당!$A$15:$A$64,0),MATCH($E1402&amp;"수당",설정_코스수당!$B$14:$F$14,0)),0),0)</f>
        <v>0</v>
      </c>
      <c r="L1402" s="33">
        <f t="array" ref="L1402">IF($O1402="방문완료",IF($H1402="",0,IFERROR(INDEX(설정_코스수당!$B$15:$F$64,MATCH($H1402,설정_코스수당!$A$15:$A$64,0),MATCH($E1402&amp;"수당",설정_코스수당!$B$14:$F$14,0)),0)),0)</f>
        <v>0</v>
      </c>
      <c r="M1402" s="33">
        <f>IF($O1402="방문완료",IFERROR(VLOOKUP($E1402,설정_코스수당!$A$6:$H$10,6,FALSE),0),0)</f>
        <v>0</v>
      </c>
      <c r="N1402" s="34">
        <f t="shared" si="40"/>
        <v>0</v>
      </c>
      <c r="O1402" s="29"/>
      <c r="P1402" s="29"/>
      <c r="Q1402" s="29"/>
      <c r="R1402" s="32"/>
      <c r="S1402" s="29"/>
    </row>
    <row r="1403" spans="1:19" ht="19.5" hidden="1" customHeight="1" outlineLevel="1">
      <c r="A1403" s="23">
        <v>51</v>
      </c>
      <c r="B1403" s="24">
        <f>IF(14&lt;=DAY(DATE(YEAR(설정_코스수당!$K$2),MONTH(설정_코스수당!$K$2)+1,0)),DATE(YEAR(설정_코스수당!$K$2),MONTH(설정_코스수당!$K$2),14),"")</f>
        <v>46187</v>
      </c>
      <c r="C1403" s="25"/>
      <c r="D1403" s="23"/>
      <c r="E1403" s="23"/>
      <c r="F1403" s="26"/>
      <c r="G1403" s="23"/>
      <c r="H1403" s="23"/>
      <c r="I1403" s="23"/>
      <c r="J1403" s="27">
        <f>IF($O1403="방문완료",MAX(0,IFERROR(VLOOKUP($E1403,설정_코스수당!$A$6:$H$10,4,FALSE),0)-IF(OR($P1403="",$P1403="없음"),0,100000)),0)</f>
        <v>0</v>
      </c>
      <c r="K1403" s="27">
        <f t="array" ref="K1403">IF($O1403="방문완료",IFERROR(INDEX(설정_코스수당!$B$15:$F$64,MATCH($G1403,설정_코스수당!$A$15:$A$64,0),MATCH($E1403&amp;"수당",설정_코스수당!$B$14:$F$14,0)),0),0)</f>
        <v>0</v>
      </c>
      <c r="L1403" s="27">
        <f t="array" ref="L1403">IF($O1403="방문완료",IF($H1403="",0,IFERROR(INDEX(설정_코스수당!$B$15:$F$64,MATCH($H1403,설정_코스수당!$A$15:$A$64,0),MATCH($E1403&amp;"수당",설정_코스수당!$B$14:$F$14,0)),0)),0)</f>
        <v>0</v>
      </c>
      <c r="M1403" s="27">
        <f>IF($O1403="방문완료",IFERROR(VLOOKUP($E1403,설정_코스수당!$A$6:$H$10,6,FALSE),0),0)</f>
        <v>0</v>
      </c>
      <c r="N1403" s="28">
        <f t="shared" si="40"/>
        <v>0</v>
      </c>
      <c r="O1403" s="23"/>
      <c r="P1403" s="23"/>
      <c r="Q1403" s="23"/>
      <c r="R1403" s="26"/>
      <c r="S1403" s="23"/>
    </row>
    <row r="1404" spans="1:19" ht="19.5" hidden="1" customHeight="1" outlineLevel="1">
      <c r="A1404" s="29">
        <v>52</v>
      </c>
      <c r="B1404" s="30">
        <f>IF(14&lt;=DAY(DATE(YEAR(설정_코스수당!$K$2),MONTH(설정_코스수당!$K$2)+1,0)),DATE(YEAR(설정_코스수당!$K$2),MONTH(설정_코스수당!$K$2),14),"")</f>
        <v>46187</v>
      </c>
      <c r="C1404" s="31"/>
      <c r="D1404" s="29"/>
      <c r="E1404" s="29"/>
      <c r="F1404" s="32"/>
      <c r="G1404" s="29"/>
      <c r="H1404" s="29"/>
      <c r="I1404" s="29"/>
      <c r="J1404" s="33">
        <f>IF($O1404="방문완료",MAX(0,IFERROR(VLOOKUP($E1404,설정_코스수당!$A$6:$H$10,4,FALSE),0)-IF(OR($P1404="",$P1404="없음"),0,100000)),0)</f>
        <v>0</v>
      </c>
      <c r="K1404" s="33">
        <f t="array" ref="K1404">IF($O1404="방문완료",IFERROR(INDEX(설정_코스수당!$B$15:$F$64,MATCH($G1404,설정_코스수당!$A$15:$A$64,0),MATCH($E1404&amp;"수당",설정_코스수당!$B$14:$F$14,0)),0),0)</f>
        <v>0</v>
      </c>
      <c r="L1404" s="33">
        <f t="array" ref="L1404">IF($O1404="방문완료",IF($H1404="",0,IFERROR(INDEX(설정_코스수당!$B$15:$F$64,MATCH($H1404,설정_코스수당!$A$15:$A$64,0),MATCH($E1404&amp;"수당",설정_코스수당!$B$14:$F$14,0)),0)),0)</f>
        <v>0</v>
      </c>
      <c r="M1404" s="33">
        <f>IF($O1404="방문완료",IFERROR(VLOOKUP($E1404,설정_코스수당!$A$6:$H$10,6,FALSE),0),0)</f>
        <v>0</v>
      </c>
      <c r="N1404" s="34">
        <f t="shared" si="40"/>
        <v>0</v>
      </c>
      <c r="O1404" s="29"/>
      <c r="P1404" s="29"/>
      <c r="Q1404" s="29"/>
      <c r="R1404" s="32"/>
      <c r="S1404" s="29"/>
    </row>
    <row r="1405" spans="1:19" ht="19.5" hidden="1" customHeight="1" outlineLevel="1">
      <c r="A1405" s="23">
        <v>53</v>
      </c>
      <c r="B1405" s="24">
        <f>IF(14&lt;=DAY(DATE(YEAR(설정_코스수당!$K$2),MONTH(설정_코스수당!$K$2)+1,0)),DATE(YEAR(설정_코스수당!$K$2),MONTH(설정_코스수당!$K$2),14),"")</f>
        <v>46187</v>
      </c>
      <c r="C1405" s="25"/>
      <c r="D1405" s="23"/>
      <c r="E1405" s="23"/>
      <c r="F1405" s="26"/>
      <c r="G1405" s="23"/>
      <c r="H1405" s="23"/>
      <c r="I1405" s="23"/>
      <c r="J1405" s="27">
        <f>IF($O1405="방문완료",MAX(0,IFERROR(VLOOKUP($E1405,설정_코스수당!$A$6:$H$10,4,FALSE),0)-IF(OR($P1405="",$P1405="없음"),0,100000)),0)</f>
        <v>0</v>
      </c>
      <c r="K1405" s="27">
        <f t="array" ref="K1405">IF($O1405="방문완료",IFERROR(INDEX(설정_코스수당!$B$15:$F$64,MATCH($G1405,설정_코스수당!$A$15:$A$64,0),MATCH($E1405&amp;"수당",설정_코스수당!$B$14:$F$14,0)),0),0)</f>
        <v>0</v>
      </c>
      <c r="L1405" s="27">
        <f t="array" ref="L1405">IF($O1405="방문완료",IF($H1405="",0,IFERROR(INDEX(설정_코스수당!$B$15:$F$64,MATCH($H1405,설정_코스수당!$A$15:$A$64,0),MATCH($E1405&amp;"수당",설정_코스수당!$B$14:$F$14,0)),0)),0)</f>
        <v>0</v>
      </c>
      <c r="M1405" s="27">
        <f>IF($O1405="방문완료",IFERROR(VLOOKUP($E1405,설정_코스수당!$A$6:$H$10,6,FALSE),0),0)</f>
        <v>0</v>
      </c>
      <c r="N1405" s="28">
        <f t="shared" si="40"/>
        <v>0</v>
      </c>
      <c r="O1405" s="23"/>
      <c r="P1405" s="23"/>
      <c r="Q1405" s="23"/>
      <c r="R1405" s="26"/>
      <c r="S1405" s="23"/>
    </row>
    <row r="1406" spans="1:19" ht="19.5" hidden="1" customHeight="1" outlineLevel="1">
      <c r="A1406" s="29">
        <v>54</v>
      </c>
      <c r="B1406" s="30">
        <f>IF(14&lt;=DAY(DATE(YEAR(설정_코스수당!$K$2),MONTH(설정_코스수당!$K$2)+1,0)),DATE(YEAR(설정_코스수당!$K$2),MONTH(설정_코스수당!$K$2),14),"")</f>
        <v>46187</v>
      </c>
      <c r="C1406" s="31"/>
      <c r="D1406" s="29"/>
      <c r="E1406" s="29"/>
      <c r="F1406" s="32"/>
      <c r="G1406" s="29"/>
      <c r="H1406" s="29"/>
      <c r="I1406" s="29"/>
      <c r="J1406" s="33">
        <f>IF($O1406="방문완료",MAX(0,IFERROR(VLOOKUP($E1406,설정_코스수당!$A$6:$H$10,4,FALSE),0)-IF(OR($P1406="",$P1406="없음"),0,100000)),0)</f>
        <v>0</v>
      </c>
      <c r="K1406" s="33">
        <f t="array" ref="K1406">IF($O1406="방문완료",IFERROR(INDEX(설정_코스수당!$B$15:$F$64,MATCH($G1406,설정_코스수당!$A$15:$A$64,0),MATCH($E1406&amp;"수당",설정_코스수당!$B$14:$F$14,0)),0),0)</f>
        <v>0</v>
      </c>
      <c r="L1406" s="33">
        <f t="array" ref="L1406">IF($O1406="방문완료",IF($H1406="",0,IFERROR(INDEX(설정_코스수당!$B$15:$F$64,MATCH($H1406,설정_코스수당!$A$15:$A$64,0),MATCH($E1406&amp;"수당",설정_코스수당!$B$14:$F$14,0)),0)),0)</f>
        <v>0</v>
      </c>
      <c r="M1406" s="33">
        <f>IF($O1406="방문완료",IFERROR(VLOOKUP($E1406,설정_코스수당!$A$6:$H$10,6,FALSE),0),0)</f>
        <v>0</v>
      </c>
      <c r="N1406" s="34">
        <f t="shared" si="40"/>
        <v>0</v>
      </c>
      <c r="O1406" s="29"/>
      <c r="P1406" s="29"/>
      <c r="Q1406" s="29"/>
      <c r="R1406" s="32"/>
      <c r="S1406" s="29"/>
    </row>
    <row r="1407" spans="1:19" ht="19.5" hidden="1" customHeight="1" outlineLevel="1">
      <c r="A1407" s="23">
        <v>55</v>
      </c>
      <c r="B1407" s="24">
        <f>IF(14&lt;=DAY(DATE(YEAR(설정_코스수당!$K$2),MONTH(설정_코스수당!$K$2)+1,0)),DATE(YEAR(설정_코스수당!$K$2),MONTH(설정_코스수당!$K$2),14),"")</f>
        <v>46187</v>
      </c>
      <c r="C1407" s="25"/>
      <c r="D1407" s="23"/>
      <c r="E1407" s="23"/>
      <c r="F1407" s="26"/>
      <c r="G1407" s="23"/>
      <c r="H1407" s="23"/>
      <c r="I1407" s="23"/>
      <c r="J1407" s="27">
        <f>IF($O1407="방문완료",MAX(0,IFERROR(VLOOKUP($E1407,설정_코스수당!$A$6:$H$10,4,FALSE),0)-IF(OR($P1407="",$P1407="없음"),0,100000)),0)</f>
        <v>0</v>
      </c>
      <c r="K1407" s="27">
        <f t="array" ref="K1407">IF($O1407="방문완료",IFERROR(INDEX(설정_코스수당!$B$15:$F$64,MATCH($G1407,설정_코스수당!$A$15:$A$64,0),MATCH($E1407&amp;"수당",설정_코스수당!$B$14:$F$14,0)),0),0)</f>
        <v>0</v>
      </c>
      <c r="L1407" s="27">
        <f t="array" ref="L1407">IF($O1407="방문완료",IF($H1407="",0,IFERROR(INDEX(설정_코스수당!$B$15:$F$64,MATCH($H1407,설정_코스수당!$A$15:$A$64,0),MATCH($E1407&amp;"수당",설정_코스수당!$B$14:$F$14,0)),0)),0)</f>
        <v>0</v>
      </c>
      <c r="M1407" s="27">
        <f>IF($O1407="방문완료",IFERROR(VLOOKUP($E1407,설정_코스수당!$A$6:$H$10,6,FALSE),0),0)</f>
        <v>0</v>
      </c>
      <c r="N1407" s="28">
        <f t="shared" si="40"/>
        <v>0</v>
      </c>
      <c r="O1407" s="23"/>
      <c r="P1407" s="23"/>
      <c r="Q1407" s="23"/>
      <c r="R1407" s="26"/>
      <c r="S1407" s="23"/>
    </row>
    <row r="1408" spans="1:19" ht="19.5" hidden="1" customHeight="1" outlineLevel="1">
      <c r="A1408" s="29">
        <v>56</v>
      </c>
      <c r="B1408" s="30">
        <f>IF(14&lt;=DAY(DATE(YEAR(설정_코스수당!$K$2),MONTH(설정_코스수당!$K$2)+1,0)),DATE(YEAR(설정_코스수당!$K$2),MONTH(설정_코스수당!$K$2),14),"")</f>
        <v>46187</v>
      </c>
      <c r="C1408" s="31"/>
      <c r="D1408" s="29"/>
      <c r="E1408" s="29"/>
      <c r="F1408" s="32"/>
      <c r="G1408" s="29"/>
      <c r="H1408" s="29"/>
      <c r="I1408" s="29"/>
      <c r="J1408" s="33">
        <f>IF($O1408="방문완료",MAX(0,IFERROR(VLOOKUP($E1408,설정_코스수당!$A$6:$H$10,4,FALSE),0)-IF(OR($P1408="",$P1408="없음"),0,100000)),0)</f>
        <v>0</v>
      </c>
      <c r="K1408" s="33">
        <f t="array" ref="K1408">IF($O1408="방문완료",IFERROR(INDEX(설정_코스수당!$B$15:$F$64,MATCH($G1408,설정_코스수당!$A$15:$A$64,0),MATCH($E1408&amp;"수당",설정_코스수당!$B$14:$F$14,0)),0),0)</f>
        <v>0</v>
      </c>
      <c r="L1408" s="33">
        <f t="array" ref="L1408">IF($O1408="방문완료",IF($H1408="",0,IFERROR(INDEX(설정_코스수당!$B$15:$F$64,MATCH($H1408,설정_코스수당!$A$15:$A$64,0),MATCH($E1408&amp;"수당",설정_코스수당!$B$14:$F$14,0)),0)),0)</f>
        <v>0</v>
      </c>
      <c r="M1408" s="33">
        <f>IF($O1408="방문완료",IFERROR(VLOOKUP($E1408,설정_코스수당!$A$6:$H$10,6,FALSE),0),0)</f>
        <v>0</v>
      </c>
      <c r="N1408" s="34">
        <f t="shared" si="40"/>
        <v>0</v>
      </c>
      <c r="O1408" s="29"/>
      <c r="P1408" s="29"/>
      <c r="Q1408" s="29"/>
      <c r="R1408" s="32"/>
      <c r="S1408" s="29"/>
    </row>
    <row r="1409" spans="1:22" ht="19.5" hidden="1" customHeight="1" outlineLevel="1">
      <c r="A1409" s="23">
        <v>57</v>
      </c>
      <c r="B1409" s="24">
        <f>IF(14&lt;=DAY(DATE(YEAR(설정_코스수당!$K$2),MONTH(설정_코스수당!$K$2)+1,0)),DATE(YEAR(설정_코스수당!$K$2),MONTH(설정_코스수당!$K$2),14),"")</f>
        <v>46187</v>
      </c>
      <c r="C1409" s="25"/>
      <c r="D1409" s="23"/>
      <c r="E1409" s="23"/>
      <c r="F1409" s="26"/>
      <c r="G1409" s="23"/>
      <c r="H1409" s="23"/>
      <c r="I1409" s="23"/>
      <c r="J1409" s="27">
        <f>IF($O1409="방문완료",MAX(0,IFERROR(VLOOKUP($E1409,설정_코스수당!$A$6:$H$10,4,FALSE),0)-IF(OR($P1409="",$P1409="없음"),0,100000)),0)</f>
        <v>0</v>
      </c>
      <c r="K1409" s="27">
        <f t="array" ref="K1409">IF($O1409="방문완료",IFERROR(INDEX(설정_코스수당!$B$15:$F$64,MATCH($G1409,설정_코스수당!$A$15:$A$64,0),MATCH($E1409&amp;"수당",설정_코스수당!$B$14:$F$14,0)),0),0)</f>
        <v>0</v>
      </c>
      <c r="L1409" s="27">
        <f t="array" ref="L1409">IF($O1409="방문완료",IF($H1409="",0,IFERROR(INDEX(설정_코스수당!$B$15:$F$64,MATCH($H1409,설정_코스수당!$A$15:$A$64,0),MATCH($E1409&amp;"수당",설정_코스수당!$B$14:$F$14,0)),0)),0)</f>
        <v>0</v>
      </c>
      <c r="M1409" s="27">
        <f>IF($O1409="방문완료",IFERROR(VLOOKUP($E1409,설정_코스수당!$A$6:$H$10,6,FALSE),0),0)</f>
        <v>0</v>
      </c>
      <c r="N1409" s="28">
        <f t="shared" si="40"/>
        <v>0</v>
      </c>
      <c r="O1409" s="23"/>
      <c r="P1409" s="23"/>
      <c r="Q1409" s="23"/>
      <c r="R1409" s="26"/>
      <c r="S1409" s="23"/>
    </row>
    <row r="1410" spans="1:22" ht="19.5" hidden="1" customHeight="1" outlineLevel="1">
      <c r="A1410" s="29">
        <v>58</v>
      </c>
      <c r="B1410" s="30">
        <f>IF(14&lt;=DAY(DATE(YEAR(설정_코스수당!$K$2),MONTH(설정_코스수당!$K$2)+1,0)),DATE(YEAR(설정_코스수당!$K$2),MONTH(설정_코스수당!$K$2),14),"")</f>
        <v>46187</v>
      </c>
      <c r="C1410" s="31"/>
      <c r="D1410" s="29"/>
      <c r="E1410" s="29"/>
      <c r="F1410" s="32"/>
      <c r="G1410" s="29"/>
      <c r="H1410" s="29"/>
      <c r="I1410" s="29"/>
      <c r="J1410" s="33">
        <f>IF($O1410="방문완료",MAX(0,IFERROR(VLOOKUP($E1410,설정_코스수당!$A$6:$H$10,4,FALSE),0)-IF(OR($P1410="",$P1410="없음"),0,100000)),0)</f>
        <v>0</v>
      </c>
      <c r="K1410" s="33">
        <f t="array" ref="K1410">IF($O1410="방문완료",IFERROR(INDEX(설정_코스수당!$B$15:$F$64,MATCH($G1410,설정_코스수당!$A$15:$A$64,0),MATCH($E1410&amp;"수당",설정_코스수당!$B$14:$F$14,0)),0),0)</f>
        <v>0</v>
      </c>
      <c r="L1410" s="33">
        <f t="array" ref="L1410">IF($O1410="방문완료",IF($H1410="",0,IFERROR(INDEX(설정_코스수당!$B$15:$F$64,MATCH($H1410,설정_코스수당!$A$15:$A$64,0),MATCH($E1410&amp;"수당",설정_코스수당!$B$14:$F$14,0)),0)),0)</f>
        <v>0</v>
      </c>
      <c r="M1410" s="33">
        <f>IF($O1410="방문완료",IFERROR(VLOOKUP($E1410,설정_코스수당!$A$6:$H$10,6,FALSE),0),0)</f>
        <v>0</v>
      </c>
      <c r="N1410" s="34">
        <f t="shared" si="40"/>
        <v>0</v>
      </c>
      <c r="O1410" s="29"/>
      <c r="P1410" s="29"/>
      <c r="Q1410" s="29"/>
      <c r="R1410" s="32"/>
      <c r="S1410" s="29"/>
    </row>
    <row r="1411" spans="1:22" ht="19.5" hidden="1" customHeight="1" outlineLevel="1">
      <c r="A1411" s="23">
        <v>59</v>
      </c>
      <c r="B1411" s="24">
        <f>IF(14&lt;=DAY(DATE(YEAR(설정_코스수당!$K$2),MONTH(설정_코스수당!$K$2)+1,0)),DATE(YEAR(설정_코스수당!$K$2),MONTH(설정_코스수당!$K$2),14),"")</f>
        <v>46187</v>
      </c>
      <c r="C1411" s="25"/>
      <c r="D1411" s="23"/>
      <c r="E1411" s="23"/>
      <c r="F1411" s="26"/>
      <c r="G1411" s="23"/>
      <c r="H1411" s="23"/>
      <c r="I1411" s="23"/>
      <c r="J1411" s="27">
        <f>IF($O1411="방문완료",MAX(0,IFERROR(VLOOKUP($E1411,설정_코스수당!$A$6:$H$10,4,FALSE),0)-IF(OR($P1411="",$P1411="없음"),0,100000)),0)</f>
        <v>0</v>
      </c>
      <c r="K1411" s="27">
        <f t="array" ref="K1411">IF($O1411="방문완료",IFERROR(INDEX(설정_코스수당!$B$15:$F$64,MATCH($G1411,설정_코스수당!$A$15:$A$64,0),MATCH($E1411&amp;"수당",설정_코스수당!$B$14:$F$14,0)),0),0)</f>
        <v>0</v>
      </c>
      <c r="L1411" s="27">
        <f t="array" ref="L1411">IF($O1411="방문완료",IF($H1411="",0,IFERROR(INDEX(설정_코스수당!$B$15:$F$64,MATCH($H1411,설정_코스수당!$A$15:$A$64,0),MATCH($E1411&amp;"수당",설정_코스수당!$B$14:$F$14,0)),0)),0)</f>
        <v>0</v>
      </c>
      <c r="M1411" s="27">
        <f>IF($O1411="방문완료",IFERROR(VLOOKUP($E1411,설정_코스수당!$A$6:$H$10,6,FALSE),0),0)</f>
        <v>0</v>
      </c>
      <c r="N1411" s="28">
        <f t="shared" si="40"/>
        <v>0</v>
      </c>
      <c r="O1411" s="23"/>
      <c r="P1411" s="23"/>
      <c r="Q1411" s="23"/>
      <c r="R1411" s="26"/>
      <c r="S1411" s="23"/>
    </row>
    <row r="1412" spans="1:22" ht="19.5" hidden="1" customHeight="1" outlineLevel="1">
      <c r="A1412" s="29">
        <v>60</v>
      </c>
      <c r="B1412" s="30">
        <f>IF(14&lt;=DAY(DATE(YEAR(설정_코스수당!$K$2),MONTH(설정_코스수당!$K$2)+1,0)),DATE(YEAR(설정_코스수당!$K$2),MONTH(설정_코스수당!$K$2),14),"")</f>
        <v>46187</v>
      </c>
      <c r="C1412" s="31"/>
      <c r="D1412" s="29"/>
      <c r="E1412" s="29"/>
      <c r="F1412" s="32"/>
      <c r="G1412" s="29"/>
      <c r="H1412" s="29"/>
      <c r="I1412" s="29"/>
      <c r="J1412" s="33">
        <f>IF($O1412="방문완료",MAX(0,IFERROR(VLOOKUP($E1412,설정_코스수당!$A$6:$H$10,4,FALSE),0)-IF(OR($P1412="",$P1412="없음"),0,100000)),0)</f>
        <v>0</v>
      </c>
      <c r="K1412" s="33">
        <f t="array" ref="K1412">IF($O1412="방문완료",IFERROR(INDEX(설정_코스수당!$B$15:$F$64,MATCH($G1412,설정_코스수당!$A$15:$A$64,0),MATCH($E1412&amp;"수당",설정_코스수당!$B$14:$F$14,0)),0),0)</f>
        <v>0</v>
      </c>
      <c r="L1412" s="33">
        <f t="array" ref="L1412">IF($O1412="방문완료",IF($H1412="",0,IFERROR(INDEX(설정_코스수당!$B$15:$F$64,MATCH($H1412,설정_코스수당!$A$15:$A$64,0),MATCH($E1412&amp;"수당",설정_코스수당!$B$14:$F$14,0)),0)),0)</f>
        <v>0</v>
      </c>
      <c r="M1412" s="33">
        <f>IF($O1412="방문완료",IFERROR(VLOOKUP($E1412,설정_코스수당!$A$6:$H$10,6,FALSE),0),0)</f>
        <v>0</v>
      </c>
      <c r="N1412" s="34">
        <f t="shared" si="40"/>
        <v>0</v>
      </c>
      <c r="O1412" s="29"/>
      <c r="P1412" s="29"/>
      <c r="Q1412" s="29"/>
      <c r="R1412" s="32"/>
      <c r="S1412" s="29"/>
    </row>
    <row r="1413" spans="1:22" ht="19.5" hidden="1" customHeight="1" outlineLevel="1">
      <c r="A1413" s="23">
        <v>61</v>
      </c>
      <c r="B1413" s="24">
        <f>IF(14&lt;=DAY(DATE(YEAR(설정_코스수당!$K$2),MONTH(설정_코스수당!$K$2)+1,0)),DATE(YEAR(설정_코스수당!$K$2),MONTH(설정_코스수당!$K$2),14),"")</f>
        <v>46187</v>
      </c>
      <c r="C1413" s="25"/>
      <c r="D1413" s="23"/>
      <c r="E1413" s="23"/>
      <c r="F1413" s="26"/>
      <c r="G1413" s="23"/>
      <c r="H1413" s="23"/>
      <c r="I1413" s="23"/>
      <c r="J1413" s="27">
        <f>IF($O1413="방문완료",MAX(0,IFERROR(VLOOKUP($E1413,설정_코스수당!$A$6:$H$10,4,FALSE),0)-IF(OR($P1413="",$P1413="없음"),0,100000)),0)</f>
        <v>0</v>
      </c>
      <c r="K1413" s="27">
        <f t="array" ref="K1413">IF($O1413="방문완료",IFERROR(INDEX(설정_코스수당!$B$15:$F$64,MATCH($G1413,설정_코스수당!$A$15:$A$64,0),MATCH($E1413&amp;"수당",설정_코스수당!$B$14:$F$14,0)),0),0)</f>
        <v>0</v>
      </c>
      <c r="L1413" s="27">
        <f t="array" ref="L1413">IF($O1413="방문완료",IF($H1413="",0,IFERROR(INDEX(설정_코스수당!$B$15:$F$64,MATCH($H1413,설정_코스수당!$A$15:$A$64,0),MATCH($E1413&amp;"수당",설정_코스수당!$B$14:$F$14,0)),0)),0)</f>
        <v>0</v>
      </c>
      <c r="M1413" s="27">
        <f>IF($O1413="방문완료",IFERROR(VLOOKUP($E1413,설정_코스수당!$A$6:$H$10,6,FALSE),0),0)</f>
        <v>0</v>
      </c>
      <c r="N1413" s="28">
        <f t="shared" si="40"/>
        <v>0</v>
      </c>
      <c r="O1413" s="23"/>
      <c r="P1413" s="23"/>
      <c r="Q1413" s="23"/>
      <c r="R1413" s="26"/>
      <c r="S1413" s="23"/>
    </row>
    <row r="1414" spans="1:22" ht="19.5" hidden="1" customHeight="1" outlineLevel="1">
      <c r="A1414" s="29">
        <v>62</v>
      </c>
      <c r="B1414" s="30">
        <f>IF(14&lt;=DAY(DATE(YEAR(설정_코스수당!$K$2),MONTH(설정_코스수당!$K$2)+1,0)),DATE(YEAR(설정_코스수당!$K$2),MONTH(설정_코스수당!$K$2),14),"")</f>
        <v>46187</v>
      </c>
      <c r="C1414" s="31"/>
      <c r="D1414" s="29"/>
      <c r="E1414" s="29"/>
      <c r="F1414" s="32"/>
      <c r="G1414" s="29"/>
      <c r="H1414" s="29"/>
      <c r="I1414" s="29"/>
      <c r="J1414" s="33">
        <f>IF($O1414="방문완료",MAX(0,IFERROR(VLOOKUP($E1414,설정_코스수당!$A$6:$H$10,4,FALSE),0)-IF(OR($P1414="",$P1414="없음"),0,100000)),0)</f>
        <v>0</v>
      </c>
      <c r="K1414" s="33">
        <f t="array" ref="K1414">IF($O1414="방문완료",IFERROR(INDEX(설정_코스수당!$B$15:$F$64,MATCH($G1414,설정_코스수당!$A$15:$A$64,0),MATCH($E1414&amp;"수당",설정_코스수당!$B$14:$F$14,0)),0),0)</f>
        <v>0</v>
      </c>
      <c r="L1414" s="33">
        <f t="array" ref="L1414">IF($O1414="방문완료",IF($H1414="",0,IFERROR(INDEX(설정_코스수당!$B$15:$F$64,MATCH($H1414,설정_코스수당!$A$15:$A$64,0),MATCH($E1414&amp;"수당",설정_코스수당!$B$14:$F$14,0)),0)),0)</f>
        <v>0</v>
      </c>
      <c r="M1414" s="33">
        <f>IF($O1414="방문완료",IFERROR(VLOOKUP($E1414,설정_코스수당!$A$6:$H$10,6,FALSE),0),0)</f>
        <v>0</v>
      </c>
      <c r="N1414" s="34">
        <f t="shared" si="40"/>
        <v>0</v>
      </c>
      <c r="O1414" s="29"/>
      <c r="P1414" s="29"/>
      <c r="Q1414" s="29"/>
      <c r="R1414" s="32"/>
      <c r="S1414" s="29"/>
    </row>
    <row r="1415" spans="1:22" ht="19.5" hidden="1" customHeight="1" outlineLevel="1">
      <c r="A1415" s="23">
        <v>63</v>
      </c>
      <c r="B1415" s="24">
        <f>IF(14&lt;=DAY(DATE(YEAR(설정_코스수당!$K$2),MONTH(설정_코스수당!$K$2)+1,0)),DATE(YEAR(설정_코스수당!$K$2),MONTH(설정_코스수당!$K$2),14),"")</f>
        <v>46187</v>
      </c>
      <c r="C1415" s="25"/>
      <c r="D1415" s="23"/>
      <c r="E1415" s="23"/>
      <c r="F1415" s="26"/>
      <c r="G1415" s="23"/>
      <c r="H1415" s="23"/>
      <c r="I1415" s="23"/>
      <c r="J1415" s="27">
        <f>IF($O1415="방문완료",MAX(0,IFERROR(VLOOKUP($E1415,설정_코스수당!$A$6:$H$10,4,FALSE),0)-IF(OR($P1415="",$P1415="없음"),0,100000)),0)</f>
        <v>0</v>
      </c>
      <c r="K1415" s="27">
        <f t="array" ref="K1415">IF($O1415="방문완료",IFERROR(INDEX(설정_코스수당!$B$15:$F$64,MATCH($G1415,설정_코스수당!$A$15:$A$64,0),MATCH($E1415&amp;"수당",설정_코스수당!$B$14:$F$14,0)),0),0)</f>
        <v>0</v>
      </c>
      <c r="L1415" s="27">
        <f t="array" ref="L1415">IF($O1415="방문완료",IF($H1415="",0,IFERROR(INDEX(설정_코스수당!$B$15:$F$64,MATCH($H1415,설정_코스수당!$A$15:$A$64,0),MATCH($E1415&amp;"수당",설정_코스수당!$B$14:$F$14,0)),0)),0)</f>
        <v>0</v>
      </c>
      <c r="M1415" s="27">
        <f>IF($O1415="방문완료",IFERROR(VLOOKUP($E1415,설정_코스수당!$A$6:$H$10,6,FALSE),0),0)</f>
        <v>0</v>
      </c>
      <c r="N1415" s="28">
        <f t="shared" si="40"/>
        <v>0</v>
      </c>
      <c r="O1415" s="23"/>
      <c r="P1415" s="23"/>
      <c r="Q1415" s="23"/>
      <c r="R1415" s="26"/>
      <c r="S1415" s="23"/>
    </row>
    <row r="1416" spans="1:22" ht="19.5" hidden="1" customHeight="1" outlineLevel="1">
      <c r="A1416" s="29">
        <v>64</v>
      </c>
      <c r="B1416" s="30">
        <f>IF(14&lt;=DAY(DATE(YEAR(설정_코스수당!$K$2),MONTH(설정_코스수당!$K$2)+1,0)),DATE(YEAR(설정_코스수당!$K$2),MONTH(설정_코스수당!$K$2),14),"")</f>
        <v>46187</v>
      </c>
      <c r="C1416" s="31"/>
      <c r="D1416" s="29"/>
      <c r="E1416" s="29"/>
      <c r="F1416" s="32"/>
      <c r="G1416" s="29"/>
      <c r="H1416" s="29"/>
      <c r="I1416" s="29"/>
      <c r="J1416" s="33">
        <f>IF($O1416="방문완료",MAX(0,IFERROR(VLOOKUP($E1416,설정_코스수당!$A$6:$H$10,4,FALSE),0)-IF(OR($P1416="",$P1416="없음"),0,100000)),0)</f>
        <v>0</v>
      </c>
      <c r="K1416" s="33">
        <f t="array" ref="K1416">IF($O1416="방문완료",IFERROR(INDEX(설정_코스수당!$B$15:$F$64,MATCH($G1416,설정_코스수당!$A$15:$A$64,0),MATCH($E1416&amp;"수당",설정_코스수당!$B$14:$F$14,0)),0),0)</f>
        <v>0</v>
      </c>
      <c r="L1416" s="33">
        <f t="array" ref="L1416">IF($O1416="방문완료",IF($H1416="",0,IFERROR(INDEX(설정_코스수당!$B$15:$F$64,MATCH($H1416,설정_코스수당!$A$15:$A$64,0),MATCH($E1416&amp;"수당",설정_코스수당!$B$14:$F$14,0)),0)),0)</f>
        <v>0</v>
      </c>
      <c r="M1416" s="33">
        <f>IF($O1416="방문완료",IFERROR(VLOOKUP($E1416,설정_코스수당!$A$6:$H$10,6,FALSE),0),0)</f>
        <v>0</v>
      </c>
      <c r="N1416" s="34">
        <f t="shared" si="40"/>
        <v>0</v>
      </c>
      <c r="O1416" s="29"/>
      <c r="P1416" s="29"/>
      <c r="Q1416" s="29"/>
      <c r="R1416" s="32"/>
      <c r="S1416" s="29"/>
    </row>
    <row r="1417" spans="1:22" ht="19.5" hidden="1" customHeight="1" outlineLevel="1">
      <c r="A1417" s="23">
        <v>65</v>
      </c>
      <c r="B1417" s="24">
        <f>IF(14&lt;=DAY(DATE(YEAR(설정_코스수당!$K$2),MONTH(설정_코스수당!$K$2)+1,0)),DATE(YEAR(설정_코스수당!$K$2),MONTH(설정_코스수당!$K$2),14),"")</f>
        <v>46187</v>
      </c>
      <c r="C1417" s="25"/>
      <c r="D1417" s="23"/>
      <c r="E1417" s="23"/>
      <c r="F1417" s="26"/>
      <c r="G1417" s="23"/>
      <c r="H1417" s="23"/>
      <c r="I1417" s="23"/>
      <c r="J1417" s="27">
        <f>IF($O1417="방문완료",MAX(0,IFERROR(VLOOKUP($E1417,설정_코스수당!$A$6:$H$10,4,FALSE),0)-IF(OR($P1417="",$P1417="없음"),0,100000)),0)</f>
        <v>0</v>
      </c>
      <c r="K1417" s="27">
        <f t="array" ref="K1417">IF($O1417="방문완료",IFERROR(INDEX(설정_코스수당!$B$15:$F$64,MATCH($G1417,설정_코스수당!$A$15:$A$64,0),MATCH($E1417&amp;"수당",설정_코스수당!$B$14:$F$14,0)),0),0)</f>
        <v>0</v>
      </c>
      <c r="L1417" s="27">
        <f t="array" ref="L1417">IF($O1417="방문완료",IF($H1417="",0,IFERROR(INDEX(설정_코스수당!$B$15:$F$64,MATCH($H1417,설정_코스수당!$A$15:$A$64,0),MATCH($E1417&amp;"수당",설정_코스수당!$B$14:$F$14,0)),0)),0)</f>
        <v>0</v>
      </c>
      <c r="M1417" s="27">
        <f>IF($O1417="방문완료",IFERROR(VLOOKUP($E1417,설정_코스수당!$A$6:$H$10,6,FALSE),0),0)</f>
        <v>0</v>
      </c>
      <c r="N1417" s="28">
        <f t="shared" ref="N1417:N1452" si="41">IF($O1417="방문완료",1,0)</f>
        <v>0</v>
      </c>
      <c r="O1417" s="23"/>
      <c r="P1417" s="23"/>
      <c r="Q1417" s="23"/>
      <c r="R1417" s="26"/>
      <c r="S1417" s="23"/>
    </row>
    <row r="1418" spans="1:22" ht="19.5" hidden="1" customHeight="1" outlineLevel="1">
      <c r="A1418" s="29">
        <v>66</v>
      </c>
      <c r="B1418" s="30">
        <f>IF(14&lt;=DAY(DATE(YEAR(설정_코스수당!$K$2),MONTH(설정_코스수당!$K$2)+1,0)),DATE(YEAR(설정_코스수당!$K$2),MONTH(설정_코스수당!$K$2),14),"")</f>
        <v>46187</v>
      </c>
      <c r="C1418" s="31"/>
      <c r="D1418" s="29"/>
      <c r="E1418" s="29"/>
      <c r="F1418" s="32"/>
      <c r="G1418" s="29"/>
      <c r="H1418" s="29"/>
      <c r="I1418" s="29"/>
      <c r="J1418" s="33">
        <f>IF($O1418="방문완료",MAX(0,IFERROR(VLOOKUP($E1418,설정_코스수당!$A$6:$H$10,4,FALSE),0)-IF(OR($P1418="",$P1418="없음"),0,100000)),0)</f>
        <v>0</v>
      </c>
      <c r="K1418" s="33">
        <f t="array" ref="K1418">IF($O1418="방문완료",IFERROR(INDEX(설정_코스수당!$B$15:$F$64,MATCH($G1418,설정_코스수당!$A$15:$A$64,0),MATCH($E1418&amp;"수당",설정_코스수당!$B$14:$F$14,0)),0),0)</f>
        <v>0</v>
      </c>
      <c r="L1418" s="33">
        <f t="array" ref="L1418">IF($O1418="방문완료",IF($H1418="",0,IFERROR(INDEX(설정_코스수당!$B$15:$F$64,MATCH($H1418,설정_코스수당!$A$15:$A$64,0),MATCH($E1418&amp;"수당",설정_코스수당!$B$14:$F$14,0)),0)),0)</f>
        <v>0</v>
      </c>
      <c r="M1418" s="33">
        <f>IF($O1418="방문완료",IFERROR(VLOOKUP($E1418,설정_코스수당!$A$6:$H$10,6,FALSE),0),0)</f>
        <v>0</v>
      </c>
      <c r="N1418" s="34">
        <f t="shared" si="41"/>
        <v>0</v>
      </c>
      <c r="O1418" s="29"/>
      <c r="P1418" s="29"/>
      <c r="Q1418" s="29"/>
      <c r="R1418" s="32"/>
      <c r="S1418" s="29"/>
    </row>
    <row r="1419" spans="1:22" ht="19.5" hidden="1" customHeight="1" outlineLevel="1">
      <c r="A1419" s="23">
        <v>67</v>
      </c>
      <c r="B1419" s="24">
        <f>IF(14&lt;=DAY(DATE(YEAR(설정_코스수당!$K$2),MONTH(설정_코스수당!$K$2)+1,0)),DATE(YEAR(설정_코스수당!$K$2),MONTH(설정_코스수당!$K$2),14),"")</f>
        <v>46187</v>
      </c>
      <c r="C1419" s="25"/>
      <c r="D1419" s="23"/>
      <c r="E1419" s="23"/>
      <c r="F1419" s="26"/>
      <c r="G1419" s="23"/>
      <c r="H1419" s="23"/>
      <c r="I1419" s="23"/>
      <c r="J1419" s="27">
        <f>IF($O1419="방문완료",MAX(0,IFERROR(VLOOKUP($E1419,설정_코스수당!$A$6:$H$10,4,FALSE),0)-IF(OR($P1419="",$P1419="없음"),0,100000)),0)</f>
        <v>0</v>
      </c>
      <c r="K1419" s="27">
        <f t="array" ref="K1419">IF($O1419="방문완료",IFERROR(INDEX(설정_코스수당!$B$15:$F$64,MATCH($G1419,설정_코스수당!$A$15:$A$64,0),MATCH($E1419&amp;"수당",설정_코스수당!$B$14:$F$14,0)),0),0)</f>
        <v>0</v>
      </c>
      <c r="L1419" s="27">
        <f t="array" ref="L1419">IF($O1419="방문완료",IF($H1419="",0,IFERROR(INDEX(설정_코스수당!$B$15:$F$64,MATCH($H1419,설정_코스수당!$A$15:$A$64,0),MATCH($E1419&amp;"수당",설정_코스수당!$B$14:$F$14,0)),0)),0)</f>
        <v>0</v>
      </c>
      <c r="M1419" s="27">
        <f>IF($O1419="방문완료",IFERROR(VLOOKUP($E1419,설정_코스수당!$A$6:$H$10,6,FALSE),0),0)</f>
        <v>0</v>
      </c>
      <c r="N1419" s="28">
        <f t="shared" si="41"/>
        <v>0</v>
      </c>
      <c r="O1419" s="23"/>
      <c r="P1419" s="23"/>
      <c r="Q1419" s="23"/>
      <c r="R1419" s="26"/>
      <c r="S1419" s="23"/>
    </row>
    <row r="1420" spans="1:22" ht="19.5" hidden="1" customHeight="1" outlineLevel="1">
      <c r="A1420" s="29">
        <v>68</v>
      </c>
      <c r="B1420" s="30">
        <f>IF(14&lt;=DAY(DATE(YEAR(설정_코스수당!$K$2),MONTH(설정_코스수당!$K$2)+1,0)),DATE(YEAR(설정_코스수당!$K$2),MONTH(설정_코스수당!$K$2),14),"")</f>
        <v>46187</v>
      </c>
      <c r="C1420" s="31"/>
      <c r="D1420" s="29"/>
      <c r="E1420" s="29"/>
      <c r="F1420" s="32"/>
      <c r="G1420" s="29"/>
      <c r="H1420" s="29"/>
      <c r="I1420" s="29"/>
      <c r="J1420" s="33">
        <f>IF($O1420="방문완료",MAX(0,IFERROR(VLOOKUP($E1420,설정_코스수당!$A$6:$H$10,4,FALSE),0)-IF(OR($P1420="",$P1420="없음"),0,100000)),0)</f>
        <v>0</v>
      </c>
      <c r="K1420" s="33">
        <f t="array" ref="K1420">IF($O1420="방문완료",IFERROR(INDEX(설정_코스수당!$B$15:$F$64,MATCH($G1420,설정_코스수당!$A$15:$A$64,0),MATCH($E1420&amp;"수당",설정_코스수당!$B$14:$F$14,0)),0),0)</f>
        <v>0</v>
      </c>
      <c r="L1420" s="33">
        <f t="array" ref="L1420">IF($O1420="방문완료",IF($H1420="",0,IFERROR(INDEX(설정_코스수당!$B$15:$F$64,MATCH($H1420,설정_코스수당!$A$15:$A$64,0),MATCH($E1420&amp;"수당",설정_코스수당!$B$14:$F$14,0)),0)),0)</f>
        <v>0</v>
      </c>
      <c r="M1420" s="33">
        <f>IF($O1420="방문완료",IFERROR(VLOOKUP($E1420,설정_코스수당!$A$6:$H$10,6,FALSE),0),0)</f>
        <v>0</v>
      </c>
      <c r="N1420" s="34">
        <f t="shared" si="41"/>
        <v>0</v>
      </c>
      <c r="O1420" s="29"/>
      <c r="P1420" s="29"/>
      <c r="Q1420" s="29"/>
      <c r="R1420" s="32"/>
      <c r="S1420" s="29"/>
      <c r="U1420" s="16" t="s">
        <v>72</v>
      </c>
      <c r="V1420" s="17">
        <f>IF(15&lt;=DAY(DATE(YEAR(설정_코스수당!$K$2),MONTH(설정_코스수당!$K$2)+1,0)),COUNTIFS($B:$B,DATE(YEAR(설정_코스수당!$K$2),MONTH(설정_코스수당!$K$2),15),$O:$O,"방문완료",$P:$P,"&lt;&gt;",$P:$P,"&lt;&gt;없음")*100000,"")</f>
        <v>0</v>
      </c>
    </row>
    <row r="1421" spans="1:22" ht="19.5" hidden="1" customHeight="1" outlineLevel="1">
      <c r="A1421" s="23">
        <v>69</v>
      </c>
      <c r="B1421" s="24">
        <f>IF(14&lt;=DAY(DATE(YEAR(설정_코스수당!$K$2),MONTH(설정_코스수당!$K$2)+1,0)),DATE(YEAR(설정_코스수당!$K$2),MONTH(설정_코스수당!$K$2),14),"")</f>
        <v>46187</v>
      </c>
      <c r="C1421" s="25"/>
      <c r="D1421" s="23"/>
      <c r="E1421" s="23"/>
      <c r="F1421" s="26"/>
      <c r="G1421" s="23"/>
      <c r="H1421" s="23"/>
      <c r="I1421" s="23"/>
      <c r="J1421" s="27">
        <f>IF($O1421="방문완료",MAX(0,IFERROR(VLOOKUP($E1421,설정_코스수당!$A$6:$H$10,4,FALSE),0)-IF(OR($P1421="",$P1421="없음"),0,100000)),0)</f>
        <v>0</v>
      </c>
      <c r="K1421" s="27">
        <f t="array" ref="K1421">IF($O1421="방문완료",IFERROR(INDEX(설정_코스수당!$B$15:$F$64,MATCH($G1421,설정_코스수당!$A$15:$A$64,0),MATCH($E1421&amp;"수당",설정_코스수당!$B$14:$F$14,0)),0),0)</f>
        <v>0</v>
      </c>
      <c r="L1421" s="27">
        <f t="array" ref="L1421">IF($O1421="방문완료",IF($H1421="",0,IFERROR(INDEX(설정_코스수당!$B$15:$F$64,MATCH($H1421,설정_코스수당!$A$15:$A$64,0),MATCH($E1421&amp;"수당",설정_코스수당!$B$14:$F$14,0)),0)),0)</f>
        <v>0</v>
      </c>
      <c r="M1421" s="27">
        <f>IF($O1421="방문완료",IFERROR(VLOOKUP($E1421,설정_코스수당!$A$6:$H$10,6,FALSE),0),0)</f>
        <v>0</v>
      </c>
      <c r="N1421" s="28">
        <f t="shared" si="41"/>
        <v>0</v>
      </c>
      <c r="O1421" s="23"/>
      <c r="P1421" s="23"/>
      <c r="Q1421" s="23"/>
      <c r="R1421" s="26"/>
      <c r="S1421" s="23"/>
    </row>
    <row r="1422" spans="1:22" ht="19.5" hidden="1" customHeight="1" outlineLevel="1">
      <c r="A1422" s="29">
        <v>70</v>
      </c>
      <c r="B1422" s="30">
        <f>IF(14&lt;=DAY(DATE(YEAR(설정_코스수당!$K$2),MONTH(설정_코스수당!$K$2)+1,0)),DATE(YEAR(설정_코스수당!$K$2),MONTH(설정_코스수당!$K$2),14),"")</f>
        <v>46187</v>
      </c>
      <c r="C1422" s="31"/>
      <c r="D1422" s="29"/>
      <c r="E1422" s="29"/>
      <c r="F1422" s="32"/>
      <c r="G1422" s="29"/>
      <c r="H1422" s="29"/>
      <c r="I1422" s="29"/>
      <c r="J1422" s="33">
        <f>IF($O1422="방문완료",MAX(0,IFERROR(VLOOKUP($E1422,설정_코스수당!$A$6:$H$10,4,FALSE),0)-IF(OR($P1422="",$P1422="없음"),0,100000)),0)</f>
        <v>0</v>
      </c>
      <c r="K1422" s="33">
        <f t="array" ref="K1422">IF($O1422="방문완료",IFERROR(INDEX(설정_코스수당!$B$15:$F$64,MATCH($G1422,설정_코스수당!$A$15:$A$64,0),MATCH($E1422&amp;"수당",설정_코스수당!$B$14:$F$14,0)),0),0)</f>
        <v>0</v>
      </c>
      <c r="L1422" s="33">
        <f t="array" ref="L1422">IF($O1422="방문완료",IF($H1422="",0,IFERROR(INDEX(설정_코스수당!$B$15:$F$64,MATCH($H1422,설정_코스수당!$A$15:$A$64,0),MATCH($E1422&amp;"수당",설정_코스수당!$B$14:$F$14,0)),0)),0)</f>
        <v>0</v>
      </c>
      <c r="M1422" s="33">
        <f>IF($O1422="방문완료",IFERROR(VLOOKUP($E1422,설정_코스수당!$A$6:$H$10,6,FALSE),0),0)</f>
        <v>0</v>
      </c>
      <c r="N1422" s="34">
        <f t="shared" si="41"/>
        <v>0</v>
      </c>
      <c r="O1422" s="29"/>
      <c r="P1422" s="29"/>
      <c r="Q1422" s="29"/>
      <c r="R1422" s="32"/>
      <c r="S1422" s="29"/>
    </row>
    <row r="1423" spans="1:22" ht="19.5" hidden="1" customHeight="1" outlineLevel="1">
      <c r="A1423" s="23">
        <v>71</v>
      </c>
      <c r="B1423" s="24">
        <f>IF(14&lt;=DAY(DATE(YEAR(설정_코스수당!$K$2),MONTH(설정_코스수당!$K$2)+1,0)),DATE(YEAR(설정_코스수당!$K$2),MONTH(설정_코스수당!$K$2),14),"")</f>
        <v>46187</v>
      </c>
      <c r="C1423" s="25"/>
      <c r="D1423" s="23"/>
      <c r="E1423" s="23"/>
      <c r="F1423" s="26"/>
      <c r="G1423" s="23"/>
      <c r="H1423" s="23"/>
      <c r="I1423" s="23"/>
      <c r="J1423" s="27">
        <f>IF($O1423="방문완료",MAX(0,IFERROR(VLOOKUP($E1423,설정_코스수당!$A$6:$H$10,4,FALSE),0)-IF(OR($P1423="",$P1423="없음"),0,100000)),0)</f>
        <v>0</v>
      </c>
      <c r="K1423" s="27">
        <f t="array" ref="K1423">IF($O1423="방문완료",IFERROR(INDEX(설정_코스수당!$B$15:$F$64,MATCH($G1423,설정_코스수당!$A$15:$A$64,0),MATCH($E1423&amp;"수당",설정_코스수당!$B$14:$F$14,0)),0),0)</f>
        <v>0</v>
      </c>
      <c r="L1423" s="27">
        <f t="array" ref="L1423">IF($O1423="방문완료",IF($H1423="",0,IFERROR(INDEX(설정_코스수당!$B$15:$F$64,MATCH($H1423,설정_코스수당!$A$15:$A$64,0),MATCH($E1423&amp;"수당",설정_코스수당!$B$14:$F$14,0)),0)),0)</f>
        <v>0</v>
      </c>
      <c r="M1423" s="27">
        <f>IF($O1423="방문완료",IFERROR(VLOOKUP($E1423,설정_코스수당!$A$6:$H$10,6,FALSE),0),0)</f>
        <v>0</v>
      </c>
      <c r="N1423" s="28">
        <f t="shared" si="41"/>
        <v>0</v>
      </c>
      <c r="O1423" s="23"/>
      <c r="P1423" s="23"/>
      <c r="Q1423" s="23"/>
      <c r="R1423" s="26"/>
      <c r="S1423" s="23"/>
    </row>
    <row r="1424" spans="1:22" ht="19.5" hidden="1" customHeight="1" outlineLevel="1">
      <c r="A1424" s="29">
        <v>72</v>
      </c>
      <c r="B1424" s="30">
        <f>IF(14&lt;=DAY(DATE(YEAR(설정_코스수당!$K$2),MONTH(설정_코스수당!$K$2)+1,0)),DATE(YEAR(설정_코스수당!$K$2),MONTH(설정_코스수당!$K$2),14),"")</f>
        <v>46187</v>
      </c>
      <c r="C1424" s="31"/>
      <c r="D1424" s="29"/>
      <c r="E1424" s="29"/>
      <c r="F1424" s="32"/>
      <c r="G1424" s="29"/>
      <c r="H1424" s="29"/>
      <c r="I1424" s="29"/>
      <c r="J1424" s="33">
        <f>IF($O1424="방문완료",MAX(0,IFERROR(VLOOKUP($E1424,설정_코스수당!$A$6:$H$10,4,FALSE),0)-IF(OR($P1424="",$P1424="없음"),0,100000)),0)</f>
        <v>0</v>
      </c>
      <c r="K1424" s="33">
        <f t="array" ref="K1424">IF($O1424="방문완료",IFERROR(INDEX(설정_코스수당!$B$15:$F$64,MATCH($G1424,설정_코스수당!$A$15:$A$64,0),MATCH($E1424&amp;"수당",설정_코스수당!$B$14:$F$14,0)),0),0)</f>
        <v>0</v>
      </c>
      <c r="L1424" s="33">
        <f t="array" ref="L1424">IF($O1424="방문완료",IF($H1424="",0,IFERROR(INDEX(설정_코스수당!$B$15:$F$64,MATCH($H1424,설정_코스수당!$A$15:$A$64,0),MATCH($E1424&amp;"수당",설정_코스수당!$B$14:$F$14,0)),0)),0)</f>
        <v>0</v>
      </c>
      <c r="M1424" s="33">
        <f>IF($O1424="방문완료",IFERROR(VLOOKUP($E1424,설정_코스수당!$A$6:$H$10,6,FALSE),0),0)</f>
        <v>0</v>
      </c>
      <c r="N1424" s="34">
        <f t="shared" si="41"/>
        <v>0</v>
      </c>
      <c r="O1424" s="29"/>
      <c r="P1424" s="29"/>
      <c r="Q1424" s="29"/>
      <c r="R1424" s="32"/>
      <c r="S1424" s="29"/>
    </row>
    <row r="1425" spans="1:19" ht="19.5" hidden="1" customHeight="1" outlineLevel="1">
      <c r="A1425" s="23">
        <v>73</v>
      </c>
      <c r="B1425" s="24">
        <f>IF(14&lt;=DAY(DATE(YEAR(설정_코스수당!$K$2),MONTH(설정_코스수당!$K$2)+1,0)),DATE(YEAR(설정_코스수당!$K$2),MONTH(설정_코스수당!$K$2),14),"")</f>
        <v>46187</v>
      </c>
      <c r="C1425" s="25"/>
      <c r="D1425" s="23"/>
      <c r="E1425" s="23"/>
      <c r="F1425" s="26"/>
      <c r="G1425" s="23"/>
      <c r="H1425" s="23"/>
      <c r="I1425" s="23"/>
      <c r="J1425" s="27">
        <f>IF($O1425="방문완료",MAX(0,IFERROR(VLOOKUP($E1425,설정_코스수당!$A$6:$H$10,4,FALSE),0)-IF(OR($P1425="",$P1425="없음"),0,100000)),0)</f>
        <v>0</v>
      </c>
      <c r="K1425" s="27">
        <f t="array" ref="K1425">IF($O1425="방문완료",IFERROR(INDEX(설정_코스수당!$B$15:$F$64,MATCH($G1425,설정_코스수당!$A$15:$A$64,0),MATCH($E1425&amp;"수당",설정_코스수당!$B$14:$F$14,0)),0),0)</f>
        <v>0</v>
      </c>
      <c r="L1425" s="27">
        <f t="array" ref="L1425">IF($O1425="방문완료",IF($H1425="",0,IFERROR(INDEX(설정_코스수당!$B$15:$F$64,MATCH($H1425,설정_코스수당!$A$15:$A$64,0),MATCH($E1425&amp;"수당",설정_코스수당!$B$14:$F$14,0)),0)),0)</f>
        <v>0</v>
      </c>
      <c r="M1425" s="27">
        <f>IF($O1425="방문완료",IFERROR(VLOOKUP($E1425,설정_코스수당!$A$6:$H$10,6,FALSE),0),0)</f>
        <v>0</v>
      </c>
      <c r="N1425" s="28">
        <f t="shared" si="41"/>
        <v>0</v>
      </c>
      <c r="O1425" s="23"/>
      <c r="P1425" s="23"/>
      <c r="Q1425" s="23"/>
      <c r="R1425" s="26"/>
      <c r="S1425" s="23"/>
    </row>
    <row r="1426" spans="1:19" ht="19.5" hidden="1" customHeight="1" outlineLevel="1">
      <c r="A1426" s="29">
        <v>74</v>
      </c>
      <c r="B1426" s="30">
        <f>IF(14&lt;=DAY(DATE(YEAR(설정_코스수당!$K$2),MONTH(설정_코스수당!$K$2)+1,0)),DATE(YEAR(설정_코스수당!$K$2),MONTH(설정_코스수당!$K$2),14),"")</f>
        <v>46187</v>
      </c>
      <c r="C1426" s="31"/>
      <c r="D1426" s="29"/>
      <c r="E1426" s="29"/>
      <c r="F1426" s="32"/>
      <c r="G1426" s="29"/>
      <c r="H1426" s="29"/>
      <c r="I1426" s="29"/>
      <c r="J1426" s="33">
        <f>IF($O1426="방문완료",MAX(0,IFERROR(VLOOKUP($E1426,설정_코스수당!$A$6:$H$10,4,FALSE),0)-IF(OR($P1426="",$P1426="없음"),0,100000)),0)</f>
        <v>0</v>
      </c>
      <c r="K1426" s="33">
        <f t="array" ref="K1426">IF($O1426="방문완료",IFERROR(INDEX(설정_코스수당!$B$15:$F$64,MATCH($G1426,설정_코스수당!$A$15:$A$64,0),MATCH($E1426&amp;"수당",설정_코스수당!$B$14:$F$14,0)),0),0)</f>
        <v>0</v>
      </c>
      <c r="L1426" s="33">
        <f t="array" ref="L1426">IF($O1426="방문완료",IF($H1426="",0,IFERROR(INDEX(설정_코스수당!$B$15:$F$64,MATCH($H1426,설정_코스수당!$A$15:$A$64,0),MATCH($E1426&amp;"수당",설정_코스수당!$B$14:$F$14,0)),0)),0)</f>
        <v>0</v>
      </c>
      <c r="M1426" s="33">
        <f>IF($O1426="방문완료",IFERROR(VLOOKUP($E1426,설정_코스수당!$A$6:$H$10,6,FALSE),0),0)</f>
        <v>0</v>
      </c>
      <c r="N1426" s="34">
        <f t="shared" si="41"/>
        <v>0</v>
      </c>
      <c r="O1426" s="29"/>
      <c r="P1426" s="29"/>
      <c r="Q1426" s="29"/>
      <c r="R1426" s="32"/>
      <c r="S1426" s="29"/>
    </row>
    <row r="1427" spans="1:19" ht="19.5" hidden="1" customHeight="1" outlineLevel="1">
      <c r="A1427" s="23">
        <v>75</v>
      </c>
      <c r="B1427" s="24">
        <f>IF(14&lt;=DAY(DATE(YEAR(설정_코스수당!$K$2),MONTH(설정_코스수당!$K$2)+1,0)),DATE(YEAR(설정_코스수당!$K$2),MONTH(설정_코스수당!$K$2),14),"")</f>
        <v>46187</v>
      </c>
      <c r="C1427" s="25"/>
      <c r="D1427" s="23"/>
      <c r="E1427" s="23"/>
      <c r="F1427" s="26"/>
      <c r="G1427" s="23"/>
      <c r="H1427" s="23"/>
      <c r="I1427" s="23"/>
      <c r="J1427" s="27">
        <f>IF($O1427="방문완료",MAX(0,IFERROR(VLOOKUP($E1427,설정_코스수당!$A$6:$H$10,4,FALSE),0)-IF(OR($P1427="",$P1427="없음"),0,100000)),0)</f>
        <v>0</v>
      </c>
      <c r="K1427" s="27">
        <f t="array" ref="K1427">IF($O1427="방문완료",IFERROR(INDEX(설정_코스수당!$B$15:$F$64,MATCH($G1427,설정_코스수당!$A$15:$A$64,0),MATCH($E1427&amp;"수당",설정_코스수당!$B$14:$F$14,0)),0),0)</f>
        <v>0</v>
      </c>
      <c r="L1427" s="27">
        <f t="array" ref="L1427">IF($O1427="방문완료",IF($H1427="",0,IFERROR(INDEX(설정_코스수당!$B$15:$F$64,MATCH($H1427,설정_코스수당!$A$15:$A$64,0),MATCH($E1427&amp;"수당",설정_코스수당!$B$14:$F$14,0)),0)),0)</f>
        <v>0</v>
      </c>
      <c r="M1427" s="27">
        <f>IF($O1427="방문완료",IFERROR(VLOOKUP($E1427,설정_코스수당!$A$6:$H$10,6,FALSE),0),0)</f>
        <v>0</v>
      </c>
      <c r="N1427" s="28">
        <f t="shared" si="41"/>
        <v>0</v>
      </c>
      <c r="O1427" s="23"/>
      <c r="P1427" s="23"/>
      <c r="Q1427" s="23"/>
      <c r="R1427" s="26"/>
      <c r="S1427" s="23"/>
    </row>
    <row r="1428" spans="1:19" ht="19.5" hidden="1" customHeight="1" outlineLevel="1">
      <c r="A1428" s="29">
        <v>76</v>
      </c>
      <c r="B1428" s="30">
        <f>IF(14&lt;=DAY(DATE(YEAR(설정_코스수당!$K$2),MONTH(설정_코스수당!$K$2)+1,0)),DATE(YEAR(설정_코스수당!$K$2),MONTH(설정_코스수당!$K$2),14),"")</f>
        <v>46187</v>
      </c>
      <c r="C1428" s="31"/>
      <c r="D1428" s="29"/>
      <c r="E1428" s="29"/>
      <c r="F1428" s="32"/>
      <c r="G1428" s="29"/>
      <c r="H1428" s="29"/>
      <c r="I1428" s="29"/>
      <c r="J1428" s="33">
        <f>IF($O1428="방문완료",MAX(0,IFERROR(VLOOKUP($E1428,설정_코스수당!$A$6:$H$10,4,FALSE),0)-IF(OR($P1428="",$P1428="없음"),0,100000)),0)</f>
        <v>0</v>
      </c>
      <c r="K1428" s="33">
        <f t="array" ref="K1428">IF($O1428="방문완료",IFERROR(INDEX(설정_코스수당!$B$15:$F$64,MATCH($G1428,설정_코스수당!$A$15:$A$64,0),MATCH($E1428&amp;"수당",설정_코스수당!$B$14:$F$14,0)),0),0)</f>
        <v>0</v>
      </c>
      <c r="L1428" s="33">
        <f t="array" ref="L1428">IF($O1428="방문완료",IF($H1428="",0,IFERROR(INDEX(설정_코스수당!$B$15:$F$64,MATCH($H1428,설정_코스수당!$A$15:$A$64,0),MATCH($E1428&amp;"수당",설정_코스수당!$B$14:$F$14,0)),0)),0)</f>
        <v>0</v>
      </c>
      <c r="M1428" s="33">
        <f>IF($O1428="방문완료",IFERROR(VLOOKUP($E1428,설정_코스수당!$A$6:$H$10,6,FALSE),0),0)</f>
        <v>0</v>
      </c>
      <c r="N1428" s="34">
        <f t="shared" si="41"/>
        <v>0</v>
      </c>
      <c r="O1428" s="29"/>
      <c r="P1428" s="29"/>
      <c r="Q1428" s="29"/>
      <c r="R1428" s="32"/>
      <c r="S1428" s="29"/>
    </row>
    <row r="1429" spans="1:19" ht="19.5" hidden="1" customHeight="1" outlineLevel="1">
      <c r="A1429" s="23">
        <v>77</v>
      </c>
      <c r="B1429" s="24">
        <f>IF(14&lt;=DAY(DATE(YEAR(설정_코스수당!$K$2),MONTH(설정_코스수당!$K$2)+1,0)),DATE(YEAR(설정_코스수당!$K$2),MONTH(설정_코스수당!$K$2),14),"")</f>
        <v>46187</v>
      </c>
      <c r="C1429" s="25"/>
      <c r="D1429" s="23"/>
      <c r="E1429" s="23"/>
      <c r="F1429" s="26"/>
      <c r="G1429" s="23"/>
      <c r="H1429" s="23"/>
      <c r="I1429" s="23"/>
      <c r="J1429" s="27">
        <f>IF($O1429="방문완료",MAX(0,IFERROR(VLOOKUP($E1429,설정_코스수당!$A$6:$H$10,4,FALSE),0)-IF(OR($P1429="",$P1429="없음"),0,100000)),0)</f>
        <v>0</v>
      </c>
      <c r="K1429" s="27">
        <f t="array" ref="K1429">IF($O1429="방문완료",IFERROR(INDEX(설정_코스수당!$B$15:$F$64,MATCH($G1429,설정_코스수당!$A$15:$A$64,0),MATCH($E1429&amp;"수당",설정_코스수당!$B$14:$F$14,0)),0),0)</f>
        <v>0</v>
      </c>
      <c r="L1429" s="27">
        <f t="array" ref="L1429">IF($O1429="방문완료",IF($H1429="",0,IFERROR(INDEX(설정_코스수당!$B$15:$F$64,MATCH($H1429,설정_코스수당!$A$15:$A$64,0),MATCH($E1429&amp;"수당",설정_코스수당!$B$14:$F$14,0)),0)),0)</f>
        <v>0</v>
      </c>
      <c r="M1429" s="27">
        <f>IF($O1429="방문완료",IFERROR(VLOOKUP($E1429,설정_코스수당!$A$6:$H$10,6,FALSE),0),0)</f>
        <v>0</v>
      </c>
      <c r="N1429" s="28">
        <f t="shared" si="41"/>
        <v>0</v>
      </c>
      <c r="O1429" s="23"/>
      <c r="P1429" s="23"/>
      <c r="Q1429" s="23"/>
      <c r="R1429" s="26"/>
      <c r="S1429" s="23"/>
    </row>
    <row r="1430" spans="1:19" ht="19.5" hidden="1" customHeight="1" outlineLevel="1">
      <c r="A1430" s="29">
        <v>78</v>
      </c>
      <c r="B1430" s="30">
        <f>IF(14&lt;=DAY(DATE(YEAR(설정_코스수당!$K$2),MONTH(설정_코스수당!$K$2)+1,0)),DATE(YEAR(설정_코스수당!$K$2),MONTH(설정_코스수당!$K$2),14),"")</f>
        <v>46187</v>
      </c>
      <c r="C1430" s="31"/>
      <c r="D1430" s="29"/>
      <c r="E1430" s="29"/>
      <c r="F1430" s="32"/>
      <c r="G1430" s="29"/>
      <c r="H1430" s="29"/>
      <c r="I1430" s="29"/>
      <c r="J1430" s="33">
        <f>IF($O1430="방문완료",MAX(0,IFERROR(VLOOKUP($E1430,설정_코스수당!$A$6:$H$10,4,FALSE),0)-IF(OR($P1430="",$P1430="없음"),0,100000)),0)</f>
        <v>0</v>
      </c>
      <c r="K1430" s="33">
        <f t="array" ref="K1430">IF($O1430="방문완료",IFERROR(INDEX(설정_코스수당!$B$15:$F$64,MATCH($G1430,설정_코스수당!$A$15:$A$64,0),MATCH($E1430&amp;"수당",설정_코스수당!$B$14:$F$14,0)),0),0)</f>
        <v>0</v>
      </c>
      <c r="L1430" s="33">
        <f t="array" ref="L1430">IF($O1430="방문완료",IF($H1430="",0,IFERROR(INDEX(설정_코스수당!$B$15:$F$64,MATCH($H1430,설정_코스수당!$A$15:$A$64,0),MATCH($E1430&amp;"수당",설정_코스수당!$B$14:$F$14,0)),0)),0)</f>
        <v>0</v>
      </c>
      <c r="M1430" s="33">
        <f>IF($O1430="방문완료",IFERROR(VLOOKUP($E1430,설정_코스수당!$A$6:$H$10,6,FALSE),0),0)</f>
        <v>0</v>
      </c>
      <c r="N1430" s="34">
        <f t="shared" si="41"/>
        <v>0</v>
      </c>
      <c r="O1430" s="29"/>
      <c r="P1430" s="29"/>
      <c r="Q1430" s="29"/>
      <c r="R1430" s="32"/>
      <c r="S1430" s="29"/>
    </row>
    <row r="1431" spans="1:19" ht="19.5" hidden="1" customHeight="1" outlineLevel="1">
      <c r="A1431" s="23">
        <v>79</v>
      </c>
      <c r="B1431" s="24">
        <f>IF(14&lt;=DAY(DATE(YEAR(설정_코스수당!$K$2),MONTH(설정_코스수당!$K$2)+1,0)),DATE(YEAR(설정_코스수당!$K$2),MONTH(설정_코스수당!$K$2),14),"")</f>
        <v>46187</v>
      </c>
      <c r="C1431" s="25"/>
      <c r="D1431" s="23"/>
      <c r="E1431" s="23"/>
      <c r="F1431" s="26"/>
      <c r="G1431" s="23"/>
      <c r="H1431" s="23"/>
      <c r="I1431" s="23"/>
      <c r="J1431" s="27">
        <f>IF($O1431="방문완료",MAX(0,IFERROR(VLOOKUP($E1431,설정_코스수당!$A$6:$H$10,4,FALSE),0)-IF(OR($P1431="",$P1431="없음"),0,100000)),0)</f>
        <v>0</v>
      </c>
      <c r="K1431" s="27">
        <f t="array" ref="K1431">IF($O1431="방문완료",IFERROR(INDEX(설정_코스수당!$B$15:$F$64,MATCH($G1431,설정_코스수당!$A$15:$A$64,0),MATCH($E1431&amp;"수당",설정_코스수당!$B$14:$F$14,0)),0),0)</f>
        <v>0</v>
      </c>
      <c r="L1431" s="27">
        <f t="array" ref="L1431">IF($O1431="방문완료",IF($H1431="",0,IFERROR(INDEX(설정_코스수당!$B$15:$F$64,MATCH($H1431,설정_코스수당!$A$15:$A$64,0),MATCH($E1431&amp;"수당",설정_코스수당!$B$14:$F$14,0)),0)),0)</f>
        <v>0</v>
      </c>
      <c r="M1431" s="27">
        <f>IF($O1431="방문완료",IFERROR(VLOOKUP($E1431,설정_코스수당!$A$6:$H$10,6,FALSE),0),0)</f>
        <v>0</v>
      </c>
      <c r="N1431" s="28">
        <f t="shared" si="41"/>
        <v>0</v>
      </c>
      <c r="O1431" s="23"/>
      <c r="P1431" s="23"/>
      <c r="Q1431" s="23"/>
      <c r="R1431" s="26"/>
      <c r="S1431" s="23"/>
    </row>
    <row r="1432" spans="1:19" ht="19.5" hidden="1" customHeight="1" outlineLevel="1">
      <c r="A1432" s="29">
        <v>80</v>
      </c>
      <c r="B1432" s="30">
        <f>IF(14&lt;=DAY(DATE(YEAR(설정_코스수당!$K$2),MONTH(설정_코스수당!$K$2)+1,0)),DATE(YEAR(설정_코스수당!$K$2),MONTH(설정_코스수당!$K$2),14),"")</f>
        <v>46187</v>
      </c>
      <c r="C1432" s="31"/>
      <c r="D1432" s="29"/>
      <c r="E1432" s="29"/>
      <c r="F1432" s="32"/>
      <c r="G1432" s="29"/>
      <c r="H1432" s="29"/>
      <c r="I1432" s="29"/>
      <c r="J1432" s="33">
        <f>IF($O1432="방문완료",MAX(0,IFERROR(VLOOKUP($E1432,설정_코스수당!$A$6:$H$10,4,FALSE),0)-IF(OR($P1432="",$P1432="없음"),0,100000)),0)</f>
        <v>0</v>
      </c>
      <c r="K1432" s="33">
        <f t="array" ref="K1432">IF($O1432="방문완료",IFERROR(INDEX(설정_코스수당!$B$15:$F$64,MATCH($G1432,설정_코스수당!$A$15:$A$64,0),MATCH($E1432&amp;"수당",설정_코스수당!$B$14:$F$14,0)),0),0)</f>
        <v>0</v>
      </c>
      <c r="L1432" s="33">
        <f t="array" ref="L1432">IF($O1432="방문완료",IF($H1432="",0,IFERROR(INDEX(설정_코스수당!$B$15:$F$64,MATCH($H1432,설정_코스수당!$A$15:$A$64,0),MATCH($E1432&amp;"수당",설정_코스수당!$B$14:$F$14,0)),0)),0)</f>
        <v>0</v>
      </c>
      <c r="M1432" s="33">
        <f>IF($O1432="방문완료",IFERROR(VLOOKUP($E1432,설정_코스수당!$A$6:$H$10,6,FALSE),0),0)</f>
        <v>0</v>
      </c>
      <c r="N1432" s="34">
        <f t="shared" si="41"/>
        <v>0</v>
      </c>
      <c r="O1432" s="29"/>
      <c r="P1432" s="29"/>
      <c r="Q1432" s="29"/>
      <c r="R1432" s="32"/>
      <c r="S1432" s="29"/>
    </row>
    <row r="1433" spans="1:19" ht="19.5" hidden="1" customHeight="1" outlineLevel="1">
      <c r="A1433" s="23">
        <v>81</v>
      </c>
      <c r="B1433" s="24">
        <f>IF(14&lt;=DAY(DATE(YEAR(설정_코스수당!$K$2),MONTH(설정_코스수당!$K$2)+1,0)),DATE(YEAR(설정_코스수당!$K$2),MONTH(설정_코스수당!$K$2),14),"")</f>
        <v>46187</v>
      </c>
      <c r="C1433" s="25"/>
      <c r="D1433" s="23"/>
      <c r="E1433" s="23"/>
      <c r="F1433" s="26"/>
      <c r="G1433" s="23"/>
      <c r="H1433" s="23"/>
      <c r="I1433" s="23"/>
      <c r="J1433" s="27">
        <f>IF($O1433="방문완료",MAX(0,IFERROR(VLOOKUP($E1433,설정_코스수당!$A$6:$H$10,4,FALSE),0)-IF(OR($P1433="",$P1433="없음"),0,100000)),0)</f>
        <v>0</v>
      </c>
      <c r="K1433" s="27">
        <f t="array" ref="K1433">IF($O1433="방문완료",IFERROR(INDEX(설정_코스수당!$B$15:$F$64,MATCH($G1433,설정_코스수당!$A$15:$A$64,0),MATCH($E1433&amp;"수당",설정_코스수당!$B$14:$F$14,0)),0),0)</f>
        <v>0</v>
      </c>
      <c r="L1433" s="27">
        <f t="array" ref="L1433">IF($O1433="방문완료",IF($H1433="",0,IFERROR(INDEX(설정_코스수당!$B$15:$F$64,MATCH($H1433,설정_코스수당!$A$15:$A$64,0),MATCH($E1433&amp;"수당",설정_코스수당!$B$14:$F$14,0)),0)),0)</f>
        <v>0</v>
      </c>
      <c r="M1433" s="27">
        <f>IF($O1433="방문완료",IFERROR(VLOOKUP($E1433,설정_코스수당!$A$6:$H$10,6,FALSE),0),0)</f>
        <v>0</v>
      </c>
      <c r="N1433" s="28">
        <f t="shared" si="41"/>
        <v>0</v>
      </c>
      <c r="O1433" s="23"/>
      <c r="P1433" s="23"/>
      <c r="Q1433" s="23"/>
      <c r="R1433" s="26"/>
      <c r="S1433" s="23"/>
    </row>
    <row r="1434" spans="1:19" ht="19.5" hidden="1" customHeight="1" outlineLevel="1">
      <c r="A1434" s="29">
        <v>82</v>
      </c>
      <c r="B1434" s="30">
        <f>IF(14&lt;=DAY(DATE(YEAR(설정_코스수당!$K$2),MONTH(설정_코스수당!$K$2)+1,0)),DATE(YEAR(설정_코스수당!$K$2),MONTH(설정_코스수당!$K$2),14),"")</f>
        <v>46187</v>
      </c>
      <c r="C1434" s="31"/>
      <c r="D1434" s="29"/>
      <c r="E1434" s="29"/>
      <c r="F1434" s="32"/>
      <c r="G1434" s="29"/>
      <c r="H1434" s="29"/>
      <c r="I1434" s="29"/>
      <c r="J1434" s="33">
        <f>IF($O1434="방문완료",MAX(0,IFERROR(VLOOKUP($E1434,설정_코스수당!$A$6:$H$10,4,FALSE),0)-IF(OR($P1434="",$P1434="없음"),0,100000)),0)</f>
        <v>0</v>
      </c>
      <c r="K1434" s="33">
        <f t="array" ref="K1434">IF($O1434="방문완료",IFERROR(INDEX(설정_코스수당!$B$15:$F$64,MATCH($G1434,설정_코스수당!$A$15:$A$64,0),MATCH($E1434&amp;"수당",설정_코스수당!$B$14:$F$14,0)),0),0)</f>
        <v>0</v>
      </c>
      <c r="L1434" s="33">
        <f t="array" ref="L1434">IF($O1434="방문완료",IF($H1434="",0,IFERROR(INDEX(설정_코스수당!$B$15:$F$64,MATCH($H1434,설정_코스수당!$A$15:$A$64,0),MATCH($E1434&amp;"수당",설정_코스수당!$B$14:$F$14,0)),0)),0)</f>
        <v>0</v>
      </c>
      <c r="M1434" s="33">
        <f>IF($O1434="방문완료",IFERROR(VLOOKUP($E1434,설정_코스수당!$A$6:$H$10,6,FALSE),0),0)</f>
        <v>0</v>
      </c>
      <c r="N1434" s="34">
        <f t="shared" si="41"/>
        <v>0</v>
      </c>
      <c r="O1434" s="29"/>
      <c r="P1434" s="29"/>
      <c r="Q1434" s="29"/>
      <c r="R1434" s="32"/>
      <c r="S1434" s="29"/>
    </row>
    <row r="1435" spans="1:19" ht="19.5" hidden="1" customHeight="1" outlineLevel="1">
      <c r="A1435" s="23">
        <v>83</v>
      </c>
      <c r="B1435" s="24">
        <f>IF(14&lt;=DAY(DATE(YEAR(설정_코스수당!$K$2),MONTH(설정_코스수당!$K$2)+1,0)),DATE(YEAR(설정_코스수당!$K$2),MONTH(설정_코스수당!$K$2),14),"")</f>
        <v>46187</v>
      </c>
      <c r="C1435" s="25"/>
      <c r="D1435" s="23"/>
      <c r="E1435" s="23"/>
      <c r="F1435" s="26"/>
      <c r="G1435" s="23"/>
      <c r="H1435" s="23"/>
      <c r="I1435" s="23"/>
      <c r="J1435" s="27">
        <f>IF($O1435="방문완료",MAX(0,IFERROR(VLOOKUP($E1435,설정_코스수당!$A$6:$H$10,4,FALSE),0)-IF(OR($P1435="",$P1435="없음"),0,100000)),0)</f>
        <v>0</v>
      </c>
      <c r="K1435" s="27">
        <f t="array" ref="K1435">IF($O1435="방문완료",IFERROR(INDEX(설정_코스수당!$B$15:$F$64,MATCH($G1435,설정_코스수당!$A$15:$A$64,0),MATCH($E1435&amp;"수당",설정_코스수당!$B$14:$F$14,0)),0),0)</f>
        <v>0</v>
      </c>
      <c r="L1435" s="27">
        <f t="array" ref="L1435">IF($O1435="방문완료",IF($H1435="",0,IFERROR(INDEX(설정_코스수당!$B$15:$F$64,MATCH($H1435,설정_코스수당!$A$15:$A$64,0),MATCH($E1435&amp;"수당",설정_코스수당!$B$14:$F$14,0)),0)),0)</f>
        <v>0</v>
      </c>
      <c r="M1435" s="27">
        <f>IF($O1435="방문완료",IFERROR(VLOOKUP($E1435,설정_코스수당!$A$6:$H$10,6,FALSE),0),0)</f>
        <v>0</v>
      </c>
      <c r="N1435" s="28">
        <f t="shared" si="41"/>
        <v>0</v>
      </c>
      <c r="O1435" s="23"/>
      <c r="P1435" s="23"/>
      <c r="Q1435" s="23"/>
      <c r="R1435" s="26"/>
      <c r="S1435" s="23"/>
    </row>
    <row r="1436" spans="1:19" ht="19.5" hidden="1" customHeight="1" outlineLevel="1">
      <c r="A1436" s="29">
        <v>84</v>
      </c>
      <c r="B1436" s="30">
        <f>IF(14&lt;=DAY(DATE(YEAR(설정_코스수당!$K$2),MONTH(설정_코스수당!$K$2)+1,0)),DATE(YEAR(설정_코스수당!$K$2),MONTH(설정_코스수당!$K$2),14),"")</f>
        <v>46187</v>
      </c>
      <c r="C1436" s="31"/>
      <c r="D1436" s="29"/>
      <c r="E1436" s="29"/>
      <c r="F1436" s="32"/>
      <c r="G1436" s="29"/>
      <c r="H1436" s="29"/>
      <c r="I1436" s="29"/>
      <c r="J1436" s="33">
        <f>IF($O1436="방문완료",MAX(0,IFERROR(VLOOKUP($E1436,설정_코스수당!$A$6:$H$10,4,FALSE),0)-IF(OR($P1436="",$P1436="없음"),0,100000)),0)</f>
        <v>0</v>
      </c>
      <c r="K1436" s="33">
        <f t="array" ref="K1436">IF($O1436="방문완료",IFERROR(INDEX(설정_코스수당!$B$15:$F$64,MATCH($G1436,설정_코스수당!$A$15:$A$64,0),MATCH($E1436&amp;"수당",설정_코스수당!$B$14:$F$14,0)),0),0)</f>
        <v>0</v>
      </c>
      <c r="L1436" s="33">
        <f t="array" ref="L1436">IF($O1436="방문완료",IF($H1436="",0,IFERROR(INDEX(설정_코스수당!$B$15:$F$64,MATCH($H1436,설정_코스수당!$A$15:$A$64,0),MATCH($E1436&amp;"수당",설정_코스수당!$B$14:$F$14,0)),0)),0)</f>
        <v>0</v>
      </c>
      <c r="M1436" s="33">
        <f>IF($O1436="방문완료",IFERROR(VLOOKUP($E1436,설정_코스수당!$A$6:$H$10,6,FALSE),0),0)</f>
        <v>0</v>
      </c>
      <c r="N1436" s="34">
        <f t="shared" si="41"/>
        <v>0</v>
      </c>
      <c r="O1436" s="29"/>
      <c r="P1436" s="29"/>
      <c r="Q1436" s="29"/>
      <c r="R1436" s="32"/>
      <c r="S1436" s="29"/>
    </row>
    <row r="1437" spans="1:19" ht="19.5" hidden="1" customHeight="1" outlineLevel="1">
      <c r="A1437" s="23">
        <v>85</v>
      </c>
      <c r="B1437" s="24">
        <f>IF(14&lt;=DAY(DATE(YEAR(설정_코스수당!$K$2),MONTH(설정_코스수당!$K$2)+1,0)),DATE(YEAR(설정_코스수당!$K$2),MONTH(설정_코스수당!$K$2),14),"")</f>
        <v>46187</v>
      </c>
      <c r="C1437" s="25"/>
      <c r="D1437" s="23"/>
      <c r="E1437" s="23"/>
      <c r="F1437" s="26"/>
      <c r="G1437" s="23"/>
      <c r="H1437" s="23"/>
      <c r="I1437" s="23"/>
      <c r="J1437" s="27">
        <f>IF($O1437="방문완료",MAX(0,IFERROR(VLOOKUP($E1437,설정_코스수당!$A$6:$H$10,4,FALSE),0)-IF(OR($P1437="",$P1437="없음"),0,100000)),0)</f>
        <v>0</v>
      </c>
      <c r="K1437" s="27">
        <f t="array" ref="K1437">IF($O1437="방문완료",IFERROR(INDEX(설정_코스수당!$B$15:$F$64,MATCH($G1437,설정_코스수당!$A$15:$A$64,0),MATCH($E1437&amp;"수당",설정_코스수당!$B$14:$F$14,0)),0),0)</f>
        <v>0</v>
      </c>
      <c r="L1437" s="27">
        <f t="array" ref="L1437">IF($O1437="방문완료",IF($H1437="",0,IFERROR(INDEX(설정_코스수당!$B$15:$F$64,MATCH($H1437,설정_코스수당!$A$15:$A$64,0),MATCH($E1437&amp;"수당",설정_코스수당!$B$14:$F$14,0)),0)),0)</f>
        <v>0</v>
      </c>
      <c r="M1437" s="27">
        <f>IF($O1437="방문완료",IFERROR(VLOOKUP($E1437,설정_코스수당!$A$6:$H$10,6,FALSE),0),0)</f>
        <v>0</v>
      </c>
      <c r="N1437" s="28">
        <f t="shared" si="41"/>
        <v>0</v>
      </c>
      <c r="O1437" s="23"/>
      <c r="P1437" s="23"/>
      <c r="Q1437" s="23"/>
      <c r="R1437" s="26"/>
      <c r="S1437" s="23"/>
    </row>
    <row r="1438" spans="1:19" ht="19.5" hidden="1" customHeight="1" outlineLevel="1">
      <c r="A1438" s="29">
        <v>86</v>
      </c>
      <c r="B1438" s="30">
        <f>IF(14&lt;=DAY(DATE(YEAR(설정_코스수당!$K$2),MONTH(설정_코스수당!$K$2)+1,0)),DATE(YEAR(설정_코스수당!$K$2),MONTH(설정_코스수당!$K$2),14),"")</f>
        <v>46187</v>
      </c>
      <c r="C1438" s="31"/>
      <c r="D1438" s="29"/>
      <c r="E1438" s="29"/>
      <c r="F1438" s="32"/>
      <c r="G1438" s="29"/>
      <c r="H1438" s="29"/>
      <c r="I1438" s="29"/>
      <c r="J1438" s="33">
        <f>IF($O1438="방문완료",MAX(0,IFERROR(VLOOKUP($E1438,설정_코스수당!$A$6:$H$10,4,FALSE),0)-IF(OR($P1438="",$P1438="없음"),0,100000)),0)</f>
        <v>0</v>
      </c>
      <c r="K1438" s="33">
        <f t="array" ref="K1438">IF($O1438="방문완료",IFERROR(INDEX(설정_코스수당!$B$15:$F$64,MATCH($G1438,설정_코스수당!$A$15:$A$64,0),MATCH($E1438&amp;"수당",설정_코스수당!$B$14:$F$14,0)),0),0)</f>
        <v>0</v>
      </c>
      <c r="L1438" s="33">
        <f t="array" ref="L1438">IF($O1438="방문완료",IF($H1438="",0,IFERROR(INDEX(설정_코스수당!$B$15:$F$64,MATCH($H1438,설정_코스수당!$A$15:$A$64,0),MATCH($E1438&amp;"수당",설정_코스수당!$B$14:$F$14,0)),0)),0)</f>
        <v>0</v>
      </c>
      <c r="M1438" s="33">
        <f>IF($O1438="방문완료",IFERROR(VLOOKUP($E1438,설정_코스수당!$A$6:$H$10,6,FALSE),0),0)</f>
        <v>0</v>
      </c>
      <c r="N1438" s="34">
        <f t="shared" si="41"/>
        <v>0</v>
      </c>
      <c r="O1438" s="29"/>
      <c r="P1438" s="29"/>
      <c r="Q1438" s="29"/>
      <c r="R1438" s="32"/>
      <c r="S1438" s="29"/>
    </row>
    <row r="1439" spans="1:19" ht="19.5" hidden="1" customHeight="1" outlineLevel="1">
      <c r="A1439" s="23">
        <v>87</v>
      </c>
      <c r="B1439" s="24">
        <f>IF(14&lt;=DAY(DATE(YEAR(설정_코스수당!$K$2),MONTH(설정_코스수당!$K$2)+1,0)),DATE(YEAR(설정_코스수당!$K$2),MONTH(설정_코스수당!$K$2),14),"")</f>
        <v>46187</v>
      </c>
      <c r="C1439" s="25"/>
      <c r="D1439" s="23"/>
      <c r="E1439" s="23"/>
      <c r="F1439" s="26"/>
      <c r="G1439" s="23"/>
      <c r="H1439" s="23"/>
      <c r="I1439" s="23"/>
      <c r="J1439" s="27">
        <f>IF($O1439="방문완료",MAX(0,IFERROR(VLOOKUP($E1439,설정_코스수당!$A$6:$H$10,4,FALSE),0)-IF(OR($P1439="",$P1439="없음"),0,100000)),0)</f>
        <v>0</v>
      </c>
      <c r="K1439" s="27">
        <f t="array" ref="K1439">IF($O1439="방문완료",IFERROR(INDEX(설정_코스수당!$B$15:$F$64,MATCH($G1439,설정_코스수당!$A$15:$A$64,0),MATCH($E1439&amp;"수당",설정_코스수당!$B$14:$F$14,0)),0),0)</f>
        <v>0</v>
      </c>
      <c r="L1439" s="27">
        <f t="array" ref="L1439">IF($O1439="방문완료",IF($H1439="",0,IFERROR(INDEX(설정_코스수당!$B$15:$F$64,MATCH($H1439,설정_코스수당!$A$15:$A$64,0),MATCH($E1439&amp;"수당",설정_코스수당!$B$14:$F$14,0)),0)),0)</f>
        <v>0</v>
      </c>
      <c r="M1439" s="27">
        <f>IF($O1439="방문완료",IFERROR(VLOOKUP($E1439,설정_코스수당!$A$6:$H$10,6,FALSE),0),0)</f>
        <v>0</v>
      </c>
      <c r="N1439" s="28">
        <f t="shared" si="41"/>
        <v>0</v>
      </c>
      <c r="O1439" s="23"/>
      <c r="P1439" s="23"/>
      <c r="Q1439" s="23"/>
      <c r="R1439" s="26"/>
      <c r="S1439" s="23"/>
    </row>
    <row r="1440" spans="1:19" ht="19.5" hidden="1" customHeight="1" outlineLevel="1">
      <c r="A1440" s="29">
        <v>88</v>
      </c>
      <c r="B1440" s="30">
        <f>IF(14&lt;=DAY(DATE(YEAR(설정_코스수당!$K$2),MONTH(설정_코스수당!$K$2)+1,0)),DATE(YEAR(설정_코스수당!$K$2),MONTH(설정_코스수당!$K$2),14),"")</f>
        <v>46187</v>
      </c>
      <c r="C1440" s="31"/>
      <c r="D1440" s="29"/>
      <c r="E1440" s="29"/>
      <c r="F1440" s="32"/>
      <c r="G1440" s="29"/>
      <c r="H1440" s="29"/>
      <c r="I1440" s="29"/>
      <c r="J1440" s="33">
        <f>IF($O1440="방문완료",MAX(0,IFERROR(VLOOKUP($E1440,설정_코스수당!$A$6:$H$10,4,FALSE),0)-IF(OR($P1440="",$P1440="없음"),0,100000)),0)</f>
        <v>0</v>
      </c>
      <c r="K1440" s="33">
        <f t="array" ref="K1440">IF($O1440="방문완료",IFERROR(INDEX(설정_코스수당!$B$15:$F$64,MATCH($G1440,설정_코스수당!$A$15:$A$64,0),MATCH($E1440&amp;"수당",설정_코스수당!$B$14:$F$14,0)),0),0)</f>
        <v>0</v>
      </c>
      <c r="L1440" s="33">
        <f t="array" ref="L1440">IF($O1440="방문완료",IF($H1440="",0,IFERROR(INDEX(설정_코스수당!$B$15:$F$64,MATCH($H1440,설정_코스수당!$A$15:$A$64,0),MATCH($E1440&amp;"수당",설정_코스수당!$B$14:$F$14,0)),0)),0)</f>
        <v>0</v>
      </c>
      <c r="M1440" s="33">
        <f>IF($O1440="방문완료",IFERROR(VLOOKUP($E1440,설정_코스수당!$A$6:$H$10,6,FALSE),0),0)</f>
        <v>0</v>
      </c>
      <c r="N1440" s="34">
        <f t="shared" si="41"/>
        <v>0</v>
      </c>
      <c r="O1440" s="29"/>
      <c r="P1440" s="29"/>
      <c r="Q1440" s="29"/>
      <c r="R1440" s="32"/>
      <c r="S1440" s="29"/>
    </row>
    <row r="1441" spans="1:27" ht="19.5" hidden="1" customHeight="1" outlineLevel="1">
      <c r="A1441" s="23">
        <v>89</v>
      </c>
      <c r="B1441" s="24">
        <f>IF(14&lt;=DAY(DATE(YEAR(설정_코스수당!$K$2),MONTH(설정_코스수당!$K$2)+1,0)),DATE(YEAR(설정_코스수당!$K$2),MONTH(설정_코스수당!$K$2),14),"")</f>
        <v>46187</v>
      </c>
      <c r="C1441" s="25"/>
      <c r="D1441" s="23"/>
      <c r="E1441" s="23"/>
      <c r="F1441" s="26"/>
      <c r="G1441" s="23"/>
      <c r="H1441" s="23"/>
      <c r="I1441" s="23"/>
      <c r="J1441" s="27">
        <f>IF($O1441="방문완료",MAX(0,IFERROR(VLOOKUP($E1441,설정_코스수당!$A$6:$H$10,4,FALSE),0)-IF(OR($P1441="",$P1441="없음"),0,100000)),0)</f>
        <v>0</v>
      </c>
      <c r="K1441" s="27">
        <f t="array" ref="K1441">IF($O1441="방문완료",IFERROR(INDEX(설정_코스수당!$B$15:$F$64,MATCH($G1441,설정_코스수당!$A$15:$A$64,0),MATCH($E1441&amp;"수당",설정_코스수당!$B$14:$F$14,0)),0),0)</f>
        <v>0</v>
      </c>
      <c r="L1441" s="27">
        <f t="array" ref="L1441">IF($O1441="방문완료",IF($H1441="",0,IFERROR(INDEX(설정_코스수당!$B$15:$F$64,MATCH($H1441,설정_코스수당!$A$15:$A$64,0),MATCH($E1441&amp;"수당",설정_코스수당!$B$14:$F$14,0)),0)),0)</f>
        <v>0</v>
      </c>
      <c r="M1441" s="27">
        <f>IF($O1441="방문완료",IFERROR(VLOOKUP($E1441,설정_코스수당!$A$6:$H$10,6,FALSE),0),0)</f>
        <v>0</v>
      </c>
      <c r="N1441" s="28">
        <f t="shared" si="41"/>
        <v>0</v>
      </c>
      <c r="O1441" s="23"/>
      <c r="P1441" s="23"/>
      <c r="Q1441" s="23"/>
      <c r="R1441" s="26"/>
      <c r="S1441" s="23"/>
    </row>
    <row r="1442" spans="1:27" ht="19.5" hidden="1" customHeight="1" outlineLevel="1">
      <c r="A1442" s="29">
        <v>90</v>
      </c>
      <c r="B1442" s="30">
        <f>IF(14&lt;=DAY(DATE(YEAR(설정_코스수당!$K$2),MONTH(설정_코스수당!$K$2)+1,0)),DATE(YEAR(설정_코스수당!$K$2),MONTH(설정_코스수당!$K$2),14),"")</f>
        <v>46187</v>
      </c>
      <c r="C1442" s="31"/>
      <c r="D1442" s="29"/>
      <c r="E1442" s="29"/>
      <c r="F1442" s="32"/>
      <c r="G1442" s="29"/>
      <c r="H1442" s="29"/>
      <c r="I1442" s="29"/>
      <c r="J1442" s="33">
        <f>IF($O1442="방문완료",MAX(0,IFERROR(VLOOKUP($E1442,설정_코스수당!$A$6:$H$10,4,FALSE),0)-IF(OR($P1442="",$P1442="없음"),0,100000)),0)</f>
        <v>0</v>
      </c>
      <c r="K1442" s="33">
        <f t="array" ref="K1442">IF($O1442="방문완료",IFERROR(INDEX(설정_코스수당!$B$15:$F$64,MATCH($G1442,설정_코스수당!$A$15:$A$64,0),MATCH($E1442&amp;"수당",설정_코스수당!$B$14:$F$14,0)),0),0)</f>
        <v>0</v>
      </c>
      <c r="L1442" s="33">
        <f t="array" ref="L1442">IF($O1442="방문완료",IF($H1442="",0,IFERROR(INDEX(설정_코스수당!$B$15:$F$64,MATCH($H1442,설정_코스수당!$A$15:$A$64,0),MATCH($E1442&amp;"수당",설정_코스수당!$B$14:$F$14,0)),0)),0)</f>
        <v>0</v>
      </c>
      <c r="M1442" s="33">
        <f>IF($O1442="방문완료",IFERROR(VLOOKUP($E1442,설정_코스수당!$A$6:$H$10,6,FALSE),0),0)</f>
        <v>0</v>
      </c>
      <c r="N1442" s="34">
        <f t="shared" si="41"/>
        <v>0</v>
      </c>
      <c r="O1442" s="29"/>
      <c r="P1442" s="29"/>
      <c r="Q1442" s="29"/>
      <c r="R1442" s="32"/>
      <c r="S1442" s="29"/>
    </row>
    <row r="1443" spans="1:27" ht="19.5" hidden="1" customHeight="1" outlineLevel="1">
      <c r="A1443" s="23">
        <v>91</v>
      </c>
      <c r="B1443" s="24">
        <f>IF(14&lt;=DAY(DATE(YEAR(설정_코스수당!$K$2),MONTH(설정_코스수당!$K$2)+1,0)),DATE(YEAR(설정_코스수당!$K$2),MONTH(설정_코스수당!$K$2),14),"")</f>
        <v>46187</v>
      </c>
      <c r="C1443" s="25"/>
      <c r="D1443" s="23"/>
      <c r="E1443" s="23"/>
      <c r="F1443" s="26"/>
      <c r="G1443" s="23"/>
      <c r="H1443" s="23"/>
      <c r="I1443" s="23"/>
      <c r="J1443" s="27">
        <f>IF($O1443="방문완료",MAX(0,IFERROR(VLOOKUP($E1443,설정_코스수당!$A$6:$H$10,4,FALSE),0)-IF(OR($P1443="",$P1443="없음"),0,100000)),0)</f>
        <v>0</v>
      </c>
      <c r="K1443" s="27">
        <f t="array" ref="K1443">IF($O1443="방문완료",IFERROR(INDEX(설정_코스수당!$B$15:$F$64,MATCH($G1443,설정_코스수당!$A$15:$A$64,0),MATCH($E1443&amp;"수당",설정_코스수당!$B$14:$F$14,0)),0),0)</f>
        <v>0</v>
      </c>
      <c r="L1443" s="27">
        <f t="array" ref="L1443">IF($O1443="방문완료",IF($H1443="",0,IFERROR(INDEX(설정_코스수당!$B$15:$F$64,MATCH($H1443,설정_코스수당!$A$15:$A$64,0),MATCH($E1443&amp;"수당",설정_코스수당!$B$14:$F$14,0)),0)),0)</f>
        <v>0</v>
      </c>
      <c r="M1443" s="27">
        <f>IF($O1443="방문완료",IFERROR(VLOOKUP($E1443,설정_코스수당!$A$6:$H$10,6,FALSE),0),0)</f>
        <v>0</v>
      </c>
      <c r="N1443" s="28">
        <f t="shared" si="41"/>
        <v>0</v>
      </c>
      <c r="O1443" s="23"/>
      <c r="P1443" s="23"/>
      <c r="Q1443" s="23"/>
      <c r="R1443" s="26"/>
      <c r="S1443" s="23"/>
    </row>
    <row r="1444" spans="1:27" ht="19.5" hidden="1" customHeight="1" outlineLevel="1">
      <c r="A1444" s="29">
        <v>92</v>
      </c>
      <c r="B1444" s="30">
        <f>IF(14&lt;=DAY(DATE(YEAR(설정_코스수당!$K$2),MONTH(설정_코스수당!$K$2)+1,0)),DATE(YEAR(설정_코스수당!$K$2),MONTH(설정_코스수당!$K$2),14),"")</f>
        <v>46187</v>
      </c>
      <c r="C1444" s="31"/>
      <c r="D1444" s="29"/>
      <c r="E1444" s="29"/>
      <c r="F1444" s="32"/>
      <c r="G1444" s="29"/>
      <c r="H1444" s="29"/>
      <c r="I1444" s="29"/>
      <c r="J1444" s="33">
        <f>IF($O1444="방문완료",MAX(0,IFERROR(VLOOKUP($E1444,설정_코스수당!$A$6:$H$10,4,FALSE),0)-IF(OR($P1444="",$P1444="없음"),0,100000)),0)</f>
        <v>0</v>
      </c>
      <c r="K1444" s="33">
        <f t="array" ref="K1444">IF($O1444="방문완료",IFERROR(INDEX(설정_코스수당!$B$15:$F$64,MATCH($G1444,설정_코스수당!$A$15:$A$64,0),MATCH($E1444&amp;"수당",설정_코스수당!$B$14:$F$14,0)),0),0)</f>
        <v>0</v>
      </c>
      <c r="L1444" s="33">
        <f t="array" ref="L1444">IF($O1444="방문완료",IF($H1444="",0,IFERROR(INDEX(설정_코스수당!$B$15:$F$64,MATCH($H1444,설정_코스수당!$A$15:$A$64,0),MATCH($E1444&amp;"수당",설정_코스수당!$B$14:$F$14,0)),0)),0)</f>
        <v>0</v>
      </c>
      <c r="M1444" s="33">
        <f>IF($O1444="방문완료",IFERROR(VLOOKUP($E1444,설정_코스수당!$A$6:$H$10,6,FALSE),0),0)</f>
        <v>0</v>
      </c>
      <c r="N1444" s="34">
        <f t="shared" si="41"/>
        <v>0</v>
      </c>
      <c r="O1444" s="29"/>
      <c r="P1444" s="29"/>
      <c r="Q1444" s="29"/>
      <c r="R1444" s="32"/>
      <c r="S1444" s="29"/>
    </row>
    <row r="1445" spans="1:27" ht="19.5" hidden="1" customHeight="1" outlineLevel="1">
      <c r="A1445" s="23">
        <v>93</v>
      </c>
      <c r="B1445" s="24">
        <f>IF(14&lt;=DAY(DATE(YEAR(설정_코스수당!$K$2),MONTH(설정_코스수당!$K$2)+1,0)),DATE(YEAR(설정_코스수당!$K$2),MONTH(설정_코스수당!$K$2),14),"")</f>
        <v>46187</v>
      </c>
      <c r="C1445" s="25"/>
      <c r="D1445" s="23"/>
      <c r="E1445" s="23"/>
      <c r="F1445" s="26"/>
      <c r="G1445" s="23"/>
      <c r="H1445" s="23"/>
      <c r="I1445" s="23"/>
      <c r="J1445" s="27">
        <f>IF($O1445="방문완료",MAX(0,IFERROR(VLOOKUP($E1445,설정_코스수당!$A$6:$H$10,4,FALSE),0)-IF(OR($P1445="",$P1445="없음"),0,100000)),0)</f>
        <v>0</v>
      </c>
      <c r="K1445" s="27">
        <f t="array" ref="K1445">IF($O1445="방문완료",IFERROR(INDEX(설정_코스수당!$B$15:$F$64,MATCH($G1445,설정_코스수당!$A$15:$A$64,0),MATCH($E1445&amp;"수당",설정_코스수당!$B$14:$F$14,0)),0),0)</f>
        <v>0</v>
      </c>
      <c r="L1445" s="27">
        <f t="array" ref="L1445">IF($O1445="방문완료",IF($H1445="",0,IFERROR(INDEX(설정_코스수당!$B$15:$F$64,MATCH($H1445,설정_코스수당!$A$15:$A$64,0),MATCH($E1445&amp;"수당",설정_코스수당!$B$14:$F$14,0)),0)),0)</f>
        <v>0</v>
      </c>
      <c r="M1445" s="27">
        <f>IF($O1445="방문완료",IFERROR(VLOOKUP($E1445,설정_코스수당!$A$6:$H$10,6,FALSE),0),0)</f>
        <v>0</v>
      </c>
      <c r="N1445" s="28">
        <f t="shared" si="41"/>
        <v>0</v>
      </c>
      <c r="O1445" s="23"/>
      <c r="P1445" s="23"/>
      <c r="Q1445" s="23"/>
      <c r="R1445" s="26"/>
      <c r="S1445" s="23"/>
    </row>
    <row r="1446" spans="1:27" ht="19.5" hidden="1" customHeight="1" outlineLevel="1">
      <c r="A1446" s="29">
        <v>94</v>
      </c>
      <c r="B1446" s="30">
        <f>IF(14&lt;=DAY(DATE(YEAR(설정_코스수당!$K$2),MONTH(설정_코스수당!$K$2)+1,0)),DATE(YEAR(설정_코스수당!$K$2),MONTH(설정_코스수당!$K$2),14),"")</f>
        <v>46187</v>
      </c>
      <c r="C1446" s="31"/>
      <c r="D1446" s="29"/>
      <c r="E1446" s="29"/>
      <c r="F1446" s="32"/>
      <c r="G1446" s="29"/>
      <c r="H1446" s="29"/>
      <c r="I1446" s="29"/>
      <c r="J1446" s="33">
        <f>IF($O1446="방문완료",MAX(0,IFERROR(VLOOKUP($E1446,설정_코스수당!$A$6:$H$10,4,FALSE),0)-IF(OR($P1446="",$P1446="없음"),0,100000)),0)</f>
        <v>0</v>
      </c>
      <c r="K1446" s="33">
        <f t="array" ref="K1446">IF($O1446="방문완료",IFERROR(INDEX(설정_코스수당!$B$15:$F$64,MATCH($G1446,설정_코스수당!$A$15:$A$64,0),MATCH($E1446&amp;"수당",설정_코스수당!$B$14:$F$14,0)),0),0)</f>
        <v>0</v>
      </c>
      <c r="L1446" s="33">
        <f t="array" ref="L1446">IF($O1446="방문완료",IF($H1446="",0,IFERROR(INDEX(설정_코스수당!$B$15:$F$64,MATCH($H1446,설정_코스수당!$A$15:$A$64,0),MATCH($E1446&amp;"수당",설정_코스수당!$B$14:$F$14,0)),0)),0)</f>
        <v>0</v>
      </c>
      <c r="M1446" s="33">
        <f>IF($O1446="방문완료",IFERROR(VLOOKUP($E1446,설정_코스수당!$A$6:$H$10,6,FALSE),0),0)</f>
        <v>0</v>
      </c>
      <c r="N1446" s="34">
        <f t="shared" si="41"/>
        <v>0</v>
      </c>
      <c r="O1446" s="29"/>
      <c r="P1446" s="29"/>
      <c r="Q1446" s="29"/>
      <c r="R1446" s="32"/>
      <c r="S1446" s="29"/>
    </row>
    <row r="1447" spans="1:27" ht="19.5" hidden="1" customHeight="1" outlineLevel="1">
      <c r="A1447" s="23">
        <v>95</v>
      </c>
      <c r="B1447" s="24">
        <f>IF(14&lt;=DAY(DATE(YEAR(설정_코스수당!$K$2),MONTH(설정_코스수당!$K$2)+1,0)),DATE(YEAR(설정_코스수당!$K$2),MONTH(설정_코스수당!$K$2),14),"")</f>
        <v>46187</v>
      </c>
      <c r="C1447" s="25"/>
      <c r="D1447" s="23"/>
      <c r="E1447" s="23"/>
      <c r="F1447" s="26"/>
      <c r="G1447" s="23"/>
      <c r="H1447" s="23"/>
      <c r="I1447" s="23"/>
      <c r="J1447" s="27">
        <f>IF($O1447="방문완료",MAX(0,IFERROR(VLOOKUP($E1447,설정_코스수당!$A$6:$H$10,4,FALSE),0)-IF(OR($P1447="",$P1447="없음"),0,100000)),0)</f>
        <v>0</v>
      </c>
      <c r="K1447" s="27">
        <f t="array" ref="K1447">IF($O1447="방문완료",IFERROR(INDEX(설정_코스수당!$B$15:$F$64,MATCH($G1447,설정_코스수당!$A$15:$A$64,0),MATCH($E1447&amp;"수당",설정_코스수당!$B$14:$F$14,0)),0),0)</f>
        <v>0</v>
      </c>
      <c r="L1447" s="27">
        <f t="array" ref="L1447">IF($O1447="방문완료",IF($H1447="",0,IFERROR(INDEX(설정_코스수당!$B$15:$F$64,MATCH($H1447,설정_코스수당!$A$15:$A$64,0),MATCH($E1447&amp;"수당",설정_코스수당!$B$14:$F$14,0)),0)),0)</f>
        <v>0</v>
      </c>
      <c r="M1447" s="27">
        <f>IF($O1447="방문완료",IFERROR(VLOOKUP($E1447,설정_코스수당!$A$6:$H$10,6,FALSE),0),0)</f>
        <v>0</v>
      </c>
      <c r="N1447" s="28">
        <f t="shared" si="41"/>
        <v>0</v>
      </c>
      <c r="O1447" s="23"/>
      <c r="P1447" s="23"/>
      <c r="Q1447" s="23"/>
      <c r="R1447" s="26"/>
      <c r="S1447" s="23"/>
    </row>
    <row r="1448" spans="1:27" ht="19.5" hidden="1" customHeight="1" outlineLevel="1">
      <c r="A1448" s="29">
        <v>96</v>
      </c>
      <c r="B1448" s="30">
        <f>IF(14&lt;=DAY(DATE(YEAR(설정_코스수당!$K$2),MONTH(설정_코스수당!$K$2)+1,0)),DATE(YEAR(설정_코스수당!$K$2),MONTH(설정_코스수당!$K$2),14),"")</f>
        <v>46187</v>
      </c>
      <c r="C1448" s="31"/>
      <c r="D1448" s="29"/>
      <c r="E1448" s="29"/>
      <c r="F1448" s="32"/>
      <c r="G1448" s="29"/>
      <c r="H1448" s="29"/>
      <c r="I1448" s="29"/>
      <c r="J1448" s="33">
        <f>IF($O1448="방문완료",MAX(0,IFERROR(VLOOKUP($E1448,설정_코스수당!$A$6:$H$10,4,FALSE),0)-IF(OR($P1448="",$P1448="없음"),0,100000)),0)</f>
        <v>0</v>
      </c>
      <c r="K1448" s="33">
        <f t="array" ref="K1448">IF($O1448="방문완료",IFERROR(INDEX(설정_코스수당!$B$15:$F$64,MATCH($G1448,설정_코스수당!$A$15:$A$64,0),MATCH($E1448&amp;"수당",설정_코스수당!$B$14:$F$14,0)),0),0)</f>
        <v>0</v>
      </c>
      <c r="L1448" s="33">
        <f t="array" ref="L1448">IF($O1448="방문완료",IF($H1448="",0,IFERROR(INDEX(설정_코스수당!$B$15:$F$64,MATCH($H1448,설정_코스수당!$A$15:$A$64,0),MATCH($E1448&amp;"수당",설정_코스수당!$B$14:$F$14,0)),0)),0)</f>
        <v>0</v>
      </c>
      <c r="M1448" s="33">
        <f>IF($O1448="방문완료",IFERROR(VLOOKUP($E1448,설정_코스수당!$A$6:$H$10,6,FALSE),0),0)</f>
        <v>0</v>
      </c>
      <c r="N1448" s="34">
        <f t="shared" si="41"/>
        <v>0</v>
      </c>
      <c r="O1448" s="29"/>
      <c r="P1448" s="29"/>
      <c r="Q1448" s="29"/>
      <c r="R1448" s="32"/>
      <c r="S1448" s="29"/>
    </row>
    <row r="1449" spans="1:27" ht="19.5" hidden="1" customHeight="1" outlineLevel="1">
      <c r="A1449" s="23">
        <v>97</v>
      </c>
      <c r="B1449" s="24">
        <f>IF(14&lt;=DAY(DATE(YEAR(설정_코스수당!$K$2),MONTH(설정_코스수당!$K$2)+1,0)),DATE(YEAR(설정_코스수당!$K$2),MONTH(설정_코스수당!$K$2),14),"")</f>
        <v>46187</v>
      </c>
      <c r="C1449" s="25"/>
      <c r="D1449" s="23"/>
      <c r="E1449" s="23"/>
      <c r="F1449" s="26"/>
      <c r="G1449" s="23"/>
      <c r="H1449" s="23"/>
      <c r="I1449" s="23"/>
      <c r="J1449" s="27">
        <f>IF($O1449="방문완료",MAX(0,IFERROR(VLOOKUP($E1449,설정_코스수당!$A$6:$H$10,4,FALSE),0)-IF(OR($P1449="",$P1449="없음"),0,100000)),0)</f>
        <v>0</v>
      </c>
      <c r="K1449" s="27">
        <f t="array" ref="K1449">IF($O1449="방문완료",IFERROR(INDEX(설정_코스수당!$B$15:$F$64,MATCH($G1449,설정_코스수당!$A$15:$A$64,0),MATCH($E1449&amp;"수당",설정_코스수당!$B$14:$F$14,0)),0),0)</f>
        <v>0</v>
      </c>
      <c r="L1449" s="27">
        <f t="array" ref="L1449">IF($O1449="방문완료",IF($H1449="",0,IFERROR(INDEX(설정_코스수당!$B$15:$F$64,MATCH($H1449,설정_코스수당!$A$15:$A$64,0),MATCH($E1449&amp;"수당",설정_코스수당!$B$14:$F$14,0)),0)),0)</f>
        <v>0</v>
      </c>
      <c r="M1449" s="27">
        <f>IF($O1449="방문완료",IFERROR(VLOOKUP($E1449,설정_코스수당!$A$6:$H$10,6,FALSE),0),0)</f>
        <v>0</v>
      </c>
      <c r="N1449" s="28">
        <f t="shared" si="41"/>
        <v>0</v>
      </c>
      <c r="O1449" s="23"/>
      <c r="P1449" s="23"/>
      <c r="Q1449" s="23"/>
      <c r="R1449" s="26"/>
      <c r="S1449" s="23"/>
    </row>
    <row r="1450" spans="1:27" ht="19.5" hidden="1" customHeight="1" outlineLevel="1">
      <c r="A1450" s="29">
        <v>98</v>
      </c>
      <c r="B1450" s="30">
        <f>IF(14&lt;=DAY(DATE(YEAR(설정_코스수당!$K$2),MONTH(설정_코스수당!$K$2)+1,0)),DATE(YEAR(설정_코스수당!$K$2),MONTH(설정_코스수당!$K$2),14),"")</f>
        <v>46187</v>
      </c>
      <c r="C1450" s="31"/>
      <c r="D1450" s="29"/>
      <c r="E1450" s="29"/>
      <c r="F1450" s="32"/>
      <c r="G1450" s="29"/>
      <c r="H1450" s="29"/>
      <c r="I1450" s="29"/>
      <c r="J1450" s="33">
        <f>IF($O1450="방문완료",MAX(0,IFERROR(VLOOKUP($E1450,설정_코스수당!$A$6:$H$10,4,FALSE),0)-IF(OR($P1450="",$P1450="없음"),0,100000)),0)</f>
        <v>0</v>
      </c>
      <c r="K1450" s="33">
        <f t="array" ref="K1450">IF($O1450="방문완료",IFERROR(INDEX(설정_코스수당!$B$15:$F$64,MATCH($G1450,설정_코스수당!$A$15:$A$64,0),MATCH($E1450&amp;"수당",설정_코스수당!$B$14:$F$14,0)),0),0)</f>
        <v>0</v>
      </c>
      <c r="L1450" s="33">
        <f t="array" ref="L1450">IF($O1450="방문완료",IF($H1450="",0,IFERROR(INDEX(설정_코스수당!$B$15:$F$64,MATCH($H1450,설정_코스수당!$A$15:$A$64,0),MATCH($E1450&amp;"수당",설정_코스수당!$B$14:$F$14,0)),0)),0)</f>
        <v>0</v>
      </c>
      <c r="M1450" s="33">
        <f>IF($O1450="방문완료",IFERROR(VLOOKUP($E1450,설정_코스수당!$A$6:$H$10,6,FALSE),0),0)</f>
        <v>0</v>
      </c>
      <c r="N1450" s="34">
        <f t="shared" si="41"/>
        <v>0</v>
      </c>
      <c r="O1450" s="29"/>
      <c r="P1450" s="29"/>
      <c r="Q1450" s="29"/>
      <c r="R1450" s="32"/>
      <c r="S1450" s="29"/>
    </row>
    <row r="1451" spans="1:27" ht="19.5" hidden="1" customHeight="1" outlineLevel="1">
      <c r="A1451" s="23">
        <v>99</v>
      </c>
      <c r="B1451" s="24">
        <f>IF(14&lt;=DAY(DATE(YEAR(설정_코스수당!$K$2),MONTH(설정_코스수당!$K$2)+1,0)),DATE(YEAR(설정_코스수당!$K$2),MONTH(설정_코스수당!$K$2),14),"")</f>
        <v>46187</v>
      </c>
      <c r="C1451" s="25"/>
      <c r="D1451" s="23"/>
      <c r="E1451" s="23"/>
      <c r="F1451" s="26"/>
      <c r="G1451" s="23"/>
      <c r="H1451" s="23"/>
      <c r="I1451" s="23"/>
      <c r="J1451" s="27">
        <f>IF($O1451="방문완료",MAX(0,IFERROR(VLOOKUP($E1451,설정_코스수당!$A$6:$H$10,4,FALSE),0)-IF(OR($P1451="",$P1451="없음"),0,100000)),0)</f>
        <v>0</v>
      </c>
      <c r="K1451" s="27">
        <f t="array" ref="K1451">IF($O1451="방문완료",IFERROR(INDEX(설정_코스수당!$B$15:$F$64,MATCH($G1451,설정_코스수당!$A$15:$A$64,0),MATCH($E1451&amp;"수당",설정_코스수당!$B$14:$F$14,0)),0),0)</f>
        <v>0</v>
      </c>
      <c r="L1451" s="27">
        <f t="array" ref="L1451">IF($O1451="방문완료",IF($H1451="",0,IFERROR(INDEX(설정_코스수당!$B$15:$F$64,MATCH($H1451,설정_코스수당!$A$15:$A$64,0),MATCH($E1451&amp;"수당",설정_코스수당!$B$14:$F$14,0)),0)),0)</f>
        <v>0</v>
      </c>
      <c r="M1451" s="27">
        <f>IF($O1451="방문완료",IFERROR(VLOOKUP($E1451,설정_코스수당!$A$6:$H$10,6,FALSE),0),0)</f>
        <v>0</v>
      </c>
      <c r="N1451" s="28">
        <f t="shared" si="41"/>
        <v>0</v>
      </c>
      <c r="O1451" s="23"/>
      <c r="P1451" s="23"/>
      <c r="Q1451" s="23"/>
      <c r="R1451" s="26"/>
      <c r="S1451" s="23"/>
    </row>
    <row r="1452" spans="1:27" ht="19.5" hidden="1" customHeight="1" outlineLevel="1">
      <c r="A1452" s="29">
        <v>100</v>
      </c>
      <c r="B1452" s="30">
        <f>IF(14&lt;=DAY(DATE(YEAR(설정_코스수당!$K$2),MONTH(설정_코스수당!$K$2)+1,0)),DATE(YEAR(설정_코스수당!$K$2),MONTH(설정_코스수당!$K$2),14),"")</f>
        <v>46187</v>
      </c>
      <c r="C1452" s="31"/>
      <c r="D1452" s="29"/>
      <c r="E1452" s="29"/>
      <c r="F1452" s="32"/>
      <c r="G1452" s="29"/>
      <c r="H1452" s="29"/>
      <c r="I1452" s="29"/>
      <c r="J1452" s="33">
        <f>IF($O1452="방문완료",MAX(0,IFERROR(VLOOKUP($E1452,설정_코스수당!$A$6:$H$10,4,FALSE),0)-IF(OR($P1452="",$P1452="없음"),0,100000)),0)</f>
        <v>0</v>
      </c>
      <c r="K1452" s="33">
        <f t="array" ref="K1452">IF($O1452="방문완료",IFERROR(INDEX(설정_코스수당!$B$15:$F$64,MATCH($G1452,설정_코스수당!$A$15:$A$64,0),MATCH($E1452&amp;"수당",설정_코스수당!$B$14:$F$14,0)),0),0)</f>
        <v>0</v>
      </c>
      <c r="L1452" s="33">
        <f t="array" ref="L1452">IF($O1452="방문완료",IF($H1452="",0,IFERROR(INDEX(설정_코스수당!$B$15:$F$64,MATCH($H1452,설정_코스수당!$A$15:$A$64,0),MATCH($E1452&amp;"수당",설정_코스수당!$B$14:$F$14,0)),0)),0)</f>
        <v>0</v>
      </c>
      <c r="M1452" s="33">
        <f>IF($O1452="방문완료",IFERROR(VLOOKUP($E1452,설정_코스수당!$A$6:$H$10,6,FALSE),0),0)</f>
        <v>0</v>
      </c>
      <c r="N1452" s="34">
        <f t="shared" si="41"/>
        <v>0</v>
      </c>
      <c r="O1452" s="29"/>
      <c r="P1452" s="29"/>
      <c r="Q1452" s="29"/>
      <c r="R1452" s="32"/>
      <c r="S1452" s="29"/>
    </row>
    <row r="1453" spans="1:27" ht="19.5" hidden="1" customHeight="1" outlineLevel="1">
      <c r="A1453" s="36" t="s">
        <v>79</v>
      </c>
      <c r="B1453" s="37"/>
      <c r="C1453" s="38"/>
      <c r="D1453" s="37"/>
      <c r="E1453" s="37"/>
      <c r="F1453" s="37"/>
      <c r="G1453" s="37"/>
      <c r="H1453" s="37"/>
      <c r="I1453" s="37"/>
      <c r="J1453" s="37">
        <f>IF($O1453="방문완료",MAX(0,IFERROR(VLOOKUP($E1453,설정_코스수당!$A$6:$H$10,4,FALSE),0)-IF(OR($P1453="",$P1453="없음"),0,100000)),0)</f>
        <v>0</v>
      </c>
      <c r="O1453" s="18"/>
      <c r="P1453" s="14"/>
      <c r="Q1453" s="18"/>
      <c r="S1453" s="18"/>
    </row>
    <row r="1454" spans="1:27" ht="21" customHeight="1" collapsed="1">
      <c r="A1454" s="123" t="str">
        <f>IF(15&lt;=DAY(DATE(YEAR(설정_코스수당!$K$2),MONTH(설정_코스수당!$K$2)+1,0)),TEXT(DATE(YEAR(설정_코스수당!$K$2),MONTH(설정_코스수당!$K$2),15),"yyyy-mm-dd")&amp;"  |  예약관리 100슬롯","")</f>
        <v>2026-06-15  |  예약관리 100슬롯</v>
      </c>
      <c r="B1454" s="124"/>
      <c r="C1454" s="124"/>
      <c r="D1454" s="124"/>
      <c r="E1454" s="124"/>
      <c r="F1454" s="124"/>
      <c r="G1454" s="124"/>
      <c r="H1454" s="124"/>
      <c r="I1454" s="124"/>
      <c r="J1454" s="124"/>
      <c r="K1454" s="124"/>
      <c r="L1454" s="124"/>
      <c r="M1454" s="124"/>
      <c r="N1454" s="124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</row>
    <row r="1455" spans="1:27" ht="19.5" hidden="1" customHeight="1" outlineLevel="1">
      <c r="A1455" s="20" t="s">
        <v>41</v>
      </c>
      <c r="B1455" s="20" t="s">
        <v>42</v>
      </c>
      <c r="C1455" s="39" t="s">
        <v>43</v>
      </c>
      <c r="D1455" s="20" t="s">
        <v>44</v>
      </c>
      <c r="E1455" s="20" t="s">
        <v>45</v>
      </c>
      <c r="F1455" s="20" t="s">
        <v>46</v>
      </c>
      <c r="G1455" s="20" t="s">
        <v>47</v>
      </c>
      <c r="H1455" s="20" t="s">
        <v>48</v>
      </c>
      <c r="I1455" s="20" t="s">
        <v>49</v>
      </c>
      <c r="J1455" s="20" t="s">
        <v>50</v>
      </c>
      <c r="K1455" s="20" t="s">
        <v>51</v>
      </c>
      <c r="L1455" s="20" t="s">
        <v>52</v>
      </c>
      <c r="M1455" s="20" t="s">
        <v>53</v>
      </c>
      <c r="N1455" s="20" t="s">
        <v>54</v>
      </c>
      <c r="O1455" s="20" t="s">
        <v>55</v>
      </c>
      <c r="P1455" s="20" t="s">
        <v>56</v>
      </c>
      <c r="Q1455" s="18"/>
      <c r="R1455" s="20" t="s">
        <v>58</v>
      </c>
      <c r="S1455" s="20" t="s">
        <v>59</v>
      </c>
      <c r="U1455" s="122" t="str">
        <f>IF(15&lt;=DAY(DATE(YEAR(설정_코스수당!$K$2),MONTH(설정_코스수당!$K$2)+1,0)),TEXT(DATE(YEAR(설정_코스수당!$K$2),MONTH(설정_코스수당!$K$2),15),"yyyy-mm-dd")&amp;" 일일 상태","")</f>
        <v>2026-06-15 일일 상태</v>
      </c>
      <c r="V1455" s="125"/>
      <c r="W1455" s="122" t="s">
        <v>3</v>
      </c>
      <c r="X1455" s="125"/>
    </row>
    <row r="1456" spans="1:27" ht="19.5" hidden="1" customHeight="1" outlineLevel="1">
      <c r="A1456" s="23">
        <v>1</v>
      </c>
      <c r="B1456" s="24">
        <f>IF(15&lt;=DAY(DATE(YEAR(설정_코스수당!$K$2),MONTH(설정_코스수당!$K$2)+1,0)),DATE(YEAR(설정_코스수당!$K$2),MONTH(설정_코스수당!$K$2),15),"")</f>
        <v>46188</v>
      </c>
      <c r="C1456" s="25"/>
      <c r="D1456" s="23"/>
      <c r="E1456" s="23"/>
      <c r="F1456" s="26"/>
      <c r="G1456" s="23"/>
      <c r="H1456" s="23"/>
      <c r="I1456" s="23"/>
      <c r="J1456" s="27">
        <f>IF($O1456="방문완료",MAX(0,IFERROR(VLOOKUP($E1456,설정_코스수당!$A$6:$H$10,4,FALSE),0)-IF(OR($P1456="",$P1456="없음"),0,100000)),0)</f>
        <v>0</v>
      </c>
      <c r="K1456" s="27">
        <f t="array" ref="K1456">IF($O1456="방문완료",IFERROR(INDEX(설정_코스수당!$B$15:$F$64,MATCH($G1456,설정_코스수당!$A$15:$A$64,0),MATCH($E1456&amp;"수당",설정_코스수당!$B$14:$F$14,0)),0),0)</f>
        <v>0</v>
      </c>
      <c r="L1456" s="27">
        <f t="array" ref="L1456">IF($O1456="방문완료",IF($H1456="",0,IFERROR(INDEX(설정_코스수당!$B$15:$F$64,MATCH($H1456,설정_코스수당!$A$15:$A$64,0),MATCH($E1456&amp;"수당",설정_코스수당!$B$14:$F$14,0)),0)),0)</f>
        <v>0</v>
      </c>
      <c r="M1456" s="27">
        <f>IF($O1456="방문완료",IFERROR(VLOOKUP($E1456,설정_코스수당!$A$6:$H$10,6,FALSE),0),0)</f>
        <v>0</v>
      </c>
      <c r="N1456" s="28">
        <f t="shared" ref="N1456:N1487" si="42">IF($O1456="방문완료",1,0)</f>
        <v>0</v>
      </c>
      <c r="O1456" s="23"/>
      <c r="P1456" s="23"/>
      <c r="Q1456" s="23"/>
      <c r="R1456" s="26"/>
      <c r="S1456" s="23"/>
      <c r="U1456" s="104" t="s">
        <v>63</v>
      </c>
      <c r="V1456" s="105">
        <f>IF(15&lt;=DAY(DATE(YEAR(설정_코스수당!$K$2),MONTH(설정_코스수당!$K$2)+1,0)),COUNTIFS($B:$B,DATE(YEAR(설정_코스수당!$K$2),MONTH(설정_코스수당!$K$2),15),$O:$O,"&lt;&gt;"),"")</f>
        <v>0</v>
      </c>
      <c r="W1456" s="104" t="s">
        <v>6</v>
      </c>
      <c r="X1456" s="105">
        <f>IF(15&lt;=DAY(DATE(YEAR(설정_코스수당!$K$2),MONTH(설정_코스수당!$K$2)+1,0)),COUNTIFS($B:$B,DATE(YEAR(설정_코스수당!$K$2),MONTH(설정_코스수당!$K$2),15),$E:$E,"A",$O:$O,"방문완료"),"")</f>
        <v>0</v>
      </c>
    </row>
    <row r="1457" spans="1:24" ht="19.5" hidden="1" customHeight="1" outlineLevel="1">
      <c r="A1457" s="29">
        <v>2</v>
      </c>
      <c r="B1457" s="30">
        <f>IF(15&lt;=DAY(DATE(YEAR(설정_코스수당!$K$2),MONTH(설정_코스수당!$K$2)+1,0)),DATE(YEAR(설정_코스수당!$K$2),MONTH(설정_코스수당!$K$2),15),"")</f>
        <v>46188</v>
      </c>
      <c r="C1457" s="31"/>
      <c r="D1457" s="29"/>
      <c r="E1457" s="29"/>
      <c r="F1457" s="32"/>
      <c r="G1457" s="29"/>
      <c r="H1457" s="29"/>
      <c r="I1457" s="29"/>
      <c r="J1457" s="33">
        <f>IF($O1457="방문완료",MAX(0,IFERROR(VLOOKUP($E1457,설정_코스수당!$A$6:$H$10,4,FALSE),0)-IF(OR($P1457="",$P1457="없음"),0,100000)),0)</f>
        <v>0</v>
      </c>
      <c r="K1457" s="33">
        <f t="array" ref="K1457">IF($O1457="방문완료",IFERROR(INDEX(설정_코스수당!$B$15:$F$64,MATCH($G1457,설정_코스수당!$A$15:$A$64,0),MATCH($E1457&amp;"수당",설정_코스수당!$B$14:$F$14,0)),0),0)</f>
        <v>0</v>
      </c>
      <c r="L1457" s="33">
        <f t="array" ref="L1457">IF($O1457="방문완료",IF($H1457="",0,IFERROR(INDEX(설정_코스수당!$B$15:$F$64,MATCH($H1457,설정_코스수당!$A$15:$A$64,0),MATCH($E1457&amp;"수당",설정_코스수당!$B$14:$F$14,0)),0)),0)</f>
        <v>0</v>
      </c>
      <c r="M1457" s="33">
        <f>IF($O1457="방문완료",IFERROR(VLOOKUP($E1457,설정_코스수당!$A$6:$H$10,6,FALSE),0),0)</f>
        <v>0</v>
      </c>
      <c r="N1457" s="34">
        <f t="shared" si="42"/>
        <v>0</v>
      </c>
      <c r="O1457" s="29"/>
      <c r="P1457" s="29"/>
      <c r="Q1457" s="29"/>
      <c r="R1457" s="32"/>
      <c r="S1457" s="29"/>
      <c r="U1457" s="104" t="s">
        <v>62</v>
      </c>
      <c r="V1457" s="105">
        <f>IF(15&lt;=DAY(DATE(YEAR(설정_코스수당!$K$2),MONTH(설정_코스수당!$K$2)+1,0)),COUNTIFS($B:$B,DATE(YEAR(설정_코스수당!$K$2),MONTH(설정_코스수당!$K$2),15),$O:$O,"방문완료"),"")</f>
        <v>0</v>
      </c>
      <c r="W1457" s="104" t="s">
        <v>9</v>
      </c>
      <c r="X1457" s="105">
        <f>IF(15&lt;=DAY(DATE(YEAR(설정_코스수당!$K$2),MONTH(설정_코스수당!$K$2)+1,0)),COUNTIFS($B:$B,DATE(YEAR(설정_코스수당!$K$2),MONTH(설정_코스수당!$K$2),15),$E:$E,"B",$O:$O,"방문완료"),"")</f>
        <v>0</v>
      </c>
    </row>
    <row r="1458" spans="1:24" ht="19.5" hidden="1" customHeight="1" outlineLevel="1">
      <c r="A1458" s="23">
        <v>3</v>
      </c>
      <c r="B1458" s="24">
        <f>IF(15&lt;=DAY(DATE(YEAR(설정_코스수당!$K$2),MONTH(설정_코스수당!$K$2)+1,0)),DATE(YEAR(설정_코스수당!$K$2),MONTH(설정_코스수당!$K$2),15),"")</f>
        <v>46188</v>
      </c>
      <c r="C1458" s="25"/>
      <c r="D1458" s="23"/>
      <c r="E1458" s="23"/>
      <c r="F1458" s="26"/>
      <c r="G1458" s="23"/>
      <c r="H1458" s="23"/>
      <c r="I1458" s="23"/>
      <c r="J1458" s="27">
        <f>IF($O1458="방문완료",MAX(0,IFERROR(VLOOKUP($E1458,설정_코스수당!$A$6:$H$10,4,FALSE),0)-IF(OR($P1458="",$P1458="없음"),0,100000)),0)</f>
        <v>0</v>
      </c>
      <c r="K1458" s="27">
        <f t="array" ref="K1458">IF($O1458="방문완료",IFERROR(INDEX(설정_코스수당!$B$15:$F$64,MATCH($G1458,설정_코스수당!$A$15:$A$64,0),MATCH($E1458&amp;"수당",설정_코스수당!$B$14:$F$14,0)),0),0)</f>
        <v>0</v>
      </c>
      <c r="L1458" s="27">
        <f t="array" ref="L1458">IF($O1458="방문완료",IF($H1458="",0,IFERROR(INDEX(설정_코스수당!$B$15:$F$64,MATCH($H1458,설정_코스수당!$A$15:$A$64,0),MATCH($E1458&amp;"수당",설정_코스수당!$B$14:$F$14,0)),0)),0)</f>
        <v>0</v>
      </c>
      <c r="M1458" s="27">
        <f>IF($O1458="방문완료",IFERROR(VLOOKUP($E1458,설정_코스수당!$A$6:$H$10,6,FALSE),0),0)</f>
        <v>0</v>
      </c>
      <c r="N1458" s="28">
        <f t="shared" si="42"/>
        <v>0</v>
      </c>
      <c r="O1458" s="23"/>
      <c r="P1458" s="23"/>
      <c r="Q1458" s="23"/>
      <c r="R1458" s="26"/>
      <c r="S1458" s="23"/>
      <c r="U1458" s="104" t="s">
        <v>68</v>
      </c>
      <c r="V1458" s="105" t="str">
        <f>IF(15&lt;=DAY(DATE(YEAR(설정_코스수당!$K$2),MONTH(설정_코스수당!$K$2)+1,0)),COUNTIFS($B:$B,DATE(YEAR(설정_코스수당!$K$2),MONTH(설정_코스수당!$K$2),15),$O:$O,"노쇼")&amp;"/"&amp;COUNTIFS($B:$B,DATE(YEAR(설정_코스수당!$K$2),MONTH(설정_코스수당!$K$2),15),$O:$O,"취소"),"")</f>
        <v>0/0</v>
      </c>
      <c r="W1458" s="104" t="s">
        <v>12</v>
      </c>
      <c r="X1458" s="105">
        <f>IF(15&lt;=DAY(DATE(YEAR(설정_코스수당!$K$2),MONTH(설정_코스수당!$K$2)+1,0)),COUNTIFS($B:$B,DATE(YEAR(설정_코스수당!$K$2),MONTH(설정_코스수당!$K$2),15),$E:$E,"C",$O:$O,"방문완료"),"")</f>
        <v>0</v>
      </c>
    </row>
    <row r="1459" spans="1:24" ht="19.5" hidden="1" customHeight="1" outlineLevel="1">
      <c r="A1459" s="29">
        <v>4</v>
      </c>
      <c r="B1459" s="30">
        <f>IF(15&lt;=DAY(DATE(YEAR(설정_코스수당!$K$2),MONTH(설정_코스수당!$K$2)+1,0)),DATE(YEAR(설정_코스수당!$K$2),MONTH(설정_코스수당!$K$2),15),"")</f>
        <v>46188</v>
      </c>
      <c r="C1459" s="31"/>
      <c r="D1459" s="29"/>
      <c r="E1459" s="29"/>
      <c r="F1459" s="32"/>
      <c r="G1459" s="29"/>
      <c r="H1459" s="29"/>
      <c r="I1459" s="29"/>
      <c r="J1459" s="33">
        <f>IF($O1459="방문완료",MAX(0,IFERROR(VLOOKUP($E1459,설정_코스수당!$A$6:$H$10,4,FALSE),0)-IF(OR($P1459="",$P1459="없음"),0,100000)),0)</f>
        <v>0</v>
      </c>
      <c r="K1459" s="33">
        <f t="array" ref="K1459">IF($O1459="방문완료",IFERROR(INDEX(설정_코스수당!$B$15:$F$64,MATCH($G1459,설정_코스수당!$A$15:$A$64,0),MATCH($E1459&amp;"수당",설정_코스수당!$B$14:$F$14,0)),0),0)</f>
        <v>0</v>
      </c>
      <c r="L1459" s="33">
        <f t="array" ref="L1459">IF($O1459="방문완료",IF($H1459="",0,IFERROR(INDEX(설정_코스수당!$B$15:$F$64,MATCH($H1459,설정_코스수당!$A$15:$A$64,0),MATCH($E1459&amp;"수당",설정_코스수당!$B$14:$F$14,0)),0)),0)</f>
        <v>0</v>
      </c>
      <c r="M1459" s="33">
        <f>IF($O1459="방문완료",IFERROR(VLOOKUP($E1459,설정_코스수당!$A$6:$H$10,6,FALSE),0),0)</f>
        <v>0</v>
      </c>
      <c r="N1459" s="34">
        <f t="shared" si="42"/>
        <v>0</v>
      </c>
      <c r="O1459" s="29"/>
      <c r="P1459" s="29"/>
      <c r="Q1459" s="29"/>
      <c r="R1459" s="32"/>
      <c r="S1459" s="29"/>
      <c r="U1459" s="104" t="s">
        <v>69</v>
      </c>
      <c r="V1459" s="106">
        <f>IF(15&lt;=DAY(DATE(YEAR(설정_코스수당!$K$2),MONTH(설정_코스수당!$K$2)+1,0)),SUMIFS($J:$J,$B:$B,DATE(YEAR(설정_코스수당!$K$2),MONTH(설정_코스수당!$K$2),15),$O:$O,"방문완료"),"")</f>
        <v>0</v>
      </c>
      <c r="W1459" s="104" t="s">
        <v>15</v>
      </c>
      <c r="X1459" s="105">
        <f>IF(15&lt;=DAY(DATE(YEAR(설정_코스수당!$K$2),MONTH(설정_코스수당!$K$2)+1,0)),COUNTIFS($B:$B,DATE(YEAR(설정_코스수당!$K$2),MONTH(설정_코스수당!$K$2),15),$E:$E,"D",$O:$O,"방문완료"),"")</f>
        <v>0</v>
      </c>
    </row>
    <row r="1460" spans="1:24" ht="19.5" hidden="1" customHeight="1" outlineLevel="1">
      <c r="A1460" s="23">
        <v>5</v>
      </c>
      <c r="B1460" s="24">
        <f>IF(15&lt;=DAY(DATE(YEAR(설정_코스수당!$K$2),MONTH(설정_코스수당!$K$2)+1,0)),DATE(YEAR(설정_코스수당!$K$2),MONTH(설정_코스수당!$K$2),15),"")</f>
        <v>46188</v>
      </c>
      <c r="C1460" s="25"/>
      <c r="D1460" s="23"/>
      <c r="E1460" s="23"/>
      <c r="F1460" s="26"/>
      <c r="G1460" s="23"/>
      <c r="H1460" s="23"/>
      <c r="I1460" s="23"/>
      <c r="J1460" s="27">
        <f>IF($O1460="방문완료",MAX(0,IFERROR(VLOOKUP($E1460,설정_코스수당!$A$6:$H$10,4,FALSE),0)-IF(OR($P1460="",$P1460="없음"),0,100000)),0)</f>
        <v>0</v>
      </c>
      <c r="K1460" s="27">
        <f t="array" ref="K1460">IF($O1460="방문완료",IFERROR(INDEX(설정_코스수당!$B$15:$F$64,MATCH($G1460,설정_코스수당!$A$15:$A$64,0),MATCH($E1460&amp;"수당",설정_코스수당!$B$14:$F$14,0)),0),0)</f>
        <v>0</v>
      </c>
      <c r="L1460" s="27">
        <f t="array" ref="L1460">IF($O1460="방문완료",IF($H1460="",0,IFERROR(INDEX(설정_코스수당!$B$15:$F$64,MATCH($H1460,설정_코스수당!$A$15:$A$64,0),MATCH($E1460&amp;"수당",설정_코스수당!$B$14:$F$14,0)),0)),0)</f>
        <v>0</v>
      </c>
      <c r="M1460" s="27">
        <f>IF($O1460="방문완료",IFERROR(VLOOKUP($E1460,설정_코스수당!$A$6:$H$10,6,FALSE),0),0)</f>
        <v>0</v>
      </c>
      <c r="N1460" s="28">
        <f t="shared" si="42"/>
        <v>0</v>
      </c>
      <c r="O1460" s="23"/>
      <c r="P1460" s="23"/>
      <c r="Q1460" s="23"/>
      <c r="R1460" s="26"/>
      <c r="S1460" s="23"/>
      <c r="U1460" s="104" t="s">
        <v>70</v>
      </c>
      <c r="V1460" s="106">
        <f>IF(15&lt;=DAY(DATE(YEAR(설정_코스수당!$K$2),MONTH(설정_코스수당!$K$2)+1,0)),SUMIFS($K:$K,$B:$B,DATE(YEAR(설정_코스수당!$K$2),MONTH(설정_코스수당!$K$2),15),$O:$O,"방문완료")+SUMIFS($L:$L,$B:$B,DATE(YEAR(설정_코스수당!$K$2),MONTH(설정_코스수당!$K$2),15),$O:$O,"방문완료"),"")</f>
        <v>0</v>
      </c>
      <c r="W1460" s="104" t="s">
        <v>18</v>
      </c>
      <c r="X1460" s="105">
        <f>IF(15&lt;=DAY(DATE(YEAR(설정_코스수당!$K$2),MONTH(설정_코스수당!$K$2)+1,0)),COUNTIFS($B:$B,DATE(YEAR(설정_코스수당!$K$2),MONTH(설정_코스수당!$K$2),15),$E:$E,"E",$O:$O,"방문완료"),"")</f>
        <v>0</v>
      </c>
    </row>
    <row r="1461" spans="1:24" ht="19.5" hidden="1" customHeight="1" outlineLevel="1">
      <c r="A1461" s="29">
        <v>6</v>
      </c>
      <c r="B1461" s="30">
        <f>IF(15&lt;=DAY(DATE(YEAR(설정_코스수당!$K$2),MONTH(설정_코스수당!$K$2)+1,0)),DATE(YEAR(설정_코스수당!$K$2),MONTH(설정_코스수당!$K$2),15),"")</f>
        <v>46188</v>
      </c>
      <c r="C1461" s="31"/>
      <c r="D1461" s="29"/>
      <c r="E1461" s="29"/>
      <c r="F1461" s="32"/>
      <c r="G1461" s="29"/>
      <c r="H1461" s="29"/>
      <c r="I1461" s="29"/>
      <c r="J1461" s="33">
        <f>IF($O1461="방문완료",MAX(0,IFERROR(VLOOKUP($E1461,설정_코스수당!$A$6:$H$10,4,FALSE),0)-IF(OR($P1461="",$P1461="없음"),0,100000)),0)</f>
        <v>0</v>
      </c>
      <c r="K1461" s="33">
        <f t="array" ref="K1461">IF($O1461="방문완료",IFERROR(INDEX(설정_코스수당!$B$15:$F$64,MATCH($G1461,설정_코스수당!$A$15:$A$64,0),MATCH($E1461&amp;"수당",설정_코스수당!$B$14:$F$14,0)),0),0)</f>
        <v>0</v>
      </c>
      <c r="L1461" s="33">
        <f t="array" ref="L1461">IF($O1461="방문완료",IF($H1461="",0,IFERROR(INDEX(설정_코스수당!$B$15:$F$64,MATCH($H1461,설정_코스수당!$A$15:$A$64,0),MATCH($E1461&amp;"수당",설정_코스수당!$B$14:$F$14,0)),0)),0)</f>
        <v>0</v>
      </c>
      <c r="M1461" s="33">
        <f>IF($O1461="방문완료",IFERROR(VLOOKUP($E1461,설정_코스수당!$A$6:$H$10,6,FALSE),0),0)</f>
        <v>0</v>
      </c>
      <c r="N1461" s="34">
        <f t="shared" si="42"/>
        <v>0</v>
      </c>
      <c r="O1461" s="29"/>
      <c r="P1461" s="29"/>
      <c r="Q1461" s="29"/>
      <c r="R1461" s="32"/>
      <c r="S1461" s="29"/>
      <c r="U1461" s="104" t="s">
        <v>53</v>
      </c>
      <c r="V1461" s="106">
        <f>IF(15&lt;=DAY(DATE(YEAR(설정_코스수당!$K$2),MONTH(설정_코스수당!$K$2)+1,0)),SUMIFS($M:$M,$B:$B,DATE(YEAR(설정_코스수당!$K$2),MONTH(설정_코스수당!$K$2),15),$O:$O,"방문완료"),"")</f>
        <v>0</v>
      </c>
      <c r="W1461" s="104" t="s">
        <v>71</v>
      </c>
      <c r="X1461" s="107">
        <f>IF(15&lt;=DAY(DATE(YEAR(설정_코스수당!$K$2),MONTH(설정_코스수당!$K$2)+1,0)),COUNTIFS($B:$B,DATE(YEAR(설정_코스수당!$K$2),MONTH(설정_코스수당!$K$2),15),$O:$O,"방문완료",$P:$P,"&lt;&gt;",$P:$P,"&lt;&gt;없음"),"")</f>
        <v>0</v>
      </c>
    </row>
    <row r="1462" spans="1:24" ht="19.5" hidden="1" customHeight="1" outlineLevel="1">
      <c r="A1462" s="23">
        <v>7</v>
      </c>
      <c r="B1462" s="24">
        <f>IF(15&lt;=DAY(DATE(YEAR(설정_코스수당!$K$2),MONTH(설정_코스수당!$K$2)+1,0)),DATE(YEAR(설정_코스수당!$K$2),MONTH(설정_코스수당!$K$2),15),"")</f>
        <v>46188</v>
      </c>
      <c r="C1462" s="25"/>
      <c r="D1462" s="23"/>
      <c r="E1462" s="23"/>
      <c r="F1462" s="26"/>
      <c r="G1462" s="23"/>
      <c r="H1462" s="23"/>
      <c r="I1462" s="23"/>
      <c r="J1462" s="27">
        <f>IF($O1462="방문완료",MAX(0,IFERROR(VLOOKUP($E1462,설정_코스수당!$A$6:$H$10,4,FALSE),0)-IF(OR($P1462="",$P1462="없음"),0,100000)),0)</f>
        <v>0</v>
      </c>
      <c r="K1462" s="27">
        <f t="array" ref="K1462">IF($O1462="방문완료",IFERROR(INDEX(설정_코스수당!$B$15:$F$64,MATCH($G1462,설정_코스수당!$A$15:$A$64,0),MATCH($E1462&amp;"수당",설정_코스수당!$B$14:$F$14,0)),0),0)</f>
        <v>0</v>
      </c>
      <c r="L1462" s="27">
        <f t="array" ref="L1462">IF($O1462="방문완료",IF($H1462="",0,IFERROR(INDEX(설정_코스수당!$B$15:$F$64,MATCH($H1462,설정_코스수당!$A$15:$A$64,0),MATCH($E1462&amp;"수당",설정_코스수당!$B$14:$F$14,0)),0)),0)</f>
        <v>0</v>
      </c>
      <c r="M1462" s="27">
        <f>IF($O1462="방문완료",IFERROR(VLOOKUP($E1462,설정_코스수당!$A$6:$H$10,6,FALSE),0),0)</f>
        <v>0</v>
      </c>
      <c r="N1462" s="28">
        <f t="shared" si="42"/>
        <v>0</v>
      </c>
      <c r="O1462" s="23"/>
      <c r="P1462" s="23"/>
      <c r="Q1462" s="23"/>
      <c r="R1462" s="26"/>
      <c r="S1462" s="23"/>
      <c r="U1462" s="104" t="s">
        <v>72</v>
      </c>
      <c r="V1462" s="108">
        <f>IF(15&lt;=DAY(DATE(YEAR(설정_코스수당!$K$2),MONTH(설정_코스수당!$K$2)+1,0)),COUNTIFS($B:$B,DATE(YEAR(설정_코스수당!$K$2),MONTH(설정_코스수당!$K$2),15),$O:$O,"방문완료",$P:$P,"&lt;&gt;",$P:$P,"&lt;&gt;없음")*100000,"")</f>
        <v>0</v>
      </c>
      <c r="W1462" s="104" t="s">
        <v>73</v>
      </c>
      <c r="X1462" s="105">
        <f>IF(15&lt;=DAY(DATE(YEAR(설정_코스수당!$K$2),MONTH(설정_코스수당!$K$2)+1,0)),COUNTIFS($B:$B,DATE(YEAR(설정_코스수당!$K$2),MONTH(설정_코스수당!$K$2),15),$G:$G,"&lt;&gt;",$O:$O,"방문완료")+COUNTIFS($B:$B,DATE(YEAR(설정_코스수당!$K$2),MONTH(설정_코스수당!$K$2),15),$H:$H,"&lt;&gt;",$O:$O,"방문완료"),"")</f>
        <v>0</v>
      </c>
    </row>
    <row r="1463" spans="1:24" ht="19.5" hidden="1" customHeight="1" outlineLevel="1">
      <c r="A1463" s="29">
        <v>8</v>
      </c>
      <c r="B1463" s="30">
        <f>IF(15&lt;=DAY(DATE(YEAR(설정_코스수당!$K$2),MONTH(설정_코스수당!$K$2)+1,0)),DATE(YEAR(설정_코스수당!$K$2),MONTH(설정_코스수당!$K$2),15),"")</f>
        <v>46188</v>
      </c>
      <c r="C1463" s="31"/>
      <c r="D1463" s="29"/>
      <c r="E1463" s="29"/>
      <c r="F1463" s="32"/>
      <c r="G1463" s="29"/>
      <c r="H1463" s="29"/>
      <c r="I1463" s="29"/>
      <c r="J1463" s="33">
        <f>IF($O1463="방문완료",MAX(0,IFERROR(VLOOKUP($E1463,설정_코스수당!$A$6:$H$10,4,FALSE),0)-IF(OR($P1463="",$P1463="없음"),0,100000)),0)</f>
        <v>0</v>
      </c>
      <c r="K1463" s="33">
        <f t="array" ref="K1463">IF($O1463="방문완료",IFERROR(INDEX(설정_코스수당!$B$15:$F$64,MATCH($G1463,설정_코스수당!$A$15:$A$64,0),MATCH($E1463&amp;"수당",설정_코스수당!$B$14:$F$14,0)),0),0)</f>
        <v>0</v>
      </c>
      <c r="L1463" s="33">
        <f t="array" ref="L1463">IF($O1463="방문완료",IF($H1463="",0,IFERROR(INDEX(설정_코스수당!$B$15:$F$64,MATCH($H1463,설정_코스수당!$A$15:$A$64,0),MATCH($E1463&amp;"수당",설정_코스수당!$B$14:$F$14,0)),0)),0)</f>
        <v>0</v>
      </c>
      <c r="M1463" s="33">
        <f>IF($O1463="방문완료",IFERROR(VLOOKUP($E1463,설정_코스수당!$A$6:$H$10,6,FALSE),0),0)</f>
        <v>0</v>
      </c>
      <c r="N1463" s="34">
        <f t="shared" si="42"/>
        <v>0</v>
      </c>
      <c r="O1463" s="29"/>
      <c r="P1463" s="29"/>
      <c r="Q1463" s="29"/>
      <c r="R1463" s="32"/>
      <c r="S1463" s="29"/>
      <c r="U1463" s="104" t="s">
        <v>74</v>
      </c>
      <c r="V1463" s="108">
        <f>IF(15&lt;=DAY(DATE(YEAR(설정_코스수당!$K$2),MONTH(설정_코스수당!$K$2)+1,0)),SUM($U$1467:$U$1474),"")</f>
        <v>0</v>
      </c>
      <c r="W1463" s="122" t="str">
        <f>IF(15&lt;=DAY(DATE(YEAR(설정_코스수당!$K$2),MONTH(설정_코스수당!$K$2)+1,0)),"계 : "&amp;TEXT(V1459-V1463,"#,##0")&amp;" 동","")</f>
        <v>계 : 0 동</v>
      </c>
      <c r="X1463" s="122"/>
    </row>
    <row r="1464" spans="1:24" ht="19.5" hidden="1" customHeight="1" outlineLevel="1">
      <c r="A1464" s="23">
        <v>9</v>
      </c>
      <c r="B1464" s="24">
        <f>IF(15&lt;=DAY(DATE(YEAR(설정_코스수당!$K$2),MONTH(설정_코스수당!$K$2)+1,0)),DATE(YEAR(설정_코스수당!$K$2),MONTH(설정_코스수당!$K$2),15),"")</f>
        <v>46188</v>
      </c>
      <c r="C1464" s="25"/>
      <c r="D1464" s="23"/>
      <c r="E1464" s="23"/>
      <c r="F1464" s="26"/>
      <c r="G1464" s="23"/>
      <c r="H1464" s="23"/>
      <c r="I1464" s="23"/>
      <c r="J1464" s="27">
        <f>IF($O1464="방문완료",MAX(0,IFERROR(VLOOKUP($E1464,설정_코스수당!$A$6:$H$10,4,FALSE),0)-IF(OR($P1464="",$P1464="없음"),0,100000)),0)</f>
        <v>0</v>
      </c>
      <c r="K1464" s="27">
        <f t="array" ref="K1464">IF($O1464="방문완료",IFERROR(INDEX(설정_코스수당!$B$15:$F$64,MATCH($G1464,설정_코스수당!$A$15:$A$64,0),MATCH($E1464&amp;"수당",설정_코스수당!$B$14:$F$14,0)),0),0)</f>
        <v>0</v>
      </c>
      <c r="L1464" s="27">
        <f t="array" ref="L1464">IF($O1464="방문완료",IF($H1464="",0,IFERROR(INDEX(설정_코스수당!$B$15:$F$64,MATCH($H1464,설정_코스수당!$A$15:$A$64,0),MATCH($E1464&amp;"수당",설정_코스수당!$B$14:$F$14,0)),0)),0)</f>
        <v>0</v>
      </c>
      <c r="M1464" s="27">
        <f>IF($O1464="방문완료",IFERROR(VLOOKUP($E1464,설정_코스수당!$A$6:$H$10,6,FALSE),0),0)</f>
        <v>0</v>
      </c>
      <c r="N1464" s="28">
        <f t="shared" si="42"/>
        <v>0</v>
      </c>
      <c r="O1464" s="23"/>
      <c r="P1464" s="23"/>
      <c r="Q1464" s="23"/>
      <c r="R1464" s="26"/>
      <c r="S1464" s="23"/>
    </row>
    <row r="1465" spans="1:24" ht="19.5" hidden="1" customHeight="1" outlineLevel="1">
      <c r="A1465" s="29">
        <v>10</v>
      </c>
      <c r="B1465" s="30">
        <f>IF(15&lt;=DAY(DATE(YEAR(설정_코스수당!$K$2),MONTH(설정_코스수당!$K$2)+1,0)),DATE(YEAR(설정_코스수당!$K$2),MONTH(설정_코스수당!$K$2),15),"")</f>
        <v>46188</v>
      </c>
      <c r="C1465" s="31"/>
      <c r="D1465" s="29"/>
      <c r="E1465" s="29"/>
      <c r="F1465" s="32"/>
      <c r="G1465" s="29"/>
      <c r="H1465" s="29"/>
      <c r="I1465" s="29"/>
      <c r="J1465" s="33">
        <f>IF($O1465="방문완료",MAX(0,IFERROR(VLOOKUP($E1465,설정_코스수당!$A$6:$H$10,4,FALSE),0)-IF(OR($P1465="",$P1465="없음"),0,100000)),0)</f>
        <v>0</v>
      </c>
      <c r="K1465" s="33">
        <f t="array" ref="K1465">IF($O1465="방문완료",IFERROR(INDEX(설정_코스수당!$B$15:$F$64,MATCH($G1465,설정_코스수당!$A$15:$A$64,0),MATCH($E1465&amp;"수당",설정_코스수당!$B$14:$F$14,0)),0),0)</f>
        <v>0</v>
      </c>
      <c r="L1465" s="33">
        <f t="array" ref="L1465">IF($O1465="방문완료",IF($H1465="",0,IFERROR(INDEX(설정_코스수당!$B$15:$F$64,MATCH($H1465,설정_코스수당!$A$15:$A$64,0),MATCH($E1465&amp;"수당",설정_코스수당!$B$14:$F$14,0)),0)),0)</f>
        <v>0</v>
      </c>
      <c r="M1465" s="33">
        <f>IF($O1465="방문완료",IFERROR(VLOOKUP($E1465,설정_코스수당!$A$6:$H$10,6,FALSE),0),0)</f>
        <v>0</v>
      </c>
      <c r="N1465" s="34">
        <f t="shared" si="42"/>
        <v>0</v>
      </c>
      <c r="O1465" s="29"/>
      <c r="P1465" s="29"/>
      <c r="Q1465" s="29"/>
      <c r="R1465" s="32"/>
      <c r="S1465" s="29"/>
      <c r="U1465" s="120" t="s">
        <v>75</v>
      </c>
      <c r="V1465" s="121"/>
      <c r="W1465" s="121"/>
      <c r="X1465" s="121"/>
    </row>
    <row r="1466" spans="1:24" ht="19.5" hidden="1" customHeight="1" outlineLevel="1">
      <c r="A1466" s="23">
        <v>11</v>
      </c>
      <c r="B1466" s="24">
        <f>IF(15&lt;=DAY(DATE(YEAR(설정_코스수당!$K$2),MONTH(설정_코스수당!$K$2)+1,0)),DATE(YEAR(설정_코스수당!$K$2),MONTH(설정_코스수당!$K$2),15),"")</f>
        <v>46188</v>
      </c>
      <c r="C1466" s="25"/>
      <c r="D1466" s="23"/>
      <c r="E1466" s="23"/>
      <c r="F1466" s="26"/>
      <c r="G1466" s="23"/>
      <c r="H1466" s="23"/>
      <c r="I1466" s="23"/>
      <c r="J1466" s="27">
        <f>IF($O1466="방문완료",MAX(0,IFERROR(VLOOKUP($E1466,설정_코스수당!$A$6:$H$10,4,FALSE),0)-IF(OR($P1466="",$P1466="없음"),0,100000)),0)</f>
        <v>0</v>
      </c>
      <c r="K1466" s="27">
        <f t="array" ref="K1466">IF($O1466="방문완료",IFERROR(INDEX(설정_코스수당!$B$15:$F$64,MATCH($G1466,설정_코스수당!$A$15:$A$64,0),MATCH($E1466&amp;"수당",설정_코스수당!$B$14:$F$14,0)),0),0)</f>
        <v>0</v>
      </c>
      <c r="L1466" s="27">
        <f t="array" ref="L1466">IF($O1466="방문완료",IF($H1466="",0,IFERROR(INDEX(설정_코스수당!$B$15:$F$64,MATCH($H1466,설정_코스수당!$A$15:$A$64,0),MATCH($E1466&amp;"수당",설정_코스수당!$B$14:$F$14,0)),0)),0)</f>
        <v>0</v>
      </c>
      <c r="M1466" s="27">
        <f>IF($O1466="방문완료",IFERROR(VLOOKUP($E1466,설정_코스수당!$A$6:$H$10,6,FALSE),0),0)</f>
        <v>0</v>
      </c>
      <c r="N1466" s="28">
        <f t="shared" si="42"/>
        <v>0</v>
      </c>
      <c r="O1466" s="23"/>
      <c r="P1466" s="23"/>
      <c r="Q1466" s="23"/>
      <c r="R1466" s="26"/>
      <c r="S1466" s="23"/>
      <c r="U1466" s="109" t="s">
        <v>76</v>
      </c>
      <c r="V1466" s="109" t="s">
        <v>77</v>
      </c>
      <c r="W1466" s="109" t="s">
        <v>78</v>
      </c>
      <c r="X1466" s="109" t="s">
        <v>58</v>
      </c>
    </row>
    <row r="1467" spans="1:24" ht="19.5" hidden="1" customHeight="1" outlineLevel="1">
      <c r="A1467" s="29">
        <v>12</v>
      </c>
      <c r="B1467" s="30">
        <f>IF(15&lt;=DAY(DATE(YEAR(설정_코스수당!$K$2),MONTH(설정_코스수당!$K$2)+1,0)),DATE(YEAR(설정_코스수당!$K$2),MONTH(설정_코스수당!$K$2),15),"")</f>
        <v>46188</v>
      </c>
      <c r="C1467" s="31"/>
      <c r="D1467" s="29"/>
      <c r="E1467" s="29"/>
      <c r="F1467" s="32"/>
      <c r="G1467" s="29"/>
      <c r="H1467" s="29"/>
      <c r="I1467" s="29"/>
      <c r="J1467" s="33">
        <f>IF($O1467="방문완료",MAX(0,IFERROR(VLOOKUP($E1467,설정_코스수당!$A$6:$H$10,4,FALSE),0)-IF(OR($P1467="",$P1467="없음"),0,100000)),0)</f>
        <v>0</v>
      </c>
      <c r="K1467" s="33">
        <f t="array" ref="K1467">IF($O1467="방문완료",IFERROR(INDEX(설정_코스수당!$B$15:$F$64,MATCH($G1467,설정_코스수당!$A$15:$A$64,0),MATCH($E1467&amp;"수당",설정_코스수당!$B$14:$F$14,0)),0),0)</f>
        <v>0</v>
      </c>
      <c r="L1467" s="33">
        <f t="array" ref="L1467">IF($O1467="방문완료",IF($H1467="",0,IFERROR(INDEX(설정_코스수당!$B$15:$F$64,MATCH($H1467,설정_코스수당!$A$15:$A$64,0),MATCH($E1467&amp;"수당",설정_코스수당!$B$14:$F$14,0)),0)),0)</f>
        <v>0</v>
      </c>
      <c r="M1467" s="33">
        <f>IF($O1467="방문완료",IFERROR(VLOOKUP($E1467,설정_코스수당!$A$6:$H$10,6,FALSE),0),0)</f>
        <v>0</v>
      </c>
      <c r="N1467" s="34">
        <f t="shared" si="42"/>
        <v>0</v>
      </c>
      <c r="O1467" s="29"/>
      <c r="P1467" s="29"/>
      <c r="Q1467" s="29"/>
      <c r="R1467" s="32"/>
      <c r="S1467" s="29"/>
      <c r="U1467" s="113"/>
      <c r="V1467" s="111"/>
      <c r="W1467" s="112"/>
      <c r="X1467" s="111"/>
    </row>
    <row r="1468" spans="1:24" ht="19.5" hidden="1" customHeight="1" outlineLevel="1">
      <c r="A1468" s="23">
        <v>13</v>
      </c>
      <c r="B1468" s="24">
        <f>IF(15&lt;=DAY(DATE(YEAR(설정_코스수당!$K$2),MONTH(설정_코스수당!$K$2)+1,0)),DATE(YEAR(설정_코스수당!$K$2),MONTH(설정_코스수당!$K$2),15),"")</f>
        <v>46188</v>
      </c>
      <c r="C1468" s="25"/>
      <c r="D1468" s="23"/>
      <c r="E1468" s="23"/>
      <c r="F1468" s="26"/>
      <c r="G1468" s="23"/>
      <c r="H1468" s="23"/>
      <c r="I1468" s="23"/>
      <c r="J1468" s="27">
        <f>IF($O1468="방문완료",MAX(0,IFERROR(VLOOKUP($E1468,설정_코스수당!$A$6:$H$10,4,FALSE),0)-IF(OR($P1468="",$P1468="없음"),0,100000)),0)</f>
        <v>0</v>
      </c>
      <c r="K1468" s="27">
        <f t="array" ref="K1468">IF($O1468="방문완료",IFERROR(INDEX(설정_코스수당!$B$15:$F$64,MATCH($G1468,설정_코스수당!$A$15:$A$64,0),MATCH($E1468&amp;"수당",설정_코스수당!$B$14:$F$14,0)),0),0)</f>
        <v>0</v>
      </c>
      <c r="L1468" s="27">
        <f t="array" ref="L1468">IF($O1468="방문완료",IF($H1468="",0,IFERROR(INDEX(설정_코스수당!$B$15:$F$64,MATCH($H1468,설정_코스수당!$A$15:$A$64,0),MATCH($E1468&amp;"수당",설정_코스수당!$B$14:$F$14,0)),0)),0)</f>
        <v>0</v>
      </c>
      <c r="M1468" s="27">
        <f>IF($O1468="방문완료",IFERROR(VLOOKUP($E1468,설정_코스수당!$A$6:$H$10,6,FALSE),0),0)</f>
        <v>0</v>
      </c>
      <c r="N1468" s="28">
        <f t="shared" si="42"/>
        <v>0</v>
      </c>
      <c r="O1468" s="23"/>
      <c r="P1468" s="23"/>
      <c r="Q1468" s="23"/>
      <c r="R1468" s="26"/>
      <c r="S1468" s="23"/>
      <c r="U1468" s="113"/>
      <c r="V1468" s="111"/>
      <c r="W1468" s="112"/>
      <c r="X1468" s="111"/>
    </row>
    <row r="1469" spans="1:24" ht="19.5" hidden="1" customHeight="1" outlineLevel="1">
      <c r="A1469" s="29">
        <v>14</v>
      </c>
      <c r="B1469" s="30">
        <f>IF(15&lt;=DAY(DATE(YEAR(설정_코스수당!$K$2),MONTH(설정_코스수당!$K$2)+1,0)),DATE(YEAR(설정_코스수당!$K$2),MONTH(설정_코스수당!$K$2),15),"")</f>
        <v>46188</v>
      </c>
      <c r="C1469" s="31"/>
      <c r="D1469" s="29"/>
      <c r="E1469" s="29"/>
      <c r="F1469" s="32"/>
      <c r="G1469" s="29"/>
      <c r="H1469" s="29"/>
      <c r="I1469" s="29"/>
      <c r="J1469" s="33">
        <f>IF($O1469="방문완료",MAX(0,IFERROR(VLOOKUP($E1469,설정_코스수당!$A$6:$H$10,4,FALSE),0)-IF(OR($P1469="",$P1469="없음"),0,100000)),0)</f>
        <v>0</v>
      </c>
      <c r="K1469" s="33">
        <f t="array" ref="K1469">IF($O1469="방문완료",IFERROR(INDEX(설정_코스수당!$B$15:$F$64,MATCH($G1469,설정_코스수당!$A$15:$A$64,0),MATCH($E1469&amp;"수당",설정_코스수당!$B$14:$F$14,0)),0),0)</f>
        <v>0</v>
      </c>
      <c r="L1469" s="33">
        <f t="array" ref="L1469">IF($O1469="방문완료",IF($H1469="",0,IFERROR(INDEX(설정_코스수당!$B$15:$F$64,MATCH($H1469,설정_코스수당!$A$15:$A$64,0),MATCH($E1469&amp;"수당",설정_코스수당!$B$14:$F$14,0)),0)),0)</f>
        <v>0</v>
      </c>
      <c r="M1469" s="33">
        <f>IF($O1469="방문완료",IFERROR(VLOOKUP($E1469,설정_코스수당!$A$6:$H$10,6,FALSE),0),0)</f>
        <v>0</v>
      </c>
      <c r="N1469" s="34">
        <f t="shared" si="42"/>
        <v>0</v>
      </c>
      <c r="O1469" s="29"/>
      <c r="P1469" s="29"/>
      <c r="Q1469" s="29"/>
      <c r="R1469" s="32"/>
      <c r="S1469" s="29"/>
      <c r="U1469" s="113"/>
      <c r="V1469" s="111"/>
      <c r="W1469" s="112"/>
      <c r="X1469" s="111"/>
    </row>
    <row r="1470" spans="1:24" ht="19.5" hidden="1" customHeight="1" outlineLevel="1">
      <c r="A1470" s="23">
        <v>15</v>
      </c>
      <c r="B1470" s="24">
        <f>IF(15&lt;=DAY(DATE(YEAR(설정_코스수당!$K$2),MONTH(설정_코스수당!$K$2)+1,0)),DATE(YEAR(설정_코스수당!$K$2),MONTH(설정_코스수당!$K$2),15),"")</f>
        <v>46188</v>
      </c>
      <c r="C1470" s="25"/>
      <c r="D1470" s="23"/>
      <c r="E1470" s="23"/>
      <c r="F1470" s="26"/>
      <c r="G1470" s="23"/>
      <c r="H1470" s="23"/>
      <c r="I1470" s="23"/>
      <c r="J1470" s="27">
        <f>IF($O1470="방문완료",MAX(0,IFERROR(VLOOKUP($E1470,설정_코스수당!$A$6:$H$10,4,FALSE),0)-IF(OR($P1470="",$P1470="없음"),0,100000)),0)</f>
        <v>0</v>
      </c>
      <c r="K1470" s="27">
        <f t="array" ref="K1470">IF($O1470="방문완료",IFERROR(INDEX(설정_코스수당!$B$15:$F$64,MATCH($G1470,설정_코스수당!$A$15:$A$64,0),MATCH($E1470&amp;"수당",설정_코스수당!$B$14:$F$14,0)),0),0)</f>
        <v>0</v>
      </c>
      <c r="L1470" s="27">
        <f t="array" ref="L1470">IF($O1470="방문완료",IF($H1470="",0,IFERROR(INDEX(설정_코스수당!$B$15:$F$64,MATCH($H1470,설정_코스수당!$A$15:$A$64,0),MATCH($E1470&amp;"수당",설정_코스수당!$B$14:$F$14,0)),0)),0)</f>
        <v>0</v>
      </c>
      <c r="M1470" s="27">
        <f>IF($O1470="방문완료",IFERROR(VLOOKUP($E1470,설정_코스수당!$A$6:$H$10,6,FALSE),0),0)</f>
        <v>0</v>
      </c>
      <c r="N1470" s="28">
        <f t="shared" si="42"/>
        <v>0</v>
      </c>
      <c r="O1470" s="23"/>
      <c r="P1470" s="23"/>
      <c r="Q1470" s="23"/>
      <c r="R1470" s="26"/>
      <c r="S1470" s="23"/>
      <c r="U1470" s="113"/>
      <c r="V1470" s="111"/>
      <c r="W1470" s="112"/>
      <c r="X1470" s="111"/>
    </row>
    <row r="1471" spans="1:24" ht="19.5" hidden="1" customHeight="1" outlineLevel="1">
      <c r="A1471" s="29">
        <v>16</v>
      </c>
      <c r="B1471" s="30">
        <f>IF(15&lt;=DAY(DATE(YEAR(설정_코스수당!$K$2),MONTH(설정_코스수당!$K$2)+1,0)),DATE(YEAR(설정_코스수당!$K$2),MONTH(설정_코스수당!$K$2),15),"")</f>
        <v>46188</v>
      </c>
      <c r="C1471" s="31"/>
      <c r="D1471" s="29"/>
      <c r="E1471" s="29"/>
      <c r="F1471" s="32"/>
      <c r="G1471" s="29"/>
      <c r="H1471" s="29"/>
      <c r="I1471" s="29"/>
      <c r="J1471" s="33">
        <f>IF($O1471="방문완료",MAX(0,IFERROR(VLOOKUP($E1471,설정_코스수당!$A$6:$H$10,4,FALSE),0)-IF(OR($P1471="",$P1471="없음"),0,100000)),0)</f>
        <v>0</v>
      </c>
      <c r="K1471" s="33">
        <f t="array" ref="K1471">IF($O1471="방문완료",IFERROR(INDEX(설정_코스수당!$B$15:$F$64,MATCH($G1471,설정_코스수당!$A$15:$A$64,0),MATCH($E1471&amp;"수당",설정_코스수당!$B$14:$F$14,0)),0),0)</f>
        <v>0</v>
      </c>
      <c r="L1471" s="33">
        <f t="array" ref="L1471">IF($O1471="방문완료",IF($H1471="",0,IFERROR(INDEX(설정_코스수당!$B$15:$F$64,MATCH($H1471,설정_코스수당!$A$15:$A$64,0),MATCH($E1471&amp;"수당",설정_코스수당!$B$14:$F$14,0)),0)),0)</f>
        <v>0</v>
      </c>
      <c r="M1471" s="33">
        <f>IF($O1471="방문완료",IFERROR(VLOOKUP($E1471,설정_코스수당!$A$6:$H$10,6,FALSE),0),0)</f>
        <v>0</v>
      </c>
      <c r="N1471" s="34">
        <f t="shared" si="42"/>
        <v>0</v>
      </c>
      <c r="O1471" s="29"/>
      <c r="P1471" s="29"/>
      <c r="Q1471" s="29"/>
      <c r="R1471" s="32"/>
      <c r="S1471" s="29"/>
      <c r="U1471" s="113"/>
      <c r="V1471" s="111"/>
      <c r="W1471" s="112"/>
      <c r="X1471" s="111"/>
    </row>
    <row r="1472" spans="1:24" ht="19.5" hidden="1" customHeight="1" outlineLevel="1">
      <c r="A1472" s="23">
        <v>17</v>
      </c>
      <c r="B1472" s="24">
        <f>IF(15&lt;=DAY(DATE(YEAR(설정_코스수당!$K$2),MONTH(설정_코스수당!$K$2)+1,0)),DATE(YEAR(설정_코스수당!$K$2),MONTH(설정_코스수당!$K$2),15),"")</f>
        <v>46188</v>
      </c>
      <c r="C1472" s="25"/>
      <c r="D1472" s="23"/>
      <c r="E1472" s="23"/>
      <c r="F1472" s="26"/>
      <c r="G1472" s="23"/>
      <c r="H1472" s="23"/>
      <c r="I1472" s="23"/>
      <c r="J1472" s="27">
        <f>IF($O1472="방문완료",MAX(0,IFERROR(VLOOKUP($E1472,설정_코스수당!$A$6:$H$10,4,FALSE),0)-IF(OR($P1472="",$P1472="없음"),0,100000)),0)</f>
        <v>0</v>
      </c>
      <c r="K1472" s="27">
        <f t="array" ref="K1472">IF($O1472="방문완료",IFERROR(INDEX(설정_코스수당!$B$15:$F$64,MATCH($G1472,설정_코스수당!$A$15:$A$64,0),MATCH($E1472&amp;"수당",설정_코스수당!$B$14:$F$14,0)),0),0)</f>
        <v>0</v>
      </c>
      <c r="L1472" s="27">
        <f t="array" ref="L1472">IF($O1472="방문완료",IF($H1472="",0,IFERROR(INDEX(설정_코스수당!$B$15:$F$64,MATCH($H1472,설정_코스수당!$A$15:$A$64,0),MATCH($E1472&amp;"수당",설정_코스수당!$B$14:$F$14,0)),0)),0)</f>
        <v>0</v>
      </c>
      <c r="M1472" s="27">
        <f>IF($O1472="방문완료",IFERROR(VLOOKUP($E1472,설정_코스수당!$A$6:$H$10,6,FALSE),0),0)</f>
        <v>0</v>
      </c>
      <c r="N1472" s="28">
        <f t="shared" si="42"/>
        <v>0</v>
      </c>
      <c r="O1472" s="23"/>
      <c r="P1472" s="23"/>
      <c r="Q1472" s="23"/>
      <c r="R1472" s="26"/>
      <c r="S1472" s="23"/>
      <c r="U1472" s="113"/>
      <c r="V1472" s="111"/>
      <c r="W1472" s="112"/>
      <c r="X1472" s="111"/>
    </row>
    <row r="1473" spans="1:24" ht="19.5" hidden="1" customHeight="1" outlineLevel="1">
      <c r="A1473" s="29">
        <v>18</v>
      </c>
      <c r="B1473" s="30">
        <f>IF(15&lt;=DAY(DATE(YEAR(설정_코스수당!$K$2),MONTH(설정_코스수당!$K$2)+1,0)),DATE(YEAR(설정_코스수당!$K$2),MONTH(설정_코스수당!$K$2),15),"")</f>
        <v>46188</v>
      </c>
      <c r="C1473" s="31"/>
      <c r="D1473" s="29"/>
      <c r="E1473" s="29"/>
      <c r="F1473" s="32"/>
      <c r="G1473" s="29"/>
      <c r="H1473" s="29"/>
      <c r="I1473" s="29"/>
      <c r="J1473" s="33">
        <f>IF($O1473="방문완료",MAX(0,IFERROR(VLOOKUP($E1473,설정_코스수당!$A$6:$H$10,4,FALSE),0)-IF(OR($P1473="",$P1473="없음"),0,100000)),0)</f>
        <v>0</v>
      </c>
      <c r="K1473" s="33">
        <f t="array" ref="K1473">IF($O1473="방문완료",IFERROR(INDEX(설정_코스수당!$B$15:$F$64,MATCH($G1473,설정_코스수당!$A$15:$A$64,0),MATCH($E1473&amp;"수당",설정_코스수당!$B$14:$F$14,0)),0),0)</f>
        <v>0</v>
      </c>
      <c r="L1473" s="33">
        <f t="array" ref="L1473">IF($O1473="방문완료",IF($H1473="",0,IFERROR(INDEX(설정_코스수당!$B$15:$F$64,MATCH($H1473,설정_코스수당!$A$15:$A$64,0),MATCH($E1473&amp;"수당",설정_코스수당!$B$14:$F$14,0)),0)),0)</f>
        <v>0</v>
      </c>
      <c r="M1473" s="33">
        <f>IF($O1473="방문완료",IFERROR(VLOOKUP($E1473,설정_코스수당!$A$6:$H$10,6,FALSE),0),0)</f>
        <v>0</v>
      </c>
      <c r="N1473" s="34">
        <f t="shared" si="42"/>
        <v>0</v>
      </c>
      <c r="O1473" s="29"/>
      <c r="P1473" s="29"/>
      <c r="Q1473" s="29"/>
      <c r="R1473" s="32"/>
      <c r="S1473" s="29"/>
      <c r="U1473" s="113"/>
      <c r="V1473" s="111"/>
      <c r="W1473" s="112"/>
      <c r="X1473" s="111"/>
    </row>
    <row r="1474" spans="1:24" ht="19.5" hidden="1" customHeight="1" outlineLevel="1">
      <c r="A1474" s="23">
        <v>19</v>
      </c>
      <c r="B1474" s="24">
        <f>IF(15&lt;=DAY(DATE(YEAR(설정_코스수당!$K$2),MONTH(설정_코스수당!$K$2)+1,0)),DATE(YEAR(설정_코스수당!$K$2),MONTH(설정_코스수당!$K$2),15),"")</f>
        <v>46188</v>
      </c>
      <c r="C1474" s="25"/>
      <c r="D1474" s="23"/>
      <c r="E1474" s="23"/>
      <c r="F1474" s="26"/>
      <c r="G1474" s="23"/>
      <c r="H1474" s="23"/>
      <c r="I1474" s="23"/>
      <c r="J1474" s="27">
        <f>IF($O1474="방문완료",MAX(0,IFERROR(VLOOKUP($E1474,설정_코스수당!$A$6:$H$10,4,FALSE),0)-IF(OR($P1474="",$P1474="없음"),0,100000)),0)</f>
        <v>0</v>
      </c>
      <c r="K1474" s="27">
        <f t="array" ref="K1474">IF($O1474="방문완료",IFERROR(INDEX(설정_코스수당!$B$15:$F$64,MATCH($G1474,설정_코스수당!$A$15:$A$64,0),MATCH($E1474&amp;"수당",설정_코스수당!$B$14:$F$14,0)),0),0)</f>
        <v>0</v>
      </c>
      <c r="L1474" s="27">
        <f t="array" ref="L1474">IF($O1474="방문완료",IF($H1474="",0,IFERROR(INDEX(설정_코스수당!$B$15:$F$64,MATCH($H1474,설정_코스수당!$A$15:$A$64,0),MATCH($E1474&amp;"수당",설정_코스수당!$B$14:$F$14,0)),0)),0)</f>
        <v>0</v>
      </c>
      <c r="M1474" s="27">
        <f>IF($O1474="방문완료",IFERROR(VLOOKUP($E1474,설정_코스수당!$A$6:$H$10,6,FALSE),0),0)</f>
        <v>0</v>
      </c>
      <c r="N1474" s="28">
        <f t="shared" si="42"/>
        <v>0</v>
      </c>
      <c r="O1474" s="23"/>
      <c r="P1474" s="23"/>
      <c r="Q1474" s="23"/>
      <c r="R1474" s="26"/>
      <c r="S1474" s="23"/>
      <c r="U1474" s="113"/>
      <c r="V1474" s="111"/>
      <c r="W1474" s="112"/>
      <c r="X1474" s="111"/>
    </row>
    <row r="1475" spans="1:24" ht="19.5" hidden="1" customHeight="1" outlineLevel="1">
      <c r="A1475" s="29">
        <v>20</v>
      </c>
      <c r="B1475" s="30">
        <f>IF(15&lt;=DAY(DATE(YEAR(설정_코스수당!$K$2),MONTH(설정_코스수당!$K$2)+1,0)),DATE(YEAR(설정_코스수당!$K$2),MONTH(설정_코스수당!$K$2),15),"")</f>
        <v>46188</v>
      </c>
      <c r="C1475" s="31"/>
      <c r="D1475" s="29"/>
      <c r="E1475" s="29"/>
      <c r="F1475" s="32"/>
      <c r="G1475" s="29"/>
      <c r="H1475" s="29"/>
      <c r="I1475" s="29"/>
      <c r="J1475" s="33">
        <f>IF($O1475="방문완료",MAX(0,IFERROR(VLOOKUP($E1475,설정_코스수당!$A$6:$H$10,4,FALSE),0)-IF(OR($P1475="",$P1475="없음"),0,100000)),0)</f>
        <v>0</v>
      </c>
      <c r="K1475" s="33">
        <f t="array" ref="K1475">IF($O1475="방문완료",IFERROR(INDEX(설정_코스수당!$B$15:$F$64,MATCH($G1475,설정_코스수당!$A$15:$A$64,0),MATCH($E1475&amp;"수당",설정_코스수당!$B$14:$F$14,0)),0),0)</f>
        <v>0</v>
      </c>
      <c r="L1475" s="33">
        <f t="array" ref="L1475">IF($O1475="방문완료",IF($H1475="",0,IFERROR(INDEX(설정_코스수당!$B$15:$F$64,MATCH($H1475,설정_코스수당!$A$15:$A$64,0),MATCH($E1475&amp;"수당",설정_코스수당!$B$14:$F$14,0)),0)),0)</f>
        <v>0</v>
      </c>
      <c r="M1475" s="33">
        <f>IF($O1475="방문완료",IFERROR(VLOOKUP($E1475,설정_코스수당!$A$6:$H$10,6,FALSE),0),0)</f>
        <v>0</v>
      </c>
      <c r="N1475" s="34">
        <f t="shared" si="42"/>
        <v>0</v>
      </c>
      <c r="O1475" s="29"/>
      <c r="P1475" s="29"/>
      <c r="Q1475" s="29"/>
      <c r="R1475" s="32"/>
      <c r="S1475" s="29"/>
    </row>
    <row r="1476" spans="1:24" ht="19.5" hidden="1" customHeight="1" outlineLevel="1">
      <c r="A1476" s="23">
        <v>21</v>
      </c>
      <c r="B1476" s="24">
        <f>IF(15&lt;=DAY(DATE(YEAR(설정_코스수당!$K$2),MONTH(설정_코스수당!$K$2)+1,0)),DATE(YEAR(설정_코스수당!$K$2),MONTH(설정_코스수당!$K$2),15),"")</f>
        <v>46188</v>
      </c>
      <c r="C1476" s="25"/>
      <c r="D1476" s="23"/>
      <c r="E1476" s="23"/>
      <c r="F1476" s="26"/>
      <c r="G1476" s="23"/>
      <c r="H1476" s="23"/>
      <c r="I1476" s="23"/>
      <c r="J1476" s="27">
        <f>IF($O1476="방문완료",MAX(0,IFERROR(VLOOKUP($E1476,설정_코스수당!$A$6:$H$10,4,FALSE),0)-IF(OR($P1476="",$P1476="없음"),0,100000)),0)</f>
        <v>0</v>
      </c>
      <c r="K1476" s="27">
        <f t="array" ref="K1476">IF($O1476="방문완료",IFERROR(INDEX(설정_코스수당!$B$15:$F$64,MATCH($G1476,설정_코스수당!$A$15:$A$64,0),MATCH($E1476&amp;"수당",설정_코스수당!$B$14:$F$14,0)),0),0)</f>
        <v>0</v>
      </c>
      <c r="L1476" s="27">
        <f t="array" ref="L1476">IF($O1476="방문완료",IF($H1476="",0,IFERROR(INDEX(설정_코스수당!$B$15:$F$64,MATCH($H1476,설정_코스수당!$A$15:$A$64,0),MATCH($E1476&amp;"수당",설정_코스수당!$B$14:$F$14,0)),0)),0)</f>
        <v>0</v>
      </c>
      <c r="M1476" s="27">
        <f>IF($O1476="방문완료",IFERROR(VLOOKUP($E1476,설정_코스수당!$A$6:$H$10,6,FALSE),0),0)</f>
        <v>0</v>
      </c>
      <c r="N1476" s="28">
        <f t="shared" si="42"/>
        <v>0</v>
      </c>
      <c r="O1476" s="23"/>
      <c r="P1476" s="23"/>
      <c r="Q1476" s="23"/>
      <c r="R1476" s="26"/>
      <c r="S1476" s="23"/>
    </row>
    <row r="1477" spans="1:24" ht="19.5" hidden="1" customHeight="1" outlineLevel="1">
      <c r="A1477" s="29">
        <v>22</v>
      </c>
      <c r="B1477" s="30">
        <f>IF(15&lt;=DAY(DATE(YEAR(설정_코스수당!$K$2),MONTH(설정_코스수당!$K$2)+1,0)),DATE(YEAR(설정_코스수당!$K$2),MONTH(설정_코스수당!$K$2),15),"")</f>
        <v>46188</v>
      </c>
      <c r="C1477" s="31"/>
      <c r="D1477" s="29"/>
      <c r="E1477" s="29"/>
      <c r="F1477" s="32"/>
      <c r="G1477" s="29"/>
      <c r="H1477" s="29"/>
      <c r="I1477" s="29"/>
      <c r="J1477" s="33">
        <f>IF($O1477="방문완료",MAX(0,IFERROR(VLOOKUP($E1477,설정_코스수당!$A$6:$H$10,4,FALSE),0)-IF(OR($P1477="",$P1477="없음"),0,100000)),0)</f>
        <v>0</v>
      </c>
      <c r="K1477" s="33">
        <f t="array" ref="K1477">IF($O1477="방문완료",IFERROR(INDEX(설정_코스수당!$B$15:$F$64,MATCH($G1477,설정_코스수당!$A$15:$A$64,0),MATCH($E1477&amp;"수당",설정_코스수당!$B$14:$F$14,0)),0),0)</f>
        <v>0</v>
      </c>
      <c r="L1477" s="33">
        <f t="array" ref="L1477">IF($O1477="방문완료",IF($H1477="",0,IFERROR(INDEX(설정_코스수당!$B$15:$F$64,MATCH($H1477,설정_코스수당!$A$15:$A$64,0),MATCH($E1477&amp;"수당",설정_코스수당!$B$14:$F$14,0)),0)),0)</f>
        <v>0</v>
      </c>
      <c r="M1477" s="33">
        <f>IF($O1477="방문완료",IFERROR(VLOOKUP($E1477,설정_코스수당!$A$6:$H$10,6,FALSE),0),0)</f>
        <v>0</v>
      </c>
      <c r="N1477" s="34">
        <f t="shared" si="42"/>
        <v>0</v>
      </c>
      <c r="O1477" s="29"/>
      <c r="P1477" s="29"/>
      <c r="Q1477" s="29"/>
      <c r="R1477" s="32"/>
      <c r="S1477" s="29"/>
    </row>
    <row r="1478" spans="1:24" ht="19.5" hidden="1" customHeight="1" outlineLevel="1">
      <c r="A1478" s="23">
        <v>23</v>
      </c>
      <c r="B1478" s="24">
        <f>IF(15&lt;=DAY(DATE(YEAR(설정_코스수당!$K$2),MONTH(설정_코스수당!$K$2)+1,0)),DATE(YEAR(설정_코스수당!$K$2),MONTH(설정_코스수당!$K$2),15),"")</f>
        <v>46188</v>
      </c>
      <c r="C1478" s="25"/>
      <c r="D1478" s="23"/>
      <c r="E1478" s="23"/>
      <c r="F1478" s="26"/>
      <c r="G1478" s="23"/>
      <c r="H1478" s="23"/>
      <c r="I1478" s="23"/>
      <c r="J1478" s="27">
        <f>IF($O1478="방문완료",MAX(0,IFERROR(VLOOKUP($E1478,설정_코스수당!$A$6:$H$10,4,FALSE),0)-IF(OR($P1478="",$P1478="없음"),0,100000)),0)</f>
        <v>0</v>
      </c>
      <c r="K1478" s="27">
        <f t="array" ref="K1478">IF($O1478="방문완료",IFERROR(INDEX(설정_코스수당!$B$15:$F$64,MATCH($G1478,설정_코스수당!$A$15:$A$64,0),MATCH($E1478&amp;"수당",설정_코스수당!$B$14:$F$14,0)),0),0)</f>
        <v>0</v>
      </c>
      <c r="L1478" s="27">
        <f t="array" ref="L1478">IF($O1478="방문완료",IF($H1478="",0,IFERROR(INDEX(설정_코스수당!$B$15:$F$64,MATCH($H1478,설정_코스수당!$A$15:$A$64,0),MATCH($E1478&amp;"수당",설정_코스수당!$B$14:$F$14,0)),0)),0)</f>
        <v>0</v>
      </c>
      <c r="M1478" s="27">
        <f>IF($O1478="방문완료",IFERROR(VLOOKUP($E1478,설정_코스수당!$A$6:$H$10,6,FALSE),0),0)</f>
        <v>0</v>
      </c>
      <c r="N1478" s="28">
        <f t="shared" si="42"/>
        <v>0</v>
      </c>
      <c r="O1478" s="23"/>
      <c r="P1478" s="23"/>
      <c r="Q1478" s="23"/>
      <c r="R1478" s="26"/>
      <c r="S1478" s="23"/>
    </row>
    <row r="1479" spans="1:24" ht="19.5" hidden="1" customHeight="1" outlineLevel="1">
      <c r="A1479" s="29">
        <v>24</v>
      </c>
      <c r="B1479" s="30">
        <f>IF(15&lt;=DAY(DATE(YEAR(설정_코스수당!$K$2),MONTH(설정_코스수당!$K$2)+1,0)),DATE(YEAR(설정_코스수당!$K$2),MONTH(설정_코스수당!$K$2),15),"")</f>
        <v>46188</v>
      </c>
      <c r="C1479" s="31"/>
      <c r="D1479" s="29"/>
      <c r="E1479" s="29"/>
      <c r="F1479" s="32"/>
      <c r="G1479" s="29"/>
      <c r="H1479" s="29"/>
      <c r="I1479" s="29"/>
      <c r="J1479" s="33">
        <f>IF($O1479="방문완료",MAX(0,IFERROR(VLOOKUP($E1479,설정_코스수당!$A$6:$H$10,4,FALSE),0)-IF(OR($P1479="",$P1479="없음"),0,100000)),0)</f>
        <v>0</v>
      </c>
      <c r="K1479" s="33">
        <f t="array" ref="K1479">IF($O1479="방문완료",IFERROR(INDEX(설정_코스수당!$B$15:$F$64,MATCH($G1479,설정_코스수당!$A$15:$A$64,0),MATCH($E1479&amp;"수당",설정_코스수당!$B$14:$F$14,0)),0),0)</f>
        <v>0</v>
      </c>
      <c r="L1479" s="33">
        <f t="array" ref="L1479">IF($O1479="방문완료",IF($H1479="",0,IFERROR(INDEX(설정_코스수당!$B$15:$F$64,MATCH($H1479,설정_코스수당!$A$15:$A$64,0),MATCH($E1479&amp;"수당",설정_코스수당!$B$14:$F$14,0)),0)),0)</f>
        <v>0</v>
      </c>
      <c r="M1479" s="33">
        <f>IF($O1479="방문완료",IFERROR(VLOOKUP($E1479,설정_코스수당!$A$6:$H$10,6,FALSE),0),0)</f>
        <v>0</v>
      </c>
      <c r="N1479" s="34">
        <f t="shared" si="42"/>
        <v>0</v>
      </c>
      <c r="O1479" s="29"/>
      <c r="P1479" s="29"/>
      <c r="Q1479" s="29"/>
      <c r="R1479" s="32"/>
      <c r="S1479" s="29"/>
    </row>
    <row r="1480" spans="1:24" ht="19.5" hidden="1" customHeight="1" outlineLevel="1">
      <c r="A1480" s="23">
        <v>25</v>
      </c>
      <c r="B1480" s="24">
        <f>IF(15&lt;=DAY(DATE(YEAR(설정_코스수당!$K$2),MONTH(설정_코스수당!$K$2)+1,0)),DATE(YEAR(설정_코스수당!$K$2),MONTH(설정_코스수당!$K$2),15),"")</f>
        <v>46188</v>
      </c>
      <c r="C1480" s="25"/>
      <c r="D1480" s="23"/>
      <c r="E1480" s="23"/>
      <c r="F1480" s="26"/>
      <c r="G1480" s="23"/>
      <c r="H1480" s="23"/>
      <c r="I1480" s="23"/>
      <c r="J1480" s="27">
        <f>IF($O1480="방문완료",MAX(0,IFERROR(VLOOKUP($E1480,설정_코스수당!$A$6:$H$10,4,FALSE),0)-IF(OR($P1480="",$P1480="없음"),0,100000)),0)</f>
        <v>0</v>
      </c>
      <c r="K1480" s="27">
        <f t="array" ref="K1480">IF($O1480="방문완료",IFERROR(INDEX(설정_코스수당!$B$15:$F$64,MATCH($G1480,설정_코스수당!$A$15:$A$64,0),MATCH($E1480&amp;"수당",설정_코스수당!$B$14:$F$14,0)),0),0)</f>
        <v>0</v>
      </c>
      <c r="L1480" s="27">
        <f t="array" ref="L1480">IF($O1480="방문완료",IF($H1480="",0,IFERROR(INDEX(설정_코스수당!$B$15:$F$64,MATCH($H1480,설정_코스수당!$A$15:$A$64,0),MATCH($E1480&amp;"수당",설정_코스수당!$B$14:$F$14,0)),0)),0)</f>
        <v>0</v>
      </c>
      <c r="M1480" s="27">
        <f>IF($O1480="방문완료",IFERROR(VLOOKUP($E1480,설정_코스수당!$A$6:$H$10,6,FALSE),0),0)</f>
        <v>0</v>
      </c>
      <c r="N1480" s="28">
        <f t="shared" si="42"/>
        <v>0</v>
      </c>
      <c r="O1480" s="23"/>
      <c r="P1480" s="23"/>
      <c r="Q1480" s="23"/>
      <c r="R1480" s="26"/>
      <c r="S1480" s="23"/>
    </row>
    <row r="1481" spans="1:24" ht="19.5" hidden="1" customHeight="1" outlineLevel="1">
      <c r="A1481" s="29">
        <v>26</v>
      </c>
      <c r="B1481" s="30">
        <f>IF(15&lt;=DAY(DATE(YEAR(설정_코스수당!$K$2),MONTH(설정_코스수당!$K$2)+1,0)),DATE(YEAR(설정_코스수당!$K$2),MONTH(설정_코스수당!$K$2),15),"")</f>
        <v>46188</v>
      </c>
      <c r="C1481" s="31"/>
      <c r="D1481" s="29"/>
      <c r="E1481" s="29"/>
      <c r="F1481" s="32"/>
      <c r="G1481" s="29"/>
      <c r="H1481" s="29"/>
      <c r="I1481" s="29"/>
      <c r="J1481" s="33">
        <f>IF($O1481="방문완료",MAX(0,IFERROR(VLOOKUP($E1481,설정_코스수당!$A$6:$H$10,4,FALSE),0)-IF(OR($P1481="",$P1481="없음"),0,100000)),0)</f>
        <v>0</v>
      </c>
      <c r="K1481" s="33">
        <f t="array" ref="K1481">IF($O1481="방문완료",IFERROR(INDEX(설정_코스수당!$B$15:$F$64,MATCH($G1481,설정_코스수당!$A$15:$A$64,0),MATCH($E1481&amp;"수당",설정_코스수당!$B$14:$F$14,0)),0),0)</f>
        <v>0</v>
      </c>
      <c r="L1481" s="33">
        <f t="array" ref="L1481">IF($O1481="방문완료",IF($H1481="",0,IFERROR(INDEX(설정_코스수당!$B$15:$F$64,MATCH($H1481,설정_코스수당!$A$15:$A$64,0),MATCH($E1481&amp;"수당",설정_코스수당!$B$14:$F$14,0)),0)),0)</f>
        <v>0</v>
      </c>
      <c r="M1481" s="33">
        <f>IF($O1481="방문완료",IFERROR(VLOOKUP($E1481,설정_코스수당!$A$6:$H$10,6,FALSE),0),0)</f>
        <v>0</v>
      </c>
      <c r="N1481" s="34">
        <f t="shared" si="42"/>
        <v>0</v>
      </c>
      <c r="O1481" s="29"/>
      <c r="P1481" s="29"/>
      <c r="Q1481" s="29"/>
      <c r="R1481" s="32"/>
      <c r="S1481" s="29"/>
    </row>
    <row r="1482" spans="1:24" ht="19.5" hidden="1" customHeight="1" outlineLevel="1">
      <c r="A1482" s="23">
        <v>27</v>
      </c>
      <c r="B1482" s="24">
        <f>IF(15&lt;=DAY(DATE(YEAR(설정_코스수당!$K$2),MONTH(설정_코스수당!$K$2)+1,0)),DATE(YEAR(설정_코스수당!$K$2),MONTH(설정_코스수당!$K$2),15),"")</f>
        <v>46188</v>
      </c>
      <c r="C1482" s="25"/>
      <c r="D1482" s="23"/>
      <c r="E1482" s="23"/>
      <c r="F1482" s="26"/>
      <c r="G1482" s="23"/>
      <c r="H1482" s="23"/>
      <c r="I1482" s="23"/>
      <c r="J1482" s="27">
        <f>IF($O1482="방문완료",MAX(0,IFERROR(VLOOKUP($E1482,설정_코스수당!$A$6:$H$10,4,FALSE),0)-IF(OR($P1482="",$P1482="없음"),0,100000)),0)</f>
        <v>0</v>
      </c>
      <c r="K1482" s="27">
        <f t="array" ref="K1482">IF($O1482="방문완료",IFERROR(INDEX(설정_코스수당!$B$15:$F$64,MATCH($G1482,설정_코스수당!$A$15:$A$64,0),MATCH($E1482&amp;"수당",설정_코스수당!$B$14:$F$14,0)),0),0)</f>
        <v>0</v>
      </c>
      <c r="L1482" s="27">
        <f t="array" ref="L1482">IF($O1482="방문완료",IF($H1482="",0,IFERROR(INDEX(설정_코스수당!$B$15:$F$64,MATCH($H1482,설정_코스수당!$A$15:$A$64,0),MATCH($E1482&amp;"수당",설정_코스수당!$B$14:$F$14,0)),0)),0)</f>
        <v>0</v>
      </c>
      <c r="M1482" s="27">
        <f>IF($O1482="방문완료",IFERROR(VLOOKUP($E1482,설정_코스수당!$A$6:$H$10,6,FALSE),0),0)</f>
        <v>0</v>
      </c>
      <c r="N1482" s="28">
        <f t="shared" si="42"/>
        <v>0</v>
      </c>
      <c r="O1482" s="23"/>
      <c r="P1482" s="23"/>
      <c r="Q1482" s="23"/>
      <c r="R1482" s="26"/>
      <c r="S1482" s="23"/>
    </row>
    <row r="1483" spans="1:24" ht="19.5" hidden="1" customHeight="1" outlineLevel="1">
      <c r="A1483" s="29">
        <v>28</v>
      </c>
      <c r="B1483" s="30">
        <f>IF(15&lt;=DAY(DATE(YEAR(설정_코스수당!$K$2),MONTH(설정_코스수당!$K$2)+1,0)),DATE(YEAR(설정_코스수당!$K$2),MONTH(설정_코스수당!$K$2),15),"")</f>
        <v>46188</v>
      </c>
      <c r="C1483" s="31"/>
      <c r="D1483" s="29"/>
      <c r="E1483" s="29"/>
      <c r="F1483" s="32"/>
      <c r="G1483" s="29"/>
      <c r="H1483" s="29"/>
      <c r="I1483" s="29"/>
      <c r="J1483" s="33">
        <f>IF($O1483="방문완료",MAX(0,IFERROR(VLOOKUP($E1483,설정_코스수당!$A$6:$H$10,4,FALSE),0)-IF(OR($P1483="",$P1483="없음"),0,100000)),0)</f>
        <v>0</v>
      </c>
      <c r="K1483" s="33">
        <f t="array" ref="K1483">IF($O1483="방문완료",IFERROR(INDEX(설정_코스수당!$B$15:$F$64,MATCH($G1483,설정_코스수당!$A$15:$A$64,0),MATCH($E1483&amp;"수당",설정_코스수당!$B$14:$F$14,0)),0),0)</f>
        <v>0</v>
      </c>
      <c r="L1483" s="33">
        <f t="array" ref="L1483">IF($O1483="방문완료",IF($H1483="",0,IFERROR(INDEX(설정_코스수당!$B$15:$F$64,MATCH($H1483,설정_코스수당!$A$15:$A$64,0),MATCH($E1483&amp;"수당",설정_코스수당!$B$14:$F$14,0)),0)),0)</f>
        <v>0</v>
      </c>
      <c r="M1483" s="33">
        <f>IF($O1483="방문완료",IFERROR(VLOOKUP($E1483,설정_코스수당!$A$6:$H$10,6,FALSE),0),0)</f>
        <v>0</v>
      </c>
      <c r="N1483" s="34">
        <f t="shared" si="42"/>
        <v>0</v>
      </c>
      <c r="O1483" s="29"/>
      <c r="P1483" s="29"/>
      <c r="Q1483" s="29"/>
      <c r="R1483" s="32"/>
      <c r="S1483" s="29"/>
    </row>
    <row r="1484" spans="1:24" ht="19.5" hidden="1" customHeight="1" outlineLevel="1">
      <c r="A1484" s="23">
        <v>29</v>
      </c>
      <c r="B1484" s="24">
        <f>IF(15&lt;=DAY(DATE(YEAR(설정_코스수당!$K$2),MONTH(설정_코스수당!$K$2)+1,0)),DATE(YEAR(설정_코스수당!$K$2),MONTH(설정_코스수당!$K$2),15),"")</f>
        <v>46188</v>
      </c>
      <c r="C1484" s="25"/>
      <c r="D1484" s="23"/>
      <c r="E1484" s="23"/>
      <c r="F1484" s="26"/>
      <c r="G1484" s="23"/>
      <c r="H1484" s="23"/>
      <c r="I1484" s="23"/>
      <c r="J1484" s="27">
        <f>IF($O1484="방문완료",MAX(0,IFERROR(VLOOKUP($E1484,설정_코스수당!$A$6:$H$10,4,FALSE),0)-IF(OR($P1484="",$P1484="없음"),0,100000)),0)</f>
        <v>0</v>
      </c>
      <c r="K1484" s="27">
        <f t="array" ref="K1484">IF($O1484="방문완료",IFERROR(INDEX(설정_코스수당!$B$15:$F$64,MATCH($G1484,설정_코스수당!$A$15:$A$64,0),MATCH($E1484&amp;"수당",설정_코스수당!$B$14:$F$14,0)),0),0)</f>
        <v>0</v>
      </c>
      <c r="L1484" s="27">
        <f t="array" ref="L1484">IF($O1484="방문완료",IF($H1484="",0,IFERROR(INDEX(설정_코스수당!$B$15:$F$64,MATCH($H1484,설정_코스수당!$A$15:$A$64,0),MATCH($E1484&amp;"수당",설정_코스수당!$B$14:$F$14,0)),0)),0)</f>
        <v>0</v>
      </c>
      <c r="M1484" s="27">
        <f>IF($O1484="방문완료",IFERROR(VLOOKUP($E1484,설정_코스수당!$A$6:$H$10,6,FALSE),0),0)</f>
        <v>0</v>
      </c>
      <c r="N1484" s="28">
        <f t="shared" si="42"/>
        <v>0</v>
      </c>
      <c r="O1484" s="23"/>
      <c r="P1484" s="23"/>
      <c r="Q1484" s="23"/>
      <c r="R1484" s="26"/>
      <c r="S1484" s="23"/>
    </row>
    <row r="1485" spans="1:24" ht="19.5" hidden="1" customHeight="1" outlineLevel="1">
      <c r="A1485" s="29">
        <v>30</v>
      </c>
      <c r="B1485" s="30">
        <f>IF(15&lt;=DAY(DATE(YEAR(설정_코스수당!$K$2),MONTH(설정_코스수당!$K$2)+1,0)),DATE(YEAR(설정_코스수당!$K$2),MONTH(설정_코스수당!$K$2),15),"")</f>
        <v>46188</v>
      </c>
      <c r="C1485" s="31"/>
      <c r="D1485" s="29"/>
      <c r="E1485" s="29"/>
      <c r="F1485" s="32"/>
      <c r="G1485" s="29"/>
      <c r="H1485" s="29"/>
      <c r="I1485" s="29"/>
      <c r="J1485" s="33">
        <f>IF($O1485="방문완료",MAX(0,IFERROR(VLOOKUP($E1485,설정_코스수당!$A$6:$H$10,4,FALSE),0)-IF(OR($P1485="",$P1485="없음"),0,100000)),0)</f>
        <v>0</v>
      </c>
      <c r="K1485" s="33">
        <f t="array" ref="K1485">IF($O1485="방문완료",IFERROR(INDEX(설정_코스수당!$B$15:$F$64,MATCH($G1485,설정_코스수당!$A$15:$A$64,0),MATCH($E1485&amp;"수당",설정_코스수당!$B$14:$F$14,0)),0),0)</f>
        <v>0</v>
      </c>
      <c r="L1485" s="33">
        <f t="array" ref="L1485">IF($O1485="방문완료",IF($H1485="",0,IFERROR(INDEX(설정_코스수당!$B$15:$F$64,MATCH($H1485,설정_코스수당!$A$15:$A$64,0),MATCH($E1485&amp;"수당",설정_코스수당!$B$14:$F$14,0)),0)),0)</f>
        <v>0</v>
      </c>
      <c r="M1485" s="33">
        <f>IF($O1485="방문완료",IFERROR(VLOOKUP($E1485,설정_코스수당!$A$6:$H$10,6,FALSE),0),0)</f>
        <v>0</v>
      </c>
      <c r="N1485" s="34">
        <f t="shared" si="42"/>
        <v>0</v>
      </c>
      <c r="O1485" s="29"/>
      <c r="P1485" s="29"/>
      <c r="Q1485" s="29"/>
      <c r="R1485" s="32"/>
      <c r="S1485" s="29"/>
    </row>
    <row r="1486" spans="1:24" ht="19.5" hidden="1" customHeight="1" outlineLevel="1">
      <c r="A1486" s="23">
        <v>31</v>
      </c>
      <c r="B1486" s="24">
        <f>IF(15&lt;=DAY(DATE(YEAR(설정_코스수당!$K$2),MONTH(설정_코스수당!$K$2)+1,0)),DATE(YEAR(설정_코스수당!$K$2),MONTH(설정_코스수당!$K$2),15),"")</f>
        <v>46188</v>
      </c>
      <c r="C1486" s="25"/>
      <c r="D1486" s="23"/>
      <c r="E1486" s="23"/>
      <c r="F1486" s="26"/>
      <c r="G1486" s="23"/>
      <c r="H1486" s="23"/>
      <c r="I1486" s="23"/>
      <c r="J1486" s="27">
        <f>IF($O1486="방문완료",MAX(0,IFERROR(VLOOKUP($E1486,설정_코스수당!$A$6:$H$10,4,FALSE),0)-IF(OR($P1486="",$P1486="없음"),0,100000)),0)</f>
        <v>0</v>
      </c>
      <c r="K1486" s="27">
        <f t="array" ref="K1486">IF($O1486="방문완료",IFERROR(INDEX(설정_코스수당!$B$15:$F$64,MATCH($G1486,설정_코스수당!$A$15:$A$64,0),MATCH($E1486&amp;"수당",설정_코스수당!$B$14:$F$14,0)),0),0)</f>
        <v>0</v>
      </c>
      <c r="L1486" s="27">
        <f t="array" ref="L1486">IF($O1486="방문완료",IF($H1486="",0,IFERROR(INDEX(설정_코스수당!$B$15:$F$64,MATCH($H1486,설정_코스수당!$A$15:$A$64,0),MATCH($E1486&amp;"수당",설정_코스수당!$B$14:$F$14,0)),0)),0)</f>
        <v>0</v>
      </c>
      <c r="M1486" s="27">
        <f>IF($O1486="방문완료",IFERROR(VLOOKUP($E1486,설정_코스수당!$A$6:$H$10,6,FALSE),0),0)</f>
        <v>0</v>
      </c>
      <c r="N1486" s="28">
        <f t="shared" si="42"/>
        <v>0</v>
      </c>
      <c r="O1486" s="23"/>
      <c r="P1486" s="23"/>
      <c r="Q1486" s="23"/>
      <c r="R1486" s="26"/>
      <c r="S1486" s="23"/>
    </row>
    <row r="1487" spans="1:24" ht="19.5" hidden="1" customHeight="1" outlineLevel="1">
      <c r="A1487" s="29">
        <v>32</v>
      </c>
      <c r="B1487" s="30">
        <f>IF(15&lt;=DAY(DATE(YEAR(설정_코스수당!$K$2),MONTH(설정_코스수당!$K$2)+1,0)),DATE(YEAR(설정_코스수당!$K$2),MONTH(설정_코스수당!$K$2),15),"")</f>
        <v>46188</v>
      </c>
      <c r="C1487" s="31"/>
      <c r="D1487" s="29"/>
      <c r="E1487" s="29"/>
      <c r="F1487" s="32"/>
      <c r="G1487" s="29"/>
      <c r="H1487" s="29"/>
      <c r="I1487" s="29"/>
      <c r="J1487" s="33">
        <f>IF($O1487="방문완료",MAX(0,IFERROR(VLOOKUP($E1487,설정_코스수당!$A$6:$H$10,4,FALSE),0)-IF(OR($P1487="",$P1487="없음"),0,100000)),0)</f>
        <v>0</v>
      </c>
      <c r="K1487" s="33">
        <f t="array" ref="K1487">IF($O1487="방문완료",IFERROR(INDEX(설정_코스수당!$B$15:$F$64,MATCH($G1487,설정_코스수당!$A$15:$A$64,0),MATCH($E1487&amp;"수당",설정_코스수당!$B$14:$F$14,0)),0),0)</f>
        <v>0</v>
      </c>
      <c r="L1487" s="33">
        <f t="array" ref="L1487">IF($O1487="방문완료",IF($H1487="",0,IFERROR(INDEX(설정_코스수당!$B$15:$F$64,MATCH($H1487,설정_코스수당!$A$15:$A$64,0),MATCH($E1487&amp;"수당",설정_코스수당!$B$14:$F$14,0)),0)),0)</f>
        <v>0</v>
      </c>
      <c r="M1487" s="33">
        <f>IF($O1487="방문완료",IFERROR(VLOOKUP($E1487,설정_코스수당!$A$6:$H$10,6,FALSE),0),0)</f>
        <v>0</v>
      </c>
      <c r="N1487" s="34">
        <f t="shared" si="42"/>
        <v>0</v>
      </c>
      <c r="O1487" s="29"/>
      <c r="P1487" s="29"/>
      <c r="Q1487" s="29"/>
      <c r="R1487" s="32"/>
      <c r="S1487" s="29"/>
    </row>
    <row r="1488" spans="1:24" ht="19.5" hidden="1" customHeight="1" outlineLevel="1">
      <c r="A1488" s="23">
        <v>33</v>
      </c>
      <c r="B1488" s="24">
        <f>IF(15&lt;=DAY(DATE(YEAR(설정_코스수당!$K$2),MONTH(설정_코스수당!$K$2)+1,0)),DATE(YEAR(설정_코스수당!$K$2),MONTH(설정_코스수당!$K$2),15),"")</f>
        <v>46188</v>
      </c>
      <c r="C1488" s="25"/>
      <c r="D1488" s="23"/>
      <c r="E1488" s="23"/>
      <c r="F1488" s="26"/>
      <c r="G1488" s="23"/>
      <c r="H1488" s="23"/>
      <c r="I1488" s="23"/>
      <c r="J1488" s="27">
        <f>IF($O1488="방문완료",MAX(0,IFERROR(VLOOKUP($E1488,설정_코스수당!$A$6:$H$10,4,FALSE),0)-IF(OR($P1488="",$P1488="없음"),0,100000)),0)</f>
        <v>0</v>
      </c>
      <c r="K1488" s="27">
        <f t="array" ref="K1488">IF($O1488="방문완료",IFERROR(INDEX(설정_코스수당!$B$15:$F$64,MATCH($G1488,설정_코스수당!$A$15:$A$64,0),MATCH($E1488&amp;"수당",설정_코스수당!$B$14:$F$14,0)),0),0)</f>
        <v>0</v>
      </c>
      <c r="L1488" s="27">
        <f t="array" ref="L1488">IF($O1488="방문완료",IF($H1488="",0,IFERROR(INDEX(설정_코스수당!$B$15:$F$64,MATCH($H1488,설정_코스수당!$A$15:$A$64,0),MATCH($E1488&amp;"수당",설정_코스수당!$B$14:$F$14,0)),0)),0)</f>
        <v>0</v>
      </c>
      <c r="M1488" s="27">
        <f>IF($O1488="방문완료",IFERROR(VLOOKUP($E1488,설정_코스수당!$A$6:$H$10,6,FALSE),0),0)</f>
        <v>0</v>
      </c>
      <c r="N1488" s="28">
        <f t="shared" ref="N1488:N1519" si="43">IF($O1488="방문완료",1,0)</f>
        <v>0</v>
      </c>
      <c r="O1488" s="23"/>
      <c r="P1488" s="23"/>
      <c r="Q1488" s="23"/>
      <c r="R1488" s="26"/>
      <c r="S1488" s="23"/>
    </row>
    <row r="1489" spans="1:19" ht="19.5" hidden="1" customHeight="1" outlineLevel="1">
      <c r="A1489" s="29">
        <v>34</v>
      </c>
      <c r="B1489" s="30">
        <f>IF(15&lt;=DAY(DATE(YEAR(설정_코스수당!$K$2),MONTH(설정_코스수당!$K$2)+1,0)),DATE(YEAR(설정_코스수당!$K$2),MONTH(설정_코스수당!$K$2),15),"")</f>
        <v>46188</v>
      </c>
      <c r="C1489" s="31"/>
      <c r="D1489" s="29"/>
      <c r="E1489" s="29"/>
      <c r="F1489" s="32"/>
      <c r="G1489" s="29"/>
      <c r="H1489" s="29"/>
      <c r="I1489" s="29"/>
      <c r="J1489" s="33">
        <f>IF($O1489="방문완료",MAX(0,IFERROR(VLOOKUP($E1489,설정_코스수당!$A$6:$H$10,4,FALSE),0)-IF(OR($P1489="",$P1489="없음"),0,100000)),0)</f>
        <v>0</v>
      </c>
      <c r="K1489" s="33">
        <f t="array" ref="K1489">IF($O1489="방문완료",IFERROR(INDEX(설정_코스수당!$B$15:$F$64,MATCH($G1489,설정_코스수당!$A$15:$A$64,0),MATCH($E1489&amp;"수당",설정_코스수당!$B$14:$F$14,0)),0),0)</f>
        <v>0</v>
      </c>
      <c r="L1489" s="33">
        <f t="array" ref="L1489">IF($O1489="방문완료",IF($H1489="",0,IFERROR(INDEX(설정_코스수당!$B$15:$F$64,MATCH($H1489,설정_코스수당!$A$15:$A$64,0),MATCH($E1489&amp;"수당",설정_코스수당!$B$14:$F$14,0)),0)),0)</f>
        <v>0</v>
      </c>
      <c r="M1489" s="33">
        <f>IF($O1489="방문완료",IFERROR(VLOOKUP($E1489,설정_코스수당!$A$6:$H$10,6,FALSE),0),0)</f>
        <v>0</v>
      </c>
      <c r="N1489" s="34">
        <f t="shared" si="43"/>
        <v>0</v>
      </c>
      <c r="O1489" s="29"/>
      <c r="P1489" s="29"/>
      <c r="Q1489" s="29"/>
      <c r="R1489" s="32"/>
      <c r="S1489" s="29"/>
    </row>
    <row r="1490" spans="1:19" ht="19.5" hidden="1" customHeight="1" outlineLevel="1">
      <c r="A1490" s="23">
        <v>35</v>
      </c>
      <c r="B1490" s="24">
        <f>IF(15&lt;=DAY(DATE(YEAR(설정_코스수당!$K$2),MONTH(설정_코스수당!$K$2)+1,0)),DATE(YEAR(설정_코스수당!$K$2),MONTH(설정_코스수당!$K$2),15),"")</f>
        <v>46188</v>
      </c>
      <c r="C1490" s="25"/>
      <c r="D1490" s="23"/>
      <c r="E1490" s="23"/>
      <c r="F1490" s="26"/>
      <c r="G1490" s="23"/>
      <c r="H1490" s="23"/>
      <c r="I1490" s="23"/>
      <c r="J1490" s="27">
        <f>IF($O1490="방문완료",MAX(0,IFERROR(VLOOKUP($E1490,설정_코스수당!$A$6:$H$10,4,FALSE),0)-IF(OR($P1490="",$P1490="없음"),0,100000)),0)</f>
        <v>0</v>
      </c>
      <c r="K1490" s="27">
        <f t="array" ref="K1490">IF($O1490="방문완료",IFERROR(INDEX(설정_코스수당!$B$15:$F$64,MATCH($G1490,설정_코스수당!$A$15:$A$64,0),MATCH($E1490&amp;"수당",설정_코스수당!$B$14:$F$14,0)),0),0)</f>
        <v>0</v>
      </c>
      <c r="L1490" s="27">
        <f t="array" ref="L1490">IF($O1490="방문완료",IF($H1490="",0,IFERROR(INDEX(설정_코스수당!$B$15:$F$64,MATCH($H1490,설정_코스수당!$A$15:$A$64,0),MATCH($E1490&amp;"수당",설정_코스수당!$B$14:$F$14,0)),0)),0)</f>
        <v>0</v>
      </c>
      <c r="M1490" s="27">
        <f>IF($O1490="방문완료",IFERROR(VLOOKUP($E1490,설정_코스수당!$A$6:$H$10,6,FALSE),0),0)</f>
        <v>0</v>
      </c>
      <c r="N1490" s="28">
        <f t="shared" si="43"/>
        <v>0</v>
      </c>
      <c r="O1490" s="23"/>
      <c r="P1490" s="23"/>
      <c r="Q1490" s="23"/>
      <c r="R1490" s="26"/>
      <c r="S1490" s="23"/>
    </row>
    <row r="1491" spans="1:19" ht="19.5" hidden="1" customHeight="1" outlineLevel="1">
      <c r="A1491" s="29">
        <v>36</v>
      </c>
      <c r="B1491" s="30">
        <f>IF(15&lt;=DAY(DATE(YEAR(설정_코스수당!$K$2),MONTH(설정_코스수당!$K$2)+1,0)),DATE(YEAR(설정_코스수당!$K$2),MONTH(설정_코스수당!$K$2),15),"")</f>
        <v>46188</v>
      </c>
      <c r="C1491" s="31"/>
      <c r="D1491" s="29"/>
      <c r="E1491" s="29"/>
      <c r="F1491" s="32"/>
      <c r="G1491" s="29"/>
      <c r="H1491" s="29"/>
      <c r="I1491" s="29"/>
      <c r="J1491" s="33">
        <f>IF($O1491="방문완료",MAX(0,IFERROR(VLOOKUP($E1491,설정_코스수당!$A$6:$H$10,4,FALSE),0)-IF(OR($P1491="",$P1491="없음"),0,100000)),0)</f>
        <v>0</v>
      </c>
      <c r="K1491" s="33">
        <f t="array" ref="K1491">IF($O1491="방문완료",IFERROR(INDEX(설정_코스수당!$B$15:$F$64,MATCH($G1491,설정_코스수당!$A$15:$A$64,0),MATCH($E1491&amp;"수당",설정_코스수당!$B$14:$F$14,0)),0),0)</f>
        <v>0</v>
      </c>
      <c r="L1491" s="33">
        <f t="array" ref="L1491">IF($O1491="방문완료",IF($H1491="",0,IFERROR(INDEX(설정_코스수당!$B$15:$F$64,MATCH($H1491,설정_코스수당!$A$15:$A$64,0),MATCH($E1491&amp;"수당",설정_코스수당!$B$14:$F$14,0)),0)),0)</f>
        <v>0</v>
      </c>
      <c r="M1491" s="33">
        <f>IF($O1491="방문완료",IFERROR(VLOOKUP($E1491,설정_코스수당!$A$6:$H$10,6,FALSE),0),0)</f>
        <v>0</v>
      </c>
      <c r="N1491" s="34">
        <f t="shared" si="43"/>
        <v>0</v>
      </c>
      <c r="O1491" s="29"/>
      <c r="P1491" s="29"/>
      <c r="Q1491" s="29"/>
      <c r="R1491" s="32"/>
      <c r="S1491" s="29"/>
    </row>
    <row r="1492" spans="1:19" ht="19.5" hidden="1" customHeight="1" outlineLevel="1">
      <c r="A1492" s="23">
        <v>37</v>
      </c>
      <c r="B1492" s="24">
        <f>IF(15&lt;=DAY(DATE(YEAR(설정_코스수당!$K$2),MONTH(설정_코스수당!$K$2)+1,0)),DATE(YEAR(설정_코스수당!$K$2),MONTH(설정_코스수당!$K$2),15),"")</f>
        <v>46188</v>
      </c>
      <c r="C1492" s="25"/>
      <c r="D1492" s="23"/>
      <c r="E1492" s="23"/>
      <c r="F1492" s="26"/>
      <c r="G1492" s="23"/>
      <c r="H1492" s="23"/>
      <c r="I1492" s="23"/>
      <c r="J1492" s="27">
        <f>IF($O1492="방문완료",MAX(0,IFERROR(VLOOKUP($E1492,설정_코스수당!$A$6:$H$10,4,FALSE),0)-IF(OR($P1492="",$P1492="없음"),0,100000)),0)</f>
        <v>0</v>
      </c>
      <c r="K1492" s="27">
        <f t="array" ref="K1492">IF($O1492="방문완료",IFERROR(INDEX(설정_코스수당!$B$15:$F$64,MATCH($G1492,설정_코스수당!$A$15:$A$64,0),MATCH($E1492&amp;"수당",설정_코스수당!$B$14:$F$14,0)),0),0)</f>
        <v>0</v>
      </c>
      <c r="L1492" s="27">
        <f t="array" ref="L1492">IF($O1492="방문완료",IF($H1492="",0,IFERROR(INDEX(설정_코스수당!$B$15:$F$64,MATCH($H1492,설정_코스수당!$A$15:$A$64,0),MATCH($E1492&amp;"수당",설정_코스수당!$B$14:$F$14,0)),0)),0)</f>
        <v>0</v>
      </c>
      <c r="M1492" s="27">
        <f>IF($O1492="방문완료",IFERROR(VLOOKUP($E1492,설정_코스수당!$A$6:$H$10,6,FALSE),0),0)</f>
        <v>0</v>
      </c>
      <c r="N1492" s="28">
        <f t="shared" si="43"/>
        <v>0</v>
      </c>
      <c r="O1492" s="23"/>
      <c r="P1492" s="23"/>
      <c r="Q1492" s="23"/>
      <c r="R1492" s="26"/>
      <c r="S1492" s="23"/>
    </row>
    <row r="1493" spans="1:19" ht="19.5" hidden="1" customHeight="1" outlineLevel="1">
      <c r="A1493" s="29">
        <v>38</v>
      </c>
      <c r="B1493" s="30">
        <f>IF(15&lt;=DAY(DATE(YEAR(설정_코스수당!$K$2),MONTH(설정_코스수당!$K$2)+1,0)),DATE(YEAR(설정_코스수당!$K$2),MONTH(설정_코스수당!$K$2),15),"")</f>
        <v>46188</v>
      </c>
      <c r="C1493" s="31"/>
      <c r="D1493" s="29"/>
      <c r="E1493" s="29"/>
      <c r="F1493" s="32"/>
      <c r="G1493" s="29"/>
      <c r="H1493" s="29"/>
      <c r="I1493" s="29"/>
      <c r="J1493" s="33">
        <f>IF($O1493="방문완료",MAX(0,IFERROR(VLOOKUP($E1493,설정_코스수당!$A$6:$H$10,4,FALSE),0)-IF(OR($P1493="",$P1493="없음"),0,100000)),0)</f>
        <v>0</v>
      </c>
      <c r="K1493" s="33">
        <f t="array" ref="K1493">IF($O1493="방문완료",IFERROR(INDEX(설정_코스수당!$B$15:$F$64,MATCH($G1493,설정_코스수당!$A$15:$A$64,0),MATCH($E1493&amp;"수당",설정_코스수당!$B$14:$F$14,0)),0),0)</f>
        <v>0</v>
      </c>
      <c r="L1493" s="33">
        <f t="array" ref="L1493">IF($O1493="방문완료",IF($H1493="",0,IFERROR(INDEX(설정_코스수당!$B$15:$F$64,MATCH($H1493,설정_코스수당!$A$15:$A$64,0),MATCH($E1493&amp;"수당",설정_코스수당!$B$14:$F$14,0)),0)),0)</f>
        <v>0</v>
      </c>
      <c r="M1493" s="33">
        <f>IF($O1493="방문완료",IFERROR(VLOOKUP($E1493,설정_코스수당!$A$6:$H$10,6,FALSE),0),0)</f>
        <v>0</v>
      </c>
      <c r="N1493" s="34">
        <f t="shared" si="43"/>
        <v>0</v>
      </c>
      <c r="O1493" s="29"/>
      <c r="P1493" s="29"/>
      <c r="Q1493" s="29"/>
      <c r="R1493" s="32"/>
      <c r="S1493" s="29"/>
    </row>
    <row r="1494" spans="1:19" ht="19.5" hidden="1" customHeight="1" outlineLevel="1">
      <c r="A1494" s="23">
        <v>39</v>
      </c>
      <c r="B1494" s="24">
        <f>IF(15&lt;=DAY(DATE(YEAR(설정_코스수당!$K$2),MONTH(설정_코스수당!$K$2)+1,0)),DATE(YEAR(설정_코스수당!$K$2),MONTH(설정_코스수당!$K$2),15),"")</f>
        <v>46188</v>
      </c>
      <c r="C1494" s="25"/>
      <c r="D1494" s="23"/>
      <c r="E1494" s="23"/>
      <c r="F1494" s="26"/>
      <c r="G1494" s="23"/>
      <c r="H1494" s="23"/>
      <c r="I1494" s="23"/>
      <c r="J1494" s="27">
        <f>IF($O1494="방문완료",MAX(0,IFERROR(VLOOKUP($E1494,설정_코스수당!$A$6:$H$10,4,FALSE),0)-IF(OR($P1494="",$P1494="없음"),0,100000)),0)</f>
        <v>0</v>
      </c>
      <c r="K1494" s="27">
        <f t="array" ref="K1494">IF($O1494="방문완료",IFERROR(INDEX(설정_코스수당!$B$15:$F$64,MATCH($G1494,설정_코스수당!$A$15:$A$64,0),MATCH($E1494&amp;"수당",설정_코스수당!$B$14:$F$14,0)),0),0)</f>
        <v>0</v>
      </c>
      <c r="L1494" s="27">
        <f t="array" ref="L1494">IF($O1494="방문완료",IF($H1494="",0,IFERROR(INDEX(설정_코스수당!$B$15:$F$64,MATCH($H1494,설정_코스수당!$A$15:$A$64,0),MATCH($E1494&amp;"수당",설정_코스수당!$B$14:$F$14,0)),0)),0)</f>
        <v>0</v>
      </c>
      <c r="M1494" s="27">
        <f>IF($O1494="방문완료",IFERROR(VLOOKUP($E1494,설정_코스수당!$A$6:$H$10,6,FALSE),0),0)</f>
        <v>0</v>
      </c>
      <c r="N1494" s="28">
        <f t="shared" si="43"/>
        <v>0</v>
      </c>
      <c r="O1494" s="23"/>
      <c r="P1494" s="23"/>
      <c r="Q1494" s="23"/>
      <c r="R1494" s="26"/>
      <c r="S1494" s="23"/>
    </row>
    <row r="1495" spans="1:19" ht="19.5" hidden="1" customHeight="1" outlineLevel="1">
      <c r="A1495" s="29">
        <v>40</v>
      </c>
      <c r="B1495" s="30">
        <f>IF(15&lt;=DAY(DATE(YEAR(설정_코스수당!$K$2),MONTH(설정_코스수당!$K$2)+1,0)),DATE(YEAR(설정_코스수당!$K$2),MONTH(설정_코스수당!$K$2),15),"")</f>
        <v>46188</v>
      </c>
      <c r="C1495" s="31"/>
      <c r="D1495" s="29"/>
      <c r="E1495" s="29"/>
      <c r="F1495" s="32"/>
      <c r="G1495" s="29"/>
      <c r="H1495" s="29"/>
      <c r="I1495" s="29"/>
      <c r="J1495" s="33">
        <f>IF($O1495="방문완료",MAX(0,IFERROR(VLOOKUP($E1495,설정_코스수당!$A$6:$H$10,4,FALSE),0)-IF(OR($P1495="",$P1495="없음"),0,100000)),0)</f>
        <v>0</v>
      </c>
      <c r="K1495" s="33">
        <f t="array" ref="K1495">IF($O1495="방문완료",IFERROR(INDEX(설정_코스수당!$B$15:$F$64,MATCH($G1495,설정_코스수당!$A$15:$A$64,0),MATCH($E1495&amp;"수당",설정_코스수당!$B$14:$F$14,0)),0),0)</f>
        <v>0</v>
      </c>
      <c r="L1495" s="33">
        <f t="array" ref="L1495">IF($O1495="방문완료",IF($H1495="",0,IFERROR(INDEX(설정_코스수당!$B$15:$F$64,MATCH($H1495,설정_코스수당!$A$15:$A$64,0),MATCH($E1495&amp;"수당",설정_코스수당!$B$14:$F$14,0)),0)),0)</f>
        <v>0</v>
      </c>
      <c r="M1495" s="33">
        <f>IF($O1495="방문완료",IFERROR(VLOOKUP($E1495,설정_코스수당!$A$6:$H$10,6,FALSE),0),0)</f>
        <v>0</v>
      </c>
      <c r="N1495" s="34">
        <f t="shared" si="43"/>
        <v>0</v>
      </c>
      <c r="O1495" s="29"/>
      <c r="P1495" s="29"/>
      <c r="Q1495" s="29"/>
      <c r="R1495" s="32"/>
      <c r="S1495" s="29"/>
    </row>
    <row r="1496" spans="1:19" ht="19.5" hidden="1" customHeight="1" outlineLevel="1">
      <c r="A1496" s="23">
        <v>41</v>
      </c>
      <c r="B1496" s="24">
        <f>IF(15&lt;=DAY(DATE(YEAR(설정_코스수당!$K$2),MONTH(설정_코스수당!$K$2)+1,0)),DATE(YEAR(설정_코스수당!$K$2),MONTH(설정_코스수당!$K$2),15),"")</f>
        <v>46188</v>
      </c>
      <c r="C1496" s="25"/>
      <c r="D1496" s="23"/>
      <c r="E1496" s="23"/>
      <c r="F1496" s="26"/>
      <c r="G1496" s="23"/>
      <c r="H1496" s="23"/>
      <c r="I1496" s="23"/>
      <c r="J1496" s="27">
        <f>IF($O1496="방문완료",MAX(0,IFERROR(VLOOKUP($E1496,설정_코스수당!$A$6:$H$10,4,FALSE),0)-IF(OR($P1496="",$P1496="없음"),0,100000)),0)</f>
        <v>0</v>
      </c>
      <c r="K1496" s="27">
        <f t="array" ref="K1496">IF($O1496="방문완료",IFERROR(INDEX(설정_코스수당!$B$15:$F$64,MATCH($G1496,설정_코스수당!$A$15:$A$64,0),MATCH($E1496&amp;"수당",설정_코스수당!$B$14:$F$14,0)),0),0)</f>
        <v>0</v>
      </c>
      <c r="L1496" s="27">
        <f t="array" ref="L1496">IF($O1496="방문완료",IF($H1496="",0,IFERROR(INDEX(설정_코스수당!$B$15:$F$64,MATCH($H1496,설정_코스수당!$A$15:$A$64,0),MATCH($E1496&amp;"수당",설정_코스수당!$B$14:$F$14,0)),0)),0)</f>
        <v>0</v>
      </c>
      <c r="M1496" s="27">
        <f>IF($O1496="방문완료",IFERROR(VLOOKUP($E1496,설정_코스수당!$A$6:$H$10,6,FALSE),0),0)</f>
        <v>0</v>
      </c>
      <c r="N1496" s="28">
        <f t="shared" si="43"/>
        <v>0</v>
      </c>
      <c r="O1496" s="23"/>
      <c r="P1496" s="23"/>
      <c r="Q1496" s="23"/>
      <c r="R1496" s="26"/>
      <c r="S1496" s="23"/>
    </row>
    <row r="1497" spans="1:19" ht="19.5" hidden="1" customHeight="1" outlineLevel="1">
      <c r="A1497" s="29">
        <v>42</v>
      </c>
      <c r="B1497" s="30">
        <f>IF(15&lt;=DAY(DATE(YEAR(설정_코스수당!$K$2),MONTH(설정_코스수당!$K$2)+1,0)),DATE(YEAR(설정_코스수당!$K$2),MONTH(설정_코스수당!$K$2),15),"")</f>
        <v>46188</v>
      </c>
      <c r="C1497" s="31"/>
      <c r="D1497" s="29"/>
      <c r="E1497" s="29"/>
      <c r="F1497" s="32"/>
      <c r="G1497" s="29"/>
      <c r="H1497" s="29"/>
      <c r="I1497" s="29"/>
      <c r="J1497" s="33">
        <f>IF($O1497="방문완료",MAX(0,IFERROR(VLOOKUP($E1497,설정_코스수당!$A$6:$H$10,4,FALSE),0)-IF(OR($P1497="",$P1497="없음"),0,100000)),0)</f>
        <v>0</v>
      </c>
      <c r="K1497" s="33">
        <f t="array" ref="K1497">IF($O1497="방문완료",IFERROR(INDEX(설정_코스수당!$B$15:$F$64,MATCH($G1497,설정_코스수당!$A$15:$A$64,0),MATCH($E1497&amp;"수당",설정_코스수당!$B$14:$F$14,0)),0),0)</f>
        <v>0</v>
      </c>
      <c r="L1497" s="33">
        <f t="array" ref="L1497">IF($O1497="방문완료",IF($H1497="",0,IFERROR(INDEX(설정_코스수당!$B$15:$F$64,MATCH($H1497,설정_코스수당!$A$15:$A$64,0),MATCH($E1497&amp;"수당",설정_코스수당!$B$14:$F$14,0)),0)),0)</f>
        <v>0</v>
      </c>
      <c r="M1497" s="33">
        <f>IF($O1497="방문완료",IFERROR(VLOOKUP($E1497,설정_코스수당!$A$6:$H$10,6,FALSE),0),0)</f>
        <v>0</v>
      </c>
      <c r="N1497" s="34">
        <f t="shared" si="43"/>
        <v>0</v>
      </c>
      <c r="O1497" s="29"/>
      <c r="P1497" s="29"/>
      <c r="Q1497" s="29"/>
      <c r="R1497" s="32"/>
      <c r="S1497" s="29"/>
    </row>
    <row r="1498" spans="1:19" ht="19.5" hidden="1" customHeight="1" outlineLevel="1">
      <c r="A1498" s="23">
        <v>43</v>
      </c>
      <c r="B1498" s="24">
        <f>IF(15&lt;=DAY(DATE(YEAR(설정_코스수당!$K$2),MONTH(설정_코스수당!$K$2)+1,0)),DATE(YEAR(설정_코스수당!$K$2),MONTH(설정_코스수당!$K$2),15),"")</f>
        <v>46188</v>
      </c>
      <c r="C1498" s="25"/>
      <c r="D1498" s="23"/>
      <c r="E1498" s="23"/>
      <c r="F1498" s="26"/>
      <c r="G1498" s="23"/>
      <c r="H1498" s="23"/>
      <c r="I1498" s="23"/>
      <c r="J1498" s="27">
        <f>IF($O1498="방문완료",MAX(0,IFERROR(VLOOKUP($E1498,설정_코스수당!$A$6:$H$10,4,FALSE),0)-IF(OR($P1498="",$P1498="없음"),0,100000)),0)</f>
        <v>0</v>
      </c>
      <c r="K1498" s="27">
        <f t="array" ref="K1498">IF($O1498="방문완료",IFERROR(INDEX(설정_코스수당!$B$15:$F$64,MATCH($G1498,설정_코스수당!$A$15:$A$64,0),MATCH($E1498&amp;"수당",설정_코스수당!$B$14:$F$14,0)),0),0)</f>
        <v>0</v>
      </c>
      <c r="L1498" s="27">
        <f t="array" ref="L1498">IF($O1498="방문완료",IF($H1498="",0,IFERROR(INDEX(설정_코스수당!$B$15:$F$64,MATCH($H1498,설정_코스수당!$A$15:$A$64,0),MATCH($E1498&amp;"수당",설정_코스수당!$B$14:$F$14,0)),0)),0)</f>
        <v>0</v>
      </c>
      <c r="M1498" s="27">
        <f>IF($O1498="방문완료",IFERROR(VLOOKUP($E1498,설정_코스수당!$A$6:$H$10,6,FALSE),0),0)</f>
        <v>0</v>
      </c>
      <c r="N1498" s="28">
        <f t="shared" si="43"/>
        <v>0</v>
      </c>
      <c r="O1498" s="23"/>
      <c r="P1498" s="23"/>
      <c r="Q1498" s="23"/>
      <c r="R1498" s="26"/>
      <c r="S1498" s="23"/>
    </row>
    <row r="1499" spans="1:19" ht="19.5" hidden="1" customHeight="1" outlineLevel="1">
      <c r="A1499" s="29">
        <v>44</v>
      </c>
      <c r="B1499" s="30">
        <f>IF(15&lt;=DAY(DATE(YEAR(설정_코스수당!$K$2),MONTH(설정_코스수당!$K$2)+1,0)),DATE(YEAR(설정_코스수당!$K$2),MONTH(설정_코스수당!$K$2),15),"")</f>
        <v>46188</v>
      </c>
      <c r="C1499" s="31"/>
      <c r="D1499" s="29"/>
      <c r="E1499" s="29"/>
      <c r="F1499" s="32"/>
      <c r="G1499" s="29"/>
      <c r="H1499" s="29"/>
      <c r="I1499" s="29"/>
      <c r="J1499" s="33">
        <f>IF($O1499="방문완료",MAX(0,IFERROR(VLOOKUP($E1499,설정_코스수당!$A$6:$H$10,4,FALSE),0)-IF(OR($P1499="",$P1499="없음"),0,100000)),0)</f>
        <v>0</v>
      </c>
      <c r="K1499" s="33">
        <f t="array" ref="K1499">IF($O1499="방문완료",IFERROR(INDEX(설정_코스수당!$B$15:$F$64,MATCH($G1499,설정_코스수당!$A$15:$A$64,0),MATCH($E1499&amp;"수당",설정_코스수당!$B$14:$F$14,0)),0),0)</f>
        <v>0</v>
      </c>
      <c r="L1499" s="33">
        <f t="array" ref="L1499">IF($O1499="방문완료",IF($H1499="",0,IFERROR(INDEX(설정_코스수당!$B$15:$F$64,MATCH($H1499,설정_코스수당!$A$15:$A$64,0),MATCH($E1499&amp;"수당",설정_코스수당!$B$14:$F$14,0)),0)),0)</f>
        <v>0</v>
      </c>
      <c r="M1499" s="33">
        <f>IF($O1499="방문완료",IFERROR(VLOOKUP($E1499,설정_코스수당!$A$6:$H$10,6,FALSE),0),0)</f>
        <v>0</v>
      </c>
      <c r="N1499" s="34">
        <f t="shared" si="43"/>
        <v>0</v>
      </c>
      <c r="O1499" s="29"/>
      <c r="P1499" s="29"/>
      <c r="Q1499" s="29"/>
      <c r="R1499" s="32"/>
      <c r="S1499" s="29"/>
    </row>
    <row r="1500" spans="1:19" ht="19.5" hidden="1" customHeight="1" outlineLevel="1">
      <c r="A1500" s="23">
        <v>45</v>
      </c>
      <c r="B1500" s="24">
        <f>IF(15&lt;=DAY(DATE(YEAR(설정_코스수당!$K$2),MONTH(설정_코스수당!$K$2)+1,0)),DATE(YEAR(설정_코스수당!$K$2),MONTH(설정_코스수당!$K$2),15),"")</f>
        <v>46188</v>
      </c>
      <c r="C1500" s="25"/>
      <c r="D1500" s="23"/>
      <c r="E1500" s="23"/>
      <c r="F1500" s="26"/>
      <c r="G1500" s="23"/>
      <c r="H1500" s="23"/>
      <c r="I1500" s="23"/>
      <c r="J1500" s="27">
        <f>IF($O1500="방문완료",MAX(0,IFERROR(VLOOKUP($E1500,설정_코스수당!$A$6:$H$10,4,FALSE),0)-IF(OR($P1500="",$P1500="없음"),0,100000)),0)</f>
        <v>0</v>
      </c>
      <c r="K1500" s="27">
        <f t="array" ref="K1500">IF($O1500="방문완료",IFERROR(INDEX(설정_코스수당!$B$15:$F$64,MATCH($G1500,설정_코스수당!$A$15:$A$64,0),MATCH($E1500&amp;"수당",설정_코스수당!$B$14:$F$14,0)),0),0)</f>
        <v>0</v>
      </c>
      <c r="L1500" s="27">
        <f t="array" ref="L1500">IF($O1500="방문완료",IF($H1500="",0,IFERROR(INDEX(설정_코스수당!$B$15:$F$64,MATCH($H1500,설정_코스수당!$A$15:$A$64,0),MATCH($E1500&amp;"수당",설정_코스수당!$B$14:$F$14,0)),0)),0)</f>
        <v>0</v>
      </c>
      <c r="M1500" s="27">
        <f>IF($O1500="방문완료",IFERROR(VLOOKUP($E1500,설정_코스수당!$A$6:$H$10,6,FALSE),0),0)</f>
        <v>0</v>
      </c>
      <c r="N1500" s="28">
        <f t="shared" si="43"/>
        <v>0</v>
      </c>
      <c r="O1500" s="23"/>
      <c r="P1500" s="23"/>
      <c r="Q1500" s="23"/>
      <c r="R1500" s="26"/>
      <c r="S1500" s="23"/>
    </row>
    <row r="1501" spans="1:19" ht="19.5" hidden="1" customHeight="1" outlineLevel="1">
      <c r="A1501" s="29">
        <v>46</v>
      </c>
      <c r="B1501" s="30">
        <f>IF(15&lt;=DAY(DATE(YEAR(설정_코스수당!$K$2),MONTH(설정_코스수당!$K$2)+1,0)),DATE(YEAR(설정_코스수당!$K$2),MONTH(설정_코스수당!$K$2),15),"")</f>
        <v>46188</v>
      </c>
      <c r="C1501" s="31"/>
      <c r="D1501" s="29"/>
      <c r="E1501" s="29"/>
      <c r="F1501" s="32"/>
      <c r="G1501" s="29"/>
      <c r="H1501" s="29"/>
      <c r="I1501" s="29"/>
      <c r="J1501" s="33">
        <f>IF($O1501="방문완료",MAX(0,IFERROR(VLOOKUP($E1501,설정_코스수당!$A$6:$H$10,4,FALSE),0)-IF(OR($P1501="",$P1501="없음"),0,100000)),0)</f>
        <v>0</v>
      </c>
      <c r="K1501" s="33">
        <f t="array" ref="K1501">IF($O1501="방문완료",IFERROR(INDEX(설정_코스수당!$B$15:$F$64,MATCH($G1501,설정_코스수당!$A$15:$A$64,0),MATCH($E1501&amp;"수당",설정_코스수당!$B$14:$F$14,0)),0),0)</f>
        <v>0</v>
      </c>
      <c r="L1501" s="33">
        <f t="array" ref="L1501">IF($O1501="방문완료",IF($H1501="",0,IFERROR(INDEX(설정_코스수당!$B$15:$F$64,MATCH($H1501,설정_코스수당!$A$15:$A$64,0),MATCH($E1501&amp;"수당",설정_코스수당!$B$14:$F$14,0)),0)),0)</f>
        <v>0</v>
      </c>
      <c r="M1501" s="33">
        <f>IF($O1501="방문완료",IFERROR(VLOOKUP($E1501,설정_코스수당!$A$6:$H$10,6,FALSE),0),0)</f>
        <v>0</v>
      </c>
      <c r="N1501" s="34">
        <f t="shared" si="43"/>
        <v>0</v>
      </c>
      <c r="O1501" s="29"/>
      <c r="P1501" s="29"/>
      <c r="Q1501" s="29"/>
      <c r="R1501" s="32"/>
      <c r="S1501" s="29"/>
    </row>
    <row r="1502" spans="1:19" ht="19.5" hidden="1" customHeight="1" outlineLevel="1">
      <c r="A1502" s="23">
        <v>47</v>
      </c>
      <c r="B1502" s="24">
        <f>IF(15&lt;=DAY(DATE(YEAR(설정_코스수당!$K$2),MONTH(설정_코스수당!$K$2)+1,0)),DATE(YEAR(설정_코스수당!$K$2),MONTH(설정_코스수당!$K$2),15),"")</f>
        <v>46188</v>
      </c>
      <c r="C1502" s="25"/>
      <c r="D1502" s="23"/>
      <c r="E1502" s="23"/>
      <c r="F1502" s="26"/>
      <c r="G1502" s="23"/>
      <c r="H1502" s="23"/>
      <c r="I1502" s="23"/>
      <c r="J1502" s="27">
        <f>IF($O1502="방문완료",MAX(0,IFERROR(VLOOKUP($E1502,설정_코스수당!$A$6:$H$10,4,FALSE),0)-IF(OR($P1502="",$P1502="없음"),0,100000)),0)</f>
        <v>0</v>
      </c>
      <c r="K1502" s="27">
        <f t="array" ref="K1502">IF($O1502="방문완료",IFERROR(INDEX(설정_코스수당!$B$15:$F$64,MATCH($G1502,설정_코스수당!$A$15:$A$64,0),MATCH($E1502&amp;"수당",설정_코스수당!$B$14:$F$14,0)),0),0)</f>
        <v>0</v>
      </c>
      <c r="L1502" s="27">
        <f t="array" ref="L1502">IF($O1502="방문완료",IF($H1502="",0,IFERROR(INDEX(설정_코스수당!$B$15:$F$64,MATCH($H1502,설정_코스수당!$A$15:$A$64,0),MATCH($E1502&amp;"수당",설정_코스수당!$B$14:$F$14,0)),0)),0)</f>
        <v>0</v>
      </c>
      <c r="M1502" s="27">
        <f>IF($O1502="방문완료",IFERROR(VLOOKUP($E1502,설정_코스수당!$A$6:$H$10,6,FALSE),0),0)</f>
        <v>0</v>
      </c>
      <c r="N1502" s="28">
        <f t="shared" si="43"/>
        <v>0</v>
      </c>
      <c r="O1502" s="23"/>
      <c r="P1502" s="23"/>
      <c r="Q1502" s="23"/>
      <c r="R1502" s="26"/>
      <c r="S1502" s="23"/>
    </row>
    <row r="1503" spans="1:19" ht="19.5" hidden="1" customHeight="1" outlineLevel="1">
      <c r="A1503" s="29">
        <v>48</v>
      </c>
      <c r="B1503" s="30">
        <f>IF(15&lt;=DAY(DATE(YEAR(설정_코스수당!$K$2),MONTH(설정_코스수당!$K$2)+1,0)),DATE(YEAR(설정_코스수당!$K$2),MONTH(설정_코스수당!$K$2),15),"")</f>
        <v>46188</v>
      </c>
      <c r="C1503" s="31"/>
      <c r="D1503" s="29"/>
      <c r="E1503" s="29"/>
      <c r="F1503" s="32"/>
      <c r="G1503" s="29"/>
      <c r="H1503" s="29"/>
      <c r="I1503" s="29"/>
      <c r="J1503" s="33">
        <f>IF($O1503="방문완료",MAX(0,IFERROR(VLOOKUP($E1503,설정_코스수당!$A$6:$H$10,4,FALSE),0)-IF(OR($P1503="",$P1503="없음"),0,100000)),0)</f>
        <v>0</v>
      </c>
      <c r="K1503" s="33">
        <f t="array" ref="K1503">IF($O1503="방문완료",IFERROR(INDEX(설정_코스수당!$B$15:$F$64,MATCH($G1503,설정_코스수당!$A$15:$A$64,0),MATCH($E1503&amp;"수당",설정_코스수당!$B$14:$F$14,0)),0),0)</f>
        <v>0</v>
      </c>
      <c r="L1503" s="33">
        <f t="array" ref="L1503">IF($O1503="방문완료",IF($H1503="",0,IFERROR(INDEX(설정_코스수당!$B$15:$F$64,MATCH($H1503,설정_코스수당!$A$15:$A$64,0),MATCH($E1503&amp;"수당",설정_코스수당!$B$14:$F$14,0)),0)),0)</f>
        <v>0</v>
      </c>
      <c r="M1503" s="33">
        <f>IF($O1503="방문완료",IFERROR(VLOOKUP($E1503,설정_코스수당!$A$6:$H$10,6,FALSE),0),0)</f>
        <v>0</v>
      </c>
      <c r="N1503" s="34">
        <f t="shared" si="43"/>
        <v>0</v>
      </c>
      <c r="O1503" s="29"/>
      <c r="P1503" s="29"/>
      <c r="Q1503" s="29"/>
      <c r="R1503" s="32"/>
      <c r="S1503" s="29"/>
    </row>
    <row r="1504" spans="1:19" ht="19.5" hidden="1" customHeight="1" outlineLevel="1">
      <c r="A1504" s="23">
        <v>49</v>
      </c>
      <c r="B1504" s="24">
        <f>IF(15&lt;=DAY(DATE(YEAR(설정_코스수당!$K$2),MONTH(설정_코스수당!$K$2)+1,0)),DATE(YEAR(설정_코스수당!$K$2),MONTH(설정_코스수당!$K$2),15),"")</f>
        <v>46188</v>
      </c>
      <c r="C1504" s="25"/>
      <c r="D1504" s="23"/>
      <c r="E1504" s="23"/>
      <c r="F1504" s="26"/>
      <c r="G1504" s="23"/>
      <c r="H1504" s="23"/>
      <c r="I1504" s="23"/>
      <c r="J1504" s="27">
        <f>IF($O1504="방문완료",MAX(0,IFERROR(VLOOKUP($E1504,설정_코스수당!$A$6:$H$10,4,FALSE),0)-IF(OR($P1504="",$P1504="없음"),0,100000)),0)</f>
        <v>0</v>
      </c>
      <c r="K1504" s="27">
        <f t="array" ref="K1504">IF($O1504="방문완료",IFERROR(INDEX(설정_코스수당!$B$15:$F$64,MATCH($G1504,설정_코스수당!$A$15:$A$64,0),MATCH($E1504&amp;"수당",설정_코스수당!$B$14:$F$14,0)),0),0)</f>
        <v>0</v>
      </c>
      <c r="L1504" s="27">
        <f t="array" ref="L1504">IF($O1504="방문완료",IF($H1504="",0,IFERROR(INDEX(설정_코스수당!$B$15:$F$64,MATCH($H1504,설정_코스수당!$A$15:$A$64,0),MATCH($E1504&amp;"수당",설정_코스수당!$B$14:$F$14,0)),0)),0)</f>
        <v>0</v>
      </c>
      <c r="M1504" s="27">
        <f>IF($O1504="방문완료",IFERROR(VLOOKUP($E1504,설정_코스수당!$A$6:$H$10,6,FALSE),0),0)</f>
        <v>0</v>
      </c>
      <c r="N1504" s="28">
        <f t="shared" si="43"/>
        <v>0</v>
      </c>
      <c r="O1504" s="23"/>
      <c r="P1504" s="23"/>
      <c r="Q1504" s="23"/>
      <c r="R1504" s="26"/>
      <c r="S1504" s="23"/>
    </row>
    <row r="1505" spans="1:22" ht="19.5" hidden="1" customHeight="1" outlineLevel="1">
      <c r="A1505" s="29">
        <v>50</v>
      </c>
      <c r="B1505" s="30">
        <f>IF(15&lt;=DAY(DATE(YEAR(설정_코스수당!$K$2),MONTH(설정_코스수당!$K$2)+1,0)),DATE(YEAR(설정_코스수당!$K$2),MONTH(설정_코스수당!$K$2),15),"")</f>
        <v>46188</v>
      </c>
      <c r="C1505" s="31"/>
      <c r="D1505" s="29"/>
      <c r="E1505" s="29"/>
      <c r="F1505" s="32"/>
      <c r="G1505" s="29"/>
      <c r="H1505" s="29"/>
      <c r="I1505" s="29"/>
      <c r="J1505" s="33">
        <f>IF($O1505="방문완료",MAX(0,IFERROR(VLOOKUP($E1505,설정_코스수당!$A$6:$H$10,4,FALSE),0)-IF(OR($P1505="",$P1505="없음"),0,100000)),0)</f>
        <v>0</v>
      </c>
      <c r="K1505" s="33">
        <f t="array" ref="K1505">IF($O1505="방문완료",IFERROR(INDEX(설정_코스수당!$B$15:$F$64,MATCH($G1505,설정_코스수당!$A$15:$A$64,0),MATCH($E1505&amp;"수당",설정_코스수당!$B$14:$F$14,0)),0),0)</f>
        <v>0</v>
      </c>
      <c r="L1505" s="33">
        <f t="array" ref="L1505">IF($O1505="방문완료",IF($H1505="",0,IFERROR(INDEX(설정_코스수당!$B$15:$F$64,MATCH($H1505,설정_코스수당!$A$15:$A$64,0),MATCH($E1505&amp;"수당",설정_코스수당!$B$14:$F$14,0)),0)),0)</f>
        <v>0</v>
      </c>
      <c r="M1505" s="33">
        <f>IF($O1505="방문완료",IFERROR(VLOOKUP($E1505,설정_코스수당!$A$6:$H$10,6,FALSE),0),0)</f>
        <v>0</v>
      </c>
      <c r="N1505" s="34">
        <f t="shared" si="43"/>
        <v>0</v>
      </c>
      <c r="O1505" s="29"/>
      <c r="P1505" s="29"/>
      <c r="Q1505" s="29"/>
      <c r="R1505" s="32"/>
      <c r="S1505" s="29"/>
    </row>
    <row r="1506" spans="1:22" ht="19.5" hidden="1" customHeight="1" outlineLevel="1">
      <c r="A1506" s="23">
        <v>51</v>
      </c>
      <c r="B1506" s="24">
        <f>IF(15&lt;=DAY(DATE(YEAR(설정_코스수당!$K$2),MONTH(설정_코스수당!$K$2)+1,0)),DATE(YEAR(설정_코스수당!$K$2),MONTH(설정_코스수당!$K$2),15),"")</f>
        <v>46188</v>
      </c>
      <c r="C1506" s="25"/>
      <c r="D1506" s="23"/>
      <c r="E1506" s="23"/>
      <c r="F1506" s="26"/>
      <c r="G1506" s="23"/>
      <c r="H1506" s="23"/>
      <c r="I1506" s="23"/>
      <c r="J1506" s="27">
        <f>IF($O1506="방문완료",MAX(0,IFERROR(VLOOKUP($E1506,설정_코스수당!$A$6:$H$10,4,FALSE),0)-IF(OR($P1506="",$P1506="없음"),0,100000)),0)</f>
        <v>0</v>
      </c>
      <c r="K1506" s="27">
        <f t="array" ref="K1506">IF($O1506="방문완료",IFERROR(INDEX(설정_코스수당!$B$15:$F$64,MATCH($G1506,설정_코스수당!$A$15:$A$64,0),MATCH($E1506&amp;"수당",설정_코스수당!$B$14:$F$14,0)),0),0)</f>
        <v>0</v>
      </c>
      <c r="L1506" s="27">
        <f t="array" ref="L1506">IF($O1506="방문완료",IF($H1506="",0,IFERROR(INDEX(설정_코스수당!$B$15:$F$64,MATCH($H1506,설정_코스수당!$A$15:$A$64,0),MATCH($E1506&amp;"수당",설정_코스수당!$B$14:$F$14,0)),0)),0)</f>
        <v>0</v>
      </c>
      <c r="M1506" s="27">
        <f>IF($O1506="방문완료",IFERROR(VLOOKUP($E1506,설정_코스수당!$A$6:$H$10,6,FALSE),0),0)</f>
        <v>0</v>
      </c>
      <c r="N1506" s="28">
        <f t="shared" si="43"/>
        <v>0</v>
      </c>
      <c r="O1506" s="23"/>
      <c r="P1506" s="23"/>
      <c r="Q1506" s="23"/>
      <c r="R1506" s="26"/>
      <c r="S1506" s="23"/>
    </row>
    <row r="1507" spans="1:22" ht="19.5" hidden="1" customHeight="1" outlineLevel="1">
      <c r="A1507" s="29">
        <v>52</v>
      </c>
      <c r="B1507" s="30">
        <f>IF(15&lt;=DAY(DATE(YEAR(설정_코스수당!$K$2),MONTH(설정_코스수당!$K$2)+1,0)),DATE(YEAR(설정_코스수당!$K$2),MONTH(설정_코스수당!$K$2),15),"")</f>
        <v>46188</v>
      </c>
      <c r="C1507" s="31"/>
      <c r="D1507" s="29"/>
      <c r="E1507" s="29"/>
      <c r="F1507" s="32"/>
      <c r="G1507" s="29"/>
      <c r="H1507" s="29"/>
      <c r="I1507" s="29"/>
      <c r="J1507" s="33">
        <f>IF($O1507="방문완료",MAX(0,IFERROR(VLOOKUP($E1507,설정_코스수당!$A$6:$H$10,4,FALSE),0)-IF(OR($P1507="",$P1507="없음"),0,100000)),0)</f>
        <v>0</v>
      </c>
      <c r="K1507" s="33">
        <f t="array" ref="K1507">IF($O1507="방문완료",IFERROR(INDEX(설정_코스수당!$B$15:$F$64,MATCH($G1507,설정_코스수당!$A$15:$A$64,0),MATCH($E1507&amp;"수당",설정_코스수당!$B$14:$F$14,0)),0),0)</f>
        <v>0</v>
      </c>
      <c r="L1507" s="33">
        <f t="array" ref="L1507">IF($O1507="방문완료",IF($H1507="",0,IFERROR(INDEX(설정_코스수당!$B$15:$F$64,MATCH($H1507,설정_코스수당!$A$15:$A$64,0),MATCH($E1507&amp;"수당",설정_코스수당!$B$14:$F$14,0)),0)),0)</f>
        <v>0</v>
      </c>
      <c r="M1507" s="33">
        <f>IF($O1507="방문완료",IFERROR(VLOOKUP($E1507,설정_코스수당!$A$6:$H$10,6,FALSE),0),0)</f>
        <v>0</v>
      </c>
      <c r="N1507" s="34">
        <f t="shared" si="43"/>
        <v>0</v>
      </c>
      <c r="O1507" s="29"/>
      <c r="P1507" s="29"/>
      <c r="Q1507" s="29"/>
      <c r="R1507" s="32"/>
      <c r="S1507" s="29"/>
    </row>
    <row r="1508" spans="1:22" ht="19.5" hidden="1" customHeight="1" outlineLevel="1">
      <c r="A1508" s="23">
        <v>53</v>
      </c>
      <c r="B1508" s="24">
        <f>IF(15&lt;=DAY(DATE(YEAR(설정_코스수당!$K$2),MONTH(설정_코스수당!$K$2)+1,0)),DATE(YEAR(설정_코스수당!$K$2),MONTH(설정_코스수당!$K$2),15),"")</f>
        <v>46188</v>
      </c>
      <c r="C1508" s="25"/>
      <c r="D1508" s="23"/>
      <c r="E1508" s="23"/>
      <c r="F1508" s="26"/>
      <c r="G1508" s="23"/>
      <c r="H1508" s="23"/>
      <c r="I1508" s="23"/>
      <c r="J1508" s="27">
        <f>IF($O1508="방문완료",MAX(0,IFERROR(VLOOKUP($E1508,설정_코스수당!$A$6:$H$10,4,FALSE),0)-IF(OR($P1508="",$P1508="없음"),0,100000)),0)</f>
        <v>0</v>
      </c>
      <c r="K1508" s="27">
        <f t="array" ref="K1508">IF($O1508="방문완료",IFERROR(INDEX(설정_코스수당!$B$15:$F$64,MATCH($G1508,설정_코스수당!$A$15:$A$64,0),MATCH($E1508&amp;"수당",설정_코스수당!$B$14:$F$14,0)),0),0)</f>
        <v>0</v>
      </c>
      <c r="L1508" s="27">
        <f t="array" ref="L1508">IF($O1508="방문완료",IF($H1508="",0,IFERROR(INDEX(설정_코스수당!$B$15:$F$64,MATCH($H1508,설정_코스수당!$A$15:$A$64,0),MATCH($E1508&amp;"수당",설정_코스수당!$B$14:$F$14,0)),0)),0)</f>
        <v>0</v>
      </c>
      <c r="M1508" s="27">
        <f>IF($O1508="방문완료",IFERROR(VLOOKUP($E1508,설정_코스수당!$A$6:$H$10,6,FALSE),0),0)</f>
        <v>0</v>
      </c>
      <c r="N1508" s="28">
        <f t="shared" si="43"/>
        <v>0</v>
      </c>
      <c r="O1508" s="23"/>
      <c r="P1508" s="23"/>
      <c r="Q1508" s="23"/>
      <c r="R1508" s="26"/>
      <c r="S1508" s="23"/>
    </row>
    <row r="1509" spans="1:22" ht="19.5" hidden="1" customHeight="1" outlineLevel="1">
      <c r="A1509" s="29">
        <v>54</v>
      </c>
      <c r="B1509" s="30">
        <f>IF(15&lt;=DAY(DATE(YEAR(설정_코스수당!$K$2),MONTH(설정_코스수당!$K$2)+1,0)),DATE(YEAR(설정_코스수당!$K$2),MONTH(설정_코스수당!$K$2),15),"")</f>
        <v>46188</v>
      </c>
      <c r="C1509" s="31"/>
      <c r="D1509" s="29"/>
      <c r="E1509" s="29"/>
      <c r="F1509" s="32"/>
      <c r="G1509" s="29"/>
      <c r="H1509" s="29"/>
      <c r="I1509" s="29"/>
      <c r="J1509" s="33">
        <f>IF($O1509="방문완료",MAX(0,IFERROR(VLOOKUP($E1509,설정_코스수당!$A$6:$H$10,4,FALSE),0)-IF(OR($P1509="",$P1509="없음"),0,100000)),0)</f>
        <v>0</v>
      </c>
      <c r="K1509" s="33">
        <f t="array" ref="K1509">IF($O1509="방문완료",IFERROR(INDEX(설정_코스수당!$B$15:$F$64,MATCH($G1509,설정_코스수당!$A$15:$A$64,0),MATCH($E1509&amp;"수당",설정_코스수당!$B$14:$F$14,0)),0),0)</f>
        <v>0</v>
      </c>
      <c r="L1509" s="33">
        <f t="array" ref="L1509">IF($O1509="방문완료",IF($H1509="",0,IFERROR(INDEX(설정_코스수당!$B$15:$F$64,MATCH($H1509,설정_코스수당!$A$15:$A$64,0),MATCH($E1509&amp;"수당",설정_코스수당!$B$14:$F$14,0)),0)),0)</f>
        <v>0</v>
      </c>
      <c r="M1509" s="33">
        <f>IF($O1509="방문완료",IFERROR(VLOOKUP($E1509,설정_코스수당!$A$6:$H$10,6,FALSE),0),0)</f>
        <v>0</v>
      </c>
      <c r="N1509" s="34">
        <f t="shared" si="43"/>
        <v>0</v>
      </c>
      <c r="O1509" s="29"/>
      <c r="P1509" s="29"/>
      <c r="Q1509" s="29"/>
      <c r="R1509" s="32"/>
      <c r="S1509" s="29"/>
    </row>
    <row r="1510" spans="1:22" ht="19.5" hidden="1" customHeight="1" outlineLevel="1">
      <c r="A1510" s="23">
        <v>55</v>
      </c>
      <c r="B1510" s="24">
        <f>IF(15&lt;=DAY(DATE(YEAR(설정_코스수당!$K$2),MONTH(설정_코스수당!$K$2)+1,0)),DATE(YEAR(설정_코스수당!$K$2),MONTH(설정_코스수당!$K$2),15),"")</f>
        <v>46188</v>
      </c>
      <c r="C1510" s="25"/>
      <c r="D1510" s="23"/>
      <c r="E1510" s="23"/>
      <c r="F1510" s="26"/>
      <c r="G1510" s="23"/>
      <c r="H1510" s="23"/>
      <c r="I1510" s="23"/>
      <c r="J1510" s="27">
        <f>IF($O1510="방문완료",MAX(0,IFERROR(VLOOKUP($E1510,설정_코스수당!$A$6:$H$10,4,FALSE),0)-IF(OR($P1510="",$P1510="없음"),0,100000)),0)</f>
        <v>0</v>
      </c>
      <c r="K1510" s="27">
        <f t="array" ref="K1510">IF($O1510="방문완료",IFERROR(INDEX(설정_코스수당!$B$15:$F$64,MATCH($G1510,설정_코스수당!$A$15:$A$64,0),MATCH($E1510&amp;"수당",설정_코스수당!$B$14:$F$14,0)),0),0)</f>
        <v>0</v>
      </c>
      <c r="L1510" s="27">
        <f t="array" ref="L1510">IF($O1510="방문완료",IF($H1510="",0,IFERROR(INDEX(설정_코스수당!$B$15:$F$64,MATCH($H1510,설정_코스수당!$A$15:$A$64,0),MATCH($E1510&amp;"수당",설정_코스수당!$B$14:$F$14,0)),0)),0)</f>
        <v>0</v>
      </c>
      <c r="M1510" s="27">
        <f>IF($O1510="방문완료",IFERROR(VLOOKUP($E1510,설정_코스수당!$A$6:$H$10,6,FALSE),0),0)</f>
        <v>0</v>
      </c>
      <c r="N1510" s="28">
        <f t="shared" si="43"/>
        <v>0</v>
      </c>
      <c r="O1510" s="23"/>
      <c r="P1510" s="23"/>
      <c r="Q1510" s="23"/>
      <c r="R1510" s="26"/>
      <c r="S1510" s="23"/>
    </row>
    <row r="1511" spans="1:22" ht="19.5" hidden="1" customHeight="1" outlineLevel="1">
      <c r="A1511" s="29">
        <v>56</v>
      </c>
      <c r="B1511" s="30">
        <f>IF(15&lt;=DAY(DATE(YEAR(설정_코스수당!$K$2),MONTH(설정_코스수당!$K$2)+1,0)),DATE(YEAR(설정_코스수당!$K$2),MONTH(설정_코스수당!$K$2),15),"")</f>
        <v>46188</v>
      </c>
      <c r="C1511" s="31"/>
      <c r="D1511" s="29"/>
      <c r="E1511" s="29"/>
      <c r="F1511" s="32"/>
      <c r="G1511" s="29"/>
      <c r="H1511" s="29"/>
      <c r="I1511" s="29"/>
      <c r="J1511" s="33">
        <f>IF($O1511="방문완료",MAX(0,IFERROR(VLOOKUP($E1511,설정_코스수당!$A$6:$H$10,4,FALSE),0)-IF(OR($P1511="",$P1511="없음"),0,100000)),0)</f>
        <v>0</v>
      </c>
      <c r="K1511" s="33">
        <f t="array" ref="K1511">IF($O1511="방문완료",IFERROR(INDEX(설정_코스수당!$B$15:$F$64,MATCH($G1511,설정_코스수당!$A$15:$A$64,0),MATCH($E1511&amp;"수당",설정_코스수당!$B$14:$F$14,0)),0),0)</f>
        <v>0</v>
      </c>
      <c r="L1511" s="33">
        <f t="array" ref="L1511">IF($O1511="방문완료",IF($H1511="",0,IFERROR(INDEX(설정_코스수당!$B$15:$F$64,MATCH($H1511,설정_코스수당!$A$15:$A$64,0),MATCH($E1511&amp;"수당",설정_코스수당!$B$14:$F$14,0)),0)),0)</f>
        <v>0</v>
      </c>
      <c r="M1511" s="33">
        <f>IF($O1511="방문완료",IFERROR(VLOOKUP($E1511,설정_코스수당!$A$6:$H$10,6,FALSE),0),0)</f>
        <v>0</v>
      </c>
      <c r="N1511" s="34">
        <f t="shared" si="43"/>
        <v>0</v>
      </c>
      <c r="O1511" s="29"/>
      <c r="P1511" s="29"/>
      <c r="Q1511" s="29"/>
      <c r="R1511" s="32"/>
      <c r="S1511" s="29"/>
    </row>
    <row r="1512" spans="1:22" ht="19.5" hidden="1" customHeight="1" outlineLevel="1">
      <c r="A1512" s="23">
        <v>57</v>
      </c>
      <c r="B1512" s="24">
        <f>IF(15&lt;=DAY(DATE(YEAR(설정_코스수당!$K$2),MONTH(설정_코스수당!$K$2)+1,0)),DATE(YEAR(설정_코스수당!$K$2),MONTH(설정_코스수당!$K$2),15),"")</f>
        <v>46188</v>
      </c>
      <c r="C1512" s="25"/>
      <c r="D1512" s="23"/>
      <c r="E1512" s="23"/>
      <c r="F1512" s="26"/>
      <c r="G1512" s="23"/>
      <c r="H1512" s="23"/>
      <c r="I1512" s="23"/>
      <c r="J1512" s="27">
        <f>IF($O1512="방문완료",MAX(0,IFERROR(VLOOKUP($E1512,설정_코스수당!$A$6:$H$10,4,FALSE),0)-IF(OR($P1512="",$P1512="없음"),0,100000)),0)</f>
        <v>0</v>
      </c>
      <c r="K1512" s="27">
        <f t="array" ref="K1512">IF($O1512="방문완료",IFERROR(INDEX(설정_코스수당!$B$15:$F$64,MATCH($G1512,설정_코스수당!$A$15:$A$64,0),MATCH($E1512&amp;"수당",설정_코스수당!$B$14:$F$14,0)),0),0)</f>
        <v>0</v>
      </c>
      <c r="L1512" s="27">
        <f t="array" ref="L1512">IF($O1512="방문완료",IF($H1512="",0,IFERROR(INDEX(설정_코스수당!$B$15:$F$64,MATCH($H1512,설정_코스수당!$A$15:$A$64,0),MATCH($E1512&amp;"수당",설정_코스수당!$B$14:$F$14,0)),0)),0)</f>
        <v>0</v>
      </c>
      <c r="M1512" s="27">
        <f>IF($O1512="방문완료",IFERROR(VLOOKUP($E1512,설정_코스수당!$A$6:$H$10,6,FALSE),0),0)</f>
        <v>0</v>
      </c>
      <c r="N1512" s="28">
        <f t="shared" si="43"/>
        <v>0</v>
      </c>
      <c r="O1512" s="23"/>
      <c r="P1512" s="23"/>
      <c r="Q1512" s="23"/>
      <c r="R1512" s="26"/>
      <c r="S1512" s="23"/>
    </row>
    <row r="1513" spans="1:22" ht="19.5" hidden="1" customHeight="1" outlineLevel="1">
      <c r="A1513" s="29">
        <v>58</v>
      </c>
      <c r="B1513" s="30">
        <f>IF(15&lt;=DAY(DATE(YEAR(설정_코스수당!$K$2),MONTH(설정_코스수당!$K$2)+1,0)),DATE(YEAR(설정_코스수당!$K$2),MONTH(설정_코스수당!$K$2),15),"")</f>
        <v>46188</v>
      </c>
      <c r="C1513" s="31"/>
      <c r="D1513" s="29"/>
      <c r="E1513" s="29"/>
      <c r="F1513" s="32"/>
      <c r="G1513" s="29"/>
      <c r="H1513" s="29"/>
      <c r="I1513" s="29"/>
      <c r="J1513" s="33">
        <f>IF($O1513="방문완료",MAX(0,IFERROR(VLOOKUP($E1513,설정_코스수당!$A$6:$H$10,4,FALSE),0)-IF(OR($P1513="",$P1513="없음"),0,100000)),0)</f>
        <v>0</v>
      </c>
      <c r="K1513" s="33">
        <f t="array" ref="K1513">IF($O1513="방문완료",IFERROR(INDEX(설정_코스수당!$B$15:$F$64,MATCH($G1513,설정_코스수당!$A$15:$A$64,0),MATCH($E1513&amp;"수당",설정_코스수당!$B$14:$F$14,0)),0),0)</f>
        <v>0</v>
      </c>
      <c r="L1513" s="33">
        <f t="array" ref="L1513">IF($O1513="방문완료",IF($H1513="",0,IFERROR(INDEX(설정_코스수당!$B$15:$F$64,MATCH($H1513,설정_코스수당!$A$15:$A$64,0),MATCH($E1513&amp;"수당",설정_코스수당!$B$14:$F$14,0)),0)),0)</f>
        <v>0</v>
      </c>
      <c r="M1513" s="33">
        <f>IF($O1513="방문완료",IFERROR(VLOOKUP($E1513,설정_코스수당!$A$6:$H$10,6,FALSE),0),0)</f>
        <v>0</v>
      </c>
      <c r="N1513" s="34">
        <f t="shared" si="43"/>
        <v>0</v>
      </c>
      <c r="O1513" s="29"/>
      <c r="P1513" s="29"/>
      <c r="Q1513" s="29"/>
      <c r="R1513" s="32"/>
      <c r="S1513" s="29"/>
    </row>
    <row r="1514" spans="1:22" ht="19.5" hidden="1" customHeight="1" outlineLevel="1">
      <c r="A1514" s="23">
        <v>59</v>
      </c>
      <c r="B1514" s="24">
        <f>IF(15&lt;=DAY(DATE(YEAR(설정_코스수당!$K$2),MONTH(설정_코스수당!$K$2)+1,0)),DATE(YEAR(설정_코스수당!$K$2),MONTH(설정_코스수당!$K$2),15),"")</f>
        <v>46188</v>
      </c>
      <c r="C1514" s="25"/>
      <c r="D1514" s="23"/>
      <c r="E1514" s="23"/>
      <c r="F1514" s="26"/>
      <c r="G1514" s="23"/>
      <c r="H1514" s="23"/>
      <c r="I1514" s="23"/>
      <c r="J1514" s="27">
        <f>IF($O1514="방문완료",MAX(0,IFERROR(VLOOKUP($E1514,설정_코스수당!$A$6:$H$10,4,FALSE),0)-IF(OR($P1514="",$P1514="없음"),0,100000)),0)</f>
        <v>0</v>
      </c>
      <c r="K1514" s="27">
        <f t="array" ref="K1514">IF($O1514="방문완료",IFERROR(INDEX(설정_코스수당!$B$15:$F$64,MATCH($G1514,설정_코스수당!$A$15:$A$64,0),MATCH($E1514&amp;"수당",설정_코스수당!$B$14:$F$14,0)),0),0)</f>
        <v>0</v>
      </c>
      <c r="L1514" s="27">
        <f t="array" ref="L1514">IF($O1514="방문완료",IF($H1514="",0,IFERROR(INDEX(설정_코스수당!$B$15:$F$64,MATCH($H1514,설정_코스수당!$A$15:$A$64,0),MATCH($E1514&amp;"수당",설정_코스수당!$B$14:$F$14,0)),0)),0)</f>
        <v>0</v>
      </c>
      <c r="M1514" s="27">
        <f>IF($O1514="방문완료",IFERROR(VLOOKUP($E1514,설정_코스수당!$A$6:$H$10,6,FALSE),0),0)</f>
        <v>0</v>
      </c>
      <c r="N1514" s="28">
        <f t="shared" si="43"/>
        <v>0</v>
      </c>
      <c r="O1514" s="23"/>
      <c r="P1514" s="23"/>
      <c r="Q1514" s="23"/>
      <c r="R1514" s="26"/>
      <c r="S1514" s="23"/>
    </row>
    <row r="1515" spans="1:22" ht="19.5" hidden="1" customHeight="1" outlineLevel="1">
      <c r="A1515" s="29">
        <v>60</v>
      </c>
      <c r="B1515" s="30">
        <f>IF(15&lt;=DAY(DATE(YEAR(설정_코스수당!$K$2),MONTH(설정_코스수당!$K$2)+1,0)),DATE(YEAR(설정_코스수당!$K$2),MONTH(설정_코스수당!$K$2),15),"")</f>
        <v>46188</v>
      </c>
      <c r="C1515" s="31"/>
      <c r="D1515" s="29"/>
      <c r="E1515" s="29"/>
      <c r="F1515" s="32"/>
      <c r="G1515" s="29"/>
      <c r="H1515" s="29"/>
      <c r="I1515" s="29"/>
      <c r="J1515" s="33">
        <f>IF($O1515="방문완료",MAX(0,IFERROR(VLOOKUP($E1515,설정_코스수당!$A$6:$H$10,4,FALSE),0)-IF(OR($P1515="",$P1515="없음"),0,100000)),0)</f>
        <v>0</v>
      </c>
      <c r="K1515" s="33">
        <f t="array" ref="K1515">IF($O1515="방문완료",IFERROR(INDEX(설정_코스수당!$B$15:$F$64,MATCH($G1515,설정_코스수당!$A$15:$A$64,0),MATCH($E1515&amp;"수당",설정_코스수당!$B$14:$F$14,0)),0),0)</f>
        <v>0</v>
      </c>
      <c r="L1515" s="33">
        <f t="array" ref="L1515">IF($O1515="방문완료",IF($H1515="",0,IFERROR(INDEX(설정_코스수당!$B$15:$F$64,MATCH($H1515,설정_코스수당!$A$15:$A$64,0),MATCH($E1515&amp;"수당",설정_코스수당!$B$14:$F$14,0)),0)),0)</f>
        <v>0</v>
      </c>
      <c r="M1515" s="33">
        <f>IF($O1515="방문완료",IFERROR(VLOOKUP($E1515,설정_코스수당!$A$6:$H$10,6,FALSE),0),0)</f>
        <v>0</v>
      </c>
      <c r="N1515" s="34">
        <f t="shared" si="43"/>
        <v>0</v>
      </c>
      <c r="O1515" s="29"/>
      <c r="P1515" s="29"/>
      <c r="Q1515" s="29"/>
      <c r="R1515" s="32"/>
      <c r="S1515" s="29"/>
    </row>
    <row r="1516" spans="1:22" ht="19.5" hidden="1" customHeight="1" outlineLevel="1">
      <c r="A1516" s="23">
        <v>61</v>
      </c>
      <c r="B1516" s="24">
        <f>IF(15&lt;=DAY(DATE(YEAR(설정_코스수당!$K$2),MONTH(설정_코스수당!$K$2)+1,0)),DATE(YEAR(설정_코스수당!$K$2),MONTH(설정_코스수당!$K$2),15),"")</f>
        <v>46188</v>
      </c>
      <c r="C1516" s="25"/>
      <c r="D1516" s="23"/>
      <c r="E1516" s="23"/>
      <c r="F1516" s="26"/>
      <c r="G1516" s="23"/>
      <c r="H1516" s="23"/>
      <c r="I1516" s="23"/>
      <c r="J1516" s="27">
        <f>IF($O1516="방문완료",MAX(0,IFERROR(VLOOKUP($E1516,설정_코스수당!$A$6:$H$10,4,FALSE),0)-IF(OR($P1516="",$P1516="없음"),0,100000)),0)</f>
        <v>0</v>
      </c>
      <c r="K1516" s="27">
        <f t="array" ref="K1516">IF($O1516="방문완료",IFERROR(INDEX(설정_코스수당!$B$15:$F$64,MATCH($G1516,설정_코스수당!$A$15:$A$64,0),MATCH($E1516&amp;"수당",설정_코스수당!$B$14:$F$14,0)),0),0)</f>
        <v>0</v>
      </c>
      <c r="L1516" s="27">
        <f t="array" ref="L1516">IF($O1516="방문완료",IF($H1516="",0,IFERROR(INDEX(설정_코스수당!$B$15:$F$64,MATCH($H1516,설정_코스수당!$A$15:$A$64,0),MATCH($E1516&amp;"수당",설정_코스수당!$B$14:$F$14,0)),0)),0)</f>
        <v>0</v>
      </c>
      <c r="M1516" s="27">
        <f>IF($O1516="방문완료",IFERROR(VLOOKUP($E1516,설정_코스수당!$A$6:$H$10,6,FALSE),0),0)</f>
        <v>0</v>
      </c>
      <c r="N1516" s="28">
        <f t="shared" si="43"/>
        <v>0</v>
      </c>
      <c r="O1516" s="23"/>
      <c r="P1516" s="23"/>
      <c r="Q1516" s="23"/>
      <c r="R1516" s="26"/>
      <c r="S1516" s="23"/>
    </row>
    <row r="1517" spans="1:22" ht="19.5" hidden="1" customHeight="1" outlineLevel="1">
      <c r="A1517" s="29">
        <v>62</v>
      </c>
      <c r="B1517" s="30">
        <f>IF(15&lt;=DAY(DATE(YEAR(설정_코스수당!$K$2),MONTH(설정_코스수당!$K$2)+1,0)),DATE(YEAR(설정_코스수당!$K$2),MONTH(설정_코스수당!$K$2),15),"")</f>
        <v>46188</v>
      </c>
      <c r="C1517" s="31"/>
      <c r="D1517" s="29"/>
      <c r="E1517" s="29"/>
      <c r="F1517" s="32"/>
      <c r="G1517" s="29"/>
      <c r="H1517" s="29"/>
      <c r="I1517" s="29"/>
      <c r="J1517" s="33">
        <f>IF($O1517="방문완료",MAX(0,IFERROR(VLOOKUP($E1517,설정_코스수당!$A$6:$H$10,4,FALSE),0)-IF(OR($P1517="",$P1517="없음"),0,100000)),0)</f>
        <v>0</v>
      </c>
      <c r="K1517" s="33">
        <f t="array" ref="K1517">IF($O1517="방문완료",IFERROR(INDEX(설정_코스수당!$B$15:$F$64,MATCH($G1517,설정_코스수당!$A$15:$A$64,0),MATCH($E1517&amp;"수당",설정_코스수당!$B$14:$F$14,0)),0),0)</f>
        <v>0</v>
      </c>
      <c r="L1517" s="33">
        <f t="array" ref="L1517">IF($O1517="방문완료",IF($H1517="",0,IFERROR(INDEX(설정_코스수당!$B$15:$F$64,MATCH($H1517,설정_코스수당!$A$15:$A$64,0),MATCH($E1517&amp;"수당",설정_코스수당!$B$14:$F$14,0)),0)),0)</f>
        <v>0</v>
      </c>
      <c r="M1517" s="33">
        <f>IF($O1517="방문완료",IFERROR(VLOOKUP($E1517,설정_코스수당!$A$6:$H$10,6,FALSE),0),0)</f>
        <v>0</v>
      </c>
      <c r="N1517" s="34">
        <f t="shared" si="43"/>
        <v>0</v>
      </c>
      <c r="O1517" s="29"/>
      <c r="P1517" s="29"/>
      <c r="Q1517" s="29"/>
      <c r="R1517" s="32"/>
      <c r="S1517" s="29"/>
    </row>
    <row r="1518" spans="1:22" ht="19.5" hidden="1" customHeight="1" outlineLevel="1">
      <c r="A1518" s="23">
        <v>63</v>
      </c>
      <c r="B1518" s="24">
        <f>IF(15&lt;=DAY(DATE(YEAR(설정_코스수당!$K$2),MONTH(설정_코스수당!$K$2)+1,0)),DATE(YEAR(설정_코스수당!$K$2),MONTH(설정_코스수당!$K$2),15),"")</f>
        <v>46188</v>
      </c>
      <c r="C1518" s="25"/>
      <c r="D1518" s="23"/>
      <c r="E1518" s="23"/>
      <c r="F1518" s="26"/>
      <c r="G1518" s="23"/>
      <c r="H1518" s="23"/>
      <c r="I1518" s="23"/>
      <c r="J1518" s="27">
        <f>IF($O1518="방문완료",MAX(0,IFERROR(VLOOKUP($E1518,설정_코스수당!$A$6:$H$10,4,FALSE),0)-IF(OR($P1518="",$P1518="없음"),0,100000)),0)</f>
        <v>0</v>
      </c>
      <c r="K1518" s="27">
        <f t="array" ref="K1518">IF($O1518="방문완료",IFERROR(INDEX(설정_코스수당!$B$15:$F$64,MATCH($G1518,설정_코스수당!$A$15:$A$64,0),MATCH($E1518&amp;"수당",설정_코스수당!$B$14:$F$14,0)),0),0)</f>
        <v>0</v>
      </c>
      <c r="L1518" s="27">
        <f t="array" ref="L1518">IF($O1518="방문완료",IF($H1518="",0,IFERROR(INDEX(설정_코스수당!$B$15:$F$64,MATCH($H1518,설정_코스수당!$A$15:$A$64,0),MATCH($E1518&amp;"수당",설정_코스수당!$B$14:$F$14,0)),0)),0)</f>
        <v>0</v>
      </c>
      <c r="M1518" s="27">
        <f>IF($O1518="방문완료",IFERROR(VLOOKUP($E1518,설정_코스수당!$A$6:$H$10,6,FALSE),0),0)</f>
        <v>0</v>
      </c>
      <c r="N1518" s="28">
        <f t="shared" si="43"/>
        <v>0</v>
      </c>
      <c r="O1518" s="23"/>
      <c r="P1518" s="23"/>
      <c r="Q1518" s="23"/>
      <c r="R1518" s="26"/>
      <c r="S1518" s="23"/>
    </row>
    <row r="1519" spans="1:22" ht="19.5" hidden="1" customHeight="1" outlineLevel="1">
      <c r="A1519" s="29">
        <v>64</v>
      </c>
      <c r="B1519" s="30">
        <f>IF(15&lt;=DAY(DATE(YEAR(설정_코스수당!$K$2),MONTH(설정_코스수당!$K$2)+1,0)),DATE(YEAR(설정_코스수당!$K$2),MONTH(설정_코스수당!$K$2),15),"")</f>
        <v>46188</v>
      </c>
      <c r="C1519" s="31"/>
      <c r="D1519" s="29"/>
      <c r="E1519" s="29"/>
      <c r="F1519" s="32"/>
      <c r="G1519" s="29"/>
      <c r="H1519" s="29"/>
      <c r="I1519" s="29"/>
      <c r="J1519" s="33">
        <f>IF($O1519="방문완료",MAX(0,IFERROR(VLOOKUP($E1519,설정_코스수당!$A$6:$H$10,4,FALSE),0)-IF(OR($P1519="",$P1519="없음"),0,100000)),0)</f>
        <v>0</v>
      </c>
      <c r="K1519" s="33">
        <f t="array" ref="K1519">IF($O1519="방문완료",IFERROR(INDEX(설정_코스수당!$B$15:$F$64,MATCH($G1519,설정_코스수당!$A$15:$A$64,0),MATCH($E1519&amp;"수당",설정_코스수당!$B$14:$F$14,0)),0),0)</f>
        <v>0</v>
      </c>
      <c r="L1519" s="33">
        <f t="array" ref="L1519">IF($O1519="방문완료",IF($H1519="",0,IFERROR(INDEX(설정_코스수당!$B$15:$F$64,MATCH($H1519,설정_코스수당!$A$15:$A$64,0),MATCH($E1519&amp;"수당",설정_코스수당!$B$14:$F$14,0)),0)),0)</f>
        <v>0</v>
      </c>
      <c r="M1519" s="33">
        <f>IF($O1519="방문완료",IFERROR(VLOOKUP($E1519,설정_코스수당!$A$6:$H$10,6,FALSE),0),0)</f>
        <v>0</v>
      </c>
      <c r="N1519" s="34">
        <f t="shared" si="43"/>
        <v>0</v>
      </c>
      <c r="O1519" s="29"/>
      <c r="P1519" s="29"/>
      <c r="Q1519" s="29"/>
      <c r="R1519" s="32"/>
      <c r="S1519" s="29"/>
    </row>
    <row r="1520" spans="1:22" ht="19.5" hidden="1" customHeight="1" outlineLevel="1">
      <c r="A1520" s="23">
        <v>65</v>
      </c>
      <c r="B1520" s="24">
        <f>IF(15&lt;=DAY(DATE(YEAR(설정_코스수당!$K$2),MONTH(설정_코스수당!$K$2)+1,0)),DATE(YEAR(설정_코스수당!$K$2),MONTH(설정_코스수당!$K$2),15),"")</f>
        <v>46188</v>
      </c>
      <c r="C1520" s="25"/>
      <c r="D1520" s="23"/>
      <c r="E1520" s="23"/>
      <c r="F1520" s="26"/>
      <c r="G1520" s="23"/>
      <c r="H1520" s="23"/>
      <c r="I1520" s="23"/>
      <c r="J1520" s="27">
        <f>IF($O1520="방문완료",MAX(0,IFERROR(VLOOKUP($E1520,설정_코스수당!$A$6:$H$10,4,FALSE),0)-IF(OR($P1520="",$P1520="없음"),0,100000)),0)</f>
        <v>0</v>
      </c>
      <c r="K1520" s="27">
        <f t="array" ref="K1520">IF($O1520="방문완료",IFERROR(INDEX(설정_코스수당!$B$15:$F$64,MATCH($G1520,설정_코스수당!$A$15:$A$64,0),MATCH($E1520&amp;"수당",설정_코스수당!$B$14:$F$14,0)),0),0)</f>
        <v>0</v>
      </c>
      <c r="L1520" s="27">
        <f t="array" ref="L1520">IF($O1520="방문완료",IF($H1520="",0,IFERROR(INDEX(설정_코스수당!$B$15:$F$64,MATCH($H1520,설정_코스수당!$A$15:$A$64,0),MATCH($E1520&amp;"수당",설정_코스수당!$B$14:$F$14,0)),0)),0)</f>
        <v>0</v>
      </c>
      <c r="M1520" s="27">
        <f>IF($O1520="방문완료",IFERROR(VLOOKUP($E1520,설정_코스수당!$A$6:$H$10,6,FALSE),0),0)</f>
        <v>0</v>
      </c>
      <c r="N1520" s="28">
        <f t="shared" ref="N1520:N1555" si="44">IF($O1520="방문완료",1,0)</f>
        <v>0</v>
      </c>
      <c r="O1520" s="23"/>
      <c r="P1520" s="23"/>
      <c r="Q1520" s="23"/>
      <c r="R1520" s="26"/>
      <c r="S1520" s="23"/>
      <c r="U1520" s="16" t="s">
        <v>72</v>
      </c>
      <c r="V1520" s="17">
        <f>IF(16&lt;=DAY(DATE(YEAR(설정_코스수당!$K$2),MONTH(설정_코스수당!$K$2)+1,0)),COUNTIFS($B:$B,DATE(YEAR(설정_코스수당!$K$2),MONTH(설정_코스수당!$K$2),16),$O:$O,"방문완료",$P:$P,"&lt;&gt;",$P:$P,"&lt;&gt;없음")*100000,"")</f>
        <v>0</v>
      </c>
    </row>
    <row r="1521" spans="1:19" ht="19.5" hidden="1" customHeight="1" outlineLevel="1">
      <c r="A1521" s="29">
        <v>66</v>
      </c>
      <c r="B1521" s="30">
        <f>IF(15&lt;=DAY(DATE(YEAR(설정_코스수당!$K$2),MONTH(설정_코스수당!$K$2)+1,0)),DATE(YEAR(설정_코스수당!$K$2),MONTH(설정_코스수당!$K$2),15),"")</f>
        <v>46188</v>
      </c>
      <c r="C1521" s="31"/>
      <c r="D1521" s="29"/>
      <c r="E1521" s="29"/>
      <c r="F1521" s="32"/>
      <c r="G1521" s="29"/>
      <c r="H1521" s="29"/>
      <c r="I1521" s="29"/>
      <c r="J1521" s="33">
        <f>IF($O1521="방문완료",MAX(0,IFERROR(VLOOKUP($E1521,설정_코스수당!$A$6:$H$10,4,FALSE),0)-IF(OR($P1521="",$P1521="없음"),0,100000)),0)</f>
        <v>0</v>
      </c>
      <c r="K1521" s="33">
        <f t="array" ref="K1521">IF($O1521="방문완료",IFERROR(INDEX(설정_코스수당!$B$15:$F$64,MATCH($G1521,설정_코스수당!$A$15:$A$64,0),MATCH($E1521&amp;"수당",설정_코스수당!$B$14:$F$14,0)),0),0)</f>
        <v>0</v>
      </c>
      <c r="L1521" s="33">
        <f t="array" ref="L1521">IF($O1521="방문완료",IF($H1521="",0,IFERROR(INDEX(설정_코스수당!$B$15:$F$64,MATCH($H1521,설정_코스수당!$A$15:$A$64,0),MATCH($E1521&amp;"수당",설정_코스수당!$B$14:$F$14,0)),0)),0)</f>
        <v>0</v>
      </c>
      <c r="M1521" s="33">
        <f>IF($O1521="방문완료",IFERROR(VLOOKUP($E1521,설정_코스수당!$A$6:$H$10,6,FALSE),0),0)</f>
        <v>0</v>
      </c>
      <c r="N1521" s="34">
        <f t="shared" si="44"/>
        <v>0</v>
      </c>
      <c r="O1521" s="29"/>
      <c r="P1521" s="29"/>
      <c r="Q1521" s="29"/>
      <c r="R1521" s="32"/>
      <c r="S1521" s="29"/>
    </row>
    <row r="1522" spans="1:19" ht="19.5" hidden="1" customHeight="1" outlineLevel="1">
      <c r="A1522" s="23">
        <v>67</v>
      </c>
      <c r="B1522" s="24">
        <f>IF(15&lt;=DAY(DATE(YEAR(설정_코스수당!$K$2),MONTH(설정_코스수당!$K$2)+1,0)),DATE(YEAR(설정_코스수당!$K$2),MONTH(설정_코스수당!$K$2),15),"")</f>
        <v>46188</v>
      </c>
      <c r="C1522" s="25"/>
      <c r="D1522" s="23"/>
      <c r="E1522" s="23"/>
      <c r="F1522" s="26"/>
      <c r="G1522" s="23"/>
      <c r="H1522" s="23"/>
      <c r="I1522" s="23"/>
      <c r="J1522" s="27">
        <f>IF($O1522="방문완료",MAX(0,IFERROR(VLOOKUP($E1522,설정_코스수당!$A$6:$H$10,4,FALSE),0)-IF(OR($P1522="",$P1522="없음"),0,100000)),0)</f>
        <v>0</v>
      </c>
      <c r="K1522" s="27">
        <f t="array" ref="K1522">IF($O1522="방문완료",IFERROR(INDEX(설정_코스수당!$B$15:$F$64,MATCH($G1522,설정_코스수당!$A$15:$A$64,0),MATCH($E1522&amp;"수당",설정_코스수당!$B$14:$F$14,0)),0),0)</f>
        <v>0</v>
      </c>
      <c r="L1522" s="27">
        <f t="array" ref="L1522">IF($O1522="방문완료",IF($H1522="",0,IFERROR(INDEX(설정_코스수당!$B$15:$F$64,MATCH($H1522,설정_코스수당!$A$15:$A$64,0),MATCH($E1522&amp;"수당",설정_코스수당!$B$14:$F$14,0)),0)),0)</f>
        <v>0</v>
      </c>
      <c r="M1522" s="27">
        <f>IF($O1522="방문완료",IFERROR(VLOOKUP($E1522,설정_코스수당!$A$6:$H$10,6,FALSE),0),0)</f>
        <v>0</v>
      </c>
      <c r="N1522" s="28">
        <f t="shared" si="44"/>
        <v>0</v>
      </c>
      <c r="O1522" s="23"/>
      <c r="P1522" s="23"/>
      <c r="Q1522" s="23"/>
      <c r="R1522" s="26"/>
      <c r="S1522" s="23"/>
    </row>
    <row r="1523" spans="1:19" ht="19.5" hidden="1" customHeight="1" outlineLevel="1">
      <c r="A1523" s="29">
        <v>68</v>
      </c>
      <c r="B1523" s="30">
        <f>IF(15&lt;=DAY(DATE(YEAR(설정_코스수당!$K$2),MONTH(설정_코스수당!$K$2)+1,0)),DATE(YEAR(설정_코스수당!$K$2),MONTH(설정_코스수당!$K$2),15),"")</f>
        <v>46188</v>
      </c>
      <c r="C1523" s="31"/>
      <c r="D1523" s="29"/>
      <c r="E1523" s="29"/>
      <c r="F1523" s="32"/>
      <c r="G1523" s="29"/>
      <c r="H1523" s="29"/>
      <c r="I1523" s="29"/>
      <c r="J1523" s="33">
        <f>IF($O1523="방문완료",MAX(0,IFERROR(VLOOKUP($E1523,설정_코스수당!$A$6:$H$10,4,FALSE),0)-IF(OR($P1523="",$P1523="없음"),0,100000)),0)</f>
        <v>0</v>
      </c>
      <c r="K1523" s="33">
        <f t="array" ref="K1523">IF($O1523="방문완료",IFERROR(INDEX(설정_코스수당!$B$15:$F$64,MATCH($G1523,설정_코스수당!$A$15:$A$64,0),MATCH($E1523&amp;"수당",설정_코스수당!$B$14:$F$14,0)),0),0)</f>
        <v>0</v>
      </c>
      <c r="L1523" s="33">
        <f t="array" ref="L1523">IF($O1523="방문완료",IF($H1523="",0,IFERROR(INDEX(설정_코스수당!$B$15:$F$64,MATCH($H1523,설정_코스수당!$A$15:$A$64,0),MATCH($E1523&amp;"수당",설정_코스수당!$B$14:$F$14,0)),0)),0)</f>
        <v>0</v>
      </c>
      <c r="M1523" s="33">
        <f>IF($O1523="방문완료",IFERROR(VLOOKUP($E1523,설정_코스수당!$A$6:$H$10,6,FALSE),0),0)</f>
        <v>0</v>
      </c>
      <c r="N1523" s="34">
        <f t="shared" si="44"/>
        <v>0</v>
      </c>
      <c r="O1523" s="29"/>
      <c r="P1523" s="29"/>
      <c r="Q1523" s="29"/>
      <c r="R1523" s="32"/>
      <c r="S1523" s="29"/>
    </row>
    <row r="1524" spans="1:19" ht="19.5" hidden="1" customHeight="1" outlineLevel="1">
      <c r="A1524" s="23">
        <v>69</v>
      </c>
      <c r="B1524" s="24">
        <f>IF(15&lt;=DAY(DATE(YEAR(설정_코스수당!$K$2),MONTH(설정_코스수당!$K$2)+1,0)),DATE(YEAR(설정_코스수당!$K$2),MONTH(설정_코스수당!$K$2),15),"")</f>
        <v>46188</v>
      </c>
      <c r="C1524" s="25"/>
      <c r="D1524" s="23"/>
      <c r="E1524" s="23"/>
      <c r="F1524" s="26"/>
      <c r="G1524" s="23"/>
      <c r="H1524" s="23"/>
      <c r="I1524" s="23"/>
      <c r="J1524" s="27">
        <f>IF($O1524="방문완료",MAX(0,IFERROR(VLOOKUP($E1524,설정_코스수당!$A$6:$H$10,4,FALSE),0)-IF(OR($P1524="",$P1524="없음"),0,100000)),0)</f>
        <v>0</v>
      </c>
      <c r="K1524" s="27">
        <f t="array" ref="K1524">IF($O1524="방문완료",IFERROR(INDEX(설정_코스수당!$B$15:$F$64,MATCH($G1524,설정_코스수당!$A$15:$A$64,0),MATCH($E1524&amp;"수당",설정_코스수당!$B$14:$F$14,0)),0),0)</f>
        <v>0</v>
      </c>
      <c r="L1524" s="27">
        <f t="array" ref="L1524">IF($O1524="방문완료",IF($H1524="",0,IFERROR(INDEX(설정_코스수당!$B$15:$F$64,MATCH($H1524,설정_코스수당!$A$15:$A$64,0),MATCH($E1524&amp;"수당",설정_코스수당!$B$14:$F$14,0)),0)),0)</f>
        <v>0</v>
      </c>
      <c r="M1524" s="27">
        <f>IF($O1524="방문완료",IFERROR(VLOOKUP($E1524,설정_코스수당!$A$6:$H$10,6,FALSE),0),0)</f>
        <v>0</v>
      </c>
      <c r="N1524" s="28">
        <f t="shared" si="44"/>
        <v>0</v>
      </c>
      <c r="O1524" s="23"/>
      <c r="P1524" s="23"/>
      <c r="Q1524" s="23"/>
      <c r="R1524" s="26"/>
      <c r="S1524" s="23"/>
    </row>
    <row r="1525" spans="1:19" ht="19.5" hidden="1" customHeight="1" outlineLevel="1">
      <c r="A1525" s="29">
        <v>70</v>
      </c>
      <c r="B1525" s="30">
        <f>IF(15&lt;=DAY(DATE(YEAR(설정_코스수당!$K$2),MONTH(설정_코스수당!$K$2)+1,0)),DATE(YEAR(설정_코스수당!$K$2),MONTH(설정_코스수당!$K$2),15),"")</f>
        <v>46188</v>
      </c>
      <c r="C1525" s="31"/>
      <c r="D1525" s="29"/>
      <c r="E1525" s="29"/>
      <c r="F1525" s="32"/>
      <c r="G1525" s="29"/>
      <c r="H1525" s="29"/>
      <c r="I1525" s="29"/>
      <c r="J1525" s="33">
        <f>IF($O1525="방문완료",MAX(0,IFERROR(VLOOKUP($E1525,설정_코스수당!$A$6:$H$10,4,FALSE),0)-IF(OR($P1525="",$P1525="없음"),0,100000)),0)</f>
        <v>0</v>
      </c>
      <c r="K1525" s="33">
        <f t="array" ref="K1525">IF($O1525="방문완료",IFERROR(INDEX(설정_코스수당!$B$15:$F$64,MATCH($G1525,설정_코스수당!$A$15:$A$64,0),MATCH($E1525&amp;"수당",설정_코스수당!$B$14:$F$14,0)),0),0)</f>
        <v>0</v>
      </c>
      <c r="L1525" s="33">
        <f t="array" ref="L1525">IF($O1525="방문완료",IF($H1525="",0,IFERROR(INDEX(설정_코스수당!$B$15:$F$64,MATCH($H1525,설정_코스수당!$A$15:$A$64,0),MATCH($E1525&amp;"수당",설정_코스수당!$B$14:$F$14,0)),0)),0)</f>
        <v>0</v>
      </c>
      <c r="M1525" s="33">
        <f>IF($O1525="방문완료",IFERROR(VLOOKUP($E1525,설정_코스수당!$A$6:$H$10,6,FALSE),0),0)</f>
        <v>0</v>
      </c>
      <c r="N1525" s="34">
        <f t="shared" si="44"/>
        <v>0</v>
      </c>
      <c r="O1525" s="29"/>
      <c r="P1525" s="29"/>
      <c r="Q1525" s="29"/>
      <c r="R1525" s="32"/>
      <c r="S1525" s="29"/>
    </row>
    <row r="1526" spans="1:19" ht="19.5" hidden="1" customHeight="1" outlineLevel="1">
      <c r="A1526" s="23">
        <v>71</v>
      </c>
      <c r="B1526" s="24">
        <f>IF(15&lt;=DAY(DATE(YEAR(설정_코스수당!$K$2),MONTH(설정_코스수당!$K$2)+1,0)),DATE(YEAR(설정_코스수당!$K$2),MONTH(설정_코스수당!$K$2),15),"")</f>
        <v>46188</v>
      </c>
      <c r="C1526" s="25"/>
      <c r="D1526" s="23"/>
      <c r="E1526" s="23"/>
      <c r="F1526" s="26"/>
      <c r="G1526" s="23"/>
      <c r="H1526" s="23"/>
      <c r="I1526" s="23"/>
      <c r="J1526" s="27">
        <f>IF($O1526="방문완료",MAX(0,IFERROR(VLOOKUP($E1526,설정_코스수당!$A$6:$H$10,4,FALSE),0)-IF(OR($P1526="",$P1526="없음"),0,100000)),0)</f>
        <v>0</v>
      </c>
      <c r="K1526" s="27">
        <f t="array" ref="K1526">IF($O1526="방문완료",IFERROR(INDEX(설정_코스수당!$B$15:$F$64,MATCH($G1526,설정_코스수당!$A$15:$A$64,0),MATCH($E1526&amp;"수당",설정_코스수당!$B$14:$F$14,0)),0),0)</f>
        <v>0</v>
      </c>
      <c r="L1526" s="27">
        <f t="array" ref="L1526">IF($O1526="방문완료",IF($H1526="",0,IFERROR(INDEX(설정_코스수당!$B$15:$F$64,MATCH($H1526,설정_코스수당!$A$15:$A$64,0),MATCH($E1526&amp;"수당",설정_코스수당!$B$14:$F$14,0)),0)),0)</f>
        <v>0</v>
      </c>
      <c r="M1526" s="27">
        <f>IF($O1526="방문완료",IFERROR(VLOOKUP($E1526,설정_코스수당!$A$6:$H$10,6,FALSE),0),0)</f>
        <v>0</v>
      </c>
      <c r="N1526" s="28">
        <f t="shared" si="44"/>
        <v>0</v>
      </c>
      <c r="O1526" s="23"/>
      <c r="P1526" s="23"/>
      <c r="Q1526" s="23"/>
      <c r="R1526" s="26"/>
      <c r="S1526" s="23"/>
    </row>
    <row r="1527" spans="1:19" ht="19.5" hidden="1" customHeight="1" outlineLevel="1">
      <c r="A1527" s="29">
        <v>72</v>
      </c>
      <c r="B1527" s="30">
        <f>IF(15&lt;=DAY(DATE(YEAR(설정_코스수당!$K$2),MONTH(설정_코스수당!$K$2)+1,0)),DATE(YEAR(설정_코스수당!$K$2),MONTH(설정_코스수당!$K$2),15),"")</f>
        <v>46188</v>
      </c>
      <c r="C1527" s="31"/>
      <c r="D1527" s="29"/>
      <c r="E1527" s="29"/>
      <c r="F1527" s="32"/>
      <c r="G1527" s="29"/>
      <c r="H1527" s="29"/>
      <c r="I1527" s="29"/>
      <c r="J1527" s="33">
        <f>IF($O1527="방문완료",MAX(0,IFERROR(VLOOKUP($E1527,설정_코스수당!$A$6:$H$10,4,FALSE),0)-IF(OR($P1527="",$P1527="없음"),0,100000)),0)</f>
        <v>0</v>
      </c>
      <c r="K1527" s="33">
        <f t="array" ref="K1527">IF($O1527="방문완료",IFERROR(INDEX(설정_코스수당!$B$15:$F$64,MATCH($G1527,설정_코스수당!$A$15:$A$64,0),MATCH($E1527&amp;"수당",설정_코스수당!$B$14:$F$14,0)),0),0)</f>
        <v>0</v>
      </c>
      <c r="L1527" s="33">
        <f t="array" ref="L1527">IF($O1527="방문완료",IF($H1527="",0,IFERROR(INDEX(설정_코스수당!$B$15:$F$64,MATCH($H1527,설정_코스수당!$A$15:$A$64,0),MATCH($E1527&amp;"수당",설정_코스수당!$B$14:$F$14,0)),0)),0)</f>
        <v>0</v>
      </c>
      <c r="M1527" s="33">
        <f>IF($O1527="방문완료",IFERROR(VLOOKUP($E1527,설정_코스수당!$A$6:$H$10,6,FALSE),0),0)</f>
        <v>0</v>
      </c>
      <c r="N1527" s="34">
        <f t="shared" si="44"/>
        <v>0</v>
      </c>
      <c r="O1527" s="29"/>
      <c r="P1527" s="29"/>
      <c r="Q1527" s="29"/>
      <c r="R1527" s="32"/>
      <c r="S1527" s="29"/>
    </row>
    <row r="1528" spans="1:19" ht="19.5" hidden="1" customHeight="1" outlineLevel="1">
      <c r="A1528" s="23">
        <v>73</v>
      </c>
      <c r="B1528" s="24">
        <f>IF(15&lt;=DAY(DATE(YEAR(설정_코스수당!$K$2),MONTH(설정_코스수당!$K$2)+1,0)),DATE(YEAR(설정_코스수당!$K$2),MONTH(설정_코스수당!$K$2),15),"")</f>
        <v>46188</v>
      </c>
      <c r="C1528" s="25"/>
      <c r="D1528" s="23"/>
      <c r="E1528" s="23"/>
      <c r="F1528" s="26"/>
      <c r="G1528" s="23"/>
      <c r="H1528" s="23"/>
      <c r="I1528" s="23"/>
      <c r="J1528" s="27">
        <f>IF($O1528="방문완료",MAX(0,IFERROR(VLOOKUP($E1528,설정_코스수당!$A$6:$H$10,4,FALSE),0)-IF(OR($P1528="",$P1528="없음"),0,100000)),0)</f>
        <v>0</v>
      </c>
      <c r="K1528" s="27">
        <f t="array" ref="K1528">IF($O1528="방문완료",IFERROR(INDEX(설정_코스수당!$B$15:$F$64,MATCH($G1528,설정_코스수당!$A$15:$A$64,0),MATCH($E1528&amp;"수당",설정_코스수당!$B$14:$F$14,0)),0),0)</f>
        <v>0</v>
      </c>
      <c r="L1528" s="27">
        <f t="array" ref="L1528">IF($O1528="방문완료",IF($H1528="",0,IFERROR(INDEX(설정_코스수당!$B$15:$F$64,MATCH($H1528,설정_코스수당!$A$15:$A$64,0),MATCH($E1528&amp;"수당",설정_코스수당!$B$14:$F$14,0)),0)),0)</f>
        <v>0</v>
      </c>
      <c r="M1528" s="27">
        <f>IF($O1528="방문완료",IFERROR(VLOOKUP($E1528,설정_코스수당!$A$6:$H$10,6,FALSE),0),0)</f>
        <v>0</v>
      </c>
      <c r="N1528" s="28">
        <f t="shared" si="44"/>
        <v>0</v>
      </c>
      <c r="O1528" s="23"/>
      <c r="P1528" s="23"/>
      <c r="Q1528" s="23"/>
      <c r="R1528" s="26"/>
      <c r="S1528" s="23"/>
    </row>
    <row r="1529" spans="1:19" ht="19.5" hidden="1" customHeight="1" outlineLevel="1">
      <c r="A1529" s="29">
        <v>74</v>
      </c>
      <c r="B1529" s="30">
        <f>IF(15&lt;=DAY(DATE(YEAR(설정_코스수당!$K$2),MONTH(설정_코스수당!$K$2)+1,0)),DATE(YEAR(설정_코스수당!$K$2),MONTH(설정_코스수당!$K$2),15),"")</f>
        <v>46188</v>
      </c>
      <c r="C1529" s="31"/>
      <c r="D1529" s="29"/>
      <c r="E1529" s="29"/>
      <c r="F1529" s="32"/>
      <c r="G1529" s="29"/>
      <c r="H1529" s="29"/>
      <c r="I1529" s="29"/>
      <c r="J1529" s="33">
        <f>IF($O1529="방문완료",MAX(0,IFERROR(VLOOKUP($E1529,설정_코스수당!$A$6:$H$10,4,FALSE),0)-IF(OR($P1529="",$P1529="없음"),0,100000)),0)</f>
        <v>0</v>
      </c>
      <c r="K1529" s="33">
        <f t="array" ref="K1529">IF($O1529="방문완료",IFERROR(INDEX(설정_코스수당!$B$15:$F$64,MATCH($G1529,설정_코스수당!$A$15:$A$64,0),MATCH($E1529&amp;"수당",설정_코스수당!$B$14:$F$14,0)),0),0)</f>
        <v>0</v>
      </c>
      <c r="L1529" s="33">
        <f t="array" ref="L1529">IF($O1529="방문완료",IF($H1529="",0,IFERROR(INDEX(설정_코스수당!$B$15:$F$64,MATCH($H1529,설정_코스수당!$A$15:$A$64,0),MATCH($E1529&amp;"수당",설정_코스수당!$B$14:$F$14,0)),0)),0)</f>
        <v>0</v>
      </c>
      <c r="M1529" s="33">
        <f>IF($O1529="방문완료",IFERROR(VLOOKUP($E1529,설정_코스수당!$A$6:$H$10,6,FALSE),0),0)</f>
        <v>0</v>
      </c>
      <c r="N1529" s="34">
        <f t="shared" si="44"/>
        <v>0</v>
      </c>
      <c r="O1529" s="29"/>
      <c r="P1529" s="29"/>
      <c r="Q1529" s="29"/>
      <c r="R1529" s="32"/>
      <c r="S1529" s="29"/>
    </row>
    <row r="1530" spans="1:19" ht="19.5" hidden="1" customHeight="1" outlineLevel="1">
      <c r="A1530" s="23">
        <v>75</v>
      </c>
      <c r="B1530" s="24">
        <f>IF(15&lt;=DAY(DATE(YEAR(설정_코스수당!$K$2),MONTH(설정_코스수당!$K$2)+1,0)),DATE(YEAR(설정_코스수당!$K$2),MONTH(설정_코스수당!$K$2),15),"")</f>
        <v>46188</v>
      </c>
      <c r="C1530" s="25"/>
      <c r="D1530" s="23"/>
      <c r="E1530" s="23"/>
      <c r="F1530" s="26"/>
      <c r="G1530" s="23"/>
      <c r="H1530" s="23"/>
      <c r="I1530" s="23"/>
      <c r="J1530" s="27">
        <f>IF($O1530="방문완료",MAX(0,IFERROR(VLOOKUP($E1530,설정_코스수당!$A$6:$H$10,4,FALSE),0)-IF(OR($P1530="",$P1530="없음"),0,100000)),0)</f>
        <v>0</v>
      </c>
      <c r="K1530" s="27">
        <f t="array" ref="K1530">IF($O1530="방문완료",IFERROR(INDEX(설정_코스수당!$B$15:$F$64,MATCH($G1530,설정_코스수당!$A$15:$A$64,0),MATCH($E1530&amp;"수당",설정_코스수당!$B$14:$F$14,0)),0),0)</f>
        <v>0</v>
      </c>
      <c r="L1530" s="27">
        <f t="array" ref="L1530">IF($O1530="방문완료",IF($H1530="",0,IFERROR(INDEX(설정_코스수당!$B$15:$F$64,MATCH($H1530,설정_코스수당!$A$15:$A$64,0),MATCH($E1530&amp;"수당",설정_코스수당!$B$14:$F$14,0)),0)),0)</f>
        <v>0</v>
      </c>
      <c r="M1530" s="27">
        <f>IF($O1530="방문완료",IFERROR(VLOOKUP($E1530,설정_코스수당!$A$6:$H$10,6,FALSE),0),0)</f>
        <v>0</v>
      </c>
      <c r="N1530" s="28">
        <f t="shared" si="44"/>
        <v>0</v>
      </c>
      <c r="O1530" s="23"/>
      <c r="P1530" s="23"/>
      <c r="Q1530" s="23"/>
      <c r="R1530" s="26"/>
      <c r="S1530" s="23"/>
    </row>
    <row r="1531" spans="1:19" ht="19.5" hidden="1" customHeight="1" outlineLevel="1">
      <c r="A1531" s="29">
        <v>76</v>
      </c>
      <c r="B1531" s="30">
        <f>IF(15&lt;=DAY(DATE(YEAR(설정_코스수당!$K$2),MONTH(설정_코스수당!$K$2)+1,0)),DATE(YEAR(설정_코스수당!$K$2),MONTH(설정_코스수당!$K$2),15),"")</f>
        <v>46188</v>
      </c>
      <c r="C1531" s="31"/>
      <c r="D1531" s="29"/>
      <c r="E1531" s="29"/>
      <c r="F1531" s="32"/>
      <c r="G1531" s="29"/>
      <c r="H1531" s="29"/>
      <c r="I1531" s="29"/>
      <c r="J1531" s="33">
        <f>IF($O1531="방문완료",MAX(0,IFERROR(VLOOKUP($E1531,설정_코스수당!$A$6:$H$10,4,FALSE),0)-IF(OR($P1531="",$P1531="없음"),0,100000)),0)</f>
        <v>0</v>
      </c>
      <c r="K1531" s="33">
        <f t="array" ref="K1531">IF($O1531="방문완료",IFERROR(INDEX(설정_코스수당!$B$15:$F$64,MATCH($G1531,설정_코스수당!$A$15:$A$64,0),MATCH($E1531&amp;"수당",설정_코스수당!$B$14:$F$14,0)),0),0)</f>
        <v>0</v>
      </c>
      <c r="L1531" s="33">
        <f t="array" ref="L1531">IF($O1531="방문완료",IF($H1531="",0,IFERROR(INDEX(설정_코스수당!$B$15:$F$64,MATCH($H1531,설정_코스수당!$A$15:$A$64,0),MATCH($E1531&amp;"수당",설정_코스수당!$B$14:$F$14,0)),0)),0)</f>
        <v>0</v>
      </c>
      <c r="M1531" s="33">
        <f>IF($O1531="방문완료",IFERROR(VLOOKUP($E1531,설정_코스수당!$A$6:$H$10,6,FALSE),0),0)</f>
        <v>0</v>
      </c>
      <c r="N1531" s="34">
        <f t="shared" si="44"/>
        <v>0</v>
      </c>
      <c r="O1531" s="29"/>
      <c r="P1531" s="29"/>
      <c r="Q1531" s="29"/>
      <c r="R1531" s="32"/>
      <c r="S1531" s="29"/>
    </row>
    <row r="1532" spans="1:19" ht="19.5" hidden="1" customHeight="1" outlineLevel="1">
      <c r="A1532" s="23">
        <v>77</v>
      </c>
      <c r="B1532" s="24">
        <f>IF(15&lt;=DAY(DATE(YEAR(설정_코스수당!$K$2),MONTH(설정_코스수당!$K$2)+1,0)),DATE(YEAR(설정_코스수당!$K$2),MONTH(설정_코스수당!$K$2),15),"")</f>
        <v>46188</v>
      </c>
      <c r="C1532" s="25"/>
      <c r="D1532" s="23"/>
      <c r="E1532" s="23"/>
      <c r="F1532" s="26"/>
      <c r="G1532" s="23"/>
      <c r="H1532" s="23"/>
      <c r="I1532" s="23"/>
      <c r="J1532" s="27">
        <f>IF($O1532="방문완료",MAX(0,IFERROR(VLOOKUP($E1532,설정_코스수당!$A$6:$H$10,4,FALSE),0)-IF(OR($P1532="",$P1532="없음"),0,100000)),0)</f>
        <v>0</v>
      </c>
      <c r="K1532" s="27">
        <f t="array" ref="K1532">IF($O1532="방문완료",IFERROR(INDEX(설정_코스수당!$B$15:$F$64,MATCH($G1532,설정_코스수당!$A$15:$A$64,0),MATCH($E1532&amp;"수당",설정_코스수당!$B$14:$F$14,0)),0),0)</f>
        <v>0</v>
      </c>
      <c r="L1532" s="27">
        <f t="array" ref="L1532">IF($O1532="방문완료",IF($H1532="",0,IFERROR(INDEX(설정_코스수당!$B$15:$F$64,MATCH($H1532,설정_코스수당!$A$15:$A$64,0),MATCH($E1532&amp;"수당",설정_코스수당!$B$14:$F$14,0)),0)),0)</f>
        <v>0</v>
      </c>
      <c r="M1532" s="27">
        <f>IF($O1532="방문완료",IFERROR(VLOOKUP($E1532,설정_코스수당!$A$6:$H$10,6,FALSE),0),0)</f>
        <v>0</v>
      </c>
      <c r="N1532" s="28">
        <f t="shared" si="44"/>
        <v>0</v>
      </c>
      <c r="O1532" s="23"/>
      <c r="P1532" s="23"/>
      <c r="Q1532" s="23"/>
      <c r="R1532" s="26"/>
      <c r="S1532" s="23"/>
    </row>
    <row r="1533" spans="1:19" ht="19.5" hidden="1" customHeight="1" outlineLevel="1">
      <c r="A1533" s="29">
        <v>78</v>
      </c>
      <c r="B1533" s="30">
        <f>IF(15&lt;=DAY(DATE(YEAR(설정_코스수당!$K$2),MONTH(설정_코스수당!$K$2)+1,0)),DATE(YEAR(설정_코스수당!$K$2),MONTH(설정_코스수당!$K$2),15),"")</f>
        <v>46188</v>
      </c>
      <c r="C1533" s="31"/>
      <c r="D1533" s="29"/>
      <c r="E1533" s="29"/>
      <c r="F1533" s="32"/>
      <c r="G1533" s="29"/>
      <c r="H1533" s="29"/>
      <c r="I1533" s="29"/>
      <c r="J1533" s="33">
        <f>IF($O1533="방문완료",MAX(0,IFERROR(VLOOKUP($E1533,설정_코스수당!$A$6:$H$10,4,FALSE),0)-IF(OR($P1533="",$P1533="없음"),0,100000)),0)</f>
        <v>0</v>
      </c>
      <c r="K1533" s="33">
        <f t="array" ref="K1533">IF($O1533="방문완료",IFERROR(INDEX(설정_코스수당!$B$15:$F$64,MATCH($G1533,설정_코스수당!$A$15:$A$64,0),MATCH($E1533&amp;"수당",설정_코스수당!$B$14:$F$14,0)),0),0)</f>
        <v>0</v>
      </c>
      <c r="L1533" s="33">
        <f t="array" ref="L1533">IF($O1533="방문완료",IF($H1533="",0,IFERROR(INDEX(설정_코스수당!$B$15:$F$64,MATCH($H1533,설정_코스수당!$A$15:$A$64,0),MATCH($E1533&amp;"수당",설정_코스수당!$B$14:$F$14,0)),0)),0)</f>
        <v>0</v>
      </c>
      <c r="M1533" s="33">
        <f>IF($O1533="방문완료",IFERROR(VLOOKUP($E1533,설정_코스수당!$A$6:$H$10,6,FALSE),0),0)</f>
        <v>0</v>
      </c>
      <c r="N1533" s="34">
        <f t="shared" si="44"/>
        <v>0</v>
      </c>
      <c r="O1533" s="29"/>
      <c r="P1533" s="29"/>
      <c r="Q1533" s="29"/>
      <c r="R1533" s="32"/>
      <c r="S1533" s="29"/>
    </row>
    <row r="1534" spans="1:19" ht="19.5" hidden="1" customHeight="1" outlineLevel="1">
      <c r="A1534" s="23">
        <v>79</v>
      </c>
      <c r="B1534" s="24">
        <f>IF(15&lt;=DAY(DATE(YEAR(설정_코스수당!$K$2),MONTH(설정_코스수당!$K$2)+1,0)),DATE(YEAR(설정_코스수당!$K$2),MONTH(설정_코스수당!$K$2),15),"")</f>
        <v>46188</v>
      </c>
      <c r="C1534" s="25"/>
      <c r="D1534" s="23"/>
      <c r="E1534" s="23"/>
      <c r="F1534" s="26"/>
      <c r="G1534" s="23"/>
      <c r="H1534" s="23"/>
      <c r="I1534" s="23"/>
      <c r="J1534" s="27">
        <f>IF($O1534="방문완료",MAX(0,IFERROR(VLOOKUP($E1534,설정_코스수당!$A$6:$H$10,4,FALSE),0)-IF(OR($P1534="",$P1534="없음"),0,100000)),0)</f>
        <v>0</v>
      </c>
      <c r="K1534" s="27">
        <f t="array" ref="K1534">IF($O1534="방문완료",IFERROR(INDEX(설정_코스수당!$B$15:$F$64,MATCH($G1534,설정_코스수당!$A$15:$A$64,0),MATCH($E1534&amp;"수당",설정_코스수당!$B$14:$F$14,0)),0),0)</f>
        <v>0</v>
      </c>
      <c r="L1534" s="27">
        <f t="array" ref="L1534">IF($O1534="방문완료",IF($H1534="",0,IFERROR(INDEX(설정_코스수당!$B$15:$F$64,MATCH($H1534,설정_코스수당!$A$15:$A$64,0),MATCH($E1534&amp;"수당",설정_코스수당!$B$14:$F$14,0)),0)),0)</f>
        <v>0</v>
      </c>
      <c r="M1534" s="27">
        <f>IF($O1534="방문완료",IFERROR(VLOOKUP($E1534,설정_코스수당!$A$6:$H$10,6,FALSE),0),0)</f>
        <v>0</v>
      </c>
      <c r="N1534" s="28">
        <f t="shared" si="44"/>
        <v>0</v>
      </c>
      <c r="O1534" s="23"/>
      <c r="P1534" s="23"/>
      <c r="Q1534" s="23"/>
      <c r="R1534" s="26"/>
      <c r="S1534" s="23"/>
    </row>
    <row r="1535" spans="1:19" ht="19.5" hidden="1" customHeight="1" outlineLevel="1">
      <c r="A1535" s="29">
        <v>80</v>
      </c>
      <c r="B1535" s="30">
        <f>IF(15&lt;=DAY(DATE(YEAR(설정_코스수당!$K$2),MONTH(설정_코스수당!$K$2)+1,0)),DATE(YEAR(설정_코스수당!$K$2),MONTH(설정_코스수당!$K$2),15),"")</f>
        <v>46188</v>
      </c>
      <c r="C1535" s="31"/>
      <c r="D1535" s="29"/>
      <c r="E1535" s="29"/>
      <c r="F1535" s="32"/>
      <c r="G1535" s="29"/>
      <c r="H1535" s="29"/>
      <c r="I1535" s="29"/>
      <c r="J1535" s="33">
        <f>IF($O1535="방문완료",MAX(0,IFERROR(VLOOKUP($E1535,설정_코스수당!$A$6:$H$10,4,FALSE),0)-IF(OR($P1535="",$P1535="없음"),0,100000)),0)</f>
        <v>0</v>
      </c>
      <c r="K1535" s="33">
        <f t="array" ref="K1535">IF($O1535="방문완료",IFERROR(INDEX(설정_코스수당!$B$15:$F$64,MATCH($G1535,설정_코스수당!$A$15:$A$64,0),MATCH($E1535&amp;"수당",설정_코스수당!$B$14:$F$14,0)),0),0)</f>
        <v>0</v>
      </c>
      <c r="L1535" s="33">
        <f t="array" ref="L1535">IF($O1535="방문완료",IF($H1535="",0,IFERROR(INDEX(설정_코스수당!$B$15:$F$64,MATCH($H1535,설정_코스수당!$A$15:$A$64,0),MATCH($E1535&amp;"수당",설정_코스수당!$B$14:$F$14,0)),0)),0)</f>
        <v>0</v>
      </c>
      <c r="M1535" s="33">
        <f>IF($O1535="방문완료",IFERROR(VLOOKUP($E1535,설정_코스수당!$A$6:$H$10,6,FALSE),0),0)</f>
        <v>0</v>
      </c>
      <c r="N1535" s="34">
        <f t="shared" si="44"/>
        <v>0</v>
      </c>
      <c r="O1535" s="29"/>
      <c r="P1535" s="29"/>
      <c r="Q1535" s="29"/>
      <c r="R1535" s="32"/>
      <c r="S1535" s="29"/>
    </row>
    <row r="1536" spans="1:19" ht="19.5" hidden="1" customHeight="1" outlineLevel="1">
      <c r="A1536" s="23">
        <v>81</v>
      </c>
      <c r="B1536" s="24">
        <f>IF(15&lt;=DAY(DATE(YEAR(설정_코스수당!$K$2),MONTH(설정_코스수당!$K$2)+1,0)),DATE(YEAR(설정_코스수당!$K$2),MONTH(설정_코스수당!$K$2),15),"")</f>
        <v>46188</v>
      </c>
      <c r="C1536" s="25"/>
      <c r="D1536" s="23"/>
      <c r="E1536" s="23"/>
      <c r="F1536" s="26"/>
      <c r="G1536" s="23"/>
      <c r="H1536" s="23"/>
      <c r="I1536" s="23"/>
      <c r="J1536" s="27">
        <f>IF($O1536="방문완료",MAX(0,IFERROR(VLOOKUP($E1536,설정_코스수당!$A$6:$H$10,4,FALSE),0)-IF(OR($P1536="",$P1536="없음"),0,100000)),0)</f>
        <v>0</v>
      </c>
      <c r="K1536" s="27">
        <f t="array" ref="K1536">IF($O1536="방문완료",IFERROR(INDEX(설정_코스수당!$B$15:$F$64,MATCH($G1536,설정_코스수당!$A$15:$A$64,0),MATCH($E1536&amp;"수당",설정_코스수당!$B$14:$F$14,0)),0),0)</f>
        <v>0</v>
      </c>
      <c r="L1536" s="27">
        <f t="array" ref="L1536">IF($O1536="방문완료",IF($H1536="",0,IFERROR(INDEX(설정_코스수당!$B$15:$F$64,MATCH($H1536,설정_코스수당!$A$15:$A$64,0),MATCH($E1536&amp;"수당",설정_코스수당!$B$14:$F$14,0)),0)),0)</f>
        <v>0</v>
      </c>
      <c r="M1536" s="27">
        <f>IF($O1536="방문완료",IFERROR(VLOOKUP($E1536,설정_코스수당!$A$6:$H$10,6,FALSE),0),0)</f>
        <v>0</v>
      </c>
      <c r="N1536" s="28">
        <f t="shared" si="44"/>
        <v>0</v>
      </c>
      <c r="O1536" s="23"/>
      <c r="P1536" s="23"/>
      <c r="Q1536" s="23"/>
      <c r="R1536" s="26"/>
      <c r="S1536" s="23"/>
    </row>
    <row r="1537" spans="1:19" ht="19.5" hidden="1" customHeight="1" outlineLevel="1">
      <c r="A1537" s="29">
        <v>82</v>
      </c>
      <c r="B1537" s="30">
        <f>IF(15&lt;=DAY(DATE(YEAR(설정_코스수당!$K$2),MONTH(설정_코스수당!$K$2)+1,0)),DATE(YEAR(설정_코스수당!$K$2),MONTH(설정_코스수당!$K$2),15),"")</f>
        <v>46188</v>
      </c>
      <c r="C1537" s="31"/>
      <c r="D1537" s="29"/>
      <c r="E1537" s="29"/>
      <c r="F1537" s="32"/>
      <c r="G1537" s="29"/>
      <c r="H1537" s="29"/>
      <c r="I1537" s="29"/>
      <c r="J1537" s="33">
        <f>IF($O1537="방문완료",MAX(0,IFERROR(VLOOKUP($E1537,설정_코스수당!$A$6:$H$10,4,FALSE),0)-IF(OR($P1537="",$P1537="없음"),0,100000)),0)</f>
        <v>0</v>
      </c>
      <c r="K1537" s="33">
        <f t="array" ref="K1537">IF($O1537="방문완료",IFERROR(INDEX(설정_코스수당!$B$15:$F$64,MATCH($G1537,설정_코스수당!$A$15:$A$64,0),MATCH($E1537&amp;"수당",설정_코스수당!$B$14:$F$14,0)),0),0)</f>
        <v>0</v>
      </c>
      <c r="L1537" s="33">
        <f t="array" ref="L1537">IF($O1537="방문완료",IF($H1537="",0,IFERROR(INDEX(설정_코스수당!$B$15:$F$64,MATCH($H1537,설정_코스수당!$A$15:$A$64,0),MATCH($E1537&amp;"수당",설정_코스수당!$B$14:$F$14,0)),0)),0)</f>
        <v>0</v>
      </c>
      <c r="M1537" s="33">
        <f>IF($O1537="방문완료",IFERROR(VLOOKUP($E1537,설정_코스수당!$A$6:$H$10,6,FALSE),0),0)</f>
        <v>0</v>
      </c>
      <c r="N1537" s="34">
        <f t="shared" si="44"/>
        <v>0</v>
      </c>
      <c r="O1537" s="29"/>
      <c r="P1537" s="29"/>
      <c r="Q1537" s="29"/>
      <c r="R1537" s="32"/>
      <c r="S1537" s="29"/>
    </row>
    <row r="1538" spans="1:19" ht="19.5" hidden="1" customHeight="1" outlineLevel="1">
      <c r="A1538" s="23">
        <v>83</v>
      </c>
      <c r="B1538" s="24">
        <f>IF(15&lt;=DAY(DATE(YEAR(설정_코스수당!$K$2),MONTH(설정_코스수당!$K$2)+1,0)),DATE(YEAR(설정_코스수당!$K$2),MONTH(설정_코스수당!$K$2),15),"")</f>
        <v>46188</v>
      </c>
      <c r="C1538" s="25"/>
      <c r="D1538" s="23"/>
      <c r="E1538" s="23"/>
      <c r="F1538" s="26"/>
      <c r="G1538" s="23"/>
      <c r="H1538" s="23"/>
      <c r="I1538" s="23"/>
      <c r="J1538" s="27">
        <f>IF($O1538="방문완료",MAX(0,IFERROR(VLOOKUP($E1538,설정_코스수당!$A$6:$H$10,4,FALSE),0)-IF(OR($P1538="",$P1538="없음"),0,100000)),0)</f>
        <v>0</v>
      </c>
      <c r="K1538" s="27">
        <f t="array" ref="K1538">IF($O1538="방문완료",IFERROR(INDEX(설정_코스수당!$B$15:$F$64,MATCH($G1538,설정_코스수당!$A$15:$A$64,0),MATCH($E1538&amp;"수당",설정_코스수당!$B$14:$F$14,0)),0),0)</f>
        <v>0</v>
      </c>
      <c r="L1538" s="27">
        <f t="array" ref="L1538">IF($O1538="방문완료",IF($H1538="",0,IFERROR(INDEX(설정_코스수당!$B$15:$F$64,MATCH($H1538,설정_코스수당!$A$15:$A$64,0),MATCH($E1538&amp;"수당",설정_코스수당!$B$14:$F$14,0)),0)),0)</f>
        <v>0</v>
      </c>
      <c r="M1538" s="27">
        <f>IF($O1538="방문완료",IFERROR(VLOOKUP($E1538,설정_코스수당!$A$6:$H$10,6,FALSE),0),0)</f>
        <v>0</v>
      </c>
      <c r="N1538" s="28">
        <f t="shared" si="44"/>
        <v>0</v>
      </c>
      <c r="O1538" s="23"/>
      <c r="P1538" s="23"/>
      <c r="Q1538" s="23"/>
      <c r="R1538" s="26"/>
      <c r="S1538" s="23"/>
    </row>
    <row r="1539" spans="1:19" ht="19.5" hidden="1" customHeight="1" outlineLevel="1">
      <c r="A1539" s="29">
        <v>84</v>
      </c>
      <c r="B1539" s="30">
        <f>IF(15&lt;=DAY(DATE(YEAR(설정_코스수당!$K$2),MONTH(설정_코스수당!$K$2)+1,0)),DATE(YEAR(설정_코스수당!$K$2),MONTH(설정_코스수당!$K$2),15),"")</f>
        <v>46188</v>
      </c>
      <c r="C1539" s="31"/>
      <c r="D1539" s="29"/>
      <c r="E1539" s="29"/>
      <c r="F1539" s="32"/>
      <c r="G1539" s="29"/>
      <c r="H1539" s="29"/>
      <c r="I1539" s="29"/>
      <c r="J1539" s="33">
        <f>IF($O1539="방문완료",MAX(0,IFERROR(VLOOKUP($E1539,설정_코스수당!$A$6:$H$10,4,FALSE),0)-IF(OR($P1539="",$P1539="없음"),0,100000)),0)</f>
        <v>0</v>
      </c>
      <c r="K1539" s="33">
        <f t="array" ref="K1539">IF($O1539="방문완료",IFERROR(INDEX(설정_코스수당!$B$15:$F$64,MATCH($G1539,설정_코스수당!$A$15:$A$64,0),MATCH($E1539&amp;"수당",설정_코스수당!$B$14:$F$14,0)),0),0)</f>
        <v>0</v>
      </c>
      <c r="L1539" s="33">
        <f t="array" ref="L1539">IF($O1539="방문완료",IF($H1539="",0,IFERROR(INDEX(설정_코스수당!$B$15:$F$64,MATCH($H1539,설정_코스수당!$A$15:$A$64,0),MATCH($E1539&amp;"수당",설정_코스수당!$B$14:$F$14,0)),0)),0)</f>
        <v>0</v>
      </c>
      <c r="M1539" s="33">
        <f>IF($O1539="방문완료",IFERROR(VLOOKUP($E1539,설정_코스수당!$A$6:$H$10,6,FALSE),0),0)</f>
        <v>0</v>
      </c>
      <c r="N1539" s="34">
        <f t="shared" si="44"/>
        <v>0</v>
      </c>
      <c r="O1539" s="29"/>
      <c r="P1539" s="29"/>
      <c r="Q1539" s="29"/>
      <c r="R1539" s="32"/>
      <c r="S1539" s="29"/>
    </row>
    <row r="1540" spans="1:19" ht="19.5" hidden="1" customHeight="1" outlineLevel="1">
      <c r="A1540" s="23">
        <v>85</v>
      </c>
      <c r="B1540" s="24">
        <f>IF(15&lt;=DAY(DATE(YEAR(설정_코스수당!$K$2),MONTH(설정_코스수당!$K$2)+1,0)),DATE(YEAR(설정_코스수당!$K$2),MONTH(설정_코스수당!$K$2),15),"")</f>
        <v>46188</v>
      </c>
      <c r="C1540" s="25"/>
      <c r="D1540" s="23"/>
      <c r="E1540" s="23"/>
      <c r="F1540" s="26"/>
      <c r="G1540" s="23"/>
      <c r="H1540" s="23"/>
      <c r="I1540" s="23"/>
      <c r="J1540" s="27">
        <f>IF($O1540="방문완료",MAX(0,IFERROR(VLOOKUP($E1540,설정_코스수당!$A$6:$H$10,4,FALSE),0)-IF(OR($P1540="",$P1540="없음"),0,100000)),0)</f>
        <v>0</v>
      </c>
      <c r="K1540" s="27">
        <f t="array" ref="K1540">IF($O1540="방문완료",IFERROR(INDEX(설정_코스수당!$B$15:$F$64,MATCH($G1540,설정_코스수당!$A$15:$A$64,0),MATCH($E1540&amp;"수당",설정_코스수당!$B$14:$F$14,0)),0),0)</f>
        <v>0</v>
      </c>
      <c r="L1540" s="27">
        <f t="array" ref="L1540">IF($O1540="방문완료",IF($H1540="",0,IFERROR(INDEX(설정_코스수당!$B$15:$F$64,MATCH($H1540,설정_코스수당!$A$15:$A$64,0),MATCH($E1540&amp;"수당",설정_코스수당!$B$14:$F$14,0)),0)),0)</f>
        <v>0</v>
      </c>
      <c r="M1540" s="27">
        <f>IF($O1540="방문완료",IFERROR(VLOOKUP($E1540,설정_코스수당!$A$6:$H$10,6,FALSE),0),0)</f>
        <v>0</v>
      </c>
      <c r="N1540" s="28">
        <f t="shared" si="44"/>
        <v>0</v>
      </c>
      <c r="O1540" s="23"/>
      <c r="P1540" s="23"/>
      <c r="Q1540" s="23"/>
      <c r="R1540" s="26"/>
      <c r="S1540" s="23"/>
    </row>
    <row r="1541" spans="1:19" ht="19.5" hidden="1" customHeight="1" outlineLevel="1">
      <c r="A1541" s="29">
        <v>86</v>
      </c>
      <c r="B1541" s="30">
        <f>IF(15&lt;=DAY(DATE(YEAR(설정_코스수당!$K$2),MONTH(설정_코스수당!$K$2)+1,0)),DATE(YEAR(설정_코스수당!$K$2),MONTH(설정_코스수당!$K$2),15),"")</f>
        <v>46188</v>
      </c>
      <c r="C1541" s="31"/>
      <c r="D1541" s="29"/>
      <c r="E1541" s="29"/>
      <c r="F1541" s="32"/>
      <c r="G1541" s="29"/>
      <c r="H1541" s="29"/>
      <c r="I1541" s="29"/>
      <c r="J1541" s="33">
        <f>IF($O1541="방문완료",MAX(0,IFERROR(VLOOKUP($E1541,설정_코스수당!$A$6:$H$10,4,FALSE),0)-IF(OR($P1541="",$P1541="없음"),0,100000)),0)</f>
        <v>0</v>
      </c>
      <c r="K1541" s="33">
        <f t="array" ref="K1541">IF($O1541="방문완료",IFERROR(INDEX(설정_코스수당!$B$15:$F$64,MATCH($G1541,설정_코스수당!$A$15:$A$64,0),MATCH($E1541&amp;"수당",설정_코스수당!$B$14:$F$14,0)),0),0)</f>
        <v>0</v>
      </c>
      <c r="L1541" s="33">
        <f t="array" ref="L1541">IF($O1541="방문완료",IF($H1541="",0,IFERROR(INDEX(설정_코스수당!$B$15:$F$64,MATCH($H1541,설정_코스수당!$A$15:$A$64,0),MATCH($E1541&amp;"수당",설정_코스수당!$B$14:$F$14,0)),0)),0)</f>
        <v>0</v>
      </c>
      <c r="M1541" s="33">
        <f>IF($O1541="방문완료",IFERROR(VLOOKUP($E1541,설정_코스수당!$A$6:$H$10,6,FALSE),0),0)</f>
        <v>0</v>
      </c>
      <c r="N1541" s="34">
        <f t="shared" si="44"/>
        <v>0</v>
      </c>
      <c r="O1541" s="29"/>
      <c r="P1541" s="29"/>
      <c r="Q1541" s="29"/>
      <c r="R1541" s="32"/>
      <c r="S1541" s="29"/>
    </row>
    <row r="1542" spans="1:19" ht="19.5" hidden="1" customHeight="1" outlineLevel="1">
      <c r="A1542" s="23">
        <v>87</v>
      </c>
      <c r="B1542" s="24">
        <f>IF(15&lt;=DAY(DATE(YEAR(설정_코스수당!$K$2),MONTH(설정_코스수당!$K$2)+1,0)),DATE(YEAR(설정_코스수당!$K$2),MONTH(설정_코스수당!$K$2),15),"")</f>
        <v>46188</v>
      </c>
      <c r="C1542" s="25"/>
      <c r="D1542" s="23"/>
      <c r="E1542" s="23"/>
      <c r="F1542" s="26"/>
      <c r="G1542" s="23"/>
      <c r="H1542" s="23"/>
      <c r="I1542" s="23"/>
      <c r="J1542" s="27">
        <f>IF($O1542="방문완료",MAX(0,IFERROR(VLOOKUP($E1542,설정_코스수당!$A$6:$H$10,4,FALSE),0)-IF(OR($P1542="",$P1542="없음"),0,100000)),0)</f>
        <v>0</v>
      </c>
      <c r="K1542" s="27">
        <f t="array" ref="K1542">IF($O1542="방문완료",IFERROR(INDEX(설정_코스수당!$B$15:$F$64,MATCH($G1542,설정_코스수당!$A$15:$A$64,0),MATCH($E1542&amp;"수당",설정_코스수당!$B$14:$F$14,0)),0),0)</f>
        <v>0</v>
      </c>
      <c r="L1542" s="27">
        <f t="array" ref="L1542">IF($O1542="방문완료",IF($H1542="",0,IFERROR(INDEX(설정_코스수당!$B$15:$F$64,MATCH($H1542,설정_코스수당!$A$15:$A$64,0),MATCH($E1542&amp;"수당",설정_코스수당!$B$14:$F$14,0)),0)),0)</f>
        <v>0</v>
      </c>
      <c r="M1542" s="27">
        <f>IF($O1542="방문완료",IFERROR(VLOOKUP($E1542,설정_코스수당!$A$6:$H$10,6,FALSE),0),0)</f>
        <v>0</v>
      </c>
      <c r="N1542" s="28">
        <f t="shared" si="44"/>
        <v>0</v>
      </c>
      <c r="O1542" s="23"/>
      <c r="P1542" s="23"/>
      <c r="Q1542" s="23"/>
      <c r="R1542" s="26"/>
      <c r="S1542" s="23"/>
    </row>
    <row r="1543" spans="1:19" ht="19.5" hidden="1" customHeight="1" outlineLevel="1">
      <c r="A1543" s="29">
        <v>88</v>
      </c>
      <c r="B1543" s="30">
        <f>IF(15&lt;=DAY(DATE(YEAR(설정_코스수당!$K$2),MONTH(설정_코스수당!$K$2)+1,0)),DATE(YEAR(설정_코스수당!$K$2),MONTH(설정_코스수당!$K$2),15),"")</f>
        <v>46188</v>
      </c>
      <c r="C1543" s="31"/>
      <c r="D1543" s="29"/>
      <c r="E1543" s="29"/>
      <c r="F1543" s="32"/>
      <c r="G1543" s="29"/>
      <c r="H1543" s="29"/>
      <c r="I1543" s="29"/>
      <c r="J1543" s="33">
        <f>IF($O1543="방문완료",MAX(0,IFERROR(VLOOKUP($E1543,설정_코스수당!$A$6:$H$10,4,FALSE),0)-IF(OR($P1543="",$P1543="없음"),0,100000)),0)</f>
        <v>0</v>
      </c>
      <c r="K1543" s="33">
        <f t="array" ref="K1543">IF($O1543="방문완료",IFERROR(INDEX(설정_코스수당!$B$15:$F$64,MATCH($G1543,설정_코스수당!$A$15:$A$64,0),MATCH($E1543&amp;"수당",설정_코스수당!$B$14:$F$14,0)),0),0)</f>
        <v>0</v>
      </c>
      <c r="L1543" s="33">
        <f t="array" ref="L1543">IF($O1543="방문완료",IF($H1543="",0,IFERROR(INDEX(설정_코스수당!$B$15:$F$64,MATCH($H1543,설정_코스수당!$A$15:$A$64,0),MATCH($E1543&amp;"수당",설정_코스수당!$B$14:$F$14,0)),0)),0)</f>
        <v>0</v>
      </c>
      <c r="M1543" s="33">
        <f>IF($O1543="방문완료",IFERROR(VLOOKUP($E1543,설정_코스수당!$A$6:$H$10,6,FALSE),0),0)</f>
        <v>0</v>
      </c>
      <c r="N1543" s="34">
        <f t="shared" si="44"/>
        <v>0</v>
      </c>
      <c r="O1543" s="29"/>
      <c r="P1543" s="29"/>
      <c r="Q1543" s="29"/>
      <c r="R1543" s="32"/>
      <c r="S1543" s="29"/>
    </row>
    <row r="1544" spans="1:19" ht="19.5" hidden="1" customHeight="1" outlineLevel="1">
      <c r="A1544" s="23">
        <v>89</v>
      </c>
      <c r="B1544" s="24">
        <f>IF(15&lt;=DAY(DATE(YEAR(설정_코스수당!$K$2),MONTH(설정_코스수당!$K$2)+1,0)),DATE(YEAR(설정_코스수당!$K$2),MONTH(설정_코스수당!$K$2),15),"")</f>
        <v>46188</v>
      </c>
      <c r="C1544" s="25"/>
      <c r="D1544" s="23"/>
      <c r="E1544" s="23"/>
      <c r="F1544" s="26"/>
      <c r="G1544" s="23"/>
      <c r="H1544" s="23"/>
      <c r="I1544" s="23"/>
      <c r="J1544" s="27">
        <f>IF($O1544="방문완료",MAX(0,IFERROR(VLOOKUP($E1544,설정_코스수당!$A$6:$H$10,4,FALSE),0)-IF(OR($P1544="",$P1544="없음"),0,100000)),0)</f>
        <v>0</v>
      </c>
      <c r="K1544" s="27">
        <f t="array" ref="K1544">IF($O1544="방문완료",IFERROR(INDEX(설정_코스수당!$B$15:$F$64,MATCH($G1544,설정_코스수당!$A$15:$A$64,0),MATCH($E1544&amp;"수당",설정_코스수당!$B$14:$F$14,0)),0),0)</f>
        <v>0</v>
      </c>
      <c r="L1544" s="27">
        <f t="array" ref="L1544">IF($O1544="방문완료",IF($H1544="",0,IFERROR(INDEX(설정_코스수당!$B$15:$F$64,MATCH($H1544,설정_코스수당!$A$15:$A$64,0),MATCH($E1544&amp;"수당",설정_코스수당!$B$14:$F$14,0)),0)),0)</f>
        <v>0</v>
      </c>
      <c r="M1544" s="27">
        <f>IF($O1544="방문완료",IFERROR(VLOOKUP($E1544,설정_코스수당!$A$6:$H$10,6,FALSE),0),0)</f>
        <v>0</v>
      </c>
      <c r="N1544" s="28">
        <f t="shared" si="44"/>
        <v>0</v>
      </c>
      <c r="O1544" s="23"/>
      <c r="P1544" s="23"/>
      <c r="Q1544" s="23"/>
      <c r="R1544" s="26"/>
      <c r="S1544" s="23"/>
    </row>
    <row r="1545" spans="1:19" ht="19.5" hidden="1" customHeight="1" outlineLevel="1">
      <c r="A1545" s="29">
        <v>90</v>
      </c>
      <c r="B1545" s="30">
        <f>IF(15&lt;=DAY(DATE(YEAR(설정_코스수당!$K$2),MONTH(설정_코스수당!$K$2)+1,0)),DATE(YEAR(설정_코스수당!$K$2),MONTH(설정_코스수당!$K$2),15),"")</f>
        <v>46188</v>
      </c>
      <c r="C1545" s="31"/>
      <c r="D1545" s="29"/>
      <c r="E1545" s="29"/>
      <c r="F1545" s="32"/>
      <c r="G1545" s="29"/>
      <c r="H1545" s="29"/>
      <c r="I1545" s="29"/>
      <c r="J1545" s="33">
        <f>IF($O1545="방문완료",MAX(0,IFERROR(VLOOKUP($E1545,설정_코스수당!$A$6:$H$10,4,FALSE),0)-IF(OR($P1545="",$P1545="없음"),0,100000)),0)</f>
        <v>0</v>
      </c>
      <c r="K1545" s="33">
        <f t="array" ref="K1545">IF($O1545="방문완료",IFERROR(INDEX(설정_코스수당!$B$15:$F$64,MATCH($G1545,설정_코스수당!$A$15:$A$64,0),MATCH($E1545&amp;"수당",설정_코스수당!$B$14:$F$14,0)),0),0)</f>
        <v>0</v>
      </c>
      <c r="L1545" s="33">
        <f t="array" ref="L1545">IF($O1545="방문완료",IF($H1545="",0,IFERROR(INDEX(설정_코스수당!$B$15:$F$64,MATCH($H1545,설정_코스수당!$A$15:$A$64,0),MATCH($E1545&amp;"수당",설정_코스수당!$B$14:$F$14,0)),0)),0)</f>
        <v>0</v>
      </c>
      <c r="M1545" s="33">
        <f>IF($O1545="방문완료",IFERROR(VLOOKUP($E1545,설정_코스수당!$A$6:$H$10,6,FALSE),0),0)</f>
        <v>0</v>
      </c>
      <c r="N1545" s="34">
        <f t="shared" si="44"/>
        <v>0</v>
      </c>
      <c r="O1545" s="29"/>
      <c r="P1545" s="29"/>
      <c r="Q1545" s="29"/>
      <c r="R1545" s="32"/>
      <c r="S1545" s="29"/>
    </row>
    <row r="1546" spans="1:19" ht="19.5" hidden="1" customHeight="1" outlineLevel="1">
      <c r="A1546" s="23">
        <v>91</v>
      </c>
      <c r="B1546" s="24">
        <f>IF(15&lt;=DAY(DATE(YEAR(설정_코스수당!$K$2),MONTH(설정_코스수당!$K$2)+1,0)),DATE(YEAR(설정_코스수당!$K$2),MONTH(설정_코스수당!$K$2),15),"")</f>
        <v>46188</v>
      </c>
      <c r="C1546" s="25"/>
      <c r="D1546" s="23"/>
      <c r="E1546" s="23"/>
      <c r="F1546" s="26"/>
      <c r="G1546" s="23"/>
      <c r="H1546" s="23"/>
      <c r="I1546" s="23"/>
      <c r="J1546" s="27">
        <f>IF($O1546="방문완료",MAX(0,IFERROR(VLOOKUP($E1546,설정_코스수당!$A$6:$H$10,4,FALSE),0)-IF(OR($P1546="",$P1546="없음"),0,100000)),0)</f>
        <v>0</v>
      </c>
      <c r="K1546" s="27">
        <f t="array" ref="K1546">IF($O1546="방문완료",IFERROR(INDEX(설정_코스수당!$B$15:$F$64,MATCH($G1546,설정_코스수당!$A$15:$A$64,0),MATCH($E1546&amp;"수당",설정_코스수당!$B$14:$F$14,0)),0),0)</f>
        <v>0</v>
      </c>
      <c r="L1546" s="27">
        <f t="array" ref="L1546">IF($O1546="방문완료",IF($H1546="",0,IFERROR(INDEX(설정_코스수당!$B$15:$F$64,MATCH($H1546,설정_코스수당!$A$15:$A$64,0),MATCH($E1546&amp;"수당",설정_코스수당!$B$14:$F$14,0)),0)),0)</f>
        <v>0</v>
      </c>
      <c r="M1546" s="27">
        <f>IF($O1546="방문완료",IFERROR(VLOOKUP($E1546,설정_코스수당!$A$6:$H$10,6,FALSE),0),0)</f>
        <v>0</v>
      </c>
      <c r="N1546" s="28">
        <f t="shared" si="44"/>
        <v>0</v>
      </c>
      <c r="O1546" s="23"/>
      <c r="P1546" s="23"/>
      <c r="Q1546" s="23"/>
      <c r="R1546" s="26"/>
      <c r="S1546" s="23"/>
    </row>
    <row r="1547" spans="1:19" ht="19.5" hidden="1" customHeight="1" outlineLevel="1">
      <c r="A1547" s="29">
        <v>92</v>
      </c>
      <c r="B1547" s="30">
        <f>IF(15&lt;=DAY(DATE(YEAR(설정_코스수당!$K$2),MONTH(설정_코스수당!$K$2)+1,0)),DATE(YEAR(설정_코스수당!$K$2),MONTH(설정_코스수당!$K$2),15),"")</f>
        <v>46188</v>
      </c>
      <c r="C1547" s="31"/>
      <c r="D1547" s="29"/>
      <c r="E1547" s="29"/>
      <c r="F1547" s="32"/>
      <c r="G1547" s="29"/>
      <c r="H1547" s="29"/>
      <c r="I1547" s="29"/>
      <c r="J1547" s="33">
        <f>IF($O1547="방문완료",MAX(0,IFERROR(VLOOKUP($E1547,설정_코스수당!$A$6:$H$10,4,FALSE),0)-IF(OR($P1547="",$P1547="없음"),0,100000)),0)</f>
        <v>0</v>
      </c>
      <c r="K1547" s="33">
        <f t="array" ref="K1547">IF($O1547="방문완료",IFERROR(INDEX(설정_코스수당!$B$15:$F$64,MATCH($G1547,설정_코스수당!$A$15:$A$64,0),MATCH($E1547&amp;"수당",설정_코스수당!$B$14:$F$14,0)),0),0)</f>
        <v>0</v>
      </c>
      <c r="L1547" s="33">
        <f t="array" ref="L1547">IF($O1547="방문완료",IF($H1547="",0,IFERROR(INDEX(설정_코스수당!$B$15:$F$64,MATCH($H1547,설정_코스수당!$A$15:$A$64,0),MATCH($E1547&amp;"수당",설정_코스수당!$B$14:$F$14,0)),0)),0)</f>
        <v>0</v>
      </c>
      <c r="M1547" s="33">
        <f>IF($O1547="방문완료",IFERROR(VLOOKUP($E1547,설정_코스수당!$A$6:$H$10,6,FALSE),0),0)</f>
        <v>0</v>
      </c>
      <c r="N1547" s="34">
        <f t="shared" si="44"/>
        <v>0</v>
      </c>
      <c r="O1547" s="29"/>
      <c r="P1547" s="29"/>
      <c r="Q1547" s="29"/>
      <c r="R1547" s="32"/>
      <c r="S1547" s="29"/>
    </row>
    <row r="1548" spans="1:19" ht="19.5" hidden="1" customHeight="1" outlineLevel="1">
      <c r="A1548" s="23">
        <v>93</v>
      </c>
      <c r="B1548" s="24">
        <f>IF(15&lt;=DAY(DATE(YEAR(설정_코스수당!$K$2),MONTH(설정_코스수당!$K$2)+1,0)),DATE(YEAR(설정_코스수당!$K$2),MONTH(설정_코스수당!$K$2),15),"")</f>
        <v>46188</v>
      </c>
      <c r="C1548" s="25"/>
      <c r="D1548" s="23"/>
      <c r="E1548" s="23"/>
      <c r="F1548" s="26"/>
      <c r="G1548" s="23"/>
      <c r="H1548" s="23"/>
      <c r="I1548" s="23"/>
      <c r="J1548" s="27">
        <f>IF($O1548="방문완료",MAX(0,IFERROR(VLOOKUP($E1548,설정_코스수당!$A$6:$H$10,4,FALSE),0)-IF(OR($P1548="",$P1548="없음"),0,100000)),0)</f>
        <v>0</v>
      </c>
      <c r="K1548" s="27">
        <f t="array" ref="K1548">IF($O1548="방문완료",IFERROR(INDEX(설정_코스수당!$B$15:$F$64,MATCH($G1548,설정_코스수당!$A$15:$A$64,0),MATCH($E1548&amp;"수당",설정_코스수당!$B$14:$F$14,0)),0),0)</f>
        <v>0</v>
      </c>
      <c r="L1548" s="27">
        <f t="array" ref="L1548">IF($O1548="방문완료",IF($H1548="",0,IFERROR(INDEX(설정_코스수당!$B$15:$F$64,MATCH($H1548,설정_코스수당!$A$15:$A$64,0),MATCH($E1548&amp;"수당",설정_코스수당!$B$14:$F$14,0)),0)),0)</f>
        <v>0</v>
      </c>
      <c r="M1548" s="27">
        <f>IF($O1548="방문완료",IFERROR(VLOOKUP($E1548,설정_코스수당!$A$6:$H$10,6,FALSE),0),0)</f>
        <v>0</v>
      </c>
      <c r="N1548" s="28">
        <f t="shared" si="44"/>
        <v>0</v>
      </c>
      <c r="O1548" s="23"/>
      <c r="P1548" s="23"/>
      <c r="Q1548" s="23"/>
      <c r="R1548" s="26"/>
      <c r="S1548" s="23"/>
    </row>
    <row r="1549" spans="1:19" ht="19.5" hidden="1" customHeight="1" outlineLevel="1">
      <c r="A1549" s="29">
        <v>94</v>
      </c>
      <c r="B1549" s="30">
        <f>IF(15&lt;=DAY(DATE(YEAR(설정_코스수당!$K$2),MONTH(설정_코스수당!$K$2)+1,0)),DATE(YEAR(설정_코스수당!$K$2),MONTH(설정_코스수당!$K$2),15),"")</f>
        <v>46188</v>
      </c>
      <c r="C1549" s="31"/>
      <c r="D1549" s="29"/>
      <c r="E1549" s="29"/>
      <c r="F1549" s="32"/>
      <c r="G1549" s="29"/>
      <c r="H1549" s="29"/>
      <c r="I1549" s="29"/>
      <c r="J1549" s="33">
        <f>IF($O1549="방문완료",MAX(0,IFERROR(VLOOKUP($E1549,설정_코스수당!$A$6:$H$10,4,FALSE),0)-IF(OR($P1549="",$P1549="없음"),0,100000)),0)</f>
        <v>0</v>
      </c>
      <c r="K1549" s="33">
        <f t="array" ref="K1549">IF($O1549="방문완료",IFERROR(INDEX(설정_코스수당!$B$15:$F$64,MATCH($G1549,설정_코스수당!$A$15:$A$64,0),MATCH($E1549&amp;"수당",설정_코스수당!$B$14:$F$14,0)),0),0)</f>
        <v>0</v>
      </c>
      <c r="L1549" s="33">
        <f t="array" ref="L1549">IF($O1549="방문완료",IF($H1549="",0,IFERROR(INDEX(설정_코스수당!$B$15:$F$64,MATCH($H1549,설정_코스수당!$A$15:$A$64,0),MATCH($E1549&amp;"수당",설정_코스수당!$B$14:$F$14,0)),0)),0)</f>
        <v>0</v>
      </c>
      <c r="M1549" s="33">
        <f>IF($O1549="방문완료",IFERROR(VLOOKUP($E1549,설정_코스수당!$A$6:$H$10,6,FALSE),0),0)</f>
        <v>0</v>
      </c>
      <c r="N1549" s="34">
        <f t="shared" si="44"/>
        <v>0</v>
      </c>
      <c r="O1549" s="29"/>
      <c r="P1549" s="29"/>
      <c r="Q1549" s="29"/>
      <c r="R1549" s="32"/>
      <c r="S1549" s="29"/>
    </row>
    <row r="1550" spans="1:19" ht="19.5" hidden="1" customHeight="1" outlineLevel="1">
      <c r="A1550" s="23">
        <v>95</v>
      </c>
      <c r="B1550" s="24">
        <f>IF(15&lt;=DAY(DATE(YEAR(설정_코스수당!$K$2),MONTH(설정_코스수당!$K$2)+1,0)),DATE(YEAR(설정_코스수당!$K$2),MONTH(설정_코스수당!$K$2),15),"")</f>
        <v>46188</v>
      </c>
      <c r="C1550" s="25"/>
      <c r="D1550" s="23"/>
      <c r="E1550" s="23"/>
      <c r="F1550" s="26"/>
      <c r="G1550" s="23"/>
      <c r="H1550" s="23"/>
      <c r="I1550" s="23"/>
      <c r="J1550" s="27">
        <f>IF($O1550="방문완료",MAX(0,IFERROR(VLOOKUP($E1550,설정_코스수당!$A$6:$H$10,4,FALSE),0)-IF(OR($P1550="",$P1550="없음"),0,100000)),0)</f>
        <v>0</v>
      </c>
      <c r="K1550" s="27">
        <f t="array" ref="K1550">IF($O1550="방문완료",IFERROR(INDEX(설정_코스수당!$B$15:$F$64,MATCH($G1550,설정_코스수당!$A$15:$A$64,0),MATCH($E1550&amp;"수당",설정_코스수당!$B$14:$F$14,0)),0),0)</f>
        <v>0</v>
      </c>
      <c r="L1550" s="27">
        <f t="array" ref="L1550">IF($O1550="방문완료",IF($H1550="",0,IFERROR(INDEX(설정_코스수당!$B$15:$F$64,MATCH($H1550,설정_코스수당!$A$15:$A$64,0),MATCH($E1550&amp;"수당",설정_코스수당!$B$14:$F$14,0)),0)),0)</f>
        <v>0</v>
      </c>
      <c r="M1550" s="27">
        <f>IF($O1550="방문완료",IFERROR(VLOOKUP($E1550,설정_코스수당!$A$6:$H$10,6,FALSE),0),0)</f>
        <v>0</v>
      </c>
      <c r="N1550" s="28">
        <f t="shared" si="44"/>
        <v>0</v>
      </c>
      <c r="O1550" s="23"/>
      <c r="P1550" s="23"/>
      <c r="Q1550" s="23"/>
      <c r="R1550" s="26"/>
      <c r="S1550" s="23"/>
    </row>
    <row r="1551" spans="1:19" ht="19.5" hidden="1" customHeight="1" outlineLevel="1">
      <c r="A1551" s="29">
        <v>96</v>
      </c>
      <c r="B1551" s="30">
        <f>IF(15&lt;=DAY(DATE(YEAR(설정_코스수당!$K$2),MONTH(설정_코스수당!$K$2)+1,0)),DATE(YEAR(설정_코스수당!$K$2),MONTH(설정_코스수당!$K$2),15),"")</f>
        <v>46188</v>
      </c>
      <c r="C1551" s="31"/>
      <c r="D1551" s="29"/>
      <c r="E1551" s="29"/>
      <c r="F1551" s="32"/>
      <c r="G1551" s="29"/>
      <c r="H1551" s="29"/>
      <c r="I1551" s="29"/>
      <c r="J1551" s="33">
        <f>IF($O1551="방문완료",MAX(0,IFERROR(VLOOKUP($E1551,설정_코스수당!$A$6:$H$10,4,FALSE),0)-IF(OR($P1551="",$P1551="없음"),0,100000)),0)</f>
        <v>0</v>
      </c>
      <c r="K1551" s="33">
        <f t="array" ref="K1551">IF($O1551="방문완료",IFERROR(INDEX(설정_코스수당!$B$15:$F$64,MATCH($G1551,설정_코스수당!$A$15:$A$64,0),MATCH($E1551&amp;"수당",설정_코스수당!$B$14:$F$14,0)),0),0)</f>
        <v>0</v>
      </c>
      <c r="L1551" s="33">
        <f t="array" ref="L1551">IF($O1551="방문완료",IF($H1551="",0,IFERROR(INDEX(설정_코스수당!$B$15:$F$64,MATCH($H1551,설정_코스수당!$A$15:$A$64,0),MATCH($E1551&amp;"수당",설정_코스수당!$B$14:$F$14,0)),0)),0)</f>
        <v>0</v>
      </c>
      <c r="M1551" s="33">
        <f>IF($O1551="방문완료",IFERROR(VLOOKUP($E1551,설정_코스수당!$A$6:$H$10,6,FALSE),0),0)</f>
        <v>0</v>
      </c>
      <c r="N1551" s="34">
        <f t="shared" si="44"/>
        <v>0</v>
      </c>
      <c r="O1551" s="29"/>
      <c r="P1551" s="29"/>
      <c r="Q1551" s="29"/>
      <c r="R1551" s="32"/>
      <c r="S1551" s="29"/>
    </row>
    <row r="1552" spans="1:19" ht="19.5" hidden="1" customHeight="1" outlineLevel="1">
      <c r="A1552" s="23">
        <v>97</v>
      </c>
      <c r="B1552" s="24">
        <f>IF(15&lt;=DAY(DATE(YEAR(설정_코스수당!$K$2),MONTH(설정_코스수당!$K$2)+1,0)),DATE(YEAR(설정_코스수당!$K$2),MONTH(설정_코스수당!$K$2),15),"")</f>
        <v>46188</v>
      </c>
      <c r="C1552" s="25"/>
      <c r="D1552" s="23"/>
      <c r="E1552" s="23"/>
      <c r="F1552" s="26"/>
      <c r="G1552" s="23"/>
      <c r="H1552" s="23"/>
      <c r="I1552" s="23"/>
      <c r="J1552" s="27">
        <f>IF($O1552="방문완료",MAX(0,IFERROR(VLOOKUP($E1552,설정_코스수당!$A$6:$H$10,4,FALSE),0)-IF(OR($P1552="",$P1552="없음"),0,100000)),0)</f>
        <v>0</v>
      </c>
      <c r="K1552" s="27">
        <f t="array" ref="K1552">IF($O1552="방문완료",IFERROR(INDEX(설정_코스수당!$B$15:$F$64,MATCH($G1552,설정_코스수당!$A$15:$A$64,0),MATCH($E1552&amp;"수당",설정_코스수당!$B$14:$F$14,0)),0),0)</f>
        <v>0</v>
      </c>
      <c r="L1552" s="27">
        <f t="array" ref="L1552">IF($O1552="방문완료",IF($H1552="",0,IFERROR(INDEX(설정_코스수당!$B$15:$F$64,MATCH($H1552,설정_코스수당!$A$15:$A$64,0),MATCH($E1552&amp;"수당",설정_코스수당!$B$14:$F$14,0)),0)),0)</f>
        <v>0</v>
      </c>
      <c r="M1552" s="27">
        <f>IF($O1552="방문완료",IFERROR(VLOOKUP($E1552,설정_코스수당!$A$6:$H$10,6,FALSE),0),0)</f>
        <v>0</v>
      </c>
      <c r="N1552" s="28">
        <f t="shared" si="44"/>
        <v>0</v>
      </c>
      <c r="O1552" s="23"/>
      <c r="P1552" s="23"/>
      <c r="Q1552" s="23"/>
      <c r="R1552" s="26"/>
      <c r="S1552" s="23"/>
    </row>
    <row r="1553" spans="1:27" ht="19.5" hidden="1" customHeight="1" outlineLevel="1">
      <c r="A1553" s="29">
        <v>98</v>
      </c>
      <c r="B1553" s="30">
        <f>IF(15&lt;=DAY(DATE(YEAR(설정_코스수당!$K$2),MONTH(설정_코스수당!$K$2)+1,0)),DATE(YEAR(설정_코스수당!$K$2),MONTH(설정_코스수당!$K$2),15),"")</f>
        <v>46188</v>
      </c>
      <c r="C1553" s="31"/>
      <c r="D1553" s="29"/>
      <c r="E1553" s="29"/>
      <c r="F1553" s="32"/>
      <c r="G1553" s="29"/>
      <c r="H1553" s="29"/>
      <c r="I1553" s="29"/>
      <c r="J1553" s="33">
        <f>IF($O1553="방문완료",MAX(0,IFERROR(VLOOKUP($E1553,설정_코스수당!$A$6:$H$10,4,FALSE),0)-IF(OR($P1553="",$P1553="없음"),0,100000)),0)</f>
        <v>0</v>
      </c>
      <c r="K1553" s="33">
        <f t="array" ref="K1553">IF($O1553="방문완료",IFERROR(INDEX(설정_코스수당!$B$15:$F$64,MATCH($G1553,설정_코스수당!$A$15:$A$64,0),MATCH($E1553&amp;"수당",설정_코스수당!$B$14:$F$14,0)),0),0)</f>
        <v>0</v>
      </c>
      <c r="L1553" s="33">
        <f t="array" ref="L1553">IF($O1553="방문완료",IF($H1553="",0,IFERROR(INDEX(설정_코스수당!$B$15:$F$64,MATCH($H1553,설정_코스수당!$A$15:$A$64,0),MATCH($E1553&amp;"수당",설정_코스수당!$B$14:$F$14,0)),0)),0)</f>
        <v>0</v>
      </c>
      <c r="M1553" s="33">
        <f>IF($O1553="방문완료",IFERROR(VLOOKUP($E1553,설정_코스수당!$A$6:$H$10,6,FALSE),0),0)</f>
        <v>0</v>
      </c>
      <c r="N1553" s="34">
        <f t="shared" si="44"/>
        <v>0</v>
      </c>
      <c r="O1553" s="29"/>
      <c r="P1553" s="29"/>
      <c r="Q1553" s="29"/>
      <c r="R1553" s="32"/>
      <c r="S1553" s="29"/>
    </row>
    <row r="1554" spans="1:27" ht="19.5" hidden="1" customHeight="1" outlineLevel="1">
      <c r="A1554" s="23">
        <v>99</v>
      </c>
      <c r="B1554" s="24">
        <f>IF(15&lt;=DAY(DATE(YEAR(설정_코스수당!$K$2),MONTH(설정_코스수당!$K$2)+1,0)),DATE(YEAR(설정_코스수당!$K$2),MONTH(설정_코스수당!$K$2),15),"")</f>
        <v>46188</v>
      </c>
      <c r="C1554" s="25"/>
      <c r="D1554" s="23"/>
      <c r="E1554" s="23"/>
      <c r="F1554" s="26"/>
      <c r="G1554" s="23"/>
      <c r="H1554" s="23"/>
      <c r="I1554" s="23"/>
      <c r="J1554" s="27">
        <f>IF($O1554="방문완료",MAX(0,IFERROR(VLOOKUP($E1554,설정_코스수당!$A$6:$H$10,4,FALSE),0)-IF(OR($P1554="",$P1554="없음"),0,100000)),0)</f>
        <v>0</v>
      </c>
      <c r="K1554" s="27">
        <f t="array" ref="K1554">IF($O1554="방문완료",IFERROR(INDEX(설정_코스수당!$B$15:$F$64,MATCH($G1554,설정_코스수당!$A$15:$A$64,0),MATCH($E1554&amp;"수당",설정_코스수당!$B$14:$F$14,0)),0),0)</f>
        <v>0</v>
      </c>
      <c r="L1554" s="27">
        <f t="array" ref="L1554">IF($O1554="방문완료",IF($H1554="",0,IFERROR(INDEX(설정_코스수당!$B$15:$F$64,MATCH($H1554,설정_코스수당!$A$15:$A$64,0),MATCH($E1554&amp;"수당",설정_코스수당!$B$14:$F$14,0)),0)),0)</f>
        <v>0</v>
      </c>
      <c r="M1554" s="27">
        <f>IF($O1554="방문완료",IFERROR(VLOOKUP($E1554,설정_코스수당!$A$6:$H$10,6,FALSE),0),0)</f>
        <v>0</v>
      </c>
      <c r="N1554" s="28">
        <f t="shared" si="44"/>
        <v>0</v>
      </c>
      <c r="O1554" s="23"/>
      <c r="P1554" s="23"/>
      <c r="Q1554" s="23"/>
      <c r="R1554" s="26"/>
      <c r="S1554" s="23"/>
    </row>
    <row r="1555" spans="1:27" ht="19.5" hidden="1" customHeight="1" outlineLevel="1">
      <c r="A1555" s="29">
        <v>100</v>
      </c>
      <c r="B1555" s="30">
        <f>IF(15&lt;=DAY(DATE(YEAR(설정_코스수당!$K$2),MONTH(설정_코스수당!$K$2)+1,0)),DATE(YEAR(설정_코스수당!$K$2),MONTH(설정_코스수당!$K$2),15),"")</f>
        <v>46188</v>
      </c>
      <c r="C1555" s="31"/>
      <c r="D1555" s="29"/>
      <c r="E1555" s="29"/>
      <c r="F1555" s="32"/>
      <c r="G1555" s="29"/>
      <c r="H1555" s="29"/>
      <c r="I1555" s="29"/>
      <c r="J1555" s="33">
        <f>IF($O1555="방문완료",MAX(0,IFERROR(VLOOKUP($E1555,설정_코스수당!$A$6:$H$10,4,FALSE),0)-IF(OR($P1555="",$P1555="없음"),0,100000)),0)</f>
        <v>0</v>
      </c>
      <c r="K1555" s="33">
        <f t="array" ref="K1555">IF($O1555="방문완료",IFERROR(INDEX(설정_코스수당!$B$15:$F$64,MATCH($G1555,설정_코스수당!$A$15:$A$64,0),MATCH($E1555&amp;"수당",설정_코스수당!$B$14:$F$14,0)),0),0)</f>
        <v>0</v>
      </c>
      <c r="L1555" s="33">
        <f t="array" ref="L1555">IF($O1555="방문완료",IF($H1555="",0,IFERROR(INDEX(설정_코스수당!$B$15:$F$64,MATCH($H1555,설정_코스수당!$A$15:$A$64,0),MATCH($E1555&amp;"수당",설정_코스수당!$B$14:$F$14,0)),0)),0)</f>
        <v>0</v>
      </c>
      <c r="M1555" s="33">
        <f>IF($O1555="방문완료",IFERROR(VLOOKUP($E1555,설정_코스수당!$A$6:$H$10,6,FALSE),0),0)</f>
        <v>0</v>
      </c>
      <c r="N1555" s="34">
        <f t="shared" si="44"/>
        <v>0</v>
      </c>
      <c r="O1555" s="29"/>
      <c r="P1555" s="29"/>
      <c r="Q1555" s="29"/>
      <c r="R1555" s="32"/>
      <c r="S1555" s="29"/>
    </row>
    <row r="1556" spans="1:27" ht="19.5" hidden="1" customHeight="1" outlineLevel="1">
      <c r="A1556" s="36" t="s">
        <v>79</v>
      </c>
      <c r="B1556" s="37"/>
      <c r="C1556" s="38"/>
      <c r="D1556" s="37"/>
      <c r="E1556" s="37"/>
      <c r="F1556" s="37"/>
      <c r="G1556" s="37"/>
      <c r="H1556" s="37"/>
      <c r="I1556" s="37"/>
      <c r="J1556" s="37">
        <f>IF($O1556="방문완료",MAX(0,IFERROR(VLOOKUP($E1556,설정_코스수당!$A$6:$H$10,4,FALSE),0)-IF(OR($P1556="",$P1556="없음"),0,100000)),0)</f>
        <v>0</v>
      </c>
      <c r="O1556" s="18"/>
      <c r="P1556" s="14"/>
      <c r="Q1556" s="18"/>
      <c r="S1556" s="18"/>
    </row>
    <row r="1557" spans="1:27" ht="21" customHeight="1" collapsed="1">
      <c r="A1557" s="123" t="str">
        <f>IF(16&lt;=DAY(DATE(YEAR(설정_코스수당!$K$2),MONTH(설정_코스수당!$K$2)+1,0)),TEXT(DATE(YEAR(설정_코스수당!$K$2),MONTH(설정_코스수당!$K$2),16),"yyyy-mm-dd")&amp;"  |  예약관리 100슬롯","")</f>
        <v>2026-06-16  |  예약관리 100슬롯</v>
      </c>
      <c r="B1557" s="124"/>
      <c r="C1557" s="124"/>
      <c r="D1557" s="124"/>
      <c r="E1557" s="124"/>
      <c r="F1557" s="124"/>
      <c r="G1557" s="124"/>
      <c r="H1557" s="124"/>
      <c r="I1557" s="124"/>
      <c r="J1557" s="124"/>
      <c r="K1557" s="124"/>
      <c r="L1557" s="124"/>
      <c r="M1557" s="124"/>
      <c r="N1557" s="124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</row>
    <row r="1558" spans="1:27" ht="19.5" hidden="1" customHeight="1" outlineLevel="1">
      <c r="A1558" s="20" t="s">
        <v>41</v>
      </c>
      <c r="B1558" s="20" t="s">
        <v>42</v>
      </c>
      <c r="C1558" s="39" t="s">
        <v>43</v>
      </c>
      <c r="D1558" s="20" t="s">
        <v>44</v>
      </c>
      <c r="E1558" s="20" t="s">
        <v>45</v>
      </c>
      <c r="F1558" s="20" t="s">
        <v>46</v>
      </c>
      <c r="G1558" s="20" t="s">
        <v>47</v>
      </c>
      <c r="H1558" s="20" t="s">
        <v>48</v>
      </c>
      <c r="I1558" s="20" t="s">
        <v>49</v>
      </c>
      <c r="J1558" s="20" t="s">
        <v>50</v>
      </c>
      <c r="K1558" s="20" t="s">
        <v>51</v>
      </c>
      <c r="L1558" s="20" t="s">
        <v>52</v>
      </c>
      <c r="M1558" s="20" t="s">
        <v>53</v>
      </c>
      <c r="N1558" s="20" t="s">
        <v>54</v>
      </c>
      <c r="O1558" s="20" t="s">
        <v>55</v>
      </c>
      <c r="P1558" s="20" t="s">
        <v>56</v>
      </c>
      <c r="Q1558" s="18"/>
      <c r="R1558" s="20" t="s">
        <v>58</v>
      </c>
      <c r="S1558" s="20" t="s">
        <v>59</v>
      </c>
      <c r="U1558" s="122" t="str">
        <f>IF(16&lt;=DAY(DATE(YEAR(설정_코스수당!$K$2),MONTH(설정_코스수당!$K$2)+1,0)),TEXT(DATE(YEAR(설정_코스수당!$K$2),MONTH(설정_코스수당!$K$2),16),"yyyy-mm-dd")&amp;" 일일 상태","")</f>
        <v>2026-06-16 일일 상태</v>
      </c>
      <c r="V1558" s="125"/>
      <c r="W1558" s="122" t="s">
        <v>3</v>
      </c>
      <c r="X1558" s="125"/>
    </row>
    <row r="1559" spans="1:27" ht="19.5" hidden="1" customHeight="1" outlineLevel="1">
      <c r="A1559" s="23">
        <v>1</v>
      </c>
      <c r="B1559" s="24">
        <f>IF(16&lt;=DAY(DATE(YEAR(설정_코스수당!$K$2),MONTH(설정_코스수당!$K$2)+1,0)),DATE(YEAR(설정_코스수당!$K$2),MONTH(설정_코스수당!$K$2),16),"")</f>
        <v>46189</v>
      </c>
      <c r="C1559" s="25"/>
      <c r="D1559" s="23"/>
      <c r="E1559" s="23"/>
      <c r="F1559" s="26"/>
      <c r="G1559" s="23"/>
      <c r="H1559" s="23"/>
      <c r="I1559" s="23"/>
      <c r="J1559" s="27">
        <f>IF($O1559="방문완료",MAX(0,IFERROR(VLOOKUP($E1559,설정_코스수당!$A$6:$H$10,4,FALSE),0)-IF(OR($P1559="",$P1559="없음"),0,100000)),0)</f>
        <v>0</v>
      </c>
      <c r="K1559" s="27">
        <f t="array" ref="K1559">IF($O1559="방문완료",IFERROR(INDEX(설정_코스수당!$B$15:$F$64,MATCH($G1559,설정_코스수당!$A$15:$A$64,0),MATCH($E1559&amp;"수당",설정_코스수당!$B$14:$F$14,0)),0),0)</f>
        <v>0</v>
      </c>
      <c r="L1559" s="27">
        <f t="array" ref="L1559">IF($O1559="방문완료",IF($H1559="",0,IFERROR(INDEX(설정_코스수당!$B$15:$F$64,MATCH($H1559,설정_코스수당!$A$15:$A$64,0),MATCH($E1559&amp;"수당",설정_코스수당!$B$14:$F$14,0)),0)),0)</f>
        <v>0</v>
      </c>
      <c r="M1559" s="27">
        <f>IF($O1559="방문완료",IFERROR(VLOOKUP($E1559,설정_코스수당!$A$6:$H$10,6,FALSE),0),0)</f>
        <v>0</v>
      </c>
      <c r="N1559" s="28">
        <f t="shared" ref="N1559:N1590" si="45">IF($O1559="방문완료",1,0)</f>
        <v>0</v>
      </c>
      <c r="O1559" s="23"/>
      <c r="P1559" s="23"/>
      <c r="Q1559" s="23"/>
      <c r="R1559" s="26"/>
      <c r="S1559" s="23"/>
      <c r="U1559" s="104" t="s">
        <v>63</v>
      </c>
      <c r="V1559" s="105">
        <f>IF(16&lt;=DAY(DATE(YEAR(설정_코스수당!$K$2),MONTH(설정_코스수당!$K$2)+1,0)),COUNTIFS($B:$B,DATE(YEAR(설정_코스수당!$K$2),MONTH(설정_코스수당!$K$2),16),$O:$O,"&lt;&gt;"),"")</f>
        <v>0</v>
      </c>
      <c r="W1559" s="104" t="s">
        <v>6</v>
      </c>
      <c r="X1559" s="105">
        <f>IF(16&lt;=DAY(DATE(YEAR(설정_코스수당!$K$2),MONTH(설정_코스수당!$K$2)+1,0)),COUNTIFS($B:$B,DATE(YEAR(설정_코스수당!$K$2),MONTH(설정_코스수당!$K$2),16),$E:$E,"A",$O:$O,"방문완료"),"")</f>
        <v>0</v>
      </c>
    </row>
    <row r="1560" spans="1:27" ht="19.5" hidden="1" customHeight="1" outlineLevel="1">
      <c r="A1560" s="29">
        <v>2</v>
      </c>
      <c r="B1560" s="30">
        <f>IF(16&lt;=DAY(DATE(YEAR(설정_코스수당!$K$2),MONTH(설정_코스수당!$K$2)+1,0)),DATE(YEAR(설정_코스수당!$K$2),MONTH(설정_코스수당!$K$2),16),"")</f>
        <v>46189</v>
      </c>
      <c r="C1560" s="31"/>
      <c r="D1560" s="29"/>
      <c r="E1560" s="29"/>
      <c r="F1560" s="32"/>
      <c r="G1560" s="29"/>
      <c r="H1560" s="29"/>
      <c r="I1560" s="29"/>
      <c r="J1560" s="33">
        <f>IF($O1560="방문완료",MAX(0,IFERROR(VLOOKUP($E1560,설정_코스수당!$A$6:$H$10,4,FALSE),0)-IF(OR($P1560="",$P1560="없음"),0,100000)),0)</f>
        <v>0</v>
      </c>
      <c r="K1560" s="33">
        <f t="array" ref="K1560">IF($O1560="방문완료",IFERROR(INDEX(설정_코스수당!$B$15:$F$64,MATCH($G1560,설정_코스수당!$A$15:$A$64,0),MATCH($E1560&amp;"수당",설정_코스수당!$B$14:$F$14,0)),0),0)</f>
        <v>0</v>
      </c>
      <c r="L1560" s="33">
        <f t="array" ref="L1560">IF($O1560="방문완료",IF($H1560="",0,IFERROR(INDEX(설정_코스수당!$B$15:$F$64,MATCH($H1560,설정_코스수당!$A$15:$A$64,0),MATCH($E1560&amp;"수당",설정_코스수당!$B$14:$F$14,0)),0)),0)</f>
        <v>0</v>
      </c>
      <c r="M1560" s="33">
        <f>IF($O1560="방문완료",IFERROR(VLOOKUP($E1560,설정_코스수당!$A$6:$H$10,6,FALSE),0),0)</f>
        <v>0</v>
      </c>
      <c r="N1560" s="34">
        <f t="shared" si="45"/>
        <v>0</v>
      </c>
      <c r="O1560" s="29"/>
      <c r="P1560" s="29"/>
      <c r="Q1560" s="29"/>
      <c r="R1560" s="32"/>
      <c r="S1560" s="29"/>
      <c r="U1560" s="104" t="s">
        <v>62</v>
      </c>
      <c r="V1560" s="105">
        <f>IF(16&lt;=DAY(DATE(YEAR(설정_코스수당!$K$2),MONTH(설정_코스수당!$K$2)+1,0)),COUNTIFS($B:$B,DATE(YEAR(설정_코스수당!$K$2),MONTH(설정_코스수당!$K$2),16),$O:$O,"방문완료"),"")</f>
        <v>0</v>
      </c>
      <c r="W1560" s="104" t="s">
        <v>9</v>
      </c>
      <c r="X1560" s="105">
        <f>IF(16&lt;=DAY(DATE(YEAR(설정_코스수당!$K$2),MONTH(설정_코스수당!$K$2)+1,0)),COUNTIFS($B:$B,DATE(YEAR(설정_코스수당!$K$2),MONTH(설정_코스수당!$K$2),16),$E:$E,"B",$O:$O,"방문완료"),"")</f>
        <v>0</v>
      </c>
    </row>
    <row r="1561" spans="1:27" ht="19.5" hidden="1" customHeight="1" outlineLevel="1">
      <c r="A1561" s="23">
        <v>3</v>
      </c>
      <c r="B1561" s="24">
        <f>IF(16&lt;=DAY(DATE(YEAR(설정_코스수당!$K$2),MONTH(설정_코스수당!$K$2)+1,0)),DATE(YEAR(설정_코스수당!$K$2),MONTH(설정_코스수당!$K$2),16),"")</f>
        <v>46189</v>
      </c>
      <c r="C1561" s="25"/>
      <c r="D1561" s="23"/>
      <c r="E1561" s="23"/>
      <c r="F1561" s="26"/>
      <c r="G1561" s="23"/>
      <c r="H1561" s="23"/>
      <c r="I1561" s="23"/>
      <c r="J1561" s="27">
        <f>IF($O1561="방문완료",MAX(0,IFERROR(VLOOKUP($E1561,설정_코스수당!$A$6:$H$10,4,FALSE),0)-IF(OR($P1561="",$P1561="없음"),0,100000)),0)</f>
        <v>0</v>
      </c>
      <c r="K1561" s="27">
        <f t="array" ref="K1561">IF($O1561="방문완료",IFERROR(INDEX(설정_코스수당!$B$15:$F$64,MATCH($G1561,설정_코스수당!$A$15:$A$64,0),MATCH($E1561&amp;"수당",설정_코스수당!$B$14:$F$14,0)),0),0)</f>
        <v>0</v>
      </c>
      <c r="L1561" s="27">
        <f t="array" ref="L1561">IF($O1561="방문완료",IF($H1561="",0,IFERROR(INDEX(설정_코스수당!$B$15:$F$64,MATCH($H1561,설정_코스수당!$A$15:$A$64,0),MATCH($E1561&amp;"수당",설정_코스수당!$B$14:$F$14,0)),0)),0)</f>
        <v>0</v>
      </c>
      <c r="M1561" s="27">
        <f>IF($O1561="방문완료",IFERROR(VLOOKUP($E1561,설정_코스수당!$A$6:$H$10,6,FALSE),0),0)</f>
        <v>0</v>
      </c>
      <c r="N1561" s="28">
        <f t="shared" si="45"/>
        <v>0</v>
      </c>
      <c r="O1561" s="23"/>
      <c r="P1561" s="23"/>
      <c r="Q1561" s="23"/>
      <c r="R1561" s="26"/>
      <c r="S1561" s="23"/>
      <c r="U1561" s="104" t="s">
        <v>68</v>
      </c>
      <c r="V1561" s="105" t="str">
        <f>IF(16&lt;=DAY(DATE(YEAR(설정_코스수당!$K$2),MONTH(설정_코스수당!$K$2)+1,0)),COUNTIFS($B:$B,DATE(YEAR(설정_코스수당!$K$2),MONTH(설정_코스수당!$K$2),16),$O:$O,"노쇼")&amp;"/"&amp;COUNTIFS($B:$B,DATE(YEAR(설정_코스수당!$K$2),MONTH(설정_코스수당!$K$2),16),$O:$O,"취소"),"")</f>
        <v>0/0</v>
      </c>
      <c r="W1561" s="104" t="s">
        <v>12</v>
      </c>
      <c r="X1561" s="105">
        <f>IF(16&lt;=DAY(DATE(YEAR(설정_코스수당!$K$2),MONTH(설정_코스수당!$K$2)+1,0)),COUNTIFS($B:$B,DATE(YEAR(설정_코스수당!$K$2),MONTH(설정_코스수당!$K$2),16),$E:$E,"C",$O:$O,"방문완료"),"")</f>
        <v>0</v>
      </c>
    </row>
    <row r="1562" spans="1:27" ht="19.5" hidden="1" customHeight="1" outlineLevel="1">
      <c r="A1562" s="29">
        <v>4</v>
      </c>
      <c r="B1562" s="30">
        <f>IF(16&lt;=DAY(DATE(YEAR(설정_코스수당!$K$2),MONTH(설정_코스수당!$K$2)+1,0)),DATE(YEAR(설정_코스수당!$K$2),MONTH(설정_코스수당!$K$2),16),"")</f>
        <v>46189</v>
      </c>
      <c r="C1562" s="31"/>
      <c r="D1562" s="29"/>
      <c r="E1562" s="29"/>
      <c r="F1562" s="32"/>
      <c r="G1562" s="29"/>
      <c r="H1562" s="29"/>
      <c r="I1562" s="29"/>
      <c r="J1562" s="33">
        <f>IF($O1562="방문완료",MAX(0,IFERROR(VLOOKUP($E1562,설정_코스수당!$A$6:$H$10,4,FALSE),0)-IF(OR($P1562="",$P1562="없음"),0,100000)),0)</f>
        <v>0</v>
      </c>
      <c r="K1562" s="33">
        <f t="array" ref="K1562">IF($O1562="방문완료",IFERROR(INDEX(설정_코스수당!$B$15:$F$64,MATCH($G1562,설정_코스수당!$A$15:$A$64,0),MATCH($E1562&amp;"수당",설정_코스수당!$B$14:$F$14,0)),0),0)</f>
        <v>0</v>
      </c>
      <c r="L1562" s="33">
        <f t="array" ref="L1562">IF($O1562="방문완료",IF($H1562="",0,IFERROR(INDEX(설정_코스수당!$B$15:$F$64,MATCH($H1562,설정_코스수당!$A$15:$A$64,0),MATCH($E1562&amp;"수당",설정_코스수당!$B$14:$F$14,0)),0)),0)</f>
        <v>0</v>
      </c>
      <c r="M1562" s="33">
        <f>IF($O1562="방문완료",IFERROR(VLOOKUP($E1562,설정_코스수당!$A$6:$H$10,6,FALSE),0),0)</f>
        <v>0</v>
      </c>
      <c r="N1562" s="34">
        <f t="shared" si="45"/>
        <v>0</v>
      </c>
      <c r="O1562" s="29"/>
      <c r="P1562" s="29"/>
      <c r="Q1562" s="29"/>
      <c r="R1562" s="32"/>
      <c r="S1562" s="29"/>
      <c r="U1562" s="104" t="s">
        <v>69</v>
      </c>
      <c r="V1562" s="106">
        <f>IF(16&lt;=DAY(DATE(YEAR(설정_코스수당!$K$2),MONTH(설정_코스수당!$K$2)+1,0)),SUMIFS($J:$J,$B:$B,DATE(YEAR(설정_코스수당!$K$2),MONTH(설정_코스수당!$K$2),16),$O:$O,"방문완료"),"")</f>
        <v>0</v>
      </c>
      <c r="W1562" s="104" t="s">
        <v>15</v>
      </c>
      <c r="X1562" s="105">
        <f>IF(16&lt;=DAY(DATE(YEAR(설정_코스수당!$K$2),MONTH(설정_코스수당!$K$2)+1,0)),COUNTIFS($B:$B,DATE(YEAR(설정_코스수당!$K$2),MONTH(설정_코스수당!$K$2),16),$E:$E,"D",$O:$O,"방문완료"),"")</f>
        <v>0</v>
      </c>
    </row>
    <row r="1563" spans="1:27" ht="19.5" hidden="1" customHeight="1" outlineLevel="1">
      <c r="A1563" s="23">
        <v>5</v>
      </c>
      <c r="B1563" s="24">
        <f>IF(16&lt;=DAY(DATE(YEAR(설정_코스수당!$K$2),MONTH(설정_코스수당!$K$2)+1,0)),DATE(YEAR(설정_코스수당!$K$2),MONTH(설정_코스수당!$K$2),16),"")</f>
        <v>46189</v>
      </c>
      <c r="C1563" s="25"/>
      <c r="D1563" s="23"/>
      <c r="E1563" s="23"/>
      <c r="F1563" s="26"/>
      <c r="G1563" s="23"/>
      <c r="H1563" s="23"/>
      <c r="I1563" s="23"/>
      <c r="J1563" s="27">
        <f>IF($O1563="방문완료",MAX(0,IFERROR(VLOOKUP($E1563,설정_코스수당!$A$6:$H$10,4,FALSE),0)-IF(OR($P1563="",$P1563="없음"),0,100000)),0)</f>
        <v>0</v>
      </c>
      <c r="K1563" s="27">
        <f t="array" ref="K1563">IF($O1563="방문완료",IFERROR(INDEX(설정_코스수당!$B$15:$F$64,MATCH($G1563,설정_코스수당!$A$15:$A$64,0),MATCH($E1563&amp;"수당",설정_코스수당!$B$14:$F$14,0)),0),0)</f>
        <v>0</v>
      </c>
      <c r="L1563" s="27">
        <f t="array" ref="L1563">IF($O1563="방문완료",IF($H1563="",0,IFERROR(INDEX(설정_코스수당!$B$15:$F$64,MATCH($H1563,설정_코스수당!$A$15:$A$64,0),MATCH($E1563&amp;"수당",설정_코스수당!$B$14:$F$14,0)),0)),0)</f>
        <v>0</v>
      </c>
      <c r="M1563" s="27">
        <f>IF($O1563="방문완료",IFERROR(VLOOKUP($E1563,설정_코스수당!$A$6:$H$10,6,FALSE),0),0)</f>
        <v>0</v>
      </c>
      <c r="N1563" s="28">
        <f t="shared" si="45"/>
        <v>0</v>
      </c>
      <c r="O1563" s="23"/>
      <c r="P1563" s="23"/>
      <c r="Q1563" s="23"/>
      <c r="R1563" s="26"/>
      <c r="S1563" s="23"/>
      <c r="U1563" s="104" t="s">
        <v>70</v>
      </c>
      <c r="V1563" s="106">
        <f>IF(16&lt;=DAY(DATE(YEAR(설정_코스수당!$K$2),MONTH(설정_코스수당!$K$2)+1,0)),SUMIFS($K:$K,$B:$B,DATE(YEAR(설정_코스수당!$K$2),MONTH(설정_코스수당!$K$2),16),$O:$O,"방문완료")+SUMIFS($L:$L,$B:$B,DATE(YEAR(설정_코스수당!$K$2),MONTH(설정_코스수당!$K$2),16),$O:$O,"방문완료"),"")</f>
        <v>0</v>
      </c>
      <c r="W1563" s="104" t="s">
        <v>18</v>
      </c>
      <c r="X1563" s="105">
        <f>IF(16&lt;=DAY(DATE(YEAR(설정_코스수당!$K$2),MONTH(설정_코스수당!$K$2)+1,0)),COUNTIFS($B:$B,DATE(YEAR(설정_코스수당!$K$2),MONTH(설정_코스수당!$K$2),16),$E:$E,"E",$O:$O,"방문완료"),"")</f>
        <v>0</v>
      </c>
    </row>
    <row r="1564" spans="1:27" ht="19.5" hidden="1" customHeight="1" outlineLevel="1">
      <c r="A1564" s="29">
        <v>6</v>
      </c>
      <c r="B1564" s="30">
        <f>IF(16&lt;=DAY(DATE(YEAR(설정_코스수당!$K$2),MONTH(설정_코스수당!$K$2)+1,0)),DATE(YEAR(설정_코스수당!$K$2),MONTH(설정_코스수당!$K$2),16),"")</f>
        <v>46189</v>
      </c>
      <c r="C1564" s="31"/>
      <c r="D1564" s="29"/>
      <c r="E1564" s="29"/>
      <c r="F1564" s="32"/>
      <c r="G1564" s="29"/>
      <c r="H1564" s="29"/>
      <c r="I1564" s="29"/>
      <c r="J1564" s="33">
        <f>IF($O1564="방문완료",MAX(0,IFERROR(VLOOKUP($E1564,설정_코스수당!$A$6:$H$10,4,FALSE),0)-IF(OR($P1564="",$P1564="없음"),0,100000)),0)</f>
        <v>0</v>
      </c>
      <c r="K1564" s="33">
        <f t="array" ref="K1564">IF($O1564="방문완료",IFERROR(INDEX(설정_코스수당!$B$15:$F$64,MATCH($G1564,설정_코스수당!$A$15:$A$64,0),MATCH($E1564&amp;"수당",설정_코스수당!$B$14:$F$14,0)),0),0)</f>
        <v>0</v>
      </c>
      <c r="L1564" s="33">
        <f t="array" ref="L1564">IF($O1564="방문완료",IF($H1564="",0,IFERROR(INDEX(설정_코스수당!$B$15:$F$64,MATCH($H1564,설정_코스수당!$A$15:$A$64,0),MATCH($E1564&amp;"수당",설정_코스수당!$B$14:$F$14,0)),0)),0)</f>
        <v>0</v>
      </c>
      <c r="M1564" s="33">
        <f>IF($O1564="방문완료",IFERROR(VLOOKUP($E1564,설정_코스수당!$A$6:$H$10,6,FALSE),0),0)</f>
        <v>0</v>
      </c>
      <c r="N1564" s="34">
        <f t="shared" si="45"/>
        <v>0</v>
      </c>
      <c r="O1564" s="29"/>
      <c r="P1564" s="29"/>
      <c r="Q1564" s="29"/>
      <c r="R1564" s="32"/>
      <c r="S1564" s="29"/>
      <c r="U1564" s="104" t="s">
        <v>53</v>
      </c>
      <c r="V1564" s="106">
        <f>IF(16&lt;=DAY(DATE(YEAR(설정_코스수당!$K$2),MONTH(설정_코스수당!$K$2)+1,0)),SUMIFS($M:$M,$B:$B,DATE(YEAR(설정_코스수당!$K$2),MONTH(설정_코스수당!$K$2),16),$O:$O,"방문완료"),"")</f>
        <v>0</v>
      </c>
      <c r="W1564" s="104" t="s">
        <v>71</v>
      </c>
      <c r="X1564" s="107">
        <f>IF(16&lt;=DAY(DATE(YEAR(설정_코스수당!$K$2),MONTH(설정_코스수당!$K$2)+1,0)),COUNTIFS($B:$B,DATE(YEAR(설정_코스수당!$K$2),MONTH(설정_코스수당!$K$2),16),$O:$O,"방문완료",$P:$P,"&lt;&gt;",$P:$P,"&lt;&gt;없음"),"")</f>
        <v>0</v>
      </c>
    </row>
    <row r="1565" spans="1:27" ht="19.5" hidden="1" customHeight="1" outlineLevel="1">
      <c r="A1565" s="23">
        <v>7</v>
      </c>
      <c r="B1565" s="24">
        <f>IF(16&lt;=DAY(DATE(YEAR(설정_코스수당!$K$2),MONTH(설정_코스수당!$K$2)+1,0)),DATE(YEAR(설정_코스수당!$K$2),MONTH(설정_코스수당!$K$2),16),"")</f>
        <v>46189</v>
      </c>
      <c r="C1565" s="25"/>
      <c r="D1565" s="23"/>
      <c r="E1565" s="23"/>
      <c r="F1565" s="26"/>
      <c r="G1565" s="23"/>
      <c r="H1565" s="23"/>
      <c r="I1565" s="23"/>
      <c r="J1565" s="27">
        <f>IF($O1565="방문완료",MAX(0,IFERROR(VLOOKUP($E1565,설정_코스수당!$A$6:$H$10,4,FALSE),0)-IF(OR($P1565="",$P1565="없음"),0,100000)),0)</f>
        <v>0</v>
      </c>
      <c r="K1565" s="27">
        <f t="array" ref="K1565">IF($O1565="방문완료",IFERROR(INDEX(설정_코스수당!$B$15:$F$64,MATCH($G1565,설정_코스수당!$A$15:$A$64,0),MATCH($E1565&amp;"수당",설정_코스수당!$B$14:$F$14,0)),0),0)</f>
        <v>0</v>
      </c>
      <c r="L1565" s="27">
        <f t="array" ref="L1565">IF($O1565="방문완료",IF($H1565="",0,IFERROR(INDEX(설정_코스수당!$B$15:$F$64,MATCH($H1565,설정_코스수당!$A$15:$A$64,0),MATCH($E1565&amp;"수당",설정_코스수당!$B$14:$F$14,0)),0)),0)</f>
        <v>0</v>
      </c>
      <c r="M1565" s="27">
        <f>IF($O1565="방문완료",IFERROR(VLOOKUP($E1565,설정_코스수당!$A$6:$H$10,6,FALSE),0),0)</f>
        <v>0</v>
      </c>
      <c r="N1565" s="28">
        <f t="shared" si="45"/>
        <v>0</v>
      </c>
      <c r="O1565" s="23"/>
      <c r="P1565" s="23"/>
      <c r="Q1565" s="23"/>
      <c r="R1565" s="26"/>
      <c r="S1565" s="23"/>
      <c r="U1565" s="104" t="s">
        <v>72</v>
      </c>
      <c r="V1565" s="108">
        <f>IF(16&lt;=DAY(DATE(YEAR(설정_코스수당!$K$2),MONTH(설정_코스수당!$K$2)+1,0)),COUNTIFS($B:$B,DATE(YEAR(설정_코스수당!$K$2),MONTH(설정_코스수당!$K$2),16),$O:$O,"방문완료",$P:$P,"&lt;&gt;",$P:$P,"&lt;&gt;없음")*100000,"")</f>
        <v>0</v>
      </c>
      <c r="W1565" s="104" t="s">
        <v>73</v>
      </c>
      <c r="X1565" s="105">
        <f>IF(16&lt;=DAY(DATE(YEAR(설정_코스수당!$K$2),MONTH(설정_코스수당!$K$2)+1,0)),COUNTIFS($B:$B,DATE(YEAR(설정_코스수당!$K$2),MONTH(설정_코스수당!$K$2),16),$G:$G,"&lt;&gt;",$O:$O,"방문완료")+COUNTIFS($B:$B,DATE(YEAR(설정_코스수당!$K$2),MONTH(설정_코스수당!$K$2),16),$H:$H,"&lt;&gt;",$O:$O,"방문완료"),"")</f>
        <v>0</v>
      </c>
    </row>
    <row r="1566" spans="1:27" ht="19.5" hidden="1" customHeight="1" outlineLevel="1">
      <c r="A1566" s="29">
        <v>8</v>
      </c>
      <c r="B1566" s="30">
        <f>IF(16&lt;=DAY(DATE(YEAR(설정_코스수당!$K$2),MONTH(설정_코스수당!$K$2)+1,0)),DATE(YEAR(설정_코스수당!$K$2),MONTH(설정_코스수당!$K$2),16),"")</f>
        <v>46189</v>
      </c>
      <c r="C1566" s="31"/>
      <c r="D1566" s="29"/>
      <c r="E1566" s="29"/>
      <c r="F1566" s="32"/>
      <c r="G1566" s="29"/>
      <c r="H1566" s="29"/>
      <c r="I1566" s="29"/>
      <c r="J1566" s="33">
        <f>IF($O1566="방문완료",MAX(0,IFERROR(VLOOKUP($E1566,설정_코스수당!$A$6:$H$10,4,FALSE),0)-IF(OR($P1566="",$P1566="없음"),0,100000)),0)</f>
        <v>0</v>
      </c>
      <c r="K1566" s="33">
        <f t="array" ref="K1566">IF($O1566="방문완료",IFERROR(INDEX(설정_코스수당!$B$15:$F$64,MATCH($G1566,설정_코스수당!$A$15:$A$64,0),MATCH($E1566&amp;"수당",설정_코스수당!$B$14:$F$14,0)),0),0)</f>
        <v>0</v>
      </c>
      <c r="L1566" s="33">
        <f t="array" ref="L1566">IF($O1566="방문완료",IF($H1566="",0,IFERROR(INDEX(설정_코스수당!$B$15:$F$64,MATCH($H1566,설정_코스수당!$A$15:$A$64,0),MATCH($E1566&amp;"수당",설정_코스수당!$B$14:$F$14,0)),0)),0)</f>
        <v>0</v>
      </c>
      <c r="M1566" s="33">
        <f>IF($O1566="방문완료",IFERROR(VLOOKUP($E1566,설정_코스수당!$A$6:$H$10,6,FALSE),0),0)</f>
        <v>0</v>
      </c>
      <c r="N1566" s="34">
        <f t="shared" si="45"/>
        <v>0</v>
      </c>
      <c r="O1566" s="29"/>
      <c r="P1566" s="29"/>
      <c r="Q1566" s="29"/>
      <c r="R1566" s="32"/>
      <c r="S1566" s="29"/>
      <c r="U1566" s="104" t="s">
        <v>74</v>
      </c>
      <c r="V1566" s="108">
        <f>IF(16&lt;=DAY(DATE(YEAR(설정_코스수당!$K$2),MONTH(설정_코스수당!$K$2)+1,0)),SUM($U$1570:$U$1577),"")</f>
        <v>0</v>
      </c>
      <c r="W1566" s="122" t="str">
        <f>IF(16&lt;=DAY(DATE(YEAR(설정_코스수당!$K$2),MONTH(설정_코스수당!$K$2)+1,0)),"계 : "&amp;TEXT(V1562-V1566,"#,##0")&amp;" 동","")</f>
        <v>계 : 0 동</v>
      </c>
      <c r="X1566" s="122"/>
    </row>
    <row r="1567" spans="1:27" ht="19.5" hidden="1" customHeight="1" outlineLevel="1">
      <c r="A1567" s="23">
        <v>9</v>
      </c>
      <c r="B1567" s="24">
        <f>IF(16&lt;=DAY(DATE(YEAR(설정_코스수당!$K$2),MONTH(설정_코스수당!$K$2)+1,0)),DATE(YEAR(설정_코스수당!$K$2),MONTH(설정_코스수당!$K$2),16),"")</f>
        <v>46189</v>
      </c>
      <c r="C1567" s="25"/>
      <c r="D1567" s="23"/>
      <c r="E1567" s="23"/>
      <c r="F1567" s="26"/>
      <c r="G1567" s="23"/>
      <c r="H1567" s="23"/>
      <c r="I1567" s="23"/>
      <c r="J1567" s="27">
        <f>IF($O1567="방문완료",MAX(0,IFERROR(VLOOKUP($E1567,설정_코스수당!$A$6:$H$10,4,FALSE),0)-IF(OR($P1567="",$P1567="없음"),0,100000)),0)</f>
        <v>0</v>
      </c>
      <c r="K1567" s="27">
        <f t="array" ref="K1567">IF($O1567="방문완료",IFERROR(INDEX(설정_코스수당!$B$15:$F$64,MATCH($G1567,설정_코스수당!$A$15:$A$64,0),MATCH($E1567&amp;"수당",설정_코스수당!$B$14:$F$14,0)),0),0)</f>
        <v>0</v>
      </c>
      <c r="L1567" s="27">
        <f t="array" ref="L1567">IF($O1567="방문완료",IF($H1567="",0,IFERROR(INDEX(설정_코스수당!$B$15:$F$64,MATCH($H1567,설정_코스수당!$A$15:$A$64,0),MATCH($E1567&amp;"수당",설정_코스수당!$B$14:$F$14,0)),0)),0)</f>
        <v>0</v>
      </c>
      <c r="M1567" s="27">
        <f>IF($O1567="방문완료",IFERROR(VLOOKUP($E1567,설정_코스수당!$A$6:$H$10,6,FALSE),0),0)</f>
        <v>0</v>
      </c>
      <c r="N1567" s="28">
        <f t="shared" si="45"/>
        <v>0</v>
      </c>
      <c r="O1567" s="23"/>
      <c r="P1567" s="23"/>
      <c r="Q1567" s="23"/>
      <c r="R1567" s="26"/>
      <c r="S1567" s="23"/>
    </row>
    <row r="1568" spans="1:27" ht="19.5" hidden="1" customHeight="1" outlineLevel="1">
      <c r="A1568" s="29">
        <v>10</v>
      </c>
      <c r="B1568" s="30">
        <f>IF(16&lt;=DAY(DATE(YEAR(설정_코스수당!$K$2),MONTH(설정_코스수당!$K$2)+1,0)),DATE(YEAR(설정_코스수당!$K$2),MONTH(설정_코스수당!$K$2),16),"")</f>
        <v>46189</v>
      </c>
      <c r="C1568" s="31"/>
      <c r="D1568" s="29"/>
      <c r="E1568" s="29"/>
      <c r="F1568" s="32"/>
      <c r="G1568" s="29"/>
      <c r="H1568" s="29"/>
      <c r="I1568" s="29"/>
      <c r="J1568" s="33">
        <f>IF($O1568="방문완료",MAX(0,IFERROR(VLOOKUP($E1568,설정_코스수당!$A$6:$H$10,4,FALSE),0)-IF(OR($P1568="",$P1568="없음"),0,100000)),0)</f>
        <v>0</v>
      </c>
      <c r="K1568" s="33">
        <f t="array" ref="K1568">IF($O1568="방문완료",IFERROR(INDEX(설정_코스수당!$B$15:$F$64,MATCH($G1568,설정_코스수당!$A$15:$A$64,0),MATCH($E1568&amp;"수당",설정_코스수당!$B$14:$F$14,0)),0),0)</f>
        <v>0</v>
      </c>
      <c r="L1568" s="33">
        <f t="array" ref="L1568">IF($O1568="방문완료",IF($H1568="",0,IFERROR(INDEX(설정_코스수당!$B$15:$F$64,MATCH($H1568,설정_코스수당!$A$15:$A$64,0),MATCH($E1568&amp;"수당",설정_코스수당!$B$14:$F$14,0)),0)),0)</f>
        <v>0</v>
      </c>
      <c r="M1568" s="33">
        <f>IF($O1568="방문완료",IFERROR(VLOOKUP($E1568,설정_코스수당!$A$6:$H$10,6,FALSE),0),0)</f>
        <v>0</v>
      </c>
      <c r="N1568" s="34">
        <f t="shared" si="45"/>
        <v>0</v>
      </c>
      <c r="O1568" s="29"/>
      <c r="P1568" s="29"/>
      <c r="Q1568" s="29"/>
      <c r="R1568" s="32"/>
      <c r="S1568" s="29"/>
      <c r="U1568" s="120" t="s">
        <v>75</v>
      </c>
      <c r="V1568" s="121"/>
      <c r="W1568" s="121"/>
      <c r="X1568" s="121"/>
    </row>
    <row r="1569" spans="1:24" ht="19.5" hidden="1" customHeight="1" outlineLevel="1">
      <c r="A1569" s="23">
        <v>11</v>
      </c>
      <c r="B1569" s="24">
        <f>IF(16&lt;=DAY(DATE(YEAR(설정_코스수당!$K$2),MONTH(설정_코스수당!$K$2)+1,0)),DATE(YEAR(설정_코스수당!$K$2),MONTH(설정_코스수당!$K$2),16),"")</f>
        <v>46189</v>
      </c>
      <c r="C1569" s="25"/>
      <c r="D1569" s="23"/>
      <c r="E1569" s="23"/>
      <c r="F1569" s="26"/>
      <c r="G1569" s="23"/>
      <c r="H1569" s="23"/>
      <c r="I1569" s="23"/>
      <c r="J1569" s="27">
        <f>IF($O1569="방문완료",MAX(0,IFERROR(VLOOKUP($E1569,설정_코스수당!$A$6:$H$10,4,FALSE),0)-IF(OR($P1569="",$P1569="없음"),0,100000)),0)</f>
        <v>0</v>
      </c>
      <c r="K1569" s="27">
        <f t="array" ref="K1569">IF($O1569="방문완료",IFERROR(INDEX(설정_코스수당!$B$15:$F$64,MATCH($G1569,설정_코스수당!$A$15:$A$64,0),MATCH($E1569&amp;"수당",설정_코스수당!$B$14:$F$14,0)),0),0)</f>
        <v>0</v>
      </c>
      <c r="L1569" s="27">
        <f t="array" ref="L1569">IF($O1569="방문완료",IF($H1569="",0,IFERROR(INDEX(설정_코스수당!$B$15:$F$64,MATCH($H1569,설정_코스수당!$A$15:$A$64,0),MATCH($E1569&amp;"수당",설정_코스수당!$B$14:$F$14,0)),0)),0)</f>
        <v>0</v>
      </c>
      <c r="M1569" s="27">
        <f>IF($O1569="방문완료",IFERROR(VLOOKUP($E1569,설정_코스수당!$A$6:$H$10,6,FALSE),0),0)</f>
        <v>0</v>
      </c>
      <c r="N1569" s="28">
        <f t="shared" si="45"/>
        <v>0</v>
      </c>
      <c r="O1569" s="23"/>
      <c r="P1569" s="23"/>
      <c r="Q1569" s="23"/>
      <c r="R1569" s="26"/>
      <c r="S1569" s="23"/>
      <c r="U1569" s="109" t="s">
        <v>76</v>
      </c>
      <c r="V1569" s="109" t="s">
        <v>77</v>
      </c>
      <c r="W1569" s="109" t="s">
        <v>78</v>
      </c>
      <c r="X1569" s="109" t="s">
        <v>58</v>
      </c>
    </row>
    <row r="1570" spans="1:24" ht="19.5" hidden="1" customHeight="1" outlineLevel="1">
      <c r="A1570" s="29">
        <v>12</v>
      </c>
      <c r="B1570" s="30">
        <f>IF(16&lt;=DAY(DATE(YEAR(설정_코스수당!$K$2),MONTH(설정_코스수당!$K$2)+1,0)),DATE(YEAR(설정_코스수당!$K$2),MONTH(설정_코스수당!$K$2),16),"")</f>
        <v>46189</v>
      </c>
      <c r="C1570" s="31"/>
      <c r="D1570" s="29"/>
      <c r="E1570" s="29"/>
      <c r="F1570" s="32"/>
      <c r="G1570" s="29"/>
      <c r="H1570" s="29"/>
      <c r="I1570" s="29"/>
      <c r="J1570" s="33">
        <f>IF($O1570="방문완료",MAX(0,IFERROR(VLOOKUP($E1570,설정_코스수당!$A$6:$H$10,4,FALSE),0)-IF(OR($P1570="",$P1570="없음"),0,100000)),0)</f>
        <v>0</v>
      </c>
      <c r="K1570" s="33">
        <f t="array" ref="K1570">IF($O1570="방문완료",IFERROR(INDEX(설정_코스수당!$B$15:$F$64,MATCH($G1570,설정_코스수당!$A$15:$A$64,0),MATCH($E1570&amp;"수당",설정_코스수당!$B$14:$F$14,0)),0),0)</f>
        <v>0</v>
      </c>
      <c r="L1570" s="33">
        <f t="array" ref="L1570">IF($O1570="방문완료",IF($H1570="",0,IFERROR(INDEX(설정_코스수당!$B$15:$F$64,MATCH($H1570,설정_코스수당!$A$15:$A$64,0),MATCH($E1570&amp;"수당",설정_코스수당!$B$14:$F$14,0)),0)),0)</f>
        <v>0</v>
      </c>
      <c r="M1570" s="33">
        <f>IF($O1570="방문완료",IFERROR(VLOOKUP($E1570,설정_코스수당!$A$6:$H$10,6,FALSE),0),0)</f>
        <v>0</v>
      </c>
      <c r="N1570" s="34">
        <f t="shared" si="45"/>
        <v>0</v>
      </c>
      <c r="O1570" s="29"/>
      <c r="P1570" s="29"/>
      <c r="Q1570" s="29"/>
      <c r="R1570" s="32"/>
      <c r="S1570" s="29"/>
      <c r="U1570" s="113"/>
      <c r="V1570" s="111"/>
      <c r="W1570" s="112"/>
      <c r="X1570" s="111"/>
    </row>
    <row r="1571" spans="1:24" ht="19.5" hidden="1" customHeight="1" outlineLevel="1">
      <c r="A1571" s="23">
        <v>13</v>
      </c>
      <c r="B1571" s="24">
        <f>IF(16&lt;=DAY(DATE(YEAR(설정_코스수당!$K$2),MONTH(설정_코스수당!$K$2)+1,0)),DATE(YEAR(설정_코스수당!$K$2),MONTH(설정_코스수당!$K$2),16),"")</f>
        <v>46189</v>
      </c>
      <c r="C1571" s="25"/>
      <c r="D1571" s="23"/>
      <c r="E1571" s="23"/>
      <c r="F1571" s="26"/>
      <c r="G1571" s="23"/>
      <c r="H1571" s="23"/>
      <c r="I1571" s="23"/>
      <c r="J1571" s="27">
        <f>IF($O1571="방문완료",MAX(0,IFERROR(VLOOKUP($E1571,설정_코스수당!$A$6:$H$10,4,FALSE),0)-IF(OR($P1571="",$P1571="없음"),0,100000)),0)</f>
        <v>0</v>
      </c>
      <c r="K1571" s="27">
        <f t="array" ref="K1571">IF($O1571="방문완료",IFERROR(INDEX(설정_코스수당!$B$15:$F$64,MATCH($G1571,설정_코스수당!$A$15:$A$64,0),MATCH($E1571&amp;"수당",설정_코스수당!$B$14:$F$14,0)),0),0)</f>
        <v>0</v>
      </c>
      <c r="L1571" s="27">
        <f t="array" ref="L1571">IF($O1571="방문완료",IF($H1571="",0,IFERROR(INDEX(설정_코스수당!$B$15:$F$64,MATCH($H1571,설정_코스수당!$A$15:$A$64,0),MATCH($E1571&amp;"수당",설정_코스수당!$B$14:$F$14,0)),0)),0)</f>
        <v>0</v>
      </c>
      <c r="M1571" s="27">
        <f>IF($O1571="방문완료",IFERROR(VLOOKUP($E1571,설정_코스수당!$A$6:$H$10,6,FALSE),0),0)</f>
        <v>0</v>
      </c>
      <c r="N1571" s="28">
        <f t="shared" si="45"/>
        <v>0</v>
      </c>
      <c r="O1571" s="23"/>
      <c r="P1571" s="23"/>
      <c r="Q1571" s="23"/>
      <c r="R1571" s="26"/>
      <c r="S1571" s="23"/>
      <c r="U1571" s="113"/>
      <c r="V1571" s="111"/>
      <c r="W1571" s="112"/>
      <c r="X1571" s="111"/>
    </row>
    <row r="1572" spans="1:24" ht="19.5" hidden="1" customHeight="1" outlineLevel="1">
      <c r="A1572" s="29">
        <v>14</v>
      </c>
      <c r="B1572" s="30">
        <f>IF(16&lt;=DAY(DATE(YEAR(설정_코스수당!$K$2),MONTH(설정_코스수당!$K$2)+1,0)),DATE(YEAR(설정_코스수당!$K$2),MONTH(설정_코스수당!$K$2),16),"")</f>
        <v>46189</v>
      </c>
      <c r="C1572" s="31"/>
      <c r="D1572" s="29"/>
      <c r="E1572" s="29"/>
      <c r="F1572" s="32"/>
      <c r="G1572" s="29"/>
      <c r="H1572" s="29"/>
      <c r="I1572" s="29"/>
      <c r="J1572" s="33">
        <f>IF($O1572="방문완료",MAX(0,IFERROR(VLOOKUP($E1572,설정_코스수당!$A$6:$H$10,4,FALSE),0)-IF(OR($P1572="",$P1572="없음"),0,100000)),0)</f>
        <v>0</v>
      </c>
      <c r="K1572" s="33">
        <f t="array" ref="K1572">IF($O1572="방문완료",IFERROR(INDEX(설정_코스수당!$B$15:$F$64,MATCH($G1572,설정_코스수당!$A$15:$A$64,0),MATCH($E1572&amp;"수당",설정_코스수당!$B$14:$F$14,0)),0),0)</f>
        <v>0</v>
      </c>
      <c r="L1572" s="33">
        <f t="array" ref="L1572">IF($O1572="방문완료",IF($H1572="",0,IFERROR(INDEX(설정_코스수당!$B$15:$F$64,MATCH($H1572,설정_코스수당!$A$15:$A$64,0),MATCH($E1572&amp;"수당",설정_코스수당!$B$14:$F$14,0)),0)),0)</f>
        <v>0</v>
      </c>
      <c r="M1572" s="33">
        <f>IF($O1572="방문완료",IFERROR(VLOOKUP($E1572,설정_코스수당!$A$6:$H$10,6,FALSE),0),0)</f>
        <v>0</v>
      </c>
      <c r="N1572" s="34">
        <f t="shared" si="45"/>
        <v>0</v>
      </c>
      <c r="O1572" s="29"/>
      <c r="P1572" s="29"/>
      <c r="Q1572" s="29"/>
      <c r="R1572" s="32"/>
      <c r="S1572" s="29"/>
      <c r="U1572" s="113"/>
      <c r="V1572" s="111"/>
      <c r="W1572" s="112"/>
      <c r="X1572" s="111"/>
    </row>
    <row r="1573" spans="1:24" ht="19.5" hidden="1" customHeight="1" outlineLevel="1">
      <c r="A1573" s="23">
        <v>15</v>
      </c>
      <c r="B1573" s="24">
        <f>IF(16&lt;=DAY(DATE(YEAR(설정_코스수당!$K$2),MONTH(설정_코스수당!$K$2)+1,0)),DATE(YEAR(설정_코스수당!$K$2),MONTH(설정_코스수당!$K$2),16),"")</f>
        <v>46189</v>
      </c>
      <c r="C1573" s="25"/>
      <c r="D1573" s="23"/>
      <c r="E1573" s="23"/>
      <c r="F1573" s="26"/>
      <c r="G1573" s="23"/>
      <c r="H1573" s="23"/>
      <c r="I1573" s="23"/>
      <c r="J1573" s="27">
        <f>IF($O1573="방문완료",MAX(0,IFERROR(VLOOKUP($E1573,설정_코스수당!$A$6:$H$10,4,FALSE),0)-IF(OR($P1573="",$P1573="없음"),0,100000)),0)</f>
        <v>0</v>
      </c>
      <c r="K1573" s="27">
        <f t="array" ref="K1573">IF($O1573="방문완료",IFERROR(INDEX(설정_코스수당!$B$15:$F$64,MATCH($G1573,설정_코스수당!$A$15:$A$64,0),MATCH($E1573&amp;"수당",설정_코스수당!$B$14:$F$14,0)),0),0)</f>
        <v>0</v>
      </c>
      <c r="L1573" s="27">
        <f t="array" ref="L1573">IF($O1573="방문완료",IF($H1573="",0,IFERROR(INDEX(설정_코스수당!$B$15:$F$64,MATCH($H1573,설정_코스수당!$A$15:$A$64,0),MATCH($E1573&amp;"수당",설정_코스수당!$B$14:$F$14,0)),0)),0)</f>
        <v>0</v>
      </c>
      <c r="M1573" s="27">
        <f>IF($O1573="방문완료",IFERROR(VLOOKUP($E1573,설정_코스수당!$A$6:$H$10,6,FALSE),0),0)</f>
        <v>0</v>
      </c>
      <c r="N1573" s="28">
        <f t="shared" si="45"/>
        <v>0</v>
      </c>
      <c r="O1573" s="23"/>
      <c r="P1573" s="23"/>
      <c r="Q1573" s="23"/>
      <c r="R1573" s="26"/>
      <c r="S1573" s="23"/>
      <c r="U1573" s="113"/>
      <c r="V1573" s="111"/>
      <c r="W1573" s="112"/>
      <c r="X1573" s="111"/>
    </row>
    <row r="1574" spans="1:24" ht="19.5" hidden="1" customHeight="1" outlineLevel="1">
      <c r="A1574" s="29">
        <v>16</v>
      </c>
      <c r="B1574" s="30">
        <f>IF(16&lt;=DAY(DATE(YEAR(설정_코스수당!$K$2),MONTH(설정_코스수당!$K$2)+1,0)),DATE(YEAR(설정_코스수당!$K$2),MONTH(설정_코스수당!$K$2),16),"")</f>
        <v>46189</v>
      </c>
      <c r="C1574" s="31"/>
      <c r="D1574" s="29"/>
      <c r="E1574" s="29"/>
      <c r="F1574" s="32"/>
      <c r="G1574" s="29"/>
      <c r="H1574" s="29"/>
      <c r="I1574" s="29"/>
      <c r="J1574" s="33">
        <f>IF($O1574="방문완료",MAX(0,IFERROR(VLOOKUP($E1574,설정_코스수당!$A$6:$H$10,4,FALSE),0)-IF(OR($P1574="",$P1574="없음"),0,100000)),0)</f>
        <v>0</v>
      </c>
      <c r="K1574" s="33">
        <f t="array" ref="K1574">IF($O1574="방문완료",IFERROR(INDEX(설정_코스수당!$B$15:$F$64,MATCH($G1574,설정_코스수당!$A$15:$A$64,0),MATCH($E1574&amp;"수당",설정_코스수당!$B$14:$F$14,0)),0),0)</f>
        <v>0</v>
      </c>
      <c r="L1574" s="33">
        <f t="array" ref="L1574">IF($O1574="방문완료",IF($H1574="",0,IFERROR(INDEX(설정_코스수당!$B$15:$F$64,MATCH($H1574,설정_코스수당!$A$15:$A$64,0),MATCH($E1574&amp;"수당",설정_코스수당!$B$14:$F$14,0)),0)),0)</f>
        <v>0</v>
      </c>
      <c r="M1574" s="33">
        <f>IF($O1574="방문완료",IFERROR(VLOOKUP($E1574,설정_코스수당!$A$6:$H$10,6,FALSE),0),0)</f>
        <v>0</v>
      </c>
      <c r="N1574" s="34">
        <f t="shared" si="45"/>
        <v>0</v>
      </c>
      <c r="O1574" s="29"/>
      <c r="P1574" s="29"/>
      <c r="Q1574" s="29"/>
      <c r="R1574" s="32"/>
      <c r="S1574" s="29"/>
      <c r="U1574" s="113"/>
      <c r="V1574" s="111"/>
      <c r="W1574" s="112"/>
      <c r="X1574" s="111"/>
    </row>
    <row r="1575" spans="1:24" ht="19.5" hidden="1" customHeight="1" outlineLevel="1">
      <c r="A1575" s="23">
        <v>17</v>
      </c>
      <c r="B1575" s="24">
        <f>IF(16&lt;=DAY(DATE(YEAR(설정_코스수당!$K$2),MONTH(설정_코스수당!$K$2)+1,0)),DATE(YEAR(설정_코스수당!$K$2),MONTH(설정_코스수당!$K$2),16),"")</f>
        <v>46189</v>
      </c>
      <c r="C1575" s="25"/>
      <c r="D1575" s="23"/>
      <c r="E1575" s="23"/>
      <c r="F1575" s="26"/>
      <c r="G1575" s="23"/>
      <c r="H1575" s="23"/>
      <c r="I1575" s="23"/>
      <c r="J1575" s="27">
        <f>IF($O1575="방문완료",MAX(0,IFERROR(VLOOKUP($E1575,설정_코스수당!$A$6:$H$10,4,FALSE),0)-IF(OR($P1575="",$P1575="없음"),0,100000)),0)</f>
        <v>0</v>
      </c>
      <c r="K1575" s="27">
        <f t="array" ref="K1575">IF($O1575="방문완료",IFERROR(INDEX(설정_코스수당!$B$15:$F$64,MATCH($G1575,설정_코스수당!$A$15:$A$64,0),MATCH($E1575&amp;"수당",설정_코스수당!$B$14:$F$14,0)),0),0)</f>
        <v>0</v>
      </c>
      <c r="L1575" s="27">
        <f t="array" ref="L1575">IF($O1575="방문완료",IF($H1575="",0,IFERROR(INDEX(설정_코스수당!$B$15:$F$64,MATCH($H1575,설정_코스수당!$A$15:$A$64,0),MATCH($E1575&amp;"수당",설정_코스수당!$B$14:$F$14,0)),0)),0)</f>
        <v>0</v>
      </c>
      <c r="M1575" s="27">
        <f>IF($O1575="방문완료",IFERROR(VLOOKUP($E1575,설정_코스수당!$A$6:$H$10,6,FALSE),0),0)</f>
        <v>0</v>
      </c>
      <c r="N1575" s="28">
        <f t="shared" si="45"/>
        <v>0</v>
      </c>
      <c r="O1575" s="23"/>
      <c r="P1575" s="23"/>
      <c r="Q1575" s="23"/>
      <c r="R1575" s="26"/>
      <c r="S1575" s="23"/>
      <c r="U1575" s="113"/>
      <c r="V1575" s="111"/>
      <c r="W1575" s="112"/>
      <c r="X1575" s="111"/>
    </row>
    <row r="1576" spans="1:24" ht="19.5" hidden="1" customHeight="1" outlineLevel="1">
      <c r="A1576" s="29">
        <v>18</v>
      </c>
      <c r="B1576" s="30">
        <f>IF(16&lt;=DAY(DATE(YEAR(설정_코스수당!$K$2),MONTH(설정_코스수당!$K$2)+1,0)),DATE(YEAR(설정_코스수당!$K$2),MONTH(설정_코스수당!$K$2),16),"")</f>
        <v>46189</v>
      </c>
      <c r="C1576" s="31"/>
      <c r="D1576" s="29"/>
      <c r="E1576" s="29"/>
      <c r="F1576" s="32"/>
      <c r="G1576" s="29"/>
      <c r="H1576" s="29"/>
      <c r="I1576" s="29"/>
      <c r="J1576" s="33">
        <f>IF($O1576="방문완료",MAX(0,IFERROR(VLOOKUP($E1576,설정_코스수당!$A$6:$H$10,4,FALSE),0)-IF(OR($P1576="",$P1576="없음"),0,100000)),0)</f>
        <v>0</v>
      </c>
      <c r="K1576" s="33">
        <f t="array" ref="K1576">IF($O1576="방문완료",IFERROR(INDEX(설정_코스수당!$B$15:$F$64,MATCH($G1576,설정_코스수당!$A$15:$A$64,0),MATCH($E1576&amp;"수당",설정_코스수당!$B$14:$F$14,0)),0),0)</f>
        <v>0</v>
      </c>
      <c r="L1576" s="33">
        <f t="array" ref="L1576">IF($O1576="방문완료",IF($H1576="",0,IFERROR(INDEX(설정_코스수당!$B$15:$F$64,MATCH($H1576,설정_코스수당!$A$15:$A$64,0),MATCH($E1576&amp;"수당",설정_코스수당!$B$14:$F$14,0)),0)),0)</f>
        <v>0</v>
      </c>
      <c r="M1576" s="33">
        <f>IF($O1576="방문완료",IFERROR(VLOOKUP($E1576,설정_코스수당!$A$6:$H$10,6,FALSE),0),0)</f>
        <v>0</v>
      </c>
      <c r="N1576" s="34">
        <f t="shared" si="45"/>
        <v>0</v>
      </c>
      <c r="O1576" s="29"/>
      <c r="P1576" s="29"/>
      <c r="Q1576" s="29"/>
      <c r="R1576" s="32"/>
      <c r="S1576" s="29"/>
      <c r="U1576" s="113"/>
      <c r="V1576" s="111"/>
      <c r="W1576" s="112"/>
      <c r="X1576" s="111"/>
    </row>
    <row r="1577" spans="1:24" ht="19.5" hidden="1" customHeight="1" outlineLevel="1">
      <c r="A1577" s="23">
        <v>19</v>
      </c>
      <c r="B1577" s="24">
        <f>IF(16&lt;=DAY(DATE(YEAR(설정_코스수당!$K$2),MONTH(설정_코스수당!$K$2)+1,0)),DATE(YEAR(설정_코스수당!$K$2),MONTH(설정_코스수당!$K$2),16),"")</f>
        <v>46189</v>
      </c>
      <c r="C1577" s="25"/>
      <c r="D1577" s="23"/>
      <c r="E1577" s="23"/>
      <c r="F1577" s="26"/>
      <c r="G1577" s="23"/>
      <c r="H1577" s="23"/>
      <c r="I1577" s="23"/>
      <c r="J1577" s="27">
        <f>IF($O1577="방문완료",MAX(0,IFERROR(VLOOKUP($E1577,설정_코스수당!$A$6:$H$10,4,FALSE),0)-IF(OR($P1577="",$P1577="없음"),0,100000)),0)</f>
        <v>0</v>
      </c>
      <c r="K1577" s="27">
        <f t="array" ref="K1577">IF($O1577="방문완료",IFERROR(INDEX(설정_코스수당!$B$15:$F$64,MATCH($G1577,설정_코스수당!$A$15:$A$64,0),MATCH($E1577&amp;"수당",설정_코스수당!$B$14:$F$14,0)),0),0)</f>
        <v>0</v>
      </c>
      <c r="L1577" s="27">
        <f t="array" ref="L1577">IF($O1577="방문완료",IF($H1577="",0,IFERROR(INDEX(설정_코스수당!$B$15:$F$64,MATCH($H1577,설정_코스수당!$A$15:$A$64,0),MATCH($E1577&amp;"수당",설정_코스수당!$B$14:$F$14,0)),0)),0)</f>
        <v>0</v>
      </c>
      <c r="M1577" s="27">
        <f>IF($O1577="방문완료",IFERROR(VLOOKUP($E1577,설정_코스수당!$A$6:$H$10,6,FALSE),0),0)</f>
        <v>0</v>
      </c>
      <c r="N1577" s="28">
        <f t="shared" si="45"/>
        <v>0</v>
      </c>
      <c r="O1577" s="23"/>
      <c r="P1577" s="23"/>
      <c r="Q1577" s="23"/>
      <c r="R1577" s="26"/>
      <c r="S1577" s="23"/>
      <c r="U1577" s="113"/>
      <c r="V1577" s="111"/>
      <c r="W1577" s="112"/>
      <c r="X1577" s="111"/>
    </row>
    <row r="1578" spans="1:24" ht="19.5" hidden="1" customHeight="1" outlineLevel="1">
      <c r="A1578" s="29">
        <v>20</v>
      </c>
      <c r="B1578" s="30">
        <f>IF(16&lt;=DAY(DATE(YEAR(설정_코스수당!$K$2),MONTH(설정_코스수당!$K$2)+1,0)),DATE(YEAR(설정_코스수당!$K$2),MONTH(설정_코스수당!$K$2),16),"")</f>
        <v>46189</v>
      </c>
      <c r="C1578" s="31"/>
      <c r="D1578" s="29"/>
      <c r="E1578" s="29"/>
      <c r="F1578" s="32"/>
      <c r="G1578" s="29"/>
      <c r="H1578" s="29"/>
      <c r="I1578" s="29"/>
      <c r="J1578" s="33">
        <f>IF($O1578="방문완료",MAX(0,IFERROR(VLOOKUP($E1578,설정_코스수당!$A$6:$H$10,4,FALSE),0)-IF(OR($P1578="",$P1578="없음"),0,100000)),0)</f>
        <v>0</v>
      </c>
      <c r="K1578" s="33">
        <f t="array" ref="K1578">IF($O1578="방문완료",IFERROR(INDEX(설정_코스수당!$B$15:$F$64,MATCH($G1578,설정_코스수당!$A$15:$A$64,0),MATCH($E1578&amp;"수당",설정_코스수당!$B$14:$F$14,0)),0),0)</f>
        <v>0</v>
      </c>
      <c r="L1578" s="33">
        <f t="array" ref="L1578">IF($O1578="방문완료",IF($H1578="",0,IFERROR(INDEX(설정_코스수당!$B$15:$F$64,MATCH($H1578,설정_코스수당!$A$15:$A$64,0),MATCH($E1578&amp;"수당",설정_코스수당!$B$14:$F$14,0)),0)),0)</f>
        <v>0</v>
      </c>
      <c r="M1578" s="33">
        <f>IF($O1578="방문완료",IFERROR(VLOOKUP($E1578,설정_코스수당!$A$6:$H$10,6,FALSE),0),0)</f>
        <v>0</v>
      </c>
      <c r="N1578" s="34">
        <f t="shared" si="45"/>
        <v>0</v>
      </c>
      <c r="O1578" s="29"/>
      <c r="P1578" s="29"/>
      <c r="Q1578" s="29"/>
      <c r="R1578" s="32"/>
      <c r="S1578" s="29"/>
    </row>
    <row r="1579" spans="1:24" ht="19.5" hidden="1" customHeight="1" outlineLevel="1">
      <c r="A1579" s="23">
        <v>21</v>
      </c>
      <c r="B1579" s="24">
        <f>IF(16&lt;=DAY(DATE(YEAR(설정_코스수당!$K$2),MONTH(설정_코스수당!$K$2)+1,0)),DATE(YEAR(설정_코스수당!$K$2),MONTH(설정_코스수당!$K$2),16),"")</f>
        <v>46189</v>
      </c>
      <c r="C1579" s="25"/>
      <c r="D1579" s="23"/>
      <c r="E1579" s="23"/>
      <c r="F1579" s="26"/>
      <c r="G1579" s="23"/>
      <c r="H1579" s="23"/>
      <c r="I1579" s="23"/>
      <c r="J1579" s="27">
        <f>IF($O1579="방문완료",MAX(0,IFERROR(VLOOKUP($E1579,설정_코스수당!$A$6:$H$10,4,FALSE),0)-IF(OR($P1579="",$P1579="없음"),0,100000)),0)</f>
        <v>0</v>
      </c>
      <c r="K1579" s="27">
        <f t="array" ref="K1579">IF($O1579="방문완료",IFERROR(INDEX(설정_코스수당!$B$15:$F$64,MATCH($G1579,설정_코스수당!$A$15:$A$64,0),MATCH($E1579&amp;"수당",설정_코스수당!$B$14:$F$14,0)),0),0)</f>
        <v>0</v>
      </c>
      <c r="L1579" s="27">
        <f t="array" ref="L1579">IF($O1579="방문완료",IF($H1579="",0,IFERROR(INDEX(설정_코스수당!$B$15:$F$64,MATCH($H1579,설정_코스수당!$A$15:$A$64,0),MATCH($E1579&amp;"수당",설정_코스수당!$B$14:$F$14,0)),0)),0)</f>
        <v>0</v>
      </c>
      <c r="M1579" s="27">
        <f>IF($O1579="방문완료",IFERROR(VLOOKUP($E1579,설정_코스수당!$A$6:$H$10,6,FALSE),0),0)</f>
        <v>0</v>
      </c>
      <c r="N1579" s="28">
        <f t="shared" si="45"/>
        <v>0</v>
      </c>
      <c r="O1579" s="23"/>
      <c r="P1579" s="23"/>
      <c r="Q1579" s="23"/>
      <c r="R1579" s="26"/>
      <c r="S1579" s="23"/>
    </row>
    <row r="1580" spans="1:24" ht="19.5" hidden="1" customHeight="1" outlineLevel="1">
      <c r="A1580" s="29">
        <v>22</v>
      </c>
      <c r="B1580" s="30">
        <f>IF(16&lt;=DAY(DATE(YEAR(설정_코스수당!$K$2),MONTH(설정_코스수당!$K$2)+1,0)),DATE(YEAR(설정_코스수당!$K$2),MONTH(설정_코스수당!$K$2),16),"")</f>
        <v>46189</v>
      </c>
      <c r="C1580" s="31"/>
      <c r="D1580" s="29"/>
      <c r="E1580" s="29"/>
      <c r="F1580" s="32"/>
      <c r="G1580" s="29"/>
      <c r="H1580" s="29"/>
      <c r="I1580" s="29"/>
      <c r="J1580" s="33">
        <f>IF($O1580="방문완료",MAX(0,IFERROR(VLOOKUP($E1580,설정_코스수당!$A$6:$H$10,4,FALSE),0)-IF(OR($P1580="",$P1580="없음"),0,100000)),0)</f>
        <v>0</v>
      </c>
      <c r="K1580" s="33">
        <f t="array" ref="K1580">IF($O1580="방문완료",IFERROR(INDEX(설정_코스수당!$B$15:$F$64,MATCH($G1580,설정_코스수당!$A$15:$A$64,0),MATCH($E1580&amp;"수당",설정_코스수당!$B$14:$F$14,0)),0),0)</f>
        <v>0</v>
      </c>
      <c r="L1580" s="33">
        <f t="array" ref="L1580">IF($O1580="방문완료",IF($H1580="",0,IFERROR(INDEX(설정_코스수당!$B$15:$F$64,MATCH($H1580,설정_코스수당!$A$15:$A$64,0),MATCH($E1580&amp;"수당",설정_코스수당!$B$14:$F$14,0)),0)),0)</f>
        <v>0</v>
      </c>
      <c r="M1580" s="33">
        <f>IF($O1580="방문완료",IFERROR(VLOOKUP($E1580,설정_코스수당!$A$6:$H$10,6,FALSE),0),0)</f>
        <v>0</v>
      </c>
      <c r="N1580" s="34">
        <f t="shared" si="45"/>
        <v>0</v>
      </c>
      <c r="O1580" s="29"/>
      <c r="P1580" s="29"/>
      <c r="Q1580" s="29"/>
      <c r="R1580" s="32"/>
      <c r="S1580" s="29"/>
    </row>
    <row r="1581" spans="1:24" ht="19.5" hidden="1" customHeight="1" outlineLevel="1">
      <c r="A1581" s="23">
        <v>23</v>
      </c>
      <c r="B1581" s="24">
        <f>IF(16&lt;=DAY(DATE(YEAR(설정_코스수당!$K$2),MONTH(설정_코스수당!$K$2)+1,0)),DATE(YEAR(설정_코스수당!$K$2),MONTH(설정_코스수당!$K$2),16),"")</f>
        <v>46189</v>
      </c>
      <c r="C1581" s="25"/>
      <c r="D1581" s="23"/>
      <c r="E1581" s="23"/>
      <c r="F1581" s="26"/>
      <c r="G1581" s="23"/>
      <c r="H1581" s="23"/>
      <c r="I1581" s="23"/>
      <c r="J1581" s="27">
        <f>IF($O1581="방문완료",MAX(0,IFERROR(VLOOKUP($E1581,설정_코스수당!$A$6:$H$10,4,FALSE),0)-IF(OR($P1581="",$P1581="없음"),0,100000)),0)</f>
        <v>0</v>
      </c>
      <c r="K1581" s="27">
        <f t="array" ref="K1581">IF($O1581="방문완료",IFERROR(INDEX(설정_코스수당!$B$15:$F$64,MATCH($G1581,설정_코스수당!$A$15:$A$64,0),MATCH($E1581&amp;"수당",설정_코스수당!$B$14:$F$14,0)),0),0)</f>
        <v>0</v>
      </c>
      <c r="L1581" s="27">
        <f t="array" ref="L1581">IF($O1581="방문완료",IF($H1581="",0,IFERROR(INDEX(설정_코스수당!$B$15:$F$64,MATCH($H1581,설정_코스수당!$A$15:$A$64,0),MATCH($E1581&amp;"수당",설정_코스수당!$B$14:$F$14,0)),0)),0)</f>
        <v>0</v>
      </c>
      <c r="M1581" s="27">
        <f>IF($O1581="방문완료",IFERROR(VLOOKUP($E1581,설정_코스수당!$A$6:$H$10,6,FALSE),0),0)</f>
        <v>0</v>
      </c>
      <c r="N1581" s="28">
        <f t="shared" si="45"/>
        <v>0</v>
      </c>
      <c r="O1581" s="23"/>
      <c r="P1581" s="23"/>
      <c r="Q1581" s="23"/>
      <c r="R1581" s="26"/>
      <c r="S1581" s="23"/>
    </row>
    <row r="1582" spans="1:24" ht="19.5" hidden="1" customHeight="1" outlineLevel="1">
      <c r="A1582" s="29">
        <v>24</v>
      </c>
      <c r="B1582" s="30">
        <f>IF(16&lt;=DAY(DATE(YEAR(설정_코스수당!$K$2),MONTH(설정_코스수당!$K$2)+1,0)),DATE(YEAR(설정_코스수당!$K$2),MONTH(설정_코스수당!$K$2),16),"")</f>
        <v>46189</v>
      </c>
      <c r="C1582" s="31"/>
      <c r="D1582" s="29"/>
      <c r="E1582" s="29"/>
      <c r="F1582" s="32"/>
      <c r="G1582" s="29"/>
      <c r="H1582" s="29"/>
      <c r="I1582" s="29"/>
      <c r="J1582" s="33">
        <f>IF($O1582="방문완료",MAX(0,IFERROR(VLOOKUP($E1582,설정_코스수당!$A$6:$H$10,4,FALSE),0)-IF(OR($P1582="",$P1582="없음"),0,100000)),0)</f>
        <v>0</v>
      </c>
      <c r="K1582" s="33">
        <f t="array" ref="K1582">IF($O1582="방문완료",IFERROR(INDEX(설정_코스수당!$B$15:$F$64,MATCH($G1582,설정_코스수당!$A$15:$A$64,0),MATCH($E1582&amp;"수당",설정_코스수당!$B$14:$F$14,0)),0),0)</f>
        <v>0</v>
      </c>
      <c r="L1582" s="33">
        <f t="array" ref="L1582">IF($O1582="방문완료",IF($H1582="",0,IFERROR(INDEX(설정_코스수당!$B$15:$F$64,MATCH($H1582,설정_코스수당!$A$15:$A$64,0),MATCH($E1582&amp;"수당",설정_코스수당!$B$14:$F$14,0)),0)),0)</f>
        <v>0</v>
      </c>
      <c r="M1582" s="33">
        <f>IF($O1582="방문완료",IFERROR(VLOOKUP($E1582,설정_코스수당!$A$6:$H$10,6,FALSE),0),0)</f>
        <v>0</v>
      </c>
      <c r="N1582" s="34">
        <f t="shared" si="45"/>
        <v>0</v>
      </c>
      <c r="O1582" s="29"/>
      <c r="P1582" s="29"/>
      <c r="Q1582" s="29"/>
      <c r="R1582" s="32"/>
      <c r="S1582" s="29"/>
    </row>
    <row r="1583" spans="1:24" ht="19.5" hidden="1" customHeight="1" outlineLevel="1">
      <c r="A1583" s="23">
        <v>25</v>
      </c>
      <c r="B1583" s="24">
        <f>IF(16&lt;=DAY(DATE(YEAR(설정_코스수당!$K$2),MONTH(설정_코스수당!$K$2)+1,0)),DATE(YEAR(설정_코스수당!$K$2),MONTH(설정_코스수당!$K$2),16),"")</f>
        <v>46189</v>
      </c>
      <c r="C1583" s="25"/>
      <c r="D1583" s="23"/>
      <c r="E1583" s="23"/>
      <c r="F1583" s="26"/>
      <c r="G1583" s="23"/>
      <c r="H1583" s="23"/>
      <c r="I1583" s="23"/>
      <c r="J1583" s="27">
        <f>IF($O1583="방문완료",MAX(0,IFERROR(VLOOKUP($E1583,설정_코스수당!$A$6:$H$10,4,FALSE),0)-IF(OR($P1583="",$P1583="없음"),0,100000)),0)</f>
        <v>0</v>
      </c>
      <c r="K1583" s="27">
        <f t="array" ref="K1583">IF($O1583="방문완료",IFERROR(INDEX(설정_코스수당!$B$15:$F$64,MATCH($G1583,설정_코스수당!$A$15:$A$64,0),MATCH($E1583&amp;"수당",설정_코스수당!$B$14:$F$14,0)),0),0)</f>
        <v>0</v>
      </c>
      <c r="L1583" s="27">
        <f t="array" ref="L1583">IF($O1583="방문완료",IF($H1583="",0,IFERROR(INDEX(설정_코스수당!$B$15:$F$64,MATCH($H1583,설정_코스수당!$A$15:$A$64,0),MATCH($E1583&amp;"수당",설정_코스수당!$B$14:$F$14,0)),0)),0)</f>
        <v>0</v>
      </c>
      <c r="M1583" s="27">
        <f>IF($O1583="방문완료",IFERROR(VLOOKUP($E1583,설정_코스수당!$A$6:$H$10,6,FALSE),0),0)</f>
        <v>0</v>
      </c>
      <c r="N1583" s="28">
        <f t="shared" si="45"/>
        <v>0</v>
      </c>
      <c r="O1583" s="23"/>
      <c r="P1583" s="23"/>
      <c r="Q1583" s="23"/>
      <c r="R1583" s="26"/>
      <c r="S1583" s="23"/>
    </row>
    <row r="1584" spans="1:24" ht="19.5" hidden="1" customHeight="1" outlineLevel="1">
      <c r="A1584" s="29">
        <v>26</v>
      </c>
      <c r="B1584" s="30">
        <f>IF(16&lt;=DAY(DATE(YEAR(설정_코스수당!$K$2),MONTH(설정_코스수당!$K$2)+1,0)),DATE(YEAR(설정_코스수당!$K$2),MONTH(설정_코스수당!$K$2),16),"")</f>
        <v>46189</v>
      </c>
      <c r="C1584" s="31"/>
      <c r="D1584" s="29"/>
      <c r="E1584" s="29"/>
      <c r="F1584" s="32"/>
      <c r="G1584" s="29"/>
      <c r="H1584" s="29"/>
      <c r="I1584" s="29"/>
      <c r="J1584" s="33">
        <f>IF($O1584="방문완료",MAX(0,IFERROR(VLOOKUP($E1584,설정_코스수당!$A$6:$H$10,4,FALSE),0)-IF(OR($P1584="",$P1584="없음"),0,100000)),0)</f>
        <v>0</v>
      </c>
      <c r="K1584" s="33">
        <f t="array" ref="K1584">IF($O1584="방문완료",IFERROR(INDEX(설정_코스수당!$B$15:$F$64,MATCH($G1584,설정_코스수당!$A$15:$A$64,0),MATCH($E1584&amp;"수당",설정_코스수당!$B$14:$F$14,0)),0),0)</f>
        <v>0</v>
      </c>
      <c r="L1584" s="33">
        <f t="array" ref="L1584">IF($O1584="방문완료",IF($H1584="",0,IFERROR(INDEX(설정_코스수당!$B$15:$F$64,MATCH($H1584,설정_코스수당!$A$15:$A$64,0),MATCH($E1584&amp;"수당",설정_코스수당!$B$14:$F$14,0)),0)),0)</f>
        <v>0</v>
      </c>
      <c r="M1584" s="33">
        <f>IF($O1584="방문완료",IFERROR(VLOOKUP($E1584,설정_코스수당!$A$6:$H$10,6,FALSE),0),0)</f>
        <v>0</v>
      </c>
      <c r="N1584" s="34">
        <f t="shared" si="45"/>
        <v>0</v>
      </c>
      <c r="O1584" s="29"/>
      <c r="P1584" s="29"/>
      <c r="Q1584" s="29"/>
      <c r="R1584" s="32"/>
      <c r="S1584" s="29"/>
    </row>
    <row r="1585" spans="1:19" ht="19.5" hidden="1" customHeight="1" outlineLevel="1">
      <c r="A1585" s="23">
        <v>27</v>
      </c>
      <c r="B1585" s="24">
        <f>IF(16&lt;=DAY(DATE(YEAR(설정_코스수당!$K$2),MONTH(설정_코스수당!$K$2)+1,0)),DATE(YEAR(설정_코스수당!$K$2),MONTH(설정_코스수당!$K$2),16),"")</f>
        <v>46189</v>
      </c>
      <c r="C1585" s="25"/>
      <c r="D1585" s="23"/>
      <c r="E1585" s="23"/>
      <c r="F1585" s="26"/>
      <c r="G1585" s="23"/>
      <c r="H1585" s="23"/>
      <c r="I1585" s="23"/>
      <c r="J1585" s="27">
        <f>IF($O1585="방문완료",MAX(0,IFERROR(VLOOKUP($E1585,설정_코스수당!$A$6:$H$10,4,FALSE),0)-IF(OR($P1585="",$P1585="없음"),0,100000)),0)</f>
        <v>0</v>
      </c>
      <c r="K1585" s="27">
        <f t="array" ref="K1585">IF($O1585="방문완료",IFERROR(INDEX(설정_코스수당!$B$15:$F$64,MATCH($G1585,설정_코스수당!$A$15:$A$64,0),MATCH($E1585&amp;"수당",설정_코스수당!$B$14:$F$14,0)),0),0)</f>
        <v>0</v>
      </c>
      <c r="L1585" s="27">
        <f t="array" ref="L1585">IF($O1585="방문완료",IF($H1585="",0,IFERROR(INDEX(설정_코스수당!$B$15:$F$64,MATCH($H1585,설정_코스수당!$A$15:$A$64,0),MATCH($E1585&amp;"수당",설정_코스수당!$B$14:$F$14,0)),0)),0)</f>
        <v>0</v>
      </c>
      <c r="M1585" s="27">
        <f>IF($O1585="방문완료",IFERROR(VLOOKUP($E1585,설정_코스수당!$A$6:$H$10,6,FALSE),0),0)</f>
        <v>0</v>
      </c>
      <c r="N1585" s="28">
        <f t="shared" si="45"/>
        <v>0</v>
      </c>
      <c r="O1585" s="23"/>
      <c r="P1585" s="23"/>
      <c r="Q1585" s="23"/>
      <c r="R1585" s="26"/>
      <c r="S1585" s="23"/>
    </row>
    <row r="1586" spans="1:19" ht="19.5" hidden="1" customHeight="1" outlineLevel="1">
      <c r="A1586" s="29">
        <v>28</v>
      </c>
      <c r="B1586" s="30">
        <f>IF(16&lt;=DAY(DATE(YEAR(설정_코스수당!$K$2),MONTH(설정_코스수당!$K$2)+1,0)),DATE(YEAR(설정_코스수당!$K$2),MONTH(설정_코스수당!$K$2),16),"")</f>
        <v>46189</v>
      </c>
      <c r="C1586" s="31"/>
      <c r="D1586" s="29"/>
      <c r="E1586" s="29"/>
      <c r="F1586" s="32"/>
      <c r="G1586" s="29"/>
      <c r="H1586" s="29"/>
      <c r="I1586" s="29"/>
      <c r="J1586" s="33">
        <f>IF($O1586="방문완료",MAX(0,IFERROR(VLOOKUP($E1586,설정_코스수당!$A$6:$H$10,4,FALSE),0)-IF(OR($P1586="",$P1586="없음"),0,100000)),0)</f>
        <v>0</v>
      </c>
      <c r="K1586" s="33">
        <f t="array" ref="K1586">IF($O1586="방문완료",IFERROR(INDEX(설정_코스수당!$B$15:$F$64,MATCH($G1586,설정_코스수당!$A$15:$A$64,0),MATCH($E1586&amp;"수당",설정_코스수당!$B$14:$F$14,0)),0),0)</f>
        <v>0</v>
      </c>
      <c r="L1586" s="33">
        <f t="array" ref="L1586">IF($O1586="방문완료",IF($H1586="",0,IFERROR(INDEX(설정_코스수당!$B$15:$F$64,MATCH($H1586,설정_코스수당!$A$15:$A$64,0),MATCH($E1586&amp;"수당",설정_코스수당!$B$14:$F$14,0)),0)),0)</f>
        <v>0</v>
      </c>
      <c r="M1586" s="33">
        <f>IF($O1586="방문완료",IFERROR(VLOOKUP($E1586,설정_코스수당!$A$6:$H$10,6,FALSE),0),0)</f>
        <v>0</v>
      </c>
      <c r="N1586" s="34">
        <f t="shared" si="45"/>
        <v>0</v>
      </c>
      <c r="O1586" s="29"/>
      <c r="P1586" s="29"/>
      <c r="Q1586" s="29"/>
      <c r="R1586" s="32"/>
      <c r="S1586" s="29"/>
    </row>
    <row r="1587" spans="1:19" ht="19.5" hidden="1" customHeight="1" outlineLevel="1">
      <c r="A1587" s="23">
        <v>29</v>
      </c>
      <c r="B1587" s="24">
        <f>IF(16&lt;=DAY(DATE(YEAR(설정_코스수당!$K$2),MONTH(설정_코스수당!$K$2)+1,0)),DATE(YEAR(설정_코스수당!$K$2),MONTH(설정_코스수당!$K$2),16),"")</f>
        <v>46189</v>
      </c>
      <c r="C1587" s="25"/>
      <c r="D1587" s="23"/>
      <c r="E1587" s="23"/>
      <c r="F1587" s="26"/>
      <c r="G1587" s="23"/>
      <c r="H1587" s="23"/>
      <c r="I1587" s="23"/>
      <c r="J1587" s="27">
        <f>IF($O1587="방문완료",MAX(0,IFERROR(VLOOKUP($E1587,설정_코스수당!$A$6:$H$10,4,FALSE),0)-IF(OR($P1587="",$P1587="없음"),0,100000)),0)</f>
        <v>0</v>
      </c>
      <c r="K1587" s="27">
        <f t="array" ref="K1587">IF($O1587="방문완료",IFERROR(INDEX(설정_코스수당!$B$15:$F$64,MATCH($G1587,설정_코스수당!$A$15:$A$64,0),MATCH($E1587&amp;"수당",설정_코스수당!$B$14:$F$14,0)),0),0)</f>
        <v>0</v>
      </c>
      <c r="L1587" s="27">
        <f t="array" ref="L1587">IF($O1587="방문완료",IF($H1587="",0,IFERROR(INDEX(설정_코스수당!$B$15:$F$64,MATCH($H1587,설정_코스수당!$A$15:$A$64,0),MATCH($E1587&amp;"수당",설정_코스수당!$B$14:$F$14,0)),0)),0)</f>
        <v>0</v>
      </c>
      <c r="M1587" s="27">
        <f>IF($O1587="방문완료",IFERROR(VLOOKUP($E1587,설정_코스수당!$A$6:$H$10,6,FALSE),0),0)</f>
        <v>0</v>
      </c>
      <c r="N1587" s="28">
        <f t="shared" si="45"/>
        <v>0</v>
      </c>
      <c r="O1587" s="23"/>
      <c r="P1587" s="23"/>
      <c r="Q1587" s="23"/>
      <c r="R1587" s="26"/>
      <c r="S1587" s="23"/>
    </row>
    <row r="1588" spans="1:19" ht="19.5" hidden="1" customHeight="1" outlineLevel="1">
      <c r="A1588" s="29">
        <v>30</v>
      </c>
      <c r="B1588" s="30">
        <f>IF(16&lt;=DAY(DATE(YEAR(설정_코스수당!$K$2),MONTH(설정_코스수당!$K$2)+1,0)),DATE(YEAR(설정_코스수당!$K$2),MONTH(설정_코스수당!$K$2),16),"")</f>
        <v>46189</v>
      </c>
      <c r="C1588" s="31"/>
      <c r="D1588" s="29"/>
      <c r="E1588" s="29"/>
      <c r="F1588" s="32"/>
      <c r="G1588" s="29"/>
      <c r="H1588" s="29"/>
      <c r="I1588" s="29"/>
      <c r="J1588" s="33">
        <f>IF($O1588="방문완료",MAX(0,IFERROR(VLOOKUP($E1588,설정_코스수당!$A$6:$H$10,4,FALSE),0)-IF(OR($P1588="",$P1588="없음"),0,100000)),0)</f>
        <v>0</v>
      </c>
      <c r="K1588" s="33">
        <f t="array" ref="K1588">IF($O1588="방문완료",IFERROR(INDEX(설정_코스수당!$B$15:$F$64,MATCH($G1588,설정_코스수당!$A$15:$A$64,0),MATCH($E1588&amp;"수당",설정_코스수당!$B$14:$F$14,0)),0),0)</f>
        <v>0</v>
      </c>
      <c r="L1588" s="33">
        <f t="array" ref="L1588">IF($O1588="방문완료",IF($H1588="",0,IFERROR(INDEX(설정_코스수당!$B$15:$F$64,MATCH($H1588,설정_코스수당!$A$15:$A$64,0),MATCH($E1588&amp;"수당",설정_코스수당!$B$14:$F$14,0)),0)),0)</f>
        <v>0</v>
      </c>
      <c r="M1588" s="33">
        <f>IF($O1588="방문완료",IFERROR(VLOOKUP($E1588,설정_코스수당!$A$6:$H$10,6,FALSE),0),0)</f>
        <v>0</v>
      </c>
      <c r="N1588" s="34">
        <f t="shared" si="45"/>
        <v>0</v>
      </c>
      <c r="O1588" s="29"/>
      <c r="P1588" s="29"/>
      <c r="Q1588" s="29"/>
      <c r="R1588" s="32"/>
      <c r="S1588" s="29"/>
    </row>
    <row r="1589" spans="1:19" ht="19.5" hidden="1" customHeight="1" outlineLevel="1">
      <c r="A1589" s="23">
        <v>31</v>
      </c>
      <c r="B1589" s="24">
        <f>IF(16&lt;=DAY(DATE(YEAR(설정_코스수당!$K$2),MONTH(설정_코스수당!$K$2)+1,0)),DATE(YEAR(설정_코스수당!$K$2),MONTH(설정_코스수당!$K$2),16),"")</f>
        <v>46189</v>
      </c>
      <c r="C1589" s="25"/>
      <c r="D1589" s="23"/>
      <c r="E1589" s="23"/>
      <c r="F1589" s="26"/>
      <c r="G1589" s="23"/>
      <c r="H1589" s="23"/>
      <c r="I1589" s="23"/>
      <c r="J1589" s="27">
        <f>IF($O1589="방문완료",MAX(0,IFERROR(VLOOKUP($E1589,설정_코스수당!$A$6:$H$10,4,FALSE),0)-IF(OR($P1589="",$P1589="없음"),0,100000)),0)</f>
        <v>0</v>
      </c>
      <c r="K1589" s="27">
        <f t="array" ref="K1589">IF($O1589="방문완료",IFERROR(INDEX(설정_코스수당!$B$15:$F$64,MATCH($G1589,설정_코스수당!$A$15:$A$64,0),MATCH($E1589&amp;"수당",설정_코스수당!$B$14:$F$14,0)),0),0)</f>
        <v>0</v>
      </c>
      <c r="L1589" s="27">
        <f t="array" ref="L1589">IF($O1589="방문완료",IF($H1589="",0,IFERROR(INDEX(설정_코스수당!$B$15:$F$64,MATCH($H1589,설정_코스수당!$A$15:$A$64,0),MATCH($E1589&amp;"수당",설정_코스수당!$B$14:$F$14,0)),0)),0)</f>
        <v>0</v>
      </c>
      <c r="M1589" s="27">
        <f>IF($O1589="방문완료",IFERROR(VLOOKUP($E1589,설정_코스수당!$A$6:$H$10,6,FALSE),0),0)</f>
        <v>0</v>
      </c>
      <c r="N1589" s="28">
        <f t="shared" si="45"/>
        <v>0</v>
      </c>
      <c r="O1589" s="23"/>
      <c r="P1589" s="23"/>
      <c r="Q1589" s="23"/>
      <c r="R1589" s="26"/>
      <c r="S1589" s="23"/>
    </row>
    <row r="1590" spans="1:19" ht="19.5" hidden="1" customHeight="1" outlineLevel="1">
      <c r="A1590" s="29">
        <v>32</v>
      </c>
      <c r="B1590" s="30">
        <f>IF(16&lt;=DAY(DATE(YEAR(설정_코스수당!$K$2),MONTH(설정_코스수당!$K$2)+1,0)),DATE(YEAR(설정_코스수당!$K$2),MONTH(설정_코스수당!$K$2),16),"")</f>
        <v>46189</v>
      </c>
      <c r="C1590" s="31"/>
      <c r="D1590" s="29"/>
      <c r="E1590" s="29"/>
      <c r="F1590" s="32"/>
      <c r="G1590" s="29"/>
      <c r="H1590" s="29"/>
      <c r="I1590" s="29"/>
      <c r="J1590" s="33">
        <f>IF($O1590="방문완료",MAX(0,IFERROR(VLOOKUP($E1590,설정_코스수당!$A$6:$H$10,4,FALSE),0)-IF(OR($P1590="",$P1590="없음"),0,100000)),0)</f>
        <v>0</v>
      </c>
      <c r="K1590" s="33">
        <f t="array" ref="K1590">IF($O1590="방문완료",IFERROR(INDEX(설정_코스수당!$B$15:$F$64,MATCH($G1590,설정_코스수당!$A$15:$A$64,0),MATCH($E1590&amp;"수당",설정_코스수당!$B$14:$F$14,0)),0),0)</f>
        <v>0</v>
      </c>
      <c r="L1590" s="33">
        <f t="array" ref="L1590">IF($O1590="방문완료",IF($H1590="",0,IFERROR(INDEX(설정_코스수당!$B$15:$F$64,MATCH($H1590,설정_코스수당!$A$15:$A$64,0),MATCH($E1590&amp;"수당",설정_코스수당!$B$14:$F$14,0)),0)),0)</f>
        <v>0</v>
      </c>
      <c r="M1590" s="33">
        <f>IF($O1590="방문완료",IFERROR(VLOOKUP($E1590,설정_코스수당!$A$6:$H$10,6,FALSE),0),0)</f>
        <v>0</v>
      </c>
      <c r="N1590" s="34">
        <f t="shared" si="45"/>
        <v>0</v>
      </c>
      <c r="O1590" s="29"/>
      <c r="P1590" s="29"/>
      <c r="Q1590" s="29"/>
      <c r="R1590" s="32"/>
      <c r="S1590" s="29"/>
    </row>
    <row r="1591" spans="1:19" ht="19.5" hidden="1" customHeight="1" outlineLevel="1">
      <c r="A1591" s="23">
        <v>33</v>
      </c>
      <c r="B1591" s="24">
        <f>IF(16&lt;=DAY(DATE(YEAR(설정_코스수당!$K$2),MONTH(설정_코스수당!$K$2)+1,0)),DATE(YEAR(설정_코스수당!$K$2),MONTH(설정_코스수당!$K$2),16),"")</f>
        <v>46189</v>
      </c>
      <c r="C1591" s="25"/>
      <c r="D1591" s="23"/>
      <c r="E1591" s="23"/>
      <c r="F1591" s="26"/>
      <c r="G1591" s="23"/>
      <c r="H1591" s="23"/>
      <c r="I1591" s="23"/>
      <c r="J1591" s="27">
        <f>IF($O1591="방문완료",MAX(0,IFERROR(VLOOKUP($E1591,설정_코스수당!$A$6:$H$10,4,FALSE),0)-IF(OR($P1591="",$P1591="없음"),0,100000)),0)</f>
        <v>0</v>
      </c>
      <c r="K1591" s="27">
        <f t="array" ref="K1591">IF($O1591="방문완료",IFERROR(INDEX(설정_코스수당!$B$15:$F$64,MATCH($G1591,설정_코스수당!$A$15:$A$64,0),MATCH($E1591&amp;"수당",설정_코스수당!$B$14:$F$14,0)),0),0)</f>
        <v>0</v>
      </c>
      <c r="L1591" s="27">
        <f t="array" ref="L1591">IF($O1591="방문완료",IF($H1591="",0,IFERROR(INDEX(설정_코스수당!$B$15:$F$64,MATCH($H1591,설정_코스수당!$A$15:$A$64,0),MATCH($E1591&amp;"수당",설정_코스수당!$B$14:$F$14,0)),0)),0)</f>
        <v>0</v>
      </c>
      <c r="M1591" s="27">
        <f>IF($O1591="방문완료",IFERROR(VLOOKUP($E1591,설정_코스수당!$A$6:$H$10,6,FALSE),0),0)</f>
        <v>0</v>
      </c>
      <c r="N1591" s="28">
        <f t="shared" ref="N1591:N1622" si="46">IF($O1591="방문완료",1,0)</f>
        <v>0</v>
      </c>
      <c r="O1591" s="23"/>
      <c r="P1591" s="23"/>
      <c r="Q1591" s="23"/>
      <c r="R1591" s="26"/>
      <c r="S1591" s="23"/>
    </row>
    <row r="1592" spans="1:19" ht="19.5" hidden="1" customHeight="1" outlineLevel="1">
      <c r="A1592" s="29">
        <v>34</v>
      </c>
      <c r="B1592" s="30">
        <f>IF(16&lt;=DAY(DATE(YEAR(설정_코스수당!$K$2),MONTH(설정_코스수당!$K$2)+1,0)),DATE(YEAR(설정_코스수당!$K$2),MONTH(설정_코스수당!$K$2),16),"")</f>
        <v>46189</v>
      </c>
      <c r="C1592" s="31"/>
      <c r="D1592" s="29"/>
      <c r="E1592" s="29"/>
      <c r="F1592" s="32"/>
      <c r="G1592" s="29"/>
      <c r="H1592" s="29"/>
      <c r="I1592" s="29"/>
      <c r="J1592" s="33">
        <f>IF($O1592="방문완료",MAX(0,IFERROR(VLOOKUP($E1592,설정_코스수당!$A$6:$H$10,4,FALSE),0)-IF(OR($P1592="",$P1592="없음"),0,100000)),0)</f>
        <v>0</v>
      </c>
      <c r="K1592" s="33">
        <f t="array" ref="K1592">IF($O1592="방문완료",IFERROR(INDEX(설정_코스수당!$B$15:$F$64,MATCH($G1592,설정_코스수당!$A$15:$A$64,0),MATCH($E1592&amp;"수당",설정_코스수당!$B$14:$F$14,0)),0),0)</f>
        <v>0</v>
      </c>
      <c r="L1592" s="33">
        <f t="array" ref="L1592">IF($O1592="방문완료",IF($H1592="",0,IFERROR(INDEX(설정_코스수당!$B$15:$F$64,MATCH($H1592,설정_코스수당!$A$15:$A$64,0),MATCH($E1592&amp;"수당",설정_코스수당!$B$14:$F$14,0)),0)),0)</f>
        <v>0</v>
      </c>
      <c r="M1592" s="33">
        <f>IF($O1592="방문완료",IFERROR(VLOOKUP($E1592,설정_코스수당!$A$6:$H$10,6,FALSE),0),0)</f>
        <v>0</v>
      </c>
      <c r="N1592" s="34">
        <f t="shared" si="46"/>
        <v>0</v>
      </c>
      <c r="O1592" s="29"/>
      <c r="P1592" s="29"/>
      <c r="Q1592" s="29"/>
      <c r="R1592" s="32"/>
      <c r="S1592" s="29"/>
    </row>
    <row r="1593" spans="1:19" ht="19.5" hidden="1" customHeight="1" outlineLevel="1">
      <c r="A1593" s="23">
        <v>35</v>
      </c>
      <c r="B1593" s="24">
        <f>IF(16&lt;=DAY(DATE(YEAR(설정_코스수당!$K$2),MONTH(설정_코스수당!$K$2)+1,0)),DATE(YEAR(설정_코스수당!$K$2),MONTH(설정_코스수당!$K$2),16),"")</f>
        <v>46189</v>
      </c>
      <c r="C1593" s="25"/>
      <c r="D1593" s="23"/>
      <c r="E1593" s="23"/>
      <c r="F1593" s="26"/>
      <c r="G1593" s="23"/>
      <c r="H1593" s="23"/>
      <c r="I1593" s="23"/>
      <c r="J1593" s="27">
        <f>IF($O1593="방문완료",MAX(0,IFERROR(VLOOKUP($E1593,설정_코스수당!$A$6:$H$10,4,FALSE),0)-IF(OR($P1593="",$P1593="없음"),0,100000)),0)</f>
        <v>0</v>
      </c>
      <c r="K1593" s="27">
        <f t="array" ref="K1593">IF($O1593="방문완료",IFERROR(INDEX(설정_코스수당!$B$15:$F$64,MATCH($G1593,설정_코스수당!$A$15:$A$64,0),MATCH($E1593&amp;"수당",설정_코스수당!$B$14:$F$14,0)),0),0)</f>
        <v>0</v>
      </c>
      <c r="L1593" s="27">
        <f t="array" ref="L1593">IF($O1593="방문완료",IF($H1593="",0,IFERROR(INDEX(설정_코스수당!$B$15:$F$64,MATCH($H1593,설정_코스수당!$A$15:$A$64,0),MATCH($E1593&amp;"수당",설정_코스수당!$B$14:$F$14,0)),0)),0)</f>
        <v>0</v>
      </c>
      <c r="M1593" s="27">
        <f>IF($O1593="방문완료",IFERROR(VLOOKUP($E1593,설정_코스수당!$A$6:$H$10,6,FALSE),0),0)</f>
        <v>0</v>
      </c>
      <c r="N1593" s="28">
        <f t="shared" si="46"/>
        <v>0</v>
      </c>
      <c r="O1593" s="23"/>
      <c r="P1593" s="23"/>
      <c r="Q1593" s="23"/>
      <c r="R1593" s="26"/>
      <c r="S1593" s="23"/>
    </row>
    <row r="1594" spans="1:19" ht="19.5" hidden="1" customHeight="1" outlineLevel="1">
      <c r="A1594" s="29">
        <v>36</v>
      </c>
      <c r="B1594" s="30">
        <f>IF(16&lt;=DAY(DATE(YEAR(설정_코스수당!$K$2),MONTH(설정_코스수당!$K$2)+1,0)),DATE(YEAR(설정_코스수당!$K$2),MONTH(설정_코스수당!$K$2),16),"")</f>
        <v>46189</v>
      </c>
      <c r="C1594" s="31"/>
      <c r="D1594" s="29"/>
      <c r="E1594" s="29"/>
      <c r="F1594" s="32"/>
      <c r="G1594" s="29"/>
      <c r="H1594" s="29"/>
      <c r="I1594" s="29"/>
      <c r="J1594" s="33">
        <f>IF($O1594="방문완료",MAX(0,IFERROR(VLOOKUP($E1594,설정_코스수당!$A$6:$H$10,4,FALSE),0)-IF(OR($P1594="",$P1594="없음"),0,100000)),0)</f>
        <v>0</v>
      </c>
      <c r="K1594" s="33">
        <f t="array" ref="K1594">IF($O1594="방문완료",IFERROR(INDEX(설정_코스수당!$B$15:$F$64,MATCH($G1594,설정_코스수당!$A$15:$A$64,0),MATCH($E1594&amp;"수당",설정_코스수당!$B$14:$F$14,0)),0),0)</f>
        <v>0</v>
      </c>
      <c r="L1594" s="33">
        <f t="array" ref="L1594">IF($O1594="방문완료",IF($H1594="",0,IFERROR(INDEX(설정_코스수당!$B$15:$F$64,MATCH($H1594,설정_코스수당!$A$15:$A$64,0),MATCH($E1594&amp;"수당",설정_코스수당!$B$14:$F$14,0)),0)),0)</f>
        <v>0</v>
      </c>
      <c r="M1594" s="33">
        <f>IF($O1594="방문완료",IFERROR(VLOOKUP($E1594,설정_코스수당!$A$6:$H$10,6,FALSE),0),0)</f>
        <v>0</v>
      </c>
      <c r="N1594" s="34">
        <f t="shared" si="46"/>
        <v>0</v>
      </c>
      <c r="O1594" s="29"/>
      <c r="P1594" s="29"/>
      <c r="Q1594" s="29"/>
      <c r="R1594" s="32"/>
      <c r="S1594" s="29"/>
    </row>
    <row r="1595" spans="1:19" ht="19.5" hidden="1" customHeight="1" outlineLevel="1">
      <c r="A1595" s="23">
        <v>37</v>
      </c>
      <c r="B1595" s="24">
        <f>IF(16&lt;=DAY(DATE(YEAR(설정_코스수당!$K$2),MONTH(설정_코스수당!$K$2)+1,0)),DATE(YEAR(설정_코스수당!$K$2),MONTH(설정_코스수당!$K$2),16),"")</f>
        <v>46189</v>
      </c>
      <c r="C1595" s="25"/>
      <c r="D1595" s="23"/>
      <c r="E1595" s="23"/>
      <c r="F1595" s="26"/>
      <c r="G1595" s="23"/>
      <c r="H1595" s="23"/>
      <c r="I1595" s="23"/>
      <c r="J1595" s="27">
        <f>IF($O1595="방문완료",MAX(0,IFERROR(VLOOKUP($E1595,설정_코스수당!$A$6:$H$10,4,FALSE),0)-IF(OR($P1595="",$P1595="없음"),0,100000)),0)</f>
        <v>0</v>
      </c>
      <c r="K1595" s="27">
        <f t="array" ref="K1595">IF($O1595="방문완료",IFERROR(INDEX(설정_코스수당!$B$15:$F$64,MATCH($G1595,설정_코스수당!$A$15:$A$64,0),MATCH($E1595&amp;"수당",설정_코스수당!$B$14:$F$14,0)),0),0)</f>
        <v>0</v>
      </c>
      <c r="L1595" s="27">
        <f t="array" ref="L1595">IF($O1595="방문완료",IF($H1595="",0,IFERROR(INDEX(설정_코스수당!$B$15:$F$64,MATCH($H1595,설정_코스수당!$A$15:$A$64,0),MATCH($E1595&amp;"수당",설정_코스수당!$B$14:$F$14,0)),0)),0)</f>
        <v>0</v>
      </c>
      <c r="M1595" s="27">
        <f>IF($O1595="방문완료",IFERROR(VLOOKUP($E1595,설정_코스수당!$A$6:$H$10,6,FALSE),0),0)</f>
        <v>0</v>
      </c>
      <c r="N1595" s="28">
        <f t="shared" si="46"/>
        <v>0</v>
      </c>
      <c r="O1595" s="23"/>
      <c r="P1595" s="23"/>
      <c r="Q1595" s="23"/>
      <c r="R1595" s="26"/>
      <c r="S1595" s="23"/>
    </row>
    <row r="1596" spans="1:19" ht="19.5" hidden="1" customHeight="1" outlineLevel="1">
      <c r="A1596" s="29">
        <v>38</v>
      </c>
      <c r="B1596" s="30">
        <f>IF(16&lt;=DAY(DATE(YEAR(설정_코스수당!$K$2),MONTH(설정_코스수당!$K$2)+1,0)),DATE(YEAR(설정_코스수당!$K$2),MONTH(설정_코스수당!$K$2),16),"")</f>
        <v>46189</v>
      </c>
      <c r="C1596" s="31"/>
      <c r="D1596" s="29"/>
      <c r="E1596" s="29"/>
      <c r="F1596" s="32"/>
      <c r="G1596" s="29"/>
      <c r="H1596" s="29"/>
      <c r="I1596" s="29"/>
      <c r="J1596" s="33">
        <f>IF($O1596="방문완료",MAX(0,IFERROR(VLOOKUP($E1596,설정_코스수당!$A$6:$H$10,4,FALSE),0)-IF(OR($P1596="",$P1596="없음"),0,100000)),0)</f>
        <v>0</v>
      </c>
      <c r="K1596" s="33">
        <f t="array" ref="K1596">IF($O1596="방문완료",IFERROR(INDEX(설정_코스수당!$B$15:$F$64,MATCH($G1596,설정_코스수당!$A$15:$A$64,0),MATCH($E1596&amp;"수당",설정_코스수당!$B$14:$F$14,0)),0),0)</f>
        <v>0</v>
      </c>
      <c r="L1596" s="33">
        <f t="array" ref="L1596">IF($O1596="방문완료",IF($H1596="",0,IFERROR(INDEX(설정_코스수당!$B$15:$F$64,MATCH($H1596,설정_코스수당!$A$15:$A$64,0),MATCH($E1596&amp;"수당",설정_코스수당!$B$14:$F$14,0)),0)),0)</f>
        <v>0</v>
      </c>
      <c r="M1596" s="33">
        <f>IF($O1596="방문완료",IFERROR(VLOOKUP($E1596,설정_코스수당!$A$6:$H$10,6,FALSE),0),0)</f>
        <v>0</v>
      </c>
      <c r="N1596" s="34">
        <f t="shared" si="46"/>
        <v>0</v>
      </c>
      <c r="O1596" s="29"/>
      <c r="P1596" s="29"/>
      <c r="Q1596" s="29"/>
      <c r="R1596" s="32"/>
      <c r="S1596" s="29"/>
    </row>
    <row r="1597" spans="1:19" ht="19.5" hidden="1" customHeight="1" outlineLevel="1">
      <c r="A1597" s="23">
        <v>39</v>
      </c>
      <c r="B1597" s="24">
        <f>IF(16&lt;=DAY(DATE(YEAR(설정_코스수당!$K$2),MONTH(설정_코스수당!$K$2)+1,0)),DATE(YEAR(설정_코스수당!$K$2),MONTH(설정_코스수당!$K$2),16),"")</f>
        <v>46189</v>
      </c>
      <c r="C1597" s="25"/>
      <c r="D1597" s="23"/>
      <c r="E1597" s="23"/>
      <c r="F1597" s="26"/>
      <c r="G1597" s="23"/>
      <c r="H1597" s="23"/>
      <c r="I1597" s="23"/>
      <c r="J1597" s="27">
        <f>IF($O1597="방문완료",MAX(0,IFERROR(VLOOKUP($E1597,설정_코스수당!$A$6:$H$10,4,FALSE),0)-IF(OR($P1597="",$P1597="없음"),0,100000)),0)</f>
        <v>0</v>
      </c>
      <c r="K1597" s="27">
        <f t="array" ref="K1597">IF($O1597="방문완료",IFERROR(INDEX(설정_코스수당!$B$15:$F$64,MATCH($G1597,설정_코스수당!$A$15:$A$64,0),MATCH($E1597&amp;"수당",설정_코스수당!$B$14:$F$14,0)),0),0)</f>
        <v>0</v>
      </c>
      <c r="L1597" s="27">
        <f t="array" ref="L1597">IF($O1597="방문완료",IF($H1597="",0,IFERROR(INDEX(설정_코스수당!$B$15:$F$64,MATCH($H1597,설정_코스수당!$A$15:$A$64,0),MATCH($E1597&amp;"수당",설정_코스수당!$B$14:$F$14,0)),0)),0)</f>
        <v>0</v>
      </c>
      <c r="M1597" s="27">
        <f>IF($O1597="방문완료",IFERROR(VLOOKUP($E1597,설정_코스수당!$A$6:$H$10,6,FALSE),0),0)</f>
        <v>0</v>
      </c>
      <c r="N1597" s="28">
        <f t="shared" si="46"/>
        <v>0</v>
      </c>
      <c r="O1597" s="23"/>
      <c r="P1597" s="23"/>
      <c r="Q1597" s="23"/>
      <c r="R1597" s="26"/>
      <c r="S1597" s="23"/>
    </row>
    <row r="1598" spans="1:19" ht="19.5" hidden="1" customHeight="1" outlineLevel="1">
      <c r="A1598" s="29">
        <v>40</v>
      </c>
      <c r="B1598" s="30">
        <f>IF(16&lt;=DAY(DATE(YEAR(설정_코스수당!$K$2),MONTH(설정_코스수당!$K$2)+1,0)),DATE(YEAR(설정_코스수당!$K$2),MONTH(설정_코스수당!$K$2),16),"")</f>
        <v>46189</v>
      </c>
      <c r="C1598" s="31"/>
      <c r="D1598" s="29"/>
      <c r="E1598" s="29"/>
      <c r="F1598" s="32"/>
      <c r="G1598" s="29"/>
      <c r="H1598" s="29"/>
      <c r="I1598" s="29"/>
      <c r="J1598" s="33">
        <f>IF($O1598="방문완료",MAX(0,IFERROR(VLOOKUP($E1598,설정_코스수당!$A$6:$H$10,4,FALSE),0)-IF(OR($P1598="",$P1598="없음"),0,100000)),0)</f>
        <v>0</v>
      </c>
      <c r="K1598" s="33">
        <f t="array" ref="K1598">IF($O1598="방문완료",IFERROR(INDEX(설정_코스수당!$B$15:$F$64,MATCH($G1598,설정_코스수당!$A$15:$A$64,0),MATCH($E1598&amp;"수당",설정_코스수당!$B$14:$F$14,0)),0),0)</f>
        <v>0</v>
      </c>
      <c r="L1598" s="33">
        <f t="array" ref="L1598">IF($O1598="방문완료",IF($H1598="",0,IFERROR(INDEX(설정_코스수당!$B$15:$F$64,MATCH($H1598,설정_코스수당!$A$15:$A$64,0),MATCH($E1598&amp;"수당",설정_코스수당!$B$14:$F$14,0)),0)),0)</f>
        <v>0</v>
      </c>
      <c r="M1598" s="33">
        <f>IF($O1598="방문완료",IFERROR(VLOOKUP($E1598,설정_코스수당!$A$6:$H$10,6,FALSE),0),0)</f>
        <v>0</v>
      </c>
      <c r="N1598" s="34">
        <f t="shared" si="46"/>
        <v>0</v>
      </c>
      <c r="O1598" s="29"/>
      <c r="P1598" s="29"/>
      <c r="Q1598" s="29"/>
      <c r="R1598" s="32"/>
      <c r="S1598" s="29"/>
    </row>
    <row r="1599" spans="1:19" ht="19.5" hidden="1" customHeight="1" outlineLevel="1">
      <c r="A1599" s="23">
        <v>41</v>
      </c>
      <c r="B1599" s="24">
        <f>IF(16&lt;=DAY(DATE(YEAR(설정_코스수당!$K$2),MONTH(설정_코스수당!$K$2)+1,0)),DATE(YEAR(설정_코스수당!$K$2),MONTH(설정_코스수당!$K$2),16),"")</f>
        <v>46189</v>
      </c>
      <c r="C1599" s="25"/>
      <c r="D1599" s="23"/>
      <c r="E1599" s="23"/>
      <c r="F1599" s="26"/>
      <c r="G1599" s="23"/>
      <c r="H1599" s="23"/>
      <c r="I1599" s="23"/>
      <c r="J1599" s="27">
        <f>IF($O1599="방문완료",MAX(0,IFERROR(VLOOKUP($E1599,설정_코스수당!$A$6:$H$10,4,FALSE),0)-IF(OR($P1599="",$P1599="없음"),0,100000)),0)</f>
        <v>0</v>
      </c>
      <c r="K1599" s="27">
        <f t="array" ref="K1599">IF($O1599="방문완료",IFERROR(INDEX(설정_코스수당!$B$15:$F$64,MATCH($G1599,설정_코스수당!$A$15:$A$64,0),MATCH($E1599&amp;"수당",설정_코스수당!$B$14:$F$14,0)),0),0)</f>
        <v>0</v>
      </c>
      <c r="L1599" s="27">
        <f t="array" ref="L1599">IF($O1599="방문완료",IF($H1599="",0,IFERROR(INDEX(설정_코스수당!$B$15:$F$64,MATCH($H1599,설정_코스수당!$A$15:$A$64,0),MATCH($E1599&amp;"수당",설정_코스수당!$B$14:$F$14,0)),0)),0)</f>
        <v>0</v>
      </c>
      <c r="M1599" s="27">
        <f>IF($O1599="방문완료",IFERROR(VLOOKUP($E1599,설정_코스수당!$A$6:$H$10,6,FALSE),0),0)</f>
        <v>0</v>
      </c>
      <c r="N1599" s="28">
        <f t="shared" si="46"/>
        <v>0</v>
      </c>
      <c r="O1599" s="23"/>
      <c r="P1599" s="23"/>
      <c r="Q1599" s="23"/>
      <c r="R1599" s="26"/>
      <c r="S1599" s="23"/>
    </row>
    <row r="1600" spans="1:19" ht="19.5" hidden="1" customHeight="1" outlineLevel="1">
      <c r="A1600" s="29">
        <v>42</v>
      </c>
      <c r="B1600" s="30">
        <f>IF(16&lt;=DAY(DATE(YEAR(설정_코스수당!$K$2),MONTH(설정_코스수당!$K$2)+1,0)),DATE(YEAR(설정_코스수당!$K$2),MONTH(설정_코스수당!$K$2),16),"")</f>
        <v>46189</v>
      </c>
      <c r="C1600" s="31"/>
      <c r="D1600" s="29"/>
      <c r="E1600" s="29"/>
      <c r="F1600" s="32"/>
      <c r="G1600" s="29"/>
      <c r="H1600" s="29"/>
      <c r="I1600" s="29"/>
      <c r="J1600" s="33">
        <f>IF($O1600="방문완료",MAX(0,IFERROR(VLOOKUP($E1600,설정_코스수당!$A$6:$H$10,4,FALSE),0)-IF(OR($P1600="",$P1600="없음"),0,100000)),0)</f>
        <v>0</v>
      </c>
      <c r="K1600" s="33">
        <f t="array" ref="K1600">IF($O1600="방문완료",IFERROR(INDEX(설정_코스수당!$B$15:$F$64,MATCH($G1600,설정_코스수당!$A$15:$A$64,0),MATCH($E1600&amp;"수당",설정_코스수당!$B$14:$F$14,0)),0),0)</f>
        <v>0</v>
      </c>
      <c r="L1600" s="33">
        <f t="array" ref="L1600">IF($O1600="방문완료",IF($H1600="",0,IFERROR(INDEX(설정_코스수당!$B$15:$F$64,MATCH($H1600,설정_코스수당!$A$15:$A$64,0),MATCH($E1600&amp;"수당",설정_코스수당!$B$14:$F$14,0)),0)),0)</f>
        <v>0</v>
      </c>
      <c r="M1600" s="33">
        <f>IF($O1600="방문완료",IFERROR(VLOOKUP($E1600,설정_코스수당!$A$6:$H$10,6,FALSE),0),0)</f>
        <v>0</v>
      </c>
      <c r="N1600" s="34">
        <f t="shared" si="46"/>
        <v>0</v>
      </c>
      <c r="O1600" s="29"/>
      <c r="P1600" s="29"/>
      <c r="Q1600" s="29"/>
      <c r="R1600" s="32"/>
      <c r="S1600" s="29"/>
    </row>
    <row r="1601" spans="1:19" ht="19.5" hidden="1" customHeight="1" outlineLevel="1">
      <c r="A1601" s="23">
        <v>43</v>
      </c>
      <c r="B1601" s="24">
        <f>IF(16&lt;=DAY(DATE(YEAR(설정_코스수당!$K$2),MONTH(설정_코스수당!$K$2)+1,0)),DATE(YEAR(설정_코스수당!$K$2),MONTH(설정_코스수당!$K$2),16),"")</f>
        <v>46189</v>
      </c>
      <c r="C1601" s="25"/>
      <c r="D1601" s="23"/>
      <c r="E1601" s="23"/>
      <c r="F1601" s="26"/>
      <c r="G1601" s="23"/>
      <c r="H1601" s="23"/>
      <c r="I1601" s="23"/>
      <c r="J1601" s="27">
        <f>IF($O1601="방문완료",MAX(0,IFERROR(VLOOKUP($E1601,설정_코스수당!$A$6:$H$10,4,FALSE),0)-IF(OR($P1601="",$P1601="없음"),0,100000)),0)</f>
        <v>0</v>
      </c>
      <c r="K1601" s="27">
        <f t="array" ref="K1601">IF($O1601="방문완료",IFERROR(INDEX(설정_코스수당!$B$15:$F$64,MATCH($G1601,설정_코스수당!$A$15:$A$64,0),MATCH($E1601&amp;"수당",설정_코스수당!$B$14:$F$14,0)),0),0)</f>
        <v>0</v>
      </c>
      <c r="L1601" s="27">
        <f t="array" ref="L1601">IF($O1601="방문완료",IF($H1601="",0,IFERROR(INDEX(설정_코스수당!$B$15:$F$64,MATCH($H1601,설정_코스수당!$A$15:$A$64,0),MATCH($E1601&amp;"수당",설정_코스수당!$B$14:$F$14,0)),0)),0)</f>
        <v>0</v>
      </c>
      <c r="M1601" s="27">
        <f>IF($O1601="방문완료",IFERROR(VLOOKUP($E1601,설정_코스수당!$A$6:$H$10,6,FALSE),0),0)</f>
        <v>0</v>
      </c>
      <c r="N1601" s="28">
        <f t="shared" si="46"/>
        <v>0</v>
      </c>
      <c r="O1601" s="23"/>
      <c r="P1601" s="23"/>
      <c r="Q1601" s="23"/>
      <c r="R1601" s="26"/>
      <c r="S1601" s="23"/>
    </row>
    <row r="1602" spans="1:19" ht="19.5" hidden="1" customHeight="1" outlineLevel="1">
      <c r="A1602" s="29">
        <v>44</v>
      </c>
      <c r="B1602" s="30">
        <f>IF(16&lt;=DAY(DATE(YEAR(설정_코스수당!$K$2),MONTH(설정_코스수당!$K$2)+1,0)),DATE(YEAR(설정_코스수당!$K$2),MONTH(설정_코스수당!$K$2),16),"")</f>
        <v>46189</v>
      </c>
      <c r="C1602" s="31"/>
      <c r="D1602" s="29"/>
      <c r="E1602" s="29"/>
      <c r="F1602" s="32"/>
      <c r="G1602" s="29"/>
      <c r="H1602" s="29"/>
      <c r="I1602" s="29"/>
      <c r="J1602" s="33">
        <f>IF($O1602="방문완료",MAX(0,IFERROR(VLOOKUP($E1602,설정_코스수당!$A$6:$H$10,4,FALSE),0)-IF(OR($P1602="",$P1602="없음"),0,100000)),0)</f>
        <v>0</v>
      </c>
      <c r="K1602" s="33">
        <f t="array" ref="K1602">IF($O1602="방문완료",IFERROR(INDEX(설정_코스수당!$B$15:$F$64,MATCH($G1602,설정_코스수당!$A$15:$A$64,0),MATCH($E1602&amp;"수당",설정_코스수당!$B$14:$F$14,0)),0),0)</f>
        <v>0</v>
      </c>
      <c r="L1602" s="33">
        <f t="array" ref="L1602">IF($O1602="방문완료",IF($H1602="",0,IFERROR(INDEX(설정_코스수당!$B$15:$F$64,MATCH($H1602,설정_코스수당!$A$15:$A$64,0),MATCH($E1602&amp;"수당",설정_코스수당!$B$14:$F$14,0)),0)),0)</f>
        <v>0</v>
      </c>
      <c r="M1602" s="33">
        <f>IF($O1602="방문완료",IFERROR(VLOOKUP($E1602,설정_코스수당!$A$6:$H$10,6,FALSE),0),0)</f>
        <v>0</v>
      </c>
      <c r="N1602" s="34">
        <f t="shared" si="46"/>
        <v>0</v>
      </c>
      <c r="O1602" s="29"/>
      <c r="P1602" s="29"/>
      <c r="Q1602" s="29"/>
      <c r="R1602" s="32"/>
      <c r="S1602" s="29"/>
    </row>
    <row r="1603" spans="1:19" ht="19.5" hidden="1" customHeight="1" outlineLevel="1">
      <c r="A1603" s="23">
        <v>45</v>
      </c>
      <c r="B1603" s="24">
        <f>IF(16&lt;=DAY(DATE(YEAR(설정_코스수당!$K$2),MONTH(설정_코스수당!$K$2)+1,0)),DATE(YEAR(설정_코스수당!$K$2),MONTH(설정_코스수당!$K$2),16),"")</f>
        <v>46189</v>
      </c>
      <c r="C1603" s="25"/>
      <c r="D1603" s="23"/>
      <c r="E1603" s="23"/>
      <c r="F1603" s="26"/>
      <c r="G1603" s="23"/>
      <c r="H1603" s="23"/>
      <c r="I1603" s="23"/>
      <c r="J1603" s="27">
        <f>IF($O1603="방문완료",MAX(0,IFERROR(VLOOKUP($E1603,설정_코스수당!$A$6:$H$10,4,FALSE),0)-IF(OR($P1603="",$P1603="없음"),0,100000)),0)</f>
        <v>0</v>
      </c>
      <c r="K1603" s="27">
        <f t="array" ref="K1603">IF($O1603="방문완료",IFERROR(INDEX(설정_코스수당!$B$15:$F$64,MATCH($G1603,설정_코스수당!$A$15:$A$64,0),MATCH($E1603&amp;"수당",설정_코스수당!$B$14:$F$14,0)),0),0)</f>
        <v>0</v>
      </c>
      <c r="L1603" s="27">
        <f t="array" ref="L1603">IF($O1603="방문완료",IF($H1603="",0,IFERROR(INDEX(설정_코스수당!$B$15:$F$64,MATCH($H1603,설정_코스수당!$A$15:$A$64,0),MATCH($E1603&amp;"수당",설정_코스수당!$B$14:$F$14,0)),0)),0)</f>
        <v>0</v>
      </c>
      <c r="M1603" s="27">
        <f>IF($O1603="방문완료",IFERROR(VLOOKUP($E1603,설정_코스수당!$A$6:$H$10,6,FALSE),0),0)</f>
        <v>0</v>
      </c>
      <c r="N1603" s="28">
        <f t="shared" si="46"/>
        <v>0</v>
      </c>
      <c r="O1603" s="23"/>
      <c r="P1603" s="23"/>
      <c r="Q1603" s="23"/>
      <c r="R1603" s="26"/>
      <c r="S1603" s="23"/>
    </row>
    <row r="1604" spans="1:19" ht="19.5" hidden="1" customHeight="1" outlineLevel="1">
      <c r="A1604" s="29">
        <v>46</v>
      </c>
      <c r="B1604" s="30">
        <f>IF(16&lt;=DAY(DATE(YEAR(설정_코스수당!$K$2),MONTH(설정_코스수당!$K$2)+1,0)),DATE(YEAR(설정_코스수당!$K$2),MONTH(설정_코스수당!$K$2),16),"")</f>
        <v>46189</v>
      </c>
      <c r="C1604" s="31"/>
      <c r="D1604" s="29"/>
      <c r="E1604" s="29"/>
      <c r="F1604" s="32"/>
      <c r="G1604" s="29"/>
      <c r="H1604" s="29"/>
      <c r="I1604" s="29"/>
      <c r="J1604" s="33">
        <f>IF($O1604="방문완료",MAX(0,IFERROR(VLOOKUP($E1604,설정_코스수당!$A$6:$H$10,4,FALSE),0)-IF(OR($P1604="",$P1604="없음"),0,100000)),0)</f>
        <v>0</v>
      </c>
      <c r="K1604" s="33">
        <f t="array" ref="K1604">IF($O1604="방문완료",IFERROR(INDEX(설정_코스수당!$B$15:$F$64,MATCH($G1604,설정_코스수당!$A$15:$A$64,0),MATCH($E1604&amp;"수당",설정_코스수당!$B$14:$F$14,0)),0),0)</f>
        <v>0</v>
      </c>
      <c r="L1604" s="33">
        <f t="array" ref="L1604">IF($O1604="방문완료",IF($H1604="",0,IFERROR(INDEX(설정_코스수당!$B$15:$F$64,MATCH($H1604,설정_코스수당!$A$15:$A$64,0),MATCH($E1604&amp;"수당",설정_코스수당!$B$14:$F$14,0)),0)),0)</f>
        <v>0</v>
      </c>
      <c r="M1604" s="33">
        <f>IF($O1604="방문완료",IFERROR(VLOOKUP($E1604,설정_코스수당!$A$6:$H$10,6,FALSE),0),0)</f>
        <v>0</v>
      </c>
      <c r="N1604" s="34">
        <f t="shared" si="46"/>
        <v>0</v>
      </c>
      <c r="O1604" s="29"/>
      <c r="P1604" s="29"/>
      <c r="Q1604" s="29"/>
      <c r="R1604" s="32"/>
      <c r="S1604" s="29"/>
    </row>
    <row r="1605" spans="1:19" ht="19.5" hidden="1" customHeight="1" outlineLevel="1">
      <c r="A1605" s="23">
        <v>47</v>
      </c>
      <c r="B1605" s="24">
        <f>IF(16&lt;=DAY(DATE(YEAR(설정_코스수당!$K$2),MONTH(설정_코스수당!$K$2)+1,0)),DATE(YEAR(설정_코스수당!$K$2),MONTH(설정_코스수당!$K$2),16),"")</f>
        <v>46189</v>
      </c>
      <c r="C1605" s="25"/>
      <c r="D1605" s="23"/>
      <c r="E1605" s="23"/>
      <c r="F1605" s="26"/>
      <c r="G1605" s="23"/>
      <c r="H1605" s="23"/>
      <c r="I1605" s="23"/>
      <c r="J1605" s="27">
        <f>IF($O1605="방문완료",MAX(0,IFERROR(VLOOKUP($E1605,설정_코스수당!$A$6:$H$10,4,FALSE),0)-IF(OR($P1605="",$P1605="없음"),0,100000)),0)</f>
        <v>0</v>
      </c>
      <c r="K1605" s="27">
        <f t="array" ref="K1605">IF($O1605="방문완료",IFERROR(INDEX(설정_코스수당!$B$15:$F$64,MATCH($G1605,설정_코스수당!$A$15:$A$64,0),MATCH($E1605&amp;"수당",설정_코스수당!$B$14:$F$14,0)),0),0)</f>
        <v>0</v>
      </c>
      <c r="L1605" s="27">
        <f t="array" ref="L1605">IF($O1605="방문완료",IF($H1605="",0,IFERROR(INDEX(설정_코스수당!$B$15:$F$64,MATCH($H1605,설정_코스수당!$A$15:$A$64,0),MATCH($E1605&amp;"수당",설정_코스수당!$B$14:$F$14,0)),0)),0)</f>
        <v>0</v>
      </c>
      <c r="M1605" s="27">
        <f>IF($O1605="방문완료",IFERROR(VLOOKUP($E1605,설정_코스수당!$A$6:$H$10,6,FALSE),0),0)</f>
        <v>0</v>
      </c>
      <c r="N1605" s="28">
        <f t="shared" si="46"/>
        <v>0</v>
      </c>
      <c r="O1605" s="23"/>
      <c r="P1605" s="23"/>
      <c r="Q1605" s="23"/>
      <c r="R1605" s="26"/>
      <c r="S1605" s="23"/>
    </row>
    <row r="1606" spans="1:19" ht="19.5" hidden="1" customHeight="1" outlineLevel="1">
      <c r="A1606" s="29">
        <v>48</v>
      </c>
      <c r="B1606" s="30">
        <f>IF(16&lt;=DAY(DATE(YEAR(설정_코스수당!$K$2),MONTH(설정_코스수당!$K$2)+1,0)),DATE(YEAR(설정_코스수당!$K$2),MONTH(설정_코스수당!$K$2),16),"")</f>
        <v>46189</v>
      </c>
      <c r="C1606" s="31"/>
      <c r="D1606" s="29"/>
      <c r="E1606" s="29"/>
      <c r="F1606" s="32"/>
      <c r="G1606" s="29"/>
      <c r="H1606" s="29"/>
      <c r="I1606" s="29"/>
      <c r="J1606" s="33">
        <f>IF($O1606="방문완료",MAX(0,IFERROR(VLOOKUP($E1606,설정_코스수당!$A$6:$H$10,4,FALSE),0)-IF(OR($P1606="",$P1606="없음"),0,100000)),0)</f>
        <v>0</v>
      </c>
      <c r="K1606" s="33">
        <f t="array" ref="K1606">IF($O1606="방문완료",IFERROR(INDEX(설정_코스수당!$B$15:$F$64,MATCH($G1606,설정_코스수당!$A$15:$A$64,0),MATCH($E1606&amp;"수당",설정_코스수당!$B$14:$F$14,0)),0),0)</f>
        <v>0</v>
      </c>
      <c r="L1606" s="33">
        <f t="array" ref="L1606">IF($O1606="방문완료",IF($H1606="",0,IFERROR(INDEX(설정_코스수당!$B$15:$F$64,MATCH($H1606,설정_코스수당!$A$15:$A$64,0),MATCH($E1606&amp;"수당",설정_코스수당!$B$14:$F$14,0)),0)),0)</f>
        <v>0</v>
      </c>
      <c r="M1606" s="33">
        <f>IF($O1606="방문완료",IFERROR(VLOOKUP($E1606,설정_코스수당!$A$6:$H$10,6,FALSE),0),0)</f>
        <v>0</v>
      </c>
      <c r="N1606" s="34">
        <f t="shared" si="46"/>
        <v>0</v>
      </c>
      <c r="O1606" s="29"/>
      <c r="P1606" s="29"/>
      <c r="Q1606" s="29"/>
      <c r="R1606" s="32"/>
      <c r="S1606" s="29"/>
    </row>
    <row r="1607" spans="1:19" ht="19.5" hidden="1" customHeight="1" outlineLevel="1">
      <c r="A1607" s="23">
        <v>49</v>
      </c>
      <c r="B1607" s="24">
        <f>IF(16&lt;=DAY(DATE(YEAR(설정_코스수당!$K$2),MONTH(설정_코스수당!$K$2)+1,0)),DATE(YEAR(설정_코스수당!$K$2),MONTH(설정_코스수당!$K$2),16),"")</f>
        <v>46189</v>
      </c>
      <c r="C1607" s="25"/>
      <c r="D1607" s="23"/>
      <c r="E1607" s="23"/>
      <c r="F1607" s="26"/>
      <c r="G1607" s="23"/>
      <c r="H1607" s="23"/>
      <c r="I1607" s="23"/>
      <c r="J1607" s="27">
        <f>IF($O1607="방문완료",MAX(0,IFERROR(VLOOKUP($E1607,설정_코스수당!$A$6:$H$10,4,FALSE),0)-IF(OR($P1607="",$P1607="없음"),0,100000)),0)</f>
        <v>0</v>
      </c>
      <c r="K1607" s="27">
        <f t="array" ref="K1607">IF($O1607="방문완료",IFERROR(INDEX(설정_코스수당!$B$15:$F$64,MATCH($G1607,설정_코스수당!$A$15:$A$64,0),MATCH($E1607&amp;"수당",설정_코스수당!$B$14:$F$14,0)),0),0)</f>
        <v>0</v>
      </c>
      <c r="L1607" s="27">
        <f t="array" ref="L1607">IF($O1607="방문완료",IF($H1607="",0,IFERROR(INDEX(설정_코스수당!$B$15:$F$64,MATCH($H1607,설정_코스수당!$A$15:$A$64,0),MATCH($E1607&amp;"수당",설정_코스수당!$B$14:$F$14,0)),0)),0)</f>
        <v>0</v>
      </c>
      <c r="M1607" s="27">
        <f>IF($O1607="방문완료",IFERROR(VLOOKUP($E1607,설정_코스수당!$A$6:$H$10,6,FALSE),0),0)</f>
        <v>0</v>
      </c>
      <c r="N1607" s="28">
        <f t="shared" si="46"/>
        <v>0</v>
      </c>
      <c r="O1607" s="23"/>
      <c r="P1607" s="23"/>
      <c r="Q1607" s="23"/>
      <c r="R1607" s="26"/>
      <c r="S1607" s="23"/>
    </row>
    <row r="1608" spans="1:19" ht="19.5" hidden="1" customHeight="1" outlineLevel="1">
      <c r="A1608" s="29">
        <v>50</v>
      </c>
      <c r="B1608" s="30">
        <f>IF(16&lt;=DAY(DATE(YEAR(설정_코스수당!$K$2),MONTH(설정_코스수당!$K$2)+1,0)),DATE(YEAR(설정_코스수당!$K$2),MONTH(설정_코스수당!$K$2),16),"")</f>
        <v>46189</v>
      </c>
      <c r="C1608" s="31"/>
      <c r="D1608" s="29"/>
      <c r="E1608" s="29"/>
      <c r="F1608" s="32"/>
      <c r="G1608" s="29"/>
      <c r="H1608" s="29"/>
      <c r="I1608" s="29"/>
      <c r="J1608" s="33">
        <f>IF($O1608="방문완료",MAX(0,IFERROR(VLOOKUP($E1608,설정_코스수당!$A$6:$H$10,4,FALSE),0)-IF(OR($P1608="",$P1608="없음"),0,100000)),0)</f>
        <v>0</v>
      </c>
      <c r="K1608" s="33">
        <f t="array" ref="K1608">IF($O1608="방문완료",IFERROR(INDEX(설정_코스수당!$B$15:$F$64,MATCH($G1608,설정_코스수당!$A$15:$A$64,0),MATCH($E1608&amp;"수당",설정_코스수당!$B$14:$F$14,0)),0),0)</f>
        <v>0</v>
      </c>
      <c r="L1608" s="33">
        <f t="array" ref="L1608">IF($O1608="방문완료",IF($H1608="",0,IFERROR(INDEX(설정_코스수당!$B$15:$F$64,MATCH($H1608,설정_코스수당!$A$15:$A$64,0),MATCH($E1608&amp;"수당",설정_코스수당!$B$14:$F$14,0)),0)),0)</f>
        <v>0</v>
      </c>
      <c r="M1608" s="33">
        <f>IF($O1608="방문완료",IFERROR(VLOOKUP($E1608,설정_코스수당!$A$6:$H$10,6,FALSE),0),0)</f>
        <v>0</v>
      </c>
      <c r="N1608" s="34">
        <f t="shared" si="46"/>
        <v>0</v>
      </c>
      <c r="O1608" s="29"/>
      <c r="P1608" s="29"/>
      <c r="Q1608" s="29"/>
      <c r="R1608" s="32"/>
      <c r="S1608" s="29"/>
    </row>
    <row r="1609" spans="1:19" ht="19.5" hidden="1" customHeight="1" outlineLevel="1">
      <c r="A1609" s="23">
        <v>51</v>
      </c>
      <c r="B1609" s="24">
        <f>IF(16&lt;=DAY(DATE(YEAR(설정_코스수당!$K$2),MONTH(설정_코스수당!$K$2)+1,0)),DATE(YEAR(설정_코스수당!$K$2),MONTH(설정_코스수당!$K$2),16),"")</f>
        <v>46189</v>
      </c>
      <c r="C1609" s="25"/>
      <c r="D1609" s="23"/>
      <c r="E1609" s="23"/>
      <c r="F1609" s="26"/>
      <c r="G1609" s="23"/>
      <c r="H1609" s="23"/>
      <c r="I1609" s="23"/>
      <c r="J1609" s="27">
        <f>IF($O1609="방문완료",MAX(0,IFERROR(VLOOKUP($E1609,설정_코스수당!$A$6:$H$10,4,FALSE),0)-IF(OR($P1609="",$P1609="없음"),0,100000)),0)</f>
        <v>0</v>
      </c>
      <c r="K1609" s="27">
        <f t="array" ref="K1609">IF($O1609="방문완료",IFERROR(INDEX(설정_코스수당!$B$15:$F$64,MATCH($G1609,설정_코스수당!$A$15:$A$64,0),MATCH($E1609&amp;"수당",설정_코스수당!$B$14:$F$14,0)),0),0)</f>
        <v>0</v>
      </c>
      <c r="L1609" s="27">
        <f t="array" ref="L1609">IF($O1609="방문완료",IF($H1609="",0,IFERROR(INDEX(설정_코스수당!$B$15:$F$64,MATCH($H1609,설정_코스수당!$A$15:$A$64,0),MATCH($E1609&amp;"수당",설정_코스수당!$B$14:$F$14,0)),0)),0)</f>
        <v>0</v>
      </c>
      <c r="M1609" s="27">
        <f>IF($O1609="방문완료",IFERROR(VLOOKUP($E1609,설정_코스수당!$A$6:$H$10,6,FALSE),0),0)</f>
        <v>0</v>
      </c>
      <c r="N1609" s="28">
        <f t="shared" si="46"/>
        <v>0</v>
      </c>
      <c r="O1609" s="23"/>
      <c r="P1609" s="23"/>
      <c r="Q1609" s="23"/>
      <c r="R1609" s="26"/>
      <c r="S1609" s="23"/>
    </row>
    <row r="1610" spans="1:19" ht="19.5" hidden="1" customHeight="1" outlineLevel="1">
      <c r="A1610" s="29">
        <v>52</v>
      </c>
      <c r="B1610" s="30">
        <f>IF(16&lt;=DAY(DATE(YEAR(설정_코스수당!$K$2),MONTH(설정_코스수당!$K$2)+1,0)),DATE(YEAR(설정_코스수당!$K$2),MONTH(설정_코스수당!$K$2),16),"")</f>
        <v>46189</v>
      </c>
      <c r="C1610" s="31"/>
      <c r="D1610" s="29"/>
      <c r="E1610" s="29"/>
      <c r="F1610" s="32"/>
      <c r="G1610" s="29"/>
      <c r="H1610" s="29"/>
      <c r="I1610" s="29"/>
      <c r="J1610" s="33">
        <f>IF($O1610="방문완료",MAX(0,IFERROR(VLOOKUP($E1610,설정_코스수당!$A$6:$H$10,4,FALSE),0)-IF(OR($P1610="",$P1610="없음"),0,100000)),0)</f>
        <v>0</v>
      </c>
      <c r="K1610" s="33">
        <f t="array" ref="K1610">IF($O1610="방문완료",IFERROR(INDEX(설정_코스수당!$B$15:$F$64,MATCH($G1610,설정_코스수당!$A$15:$A$64,0),MATCH($E1610&amp;"수당",설정_코스수당!$B$14:$F$14,0)),0),0)</f>
        <v>0</v>
      </c>
      <c r="L1610" s="33">
        <f t="array" ref="L1610">IF($O1610="방문완료",IF($H1610="",0,IFERROR(INDEX(설정_코스수당!$B$15:$F$64,MATCH($H1610,설정_코스수당!$A$15:$A$64,0),MATCH($E1610&amp;"수당",설정_코스수당!$B$14:$F$14,0)),0)),0)</f>
        <v>0</v>
      </c>
      <c r="M1610" s="33">
        <f>IF($O1610="방문완료",IFERROR(VLOOKUP($E1610,설정_코스수당!$A$6:$H$10,6,FALSE),0),0)</f>
        <v>0</v>
      </c>
      <c r="N1610" s="34">
        <f t="shared" si="46"/>
        <v>0</v>
      </c>
      <c r="O1610" s="29"/>
      <c r="P1610" s="29"/>
      <c r="Q1610" s="29"/>
      <c r="R1610" s="32"/>
      <c r="S1610" s="29"/>
    </row>
    <row r="1611" spans="1:19" ht="19.5" hidden="1" customHeight="1" outlineLevel="1">
      <c r="A1611" s="23">
        <v>53</v>
      </c>
      <c r="B1611" s="24">
        <f>IF(16&lt;=DAY(DATE(YEAR(설정_코스수당!$K$2),MONTH(설정_코스수당!$K$2)+1,0)),DATE(YEAR(설정_코스수당!$K$2),MONTH(설정_코스수당!$K$2),16),"")</f>
        <v>46189</v>
      </c>
      <c r="C1611" s="25"/>
      <c r="D1611" s="23"/>
      <c r="E1611" s="23"/>
      <c r="F1611" s="26"/>
      <c r="G1611" s="23"/>
      <c r="H1611" s="23"/>
      <c r="I1611" s="23"/>
      <c r="J1611" s="27">
        <f>IF($O1611="방문완료",MAX(0,IFERROR(VLOOKUP($E1611,설정_코스수당!$A$6:$H$10,4,FALSE),0)-IF(OR($P1611="",$P1611="없음"),0,100000)),0)</f>
        <v>0</v>
      </c>
      <c r="K1611" s="27">
        <f t="array" ref="K1611">IF($O1611="방문완료",IFERROR(INDEX(설정_코스수당!$B$15:$F$64,MATCH($G1611,설정_코스수당!$A$15:$A$64,0),MATCH($E1611&amp;"수당",설정_코스수당!$B$14:$F$14,0)),0),0)</f>
        <v>0</v>
      </c>
      <c r="L1611" s="27">
        <f t="array" ref="L1611">IF($O1611="방문완료",IF($H1611="",0,IFERROR(INDEX(설정_코스수당!$B$15:$F$64,MATCH($H1611,설정_코스수당!$A$15:$A$64,0),MATCH($E1611&amp;"수당",설정_코스수당!$B$14:$F$14,0)),0)),0)</f>
        <v>0</v>
      </c>
      <c r="M1611" s="27">
        <f>IF($O1611="방문완료",IFERROR(VLOOKUP($E1611,설정_코스수당!$A$6:$H$10,6,FALSE),0),0)</f>
        <v>0</v>
      </c>
      <c r="N1611" s="28">
        <f t="shared" si="46"/>
        <v>0</v>
      </c>
      <c r="O1611" s="23"/>
      <c r="P1611" s="23"/>
      <c r="Q1611" s="23"/>
      <c r="R1611" s="26"/>
      <c r="S1611" s="23"/>
    </row>
    <row r="1612" spans="1:19" ht="19.5" hidden="1" customHeight="1" outlineLevel="1">
      <c r="A1612" s="29">
        <v>54</v>
      </c>
      <c r="B1612" s="30">
        <f>IF(16&lt;=DAY(DATE(YEAR(설정_코스수당!$K$2),MONTH(설정_코스수당!$K$2)+1,0)),DATE(YEAR(설정_코스수당!$K$2),MONTH(설정_코스수당!$K$2),16),"")</f>
        <v>46189</v>
      </c>
      <c r="C1612" s="31"/>
      <c r="D1612" s="29"/>
      <c r="E1612" s="29"/>
      <c r="F1612" s="32"/>
      <c r="G1612" s="29"/>
      <c r="H1612" s="29"/>
      <c r="I1612" s="29"/>
      <c r="J1612" s="33">
        <f>IF($O1612="방문완료",MAX(0,IFERROR(VLOOKUP($E1612,설정_코스수당!$A$6:$H$10,4,FALSE),0)-IF(OR($P1612="",$P1612="없음"),0,100000)),0)</f>
        <v>0</v>
      </c>
      <c r="K1612" s="33">
        <f t="array" ref="K1612">IF($O1612="방문완료",IFERROR(INDEX(설정_코스수당!$B$15:$F$64,MATCH($G1612,설정_코스수당!$A$15:$A$64,0),MATCH($E1612&amp;"수당",설정_코스수당!$B$14:$F$14,0)),0),0)</f>
        <v>0</v>
      </c>
      <c r="L1612" s="33">
        <f t="array" ref="L1612">IF($O1612="방문완료",IF($H1612="",0,IFERROR(INDEX(설정_코스수당!$B$15:$F$64,MATCH($H1612,설정_코스수당!$A$15:$A$64,0),MATCH($E1612&amp;"수당",설정_코스수당!$B$14:$F$14,0)),0)),0)</f>
        <v>0</v>
      </c>
      <c r="M1612" s="33">
        <f>IF($O1612="방문완료",IFERROR(VLOOKUP($E1612,설정_코스수당!$A$6:$H$10,6,FALSE),0),0)</f>
        <v>0</v>
      </c>
      <c r="N1612" s="34">
        <f t="shared" si="46"/>
        <v>0</v>
      </c>
      <c r="O1612" s="29"/>
      <c r="P1612" s="29"/>
      <c r="Q1612" s="29"/>
      <c r="R1612" s="32"/>
      <c r="S1612" s="29"/>
    </row>
    <row r="1613" spans="1:19" ht="19.5" hidden="1" customHeight="1" outlineLevel="1">
      <c r="A1613" s="23">
        <v>55</v>
      </c>
      <c r="B1613" s="24">
        <f>IF(16&lt;=DAY(DATE(YEAR(설정_코스수당!$K$2),MONTH(설정_코스수당!$K$2)+1,0)),DATE(YEAR(설정_코스수당!$K$2),MONTH(설정_코스수당!$K$2),16),"")</f>
        <v>46189</v>
      </c>
      <c r="C1613" s="25"/>
      <c r="D1613" s="23"/>
      <c r="E1613" s="23"/>
      <c r="F1613" s="26"/>
      <c r="G1613" s="23"/>
      <c r="H1613" s="23"/>
      <c r="I1613" s="23"/>
      <c r="J1613" s="27">
        <f>IF($O1613="방문완료",MAX(0,IFERROR(VLOOKUP($E1613,설정_코스수당!$A$6:$H$10,4,FALSE),0)-IF(OR($P1613="",$P1613="없음"),0,100000)),0)</f>
        <v>0</v>
      </c>
      <c r="K1613" s="27">
        <f t="array" ref="K1613">IF($O1613="방문완료",IFERROR(INDEX(설정_코스수당!$B$15:$F$64,MATCH($G1613,설정_코스수당!$A$15:$A$64,0),MATCH($E1613&amp;"수당",설정_코스수당!$B$14:$F$14,0)),0),0)</f>
        <v>0</v>
      </c>
      <c r="L1613" s="27">
        <f t="array" ref="L1613">IF($O1613="방문완료",IF($H1613="",0,IFERROR(INDEX(설정_코스수당!$B$15:$F$64,MATCH($H1613,설정_코스수당!$A$15:$A$64,0),MATCH($E1613&amp;"수당",설정_코스수당!$B$14:$F$14,0)),0)),0)</f>
        <v>0</v>
      </c>
      <c r="M1613" s="27">
        <f>IF($O1613="방문완료",IFERROR(VLOOKUP($E1613,설정_코스수당!$A$6:$H$10,6,FALSE),0),0)</f>
        <v>0</v>
      </c>
      <c r="N1613" s="28">
        <f t="shared" si="46"/>
        <v>0</v>
      </c>
      <c r="O1613" s="23"/>
      <c r="P1613" s="23"/>
      <c r="Q1613" s="23"/>
      <c r="R1613" s="26"/>
      <c r="S1613" s="23"/>
    </row>
    <row r="1614" spans="1:19" ht="19.5" hidden="1" customHeight="1" outlineLevel="1">
      <c r="A1614" s="29">
        <v>56</v>
      </c>
      <c r="B1614" s="30">
        <f>IF(16&lt;=DAY(DATE(YEAR(설정_코스수당!$K$2),MONTH(설정_코스수당!$K$2)+1,0)),DATE(YEAR(설정_코스수당!$K$2),MONTH(설정_코스수당!$K$2),16),"")</f>
        <v>46189</v>
      </c>
      <c r="C1614" s="31"/>
      <c r="D1614" s="29"/>
      <c r="E1614" s="29"/>
      <c r="F1614" s="32"/>
      <c r="G1614" s="29"/>
      <c r="H1614" s="29"/>
      <c r="I1614" s="29"/>
      <c r="J1614" s="33">
        <f>IF($O1614="방문완료",MAX(0,IFERROR(VLOOKUP($E1614,설정_코스수당!$A$6:$H$10,4,FALSE),0)-IF(OR($P1614="",$P1614="없음"),0,100000)),0)</f>
        <v>0</v>
      </c>
      <c r="K1614" s="33">
        <f t="array" ref="K1614">IF($O1614="방문완료",IFERROR(INDEX(설정_코스수당!$B$15:$F$64,MATCH($G1614,설정_코스수당!$A$15:$A$64,0),MATCH($E1614&amp;"수당",설정_코스수당!$B$14:$F$14,0)),0),0)</f>
        <v>0</v>
      </c>
      <c r="L1614" s="33">
        <f t="array" ref="L1614">IF($O1614="방문완료",IF($H1614="",0,IFERROR(INDEX(설정_코스수당!$B$15:$F$64,MATCH($H1614,설정_코스수당!$A$15:$A$64,0),MATCH($E1614&amp;"수당",설정_코스수당!$B$14:$F$14,0)),0)),0)</f>
        <v>0</v>
      </c>
      <c r="M1614" s="33">
        <f>IF($O1614="방문완료",IFERROR(VLOOKUP($E1614,설정_코스수당!$A$6:$H$10,6,FALSE),0),0)</f>
        <v>0</v>
      </c>
      <c r="N1614" s="34">
        <f t="shared" si="46"/>
        <v>0</v>
      </c>
      <c r="O1614" s="29"/>
      <c r="P1614" s="29"/>
      <c r="Q1614" s="29"/>
      <c r="R1614" s="32"/>
      <c r="S1614" s="29"/>
    </row>
    <row r="1615" spans="1:19" ht="19.5" hidden="1" customHeight="1" outlineLevel="1">
      <c r="A1615" s="23">
        <v>57</v>
      </c>
      <c r="B1615" s="24">
        <f>IF(16&lt;=DAY(DATE(YEAR(설정_코스수당!$K$2),MONTH(설정_코스수당!$K$2)+1,0)),DATE(YEAR(설정_코스수당!$K$2),MONTH(설정_코스수당!$K$2),16),"")</f>
        <v>46189</v>
      </c>
      <c r="C1615" s="25"/>
      <c r="D1615" s="23"/>
      <c r="E1615" s="23"/>
      <c r="F1615" s="26"/>
      <c r="G1615" s="23"/>
      <c r="H1615" s="23"/>
      <c r="I1615" s="23"/>
      <c r="J1615" s="27">
        <f>IF($O1615="방문완료",MAX(0,IFERROR(VLOOKUP($E1615,설정_코스수당!$A$6:$H$10,4,FALSE),0)-IF(OR($P1615="",$P1615="없음"),0,100000)),0)</f>
        <v>0</v>
      </c>
      <c r="K1615" s="27">
        <f t="array" ref="K1615">IF($O1615="방문완료",IFERROR(INDEX(설정_코스수당!$B$15:$F$64,MATCH($G1615,설정_코스수당!$A$15:$A$64,0),MATCH($E1615&amp;"수당",설정_코스수당!$B$14:$F$14,0)),0),0)</f>
        <v>0</v>
      </c>
      <c r="L1615" s="27">
        <f t="array" ref="L1615">IF($O1615="방문완료",IF($H1615="",0,IFERROR(INDEX(설정_코스수당!$B$15:$F$64,MATCH($H1615,설정_코스수당!$A$15:$A$64,0),MATCH($E1615&amp;"수당",설정_코스수당!$B$14:$F$14,0)),0)),0)</f>
        <v>0</v>
      </c>
      <c r="M1615" s="27">
        <f>IF($O1615="방문완료",IFERROR(VLOOKUP($E1615,설정_코스수당!$A$6:$H$10,6,FALSE),0),0)</f>
        <v>0</v>
      </c>
      <c r="N1615" s="28">
        <f t="shared" si="46"/>
        <v>0</v>
      </c>
      <c r="O1615" s="23"/>
      <c r="P1615" s="23"/>
      <c r="Q1615" s="23"/>
      <c r="R1615" s="26"/>
      <c r="S1615" s="23"/>
    </row>
    <row r="1616" spans="1:19" ht="19.5" hidden="1" customHeight="1" outlineLevel="1">
      <c r="A1616" s="29">
        <v>58</v>
      </c>
      <c r="B1616" s="30">
        <f>IF(16&lt;=DAY(DATE(YEAR(설정_코스수당!$K$2),MONTH(설정_코스수당!$K$2)+1,0)),DATE(YEAR(설정_코스수당!$K$2),MONTH(설정_코스수당!$K$2),16),"")</f>
        <v>46189</v>
      </c>
      <c r="C1616" s="31"/>
      <c r="D1616" s="29"/>
      <c r="E1616" s="29"/>
      <c r="F1616" s="32"/>
      <c r="G1616" s="29"/>
      <c r="H1616" s="29"/>
      <c r="I1616" s="29"/>
      <c r="J1616" s="33">
        <f>IF($O1616="방문완료",MAX(0,IFERROR(VLOOKUP($E1616,설정_코스수당!$A$6:$H$10,4,FALSE),0)-IF(OR($P1616="",$P1616="없음"),0,100000)),0)</f>
        <v>0</v>
      </c>
      <c r="K1616" s="33">
        <f t="array" ref="K1616">IF($O1616="방문완료",IFERROR(INDEX(설정_코스수당!$B$15:$F$64,MATCH($G1616,설정_코스수당!$A$15:$A$64,0),MATCH($E1616&amp;"수당",설정_코스수당!$B$14:$F$14,0)),0),0)</f>
        <v>0</v>
      </c>
      <c r="L1616" s="33">
        <f t="array" ref="L1616">IF($O1616="방문완료",IF($H1616="",0,IFERROR(INDEX(설정_코스수당!$B$15:$F$64,MATCH($H1616,설정_코스수당!$A$15:$A$64,0),MATCH($E1616&amp;"수당",설정_코스수당!$B$14:$F$14,0)),0)),0)</f>
        <v>0</v>
      </c>
      <c r="M1616" s="33">
        <f>IF($O1616="방문완료",IFERROR(VLOOKUP($E1616,설정_코스수당!$A$6:$H$10,6,FALSE),0),0)</f>
        <v>0</v>
      </c>
      <c r="N1616" s="34">
        <f t="shared" si="46"/>
        <v>0</v>
      </c>
      <c r="O1616" s="29"/>
      <c r="P1616" s="29"/>
      <c r="Q1616" s="29"/>
      <c r="R1616" s="32"/>
      <c r="S1616" s="29"/>
    </row>
    <row r="1617" spans="1:22" ht="19.5" hidden="1" customHeight="1" outlineLevel="1">
      <c r="A1617" s="23">
        <v>59</v>
      </c>
      <c r="B1617" s="24">
        <f>IF(16&lt;=DAY(DATE(YEAR(설정_코스수당!$K$2),MONTH(설정_코스수당!$K$2)+1,0)),DATE(YEAR(설정_코스수당!$K$2),MONTH(설정_코스수당!$K$2),16),"")</f>
        <v>46189</v>
      </c>
      <c r="C1617" s="25"/>
      <c r="D1617" s="23"/>
      <c r="E1617" s="23"/>
      <c r="F1617" s="26"/>
      <c r="G1617" s="23"/>
      <c r="H1617" s="23"/>
      <c r="I1617" s="23"/>
      <c r="J1617" s="27">
        <f>IF($O1617="방문완료",MAX(0,IFERROR(VLOOKUP($E1617,설정_코스수당!$A$6:$H$10,4,FALSE),0)-IF(OR($P1617="",$P1617="없음"),0,100000)),0)</f>
        <v>0</v>
      </c>
      <c r="K1617" s="27">
        <f t="array" ref="K1617">IF($O1617="방문완료",IFERROR(INDEX(설정_코스수당!$B$15:$F$64,MATCH($G1617,설정_코스수당!$A$15:$A$64,0),MATCH($E1617&amp;"수당",설정_코스수당!$B$14:$F$14,0)),0),0)</f>
        <v>0</v>
      </c>
      <c r="L1617" s="27">
        <f t="array" ref="L1617">IF($O1617="방문완료",IF($H1617="",0,IFERROR(INDEX(설정_코스수당!$B$15:$F$64,MATCH($H1617,설정_코스수당!$A$15:$A$64,0),MATCH($E1617&amp;"수당",설정_코스수당!$B$14:$F$14,0)),0)),0)</f>
        <v>0</v>
      </c>
      <c r="M1617" s="27">
        <f>IF($O1617="방문완료",IFERROR(VLOOKUP($E1617,설정_코스수당!$A$6:$H$10,6,FALSE),0),0)</f>
        <v>0</v>
      </c>
      <c r="N1617" s="28">
        <f t="shared" si="46"/>
        <v>0</v>
      </c>
      <c r="O1617" s="23"/>
      <c r="P1617" s="23"/>
      <c r="Q1617" s="23"/>
      <c r="R1617" s="26"/>
      <c r="S1617" s="23"/>
    </row>
    <row r="1618" spans="1:22" ht="19.5" hidden="1" customHeight="1" outlineLevel="1">
      <c r="A1618" s="29">
        <v>60</v>
      </c>
      <c r="B1618" s="30">
        <f>IF(16&lt;=DAY(DATE(YEAR(설정_코스수당!$K$2),MONTH(설정_코스수당!$K$2)+1,0)),DATE(YEAR(설정_코스수당!$K$2),MONTH(설정_코스수당!$K$2),16),"")</f>
        <v>46189</v>
      </c>
      <c r="C1618" s="31"/>
      <c r="D1618" s="29"/>
      <c r="E1618" s="29"/>
      <c r="F1618" s="32"/>
      <c r="G1618" s="29"/>
      <c r="H1618" s="29"/>
      <c r="I1618" s="29"/>
      <c r="J1618" s="33">
        <f>IF($O1618="방문완료",MAX(0,IFERROR(VLOOKUP($E1618,설정_코스수당!$A$6:$H$10,4,FALSE),0)-IF(OR($P1618="",$P1618="없음"),0,100000)),0)</f>
        <v>0</v>
      </c>
      <c r="K1618" s="33">
        <f t="array" ref="K1618">IF($O1618="방문완료",IFERROR(INDEX(설정_코스수당!$B$15:$F$64,MATCH($G1618,설정_코스수당!$A$15:$A$64,0),MATCH($E1618&amp;"수당",설정_코스수당!$B$14:$F$14,0)),0),0)</f>
        <v>0</v>
      </c>
      <c r="L1618" s="33">
        <f t="array" ref="L1618">IF($O1618="방문완료",IF($H1618="",0,IFERROR(INDEX(설정_코스수당!$B$15:$F$64,MATCH($H1618,설정_코스수당!$A$15:$A$64,0),MATCH($E1618&amp;"수당",설정_코스수당!$B$14:$F$14,0)),0)),0)</f>
        <v>0</v>
      </c>
      <c r="M1618" s="33">
        <f>IF($O1618="방문완료",IFERROR(VLOOKUP($E1618,설정_코스수당!$A$6:$H$10,6,FALSE),0),0)</f>
        <v>0</v>
      </c>
      <c r="N1618" s="34">
        <f t="shared" si="46"/>
        <v>0</v>
      </c>
      <c r="O1618" s="29"/>
      <c r="P1618" s="29"/>
      <c r="Q1618" s="29"/>
      <c r="R1618" s="32"/>
      <c r="S1618" s="29"/>
    </row>
    <row r="1619" spans="1:22" ht="19.5" hidden="1" customHeight="1" outlineLevel="1">
      <c r="A1619" s="23">
        <v>61</v>
      </c>
      <c r="B1619" s="24">
        <f>IF(16&lt;=DAY(DATE(YEAR(설정_코스수당!$K$2),MONTH(설정_코스수당!$K$2)+1,0)),DATE(YEAR(설정_코스수당!$K$2),MONTH(설정_코스수당!$K$2),16),"")</f>
        <v>46189</v>
      </c>
      <c r="C1619" s="25"/>
      <c r="D1619" s="23"/>
      <c r="E1619" s="23"/>
      <c r="F1619" s="26"/>
      <c r="G1619" s="23"/>
      <c r="H1619" s="23"/>
      <c r="I1619" s="23"/>
      <c r="J1619" s="27">
        <f>IF($O1619="방문완료",MAX(0,IFERROR(VLOOKUP($E1619,설정_코스수당!$A$6:$H$10,4,FALSE),0)-IF(OR($P1619="",$P1619="없음"),0,100000)),0)</f>
        <v>0</v>
      </c>
      <c r="K1619" s="27">
        <f t="array" ref="K1619">IF($O1619="방문완료",IFERROR(INDEX(설정_코스수당!$B$15:$F$64,MATCH($G1619,설정_코스수당!$A$15:$A$64,0),MATCH($E1619&amp;"수당",설정_코스수당!$B$14:$F$14,0)),0),0)</f>
        <v>0</v>
      </c>
      <c r="L1619" s="27">
        <f t="array" ref="L1619">IF($O1619="방문완료",IF($H1619="",0,IFERROR(INDEX(설정_코스수당!$B$15:$F$64,MATCH($H1619,설정_코스수당!$A$15:$A$64,0),MATCH($E1619&amp;"수당",설정_코스수당!$B$14:$F$14,0)),0)),0)</f>
        <v>0</v>
      </c>
      <c r="M1619" s="27">
        <f>IF($O1619="방문완료",IFERROR(VLOOKUP($E1619,설정_코스수당!$A$6:$H$10,6,FALSE),0),0)</f>
        <v>0</v>
      </c>
      <c r="N1619" s="28">
        <f t="shared" si="46"/>
        <v>0</v>
      </c>
      <c r="O1619" s="23"/>
      <c r="P1619" s="23"/>
      <c r="Q1619" s="23"/>
      <c r="R1619" s="26"/>
      <c r="S1619" s="23"/>
    </row>
    <row r="1620" spans="1:22" ht="19.5" hidden="1" customHeight="1" outlineLevel="1">
      <c r="A1620" s="29">
        <v>62</v>
      </c>
      <c r="B1620" s="30">
        <f>IF(16&lt;=DAY(DATE(YEAR(설정_코스수당!$K$2),MONTH(설정_코스수당!$K$2)+1,0)),DATE(YEAR(설정_코스수당!$K$2),MONTH(설정_코스수당!$K$2),16),"")</f>
        <v>46189</v>
      </c>
      <c r="C1620" s="31"/>
      <c r="D1620" s="29"/>
      <c r="E1620" s="29"/>
      <c r="F1620" s="32"/>
      <c r="G1620" s="29"/>
      <c r="H1620" s="29"/>
      <c r="I1620" s="29"/>
      <c r="J1620" s="33">
        <f>IF($O1620="방문완료",MAX(0,IFERROR(VLOOKUP($E1620,설정_코스수당!$A$6:$H$10,4,FALSE),0)-IF(OR($P1620="",$P1620="없음"),0,100000)),0)</f>
        <v>0</v>
      </c>
      <c r="K1620" s="33">
        <f t="array" ref="K1620">IF($O1620="방문완료",IFERROR(INDEX(설정_코스수당!$B$15:$F$64,MATCH($G1620,설정_코스수당!$A$15:$A$64,0),MATCH($E1620&amp;"수당",설정_코스수당!$B$14:$F$14,0)),0),0)</f>
        <v>0</v>
      </c>
      <c r="L1620" s="33">
        <f t="array" ref="L1620">IF($O1620="방문완료",IF($H1620="",0,IFERROR(INDEX(설정_코스수당!$B$15:$F$64,MATCH($H1620,설정_코스수당!$A$15:$A$64,0),MATCH($E1620&amp;"수당",설정_코스수당!$B$14:$F$14,0)),0)),0)</f>
        <v>0</v>
      </c>
      <c r="M1620" s="33">
        <f>IF($O1620="방문완료",IFERROR(VLOOKUP($E1620,설정_코스수당!$A$6:$H$10,6,FALSE),0),0)</f>
        <v>0</v>
      </c>
      <c r="N1620" s="34">
        <f t="shared" si="46"/>
        <v>0</v>
      </c>
      <c r="O1620" s="29"/>
      <c r="P1620" s="29"/>
      <c r="Q1620" s="29"/>
      <c r="R1620" s="32"/>
      <c r="S1620" s="29"/>
      <c r="U1620" s="16" t="s">
        <v>72</v>
      </c>
      <c r="V1620" s="17">
        <f>IF(17&lt;=DAY(DATE(YEAR(설정_코스수당!$K$2),MONTH(설정_코스수당!$K$2)+1,0)),COUNTIFS($B:$B,DATE(YEAR(설정_코스수당!$K$2),MONTH(설정_코스수당!$K$2),17),$O:$O,"방문완료",$P:$P,"&lt;&gt;",$P:$P,"&lt;&gt;없음")*100000,"")</f>
        <v>0</v>
      </c>
    </row>
    <row r="1621" spans="1:22" ht="19.5" hidden="1" customHeight="1" outlineLevel="1">
      <c r="A1621" s="23">
        <v>63</v>
      </c>
      <c r="B1621" s="24">
        <f>IF(16&lt;=DAY(DATE(YEAR(설정_코스수당!$K$2),MONTH(설정_코스수당!$K$2)+1,0)),DATE(YEAR(설정_코스수당!$K$2),MONTH(설정_코스수당!$K$2),16),"")</f>
        <v>46189</v>
      </c>
      <c r="C1621" s="25"/>
      <c r="D1621" s="23"/>
      <c r="E1621" s="23"/>
      <c r="F1621" s="26"/>
      <c r="G1621" s="23"/>
      <c r="H1621" s="23"/>
      <c r="I1621" s="23"/>
      <c r="J1621" s="27">
        <f>IF($O1621="방문완료",MAX(0,IFERROR(VLOOKUP($E1621,설정_코스수당!$A$6:$H$10,4,FALSE),0)-IF(OR($P1621="",$P1621="없음"),0,100000)),0)</f>
        <v>0</v>
      </c>
      <c r="K1621" s="27">
        <f t="array" ref="K1621">IF($O1621="방문완료",IFERROR(INDEX(설정_코스수당!$B$15:$F$64,MATCH($G1621,설정_코스수당!$A$15:$A$64,0),MATCH($E1621&amp;"수당",설정_코스수당!$B$14:$F$14,0)),0),0)</f>
        <v>0</v>
      </c>
      <c r="L1621" s="27">
        <f t="array" ref="L1621">IF($O1621="방문완료",IF($H1621="",0,IFERROR(INDEX(설정_코스수당!$B$15:$F$64,MATCH($H1621,설정_코스수당!$A$15:$A$64,0),MATCH($E1621&amp;"수당",설정_코스수당!$B$14:$F$14,0)),0)),0)</f>
        <v>0</v>
      </c>
      <c r="M1621" s="27">
        <f>IF($O1621="방문완료",IFERROR(VLOOKUP($E1621,설정_코스수당!$A$6:$H$10,6,FALSE),0),0)</f>
        <v>0</v>
      </c>
      <c r="N1621" s="28">
        <f t="shared" si="46"/>
        <v>0</v>
      </c>
      <c r="O1621" s="23"/>
      <c r="P1621" s="23"/>
      <c r="Q1621" s="23"/>
      <c r="R1621" s="26"/>
      <c r="S1621" s="23"/>
    </row>
    <row r="1622" spans="1:22" ht="19.5" hidden="1" customHeight="1" outlineLevel="1">
      <c r="A1622" s="29">
        <v>64</v>
      </c>
      <c r="B1622" s="30">
        <f>IF(16&lt;=DAY(DATE(YEAR(설정_코스수당!$K$2),MONTH(설정_코스수당!$K$2)+1,0)),DATE(YEAR(설정_코스수당!$K$2),MONTH(설정_코스수당!$K$2),16),"")</f>
        <v>46189</v>
      </c>
      <c r="C1622" s="31"/>
      <c r="D1622" s="29"/>
      <c r="E1622" s="29"/>
      <c r="F1622" s="32"/>
      <c r="G1622" s="29"/>
      <c r="H1622" s="29"/>
      <c r="I1622" s="29"/>
      <c r="J1622" s="33">
        <f>IF($O1622="방문완료",MAX(0,IFERROR(VLOOKUP($E1622,설정_코스수당!$A$6:$H$10,4,FALSE),0)-IF(OR($P1622="",$P1622="없음"),0,100000)),0)</f>
        <v>0</v>
      </c>
      <c r="K1622" s="33">
        <f t="array" ref="K1622">IF($O1622="방문완료",IFERROR(INDEX(설정_코스수당!$B$15:$F$64,MATCH($G1622,설정_코스수당!$A$15:$A$64,0),MATCH($E1622&amp;"수당",설정_코스수당!$B$14:$F$14,0)),0),0)</f>
        <v>0</v>
      </c>
      <c r="L1622" s="33">
        <f t="array" ref="L1622">IF($O1622="방문완료",IF($H1622="",0,IFERROR(INDEX(설정_코스수당!$B$15:$F$64,MATCH($H1622,설정_코스수당!$A$15:$A$64,0),MATCH($E1622&amp;"수당",설정_코스수당!$B$14:$F$14,0)),0)),0)</f>
        <v>0</v>
      </c>
      <c r="M1622" s="33">
        <f>IF($O1622="방문완료",IFERROR(VLOOKUP($E1622,설정_코스수당!$A$6:$H$10,6,FALSE),0),0)</f>
        <v>0</v>
      </c>
      <c r="N1622" s="34">
        <f t="shared" si="46"/>
        <v>0</v>
      </c>
      <c r="O1622" s="29"/>
      <c r="P1622" s="29"/>
      <c r="Q1622" s="29"/>
      <c r="R1622" s="32"/>
      <c r="S1622" s="29"/>
    </row>
    <row r="1623" spans="1:22" ht="19.5" hidden="1" customHeight="1" outlineLevel="1">
      <c r="A1623" s="23">
        <v>65</v>
      </c>
      <c r="B1623" s="24">
        <f>IF(16&lt;=DAY(DATE(YEAR(설정_코스수당!$K$2),MONTH(설정_코스수당!$K$2)+1,0)),DATE(YEAR(설정_코스수당!$K$2),MONTH(설정_코스수당!$K$2),16),"")</f>
        <v>46189</v>
      </c>
      <c r="C1623" s="25"/>
      <c r="D1623" s="23"/>
      <c r="E1623" s="23"/>
      <c r="F1623" s="26"/>
      <c r="G1623" s="23"/>
      <c r="H1623" s="23"/>
      <c r="I1623" s="23"/>
      <c r="J1623" s="27">
        <f>IF($O1623="방문완료",MAX(0,IFERROR(VLOOKUP($E1623,설정_코스수당!$A$6:$H$10,4,FALSE),0)-IF(OR($P1623="",$P1623="없음"),0,100000)),0)</f>
        <v>0</v>
      </c>
      <c r="K1623" s="27">
        <f t="array" ref="K1623">IF($O1623="방문완료",IFERROR(INDEX(설정_코스수당!$B$15:$F$64,MATCH($G1623,설정_코스수당!$A$15:$A$64,0),MATCH($E1623&amp;"수당",설정_코스수당!$B$14:$F$14,0)),0),0)</f>
        <v>0</v>
      </c>
      <c r="L1623" s="27">
        <f t="array" ref="L1623">IF($O1623="방문완료",IF($H1623="",0,IFERROR(INDEX(설정_코스수당!$B$15:$F$64,MATCH($H1623,설정_코스수당!$A$15:$A$64,0),MATCH($E1623&amp;"수당",설정_코스수당!$B$14:$F$14,0)),0)),0)</f>
        <v>0</v>
      </c>
      <c r="M1623" s="27">
        <f>IF($O1623="방문완료",IFERROR(VLOOKUP($E1623,설정_코스수당!$A$6:$H$10,6,FALSE),0),0)</f>
        <v>0</v>
      </c>
      <c r="N1623" s="28">
        <f t="shared" ref="N1623:N1658" si="47">IF($O1623="방문완료",1,0)</f>
        <v>0</v>
      </c>
      <c r="O1623" s="23"/>
      <c r="P1623" s="23"/>
      <c r="Q1623" s="23"/>
      <c r="R1623" s="26"/>
      <c r="S1623" s="23"/>
    </row>
    <row r="1624" spans="1:22" ht="19.5" hidden="1" customHeight="1" outlineLevel="1">
      <c r="A1624" s="29">
        <v>66</v>
      </c>
      <c r="B1624" s="30">
        <f>IF(16&lt;=DAY(DATE(YEAR(설정_코스수당!$K$2),MONTH(설정_코스수당!$K$2)+1,0)),DATE(YEAR(설정_코스수당!$K$2),MONTH(설정_코스수당!$K$2),16),"")</f>
        <v>46189</v>
      </c>
      <c r="C1624" s="31"/>
      <c r="D1624" s="29"/>
      <c r="E1624" s="29"/>
      <c r="F1624" s="32"/>
      <c r="G1624" s="29"/>
      <c r="H1624" s="29"/>
      <c r="I1624" s="29"/>
      <c r="J1624" s="33">
        <f>IF($O1624="방문완료",MAX(0,IFERROR(VLOOKUP($E1624,설정_코스수당!$A$6:$H$10,4,FALSE),0)-IF(OR($P1624="",$P1624="없음"),0,100000)),0)</f>
        <v>0</v>
      </c>
      <c r="K1624" s="33">
        <f t="array" ref="K1624">IF($O1624="방문완료",IFERROR(INDEX(설정_코스수당!$B$15:$F$64,MATCH($G1624,설정_코스수당!$A$15:$A$64,0),MATCH($E1624&amp;"수당",설정_코스수당!$B$14:$F$14,0)),0),0)</f>
        <v>0</v>
      </c>
      <c r="L1624" s="33">
        <f t="array" ref="L1624">IF($O1624="방문완료",IF($H1624="",0,IFERROR(INDEX(설정_코스수당!$B$15:$F$64,MATCH($H1624,설정_코스수당!$A$15:$A$64,0),MATCH($E1624&amp;"수당",설정_코스수당!$B$14:$F$14,0)),0)),0)</f>
        <v>0</v>
      </c>
      <c r="M1624" s="33">
        <f>IF($O1624="방문완료",IFERROR(VLOOKUP($E1624,설정_코스수당!$A$6:$H$10,6,FALSE),0),0)</f>
        <v>0</v>
      </c>
      <c r="N1624" s="34">
        <f t="shared" si="47"/>
        <v>0</v>
      </c>
      <c r="O1624" s="29"/>
      <c r="P1624" s="29"/>
      <c r="Q1624" s="29"/>
      <c r="R1624" s="32"/>
      <c r="S1624" s="29"/>
    </row>
    <row r="1625" spans="1:22" ht="19.5" hidden="1" customHeight="1" outlineLevel="1">
      <c r="A1625" s="23">
        <v>67</v>
      </c>
      <c r="B1625" s="24">
        <f>IF(16&lt;=DAY(DATE(YEAR(설정_코스수당!$K$2),MONTH(설정_코스수당!$K$2)+1,0)),DATE(YEAR(설정_코스수당!$K$2),MONTH(설정_코스수당!$K$2),16),"")</f>
        <v>46189</v>
      </c>
      <c r="C1625" s="25"/>
      <c r="D1625" s="23"/>
      <c r="E1625" s="23"/>
      <c r="F1625" s="26"/>
      <c r="G1625" s="23"/>
      <c r="H1625" s="23"/>
      <c r="I1625" s="23"/>
      <c r="J1625" s="27">
        <f>IF($O1625="방문완료",MAX(0,IFERROR(VLOOKUP($E1625,설정_코스수당!$A$6:$H$10,4,FALSE),0)-IF(OR($P1625="",$P1625="없음"),0,100000)),0)</f>
        <v>0</v>
      </c>
      <c r="K1625" s="27">
        <f t="array" ref="K1625">IF($O1625="방문완료",IFERROR(INDEX(설정_코스수당!$B$15:$F$64,MATCH($G1625,설정_코스수당!$A$15:$A$64,0),MATCH($E1625&amp;"수당",설정_코스수당!$B$14:$F$14,0)),0),0)</f>
        <v>0</v>
      </c>
      <c r="L1625" s="27">
        <f t="array" ref="L1625">IF($O1625="방문완료",IF($H1625="",0,IFERROR(INDEX(설정_코스수당!$B$15:$F$64,MATCH($H1625,설정_코스수당!$A$15:$A$64,0),MATCH($E1625&amp;"수당",설정_코스수당!$B$14:$F$14,0)),0)),0)</f>
        <v>0</v>
      </c>
      <c r="M1625" s="27">
        <f>IF($O1625="방문완료",IFERROR(VLOOKUP($E1625,설정_코스수당!$A$6:$H$10,6,FALSE),0),0)</f>
        <v>0</v>
      </c>
      <c r="N1625" s="28">
        <f t="shared" si="47"/>
        <v>0</v>
      </c>
      <c r="O1625" s="23"/>
      <c r="P1625" s="23"/>
      <c r="Q1625" s="23"/>
      <c r="R1625" s="26"/>
      <c r="S1625" s="23"/>
    </row>
    <row r="1626" spans="1:22" ht="19.5" hidden="1" customHeight="1" outlineLevel="1">
      <c r="A1626" s="29">
        <v>68</v>
      </c>
      <c r="B1626" s="30">
        <f>IF(16&lt;=DAY(DATE(YEAR(설정_코스수당!$K$2),MONTH(설정_코스수당!$K$2)+1,0)),DATE(YEAR(설정_코스수당!$K$2),MONTH(설정_코스수당!$K$2),16),"")</f>
        <v>46189</v>
      </c>
      <c r="C1626" s="31"/>
      <c r="D1626" s="29"/>
      <c r="E1626" s="29"/>
      <c r="F1626" s="32"/>
      <c r="G1626" s="29"/>
      <c r="H1626" s="29"/>
      <c r="I1626" s="29"/>
      <c r="J1626" s="33">
        <f>IF($O1626="방문완료",MAX(0,IFERROR(VLOOKUP($E1626,설정_코스수당!$A$6:$H$10,4,FALSE),0)-IF(OR($P1626="",$P1626="없음"),0,100000)),0)</f>
        <v>0</v>
      </c>
      <c r="K1626" s="33">
        <f t="array" ref="K1626">IF($O1626="방문완료",IFERROR(INDEX(설정_코스수당!$B$15:$F$64,MATCH($G1626,설정_코스수당!$A$15:$A$64,0),MATCH($E1626&amp;"수당",설정_코스수당!$B$14:$F$14,0)),0),0)</f>
        <v>0</v>
      </c>
      <c r="L1626" s="33">
        <f t="array" ref="L1626">IF($O1626="방문완료",IF($H1626="",0,IFERROR(INDEX(설정_코스수당!$B$15:$F$64,MATCH($H1626,설정_코스수당!$A$15:$A$64,0),MATCH($E1626&amp;"수당",설정_코스수당!$B$14:$F$14,0)),0)),0)</f>
        <v>0</v>
      </c>
      <c r="M1626" s="33">
        <f>IF($O1626="방문완료",IFERROR(VLOOKUP($E1626,설정_코스수당!$A$6:$H$10,6,FALSE),0),0)</f>
        <v>0</v>
      </c>
      <c r="N1626" s="34">
        <f t="shared" si="47"/>
        <v>0</v>
      </c>
      <c r="O1626" s="29"/>
      <c r="P1626" s="29"/>
      <c r="Q1626" s="29"/>
      <c r="R1626" s="32"/>
      <c r="S1626" s="29"/>
    </row>
    <row r="1627" spans="1:22" ht="19.5" hidden="1" customHeight="1" outlineLevel="1">
      <c r="A1627" s="23">
        <v>69</v>
      </c>
      <c r="B1627" s="24">
        <f>IF(16&lt;=DAY(DATE(YEAR(설정_코스수당!$K$2),MONTH(설정_코스수당!$K$2)+1,0)),DATE(YEAR(설정_코스수당!$K$2),MONTH(설정_코스수당!$K$2),16),"")</f>
        <v>46189</v>
      </c>
      <c r="C1627" s="25"/>
      <c r="D1627" s="23"/>
      <c r="E1627" s="23"/>
      <c r="F1627" s="26"/>
      <c r="G1627" s="23"/>
      <c r="H1627" s="23"/>
      <c r="I1627" s="23"/>
      <c r="J1627" s="27">
        <f>IF($O1627="방문완료",MAX(0,IFERROR(VLOOKUP($E1627,설정_코스수당!$A$6:$H$10,4,FALSE),0)-IF(OR($P1627="",$P1627="없음"),0,100000)),0)</f>
        <v>0</v>
      </c>
      <c r="K1627" s="27">
        <f t="array" ref="K1627">IF($O1627="방문완료",IFERROR(INDEX(설정_코스수당!$B$15:$F$64,MATCH($G1627,설정_코스수당!$A$15:$A$64,0),MATCH($E1627&amp;"수당",설정_코스수당!$B$14:$F$14,0)),0),0)</f>
        <v>0</v>
      </c>
      <c r="L1627" s="27">
        <f t="array" ref="L1627">IF($O1627="방문완료",IF($H1627="",0,IFERROR(INDEX(설정_코스수당!$B$15:$F$64,MATCH($H1627,설정_코스수당!$A$15:$A$64,0),MATCH($E1627&amp;"수당",설정_코스수당!$B$14:$F$14,0)),0)),0)</f>
        <v>0</v>
      </c>
      <c r="M1627" s="27">
        <f>IF($O1627="방문완료",IFERROR(VLOOKUP($E1627,설정_코스수당!$A$6:$H$10,6,FALSE),0),0)</f>
        <v>0</v>
      </c>
      <c r="N1627" s="28">
        <f t="shared" si="47"/>
        <v>0</v>
      </c>
      <c r="O1627" s="23"/>
      <c r="P1627" s="23"/>
      <c r="Q1627" s="23"/>
      <c r="R1627" s="26"/>
      <c r="S1627" s="23"/>
    </row>
    <row r="1628" spans="1:22" ht="19.5" hidden="1" customHeight="1" outlineLevel="1">
      <c r="A1628" s="29">
        <v>70</v>
      </c>
      <c r="B1628" s="30">
        <f>IF(16&lt;=DAY(DATE(YEAR(설정_코스수당!$K$2),MONTH(설정_코스수당!$K$2)+1,0)),DATE(YEAR(설정_코스수당!$K$2),MONTH(설정_코스수당!$K$2),16),"")</f>
        <v>46189</v>
      </c>
      <c r="C1628" s="31"/>
      <c r="D1628" s="29"/>
      <c r="E1628" s="29"/>
      <c r="F1628" s="32"/>
      <c r="G1628" s="29"/>
      <c r="H1628" s="29"/>
      <c r="I1628" s="29"/>
      <c r="J1628" s="33">
        <f>IF($O1628="방문완료",MAX(0,IFERROR(VLOOKUP($E1628,설정_코스수당!$A$6:$H$10,4,FALSE),0)-IF(OR($P1628="",$P1628="없음"),0,100000)),0)</f>
        <v>0</v>
      </c>
      <c r="K1628" s="33">
        <f t="array" ref="K1628">IF($O1628="방문완료",IFERROR(INDEX(설정_코스수당!$B$15:$F$64,MATCH($G1628,설정_코스수당!$A$15:$A$64,0),MATCH($E1628&amp;"수당",설정_코스수당!$B$14:$F$14,0)),0),0)</f>
        <v>0</v>
      </c>
      <c r="L1628" s="33">
        <f t="array" ref="L1628">IF($O1628="방문완료",IF($H1628="",0,IFERROR(INDEX(설정_코스수당!$B$15:$F$64,MATCH($H1628,설정_코스수당!$A$15:$A$64,0),MATCH($E1628&amp;"수당",설정_코스수당!$B$14:$F$14,0)),0)),0)</f>
        <v>0</v>
      </c>
      <c r="M1628" s="33">
        <f>IF($O1628="방문완료",IFERROR(VLOOKUP($E1628,설정_코스수당!$A$6:$H$10,6,FALSE),0),0)</f>
        <v>0</v>
      </c>
      <c r="N1628" s="34">
        <f t="shared" si="47"/>
        <v>0</v>
      </c>
      <c r="O1628" s="29"/>
      <c r="P1628" s="29"/>
      <c r="Q1628" s="29"/>
      <c r="R1628" s="32"/>
      <c r="S1628" s="29"/>
    </row>
    <row r="1629" spans="1:22" ht="19.5" hidden="1" customHeight="1" outlineLevel="1">
      <c r="A1629" s="23">
        <v>71</v>
      </c>
      <c r="B1629" s="24">
        <f>IF(16&lt;=DAY(DATE(YEAR(설정_코스수당!$K$2),MONTH(설정_코스수당!$K$2)+1,0)),DATE(YEAR(설정_코스수당!$K$2),MONTH(설정_코스수당!$K$2),16),"")</f>
        <v>46189</v>
      </c>
      <c r="C1629" s="25"/>
      <c r="D1629" s="23"/>
      <c r="E1629" s="23"/>
      <c r="F1629" s="26"/>
      <c r="G1629" s="23"/>
      <c r="H1629" s="23"/>
      <c r="I1629" s="23"/>
      <c r="J1629" s="27">
        <f>IF($O1629="방문완료",MAX(0,IFERROR(VLOOKUP($E1629,설정_코스수당!$A$6:$H$10,4,FALSE),0)-IF(OR($P1629="",$P1629="없음"),0,100000)),0)</f>
        <v>0</v>
      </c>
      <c r="K1629" s="27">
        <f t="array" ref="K1629">IF($O1629="방문완료",IFERROR(INDEX(설정_코스수당!$B$15:$F$64,MATCH($G1629,설정_코스수당!$A$15:$A$64,0),MATCH($E1629&amp;"수당",설정_코스수당!$B$14:$F$14,0)),0),0)</f>
        <v>0</v>
      </c>
      <c r="L1629" s="27">
        <f t="array" ref="L1629">IF($O1629="방문완료",IF($H1629="",0,IFERROR(INDEX(설정_코스수당!$B$15:$F$64,MATCH($H1629,설정_코스수당!$A$15:$A$64,0),MATCH($E1629&amp;"수당",설정_코스수당!$B$14:$F$14,0)),0)),0)</f>
        <v>0</v>
      </c>
      <c r="M1629" s="27">
        <f>IF($O1629="방문완료",IFERROR(VLOOKUP($E1629,설정_코스수당!$A$6:$H$10,6,FALSE),0),0)</f>
        <v>0</v>
      </c>
      <c r="N1629" s="28">
        <f t="shared" si="47"/>
        <v>0</v>
      </c>
      <c r="O1629" s="23"/>
      <c r="P1629" s="23"/>
      <c r="Q1629" s="23"/>
      <c r="R1629" s="26"/>
      <c r="S1629" s="23"/>
    </row>
    <row r="1630" spans="1:22" ht="19.5" hidden="1" customHeight="1" outlineLevel="1">
      <c r="A1630" s="29">
        <v>72</v>
      </c>
      <c r="B1630" s="30">
        <f>IF(16&lt;=DAY(DATE(YEAR(설정_코스수당!$K$2),MONTH(설정_코스수당!$K$2)+1,0)),DATE(YEAR(설정_코스수당!$K$2),MONTH(설정_코스수당!$K$2),16),"")</f>
        <v>46189</v>
      </c>
      <c r="C1630" s="31"/>
      <c r="D1630" s="29"/>
      <c r="E1630" s="29"/>
      <c r="F1630" s="32"/>
      <c r="G1630" s="29"/>
      <c r="H1630" s="29"/>
      <c r="I1630" s="29"/>
      <c r="J1630" s="33">
        <f>IF($O1630="방문완료",MAX(0,IFERROR(VLOOKUP($E1630,설정_코스수당!$A$6:$H$10,4,FALSE),0)-IF(OR($P1630="",$P1630="없음"),0,100000)),0)</f>
        <v>0</v>
      </c>
      <c r="K1630" s="33">
        <f t="array" ref="K1630">IF($O1630="방문완료",IFERROR(INDEX(설정_코스수당!$B$15:$F$64,MATCH($G1630,설정_코스수당!$A$15:$A$64,0),MATCH($E1630&amp;"수당",설정_코스수당!$B$14:$F$14,0)),0),0)</f>
        <v>0</v>
      </c>
      <c r="L1630" s="33">
        <f t="array" ref="L1630">IF($O1630="방문완료",IF($H1630="",0,IFERROR(INDEX(설정_코스수당!$B$15:$F$64,MATCH($H1630,설정_코스수당!$A$15:$A$64,0),MATCH($E1630&amp;"수당",설정_코스수당!$B$14:$F$14,0)),0)),0)</f>
        <v>0</v>
      </c>
      <c r="M1630" s="33">
        <f>IF($O1630="방문완료",IFERROR(VLOOKUP($E1630,설정_코스수당!$A$6:$H$10,6,FALSE),0),0)</f>
        <v>0</v>
      </c>
      <c r="N1630" s="34">
        <f t="shared" si="47"/>
        <v>0</v>
      </c>
      <c r="O1630" s="29"/>
      <c r="P1630" s="29"/>
      <c r="Q1630" s="29"/>
      <c r="R1630" s="32"/>
      <c r="S1630" s="29"/>
    </row>
    <row r="1631" spans="1:22" ht="19.5" hidden="1" customHeight="1" outlineLevel="1">
      <c r="A1631" s="23">
        <v>73</v>
      </c>
      <c r="B1631" s="24">
        <f>IF(16&lt;=DAY(DATE(YEAR(설정_코스수당!$K$2),MONTH(설정_코스수당!$K$2)+1,0)),DATE(YEAR(설정_코스수당!$K$2),MONTH(설정_코스수당!$K$2),16),"")</f>
        <v>46189</v>
      </c>
      <c r="C1631" s="25"/>
      <c r="D1631" s="23"/>
      <c r="E1631" s="23"/>
      <c r="F1631" s="26"/>
      <c r="G1631" s="23"/>
      <c r="H1631" s="23"/>
      <c r="I1631" s="23"/>
      <c r="J1631" s="27">
        <f>IF($O1631="방문완료",MAX(0,IFERROR(VLOOKUP($E1631,설정_코스수당!$A$6:$H$10,4,FALSE),0)-IF(OR($P1631="",$P1631="없음"),0,100000)),0)</f>
        <v>0</v>
      </c>
      <c r="K1631" s="27">
        <f t="array" ref="K1631">IF($O1631="방문완료",IFERROR(INDEX(설정_코스수당!$B$15:$F$64,MATCH($G1631,설정_코스수당!$A$15:$A$64,0),MATCH($E1631&amp;"수당",설정_코스수당!$B$14:$F$14,0)),0),0)</f>
        <v>0</v>
      </c>
      <c r="L1631" s="27">
        <f t="array" ref="L1631">IF($O1631="방문완료",IF($H1631="",0,IFERROR(INDEX(설정_코스수당!$B$15:$F$64,MATCH($H1631,설정_코스수당!$A$15:$A$64,0),MATCH($E1631&amp;"수당",설정_코스수당!$B$14:$F$14,0)),0)),0)</f>
        <v>0</v>
      </c>
      <c r="M1631" s="27">
        <f>IF($O1631="방문완료",IFERROR(VLOOKUP($E1631,설정_코스수당!$A$6:$H$10,6,FALSE),0),0)</f>
        <v>0</v>
      </c>
      <c r="N1631" s="28">
        <f t="shared" si="47"/>
        <v>0</v>
      </c>
      <c r="O1631" s="23"/>
      <c r="P1631" s="23"/>
      <c r="Q1631" s="23"/>
      <c r="R1631" s="26"/>
      <c r="S1631" s="23"/>
    </row>
    <row r="1632" spans="1:22" ht="19.5" hidden="1" customHeight="1" outlineLevel="1">
      <c r="A1632" s="29">
        <v>74</v>
      </c>
      <c r="B1632" s="30">
        <f>IF(16&lt;=DAY(DATE(YEAR(설정_코스수당!$K$2),MONTH(설정_코스수당!$K$2)+1,0)),DATE(YEAR(설정_코스수당!$K$2),MONTH(설정_코스수당!$K$2),16),"")</f>
        <v>46189</v>
      </c>
      <c r="C1632" s="31"/>
      <c r="D1632" s="29"/>
      <c r="E1632" s="29"/>
      <c r="F1632" s="32"/>
      <c r="G1632" s="29"/>
      <c r="H1632" s="29"/>
      <c r="I1632" s="29"/>
      <c r="J1632" s="33">
        <f>IF($O1632="방문완료",MAX(0,IFERROR(VLOOKUP($E1632,설정_코스수당!$A$6:$H$10,4,FALSE),0)-IF(OR($P1632="",$P1632="없음"),0,100000)),0)</f>
        <v>0</v>
      </c>
      <c r="K1632" s="33">
        <f t="array" ref="K1632">IF($O1632="방문완료",IFERROR(INDEX(설정_코스수당!$B$15:$F$64,MATCH($G1632,설정_코스수당!$A$15:$A$64,0),MATCH($E1632&amp;"수당",설정_코스수당!$B$14:$F$14,0)),0),0)</f>
        <v>0</v>
      </c>
      <c r="L1632" s="33">
        <f t="array" ref="L1632">IF($O1632="방문완료",IF($H1632="",0,IFERROR(INDEX(설정_코스수당!$B$15:$F$64,MATCH($H1632,설정_코스수당!$A$15:$A$64,0),MATCH($E1632&amp;"수당",설정_코스수당!$B$14:$F$14,0)),0)),0)</f>
        <v>0</v>
      </c>
      <c r="M1632" s="33">
        <f>IF($O1632="방문완료",IFERROR(VLOOKUP($E1632,설정_코스수당!$A$6:$H$10,6,FALSE),0),0)</f>
        <v>0</v>
      </c>
      <c r="N1632" s="34">
        <f t="shared" si="47"/>
        <v>0</v>
      </c>
      <c r="O1632" s="29"/>
      <c r="P1632" s="29"/>
      <c r="Q1632" s="29"/>
      <c r="R1632" s="32"/>
      <c r="S1632" s="29"/>
    </row>
    <row r="1633" spans="1:19" ht="19.5" hidden="1" customHeight="1" outlineLevel="1">
      <c r="A1633" s="23">
        <v>75</v>
      </c>
      <c r="B1633" s="24">
        <f>IF(16&lt;=DAY(DATE(YEAR(설정_코스수당!$K$2),MONTH(설정_코스수당!$K$2)+1,0)),DATE(YEAR(설정_코스수당!$K$2),MONTH(설정_코스수당!$K$2),16),"")</f>
        <v>46189</v>
      </c>
      <c r="C1633" s="25"/>
      <c r="D1633" s="23"/>
      <c r="E1633" s="23"/>
      <c r="F1633" s="26"/>
      <c r="G1633" s="23"/>
      <c r="H1633" s="23"/>
      <c r="I1633" s="23"/>
      <c r="J1633" s="27">
        <f>IF($O1633="방문완료",MAX(0,IFERROR(VLOOKUP($E1633,설정_코스수당!$A$6:$H$10,4,FALSE),0)-IF(OR($P1633="",$P1633="없음"),0,100000)),0)</f>
        <v>0</v>
      </c>
      <c r="K1633" s="27">
        <f t="array" ref="K1633">IF($O1633="방문완료",IFERROR(INDEX(설정_코스수당!$B$15:$F$64,MATCH($G1633,설정_코스수당!$A$15:$A$64,0),MATCH($E1633&amp;"수당",설정_코스수당!$B$14:$F$14,0)),0),0)</f>
        <v>0</v>
      </c>
      <c r="L1633" s="27">
        <f t="array" ref="L1633">IF($O1633="방문완료",IF($H1633="",0,IFERROR(INDEX(설정_코스수당!$B$15:$F$64,MATCH($H1633,설정_코스수당!$A$15:$A$64,0),MATCH($E1633&amp;"수당",설정_코스수당!$B$14:$F$14,0)),0)),0)</f>
        <v>0</v>
      </c>
      <c r="M1633" s="27">
        <f>IF($O1633="방문완료",IFERROR(VLOOKUP($E1633,설정_코스수당!$A$6:$H$10,6,FALSE),0),0)</f>
        <v>0</v>
      </c>
      <c r="N1633" s="28">
        <f t="shared" si="47"/>
        <v>0</v>
      </c>
      <c r="O1633" s="23"/>
      <c r="P1633" s="23"/>
      <c r="Q1633" s="23"/>
      <c r="R1633" s="26"/>
      <c r="S1633" s="23"/>
    </row>
    <row r="1634" spans="1:19" ht="19.5" hidden="1" customHeight="1" outlineLevel="1">
      <c r="A1634" s="29">
        <v>76</v>
      </c>
      <c r="B1634" s="30">
        <f>IF(16&lt;=DAY(DATE(YEAR(설정_코스수당!$K$2),MONTH(설정_코스수당!$K$2)+1,0)),DATE(YEAR(설정_코스수당!$K$2),MONTH(설정_코스수당!$K$2),16),"")</f>
        <v>46189</v>
      </c>
      <c r="C1634" s="31"/>
      <c r="D1634" s="29"/>
      <c r="E1634" s="29"/>
      <c r="F1634" s="32"/>
      <c r="G1634" s="29"/>
      <c r="H1634" s="29"/>
      <c r="I1634" s="29"/>
      <c r="J1634" s="33">
        <f>IF($O1634="방문완료",MAX(0,IFERROR(VLOOKUP($E1634,설정_코스수당!$A$6:$H$10,4,FALSE),0)-IF(OR($P1634="",$P1634="없음"),0,100000)),0)</f>
        <v>0</v>
      </c>
      <c r="K1634" s="33">
        <f t="array" ref="K1634">IF($O1634="방문완료",IFERROR(INDEX(설정_코스수당!$B$15:$F$64,MATCH($G1634,설정_코스수당!$A$15:$A$64,0),MATCH($E1634&amp;"수당",설정_코스수당!$B$14:$F$14,0)),0),0)</f>
        <v>0</v>
      </c>
      <c r="L1634" s="33">
        <f t="array" ref="L1634">IF($O1634="방문완료",IF($H1634="",0,IFERROR(INDEX(설정_코스수당!$B$15:$F$64,MATCH($H1634,설정_코스수당!$A$15:$A$64,0),MATCH($E1634&amp;"수당",설정_코스수당!$B$14:$F$14,0)),0)),0)</f>
        <v>0</v>
      </c>
      <c r="M1634" s="33">
        <f>IF($O1634="방문완료",IFERROR(VLOOKUP($E1634,설정_코스수당!$A$6:$H$10,6,FALSE),0),0)</f>
        <v>0</v>
      </c>
      <c r="N1634" s="34">
        <f t="shared" si="47"/>
        <v>0</v>
      </c>
      <c r="O1634" s="29"/>
      <c r="P1634" s="29"/>
      <c r="Q1634" s="29"/>
      <c r="R1634" s="32"/>
      <c r="S1634" s="29"/>
    </row>
    <row r="1635" spans="1:19" ht="19.5" hidden="1" customHeight="1" outlineLevel="1">
      <c r="A1635" s="23">
        <v>77</v>
      </c>
      <c r="B1635" s="24">
        <f>IF(16&lt;=DAY(DATE(YEAR(설정_코스수당!$K$2),MONTH(설정_코스수당!$K$2)+1,0)),DATE(YEAR(설정_코스수당!$K$2),MONTH(설정_코스수당!$K$2),16),"")</f>
        <v>46189</v>
      </c>
      <c r="C1635" s="25"/>
      <c r="D1635" s="23"/>
      <c r="E1635" s="23"/>
      <c r="F1635" s="26"/>
      <c r="G1635" s="23"/>
      <c r="H1635" s="23"/>
      <c r="I1635" s="23"/>
      <c r="J1635" s="27">
        <f>IF($O1635="방문완료",MAX(0,IFERROR(VLOOKUP($E1635,설정_코스수당!$A$6:$H$10,4,FALSE),0)-IF(OR($P1635="",$P1635="없음"),0,100000)),0)</f>
        <v>0</v>
      </c>
      <c r="K1635" s="27">
        <f t="array" ref="K1635">IF($O1635="방문완료",IFERROR(INDEX(설정_코스수당!$B$15:$F$64,MATCH($G1635,설정_코스수당!$A$15:$A$64,0),MATCH($E1635&amp;"수당",설정_코스수당!$B$14:$F$14,0)),0),0)</f>
        <v>0</v>
      </c>
      <c r="L1635" s="27">
        <f t="array" ref="L1635">IF($O1635="방문완료",IF($H1635="",0,IFERROR(INDEX(설정_코스수당!$B$15:$F$64,MATCH($H1635,설정_코스수당!$A$15:$A$64,0),MATCH($E1635&amp;"수당",설정_코스수당!$B$14:$F$14,0)),0)),0)</f>
        <v>0</v>
      </c>
      <c r="M1635" s="27">
        <f>IF($O1635="방문완료",IFERROR(VLOOKUP($E1635,설정_코스수당!$A$6:$H$10,6,FALSE),0),0)</f>
        <v>0</v>
      </c>
      <c r="N1635" s="28">
        <f t="shared" si="47"/>
        <v>0</v>
      </c>
      <c r="O1635" s="23"/>
      <c r="P1635" s="23"/>
      <c r="Q1635" s="23"/>
      <c r="R1635" s="26"/>
      <c r="S1635" s="23"/>
    </row>
    <row r="1636" spans="1:19" ht="19.5" hidden="1" customHeight="1" outlineLevel="1">
      <c r="A1636" s="29">
        <v>78</v>
      </c>
      <c r="B1636" s="30">
        <f>IF(16&lt;=DAY(DATE(YEAR(설정_코스수당!$K$2),MONTH(설정_코스수당!$K$2)+1,0)),DATE(YEAR(설정_코스수당!$K$2),MONTH(설정_코스수당!$K$2),16),"")</f>
        <v>46189</v>
      </c>
      <c r="C1636" s="31"/>
      <c r="D1636" s="29"/>
      <c r="E1636" s="29"/>
      <c r="F1636" s="32"/>
      <c r="G1636" s="29"/>
      <c r="H1636" s="29"/>
      <c r="I1636" s="29"/>
      <c r="J1636" s="33">
        <f>IF($O1636="방문완료",MAX(0,IFERROR(VLOOKUP($E1636,설정_코스수당!$A$6:$H$10,4,FALSE),0)-IF(OR($P1636="",$P1636="없음"),0,100000)),0)</f>
        <v>0</v>
      </c>
      <c r="K1636" s="33">
        <f t="array" ref="K1636">IF($O1636="방문완료",IFERROR(INDEX(설정_코스수당!$B$15:$F$64,MATCH($G1636,설정_코스수당!$A$15:$A$64,0),MATCH($E1636&amp;"수당",설정_코스수당!$B$14:$F$14,0)),0),0)</f>
        <v>0</v>
      </c>
      <c r="L1636" s="33">
        <f t="array" ref="L1636">IF($O1636="방문완료",IF($H1636="",0,IFERROR(INDEX(설정_코스수당!$B$15:$F$64,MATCH($H1636,설정_코스수당!$A$15:$A$64,0),MATCH($E1636&amp;"수당",설정_코스수당!$B$14:$F$14,0)),0)),0)</f>
        <v>0</v>
      </c>
      <c r="M1636" s="33">
        <f>IF($O1636="방문완료",IFERROR(VLOOKUP($E1636,설정_코스수당!$A$6:$H$10,6,FALSE),0),0)</f>
        <v>0</v>
      </c>
      <c r="N1636" s="34">
        <f t="shared" si="47"/>
        <v>0</v>
      </c>
      <c r="O1636" s="29"/>
      <c r="P1636" s="29"/>
      <c r="Q1636" s="29"/>
      <c r="R1636" s="32"/>
      <c r="S1636" s="29"/>
    </row>
    <row r="1637" spans="1:19" ht="19.5" hidden="1" customHeight="1" outlineLevel="1">
      <c r="A1637" s="23">
        <v>79</v>
      </c>
      <c r="B1637" s="24">
        <f>IF(16&lt;=DAY(DATE(YEAR(설정_코스수당!$K$2),MONTH(설정_코스수당!$K$2)+1,0)),DATE(YEAR(설정_코스수당!$K$2),MONTH(설정_코스수당!$K$2),16),"")</f>
        <v>46189</v>
      </c>
      <c r="C1637" s="25"/>
      <c r="D1637" s="23"/>
      <c r="E1637" s="23"/>
      <c r="F1637" s="26"/>
      <c r="G1637" s="23"/>
      <c r="H1637" s="23"/>
      <c r="I1637" s="23"/>
      <c r="J1637" s="27">
        <f>IF($O1637="방문완료",MAX(0,IFERROR(VLOOKUP($E1637,설정_코스수당!$A$6:$H$10,4,FALSE),0)-IF(OR($P1637="",$P1637="없음"),0,100000)),0)</f>
        <v>0</v>
      </c>
      <c r="K1637" s="27">
        <f t="array" ref="K1637">IF($O1637="방문완료",IFERROR(INDEX(설정_코스수당!$B$15:$F$64,MATCH($G1637,설정_코스수당!$A$15:$A$64,0),MATCH($E1637&amp;"수당",설정_코스수당!$B$14:$F$14,0)),0),0)</f>
        <v>0</v>
      </c>
      <c r="L1637" s="27">
        <f t="array" ref="L1637">IF($O1637="방문완료",IF($H1637="",0,IFERROR(INDEX(설정_코스수당!$B$15:$F$64,MATCH($H1637,설정_코스수당!$A$15:$A$64,0),MATCH($E1637&amp;"수당",설정_코스수당!$B$14:$F$14,0)),0)),0)</f>
        <v>0</v>
      </c>
      <c r="M1637" s="27">
        <f>IF($O1637="방문완료",IFERROR(VLOOKUP($E1637,설정_코스수당!$A$6:$H$10,6,FALSE),0),0)</f>
        <v>0</v>
      </c>
      <c r="N1637" s="28">
        <f t="shared" si="47"/>
        <v>0</v>
      </c>
      <c r="O1637" s="23"/>
      <c r="P1637" s="23"/>
      <c r="Q1637" s="23"/>
      <c r="R1637" s="26"/>
      <c r="S1637" s="23"/>
    </row>
    <row r="1638" spans="1:19" ht="19.5" hidden="1" customHeight="1" outlineLevel="1">
      <c r="A1638" s="29">
        <v>80</v>
      </c>
      <c r="B1638" s="30">
        <f>IF(16&lt;=DAY(DATE(YEAR(설정_코스수당!$K$2),MONTH(설정_코스수당!$K$2)+1,0)),DATE(YEAR(설정_코스수당!$K$2),MONTH(설정_코스수당!$K$2),16),"")</f>
        <v>46189</v>
      </c>
      <c r="C1638" s="31"/>
      <c r="D1638" s="29"/>
      <c r="E1638" s="29"/>
      <c r="F1638" s="32"/>
      <c r="G1638" s="29"/>
      <c r="H1638" s="29"/>
      <c r="I1638" s="29"/>
      <c r="J1638" s="33">
        <f>IF($O1638="방문완료",MAX(0,IFERROR(VLOOKUP($E1638,설정_코스수당!$A$6:$H$10,4,FALSE),0)-IF(OR($P1638="",$P1638="없음"),0,100000)),0)</f>
        <v>0</v>
      </c>
      <c r="K1638" s="33">
        <f t="array" ref="K1638">IF($O1638="방문완료",IFERROR(INDEX(설정_코스수당!$B$15:$F$64,MATCH($G1638,설정_코스수당!$A$15:$A$64,0),MATCH($E1638&amp;"수당",설정_코스수당!$B$14:$F$14,0)),0),0)</f>
        <v>0</v>
      </c>
      <c r="L1638" s="33">
        <f t="array" ref="L1638">IF($O1638="방문완료",IF($H1638="",0,IFERROR(INDEX(설정_코스수당!$B$15:$F$64,MATCH($H1638,설정_코스수당!$A$15:$A$64,0),MATCH($E1638&amp;"수당",설정_코스수당!$B$14:$F$14,0)),0)),0)</f>
        <v>0</v>
      </c>
      <c r="M1638" s="33">
        <f>IF($O1638="방문완료",IFERROR(VLOOKUP($E1638,설정_코스수당!$A$6:$H$10,6,FALSE),0),0)</f>
        <v>0</v>
      </c>
      <c r="N1638" s="34">
        <f t="shared" si="47"/>
        <v>0</v>
      </c>
      <c r="O1638" s="29"/>
      <c r="P1638" s="29"/>
      <c r="Q1638" s="29"/>
      <c r="R1638" s="32"/>
      <c r="S1638" s="29"/>
    </row>
    <row r="1639" spans="1:19" ht="19.5" hidden="1" customHeight="1" outlineLevel="1">
      <c r="A1639" s="23">
        <v>81</v>
      </c>
      <c r="B1639" s="24">
        <f>IF(16&lt;=DAY(DATE(YEAR(설정_코스수당!$K$2),MONTH(설정_코스수당!$K$2)+1,0)),DATE(YEAR(설정_코스수당!$K$2),MONTH(설정_코스수당!$K$2),16),"")</f>
        <v>46189</v>
      </c>
      <c r="C1639" s="25"/>
      <c r="D1639" s="23"/>
      <c r="E1639" s="23"/>
      <c r="F1639" s="26"/>
      <c r="G1639" s="23"/>
      <c r="H1639" s="23"/>
      <c r="I1639" s="23"/>
      <c r="J1639" s="27">
        <f>IF($O1639="방문완료",MAX(0,IFERROR(VLOOKUP($E1639,설정_코스수당!$A$6:$H$10,4,FALSE),0)-IF(OR($P1639="",$P1639="없음"),0,100000)),0)</f>
        <v>0</v>
      </c>
      <c r="K1639" s="27">
        <f t="array" ref="K1639">IF($O1639="방문완료",IFERROR(INDEX(설정_코스수당!$B$15:$F$64,MATCH($G1639,설정_코스수당!$A$15:$A$64,0),MATCH($E1639&amp;"수당",설정_코스수당!$B$14:$F$14,0)),0),0)</f>
        <v>0</v>
      </c>
      <c r="L1639" s="27">
        <f t="array" ref="L1639">IF($O1639="방문완료",IF($H1639="",0,IFERROR(INDEX(설정_코스수당!$B$15:$F$64,MATCH($H1639,설정_코스수당!$A$15:$A$64,0),MATCH($E1639&amp;"수당",설정_코스수당!$B$14:$F$14,0)),0)),0)</f>
        <v>0</v>
      </c>
      <c r="M1639" s="27">
        <f>IF($O1639="방문완료",IFERROR(VLOOKUP($E1639,설정_코스수당!$A$6:$H$10,6,FALSE),0),0)</f>
        <v>0</v>
      </c>
      <c r="N1639" s="28">
        <f t="shared" si="47"/>
        <v>0</v>
      </c>
      <c r="O1639" s="23"/>
      <c r="P1639" s="23"/>
      <c r="Q1639" s="23"/>
      <c r="R1639" s="26"/>
      <c r="S1639" s="23"/>
    </row>
    <row r="1640" spans="1:19" ht="19.5" hidden="1" customHeight="1" outlineLevel="1">
      <c r="A1640" s="29">
        <v>82</v>
      </c>
      <c r="B1640" s="30">
        <f>IF(16&lt;=DAY(DATE(YEAR(설정_코스수당!$K$2),MONTH(설정_코스수당!$K$2)+1,0)),DATE(YEAR(설정_코스수당!$K$2),MONTH(설정_코스수당!$K$2),16),"")</f>
        <v>46189</v>
      </c>
      <c r="C1640" s="31"/>
      <c r="D1640" s="29"/>
      <c r="E1640" s="29"/>
      <c r="F1640" s="32"/>
      <c r="G1640" s="29"/>
      <c r="H1640" s="29"/>
      <c r="I1640" s="29"/>
      <c r="J1640" s="33">
        <f>IF($O1640="방문완료",MAX(0,IFERROR(VLOOKUP($E1640,설정_코스수당!$A$6:$H$10,4,FALSE),0)-IF(OR($P1640="",$P1640="없음"),0,100000)),0)</f>
        <v>0</v>
      </c>
      <c r="K1640" s="33">
        <f t="array" ref="K1640">IF($O1640="방문완료",IFERROR(INDEX(설정_코스수당!$B$15:$F$64,MATCH($G1640,설정_코스수당!$A$15:$A$64,0),MATCH($E1640&amp;"수당",설정_코스수당!$B$14:$F$14,0)),0),0)</f>
        <v>0</v>
      </c>
      <c r="L1640" s="33">
        <f t="array" ref="L1640">IF($O1640="방문완료",IF($H1640="",0,IFERROR(INDEX(설정_코스수당!$B$15:$F$64,MATCH($H1640,설정_코스수당!$A$15:$A$64,0),MATCH($E1640&amp;"수당",설정_코스수당!$B$14:$F$14,0)),0)),0)</f>
        <v>0</v>
      </c>
      <c r="M1640" s="33">
        <f>IF($O1640="방문완료",IFERROR(VLOOKUP($E1640,설정_코스수당!$A$6:$H$10,6,FALSE),0),0)</f>
        <v>0</v>
      </c>
      <c r="N1640" s="34">
        <f t="shared" si="47"/>
        <v>0</v>
      </c>
      <c r="O1640" s="29"/>
      <c r="P1640" s="29"/>
      <c r="Q1640" s="29"/>
      <c r="R1640" s="32"/>
      <c r="S1640" s="29"/>
    </row>
    <row r="1641" spans="1:19" ht="19.5" hidden="1" customHeight="1" outlineLevel="1">
      <c r="A1641" s="23">
        <v>83</v>
      </c>
      <c r="B1641" s="24">
        <f>IF(16&lt;=DAY(DATE(YEAR(설정_코스수당!$K$2),MONTH(설정_코스수당!$K$2)+1,0)),DATE(YEAR(설정_코스수당!$K$2),MONTH(설정_코스수당!$K$2),16),"")</f>
        <v>46189</v>
      </c>
      <c r="C1641" s="25"/>
      <c r="D1641" s="23"/>
      <c r="E1641" s="23"/>
      <c r="F1641" s="26"/>
      <c r="G1641" s="23"/>
      <c r="H1641" s="23"/>
      <c r="I1641" s="23"/>
      <c r="J1641" s="27">
        <f>IF($O1641="방문완료",MAX(0,IFERROR(VLOOKUP($E1641,설정_코스수당!$A$6:$H$10,4,FALSE),0)-IF(OR($P1641="",$P1641="없음"),0,100000)),0)</f>
        <v>0</v>
      </c>
      <c r="K1641" s="27">
        <f t="array" ref="K1641">IF($O1641="방문완료",IFERROR(INDEX(설정_코스수당!$B$15:$F$64,MATCH($G1641,설정_코스수당!$A$15:$A$64,0),MATCH($E1641&amp;"수당",설정_코스수당!$B$14:$F$14,0)),0),0)</f>
        <v>0</v>
      </c>
      <c r="L1641" s="27">
        <f t="array" ref="L1641">IF($O1641="방문완료",IF($H1641="",0,IFERROR(INDEX(설정_코스수당!$B$15:$F$64,MATCH($H1641,설정_코스수당!$A$15:$A$64,0),MATCH($E1641&amp;"수당",설정_코스수당!$B$14:$F$14,0)),0)),0)</f>
        <v>0</v>
      </c>
      <c r="M1641" s="27">
        <f>IF($O1641="방문완료",IFERROR(VLOOKUP($E1641,설정_코스수당!$A$6:$H$10,6,FALSE),0),0)</f>
        <v>0</v>
      </c>
      <c r="N1641" s="28">
        <f t="shared" si="47"/>
        <v>0</v>
      </c>
      <c r="O1641" s="23"/>
      <c r="P1641" s="23"/>
      <c r="Q1641" s="23"/>
      <c r="R1641" s="26"/>
      <c r="S1641" s="23"/>
    </row>
    <row r="1642" spans="1:19" ht="19.5" hidden="1" customHeight="1" outlineLevel="1">
      <c r="A1642" s="29">
        <v>84</v>
      </c>
      <c r="B1642" s="30">
        <f>IF(16&lt;=DAY(DATE(YEAR(설정_코스수당!$K$2),MONTH(설정_코스수당!$K$2)+1,0)),DATE(YEAR(설정_코스수당!$K$2),MONTH(설정_코스수당!$K$2),16),"")</f>
        <v>46189</v>
      </c>
      <c r="C1642" s="31"/>
      <c r="D1642" s="29"/>
      <c r="E1642" s="29"/>
      <c r="F1642" s="32"/>
      <c r="G1642" s="29"/>
      <c r="H1642" s="29"/>
      <c r="I1642" s="29"/>
      <c r="J1642" s="33">
        <f>IF($O1642="방문완료",MAX(0,IFERROR(VLOOKUP($E1642,설정_코스수당!$A$6:$H$10,4,FALSE),0)-IF(OR($P1642="",$P1642="없음"),0,100000)),0)</f>
        <v>0</v>
      </c>
      <c r="K1642" s="33">
        <f t="array" ref="K1642">IF($O1642="방문완료",IFERROR(INDEX(설정_코스수당!$B$15:$F$64,MATCH($G1642,설정_코스수당!$A$15:$A$64,0),MATCH($E1642&amp;"수당",설정_코스수당!$B$14:$F$14,0)),0),0)</f>
        <v>0</v>
      </c>
      <c r="L1642" s="33">
        <f t="array" ref="L1642">IF($O1642="방문완료",IF($H1642="",0,IFERROR(INDEX(설정_코스수당!$B$15:$F$64,MATCH($H1642,설정_코스수당!$A$15:$A$64,0),MATCH($E1642&amp;"수당",설정_코스수당!$B$14:$F$14,0)),0)),0)</f>
        <v>0</v>
      </c>
      <c r="M1642" s="33">
        <f>IF($O1642="방문완료",IFERROR(VLOOKUP($E1642,설정_코스수당!$A$6:$H$10,6,FALSE),0),0)</f>
        <v>0</v>
      </c>
      <c r="N1642" s="34">
        <f t="shared" si="47"/>
        <v>0</v>
      </c>
      <c r="O1642" s="29"/>
      <c r="P1642" s="29"/>
      <c r="Q1642" s="29"/>
      <c r="R1642" s="32"/>
      <c r="S1642" s="29"/>
    </row>
    <row r="1643" spans="1:19" ht="19.5" hidden="1" customHeight="1" outlineLevel="1">
      <c r="A1643" s="23">
        <v>85</v>
      </c>
      <c r="B1643" s="24">
        <f>IF(16&lt;=DAY(DATE(YEAR(설정_코스수당!$K$2),MONTH(설정_코스수당!$K$2)+1,0)),DATE(YEAR(설정_코스수당!$K$2),MONTH(설정_코스수당!$K$2),16),"")</f>
        <v>46189</v>
      </c>
      <c r="C1643" s="25"/>
      <c r="D1643" s="23"/>
      <c r="E1643" s="23"/>
      <c r="F1643" s="26"/>
      <c r="G1643" s="23"/>
      <c r="H1643" s="23"/>
      <c r="I1643" s="23"/>
      <c r="J1643" s="27">
        <f>IF($O1643="방문완료",MAX(0,IFERROR(VLOOKUP($E1643,설정_코스수당!$A$6:$H$10,4,FALSE),0)-IF(OR($P1643="",$P1643="없음"),0,100000)),0)</f>
        <v>0</v>
      </c>
      <c r="K1643" s="27">
        <f t="array" ref="K1643">IF($O1643="방문완료",IFERROR(INDEX(설정_코스수당!$B$15:$F$64,MATCH($G1643,설정_코스수당!$A$15:$A$64,0),MATCH($E1643&amp;"수당",설정_코스수당!$B$14:$F$14,0)),0),0)</f>
        <v>0</v>
      </c>
      <c r="L1643" s="27">
        <f t="array" ref="L1643">IF($O1643="방문완료",IF($H1643="",0,IFERROR(INDEX(설정_코스수당!$B$15:$F$64,MATCH($H1643,설정_코스수당!$A$15:$A$64,0),MATCH($E1643&amp;"수당",설정_코스수당!$B$14:$F$14,0)),0)),0)</f>
        <v>0</v>
      </c>
      <c r="M1643" s="27">
        <f>IF($O1643="방문완료",IFERROR(VLOOKUP($E1643,설정_코스수당!$A$6:$H$10,6,FALSE),0),0)</f>
        <v>0</v>
      </c>
      <c r="N1643" s="28">
        <f t="shared" si="47"/>
        <v>0</v>
      </c>
      <c r="O1643" s="23"/>
      <c r="P1643" s="23"/>
      <c r="Q1643" s="23"/>
      <c r="R1643" s="26"/>
      <c r="S1643" s="23"/>
    </row>
    <row r="1644" spans="1:19" ht="19.5" hidden="1" customHeight="1" outlineLevel="1">
      <c r="A1644" s="29">
        <v>86</v>
      </c>
      <c r="B1644" s="30">
        <f>IF(16&lt;=DAY(DATE(YEAR(설정_코스수당!$K$2),MONTH(설정_코스수당!$K$2)+1,0)),DATE(YEAR(설정_코스수당!$K$2),MONTH(설정_코스수당!$K$2),16),"")</f>
        <v>46189</v>
      </c>
      <c r="C1644" s="31"/>
      <c r="D1644" s="29"/>
      <c r="E1644" s="29"/>
      <c r="F1644" s="32"/>
      <c r="G1644" s="29"/>
      <c r="H1644" s="29"/>
      <c r="I1644" s="29"/>
      <c r="J1644" s="33">
        <f>IF($O1644="방문완료",MAX(0,IFERROR(VLOOKUP($E1644,설정_코스수당!$A$6:$H$10,4,FALSE),0)-IF(OR($P1644="",$P1644="없음"),0,100000)),0)</f>
        <v>0</v>
      </c>
      <c r="K1644" s="33">
        <f t="array" ref="K1644">IF($O1644="방문완료",IFERROR(INDEX(설정_코스수당!$B$15:$F$64,MATCH($G1644,설정_코스수당!$A$15:$A$64,0),MATCH($E1644&amp;"수당",설정_코스수당!$B$14:$F$14,0)),0),0)</f>
        <v>0</v>
      </c>
      <c r="L1644" s="33">
        <f t="array" ref="L1644">IF($O1644="방문완료",IF($H1644="",0,IFERROR(INDEX(설정_코스수당!$B$15:$F$64,MATCH($H1644,설정_코스수당!$A$15:$A$64,0),MATCH($E1644&amp;"수당",설정_코스수당!$B$14:$F$14,0)),0)),0)</f>
        <v>0</v>
      </c>
      <c r="M1644" s="33">
        <f>IF($O1644="방문완료",IFERROR(VLOOKUP($E1644,설정_코스수당!$A$6:$H$10,6,FALSE),0),0)</f>
        <v>0</v>
      </c>
      <c r="N1644" s="34">
        <f t="shared" si="47"/>
        <v>0</v>
      </c>
      <c r="O1644" s="29"/>
      <c r="P1644" s="29"/>
      <c r="Q1644" s="29"/>
      <c r="R1644" s="32"/>
      <c r="S1644" s="29"/>
    </row>
    <row r="1645" spans="1:19" ht="19.5" hidden="1" customHeight="1" outlineLevel="1">
      <c r="A1645" s="23">
        <v>87</v>
      </c>
      <c r="B1645" s="24">
        <f>IF(16&lt;=DAY(DATE(YEAR(설정_코스수당!$K$2),MONTH(설정_코스수당!$K$2)+1,0)),DATE(YEAR(설정_코스수당!$K$2),MONTH(설정_코스수당!$K$2),16),"")</f>
        <v>46189</v>
      </c>
      <c r="C1645" s="25"/>
      <c r="D1645" s="23"/>
      <c r="E1645" s="23"/>
      <c r="F1645" s="26"/>
      <c r="G1645" s="23"/>
      <c r="H1645" s="23"/>
      <c r="I1645" s="23"/>
      <c r="J1645" s="27">
        <f>IF($O1645="방문완료",MAX(0,IFERROR(VLOOKUP($E1645,설정_코스수당!$A$6:$H$10,4,FALSE),0)-IF(OR($P1645="",$P1645="없음"),0,100000)),0)</f>
        <v>0</v>
      </c>
      <c r="K1645" s="27">
        <f t="array" ref="K1645">IF($O1645="방문완료",IFERROR(INDEX(설정_코스수당!$B$15:$F$64,MATCH($G1645,설정_코스수당!$A$15:$A$64,0),MATCH($E1645&amp;"수당",설정_코스수당!$B$14:$F$14,0)),0),0)</f>
        <v>0</v>
      </c>
      <c r="L1645" s="27">
        <f t="array" ref="L1645">IF($O1645="방문완료",IF($H1645="",0,IFERROR(INDEX(설정_코스수당!$B$15:$F$64,MATCH($H1645,설정_코스수당!$A$15:$A$64,0),MATCH($E1645&amp;"수당",설정_코스수당!$B$14:$F$14,0)),0)),0)</f>
        <v>0</v>
      </c>
      <c r="M1645" s="27">
        <f>IF($O1645="방문완료",IFERROR(VLOOKUP($E1645,설정_코스수당!$A$6:$H$10,6,FALSE),0),0)</f>
        <v>0</v>
      </c>
      <c r="N1645" s="28">
        <f t="shared" si="47"/>
        <v>0</v>
      </c>
      <c r="O1645" s="23"/>
      <c r="P1645" s="23"/>
      <c r="Q1645" s="23"/>
      <c r="R1645" s="26"/>
      <c r="S1645" s="23"/>
    </row>
    <row r="1646" spans="1:19" ht="19.5" hidden="1" customHeight="1" outlineLevel="1">
      <c r="A1646" s="29">
        <v>88</v>
      </c>
      <c r="B1646" s="30">
        <f>IF(16&lt;=DAY(DATE(YEAR(설정_코스수당!$K$2),MONTH(설정_코스수당!$K$2)+1,0)),DATE(YEAR(설정_코스수당!$K$2),MONTH(설정_코스수당!$K$2),16),"")</f>
        <v>46189</v>
      </c>
      <c r="C1646" s="31"/>
      <c r="D1646" s="29"/>
      <c r="E1646" s="29"/>
      <c r="F1646" s="32"/>
      <c r="G1646" s="29"/>
      <c r="H1646" s="29"/>
      <c r="I1646" s="29"/>
      <c r="J1646" s="33">
        <f>IF($O1646="방문완료",MAX(0,IFERROR(VLOOKUP($E1646,설정_코스수당!$A$6:$H$10,4,FALSE),0)-IF(OR($P1646="",$P1646="없음"),0,100000)),0)</f>
        <v>0</v>
      </c>
      <c r="K1646" s="33">
        <f t="array" ref="K1646">IF($O1646="방문완료",IFERROR(INDEX(설정_코스수당!$B$15:$F$64,MATCH($G1646,설정_코스수당!$A$15:$A$64,0),MATCH($E1646&amp;"수당",설정_코스수당!$B$14:$F$14,0)),0),0)</f>
        <v>0</v>
      </c>
      <c r="L1646" s="33">
        <f t="array" ref="L1646">IF($O1646="방문완료",IF($H1646="",0,IFERROR(INDEX(설정_코스수당!$B$15:$F$64,MATCH($H1646,설정_코스수당!$A$15:$A$64,0),MATCH($E1646&amp;"수당",설정_코스수당!$B$14:$F$14,0)),0)),0)</f>
        <v>0</v>
      </c>
      <c r="M1646" s="33">
        <f>IF($O1646="방문완료",IFERROR(VLOOKUP($E1646,설정_코스수당!$A$6:$H$10,6,FALSE),0),0)</f>
        <v>0</v>
      </c>
      <c r="N1646" s="34">
        <f t="shared" si="47"/>
        <v>0</v>
      </c>
      <c r="O1646" s="29"/>
      <c r="P1646" s="29"/>
      <c r="Q1646" s="29"/>
      <c r="R1646" s="32"/>
      <c r="S1646" s="29"/>
    </row>
    <row r="1647" spans="1:19" ht="19.5" hidden="1" customHeight="1" outlineLevel="1">
      <c r="A1647" s="23">
        <v>89</v>
      </c>
      <c r="B1647" s="24">
        <f>IF(16&lt;=DAY(DATE(YEAR(설정_코스수당!$K$2),MONTH(설정_코스수당!$K$2)+1,0)),DATE(YEAR(설정_코스수당!$K$2),MONTH(설정_코스수당!$K$2),16),"")</f>
        <v>46189</v>
      </c>
      <c r="C1647" s="25"/>
      <c r="D1647" s="23"/>
      <c r="E1647" s="23"/>
      <c r="F1647" s="26"/>
      <c r="G1647" s="23"/>
      <c r="H1647" s="23"/>
      <c r="I1647" s="23"/>
      <c r="J1647" s="27">
        <f>IF($O1647="방문완료",MAX(0,IFERROR(VLOOKUP($E1647,설정_코스수당!$A$6:$H$10,4,FALSE),0)-IF(OR($P1647="",$P1647="없음"),0,100000)),0)</f>
        <v>0</v>
      </c>
      <c r="K1647" s="27">
        <f t="array" ref="K1647">IF($O1647="방문완료",IFERROR(INDEX(설정_코스수당!$B$15:$F$64,MATCH($G1647,설정_코스수당!$A$15:$A$64,0),MATCH($E1647&amp;"수당",설정_코스수당!$B$14:$F$14,0)),0),0)</f>
        <v>0</v>
      </c>
      <c r="L1647" s="27">
        <f t="array" ref="L1647">IF($O1647="방문완료",IF($H1647="",0,IFERROR(INDEX(설정_코스수당!$B$15:$F$64,MATCH($H1647,설정_코스수당!$A$15:$A$64,0),MATCH($E1647&amp;"수당",설정_코스수당!$B$14:$F$14,0)),0)),0)</f>
        <v>0</v>
      </c>
      <c r="M1647" s="27">
        <f>IF($O1647="방문완료",IFERROR(VLOOKUP($E1647,설정_코스수당!$A$6:$H$10,6,FALSE),0),0)</f>
        <v>0</v>
      </c>
      <c r="N1647" s="28">
        <f t="shared" si="47"/>
        <v>0</v>
      </c>
      <c r="O1647" s="23"/>
      <c r="P1647" s="23"/>
      <c r="Q1647" s="23"/>
      <c r="R1647" s="26"/>
      <c r="S1647" s="23"/>
    </row>
    <row r="1648" spans="1:19" ht="19.5" hidden="1" customHeight="1" outlineLevel="1">
      <c r="A1648" s="29">
        <v>90</v>
      </c>
      <c r="B1648" s="30">
        <f>IF(16&lt;=DAY(DATE(YEAR(설정_코스수당!$K$2),MONTH(설정_코스수당!$K$2)+1,0)),DATE(YEAR(설정_코스수당!$K$2),MONTH(설정_코스수당!$K$2),16),"")</f>
        <v>46189</v>
      </c>
      <c r="C1648" s="31"/>
      <c r="D1648" s="29"/>
      <c r="E1648" s="29"/>
      <c r="F1648" s="32"/>
      <c r="G1648" s="29"/>
      <c r="H1648" s="29"/>
      <c r="I1648" s="29"/>
      <c r="J1648" s="33">
        <f>IF($O1648="방문완료",MAX(0,IFERROR(VLOOKUP($E1648,설정_코스수당!$A$6:$H$10,4,FALSE),0)-IF(OR($P1648="",$P1648="없음"),0,100000)),0)</f>
        <v>0</v>
      </c>
      <c r="K1648" s="33">
        <f t="array" ref="K1648">IF($O1648="방문완료",IFERROR(INDEX(설정_코스수당!$B$15:$F$64,MATCH($G1648,설정_코스수당!$A$15:$A$64,0),MATCH($E1648&amp;"수당",설정_코스수당!$B$14:$F$14,0)),0),0)</f>
        <v>0</v>
      </c>
      <c r="L1648" s="33">
        <f t="array" ref="L1648">IF($O1648="방문완료",IF($H1648="",0,IFERROR(INDEX(설정_코스수당!$B$15:$F$64,MATCH($H1648,설정_코스수당!$A$15:$A$64,0),MATCH($E1648&amp;"수당",설정_코스수당!$B$14:$F$14,0)),0)),0)</f>
        <v>0</v>
      </c>
      <c r="M1648" s="33">
        <f>IF($O1648="방문완료",IFERROR(VLOOKUP($E1648,설정_코스수당!$A$6:$H$10,6,FALSE),0),0)</f>
        <v>0</v>
      </c>
      <c r="N1648" s="34">
        <f t="shared" si="47"/>
        <v>0</v>
      </c>
      <c r="O1648" s="29"/>
      <c r="P1648" s="29"/>
      <c r="Q1648" s="29"/>
      <c r="R1648" s="32"/>
      <c r="S1648" s="29"/>
    </row>
    <row r="1649" spans="1:27" ht="19.5" hidden="1" customHeight="1" outlineLevel="1">
      <c r="A1649" s="23">
        <v>91</v>
      </c>
      <c r="B1649" s="24">
        <f>IF(16&lt;=DAY(DATE(YEAR(설정_코스수당!$K$2),MONTH(설정_코스수당!$K$2)+1,0)),DATE(YEAR(설정_코스수당!$K$2),MONTH(설정_코스수당!$K$2),16),"")</f>
        <v>46189</v>
      </c>
      <c r="C1649" s="25"/>
      <c r="D1649" s="23"/>
      <c r="E1649" s="23"/>
      <c r="F1649" s="26"/>
      <c r="G1649" s="23"/>
      <c r="H1649" s="23"/>
      <c r="I1649" s="23"/>
      <c r="J1649" s="27">
        <f>IF($O1649="방문완료",MAX(0,IFERROR(VLOOKUP($E1649,설정_코스수당!$A$6:$H$10,4,FALSE),0)-IF(OR($P1649="",$P1649="없음"),0,100000)),0)</f>
        <v>0</v>
      </c>
      <c r="K1649" s="27">
        <f t="array" ref="K1649">IF($O1649="방문완료",IFERROR(INDEX(설정_코스수당!$B$15:$F$64,MATCH($G1649,설정_코스수당!$A$15:$A$64,0),MATCH($E1649&amp;"수당",설정_코스수당!$B$14:$F$14,0)),0),0)</f>
        <v>0</v>
      </c>
      <c r="L1649" s="27">
        <f t="array" ref="L1649">IF($O1649="방문완료",IF($H1649="",0,IFERROR(INDEX(설정_코스수당!$B$15:$F$64,MATCH($H1649,설정_코스수당!$A$15:$A$64,0),MATCH($E1649&amp;"수당",설정_코스수당!$B$14:$F$14,0)),0)),0)</f>
        <v>0</v>
      </c>
      <c r="M1649" s="27">
        <f>IF($O1649="방문완료",IFERROR(VLOOKUP($E1649,설정_코스수당!$A$6:$H$10,6,FALSE),0),0)</f>
        <v>0</v>
      </c>
      <c r="N1649" s="28">
        <f t="shared" si="47"/>
        <v>0</v>
      </c>
      <c r="O1649" s="23"/>
      <c r="P1649" s="23"/>
      <c r="Q1649" s="23"/>
      <c r="R1649" s="26"/>
      <c r="S1649" s="23"/>
    </row>
    <row r="1650" spans="1:27" ht="19.5" hidden="1" customHeight="1" outlineLevel="1">
      <c r="A1650" s="29">
        <v>92</v>
      </c>
      <c r="B1650" s="30">
        <f>IF(16&lt;=DAY(DATE(YEAR(설정_코스수당!$K$2),MONTH(설정_코스수당!$K$2)+1,0)),DATE(YEAR(설정_코스수당!$K$2),MONTH(설정_코스수당!$K$2),16),"")</f>
        <v>46189</v>
      </c>
      <c r="C1650" s="31"/>
      <c r="D1650" s="29"/>
      <c r="E1650" s="29"/>
      <c r="F1650" s="32"/>
      <c r="G1650" s="29"/>
      <c r="H1650" s="29"/>
      <c r="I1650" s="29"/>
      <c r="J1650" s="33">
        <f>IF($O1650="방문완료",MAX(0,IFERROR(VLOOKUP($E1650,설정_코스수당!$A$6:$H$10,4,FALSE),0)-IF(OR($P1650="",$P1650="없음"),0,100000)),0)</f>
        <v>0</v>
      </c>
      <c r="K1650" s="33">
        <f t="array" ref="K1650">IF($O1650="방문완료",IFERROR(INDEX(설정_코스수당!$B$15:$F$64,MATCH($G1650,설정_코스수당!$A$15:$A$64,0),MATCH($E1650&amp;"수당",설정_코스수당!$B$14:$F$14,0)),0),0)</f>
        <v>0</v>
      </c>
      <c r="L1650" s="33">
        <f t="array" ref="L1650">IF($O1650="방문완료",IF($H1650="",0,IFERROR(INDEX(설정_코스수당!$B$15:$F$64,MATCH($H1650,설정_코스수당!$A$15:$A$64,0),MATCH($E1650&amp;"수당",설정_코스수당!$B$14:$F$14,0)),0)),0)</f>
        <v>0</v>
      </c>
      <c r="M1650" s="33">
        <f>IF($O1650="방문완료",IFERROR(VLOOKUP($E1650,설정_코스수당!$A$6:$H$10,6,FALSE),0),0)</f>
        <v>0</v>
      </c>
      <c r="N1650" s="34">
        <f t="shared" si="47"/>
        <v>0</v>
      </c>
      <c r="O1650" s="29"/>
      <c r="P1650" s="29"/>
      <c r="Q1650" s="29"/>
      <c r="R1650" s="32"/>
      <c r="S1650" s="29"/>
    </row>
    <row r="1651" spans="1:27" ht="19.5" hidden="1" customHeight="1" outlineLevel="1">
      <c r="A1651" s="23">
        <v>93</v>
      </c>
      <c r="B1651" s="24">
        <f>IF(16&lt;=DAY(DATE(YEAR(설정_코스수당!$K$2),MONTH(설정_코스수당!$K$2)+1,0)),DATE(YEAR(설정_코스수당!$K$2),MONTH(설정_코스수당!$K$2),16),"")</f>
        <v>46189</v>
      </c>
      <c r="C1651" s="25"/>
      <c r="D1651" s="23"/>
      <c r="E1651" s="23"/>
      <c r="F1651" s="26"/>
      <c r="G1651" s="23"/>
      <c r="H1651" s="23"/>
      <c r="I1651" s="23"/>
      <c r="J1651" s="27">
        <f>IF($O1651="방문완료",MAX(0,IFERROR(VLOOKUP($E1651,설정_코스수당!$A$6:$H$10,4,FALSE),0)-IF(OR($P1651="",$P1651="없음"),0,100000)),0)</f>
        <v>0</v>
      </c>
      <c r="K1651" s="27">
        <f t="array" ref="K1651">IF($O1651="방문완료",IFERROR(INDEX(설정_코스수당!$B$15:$F$64,MATCH($G1651,설정_코스수당!$A$15:$A$64,0),MATCH($E1651&amp;"수당",설정_코스수당!$B$14:$F$14,0)),0),0)</f>
        <v>0</v>
      </c>
      <c r="L1651" s="27">
        <f t="array" ref="L1651">IF($O1651="방문완료",IF($H1651="",0,IFERROR(INDEX(설정_코스수당!$B$15:$F$64,MATCH($H1651,설정_코스수당!$A$15:$A$64,0),MATCH($E1651&amp;"수당",설정_코스수당!$B$14:$F$14,0)),0)),0)</f>
        <v>0</v>
      </c>
      <c r="M1651" s="27">
        <f>IF($O1651="방문완료",IFERROR(VLOOKUP($E1651,설정_코스수당!$A$6:$H$10,6,FALSE),0),0)</f>
        <v>0</v>
      </c>
      <c r="N1651" s="28">
        <f t="shared" si="47"/>
        <v>0</v>
      </c>
      <c r="O1651" s="23"/>
      <c r="P1651" s="23"/>
      <c r="Q1651" s="23"/>
      <c r="R1651" s="26"/>
      <c r="S1651" s="23"/>
    </row>
    <row r="1652" spans="1:27" ht="19.5" hidden="1" customHeight="1" outlineLevel="1">
      <c r="A1652" s="29">
        <v>94</v>
      </c>
      <c r="B1652" s="30">
        <f>IF(16&lt;=DAY(DATE(YEAR(설정_코스수당!$K$2),MONTH(설정_코스수당!$K$2)+1,0)),DATE(YEAR(설정_코스수당!$K$2),MONTH(설정_코스수당!$K$2),16),"")</f>
        <v>46189</v>
      </c>
      <c r="C1652" s="31"/>
      <c r="D1652" s="29"/>
      <c r="E1652" s="29"/>
      <c r="F1652" s="32"/>
      <c r="G1652" s="29"/>
      <c r="H1652" s="29"/>
      <c r="I1652" s="29"/>
      <c r="J1652" s="33">
        <f>IF($O1652="방문완료",MAX(0,IFERROR(VLOOKUP($E1652,설정_코스수당!$A$6:$H$10,4,FALSE),0)-IF(OR($P1652="",$P1652="없음"),0,100000)),0)</f>
        <v>0</v>
      </c>
      <c r="K1652" s="33">
        <f t="array" ref="K1652">IF($O1652="방문완료",IFERROR(INDEX(설정_코스수당!$B$15:$F$64,MATCH($G1652,설정_코스수당!$A$15:$A$64,0),MATCH($E1652&amp;"수당",설정_코스수당!$B$14:$F$14,0)),0),0)</f>
        <v>0</v>
      </c>
      <c r="L1652" s="33">
        <f t="array" ref="L1652">IF($O1652="방문완료",IF($H1652="",0,IFERROR(INDEX(설정_코스수당!$B$15:$F$64,MATCH($H1652,설정_코스수당!$A$15:$A$64,0),MATCH($E1652&amp;"수당",설정_코스수당!$B$14:$F$14,0)),0)),0)</f>
        <v>0</v>
      </c>
      <c r="M1652" s="33">
        <f>IF($O1652="방문완료",IFERROR(VLOOKUP($E1652,설정_코스수당!$A$6:$H$10,6,FALSE),0),0)</f>
        <v>0</v>
      </c>
      <c r="N1652" s="34">
        <f t="shared" si="47"/>
        <v>0</v>
      </c>
      <c r="O1652" s="29"/>
      <c r="P1652" s="29"/>
      <c r="Q1652" s="29"/>
      <c r="R1652" s="32"/>
      <c r="S1652" s="29"/>
    </row>
    <row r="1653" spans="1:27" ht="19.5" hidden="1" customHeight="1" outlineLevel="1">
      <c r="A1653" s="23">
        <v>95</v>
      </c>
      <c r="B1653" s="24">
        <f>IF(16&lt;=DAY(DATE(YEAR(설정_코스수당!$K$2),MONTH(설정_코스수당!$K$2)+1,0)),DATE(YEAR(설정_코스수당!$K$2),MONTH(설정_코스수당!$K$2),16),"")</f>
        <v>46189</v>
      </c>
      <c r="C1653" s="25"/>
      <c r="D1653" s="23"/>
      <c r="E1653" s="23"/>
      <c r="F1653" s="26"/>
      <c r="G1653" s="23"/>
      <c r="H1653" s="23"/>
      <c r="I1653" s="23"/>
      <c r="J1653" s="27">
        <f>IF($O1653="방문완료",MAX(0,IFERROR(VLOOKUP($E1653,설정_코스수당!$A$6:$H$10,4,FALSE),0)-IF(OR($P1653="",$P1653="없음"),0,100000)),0)</f>
        <v>0</v>
      </c>
      <c r="K1653" s="27">
        <f t="array" ref="K1653">IF($O1653="방문완료",IFERROR(INDEX(설정_코스수당!$B$15:$F$64,MATCH($G1653,설정_코스수당!$A$15:$A$64,0),MATCH($E1653&amp;"수당",설정_코스수당!$B$14:$F$14,0)),0),0)</f>
        <v>0</v>
      </c>
      <c r="L1653" s="27">
        <f t="array" ref="L1653">IF($O1653="방문완료",IF($H1653="",0,IFERROR(INDEX(설정_코스수당!$B$15:$F$64,MATCH($H1653,설정_코스수당!$A$15:$A$64,0),MATCH($E1653&amp;"수당",설정_코스수당!$B$14:$F$14,0)),0)),0)</f>
        <v>0</v>
      </c>
      <c r="M1653" s="27">
        <f>IF($O1653="방문완료",IFERROR(VLOOKUP($E1653,설정_코스수당!$A$6:$H$10,6,FALSE),0),0)</f>
        <v>0</v>
      </c>
      <c r="N1653" s="28">
        <f t="shared" si="47"/>
        <v>0</v>
      </c>
      <c r="O1653" s="23"/>
      <c r="P1653" s="23"/>
      <c r="Q1653" s="23"/>
      <c r="R1653" s="26"/>
      <c r="S1653" s="23"/>
    </row>
    <row r="1654" spans="1:27" ht="19.5" hidden="1" customHeight="1" outlineLevel="1">
      <c r="A1654" s="29">
        <v>96</v>
      </c>
      <c r="B1654" s="30">
        <f>IF(16&lt;=DAY(DATE(YEAR(설정_코스수당!$K$2),MONTH(설정_코스수당!$K$2)+1,0)),DATE(YEAR(설정_코스수당!$K$2),MONTH(설정_코스수당!$K$2),16),"")</f>
        <v>46189</v>
      </c>
      <c r="C1654" s="31"/>
      <c r="D1654" s="29"/>
      <c r="E1654" s="29"/>
      <c r="F1654" s="32"/>
      <c r="G1654" s="29"/>
      <c r="H1654" s="29"/>
      <c r="I1654" s="29"/>
      <c r="J1654" s="33">
        <f>IF($O1654="방문완료",MAX(0,IFERROR(VLOOKUP($E1654,설정_코스수당!$A$6:$H$10,4,FALSE),0)-IF(OR($P1654="",$P1654="없음"),0,100000)),0)</f>
        <v>0</v>
      </c>
      <c r="K1654" s="33">
        <f t="array" ref="K1654">IF($O1654="방문완료",IFERROR(INDEX(설정_코스수당!$B$15:$F$64,MATCH($G1654,설정_코스수당!$A$15:$A$64,0),MATCH($E1654&amp;"수당",설정_코스수당!$B$14:$F$14,0)),0),0)</f>
        <v>0</v>
      </c>
      <c r="L1654" s="33">
        <f t="array" ref="L1654">IF($O1654="방문완료",IF($H1654="",0,IFERROR(INDEX(설정_코스수당!$B$15:$F$64,MATCH($H1654,설정_코스수당!$A$15:$A$64,0),MATCH($E1654&amp;"수당",설정_코스수당!$B$14:$F$14,0)),0)),0)</f>
        <v>0</v>
      </c>
      <c r="M1654" s="33">
        <f>IF($O1654="방문완료",IFERROR(VLOOKUP($E1654,설정_코스수당!$A$6:$H$10,6,FALSE),0),0)</f>
        <v>0</v>
      </c>
      <c r="N1654" s="34">
        <f t="shared" si="47"/>
        <v>0</v>
      </c>
      <c r="O1654" s="29"/>
      <c r="P1654" s="29"/>
      <c r="Q1654" s="29"/>
      <c r="R1654" s="32"/>
      <c r="S1654" s="29"/>
    </row>
    <row r="1655" spans="1:27" ht="19.5" hidden="1" customHeight="1" outlineLevel="1">
      <c r="A1655" s="23">
        <v>97</v>
      </c>
      <c r="B1655" s="24">
        <f>IF(16&lt;=DAY(DATE(YEAR(설정_코스수당!$K$2),MONTH(설정_코스수당!$K$2)+1,0)),DATE(YEAR(설정_코스수당!$K$2),MONTH(설정_코스수당!$K$2),16),"")</f>
        <v>46189</v>
      </c>
      <c r="C1655" s="25"/>
      <c r="D1655" s="23"/>
      <c r="E1655" s="23"/>
      <c r="F1655" s="26"/>
      <c r="G1655" s="23"/>
      <c r="H1655" s="23"/>
      <c r="I1655" s="23"/>
      <c r="J1655" s="27">
        <f>IF($O1655="방문완료",MAX(0,IFERROR(VLOOKUP($E1655,설정_코스수당!$A$6:$H$10,4,FALSE),0)-IF(OR($P1655="",$P1655="없음"),0,100000)),0)</f>
        <v>0</v>
      </c>
      <c r="K1655" s="27">
        <f t="array" ref="K1655">IF($O1655="방문완료",IFERROR(INDEX(설정_코스수당!$B$15:$F$64,MATCH($G1655,설정_코스수당!$A$15:$A$64,0),MATCH($E1655&amp;"수당",설정_코스수당!$B$14:$F$14,0)),0),0)</f>
        <v>0</v>
      </c>
      <c r="L1655" s="27">
        <f t="array" ref="L1655">IF($O1655="방문완료",IF($H1655="",0,IFERROR(INDEX(설정_코스수당!$B$15:$F$64,MATCH($H1655,설정_코스수당!$A$15:$A$64,0),MATCH($E1655&amp;"수당",설정_코스수당!$B$14:$F$14,0)),0)),0)</f>
        <v>0</v>
      </c>
      <c r="M1655" s="27">
        <f>IF($O1655="방문완료",IFERROR(VLOOKUP($E1655,설정_코스수당!$A$6:$H$10,6,FALSE),0),0)</f>
        <v>0</v>
      </c>
      <c r="N1655" s="28">
        <f t="shared" si="47"/>
        <v>0</v>
      </c>
      <c r="O1655" s="23"/>
      <c r="P1655" s="23"/>
      <c r="Q1655" s="23"/>
      <c r="R1655" s="26"/>
      <c r="S1655" s="23"/>
    </row>
    <row r="1656" spans="1:27" ht="19.5" hidden="1" customHeight="1" outlineLevel="1">
      <c r="A1656" s="29">
        <v>98</v>
      </c>
      <c r="B1656" s="30">
        <f>IF(16&lt;=DAY(DATE(YEAR(설정_코스수당!$K$2),MONTH(설정_코스수당!$K$2)+1,0)),DATE(YEAR(설정_코스수당!$K$2),MONTH(설정_코스수당!$K$2),16),"")</f>
        <v>46189</v>
      </c>
      <c r="C1656" s="31"/>
      <c r="D1656" s="29"/>
      <c r="E1656" s="29"/>
      <c r="F1656" s="32"/>
      <c r="G1656" s="29"/>
      <c r="H1656" s="29"/>
      <c r="I1656" s="29"/>
      <c r="J1656" s="33">
        <f>IF($O1656="방문완료",MAX(0,IFERROR(VLOOKUP($E1656,설정_코스수당!$A$6:$H$10,4,FALSE),0)-IF(OR($P1656="",$P1656="없음"),0,100000)),0)</f>
        <v>0</v>
      </c>
      <c r="K1656" s="33">
        <f t="array" ref="K1656">IF($O1656="방문완료",IFERROR(INDEX(설정_코스수당!$B$15:$F$64,MATCH($G1656,설정_코스수당!$A$15:$A$64,0),MATCH($E1656&amp;"수당",설정_코스수당!$B$14:$F$14,0)),0),0)</f>
        <v>0</v>
      </c>
      <c r="L1656" s="33">
        <f t="array" ref="L1656">IF($O1656="방문완료",IF($H1656="",0,IFERROR(INDEX(설정_코스수당!$B$15:$F$64,MATCH($H1656,설정_코스수당!$A$15:$A$64,0),MATCH($E1656&amp;"수당",설정_코스수당!$B$14:$F$14,0)),0)),0)</f>
        <v>0</v>
      </c>
      <c r="M1656" s="33">
        <f>IF($O1656="방문완료",IFERROR(VLOOKUP($E1656,설정_코스수당!$A$6:$H$10,6,FALSE),0),0)</f>
        <v>0</v>
      </c>
      <c r="N1656" s="34">
        <f t="shared" si="47"/>
        <v>0</v>
      </c>
      <c r="O1656" s="29"/>
      <c r="P1656" s="29"/>
      <c r="Q1656" s="29"/>
      <c r="R1656" s="32"/>
      <c r="S1656" s="29"/>
    </row>
    <row r="1657" spans="1:27" ht="19.5" hidden="1" customHeight="1" outlineLevel="1">
      <c r="A1657" s="23">
        <v>99</v>
      </c>
      <c r="B1657" s="24">
        <f>IF(16&lt;=DAY(DATE(YEAR(설정_코스수당!$K$2),MONTH(설정_코스수당!$K$2)+1,0)),DATE(YEAR(설정_코스수당!$K$2),MONTH(설정_코스수당!$K$2),16),"")</f>
        <v>46189</v>
      </c>
      <c r="C1657" s="25"/>
      <c r="D1657" s="23"/>
      <c r="E1657" s="23"/>
      <c r="F1657" s="26"/>
      <c r="G1657" s="23"/>
      <c r="H1657" s="23"/>
      <c r="I1657" s="23"/>
      <c r="J1657" s="27">
        <f>IF($O1657="방문완료",MAX(0,IFERROR(VLOOKUP($E1657,설정_코스수당!$A$6:$H$10,4,FALSE),0)-IF(OR($P1657="",$P1657="없음"),0,100000)),0)</f>
        <v>0</v>
      </c>
      <c r="K1657" s="27">
        <f t="array" ref="K1657">IF($O1657="방문완료",IFERROR(INDEX(설정_코스수당!$B$15:$F$64,MATCH($G1657,설정_코스수당!$A$15:$A$64,0),MATCH($E1657&amp;"수당",설정_코스수당!$B$14:$F$14,0)),0),0)</f>
        <v>0</v>
      </c>
      <c r="L1657" s="27">
        <f t="array" ref="L1657">IF($O1657="방문완료",IF($H1657="",0,IFERROR(INDEX(설정_코스수당!$B$15:$F$64,MATCH($H1657,설정_코스수당!$A$15:$A$64,0),MATCH($E1657&amp;"수당",설정_코스수당!$B$14:$F$14,0)),0)),0)</f>
        <v>0</v>
      </c>
      <c r="M1657" s="27">
        <f>IF($O1657="방문완료",IFERROR(VLOOKUP($E1657,설정_코스수당!$A$6:$H$10,6,FALSE),0),0)</f>
        <v>0</v>
      </c>
      <c r="N1657" s="28">
        <f t="shared" si="47"/>
        <v>0</v>
      </c>
      <c r="O1657" s="23"/>
      <c r="P1657" s="23"/>
      <c r="Q1657" s="23"/>
      <c r="R1657" s="26"/>
      <c r="S1657" s="23"/>
    </row>
    <row r="1658" spans="1:27" ht="19.5" hidden="1" customHeight="1" outlineLevel="1">
      <c r="A1658" s="29">
        <v>100</v>
      </c>
      <c r="B1658" s="30">
        <f>IF(16&lt;=DAY(DATE(YEAR(설정_코스수당!$K$2),MONTH(설정_코스수당!$K$2)+1,0)),DATE(YEAR(설정_코스수당!$K$2),MONTH(설정_코스수당!$K$2),16),"")</f>
        <v>46189</v>
      </c>
      <c r="C1658" s="31"/>
      <c r="D1658" s="29"/>
      <c r="E1658" s="29"/>
      <c r="F1658" s="32"/>
      <c r="G1658" s="29"/>
      <c r="H1658" s="29"/>
      <c r="I1658" s="29"/>
      <c r="J1658" s="33">
        <f>IF($O1658="방문완료",MAX(0,IFERROR(VLOOKUP($E1658,설정_코스수당!$A$6:$H$10,4,FALSE),0)-IF(OR($P1658="",$P1658="없음"),0,100000)),0)</f>
        <v>0</v>
      </c>
      <c r="K1658" s="33">
        <f t="array" ref="K1658">IF($O1658="방문완료",IFERROR(INDEX(설정_코스수당!$B$15:$F$64,MATCH($G1658,설정_코스수당!$A$15:$A$64,0),MATCH($E1658&amp;"수당",설정_코스수당!$B$14:$F$14,0)),0),0)</f>
        <v>0</v>
      </c>
      <c r="L1658" s="33">
        <f t="array" ref="L1658">IF($O1658="방문완료",IF($H1658="",0,IFERROR(INDEX(설정_코스수당!$B$15:$F$64,MATCH($H1658,설정_코스수당!$A$15:$A$64,0),MATCH($E1658&amp;"수당",설정_코스수당!$B$14:$F$14,0)),0)),0)</f>
        <v>0</v>
      </c>
      <c r="M1658" s="33">
        <f>IF($O1658="방문완료",IFERROR(VLOOKUP($E1658,설정_코스수당!$A$6:$H$10,6,FALSE),0),0)</f>
        <v>0</v>
      </c>
      <c r="N1658" s="34">
        <f t="shared" si="47"/>
        <v>0</v>
      </c>
      <c r="O1658" s="29"/>
      <c r="P1658" s="29"/>
      <c r="Q1658" s="29"/>
      <c r="R1658" s="32"/>
      <c r="S1658" s="29"/>
    </row>
    <row r="1659" spans="1:27" ht="19.5" hidden="1" customHeight="1" outlineLevel="1">
      <c r="A1659" s="36" t="s">
        <v>79</v>
      </c>
      <c r="B1659" s="37"/>
      <c r="C1659" s="38"/>
      <c r="D1659" s="37"/>
      <c r="E1659" s="37"/>
      <c r="F1659" s="37"/>
      <c r="G1659" s="37"/>
      <c r="H1659" s="37"/>
      <c r="I1659" s="37"/>
      <c r="J1659" s="37">
        <f>IF($O1659="방문완료",MAX(0,IFERROR(VLOOKUP($E1659,설정_코스수당!$A$6:$H$10,4,FALSE),0)-IF(OR($P1659="",$P1659="없음"),0,100000)),0)</f>
        <v>0</v>
      </c>
      <c r="O1659" s="18"/>
      <c r="P1659" s="14"/>
      <c r="Q1659" s="18"/>
      <c r="S1659" s="18"/>
    </row>
    <row r="1660" spans="1:27" ht="21" customHeight="1" collapsed="1">
      <c r="A1660" s="123" t="str">
        <f>IF(17&lt;=DAY(DATE(YEAR(설정_코스수당!$K$2),MONTH(설정_코스수당!$K$2)+1,0)),TEXT(DATE(YEAR(설정_코스수당!$K$2),MONTH(설정_코스수당!$K$2),17),"yyyy-mm-dd")&amp;"  |  예약관리 100슬롯","")</f>
        <v>2026-06-17  |  예약관리 100슬롯</v>
      </c>
      <c r="B1660" s="124"/>
      <c r="C1660" s="124"/>
      <c r="D1660" s="124"/>
      <c r="E1660" s="124"/>
      <c r="F1660" s="124"/>
      <c r="G1660" s="124"/>
      <c r="H1660" s="124"/>
      <c r="I1660" s="124"/>
      <c r="J1660" s="124"/>
      <c r="K1660" s="124"/>
      <c r="L1660" s="124"/>
      <c r="M1660" s="124"/>
      <c r="N1660" s="124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</row>
    <row r="1661" spans="1:27" ht="19.5" hidden="1" customHeight="1" outlineLevel="1">
      <c r="A1661" s="20" t="s">
        <v>41</v>
      </c>
      <c r="B1661" s="20" t="s">
        <v>42</v>
      </c>
      <c r="C1661" s="39" t="s">
        <v>43</v>
      </c>
      <c r="D1661" s="20" t="s">
        <v>44</v>
      </c>
      <c r="E1661" s="20" t="s">
        <v>45</v>
      </c>
      <c r="F1661" s="20" t="s">
        <v>46</v>
      </c>
      <c r="G1661" s="20" t="s">
        <v>47</v>
      </c>
      <c r="H1661" s="20" t="s">
        <v>48</v>
      </c>
      <c r="I1661" s="20" t="s">
        <v>49</v>
      </c>
      <c r="J1661" s="20" t="s">
        <v>50</v>
      </c>
      <c r="K1661" s="20" t="s">
        <v>51</v>
      </c>
      <c r="L1661" s="20" t="s">
        <v>52</v>
      </c>
      <c r="M1661" s="20" t="s">
        <v>53</v>
      </c>
      <c r="N1661" s="20" t="s">
        <v>54</v>
      </c>
      <c r="O1661" s="20" t="s">
        <v>55</v>
      </c>
      <c r="P1661" s="20" t="s">
        <v>56</v>
      </c>
      <c r="Q1661" s="18"/>
      <c r="R1661" s="20" t="s">
        <v>58</v>
      </c>
      <c r="S1661" s="20" t="s">
        <v>59</v>
      </c>
      <c r="U1661" s="122" t="str">
        <f>IF(17&lt;=DAY(DATE(YEAR(설정_코스수당!$K$2),MONTH(설정_코스수당!$K$2)+1,0)),TEXT(DATE(YEAR(설정_코스수당!$K$2),MONTH(설정_코스수당!$K$2),17),"yyyy-mm-dd")&amp;" 일일 상태","")</f>
        <v>2026-06-17 일일 상태</v>
      </c>
      <c r="V1661" s="125"/>
      <c r="W1661" s="122" t="s">
        <v>3</v>
      </c>
      <c r="X1661" s="125"/>
    </row>
    <row r="1662" spans="1:27" ht="19.5" hidden="1" customHeight="1" outlineLevel="1">
      <c r="A1662" s="23">
        <v>1</v>
      </c>
      <c r="B1662" s="24">
        <f>IF(17&lt;=DAY(DATE(YEAR(설정_코스수당!$K$2),MONTH(설정_코스수당!$K$2)+1,0)),DATE(YEAR(설정_코스수당!$K$2),MONTH(설정_코스수당!$K$2),17),"")</f>
        <v>46190</v>
      </c>
      <c r="C1662" s="25"/>
      <c r="D1662" s="23"/>
      <c r="E1662" s="23"/>
      <c r="F1662" s="26"/>
      <c r="G1662" s="23"/>
      <c r="H1662" s="23"/>
      <c r="I1662" s="23"/>
      <c r="J1662" s="27">
        <f>IF($O1662="방문완료",MAX(0,IFERROR(VLOOKUP($E1662,설정_코스수당!$A$6:$H$10,4,FALSE),0)-IF(OR($P1662="",$P1662="없음"),0,100000)),0)</f>
        <v>0</v>
      </c>
      <c r="K1662" s="27">
        <f t="array" ref="K1662">IF($O1662="방문완료",IFERROR(INDEX(설정_코스수당!$B$15:$F$64,MATCH($G1662,설정_코스수당!$A$15:$A$64,0),MATCH($E1662&amp;"수당",설정_코스수당!$B$14:$F$14,0)),0),0)</f>
        <v>0</v>
      </c>
      <c r="L1662" s="27">
        <f t="array" ref="L1662">IF($O1662="방문완료",IF($H1662="",0,IFERROR(INDEX(설정_코스수당!$B$15:$F$64,MATCH($H1662,설정_코스수당!$A$15:$A$64,0),MATCH($E1662&amp;"수당",설정_코스수당!$B$14:$F$14,0)),0)),0)</f>
        <v>0</v>
      </c>
      <c r="M1662" s="27">
        <f>IF($O1662="방문완료",IFERROR(VLOOKUP($E1662,설정_코스수당!$A$6:$H$10,6,FALSE),0),0)</f>
        <v>0</v>
      </c>
      <c r="N1662" s="28">
        <f t="shared" ref="N1662:N1693" si="48">IF($O1662="방문완료",1,0)</f>
        <v>0</v>
      </c>
      <c r="O1662" s="23"/>
      <c r="P1662" s="23"/>
      <c r="Q1662" s="23"/>
      <c r="R1662" s="26"/>
      <c r="S1662" s="23"/>
      <c r="U1662" s="104" t="s">
        <v>63</v>
      </c>
      <c r="V1662" s="105">
        <f>IF(17&lt;=DAY(DATE(YEAR(설정_코스수당!$K$2),MONTH(설정_코스수당!$K$2)+1,0)),COUNTIFS($B:$B,DATE(YEAR(설정_코스수당!$K$2),MONTH(설정_코스수당!$K$2),17),$O:$O,"&lt;&gt;"),"")</f>
        <v>0</v>
      </c>
      <c r="W1662" s="104" t="s">
        <v>6</v>
      </c>
      <c r="X1662" s="105">
        <f>IF(17&lt;=DAY(DATE(YEAR(설정_코스수당!$K$2),MONTH(설정_코스수당!$K$2)+1,0)),COUNTIFS($B:$B,DATE(YEAR(설정_코스수당!$K$2),MONTH(설정_코스수당!$K$2),17),$E:$E,"A",$O:$O,"방문완료"),"")</f>
        <v>0</v>
      </c>
    </row>
    <row r="1663" spans="1:27" ht="19.5" hidden="1" customHeight="1" outlineLevel="1">
      <c r="A1663" s="29">
        <v>2</v>
      </c>
      <c r="B1663" s="30">
        <f>IF(17&lt;=DAY(DATE(YEAR(설정_코스수당!$K$2),MONTH(설정_코스수당!$K$2)+1,0)),DATE(YEAR(설정_코스수당!$K$2),MONTH(설정_코스수당!$K$2),17),"")</f>
        <v>46190</v>
      </c>
      <c r="C1663" s="31"/>
      <c r="D1663" s="29"/>
      <c r="E1663" s="29"/>
      <c r="F1663" s="32"/>
      <c r="G1663" s="29"/>
      <c r="H1663" s="29"/>
      <c r="I1663" s="29"/>
      <c r="J1663" s="33">
        <f>IF($O1663="방문완료",MAX(0,IFERROR(VLOOKUP($E1663,설정_코스수당!$A$6:$H$10,4,FALSE),0)-IF(OR($P1663="",$P1663="없음"),0,100000)),0)</f>
        <v>0</v>
      </c>
      <c r="K1663" s="33">
        <f t="array" ref="K1663">IF($O1663="방문완료",IFERROR(INDEX(설정_코스수당!$B$15:$F$64,MATCH($G1663,설정_코스수당!$A$15:$A$64,0),MATCH($E1663&amp;"수당",설정_코스수당!$B$14:$F$14,0)),0),0)</f>
        <v>0</v>
      </c>
      <c r="L1663" s="33">
        <f t="array" ref="L1663">IF($O1663="방문완료",IF($H1663="",0,IFERROR(INDEX(설정_코스수당!$B$15:$F$64,MATCH($H1663,설정_코스수당!$A$15:$A$64,0),MATCH($E1663&amp;"수당",설정_코스수당!$B$14:$F$14,0)),0)),0)</f>
        <v>0</v>
      </c>
      <c r="M1663" s="33">
        <f>IF($O1663="방문완료",IFERROR(VLOOKUP($E1663,설정_코스수당!$A$6:$H$10,6,FALSE),0),0)</f>
        <v>0</v>
      </c>
      <c r="N1663" s="34">
        <f t="shared" si="48"/>
        <v>0</v>
      </c>
      <c r="O1663" s="29"/>
      <c r="P1663" s="29"/>
      <c r="Q1663" s="29"/>
      <c r="R1663" s="32"/>
      <c r="S1663" s="29"/>
      <c r="U1663" s="104" t="s">
        <v>62</v>
      </c>
      <c r="V1663" s="105">
        <f>IF(17&lt;=DAY(DATE(YEAR(설정_코스수당!$K$2),MONTH(설정_코스수당!$K$2)+1,0)),COUNTIFS($B:$B,DATE(YEAR(설정_코스수당!$K$2),MONTH(설정_코스수당!$K$2),17),$O:$O,"방문완료"),"")</f>
        <v>0</v>
      </c>
      <c r="W1663" s="104" t="s">
        <v>9</v>
      </c>
      <c r="X1663" s="105">
        <f>IF(17&lt;=DAY(DATE(YEAR(설정_코스수당!$K$2),MONTH(설정_코스수당!$K$2)+1,0)),COUNTIFS($B:$B,DATE(YEAR(설정_코스수당!$K$2),MONTH(설정_코스수당!$K$2),17),$E:$E,"B",$O:$O,"방문완료"),"")</f>
        <v>0</v>
      </c>
    </row>
    <row r="1664" spans="1:27" ht="19.5" hidden="1" customHeight="1" outlineLevel="1">
      <c r="A1664" s="23">
        <v>3</v>
      </c>
      <c r="B1664" s="24">
        <f>IF(17&lt;=DAY(DATE(YEAR(설정_코스수당!$K$2),MONTH(설정_코스수당!$K$2)+1,0)),DATE(YEAR(설정_코스수당!$K$2),MONTH(설정_코스수당!$K$2),17),"")</f>
        <v>46190</v>
      </c>
      <c r="C1664" s="25"/>
      <c r="D1664" s="23"/>
      <c r="E1664" s="23"/>
      <c r="F1664" s="26"/>
      <c r="G1664" s="23"/>
      <c r="H1664" s="23"/>
      <c r="I1664" s="23"/>
      <c r="J1664" s="27">
        <f>IF($O1664="방문완료",MAX(0,IFERROR(VLOOKUP($E1664,설정_코스수당!$A$6:$H$10,4,FALSE),0)-IF(OR($P1664="",$P1664="없음"),0,100000)),0)</f>
        <v>0</v>
      </c>
      <c r="K1664" s="27">
        <f t="array" ref="K1664">IF($O1664="방문완료",IFERROR(INDEX(설정_코스수당!$B$15:$F$64,MATCH($G1664,설정_코스수당!$A$15:$A$64,0),MATCH($E1664&amp;"수당",설정_코스수당!$B$14:$F$14,0)),0),0)</f>
        <v>0</v>
      </c>
      <c r="L1664" s="27">
        <f t="array" ref="L1664">IF($O1664="방문완료",IF($H1664="",0,IFERROR(INDEX(설정_코스수당!$B$15:$F$64,MATCH($H1664,설정_코스수당!$A$15:$A$64,0),MATCH($E1664&amp;"수당",설정_코스수당!$B$14:$F$14,0)),0)),0)</f>
        <v>0</v>
      </c>
      <c r="M1664" s="27">
        <f>IF($O1664="방문완료",IFERROR(VLOOKUP($E1664,설정_코스수당!$A$6:$H$10,6,FALSE),0),0)</f>
        <v>0</v>
      </c>
      <c r="N1664" s="28">
        <f t="shared" si="48"/>
        <v>0</v>
      </c>
      <c r="O1664" s="23"/>
      <c r="P1664" s="23"/>
      <c r="Q1664" s="23"/>
      <c r="R1664" s="26"/>
      <c r="S1664" s="23"/>
      <c r="U1664" s="104" t="s">
        <v>68</v>
      </c>
      <c r="V1664" s="105" t="str">
        <f>IF(17&lt;=DAY(DATE(YEAR(설정_코스수당!$K$2),MONTH(설정_코스수당!$K$2)+1,0)),COUNTIFS($B:$B,DATE(YEAR(설정_코스수당!$K$2),MONTH(설정_코스수당!$K$2),17),$O:$O,"노쇼")&amp;"/"&amp;COUNTIFS($B:$B,DATE(YEAR(설정_코스수당!$K$2),MONTH(설정_코스수당!$K$2),17),$O:$O,"취소"),"")</f>
        <v>0/0</v>
      </c>
      <c r="W1664" s="104" t="s">
        <v>12</v>
      </c>
      <c r="X1664" s="105">
        <f>IF(17&lt;=DAY(DATE(YEAR(설정_코스수당!$K$2),MONTH(설정_코스수당!$K$2)+1,0)),COUNTIFS($B:$B,DATE(YEAR(설정_코스수당!$K$2),MONTH(설정_코스수당!$K$2),17),$E:$E,"C",$O:$O,"방문완료"),"")</f>
        <v>0</v>
      </c>
    </row>
    <row r="1665" spans="1:24" ht="19.5" hidden="1" customHeight="1" outlineLevel="1">
      <c r="A1665" s="29">
        <v>4</v>
      </c>
      <c r="B1665" s="30">
        <f>IF(17&lt;=DAY(DATE(YEAR(설정_코스수당!$K$2),MONTH(설정_코스수당!$K$2)+1,0)),DATE(YEAR(설정_코스수당!$K$2),MONTH(설정_코스수당!$K$2),17),"")</f>
        <v>46190</v>
      </c>
      <c r="C1665" s="31"/>
      <c r="D1665" s="29"/>
      <c r="E1665" s="29"/>
      <c r="F1665" s="32"/>
      <c r="G1665" s="29"/>
      <c r="H1665" s="29"/>
      <c r="I1665" s="29"/>
      <c r="J1665" s="33">
        <f>IF($O1665="방문완료",MAX(0,IFERROR(VLOOKUP($E1665,설정_코스수당!$A$6:$H$10,4,FALSE),0)-IF(OR($P1665="",$P1665="없음"),0,100000)),0)</f>
        <v>0</v>
      </c>
      <c r="K1665" s="33">
        <f t="array" ref="K1665">IF($O1665="방문완료",IFERROR(INDEX(설정_코스수당!$B$15:$F$64,MATCH($G1665,설정_코스수당!$A$15:$A$64,0),MATCH($E1665&amp;"수당",설정_코스수당!$B$14:$F$14,0)),0),0)</f>
        <v>0</v>
      </c>
      <c r="L1665" s="33">
        <f t="array" ref="L1665">IF($O1665="방문완료",IF($H1665="",0,IFERROR(INDEX(설정_코스수당!$B$15:$F$64,MATCH($H1665,설정_코스수당!$A$15:$A$64,0),MATCH($E1665&amp;"수당",설정_코스수당!$B$14:$F$14,0)),0)),0)</f>
        <v>0</v>
      </c>
      <c r="M1665" s="33">
        <f>IF($O1665="방문완료",IFERROR(VLOOKUP($E1665,설정_코스수당!$A$6:$H$10,6,FALSE),0),0)</f>
        <v>0</v>
      </c>
      <c r="N1665" s="34">
        <f t="shared" si="48"/>
        <v>0</v>
      </c>
      <c r="O1665" s="29"/>
      <c r="P1665" s="29"/>
      <c r="Q1665" s="29"/>
      <c r="R1665" s="32"/>
      <c r="S1665" s="29"/>
      <c r="U1665" s="104" t="s">
        <v>69</v>
      </c>
      <c r="V1665" s="106">
        <f>IF(17&lt;=DAY(DATE(YEAR(설정_코스수당!$K$2),MONTH(설정_코스수당!$K$2)+1,0)),SUMIFS($J:$J,$B:$B,DATE(YEAR(설정_코스수당!$K$2),MONTH(설정_코스수당!$K$2),17),$O:$O,"방문완료"),"")</f>
        <v>0</v>
      </c>
      <c r="W1665" s="104" t="s">
        <v>15</v>
      </c>
      <c r="X1665" s="105">
        <f>IF(17&lt;=DAY(DATE(YEAR(설정_코스수당!$K$2),MONTH(설정_코스수당!$K$2)+1,0)),COUNTIFS($B:$B,DATE(YEAR(설정_코스수당!$K$2),MONTH(설정_코스수당!$K$2),17),$E:$E,"D",$O:$O,"방문완료"),"")</f>
        <v>0</v>
      </c>
    </row>
    <row r="1666" spans="1:24" ht="19.5" hidden="1" customHeight="1" outlineLevel="1">
      <c r="A1666" s="23">
        <v>5</v>
      </c>
      <c r="B1666" s="24">
        <f>IF(17&lt;=DAY(DATE(YEAR(설정_코스수당!$K$2),MONTH(설정_코스수당!$K$2)+1,0)),DATE(YEAR(설정_코스수당!$K$2),MONTH(설정_코스수당!$K$2),17),"")</f>
        <v>46190</v>
      </c>
      <c r="C1666" s="25"/>
      <c r="D1666" s="23"/>
      <c r="E1666" s="23"/>
      <c r="F1666" s="26"/>
      <c r="G1666" s="23"/>
      <c r="H1666" s="23"/>
      <c r="I1666" s="23"/>
      <c r="J1666" s="27">
        <f>IF($O1666="방문완료",MAX(0,IFERROR(VLOOKUP($E1666,설정_코스수당!$A$6:$H$10,4,FALSE),0)-IF(OR($P1666="",$P1666="없음"),0,100000)),0)</f>
        <v>0</v>
      </c>
      <c r="K1666" s="27">
        <f t="array" ref="K1666">IF($O1666="방문완료",IFERROR(INDEX(설정_코스수당!$B$15:$F$64,MATCH($G1666,설정_코스수당!$A$15:$A$64,0),MATCH($E1666&amp;"수당",설정_코스수당!$B$14:$F$14,0)),0),0)</f>
        <v>0</v>
      </c>
      <c r="L1666" s="27">
        <f t="array" ref="L1666">IF($O1666="방문완료",IF($H1666="",0,IFERROR(INDEX(설정_코스수당!$B$15:$F$64,MATCH($H1666,설정_코스수당!$A$15:$A$64,0),MATCH($E1666&amp;"수당",설정_코스수당!$B$14:$F$14,0)),0)),0)</f>
        <v>0</v>
      </c>
      <c r="M1666" s="27">
        <f>IF($O1666="방문완료",IFERROR(VLOOKUP($E1666,설정_코스수당!$A$6:$H$10,6,FALSE),0),0)</f>
        <v>0</v>
      </c>
      <c r="N1666" s="28">
        <f t="shared" si="48"/>
        <v>0</v>
      </c>
      <c r="O1666" s="23"/>
      <c r="P1666" s="23"/>
      <c r="Q1666" s="23"/>
      <c r="R1666" s="26"/>
      <c r="S1666" s="23"/>
      <c r="U1666" s="104" t="s">
        <v>70</v>
      </c>
      <c r="V1666" s="106">
        <f>IF(17&lt;=DAY(DATE(YEAR(설정_코스수당!$K$2),MONTH(설정_코스수당!$K$2)+1,0)),SUMIFS($K:$K,$B:$B,DATE(YEAR(설정_코스수당!$K$2),MONTH(설정_코스수당!$K$2),17),$O:$O,"방문완료")+SUMIFS($L:$L,$B:$B,DATE(YEAR(설정_코스수당!$K$2),MONTH(설정_코스수당!$K$2),17),$O:$O,"방문완료"),"")</f>
        <v>0</v>
      </c>
      <c r="W1666" s="104" t="s">
        <v>18</v>
      </c>
      <c r="X1666" s="105">
        <f>IF(17&lt;=DAY(DATE(YEAR(설정_코스수당!$K$2),MONTH(설정_코스수당!$K$2)+1,0)),COUNTIFS($B:$B,DATE(YEAR(설정_코스수당!$K$2),MONTH(설정_코스수당!$K$2),17),$E:$E,"E",$O:$O,"방문완료"),"")</f>
        <v>0</v>
      </c>
    </row>
    <row r="1667" spans="1:24" ht="19.5" hidden="1" customHeight="1" outlineLevel="1">
      <c r="A1667" s="29">
        <v>6</v>
      </c>
      <c r="B1667" s="30">
        <f>IF(17&lt;=DAY(DATE(YEAR(설정_코스수당!$K$2),MONTH(설정_코스수당!$K$2)+1,0)),DATE(YEAR(설정_코스수당!$K$2),MONTH(설정_코스수당!$K$2),17),"")</f>
        <v>46190</v>
      </c>
      <c r="C1667" s="31"/>
      <c r="D1667" s="29"/>
      <c r="E1667" s="29"/>
      <c r="F1667" s="32"/>
      <c r="G1667" s="29"/>
      <c r="H1667" s="29"/>
      <c r="I1667" s="29"/>
      <c r="J1667" s="33">
        <f>IF($O1667="방문완료",MAX(0,IFERROR(VLOOKUP($E1667,설정_코스수당!$A$6:$H$10,4,FALSE),0)-IF(OR($P1667="",$P1667="없음"),0,100000)),0)</f>
        <v>0</v>
      </c>
      <c r="K1667" s="33">
        <f t="array" ref="K1667">IF($O1667="방문완료",IFERROR(INDEX(설정_코스수당!$B$15:$F$64,MATCH($G1667,설정_코스수당!$A$15:$A$64,0),MATCH($E1667&amp;"수당",설정_코스수당!$B$14:$F$14,0)),0),0)</f>
        <v>0</v>
      </c>
      <c r="L1667" s="33">
        <f t="array" ref="L1667">IF($O1667="방문완료",IF($H1667="",0,IFERROR(INDEX(설정_코스수당!$B$15:$F$64,MATCH($H1667,설정_코스수당!$A$15:$A$64,0),MATCH($E1667&amp;"수당",설정_코스수당!$B$14:$F$14,0)),0)),0)</f>
        <v>0</v>
      </c>
      <c r="M1667" s="33">
        <f>IF($O1667="방문완료",IFERROR(VLOOKUP($E1667,설정_코스수당!$A$6:$H$10,6,FALSE),0),0)</f>
        <v>0</v>
      </c>
      <c r="N1667" s="34">
        <f t="shared" si="48"/>
        <v>0</v>
      </c>
      <c r="O1667" s="29"/>
      <c r="P1667" s="29"/>
      <c r="Q1667" s="29"/>
      <c r="R1667" s="32"/>
      <c r="S1667" s="29"/>
      <c r="U1667" s="104" t="s">
        <v>53</v>
      </c>
      <c r="V1667" s="106">
        <f>IF(17&lt;=DAY(DATE(YEAR(설정_코스수당!$K$2),MONTH(설정_코스수당!$K$2)+1,0)),SUMIFS($M:$M,$B:$B,DATE(YEAR(설정_코스수당!$K$2),MONTH(설정_코스수당!$K$2),17),$O:$O,"방문완료"),"")</f>
        <v>0</v>
      </c>
      <c r="W1667" s="104" t="s">
        <v>71</v>
      </c>
      <c r="X1667" s="107">
        <f>IF(17&lt;=DAY(DATE(YEAR(설정_코스수당!$K$2),MONTH(설정_코스수당!$K$2)+1,0)),COUNTIFS($B:$B,DATE(YEAR(설정_코스수당!$K$2),MONTH(설정_코스수당!$K$2),17),$O:$O,"방문완료",$P:$P,"&lt;&gt;",$P:$P,"&lt;&gt;없음"),"")</f>
        <v>0</v>
      </c>
    </row>
    <row r="1668" spans="1:24" ht="19.5" hidden="1" customHeight="1" outlineLevel="1">
      <c r="A1668" s="23">
        <v>7</v>
      </c>
      <c r="B1668" s="24">
        <f>IF(17&lt;=DAY(DATE(YEAR(설정_코스수당!$K$2),MONTH(설정_코스수당!$K$2)+1,0)),DATE(YEAR(설정_코스수당!$K$2),MONTH(설정_코스수당!$K$2),17),"")</f>
        <v>46190</v>
      </c>
      <c r="C1668" s="25"/>
      <c r="D1668" s="23"/>
      <c r="E1668" s="23"/>
      <c r="F1668" s="26"/>
      <c r="G1668" s="23"/>
      <c r="H1668" s="23"/>
      <c r="I1668" s="23"/>
      <c r="J1668" s="27">
        <f>IF($O1668="방문완료",MAX(0,IFERROR(VLOOKUP($E1668,설정_코스수당!$A$6:$H$10,4,FALSE),0)-IF(OR($P1668="",$P1668="없음"),0,100000)),0)</f>
        <v>0</v>
      </c>
      <c r="K1668" s="27">
        <f t="array" ref="K1668">IF($O1668="방문완료",IFERROR(INDEX(설정_코스수당!$B$15:$F$64,MATCH($G1668,설정_코스수당!$A$15:$A$64,0),MATCH($E1668&amp;"수당",설정_코스수당!$B$14:$F$14,0)),0),0)</f>
        <v>0</v>
      </c>
      <c r="L1668" s="27">
        <f t="array" ref="L1668">IF($O1668="방문완료",IF($H1668="",0,IFERROR(INDEX(설정_코스수당!$B$15:$F$64,MATCH($H1668,설정_코스수당!$A$15:$A$64,0),MATCH($E1668&amp;"수당",설정_코스수당!$B$14:$F$14,0)),0)),0)</f>
        <v>0</v>
      </c>
      <c r="M1668" s="27">
        <f>IF($O1668="방문완료",IFERROR(VLOOKUP($E1668,설정_코스수당!$A$6:$H$10,6,FALSE),0),0)</f>
        <v>0</v>
      </c>
      <c r="N1668" s="28">
        <f t="shared" si="48"/>
        <v>0</v>
      </c>
      <c r="O1668" s="23"/>
      <c r="P1668" s="23"/>
      <c r="Q1668" s="23"/>
      <c r="R1668" s="26"/>
      <c r="S1668" s="23"/>
      <c r="U1668" s="104" t="s">
        <v>72</v>
      </c>
      <c r="V1668" s="108">
        <f>IF(17&lt;=DAY(DATE(YEAR(설정_코스수당!$K$2),MONTH(설정_코스수당!$K$2)+1,0)),COUNTIFS($B:$B,DATE(YEAR(설정_코스수당!$K$2),MONTH(설정_코스수당!$K$2),17),$O:$O,"방문완료",$P:$P,"&lt;&gt;",$P:$P,"&lt;&gt;없음")*100000,"")</f>
        <v>0</v>
      </c>
      <c r="W1668" s="104" t="s">
        <v>73</v>
      </c>
      <c r="X1668" s="105">
        <f>IF(17&lt;=DAY(DATE(YEAR(설정_코스수당!$K$2),MONTH(설정_코스수당!$K$2)+1,0)),COUNTIFS($B:$B,DATE(YEAR(설정_코스수당!$K$2),MONTH(설정_코스수당!$K$2),17),$G:$G,"&lt;&gt;",$O:$O,"방문완료")+COUNTIFS($B:$B,DATE(YEAR(설정_코스수당!$K$2),MONTH(설정_코스수당!$K$2),17),$H:$H,"&lt;&gt;",$O:$O,"방문완료"),"")</f>
        <v>0</v>
      </c>
    </row>
    <row r="1669" spans="1:24" ht="19.5" hidden="1" customHeight="1" outlineLevel="1">
      <c r="A1669" s="29">
        <v>8</v>
      </c>
      <c r="B1669" s="30">
        <f>IF(17&lt;=DAY(DATE(YEAR(설정_코스수당!$K$2),MONTH(설정_코스수당!$K$2)+1,0)),DATE(YEAR(설정_코스수당!$K$2),MONTH(설정_코스수당!$K$2),17),"")</f>
        <v>46190</v>
      </c>
      <c r="C1669" s="31"/>
      <c r="D1669" s="29"/>
      <c r="E1669" s="29"/>
      <c r="F1669" s="32"/>
      <c r="G1669" s="29"/>
      <c r="H1669" s="29"/>
      <c r="I1669" s="29"/>
      <c r="J1669" s="33">
        <f>IF($O1669="방문완료",MAX(0,IFERROR(VLOOKUP($E1669,설정_코스수당!$A$6:$H$10,4,FALSE),0)-IF(OR($P1669="",$P1669="없음"),0,100000)),0)</f>
        <v>0</v>
      </c>
      <c r="K1669" s="33">
        <f t="array" ref="K1669">IF($O1669="방문완료",IFERROR(INDEX(설정_코스수당!$B$15:$F$64,MATCH($G1669,설정_코스수당!$A$15:$A$64,0),MATCH($E1669&amp;"수당",설정_코스수당!$B$14:$F$14,0)),0),0)</f>
        <v>0</v>
      </c>
      <c r="L1669" s="33">
        <f t="array" ref="L1669">IF($O1669="방문완료",IF($H1669="",0,IFERROR(INDEX(설정_코스수당!$B$15:$F$64,MATCH($H1669,설정_코스수당!$A$15:$A$64,0),MATCH($E1669&amp;"수당",설정_코스수당!$B$14:$F$14,0)),0)),0)</f>
        <v>0</v>
      </c>
      <c r="M1669" s="33">
        <f>IF($O1669="방문완료",IFERROR(VLOOKUP($E1669,설정_코스수당!$A$6:$H$10,6,FALSE),0),0)</f>
        <v>0</v>
      </c>
      <c r="N1669" s="34">
        <f t="shared" si="48"/>
        <v>0</v>
      </c>
      <c r="O1669" s="29"/>
      <c r="P1669" s="29"/>
      <c r="Q1669" s="29"/>
      <c r="R1669" s="32"/>
      <c r="S1669" s="29"/>
      <c r="U1669" s="104" t="s">
        <v>74</v>
      </c>
      <c r="V1669" s="108">
        <f>IF(17&lt;=DAY(DATE(YEAR(설정_코스수당!$K$2),MONTH(설정_코스수당!$K$2)+1,0)),SUM($U$1673:$U$1680),"")</f>
        <v>0</v>
      </c>
      <c r="W1669" s="122" t="str">
        <f>IF(17&lt;=DAY(DATE(YEAR(설정_코스수당!$K$2),MONTH(설정_코스수당!$K$2)+1,0)),"계 : "&amp;TEXT(V1665-V1669,"#,##0")&amp;" 동","")</f>
        <v>계 : 0 동</v>
      </c>
      <c r="X1669" s="122"/>
    </row>
    <row r="1670" spans="1:24" ht="19.5" hidden="1" customHeight="1" outlineLevel="1">
      <c r="A1670" s="23">
        <v>9</v>
      </c>
      <c r="B1670" s="24">
        <f>IF(17&lt;=DAY(DATE(YEAR(설정_코스수당!$K$2),MONTH(설정_코스수당!$K$2)+1,0)),DATE(YEAR(설정_코스수당!$K$2),MONTH(설정_코스수당!$K$2),17),"")</f>
        <v>46190</v>
      </c>
      <c r="C1670" s="25"/>
      <c r="D1670" s="23"/>
      <c r="E1670" s="23"/>
      <c r="F1670" s="26"/>
      <c r="G1670" s="23"/>
      <c r="H1670" s="23"/>
      <c r="I1670" s="23"/>
      <c r="J1670" s="27">
        <f>IF($O1670="방문완료",MAX(0,IFERROR(VLOOKUP($E1670,설정_코스수당!$A$6:$H$10,4,FALSE),0)-IF(OR($P1670="",$P1670="없음"),0,100000)),0)</f>
        <v>0</v>
      </c>
      <c r="K1670" s="27">
        <f t="array" ref="K1670">IF($O1670="방문완료",IFERROR(INDEX(설정_코스수당!$B$15:$F$64,MATCH($G1670,설정_코스수당!$A$15:$A$64,0),MATCH($E1670&amp;"수당",설정_코스수당!$B$14:$F$14,0)),0),0)</f>
        <v>0</v>
      </c>
      <c r="L1670" s="27">
        <f t="array" ref="L1670">IF($O1670="방문완료",IF($H1670="",0,IFERROR(INDEX(설정_코스수당!$B$15:$F$64,MATCH($H1670,설정_코스수당!$A$15:$A$64,0),MATCH($E1670&amp;"수당",설정_코스수당!$B$14:$F$14,0)),0)),0)</f>
        <v>0</v>
      </c>
      <c r="M1670" s="27">
        <f>IF($O1670="방문완료",IFERROR(VLOOKUP($E1670,설정_코스수당!$A$6:$H$10,6,FALSE),0),0)</f>
        <v>0</v>
      </c>
      <c r="N1670" s="28">
        <f t="shared" si="48"/>
        <v>0</v>
      </c>
      <c r="O1670" s="23"/>
      <c r="P1670" s="23"/>
      <c r="Q1670" s="23"/>
      <c r="R1670" s="26"/>
      <c r="S1670" s="23"/>
    </row>
    <row r="1671" spans="1:24" ht="19.5" hidden="1" customHeight="1" outlineLevel="1">
      <c r="A1671" s="29">
        <v>10</v>
      </c>
      <c r="B1671" s="30">
        <f>IF(17&lt;=DAY(DATE(YEAR(설정_코스수당!$K$2),MONTH(설정_코스수당!$K$2)+1,0)),DATE(YEAR(설정_코스수당!$K$2),MONTH(설정_코스수당!$K$2),17),"")</f>
        <v>46190</v>
      </c>
      <c r="C1671" s="31"/>
      <c r="D1671" s="29"/>
      <c r="E1671" s="29"/>
      <c r="F1671" s="32"/>
      <c r="G1671" s="29"/>
      <c r="H1671" s="29"/>
      <c r="I1671" s="29"/>
      <c r="J1671" s="33">
        <f>IF($O1671="방문완료",MAX(0,IFERROR(VLOOKUP($E1671,설정_코스수당!$A$6:$H$10,4,FALSE),0)-IF(OR($P1671="",$P1671="없음"),0,100000)),0)</f>
        <v>0</v>
      </c>
      <c r="K1671" s="33">
        <f t="array" ref="K1671">IF($O1671="방문완료",IFERROR(INDEX(설정_코스수당!$B$15:$F$64,MATCH($G1671,설정_코스수당!$A$15:$A$64,0),MATCH($E1671&amp;"수당",설정_코스수당!$B$14:$F$14,0)),0),0)</f>
        <v>0</v>
      </c>
      <c r="L1671" s="33">
        <f t="array" ref="L1671">IF($O1671="방문완료",IF($H1671="",0,IFERROR(INDEX(설정_코스수당!$B$15:$F$64,MATCH($H1671,설정_코스수당!$A$15:$A$64,0),MATCH($E1671&amp;"수당",설정_코스수당!$B$14:$F$14,0)),0)),0)</f>
        <v>0</v>
      </c>
      <c r="M1671" s="33">
        <f>IF($O1671="방문완료",IFERROR(VLOOKUP($E1671,설정_코스수당!$A$6:$H$10,6,FALSE),0),0)</f>
        <v>0</v>
      </c>
      <c r="N1671" s="34">
        <f t="shared" si="48"/>
        <v>0</v>
      </c>
      <c r="O1671" s="29"/>
      <c r="P1671" s="29"/>
      <c r="Q1671" s="29"/>
      <c r="R1671" s="32"/>
      <c r="S1671" s="29"/>
      <c r="U1671" s="120" t="s">
        <v>75</v>
      </c>
      <c r="V1671" s="121"/>
      <c r="W1671" s="121"/>
      <c r="X1671" s="121"/>
    </row>
    <row r="1672" spans="1:24" ht="19.5" hidden="1" customHeight="1" outlineLevel="1">
      <c r="A1672" s="23">
        <v>11</v>
      </c>
      <c r="B1672" s="24">
        <f>IF(17&lt;=DAY(DATE(YEAR(설정_코스수당!$K$2),MONTH(설정_코스수당!$K$2)+1,0)),DATE(YEAR(설정_코스수당!$K$2),MONTH(설정_코스수당!$K$2),17),"")</f>
        <v>46190</v>
      </c>
      <c r="C1672" s="25"/>
      <c r="D1672" s="23"/>
      <c r="E1672" s="23"/>
      <c r="F1672" s="26"/>
      <c r="G1672" s="23"/>
      <c r="H1672" s="23"/>
      <c r="I1672" s="23"/>
      <c r="J1672" s="27">
        <f>IF($O1672="방문완료",MAX(0,IFERROR(VLOOKUP($E1672,설정_코스수당!$A$6:$H$10,4,FALSE),0)-IF(OR($P1672="",$P1672="없음"),0,100000)),0)</f>
        <v>0</v>
      </c>
      <c r="K1672" s="27">
        <f t="array" ref="K1672">IF($O1672="방문완료",IFERROR(INDEX(설정_코스수당!$B$15:$F$64,MATCH($G1672,설정_코스수당!$A$15:$A$64,0),MATCH($E1672&amp;"수당",설정_코스수당!$B$14:$F$14,0)),0),0)</f>
        <v>0</v>
      </c>
      <c r="L1672" s="27">
        <f t="array" ref="L1672">IF($O1672="방문완료",IF($H1672="",0,IFERROR(INDEX(설정_코스수당!$B$15:$F$64,MATCH($H1672,설정_코스수당!$A$15:$A$64,0),MATCH($E1672&amp;"수당",설정_코스수당!$B$14:$F$14,0)),0)),0)</f>
        <v>0</v>
      </c>
      <c r="M1672" s="27">
        <f>IF($O1672="방문완료",IFERROR(VLOOKUP($E1672,설정_코스수당!$A$6:$H$10,6,FALSE),0),0)</f>
        <v>0</v>
      </c>
      <c r="N1672" s="28">
        <f t="shared" si="48"/>
        <v>0</v>
      </c>
      <c r="O1672" s="23"/>
      <c r="P1672" s="23"/>
      <c r="Q1672" s="23"/>
      <c r="R1672" s="26"/>
      <c r="S1672" s="23"/>
      <c r="U1672" s="109" t="s">
        <v>76</v>
      </c>
      <c r="V1672" s="109" t="s">
        <v>77</v>
      </c>
      <c r="W1672" s="109" t="s">
        <v>78</v>
      </c>
      <c r="X1672" s="109" t="s">
        <v>58</v>
      </c>
    </row>
    <row r="1673" spans="1:24" ht="19.5" hidden="1" customHeight="1" outlineLevel="1">
      <c r="A1673" s="29">
        <v>12</v>
      </c>
      <c r="B1673" s="30">
        <f>IF(17&lt;=DAY(DATE(YEAR(설정_코스수당!$K$2),MONTH(설정_코스수당!$K$2)+1,0)),DATE(YEAR(설정_코스수당!$K$2),MONTH(설정_코스수당!$K$2),17),"")</f>
        <v>46190</v>
      </c>
      <c r="C1673" s="31"/>
      <c r="D1673" s="29"/>
      <c r="E1673" s="29"/>
      <c r="F1673" s="32"/>
      <c r="G1673" s="29"/>
      <c r="H1673" s="29"/>
      <c r="I1673" s="29"/>
      <c r="J1673" s="33">
        <f>IF($O1673="방문완료",MAX(0,IFERROR(VLOOKUP($E1673,설정_코스수당!$A$6:$H$10,4,FALSE),0)-IF(OR($P1673="",$P1673="없음"),0,100000)),0)</f>
        <v>0</v>
      </c>
      <c r="K1673" s="33">
        <f t="array" ref="K1673">IF($O1673="방문완료",IFERROR(INDEX(설정_코스수당!$B$15:$F$64,MATCH($G1673,설정_코스수당!$A$15:$A$64,0),MATCH($E1673&amp;"수당",설정_코스수당!$B$14:$F$14,0)),0),0)</f>
        <v>0</v>
      </c>
      <c r="L1673" s="33">
        <f t="array" ref="L1673">IF($O1673="방문완료",IF($H1673="",0,IFERROR(INDEX(설정_코스수당!$B$15:$F$64,MATCH($H1673,설정_코스수당!$A$15:$A$64,0),MATCH($E1673&amp;"수당",설정_코스수당!$B$14:$F$14,0)),0)),0)</f>
        <v>0</v>
      </c>
      <c r="M1673" s="33">
        <f>IF($O1673="방문완료",IFERROR(VLOOKUP($E1673,설정_코스수당!$A$6:$H$10,6,FALSE),0),0)</f>
        <v>0</v>
      </c>
      <c r="N1673" s="34">
        <f t="shared" si="48"/>
        <v>0</v>
      </c>
      <c r="O1673" s="29"/>
      <c r="P1673" s="29"/>
      <c r="Q1673" s="29"/>
      <c r="R1673" s="32"/>
      <c r="S1673" s="29"/>
      <c r="U1673" s="113"/>
      <c r="V1673" s="111"/>
      <c r="W1673" s="112"/>
      <c r="X1673" s="111"/>
    </row>
    <row r="1674" spans="1:24" ht="19.5" hidden="1" customHeight="1" outlineLevel="1">
      <c r="A1674" s="23">
        <v>13</v>
      </c>
      <c r="B1674" s="24">
        <f>IF(17&lt;=DAY(DATE(YEAR(설정_코스수당!$K$2),MONTH(설정_코스수당!$K$2)+1,0)),DATE(YEAR(설정_코스수당!$K$2),MONTH(설정_코스수당!$K$2),17),"")</f>
        <v>46190</v>
      </c>
      <c r="C1674" s="25"/>
      <c r="D1674" s="23"/>
      <c r="E1674" s="23"/>
      <c r="F1674" s="26"/>
      <c r="G1674" s="23"/>
      <c r="H1674" s="23"/>
      <c r="I1674" s="23"/>
      <c r="J1674" s="27">
        <f>IF($O1674="방문완료",MAX(0,IFERROR(VLOOKUP($E1674,설정_코스수당!$A$6:$H$10,4,FALSE),0)-IF(OR($P1674="",$P1674="없음"),0,100000)),0)</f>
        <v>0</v>
      </c>
      <c r="K1674" s="27">
        <f t="array" ref="K1674">IF($O1674="방문완료",IFERROR(INDEX(설정_코스수당!$B$15:$F$64,MATCH($G1674,설정_코스수당!$A$15:$A$64,0),MATCH($E1674&amp;"수당",설정_코스수당!$B$14:$F$14,0)),0),0)</f>
        <v>0</v>
      </c>
      <c r="L1674" s="27">
        <f t="array" ref="L1674">IF($O1674="방문완료",IF($H1674="",0,IFERROR(INDEX(설정_코스수당!$B$15:$F$64,MATCH($H1674,설정_코스수당!$A$15:$A$64,0),MATCH($E1674&amp;"수당",설정_코스수당!$B$14:$F$14,0)),0)),0)</f>
        <v>0</v>
      </c>
      <c r="M1674" s="27">
        <f>IF($O1674="방문완료",IFERROR(VLOOKUP($E1674,설정_코스수당!$A$6:$H$10,6,FALSE),0),0)</f>
        <v>0</v>
      </c>
      <c r="N1674" s="28">
        <f t="shared" si="48"/>
        <v>0</v>
      </c>
      <c r="O1674" s="23"/>
      <c r="P1674" s="23"/>
      <c r="Q1674" s="23"/>
      <c r="R1674" s="26"/>
      <c r="S1674" s="23"/>
      <c r="U1674" s="113"/>
      <c r="V1674" s="111"/>
      <c r="W1674" s="112"/>
      <c r="X1674" s="111"/>
    </row>
    <row r="1675" spans="1:24" ht="19.5" hidden="1" customHeight="1" outlineLevel="1">
      <c r="A1675" s="29">
        <v>14</v>
      </c>
      <c r="B1675" s="30">
        <f>IF(17&lt;=DAY(DATE(YEAR(설정_코스수당!$K$2),MONTH(설정_코스수당!$K$2)+1,0)),DATE(YEAR(설정_코스수당!$K$2),MONTH(설정_코스수당!$K$2),17),"")</f>
        <v>46190</v>
      </c>
      <c r="C1675" s="31"/>
      <c r="D1675" s="29"/>
      <c r="E1675" s="29"/>
      <c r="F1675" s="32"/>
      <c r="G1675" s="29"/>
      <c r="H1675" s="29"/>
      <c r="I1675" s="29"/>
      <c r="J1675" s="33">
        <f>IF($O1675="방문완료",MAX(0,IFERROR(VLOOKUP($E1675,설정_코스수당!$A$6:$H$10,4,FALSE),0)-IF(OR($P1675="",$P1675="없음"),0,100000)),0)</f>
        <v>0</v>
      </c>
      <c r="K1675" s="33">
        <f t="array" ref="K1675">IF($O1675="방문완료",IFERROR(INDEX(설정_코스수당!$B$15:$F$64,MATCH($G1675,설정_코스수당!$A$15:$A$64,0),MATCH($E1675&amp;"수당",설정_코스수당!$B$14:$F$14,0)),0),0)</f>
        <v>0</v>
      </c>
      <c r="L1675" s="33">
        <f t="array" ref="L1675">IF($O1675="방문완료",IF($H1675="",0,IFERROR(INDEX(설정_코스수당!$B$15:$F$64,MATCH($H1675,설정_코스수당!$A$15:$A$64,0),MATCH($E1675&amp;"수당",설정_코스수당!$B$14:$F$14,0)),0)),0)</f>
        <v>0</v>
      </c>
      <c r="M1675" s="33">
        <f>IF($O1675="방문완료",IFERROR(VLOOKUP($E1675,설정_코스수당!$A$6:$H$10,6,FALSE),0),0)</f>
        <v>0</v>
      </c>
      <c r="N1675" s="34">
        <f t="shared" si="48"/>
        <v>0</v>
      </c>
      <c r="O1675" s="29"/>
      <c r="P1675" s="29"/>
      <c r="Q1675" s="29"/>
      <c r="R1675" s="32"/>
      <c r="S1675" s="29"/>
      <c r="U1675" s="113"/>
      <c r="V1675" s="111"/>
      <c r="W1675" s="112"/>
      <c r="X1675" s="111"/>
    </row>
    <row r="1676" spans="1:24" ht="19.5" hidden="1" customHeight="1" outlineLevel="1">
      <c r="A1676" s="23">
        <v>15</v>
      </c>
      <c r="B1676" s="24">
        <f>IF(17&lt;=DAY(DATE(YEAR(설정_코스수당!$K$2),MONTH(설정_코스수당!$K$2)+1,0)),DATE(YEAR(설정_코스수당!$K$2),MONTH(설정_코스수당!$K$2),17),"")</f>
        <v>46190</v>
      </c>
      <c r="C1676" s="25"/>
      <c r="D1676" s="23"/>
      <c r="E1676" s="23"/>
      <c r="F1676" s="26"/>
      <c r="G1676" s="23"/>
      <c r="H1676" s="23"/>
      <c r="I1676" s="23"/>
      <c r="J1676" s="27">
        <f>IF($O1676="방문완료",MAX(0,IFERROR(VLOOKUP($E1676,설정_코스수당!$A$6:$H$10,4,FALSE),0)-IF(OR($P1676="",$P1676="없음"),0,100000)),0)</f>
        <v>0</v>
      </c>
      <c r="K1676" s="27">
        <f t="array" ref="K1676">IF($O1676="방문완료",IFERROR(INDEX(설정_코스수당!$B$15:$F$64,MATCH($G1676,설정_코스수당!$A$15:$A$64,0),MATCH($E1676&amp;"수당",설정_코스수당!$B$14:$F$14,0)),0),0)</f>
        <v>0</v>
      </c>
      <c r="L1676" s="27">
        <f t="array" ref="L1676">IF($O1676="방문완료",IF($H1676="",0,IFERROR(INDEX(설정_코스수당!$B$15:$F$64,MATCH($H1676,설정_코스수당!$A$15:$A$64,0),MATCH($E1676&amp;"수당",설정_코스수당!$B$14:$F$14,0)),0)),0)</f>
        <v>0</v>
      </c>
      <c r="M1676" s="27">
        <f>IF($O1676="방문완료",IFERROR(VLOOKUP($E1676,설정_코스수당!$A$6:$H$10,6,FALSE),0),0)</f>
        <v>0</v>
      </c>
      <c r="N1676" s="28">
        <f t="shared" si="48"/>
        <v>0</v>
      </c>
      <c r="O1676" s="23"/>
      <c r="P1676" s="23"/>
      <c r="Q1676" s="23"/>
      <c r="R1676" s="26"/>
      <c r="S1676" s="23"/>
      <c r="U1676" s="113"/>
      <c r="V1676" s="111"/>
      <c r="W1676" s="112"/>
      <c r="X1676" s="111"/>
    </row>
    <row r="1677" spans="1:24" ht="19.5" hidden="1" customHeight="1" outlineLevel="1">
      <c r="A1677" s="29">
        <v>16</v>
      </c>
      <c r="B1677" s="30">
        <f>IF(17&lt;=DAY(DATE(YEAR(설정_코스수당!$K$2),MONTH(설정_코스수당!$K$2)+1,0)),DATE(YEAR(설정_코스수당!$K$2),MONTH(설정_코스수당!$K$2),17),"")</f>
        <v>46190</v>
      </c>
      <c r="C1677" s="31"/>
      <c r="D1677" s="29"/>
      <c r="E1677" s="29"/>
      <c r="F1677" s="32"/>
      <c r="G1677" s="29"/>
      <c r="H1677" s="29"/>
      <c r="I1677" s="29"/>
      <c r="J1677" s="33">
        <f>IF($O1677="방문완료",MAX(0,IFERROR(VLOOKUP($E1677,설정_코스수당!$A$6:$H$10,4,FALSE),0)-IF(OR($P1677="",$P1677="없음"),0,100000)),0)</f>
        <v>0</v>
      </c>
      <c r="K1677" s="33">
        <f t="array" ref="K1677">IF($O1677="방문완료",IFERROR(INDEX(설정_코스수당!$B$15:$F$64,MATCH($G1677,설정_코스수당!$A$15:$A$64,0),MATCH($E1677&amp;"수당",설정_코스수당!$B$14:$F$14,0)),0),0)</f>
        <v>0</v>
      </c>
      <c r="L1677" s="33">
        <f t="array" ref="L1677">IF($O1677="방문완료",IF($H1677="",0,IFERROR(INDEX(설정_코스수당!$B$15:$F$64,MATCH($H1677,설정_코스수당!$A$15:$A$64,0),MATCH($E1677&amp;"수당",설정_코스수당!$B$14:$F$14,0)),0)),0)</f>
        <v>0</v>
      </c>
      <c r="M1677" s="33">
        <f>IF($O1677="방문완료",IFERROR(VLOOKUP($E1677,설정_코스수당!$A$6:$H$10,6,FALSE),0),0)</f>
        <v>0</v>
      </c>
      <c r="N1677" s="34">
        <f t="shared" si="48"/>
        <v>0</v>
      </c>
      <c r="O1677" s="29"/>
      <c r="P1677" s="29"/>
      <c r="Q1677" s="29"/>
      <c r="R1677" s="32"/>
      <c r="S1677" s="29"/>
      <c r="U1677" s="113"/>
      <c r="V1677" s="111"/>
      <c r="W1677" s="112"/>
      <c r="X1677" s="111"/>
    </row>
    <row r="1678" spans="1:24" ht="19.5" hidden="1" customHeight="1" outlineLevel="1">
      <c r="A1678" s="23">
        <v>17</v>
      </c>
      <c r="B1678" s="24">
        <f>IF(17&lt;=DAY(DATE(YEAR(설정_코스수당!$K$2),MONTH(설정_코스수당!$K$2)+1,0)),DATE(YEAR(설정_코스수당!$K$2),MONTH(설정_코스수당!$K$2),17),"")</f>
        <v>46190</v>
      </c>
      <c r="C1678" s="25"/>
      <c r="D1678" s="23"/>
      <c r="E1678" s="23"/>
      <c r="F1678" s="26"/>
      <c r="G1678" s="23"/>
      <c r="H1678" s="23"/>
      <c r="I1678" s="23"/>
      <c r="J1678" s="27">
        <f>IF($O1678="방문완료",MAX(0,IFERROR(VLOOKUP($E1678,설정_코스수당!$A$6:$H$10,4,FALSE),0)-IF(OR($P1678="",$P1678="없음"),0,100000)),0)</f>
        <v>0</v>
      </c>
      <c r="K1678" s="27">
        <f t="array" ref="K1678">IF($O1678="방문완료",IFERROR(INDEX(설정_코스수당!$B$15:$F$64,MATCH($G1678,설정_코스수당!$A$15:$A$64,0),MATCH($E1678&amp;"수당",설정_코스수당!$B$14:$F$14,0)),0),0)</f>
        <v>0</v>
      </c>
      <c r="L1678" s="27">
        <f t="array" ref="L1678">IF($O1678="방문완료",IF($H1678="",0,IFERROR(INDEX(설정_코스수당!$B$15:$F$64,MATCH($H1678,설정_코스수당!$A$15:$A$64,0),MATCH($E1678&amp;"수당",설정_코스수당!$B$14:$F$14,0)),0)),0)</f>
        <v>0</v>
      </c>
      <c r="M1678" s="27">
        <f>IF($O1678="방문완료",IFERROR(VLOOKUP($E1678,설정_코스수당!$A$6:$H$10,6,FALSE),0),0)</f>
        <v>0</v>
      </c>
      <c r="N1678" s="28">
        <f t="shared" si="48"/>
        <v>0</v>
      </c>
      <c r="O1678" s="23"/>
      <c r="P1678" s="23"/>
      <c r="Q1678" s="23"/>
      <c r="R1678" s="26"/>
      <c r="S1678" s="23"/>
      <c r="U1678" s="113"/>
      <c r="V1678" s="111"/>
      <c r="W1678" s="112"/>
      <c r="X1678" s="111"/>
    </row>
    <row r="1679" spans="1:24" ht="19.5" hidden="1" customHeight="1" outlineLevel="1">
      <c r="A1679" s="29">
        <v>18</v>
      </c>
      <c r="B1679" s="30">
        <f>IF(17&lt;=DAY(DATE(YEAR(설정_코스수당!$K$2),MONTH(설정_코스수당!$K$2)+1,0)),DATE(YEAR(설정_코스수당!$K$2),MONTH(설정_코스수당!$K$2),17),"")</f>
        <v>46190</v>
      </c>
      <c r="C1679" s="31"/>
      <c r="D1679" s="29"/>
      <c r="E1679" s="29"/>
      <c r="F1679" s="32"/>
      <c r="G1679" s="29"/>
      <c r="H1679" s="29"/>
      <c r="I1679" s="29"/>
      <c r="J1679" s="33">
        <f>IF($O1679="방문완료",MAX(0,IFERROR(VLOOKUP($E1679,설정_코스수당!$A$6:$H$10,4,FALSE),0)-IF(OR($P1679="",$P1679="없음"),0,100000)),0)</f>
        <v>0</v>
      </c>
      <c r="K1679" s="33">
        <f t="array" ref="K1679">IF($O1679="방문완료",IFERROR(INDEX(설정_코스수당!$B$15:$F$64,MATCH($G1679,설정_코스수당!$A$15:$A$64,0),MATCH($E1679&amp;"수당",설정_코스수당!$B$14:$F$14,0)),0),0)</f>
        <v>0</v>
      </c>
      <c r="L1679" s="33">
        <f t="array" ref="L1679">IF($O1679="방문완료",IF($H1679="",0,IFERROR(INDEX(설정_코스수당!$B$15:$F$64,MATCH($H1679,설정_코스수당!$A$15:$A$64,0),MATCH($E1679&amp;"수당",설정_코스수당!$B$14:$F$14,0)),0)),0)</f>
        <v>0</v>
      </c>
      <c r="M1679" s="33">
        <f>IF($O1679="방문완료",IFERROR(VLOOKUP($E1679,설정_코스수당!$A$6:$H$10,6,FALSE),0),0)</f>
        <v>0</v>
      </c>
      <c r="N1679" s="34">
        <f t="shared" si="48"/>
        <v>0</v>
      </c>
      <c r="O1679" s="29"/>
      <c r="P1679" s="29"/>
      <c r="Q1679" s="29"/>
      <c r="R1679" s="32"/>
      <c r="S1679" s="29"/>
      <c r="U1679" s="113"/>
      <c r="V1679" s="111"/>
      <c r="W1679" s="112"/>
      <c r="X1679" s="111"/>
    </row>
    <row r="1680" spans="1:24" ht="19.5" hidden="1" customHeight="1" outlineLevel="1">
      <c r="A1680" s="23">
        <v>19</v>
      </c>
      <c r="B1680" s="24">
        <f>IF(17&lt;=DAY(DATE(YEAR(설정_코스수당!$K$2),MONTH(설정_코스수당!$K$2)+1,0)),DATE(YEAR(설정_코스수당!$K$2),MONTH(설정_코스수당!$K$2),17),"")</f>
        <v>46190</v>
      </c>
      <c r="C1680" s="25"/>
      <c r="D1680" s="23"/>
      <c r="E1680" s="23"/>
      <c r="F1680" s="26"/>
      <c r="G1680" s="23"/>
      <c r="H1680" s="23"/>
      <c r="I1680" s="23"/>
      <c r="J1680" s="27">
        <f>IF($O1680="방문완료",MAX(0,IFERROR(VLOOKUP($E1680,설정_코스수당!$A$6:$H$10,4,FALSE),0)-IF(OR($P1680="",$P1680="없음"),0,100000)),0)</f>
        <v>0</v>
      </c>
      <c r="K1680" s="27">
        <f t="array" ref="K1680">IF($O1680="방문완료",IFERROR(INDEX(설정_코스수당!$B$15:$F$64,MATCH($G1680,설정_코스수당!$A$15:$A$64,0),MATCH($E1680&amp;"수당",설정_코스수당!$B$14:$F$14,0)),0),0)</f>
        <v>0</v>
      </c>
      <c r="L1680" s="27">
        <f t="array" ref="L1680">IF($O1680="방문완료",IF($H1680="",0,IFERROR(INDEX(설정_코스수당!$B$15:$F$64,MATCH($H1680,설정_코스수당!$A$15:$A$64,0),MATCH($E1680&amp;"수당",설정_코스수당!$B$14:$F$14,0)),0)),0)</f>
        <v>0</v>
      </c>
      <c r="M1680" s="27">
        <f>IF($O1680="방문완료",IFERROR(VLOOKUP($E1680,설정_코스수당!$A$6:$H$10,6,FALSE),0),0)</f>
        <v>0</v>
      </c>
      <c r="N1680" s="28">
        <f t="shared" si="48"/>
        <v>0</v>
      </c>
      <c r="O1680" s="23"/>
      <c r="P1680" s="23"/>
      <c r="Q1680" s="23"/>
      <c r="R1680" s="26"/>
      <c r="S1680" s="23"/>
      <c r="U1680" s="113"/>
      <c r="V1680" s="111"/>
      <c r="W1680" s="112"/>
      <c r="X1680" s="111"/>
    </row>
    <row r="1681" spans="1:19" ht="19.5" hidden="1" customHeight="1" outlineLevel="1">
      <c r="A1681" s="29">
        <v>20</v>
      </c>
      <c r="B1681" s="30">
        <f>IF(17&lt;=DAY(DATE(YEAR(설정_코스수당!$K$2),MONTH(설정_코스수당!$K$2)+1,0)),DATE(YEAR(설정_코스수당!$K$2),MONTH(설정_코스수당!$K$2),17),"")</f>
        <v>46190</v>
      </c>
      <c r="C1681" s="31"/>
      <c r="D1681" s="29"/>
      <c r="E1681" s="29"/>
      <c r="F1681" s="32"/>
      <c r="G1681" s="29"/>
      <c r="H1681" s="29"/>
      <c r="I1681" s="29"/>
      <c r="J1681" s="33">
        <f>IF($O1681="방문완료",MAX(0,IFERROR(VLOOKUP($E1681,설정_코스수당!$A$6:$H$10,4,FALSE),0)-IF(OR($P1681="",$P1681="없음"),0,100000)),0)</f>
        <v>0</v>
      </c>
      <c r="K1681" s="33">
        <f t="array" ref="K1681">IF($O1681="방문완료",IFERROR(INDEX(설정_코스수당!$B$15:$F$64,MATCH($G1681,설정_코스수당!$A$15:$A$64,0),MATCH($E1681&amp;"수당",설정_코스수당!$B$14:$F$14,0)),0),0)</f>
        <v>0</v>
      </c>
      <c r="L1681" s="33">
        <f t="array" ref="L1681">IF($O1681="방문완료",IF($H1681="",0,IFERROR(INDEX(설정_코스수당!$B$15:$F$64,MATCH($H1681,설정_코스수당!$A$15:$A$64,0),MATCH($E1681&amp;"수당",설정_코스수당!$B$14:$F$14,0)),0)),0)</f>
        <v>0</v>
      </c>
      <c r="M1681" s="33">
        <f>IF($O1681="방문완료",IFERROR(VLOOKUP($E1681,설정_코스수당!$A$6:$H$10,6,FALSE),0),0)</f>
        <v>0</v>
      </c>
      <c r="N1681" s="34">
        <f t="shared" si="48"/>
        <v>0</v>
      </c>
      <c r="O1681" s="29"/>
      <c r="P1681" s="29"/>
      <c r="Q1681" s="29"/>
      <c r="R1681" s="32"/>
      <c r="S1681" s="29"/>
    </row>
    <row r="1682" spans="1:19" ht="19.5" hidden="1" customHeight="1" outlineLevel="1">
      <c r="A1682" s="23">
        <v>21</v>
      </c>
      <c r="B1682" s="24">
        <f>IF(17&lt;=DAY(DATE(YEAR(설정_코스수당!$K$2),MONTH(설정_코스수당!$K$2)+1,0)),DATE(YEAR(설정_코스수당!$K$2),MONTH(설정_코스수당!$K$2),17),"")</f>
        <v>46190</v>
      </c>
      <c r="C1682" s="25"/>
      <c r="D1682" s="23"/>
      <c r="E1682" s="23"/>
      <c r="F1682" s="26"/>
      <c r="G1682" s="23"/>
      <c r="H1682" s="23"/>
      <c r="I1682" s="23"/>
      <c r="J1682" s="27">
        <f>IF($O1682="방문완료",MAX(0,IFERROR(VLOOKUP($E1682,설정_코스수당!$A$6:$H$10,4,FALSE),0)-IF(OR($P1682="",$P1682="없음"),0,100000)),0)</f>
        <v>0</v>
      </c>
      <c r="K1682" s="27">
        <f t="array" ref="K1682">IF($O1682="방문완료",IFERROR(INDEX(설정_코스수당!$B$15:$F$64,MATCH($G1682,설정_코스수당!$A$15:$A$64,0),MATCH($E1682&amp;"수당",설정_코스수당!$B$14:$F$14,0)),0),0)</f>
        <v>0</v>
      </c>
      <c r="L1682" s="27">
        <f t="array" ref="L1682">IF($O1682="방문완료",IF($H1682="",0,IFERROR(INDEX(설정_코스수당!$B$15:$F$64,MATCH($H1682,설정_코스수당!$A$15:$A$64,0),MATCH($E1682&amp;"수당",설정_코스수당!$B$14:$F$14,0)),0)),0)</f>
        <v>0</v>
      </c>
      <c r="M1682" s="27">
        <f>IF($O1682="방문완료",IFERROR(VLOOKUP($E1682,설정_코스수당!$A$6:$H$10,6,FALSE),0),0)</f>
        <v>0</v>
      </c>
      <c r="N1682" s="28">
        <f t="shared" si="48"/>
        <v>0</v>
      </c>
      <c r="O1682" s="23"/>
      <c r="P1682" s="23"/>
      <c r="Q1682" s="23"/>
      <c r="R1682" s="26"/>
      <c r="S1682" s="23"/>
    </row>
    <row r="1683" spans="1:19" ht="19.5" hidden="1" customHeight="1" outlineLevel="1">
      <c r="A1683" s="29">
        <v>22</v>
      </c>
      <c r="B1683" s="30">
        <f>IF(17&lt;=DAY(DATE(YEAR(설정_코스수당!$K$2),MONTH(설정_코스수당!$K$2)+1,0)),DATE(YEAR(설정_코스수당!$K$2),MONTH(설정_코스수당!$K$2),17),"")</f>
        <v>46190</v>
      </c>
      <c r="C1683" s="31"/>
      <c r="D1683" s="29"/>
      <c r="E1683" s="29"/>
      <c r="F1683" s="32"/>
      <c r="G1683" s="29"/>
      <c r="H1683" s="29"/>
      <c r="I1683" s="29"/>
      <c r="J1683" s="33">
        <f>IF($O1683="방문완료",MAX(0,IFERROR(VLOOKUP($E1683,설정_코스수당!$A$6:$H$10,4,FALSE),0)-IF(OR($P1683="",$P1683="없음"),0,100000)),0)</f>
        <v>0</v>
      </c>
      <c r="K1683" s="33">
        <f t="array" ref="K1683">IF($O1683="방문완료",IFERROR(INDEX(설정_코스수당!$B$15:$F$64,MATCH($G1683,설정_코스수당!$A$15:$A$64,0),MATCH($E1683&amp;"수당",설정_코스수당!$B$14:$F$14,0)),0),0)</f>
        <v>0</v>
      </c>
      <c r="L1683" s="33">
        <f t="array" ref="L1683">IF($O1683="방문완료",IF($H1683="",0,IFERROR(INDEX(설정_코스수당!$B$15:$F$64,MATCH($H1683,설정_코스수당!$A$15:$A$64,0),MATCH($E1683&amp;"수당",설정_코스수당!$B$14:$F$14,0)),0)),0)</f>
        <v>0</v>
      </c>
      <c r="M1683" s="33">
        <f>IF($O1683="방문완료",IFERROR(VLOOKUP($E1683,설정_코스수당!$A$6:$H$10,6,FALSE),0),0)</f>
        <v>0</v>
      </c>
      <c r="N1683" s="34">
        <f t="shared" si="48"/>
        <v>0</v>
      </c>
      <c r="O1683" s="29"/>
      <c r="P1683" s="29"/>
      <c r="Q1683" s="29"/>
      <c r="R1683" s="32"/>
      <c r="S1683" s="29"/>
    </row>
    <row r="1684" spans="1:19" ht="19.5" hidden="1" customHeight="1" outlineLevel="1">
      <c r="A1684" s="23">
        <v>23</v>
      </c>
      <c r="B1684" s="24">
        <f>IF(17&lt;=DAY(DATE(YEAR(설정_코스수당!$K$2),MONTH(설정_코스수당!$K$2)+1,0)),DATE(YEAR(설정_코스수당!$K$2),MONTH(설정_코스수당!$K$2),17),"")</f>
        <v>46190</v>
      </c>
      <c r="C1684" s="25"/>
      <c r="D1684" s="23"/>
      <c r="E1684" s="23"/>
      <c r="F1684" s="26"/>
      <c r="G1684" s="23"/>
      <c r="H1684" s="23"/>
      <c r="I1684" s="23"/>
      <c r="J1684" s="27">
        <f>IF($O1684="방문완료",MAX(0,IFERROR(VLOOKUP($E1684,설정_코스수당!$A$6:$H$10,4,FALSE),0)-IF(OR($P1684="",$P1684="없음"),0,100000)),0)</f>
        <v>0</v>
      </c>
      <c r="K1684" s="27">
        <f t="array" ref="K1684">IF($O1684="방문완료",IFERROR(INDEX(설정_코스수당!$B$15:$F$64,MATCH($G1684,설정_코스수당!$A$15:$A$64,0),MATCH($E1684&amp;"수당",설정_코스수당!$B$14:$F$14,0)),0),0)</f>
        <v>0</v>
      </c>
      <c r="L1684" s="27">
        <f t="array" ref="L1684">IF($O1684="방문완료",IF($H1684="",0,IFERROR(INDEX(설정_코스수당!$B$15:$F$64,MATCH($H1684,설정_코스수당!$A$15:$A$64,0),MATCH($E1684&amp;"수당",설정_코스수당!$B$14:$F$14,0)),0)),0)</f>
        <v>0</v>
      </c>
      <c r="M1684" s="27">
        <f>IF($O1684="방문완료",IFERROR(VLOOKUP($E1684,설정_코스수당!$A$6:$H$10,6,FALSE),0),0)</f>
        <v>0</v>
      </c>
      <c r="N1684" s="28">
        <f t="shared" si="48"/>
        <v>0</v>
      </c>
      <c r="O1684" s="23"/>
      <c r="P1684" s="23"/>
      <c r="Q1684" s="23"/>
      <c r="R1684" s="26"/>
      <c r="S1684" s="23"/>
    </row>
    <row r="1685" spans="1:19" ht="19.5" hidden="1" customHeight="1" outlineLevel="1">
      <c r="A1685" s="29">
        <v>24</v>
      </c>
      <c r="B1685" s="30">
        <f>IF(17&lt;=DAY(DATE(YEAR(설정_코스수당!$K$2),MONTH(설정_코스수당!$K$2)+1,0)),DATE(YEAR(설정_코스수당!$K$2),MONTH(설정_코스수당!$K$2),17),"")</f>
        <v>46190</v>
      </c>
      <c r="C1685" s="31"/>
      <c r="D1685" s="29"/>
      <c r="E1685" s="29"/>
      <c r="F1685" s="32"/>
      <c r="G1685" s="29"/>
      <c r="H1685" s="29"/>
      <c r="I1685" s="29"/>
      <c r="J1685" s="33">
        <f>IF($O1685="방문완료",MAX(0,IFERROR(VLOOKUP($E1685,설정_코스수당!$A$6:$H$10,4,FALSE),0)-IF(OR($P1685="",$P1685="없음"),0,100000)),0)</f>
        <v>0</v>
      </c>
      <c r="K1685" s="33">
        <f t="array" ref="K1685">IF($O1685="방문완료",IFERROR(INDEX(설정_코스수당!$B$15:$F$64,MATCH($G1685,설정_코스수당!$A$15:$A$64,0),MATCH($E1685&amp;"수당",설정_코스수당!$B$14:$F$14,0)),0),0)</f>
        <v>0</v>
      </c>
      <c r="L1685" s="33">
        <f t="array" ref="L1685">IF($O1685="방문완료",IF($H1685="",0,IFERROR(INDEX(설정_코스수당!$B$15:$F$64,MATCH($H1685,설정_코스수당!$A$15:$A$64,0),MATCH($E1685&amp;"수당",설정_코스수당!$B$14:$F$14,0)),0)),0)</f>
        <v>0</v>
      </c>
      <c r="M1685" s="33">
        <f>IF($O1685="방문완료",IFERROR(VLOOKUP($E1685,설정_코스수당!$A$6:$H$10,6,FALSE),0),0)</f>
        <v>0</v>
      </c>
      <c r="N1685" s="34">
        <f t="shared" si="48"/>
        <v>0</v>
      </c>
      <c r="O1685" s="29"/>
      <c r="P1685" s="29"/>
      <c r="Q1685" s="29"/>
      <c r="R1685" s="32"/>
      <c r="S1685" s="29"/>
    </row>
    <row r="1686" spans="1:19" ht="19.5" hidden="1" customHeight="1" outlineLevel="1">
      <c r="A1686" s="23">
        <v>25</v>
      </c>
      <c r="B1686" s="24">
        <f>IF(17&lt;=DAY(DATE(YEAR(설정_코스수당!$K$2),MONTH(설정_코스수당!$K$2)+1,0)),DATE(YEAR(설정_코스수당!$K$2),MONTH(설정_코스수당!$K$2),17),"")</f>
        <v>46190</v>
      </c>
      <c r="C1686" s="25"/>
      <c r="D1686" s="23"/>
      <c r="E1686" s="23"/>
      <c r="F1686" s="26"/>
      <c r="G1686" s="23"/>
      <c r="H1686" s="23"/>
      <c r="I1686" s="23"/>
      <c r="J1686" s="27">
        <f>IF($O1686="방문완료",MAX(0,IFERROR(VLOOKUP($E1686,설정_코스수당!$A$6:$H$10,4,FALSE),0)-IF(OR($P1686="",$P1686="없음"),0,100000)),0)</f>
        <v>0</v>
      </c>
      <c r="K1686" s="27">
        <f t="array" ref="K1686">IF($O1686="방문완료",IFERROR(INDEX(설정_코스수당!$B$15:$F$64,MATCH($G1686,설정_코스수당!$A$15:$A$64,0),MATCH($E1686&amp;"수당",설정_코스수당!$B$14:$F$14,0)),0),0)</f>
        <v>0</v>
      </c>
      <c r="L1686" s="27">
        <f t="array" ref="L1686">IF($O1686="방문완료",IF($H1686="",0,IFERROR(INDEX(설정_코스수당!$B$15:$F$64,MATCH($H1686,설정_코스수당!$A$15:$A$64,0),MATCH($E1686&amp;"수당",설정_코스수당!$B$14:$F$14,0)),0)),0)</f>
        <v>0</v>
      </c>
      <c r="M1686" s="27">
        <f>IF($O1686="방문완료",IFERROR(VLOOKUP($E1686,설정_코스수당!$A$6:$H$10,6,FALSE),0),0)</f>
        <v>0</v>
      </c>
      <c r="N1686" s="28">
        <f t="shared" si="48"/>
        <v>0</v>
      </c>
      <c r="O1686" s="23"/>
      <c r="P1686" s="23"/>
      <c r="Q1686" s="23"/>
      <c r="R1686" s="26"/>
      <c r="S1686" s="23"/>
    </row>
    <row r="1687" spans="1:19" ht="19.5" hidden="1" customHeight="1" outlineLevel="1">
      <c r="A1687" s="29">
        <v>26</v>
      </c>
      <c r="B1687" s="30">
        <f>IF(17&lt;=DAY(DATE(YEAR(설정_코스수당!$K$2),MONTH(설정_코스수당!$K$2)+1,0)),DATE(YEAR(설정_코스수당!$K$2),MONTH(설정_코스수당!$K$2),17),"")</f>
        <v>46190</v>
      </c>
      <c r="C1687" s="31"/>
      <c r="D1687" s="29"/>
      <c r="E1687" s="29"/>
      <c r="F1687" s="32"/>
      <c r="G1687" s="29"/>
      <c r="H1687" s="29"/>
      <c r="I1687" s="29"/>
      <c r="J1687" s="33">
        <f>IF($O1687="방문완료",MAX(0,IFERROR(VLOOKUP($E1687,설정_코스수당!$A$6:$H$10,4,FALSE),0)-IF(OR($P1687="",$P1687="없음"),0,100000)),0)</f>
        <v>0</v>
      </c>
      <c r="K1687" s="33">
        <f t="array" ref="K1687">IF($O1687="방문완료",IFERROR(INDEX(설정_코스수당!$B$15:$F$64,MATCH($G1687,설정_코스수당!$A$15:$A$64,0),MATCH($E1687&amp;"수당",설정_코스수당!$B$14:$F$14,0)),0),0)</f>
        <v>0</v>
      </c>
      <c r="L1687" s="33">
        <f t="array" ref="L1687">IF($O1687="방문완료",IF($H1687="",0,IFERROR(INDEX(설정_코스수당!$B$15:$F$64,MATCH($H1687,설정_코스수당!$A$15:$A$64,0),MATCH($E1687&amp;"수당",설정_코스수당!$B$14:$F$14,0)),0)),0)</f>
        <v>0</v>
      </c>
      <c r="M1687" s="33">
        <f>IF($O1687="방문완료",IFERROR(VLOOKUP($E1687,설정_코스수당!$A$6:$H$10,6,FALSE),0),0)</f>
        <v>0</v>
      </c>
      <c r="N1687" s="34">
        <f t="shared" si="48"/>
        <v>0</v>
      </c>
      <c r="O1687" s="29"/>
      <c r="P1687" s="29"/>
      <c r="Q1687" s="29"/>
      <c r="R1687" s="32"/>
      <c r="S1687" s="29"/>
    </row>
    <row r="1688" spans="1:19" ht="19.5" hidden="1" customHeight="1" outlineLevel="1">
      <c r="A1688" s="23">
        <v>27</v>
      </c>
      <c r="B1688" s="24">
        <f>IF(17&lt;=DAY(DATE(YEAR(설정_코스수당!$K$2),MONTH(설정_코스수당!$K$2)+1,0)),DATE(YEAR(설정_코스수당!$K$2),MONTH(설정_코스수당!$K$2),17),"")</f>
        <v>46190</v>
      </c>
      <c r="C1688" s="25"/>
      <c r="D1688" s="23"/>
      <c r="E1688" s="23"/>
      <c r="F1688" s="26"/>
      <c r="G1688" s="23"/>
      <c r="H1688" s="23"/>
      <c r="I1688" s="23"/>
      <c r="J1688" s="27">
        <f>IF($O1688="방문완료",MAX(0,IFERROR(VLOOKUP($E1688,설정_코스수당!$A$6:$H$10,4,FALSE),0)-IF(OR($P1688="",$P1688="없음"),0,100000)),0)</f>
        <v>0</v>
      </c>
      <c r="K1688" s="27">
        <f t="array" ref="K1688">IF($O1688="방문완료",IFERROR(INDEX(설정_코스수당!$B$15:$F$64,MATCH($G1688,설정_코스수당!$A$15:$A$64,0),MATCH($E1688&amp;"수당",설정_코스수당!$B$14:$F$14,0)),0),0)</f>
        <v>0</v>
      </c>
      <c r="L1688" s="27">
        <f t="array" ref="L1688">IF($O1688="방문완료",IF($H1688="",0,IFERROR(INDEX(설정_코스수당!$B$15:$F$64,MATCH($H1688,설정_코스수당!$A$15:$A$64,0),MATCH($E1688&amp;"수당",설정_코스수당!$B$14:$F$14,0)),0)),0)</f>
        <v>0</v>
      </c>
      <c r="M1688" s="27">
        <f>IF($O1688="방문완료",IFERROR(VLOOKUP($E1688,설정_코스수당!$A$6:$H$10,6,FALSE),0),0)</f>
        <v>0</v>
      </c>
      <c r="N1688" s="28">
        <f t="shared" si="48"/>
        <v>0</v>
      </c>
      <c r="O1688" s="23"/>
      <c r="P1688" s="23"/>
      <c r="Q1688" s="23"/>
      <c r="R1688" s="26"/>
      <c r="S1688" s="23"/>
    </row>
    <row r="1689" spans="1:19" ht="19.5" hidden="1" customHeight="1" outlineLevel="1">
      <c r="A1689" s="29">
        <v>28</v>
      </c>
      <c r="B1689" s="30">
        <f>IF(17&lt;=DAY(DATE(YEAR(설정_코스수당!$K$2),MONTH(설정_코스수당!$K$2)+1,0)),DATE(YEAR(설정_코스수당!$K$2),MONTH(설정_코스수당!$K$2),17),"")</f>
        <v>46190</v>
      </c>
      <c r="C1689" s="31"/>
      <c r="D1689" s="29"/>
      <c r="E1689" s="29"/>
      <c r="F1689" s="32"/>
      <c r="G1689" s="29"/>
      <c r="H1689" s="29"/>
      <c r="I1689" s="29"/>
      <c r="J1689" s="33">
        <f>IF($O1689="방문완료",MAX(0,IFERROR(VLOOKUP($E1689,설정_코스수당!$A$6:$H$10,4,FALSE),0)-IF(OR($P1689="",$P1689="없음"),0,100000)),0)</f>
        <v>0</v>
      </c>
      <c r="K1689" s="33">
        <f t="array" ref="K1689">IF($O1689="방문완료",IFERROR(INDEX(설정_코스수당!$B$15:$F$64,MATCH($G1689,설정_코스수당!$A$15:$A$64,0),MATCH($E1689&amp;"수당",설정_코스수당!$B$14:$F$14,0)),0),0)</f>
        <v>0</v>
      </c>
      <c r="L1689" s="33">
        <f t="array" ref="L1689">IF($O1689="방문완료",IF($H1689="",0,IFERROR(INDEX(설정_코스수당!$B$15:$F$64,MATCH($H1689,설정_코스수당!$A$15:$A$64,0),MATCH($E1689&amp;"수당",설정_코스수당!$B$14:$F$14,0)),0)),0)</f>
        <v>0</v>
      </c>
      <c r="M1689" s="33">
        <f>IF($O1689="방문완료",IFERROR(VLOOKUP($E1689,설정_코스수당!$A$6:$H$10,6,FALSE),0),0)</f>
        <v>0</v>
      </c>
      <c r="N1689" s="34">
        <f t="shared" si="48"/>
        <v>0</v>
      </c>
      <c r="O1689" s="29"/>
      <c r="P1689" s="29"/>
      <c r="Q1689" s="29"/>
      <c r="R1689" s="32"/>
      <c r="S1689" s="29"/>
    </row>
    <row r="1690" spans="1:19" ht="19.5" hidden="1" customHeight="1" outlineLevel="1">
      <c r="A1690" s="23">
        <v>29</v>
      </c>
      <c r="B1690" s="24">
        <f>IF(17&lt;=DAY(DATE(YEAR(설정_코스수당!$K$2),MONTH(설정_코스수당!$K$2)+1,0)),DATE(YEAR(설정_코스수당!$K$2),MONTH(설정_코스수당!$K$2),17),"")</f>
        <v>46190</v>
      </c>
      <c r="C1690" s="25"/>
      <c r="D1690" s="23"/>
      <c r="E1690" s="23"/>
      <c r="F1690" s="26"/>
      <c r="G1690" s="23"/>
      <c r="H1690" s="23"/>
      <c r="I1690" s="23"/>
      <c r="J1690" s="27">
        <f>IF($O1690="방문완료",MAX(0,IFERROR(VLOOKUP($E1690,설정_코스수당!$A$6:$H$10,4,FALSE),0)-IF(OR($P1690="",$P1690="없음"),0,100000)),0)</f>
        <v>0</v>
      </c>
      <c r="K1690" s="27">
        <f t="array" ref="K1690">IF($O1690="방문완료",IFERROR(INDEX(설정_코스수당!$B$15:$F$64,MATCH($G1690,설정_코스수당!$A$15:$A$64,0),MATCH($E1690&amp;"수당",설정_코스수당!$B$14:$F$14,0)),0),0)</f>
        <v>0</v>
      </c>
      <c r="L1690" s="27">
        <f t="array" ref="L1690">IF($O1690="방문완료",IF($H1690="",0,IFERROR(INDEX(설정_코스수당!$B$15:$F$64,MATCH($H1690,설정_코스수당!$A$15:$A$64,0),MATCH($E1690&amp;"수당",설정_코스수당!$B$14:$F$14,0)),0)),0)</f>
        <v>0</v>
      </c>
      <c r="M1690" s="27">
        <f>IF($O1690="방문완료",IFERROR(VLOOKUP($E1690,설정_코스수당!$A$6:$H$10,6,FALSE),0),0)</f>
        <v>0</v>
      </c>
      <c r="N1690" s="28">
        <f t="shared" si="48"/>
        <v>0</v>
      </c>
      <c r="O1690" s="23"/>
      <c r="P1690" s="23"/>
      <c r="Q1690" s="23"/>
      <c r="R1690" s="26"/>
      <c r="S1690" s="23"/>
    </row>
    <row r="1691" spans="1:19" ht="19.5" hidden="1" customHeight="1" outlineLevel="1">
      <c r="A1691" s="29">
        <v>30</v>
      </c>
      <c r="B1691" s="30">
        <f>IF(17&lt;=DAY(DATE(YEAR(설정_코스수당!$K$2),MONTH(설정_코스수당!$K$2)+1,0)),DATE(YEAR(설정_코스수당!$K$2),MONTH(설정_코스수당!$K$2),17),"")</f>
        <v>46190</v>
      </c>
      <c r="C1691" s="31"/>
      <c r="D1691" s="29"/>
      <c r="E1691" s="29"/>
      <c r="F1691" s="32"/>
      <c r="G1691" s="29"/>
      <c r="H1691" s="29"/>
      <c r="I1691" s="29"/>
      <c r="J1691" s="33">
        <f>IF($O1691="방문완료",MAX(0,IFERROR(VLOOKUP($E1691,설정_코스수당!$A$6:$H$10,4,FALSE),0)-IF(OR($P1691="",$P1691="없음"),0,100000)),0)</f>
        <v>0</v>
      </c>
      <c r="K1691" s="33">
        <f t="array" ref="K1691">IF($O1691="방문완료",IFERROR(INDEX(설정_코스수당!$B$15:$F$64,MATCH($G1691,설정_코스수당!$A$15:$A$64,0),MATCH($E1691&amp;"수당",설정_코스수당!$B$14:$F$14,0)),0),0)</f>
        <v>0</v>
      </c>
      <c r="L1691" s="33">
        <f t="array" ref="L1691">IF($O1691="방문완료",IF($H1691="",0,IFERROR(INDEX(설정_코스수당!$B$15:$F$64,MATCH($H1691,설정_코스수당!$A$15:$A$64,0),MATCH($E1691&amp;"수당",설정_코스수당!$B$14:$F$14,0)),0)),0)</f>
        <v>0</v>
      </c>
      <c r="M1691" s="33">
        <f>IF($O1691="방문완료",IFERROR(VLOOKUP($E1691,설정_코스수당!$A$6:$H$10,6,FALSE),0),0)</f>
        <v>0</v>
      </c>
      <c r="N1691" s="34">
        <f t="shared" si="48"/>
        <v>0</v>
      </c>
      <c r="O1691" s="29"/>
      <c r="P1691" s="29"/>
      <c r="Q1691" s="29"/>
      <c r="R1691" s="32"/>
      <c r="S1691" s="29"/>
    </row>
    <row r="1692" spans="1:19" ht="19.5" hidden="1" customHeight="1" outlineLevel="1">
      <c r="A1692" s="23">
        <v>31</v>
      </c>
      <c r="B1692" s="24">
        <f>IF(17&lt;=DAY(DATE(YEAR(설정_코스수당!$K$2),MONTH(설정_코스수당!$K$2)+1,0)),DATE(YEAR(설정_코스수당!$K$2),MONTH(설정_코스수당!$K$2),17),"")</f>
        <v>46190</v>
      </c>
      <c r="C1692" s="25"/>
      <c r="D1692" s="23"/>
      <c r="E1692" s="23"/>
      <c r="F1692" s="26"/>
      <c r="G1692" s="23"/>
      <c r="H1692" s="23"/>
      <c r="I1692" s="23"/>
      <c r="J1692" s="27">
        <f>IF($O1692="방문완료",MAX(0,IFERROR(VLOOKUP($E1692,설정_코스수당!$A$6:$H$10,4,FALSE),0)-IF(OR($P1692="",$P1692="없음"),0,100000)),0)</f>
        <v>0</v>
      </c>
      <c r="K1692" s="27">
        <f t="array" ref="K1692">IF($O1692="방문완료",IFERROR(INDEX(설정_코스수당!$B$15:$F$64,MATCH($G1692,설정_코스수당!$A$15:$A$64,0),MATCH($E1692&amp;"수당",설정_코스수당!$B$14:$F$14,0)),0),0)</f>
        <v>0</v>
      </c>
      <c r="L1692" s="27">
        <f t="array" ref="L1692">IF($O1692="방문완료",IF($H1692="",0,IFERROR(INDEX(설정_코스수당!$B$15:$F$64,MATCH($H1692,설정_코스수당!$A$15:$A$64,0),MATCH($E1692&amp;"수당",설정_코스수당!$B$14:$F$14,0)),0)),0)</f>
        <v>0</v>
      </c>
      <c r="M1692" s="27">
        <f>IF($O1692="방문완료",IFERROR(VLOOKUP($E1692,설정_코스수당!$A$6:$H$10,6,FALSE),0),0)</f>
        <v>0</v>
      </c>
      <c r="N1692" s="28">
        <f t="shared" si="48"/>
        <v>0</v>
      </c>
      <c r="O1692" s="23"/>
      <c r="P1692" s="23"/>
      <c r="Q1692" s="23"/>
      <c r="R1692" s="26"/>
      <c r="S1692" s="23"/>
    </row>
    <row r="1693" spans="1:19" ht="19.5" hidden="1" customHeight="1" outlineLevel="1">
      <c r="A1693" s="29">
        <v>32</v>
      </c>
      <c r="B1693" s="30">
        <f>IF(17&lt;=DAY(DATE(YEAR(설정_코스수당!$K$2),MONTH(설정_코스수당!$K$2)+1,0)),DATE(YEAR(설정_코스수당!$K$2),MONTH(설정_코스수당!$K$2),17),"")</f>
        <v>46190</v>
      </c>
      <c r="C1693" s="31"/>
      <c r="D1693" s="29"/>
      <c r="E1693" s="29"/>
      <c r="F1693" s="32"/>
      <c r="G1693" s="29"/>
      <c r="H1693" s="29"/>
      <c r="I1693" s="29"/>
      <c r="J1693" s="33">
        <f>IF($O1693="방문완료",MAX(0,IFERROR(VLOOKUP($E1693,설정_코스수당!$A$6:$H$10,4,FALSE),0)-IF(OR($P1693="",$P1693="없음"),0,100000)),0)</f>
        <v>0</v>
      </c>
      <c r="K1693" s="33">
        <f t="array" ref="K1693">IF($O1693="방문완료",IFERROR(INDEX(설정_코스수당!$B$15:$F$64,MATCH($G1693,설정_코스수당!$A$15:$A$64,0),MATCH($E1693&amp;"수당",설정_코스수당!$B$14:$F$14,0)),0),0)</f>
        <v>0</v>
      </c>
      <c r="L1693" s="33">
        <f t="array" ref="L1693">IF($O1693="방문완료",IF($H1693="",0,IFERROR(INDEX(설정_코스수당!$B$15:$F$64,MATCH($H1693,설정_코스수당!$A$15:$A$64,0),MATCH($E1693&amp;"수당",설정_코스수당!$B$14:$F$14,0)),0)),0)</f>
        <v>0</v>
      </c>
      <c r="M1693" s="33">
        <f>IF($O1693="방문완료",IFERROR(VLOOKUP($E1693,설정_코스수당!$A$6:$H$10,6,FALSE),0),0)</f>
        <v>0</v>
      </c>
      <c r="N1693" s="34">
        <f t="shared" si="48"/>
        <v>0</v>
      </c>
      <c r="O1693" s="29"/>
      <c r="P1693" s="29"/>
      <c r="Q1693" s="29"/>
      <c r="R1693" s="32"/>
      <c r="S1693" s="29"/>
    </row>
    <row r="1694" spans="1:19" ht="19.5" hidden="1" customHeight="1" outlineLevel="1">
      <c r="A1694" s="23">
        <v>33</v>
      </c>
      <c r="B1694" s="24">
        <f>IF(17&lt;=DAY(DATE(YEAR(설정_코스수당!$K$2),MONTH(설정_코스수당!$K$2)+1,0)),DATE(YEAR(설정_코스수당!$K$2),MONTH(설정_코스수당!$K$2),17),"")</f>
        <v>46190</v>
      </c>
      <c r="C1694" s="25"/>
      <c r="D1694" s="23"/>
      <c r="E1694" s="23"/>
      <c r="F1694" s="26"/>
      <c r="G1694" s="23"/>
      <c r="H1694" s="23"/>
      <c r="I1694" s="23"/>
      <c r="J1694" s="27">
        <f>IF($O1694="방문완료",MAX(0,IFERROR(VLOOKUP($E1694,설정_코스수당!$A$6:$H$10,4,FALSE),0)-IF(OR($P1694="",$P1694="없음"),0,100000)),0)</f>
        <v>0</v>
      </c>
      <c r="K1694" s="27">
        <f t="array" ref="K1694">IF($O1694="방문완료",IFERROR(INDEX(설정_코스수당!$B$15:$F$64,MATCH($G1694,설정_코스수당!$A$15:$A$64,0),MATCH($E1694&amp;"수당",설정_코스수당!$B$14:$F$14,0)),0),0)</f>
        <v>0</v>
      </c>
      <c r="L1694" s="27">
        <f t="array" ref="L1694">IF($O1694="방문완료",IF($H1694="",0,IFERROR(INDEX(설정_코스수당!$B$15:$F$64,MATCH($H1694,설정_코스수당!$A$15:$A$64,0),MATCH($E1694&amp;"수당",설정_코스수당!$B$14:$F$14,0)),0)),0)</f>
        <v>0</v>
      </c>
      <c r="M1694" s="27">
        <f>IF($O1694="방문완료",IFERROR(VLOOKUP($E1694,설정_코스수당!$A$6:$H$10,6,FALSE),0),0)</f>
        <v>0</v>
      </c>
      <c r="N1694" s="28">
        <f t="shared" ref="N1694:N1725" si="49">IF($O1694="방문완료",1,0)</f>
        <v>0</v>
      </c>
      <c r="O1694" s="23"/>
      <c r="P1694" s="23"/>
      <c r="Q1694" s="23"/>
      <c r="R1694" s="26"/>
      <c r="S1694" s="23"/>
    </row>
    <row r="1695" spans="1:19" ht="19.5" hidden="1" customHeight="1" outlineLevel="1">
      <c r="A1695" s="29">
        <v>34</v>
      </c>
      <c r="B1695" s="30">
        <f>IF(17&lt;=DAY(DATE(YEAR(설정_코스수당!$K$2),MONTH(설정_코스수당!$K$2)+1,0)),DATE(YEAR(설정_코스수당!$K$2),MONTH(설정_코스수당!$K$2),17),"")</f>
        <v>46190</v>
      </c>
      <c r="C1695" s="31"/>
      <c r="D1695" s="29"/>
      <c r="E1695" s="29"/>
      <c r="F1695" s="32"/>
      <c r="G1695" s="29"/>
      <c r="H1695" s="29"/>
      <c r="I1695" s="29"/>
      <c r="J1695" s="33">
        <f>IF($O1695="방문완료",MAX(0,IFERROR(VLOOKUP($E1695,설정_코스수당!$A$6:$H$10,4,FALSE),0)-IF(OR($P1695="",$P1695="없음"),0,100000)),0)</f>
        <v>0</v>
      </c>
      <c r="K1695" s="33">
        <f t="array" ref="K1695">IF($O1695="방문완료",IFERROR(INDEX(설정_코스수당!$B$15:$F$64,MATCH($G1695,설정_코스수당!$A$15:$A$64,0),MATCH($E1695&amp;"수당",설정_코스수당!$B$14:$F$14,0)),0),0)</f>
        <v>0</v>
      </c>
      <c r="L1695" s="33">
        <f t="array" ref="L1695">IF($O1695="방문완료",IF($H1695="",0,IFERROR(INDEX(설정_코스수당!$B$15:$F$64,MATCH($H1695,설정_코스수당!$A$15:$A$64,0),MATCH($E1695&amp;"수당",설정_코스수당!$B$14:$F$14,0)),0)),0)</f>
        <v>0</v>
      </c>
      <c r="M1695" s="33">
        <f>IF($O1695="방문완료",IFERROR(VLOOKUP($E1695,설정_코스수당!$A$6:$H$10,6,FALSE),0),0)</f>
        <v>0</v>
      </c>
      <c r="N1695" s="34">
        <f t="shared" si="49"/>
        <v>0</v>
      </c>
      <c r="O1695" s="29"/>
      <c r="P1695" s="29"/>
      <c r="Q1695" s="29"/>
      <c r="R1695" s="32"/>
      <c r="S1695" s="29"/>
    </row>
    <row r="1696" spans="1:19" ht="19.5" hidden="1" customHeight="1" outlineLevel="1">
      <c r="A1696" s="23">
        <v>35</v>
      </c>
      <c r="B1696" s="24">
        <f>IF(17&lt;=DAY(DATE(YEAR(설정_코스수당!$K$2),MONTH(설정_코스수당!$K$2)+1,0)),DATE(YEAR(설정_코스수당!$K$2),MONTH(설정_코스수당!$K$2),17),"")</f>
        <v>46190</v>
      </c>
      <c r="C1696" s="25"/>
      <c r="D1696" s="23"/>
      <c r="E1696" s="23"/>
      <c r="F1696" s="26"/>
      <c r="G1696" s="23"/>
      <c r="H1696" s="23"/>
      <c r="I1696" s="23"/>
      <c r="J1696" s="27">
        <f>IF($O1696="방문완료",MAX(0,IFERROR(VLOOKUP($E1696,설정_코스수당!$A$6:$H$10,4,FALSE),0)-IF(OR($P1696="",$P1696="없음"),0,100000)),0)</f>
        <v>0</v>
      </c>
      <c r="K1696" s="27">
        <f t="array" ref="K1696">IF($O1696="방문완료",IFERROR(INDEX(설정_코스수당!$B$15:$F$64,MATCH($G1696,설정_코스수당!$A$15:$A$64,0),MATCH($E1696&amp;"수당",설정_코스수당!$B$14:$F$14,0)),0),0)</f>
        <v>0</v>
      </c>
      <c r="L1696" s="27">
        <f t="array" ref="L1696">IF($O1696="방문완료",IF($H1696="",0,IFERROR(INDEX(설정_코스수당!$B$15:$F$64,MATCH($H1696,설정_코스수당!$A$15:$A$64,0),MATCH($E1696&amp;"수당",설정_코스수당!$B$14:$F$14,0)),0)),0)</f>
        <v>0</v>
      </c>
      <c r="M1696" s="27">
        <f>IF($O1696="방문완료",IFERROR(VLOOKUP($E1696,설정_코스수당!$A$6:$H$10,6,FALSE),0),0)</f>
        <v>0</v>
      </c>
      <c r="N1696" s="28">
        <f t="shared" si="49"/>
        <v>0</v>
      </c>
      <c r="O1696" s="23"/>
      <c r="P1696" s="23"/>
      <c r="Q1696" s="23"/>
      <c r="R1696" s="26"/>
      <c r="S1696" s="23"/>
    </row>
    <row r="1697" spans="1:19" ht="19.5" hidden="1" customHeight="1" outlineLevel="1">
      <c r="A1697" s="29">
        <v>36</v>
      </c>
      <c r="B1697" s="30">
        <f>IF(17&lt;=DAY(DATE(YEAR(설정_코스수당!$K$2),MONTH(설정_코스수당!$K$2)+1,0)),DATE(YEAR(설정_코스수당!$K$2),MONTH(설정_코스수당!$K$2),17),"")</f>
        <v>46190</v>
      </c>
      <c r="C1697" s="31"/>
      <c r="D1697" s="29"/>
      <c r="E1697" s="29"/>
      <c r="F1697" s="32"/>
      <c r="G1697" s="29"/>
      <c r="H1697" s="29"/>
      <c r="I1697" s="29"/>
      <c r="J1697" s="33">
        <f>IF($O1697="방문완료",MAX(0,IFERROR(VLOOKUP($E1697,설정_코스수당!$A$6:$H$10,4,FALSE),0)-IF(OR($P1697="",$P1697="없음"),0,100000)),0)</f>
        <v>0</v>
      </c>
      <c r="K1697" s="33">
        <f t="array" ref="K1697">IF($O1697="방문완료",IFERROR(INDEX(설정_코스수당!$B$15:$F$64,MATCH($G1697,설정_코스수당!$A$15:$A$64,0),MATCH($E1697&amp;"수당",설정_코스수당!$B$14:$F$14,0)),0),0)</f>
        <v>0</v>
      </c>
      <c r="L1697" s="33">
        <f t="array" ref="L1697">IF($O1697="방문완료",IF($H1697="",0,IFERROR(INDEX(설정_코스수당!$B$15:$F$64,MATCH($H1697,설정_코스수당!$A$15:$A$64,0),MATCH($E1697&amp;"수당",설정_코스수당!$B$14:$F$14,0)),0)),0)</f>
        <v>0</v>
      </c>
      <c r="M1697" s="33">
        <f>IF($O1697="방문완료",IFERROR(VLOOKUP($E1697,설정_코스수당!$A$6:$H$10,6,FALSE),0),0)</f>
        <v>0</v>
      </c>
      <c r="N1697" s="34">
        <f t="shared" si="49"/>
        <v>0</v>
      </c>
      <c r="O1697" s="29"/>
      <c r="P1697" s="29"/>
      <c r="Q1697" s="29"/>
      <c r="R1697" s="32"/>
      <c r="S1697" s="29"/>
    </row>
    <row r="1698" spans="1:19" ht="19.5" hidden="1" customHeight="1" outlineLevel="1">
      <c r="A1698" s="23">
        <v>37</v>
      </c>
      <c r="B1698" s="24">
        <f>IF(17&lt;=DAY(DATE(YEAR(설정_코스수당!$K$2),MONTH(설정_코스수당!$K$2)+1,0)),DATE(YEAR(설정_코스수당!$K$2),MONTH(설정_코스수당!$K$2),17),"")</f>
        <v>46190</v>
      </c>
      <c r="C1698" s="25"/>
      <c r="D1698" s="23"/>
      <c r="E1698" s="23"/>
      <c r="F1698" s="26"/>
      <c r="G1698" s="23"/>
      <c r="H1698" s="23"/>
      <c r="I1698" s="23"/>
      <c r="J1698" s="27">
        <f>IF($O1698="방문완료",MAX(0,IFERROR(VLOOKUP($E1698,설정_코스수당!$A$6:$H$10,4,FALSE),0)-IF(OR($P1698="",$P1698="없음"),0,100000)),0)</f>
        <v>0</v>
      </c>
      <c r="K1698" s="27">
        <f t="array" ref="K1698">IF($O1698="방문완료",IFERROR(INDEX(설정_코스수당!$B$15:$F$64,MATCH($G1698,설정_코스수당!$A$15:$A$64,0),MATCH($E1698&amp;"수당",설정_코스수당!$B$14:$F$14,0)),0),0)</f>
        <v>0</v>
      </c>
      <c r="L1698" s="27">
        <f t="array" ref="L1698">IF($O1698="방문완료",IF($H1698="",0,IFERROR(INDEX(설정_코스수당!$B$15:$F$64,MATCH($H1698,설정_코스수당!$A$15:$A$64,0),MATCH($E1698&amp;"수당",설정_코스수당!$B$14:$F$14,0)),0)),0)</f>
        <v>0</v>
      </c>
      <c r="M1698" s="27">
        <f>IF($O1698="방문완료",IFERROR(VLOOKUP($E1698,설정_코스수당!$A$6:$H$10,6,FALSE),0),0)</f>
        <v>0</v>
      </c>
      <c r="N1698" s="28">
        <f t="shared" si="49"/>
        <v>0</v>
      </c>
      <c r="O1698" s="23"/>
      <c r="P1698" s="23"/>
      <c r="Q1698" s="23"/>
      <c r="R1698" s="26"/>
      <c r="S1698" s="23"/>
    </row>
    <row r="1699" spans="1:19" ht="19.5" hidden="1" customHeight="1" outlineLevel="1">
      <c r="A1699" s="29">
        <v>38</v>
      </c>
      <c r="B1699" s="30">
        <f>IF(17&lt;=DAY(DATE(YEAR(설정_코스수당!$K$2),MONTH(설정_코스수당!$K$2)+1,0)),DATE(YEAR(설정_코스수당!$K$2),MONTH(설정_코스수당!$K$2),17),"")</f>
        <v>46190</v>
      </c>
      <c r="C1699" s="31"/>
      <c r="D1699" s="29"/>
      <c r="E1699" s="29"/>
      <c r="F1699" s="32"/>
      <c r="G1699" s="29"/>
      <c r="H1699" s="29"/>
      <c r="I1699" s="29"/>
      <c r="J1699" s="33">
        <f>IF($O1699="방문완료",MAX(0,IFERROR(VLOOKUP($E1699,설정_코스수당!$A$6:$H$10,4,FALSE),0)-IF(OR($P1699="",$P1699="없음"),0,100000)),0)</f>
        <v>0</v>
      </c>
      <c r="K1699" s="33">
        <f t="array" ref="K1699">IF($O1699="방문완료",IFERROR(INDEX(설정_코스수당!$B$15:$F$64,MATCH($G1699,설정_코스수당!$A$15:$A$64,0),MATCH($E1699&amp;"수당",설정_코스수당!$B$14:$F$14,0)),0),0)</f>
        <v>0</v>
      </c>
      <c r="L1699" s="33">
        <f t="array" ref="L1699">IF($O1699="방문완료",IF($H1699="",0,IFERROR(INDEX(설정_코스수당!$B$15:$F$64,MATCH($H1699,설정_코스수당!$A$15:$A$64,0),MATCH($E1699&amp;"수당",설정_코스수당!$B$14:$F$14,0)),0)),0)</f>
        <v>0</v>
      </c>
      <c r="M1699" s="33">
        <f>IF($O1699="방문완료",IFERROR(VLOOKUP($E1699,설정_코스수당!$A$6:$H$10,6,FALSE),0),0)</f>
        <v>0</v>
      </c>
      <c r="N1699" s="34">
        <f t="shared" si="49"/>
        <v>0</v>
      </c>
      <c r="O1699" s="29"/>
      <c r="P1699" s="29"/>
      <c r="Q1699" s="29"/>
      <c r="R1699" s="32"/>
      <c r="S1699" s="29"/>
    </row>
    <row r="1700" spans="1:19" ht="19.5" hidden="1" customHeight="1" outlineLevel="1">
      <c r="A1700" s="23">
        <v>39</v>
      </c>
      <c r="B1700" s="24">
        <f>IF(17&lt;=DAY(DATE(YEAR(설정_코스수당!$K$2),MONTH(설정_코스수당!$K$2)+1,0)),DATE(YEAR(설정_코스수당!$K$2),MONTH(설정_코스수당!$K$2),17),"")</f>
        <v>46190</v>
      </c>
      <c r="C1700" s="25"/>
      <c r="D1700" s="23"/>
      <c r="E1700" s="23"/>
      <c r="F1700" s="26"/>
      <c r="G1700" s="23"/>
      <c r="H1700" s="23"/>
      <c r="I1700" s="23"/>
      <c r="J1700" s="27">
        <f>IF($O1700="방문완료",MAX(0,IFERROR(VLOOKUP($E1700,설정_코스수당!$A$6:$H$10,4,FALSE),0)-IF(OR($P1700="",$P1700="없음"),0,100000)),0)</f>
        <v>0</v>
      </c>
      <c r="K1700" s="27">
        <f t="array" ref="K1700">IF($O1700="방문완료",IFERROR(INDEX(설정_코스수당!$B$15:$F$64,MATCH($G1700,설정_코스수당!$A$15:$A$64,0),MATCH($E1700&amp;"수당",설정_코스수당!$B$14:$F$14,0)),0),0)</f>
        <v>0</v>
      </c>
      <c r="L1700" s="27">
        <f t="array" ref="L1700">IF($O1700="방문완료",IF($H1700="",0,IFERROR(INDEX(설정_코스수당!$B$15:$F$64,MATCH($H1700,설정_코스수당!$A$15:$A$64,0),MATCH($E1700&amp;"수당",설정_코스수당!$B$14:$F$14,0)),0)),0)</f>
        <v>0</v>
      </c>
      <c r="M1700" s="27">
        <f>IF($O1700="방문완료",IFERROR(VLOOKUP($E1700,설정_코스수당!$A$6:$H$10,6,FALSE),0),0)</f>
        <v>0</v>
      </c>
      <c r="N1700" s="28">
        <f t="shared" si="49"/>
        <v>0</v>
      </c>
      <c r="O1700" s="23"/>
      <c r="P1700" s="23"/>
      <c r="Q1700" s="23"/>
      <c r="R1700" s="26"/>
      <c r="S1700" s="23"/>
    </row>
    <row r="1701" spans="1:19" ht="19.5" hidden="1" customHeight="1" outlineLevel="1">
      <c r="A1701" s="29">
        <v>40</v>
      </c>
      <c r="B1701" s="30">
        <f>IF(17&lt;=DAY(DATE(YEAR(설정_코스수당!$K$2),MONTH(설정_코스수당!$K$2)+1,0)),DATE(YEAR(설정_코스수당!$K$2),MONTH(설정_코스수당!$K$2),17),"")</f>
        <v>46190</v>
      </c>
      <c r="C1701" s="31"/>
      <c r="D1701" s="29"/>
      <c r="E1701" s="29"/>
      <c r="F1701" s="32"/>
      <c r="G1701" s="29"/>
      <c r="H1701" s="29"/>
      <c r="I1701" s="29"/>
      <c r="J1701" s="33">
        <f>IF($O1701="방문완료",MAX(0,IFERROR(VLOOKUP($E1701,설정_코스수당!$A$6:$H$10,4,FALSE),0)-IF(OR($P1701="",$P1701="없음"),0,100000)),0)</f>
        <v>0</v>
      </c>
      <c r="K1701" s="33">
        <f t="array" ref="K1701">IF($O1701="방문완료",IFERROR(INDEX(설정_코스수당!$B$15:$F$64,MATCH($G1701,설정_코스수당!$A$15:$A$64,0),MATCH($E1701&amp;"수당",설정_코스수당!$B$14:$F$14,0)),0),0)</f>
        <v>0</v>
      </c>
      <c r="L1701" s="33">
        <f t="array" ref="L1701">IF($O1701="방문완료",IF($H1701="",0,IFERROR(INDEX(설정_코스수당!$B$15:$F$64,MATCH($H1701,설정_코스수당!$A$15:$A$64,0),MATCH($E1701&amp;"수당",설정_코스수당!$B$14:$F$14,0)),0)),0)</f>
        <v>0</v>
      </c>
      <c r="M1701" s="33">
        <f>IF($O1701="방문완료",IFERROR(VLOOKUP($E1701,설정_코스수당!$A$6:$H$10,6,FALSE),0),0)</f>
        <v>0</v>
      </c>
      <c r="N1701" s="34">
        <f t="shared" si="49"/>
        <v>0</v>
      </c>
      <c r="O1701" s="29"/>
      <c r="P1701" s="29"/>
      <c r="Q1701" s="29"/>
      <c r="R1701" s="32"/>
      <c r="S1701" s="29"/>
    </row>
    <row r="1702" spans="1:19" ht="19.5" hidden="1" customHeight="1" outlineLevel="1">
      <c r="A1702" s="23">
        <v>41</v>
      </c>
      <c r="B1702" s="24">
        <f>IF(17&lt;=DAY(DATE(YEAR(설정_코스수당!$K$2),MONTH(설정_코스수당!$K$2)+1,0)),DATE(YEAR(설정_코스수당!$K$2),MONTH(설정_코스수당!$K$2),17),"")</f>
        <v>46190</v>
      </c>
      <c r="C1702" s="25"/>
      <c r="D1702" s="23"/>
      <c r="E1702" s="23"/>
      <c r="F1702" s="26"/>
      <c r="G1702" s="23"/>
      <c r="H1702" s="23"/>
      <c r="I1702" s="23"/>
      <c r="J1702" s="27">
        <f>IF($O1702="방문완료",MAX(0,IFERROR(VLOOKUP($E1702,설정_코스수당!$A$6:$H$10,4,FALSE),0)-IF(OR($P1702="",$P1702="없음"),0,100000)),0)</f>
        <v>0</v>
      </c>
      <c r="K1702" s="27">
        <f t="array" ref="K1702">IF($O1702="방문완료",IFERROR(INDEX(설정_코스수당!$B$15:$F$64,MATCH($G1702,설정_코스수당!$A$15:$A$64,0),MATCH($E1702&amp;"수당",설정_코스수당!$B$14:$F$14,0)),0),0)</f>
        <v>0</v>
      </c>
      <c r="L1702" s="27">
        <f t="array" ref="L1702">IF($O1702="방문완료",IF($H1702="",0,IFERROR(INDEX(설정_코스수당!$B$15:$F$64,MATCH($H1702,설정_코스수당!$A$15:$A$64,0),MATCH($E1702&amp;"수당",설정_코스수당!$B$14:$F$14,0)),0)),0)</f>
        <v>0</v>
      </c>
      <c r="M1702" s="27">
        <f>IF($O1702="방문완료",IFERROR(VLOOKUP($E1702,설정_코스수당!$A$6:$H$10,6,FALSE),0),0)</f>
        <v>0</v>
      </c>
      <c r="N1702" s="28">
        <f t="shared" si="49"/>
        <v>0</v>
      </c>
      <c r="O1702" s="23"/>
      <c r="P1702" s="23"/>
      <c r="Q1702" s="23"/>
      <c r="R1702" s="26"/>
      <c r="S1702" s="23"/>
    </row>
    <row r="1703" spans="1:19" ht="19.5" hidden="1" customHeight="1" outlineLevel="1">
      <c r="A1703" s="29">
        <v>42</v>
      </c>
      <c r="B1703" s="30">
        <f>IF(17&lt;=DAY(DATE(YEAR(설정_코스수당!$K$2),MONTH(설정_코스수당!$K$2)+1,0)),DATE(YEAR(설정_코스수당!$K$2),MONTH(설정_코스수당!$K$2),17),"")</f>
        <v>46190</v>
      </c>
      <c r="C1703" s="31"/>
      <c r="D1703" s="29"/>
      <c r="E1703" s="29"/>
      <c r="F1703" s="32"/>
      <c r="G1703" s="29"/>
      <c r="H1703" s="29"/>
      <c r="I1703" s="29"/>
      <c r="J1703" s="33">
        <f>IF($O1703="방문완료",MAX(0,IFERROR(VLOOKUP($E1703,설정_코스수당!$A$6:$H$10,4,FALSE),0)-IF(OR($P1703="",$P1703="없음"),0,100000)),0)</f>
        <v>0</v>
      </c>
      <c r="K1703" s="33">
        <f t="array" ref="K1703">IF($O1703="방문완료",IFERROR(INDEX(설정_코스수당!$B$15:$F$64,MATCH($G1703,설정_코스수당!$A$15:$A$64,0),MATCH($E1703&amp;"수당",설정_코스수당!$B$14:$F$14,0)),0),0)</f>
        <v>0</v>
      </c>
      <c r="L1703" s="33">
        <f t="array" ref="L1703">IF($O1703="방문완료",IF($H1703="",0,IFERROR(INDEX(설정_코스수당!$B$15:$F$64,MATCH($H1703,설정_코스수당!$A$15:$A$64,0),MATCH($E1703&amp;"수당",설정_코스수당!$B$14:$F$14,0)),0)),0)</f>
        <v>0</v>
      </c>
      <c r="M1703" s="33">
        <f>IF($O1703="방문완료",IFERROR(VLOOKUP($E1703,설정_코스수당!$A$6:$H$10,6,FALSE),0),0)</f>
        <v>0</v>
      </c>
      <c r="N1703" s="34">
        <f t="shared" si="49"/>
        <v>0</v>
      </c>
      <c r="O1703" s="29"/>
      <c r="P1703" s="29"/>
      <c r="Q1703" s="29"/>
      <c r="R1703" s="32"/>
      <c r="S1703" s="29"/>
    </row>
    <row r="1704" spans="1:19" ht="19.5" hidden="1" customHeight="1" outlineLevel="1">
      <c r="A1704" s="23">
        <v>43</v>
      </c>
      <c r="B1704" s="24">
        <f>IF(17&lt;=DAY(DATE(YEAR(설정_코스수당!$K$2),MONTH(설정_코스수당!$K$2)+1,0)),DATE(YEAR(설정_코스수당!$K$2),MONTH(설정_코스수당!$K$2),17),"")</f>
        <v>46190</v>
      </c>
      <c r="C1704" s="25"/>
      <c r="D1704" s="23"/>
      <c r="E1704" s="23"/>
      <c r="F1704" s="26"/>
      <c r="G1704" s="23"/>
      <c r="H1704" s="23"/>
      <c r="I1704" s="23"/>
      <c r="J1704" s="27">
        <f>IF($O1704="방문완료",MAX(0,IFERROR(VLOOKUP($E1704,설정_코스수당!$A$6:$H$10,4,FALSE),0)-IF(OR($P1704="",$P1704="없음"),0,100000)),0)</f>
        <v>0</v>
      </c>
      <c r="K1704" s="27">
        <f t="array" ref="K1704">IF($O1704="방문완료",IFERROR(INDEX(설정_코스수당!$B$15:$F$64,MATCH($G1704,설정_코스수당!$A$15:$A$64,0),MATCH($E1704&amp;"수당",설정_코스수당!$B$14:$F$14,0)),0),0)</f>
        <v>0</v>
      </c>
      <c r="L1704" s="27">
        <f t="array" ref="L1704">IF($O1704="방문완료",IF($H1704="",0,IFERROR(INDEX(설정_코스수당!$B$15:$F$64,MATCH($H1704,설정_코스수당!$A$15:$A$64,0),MATCH($E1704&amp;"수당",설정_코스수당!$B$14:$F$14,0)),0)),0)</f>
        <v>0</v>
      </c>
      <c r="M1704" s="27">
        <f>IF($O1704="방문완료",IFERROR(VLOOKUP($E1704,설정_코스수당!$A$6:$H$10,6,FALSE),0),0)</f>
        <v>0</v>
      </c>
      <c r="N1704" s="28">
        <f t="shared" si="49"/>
        <v>0</v>
      </c>
      <c r="O1704" s="23"/>
      <c r="P1704" s="23"/>
      <c r="Q1704" s="23"/>
      <c r="R1704" s="26"/>
      <c r="S1704" s="23"/>
    </row>
    <row r="1705" spans="1:19" ht="19.5" hidden="1" customHeight="1" outlineLevel="1">
      <c r="A1705" s="29">
        <v>44</v>
      </c>
      <c r="B1705" s="30">
        <f>IF(17&lt;=DAY(DATE(YEAR(설정_코스수당!$K$2),MONTH(설정_코스수당!$K$2)+1,0)),DATE(YEAR(설정_코스수당!$K$2),MONTH(설정_코스수당!$K$2),17),"")</f>
        <v>46190</v>
      </c>
      <c r="C1705" s="31"/>
      <c r="D1705" s="29"/>
      <c r="E1705" s="29"/>
      <c r="F1705" s="32"/>
      <c r="G1705" s="29"/>
      <c r="H1705" s="29"/>
      <c r="I1705" s="29"/>
      <c r="J1705" s="33">
        <f>IF($O1705="방문완료",MAX(0,IFERROR(VLOOKUP($E1705,설정_코스수당!$A$6:$H$10,4,FALSE),0)-IF(OR($P1705="",$P1705="없음"),0,100000)),0)</f>
        <v>0</v>
      </c>
      <c r="K1705" s="33">
        <f t="array" ref="K1705">IF($O1705="방문완료",IFERROR(INDEX(설정_코스수당!$B$15:$F$64,MATCH($G1705,설정_코스수당!$A$15:$A$64,0),MATCH($E1705&amp;"수당",설정_코스수당!$B$14:$F$14,0)),0),0)</f>
        <v>0</v>
      </c>
      <c r="L1705" s="33">
        <f t="array" ref="L1705">IF($O1705="방문완료",IF($H1705="",0,IFERROR(INDEX(설정_코스수당!$B$15:$F$64,MATCH($H1705,설정_코스수당!$A$15:$A$64,0),MATCH($E1705&amp;"수당",설정_코스수당!$B$14:$F$14,0)),0)),0)</f>
        <v>0</v>
      </c>
      <c r="M1705" s="33">
        <f>IF($O1705="방문완료",IFERROR(VLOOKUP($E1705,설정_코스수당!$A$6:$H$10,6,FALSE),0),0)</f>
        <v>0</v>
      </c>
      <c r="N1705" s="34">
        <f t="shared" si="49"/>
        <v>0</v>
      </c>
      <c r="O1705" s="29"/>
      <c r="P1705" s="29"/>
      <c r="Q1705" s="29"/>
      <c r="R1705" s="32"/>
      <c r="S1705" s="29"/>
    </row>
    <row r="1706" spans="1:19" ht="19.5" hidden="1" customHeight="1" outlineLevel="1">
      <c r="A1706" s="23">
        <v>45</v>
      </c>
      <c r="B1706" s="24">
        <f>IF(17&lt;=DAY(DATE(YEAR(설정_코스수당!$K$2),MONTH(설정_코스수당!$K$2)+1,0)),DATE(YEAR(설정_코스수당!$K$2),MONTH(설정_코스수당!$K$2),17),"")</f>
        <v>46190</v>
      </c>
      <c r="C1706" s="25"/>
      <c r="D1706" s="23"/>
      <c r="E1706" s="23"/>
      <c r="F1706" s="26"/>
      <c r="G1706" s="23"/>
      <c r="H1706" s="23"/>
      <c r="I1706" s="23"/>
      <c r="J1706" s="27">
        <f>IF($O1706="방문완료",MAX(0,IFERROR(VLOOKUP($E1706,설정_코스수당!$A$6:$H$10,4,FALSE),0)-IF(OR($P1706="",$P1706="없음"),0,100000)),0)</f>
        <v>0</v>
      </c>
      <c r="K1706" s="27">
        <f t="array" ref="K1706">IF($O1706="방문완료",IFERROR(INDEX(설정_코스수당!$B$15:$F$64,MATCH($G1706,설정_코스수당!$A$15:$A$64,0),MATCH($E1706&amp;"수당",설정_코스수당!$B$14:$F$14,0)),0),0)</f>
        <v>0</v>
      </c>
      <c r="L1706" s="27">
        <f t="array" ref="L1706">IF($O1706="방문완료",IF($H1706="",0,IFERROR(INDEX(설정_코스수당!$B$15:$F$64,MATCH($H1706,설정_코스수당!$A$15:$A$64,0),MATCH($E1706&amp;"수당",설정_코스수당!$B$14:$F$14,0)),0)),0)</f>
        <v>0</v>
      </c>
      <c r="M1706" s="27">
        <f>IF($O1706="방문완료",IFERROR(VLOOKUP($E1706,설정_코스수당!$A$6:$H$10,6,FALSE),0),0)</f>
        <v>0</v>
      </c>
      <c r="N1706" s="28">
        <f t="shared" si="49"/>
        <v>0</v>
      </c>
      <c r="O1706" s="23"/>
      <c r="P1706" s="23"/>
      <c r="Q1706" s="23"/>
      <c r="R1706" s="26"/>
      <c r="S1706" s="23"/>
    </row>
    <row r="1707" spans="1:19" ht="19.5" hidden="1" customHeight="1" outlineLevel="1">
      <c r="A1707" s="29">
        <v>46</v>
      </c>
      <c r="B1707" s="30">
        <f>IF(17&lt;=DAY(DATE(YEAR(설정_코스수당!$K$2),MONTH(설정_코스수당!$K$2)+1,0)),DATE(YEAR(설정_코스수당!$K$2),MONTH(설정_코스수당!$K$2),17),"")</f>
        <v>46190</v>
      </c>
      <c r="C1707" s="31"/>
      <c r="D1707" s="29"/>
      <c r="E1707" s="29"/>
      <c r="F1707" s="32"/>
      <c r="G1707" s="29"/>
      <c r="H1707" s="29"/>
      <c r="I1707" s="29"/>
      <c r="J1707" s="33">
        <f>IF($O1707="방문완료",MAX(0,IFERROR(VLOOKUP($E1707,설정_코스수당!$A$6:$H$10,4,FALSE),0)-IF(OR($P1707="",$P1707="없음"),0,100000)),0)</f>
        <v>0</v>
      </c>
      <c r="K1707" s="33">
        <f t="array" ref="K1707">IF($O1707="방문완료",IFERROR(INDEX(설정_코스수당!$B$15:$F$64,MATCH($G1707,설정_코스수당!$A$15:$A$64,0),MATCH($E1707&amp;"수당",설정_코스수당!$B$14:$F$14,0)),0),0)</f>
        <v>0</v>
      </c>
      <c r="L1707" s="33">
        <f t="array" ref="L1707">IF($O1707="방문완료",IF($H1707="",0,IFERROR(INDEX(설정_코스수당!$B$15:$F$64,MATCH($H1707,설정_코스수당!$A$15:$A$64,0),MATCH($E1707&amp;"수당",설정_코스수당!$B$14:$F$14,0)),0)),0)</f>
        <v>0</v>
      </c>
      <c r="M1707" s="33">
        <f>IF($O1707="방문완료",IFERROR(VLOOKUP($E1707,설정_코스수당!$A$6:$H$10,6,FALSE),0),0)</f>
        <v>0</v>
      </c>
      <c r="N1707" s="34">
        <f t="shared" si="49"/>
        <v>0</v>
      </c>
      <c r="O1707" s="29"/>
      <c r="P1707" s="29"/>
      <c r="Q1707" s="29"/>
      <c r="R1707" s="32"/>
      <c r="S1707" s="29"/>
    </row>
    <row r="1708" spans="1:19" ht="19.5" hidden="1" customHeight="1" outlineLevel="1">
      <c r="A1708" s="23">
        <v>47</v>
      </c>
      <c r="B1708" s="24">
        <f>IF(17&lt;=DAY(DATE(YEAR(설정_코스수당!$K$2),MONTH(설정_코스수당!$K$2)+1,0)),DATE(YEAR(설정_코스수당!$K$2),MONTH(설정_코스수당!$K$2),17),"")</f>
        <v>46190</v>
      </c>
      <c r="C1708" s="25"/>
      <c r="D1708" s="23"/>
      <c r="E1708" s="23"/>
      <c r="F1708" s="26"/>
      <c r="G1708" s="23"/>
      <c r="H1708" s="23"/>
      <c r="I1708" s="23"/>
      <c r="J1708" s="27">
        <f>IF($O1708="방문완료",MAX(0,IFERROR(VLOOKUP($E1708,설정_코스수당!$A$6:$H$10,4,FALSE),0)-IF(OR($P1708="",$P1708="없음"),0,100000)),0)</f>
        <v>0</v>
      </c>
      <c r="K1708" s="27">
        <f t="array" ref="K1708">IF($O1708="방문완료",IFERROR(INDEX(설정_코스수당!$B$15:$F$64,MATCH($G1708,설정_코스수당!$A$15:$A$64,0),MATCH($E1708&amp;"수당",설정_코스수당!$B$14:$F$14,0)),0),0)</f>
        <v>0</v>
      </c>
      <c r="L1708" s="27">
        <f t="array" ref="L1708">IF($O1708="방문완료",IF($H1708="",0,IFERROR(INDEX(설정_코스수당!$B$15:$F$64,MATCH($H1708,설정_코스수당!$A$15:$A$64,0),MATCH($E1708&amp;"수당",설정_코스수당!$B$14:$F$14,0)),0)),0)</f>
        <v>0</v>
      </c>
      <c r="M1708" s="27">
        <f>IF($O1708="방문완료",IFERROR(VLOOKUP($E1708,설정_코스수당!$A$6:$H$10,6,FALSE),0),0)</f>
        <v>0</v>
      </c>
      <c r="N1708" s="28">
        <f t="shared" si="49"/>
        <v>0</v>
      </c>
      <c r="O1708" s="23"/>
      <c r="P1708" s="23"/>
      <c r="Q1708" s="23"/>
      <c r="R1708" s="26"/>
      <c r="S1708" s="23"/>
    </row>
    <row r="1709" spans="1:19" ht="19.5" hidden="1" customHeight="1" outlineLevel="1">
      <c r="A1709" s="29">
        <v>48</v>
      </c>
      <c r="B1709" s="30">
        <f>IF(17&lt;=DAY(DATE(YEAR(설정_코스수당!$K$2),MONTH(설정_코스수당!$K$2)+1,0)),DATE(YEAR(설정_코스수당!$K$2),MONTH(설정_코스수당!$K$2),17),"")</f>
        <v>46190</v>
      </c>
      <c r="C1709" s="31"/>
      <c r="D1709" s="29"/>
      <c r="E1709" s="29"/>
      <c r="F1709" s="32"/>
      <c r="G1709" s="29"/>
      <c r="H1709" s="29"/>
      <c r="I1709" s="29"/>
      <c r="J1709" s="33">
        <f>IF($O1709="방문완료",MAX(0,IFERROR(VLOOKUP($E1709,설정_코스수당!$A$6:$H$10,4,FALSE),0)-IF(OR($P1709="",$P1709="없음"),0,100000)),0)</f>
        <v>0</v>
      </c>
      <c r="K1709" s="33">
        <f t="array" ref="K1709">IF($O1709="방문완료",IFERROR(INDEX(설정_코스수당!$B$15:$F$64,MATCH($G1709,설정_코스수당!$A$15:$A$64,0),MATCH($E1709&amp;"수당",설정_코스수당!$B$14:$F$14,0)),0),0)</f>
        <v>0</v>
      </c>
      <c r="L1709" s="33">
        <f t="array" ref="L1709">IF($O1709="방문완료",IF($H1709="",0,IFERROR(INDEX(설정_코스수당!$B$15:$F$64,MATCH($H1709,설정_코스수당!$A$15:$A$64,0),MATCH($E1709&amp;"수당",설정_코스수당!$B$14:$F$14,0)),0)),0)</f>
        <v>0</v>
      </c>
      <c r="M1709" s="33">
        <f>IF($O1709="방문완료",IFERROR(VLOOKUP($E1709,설정_코스수당!$A$6:$H$10,6,FALSE),0),0)</f>
        <v>0</v>
      </c>
      <c r="N1709" s="34">
        <f t="shared" si="49"/>
        <v>0</v>
      </c>
      <c r="O1709" s="29"/>
      <c r="P1709" s="29"/>
      <c r="Q1709" s="29"/>
      <c r="R1709" s="32"/>
      <c r="S1709" s="29"/>
    </row>
    <row r="1710" spans="1:19" ht="19.5" hidden="1" customHeight="1" outlineLevel="1">
      <c r="A1710" s="23">
        <v>49</v>
      </c>
      <c r="B1710" s="24">
        <f>IF(17&lt;=DAY(DATE(YEAR(설정_코스수당!$K$2),MONTH(설정_코스수당!$K$2)+1,0)),DATE(YEAR(설정_코스수당!$K$2),MONTH(설정_코스수당!$K$2),17),"")</f>
        <v>46190</v>
      </c>
      <c r="C1710" s="25"/>
      <c r="D1710" s="23"/>
      <c r="E1710" s="23"/>
      <c r="F1710" s="26"/>
      <c r="G1710" s="23"/>
      <c r="H1710" s="23"/>
      <c r="I1710" s="23"/>
      <c r="J1710" s="27">
        <f>IF($O1710="방문완료",MAX(0,IFERROR(VLOOKUP($E1710,설정_코스수당!$A$6:$H$10,4,FALSE),0)-IF(OR($P1710="",$P1710="없음"),0,100000)),0)</f>
        <v>0</v>
      </c>
      <c r="K1710" s="27">
        <f t="array" ref="K1710">IF($O1710="방문완료",IFERROR(INDEX(설정_코스수당!$B$15:$F$64,MATCH($G1710,설정_코스수당!$A$15:$A$64,0),MATCH($E1710&amp;"수당",설정_코스수당!$B$14:$F$14,0)),0),0)</f>
        <v>0</v>
      </c>
      <c r="L1710" s="27">
        <f t="array" ref="L1710">IF($O1710="방문완료",IF($H1710="",0,IFERROR(INDEX(설정_코스수당!$B$15:$F$64,MATCH($H1710,설정_코스수당!$A$15:$A$64,0),MATCH($E1710&amp;"수당",설정_코스수당!$B$14:$F$14,0)),0)),0)</f>
        <v>0</v>
      </c>
      <c r="M1710" s="27">
        <f>IF($O1710="방문완료",IFERROR(VLOOKUP($E1710,설정_코스수당!$A$6:$H$10,6,FALSE),0),0)</f>
        <v>0</v>
      </c>
      <c r="N1710" s="28">
        <f t="shared" si="49"/>
        <v>0</v>
      </c>
      <c r="O1710" s="23"/>
      <c r="P1710" s="23"/>
      <c r="Q1710" s="23"/>
      <c r="R1710" s="26"/>
      <c r="S1710" s="23"/>
    </row>
    <row r="1711" spans="1:19" ht="19.5" hidden="1" customHeight="1" outlineLevel="1">
      <c r="A1711" s="29">
        <v>50</v>
      </c>
      <c r="B1711" s="30">
        <f>IF(17&lt;=DAY(DATE(YEAR(설정_코스수당!$K$2),MONTH(설정_코스수당!$K$2)+1,0)),DATE(YEAR(설정_코스수당!$K$2),MONTH(설정_코스수당!$K$2),17),"")</f>
        <v>46190</v>
      </c>
      <c r="C1711" s="31"/>
      <c r="D1711" s="29"/>
      <c r="E1711" s="29"/>
      <c r="F1711" s="32"/>
      <c r="G1711" s="29"/>
      <c r="H1711" s="29"/>
      <c r="I1711" s="29"/>
      <c r="J1711" s="33">
        <f>IF($O1711="방문완료",MAX(0,IFERROR(VLOOKUP($E1711,설정_코스수당!$A$6:$H$10,4,FALSE),0)-IF(OR($P1711="",$P1711="없음"),0,100000)),0)</f>
        <v>0</v>
      </c>
      <c r="K1711" s="33">
        <f t="array" ref="K1711">IF($O1711="방문완료",IFERROR(INDEX(설정_코스수당!$B$15:$F$64,MATCH($G1711,설정_코스수당!$A$15:$A$64,0),MATCH($E1711&amp;"수당",설정_코스수당!$B$14:$F$14,0)),0),0)</f>
        <v>0</v>
      </c>
      <c r="L1711" s="33">
        <f t="array" ref="L1711">IF($O1711="방문완료",IF($H1711="",0,IFERROR(INDEX(설정_코스수당!$B$15:$F$64,MATCH($H1711,설정_코스수당!$A$15:$A$64,0),MATCH($E1711&amp;"수당",설정_코스수당!$B$14:$F$14,0)),0)),0)</f>
        <v>0</v>
      </c>
      <c r="M1711" s="33">
        <f>IF($O1711="방문완료",IFERROR(VLOOKUP($E1711,설정_코스수당!$A$6:$H$10,6,FALSE),0),0)</f>
        <v>0</v>
      </c>
      <c r="N1711" s="34">
        <f t="shared" si="49"/>
        <v>0</v>
      </c>
      <c r="O1711" s="29"/>
      <c r="P1711" s="29"/>
      <c r="Q1711" s="29"/>
      <c r="R1711" s="32"/>
      <c r="S1711" s="29"/>
    </row>
    <row r="1712" spans="1:19" ht="19.5" hidden="1" customHeight="1" outlineLevel="1">
      <c r="A1712" s="23">
        <v>51</v>
      </c>
      <c r="B1712" s="24">
        <f>IF(17&lt;=DAY(DATE(YEAR(설정_코스수당!$K$2),MONTH(설정_코스수당!$K$2)+1,0)),DATE(YEAR(설정_코스수당!$K$2),MONTH(설정_코스수당!$K$2),17),"")</f>
        <v>46190</v>
      </c>
      <c r="C1712" s="25"/>
      <c r="D1712" s="23"/>
      <c r="E1712" s="23"/>
      <c r="F1712" s="26"/>
      <c r="G1712" s="23"/>
      <c r="H1712" s="23"/>
      <c r="I1712" s="23"/>
      <c r="J1712" s="27">
        <f>IF($O1712="방문완료",MAX(0,IFERROR(VLOOKUP($E1712,설정_코스수당!$A$6:$H$10,4,FALSE),0)-IF(OR($P1712="",$P1712="없음"),0,100000)),0)</f>
        <v>0</v>
      </c>
      <c r="K1712" s="27">
        <f t="array" ref="K1712">IF($O1712="방문완료",IFERROR(INDEX(설정_코스수당!$B$15:$F$64,MATCH($G1712,설정_코스수당!$A$15:$A$64,0),MATCH($E1712&amp;"수당",설정_코스수당!$B$14:$F$14,0)),0),0)</f>
        <v>0</v>
      </c>
      <c r="L1712" s="27">
        <f t="array" ref="L1712">IF($O1712="방문완료",IF($H1712="",0,IFERROR(INDEX(설정_코스수당!$B$15:$F$64,MATCH($H1712,설정_코스수당!$A$15:$A$64,0),MATCH($E1712&amp;"수당",설정_코스수당!$B$14:$F$14,0)),0)),0)</f>
        <v>0</v>
      </c>
      <c r="M1712" s="27">
        <f>IF($O1712="방문완료",IFERROR(VLOOKUP($E1712,설정_코스수당!$A$6:$H$10,6,FALSE),0),0)</f>
        <v>0</v>
      </c>
      <c r="N1712" s="28">
        <f t="shared" si="49"/>
        <v>0</v>
      </c>
      <c r="O1712" s="23"/>
      <c r="P1712" s="23"/>
      <c r="Q1712" s="23"/>
      <c r="R1712" s="26"/>
      <c r="S1712" s="23"/>
    </row>
    <row r="1713" spans="1:22" ht="19.5" hidden="1" customHeight="1" outlineLevel="1">
      <c r="A1713" s="29">
        <v>52</v>
      </c>
      <c r="B1713" s="30">
        <f>IF(17&lt;=DAY(DATE(YEAR(설정_코스수당!$K$2),MONTH(설정_코스수당!$K$2)+1,0)),DATE(YEAR(설정_코스수당!$K$2),MONTH(설정_코스수당!$K$2),17),"")</f>
        <v>46190</v>
      </c>
      <c r="C1713" s="31"/>
      <c r="D1713" s="29"/>
      <c r="E1713" s="29"/>
      <c r="F1713" s="32"/>
      <c r="G1713" s="29"/>
      <c r="H1713" s="29"/>
      <c r="I1713" s="29"/>
      <c r="J1713" s="33">
        <f>IF($O1713="방문완료",MAX(0,IFERROR(VLOOKUP($E1713,설정_코스수당!$A$6:$H$10,4,FALSE),0)-IF(OR($P1713="",$P1713="없음"),0,100000)),0)</f>
        <v>0</v>
      </c>
      <c r="K1713" s="33">
        <f t="array" ref="K1713">IF($O1713="방문완료",IFERROR(INDEX(설정_코스수당!$B$15:$F$64,MATCH($G1713,설정_코스수당!$A$15:$A$64,0),MATCH($E1713&amp;"수당",설정_코스수당!$B$14:$F$14,0)),0),0)</f>
        <v>0</v>
      </c>
      <c r="L1713" s="33">
        <f t="array" ref="L1713">IF($O1713="방문완료",IF($H1713="",0,IFERROR(INDEX(설정_코스수당!$B$15:$F$64,MATCH($H1713,설정_코스수당!$A$15:$A$64,0),MATCH($E1713&amp;"수당",설정_코스수당!$B$14:$F$14,0)),0)),0)</f>
        <v>0</v>
      </c>
      <c r="M1713" s="33">
        <f>IF($O1713="방문완료",IFERROR(VLOOKUP($E1713,설정_코스수당!$A$6:$H$10,6,FALSE),0),0)</f>
        <v>0</v>
      </c>
      <c r="N1713" s="34">
        <f t="shared" si="49"/>
        <v>0</v>
      </c>
      <c r="O1713" s="29"/>
      <c r="P1713" s="29"/>
      <c r="Q1713" s="29"/>
      <c r="R1713" s="32"/>
      <c r="S1713" s="29"/>
    </row>
    <row r="1714" spans="1:22" ht="19.5" hidden="1" customHeight="1" outlineLevel="1">
      <c r="A1714" s="23">
        <v>53</v>
      </c>
      <c r="B1714" s="24">
        <f>IF(17&lt;=DAY(DATE(YEAR(설정_코스수당!$K$2),MONTH(설정_코스수당!$K$2)+1,0)),DATE(YEAR(설정_코스수당!$K$2),MONTH(설정_코스수당!$K$2),17),"")</f>
        <v>46190</v>
      </c>
      <c r="C1714" s="25"/>
      <c r="D1714" s="23"/>
      <c r="E1714" s="23"/>
      <c r="F1714" s="26"/>
      <c r="G1714" s="23"/>
      <c r="H1714" s="23"/>
      <c r="I1714" s="23"/>
      <c r="J1714" s="27">
        <f>IF($O1714="방문완료",MAX(0,IFERROR(VLOOKUP($E1714,설정_코스수당!$A$6:$H$10,4,FALSE),0)-IF(OR($P1714="",$P1714="없음"),0,100000)),0)</f>
        <v>0</v>
      </c>
      <c r="K1714" s="27">
        <f t="array" ref="K1714">IF($O1714="방문완료",IFERROR(INDEX(설정_코스수당!$B$15:$F$64,MATCH($G1714,설정_코스수당!$A$15:$A$64,0),MATCH($E1714&amp;"수당",설정_코스수당!$B$14:$F$14,0)),0),0)</f>
        <v>0</v>
      </c>
      <c r="L1714" s="27">
        <f t="array" ref="L1714">IF($O1714="방문완료",IF($H1714="",0,IFERROR(INDEX(설정_코스수당!$B$15:$F$64,MATCH($H1714,설정_코스수당!$A$15:$A$64,0),MATCH($E1714&amp;"수당",설정_코스수당!$B$14:$F$14,0)),0)),0)</f>
        <v>0</v>
      </c>
      <c r="M1714" s="27">
        <f>IF($O1714="방문완료",IFERROR(VLOOKUP($E1714,설정_코스수당!$A$6:$H$10,6,FALSE),0),0)</f>
        <v>0</v>
      </c>
      <c r="N1714" s="28">
        <f t="shared" si="49"/>
        <v>0</v>
      </c>
      <c r="O1714" s="23"/>
      <c r="P1714" s="23"/>
      <c r="Q1714" s="23"/>
      <c r="R1714" s="26"/>
      <c r="S1714" s="23"/>
    </row>
    <row r="1715" spans="1:22" ht="19.5" hidden="1" customHeight="1" outlineLevel="1">
      <c r="A1715" s="29">
        <v>54</v>
      </c>
      <c r="B1715" s="30">
        <f>IF(17&lt;=DAY(DATE(YEAR(설정_코스수당!$K$2),MONTH(설정_코스수당!$K$2)+1,0)),DATE(YEAR(설정_코스수당!$K$2),MONTH(설정_코스수당!$K$2),17),"")</f>
        <v>46190</v>
      </c>
      <c r="C1715" s="31"/>
      <c r="D1715" s="29"/>
      <c r="E1715" s="29"/>
      <c r="F1715" s="32"/>
      <c r="G1715" s="29"/>
      <c r="H1715" s="29"/>
      <c r="I1715" s="29"/>
      <c r="J1715" s="33">
        <f>IF($O1715="방문완료",MAX(0,IFERROR(VLOOKUP($E1715,설정_코스수당!$A$6:$H$10,4,FALSE),0)-IF(OR($P1715="",$P1715="없음"),0,100000)),0)</f>
        <v>0</v>
      </c>
      <c r="K1715" s="33">
        <f t="array" ref="K1715">IF($O1715="방문완료",IFERROR(INDEX(설정_코스수당!$B$15:$F$64,MATCH($G1715,설정_코스수당!$A$15:$A$64,0),MATCH($E1715&amp;"수당",설정_코스수당!$B$14:$F$14,0)),0),0)</f>
        <v>0</v>
      </c>
      <c r="L1715" s="33">
        <f t="array" ref="L1715">IF($O1715="방문완료",IF($H1715="",0,IFERROR(INDEX(설정_코스수당!$B$15:$F$64,MATCH($H1715,설정_코스수당!$A$15:$A$64,0),MATCH($E1715&amp;"수당",설정_코스수당!$B$14:$F$14,0)),0)),0)</f>
        <v>0</v>
      </c>
      <c r="M1715" s="33">
        <f>IF($O1715="방문완료",IFERROR(VLOOKUP($E1715,설정_코스수당!$A$6:$H$10,6,FALSE),0),0)</f>
        <v>0</v>
      </c>
      <c r="N1715" s="34">
        <f t="shared" si="49"/>
        <v>0</v>
      </c>
      <c r="O1715" s="29"/>
      <c r="P1715" s="29"/>
      <c r="Q1715" s="29"/>
      <c r="R1715" s="32"/>
      <c r="S1715" s="29"/>
    </row>
    <row r="1716" spans="1:22" ht="19.5" hidden="1" customHeight="1" outlineLevel="1">
      <c r="A1716" s="23">
        <v>55</v>
      </c>
      <c r="B1716" s="24">
        <f>IF(17&lt;=DAY(DATE(YEAR(설정_코스수당!$K$2),MONTH(설정_코스수당!$K$2)+1,0)),DATE(YEAR(설정_코스수당!$K$2),MONTH(설정_코스수당!$K$2),17),"")</f>
        <v>46190</v>
      </c>
      <c r="C1716" s="25"/>
      <c r="D1716" s="23"/>
      <c r="E1716" s="23"/>
      <c r="F1716" s="26"/>
      <c r="G1716" s="23"/>
      <c r="H1716" s="23"/>
      <c r="I1716" s="23"/>
      <c r="J1716" s="27">
        <f>IF($O1716="방문완료",MAX(0,IFERROR(VLOOKUP($E1716,설정_코스수당!$A$6:$H$10,4,FALSE),0)-IF(OR($P1716="",$P1716="없음"),0,100000)),0)</f>
        <v>0</v>
      </c>
      <c r="K1716" s="27">
        <f t="array" ref="K1716">IF($O1716="방문완료",IFERROR(INDEX(설정_코스수당!$B$15:$F$64,MATCH($G1716,설정_코스수당!$A$15:$A$64,0),MATCH($E1716&amp;"수당",설정_코스수당!$B$14:$F$14,0)),0),0)</f>
        <v>0</v>
      </c>
      <c r="L1716" s="27">
        <f t="array" ref="L1716">IF($O1716="방문완료",IF($H1716="",0,IFERROR(INDEX(설정_코스수당!$B$15:$F$64,MATCH($H1716,설정_코스수당!$A$15:$A$64,0),MATCH($E1716&amp;"수당",설정_코스수당!$B$14:$F$14,0)),0)),0)</f>
        <v>0</v>
      </c>
      <c r="M1716" s="27">
        <f>IF($O1716="방문완료",IFERROR(VLOOKUP($E1716,설정_코스수당!$A$6:$H$10,6,FALSE),0),0)</f>
        <v>0</v>
      </c>
      <c r="N1716" s="28">
        <f t="shared" si="49"/>
        <v>0</v>
      </c>
      <c r="O1716" s="23"/>
      <c r="P1716" s="23"/>
      <c r="Q1716" s="23"/>
      <c r="R1716" s="26"/>
      <c r="S1716" s="23"/>
    </row>
    <row r="1717" spans="1:22" ht="19.5" hidden="1" customHeight="1" outlineLevel="1">
      <c r="A1717" s="29">
        <v>56</v>
      </c>
      <c r="B1717" s="30">
        <f>IF(17&lt;=DAY(DATE(YEAR(설정_코스수당!$K$2),MONTH(설정_코스수당!$K$2)+1,0)),DATE(YEAR(설정_코스수당!$K$2),MONTH(설정_코스수당!$K$2),17),"")</f>
        <v>46190</v>
      </c>
      <c r="C1717" s="31"/>
      <c r="D1717" s="29"/>
      <c r="E1717" s="29"/>
      <c r="F1717" s="32"/>
      <c r="G1717" s="29"/>
      <c r="H1717" s="29"/>
      <c r="I1717" s="29"/>
      <c r="J1717" s="33">
        <f>IF($O1717="방문완료",MAX(0,IFERROR(VLOOKUP($E1717,설정_코스수당!$A$6:$H$10,4,FALSE),0)-IF(OR($P1717="",$P1717="없음"),0,100000)),0)</f>
        <v>0</v>
      </c>
      <c r="K1717" s="33">
        <f t="array" ref="K1717">IF($O1717="방문완료",IFERROR(INDEX(설정_코스수당!$B$15:$F$64,MATCH($G1717,설정_코스수당!$A$15:$A$64,0),MATCH($E1717&amp;"수당",설정_코스수당!$B$14:$F$14,0)),0),0)</f>
        <v>0</v>
      </c>
      <c r="L1717" s="33">
        <f t="array" ref="L1717">IF($O1717="방문완료",IF($H1717="",0,IFERROR(INDEX(설정_코스수당!$B$15:$F$64,MATCH($H1717,설정_코스수당!$A$15:$A$64,0),MATCH($E1717&amp;"수당",설정_코스수당!$B$14:$F$14,0)),0)),0)</f>
        <v>0</v>
      </c>
      <c r="M1717" s="33">
        <f>IF($O1717="방문완료",IFERROR(VLOOKUP($E1717,설정_코스수당!$A$6:$H$10,6,FALSE),0),0)</f>
        <v>0</v>
      </c>
      <c r="N1717" s="34">
        <f t="shared" si="49"/>
        <v>0</v>
      </c>
      <c r="O1717" s="29"/>
      <c r="P1717" s="29"/>
      <c r="Q1717" s="29"/>
      <c r="R1717" s="32"/>
      <c r="S1717" s="29"/>
    </row>
    <row r="1718" spans="1:22" ht="19.5" hidden="1" customHeight="1" outlineLevel="1">
      <c r="A1718" s="23">
        <v>57</v>
      </c>
      <c r="B1718" s="24">
        <f>IF(17&lt;=DAY(DATE(YEAR(설정_코스수당!$K$2),MONTH(설정_코스수당!$K$2)+1,0)),DATE(YEAR(설정_코스수당!$K$2),MONTH(설정_코스수당!$K$2),17),"")</f>
        <v>46190</v>
      </c>
      <c r="C1718" s="25"/>
      <c r="D1718" s="23"/>
      <c r="E1718" s="23"/>
      <c r="F1718" s="26"/>
      <c r="G1718" s="23"/>
      <c r="H1718" s="23"/>
      <c r="I1718" s="23"/>
      <c r="J1718" s="27">
        <f>IF($O1718="방문완료",MAX(0,IFERROR(VLOOKUP($E1718,설정_코스수당!$A$6:$H$10,4,FALSE),0)-IF(OR($P1718="",$P1718="없음"),0,100000)),0)</f>
        <v>0</v>
      </c>
      <c r="K1718" s="27">
        <f t="array" ref="K1718">IF($O1718="방문완료",IFERROR(INDEX(설정_코스수당!$B$15:$F$64,MATCH($G1718,설정_코스수당!$A$15:$A$64,0),MATCH($E1718&amp;"수당",설정_코스수당!$B$14:$F$14,0)),0),0)</f>
        <v>0</v>
      </c>
      <c r="L1718" s="27">
        <f t="array" ref="L1718">IF($O1718="방문완료",IF($H1718="",0,IFERROR(INDEX(설정_코스수당!$B$15:$F$64,MATCH($H1718,설정_코스수당!$A$15:$A$64,0),MATCH($E1718&amp;"수당",설정_코스수당!$B$14:$F$14,0)),0)),0)</f>
        <v>0</v>
      </c>
      <c r="M1718" s="27">
        <f>IF($O1718="방문완료",IFERROR(VLOOKUP($E1718,설정_코스수당!$A$6:$H$10,6,FALSE),0),0)</f>
        <v>0</v>
      </c>
      <c r="N1718" s="28">
        <f t="shared" si="49"/>
        <v>0</v>
      </c>
      <c r="O1718" s="23"/>
      <c r="P1718" s="23"/>
      <c r="Q1718" s="23"/>
      <c r="R1718" s="26"/>
      <c r="S1718" s="23"/>
    </row>
    <row r="1719" spans="1:22" ht="19.5" hidden="1" customHeight="1" outlineLevel="1">
      <c r="A1719" s="29">
        <v>58</v>
      </c>
      <c r="B1719" s="30">
        <f>IF(17&lt;=DAY(DATE(YEAR(설정_코스수당!$K$2),MONTH(설정_코스수당!$K$2)+1,0)),DATE(YEAR(설정_코스수당!$K$2),MONTH(설정_코스수당!$K$2),17),"")</f>
        <v>46190</v>
      </c>
      <c r="C1719" s="31"/>
      <c r="D1719" s="29"/>
      <c r="E1719" s="29"/>
      <c r="F1719" s="32"/>
      <c r="G1719" s="29"/>
      <c r="H1719" s="29"/>
      <c r="I1719" s="29"/>
      <c r="J1719" s="33">
        <f>IF($O1719="방문완료",MAX(0,IFERROR(VLOOKUP($E1719,설정_코스수당!$A$6:$H$10,4,FALSE),0)-IF(OR($P1719="",$P1719="없음"),0,100000)),0)</f>
        <v>0</v>
      </c>
      <c r="K1719" s="33">
        <f t="array" ref="K1719">IF($O1719="방문완료",IFERROR(INDEX(설정_코스수당!$B$15:$F$64,MATCH($G1719,설정_코스수당!$A$15:$A$64,0),MATCH($E1719&amp;"수당",설정_코스수당!$B$14:$F$14,0)),0),0)</f>
        <v>0</v>
      </c>
      <c r="L1719" s="33">
        <f t="array" ref="L1719">IF($O1719="방문완료",IF($H1719="",0,IFERROR(INDEX(설정_코스수당!$B$15:$F$64,MATCH($H1719,설정_코스수당!$A$15:$A$64,0),MATCH($E1719&amp;"수당",설정_코스수당!$B$14:$F$14,0)),0)),0)</f>
        <v>0</v>
      </c>
      <c r="M1719" s="33">
        <f>IF($O1719="방문완료",IFERROR(VLOOKUP($E1719,설정_코스수당!$A$6:$H$10,6,FALSE),0),0)</f>
        <v>0</v>
      </c>
      <c r="N1719" s="34">
        <f t="shared" si="49"/>
        <v>0</v>
      </c>
      <c r="O1719" s="29"/>
      <c r="P1719" s="29"/>
      <c r="Q1719" s="29"/>
      <c r="R1719" s="32"/>
      <c r="S1719" s="29"/>
    </row>
    <row r="1720" spans="1:22" ht="19.5" hidden="1" customHeight="1" outlineLevel="1">
      <c r="A1720" s="23">
        <v>59</v>
      </c>
      <c r="B1720" s="24">
        <f>IF(17&lt;=DAY(DATE(YEAR(설정_코스수당!$K$2),MONTH(설정_코스수당!$K$2)+1,0)),DATE(YEAR(설정_코스수당!$K$2),MONTH(설정_코스수당!$K$2),17),"")</f>
        <v>46190</v>
      </c>
      <c r="C1720" s="25"/>
      <c r="D1720" s="23"/>
      <c r="E1720" s="23"/>
      <c r="F1720" s="26"/>
      <c r="G1720" s="23"/>
      <c r="H1720" s="23"/>
      <c r="I1720" s="23"/>
      <c r="J1720" s="27">
        <f>IF($O1720="방문완료",MAX(0,IFERROR(VLOOKUP($E1720,설정_코스수당!$A$6:$H$10,4,FALSE),0)-IF(OR($P1720="",$P1720="없음"),0,100000)),0)</f>
        <v>0</v>
      </c>
      <c r="K1720" s="27">
        <f t="array" ref="K1720">IF($O1720="방문완료",IFERROR(INDEX(설정_코스수당!$B$15:$F$64,MATCH($G1720,설정_코스수당!$A$15:$A$64,0),MATCH($E1720&amp;"수당",설정_코스수당!$B$14:$F$14,0)),0),0)</f>
        <v>0</v>
      </c>
      <c r="L1720" s="27">
        <f t="array" ref="L1720">IF($O1720="방문완료",IF($H1720="",0,IFERROR(INDEX(설정_코스수당!$B$15:$F$64,MATCH($H1720,설정_코스수당!$A$15:$A$64,0),MATCH($E1720&amp;"수당",설정_코스수당!$B$14:$F$14,0)),0)),0)</f>
        <v>0</v>
      </c>
      <c r="M1720" s="27">
        <f>IF($O1720="방문완료",IFERROR(VLOOKUP($E1720,설정_코스수당!$A$6:$H$10,6,FALSE),0),0)</f>
        <v>0</v>
      </c>
      <c r="N1720" s="28">
        <f t="shared" si="49"/>
        <v>0</v>
      </c>
      <c r="O1720" s="23"/>
      <c r="P1720" s="23"/>
      <c r="Q1720" s="23"/>
      <c r="R1720" s="26"/>
      <c r="S1720" s="23"/>
      <c r="U1720" s="16" t="s">
        <v>72</v>
      </c>
      <c r="V1720" s="17">
        <f>IF(18&lt;=DAY(DATE(YEAR(설정_코스수당!$K$2),MONTH(설정_코스수당!$K$2)+1,0)),COUNTIFS($B:$B,DATE(YEAR(설정_코스수당!$K$2),MONTH(설정_코스수당!$K$2),18),$O:$O,"방문완료",$P:$P,"&lt;&gt;",$P:$P,"&lt;&gt;없음")*100000,"")</f>
        <v>0</v>
      </c>
    </row>
    <row r="1721" spans="1:22" ht="19.5" hidden="1" customHeight="1" outlineLevel="1">
      <c r="A1721" s="29">
        <v>60</v>
      </c>
      <c r="B1721" s="30">
        <f>IF(17&lt;=DAY(DATE(YEAR(설정_코스수당!$K$2),MONTH(설정_코스수당!$K$2)+1,0)),DATE(YEAR(설정_코스수당!$K$2),MONTH(설정_코스수당!$K$2),17),"")</f>
        <v>46190</v>
      </c>
      <c r="C1721" s="31"/>
      <c r="D1721" s="29"/>
      <c r="E1721" s="29"/>
      <c r="F1721" s="32"/>
      <c r="G1721" s="29"/>
      <c r="H1721" s="29"/>
      <c r="I1721" s="29"/>
      <c r="J1721" s="33">
        <f>IF($O1721="방문완료",MAX(0,IFERROR(VLOOKUP($E1721,설정_코스수당!$A$6:$H$10,4,FALSE),0)-IF(OR($P1721="",$P1721="없음"),0,100000)),0)</f>
        <v>0</v>
      </c>
      <c r="K1721" s="33">
        <f t="array" ref="K1721">IF($O1721="방문완료",IFERROR(INDEX(설정_코스수당!$B$15:$F$64,MATCH($G1721,설정_코스수당!$A$15:$A$64,0),MATCH($E1721&amp;"수당",설정_코스수당!$B$14:$F$14,0)),0),0)</f>
        <v>0</v>
      </c>
      <c r="L1721" s="33">
        <f t="array" ref="L1721">IF($O1721="방문완료",IF($H1721="",0,IFERROR(INDEX(설정_코스수당!$B$15:$F$64,MATCH($H1721,설정_코스수당!$A$15:$A$64,0),MATCH($E1721&amp;"수당",설정_코스수당!$B$14:$F$14,0)),0)),0)</f>
        <v>0</v>
      </c>
      <c r="M1721" s="33">
        <f>IF($O1721="방문완료",IFERROR(VLOOKUP($E1721,설정_코스수당!$A$6:$H$10,6,FALSE),0),0)</f>
        <v>0</v>
      </c>
      <c r="N1721" s="34">
        <f t="shared" si="49"/>
        <v>0</v>
      </c>
      <c r="O1721" s="29"/>
      <c r="P1721" s="29"/>
      <c r="Q1721" s="29"/>
      <c r="R1721" s="32"/>
      <c r="S1721" s="29"/>
    </row>
    <row r="1722" spans="1:22" ht="19.5" hidden="1" customHeight="1" outlineLevel="1">
      <c r="A1722" s="23">
        <v>61</v>
      </c>
      <c r="B1722" s="24">
        <f>IF(17&lt;=DAY(DATE(YEAR(설정_코스수당!$K$2),MONTH(설정_코스수당!$K$2)+1,0)),DATE(YEAR(설정_코스수당!$K$2),MONTH(설정_코스수당!$K$2),17),"")</f>
        <v>46190</v>
      </c>
      <c r="C1722" s="25"/>
      <c r="D1722" s="23"/>
      <c r="E1722" s="23"/>
      <c r="F1722" s="26"/>
      <c r="G1722" s="23"/>
      <c r="H1722" s="23"/>
      <c r="I1722" s="23"/>
      <c r="J1722" s="27">
        <f>IF($O1722="방문완료",MAX(0,IFERROR(VLOOKUP($E1722,설정_코스수당!$A$6:$H$10,4,FALSE),0)-IF(OR($P1722="",$P1722="없음"),0,100000)),0)</f>
        <v>0</v>
      </c>
      <c r="K1722" s="27">
        <f t="array" ref="K1722">IF($O1722="방문완료",IFERROR(INDEX(설정_코스수당!$B$15:$F$64,MATCH($G1722,설정_코스수당!$A$15:$A$64,0),MATCH($E1722&amp;"수당",설정_코스수당!$B$14:$F$14,0)),0),0)</f>
        <v>0</v>
      </c>
      <c r="L1722" s="27">
        <f t="array" ref="L1722">IF($O1722="방문완료",IF($H1722="",0,IFERROR(INDEX(설정_코스수당!$B$15:$F$64,MATCH($H1722,설정_코스수당!$A$15:$A$64,0),MATCH($E1722&amp;"수당",설정_코스수당!$B$14:$F$14,0)),0)),0)</f>
        <v>0</v>
      </c>
      <c r="M1722" s="27">
        <f>IF($O1722="방문완료",IFERROR(VLOOKUP($E1722,설정_코스수당!$A$6:$H$10,6,FALSE),0),0)</f>
        <v>0</v>
      </c>
      <c r="N1722" s="28">
        <f t="shared" si="49"/>
        <v>0</v>
      </c>
      <c r="O1722" s="23"/>
      <c r="P1722" s="23"/>
      <c r="Q1722" s="23"/>
      <c r="R1722" s="26"/>
      <c r="S1722" s="23"/>
    </row>
    <row r="1723" spans="1:22" ht="19.5" hidden="1" customHeight="1" outlineLevel="1">
      <c r="A1723" s="29">
        <v>62</v>
      </c>
      <c r="B1723" s="30">
        <f>IF(17&lt;=DAY(DATE(YEAR(설정_코스수당!$K$2),MONTH(설정_코스수당!$K$2)+1,0)),DATE(YEAR(설정_코스수당!$K$2),MONTH(설정_코스수당!$K$2),17),"")</f>
        <v>46190</v>
      </c>
      <c r="C1723" s="31"/>
      <c r="D1723" s="29"/>
      <c r="E1723" s="29"/>
      <c r="F1723" s="32"/>
      <c r="G1723" s="29"/>
      <c r="H1723" s="29"/>
      <c r="I1723" s="29"/>
      <c r="J1723" s="33">
        <f>IF($O1723="방문완료",MAX(0,IFERROR(VLOOKUP($E1723,설정_코스수당!$A$6:$H$10,4,FALSE),0)-IF(OR($P1723="",$P1723="없음"),0,100000)),0)</f>
        <v>0</v>
      </c>
      <c r="K1723" s="33">
        <f t="array" ref="K1723">IF($O1723="방문완료",IFERROR(INDEX(설정_코스수당!$B$15:$F$64,MATCH($G1723,설정_코스수당!$A$15:$A$64,0),MATCH($E1723&amp;"수당",설정_코스수당!$B$14:$F$14,0)),0),0)</f>
        <v>0</v>
      </c>
      <c r="L1723" s="33">
        <f t="array" ref="L1723">IF($O1723="방문완료",IF($H1723="",0,IFERROR(INDEX(설정_코스수당!$B$15:$F$64,MATCH($H1723,설정_코스수당!$A$15:$A$64,0),MATCH($E1723&amp;"수당",설정_코스수당!$B$14:$F$14,0)),0)),0)</f>
        <v>0</v>
      </c>
      <c r="M1723" s="33">
        <f>IF($O1723="방문완료",IFERROR(VLOOKUP($E1723,설정_코스수당!$A$6:$H$10,6,FALSE),0),0)</f>
        <v>0</v>
      </c>
      <c r="N1723" s="34">
        <f t="shared" si="49"/>
        <v>0</v>
      </c>
      <c r="O1723" s="29"/>
      <c r="P1723" s="29"/>
      <c r="Q1723" s="29"/>
      <c r="R1723" s="32"/>
      <c r="S1723" s="29"/>
    </row>
    <row r="1724" spans="1:22" ht="19.5" hidden="1" customHeight="1" outlineLevel="1">
      <c r="A1724" s="23">
        <v>63</v>
      </c>
      <c r="B1724" s="24">
        <f>IF(17&lt;=DAY(DATE(YEAR(설정_코스수당!$K$2),MONTH(설정_코스수당!$K$2)+1,0)),DATE(YEAR(설정_코스수당!$K$2),MONTH(설정_코스수당!$K$2),17),"")</f>
        <v>46190</v>
      </c>
      <c r="C1724" s="25"/>
      <c r="D1724" s="23"/>
      <c r="E1724" s="23"/>
      <c r="F1724" s="26"/>
      <c r="G1724" s="23"/>
      <c r="H1724" s="23"/>
      <c r="I1724" s="23"/>
      <c r="J1724" s="27">
        <f>IF($O1724="방문완료",MAX(0,IFERROR(VLOOKUP($E1724,설정_코스수당!$A$6:$H$10,4,FALSE),0)-IF(OR($P1724="",$P1724="없음"),0,100000)),0)</f>
        <v>0</v>
      </c>
      <c r="K1724" s="27">
        <f t="array" ref="K1724">IF($O1724="방문완료",IFERROR(INDEX(설정_코스수당!$B$15:$F$64,MATCH($G1724,설정_코스수당!$A$15:$A$64,0),MATCH($E1724&amp;"수당",설정_코스수당!$B$14:$F$14,0)),0),0)</f>
        <v>0</v>
      </c>
      <c r="L1724" s="27">
        <f t="array" ref="L1724">IF($O1724="방문완료",IF($H1724="",0,IFERROR(INDEX(설정_코스수당!$B$15:$F$64,MATCH($H1724,설정_코스수당!$A$15:$A$64,0),MATCH($E1724&amp;"수당",설정_코스수당!$B$14:$F$14,0)),0)),0)</f>
        <v>0</v>
      </c>
      <c r="M1724" s="27">
        <f>IF($O1724="방문완료",IFERROR(VLOOKUP($E1724,설정_코스수당!$A$6:$H$10,6,FALSE),0),0)</f>
        <v>0</v>
      </c>
      <c r="N1724" s="28">
        <f t="shared" si="49"/>
        <v>0</v>
      </c>
      <c r="O1724" s="23"/>
      <c r="P1724" s="23"/>
      <c r="Q1724" s="23"/>
      <c r="R1724" s="26"/>
      <c r="S1724" s="23"/>
    </row>
    <row r="1725" spans="1:22" ht="19.5" hidden="1" customHeight="1" outlineLevel="1">
      <c r="A1725" s="29">
        <v>64</v>
      </c>
      <c r="B1725" s="30">
        <f>IF(17&lt;=DAY(DATE(YEAR(설정_코스수당!$K$2),MONTH(설정_코스수당!$K$2)+1,0)),DATE(YEAR(설정_코스수당!$K$2),MONTH(설정_코스수당!$K$2),17),"")</f>
        <v>46190</v>
      </c>
      <c r="C1725" s="31"/>
      <c r="D1725" s="29"/>
      <c r="E1725" s="29"/>
      <c r="F1725" s="32"/>
      <c r="G1725" s="29"/>
      <c r="H1725" s="29"/>
      <c r="I1725" s="29"/>
      <c r="J1725" s="33">
        <f>IF($O1725="방문완료",MAX(0,IFERROR(VLOOKUP($E1725,설정_코스수당!$A$6:$H$10,4,FALSE),0)-IF(OR($P1725="",$P1725="없음"),0,100000)),0)</f>
        <v>0</v>
      </c>
      <c r="K1725" s="33">
        <f t="array" ref="K1725">IF($O1725="방문완료",IFERROR(INDEX(설정_코스수당!$B$15:$F$64,MATCH($G1725,설정_코스수당!$A$15:$A$64,0),MATCH($E1725&amp;"수당",설정_코스수당!$B$14:$F$14,0)),0),0)</f>
        <v>0</v>
      </c>
      <c r="L1725" s="33">
        <f t="array" ref="L1725">IF($O1725="방문완료",IF($H1725="",0,IFERROR(INDEX(설정_코스수당!$B$15:$F$64,MATCH($H1725,설정_코스수당!$A$15:$A$64,0),MATCH($E1725&amp;"수당",설정_코스수당!$B$14:$F$14,0)),0)),0)</f>
        <v>0</v>
      </c>
      <c r="M1725" s="33">
        <f>IF($O1725="방문완료",IFERROR(VLOOKUP($E1725,설정_코스수당!$A$6:$H$10,6,FALSE),0),0)</f>
        <v>0</v>
      </c>
      <c r="N1725" s="34">
        <f t="shared" si="49"/>
        <v>0</v>
      </c>
      <c r="O1725" s="29"/>
      <c r="P1725" s="29"/>
      <c r="Q1725" s="29"/>
      <c r="R1725" s="32"/>
      <c r="S1725" s="29"/>
    </row>
    <row r="1726" spans="1:22" ht="19.5" hidden="1" customHeight="1" outlineLevel="1">
      <c r="A1726" s="23">
        <v>65</v>
      </c>
      <c r="B1726" s="24">
        <f>IF(17&lt;=DAY(DATE(YEAR(설정_코스수당!$K$2),MONTH(설정_코스수당!$K$2)+1,0)),DATE(YEAR(설정_코스수당!$K$2),MONTH(설정_코스수당!$K$2),17),"")</f>
        <v>46190</v>
      </c>
      <c r="C1726" s="25"/>
      <c r="D1726" s="23"/>
      <c r="E1726" s="23"/>
      <c r="F1726" s="26"/>
      <c r="G1726" s="23"/>
      <c r="H1726" s="23"/>
      <c r="I1726" s="23"/>
      <c r="J1726" s="27">
        <f>IF($O1726="방문완료",MAX(0,IFERROR(VLOOKUP($E1726,설정_코스수당!$A$6:$H$10,4,FALSE),0)-IF(OR($P1726="",$P1726="없음"),0,100000)),0)</f>
        <v>0</v>
      </c>
      <c r="K1726" s="27">
        <f t="array" ref="K1726">IF($O1726="방문완료",IFERROR(INDEX(설정_코스수당!$B$15:$F$64,MATCH($G1726,설정_코스수당!$A$15:$A$64,0),MATCH($E1726&amp;"수당",설정_코스수당!$B$14:$F$14,0)),0),0)</f>
        <v>0</v>
      </c>
      <c r="L1726" s="27">
        <f t="array" ref="L1726">IF($O1726="방문완료",IF($H1726="",0,IFERROR(INDEX(설정_코스수당!$B$15:$F$64,MATCH($H1726,설정_코스수당!$A$15:$A$64,0),MATCH($E1726&amp;"수당",설정_코스수당!$B$14:$F$14,0)),0)),0)</f>
        <v>0</v>
      </c>
      <c r="M1726" s="27">
        <f>IF($O1726="방문완료",IFERROR(VLOOKUP($E1726,설정_코스수당!$A$6:$H$10,6,FALSE),0),0)</f>
        <v>0</v>
      </c>
      <c r="N1726" s="28">
        <f t="shared" ref="N1726:N1761" si="50">IF($O1726="방문완료",1,0)</f>
        <v>0</v>
      </c>
      <c r="O1726" s="23"/>
      <c r="P1726" s="23"/>
      <c r="Q1726" s="23"/>
      <c r="R1726" s="26"/>
      <c r="S1726" s="23"/>
    </row>
    <row r="1727" spans="1:22" ht="19.5" hidden="1" customHeight="1" outlineLevel="1">
      <c r="A1727" s="29">
        <v>66</v>
      </c>
      <c r="B1727" s="30">
        <f>IF(17&lt;=DAY(DATE(YEAR(설정_코스수당!$K$2),MONTH(설정_코스수당!$K$2)+1,0)),DATE(YEAR(설정_코스수당!$K$2),MONTH(설정_코스수당!$K$2),17),"")</f>
        <v>46190</v>
      </c>
      <c r="C1727" s="31"/>
      <c r="D1727" s="29"/>
      <c r="E1727" s="29"/>
      <c r="F1727" s="32"/>
      <c r="G1727" s="29"/>
      <c r="H1727" s="29"/>
      <c r="I1727" s="29"/>
      <c r="J1727" s="33">
        <f>IF($O1727="방문완료",MAX(0,IFERROR(VLOOKUP($E1727,설정_코스수당!$A$6:$H$10,4,FALSE),0)-IF(OR($P1727="",$P1727="없음"),0,100000)),0)</f>
        <v>0</v>
      </c>
      <c r="K1727" s="33">
        <f t="array" ref="K1727">IF($O1727="방문완료",IFERROR(INDEX(설정_코스수당!$B$15:$F$64,MATCH($G1727,설정_코스수당!$A$15:$A$64,0),MATCH($E1727&amp;"수당",설정_코스수당!$B$14:$F$14,0)),0),0)</f>
        <v>0</v>
      </c>
      <c r="L1727" s="33">
        <f t="array" ref="L1727">IF($O1727="방문완료",IF($H1727="",0,IFERROR(INDEX(설정_코스수당!$B$15:$F$64,MATCH($H1727,설정_코스수당!$A$15:$A$64,0),MATCH($E1727&amp;"수당",설정_코스수당!$B$14:$F$14,0)),0)),0)</f>
        <v>0</v>
      </c>
      <c r="M1727" s="33">
        <f>IF($O1727="방문완료",IFERROR(VLOOKUP($E1727,설정_코스수당!$A$6:$H$10,6,FALSE),0),0)</f>
        <v>0</v>
      </c>
      <c r="N1727" s="34">
        <f t="shared" si="50"/>
        <v>0</v>
      </c>
      <c r="O1727" s="29"/>
      <c r="P1727" s="29"/>
      <c r="Q1727" s="29"/>
      <c r="R1727" s="32"/>
      <c r="S1727" s="29"/>
    </row>
    <row r="1728" spans="1:22" ht="19.5" hidden="1" customHeight="1" outlineLevel="1">
      <c r="A1728" s="23">
        <v>67</v>
      </c>
      <c r="B1728" s="24">
        <f>IF(17&lt;=DAY(DATE(YEAR(설정_코스수당!$K$2),MONTH(설정_코스수당!$K$2)+1,0)),DATE(YEAR(설정_코스수당!$K$2),MONTH(설정_코스수당!$K$2),17),"")</f>
        <v>46190</v>
      </c>
      <c r="C1728" s="25"/>
      <c r="D1728" s="23"/>
      <c r="E1728" s="23"/>
      <c r="F1728" s="26"/>
      <c r="G1728" s="23"/>
      <c r="H1728" s="23"/>
      <c r="I1728" s="23"/>
      <c r="J1728" s="27">
        <f>IF($O1728="방문완료",MAX(0,IFERROR(VLOOKUP($E1728,설정_코스수당!$A$6:$H$10,4,FALSE),0)-IF(OR($P1728="",$P1728="없음"),0,100000)),0)</f>
        <v>0</v>
      </c>
      <c r="K1728" s="27">
        <f t="array" ref="K1728">IF($O1728="방문완료",IFERROR(INDEX(설정_코스수당!$B$15:$F$64,MATCH($G1728,설정_코스수당!$A$15:$A$64,0),MATCH($E1728&amp;"수당",설정_코스수당!$B$14:$F$14,0)),0),0)</f>
        <v>0</v>
      </c>
      <c r="L1728" s="27">
        <f t="array" ref="L1728">IF($O1728="방문완료",IF($H1728="",0,IFERROR(INDEX(설정_코스수당!$B$15:$F$64,MATCH($H1728,설정_코스수당!$A$15:$A$64,0),MATCH($E1728&amp;"수당",설정_코스수당!$B$14:$F$14,0)),0)),0)</f>
        <v>0</v>
      </c>
      <c r="M1728" s="27">
        <f>IF($O1728="방문완료",IFERROR(VLOOKUP($E1728,설정_코스수당!$A$6:$H$10,6,FALSE),0),0)</f>
        <v>0</v>
      </c>
      <c r="N1728" s="28">
        <f t="shared" si="50"/>
        <v>0</v>
      </c>
      <c r="O1728" s="23"/>
      <c r="P1728" s="23"/>
      <c r="Q1728" s="23"/>
      <c r="R1728" s="26"/>
      <c r="S1728" s="23"/>
    </row>
    <row r="1729" spans="1:19" ht="19.5" hidden="1" customHeight="1" outlineLevel="1">
      <c r="A1729" s="29">
        <v>68</v>
      </c>
      <c r="B1729" s="30">
        <f>IF(17&lt;=DAY(DATE(YEAR(설정_코스수당!$K$2),MONTH(설정_코스수당!$K$2)+1,0)),DATE(YEAR(설정_코스수당!$K$2),MONTH(설정_코스수당!$K$2),17),"")</f>
        <v>46190</v>
      </c>
      <c r="C1729" s="31"/>
      <c r="D1729" s="29"/>
      <c r="E1729" s="29"/>
      <c r="F1729" s="32"/>
      <c r="G1729" s="29"/>
      <c r="H1729" s="29"/>
      <c r="I1729" s="29"/>
      <c r="J1729" s="33">
        <f>IF($O1729="방문완료",MAX(0,IFERROR(VLOOKUP($E1729,설정_코스수당!$A$6:$H$10,4,FALSE),0)-IF(OR($P1729="",$P1729="없음"),0,100000)),0)</f>
        <v>0</v>
      </c>
      <c r="K1729" s="33">
        <f t="array" ref="K1729">IF($O1729="방문완료",IFERROR(INDEX(설정_코스수당!$B$15:$F$64,MATCH($G1729,설정_코스수당!$A$15:$A$64,0),MATCH($E1729&amp;"수당",설정_코스수당!$B$14:$F$14,0)),0),0)</f>
        <v>0</v>
      </c>
      <c r="L1729" s="33">
        <f t="array" ref="L1729">IF($O1729="방문완료",IF($H1729="",0,IFERROR(INDEX(설정_코스수당!$B$15:$F$64,MATCH($H1729,설정_코스수당!$A$15:$A$64,0),MATCH($E1729&amp;"수당",설정_코스수당!$B$14:$F$14,0)),0)),0)</f>
        <v>0</v>
      </c>
      <c r="M1729" s="33">
        <f>IF($O1729="방문완료",IFERROR(VLOOKUP($E1729,설정_코스수당!$A$6:$H$10,6,FALSE),0),0)</f>
        <v>0</v>
      </c>
      <c r="N1729" s="34">
        <f t="shared" si="50"/>
        <v>0</v>
      </c>
      <c r="O1729" s="29"/>
      <c r="P1729" s="29"/>
      <c r="Q1729" s="29"/>
      <c r="R1729" s="32"/>
      <c r="S1729" s="29"/>
    </row>
    <row r="1730" spans="1:19" ht="19.5" hidden="1" customHeight="1" outlineLevel="1">
      <c r="A1730" s="23">
        <v>69</v>
      </c>
      <c r="B1730" s="24">
        <f>IF(17&lt;=DAY(DATE(YEAR(설정_코스수당!$K$2),MONTH(설정_코스수당!$K$2)+1,0)),DATE(YEAR(설정_코스수당!$K$2),MONTH(설정_코스수당!$K$2),17),"")</f>
        <v>46190</v>
      </c>
      <c r="C1730" s="25"/>
      <c r="D1730" s="23"/>
      <c r="E1730" s="23"/>
      <c r="F1730" s="26"/>
      <c r="G1730" s="23"/>
      <c r="H1730" s="23"/>
      <c r="I1730" s="23"/>
      <c r="J1730" s="27">
        <f>IF($O1730="방문완료",MAX(0,IFERROR(VLOOKUP($E1730,설정_코스수당!$A$6:$H$10,4,FALSE),0)-IF(OR($P1730="",$P1730="없음"),0,100000)),0)</f>
        <v>0</v>
      </c>
      <c r="K1730" s="27">
        <f t="array" ref="K1730">IF($O1730="방문완료",IFERROR(INDEX(설정_코스수당!$B$15:$F$64,MATCH($G1730,설정_코스수당!$A$15:$A$64,0),MATCH($E1730&amp;"수당",설정_코스수당!$B$14:$F$14,0)),0),0)</f>
        <v>0</v>
      </c>
      <c r="L1730" s="27">
        <f t="array" ref="L1730">IF($O1730="방문완료",IF($H1730="",0,IFERROR(INDEX(설정_코스수당!$B$15:$F$64,MATCH($H1730,설정_코스수당!$A$15:$A$64,0),MATCH($E1730&amp;"수당",설정_코스수당!$B$14:$F$14,0)),0)),0)</f>
        <v>0</v>
      </c>
      <c r="M1730" s="27">
        <f>IF($O1730="방문완료",IFERROR(VLOOKUP($E1730,설정_코스수당!$A$6:$H$10,6,FALSE),0),0)</f>
        <v>0</v>
      </c>
      <c r="N1730" s="28">
        <f t="shared" si="50"/>
        <v>0</v>
      </c>
      <c r="O1730" s="23"/>
      <c r="P1730" s="23"/>
      <c r="Q1730" s="23"/>
      <c r="R1730" s="26"/>
      <c r="S1730" s="23"/>
    </row>
    <row r="1731" spans="1:19" ht="19.5" hidden="1" customHeight="1" outlineLevel="1">
      <c r="A1731" s="29">
        <v>70</v>
      </c>
      <c r="B1731" s="30">
        <f>IF(17&lt;=DAY(DATE(YEAR(설정_코스수당!$K$2),MONTH(설정_코스수당!$K$2)+1,0)),DATE(YEAR(설정_코스수당!$K$2),MONTH(설정_코스수당!$K$2),17),"")</f>
        <v>46190</v>
      </c>
      <c r="C1731" s="31"/>
      <c r="D1731" s="29"/>
      <c r="E1731" s="29"/>
      <c r="F1731" s="32"/>
      <c r="G1731" s="29"/>
      <c r="H1731" s="29"/>
      <c r="I1731" s="29"/>
      <c r="J1731" s="33">
        <f>IF($O1731="방문완료",MAX(0,IFERROR(VLOOKUP($E1731,설정_코스수당!$A$6:$H$10,4,FALSE),0)-IF(OR($P1731="",$P1731="없음"),0,100000)),0)</f>
        <v>0</v>
      </c>
      <c r="K1731" s="33">
        <f t="array" ref="K1731">IF($O1731="방문완료",IFERROR(INDEX(설정_코스수당!$B$15:$F$64,MATCH($G1731,설정_코스수당!$A$15:$A$64,0),MATCH($E1731&amp;"수당",설정_코스수당!$B$14:$F$14,0)),0),0)</f>
        <v>0</v>
      </c>
      <c r="L1731" s="33">
        <f t="array" ref="L1731">IF($O1731="방문완료",IF($H1731="",0,IFERROR(INDEX(설정_코스수당!$B$15:$F$64,MATCH($H1731,설정_코스수당!$A$15:$A$64,0),MATCH($E1731&amp;"수당",설정_코스수당!$B$14:$F$14,0)),0)),0)</f>
        <v>0</v>
      </c>
      <c r="M1731" s="33">
        <f>IF($O1731="방문완료",IFERROR(VLOOKUP($E1731,설정_코스수당!$A$6:$H$10,6,FALSE),0),0)</f>
        <v>0</v>
      </c>
      <c r="N1731" s="34">
        <f t="shared" si="50"/>
        <v>0</v>
      </c>
      <c r="O1731" s="29"/>
      <c r="P1731" s="29"/>
      <c r="Q1731" s="29"/>
      <c r="R1731" s="32"/>
      <c r="S1731" s="29"/>
    </row>
    <row r="1732" spans="1:19" ht="19.5" hidden="1" customHeight="1" outlineLevel="1">
      <c r="A1732" s="23">
        <v>71</v>
      </c>
      <c r="B1732" s="24">
        <f>IF(17&lt;=DAY(DATE(YEAR(설정_코스수당!$K$2),MONTH(설정_코스수당!$K$2)+1,0)),DATE(YEAR(설정_코스수당!$K$2),MONTH(설정_코스수당!$K$2),17),"")</f>
        <v>46190</v>
      </c>
      <c r="C1732" s="25"/>
      <c r="D1732" s="23"/>
      <c r="E1732" s="23"/>
      <c r="F1732" s="26"/>
      <c r="G1732" s="23"/>
      <c r="H1732" s="23"/>
      <c r="I1732" s="23"/>
      <c r="J1732" s="27">
        <f>IF($O1732="방문완료",MAX(0,IFERROR(VLOOKUP($E1732,설정_코스수당!$A$6:$H$10,4,FALSE),0)-IF(OR($P1732="",$P1732="없음"),0,100000)),0)</f>
        <v>0</v>
      </c>
      <c r="K1732" s="27">
        <f t="array" ref="K1732">IF($O1732="방문완료",IFERROR(INDEX(설정_코스수당!$B$15:$F$64,MATCH($G1732,설정_코스수당!$A$15:$A$64,0),MATCH($E1732&amp;"수당",설정_코스수당!$B$14:$F$14,0)),0),0)</f>
        <v>0</v>
      </c>
      <c r="L1732" s="27">
        <f t="array" ref="L1732">IF($O1732="방문완료",IF($H1732="",0,IFERROR(INDEX(설정_코스수당!$B$15:$F$64,MATCH($H1732,설정_코스수당!$A$15:$A$64,0),MATCH($E1732&amp;"수당",설정_코스수당!$B$14:$F$14,0)),0)),0)</f>
        <v>0</v>
      </c>
      <c r="M1732" s="27">
        <f>IF($O1732="방문완료",IFERROR(VLOOKUP($E1732,설정_코스수당!$A$6:$H$10,6,FALSE),0),0)</f>
        <v>0</v>
      </c>
      <c r="N1732" s="28">
        <f t="shared" si="50"/>
        <v>0</v>
      </c>
      <c r="O1732" s="23"/>
      <c r="P1732" s="23"/>
      <c r="Q1732" s="23"/>
      <c r="R1732" s="26"/>
      <c r="S1732" s="23"/>
    </row>
    <row r="1733" spans="1:19" ht="19.5" hidden="1" customHeight="1" outlineLevel="1">
      <c r="A1733" s="29">
        <v>72</v>
      </c>
      <c r="B1733" s="30">
        <f>IF(17&lt;=DAY(DATE(YEAR(설정_코스수당!$K$2),MONTH(설정_코스수당!$K$2)+1,0)),DATE(YEAR(설정_코스수당!$K$2),MONTH(설정_코스수당!$K$2),17),"")</f>
        <v>46190</v>
      </c>
      <c r="C1733" s="31"/>
      <c r="D1733" s="29"/>
      <c r="E1733" s="29"/>
      <c r="F1733" s="32"/>
      <c r="G1733" s="29"/>
      <c r="H1733" s="29"/>
      <c r="I1733" s="29"/>
      <c r="J1733" s="33">
        <f>IF($O1733="방문완료",MAX(0,IFERROR(VLOOKUP($E1733,설정_코스수당!$A$6:$H$10,4,FALSE),0)-IF(OR($P1733="",$P1733="없음"),0,100000)),0)</f>
        <v>0</v>
      </c>
      <c r="K1733" s="33">
        <f t="array" ref="K1733">IF($O1733="방문완료",IFERROR(INDEX(설정_코스수당!$B$15:$F$64,MATCH($G1733,설정_코스수당!$A$15:$A$64,0),MATCH($E1733&amp;"수당",설정_코스수당!$B$14:$F$14,0)),0),0)</f>
        <v>0</v>
      </c>
      <c r="L1733" s="33">
        <f t="array" ref="L1733">IF($O1733="방문완료",IF($H1733="",0,IFERROR(INDEX(설정_코스수당!$B$15:$F$64,MATCH($H1733,설정_코스수당!$A$15:$A$64,0),MATCH($E1733&amp;"수당",설정_코스수당!$B$14:$F$14,0)),0)),0)</f>
        <v>0</v>
      </c>
      <c r="M1733" s="33">
        <f>IF($O1733="방문완료",IFERROR(VLOOKUP($E1733,설정_코스수당!$A$6:$H$10,6,FALSE),0),0)</f>
        <v>0</v>
      </c>
      <c r="N1733" s="34">
        <f t="shared" si="50"/>
        <v>0</v>
      </c>
      <c r="O1733" s="29"/>
      <c r="P1733" s="29"/>
      <c r="Q1733" s="29"/>
      <c r="R1733" s="32"/>
      <c r="S1733" s="29"/>
    </row>
    <row r="1734" spans="1:19" ht="19.5" hidden="1" customHeight="1" outlineLevel="1">
      <c r="A1734" s="23">
        <v>73</v>
      </c>
      <c r="B1734" s="24">
        <f>IF(17&lt;=DAY(DATE(YEAR(설정_코스수당!$K$2),MONTH(설정_코스수당!$K$2)+1,0)),DATE(YEAR(설정_코스수당!$K$2),MONTH(설정_코스수당!$K$2),17),"")</f>
        <v>46190</v>
      </c>
      <c r="C1734" s="25"/>
      <c r="D1734" s="23"/>
      <c r="E1734" s="23"/>
      <c r="F1734" s="26"/>
      <c r="G1734" s="23"/>
      <c r="H1734" s="23"/>
      <c r="I1734" s="23"/>
      <c r="J1734" s="27">
        <f>IF($O1734="방문완료",MAX(0,IFERROR(VLOOKUP($E1734,설정_코스수당!$A$6:$H$10,4,FALSE),0)-IF(OR($P1734="",$P1734="없음"),0,100000)),0)</f>
        <v>0</v>
      </c>
      <c r="K1734" s="27">
        <f t="array" ref="K1734">IF($O1734="방문완료",IFERROR(INDEX(설정_코스수당!$B$15:$F$64,MATCH($G1734,설정_코스수당!$A$15:$A$64,0),MATCH($E1734&amp;"수당",설정_코스수당!$B$14:$F$14,0)),0),0)</f>
        <v>0</v>
      </c>
      <c r="L1734" s="27">
        <f t="array" ref="L1734">IF($O1734="방문완료",IF($H1734="",0,IFERROR(INDEX(설정_코스수당!$B$15:$F$64,MATCH($H1734,설정_코스수당!$A$15:$A$64,0),MATCH($E1734&amp;"수당",설정_코스수당!$B$14:$F$14,0)),0)),0)</f>
        <v>0</v>
      </c>
      <c r="M1734" s="27">
        <f>IF($O1734="방문완료",IFERROR(VLOOKUP($E1734,설정_코스수당!$A$6:$H$10,6,FALSE),0),0)</f>
        <v>0</v>
      </c>
      <c r="N1734" s="28">
        <f t="shared" si="50"/>
        <v>0</v>
      </c>
      <c r="O1734" s="23"/>
      <c r="P1734" s="23"/>
      <c r="Q1734" s="23"/>
      <c r="R1734" s="26"/>
      <c r="S1734" s="23"/>
    </row>
    <row r="1735" spans="1:19" ht="19.5" hidden="1" customHeight="1" outlineLevel="1">
      <c r="A1735" s="29">
        <v>74</v>
      </c>
      <c r="B1735" s="30">
        <f>IF(17&lt;=DAY(DATE(YEAR(설정_코스수당!$K$2),MONTH(설정_코스수당!$K$2)+1,0)),DATE(YEAR(설정_코스수당!$K$2),MONTH(설정_코스수당!$K$2),17),"")</f>
        <v>46190</v>
      </c>
      <c r="C1735" s="31"/>
      <c r="D1735" s="29"/>
      <c r="E1735" s="29"/>
      <c r="F1735" s="32"/>
      <c r="G1735" s="29"/>
      <c r="H1735" s="29"/>
      <c r="I1735" s="29"/>
      <c r="J1735" s="33">
        <f>IF($O1735="방문완료",MAX(0,IFERROR(VLOOKUP($E1735,설정_코스수당!$A$6:$H$10,4,FALSE),0)-IF(OR($P1735="",$P1735="없음"),0,100000)),0)</f>
        <v>0</v>
      </c>
      <c r="K1735" s="33">
        <f t="array" ref="K1735">IF($O1735="방문완료",IFERROR(INDEX(설정_코스수당!$B$15:$F$64,MATCH($G1735,설정_코스수당!$A$15:$A$64,0),MATCH($E1735&amp;"수당",설정_코스수당!$B$14:$F$14,0)),0),0)</f>
        <v>0</v>
      </c>
      <c r="L1735" s="33">
        <f t="array" ref="L1735">IF($O1735="방문완료",IF($H1735="",0,IFERROR(INDEX(설정_코스수당!$B$15:$F$64,MATCH($H1735,설정_코스수당!$A$15:$A$64,0),MATCH($E1735&amp;"수당",설정_코스수당!$B$14:$F$14,0)),0)),0)</f>
        <v>0</v>
      </c>
      <c r="M1735" s="33">
        <f>IF($O1735="방문완료",IFERROR(VLOOKUP($E1735,설정_코스수당!$A$6:$H$10,6,FALSE),0),0)</f>
        <v>0</v>
      </c>
      <c r="N1735" s="34">
        <f t="shared" si="50"/>
        <v>0</v>
      </c>
      <c r="O1735" s="29"/>
      <c r="P1735" s="29"/>
      <c r="Q1735" s="29"/>
      <c r="R1735" s="32"/>
      <c r="S1735" s="29"/>
    </row>
    <row r="1736" spans="1:19" ht="19.5" hidden="1" customHeight="1" outlineLevel="1">
      <c r="A1736" s="23">
        <v>75</v>
      </c>
      <c r="B1736" s="24">
        <f>IF(17&lt;=DAY(DATE(YEAR(설정_코스수당!$K$2),MONTH(설정_코스수당!$K$2)+1,0)),DATE(YEAR(설정_코스수당!$K$2),MONTH(설정_코스수당!$K$2),17),"")</f>
        <v>46190</v>
      </c>
      <c r="C1736" s="25"/>
      <c r="D1736" s="23"/>
      <c r="E1736" s="23"/>
      <c r="F1736" s="26"/>
      <c r="G1736" s="23"/>
      <c r="H1736" s="23"/>
      <c r="I1736" s="23"/>
      <c r="J1736" s="27">
        <f>IF($O1736="방문완료",MAX(0,IFERROR(VLOOKUP($E1736,설정_코스수당!$A$6:$H$10,4,FALSE),0)-IF(OR($P1736="",$P1736="없음"),0,100000)),0)</f>
        <v>0</v>
      </c>
      <c r="K1736" s="27">
        <f t="array" ref="K1736">IF($O1736="방문완료",IFERROR(INDEX(설정_코스수당!$B$15:$F$64,MATCH($G1736,설정_코스수당!$A$15:$A$64,0),MATCH($E1736&amp;"수당",설정_코스수당!$B$14:$F$14,0)),0),0)</f>
        <v>0</v>
      </c>
      <c r="L1736" s="27">
        <f t="array" ref="L1736">IF($O1736="방문완료",IF($H1736="",0,IFERROR(INDEX(설정_코스수당!$B$15:$F$64,MATCH($H1736,설정_코스수당!$A$15:$A$64,0),MATCH($E1736&amp;"수당",설정_코스수당!$B$14:$F$14,0)),0)),0)</f>
        <v>0</v>
      </c>
      <c r="M1736" s="27">
        <f>IF($O1736="방문완료",IFERROR(VLOOKUP($E1736,설정_코스수당!$A$6:$H$10,6,FALSE),0),0)</f>
        <v>0</v>
      </c>
      <c r="N1736" s="28">
        <f t="shared" si="50"/>
        <v>0</v>
      </c>
      <c r="O1736" s="23"/>
      <c r="P1736" s="23"/>
      <c r="Q1736" s="23"/>
      <c r="R1736" s="26"/>
      <c r="S1736" s="23"/>
    </row>
    <row r="1737" spans="1:19" ht="19.5" hidden="1" customHeight="1" outlineLevel="1">
      <c r="A1737" s="29">
        <v>76</v>
      </c>
      <c r="B1737" s="30">
        <f>IF(17&lt;=DAY(DATE(YEAR(설정_코스수당!$K$2),MONTH(설정_코스수당!$K$2)+1,0)),DATE(YEAR(설정_코스수당!$K$2),MONTH(설정_코스수당!$K$2),17),"")</f>
        <v>46190</v>
      </c>
      <c r="C1737" s="31"/>
      <c r="D1737" s="29"/>
      <c r="E1737" s="29"/>
      <c r="F1737" s="32"/>
      <c r="G1737" s="29"/>
      <c r="H1737" s="29"/>
      <c r="I1737" s="29"/>
      <c r="J1737" s="33">
        <f>IF($O1737="방문완료",MAX(0,IFERROR(VLOOKUP($E1737,설정_코스수당!$A$6:$H$10,4,FALSE),0)-IF(OR($P1737="",$P1737="없음"),0,100000)),0)</f>
        <v>0</v>
      </c>
      <c r="K1737" s="33">
        <f t="array" ref="K1737">IF($O1737="방문완료",IFERROR(INDEX(설정_코스수당!$B$15:$F$64,MATCH($G1737,설정_코스수당!$A$15:$A$64,0),MATCH($E1737&amp;"수당",설정_코스수당!$B$14:$F$14,0)),0),0)</f>
        <v>0</v>
      </c>
      <c r="L1737" s="33">
        <f t="array" ref="L1737">IF($O1737="방문완료",IF($H1737="",0,IFERROR(INDEX(설정_코스수당!$B$15:$F$64,MATCH($H1737,설정_코스수당!$A$15:$A$64,0),MATCH($E1737&amp;"수당",설정_코스수당!$B$14:$F$14,0)),0)),0)</f>
        <v>0</v>
      </c>
      <c r="M1737" s="33">
        <f>IF($O1737="방문완료",IFERROR(VLOOKUP($E1737,설정_코스수당!$A$6:$H$10,6,FALSE),0),0)</f>
        <v>0</v>
      </c>
      <c r="N1737" s="34">
        <f t="shared" si="50"/>
        <v>0</v>
      </c>
      <c r="O1737" s="29"/>
      <c r="P1737" s="29"/>
      <c r="Q1737" s="29"/>
      <c r="R1737" s="32"/>
      <c r="S1737" s="29"/>
    </row>
    <row r="1738" spans="1:19" ht="19.5" hidden="1" customHeight="1" outlineLevel="1">
      <c r="A1738" s="23">
        <v>77</v>
      </c>
      <c r="B1738" s="24">
        <f>IF(17&lt;=DAY(DATE(YEAR(설정_코스수당!$K$2),MONTH(설정_코스수당!$K$2)+1,0)),DATE(YEAR(설정_코스수당!$K$2),MONTH(설정_코스수당!$K$2),17),"")</f>
        <v>46190</v>
      </c>
      <c r="C1738" s="25"/>
      <c r="D1738" s="23"/>
      <c r="E1738" s="23"/>
      <c r="F1738" s="26"/>
      <c r="G1738" s="23"/>
      <c r="H1738" s="23"/>
      <c r="I1738" s="23"/>
      <c r="J1738" s="27">
        <f>IF($O1738="방문완료",MAX(0,IFERROR(VLOOKUP($E1738,설정_코스수당!$A$6:$H$10,4,FALSE),0)-IF(OR($P1738="",$P1738="없음"),0,100000)),0)</f>
        <v>0</v>
      </c>
      <c r="K1738" s="27">
        <f t="array" ref="K1738">IF($O1738="방문완료",IFERROR(INDEX(설정_코스수당!$B$15:$F$64,MATCH($G1738,설정_코스수당!$A$15:$A$64,0),MATCH($E1738&amp;"수당",설정_코스수당!$B$14:$F$14,0)),0),0)</f>
        <v>0</v>
      </c>
      <c r="L1738" s="27">
        <f t="array" ref="L1738">IF($O1738="방문완료",IF($H1738="",0,IFERROR(INDEX(설정_코스수당!$B$15:$F$64,MATCH($H1738,설정_코스수당!$A$15:$A$64,0),MATCH($E1738&amp;"수당",설정_코스수당!$B$14:$F$14,0)),0)),0)</f>
        <v>0</v>
      </c>
      <c r="M1738" s="27">
        <f>IF($O1738="방문완료",IFERROR(VLOOKUP($E1738,설정_코스수당!$A$6:$H$10,6,FALSE),0),0)</f>
        <v>0</v>
      </c>
      <c r="N1738" s="28">
        <f t="shared" si="50"/>
        <v>0</v>
      </c>
      <c r="O1738" s="23"/>
      <c r="P1738" s="23"/>
      <c r="Q1738" s="23"/>
      <c r="R1738" s="26"/>
      <c r="S1738" s="23"/>
    </row>
    <row r="1739" spans="1:19" ht="19.5" hidden="1" customHeight="1" outlineLevel="1">
      <c r="A1739" s="29">
        <v>78</v>
      </c>
      <c r="B1739" s="30">
        <f>IF(17&lt;=DAY(DATE(YEAR(설정_코스수당!$K$2),MONTH(설정_코스수당!$K$2)+1,0)),DATE(YEAR(설정_코스수당!$K$2),MONTH(설정_코스수당!$K$2),17),"")</f>
        <v>46190</v>
      </c>
      <c r="C1739" s="31"/>
      <c r="D1739" s="29"/>
      <c r="E1739" s="29"/>
      <c r="F1739" s="32"/>
      <c r="G1739" s="29"/>
      <c r="H1739" s="29"/>
      <c r="I1739" s="29"/>
      <c r="J1739" s="33">
        <f>IF($O1739="방문완료",MAX(0,IFERROR(VLOOKUP($E1739,설정_코스수당!$A$6:$H$10,4,FALSE),0)-IF(OR($P1739="",$P1739="없음"),0,100000)),0)</f>
        <v>0</v>
      </c>
      <c r="K1739" s="33">
        <f t="array" ref="K1739">IF($O1739="방문완료",IFERROR(INDEX(설정_코스수당!$B$15:$F$64,MATCH($G1739,설정_코스수당!$A$15:$A$64,0),MATCH($E1739&amp;"수당",설정_코스수당!$B$14:$F$14,0)),0),0)</f>
        <v>0</v>
      </c>
      <c r="L1739" s="33">
        <f t="array" ref="L1739">IF($O1739="방문완료",IF($H1739="",0,IFERROR(INDEX(설정_코스수당!$B$15:$F$64,MATCH($H1739,설정_코스수당!$A$15:$A$64,0),MATCH($E1739&amp;"수당",설정_코스수당!$B$14:$F$14,0)),0)),0)</f>
        <v>0</v>
      </c>
      <c r="M1739" s="33">
        <f>IF($O1739="방문완료",IFERROR(VLOOKUP($E1739,설정_코스수당!$A$6:$H$10,6,FALSE),0),0)</f>
        <v>0</v>
      </c>
      <c r="N1739" s="34">
        <f t="shared" si="50"/>
        <v>0</v>
      </c>
      <c r="O1739" s="29"/>
      <c r="P1739" s="29"/>
      <c r="Q1739" s="29"/>
      <c r="R1739" s="32"/>
      <c r="S1739" s="29"/>
    </row>
    <row r="1740" spans="1:19" ht="19.5" hidden="1" customHeight="1" outlineLevel="1">
      <c r="A1740" s="23">
        <v>79</v>
      </c>
      <c r="B1740" s="24">
        <f>IF(17&lt;=DAY(DATE(YEAR(설정_코스수당!$K$2),MONTH(설정_코스수당!$K$2)+1,0)),DATE(YEAR(설정_코스수당!$K$2),MONTH(설정_코스수당!$K$2),17),"")</f>
        <v>46190</v>
      </c>
      <c r="C1740" s="25"/>
      <c r="D1740" s="23"/>
      <c r="E1740" s="23"/>
      <c r="F1740" s="26"/>
      <c r="G1740" s="23"/>
      <c r="H1740" s="23"/>
      <c r="I1740" s="23"/>
      <c r="J1740" s="27">
        <f>IF($O1740="방문완료",MAX(0,IFERROR(VLOOKUP($E1740,설정_코스수당!$A$6:$H$10,4,FALSE),0)-IF(OR($P1740="",$P1740="없음"),0,100000)),0)</f>
        <v>0</v>
      </c>
      <c r="K1740" s="27">
        <f t="array" ref="K1740">IF($O1740="방문완료",IFERROR(INDEX(설정_코스수당!$B$15:$F$64,MATCH($G1740,설정_코스수당!$A$15:$A$64,0),MATCH($E1740&amp;"수당",설정_코스수당!$B$14:$F$14,0)),0),0)</f>
        <v>0</v>
      </c>
      <c r="L1740" s="27">
        <f t="array" ref="L1740">IF($O1740="방문완료",IF($H1740="",0,IFERROR(INDEX(설정_코스수당!$B$15:$F$64,MATCH($H1740,설정_코스수당!$A$15:$A$64,0),MATCH($E1740&amp;"수당",설정_코스수당!$B$14:$F$14,0)),0)),0)</f>
        <v>0</v>
      </c>
      <c r="M1740" s="27">
        <f>IF($O1740="방문완료",IFERROR(VLOOKUP($E1740,설정_코스수당!$A$6:$H$10,6,FALSE),0),0)</f>
        <v>0</v>
      </c>
      <c r="N1740" s="28">
        <f t="shared" si="50"/>
        <v>0</v>
      </c>
      <c r="O1740" s="23"/>
      <c r="P1740" s="23"/>
      <c r="Q1740" s="23"/>
      <c r="R1740" s="26"/>
      <c r="S1740" s="23"/>
    </row>
    <row r="1741" spans="1:19" ht="19.5" hidden="1" customHeight="1" outlineLevel="1">
      <c r="A1741" s="29">
        <v>80</v>
      </c>
      <c r="B1741" s="30">
        <f>IF(17&lt;=DAY(DATE(YEAR(설정_코스수당!$K$2),MONTH(설정_코스수당!$K$2)+1,0)),DATE(YEAR(설정_코스수당!$K$2),MONTH(설정_코스수당!$K$2),17),"")</f>
        <v>46190</v>
      </c>
      <c r="C1741" s="31"/>
      <c r="D1741" s="29"/>
      <c r="E1741" s="29"/>
      <c r="F1741" s="32"/>
      <c r="G1741" s="29"/>
      <c r="H1741" s="29"/>
      <c r="I1741" s="29"/>
      <c r="J1741" s="33">
        <f>IF($O1741="방문완료",MAX(0,IFERROR(VLOOKUP($E1741,설정_코스수당!$A$6:$H$10,4,FALSE),0)-IF(OR($P1741="",$P1741="없음"),0,100000)),0)</f>
        <v>0</v>
      </c>
      <c r="K1741" s="33">
        <f t="array" ref="K1741">IF($O1741="방문완료",IFERROR(INDEX(설정_코스수당!$B$15:$F$64,MATCH($G1741,설정_코스수당!$A$15:$A$64,0),MATCH($E1741&amp;"수당",설정_코스수당!$B$14:$F$14,0)),0),0)</f>
        <v>0</v>
      </c>
      <c r="L1741" s="33">
        <f t="array" ref="L1741">IF($O1741="방문완료",IF($H1741="",0,IFERROR(INDEX(설정_코스수당!$B$15:$F$64,MATCH($H1741,설정_코스수당!$A$15:$A$64,0),MATCH($E1741&amp;"수당",설정_코스수당!$B$14:$F$14,0)),0)),0)</f>
        <v>0</v>
      </c>
      <c r="M1741" s="33">
        <f>IF($O1741="방문완료",IFERROR(VLOOKUP($E1741,설정_코스수당!$A$6:$H$10,6,FALSE),0),0)</f>
        <v>0</v>
      </c>
      <c r="N1741" s="34">
        <f t="shared" si="50"/>
        <v>0</v>
      </c>
      <c r="O1741" s="29"/>
      <c r="P1741" s="29"/>
      <c r="Q1741" s="29"/>
      <c r="R1741" s="32"/>
      <c r="S1741" s="29"/>
    </row>
    <row r="1742" spans="1:19" ht="19.5" hidden="1" customHeight="1" outlineLevel="1">
      <c r="A1742" s="23">
        <v>81</v>
      </c>
      <c r="B1742" s="24">
        <f>IF(17&lt;=DAY(DATE(YEAR(설정_코스수당!$K$2),MONTH(설정_코스수당!$K$2)+1,0)),DATE(YEAR(설정_코스수당!$K$2),MONTH(설정_코스수당!$K$2),17),"")</f>
        <v>46190</v>
      </c>
      <c r="C1742" s="25"/>
      <c r="D1742" s="23"/>
      <c r="E1742" s="23"/>
      <c r="F1742" s="26"/>
      <c r="G1742" s="23"/>
      <c r="H1742" s="23"/>
      <c r="I1742" s="23"/>
      <c r="J1742" s="27">
        <f>IF($O1742="방문완료",MAX(0,IFERROR(VLOOKUP($E1742,설정_코스수당!$A$6:$H$10,4,FALSE),0)-IF(OR($P1742="",$P1742="없음"),0,100000)),0)</f>
        <v>0</v>
      </c>
      <c r="K1742" s="27">
        <f t="array" ref="K1742">IF($O1742="방문완료",IFERROR(INDEX(설정_코스수당!$B$15:$F$64,MATCH($G1742,설정_코스수당!$A$15:$A$64,0),MATCH($E1742&amp;"수당",설정_코스수당!$B$14:$F$14,0)),0),0)</f>
        <v>0</v>
      </c>
      <c r="L1742" s="27">
        <f t="array" ref="L1742">IF($O1742="방문완료",IF($H1742="",0,IFERROR(INDEX(설정_코스수당!$B$15:$F$64,MATCH($H1742,설정_코스수당!$A$15:$A$64,0),MATCH($E1742&amp;"수당",설정_코스수당!$B$14:$F$14,0)),0)),0)</f>
        <v>0</v>
      </c>
      <c r="M1742" s="27">
        <f>IF($O1742="방문완료",IFERROR(VLOOKUP($E1742,설정_코스수당!$A$6:$H$10,6,FALSE),0),0)</f>
        <v>0</v>
      </c>
      <c r="N1742" s="28">
        <f t="shared" si="50"/>
        <v>0</v>
      </c>
      <c r="O1742" s="23"/>
      <c r="P1742" s="23"/>
      <c r="Q1742" s="23"/>
      <c r="R1742" s="26"/>
      <c r="S1742" s="23"/>
    </row>
    <row r="1743" spans="1:19" ht="19.5" hidden="1" customHeight="1" outlineLevel="1">
      <c r="A1743" s="29">
        <v>82</v>
      </c>
      <c r="B1743" s="30">
        <f>IF(17&lt;=DAY(DATE(YEAR(설정_코스수당!$K$2),MONTH(설정_코스수당!$K$2)+1,0)),DATE(YEAR(설정_코스수당!$K$2),MONTH(설정_코스수당!$K$2),17),"")</f>
        <v>46190</v>
      </c>
      <c r="C1743" s="31"/>
      <c r="D1743" s="29"/>
      <c r="E1743" s="29"/>
      <c r="F1743" s="32"/>
      <c r="G1743" s="29"/>
      <c r="H1743" s="29"/>
      <c r="I1743" s="29"/>
      <c r="J1743" s="33">
        <f>IF($O1743="방문완료",MAX(0,IFERROR(VLOOKUP($E1743,설정_코스수당!$A$6:$H$10,4,FALSE),0)-IF(OR($P1743="",$P1743="없음"),0,100000)),0)</f>
        <v>0</v>
      </c>
      <c r="K1743" s="33">
        <f t="array" ref="K1743">IF($O1743="방문완료",IFERROR(INDEX(설정_코스수당!$B$15:$F$64,MATCH($G1743,설정_코스수당!$A$15:$A$64,0),MATCH($E1743&amp;"수당",설정_코스수당!$B$14:$F$14,0)),0),0)</f>
        <v>0</v>
      </c>
      <c r="L1743" s="33">
        <f t="array" ref="L1743">IF($O1743="방문완료",IF($H1743="",0,IFERROR(INDEX(설정_코스수당!$B$15:$F$64,MATCH($H1743,설정_코스수당!$A$15:$A$64,0),MATCH($E1743&amp;"수당",설정_코스수당!$B$14:$F$14,0)),0)),0)</f>
        <v>0</v>
      </c>
      <c r="M1743" s="33">
        <f>IF($O1743="방문완료",IFERROR(VLOOKUP($E1743,설정_코스수당!$A$6:$H$10,6,FALSE),0),0)</f>
        <v>0</v>
      </c>
      <c r="N1743" s="34">
        <f t="shared" si="50"/>
        <v>0</v>
      </c>
      <c r="O1743" s="29"/>
      <c r="P1743" s="29"/>
      <c r="Q1743" s="29"/>
      <c r="R1743" s="32"/>
      <c r="S1743" s="29"/>
    </row>
    <row r="1744" spans="1:19" ht="19.5" hidden="1" customHeight="1" outlineLevel="1">
      <c r="A1744" s="23">
        <v>83</v>
      </c>
      <c r="B1744" s="24">
        <f>IF(17&lt;=DAY(DATE(YEAR(설정_코스수당!$K$2),MONTH(설정_코스수당!$K$2)+1,0)),DATE(YEAR(설정_코스수당!$K$2),MONTH(설정_코스수당!$K$2),17),"")</f>
        <v>46190</v>
      </c>
      <c r="C1744" s="25"/>
      <c r="D1744" s="23"/>
      <c r="E1744" s="23"/>
      <c r="F1744" s="26"/>
      <c r="G1744" s="23"/>
      <c r="H1744" s="23"/>
      <c r="I1744" s="23"/>
      <c r="J1744" s="27">
        <f>IF($O1744="방문완료",MAX(0,IFERROR(VLOOKUP($E1744,설정_코스수당!$A$6:$H$10,4,FALSE),0)-IF(OR($P1744="",$P1744="없음"),0,100000)),0)</f>
        <v>0</v>
      </c>
      <c r="K1744" s="27">
        <f t="array" ref="K1744">IF($O1744="방문완료",IFERROR(INDEX(설정_코스수당!$B$15:$F$64,MATCH($G1744,설정_코스수당!$A$15:$A$64,0),MATCH($E1744&amp;"수당",설정_코스수당!$B$14:$F$14,0)),0),0)</f>
        <v>0</v>
      </c>
      <c r="L1744" s="27">
        <f t="array" ref="L1744">IF($O1744="방문완료",IF($H1744="",0,IFERROR(INDEX(설정_코스수당!$B$15:$F$64,MATCH($H1744,설정_코스수당!$A$15:$A$64,0),MATCH($E1744&amp;"수당",설정_코스수당!$B$14:$F$14,0)),0)),0)</f>
        <v>0</v>
      </c>
      <c r="M1744" s="27">
        <f>IF($O1744="방문완료",IFERROR(VLOOKUP($E1744,설정_코스수당!$A$6:$H$10,6,FALSE),0),0)</f>
        <v>0</v>
      </c>
      <c r="N1744" s="28">
        <f t="shared" si="50"/>
        <v>0</v>
      </c>
      <c r="O1744" s="23"/>
      <c r="P1744" s="23"/>
      <c r="Q1744" s="23"/>
      <c r="R1744" s="26"/>
      <c r="S1744" s="23"/>
    </row>
    <row r="1745" spans="1:19" ht="19.5" hidden="1" customHeight="1" outlineLevel="1">
      <c r="A1745" s="29">
        <v>84</v>
      </c>
      <c r="B1745" s="30">
        <f>IF(17&lt;=DAY(DATE(YEAR(설정_코스수당!$K$2),MONTH(설정_코스수당!$K$2)+1,0)),DATE(YEAR(설정_코스수당!$K$2),MONTH(설정_코스수당!$K$2),17),"")</f>
        <v>46190</v>
      </c>
      <c r="C1745" s="31"/>
      <c r="D1745" s="29"/>
      <c r="E1745" s="29"/>
      <c r="F1745" s="32"/>
      <c r="G1745" s="29"/>
      <c r="H1745" s="29"/>
      <c r="I1745" s="29"/>
      <c r="J1745" s="33">
        <f>IF($O1745="방문완료",MAX(0,IFERROR(VLOOKUP($E1745,설정_코스수당!$A$6:$H$10,4,FALSE),0)-IF(OR($P1745="",$P1745="없음"),0,100000)),0)</f>
        <v>0</v>
      </c>
      <c r="K1745" s="33">
        <f t="array" ref="K1745">IF($O1745="방문완료",IFERROR(INDEX(설정_코스수당!$B$15:$F$64,MATCH($G1745,설정_코스수당!$A$15:$A$64,0),MATCH($E1745&amp;"수당",설정_코스수당!$B$14:$F$14,0)),0),0)</f>
        <v>0</v>
      </c>
      <c r="L1745" s="33">
        <f t="array" ref="L1745">IF($O1745="방문완료",IF($H1745="",0,IFERROR(INDEX(설정_코스수당!$B$15:$F$64,MATCH($H1745,설정_코스수당!$A$15:$A$64,0),MATCH($E1745&amp;"수당",설정_코스수당!$B$14:$F$14,0)),0)),0)</f>
        <v>0</v>
      </c>
      <c r="M1745" s="33">
        <f>IF($O1745="방문완료",IFERROR(VLOOKUP($E1745,설정_코스수당!$A$6:$H$10,6,FALSE),0),0)</f>
        <v>0</v>
      </c>
      <c r="N1745" s="34">
        <f t="shared" si="50"/>
        <v>0</v>
      </c>
      <c r="O1745" s="29"/>
      <c r="P1745" s="29"/>
      <c r="Q1745" s="29"/>
      <c r="R1745" s="32"/>
      <c r="S1745" s="29"/>
    </row>
    <row r="1746" spans="1:19" ht="19.5" hidden="1" customHeight="1" outlineLevel="1">
      <c r="A1746" s="23">
        <v>85</v>
      </c>
      <c r="B1746" s="24">
        <f>IF(17&lt;=DAY(DATE(YEAR(설정_코스수당!$K$2),MONTH(설정_코스수당!$K$2)+1,0)),DATE(YEAR(설정_코스수당!$K$2),MONTH(설정_코스수당!$K$2),17),"")</f>
        <v>46190</v>
      </c>
      <c r="C1746" s="25"/>
      <c r="D1746" s="23"/>
      <c r="E1746" s="23"/>
      <c r="F1746" s="26"/>
      <c r="G1746" s="23"/>
      <c r="H1746" s="23"/>
      <c r="I1746" s="23"/>
      <c r="J1746" s="27">
        <f>IF($O1746="방문완료",MAX(0,IFERROR(VLOOKUP($E1746,설정_코스수당!$A$6:$H$10,4,FALSE),0)-IF(OR($P1746="",$P1746="없음"),0,100000)),0)</f>
        <v>0</v>
      </c>
      <c r="K1746" s="27">
        <f t="array" ref="K1746">IF($O1746="방문완료",IFERROR(INDEX(설정_코스수당!$B$15:$F$64,MATCH($G1746,설정_코스수당!$A$15:$A$64,0),MATCH($E1746&amp;"수당",설정_코스수당!$B$14:$F$14,0)),0),0)</f>
        <v>0</v>
      </c>
      <c r="L1746" s="27">
        <f t="array" ref="L1746">IF($O1746="방문완료",IF($H1746="",0,IFERROR(INDEX(설정_코스수당!$B$15:$F$64,MATCH($H1746,설정_코스수당!$A$15:$A$64,0),MATCH($E1746&amp;"수당",설정_코스수당!$B$14:$F$14,0)),0)),0)</f>
        <v>0</v>
      </c>
      <c r="M1746" s="27">
        <f>IF($O1746="방문완료",IFERROR(VLOOKUP($E1746,설정_코스수당!$A$6:$H$10,6,FALSE),0),0)</f>
        <v>0</v>
      </c>
      <c r="N1746" s="28">
        <f t="shared" si="50"/>
        <v>0</v>
      </c>
      <c r="O1746" s="23"/>
      <c r="P1746" s="23"/>
      <c r="Q1746" s="23"/>
      <c r="R1746" s="26"/>
      <c r="S1746" s="23"/>
    </row>
    <row r="1747" spans="1:19" ht="19.5" hidden="1" customHeight="1" outlineLevel="1">
      <c r="A1747" s="29">
        <v>86</v>
      </c>
      <c r="B1747" s="30">
        <f>IF(17&lt;=DAY(DATE(YEAR(설정_코스수당!$K$2),MONTH(설정_코스수당!$K$2)+1,0)),DATE(YEAR(설정_코스수당!$K$2),MONTH(설정_코스수당!$K$2),17),"")</f>
        <v>46190</v>
      </c>
      <c r="C1747" s="31"/>
      <c r="D1747" s="29"/>
      <c r="E1747" s="29"/>
      <c r="F1747" s="32"/>
      <c r="G1747" s="29"/>
      <c r="H1747" s="29"/>
      <c r="I1747" s="29"/>
      <c r="J1747" s="33">
        <f>IF($O1747="방문완료",MAX(0,IFERROR(VLOOKUP($E1747,설정_코스수당!$A$6:$H$10,4,FALSE),0)-IF(OR($P1747="",$P1747="없음"),0,100000)),0)</f>
        <v>0</v>
      </c>
      <c r="K1747" s="33">
        <f t="array" ref="K1747">IF($O1747="방문완료",IFERROR(INDEX(설정_코스수당!$B$15:$F$64,MATCH($G1747,설정_코스수당!$A$15:$A$64,0),MATCH($E1747&amp;"수당",설정_코스수당!$B$14:$F$14,0)),0),0)</f>
        <v>0</v>
      </c>
      <c r="L1747" s="33">
        <f t="array" ref="L1747">IF($O1747="방문완료",IF($H1747="",0,IFERROR(INDEX(설정_코스수당!$B$15:$F$64,MATCH($H1747,설정_코스수당!$A$15:$A$64,0),MATCH($E1747&amp;"수당",설정_코스수당!$B$14:$F$14,0)),0)),0)</f>
        <v>0</v>
      </c>
      <c r="M1747" s="33">
        <f>IF($O1747="방문완료",IFERROR(VLOOKUP($E1747,설정_코스수당!$A$6:$H$10,6,FALSE),0),0)</f>
        <v>0</v>
      </c>
      <c r="N1747" s="34">
        <f t="shared" si="50"/>
        <v>0</v>
      </c>
      <c r="O1747" s="29"/>
      <c r="P1747" s="29"/>
      <c r="Q1747" s="29"/>
      <c r="R1747" s="32"/>
      <c r="S1747" s="29"/>
    </row>
    <row r="1748" spans="1:19" ht="19.5" hidden="1" customHeight="1" outlineLevel="1">
      <c r="A1748" s="23">
        <v>87</v>
      </c>
      <c r="B1748" s="24">
        <f>IF(17&lt;=DAY(DATE(YEAR(설정_코스수당!$K$2),MONTH(설정_코스수당!$K$2)+1,0)),DATE(YEAR(설정_코스수당!$K$2),MONTH(설정_코스수당!$K$2),17),"")</f>
        <v>46190</v>
      </c>
      <c r="C1748" s="25"/>
      <c r="D1748" s="23"/>
      <c r="E1748" s="23"/>
      <c r="F1748" s="26"/>
      <c r="G1748" s="23"/>
      <c r="H1748" s="23"/>
      <c r="I1748" s="23"/>
      <c r="J1748" s="27">
        <f>IF($O1748="방문완료",MAX(0,IFERROR(VLOOKUP($E1748,설정_코스수당!$A$6:$H$10,4,FALSE),0)-IF(OR($P1748="",$P1748="없음"),0,100000)),0)</f>
        <v>0</v>
      </c>
      <c r="K1748" s="27">
        <f t="array" ref="K1748">IF($O1748="방문완료",IFERROR(INDEX(설정_코스수당!$B$15:$F$64,MATCH($G1748,설정_코스수당!$A$15:$A$64,0),MATCH($E1748&amp;"수당",설정_코스수당!$B$14:$F$14,0)),0),0)</f>
        <v>0</v>
      </c>
      <c r="L1748" s="27">
        <f t="array" ref="L1748">IF($O1748="방문완료",IF($H1748="",0,IFERROR(INDEX(설정_코스수당!$B$15:$F$64,MATCH($H1748,설정_코스수당!$A$15:$A$64,0),MATCH($E1748&amp;"수당",설정_코스수당!$B$14:$F$14,0)),0)),0)</f>
        <v>0</v>
      </c>
      <c r="M1748" s="27">
        <f>IF($O1748="방문완료",IFERROR(VLOOKUP($E1748,설정_코스수당!$A$6:$H$10,6,FALSE),0),0)</f>
        <v>0</v>
      </c>
      <c r="N1748" s="28">
        <f t="shared" si="50"/>
        <v>0</v>
      </c>
      <c r="O1748" s="23"/>
      <c r="P1748" s="23"/>
      <c r="Q1748" s="23"/>
      <c r="R1748" s="26"/>
      <c r="S1748" s="23"/>
    </row>
    <row r="1749" spans="1:19" ht="19.5" hidden="1" customHeight="1" outlineLevel="1">
      <c r="A1749" s="29">
        <v>88</v>
      </c>
      <c r="B1749" s="30">
        <f>IF(17&lt;=DAY(DATE(YEAR(설정_코스수당!$K$2),MONTH(설정_코스수당!$K$2)+1,0)),DATE(YEAR(설정_코스수당!$K$2),MONTH(설정_코스수당!$K$2),17),"")</f>
        <v>46190</v>
      </c>
      <c r="C1749" s="31"/>
      <c r="D1749" s="29"/>
      <c r="E1749" s="29"/>
      <c r="F1749" s="32"/>
      <c r="G1749" s="29"/>
      <c r="H1749" s="29"/>
      <c r="I1749" s="29"/>
      <c r="J1749" s="33">
        <f>IF($O1749="방문완료",MAX(0,IFERROR(VLOOKUP($E1749,설정_코스수당!$A$6:$H$10,4,FALSE),0)-IF(OR($P1749="",$P1749="없음"),0,100000)),0)</f>
        <v>0</v>
      </c>
      <c r="K1749" s="33">
        <f t="array" ref="K1749">IF($O1749="방문완료",IFERROR(INDEX(설정_코스수당!$B$15:$F$64,MATCH($G1749,설정_코스수당!$A$15:$A$64,0),MATCH($E1749&amp;"수당",설정_코스수당!$B$14:$F$14,0)),0),0)</f>
        <v>0</v>
      </c>
      <c r="L1749" s="33">
        <f t="array" ref="L1749">IF($O1749="방문완료",IF($H1749="",0,IFERROR(INDEX(설정_코스수당!$B$15:$F$64,MATCH($H1749,설정_코스수당!$A$15:$A$64,0),MATCH($E1749&amp;"수당",설정_코스수당!$B$14:$F$14,0)),0)),0)</f>
        <v>0</v>
      </c>
      <c r="M1749" s="33">
        <f>IF($O1749="방문완료",IFERROR(VLOOKUP($E1749,설정_코스수당!$A$6:$H$10,6,FALSE),0),0)</f>
        <v>0</v>
      </c>
      <c r="N1749" s="34">
        <f t="shared" si="50"/>
        <v>0</v>
      </c>
      <c r="O1749" s="29"/>
      <c r="P1749" s="29"/>
      <c r="Q1749" s="29"/>
      <c r="R1749" s="32"/>
      <c r="S1749" s="29"/>
    </row>
    <row r="1750" spans="1:19" ht="19.5" hidden="1" customHeight="1" outlineLevel="1">
      <c r="A1750" s="23">
        <v>89</v>
      </c>
      <c r="B1750" s="24">
        <f>IF(17&lt;=DAY(DATE(YEAR(설정_코스수당!$K$2),MONTH(설정_코스수당!$K$2)+1,0)),DATE(YEAR(설정_코스수당!$K$2),MONTH(설정_코스수당!$K$2),17),"")</f>
        <v>46190</v>
      </c>
      <c r="C1750" s="25"/>
      <c r="D1750" s="23"/>
      <c r="E1750" s="23"/>
      <c r="F1750" s="26"/>
      <c r="G1750" s="23"/>
      <c r="H1750" s="23"/>
      <c r="I1750" s="23"/>
      <c r="J1750" s="27">
        <f>IF($O1750="방문완료",MAX(0,IFERROR(VLOOKUP($E1750,설정_코스수당!$A$6:$H$10,4,FALSE),0)-IF(OR($P1750="",$P1750="없음"),0,100000)),0)</f>
        <v>0</v>
      </c>
      <c r="K1750" s="27">
        <f t="array" ref="K1750">IF($O1750="방문완료",IFERROR(INDEX(설정_코스수당!$B$15:$F$64,MATCH($G1750,설정_코스수당!$A$15:$A$64,0),MATCH($E1750&amp;"수당",설정_코스수당!$B$14:$F$14,0)),0),0)</f>
        <v>0</v>
      </c>
      <c r="L1750" s="27">
        <f t="array" ref="L1750">IF($O1750="방문완료",IF($H1750="",0,IFERROR(INDEX(설정_코스수당!$B$15:$F$64,MATCH($H1750,설정_코스수당!$A$15:$A$64,0),MATCH($E1750&amp;"수당",설정_코스수당!$B$14:$F$14,0)),0)),0)</f>
        <v>0</v>
      </c>
      <c r="M1750" s="27">
        <f>IF($O1750="방문완료",IFERROR(VLOOKUP($E1750,설정_코스수당!$A$6:$H$10,6,FALSE),0),0)</f>
        <v>0</v>
      </c>
      <c r="N1750" s="28">
        <f t="shared" si="50"/>
        <v>0</v>
      </c>
      <c r="O1750" s="23"/>
      <c r="P1750" s="23"/>
      <c r="Q1750" s="23"/>
      <c r="R1750" s="26"/>
      <c r="S1750" s="23"/>
    </row>
    <row r="1751" spans="1:19" ht="19.5" hidden="1" customHeight="1" outlineLevel="1">
      <c r="A1751" s="29">
        <v>90</v>
      </c>
      <c r="B1751" s="30">
        <f>IF(17&lt;=DAY(DATE(YEAR(설정_코스수당!$K$2),MONTH(설정_코스수당!$K$2)+1,0)),DATE(YEAR(설정_코스수당!$K$2),MONTH(설정_코스수당!$K$2),17),"")</f>
        <v>46190</v>
      </c>
      <c r="C1751" s="31"/>
      <c r="D1751" s="29"/>
      <c r="E1751" s="29"/>
      <c r="F1751" s="32"/>
      <c r="G1751" s="29"/>
      <c r="H1751" s="29"/>
      <c r="I1751" s="29"/>
      <c r="J1751" s="33">
        <f>IF($O1751="방문완료",MAX(0,IFERROR(VLOOKUP($E1751,설정_코스수당!$A$6:$H$10,4,FALSE),0)-IF(OR($P1751="",$P1751="없음"),0,100000)),0)</f>
        <v>0</v>
      </c>
      <c r="K1751" s="33">
        <f t="array" ref="K1751">IF($O1751="방문완료",IFERROR(INDEX(설정_코스수당!$B$15:$F$64,MATCH($G1751,설정_코스수당!$A$15:$A$64,0),MATCH($E1751&amp;"수당",설정_코스수당!$B$14:$F$14,0)),0),0)</f>
        <v>0</v>
      </c>
      <c r="L1751" s="33">
        <f t="array" ref="L1751">IF($O1751="방문완료",IF($H1751="",0,IFERROR(INDEX(설정_코스수당!$B$15:$F$64,MATCH($H1751,설정_코스수당!$A$15:$A$64,0),MATCH($E1751&amp;"수당",설정_코스수당!$B$14:$F$14,0)),0)),0)</f>
        <v>0</v>
      </c>
      <c r="M1751" s="33">
        <f>IF($O1751="방문완료",IFERROR(VLOOKUP($E1751,설정_코스수당!$A$6:$H$10,6,FALSE),0),0)</f>
        <v>0</v>
      </c>
      <c r="N1751" s="34">
        <f t="shared" si="50"/>
        <v>0</v>
      </c>
      <c r="O1751" s="29"/>
      <c r="P1751" s="29"/>
      <c r="Q1751" s="29"/>
      <c r="R1751" s="32"/>
      <c r="S1751" s="29"/>
    </row>
    <row r="1752" spans="1:19" ht="19.5" hidden="1" customHeight="1" outlineLevel="1">
      <c r="A1752" s="23">
        <v>91</v>
      </c>
      <c r="B1752" s="24">
        <f>IF(17&lt;=DAY(DATE(YEAR(설정_코스수당!$K$2),MONTH(설정_코스수당!$K$2)+1,0)),DATE(YEAR(설정_코스수당!$K$2),MONTH(설정_코스수당!$K$2),17),"")</f>
        <v>46190</v>
      </c>
      <c r="C1752" s="25"/>
      <c r="D1752" s="23"/>
      <c r="E1752" s="23"/>
      <c r="F1752" s="26"/>
      <c r="G1752" s="23"/>
      <c r="H1752" s="23"/>
      <c r="I1752" s="23"/>
      <c r="J1752" s="27">
        <f>IF($O1752="방문완료",MAX(0,IFERROR(VLOOKUP($E1752,설정_코스수당!$A$6:$H$10,4,FALSE),0)-IF(OR($P1752="",$P1752="없음"),0,100000)),0)</f>
        <v>0</v>
      </c>
      <c r="K1752" s="27">
        <f t="array" ref="K1752">IF($O1752="방문완료",IFERROR(INDEX(설정_코스수당!$B$15:$F$64,MATCH($G1752,설정_코스수당!$A$15:$A$64,0),MATCH($E1752&amp;"수당",설정_코스수당!$B$14:$F$14,0)),0),0)</f>
        <v>0</v>
      </c>
      <c r="L1752" s="27">
        <f t="array" ref="L1752">IF($O1752="방문완료",IF($H1752="",0,IFERROR(INDEX(설정_코스수당!$B$15:$F$64,MATCH($H1752,설정_코스수당!$A$15:$A$64,0),MATCH($E1752&amp;"수당",설정_코스수당!$B$14:$F$14,0)),0)),0)</f>
        <v>0</v>
      </c>
      <c r="M1752" s="27">
        <f>IF($O1752="방문완료",IFERROR(VLOOKUP($E1752,설정_코스수당!$A$6:$H$10,6,FALSE),0),0)</f>
        <v>0</v>
      </c>
      <c r="N1752" s="28">
        <f t="shared" si="50"/>
        <v>0</v>
      </c>
      <c r="O1752" s="23"/>
      <c r="P1752" s="23"/>
      <c r="Q1752" s="23"/>
      <c r="R1752" s="26"/>
      <c r="S1752" s="23"/>
    </row>
    <row r="1753" spans="1:19" ht="19.5" hidden="1" customHeight="1" outlineLevel="1">
      <c r="A1753" s="29">
        <v>92</v>
      </c>
      <c r="B1753" s="30">
        <f>IF(17&lt;=DAY(DATE(YEAR(설정_코스수당!$K$2),MONTH(설정_코스수당!$K$2)+1,0)),DATE(YEAR(설정_코스수당!$K$2),MONTH(설정_코스수당!$K$2),17),"")</f>
        <v>46190</v>
      </c>
      <c r="C1753" s="31"/>
      <c r="D1753" s="29"/>
      <c r="E1753" s="29"/>
      <c r="F1753" s="32"/>
      <c r="G1753" s="29"/>
      <c r="H1753" s="29"/>
      <c r="I1753" s="29"/>
      <c r="J1753" s="33">
        <f>IF($O1753="방문완료",MAX(0,IFERROR(VLOOKUP($E1753,설정_코스수당!$A$6:$H$10,4,FALSE),0)-IF(OR($P1753="",$P1753="없음"),0,100000)),0)</f>
        <v>0</v>
      </c>
      <c r="K1753" s="33">
        <f t="array" ref="K1753">IF($O1753="방문완료",IFERROR(INDEX(설정_코스수당!$B$15:$F$64,MATCH($G1753,설정_코스수당!$A$15:$A$64,0),MATCH($E1753&amp;"수당",설정_코스수당!$B$14:$F$14,0)),0),0)</f>
        <v>0</v>
      </c>
      <c r="L1753" s="33">
        <f t="array" ref="L1753">IF($O1753="방문완료",IF($H1753="",0,IFERROR(INDEX(설정_코스수당!$B$15:$F$64,MATCH($H1753,설정_코스수당!$A$15:$A$64,0),MATCH($E1753&amp;"수당",설정_코스수당!$B$14:$F$14,0)),0)),0)</f>
        <v>0</v>
      </c>
      <c r="M1753" s="33">
        <f>IF($O1753="방문완료",IFERROR(VLOOKUP($E1753,설정_코스수당!$A$6:$H$10,6,FALSE),0),0)</f>
        <v>0</v>
      </c>
      <c r="N1753" s="34">
        <f t="shared" si="50"/>
        <v>0</v>
      </c>
      <c r="O1753" s="29"/>
      <c r="P1753" s="29"/>
      <c r="Q1753" s="29"/>
      <c r="R1753" s="32"/>
      <c r="S1753" s="29"/>
    </row>
    <row r="1754" spans="1:19" ht="19.5" hidden="1" customHeight="1" outlineLevel="1">
      <c r="A1754" s="23">
        <v>93</v>
      </c>
      <c r="B1754" s="24">
        <f>IF(17&lt;=DAY(DATE(YEAR(설정_코스수당!$K$2),MONTH(설정_코스수당!$K$2)+1,0)),DATE(YEAR(설정_코스수당!$K$2),MONTH(설정_코스수당!$K$2),17),"")</f>
        <v>46190</v>
      </c>
      <c r="C1754" s="25"/>
      <c r="D1754" s="23"/>
      <c r="E1754" s="23"/>
      <c r="F1754" s="26"/>
      <c r="G1754" s="23"/>
      <c r="H1754" s="23"/>
      <c r="I1754" s="23"/>
      <c r="J1754" s="27">
        <f>IF($O1754="방문완료",MAX(0,IFERROR(VLOOKUP($E1754,설정_코스수당!$A$6:$H$10,4,FALSE),0)-IF(OR($P1754="",$P1754="없음"),0,100000)),0)</f>
        <v>0</v>
      </c>
      <c r="K1754" s="27">
        <f t="array" ref="K1754">IF($O1754="방문완료",IFERROR(INDEX(설정_코스수당!$B$15:$F$64,MATCH($G1754,설정_코스수당!$A$15:$A$64,0),MATCH($E1754&amp;"수당",설정_코스수당!$B$14:$F$14,0)),0),0)</f>
        <v>0</v>
      </c>
      <c r="L1754" s="27">
        <f t="array" ref="L1754">IF($O1754="방문완료",IF($H1754="",0,IFERROR(INDEX(설정_코스수당!$B$15:$F$64,MATCH($H1754,설정_코스수당!$A$15:$A$64,0),MATCH($E1754&amp;"수당",설정_코스수당!$B$14:$F$14,0)),0)),0)</f>
        <v>0</v>
      </c>
      <c r="M1754" s="27">
        <f>IF($O1754="방문완료",IFERROR(VLOOKUP($E1754,설정_코스수당!$A$6:$H$10,6,FALSE),0),0)</f>
        <v>0</v>
      </c>
      <c r="N1754" s="28">
        <f t="shared" si="50"/>
        <v>0</v>
      </c>
      <c r="O1754" s="23"/>
      <c r="P1754" s="23"/>
      <c r="Q1754" s="23"/>
      <c r="R1754" s="26"/>
      <c r="S1754" s="23"/>
    </row>
    <row r="1755" spans="1:19" ht="19.5" hidden="1" customHeight="1" outlineLevel="1">
      <c r="A1755" s="29">
        <v>94</v>
      </c>
      <c r="B1755" s="30">
        <f>IF(17&lt;=DAY(DATE(YEAR(설정_코스수당!$K$2),MONTH(설정_코스수당!$K$2)+1,0)),DATE(YEAR(설정_코스수당!$K$2),MONTH(설정_코스수당!$K$2),17),"")</f>
        <v>46190</v>
      </c>
      <c r="C1755" s="31"/>
      <c r="D1755" s="29"/>
      <c r="E1755" s="29"/>
      <c r="F1755" s="32"/>
      <c r="G1755" s="29"/>
      <c r="H1755" s="29"/>
      <c r="I1755" s="29"/>
      <c r="J1755" s="33">
        <f>IF($O1755="방문완료",MAX(0,IFERROR(VLOOKUP($E1755,설정_코스수당!$A$6:$H$10,4,FALSE),0)-IF(OR($P1755="",$P1755="없음"),0,100000)),0)</f>
        <v>0</v>
      </c>
      <c r="K1755" s="33">
        <f t="array" ref="K1755">IF($O1755="방문완료",IFERROR(INDEX(설정_코스수당!$B$15:$F$64,MATCH($G1755,설정_코스수당!$A$15:$A$64,0),MATCH($E1755&amp;"수당",설정_코스수당!$B$14:$F$14,0)),0),0)</f>
        <v>0</v>
      </c>
      <c r="L1755" s="33">
        <f t="array" ref="L1755">IF($O1755="방문완료",IF($H1755="",0,IFERROR(INDEX(설정_코스수당!$B$15:$F$64,MATCH($H1755,설정_코스수당!$A$15:$A$64,0),MATCH($E1755&amp;"수당",설정_코스수당!$B$14:$F$14,0)),0)),0)</f>
        <v>0</v>
      </c>
      <c r="M1755" s="33">
        <f>IF($O1755="방문완료",IFERROR(VLOOKUP($E1755,설정_코스수당!$A$6:$H$10,6,FALSE),0),0)</f>
        <v>0</v>
      </c>
      <c r="N1755" s="34">
        <f t="shared" si="50"/>
        <v>0</v>
      </c>
      <c r="O1755" s="29"/>
      <c r="P1755" s="29"/>
      <c r="Q1755" s="29"/>
      <c r="R1755" s="32"/>
      <c r="S1755" s="29"/>
    </row>
    <row r="1756" spans="1:19" ht="19.5" hidden="1" customHeight="1" outlineLevel="1">
      <c r="A1756" s="23">
        <v>95</v>
      </c>
      <c r="B1756" s="24">
        <f>IF(17&lt;=DAY(DATE(YEAR(설정_코스수당!$K$2),MONTH(설정_코스수당!$K$2)+1,0)),DATE(YEAR(설정_코스수당!$K$2),MONTH(설정_코스수당!$K$2),17),"")</f>
        <v>46190</v>
      </c>
      <c r="C1756" s="25"/>
      <c r="D1756" s="23"/>
      <c r="E1756" s="23"/>
      <c r="F1756" s="26"/>
      <c r="G1756" s="23"/>
      <c r="H1756" s="23"/>
      <c r="I1756" s="23"/>
      <c r="J1756" s="27">
        <f>IF($O1756="방문완료",MAX(0,IFERROR(VLOOKUP($E1756,설정_코스수당!$A$6:$H$10,4,FALSE),0)-IF(OR($P1756="",$P1756="없음"),0,100000)),0)</f>
        <v>0</v>
      </c>
      <c r="K1756" s="27">
        <f t="array" ref="K1756">IF($O1756="방문완료",IFERROR(INDEX(설정_코스수당!$B$15:$F$64,MATCH($G1756,설정_코스수당!$A$15:$A$64,0),MATCH($E1756&amp;"수당",설정_코스수당!$B$14:$F$14,0)),0),0)</f>
        <v>0</v>
      </c>
      <c r="L1756" s="27">
        <f t="array" ref="L1756">IF($O1756="방문완료",IF($H1756="",0,IFERROR(INDEX(설정_코스수당!$B$15:$F$64,MATCH($H1756,설정_코스수당!$A$15:$A$64,0),MATCH($E1756&amp;"수당",설정_코스수당!$B$14:$F$14,0)),0)),0)</f>
        <v>0</v>
      </c>
      <c r="M1756" s="27">
        <f>IF($O1756="방문완료",IFERROR(VLOOKUP($E1756,설정_코스수당!$A$6:$H$10,6,FALSE),0),0)</f>
        <v>0</v>
      </c>
      <c r="N1756" s="28">
        <f t="shared" si="50"/>
        <v>0</v>
      </c>
      <c r="O1756" s="23"/>
      <c r="P1756" s="23"/>
      <c r="Q1756" s="23"/>
      <c r="R1756" s="26"/>
      <c r="S1756" s="23"/>
    </row>
    <row r="1757" spans="1:19" ht="19.5" hidden="1" customHeight="1" outlineLevel="1">
      <c r="A1757" s="29">
        <v>96</v>
      </c>
      <c r="B1757" s="30">
        <f>IF(17&lt;=DAY(DATE(YEAR(설정_코스수당!$K$2),MONTH(설정_코스수당!$K$2)+1,0)),DATE(YEAR(설정_코스수당!$K$2),MONTH(설정_코스수당!$K$2),17),"")</f>
        <v>46190</v>
      </c>
      <c r="C1757" s="31"/>
      <c r="D1757" s="29"/>
      <c r="E1757" s="29"/>
      <c r="F1757" s="32"/>
      <c r="G1757" s="29"/>
      <c r="H1757" s="29"/>
      <c r="I1757" s="29"/>
      <c r="J1757" s="33">
        <f>IF($O1757="방문완료",MAX(0,IFERROR(VLOOKUP($E1757,설정_코스수당!$A$6:$H$10,4,FALSE),0)-IF(OR($P1757="",$P1757="없음"),0,100000)),0)</f>
        <v>0</v>
      </c>
      <c r="K1757" s="33">
        <f t="array" ref="K1757">IF($O1757="방문완료",IFERROR(INDEX(설정_코스수당!$B$15:$F$64,MATCH($G1757,설정_코스수당!$A$15:$A$64,0),MATCH($E1757&amp;"수당",설정_코스수당!$B$14:$F$14,0)),0),0)</f>
        <v>0</v>
      </c>
      <c r="L1757" s="33">
        <f t="array" ref="L1757">IF($O1757="방문완료",IF($H1757="",0,IFERROR(INDEX(설정_코스수당!$B$15:$F$64,MATCH($H1757,설정_코스수당!$A$15:$A$64,0),MATCH($E1757&amp;"수당",설정_코스수당!$B$14:$F$14,0)),0)),0)</f>
        <v>0</v>
      </c>
      <c r="M1757" s="33">
        <f>IF($O1757="방문완료",IFERROR(VLOOKUP($E1757,설정_코스수당!$A$6:$H$10,6,FALSE),0),0)</f>
        <v>0</v>
      </c>
      <c r="N1757" s="34">
        <f t="shared" si="50"/>
        <v>0</v>
      </c>
      <c r="O1757" s="29"/>
      <c r="P1757" s="29"/>
      <c r="Q1757" s="29"/>
      <c r="R1757" s="32"/>
      <c r="S1757" s="29"/>
    </row>
    <row r="1758" spans="1:19" ht="19.5" hidden="1" customHeight="1" outlineLevel="1">
      <c r="A1758" s="23">
        <v>97</v>
      </c>
      <c r="B1758" s="24">
        <f>IF(17&lt;=DAY(DATE(YEAR(설정_코스수당!$K$2),MONTH(설정_코스수당!$K$2)+1,0)),DATE(YEAR(설정_코스수당!$K$2),MONTH(설정_코스수당!$K$2),17),"")</f>
        <v>46190</v>
      </c>
      <c r="C1758" s="25"/>
      <c r="D1758" s="23"/>
      <c r="E1758" s="23"/>
      <c r="F1758" s="26"/>
      <c r="G1758" s="23"/>
      <c r="H1758" s="23"/>
      <c r="I1758" s="23"/>
      <c r="J1758" s="27">
        <f>IF($O1758="방문완료",MAX(0,IFERROR(VLOOKUP($E1758,설정_코스수당!$A$6:$H$10,4,FALSE),0)-IF(OR($P1758="",$P1758="없음"),0,100000)),0)</f>
        <v>0</v>
      </c>
      <c r="K1758" s="27">
        <f t="array" ref="K1758">IF($O1758="방문완료",IFERROR(INDEX(설정_코스수당!$B$15:$F$64,MATCH($G1758,설정_코스수당!$A$15:$A$64,0),MATCH($E1758&amp;"수당",설정_코스수당!$B$14:$F$14,0)),0),0)</f>
        <v>0</v>
      </c>
      <c r="L1758" s="27">
        <f t="array" ref="L1758">IF($O1758="방문완료",IF($H1758="",0,IFERROR(INDEX(설정_코스수당!$B$15:$F$64,MATCH($H1758,설정_코스수당!$A$15:$A$64,0),MATCH($E1758&amp;"수당",설정_코스수당!$B$14:$F$14,0)),0)),0)</f>
        <v>0</v>
      </c>
      <c r="M1758" s="27">
        <f>IF($O1758="방문완료",IFERROR(VLOOKUP($E1758,설정_코스수당!$A$6:$H$10,6,FALSE),0),0)</f>
        <v>0</v>
      </c>
      <c r="N1758" s="28">
        <f t="shared" si="50"/>
        <v>0</v>
      </c>
      <c r="O1758" s="23"/>
      <c r="P1758" s="23"/>
      <c r="Q1758" s="23"/>
      <c r="R1758" s="26"/>
      <c r="S1758" s="23"/>
    </row>
    <row r="1759" spans="1:19" ht="19.5" hidden="1" customHeight="1" outlineLevel="1">
      <c r="A1759" s="29">
        <v>98</v>
      </c>
      <c r="B1759" s="30">
        <f>IF(17&lt;=DAY(DATE(YEAR(설정_코스수당!$K$2),MONTH(설정_코스수당!$K$2)+1,0)),DATE(YEAR(설정_코스수당!$K$2),MONTH(설정_코스수당!$K$2),17),"")</f>
        <v>46190</v>
      </c>
      <c r="C1759" s="31"/>
      <c r="D1759" s="29"/>
      <c r="E1759" s="29"/>
      <c r="F1759" s="32"/>
      <c r="G1759" s="29"/>
      <c r="H1759" s="29"/>
      <c r="I1759" s="29"/>
      <c r="J1759" s="33">
        <f>IF($O1759="방문완료",MAX(0,IFERROR(VLOOKUP($E1759,설정_코스수당!$A$6:$H$10,4,FALSE),0)-IF(OR($P1759="",$P1759="없음"),0,100000)),0)</f>
        <v>0</v>
      </c>
      <c r="K1759" s="33">
        <f t="array" ref="K1759">IF($O1759="방문완료",IFERROR(INDEX(설정_코스수당!$B$15:$F$64,MATCH($G1759,설정_코스수당!$A$15:$A$64,0),MATCH($E1759&amp;"수당",설정_코스수당!$B$14:$F$14,0)),0),0)</f>
        <v>0</v>
      </c>
      <c r="L1759" s="33">
        <f t="array" ref="L1759">IF($O1759="방문완료",IF($H1759="",0,IFERROR(INDEX(설정_코스수당!$B$15:$F$64,MATCH($H1759,설정_코스수당!$A$15:$A$64,0),MATCH($E1759&amp;"수당",설정_코스수당!$B$14:$F$14,0)),0)),0)</f>
        <v>0</v>
      </c>
      <c r="M1759" s="33">
        <f>IF($O1759="방문완료",IFERROR(VLOOKUP($E1759,설정_코스수당!$A$6:$H$10,6,FALSE),0),0)</f>
        <v>0</v>
      </c>
      <c r="N1759" s="34">
        <f t="shared" si="50"/>
        <v>0</v>
      </c>
      <c r="O1759" s="29"/>
      <c r="P1759" s="29"/>
      <c r="Q1759" s="29"/>
      <c r="R1759" s="32"/>
      <c r="S1759" s="29"/>
    </row>
    <row r="1760" spans="1:19" ht="19.5" hidden="1" customHeight="1" outlineLevel="1">
      <c r="A1760" s="23">
        <v>99</v>
      </c>
      <c r="B1760" s="24">
        <f>IF(17&lt;=DAY(DATE(YEAR(설정_코스수당!$K$2),MONTH(설정_코스수당!$K$2)+1,0)),DATE(YEAR(설정_코스수당!$K$2),MONTH(설정_코스수당!$K$2),17),"")</f>
        <v>46190</v>
      </c>
      <c r="C1760" s="25"/>
      <c r="D1760" s="23"/>
      <c r="E1760" s="23"/>
      <c r="F1760" s="26"/>
      <c r="G1760" s="23"/>
      <c r="H1760" s="23"/>
      <c r="I1760" s="23"/>
      <c r="J1760" s="27">
        <f>IF($O1760="방문완료",MAX(0,IFERROR(VLOOKUP($E1760,설정_코스수당!$A$6:$H$10,4,FALSE),0)-IF(OR($P1760="",$P1760="없음"),0,100000)),0)</f>
        <v>0</v>
      </c>
      <c r="K1760" s="27">
        <f t="array" ref="K1760">IF($O1760="방문완료",IFERROR(INDEX(설정_코스수당!$B$15:$F$64,MATCH($G1760,설정_코스수당!$A$15:$A$64,0),MATCH($E1760&amp;"수당",설정_코스수당!$B$14:$F$14,0)),0),0)</f>
        <v>0</v>
      </c>
      <c r="L1760" s="27">
        <f t="array" ref="L1760">IF($O1760="방문완료",IF($H1760="",0,IFERROR(INDEX(설정_코스수당!$B$15:$F$64,MATCH($H1760,설정_코스수당!$A$15:$A$64,0),MATCH($E1760&amp;"수당",설정_코스수당!$B$14:$F$14,0)),0)),0)</f>
        <v>0</v>
      </c>
      <c r="M1760" s="27">
        <f>IF($O1760="방문완료",IFERROR(VLOOKUP($E1760,설정_코스수당!$A$6:$H$10,6,FALSE),0),0)</f>
        <v>0</v>
      </c>
      <c r="N1760" s="28">
        <f t="shared" si="50"/>
        <v>0</v>
      </c>
      <c r="O1760" s="23"/>
      <c r="P1760" s="23"/>
      <c r="Q1760" s="23"/>
      <c r="R1760" s="26"/>
      <c r="S1760" s="23"/>
    </row>
    <row r="1761" spans="1:27" ht="19.5" hidden="1" customHeight="1" outlineLevel="1">
      <c r="A1761" s="29">
        <v>100</v>
      </c>
      <c r="B1761" s="30">
        <f>IF(17&lt;=DAY(DATE(YEAR(설정_코스수당!$K$2),MONTH(설정_코스수당!$K$2)+1,0)),DATE(YEAR(설정_코스수당!$K$2),MONTH(설정_코스수당!$K$2),17),"")</f>
        <v>46190</v>
      </c>
      <c r="C1761" s="31"/>
      <c r="D1761" s="29"/>
      <c r="E1761" s="29"/>
      <c r="F1761" s="32"/>
      <c r="G1761" s="29"/>
      <c r="H1761" s="29"/>
      <c r="I1761" s="29"/>
      <c r="J1761" s="33">
        <f>IF($O1761="방문완료",MAX(0,IFERROR(VLOOKUP($E1761,설정_코스수당!$A$6:$H$10,4,FALSE),0)-IF(OR($P1761="",$P1761="없음"),0,100000)),0)</f>
        <v>0</v>
      </c>
      <c r="K1761" s="33">
        <f t="array" ref="K1761">IF($O1761="방문완료",IFERROR(INDEX(설정_코스수당!$B$15:$F$64,MATCH($G1761,설정_코스수당!$A$15:$A$64,0),MATCH($E1761&amp;"수당",설정_코스수당!$B$14:$F$14,0)),0),0)</f>
        <v>0</v>
      </c>
      <c r="L1761" s="33">
        <f t="array" ref="L1761">IF($O1761="방문완료",IF($H1761="",0,IFERROR(INDEX(설정_코스수당!$B$15:$F$64,MATCH($H1761,설정_코스수당!$A$15:$A$64,0),MATCH($E1761&amp;"수당",설정_코스수당!$B$14:$F$14,0)),0)),0)</f>
        <v>0</v>
      </c>
      <c r="M1761" s="33">
        <f>IF($O1761="방문완료",IFERROR(VLOOKUP($E1761,설정_코스수당!$A$6:$H$10,6,FALSE),0),0)</f>
        <v>0</v>
      </c>
      <c r="N1761" s="34">
        <f t="shared" si="50"/>
        <v>0</v>
      </c>
      <c r="O1761" s="29"/>
      <c r="P1761" s="29"/>
      <c r="Q1761" s="29"/>
      <c r="R1761" s="32"/>
      <c r="S1761" s="29"/>
    </row>
    <row r="1762" spans="1:27" ht="19.5" hidden="1" customHeight="1" outlineLevel="1">
      <c r="A1762" s="36" t="s">
        <v>79</v>
      </c>
      <c r="B1762" s="37"/>
      <c r="C1762" s="38"/>
      <c r="D1762" s="37"/>
      <c r="E1762" s="37"/>
      <c r="F1762" s="37"/>
      <c r="G1762" s="37"/>
      <c r="H1762" s="37"/>
      <c r="I1762" s="37"/>
      <c r="J1762" s="37">
        <f>IF($O1762="방문완료",MAX(0,IFERROR(VLOOKUP($E1762,설정_코스수당!$A$6:$H$10,4,FALSE),0)-IF(OR($P1762="",$P1762="없음"),0,100000)),0)</f>
        <v>0</v>
      </c>
      <c r="O1762" s="18"/>
      <c r="P1762" s="14"/>
      <c r="Q1762" s="18"/>
      <c r="S1762" s="18"/>
    </row>
    <row r="1763" spans="1:27" ht="21" customHeight="1" collapsed="1">
      <c r="A1763" s="123" t="str">
        <f>IF(18&lt;=DAY(DATE(YEAR(설정_코스수당!$K$2),MONTH(설정_코스수당!$K$2)+1,0)),TEXT(DATE(YEAR(설정_코스수당!$K$2),MONTH(설정_코스수당!$K$2),18),"yyyy-mm-dd")&amp;"  |  예약관리 100슬롯","")</f>
        <v>2026-06-18  |  예약관리 100슬롯</v>
      </c>
      <c r="B1763" s="124"/>
      <c r="C1763" s="124"/>
      <c r="D1763" s="124"/>
      <c r="E1763" s="124"/>
      <c r="F1763" s="124"/>
      <c r="G1763" s="124"/>
      <c r="H1763" s="124"/>
      <c r="I1763" s="124"/>
      <c r="J1763" s="124"/>
      <c r="K1763" s="124"/>
      <c r="L1763" s="124"/>
      <c r="M1763" s="124"/>
      <c r="N1763" s="124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</row>
    <row r="1764" spans="1:27" ht="19.5" hidden="1" customHeight="1" outlineLevel="1">
      <c r="A1764" s="20" t="s">
        <v>41</v>
      </c>
      <c r="B1764" s="20" t="s">
        <v>42</v>
      </c>
      <c r="C1764" s="39" t="s">
        <v>43</v>
      </c>
      <c r="D1764" s="20" t="s">
        <v>44</v>
      </c>
      <c r="E1764" s="20" t="s">
        <v>45</v>
      </c>
      <c r="F1764" s="20" t="s">
        <v>46</v>
      </c>
      <c r="G1764" s="20" t="s">
        <v>47</v>
      </c>
      <c r="H1764" s="20" t="s">
        <v>48</v>
      </c>
      <c r="I1764" s="20" t="s">
        <v>49</v>
      </c>
      <c r="J1764" s="20" t="s">
        <v>50</v>
      </c>
      <c r="K1764" s="20" t="s">
        <v>51</v>
      </c>
      <c r="L1764" s="20" t="s">
        <v>52</v>
      </c>
      <c r="M1764" s="20" t="s">
        <v>53</v>
      </c>
      <c r="N1764" s="20" t="s">
        <v>54</v>
      </c>
      <c r="O1764" s="20" t="s">
        <v>55</v>
      </c>
      <c r="P1764" s="20" t="s">
        <v>56</v>
      </c>
      <c r="Q1764" s="18"/>
      <c r="R1764" s="20" t="s">
        <v>58</v>
      </c>
      <c r="S1764" s="20" t="s">
        <v>59</v>
      </c>
      <c r="U1764" s="122" t="str">
        <f>IF(18&lt;=DAY(DATE(YEAR(설정_코스수당!$K$2),MONTH(설정_코스수당!$K$2)+1,0)),TEXT(DATE(YEAR(설정_코스수당!$K$2),MONTH(설정_코스수당!$K$2),18),"yyyy-mm-dd")&amp;" 일일 상태","")</f>
        <v>2026-06-18 일일 상태</v>
      </c>
      <c r="V1764" s="125"/>
      <c r="W1764" s="122" t="s">
        <v>3</v>
      </c>
      <c r="X1764" s="125"/>
    </row>
    <row r="1765" spans="1:27" ht="19.5" hidden="1" customHeight="1" outlineLevel="1">
      <c r="A1765" s="23">
        <v>1</v>
      </c>
      <c r="B1765" s="24">
        <f>IF(18&lt;=DAY(DATE(YEAR(설정_코스수당!$K$2),MONTH(설정_코스수당!$K$2)+1,0)),DATE(YEAR(설정_코스수당!$K$2),MONTH(설정_코스수당!$K$2),18),"")</f>
        <v>46191</v>
      </c>
      <c r="C1765" s="25"/>
      <c r="D1765" s="23"/>
      <c r="E1765" s="23"/>
      <c r="F1765" s="26"/>
      <c r="G1765" s="23"/>
      <c r="H1765" s="23"/>
      <c r="I1765" s="23"/>
      <c r="J1765" s="27">
        <f>IF($O1765="방문완료",MAX(0,IFERROR(VLOOKUP($E1765,설정_코스수당!$A$6:$H$10,4,FALSE),0)-IF(OR($P1765="",$P1765="없음"),0,100000)),0)</f>
        <v>0</v>
      </c>
      <c r="K1765" s="27">
        <f t="array" ref="K1765">IF($O1765="방문완료",IFERROR(INDEX(설정_코스수당!$B$15:$F$64,MATCH($G1765,설정_코스수당!$A$15:$A$64,0),MATCH($E1765&amp;"수당",설정_코스수당!$B$14:$F$14,0)),0),0)</f>
        <v>0</v>
      </c>
      <c r="L1765" s="27">
        <f t="array" ref="L1765">IF($O1765="방문완료",IF($H1765="",0,IFERROR(INDEX(설정_코스수당!$B$15:$F$64,MATCH($H1765,설정_코스수당!$A$15:$A$64,0),MATCH($E1765&amp;"수당",설정_코스수당!$B$14:$F$14,0)),0)),0)</f>
        <v>0</v>
      </c>
      <c r="M1765" s="27">
        <f>IF($O1765="방문완료",IFERROR(VLOOKUP($E1765,설정_코스수당!$A$6:$H$10,6,FALSE),0),0)</f>
        <v>0</v>
      </c>
      <c r="N1765" s="28">
        <f t="shared" ref="N1765:N1796" si="51">IF($O1765="방문완료",1,0)</f>
        <v>0</v>
      </c>
      <c r="O1765" s="23"/>
      <c r="P1765" s="23"/>
      <c r="Q1765" s="23"/>
      <c r="R1765" s="26"/>
      <c r="S1765" s="23"/>
      <c r="U1765" s="104" t="s">
        <v>63</v>
      </c>
      <c r="V1765" s="105">
        <f>IF(18&lt;=DAY(DATE(YEAR(설정_코스수당!$K$2),MONTH(설정_코스수당!$K$2)+1,0)),COUNTIFS($B:$B,DATE(YEAR(설정_코스수당!$K$2),MONTH(설정_코스수당!$K$2),18),$O:$O,"&lt;&gt;"),"")</f>
        <v>0</v>
      </c>
      <c r="W1765" s="104" t="s">
        <v>6</v>
      </c>
      <c r="X1765" s="105">
        <f>IF(18&lt;=DAY(DATE(YEAR(설정_코스수당!$K$2),MONTH(설정_코스수당!$K$2)+1,0)),COUNTIFS($B:$B,DATE(YEAR(설정_코스수당!$K$2),MONTH(설정_코스수당!$K$2),18),$E:$E,"A",$O:$O,"방문완료"),"")</f>
        <v>0</v>
      </c>
    </row>
    <row r="1766" spans="1:27" ht="19.5" hidden="1" customHeight="1" outlineLevel="1">
      <c r="A1766" s="29">
        <v>2</v>
      </c>
      <c r="B1766" s="30">
        <f>IF(18&lt;=DAY(DATE(YEAR(설정_코스수당!$K$2),MONTH(설정_코스수당!$K$2)+1,0)),DATE(YEAR(설정_코스수당!$K$2),MONTH(설정_코스수당!$K$2),18),"")</f>
        <v>46191</v>
      </c>
      <c r="C1766" s="31"/>
      <c r="D1766" s="29"/>
      <c r="E1766" s="29"/>
      <c r="F1766" s="32"/>
      <c r="G1766" s="29"/>
      <c r="H1766" s="29"/>
      <c r="I1766" s="29"/>
      <c r="J1766" s="33">
        <f>IF($O1766="방문완료",MAX(0,IFERROR(VLOOKUP($E1766,설정_코스수당!$A$6:$H$10,4,FALSE),0)-IF(OR($P1766="",$P1766="없음"),0,100000)),0)</f>
        <v>0</v>
      </c>
      <c r="K1766" s="33">
        <f t="array" ref="K1766">IF($O1766="방문완료",IFERROR(INDEX(설정_코스수당!$B$15:$F$64,MATCH($G1766,설정_코스수당!$A$15:$A$64,0),MATCH($E1766&amp;"수당",설정_코스수당!$B$14:$F$14,0)),0),0)</f>
        <v>0</v>
      </c>
      <c r="L1766" s="33">
        <f t="array" ref="L1766">IF($O1766="방문완료",IF($H1766="",0,IFERROR(INDEX(설정_코스수당!$B$15:$F$64,MATCH($H1766,설정_코스수당!$A$15:$A$64,0),MATCH($E1766&amp;"수당",설정_코스수당!$B$14:$F$14,0)),0)),0)</f>
        <v>0</v>
      </c>
      <c r="M1766" s="33">
        <f>IF($O1766="방문완료",IFERROR(VLOOKUP($E1766,설정_코스수당!$A$6:$H$10,6,FALSE),0),0)</f>
        <v>0</v>
      </c>
      <c r="N1766" s="34">
        <f t="shared" si="51"/>
        <v>0</v>
      </c>
      <c r="O1766" s="29"/>
      <c r="P1766" s="29"/>
      <c r="Q1766" s="29"/>
      <c r="R1766" s="32"/>
      <c r="S1766" s="29"/>
      <c r="U1766" s="104" t="s">
        <v>62</v>
      </c>
      <c r="V1766" s="105">
        <f>IF(18&lt;=DAY(DATE(YEAR(설정_코스수당!$K$2),MONTH(설정_코스수당!$K$2)+1,0)),COUNTIFS($B:$B,DATE(YEAR(설정_코스수당!$K$2),MONTH(설정_코스수당!$K$2),18),$O:$O,"방문완료"),"")</f>
        <v>0</v>
      </c>
      <c r="W1766" s="104" t="s">
        <v>9</v>
      </c>
      <c r="X1766" s="105">
        <f>IF(18&lt;=DAY(DATE(YEAR(설정_코스수당!$K$2),MONTH(설정_코스수당!$K$2)+1,0)),COUNTIFS($B:$B,DATE(YEAR(설정_코스수당!$K$2),MONTH(설정_코스수당!$K$2),18),$E:$E,"B",$O:$O,"방문완료"),"")</f>
        <v>0</v>
      </c>
    </row>
    <row r="1767" spans="1:27" ht="19.5" hidden="1" customHeight="1" outlineLevel="1">
      <c r="A1767" s="23">
        <v>3</v>
      </c>
      <c r="B1767" s="24">
        <f>IF(18&lt;=DAY(DATE(YEAR(설정_코스수당!$K$2),MONTH(설정_코스수당!$K$2)+1,0)),DATE(YEAR(설정_코스수당!$K$2),MONTH(설정_코스수당!$K$2),18),"")</f>
        <v>46191</v>
      </c>
      <c r="C1767" s="25"/>
      <c r="D1767" s="23"/>
      <c r="E1767" s="23"/>
      <c r="F1767" s="26"/>
      <c r="G1767" s="23"/>
      <c r="H1767" s="23"/>
      <c r="I1767" s="23"/>
      <c r="J1767" s="27">
        <f>IF($O1767="방문완료",MAX(0,IFERROR(VLOOKUP($E1767,설정_코스수당!$A$6:$H$10,4,FALSE),0)-IF(OR($P1767="",$P1767="없음"),0,100000)),0)</f>
        <v>0</v>
      </c>
      <c r="K1767" s="27">
        <f t="array" ref="K1767">IF($O1767="방문완료",IFERROR(INDEX(설정_코스수당!$B$15:$F$64,MATCH($G1767,설정_코스수당!$A$15:$A$64,0),MATCH($E1767&amp;"수당",설정_코스수당!$B$14:$F$14,0)),0),0)</f>
        <v>0</v>
      </c>
      <c r="L1767" s="27">
        <f t="array" ref="L1767">IF($O1767="방문완료",IF($H1767="",0,IFERROR(INDEX(설정_코스수당!$B$15:$F$64,MATCH($H1767,설정_코스수당!$A$15:$A$64,0),MATCH($E1767&amp;"수당",설정_코스수당!$B$14:$F$14,0)),0)),0)</f>
        <v>0</v>
      </c>
      <c r="M1767" s="27">
        <f>IF($O1767="방문완료",IFERROR(VLOOKUP($E1767,설정_코스수당!$A$6:$H$10,6,FALSE),0),0)</f>
        <v>0</v>
      </c>
      <c r="N1767" s="28">
        <f t="shared" si="51"/>
        <v>0</v>
      </c>
      <c r="O1767" s="23"/>
      <c r="P1767" s="23"/>
      <c r="Q1767" s="23"/>
      <c r="R1767" s="26"/>
      <c r="S1767" s="23"/>
      <c r="U1767" s="104" t="s">
        <v>68</v>
      </c>
      <c r="V1767" s="105" t="str">
        <f>IF(18&lt;=DAY(DATE(YEAR(설정_코스수당!$K$2),MONTH(설정_코스수당!$K$2)+1,0)),COUNTIFS($B:$B,DATE(YEAR(설정_코스수당!$K$2),MONTH(설정_코스수당!$K$2),18),$O:$O,"노쇼")&amp;"/"&amp;COUNTIFS($B:$B,DATE(YEAR(설정_코스수당!$K$2),MONTH(설정_코스수당!$K$2),18),$O:$O,"취소"),"")</f>
        <v>0/0</v>
      </c>
      <c r="W1767" s="104" t="s">
        <v>12</v>
      </c>
      <c r="X1767" s="105">
        <f>IF(18&lt;=DAY(DATE(YEAR(설정_코스수당!$K$2),MONTH(설정_코스수당!$K$2)+1,0)),COUNTIFS($B:$B,DATE(YEAR(설정_코스수당!$K$2),MONTH(설정_코스수당!$K$2),18),$E:$E,"C",$O:$O,"방문완료"),"")</f>
        <v>0</v>
      </c>
    </row>
    <row r="1768" spans="1:27" ht="19.5" hidden="1" customHeight="1" outlineLevel="1">
      <c r="A1768" s="29">
        <v>4</v>
      </c>
      <c r="B1768" s="30">
        <f>IF(18&lt;=DAY(DATE(YEAR(설정_코스수당!$K$2),MONTH(설정_코스수당!$K$2)+1,0)),DATE(YEAR(설정_코스수당!$K$2),MONTH(설정_코스수당!$K$2),18),"")</f>
        <v>46191</v>
      </c>
      <c r="C1768" s="31"/>
      <c r="D1768" s="29"/>
      <c r="E1768" s="29"/>
      <c r="F1768" s="32"/>
      <c r="G1768" s="29"/>
      <c r="H1768" s="29"/>
      <c r="I1768" s="29"/>
      <c r="J1768" s="33">
        <f>IF($O1768="방문완료",MAX(0,IFERROR(VLOOKUP($E1768,설정_코스수당!$A$6:$H$10,4,FALSE),0)-IF(OR($P1768="",$P1768="없음"),0,100000)),0)</f>
        <v>0</v>
      </c>
      <c r="K1768" s="33">
        <f t="array" ref="K1768">IF($O1768="방문완료",IFERROR(INDEX(설정_코스수당!$B$15:$F$64,MATCH($G1768,설정_코스수당!$A$15:$A$64,0),MATCH($E1768&amp;"수당",설정_코스수당!$B$14:$F$14,0)),0),0)</f>
        <v>0</v>
      </c>
      <c r="L1768" s="33">
        <f t="array" ref="L1768">IF($O1768="방문완료",IF($H1768="",0,IFERROR(INDEX(설정_코스수당!$B$15:$F$64,MATCH($H1768,설정_코스수당!$A$15:$A$64,0),MATCH($E1768&amp;"수당",설정_코스수당!$B$14:$F$14,0)),0)),0)</f>
        <v>0</v>
      </c>
      <c r="M1768" s="33">
        <f>IF($O1768="방문완료",IFERROR(VLOOKUP($E1768,설정_코스수당!$A$6:$H$10,6,FALSE),0),0)</f>
        <v>0</v>
      </c>
      <c r="N1768" s="34">
        <f t="shared" si="51"/>
        <v>0</v>
      </c>
      <c r="O1768" s="29"/>
      <c r="P1768" s="29"/>
      <c r="Q1768" s="29"/>
      <c r="R1768" s="32"/>
      <c r="S1768" s="29"/>
      <c r="U1768" s="104" t="s">
        <v>69</v>
      </c>
      <c r="V1768" s="106">
        <f>IF(18&lt;=DAY(DATE(YEAR(설정_코스수당!$K$2),MONTH(설정_코스수당!$K$2)+1,0)),SUMIFS($J:$J,$B:$B,DATE(YEAR(설정_코스수당!$K$2),MONTH(설정_코스수당!$K$2),18),$O:$O,"방문완료"),"")</f>
        <v>0</v>
      </c>
      <c r="W1768" s="104" t="s">
        <v>15</v>
      </c>
      <c r="X1768" s="105">
        <f>IF(18&lt;=DAY(DATE(YEAR(설정_코스수당!$K$2),MONTH(설정_코스수당!$K$2)+1,0)),COUNTIFS($B:$B,DATE(YEAR(설정_코스수당!$K$2),MONTH(설정_코스수당!$K$2),18),$E:$E,"D",$O:$O,"방문완료"),"")</f>
        <v>0</v>
      </c>
    </row>
    <row r="1769" spans="1:27" ht="19.5" hidden="1" customHeight="1" outlineLevel="1">
      <c r="A1769" s="23">
        <v>5</v>
      </c>
      <c r="B1769" s="24">
        <f>IF(18&lt;=DAY(DATE(YEAR(설정_코스수당!$K$2),MONTH(설정_코스수당!$K$2)+1,0)),DATE(YEAR(설정_코스수당!$K$2),MONTH(설정_코스수당!$K$2),18),"")</f>
        <v>46191</v>
      </c>
      <c r="C1769" s="25"/>
      <c r="D1769" s="23"/>
      <c r="E1769" s="23"/>
      <c r="F1769" s="26"/>
      <c r="G1769" s="23"/>
      <c r="H1769" s="23"/>
      <c r="I1769" s="23"/>
      <c r="J1769" s="27">
        <f>IF($O1769="방문완료",MAX(0,IFERROR(VLOOKUP($E1769,설정_코스수당!$A$6:$H$10,4,FALSE),0)-IF(OR($P1769="",$P1769="없음"),0,100000)),0)</f>
        <v>0</v>
      </c>
      <c r="K1769" s="27">
        <f t="array" ref="K1769">IF($O1769="방문완료",IFERROR(INDEX(설정_코스수당!$B$15:$F$64,MATCH($G1769,설정_코스수당!$A$15:$A$64,0),MATCH($E1769&amp;"수당",설정_코스수당!$B$14:$F$14,0)),0),0)</f>
        <v>0</v>
      </c>
      <c r="L1769" s="27">
        <f t="array" ref="L1769">IF($O1769="방문완료",IF($H1769="",0,IFERROR(INDEX(설정_코스수당!$B$15:$F$64,MATCH($H1769,설정_코스수당!$A$15:$A$64,0),MATCH($E1769&amp;"수당",설정_코스수당!$B$14:$F$14,0)),0)),0)</f>
        <v>0</v>
      </c>
      <c r="M1769" s="27">
        <f>IF($O1769="방문완료",IFERROR(VLOOKUP($E1769,설정_코스수당!$A$6:$H$10,6,FALSE),0),0)</f>
        <v>0</v>
      </c>
      <c r="N1769" s="28">
        <f t="shared" si="51"/>
        <v>0</v>
      </c>
      <c r="O1769" s="23"/>
      <c r="P1769" s="23"/>
      <c r="Q1769" s="23"/>
      <c r="R1769" s="26"/>
      <c r="S1769" s="23"/>
      <c r="U1769" s="104" t="s">
        <v>70</v>
      </c>
      <c r="V1769" s="106">
        <f>IF(18&lt;=DAY(DATE(YEAR(설정_코스수당!$K$2),MONTH(설정_코스수당!$K$2)+1,0)),SUMIFS($K:$K,$B:$B,DATE(YEAR(설정_코스수당!$K$2),MONTH(설정_코스수당!$K$2),18),$O:$O,"방문완료")+SUMIFS($L:$L,$B:$B,DATE(YEAR(설정_코스수당!$K$2),MONTH(설정_코스수당!$K$2),18),$O:$O,"방문완료"),"")</f>
        <v>0</v>
      </c>
      <c r="W1769" s="104" t="s">
        <v>18</v>
      </c>
      <c r="X1769" s="105">
        <f>IF(18&lt;=DAY(DATE(YEAR(설정_코스수당!$K$2),MONTH(설정_코스수당!$K$2)+1,0)),COUNTIFS($B:$B,DATE(YEAR(설정_코스수당!$K$2),MONTH(설정_코스수당!$K$2),18),$E:$E,"E",$O:$O,"방문완료"),"")</f>
        <v>0</v>
      </c>
    </row>
    <row r="1770" spans="1:27" ht="19.5" hidden="1" customHeight="1" outlineLevel="1">
      <c r="A1770" s="29">
        <v>6</v>
      </c>
      <c r="B1770" s="30">
        <f>IF(18&lt;=DAY(DATE(YEAR(설정_코스수당!$K$2),MONTH(설정_코스수당!$K$2)+1,0)),DATE(YEAR(설정_코스수당!$K$2),MONTH(설정_코스수당!$K$2),18),"")</f>
        <v>46191</v>
      </c>
      <c r="C1770" s="31"/>
      <c r="D1770" s="29"/>
      <c r="E1770" s="29"/>
      <c r="F1770" s="32"/>
      <c r="G1770" s="29"/>
      <c r="H1770" s="29"/>
      <c r="I1770" s="29"/>
      <c r="J1770" s="33">
        <f>IF($O1770="방문완료",MAX(0,IFERROR(VLOOKUP($E1770,설정_코스수당!$A$6:$H$10,4,FALSE),0)-IF(OR($P1770="",$P1770="없음"),0,100000)),0)</f>
        <v>0</v>
      </c>
      <c r="K1770" s="33">
        <f t="array" ref="K1770">IF($O1770="방문완료",IFERROR(INDEX(설정_코스수당!$B$15:$F$64,MATCH($G1770,설정_코스수당!$A$15:$A$64,0),MATCH($E1770&amp;"수당",설정_코스수당!$B$14:$F$14,0)),0),0)</f>
        <v>0</v>
      </c>
      <c r="L1770" s="33">
        <f t="array" ref="L1770">IF($O1770="방문완료",IF($H1770="",0,IFERROR(INDEX(설정_코스수당!$B$15:$F$64,MATCH($H1770,설정_코스수당!$A$15:$A$64,0),MATCH($E1770&amp;"수당",설정_코스수당!$B$14:$F$14,0)),0)),0)</f>
        <v>0</v>
      </c>
      <c r="M1770" s="33">
        <f>IF($O1770="방문완료",IFERROR(VLOOKUP($E1770,설정_코스수당!$A$6:$H$10,6,FALSE),0),0)</f>
        <v>0</v>
      </c>
      <c r="N1770" s="34">
        <f t="shared" si="51"/>
        <v>0</v>
      </c>
      <c r="O1770" s="29"/>
      <c r="P1770" s="29"/>
      <c r="Q1770" s="29"/>
      <c r="R1770" s="32"/>
      <c r="S1770" s="29"/>
      <c r="U1770" s="104" t="s">
        <v>53</v>
      </c>
      <c r="V1770" s="106">
        <f>IF(18&lt;=DAY(DATE(YEAR(설정_코스수당!$K$2),MONTH(설정_코스수당!$K$2)+1,0)),SUMIFS($M:$M,$B:$B,DATE(YEAR(설정_코스수당!$K$2),MONTH(설정_코스수당!$K$2),18),$O:$O,"방문완료"),"")</f>
        <v>0</v>
      </c>
      <c r="W1770" s="104" t="s">
        <v>71</v>
      </c>
      <c r="X1770" s="107">
        <f>IF(18&lt;=DAY(DATE(YEAR(설정_코스수당!$K$2),MONTH(설정_코스수당!$K$2)+1,0)),COUNTIFS($B:$B,DATE(YEAR(설정_코스수당!$K$2),MONTH(설정_코스수당!$K$2),18),$O:$O,"방문완료",$P:$P,"&lt;&gt;",$P:$P,"&lt;&gt;없음"),"")</f>
        <v>0</v>
      </c>
    </row>
    <row r="1771" spans="1:27" ht="19.5" hidden="1" customHeight="1" outlineLevel="1">
      <c r="A1771" s="23">
        <v>7</v>
      </c>
      <c r="B1771" s="24">
        <f>IF(18&lt;=DAY(DATE(YEAR(설정_코스수당!$K$2),MONTH(설정_코스수당!$K$2)+1,0)),DATE(YEAR(설정_코스수당!$K$2),MONTH(설정_코스수당!$K$2),18),"")</f>
        <v>46191</v>
      </c>
      <c r="C1771" s="25"/>
      <c r="D1771" s="23"/>
      <c r="E1771" s="23"/>
      <c r="F1771" s="26"/>
      <c r="G1771" s="23"/>
      <c r="H1771" s="23"/>
      <c r="I1771" s="23"/>
      <c r="J1771" s="27">
        <f>IF($O1771="방문완료",MAX(0,IFERROR(VLOOKUP($E1771,설정_코스수당!$A$6:$H$10,4,FALSE),0)-IF(OR($P1771="",$P1771="없음"),0,100000)),0)</f>
        <v>0</v>
      </c>
      <c r="K1771" s="27">
        <f t="array" ref="K1771">IF($O1771="방문완료",IFERROR(INDEX(설정_코스수당!$B$15:$F$64,MATCH($G1771,설정_코스수당!$A$15:$A$64,0),MATCH($E1771&amp;"수당",설정_코스수당!$B$14:$F$14,0)),0),0)</f>
        <v>0</v>
      </c>
      <c r="L1771" s="27">
        <f t="array" ref="L1771">IF($O1771="방문완료",IF($H1771="",0,IFERROR(INDEX(설정_코스수당!$B$15:$F$64,MATCH($H1771,설정_코스수당!$A$15:$A$64,0),MATCH($E1771&amp;"수당",설정_코스수당!$B$14:$F$14,0)),0)),0)</f>
        <v>0</v>
      </c>
      <c r="M1771" s="27">
        <f>IF($O1771="방문완료",IFERROR(VLOOKUP($E1771,설정_코스수당!$A$6:$H$10,6,FALSE),0),0)</f>
        <v>0</v>
      </c>
      <c r="N1771" s="28">
        <f t="shared" si="51"/>
        <v>0</v>
      </c>
      <c r="O1771" s="23"/>
      <c r="P1771" s="23"/>
      <c r="Q1771" s="23"/>
      <c r="R1771" s="26"/>
      <c r="S1771" s="23"/>
      <c r="U1771" s="104" t="s">
        <v>72</v>
      </c>
      <c r="V1771" s="108">
        <f>IF(18&lt;=DAY(DATE(YEAR(설정_코스수당!$K$2),MONTH(설정_코스수당!$K$2)+1,0)),COUNTIFS($B:$B,DATE(YEAR(설정_코스수당!$K$2),MONTH(설정_코스수당!$K$2),18),$O:$O,"방문완료",$P:$P,"&lt;&gt;",$P:$P,"&lt;&gt;없음")*100000,"")</f>
        <v>0</v>
      </c>
      <c r="W1771" s="104" t="s">
        <v>73</v>
      </c>
      <c r="X1771" s="105">
        <f>IF(18&lt;=DAY(DATE(YEAR(설정_코스수당!$K$2),MONTH(설정_코스수당!$K$2)+1,0)),COUNTIFS($B:$B,DATE(YEAR(설정_코스수당!$K$2),MONTH(설정_코스수당!$K$2),18),$G:$G,"&lt;&gt;",$O:$O,"방문완료")+COUNTIFS($B:$B,DATE(YEAR(설정_코스수당!$K$2),MONTH(설정_코스수당!$K$2),18),$H:$H,"&lt;&gt;",$O:$O,"방문완료"),"")</f>
        <v>0</v>
      </c>
    </row>
    <row r="1772" spans="1:27" ht="19.5" hidden="1" customHeight="1" outlineLevel="1">
      <c r="A1772" s="29">
        <v>8</v>
      </c>
      <c r="B1772" s="30">
        <f>IF(18&lt;=DAY(DATE(YEAR(설정_코스수당!$K$2),MONTH(설정_코스수당!$K$2)+1,0)),DATE(YEAR(설정_코스수당!$K$2),MONTH(설정_코스수당!$K$2),18),"")</f>
        <v>46191</v>
      </c>
      <c r="C1772" s="31"/>
      <c r="D1772" s="29"/>
      <c r="E1772" s="29"/>
      <c r="F1772" s="32"/>
      <c r="G1772" s="29"/>
      <c r="H1772" s="29"/>
      <c r="I1772" s="29"/>
      <c r="J1772" s="33">
        <f>IF($O1772="방문완료",MAX(0,IFERROR(VLOOKUP($E1772,설정_코스수당!$A$6:$H$10,4,FALSE),0)-IF(OR($P1772="",$P1772="없음"),0,100000)),0)</f>
        <v>0</v>
      </c>
      <c r="K1772" s="33">
        <f t="array" ref="K1772">IF($O1772="방문완료",IFERROR(INDEX(설정_코스수당!$B$15:$F$64,MATCH($G1772,설정_코스수당!$A$15:$A$64,0),MATCH($E1772&amp;"수당",설정_코스수당!$B$14:$F$14,0)),0),0)</f>
        <v>0</v>
      </c>
      <c r="L1772" s="33">
        <f t="array" ref="L1772">IF($O1772="방문완료",IF($H1772="",0,IFERROR(INDEX(설정_코스수당!$B$15:$F$64,MATCH($H1772,설정_코스수당!$A$15:$A$64,0),MATCH($E1772&amp;"수당",설정_코스수당!$B$14:$F$14,0)),0)),0)</f>
        <v>0</v>
      </c>
      <c r="M1772" s="33">
        <f>IF($O1772="방문완료",IFERROR(VLOOKUP($E1772,설정_코스수당!$A$6:$H$10,6,FALSE),0),0)</f>
        <v>0</v>
      </c>
      <c r="N1772" s="34">
        <f t="shared" si="51"/>
        <v>0</v>
      </c>
      <c r="O1772" s="29"/>
      <c r="P1772" s="29"/>
      <c r="Q1772" s="29"/>
      <c r="R1772" s="32"/>
      <c r="S1772" s="29"/>
      <c r="U1772" s="104" t="s">
        <v>74</v>
      </c>
      <c r="V1772" s="108">
        <f>IF(18&lt;=DAY(DATE(YEAR(설정_코스수당!$K$2),MONTH(설정_코스수당!$K$2)+1,0)),SUM($U$1776:$U$1783),"")</f>
        <v>0</v>
      </c>
      <c r="W1772" s="122" t="str">
        <f>IF(18&lt;=DAY(DATE(YEAR(설정_코스수당!$K$2),MONTH(설정_코스수당!$K$2)+1,0)),"계 : "&amp;TEXT(V1768-V1772,"#,##0")&amp;" 동","")</f>
        <v>계 : 0 동</v>
      </c>
      <c r="X1772" s="122"/>
    </row>
    <row r="1773" spans="1:27" ht="19.5" hidden="1" customHeight="1" outlineLevel="1">
      <c r="A1773" s="23">
        <v>9</v>
      </c>
      <c r="B1773" s="24">
        <f>IF(18&lt;=DAY(DATE(YEAR(설정_코스수당!$K$2),MONTH(설정_코스수당!$K$2)+1,0)),DATE(YEAR(설정_코스수당!$K$2),MONTH(설정_코스수당!$K$2),18),"")</f>
        <v>46191</v>
      </c>
      <c r="C1773" s="25"/>
      <c r="D1773" s="23"/>
      <c r="E1773" s="23"/>
      <c r="F1773" s="26"/>
      <c r="G1773" s="23"/>
      <c r="H1773" s="23"/>
      <c r="I1773" s="23"/>
      <c r="J1773" s="27">
        <f>IF($O1773="방문완료",MAX(0,IFERROR(VLOOKUP($E1773,설정_코스수당!$A$6:$H$10,4,FALSE),0)-IF(OR($P1773="",$P1773="없음"),0,100000)),0)</f>
        <v>0</v>
      </c>
      <c r="K1773" s="27">
        <f t="array" ref="K1773">IF($O1773="방문완료",IFERROR(INDEX(설정_코스수당!$B$15:$F$64,MATCH($G1773,설정_코스수당!$A$15:$A$64,0),MATCH($E1773&amp;"수당",설정_코스수당!$B$14:$F$14,0)),0),0)</f>
        <v>0</v>
      </c>
      <c r="L1773" s="27">
        <f t="array" ref="L1773">IF($O1773="방문완료",IF($H1773="",0,IFERROR(INDEX(설정_코스수당!$B$15:$F$64,MATCH($H1773,설정_코스수당!$A$15:$A$64,0),MATCH($E1773&amp;"수당",설정_코스수당!$B$14:$F$14,0)),0)),0)</f>
        <v>0</v>
      </c>
      <c r="M1773" s="27">
        <f>IF($O1773="방문완료",IFERROR(VLOOKUP($E1773,설정_코스수당!$A$6:$H$10,6,FALSE),0),0)</f>
        <v>0</v>
      </c>
      <c r="N1773" s="28">
        <f t="shared" si="51"/>
        <v>0</v>
      </c>
      <c r="O1773" s="23"/>
      <c r="P1773" s="23"/>
      <c r="Q1773" s="23"/>
      <c r="R1773" s="26"/>
      <c r="S1773" s="23"/>
    </row>
    <row r="1774" spans="1:27" ht="19.5" hidden="1" customHeight="1" outlineLevel="1">
      <c r="A1774" s="29">
        <v>10</v>
      </c>
      <c r="B1774" s="30">
        <f>IF(18&lt;=DAY(DATE(YEAR(설정_코스수당!$K$2),MONTH(설정_코스수당!$K$2)+1,0)),DATE(YEAR(설정_코스수당!$K$2),MONTH(설정_코스수당!$K$2),18),"")</f>
        <v>46191</v>
      </c>
      <c r="C1774" s="31"/>
      <c r="D1774" s="29"/>
      <c r="E1774" s="29"/>
      <c r="F1774" s="32"/>
      <c r="G1774" s="29"/>
      <c r="H1774" s="29"/>
      <c r="I1774" s="29"/>
      <c r="J1774" s="33">
        <f>IF($O1774="방문완료",MAX(0,IFERROR(VLOOKUP($E1774,설정_코스수당!$A$6:$H$10,4,FALSE),0)-IF(OR($P1774="",$P1774="없음"),0,100000)),0)</f>
        <v>0</v>
      </c>
      <c r="K1774" s="33">
        <f t="array" ref="K1774">IF($O1774="방문완료",IFERROR(INDEX(설정_코스수당!$B$15:$F$64,MATCH($G1774,설정_코스수당!$A$15:$A$64,0),MATCH($E1774&amp;"수당",설정_코스수당!$B$14:$F$14,0)),0),0)</f>
        <v>0</v>
      </c>
      <c r="L1774" s="33">
        <f t="array" ref="L1774">IF($O1774="방문완료",IF($H1774="",0,IFERROR(INDEX(설정_코스수당!$B$15:$F$64,MATCH($H1774,설정_코스수당!$A$15:$A$64,0),MATCH($E1774&amp;"수당",설정_코스수당!$B$14:$F$14,0)),0)),0)</f>
        <v>0</v>
      </c>
      <c r="M1774" s="33">
        <f>IF($O1774="방문완료",IFERROR(VLOOKUP($E1774,설정_코스수당!$A$6:$H$10,6,FALSE),0),0)</f>
        <v>0</v>
      </c>
      <c r="N1774" s="34">
        <f t="shared" si="51"/>
        <v>0</v>
      </c>
      <c r="O1774" s="29"/>
      <c r="P1774" s="29"/>
      <c r="Q1774" s="29"/>
      <c r="R1774" s="32"/>
      <c r="S1774" s="29"/>
      <c r="U1774" s="120" t="s">
        <v>75</v>
      </c>
      <c r="V1774" s="121"/>
      <c r="W1774" s="121"/>
      <c r="X1774" s="121"/>
    </row>
    <row r="1775" spans="1:27" ht="19.5" hidden="1" customHeight="1" outlineLevel="1">
      <c r="A1775" s="23">
        <v>11</v>
      </c>
      <c r="B1775" s="24">
        <f>IF(18&lt;=DAY(DATE(YEAR(설정_코스수당!$K$2),MONTH(설정_코스수당!$K$2)+1,0)),DATE(YEAR(설정_코스수당!$K$2),MONTH(설정_코스수당!$K$2),18),"")</f>
        <v>46191</v>
      </c>
      <c r="C1775" s="25"/>
      <c r="D1775" s="23"/>
      <c r="E1775" s="23"/>
      <c r="F1775" s="26"/>
      <c r="G1775" s="23"/>
      <c r="H1775" s="23"/>
      <c r="I1775" s="23"/>
      <c r="J1775" s="27">
        <f>IF($O1775="방문완료",MAX(0,IFERROR(VLOOKUP($E1775,설정_코스수당!$A$6:$H$10,4,FALSE),0)-IF(OR($P1775="",$P1775="없음"),0,100000)),0)</f>
        <v>0</v>
      </c>
      <c r="K1775" s="27">
        <f t="array" ref="K1775">IF($O1775="방문완료",IFERROR(INDEX(설정_코스수당!$B$15:$F$64,MATCH($G1775,설정_코스수당!$A$15:$A$64,0),MATCH($E1775&amp;"수당",설정_코스수당!$B$14:$F$14,0)),0),0)</f>
        <v>0</v>
      </c>
      <c r="L1775" s="27">
        <f t="array" ref="L1775">IF($O1775="방문완료",IF($H1775="",0,IFERROR(INDEX(설정_코스수당!$B$15:$F$64,MATCH($H1775,설정_코스수당!$A$15:$A$64,0),MATCH($E1775&amp;"수당",설정_코스수당!$B$14:$F$14,0)),0)),0)</f>
        <v>0</v>
      </c>
      <c r="M1775" s="27">
        <f>IF($O1775="방문완료",IFERROR(VLOOKUP($E1775,설정_코스수당!$A$6:$H$10,6,FALSE),0),0)</f>
        <v>0</v>
      </c>
      <c r="N1775" s="28">
        <f t="shared" si="51"/>
        <v>0</v>
      </c>
      <c r="O1775" s="23"/>
      <c r="P1775" s="23"/>
      <c r="Q1775" s="23"/>
      <c r="R1775" s="26"/>
      <c r="S1775" s="23"/>
      <c r="U1775" s="109" t="s">
        <v>76</v>
      </c>
      <c r="V1775" s="109" t="s">
        <v>77</v>
      </c>
      <c r="W1775" s="109" t="s">
        <v>78</v>
      </c>
      <c r="X1775" s="109" t="s">
        <v>58</v>
      </c>
    </row>
    <row r="1776" spans="1:27" ht="19.5" hidden="1" customHeight="1" outlineLevel="1">
      <c r="A1776" s="29">
        <v>12</v>
      </c>
      <c r="B1776" s="30">
        <f>IF(18&lt;=DAY(DATE(YEAR(설정_코스수당!$K$2),MONTH(설정_코스수당!$K$2)+1,0)),DATE(YEAR(설정_코스수당!$K$2),MONTH(설정_코스수당!$K$2),18),"")</f>
        <v>46191</v>
      </c>
      <c r="C1776" s="31"/>
      <c r="D1776" s="29"/>
      <c r="E1776" s="29"/>
      <c r="F1776" s="32"/>
      <c r="G1776" s="29"/>
      <c r="H1776" s="29"/>
      <c r="I1776" s="29"/>
      <c r="J1776" s="33">
        <f>IF($O1776="방문완료",MAX(0,IFERROR(VLOOKUP($E1776,설정_코스수당!$A$6:$H$10,4,FALSE),0)-IF(OR($P1776="",$P1776="없음"),0,100000)),0)</f>
        <v>0</v>
      </c>
      <c r="K1776" s="33">
        <f t="array" ref="K1776">IF($O1776="방문완료",IFERROR(INDEX(설정_코스수당!$B$15:$F$64,MATCH($G1776,설정_코스수당!$A$15:$A$64,0),MATCH($E1776&amp;"수당",설정_코스수당!$B$14:$F$14,0)),0),0)</f>
        <v>0</v>
      </c>
      <c r="L1776" s="33">
        <f t="array" ref="L1776">IF($O1776="방문완료",IF($H1776="",0,IFERROR(INDEX(설정_코스수당!$B$15:$F$64,MATCH($H1776,설정_코스수당!$A$15:$A$64,0),MATCH($E1776&amp;"수당",설정_코스수당!$B$14:$F$14,0)),0)),0)</f>
        <v>0</v>
      </c>
      <c r="M1776" s="33">
        <f>IF($O1776="방문완료",IFERROR(VLOOKUP($E1776,설정_코스수당!$A$6:$H$10,6,FALSE),0),0)</f>
        <v>0</v>
      </c>
      <c r="N1776" s="34">
        <f t="shared" si="51"/>
        <v>0</v>
      </c>
      <c r="O1776" s="29"/>
      <c r="P1776" s="29"/>
      <c r="Q1776" s="29"/>
      <c r="R1776" s="32"/>
      <c r="S1776" s="29"/>
      <c r="U1776" s="113"/>
      <c r="V1776" s="111"/>
      <c r="W1776" s="112"/>
      <c r="X1776" s="111"/>
    </row>
    <row r="1777" spans="1:24" ht="19.5" hidden="1" customHeight="1" outlineLevel="1">
      <c r="A1777" s="23">
        <v>13</v>
      </c>
      <c r="B1777" s="24">
        <f>IF(18&lt;=DAY(DATE(YEAR(설정_코스수당!$K$2),MONTH(설정_코스수당!$K$2)+1,0)),DATE(YEAR(설정_코스수당!$K$2),MONTH(설정_코스수당!$K$2),18),"")</f>
        <v>46191</v>
      </c>
      <c r="C1777" s="25"/>
      <c r="D1777" s="23"/>
      <c r="E1777" s="23"/>
      <c r="F1777" s="26"/>
      <c r="G1777" s="23"/>
      <c r="H1777" s="23"/>
      <c r="I1777" s="23"/>
      <c r="J1777" s="27">
        <f>IF($O1777="방문완료",MAX(0,IFERROR(VLOOKUP($E1777,설정_코스수당!$A$6:$H$10,4,FALSE),0)-IF(OR($P1777="",$P1777="없음"),0,100000)),0)</f>
        <v>0</v>
      </c>
      <c r="K1777" s="27">
        <f t="array" ref="K1777">IF($O1777="방문완료",IFERROR(INDEX(설정_코스수당!$B$15:$F$64,MATCH($G1777,설정_코스수당!$A$15:$A$64,0),MATCH($E1777&amp;"수당",설정_코스수당!$B$14:$F$14,0)),0),0)</f>
        <v>0</v>
      </c>
      <c r="L1777" s="27">
        <f t="array" ref="L1777">IF($O1777="방문완료",IF($H1777="",0,IFERROR(INDEX(설정_코스수당!$B$15:$F$64,MATCH($H1777,설정_코스수당!$A$15:$A$64,0),MATCH($E1777&amp;"수당",설정_코스수당!$B$14:$F$14,0)),0)),0)</f>
        <v>0</v>
      </c>
      <c r="M1777" s="27">
        <f>IF($O1777="방문완료",IFERROR(VLOOKUP($E1777,설정_코스수당!$A$6:$H$10,6,FALSE),0),0)</f>
        <v>0</v>
      </c>
      <c r="N1777" s="28">
        <f t="shared" si="51"/>
        <v>0</v>
      </c>
      <c r="O1777" s="23"/>
      <c r="P1777" s="23"/>
      <c r="Q1777" s="23"/>
      <c r="R1777" s="26"/>
      <c r="S1777" s="23"/>
      <c r="U1777" s="113"/>
      <c r="V1777" s="111"/>
      <c r="W1777" s="112"/>
      <c r="X1777" s="111"/>
    </row>
    <row r="1778" spans="1:24" ht="19.5" hidden="1" customHeight="1" outlineLevel="1">
      <c r="A1778" s="29">
        <v>14</v>
      </c>
      <c r="B1778" s="30">
        <f>IF(18&lt;=DAY(DATE(YEAR(설정_코스수당!$K$2),MONTH(설정_코스수당!$K$2)+1,0)),DATE(YEAR(설정_코스수당!$K$2),MONTH(설정_코스수당!$K$2),18),"")</f>
        <v>46191</v>
      </c>
      <c r="C1778" s="31"/>
      <c r="D1778" s="29"/>
      <c r="E1778" s="29"/>
      <c r="F1778" s="32"/>
      <c r="G1778" s="29"/>
      <c r="H1778" s="29"/>
      <c r="I1778" s="29"/>
      <c r="J1778" s="33">
        <f>IF($O1778="방문완료",MAX(0,IFERROR(VLOOKUP($E1778,설정_코스수당!$A$6:$H$10,4,FALSE),0)-IF(OR($P1778="",$P1778="없음"),0,100000)),0)</f>
        <v>0</v>
      </c>
      <c r="K1778" s="33">
        <f t="array" ref="K1778">IF($O1778="방문완료",IFERROR(INDEX(설정_코스수당!$B$15:$F$64,MATCH($G1778,설정_코스수당!$A$15:$A$64,0),MATCH($E1778&amp;"수당",설정_코스수당!$B$14:$F$14,0)),0),0)</f>
        <v>0</v>
      </c>
      <c r="L1778" s="33">
        <f t="array" ref="L1778">IF($O1778="방문완료",IF($H1778="",0,IFERROR(INDEX(설정_코스수당!$B$15:$F$64,MATCH($H1778,설정_코스수당!$A$15:$A$64,0),MATCH($E1778&amp;"수당",설정_코스수당!$B$14:$F$14,0)),0)),0)</f>
        <v>0</v>
      </c>
      <c r="M1778" s="33">
        <f>IF($O1778="방문완료",IFERROR(VLOOKUP($E1778,설정_코스수당!$A$6:$H$10,6,FALSE),0),0)</f>
        <v>0</v>
      </c>
      <c r="N1778" s="34">
        <f t="shared" si="51"/>
        <v>0</v>
      </c>
      <c r="O1778" s="29"/>
      <c r="P1778" s="29"/>
      <c r="Q1778" s="29"/>
      <c r="R1778" s="32"/>
      <c r="S1778" s="29"/>
      <c r="U1778" s="113"/>
      <c r="V1778" s="111"/>
      <c r="W1778" s="112"/>
      <c r="X1778" s="111"/>
    </row>
    <row r="1779" spans="1:24" ht="19.5" hidden="1" customHeight="1" outlineLevel="1">
      <c r="A1779" s="23">
        <v>15</v>
      </c>
      <c r="B1779" s="24">
        <f>IF(18&lt;=DAY(DATE(YEAR(설정_코스수당!$K$2),MONTH(설정_코스수당!$K$2)+1,0)),DATE(YEAR(설정_코스수당!$K$2),MONTH(설정_코스수당!$K$2),18),"")</f>
        <v>46191</v>
      </c>
      <c r="C1779" s="25"/>
      <c r="D1779" s="23"/>
      <c r="E1779" s="23"/>
      <c r="F1779" s="26"/>
      <c r="G1779" s="23"/>
      <c r="H1779" s="23"/>
      <c r="I1779" s="23"/>
      <c r="J1779" s="27">
        <f>IF($O1779="방문완료",MAX(0,IFERROR(VLOOKUP($E1779,설정_코스수당!$A$6:$H$10,4,FALSE),0)-IF(OR($P1779="",$P1779="없음"),0,100000)),0)</f>
        <v>0</v>
      </c>
      <c r="K1779" s="27">
        <f t="array" ref="K1779">IF($O1779="방문완료",IFERROR(INDEX(설정_코스수당!$B$15:$F$64,MATCH($G1779,설정_코스수당!$A$15:$A$64,0),MATCH($E1779&amp;"수당",설정_코스수당!$B$14:$F$14,0)),0),0)</f>
        <v>0</v>
      </c>
      <c r="L1779" s="27">
        <f t="array" ref="L1779">IF($O1779="방문완료",IF($H1779="",0,IFERROR(INDEX(설정_코스수당!$B$15:$F$64,MATCH($H1779,설정_코스수당!$A$15:$A$64,0),MATCH($E1779&amp;"수당",설정_코스수당!$B$14:$F$14,0)),0)),0)</f>
        <v>0</v>
      </c>
      <c r="M1779" s="27">
        <f>IF($O1779="방문완료",IFERROR(VLOOKUP($E1779,설정_코스수당!$A$6:$H$10,6,FALSE),0),0)</f>
        <v>0</v>
      </c>
      <c r="N1779" s="28">
        <f t="shared" si="51"/>
        <v>0</v>
      </c>
      <c r="O1779" s="23"/>
      <c r="P1779" s="23"/>
      <c r="Q1779" s="23"/>
      <c r="R1779" s="26"/>
      <c r="S1779" s="23"/>
      <c r="U1779" s="113"/>
      <c r="V1779" s="111"/>
      <c r="W1779" s="112"/>
      <c r="X1779" s="111"/>
    </row>
    <row r="1780" spans="1:24" ht="19.5" hidden="1" customHeight="1" outlineLevel="1">
      <c r="A1780" s="29">
        <v>16</v>
      </c>
      <c r="B1780" s="30">
        <f>IF(18&lt;=DAY(DATE(YEAR(설정_코스수당!$K$2),MONTH(설정_코스수당!$K$2)+1,0)),DATE(YEAR(설정_코스수당!$K$2),MONTH(설정_코스수당!$K$2),18),"")</f>
        <v>46191</v>
      </c>
      <c r="C1780" s="31"/>
      <c r="D1780" s="29"/>
      <c r="E1780" s="29"/>
      <c r="F1780" s="32"/>
      <c r="G1780" s="29"/>
      <c r="H1780" s="29"/>
      <c r="I1780" s="29"/>
      <c r="J1780" s="33">
        <f>IF($O1780="방문완료",MAX(0,IFERROR(VLOOKUP($E1780,설정_코스수당!$A$6:$H$10,4,FALSE),0)-IF(OR($P1780="",$P1780="없음"),0,100000)),0)</f>
        <v>0</v>
      </c>
      <c r="K1780" s="33">
        <f t="array" ref="K1780">IF($O1780="방문완료",IFERROR(INDEX(설정_코스수당!$B$15:$F$64,MATCH($G1780,설정_코스수당!$A$15:$A$64,0),MATCH($E1780&amp;"수당",설정_코스수당!$B$14:$F$14,0)),0),0)</f>
        <v>0</v>
      </c>
      <c r="L1780" s="33">
        <f t="array" ref="L1780">IF($O1780="방문완료",IF($H1780="",0,IFERROR(INDEX(설정_코스수당!$B$15:$F$64,MATCH($H1780,설정_코스수당!$A$15:$A$64,0),MATCH($E1780&amp;"수당",설정_코스수당!$B$14:$F$14,0)),0)),0)</f>
        <v>0</v>
      </c>
      <c r="M1780" s="33">
        <f>IF($O1780="방문완료",IFERROR(VLOOKUP($E1780,설정_코스수당!$A$6:$H$10,6,FALSE),0),0)</f>
        <v>0</v>
      </c>
      <c r="N1780" s="34">
        <f t="shared" si="51"/>
        <v>0</v>
      </c>
      <c r="O1780" s="29"/>
      <c r="P1780" s="29"/>
      <c r="Q1780" s="29"/>
      <c r="R1780" s="32"/>
      <c r="S1780" s="29"/>
      <c r="U1780" s="113"/>
      <c r="V1780" s="111"/>
      <c r="W1780" s="112"/>
      <c r="X1780" s="111"/>
    </row>
    <row r="1781" spans="1:24" ht="19.5" hidden="1" customHeight="1" outlineLevel="1">
      <c r="A1781" s="23">
        <v>17</v>
      </c>
      <c r="B1781" s="24">
        <f>IF(18&lt;=DAY(DATE(YEAR(설정_코스수당!$K$2),MONTH(설정_코스수당!$K$2)+1,0)),DATE(YEAR(설정_코스수당!$K$2),MONTH(설정_코스수당!$K$2),18),"")</f>
        <v>46191</v>
      </c>
      <c r="C1781" s="25"/>
      <c r="D1781" s="23"/>
      <c r="E1781" s="23"/>
      <c r="F1781" s="26"/>
      <c r="G1781" s="23"/>
      <c r="H1781" s="23"/>
      <c r="I1781" s="23"/>
      <c r="J1781" s="27">
        <f>IF($O1781="방문완료",MAX(0,IFERROR(VLOOKUP($E1781,설정_코스수당!$A$6:$H$10,4,FALSE),0)-IF(OR($P1781="",$P1781="없음"),0,100000)),0)</f>
        <v>0</v>
      </c>
      <c r="K1781" s="27">
        <f t="array" ref="K1781">IF($O1781="방문완료",IFERROR(INDEX(설정_코스수당!$B$15:$F$64,MATCH($G1781,설정_코스수당!$A$15:$A$64,0),MATCH($E1781&amp;"수당",설정_코스수당!$B$14:$F$14,0)),0),0)</f>
        <v>0</v>
      </c>
      <c r="L1781" s="27">
        <f t="array" ref="L1781">IF($O1781="방문완료",IF($H1781="",0,IFERROR(INDEX(설정_코스수당!$B$15:$F$64,MATCH($H1781,설정_코스수당!$A$15:$A$64,0),MATCH($E1781&amp;"수당",설정_코스수당!$B$14:$F$14,0)),0)),0)</f>
        <v>0</v>
      </c>
      <c r="M1781" s="27">
        <f>IF($O1781="방문완료",IFERROR(VLOOKUP($E1781,설정_코스수당!$A$6:$H$10,6,FALSE),0),0)</f>
        <v>0</v>
      </c>
      <c r="N1781" s="28">
        <f t="shared" si="51"/>
        <v>0</v>
      </c>
      <c r="O1781" s="23"/>
      <c r="P1781" s="23"/>
      <c r="Q1781" s="23"/>
      <c r="R1781" s="26"/>
      <c r="S1781" s="23"/>
      <c r="U1781" s="113"/>
      <c r="V1781" s="111"/>
      <c r="W1781" s="112"/>
      <c r="X1781" s="111"/>
    </row>
    <row r="1782" spans="1:24" ht="19.5" hidden="1" customHeight="1" outlineLevel="1">
      <c r="A1782" s="29">
        <v>18</v>
      </c>
      <c r="B1782" s="30">
        <f>IF(18&lt;=DAY(DATE(YEAR(설정_코스수당!$K$2),MONTH(설정_코스수당!$K$2)+1,0)),DATE(YEAR(설정_코스수당!$K$2),MONTH(설정_코스수당!$K$2),18),"")</f>
        <v>46191</v>
      </c>
      <c r="C1782" s="31"/>
      <c r="D1782" s="29"/>
      <c r="E1782" s="29"/>
      <c r="F1782" s="32"/>
      <c r="G1782" s="29"/>
      <c r="H1782" s="29"/>
      <c r="I1782" s="29"/>
      <c r="J1782" s="33">
        <f>IF($O1782="방문완료",MAX(0,IFERROR(VLOOKUP($E1782,설정_코스수당!$A$6:$H$10,4,FALSE),0)-IF(OR($P1782="",$P1782="없음"),0,100000)),0)</f>
        <v>0</v>
      </c>
      <c r="K1782" s="33">
        <f t="array" ref="K1782">IF($O1782="방문완료",IFERROR(INDEX(설정_코스수당!$B$15:$F$64,MATCH($G1782,설정_코스수당!$A$15:$A$64,0),MATCH($E1782&amp;"수당",설정_코스수당!$B$14:$F$14,0)),0),0)</f>
        <v>0</v>
      </c>
      <c r="L1782" s="33">
        <f t="array" ref="L1782">IF($O1782="방문완료",IF($H1782="",0,IFERROR(INDEX(설정_코스수당!$B$15:$F$64,MATCH($H1782,설정_코스수당!$A$15:$A$64,0),MATCH($E1782&amp;"수당",설정_코스수당!$B$14:$F$14,0)),0)),0)</f>
        <v>0</v>
      </c>
      <c r="M1782" s="33">
        <f>IF($O1782="방문완료",IFERROR(VLOOKUP($E1782,설정_코스수당!$A$6:$H$10,6,FALSE),0),0)</f>
        <v>0</v>
      </c>
      <c r="N1782" s="34">
        <f t="shared" si="51"/>
        <v>0</v>
      </c>
      <c r="O1782" s="29"/>
      <c r="P1782" s="29"/>
      <c r="Q1782" s="29"/>
      <c r="R1782" s="32"/>
      <c r="S1782" s="29"/>
      <c r="U1782" s="113"/>
      <c r="V1782" s="111"/>
      <c r="W1782" s="112"/>
      <c r="X1782" s="111"/>
    </row>
    <row r="1783" spans="1:24" ht="19.5" hidden="1" customHeight="1" outlineLevel="1">
      <c r="A1783" s="23">
        <v>19</v>
      </c>
      <c r="B1783" s="24">
        <f>IF(18&lt;=DAY(DATE(YEAR(설정_코스수당!$K$2),MONTH(설정_코스수당!$K$2)+1,0)),DATE(YEAR(설정_코스수당!$K$2),MONTH(설정_코스수당!$K$2),18),"")</f>
        <v>46191</v>
      </c>
      <c r="C1783" s="25"/>
      <c r="D1783" s="23"/>
      <c r="E1783" s="23"/>
      <c r="F1783" s="26"/>
      <c r="G1783" s="23"/>
      <c r="H1783" s="23"/>
      <c r="I1783" s="23"/>
      <c r="J1783" s="27">
        <f>IF($O1783="방문완료",MAX(0,IFERROR(VLOOKUP($E1783,설정_코스수당!$A$6:$H$10,4,FALSE),0)-IF(OR($P1783="",$P1783="없음"),0,100000)),0)</f>
        <v>0</v>
      </c>
      <c r="K1783" s="27">
        <f t="array" ref="K1783">IF($O1783="방문완료",IFERROR(INDEX(설정_코스수당!$B$15:$F$64,MATCH($G1783,설정_코스수당!$A$15:$A$64,0),MATCH($E1783&amp;"수당",설정_코스수당!$B$14:$F$14,0)),0),0)</f>
        <v>0</v>
      </c>
      <c r="L1783" s="27">
        <f t="array" ref="L1783">IF($O1783="방문완료",IF($H1783="",0,IFERROR(INDEX(설정_코스수당!$B$15:$F$64,MATCH($H1783,설정_코스수당!$A$15:$A$64,0),MATCH($E1783&amp;"수당",설정_코스수당!$B$14:$F$14,0)),0)),0)</f>
        <v>0</v>
      </c>
      <c r="M1783" s="27">
        <f>IF($O1783="방문완료",IFERROR(VLOOKUP($E1783,설정_코스수당!$A$6:$H$10,6,FALSE),0),0)</f>
        <v>0</v>
      </c>
      <c r="N1783" s="28">
        <f t="shared" si="51"/>
        <v>0</v>
      </c>
      <c r="O1783" s="23"/>
      <c r="P1783" s="23"/>
      <c r="Q1783" s="23"/>
      <c r="R1783" s="26"/>
      <c r="S1783" s="23"/>
      <c r="U1783" s="113"/>
      <c r="V1783" s="111"/>
      <c r="W1783" s="112"/>
      <c r="X1783" s="111"/>
    </row>
    <row r="1784" spans="1:24" ht="19.5" hidden="1" customHeight="1" outlineLevel="1">
      <c r="A1784" s="29">
        <v>20</v>
      </c>
      <c r="B1784" s="30">
        <f>IF(18&lt;=DAY(DATE(YEAR(설정_코스수당!$K$2),MONTH(설정_코스수당!$K$2)+1,0)),DATE(YEAR(설정_코스수당!$K$2),MONTH(설정_코스수당!$K$2),18),"")</f>
        <v>46191</v>
      </c>
      <c r="C1784" s="31"/>
      <c r="D1784" s="29"/>
      <c r="E1784" s="29"/>
      <c r="F1784" s="32"/>
      <c r="G1784" s="29"/>
      <c r="H1784" s="29"/>
      <c r="I1784" s="29"/>
      <c r="J1784" s="33">
        <f>IF($O1784="방문완료",MAX(0,IFERROR(VLOOKUP($E1784,설정_코스수당!$A$6:$H$10,4,FALSE),0)-IF(OR($P1784="",$P1784="없음"),0,100000)),0)</f>
        <v>0</v>
      </c>
      <c r="K1784" s="33">
        <f t="array" ref="K1784">IF($O1784="방문완료",IFERROR(INDEX(설정_코스수당!$B$15:$F$64,MATCH($G1784,설정_코스수당!$A$15:$A$64,0),MATCH($E1784&amp;"수당",설정_코스수당!$B$14:$F$14,0)),0),0)</f>
        <v>0</v>
      </c>
      <c r="L1784" s="33">
        <f t="array" ref="L1784">IF($O1784="방문완료",IF($H1784="",0,IFERROR(INDEX(설정_코스수당!$B$15:$F$64,MATCH($H1784,설정_코스수당!$A$15:$A$64,0),MATCH($E1784&amp;"수당",설정_코스수당!$B$14:$F$14,0)),0)),0)</f>
        <v>0</v>
      </c>
      <c r="M1784" s="33">
        <f>IF($O1784="방문완료",IFERROR(VLOOKUP($E1784,설정_코스수당!$A$6:$H$10,6,FALSE),0),0)</f>
        <v>0</v>
      </c>
      <c r="N1784" s="34">
        <f t="shared" si="51"/>
        <v>0</v>
      </c>
      <c r="O1784" s="29"/>
      <c r="P1784" s="29"/>
      <c r="Q1784" s="29"/>
      <c r="R1784" s="32"/>
      <c r="S1784" s="29"/>
    </row>
    <row r="1785" spans="1:24" ht="19.5" hidden="1" customHeight="1" outlineLevel="1">
      <c r="A1785" s="23">
        <v>21</v>
      </c>
      <c r="B1785" s="24">
        <f>IF(18&lt;=DAY(DATE(YEAR(설정_코스수당!$K$2),MONTH(설정_코스수당!$K$2)+1,0)),DATE(YEAR(설정_코스수당!$K$2),MONTH(설정_코스수당!$K$2),18),"")</f>
        <v>46191</v>
      </c>
      <c r="C1785" s="25"/>
      <c r="D1785" s="23"/>
      <c r="E1785" s="23"/>
      <c r="F1785" s="26"/>
      <c r="G1785" s="23"/>
      <c r="H1785" s="23"/>
      <c r="I1785" s="23"/>
      <c r="J1785" s="27">
        <f>IF($O1785="방문완료",MAX(0,IFERROR(VLOOKUP($E1785,설정_코스수당!$A$6:$H$10,4,FALSE),0)-IF(OR($P1785="",$P1785="없음"),0,100000)),0)</f>
        <v>0</v>
      </c>
      <c r="K1785" s="27">
        <f t="array" ref="K1785">IF($O1785="방문완료",IFERROR(INDEX(설정_코스수당!$B$15:$F$64,MATCH($G1785,설정_코스수당!$A$15:$A$64,0),MATCH($E1785&amp;"수당",설정_코스수당!$B$14:$F$14,0)),0),0)</f>
        <v>0</v>
      </c>
      <c r="L1785" s="27">
        <f t="array" ref="L1785">IF($O1785="방문완료",IF($H1785="",0,IFERROR(INDEX(설정_코스수당!$B$15:$F$64,MATCH($H1785,설정_코스수당!$A$15:$A$64,0),MATCH($E1785&amp;"수당",설정_코스수당!$B$14:$F$14,0)),0)),0)</f>
        <v>0</v>
      </c>
      <c r="M1785" s="27">
        <f>IF($O1785="방문완료",IFERROR(VLOOKUP($E1785,설정_코스수당!$A$6:$H$10,6,FALSE),0),0)</f>
        <v>0</v>
      </c>
      <c r="N1785" s="28">
        <f t="shared" si="51"/>
        <v>0</v>
      </c>
      <c r="O1785" s="23"/>
      <c r="P1785" s="23"/>
      <c r="Q1785" s="23"/>
      <c r="R1785" s="26"/>
      <c r="S1785" s="23"/>
    </row>
    <row r="1786" spans="1:24" ht="19.5" hidden="1" customHeight="1" outlineLevel="1">
      <c r="A1786" s="29">
        <v>22</v>
      </c>
      <c r="B1786" s="30">
        <f>IF(18&lt;=DAY(DATE(YEAR(설정_코스수당!$K$2),MONTH(설정_코스수당!$K$2)+1,0)),DATE(YEAR(설정_코스수당!$K$2),MONTH(설정_코스수당!$K$2),18),"")</f>
        <v>46191</v>
      </c>
      <c r="C1786" s="31"/>
      <c r="D1786" s="29"/>
      <c r="E1786" s="29"/>
      <c r="F1786" s="32"/>
      <c r="G1786" s="29"/>
      <c r="H1786" s="29"/>
      <c r="I1786" s="29"/>
      <c r="J1786" s="33">
        <f>IF($O1786="방문완료",MAX(0,IFERROR(VLOOKUP($E1786,설정_코스수당!$A$6:$H$10,4,FALSE),0)-IF(OR($P1786="",$P1786="없음"),0,100000)),0)</f>
        <v>0</v>
      </c>
      <c r="K1786" s="33">
        <f t="array" ref="K1786">IF($O1786="방문완료",IFERROR(INDEX(설정_코스수당!$B$15:$F$64,MATCH($G1786,설정_코스수당!$A$15:$A$64,0),MATCH($E1786&amp;"수당",설정_코스수당!$B$14:$F$14,0)),0),0)</f>
        <v>0</v>
      </c>
      <c r="L1786" s="33">
        <f t="array" ref="L1786">IF($O1786="방문완료",IF($H1786="",0,IFERROR(INDEX(설정_코스수당!$B$15:$F$64,MATCH($H1786,설정_코스수당!$A$15:$A$64,0),MATCH($E1786&amp;"수당",설정_코스수당!$B$14:$F$14,0)),0)),0)</f>
        <v>0</v>
      </c>
      <c r="M1786" s="33">
        <f>IF($O1786="방문완료",IFERROR(VLOOKUP($E1786,설정_코스수당!$A$6:$H$10,6,FALSE),0),0)</f>
        <v>0</v>
      </c>
      <c r="N1786" s="34">
        <f t="shared" si="51"/>
        <v>0</v>
      </c>
      <c r="O1786" s="29"/>
      <c r="P1786" s="29"/>
      <c r="Q1786" s="29"/>
      <c r="R1786" s="32"/>
      <c r="S1786" s="29"/>
    </row>
    <row r="1787" spans="1:24" ht="19.5" hidden="1" customHeight="1" outlineLevel="1">
      <c r="A1787" s="23">
        <v>23</v>
      </c>
      <c r="B1787" s="24">
        <f>IF(18&lt;=DAY(DATE(YEAR(설정_코스수당!$K$2),MONTH(설정_코스수당!$K$2)+1,0)),DATE(YEAR(설정_코스수당!$K$2),MONTH(설정_코스수당!$K$2),18),"")</f>
        <v>46191</v>
      </c>
      <c r="C1787" s="25"/>
      <c r="D1787" s="23"/>
      <c r="E1787" s="23"/>
      <c r="F1787" s="26"/>
      <c r="G1787" s="23"/>
      <c r="H1787" s="23"/>
      <c r="I1787" s="23"/>
      <c r="J1787" s="27">
        <f>IF($O1787="방문완료",MAX(0,IFERROR(VLOOKUP($E1787,설정_코스수당!$A$6:$H$10,4,FALSE),0)-IF(OR($P1787="",$P1787="없음"),0,100000)),0)</f>
        <v>0</v>
      </c>
      <c r="K1787" s="27">
        <f t="array" ref="K1787">IF($O1787="방문완료",IFERROR(INDEX(설정_코스수당!$B$15:$F$64,MATCH($G1787,설정_코스수당!$A$15:$A$64,0),MATCH($E1787&amp;"수당",설정_코스수당!$B$14:$F$14,0)),0),0)</f>
        <v>0</v>
      </c>
      <c r="L1787" s="27">
        <f t="array" ref="L1787">IF($O1787="방문완료",IF($H1787="",0,IFERROR(INDEX(설정_코스수당!$B$15:$F$64,MATCH($H1787,설정_코스수당!$A$15:$A$64,0),MATCH($E1787&amp;"수당",설정_코스수당!$B$14:$F$14,0)),0)),0)</f>
        <v>0</v>
      </c>
      <c r="M1787" s="27">
        <f>IF($O1787="방문완료",IFERROR(VLOOKUP($E1787,설정_코스수당!$A$6:$H$10,6,FALSE),0),0)</f>
        <v>0</v>
      </c>
      <c r="N1787" s="28">
        <f t="shared" si="51"/>
        <v>0</v>
      </c>
      <c r="O1787" s="23"/>
      <c r="P1787" s="23"/>
      <c r="Q1787" s="23"/>
      <c r="R1787" s="26"/>
      <c r="S1787" s="23"/>
    </row>
    <row r="1788" spans="1:24" ht="19.5" hidden="1" customHeight="1" outlineLevel="1">
      <c r="A1788" s="29">
        <v>24</v>
      </c>
      <c r="B1788" s="30">
        <f>IF(18&lt;=DAY(DATE(YEAR(설정_코스수당!$K$2),MONTH(설정_코스수당!$K$2)+1,0)),DATE(YEAR(설정_코스수당!$K$2),MONTH(설정_코스수당!$K$2),18),"")</f>
        <v>46191</v>
      </c>
      <c r="C1788" s="31"/>
      <c r="D1788" s="29"/>
      <c r="E1788" s="29"/>
      <c r="F1788" s="32"/>
      <c r="G1788" s="29"/>
      <c r="H1788" s="29"/>
      <c r="I1788" s="29"/>
      <c r="J1788" s="33">
        <f>IF($O1788="방문완료",MAX(0,IFERROR(VLOOKUP($E1788,설정_코스수당!$A$6:$H$10,4,FALSE),0)-IF(OR($P1788="",$P1788="없음"),0,100000)),0)</f>
        <v>0</v>
      </c>
      <c r="K1788" s="33">
        <f t="array" ref="K1788">IF($O1788="방문완료",IFERROR(INDEX(설정_코스수당!$B$15:$F$64,MATCH($G1788,설정_코스수당!$A$15:$A$64,0),MATCH($E1788&amp;"수당",설정_코스수당!$B$14:$F$14,0)),0),0)</f>
        <v>0</v>
      </c>
      <c r="L1788" s="33">
        <f t="array" ref="L1788">IF($O1788="방문완료",IF($H1788="",0,IFERROR(INDEX(설정_코스수당!$B$15:$F$64,MATCH($H1788,설정_코스수당!$A$15:$A$64,0),MATCH($E1788&amp;"수당",설정_코스수당!$B$14:$F$14,0)),0)),0)</f>
        <v>0</v>
      </c>
      <c r="M1788" s="33">
        <f>IF($O1788="방문완료",IFERROR(VLOOKUP($E1788,설정_코스수당!$A$6:$H$10,6,FALSE),0),0)</f>
        <v>0</v>
      </c>
      <c r="N1788" s="34">
        <f t="shared" si="51"/>
        <v>0</v>
      </c>
      <c r="O1788" s="29"/>
      <c r="P1788" s="29"/>
      <c r="Q1788" s="29"/>
      <c r="R1788" s="32"/>
      <c r="S1788" s="29"/>
    </row>
    <row r="1789" spans="1:24" ht="19.5" hidden="1" customHeight="1" outlineLevel="1">
      <c r="A1789" s="23">
        <v>25</v>
      </c>
      <c r="B1789" s="24">
        <f>IF(18&lt;=DAY(DATE(YEAR(설정_코스수당!$K$2),MONTH(설정_코스수당!$K$2)+1,0)),DATE(YEAR(설정_코스수당!$K$2),MONTH(설정_코스수당!$K$2),18),"")</f>
        <v>46191</v>
      </c>
      <c r="C1789" s="25"/>
      <c r="D1789" s="23"/>
      <c r="E1789" s="23"/>
      <c r="F1789" s="26"/>
      <c r="G1789" s="23"/>
      <c r="H1789" s="23"/>
      <c r="I1789" s="23"/>
      <c r="J1789" s="27">
        <f>IF($O1789="방문완료",MAX(0,IFERROR(VLOOKUP($E1789,설정_코스수당!$A$6:$H$10,4,FALSE),0)-IF(OR($P1789="",$P1789="없음"),0,100000)),0)</f>
        <v>0</v>
      </c>
      <c r="K1789" s="27">
        <f t="array" ref="K1789">IF($O1789="방문완료",IFERROR(INDEX(설정_코스수당!$B$15:$F$64,MATCH($G1789,설정_코스수당!$A$15:$A$64,0),MATCH($E1789&amp;"수당",설정_코스수당!$B$14:$F$14,0)),0),0)</f>
        <v>0</v>
      </c>
      <c r="L1789" s="27">
        <f t="array" ref="L1789">IF($O1789="방문완료",IF($H1789="",0,IFERROR(INDEX(설정_코스수당!$B$15:$F$64,MATCH($H1789,설정_코스수당!$A$15:$A$64,0),MATCH($E1789&amp;"수당",설정_코스수당!$B$14:$F$14,0)),0)),0)</f>
        <v>0</v>
      </c>
      <c r="M1789" s="27">
        <f>IF($O1789="방문완료",IFERROR(VLOOKUP($E1789,설정_코스수당!$A$6:$H$10,6,FALSE),0),0)</f>
        <v>0</v>
      </c>
      <c r="N1789" s="28">
        <f t="shared" si="51"/>
        <v>0</v>
      </c>
      <c r="O1789" s="23"/>
      <c r="P1789" s="23"/>
      <c r="Q1789" s="23"/>
      <c r="R1789" s="26"/>
      <c r="S1789" s="23"/>
    </row>
    <row r="1790" spans="1:24" ht="19.5" hidden="1" customHeight="1" outlineLevel="1">
      <c r="A1790" s="29">
        <v>26</v>
      </c>
      <c r="B1790" s="30">
        <f>IF(18&lt;=DAY(DATE(YEAR(설정_코스수당!$K$2),MONTH(설정_코스수당!$K$2)+1,0)),DATE(YEAR(설정_코스수당!$K$2),MONTH(설정_코스수당!$K$2),18),"")</f>
        <v>46191</v>
      </c>
      <c r="C1790" s="31"/>
      <c r="D1790" s="29"/>
      <c r="E1790" s="29"/>
      <c r="F1790" s="32"/>
      <c r="G1790" s="29"/>
      <c r="H1790" s="29"/>
      <c r="I1790" s="29"/>
      <c r="J1790" s="33">
        <f>IF($O1790="방문완료",MAX(0,IFERROR(VLOOKUP($E1790,설정_코스수당!$A$6:$H$10,4,FALSE),0)-IF(OR($P1790="",$P1790="없음"),0,100000)),0)</f>
        <v>0</v>
      </c>
      <c r="K1790" s="33">
        <f t="array" ref="K1790">IF($O1790="방문완료",IFERROR(INDEX(설정_코스수당!$B$15:$F$64,MATCH($G1790,설정_코스수당!$A$15:$A$64,0),MATCH($E1790&amp;"수당",설정_코스수당!$B$14:$F$14,0)),0),0)</f>
        <v>0</v>
      </c>
      <c r="L1790" s="33">
        <f t="array" ref="L1790">IF($O1790="방문완료",IF($H1790="",0,IFERROR(INDEX(설정_코스수당!$B$15:$F$64,MATCH($H1790,설정_코스수당!$A$15:$A$64,0),MATCH($E1790&amp;"수당",설정_코스수당!$B$14:$F$14,0)),0)),0)</f>
        <v>0</v>
      </c>
      <c r="M1790" s="33">
        <f>IF($O1790="방문완료",IFERROR(VLOOKUP($E1790,설정_코스수당!$A$6:$H$10,6,FALSE),0),0)</f>
        <v>0</v>
      </c>
      <c r="N1790" s="34">
        <f t="shared" si="51"/>
        <v>0</v>
      </c>
      <c r="O1790" s="29"/>
      <c r="P1790" s="29"/>
      <c r="Q1790" s="29"/>
      <c r="R1790" s="32"/>
      <c r="S1790" s="29"/>
    </row>
    <row r="1791" spans="1:24" ht="19.5" hidden="1" customHeight="1" outlineLevel="1">
      <c r="A1791" s="23">
        <v>27</v>
      </c>
      <c r="B1791" s="24">
        <f>IF(18&lt;=DAY(DATE(YEAR(설정_코스수당!$K$2),MONTH(설정_코스수당!$K$2)+1,0)),DATE(YEAR(설정_코스수당!$K$2),MONTH(설정_코스수당!$K$2),18),"")</f>
        <v>46191</v>
      </c>
      <c r="C1791" s="25"/>
      <c r="D1791" s="23"/>
      <c r="E1791" s="23"/>
      <c r="F1791" s="26"/>
      <c r="G1791" s="23"/>
      <c r="H1791" s="23"/>
      <c r="I1791" s="23"/>
      <c r="J1791" s="27">
        <f>IF($O1791="방문완료",MAX(0,IFERROR(VLOOKUP($E1791,설정_코스수당!$A$6:$H$10,4,FALSE),0)-IF(OR($P1791="",$P1791="없음"),0,100000)),0)</f>
        <v>0</v>
      </c>
      <c r="K1791" s="27">
        <f t="array" ref="K1791">IF($O1791="방문완료",IFERROR(INDEX(설정_코스수당!$B$15:$F$64,MATCH($G1791,설정_코스수당!$A$15:$A$64,0),MATCH($E1791&amp;"수당",설정_코스수당!$B$14:$F$14,0)),0),0)</f>
        <v>0</v>
      </c>
      <c r="L1791" s="27">
        <f t="array" ref="L1791">IF($O1791="방문완료",IF($H1791="",0,IFERROR(INDEX(설정_코스수당!$B$15:$F$64,MATCH($H1791,설정_코스수당!$A$15:$A$64,0),MATCH($E1791&amp;"수당",설정_코스수당!$B$14:$F$14,0)),0)),0)</f>
        <v>0</v>
      </c>
      <c r="M1791" s="27">
        <f>IF($O1791="방문완료",IFERROR(VLOOKUP($E1791,설정_코스수당!$A$6:$H$10,6,FALSE),0),0)</f>
        <v>0</v>
      </c>
      <c r="N1791" s="28">
        <f t="shared" si="51"/>
        <v>0</v>
      </c>
      <c r="O1791" s="23"/>
      <c r="P1791" s="23"/>
      <c r="Q1791" s="23"/>
      <c r="R1791" s="26"/>
      <c r="S1791" s="23"/>
    </row>
    <row r="1792" spans="1:24" ht="19.5" hidden="1" customHeight="1" outlineLevel="1">
      <c r="A1792" s="29">
        <v>28</v>
      </c>
      <c r="B1792" s="30">
        <f>IF(18&lt;=DAY(DATE(YEAR(설정_코스수당!$K$2),MONTH(설정_코스수당!$K$2)+1,0)),DATE(YEAR(설정_코스수당!$K$2),MONTH(설정_코스수당!$K$2),18),"")</f>
        <v>46191</v>
      </c>
      <c r="C1792" s="31"/>
      <c r="D1792" s="29"/>
      <c r="E1792" s="29"/>
      <c r="F1792" s="32"/>
      <c r="G1792" s="29"/>
      <c r="H1792" s="29"/>
      <c r="I1792" s="29"/>
      <c r="J1792" s="33">
        <f>IF($O1792="방문완료",MAX(0,IFERROR(VLOOKUP($E1792,설정_코스수당!$A$6:$H$10,4,FALSE),0)-IF(OR($P1792="",$P1792="없음"),0,100000)),0)</f>
        <v>0</v>
      </c>
      <c r="K1792" s="33">
        <f t="array" ref="K1792">IF($O1792="방문완료",IFERROR(INDEX(설정_코스수당!$B$15:$F$64,MATCH($G1792,설정_코스수당!$A$15:$A$64,0),MATCH($E1792&amp;"수당",설정_코스수당!$B$14:$F$14,0)),0),0)</f>
        <v>0</v>
      </c>
      <c r="L1792" s="33">
        <f t="array" ref="L1792">IF($O1792="방문완료",IF($H1792="",0,IFERROR(INDEX(설정_코스수당!$B$15:$F$64,MATCH($H1792,설정_코스수당!$A$15:$A$64,0),MATCH($E1792&amp;"수당",설정_코스수당!$B$14:$F$14,0)),0)),0)</f>
        <v>0</v>
      </c>
      <c r="M1792" s="33">
        <f>IF($O1792="방문완료",IFERROR(VLOOKUP($E1792,설정_코스수당!$A$6:$H$10,6,FALSE),0),0)</f>
        <v>0</v>
      </c>
      <c r="N1792" s="34">
        <f t="shared" si="51"/>
        <v>0</v>
      </c>
      <c r="O1792" s="29"/>
      <c r="P1792" s="29"/>
      <c r="Q1792" s="29"/>
      <c r="R1792" s="32"/>
      <c r="S1792" s="29"/>
    </row>
    <row r="1793" spans="1:19" ht="19.5" hidden="1" customHeight="1" outlineLevel="1">
      <c r="A1793" s="23">
        <v>29</v>
      </c>
      <c r="B1793" s="24">
        <f>IF(18&lt;=DAY(DATE(YEAR(설정_코스수당!$K$2),MONTH(설정_코스수당!$K$2)+1,0)),DATE(YEAR(설정_코스수당!$K$2),MONTH(설정_코스수당!$K$2),18),"")</f>
        <v>46191</v>
      </c>
      <c r="C1793" s="25"/>
      <c r="D1793" s="23"/>
      <c r="E1793" s="23"/>
      <c r="F1793" s="26"/>
      <c r="G1793" s="23"/>
      <c r="H1793" s="23"/>
      <c r="I1793" s="23"/>
      <c r="J1793" s="27">
        <f>IF($O1793="방문완료",MAX(0,IFERROR(VLOOKUP($E1793,설정_코스수당!$A$6:$H$10,4,FALSE),0)-IF(OR($P1793="",$P1793="없음"),0,100000)),0)</f>
        <v>0</v>
      </c>
      <c r="K1793" s="27">
        <f t="array" ref="K1793">IF($O1793="방문완료",IFERROR(INDEX(설정_코스수당!$B$15:$F$64,MATCH($G1793,설정_코스수당!$A$15:$A$64,0),MATCH($E1793&amp;"수당",설정_코스수당!$B$14:$F$14,0)),0),0)</f>
        <v>0</v>
      </c>
      <c r="L1793" s="27">
        <f t="array" ref="L1793">IF($O1793="방문완료",IF($H1793="",0,IFERROR(INDEX(설정_코스수당!$B$15:$F$64,MATCH($H1793,설정_코스수당!$A$15:$A$64,0),MATCH($E1793&amp;"수당",설정_코스수당!$B$14:$F$14,0)),0)),0)</f>
        <v>0</v>
      </c>
      <c r="M1793" s="27">
        <f>IF($O1793="방문완료",IFERROR(VLOOKUP($E1793,설정_코스수당!$A$6:$H$10,6,FALSE),0),0)</f>
        <v>0</v>
      </c>
      <c r="N1793" s="28">
        <f t="shared" si="51"/>
        <v>0</v>
      </c>
      <c r="O1793" s="23"/>
      <c r="P1793" s="23"/>
      <c r="Q1793" s="23"/>
      <c r="R1793" s="26"/>
      <c r="S1793" s="23"/>
    </row>
    <row r="1794" spans="1:19" ht="19.5" hidden="1" customHeight="1" outlineLevel="1">
      <c r="A1794" s="29">
        <v>30</v>
      </c>
      <c r="B1794" s="30">
        <f>IF(18&lt;=DAY(DATE(YEAR(설정_코스수당!$K$2),MONTH(설정_코스수당!$K$2)+1,0)),DATE(YEAR(설정_코스수당!$K$2),MONTH(설정_코스수당!$K$2),18),"")</f>
        <v>46191</v>
      </c>
      <c r="C1794" s="31"/>
      <c r="D1794" s="29"/>
      <c r="E1794" s="29"/>
      <c r="F1794" s="32"/>
      <c r="G1794" s="29"/>
      <c r="H1794" s="29"/>
      <c r="I1794" s="29"/>
      <c r="J1794" s="33">
        <f>IF($O1794="방문완료",MAX(0,IFERROR(VLOOKUP($E1794,설정_코스수당!$A$6:$H$10,4,FALSE),0)-IF(OR($P1794="",$P1794="없음"),0,100000)),0)</f>
        <v>0</v>
      </c>
      <c r="K1794" s="33">
        <f t="array" ref="K1794">IF($O1794="방문완료",IFERROR(INDEX(설정_코스수당!$B$15:$F$64,MATCH($G1794,설정_코스수당!$A$15:$A$64,0),MATCH($E1794&amp;"수당",설정_코스수당!$B$14:$F$14,0)),0),0)</f>
        <v>0</v>
      </c>
      <c r="L1794" s="33">
        <f t="array" ref="L1794">IF($O1794="방문완료",IF($H1794="",0,IFERROR(INDEX(설정_코스수당!$B$15:$F$64,MATCH($H1794,설정_코스수당!$A$15:$A$64,0),MATCH($E1794&amp;"수당",설정_코스수당!$B$14:$F$14,0)),0)),0)</f>
        <v>0</v>
      </c>
      <c r="M1794" s="33">
        <f>IF($O1794="방문완료",IFERROR(VLOOKUP($E1794,설정_코스수당!$A$6:$H$10,6,FALSE),0),0)</f>
        <v>0</v>
      </c>
      <c r="N1794" s="34">
        <f t="shared" si="51"/>
        <v>0</v>
      </c>
      <c r="O1794" s="29"/>
      <c r="P1794" s="29"/>
      <c r="Q1794" s="29"/>
      <c r="R1794" s="32"/>
      <c r="S1794" s="29"/>
    </row>
    <row r="1795" spans="1:19" ht="19.5" hidden="1" customHeight="1" outlineLevel="1">
      <c r="A1795" s="23">
        <v>31</v>
      </c>
      <c r="B1795" s="24">
        <f>IF(18&lt;=DAY(DATE(YEAR(설정_코스수당!$K$2),MONTH(설정_코스수당!$K$2)+1,0)),DATE(YEAR(설정_코스수당!$K$2),MONTH(설정_코스수당!$K$2),18),"")</f>
        <v>46191</v>
      </c>
      <c r="C1795" s="25"/>
      <c r="D1795" s="23"/>
      <c r="E1795" s="23"/>
      <c r="F1795" s="26"/>
      <c r="G1795" s="23"/>
      <c r="H1795" s="23"/>
      <c r="I1795" s="23"/>
      <c r="J1795" s="27">
        <f>IF($O1795="방문완료",MAX(0,IFERROR(VLOOKUP($E1795,설정_코스수당!$A$6:$H$10,4,FALSE),0)-IF(OR($P1795="",$P1795="없음"),0,100000)),0)</f>
        <v>0</v>
      </c>
      <c r="K1795" s="27">
        <f t="array" ref="K1795">IF($O1795="방문완료",IFERROR(INDEX(설정_코스수당!$B$15:$F$64,MATCH($G1795,설정_코스수당!$A$15:$A$64,0),MATCH($E1795&amp;"수당",설정_코스수당!$B$14:$F$14,0)),0),0)</f>
        <v>0</v>
      </c>
      <c r="L1795" s="27">
        <f t="array" ref="L1795">IF($O1795="방문완료",IF($H1795="",0,IFERROR(INDEX(설정_코스수당!$B$15:$F$64,MATCH($H1795,설정_코스수당!$A$15:$A$64,0),MATCH($E1795&amp;"수당",설정_코스수당!$B$14:$F$14,0)),0)),0)</f>
        <v>0</v>
      </c>
      <c r="M1795" s="27">
        <f>IF($O1795="방문완료",IFERROR(VLOOKUP($E1795,설정_코스수당!$A$6:$H$10,6,FALSE),0),0)</f>
        <v>0</v>
      </c>
      <c r="N1795" s="28">
        <f t="shared" si="51"/>
        <v>0</v>
      </c>
      <c r="O1795" s="23"/>
      <c r="P1795" s="23"/>
      <c r="Q1795" s="23"/>
      <c r="R1795" s="26"/>
      <c r="S1795" s="23"/>
    </row>
    <row r="1796" spans="1:19" ht="19.5" hidden="1" customHeight="1" outlineLevel="1">
      <c r="A1796" s="29">
        <v>32</v>
      </c>
      <c r="B1796" s="30">
        <f>IF(18&lt;=DAY(DATE(YEAR(설정_코스수당!$K$2),MONTH(설정_코스수당!$K$2)+1,0)),DATE(YEAR(설정_코스수당!$K$2),MONTH(설정_코스수당!$K$2),18),"")</f>
        <v>46191</v>
      </c>
      <c r="C1796" s="31"/>
      <c r="D1796" s="29"/>
      <c r="E1796" s="29"/>
      <c r="F1796" s="32"/>
      <c r="G1796" s="29"/>
      <c r="H1796" s="29"/>
      <c r="I1796" s="29"/>
      <c r="J1796" s="33">
        <f>IF($O1796="방문완료",MAX(0,IFERROR(VLOOKUP($E1796,설정_코스수당!$A$6:$H$10,4,FALSE),0)-IF(OR($P1796="",$P1796="없음"),0,100000)),0)</f>
        <v>0</v>
      </c>
      <c r="K1796" s="33">
        <f t="array" ref="K1796">IF($O1796="방문완료",IFERROR(INDEX(설정_코스수당!$B$15:$F$64,MATCH($G1796,설정_코스수당!$A$15:$A$64,0),MATCH($E1796&amp;"수당",설정_코스수당!$B$14:$F$14,0)),0),0)</f>
        <v>0</v>
      </c>
      <c r="L1796" s="33">
        <f t="array" ref="L1796">IF($O1796="방문완료",IF($H1796="",0,IFERROR(INDEX(설정_코스수당!$B$15:$F$64,MATCH($H1796,설정_코스수당!$A$15:$A$64,0),MATCH($E1796&amp;"수당",설정_코스수당!$B$14:$F$14,0)),0)),0)</f>
        <v>0</v>
      </c>
      <c r="M1796" s="33">
        <f>IF($O1796="방문완료",IFERROR(VLOOKUP($E1796,설정_코스수당!$A$6:$H$10,6,FALSE),0),0)</f>
        <v>0</v>
      </c>
      <c r="N1796" s="34">
        <f t="shared" si="51"/>
        <v>0</v>
      </c>
      <c r="O1796" s="29"/>
      <c r="P1796" s="29"/>
      <c r="Q1796" s="29"/>
      <c r="R1796" s="32"/>
      <c r="S1796" s="29"/>
    </row>
    <row r="1797" spans="1:19" ht="19.5" hidden="1" customHeight="1" outlineLevel="1">
      <c r="A1797" s="23">
        <v>33</v>
      </c>
      <c r="B1797" s="24">
        <f>IF(18&lt;=DAY(DATE(YEAR(설정_코스수당!$K$2),MONTH(설정_코스수당!$K$2)+1,0)),DATE(YEAR(설정_코스수당!$K$2),MONTH(설정_코스수당!$K$2),18),"")</f>
        <v>46191</v>
      </c>
      <c r="C1797" s="25"/>
      <c r="D1797" s="23"/>
      <c r="E1797" s="23"/>
      <c r="F1797" s="26"/>
      <c r="G1797" s="23"/>
      <c r="H1797" s="23"/>
      <c r="I1797" s="23"/>
      <c r="J1797" s="27">
        <f>IF($O1797="방문완료",MAX(0,IFERROR(VLOOKUP($E1797,설정_코스수당!$A$6:$H$10,4,FALSE),0)-IF(OR($P1797="",$P1797="없음"),0,100000)),0)</f>
        <v>0</v>
      </c>
      <c r="K1797" s="27">
        <f t="array" ref="K1797">IF($O1797="방문완료",IFERROR(INDEX(설정_코스수당!$B$15:$F$64,MATCH($G1797,설정_코스수당!$A$15:$A$64,0),MATCH($E1797&amp;"수당",설정_코스수당!$B$14:$F$14,0)),0),0)</f>
        <v>0</v>
      </c>
      <c r="L1797" s="27">
        <f t="array" ref="L1797">IF($O1797="방문완료",IF($H1797="",0,IFERROR(INDEX(설정_코스수당!$B$15:$F$64,MATCH($H1797,설정_코스수당!$A$15:$A$64,0),MATCH($E1797&amp;"수당",설정_코스수당!$B$14:$F$14,0)),0)),0)</f>
        <v>0</v>
      </c>
      <c r="M1797" s="27">
        <f>IF($O1797="방문완료",IFERROR(VLOOKUP($E1797,설정_코스수당!$A$6:$H$10,6,FALSE),0),0)</f>
        <v>0</v>
      </c>
      <c r="N1797" s="28">
        <f t="shared" ref="N1797:N1828" si="52">IF($O1797="방문완료",1,0)</f>
        <v>0</v>
      </c>
      <c r="O1797" s="23"/>
      <c r="P1797" s="23"/>
      <c r="Q1797" s="23"/>
      <c r="R1797" s="26"/>
      <c r="S1797" s="23"/>
    </row>
    <row r="1798" spans="1:19" ht="19.5" hidden="1" customHeight="1" outlineLevel="1">
      <c r="A1798" s="29">
        <v>34</v>
      </c>
      <c r="B1798" s="30">
        <f>IF(18&lt;=DAY(DATE(YEAR(설정_코스수당!$K$2),MONTH(설정_코스수당!$K$2)+1,0)),DATE(YEAR(설정_코스수당!$K$2),MONTH(설정_코스수당!$K$2),18),"")</f>
        <v>46191</v>
      </c>
      <c r="C1798" s="31"/>
      <c r="D1798" s="29"/>
      <c r="E1798" s="29"/>
      <c r="F1798" s="32"/>
      <c r="G1798" s="29"/>
      <c r="H1798" s="29"/>
      <c r="I1798" s="29"/>
      <c r="J1798" s="33">
        <f>IF($O1798="방문완료",MAX(0,IFERROR(VLOOKUP($E1798,설정_코스수당!$A$6:$H$10,4,FALSE),0)-IF(OR($P1798="",$P1798="없음"),0,100000)),0)</f>
        <v>0</v>
      </c>
      <c r="K1798" s="33">
        <f t="array" ref="K1798">IF($O1798="방문완료",IFERROR(INDEX(설정_코스수당!$B$15:$F$64,MATCH($G1798,설정_코스수당!$A$15:$A$64,0),MATCH($E1798&amp;"수당",설정_코스수당!$B$14:$F$14,0)),0),0)</f>
        <v>0</v>
      </c>
      <c r="L1798" s="33">
        <f t="array" ref="L1798">IF($O1798="방문완료",IF($H1798="",0,IFERROR(INDEX(설정_코스수당!$B$15:$F$64,MATCH($H1798,설정_코스수당!$A$15:$A$64,0),MATCH($E1798&amp;"수당",설정_코스수당!$B$14:$F$14,0)),0)),0)</f>
        <v>0</v>
      </c>
      <c r="M1798" s="33">
        <f>IF($O1798="방문완료",IFERROR(VLOOKUP($E1798,설정_코스수당!$A$6:$H$10,6,FALSE),0),0)</f>
        <v>0</v>
      </c>
      <c r="N1798" s="34">
        <f t="shared" si="52"/>
        <v>0</v>
      </c>
      <c r="O1798" s="29"/>
      <c r="P1798" s="29"/>
      <c r="Q1798" s="29"/>
      <c r="R1798" s="32"/>
      <c r="S1798" s="29"/>
    </row>
    <row r="1799" spans="1:19" ht="19.5" hidden="1" customHeight="1" outlineLevel="1">
      <c r="A1799" s="23">
        <v>35</v>
      </c>
      <c r="B1799" s="24">
        <f>IF(18&lt;=DAY(DATE(YEAR(설정_코스수당!$K$2),MONTH(설정_코스수당!$K$2)+1,0)),DATE(YEAR(설정_코스수당!$K$2),MONTH(설정_코스수당!$K$2),18),"")</f>
        <v>46191</v>
      </c>
      <c r="C1799" s="25"/>
      <c r="D1799" s="23"/>
      <c r="E1799" s="23"/>
      <c r="F1799" s="26"/>
      <c r="G1799" s="23"/>
      <c r="H1799" s="23"/>
      <c r="I1799" s="23"/>
      <c r="J1799" s="27">
        <f>IF($O1799="방문완료",MAX(0,IFERROR(VLOOKUP($E1799,설정_코스수당!$A$6:$H$10,4,FALSE),0)-IF(OR($P1799="",$P1799="없음"),0,100000)),0)</f>
        <v>0</v>
      </c>
      <c r="K1799" s="27">
        <f t="array" ref="K1799">IF($O1799="방문완료",IFERROR(INDEX(설정_코스수당!$B$15:$F$64,MATCH($G1799,설정_코스수당!$A$15:$A$64,0),MATCH($E1799&amp;"수당",설정_코스수당!$B$14:$F$14,0)),0),0)</f>
        <v>0</v>
      </c>
      <c r="L1799" s="27">
        <f t="array" ref="L1799">IF($O1799="방문완료",IF($H1799="",0,IFERROR(INDEX(설정_코스수당!$B$15:$F$64,MATCH($H1799,설정_코스수당!$A$15:$A$64,0),MATCH($E1799&amp;"수당",설정_코스수당!$B$14:$F$14,0)),0)),0)</f>
        <v>0</v>
      </c>
      <c r="M1799" s="27">
        <f>IF($O1799="방문완료",IFERROR(VLOOKUP($E1799,설정_코스수당!$A$6:$H$10,6,FALSE),0),0)</f>
        <v>0</v>
      </c>
      <c r="N1799" s="28">
        <f t="shared" si="52"/>
        <v>0</v>
      </c>
      <c r="O1799" s="23"/>
      <c r="P1799" s="23"/>
      <c r="Q1799" s="23"/>
      <c r="R1799" s="26"/>
      <c r="S1799" s="23"/>
    </row>
    <row r="1800" spans="1:19" ht="19.5" hidden="1" customHeight="1" outlineLevel="1">
      <c r="A1800" s="29">
        <v>36</v>
      </c>
      <c r="B1800" s="30">
        <f>IF(18&lt;=DAY(DATE(YEAR(설정_코스수당!$K$2),MONTH(설정_코스수당!$K$2)+1,0)),DATE(YEAR(설정_코스수당!$K$2),MONTH(설정_코스수당!$K$2),18),"")</f>
        <v>46191</v>
      </c>
      <c r="C1800" s="31"/>
      <c r="D1800" s="29"/>
      <c r="E1800" s="29"/>
      <c r="F1800" s="32"/>
      <c r="G1800" s="29"/>
      <c r="H1800" s="29"/>
      <c r="I1800" s="29"/>
      <c r="J1800" s="33">
        <f>IF($O1800="방문완료",MAX(0,IFERROR(VLOOKUP($E1800,설정_코스수당!$A$6:$H$10,4,FALSE),0)-IF(OR($P1800="",$P1800="없음"),0,100000)),0)</f>
        <v>0</v>
      </c>
      <c r="K1800" s="33">
        <f t="array" ref="K1800">IF($O1800="방문완료",IFERROR(INDEX(설정_코스수당!$B$15:$F$64,MATCH($G1800,설정_코스수당!$A$15:$A$64,0),MATCH($E1800&amp;"수당",설정_코스수당!$B$14:$F$14,0)),0),0)</f>
        <v>0</v>
      </c>
      <c r="L1800" s="33">
        <f t="array" ref="L1800">IF($O1800="방문완료",IF($H1800="",0,IFERROR(INDEX(설정_코스수당!$B$15:$F$64,MATCH($H1800,설정_코스수당!$A$15:$A$64,0),MATCH($E1800&amp;"수당",설정_코스수당!$B$14:$F$14,0)),0)),0)</f>
        <v>0</v>
      </c>
      <c r="M1800" s="33">
        <f>IF($O1800="방문완료",IFERROR(VLOOKUP($E1800,설정_코스수당!$A$6:$H$10,6,FALSE),0),0)</f>
        <v>0</v>
      </c>
      <c r="N1800" s="34">
        <f t="shared" si="52"/>
        <v>0</v>
      </c>
      <c r="O1800" s="29"/>
      <c r="P1800" s="29"/>
      <c r="Q1800" s="29"/>
      <c r="R1800" s="32"/>
      <c r="S1800" s="29"/>
    </row>
    <row r="1801" spans="1:19" ht="19.5" hidden="1" customHeight="1" outlineLevel="1">
      <c r="A1801" s="23">
        <v>37</v>
      </c>
      <c r="B1801" s="24">
        <f>IF(18&lt;=DAY(DATE(YEAR(설정_코스수당!$K$2),MONTH(설정_코스수당!$K$2)+1,0)),DATE(YEAR(설정_코스수당!$K$2),MONTH(설정_코스수당!$K$2),18),"")</f>
        <v>46191</v>
      </c>
      <c r="C1801" s="25"/>
      <c r="D1801" s="23"/>
      <c r="E1801" s="23"/>
      <c r="F1801" s="26"/>
      <c r="G1801" s="23"/>
      <c r="H1801" s="23"/>
      <c r="I1801" s="23"/>
      <c r="J1801" s="27">
        <f>IF($O1801="방문완료",MAX(0,IFERROR(VLOOKUP($E1801,설정_코스수당!$A$6:$H$10,4,FALSE),0)-IF(OR($P1801="",$P1801="없음"),0,100000)),0)</f>
        <v>0</v>
      </c>
      <c r="K1801" s="27">
        <f t="array" ref="K1801">IF($O1801="방문완료",IFERROR(INDEX(설정_코스수당!$B$15:$F$64,MATCH($G1801,설정_코스수당!$A$15:$A$64,0),MATCH($E1801&amp;"수당",설정_코스수당!$B$14:$F$14,0)),0),0)</f>
        <v>0</v>
      </c>
      <c r="L1801" s="27">
        <f t="array" ref="L1801">IF($O1801="방문완료",IF($H1801="",0,IFERROR(INDEX(설정_코스수당!$B$15:$F$64,MATCH($H1801,설정_코스수당!$A$15:$A$64,0),MATCH($E1801&amp;"수당",설정_코스수당!$B$14:$F$14,0)),0)),0)</f>
        <v>0</v>
      </c>
      <c r="M1801" s="27">
        <f>IF($O1801="방문완료",IFERROR(VLOOKUP($E1801,설정_코스수당!$A$6:$H$10,6,FALSE),0),0)</f>
        <v>0</v>
      </c>
      <c r="N1801" s="28">
        <f t="shared" si="52"/>
        <v>0</v>
      </c>
      <c r="O1801" s="23"/>
      <c r="P1801" s="23"/>
      <c r="Q1801" s="23"/>
      <c r="R1801" s="26"/>
      <c r="S1801" s="23"/>
    </row>
    <row r="1802" spans="1:19" ht="19.5" hidden="1" customHeight="1" outlineLevel="1">
      <c r="A1802" s="29">
        <v>38</v>
      </c>
      <c r="B1802" s="30">
        <f>IF(18&lt;=DAY(DATE(YEAR(설정_코스수당!$K$2),MONTH(설정_코스수당!$K$2)+1,0)),DATE(YEAR(설정_코스수당!$K$2),MONTH(설정_코스수당!$K$2),18),"")</f>
        <v>46191</v>
      </c>
      <c r="C1802" s="31"/>
      <c r="D1802" s="29"/>
      <c r="E1802" s="29"/>
      <c r="F1802" s="32"/>
      <c r="G1802" s="29"/>
      <c r="H1802" s="29"/>
      <c r="I1802" s="29"/>
      <c r="J1802" s="33">
        <f>IF($O1802="방문완료",MAX(0,IFERROR(VLOOKUP($E1802,설정_코스수당!$A$6:$H$10,4,FALSE),0)-IF(OR($P1802="",$P1802="없음"),0,100000)),0)</f>
        <v>0</v>
      </c>
      <c r="K1802" s="33">
        <f t="array" ref="K1802">IF($O1802="방문완료",IFERROR(INDEX(설정_코스수당!$B$15:$F$64,MATCH($G1802,설정_코스수당!$A$15:$A$64,0),MATCH($E1802&amp;"수당",설정_코스수당!$B$14:$F$14,0)),0),0)</f>
        <v>0</v>
      </c>
      <c r="L1802" s="33">
        <f t="array" ref="L1802">IF($O1802="방문완료",IF($H1802="",0,IFERROR(INDEX(설정_코스수당!$B$15:$F$64,MATCH($H1802,설정_코스수당!$A$15:$A$64,0),MATCH($E1802&amp;"수당",설정_코스수당!$B$14:$F$14,0)),0)),0)</f>
        <v>0</v>
      </c>
      <c r="M1802" s="33">
        <f>IF($O1802="방문완료",IFERROR(VLOOKUP($E1802,설정_코스수당!$A$6:$H$10,6,FALSE),0),0)</f>
        <v>0</v>
      </c>
      <c r="N1802" s="34">
        <f t="shared" si="52"/>
        <v>0</v>
      </c>
      <c r="O1802" s="29"/>
      <c r="P1802" s="29"/>
      <c r="Q1802" s="29"/>
      <c r="R1802" s="32"/>
      <c r="S1802" s="29"/>
    </row>
    <row r="1803" spans="1:19" ht="19.5" hidden="1" customHeight="1" outlineLevel="1">
      <c r="A1803" s="23">
        <v>39</v>
      </c>
      <c r="B1803" s="24">
        <f>IF(18&lt;=DAY(DATE(YEAR(설정_코스수당!$K$2),MONTH(설정_코스수당!$K$2)+1,0)),DATE(YEAR(설정_코스수당!$K$2),MONTH(설정_코스수당!$K$2),18),"")</f>
        <v>46191</v>
      </c>
      <c r="C1803" s="25"/>
      <c r="D1803" s="23"/>
      <c r="E1803" s="23"/>
      <c r="F1803" s="26"/>
      <c r="G1803" s="23"/>
      <c r="H1803" s="23"/>
      <c r="I1803" s="23"/>
      <c r="J1803" s="27">
        <f>IF($O1803="방문완료",MAX(0,IFERROR(VLOOKUP($E1803,설정_코스수당!$A$6:$H$10,4,FALSE),0)-IF(OR($P1803="",$P1803="없음"),0,100000)),0)</f>
        <v>0</v>
      </c>
      <c r="K1803" s="27">
        <f t="array" ref="K1803">IF($O1803="방문완료",IFERROR(INDEX(설정_코스수당!$B$15:$F$64,MATCH($G1803,설정_코스수당!$A$15:$A$64,0),MATCH($E1803&amp;"수당",설정_코스수당!$B$14:$F$14,0)),0),0)</f>
        <v>0</v>
      </c>
      <c r="L1803" s="27">
        <f t="array" ref="L1803">IF($O1803="방문완료",IF($H1803="",0,IFERROR(INDEX(설정_코스수당!$B$15:$F$64,MATCH($H1803,설정_코스수당!$A$15:$A$64,0),MATCH($E1803&amp;"수당",설정_코스수당!$B$14:$F$14,0)),0)),0)</f>
        <v>0</v>
      </c>
      <c r="M1803" s="27">
        <f>IF($O1803="방문완료",IFERROR(VLOOKUP($E1803,설정_코스수당!$A$6:$H$10,6,FALSE),0),0)</f>
        <v>0</v>
      </c>
      <c r="N1803" s="28">
        <f t="shared" si="52"/>
        <v>0</v>
      </c>
      <c r="O1803" s="23"/>
      <c r="P1803" s="23"/>
      <c r="Q1803" s="23"/>
      <c r="R1803" s="26"/>
      <c r="S1803" s="23"/>
    </row>
    <row r="1804" spans="1:19" ht="19.5" hidden="1" customHeight="1" outlineLevel="1">
      <c r="A1804" s="29">
        <v>40</v>
      </c>
      <c r="B1804" s="30">
        <f>IF(18&lt;=DAY(DATE(YEAR(설정_코스수당!$K$2),MONTH(설정_코스수당!$K$2)+1,0)),DATE(YEAR(설정_코스수당!$K$2),MONTH(설정_코스수당!$K$2),18),"")</f>
        <v>46191</v>
      </c>
      <c r="C1804" s="31"/>
      <c r="D1804" s="29"/>
      <c r="E1804" s="29"/>
      <c r="F1804" s="32"/>
      <c r="G1804" s="29"/>
      <c r="H1804" s="29"/>
      <c r="I1804" s="29"/>
      <c r="J1804" s="33">
        <f>IF($O1804="방문완료",MAX(0,IFERROR(VLOOKUP($E1804,설정_코스수당!$A$6:$H$10,4,FALSE),0)-IF(OR($P1804="",$P1804="없음"),0,100000)),0)</f>
        <v>0</v>
      </c>
      <c r="K1804" s="33">
        <f t="array" ref="K1804">IF($O1804="방문완료",IFERROR(INDEX(설정_코스수당!$B$15:$F$64,MATCH($G1804,설정_코스수당!$A$15:$A$64,0),MATCH($E1804&amp;"수당",설정_코스수당!$B$14:$F$14,0)),0),0)</f>
        <v>0</v>
      </c>
      <c r="L1804" s="33">
        <f t="array" ref="L1804">IF($O1804="방문완료",IF($H1804="",0,IFERROR(INDEX(설정_코스수당!$B$15:$F$64,MATCH($H1804,설정_코스수당!$A$15:$A$64,0),MATCH($E1804&amp;"수당",설정_코스수당!$B$14:$F$14,0)),0)),0)</f>
        <v>0</v>
      </c>
      <c r="M1804" s="33">
        <f>IF($O1804="방문완료",IFERROR(VLOOKUP($E1804,설정_코스수당!$A$6:$H$10,6,FALSE),0),0)</f>
        <v>0</v>
      </c>
      <c r="N1804" s="34">
        <f t="shared" si="52"/>
        <v>0</v>
      </c>
      <c r="O1804" s="29"/>
      <c r="P1804" s="29"/>
      <c r="Q1804" s="29"/>
      <c r="R1804" s="32"/>
      <c r="S1804" s="29"/>
    </row>
    <row r="1805" spans="1:19" ht="19.5" hidden="1" customHeight="1" outlineLevel="1">
      <c r="A1805" s="23">
        <v>41</v>
      </c>
      <c r="B1805" s="24">
        <f>IF(18&lt;=DAY(DATE(YEAR(설정_코스수당!$K$2),MONTH(설정_코스수당!$K$2)+1,0)),DATE(YEAR(설정_코스수당!$K$2),MONTH(설정_코스수당!$K$2),18),"")</f>
        <v>46191</v>
      </c>
      <c r="C1805" s="25"/>
      <c r="D1805" s="23"/>
      <c r="E1805" s="23"/>
      <c r="F1805" s="26"/>
      <c r="G1805" s="23"/>
      <c r="H1805" s="23"/>
      <c r="I1805" s="23"/>
      <c r="J1805" s="27">
        <f>IF($O1805="방문완료",MAX(0,IFERROR(VLOOKUP($E1805,설정_코스수당!$A$6:$H$10,4,FALSE),0)-IF(OR($P1805="",$P1805="없음"),0,100000)),0)</f>
        <v>0</v>
      </c>
      <c r="K1805" s="27">
        <f t="array" ref="K1805">IF($O1805="방문완료",IFERROR(INDEX(설정_코스수당!$B$15:$F$64,MATCH($G1805,설정_코스수당!$A$15:$A$64,0),MATCH($E1805&amp;"수당",설정_코스수당!$B$14:$F$14,0)),0),0)</f>
        <v>0</v>
      </c>
      <c r="L1805" s="27">
        <f t="array" ref="L1805">IF($O1805="방문완료",IF($H1805="",0,IFERROR(INDEX(설정_코스수당!$B$15:$F$64,MATCH($H1805,설정_코스수당!$A$15:$A$64,0),MATCH($E1805&amp;"수당",설정_코스수당!$B$14:$F$14,0)),0)),0)</f>
        <v>0</v>
      </c>
      <c r="M1805" s="27">
        <f>IF($O1805="방문완료",IFERROR(VLOOKUP($E1805,설정_코스수당!$A$6:$H$10,6,FALSE),0),0)</f>
        <v>0</v>
      </c>
      <c r="N1805" s="28">
        <f t="shared" si="52"/>
        <v>0</v>
      </c>
      <c r="O1805" s="23"/>
      <c r="P1805" s="23"/>
      <c r="Q1805" s="23"/>
      <c r="R1805" s="26"/>
      <c r="S1805" s="23"/>
    </row>
    <row r="1806" spans="1:19" ht="19.5" hidden="1" customHeight="1" outlineLevel="1">
      <c r="A1806" s="29">
        <v>42</v>
      </c>
      <c r="B1806" s="30">
        <f>IF(18&lt;=DAY(DATE(YEAR(설정_코스수당!$K$2),MONTH(설정_코스수당!$K$2)+1,0)),DATE(YEAR(설정_코스수당!$K$2),MONTH(설정_코스수당!$K$2),18),"")</f>
        <v>46191</v>
      </c>
      <c r="C1806" s="31"/>
      <c r="D1806" s="29"/>
      <c r="E1806" s="29"/>
      <c r="F1806" s="32"/>
      <c r="G1806" s="29"/>
      <c r="H1806" s="29"/>
      <c r="I1806" s="29"/>
      <c r="J1806" s="33">
        <f>IF($O1806="방문완료",MAX(0,IFERROR(VLOOKUP($E1806,설정_코스수당!$A$6:$H$10,4,FALSE),0)-IF(OR($P1806="",$P1806="없음"),0,100000)),0)</f>
        <v>0</v>
      </c>
      <c r="K1806" s="33">
        <f t="array" ref="K1806">IF($O1806="방문완료",IFERROR(INDEX(설정_코스수당!$B$15:$F$64,MATCH($G1806,설정_코스수당!$A$15:$A$64,0),MATCH($E1806&amp;"수당",설정_코스수당!$B$14:$F$14,0)),0),0)</f>
        <v>0</v>
      </c>
      <c r="L1806" s="33">
        <f t="array" ref="L1806">IF($O1806="방문완료",IF($H1806="",0,IFERROR(INDEX(설정_코스수당!$B$15:$F$64,MATCH($H1806,설정_코스수당!$A$15:$A$64,0),MATCH($E1806&amp;"수당",설정_코스수당!$B$14:$F$14,0)),0)),0)</f>
        <v>0</v>
      </c>
      <c r="M1806" s="33">
        <f>IF($O1806="방문완료",IFERROR(VLOOKUP($E1806,설정_코스수당!$A$6:$H$10,6,FALSE),0),0)</f>
        <v>0</v>
      </c>
      <c r="N1806" s="34">
        <f t="shared" si="52"/>
        <v>0</v>
      </c>
      <c r="O1806" s="29"/>
      <c r="P1806" s="29"/>
      <c r="Q1806" s="29"/>
      <c r="R1806" s="32"/>
      <c r="S1806" s="29"/>
    </row>
    <row r="1807" spans="1:19" ht="19.5" hidden="1" customHeight="1" outlineLevel="1">
      <c r="A1807" s="23">
        <v>43</v>
      </c>
      <c r="B1807" s="24">
        <f>IF(18&lt;=DAY(DATE(YEAR(설정_코스수당!$K$2),MONTH(설정_코스수당!$K$2)+1,0)),DATE(YEAR(설정_코스수당!$K$2),MONTH(설정_코스수당!$K$2),18),"")</f>
        <v>46191</v>
      </c>
      <c r="C1807" s="25"/>
      <c r="D1807" s="23"/>
      <c r="E1807" s="23"/>
      <c r="F1807" s="26"/>
      <c r="G1807" s="23"/>
      <c r="H1807" s="23"/>
      <c r="I1807" s="23"/>
      <c r="J1807" s="27">
        <f>IF($O1807="방문완료",MAX(0,IFERROR(VLOOKUP($E1807,설정_코스수당!$A$6:$H$10,4,FALSE),0)-IF(OR($P1807="",$P1807="없음"),0,100000)),0)</f>
        <v>0</v>
      </c>
      <c r="K1807" s="27">
        <f t="array" ref="K1807">IF($O1807="방문완료",IFERROR(INDEX(설정_코스수당!$B$15:$F$64,MATCH($G1807,설정_코스수당!$A$15:$A$64,0),MATCH($E1807&amp;"수당",설정_코스수당!$B$14:$F$14,0)),0),0)</f>
        <v>0</v>
      </c>
      <c r="L1807" s="27">
        <f t="array" ref="L1807">IF($O1807="방문완료",IF($H1807="",0,IFERROR(INDEX(설정_코스수당!$B$15:$F$64,MATCH($H1807,설정_코스수당!$A$15:$A$64,0),MATCH($E1807&amp;"수당",설정_코스수당!$B$14:$F$14,0)),0)),0)</f>
        <v>0</v>
      </c>
      <c r="M1807" s="27">
        <f>IF($O1807="방문완료",IFERROR(VLOOKUP($E1807,설정_코스수당!$A$6:$H$10,6,FALSE),0),0)</f>
        <v>0</v>
      </c>
      <c r="N1807" s="28">
        <f t="shared" si="52"/>
        <v>0</v>
      </c>
      <c r="O1807" s="23"/>
      <c r="P1807" s="23"/>
      <c r="Q1807" s="23"/>
      <c r="R1807" s="26"/>
      <c r="S1807" s="23"/>
    </row>
    <row r="1808" spans="1:19" ht="19.5" hidden="1" customHeight="1" outlineLevel="1">
      <c r="A1808" s="29">
        <v>44</v>
      </c>
      <c r="B1808" s="30">
        <f>IF(18&lt;=DAY(DATE(YEAR(설정_코스수당!$K$2),MONTH(설정_코스수당!$K$2)+1,0)),DATE(YEAR(설정_코스수당!$K$2),MONTH(설정_코스수당!$K$2),18),"")</f>
        <v>46191</v>
      </c>
      <c r="C1808" s="31"/>
      <c r="D1808" s="29"/>
      <c r="E1808" s="29"/>
      <c r="F1808" s="32"/>
      <c r="G1808" s="29"/>
      <c r="H1808" s="29"/>
      <c r="I1808" s="29"/>
      <c r="J1808" s="33">
        <f>IF($O1808="방문완료",MAX(0,IFERROR(VLOOKUP($E1808,설정_코스수당!$A$6:$H$10,4,FALSE),0)-IF(OR($P1808="",$P1808="없음"),0,100000)),0)</f>
        <v>0</v>
      </c>
      <c r="K1808" s="33">
        <f t="array" ref="K1808">IF($O1808="방문완료",IFERROR(INDEX(설정_코스수당!$B$15:$F$64,MATCH($G1808,설정_코스수당!$A$15:$A$64,0),MATCH($E1808&amp;"수당",설정_코스수당!$B$14:$F$14,0)),0),0)</f>
        <v>0</v>
      </c>
      <c r="L1808" s="33">
        <f t="array" ref="L1808">IF($O1808="방문완료",IF($H1808="",0,IFERROR(INDEX(설정_코스수당!$B$15:$F$64,MATCH($H1808,설정_코스수당!$A$15:$A$64,0),MATCH($E1808&amp;"수당",설정_코스수당!$B$14:$F$14,0)),0)),0)</f>
        <v>0</v>
      </c>
      <c r="M1808" s="33">
        <f>IF($O1808="방문완료",IFERROR(VLOOKUP($E1808,설정_코스수당!$A$6:$H$10,6,FALSE),0),0)</f>
        <v>0</v>
      </c>
      <c r="N1808" s="34">
        <f t="shared" si="52"/>
        <v>0</v>
      </c>
      <c r="O1808" s="29"/>
      <c r="P1808" s="29"/>
      <c r="Q1808" s="29"/>
      <c r="R1808" s="32"/>
      <c r="S1808" s="29"/>
    </row>
    <row r="1809" spans="1:22" ht="19.5" hidden="1" customHeight="1" outlineLevel="1">
      <c r="A1809" s="23">
        <v>45</v>
      </c>
      <c r="B1809" s="24">
        <f>IF(18&lt;=DAY(DATE(YEAR(설정_코스수당!$K$2),MONTH(설정_코스수당!$K$2)+1,0)),DATE(YEAR(설정_코스수당!$K$2),MONTH(설정_코스수당!$K$2),18),"")</f>
        <v>46191</v>
      </c>
      <c r="C1809" s="25"/>
      <c r="D1809" s="23"/>
      <c r="E1809" s="23"/>
      <c r="F1809" s="26"/>
      <c r="G1809" s="23"/>
      <c r="H1809" s="23"/>
      <c r="I1809" s="23"/>
      <c r="J1809" s="27">
        <f>IF($O1809="방문완료",MAX(0,IFERROR(VLOOKUP($E1809,설정_코스수당!$A$6:$H$10,4,FALSE),0)-IF(OR($P1809="",$P1809="없음"),0,100000)),0)</f>
        <v>0</v>
      </c>
      <c r="K1809" s="27">
        <f t="array" ref="K1809">IF($O1809="방문완료",IFERROR(INDEX(설정_코스수당!$B$15:$F$64,MATCH($G1809,설정_코스수당!$A$15:$A$64,0),MATCH($E1809&amp;"수당",설정_코스수당!$B$14:$F$14,0)),0),0)</f>
        <v>0</v>
      </c>
      <c r="L1809" s="27">
        <f t="array" ref="L1809">IF($O1809="방문완료",IF($H1809="",0,IFERROR(INDEX(설정_코스수당!$B$15:$F$64,MATCH($H1809,설정_코스수당!$A$15:$A$64,0),MATCH($E1809&amp;"수당",설정_코스수당!$B$14:$F$14,0)),0)),0)</f>
        <v>0</v>
      </c>
      <c r="M1809" s="27">
        <f>IF($O1809="방문완료",IFERROR(VLOOKUP($E1809,설정_코스수당!$A$6:$H$10,6,FALSE),0),0)</f>
        <v>0</v>
      </c>
      <c r="N1809" s="28">
        <f t="shared" si="52"/>
        <v>0</v>
      </c>
      <c r="O1809" s="23"/>
      <c r="P1809" s="23"/>
      <c r="Q1809" s="23"/>
      <c r="R1809" s="26"/>
      <c r="S1809" s="23"/>
    </row>
    <row r="1810" spans="1:22" ht="19.5" hidden="1" customHeight="1" outlineLevel="1">
      <c r="A1810" s="29">
        <v>46</v>
      </c>
      <c r="B1810" s="30">
        <f>IF(18&lt;=DAY(DATE(YEAR(설정_코스수당!$K$2),MONTH(설정_코스수당!$K$2)+1,0)),DATE(YEAR(설정_코스수당!$K$2),MONTH(설정_코스수당!$K$2),18),"")</f>
        <v>46191</v>
      </c>
      <c r="C1810" s="31"/>
      <c r="D1810" s="29"/>
      <c r="E1810" s="29"/>
      <c r="F1810" s="32"/>
      <c r="G1810" s="29"/>
      <c r="H1810" s="29"/>
      <c r="I1810" s="29"/>
      <c r="J1810" s="33">
        <f>IF($O1810="방문완료",MAX(0,IFERROR(VLOOKUP($E1810,설정_코스수당!$A$6:$H$10,4,FALSE),0)-IF(OR($P1810="",$P1810="없음"),0,100000)),0)</f>
        <v>0</v>
      </c>
      <c r="K1810" s="33">
        <f t="array" ref="K1810">IF($O1810="방문완료",IFERROR(INDEX(설정_코스수당!$B$15:$F$64,MATCH($G1810,설정_코스수당!$A$15:$A$64,0),MATCH($E1810&amp;"수당",설정_코스수당!$B$14:$F$14,0)),0),0)</f>
        <v>0</v>
      </c>
      <c r="L1810" s="33">
        <f t="array" ref="L1810">IF($O1810="방문완료",IF($H1810="",0,IFERROR(INDEX(설정_코스수당!$B$15:$F$64,MATCH($H1810,설정_코스수당!$A$15:$A$64,0),MATCH($E1810&amp;"수당",설정_코스수당!$B$14:$F$14,0)),0)),0)</f>
        <v>0</v>
      </c>
      <c r="M1810" s="33">
        <f>IF($O1810="방문완료",IFERROR(VLOOKUP($E1810,설정_코스수당!$A$6:$H$10,6,FALSE),0),0)</f>
        <v>0</v>
      </c>
      <c r="N1810" s="34">
        <f t="shared" si="52"/>
        <v>0</v>
      </c>
      <c r="O1810" s="29"/>
      <c r="P1810" s="29"/>
      <c r="Q1810" s="29"/>
      <c r="R1810" s="32"/>
      <c r="S1810" s="29"/>
    </row>
    <row r="1811" spans="1:22" ht="19.5" hidden="1" customHeight="1" outlineLevel="1">
      <c r="A1811" s="23">
        <v>47</v>
      </c>
      <c r="B1811" s="24">
        <f>IF(18&lt;=DAY(DATE(YEAR(설정_코스수당!$K$2),MONTH(설정_코스수당!$K$2)+1,0)),DATE(YEAR(설정_코스수당!$K$2),MONTH(설정_코스수당!$K$2),18),"")</f>
        <v>46191</v>
      </c>
      <c r="C1811" s="25"/>
      <c r="D1811" s="23"/>
      <c r="E1811" s="23"/>
      <c r="F1811" s="26"/>
      <c r="G1811" s="23"/>
      <c r="H1811" s="23"/>
      <c r="I1811" s="23"/>
      <c r="J1811" s="27">
        <f>IF($O1811="방문완료",MAX(0,IFERROR(VLOOKUP($E1811,설정_코스수당!$A$6:$H$10,4,FALSE),0)-IF(OR($P1811="",$P1811="없음"),0,100000)),0)</f>
        <v>0</v>
      </c>
      <c r="K1811" s="27">
        <f t="array" ref="K1811">IF($O1811="방문완료",IFERROR(INDEX(설정_코스수당!$B$15:$F$64,MATCH($G1811,설정_코스수당!$A$15:$A$64,0),MATCH($E1811&amp;"수당",설정_코스수당!$B$14:$F$14,0)),0),0)</f>
        <v>0</v>
      </c>
      <c r="L1811" s="27">
        <f t="array" ref="L1811">IF($O1811="방문완료",IF($H1811="",0,IFERROR(INDEX(설정_코스수당!$B$15:$F$64,MATCH($H1811,설정_코스수당!$A$15:$A$64,0),MATCH($E1811&amp;"수당",설정_코스수당!$B$14:$F$14,0)),0)),0)</f>
        <v>0</v>
      </c>
      <c r="M1811" s="27">
        <f>IF($O1811="방문완료",IFERROR(VLOOKUP($E1811,설정_코스수당!$A$6:$H$10,6,FALSE),0),0)</f>
        <v>0</v>
      </c>
      <c r="N1811" s="28">
        <f t="shared" si="52"/>
        <v>0</v>
      </c>
      <c r="O1811" s="23"/>
      <c r="P1811" s="23"/>
      <c r="Q1811" s="23"/>
      <c r="R1811" s="26"/>
      <c r="S1811" s="23"/>
    </row>
    <row r="1812" spans="1:22" ht="19.5" hidden="1" customHeight="1" outlineLevel="1">
      <c r="A1812" s="29">
        <v>48</v>
      </c>
      <c r="B1812" s="30">
        <f>IF(18&lt;=DAY(DATE(YEAR(설정_코스수당!$K$2),MONTH(설정_코스수당!$K$2)+1,0)),DATE(YEAR(설정_코스수당!$K$2),MONTH(설정_코스수당!$K$2),18),"")</f>
        <v>46191</v>
      </c>
      <c r="C1812" s="31"/>
      <c r="D1812" s="29"/>
      <c r="E1812" s="29"/>
      <c r="F1812" s="32"/>
      <c r="G1812" s="29"/>
      <c r="H1812" s="29"/>
      <c r="I1812" s="29"/>
      <c r="J1812" s="33">
        <f>IF($O1812="방문완료",MAX(0,IFERROR(VLOOKUP($E1812,설정_코스수당!$A$6:$H$10,4,FALSE),0)-IF(OR($P1812="",$P1812="없음"),0,100000)),0)</f>
        <v>0</v>
      </c>
      <c r="K1812" s="33">
        <f t="array" ref="K1812">IF($O1812="방문완료",IFERROR(INDEX(설정_코스수당!$B$15:$F$64,MATCH($G1812,설정_코스수당!$A$15:$A$64,0),MATCH($E1812&amp;"수당",설정_코스수당!$B$14:$F$14,0)),0),0)</f>
        <v>0</v>
      </c>
      <c r="L1812" s="33">
        <f t="array" ref="L1812">IF($O1812="방문완료",IF($H1812="",0,IFERROR(INDEX(설정_코스수당!$B$15:$F$64,MATCH($H1812,설정_코스수당!$A$15:$A$64,0),MATCH($E1812&amp;"수당",설정_코스수당!$B$14:$F$14,0)),0)),0)</f>
        <v>0</v>
      </c>
      <c r="M1812" s="33">
        <f>IF($O1812="방문완료",IFERROR(VLOOKUP($E1812,설정_코스수당!$A$6:$H$10,6,FALSE),0),0)</f>
        <v>0</v>
      </c>
      <c r="N1812" s="34">
        <f t="shared" si="52"/>
        <v>0</v>
      </c>
      <c r="O1812" s="29"/>
      <c r="P1812" s="29"/>
      <c r="Q1812" s="29"/>
      <c r="R1812" s="32"/>
      <c r="S1812" s="29"/>
    </row>
    <row r="1813" spans="1:22" ht="19.5" hidden="1" customHeight="1" outlineLevel="1">
      <c r="A1813" s="23">
        <v>49</v>
      </c>
      <c r="B1813" s="24">
        <f>IF(18&lt;=DAY(DATE(YEAR(설정_코스수당!$K$2),MONTH(설정_코스수당!$K$2)+1,0)),DATE(YEAR(설정_코스수당!$K$2),MONTH(설정_코스수당!$K$2),18),"")</f>
        <v>46191</v>
      </c>
      <c r="C1813" s="25"/>
      <c r="D1813" s="23"/>
      <c r="E1813" s="23"/>
      <c r="F1813" s="26"/>
      <c r="G1813" s="23"/>
      <c r="H1813" s="23"/>
      <c r="I1813" s="23"/>
      <c r="J1813" s="27">
        <f>IF($O1813="방문완료",MAX(0,IFERROR(VLOOKUP($E1813,설정_코스수당!$A$6:$H$10,4,FALSE),0)-IF(OR($P1813="",$P1813="없음"),0,100000)),0)</f>
        <v>0</v>
      </c>
      <c r="K1813" s="27">
        <f t="array" ref="K1813">IF($O1813="방문완료",IFERROR(INDEX(설정_코스수당!$B$15:$F$64,MATCH($G1813,설정_코스수당!$A$15:$A$64,0),MATCH($E1813&amp;"수당",설정_코스수당!$B$14:$F$14,0)),0),0)</f>
        <v>0</v>
      </c>
      <c r="L1813" s="27">
        <f t="array" ref="L1813">IF($O1813="방문완료",IF($H1813="",0,IFERROR(INDEX(설정_코스수당!$B$15:$F$64,MATCH($H1813,설정_코스수당!$A$15:$A$64,0),MATCH($E1813&amp;"수당",설정_코스수당!$B$14:$F$14,0)),0)),0)</f>
        <v>0</v>
      </c>
      <c r="M1813" s="27">
        <f>IF($O1813="방문완료",IFERROR(VLOOKUP($E1813,설정_코스수당!$A$6:$H$10,6,FALSE),0),0)</f>
        <v>0</v>
      </c>
      <c r="N1813" s="28">
        <f t="shared" si="52"/>
        <v>0</v>
      </c>
      <c r="O1813" s="23"/>
      <c r="P1813" s="23"/>
      <c r="Q1813" s="23"/>
      <c r="R1813" s="26"/>
      <c r="S1813" s="23"/>
    </row>
    <row r="1814" spans="1:22" ht="19.5" hidden="1" customHeight="1" outlineLevel="1">
      <c r="A1814" s="29">
        <v>50</v>
      </c>
      <c r="B1814" s="30">
        <f>IF(18&lt;=DAY(DATE(YEAR(설정_코스수당!$K$2),MONTH(설정_코스수당!$K$2)+1,0)),DATE(YEAR(설정_코스수당!$K$2),MONTH(설정_코스수당!$K$2),18),"")</f>
        <v>46191</v>
      </c>
      <c r="C1814" s="31"/>
      <c r="D1814" s="29"/>
      <c r="E1814" s="29"/>
      <c r="F1814" s="32"/>
      <c r="G1814" s="29"/>
      <c r="H1814" s="29"/>
      <c r="I1814" s="29"/>
      <c r="J1814" s="33">
        <f>IF($O1814="방문완료",MAX(0,IFERROR(VLOOKUP($E1814,설정_코스수당!$A$6:$H$10,4,FALSE),0)-IF(OR($P1814="",$P1814="없음"),0,100000)),0)</f>
        <v>0</v>
      </c>
      <c r="K1814" s="33">
        <f t="array" ref="K1814">IF($O1814="방문완료",IFERROR(INDEX(설정_코스수당!$B$15:$F$64,MATCH($G1814,설정_코스수당!$A$15:$A$64,0),MATCH($E1814&amp;"수당",설정_코스수당!$B$14:$F$14,0)),0),0)</f>
        <v>0</v>
      </c>
      <c r="L1814" s="33">
        <f t="array" ref="L1814">IF($O1814="방문완료",IF($H1814="",0,IFERROR(INDEX(설정_코스수당!$B$15:$F$64,MATCH($H1814,설정_코스수당!$A$15:$A$64,0),MATCH($E1814&amp;"수당",설정_코스수당!$B$14:$F$14,0)),0)),0)</f>
        <v>0</v>
      </c>
      <c r="M1814" s="33">
        <f>IF($O1814="방문완료",IFERROR(VLOOKUP($E1814,설정_코스수당!$A$6:$H$10,6,FALSE),0),0)</f>
        <v>0</v>
      </c>
      <c r="N1814" s="34">
        <f t="shared" si="52"/>
        <v>0</v>
      </c>
      <c r="O1814" s="29"/>
      <c r="P1814" s="29"/>
      <c r="Q1814" s="29"/>
      <c r="R1814" s="32"/>
      <c r="S1814" s="29"/>
    </row>
    <row r="1815" spans="1:22" ht="19.5" hidden="1" customHeight="1" outlineLevel="1">
      <c r="A1815" s="23">
        <v>51</v>
      </c>
      <c r="B1815" s="24">
        <f>IF(18&lt;=DAY(DATE(YEAR(설정_코스수당!$K$2),MONTH(설정_코스수당!$K$2)+1,0)),DATE(YEAR(설정_코스수당!$K$2),MONTH(설정_코스수당!$K$2),18),"")</f>
        <v>46191</v>
      </c>
      <c r="C1815" s="25"/>
      <c r="D1815" s="23"/>
      <c r="E1815" s="23"/>
      <c r="F1815" s="26"/>
      <c r="G1815" s="23"/>
      <c r="H1815" s="23"/>
      <c r="I1815" s="23"/>
      <c r="J1815" s="27">
        <f>IF($O1815="방문완료",MAX(0,IFERROR(VLOOKUP($E1815,설정_코스수당!$A$6:$H$10,4,FALSE),0)-IF(OR($P1815="",$P1815="없음"),0,100000)),0)</f>
        <v>0</v>
      </c>
      <c r="K1815" s="27">
        <f t="array" ref="K1815">IF($O1815="방문완료",IFERROR(INDEX(설정_코스수당!$B$15:$F$64,MATCH($G1815,설정_코스수당!$A$15:$A$64,0),MATCH($E1815&amp;"수당",설정_코스수당!$B$14:$F$14,0)),0),0)</f>
        <v>0</v>
      </c>
      <c r="L1815" s="27">
        <f t="array" ref="L1815">IF($O1815="방문완료",IF($H1815="",0,IFERROR(INDEX(설정_코스수당!$B$15:$F$64,MATCH($H1815,설정_코스수당!$A$15:$A$64,0),MATCH($E1815&amp;"수당",설정_코스수당!$B$14:$F$14,0)),0)),0)</f>
        <v>0</v>
      </c>
      <c r="M1815" s="27">
        <f>IF($O1815="방문완료",IFERROR(VLOOKUP($E1815,설정_코스수당!$A$6:$H$10,6,FALSE),0),0)</f>
        <v>0</v>
      </c>
      <c r="N1815" s="28">
        <f t="shared" si="52"/>
        <v>0</v>
      </c>
      <c r="O1815" s="23"/>
      <c r="P1815" s="23"/>
      <c r="Q1815" s="23"/>
      <c r="R1815" s="26"/>
      <c r="S1815" s="23"/>
    </row>
    <row r="1816" spans="1:22" ht="19.5" hidden="1" customHeight="1" outlineLevel="1">
      <c r="A1816" s="29">
        <v>52</v>
      </c>
      <c r="B1816" s="30">
        <f>IF(18&lt;=DAY(DATE(YEAR(설정_코스수당!$K$2),MONTH(설정_코스수당!$K$2)+1,0)),DATE(YEAR(설정_코스수당!$K$2),MONTH(설정_코스수당!$K$2),18),"")</f>
        <v>46191</v>
      </c>
      <c r="C1816" s="31"/>
      <c r="D1816" s="29"/>
      <c r="E1816" s="29"/>
      <c r="F1816" s="32"/>
      <c r="G1816" s="29"/>
      <c r="H1816" s="29"/>
      <c r="I1816" s="29"/>
      <c r="J1816" s="33">
        <f>IF($O1816="방문완료",MAX(0,IFERROR(VLOOKUP($E1816,설정_코스수당!$A$6:$H$10,4,FALSE),0)-IF(OR($P1816="",$P1816="없음"),0,100000)),0)</f>
        <v>0</v>
      </c>
      <c r="K1816" s="33">
        <f t="array" ref="K1816">IF($O1816="방문완료",IFERROR(INDEX(설정_코스수당!$B$15:$F$64,MATCH($G1816,설정_코스수당!$A$15:$A$64,0),MATCH($E1816&amp;"수당",설정_코스수당!$B$14:$F$14,0)),0),0)</f>
        <v>0</v>
      </c>
      <c r="L1816" s="33">
        <f t="array" ref="L1816">IF($O1816="방문완료",IF($H1816="",0,IFERROR(INDEX(설정_코스수당!$B$15:$F$64,MATCH($H1816,설정_코스수당!$A$15:$A$64,0),MATCH($E1816&amp;"수당",설정_코스수당!$B$14:$F$14,0)),0)),0)</f>
        <v>0</v>
      </c>
      <c r="M1816" s="33">
        <f>IF($O1816="방문완료",IFERROR(VLOOKUP($E1816,설정_코스수당!$A$6:$H$10,6,FALSE),0),0)</f>
        <v>0</v>
      </c>
      <c r="N1816" s="34">
        <f t="shared" si="52"/>
        <v>0</v>
      </c>
      <c r="O1816" s="29"/>
      <c r="P1816" s="29"/>
      <c r="Q1816" s="29"/>
      <c r="R1816" s="32"/>
      <c r="S1816" s="29"/>
    </row>
    <row r="1817" spans="1:22" ht="19.5" hidden="1" customHeight="1" outlineLevel="1">
      <c r="A1817" s="23">
        <v>53</v>
      </c>
      <c r="B1817" s="24">
        <f>IF(18&lt;=DAY(DATE(YEAR(설정_코스수당!$K$2),MONTH(설정_코스수당!$K$2)+1,0)),DATE(YEAR(설정_코스수당!$K$2),MONTH(설정_코스수당!$K$2),18),"")</f>
        <v>46191</v>
      </c>
      <c r="C1817" s="25"/>
      <c r="D1817" s="23"/>
      <c r="E1817" s="23"/>
      <c r="F1817" s="26"/>
      <c r="G1817" s="23"/>
      <c r="H1817" s="23"/>
      <c r="I1817" s="23"/>
      <c r="J1817" s="27">
        <f>IF($O1817="방문완료",MAX(0,IFERROR(VLOOKUP($E1817,설정_코스수당!$A$6:$H$10,4,FALSE),0)-IF(OR($P1817="",$P1817="없음"),0,100000)),0)</f>
        <v>0</v>
      </c>
      <c r="K1817" s="27">
        <f t="array" ref="K1817">IF($O1817="방문완료",IFERROR(INDEX(설정_코스수당!$B$15:$F$64,MATCH($G1817,설정_코스수당!$A$15:$A$64,0),MATCH($E1817&amp;"수당",설정_코스수당!$B$14:$F$14,0)),0),0)</f>
        <v>0</v>
      </c>
      <c r="L1817" s="27">
        <f t="array" ref="L1817">IF($O1817="방문완료",IF($H1817="",0,IFERROR(INDEX(설정_코스수당!$B$15:$F$64,MATCH($H1817,설정_코스수당!$A$15:$A$64,0),MATCH($E1817&amp;"수당",설정_코스수당!$B$14:$F$14,0)),0)),0)</f>
        <v>0</v>
      </c>
      <c r="M1817" s="27">
        <f>IF($O1817="방문완료",IFERROR(VLOOKUP($E1817,설정_코스수당!$A$6:$H$10,6,FALSE),0),0)</f>
        <v>0</v>
      </c>
      <c r="N1817" s="28">
        <f t="shared" si="52"/>
        <v>0</v>
      </c>
      <c r="O1817" s="23"/>
      <c r="P1817" s="23"/>
      <c r="Q1817" s="23"/>
      <c r="R1817" s="26"/>
      <c r="S1817" s="23"/>
    </row>
    <row r="1818" spans="1:22" ht="19.5" hidden="1" customHeight="1" outlineLevel="1">
      <c r="A1818" s="29">
        <v>54</v>
      </c>
      <c r="B1818" s="30">
        <f>IF(18&lt;=DAY(DATE(YEAR(설정_코스수당!$K$2),MONTH(설정_코스수당!$K$2)+1,0)),DATE(YEAR(설정_코스수당!$K$2),MONTH(설정_코스수당!$K$2),18),"")</f>
        <v>46191</v>
      </c>
      <c r="C1818" s="31"/>
      <c r="D1818" s="29"/>
      <c r="E1818" s="29"/>
      <c r="F1818" s="32"/>
      <c r="G1818" s="29"/>
      <c r="H1818" s="29"/>
      <c r="I1818" s="29"/>
      <c r="J1818" s="33">
        <f>IF($O1818="방문완료",MAX(0,IFERROR(VLOOKUP($E1818,설정_코스수당!$A$6:$H$10,4,FALSE),0)-IF(OR($P1818="",$P1818="없음"),0,100000)),0)</f>
        <v>0</v>
      </c>
      <c r="K1818" s="33">
        <f t="array" ref="K1818">IF($O1818="방문완료",IFERROR(INDEX(설정_코스수당!$B$15:$F$64,MATCH($G1818,설정_코스수당!$A$15:$A$64,0),MATCH($E1818&amp;"수당",설정_코스수당!$B$14:$F$14,0)),0),0)</f>
        <v>0</v>
      </c>
      <c r="L1818" s="33">
        <f t="array" ref="L1818">IF($O1818="방문완료",IF($H1818="",0,IFERROR(INDEX(설정_코스수당!$B$15:$F$64,MATCH($H1818,설정_코스수당!$A$15:$A$64,0),MATCH($E1818&amp;"수당",설정_코스수당!$B$14:$F$14,0)),0)),0)</f>
        <v>0</v>
      </c>
      <c r="M1818" s="33">
        <f>IF($O1818="방문완료",IFERROR(VLOOKUP($E1818,설정_코스수당!$A$6:$H$10,6,FALSE),0),0)</f>
        <v>0</v>
      </c>
      <c r="N1818" s="34">
        <f t="shared" si="52"/>
        <v>0</v>
      </c>
      <c r="O1818" s="29"/>
      <c r="P1818" s="29"/>
      <c r="Q1818" s="29"/>
      <c r="R1818" s="32"/>
      <c r="S1818" s="29"/>
    </row>
    <row r="1819" spans="1:22" ht="19.5" hidden="1" customHeight="1" outlineLevel="1">
      <c r="A1819" s="23">
        <v>55</v>
      </c>
      <c r="B1819" s="24">
        <f>IF(18&lt;=DAY(DATE(YEAR(설정_코스수당!$K$2),MONTH(설정_코스수당!$K$2)+1,0)),DATE(YEAR(설정_코스수당!$K$2),MONTH(설정_코스수당!$K$2),18),"")</f>
        <v>46191</v>
      </c>
      <c r="C1819" s="25"/>
      <c r="D1819" s="23"/>
      <c r="E1819" s="23"/>
      <c r="F1819" s="26"/>
      <c r="G1819" s="23"/>
      <c r="H1819" s="23"/>
      <c r="I1819" s="23"/>
      <c r="J1819" s="27">
        <f>IF($O1819="방문완료",MAX(0,IFERROR(VLOOKUP($E1819,설정_코스수당!$A$6:$H$10,4,FALSE),0)-IF(OR($P1819="",$P1819="없음"),0,100000)),0)</f>
        <v>0</v>
      </c>
      <c r="K1819" s="27">
        <f t="array" ref="K1819">IF($O1819="방문완료",IFERROR(INDEX(설정_코스수당!$B$15:$F$64,MATCH($G1819,설정_코스수당!$A$15:$A$64,0),MATCH($E1819&amp;"수당",설정_코스수당!$B$14:$F$14,0)),0),0)</f>
        <v>0</v>
      </c>
      <c r="L1819" s="27">
        <f t="array" ref="L1819">IF($O1819="방문완료",IF($H1819="",0,IFERROR(INDEX(설정_코스수당!$B$15:$F$64,MATCH($H1819,설정_코스수당!$A$15:$A$64,0),MATCH($E1819&amp;"수당",설정_코스수당!$B$14:$F$14,0)),0)),0)</f>
        <v>0</v>
      </c>
      <c r="M1819" s="27">
        <f>IF($O1819="방문완료",IFERROR(VLOOKUP($E1819,설정_코스수당!$A$6:$H$10,6,FALSE),0),0)</f>
        <v>0</v>
      </c>
      <c r="N1819" s="28">
        <f t="shared" si="52"/>
        <v>0</v>
      </c>
      <c r="O1819" s="23"/>
      <c r="P1819" s="23"/>
      <c r="Q1819" s="23"/>
      <c r="R1819" s="26"/>
      <c r="S1819" s="23"/>
    </row>
    <row r="1820" spans="1:22" ht="19.5" hidden="1" customHeight="1" outlineLevel="1">
      <c r="A1820" s="29">
        <v>56</v>
      </c>
      <c r="B1820" s="30">
        <f>IF(18&lt;=DAY(DATE(YEAR(설정_코스수당!$K$2),MONTH(설정_코스수당!$K$2)+1,0)),DATE(YEAR(설정_코스수당!$K$2),MONTH(설정_코스수당!$K$2),18),"")</f>
        <v>46191</v>
      </c>
      <c r="C1820" s="31"/>
      <c r="D1820" s="29"/>
      <c r="E1820" s="29"/>
      <c r="F1820" s="32"/>
      <c r="G1820" s="29"/>
      <c r="H1820" s="29"/>
      <c r="I1820" s="29"/>
      <c r="J1820" s="33">
        <f>IF($O1820="방문완료",MAX(0,IFERROR(VLOOKUP($E1820,설정_코스수당!$A$6:$H$10,4,FALSE),0)-IF(OR($P1820="",$P1820="없음"),0,100000)),0)</f>
        <v>0</v>
      </c>
      <c r="K1820" s="33">
        <f t="array" ref="K1820">IF($O1820="방문완료",IFERROR(INDEX(설정_코스수당!$B$15:$F$64,MATCH($G1820,설정_코스수당!$A$15:$A$64,0),MATCH($E1820&amp;"수당",설정_코스수당!$B$14:$F$14,0)),0),0)</f>
        <v>0</v>
      </c>
      <c r="L1820" s="33">
        <f t="array" ref="L1820">IF($O1820="방문완료",IF($H1820="",0,IFERROR(INDEX(설정_코스수당!$B$15:$F$64,MATCH($H1820,설정_코스수당!$A$15:$A$64,0),MATCH($E1820&amp;"수당",설정_코스수당!$B$14:$F$14,0)),0)),0)</f>
        <v>0</v>
      </c>
      <c r="M1820" s="33">
        <f>IF($O1820="방문완료",IFERROR(VLOOKUP($E1820,설정_코스수당!$A$6:$H$10,6,FALSE),0),0)</f>
        <v>0</v>
      </c>
      <c r="N1820" s="34">
        <f t="shared" si="52"/>
        <v>0</v>
      </c>
      <c r="O1820" s="29"/>
      <c r="P1820" s="29"/>
      <c r="Q1820" s="29"/>
      <c r="R1820" s="32"/>
      <c r="S1820" s="29"/>
      <c r="U1820" s="16" t="s">
        <v>72</v>
      </c>
      <c r="V1820" s="17">
        <f>IF(19&lt;=DAY(DATE(YEAR(설정_코스수당!$K$2),MONTH(설정_코스수당!$K$2)+1,0)),COUNTIFS($B:$B,DATE(YEAR(설정_코스수당!$K$2),MONTH(설정_코스수당!$K$2),19),$O:$O,"방문완료",$P:$P,"&lt;&gt;",$P:$P,"&lt;&gt;없음")*100000,"")</f>
        <v>0</v>
      </c>
    </row>
    <row r="1821" spans="1:22" ht="19.5" hidden="1" customHeight="1" outlineLevel="1">
      <c r="A1821" s="23">
        <v>57</v>
      </c>
      <c r="B1821" s="24">
        <f>IF(18&lt;=DAY(DATE(YEAR(설정_코스수당!$K$2),MONTH(설정_코스수당!$K$2)+1,0)),DATE(YEAR(설정_코스수당!$K$2),MONTH(설정_코스수당!$K$2),18),"")</f>
        <v>46191</v>
      </c>
      <c r="C1821" s="25"/>
      <c r="D1821" s="23"/>
      <c r="E1821" s="23"/>
      <c r="F1821" s="26"/>
      <c r="G1821" s="23"/>
      <c r="H1821" s="23"/>
      <c r="I1821" s="23"/>
      <c r="J1821" s="27">
        <f>IF($O1821="방문완료",MAX(0,IFERROR(VLOOKUP($E1821,설정_코스수당!$A$6:$H$10,4,FALSE),0)-IF(OR($P1821="",$P1821="없음"),0,100000)),0)</f>
        <v>0</v>
      </c>
      <c r="K1821" s="27">
        <f t="array" ref="K1821">IF($O1821="방문완료",IFERROR(INDEX(설정_코스수당!$B$15:$F$64,MATCH($G1821,설정_코스수당!$A$15:$A$64,0),MATCH($E1821&amp;"수당",설정_코스수당!$B$14:$F$14,0)),0),0)</f>
        <v>0</v>
      </c>
      <c r="L1821" s="27">
        <f t="array" ref="L1821">IF($O1821="방문완료",IF($H1821="",0,IFERROR(INDEX(설정_코스수당!$B$15:$F$64,MATCH($H1821,설정_코스수당!$A$15:$A$64,0),MATCH($E1821&amp;"수당",설정_코스수당!$B$14:$F$14,0)),0)),0)</f>
        <v>0</v>
      </c>
      <c r="M1821" s="27">
        <f>IF($O1821="방문완료",IFERROR(VLOOKUP($E1821,설정_코스수당!$A$6:$H$10,6,FALSE),0),0)</f>
        <v>0</v>
      </c>
      <c r="N1821" s="28">
        <f t="shared" si="52"/>
        <v>0</v>
      </c>
      <c r="O1821" s="23"/>
      <c r="P1821" s="23"/>
      <c r="Q1821" s="23"/>
      <c r="R1821" s="26"/>
      <c r="S1821" s="23"/>
    </row>
    <row r="1822" spans="1:22" ht="19.5" hidden="1" customHeight="1" outlineLevel="1">
      <c r="A1822" s="29">
        <v>58</v>
      </c>
      <c r="B1822" s="30">
        <f>IF(18&lt;=DAY(DATE(YEAR(설정_코스수당!$K$2),MONTH(설정_코스수당!$K$2)+1,0)),DATE(YEAR(설정_코스수당!$K$2),MONTH(설정_코스수당!$K$2),18),"")</f>
        <v>46191</v>
      </c>
      <c r="C1822" s="31"/>
      <c r="D1822" s="29"/>
      <c r="E1822" s="29"/>
      <c r="F1822" s="32"/>
      <c r="G1822" s="29"/>
      <c r="H1822" s="29"/>
      <c r="I1822" s="29"/>
      <c r="J1822" s="33">
        <f>IF($O1822="방문완료",MAX(0,IFERROR(VLOOKUP($E1822,설정_코스수당!$A$6:$H$10,4,FALSE),0)-IF(OR($P1822="",$P1822="없음"),0,100000)),0)</f>
        <v>0</v>
      </c>
      <c r="K1822" s="33">
        <f t="array" ref="K1822">IF($O1822="방문완료",IFERROR(INDEX(설정_코스수당!$B$15:$F$64,MATCH($G1822,설정_코스수당!$A$15:$A$64,0),MATCH($E1822&amp;"수당",설정_코스수당!$B$14:$F$14,0)),0),0)</f>
        <v>0</v>
      </c>
      <c r="L1822" s="33">
        <f t="array" ref="L1822">IF($O1822="방문완료",IF($H1822="",0,IFERROR(INDEX(설정_코스수당!$B$15:$F$64,MATCH($H1822,설정_코스수당!$A$15:$A$64,0),MATCH($E1822&amp;"수당",설정_코스수당!$B$14:$F$14,0)),0)),0)</f>
        <v>0</v>
      </c>
      <c r="M1822" s="33">
        <f>IF($O1822="방문완료",IFERROR(VLOOKUP($E1822,설정_코스수당!$A$6:$H$10,6,FALSE),0),0)</f>
        <v>0</v>
      </c>
      <c r="N1822" s="34">
        <f t="shared" si="52"/>
        <v>0</v>
      </c>
      <c r="O1822" s="29"/>
      <c r="P1822" s="29"/>
      <c r="Q1822" s="29"/>
      <c r="R1822" s="32"/>
      <c r="S1822" s="29"/>
    </row>
    <row r="1823" spans="1:22" ht="19.5" hidden="1" customHeight="1" outlineLevel="1">
      <c r="A1823" s="23">
        <v>59</v>
      </c>
      <c r="B1823" s="24">
        <f>IF(18&lt;=DAY(DATE(YEAR(설정_코스수당!$K$2),MONTH(설정_코스수당!$K$2)+1,0)),DATE(YEAR(설정_코스수당!$K$2),MONTH(설정_코스수당!$K$2),18),"")</f>
        <v>46191</v>
      </c>
      <c r="C1823" s="25"/>
      <c r="D1823" s="23"/>
      <c r="E1823" s="23"/>
      <c r="F1823" s="26"/>
      <c r="G1823" s="23"/>
      <c r="H1823" s="23"/>
      <c r="I1823" s="23"/>
      <c r="J1823" s="27">
        <f>IF($O1823="방문완료",MAX(0,IFERROR(VLOOKUP($E1823,설정_코스수당!$A$6:$H$10,4,FALSE),0)-IF(OR($P1823="",$P1823="없음"),0,100000)),0)</f>
        <v>0</v>
      </c>
      <c r="K1823" s="27">
        <f t="array" ref="K1823">IF($O1823="방문완료",IFERROR(INDEX(설정_코스수당!$B$15:$F$64,MATCH($G1823,설정_코스수당!$A$15:$A$64,0),MATCH($E1823&amp;"수당",설정_코스수당!$B$14:$F$14,0)),0),0)</f>
        <v>0</v>
      </c>
      <c r="L1823" s="27">
        <f t="array" ref="L1823">IF($O1823="방문완료",IF($H1823="",0,IFERROR(INDEX(설정_코스수당!$B$15:$F$64,MATCH($H1823,설정_코스수당!$A$15:$A$64,0),MATCH($E1823&amp;"수당",설정_코스수당!$B$14:$F$14,0)),0)),0)</f>
        <v>0</v>
      </c>
      <c r="M1823" s="27">
        <f>IF($O1823="방문완료",IFERROR(VLOOKUP($E1823,설정_코스수당!$A$6:$H$10,6,FALSE),0),0)</f>
        <v>0</v>
      </c>
      <c r="N1823" s="28">
        <f t="shared" si="52"/>
        <v>0</v>
      </c>
      <c r="O1823" s="23"/>
      <c r="P1823" s="23"/>
      <c r="Q1823" s="23"/>
      <c r="R1823" s="26"/>
      <c r="S1823" s="23"/>
    </row>
    <row r="1824" spans="1:22" ht="19.5" hidden="1" customHeight="1" outlineLevel="1">
      <c r="A1824" s="29">
        <v>60</v>
      </c>
      <c r="B1824" s="30">
        <f>IF(18&lt;=DAY(DATE(YEAR(설정_코스수당!$K$2),MONTH(설정_코스수당!$K$2)+1,0)),DATE(YEAR(설정_코스수당!$K$2),MONTH(설정_코스수당!$K$2),18),"")</f>
        <v>46191</v>
      </c>
      <c r="C1824" s="31"/>
      <c r="D1824" s="29"/>
      <c r="E1824" s="29"/>
      <c r="F1824" s="32"/>
      <c r="G1824" s="29"/>
      <c r="H1824" s="29"/>
      <c r="I1824" s="29"/>
      <c r="J1824" s="33">
        <f>IF($O1824="방문완료",MAX(0,IFERROR(VLOOKUP($E1824,설정_코스수당!$A$6:$H$10,4,FALSE),0)-IF(OR($P1824="",$P1824="없음"),0,100000)),0)</f>
        <v>0</v>
      </c>
      <c r="K1824" s="33">
        <f t="array" ref="K1824">IF($O1824="방문완료",IFERROR(INDEX(설정_코스수당!$B$15:$F$64,MATCH($G1824,설정_코스수당!$A$15:$A$64,0),MATCH($E1824&amp;"수당",설정_코스수당!$B$14:$F$14,0)),0),0)</f>
        <v>0</v>
      </c>
      <c r="L1824" s="33">
        <f t="array" ref="L1824">IF($O1824="방문완료",IF($H1824="",0,IFERROR(INDEX(설정_코스수당!$B$15:$F$64,MATCH($H1824,설정_코스수당!$A$15:$A$64,0),MATCH($E1824&amp;"수당",설정_코스수당!$B$14:$F$14,0)),0)),0)</f>
        <v>0</v>
      </c>
      <c r="M1824" s="33">
        <f>IF($O1824="방문완료",IFERROR(VLOOKUP($E1824,설정_코스수당!$A$6:$H$10,6,FALSE),0),0)</f>
        <v>0</v>
      </c>
      <c r="N1824" s="34">
        <f t="shared" si="52"/>
        <v>0</v>
      </c>
      <c r="O1824" s="29"/>
      <c r="P1824" s="29"/>
      <c r="Q1824" s="29"/>
      <c r="R1824" s="32"/>
      <c r="S1824" s="29"/>
    </row>
    <row r="1825" spans="1:19" ht="19.5" hidden="1" customHeight="1" outlineLevel="1">
      <c r="A1825" s="23">
        <v>61</v>
      </c>
      <c r="B1825" s="24">
        <f>IF(18&lt;=DAY(DATE(YEAR(설정_코스수당!$K$2),MONTH(설정_코스수당!$K$2)+1,0)),DATE(YEAR(설정_코스수당!$K$2),MONTH(설정_코스수당!$K$2),18),"")</f>
        <v>46191</v>
      </c>
      <c r="C1825" s="25"/>
      <c r="D1825" s="23"/>
      <c r="E1825" s="23"/>
      <c r="F1825" s="26"/>
      <c r="G1825" s="23"/>
      <c r="H1825" s="23"/>
      <c r="I1825" s="23"/>
      <c r="J1825" s="27">
        <f>IF($O1825="방문완료",MAX(0,IFERROR(VLOOKUP($E1825,설정_코스수당!$A$6:$H$10,4,FALSE),0)-IF(OR($P1825="",$P1825="없음"),0,100000)),0)</f>
        <v>0</v>
      </c>
      <c r="K1825" s="27">
        <f t="array" ref="K1825">IF($O1825="방문완료",IFERROR(INDEX(설정_코스수당!$B$15:$F$64,MATCH($G1825,설정_코스수당!$A$15:$A$64,0),MATCH($E1825&amp;"수당",설정_코스수당!$B$14:$F$14,0)),0),0)</f>
        <v>0</v>
      </c>
      <c r="L1825" s="27">
        <f t="array" ref="L1825">IF($O1825="방문완료",IF($H1825="",0,IFERROR(INDEX(설정_코스수당!$B$15:$F$64,MATCH($H1825,설정_코스수당!$A$15:$A$64,0),MATCH($E1825&amp;"수당",설정_코스수당!$B$14:$F$14,0)),0)),0)</f>
        <v>0</v>
      </c>
      <c r="M1825" s="27">
        <f>IF($O1825="방문완료",IFERROR(VLOOKUP($E1825,설정_코스수당!$A$6:$H$10,6,FALSE),0),0)</f>
        <v>0</v>
      </c>
      <c r="N1825" s="28">
        <f t="shared" si="52"/>
        <v>0</v>
      </c>
      <c r="O1825" s="23"/>
      <c r="P1825" s="23"/>
      <c r="Q1825" s="23"/>
      <c r="R1825" s="26"/>
      <c r="S1825" s="23"/>
    </row>
    <row r="1826" spans="1:19" ht="19.5" hidden="1" customHeight="1" outlineLevel="1">
      <c r="A1826" s="29">
        <v>62</v>
      </c>
      <c r="B1826" s="30">
        <f>IF(18&lt;=DAY(DATE(YEAR(설정_코스수당!$K$2),MONTH(설정_코스수당!$K$2)+1,0)),DATE(YEAR(설정_코스수당!$K$2),MONTH(설정_코스수당!$K$2),18),"")</f>
        <v>46191</v>
      </c>
      <c r="C1826" s="31"/>
      <c r="D1826" s="29"/>
      <c r="E1826" s="29"/>
      <c r="F1826" s="32"/>
      <c r="G1826" s="29"/>
      <c r="H1826" s="29"/>
      <c r="I1826" s="29"/>
      <c r="J1826" s="33">
        <f>IF($O1826="방문완료",MAX(0,IFERROR(VLOOKUP($E1826,설정_코스수당!$A$6:$H$10,4,FALSE),0)-IF(OR($P1826="",$P1826="없음"),0,100000)),0)</f>
        <v>0</v>
      </c>
      <c r="K1826" s="33">
        <f t="array" ref="K1826">IF($O1826="방문완료",IFERROR(INDEX(설정_코스수당!$B$15:$F$64,MATCH($G1826,설정_코스수당!$A$15:$A$64,0),MATCH($E1826&amp;"수당",설정_코스수당!$B$14:$F$14,0)),0),0)</f>
        <v>0</v>
      </c>
      <c r="L1826" s="33">
        <f t="array" ref="L1826">IF($O1826="방문완료",IF($H1826="",0,IFERROR(INDEX(설정_코스수당!$B$15:$F$64,MATCH($H1826,설정_코스수당!$A$15:$A$64,0),MATCH($E1826&amp;"수당",설정_코스수당!$B$14:$F$14,0)),0)),0)</f>
        <v>0</v>
      </c>
      <c r="M1826" s="33">
        <f>IF($O1826="방문완료",IFERROR(VLOOKUP($E1826,설정_코스수당!$A$6:$H$10,6,FALSE),0),0)</f>
        <v>0</v>
      </c>
      <c r="N1826" s="34">
        <f t="shared" si="52"/>
        <v>0</v>
      </c>
      <c r="O1826" s="29"/>
      <c r="P1826" s="29"/>
      <c r="Q1826" s="29"/>
      <c r="R1826" s="32"/>
      <c r="S1826" s="29"/>
    </row>
    <row r="1827" spans="1:19" ht="19.5" hidden="1" customHeight="1" outlineLevel="1">
      <c r="A1827" s="23">
        <v>63</v>
      </c>
      <c r="B1827" s="24">
        <f>IF(18&lt;=DAY(DATE(YEAR(설정_코스수당!$K$2),MONTH(설정_코스수당!$K$2)+1,0)),DATE(YEAR(설정_코스수당!$K$2),MONTH(설정_코스수당!$K$2),18),"")</f>
        <v>46191</v>
      </c>
      <c r="C1827" s="25"/>
      <c r="D1827" s="23"/>
      <c r="E1827" s="23"/>
      <c r="F1827" s="26"/>
      <c r="G1827" s="23"/>
      <c r="H1827" s="23"/>
      <c r="I1827" s="23"/>
      <c r="J1827" s="27">
        <f>IF($O1827="방문완료",MAX(0,IFERROR(VLOOKUP($E1827,설정_코스수당!$A$6:$H$10,4,FALSE),0)-IF(OR($P1827="",$P1827="없음"),0,100000)),0)</f>
        <v>0</v>
      </c>
      <c r="K1827" s="27">
        <f t="array" ref="K1827">IF($O1827="방문완료",IFERROR(INDEX(설정_코스수당!$B$15:$F$64,MATCH($G1827,설정_코스수당!$A$15:$A$64,0),MATCH($E1827&amp;"수당",설정_코스수당!$B$14:$F$14,0)),0),0)</f>
        <v>0</v>
      </c>
      <c r="L1827" s="27">
        <f t="array" ref="L1827">IF($O1827="방문완료",IF($H1827="",0,IFERROR(INDEX(설정_코스수당!$B$15:$F$64,MATCH($H1827,설정_코스수당!$A$15:$A$64,0),MATCH($E1827&amp;"수당",설정_코스수당!$B$14:$F$14,0)),0)),0)</f>
        <v>0</v>
      </c>
      <c r="M1827" s="27">
        <f>IF($O1827="방문완료",IFERROR(VLOOKUP($E1827,설정_코스수당!$A$6:$H$10,6,FALSE),0),0)</f>
        <v>0</v>
      </c>
      <c r="N1827" s="28">
        <f t="shared" si="52"/>
        <v>0</v>
      </c>
      <c r="O1827" s="23"/>
      <c r="P1827" s="23"/>
      <c r="Q1827" s="23"/>
      <c r="R1827" s="26"/>
      <c r="S1827" s="23"/>
    </row>
    <row r="1828" spans="1:19" ht="19.5" hidden="1" customHeight="1" outlineLevel="1">
      <c r="A1828" s="29">
        <v>64</v>
      </c>
      <c r="B1828" s="30">
        <f>IF(18&lt;=DAY(DATE(YEAR(설정_코스수당!$K$2),MONTH(설정_코스수당!$K$2)+1,0)),DATE(YEAR(설정_코스수당!$K$2),MONTH(설정_코스수당!$K$2),18),"")</f>
        <v>46191</v>
      </c>
      <c r="C1828" s="31"/>
      <c r="D1828" s="29"/>
      <c r="E1828" s="29"/>
      <c r="F1828" s="32"/>
      <c r="G1828" s="29"/>
      <c r="H1828" s="29"/>
      <c r="I1828" s="29"/>
      <c r="J1828" s="33">
        <f>IF($O1828="방문완료",MAX(0,IFERROR(VLOOKUP($E1828,설정_코스수당!$A$6:$H$10,4,FALSE),0)-IF(OR($P1828="",$P1828="없음"),0,100000)),0)</f>
        <v>0</v>
      </c>
      <c r="K1828" s="33">
        <f t="array" ref="K1828">IF($O1828="방문완료",IFERROR(INDEX(설정_코스수당!$B$15:$F$64,MATCH($G1828,설정_코스수당!$A$15:$A$64,0),MATCH($E1828&amp;"수당",설정_코스수당!$B$14:$F$14,0)),0),0)</f>
        <v>0</v>
      </c>
      <c r="L1828" s="33">
        <f t="array" ref="L1828">IF($O1828="방문완료",IF($H1828="",0,IFERROR(INDEX(설정_코스수당!$B$15:$F$64,MATCH($H1828,설정_코스수당!$A$15:$A$64,0),MATCH($E1828&amp;"수당",설정_코스수당!$B$14:$F$14,0)),0)),0)</f>
        <v>0</v>
      </c>
      <c r="M1828" s="33">
        <f>IF($O1828="방문완료",IFERROR(VLOOKUP($E1828,설정_코스수당!$A$6:$H$10,6,FALSE),0),0)</f>
        <v>0</v>
      </c>
      <c r="N1828" s="34">
        <f t="shared" si="52"/>
        <v>0</v>
      </c>
      <c r="O1828" s="29"/>
      <c r="P1828" s="29"/>
      <c r="Q1828" s="29"/>
      <c r="R1828" s="32"/>
      <c r="S1828" s="29"/>
    </row>
    <row r="1829" spans="1:19" ht="19.5" hidden="1" customHeight="1" outlineLevel="1">
      <c r="A1829" s="23">
        <v>65</v>
      </c>
      <c r="B1829" s="24">
        <f>IF(18&lt;=DAY(DATE(YEAR(설정_코스수당!$K$2),MONTH(설정_코스수당!$K$2)+1,0)),DATE(YEAR(설정_코스수당!$K$2),MONTH(설정_코스수당!$K$2),18),"")</f>
        <v>46191</v>
      </c>
      <c r="C1829" s="25"/>
      <c r="D1829" s="23"/>
      <c r="E1829" s="23"/>
      <c r="F1829" s="26"/>
      <c r="G1829" s="23"/>
      <c r="H1829" s="23"/>
      <c r="I1829" s="23"/>
      <c r="J1829" s="27">
        <f>IF($O1829="방문완료",MAX(0,IFERROR(VLOOKUP($E1829,설정_코스수당!$A$6:$H$10,4,FALSE),0)-IF(OR($P1829="",$P1829="없음"),0,100000)),0)</f>
        <v>0</v>
      </c>
      <c r="K1829" s="27">
        <f t="array" ref="K1829">IF($O1829="방문완료",IFERROR(INDEX(설정_코스수당!$B$15:$F$64,MATCH($G1829,설정_코스수당!$A$15:$A$64,0),MATCH($E1829&amp;"수당",설정_코스수당!$B$14:$F$14,0)),0),0)</f>
        <v>0</v>
      </c>
      <c r="L1829" s="27">
        <f t="array" ref="L1829">IF($O1829="방문완료",IF($H1829="",0,IFERROR(INDEX(설정_코스수당!$B$15:$F$64,MATCH($H1829,설정_코스수당!$A$15:$A$64,0),MATCH($E1829&amp;"수당",설정_코스수당!$B$14:$F$14,0)),0)),0)</f>
        <v>0</v>
      </c>
      <c r="M1829" s="27">
        <f>IF($O1829="방문완료",IFERROR(VLOOKUP($E1829,설정_코스수당!$A$6:$H$10,6,FALSE),0),0)</f>
        <v>0</v>
      </c>
      <c r="N1829" s="28">
        <f t="shared" ref="N1829:N1864" si="53">IF($O1829="방문완료",1,0)</f>
        <v>0</v>
      </c>
      <c r="O1829" s="23"/>
      <c r="P1829" s="23"/>
      <c r="Q1829" s="23"/>
      <c r="R1829" s="26"/>
      <c r="S1829" s="23"/>
    </row>
    <row r="1830" spans="1:19" ht="19.5" hidden="1" customHeight="1" outlineLevel="1">
      <c r="A1830" s="29">
        <v>66</v>
      </c>
      <c r="B1830" s="30">
        <f>IF(18&lt;=DAY(DATE(YEAR(설정_코스수당!$K$2),MONTH(설정_코스수당!$K$2)+1,0)),DATE(YEAR(설정_코스수당!$K$2),MONTH(설정_코스수당!$K$2),18),"")</f>
        <v>46191</v>
      </c>
      <c r="C1830" s="31"/>
      <c r="D1830" s="29"/>
      <c r="E1830" s="29"/>
      <c r="F1830" s="32"/>
      <c r="G1830" s="29"/>
      <c r="H1830" s="29"/>
      <c r="I1830" s="29"/>
      <c r="J1830" s="33">
        <f>IF($O1830="방문완료",MAX(0,IFERROR(VLOOKUP($E1830,설정_코스수당!$A$6:$H$10,4,FALSE),0)-IF(OR($P1830="",$P1830="없음"),0,100000)),0)</f>
        <v>0</v>
      </c>
      <c r="K1830" s="33">
        <f t="array" ref="K1830">IF($O1830="방문완료",IFERROR(INDEX(설정_코스수당!$B$15:$F$64,MATCH($G1830,설정_코스수당!$A$15:$A$64,0),MATCH($E1830&amp;"수당",설정_코스수당!$B$14:$F$14,0)),0),0)</f>
        <v>0</v>
      </c>
      <c r="L1830" s="33">
        <f t="array" ref="L1830">IF($O1830="방문완료",IF($H1830="",0,IFERROR(INDEX(설정_코스수당!$B$15:$F$64,MATCH($H1830,설정_코스수당!$A$15:$A$64,0),MATCH($E1830&amp;"수당",설정_코스수당!$B$14:$F$14,0)),0)),0)</f>
        <v>0</v>
      </c>
      <c r="M1830" s="33">
        <f>IF($O1830="방문완료",IFERROR(VLOOKUP($E1830,설정_코스수당!$A$6:$H$10,6,FALSE),0),0)</f>
        <v>0</v>
      </c>
      <c r="N1830" s="34">
        <f t="shared" si="53"/>
        <v>0</v>
      </c>
      <c r="O1830" s="29"/>
      <c r="P1830" s="29"/>
      <c r="Q1830" s="29"/>
      <c r="R1830" s="32"/>
      <c r="S1830" s="29"/>
    </row>
    <row r="1831" spans="1:19" ht="19.5" hidden="1" customHeight="1" outlineLevel="1">
      <c r="A1831" s="23">
        <v>67</v>
      </c>
      <c r="B1831" s="24">
        <f>IF(18&lt;=DAY(DATE(YEAR(설정_코스수당!$K$2),MONTH(설정_코스수당!$K$2)+1,0)),DATE(YEAR(설정_코스수당!$K$2),MONTH(설정_코스수당!$K$2),18),"")</f>
        <v>46191</v>
      </c>
      <c r="C1831" s="25"/>
      <c r="D1831" s="23"/>
      <c r="E1831" s="23"/>
      <c r="F1831" s="26"/>
      <c r="G1831" s="23"/>
      <c r="H1831" s="23"/>
      <c r="I1831" s="23"/>
      <c r="J1831" s="27">
        <f>IF($O1831="방문완료",MAX(0,IFERROR(VLOOKUP($E1831,설정_코스수당!$A$6:$H$10,4,FALSE),0)-IF(OR($P1831="",$P1831="없음"),0,100000)),0)</f>
        <v>0</v>
      </c>
      <c r="K1831" s="27">
        <f t="array" ref="K1831">IF($O1831="방문완료",IFERROR(INDEX(설정_코스수당!$B$15:$F$64,MATCH($G1831,설정_코스수당!$A$15:$A$64,0),MATCH($E1831&amp;"수당",설정_코스수당!$B$14:$F$14,0)),0),0)</f>
        <v>0</v>
      </c>
      <c r="L1831" s="27">
        <f t="array" ref="L1831">IF($O1831="방문완료",IF($H1831="",0,IFERROR(INDEX(설정_코스수당!$B$15:$F$64,MATCH($H1831,설정_코스수당!$A$15:$A$64,0),MATCH($E1831&amp;"수당",설정_코스수당!$B$14:$F$14,0)),0)),0)</f>
        <v>0</v>
      </c>
      <c r="M1831" s="27">
        <f>IF($O1831="방문완료",IFERROR(VLOOKUP($E1831,설정_코스수당!$A$6:$H$10,6,FALSE),0),0)</f>
        <v>0</v>
      </c>
      <c r="N1831" s="28">
        <f t="shared" si="53"/>
        <v>0</v>
      </c>
      <c r="O1831" s="23"/>
      <c r="P1831" s="23"/>
      <c r="Q1831" s="23"/>
      <c r="R1831" s="26"/>
      <c r="S1831" s="23"/>
    </row>
    <row r="1832" spans="1:19" ht="19.5" hidden="1" customHeight="1" outlineLevel="1">
      <c r="A1832" s="29">
        <v>68</v>
      </c>
      <c r="B1832" s="30">
        <f>IF(18&lt;=DAY(DATE(YEAR(설정_코스수당!$K$2),MONTH(설정_코스수당!$K$2)+1,0)),DATE(YEAR(설정_코스수당!$K$2),MONTH(설정_코스수당!$K$2),18),"")</f>
        <v>46191</v>
      </c>
      <c r="C1832" s="31"/>
      <c r="D1832" s="29"/>
      <c r="E1832" s="29"/>
      <c r="F1832" s="32"/>
      <c r="G1832" s="29"/>
      <c r="H1832" s="29"/>
      <c r="I1832" s="29"/>
      <c r="J1832" s="33">
        <f>IF($O1832="방문완료",MAX(0,IFERROR(VLOOKUP($E1832,설정_코스수당!$A$6:$H$10,4,FALSE),0)-IF(OR($P1832="",$P1832="없음"),0,100000)),0)</f>
        <v>0</v>
      </c>
      <c r="K1832" s="33">
        <f t="array" ref="K1832">IF($O1832="방문완료",IFERROR(INDEX(설정_코스수당!$B$15:$F$64,MATCH($G1832,설정_코스수당!$A$15:$A$64,0),MATCH($E1832&amp;"수당",설정_코스수당!$B$14:$F$14,0)),0),0)</f>
        <v>0</v>
      </c>
      <c r="L1832" s="33">
        <f t="array" ref="L1832">IF($O1832="방문완료",IF($H1832="",0,IFERROR(INDEX(설정_코스수당!$B$15:$F$64,MATCH($H1832,설정_코스수당!$A$15:$A$64,0),MATCH($E1832&amp;"수당",설정_코스수당!$B$14:$F$14,0)),0)),0)</f>
        <v>0</v>
      </c>
      <c r="M1832" s="33">
        <f>IF($O1832="방문완료",IFERROR(VLOOKUP($E1832,설정_코스수당!$A$6:$H$10,6,FALSE),0),0)</f>
        <v>0</v>
      </c>
      <c r="N1832" s="34">
        <f t="shared" si="53"/>
        <v>0</v>
      </c>
      <c r="O1832" s="29"/>
      <c r="P1832" s="29"/>
      <c r="Q1832" s="29"/>
      <c r="R1832" s="32"/>
      <c r="S1832" s="29"/>
    </row>
    <row r="1833" spans="1:19" ht="19.5" hidden="1" customHeight="1" outlineLevel="1">
      <c r="A1833" s="23">
        <v>69</v>
      </c>
      <c r="B1833" s="24">
        <f>IF(18&lt;=DAY(DATE(YEAR(설정_코스수당!$K$2),MONTH(설정_코스수당!$K$2)+1,0)),DATE(YEAR(설정_코스수당!$K$2),MONTH(설정_코스수당!$K$2),18),"")</f>
        <v>46191</v>
      </c>
      <c r="C1833" s="25"/>
      <c r="D1833" s="23"/>
      <c r="E1833" s="23"/>
      <c r="F1833" s="26"/>
      <c r="G1833" s="23"/>
      <c r="H1833" s="23"/>
      <c r="I1833" s="23"/>
      <c r="J1833" s="27">
        <f>IF($O1833="방문완료",MAX(0,IFERROR(VLOOKUP($E1833,설정_코스수당!$A$6:$H$10,4,FALSE),0)-IF(OR($P1833="",$P1833="없음"),0,100000)),0)</f>
        <v>0</v>
      </c>
      <c r="K1833" s="27">
        <f t="array" ref="K1833">IF($O1833="방문완료",IFERROR(INDEX(설정_코스수당!$B$15:$F$64,MATCH($G1833,설정_코스수당!$A$15:$A$64,0),MATCH($E1833&amp;"수당",설정_코스수당!$B$14:$F$14,0)),0),0)</f>
        <v>0</v>
      </c>
      <c r="L1833" s="27">
        <f t="array" ref="L1833">IF($O1833="방문완료",IF($H1833="",0,IFERROR(INDEX(설정_코스수당!$B$15:$F$64,MATCH($H1833,설정_코스수당!$A$15:$A$64,0),MATCH($E1833&amp;"수당",설정_코스수당!$B$14:$F$14,0)),0)),0)</f>
        <v>0</v>
      </c>
      <c r="M1833" s="27">
        <f>IF($O1833="방문완료",IFERROR(VLOOKUP($E1833,설정_코스수당!$A$6:$H$10,6,FALSE),0),0)</f>
        <v>0</v>
      </c>
      <c r="N1833" s="28">
        <f t="shared" si="53"/>
        <v>0</v>
      </c>
      <c r="O1833" s="23"/>
      <c r="P1833" s="23"/>
      <c r="Q1833" s="23"/>
      <c r="R1833" s="26"/>
      <c r="S1833" s="23"/>
    </row>
    <row r="1834" spans="1:19" ht="19.5" hidden="1" customHeight="1" outlineLevel="1">
      <c r="A1834" s="29">
        <v>70</v>
      </c>
      <c r="B1834" s="30">
        <f>IF(18&lt;=DAY(DATE(YEAR(설정_코스수당!$K$2),MONTH(설정_코스수당!$K$2)+1,0)),DATE(YEAR(설정_코스수당!$K$2),MONTH(설정_코스수당!$K$2),18),"")</f>
        <v>46191</v>
      </c>
      <c r="C1834" s="31"/>
      <c r="D1834" s="29"/>
      <c r="E1834" s="29"/>
      <c r="F1834" s="32"/>
      <c r="G1834" s="29"/>
      <c r="H1834" s="29"/>
      <c r="I1834" s="29"/>
      <c r="J1834" s="33">
        <f>IF($O1834="방문완료",MAX(0,IFERROR(VLOOKUP($E1834,설정_코스수당!$A$6:$H$10,4,FALSE),0)-IF(OR($P1834="",$P1834="없음"),0,100000)),0)</f>
        <v>0</v>
      </c>
      <c r="K1834" s="33">
        <f t="array" ref="K1834">IF($O1834="방문완료",IFERROR(INDEX(설정_코스수당!$B$15:$F$64,MATCH($G1834,설정_코스수당!$A$15:$A$64,0),MATCH($E1834&amp;"수당",설정_코스수당!$B$14:$F$14,0)),0),0)</f>
        <v>0</v>
      </c>
      <c r="L1834" s="33">
        <f t="array" ref="L1834">IF($O1834="방문완료",IF($H1834="",0,IFERROR(INDEX(설정_코스수당!$B$15:$F$64,MATCH($H1834,설정_코스수당!$A$15:$A$64,0),MATCH($E1834&amp;"수당",설정_코스수당!$B$14:$F$14,0)),0)),0)</f>
        <v>0</v>
      </c>
      <c r="M1834" s="33">
        <f>IF($O1834="방문완료",IFERROR(VLOOKUP($E1834,설정_코스수당!$A$6:$H$10,6,FALSE),0),0)</f>
        <v>0</v>
      </c>
      <c r="N1834" s="34">
        <f t="shared" si="53"/>
        <v>0</v>
      </c>
      <c r="O1834" s="29"/>
      <c r="P1834" s="29"/>
      <c r="Q1834" s="29"/>
      <c r="R1834" s="32"/>
      <c r="S1834" s="29"/>
    </row>
    <row r="1835" spans="1:19" ht="19.5" hidden="1" customHeight="1" outlineLevel="1">
      <c r="A1835" s="23">
        <v>71</v>
      </c>
      <c r="B1835" s="24">
        <f>IF(18&lt;=DAY(DATE(YEAR(설정_코스수당!$K$2),MONTH(설정_코스수당!$K$2)+1,0)),DATE(YEAR(설정_코스수당!$K$2),MONTH(설정_코스수당!$K$2),18),"")</f>
        <v>46191</v>
      </c>
      <c r="C1835" s="25"/>
      <c r="D1835" s="23"/>
      <c r="E1835" s="23"/>
      <c r="F1835" s="26"/>
      <c r="G1835" s="23"/>
      <c r="H1835" s="23"/>
      <c r="I1835" s="23"/>
      <c r="J1835" s="27">
        <f>IF($O1835="방문완료",MAX(0,IFERROR(VLOOKUP($E1835,설정_코스수당!$A$6:$H$10,4,FALSE),0)-IF(OR($P1835="",$P1835="없음"),0,100000)),0)</f>
        <v>0</v>
      </c>
      <c r="K1835" s="27">
        <f t="array" ref="K1835">IF($O1835="방문완료",IFERROR(INDEX(설정_코스수당!$B$15:$F$64,MATCH($G1835,설정_코스수당!$A$15:$A$64,0),MATCH($E1835&amp;"수당",설정_코스수당!$B$14:$F$14,0)),0),0)</f>
        <v>0</v>
      </c>
      <c r="L1835" s="27">
        <f t="array" ref="L1835">IF($O1835="방문완료",IF($H1835="",0,IFERROR(INDEX(설정_코스수당!$B$15:$F$64,MATCH($H1835,설정_코스수당!$A$15:$A$64,0),MATCH($E1835&amp;"수당",설정_코스수당!$B$14:$F$14,0)),0)),0)</f>
        <v>0</v>
      </c>
      <c r="M1835" s="27">
        <f>IF($O1835="방문완료",IFERROR(VLOOKUP($E1835,설정_코스수당!$A$6:$H$10,6,FALSE),0),0)</f>
        <v>0</v>
      </c>
      <c r="N1835" s="28">
        <f t="shared" si="53"/>
        <v>0</v>
      </c>
      <c r="O1835" s="23"/>
      <c r="P1835" s="23"/>
      <c r="Q1835" s="23"/>
      <c r="R1835" s="26"/>
      <c r="S1835" s="23"/>
    </row>
    <row r="1836" spans="1:19" ht="19.5" hidden="1" customHeight="1" outlineLevel="1">
      <c r="A1836" s="29">
        <v>72</v>
      </c>
      <c r="B1836" s="30">
        <f>IF(18&lt;=DAY(DATE(YEAR(설정_코스수당!$K$2),MONTH(설정_코스수당!$K$2)+1,0)),DATE(YEAR(설정_코스수당!$K$2),MONTH(설정_코스수당!$K$2),18),"")</f>
        <v>46191</v>
      </c>
      <c r="C1836" s="31"/>
      <c r="D1836" s="29"/>
      <c r="E1836" s="29"/>
      <c r="F1836" s="32"/>
      <c r="G1836" s="29"/>
      <c r="H1836" s="29"/>
      <c r="I1836" s="29"/>
      <c r="J1836" s="33">
        <f>IF($O1836="방문완료",MAX(0,IFERROR(VLOOKUP($E1836,설정_코스수당!$A$6:$H$10,4,FALSE),0)-IF(OR($P1836="",$P1836="없음"),0,100000)),0)</f>
        <v>0</v>
      </c>
      <c r="K1836" s="33">
        <f t="array" ref="K1836">IF($O1836="방문완료",IFERROR(INDEX(설정_코스수당!$B$15:$F$64,MATCH($G1836,설정_코스수당!$A$15:$A$64,0),MATCH($E1836&amp;"수당",설정_코스수당!$B$14:$F$14,0)),0),0)</f>
        <v>0</v>
      </c>
      <c r="L1836" s="33">
        <f t="array" ref="L1836">IF($O1836="방문완료",IF($H1836="",0,IFERROR(INDEX(설정_코스수당!$B$15:$F$64,MATCH($H1836,설정_코스수당!$A$15:$A$64,0),MATCH($E1836&amp;"수당",설정_코스수당!$B$14:$F$14,0)),0)),0)</f>
        <v>0</v>
      </c>
      <c r="M1836" s="33">
        <f>IF($O1836="방문완료",IFERROR(VLOOKUP($E1836,설정_코스수당!$A$6:$H$10,6,FALSE),0),0)</f>
        <v>0</v>
      </c>
      <c r="N1836" s="34">
        <f t="shared" si="53"/>
        <v>0</v>
      </c>
      <c r="O1836" s="29"/>
      <c r="P1836" s="29"/>
      <c r="Q1836" s="29"/>
      <c r="R1836" s="32"/>
      <c r="S1836" s="29"/>
    </row>
    <row r="1837" spans="1:19" ht="19.5" hidden="1" customHeight="1" outlineLevel="1">
      <c r="A1837" s="23">
        <v>73</v>
      </c>
      <c r="B1837" s="24">
        <f>IF(18&lt;=DAY(DATE(YEAR(설정_코스수당!$K$2),MONTH(설정_코스수당!$K$2)+1,0)),DATE(YEAR(설정_코스수당!$K$2),MONTH(설정_코스수당!$K$2),18),"")</f>
        <v>46191</v>
      </c>
      <c r="C1837" s="25"/>
      <c r="D1837" s="23"/>
      <c r="E1837" s="23"/>
      <c r="F1837" s="26"/>
      <c r="G1837" s="23"/>
      <c r="H1837" s="23"/>
      <c r="I1837" s="23"/>
      <c r="J1837" s="27">
        <f>IF($O1837="방문완료",MAX(0,IFERROR(VLOOKUP($E1837,설정_코스수당!$A$6:$H$10,4,FALSE),0)-IF(OR($P1837="",$P1837="없음"),0,100000)),0)</f>
        <v>0</v>
      </c>
      <c r="K1837" s="27">
        <f t="array" ref="K1837">IF($O1837="방문완료",IFERROR(INDEX(설정_코스수당!$B$15:$F$64,MATCH($G1837,설정_코스수당!$A$15:$A$64,0),MATCH($E1837&amp;"수당",설정_코스수당!$B$14:$F$14,0)),0),0)</f>
        <v>0</v>
      </c>
      <c r="L1837" s="27">
        <f t="array" ref="L1837">IF($O1837="방문완료",IF($H1837="",0,IFERROR(INDEX(설정_코스수당!$B$15:$F$64,MATCH($H1837,설정_코스수당!$A$15:$A$64,0),MATCH($E1837&amp;"수당",설정_코스수당!$B$14:$F$14,0)),0)),0)</f>
        <v>0</v>
      </c>
      <c r="M1837" s="27">
        <f>IF($O1837="방문완료",IFERROR(VLOOKUP($E1837,설정_코스수당!$A$6:$H$10,6,FALSE),0),0)</f>
        <v>0</v>
      </c>
      <c r="N1837" s="28">
        <f t="shared" si="53"/>
        <v>0</v>
      </c>
      <c r="O1837" s="23"/>
      <c r="P1837" s="23"/>
      <c r="Q1837" s="23"/>
      <c r="R1837" s="26"/>
      <c r="S1837" s="23"/>
    </row>
    <row r="1838" spans="1:19" ht="19.5" hidden="1" customHeight="1" outlineLevel="1">
      <c r="A1838" s="29">
        <v>74</v>
      </c>
      <c r="B1838" s="30">
        <f>IF(18&lt;=DAY(DATE(YEAR(설정_코스수당!$K$2),MONTH(설정_코스수당!$K$2)+1,0)),DATE(YEAR(설정_코스수당!$K$2),MONTH(설정_코스수당!$K$2),18),"")</f>
        <v>46191</v>
      </c>
      <c r="C1838" s="31"/>
      <c r="D1838" s="29"/>
      <c r="E1838" s="29"/>
      <c r="F1838" s="32"/>
      <c r="G1838" s="29"/>
      <c r="H1838" s="29"/>
      <c r="I1838" s="29"/>
      <c r="J1838" s="33">
        <f>IF($O1838="방문완료",MAX(0,IFERROR(VLOOKUP($E1838,설정_코스수당!$A$6:$H$10,4,FALSE),0)-IF(OR($P1838="",$P1838="없음"),0,100000)),0)</f>
        <v>0</v>
      </c>
      <c r="K1838" s="33">
        <f t="array" ref="K1838">IF($O1838="방문완료",IFERROR(INDEX(설정_코스수당!$B$15:$F$64,MATCH($G1838,설정_코스수당!$A$15:$A$64,0),MATCH($E1838&amp;"수당",설정_코스수당!$B$14:$F$14,0)),0),0)</f>
        <v>0</v>
      </c>
      <c r="L1838" s="33">
        <f t="array" ref="L1838">IF($O1838="방문완료",IF($H1838="",0,IFERROR(INDEX(설정_코스수당!$B$15:$F$64,MATCH($H1838,설정_코스수당!$A$15:$A$64,0),MATCH($E1838&amp;"수당",설정_코스수당!$B$14:$F$14,0)),0)),0)</f>
        <v>0</v>
      </c>
      <c r="M1838" s="33">
        <f>IF($O1838="방문완료",IFERROR(VLOOKUP($E1838,설정_코스수당!$A$6:$H$10,6,FALSE),0),0)</f>
        <v>0</v>
      </c>
      <c r="N1838" s="34">
        <f t="shared" si="53"/>
        <v>0</v>
      </c>
      <c r="O1838" s="29"/>
      <c r="P1838" s="29"/>
      <c r="Q1838" s="29"/>
      <c r="R1838" s="32"/>
      <c r="S1838" s="29"/>
    </row>
    <row r="1839" spans="1:19" ht="19.5" hidden="1" customHeight="1" outlineLevel="1">
      <c r="A1839" s="23">
        <v>75</v>
      </c>
      <c r="B1839" s="24">
        <f>IF(18&lt;=DAY(DATE(YEAR(설정_코스수당!$K$2),MONTH(설정_코스수당!$K$2)+1,0)),DATE(YEAR(설정_코스수당!$K$2),MONTH(설정_코스수당!$K$2),18),"")</f>
        <v>46191</v>
      </c>
      <c r="C1839" s="25"/>
      <c r="D1839" s="23"/>
      <c r="E1839" s="23"/>
      <c r="F1839" s="26"/>
      <c r="G1839" s="23"/>
      <c r="H1839" s="23"/>
      <c r="I1839" s="23"/>
      <c r="J1839" s="27">
        <f>IF($O1839="방문완료",MAX(0,IFERROR(VLOOKUP($E1839,설정_코스수당!$A$6:$H$10,4,FALSE),0)-IF(OR($P1839="",$P1839="없음"),0,100000)),0)</f>
        <v>0</v>
      </c>
      <c r="K1839" s="27">
        <f t="array" ref="K1839">IF($O1839="방문완료",IFERROR(INDEX(설정_코스수당!$B$15:$F$64,MATCH($G1839,설정_코스수당!$A$15:$A$64,0),MATCH($E1839&amp;"수당",설정_코스수당!$B$14:$F$14,0)),0),0)</f>
        <v>0</v>
      </c>
      <c r="L1839" s="27">
        <f t="array" ref="L1839">IF($O1839="방문완료",IF($H1839="",0,IFERROR(INDEX(설정_코스수당!$B$15:$F$64,MATCH($H1839,설정_코스수당!$A$15:$A$64,0),MATCH($E1839&amp;"수당",설정_코스수당!$B$14:$F$14,0)),0)),0)</f>
        <v>0</v>
      </c>
      <c r="M1839" s="27">
        <f>IF($O1839="방문완료",IFERROR(VLOOKUP($E1839,설정_코스수당!$A$6:$H$10,6,FALSE),0),0)</f>
        <v>0</v>
      </c>
      <c r="N1839" s="28">
        <f t="shared" si="53"/>
        <v>0</v>
      </c>
      <c r="O1839" s="23"/>
      <c r="P1839" s="23"/>
      <c r="Q1839" s="23"/>
      <c r="R1839" s="26"/>
      <c r="S1839" s="23"/>
    </row>
    <row r="1840" spans="1:19" ht="19.5" hidden="1" customHeight="1" outlineLevel="1">
      <c r="A1840" s="29">
        <v>76</v>
      </c>
      <c r="B1840" s="30">
        <f>IF(18&lt;=DAY(DATE(YEAR(설정_코스수당!$K$2),MONTH(설정_코스수당!$K$2)+1,0)),DATE(YEAR(설정_코스수당!$K$2),MONTH(설정_코스수당!$K$2),18),"")</f>
        <v>46191</v>
      </c>
      <c r="C1840" s="31"/>
      <c r="D1840" s="29"/>
      <c r="E1840" s="29"/>
      <c r="F1840" s="32"/>
      <c r="G1840" s="29"/>
      <c r="H1840" s="29"/>
      <c r="I1840" s="29"/>
      <c r="J1840" s="33">
        <f>IF($O1840="방문완료",MAX(0,IFERROR(VLOOKUP($E1840,설정_코스수당!$A$6:$H$10,4,FALSE),0)-IF(OR($P1840="",$P1840="없음"),0,100000)),0)</f>
        <v>0</v>
      </c>
      <c r="K1840" s="33">
        <f t="array" ref="K1840">IF($O1840="방문완료",IFERROR(INDEX(설정_코스수당!$B$15:$F$64,MATCH($G1840,설정_코스수당!$A$15:$A$64,0),MATCH($E1840&amp;"수당",설정_코스수당!$B$14:$F$14,0)),0),0)</f>
        <v>0</v>
      </c>
      <c r="L1840" s="33">
        <f t="array" ref="L1840">IF($O1840="방문완료",IF($H1840="",0,IFERROR(INDEX(설정_코스수당!$B$15:$F$64,MATCH($H1840,설정_코스수당!$A$15:$A$64,0),MATCH($E1840&amp;"수당",설정_코스수당!$B$14:$F$14,0)),0)),0)</f>
        <v>0</v>
      </c>
      <c r="M1840" s="33">
        <f>IF($O1840="방문완료",IFERROR(VLOOKUP($E1840,설정_코스수당!$A$6:$H$10,6,FALSE),0),0)</f>
        <v>0</v>
      </c>
      <c r="N1840" s="34">
        <f t="shared" si="53"/>
        <v>0</v>
      </c>
      <c r="O1840" s="29"/>
      <c r="P1840" s="29"/>
      <c r="Q1840" s="29"/>
      <c r="R1840" s="32"/>
      <c r="S1840" s="29"/>
    </row>
    <row r="1841" spans="1:19" ht="19.5" hidden="1" customHeight="1" outlineLevel="1">
      <c r="A1841" s="23">
        <v>77</v>
      </c>
      <c r="B1841" s="24">
        <f>IF(18&lt;=DAY(DATE(YEAR(설정_코스수당!$K$2),MONTH(설정_코스수당!$K$2)+1,0)),DATE(YEAR(설정_코스수당!$K$2),MONTH(설정_코스수당!$K$2),18),"")</f>
        <v>46191</v>
      </c>
      <c r="C1841" s="25"/>
      <c r="D1841" s="23"/>
      <c r="E1841" s="23"/>
      <c r="F1841" s="26"/>
      <c r="G1841" s="23"/>
      <c r="H1841" s="23"/>
      <c r="I1841" s="23"/>
      <c r="J1841" s="27">
        <f>IF($O1841="방문완료",MAX(0,IFERROR(VLOOKUP($E1841,설정_코스수당!$A$6:$H$10,4,FALSE),0)-IF(OR($P1841="",$P1841="없음"),0,100000)),0)</f>
        <v>0</v>
      </c>
      <c r="K1841" s="27">
        <f t="array" ref="K1841">IF($O1841="방문완료",IFERROR(INDEX(설정_코스수당!$B$15:$F$64,MATCH($G1841,설정_코스수당!$A$15:$A$64,0),MATCH($E1841&amp;"수당",설정_코스수당!$B$14:$F$14,0)),0),0)</f>
        <v>0</v>
      </c>
      <c r="L1841" s="27">
        <f t="array" ref="L1841">IF($O1841="방문완료",IF($H1841="",0,IFERROR(INDEX(설정_코스수당!$B$15:$F$64,MATCH($H1841,설정_코스수당!$A$15:$A$64,0),MATCH($E1841&amp;"수당",설정_코스수당!$B$14:$F$14,0)),0)),0)</f>
        <v>0</v>
      </c>
      <c r="M1841" s="27">
        <f>IF($O1841="방문완료",IFERROR(VLOOKUP($E1841,설정_코스수당!$A$6:$H$10,6,FALSE),0),0)</f>
        <v>0</v>
      </c>
      <c r="N1841" s="28">
        <f t="shared" si="53"/>
        <v>0</v>
      </c>
      <c r="O1841" s="23"/>
      <c r="P1841" s="23"/>
      <c r="Q1841" s="23"/>
      <c r="R1841" s="26"/>
      <c r="S1841" s="23"/>
    </row>
    <row r="1842" spans="1:19" ht="19.5" hidden="1" customHeight="1" outlineLevel="1">
      <c r="A1842" s="29">
        <v>78</v>
      </c>
      <c r="B1842" s="30">
        <f>IF(18&lt;=DAY(DATE(YEAR(설정_코스수당!$K$2),MONTH(설정_코스수당!$K$2)+1,0)),DATE(YEAR(설정_코스수당!$K$2),MONTH(설정_코스수당!$K$2),18),"")</f>
        <v>46191</v>
      </c>
      <c r="C1842" s="31"/>
      <c r="D1842" s="29"/>
      <c r="E1842" s="29"/>
      <c r="F1842" s="32"/>
      <c r="G1842" s="29"/>
      <c r="H1842" s="29"/>
      <c r="I1842" s="29"/>
      <c r="J1842" s="33">
        <f>IF($O1842="방문완료",MAX(0,IFERROR(VLOOKUP($E1842,설정_코스수당!$A$6:$H$10,4,FALSE),0)-IF(OR($P1842="",$P1842="없음"),0,100000)),0)</f>
        <v>0</v>
      </c>
      <c r="K1842" s="33">
        <f t="array" ref="K1842">IF($O1842="방문완료",IFERROR(INDEX(설정_코스수당!$B$15:$F$64,MATCH($G1842,설정_코스수당!$A$15:$A$64,0),MATCH($E1842&amp;"수당",설정_코스수당!$B$14:$F$14,0)),0),0)</f>
        <v>0</v>
      </c>
      <c r="L1842" s="33">
        <f t="array" ref="L1842">IF($O1842="방문완료",IF($H1842="",0,IFERROR(INDEX(설정_코스수당!$B$15:$F$64,MATCH($H1842,설정_코스수당!$A$15:$A$64,0),MATCH($E1842&amp;"수당",설정_코스수당!$B$14:$F$14,0)),0)),0)</f>
        <v>0</v>
      </c>
      <c r="M1842" s="33">
        <f>IF($O1842="방문완료",IFERROR(VLOOKUP($E1842,설정_코스수당!$A$6:$H$10,6,FALSE),0),0)</f>
        <v>0</v>
      </c>
      <c r="N1842" s="34">
        <f t="shared" si="53"/>
        <v>0</v>
      </c>
      <c r="O1842" s="29"/>
      <c r="P1842" s="29"/>
      <c r="Q1842" s="29"/>
      <c r="R1842" s="32"/>
      <c r="S1842" s="29"/>
    </row>
    <row r="1843" spans="1:19" ht="19.5" hidden="1" customHeight="1" outlineLevel="1">
      <c r="A1843" s="23">
        <v>79</v>
      </c>
      <c r="B1843" s="24">
        <f>IF(18&lt;=DAY(DATE(YEAR(설정_코스수당!$K$2),MONTH(설정_코스수당!$K$2)+1,0)),DATE(YEAR(설정_코스수당!$K$2),MONTH(설정_코스수당!$K$2),18),"")</f>
        <v>46191</v>
      </c>
      <c r="C1843" s="25"/>
      <c r="D1843" s="23"/>
      <c r="E1843" s="23"/>
      <c r="F1843" s="26"/>
      <c r="G1843" s="23"/>
      <c r="H1843" s="23"/>
      <c r="I1843" s="23"/>
      <c r="J1843" s="27">
        <f>IF($O1843="방문완료",MAX(0,IFERROR(VLOOKUP($E1843,설정_코스수당!$A$6:$H$10,4,FALSE),0)-IF(OR($P1843="",$P1843="없음"),0,100000)),0)</f>
        <v>0</v>
      </c>
      <c r="K1843" s="27">
        <f t="array" ref="K1843">IF($O1843="방문완료",IFERROR(INDEX(설정_코스수당!$B$15:$F$64,MATCH($G1843,설정_코스수당!$A$15:$A$64,0),MATCH($E1843&amp;"수당",설정_코스수당!$B$14:$F$14,0)),0),0)</f>
        <v>0</v>
      </c>
      <c r="L1843" s="27">
        <f t="array" ref="L1843">IF($O1843="방문완료",IF($H1843="",0,IFERROR(INDEX(설정_코스수당!$B$15:$F$64,MATCH($H1843,설정_코스수당!$A$15:$A$64,0),MATCH($E1843&amp;"수당",설정_코스수당!$B$14:$F$14,0)),0)),0)</f>
        <v>0</v>
      </c>
      <c r="M1843" s="27">
        <f>IF($O1843="방문완료",IFERROR(VLOOKUP($E1843,설정_코스수당!$A$6:$H$10,6,FALSE),0),0)</f>
        <v>0</v>
      </c>
      <c r="N1843" s="28">
        <f t="shared" si="53"/>
        <v>0</v>
      </c>
      <c r="O1843" s="23"/>
      <c r="P1843" s="23"/>
      <c r="Q1843" s="23"/>
      <c r="R1843" s="26"/>
      <c r="S1843" s="23"/>
    </row>
    <row r="1844" spans="1:19" ht="19.5" hidden="1" customHeight="1" outlineLevel="1">
      <c r="A1844" s="29">
        <v>80</v>
      </c>
      <c r="B1844" s="30">
        <f>IF(18&lt;=DAY(DATE(YEAR(설정_코스수당!$K$2),MONTH(설정_코스수당!$K$2)+1,0)),DATE(YEAR(설정_코스수당!$K$2),MONTH(설정_코스수당!$K$2),18),"")</f>
        <v>46191</v>
      </c>
      <c r="C1844" s="31"/>
      <c r="D1844" s="29"/>
      <c r="E1844" s="29"/>
      <c r="F1844" s="32"/>
      <c r="G1844" s="29"/>
      <c r="H1844" s="29"/>
      <c r="I1844" s="29"/>
      <c r="J1844" s="33">
        <f>IF($O1844="방문완료",MAX(0,IFERROR(VLOOKUP($E1844,설정_코스수당!$A$6:$H$10,4,FALSE),0)-IF(OR($P1844="",$P1844="없음"),0,100000)),0)</f>
        <v>0</v>
      </c>
      <c r="K1844" s="33">
        <f t="array" ref="K1844">IF($O1844="방문완료",IFERROR(INDEX(설정_코스수당!$B$15:$F$64,MATCH($G1844,설정_코스수당!$A$15:$A$64,0),MATCH($E1844&amp;"수당",설정_코스수당!$B$14:$F$14,0)),0),0)</f>
        <v>0</v>
      </c>
      <c r="L1844" s="33">
        <f t="array" ref="L1844">IF($O1844="방문완료",IF($H1844="",0,IFERROR(INDEX(설정_코스수당!$B$15:$F$64,MATCH($H1844,설정_코스수당!$A$15:$A$64,0),MATCH($E1844&amp;"수당",설정_코스수당!$B$14:$F$14,0)),0)),0)</f>
        <v>0</v>
      </c>
      <c r="M1844" s="33">
        <f>IF($O1844="방문완료",IFERROR(VLOOKUP($E1844,설정_코스수당!$A$6:$H$10,6,FALSE),0),0)</f>
        <v>0</v>
      </c>
      <c r="N1844" s="34">
        <f t="shared" si="53"/>
        <v>0</v>
      </c>
      <c r="O1844" s="29"/>
      <c r="P1844" s="29"/>
      <c r="Q1844" s="29"/>
      <c r="R1844" s="32"/>
      <c r="S1844" s="29"/>
    </row>
    <row r="1845" spans="1:19" ht="19.5" hidden="1" customHeight="1" outlineLevel="1">
      <c r="A1845" s="23">
        <v>81</v>
      </c>
      <c r="B1845" s="24">
        <f>IF(18&lt;=DAY(DATE(YEAR(설정_코스수당!$K$2),MONTH(설정_코스수당!$K$2)+1,0)),DATE(YEAR(설정_코스수당!$K$2),MONTH(설정_코스수당!$K$2),18),"")</f>
        <v>46191</v>
      </c>
      <c r="C1845" s="25"/>
      <c r="D1845" s="23"/>
      <c r="E1845" s="23"/>
      <c r="F1845" s="26"/>
      <c r="G1845" s="23"/>
      <c r="H1845" s="23"/>
      <c r="I1845" s="23"/>
      <c r="J1845" s="27">
        <f>IF($O1845="방문완료",MAX(0,IFERROR(VLOOKUP($E1845,설정_코스수당!$A$6:$H$10,4,FALSE),0)-IF(OR($P1845="",$P1845="없음"),0,100000)),0)</f>
        <v>0</v>
      </c>
      <c r="K1845" s="27">
        <f t="array" ref="K1845">IF($O1845="방문완료",IFERROR(INDEX(설정_코스수당!$B$15:$F$64,MATCH($G1845,설정_코스수당!$A$15:$A$64,0),MATCH($E1845&amp;"수당",설정_코스수당!$B$14:$F$14,0)),0),0)</f>
        <v>0</v>
      </c>
      <c r="L1845" s="27">
        <f t="array" ref="L1845">IF($O1845="방문완료",IF($H1845="",0,IFERROR(INDEX(설정_코스수당!$B$15:$F$64,MATCH($H1845,설정_코스수당!$A$15:$A$64,0),MATCH($E1845&amp;"수당",설정_코스수당!$B$14:$F$14,0)),0)),0)</f>
        <v>0</v>
      </c>
      <c r="M1845" s="27">
        <f>IF($O1845="방문완료",IFERROR(VLOOKUP($E1845,설정_코스수당!$A$6:$H$10,6,FALSE),0),0)</f>
        <v>0</v>
      </c>
      <c r="N1845" s="28">
        <f t="shared" si="53"/>
        <v>0</v>
      </c>
      <c r="O1845" s="23"/>
      <c r="P1845" s="23"/>
      <c r="Q1845" s="23"/>
      <c r="R1845" s="26"/>
      <c r="S1845" s="23"/>
    </row>
    <row r="1846" spans="1:19" ht="19.5" hidden="1" customHeight="1" outlineLevel="1">
      <c r="A1846" s="29">
        <v>82</v>
      </c>
      <c r="B1846" s="30">
        <f>IF(18&lt;=DAY(DATE(YEAR(설정_코스수당!$K$2),MONTH(설정_코스수당!$K$2)+1,0)),DATE(YEAR(설정_코스수당!$K$2),MONTH(설정_코스수당!$K$2),18),"")</f>
        <v>46191</v>
      </c>
      <c r="C1846" s="31"/>
      <c r="D1846" s="29"/>
      <c r="E1846" s="29"/>
      <c r="F1846" s="32"/>
      <c r="G1846" s="29"/>
      <c r="H1846" s="29"/>
      <c r="I1846" s="29"/>
      <c r="J1846" s="33">
        <f>IF($O1846="방문완료",MAX(0,IFERROR(VLOOKUP($E1846,설정_코스수당!$A$6:$H$10,4,FALSE),0)-IF(OR($P1846="",$P1846="없음"),0,100000)),0)</f>
        <v>0</v>
      </c>
      <c r="K1846" s="33">
        <f t="array" ref="K1846">IF($O1846="방문완료",IFERROR(INDEX(설정_코스수당!$B$15:$F$64,MATCH($G1846,설정_코스수당!$A$15:$A$64,0),MATCH($E1846&amp;"수당",설정_코스수당!$B$14:$F$14,0)),0),0)</f>
        <v>0</v>
      </c>
      <c r="L1846" s="33">
        <f t="array" ref="L1846">IF($O1846="방문완료",IF($H1846="",0,IFERROR(INDEX(설정_코스수당!$B$15:$F$64,MATCH($H1846,설정_코스수당!$A$15:$A$64,0),MATCH($E1846&amp;"수당",설정_코스수당!$B$14:$F$14,0)),0)),0)</f>
        <v>0</v>
      </c>
      <c r="M1846" s="33">
        <f>IF($O1846="방문완료",IFERROR(VLOOKUP($E1846,설정_코스수당!$A$6:$H$10,6,FALSE),0),0)</f>
        <v>0</v>
      </c>
      <c r="N1846" s="34">
        <f t="shared" si="53"/>
        <v>0</v>
      </c>
      <c r="O1846" s="29"/>
      <c r="P1846" s="29"/>
      <c r="Q1846" s="29"/>
      <c r="R1846" s="32"/>
      <c r="S1846" s="29"/>
    </row>
    <row r="1847" spans="1:19" ht="19.5" hidden="1" customHeight="1" outlineLevel="1">
      <c r="A1847" s="23">
        <v>83</v>
      </c>
      <c r="B1847" s="24">
        <f>IF(18&lt;=DAY(DATE(YEAR(설정_코스수당!$K$2),MONTH(설정_코스수당!$K$2)+1,0)),DATE(YEAR(설정_코스수당!$K$2),MONTH(설정_코스수당!$K$2),18),"")</f>
        <v>46191</v>
      </c>
      <c r="C1847" s="25"/>
      <c r="D1847" s="23"/>
      <c r="E1847" s="23"/>
      <c r="F1847" s="26"/>
      <c r="G1847" s="23"/>
      <c r="H1847" s="23"/>
      <c r="I1847" s="23"/>
      <c r="J1847" s="27">
        <f>IF($O1847="방문완료",MAX(0,IFERROR(VLOOKUP($E1847,설정_코스수당!$A$6:$H$10,4,FALSE),0)-IF(OR($P1847="",$P1847="없음"),0,100000)),0)</f>
        <v>0</v>
      </c>
      <c r="K1847" s="27">
        <f t="array" ref="K1847">IF($O1847="방문완료",IFERROR(INDEX(설정_코스수당!$B$15:$F$64,MATCH($G1847,설정_코스수당!$A$15:$A$64,0),MATCH($E1847&amp;"수당",설정_코스수당!$B$14:$F$14,0)),0),0)</f>
        <v>0</v>
      </c>
      <c r="L1847" s="27">
        <f t="array" ref="L1847">IF($O1847="방문완료",IF($H1847="",0,IFERROR(INDEX(설정_코스수당!$B$15:$F$64,MATCH($H1847,설정_코스수당!$A$15:$A$64,0),MATCH($E1847&amp;"수당",설정_코스수당!$B$14:$F$14,0)),0)),0)</f>
        <v>0</v>
      </c>
      <c r="M1847" s="27">
        <f>IF($O1847="방문완료",IFERROR(VLOOKUP($E1847,설정_코스수당!$A$6:$H$10,6,FALSE),0),0)</f>
        <v>0</v>
      </c>
      <c r="N1847" s="28">
        <f t="shared" si="53"/>
        <v>0</v>
      </c>
      <c r="O1847" s="23"/>
      <c r="P1847" s="23"/>
      <c r="Q1847" s="23"/>
      <c r="R1847" s="26"/>
      <c r="S1847" s="23"/>
    </row>
    <row r="1848" spans="1:19" ht="19.5" hidden="1" customHeight="1" outlineLevel="1">
      <c r="A1848" s="29">
        <v>84</v>
      </c>
      <c r="B1848" s="30">
        <f>IF(18&lt;=DAY(DATE(YEAR(설정_코스수당!$K$2),MONTH(설정_코스수당!$K$2)+1,0)),DATE(YEAR(설정_코스수당!$K$2),MONTH(설정_코스수당!$K$2),18),"")</f>
        <v>46191</v>
      </c>
      <c r="C1848" s="31"/>
      <c r="D1848" s="29"/>
      <c r="E1848" s="29"/>
      <c r="F1848" s="32"/>
      <c r="G1848" s="29"/>
      <c r="H1848" s="29"/>
      <c r="I1848" s="29"/>
      <c r="J1848" s="33">
        <f>IF($O1848="방문완료",MAX(0,IFERROR(VLOOKUP($E1848,설정_코스수당!$A$6:$H$10,4,FALSE),0)-IF(OR($P1848="",$P1848="없음"),0,100000)),0)</f>
        <v>0</v>
      </c>
      <c r="K1848" s="33">
        <f t="array" ref="K1848">IF($O1848="방문완료",IFERROR(INDEX(설정_코스수당!$B$15:$F$64,MATCH($G1848,설정_코스수당!$A$15:$A$64,0),MATCH($E1848&amp;"수당",설정_코스수당!$B$14:$F$14,0)),0),0)</f>
        <v>0</v>
      </c>
      <c r="L1848" s="33">
        <f t="array" ref="L1848">IF($O1848="방문완료",IF($H1848="",0,IFERROR(INDEX(설정_코스수당!$B$15:$F$64,MATCH($H1848,설정_코스수당!$A$15:$A$64,0),MATCH($E1848&amp;"수당",설정_코스수당!$B$14:$F$14,0)),0)),0)</f>
        <v>0</v>
      </c>
      <c r="M1848" s="33">
        <f>IF($O1848="방문완료",IFERROR(VLOOKUP($E1848,설정_코스수당!$A$6:$H$10,6,FALSE),0),0)</f>
        <v>0</v>
      </c>
      <c r="N1848" s="34">
        <f t="shared" si="53"/>
        <v>0</v>
      </c>
      <c r="O1848" s="29"/>
      <c r="P1848" s="29"/>
      <c r="Q1848" s="29"/>
      <c r="R1848" s="32"/>
      <c r="S1848" s="29"/>
    </row>
    <row r="1849" spans="1:19" ht="19.5" hidden="1" customHeight="1" outlineLevel="1">
      <c r="A1849" s="23">
        <v>85</v>
      </c>
      <c r="B1849" s="24">
        <f>IF(18&lt;=DAY(DATE(YEAR(설정_코스수당!$K$2),MONTH(설정_코스수당!$K$2)+1,0)),DATE(YEAR(설정_코스수당!$K$2),MONTH(설정_코스수당!$K$2),18),"")</f>
        <v>46191</v>
      </c>
      <c r="C1849" s="25"/>
      <c r="D1849" s="23"/>
      <c r="E1849" s="23"/>
      <c r="F1849" s="26"/>
      <c r="G1849" s="23"/>
      <c r="H1849" s="23"/>
      <c r="I1849" s="23"/>
      <c r="J1849" s="27">
        <f>IF($O1849="방문완료",MAX(0,IFERROR(VLOOKUP($E1849,설정_코스수당!$A$6:$H$10,4,FALSE),0)-IF(OR($P1849="",$P1849="없음"),0,100000)),0)</f>
        <v>0</v>
      </c>
      <c r="K1849" s="27">
        <f t="array" ref="K1849">IF($O1849="방문완료",IFERROR(INDEX(설정_코스수당!$B$15:$F$64,MATCH($G1849,설정_코스수당!$A$15:$A$64,0),MATCH($E1849&amp;"수당",설정_코스수당!$B$14:$F$14,0)),0),0)</f>
        <v>0</v>
      </c>
      <c r="L1849" s="27">
        <f t="array" ref="L1849">IF($O1849="방문완료",IF($H1849="",0,IFERROR(INDEX(설정_코스수당!$B$15:$F$64,MATCH($H1849,설정_코스수당!$A$15:$A$64,0),MATCH($E1849&amp;"수당",설정_코스수당!$B$14:$F$14,0)),0)),0)</f>
        <v>0</v>
      </c>
      <c r="M1849" s="27">
        <f>IF($O1849="방문완료",IFERROR(VLOOKUP($E1849,설정_코스수당!$A$6:$H$10,6,FALSE),0),0)</f>
        <v>0</v>
      </c>
      <c r="N1849" s="28">
        <f t="shared" si="53"/>
        <v>0</v>
      </c>
      <c r="O1849" s="23"/>
      <c r="P1849" s="23"/>
      <c r="Q1849" s="23"/>
      <c r="R1849" s="26"/>
      <c r="S1849" s="23"/>
    </row>
    <row r="1850" spans="1:19" ht="19.5" hidden="1" customHeight="1" outlineLevel="1">
      <c r="A1850" s="29">
        <v>86</v>
      </c>
      <c r="B1850" s="30">
        <f>IF(18&lt;=DAY(DATE(YEAR(설정_코스수당!$K$2),MONTH(설정_코스수당!$K$2)+1,0)),DATE(YEAR(설정_코스수당!$K$2),MONTH(설정_코스수당!$K$2),18),"")</f>
        <v>46191</v>
      </c>
      <c r="C1850" s="31"/>
      <c r="D1850" s="29"/>
      <c r="E1850" s="29"/>
      <c r="F1850" s="32"/>
      <c r="G1850" s="29"/>
      <c r="H1850" s="29"/>
      <c r="I1850" s="29"/>
      <c r="J1850" s="33">
        <f>IF($O1850="방문완료",MAX(0,IFERROR(VLOOKUP($E1850,설정_코스수당!$A$6:$H$10,4,FALSE),0)-IF(OR($P1850="",$P1850="없음"),0,100000)),0)</f>
        <v>0</v>
      </c>
      <c r="K1850" s="33">
        <f t="array" ref="K1850">IF($O1850="방문완료",IFERROR(INDEX(설정_코스수당!$B$15:$F$64,MATCH($G1850,설정_코스수당!$A$15:$A$64,0),MATCH($E1850&amp;"수당",설정_코스수당!$B$14:$F$14,0)),0),0)</f>
        <v>0</v>
      </c>
      <c r="L1850" s="33">
        <f t="array" ref="L1850">IF($O1850="방문완료",IF($H1850="",0,IFERROR(INDEX(설정_코스수당!$B$15:$F$64,MATCH($H1850,설정_코스수당!$A$15:$A$64,0),MATCH($E1850&amp;"수당",설정_코스수당!$B$14:$F$14,0)),0)),0)</f>
        <v>0</v>
      </c>
      <c r="M1850" s="33">
        <f>IF($O1850="방문완료",IFERROR(VLOOKUP($E1850,설정_코스수당!$A$6:$H$10,6,FALSE),0),0)</f>
        <v>0</v>
      </c>
      <c r="N1850" s="34">
        <f t="shared" si="53"/>
        <v>0</v>
      </c>
      <c r="O1850" s="29"/>
      <c r="P1850" s="29"/>
      <c r="Q1850" s="29"/>
      <c r="R1850" s="32"/>
      <c r="S1850" s="29"/>
    </row>
    <row r="1851" spans="1:19" ht="19.5" hidden="1" customHeight="1" outlineLevel="1">
      <c r="A1851" s="23">
        <v>87</v>
      </c>
      <c r="B1851" s="24">
        <f>IF(18&lt;=DAY(DATE(YEAR(설정_코스수당!$K$2),MONTH(설정_코스수당!$K$2)+1,0)),DATE(YEAR(설정_코스수당!$K$2),MONTH(설정_코스수당!$K$2),18),"")</f>
        <v>46191</v>
      </c>
      <c r="C1851" s="25"/>
      <c r="D1851" s="23"/>
      <c r="E1851" s="23"/>
      <c r="F1851" s="26"/>
      <c r="G1851" s="23"/>
      <c r="H1851" s="23"/>
      <c r="I1851" s="23"/>
      <c r="J1851" s="27">
        <f>IF($O1851="방문완료",MAX(0,IFERROR(VLOOKUP($E1851,설정_코스수당!$A$6:$H$10,4,FALSE),0)-IF(OR($P1851="",$P1851="없음"),0,100000)),0)</f>
        <v>0</v>
      </c>
      <c r="K1851" s="27">
        <f t="array" ref="K1851">IF($O1851="방문완료",IFERROR(INDEX(설정_코스수당!$B$15:$F$64,MATCH($G1851,설정_코스수당!$A$15:$A$64,0),MATCH($E1851&amp;"수당",설정_코스수당!$B$14:$F$14,0)),0),0)</f>
        <v>0</v>
      </c>
      <c r="L1851" s="27">
        <f t="array" ref="L1851">IF($O1851="방문완료",IF($H1851="",0,IFERROR(INDEX(설정_코스수당!$B$15:$F$64,MATCH($H1851,설정_코스수당!$A$15:$A$64,0),MATCH($E1851&amp;"수당",설정_코스수당!$B$14:$F$14,0)),0)),0)</f>
        <v>0</v>
      </c>
      <c r="M1851" s="27">
        <f>IF($O1851="방문완료",IFERROR(VLOOKUP($E1851,설정_코스수당!$A$6:$H$10,6,FALSE),0),0)</f>
        <v>0</v>
      </c>
      <c r="N1851" s="28">
        <f t="shared" si="53"/>
        <v>0</v>
      </c>
      <c r="O1851" s="23"/>
      <c r="P1851" s="23"/>
      <c r="Q1851" s="23"/>
      <c r="R1851" s="26"/>
      <c r="S1851" s="23"/>
    </row>
    <row r="1852" spans="1:19" ht="19.5" hidden="1" customHeight="1" outlineLevel="1">
      <c r="A1852" s="29">
        <v>88</v>
      </c>
      <c r="B1852" s="30">
        <f>IF(18&lt;=DAY(DATE(YEAR(설정_코스수당!$K$2),MONTH(설정_코스수당!$K$2)+1,0)),DATE(YEAR(설정_코스수당!$K$2),MONTH(설정_코스수당!$K$2),18),"")</f>
        <v>46191</v>
      </c>
      <c r="C1852" s="31"/>
      <c r="D1852" s="29"/>
      <c r="E1852" s="29"/>
      <c r="F1852" s="32"/>
      <c r="G1852" s="29"/>
      <c r="H1852" s="29"/>
      <c r="I1852" s="29"/>
      <c r="J1852" s="33">
        <f>IF($O1852="방문완료",MAX(0,IFERROR(VLOOKUP($E1852,설정_코스수당!$A$6:$H$10,4,FALSE),0)-IF(OR($P1852="",$P1852="없음"),0,100000)),0)</f>
        <v>0</v>
      </c>
      <c r="K1852" s="33">
        <f t="array" ref="K1852">IF($O1852="방문완료",IFERROR(INDEX(설정_코스수당!$B$15:$F$64,MATCH($G1852,설정_코스수당!$A$15:$A$64,0),MATCH($E1852&amp;"수당",설정_코스수당!$B$14:$F$14,0)),0),0)</f>
        <v>0</v>
      </c>
      <c r="L1852" s="33">
        <f t="array" ref="L1852">IF($O1852="방문완료",IF($H1852="",0,IFERROR(INDEX(설정_코스수당!$B$15:$F$64,MATCH($H1852,설정_코스수당!$A$15:$A$64,0),MATCH($E1852&amp;"수당",설정_코스수당!$B$14:$F$14,0)),0)),0)</f>
        <v>0</v>
      </c>
      <c r="M1852" s="33">
        <f>IF($O1852="방문완료",IFERROR(VLOOKUP($E1852,설정_코스수당!$A$6:$H$10,6,FALSE),0),0)</f>
        <v>0</v>
      </c>
      <c r="N1852" s="34">
        <f t="shared" si="53"/>
        <v>0</v>
      </c>
      <c r="O1852" s="29"/>
      <c r="P1852" s="29"/>
      <c r="Q1852" s="29"/>
      <c r="R1852" s="32"/>
      <c r="S1852" s="29"/>
    </row>
    <row r="1853" spans="1:19" ht="19.5" hidden="1" customHeight="1" outlineLevel="1">
      <c r="A1853" s="23">
        <v>89</v>
      </c>
      <c r="B1853" s="24">
        <f>IF(18&lt;=DAY(DATE(YEAR(설정_코스수당!$K$2),MONTH(설정_코스수당!$K$2)+1,0)),DATE(YEAR(설정_코스수당!$K$2),MONTH(설정_코스수당!$K$2),18),"")</f>
        <v>46191</v>
      </c>
      <c r="C1853" s="25"/>
      <c r="D1853" s="23"/>
      <c r="E1853" s="23"/>
      <c r="F1853" s="26"/>
      <c r="G1853" s="23"/>
      <c r="H1853" s="23"/>
      <c r="I1853" s="23"/>
      <c r="J1853" s="27">
        <f>IF($O1853="방문완료",MAX(0,IFERROR(VLOOKUP($E1853,설정_코스수당!$A$6:$H$10,4,FALSE),0)-IF(OR($P1853="",$P1853="없음"),0,100000)),0)</f>
        <v>0</v>
      </c>
      <c r="K1853" s="27">
        <f t="array" ref="K1853">IF($O1853="방문완료",IFERROR(INDEX(설정_코스수당!$B$15:$F$64,MATCH($G1853,설정_코스수당!$A$15:$A$64,0),MATCH($E1853&amp;"수당",설정_코스수당!$B$14:$F$14,0)),0),0)</f>
        <v>0</v>
      </c>
      <c r="L1853" s="27">
        <f t="array" ref="L1853">IF($O1853="방문완료",IF($H1853="",0,IFERROR(INDEX(설정_코스수당!$B$15:$F$64,MATCH($H1853,설정_코스수당!$A$15:$A$64,0),MATCH($E1853&amp;"수당",설정_코스수당!$B$14:$F$14,0)),0)),0)</f>
        <v>0</v>
      </c>
      <c r="M1853" s="27">
        <f>IF($O1853="방문완료",IFERROR(VLOOKUP($E1853,설정_코스수당!$A$6:$H$10,6,FALSE),0),0)</f>
        <v>0</v>
      </c>
      <c r="N1853" s="28">
        <f t="shared" si="53"/>
        <v>0</v>
      </c>
      <c r="O1853" s="23"/>
      <c r="P1853" s="23"/>
      <c r="Q1853" s="23"/>
      <c r="R1853" s="26"/>
      <c r="S1853" s="23"/>
    </row>
    <row r="1854" spans="1:19" ht="19.5" hidden="1" customHeight="1" outlineLevel="1">
      <c r="A1854" s="29">
        <v>90</v>
      </c>
      <c r="B1854" s="30">
        <f>IF(18&lt;=DAY(DATE(YEAR(설정_코스수당!$K$2),MONTH(설정_코스수당!$K$2)+1,0)),DATE(YEAR(설정_코스수당!$K$2),MONTH(설정_코스수당!$K$2),18),"")</f>
        <v>46191</v>
      </c>
      <c r="C1854" s="31"/>
      <c r="D1854" s="29"/>
      <c r="E1854" s="29"/>
      <c r="F1854" s="32"/>
      <c r="G1854" s="29"/>
      <c r="H1854" s="29"/>
      <c r="I1854" s="29"/>
      <c r="J1854" s="33">
        <f>IF($O1854="방문완료",MAX(0,IFERROR(VLOOKUP($E1854,설정_코스수당!$A$6:$H$10,4,FALSE),0)-IF(OR($P1854="",$P1854="없음"),0,100000)),0)</f>
        <v>0</v>
      </c>
      <c r="K1854" s="33">
        <f t="array" ref="K1854">IF($O1854="방문완료",IFERROR(INDEX(설정_코스수당!$B$15:$F$64,MATCH($G1854,설정_코스수당!$A$15:$A$64,0),MATCH($E1854&amp;"수당",설정_코스수당!$B$14:$F$14,0)),0),0)</f>
        <v>0</v>
      </c>
      <c r="L1854" s="33">
        <f t="array" ref="L1854">IF($O1854="방문완료",IF($H1854="",0,IFERROR(INDEX(설정_코스수당!$B$15:$F$64,MATCH($H1854,설정_코스수당!$A$15:$A$64,0),MATCH($E1854&amp;"수당",설정_코스수당!$B$14:$F$14,0)),0)),0)</f>
        <v>0</v>
      </c>
      <c r="M1854" s="33">
        <f>IF($O1854="방문완료",IFERROR(VLOOKUP($E1854,설정_코스수당!$A$6:$H$10,6,FALSE),0),0)</f>
        <v>0</v>
      </c>
      <c r="N1854" s="34">
        <f t="shared" si="53"/>
        <v>0</v>
      </c>
      <c r="O1854" s="29"/>
      <c r="P1854" s="29"/>
      <c r="Q1854" s="29"/>
      <c r="R1854" s="32"/>
      <c r="S1854" s="29"/>
    </row>
    <row r="1855" spans="1:19" ht="19.5" hidden="1" customHeight="1" outlineLevel="1">
      <c r="A1855" s="23">
        <v>91</v>
      </c>
      <c r="B1855" s="24">
        <f>IF(18&lt;=DAY(DATE(YEAR(설정_코스수당!$K$2),MONTH(설정_코스수당!$K$2)+1,0)),DATE(YEAR(설정_코스수당!$K$2),MONTH(설정_코스수당!$K$2),18),"")</f>
        <v>46191</v>
      </c>
      <c r="C1855" s="25"/>
      <c r="D1855" s="23"/>
      <c r="E1855" s="23"/>
      <c r="F1855" s="26"/>
      <c r="G1855" s="23"/>
      <c r="H1855" s="23"/>
      <c r="I1855" s="23"/>
      <c r="J1855" s="27">
        <f>IF($O1855="방문완료",MAX(0,IFERROR(VLOOKUP($E1855,설정_코스수당!$A$6:$H$10,4,FALSE),0)-IF(OR($P1855="",$P1855="없음"),0,100000)),0)</f>
        <v>0</v>
      </c>
      <c r="K1855" s="27">
        <f t="array" ref="K1855">IF($O1855="방문완료",IFERROR(INDEX(설정_코스수당!$B$15:$F$64,MATCH($G1855,설정_코스수당!$A$15:$A$64,0),MATCH($E1855&amp;"수당",설정_코스수당!$B$14:$F$14,0)),0),0)</f>
        <v>0</v>
      </c>
      <c r="L1855" s="27">
        <f t="array" ref="L1855">IF($O1855="방문완료",IF($H1855="",0,IFERROR(INDEX(설정_코스수당!$B$15:$F$64,MATCH($H1855,설정_코스수당!$A$15:$A$64,0),MATCH($E1855&amp;"수당",설정_코스수당!$B$14:$F$14,0)),0)),0)</f>
        <v>0</v>
      </c>
      <c r="M1855" s="27">
        <f>IF($O1855="방문완료",IFERROR(VLOOKUP($E1855,설정_코스수당!$A$6:$H$10,6,FALSE),0),0)</f>
        <v>0</v>
      </c>
      <c r="N1855" s="28">
        <f t="shared" si="53"/>
        <v>0</v>
      </c>
      <c r="O1855" s="23"/>
      <c r="P1855" s="23"/>
      <c r="Q1855" s="23"/>
      <c r="R1855" s="26"/>
      <c r="S1855" s="23"/>
    </row>
    <row r="1856" spans="1:19" ht="19.5" hidden="1" customHeight="1" outlineLevel="1">
      <c r="A1856" s="29">
        <v>92</v>
      </c>
      <c r="B1856" s="30">
        <f>IF(18&lt;=DAY(DATE(YEAR(설정_코스수당!$K$2),MONTH(설정_코스수당!$K$2)+1,0)),DATE(YEAR(설정_코스수당!$K$2),MONTH(설정_코스수당!$K$2),18),"")</f>
        <v>46191</v>
      </c>
      <c r="C1856" s="31"/>
      <c r="D1856" s="29"/>
      <c r="E1856" s="29"/>
      <c r="F1856" s="32"/>
      <c r="G1856" s="29"/>
      <c r="H1856" s="29"/>
      <c r="I1856" s="29"/>
      <c r="J1856" s="33">
        <f>IF($O1856="방문완료",MAX(0,IFERROR(VLOOKUP($E1856,설정_코스수당!$A$6:$H$10,4,FALSE),0)-IF(OR($P1856="",$P1856="없음"),0,100000)),0)</f>
        <v>0</v>
      </c>
      <c r="K1856" s="33">
        <f t="array" ref="K1856">IF($O1856="방문완료",IFERROR(INDEX(설정_코스수당!$B$15:$F$64,MATCH($G1856,설정_코스수당!$A$15:$A$64,0),MATCH($E1856&amp;"수당",설정_코스수당!$B$14:$F$14,0)),0),0)</f>
        <v>0</v>
      </c>
      <c r="L1856" s="33">
        <f t="array" ref="L1856">IF($O1856="방문완료",IF($H1856="",0,IFERROR(INDEX(설정_코스수당!$B$15:$F$64,MATCH($H1856,설정_코스수당!$A$15:$A$64,0),MATCH($E1856&amp;"수당",설정_코스수당!$B$14:$F$14,0)),0)),0)</f>
        <v>0</v>
      </c>
      <c r="M1856" s="33">
        <f>IF($O1856="방문완료",IFERROR(VLOOKUP($E1856,설정_코스수당!$A$6:$H$10,6,FALSE),0),0)</f>
        <v>0</v>
      </c>
      <c r="N1856" s="34">
        <f t="shared" si="53"/>
        <v>0</v>
      </c>
      <c r="O1856" s="29"/>
      <c r="P1856" s="29"/>
      <c r="Q1856" s="29"/>
      <c r="R1856" s="32"/>
      <c r="S1856" s="29"/>
    </row>
    <row r="1857" spans="1:27" ht="19.5" hidden="1" customHeight="1" outlineLevel="1">
      <c r="A1857" s="23">
        <v>93</v>
      </c>
      <c r="B1857" s="24">
        <f>IF(18&lt;=DAY(DATE(YEAR(설정_코스수당!$K$2),MONTH(설정_코스수당!$K$2)+1,0)),DATE(YEAR(설정_코스수당!$K$2),MONTH(설정_코스수당!$K$2),18),"")</f>
        <v>46191</v>
      </c>
      <c r="C1857" s="25"/>
      <c r="D1857" s="23"/>
      <c r="E1857" s="23"/>
      <c r="F1857" s="26"/>
      <c r="G1857" s="23"/>
      <c r="H1857" s="23"/>
      <c r="I1857" s="23"/>
      <c r="J1857" s="27">
        <f>IF($O1857="방문완료",MAX(0,IFERROR(VLOOKUP($E1857,설정_코스수당!$A$6:$H$10,4,FALSE),0)-IF(OR($P1857="",$P1857="없음"),0,100000)),0)</f>
        <v>0</v>
      </c>
      <c r="K1857" s="27">
        <f t="array" ref="K1857">IF($O1857="방문완료",IFERROR(INDEX(설정_코스수당!$B$15:$F$64,MATCH($G1857,설정_코스수당!$A$15:$A$64,0),MATCH($E1857&amp;"수당",설정_코스수당!$B$14:$F$14,0)),0),0)</f>
        <v>0</v>
      </c>
      <c r="L1857" s="27">
        <f t="array" ref="L1857">IF($O1857="방문완료",IF($H1857="",0,IFERROR(INDEX(설정_코스수당!$B$15:$F$64,MATCH($H1857,설정_코스수당!$A$15:$A$64,0),MATCH($E1857&amp;"수당",설정_코스수당!$B$14:$F$14,0)),0)),0)</f>
        <v>0</v>
      </c>
      <c r="M1857" s="27">
        <f>IF($O1857="방문완료",IFERROR(VLOOKUP($E1857,설정_코스수당!$A$6:$H$10,6,FALSE),0),0)</f>
        <v>0</v>
      </c>
      <c r="N1857" s="28">
        <f t="shared" si="53"/>
        <v>0</v>
      </c>
      <c r="O1857" s="23"/>
      <c r="P1857" s="23"/>
      <c r="Q1857" s="23"/>
      <c r="R1857" s="26"/>
      <c r="S1857" s="23"/>
    </row>
    <row r="1858" spans="1:27" ht="19.5" hidden="1" customHeight="1" outlineLevel="1">
      <c r="A1858" s="29">
        <v>94</v>
      </c>
      <c r="B1858" s="30">
        <f>IF(18&lt;=DAY(DATE(YEAR(설정_코스수당!$K$2),MONTH(설정_코스수당!$K$2)+1,0)),DATE(YEAR(설정_코스수당!$K$2),MONTH(설정_코스수당!$K$2),18),"")</f>
        <v>46191</v>
      </c>
      <c r="C1858" s="31"/>
      <c r="D1858" s="29"/>
      <c r="E1858" s="29"/>
      <c r="F1858" s="32"/>
      <c r="G1858" s="29"/>
      <c r="H1858" s="29"/>
      <c r="I1858" s="29"/>
      <c r="J1858" s="33">
        <f>IF($O1858="방문완료",MAX(0,IFERROR(VLOOKUP($E1858,설정_코스수당!$A$6:$H$10,4,FALSE),0)-IF(OR($P1858="",$P1858="없음"),0,100000)),0)</f>
        <v>0</v>
      </c>
      <c r="K1858" s="33">
        <f t="array" ref="K1858">IF($O1858="방문완료",IFERROR(INDEX(설정_코스수당!$B$15:$F$64,MATCH($G1858,설정_코스수당!$A$15:$A$64,0),MATCH($E1858&amp;"수당",설정_코스수당!$B$14:$F$14,0)),0),0)</f>
        <v>0</v>
      </c>
      <c r="L1858" s="33">
        <f t="array" ref="L1858">IF($O1858="방문완료",IF($H1858="",0,IFERROR(INDEX(설정_코스수당!$B$15:$F$64,MATCH($H1858,설정_코스수당!$A$15:$A$64,0),MATCH($E1858&amp;"수당",설정_코스수당!$B$14:$F$14,0)),0)),0)</f>
        <v>0</v>
      </c>
      <c r="M1858" s="33">
        <f>IF($O1858="방문완료",IFERROR(VLOOKUP($E1858,설정_코스수당!$A$6:$H$10,6,FALSE),0),0)</f>
        <v>0</v>
      </c>
      <c r="N1858" s="34">
        <f t="shared" si="53"/>
        <v>0</v>
      </c>
      <c r="O1858" s="29"/>
      <c r="P1858" s="29"/>
      <c r="Q1858" s="29"/>
      <c r="R1858" s="32"/>
      <c r="S1858" s="29"/>
    </row>
    <row r="1859" spans="1:27" ht="19.5" hidden="1" customHeight="1" outlineLevel="1">
      <c r="A1859" s="23">
        <v>95</v>
      </c>
      <c r="B1859" s="24">
        <f>IF(18&lt;=DAY(DATE(YEAR(설정_코스수당!$K$2),MONTH(설정_코스수당!$K$2)+1,0)),DATE(YEAR(설정_코스수당!$K$2),MONTH(설정_코스수당!$K$2),18),"")</f>
        <v>46191</v>
      </c>
      <c r="C1859" s="25"/>
      <c r="D1859" s="23"/>
      <c r="E1859" s="23"/>
      <c r="F1859" s="26"/>
      <c r="G1859" s="23"/>
      <c r="H1859" s="23"/>
      <c r="I1859" s="23"/>
      <c r="J1859" s="27">
        <f>IF($O1859="방문완료",MAX(0,IFERROR(VLOOKUP($E1859,설정_코스수당!$A$6:$H$10,4,FALSE),0)-IF(OR($P1859="",$P1859="없음"),0,100000)),0)</f>
        <v>0</v>
      </c>
      <c r="K1859" s="27">
        <f t="array" ref="K1859">IF($O1859="방문완료",IFERROR(INDEX(설정_코스수당!$B$15:$F$64,MATCH($G1859,설정_코스수당!$A$15:$A$64,0),MATCH($E1859&amp;"수당",설정_코스수당!$B$14:$F$14,0)),0),0)</f>
        <v>0</v>
      </c>
      <c r="L1859" s="27">
        <f t="array" ref="L1859">IF($O1859="방문완료",IF($H1859="",0,IFERROR(INDEX(설정_코스수당!$B$15:$F$64,MATCH($H1859,설정_코스수당!$A$15:$A$64,0),MATCH($E1859&amp;"수당",설정_코스수당!$B$14:$F$14,0)),0)),0)</f>
        <v>0</v>
      </c>
      <c r="M1859" s="27">
        <f>IF($O1859="방문완료",IFERROR(VLOOKUP($E1859,설정_코스수당!$A$6:$H$10,6,FALSE),0),0)</f>
        <v>0</v>
      </c>
      <c r="N1859" s="28">
        <f t="shared" si="53"/>
        <v>0</v>
      </c>
      <c r="O1859" s="23"/>
      <c r="P1859" s="23"/>
      <c r="Q1859" s="23"/>
      <c r="R1859" s="26"/>
      <c r="S1859" s="23"/>
    </row>
    <row r="1860" spans="1:27" ht="19.5" hidden="1" customHeight="1" outlineLevel="1">
      <c r="A1860" s="29">
        <v>96</v>
      </c>
      <c r="B1860" s="30">
        <f>IF(18&lt;=DAY(DATE(YEAR(설정_코스수당!$K$2),MONTH(설정_코스수당!$K$2)+1,0)),DATE(YEAR(설정_코스수당!$K$2),MONTH(설정_코스수당!$K$2),18),"")</f>
        <v>46191</v>
      </c>
      <c r="C1860" s="31"/>
      <c r="D1860" s="29"/>
      <c r="E1860" s="29"/>
      <c r="F1860" s="32"/>
      <c r="G1860" s="29"/>
      <c r="H1860" s="29"/>
      <c r="I1860" s="29"/>
      <c r="J1860" s="33">
        <f>IF($O1860="방문완료",MAX(0,IFERROR(VLOOKUP($E1860,설정_코스수당!$A$6:$H$10,4,FALSE),0)-IF(OR($P1860="",$P1860="없음"),0,100000)),0)</f>
        <v>0</v>
      </c>
      <c r="K1860" s="33">
        <f t="array" ref="K1860">IF($O1860="방문완료",IFERROR(INDEX(설정_코스수당!$B$15:$F$64,MATCH($G1860,설정_코스수당!$A$15:$A$64,0),MATCH($E1860&amp;"수당",설정_코스수당!$B$14:$F$14,0)),0),0)</f>
        <v>0</v>
      </c>
      <c r="L1860" s="33">
        <f t="array" ref="L1860">IF($O1860="방문완료",IF($H1860="",0,IFERROR(INDEX(설정_코스수당!$B$15:$F$64,MATCH($H1860,설정_코스수당!$A$15:$A$64,0),MATCH($E1860&amp;"수당",설정_코스수당!$B$14:$F$14,0)),0)),0)</f>
        <v>0</v>
      </c>
      <c r="M1860" s="33">
        <f>IF($O1860="방문완료",IFERROR(VLOOKUP($E1860,설정_코스수당!$A$6:$H$10,6,FALSE),0),0)</f>
        <v>0</v>
      </c>
      <c r="N1860" s="34">
        <f t="shared" si="53"/>
        <v>0</v>
      </c>
      <c r="O1860" s="29"/>
      <c r="P1860" s="29"/>
      <c r="Q1860" s="29"/>
      <c r="R1860" s="32"/>
      <c r="S1860" s="29"/>
    </row>
    <row r="1861" spans="1:27" ht="19.5" hidden="1" customHeight="1" outlineLevel="1">
      <c r="A1861" s="23">
        <v>97</v>
      </c>
      <c r="B1861" s="24">
        <f>IF(18&lt;=DAY(DATE(YEAR(설정_코스수당!$K$2),MONTH(설정_코스수당!$K$2)+1,0)),DATE(YEAR(설정_코스수당!$K$2),MONTH(설정_코스수당!$K$2),18),"")</f>
        <v>46191</v>
      </c>
      <c r="C1861" s="25"/>
      <c r="D1861" s="23"/>
      <c r="E1861" s="23"/>
      <c r="F1861" s="26"/>
      <c r="G1861" s="23"/>
      <c r="H1861" s="23"/>
      <c r="I1861" s="23"/>
      <c r="J1861" s="27">
        <f>IF($O1861="방문완료",MAX(0,IFERROR(VLOOKUP($E1861,설정_코스수당!$A$6:$H$10,4,FALSE),0)-IF(OR($P1861="",$P1861="없음"),0,100000)),0)</f>
        <v>0</v>
      </c>
      <c r="K1861" s="27">
        <f t="array" ref="K1861">IF($O1861="방문완료",IFERROR(INDEX(설정_코스수당!$B$15:$F$64,MATCH($G1861,설정_코스수당!$A$15:$A$64,0),MATCH($E1861&amp;"수당",설정_코스수당!$B$14:$F$14,0)),0),0)</f>
        <v>0</v>
      </c>
      <c r="L1861" s="27">
        <f t="array" ref="L1861">IF($O1861="방문완료",IF($H1861="",0,IFERROR(INDEX(설정_코스수당!$B$15:$F$64,MATCH($H1861,설정_코스수당!$A$15:$A$64,0),MATCH($E1861&amp;"수당",설정_코스수당!$B$14:$F$14,0)),0)),0)</f>
        <v>0</v>
      </c>
      <c r="M1861" s="27">
        <f>IF($O1861="방문완료",IFERROR(VLOOKUP($E1861,설정_코스수당!$A$6:$H$10,6,FALSE),0),0)</f>
        <v>0</v>
      </c>
      <c r="N1861" s="28">
        <f t="shared" si="53"/>
        <v>0</v>
      </c>
      <c r="O1861" s="23"/>
      <c r="P1861" s="23"/>
      <c r="Q1861" s="23"/>
      <c r="R1861" s="26"/>
      <c r="S1861" s="23"/>
    </row>
    <row r="1862" spans="1:27" ht="19.5" hidden="1" customHeight="1" outlineLevel="1">
      <c r="A1862" s="29">
        <v>98</v>
      </c>
      <c r="B1862" s="30">
        <f>IF(18&lt;=DAY(DATE(YEAR(설정_코스수당!$K$2),MONTH(설정_코스수당!$K$2)+1,0)),DATE(YEAR(설정_코스수당!$K$2),MONTH(설정_코스수당!$K$2),18),"")</f>
        <v>46191</v>
      </c>
      <c r="C1862" s="31"/>
      <c r="D1862" s="29"/>
      <c r="E1862" s="29"/>
      <c r="F1862" s="32"/>
      <c r="G1862" s="29"/>
      <c r="H1862" s="29"/>
      <c r="I1862" s="29"/>
      <c r="J1862" s="33">
        <f>IF($O1862="방문완료",MAX(0,IFERROR(VLOOKUP($E1862,설정_코스수당!$A$6:$H$10,4,FALSE),0)-IF(OR($P1862="",$P1862="없음"),0,100000)),0)</f>
        <v>0</v>
      </c>
      <c r="K1862" s="33">
        <f t="array" ref="K1862">IF($O1862="방문완료",IFERROR(INDEX(설정_코스수당!$B$15:$F$64,MATCH($G1862,설정_코스수당!$A$15:$A$64,0),MATCH($E1862&amp;"수당",설정_코스수당!$B$14:$F$14,0)),0),0)</f>
        <v>0</v>
      </c>
      <c r="L1862" s="33">
        <f t="array" ref="L1862">IF($O1862="방문완료",IF($H1862="",0,IFERROR(INDEX(설정_코스수당!$B$15:$F$64,MATCH($H1862,설정_코스수당!$A$15:$A$64,0),MATCH($E1862&amp;"수당",설정_코스수당!$B$14:$F$14,0)),0)),0)</f>
        <v>0</v>
      </c>
      <c r="M1862" s="33">
        <f>IF($O1862="방문완료",IFERROR(VLOOKUP($E1862,설정_코스수당!$A$6:$H$10,6,FALSE),0),0)</f>
        <v>0</v>
      </c>
      <c r="N1862" s="34">
        <f t="shared" si="53"/>
        <v>0</v>
      </c>
      <c r="O1862" s="29"/>
      <c r="P1862" s="29"/>
      <c r="Q1862" s="29"/>
      <c r="R1862" s="32"/>
      <c r="S1862" s="29"/>
    </row>
    <row r="1863" spans="1:27" ht="19.5" hidden="1" customHeight="1" outlineLevel="1">
      <c r="A1863" s="23">
        <v>99</v>
      </c>
      <c r="B1863" s="24">
        <f>IF(18&lt;=DAY(DATE(YEAR(설정_코스수당!$K$2),MONTH(설정_코스수당!$K$2)+1,0)),DATE(YEAR(설정_코스수당!$K$2),MONTH(설정_코스수당!$K$2),18),"")</f>
        <v>46191</v>
      </c>
      <c r="C1863" s="25"/>
      <c r="D1863" s="23"/>
      <c r="E1863" s="23"/>
      <c r="F1863" s="26"/>
      <c r="G1863" s="23"/>
      <c r="H1863" s="23"/>
      <c r="I1863" s="23"/>
      <c r="J1863" s="27">
        <f>IF($O1863="방문완료",MAX(0,IFERROR(VLOOKUP($E1863,설정_코스수당!$A$6:$H$10,4,FALSE),0)-IF(OR($P1863="",$P1863="없음"),0,100000)),0)</f>
        <v>0</v>
      </c>
      <c r="K1863" s="27">
        <f t="array" ref="K1863">IF($O1863="방문완료",IFERROR(INDEX(설정_코스수당!$B$15:$F$64,MATCH($G1863,설정_코스수당!$A$15:$A$64,0),MATCH($E1863&amp;"수당",설정_코스수당!$B$14:$F$14,0)),0),0)</f>
        <v>0</v>
      </c>
      <c r="L1863" s="27">
        <f t="array" ref="L1863">IF($O1863="방문완료",IF($H1863="",0,IFERROR(INDEX(설정_코스수당!$B$15:$F$64,MATCH($H1863,설정_코스수당!$A$15:$A$64,0),MATCH($E1863&amp;"수당",설정_코스수당!$B$14:$F$14,0)),0)),0)</f>
        <v>0</v>
      </c>
      <c r="M1863" s="27">
        <f>IF($O1863="방문완료",IFERROR(VLOOKUP($E1863,설정_코스수당!$A$6:$H$10,6,FALSE),0),0)</f>
        <v>0</v>
      </c>
      <c r="N1863" s="28">
        <f t="shared" si="53"/>
        <v>0</v>
      </c>
      <c r="O1863" s="23"/>
      <c r="P1863" s="23"/>
      <c r="Q1863" s="23"/>
      <c r="R1863" s="26"/>
      <c r="S1863" s="23"/>
    </row>
    <row r="1864" spans="1:27" ht="19.5" hidden="1" customHeight="1" outlineLevel="1">
      <c r="A1864" s="29">
        <v>100</v>
      </c>
      <c r="B1864" s="30">
        <f>IF(18&lt;=DAY(DATE(YEAR(설정_코스수당!$K$2),MONTH(설정_코스수당!$K$2)+1,0)),DATE(YEAR(설정_코스수당!$K$2),MONTH(설정_코스수당!$K$2),18),"")</f>
        <v>46191</v>
      </c>
      <c r="C1864" s="31"/>
      <c r="D1864" s="29"/>
      <c r="E1864" s="29"/>
      <c r="F1864" s="32"/>
      <c r="G1864" s="29"/>
      <c r="H1864" s="29"/>
      <c r="I1864" s="29"/>
      <c r="J1864" s="33">
        <f>IF($O1864="방문완료",MAX(0,IFERROR(VLOOKUP($E1864,설정_코스수당!$A$6:$H$10,4,FALSE),0)-IF(OR($P1864="",$P1864="없음"),0,100000)),0)</f>
        <v>0</v>
      </c>
      <c r="K1864" s="33">
        <f t="array" ref="K1864">IF($O1864="방문완료",IFERROR(INDEX(설정_코스수당!$B$15:$F$64,MATCH($G1864,설정_코스수당!$A$15:$A$64,0),MATCH($E1864&amp;"수당",설정_코스수당!$B$14:$F$14,0)),0),0)</f>
        <v>0</v>
      </c>
      <c r="L1864" s="33">
        <f t="array" ref="L1864">IF($O1864="방문완료",IF($H1864="",0,IFERROR(INDEX(설정_코스수당!$B$15:$F$64,MATCH($H1864,설정_코스수당!$A$15:$A$64,0),MATCH($E1864&amp;"수당",설정_코스수당!$B$14:$F$14,0)),0)),0)</f>
        <v>0</v>
      </c>
      <c r="M1864" s="33">
        <f>IF($O1864="방문완료",IFERROR(VLOOKUP($E1864,설정_코스수당!$A$6:$H$10,6,FALSE),0),0)</f>
        <v>0</v>
      </c>
      <c r="N1864" s="34">
        <f t="shared" si="53"/>
        <v>0</v>
      </c>
      <c r="O1864" s="29"/>
      <c r="P1864" s="29"/>
      <c r="Q1864" s="29"/>
      <c r="R1864" s="32"/>
      <c r="S1864" s="29"/>
    </row>
    <row r="1865" spans="1:27" ht="19.5" hidden="1" customHeight="1" outlineLevel="1">
      <c r="A1865" s="36" t="s">
        <v>79</v>
      </c>
      <c r="B1865" s="37"/>
      <c r="C1865" s="38"/>
      <c r="D1865" s="37"/>
      <c r="E1865" s="37"/>
      <c r="F1865" s="37"/>
      <c r="G1865" s="37"/>
      <c r="H1865" s="37"/>
      <c r="I1865" s="37"/>
      <c r="J1865" s="37">
        <f>IF($O1865="방문완료",MAX(0,IFERROR(VLOOKUP($E1865,설정_코스수당!$A$6:$H$10,4,FALSE),0)-IF(OR($P1865="",$P1865="없음"),0,100000)),0)</f>
        <v>0</v>
      </c>
      <c r="O1865" s="18"/>
      <c r="P1865" s="14"/>
      <c r="Q1865" s="18"/>
      <c r="S1865" s="18"/>
    </row>
    <row r="1866" spans="1:27" ht="21" customHeight="1" collapsed="1">
      <c r="A1866" s="123" t="str">
        <f>IF(19&lt;=DAY(DATE(YEAR(설정_코스수당!$K$2),MONTH(설정_코스수당!$K$2)+1,0)),TEXT(DATE(YEAR(설정_코스수당!$K$2),MONTH(설정_코스수당!$K$2),19),"yyyy-mm-dd")&amp;"  |  예약관리 100슬롯","")</f>
        <v>2026-06-19  |  예약관리 100슬롯</v>
      </c>
      <c r="B1866" s="124"/>
      <c r="C1866" s="124"/>
      <c r="D1866" s="124"/>
      <c r="E1866" s="124"/>
      <c r="F1866" s="124"/>
      <c r="G1866" s="124"/>
      <c r="H1866" s="124"/>
      <c r="I1866" s="124"/>
      <c r="J1866" s="124"/>
      <c r="K1866" s="124"/>
      <c r="L1866" s="124"/>
      <c r="M1866" s="124"/>
      <c r="N1866" s="124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</row>
    <row r="1867" spans="1:27" ht="19.5" hidden="1" customHeight="1" outlineLevel="1">
      <c r="A1867" s="20" t="s">
        <v>41</v>
      </c>
      <c r="B1867" s="20" t="s">
        <v>42</v>
      </c>
      <c r="C1867" s="39" t="s">
        <v>43</v>
      </c>
      <c r="D1867" s="20" t="s">
        <v>44</v>
      </c>
      <c r="E1867" s="20" t="s">
        <v>45</v>
      </c>
      <c r="F1867" s="20" t="s">
        <v>46</v>
      </c>
      <c r="G1867" s="20" t="s">
        <v>47</v>
      </c>
      <c r="H1867" s="20" t="s">
        <v>48</v>
      </c>
      <c r="I1867" s="20" t="s">
        <v>49</v>
      </c>
      <c r="J1867" s="20" t="s">
        <v>50</v>
      </c>
      <c r="K1867" s="20" t="s">
        <v>51</v>
      </c>
      <c r="L1867" s="20" t="s">
        <v>52</v>
      </c>
      <c r="M1867" s="20" t="s">
        <v>53</v>
      </c>
      <c r="N1867" s="20" t="s">
        <v>54</v>
      </c>
      <c r="O1867" s="20" t="s">
        <v>55</v>
      </c>
      <c r="P1867" s="20" t="s">
        <v>56</v>
      </c>
      <c r="Q1867" s="18"/>
      <c r="R1867" s="20" t="s">
        <v>58</v>
      </c>
      <c r="S1867" s="20" t="s">
        <v>59</v>
      </c>
      <c r="U1867" s="122" t="str">
        <f>IF(19&lt;=DAY(DATE(YEAR(설정_코스수당!$K$2),MONTH(설정_코스수당!$K$2)+1,0)),TEXT(DATE(YEAR(설정_코스수당!$K$2),MONTH(설정_코스수당!$K$2),19),"yyyy-mm-dd")&amp;" 일일 상태","")</f>
        <v>2026-06-19 일일 상태</v>
      </c>
      <c r="V1867" s="125"/>
      <c r="W1867" s="122" t="s">
        <v>3</v>
      </c>
      <c r="X1867" s="125"/>
    </row>
    <row r="1868" spans="1:27" ht="19.5" hidden="1" customHeight="1" outlineLevel="1">
      <c r="A1868" s="23">
        <v>1</v>
      </c>
      <c r="B1868" s="24">
        <f>IF(19&lt;=DAY(DATE(YEAR(설정_코스수당!$K$2),MONTH(설정_코스수당!$K$2)+1,0)),DATE(YEAR(설정_코스수당!$K$2),MONTH(설정_코스수당!$K$2),19),"")</f>
        <v>46192</v>
      </c>
      <c r="C1868" s="25"/>
      <c r="D1868" s="23"/>
      <c r="E1868" s="23"/>
      <c r="F1868" s="26"/>
      <c r="G1868" s="23"/>
      <c r="H1868" s="23"/>
      <c r="I1868" s="23"/>
      <c r="J1868" s="27">
        <f>IF($O1868="방문완료",MAX(0,IFERROR(VLOOKUP($E1868,설정_코스수당!$A$6:$H$10,4,FALSE),0)-IF(OR($P1868="",$P1868="없음"),0,100000)),0)</f>
        <v>0</v>
      </c>
      <c r="K1868" s="27">
        <f t="array" ref="K1868">IF($O1868="방문완료",IFERROR(INDEX(설정_코스수당!$B$15:$F$64,MATCH($G1868,설정_코스수당!$A$15:$A$64,0),MATCH($E1868&amp;"수당",설정_코스수당!$B$14:$F$14,0)),0),0)</f>
        <v>0</v>
      </c>
      <c r="L1868" s="27">
        <f t="array" ref="L1868">IF($O1868="방문완료",IF($H1868="",0,IFERROR(INDEX(설정_코스수당!$B$15:$F$64,MATCH($H1868,설정_코스수당!$A$15:$A$64,0),MATCH($E1868&amp;"수당",설정_코스수당!$B$14:$F$14,0)),0)),0)</f>
        <v>0</v>
      </c>
      <c r="M1868" s="27">
        <f>IF($O1868="방문완료",IFERROR(VLOOKUP($E1868,설정_코스수당!$A$6:$H$10,6,FALSE),0),0)</f>
        <v>0</v>
      </c>
      <c r="N1868" s="28">
        <f t="shared" ref="N1868:N1899" si="54">IF($O1868="방문완료",1,0)</f>
        <v>0</v>
      </c>
      <c r="O1868" s="23"/>
      <c r="P1868" s="23"/>
      <c r="Q1868" s="23"/>
      <c r="R1868" s="26"/>
      <c r="S1868" s="23"/>
      <c r="U1868" s="104" t="s">
        <v>63</v>
      </c>
      <c r="V1868" s="105">
        <f>IF(19&lt;=DAY(DATE(YEAR(설정_코스수당!$K$2),MONTH(설정_코스수당!$K$2)+1,0)),COUNTIFS($B:$B,DATE(YEAR(설정_코스수당!$K$2),MONTH(설정_코스수당!$K$2),19),$O:$O,"&lt;&gt;"),"")</f>
        <v>0</v>
      </c>
      <c r="W1868" s="104" t="s">
        <v>6</v>
      </c>
      <c r="X1868" s="105">
        <f>IF(19&lt;=DAY(DATE(YEAR(설정_코스수당!$K$2),MONTH(설정_코스수당!$K$2)+1,0)),COUNTIFS($B:$B,DATE(YEAR(설정_코스수당!$K$2),MONTH(설정_코스수당!$K$2),19),$E:$E,"A",$O:$O,"방문완료"),"")</f>
        <v>0</v>
      </c>
    </row>
    <row r="1869" spans="1:27" ht="19.5" hidden="1" customHeight="1" outlineLevel="1">
      <c r="A1869" s="29">
        <v>2</v>
      </c>
      <c r="B1869" s="30">
        <f>IF(19&lt;=DAY(DATE(YEAR(설정_코스수당!$K$2),MONTH(설정_코스수당!$K$2)+1,0)),DATE(YEAR(설정_코스수당!$K$2),MONTH(설정_코스수당!$K$2),19),"")</f>
        <v>46192</v>
      </c>
      <c r="C1869" s="31"/>
      <c r="D1869" s="29"/>
      <c r="E1869" s="29"/>
      <c r="F1869" s="32"/>
      <c r="G1869" s="29"/>
      <c r="H1869" s="29"/>
      <c r="I1869" s="29"/>
      <c r="J1869" s="33">
        <f>IF($O1869="방문완료",MAX(0,IFERROR(VLOOKUP($E1869,설정_코스수당!$A$6:$H$10,4,FALSE),0)-IF(OR($P1869="",$P1869="없음"),0,100000)),0)</f>
        <v>0</v>
      </c>
      <c r="K1869" s="33">
        <f t="array" ref="K1869">IF($O1869="방문완료",IFERROR(INDEX(설정_코스수당!$B$15:$F$64,MATCH($G1869,설정_코스수당!$A$15:$A$64,0),MATCH($E1869&amp;"수당",설정_코스수당!$B$14:$F$14,0)),0),0)</f>
        <v>0</v>
      </c>
      <c r="L1869" s="33">
        <f t="array" ref="L1869">IF($O1869="방문완료",IF($H1869="",0,IFERROR(INDEX(설정_코스수당!$B$15:$F$64,MATCH($H1869,설정_코스수당!$A$15:$A$64,0),MATCH($E1869&amp;"수당",설정_코스수당!$B$14:$F$14,0)),0)),0)</f>
        <v>0</v>
      </c>
      <c r="M1869" s="33">
        <f>IF($O1869="방문완료",IFERROR(VLOOKUP($E1869,설정_코스수당!$A$6:$H$10,6,FALSE),0),0)</f>
        <v>0</v>
      </c>
      <c r="N1869" s="34">
        <f t="shared" si="54"/>
        <v>0</v>
      </c>
      <c r="O1869" s="29"/>
      <c r="P1869" s="29"/>
      <c r="Q1869" s="29"/>
      <c r="R1869" s="32"/>
      <c r="S1869" s="29"/>
      <c r="U1869" s="104" t="s">
        <v>62</v>
      </c>
      <c r="V1869" s="105">
        <f>IF(19&lt;=DAY(DATE(YEAR(설정_코스수당!$K$2),MONTH(설정_코스수당!$K$2)+1,0)),COUNTIFS($B:$B,DATE(YEAR(설정_코스수당!$K$2),MONTH(설정_코스수당!$K$2),19),$O:$O,"방문완료"),"")</f>
        <v>0</v>
      </c>
      <c r="W1869" s="104" t="s">
        <v>9</v>
      </c>
      <c r="X1869" s="105">
        <f>IF(19&lt;=DAY(DATE(YEAR(설정_코스수당!$K$2),MONTH(설정_코스수당!$K$2)+1,0)),COUNTIFS($B:$B,DATE(YEAR(설정_코스수당!$K$2),MONTH(설정_코스수당!$K$2),19),$E:$E,"B",$O:$O,"방문완료"),"")</f>
        <v>0</v>
      </c>
    </row>
    <row r="1870" spans="1:27" ht="19.5" hidden="1" customHeight="1" outlineLevel="1">
      <c r="A1870" s="23">
        <v>3</v>
      </c>
      <c r="B1870" s="24">
        <f>IF(19&lt;=DAY(DATE(YEAR(설정_코스수당!$K$2),MONTH(설정_코스수당!$K$2)+1,0)),DATE(YEAR(설정_코스수당!$K$2),MONTH(설정_코스수당!$K$2),19),"")</f>
        <v>46192</v>
      </c>
      <c r="C1870" s="25"/>
      <c r="D1870" s="23"/>
      <c r="E1870" s="23"/>
      <c r="F1870" s="26"/>
      <c r="G1870" s="23"/>
      <c r="H1870" s="23"/>
      <c r="I1870" s="23"/>
      <c r="J1870" s="27">
        <f>IF($O1870="방문완료",MAX(0,IFERROR(VLOOKUP($E1870,설정_코스수당!$A$6:$H$10,4,FALSE),0)-IF(OR($P1870="",$P1870="없음"),0,100000)),0)</f>
        <v>0</v>
      </c>
      <c r="K1870" s="27">
        <f t="array" ref="K1870">IF($O1870="방문완료",IFERROR(INDEX(설정_코스수당!$B$15:$F$64,MATCH($G1870,설정_코스수당!$A$15:$A$64,0),MATCH($E1870&amp;"수당",설정_코스수당!$B$14:$F$14,0)),0),0)</f>
        <v>0</v>
      </c>
      <c r="L1870" s="27">
        <f t="array" ref="L1870">IF($O1870="방문완료",IF($H1870="",0,IFERROR(INDEX(설정_코스수당!$B$15:$F$64,MATCH($H1870,설정_코스수당!$A$15:$A$64,0),MATCH($E1870&amp;"수당",설정_코스수당!$B$14:$F$14,0)),0)),0)</f>
        <v>0</v>
      </c>
      <c r="M1870" s="27">
        <f>IF($O1870="방문완료",IFERROR(VLOOKUP($E1870,설정_코스수당!$A$6:$H$10,6,FALSE),0),0)</f>
        <v>0</v>
      </c>
      <c r="N1870" s="28">
        <f t="shared" si="54"/>
        <v>0</v>
      </c>
      <c r="O1870" s="23"/>
      <c r="P1870" s="23"/>
      <c r="Q1870" s="23"/>
      <c r="R1870" s="26"/>
      <c r="S1870" s="23"/>
      <c r="U1870" s="104" t="s">
        <v>68</v>
      </c>
      <c r="V1870" s="105" t="str">
        <f>IF(19&lt;=DAY(DATE(YEAR(설정_코스수당!$K$2),MONTH(설정_코스수당!$K$2)+1,0)),COUNTIFS($B:$B,DATE(YEAR(설정_코스수당!$K$2),MONTH(설정_코스수당!$K$2),19),$O:$O,"노쇼")&amp;"/"&amp;COUNTIFS($B:$B,DATE(YEAR(설정_코스수당!$K$2),MONTH(설정_코스수당!$K$2),19),$O:$O,"취소"),"")</f>
        <v>0/0</v>
      </c>
      <c r="W1870" s="104" t="s">
        <v>12</v>
      </c>
      <c r="X1870" s="105">
        <f>IF(19&lt;=DAY(DATE(YEAR(설정_코스수당!$K$2),MONTH(설정_코스수당!$K$2)+1,0)),COUNTIFS($B:$B,DATE(YEAR(설정_코스수당!$K$2),MONTH(설정_코스수당!$K$2),19),$E:$E,"C",$O:$O,"방문완료"),"")</f>
        <v>0</v>
      </c>
    </row>
    <row r="1871" spans="1:27" ht="19.5" hidden="1" customHeight="1" outlineLevel="1">
      <c r="A1871" s="29">
        <v>4</v>
      </c>
      <c r="B1871" s="30">
        <f>IF(19&lt;=DAY(DATE(YEAR(설정_코스수당!$K$2),MONTH(설정_코스수당!$K$2)+1,0)),DATE(YEAR(설정_코스수당!$K$2),MONTH(설정_코스수당!$K$2),19),"")</f>
        <v>46192</v>
      </c>
      <c r="C1871" s="31"/>
      <c r="D1871" s="29"/>
      <c r="E1871" s="29"/>
      <c r="F1871" s="32"/>
      <c r="G1871" s="29"/>
      <c r="H1871" s="29"/>
      <c r="I1871" s="29"/>
      <c r="J1871" s="33">
        <f>IF($O1871="방문완료",MAX(0,IFERROR(VLOOKUP($E1871,설정_코스수당!$A$6:$H$10,4,FALSE),0)-IF(OR($P1871="",$P1871="없음"),0,100000)),0)</f>
        <v>0</v>
      </c>
      <c r="K1871" s="33">
        <f t="array" ref="K1871">IF($O1871="방문완료",IFERROR(INDEX(설정_코스수당!$B$15:$F$64,MATCH($G1871,설정_코스수당!$A$15:$A$64,0),MATCH($E1871&amp;"수당",설정_코스수당!$B$14:$F$14,0)),0),0)</f>
        <v>0</v>
      </c>
      <c r="L1871" s="33">
        <f t="array" ref="L1871">IF($O1871="방문완료",IF($H1871="",0,IFERROR(INDEX(설정_코스수당!$B$15:$F$64,MATCH($H1871,설정_코스수당!$A$15:$A$64,0),MATCH($E1871&amp;"수당",설정_코스수당!$B$14:$F$14,0)),0)),0)</f>
        <v>0</v>
      </c>
      <c r="M1871" s="33">
        <f>IF($O1871="방문완료",IFERROR(VLOOKUP($E1871,설정_코스수당!$A$6:$H$10,6,FALSE),0),0)</f>
        <v>0</v>
      </c>
      <c r="N1871" s="34">
        <f t="shared" si="54"/>
        <v>0</v>
      </c>
      <c r="O1871" s="29"/>
      <c r="P1871" s="29"/>
      <c r="Q1871" s="29"/>
      <c r="R1871" s="32"/>
      <c r="S1871" s="29"/>
      <c r="U1871" s="104" t="s">
        <v>69</v>
      </c>
      <c r="V1871" s="106">
        <f>IF(19&lt;=DAY(DATE(YEAR(설정_코스수당!$K$2),MONTH(설정_코스수당!$K$2)+1,0)),SUMIFS($J:$J,$B:$B,DATE(YEAR(설정_코스수당!$K$2),MONTH(설정_코스수당!$K$2),19),$O:$O,"방문완료"),"")</f>
        <v>0</v>
      </c>
      <c r="W1871" s="104" t="s">
        <v>15</v>
      </c>
      <c r="X1871" s="105">
        <f>IF(19&lt;=DAY(DATE(YEAR(설정_코스수당!$K$2),MONTH(설정_코스수당!$K$2)+1,0)),COUNTIFS($B:$B,DATE(YEAR(설정_코스수당!$K$2),MONTH(설정_코스수당!$K$2),19),$E:$E,"D",$O:$O,"방문완료"),"")</f>
        <v>0</v>
      </c>
    </row>
    <row r="1872" spans="1:27" ht="19.5" hidden="1" customHeight="1" outlineLevel="1">
      <c r="A1872" s="23">
        <v>5</v>
      </c>
      <c r="B1872" s="24">
        <f>IF(19&lt;=DAY(DATE(YEAR(설정_코스수당!$K$2),MONTH(설정_코스수당!$K$2)+1,0)),DATE(YEAR(설정_코스수당!$K$2),MONTH(설정_코스수당!$K$2),19),"")</f>
        <v>46192</v>
      </c>
      <c r="C1872" s="25"/>
      <c r="D1872" s="23"/>
      <c r="E1872" s="23"/>
      <c r="F1872" s="26"/>
      <c r="G1872" s="23"/>
      <c r="H1872" s="23"/>
      <c r="I1872" s="23"/>
      <c r="J1872" s="27">
        <f>IF($O1872="방문완료",MAX(0,IFERROR(VLOOKUP($E1872,설정_코스수당!$A$6:$H$10,4,FALSE),0)-IF(OR($P1872="",$P1872="없음"),0,100000)),0)</f>
        <v>0</v>
      </c>
      <c r="K1872" s="27">
        <f t="array" ref="K1872">IF($O1872="방문완료",IFERROR(INDEX(설정_코스수당!$B$15:$F$64,MATCH($G1872,설정_코스수당!$A$15:$A$64,0),MATCH($E1872&amp;"수당",설정_코스수당!$B$14:$F$14,0)),0),0)</f>
        <v>0</v>
      </c>
      <c r="L1872" s="27">
        <f t="array" ref="L1872">IF($O1872="방문완료",IF($H1872="",0,IFERROR(INDEX(설정_코스수당!$B$15:$F$64,MATCH($H1872,설정_코스수당!$A$15:$A$64,0),MATCH($E1872&amp;"수당",설정_코스수당!$B$14:$F$14,0)),0)),0)</f>
        <v>0</v>
      </c>
      <c r="M1872" s="27">
        <f>IF($O1872="방문완료",IFERROR(VLOOKUP($E1872,설정_코스수당!$A$6:$H$10,6,FALSE),0),0)</f>
        <v>0</v>
      </c>
      <c r="N1872" s="28">
        <f t="shared" si="54"/>
        <v>0</v>
      </c>
      <c r="O1872" s="23"/>
      <c r="P1872" s="23"/>
      <c r="Q1872" s="23"/>
      <c r="R1872" s="26"/>
      <c r="S1872" s="23"/>
      <c r="U1872" s="104" t="s">
        <v>70</v>
      </c>
      <c r="V1872" s="106">
        <f>IF(19&lt;=DAY(DATE(YEAR(설정_코스수당!$K$2),MONTH(설정_코스수당!$K$2)+1,0)),SUMIFS($K:$K,$B:$B,DATE(YEAR(설정_코스수당!$K$2),MONTH(설정_코스수당!$K$2),19),$O:$O,"방문완료")+SUMIFS($L:$L,$B:$B,DATE(YEAR(설정_코스수당!$K$2),MONTH(설정_코스수당!$K$2),19),$O:$O,"방문완료"),"")</f>
        <v>0</v>
      </c>
      <c r="W1872" s="104" t="s">
        <v>18</v>
      </c>
      <c r="X1872" s="105">
        <f>IF(19&lt;=DAY(DATE(YEAR(설정_코스수당!$K$2),MONTH(설정_코스수당!$K$2)+1,0)),COUNTIFS($B:$B,DATE(YEAR(설정_코스수당!$K$2),MONTH(설정_코스수당!$K$2),19),$E:$E,"E",$O:$O,"방문완료"),"")</f>
        <v>0</v>
      </c>
    </row>
    <row r="1873" spans="1:24" ht="19.5" hidden="1" customHeight="1" outlineLevel="1">
      <c r="A1873" s="29">
        <v>6</v>
      </c>
      <c r="B1873" s="30">
        <f>IF(19&lt;=DAY(DATE(YEAR(설정_코스수당!$K$2),MONTH(설정_코스수당!$K$2)+1,0)),DATE(YEAR(설정_코스수당!$K$2),MONTH(설정_코스수당!$K$2),19),"")</f>
        <v>46192</v>
      </c>
      <c r="C1873" s="31"/>
      <c r="D1873" s="29"/>
      <c r="E1873" s="29"/>
      <c r="F1873" s="32"/>
      <c r="G1873" s="29"/>
      <c r="H1873" s="29"/>
      <c r="I1873" s="29"/>
      <c r="J1873" s="33">
        <f>IF($O1873="방문완료",MAX(0,IFERROR(VLOOKUP($E1873,설정_코스수당!$A$6:$H$10,4,FALSE),0)-IF(OR($P1873="",$P1873="없음"),0,100000)),0)</f>
        <v>0</v>
      </c>
      <c r="K1873" s="33">
        <f t="array" ref="K1873">IF($O1873="방문완료",IFERROR(INDEX(설정_코스수당!$B$15:$F$64,MATCH($G1873,설정_코스수당!$A$15:$A$64,0),MATCH($E1873&amp;"수당",설정_코스수당!$B$14:$F$14,0)),0),0)</f>
        <v>0</v>
      </c>
      <c r="L1873" s="33">
        <f t="array" ref="L1873">IF($O1873="방문완료",IF($H1873="",0,IFERROR(INDEX(설정_코스수당!$B$15:$F$64,MATCH($H1873,설정_코스수당!$A$15:$A$64,0),MATCH($E1873&amp;"수당",설정_코스수당!$B$14:$F$14,0)),0)),0)</f>
        <v>0</v>
      </c>
      <c r="M1873" s="33">
        <f>IF($O1873="방문완료",IFERROR(VLOOKUP($E1873,설정_코스수당!$A$6:$H$10,6,FALSE),0),0)</f>
        <v>0</v>
      </c>
      <c r="N1873" s="34">
        <f t="shared" si="54"/>
        <v>0</v>
      </c>
      <c r="O1873" s="29"/>
      <c r="P1873" s="29"/>
      <c r="Q1873" s="29"/>
      <c r="R1873" s="32"/>
      <c r="S1873" s="29"/>
      <c r="U1873" s="104" t="s">
        <v>53</v>
      </c>
      <c r="V1873" s="106">
        <f>IF(19&lt;=DAY(DATE(YEAR(설정_코스수당!$K$2),MONTH(설정_코스수당!$K$2)+1,0)),SUMIFS($M:$M,$B:$B,DATE(YEAR(설정_코스수당!$K$2),MONTH(설정_코스수당!$K$2),19),$O:$O,"방문완료"),"")</f>
        <v>0</v>
      </c>
      <c r="W1873" s="104" t="s">
        <v>71</v>
      </c>
      <c r="X1873" s="107">
        <f>IF(19&lt;=DAY(DATE(YEAR(설정_코스수당!$K$2),MONTH(설정_코스수당!$K$2)+1,0)),COUNTIFS($B:$B,DATE(YEAR(설정_코스수당!$K$2),MONTH(설정_코스수당!$K$2),19),$O:$O,"방문완료",$P:$P,"&lt;&gt;",$P:$P,"&lt;&gt;없음"),"")</f>
        <v>0</v>
      </c>
    </row>
    <row r="1874" spans="1:24" ht="19.5" hidden="1" customHeight="1" outlineLevel="1">
      <c r="A1874" s="23">
        <v>7</v>
      </c>
      <c r="B1874" s="24">
        <f>IF(19&lt;=DAY(DATE(YEAR(설정_코스수당!$K$2),MONTH(설정_코스수당!$K$2)+1,0)),DATE(YEAR(설정_코스수당!$K$2),MONTH(설정_코스수당!$K$2),19),"")</f>
        <v>46192</v>
      </c>
      <c r="C1874" s="25"/>
      <c r="D1874" s="23"/>
      <c r="E1874" s="23"/>
      <c r="F1874" s="26"/>
      <c r="G1874" s="23"/>
      <c r="H1874" s="23"/>
      <c r="I1874" s="23"/>
      <c r="J1874" s="27">
        <f>IF($O1874="방문완료",MAX(0,IFERROR(VLOOKUP($E1874,설정_코스수당!$A$6:$H$10,4,FALSE),0)-IF(OR($P1874="",$P1874="없음"),0,100000)),0)</f>
        <v>0</v>
      </c>
      <c r="K1874" s="27">
        <f t="array" ref="K1874">IF($O1874="방문완료",IFERROR(INDEX(설정_코스수당!$B$15:$F$64,MATCH($G1874,설정_코스수당!$A$15:$A$64,0),MATCH($E1874&amp;"수당",설정_코스수당!$B$14:$F$14,0)),0),0)</f>
        <v>0</v>
      </c>
      <c r="L1874" s="27">
        <f t="array" ref="L1874">IF($O1874="방문완료",IF($H1874="",0,IFERROR(INDEX(설정_코스수당!$B$15:$F$64,MATCH($H1874,설정_코스수당!$A$15:$A$64,0),MATCH($E1874&amp;"수당",설정_코스수당!$B$14:$F$14,0)),0)),0)</f>
        <v>0</v>
      </c>
      <c r="M1874" s="27">
        <f>IF($O1874="방문완료",IFERROR(VLOOKUP($E1874,설정_코스수당!$A$6:$H$10,6,FALSE),0),0)</f>
        <v>0</v>
      </c>
      <c r="N1874" s="28">
        <f t="shared" si="54"/>
        <v>0</v>
      </c>
      <c r="O1874" s="23"/>
      <c r="P1874" s="23"/>
      <c r="Q1874" s="23"/>
      <c r="R1874" s="26"/>
      <c r="S1874" s="23"/>
      <c r="U1874" s="104" t="s">
        <v>72</v>
      </c>
      <c r="V1874" s="108">
        <f>IF(19&lt;=DAY(DATE(YEAR(설정_코스수당!$K$2),MONTH(설정_코스수당!$K$2)+1,0)),COUNTIFS($B:$B,DATE(YEAR(설정_코스수당!$K$2),MONTH(설정_코스수당!$K$2),19),$O:$O,"방문완료",$P:$P,"&lt;&gt;",$P:$P,"&lt;&gt;없음")*100000,"")</f>
        <v>0</v>
      </c>
      <c r="W1874" s="104" t="s">
        <v>73</v>
      </c>
      <c r="X1874" s="105">
        <f>IF(19&lt;=DAY(DATE(YEAR(설정_코스수당!$K$2),MONTH(설정_코스수당!$K$2)+1,0)),COUNTIFS($B:$B,DATE(YEAR(설정_코스수당!$K$2),MONTH(설정_코스수당!$K$2),19),$G:$G,"&lt;&gt;",$O:$O,"방문완료")+COUNTIFS($B:$B,DATE(YEAR(설정_코스수당!$K$2),MONTH(설정_코스수당!$K$2),19),$H:$H,"&lt;&gt;",$O:$O,"방문완료"),"")</f>
        <v>0</v>
      </c>
    </row>
    <row r="1875" spans="1:24" ht="19.5" hidden="1" customHeight="1" outlineLevel="1">
      <c r="A1875" s="29">
        <v>8</v>
      </c>
      <c r="B1875" s="30">
        <f>IF(19&lt;=DAY(DATE(YEAR(설정_코스수당!$K$2),MONTH(설정_코스수당!$K$2)+1,0)),DATE(YEAR(설정_코스수당!$K$2),MONTH(설정_코스수당!$K$2),19),"")</f>
        <v>46192</v>
      </c>
      <c r="C1875" s="31"/>
      <c r="D1875" s="29"/>
      <c r="E1875" s="29"/>
      <c r="F1875" s="32"/>
      <c r="G1875" s="29"/>
      <c r="H1875" s="29"/>
      <c r="I1875" s="29"/>
      <c r="J1875" s="33">
        <f>IF($O1875="방문완료",MAX(0,IFERROR(VLOOKUP($E1875,설정_코스수당!$A$6:$H$10,4,FALSE),0)-IF(OR($P1875="",$P1875="없음"),0,100000)),0)</f>
        <v>0</v>
      </c>
      <c r="K1875" s="33">
        <f t="array" ref="K1875">IF($O1875="방문완료",IFERROR(INDEX(설정_코스수당!$B$15:$F$64,MATCH($G1875,설정_코스수당!$A$15:$A$64,0),MATCH($E1875&amp;"수당",설정_코스수당!$B$14:$F$14,0)),0),0)</f>
        <v>0</v>
      </c>
      <c r="L1875" s="33">
        <f t="array" ref="L1875">IF($O1875="방문완료",IF($H1875="",0,IFERROR(INDEX(설정_코스수당!$B$15:$F$64,MATCH($H1875,설정_코스수당!$A$15:$A$64,0),MATCH($E1875&amp;"수당",설정_코스수당!$B$14:$F$14,0)),0)),0)</f>
        <v>0</v>
      </c>
      <c r="M1875" s="33">
        <f>IF($O1875="방문완료",IFERROR(VLOOKUP($E1875,설정_코스수당!$A$6:$H$10,6,FALSE),0),0)</f>
        <v>0</v>
      </c>
      <c r="N1875" s="34">
        <f t="shared" si="54"/>
        <v>0</v>
      </c>
      <c r="O1875" s="29"/>
      <c r="P1875" s="29"/>
      <c r="Q1875" s="29"/>
      <c r="R1875" s="32"/>
      <c r="S1875" s="29"/>
      <c r="U1875" s="104" t="s">
        <v>74</v>
      </c>
      <c r="V1875" s="108">
        <f>IF(19&lt;=DAY(DATE(YEAR(설정_코스수당!$K$2),MONTH(설정_코스수당!$K$2)+1,0)),SUM($U$1879:$U$1886),"")</f>
        <v>0</v>
      </c>
      <c r="W1875" s="122" t="str">
        <f>IF(19&lt;=DAY(DATE(YEAR(설정_코스수당!$K$2),MONTH(설정_코스수당!$K$2)+1,0)),"계 : "&amp;TEXT(V1871-V1875,"#,##0")&amp;" 동","")</f>
        <v>계 : 0 동</v>
      </c>
      <c r="X1875" s="122"/>
    </row>
    <row r="1876" spans="1:24" ht="19.5" hidden="1" customHeight="1" outlineLevel="1">
      <c r="A1876" s="23">
        <v>9</v>
      </c>
      <c r="B1876" s="24">
        <f>IF(19&lt;=DAY(DATE(YEAR(설정_코스수당!$K$2),MONTH(설정_코스수당!$K$2)+1,0)),DATE(YEAR(설정_코스수당!$K$2),MONTH(설정_코스수당!$K$2),19),"")</f>
        <v>46192</v>
      </c>
      <c r="C1876" s="25"/>
      <c r="D1876" s="23"/>
      <c r="E1876" s="23"/>
      <c r="F1876" s="26"/>
      <c r="G1876" s="23"/>
      <c r="H1876" s="23"/>
      <c r="I1876" s="23"/>
      <c r="J1876" s="27">
        <f>IF($O1876="방문완료",MAX(0,IFERROR(VLOOKUP($E1876,설정_코스수당!$A$6:$H$10,4,FALSE),0)-IF(OR($P1876="",$P1876="없음"),0,100000)),0)</f>
        <v>0</v>
      </c>
      <c r="K1876" s="27">
        <f t="array" ref="K1876">IF($O1876="방문완료",IFERROR(INDEX(설정_코스수당!$B$15:$F$64,MATCH($G1876,설정_코스수당!$A$15:$A$64,0),MATCH($E1876&amp;"수당",설정_코스수당!$B$14:$F$14,0)),0),0)</f>
        <v>0</v>
      </c>
      <c r="L1876" s="27">
        <f t="array" ref="L1876">IF($O1876="방문완료",IF($H1876="",0,IFERROR(INDEX(설정_코스수당!$B$15:$F$64,MATCH($H1876,설정_코스수당!$A$15:$A$64,0),MATCH($E1876&amp;"수당",설정_코스수당!$B$14:$F$14,0)),0)),0)</f>
        <v>0</v>
      </c>
      <c r="M1876" s="27">
        <f>IF($O1876="방문완료",IFERROR(VLOOKUP($E1876,설정_코스수당!$A$6:$H$10,6,FALSE),0),0)</f>
        <v>0</v>
      </c>
      <c r="N1876" s="28">
        <f t="shared" si="54"/>
        <v>0</v>
      </c>
      <c r="O1876" s="23"/>
      <c r="P1876" s="23"/>
      <c r="Q1876" s="23"/>
      <c r="R1876" s="26"/>
      <c r="S1876" s="23"/>
    </row>
    <row r="1877" spans="1:24" ht="19.5" hidden="1" customHeight="1" outlineLevel="1">
      <c r="A1877" s="29">
        <v>10</v>
      </c>
      <c r="B1877" s="30">
        <f>IF(19&lt;=DAY(DATE(YEAR(설정_코스수당!$K$2),MONTH(설정_코스수당!$K$2)+1,0)),DATE(YEAR(설정_코스수당!$K$2),MONTH(설정_코스수당!$K$2),19),"")</f>
        <v>46192</v>
      </c>
      <c r="C1877" s="31"/>
      <c r="D1877" s="29"/>
      <c r="E1877" s="29"/>
      <c r="F1877" s="32"/>
      <c r="G1877" s="29"/>
      <c r="H1877" s="29"/>
      <c r="I1877" s="29"/>
      <c r="J1877" s="33">
        <f>IF($O1877="방문완료",MAX(0,IFERROR(VLOOKUP($E1877,설정_코스수당!$A$6:$H$10,4,FALSE),0)-IF(OR($P1877="",$P1877="없음"),0,100000)),0)</f>
        <v>0</v>
      </c>
      <c r="K1877" s="33">
        <f t="array" ref="K1877">IF($O1877="방문완료",IFERROR(INDEX(설정_코스수당!$B$15:$F$64,MATCH($G1877,설정_코스수당!$A$15:$A$64,0),MATCH($E1877&amp;"수당",설정_코스수당!$B$14:$F$14,0)),0),0)</f>
        <v>0</v>
      </c>
      <c r="L1877" s="33">
        <f t="array" ref="L1877">IF($O1877="방문완료",IF($H1877="",0,IFERROR(INDEX(설정_코스수당!$B$15:$F$64,MATCH($H1877,설정_코스수당!$A$15:$A$64,0),MATCH($E1877&amp;"수당",설정_코스수당!$B$14:$F$14,0)),0)),0)</f>
        <v>0</v>
      </c>
      <c r="M1877" s="33">
        <f>IF($O1877="방문완료",IFERROR(VLOOKUP($E1877,설정_코스수당!$A$6:$H$10,6,FALSE),0),0)</f>
        <v>0</v>
      </c>
      <c r="N1877" s="34">
        <f t="shared" si="54"/>
        <v>0</v>
      </c>
      <c r="O1877" s="29"/>
      <c r="P1877" s="29"/>
      <c r="Q1877" s="29"/>
      <c r="R1877" s="32"/>
      <c r="S1877" s="29"/>
      <c r="U1877" s="120" t="s">
        <v>75</v>
      </c>
      <c r="V1877" s="121"/>
      <c r="W1877" s="121"/>
      <c r="X1877" s="121"/>
    </row>
    <row r="1878" spans="1:24" ht="19.5" hidden="1" customHeight="1" outlineLevel="1">
      <c r="A1878" s="23">
        <v>11</v>
      </c>
      <c r="B1878" s="24">
        <f>IF(19&lt;=DAY(DATE(YEAR(설정_코스수당!$K$2),MONTH(설정_코스수당!$K$2)+1,0)),DATE(YEAR(설정_코스수당!$K$2),MONTH(설정_코스수당!$K$2),19),"")</f>
        <v>46192</v>
      </c>
      <c r="C1878" s="25"/>
      <c r="D1878" s="23"/>
      <c r="E1878" s="23"/>
      <c r="F1878" s="26"/>
      <c r="G1878" s="23"/>
      <c r="H1878" s="23"/>
      <c r="I1878" s="23"/>
      <c r="J1878" s="27">
        <f>IF($O1878="방문완료",MAX(0,IFERROR(VLOOKUP($E1878,설정_코스수당!$A$6:$H$10,4,FALSE),0)-IF(OR($P1878="",$P1878="없음"),0,100000)),0)</f>
        <v>0</v>
      </c>
      <c r="K1878" s="27">
        <f t="array" ref="K1878">IF($O1878="방문완료",IFERROR(INDEX(설정_코스수당!$B$15:$F$64,MATCH($G1878,설정_코스수당!$A$15:$A$64,0),MATCH($E1878&amp;"수당",설정_코스수당!$B$14:$F$14,0)),0),0)</f>
        <v>0</v>
      </c>
      <c r="L1878" s="27">
        <f t="array" ref="L1878">IF($O1878="방문완료",IF($H1878="",0,IFERROR(INDEX(설정_코스수당!$B$15:$F$64,MATCH($H1878,설정_코스수당!$A$15:$A$64,0),MATCH($E1878&amp;"수당",설정_코스수당!$B$14:$F$14,0)),0)),0)</f>
        <v>0</v>
      </c>
      <c r="M1878" s="27">
        <f>IF($O1878="방문완료",IFERROR(VLOOKUP($E1878,설정_코스수당!$A$6:$H$10,6,FALSE),0),0)</f>
        <v>0</v>
      </c>
      <c r="N1878" s="28">
        <f t="shared" si="54"/>
        <v>0</v>
      </c>
      <c r="O1878" s="23"/>
      <c r="P1878" s="23"/>
      <c r="Q1878" s="23"/>
      <c r="R1878" s="26"/>
      <c r="S1878" s="23"/>
      <c r="U1878" s="109" t="s">
        <v>76</v>
      </c>
      <c r="V1878" s="109" t="s">
        <v>77</v>
      </c>
      <c r="W1878" s="109" t="s">
        <v>78</v>
      </c>
      <c r="X1878" s="109" t="s">
        <v>58</v>
      </c>
    </row>
    <row r="1879" spans="1:24" ht="19.5" hidden="1" customHeight="1" outlineLevel="1">
      <c r="A1879" s="29">
        <v>12</v>
      </c>
      <c r="B1879" s="30">
        <f>IF(19&lt;=DAY(DATE(YEAR(설정_코스수당!$K$2),MONTH(설정_코스수당!$K$2)+1,0)),DATE(YEAR(설정_코스수당!$K$2),MONTH(설정_코스수당!$K$2),19),"")</f>
        <v>46192</v>
      </c>
      <c r="C1879" s="31"/>
      <c r="D1879" s="29"/>
      <c r="E1879" s="29"/>
      <c r="F1879" s="32"/>
      <c r="G1879" s="29"/>
      <c r="H1879" s="29"/>
      <c r="I1879" s="29"/>
      <c r="J1879" s="33">
        <f>IF($O1879="방문완료",MAX(0,IFERROR(VLOOKUP($E1879,설정_코스수당!$A$6:$H$10,4,FALSE),0)-IF(OR($P1879="",$P1879="없음"),0,100000)),0)</f>
        <v>0</v>
      </c>
      <c r="K1879" s="33">
        <f t="array" ref="K1879">IF($O1879="방문완료",IFERROR(INDEX(설정_코스수당!$B$15:$F$64,MATCH($G1879,설정_코스수당!$A$15:$A$64,0),MATCH($E1879&amp;"수당",설정_코스수당!$B$14:$F$14,0)),0),0)</f>
        <v>0</v>
      </c>
      <c r="L1879" s="33">
        <f t="array" ref="L1879">IF($O1879="방문완료",IF($H1879="",0,IFERROR(INDEX(설정_코스수당!$B$15:$F$64,MATCH($H1879,설정_코스수당!$A$15:$A$64,0),MATCH($E1879&amp;"수당",설정_코스수당!$B$14:$F$14,0)),0)),0)</f>
        <v>0</v>
      </c>
      <c r="M1879" s="33">
        <f>IF($O1879="방문완료",IFERROR(VLOOKUP($E1879,설정_코스수당!$A$6:$H$10,6,FALSE),0),0)</f>
        <v>0</v>
      </c>
      <c r="N1879" s="34">
        <f t="shared" si="54"/>
        <v>0</v>
      </c>
      <c r="O1879" s="29"/>
      <c r="P1879" s="29"/>
      <c r="Q1879" s="29"/>
      <c r="R1879" s="32"/>
      <c r="S1879" s="29"/>
      <c r="U1879" s="113"/>
      <c r="V1879" s="111"/>
      <c r="W1879" s="112"/>
      <c r="X1879" s="111"/>
    </row>
    <row r="1880" spans="1:24" ht="19.5" hidden="1" customHeight="1" outlineLevel="1">
      <c r="A1880" s="23">
        <v>13</v>
      </c>
      <c r="B1880" s="24">
        <f>IF(19&lt;=DAY(DATE(YEAR(설정_코스수당!$K$2),MONTH(설정_코스수당!$K$2)+1,0)),DATE(YEAR(설정_코스수당!$K$2),MONTH(설정_코스수당!$K$2),19),"")</f>
        <v>46192</v>
      </c>
      <c r="C1880" s="25"/>
      <c r="D1880" s="23"/>
      <c r="E1880" s="23"/>
      <c r="F1880" s="26"/>
      <c r="G1880" s="23"/>
      <c r="H1880" s="23"/>
      <c r="I1880" s="23"/>
      <c r="J1880" s="27">
        <f>IF($O1880="방문완료",MAX(0,IFERROR(VLOOKUP($E1880,설정_코스수당!$A$6:$H$10,4,FALSE),0)-IF(OR($P1880="",$P1880="없음"),0,100000)),0)</f>
        <v>0</v>
      </c>
      <c r="K1880" s="27">
        <f t="array" ref="K1880">IF($O1880="방문완료",IFERROR(INDEX(설정_코스수당!$B$15:$F$64,MATCH($G1880,설정_코스수당!$A$15:$A$64,0),MATCH($E1880&amp;"수당",설정_코스수당!$B$14:$F$14,0)),0),0)</f>
        <v>0</v>
      </c>
      <c r="L1880" s="27">
        <f t="array" ref="L1880">IF($O1880="방문완료",IF($H1880="",0,IFERROR(INDEX(설정_코스수당!$B$15:$F$64,MATCH($H1880,설정_코스수당!$A$15:$A$64,0),MATCH($E1880&amp;"수당",설정_코스수당!$B$14:$F$14,0)),0)),0)</f>
        <v>0</v>
      </c>
      <c r="M1880" s="27">
        <f>IF($O1880="방문완료",IFERROR(VLOOKUP($E1880,설정_코스수당!$A$6:$H$10,6,FALSE),0),0)</f>
        <v>0</v>
      </c>
      <c r="N1880" s="28">
        <f t="shared" si="54"/>
        <v>0</v>
      </c>
      <c r="O1880" s="23"/>
      <c r="P1880" s="23"/>
      <c r="Q1880" s="23"/>
      <c r="R1880" s="26"/>
      <c r="S1880" s="23"/>
      <c r="U1880" s="113"/>
      <c r="V1880" s="111"/>
      <c r="W1880" s="112"/>
      <c r="X1880" s="111"/>
    </row>
    <row r="1881" spans="1:24" ht="19.5" hidden="1" customHeight="1" outlineLevel="1">
      <c r="A1881" s="29">
        <v>14</v>
      </c>
      <c r="B1881" s="30">
        <f>IF(19&lt;=DAY(DATE(YEAR(설정_코스수당!$K$2),MONTH(설정_코스수당!$K$2)+1,0)),DATE(YEAR(설정_코스수당!$K$2),MONTH(설정_코스수당!$K$2),19),"")</f>
        <v>46192</v>
      </c>
      <c r="C1881" s="31"/>
      <c r="D1881" s="29"/>
      <c r="E1881" s="29"/>
      <c r="F1881" s="32"/>
      <c r="G1881" s="29"/>
      <c r="H1881" s="29"/>
      <c r="I1881" s="29"/>
      <c r="J1881" s="33">
        <f>IF($O1881="방문완료",MAX(0,IFERROR(VLOOKUP($E1881,설정_코스수당!$A$6:$H$10,4,FALSE),0)-IF(OR($P1881="",$P1881="없음"),0,100000)),0)</f>
        <v>0</v>
      </c>
      <c r="K1881" s="33">
        <f t="array" ref="K1881">IF($O1881="방문완료",IFERROR(INDEX(설정_코스수당!$B$15:$F$64,MATCH($G1881,설정_코스수당!$A$15:$A$64,0),MATCH($E1881&amp;"수당",설정_코스수당!$B$14:$F$14,0)),0),0)</f>
        <v>0</v>
      </c>
      <c r="L1881" s="33">
        <f t="array" ref="L1881">IF($O1881="방문완료",IF($H1881="",0,IFERROR(INDEX(설정_코스수당!$B$15:$F$64,MATCH($H1881,설정_코스수당!$A$15:$A$64,0),MATCH($E1881&amp;"수당",설정_코스수당!$B$14:$F$14,0)),0)),0)</f>
        <v>0</v>
      </c>
      <c r="M1881" s="33">
        <f>IF($O1881="방문완료",IFERROR(VLOOKUP($E1881,설정_코스수당!$A$6:$H$10,6,FALSE),0),0)</f>
        <v>0</v>
      </c>
      <c r="N1881" s="34">
        <f t="shared" si="54"/>
        <v>0</v>
      </c>
      <c r="O1881" s="29"/>
      <c r="P1881" s="29"/>
      <c r="Q1881" s="29"/>
      <c r="R1881" s="32"/>
      <c r="S1881" s="29"/>
      <c r="U1881" s="113"/>
      <c r="V1881" s="111"/>
      <c r="W1881" s="112"/>
      <c r="X1881" s="111"/>
    </row>
    <row r="1882" spans="1:24" ht="19.5" hidden="1" customHeight="1" outlineLevel="1">
      <c r="A1882" s="23">
        <v>15</v>
      </c>
      <c r="B1882" s="24">
        <f>IF(19&lt;=DAY(DATE(YEAR(설정_코스수당!$K$2),MONTH(설정_코스수당!$K$2)+1,0)),DATE(YEAR(설정_코스수당!$K$2),MONTH(설정_코스수당!$K$2),19),"")</f>
        <v>46192</v>
      </c>
      <c r="C1882" s="25"/>
      <c r="D1882" s="23"/>
      <c r="E1882" s="23"/>
      <c r="F1882" s="26"/>
      <c r="G1882" s="23"/>
      <c r="H1882" s="23"/>
      <c r="I1882" s="23"/>
      <c r="J1882" s="27">
        <f>IF($O1882="방문완료",MAX(0,IFERROR(VLOOKUP($E1882,설정_코스수당!$A$6:$H$10,4,FALSE),0)-IF(OR($P1882="",$P1882="없음"),0,100000)),0)</f>
        <v>0</v>
      </c>
      <c r="K1882" s="27">
        <f t="array" ref="K1882">IF($O1882="방문완료",IFERROR(INDEX(설정_코스수당!$B$15:$F$64,MATCH($G1882,설정_코스수당!$A$15:$A$64,0),MATCH($E1882&amp;"수당",설정_코스수당!$B$14:$F$14,0)),0),0)</f>
        <v>0</v>
      </c>
      <c r="L1882" s="27">
        <f t="array" ref="L1882">IF($O1882="방문완료",IF($H1882="",0,IFERROR(INDEX(설정_코스수당!$B$15:$F$64,MATCH($H1882,설정_코스수당!$A$15:$A$64,0),MATCH($E1882&amp;"수당",설정_코스수당!$B$14:$F$14,0)),0)),0)</f>
        <v>0</v>
      </c>
      <c r="M1882" s="27">
        <f>IF($O1882="방문완료",IFERROR(VLOOKUP($E1882,설정_코스수당!$A$6:$H$10,6,FALSE),0),0)</f>
        <v>0</v>
      </c>
      <c r="N1882" s="28">
        <f t="shared" si="54"/>
        <v>0</v>
      </c>
      <c r="O1882" s="23"/>
      <c r="P1882" s="23"/>
      <c r="Q1882" s="23"/>
      <c r="R1882" s="26"/>
      <c r="S1882" s="23"/>
      <c r="U1882" s="113"/>
      <c r="V1882" s="111"/>
      <c r="W1882" s="112"/>
      <c r="X1882" s="111"/>
    </row>
    <row r="1883" spans="1:24" ht="19.5" hidden="1" customHeight="1" outlineLevel="1">
      <c r="A1883" s="29">
        <v>16</v>
      </c>
      <c r="B1883" s="30">
        <f>IF(19&lt;=DAY(DATE(YEAR(설정_코스수당!$K$2),MONTH(설정_코스수당!$K$2)+1,0)),DATE(YEAR(설정_코스수당!$K$2),MONTH(설정_코스수당!$K$2),19),"")</f>
        <v>46192</v>
      </c>
      <c r="C1883" s="31"/>
      <c r="D1883" s="29"/>
      <c r="E1883" s="29"/>
      <c r="F1883" s="32"/>
      <c r="G1883" s="29"/>
      <c r="H1883" s="29"/>
      <c r="I1883" s="29"/>
      <c r="J1883" s="33">
        <f>IF($O1883="방문완료",MAX(0,IFERROR(VLOOKUP($E1883,설정_코스수당!$A$6:$H$10,4,FALSE),0)-IF(OR($P1883="",$P1883="없음"),0,100000)),0)</f>
        <v>0</v>
      </c>
      <c r="K1883" s="33">
        <f t="array" ref="K1883">IF($O1883="방문완료",IFERROR(INDEX(설정_코스수당!$B$15:$F$64,MATCH($G1883,설정_코스수당!$A$15:$A$64,0),MATCH($E1883&amp;"수당",설정_코스수당!$B$14:$F$14,0)),0),0)</f>
        <v>0</v>
      </c>
      <c r="L1883" s="33">
        <f t="array" ref="L1883">IF($O1883="방문완료",IF($H1883="",0,IFERROR(INDEX(설정_코스수당!$B$15:$F$64,MATCH($H1883,설정_코스수당!$A$15:$A$64,0),MATCH($E1883&amp;"수당",설정_코스수당!$B$14:$F$14,0)),0)),0)</f>
        <v>0</v>
      </c>
      <c r="M1883" s="33">
        <f>IF($O1883="방문완료",IFERROR(VLOOKUP($E1883,설정_코스수당!$A$6:$H$10,6,FALSE),0),0)</f>
        <v>0</v>
      </c>
      <c r="N1883" s="34">
        <f t="shared" si="54"/>
        <v>0</v>
      </c>
      <c r="O1883" s="29"/>
      <c r="P1883" s="29"/>
      <c r="Q1883" s="29"/>
      <c r="R1883" s="32"/>
      <c r="S1883" s="29"/>
      <c r="U1883" s="113"/>
      <c r="V1883" s="111"/>
      <c r="W1883" s="112"/>
      <c r="X1883" s="111"/>
    </row>
    <row r="1884" spans="1:24" ht="19.5" hidden="1" customHeight="1" outlineLevel="1">
      <c r="A1884" s="23">
        <v>17</v>
      </c>
      <c r="B1884" s="24">
        <f>IF(19&lt;=DAY(DATE(YEAR(설정_코스수당!$K$2),MONTH(설정_코스수당!$K$2)+1,0)),DATE(YEAR(설정_코스수당!$K$2),MONTH(설정_코스수당!$K$2),19),"")</f>
        <v>46192</v>
      </c>
      <c r="C1884" s="25"/>
      <c r="D1884" s="23"/>
      <c r="E1884" s="23"/>
      <c r="F1884" s="26"/>
      <c r="G1884" s="23"/>
      <c r="H1884" s="23"/>
      <c r="I1884" s="23"/>
      <c r="J1884" s="27">
        <f>IF($O1884="방문완료",MAX(0,IFERROR(VLOOKUP($E1884,설정_코스수당!$A$6:$H$10,4,FALSE),0)-IF(OR($P1884="",$P1884="없음"),0,100000)),0)</f>
        <v>0</v>
      </c>
      <c r="K1884" s="27">
        <f t="array" ref="K1884">IF($O1884="방문완료",IFERROR(INDEX(설정_코스수당!$B$15:$F$64,MATCH($G1884,설정_코스수당!$A$15:$A$64,0),MATCH($E1884&amp;"수당",설정_코스수당!$B$14:$F$14,0)),0),0)</f>
        <v>0</v>
      </c>
      <c r="L1884" s="27">
        <f t="array" ref="L1884">IF($O1884="방문완료",IF($H1884="",0,IFERROR(INDEX(설정_코스수당!$B$15:$F$64,MATCH($H1884,설정_코스수당!$A$15:$A$64,0),MATCH($E1884&amp;"수당",설정_코스수당!$B$14:$F$14,0)),0)),0)</f>
        <v>0</v>
      </c>
      <c r="M1884" s="27">
        <f>IF($O1884="방문완료",IFERROR(VLOOKUP($E1884,설정_코스수당!$A$6:$H$10,6,FALSE),0),0)</f>
        <v>0</v>
      </c>
      <c r="N1884" s="28">
        <f t="shared" si="54"/>
        <v>0</v>
      </c>
      <c r="O1884" s="23"/>
      <c r="P1884" s="23"/>
      <c r="Q1884" s="23"/>
      <c r="R1884" s="26"/>
      <c r="S1884" s="23"/>
      <c r="U1884" s="113"/>
      <c r="V1884" s="111"/>
      <c r="W1884" s="112"/>
      <c r="X1884" s="111"/>
    </row>
    <row r="1885" spans="1:24" ht="19.5" hidden="1" customHeight="1" outlineLevel="1">
      <c r="A1885" s="29">
        <v>18</v>
      </c>
      <c r="B1885" s="30">
        <f>IF(19&lt;=DAY(DATE(YEAR(설정_코스수당!$K$2),MONTH(설정_코스수당!$K$2)+1,0)),DATE(YEAR(설정_코스수당!$K$2),MONTH(설정_코스수당!$K$2),19),"")</f>
        <v>46192</v>
      </c>
      <c r="C1885" s="31"/>
      <c r="D1885" s="29"/>
      <c r="E1885" s="29"/>
      <c r="F1885" s="32"/>
      <c r="G1885" s="29"/>
      <c r="H1885" s="29"/>
      <c r="I1885" s="29"/>
      <c r="J1885" s="33">
        <f>IF($O1885="방문완료",MAX(0,IFERROR(VLOOKUP($E1885,설정_코스수당!$A$6:$H$10,4,FALSE),0)-IF(OR($P1885="",$P1885="없음"),0,100000)),0)</f>
        <v>0</v>
      </c>
      <c r="K1885" s="33">
        <f t="array" ref="K1885">IF($O1885="방문완료",IFERROR(INDEX(설정_코스수당!$B$15:$F$64,MATCH($G1885,설정_코스수당!$A$15:$A$64,0),MATCH($E1885&amp;"수당",설정_코스수당!$B$14:$F$14,0)),0),0)</f>
        <v>0</v>
      </c>
      <c r="L1885" s="33">
        <f t="array" ref="L1885">IF($O1885="방문완료",IF($H1885="",0,IFERROR(INDEX(설정_코스수당!$B$15:$F$64,MATCH($H1885,설정_코스수당!$A$15:$A$64,0),MATCH($E1885&amp;"수당",설정_코스수당!$B$14:$F$14,0)),0)),0)</f>
        <v>0</v>
      </c>
      <c r="M1885" s="33">
        <f>IF($O1885="방문완료",IFERROR(VLOOKUP($E1885,설정_코스수당!$A$6:$H$10,6,FALSE),0),0)</f>
        <v>0</v>
      </c>
      <c r="N1885" s="34">
        <f t="shared" si="54"/>
        <v>0</v>
      </c>
      <c r="O1885" s="29"/>
      <c r="P1885" s="29"/>
      <c r="Q1885" s="29"/>
      <c r="R1885" s="32"/>
      <c r="S1885" s="29"/>
      <c r="U1885" s="113"/>
      <c r="V1885" s="111"/>
      <c r="W1885" s="112"/>
      <c r="X1885" s="111"/>
    </row>
    <row r="1886" spans="1:24" ht="19.5" hidden="1" customHeight="1" outlineLevel="1">
      <c r="A1886" s="23">
        <v>19</v>
      </c>
      <c r="B1886" s="24">
        <f>IF(19&lt;=DAY(DATE(YEAR(설정_코스수당!$K$2),MONTH(설정_코스수당!$K$2)+1,0)),DATE(YEAR(설정_코스수당!$K$2),MONTH(설정_코스수당!$K$2),19),"")</f>
        <v>46192</v>
      </c>
      <c r="C1886" s="25"/>
      <c r="D1886" s="23"/>
      <c r="E1886" s="23"/>
      <c r="F1886" s="26"/>
      <c r="G1886" s="23"/>
      <c r="H1886" s="23"/>
      <c r="I1886" s="23"/>
      <c r="J1886" s="27">
        <f>IF($O1886="방문완료",MAX(0,IFERROR(VLOOKUP($E1886,설정_코스수당!$A$6:$H$10,4,FALSE),0)-IF(OR($P1886="",$P1886="없음"),0,100000)),0)</f>
        <v>0</v>
      </c>
      <c r="K1886" s="27">
        <f t="array" ref="K1886">IF($O1886="방문완료",IFERROR(INDEX(설정_코스수당!$B$15:$F$64,MATCH($G1886,설정_코스수당!$A$15:$A$64,0),MATCH($E1886&amp;"수당",설정_코스수당!$B$14:$F$14,0)),0),0)</f>
        <v>0</v>
      </c>
      <c r="L1886" s="27">
        <f t="array" ref="L1886">IF($O1886="방문완료",IF($H1886="",0,IFERROR(INDEX(설정_코스수당!$B$15:$F$64,MATCH($H1886,설정_코스수당!$A$15:$A$64,0),MATCH($E1886&amp;"수당",설정_코스수당!$B$14:$F$14,0)),0)),0)</f>
        <v>0</v>
      </c>
      <c r="M1886" s="27">
        <f>IF($O1886="방문완료",IFERROR(VLOOKUP($E1886,설정_코스수당!$A$6:$H$10,6,FALSE),0),0)</f>
        <v>0</v>
      </c>
      <c r="N1886" s="28">
        <f t="shared" si="54"/>
        <v>0</v>
      </c>
      <c r="O1886" s="23"/>
      <c r="P1886" s="23"/>
      <c r="Q1886" s="23"/>
      <c r="R1886" s="26"/>
      <c r="S1886" s="23"/>
      <c r="U1886" s="113"/>
      <c r="V1886" s="111"/>
      <c r="W1886" s="112"/>
      <c r="X1886" s="111"/>
    </row>
    <row r="1887" spans="1:24" ht="19.5" hidden="1" customHeight="1" outlineLevel="1">
      <c r="A1887" s="29">
        <v>20</v>
      </c>
      <c r="B1887" s="30">
        <f>IF(19&lt;=DAY(DATE(YEAR(설정_코스수당!$K$2),MONTH(설정_코스수당!$K$2)+1,0)),DATE(YEAR(설정_코스수당!$K$2),MONTH(설정_코스수당!$K$2),19),"")</f>
        <v>46192</v>
      </c>
      <c r="C1887" s="31"/>
      <c r="D1887" s="29"/>
      <c r="E1887" s="29"/>
      <c r="F1887" s="32"/>
      <c r="G1887" s="29"/>
      <c r="H1887" s="29"/>
      <c r="I1887" s="29"/>
      <c r="J1887" s="33">
        <f>IF($O1887="방문완료",MAX(0,IFERROR(VLOOKUP($E1887,설정_코스수당!$A$6:$H$10,4,FALSE),0)-IF(OR($P1887="",$P1887="없음"),0,100000)),0)</f>
        <v>0</v>
      </c>
      <c r="K1887" s="33">
        <f t="array" ref="K1887">IF($O1887="방문완료",IFERROR(INDEX(설정_코스수당!$B$15:$F$64,MATCH($G1887,설정_코스수당!$A$15:$A$64,0),MATCH($E1887&amp;"수당",설정_코스수당!$B$14:$F$14,0)),0),0)</f>
        <v>0</v>
      </c>
      <c r="L1887" s="33">
        <f t="array" ref="L1887">IF($O1887="방문완료",IF($H1887="",0,IFERROR(INDEX(설정_코스수당!$B$15:$F$64,MATCH($H1887,설정_코스수당!$A$15:$A$64,0),MATCH($E1887&amp;"수당",설정_코스수당!$B$14:$F$14,0)),0)),0)</f>
        <v>0</v>
      </c>
      <c r="M1887" s="33">
        <f>IF($O1887="방문완료",IFERROR(VLOOKUP($E1887,설정_코스수당!$A$6:$H$10,6,FALSE),0),0)</f>
        <v>0</v>
      </c>
      <c r="N1887" s="34">
        <f t="shared" si="54"/>
        <v>0</v>
      </c>
      <c r="O1887" s="29"/>
      <c r="P1887" s="29"/>
      <c r="Q1887" s="29"/>
      <c r="R1887" s="32"/>
      <c r="S1887" s="29"/>
    </row>
    <row r="1888" spans="1:24" ht="19.5" hidden="1" customHeight="1" outlineLevel="1">
      <c r="A1888" s="23">
        <v>21</v>
      </c>
      <c r="B1888" s="24">
        <f>IF(19&lt;=DAY(DATE(YEAR(설정_코스수당!$K$2),MONTH(설정_코스수당!$K$2)+1,0)),DATE(YEAR(설정_코스수당!$K$2),MONTH(설정_코스수당!$K$2),19),"")</f>
        <v>46192</v>
      </c>
      <c r="C1888" s="25"/>
      <c r="D1888" s="23"/>
      <c r="E1888" s="23"/>
      <c r="F1888" s="26"/>
      <c r="G1888" s="23"/>
      <c r="H1888" s="23"/>
      <c r="I1888" s="23"/>
      <c r="J1888" s="27">
        <f>IF($O1888="방문완료",MAX(0,IFERROR(VLOOKUP($E1888,설정_코스수당!$A$6:$H$10,4,FALSE),0)-IF(OR($P1888="",$P1888="없음"),0,100000)),0)</f>
        <v>0</v>
      </c>
      <c r="K1888" s="27">
        <f t="array" ref="K1888">IF($O1888="방문완료",IFERROR(INDEX(설정_코스수당!$B$15:$F$64,MATCH($G1888,설정_코스수당!$A$15:$A$64,0),MATCH($E1888&amp;"수당",설정_코스수당!$B$14:$F$14,0)),0),0)</f>
        <v>0</v>
      </c>
      <c r="L1888" s="27">
        <f t="array" ref="L1888">IF($O1888="방문완료",IF($H1888="",0,IFERROR(INDEX(설정_코스수당!$B$15:$F$64,MATCH($H1888,설정_코스수당!$A$15:$A$64,0),MATCH($E1888&amp;"수당",설정_코스수당!$B$14:$F$14,0)),0)),0)</f>
        <v>0</v>
      </c>
      <c r="M1888" s="27">
        <f>IF($O1888="방문완료",IFERROR(VLOOKUP($E1888,설정_코스수당!$A$6:$H$10,6,FALSE),0),0)</f>
        <v>0</v>
      </c>
      <c r="N1888" s="28">
        <f t="shared" si="54"/>
        <v>0</v>
      </c>
      <c r="O1888" s="23"/>
      <c r="P1888" s="23"/>
      <c r="Q1888" s="23"/>
      <c r="R1888" s="26"/>
      <c r="S1888" s="23"/>
    </row>
    <row r="1889" spans="1:19" ht="19.5" hidden="1" customHeight="1" outlineLevel="1">
      <c r="A1889" s="29">
        <v>22</v>
      </c>
      <c r="B1889" s="30">
        <f>IF(19&lt;=DAY(DATE(YEAR(설정_코스수당!$K$2),MONTH(설정_코스수당!$K$2)+1,0)),DATE(YEAR(설정_코스수당!$K$2),MONTH(설정_코스수당!$K$2),19),"")</f>
        <v>46192</v>
      </c>
      <c r="C1889" s="31"/>
      <c r="D1889" s="29"/>
      <c r="E1889" s="29"/>
      <c r="F1889" s="32"/>
      <c r="G1889" s="29"/>
      <c r="H1889" s="29"/>
      <c r="I1889" s="29"/>
      <c r="J1889" s="33">
        <f>IF($O1889="방문완료",MAX(0,IFERROR(VLOOKUP($E1889,설정_코스수당!$A$6:$H$10,4,FALSE),0)-IF(OR($P1889="",$P1889="없음"),0,100000)),0)</f>
        <v>0</v>
      </c>
      <c r="K1889" s="33">
        <f t="array" ref="K1889">IF($O1889="방문완료",IFERROR(INDEX(설정_코스수당!$B$15:$F$64,MATCH($G1889,설정_코스수당!$A$15:$A$64,0),MATCH($E1889&amp;"수당",설정_코스수당!$B$14:$F$14,0)),0),0)</f>
        <v>0</v>
      </c>
      <c r="L1889" s="33">
        <f t="array" ref="L1889">IF($O1889="방문완료",IF($H1889="",0,IFERROR(INDEX(설정_코스수당!$B$15:$F$64,MATCH($H1889,설정_코스수당!$A$15:$A$64,0),MATCH($E1889&amp;"수당",설정_코스수당!$B$14:$F$14,0)),0)),0)</f>
        <v>0</v>
      </c>
      <c r="M1889" s="33">
        <f>IF($O1889="방문완료",IFERROR(VLOOKUP($E1889,설정_코스수당!$A$6:$H$10,6,FALSE),0),0)</f>
        <v>0</v>
      </c>
      <c r="N1889" s="34">
        <f t="shared" si="54"/>
        <v>0</v>
      </c>
      <c r="O1889" s="29"/>
      <c r="P1889" s="29"/>
      <c r="Q1889" s="29"/>
      <c r="R1889" s="32"/>
      <c r="S1889" s="29"/>
    </row>
    <row r="1890" spans="1:19" ht="19.5" hidden="1" customHeight="1" outlineLevel="1">
      <c r="A1890" s="23">
        <v>23</v>
      </c>
      <c r="B1890" s="24">
        <f>IF(19&lt;=DAY(DATE(YEAR(설정_코스수당!$K$2),MONTH(설정_코스수당!$K$2)+1,0)),DATE(YEAR(설정_코스수당!$K$2),MONTH(설정_코스수당!$K$2),19),"")</f>
        <v>46192</v>
      </c>
      <c r="C1890" s="25"/>
      <c r="D1890" s="23"/>
      <c r="E1890" s="23"/>
      <c r="F1890" s="26"/>
      <c r="G1890" s="23"/>
      <c r="H1890" s="23"/>
      <c r="I1890" s="23"/>
      <c r="J1890" s="27">
        <f>IF($O1890="방문완료",MAX(0,IFERROR(VLOOKUP($E1890,설정_코스수당!$A$6:$H$10,4,FALSE),0)-IF(OR($P1890="",$P1890="없음"),0,100000)),0)</f>
        <v>0</v>
      </c>
      <c r="K1890" s="27">
        <f t="array" ref="K1890">IF($O1890="방문완료",IFERROR(INDEX(설정_코스수당!$B$15:$F$64,MATCH($G1890,설정_코스수당!$A$15:$A$64,0),MATCH($E1890&amp;"수당",설정_코스수당!$B$14:$F$14,0)),0),0)</f>
        <v>0</v>
      </c>
      <c r="L1890" s="27">
        <f t="array" ref="L1890">IF($O1890="방문완료",IF($H1890="",0,IFERROR(INDEX(설정_코스수당!$B$15:$F$64,MATCH($H1890,설정_코스수당!$A$15:$A$64,0),MATCH($E1890&amp;"수당",설정_코스수당!$B$14:$F$14,0)),0)),0)</f>
        <v>0</v>
      </c>
      <c r="M1890" s="27">
        <f>IF($O1890="방문완료",IFERROR(VLOOKUP($E1890,설정_코스수당!$A$6:$H$10,6,FALSE),0),0)</f>
        <v>0</v>
      </c>
      <c r="N1890" s="28">
        <f t="shared" si="54"/>
        <v>0</v>
      </c>
      <c r="O1890" s="23"/>
      <c r="P1890" s="23"/>
      <c r="Q1890" s="23"/>
      <c r="R1890" s="26"/>
      <c r="S1890" s="23"/>
    </row>
    <row r="1891" spans="1:19" ht="19.5" hidden="1" customHeight="1" outlineLevel="1">
      <c r="A1891" s="29">
        <v>24</v>
      </c>
      <c r="B1891" s="30">
        <f>IF(19&lt;=DAY(DATE(YEAR(설정_코스수당!$K$2),MONTH(설정_코스수당!$K$2)+1,0)),DATE(YEAR(설정_코스수당!$K$2),MONTH(설정_코스수당!$K$2),19),"")</f>
        <v>46192</v>
      </c>
      <c r="C1891" s="31"/>
      <c r="D1891" s="29"/>
      <c r="E1891" s="29"/>
      <c r="F1891" s="32"/>
      <c r="G1891" s="29"/>
      <c r="H1891" s="29"/>
      <c r="I1891" s="29"/>
      <c r="J1891" s="33">
        <f>IF($O1891="방문완료",MAX(0,IFERROR(VLOOKUP($E1891,설정_코스수당!$A$6:$H$10,4,FALSE),0)-IF(OR($P1891="",$P1891="없음"),0,100000)),0)</f>
        <v>0</v>
      </c>
      <c r="K1891" s="33">
        <f t="array" ref="K1891">IF($O1891="방문완료",IFERROR(INDEX(설정_코스수당!$B$15:$F$64,MATCH($G1891,설정_코스수당!$A$15:$A$64,0),MATCH($E1891&amp;"수당",설정_코스수당!$B$14:$F$14,0)),0),0)</f>
        <v>0</v>
      </c>
      <c r="L1891" s="33">
        <f t="array" ref="L1891">IF($O1891="방문완료",IF($H1891="",0,IFERROR(INDEX(설정_코스수당!$B$15:$F$64,MATCH($H1891,설정_코스수당!$A$15:$A$64,0),MATCH($E1891&amp;"수당",설정_코스수당!$B$14:$F$14,0)),0)),0)</f>
        <v>0</v>
      </c>
      <c r="M1891" s="33">
        <f>IF($O1891="방문완료",IFERROR(VLOOKUP($E1891,설정_코스수당!$A$6:$H$10,6,FALSE),0),0)</f>
        <v>0</v>
      </c>
      <c r="N1891" s="34">
        <f t="shared" si="54"/>
        <v>0</v>
      </c>
      <c r="O1891" s="29"/>
      <c r="P1891" s="29"/>
      <c r="Q1891" s="29"/>
      <c r="R1891" s="32"/>
      <c r="S1891" s="29"/>
    </row>
    <row r="1892" spans="1:19" ht="19.5" hidden="1" customHeight="1" outlineLevel="1">
      <c r="A1892" s="23">
        <v>25</v>
      </c>
      <c r="B1892" s="24">
        <f>IF(19&lt;=DAY(DATE(YEAR(설정_코스수당!$K$2),MONTH(설정_코스수당!$K$2)+1,0)),DATE(YEAR(설정_코스수당!$K$2),MONTH(설정_코스수당!$K$2),19),"")</f>
        <v>46192</v>
      </c>
      <c r="C1892" s="25"/>
      <c r="D1892" s="23"/>
      <c r="E1892" s="23"/>
      <c r="F1892" s="26"/>
      <c r="G1892" s="23"/>
      <c r="H1892" s="23"/>
      <c r="I1892" s="23"/>
      <c r="J1892" s="27">
        <f>IF($O1892="방문완료",MAX(0,IFERROR(VLOOKUP($E1892,설정_코스수당!$A$6:$H$10,4,FALSE),0)-IF(OR($P1892="",$P1892="없음"),0,100000)),0)</f>
        <v>0</v>
      </c>
      <c r="K1892" s="27">
        <f t="array" ref="K1892">IF($O1892="방문완료",IFERROR(INDEX(설정_코스수당!$B$15:$F$64,MATCH($G1892,설정_코스수당!$A$15:$A$64,0),MATCH($E1892&amp;"수당",설정_코스수당!$B$14:$F$14,0)),0),0)</f>
        <v>0</v>
      </c>
      <c r="L1892" s="27">
        <f t="array" ref="L1892">IF($O1892="방문완료",IF($H1892="",0,IFERROR(INDEX(설정_코스수당!$B$15:$F$64,MATCH($H1892,설정_코스수당!$A$15:$A$64,0),MATCH($E1892&amp;"수당",설정_코스수당!$B$14:$F$14,0)),0)),0)</f>
        <v>0</v>
      </c>
      <c r="M1892" s="27">
        <f>IF($O1892="방문완료",IFERROR(VLOOKUP($E1892,설정_코스수당!$A$6:$H$10,6,FALSE),0),0)</f>
        <v>0</v>
      </c>
      <c r="N1892" s="28">
        <f t="shared" si="54"/>
        <v>0</v>
      </c>
      <c r="O1892" s="23"/>
      <c r="P1892" s="23"/>
      <c r="Q1892" s="23"/>
      <c r="R1892" s="26"/>
      <c r="S1892" s="23"/>
    </row>
    <row r="1893" spans="1:19" ht="19.5" hidden="1" customHeight="1" outlineLevel="1">
      <c r="A1893" s="29">
        <v>26</v>
      </c>
      <c r="B1893" s="30">
        <f>IF(19&lt;=DAY(DATE(YEAR(설정_코스수당!$K$2),MONTH(설정_코스수당!$K$2)+1,0)),DATE(YEAR(설정_코스수당!$K$2),MONTH(설정_코스수당!$K$2),19),"")</f>
        <v>46192</v>
      </c>
      <c r="C1893" s="31"/>
      <c r="D1893" s="29"/>
      <c r="E1893" s="29"/>
      <c r="F1893" s="32"/>
      <c r="G1893" s="29"/>
      <c r="H1893" s="29"/>
      <c r="I1893" s="29"/>
      <c r="J1893" s="33">
        <f>IF($O1893="방문완료",MAX(0,IFERROR(VLOOKUP($E1893,설정_코스수당!$A$6:$H$10,4,FALSE),0)-IF(OR($P1893="",$P1893="없음"),0,100000)),0)</f>
        <v>0</v>
      </c>
      <c r="K1893" s="33">
        <f t="array" ref="K1893">IF($O1893="방문완료",IFERROR(INDEX(설정_코스수당!$B$15:$F$64,MATCH($G1893,설정_코스수당!$A$15:$A$64,0),MATCH($E1893&amp;"수당",설정_코스수당!$B$14:$F$14,0)),0),0)</f>
        <v>0</v>
      </c>
      <c r="L1893" s="33">
        <f t="array" ref="L1893">IF($O1893="방문완료",IF($H1893="",0,IFERROR(INDEX(설정_코스수당!$B$15:$F$64,MATCH($H1893,설정_코스수당!$A$15:$A$64,0),MATCH($E1893&amp;"수당",설정_코스수당!$B$14:$F$14,0)),0)),0)</f>
        <v>0</v>
      </c>
      <c r="M1893" s="33">
        <f>IF($O1893="방문완료",IFERROR(VLOOKUP($E1893,설정_코스수당!$A$6:$H$10,6,FALSE),0),0)</f>
        <v>0</v>
      </c>
      <c r="N1893" s="34">
        <f t="shared" si="54"/>
        <v>0</v>
      </c>
      <c r="O1893" s="29"/>
      <c r="P1893" s="29"/>
      <c r="Q1893" s="29"/>
      <c r="R1893" s="32"/>
      <c r="S1893" s="29"/>
    </row>
    <row r="1894" spans="1:19" ht="19.5" hidden="1" customHeight="1" outlineLevel="1">
      <c r="A1894" s="23">
        <v>27</v>
      </c>
      <c r="B1894" s="24">
        <f>IF(19&lt;=DAY(DATE(YEAR(설정_코스수당!$K$2),MONTH(설정_코스수당!$K$2)+1,0)),DATE(YEAR(설정_코스수당!$K$2),MONTH(설정_코스수당!$K$2),19),"")</f>
        <v>46192</v>
      </c>
      <c r="C1894" s="25"/>
      <c r="D1894" s="23"/>
      <c r="E1894" s="23"/>
      <c r="F1894" s="26"/>
      <c r="G1894" s="23"/>
      <c r="H1894" s="23"/>
      <c r="I1894" s="23"/>
      <c r="J1894" s="27">
        <f>IF($O1894="방문완료",MAX(0,IFERROR(VLOOKUP($E1894,설정_코스수당!$A$6:$H$10,4,FALSE),0)-IF(OR($P1894="",$P1894="없음"),0,100000)),0)</f>
        <v>0</v>
      </c>
      <c r="K1894" s="27">
        <f t="array" ref="K1894">IF($O1894="방문완료",IFERROR(INDEX(설정_코스수당!$B$15:$F$64,MATCH($G1894,설정_코스수당!$A$15:$A$64,0),MATCH($E1894&amp;"수당",설정_코스수당!$B$14:$F$14,0)),0),0)</f>
        <v>0</v>
      </c>
      <c r="L1894" s="27">
        <f t="array" ref="L1894">IF($O1894="방문완료",IF($H1894="",0,IFERROR(INDEX(설정_코스수당!$B$15:$F$64,MATCH($H1894,설정_코스수당!$A$15:$A$64,0),MATCH($E1894&amp;"수당",설정_코스수당!$B$14:$F$14,0)),0)),0)</f>
        <v>0</v>
      </c>
      <c r="M1894" s="27">
        <f>IF($O1894="방문완료",IFERROR(VLOOKUP($E1894,설정_코스수당!$A$6:$H$10,6,FALSE),0),0)</f>
        <v>0</v>
      </c>
      <c r="N1894" s="28">
        <f t="shared" si="54"/>
        <v>0</v>
      </c>
      <c r="O1894" s="23"/>
      <c r="P1894" s="23"/>
      <c r="Q1894" s="23"/>
      <c r="R1894" s="26"/>
      <c r="S1894" s="23"/>
    </row>
    <row r="1895" spans="1:19" ht="19.5" hidden="1" customHeight="1" outlineLevel="1">
      <c r="A1895" s="29">
        <v>28</v>
      </c>
      <c r="B1895" s="30">
        <f>IF(19&lt;=DAY(DATE(YEAR(설정_코스수당!$K$2),MONTH(설정_코스수당!$K$2)+1,0)),DATE(YEAR(설정_코스수당!$K$2),MONTH(설정_코스수당!$K$2),19),"")</f>
        <v>46192</v>
      </c>
      <c r="C1895" s="31"/>
      <c r="D1895" s="29"/>
      <c r="E1895" s="29"/>
      <c r="F1895" s="32"/>
      <c r="G1895" s="29"/>
      <c r="H1895" s="29"/>
      <c r="I1895" s="29"/>
      <c r="J1895" s="33">
        <f>IF($O1895="방문완료",MAX(0,IFERROR(VLOOKUP($E1895,설정_코스수당!$A$6:$H$10,4,FALSE),0)-IF(OR($P1895="",$P1895="없음"),0,100000)),0)</f>
        <v>0</v>
      </c>
      <c r="K1895" s="33">
        <f t="array" ref="K1895">IF($O1895="방문완료",IFERROR(INDEX(설정_코스수당!$B$15:$F$64,MATCH($G1895,설정_코스수당!$A$15:$A$64,0),MATCH($E1895&amp;"수당",설정_코스수당!$B$14:$F$14,0)),0),0)</f>
        <v>0</v>
      </c>
      <c r="L1895" s="33">
        <f t="array" ref="L1895">IF($O1895="방문완료",IF($H1895="",0,IFERROR(INDEX(설정_코스수당!$B$15:$F$64,MATCH($H1895,설정_코스수당!$A$15:$A$64,0),MATCH($E1895&amp;"수당",설정_코스수당!$B$14:$F$14,0)),0)),0)</f>
        <v>0</v>
      </c>
      <c r="M1895" s="33">
        <f>IF($O1895="방문완료",IFERROR(VLOOKUP($E1895,설정_코스수당!$A$6:$H$10,6,FALSE),0),0)</f>
        <v>0</v>
      </c>
      <c r="N1895" s="34">
        <f t="shared" si="54"/>
        <v>0</v>
      </c>
      <c r="O1895" s="29"/>
      <c r="P1895" s="29"/>
      <c r="Q1895" s="29"/>
      <c r="R1895" s="32"/>
      <c r="S1895" s="29"/>
    </row>
    <row r="1896" spans="1:19" ht="19.5" hidden="1" customHeight="1" outlineLevel="1">
      <c r="A1896" s="23">
        <v>29</v>
      </c>
      <c r="B1896" s="24">
        <f>IF(19&lt;=DAY(DATE(YEAR(설정_코스수당!$K$2),MONTH(설정_코스수당!$K$2)+1,0)),DATE(YEAR(설정_코스수당!$K$2),MONTH(설정_코스수당!$K$2),19),"")</f>
        <v>46192</v>
      </c>
      <c r="C1896" s="25"/>
      <c r="D1896" s="23"/>
      <c r="E1896" s="23"/>
      <c r="F1896" s="26"/>
      <c r="G1896" s="23"/>
      <c r="H1896" s="23"/>
      <c r="I1896" s="23"/>
      <c r="J1896" s="27">
        <f>IF($O1896="방문완료",MAX(0,IFERROR(VLOOKUP($E1896,설정_코스수당!$A$6:$H$10,4,FALSE),0)-IF(OR($P1896="",$P1896="없음"),0,100000)),0)</f>
        <v>0</v>
      </c>
      <c r="K1896" s="27">
        <f t="array" ref="K1896">IF($O1896="방문완료",IFERROR(INDEX(설정_코스수당!$B$15:$F$64,MATCH($G1896,설정_코스수당!$A$15:$A$64,0),MATCH($E1896&amp;"수당",설정_코스수당!$B$14:$F$14,0)),0),0)</f>
        <v>0</v>
      </c>
      <c r="L1896" s="27">
        <f t="array" ref="L1896">IF($O1896="방문완료",IF($H1896="",0,IFERROR(INDEX(설정_코스수당!$B$15:$F$64,MATCH($H1896,설정_코스수당!$A$15:$A$64,0),MATCH($E1896&amp;"수당",설정_코스수당!$B$14:$F$14,0)),0)),0)</f>
        <v>0</v>
      </c>
      <c r="M1896" s="27">
        <f>IF($O1896="방문완료",IFERROR(VLOOKUP($E1896,설정_코스수당!$A$6:$H$10,6,FALSE),0),0)</f>
        <v>0</v>
      </c>
      <c r="N1896" s="28">
        <f t="shared" si="54"/>
        <v>0</v>
      </c>
      <c r="O1896" s="23"/>
      <c r="P1896" s="23"/>
      <c r="Q1896" s="23"/>
      <c r="R1896" s="26"/>
      <c r="S1896" s="23"/>
    </row>
    <row r="1897" spans="1:19" ht="19.5" hidden="1" customHeight="1" outlineLevel="1">
      <c r="A1897" s="29">
        <v>30</v>
      </c>
      <c r="B1897" s="30">
        <f>IF(19&lt;=DAY(DATE(YEAR(설정_코스수당!$K$2),MONTH(설정_코스수당!$K$2)+1,0)),DATE(YEAR(설정_코스수당!$K$2),MONTH(설정_코스수당!$K$2),19),"")</f>
        <v>46192</v>
      </c>
      <c r="C1897" s="31"/>
      <c r="D1897" s="29"/>
      <c r="E1897" s="29"/>
      <c r="F1897" s="32"/>
      <c r="G1897" s="29"/>
      <c r="H1897" s="29"/>
      <c r="I1897" s="29"/>
      <c r="J1897" s="33">
        <f>IF($O1897="방문완료",MAX(0,IFERROR(VLOOKUP($E1897,설정_코스수당!$A$6:$H$10,4,FALSE),0)-IF(OR($P1897="",$P1897="없음"),0,100000)),0)</f>
        <v>0</v>
      </c>
      <c r="K1897" s="33">
        <f t="array" ref="K1897">IF($O1897="방문완료",IFERROR(INDEX(설정_코스수당!$B$15:$F$64,MATCH($G1897,설정_코스수당!$A$15:$A$64,0),MATCH($E1897&amp;"수당",설정_코스수당!$B$14:$F$14,0)),0),0)</f>
        <v>0</v>
      </c>
      <c r="L1897" s="33">
        <f t="array" ref="L1897">IF($O1897="방문완료",IF($H1897="",0,IFERROR(INDEX(설정_코스수당!$B$15:$F$64,MATCH($H1897,설정_코스수당!$A$15:$A$64,0),MATCH($E1897&amp;"수당",설정_코스수당!$B$14:$F$14,0)),0)),0)</f>
        <v>0</v>
      </c>
      <c r="M1897" s="33">
        <f>IF($O1897="방문완료",IFERROR(VLOOKUP($E1897,설정_코스수당!$A$6:$H$10,6,FALSE),0),0)</f>
        <v>0</v>
      </c>
      <c r="N1897" s="34">
        <f t="shared" si="54"/>
        <v>0</v>
      </c>
      <c r="O1897" s="29"/>
      <c r="P1897" s="29"/>
      <c r="Q1897" s="29"/>
      <c r="R1897" s="32"/>
      <c r="S1897" s="29"/>
    </row>
    <row r="1898" spans="1:19" ht="19.5" hidden="1" customHeight="1" outlineLevel="1">
      <c r="A1898" s="23">
        <v>31</v>
      </c>
      <c r="B1898" s="24">
        <f>IF(19&lt;=DAY(DATE(YEAR(설정_코스수당!$K$2),MONTH(설정_코스수당!$K$2)+1,0)),DATE(YEAR(설정_코스수당!$K$2),MONTH(설정_코스수당!$K$2),19),"")</f>
        <v>46192</v>
      </c>
      <c r="C1898" s="25"/>
      <c r="D1898" s="23"/>
      <c r="E1898" s="23"/>
      <c r="F1898" s="26"/>
      <c r="G1898" s="23"/>
      <c r="H1898" s="23"/>
      <c r="I1898" s="23"/>
      <c r="J1898" s="27">
        <f>IF($O1898="방문완료",MAX(0,IFERROR(VLOOKUP($E1898,설정_코스수당!$A$6:$H$10,4,FALSE),0)-IF(OR($P1898="",$P1898="없음"),0,100000)),0)</f>
        <v>0</v>
      </c>
      <c r="K1898" s="27">
        <f t="array" ref="K1898">IF($O1898="방문완료",IFERROR(INDEX(설정_코스수당!$B$15:$F$64,MATCH($G1898,설정_코스수당!$A$15:$A$64,0),MATCH($E1898&amp;"수당",설정_코스수당!$B$14:$F$14,0)),0),0)</f>
        <v>0</v>
      </c>
      <c r="L1898" s="27">
        <f t="array" ref="L1898">IF($O1898="방문완료",IF($H1898="",0,IFERROR(INDEX(설정_코스수당!$B$15:$F$64,MATCH($H1898,설정_코스수당!$A$15:$A$64,0),MATCH($E1898&amp;"수당",설정_코스수당!$B$14:$F$14,0)),0)),0)</f>
        <v>0</v>
      </c>
      <c r="M1898" s="27">
        <f>IF($O1898="방문완료",IFERROR(VLOOKUP($E1898,설정_코스수당!$A$6:$H$10,6,FALSE),0),0)</f>
        <v>0</v>
      </c>
      <c r="N1898" s="28">
        <f t="shared" si="54"/>
        <v>0</v>
      </c>
      <c r="O1898" s="23"/>
      <c r="P1898" s="23"/>
      <c r="Q1898" s="23"/>
      <c r="R1898" s="26"/>
      <c r="S1898" s="23"/>
    </row>
    <row r="1899" spans="1:19" ht="19.5" hidden="1" customHeight="1" outlineLevel="1">
      <c r="A1899" s="29">
        <v>32</v>
      </c>
      <c r="B1899" s="30">
        <f>IF(19&lt;=DAY(DATE(YEAR(설정_코스수당!$K$2),MONTH(설정_코스수당!$K$2)+1,0)),DATE(YEAR(설정_코스수당!$K$2),MONTH(설정_코스수당!$K$2),19),"")</f>
        <v>46192</v>
      </c>
      <c r="C1899" s="31"/>
      <c r="D1899" s="29"/>
      <c r="E1899" s="29"/>
      <c r="F1899" s="32"/>
      <c r="G1899" s="29"/>
      <c r="H1899" s="29"/>
      <c r="I1899" s="29"/>
      <c r="J1899" s="33">
        <f>IF($O1899="방문완료",MAX(0,IFERROR(VLOOKUP($E1899,설정_코스수당!$A$6:$H$10,4,FALSE),0)-IF(OR($P1899="",$P1899="없음"),0,100000)),0)</f>
        <v>0</v>
      </c>
      <c r="K1899" s="33">
        <f t="array" ref="K1899">IF($O1899="방문완료",IFERROR(INDEX(설정_코스수당!$B$15:$F$64,MATCH($G1899,설정_코스수당!$A$15:$A$64,0),MATCH($E1899&amp;"수당",설정_코스수당!$B$14:$F$14,0)),0),0)</f>
        <v>0</v>
      </c>
      <c r="L1899" s="33">
        <f t="array" ref="L1899">IF($O1899="방문완료",IF($H1899="",0,IFERROR(INDEX(설정_코스수당!$B$15:$F$64,MATCH($H1899,설정_코스수당!$A$15:$A$64,0),MATCH($E1899&amp;"수당",설정_코스수당!$B$14:$F$14,0)),0)),0)</f>
        <v>0</v>
      </c>
      <c r="M1899" s="33">
        <f>IF($O1899="방문완료",IFERROR(VLOOKUP($E1899,설정_코스수당!$A$6:$H$10,6,FALSE),0),0)</f>
        <v>0</v>
      </c>
      <c r="N1899" s="34">
        <f t="shared" si="54"/>
        <v>0</v>
      </c>
      <c r="O1899" s="29"/>
      <c r="P1899" s="29"/>
      <c r="Q1899" s="29"/>
      <c r="R1899" s="32"/>
      <c r="S1899" s="29"/>
    </row>
    <row r="1900" spans="1:19" ht="19.5" hidden="1" customHeight="1" outlineLevel="1">
      <c r="A1900" s="23">
        <v>33</v>
      </c>
      <c r="B1900" s="24">
        <f>IF(19&lt;=DAY(DATE(YEAR(설정_코스수당!$K$2),MONTH(설정_코스수당!$K$2)+1,0)),DATE(YEAR(설정_코스수당!$K$2),MONTH(설정_코스수당!$K$2),19),"")</f>
        <v>46192</v>
      </c>
      <c r="C1900" s="25"/>
      <c r="D1900" s="23"/>
      <c r="E1900" s="23"/>
      <c r="F1900" s="26"/>
      <c r="G1900" s="23"/>
      <c r="H1900" s="23"/>
      <c r="I1900" s="23"/>
      <c r="J1900" s="27">
        <f>IF($O1900="방문완료",MAX(0,IFERROR(VLOOKUP($E1900,설정_코스수당!$A$6:$H$10,4,FALSE),0)-IF(OR($P1900="",$P1900="없음"),0,100000)),0)</f>
        <v>0</v>
      </c>
      <c r="K1900" s="27">
        <f t="array" ref="K1900">IF($O1900="방문완료",IFERROR(INDEX(설정_코스수당!$B$15:$F$64,MATCH($G1900,설정_코스수당!$A$15:$A$64,0),MATCH($E1900&amp;"수당",설정_코스수당!$B$14:$F$14,0)),0),0)</f>
        <v>0</v>
      </c>
      <c r="L1900" s="27">
        <f t="array" ref="L1900">IF($O1900="방문완료",IF($H1900="",0,IFERROR(INDEX(설정_코스수당!$B$15:$F$64,MATCH($H1900,설정_코스수당!$A$15:$A$64,0),MATCH($E1900&amp;"수당",설정_코스수당!$B$14:$F$14,0)),0)),0)</f>
        <v>0</v>
      </c>
      <c r="M1900" s="27">
        <f>IF($O1900="방문완료",IFERROR(VLOOKUP($E1900,설정_코스수당!$A$6:$H$10,6,FALSE),0),0)</f>
        <v>0</v>
      </c>
      <c r="N1900" s="28">
        <f t="shared" ref="N1900:N1931" si="55">IF($O1900="방문완료",1,0)</f>
        <v>0</v>
      </c>
      <c r="O1900" s="23"/>
      <c r="P1900" s="23"/>
      <c r="Q1900" s="23"/>
      <c r="R1900" s="26"/>
      <c r="S1900" s="23"/>
    </row>
    <row r="1901" spans="1:19" ht="19.5" hidden="1" customHeight="1" outlineLevel="1">
      <c r="A1901" s="29">
        <v>34</v>
      </c>
      <c r="B1901" s="30">
        <f>IF(19&lt;=DAY(DATE(YEAR(설정_코스수당!$K$2),MONTH(설정_코스수당!$K$2)+1,0)),DATE(YEAR(설정_코스수당!$K$2),MONTH(설정_코스수당!$K$2),19),"")</f>
        <v>46192</v>
      </c>
      <c r="C1901" s="31"/>
      <c r="D1901" s="29"/>
      <c r="E1901" s="29"/>
      <c r="F1901" s="32"/>
      <c r="G1901" s="29"/>
      <c r="H1901" s="29"/>
      <c r="I1901" s="29"/>
      <c r="J1901" s="33">
        <f>IF($O1901="방문완료",MAX(0,IFERROR(VLOOKUP($E1901,설정_코스수당!$A$6:$H$10,4,FALSE),0)-IF(OR($P1901="",$P1901="없음"),0,100000)),0)</f>
        <v>0</v>
      </c>
      <c r="K1901" s="33">
        <f t="array" ref="K1901">IF($O1901="방문완료",IFERROR(INDEX(설정_코스수당!$B$15:$F$64,MATCH($G1901,설정_코스수당!$A$15:$A$64,0),MATCH($E1901&amp;"수당",설정_코스수당!$B$14:$F$14,0)),0),0)</f>
        <v>0</v>
      </c>
      <c r="L1901" s="33">
        <f t="array" ref="L1901">IF($O1901="방문완료",IF($H1901="",0,IFERROR(INDEX(설정_코스수당!$B$15:$F$64,MATCH($H1901,설정_코스수당!$A$15:$A$64,0),MATCH($E1901&amp;"수당",설정_코스수당!$B$14:$F$14,0)),0)),0)</f>
        <v>0</v>
      </c>
      <c r="M1901" s="33">
        <f>IF($O1901="방문완료",IFERROR(VLOOKUP($E1901,설정_코스수당!$A$6:$H$10,6,FALSE),0),0)</f>
        <v>0</v>
      </c>
      <c r="N1901" s="34">
        <f t="shared" si="55"/>
        <v>0</v>
      </c>
      <c r="O1901" s="29"/>
      <c r="P1901" s="29"/>
      <c r="Q1901" s="29"/>
      <c r="R1901" s="32"/>
      <c r="S1901" s="29"/>
    </row>
    <row r="1902" spans="1:19" ht="19.5" hidden="1" customHeight="1" outlineLevel="1">
      <c r="A1902" s="23">
        <v>35</v>
      </c>
      <c r="B1902" s="24">
        <f>IF(19&lt;=DAY(DATE(YEAR(설정_코스수당!$K$2),MONTH(설정_코스수당!$K$2)+1,0)),DATE(YEAR(설정_코스수당!$K$2),MONTH(설정_코스수당!$K$2),19),"")</f>
        <v>46192</v>
      </c>
      <c r="C1902" s="25"/>
      <c r="D1902" s="23"/>
      <c r="E1902" s="23"/>
      <c r="F1902" s="26"/>
      <c r="G1902" s="23"/>
      <c r="H1902" s="23"/>
      <c r="I1902" s="23"/>
      <c r="J1902" s="27">
        <f>IF($O1902="방문완료",MAX(0,IFERROR(VLOOKUP($E1902,설정_코스수당!$A$6:$H$10,4,FALSE),0)-IF(OR($P1902="",$P1902="없음"),0,100000)),0)</f>
        <v>0</v>
      </c>
      <c r="K1902" s="27">
        <f t="array" ref="K1902">IF($O1902="방문완료",IFERROR(INDEX(설정_코스수당!$B$15:$F$64,MATCH($G1902,설정_코스수당!$A$15:$A$64,0),MATCH($E1902&amp;"수당",설정_코스수당!$B$14:$F$14,0)),0),0)</f>
        <v>0</v>
      </c>
      <c r="L1902" s="27">
        <f t="array" ref="L1902">IF($O1902="방문완료",IF($H1902="",0,IFERROR(INDEX(설정_코스수당!$B$15:$F$64,MATCH($H1902,설정_코스수당!$A$15:$A$64,0),MATCH($E1902&amp;"수당",설정_코스수당!$B$14:$F$14,0)),0)),0)</f>
        <v>0</v>
      </c>
      <c r="M1902" s="27">
        <f>IF($O1902="방문완료",IFERROR(VLOOKUP($E1902,설정_코스수당!$A$6:$H$10,6,FALSE),0),0)</f>
        <v>0</v>
      </c>
      <c r="N1902" s="28">
        <f t="shared" si="55"/>
        <v>0</v>
      </c>
      <c r="O1902" s="23"/>
      <c r="P1902" s="23"/>
      <c r="Q1902" s="23"/>
      <c r="R1902" s="26"/>
      <c r="S1902" s="23"/>
    </row>
    <row r="1903" spans="1:19" ht="19.5" hidden="1" customHeight="1" outlineLevel="1">
      <c r="A1903" s="29">
        <v>36</v>
      </c>
      <c r="B1903" s="30">
        <f>IF(19&lt;=DAY(DATE(YEAR(설정_코스수당!$K$2),MONTH(설정_코스수당!$K$2)+1,0)),DATE(YEAR(설정_코스수당!$K$2),MONTH(설정_코스수당!$K$2),19),"")</f>
        <v>46192</v>
      </c>
      <c r="C1903" s="31"/>
      <c r="D1903" s="29"/>
      <c r="E1903" s="29"/>
      <c r="F1903" s="32"/>
      <c r="G1903" s="29"/>
      <c r="H1903" s="29"/>
      <c r="I1903" s="29"/>
      <c r="J1903" s="33">
        <f>IF($O1903="방문완료",MAX(0,IFERROR(VLOOKUP($E1903,설정_코스수당!$A$6:$H$10,4,FALSE),0)-IF(OR($P1903="",$P1903="없음"),0,100000)),0)</f>
        <v>0</v>
      </c>
      <c r="K1903" s="33">
        <f t="array" ref="K1903">IF($O1903="방문완료",IFERROR(INDEX(설정_코스수당!$B$15:$F$64,MATCH($G1903,설정_코스수당!$A$15:$A$64,0),MATCH($E1903&amp;"수당",설정_코스수당!$B$14:$F$14,0)),0),0)</f>
        <v>0</v>
      </c>
      <c r="L1903" s="33">
        <f t="array" ref="L1903">IF($O1903="방문완료",IF($H1903="",0,IFERROR(INDEX(설정_코스수당!$B$15:$F$64,MATCH($H1903,설정_코스수당!$A$15:$A$64,0),MATCH($E1903&amp;"수당",설정_코스수당!$B$14:$F$14,0)),0)),0)</f>
        <v>0</v>
      </c>
      <c r="M1903" s="33">
        <f>IF($O1903="방문완료",IFERROR(VLOOKUP($E1903,설정_코스수당!$A$6:$H$10,6,FALSE),0),0)</f>
        <v>0</v>
      </c>
      <c r="N1903" s="34">
        <f t="shared" si="55"/>
        <v>0</v>
      </c>
      <c r="O1903" s="29"/>
      <c r="P1903" s="29"/>
      <c r="Q1903" s="29"/>
      <c r="R1903" s="32"/>
      <c r="S1903" s="29"/>
    </row>
    <row r="1904" spans="1:19" ht="19.5" hidden="1" customHeight="1" outlineLevel="1">
      <c r="A1904" s="23">
        <v>37</v>
      </c>
      <c r="B1904" s="24">
        <f>IF(19&lt;=DAY(DATE(YEAR(설정_코스수당!$K$2),MONTH(설정_코스수당!$K$2)+1,0)),DATE(YEAR(설정_코스수당!$K$2),MONTH(설정_코스수당!$K$2),19),"")</f>
        <v>46192</v>
      </c>
      <c r="C1904" s="25"/>
      <c r="D1904" s="23"/>
      <c r="E1904" s="23"/>
      <c r="F1904" s="26"/>
      <c r="G1904" s="23"/>
      <c r="H1904" s="23"/>
      <c r="I1904" s="23"/>
      <c r="J1904" s="27">
        <f>IF($O1904="방문완료",MAX(0,IFERROR(VLOOKUP($E1904,설정_코스수당!$A$6:$H$10,4,FALSE),0)-IF(OR($P1904="",$P1904="없음"),0,100000)),0)</f>
        <v>0</v>
      </c>
      <c r="K1904" s="27">
        <f t="array" ref="K1904">IF($O1904="방문완료",IFERROR(INDEX(설정_코스수당!$B$15:$F$64,MATCH($G1904,설정_코스수당!$A$15:$A$64,0),MATCH($E1904&amp;"수당",설정_코스수당!$B$14:$F$14,0)),0),0)</f>
        <v>0</v>
      </c>
      <c r="L1904" s="27">
        <f t="array" ref="L1904">IF($O1904="방문완료",IF($H1904="",0,IFERROR(INDEX(설정_코스수당!$B$15:$F$64,MATCH($H1904,설정_코스수당!$A$15:$A$64,0),MATCH($E1904&amp;"수당",설정_코스수당!$B$14:$F$14,0)),0)),0)</f>
        <v>0</v>
      </c>
      <c r="M1904" s="27">
        <f>IF($O1904="방문완료",IFERROR(VLOOKUP($E1904,설정_코스수당!$A$6:$H$10,6,FALSE),0),0)</f>
        <v>0</v>
      </c>
      <c r="N1904" s="28">
        <f t="shared" si="55"/>
        <v>0</v>
      </c>
      <c r="O1904" s="23"/>
      <c r="P1904" s="23"/>
      <c r="Q1904" s="23"/>
      <c r="R1904" s="26"/>
      <c r="S1904" s="23"/>
    </row>
    <row r="1905" spans="1:22" ht="19.5" hidden="1" customHeight="1" outlineLevel="1">
      <c r="A1905" s="29">
        <v>38</v>
      </c>
      <c r="B1905" s="30">
        <f>IF(19&lt;=DAY(DATE(YEAR(설정_코스수당!$K$2),MONTH(설정_코스수당!$K$2)+1,0)),DATE(YEAR(설정_코스수당!$K$2),MONTH(설정_코스수당!$K$2),19),"")</f>
        <v>46192</v>
      </c>
      <c r="C1905" s="31"/>
      <c r="D1905" s="29"/>
      <c r="E1905" s="29"/>
      <c r="F1905" s="32"/>
      <c r="G1905" s="29"/>
      <c r="H1905" s="29"/>
      <c r="I1905" s="29"/>
      <c r="J1905" s="33">
        <f>IF($O1905="방문완료",MAX(0,IFERROR(VLOOKUP($E1905,설정_코스수당!$A$6:$H$10,4,FALSE),0)-IF(OR($P1905="",$P1905="없음"),0,100000)),0)</f>
        <v>0</v>
      </c>
      <c r="K1905" s="33">
        <f t="array" ref="K1905">IF($O1905="방문완료",IFERROR(INDEX(설정_코스수당!$B$15:$F$64,MATCH($G1905,설정_코스수당!$A$15:$A$64,0),MATCH($E1905&amp;"수당",설정_코스수당!$B$14:$F$14,0)),0),0)</f>
        <v>0</v>
      </c>
      <c r="L1905" s="33">
        <f t="array" ref="L1905">IF($O1905="방문완료",IF($H1905="",0,IFERROR(INDEX(설정_코스수당!$B$15:$F$64,MATCH($H1905,설정_코스수당!$A$15:$A$64,0),MATCH($E1905&amp;"수당",설정_코스수당!$B$14:$F$14,0)),0)),0)</f>
        <v>0</v>
      </c>
      <c r="M1905" s="33">
        <f>IF($O1905="방문완료",IFERROR(VLOOKUP($E1905,설정_코스수당!$A$6:$H$10,6,FALSE),0),0)</f>
        <v>0</v>
      </c>
      <c r="N1905" s="34">
        <f t="shared" si="55"/>
        <v>0</v>
      </c>
      <c r="O1905" s="29"/>
      <c r="P1905" s="29"/>
      <c r="Q1905" s="29"/>
      <c r="R1905" s="32"/>
      <c r="S1905" s="29"/>
    </row>
    <row r="1906" spans="1:22" ht="19.5" hidden="1" customHeight="1" outlineLevel="1">
      <c r="A1906" s="23">
        <v>39</v>
      </c>
      <c r="B1906" s="24">
        <f>IF(19&lt;=DAY(DATE(YEAR(설정_코스수당!$K$2),MONTH(설정_코스수당!$K$2)+1,0)),DATE(YEAR(설정_코스수당!$K$2),MONTH(설정_코스수당!$K$2),19),"")</f>
        <v>46192</v>
      </c>
      <c r="C1906" s="25"/>
      <c r="D1906" s="23"/>
      <c r="E1906" s="23"/>
      <c r="F1906" s="26"/>
      <c r="G1906" s="23"/>
      <c r="H1906" s="23"/>
      <c r="I1906" s="23"/>
      <c r="J1906" s="27">
        <f>IF($O1906="방문완료",MAX(0,IFERROR(VLOOKUP($E1906,설정_코스수당!$A$6:$H$10,4,FALSE),0)-IF(OR($P1906="",$P1906="없음"),0,100000)),0)</f>
        <v>0</v>
      </c>
      <c r="K1906" s="27">
        <f t="array" ref="K1906">IF($O1906="방문완료",IFERROR(INDEX(설정_코스수당!$B$15:$F$64,MATCH($G1906,설정_코스수당!$A$15:$A$64,0),MATCH($E1906&amp;"수당",설정_코스수당!$B$14:$F$14,0)),0),0)</f>
        <v>0</v>
      </c>
      <c r="L1906" s="27">
        <f t="array" ref="L1906">IF($O1906="방문완료",IF($H1906="",0,IFERROR(INDEX(설정_코스수당!$B$15:$F$64,MATCH($H1906,설정_코스수당!$A$15:$A$64,0),MATCH($E1906&amp;"수당",설정_코스수당!$B$14:$F$14,0)),0)),0)</f>
        <v>0</v>
      </c>
      <c r="M1906" s="27">
        <f>IF($O1906="방문완료",IFERROR(VLOOKUP($E1906,설정_코스수당!$A$6:$H$10,6,FALSE),0),0)</f>
        <v>0</v>
      </c>
      <c r="N1906" s="28">
        <f t="shared" si="55"/>
        <v>0</v>
      </c>
      <c r="O1906" s="23"/>
      <c r="P1906" s="23"/>
      <c r="Q1906" s="23"/>
      <c r="R1906" s="26"/>
      <c r="S1906" s="23"/>
    </row>
    <row r="1907" spans="1:22" ht="19.5" hidden="1" customHeight="1" outlineLevel="1">
      <c r="A1907" s="29">
        <v>40</v>
      </c>
      <c r="B1907" s="30">
        <f>IF(19&lt;=DAY(DATE(YEAR(설정_코스수당!$K$2),MONTH(설정_코스수당!$K$2)+1,0)),DATE(YEAR(설정_코스수당!$K$2),MONTH(설정_코스수당!$K$2),19),"")</f>
        <v>46192</v>
      </c>
      <c r="C1907" s="31"/>
      <c r="D1907" s="29"/>
      <c r="E1907" s="29"/>
      <c r="F1907" s="32"/>
      <c r="G1907" s="29"/>
      <c r="H1907" s="29"/>
      <c r="I1907" s="29"/>
      <c r="J1907" s="33">
        <f>IF($O1907="방문완료",MAX(0,IFERROR(VLOOKUP($E1907,설정_코스수당!$A$6:$H$10,4,FALSE),0)-IF(OR($P1907="",$P1907="없음"),0,100000)),0)</f>
        <v>0</v>
      </c>
      <c r="K1907" s="33">
        <f t="array" ref="K1907">IF($O1907="방문완료",IFERROR(INDEX(설정_코스수당!$B$15:$F$64,MATCH($G1907,설정_코스수당!$A$15:$A$64,0),MATCH($E1907&amp;"수당",설정_코스수당!$B$14:$F$14,0)),0),0)</f>
        <v>0</v>
      </c>
      <c r="L1907" s="33">
        <f t="array" ref="L1907">IF($O1907="방문완료",IF($H1907="",0,IFERROR(INDEX(설정_코스수당!$B$15:$F$64,MATCH($H1907,설정_코스수당!$A$15:$A$64,0),MATCH($E1907&amp;"수당",설정_코스수당!$B$14:$F$14,0)),0)),0)</f>
        <v>0</v>
      </c>
      <c r="M1907" s="33">
        <f>IF($O1907="방문완료",IFERROR(VLOOKUP($E1907,설정_코스수당!$A$6:$H$10,6,FALSE),0),0)</f>
        <v>0</v>
      </c>
      <c r="N1907" s="34">
        <f t="shared" si="55"/>
        <v>0</v>
      </c>
      <c r="O1907" s="29"/>
      <c r="P1907" s="29"/>
      <c r="Q1907" s="29"/>
      <c r="R1907" s="32"/>
      <c r="S1907" s="29"/>
    </row>
    <row r="1908" spans="1:22" ht="19.5" hidden="1" customHeight="1" outlineLevel="1">
      <c r="A1908" s="23">
        <v>41</v>
      </c>
      <c r="B1908" s="24">
        <f>IF(19&lt;=DAY(DATE(YEAR(설정_코스수당!$K$2),MONTH(설정_코스수당!$K$2)+1,0)),DATE(YEAR(설정_코스수당!$K$2),MONTH(설정_코스수당!$K$2),19),"")</f>
        <v>46192</v>
      </c>
      <c r="C1908" s="25"/>
      <c r="D1908" s="23"/>
      <c r="E1908" s="23"/>
      <c r="F1908" s="26"/>
      <c r="G1908" s="23"/>
      <c r="H1908" s="23"/>
      <c r="I1908" s="23"/>
      <c r="J1908" s="27">
        <f>IF($O1908="방문완료",MAX(0,IFERROR(VLOOKUP($E1908,설정_코스수당!$A$6:$H$10,4,FALSE),0)-IF(OR($P1908="",$P1908="없음"),0,100000)),0)</f>
        <v>0</v>
      </c>
      <c r="K1908" s="27">
        <f t="array" ref="K1908">IF($O1908="방문완료",IFERROR(INDEX(설정_코스수당!$B$15:$F$64,MATCH($G1908,설정_코스수당!$A$15:$A$64,0),MATCH($E1908&amp;"수당",설정_코스수당!$B$14:$F$14,0)),0),0)</f>
        <v>0</v>
      </c>
      <c r="L1908" s="27">
        <f t="array" ref="L1908">IF($O1908="방문완료",IF($H1908="",0,IFERROR(INDEX(설정_코스수당!$B$15:$F$64,MATCH($H1908,설정_코스수당!$A$15:$A$64,0),MATCH($E1908&amp;"수당",설정_코스수당!$B$14:$F$14,0)),0)),0)</f>
        <v>0</v>
      </c>
      <c r="M1908" s="27">
        <f>IF($O1908="방문완료",IFERROR(VLOOKUP($E1908,설정_코스수당!$A$6:$H$10,6,FALSE),0),0)</f>
        <v>0</v>
      </c>
      <c r="N1908" s="28">
        <f t="shared" si="55"/>
        <v>0</v>
      </c>
      <c r="O1908" s="23"/>
      <c r="P1908" s="23"/>
      <c r="Q1908" s="23"/>
      <c r="R1908" s="26"/>
      <c r="S1908" s="23"/>
    </row>
    <row r="1909" spans="1:22" ht="19.5" hidden="1" customHeight="1" outlineLevel="1">
      <c r="A1909" s="29">
        <v>42</v>
      </c>
      <c r="B1909" s="30">
        <f>IF(19&lt;=DAY(DATE(YEAR(설정_코스수당!$K$2),MONTH(설정_코스수당!$K$2)+1,0)),DATE(YEAR(설정_코스수당!$K$2),MONTH(설정_코스수당!$K$2),19),"")</f>
        <v>46192</v>
      </c>
      <c r="C1909" s="31"/>
      <c r="D1909" s="29"/>
      <c r="E1909" s="29"/>
      <c r="F1909" s="32"/>
      <c r="G1909" s="29"/>
      <c r="H1909" s="29"/>
      <c r="I1909" s="29"/>
      <c r="J1909" s="33">
        <f>IF($O1909="방문완료",MAX(0,IFERROR(VLOOKUP($E1909,설정_코스수당!$A$6:$H$10,4,FALSE),0)-IF(OR($P1909="",$P1909="없음"),0,100000)),0)</f>
        <v>0</v>
      </c>
      <c r="K1909" s="33">
        <f t="array" ref="K1909">IF($O1909="방문완료",IFERROR(INDEX(설정_코스수당!$B$15:$F$64,MATCH($G1909,설정_코스수당!$A$15:$A$64,0),MATCH($E1909&amp;"수당",설정_코스수당!$B$14:$F$14,0)),0),0)</f>
        <v>0</v>
      </c>
      <c r="L1909" s="33">
        <f t="array" ref="L1909">IF($O1909="방문완료",IF($H1909="",0,IFERROR(INDEX(설정_코스수당!$B$15:$F$64,MATCH($H1909,설정_코스수당!$A$15:$A$64,0),MATCH($E1909&amp;"수당",설정_코스수당!$B$14:$F$14,0)),0)),0)</f>
        <v>0</v>
      </c>
      <c r="M1909" s="33">
        <f>IF($O1909="방문완료",IFERROR(VLOOKUP($E1909,설정_코스수당!$A$6:$H$10,6,FALSE),0),0)</f>
        <v>0</v>
      </c>
      <c r="N1909" s="34">
        <f t="shared" si="55"/>
        <v>0</v>
      </c>
      <c r="O1909" s="29"/>
      <c r="P1909" s="29"/>
      <c r="Q1909" s="29"/>
      <c r="R1909" s="32"/>
      <c r="S1909" s="29"/>
    </row>
    <row r="1910" spans="1:22" ht="19.5" hidden="1" customHeight="1" outlineLevel="1">
      <c r="A1910" s="23">
        <v>43</v>
      </c>
      <c r="B1910" s="24">
        <f>IF(19&lt;=DAY(DATE(YEAR(설정_코스수당!$K$2),MONTH(설정_코스수당!$K$2)+1,0)),DATE(YEAR(설정_코스수당!$K$2),MONTH(설정_코스수당!$K$2),19),"")</f>
        <v>46192</v>
      </c>
      <c r="C1910" s="25"/>
      <c r="D1910" s="23"/>
      <c r="E1910" s="23"/>
      <c r="F1910" s="26"/>
      <c r="G1910" s="23"/>
      <c r="H1910" s="23"/>
      <c r="I1910" s="23"/>
      <c r="J1910" s="27">
        <f>IF($O1910="방문완료",MAX(0,IFERROR(VLOOKUP($E1910,설정_코스수당!$A$6:$H$10,4,FALSE),0)-IF(OR($P1910="",$P1910="없음"),0,100000)),0)</f>
        <v>0</v>
      </c>
      <c r="K1910" s="27">
        <f t="array" ref="K1910">IF($O1910="방문완료",IFERROR(INDEX(설정_코스수당!$B$15:$F$64,MATCH($G1910,설정_코스수당!$A$15:$A$64,0),MATCH($E1910&amp;"수당",설정_코스수당!$B$14:$F$14,0)),0),0)</f>
        <v>0</v>
      </c>
      <c r="L1910" s="27">
        <f t="array" ref="L1910">IF($O1910="방문완료",IF($H1910="",0,IFERROR(INDEX(설정_코스수당!$B$15:$F$64,MATCH($H1910,설정_코스수당!$A$15:$A$64,0),MATCH($E1910&amp;"수당",설정_코스수당!$B$14:$F$14,0)),0)),0)</f>
        <v>0</v>
      </c>
      <c r="M1910" s="27">
        <f>IF($O1910="방문완료",IFERROR(VLOOKUP($E1910,설정_코스수당!$A$6:$H$10,6,FALSE),0),0)</f>
        <v>0</v>
      </c>
      <c r="N1910" s="28">
        <f t="shared" si="55"/>
        <v>0</v>
      </c>
      <c r="O1910" s="23"/>
      <c r="P1910" s="23"/>
      <c r="Q1910" s="23"/>
      <c r="R1910" s="26"/>
      <c r="S1910" s="23"/>
    </row>
    <row r="1911" spans="1:22" ht="19.5" hidden="1" customHeight="1" outlineLevel="1">
      <c r="A1911" s="29">
        <v>44</v>
      </c>
      <c r="B1911" s="30">
        <f>IF(19&lt;=DAY(DATE(YEAR(설정_코스수당!$K$2),MONTH(설정_코스수당!$K$2)+1,0)),DATE(YEAR(설정_코스수당!$K$2),MONTH(설정_코스수당!$K$2),19),"")</f>
        <v>46192</v>
      </c>
      <c r="C1911" s="31"/>
      <c r="D1911" s="29"/>
      <c r="E1911" s="29"/>
      <c r="F1911" s="32"/>
      <c r="G1911" s="29"/>
      <c r="H1911" s="29"/>
      <c r="I1911" s="29"/>
      <c r="J1911" s="33">
        <f>IF($O1911="방문완료",MAX(0,IFERROR(VLOOKUP($E1911,설정_코스수당!$A$6:$H$10,4,FALSE),0)-IF(OR($P1911="",$P1911="없음"),0,100000)),0)</f>
        <v>0</v>
      </c>
      <c r="K1911" s="33">
        <f t="array" ref="K1911">IF($O1911="방문완료",IFERROR(INDEX(설정_코스수당!$B$15:$F$64,MATCH($G1911,설정_코스수당!$A$15:$A$64,0),MATCH($E1911&amp;"수당",설정_코스수당!$B$14:$F$14,0)),0),0)</f>
        <v>0</v>
      </c>
      <c r="L1911" s="33">
        <f t="array" ref="L1911">IF($O1911="방문완료",IF($H1911="",0,IFERROR(INDEX(설정_코스수당!$B$15:$F$64,MATCH($H1911,설정_코스수당!$A$15:$A$64,0),MATCH($E1911&amp;"수당",설정_코스수당!$B$14:$F$14,0)),0)),0)</f>
        <v>0</v>
      </c>
      <c r="M1911" s="33">
        <f>IF($O1911="방문완료",IFERROR(VLOOKUP($E1911,설정_코스수당!$A$6:$H$10,6,FALSE),0),0)</f>
        <v>0</v>
      </c>
      <c r="N1911" s="34">
        <f t="shared" si="55"/>
        <v>0</v>
      </c>
      <c r="O1911" s="29"/>
      <c r="P1911" s="29"/>
      <c r="Q1911" s="29"/>
      <c r="R1911" s="32"/>
      <c r="S1911" s="29"/>
    </row>
    <row r="1912" spans="1:22" ht="19.5" hidden="1" customHeight="1" outlineLevel="1">
      <c r="A1912" s="23">
        <v>45</v>
      </c>
      <c r="B1912" s="24">
        <f>IF(19&lt;=DAY(DATE(YEAR(설정_코스수당!$K$2),MONTH(설정_코스수당!$K$2)+1,0)),DATE(YEAR(설정_코스수당!$K$2),MONTH(설정_코스수당!$K$2),19),"")</f>
        <v>46192</v>
      </c>
      <c r="C1912" s="25"/>
      <c r="D1912" s="23"/>
      <c r="E1912" s="23"/>
      <c r="F1912" s="26"/>
      <c r="G1912" s="23"/>
      <c r="H1912" s="23"/>
      <c r="I1912" s="23"/>
      <c r="J1912" s="27">
        <f>IF($O1912="방문완료",MAX(0,IFERROR(VLOOKUP($E1912,설정_코스수당!$A$6:$H$10,4,FALSE),0)-IF(OR($P1912="",$P1912="없음"),0,100000)),0)</f>
        <v>0</v>
      </c>
      <c r="K1912" s="27">
        <f t="array" ref="K1912">IF($O1912="방문완료",IFERROR(INDEX(설정_코스수당!$B$15:$F$64,MATCH($G1912,설정_코스수당!$A$15:$A$64,0),MATCH($E1912&amp;"수당",설정_코스수당!$B$14:$F$14,0)),0),0)</f>
        <v>0</v>
      </c>
      <c r="L1912" s="27">
        <f t="array" ref="L1912">IF($O1912="방문완료",IF($H1912="",0,IFERROR(INDEX(설정_코스수당!$B$15:$F$64,MATCH($H1912,설정_코스수당!$A$15:$A$64,0),MATCH($E1912&amp;"수당",설정_코스수당!$B$14:$F$14,0)),0)),0)</f>
        <v>0</v>
      </c>
      <c r="M1912" s="27">
        <f>IF($O1912="방문완료",IFERROR(VLOOKUP($E1912,설정_코스수당!$A$6:$H$10,6,FALSE),0),0)</f>
        <v>0</v>
      </c>
      <c r="N1912" s="28">
        <f t="shared" si="55"/>
        <v>0</v>
      </c>
      <c r="O1912" s="23"/>
      <c r="P1912" s="23"/>
      <c r="Q1912" s="23"/>
      <c r="R1912" s="26"/>
      <c r="S1912" s="23"/>
    </row>
    <row r="1913" spans="1:22" ht="19.5" hidden="1" customHeight="1" outlineLevel="1">
      <c r="A1913" s="29">
        <v>46</v>
      </c>
      <c r="B1913" s="30">
        <f>IF(19&lt;=DAY(DATE(YEAR(설정_코스수당!$K$2),MONTH(설정_코스수당!$K$2)+1,0)),DATE(YEAR(설정_코스수당!$K$2),MONTH(설정_코스수당!$K$2),19),"")</f>
        <v>46192</v>
      </c>
      <c r="C1913" s="31"/>
      <c r="D1913" s="29"/>
      <c r="E1913" s="29"/>
      <c r="F1913" s="32"/>
      <c r="G1913" s="29"/>
      <c r="H1913" s="29"/>
      <c r="I1913" s="29"/>
      <c r="J1913" s="33">
        <f>IF($O1913="방문완료",MAX(0,IFERROR(VLOOKUP($E1913,설정_코스수당!$A$6:$H$10,4,FALSE),0)-IF(OR($P1913="",$P1913="없음"),0,100000)),0)</f>
        <v>0</v>
      </c>
      <c r="K1913" s="33">
        <f t="array" ref="K1913">IF($O1913="방문완료",IFERROR(INDEX(설정_코스수당!$B$15:$F$64,MATCH($G1913,설정_코스수당!$A$15:$A$64,0),MATCH($E1913&amp;"수당",설정_코스수당!$B$14:$F$14,0)),0),0)</f>
        <v>0</v>
      </c>
      <c r="L1913" s="33">
        <f t="array" ref="L1913">IF($O1913="방문완료",IF($H1913="",0,IFERROR(INDEX(설정_코스수당!$B$15:$F$64,MATCH($H1913,설정_코스수당!$A$15:$A$64,0),MATCH($E1913&amp;"수당",설정_코스수당!$B$14:$F$14,0)),0)),0)</f>
        <v>0</v>
      </c>
      <c r="M1913" s="33">
        <f>IF($O1913="방문완료",IFERROR(VLOOKUP($E1913,설정_코스수당!$A$6:$H$10,6,FALSE),0),0)</f>
        <v>0</v>
      </c>
      <c r="N1913" s="34">
        <f t="shared" si="55"/>
        <v>0</v>
      </c>
      <c r="O1913" s="29"/>
      <c r="P1913" s="29"/>
      <c r="Q1913" s="29"/>
      <c r="R1913" s="32"/>
      <c r="S1913" s="29"/>
    </row>
    <row r="1914" spans="1:22" ht="19.5" hidden="1" customHeight="1" outlineLevel="1">
      <c r="A1914" s="23">
        <v>47</v>
      </c>
      <c r="B1914" s="24">
        <f>IF(19&lt;=DAY(DATE(YEAR(설정_코스수당!$K$2),MONTH(설정_코스수당!$K$2)+1,0)),DATE(YEAR(설정_코스수당!$K$2),MONTH(설정_코스수당!$K$2),19),"")</f>
        <v>46192</v>
      </c>
      <c r="C1914" s="25"/>
      <c r="D1914" s="23"/>
      <c r="E1914" s="23"/>
      <c r="F1914" s="26"/>
      <c r="G1914" s="23"/>
      <c r="H1914" s="23"/>
      <c r="I1914" s="23"/>
      <c r="J1914" s="27">
        <f>IF($O1914="방문완료",MAX(0,IFERROR(VLOOKUP($E1914,설정_코스수당!$A$6:$H$10,4,FALSE),0)-IF(OR($P1914="",$P1914="없음"),0,100000)),0)</f>
        <v>0</v>
      </c>
      <c r="K1914" s="27">
        <f t="array" ref="K1914">IF($O1914="방문완료",IFERROR(INDEX(설정_코스수당!$B$15:$F$64,MATCH($G1914,설정_코스수당!$A$15:$A$64,0),MATCH($E1914&amp;"수당",설정_코스수당!$B$14:$F$14,0)),0),0)</f>
        <v>0</v>
      </c>
      <c r="L1914" s="27">
        <f t="array" ref="L1914">IF($O1914="방문완료",IF($H1914="",0,IFERROR(INDEX(설정_코스수당!$B$15:$F$64,MATCH($H1914,설정_코스수당!$A$15:$A$64,0),MATCH($E1914&amp;"수당",설정_코스수당!$B$14:$F$14,0)),0)),0)</f>
        <v>0</v>
      </c>
      <c r="M1914" s="27">
        <f>IF($O1914="방문완료",IFERROR(VLOOKUP($E1914,설정_코스수당!$A$6:$H$10,6,FALSE),0),0)</f>
        <v>0</v>
      </c>
      <c r="N1914" s="28">
        <f t="shared" si="55"/>
        <v>0</v>
      </c>
      <c r="O1914" s="23"/>
      <c r="P1914" s="23"/>
      <c r="Q1914" s="23"/>
      <c r="R1914" s="26"/>
      <c r="S1914" s="23"/>
    </row>
    <row r="1915" spans="1:22" ht="19.5" hidden="1" customHeight="1" outlineLevel="1">
      <c r="A1915" s="29">
        <v>48</v>
      </c>
      <c r="B1915" s="30">
        <f>IF(19&lt;=DAY(DATE(YEAR(설정_코스수당!$K$2),MONTH(설정_코스수당!$K$2)+1,0)),DATE(YEAR(설정_코스수당!$K$2),MONTH(설정_코스수당!$K$2),19),"")</f>
        <v>46192</v>
      </c>
      <c r="C1915" s="31"/>
      <c r="D1915" s="29"/>
      <c r="E1915" s="29"/>
      <c r="F1915" s="32"/>
      <c r="G1915" s="29"/>
      <c r="H1915" s="29"/>
      <c r="I1915" s="29"/>
      <c r="J1915" s="33">
        <f>IF($O1915="방문완료",MAX(0,IFERROR(VLOOKUP($E1915,설정_코스수당!$A$6:$H$10,4,FALSE),0)-IF(OR($P1915="",$P1915="없음"),0,100000)),0)</f>
        <v>0</v>
      </c>
      <c r="K1915" s="33">
        <f t="array" ref="K1915">IF($O1915="방문완료",IFERROR(INDEX(설정_코스수당!$B$15:$F$64,MATCH($G1915,설정_코스수당!$A$15:$A$64,0),MATCH($E1915&amp;"수당",설정_코스수당!$B$14:$F$14,0)),0),0)</f>
        <v>0</v>
      </c>
      <c r="L1915" s="33">
        <f t="array" ref="L1915">IF($O1915="방문완료",IF($H1915="",0,IFERROR(INDEX(설정_코스수당!$B$15:$F$64,MATCH($H1915,설정_코스수당!$A$15:$A$64,0),MATCH($E1915&amp;"수당",설정_코스수당!$B$14:$F$14,0)),0)),0)</f>
        <v>0</v>
      </c>
      <c r="M1915" s="33">
        <f>IF($O1915="방문완료",IFERROR(VLOOKUP($E1915,설정_코스수당!$A$6:$H$10,6,FALSE),0),0)</f>
        <v>0</v>
      </c>
      <c r="N1915" s="34">
        <f t="shared" si="55"/>
        <v>0</v>
      </c>
      <c r="O1915" s="29"/>
      <c r="P1915" s="29"/>
      <c r="Q1915" s="29"/>
      <c r="R1915" s="32"/>
      <c r="S1915" s="29"/>
    </row>
    <row r="1916" spans="1:22" ht="19.5" hidden="1" customHeight="1" outlineLevel="1">
      <c r="A1916" s="23">
        <v>49</v>
      </c>
      <c r="B1916" s="24">
        <f>IF(19&lt;=DAY(DATE(YEAR(설정_코스수당!$K$2),MONTH(설정_코스수당!$K$2)+1,0)),DATE(YEAR(설정_코스수당!$K$2),MONTH(설정_코스수당!$K$2),19),"")</f>
        <v>46192</v>
      </c>
      <c r="C1916" s="25"/>
      <c r="D1916" s="23"/>
      <c r="E1916" s="23"/>
      <c r="F1916" s="26"/>
      <c r="G1916" s="23"/>
      <c r="H1916" s="23"/>
      <c r="I1916" s="23"/>
      <c r="J1916" s="27">
        <f>IF($O1916="방문완료",MAX(0,IFERROR(VLOOKUP($E1916,설정_코스수당!$A$6:$H$10,4,FALSE),0)-IF(OR($P1916="",$P1916="없음"),0,100000)),0)</f>
        <v>0</v>
      </c>
      <c r="K1916" s="27">
        <f t="array" ref="K1916">IF($O1916="방문완료",IFERROR(INDEX(설정_코스수당!$B$15:$F$64,MATCH($G1916,설정_코스수당!$A$15:$A$64,0),MATCH($E1916&amp;"수당",설정_코스수당!$B$14:$F$14,0)),0),0)</f>
        <v>0</v>
      </c>
      <c r="L1916" s="27">
        <f t="array" ref="L1916">IF($O1916="방문완료",IF($H1916="",0,IFERROR(INDEX(설정_코스수당!$B$15:$F$64,MATCH($H1916,설정_코스수당!$A$15:$A$64,0),MATCH($E1916&amp;"수당",설정_코스수당!$B$14:$F$14,0)),0)),0)</f>
        <v>0</v>
      </c>
      <c r="M1916" s="27">
        <f>IF($O1916="방문완료",IFERROR(VLOOKUP($E1916,설정_코스수당!$A$6:$H$10,6,FALSE),0),0)</f>
        <v>0</v>
      </c>
      <c r="N1916" s="28">
        <f t="shared" si="55"/>
        <v>0</v>
      </c>
      <c r="O1916" s="23"/>
      <c r="P1916" s="23"/>
      <c r="Q1916" s="23"/>
      <c r="R1916" s="26"/>
      <c r="S1916" s="23"/>
    </row>
    <row r="1917" spans="1:22" ht="19.5" hidden="1" customHeight="1" outlineLevel="1">
      <c r="A1917" s="29">
        <v>50</v>
      </c>
      <c r="B1917" s="30">
        <f>IF(19&lt;=DAY(DATE(YEAR(설정_코스수당!$K$2),MONTH(설정_코스수당!$K$2)+1,0)),DATE(YEAR(설정_코스수당!$K$2),MONTH(설정_코스수당!$K$2),19),"")</f>
        <v>46192</v>
      </c>
      <c r="C1917" s="31"/>
      <c r="D1917" s="29"/>
      <c r="E1917" s="29"/>
      <c r="F1917" s="32"/>
      <c r="G1917" s="29"/>
      <c r="H1917" s="29"/>
      <c r="I1917" s="29"/>
      <c r="J1917" s="33">
        <f>IF($O1917="방문완료",MAX(0,IFERROR(VLOOKUP($E1917,설정_코스수당!$A$6:$H$10,4,FALSE),0)-IF(OR($P1917="",$P1917="없음"),0,100000)),0)</f>
        <v>0</v>
      </c>
      <c r="K1917" s="33">
        <f t="array" ref="K1917">IF($O1917="방문완료",IFERROR(INDEX(설정_코스수당!$B$15:$F$64,MATCH($G1917,설정_코스수당!$A$15:$A$64,0),MATCH($E1917&amp;"수당",설정_코스수당!$B$14:$F$14,0)),0),0)</f>
        <v>0</v>
      </c>
      <c r="L1917" s="33">
        <f t="array" ref="L1917">IF($O1917="방문완료",IF($H1917="",0,IFERROR(INDEX(설정_코스수당!$B$15:$F$64,MATCH($H1917,설정_코스수당!$A$15:$A$64,0),MATCH($E1917&amp;"수당",설정_코스수당!$B$14:$F$14,0)),0)),0)</f>
        <v>0</v>
      </c>
      <c r="M1917" s="33">
        <f>IF($O1917="방문완료",IFERROR(VLOOKUP($E1917,설정_코스수당!$A$6:$H$10,6,FALSE),0),0)</f>
        <v>0</v>
      </c>
      <c r="N1917" s="34">
        <f t="shared" si="55"/>
        <v>0</v>
      </c>
      <c r="O1917" s="29"/>
      <c r="P1917" s="29"/>
      <c r="Q1917" s="29"/>
      <c r="R1917" s="32"/>
      <c r="S1917" s="29"/>
    </row>
    <row r="1918" spans="1:22" ht="19.5" hidden="1" customHeight="1" outlineLevel="1">
      <c r="A1918" s="23">
        <v>51</v>
      </c>
      <c r="B1918" s="24">
        <f>IF(19&lt;=DAY(DATE(YEAR(설정_코스수당!$K$2),MONTH(설정_코스수당!$K$2)+1,0)),DATE(YEAR(설정_코스수당!$K$2),MONTH(설정_코스수당!$K$2),19),"")</f>
        <v>46192</v>
      </c>
      <c r="C1918" s="25"/>
      <c r="D1918" s="23"/>
      <c r="E1918" s="23"/>
      <c r="F1918" s="26"/>
      <c r="G1918" s="23"/>
      <c r="H1918" s="23"/>
      <c r="I1918" s="23"/>
      <c r="J1918" s="27">
        <f>IF($O1918="방문완료",MAX(0,IFERROR(VLOOKUP($E1918,설정_코스수당!$A$6:$H$10,4,FALSE),0)-IF(OR($P1918="",$P1918="없음"),0,100000)),0)</f>
        <v>0</v>
      </c>
      <c r="K1918" s="27">
        <f t="array" ref="K1918">IF($O1918="방문완료",IFERROR(INDEX(설정_코스수당!$B$15:$F$64,MATCH($G1918,설정_코스수당!$A$15:$A$64,0),MATCH($E1918&amp;"수당",설정_코스수당!$B$14:$F$14,0)),0),0)</f>
        <v>0</v>
      </c>
      <c r="L1918" s="27">
        <f t="array" ref="L1918">IF($O1918="방문완료",IF($H1918="",0,IFERROR(INDEX(설정_코스수당!$B$15:$F$64,MATCH($H1918,설정_코스수당!$A$15:$A$64,0),MATCH($E1918&amp;"수당",설정_코스수당!$B$14:$F$14,0)),0)),0)</f>
        <v>0</v>
      </c>
      <c r="M1918" s="27">
        <f>IF($O1918="방문완료",IFERROR(VLOOKUP($E1918,설정_코스수당!$A$6:$H$10,6,FALSE),0),0)</f>
        <v>0</v>
      </c>
      <c r="N1918" s="28">
        <f t="shared" si="55"/>
        <v>0</v>
      </c>
      <c r="O1918" s="23"/>
      <c r="P1918" s="23"/>
      <c r="Q1918" s="23"/>
      <c r="R1918" s="26"/>
      <c r="S1918" s="23"/>
    </row>
    <row r="1919" spans="1:22" ht="19.5" hidden="1" customHeight="1" outlineLevel="1">
      <c r="A1919" s="29">
        <v>52</v>
      </c>
      <c r="B1919" s="30">
        <f>IF(19&lt;=DAY(DATE(YEAR(설정_코스수당!$K$2),MONTH(설정_코스수당!$K$2)+1,0)),DATE(YEAR(설정_코스수당!$K$2),MONTH(설정_코스수당!$K$2),19),"")</f>
        <v>46192</v>
      </c>
      <c r="C1919" s="31"/>
      <c r="D1919" s="29"/>
      <c r="E1919" s="29"/>
      <c r="F1919" s="32"/>
      <c r="G1919" s="29"/>
      <c r="H1919" s="29"/>
      <c r="I1919" s="29"/>
      <c r="J1919" s="33">
        <f>IF($O1919="방문완료",MAX(0,IFERROR(VLOOKUP($E1919,설정_코스수당!$A$6:$H$10,4,FALSE),0)-IF(OR($P1919="",$P1919="없음"),0,100000)),0)</f>
        <v>0</v>
      </c>
      <c r="K1919" s="33">
        <f t="array" ref="K1919">IF($O1919="방문완료",IFERROR(INDEX(설정_코스수당!$B$15:$F$64,MATCH($G1919,설정_코스수당!$A$15:$A$64,0),MATCH($E1919&amp;"수당",설정_코스수당!$B$14:$F$14,0)),0),0)</f>
        <v>0</v>
      </c>
      <c r="L1919" s="33">
        <f t="array" ref="L1919">IF($O1919="방문완료",IF($H1919="",0,IFERROR(INDEX(설정_코스수당!$B$15:$F$64,MATCH($H1919,설정_코스수당!$A$15:$A$64,0),MATCH($E1919&amp;"수당",설정_코스수당!$B$14:$F$14,0)),0)),0)</f>
        <v>0</v>
      </c>
      <c r="M1919" s="33">
        <f>IF($O1919="방문완료",IFERROR(VLOOKUP($E1919,설정_코스수당!$A$6:$H$10,6,FALSE),0),0)</f>
        <v>0</v>
      </c>
      <c r="N1919" s="34">
        <f t="shared" si="55"/>
        <v>0</v>
      </c>
      <c r="O1919" s="29"/>
      <c r="P1919" s="29"/>
      <c r="Q1919" s="29"/>
      <c r="R1919" s="32"/>
      <c r="S1919" s="29"/>
    </row>
    <row r="1920" spans="1:22" ht="19.5" hidden="1" customHeight="1" outlineLevel="1">
      <c r="A1920" s="23">
        <v>53</v>
      </c>
      <c r="B1920" s="24">
        <f>IF(19&lt;=DAY(DATE(YEAR(설정_코스수당!$K$2),MONTH(설정_코스수당!$K$2)+1,0)),DATE(YEAR(설정_코스수당!$K$2),MONTH(설정_코스수당!$K$2),19),"")</f>
        <v>46192</v>
      </c>
      <c r="C1920" s="25"/>
      <c r="D1920" s="23"/>
      <c r="E1920" s="23"/>
      <c r="F1920" s="26"/>
      <c r="G1920" s="23"/>
      <c r="H1920" s="23"/>
      <c r="I1920" s="23"/>
      <c r="J1920" s="27">
        <f>IF($O1920="방문완료",MAX(0,IFERROR(VLOOKUP($E1920,설정_코스수당!$A$6:$H$10,4,FALSE),0)-IF(OR($P1920="",$P1920="없음"),0,100000)),0)</f>
        <v>0</v>
      </c>
      <c r="K1920" s="27">
        <f t="array" ref="K1920">IF($O1920="방문완료",IFERROR(INDEX(설정_코스수당!$B$15:$F$64,MATCH($G1920,설정_코스수당!$A$15:$A$64,0),MATCH($E1920&amp;"수당",설정_코스수당!$B$14:$F$14,0)),0),0)</f>
        <v>0</v>
      </c>
      <c r="L1920" s="27">
        <f t="array" ref="L1920">IF($O1920="방문완료",IF($H1920="",0,IFERROR(INDEX(설정_코스수당!$B$15:$F$64,MATCH($H1920,설정_코스수당!$A$15:$A$64,0),MATCH($E1920&amp;"수당",설정_코스수당!$B$14:$F$14,0)),0)),0)</f>
        <v>0</v>
      </c>
      <c r="M1920" s="27">
        <f>IF($O1920="방문완료",IFERROR(VLOOKUP($E1920,설정_코스수당!$A$6:$H$10,6,FALSE),0),0)</f>
        <v>0</v>
      </c>
      <c r="N1920" s="28">
        <f t="shared" si="55"/>
        <v>0</v>
      </c>
      <c r="O1920" s="23"/>
      <c r="P1920" s="23"/>
      <c r="Q1920" s="23"/>
      <c r="R1920" s="26"/>
      <c r="S1920" s="23"/>
      <c r="U1920" s="16" t="s">
        <v>72</v>
      </c>
      <c r="V1920" s="17">
        <f>IF(20&lt;=DAY(DATE(YEAR(설정_코스수당!$K$2),MONTH(설정_코스수당!$K$2)+1,0)),COUNTIFS($B:$B,DATE(YEAR(설정_코스수당!$K$2),MONTH(설정_코스수당!$K$2),20),$O:$O,"방문완료",$P:$P,"&lt;&gt;",$P:$P,"&lt;&gt;없음")*100000,"")</f>
        <v>0</v>
      </c>
    </row>
    <row r="1921" spans="1:19" ht="19.5" hidden="1" customHeight="1" outlineLevel="1">
      <c r="A1921" s="29">
        <v>54</v>
      </c>
      <c r="B1921" s="30">
        <f>IF(19&lt;=DAY(DATE(YEAR(설정_코스수당!$K$2),MONTH(설정_코스수당!$K$2)+1,0)),DATE(YEAR(설정_코스수당!$K$2),MONTH(설정_코스수당!$K$2),19),"")</f>
        <v>46192</v>
      </c>
      <c r="C1921" s="31"/>
      <c r="D1921" s="29"/>
      <c r="E1921" s="29"/>
      <c r="F1921" s="32"/>
      <c r="G1921" s="29"/>
      <c r="H1921" s="29"/>
      <c r="I1921" s="29"/>
      <c r="J1921" s="33">
        <f>IF($O1921="방문완료",MAX(0,IFERROR(VLOOKUP($E1921,설정_코스수당!$A$6:$H$10,4,FALSE),0)-IF(OR($P1921="",$P1921="없음"),0,100000)),0)</f>
        <v>0</v>
      </c>
      <c r="K1921" s="33">
        <f t="array" ref="K1921">IF($O1921="방문완료",IFERROR(INDEX(설정_코스수당!$B$15:$F$64,MATCH($G1921,설정_코스수당!$A$15:$A$64,0),MATCH($E1921&amp;"수당",설정_코스수당!$B$14:$F$14,0)),0),0)</f>
        <v>0</v>
      </c>
      <c r="L1921" s="33">
        <f t="array" ref="L1921">IF($O1921="방문완료",IF($H1921="",0,IFERROR(INDEX(설정_코스수당!$B$15:$F$64,MATCH($H1921,설정_코스수당!$A$15:$A$64,0),MATCH($E1921&amp;"수당",설정_코스수당!$B$14:$F$14,0)),0)),0)</f>
        <v>0</v>
      </c>
      <c r="M1921" s="33">
        <f>IF($O1921="방문완료",IFERROR(VLOOKUP($E1921,설정_코스수당!$A$6:$H$10,6,FALSE),0),0)</f>
        <v>0</v>
      </c>
      <c r="N1921" s="34">
        <f t="shared" si="55"/>
        <v>0</v>
      </c>
      <c r="O1921" s="29"/>
      <c r="P1921" s="29"/>
      <c r="Q1921" s="29"/>
      <c r="R1921" s="32"/>
      <c r="S1921" s="29"/>
    </row>
    <row r="1922" spans="1:19" ht="19.5" hidden="1" customHeight="1" outlineLevel="1">
      <c r="A1922" s="23">
        <v>55</v>
      </c>
      <c r="B1922" s="24">
        <f>IF(19&lt;=DAY(DATE(YEAR(설정_코스수당!$K$2),MONTH(설정_코스수당!$K$2)+1,0)),DATE(YEAR(설정_코스수당!$K$2),MONTH(설정_코스수당!$K$2),19),"")</f>
        <v>46192</v>
      </c>
      <c r="C1922" s="25"/>
      <c r="D1922" s="23"/>
      <c r="E1922" s="23"/>
      <c r="F1922" s="26"/>
      <c r="G1922" s="23"/>
      <c r="H1922" s="23"/>
      <c r="I1922" s="23"/>
      <c r="J1922" s="27">
        <f>IF($O1922="방문완료",MAX(0,IFERROR(VLOOKUP($E1922,설정_코스수당!$A$6:$H$10,4,FALSE),0)-IF(OR($P1922="",$P1922="없음"),0,100000)),0)</f>
        <v>0</v>
      </c>
      <c r="K1922" s="27">
        <f t="array" ref="K1922">IF($O1922="방문완료",IFERROR(INDEX(설정_코스수당!$B$15:$F$64,MATCH($G1922,설정_코스수당!$A$15:$A$64,0),MATCH($E1922&amp;"수당",설정_코스수당!$B$14:$F$14,0)),0),0)</f>
        <v>0</v>
      </c>
      <c r="L1922" s="27">
        <f t="array" ref="L1922">IF($O1922="방문완료",IF($H1922="",0,IFERROR(INDEX(설정_코스수당!$B$15:$F$64,MATCH($H1922,설정_코스수당!$A$15:$A$64,0),MATCH($E1922&amp;"수당",설정_코스수당!$B$14:$F$14,0)),0)),0)</f>
        <v>0</v>
      </c>
      <c r="M1922" s="27">
        <f>IF($O1922="방문완료",IFERROR(VLOOKUP($E1922,설정_코스수당!$A$6:$H$10,6,FALSE),0),0)</f>
        <v>0</v>
      </c>
      <c r="N1922" s="28">
        <f t="shared" si="55"/>
        <v>0</v>
      </c>
      <c r="O1922" s="23"/>
      <c r="P1922" s="23"/>
      <c r="Q1922" s="23"/>
      <c r="R1922" s="26"/>
      <c r="S1922" s="23"/>
    </row>
    <row r="1923" spans="1:19" ht="19.5" hidden="1" customHeight="1" outlineLevel="1">
      <c r="A1923" s="29">
        <v>56</v>
      </c>
      <c r="B1923" s="30">
        <f>IF(19&lt;=DAY(DATE(YEAR(설정_코스수당!$K$2),MONTH(설정_코스수당!$K$2)+1,0)),DATE(YEAR(설정_코스수당!$K$2),MONTH(설정_코스수당!$K$2),19),"")</f>
        <v>46192</v>
      </c>
      <c r="C1923" s="31"/>
      <c r="D1923" s="29"/>
      <c r="E1923" s="29"/>
      <c r="F1923" s="32"/>
      <c r="G1923" s="29"/>
      <c r="H1923" s="29"/>
      <c r="I1923" s="29"/>
      <c r="J1923" s="33">
        <f>IF($O1923="방문완료",MAX(0,IFERROR(VLOOKUP($E1923,설정_코스수당!$A$6:$H$10,4,FALSE),0)-IF(OR($P1923="",$P1923="없음"),0,100000)),0)</f>
        <v>0</v>
      </c>
      <c r="K1923" s="33">
        <f t="array" ref="K1923">IF($O1923="방문완료",IFERROR(INDEX(설정_코스수당!$B$15:$F$64,MATCH($G1923,설정_코스수당!$A$15:$A$64,0),MATCH($E1923&amp;"수당",설정_코스수당!$B$14:$F$14,0)),0),0)</f>
        <v>0</v>
      </c>
      <c r="L1923" s="33">
        <f t="array" ref="L1923">IF($O1923="방문완료",IF($H1923="",0,IFERROR(INDEX(설정_코스수당!$B$15:$F$64,MATCH($H1923,설정_코스수당!$A$15:$A$64,0),MATCH($E1923&amp;"수당",설정_코스수당!$B$14:$F$14,0)),0)),0)</f>
        <v>0</v>
      </c>
      <c r="M1923" s="33">
        <f>IF($O1923="방문완료",IFERROR(VLOOKUP($E1923,설정_코스수당!$A$6:$H$10,6,FALSE),0),0)</f>
        <v>0</v>
      </c>
      <c r="N1923" s="34">
        <f t="shared" si="55"/>
        <v>0</v>
      </c>
      <c r="O1923" s="29"/>
      <c r="P1923" s="29"/>
      <c r="Q1923" s="29"/>
      <c r="R1923" s="32"/>
      <c r="S1923" s="29"/>
    </row>
    <row r="1924" spans="1:19" ht="19.5" hidden="1" customHeight="1" outlineLevel="1">
      <c r="A1924" s="23">
        <v>57</v>
      </c>
      <c r="B1924" s="24">
        <f>IF(19&lt;=DAY(DATE(YEAR(설정_코스수당!$K$2),MONTH(설정_코스수당!$K$2)+1,0)),DATE(YEAR(설정_코스수당!$K$2),MONTH(설정_코스수당!$K$2),19),"")</f>
        <v>46192</v>
      </c>
      <c r="C1924" s="25"/>
      <c r="D1924" s="23"/>
      <c r="E1924" s="23"/>
      <c r="F1924" s="26"/>
      <c r="G1924" s="23"/>
      <c r="H1924" s="23"/>
      <c r="I1924" s="23"/>
      <c r="J1924" s="27">
        <f>IF($O1924="방문완료",MAX(0,IFERROR(VLOOKUP($E1924,설정_코스수당!$A$6:$H$10,4,FALSE),0)-IF(OR($P1924="",$P1924="없음"),0,100000)),0)</f>
        <v>0</v>
      </c>
      <c r="K1924" s="27">
        <f t="array" ref="K1924">IF($O1924="방문완료",IFERROR(INDEX(설정_코스수당!$B$15:$F$64,MATCH($G1924,설정_코스수당!$A$15:$A$64,0),MATCH($E1924&amp;"수당",설정_코스수당!$B$14:$F$14,0)),0),0)</f>
        <v>0</v>
      </c>
      <c r="L1924" s="27">
        <f t="array" ref="L1924">IF($O1924="방문완료",IF($H1924="",0,IFERROR(INDEX(설정_코스수당!$B$15:$F$64,MATCH($H1924,설정_코스수당!$A$15:$A$64,0),MATCH($E1924&amp;"수당",설정_코스수당!$B$14:$F$14,0)),0)),0)</f>
        <v>0</v>
      </c>
      <c r="M1924" s="27">
        <f>IF($O1924="방문완료",IFERROR(VLOOKUP($E1924,설정_코스수당!$A$6:$H$10,6,FALSE),0),0)</f>
        <v>0</v>
      </c>
      <c r="N1924" s="28">
        <f t="shared" si="55"/>
        <v>0</v>
      </c>
      <c r="O1924" s="23"/>
      <c r="P1924" s="23"/>
      <c r="Q1924" s="23"/>
      <c r="R1924" s="26"/>
      <c r="S1924" s="23"/>
    </row>
    <row r="1925" spans="1:19" ht="19.5" hidden="1" customHeight="1" outlineLevel="1">
      <c r="A1925" s="29">
        <v>58</v>
      </c>
      <c r="B1925" s="30">
        <f>IF(19&lt;=DAY(DATE(YEAR(설정_코스수당!$K$2),MONTH(설정_코스수당!$K$2)+1,0)),DATE(YEAR(설정_코스수당!$K$2),MONTH(설정_코스수당!$K$2),19),"")</f>
        <v>46192</v>
      </c>
      <c r="C1925" s="31"/>
      <c r="D1925" s="29"/>
      <c r="E1925" s="29"/>
      <c r="F1925" s="32"/>
      <c r="G1925" s="29"/>
      <c r="H1925" s="29"/>
      <c r="I1925" s="29"/>
      <c r="J1925" s="33">
        <f>IF($O1925="방문완료",MAX(0,IFERROR(VLOOKUP($E1925,설정_코스수당!$A$6:$H$10,4,FALSE),0)-IF(OR($P1925="",$P1925="없음"),0,100000)),0)</f>
        <v>0</v>
      </c>
      <c r="K1925" s="33">
        <f t="array" ref="K1925">IF($O1925="방문완료",IFERROR(INDEX(설정_코스수당!$B$15:$F$64,MATCH($G1925,설정_코스수당!$A$15:$A$64,0),MATCH($E1925&amp;"수당",설정_코스수당!$B$14:$F$14,0)),0),0)</f>
        <v>0</v>
      </c>
      <c r="L1925" s="33">
        <f t="array" ref="L1925">IF($O1925="방문완료",IF($H1925="",0,IFERROR(INDEX(설정_코스수당!$B$15:$F$64,MATCH($H1925,설정_코스수당!$A$15:$A$64,0),MATCH($E1925&amp;"수당",설정_코스수당!$B$14:$F$14,0)),0)),0)</f>
        <v>0</v>
      </c>
      <c r="M1925" s="33">
        <f>IF($O1925="방문완료",IFERROR(VLOOKUP($E1925,설정_코스수당!$A$6:$H$10,6,FALSE),0),0)</f>
        <v>0</v>
      </c>
      <c r="N1925" s="34">
        <f t="shared" si="55"/>
        <v>0</v>
      </c>
      <c r="O1925" s="29"/>
      <c r="P1925" s="29"/>
      <c r="Q1925" s="29"/>
      <c r="R1925" s="32"/>
      <c r="S1925" s="29"/>
    </row>
    <row r="1926" spans="1:19" ht="19.5" hidden="1" customHeight="1" outlineLevel="1">
      <c r="A1926" s="23">
        <v>59</v>
      </c>
      <c r="B1926" s="24">
        <f>IF(19&lt;=DAY(DATE(YEAR(설정_코스수당!$K$2),MONTH(설정_코스수당!$K$2)+1,0)),DATE(YEAR(설정_코스수당!$K$2),MONTH(설정_코스수당!$K$2),19),"")</f>
        <v>46192</v>
      </c>
      <c r="C1926" s="25"/>
      <c r="D1926" s="23"/>
      <c r="E1926" s="23"/>
      <c r="F1926" s="26"/>
      <c r="G1926" s="23"/>
      <c r="H1926" s="23"/>
      <c r="I1926" s="23"/>
      <c r="J1926" s="27">
        <f>IF($O1926="방문완료",MAX(0,IFERROR(VLOOKUP($E1926,설정_코스수당!$A$6:$H$10,4,FALSE),0)-IF(OR($P1926="",$P1926="없음"),0,100000)),0)</f>
        <v>0</v>
      </c>
      <c r="K1926" s="27">
        <f t="array" ref="K1926">IF($O1926="방문완료",IFERROR(INDEX(설정_코스수당!$B$15:$F$64,MATCH($G1926,설정_코스수당!$A$15:$A$64,0),MATCH($E1926&amp;"수당",설정_코스수당!$B$14:$F$14,0)),0),0)</f>
        <v>0</v>
      </c>
      <c r="L1926" s="27">
        <f t="array" ref="L1926">IF($O1926="방문완료",IF($H1926="",0,IFERROR(INDEX(설정_코스수당!$B$15:$F$64,MATCH($H1926,설정_코스수당!$A$15:$A$64,0),MATCH($E1926&amp;"수당",설정_코스수당!$B$14:$F$14,0)),0)),0)</f>
        <v>0</v>
      </c>
      <c r="M1926" s="27">
        <f>IF($O1926="방문완료",IFERROR(VLOOKUP($E1926,설정_코스수당!$A$6:$H$10,6,FALSE),0),0)</f>
        <v>0</v>
      </c>
      <c r="N1926" s="28">
        <f t="shared" si="55"/>
        <v>0</v>
      </c>
      <c r="O1926" s="23"/>
      <c r="P1926" s="23"/>
      <c r="Q1926" s="23"/>
      <c r="R1926" s="26"/>
      <c r="S1926" s="23"/>
    </row>
    <row r="1927" spans="1:19" ht="19.5" hidden="1" customHeight="1" outlineLevel="1">
      <c r="A1927" s="29">
        <v>60</v>
      </c>
      <c r="B1927" s="30">
        <f>IF(19&lt;=DAY(DATE(YEAR(설정_코스수당!$K$2),MONTH(설정_코스수당!$K$2)+1,0)),DATE(YEAR(설정_코스수당!$K$2),MONTH(설정_코스수당!$K$2),19),"")</f>
        <v>46192</v>
      </c>
      <c r="C1927" s="31"/>
      <c r="D1927" s="29"/>
      <c r="E1927" s="29"/>
      <c r="F1927" s="32"/>
      <c r="G1927" s="29"/>
      <c r="H1927" s="29"/>
      <c r="I1927" s="29"/>
      <c r="J1927" s="33">
        <f>IF($O1927="방문완료",MAX(0,IFERROR(VLOOKUP($E1927,설정_코스수당!$A$6:$H$10,4,FALSE),0)-IF(OR($P1927="",$P1927="없음"),0,100000)),0)</f>
        <v>0</v>
      </c>
      <c r="K1927" s="33">
        <f t="array" ref="K1927">IF($O1927="방문완료",IFERROR(INDEX(설정_코스수당!$B$15:$F$64,MATCH($G1927,설정_코스수당!$A$15:$A$64,0),MATCH($E1927&amp;"수당",설정_코스수당!$B$14:$F$14,0)),0),0)</f>
        <v>0</v>
      </c>
      <c r="L1927" s="33">
        <f t="array" ref="L1927">IF($O1927="방문완료",IF($H1927="",0,IFERROR(INDEX(설정_코스수당!$B$15:$F$64,MATCH($H1927,설정_코스수당!$A$15:$A$64,0),MATCH($E1927&amp;"수당",설정_코스수당!$B$14:$F$14,0)),0)),0)</f>
        <v>0</v>
      </c>
      <c r="M1927" s="33">
        <f>IF($O1927="방문완료",IFERROR(VLOOKUP($E1927,설정_코스수당!$A$6:$H$10,6,FALSE),0),0)</f>
        <v>0</v>
      </c>
      <c r="N1927" s="34">
        <f t="shared" si="55"/>
        <v>0</v>
      </c>
      <c r="O1927" s="29"/>
      <c r="P1927" s="29"/>
      <c r="Q1927" s="29"/>
      <c r="R1927" s="32"/>
      <c r="S1927" s="29"/>
    </row>
    <row r="1928" spans="1:19" ht="19.5" hidden="1" customHeight="1" outlineLevel="1">
      <c r="A1928" s="23">
        <v>61</v>
      </c>
      <c r="B1928" s="24">
        <f>IF(19&lt;=DAY(DATE(YEAR(설정_코스수당!$K$2),MONTH(설정_코스수당!$K$2)+1,0)),DATE(YEAR(설정_코스수당!$K$2),MONTH(설정_코스수당!$K$2),19),"")</f>
        <v>46192</v>
      </c>
      <c r="C1928" s="25"/>
      <c r="D1928" s="23"/>
      <c r="E1928" s="23"/>
      <c r="F1928" s="26"/>
      <c r="G1928" s="23"/>
      <c r="H1928" s="23"/>
      <c r="I1928" s="23"/>
      <c r="J1928" s="27">
        <f>IF($O1928="방문완료",MAX(0,IFERROR(VLOOKUP($E1928,설정_코스수당!$A$6:$H$10,4,FALSE),0)-IF(OR($P1928="",$P1928="없음"),0,100000)),0)</f>
        <v>0</v>
      </c>
      <c r="K1928" s="27">
        <f t="array" ref="K1928">IF($O1928="방문완료",IFERROR(INDEX(설정_코스수당!$B$15:$F$64,MATCH($G1928,설정_코스수당!$A$15:$A$64,0),MATCH($E1928&amp;"수당",설정_코스수당!$B$14:$F$14,0)),0),0)</f>
        <v>0</v>
      </c>
      <c r="L1928" s="27">
        <f t="array" ref="L1928">IF($O1928="방문완료",IF($H1928="",0,IFERROR(INDEX(설정_코스수당!$B$15:$F$64,MATCH($H1928,설정_코스수당!$A$15:$A$64,0),MATCH($E1928&amp;"수당",설정_코스수당!$B$14:$F$14,0)),0)),0)</f>
        <v>0</v>
      </c>
      <c r="M1928" s="27">
        <f>IF($O1928="방문완료",IFERROR(VLOOKUP($E1928,설정_코스수당!$A$6:$H$10,6,FALSE),0),0)</f>
        <v>0</v>
      </c>
      <c r="N1928" s="28">
        <f t="shared" si="55"/>
        <v>0</v>
      </c>
      <c r="O1928" s="23"/>
      <c r="P1928" s="23"/>
      <c r="Q1928" s="23"/>
      <c r="R1928" s="26"/>
      <c r="S1928" s="23"/>
    </row>
    <row r="1929" spans="1:19" ht="19.5" hidden="1" customHeight="1" outlineLevel="1">
      <c r="A1929" s="29">
        <v>62</v>
      </c>
      <c r="B1929" s="30">
        <f>IF(19&lt;=DAY(DATE(YEAR(설정_코스수당!$K$2),MONTH(설정_코스수당!$K$2)+1,0)),DATE(YEAR(설정_코스수당!$K$2),MONTH(설정_코스수당!$K$2),19),"")</f>
        <v>46192</v>
      </c>
      <c r="C1929" s="31"/>
      <c r="D1929" s="29"/>
      <c r="E1929" s="29"/>
      <c r="F1929" s="32"/>
      <c r="G1929" s="29"/>
      <c r="H1929" s="29"/>
      <c r="I1929" s="29"/>
      <c r="J1929" s="33">
        <f>IF($O1929="방문완료",MAX(0,IFERROR(VLOOKUP($E1929,설정_코스수당!$A$6:$H$10,4,FALSE),0)-IF(OR($P1929="",$P1929="없음"),0,100000)),0)</f>
        <v>0</v>
      </c>
      <c r="K1929" s="33">
        <f t="array" ref="K1929">IF($O1929="방문완료",IFERROR(INDEX(설정_코스수당!$B$15:$F$64,MATCH($G1929,설정_코스수당!$A$15:$A$64,0),MATCH($E1929&amp;"수당",설정_코스수당!$B$14:$F$14,0)),0),0)</f>
        <v>0</v>
      </c>
      <c r="L1929" s="33">
        <f t="array" ref="L1929">IF($O1929="방문완료",IF($H1929="",0,IFERROR(INDEX(설정_코스수당!$B$15:$F$64,MATCH($H1929,설정_코스수당!$A$15:$A$64,0),MATCH($E1929&amp;"수당",설정_코스수당!$B$14:$F$14,0)),0)),0)</f>
        <v>0</v>
      </c>
      <c r="M1929" s="33">
        <f>IF($O1929="방문완료",IFERROR(VLOOKUP($E1929,설정_코스수당!$A$6:$H$10,6,FALSE),0),0)</f>
        <v>0</v>
      </c>
      <c r="N1929" s="34">
        <f t="shared" si="55"/>
        <v>0</v>
      </c>
      <c r="O1929" s="29"/>
      <c r="P1929" s="29"/>
      <c r="Q1929" s="29"/>
      <c r="R1929" s="32"/>
      <c r="S1929" s="29"/>
    </row>
    <row r="1930" spans="1:19" ht="19.5" hidden="1" customHeight="1" outlineLevel="1">
      <c r="A1930" s="23">
        <v>63</v>
      </c>
      <c r="B1930" s="24">
        <f>IF(19&lt;=DAY(DATE(YEAR(설정_코스수당!$K$2),MONTH(설정_코스수당!$K$2)+1,0)),DATE(YEAR(설정_코스수당!$K$2),MONTH(설정_코스수당!$K$2),19),"")</f>
        <v>46192</v>
      </c>
      <c r="C1930" s="25"/>
      <c r="D1930" s="23"/>
      <c r="E1930" s="23"/>
      <c r="F1930" s="26"/>
      <c r="G1930" s="23"/>
      <c r="H1930" s="23"/>
      <c r="I1930" s="23"/>
      <c r="J1930" s="27">
        <f>IF($O1930="방문완료",MAX(0,IFERROR(VLOOKUP($E1930,설정_코스수당!$A$6:$H$10,4,FALSE),0)-IF(OR($P1930="",$P1930="없음"),0,100000)),0)</f>
        <v>0</v>
      </c>
      <c r="K1930" s="27">
        <f t="array" ref="K1930">IF($O1930="방문완료",IFERROR(INDEX(설정_코스수당!$B$15:$F$64,MATCH($G1930,설정_코스수당!$A$15:$A$64,0),MATCH($E1930&amp;"수당",설정_코스수당!$B$14:$F$14,0)),0),0)</f>
        <v>0</v>
      </c>
      <c r="L1930" s="27">
        <f t="array" ref="L1930">IF($O1930="방문완료",IF($H1930="",0,IFERROR(INDEX(설정_코스수당!$B$15:$F$64,MATCH($H1930,설정_코스수당!$A$15:$A$64,0),MATCH($E1930&amp;"수당",설정_코스수당!$B$14:$F$14,0)),0)),0)</f>
        <v>0</v>
      </c>
      <c r="M1930" s="27">
        <f>IF($O1930="방문완료",IFERROR(VLOOKUP($E1930,설정_코스수당!$A$6:$H$10,6,FALSE),0),0)</f>
        <v>0</v>
      </c>
      <c r="N1930" s="28">
        <f t="shared" si="55"/>
        <v>0</v>
      </c>
      <c r="O1930" s="23"/>
      <c r="P1930" s="23"/>
      <c r="Q1930" s="23"/>
      <c r="R1930" s="26"/>
      <c r="S1930" s="23"/>
    </row>
    <row r="1931" spans="1:19" ht="19.5" hidden="1" customHeight="1" outlineLevel="1">
      <c r="A1931" s="29">
        <v>64</v>
      </c>
      <c r="B1931" s="30">
        <f>IF(19&lt;=DAY(DATE(YEAR(설정_코스수당!$K$2),MONTH(설정_코스수당!$K$2)+1,0)),DATE(YEAR(설정_코스수당!$K$2),MONTH(설정_코스수당!$K$2),19),"")</f>
        <v>46192</v>
      </c>
      <c r="C1931" s="31"/>
      <c r="D1931" s="29"/>
      <c r="E1931" s="29"/>
      <c r="F1931" s="32"/>
      <c r="G1931" s="29"/>
      <c r="H1931" s="29"/>
      <c r="I1931" s="29"/>
      <c r="J1931" s="33">
        <f>IF($O1931="방문완료",MAX(0,IFERROR(VLOOKUP($E1931,설정_코스수당!$A$6:$H$10,4,FALSE),0)-IF(OR($P1931="",$P1931="없음"),0,100000)),0)</f>
        <v>0</v>
      </c>
      <c r="K1931" s="33">
        <f t="array" ref="K1931">IF($O1931="방문완료",IFERROR(INDEX(설정_코스수당!$B$15:$F$64,MATCH($G1931,설정_코스수당!$A$15:$A$64,0),MATCH($E1931&amp;"수당",설정_코스수당!$B$14:$F$14,0)),0),0)</f>
        <v>0</v>
      </c>
      <c r="L1931" s="33">
        <f t="array" ref="L1931">IF($O1931="방문완료",IF($H1931="",0,IFERROR(INDEX(설정_코스수당!$B$15:$F$64,MATCH($H1931,설정_코스수당!$A$15:$A$64,0),MATCH($E1931&amp;"수당",설정_코스수당!$B$14:$F$14,0)),0)),0)</f>
        <v>0</v>
      </c>
      <c r="M1931" s="33">
        <f>IF($O1931="방문완료",IFERROR(VLOOKUP($E1931,설정_코스수당!$A$6:$H$10,6,FALSE),0),0)</f>
        <v>0</v>
      </c>
      <c r="N1931" s="34">
        <f t="shared" si="55"/>
        <v>0</v>
      </c>
      <c r="O1931" s="29"/>
      <c r="P1931" s="29"/>
      <c r="Q1931" s="29"/>
      <c r="R1931" s="32"/>
      <c r="S1931" s="29"/>
    </row>
    <row r="1932" spans="1:19" ht="19.5" hidden="1" customHeight="1" outlineLevel="1">
      <c r="A1932" s="23">
        <v>65</v>
      </c>
      <c r="B1932" s="24">
        <f>IF(19&lt;=DAY(DATE(YEAR(설정_코스수당!$K$2),MONTH(설정_코스수당!$K$2)+1,0)),DATE(YEAR(설정_코스수당!$K$2),MONTH(설정_코스수당!$K$2),19),"")</f>
        <v>46192</v>
      </c>
      <c r="C1932" s="25"/>
      <c r="D1932" s="23"/>
      <c r="E1932" s="23"/>
      <c r="F1932" s="26"/>
      <c r="G1932" s="23"/>
      <c r="H1932" s="23"/>
      <c r="I1932" s="23"/>
      <c r="J1932" s="27">
        <f>IF($O1932="방문완료",MAX(0,IFERROR(VLOOKUP($E1932,설정_코스수당!$A$6:$H$10,4,FALSE),0)-IF(OR($P1932="",$P1932="없음"),0,100000)),0)</f>
        <v>0</v>
      </c>
      <c r="K1932" s="27">
        <f t="array" ref="K1932">IF($O1932="방문완료",IFERROR(INDEX(설정_코스수당!$B$15:$F$64,MATCH($G1932,설정_코스수당!$A$15:$A$64,0),MATCH($E1932&amp;"수당",설정_코스수당!$B$14:$F$14,0)),0),0)</f>
        <v>0</v>
      </c>
      <c r="L1932" s="27">
        <f t="array" ref="L1932">IF($O1932="방문완료",IF($H1932="",0,IFERROR(INDEX(설정_코스수당!$B$15:$F$64,MATCH($H1932,설정_코스수당!$A$15:$A$64,0),MATCH($E1932&amp;"수당",설정_코스수당!$B$14:$F$14,0)),0)),0)</f>
        <v>0</v>
      </c>
      <c r="M1932" s="27">
        <f>IF($O1932="방문완료",IFERROR(VLOOKUP($E1932,설정_코스수당!$A$6:$H$10,6,FALSE),0),0)</f>
        <v>0</v>
      </c>
      <c r="N1932" s="28">
        <f t="shared" ref="N1932:N1967" si="56">IF($O1932="방문완료",1,0)</f>
        <v>0</v>
      </c>
      <c r="O1932" s="23"/>
      <c r="P1932" s="23"/>
      <c r="Q1932" s="23"/>
      <c r="R1932" s="26"/>
      <c r="S1932" s="23"/>
    </row>
    <row r="1933" spans="1:19" ht="19.5" hidden="1" customHeight="1" outlineLevel="1">
      <c r="A1933" s="29">
        <v>66</v>
      </c>
      <c r="B1933" s="30">
        <f>IF(19&lt;=DAY(DATE(YEAR(설정_코스수당!$K$2),MONTH(설정_코스수당!$K$2)+1,0)),DATE(YEAR(설정_코스수당!$K$2),MONTH(설정_코스수당!$K$2),19),"")</f>
        <v>46192</v>
      </c>
      <c r="C1933" s="31"/>
      <c r="D1933" s="29"/>
      <c r="E1933" s="29"/>
      <c r="F1933" s="32"/>
      <c r="G1933" s="29"/>
      <c r="H1933" s="29"/>
      <c r="I1933" s="29"/>
      <c r="J1933" s="33">
        <f>IF($O1933="방문완료",MAX(0,IFERROR(VLOOKUP($E1933,설정_코스수당!$A$6:$H$10,4,FALSE),0)-IF(OR($P1933="",$P1933="없음"),0,100000)),0)</f>
        <v>0</v>
      </c>
      <c r="K1933" s="33">
        <f t="array" ref="K1933">IF($O1933="방문완료",IFERROR(INDEX(설정_코스수당!$B$15:$F$64,MATCH($G1933,설정_코스수당!$A$15:$A$64,0),MATCH($E1933&amp;"수당",설정_코스수당!$B$14:$F$14,0)),0),0)</f>
        <v>0</v>
      </c>
      <c r="L1933" s="33">
        <f t="array" ref="L1933">IF($O1933="방문완료",IF($H1933="",0,IFERROR(INDEX(설정_코스수당!$B$15:$F$64,MATCH($H1933,설정_코스수당!$A$15:$A$64,0),MATCH($E1933&amp;"수당",설정_코스수당!$B$14:$F$14,0)),0)),0)</f>
        <v>0</v>
      </c>
      <c r="M1933" s="33">
        <f>IF($O1933="방문완료",IFERROR(VLOOKUP($E1933,설정_코스수당!$A$6:$H$10,6,FALSE),0),0)</f>
        <v>0</v>
      </c>
      <c r="N1933" s="34">
        <f t="shared" si="56"/>
        <v>0</v>
      </c>
      <c r="O1933" s="29"/>
      <c r="P1933" s="29"/>
      <c r="Q1933" s="29"/>
      <c r="R1933" s="32"/>
      <c r="S1933" s="29"/>
    </row>
    <row r="1934" spans="1:19" ht="19.5" hidden="1" customHeight="1" outlineLevel="1">
      <c r="A1934" s="23">
        <v>67</v>
      </c>
      <c r="B1934" s="24">
        <f>IF(19&lt;=DAY(DATE(YEAR(설정_코스수당!$K$2),MONTH(설정_코스수당!$K$2)+1,0)),DATE(YEAR(설정_코스수당!$K$2),MONTH(설정_코스수당!$K$2),19),"")</f>
        <v>46192</v>
      </c>
      <c r="C1934" s="25"/>
      <c r="D1934" s="23"/>
      <c r="E1934" s="23"/>
      <c r="F1934" s="26"/>
      <c r="G1934" s="23"/>
      <c r="H1934" s="23"/>
      <c r="I1934" s="23"/>
      <c r="J1934" s="27">
        <f>IF($O1934="방문완료",MAX(0,IFERROR(VLOOKUP($E1934,설정_코스수당!$A$6:$H$10,4,FALSE),0)-IF(OR($P1934="",$P1934="없음"),0,100000)),0)</f>
        <v>0</v>
      </c>
      <c r="K1934" s="27">
        <f t="array" ref="K1934">IF($O1934="방문완료",IFERROR(INDEX(설정_코스수당!$B$15:$F$64,MATCH($G1934,설정_코스수당!$A$15:$A$64,0),MATCH($E1934&amp;"수당",설정_코스수당!$B$14:$F$14,0)),0),0)</f>
        <v>0</v>
      </c>
      <c r="L1934" s="27">
        <f t="array" ref="L1934">IF($O1934="방문완료",IF($H1934="",0,IFERROR(INDEX(설정_코스수당!$B$15:$F$64,MATCH($H1934,설정_코스수당!$A$15:$A$64,0),MATCH($E1934&amp;"수당",설정_코스수당!$B$14:$F$14,0)),0)),0)</f>
        <v>0</v>
      </c>
      <c r="M1934" s="27">
        <f>IF($O1934="방문완료",IFERROR(VLOOKUP($E1934,설정_코스수당!$A$6:$H$10,6,FALSE),0),0)</f>
        <v>0</v>
      </c>
      <c r="N1934" s="28">
        <f t="shared" si="56"/>
        <v>0</v>
      </c>
      <c r="O1934" s="23"/>
      <c r="P1934" s="23"/>
      <c r="Q1934" s="23"/>
      <c r="R1934" s="26"/>
      <c r="S1934" s="23"/>
    </row>
    <row r="1935" spans="1:19" ht="19.5" hidden="1" customHeight="1" outlineLevel="1">
      <c r="A1935" s="29">
        <v>68</v>
      </c>
      <c r="B1935" s="30">
        <f>IF(19&lt;=DAY(DATE(YEAR(설정_코스수당!$K$2),MONTH(설정_코스수당!$K$2)+1,0)),DATE(YEAR(설정_코스수당!$K$2),MONTH(설정_코스수당!$K$2),19),"")</f>
        <v>46192</v>
      </c>
      <c r="C1935" s="31"/>
      <c r="D1935" s="29"/>
      <c r="E1935" s="29"/>
      <c r="F1935" s="32"/>
      <c r="G1935" s="29"/>
      <c r="H1935" s="29"/>
      <c r="I1935" s="29"/>
      <c r="J1935" s="33">
        <f>IF($O1935="방문완료",MAX(0,IFERROR(VLOOKUP($E1935,설정_코스수당!$A$6:$H$10,4,FALSE),0)-IF(OR($P1935="",$P1935="없음"),0,100000)),0)</f>
        <v>0</v>
      </c>
      <c r="K1935" s="33">
        <f t="array" ref="K1935">IF($O1935="방문완료",IFERROR(INDEX(설정_코스수당!$B$15:$F$64,MATCH($G1935,설정_코스수당!$A$15:$A$64,0),MATCH($E1935&amp;"수당",설정_코스수당!$B$14:$F$14,0)),0),0)</f>
        <v>0</v>
      </c>
      <c r="L1935" s="33">
        <f t="array" ref="L1935">IF($O1935="방문완료",IF($H1935="",0,IFERROR(INDEX(설정_코스수당!$B$15:$F$64,MATCH($H1935,설정_코스수당!$A$15:$A$64,0),MATCH($E1935&amp;"수당",설정_코스수당!$B$14:$F$14,0)),0)),0)</f>
        <v>0</v>
      </c>
      <c r="M1935" s="33">
        <f>IF($O1935="방문완료",IFERROR(VLOOKUP($E1935,설정_코스수당!$A$6:$H$10,6,FALSE),0),0)</f>
        <v>0</v>
      </c>
      <c r="N1935" s="34">
        <f t="shared" si="56"/>
        <v>0</v>
      </c>
      <c r="O1935" s="29"/>
      <c r="P1935" s="29"/>
      <c r="Q1935" s="29"/>
      <c r="R1935" s="32"/>
      <c r="S1935" s="29"/>
    </row>
    <row r="1936" spans="1:19" ht="19.5" hidden="1" customHeight="1" outlineLevel="1">
      <c r="A1936" s="23">
        <v>69</v>
      </c>
      <c r="B1936" s="24">
        <f>IF(19&lt;=DAY(DATE(YEAR(설정_코스수당!$K$2),MONTH(설정_코스수당!$K$2)+1,0)),DATE(YEAR(설정_코스수당!$K$2),MONTH(설정_코스수당!$K$2),19),"")</f>
        <v>46192</v>
      </c>
      <c r="C1936" s="25"/>
      <c r="D1936" s="23"/>
      <c r="E1936" s="23"/>
      <c r="F1936" s="26"/>
      <c r="G1936" s="23"/>
      <c r="H1936" s="23"/>
      <c r="I1936" s="23"/>
      <c r="J1936" s="27">
        <f>IF($O1936="방문완료",MAX(0,IFERROR(VLOOKUP($E1936,설정_코스수당!$A$6:$H$10,4,FALSE),0)-IF(OR($P1936="",$P1936="없음"),0,100000)),0)</f>
        <v>0</v>
      </c>
      <c r="K1936" s="27">
        <f t="array" ref="K1936">IF($O1936="방문완료",IFERROR(INDEX(설정_코스수당!$B$15:$F$64,MATCH($G1936,설정_코스수당!$A$15:$A$64,0),MATCH($E1936&amp;"수당",설정_코스수당!$B$14:$F$14,0)),0),0)</f>
        <v>0</v>
      </c>
      <c r="L1936" s="27">
        <f t="array" ref="L1936">IF($O1936="방문완료",IF($H1936="",0,IFERROR(INDEX(설정_코스수당!$B$15:$F$64,MATCH($H1936,설정_코스수당!$A$15:$A$64,0),MATCH($E1936&amp;"수당",설정_코스수당!$B$14:$F$14,0)),0)),0)</f>
        <v>0</v>
      </c>
      <c r="M1936" s="27">
        <f>IF($O1936="방문완료",IFERROR(VLOOKUP($E1936,설정_코스수당!$A$6:$H$10,6,FALSE),0),0)</f>
        <v>0</v>
      </c>
      <c r="N1936" s="28">
        <f t="shared" si="56"/>
        <v>0</v>
      </c>
      <c r="O1936" s="23"/>
      <c r="P1936" s="23"/>
      <c r="Q1936" s="23"/>
      <c r="R1936" s="26"/>
      <c r="S1936" s="23"/>
    </row>
    <row r="1937" spans="1:19" ht="19.5" hidden="1" customHeight="1" outlineLevel="1">
      <c r="A1937" s="29">
        <v>70</v>
      </c>
      <c r="B1937" s="30">
        <f>IF(19&lt;=DAY(DATE(YEAR(설정_코스수당!$K$2),MONTH(설정_코스수당!$K$2)+1,0)),DATE(YEAR(설정_코스수당!$K$2),MONTH(설정_코스수당!$K$2),19),"")</f>
        <v>46192</v>
      </c>
      <c r="C1937" s="31"/>
      <c r="D1937" s="29"/>
      <c r="E1937" s="29"/>
      <c r="F1937" s="32"/>
      <c r="G1937" s="29"/>
      <c r="H1937" s="29"/>
      <c r="I1937" s="29"/>
      <c r="J1937" s="33">
        <f>IF($O1937="방문완료",MAX(0,IFERROR(VLOOKUP($E1937,설정_코스수당!$A$6:$H$10,4,FALSE),0)-IF(OR($P1937="",$P1937="없음"),0,100000)),0)</f>
        <v>0</v>
      </c>
      <c r="K1937" s="33">
        <f t="array" ref="K1937">IF($O1937="방문완료",IFERROR(INDEX(설정_코스수당!$B$15:$F$64,MATCH($G1937,설정_코스수당!$A$15:$A$64,0),MATCH($E1937&amp;"수당",설정_코스수당!$B$14:$F$14,0)),0),0)</f>
        <v>0</v>
      </c>
      <c r="L1937" s="33">
        <f t="array" ref="L1937">IF($O1937="방문완료",IF($H1937="",0,IFERROR(INDEX(설정_코스수당!$B$15:$F$64,MATCH($H1937,설정_코스수당!$A$15:$A$64,0),MATCH($E1937&amp;"수당",설정_코스수당!$B$14:$F$14,0)),0)),0)</f>
        <v>0</v>
      </c>
      <c r="M1937" s="33">
        <f>IF($O1937="방문완료",IFERROR(VLOOKUP($E1937,설정_코스수당!$A$6:$H$10,6,FALSE),0),0)</f>
        <v>0</v>
      </c>
      <c r="N1937" s="34">
        <f t="shared" si="56"/>
        <v>0</v>
      </c>
      <c r="O1937" s="29"/>
      <c r="P1937" s="29"/>
      <c r="Q1937" s="29"/>
      <c r="R1937" s="32"/>
      <c r="S1937" s="29"/>
    </row>
    <row r="1938" spans="1:19" ht="19.5" hidden="1" customHeight="1" outlineLevel="1">
      <c r="A1938" s="23">
        <v>71</v>
      </c>
      <c r="B1938" s="24">
        <f>IF(19&lt;=DAY(DATE(YEAR(설정_코스수당!$K$2),MONTH(설정_코스수당!$K$2)+1,0)),DATE(YEAR(설정_코스수당!$K$2),MONTH(설정_코스수당!$K$2),19),"")</f>
        <v>46192</v>
      </c>
      <c r="C1938" s="25"/>
      <c r="D1938" s="23"/>
      <c r="E1938" s="23"/>
      <c r="F1938" s="26"/>
      <c r="G1938" s="23"/>
      <c r="H1938" s="23"/>
      <c r="I1938" s="23"/>
      <c r="J1938" s="27">
        <f>IF($O1938="방문완료",MAX(0,IFERROR(VLOOKUP($E1938,설정_코스수당!$A$6:$H$10,4,FALSE),0)-IF(OR($P1938="",$P1938="없음"),0,100000)),0)</f>
        <v>0</v>
      </c>
      <c r="K1938" s="27">
        <f t="array" ref="K1938">IF($O1938="방문완료",IFERROR(INDEX(설정_코스수당!$B$15:$F$64,MATCH($G1938,설정_코스수당!$A$15:$A$64,0),MATCH($E1938&amp;"수당",설정_코스수당!$B$14:$F$14,0)),0),0)</f>
        <v>0</v>
      </c>
      <c r="L1938" s="27">
        <f t="array" ref="L1938">IF($O1938="방문완료",IF($H1938="",0,IFERROR(INDEX(설정_코스수당!$B$15:$F$64,MATCH($H1938,설정_코스수당!$A$15:$A$64,0),MATCH($E1938&amp;"수당",설정_코스수당!$B$14:$F$14,0)),0)),0)</f>
        <v>0</v>
      </c>
      <c r="M1938" s="27">
        <f>IF($O1938="방문완료",IFERROR(VLOOKUP($E1938,설정_코스수당!$A$6:$H$10,6,FALSE),0),0)</f>
        <v>0</v>
      </c>
      <c r="N1938" s="28">
        <f t="shared" si="56"/>
        <v>0</v>
      </c>
      <c r="O1938" s="23"/>
      <c r="P1938" s="23"/>
      <c r="Q1938" s="23"/>
      <c r="R1938" s="26"/>
      <c r="S1938" s="23"/>
    </row>
    <row r="1939" spans="1:19" ht="19.5" hidden="1" customHeight="1" outlineLevel="1">
      <c r="A1939" s="29">
        <v>72</v>
      </c>
      <c r="B1939" s="30">
        <f>IF(19&lt;=DAY(DATE(YEAR(설정_코스수당!$K$2),MONTH(설정_코스수당!$K$2)+1,0)),DATE(YEAR(설정_코스수당!$K$2),MONTH(설정_코스수당!$K$2),19),"")</f>
        <v>46192</v>
      </c>
      <c r="C1939" s="31"/>
      <c r="D1939" s="29"/>
      <c r="E1939" s="29"/>
      <c r="F1939" s="32"/>
      <c r="G1939" s="29"/>
      <c r="H1939" s="29"/>
      <c r="I1939" s="29"/>
      <c r="J1939" s="33">
        <f>IF($O1939="방문완료",MAX(0,IFERROR(VLOOKUP($E1939,설정_코스수당!$A$6:$H$10,4,FALSE),0)-IF(OR($P1939="",$P1939="없음"),0,100000)),0)</f>
        <v>0</v>
      </c>
      <c r="K1939" s="33">
        <f t="array" ref="K1939">IF($O1939="방문완료",IFERROR(INDEX(설정_코스수당!$B$15:$F$64,MATCH($G1939,설정_코스수당!$A$15:$A$64,0),MATCH($E1939&amp;"수당",설정_코스수당!$B$14:$F$14,0)),0),0)</f>
        <v>0</v>
      </c>
      <c r="L1939" s="33">
        <f t="array" ref="L1939">IF($O1939="방문완료",IF($H1939="",0,IFERROR(INDEX(설정_코스수당!$B$15:$F$64,MATCH($H1939,설정_코스수당!$A$15:$A$64,0),MATCH($E1939&amp;"수당",설정_코스수당!$B$14:$F$14,0)),0)),0)</f>
        <v>0</v>
      </c>
      <c r="M1939" s="33">
        <f>IF($O1939="방문완료",IFERROR(VLOOKUP($E1939,설정_코스수당!$A$6:$H$10,6,FALSE),0),0)</f>
        <v>0</v>
      </c>
      <c r="N1939" s="34">
        <f t="shared" si="56"/>
        <v>0</v>
      </c>
      <c r="O1939" s="29"/>
      <c r="P1939" s="29"/>
      <c r="Q1939" s="29"/>
      <c r="R1939" s="32"/>
      <c r="S1939" s="29"/>
    </row>
    <row r="1940" spans="1:19" ht="19.5" hidden="1" customHeight="1" outlineLevel="1">
      <c r="A1940" s="23">
        <v>73</v>
      </c>
      <c r="B1940" s="24">
        <f>IF(19&lt;=DAY(DATE(YEAR(설정_코스수당!$K$2),MONTH(설정_코스수당!$K$2)+1,0)),DATE(YEAR(설정_코스수당!$K$2),MONTH(설정_코스수당!$K$2),19),"")</f>
        <v>46192</v>
      </c>
      <c r="C1940" s="25"/>
      <c r="D1940" s="23"/>
      <c r="E1940" s="23"/>
      <c r="F1940" s="26"/>
      <c r="G1940" s="23"/>
      <c r="H1940" s="23"/>
      <c r="I1940" s="23"/>
      <c r="J1940" s="27">
        <f>IF($O1940="방문완료",MAX(0,IFERROR(VLOOKUP($E1940,설정_코스수당!$A$6:$H$10,4,FALSE),0)-IF(OR($P1940="",$P1940="없음"),0,100000)),0)</f>
        <v>0</v>
      </c>
      <c r="K1940" s="27">
        <f t="array" ref="K1940">IF($O1940="방문완료",IFERROR(INDEX(설정_코스수당!$B$15:$F$64,MATCH($G1940,설정_코스수당!$A$15:$A$64,0),MATCH($E1940&amp;"수당",설정_코스수당!$B$14:$F$14,0)),0),0)</f>
        <v>0</v>
      </c>
      <c r="L1940" s="27">
        <f t="array" ref="L1940">IF($O1940="방문완료",IF($H1940="",0,IFERROR(INDEX(설정_코스수당!$B$15:$F$64,MATCH($H1940,설정_코스수당!$A$15:$A$64,0),MATCH($E1940&amp;"수당",설정_코스수당!$B$14:$F$14,0)),0)),0)</f>
        <v>0</v>
      </c>
      <c r="M1940" s="27">
        <f>IF($O1940="방문완료",IFERROR(VLOOKUP($E1940,설정_코스수당!$A$6:$H$10,6,FALSE),0),0)</f>
        <v>0</v>
      </c>
      <c r="N1940" s="28">
        <f t="shared" si="56"/>
        <v>0</v>
      </c>
      <c r="O1940" s="23"/>
      <c r="P1940" s="23"/>
      <c r="Q1940" s="23"/>
      <c r="R1940" s="26"/>
      <c r="S1940" s="23"/>
    </row>
    <row r="1941" spans="1:19" ht="19.5" hidden="1" customHeight="1" outlineLevel="1">
      <c r="A1941" s="29">
        <v>74</v>
      </c>
      <c r="B1941" s="30">
        <f>IF(19&lt;=DAY(DATE(YEAR(설정_코스수당!$K$2),MONTH(설정_코스수당!$K$2)+1,0)),DATE(YEAR(설정_코스수당!$K$2),MONTH(설정_코스수당!$K$2),19),"")</f>
        <v>46192</v>
      </c>
      <c r="C1941" s="31"/>
      <c r="D1941" s="29"/>
      <c r="E1941" s="29"/>
      <c r="F1941" s="32"/>
      <c r="G1941" s="29"/>
      <c r="H1941" s="29"/>
      <c r="I1941" s="29"/>
      <c r="J1941" s="33">
        <f>IF($O1941="방문완료",MAX(0,IFERROR(VLOOKUP($E1941,설정_코스수당!$A$6:$H$10,4,FALSE),0)-IF(OR($P1941="",$P1941="없음"),0,100000)),0)</f>
        <v>0</v>
      </c>
      <c r="K1941" s="33">
        <f t="array" ref="K1941">IF($O1941="방문완료",IFERROR(INDEX(설정_코스수당!$B$15:$F$64,MATCH($G1941,설정_코스수당!$A$15:$A$64,0),MATCH($E1941&amp;"수당",설정_코스수당!$B$14:$F$14,0)),0),0)</f>
        <v>0</v>
      </c>
      <c r="L1941" s="33">
        <f t="array" ref="L1941">IF($O1941="방문완료",IF($H1941="",0,IFERROR(INDEX(설정_코스수당!$B$15:$F$64,MATCH($H1941,설정_코스수당!$A$15:$A$64,0),MATCH($E1941&amp;"수당",설정_코스수당!$B$14:$F$14,0)),0)),0)</f>
        <v>0</v>
      </c>
      <c r="M1941" s="33">
        <f>IF($O1941="방문완료",IFERROR(VLOOKUP($E1941,설정_코스수당!$A$6:$H$10,6,FALSE),0),0)</f>
        <v>0</v>
      </c>
      <c r="N1941" s="34">
        <f t="shared" si="56"/>
        <v>0</v>
      </c>
      <c r="O1941" s="29"/>
      <c r="P1941" s="29"/>
      <c r="Q1941" s="29"/>
      <c r="R1941" s="32"/>
      <c r="S1941" s="29"/>
    </row>
    <row r="1942" spans="1:19" ht="19.5" hidden="1" customHeight="1" outlineLevel="1">
      <c r="A1942" s="23">
        <v>75</v>
      </c>
      <c r="B1942" s="24">
        <f>IF(19&lt;=DAY(DATE(YEAR(설정_코스수당!$K$2),MONTH(설정_코스수당!$K$2)+1,0)),DATE(YEAR(설정_코스수당!$K$2),MONTH(설정_코스수당!$K$2),19),"")</f>
        <v>46192</v>
      </c>
      <c r="C1942" s="25"/>
      <c r="D1942" s="23"/>
      <c r="E1942" s="23"/>
      <c r="F1942" s="26"/>
      <c r="G1942" s="23"/>
      <c r="H1942" s="23"/>
      <c r="I1942" s="23"/>
      <c r="J1942" s="27">
        <f>IF($O1942="방문완료",MAX(0,IFERROR(VLOOKUP($E1942,설정_코스수당!$A$6:$H$10,4,FALSE),0)-IF(OR($P1942="",$P1942="없음"),0,100000)),0)</f>
        <v>0</v>
      </c>
      <c r="K1942" s="27">
        <f t="array" ref="K1942">IF($O1942="방문완료",IFERROR(INDEX(설정_코스수당!$B$15:$F$64,MATCH($G1942,설정_코스수당!$A$15:$A$64,0),MATCH($E1942&amp;"수당",설정_코스수당!$B$14:$F$14,0)),0),0)</f>
        <v>0</v>
      </c>
      <c r="L1942" s="27">
        <f t="array" ref="L1942">IF($O1942="방문완료",IF($H1942="",0,IFERROR(INDEX(설정_코스수당!$B$15:$F$64,MATCH($H1942,설정_코스수당!$A$15:$A$64,0),MATCH($E1942&amp;"수당",설정_코스수당!$B$14:$F$14,0)),0)),0)</f>
        <v>0</v>
      </c>
      <c r="M1942" s="27">
        <f>IF($O1942="방문완료",IFERROR(VLOOKUP($E1942,설정_코스수당!$A$6:$H$10,6,FALSE),0),0)</f>
        <v>0</v>
      </c>
      <c r="N1942" s="28">
        <f t="shared" si="56"/>
        <v>0</v>
      </c>
      <c r="O1942" s="23"/>
      <c r="P1942" s="23"/>
      <c r="Q1942" s="23"/>
      <c r="R1942" s="26"/>
      <c r="S1942" s="23"/>
    </row>
    <row r="1943" spans="1:19" ht="19.5" hidden="1" customHeight="1" outlineLevel="1">
      <c r="A1943" s="29">
        <v>76</v>
      </c>
      <c r="B1943" s="30">
        <f>IF(19&lt;=DAY(DATE(YEAR(설정_코스수당!$K$2),MONTH(설정_코스수당!$K$2)+1,0)),DATE(YEAR(설정_코스수당!$K$2),MONTH(설정_코스수당!$K$2),19),"")</f>
        <v>46192</v>
      </c>
      <c r="C1943" s="31"/>
      <c r="D1943" s="29"/>
      <c r="E1943" s="29"/>
      <c r="F1943" s="32"/>
      <c r="G1943" s="29"/>
      <c r="H1943" s="29"/>
      <c r="I1943" s="29"/>
      <c r="J1943" s="33">
        <f>IF($O1943="방문완료",MAX(0,IFERROR(VLOOKUP($E1943,설정_코스수당!$A$6:$H$10,4,FALSE),0)-IF(OR($P1943="",$P1943="없음"),0,100000)),0)</f>
        <v>0</v>
      </c>
      <c r="K1943" s="33">
        <f t="array" ref="K1943">IF($O1943="방문완료",IFERROR(INDEX(설정_코스수당!$B$15:$F$64,MATCH($G1943,설정_코스수당!$A$15:$A$64,0),MATCH($E1943&amp;"수당",설정_코스수당!$B$14:$F$14,0)),0),0)</f>
        <v>0</v>
      </c>
      <c r="L1943" s="33">
        <f t="array" ref="L1943">IF($O1943="방문완료",IF($H1943="",0,IFERROR(INDEX(설정_코스수당!$B$15:$F$64,MATCH($H1943,설정_코스수당!$A$15:$A$64,0),MATCH($E1943&amp;"수당",설정_코스수당!$B$14:$F$14,0)),0)),0)</f>
        <v>0</v>
      </c>
      <c r="M1943" s="33">
        <f>IF($O1943="방문완료",IFERROR(VLOOKUP($E1943,설정_코스수당!$A$6:$H$10,6,FALSE),0),0)</f>
        <v>0</v>
      </c>
      <c r="N1943" s="34">
        <f t="shared" si="56"/>
        <v>0</v>
      </c>
      <c r="O1943" s="29"/>
      <c r="P1943" s="29"/>
      <c r="Q1943" s="29"/>
      <c r="R1943" s="32"/>
      <c r="S1943" s="29"/>
    </row>
    <row r="1944" spans="1:19" ht="19.5" hidden="1" customHeight="1" outlineLevel="1">
      <c r="A1944" s="23">
        <v>77</v>
      </c>
      <c r="B1944" s="24">
        <f>IF(19&lt;=DAY(DATE(YEAR(설정_코스수당!$K$2),MONTH(설정_코스수당!$K$2)+1,0)),DATE(YEAR(설정_코스수당!$K$2),MONTH(설정_코스수당!$K$2),19),"")</f>
        <v>46192</v>
      </c>
      <c r="C1944" s="25"/>
      <c r="D1944" s="23"/>
      <c r="E1944" s="23"/>
      <c r="F1944" s="26"/>
      <c r="G1944" s="23"/>
      <c r="H1944" s="23"/>
      <c r="I1944" s="23"/>
      <c r="J1944" s="27">
        <f>IF($O1944="방문완료",MAX(0,IFERROR(VLOOKUP($E1944,설정_코스수당!$A$6:$H$10,4,FALSE),0)-IF(OR($P1944="",$P1944="없음"),0,100000)),0)</f>
        <v>0</v>
      </c>
      <c r="K1944" s="27">
        <f t="array" ref="K1944">IF($O1944="방문완료",IFERROR(INDEX(설정_코스수당!$B$15:$F$64,MATCH($G1944,설정_코스수당!$A$15:$A$64,0),MATCH($E1944&amp;"수당",설정_코스수당!$B$14:$F$14,0)),0),0)</f>
        <v>0</v>
      </c>
      <c r="L1944" s="27">
        <f t="array" ref="L1944">IF($O1944="방문완료",IF($H1944="",0,IFERROR(INDEX(설정_코스수당!$B$15:$F$64,MATCH($H1944,설정_코스수당!$A$15:$A$64,0),MATCH($E1944&amp;"수당",설정_코스수당!$B$14:$F$14,0)),0)),0)</f>
        <v>0</v>
      </c>
      <c r="M1944" s="27">
        <f>IF($O1944="방문완료",IFERROR(VLOOKUP($E1944,설정_코스수당!$A$6:$H$10,6,FALSE),0),0)</f>
        <v>0</v>
      </c>
      <c r="N1944" s="28">
        <f t="shared" si="56"/>
        <v>0</v>
      </c>
      <c r="O1944" s="23"/>
      <c r="P1944" s="23"/>
      <c r="Q1944" s="23"/>
      <c r="R1944" s="26"/>
      <c r="S1944" s="23"/>
    </row>
    <row r="1945" spans="1:19" ht="19.5" hidden="1" customHeight="1" outlineLevel="1">
      <c r="A1945" s="29">
        <v>78</v>
      </c>
      <c r="B1945" s="30">
        <f>IF(19&lt;=DAY(DATE(YEAR(설정_코스수당!$K$2),MONTH(설정_코스수당!$K$2)+1,0)),DATE(YEAR(설정_코스수당!$K$2),MONTH(설정_코스수당!$K$2),19),"")</f>
        <v>46192</v>
      </c>
      <c r="C1945" s="31"/>
      <c r="D1945" s="29"/>
      <c r="E1945" s="29"/>
      <c r="F1945" s="32"/>
      <c r="G1945" s="29"/>
      <c r="H1945" s="29"/>
      <c r="I1945" s="29"/>
      <c r="J1945" s="33">
        <f>IF($O1945="방문완료",MAX(0,IFERROR(VLOOKUP($E1945,설정_코스수당!$A$6:$H$10,4,FALSE),0)-IF(OR($P1945="",$P1945="없음"),0,100000)),0)</f>
        <v>0</v>
      </c>
      <c r="K1945" s="33">
        <f t="array" ref="K1945">IF($O1945="방문완료",IFERROR(INDEX(설정_코스수당!$B$15:$F$64,MATCH($G1945,설정_코스수당!$A$15:$A$64,0),MATCH($E1945&amp;"수당",설정_코스수당!$B$14:$F$14,0)),0),0)</f>
        <v>0</v>
      </c>
      <c r="L1945" s="33">
        <f t="array" ref="L1945">IF($O1945="방문완료",IF($H1945="",0,IFERROR(INDEX(설정_코스수당!$B$15:$F$64,MATCH($H1945,설정_코스수당!$A$15:$A$64,0),MATCH($E1945&amp;"수당",설정_코스수당!$B$14:$F$14,0)),0)),0)</f>
        <v>0</v>
      </c>
      <c r="M1945" s="33">
        <f>IF($O1945="방문완료",IFERROR(VLOOKUP($E1945,설정_코스수당!$A$6:$H$10,6,FALSE),0),0)</f>
        <v>0</v>
      </c>
      <c r="N1945" s="34">
        <f t="shared" si="56"/>
        <v>0</v>
      </c>
      <c r="O1945" s="29"/>
      <c r="P1945" s="29"/>
      <c r="Q1945" s="29"/>
      <c r="R1945" s="32"/>
      <c r="S1945" s="29"/>
    </row>
    <row r="1946" spans="1:19" ht="19.5" hidden="1" customHeight="1" outlineLevel="1">
      <c r="A1946" s="23">
        <v>79</v>
      </c>
      <c r="B1946" s="24">
        <f>IF(19&lt;=DAY(DATE(YEAR(설정_코스수당!$K$2),MONTH(설정_코스수당!$K$2)+1,0)),DATE(YEAR(설정_코스수당!$K$2),MONTH(설정_코스수당!$K$2),19),"")</f>
        <v>46192</v>
      </c>
      <c r="C1946" s="25"/>
      <c r="D1946" s="23"/>
      <c r="E1946" s="23"/>
      <c r="F1946" s="26"/>
      <c r="G1946" s="23"/>
      <c r="H1946" s="23"/>
      <c r="I1946" s="23"/>
      <c r="J1946" s="27">
        <f>IF($O1946="방문완료",MAX(0,IFERROR(VLOOKUP($E1946,설정_코스수당!$A$6:$H$10,4,FALSE),0)-IF(OR($P1946="",$P1946="없음"),0,100000)),0)</f>
        <v>0</v>
      </c>
      <c r="K1946" s="27">
        <f t="array" ref="K1946">IF($O1946="방문완료",IFERROR(INDEX(설정_코스수당!$B$15:$F$64,MATCH($G1946,설정_코스수당!$A$15:$A$64,0),MATCH($E1946&amp;"수당",설정_코스수당!$B$14:$F$14,0)),0),0)</f>
        <v>0</v>
      </c>
      <c r="L1946" s="27">
        <f t="array" ref="L1946">IF($O1946="방문완료",IF($H1946="",0,IFERROR(INDEX(설정_코스수당!$B$15:$F$64,MATCH($H1946,설정_코스수당!$A$15:$A$64,0),MATCH($E1946&amp;"수당",설정_코스수당!$B$14:$F$14,0)),0)),0)</f>
        <v>0</v>
      </c>
      <c r="M1946" s="27">
        <f>IF($O1946="방문완료",IFERROR(VLOOKUP($E1946,설정_코스수당!$A$6:$H$10,6,FALSE),0),0)</f>
        <v>0</v>
      </c>
      <c r="N1946" s="28">
        <f t="shared" si="56"/>
        <v>0</v>
      </c>
      <c r="O1946" s="23"/>
      <c r="P1946" s="23"/>
      <c r="Q1946" s="23"/>
      <c r="R1946" s="26"/>
      <c r="S1946" s="23"/>
    </row>
    <row r="1947" spans="1:19" ht="19.5" hidden="1" customHeight="1" outlineLevel="1">
      <c r="A1947" s="29">
        <v>80</v>
      </c>
      <c r="B1947" s="30">
        <f>IF(19&lt;=DAY(DATE(YEAR(설정_코스수당!$K$2),MONTH(설정_코스수당!$K$2)+1,0)),DATE(YEAR(설정_코스수당!$K$2),MONTH(설정_코스수당!$K$2),19),"")</f>
        <v>46192</v>
      </c>
      <c r="C1947" s="31"/>
      <c r="D1947" s="29"/>
      <c r="E1947" s="29"/>
      <c r="F1947" s="32"/>
      <c r="G1947" s="29"/>
      <c r="H1947" s="29"/>
      <c r="I1947" s="29"/>
      <c r="J1947" s="33">
        <f>IF($O1947="방문완료",MAX(0,IFERROR(VLOOKUP($E1947,설정_코스수당!$A$6:$H$10,4,FALSE),0)-IF(OR($P1947="",$P1947="없음"),0,100000)),0)</f>
        <v>0</v>
      </c>
      <c r="K1947" s="33">
        <f t="array" ref="K1947">IF($O1947="방문완료",IFERROR(INDEX(설정_코스수당!$B$15:$F$64,MATCH($G1947,설정_코스수당!$A$15:$A$64,0),MATCH($E1947&amp;"수당",설정_코스수당!$B$14:$F$14,0)),0),0)</f>
        <v>0</v>
      </c>
      <c r="L1947" s="33">
        <f t="array" ref="L1947">IF($O1947="방문완료",IF($H1947="",0,IFERROR(INDEX(설정_코스수당!$B$15:$F$64,MATCH($H1947,설정_코스수당!$A$15:$A$64,0),MATCH($E1947&amp;"수당",설정_코스수당!$B$14:$F$14,0)),0)),0)</f>
        <v>0</v>
      </c>
      <c r="M1947" s="33">
        <f>IF($O1947="방문완료",IFERROR(VLOOKUP($E1947,설정_코스수당!$A$6:$H$10,6,FALSE),0),0)</f>
        <v>0</v>
      </c>
      <c r="N1947" s="34">
        <f t="shared" si="56"/>
        <v>0</v>
      </c>
      <c r="O1947" s="29"/>
      <c r="P1947" s="29"/>
      <c r="Q1947" s="29"/>
      <c r="R1947" s="32"/>
      <c r="S1947" s="29"/>
    </row>
    <row r="1948" spans="1:19" ht="19.5" hidden="1" customHeight="1" outlineLevel="1">
      <c r="A1948" s="23">
        <v>81</v>
      </c>
      <c r="B1948" s="24">
        <f>IF(19&lt;=DAY(DATE(YEAR(설정_코스수당!$K$2),MONTH(설정_코스수당!$K$2)+1,0)),DATE(YEAR(설정_코스수당!$K$2),MONTH(설정_코스수당!$K$2),19),"")</f>
        <v>46192</v>
      </c>
      <c r="C1948" s="25"/>
      <c r="D1948" s="23"/>
      <c r="E1948" s="23"/>
      <c r="F1948" s="26"/>
      <c r="G1948" s="23"/>
      <c r="H1948" s="23"/>
      <c r="I1948" s="23"/>
      <c r="J1948" s="27">
        <f>IF($O1948="방문완료",MAX(0,IFERROR(VLOOKUP($E1948,설정_코스수당!$A$6:$H$10,4,FALSE),0)-IF(OR($P1948="",$P1948="없음"),0,100000)),0)</f>
        <v>0</v>
      </c>
      <c r="K1948" s="27">
        <f t="array" ref="K1948">IF($O1948="방문완료",IFERROR(INDEX(설정_코스수당!$B$15:$F$64,MATCH($G1948,설정_코스수당!$A$15:$A$64,0),MATCH($E1948&amp;"수당",설정_코스수당!$B$14:$F$14,0)),0),0)</f>
        <v>0</v>
      </c>
      <c r="L1948" s="27">
        <f t="array" ref="L1948">IF($O1948="방문완료",IF($H1948="",0,IFERROR(INDEX(설정_코스수당!$B$15:$F$64,MATCH($H1948,설정_코스수당!$A$15:$A$64,0),MATCH($E1948&amp;"수당",설정_코스수당!$B$14:$F$14,0)),0)),0)</f>
        <v>0</v>
      </c>
      <c r="M1948" s="27">
        <f>IF($O1948="방문완료",IFERROR(VLOOKUP($E1948,설정_코스수당!$A$6:$H$10,6,FALSE),0),0)</f>
        <v>0</v>
      </c>
      <c r="N1948" s="28">
        <f t="shared" si="56"/>
        <v>0</v>
      </c>
      <c r="O1948" s="23"/>
      <c r="P1948" s="23"/>
      <c r="Q1948" s="23"/>
      <c r="R1948" s="26"/>
      <c r="S1948" s="23"/>
    </row>
    <row r="1949" spans="1:19" ht="19.5" hidden="1" customHeight="1" outlineLevel="1">
      <c r="A1949" s="29">
        <v>82</v>
      </c>
      <c r="B1949" s="30">
        <f>IF(19&lt;=DAY(DATE(YEAR(설정_코스수당!$K$2),MONTH(설정_코스수당!$K$2)+1,0)),DATE(YEAR(설정_코스수당!$K$2),MONTH(설정_코스수당!$K$2),19),"")</f>
        <v>46192</v>
      </c>
      <c r="C1949" s="31"/>
      <c r="D1949" s="29"/>
      <c r="E1949" s="29"/>
      <c r="F1949" s="32"/>
      <c r="G1949" s="29"/>
      <c r="H1949" s="29"/>
      <c r="I1949" s="29"/>
      <c r="J1949" s="33">
        <f>IF($O1949="방문완료",MAX(0,IFERROR(VLOOKUP($E1949,설정_코스수당!$A$6:$H$10,4,FALSE),0)-IF(OR($P1949="",$P1949="없음"),0,100000)),0)</f>
        <v>0</v>
      </c>
      <c r="K1949" s="33">
        <f t="array" ref="K1949">IF($O1949="방문완료",IFERROR(INDEX(설정_코스수당!$B$15:$F$64,MATCH($G1949,설정_코스수당!$A$15:$A$64,0),MATCH($E1949&amp;"수당",설정_코스수당!$B$14:$F$14,0)),0),0)</f>
        <v>0</v>
      </c>
      <c r="L1949" s="33">
        <f t="array" ref="L1949">IF($O1949="방문완료",IF($H1949="",0,IFERROR(INDEX(설정_코스수당!$B$15:$F$64,MATCH($H1949,설정_코스수당!$A$15:$A$64,0),MATCH($E1949&amp;"수당",설정_코스수당!$B$14:$F$14,0)),0)),0)</f>
        <v>0</v>
      </c>
      <c r="M1949" s="33">
        <f>IF($O1949="방문완료",IFERROR(VLOOKUP($E1949,설정_코스수당!$A$6:$H$10,6,FALSE),0),0)</f>
        <v>0</v>
      </c>
      <c r="N1949" s="34">
        <f t="shared" si="56"/>
        <v>0</v>
      </c>
      <c r="O1949" s="29"/>
      <c r="P1949" s="29"/>
      <c r="Q1949" s="29"/>
      <c r="R1949" s="32"/>
      <c r="S1949" s="29"/>
    </row>
    <row r="1950" spans="1:19" ht="19.5" hidden="1" customHeight="1" outlineLevel="1">
      <c r="A1950" s="23">
        <v>83</v>
      </c>
      <c r="B1950" s="24">
        <f>IF(19&lt;=DAY(DATE(YEAR(설정_코스수당!$K$2),MONTH(설정_코스수당!$K$2)+1,0)),DATE(YEAR(설정_코스수당!$K$2),MONTH(설정_코스수당!$K$2),19),"")</f>
        <v>46192</v>
      </c>
      <c r="C1950" s="25"/>
      <c r="D1950" s="23"/>
      <c r="E1950" s="23"/>
      <c r="F1950" s="26"/>
      <c r="G1950" s="23"/>
      <c r="H1950" s="23"/>
      <c r="I1950" s="23"/>
      <c r="J1950" s="27">
        <f>IF($O1950="방문완료",MAX(0,IFERROR(VLOOKUP($E1950,설정_코스수당!$A$6:$H$10,4,FALSE),0)-IF(OR($P1950="",$P1950="없음"),0,100000)),0)</f>
        <v>0</v>
      </c>
      <c r="K1950" s="27">
        <f t="array" ref="K1950">IF($O1950="방문완료",IFERROR(INDEX(설정_코스수당!$B$15:$F$64,MATCH($G1950,설정_코스수당!$A$15:$A$64,0),MATCH($E1950&amp;"수당",설정_코스수당!$B$14:$F$14,0)),0),0)</f>
        <v>0</v>
      </c>
      <c r="L1950" s="27">
        <f t="array" ref="L1950">IF($O1950="방문완료",IF($H1950="",0,IFERROR(INDEX(설정_코스수당!$B$15:$F$64,MATCH($H1950,설정_코스수당!$A$15:$A$64,0),MATCH($E1950&amp;"수당",설정_코스수당!$B$14:$F$14,0)),0)),0)</f>
        <v>0</v>
      </c>
      <c r="M1950" s="27">
        <f>IF($O1950="방문완료",IFERROR(VLOOKUP($E1950,설정_코스수당!$A$6:$H$10,6,FALSE),0),0)</f>
        <v>0</v>
      </c>
      <c r="N1950" s="28">
        <f t="shared" si="56"/>
        <v>0</v>
      </c>
      <c r="O1950" s="23"/>
      <c r="P1950" s="23"/>
      <c r="Q1950" s="23"/>
      <c r="R1950" s="26"/>
      <c r="S1950" s="23"/>
    </row>
    <row r="1951" spans="1:19" ht="19.5" hidden="1" customHeight="1" outlineLevel="1">
      <c r="A1951" s="29">
        <v>84</v>
      </c>
      <c r="B1951" s="30">
        <f>IF(19&lt;=DAY(DATE(YEAR(설정_코스수당!$K$2),MONTH(설정_코스수당!$K$2)+1,0)),DATE(YEAR(설정_코스수당!$K$2),MONTH(설정_코스수당!$K$2),19),"")</f>
        <v>46192</v>
      </c>
      <c r="C1951" s="31"/>
      <c r="D1951" s="29"/>
      <c r="E1951" s="29"/>
      <c r="F1951" s="32"/>
      <c r="G1951" s="29"/>
      <c r="H1951" s="29"/>
      <c r="I1951" s="29"/>
      <c r="J1951" s="33">
        <f>IF($O1951="방문완료",MAX(0,IFERROR(VLOOKUP($E1951,설정_코스수당!$A$6:$H$10,4,FALSE),0)-IF(OR($P1951="",$P1951="없음"),0,100000)),0)</f>
        <v>0</v>
      </c>
      <c r="K1951" s="33">
        <f t="array" ref="K1951">IF($O1951="방문완료",IFERROR(INDEX(설정_코스수당!$B$15:$F$64,MATCH($G1951,설정_코스수당!$A$15:$A$64,0),MATCH($E1951&amp;"수당",설정_코스수당!$B$14:$F$14,0)),0),0)</f>
        <v>0</v>
      </c>
      <c r="L1951" s="33">
        <f t="array" ref="L1951">IF($O1951="방문완료",IF($H1951="",0,IFERROR(INDEX(설정_코스수당!$B$15:$F$64,MATCH($H1951,설정_코스수당!$A$15:$A$64,0),MATCH($E1951&amp;"수당",설정_코스수당!$B$14:$F$14,0)),0)),0)</f>
        <v>0</v>
      </c>
      <c r="M1951" s="33">
        <f>IF($O1951="방문완료",IFERROR(VLOOKUP($E1951,설정_코스수당!$A$6:$H$10,6,FALSE),0),0)</f>
        <v>0</v>
      </c>
      <c r="N1951" s="34">
        <f t="shared" si="56"/>
        <v>0</v>
      </c>
      <c r="O1951" s="29"/>
      <c r="P1951" s="29"/>
      <c r="Q1951" s="29"/>
      <c r="R1951" s="32"/>
      <c r="S1951" s="29"/>
    </row>
    <row r="1952" spans="1:19" ht="19.5" hidden="1" customHeight="1" outlineLevel="1">
      <c r="A1952" s="23">
        <v>85</v>
      </c>
      <c r="B1952" s="24">
        <f>IF(19&lt;=DAY(DATE(YEAR(설정_코스수당!$K$2),MONTH(설정_코스수당!$K$2)+1,0)),DATE(YEAR(설정_코스수당!$K$2),MONTH(설정_코스수당!$K$2),19),"")</f>
        <v>46192</v>
      </c>
      <c r="C1952" s="25"/>
      <c r="D1952" s="23"/>
      <c r="E1952" s="23"/>
      <c r="F1952" s="26"/>
      <c r="G1952" s="23"/>
      <c r="H1952" s="23"/>
      <c r="I1952" s="23"/>
      <c r="J1952" s="27">
        <f>IF($O1952="방문완료",MAX(0,IFERROR(VLOOKUP($E1952,설정_코스수당!$A$6:$H$10,4,FALSE),0)-IF(OR($P1952="",$P1952="없음"),0,100000)),0)</f>
        <v>0</v>
      </c>
      <c r="K1952" s="27">
        <f t="array" ref="K1952">IF($O1952="방문완료",IFERROR(INDEX(설정_코스수당!$B$15:$F$64,MATCH($G1952,설정_코스수당!$A$15:$A$64,0),MATCH($E1952&amp;"수당",설정_코스수당!$B$14:$F$14,0)),0),0)</f>
        <v>0</v>
      </c>
      <c r="L1952" s="27">
        <f t="array" ref="L1952">IF($O1952="방문완료",IF($H1952="",0,IFERROR(INDEX(설정_코스수당!$B$15:$F$64,MATCH($H1952,설정_코스수당!$A$15:$A$64,0),MATCH($E1952&amp;"수당",설정_코스수당!$B$14:$F$14,0)),0)),0)</f>
        <v>0</v>
      </c>
      <c r="M1952" s="27">
        <f>IF($O1952="방문완료",IFERROR(VLOOKUP($E1952,설정_코스수당!$A$6:$H$10,6,FALSE),0),0)</f>
        <v>0</v>
      </c>
      <c r="N1952" s="28">
        <f t="shared" si="56"/>
        <v>0</v>
      </c>
      <c r="O1952" s="23"/>
      <c r="P1952" s="23"/>
      <c r="Q1952" s="23"/>
      <c r="R1952" s="26"/>
      <c r="S1952" s="23"/>
    </row>
    <row r="1953" spans="1:19" ht="19.5" hidden="1" customHeight="1" outlineLevel="1">
      <c r="A1953" s="29">
        <v>86</v>
      </c>
      <c r="B1953" s="30">
        <f>IF(19&lt;=DAY(DATE(YEAR(설정_코스수당!$K$2),MONTH(설정_코스수당!$K$2)+1,0)),DATE(YEAR(설정_코스수당!$K$2),MONTH(설정_코스수당!$K$2),19),"")</f>
        <v>46192</v>
      </c>
      <c r="C1953" s="31"/>
      <c r="D1953" s="29"/>
      <c r="E1953" s="29"/>
      <c r="F1953" s="32"/>
      <c r="G1953" s="29"/>
      <c r="H1953" s="29"/>
      <c r="I1953" s="29"/>
      <c r="J1953" s="33">
        <f>IF($O1953="방문완료",MAX(0,IFERROR(VLOOKUP($E1953,설정_코스수당!$A$6:$H$10,4,FALSE),0)-IF(OR($P1953="",$P1953="없음"),0,100000)),0)</f>
        <v>0</v>
      </c>
      <c r="K1953" s="33">
        <f t="array" ref="K1953">IF($O1953="방문완료",IFERROR(INDEX(설정_코스수당!$B$15:$F$64,MATCH($G1953,설정_코스수당!$A$15:$A$64,0),MATCH($E1953&amp;"수당",설정_코스수당!$B$14:$F$14,0)),0),0)</f>
        <v>0</v>
      </c>
      <c r="L1953" s="33">
        <f t="array" ref="L1953">IF($O1953="방문완료",IF($H1953="",0,IFERROR(INDEX(설정_코스수당!$B$15:$F$64,MATCH($H1953,설정_코스수당!$A$15:$A$64,0),MATCH($E1953&amp;"수당",설정_코스수당!$B$14:$F$14,0)),0)),0)</f>
        <v>0</v>
      </c>
      <c r="M1953" s="33">
        <f>IF($O1953="방문완료",IFERROR(VLOOKUP($E1953,설정_코스수당!$A$6:$H$10,6,FALSE),0),0)</f>
        <v>0</v>
      </c>
      <c r="N1953" s="34">
        <f t="shared" si="56"/>
        <v>0</v>
      </c>
      <c r="O1953" s="29"/>
      <c r="P1953" s="29"/>
      <c r="Q1953" s="29"/>
      <c r="R1953" s="32"/>
      <c r="S1953" s="29"/>
    </row>
    <row r="1954" spans="1:19" ht="19.5" hidden="1" customHeight="1" outlineLevel="1">
      <c r="A1954" s="23">
        <v>87</v>
      </c>
      <c r="B1954" s="24">
        <f>IF(19&lt;=DAY(DATE(YEAR(설정_코스수당!$K$2),MONTH(설정_코스수당!$K$2)+1,0)),DATE(YEAR(설정_코스수당!$K$2),MONTH(설정_코스수당!$K$2),19),"")</f>
        <v>46192</v>
      </c>
      <c r="C1954" s="25"/>
      <c r="D1954" s="23"/>
      <c r="E1954" s="23"/>
      <c r="F1954" s="26"/>
      <c r="G1954" s="23"/>
      <c r="H1954" s="23"/>
      <c r="I1954" s="23"/>
      <c r="J1954" s="27">
        <f>IF($O1954="방문완료",MAX(0,IFERROR(VLOOKUP($E1954,설정_코스수당!$A$6:$H$10,4,FALSE),0)-IF(OR($P1954="",$P1954="없음"),0,100000)),0)</f>
        <v>0</v>
      </c>
      <c r="K1954" s="27">
        <f t="array" ref="K1954">IF($O1954="방문완료",IFERROR(INDEX(설정_코스수당!$B$15:$F$64,MATCH($G1954,설정_코스수당!$A$15:$A$64,0),MATCH($E1954&amp;"수당",설정_코스수당!$B$14:$F$14,0)),0),0)</f>
        <v>0</v>
      </c>
      <c r="L1954" s="27">
        <f t="array" ref="L1954">IF($O1954="방문완료",IF($H1954="",0,IFERROR(INDEX(설정_코스수당!$B$15:$F$64,MATCH($H1954,설정_코스수당!$A$15:$A$64,0),MATCH($E1954&amp;"수당",설정_코스수당!$B$14:$F$14,0)),0)),0)</f>
        <v>0</v>
      </c>
      <c r="M1954" s="27">
        <f>IF($O1954="방문완료",IFERROR(VLOOKUP($E1954,설정_코스수당!$A$6:$H$10,6,FALSE),0),0)</f>
        <v>0</v>
      </c>
      <c r="N1954" s="28">
        <f t="shared" si="56"/>
        <v>0</v>
      </c>
      <c r="O1954" s="23"/>
      <c r="P1954" s="23"/>
      <c r="Q1954" s="23"/>
      <c r="R1954" s="26"/>
      <c r="S1954" s="23"/>
    </row>
    <row r="1955" spans="1:19" ht="19.5" hidden="1" customHeight="1" outlineLevel="1">
      <c r="A1955" s="29">
        <v>88</v>
      </c>
      <c r="B1955" s="30">
        <f>IF(19&lt;=DAY(DATE(YEAR(설정_코스수당!$K$2),MONTH(설정_코스수당!$K$2)+1,0)),DATE(YEAR(설정_코스수당!$K$2),MONTH(설정_코스수당!$K$2),19),"")</f>
        <v>46192</v>
      </c>
      <c r="C1955" s="31"/>
      <c r="D1955" s="29"/>
      <c r="E1955" s="29"/>
      <c r="F1955" s="32"/>
      <c r="G1955" s="29"/>
      <c r="H1955" s="29"/>
      <c r="I1955" s="29"/>
      <c r="J1955" s="33">
        <f>IF($O1955="방문완료",MAX(0,IFERROR(VLOOKUP($E1955,설정_코스수당!$A$6:$H$10,4,FALSE),0)-IF(OR($P1955="",$P1955="없음"),0,100000)),0)</f>
        <v>0</v>
      </c>
      <c r="K1955" s="33">
        <f t="array" ref="K1955">IF($O1955="방문완료",IFERROR(INDEX(설정_코스수당!$B$15:$F$64,MATCH($G1955,설정_코스수당!$A$15:$A$64,0),MATCH($E1955&amp;"수당",설정_코스수당!$B$14:$F$14,0)),0),0)</f>
        <v>0</v>
      </c>
      <c r="L1955" s="33">
        <f t="array" ref="L1955">IF($O1955="방문완료",IF($H1955="",0,IFERROR(INDEX(설정_코스수당!$B$15:$F$64,MATCH($H1955,설정_코스수당!$A$15:$A$64,0),MATCH($E1955&amp;"수당",설정_코스수당!$B$14:$F$14,0)),0)),0)</f>
        <v>0</v>
      </c>
      <c r="M1955" s="33">
        <f>IF($O1955="방문완료",IFERROR(VLOOKUP($E1955,설정_코스수당!$A$6:$H$10,6,FALSE),0),0)</f>
        <v>0</v>
      </c>
      <c r="N1955" s="34">
        <f t="shared" si="56"/>
        <v>0</v>
      </c>
      <c r="O1955" s="29"/>
      <c r="P1955" s="29"/>
      <c r="Q1955" s="29"/>
      <c r="R1955" s="32"/>
      <c r="S1955" s="29"/>
    </row>
    <row r="1956" spans="1:19" ht="19.5" hidden="1" customHeight="1" outlineLevel="1">
      <c r="A1956" s="23">
        <v>89</v>
      </c>
      <c r="B1956" s="24">
        <f>IF(19&lt;=DAY(DATE(YEAR(설정_코스수당!$K$2),MONTH(설정_코스수당!$K$2)+1,0)),DATE(YEAR(설정_코스수당!$K$2),MONTH(설정_코스수당!$K$2),19),"")</f>
        <v>46192</v>
      </c>
      <c r="C1956" s="25"/>
      <c r="D1956" s="23"/>
      <c r="E1956" s="23"/>
      <c r="F1956" s="26"/>
      <c r="G1956" s="23"/>
      <c r="H1956" s="23"/>
      <c r="I1956" s="23"/>
      <c r="J1956" s="27">
        <f>IF($O1956="방문완료",MAX(0,IFERROR(VLOOKUP($E1956,설정_코스수당!$A$6:$H$10,4,FALSE),0)-IF(OR($P1956="",$P1956="없음"),0,100000)),0)</f>
        <v>0</v>
      </c>
      <c r="K1956" s="27">
        <f t="array" ref="K1956">IF($O1956="방문완료",IFERROR(INDEX(설정_코스수당!$B$15:$F$64,MATCH($G1956,설정_코스수당!$A$15:$A$64,0),MATCH($E1956&amp;"수당",설정_코스수당!$B$14:$F$14,0)),0),0)</f>
        <v>0</v>
      </c>
      <c r="L1956" s="27">
        <f t="array" ref="L1956">IF($O1956="방문완료",IF($H1956="",0,IFERROR(INDEX(설정_코스수당!$B$15:$F$64,MATCH($H1956,설정_코스수당!$A$15:$A$64,0),MATCH($E1956&amp;"수당",설정_코스수당!$B$14:$F$14,0)),0)),0)</f>
        <v>0</v>
      </c>
      <c r="M1956" s="27">
        <f>IF($O1956="방문완료",IFERROR(VLOOKUP($E1956,설정_코스수당!$A$6:$H$10,6,FALSE),0),0)</f>
        <v>0</v>
      </c>
      <c r="N1956" s="28">
        <f t="shared" si="56"/>
        <v>0</v>
      </c>
      <c r="O1956" s="23"/>
      <c r="P1956" s="23"/>
      <c r="Q1956" s="23"/>
      <c r="R1956" s="26"/>
      <c r="S1956" s="23"/>
    </row>
    <row r="1957" spans="1:19" ht="19.5" hidden="1" customHeight="1" outlineLevel="1">
      <c r="A1957" s="29">
        <v>90</v>
      </c>
      <c r="B1957" s="30">
        <f>IF(19&lt;=DAY(DATE(YEAR(설정_코스수당!$K$2),MONTH(설정_코스수당!$K$2)+1,0)),DATE(YEAR(설정_코스수당!$K$2),MONTH(설정_코스수당!$K$2),19),"")</f>
        <v>46192</v>
      </c>
      <c r="C1957" s="31"/>
      <c r="D1957" s="29"/>
      <c r="E1957" s="29"/>
      <c r="F1957" s="32"/>
      <c r="G1957" s="29"/>
      <c r="H1957" s="29"/>
      <c r="I1957" s="29"/>
      <c r="J1957" s="33">
        <f>IF($O1957="방문완료",MAX(0,IFERROR(VLOOKUP($E1957,설정_코스수당!$A$6:$H$10,4,FALSE),0)-IF(OR($P1957="",$P1957="없음"),0,100000)),0)</f>
        <v>0</v>
      </c>
      <c r="K1957" s="33">
        <f t="array" ref="K1957">IF($O1957="방문완료",IFERROR(INDEX(설정_코스수당!$B$15:$F$64,MATCH($G1957,설정_코스수당!$A$15:$A$64,0),MATCH($E1957&amp;"수당",설정_코스수당!$B$14:$F$14,0)),0),0)</f>
        <v>0</v>
      </c>
      <c r="L1957" s="33">
        <f t="array" ref="L1957">IF($O1957="방문완료",IF($H1957="",0,IFERROR(INDEX(설정_코스수당!$B$15:$F$64,MATCH($H1957,설정_코스수당!$A$15:$A$64,0),MATCH($E1957&amp;"수당",설정_코스수당!$B$14:$F$14,0)),0)),0)</f>
        <v>0</v>
      </c>
      <c r="M1957" s="33">
        <f>IF($O1957="방문완료",IFERROR(VLOOKUP($E1957,설정_코스수당!$A$6:$H$10,6,FALSE),0),0)</f>
        <v>0</v>
      </c>
      <c r="N1957" s="34">
        <f t="shared" si="56"/>
        <v>0</v>
      </c>
      <c r="O1957" s="29"/>
      <c r="P1957" s="29"/>
      <c r="Q1957" s="29"/>
      <c r="R1957" s="32"/>
      <c r="S1957" s="29"/>
    </row>
    <row r="1958" spans="1:19" ht="19.5" hidden="1" customHeight="1" outlineLevel="1">
      <c r="A1958" s="23">
        <v>91</v>
      </c>
      <c r="B1958" s="24">
        <f>IF(19&lt;=DAY(DATE(YEAR(설정_코스수당!$K$2),MONTH(설정_코스수당!$K$2)+1,0)),DATE(YEAR(설정_코스수당!$K$2),MONTH(설정_코스수당!$K$2),19),"")</f>
        <v>46192</v>
      </c>
      <c r="C1958" s="25"/>
      <c r="D1958" s="23"/>
      <c r="E1958" s="23"/>
      <c r="F1958" s="26"/>
      <c r="G1958" s="23"/>
      <c r="H1958" s="23"/>
      <c r="I1958" s="23"/>
      <c r="J1958" s="27">
        <f>IF($O1958="방문완료",MAX(0,IFERROR(VLOOKUP($E1958,설정_코스수당!$A$6:$H$10,4,FALSE),0)-IF(OR($P1958="",$P1958="없음"),0,100000)),0)</f>
        <v>0</v>
      </c>
      <c r="K1958" s="27">
        <f t="array" ref="K1958">IF($O1958="방문완료",IFERROR(INDEX(설정_코스수당!$B$15:$F$64,MATCH($G1958,설정_코스수당!$A$15:$A$64,0),MATCH($E1958&amp;"수당",설정_코스수당!$B$14:$F$14,0)),0),0)</f>
        <v>0</v>
      </c>
      <c r="L1958" s="27">
        <f t="array" ref="L1958">IF($O1958="방문완료",IF($H1958="",0,IFERROR(INDEX(설정_코스수당!$B$15:$F$64,MATCH($H1958,설정_코스수당!$A$15:$A$64,0),MATCH($E1958&amp;"수당",설정_코스수당!$B$14:$F$14,0)),0)),0)</f>
        <v>0</v>
      </c>
      <c r="M1958" s="27">
        <f>IF($O1958="방문완료",IFERROR(VLOOKUP($E1958,설정_코스수당!$A$6:$H$10,6,FALSE),0),0)</f>
        <v>0</v>
      </c>
      <c r="N1958" s="28">
        <f t="shared" si="56"/>
        <v>0</v>
      </c>
      <c r="O1958" s="23"/>
      <c r="P1958" s="23"/>
      <c r="Q1958" s="23"/>
      <c r="R1958" s="26"/>
      <c r="S1958" s="23"/>
    </row>
    <row r="1959" spans="1:19" ht="19.5" hidden="1" customHeight="1" outlineLevel="1">
      <c r="A1959" s="29">
        <v>92</v>
      </c>
      <c r="B1959" s="30">
        <f>IF(19&lt;=DAY(DATE(YEAR(설정_코스수당!$K$2),MONTH(설정_코스수당!$K$2)+1,0)),DATE(YEAR(설정_코스수당!$K$2),MONTH(설정_코스수당!$K$2),19),"")</f>
        <v>46192</v>
      </c>
      <c r="C1959" s="31"/>
      <c r="D1959" s="29"/>
      <c r="E1959" s="29"/>
      <c r="F1959" s="32"/>
      <c r="G1959" s="29"/>
      <c r="H1959" s="29"/>
      <c r="I1959" s="29"/>
      <c r="J1959" s="33">
        <f>IF($O1959="방문완료",MAX(0,IFERROR(VLOOKUP($E1959,설정_코스수당!$A$6:$H$10,4,FALSE),0)-IF(OR($P1959="",$P1959="없음"),0,100000)),0)</f>
        <v>0</v>
      </c>
      <c r="K1959" s="33">
        <f t="array" ref="K1959">IF($O1959="방문완료",IFERROR(INDEX(설정_코스수당!$B$15:$F$64,MATCH($G1959,설정_코스수당!$A$15:$A$64,0),MATCH($E1959&amp;"수당",설정_코스수당!$B$14:$F$14,0)),0),0)</f>
        <v>0</v>
      </c>
      <c r="L1959" s="33">
        <f t="array" ref="L1959">IF($O1959="방문완료",IF($H1959="",0,IFERROR(INDEX(설정_코스수당!$B$15:$F$64,MATCH($H1959,설정_코스수당!$A$15:$A$64,0),MATCH($E1959&amp;"수당",설정_코스수당!$B$14:$F$14,0)),0)),0)</f>
        <v>0</v>
      </c>
      <c r="M1959" s="33">
        <f>IF($O1959="방문완료",IFERROR(VLOOKUP($E1959,설정_코스수당!$A$6:$H$10,6,FALSE),0),0)</f>
        <v>0</v>
      </c>
      <c r="N1959" s="34">
        <f t="shared" si="56"/>
        <v>0</v>
      </c>
      <c r="O1959" s="29"/>
      <c r="P1959" s="29"/>
      <c r="Q1959" s="29"/>
      <c r="R1959" s="32"/>
      <c r="S1959" s="29"/>
    </row>
    <row r="1960" spans="1:19" ht="19.5" hidden="1" customHeight="1" outlineLevel="1">
      <c r="A1960" s="23">
        <v>93</v>
      </c>
      <c r="B1960" s="24">
        <f>IF(19&lt;=DAY(DATE(YEAR(설정_코스수당!$K$2),MONTH(설정_코스수당!$K$2)+1,0)),DATE(YEAR(설정_코스수당!$K$2),MONTH(설정_코스수당!$K$2),19),"")</f>
        <v>46192</v>
      </c>
      <c r="C1960" s="25"/>
      <c r="D1960" s="23"/>
      <c r="E1960" s="23"/>
      <c r="F1960" s="26"/>
      <c r="G1960" s="23"/>
      <c r="H1960" s="23"/>
      <c r="I1960" s="23"/>
      <c r="J1960" s="27">
        <f>IF($O1960="방문완료",MAX(0,IFERROR(VLOOKUP($E1960,설정_코스수당!$A$6:$H$10,4,FALSE),0)-IF(OR($P1960="",$P1960="없음"),0,100000)),0)</f>
        <v>0</v>
      </c>
      <c r="K1960" s="27">
        <f t="array" ref="K1960">IF($O1960="방문완료",IFERROR(INDEX(설정_코스수당!$B$15:$F$64,MATCH($G1960,설정_코스수당!$A$15:$A$64,0),MATCH($E1960&amp;"수당",설정_코스수당!$B$14:$F$14,0)),0),0)</f>
        <v>0</v>
      </c>
      <c r="L1960" s="27">
        <f t="array" ref="L1960">IF($O1960="방문완료",IF($H1960="",0,IFERROR(INDEX(설정_코스수당!$B$15:$F$64,MATCH($H1960,설정_코스수당!$A$15:$A$64,0),MATCH($E1960&amp;"수당",설정_코스수당!$B$14:$F$14,0)),0)),0)</f>
        <v>0</v>
      </c>
      <c r="M1960" s="27">
        <f>IF($O1960="방문완료",IFERROR(VLOOKUP($E1960,설정_코스수당!$A$6:$H$10,6,FALSE),0),0)</f>
        <v>0</v>
      </c>
      <c r="N1960" s="28">
        <f t="shared" si="56"/>
        <v>0</v>
      </c>
      <c r="O1960" s="23"/>
      <c r="P1960" s="23"/>
      <c r="Q1960" s="23"/>
      <c r="R1960" s="26"/>
      <c r="S1960" s="23"/>
    </row>
    <row r="1961" spans="1:19" ht="19.5" hidden="1" customHeight="1" outlineLevel="1">
      <c r="A1961" s="29">
        <v>94</v>
      </c>
      <c r="B1961" s="30">
        <f>IF(19&lt;=DAY(DATE(YEAR(설정_코스수당!$K$2),MONTH(설정_코스수당!$K$2)+1,0)),DATE(YEAR(설정_코스수당!$K$2),MONTH(설정_코스수당!$K$2),19),"")</f>
        <v>46192</v>
      </c>
      <c r="C1961" s="31"/>
      <c r="D1961" s="29"/>
      <c r="E1961" s="29"/>
      <c r="F1961" s="32"/>
      <c r="G1961" s="29"/>
      <c r="H1961" s="29"/>
      <c r="I1961" s="29"/>
      <c r="J1961" s="33">
        <f>IF($O1961="방문완료",MAX(0,IFERROR(VLOOKUP($E1961,설정_코스수당!$A$6:$H$10,4,FALSE),0)-IF(OR($P1961="",$P1961="없음"),0,100000)),0)</f>
        <v>0</v>
      </c>
      <c r="K1961" s="33">
        <f t="array" ref="K1961">IF($O1961="방문완료",IFERROR(INDEX(설정_코스수당!$B$15:$F$64,MATCH($G1961,설정_코스수당!$A$15:$A$64,0),MATCH($E1961&amp;"수당",설정_코스수당!$B$14:$F$14,0)),0),0)</f>
        <v>0</v>
      </c>
      <c r="L1961" s="33">
        <f t="array" ref="L1961">IF($O1961="방문완료",IF($H1961="",0,IFERROR(INDEX(설정_코스수당!$B$15:$F$64,MATCH($H1961,설정_코스수당!$A$15:$A$64,0),MATCH($E1961&amp;"수당",설정_코스수당!$B$14:$F$14,0)),0)),0)</f>
        <v>0</v>
      </c>
      <c r="M1961" s="33">
        <f>IF($O1961="방문완료",IFERROR(VLOOKUP($E1961,설정_코스수당!$A$6:$H$10,6,FALSE),0),0)</f>
        <v>0</v>
      </c>
      <c r="N1961" s="34">
        <f t="shared" si="56"/>
        <v>0</v>
      </c>
      <c r="O1961" s="29"/>
      <c r="P1961" s="29"/>
      <c r="Q1961" s="29"/>
      <c r="R1961" s="32"/>
      <c r="S1961" s="29"/>
    </row>
    <row r="1962" spans="1:19" ht="19.5" hidden="1" customHeight="1" outlineLevel="1">
      <c r="A1962" s="23">
        <v>95</v>
      </c>
      <c r="B1962" s="24">
        <f>IF(19&lt;=DAY(DATE(YEAR(설정_코스수당!$K$2),MONTH(설정_코스수당!$K$2)+1,0)),DATE(YEAR(설정_코스수당!$K$2),MONTH(설정_코스수당!$K$2),19),"")</f>
        <v>46192</v>
      </c>
      <c r="C1962" s="25"/>
      <c r="D1962" s="23"/>
      <c r="E1962" s="23"/>
      <c r="F1962" s="26"/>
      <c r="G1962" s="23"/>
      <c r="H1962" s="23"/>
      <c r="I1962" s="23"/>
      <c r="J1962" s="27">
        <f>IF($O1962="방문완료",MAX(0,IFERROR(VLOOKUP($E1962,설정_코스수당!$A$6:$H$10,4,FALSE),0)-IF(OR($P1962="",$P1962="없음"),0,100000)),0)</f>
        <v>0</v>
      </c>
      <c r="K1962" s="27">
        <f t="array" ref="K1962">IF($O1962="방문완료",IFERROR(INDEX(설정_코스수당!$B$15:$F$64,MATCH($G1962,설정_코스수당!$A$15:$A$64,0),MATCH($E1962&amp;"수당",설정_코스수당!$B$14:$F$14,0)),0),0)</f>
        <v>0</v>
      </c>
      <c r="L1962" s="27">
        <f t="array" ref="L1962">IF($O1962="방문완료",IF($H1962="",0,IFERROR(INDEX(설정_코스수당!$B$15:$F$64,MATCH($H1962,설정_코스수당!$A$15:$A$64,0),MATCH($E1962&amp;"수당",설정_코스수당!$B$14:$F$14,0)),0)),0)</f>
        <v>0</v>
      </c>
      <c r="M1962" s="27">
        <f>IF($O1962="방문완료",IFERROR(VLOOKUP($E1962,설정_코스수당!$A$6:$H$10,6,FALSE),0),0)</f>
        <v>0</v>
      </c>
      <c r="N1962" s="28">
        <f t="shared" si="56"/>
        <v>0</v>
      </c>
      <c r="O1962" s="23"/>
      <c r="P1962" s="23"/>
      <c r="Q1962" s="23"/>
      <c r="R1962" s="26"/>
      <c r="S1962" s="23"/>
    </row>
    <row r="1963" spans="1:19" ht="19.5" hidden="1" customHeight="1" outlineLevel="1">
      <c r="A1963" s="29">
        <v>96</v>
      </c>
      <c r="B1963" s="30">
        <f>IF(19&lt;=DAY(DATE(YEAR(설정_코스수당!$K$2),MONTH(설정_코스수당!$K$2)+1,0)),DATE(YEAR(설정_코스수당!$K$2),MONTH(설정_코스수당!$K$2),19),"")</f>
        <v>46192</v>
      </c>
      <c r="C1963" s="31"/>
      <c r="D1963" s="29"/>
      <c r="E1963" s="29"/>
      <c r="F1963" s="32"/>
      <c r="G1963" s="29"/>
      <c r="H1963" s="29"/>
      <c r="I1963" s="29"/>
      <c r="J1963" s="33">
        <f>IF($O1963="방문완료",MAX(0,IFERROR(VLOOKUP($E1963,설정_코스수당!$A$6:$H$10,4,FALSE),0)-IF(OR($P1963="",$P1963="없음"),0,100000)),0)</f>
        <v>0</v>
      </c>
      <c r="K1963" s="33">
        <f t="array" ref="K1963">IF($O1963="방문완료",IFERROR(INDEX(설정_코스수당!$B$15:$F$64,MATCH($G1963,설정_코스수당!$A$15:$A$64,0),MATCH($E1963&amp;"수당",설정_코스수당!$B$14:$F$14,0)),0),0)</f>
        <v>0</v>
      </c>
      <c r="L1963" s="33">
        <f t="array" ref="L1963">IF($O1963="방문완료",IF($H1963="",0,IFERROR(INDEX(설정_코스수당!$B$15:$F$64,MATCH($H1963,설정_코스수당!$A$15:$A$64,0),MATCH($E1963&amp;"수당",설정_코스수당!$B$14:$F$14,0)),0)),0)</f>
        <v>0</v>
      </c>
      <c r="M1963" s="33">
        <f>IF($O1963="방문완료",IFERROR(VLOOKUP($E1963,설정_코스수당!$A$6:$H$10,6,FALSE),0),0)</f>
        <v>0</v>
      </c>
      <c r="N1963" s="34">
        <f t="shared" si="56"/>
        <v>0</v>
      </c>
      <c r="O1963" s="29"/>
      <c r="P1963" s="29"/>
      <c r="Q1963" s="29"/>
      <c r="R1963" s="32"/>
      <c r="S1963" s="29"/>
    </row>
    <row r="1964" spans="1:19" ht="19.5" hidden="1" customHeight="1" outlineLevel="1">
      <c r="A1964" s="23">
        <v>97</v>
      </c>
      <c r="B1964" s="24">
        <f>IF(19&lt;=DAY(DATE(YEAR(설정_코스수당!$K$2),MONTH(설정_코스수당!$K$2)+1,0)),DATE(YEAR(설정_코스수당!$K$2),MONTH(설정_코스수당!$K$2),19),"")</f>
        <v>46192</v>
      </c>
      <c r="C1964" s="25"/>
      <c r="D1964" s="23"/>
      <c r="E1964" s="23"/>
      <c r="F1964" s="26"/>
      <c r="G1964" s="23"/>
      <c r="H1964" s="23"/>
      <c r="I1964" s="23"/>
      <c r="J1964" s="27">
        <f>IF($O1964="방문완료",MAX(0,IFERROR(VLOOKUP($E1964,설정_코스수당!$A$6:$H$10,4,FALSE),0)-IF(OR($P1964="",$P1964="없음"),0,100000)),0)</f>
        <v>0</v>
      </c>
      <c r="K1964" s="27">
        <f t="array" ref="K1964">IF($O1964="방문완료",IFERROR(INDEX(설정_코스수당!$B$15:$F$64,MATCH($G1964,설정_코스수당!$A$15:$A$64,0),MATCH($E1964&amp;"수당",설정_코스수당!$B$14:$F$14,0)),0),0)</f>
        <v>0</v>
      </c>
      <c r="L1964" s="27">
        <f t="array" ref="L1964">IF($O1964="방문완료",IF($H1964="",0,IFERROR(INDEX(설정_코스수당!$B$15:$F$64,MATCH($H1964,설정_코스수당!$A$15:$A$64,0),MATCH($E1964&amp;"수당",설정_코스수당!$B$14:$F$14,0)),0)),0)</f>
        <v>0</v>
      </c>
      <c r="M1964" s="27">
        <f>IF($O1964="방문완료",IFERROR(VLOOKUP($E1964,설정_코스수당!$A$6:$H$10,6,FALSE),0),0)</f>
        <v>0</v>
      </c>
      <c r="N1964" s="28">
        <f t="shared" si="56"/>
        <v>0</v>
      </c>
      <c r="O1964" s="23"/>
      <c r="P1964" s="23"/>
      <c r="Q1964" s="23"/>
      <c r="R1964" s="26"/>
      <c r="S1964" s="23"/>
    </row>
    <row r="1965" spans="1:19" ht="19.5" hidden="1" customHeight="1" outlineLevel="1">
      <c r="A1965" s="29">
        <v>98</v>
      </c>
      <c r="B1965" s="30">
        <f>IF(19&lt;=DAY(DATE(YEAR(설정_코스수당!$K$2),MONTH(설정_코스수당!$K$2)+1,0)),DATE(YEAR(설정_코스수당!$K$2),MONTH(설정_코스수당!$K$2),19),"")</f>
        <v>46192</v>
      </c>
      <c r="C1965" s="31"/>
      <c r="D1965" s="29"/>
      <c r="E1965" s="29"/>
      <c r="F1965" s="32"/>
      <c r="G1965" s="29"/>
      <c r="H1965" s="29"/>
      <c r="I1965" s="29"/>
      <c r="J1965" s="33">
        <f>IF($O1965="방문완료",MAX(0,IFERROR(VLOOKUP($E1965,설정_코스수당!$A$6:$H$10,4,FALSE),0)-IF(OR($P1965="",$P1965="없음"),0,100000)),0)</f>
        <v>0</v>
      </c>
      <c r="K1965" s="33">
        <f t="array" ref="K1965">IF($O1965="방문완료",IFERROR(INDEX(설정_코스수당!$B$15:$F$64,MATCH($G1965,설정_코스수당!$A$15:$A$64,0),MATCH($E1965&amp;"수당",설정_코스수당!$B$14:$F$14,0)),0),0)</f>
        <v>0</v>
      </c>
      <c r="L1965" s="33">
        <f t="array" ref="L1965">IF($O1965="방문완료",IF($H1965="",0,IFERROR(INDEX(설정_코스수당!$B$15:$F$64,MATCH($H1965,설정_코스수당!$A$15:$A$64,0),MATCH($E1965&amp;"수당",설정_코스수당!$B$14:$F$14,0)),0)),0)</f>
        <v>0</v>
      </c>
      <c r="M1965" s="33">
        <f>IF($O1965="방문완료",IFERROR(VLOOKUP($E1965,설정_코스수당!$A$6:$H$10,6,FALSE),0),0)</f>
        <v>0</v>
      </c>
      <c r="N1965" s="34">
        <f t="shared" si="56"/>
        <v>0</v>
      </c>
      <c r="O1965" s="29"/>
      <c r="P1965" s="29"/>
      <c r="Q1965" s="29"/>
      <c r="R1965" s="32"/>
      <c r="S1965" s="29"/>
    </row>
    <row r="1966" spans="1:19" ht="19.5" hidden="1" customHeight="1" outlineLevel="1">
      <c r="A1966" s="23">
        <v>99</v>
      </c>
      <c r="B1966" s="24">
        <f>IF(19&lt;=DAY(DATE(YEAR(설정_코스수당!$K$2),MONTH(설정_코스수당!$K$2)+1,0)),DATE(YEAR(설정_코스수당!$K$2),MONTH(설정_코스수당!$K$2),19),"")</f>
        <v>46192</v>
      </c>
      <c r="C1966" s="25"/>
      <c r="D1966" s="23"/>
      <c r="E1966" s="23"/>
      <c r="F1966" s="26"/>
      <c r="G1966" s="23"/>
      <c r="H1966" s="23"/>
      <c r="I1966" s="23"/>
      <c r="J1966" s="27">
        <f>IF($O1966="방문완료",MAX(0,IFERROR(VLOOKUP($E1966,설정_코스수당!$A$6:$H$10,4,FALSE),0)-IF(OR($P1966="",$P1966="없음"),0,100000)),0)</f>
        <v>0</v>
      </c>
      <c r="K1966" s="27">
        <f t="array" ref="K1966">IF($O1966="방문완료",IFERROR(INDEX(설정_코스수당!$B$15:$F$64,MATCH($G1966,설정_코스수당!$A$15:$A$64,0),MATCH($E1966&amp;"수당",설정_코스수당!$B$14:$F$14,0)),0),0)</f>
        <v>0</v>
      </c>
      <c r="L1966" s="27">
        <f t="array" ref="L1966">IF($O1966="방문완료",IF($H1966="",0,IFERROR(INDEX(설정_코스수당!$B$15:$F$64,MATCH($H1966,설정_코스수당!$A$15:$A$64,0),MATCH($E1966&amp;"수당",설정_코스수당!$B$14:$F$14,0)),0)),0)</f>
        <v>0</v>
      </c>
      <c r="M1966" s="27">
        <f>IF($O1966="방문완료",IFERROR(VLOOKUP($E1966,설정_코스수당!$A$6:$H$10,6,FALSE),0),0)</f>
        <v>0</v>
      </c>
      <c r="N1966" s="28">
        <f t="shared" si="56"/>
        <v>0</v>
      </c>
      <c r="O1966" s="23"/>
      <c r="P1966" s="23"/>
      <c r="Q1966" s="23"/>
      <c r="R1966" s="26"/>
      <c r="S1966" s="23"/>
    </row>
    <row r="1967" spans="1:19" ht="19.5" hidden="1" customHeight="1" outlineLevel="1">
      <c r="A1967" s="29">
        <v>100</v>
      </c>
      <c r="B1967" s="30">
        <f>IF(19&lt;=DAY(DATE(YEAR(설정_코스수당!$K$2),MONTH(설정_코스수당!$K$2)+1,0)),DATE(YEAR(설정_코스수당!$K$2),MONTH(설정_코스수당!$K$2),19),"")</f>
        <v>46192</v>
      </c>
      <c r="C1967" s="31"/>
      <c r="D1967" s="29"/>
      <c r="E1967" s="29"/>
      <c r="F1967" s="32"/>
      <c r="G1967" s="29"/>
      <c r="H1967" s="29"/>
      <c r="I1967" s="29"/>
      <c r="J1967" s="33">
        <f>IF($O1967="방문완료",MAX(0,IFERROR(VLOOKUP($E1967,설정_코스수당!$A$6:$H$10,4,FALSE),0)-IF(OR($P1967="",$P1967="없음"),0,100000)),0)</f>
        <v>0</v>
      </c>
      <c r="K1967" s="33">
        <f t="array" ref="K1967">IF($O1967="방문완료",IFERROR(INDEX(설정_코스수당!$B$15:$F$64,MATCH($G1967,설정_코스수당!$A$15:$A$64,0),MATCH($E1967&amp;"수당",설정_코스수당!$B$14:$F$14,0)),0),0)</f>
        <v>0</v>
      </c>
      <c r="L1967" s="33">
        <f t="array" ref="L1967">IF($O1967="방문완료",IF($H1967="",0,IFERROR(INDEX(설정_코스수당!$B$15:$F$64,MATCH($H1967,설정_코스수당!$A$15:$A$64,0),MATCH($E1967&amp;"수당",설정_코스수당!$B$14:$F$14,0)),0)),0)</f>
        <v>0</v>
      </c>
      <c r="M1967" s="33">
        <f>IF($O1967="방문완료",IFERROR(VLOOKUP($E1967,설정_코스수당!$A$6:$H$10,6,FALSE),0),0)</f>
        <v>0</v>
      </c>
      <c r="N1967" s="34">
        <f t="shared" si="56"/>
        <v>0</v>
      </c>
      <c r="O1967" s="29"/>
      <c r="P1967" s="29"/>
      <c r="Q1967" s="29"/>
      <c r="R1967" s="32"/>
      <c r="S1967" s="29"/>
    </row>
    <row r="1968" spans="1:19" ht="19.5" hidden="1" customHeight="1" outlineLevel="1">
      <c r="A1968" s="36" t="s">
        <v>79</v>
      </c>
      <c r="B1968" s="37"/>
      <c r="C1968" s="38"/>
      <c r="D1968" s="37"/>
      <c r="E1968" s="37"/>
      <c r="F1968" s="37"/>
      <c r="G1968" s="37"/>
      <c r="H1968" s="37"/>
      <c r="I1968" s="37"/>
      <c r="J1968" s="37">
        <f>IF($O1968="방문완료",MAX(0,IFERROR(VLOOKUP($E1968,설정_코스수당!$A$6:$H$10,4,FALSE),0)-IF(OR($P1968="",$P1968="없음"),0,100000)),0)</f>
        <v>0</v>
      </c>
      <c r="O1968" s="18"/>
      <c r="P1968" s="14"/>
      <c r="Q1968" s="18"/>
      <c r="S1968" s="18"/>
    </row>
    <row r="1969" spans="1:27" ht="21" customHeight="1" collapsed="1">
      <c r="A1969" s="123" t="str">
        <f>IF(20&lt;=DAY(DATE(YEAR(설정_코스수당!$K$2),MONTH(설정_코스수당!$K$2)+1,0)),TEXT(DATE(YEAR(설정_코스수당!$K$2),MONTH(설정_코스수당!$K$2),20),"yyyy-mm-dd")&amp;"  |  예약관리 100슬롯","")</f>
        <v>2026-06-20  |  예약관리 100슬롯</v>
      </c>
      <c r="B1969" s="124"/>
      <c r="C1969" s="124"/>
      <c r="D1969" s="124"/>
      <c r="E1969" s="124"/>
      <c r="F1969" s="124"/>
      <c r="G1969" s="124"/>
      <c r="H1969" s="124"/>
      <c r="I1969" s="124"/>
      <c r="J1969" s="124"/>
      <c r="K1969" s="124"/>
      <c r="L1969" s="124"/>
      <c r="M1969" s="124"/>
      <c r="N1969" s="124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19"/>
      <c r="AA1969" s="19"/>
    </row>
    <row r="1970" spans="1:27" ht="19.5" hidden="1" customHeight="1" outlineLevel="1">
      <c r="A1970" s="20" t="s">
        <v>41</v>
      </c>
      <c r="B1970" s="20" t="s">
        <v>42</v>
      </c>
      <c r="C1970" s="39" t="s">
        <v>43</v>
      </c>
      <c r="D1970" s="20" t="s">
        <v>44</v>
      </c>
      <c r="E1970" s="20" t="s">
        <v>45</v>
      </c>
      <c r="F1970" s="20" t="s">
        <v>46</v>
      </c>
      <c r="G1970" s="20" t="s">
        <v>47</v>
      </c>
      <c r="H1970" s="20" t="s">
        <v>48</v>
      </c>
      <c r="I1970" s="20" t="s">
        <v>49</v>
      </c>
      <c r="J1970" s="20" t="s">
        <v>50</v>
      </c>
      <c r="K1970" s="20" t="s">
        <v>51</v>
      </c>
      <c r="L1970" s="20" t="s">
        <v>52</v>
      </c>
      <c r="M1970" s="20" t="s">
        <v>53</v>
      </c>
      <c r="N1970" s="20" t="s">
        <v>54</v>
      </c>
      <c r="O1970" s="20" t="s">
        <v>55</v>
      </c>
      <c r="P1970" s="20" t="s">
        <v>56</v>
      </c>
      <c r="Q1970" s="18"/>
      <c r="R1970" s="20" t="s">
        <v>58</v>
      </c>
      <c r="S1970" s="20" t="s">
        <v>59</v>
      </c>
      <c r="U1970" s="122" t="str">
        <f>IF(20&lt;=DAY(DATE(YEAR(설정_코스수당!$K$2),MONTH(설정_코스수당!$K$2)+1,0)),TEXT(DATE(YEAR(설정_코스수당!$K$2),MONTH(설정_코스수당!$K$2),20),"yyyy-mm-dd")&amp;" 일일 상태","")</f>
        <v>2026-06-20 일일 상태</v>
      </c>
      <c r="V1970" s="125"/>
      <c r="W1970" s="122" t="s">
        <v>3</v>
      </c>
      <c r="X1970" s="125"/>
    </row>
    <row r="1971" spans="1:27" ht="19.5" hidden="1" customHeight="1" outlineLevel="1">
      <c r="A1971" s="23">
        <v>1</v>
      </c>
      <c r="B1971" s="24">
        <f>IF(20&lt;=DAY(DATE(YEAR(설정_코스수당!$K$2),MONTH(설정_코스수당!$K$2)+1,0)),DATE(YEAR(설정_코스수당!$K$2),MONTH(설정_코스수당!$K$2),20),"")</f>
        <v>46193</v>
      </c>
      <c r="C1971" s="25"/>
      <c r="D1971" s="23"/>
      <c r="E1971" s="23"/>
      <c r="F1971" s="26"/>
      <c r="G1971" s="23"/>
      <c r="H1971" s="23"/>
      <c r="I1971" s="23"/>
      <c r="J1971" s="27">
        <f>IF($O1971="방문완료",MAX(0,IFERROR(VLOOKUP($E1971,설정_코스수당!$A$6:$H$10,4,FALSE),0)-IF(OR($P1971="",$P1971="없음"),0,100000)),0)</f>
        <v>0</v>
      </c>
      <c r="K1971" s="27">
        <f t="array" ref="K1971">IF($O1971="방문완료",IFERROR(INDEX(설정_코스수당!$B$15:$F$64,MATCH($G1971,설정_코스수당!$A$15:$A$64,0),MATCH($E1971&amp;"수당",설정_코스수당!$B$14:$F$14,0)),0),0)</f>
        <v>0</v>
      </c>
      <c r="L1971" s="27">
        <f t="array" ref="L1971">IF($O1971="방문완료",IF($H1971="",0,IFERROR(INDEX(설정_코스수당!$B$15:$F$64,MATCH($H1971,설정_코스수당!$A$15:$A$64,0),MATCH($E1971&amp;"수당",설정_코스수당!$B$14:$F$14,0)),0)),0)</f>
        <v>0</v>
      </c>
      <c r="M1971" s="27">
        <f>IF($O1971="방문완료",IFERROR(VLOOKUP($E1971,설정_코스수당!$A$6:$H$10,6,FALSE),0),0)</f>
        <v>0</v>
      </c>
      <c r="N1971" s="28">
        <f t="shared" ref="N1971:N2002" si="57">IF($O1971="방문완료",1,0)</f>
        <v>0</v>
      </c>
      <c r="O1971" s="23"/>
      <c r="P1971" s="23"/>
      <c r="Q1971" s="23"/>
      <c r="R1971" s="26"/>
      <c r="S1971" s="23"/>
      <c r="U1971" s="104" t="s">
        <v>63</v>
      </c>
      <c r="V1971" s="105">
        <f>IF(20&lt;=DAY(DATE(YEAR(설정_코스수당!$K$2),MONTH(설정_코스수당!$K$2)+1,0)),COUNTIFS($B:$B,DATE(YEAR(설정_코스수당!$K$2),MONTH(설정_코스수당!$K$2),20),$O:$O,"&lt;&gt;"),"")</f>
        <v>0</v>
      </c>
      <c r="W1971" s="104" t="s">
        <v>6</v>
      </c>
      <c r="X1971" s="105">
        <f>IF(20&lt;=DAY(DATE(YEAR(설정_코스수당!$K$2),MONTH(설정_코스수당!$K$2)+1,0)),COUNTIFS($B:$B,DATE(YEAR(설정_코스수당!$K$2),MONTH(설정_코스수당!$K$2),20),$E:$E,"A",$O:$O,"방문완료"),"")</f>
        <v>0</v>
      </c>
    </row>
    <row r="1972" spans="1:27" ht="19.5" hidden="1" customHeight="1" outlineLevel="1">
      <c r="A1972" s="29">
        <v>2</v>
      </c>
      <c r="B1972" s="30">
        <f>IF(20&lt;=DAY(DATE(YEAR(설정_코스수당!$K$2),MONTH(설정_코스수당!$K$2)+1,0)),DATE(YEAR(설정_코스수당!$K$2),MONTH(설정_코스수당!$K$2),20),"")</f>
        <v>46193</v>
      </c>
      <c r="C1972" s="31"/>
      <c r="D1972" s="29"/>
      <c r="E1972" s="29"/>
      <c r="F1972" s="32"/>
      <c r="G1972" s="29"/>
      <c r="H1972" s="29"/>
      <c r="I1972" s="29"/>
      <c r="J1972" s="33">
        <f>IF($O1972="방문완료",MAX(0,IFERROR(VLOOKUP($E1972,설정_코스수당!$A$6:$H$10,4,FALSE),0)-IF(OR($P1972="",$P1972="없음"),0,100000)),0)</f>
        <v>0</v>
      </c>
      <c r="K1972" s="33">
        <f t="array" ref="K1972">IF($O1972="방문완료",IFERROR(INDEX(설정_코스수당!$B$15:$F$64,MATCH($G1972,설정_코스수당!$A$15:$A$64,0),MATCH($E1972&amp;"수당",설정_코스수당!$B$14:$F$14,0)),0),0)</f>
        <v>0</v>
      </c>
      <c r="L1972" s="33">
        <f t="array" ref="L1972">IF($O1972="방문완료",IF($H1972="",0,IFERROR(INDEX(설정_코스수당!$B$15:$F$64,MATCH($H1972,설정_코스수당!$A$15:$A$64,0),MATCH($E1972&amp;"수당",설정_코스수당!$B$14:$F$14,0)),0)),0)</f>
        <v>0</v>
      </c>
      <c r="M1972" s="33">
        <f>IF($O1972="방문완료",IFERROR(VLOOKUP($E1972,설정_코스수당!$A$6:$H$10,6,FALSE),0),0)</f>
        <v>0</v>
      </c>
      <c r="N1972" s="34">
        <f t="shared" si="57"/>
        <v>0</v>
      </c>
      <c r="O1972" s="29"/>
      <c r="P1972" s="29"/>
      <c r="Q1972" s="29"/>
      <c r="R1972" s="32"/>
      <c r="S1972" s="29"/>
      <c r="U1972" s="104" t="s">
        <v>62</v>
      </c>
      <c r="V1972" s="105">
        <f>IF(20&lt;=DAY(DATE(YEAR(설정_코스수당!$K$2),MONTH(설정_코스수당!$K$2)+1,0)),COUNTIFS($B:$B,DATE(YEAR(설정_코스수당!$K$2),MONTH(설정_코스수당!$K$2),20),$O:$O,"방문완료"),"")</f>
        <v>0</v>
      </c>
      <c r="W1972" s="104" t="s">
        <v>9</v>
      </c>
      <c r="X1972" s="105">
        <f>IF(20&lt;=DAY(DATE(YEAR(설정_코스수당!$K$2),MONTH(설정_코스수당!$K$2)+1,0)),COUNTIFS($B:$B,DATE(YEAR(설정_코스수당!$K$2),MONTH(설정_코스수당!$K$2),20),$E:$E,"B",$O:$O,"방문완료"),"")</f>
        <v>0</v>
      </c>
    </row>
    <row r="1973" spans="1:27" ht="19.5" hidden="1" customHeight="1" outlineLevel="1">
      <c r="A1973" s="23">
        <v>3</v>
      </c>
      <c r="B1973" s="24">
        <f>IF(20&lt;=DAY(DATE(YEAR(설정_코스수당!$K$2),MONTH(설정_코스수당!$K$2)+1,0)),DATE(YEAR(설정_코스수당!$K$2),MONTH(설정_코스수당!$K$2),20),"")</f>
        <v>46193</v>
      </c>
      <c r="C1973" s="25"/>
      <c r="D1973" s="23"/>
      <c r="E1973" s="23"/>
      <c r="F1973" s="26"/>
      <c r="G1973" s="23"/>
      <c r="H1973" s="23"/>
      <c r="I1973" s="23"/>
      <c r="J1973" s="27">
        <f>IF($O1973="방문완료",MAX(0,IFERROR(VLOOKUP($E1973,설정_코스수당!$A$6:$H$10,4,FALSE),0)-IF(OR($P1973="",$P1973="없음"),0,100000)),0)</f>
        <v>0</v>
      </c>
      <c r="K1973" s="27">
        <f t="array" ref="K1973">IF($O1973="방문완료",IFERROR(INDEX(설정_코스수당!$B$15:$F$64,MATCH($G1973,설정_코스수당!$A$15:$A$64,0),MATCH($E1973&amp;"수당",설정_코스수당!$B$14:$F$14,0)),0),0)</f>
        <v>0</v>
      </c>
      <c r="L1973" s="27">
        <f t="array" ref="L1973">IF($O1973="방문완료",IF($H1973="",0,IFERROR(INDEX(설정_코스수당!$B$15:$F$64,MATCH($H1973,설정_코스수당!$A$15:$A$64,0),MATCH($E1973&amp;"수당",설정_코스수당!$B$14:$F$14,0)),0)),0)</f>
        <v>0</v>
      </c>
      <c r="M1973" s="27">
        <f>IF($O1973="방문완료",IFERROR(VLOOKUP($E1973,설정_코스수당!$A$6:$H$10,6,FALSE),0),0)</f>
        <v>0</v>
      </c>
      <c r="N1973" s="28">
        <f t="shared" si="57"/>
        <v>0</v>
      </c>
      <c r="O1973" s="23"/>
      <c r="P1973" s="23"/>
      <c r="Q1973" s="23"/>
      <c r="R1973" s="26"/>
      <c r="S1973" s="23"/>
      <c r="U1973" s="104" t="s">
        <v>68</v>
      </c>
      <c r="V1973" s="105" t="str">
        <f>IF(20&lt;=DAY(DATE(YEAR(설정_코스수당!$K$2),MONTH(설정_코스수당!$K$2)+1,0)),COUNTIFS($B:$B,DATE(YEAR(설정_코스수당!$K$2),MONTH(설정_코스수당!$K$2),20),$O:$O,"노쇼")&amp;"/"&amp;COUNTIFS($B:$B,DATE(YEAR(설정_코스수당!$K$2),MONTH(설정_코스수당!$K$2),20),$O:$O,"취소"),"")</f>
        <v>0/0</v>
      </c>
      <c r="W1973" s="104" t="s">
        <v>12</v>
      </c>
      <c r="X1973" s="105">
        <f>IF(20&lt;=DAY(DATE(YEAR(설정_코스수당!$K$2),MONTH(설정_코스수당!$K$2)+1,0)),COUNTIFS($B:$B,DATE(YEAR(설정_코스수당!$K$2),MONTH(설정_코스수당!$K$2),20),$E:$E,"C",$O:$O,"방문완료"),"")</f>
        <v>0</v>
      </c>
    </row>
    <row r="1974" spans="1:27" ht="19.5" hidden="1" customHeight="1" outlineLevel="1">
      <c r="A1974" s="29">
        <v>4</v>
      </c>
      <c r="B1974" s="30">
        <f>IF(20&lt;=DAY(DATE(YEAR(설정_코스수당!$K$2),MONTH(설정_코스수당!$K$2)+1,0)),DATE(YEAR(설정_코스수당!$K$2),MONTH(설정_코스수당!$K$2),20),"")</f>
        <v>46193</v>
      </c>
      <c r="C1974" s="31"/>
      <c r="D1974" s="29"/>
      <c r="E1974" s="29"/>
      <c r="F1974" s="32"/>
      <c r="G1974" s="29"/>
      <c r="H1974" s="29"/>
      <c r="I1974" s="29"/>
      <c r="J1974" s="33">
        <f>IF($O1974="방문완료",MAX(0,IFERROR(VLOOKUP($E1974,설정_코스수당!$A$6:$H$10,4,FALSE),0)-IF(OR($P1974="",$P1974="없음"),0,100000)),0)</f>
        <v>0</v>
      </c>
      <c r="K1974" s="33">
        <f t="array" ref="K1974">IF($O1974="방문완료",IFERROR(INDEX(설정_코스수당!$B$15:$F$64,MATCH($G1974,설정_코스수당!$A$15:$A$64,0),MATCH($E1974&amp;"수당",설정_코스수당!$B$14:$F$14,0)),0),0)</f>
        <v>0</v>
      </c>
      <c r="L1974" s="33">
        <f t="array" ref="L1974">IF($O1974="방문완료",IF($H1974="",0,IFERROR(INDEX(설정_코스수당!$B$15:$F$64,MATCH($H1974,설정_코스수당!$A$15:$A$64,0),MATCH($E1974&amp;"수당",설정_코스수당!$B$14:$F$14,0)),0)),0)</f>
        <v>0</v>
      </c>
      <c r="M1974" s="33">
        <f>IF($O1974="방문완료",IFERROR(VLOOKUP($E1974,설정_코스수당!$A$6:$H$10,6,FALSE),0),0)</f>
        <v>0</v>
      </c>
      <c r="N1974" s="34">
        <f t="shared" si="57"/>
        <v>0</v>
      </c>
      <c r="O1974" s="29"/>
      <c r="P1974" s="29"/>
      <c r="Q1974" s="29"/>
      <c r="R1974" s="32"/>
      <c r="S1974" s="29"/>
      <c r="U1974" s="104" t="s">
        <v>69</v>
      </c>
      <c r="V1974" s="106">
        <f>IF(20&lt;=DAY(DATE(YEAR(설정_코스수당!$K$2),MONTH(설정_코스수당!$K$2)+1,0)),SUMIFS($J:$J,$B:$B,DATE(YEAR(설정_코스수당!$K$2),MONTH(설정_코스수당!$K$2),20),$O:$O,"방문완료"),"")</f>
        <v>0</v>
      </c>
      <c r="W1974" s="104" t="s">
        <v>15</v>
      </c>
      <c r="X1974" s="105">
        <f>IF(20&lt;=DAY(DATE(YEAR(설정_코스수당!$K$2),MONTH(설정_코스수당!$K$2)+1,0)),COUNTIFS($B:$B,DATE(YEAR(설정_코스수당!$K$2),MONTH(설정_코스수당!$K$2),20),$E:$E,"D",$O:$O,"방문완료"),"")</f>
        <v>0</v>
      </c>
    </row>
    <row r="1975" spans="1:27" ht="19.5" hidden="1" customHeight="1" outlineLevel="1">
      <c r="A1975" s="23">
        <v>5</v>
      </c>
      <c r="B1975" s="24">
        <f>IF(20&lt;=DAY(DATE(YEAR(설정_코스수당!$K$2),MONTH(설정_코스수당!$K$2)+1,0)),DATE(YEAR(설정_코스수당!$K$2),MONTH(설정_코스수당!$K$2),20),"")</f>
        <v>46193</v>
      </c>
      <c r="C1975" s="25"/>
      <c r="D1975" s="23"/>
      <c r="E1975" s="23"/>
      <c r="F1975" s="26"/>
      <c r="G1975" s="23"/>
      <c r="H1975" s="23"/>
      <c r="I1975" s="23"/>
      <c r="J1975" s="27">
        <f>IF($O1975="방문완료",MAX(0,IFERROR(VLOOKUP($E1975,설정_코스수당!$A$6:$H$10,4,FALSE),0)-IF(OR($P1975="",$P1975="없음"),0,100000)),0)</f>
        <v>0</v>
      </c>
      <c r="K1975" s="27">
        <f t="array" ref="K1975">IF($O1975="방문완료",IFERROR(INDEX(설정_코스수당!$B$15:$F$64,MATCH($G1975,설정_코스수당!$A$15:$A$64,0),MATCH($E1975&amp;"수당",설정_코스수당!$B$14:$F$14,0)),0),0)</f>
        <v>0</v>
      </c>
      <c r="L1975" s="27">
        <f t="array" ref="L1975">IF($O1975="방문완료",IF($H1975="",0,IFERROR(INDEX(설정_코스수당!$B$15:$F$64,MATCH($H1975,설정_코스수당!$A$15:$A$64,0),MATCH($E1975&amp;"수당",설정_코스수당!$B$14:$F$14,0)),0)),0)</f>
        <v>0</v>
      </c>
      <c r="M1975" s="27">
        <f>IF($O1975="방문완료",IFERROR(VLOOKUP($E1975,설정_코스수당!$A$6:$H$10,6,FALSE),0),0)</f>
        <v>0</v>
      </c>
      <c r="N1975" s="28">
        <f t="shared" si="57"/>
        <v>0</v>
      </c>
      <c r="O1975" s="23"/>
      <c r="P1975" s="23"/>
      <c r="Q1975" s="23"/>
      <c r="R1975" s="26"/>
      <c r="S1975" s="23"/>
      <c r="U1975" s="104" t="s">
        <v>70</v>
      </c>
      <c r="V1975" s="106">
        <f>IF(20&lt;=DAY(DATE(YEAR(설정_코스수당!$K$2),MONTH(설정_코스수당!$K$2)+1,0)),SUMIFS($K:$K,$B:$B,DATE(YEAR(설정_코스수당!$K$2),MONTH(설정_코스수당!$K$2),20),$O:$O,"방문완료")+SUMIFS($L:$L,$B:$B,DATE(YEAR(설정_코스수당!$K$2),MONTH(설정_코스수당!$K$2),20),$O:$O,"방문완료"),"")</f>
        <v>0</v>
      </c>
      <c r="W1975" s="104" t="s">
        <v>18</v>
      </c>
      <c r="X1975" s="105">
        <f>IF(20&lt;=DAY(DATE(YEAR(설정_코스수당!$K$2),MONTH(설정_코스수당!$K$2)+1,0)),COUNTIFS($B:$B,DATE(YEAR(설정_코스수당!$K$2),MONTH(설정_코스수당!$K$2),20),$E:$E,"E",$O:$O,"방문완료"),"")</f>
        <v>0</v>
      </c>
    </row>
    <row r="1976" spans="1:27" ht="19.5" hidden="1" customHeight="1" outlineLevel="1">
      <c r="A1976" s="29">
        <v>6</v>
      </c>
      <c r="B1976" s="30">
        <f>IF(20&lt;=DAY(DATE(YEAR(설정_코스수당!$K$2),MONTH(설정_코스수당!$K$2)+1,0)),DATE(YEAR(설정_코스수당!$K$2),MONTH(설정_코스수당!$K$2),20),"")</f>
        <v>46193</v>
      </c>
      <c r="C1976" s="31"/>
      <c r="D1976" s="29"/>
      <c r="E1976" s="29"/>
      <c r="F1976" s="32"/>
      <c r="G1976" s="29"/>
      <c r="H1976" s="29"/>
      <c r="I1976" s="29"/>
      <c r="J1976" s="33">
        <f>IF($O1976="방문완료",MAX(0,IFERROR(VLOOKUP($E1976,설정_코스수당!$A$6:$H$10,4,FALSE),0)-IF(OR($P1976="",$P1976="없음"),0,100000)),0)</f>
        <v>0</v>
      </c>
      <c r="K1976" s="33">
        <f t="array" ref="K1976">IF($O1976="방문완료",IFERROR(INDEX(설정_코스수당!$B$15:$F$64,MATCH($G1976,설정_코스수당!$A$15:$A$64,0),MATCH($E1976&amp;"수당",설정_코스수당!$B$14:$F$14,0)),0),0)</f>
        <v>0</v>
      </c>
      <c r="L1976" s="33">
        <f t="array" ref="L1976">IF($O1976="방문완료",IF($H1976="",0,IFERROR(INDEX(설정_코스수당!$B$15:$F$64,MATCH($H1976,설정_코스수당!$A$15:$A$64,0),MATCH($E1976&amp;"수당",설정_코스수당!$B$14:$F$14,0)),0)),0)</f>
        <v>0</v>
      </c>
      <c r="M1976" s="33">
        <f>IF($O1976="방문완료",IFERROR(VLOOKUP($E1976,설정_코스수당!$A$6:$H$10,6,FALSE),0),0)</f>
        <v>0</v>
      </c>
      <c r="N1976" s="34">
        <f t="shared" si="57"/>
        <v>0</v>
      </c>
      <c r="O1976" s="29"/>
      <c r="P1976" s="29"/>
      <c r="Q1976" s="29"/>
      <c r="R1976" s="32"/>
      <c r="S1976" s="29"/>
      <c r="U1976" s="104" t="s">
        <v>53</v>
      </c>
      <c r="V1976" s="106">
        <f>IF(20&lt;=DAY(DATE(YEAR(설정_코스수당!$K$2),MONTH(설정_코스수당!$K$2)+1,0)),SUMIFS($M:$M,$B:$B,DATE(YEAR(설정_코스수당!$K$2),MONTH(설정_코스수당!$K$2),20),$O:$O,"방문완료"),"")</f>
        <v>0</v>
      </c>
      <c r="W1976" s="104" t="s">
        <v>71</v>
      </c>
      <c r="X1976" s="107">
        <f>IF(20&lt;=DAY(DATE(YEAR(설정_코스수당!$K$2),MONTH(설정_코스수당!$K$2)+1,0)),COUNTIFS($B:$B,DATE(YEAR(설정_코스수당!$K$2),MONTH(설정_코스수당!$K$2),20),$O:$O,"방문완료",$P:$P,"&lt;&gt;",$P:$P,"&lt;&gt;없음"),"")</f>
        <v>0</v>
      </c>
    </row>
    <row r="1977" spans="1:27" ht="19.5" hidden="1" customHeight="1" outlineLevel="1">
      <c r="A1977" s="23">
        <v>7</v>
      </c>
      <c r="B1977" s="24">
        <f>IF(20&lt;=DAY(DATE(YEAR(설정_코스수당!$K$2),MONTH(설정_코스수당!$K$2)+1,0)),DATE(YEAR(설정_코스수당!$K$2),MONTH(설정_코스수당!$K$2),20),"")</f>
        <v>46193</v>
      </c>
      <c r="C1977" s="25"/>
      <c r="D1977" s="23"/>
      <c r="E1977" s="23"/>
      <c r="F1977" s="26"/>
      <c r="G1977" s="23"/>
      <c r="H1977" s="23"/>
      <c r="I1977" s="23"/>
      <c r="J1977" s="27">
        <f>IF($O1977="방문완료",MAX(0,IFERROR(VLOOKUP($E1977,설정_코스수당!$A$6:$H$10,4,FALSE),0)-IF(OR($P1977="",$P1977="없음"),0,100000)),0)</f>
        <v>0</v>
      </c>
      <c r="K1977" s="27">
        <f t="array" ref="K1977">IF($O1977="방문완료",IFERROR(INDEX(설정_코스수당!$B$15:$F$64,MATCH($G1977,설정_코스수당!$A$15:$A$64,0),MATCH($E1977&amp;"수당",설정_코스수당!$B$14:$F$14,0)),0),0)</f>
        <v>0</v>
      </c>
      <c r="L1977" s="27">
        <f t="array" ref="L1977">IF($O1977="방문완료",IF($H1977="",0,IFERROR(INDEX(설정_코스수당!$B$15:$F$64,MATCH($H1977,설정_코스수당!$A$15:$A$64,0),MATCH($E1977&amp;"수당",설정_코스수당!$B$14:$F$14,0)),0)),0)</f>
        <v>0</v>
      </c>
      <c r="M1977" s="27">
        <f>IF($O1977="방문완료",IFERROR(VLOOKUP($E1977,설정_코스수당!$A$6:$H$10,6,FALSE),0),0)</f>
        <v>0</v>
      </c>
      <c r="N1977" s="28">
        <f t="shared" si="57"/>
        <v>0</v>
      </c>
      <c r="O1977" s="23"/>
      <c r="P1977" s="23"/>
      <c r="Q1977" s="23"/>
      <c r="R1977" s="26"/>
      <c r="S1977" s="23"/>
      <c r="U1977" s="104" t="s">
        <v>72</v>
      </c>
      <c r="V1977" s="108">
        <f>IF(20&lt;=DAY(DATE(YEAR(설정_코스수당!$K$2),MONTH(설정_코스수당!$K$2)+1,0)),COUNTIFS($B:$B,DATE(YEAR(설정_코스수당!$K$2),MONTH(설정_코스수당!$K$2),20),$O:$O,"방문완료",$P:$P,"&lt;&gt;",$P:$P,"&lt;&gt;없음")*100000,"")</f>
        <v>0</v>
      </c>
      <c r="W1977" s="104" t="s">
        <v>73</v>
      </c>
      <c r="X1977" s="105">
        <f>IF(20&lt;=DAY(DATE(YEAR(설정_코스수당!$K$2),MONTH(설정_코스수당!$K$2)+1,0)),COUNTIFS($B:$B,DATE(YEAR(설정_코스수당!$K$2),MONTH(설정_코스수당!$K$2),20),$G:$G,"&lt;&gt;",$O:$O,"방문완료")+COUNTIFS($B:$B,DATE(YEAR(설정_코스수당!$K$2),MONTH(설정_코스수당!$K$2),20),$H:$H,"&lt;&gt;",$O:$O,"방문완료"),"")</f>
        <v>0</v>
      </c>
    </row>
    <row r="1978" spans="1:27" ht="19.5" hidden="1" customHeight="1" outlineLevel="1">
      <c r="A1978" s="29">
        <v>8</v>
      </c>
      <c r="B1978" s="30">
        <f>IF(20&lt;=DAY(DATE(YEAR(설정_코스수당!$K$2),MONTH(설정_코스수당!$K$2)+1,0)),DATE(YEAR(설정_코스수당!$K$2),MONTH(설정_코스수당!$K$2),20),"")</f>
        <v>46193</v>
      </c>
      <c r="C1978" s="31"/>
      <c r="D1978" s="29"/>
      <c r="E1978" s="29"/>
      <c r="F1978" s="32"/>
      <c r="G1978" s="29"/>
      <c r="H1978" s="29"/>
      <c r="I1978" s="29"/>
      <c r="J1978" s="33">
        <f>IF($O1978="방문완료",MAX(0,IFERROR(VLOOKUP($E1978,설정_코스수당!$A$6:$H$10,4,FALSE),0)-IF(OR($P1978="",$P1978="없음"),0,100000)),0)</f>
        <v>0</v>
      </c>
      <c r="K1978" s="33">
        <f t="array" ref="K1978">IF($O1978="방문완료",IFERROR(INDEX(설정_코스수당!$B$15:$F$64,MATCH($G1978,설정_코스수당!$A$15:$A$64,0),MATCH($E1978&amp;"수당",설정_코스수당!$B$14:$F$14,0)),0),0)</f>
        <v>0</v>
      </c>
      <c r="L1978" s="33">
        <f t="array" ref="L1978">IF($O1978="방문완료",IF($H1978="",0,IFERROR(INDEX(설정_코스수당!$B$15:$F$64,MATCH($H1978,설정_코스수당!$A$15:$A$64,0),MATCH($E1978&amp;"수당",설정_코스수당!$B$14:$F$14,0)),0)),0)</f>
        <v>0</v>
      </c>
      <c r="M1978" s="33">
        <f>IF($O1978="방문완료",IFERROR(VLOOKUP($E1978,설정_코스수당!$A$6:$H$10,6,FALSE),0),0)</f>
        <v>0</v>
      </c>
      <c r="N1978" s="34">
        <f t="shared" si="57"/>
        <v>0</v>
      </c>
      <c r="O1978" s="29"/>
      <c r="P1978" s="29"/>
      <c r="Q1978" s="29"/>
      <c r="R1978" s="32"/>
      <c r="S1978" s="29"/>
      <c r="U1978" s="104" t="s">
        <v>74</v>
      </c>
      <c r="V1978" s="108">
        <f>IF(20&lt;=DAY(DATE(YEAR(설정_코스수당!$K$2),MONTH(설정_코스수당!$K$2)+1,0)),SUM($U$1982:$U$1989),"")</f>
        <v>0</v>
      </c>
      <c r="W1978" s="122" t="str">
        <f>IF(20&lt;=DAY(DATE(YEAR(설정_코스수당!$K$2),MONTH(설정_코스수당!$K$2)+1,0)),"계 : "&amp;TEXT(V1974-V1978,"#,##0")&amp;" 동","")</f>
        <v>계 : 0 동</v>
      </c>
      <c r="X1978" s="122"/>
    </row>
    <row r="1979" spans="1:27" ht="19.5" hidden="1" customHeight="1" outlineLevel="1">
      <c r="A1979" s="23">
        <v>9</v>
      </c>
      <c r="B1979" s="24">
        <f>IF(20&lt;=DAY(DATE(YEAR(설정_코스수당!$K$2),MONTH(설정_코스수당!$K$2)+1,0)),DATE(YEAR(설정_코스수당!$K$2),MONTH(설정_코스수당!$K$2),20),"")</f>
        <v>46193</v>
      </c>
      <c r="C1979" s="25"/>
      <c r="D1979" s="23"/>
      <c r="E1979" s="23"/>
      <c r="F1979" s="26"/>
      <c r="G1979" s="23"/>
      <c r="H1979" s="23"/>
      <c r="I1979" s="23"/>
      <c r="J1979" s="27">
        <f>IF($O1979="방문완료",MAX(0,IFERROR(VLOOKUP($E1979,설정_코스수당!$A$6:$H$10,4,FALSE),0)-IF(OR($P1979="",$P1979="없음"),0,100000)),0)</f>
        <v>0</v>
      </c>
      <c r="K1979" s="27">
        <f t="array" ref="K1979">IF($O1979="방문완료",IFERROR(INDEX(설정_코스수당!$B$15:$F$64,MATCH($G1979,설정_코스수당!$A$15:$A$64,0),MATCH($E1979&amp;"수당",설정_코스수당!$B$14:$F$14,0)),0),0)</f>
        <v>0</v>
      </c>
      <c r="L1979" s="27">
        <f t="array" ref="L1979">IF($O1979="방문완료",IF($H1979="",0,IFERROR(INDEX(설정_코스수당!$B$15:$F$64,MATCH($H1979,설정_코스수당!$A$15:$A$64,0),MATCH($E1979&amp;"수당",설정_코스수당!$B$14:$F$14,0)),0)),0)</f>
        <v>0</v>
      </c>
      <c r="M1979" s="27">
        <f>IF($O1979="방문완료",IFERROR(VLOOKUP($E1979,설정_코스수당!$A$6:$H$10,6,FALSE),0),0)</f>
        <v>0</v>
      </c>
      <c r="N1979" s="28">
        <f t="shared" si="57"/>
        <v>0</v>
      </c>
      <c r="O1979" s="23"/>
      <c r="P1979" s="23"/>
      <c r="Q1979" s="23"/>
      <c r="R1979" s="26"/>
      <c r="S1979" s="23"/>
    </row>
    <row r="1980" spans="1:27" ht="19.5" hidden="1" customHeight="1" outlineLevel="1">
      <c r="A1980" s="29">
        <v>10</v>
      </c>
      <c r="B1980" s="30">
        <f>IF(20&lt;=DAY(DATE(YEAR(설정_코스수당!$K$2),MONTH(설정_코스수당!$K$2)+1,0)),DATE(YEAR(설정_코스수당!$K$2),MONTH(설정_코스수당!$K$2),20),"")</f>
        <v>46193</v>
      </c>
      <c r="C1980" s="31"/>
      <c r="D1980" s="29"/>
      <c r="E1980" s="29"/>
      <c r="F1980" s="32"/>
      <c r="G1980" s="29"/>
      <c r="H1980" s="29"/>
      <c r="I1980" s="29"/>
      <c r="J1980" s="33">
        <f>IF($O1980="방문완료",MAX(0,IFERROR(VLOOKUP($E1980,설정_코스수당!$A$6:$H$10,4,FALSE),0)-IF(OR($P1980="",$P1980="없음"),0,100000)),0)</f>
        <v>0</v>
      </c>
      <c r="K1980" s="33">
        <f t="array" ref="K1980">IF($O1980="방문완료",IFERROR(INDEX(설정_코스수당!$B$15:$F$64,MATCH($G1980,설정_코스수당!$A$15:$A$64,0),MATCH($E1980&amp;"수당",설정_코스수당!$B$14:$F$14,0)),0),0)</f>
        <v>0</v>
      </c>
      <c r="L1980" s="33">
        <f t="array" ref="L1980">IF($O1980="방문완료",IF($H1980="",0,IFERROR(INDEX(설정_코스수당!$B$15:$F$64,MATCH($H1980,설정_코스수당!$A$15:$A$64,0),MATCH($E1980&amp;"수당",설정_코스수당!$B$14:$F$14,0)),0)),0)</f>
        <v>0</v>
      </c>
      <c r="M1980" s="33">
        <f>IF($O1980="방문완료",IFERROR(VLOOKUP($E1980,설정_코스수당!$A$6:$H$10,6,FALSE),0),0)</f>
        <v>0</v>
      </c>
      <c r="N1980" s="34">
        <f t="shared" si="57"/>
        <v>0</v>
      </c>
      <c r="O1980" s="29"/>
      <c r="P1980" s="29"/>
      <c r="Q1980" s="29"/>
      <c r="R1980" s="32"/>
      <c r="S1980" s="29"/>
      <c r="U1980" s="120" t="s">
        <v>75</v>
      </c>
      <c r="V1980" s="121"/>
      <c r="W1980" s="121"/>
      <c r="X1980" s="121"/>
    </row>
    <row r="1981" spans="1:27" ht="19.5" hidden="1" customHeight="1" outlineLevel="1">
      <c r="A1981" s="23">
        <v>11</v>
      </c>
      <c r="B1981" s="24">
        <f>IF(20&lt;=DAY(DATE(YEAR(설정_코스수당!$K$2),MONTH(설정_코스수당!$K$2)+1,0)),DATE(YEAR(설정_코스수당!$K$2),MONTH(설정_코스수당!$K$2),20),"")</f>
        <v>46193</v>
      </c>
      <c r="C1981" s="25"/>
      <c r="D1981" s="23"/>
      <c r="E1981" s="23"/>
      <c r="F1981" s="26"/>
      <c r="G1981" s="23"/>
      <c r="H1981" s="23"/>
      <c r="I1981" s="23"/>
      <c r="J1981" s="27">
        <f>IF($O1981="방문완료",MAX(0,IFERROR(VLOOKUP($E1981,설정_코스수당!$A$6:$H$10,4,FALSE),0)-IF(OR($P1981="",$P1981="없음"),0,100000)),0)</f>
        <v>0</v>
      </c>
      <c r="K1981" s="27">
        <f t="array" ref="K1981">IF($O1981="방문완료",IFERROR(INDEX(설정_코스수당!$B$15:$F$64,MATCH($G1981,설정_코스수당!$A$15:$A$64,0),MATCH($E1981&amp;"수당",설정_코스수당!$B$14:$F$14,0)),0),0)</f>
        <v>0</v>
      </c>
      <c r="L1981" s="27">
        <f t="array" ref="L1981">IF($O1981="방문완료",IF($H1981="",0,IFERROR(INDEX(설정_코스수당!$B$15:$F$64,MATCH($H1981,설정_코스수당!$A$15:$A$64,0),MATCH($E1981&amp;"수당",설정_코스수당!$B$14:$F$14,0)),0)),0)</f>
        <v>0</v>
      </c>
      <c r="M1981" s="27">
        <f>IF($O1981="방문완료",IFERROR(VLOOKUP($E1981,설정_코스수당!$A$6:$H$10,6,FALSE),0),0)</f>
        <v>0</v>
      </c>
      <c r="N1981" s="28">
        <f t="shared" si="57"/>
        <v>0</v>
      </c>
      <c r="O1981" s="23"/>
      <c r="P1981" s="23"/>
      <c r="Q1981" s="23"/>
      <c r="R1981" s="26"/>
      <c r="S1981" s="23"/>
      <c r="U1981" s="109" t="s">
        <v>76</v>
      </c>
      <c r="V1981" s="109" t="s">
        <v>77</v>
      </c>
      <c r="W1981" s="109" t="s">
        <v>78</v>
      </c>
      <c r="X1981" s="109" t="s">
        <v>58</v>
      </c>
    </row>
    <row r="1982" spans="1:27" ht="19.5" hidden="1" customHeight="1" outlineLevel="1">
      <c r="A1982" s="29">
        <v>12</v>
      </c>
      <c r="B1982" s="30">
        <f>IF(20&lt;=DAY(DATE(YEAR(설정_코스수당!$K$2),MONTH(설정_코스수당!$K$2)+1,0)),DATE(YEAR(설정_코스수당!$K$2),MONTH(설정_코스수당!$K$2),20),"")</f>
        <v>46193</v>
      </c>
      <c r="C1982" s="31"/>
      <c r="D1982" s="29"/>
      <c r="E1982" s="29"/>
      <c r="F1982" s="32"/>
      <c r="G1982" s="29"/>
      <c r="H1982" s="29"/>
      <c r="I1982" s="29"/>
      <c r="J1982" s="33">
        <f>IF($O1982="방문완료",MAX(0,IFERROR(VLOOKUP($E1982,설정_코스수당!$A$6:$H$10,4,FALSE),0)-IF(OR($P1982="",$P1982="없음"),0,100000)),0)</f>
        <v>0</v>
      </c>
      <c r="K1982" s="33">
        <f t="array" ref="K1982">IF($O1982="방문완료",IFERROR(INDEX(설정_코스수당!$B$15:$F$64,MATCH($G1982,설정_코스수당!$A$15:$A$64,0),MATCH($E1982&amp;"수당",설정_코스수당!$B$14:$F$14,0)),0),0)</f>
        <v>0</v>
      </c>
      <c r="L1982" s="33">
        <f t="array" ref="L1982">IF($O1982="방문완료",IF($H1982="",0,IFERROR(INDEX(설정_코스수당!$B$15:$F$64,MATCH($H1982,설정_코스수당!$A$15:$A$64,0),MATCH($E1982&amp;"수당",설정_코스수당!$B$14:$F$14,0)),0)),0)</f>
        <v>0</v>
      </c>
      <c r="M1982" s="33">
        <f>IF($O1982="방문완료",IFERROR(VLOOKUP($E1982,설정_코스수당!$A$6:$H$10,6,FALSE),0),0)</f>
        <v>0</v>
      </c>
      <c r="N1982" s="34">
        <f t="shared" si="57"/>
        <v>0</v>
      </c>
      <c r="O1982" s="29"/>
      <c r="P1982" s="29"/>
      <c r="Q1982" s="29"/>
      <c r="R1982" s="32"/>
      <c r="S1982" s="29"/>
      <c r="U1982" s="113"/>
      <c r="V1982" s="111"/>
      <c r="W1982" s="112"/>
      <c r="X1982" s="111"/>
    </row>
    <row r="1983" spans="1:27" ht="19.5" hidden="1" customHeight="1" outlineLevel="1">
      <c r="A1983" s="23">
        <v>13</v>
      </c>
      <c r="B1983" s="24">
        <f>IF(20&lt;=DAY(DATE(YEAR(설정_코스수당!$K$2),MONTH(설정_코스수당!$K$2)+1,0)),DATE(YEAR(설정_코스수당!$K$2),MONTH(설정_코스수당!$K$2),20),"")</f>
        <v>46193</v>
      </c>
      <c r="C1983" s="25"/>
      <c r="D1983" s="23"/>
      <c r="E1983" s="23"/>
      <c r="F1983" s="26"/>
      <c r="G1983" s="23"/>
      <c r="H1983" s="23"/>
      <c r="I1983" s="23"/>
      <c r="J1983" s="27">
        <f>IF($O1983="방문완료",MAX(0,IFERROR(VLOOKUP($E1983,설정_코스수당!$A$6:$H$10,4,FALSE),0)-IF(OR($P1983="",$P1983="없음"),0,100000)),0)</f>
        <v>0</v>
      </c>
      <c r="K1983" s="27">
        <f t="array" ref="K1983">IF($O1983="방문완료",IFERROR(INDEX(설정_코스수당!$B$15:$F$64,MATCH($G1983,설정_코스수당!$A$15:$A$64,0),MATCH($E1983&amp;"수당",설정_코스수당!$B$14:$F$14,0)),0),0)</f>
        <v>0</v>
      </c>
      <c r="L1983" s="27">
        <f t="array" ref="L1983">IF($O1983="방문완료",IF($H1983="",0,IFERROR(INDEX(설정_코스수당!$B$15:$F$64,MATCH($H1983,설정_코스수당!$A$15:$A$64,0),MATCH($E1983&amp;"수당",설정_코스수당!$B$14:$F$14,0)),0)),0)</f>
        <v>0</v>
      </c>
      <c r="M1983" s="27">
        <f>IF($O1983="방문완료",IFERROR(VLOOKUP($E1983,설정_코스수당!$A$6:$H$10,6,FALSE),0),0)</f>
        <v>0</v>
      </c>
      <c r="N1983" s="28">
        <f t="shared" si="57"/>
        <v>0</v>
      </c>
      <c r="O1983" s="23"/>
      <c r="P1983" s="23"/>
      <c r="Q1983" s="23"/>
      <c r="R1983" s="26"/>
      <c r="S1983" s="23"/>
      <c r="U1983" s="113"/>
      <c r="V1983" s="111"/>
      <c r="W1983" s="112"/>
      <c r="X1983" s="111"/>
    </row>
    <row r="1984" spans="1:27" ht="19.5" hidden="1" customHeight="1" outlineLevel="1">
      <c r="A1984" s="29">
        <v>14</v>
      </c>
      <c r="B1984" s="30">
        <f>IF(20&lt;=DAY(DATE(YEAR(설정_코스수당!$K$2),MONTH(설정_코스수당!$K$2)+1,0)),DATE(YEAR(설정_코스수당!$K$2),MONTH(설정_코스수당!$K$2),20),"")</f>
        <v>46193</v>
      </c>
      <c r="C1984" s="31"/>
      <c r="D1984" s="29"/>
      <c r="E1984" s="29"/>
      <c r="F1984" s="32"/>
      <c r="G1984" s="29"/>
      <c r="H1984" s="29"/>
      <c r="I1984" s="29"/>
      <c r="J1984" s="33">
        <f>IF($O1984="방문완료",MAX(0,IFERROR(VLOOKUP($E1984,설정_코스수당!$A$6:$H$10,4,FALSE),0)-IF(OR($P1984="",$P1984="없음"),0,100000)),0)</f>
        <v>0</v>
      </c>
      <c r="K1984" s="33">
        <f t="array" ref="K1984">IF($O1984="방문완료",IFERROR(INDEX(설정_코스수당!$B$15:$F$64,MATCH($G1984,설정_코스수당!$A$15:$A$64,0),MATCH($E1984&amp;"수당",설정_코스수당!$B$14:$F$14,0)),0),0)</f>
        <v>0</v>
      </c>
      <c r="L1984" s="33">
        <f t="array" ref="L1984">IF($O1984="방문완료",IF($H1984="",0,IFERROR(INDEX(설정_코스수당!$B$15:$F$64,MATCH($H1984,설정_코스수당!$A$15:$A$64,0),MATCH($E1984&amp;"수당",설정_코스수당!$B$14:$F$14,0)),0)),0)</f>
        <v>0</v>
      </c>
      <c r="M1984" s="33">
        <f>IF($O1984="방문완료",IFERROR(VLOOKUP($E1984,설정_코스수당!$A$6:$H$10,6,FALSE),0),0)</f>
        <v>0</v>
      </c>
      <c r="N1984" s="34">
        <f t="shared" si="57"/>
        <v>0</v>
      </c>
      <c r="O1984" s="29"/>
      <c r="P1984" s="29"/>
      <c r="Q1984" s="29"/>
      <c r="R1984" s="32"/>
      <c r="S1984" s="29"/>
      <c r="U1984" s="113"/>
      <c r="V1984" s="111"/>
      <c r="W1984" s="112"/>
      <c r="X1984" s="111"/>
    </row>
    <row r="1985" spans="1:24" ht="19.5" hidden="1" customHeight="1" outlineLevel="1">
      <c r="A1985" s="23">
        <v>15</v>
      </c>
      <c r="B1985" s="24">
        <f>IF(20&lt;=DAY(DATE(YEAR(설정_코스수당!$K$2),MONTH(설정_코스수당!$K$2)+1,0)),DATE(YEAR(설정_코스수당!$K$2),MONTH(설정_코스수당!$K$2),20),"")</f>
        <v>46193</v>
      </c>
      <c r="C1985" s="25"/>
      <c r="D1985" s="23"/>
      <c r="E1985" s="23"/>
      <c r="F1985" s="26"/>
      <c r="G1985" s="23"/>
      <c r="H1985" s="23"/>
      <c r="I1985" s="23"/>
      <c r="J1985" s="27">
        <f>IF($O1985="방문완료",MAX(0,IFERROR(VLOOKUP($E1985,설정_코스수당!$A$6:$H$10,4,FALSE),0)-IF(OR($P1985="",$P1985="없음"),0,100000)),0)</f>
        <v>0</v>
      </c>
      <c r="K1985" s="27">
        <f t="array" ref="K1985">IF($O1985="방문완료",IFERROR(INDEX(설정_코스수당!$B$15:$F$64,MATCH($G1985,설정_코스수당!$A$15:$A$64,0),MATCH($E1985&amp;"수당",설정_코스수당!$B$14:$F$14,0)),0),0)</f>
        <v>0</v>
      </c>
      <c r="L1985" s="27">
        <f t="array" ref="L1985">IF($O1985="방문완료",IF($H1985="",0,IFERROR(INDEX(설정_코스수당!$B$15:$F$64,MATCH($H1985,설정_코스수당!$A$15:$A$64,0),MATCH($E1985&amp;"수당",설정_코스수당!$B$14:$F$14,0)),0)),0)</f>
        <v>0</v>
      </c>
      <c r="M1985" s="27">
        <f>IF($O1985="방문완료",IFERROR(VLOOKUP($E1985,설정_코스수당!$A$6:$H$10,6,FALSE),0),0)</f>
        <v>0</v>
      </c>
      <c r="N1985" s="28">
        <f t="shared" si="57"/>
        <v>0</v>
      </c>
      <c r="O1985" s="23"/>
      <c r="P1985" s="23"/>
      <c r="Q1985" s="23"/>
      <c r="R1985" s="26"/>
      <c r="S1985" s="23"/>
      <c r="U1985" s="113"/>
      <c r="V1985" s="111"/>
      <c r="W1985" s="112"/>
      <c r="X1985" s="111"/>
    </row>
    <row r="1986" spans="1:24" ht="19.5" hidden="1" customHeight="1" outlineLevel="1">
      <c r="A1986" s="29">
        <v>16</v>
      </c>
      <c r="B1986" s="30">
        <f>IF(20&lt;=DAY(DATE(YEAR(설정_코스수당!$K$2),MONTH(설정_코스수당!$K$2)+1,0)),DATE(YEAR(설정_코스수당!$K$2),MONTH(설정_코스수당!$K$2),20),"")</f>
        <v>46193</v>
      </c>
      <c r="C1986" s="31"/>
      <c r="D1986" s="29"/>
      <c r="E1986" s="29"/>
      <c r="F1986" s="32"/>
      <c r="G1986" s="29"/>
      <c r="H1986" s="29"/>
      <c r="I1986" s="29"/>
      <c r="J1986" s="33">
        <f>IF($O1986="방문완료",MAX(0,IFERROR(VLOOKUP($E1986,설정_코스수당!$A$6:$H$10,4,FALSE),0)-IF(OR($P1986="",$P1986="없음"),0,100000)),0)</f>
        <v>0</v>
      </c>
      <c r="K1986" s="33">
        <f t="array" ref="K1986">IF($O1986="방문완료",IFERROR(INDEX(설정_코스수당!$B$15:$F$64,MATCH($G1986,설정_코스수당!$A$15:$A$64,0),MATCH($E1986&amp;"수당",설정_코스수당!$B$14:$F$14,0)),0),0)</f>
        <v>0</v>
      </c>
      <c r="L1986" s="33">
        <f t="array" ref="L1986">IF($O1986="방문완료",IF($H1986="",0,IFERROR(INDEX(설정_코스수당!$B$15:$F$64,MATCH($H1986,설정_코스수당!$A$15:$A$64,0),MATCH($E1986&amp;"수당",설정_코스수당!$B$14:$F$14,0)),0)),0)</f>
        <v>0</v>
      </c>
      <c r="M1986" s="33">
        <f>IF($O1986="방문완료",IFERROR(VLOOKUP($E1986,설정_코스수당!$A$6:$H$10,6,FALSE),0),0)</f>
        <v>0</v>
      </c>
      <c r="N1986" s="34">
        <f t="shared" si="57"/>
        <v>0</v>
      </c>
      <c r="O1986" s="29"/>
      <c r="P1986" s="29"/>
      <c r="Q1986" s="29"/>
      <c r="R1986" s="32"/>
      <c r="S1986" s="29"/>
      <c r="U1986" s="113"/>
      <c r="V1986" s="111"/>
      <c r="W1986" s="112"/>
      <c r="X1986" s="111"/>
    </row>
    <row r="1987" spans="1:24" ht="19.5" hidden="1" customHeight="1" outlineLevel="1">
      <c r="A1987" s="23">
        <v>17</v>
      </c>
      <c r="B1987" s="24">
        <f>IF(20&lt;=DAY(DATE(YEAR(설정_코스수당!$K$2),MONTH(설정_코스수당!$K$2)+1,0)),DATE(YEAR(설정_코스수당!$K$2),MONTH(설정_코스수당!$K$2),20),"")</f>
        <v>46193</v>
      </c>
      <c r="C1987" s="25"/>
      <c r="D1987" s="23"/>
      <c r="E1987" s="23"/>
      <c r="F1987" s="26"/>
      <c r="G1987" s="23"/>
      <c r="H1987" s="23"/>
      <c r="I1987" s="23"/>
      <c r="J1987" s="27">
        <f>IF($O1987="방문완료",MAX(0,IFERROR(VLOOKUP($E1987,설정_코스수당!$A$6:$H$10,4,FALSE),0)-IF(OR($P1987="",$P1987="없음"),0,100000)),0)</f>
        <v>0</v>
      </c>
      <c r="K1987" s="27">
        <f t="array" ref="K1987">IF($O1987="방문완료",IFERROR(INDEX(설정_코스수당!$B$15:$F$64,MATCH($G1987,설정_코스수당!$A$15:$A$64,0),MATCH($E1987&amp;"수당",설정_코스수당!$B$14:$F$14,0)),0),0)</f>
        <v>0</v>
      </c>
      <c r="L1987" s="27">
        <f t="array" ref="L1987">IF($O1987="방문완료",IF($H1987="",0,IFERROR(INDEX(설정_코스수당!$B$15:$F$64,MATCH($H1987,설정_코스수당!$A$15:$A$64,0),MATCH($E1987&amp;"수당",설정_코스수당!$B$14:$F$14,0)),0)),0)</f>
        <v>0</v>
      </c>
      <c r="M1987" s="27">
        <f>IF($O1987="방문완료",IFERROR(VLOOKUP($E1987,설정_코스수당!$A$6:$H$10,6,FALSE),0),0)</f>
        <v>0</v>
      </c>
      <c r="N1987" s="28">
        <f t="shared" si="57"/>
        <v>0</v>
      </c>
      <c r="O1987" s="23"/>
      <c r="P1987" s="23"/>
      <c r="Q1987" s="23"/>
      <c r="R1987" s="26"/>
      <c r="S1987" s="23"/>
      <c r="U1987" s="113"/>
      <c r="V1987" s="111"/>
      <c r="W1987" s="112"/>
      <c r="X1987" s="111"/>
    </row>
    <row r="1988" spans="1:24" ht="19.5" hidden="1" customHeight="1" outlineLevel="1">
      <c r="A1988" s="29">
        <v>18</v>
      </c>
      <c r="B1988" s="30">
        <f>IF(20&lt;=DAY(DATE(YEAR(설정_코스수당!$K$2),MONTH(설정_코스수당!$K$2)+1,0)),DATE(YEAR(설정_코스수당!$K$2),MONTH(설정_코스수당!$K$2),20),"")</f>
        <v>46193</v>
      </c>
      <c r="C1988" s="31"/>
      <c r="D1988" s="29"/>
      <c r="E1988" s="29"/>
      <c r="F1988" s="32"/>
      <c r="G1988" s="29"/>
      <c r="H1988" s="29"/>
      <c r="I1988" s="29"/>
      <c r="J1988" s="33">
        <f>IF($O1988="방문완료",MAX(0,IFERROR(VLOOKUP($E1988,설정_코스수당!$A$6:$H$10,4,FALSE),0)-IF(OR($P1988="",$P1988="없음"),0,100000)),0)</f>
        <v>0</v>
      </c>
      <c r="K1988" s="33">
        <f t="array" ref="K1988">IF($O1988="방문완료",IFERROR(INDEX(설정_코스수당!$B$15:$F$64,MATCH($G1988,설정_코스수당!$A$15:$A$64,0),MATCH($E1988&amp;"수당",설정_코스수당!$B$14:$F$14,0)),0),0)</f>
        <v>0</v>
      </c>
      <c r="L1988" s="33">
        <f t="array" ref="L1988">IF($O1988="방문완료",IF($H1988="",0,IFERROR(INDEX(설정_코스수당!$B$15:$F$64,MATCH($H1988,설정_코스수당!$A$15:$A$64,0),MATCH($E1988&amp;"수당",설정_코스수당!$B$14:$F$14,0)),0)),0)</f>
        <v>0</v>
      </c>
      <c r="M1988" s="33">
        <f>IF($O1988="방문완료",IFERROR(VLOOKUP($E1988,설정_코스수당!$A$6:$H$10,6,FALSE),0),0)</f>
        <v>0</v>
      </c>
      <c r="N1988" s="34">
        <f t="shared" si="57"/>
        <v>0</v>
      </c>
      <c r="O1988" s="29"/>
      <c r="P1988" s="29"/>
      <c r="Q1988" s="29"/>
      <c r="R1988" s="32"/>
      <c r="S1988" s="29"/>
      <c r="U1988" s="113"/>
      <c r="V1988" s="111"/>
      <c r="W1988" s="112"/>
      <c r="X1988" s="111"/>
    </row>
    <row r="1989" spans="1:24" ht="19.5" hidden="1" customHeight="1" outlineLevel="1">
      <c r="A1989" s="23">
        <v>19</v>
      </c>
      <c r="B1989" s="24">
        <f>IF(20&lt;=DAY(DATE(YEAR(설정_코스수당!$K$2),MONTH(설정_코스수당!$K$2)+1,0)),DATE(YEAR(설정_코스수당!$K$2),MONTH(설정_코스수당!$K$2),20),"")</f>
        <v>46193</v>
      </c>
      <c r="C1989" s="25"/>
      <c r="D1989" s="23"/>
      <c r="E1989" s="23"/>
      <c r="F1989" s="26"/>
      <c r="G1989" s="23"/>
      <c r="H1989" s="23"/>
      <c r="I1989" s="23"/>
      <c r="J1989" s="27">
        <f>IF($O1989="방문완료",MAX(0,IFERROR(VLOOKUP($E1989,설정_코스수당!$A$6:$H$10,4,FALSE),0)-IF(OR($P1989="",$P1989="없음"),0,100000)),0)</f>
        <v>0</v>
      </c>
      <c r="K1989" s="27">
        <f t="array" ref="K1989">IF($O1989="방문완료",IFERROR(INDEX(설정_코스수당!$B$15:$F$64,MATCH($G1989,설정_코스수당!$A$15:$A$64,0),MATCH($E1989&amp;"수당",설정_코스수당!$B$14:$F$14,0)),0),0)</f>
        <v>0</v>
      </c>
      <c r="L1989" s="27">
        <f t="array" ref="L1989">IF($O1989="방문완료",IF($H1989="",0,IFERROR(INDEX(설정_코스수당!$B$15:$F$64,MATCH($H1989,설정_코스수당!$A$15:$A$64,0),MATCH($E1989&amp;"수당",설정_코스수당!$B$14:$F$14,0)),0)),0)</f>
        <v>0</v>
      </c>
      <c r="M1989" s="27">
        <f>IF($O1989="방문완료",IFERROR(VLOOKUP($E1989,설정_코스수당!$A$6:$H$10,6,FALSE),0),0)</f>
        <v>0</v>
      </c>
      <c r="N1989" s="28">
        <f t="shared" si="57"/>
        <v>0</v>
      </c>
      <c r="O1989" s="23"/>
      <c r="P1989" s="23"/>
      <c r="Q1989" s="23"/>
      <c r="R1989" s="26"/>
      <c r="S1989" s="23"/>
      <c r="U1989" s="113"/>
      <c r="V1989" s="111"/>
      <c r="W1989" s="112"/>
      <c r="X1989" s="111"/>
    </row>
    <row r="1990" spans="1:24" ht="19.5" hidden="1" customHeight="1" outlineLevel="1">
      <c r="A1990" s="29">
        <v>20</v>
      </c>
      <c r="B1990" s="30">
        <f>IF(20&lt;=DAY(DATE(YEAR(설정_코스수당!$K$2),MONTH(설정_코스수당!$K$2)+1,0)),DATE(YEAR(설정_코스수당!$K$2),MONTH(설정_코스수당!$K$2),20),"")</f>
        <v>46193</v>
      </c>
      <c r="C1990" s="31"/>
      <c r="D1990" s="29"/>
      <c r="E1990" s="29"/>
      <c r="F1990" s="32"/>
      <c r="G1990" s="29"/>
      <c r="H1990" s="29"/>
      <c r="I1990" s="29"/>
      <c r="J1990" s="33">
        <f>IF($O1990="방문완료",MAX(0,IFERROR(VLOOKUP($E1990,설정_코스수당!$A$6:$H$10,4,FALSE),0)-IF(OR($P1990="",$P1990="없음"),0,100000)),0)</f>
        <v>0</v>
      </c>
      <c r="K1990" s="33">
        <f t="array" ref="K1990">IF($O1990="방문완료",IFERROR(INDEX(설정_코스수당!$B$15:$F$64,MATCH($G1990,설정_코스수당!$A$15:$A$64,0),MATCH($E1990&amp;"수당",설정_코스수당!$B$14:$F$14,0)),0),0)</f>
        <v>0</v>
      </c>
      <c r="L1990" s="33">
        <f t="array" ref="L1990">IF($O1990="방문완료",IF($H1990="",0,IFERROR(INDEX(설정_코스수당!$B$15:$F$64,MATCH($H1990,설정_코스수당!$A$15:$A$64,0),MATCH($E1990&amp;"수당",설정_코스수당!$B$14:$F$14,0)),0)),0)</f>
        <v>0</v>
      </c>
      <c r="M1990" s="33">
        <f>IF($O1990="방문완료",IFERROR(VLOOKUP($E1990,설정_코스수당!$A$6:$H$10,6,FALSE),0),0)</f>
        <v>0</v>
      </c>
      <c r="N1990" s="34">
        <f t="shared" si="57"/>
        <v>0</v>
      </c>
      <c r="O1990" s="29"/>
      <c r="P1990" s="29"/>
      <c r="Q1990" s="29"/>
      <c r="R1990" s="32"/>
      <c r="S1990" s="29"/>
    </row>
    <row r="1991" spans="1:24" ht="19.5" hidden="1" customHeight="1" outlineLevel="1">
      <c r="A1991" s="23">
        <v>21</v>
      </c>
      <c r="B1991" s="24">
        <f>IF(20&lt;=DAY(DATE(YEAR(설정_코스수당!$K$2),MONTH(설정_코스수당!$K$2)+1,0)),DATE(YEAR(설정_코스수당!$K$2),MONTH(설정_코스수당!$K$2),20),"")</f>
        <v>46193</v>
      </c>
      <c r="C1991" s="25"/>
      <c r="D1991" s="23"/>
      <c r="E1991" s="23"/>
      <c r="F1991" s="26"/>
      <c r="G1991" s="23"/>
      <c r="H1991" s="23"/>
      <c r="I1991" s="23"/>
      <c r="J1991" s="27">
        <f>IF($O1991="방문완료",MAX(0,IFERROR(VLOOKUP($E1991,설정_코스수당!$A$6:$H$10,4,FALSE),0)-IF(OR($P1991="",$P1991="없음"),0,100000)),0)</f>
        <v>0</v>
      </c>
      <c r="K1991" s="27">
        <f t="array" ref="K1991">IF($O1991="방문완료",IFERROR(INDEX(설정_코스수당!$B$15:$F$64,MATCH($G1991,설정_코스수당!$A$15:$A$64,0),MATCH($E1991&amp;"수당",설정_코스수당!$B$14:$F$14,0)),0),0)</f>
        <v>0</v>
      </c>
      <c r="L1991" s="27">
        <f t="array" ref="L1991">IF($O1991="방문완료",IF($H1991="",0,IFERROR(INDEX(설정_코스수당!$B$15:$F$64,MATCH($H1991,설정_코스수당!$A$15:$A$64,0),MATCH($E1991&amp;"수당",설정_코스수당!$B$14:$F$14,0)),0)),0)</f>
        <v>0</v>
      </c>
      <c r="M1991" s="27">
        <f>IF($O1991="방문완료",IFERROR(VLOOKUP($E1991,설정_코스수당!$A$6:$H$10,6,FALSE),0),0)</f>
        <v>0</v>
      </c>
      <c r="N1991" s="28">
        <f t="shared" si="57"/>
        <v>0</v>
      </c>
      <c r="O1991" s="23"/>
      <c r="P1991" s="23"/>
      <c r="Q1991" s="23"/>
      <c r="R1991" s="26"/>
      <c r="S1991" s="23"/>
    </row>
    <row r="1992" spans="1:24" ht="19.5" hidden="1" customHeight="1" outlineLevel="1">
      <c r="A1992" s="29">
        <v>22</v>
      </c>
      <c r="B1992" s="30">
        <f>IF(20&lt;=DAY(DATE(YEAR(설정_코스수당!$K$2),MONTH(설정_코스수당!$K$2)+1,0)),DATE(YEAR(설정_코스수당!$K$2),MONTH(설정_코스수당!$K$2),20),"")</f>
        <v>46193</v>
      </c>
      <c r="C1992" s="31"/>
      <c r="D1992" s="29"/>
      <c r="E1992" s="29"/>
      <c r="F1992" s="32"/>
      <c r="G1992" s="29"/>
      <c r="H1992" s="29"/>
      <c r="I1992" s="29"/>
      <c r="J1992" s="33">
        <f>IF($O1992="방문완료",MAX(0,IFERROR(VLOOKUP($E1992,설정_코스수당!$A$6:$H$10,4,FALSE),0)-IF(OR($P1992="",$P1992="없음"),0,100000)),0)</f>
        <v>0</v>
      </c>
      <c r="K1992" s="33">
        <f t="array" ref="K1992">IF($O1992="방문완료",IFERROR(INDEX(설정_코스수당!$B$15:$F$64,MATCH($G1992,설정_코스수당!$A$15:$A$64,0),MATCH($E1992&amp;"수당",설정_코스수당!$B$14:$F$14,0)),0),0)</f>
        <v>0</v>
      </c>
      <c r="L1992" s="33">
        <f t="array" ref="L1992">IF($O1992="방문완료",IF($H1992="",0,IFERROR(INDEX(설정_코스수당!$B$15:$F$64,MATCH($H1992,설정_코스수당!$A$15:$A$64,0),MATCH($E1992&amp;"수당",설정_코스수당!$B$14:$F$14,0)),0)),0)</f>
        <v>0</v>
      </c>
      <c r="M1992" s="33">
        <f>IF($O1992="방문완료",IFERROR(VLOOKUP($E1992,설정_코스수당!$A$6:$H$10,6,FALSE),0),0)</f>
        <v>0</v>
      </c>
      <c r="N1992" s="34">
        <f t="shared" si="57"/>
        <v>0</v>
      </c>
      <c r="O1992" s="29"/>
      <c r="P1992" s="29"/>
      <c r="Q1992" s="29"/>
      <c r="R1992" s="32"/>
      <c r="S1992" s="29"/>
    </row>
    <row r="1993" spans="1:24" ht="19.5" hidden="1" customHeight="1" outlineLevel="1">
      <c r="A1993" s="23">
        <v>23</v>
      </c>
      <c r="B1993" s="24">
        <f>IF(20&lt;=DAY(DATE(YEAR(설정_코스수당!$K$2),MONTH(설정_코스수당!$K$2)+1,0)),DATE(YEAR(설정_코스수당!$K$2),MONTH(설정_코스수당!$K$2),20),"")</f>
        <v>46193</v>
      </c>
      <c r="C1993" s="25"/>
      <c r="D1993" s="23"/>
      <c r="E1993" s="23"/>
      <c r="F1993" s="26"/>
      <c r="G1993" s="23"/>
      <c r="H1993" s="23"/>
      <c r="I1993" s="23"/>
      <c r="J1993" s="27">
        <f>IF($O1993="방문완료",MAX(0,IFERROR(VLOOKUP($E1993,설정_코스수당!$A$6:$H$10,4,FALSE),0)-IF(OR($P1993="",$P1993="없음"),0,100000)),0)</f>
        <v>0</v>
      </c>
      <c r="K1993" s="27">
        <f t="array" ref="K1993">IF($O1993="방문완료",IFERROR(INDEX(설정_코스수당!$B$15:$F$64,MATCH($G1993,설정_코스수당!$A$15:$A$64,0),MATCH($E1993&amp;"수당",설정_코스수당!$B$14:$F$14,0)),0),0)</f>
        <v>0</v>
      </c>
      <c r="L1993" s="27">
        <f t="array" ref="L1993">IF($O1993="방문완료",IF($H1993="",0,IFERROR(INDEX(설정_코스수당!$B$15:$F$64,MATCH($H1993,설정_코스수당!$A$15:$A$64,0),MATCH($E1993&amp;"수당",설정_코스수당!$B$14:$F$14,0)),0)),0)</f>
        <v>0</v>
      </c>
      <c r="M1993" s="27">
        <f>IF($O1993="방문완료",IFERROR(VLOOKUP($E1993,설정_코스수당!$A$6:$H$10,6,FALSE),0),0)</f>
        <v>0</v>
      </c>
      <c r="N1993" s="28">
        <f t="shared" si="57"/>
        <v>0</v>
      </c>
      <c r="O1993" s="23"/>
      <c r="P1993" s="23"/>
      <c r="Q1993" s="23"/>
      <c r="R1993" s="26"/>
      <c r="S1993" s="23"/>
    </row>
    <row r="1994" spans="1:24" ht="19.5" hidden="1" customHeight="1" outlineLevel="1">
      <c r="A1994" s="29">
        <v>24</v>
      </c>
      <c r="B1994" s="30">
        <f>IF(20&lt;=DAY(DATE(YEAR(설정_코스수당!$K$2),MONTH(설정_코스수당!$K$2)+1,0)),DATE(YEAR(설정_코스수당!$K$2),MONTH(설정_코스수당!$K$2),20),"")</f>
        <v>46193</v>
      </c>
      <c r="C1994" s="31"/>
      <c r="D1994" s="29"/>
      <c r="E1994" s="29"/>
      <c r="F1994" s="32"/>
      <c r="G1994" s="29"/>
      <c r="H1994" s="29"/>
      <c r="I1994" s="29"/>
      <c r="J1994" s="33">
        <f>IF($O1994="방문완료",MAX(0,IFERROR(VLOOKUP($E1994,설정_코스수당!$A$6:$H$10,4,FALSE),0)-IF(OR($P1994="",$P1994="없음"),0,100000)),0)</f>
        <v>0</v>
      </c>
      <c r="K1994" s="33">
        <f t="array" ref="K1994">IF($O1994="방문완료",IFERROR(INDEX(설정_코스수당!$B$15:$F$64,MATCH($G1994,설정_코스수당!$A$15:$A$64,0),MATCH($E1994&amp;"수당",설정_코스수당!$B$14:$F$14,0)),0),0)</f>
        <v>0</v>
      </c>
      <c r="L1994" s="33">
        <f t="array" ref="L1994">IF($O1994="방문완료",IF($H1994="",0,IFERROR(INDEX(설정_코스수당!$B$15:$F$64,MATCH($H1994,설정_코스수당!$A$15:$A$64,0),MATCH($E1994&amp;"수당",설정_코스수당!$B$14:$F$14,0)),0)),0)</f>
        <v>0</v>
      </c>
      <c r="M1994" s="33">
        <f>IF($O1994="방문완료",IFERROR(VLOOKUP($E1994,설정_코스수당!$A$6:$H$10,6,FALSE),0),0)</f>
        <v>0</v>
      </c>
      <c r="N1994" s="34">
        <f t="shared" si="57"/>
        <v>0</v>
      </c>
      <c r="O1994" s="29"/>
      <c r="P1994" s="29"/>
      <c r="Q1994" s="29"/>
      <c r="R1994" s="32"/>
      <c r="S1994" s="29"/>
    </row>
    <row r="1995" spans="1:24" ht="19.5" hidden="1" customHeight="1" outlineLevel="1">
      <c r="A1995" s="23">
        <v>25</v>
      </c>
      <c r="B1995" s="24">
        <f>IF(20&lt;=DAY(DATE(YEAR(설정_코스수당!$K$2),MONTH(설정_코스수당!$K$2)+1,0)),DATE(YEAR(설정_코스수당!$K$2),MONTH(설정_코스수당!$K$2),20),"")</f>
        <v>46193</v>
      </c>
      <c r="C1995" s="25"/>
      <c r="D1995" s="23"/>
      <c r="E1995" s="23"/>
      <c r="F1995" s="26"/>
      <c r="G1995" s="23"/>
      <c r="H1995" s="23"/>
      <c r="I1995" s="23"/>
      <c r="J1995" s="27">
        <f>IF($O1995="방문완료",MAX(0,IFERROR(VLOOKUP($E1995,설정_코스수당!$A$6:$H$10,4,FALSE),0)-IF(OR($P1995="",$P1995="없음"),0,100000)),0)</f>
        <v>0</v>
      </c>
      <c r="K1995" s="27">
        <f t="array" ref="K1995">IF($O1995="방문완료",IFERROR(INDEX(설정_코스수당!$B$15:$F$64,MATCH($G1995,설정_코스수당!$A$15:$A$64,0),MATCH($E1995&amp;"수당",설정_코스수당!$B$14:$F$14,0)),0),0)</f>
        <v>0</v>
      </c>
      <c r="L1995" s="27">
        <f t="array" ref="L1995">IF($O1995="방문완료",IF($H1995="",0,IFERROR(INDEX(설정_코스수당!$B$15:$F$64,MATCH($H1995,설정_코스수당!$A$15:$A$64,0),MATCH($E1995&amp;"수당",설정_코스수당!$B$14:$F$14,0)),0)),0)</f>
        <v>0</v>
      </c>
      <c r="M1995" s="27">
        <f>IF($O1995="방문완료",IFERROR(VLOOKUP($E1995,설정_코스수당!$A$6:$H$10,6,FALSE),0),0)</f>
        <v>0</v>
      </c>
      <c r="N1995" s="28">
        <f t="shared" si="57"/>
        <v>0</v>
      </c>
      <c r="O1995" s="23"/>
      <c r="P1995" s="23"/>
      <c r="Q1995" s="23"/>
      <c r="R1995" s="26"/>
      <c r="S1995" s="23"/>
    </row>
    <row r="1996" spans="1:24" ht="19.5" hidden="1" customHeight="1" outlineLevel="1">
      <c r="A1996" s="29">
        <v>26</v>
      </c>
      <c r="B1996" s="30">
        <f>IF(20&lt;=DAY(DATE(YEAR(설정_코스수당!$K$2),MONTH(설정_코스수당!$K$2)+1,0)),DATE(YEAR(설정_코스수당!$K$2),MONTH(설정_코스수당!$K$2),20),"")</f>
        <v>46193</v>
      </c>
      <c r="C1996" s="31"/>
      <c r="D1996" s="29"/>
      <c r="E1996" s="29"/>
      <c r="F1996" s="32"/>
      <c r="G1996" s="29"/>
      <c r="H1996" s="29"/>
      <c r="I1996" s="29"/>
      <c r="J1996" s="33">
        <f>IF($O1996="방문완료",MAX(0,IFERROR(VLOOKUP($E1996,설정_코스수당!$A$6:$H$10,4,FALSE),0)-IF(OR($P1996="",$P1996="없음"),0,100000)),0)</f>
        <v>0</v>
      </c>
      <c r="K1996" s="33">
        <f t="array" ref="K1996">IF($O1996="방문완료",IFERROR(INDEX(설정_코스수당!$B$15:$F$64,MATCH($G1996,설정_코스수당!$A$15:$A$64,0),MATCH($E1996&amp;"수당",설정_코스수당!$B$14:$F$14,0)),0),0)</f>
        <v>0</v>
      </c>
      <c r="L1996" s="33">
        <f t="array" ref="L1996">IF($O1996="방문완료",IF($H1996="",0,IFERROR(INDEX(설정_코스수당!$B$15:$F$64,MATCH($H1996,설정_코스수당!$A$15:$A$64,0),MATCH($E1996&amp;"수당",설정_코스수당!$B$14:$F$14,0)),0)),0)</f>
        <v>0</v>
      </c>
      <c r="M1996" s="33">
        <f>IF($O1996="방문완료",IFERROR(VLOOKUP($E1996,설정_코스수당!$A$6:$H$10,6,FALSE),0),0)</f>
        <v>0</v>
      </c>
      <c r="N1996" s="34">
        <f t="shared" si="57"/>
        <v>0</v>
      </c>
      <c r="O1996" s="29"/>
      <c r="P1996" s="29"/>
      <c r="Q1996" s="29"/>
      <c r="R1996" s="32"/>
      <c r="S1996" s="29"/>
    </row>
    <row r="1997" spans="1:24" ht="19.5" hidden="1" customHeight="1" outlineLevel="1">
      <c r="A1997" s="23">
        <v>27</v>
      </c>
      <c r="B1997" s="24">
        <f>IF(20&lt;=DAY(DATE(YEAR(설정_코스수당!$K$2),MONTH(설정_코스수당!$K$2)+1,0)),DATE(YEAR(설정_코스수당!$K$2),MONTH(설정_코스수당!$K$2),20),"")</f>
        <v>46193</v>
      </c>
      <c r="C1997" s="25"/>
      <c r="D1997" s="23"/>
      <c r="E1997" s="23"/>
      <c r="F1997" s="26"/>
      <c r="G1997" s="23"/>
      <c r="H1997" s="23"/>
      <c r="I1997" s="23"/>
      <c r="J1997" s="27">
        <f>IF($O1997="방문완료",MAX(0,IFERROR(VLOOKUP($E1997,설정_코스수당!$A$6:$H$10,4,FALSE),0)-IF(OR($P1997="",$P1997="없음"),0,100000)),0)</f>
        <v>0</v>
      </c>
      <c r="K1997" s="27">
        <f t="array" ref="K1997">IF($O1997="방문완료",IFERROR(INDEX(설정_코스수당!$B$15:$F$64,MATCH($G1997,설정_코스수당!$A$15:$A$64,0),MATCH($E1997&amp;"수당",설정_코스수당!$B$14:$F$14,0)),0),0)</f>
        <v>0</v>
      </c>
      <c r="L1997" s="27">
        <f t="array" ref="L1997">IF($O1997="방문완료",IF($H1997="",0,IFERROR(INDEX(설정_코스수당!$B$15:$F$64,MATCH($H1997,설정_코스수당!$A$15:$A$64,0),MATCH($E1997&amp;"수당",설정_코스수당!$B$14:$F$14,0)),0)),0)</f>
        <v>0</v>
      </c>
      <c r="M1997" s="27">
        <f>IF($O1997="방문완료",IFERROR(VLOOKUP($E1997,설정_코스수당!$A$6:$H$10,6,FALSE),0),0)</f>
        <v>0</v>
      </c>
      <c r="N1997" s="28">
        <f t="shared" si="57"/>
        <v>0</v>
      </c>
      <c r="O1997" s="23"/>
      <c r="P1997" s="23"/>
      <c r="Q1997" s="23"/>
      <c r="R1997" s="26"/>
      <c r="S1997" s="23"/>
    </row>
    <row r="1998" spans="1:24" ht="19.5" hidden="1" customHeight="1" outlineLevel="1">
      <c r="A1998" s="29">
        <v>28</v>
      </c>
      <c r="B1998" s="30">
        <f>IF(20&lt;=DAY(DATE(YEAR(설정_코스수당!$K$2),MONTH(설정_코스수당!$K$2)+1,0)),DATE(YEAR(설정_코스수당!$K$2),MONTH(설정_코스수당!$K$2),20),"")</f>
        <v>46193</v>
      </c>
      <c r="C1998" s="31"/>
      <c r="D1998" s="29"/>
      <c r="E1998" s="29"/>
      <c r="F1998" s="32"/>
      <c r="G1998" s="29"/>
      <c r="H1998" s="29"/>
      <c r="I1998" s="29"/>
      <c r="J1998" s="33">
        <f>IF($O1998="방문완료",MAX(0,IFERROR(VLOOKUP($E1998,설정_코스수당!$A$6:$H$10,4,FALSE),0)-IF(OR($P1998="",$P1998="없음"),0,100000)),0)</f>
        <v>0</v>
      </c>
      <c r="K1998" s="33">
        <f t="array" ref="K1998">IF($O1998="방문완료",IFERROR(INDEX(설정_코스수당!$B$15:$F$64,MATCH($G1998,설정_코스수당!$A$15:$A$64,0),MATCH($E1998&amp;"수당",설정_코스수당!$B$14:$F$14,0)),0),0)</f>
        <v>0</v>
      </c>
      <c r="L1998" s="33">
        <f t="array" ref="L1998">IF($O1998="방문완료",IF($H1998="",0,IFERROR(INDEX(설정_코스수당!$B$15:$F$64,MATCH($H1998,설정_코스수당!$A$15:$A$64,0),MATCH($E1998&amp;"수당",설정_코스수당!$B$14:$F$14,0)),0)),0)</f>
        <v>0</v>
      </c>
      <c r="M1998" s="33">
        <f>IF($O1998="방문완료",IFERROR(VLOOKUP($E1998,설정_코스수당!$A$6:$H$10,6,FALSE),0),0)</f>
        <v>0</v>
      </c>
      <c r="N1998" s="34">
        <f t="shared" si="57"/>
        <v>0</v>
      </c>
      <c r="O1998" s="29"/>
      <c r="P1998" s="29"/>
      <c r="Q1998" s="29"/>
      <c r="R1998" s="32"/>
      <c r="S1998" s="29"/>
    </row>
    <row r="1999" spans="1:24" ht="19.5" hidden="1" customHeight="1" outlineLevel="1">
      <c r="A1999" s="23">
        <v>29</v>
      </c>
      <c r="B1999" s="24">
        <f>IF(20&lt;=DAY(DATE(YEAR(설정_코스수당!$K$2),MONTH(설정_코스수당!$K$2)+1,0)),DATE(YEAR(설정_코스수당!$K$2),MONTH(설정_코스수당!$K$2),20),"")</f>
        <v>46193</v>
      </c>
      <c r="C1999" s="25"/>
      <c r="D1999" s="23"/>
      <c r="E1999" s="23"/>
      <c r="F1999" s="26"/>
      <c r="G1999" s="23"/>
      <c r="H1999" s="23"/>
      <c r="I1999" s="23"/>
      <c r="J1999" s="27">
        <f>IF($O1999="방문완료",MAX(0,IFERROR(VLOOKUP($E1999,설정_코스수당!$A$6:$H$10,4,FALSE),0)-IF(OR($P1999="",$P1999="없음"),0,100000)),0)</f>
        <v>0</v>
      </c>
      <c r="K1999" s="27">
        <f t="array" ref="K1999">IF($O1999="방문완료",IFERROR(INDEX(설정_코스수당!$B$15:$F$64,MATCH($G1999,설정_코스수당!$A$15:$A$64,0),MATCH($E1999&amp;"수당",설정_코스수당!$B$14:$F$14,0)),0),0)</f>
        <v>0</v>
      </c>
      <c r="L1999" s="27">
        <f t="array" ref="L1999">IF($O1999="방문완료",IF($H1999="",0,IFERROR(INDEX(설정_코스수당!$B$15:$F$64,MATCH($H1999,설정_코스수당!$A$15:$A$64,0),MATCH($E1999&amp;"수당",설정_코스수당!$B$14:$F$14,0)),0)),0)</f>
        <v>0</v>
      </c>
      <c r="M1999" s="27">
        <f>IF($O1999="방문완료",IFERROR(VLOOKUP($E1999,설정_코스수당!$A$6:$H$10,6,FALSE),0),0)</f>
        <v>0</v>
      </c>
      <c r="N1999" s="28">
        <f t="shared" si="57"/>
        <v>0</v>
      </c>
      <c r="O1999" s="23"/>
      <c r="P1999" s="23"/>
      <c r="Q1999" s="23"/>
      <c r="R1999" s="26"/>
      <c r="S1999" s="23"/>
    </row>
    <row r="2000" spans="1:24" ht="19.5" hidden="1" customHeight="1" outlineLevel="1">
      <c r="A2000" s="29">
        <v>30</v>
      </c>
      <c r="B2000" s="30">
        <f>IF(20&lt;=DAY(DATE(YEAR(설정_코스수당!$K$2),MONTH(설정_코스수당!$K$2)+1,0)),DATE(YEAR(설정_코스수당!$K$2),MONTH(설정_코스수당!$K$2),20),"")</f>
        <v>46193</v>
      </c>
      <c r="C2000" s="31"/>
      <c r="D2000" s="29"/>
      <c r="E2000" s="29"/>
      <c r="F2000" s="32"/>
      <c r="G2000" s="29"/>
      <c r="H2000" s="29"/>
      <c r="I2000" s="29"/>
      <c r="J2000" s="33">
        <f>IF($O2000="방문완료",MAX(0,IFERROR(VLOOKUP($E2000,설정_코스수당!$A$6:$H$10,4,FALSE),0)-IF(OR($P2000="",$P2000="없음"),0,100000)),0)</f>
        <v>0</v>
      </c>
      <c r="K2000" s="33">
        <f t="array" ref="K2000">IF($O2000="방문완료",IFERROR(INDEX(설정_코스수당!$B$15:$F$64,MATCH($G2000,설정_코스수당!$A$15:$A$64,0),MATCH($E2000&amp;"수당",설정_코스수당!$B$14:$F$14,0)),0),0)</f>
        <v>0</v>
      </c>
      <c r="L2000" s="33">
        <f t="array" ref="L2000">IF($O2000="방문완료",IF($H2000="",0,IFERROR(INDEX(설정_코스수당!$B$15:$F$64,MATCH($H2000,설정_코스수당!$A$15:$A$64,0),MATCH($E2000&amp;"수당",설정_코스수당!$B$14:$F$14,0)),0)),0)</f>
        <v>0</v>
      </c>
      <c r="M2000" s="33">
        <f>IF($O2000="방문완료",IFERROR(VLOOKUP($E2000,설정_코스수당!$A$6:$H$10,6,FALSE),0),0)</f>
        <v>0</v>
      </c>
      <c r="N2000" s="34">
        <f t="shared" si="57"/>
        <v>0</v>
      </c>
      <c r="O2000" s="29"/>
      <c r="P2000" s="29"/>
      <c r="Q2000" s="29"/>
      <c r="R2000" s="32"/>
      <c r="S2000" s="29"/>
    </row>
    <row r="2001" spans="1:19" ht="19.5" hidden="1" customHeight="1" outlineLevel="1">
      <c r="A2001" s="23">
        <v>31</v>
      </c>
      <c r="B2001" s="24">
        <f>IF(20&lt;=DAY(DATE(YEAR(설정_코스수당!$K$2),MONTH(설정_코스수당!$K$2)+1,0)),DATE(YEAR(설정_코스수당!$K$2),MONTH(설정_코스수당!$K$2),20),"")</f>
        <v>46193</v>
      </c>
      <c r="C2001" s="25"/>
      <c r="D2001" s="23"/>
      <c r="E2001" s="23"/>
      <c r="F2001" s="26"/>
      <c r="G2001" s="23"/>
      <c r="H2001" s="23"/>
      <c r="I2001" s="23"/>
      <c r="J2001" s="27">
        <f>IF($O2001="방문완료",MAX(0,IFERROR(VLOOKUP($E2001,설정_코스수당!$A$6:$H$10,4,FALSE),0)-IF(OR($P2001="",$P2001="없음"),0,100000)),0)</f>
        <v>0</v>
      </c>
      <c r="K2001" s="27">
        <f t="array" ref="K2001">IF($O2001="방문완료",IFERROR(INDEX(설정_코스수당!$B$15:$F$64,MATCH($G2001,설정_코스수당!$A$15:$A$64,0),MATCH($E2001&amp;"수당",설정_코스수당!$B$14:$F$14,0)),0),0)</f>
        <v>0</v>
      </c>
      <c r="L2001" s="27">
        <f t="array" ref="L2001">IF($O2001="방문완료",IF($H2001="",0,IFERROR(INDEX(설정_코스수당!$B$15:$F$64,MATCH($H2001,설정_코스수당!$A$15:$A$64,0),MATCH($E2001&amp;"수당",설정_코스수당!$B$14:$F$14,0)),0)),0)</f>
        <v>0</v>
      </c>
      <c r="M2001" s="27">
        <f>IF($O2001="방문완료",IFERROR(VLOOKUP($E2001,설정_코스수당!$A$6:$H$10,6,FALSE),0),0)</f>
        <v>0</v>
      </c>
      <c r="N2001" s="28">
        <f t="shared" si="57"/>
        <v>0</v>
      </c>
      <c r="O2001" s="23"/>
      <c r="P2001" s="23"/>
      <c r="Q2001" s="23"/>
      <c r="R2001" s="26"/>
      <c r="S2001" s="23"/>
    </row>
    <row r="2002" spans="1:19" ht="19.5" hidden="1" customHeight="1" outlineLevel="1">
      <c r="A2002" s="29">
        <v>32</v>
      </c>
      <c r="B2002" s="30">
        <f>IF(20&lt;=DAY(DATE(YEAR(설정_코스수당!$K$2),MONTH(설정_코스수당!$K$2)+1,0)),DATE(YEAR(설정_코스수당!$K$2),MONTH(설정_코스수당!$K$2),20),"")</f>
        <v>46193</v>
      </c>
      <c r="C2002" s="31"/>
      <c r="D2002" s="29"/>
      <c r="E2002" s="29"/>
      <c r="F2002" s="32"/>
      <c r="G2002" s="29"/>
      <c r="H2002" s="29"/>
      <c r="I2002" s="29"/>
      <c r="J2002" s="33">
        <f>IF($O2002="방문완료",MAX(0,IFERROR(VLOOKUP($E2002,설정_코스수당!$A$6:$H$10,4,FALSE),0)-IF(OR($P2002="",$P2002="없음"),0,100000)),0)</f>
        <v>0</v>
      </c>
      <c r="K2002" s="33">
        <f t="array" ref="K2002">IF($O2002="방문완료",IFERROR(INDEX(설정_코스수당!$B$15:$F$64,MATCH($G2002,설정_코스수당!$A$15:$A$64,0),MATCH($E2002&amp;"수당",설정_코스수당!$B$14:$F$14,0)),0),0)</f>
        <v>0</v>
      </c>
      <c r="L2002" s="33">
        <f t="array" ref="L2002">IF($O2002="방문완료",IF($H2002="",0,IFERROR(INDEX(설정_코스수당!$B$15:$F$64,MATCH($H2002,설정_코스수당!$A$15:$A$64,0),MATCH($E2002&amp;"수당",설정_코스수당!$B$14:$F$14,0)),0)),0)</f>
        <v>0</v>
      </c>
      <c r="M2002" s="33">
        <f>IF($O2002="방문완료",IFERROR(VLOOKUP($E2002,설정_코스수당!$A$6:$H$10,6,FALSE),0),0)</f>
        <v>0</v>
      </c>
      <c r="N2002" s="34">
        <f t="shared" si="57"/>
        <v>0</v>
      </c>
      <c r="O2002" s="29"/>
      <c r="P2002" s="29"/>
      <c r="Q2002" s="29"/>
      <c r="R2002" s="32"/>
      <c r="S2002" s="29"/>
    </row>
    <row r="2003" spans="1:19" ht="19.5" hidden="1" customHeight="1" outlineLevel="1">
      <c r="A2003" s="23">
        <v>33</v>
      </c>
      <c r="B2003" s="24">
        <f>IF(20&lt;=DAY(DATE(YEAR(설정_코스수당!$K$2),MONTH(설정_코스수당!$K$2)+1,0)),DATE(YEAR(설정_코스수당!$K$2),MONTH(설정_코스수당!$K$2),20),"")</f>
        <v>46193</v>
      </c>
      <c r="C2003" s="25"/>
      <c r="D2003" s="23"/>
      <c r="E2003" s="23"/>
      <c r="F2003" s="26"/>
      <c r="G2003" s="23"/>
      <c r="H2003" s="23"/>
      <c r="I2003" s="23"/>
      <c r="J2003" s="27">
        <f>IF($O2003="방문완료",MAX(0,IFERROR(VLOOKUP($E2003,설정_코스수당!$A$6:$H$10,4,FALSE),0)-IF(OR($P2003="",$P2003="없음"),0,100000)),0)</f>
        <v>0</v>
      </c>
      <c r="K2003" s="27">
        <f t="array" ref="K2003">IF($O2003="방문완료",IFERROR(INDEX(설정_코스수당!$B$15:$F$64,MATCH($G2003,설정_코스수당!$A$15:$A$64,0),MATCH($E2003&amp;"수당",설정_코스수당!$B$14:$F$14,0)),0),0)</f>
        <v>0</v>
      </c>
      <c r="L2003" s="27">
        <f t="array" ref="L2003">IF($O2003="방문완료",IF($H2003="",0,IFERROR(INDEX(설정_코스수당!$B$15:$F$64,MATCH($H2003,설정_코스수당!$A$15:$A$64,0),MATCH($E2003&amp;"수당",설정_코스수당!$B$14:$F$14,0)),0)),0)</f>
        <v>0</v>
      </c>
      <c r="M2003" s="27">
        <f>IF($O2003="방문완료",IFERROR(VLOOKUP($E2003,설정_코스수당!$A$6:$H$10,6,FALSE),0),0)</f>
        <v>0</v>
      </c>
      <c r="N2003" s="28">
        <f t="shared" ref="N2003:N2034" si="58">IF($O2003="방문완료",1,0)</f>
        <v>0</v>
      </c>
      <c r="O2003" s="23"/>
      <c r="P2003" s="23"/>
      <c r="Q2003" s="23"/>
      <c r="R2003" s="26"/>
      <c r="S2003" s="23"/>
    </row>
    <row r="2004" spans="1:19" ht="19.5" hidden="1" customHeight="1" outlineLevel="1">
      <c r="A2004" s="29">
        <v>34</v>
      </c>
      <c r="B2004" s="30">
        <f>IF(20&lt;=DAY(DATE(YEAR(설정_코스수당!$K$2),MONTH(설정_코스수당!$K$2)+1,0)),DATE(YEAR(설정_코스수당!$K$2),MONTH(설정_코스수당!$K$2),20),"")</f>
        <v>46193</v>
      </c>
      <c r="C2004" s="31"/>
      <c r="D2004" s="29"/>
      <c r="E2004" s="29"/>
      <c r="F2004" s="32"/>
      <c r="G2004" s="29"/>
      <c r="H2004" s="29"/>
      <c r="I2004" s="29"/>
      <c r="J2004" s="33">
        <f>IF($O2004="방문완료",MAX(0,IFERROR(VLOOKUP($E2004,설정_코스수당!$A$6:$H$10,4,FALSE),0)-IF(OR($P2004="",$P2004="없음"),0,100000)),0)</f>
        <v>0</v>
      </c>
      <c r="K2004" s="33">
        <f t="array" ref="K2004">IF($O2004="방문완료",IFERROR(INDEX(설정_코스수당!$B$15:$F$64,MATCH($G2004,설정_코스수당!$A$15:$A$64,0),MATCH($E2004&amp;"수당",설정_코스수당!$B$14:$F$14,0)),0),0)</f>
        <v>0</v>
      </c>
      <c r="L2004" s="33">
        <f t="array" ref="L2004">IF($O2004="방문완료",IF($H2004="",0,IFERROR(INDEX(설정_코스수당!$B$15:$F$64,MATCH($H2004,설정_코스수당!$A$15:$A$64,0),MATCH($E2004&amp;"수당",설정_코스수당!$B$14:$F$14,0)),0)),0)</f>
        <v>0</v>
      </c>
      <c r="M2004" s="33">
        <f>IF($O2004="방문완료",IFERROR(VLOOKUP($E2004,설정_코스수당!$A$6:$H$10,6,FALSE),0),0)</f>
        <v>0</v>
      </c>
      <c r="N2004" s="34">
        <f t="shared" si="58"/>
        <v>0</v>
      </c>
      <c r="O2004" s="29"/>
      <c r="P2004" s="29"/>
      <c r="Q2004" s="29"/>
      <c r="R2004" s="32"/>
      <c r="S2004" s="29"/>
    </row>
    <row r="2005" spans="1:19" ht="19.5" hidden="1" customHeight="1" outlineLevel="1">
      <c r="A2005" s="23">
        <v>35</v>
      </c>
      <c r="B2005" s="24">
        <f>IF(20&lt;=DAY(DATE(YEAR(설정_코스수당!$K$2),MONTH(설정_코스수당!$K$2)+1,0)),DATE(YEAR(설정_코스수당!$K$2),MONTH(설정_코스수당!$K$2),20),"")</f>
        <v>46193</v>
      </c>
      <c r="C2005" s="25"/>
      <c r="D2005" s="23"/>
      <c r="E2005" s="23"/>
      <c r="F2005" s="26"/>
      <c r="G2005" s="23"/>
      <c r="H2005" s="23"/>
      <c r="I2005" s="23"/>
      <c r="J2005" s="27">
        <f>IF($O2005="방문완료",MAX(0,IFERROR(VLOOKUP($E2005,설정_코스수당!$A$6:$H$10,4,FALSE),0)-IF(OR($P2005="",$P2005="없음"),0,100000)),0)</f>
        <v>0</v>
      </c>
      <c r="K2005" s="27">
        <f t="array" ref="K2005">IF($O2005="방문완료",IFERROR(INDEX(설정_코스수당!$B$15:$F$64,MATCH($G2005,설정_코스수당!$A$15:$A$64,0),MATCH($E2005&amp;"수당",설정_코스수당!$B$14:$F$14,0)),0),0)</f>
        <v>0</v>
      </c>
      <c r="L2005" s="27">
        <f t="array" ref="L2005">IF($O2005="방문완료",IF($H2005="",0,IFERROR(INDEX(설정_코스수당!$B$15:$F$64,MATCH($H2005,설정_코스수당!$A$15:$A$64,0),MATCH($E2005&amp;"수당",설정_코스수당!$B$14:$F$14,0)),0)),0)</f>
        <v>0</v>
      </c>
      <c r="M2005" s="27">
        <f>IF($O2005="방문완료",IFERROR(VLOOKUP($E2005,설정_코스수당!$A$6:$H$10,6,FALSE),0),0)</f>
        <v>0</v>
      </c>
      <c r="N2005" s="28">
        <f t="shared" si="58"/>
        <v>0</v>
      </c>
      <c r="O2005" s="23"/>
      <c r="P2005" s="23"/>
      <c r="Q2005" s="23"/>
      <c r="R2005" s="26"/>
      <c r="S2005" s="23"/>
    </row>
    <row r="2006" spans="1:19" ht="19.5" hidden="1" customHeight="1" outlineLevel="1">
      <c r="A2006" s="29">
        <v>36</v>
      </c>
      <c r="B2006" s="30">
        <f>IF(20&lt;=DAY(DATE(YEAR(설정_코스수당!$K$2),MONTH(설정_코스수당!$K$2)+1,0)),DATE(YEAR(설정_코스수당!$K$2),MONTH(설정_코스수당!$K$2),20),"")</f>
        <v>46193</v>
      </c>
      <c r="C2006" s="31"/>
      <c r="D2006" s="29"/>
      <c r="E2006" s="29"/>
      <c r="F2006" s="32"/>
      <c r="G2006" s="29"/>
      <c r="H2006" s="29"/>
      <c r="I2006" s="29"/>
      <c r="J2006" s="33">
        <f>IF($O2006="방문완료",MAX(0,IFERROR(VLOOKUP($E2006,설정_코스수당!$A$6:$H$10,4,FALSE),0)-IF(OR($P2006="",$P2006="없음"),0,100000)),0)</f>
        <v>0</v>
      </c>
      <c r="K2006" s="33">
        <f t="array" ref="K2006">IF($O2006="방문완료",IFERROR(INDEX(설정_코스수당!$B$15:$F$64,MATCH($G2006,설정_코스수당!$A$15:$A$64,0),MATCH($E2006&amp;"수당",설정_코스수당!$B$14:$F$14,0)),0),0)</f>
        <v>0</v>
      </c>
      <c r="L2006" s="33">
        <f t="array" ref="L2006">IF($O2006="방문완료",IF($H2006="",0,IFERROR(INDEX(설정_코스수당!$B$15:$F$64,MATCH($H2006,설정_코스수당!$A$15:$A$64,0),MATCH($E2006&amp;"수당",설정_코스수당!$B$14:$F$14,0)),0)),0)</f>
        <v>0</v>
      </c>
      <c r="M2006" s="33">
        <f>IF($O2006="방문완료",IFERROR(VLOOKUP($E2006,설정_코스수당!$A$6:$H$10,6,FALSE),0),0)</f>
        <v>0</v>
      </c>
      <c r="N2006" s="34">
        <f t="shared" si="58"/>
        <v>0</v>
      </c>
      <c r="O2006" s="29"/>
      <c r="P2006" s="29"/>
      <c r="Q2006" s="29"/>
      <c r="R2006" s="32"/>
      <c r="S2006" s="29"/>
    </row>
    <row r="2007" spans="1:19" ht="19.5" hidden="1" customHeight="1" outlineLevel="1">
      <c r="A2007" s="23">
        <v>37</v>
      </c>
      <c r="B2007" s="24">
        <f>IF(20&lt;=DAY(DATE(YEAR(설정_코스수당!$K$2),MONTH(설정_코스수당!$K$2)+1,0)),DATE(YEAR(설정_코스수당!$K$2),MONTH(설정_코스수당!$K$2),20),"")</f>
        <v>46193</v>
      </c>
      <c r="C2007" s="25"/>
      <c r="D2007" s="23"/>
      <c r="E2007" s="23"/>
      <c r="F2007" s="26"/>
      <c r="G2007" s="23"/>
      <c r="H2007" s="23"/>
      <c r="I2007" s="23"/>
      <c r="J2007" s="27">
        <f>IF($O2007="방문완료",MAX(0,IFERROR(VLOOKUP($E2007,설정_코스수당!$A$6:$H$10,4,FALSE),0)-IF(OR($P2007="",$P2007="없음"),0,100000)),0)</f>
        <v>0</v>
      </c>
      <c r="K2007" s="27">
        <f t="array" ref="K2007">IF($O2007="방문완료",IFERROR(INDEX(설정_코스수당!$B$15:$F$64,MATCH($G2007,설정_코스수당!$A$15:$A$64,0),MATCH($E2007&amp;"수당",설정_코스수당!$B$14:$F$14,0)),0),0)</f>
        <v>0</v>
      </c>
      <c r="L2007" s="27">
        <f t="array" ref="L2007">IF($O2007="방문완료",IF($H2007="",0,IFERROR(INDEX(설정_코스수당!$B$15:$F$64,MATCH($H2007,설정_코스수당!$A$15:$A$64,0),MATCH($E2007&amp;"수당",설정_코스수당!$B$14:$F$14,0)),0)),0)</f>
        <v>0</v>
      </c>
      <c r="M2007" s="27">
        <f>IF($O2007="방문완료",IFERROR(VLOOKUP($E2007,설정_코스수당!$A$6:$H$10,6,FALSE),0),0)</f>
        <v>0</v>
      </c>
      <c r="N2007" s="28">
        <f t="shared" si="58"/>
        <v>0</v>
      </c>
      <c r="O2007" s="23"/>
      <c r="P2007" s="23"/>
      <c r="Q2007" s="23"/>
      <c r="R2007" s="26"/>
      <c r="S2007" s="23"/>
    </row>
    <row r="2008" spans="1:19" ht="19.5" hidden="1" customHeight="1" outlineLevel="1">
      <c r="A2008" s="29">
        <v>38</v>
      </c>
      <c r="B2008" s="30">
        <f>IF(20&lt;=DAY(DATE(YEAR(설정_코스수당!$K$2),MONTH(설정_코스수당!$K$2)+1,0)),DATE(YEAR(설정_코스수당!$K$2),MONTH(설정_코스수당!$K$2),20),"")</f>
        <v>46193</v>
      </c>
      <c r="C2008" s="31"/>
      <c r="D2008" s="29"/>
      <c r="E2008" s="29"/>
      <c r="F2008" s="32"/>
      <c r="G2008" s="29"/>
      <c r="H2008" s="29"/>
      <c r="I2008" s="29"/>
      <c r="J2008" s="33">
        <f>IF($O2008="방문완료",MAX(0,IFERROR(VLOOKUP($E2008,설정_코스수당!$A$6:$H$10,4,FALSE),0)-IF(OR($P2008="",$P2008="없음"),0,100000)),0)</f>
        <v>0</v>
      </c>
      <c r="K2008" s="33">
        <f t="array" ref="K2008">IF($O2008="방문완료",IFERROR(INDEX(설정_코스수당!$B$15:$F$64,MATCH($G2008,설정_코스수당!$A$15:$A$64,0),MATCH($E2008&amp;"수당",설정_코스수당!$B$14:$F$14,0)),0),0)</f>
        <v>0</v>
      </c>
      <c r="L2008" s="33">
        <f t="array" ref="L2008">IF($O2008="방문완료",IF($H2008="",0,IFERROR(INDEX(설정_코스수당!$B$15:$F$64,MATCH($H2008,설정_코스수당!$A$15:$A$64,0),MATCH($E2008&amp;"수당",설정_코스수당!$B$14:$F$14,0)),0)),0)</f>
        <v>0</v>
      </c>
      <c r="M2008" s="33">
        <f>IF($O2008="방문완료",IFERROR(VLOOKUP($E2008,설정_코스수당!$A$6:$H$10,6,FALSE),0),0)</f>
        <v>0</v>
      </c>
      <c r="N2008" s="34">
        <f t="shared" si="58"/>
        <v>0</v>
      </c>
      <c r="O2008" s="29"/>
      <c r="P2008" s="29"/>
      <c r="Q2008" s="29"/>
      <c r="R2008" s="32"/>
      <c r="S2008" s="29"/>
    </row>
    <row r="2009" spans="1:19" ht="19.5" hidden="1" customHeight="1" outlineLevel="1">
      <c r="A2009" s="23">
        <v>39</v>
      </c>
      <c r="B2009" s="24">
        <f>IF(20&lt;=DAY(DATE(YEAR(설정_코스수당!$K$2),MONTH(설정_코스수당!$K$2)+1,0)),DATE(YEAR(설정_코스수당!$K$2),MONTH(설정_코스수당!$K$2),20),"")</f>
        <v>46193</v>
      </c>
      <c r="C2009" s="25"/>
      <c r="D2009" s="23"/>
      <c r="E2009" s="23"/>
      <c r="F2009" s="26"/>
      <c r="G2009" s="23"/>
      <c r="H2009" s="23"/>
      <c r="I2009" s="23"/>
      <c r="J2009" s="27">
        <f>IF($O2009="방문완료",MAX(0,IFERROR(VLOOKUP($E2009,설정_코스수당!$A$6:$H$10,4,FALSE),0)-IF(OR($P2009="",$P2009="없음"),0,100000)),0)</f>
        <v>0</v>
      </c>
      <c r="K2009" s="27">
        <f t="array" ref="K2009">IF($O2009="방문완료",IFERROR(INDEX(설정_코스수당!$B$15:$F$64,MATCH($G2009,설정_코스수당!$A$15:$A$64,0),MATCH($E2009&amp;"수당",설정_코스수당!$B$14:$F$14,0)),0),0)</f>
        <v>0</v>
      </c>
      <c r="L2009" s="27">
        <f t="array" ref="L2009">IF($O2009="방문완료",IF($H2009="",0,IFERROR(INDEX(설정_코스수당!$B$15:$F$64,MATCH($H2009,설정_코스수당!$A$15:$A$64,0),MATCH($E2009&amp;"수당",설정_코스수당!$B$14:$F$14,0)),0)),0)</f>
        <v>0</v>
      </c>
      <c r="M2009" s="27">
        <f>IF($O2009="방문완료",IFERROR(VLOOKUP($E2009,설정_코스수당!$A$6:$H$10,6,FALSE),0),0)</f>
        <v>0</v>
      </c>
      <c r="N2009" s="28">
        <f t="shared" si="58"/>
        <v>0</v>
      </c>
      <c r="O2009" s="23"/>
      <c r="P2009" s="23"/>
      <c r="Q2009" s="23"/>
      <c r="R2009" s="26"/>
      <c r="S2009" s="23"/>
    </row>
    <row r="2010" spans="1:19" ht="19.5" hidden="1" customHeight="1" outlineLevel="1">
      <c r="A2010" s="29">
        <v>40</v>
      </c>
      <c r="B2010" s="30">
        <f>IF(20&lt;=DAY(DATE(YEAR(설정_코스수당!$K$2),MONTH(설정_코스수당!$K$2)+1,0)),DATE(YEAR(설정_코스수당!$K$2),MONTH(설정_코스수당!$K$2),20),"")</f>
        <v>46193</v>
      </c>
      <c r="C2010" s="31"/>
      <c r="D2010" s="29"/>
      <c r="E2010" s="29"/>
      <c r="F2010" s="32"/>
      <c r="G2010" s="29"/>
      <c r="H2010" s="29"/>
      <c r="I2010" s="29"/>
      <c r="J2010" s="33">
        <f>IF($O2010="방문완료",MAX(0,IFERROR(VLOOKUP($E2010,설정_코스수당!$A$6:$H$10,4,FALSE),0)-IF(OR($P2010="",$P2010="없음"),0,100000)),0)</f>
        <v>0</v>
      </c>
      <c r="K2010" s="33">
        <f t="array" ref="K2010">IF($O2010="방문완료",IFERROR(INDEX(설정_코스수당!$B$15:$F$64,MATCH($G2010,설정_코스수당!$A$15:$A$64,0),MATCH($E2010&amp;"수당",설정_코스수당!$B$14:$F$14,0)),0),0)</f>
        <v>0</v>
      </c>
      <c r="L2010" s="33">
        <f t="array" ref="L2010">IF($O2010="방문완료",IF($H2010="",0,IFERROR(INDEX(설정_코스수당!$B$15:$F$64,MATCH($H2010,설정_코스수당!$A$15:$A$64,0),MATCH($E2010&amp;"수당",설정_코스수당!$B$14:$F$14,0)),0)),0)</f>
        <v>0</v>
      </c>
      <c r="M2010" s="33">
        <f>IF($O2010="방문완료",IFERROR(VLOOKUP($E2010,설정_코스수당!$A$6:$H$10,6,FALSE),0),0)</f>
        <v>0</v>
      </c>
      <c r="N2010" s="34">
        <f t="shared" si="58"/>
        <v>0</v>
      </c>
      <c r="O2010" s="29"/>
      <c r="P2010" s="29"/>
      <c r="Q2010" s="29"/>
      <c r="R2010" s="32"/>
      <c r="S2010" s="29"/>
    </row>
    <row r="2011" spans="1:19" ht="19.5" hidden="1" customHeight="1" outlineLevel="1">
      <c r="A2011" s="23">
        <v>41</v>
      </c>
      <c r="B2011" s="24">
        <f>IF(20&lt;=DAY(DATE(YEAR(설정_코스수당!$K$2),MONTH(설정_코스수당!$K$2)+1,0)),DATE(YEAR(설정_코스수당!$K$2),MONTH(설정_코스수당!$K$2),20),"")</f>
        <v>46193</v>
      </c>
      <c r="C2011" s="25"/>
      <c r="D2011" s="23"/>
      <c r="E2011" s="23"/>
      <c r="F2011" s="26"/>
      <c r="G2011" s="23"/>
      <c r="H2011" s="23"/>
      <c r="I2011" s="23"/>
      <c r="J2011" s="27">
        <f>IF($O2011="방문완료",MAX(0,IFERROR(VLOOKUP($E2011,설정_코스수당!$A$6:$H$10,4,FALSE),0)-IF(OR($P2011="",$P2011="없음"),0,100000)),0)</f>
        <v>0</v>
      </c>
      <c r="K2011" s="27">
        <f t="array" ref="K2011">IF($O2011="방문완료",IFERROR(INDEX(설정_코스수당!$B$15:$F$64,MATCH($G2011,설정_코스수당!$A$15:$A$64,0),MATCH($E2011&amp;"수당",설정_코스수당!$B$14:$F$14,0)),0),0)</f>
        <v>0</v>
      </c>
      <c r="L2011" s="27">
        <f t="array" ref="L2011">IF($O2011="방문완료",IF($H2011="",0,IFERROR(INDEX(설정_코스수당!$B$15:$F$64,MATCH($H2011,설정_코스수당!$A$15:$A$64,0),MATCH($E2011&amp;"수당",설정_코스수당!$B$14:$F$14,0)),0)),0)</f>
        <v>0</v>
      </c>
      <c r="M2011" s="27">
        <f>IF($O2011="방문완료",IFERROR(VLOOKUP($E2011,설정_코스수당!$A$6:$H$10,6,FALSE),0),0)</f>
        <v>0</v>
      </c>
      <c r="N2011" s="28">
        <f t="shared" si="58"/>
        <v>0</v>
      </c>
      <c r="O2011" s="23"/>
      <c r="P2011" s="23"/>
      <c r="Q2011" s="23"/>
      <c r="R2011" s="26"/>
      <c r="S2011" s="23"/>
    </row>
    <row r="2012" spans="1:19" ht="19.5" hidden="1" customHeight="1" outlineLevel="1">
      <c r="A2012" s="29">
        <v>42</v>
      </c>
      <c r="B2012" s="30">
        <f>IF(20&lt;=DAY(DATE(YEAR(설정_코스수당!$K$2),MONTH(설정_코스수당!$K$2)+1,0)),DATE(YEAR(설정_코스수당!$K$2),MONTH(설정_코스수당!$K$2),20),"")</f>
        <v>46193</v>
      </c>
      <c r="C2012" s="31"/>
      <c r="D2012" s="29"/>
      <c r="E2012" s="29"/>
      <c r="F2012" s="32"/>
      <c r="G2012" s="29"/>
      <c r="H2012" s="29"/>
      <c r="I2012" s="29"/>
      <c r="J2012" s="33">
        <f>IF($O2012="방문완료",MAX(0,IFERROR(VLOOKUP($E2012,설정_코스수당!$A$6:$H$10,4,FALSE),0)-IF(OR($P2012="",$P2012="없음"),0,100000)),0)</f>
        <v>0</v>
      </c>
      <c r="K2012" s="33">
        <f t="array" ref="K2012">IF($O2012="방문완료",IFERROR(INDEX(설정_코스수당!$B$15:$F$64,MATCH($G2012,설정_코스수당!$A$15:$A$64,0),MATCH($E2012&amp;"수당",설정_코스수당!$B$14:$F$14,0)),0),0)</f>
        <v>0</v>
      </c>
      <c r="L2012" s="33">
        <f t="array" ref="L2012">IF($O2012="방문완료",IF($H2012="",0,IFERROR(INDEX(설정_코스수당!$B$15:$F$64,MATCH($H2012,설정_코스수당!$A$15:$A$64,0),MATCH($E2012&amp;"수당",설정_코스수당!$B$14:$F$14,0)),0)),0)</f>
        <v>0</v>
      </c>
      <c r="M2012" s="33">
        <f>IF($O2012="방문완료",IFERROR(VLOOKUP($E2012,설정_코스수당!$A$6:$H$10,6,FALSE),0),0)</f>
        <v>0</v>
      </c>
      <c r="N2012" s="34">
        <f t="shared" si="58"/>
        <v>0</v>
      </c>
      <c r="O2012" s="29"/>
      <c r="P2012" s="29"/>
      <c r="Q2012" s="29"/>
      <c r="R2012" s="32"/>
      <c r="S2012" s="29"/>
    </row>
    <row r="2013" spans="1:19" ht="19.5" hidden="1" customHeight="1" outlineLevel="1">
      <c r="A2013" s="23">
        <v>43</v>
      </c>
      <c r="B2013" s="24">
        <f>IF(20&lt;=DAY(DATE(YEAR(설정_코스수당!$K$2),MONTH(설정_코스수당!$K$2)+1,0)),DATE(YEAR(설정_코스수당!$K$2),MONTH(설정_코스수당!$K$2),20),"")</f>
        <v>46193</v>
      </c>
      <c r="C2013" s="25"/>
      <c r="D2013" s="23"/>
      <c r="E2013" s="23"/>
      <c r="F2013" s="26"/>
      <c r="G2013" s="23"/>
      <c r="H2013" s="23"/>
      <c r="I2013" s="23"/>
      <c r="J2013" s="27">
        <f>IF($O2013="방문완료",MAX(0,IFERROR(VLOOKUP($E2013,설정_코스수당!$A$6:$H$10,4,FALSE),0)-IF(OR($P2013="",$P2013="없음"),0,100000)),0)</f>
        <v>0</v>
      </c>
      <c r="K2013" s="27">
        <f t="array" ref="K2013">IF($O2013="방문완료",IFERROR(INDEX(설정_코스수당!$B$15:$F$64,MATCH($G2013,설정_코스수당!$A$15:$A$64,0),MATCH($E2013&amp;"수당",설정_코스수당!$B$14:$F$14,0)),0),0)</f>
        <v>0</v>
      </c>
      <c r="L2013" s="27">
        <f t="array" ref="L2013">IF($O2013="방문완료",IF($H2013="",0,IFERROR(INDEX(설정_코스수당!$B$15:$F$64,MATCH($H2013,설정_코스수당!$A$15:$A$64,0),MATCH($E2013&amp;"수당",설정_코스수당!$B$14:$F$14,0)),0)),0)</f>
        <v>0</v>
      </c>
      <c r="M2013" s="27">
        <f>IF($O2013="방문완료",IFERROR(VLOOKUP($E2013,설정_코스수당!$A$6:$H$10,6,FALSE),0),0)</f>
        <v>0</v>
      </c>
      <c r="N2013" s="28">
        <f t="shared" si="58"/>
        <v>0</v>
      </c>
      <c r="O2013" s="23"/>
      <c r="P2013" s="23"/>
      <c r="Q2013" s="23"/>
      <c r="R2013" s="26"/>
      <c r="S2013" s="23"/>
    </row>
    <row r="2014" spans="1:19" ht="19.5" hidden="1" customHeight="1" outlineLevel="1">
      <c r="A2014" s="29">
        <v>44</v>
      </c>
      <c r="B2014" s="30">
        <f>IF(20&lt;=DAY(DATE(YEAR(설정_코스수당!$K$2),MONTH(설정_코스수당!$K$2)+1,0)),DATE(YEAR(설정_코스수당!$K$2),MONTH(설정_코스수당!$K$2),20),"")</f>
        <v>46193</v>
      </c>
      <c r="C2014" s="31"/>
      <c r="D2014" s="29"/>
      <c r="E2014" s="29"/>
      <c r="F2014" s="32"/>
      <c r="G2014" s="29"/>
      <c r="H2014" s="29"/>
      <c r="I2014" s="29"/>
      <c r="J2014" s="33">
        <f>IF($O2014="방문완료",MAX(0,IFERROR(VLOOKUP($E2014,설정_코스수당!$A$6:$H$10,4,FALSE),0)-IF(OR($P2014="",$P2014="없음"),0,100000)),0)</f>
        <v>0</v>
      </c>
      <c r="K2014" s="33">
        <f t="array" ref="K2014">IF($O2014="방문완료",IFERROR(INDEX(설정_코스수당!$B$15:$F$64,MATCH($G2014,설정_코스수당!$A$15:$A$64,0),MATCH($E2014&amp;"수당",설정_코스수당!$B$14:$F$14,0)),0),0)</f>
        <v>0</v>
      </c>
      <c r="L2014" s="33">
        <f t="array" ref="L2014">IF($O2014="방문완료",IF($H2014="",0,IFERROR(INDEX(설정_코스수당!$B$15:$F$64,MATCH($H2014,설정_코스수당!$A$15:$A$64,0),MATCH($E2014&amp;"수당",설정_코스수당!$B$14:$F$14,0)),0)),0)</f>
        <v>0</v>
      </c>
      <c r="M2014" s="33">
        <f>IF($O2014="방문완료",IFERROR(VLOOKUP($E2014,설정_코스수당!$A$6:$H$10,6,FALSE),0),0)</f>
        <v>0</v>
      </c>
      <c r="N2014" s="34">
        <f t="shared" si="58"/>
        <v>0</v>
      </c>
      <c r="O2014" s="29"/>
      <c r="P2014" s="29"/>
      <c r="Q2014" s="29"/>
      <c r="R2014" s="32"/>
      <c r="S2014" s="29"/>
    </row>
    <row r="2015" spans="1:19" ht="19.5" hidden="1" customHeight="1" outlineLevel="1">
      <c r="A2015" s="23">
        <v>45</v>
      </c>
      <c r="B2015" s="24">
        <f>IF(20&lt;=DAY(DATE(YEAR(설정_코스수당!$K$2),MONTH(설정_코스수당!$K$2)+1,0)),DATE(YEAR(설정_코스수당!$K$2),MONTH(설정_코스수당!$K$2),20),"")</f>
        <v>46193</v>
      </c>
      <c r="C2015" s="25"/>
      <c r="D2015" s="23"/>
      <c r="E2015" s="23"/>
      <c r="F2015" s="26"/>
      <c r="G2015" s="23"/>
      <c r="H2015" s="23"/>
      <c r="I2015" s="23"/>
      <c r="J2015" s="27">
        <f>IF($O2015="방문완료",MAX(0,IFERROR(VLOOKUP($E2015,설정_코스수당!$A$6:$H$10,4,FALSE),0)-IF(OR($P2015="",$P2015="없음"),0,100000)),0)</f>
        <v>0</v>
      </c>
      <c r="K2015" s="27">
        <f t="array" ref="K2015">IF($O2015="방문완료",IFERROR(INDEX(설정_코스수당!$B$15:$F$64,MATCH($G2015,설정_코스수당!$A$15:$A$64,0),MATCH($E2015&amp;"수당",설정_코스수당!$B$14:$F$14,0)),0),0)</f>
        <v>0</v>
      </c>
      <c r="L2015" s="27">
        <f t="array" ref="L2015">IF($O2015="방문완료",IF($H2015="",0,IFERROR(INDEX(설정_코스수당!$B$15:$F$64,MATCH($H2015,설정_코스수당!$A$15:$A$64,0),MATCH($E2015&amp;"수당",설정_코스수당!$B$14:$F$14,0)),0)),0)</f>
        <v>0</v>
      </c>
      <c r="M2015" s="27">
        <f>IF($O2015="방문완료",IFERROR(VLOOKUP($E2015,설정_코스수당!$A$6:$H$10,6,FALSE),0),0)</f>
        <v>0</v>
      </c>
      <c r="N2015" s="28">
        <f t="shared" si="58"/>
        <v>0</v>
      </c>
      <c r="O2015" s="23"/>
      <c r="P2015" s="23"/>
      <c r="Q2015" s="23"/>
      <c r="R2015" s="26"/>
      <c r="S2015" s="23"/>
    </row>
    <row r="2016" spans="1:19" ht="19.5" hidden="1" customHeight="1" outlineLevel="1">
      <c r="A2016" s="29">
        <v>46</v>
      </c>
      <c r="B2016" s="30">
        <f>IF(20&lt;=DAY(DATE(YEAR(설정_코스수당!$K$2),MONTH(설정_코스수당!$K$2)+1,0)),DATE(YEAR(설정_코스수당!$K$2),MONTH(설정_코스수당!$K$2),20),"")</f>
        <v>46193</v>
      </c>
      <c r="C2016" s="31"/>
      <c r="D2016" s="29"/>
      <c r="E2016" s="29"/>
      <c r="F2016" s="32"/>
      <c r="G2016" s="29"/>
      <c r="H2016" s="29"/>
      <c r="I2016" s="29"/>
      <c r="J2016" s="33">
        <f>IF($O2016="방문완료",MAX(0,IFERROR(VLOOKUP($E2016,설정_코스수당!$A$6:$H$10,4,FALSE),0)-IF(OR($P2016="",$P2016="없음"),0,100000)),0)</f>
        <v>0</v>
      </c>
      <c r="K2016" s="33">
        <f t="array" ref="K2016">IF($O2016="방문완료",IFERROR(INDEX(설정_코스수당!$B$15:$F$64,MATCH($G2016,설정_코스수당!$A$15:$A$64,0),MATCH($E2016&amp;"수당",설정_코스수당!$B$14:$F$14,0)),0),0)</f>
        <v>0</v>
      </c>
      <c r="L2016" s="33">
        <f t="array" ref="L2016">IF($O2016="방문완료",IF($H2016="",0,IFERROR(INDEX(설정_코스수당!$B$15:$F$64,MATCH($H2016,설정_코스수당!$A$15:$A$64,0),MATCH($E2016&amp;"수당",설정_코스수당!$B$14:$F$14,0)),0)),0)</f>
        <v>0</v>
      </c>
      <c r="M2016" s="33">
        <f>IF($O2016="방문완료",IFERROR(VLOOKUP($E2016,설정_코스수당!$A$6:$H$10,6,FALSE),0),0)</f>
        <v>0</v>
      </c>
      <c r="N2016" s="34">
        <f t="shared" si="58"/>
        <v>0</v>
      </c>
      <c r="O2016" s="29"/>
      <c r="P2016" s="29"/>
      <c r="Q2016" s="29"/>
      <c r="R2016" s="32"/>
      <c r="S2016" s="29"/>
    </row>
    <row r="2017" spans="1:22" ht="19.5" hidden="1" customHeight="1" outlineLevel="1">
      <c r="A2017" s="23">
        <v>47</v>
      </c>
      <c r="B2017" s="24">
        <f>IF(20&lt;=DAY(DATE(YEAR(설정_코스수당!$K$2),MONTH(설정_코스수당!$K$2)+1,0)),DATE(YEAR(설정_코스수당!$K$2),MONTH(설정_코스수당!$K$2),20),"")</f>
        <v>46193</v>
      </c>
      <c r="C2017" s="25"/>
      <c r="D2017" s="23"/>
      <c r="E2017" s="23"/>
      <c r="F2017" s="26"/>
      <c r="G2017" s="23"/>
      <c r="H2017" s="23"/>
      <c r="I2017" s="23"/>
      <c r="J2017" s="27">
        <f>IF($O2017="방문완료",MAX(0,IFERROR(VLOOKUP($E2017,설정_코스수당!$A$6:$H$10,4,FALSE),0)-IF(OR($P2017="",$P2017="없음"),0,100000)),0)</f>
        <v>0</v>
      </c>
      <c r="K2017" s="27">
        <f t="array" ref="K2017">IF($O2017="방문완료",IFERROR(INDEX(설정_코스수당!$B$15:$F$64,MATCH($G2017,설정_코스수당!$A$15:$A$64,0),MATCH($E2017&amp;"수당",설정_코스수당!$B$14:$F$14,0)),0),0)</f>
        <v>0</v>
      </c>
      <c r="L2017" s="27">
        <f t="array" ref="L2017">IF($O2017="방문완료",IF($H2017="",0,IFERROR(INDEX(설정_코스수당!$B$15:$F$64,MATCH($H2017,설정_코스수당!$A$15:$A$64,0),MATCH($E2017&amp;"수당",설정_코스수당!$B$14:$F$14,0)),0)),0)</f>
        <v>0</v>
      </c>
      <c r="M2017" s="27">
        <f>IF($O2017="방문완료",IFERROR(VLOOKUP($E2017,설정_코스수당!$A$6:$H$10,6,FALSE),0),0)</f>
        <v>0</v>
      </c>
      <c r="N2017" s="28">
        <f t="shared" si="58"/>
        <v>0</v>
      </c>
      <c r="O2017" s="23"/>
      <c r="P2017" s="23"/>
      <c r="Q2017" s="23"/>
      <c r="R2017" s="26"/>
      <c r="S2017" s="23"/>
    </row>
    <row r="2018" spans="1:22" ht="19.5" hidden="1" customHeight="1" outlineLevel="1">
      <c r="A2018" s="29">
        <v>48</v>
      </c>
      <c r="B2018" s="30">
        <f>IF(20&lt;=DAY(DATE(YEAR(설정_코스수당!$K$2),MONTH(설정_코스수당!$K$2)+1,0)),DATE(YEAR(설정_코스수당!$K$2),MONTH(설정_코스수당!$K$2),20),"")</f>
        <v>46193</v>
      </c>
      <c r="C2018" s="31"/>
      <c r="D2018" s="29"/>
      <c r="E2018" s="29"/>
      <c r="F2018" s="32"/>
      <c r="G2018" s="29"/>
      <c r="H2018" s="29"/>
      <c r="I2018" s="29"/>
      <c r="J2018" s="33">
        <f>IF($O2018="방문완료",MAX(0,IFERROR(VLOOKUP($E2018,설정_코스수당!$A$6:$H$10,4,FALSE),0)-IF(OR($P2018="",$P2018="없음"),0,100000)),0)</f>
        <v>0</v>
      </c>
      <c r="K2018" s="33">
        <f t="array" ref="K2018">IF($O2018="방문완료",IFERROR(INDEX(설정_코스수당!$B$15:$F$64,MATCH($G2018,설정_코스수당!$A$15:$A$64,0),MATCH($E2018&amp;"수당",설정_코스수당!$B$14:$F$14,0)),0),0)</f>
        <v>0</v>
      </c>
      <c r="L2018" s="33">
        <f t="array" ref="L2018">IF($O2018="방문완료",IF($H2018="",0,IFERROR(INDEX(설정_코스수당!$B$15:$F$64,MATCH($H2018,설정_코스수당!$A$15:$A$64,0),MATCH($E2018&amp;"수당",설정_코스수당!$B$14:$F$14,0)),0)),0)</f>
        <v>0</v>
      </c>
      <c r="M2018" s="33">
        <f>IF($O2018="방문완료",IFERROR(VLOOKUP($E2018,설정_코스수당!$A$6:$H$10,6,FALSE),0),0)</f>
        <v>0</v>
      </c>
      <c r="N2018" s="34">
        <f t="shared" si="58"/>
        <v>0</v>
      </c>
      <c r="O2018" s="29"/>
      <c r="P2018" s="29"/>
      <c r="Q2018" s="29"/>
      <c r="R2018" s="32"/>
      <c r="S2018" s="29"/>
    </row>
    <row r="2019" spans="1:22" ht="19.5" hidden="1" customHeight="1" outlineLevel="1">
      <c r="A2019" s="23">
        <v>49</v>
      </c>
      <c r="B2019" s="24">
        <f>IF(20&lt;=DAY(DATE(YEAR(설정_코스수당!$K$2),MONTH(설정_코스수당!$K$2)+1,0)),DATE(YEAR(설정_코스수당!$K$2),MONTH(설정_코스수당!$K$2),20),"")</f>
        <v>46193</v>
      </c>
      <c r="C2019" s="25"/>
      <c r="D2019" s="23"/>
      <c r="E2019" s="23"/>
      <c r="F2019" s="26"/>
      <c r="G2019" s="23"/>
      <c r="H2019" s="23"/>
      <c r="I2019" s="23"/>
      <c r="J2019" s="27">
        <f>IF($O2019="방문완료",MAX(0,IFERROR(VLOOKUP($E2019,설정_코스수당!$A$6:$H$10,4,FALSE),0)-IF(OR($P2019="",$P2019="없음"),0,100000)),0)</f>
        <v>0</v>
      </c>
      <c r="K2019" s="27">
        <f t="array" ref="K2019">IF($O2019="방문완료",IFERROR(INDEX(설정_코스수당!$B$15:$F$64,MATCH($G2019,설정_코스수당!$A$15:$A$64,0),MATCH($E2019&amp;"수당",설정_코스수당!$B$14:$F$14,0)),0),0)</f>
        <v>0</v>
      </c>
      <c r="L2019" s="27">
        <f t="array" ref="L2019">IF($O2019="방문완료",IF($H2019="",0,IFERROR(INDEX(설정_코스수당!$B$15:$F$64,MATCH($H2019,설정_코스수당!$A$15:$A$64,0),MATCH($E2019&amp;"수당",설정_코스수당!$B$14:$F$14,0)),0)),0)</f>
        <v>0</v>
      </c>
      <c r="M2019" s="27">
        <f>IF($O2019="방문완료",IFERROR(VLOOKUP($E2019,설정_코스수당!$A$6:$H$10,6,FALSE),0),0)</f>
        <v>0</v>
      </c>
      <c r="N2019" s="28">
        <f t="shared" si="58"/>
        <v>0</v>
      </c>
      <c r="O2019" s="23"/>
      <c r="P2019" s="23"/>
      <c r="Q2019" s="23"/>
      <c r="R2019" s="26"/>
      <c r="S2019" s="23"/>
    </row>
    <row r="2020" spans="1:22" ht="19.5" hidden="1" customHeight="1" outlineLevel="1">
      <c r="A2020" s="29">
        <v>50</v>
      </c>
      <c r="B2020" s="30">
        <f>IF(20&lt;=DAY(DATE(YEAR(설정_코스수당!$K$2),MONTH(설정_코스수당!$K$2)+1,0)),DATE(YEAR(설정_코스수당!$K$2),MONTH(설정_코스수당!$K$2),20),"")</f>
        <v>46193</v>
      </c>
      <c r="C2020" s="31"/>
      <c r="D2020" s="29"/>
      <c r="E2020" s="29"/>
      <c r="F2020" s="32"/>
      <c r="G2020" s="29"/>
      <c r="H2020" s="29"/>
      <c r="I2020" s="29"/>
      <c r="J2020" s="33">
        <f>IF($O2020="방문완료",MAX(0,IFERROR(VLOOKUP($E2020,설정_코스수당!$A$6:$H$10,4,FALSE),0)-IF(OR($P2020="",$P2020="없음"),0,100000)),0)</f>
        <v>0</v>
      </c>
      <c r="K2020" s="33">
        <f t="array" ref="K2020">IF($O2020="방문완료",IFERROR(INDEX(설정_코스수당!$B$15:$F$64,MATCH($G2020,설정_코스수당!$A$15:$A$64,0),MATCH($E2020&amp;"수당",설정_코스수당!$B$14:$F$14,0)),0),0)</f>
        <v>0</v>
      </c>
      <c r="L2020" s="33">
        <f t="array" ref="L2020">IF($O2020="방문완료",IF($H2020="",0,IFERROR(INDEX(설정_코스수당!$B$15:$F$64,MATCH($H2020,설정_코스수당!$A$15:$A$64,0),MATCH($E2020&amp;"수당",설정_코스수당!$B$14:$F$14,0)),0)),0)</f>
        <v>0</v>
      </c>
      <c r="M2020" s="33">
        <f>IF($O2020="방문완료",IFERROR(VLOOKUP($E2020,설정_코스수당!$A$6:$H$10,6,FALSE),0),0)</f>
        <v>0</v>
      </c>
      <c r="N2020" s="34">
        <f t="shared" si="58"/>
        <v>0</v>
      </c>
      <c r="O2020" s="29"/>
      <c r="P2020" s="29"/>
      <c r="Q2020" s="29"/>
      <c r="R2020" s="32"/>
      <c r="S2020" s="29"/>
      <c r="U2020" s="16" t="s">
        <v>72</v>
      </c>
      <c r="V2020" s="17">
        <f>IF(21&lt;=DAY(DATE(YEAR(설정_코스수당!$K$2),MONTH(설정_코스수당!$K$2)+1,0)),COUNTIFS($B:$B,DATE(YEAR(설정_코스수당!$K$2),MONTH(설정_코스수당!$K$2),21),$O:$O,"방문완료",$P:$P,"&lt;&gt;",$P:$P,"&lt;&gt;없음")*100000,"")</f>
        <v>0</v>
      </c>
    </row>
    <row r="2021" spans="1:22" ht="19.5" hidden="1" customHeight="1" outlineLevel="1">
      <c r="A2021" s="23">
        <v>51</v>
      </c>
      <c r="B2021" s="24">
        <f>IF(20&lt;=DAY(DATE(YEAR(설정_코스수당!$K$2),MONTH(설정_코스수당!$K$2)+1,0)),DATE(YEAR(설정_코스수당!$K$2),MONTH(설정_코스수당!$K$2),20),"")</f>
        <v>46193</v>
      </c>
      <c r="C2021" s="25"/>
      <c r="D2021" s="23"/>
      <c r="E2021" s="23"/>
      <c r="F2021" s="26"/>
      <c r="G2021" s="23"/>
      <c r="H2021" s="23"/>
      <c r="I2021" s="23"/>
      <c r="J2021" s="27">
        <f>IF($O2021="방문완료",MAX(0,IFERROR(VLOOKUP($E2021,설정_코스수당!$A$6:$H$10,4,FALSE),0)-IF(OR($P2021="",$P2021="없음"),0,100000)),0)</f>
        <v>0</v>
      </c>
      <c r="K2021" s="27">
        <f t="array" ref="K2021">IF($O2021="방문완료",IFERROR(INDEX(설정_코스수당!$B$15:$F$64,MATCH($G2021,설정_코스수당!$A$15:$A$64,0),MATCH($E2021&amp;"수당",설정_코스수당!$B$14:$F$14,0)),0),0)</f>
        <v>0</v>
      </c>
      <c r="L2021" s="27">
        <f t="array" ref="L2021">IF($O2021="방문완료",IF($H2021="",0,IFERROR(INDEX(설정_코스수당!$B$15:$F$64,MATCH($H2021,설정_코스수당!$A$15:$A$64,0),MATCH($E2021&amp;"수당",설정_코스수당!$B$14:$F$14,0)),0)),0)</f>
        <v>0</v>
      </c>
      <c r="M2021" s="27">
        <f>IF($O2021="방문완료",IFERROR(VLOOKUP($E2021,설정_코스수당!$A$6:$H$10,6,FALSE),0),0)</f>
        <v>0</v>
      </c>
      <c r="N2021" s="28">
        <f t="shared" si="58"/>
        <v>0</v>
      </c>
      <c r="O2021" s="23"/>
      <c r="P2021" s="23"/>
      <c r="Q2021" s="23"/>
      <c r="R2021" s="26"/>
      <c r="S2021" s="23"/>
    </row>
    <row r="2022" spans="1:22" ht="19.5" hidden="1" customHeight="1" outlineLevel="1">
      <c r="A2022" s="29">
        <v>52</v>
      </c>
      <c r="B2022" s="30">
        <f>IF(20&lt;=DAY(DATE(YEAR(설정_코스수당!$K$2),MONTH(설정_코스수당!$K$2)+1,0)),DATE(YEAR(설정_코스수당!$K$2),MONTH(설정_코스수당!$K$2),20),"")</f>
        <v>46193</v>
      </c>
      <c r="C2022" s="31"/>
      <c r="D2022" s="29"/>
      <c r="E2022" s="29"/>
      <c r="F2022" s="32"/>
      <c r="G2022" s="29"/>
      <c r="H2022" s="29"/>
      <c r="I2022" s="29"/>
      <c r="J2022" s="33">
        <f>IF($O2022="방문완료",MAX(0,IFERROR(VLOOKUP($E2022,설정_코스수당!$A$6:$H$10,4,FALSE),0)-IF(OR($P2022="",$P2022="없음"),0,100000)),0)</f>
        <v>0</v>
      </c>
      <c r="K2022" s="33">
        <f t="array" ref="K2022">IF($O2022="방문완료",IFERROR(INDEX(설정_코스수당!$B$15:$F$64,MATCH($G2022,설정_코스수당!$A$15:$A$64,0),MATCH($E2022&amp;"수당",설정_코스수당!$B$14:$F$14,0)),0),0)</f>
        <v>0</v>
      </c>
      <c r="L2022" s="33">
        <f t="array" ref="L2022">IF($O2022="방문완료",IF($H2022="",0,IFERROR(INDEX(설정_코스수당!$B$15:$F$64,MATCH($H2022,설정_코스수당!$A$15:$A$64,0),MATCH($E2022&amp;"수당",설정_코스수당!$B$14:$F$14,0)),0)),0)</f>
        <v>0</v>
      </c>
      <c r="M2022" s="33">
        <f>IF($O2022="방문완료",IFERROR(VLOOKUP($E2022,설정_코스수당!$A$6:$H$10,6,FALSE),0),0)</f>
        <v>0</v>
      </c>
      <c r="N2022" s="34">
        <f t="shared" si="58"/>
        <v>0</v>
      </c>
      <c r="O2022" s="29"/>
      <c r="P2022" s="29"/>
      <c r="Q2022" s="29"/>
      <c r="R2022" s="32"/>
      <c r="S2022" s="29"/>
    </row>
    <row r="2023" spans="1:22" ht="19.5" hidden="1" customHeight="1" outlineLevel="1">
      <c r="A2023" s="23">
        <v>53</v>
      </c>
      <c r="B2023" s="24">
        <f>IF(20&lt;=DAY(DATE(YEAR(설정_코스수당!$K$2),MONTH(설정_코스수당!$K$2)+1,0)),DATE(YEAR(설정_코스수당!$K$2),MONTH(설정_코스수당!$K$2),20),"")</f>
        <v>46193</v>
      </c>
      <c r="C2023" s="25"/>
      <c r="D2023" s="23"/>
      <c r="E2023" s="23"/>
      <c r="F2023" s="26"/>
      <c r="G2023" s="23"/>
      <c r="H2023" s="23"/>
      <c r="I2023" s="23"/>
      <c r="J2023" s="27">
        <f>IF($O2023="방문완료",MAX(0,IFERROR(VLOOKUP($E2023,설정_코스수당!$A$6:$H$10,4,FALSE),0)-IF(OR($P2023="",$P2023="없음"),0,100000)),0)</f>
        <v>0</v>
      </c>
      <c r="K2023" s="27">
        <f t="array" ref="K2023">IF($O2023="방문완료",IFERROR(INDEX(설정_코스수당!$B$15:$F$64,MATCH($G2023,설정_코스수당!$A$15:$A$64,0),MATCH($E2023&amp;"수당",설정_코스수당!$B$14:$F$14,0)),0),0)</f>
        <v>0</v>
      </c>
      <c r="L2023" s="27">
        <f t="array" ref="L2023">IF($O2023="방문완료",IF($H2023="",0,IFERROR(INDEX(설정_코스수당!$B$15:$F$64,MATCH($H2023,설정_코스수당!$A$15:$A$64,0),MATCH($E2023&amp;"수당",설정_코스수당!$B$14:$F$14,0)),0)),0)</f>
        <v>0</v>
      </c>
      <c r="M2023" s="27">
        <f>IF($O2023="방문완료",IFERROR(VLOOKUP($E2023,설정_코스수당!$A$6:$H$10,6,FALSE),0),0)</f>
        <v>0</v>
      </c>
      <c r="N2023" s="28">
        <f t="shared" si="58"/>
        <v>0</v>
      </c>
      <c r="O2023" s="23"/>
      <c r="P2023" s="23"/>
      <c r="Q2023" s="23"/>
      <c r="R2023" s="26"/>
      <c r="S2023" s="23"/>
    </row>
    <row r="2024" spans="1:22" ht="19.5" hidden="1" customHeight="1" outlineLevel="1">
      <c r="A2024" s="29">
        <v>54</v>
      </c>
      <c r="B2024" s="30">
        <f>IF(20&lt;=DAY(DATE(YEAR(설정_코스수당!$K$2),MONTH(설정_코스수당!$K$2)+1,0)),DATE(YEAR(설정_코스수당!$K$2),MONTH(설정_코스수당!$K$2),20),"")</f>
        <v>46193</v>
      </c>
      <c r="C2024" s="31"/>
      <c r="D2024" s="29"/>
      <c r="E2024" s="29"/>
      <c r="F2024" s="32"/>
      <c r="G2024" s="29"/>
      <c r="H2024" s="29"/>
      <c r="I2024" s="29"/>
      <c r="J2024" s="33">
        <f>IF($O2024="방문완료",MAX(0,IFERROR(VLOOKUP($E2024,설정_코스수당!$A$6:$H$10,4,FALSE),0)-IF(OR($P2024="",$P2024="없음"),0,100000)),0)</f>
        <v>0</v>
      </c>
      <c r="K2024" s="33">
        <f t="array" ref="K2024">IF($O2024="방문완료",IFERROR(INDEX(설정_코스수당!$B$15:$F$64,MATCH($G2024,설정_코스수당!$A$15:$A$64,0),MATCH($E2024&amp;"수당",설정_코스수당!$B$14:$F$14,0)),0),0)</f>
        <v>0</v>
      </c>
      <c r="L2024" s="33">
        <f t="array" ref="L2024">IF($O2024="방문완료",IF($H2024="",0,IFERROR(INDEX(설정_코스수당!$B$15:$F$64,MATCH($H2024,설정_코스수당!$A$15:$A$64,0),MATCH($E2024&amp;"수당",설정_코스수당!$B$14:$F$14,0)),0)),0)</f>
        <v>0</v>
      </c>
      <c r="M2024" s="33">
        <f>IF($O2024="방문완료",IFERROR(VLOOKUP($E2024,설정_코스수당!$A$6:$H$10,6,FALSE),0),0)</f>
        <v>0</v>
      </c>
      <c r="N2024" s="34">
        <f t="shared" si="58"/>
        <v>0</v>
      </c>
      <c r="O2024" s="29"/>
      <c r="P2024" s="29"/>
      <c r="Q2024" s="29"/>
      <c r="R2024" s="32"/>
      <c r="S2024" s="29"/>
    </row>
    <row r="2025" spans="1:22" ht="19.5" hidden="1" customHeight="1" outlineLevel="1">
      <c r="A2025" s="23">
        <v>55</v>
      </c>
      <c r="B2025" s="24">
        <f>IF(20&lt;=DAY(DATE(YEAR(설정_코스수당!$K$2),MONTH(설정_코스수당!$K$2)+1,0)),DATE(YEAR(설정_코스수당!$K$2),MONTH(설정_코스수당!$K$2),20),"")</f>
        <v>46193</v>
      </c>
      <c r="C2025" s="25"/>
      <c r="D2025" s="23"/>
      <c r="E2025" s="23"/>
      <c r="F2025" s="26"/>
      <c r="G2025" s="23"/>
      <c r="H2025" s="23"/>
      <c r="I2025" s="23"/>
      <c r="J2025" s="27">
        <f>IF($O2025="방문완료",MAX(0,IFERROR(VLOOKUP($E2025,설정_코스수당!$A$6:$H$10,4,FALSE),0)-IF(OR($P2025="",$P2025="없음"),0,100000)),0)</f>
        <v>0</v>
      </c>
      <c r="K2025" s="27">
        <f t="array" ref="K2025">IF($O2025="방문완료",IFERROR(INDEX(설정_코스수당!$B$15:$F$64,MATCH($G2025,설정_코스수당!$A$15:$A$64,0),MATCH($E2025&amp;"수당",설정_코스수당!$B$14:$F$14,0)),0),0)</f>
        <v>0</v>
      </c>
      <c r="L2025" s="27">
        <f t="array" ref="L2025">IF($O2025="방문완료",IF($H2025="",0,IFERROR(INDEX(설정_코스수당!$B$15:$F$64,MATCH($H2025,설정_코스수당!$A$15:$A$64,0),MATCH($E2025&amp;"수당",설정_코스수당!$B$14:$F$14,0)),0)),0)</f>
        <v>0</v>
      </c>
      <c r="M2025" s="27">
        <f>IF($O2025="방문완료",IFERROR(VLOOKUP($E2025,설정_코스수당!$A$6:$H$10,6,FALSE),0),0)</f>
        <v>0</v>
      </c>
      <c r="N2025" s="28">
        <f t="shared" si="58"/>
        <v>0</v>
      </c>
      <c r="O2025" s="23"/>
      <c r="P2025" s="23"/>
      <c r="Q2025" s="23"/>
      <c r="R2025" s="26"/>
      <c r="S2025" s="23"/>
    </row>
    <row r="2026" spans="1:22" ht="19.5" hidden="1" customHeight="1" outlineLevel="1">
      <c r="A2026" s="29">
        <v>56</v>
      </c>
      <c r="B2026" s="30">
        <f>IF(20&lt;=DAY(DATE(YEAR(설정_코스수당!$K$2),MONTH(설정_코스수당!$K$2)+1,0)),DATE(YEAR(설정_코스수당!$K$2),MONTH(설정_코스수당!$K$2),20),"")</f>
        <v>46193</v>
      </c>
      <c r="C2026" s="31"/>
      <c r="D2026" s="29"/>
      <c r="E2026" s="29"/>
      <c r="F2026" s="32"/>
      <c r="G2026" s="29"/>
      <c r="H2026" s="29"/>
      <c r="I2026" s="29"/>
      <c r="J2026" s="33">
        <f>IF($O2026="방문완료",MAX(0,IFERROR(VLOOKUP($E2026,설정_코스수당!$A$6:$H$10,4,FALSE),0)-IF(OR($P2026="",$P2026="없음"),0,100000)),0)</f>
        <v>0</v>
      </c>
      <c r="K2026" s="33">
        <f t="array" ref="K2026">IF($O2026="방문완료",IFERROR(INDEX(설정_코스수당!$B$15:$F$64,MATCH($G2026,설정_코스수당!$A$15:$A$64,0),MATCH($E2026&amp;"수당",설정_코스수당!$B$14:$F$14,0)),0),0)</f>
        <v>0</v>
      </c>
      <c r="L2026" s="33">
        <f t="array" ref="L2026">IF($O2026="방문완료",IF($H2026="",0,IFERROR(INDEX(설정_코스수당!$B$15:$F$64,MATCH($H2026,설정_코스수당!$A$15:$A$64,0),MATCH($E2026&amp;"수당",설정_코스수당!$B$14:$F$14,0)),0)),0)</f>
        <v>0</v>
      </c>
      <c r="M2026" s="33">
        <f>IF($O2026="방문완료",IFERROR(VLOOKUP($E2026,설정_코스수당!$A$6:$H$10,6,FALSE),0),0)</f>
        <v>0</v>
      </c>
      <c r="N2026" s="34">
        <f t="shared" si="58"/>
        <v>0</v>
      </c>
      <c r="O2026" s="29"/>
      <c r="P2026" s="29"/>
      <c r="Q2026" s="29"/>
      <c r="R2026" s="32"/>
      <c r="S2026" s="29"/>
    </row>
    <row r="2027" spans="1:22" ht="19.5" hidden="1" customHeight="1" outlineLevel="1">
      <c r="A2027" s="23">
        <v>57</v>
      </c>
      <c r="B2027" s="24">
        <f>IF(20&lt;=DAY(DATE(YEAR(설정_코스수당!$K$2),MONTH(설정_코스수당!$K$2)+1,0)),DATE(YEAR(설정_코스수당!$K$2),MONTH(설정_코스수당!$K$2),20),"")</f>
        <v>46193</v>
      </c>
      <c r="C2027" s="25"/>
      <c r="D2027" s="23"/>
      <c r="E2027" s="23"/>
      <c r="F2027" s="26"/>
      <c r="G2027" s="23"/>
      <c r="H2027" s="23"/>
      <c r="I2027" s="23"/>
      <c r="J2027" s="27">
        <f>IF($O2027="방문완료",MAX(0,IFERROR(VLOOKUP($E2027,설정_코스수당!$A$6:$H$10,4,FALSE),0)-IF(OR($P2027="",$P2027="없음"),0,100000)),0)</f>
        <v>0</v>
      </c>
      <c r="K2027" s="27">
        <f t="array" ref="K2027">IF($O2027="방문완료",IFERROR(INDEX(설정_코스수당!$B$15:$F$64,MATCH($G2027,설정_코스수당!$A$15:$A$64,0),MATCH($E2027&amp;"수당",설정_코스수당!$B$14:$F$14,0)),0),0)</f>
        <v>0</v>
      </c>
      <c r="L2027" s="27">
        <f t="array" ref="L2027">IF($O2027="방문완료",IF($H2027="",0,IFERROR(INDEX(설정_코스수당!$B$15:$F$64,MATCH($H2027,설정_코스수당!$A$15:$A$64,0),MATCH($E2027&amp;"수당",설정_코스수당!$B$14:$F$14,0)),0)),0)</f>
        <v>0</v>
      </c>
      <c r="M2027" s="27">
        <f>IF($O2027="방문완료",IFERROR(VLOOKUP($E2027,설정_코스수당!$A$6:$H$10,6,FALSE),0),0)</f>
        <v>0</v>
      </c>
      <c r="N2027" s="28">
        <f t="shared" si="58"/>
        <v>0</v>
      </c>
      <c r="O2027" s="23"/>
      <c r="P2027" s="23"/>
      <c r="Q2027" s="23"/>
      <c r="R2027" s="26"/>
      <c r="S2027" s="23"/>
    </row>
    <row r="2028" spans="1:22" ht="19.5" hidden="1" customHeight="1" outlineLevel="1">
      <c r="A2028" s="29">
        <v>58</v>
      </c>
      <c r="B2028" s="30">
        <f>IF(20&lt;=DAY(DATE(YEAR(설정_코스수당!$K$2),MONTH(설정_코스수당!$K$2)+1,0)),DATE(YEAR(설정_코스수당!$K$2),MONTH(설정_코스수당!$K$2),20),"")</f>
        <v>46193</v>
      </c>
      <c r="C2028" s="31"/>
      <c r="D2028" s="29"/>
      <c r="E2028" s="29"/>
      <c r="F2028" s="32"/>
      <c r="G2028" s="29"/>
      <c r="H2028" s="29"/>
      <c r="I2028" s="29"/>
      <c r="J2028" s="33">
        <f>IF($O2028="방문완료",MAX(0,IFERROR(VLOOKUP($E2028,설정_코스수당!$A$6:$H$10,4,FALSE),0)-IF(OR($P2028="",$P2028="없음"),0,100000)),0)</f>
        <v>0</v>
      </c>
      <c r="K2028" s="33">
        <f t="array" ref="K2028">IF($O2028="방문완료",IFERROR(INDEX(설정_코스수당!$B$15:$F$64,MATCH($G2028,설정_코스수당!$A$15:$A$64,0),MATCH($E2028&amp;"수당",설정_코스수당!$B$14:$F$14,0)),0),0)</f>
        <v>0</v>
      </c>
      <c r="L2028" s="33">
        <f t="array" ref="L2028">IF($O2028="방문완료",IF($H2028="",0,IFERROR(INDEX(설정_코스수당!$B$15:$F$64,MATCH($H2028,설정_코스수당!$A$15:$A$64,0),MATCH($E2028&amp;"수당",설정_코스수당!$B$14:$F$14,0)),0)),0)</f>
        <v>0</v>
      </c>
      <c r="M2028" s="33">
        <f>IF($O2028="방문완료",IFERROR(VLOOKUP($E2028,설정_코스수당!$A$6:$H$10,6,FALSE),0),0)</f>
        <v>0</v>
      </c>
      <c r="N2028" s="34">
        <f t="shared" si="58"/>
        <v>0</v>
      </c>
      <c r="O2028" s="29"/>
      <c r="P2028" s="29"/>
      <c r="Q2028" s="29"/>
      <c r="R2028" s="32"/>
      <c r="S2028" s="29"/>
    </row>
    <row r="2029" spans="1:22" ht="19.5" hidden="1" customHeight="1" outlineLevel="1">
      <c r="A2029" s="23">
        <v>59</v>
      </c>
      <c r="B2029" s="24">
        <f>IF(20&lt;=DAY(DATE(YEAR(설정_코스수당!$K$2),MONTH(설정_코스수당!$K$2)+1,0)),DATE(YEAR(설정_코스수당!$K$2),MONTH(설정_코스수당!$K$2),20),"")</f>
        <v>46193</v>
      </c>
      <c r="C2029" s="25"/>
      <c r="D2029" s="23"/>
      <c r="E2029" s="23"/>
      <c r="F2029" s="26"/>
      <c r="G2029" s="23"/>
      <c r="H2029" s="23"/>
      <c r="I2029" s="23"/>
      <c r="J2029" s="27">
        <f>IF($O2029="방문완료",MAX(0,IFERROR(VLOOKUP($E2029,설정_코스수당!$A$6:$H$10,4,FALSE),0)-IF(OR($P2029="",$P2029="없음"),0,100000)),0)</f>
        <v>0</v>
      </c>
      <c r="K2029" s="27">
        <f t="array" ref="K2029">IF($O2029="방문완료",IFERROR(INDEX(설정_코스수당!$B$15:$F$64,MATCH($G2029,설정_코스수당!$A$15:$A$64,0),MATCH($E2029&amp;"수당",설정_코스수당!$B$14:$F$14,0)),0),0)</f>
        <v>0</v>
      </c>
      <c r="L2029" s="27">
        <f t="array" ref="L2029">IF($O2029="방문완료",IF($H2029="",0,IFERROR(INDEX(설정_코스수당!$B$15:$F$64,MATCH($H2029,설정_코스수당!$A$15:$A$64,0),MATCH($E2029&amp;"수당",설정_코스수당!$B$14:$F$14,0)),0)),0)</f>
        <v>0</v>
      </c>
      <c r="M2029" s="27">
        <f>IF($O2029="방문완료",IFERROR(VLOOKUP($E2029,설정_코스수당!$A$6:$H$10,6,FALSE),0),0)</f>
        <v>0</v>
      </c>
      <c r="N2029" s="28">
        <f t="shared" si="58"/>
        <v>0</v>
      </c>
      <c r="O2029" s="23"/>
      <c r="P2029" s="23"/>
      <c r="Q2029" s="23"/>
      <c r="R2029" s="26"/>
      <c r="S2029" s="23"/>
    </row>
    <row r="2030" spans="1:22" ht="19.5" hidden="1" customHeight="1" outlineLevel="1">
      <c r="A2030" s="29">
        <v>60</v>
      </c>
      <c r="B2030" s="30">
        <f>IF(20&lt;=DAY(DATE(YEAR(설정_코스수당!$K$2),MONTH(설정_코스수당!$K$2)+1,0)),DATE(YEAR(설정_코스수당!$K$2),MONTH(설정_코스수당!$K$2),20),"")</f>
        <v>46193</v>
      </c>
      <c r="C2030" s="31"/>
      <c r="D2030" s="29"/>
      <c r="E2030" s="29"/>
      <c r="F2030" s="32"/>
      <c r="G2030" s="29"/>
      <c r="H2030" s="29"/>
      <c r="I2030" s="29"/>
      <c r="J2030" s="33">
        <f>IF($O2030="방문완료",MAX(0,IFERROR(VLOOKUP($E2030,설정_코스수당!$A$6:$H$10,4,FALSE),0)-IF(OR($P2030="",$P2030="없음"),0,100000)),0)</f>
        <v>0</v>
      </c>
      <c r="K2030" s="33">
        <f t="array" ref="K2030">IF($O2030="방문완료",IFERROR(INDEX(설정_코스수당!$B$15:$F$64,MATCH($G2030,설정_코스수당!$A$15:$A$64,0),MATCH($E2030&amp;"수당",설정_코스수당!$B$14:$F$14,0)),0),0)</f>
        <v>0</v>
      </c>
      <c r="L2030" s="33">
        <f t="array" ref="L2030">IF($O2030="방문완료",IF($H2030="",0,IFERROR(INDEX(설정_코스수당!$B$15:$F$64,MATCH($H2030,설정_코스수당!$A$15:$A$64,0),MATCH($E2030&amp;"수당",설정_코스수당!$B$14:$F$14,0)),0)),0)</f>
        <v>0</v>
      </c>
      <c r="M2030" s="33">
        <f>IF($O2030="방문완료",IFERROR(VLOOKUP($E2030,설정_코스수당!$A$6:$H$10,6,FALSE),0),0)</f>
        <v>0</v>
      </c>
      <c r="N2030" s="34">
        <f t="shared" si="58"/>
        <v>0</v>
      </c>
      <c r="O2030" s="29"/>
      <c r="P2030" s="29"/>
      <c r="Q2030" s="29"/>
      <c r="R2030" s="32"/>
      <c r="S2030" s="29"/>
    </row>
    <row r="2031" spans="1:22" ht="19.5" hidden="1" customHeight="1" outlineLevel="1">
      <c r="A2031" s="23">
        <v>61</v>
      </c>
      <c r="B2031" s="24">
        <f>IF(20&lt;=DAY(DATE(YEAR(설정_코스수당!$K$2),MONTH(설정_코스수당!$K$2)+1,0)),DATE(YEAR(설정_코스수당!$K$2),MONTH(설정_코스수당!$K$2),20),"")</f>
        <v>46193</v>
      </c>
      <c r="C2031" s="25"/>
      <c r="D2031" s="23"/>
      <c r="E2031" s="23"/>
      <c r="F2031" s="26"/>
      <c r="G2031" s="23"/>
      <c r="H2031" s="23"/>
      <c r="I2031" s="23"/>
      <c r="J2031" s="27">
        <f>IF($O2031="방문완료",MAX(0,IFERROR(VLOOKUP($E2031,설정_코스수당!$A$6:$H$10,4,FALSE),0)-IF(OR($P2031="",$P2031="없음"),0,100000)),0)</f>
        <v>0</v>
      </c>
      <c r="K2031" s="27">
        <f t="array" ref="K2031">IF($O2031="방문완료",IFERROR(INDEX(설정_코스수당!$B$15:$F$64,MATCH($G2031,설정_코스수당!$A$15:$A$64,0),MATCH($E2031&amp;"수당",설정_코스수당!$B$14:$F$14,0)),0),0)</f>
        <v>0</v>
      </c>
      <c r="L2031" s="27">
        <f t="array" ref="L2031">IF($O2031="방문완료",IF($H2031="",0,IFERROR(INDEX(설정_코스수당!$B$15:$F$64,MATCH($H2031,설정_코스수당!$A$15:$A$64,0),MATCH($E2031&amp;"수당",설정_코스수당!$B$14:$F$14,0)),0)),0)</f>
        <v>0</v>
      </c>
      <c r="M2031" s="27">
        <f>IF($O2031="방문완료",IFERROR(VLOOKUP($E2031,설정_코스수당!$A$6:$H$10,6,FALSE),0),0)</f>
        <v>0</v>
      </c>
      <c r="N2031" s="28">
        <f t="shared" si="58"/>
        <v>0</v>
      </c>
      <c r="O2031" s="23"/>
      <c r="P2031" s="23"/>
      <c r="Q2031" s="23"/>
      <c r="R2031" s="26"/>
      <c r="S2031" s="23"/>
    </row>
    <row r="2032" spans="1:22" ht="19.5" hidden="1" customHeight="1" outlineLevel="1">
      <c r="A2032" s="29">
        <v>62</v>
      </c>
      <c r="B2032" s="30">
        <f>IF(20&lt;=DAY(DATE(YEAR(설정_코스수당!$K$2),MONTH(설정_코스수당!$K$2)+1,0)),DATE(YEAR(설정_코스수당!$K$2),MONTH(설정_코스수당!$K$2),20),"")</f>
        <v>46193</v>
      </c>
      <c r="C2032" s="31"/>
      <c r="D2032" s="29"/>
      <c r="E2032" s="29"/>
      <c r="F2032" s="32"/>
      <c r="G2032" s="29"/>
      <c r="H2032" s="29"/>
      <c r="I2032" s="29"/>
      <c r="J2032" s="33">
        <f>IF($O2032="방문완료",MAX(0,IFERROR(VLOOKUP($E2032,설정_코스수당!$A$6:$H$10,4,FALSE),0)-IF(OR($P2032="",$P2032="없음"),0,100000)),0)</f>
        <v>0</v>
      </c>
      <c r="K2032" s="33">
        <f t="array" ref="K2032">IF($O2032="방문완료",IFERROR(INDEX(설정_코스수당!$B$15:$F$64,MATCH($G2032,설정_코스수당!$A$15:$A$64,0),MATCH($E2032&amp;"수당",설정_코스수당!$B$14:$F$14,0)),0),0)</f>
        <v>0</v>
      </c>
      <c r="L2032" s="33">
        <f t="array" ref="L2032">IF($O2032="방문완료",IF($H2032="",0,IFERROR(INDEX(설정_코스수당!$B$15:$F$64,MATCH($H2032,설정_코스수당!$A$15:$A$64,0),MATCH($E2032&amp;"수당",설정_코스수당!$B$14:$F$14,0)),0)),0)</f>
        <v>0</v>
      </c>
      <c r="M2032" s="33">
        <f>IF($O2032="방문완료",IFERROR(VLOOKUP($E2032,설정_코스수당!$A$6:$H$10,6,FALSE),0),0)</f>
        <v>0</v>
      </c>
      <c r="N2032" s="34">
        <f t="shared" si="58"/>
        <v>0</v>
      </c>
      <c r="O2032" s="29"/>
      <c r="P2032" s="29"/>
      <c r="Q2032" s="29"/>
      <c r="R2032" s="32"/>
      <c r="S2032" s="29"/>
    </row>
    <row r="2033" spans="1:19" ht="19.5" hidden="1" customHeight="1" outlineLevel="1">
      <c r="A2033" s="23">
        <v>63</v>
      </c>
      <c r="B2033" s="24">
        <f>IF(20&lt;=DAY(DATE(YEAR(설정_코스수당!$K$2),MONTH(설정_코스수당!$K$2)+1,0)),DATE(YEAR(설정_코스수당!$K$2),MONTH(설정_코스수당!$K$2),20),"")</f>
        <v>46193</v>
      </c>
      <c r="C2033" s="25"/>
      <c r="D2033" s="23"/>
      <c r="E2033" s="23"/>
      <c r="F2033" s="26"/>
      <c r="G2033" s="23"/>
      <c r="H2033" s="23"/>
      <c r="I2033" s="23"/>
      <c r="J2033" s="27">
        <f>IF($O2033="방문완료",MAX(0,IFERROR(VLOOKUP($E2033,설정_코스수당!$A$6:$H$10,4,FALSE),0)-IF(OR($P2033="",$P2033="없음"),0,100000)),0)</f>
        <v>0</v>
      </c>
      <c r="K2033" s="27">
        <f t="array" ref="K2033">IF($O2033="방문완료",IFERROR(INDEX(설정_코스수당!$B$15:$F$64,MATCH($G2033,설정_코스수당!$A$15:$A$64,0),MATCH($E2033&amp;"수당",설정_코스수당!$B$14:$F$14,0)),0),0)</f>
        <v>0</v>
      </c>
      <c r="L2033" s="27">
        <f t="array" ref="L2033">IF($O2033="방문완료",IF($H2033="",0,IFERROR(INDEX(설정_코스수당!$B$15:$F$64,MATCH($H2033,설정_코스수당!$A$15:$A$64,0),MATCH($E2033&amp;"수당",설정_코스수당!$B$14:$F$14,0)),0)),0)</f>
        <v>0</v>
      </c>
      <c r="M2033" s="27">
        <f>IF($O2033="방문완료",IFERROR(VLOOKUP($E2033,설정_코스수당!$A$6:$H$10,6,FALSE),0),0)</f>
        <v>0</v>
      </c>
      <c r="N2033" s="28">
        <f t="shared" si="58"/>
        <v>0</v>
      </c>
      <c r="O2033" s="23"/>
      <c r="P2033" s="23"/>
      <c r="Q2033" s="23"/>
      <c r="R2033" s="26"/>
      <c r="S2033" s="23"/>
    </row>
    <row r="2034" spans="1:19" ht="19.5" hidden="1" customHeight="1" outlineLevel="1">
      <c r="A2034" s="29">
        <v>64</v>
      </c>
      <c r="B2034" s="30">
        <f>IF(20&lt;=DAY(DATE(YEAR(설정_코스수당!$K$2),MONTH(설정_코스수당!$K$2)+1,0)),DATE(YEAR(설정_코스수당!$K$2),MONTH(설정_코스수당!$K$2),20),"")</f>
        <v>46193</v>
      </c>
      <c r="C2034" s="31"/>
      <c r="D2034" s="29"/>
      <c r="E2034" s="29"/>
      <c r="F2034" s="32"/>
      <c r="G2034" s="29"/>
      <c r="H2034" s="29"/>
      <c r="I2034" s="29"/>
      <c r="J2034" s="33">
        <f>IF($O2034="방문완료",MAX(0,IFERROR(VLOOKUP($E2034,설정_코스수당!$A$6:$H$10,4,FALSE),0)-IF(OR($P2034="",$P2034="없음"),0,100000)),0)</f>
        <v>0</v>
      </c>
      <c r="K2034" s="33">
        <f t="array" ref="K2034">IF($O2034="방문완료",IFERROR(INDEX(설정_코스수당!$B$15:$F$64,MATCH($G2034,설정_코스수당!$A$15:$A$64,0),MATCH($E2034&amp;"수당",설정_코스수당!$B$14:$F$14,0)),0),0)</f>
        <v>0</v>
      </c>
      <c r="L2034" s="33">
        <f t="array" ref="L2034">IF($O2034="방문완료",IF($H2034="",0,IFERROR(INDEX(설정_코스수당!$B$15:$F$64,MATCH($H2034,설정_코스수당!$A$15:$A$64,0),MATCH($E2034&amp;"수당",설정_코스수당!$B$14:$F$14,0)),0)),0)</f>
        <v>0</v>
      </c>
      <c r="M2034" s="33">
        <f>IF($O2034="방문완료",IFERROR(VLOOKUP($E2034,설정_코스수당!$A$6:$H$10,6,FALSE),0),0)</f>
        <v>0</v>
      </c>
      <c r="N2034" s="34">
        <f t="shared" si="58"/>
        <v>0</v>
      </c>
      <c r="O2034" s="29"/>
      <c r="P2034" s="29"/>
      <c r="Q2034" s="29"/>
      <c r="R2034" s="32"/>
      <c r="S2034" s="29"/>
    </row>
    <row r="2035" spans="1:19" ht="19.5" hidden="1" customHeight="1" outlineLevel="1">
      <c r="A2035" s="23">
        <v>65</v>
      </c>
      <c r="B2035" s="24">
        <f>IF(20&lt;=DAY(DATE(YEAR(설정_코스수당!$K$2),MONTH(설정_코스수당!$K$2)+1,0)),DATE(YEAR(설정_코스수당!$K$2),MONTH(설정_코스수당!$K$2),20),"")</f>
        <v>46193</v>
      </c>
      <c r="C2035" s="25"/>
      <c r="D2035" s="23"/>
      <c r="E2035" s="23"/>
      <c r="F2035" s="26"/>
      <c r="G2035" s="23"/>
      <c r="H2035" s="23"/>
      <c r="I2035" s="23"/>
      <c r="J2035" s="27">
        <f>IF($O2035="방문완료",MAX(0,IFERROR(VLOOKUP($E2035,설정_코스수당!$A$6:$H$10,4,FALSE),0)-IF(OR($P2035="",$P2035="없음"),0,100000)),0)</f>
        <v>0</v>
      </c>
      <c r="K2035" s="27">
        <f t="array" ref="K2035">IF($O2035="방문완료",IFERROR(INDEX(설정_코스수당!$B$15:$F$64,MATCH($G2035,설정_코스수당!$A$15:$A$64,0),MATCH($E2035&amp;"수당",설정_코스수당!$B$14:$F$14,0)),0),0)</f>
        <v>0</v>
      </c>
      <c r="L2035" s="27">
        <f t="array" ref="L2035">IF($O2035="방문완료",IF($H2035="",0,IFERROR(INDEX(설정_코스수당!$B$15:$F$64,MATCH($H2035,설정_코스수당!$A$15:$A$64,0),MATCH($E2035&amp;"수당",설정_코스수당!$B$14:$F$14,0)),0)),0)</f>
        <v>0</v>
      </c>
      <c r="M2035" s="27">
        <f>IF($O2035="방문완료",IFERROR(VLOOKUP($E2035,설정_코스수당!$A$6:$H$10,6,FALSE),0),0)</f>
        <v>0</v>
      </c>
      <c r="N2035" s="28">
        <f t="shared" ref="N2035:N2070" si="59">IF($O2035="방문완료",1,0)</f>
        <v>0</v>
      </c>
      <c r="O2035" s="23"/>
      <c r="P2035" s="23"/>
      <c r="Q2035" s="23"/>
      <c r="R2035" s="26"/>
      <c r="S2035" s="23"/>
    </row>
    <row r="2036" spans="1:19" ht="19.5" hidden="1" customHeight="1" outlineLevel="1">
      <c r="A2036" s="29">
        <v>66</v>
      </c>
      <c r="B2036" s="30">
        <f>IF(20&lt;=DAY(DATE(YEAR(설정_코스수당!$K$2),MONTH(설정_코스수당!$K$2)+1,0)),DATE(YEAR(설정_코스수당!$K$2),MONTH(설정_코스수당!$K$2),20),"")</f>
        <v>46193</v>
      </c>
      <c r="C2036" s="31"/>
      <c r="D2036" s="29"/>
      <c r="E2036" s="29"/>
      <c r="F2036" s="32"/>
      <c r="G2036" s="29"/>
      <c r="H2036" s="29"/>
      <c r="I2036" s="29"/>
      <c r="J2036" s="33">
        <f>IF($O2036="방문완료",MAX(0,IFERROR(VLOOKUP($E2036,설정_코스수당!$A$6:$H$10,4,FALSE),0)-IF(OR($P2036="",$P2036="없음"),0,100000)),0)</f>
        <v>0</v>
      </c>
      <c r="K2036" s="33">
        <f t="array" ref="K2036">IF($O2036="방문완료",IFERROR(INDEX(설정_코스수당!$B$15:$F$64,MATCH($G2036,설정_코스수당!$A$15:$A$64,0),MATCH($E2036&amp;"수당",설정_코스수당!$B$14:$F$14,0)),0),0)</f>
        <v>0</v>
      </c>
      <c r="L2036" s="33">
        <f t="array" ref="L2036">IF($O2036="방문완료",IF($H2036="",0,IFERROR(INDEX(설정_코스수당!$B$15:$F$64,MATCH($H2036,설정_코스수당!$A$15:$A$64,0),MATCH($E2036&amp;"수당",설정_코스수당!$B$14:$F$14,0)),0)),0)</f>
        <v>0</v>
      </c>
      <c r="M2036" s="33">
        <f>IF($O2036="방문완료",IFERROR(VLOOKUP($E2036,설정_코스수당!$A$6:$H$10,6,FALSE),0),0)</f>
        <v>0</v>
      </c>
      <c r="N2036" s="34">
        <f t="shared" si="59"/>
        <v>0</v>
      </c>
      <c r="O2036" s="29"/>
      <c r="P2036" s="29"/>
      <c r="Q2036" s="29"/>
      <c r="R2036" s="32"/>
      <c r="S2036" s="29"/>
    </row>
    <row r="2037" spans="1:19" ht="19.5" hidden="1" customHeight="1" outlineLevel="1">
      <c r="A2037" s="23">
        <v>67</v>
      </c>
      <c r="B2037" s="24">
        <f>IF(20&lt;=DAY(DATE(YEAR(설정_코스수당!$K$2),MONTH(설정_코스수당!$K$2)+1,0)),DATE(YEAR(설정_코스수당!$K$2),MONTH(설정_코스수당!$K$2),20),"")</f>
        <v>46193</v>
      </c>
      <c r="C2037" s="25"/>
      <c r="D2037" s="23"/>
      <c r="E2037" s="23"/>
      <c r="F2037" s="26"/>
      <c r="G2037" s="23"/>
      <c r="H2037" s="23"/>
      <c r="I2037" s="23"/>
      <c r="J2037" s="27">
        <f>IF($O2037="방문완료",MAX(0,IFERROR(VLOOKUP($E2037,설정_코스수당!$A$6:$H$10,4,FALSE),0)-IF(OR($P2037="",$P2037="없음"),0,100000)),0)</f>
        <v>0</v>
      </c>
      <c r="K2037" s="27">
        <f t="array" ref="K2037">IF($O2037="방문완료",IFERROR(INDEX(설정_코스수당!$B$15:$F$64,MATCH($G2037,설정_코스수당!$A$15:$A$64,0),MATCH($E2037&amp;"수당",설정_코스수당!$B$14:$F$14,0)),0),0)</f>
        <v>0</v>
      </c>
      <c r="L2037" s="27">
        <f t="array" ref="L2037">IF($O2037="방문완료",IF($H2037="",0,IFERROR(INDEX(설정_코스수당!$B$15:$F$64,MATCH($H2037,설정_코스수당!$A$15:$A$64,0),MATCH($E2037&amp;"수당",설정_코스수당!$B$14:$F$14,0)),0)),0)</f>
        <v>0</v>
      </c>
      <c r="M2037" s="27">
        <f>IF($O2037="방문완료",IFERROR(VLOOKUP($E2037,설정_코스수당!$A$6:$H$10,6,FALSE),0),0)</f>
        <v>0</v>
      </c>
      <c r="N2037" s="28">
        <f t="shared" si="59"/>
        <v>0</v>
      </c>
      <c r="O2037" s="23"/>
      <c r="P2037" s="23"/>
      <c r="Q2037" s="23"/>
      <c r="R2037" s="26"/>
      <c r="S2037" s="23"/>
    </row>
    <row r="2038" spans="1:19" ht="19.5" hidden="1" customHeight="1" outlineLevel="1">
      <c r="A2038" s="29">
        <v>68</v>
      </c>
      <c r="B2038" s="30">
        <f>IF(20&lt;=DAY(DATE(YEAR(설정_코스수당!$K$2),MONTH(설정_코스수당!$K$2)+1,0)),DATE(YEAR(설정_코스수당!$K$2),MONTH(설정_코스수당!$K$2),20),"")</f>
        <v>46193</v>
      </c>
      <c r="C2038" s="31"/>
      <c r="D2038" s="29"/>
      <c r="E2038" s="29"/>
      <c r="F2038" s="32"/>
      <c r="G2038" s="29"/>
      <c r="H2038" s="29"/>
      <c r="I2038" s="29"/>
      <c r="J2038" s="33">
        <f>IF($O2038="방문완료",MAX(0,IFERROR(VLOOKUP($E2038,설정_코스수당!$A$6:$H$10,4,FALSE),0)-IF(OR($P2038="",$P2038="없음"),0,100000)),0)</f>
        <v>0</v>
      </c>
      <c r="K2038" s="33">
        <f t="array" ref="K2038">IF($O2038="방문완료",IFERROR(INDEX(설정_코스수당!$B$15:$F$64,MATCH($G2038,설정_코스수당!$A$15:$A$64,0),MATCH($E2038&amp;"수당",설정_코스수당!$B$14:$F$14,0)),0),0)</f>
        <v>0</v>
      </c>
      <c r="L2038" s="33">
        <f t="array" ref="L2038">IF($O2038="방문완료",IF($H2038="",0,IFERROR(INDEX(설정_코스수당!$B$15:$F$64,MATCH($H2038,설정_코스수당!$A$15:$A$64,0),MATCH($E2038&amp;"수당",설정_코스수당!$B$14:$F$14,0)),0)),0)</f>
        <v>0</v>
      </c>
      <c r="M2038" s="33">
        <f>IF($O2038="방문완료",IFERROR(VLOOKUP($E2038,설정_코스수당!$A$6:$H$10,6,FALSE),0),0)</f>
        <v>0</v>
      </c>
      <c r="N2038" s="34">
        <f t="shared" si="59"/>
        <v>0</v>
      </c>
      <c r="O2038" s="29"/>
      <c r="P2038" s="29"/>
      <c r="Q2038" s="29"/>
      <c r="R2038" s="32"/>
      <c r="S2038" s="29"/>
    </row>
    <row r="2039" spans="1:19" ht="19.5" hidden="1" customHeight="1" outlineLevel="1">
      <c r="A2039" s="23">
        <v>69</v>
      </c>
      <c r="B2039" s="24">
        <f>IF(20&lt;=DAY(DATE(YEAR(설정_코스수당!$K$2),MONTH(설정_코스수당!$K$2)+1,0)),DATE(YEAR(설정_코스수당!$K$2),MONTH(설정_코스수당!$K$2),20),"")</f>
        <v>46193</v>
      </c>
      <c r="C2039" s="25"/>
      <c r="D2039" s="23"/>
      <c r="E2039" s="23"/>
      <c r="F2039" s="26"/>
      <c r="G2039" s="23"/>
      <c r="H2039" s="23"/>
      <c r="I2039" s="23"/>
      <c r="J2039" s="27">
        <f>IF($O2039="방문완료",MAX(0,IFERROR(VLOOKUP($E2039,설정_코스수당!$A$6:$H$10,4,FALSE),0)-IF(OR($P2039="",$P2039="없음"),0,100000)),0)</f>
        <v>0</v>
      </c>
      <c r="K2039" s="27">
        <f t="array" ref="K2039">IF($O2039="방문완료",IFERROR(INDEX(설정_코스수당!$B$15:$F$64,MATCH($G2039,설정_코스수당!$A$15:$A$64,0),MATCH($E2039&amp;"수당",설정_코스수당!$B$14:$F$14,0)),0),0)</f>
        <v>0</v>
      </c>
      <c r="L2039" s="27">
        <f t="array" ref="L2039">IF($O2039="방문완료",IF($H2039="",0,IFERROR(INDEX(설정_코스수당!$B$15:$F$64,MATCH($H2039,설정_코스수당!$A$15:$A$64,0),MATCH($E2039&amp;"수당",설정_코스수당!$B$14:$F$14,0)),0)),0)</f>
        <v>0</v>
      </c>
      <c r="M2039" s="27">
        <f>IF($O2039="방문완료",IFERROR(VLOOKUP($E2039,설정_코스수당!$A$6:$H$10,6,FALSE),0),0)</f>
        <v>0</v>
      </c>
      <c r="N2039" s="28">
        <f t="shared" si="59"/>
        <v>0</v>
      </c>
      <c r="O2039" s="23"/>
      <c r="P2039" s="23"/>
      <c r="Q2039" s="23"/>
      <c r="R2039" s="26"/>
      <c r="S2039" s="23"/>
    </row>
    <row r="2040" spans="1:19" ht="19.5" hidden="1" customHeight="1" outlineLevel="1">
      <c r="A2040" s="29">
        <v>70</v>
      </c>
      <c r="B2040" s="30">
        <f>IF(20&lt;=DAY(DATE(YEAR(설정_코스수당!$K$2),MONTH(설정_코스수당!$K$2)+1,0)),DATE(YEAR(설정_코스수당!$K$2),MONTH(설정_코스수당!$K$2),20),"")</f>
        <v>46193</v>
      </c>
      <c r="C2040" s="31"/>
      <c r="D2040" s="29"/>
      <c r="E2040" s="29"/>
      <c r="F2040" s="32"/>
      <c r="G2040" s="29"/>
      <c r="H2040" s="29"/>
      <c r="I2040" s="29"/>
      <c r="J2040" s="33">
        <f>IF($O2040="방문완료",MAX(0,IFERROR(VLOOKUP($E2040,설정_코스수당!$A$6:$H$10,4,FALSE),0)-IF(OR($P2040="",$P2040="없음"),0,100000)),0)</f>
        <v>0</v>
      </c>
      <c r="K2040" s="33">
        <f t="array" ref="K2040">IF($O2040="방문완료",IFERROR(INDEX(설정_코스수당!$B$15:$F$64,MATCH($G2040,설정_코스수당!$A$15:$A$64,0),MATCH($E2040&amp;"수당",설정_코스수당!$B$14:$F$14,0)),0),0)</f>
        <v>0</v>
      </c>
      <c r="L2040" s="33">
        <f t="array" ref="L2040">IF($O2040="방문완료",IF($H2040="",0,IFERROR(INDEX(설정_코스수당!$B$15:$F$64,MATCH($H2040,설정_코스수당!$A$15:$A$64,0),MATCH($E2040&amp;"수당",설정_코스수당!$B$14:$F$14,0)),0)),0)</f>
        <v>0</v>
      </c>
      <c r="M2040" s="33">
        <f>IF($O2040="방문완료",IFERROR(VLOOKUP($E2040,설정_코스수당!$A$6:$H$10,6,FALSE),0),0)</f>
        <v>0</v>
      </c>
      <c r="N2040" s="34">
        <f t="shared" si="59"/>
        <v>0</v>
      </c>
      <c r="O2040" s="29"/>
      <c r="P2040" s="29"/>
      <c r="Q2040" s="29"/>
      <c r="R2040" s="32"/>
      <c r="S2040" s="29"/>
    </row>
    <row r="2041" spans="1:19" ht="19.5" hidden="1" customHeight="1" outlineLevel="1">
      <c r="A2041" s="23">
        <v>71</v>
      </c>
      <c r="B2041" s="24">
        <f>IF(20&lt;=DAY(DATE(YEAR(설정_코스수당!$K$2),MONTH(설정_코스수당!$K$2)+1,0)),DATE(YEAR(설정_코스수당!$K$2),MONTH(설정_코스수당!$K$2),20),"")</f>
        <v>46193</v>
      </c>
      <c r="C2041" s="25"/>
      <c r="D2041" s="23"/>
      <c r="E2041" s="23"/>
      <c r="F2041" s="26"/>
      <c r="G2041" s="23"/>
      <c r="H2041" s="23"/>
      <c r="I2041" s="23"/>
      <c r="J2041" s="27">
        <f>IF($O2041="방문완료",MAX(0,IFERROR(VLOOKUP($E2041,설정_코스수당!$A$6:$H$10,4,FALSE),0)-IF(OR($P2041="",$P2041="없음"),0,100000)),0)</f>
        <v>0</v>
      </c>
      <c r="K2041" s="27">
        <f t="array" ref="K2041">IF($O2041="방문완료",IFERROR(INDEX(설정_코스수당!$B$15:$F$64,MATCH($G2041,설정_코스수당!$A$15:$A$64,0),MATCH($E2041&amp;"수당",설정_코스수당!$B$14:$F$14,0)),0),0)</f>
        <v>0</v>
      </c>
      <c r="L2041" s="27">
        <f t="array" ref="L2041">IF($O2041="방문완료",IF($H2041="",0,IFERROR(INDEX(설정_코스수당!$B$15:$F$64,MATCH($H2041,설정_코스수당!$A$15:$A$64,0),MATCH($E2041&amp;"수당",설정_코스수당!$B$14:$F$14,0)),0)),0)</f>
        <v>0</v>
      </c>
      <c r="M2041" s="27">
        <f>IF($O2041="방문완료",IFERROR(VLOOKUP($E2041,설정_코스수당!$A$6:$H$10,6,FALSE),0),0)</f>
        <v>0</v>
      </c>
      <c r="N2041" s="28">
        <f t="shared" si="59"/>
        <v>0</v>
      </c>
      <c r="O2041" s="23"/>
      <c r="P2041" s="23"/>
      <c r="Q2041" s="23"/>
      <c r="R2041" s="26"/>
      <c r="S2041" s="23"/>
    </row>
    <row r="2042" spans="1:19" ht="19.5" hidden="1" customHeight="1" outlineLevel="1">
      <c r="A2042" s="29">
        <v>72</v>
      </c>
      <c r="B2042" s="30">
        <f>IF(20&lt;=DAY(DATE(YEAR(설정_코스수당!$K$2),MONTH(설정_코스수당!$K$2)+1,0)),DATE(YEAR(설정_코스수당!$K$2),MONTH(설정_코스수당!$K$2),20),"")</f>
        <v>46193</v>
      </c>
      <c r="C2042" s="31"/>
      <c r="D2042" s="29"/>
      <c r="E2042" s="29"/>
      <c r="F2042" s="32"/>
      <c r="G2042" s="29"/>
      <c r="H2042" s="29"/>
      <c r="I2042" s="29"/>
      <c r="J2042" s="33">
        <f>IF($O2042="방문완료",MAX(0,IFERROR(VLOOKUP($E2042,설정_코스수당!$A$6:$H$10,4,FALSE),0)-IF(OR($P2042="",$P2042="없음"),0,100000)),0)</f>
        <v>0</v>
      </c>
      <c r="K2042" s="33">
        <f t="array" ref="K2042">IF($O2042="방문완료",IFERROR(INDEX(설정_코스수당!$B$15:$F$64,MATCH($G2042,설정_코스수당!$A$15:$A$64,0),MATCH($E2042&amp;"수당",설정_코스수당!$B$14:$F$14,0)),0),0)</f>
        <v>0</v>
      </c>
      <c r="L2042" s="33">
        <f t="array" ref="L2042">IF($O2042="방문완료",IF($H2042="",0,IFERROR(INDEX(설정_코스수당!$B$15:$F$64,MATCH($H2042,설정_코스수당!$A$15:$A$64,0),MATCH($E2042&amp;"수당",설정_코스수당!$B$14:$F$14,0)),0)),0)</f>
        <v>0</v>
      </c>
      <c r="M2042" s="33">
        <f>IF($O2042="방문완료",IFERROR(VLOOKUP($E2042,설정_코스수당!$A$6:$H$10,6,FALSE),0),0)</f>
        <v>0</v>
      </c>
      <c r="N2042" s="34">
        <f t="shared" si="59"/>
        <v>0</v>
      </c>
      <c r="O2042" s="29"/>
      <c r="P2042" s="29"/>
      <c r="Q2042" s="29"/>
      <c r="R2042" s="32"/>
      <c r="S2042" s="29"/>
    </row>
    <row r="2043" spans="1:19" ht="19.5" hidden="1" customHeight="1" outlineLevel="1">
      <c r="A2043" s="23">
        <v>73</v>
      </c>
      <c r="B2043" s="24">
        <f>IF(20&lt;=DAY(DATE(YEAR(설정_코스수당!$K$2),MONTH(설정_코스수당!$K$2)+1,0)),DATE(YEAR(설정_코스수당!$K$2),MONTH(설정_코스수당!$K$2),20),"")</f>
        <v>46193</v>
      </c>
      <c r="C2043" s="25"/>
      <c r="D2043" s="23"/>
      <c r="E2043" s="23"/>
      <c r="F2043" s="26"/>
      <c r="G2043" s="23"/>
      <c r="H2043" s="23"/>
      <c r="I2043" s="23"/>
      <c r="J2043" s="27">
        <f>IF($O2043="방문완료",MAX(0,IFERROR(VLOOKUP($E2043,설정_코스수당!$A$6:$H$10,4,FALSE),0)-IF(OR($P2043="",$P2043="없음"),0,100000)),0)</f>
        <v>0</v>
      </c>
      <c r="K2043" s="27">
        <f t="array" ref="K2043">IF($O2043="방문완료",IFERROR(INDEX(설정_코스수당!$B$15:$F$64,MATCH($G2043,설정_코스수당!$A$15:$A$64,0),MATCH($E2043&amp;"수당",설정_코스수당!$B$14:$F$14,0)),0),0)</f>
        <v>0</v>
      </c>
      <c r="L2043" s="27">
        <f t="array" ref="L2043">IF($O2043="방문완료",IF($H2043="",0,IFERROR(INDEX(설정_코스수당!$B$15:$F$64,MATCH($H2043,설정_코스수당!$A$15:$A$64,0),MATCH($E2043&amp;"수당",설정_코스수당!$B$14:$F$14,0)),0)),0)</f>
        <v>0</v>
      </c>
      <c r="M2043" s="27">
        <f>IF($O2043="방문완료",IFERROR(VLOOKUP($E2043,설정_코스수당!$A$6:$H$10,6,FALSE),0),0)</f>
        <v>0</v>
      </c>
      <c r="N2043" s="28">
        <f t="shared" si="59"/>
        <v>0</v>
      </c>
      <c r="O2043" s="23"/>
      <c r="P2043" s="23"/>
      <c r="Q2043" s="23"/>
      <c r="R2043" s="26"/>
      <c r="S2043" s="23"/>
    </row>
    <row r="2044" spans="1:19" ht="19.5" hidden="1" customHeight="1" outlineLevel="1">
      <c r="A2044" s="29">
        <v>74</v>
      </c>
      <c r="B2044" s="30">
        <f>IF(20&lt;=DAY(DATE(YEAR(설정_코스수당!$K$2),MONTH(설정_코스수당!$K$2)+1,0)),DATE(YEAR(설정_코스수당!$K$2),MONTH(설정_코스수당!$K$2),20),"")</f>
        <v>46193</v>
      </c>
      <c r="C2044" s="31"/>
      <c r="D2044" s="29"/>
      <c r="E2044" s="29"/>
      <c r="F2044" s="32"/>
      <c r="G2044" s="29"/>
      <c r="H2044" s="29"/>
      <c r="I2044" s="29"/>
      <c r="J2044" s="33">
        <f>IF($O2044="방문완료",MAX(0,IFERROR(VLOOKUP($E2044,설정_코스수당!$A$6:$H$10,4,FALSE),0)-IF(OR($P2044="",$P2044="없음"),0,100000)),0)</f>
        <v>0</v>
      </c>
      <c r="K2044" s="33">
        <f t="array" ref="K2044">IF($O2044="방문완료",IFERROR(INDEX(설정_코스수당!$B$15:$F$64,MATCH($G2044,설정_코스수당!$A$15:$A$64,0),MATCH($E2044&amp;"수당",설정_코스수당!$B$14:$F$14,0)),0),0)</f>
        <v>0</v>
      </c>
      <c r="L2044" s="33">
        <f t="array" ref="L2044">IF($O2044="방문완료",IF($H2044="",0,IFERROR(INDEX(설정_코스수당!$B$15:$F$64,MATCH($H2044,설정_코스수당!$A$15:$A$64,0),MATCH($E2044&amp;"수당",설정_코스수당!$B$14:$F$14,0)),0)),0)</f>
        <v>0</v>
      </c>
      <c r="M2044" s="33">
        <f>IF($O2044="방문완료",IFERROR(VLOOKUP($E2044,설정_코스수당!$A$6:$H$10,6,FALSE),0),0)</f>
        <v>0</v>
      </c>
      <c r="N2044" s="34">
        <f t="shared" si="59"/>
        <v>0</v>
      </c>
      <c r="O2044" s="29"/>
      <c r="P2044" s="29"/>
      <c r="Q2044" s="29"/>
      <c r="R2044" s="32"/>
      <c r="S2044" s="29"/>
    </row>
    <row r="2045" spans="1:19" ht="19.5" hidden="1" customHeight="1" outlineLevel="1">
      <c r="A2045" s="23">
        <v>75</v>
      </c>
      <c r="B2045" s="24">
        <f>IF(20&lt;=DAY(DATE(YEAR(설정_코스수당!$K$2),MONTH(설정_코스수당!$K$2)+1,0)),DATE(YEAR(설정_코스수당!$K$2),MONTH(설정_코스수당!$K$2),20),"")</f>
        <v>46193</v>
      </c>
      <c r="C2045" s="25"/>
      <c r="D2045" s="23"/>
      <c r="E2045" s="23"/>
      <c r="F2045" s="26"/>
      <c r="G2045" s="23"/>
      <c r="H2045" s="23"/>
      <c r="I2045" s="23"/>
      <c r="J2045" s="27">
        <f>IF($O2045="방문완료",MAX(0,IFERROR(VLOOKUP($E2045,설정_코스수당!$A$6:$H$10,4,FALSE),0)-IF(OR($P2045="",$P2045="없음"),0,100000)),0)</f>
        <v>0</v>
      </c>
      <c r="K2045" s="27">
        <f t="array" ref="K2045">IF($O2045="방문완료",IFERROR(INDEX(설정_코스수당!$B$15:$F$64,MATCH($G2045,설정_코스수당!$A$15:$A$64,0),MATCH($E2045&amp;"수당",설정_코스수당!$B$14:$F$14,0)),0),0)</f>
        <v>0</v>
      </c>
      <c r="L2045" s="27">
        <f t="array" ref="L2045">IF($O2045="방문완료",IF($H2045="",0,IFERROR(INDEX(설정_코스수당!$B$15:$F$64,MATCH($H2045,설정_코스수당!$A$15:$A$64,0),MATCH($E2045&amp;"수당",설정_코스수당!$B$14:$F$14,0)),0)),0)</f>
        <v>0</v>
      </c>
      <c r="M2045" s="27">
        <f>IF($O2045="방문완료",IFERROR(VLOOKUP($E2045,설정_코스수당!$A$6:$H$10,6,FALSE),0),0)</f>
        <v>0</v>
      </c>
      <c r="N2045" s="28">
        <f t="shared" si="59"/>
        <v>0</v>
      </c>
      <c r="O2045" s="23"/>
      <c r="P2045" s="23"/>
      <c r="Q2045" s="23"/>
      <c r="R2045" s="26"/>
      <c r="S2045" s="23"/>
    </row>
    <row r="2046" spans="1:19" ht="19.5" hidden="1" customHeight="1" outlineLevel="1">
      <c r="A2046" s="29">
        <v>76</v>
      </c>
      <c r="B2046" s="30">
        <f>IF(20&lt;=DAY(DATE(YEAR(설정_코스수당!$K$2),MONTH(설정_코스수당!$K$2)+1,0)),DATE(YEAR(설정_코스수당!$K$2),MONTH(설정_코스수당!$K$2),20),"")</f>
        <v>46193</v>
      </c>
      <c r="C2046" s="31"/>
      <c r="D2046" s="29"/>
      <c r="E2046" s="29"/>
      <c r="F2046" s="32"/>
      <c r="G2046" s="29"/>
      <c r="H2046" s="29"/>
      <c r="I2046" s="29"/>
      <c r="J2046" s="33">
        <f>IF($O2046="방문완료",MAX(0,IFERROR(VLOOKUP($E2046,설정_코스수당!$A$6:$H$10,4,FALSE),0)-IF(OR($P2046="",$P2046="없음"),0,100000)),0)</f>
        <v>0</v>
      </c>
      <c r="K2046" s="33">
        <f t="array" ref="K2046">IF($O2046="방문완료",IFERROR(INDEX(설정_코스수당!$B$15:$F$64,MATCH($G2046,설정_코스수당!$A$15:$A$64,0),MATCH($E2046&amp;"수당",설정_코스수당!$B$14:$F$14,0)),0),0)</f>
        <v>0</v>
      </c>
      <c r="L2046" s="33">
        <f t="array" ref="L2046">IF($O2046="방문완료",IF($H2046="",0,IFERROR(INDEX(설정_코스수당!$B$15:$F$64,MATCH($H2046,설정_코스수당!$A$15:$A$64,0),MATCH($E2046&amp;"수당",설정_코스수당!$B$14:$F$14,0)),0)),0)</f>
        <v>0</v>
      </c>
      <c r="M2046" s="33">
        <f>IF($O2046="방문완료",IFERROR(VLOOKUP($E2046,설정_코스수당!$A$6:$H$10,6,FALSE),0),0)</f>
        <v>0</v>
      </c>
      <c r="N2046" s="34">
        <f t="shared" si="59"/>
        <v>0</v>
      </c>
      <c r="O2046" s="29"/>
      <c r="P2046" s="29"/>
      <c r="Q2046" s="29"/>
      <c r="R2046" s="32"/>
      <c r="S2046" s="29"/>
    </row>
    <row r="2047" spans="1:19" ht="19.5" hidden="1" customHeight="1" outlineLevel="1">
      <c r="A2047" s="23">
        <v>77</v>
      </c>
      <c r="B2047" s="24">
        <f>IF(20&lt;=DAY(DATE(YEAR(설정_코스수당!$K$2),MONTH(설정_코스수당!$K$2)+1,0)),DATE(YEAR(설정_코스수당!$K$2),MONTH(설정_코스수당!$K$2),20),"")</f>
        <v>46193</v>
      </c>
      <c r="C2047" s="25"/>
      <c r="D2047" s="23"/>
      <c r="E2047" s="23"/>
      <c r="F2047" s="26"/>
      <c r="G2047" s="23"/>
      <c r="H2047" s="23"/>
      <c r="I2047" s="23"/>
      <c r="J2047" s="27">
        <f>IF($O2047="방문완료",MAX(0,IFERROR(VLOOKUP($E2047,설정_코스수당!$A$6:$H$10,4,FALSE),0)-IF(OR($P2047="",$P2047="없음"),0,100000)),0)</f>
        <v>0</v>
      </c>
      <c r="K2047" s="27">
        <f t="array" ref="K2047">IF($O2047="방문완료",IFERROR(INDEX(설정_코스수당!$B$15:$F$64,MATCH($G2047,설정_코스수당!$A$15:$A$64,0),MATCH($E2047&amp;"수당",설정_코스수당!$B$14:$F$14,0)),0),0)</f>
        <v>0</v>
      </c>
      <c r="L2047" s="27">
        <f t="array" ref="L2047">IF($O2047="방문완료",IF($H2047="",0,IFERROR(INDEX(설정_코스수당!$B$15:$F$64,MATCH($H2047,설정_코스수당!$A$15:$A$64,0),MATCH($E2047&amp;"수당",설정_코스수당!$B$14:$F$14,0)),0)),0)</f>
        <v>0</v>
      </c>
      <c r="M2047" s="27">
        <f>IF($O2047="방문완료",IFERROR(VLOOKUP($E2047,설정_코스수당!$A$6:$H$10,6,FALSE),0),0)</f>
        <v>0</v>
      </c>
      <c r="N2047" s="28">
        <f t="shared" si="59"/>
        <v>0</v>
      </c>
      <c r="O2047" s="23"/>
      <c r="P2047" s="23"/>
      <c r="Q2047" s="23"/>
      <c r="R2047" s="26"/>
      <c r="S2047" s="23"/>
    </row>
    <row r="2048" spans="1:19" ht="19.5" hidden="1" customHeight="1" outlineLevel="1">
      <c r="A2048" s="29">
        <v>78</v>
      </c>
      <c r="B2048" s="30">
        <f>IF(20&lt;=DAY(DATE(YEAR(설정_코스수당!$K$2),MONTH(설정_코스수당!$K$2)+1,0)),DATE(YEAR(설정_코스수당!$K$2),MONTH(설정_코스수당!$K$2),20),"")</f>
        <v>46193</v>
      </c>
      <c r="C2048" s="31"/>
      <c r="D2048" s="29"/>
      <c r="E2048" s="29"/>
      <c r="F2048" s="32"/>
      <c r="G2048" s="29"/>
      <c r="H2048" s="29"/>
      <c r="I2048" s="29"/>
      <c r="J2048" s="33">
        <f>IF($O2048="방문완료",MAX(0,IFERROR(VLOOKUP($E2048,설정_코스수당!$A$6:$H$10,4,FALSE),0)-IF(OR($P2048="",$P2048="없음"),0,100000)),0)</f>
        <v>0</v>
      </c>
      <c r="K2048" s="33">
        <f t="array" ref="K2048">IF($O2048="방문완료",IFERROR(INDEX(설정_코스수당!$B$15:$F$64,MATCH($G2048,설정_코스수당!$A$15:$A$64,0),MATCH($E2048&amp;"수당",설정_코스수당!$B$14:$F$14,0)),0),0)</f>
        <v>0</v>
      </c>
      <c r="L2048" s="33">
        <f t="array" ref="L2048">IF($O2048="방문완료",IF($H2048="",0,IFERROR(INDEX(설정_코스수당!$B$15:$F$64,MATCH($H2048,설정_코스수당!$A$15:$A$64,0),MATCH($E2048&amp;"수당",설정_코스수당!$B$14:$F$14,0)),0)),0)</f>
        <v>0</v>
      </c>
      <c r="M2048" s="33">
        <f>IF($O2048="방문완료",IFERROR(VLOOKUP($E2048,설정_코스수당!$A$6:$H$10,6,FALSE),0),0)</f>
        <v>0</v>
      </c>
      <c r="N2048" s="34">
        <f t="shared" si="59"/>
        <v>0</v>
      </c>
      <c r="O2048" s="29"/>
      <c r="P2048" s="29"/>
      <c r="Q2048" s="29"/>
      <c r="R2048" s="32"/>
      <c r="S2048" s="29"/>
    </row>
    <row r="2049" spans="1:19" ht="19.5" hidden="1" customHeight="1" outlineLevel="1">
      <c r="A2049" s="23">
        <v>79</v>
      </c>
      <c r="B2049" s="24">
        <f>IF(20&lt;=DAY(DATE(YEAR(설정_코스수당!$K$2),MONTH(설정_코스수당!$K$2)+1,0)),DATE(YEAR(설정_코스수당!$K$2),MONTH(설정_코스수당!$K$2),20),"")</f>
        <v>46193</v>
      </c>
      <c r="C2049" s="25"/>
      <c r="D2049" s="23"/>
      <c r="E2049" s="23"/>
      <c r="F2049" s="26"/>
      <c r="G2049" s="23"/>
      <c r="H2049" s="23"/>
      <c r="I2049" s="23"/>
      <c r="J2049" s="27">
        <f>IF($O2049="방문완료",MAX(0,IFERROR(VLOOKUP($E2049,설정_코스수당!$A$6:$H$10,4,FALSE),0)-IF(OR($P2049="",$P2049="없음"),0,100000)),0)</f>
        <v>0</v>
      </c>
      <c r="K2049" s="27">
        <f t="array" ref="K2049">IF($O2049="방문완료",IFERROR(INDEX(설정_코스수당!$B$15:$F$64,MATCH($G2049,설정_코스수당!$A$15:$A$64,0),MATCH($E2049&amp;"수당",설정_코스수당!$B$14:$F$14,0)),0),0)</f>
        <v>0</v>
      </c>
      <c r="L2049" s="27">
        <f t="array" ref="L2049">IF($O2049="방문완료",IF($H2049="",0,IFERROR(INDEX(설정_코스수당!$B$15:$F$64,MATCH($H2049,설정_코스수당!$A$15:$A$64,0),MATCH($E2049&amp;"수당",설정_코스수당!$B$14:$F$14,0)),0)),0)</f>
        <v>0</v>
      </c>
      <c r="M2049" s="27">
        <f>IF($O2049="방문완료",IFERROR(VLOOKUP($E2049,설정_코스수당!$A$6:$H$10,6,FALSE),0),0)</f>
        <v>0</v>
      </c>
      <c r="N2049" s="28">
        <f t="shared" si="59"/>
        <v>0</v>
      </c>
      <c r="O2049" s="23"/>
      <c r="P2049" s="23"/>
      <c r="Q2049" s="23"/>
      <c r="R2049" s="26"/>
      <c r="S2049" s="23"/>
    </row>
    <row r="2050" spans="1:19" ht="19.5" hidden="1" customHeight="1" outlineLevel="1">
      <c r="A2050" s="29">
        <v>80</v>
      </c>
      <c r="B2050" s="30">
        <f>IF(20&lt;=DAY(DATE(YEAR(설정_코스수당!$K$2),MONTH(설정_코스수당!$K$2)+1,0)),DATE(YEAR(설정_코스수당!$K$2),MONTH(설정_코스수당!$K$2),20),"")</f>
        <v>46193</v>
      </c>
      <c r="C2050" s="31"/>
      <c r="D2050" s="29"/>
      <c r="E2050" s="29"/>
      <c r="F2050" s="32"/>
      <c r="G2050" s="29"/>
      <c r="H2050" s="29"/>
      <c r="I2050" s="29"/>
      <c r="J2050" s="33">
        <f>IF($O2050="방문완료",MAX(0,IFERROR(VLOOKUP($E2050,설정_코스수당!$A$6:$H$10,4,FALSE),0)-IF(OR($P2050="",$P2050="없음"),0,100000)),0)</f>
        <v>0</v>
      </c>
      <c r="K2050" s="33">
        <f t="array" ref="K2050">IF($O2050="방문완료",IFERROR(INDEX(설정_코스수당!$B$15:$F$64,MATCH($G2050,설정_코스수당!$A$15:$A$64,0),MATCH($E2050&amp;"수당",설정_코스수당!$B$14:$F$14,0)),0),0)</f>
        <v>0</v>
      </c>
      <c r="L2050" s="33">
        <f t="array" ref="L2050">IF($O2050="방문완료",IF($H2050="",0,IFERROR(INDEX(설정_코스수당!$B$15:$F$64,MATCH($H2050,설정_코스수당!$A$15:$A$64,0),MATCH($E2050&amp;"수당",설정_코스수당!$B$14:$F$14,0)),0)),0)</f>
        <v>0</v>
      </c>
      <c r="M2050" s="33">
        <f>IF($O2050="방문완료",IFERROR(VLOOKUP($E2050,설정_코스수당!$A$6:$H$10,6,FALSE),0),0)</f>
        <v>0</v>
      </c>
      <c r="N2050" s="34">
        <f t="shared" si="59"/>
        <v>0</v>
      </c>
      <c r="O2050" s="29"/>
      <c r="P2050" s="29"/>
      <c r="Q2050" s="29"/>
      <c r="R2050" s="32"/>
      <c r="S2050" s="29"/>
    </row>
    <row r="2051" spans="1:19" ht="19.5" hidden="1" customHeight="1" outlineLevel="1">
      <c r="A2051" s="23">
        <v>81</v>
      </c>
      <c r="B2051" s="24">
        <f>IF(20&lt;=DAY(DATE(YEAR(설정_코스수당!$K$2),MONTH(설정_코스수당!$K$2)+1,0)),DATE(YEAR(설정_코스수당!$K$2),MONTH(설정_코스수당!$K$2),20),"")</f>
        <v>46193</v>
      </c>
      <c r="C2051" s="25"/>
      <c r="D2051" s="23"/>
      <c r="E2051" s="23"/>
      <c r="F2051" s="26"/>
      <c r="G2051" s="23"/>
      <c r="H2051" s="23"/>
      <c r="I2051" s="23"/>
      <c r="J2051" s="27">
        <f>IF($O2051="방문완료",MAX(0,IFERROR(VLOOKUP($E2051,설정_코스수당!$A$6:$H$10,4,FALSE),0)-IF(OR($P2051="",$P2051="없음"),0,100000)),0)</f>
        <v>0</v>
      </c>
      <c r="K2051" s="27">
        <f t="array" ref="K2051">IF($O2051="방문완료",IFERROR(INDEX(설정_코스수당!$B$15:$F$64,MATCH($G2051,설정_코스수당!$A$15:$A$64,0),MATCH($E2051&amp;"수당",설정_코스수당!$B$14:$F$14,0)),0),0)</f>
        <v>0</v>
      </c>
      <c r="L2051" s="27">
        <f t="array" ref="L2051">IF($O2051="방문완료",IF($H2051="",0,IFERROR(INDEX(설정_코스수당!$B$15:$F$64,MATCH($H2051,설정_코스수당!$A$15:$A$64,0),MATCH($E2051&amp;"수당",설정_코스수당!$B$14:$F$14,0)),0)),0)</f>
        <v>0</v>
      </c>
      <c r="M2051" s="27">
        <f>IF($O2051="방문완료",IFERROR(VLOOKUP($E2051,설정_코스수당!$A$6:$H$10,6,FALSE),0),0)</f>
        <v>0</v>
      </c>
      <c r="N2051" s="28">
        <f t="shared" si="59"/>
        <v>0</v>
      </c>
      <c r="O2051" s="23"/>
      <c r="P2051" s="23"/>
      <c r="Q2051" s="23"/>
      <c r="R2051" s="26"/>
      <c r="S2051" s="23"/>
    </row>
    <row r="2052" spans="1:19" ht="19.5" hidden="1" customHeight="1" outlineLevel="1">
      <c r="A2052" s="29">
        <v>82</v>
      </c>
      <c r="B2052" s="30">
        <f>IF(20&lt;=DAY(DATE(YEAR(설정_코스수당!$K$2),MONTH(설정_코스수당!$K$2)+1,0)),DATE(YEAR(설정_코스수당!$K$2),MONTH(설정_코스수당!$K$2),20),"")</f>
        <v>46193</v>
      </c>
      <c r="C2052" s="31"/>
      <c r="D2052" s="29"/>
      <c r="E2052" s="29"/>
      <c r="F2052" s="32"/>
      <c r="G2052" s="29"/>
      <c r="H2052" s="29"/>
      <c r="I2052" s="29"/>
      <c r="J2052" s="33">
        <f>IF($O2052="방문완료",MAX(0,IFERROR(VLOOKUP($E2052,설정_코스수당!$A$6:$H$10,4,FALSE),0)-IF(OR($P2052="",$P2052="없음"),0,100000)),0)</f>
        <v>0</v>
      </c>
      <c r="K2052" s="33">
        <f t="array" ref="K2052">IF($O2052="방문완료",IFERROR(INDEX(설정_코스수당!$B$15:$F$64,MATCH($G2052,설정_코스수당!$A$15:$A$64,0),MATCH($E2052&amp;"수당",설정_코스수당!$B$14:$F$14,0)),0),0)</f>
        <v>0</v>
      </c>
      <c r="L2052" s="33">
        <f t="array" ref="L2052">IF($O2052="방문완료",IF($H2052="",0,IFERROR(INDEX(설정_코스수당!$B$15:$F$64,MATCH($H2052,설정_코스수당!$A$15:$A$64,0),MATCH($E2052&amp;"수당",설정_코스수당!$B$14:$F$14,0)),0)),0)</f>
        <v>0</v>
      </c>
      <c r="M2052" s="33">
        <f>IF($O2052="방문완료",IFERROR(VLOOKUP($E2052,설정_코스수당!$A$6:$H$10,6,FALSE),0),0)</f>
        <v>0</v>
      </c>
      <c r="N2052" s="34">
        <f t="shared" si="59"/>
        <v>0</v>
      </c>
      <c r="O2052" s="29"/>
      <c r="P2052" s="29"/>
      <c r="Q2052" s="29"/>
      <c r="R2052" s="32"/>
      <c r="S2052" s="29"/>
    </row>
    <row r="2053" spans="1:19" ht="19.5" hidden="1" customHeight="1" outlineLevel="1">
      <c r="A2053" s="23">
        <v>83</v>
      </c>
      <c r="B2053" s="24">
        <f>IF(20&lt;=DAY(DATE(YEAR(설정_코스수당!$K$2),MONTH(설정_코스수당!$K$2)+1,0)),DATE(YEAR(설정_코스수당!$K$2),MONTH(설정_코스수당!$K$2),20),"")</f>
        <v>46193</v>
      </c>
      <c r="C2053" s="25"/>
      <c r="D2053" s="23"/>
      <c r="E2053" s="23"/>
      <c r="F2053" s="26"/>
      <c r="G2053" s="23"/>
      <c r="H2053" s="23"/>
      <c r="I2053" s="23"/>
      <c r="J2053" s="27">
        <f>IF($O2053="방문완료",MAX(0,IFERROR(VLOOKUP($E2053,설정_코스수당!$A$6:$H$10,4,FALSE),0)-IF(OR($P2053="",$P2053="없음"),0,100000)),0)</f>
        <v>0</v>
      </c>
      <c r="K2053" s="27">
        <f t="array" ref="K2053">IF($O2053="방문완료",IFERROR(INDEX(설정_코스수당!$B$15:$F$64,MATCH($G2053,설정_코스수당!$A$15:$A$64,0),MATCH($E2053&amp;"수당",설정_코스수당!$B$14:$F$14,0)),0),0)</f>
        <v>0</v>
      </c>
      <c r="L2053" s="27">
        <f t="array" ref="L2053">IF($O2053="방문완료",IF($H2053="",0,IFERROR(INDEX(설정_코스수당!$B$15:$F$64,MATCH($H2053,설정_코스수당!$A$15:$A$64,0),MATCH($E2053&amp;"수당",설정_코스수당!$B$14:$F$14,0)),0)),0)</f>
        <v>0</v>
      </c>
      <c r="M2053" s="27">
        <f>IF($O2053="방문완료",IFERROR(VLOOKUP($E2053,설정_코스수당!$A$6:$H$10,6,FALSE),0),0)</f>
        <v>0</v>
      </c>
      <c r="N2053" s="28">
        <f t="shared" si="59"/>
        <v>0</v>
      </c>
      <c r="O2053" s="23"/>
      <c r="P2053" s="23"/>
      <c r="Q2053" s="23"/>
      <c r="R2053" s="26"/>
      <c r="S2053" s="23"/>
    </row>
    <row r="2054" spans="1:19" ht="19.5" hidden="1" customHeight="1" outlineLevel="1">
      <c r="A2054" s="29">
        <v>84</v>
      </c>
      <c r="B2054" s="30">
        <f>IF(20&lt;=DAY(DATE(YEAR(설정_코스수당!$K$2),MONTH(설정_코스수당!$K$2)+1,0)),DATE(YEAR(설정_코스수당!$K$2),MONTH(설정_코스수당!$K$2),20),"")</f>
        <v>46193</v>
      </c>
      <c r="C2054" s="31"/>
      <c r="D2054" s="29"/>
      <c r="E2054" s="29"/>
      <c r="F2054" s="32"/>
      <c r="G2054" s="29"/>
      <c r="H2054" s="29"/>
      <c r="I2054" s="29"/>
      <c r="J2054" s="33">
        <f>IF($O2054="방문완료",MAX(0,IFERROR(VLOOKUP($E2054,설정_코스수당!$A$6:$H$10,4,FALSE),0)-IF(OR($P2054="",$P2054="없음"),0,100000)),0)</f>
        <v>0</v>
      </c>
      <c r="K2054" s="33">
        <f t="array" ref="K2054">IF($O2054="방문완료",IFERROR(INDEX(설정_코스수당!$B$15:$F$64,MATCH($G2054,설정_코스수당!$A$15:$A$64,0),MATCH($E2054&amp;"수당",설정_코스수당!$B$14:$F$14,0)),0),0)</f>
        <v>0</v>
      </c>
      <c r="L2054" s="33">
        <f t="array" ref="L2054">IF($O2054="방문완료",IF($H2054="",0,IFERROR(INDEX(설정_코스수당!$B$15:$F$64,MATCH($H2054,설정_코스수당!$A$15:$A$64,0),MATCH($E2054&amp;"수당",설정_코스수당!$B$14:$F$14,0)),0)),0)</f>
        <v>0</v>
      </c>
      <c r="M2054" s="33">
        <f>IF($O2054="방문완료",IFERROR(VLOOKUP($E2054,설정_코스수당!$A$6:$H$10,6,FALSE),0),0)</f>
        <v>0</v>
      </c>
      <c r="N2054" s="34">
        <f t="shared" si="59"/>
        <v>0</v>
      </c>
      <c r="O2054" s="29"/>
      <c r="P2054" s="29"/>
      <c r="Q2054" s="29"/>
      <c r="R2054" s="32"/>
      <c r="S2054" s="29"/>
    </row>
    <row r="2055" spans="1:19" ht="19.5" hidden="1" customHeight="1" outlineLevel="1">
      <c r="A2055" s="23">
        <v>85</v>
      </c>
      <c r="B2055" s="24">
        <f>IF(20&lt;=DAY(DATE(YEAR(설정_코스수당!$K$2),MONTH(설정_코스수당!$K$2)+1,0)),DATE(YEAR(설정_코스수당!$K$2),MONTH(설정_코스수당!$K$2),20),"")</f>
        <v>46193</v>
      </c>
      <c r="C2055" s="25"/>
      <c r="D2055" s="23"/>
      <c r="E2055" s="23"/>
      <c r="F2055" s="26"/>
      <c r="G2055" s="23"/>
      <c r="H2055" s="23"/>
      <c r="I2055" s="23"/>
      <c r="J2055" s="27">
        <f>IF($O2055="방문완료",MAX(0,IFERROR(VLOOKUP($E2055,설정_코스수당!$A$6:$H$10,4,FALSE),0)-IF(OR($P2055="",$P2055="없음"),0,100000)),0)</f>
        <v>0</v>
      </c>
      <c r="K2055" s="27">
        <f t="array" ref="K2055">IF($O2055="방문완료",IFERROR(INDEX(설정_코스수당!$B$15:$F$64,MATCH($G2055,설정_코스수당!$A$15:$A$64,0),MATCH($E2055&amp;"수당",설정_코스수당!$B$14:$F$14,0)),0),0)</f>
        <v>0</v>
      </c>
      <c r="L2055" s="27">
        <f t="array" ref="L2055">IF($O2055="방문완료",IF($H2055="",0,IFERROR(INDEX(설정_코스수당!$B$15:$F$64,MATCH($H2055,설정_코스수당!$A$15:$A$64,0),MATCH($E2055&amp;"수당",설정_코스수당!$B$14:$F$14,0)),0)),0)</f>
        <v>0</v>
      </c>
      <c r="M2055" s="27">
        <f>IF($O2055="방문완료",IFERROR(VLOOKUP($E2055,설정_코스수당!$A$6:$H$10,6,FALSE),0),0)</f>
        <v>0</v>
      </c>
      <c r="N2055" s="28">
        <f t="shared" si="59"/>
        <v>0</v>
      </c>
      <c r="O2055" s="23"/>
      <c r="P2055" s="23"/>
      <c r="Q2055" s="23"/>
      <c r="R2055" s="26"/>
      <c r="S2055" s="23"/>
    </row>
    <row r="2056" spans="1:19" ht="19.5" hidden="1" customHeight="1" outlineLevel="1">
      <c r="A2056" s="29">
        <v>86</v>
      </c>
      <c r="B2056" s="30">
        <f>IF(20&lt;=DAY(DATE(YEAR(설정_코스수당!$K$2),MONTH(설정_코스수당!$K$2)+1,0)),DATE(YEAR(설정_코스수당!$K$2),MONTH(설정_코스수당!$K$2),20),"")</f>
        <v>46193</v>
      </c>
      <c r="C2056" s="31"/>
      <c r="D2056" s="29"/>
      <c r="E2056" s="29"/>
      <c r="F2056" s="32"/>
      <c r="G2056" s="29"/>
      <c r="H2056" s="29"/>
      <c r="I2056" s="29"/>
      <c r="J2056" s="33">
        <f>IF($O2056="방문완료",MAX(0,IFERROR(VLOOKUP($E2056,설정_코스수당!$A$6:$H$10,4,FALSE),0)-IF(OR($P2056="",$P2056="없음"),0,100000)),0)</f>
        <v>0</v>
      </c>
      <c r="K2056" s="33">
        <f t="array" ref="K2056">IF($O2056="방문완료",IFERROR(INDEX(설정_코스수당!$B$15:$F$64,MATCH($G2056,설정_코스수당!$A$15:$A$64,0),MATCH($E2056&amp;"수당",설정_코스수당!$B$14:$F$14,0)),0),0)</f>
        <v>0</v>
      </c>
      <c r="L2056" s="33">
        <f t="array" ref="L2056">IF($O2056="방문완료",IF($H2056="",0,IFERROR(INDEX(설정_코스수당!$B$15:$F$64,MATCH($H2056,설정_코스수당!$A$15:$A$64,0),MATCH($E2056&amp;"수당",설정_코스수당!$B$14:$F$14,0)),0)),0)</f>
        <v>0</v>
      </c>
      <c r="M2056" s="33">
        <f>IF($O2056="방문완료",IFERROR(VLOOKUP($E2056,설정_코스수당!$A$6:$H$10,6,FALSE),0),0)</f>
        <v>0</v>
      </c>
      <c r="N2056" s="34">
        <f t="shared" si="59"/>
        <v>0</v>
      </c>
      <c r="O2056" s="29"/>
      <c r="P2056" s="29"/>
      <c r="Q2056" s="29"/>
      <c r="R2056" s="32"/>
      <c r="S2056" s="29"/>
    </row>
    <row r="2057" spans="1:19" ht="19.5" hidden="1" customHeight="1" outlineLevel="1">
      <c r="A2057" s="23">
        <v>87</v>
      </c>
      <c r="B2057" s="24">
        <f>IF(20&lt;=DAY(DATE(YEAR(설정_코스수당!$K$2),MONTH(설정_코스수당!$K$2)+1,0)),DATE(YEAR(설정_코스수당!$K$2),MONTH(설정_코스수당!$K$2),20),"")</f>
        <v>46193</v>
      </c>
      <c r="C2057" s="25"/>
      <c r="D2057" s="23"/>
      <c r="E2057" s="23"/>
      <c r="F2057" s="26"/>
      <c r="G2057" s="23"/>
      <c r="H2057" s="23"/>
      <c r="I2057" s="23"/>
      <c r="J2057" s="27">
        <f>IF($O2057="방문완료",MAX(0,IFERROR(VLOOKUP($E2057,설정_코스수당!$A$6:$H$10,4,FALSE),0)-IF(OR($P2057="",$P2057="없음"),0,100000)),0)</f>
        <v>0</v>
      </c>
      <c r="K2057" s="27">
        <f t="array" ref="K2057">IF($O2057="방문완료",IFERROR(INDEX(설정_코스수당!$B$15:$F$64,MATCH($G2057,설정_코스수당!$A$15:$A$64,0),MATCH($E2057&amp;"수당",설정_코스수당!$B$14:$F$14,0)),0),0)</f>
        <v>0</v>
      </c>
      <c r="L2057" s="27">
        <f t="array" ref="L2057">IF($O2057="방문완료",IF($H2057="",0,IFERROR(INDEX(설정_코스수당!$B$15:$F$64,MATCH($H2057,설정_코스수당!$A$15:$A$64,0),MATCH($E2057&amp;"수당",설정_코스수당!$B$14:$F$14,0)),0)),0)</f>
        <v>0</v>
      </c>
      <c r="M2057" s="27">
        <f>IF($O2057="방문완료",IFERROR(VLOOKUP($E2057,설정_코스수당!$A$6:$H$10,6,FALSE),0),0)</f>
        <v>0</v>
      </c>
      <c r="N2057" s="28">
        <f t="shared" si="59"/>
        <v>0</v>
      </c>
      <c r="O2057" s="23"/>
      <c r="P2057" s="23"/>
      <c r="Q2057" s="23"/>
      <c r="R2057" s="26"/>
      <c r="S2057" s="23"/>
    </row>
    <row r="2058" spans="1:19" ht="19.5" hidden="1" customHeight="1" outlineLevel="1">
      <c r="A2058" s="29">
        <v>88</v>
      </c>
      <c r="B2058" s="30">
        <f>IF(20&lt;=DAY(DATE(YEAR(설정_코스수당!$K$2),MONTH(설정_코스수당!$K$2)+1,0)),DATE(YEAR(설정_코스수당!$K$2),MONTH(설정_코스수당!$K$2),20),"")</f>
        <v>46193</v>
      </c>
      <c r="C2058" s="31"/>
      <c r="D2058" s="29"/>
      <c r="E2058" s="29"/>
      <c r="F2058" s="32"/>
      <c r="G2058" s="29"/>
      <c r="H2058" s="29"/>
      <c r="I2058" s="29"/>
      <c r="J2058" s="33">
        <f>IF($O2058="방문완료",MAX(0,IFERROR(VLOOKUP($E2058,설정_코스수당!$A$6:$H$10,4,FALSE),0)-IF(OR($P2058="",$P2058="없음"),0,100000)),0)</f>
        <v>0</v>
      </c>
      <c r="K2058" s="33">
        <f t="array" ref="K2058">IF($O2058="방문완료",IFERROR(INDEX(설정_코스수당!$B$15:$F$64,MATCH($G2058,설정_코스수당!$A$15:$A$64,0),MATCH($E2058&amp;"수당",설정_코스수당!$B$14:$F$14,0)),0),0)</f>
        <v>0</v>
      </c>
      <c r="L2058" s="33">
        <f t="array" ref="L2058">IF($O2058="방문완료",IF($H2058="",0,IFERROR(INDEX(설정_코스수당!$B$15:$F$64,MATCH($H2058,설정_코스수당!$A$15:$A$64,0),MATCH($E2058&amp;"수당",설정_코스수당!$B$14:$F$14,0)),0)),0)</f>
        <v>0</v>
      </c>
      <c r="M2058" s="33">
        <f>IF($O2058="방문완료",IFERROR(VLOOKUP($E2058,설정_코스수당!$A$6:$H$10,6,FALSE),0),0)</f>
        <v>0</v>
      </c>
      <c r="N2058" s="34">
        <f t="shared" si="59"/>
        <v>0</v>
      </c>
      <c r="O2058" s="29"/>
      <c r="P2058" s="29"/>
      <c r="Q2058" s="29"/>
      <c r="R2058" s="32"/>
      <c r="S2058" s="29"/>
    </row>
    <row r="2059" spans="1:19" ht="19.5" hidden="1" customHeight="1" outlineLevel="1">
      <c r="A2059" s="23">
        <v>89</v>
      </c>
      <c r="B2059" s="24">
        <f>IF(20&lt;=DAY(DATE(YEAR(설정_코스수당!$K$2),MONTH(설정_코스수당!$K$2)+1,0)),DATE(YEAR(설정_코스수당!$K$2),MONTH(설정_코스수당!$K$2),20),"")</f>
        <v>46193</v>
      </c>
      <c r="C2059" s="25"/>
      <c r="D2059" s="23"/>
      <c r="E2059" s="23"/>
      <c r="F2059" s="26"/>
      <c r="G2059" s="23"/>
      <c r="H2059" s="23"/>
      <c r="I2059" s="23"/>
      <c r="J2059" s="27">
        <f>IF($O2059="방문완료",MAX(0,IFERROR(VLOOKUP($E2059,설정_코스수당!$A$6:$H$10,4,FALSE),0)-IF(OR($P2059="",$P2059="없음"),0,100000)),0)</f>
        <v>0</v>
      </c>
      <c r="K2059" s="27">
        <f t="array" ref="K2059">IF($O2059="방문완료",IFERROR(INDEX(설정_코스수당!$B$15:$F$64,MATCH($G2059,설정_코스수당!$A$15:$A$64,0),MATCH($E2059&amp;"수당",설정_코스수당!$B$14:$F$14,0)),0),0)</f>
        <v>0</v>
      </c>
      <c r="L2059" s="27">
        <f t="array" ref="L2059">IF($O2059="방문완료",IF($H2059="",0,IFERROR(INDEX(설정_코스수당!$B$15:$F$64,MATCH($H2059,설정_코스수당!$A$15:$A$64,0),MATCH($E2059&amp;"수당",설정_코스수당!$B$14:$F$14,0)),0)),0)</f>
        <v>0</v>
      </c>
      <c r="M2059" s="27">
        <f>IF($O2059="방문완료",IFERROR(VLOOKUP($E2059,설정_코스수당!$A$6:$H$10,6,FALSE),0),0)</f>
        <v>0</v>
      </c>
      <c r="N2059" s="28">
        <f t="shared" si="59"/>
        <v>0</v>
      </c>
      <c r="O2059" s="23"/>
      <c r="P2059" s="23"/>
      <c r="Q2059" s="23"/>
      <c r="R2059" s="26"/>
      <c r="S2059" s="23"/>
    </row>
    <row r="2060" spans="1:19" ht="19.5" hidden="1" customHeight="1" outlineLevel="1">
      <c r="A2060" s="29">
        <v>90</v>
      </c>
      <c r="B2060" s="30">
        <f>IF(20&lt;=DAY(DATE(YEAR(설정_코스수당!$K$2),MONTH(설정_코스수당!$K$2)+1,0)),DATE(YEAR(설정_코스수당!$K$2),MONTH(설정_코스수당!$K$2),20),"")</f>
        <v>46193</v>
      </c>
      <c r="C2060" s="31"/>
      <c r="D2060" s="29"/>
      <c r="E2060" s="29"/>
      <c r="F2060" s="32"/>
      <c r="G2060" s="29"/>
      <c r="H2060" s="29"/>
      <c r="I2060" s="29"/>
      <c r="J2060" s="33">
        <f>IF($O2060="방문완료",MAX(0,IFERROR(VLOOKUP($E2060,설정_코스수당!$A$6:$H$10,4,FALSE),0)-IF(OR($P2060="",$P2060="없음"),0,100000)),0)</f>
        <v>0</v>
      </c>
      <c r="K2060" s="33">
        <f t="array" ref="K2060">IF($O2060="방문완료",IFERROR(INDEX(설정_코스수당!$B$15:$F$64,MATCH($G2060,설정_코스수당!$A$15:$A$64,0),MATCH($E2060&amp;"수당",설정_코스수당!$B$14:$F$14,0)),0),0)</f>
        <v>0</v>
      </c>
      <c r="L2060" s="33">
        <f t="array" ref="L2060">IF($O2060="방문완료",IF($H2060="",0,IFERROR(INDEX(설정_코스수당!$B$15:$F$64,MATCH($H2060,설정_코스수당!$A$15:$A$64,0),MATCH($E2060&amp;"수당",설정_코스수당!$B$14:$F$14,0)),0)),0)</f>
        <v>0</v>
      </c>
      <c r="M2060" s="33">
        <f>IF($O2060="방문완료",IFERROR(VLOOKUP($E2060,설정_코스수당!$A$6:$H$10,6,FALSE),0),0)</f>
        <v>0</v>
      </c>
      <c r="N2060" s="34">
        <f t="shared" si="59"/>
        <v>0</v>
      </c>
      <c r="O2060" s="29"/>
      <c r="P2060" s="29"/>
      <c r="Q2060" s="29"/>
      <c r="R2060" s="32"/>
      <c r="S2060" s="29"/>
    </row>
    <row r="2061" spans="1:19" ht="19.5" hidden="1" customHeight="1" outlineLevel="1">
      <c r="A2061" s="23">
        <v>91</v>
      </c>
      <c r="B2061" s="24">
        <f>IF(20&lt;=DAY(DATE(YEAR(설정_코스수당!$K$2),MONTH(설정_코스수당!$K$2)+1,0)),DATE(YEAR(설정_코스수당!$K$2),MONTH(설정_코스수당!$K$2),20),"")</f>
        <v>46193</v>
      </c>
      <c r="C2061" s="25"/>
      <c r="D2061" s="23"/>
      <c r="E2061" s="23"/>
      <c r="F2061" s="26"/>
      <c r="G2061" s="23"/>
      <c r="H2061" s="23"/>
      <c r="I2061" s="23"/>
      <c r="J2061" s="27">
        <f>IF($O2061="방문완료",MAX(0,IFERROR(VLOOKUP($E2061,설정_코스수당!$A$6:$H$10,4,FALSE),0)-IF(OR($P2061="",$P2061="없음"),0,100000)),0)</f>
        <v>0</v>
      </c>
      <c r="K2061" s="27">
        <f t="array" ref="K2061">IF($O2061="방문완료",IFERROR(INDEX(설정_코스수당!$B$15:$F$64,MATCH($G2061,설정_코스수당!$A$15:$A$64,0),MATCH($E2061&amp;"수당",설정_코스수당!$B$14:$F$14,0)),0),0)</f>
        <v>0</v>
      </c>
      <c r="L2061" s="27">
        <f t="array" ref="L2061">IF($O2061="방문완료",IF($H2061="",0,IFERROR(INDEX(설정_코스수당!$B$15:$F$64,MATCH($H2061,설정_코스수당!$A$15:$A$64,0),MATCH($E2061&amp;"수당",설정_코스수당!$B$14:$F$14,0)),0)),0)</f>
        <v>0</v>
      </c>
      <c r="M2061" s="27">
        <f>IF($O2061="방문완료",IFERROR(VLOOKUP($E2061,설정_코스수당!$A$6:$H$10,6,FALSE),0),0)</f>
        <v>0</v>
      </c>
      <c r="N2061" s="28">
        <f t="shared" si="59"/>
        <v>0</v>
      </c>
      <c r="O2061" s="23"/>
      <c r="P2061" s="23"/>
      <c r="Q2061" s="23"/>
      <c r="R2061" s="26"/>
      <c r="S2061" s="23"/>
    </row>
    <row r="2062" spans="1:19" ht="19.5" hidden="1" customHeight="1" outlineLevel="1">
      <c r="A2062" s="29">
        <v>92</v>
      </c>
      <c r="B2062" s="30">
        <f>IF(20&lt;=DAY(DATE(YEAR(설정_코스수당!$K$2),MONTH(설정_코스수당!$K$2)+1,0)),DATE(YEAR(설정_코스수당!$K$2),MONTH(설정_코스수당!$K$2),20),"")</f>
        <v>46193</v>
      </c>
      <c r="C2062" s="31"/>
      <c r="D2062" s="29"/>
      <c r="E2062" s="29"/>
      <c r="F2062" s="32"/>
      <c r="G2062" s="29"/>
      <c r="H2062" s="29"/>
      <c r="I2062" s="29"/>
      <c r="J2062" s="33">
        <f>IF($O2062="방문완료",MAX(0,IFERROR(VLOOKUP($E2062,설정_코스수당!$A$6:$H$10,4,FALSE),0)-IF(OR($P2062="",$P2062="없음"),0,100000)),0)</f>
        <v>0</v>
      </c>
      <c r="K2062" s="33">
        <f t="array" ref="K2062">IF($O2062="방문완료",IFERROR(INDEX(설정_코스수당!$B$15:$F$64,MATCH($G2062,설정_코스수당!$A$15:$A$64,0),MATCH($E2062&amp;"수당",설정_코스수당!$B$14:$F$14,0)),0),0)</f>
        <v>0</v>
      </c>
      <c r="L2062" s="33">
        <f t="array" ref="L2062">IF($O2062="방문완료",IF($H2062="",0,IFERROR(INDEX(설정_코스수당!$B$15:$F$64,MATCH($H2062,설정_코스수당!$A$15:$A$64,0),MATCH($E2062&amp;"수당",설정_코스수당!$B$14:$F$14,0)),0)),0)</f>
        <v>0</v>
      </c>
      <c r="M2062" s="33">
        <f>IF($O2062="방문완료",IFERROR(VLOOKUP($E2062,설정_코스수당!$A$6:$H$10,6,FALSE),0),0)</f>
        <v>0</v>
      </c>
      <c r="N2062" s="34">
        <f t="shared" si="59"/>
        <v>0</v>
      </c>
      <c r="O2062" s="29"/>
      <c r="P2062" s="29"/>
      <c r="Q2062" s="29"/>
      <c r="R2062" s="32"/>
      <c r="S2062" s="29"/>
    </row>
    <row r="2063" spans="1:19" ht="19.5" hidden="1" customHeight="1" outlineLevel="1">
      <c r="A2063" s="23">
        <v>93</v>
      </c>
      <c r="B2063" s="24">
        <f>IF(20&lt;=DAY(DATE(YEAR(설정_코스수당!$K$2),MONTH(설정_코스수당!$K$2)+1,0)),DATE(YEAR(설정_코스수당!$K$2),MONTH(설정_코스수당!$K$2),20),"")</f>
        <v>46193</v>
      </c>
      <c r="C2063" s="25"/>
      <c r="D2063" s="23"/>
      <c r="E2063" s="23"/>
      <c r="F2063" s="26"/>
      <c r="G2063" s="23"/>
      <c r="H2063" s="23"/>
      <c r="I2063" s="23"/>
      <c r="J2063" s="27">
        <f>IF($O2063="방문완료",MAX(0,IFERROR(VLOOKUP($E2063,설정_코스수당!$A$6:$H$10,4,FALSE),0)-IF(OR($P2063="",$P2063="없음"),0,100000)),0)</f>
        <v>0</v>
      </c>
      <c r="K2063" s="27">
        <f t="array" ref="K2063">IF($O2063="방문완료",IFERROR(INDEX(설정_코스수당!$B$15:$F$64,MATCH($G2063,설정_코스수당!$A$15:$A$64,0),MATCH($E2063&amp;"수당",설정_코스수당!$B$14:$F$14,0)),0),0)</f>
        <v>0</v>
      </c>
      <c r="L2063" s="27">
        <f t="array" ref="L2063">IF($O2063="방문완료",IF($H2063="",0,IFERROR(INDEX(설정_코스수당!$B$15:$F$64,MATCH($H2063,설정_코스수당!$A$15:$A$64,0),MATCH($E2063&amp;"수당",설정_코스수당!$B$14:$F$14,0)),0)),0)</f>
        <v>0</v>
      </c>
      <c r="M2063" s="27">
        <f>IF($O2063="방문완료",IFERROR(VLOOKUP($E2063,설정_코스수당!$A$6:$H$10,6,FALSE),0),0)</f>
        <v>0</v>
      </c>
      <c r="N2063" s="28">
        <f t="shared" si="59"/>
        <v>0</v>
      </c>
      <c r="O2063" s="23"/>
      <c r="P2063" s="23"/>
      <c r="Q2063" s="23"/>
      <c r="R2063" s="26"/>
      <c r="S2063" s="23"/>
    </row>
    <row r="2064" spans="1:19" ht="19.5" hidden="1" customHeight="1" outlineLevel="1">
      <c r="A2064" s="29">
        <v>94</v>
      </c>
      <c r="B2064" s="30">
        <f>IF(20&lt;=DAY(DATE(YEAR(설정_코스수당!$K$2),MONTH(설정_코스수당!$K$2)+1,0)),DATE(YEAR(설정_코스수당!$K$2),MONTH(설정_코스수당!$K$2),20),"")</f>
        <v>46193</v>
      </c>
      <c r="C2064" s="31"/>
      <c r="D2064" s="29"/>
      <c r="E2064" s="29"/>
      <c r="F2064" s="32"/>
      <c r="G2064" s="29"/>
      <c r="H2064" s="29"/>
      <c r="I2064" s="29"/>
      <c r="J2064" s="33">
        <f>IF($O2064="방문완료",MAX(0,IFERROR(VLOOKUP($E2064,설정_코스수당!$A$6:$H$10,4,FALSE),0)-IF(OR($P2064="",$P2064="없음"),0,100000)),0)</f>
        <v>0</v>
      </c>
      <c r="K2064" s="33">
        <f t="array" ref="K2064">IF($O2064="방문완료",IFERROR(INDEX(설정_코스수당!$B$15:$F$64,MATCH($G2064,설정_코스수당!$A$15:$A$64,0),MATCH($E2064&amp;"수당",설정_코스수당!$B$14:$F$14,0)),0),0)</f>
        <v>0</v>
      </c>
      <c r="L2064" s="33">
        <f t="array" ref="L2064">IF($O2064="방문완료",IF($H2064="",0,IFERROR(INDEX(설정_코스수당!$B$15:$F$64,MATCH($H2064,설정_코스수당!$A$15:$A$64,0),MATCH($E2064&amp;"수당",설정_코스수당!$B$14:$F$14,0)),0)),0)</f>
        <v>0</v>
      </c>
      <c r="M2064" s="33">
        <f>IF($O2064="방문완료",IFERROR(VLOOKUP($E2064,설정_코스수당!$A$6:$H$10,6,FALSE),0),0)</f>
        <v>0</v>
      </c>
      <c r="N2064" s="34">
        <f t="shared" si="59"/>
        <v>0</v>
      </c>
      <c r="O2064" s="29"/>
      <c r="P2064" s="29"/>
      <c r="Q2064" s="29"/>
      <c r="R2064" s="32"/>
      <c r="S2064" s="29"/>
    </row>
    <row r="2065" spans="1:27" ht="19.5" hidden="1" customHeight="1" outlineLevel="1">
      <c r="A2065" s="23">
        <v>95</v>
      </c>
      <c r="B2065" s="24">
        <f>IF(20&lt;=DAY(DATE(YEAR(설정_코스수당!$K$2),MONTH(설정_코스수당!$K$2)+1,0)),DATE(YEAR(설정_코스수당!$K$2),MONTH(설정_코스수당!$K$2),20),"")</f>
        <v>46193</v>
      </c>
      <c r="C2065" s="25"/>
      <c r="D2065" s="23"/>
      <c r="E2065" s="23"/>
      <c r="F2065" s="26"/>
      <c r="G2065" s="23"/>
      <c r="H2065" s="23"/>
      <c r="I2065" s="23"/>
      <c r="J2065" s="27">
        <f>IF($O2065="방문완료",MAX(0,IFERROR(VLOOKUP($E2065,설정_코스수당!$A$6:$H$10,4,FALSE),0)-IF(OR($P2065="",$P2065="없음"),0,100000)),0)</f>
        <v>0</v>
      </c>
      <c r="K2065" s="27">
        <f t="array" ref="K2065">IF($O2065="방문완료",IFERROR(INDEX(설정_코스수당!$B$15:$F$64,MATCH($G2065,설정_코스수당!$A$15:$A$64,0),MATCH($E2065&amp;"수당",설정_코스수당!$B$14:$F$14,0)),0),0)</f>
        <v>0</v>
      </c>
      <c r="L2065" s="27">
        <f t="array" ref="L2065">IF($O2065="방문완료",IF($H2065="",0,IFERROR(INDEX(설정_코스수당!$B$15:$F$64,MATCH($H2065,설정_코스수당!$A$15:$A$64,0),MATCH($E2065&amp;"수당",설정_코스수당!$B$14:$F$14,0)),0)),0)</f>
        <v>0</v>
      </c>
      <c r="M2065" s="27">
        <f>IF($O2065="방문완료",IFERROR(VLOOKUP($E2065,설정_코스수당!$A$6:$H$10,6,FALSE),0),0)</f>
        <v>0</v>
      </c>
      <c r="N2065" s="28">
        <f t="shared" si="59"/>
        <v>0</v>
      </c>
      <c r="O2065" s="23"/>
      <c r="P2065" s="23"/>
      <c r="Q2065" s="23"/>
      <c r="R2065" s="26"/>
      <c r="S2065" s="23"/>
    </row>
    <row r="2066" spans="1:27" ht="19.5" hidden="1" customHeight="1" outlineLevel="1">
      <c r="A2066" s="29">
        <v>96</v>
      </c>
      <c r="B2066" s="30">
        <f>IF(20&lt;=DAY(DATE(YEAR(설정_코스수당!$K$2),MONTH(설정_코스수당!$K$2)+1,0)),DATE(YEAR(설정_코스수당!$K$2),MONTH(설정_코스수당!$K$2),20),"")</f>
        <v>46193</v>
      </c>
      <c r="C2066" s="31"/>
      <c r="D2066" s="29"/>
      <c r="E2066" s="29"/>
      <c r="F2066" s="32"/>
      <c r="G2066" s="29"/>
      <c r="H2066" s="29"/>
      <c r="I2066" s="29"/>
      <c r="J2066" s="33">
        <f>IF($O2066="방문완료",MAX(0,IFERROR(VLOOKUP($E2066,설정_코스수당!$A$6:$H$10,4,FALSE),0)-IF(OR($P2066="",$P2066="없음"),0,100000)),0)</f>
        <v>0</v>
      </c>
      <c r="K2066" s="33">
        <f t="array" ref="K2066">IF($O2066="방문완료",IFERROR(INDEX(설정_코스수당!$B$15:$F$64,MATCH($G2066,설정_코스수당!$A$15:$A$64,0),MATCH($E2066&amp;"수당",설정_코스수당!$B$14:$F$14,0)),0),0)</f>
        <v>0</v>
      </c>
      <c r="L2066" s="33">
        <f t="array" ref="L2066">IF($O2066="방문완료",IF($H2066="",0,IFERROR(INDEX(설정_코스수당!$B$15:$F$64,MATCH($H2066,설정_코스수당!$A$15:$A$64,0),MATCH($E2066&amp;"수당",설정_코스수당!$B$14:$F$14,0)),0)),0)</f>
        <v>0</v>
      </c>
      <c r="M2066" s="33">
        <f>IF($O2066="방문완료",IFERROR(VLOOKUP($E2066,설정_코스수당!$A$6:$H$10,6,FALSE),0),0)</f>
        <v>0</v>
      </c>
      <c r="N2066" s="34">
        <f t="shared" si="59"/>
        <v>0</v>
      </c>
      <c r="O2066" s="29"/>
      <c r="P2066" s="29"/>
      <c r="Q2066" s="29"/>
      <c r="R2066" s="32"/>
      <c r="S2066" s="29"/>
    </row>
    <row r="2067" spans="1:27" ht="19.5" hidden="1" customHeight="1" outlineLevel="1">
      <c r="A2067" s="23">
        <v>97</v>
      </c>
      <c r="B2067" s="24">
        <f>IF(20&lt;=DAY(DATE(YEAR(설정_코스수당!$K$2),MONTH(설정_코스수당!$K$2)+1,0)),DATE(YEAR(설정_코스수당!$K$2),MONTH(설정_코스수당!$K$2),20),"")</f>
        <v>46193</v>
      </c>
      <c r="C2067" s="25"/>
      <c r="D2067" s="23"/>
      <c r="E2067" s="23"/>
      <c r="F2067" s="26"/>
      <c r="G2067" s="23"/>
      <c r="H2067" s="23"/>
      <c r="I2067" s="23"/>
      <c r="J2067" s="27">
        <f>IF($O2067="방문완료",MAX(0,IFERROR(VLOOKUP($E2067,설정_코스수당!$A$6:$H$10,4,FALSE),0)-IF(OR($P2067="",$P2067="없음"),0,100000)),0)</f>
        <v>0</v>
      </c>
      <c r="K2067" s="27">
        <f t="array" ref="K2067">IF($O2067="방문완료",IFERROR(INDEX(설정_코스수당!$B$15:$F$64,MATCH($G2067,설정_코스수당!$A$15:$A$64,0),MATCH($E2067&amp;"수당",설정_코스수당!$B$14:$F$14,0)),0),0)</f>
        <v>0</v>
      </c>
      <c r="L2067" s="27">
        <f t="array" ref="L2067">IF($O2067="방문완료",IF($H2067="",0,IFERROR(INDEX(설정_코스수당!$B$15:$F$64,MATCH($H2067,설정_코스수당!$A$15:$A$64,0),MATCH($E2067&amp;"수당",설정_코스수당!$B$14:$F$14,0)),0)),0)</f>
        <v>0</v>
      </c>
      <c r="M2067" s="27">
        <f>IF($O2067="방문완료",IFERROR(VLOOKUP($E2067,설정_코스수당!$A$6:$H$10,6,FALSE),0),0)</f>
        <v>0</v>
      </c>
      <c r="N2067" s="28">
        <f t="shared" si="59"/>
        <v>0</v>
      </c>
      <c r="O2067" s="23"/>
      <c r="P2067" s="23"/>
      <c r="Q2067" s="23"/>
      <c r="R2067" s="26"/>
      <c r="S2067" s="23"/>
    </row>
    <row r="2068" spans="1:27" ht="19.5" hidden="1" customHeight="1" outlineLevel="1">
      <c r="A2068" s="29">
        <v>98</v>
      </c>
      <c r="B2068" s="30">
        <f>IF(20&lt;=DAY(DATE(YEAR(설정_코스수당!$K$2),MONTH(설정_코스수당!$K$2)+1,0)),DATE(YEAR(설정_코스수당!$K$2),MONTH(설정_코스수당!$K$2),20),"")</f>
        <v>46193</v>
      </c>
      <c r="C2068" s="31"/>
      <c r="D2068" s="29"/>
      <c r="E2068" s="29"/>
      <c r="F2068" s="32"/>
      <c r="G2068" s="29"/>
      <c r="H2068" s="29"/>
      <c r="I2068" s="29"/>
      <c r="J2068" s="33">
        <f>IF($O2068="방문완료",MAX(0,IFERROR(VLOOKUP($E2068,설정_코스수당!$A$6:$H$10,4,FALSE),0)-IF(OR($P2068="",$P2068="없음"),0,100000)),0)</f>
        <v>0</v>
      </c>
      <c r="K2068" s="33">
        <f t="array" ref="K2068">IF($O2068="방문완료",IFERROR(INDEX(설정_코스수당!$B$15:$F$64,MATCH($G2068,설정_코스수당!$A$15:$A$64,0),MATCH($E2068&amp;"수당",설정_코스수당!$B$14:$F$14,0)),0),0)</f>
        <v>0</v>
      </c>
      <c r="L2068" s="33">
        <f t="array" ref="L2068">IF($O2068="방문완료",IF($H2068="",0,IFERROR(INDEX(설정_코스수당!$B$15:$F$64,MATCH($H2068,설정_코스수당!$A$15:$A$64,0),MATCH($E2068&amp;"수당",설정_코스수당!$B$14:$F$14,0)),0)),0)</f>
        <v>0</v>
      </c>
      <c r="M2068" s="33">
        <f>IF($O2068="방문완료",IFERROR(VLOOKUP($E2068,설정_코스수당!$A$6:$H$10,6,FALSE),0),0)</f>
        <v>0</v>
      </c>
      <c r="N2068" s="34">
        <f t="shared" si="59"/>
        <v>0</v>
      </c>
      <c r="O2068" s="29"/>
      <c r="P2068" s="29"/>
      <c r="Q2068" s="29"/>
      <c r="R2068" s="32"/>
      <c r="S2068" s="29"/>
    </row>
    <row r="2069" spans="1:27" ht="19.5" hidden="1" customHeight="1" outlineLevel="1">
      <c r="A2069" s="23">
        <v>99</v>
      </c>
      <c r="B2069" s="24">
        <f>IF(20&lt;=DAY(DATE(YEAR(설정_코스수당!$K$2),MONTH(설정_코스수당!$K$2)+1,0)),DATE(YEAR(설정_코스수당!$K$2),MONTH(설정_코스수당!$K$2),20),"")</f>
        <v>46193</v>
      </c>
      <c r="C2069" s="25"/>
      <c r="D2069" s="23"/>
      <c r="E2069" s="23"/>
      <c r="F2069" s="26"/>
      <c r="G2069" s="23"/>
      <c r="H2069" s="23"/>
      <c r="I2069" s="23"/>
      <c r="J2069" s="27">
        <f>IF($O2069="방문완료",MAX(0,IFERROR(VLOOKUP($E2069,설정_코스수당!$A$6:$H$10,4,FALSE),0)-IF(OR($P2069="",$P2069="없음"),0,100000)),0)</f>
        <v>0</v>
      </c>
      <c r="K2069" s="27">
        <f t="array" ref="K2069">IF($O2069="방문완료",IFERROR(INDEX(설정_코스수당!$B$15:$F$64,MATCH($G2069,설정_코스수당!$A$15:$A$64,0),MATCH($E2069&amp;"수당",설정_코스수당!$B$14:$F$14,0)),0),0)</f>
        <v>0</v>
      </c>
      <c r="L2069" s="27">
        <f t="array" ref="L2069">IF($O2069="방문완료",IF($H2069="",0,IFERROR(INDEX(설정_코스수당!$B$15:$F$64,MATCH($H2069,설정_코스수당!$A$15:$A$64,0),MATCH($E2069&amp;"수당",설정_코스수당!$B$14:$F$14,0)),0)),0)</f>
        <v>0</v>
      </c>
      <c r="M2069" s="27">
        <f>IF($O2069="방문완료",IFERROR(VLOOKUP($E2069,설정_코스수당!$A$6:$H$10,6,FALSE),0),0)</f>
        <v>0</v>
      </c>
      <c r="N2069" s="28">
        <f t="shared" si="59"/>
        <v>0</v>
      </c>
      <c r="O2069" s="23"/>
      <c r="P2069" s="23"/>
      <c r="Q2069" s="23"/>
      <c r="R2069" s="26"/>
      <c r="S2069" s="23"/>
    </row>
    <row r="2070" spans="1:27" ht="19.5" hidden="1" customHeight="1" outlineLevel="1">
      <c r="A2070" s="29">
        <v>100</v>
      </c>
      <c r="B2070" s="30">
        <f>IF(20&lt;=DAY(DATE(YEAR(설정_코스수당!$K$2),MONTH(설정_코스수당!$K$2)+1,0)),DATE(YEAR(설정_코스수당!$K$2),MONTH(설정_코스수당!$K$2),20),"")</f>
        <v>46193</v>
      </c>
      <c r="C2070" s="31"/>
      <c r="D2070" s="29"/>
      <c r="E2070" s="29"/>
      <c r="F2070" s="32"/>
      <c r="G2070" s="29"/>
      <c r="H2070" s="29"/>
      <c r="I2070" s="29"/>
      <c r="J2070" s="33">
        <f>IF($O2070="방문완료",MAX(0,IFERROR(VLOOKUP($E2070,설정_코스수당!$A$6:$H$10,4,FALSE),0)-IF(OR($P2070="",$P2070="없음"),0,100000)),0)</f>
        <v>0</v>
      </c>
      <c r="K2070" s="33">
        <f t="array" ref="K2070">IF($O2070="방문완료",IFERROR(INDEX(설정_코스수당!$B$15:$F$64,MATCH($G2070,설정_코스수당!$A$15:$A$64,0),MATCH($E2070&amp;"수당",설정_코스수당!$B$14:$F$14,0)),0),0)</f>
        <v>0</v>
      </c>
      <c r="L2070" s="33">
        <f t="array" ref="L2070">IF($O2070="방문완료",IF($H2070="",0,IFERROR(INDEX(설정_코스수당!$B$15:$F$64,MATCH($H2070,설정_코스수당!$A$15:$A$64,0),MATCH($E2070&amp;"수당",설정_코스수당!$B$14:$F$14,0)),0)),0)</f>
        <v>0</v>
      </c>
      <c r="M2070" s="33">
        <f>IF($O2070="방문완료",IFERROR(VLOOKUP($E2070,설정_코스수당!$A$6:$H$10,6,FALSE),0),0)</f>
        <v>0</v>
      </c>
      <c r="N2070" s="34">
        <f t="shared" si="59"/>
        <v>0</v>
      </c>
      <c r="O2070" s="29"/>
      <c r="P2070" s="29"/>
      <c r="Q2070" s="29"/>
      <c r="R2070" s="32"/>
      <c r="S2070" s="29"/>
    </row>
    <row r="2071" spans="1:27" ht="19.5" hidden="1" customHeight="1" outlineLevel="1">
      <c r="A2071" s="36" t="s">
        <v>79</v>
      </c>
      <c r="B2071" s="37"/>
      <c r="C2071" s="38"/>
      <c r="D2071" s="37"/>
      <c r="E2071" s="37"/>
      <c r="F2071" s="37"/>
      <c r="G2071" s="37"/>
      <c r="H2071" s="37"/>
      <c r="I2071" s="37"/>
      <c r="J2071" s="37">
        <f>IF($O2071="방문완료",MAX(0,IFERROR(VLOOKUP($E2071,설정_코스수당!$A$6:$H$10,4,FALSE),0)-IF(OR($P2071="",$P2071="없음"),0,100000)),0)</f>
        <v>0</v>
      </c>
      <c r="O2071" s="18"/>
      <c r="P2071" s="14"/>
      <c r="Q2071" s="18"/>
      <c r="S2071" s="18"/>
    </row>
    <row r="2072" spans="1:27" ht="21" customHeight="1" collapsed="1">
      <c r="A2072" s="123" t="str">
        <f>IF(21&lt;=DAY(DATE(YEAR(설정_코스수당!$K$2),MONTH(설정_코스수당!$K$2)+1,0)),TEXT(DATE(YEAR(설정_코스수당!$K$2),MONTH(설정_코스수당!$K$2),21),"yyyy-mm-dd")&amp;"  |  예약관리 100슬롯","")</f>
        <v>2026-06-21  |  예약관리 100슬롯</v>
      </c>
      <c r="B2072" s="124"/>
      <c r="C2072" s="124"/>
      <c r="D2072" s="124"/>
      <c r="E2072" s="124"/>
      <c r="F2072" s="124"/>
      <c r="G2072" s="124"/>
      <c r="H2072" s="124"/>
      <c r="I2072" s="124"/>
      <c r="J2072" s="124"/>
      <c r="K2072" s="124"/>
      <c r="L2072" s="124"/>
      <c r="M2072" s="124"/>
      <c r="N2072" s="124"/>
      <c r="O2072" s="19"/>
      <c r="P2072" s="19"/>
      <c r="Q2072" s="19"/>
      <c r="R2072" s="19"/>
      <c r="S2072" s="19"/>
      <c r="T2072" s="19"/>
      <c r="U2072" s="19"/>
      <c r="V2072" s="19"/>
      <c r="W2072" s="19"/>
      <c r="X2072" s="19"/>
      <c r="Y2072" s="19"/>
      <c r="Z2072" s="19"/>
      <c r="AA2072" s="19"/>
    </row>
    <row r="2073" spans="1:27" ht="19.5" hidden="1" customHeight="1" outlineLevel="1">
      <c r="A2073" s="20" t="s">
        <v>41</v>
      </c>
      <c r="B2073" s="20" t="s">
        <v>42</v>
      </c>
      <c r="C2073" s="39" t="s">
        <v>43</v>
      </c>
      <c r="D2073" s="20" t="s">
        <v>44</v>
      </c>
      <c r="E2073" s="20" t="s">
        <v>45</v>
      </c>
      <c r="F2073" s="20" t="s">
        <v>46</v>
      </c>
      <c r="G2073" s="20" t="s">
        <v>47</v>
      </c>
      <c r="H2073" s="20" t="s">
        <v>48</v>
      </c>
      <c r="I2073" s="20" t="s">
        <v>49</v>
      </c>
      <c r="J2073" s="20" t="s">
        <v>50</v>
      </c>
      <c r="K2073" s="20" t="s">
        <v>51</v>
      </c>
      <c r="L2073" s="20" t="s">
        <v>52</v>
      </c>
      <c r="M2073" s="20" t="s">
        <v>53</v>
      </c>
      <c r="N2073" s="20" t="s">
        <v>54</v>
      </c>
      <c r="O2073" s="20" t="s">
        <v>55</v>
      </c>
      <c r="P2073" s="20" t="s">
        <v>56</v>
      </c>
      <c r="Q2073" s="18"/>
      <c r="R2073" s="20" t="s">
        <v>58</v>
      </c>
      <c r="S2073" s="20" t="s">
        <v>59</v>
      </c>
      <c r="U2073" s="122" t="str">
        <f>IF(21&lt;=DAY(DATE(YEAR(설정_코스수당!$K$2),MONTH(설정_코스수당!$K$2)+1,0)),TEXT(DATE(YEAR(설정_코스수당!$K$2),MONTH(설정_코스수당!$K$2),21),"yyyy-mm-dd")&amp;" 일일 상태","")</f>
        <v>2026-06-21 일일 상태</v>
      </c>
      <c r="V2073" s="125"/>
      <c r="W2073" s="122" t="s">
        <v>3</v>
      </c>
      <c r="X2073" s="125"/>
    </row>
    <row r="2074" spans="1:27" ht="19.5" hidden="1" customHeight="1" outlineLevel="1">
      <c r="A2074" s="23">
        <v>1</v>
      </c>
      <c r="B2074" s="24">
        <f>IF(21&lt;=DAY(DATE(YEAR(설정_코스수당!$K$2),MONTH(설정_코스수당!$K$2)+1,0)),DATE(YEAR(설정_코스수당!$K$2),MONTH(설정_코스수당!$K$2),21),"")</f>
        <v>46194</v>
      </c>
      <c r="C2074" s="25"/>
      <c r="D2074" s="23"/>
      <c r="E2074" s="23"/>
      <c r="F2074" s="26"/>
      <c r="G2074" s="23"/>
      <c r="H2074" s="23"/>
      <c r="I2074" s="23"/>
      <c r="J2074" s="27">
        <f>IF($O2074="방문완료",MAX(0,IFERROR(VLOOKUP($E2074,설정_코스수당!$A$6:$H$10,4,FALSE),0)-IF(OR($P2074="",$P2074="없음"),0,100000)),0)</f>
        <v>0</v>
      </c>
      <c r="K2074" s="27">
        <f t="array" ref="K2074">IF($O2074="방문완료",IFERROR(INDEX(설정_코스수당!$B$15:$F$64,MATCH($G2074,설정_코스수당!$A$15:$A$64,0),MATCH($E2074&amp;"수당",설정_코스수당!$B$14:$F$14,0)),0),0)</f>
        <v>0</v>
      </c>
      <c r="L2074" s="27">
        <f t="array" ref="L2074">IF($O2074="방문완료",IF($H2074="",0,IFERROR(INDEX(설정_코스수당!$B$15:$F$64,MATCH($H2074,설정_코스수당!$A$15:$A$64,0),MATCH($E2074&amp;"수당",설정_코스수당!$B$14:$F$14,0)),0)),0)</f>
        <v>0</v>
      </c>
      <c r="M2074" s="27">
        <f>IF($O2074="방문완료",IFERROR(VLOOKUP($E2074,설정_코스수당!$A$6:$H$10,6,FALSE),0),0)</f>
        <v>0</v>
      </c>
      <c r="N2074" s="28">
        <f t="shared" ref="N2074:N2105" si="60">IF($O2074="방문완료",1,0)</f>
        <v>0</v>
      </c>
      <c r="O2074" s="23"/>
      <c r="P2074" s="23"/>
      <c r="Q2074" s="23"/>
      <c r="R2074" s="26"/>
      <c r="S2074" s="23"/>
      <c r="U2074" s="104" t="s">
        <v>63</v>
      </c>
      <c r="V2074" s="105">
        <f>IF(21&lt;=DAY(DATE(YEAR(설정_코스수당!$K$2),MONTH(설정_코스수당!$K$2)+1,0)),COUNTIFS($B:$B,DATE(YEAR(설정_코스수당!$K$2),MONTH(설정_코스수당!$K$2),21),$O:$O,"&lt;&gt;"),"")</f>
        <v>0</v>
      </c>
      <c r="W2074" s="104" t="s">
        <v>6</v>
      </c>
      <c r="X2074" s="105">
        <f>IF(21&lt;=DAY(DATE(YEAR(설정_코스수당!$K$2),MONTH(설정_코스수당!$K$2)+1,0)),COUNTIFS($B:$B,DATE(YEAR(설정_코스수당!$K$2),MONTH(설정_코스수당!$K$2),21),$E:$E,"A",$O:$O,"방문완료"),"")</f>
        <v>0</v>
      </c>
    </row>
    <row r="2075" spans="1:27" ht="19.5" hidden="1" customHeight="1" outlineLevel="1">
      <c r="A2075" s="29">
        <v>2</v>
      </c>
      <c r="B2075" s="30">
        <f>IF(21&lt;=DAY(DATE(YEAR(설정_코스수당!$K$2),MONTH(설정_코스수당!$K$2)+1,0)),DATE(YEAR(설정_코스수당!$K$2),MONTH(설정_코스수당!$K$2),21),"")</f>
        <v>46194</v>
      </c>
      <c r="C2075" s="31"/>
      <c r="D2075" s="29"/>
      <c r="E2075" s="29"/>
      <c r="F2075" s="32"/>
      <c r="G2075" s="29"/>
      <c r="H2075" s="29"/>
      <c r="I2075" s="29"/>
      <c r="J2075" s="33">
        <f>IF($O2075="방문완료",MAX(0,IFERROR(VLOOKUP($E2075,설정_코스수당!$A$6:$H$10,4,FALSE),0)-IF(OR($P2075="",$P2075="없음"),0,100000)),0)</f>
        <v>0</v>
      </c>
      <c r="K2075" s="33">
        <f t="array" ref="K2075">IF($O2075="방문완료",IFERROR(INDEX(설정_코스수당!$B$15:$F$64,MATCH($G2075,설정_코스수당!$A$15:$A$64,0),MATCH($E2075&amp;"수당",설정_코스수당!$B$14:$F$14,0)),0),0)</f>
        <v>0</v>
      </c>
      <c r="L2075" s="33">
        <f t="array" ref="L2075">IF($O2075="방문완료",IF($H2075="",0,IFERROR(INDEX(설정_코스수당!$B$15:$F$64,MATCH($H2075,설정_코스수당!$A$15:$A$64,0),MATCH($E2075&amp;"수당",설정_코스수당!$B$14:$F$14,0)),0)),0)</f>
        <v>0</v>
      </c>
      <c r="M2075" s="33">
        <f>IF($O2075="방문완료",IFERROR(VLOOKUP($E2075,설정_코스수당!$A$6:$H$10,6,FALSE),0),0)</f>
        <v>0</v>
      </c>
      <c r="N2075" s="34">
        <f t="shared" si="60"/>
        <v>0</v>
      </c>
      <c r="O2075" s="29"/>
      <c r="P2075" s="29"/>
      <c r="Q2075" s="29"/>
      <c r="R2075" s="32"/>
      <c r="S2075" s="29"/>
      <c r="U2075" s="104" t="s">
        <v>62</v>
      </c>
      <c r="V2075" s="105">
        <f>IF(21&lt;=DAY(DATE(YEAR(설정_코스수당!$K$2),MONTH(설정_코스수당!$K$2)+1,0)),COUNTIFS($B:$B,DATE(YEAR(설정_코스수당!$K$2),MONTH(설정_코스수당!$K$2),21),$O:$O,"방문완료"),"")</f>
        <v>0</v>
      </c>
      <c r="W2075" s="104" t="s">
        <v>9</v>
      </c>
      <c r="X2075" s="105">
        <f>IF(21&lt;=DAY(DATE(YEAR(설정_코스수당!$K$2),MONTH(설정_코스수당!$K$2)+1,0)),COUNTIFS($B:$B,DATE(YEAR(설정_코스수당!$K$2),MONTH(설정_코스수당!$K$2),21),$E:$E,"B",$O:$O,"방문완료"),"")</f>
        <v>0</v>
      </c>
    </row>
    <row r="2076" spans="1:27" ht="19.5" hidden="1" customHeight="1" outlineLevel="1">
      <c r="A2076" s="23">
        <v>3</v>
      </c>
      <c r="B2076" s="24">
        <f>IF(21&lt;=DAY(DATE(YEAR(설정_코스수당!$K$2),MONTH(설정_코스수당!$K$2)+1,0)),DATE(YEAR(설정_코스수당!$K$2),MONTH(설정_코스수당!$K$2),21),"")</f>
        <v>46194</v>
      </c>
      <c r="C2076" s="25"/>
      <c r="D2076" s="23"/>
      <c r="E2076" s="23"/>
      <c r="F2076" s="26"/>
      <c r="G2076" s="23"/>
      <c r="H2076" s="23"/>
      <c r="I2076" s="23"/>
      <c r="J2076" s="27">
        <f>IF($O2076="방문완료",MAX(0,IFERROR(VLOOKUP($E2076,설정_코스수당!$A$6:$H$10,4,FALSE),0)-IF(OR($P2076="",$P2076="없음"),0,100000)),0)</f>
        <v>0</v>
      </c>
      <c r="K2076" s="27">
        <f t="array" ref="K2076">IF($O2076="방문완료",IFERROR(INDEX(설정_코스수당!$B$15:$F$64,MATCH($G2076,설정_코스수당!$A$15:$A$64,0),MATCH($E2076&amp;"수당",설정_코스수당!$B$14:$F$14,0)),0),0)</f>
        <v>0</v>
      </c>
      <c r="L2076" s="27">
        <f t="array" ref="L2076">IF($O2076="방문완료",IF($H2076="",0,IFERROR(INDEX(설정_코스수당!$B$15:$F$64,MATCH($H2076,설정_코스수당!$A$15:$A$64,0),MATCH($E2076&amp;"수당",설정_코스수당!$B$14:$F$14,0)),0)),0)</f>
        <v>0</v>
      </c>
      <c r="M2076" s="27">
        <f>IF($O2076="방문완료",IFERROR(VLOOKUP($E2076,설정_코스수당!$A$6:$H$10,6,FALSE),0),0)</f>
        <v>0</v>
      </c>
      <c r="N2076" s="28">
        <f t="shared" si="60"/>
        <v>0</v>
      </c>
      <c r="O2076" s="23"/>
      <c r="P2076" s="23"/>
      <c r="Q2076" s="23"/>
      <c r="R2076" s="26"/>
      <c r="S2076" s="23"/>
      <c r="U2076" s="104" t="s">
        <v>68</v>
      </c>
      <c r="V2076" s="105" t="str">
        <f>IF(21&lt;=DAY(DATE(YEAR(설정_코스수당!$K$2),MONTH(설정_코스수당!$K$2)+1,0)),COUNTIFS($B:$B,DATE(YEAR(설정_코스수당!$K$2),MONTH(설정_코스수당!$K$2),21),$O:$O,"노쇼")&amp;"/"&amp;COUNTIFS($B:$B,DATE(YEAR(설정_코스수당!$K$2),MONTH(설정_코스수당!$K$2),21),$O:$O,"취소"),"")</f>
        <v>0/0</v>
      </c>
      <c r="W2076" s="104" t="s">
        <v>12</v>
      </c>
      <c r="X2076" s="105">
        <f>IF(21&lt;=DAY(DATE(YEAR(설정_코스수당!$K$2),MONTH(설정_코스수당!$K$2)+1,0)),COUNTIFS($B:$B,DATE(YEAR(설정_코스수당!$K$2),MONTH(설정_코스수당!$K$2),21),$E:$E,"C",$O:$O,"방문완료"),"")</f>
        <v>0</v>
      </c>
    </row>
    <row r="2077" spans="1:27" ht="19.5" hidden="1" customHeight="1" outlineLevel="1">
      <c r="A2077" s="29">
        <v>4</v>
      </c>
      <c r="B2077" s="30">
        <f>IF(21&lt;=DAY(DATE(YEAR(설정_코스수당!$K$2),MONTH(설정_코스수당!$K$2)+1,0)),DATE(YEAR(설정_코스수당!$K$2),MONTH(설정_코스수당!$K$2),21),"")</f>
        <v>46194</v>
      </c>
      <c r="C2077" s="31"/>
      <c r="D2077" s="29"/>
      <c r="E2077" s="29"/>
      <c r="F2077" s="32"/>
      <c r="G2077" s="29"/>
      <c r="H2077" s="29"/>
      <c r="I2077" s="29"/>
      <c r="J2077" s="33">
        <f>IF($O2077="방문완료",MAX(0,IFERROR(VLOOKUP($E2077,설정_코스수당!$A$6:$H$10,4,FALSE),0)-IF(OR($P2077="",$P2077="없음"),0,100000)),0)</f>
        <v>0</v>
      </c>
      <c r="K2077" s="33">
        <f t="array" ref="K2077">IF($O2077="방문완료",IFERROR(INDEX(설정_코스수당!$B$15:$F$64,MATCH($G2077,설정_코스수당!$A$15:$A$64,0),MATCH($E2077&amp;"수당",설정_코스수당!$B$14:$F$14,0)),0),0)</f>
        <v>0</v>
      </c>
      <c r="L2077" s="33">
        <f t="array" ref="L2077">IF($O2077="방문완료",IF($H2077="",0,IFERROR(INDEX(설정_코스수당!$B$15:$F$64,MATCH($H2077,설정_코스수당!$A$15:$A$64,0),MATCH($E2077&amp;"수당",설정_코스수당!$B$14:$F$14,0)),0)),0)</f>
        <v>0</v>
      </c>
      <c r="M2077" s="33">
        <f>IF($O2077="방문완료",IFERROR(VLOOKUP($E2077,설정_코스수당!$A$6:$H$10,6,FALSE),0),0)</f>
        <v>0</v>
      </c>
      <c r="N2077" s="34">
        <f t="shared" si="60"/>
        <v>0</v>
      </c>
      <c r="O2077" s="29"/>
      <c r="P2077" s="29"/>
      <c r="Q2077" s="29"/>
      <c r="R2077" s="32"/>
      <c r="S2077" s="29"/>
      <c r="U2077" s="104" t="s">
        <v>69</v>
      </c>
      <c r="V2077" s="106">
        <f>IF(21&lt;=DAY(DATE(YEAR(설정_코스수당!$K$2),MONTH(설정_코스수당!$K$2)+1,0)),SUMIFS($J:$J,$B:$B,DATE(YEAR(설정_코스수당!$K$2),MONTH(설정_코스수당!$K$2),21),$O:$O,"방문완료"),"")</f>
        <v>0</v>
      </c>
      <c r="W2077" s="104" t="s">
        <v>15</v>
      </c>
      <c r="X2077" s="105">
        <f>IF(21&lt;=DAY(DATE(YEAR(설정_코스수당!$K$2),MONTH(설정_코스수당!$K$2)+1,0)),COUNTIFS($B:$B,DATE(YEAR(설정_코스수당!$K$2),MONTH(설정_코스수당!$K$2),21),$E:$E,"D",$O:$O,"방문완료"),"")</f>
        <v>0</v>
      </c>
    </row>
    <row r="2078" spans="1:27" ht="19.5" hidden="1" customHeight="1" outlineLevel="1">
      <c r="A2078" s="23">
        <v>5</v>
      </c>
      <c r="B2078" s="24">
        <f>IF(21&lt;=DAY(DATE(YEAR(설정_코스수당!$K$2),MONTH(설정_코스수당!$K$2)+1,0)),DATE(YEAR(설정_코스수당!$K$2),MONTH(설정_코스수당!$K$2),21),"")</f>
        <v>46194</v>
      </c>
      <c r="C2078" s="25"/>
      <c r="D2078" s="23"/>
      <c r="E2078" s="23"/>
      <c r="F2078" s="26"/>
      <c r="G2078" s="23"/>
      <c r="H2078" s="23"/>
      <c r="I2078" s="23"/>
      <c r="J2078" s="27">
        <f>IF($O2078="방문완료",MAX(0,IFERROR(VLOOKUP($E2078,설정_코스수당!$A$6:$H$10,4,FALSE),0)-IF(OR($P2078="",$P2078="없음"),0,100000)),0)</f>
        <v>0</v>
      </c>
      <c r="K2078" s="27">
        <f t="array" ref="K2078">IF($O2078="방문완료",IFERROR(INDEX(설정_코스수당!$B$15:$F$64,MATCH($G2078,설정_코스수당!$A$15:$A$64,0),MATCH($E2078&amp;"수당",설정_코스수당!$B$14:$F$14,0)),0),0)</f>
        <v>0</v>
      </c>
      <c r="L2078" s="27">
        <f t="array" ref="L2078">IF($O2078="방문완료",IF($H2078="",0,IFERROR(INDEX(설정_코스수당!$B$15:$F$64,MATCH($H2078,설정_코스수당!$A$15:$A$64,0),MATCH($E2078&amp;"수당",설정_코스수당!$B$14:$F$14,0)),0)),0)</f>
        <v>0</v>
      </c>
      <c r="M2078" s="27">
        <f>IF($O2078="방문완료",IFERROR(VLOOKUP($E2078,설정_코스수당!$A$6:$H$10,6,FALSE),0),0)</f>
        <v>0</v>
      </c>
      <c r="N2078" s="28">
        <f t="shared" si="60"/>
        <v>0</v>
      </c>
      <c r="O2078" s="23"/>
      <c r="P2078" s="23"/>
      <c r="Q2078" s="23"/>
      <c r="R2078" s="26"/>
      <c r="S2078" s="23"/>
      <c r="U2078" s="104" t="s">
        <v>70</v>
      </c>
      <c r="V2078" s="106">
        <f>IF(21&lt;=DAY(DATE(YEAR(설정_코스수당!$K$2),MONTH(설정_코스수당!$K$2)+1,0)),SUMIFS($K:$K,$B:$B,DATE(YEAR(설정_코스수당!$K$2),MONTH(설정_코스수당!$K$2),21),$O:$O,"방문완료")+SUMIFS($L:$L,$B:$B,DATE(YEAR(설정_코스수당!$K$2),MONTH(설정_코스수당!$K$2),21),$O:$O,"방문완료"),"")</f>
        <v>0</v>
      </c>
      <c r="W2078" s="104" t="s">
        <v>18</v>
      </c>
      <c r="X2078" s="105">
        <f>IF(21&lt;=DAY(DATE(YEAR(설정_코스수당!$K$2),MONTH(설정_코스수당!$K$2)+1,0)),COUNTIFS($B:$B,DATE(YEAR(설정_코스수당!$K$2),MONTH(설정_코스수당!$K$2),21),$E:$E,"E",$O:$O,"방문완료"),"")</f>
        <v>0</v>
      </c>
    </row>
    <row r="2079" spans="1:27" ht="19.5" hidden="1" customHeight="1" outlineLevel="1">
      <c r="A2079" s="29">
        <v>6</v>
      </c>
      <c r="B2079" s="30">
        <f>IF(21&lt;=DAY(DATE(YEAR(설정_코스수당!$K$2),MONTH(설정_코스수당!$K$2)+1,0)),DATE(YEAR(설정_코스수당!$K$2),MONTH(설정_코스수당!$K$2),21),"")</f>
        <v>46194</v>
      </c>
      <c r="C2079" s="31"/>
      <c r="D2079" s="29"/>
      <c r="E2079" s="29"/>
      <c r="F2079" s="32"/>
      <c r="G2079" s="29"/>
      <c r="H2079" s="29"/>
      <c r="I2079" s="29"/>
      <c r="J2079" s="33">
        <f>IF($O2079="방문완료",MAX(0,IFERROR(VLOOKUP($E2079,설정_코스수당!$A$6:$H$10,4,FALSE),0)-IF(OR($P2079="",$P2079="없음"),0,100000)),0)</f>
        <v>0</v>
      </c>
      <c r="K2079" s="33">
        <f t="array" ref="K2079">IF($O2079="방문완료",IFERROR(INDEX(설정_코스수당!$B$15:$F$64,MATCH($G2079,설정_코스수당!$A$15:$A$64,0),MATCH($E2079&amp;"수당",설정_코스수당!$B$14:$F$14,0)),0),0)</f>
        <v>0</v>
      </c>
      <c r="L2079" s="33">
        <f t="array" ref="L2079">IF($O2079="방문완료",IF($H2079="",0,IFERROR(INDEX(설정_코스수당!$B$15:$F$64,MATCH($H2079,설정_코스수당!$A$15:$A$64,0),MATCH($E2079&amp;"수당",설정_코스수당!$B$14:$F$14,0)),0)),0)</f>
        <v>0</v>
      </c>
      <c r="M2079" s="33">
        <f>IF($O2079="방문완료",IFERROR(VLOOKUP($E2079,설정_코스수당!$A$6:$H$10,6,FALSE),0),0)</f>
        <v>0</v>
      </c>
      <c r="N2079" s="34">
        <f t="shared" si="60"/>
        <v>0</v>
      </c>
      <c r="O2079" s="29"/>
      <c r="P2079" s="29"/>
      <c r="Q2079" s="29"/>
      <c r="R2079" s="32"/>
      <c r="S2079" s="29"/>
      <c r="U2079" s="104" t="s">
        <v>53</v>
      </c>
      <c r="V2079" s="106">
        <f>IF(21&lt;=DAY(DATE(YEAR(설정_코스수당!$K$2),MONTH(설정_코스수당!$K$2)+1,0)),SUMIFS($M:$M,$B:$B,DATE(YEAR(설정_코스수당!$K$2),MONTH(설정_코스수당!$K$2),21),$O:$O,"방문완료"),"")</f>
        <v>0</v>
      </c>
      <c r="W2079" s="104" t="s">
        <v>71</v>
      </c>
      <c r="X2079" s="107">
        <f>IF(21&lt;=DAY(DATE(YEAR(설정_코스수당!$K$2),MONTH(설정_코스수당!$K$2)+1,0)),COUNTIFS($B:$B,DATE(YEAR(설정_코스수당!$K$2),MONTH(설정_코스수당!$K$2),21),$O:$O,"방문완료",$P:$P,"&lt;&gt;",$P:$P,"&lt;&gt;없음"),"")</f>
        <v>0</v>
      </c>
    </row>
    <row r="2080" spans="1:27" ht="19.5" hidden="1" customHeight="1" outlineLevel="1">
      <c r="A2080" s="23">
        <v>7</v>
      </c>
      <c r="B2080" s="24">
        <f>IF(21&lt;=DAY(DATE(YEAR(설정_코스수당!$K$2),MONTH(설정_코스수당!$K$2)+1,0)),DATE(YEAR(설정_코스수당!$K$2),MONTH(설정_코스수당!$K$2),21),"")</f>
        <v>46194</v>
      </c>
      <c r="C2080" s="25"/>
      <c r="D2080" s="23"/>
      <c r="E2080" s="23"/>
      <c r="F2080" s="26"/>
      <c r="G2080" s="23"/>
      <c r="H2080" s="23"/>
      <c r="I2080" s="23"/>
      <c r="J2080" s="27">
        <f>IF($O2080="방문완료",MAX(0,IFERROR(VLOOKUP($E2080,설정_코스수당!$A$6:$H$10,4,FALSE),0)-IF(OR($P2080="",$P2080="없음"),0,100000)),0)</f>
        <v>0</v>
      </c>
      <c r="K2080" s="27">
        <f t="array" ref="K2080">IF($O2080="방문완료",IFERROR(INDEX(설정_코스수당!$B$15:$F$64,MATCH($G2080,설정_코스수당!$A$15:$A$64,0),MATCH($E2080&amp;"수당",설정_코스수당!$B$14:$F$14,0)),0),0)</f>
        <v>0</v>
      </c>
      <c r="L2080" s="27">
        <f t="array" ref="L2080">IF($O2080="방문완료",IF($H2080="",0,IFERROR(INDEX(설정_코스수당!$B$15:$F$64,MATCH($H2080,설정_코스수당!$A$15:$A$64,0),MATCH($E2080&amp;"수당",설정_코스수당!$B$14:$F$14,0)),0)),0)</f>
        <v>0</v>
      </c>
      <c r="M2080" s="27">
        <f>IF($O2080="방문완료",IFERROR(VLOOKUP($E2080,설정_코스수당!$A$6:$H$10,6,FALSE),0),0)</f>
        <v>0</v>
      </c>
      <c r="N2080" s="28">
        <f t="shared" si="60"/>
        <v>0</v>
      </c>
      <c r="O2080" s="23"/>
      <c r="P2080" s="23"/>
      <c r="Q2080" s="23"/>
      <c r="R2080" s="26"/>
      <c r="S2080" s="23"/>
      <c r="U2080" s="104" t="s">
        <v>72</v>
      </c>
      <c r="V2080" s="108">
        <f>IF(21&lt;=DAY(DATE(YEAR(설정_코스수당!$K$2),MONTH(설정_코스수당!$K$2)+1,0)),COUNTIFS($B:$B,DATE(YEAR(설정_코스수당!$K$2),MONTH(설정_코스수당!$K$2),21),$O:$O,"방문완료",$P:$P,"&lt;&gt;",$P:$P,"&lt;&gt;없음")*100000,"")</f>
        <v>0</v>
      </c>
      <c r="W2080" s="104" t="s">
        <v>73</v>
      </c>
      <c r="X2080" s="105">
        <f>IF(21&lt;=DAY(DATE(YEAR(설정_코스수당!$K$2),MONTH(설정_코스수당!$K$2)+1,0)),COUNTIFS($B:$B,DATE(YEAR(설정_코스수당!$K$2),MONTH(설정_코스수당!$K$2),21),$G:$G,"&lt;&gt;",$O:$O,"방문완료")+COUNTIFS($B:$B,DATE(YEAR(설정_코스수당!$K$2),MONTH(설정_코스수당!$K$2),21),$H:$H,"&lt;&gt;",$O:$O,"방문완료"),"")</f>
        <v>0</v>
      </c>
    </row>
    <row r="2081" spans="1:24" ht="19.5" hidden="1" customHeight="1" outlineLevel="1">
      <c r="A2081" s="29">
        <v>8</v>
      </c>
      <c r="B2081" s="30">
        <f>IF(21&lt;=DAY(DATE(YEAR(설정_코스수당!$K$2),MONTH(설정_코스수당!$K$2)+1,0)),DATE(YEAR(설정_코스수당!$K$2),MONTH(설정_코스수당!$K$2),21),"")</f>
        <v>46194</v>
      </c>
      <c r="C2081" s="31"/>
      <c r="D2081" s="29"/>
      <c r="E2081" s="29"/>
      <c r="F2081" s="32"/>
      <c r="G2081" s="29"/>
      <c r="H2081" s="29"/>
      <c r="I2081" s="29"/>
      <c r="J2081" s="33">
        <f>IF($O2081="방문완료",MAX(0,IFERROR(VLOOKUP($E2081,설정_코스수당!$A$6:$H$10,4,FALSE),0)-IF(OR($P2081="",$P2081="없음"),0,100000)),0)</f>
        <v>0</v>
      </c>
      <c r="K2081" s="33">
        <f t="array" ref="K2081">IF($O2081="방문완료",IFERROR(INDEX(설정_코스수당!$B$15:$F$64,MATCH($G2081,설정_코스수당!$A$15:$A$64,0),MATCH($E2081&amp;"수당",설정_코스수당!$B$14:$F$14,0)),0),0)</f>
        <v>0</v>
      </c>
      <c r="L2081" s="33">
        <f t="array" ref="L2081">IF($O2081="방문완료",IF($H2081="",0,IFERROR(INDEX(설정_코스수당!$B$15:$F$64,MATCH($H2081,설정_코스수당!$A$15:$A$64,0),MATCH($E2081&amp;"수당",설정_코스수당!$B$14:$F$14,0)),0)),0)</f>
        <v>0</v>
      </c>
      <c r="M2081" s="33">
        <f>IF($O2081="방문완료",IFERROR(VLOOKUP($E2081,설정_코스수당!$A$6:$H$10,6,FALSE),0),0)</f>
        <v>0</v>
      </c>
      <c r="N2081" s="34">
        <f t="shared" si="60"/>
        <v>0</v>
      </c>
      <c r="O2081" s="29"/>
      <c r="P2081" s="29"/>
      <c r="Q2081" s="29"/>
      <c r="R2081" s="32"/>
      <c r="S2081" s="29"/>
      <c r="U2081" s="104" t="s">
        <v>74</v>
      </c>
      <c r="V2081" s="108">
        <f>IF(21&lt;=DAY(DATE(YEAR(설정_코스수당!$K$2),MONTH(설정_코스수당!$K$2)+1,0)),SUM($U$2085:$U$2092),"")</f>
        <v>0</v>
      </c>
      <c r="W2081" s="122" t="str">
        <f>IF(21&lt;=DAY(DATE(YEAR(설정_코스수당!$K$2),MONTH(설정_코스수당!$K$2)+1,0)),"계 : "&amp;TEXT(V2077-V2081,"#,##0")&amp;" 동","")</f>
        <v>계 : 0 동</v>
      </c>
      <c r="X2081" s="122"/>
    </row>
    <row r="2082" spans="1:24" ht="19.5" hidden="1" customHeight="1" outlineLevel="1">
      <c r="A2082" s="23">
        <v>9</v>
      </c>
      <c r="B2082" s="24">
        <f>IF(21&lt;=DAY(DATE(YEAR(설정_코스수당!$K$2),MONTH(설정_코스수당!$K$2)+1,0)),DATE(YEAR(설정_코스수당!$K$2),MONTH(설정_코스수당!$K$2),21),"")</f>
        <v>46194</v>
      </c>
      <c r="C2082" s="25"/>
      <c r="D2082" s="23"/>
      <c r="E2082" s="23"/>
      <c r="F2082" s="26"/>
      <c r="G2082" s="23"/>
      <c r="H2082" s="23"/>
      <c r="I2082" s="23"/>
      <c r="J2082" s="27">
        <f>IF($O2082="방문완료",MAX(0,IFERROR(VLOOKUP($E2082,설정_코스수당!$A$6:$H$10,4,FALSE),0)-IF(OR($P2082="",$P2082="없음"),0,100000)),0)</f>
        <v>0</v>
      </c>
      <c r="K2082" s="27">
        <f t="array" ref="K2082">IF($O2082="방문완료",IFERROR(INDEX(설정_코스수당!$B$15:$F$64,MATCH($G2082,설정_코스수당!$A$15:$A$64,0),MATCH($E2082&amp;"수당",설정_코스수당!$B$14:$F$14,0)),0),0)</f>
        <v>0</v>
      </c>
      <c r="L2082" s="27">
        <f t="array" ref="L2082">IF($O2082="방문완료",IF($H2082="",0,IFERROR(INDEX(설정_코스수당!$B$15:$F$64,MATCH($H2082,설정_코스수당!$A$15:$A$64,0),MATCH($E2082&amp;"수당",설정_코스수당!$B$14:$F$14,0)),0)),0)</f>
        <v>0</v>
      </c>
      <c r="M2082" s="27">
        <f>IF($O2082="방문완료",IFERROR(VLOOKUP($E2082,설정_코스수당!$A$6:$H$10,6,FALSE),0),0)</f>
        <v>0</v>
      </c>
      <c r="N2082" s="28">
        <f t="shared" si="60"/>
        <v>0</v>
      </c>
      <c r="O2082" s="23"/>
      <c r="P2082" s="23"/>
      <c r="Q2082" s="23"/>
      <c r="R2082" s="26"/>
      <c r="S2082" s="23"/>
    </row>
    <row r="2083" spans="1:24" ht="19.5" hidden="1" customHeight="1" outlineLevel="1">
      <c r="A2083" s="29">
        <v>10</v>
      </c>
      <c r="B2083" s="30">
        <f>IF(21&lt;=DAY(DATE(YEAR(설정_코스수당!$K$2),MONTH(설정_코스수당!$K$2)+1,0)),DATE(YEAR(설정_코스수당!$K$2),MONTH(설정_코스수당!$K$2),21),"")</f>
        <v>46194</v>
      </c>
      <c r="C2083" s="31"/>
      <c r="D2083" s="29"/>
      <c r="E2083" s="29"/>
      <c r="F2083" s="32"/>
      <c r="G2083" s="29"/>
      <c r="H2083" s="29"/>
      <c r="I2083" s="29"/>
      <c r="J2083" s="33">
        <f>IF($O2083="방문완료",MAX(0,IFERROR(VLOOKUP($E2083,설정_코스수당!$A$6:$H$10,4,FALSE),0)-IF(OR($P2083="",$P2083="없음"),0,100000)),0)</f>
        <v>0</v>
      </c>
      <c r="K2083" s="33">
        <f t="array" ref="K2083">IF($O2083="방문완료",IFERROR(INDEX(설정_코스수당!$B$15:$F$64,MATCH($G2083,설정_코스수당!$A$15:$A$64,0),MATCH($E2083&amp;"수당",설정_코스수당!$B$14:$F$14,0)),0),0)</f>
        <v>0</v>
      </c>
      <c r="L2083" s="33">
        <f t="array" ref="L2083">IF($O2083="방문완료",IF($H2083="",0,IFERROR(INDEX(설정_코스수당!$B$15:$F$64,MATCH($H2083,설정_코스수당!$A$15:$A$64,0),MATCH($E2083&amp;"수당",설정_코스수당!$B$14:$F$14,0)),0)),0)</f>
        <v>0</v>
      </c>
      <c r="M2083" s="33">
        <f>IF($O2083="방문완료",IFERROR(VLOOKUP($E2083,설정_코스수당!$A$6:$H$10,6,FALSE),0),0)</f>
        <v>0</v>
      </c>
      <c r="N2083" s="34">
        <f t="shared" si="60"/>
        <v>0</v>
      </c>
      <c r="O2083" s="29"/>
      <c r="P2083" s="29"/>
      <c r="Q2083" s="29"/>
      <c r="R2083" s="32"/>
      <c r="S2083" s="29"/>
      <c r="U2083" s="120" t="s">
        <v>75</v>
      </c>
      <c r="V2083" s="121"/>
      <c r="W2083" s="121"/>
      <c r="X2083" s="121"/>
    </row>
    <row r="2084" spans="1:24" ht="19.5" hidden="1" customHeight="1" outlineLevel="1">
      <c r="A2084" s="23">
        <v>11</v>
      </c>
      <c r="B2084" s="24">
        <f>IF(21&lt;=DAY(DATE(YEAR(설정_코스수당!$K$2),MONTH(설정_코스수당!$K$2)+1,0)),DATE(YEAR(설정_코스수당!$K$2),MONTH(설정_코스수당!$K$2),21),"")</f>
        <v>46194</v>
      </c>
      <c r="C2084" s="25"/>
      <c r="D2084" s="23"/>
      <c r="E2084" s="23"/>
      <c r="F2084" s="26"/>
      <c r="G2084" s="23"/>
      <c r="H2084" s="23"/>
      <c r="I2084" s="23"/>
      <c r="J2084" s="27">
        <f>IF($O2084="방문완료",MAX(0,IFERROR(VLOOKUP($E2084,설정_코스수당!$A$6:$H$10,4,FALSE),0)-IF(OR($P2084="",$P2084="없음"),0,100000)),0)</f>
        <v>0</v>
      </c>
      <c r="K2084" s="27">
        <f t="array" ref="K2084">IF($O2084="방문완료",IFERROR(INDEX(설정_코스수당!$B$15:$F$64,MATCH($G2084,설정_코스수당!$A$15:$A$64,0),MATCH($E2084&amp;"수당",설정_코스수당!$B$14:$F$14,0)),0),0)</f>
        <v>0</v>
      </c>
      <c r="L2084" s="27">
        <f t="array" ref="L2084">IF($O2084="방문완료",IF($H2084="",0,IFERROR(INDEX(설정_코스수당!$B$15:$F$64,MATCH($H2084,설정_코스수당!$A$15:$A$64,0),MATCH($E2084&amp;"수당",설정_코스수당!$B$14:$F$14,0)),0)),0)</f>
        <v>0</v>
      </c>
      <c r="M2084" s="27">
        <f>IF($O2084="방문완료",IFERROR(VLOOKUP($E2084,설정_코스수당!$A$6:$H$10,6,FALSE),0),0)</f>
        <v>0</v>
      </c>
      <c r="N2084" s="28">
        <f t="shared" si="60"/>
        <v>0</v>
      </c>
      <c r="O2084" s="23"/>
      <c r="P2084" s="23"/>
      <c r="Q2084" s="23"/>
      <c r="R2084" s="26"/>
      <c r="S2084" s="23"/>
      <c r="U2084" s="109" t="s">
        <v>76</v>
      </c>
      <c r="V2084" s="109" t="s">
        <v>77</v>
      </c>
      <c r="W2084" s="109" t="s">
        <v>78</v>
      </c>
      <c r="X2084" s="109" t="s">
        <v>58</v>
      </c>
    </row>
    <row r="2085" spans="1:24" ht="19.5" hidden="1" customHeight="1" outlineLevel="1">
      <c r="A2085" s="29">
        <v>12</v>
      </c>
      <c r="B2085" s="30">
        <f>IF(21&lt;=DAY(DATE(YEAR(설정_코스수당!$K$2),MONTH(설정_코스수당!$K$2)+1,0)),DATE(YEAR(설정_코스수당!$K$2),MONTH(설정_코스수당!$K$2),21),"")</f>
        <v>46194</v>
      </c>
      <c r="C2085" s="31"/>
      <c r="D2085" s="29"/>
      <c r="E2085" s="29"/>
      <c r="F2085" s="32"/>
      <c r="G2085" s="29"/>
      <c r="H2085" s="29"/>
      <c r="I2085" s="29"/>
      <c r="J2085" s="33">
        <f>IF($O2085="방문완료",MAX(0,IFERROR(VLOOKUP($E2085,설정_코스수당!$A$6:$H$10,4,FALSE),0)-IF(OR($P2085="",$P2085="없음"),0,100000)),0)</f>
        <v>0</v>
      </c>
      <c r="K2085" s="33">
        <f t="array" ref="K2085">IF($O2085="방문완료",IFERROR(INDEX(설정_코스수당!$B$15:$F$64,MATCH($G2085,설정_코스수당!$A$15:$A$64,0),MATCH($E2085&amp;"수당",설정_코스수당!$B$14:$F$14,0)),0),0)</f>
        <v>0</v>
      </c>
      <c r="L2085" s="33">
        <f t="array" ref="L2085">IF($O2085="방문완료",IF($H2085="",0,IFERROR(INDEX(설정_코스수당!$B$15:$F$64,MATCH($H2085,설정_코스수당!$A$15:$A$64,0),MATCH($E2085&amp;"수당",설정_코스수당!$B$14:$F$14,0)),0)),0)</f>
        <v>0</v>
      </c>
      <c r="M2085" s="33">
        <f>IF($O2085="방문완료",IFERROR(VLOOKUP($E2085,설정_코스수당!$A$6:$H$10,6,FALSE),0),0)</f>
        <v>0</v>
      </c>
      <c r="N2085" s="34">
        <f t="shared" si="60"/>
        <v>0</v>
      </c>
      <c r="O2085" s="29"/>
      <c r="P2085" s="29"/>
      <c r="Q2085" s="29"/>
      <c r="R2085" s="32"/>
      <c r="S2085" s="29"/>
      <c r="U2085" s="113"/>
      <c r="V2085" s="111"/>
      <c r="W2085" s="112"/>
      <c r="X2085" s="111"/>
    </row>
    <row r="2086" spans="1:24" ht="19.5" hidden="1" customHeight="1" outlineLevel="1">
      <c r="A2086" s="23">
        <v>13</v>
      </c>
      <c r="B2086" s="24">
        <f>IF(21&lt;=DAY(DATE(YEAR(설정_코스수당!$K$2),MONTH(설정_코스수당!$K$2)+1,0)),DATE(YEAR(설정_코스수당!$K$2),MONTH(설정_코스수당!$K$2),21),"")</f>
        <v>46194</v>
      </c>
      <c r="C2086" s="25"/>
      <c r="D2086" s="23"/>
      <c r="E2086" s="23"/>
      <c r="F2086" s="26"/>
      <c r="G2086" s="23"/>
      <c r="H2086" s="23"/>
      <c r="I2086" s="23"/>
      <c r="J2086" s="27">
        <f>IF($O2086="방문완료",MAX(0,IFERROR(VLOOKUP($E2086,설정_코스수당!$A$6:$H$10,4,FALSE),0)-IF(OR($P2086="",$P2086="없음"),0,100000)),0)</f>
        <v>0</v>
      </c>
      <c r="K2086" s="27">
        <f t="array" ref="K2086">IF($O2086="방문완료",IFERROR(INDEX(설정_코스수당!$B$15:$F$64,MATCH($G2086,설정_코스수당!$A$15:$A$64,0),MATCH($E2086&amp;"수당",설정_코스수당!$B$14:$F$14,0)),0),0)</f>
        <v>0</v>
      </c>
      <c r="L2086" s="27">
        <f t="array" ref="L2086">IF($O2086="방문완료",IF($H2086="",0,IFERROR(INDEX(설정_코스수당!$B$15:$F$64,MATCH($H2086,설정_코스수당!$A$15:$A$64,0),MATCH($E2086&amp;"수당",설정_코스수당!$B$14:$F$14,0)),0)),0)</f>
        <v>0</v>
      </c>
      <c r="M2086" s="27">
        <f>IF($O2086="방문완료",IFERROR(VLOOKUP($E2086,설정_코스수당!$A$6:$H$10,6,FALSE),0),0)</f>
        <v>0</v>
      </c>
      <c r="N2086" s="28">
        <f t="shared" si="60"/>
        <v>0</v>
      </c>
      <c r="O2086" s="23"/>
      <c r="P2086" s="23"/>
      <c r="Q2086" s="23"/>
      <c r="R2086" s="26"/>
      <c r="S2086" s="23"/>
      <c r="U2086" s="113"/>
      <c r="V2086" s="111"/>
      <c r="W2086" s="112"/>
      <c r="X2086" s="111"/>
    </row>
    <row r="2087" spans="1:24" ht="19.5" hidden="1" customHeight="1" outlineLevel="1">
      <c r="A2087" s="29">
        <v>14</v>
      </c>
      <c r="B2087" s="30">
        <f>IF(21&lt;=DAY(DATE(YEAR(설정_코스수당!$K$2),MONTH(설정_코스수당!$K$2)+1,0)),DATE(YEAR(설정_코스수당!$K$2),MONTH(설정_코스수당!$K$2),21),"")</f>
        <v>46194</v>
      </c>
      <c r="C2087" s="31"/>
      <c r="D2087" s="29"/>
      <c r="E2087" s="29"/>
      <c r="F2087" s="32"/>
      <c r="G2087" s="29"/>
      <c r="H2087" s="29"/>
      <c r="I2087" s="29"/>
      <c r="J2087" s="33">
        <f>IF($O2087="방문완료",MAX(0,IFERROR(VLOOKUP($E2087,설정_코스수당!$A$6:$H$10,4,FALSE),0)-IF(OR($P2087="",$P2087="없음"),0,100000)),0)</f>
        <v>0</v>
      </c>
      <c r="K2087" s="33">
        <f t="array" ref="K2087">IF($O2087="방문완료",IFERROR(INDEX(설정_코스수당!$B$15:$F$64,MATCH($G2087,설정_코스수당!$A$15:$A$64,0),MATCH($E2087&amp;"수당",설정_코스수당!$B$14:$F$14,0)),0),0)</f>
        <v>0</v>
      </c>
      <c r="L2087" s="33">
        <f t="array" ref="L2087">IF($O2087="방문완료",IF($H2087="",0,IFERROR(INDEX(설정_코스수당!$B$15:$F$64,MATCH($H2087,설정_코스수당!$A$15:$A$64,0),MATCH($E2087&amp;"수당",설정_코스수당!$B$14:$F$14,0)),0)),0)</f>
        <v>0</v>
      </c>
      <c r="M2087" s="33">
        <f>IF($O2087="방문완료",IFERROR(VLOOKUP($E2087,설정_코스수당!$A$6:$H$10,6,FALSE),0),0)</f>
        <v>0</v>
      </c>
      <c r="N2087" s="34">
        <f t="shared" si="60"/>
        <v>0</v>
      </c>
      <c r="O2087" s="29"/>
      <c r="P2087" s="29"/>
      <c r="Q2087" s="29"/>
      <c r="R2087" s="32"/>
      <c r="S2087" s="29"/>
      <c r="U2087" s="113"/>
      <c r="V2087" s="111"/>
      <c r="W2087" s="112"/>
      <c r="X2087" s="111"/>
    </row>
    <row r="2088" spans="1:24" ht="19.5" hidden="1" customHeight="1" outlineLevel="1">
      <c r="A2088" s="23">
        <v>15</v>
      </c>
      <c r="B2088" s="24">
        <f>IF(21&lt;=DAY(DATE(YEAR(설정_코스수당!$K$2),MONTH(설정_코스수당!$K$2)+1,0)),DATE(YEAR(설정_코스수당!$K$2),MONTH(설정_코스수당!$K$2),21),"")</f>
        <v>46194</v>
      </c>
      <c r="C2088" s="25"/>
      <c r="D2088" s="23"/>
      <c r="E2088" s="23"/>
      <c r="F2088" s="26"/>
      <c r="G2088" s="23"/>
      <c r="H2088" s="23"/>
      <c r="I2088" s="23"/>
      <c r="J2088" s="27">
        <f>IF($O2088="방문완료",MAX(0,IFERROR(VLOOKUP($E2088,설정_코스수당!$A$6:$H$10,4,FALSE),0)-IF(OR($P2088="",$P2088="없음"),0,100000)),0)</f>
        <v>0</v>
      </c>
      <c r="K2088" s="27">
        <f t="array" ref="K2088">IF($O2088="방문완료",IFERROR(INDEX(설정_코스수당!$B$15:$F$64,MATCH($G2088,설정_코스수당!$A$15:$A$64,0),MATCH($E2088&amp;"수당",설정_코스수당!$B$14:$F$14,0)),0),0)</f>
        <v>0</v>
      </c>
      <c r="L2088" s="27">
        <f t="array" ref="L2088">IF($O2088="방문완료",IF($H2088="",0,IFERROR(INDEX(설정_코스수당!$B$15:$F$64,MATCH($H2088,설정_코스수당!$A$15:$A$64,0),MATCH($E2088&amp;"수당",설정_코스수당!$B$14:$F$14,0)),0)),0)</f>
        <v>0</v>
      </c>
      <c r="M2088" s="27">
        <f>IF($O2088="방문완료",IFERROR(VLOOKUP($E2088,설정_코스수당!$A$6:$H$10,6,FALSE),0),0)</f>
        <v>0</v>
      </c>
      <c r="N2088" s="28">
        <f t="shared" si="60"/>
        <v>0</v>
      </c>
      <c r="O2088" s="23"/>
      <c r="P2088" s="23"/>
      <c r="Q2088" s="23"/>
      <c r="R2088" s="26"/>
      <c r="S2088" s="23"/>
      <c r="U2088" s="113"/>
      <c r="V2088" s="111"/>
      <c r="W2088" s="112"/>
      <c r="X2088" s="111"/>
    </row>
    <row r="2089" spans="1:24" ht="19.5" hidden="1" customHeight="1" outlineLevel="1">
      <c r="A2089" s="29">
        <v>16</v>
      </c>
      <c r="B2089" s="30">
        <f>IF(21&lt;=DAY(DATE(YEAR(설정_코스수당!$K$2),MONTH(설정_코스수당!$K$2)+1,0)),DATE(YEAR(설정_코스수당!$K$2),MONTH(설정_코스수당!$K$2),21),"")</f>
        <v>46194</v>
      </c>
      <c r="C2089" s="31"/>
      <c r="D2089" s="29"/>
      <c r="E2089" s="29"/>
      <c r="F2089" s="32"/>
      <c r="G2089" s="29"/>
      <c r="H2089" s="29"/>
      <c r="I2089" s="29"/>
      <c r="J2089" s="33">
        <f>IF($O2089="방문완료",MAX(0,IFERROR(VLOOKUP($E2089,설정_코스수당!$A$6:$H$10,4,FALSE),0)-IF(OR($P2089="",$P2089="없음"),0,100000)),0)</f>
        <v>0</v>
      </c>
      <c r="K2089" s="33">
        <f t="array" ref="K2089">IF($O2089="방문완료",IFERROR(INDEX(설정_코스수당!$B$15:$F$64,MATCH($G2089,설정_코스수당!$A$15:$A$64,0),MATCH($E2089&amp;"수당",설정_코스수당!$B$14:$F$14,0)),0),0)</f>
        <v>0</v>
      </c>
      <c r="L2089" s="33">
        <f t="array" ref="L2089">IF($O2089="방문완료",IF($H2089="",0,IFERROR(INDEX(설정_코스수당!$B$15:$F$64,MATCH($H2089,설정_코스수당!$A$15:$A$64,0),MATCH($E2089&amp;"수당",설정_코스수당!$B$14:$F$14,0)),0)),0)</f>
        <v>0</v>
      </c>
      <c r="M2089" s="33">
        <f>IF($O2089="방문완료",IFERROR(VLOOKUP($E2089,설정_코스수당!$A$6:$H$10,6,FALSE),0),0)</f>
        <v>0</v>
      </c>
      <c r="N2089" s="34">
        <f t="shared" si="60"/>
        <v>0</v>
      </c>
      <c r="O2089" s="29"/>
      <c r="P2089" s="29"/>
      <c r="Q2089" s="29"/>
      <c r="R2089" s="32"/>
      <c r="S2089" s="29"/>
      <c r="U2089" s="113"/>
      <c r="V2089" s="111"/>
      <c r="W2089" s="112"/>
      <c r="X2089" s="111"/>
    </row>
    <row r="2090" spans="1:24" ht="19.5" hidden="1" customHeight="1" outlineLevel="1">
      <c r="A2090" s="23">
        <v>17</v>
      </c>
      <c r="B2090" s="24">
        <f>IF(21&lt;=DAY(DATE(YEAR(설정_코스수당!$K$2),MONTH(설정_코스수당!$K$2)+1,0)),DATE(YEAR(설정_코스수당!$K$2),MONTH(설정_코스수당!$K$2),21),"")</f>
        <v>46194</v>
      </c>
      <c r="C2090" s="25"/>
      <c r="D2090" s="23"/>
      <c r="E2090" s="23"/>
      <c r="F2090" s="26"/>
      <c r="G2090" s="23"/>
      <c r="H2090" s="23"/>
      <c r="I2090" s="23"/>
      <c r="J2090" s="27">
        <f>IF($O2090="방문완료",MAX(0,IFERROR(VLOOKUP($E2090,설정_코스수당!$A$6:$H$10,4,FALSE),0)-IF(OR($P2090="",$P2090="없음"),0,100000)),0)</f>
        <v>0</v>
      </c>
      <c r="K2090" s="27">
        <f t="array" ref="K2090">IF($O2090="방문완료",IFERROR(INDEX(설정_코스수당!$B$15:$F$64,MATCH($G2090,설정_코스수당!$A$15:$A$64,0),MATCH($E2090&amp;"수당",설정_코스수당!$B$14:$F$14,0)),0),0)</f>
        <v>0</v>
      </c>
      <c r="L2090" s="27">
        <f t="array" ref="L2090">IF($O2090="방문완료",IF($H2090="",0,IFERROR(INDEX(설정_코스수당!$B$15:$F$64,MATCH($H2090,설정_코스수당!$A$15:$A$64,0),MATCH($E2090&amp;"수당",설정_코스수당!$B$14:$F$14,0)),0)),0)</f>
        <v>0</v>
      </c>
      <c r="M2090" s="27">
        <f>IF($O2090="방문완료",IFERROR(VLOOKUP($E2090,설정_코스수당!$A$6:$H$10,6,FALSE),0),0)</f>
        <v>0</v>
      </c>
      <c r="N2090" s="28">
        <f t="shared" si="60"/>
        <v>0</v>
      </c>
      <c r="O2090" s="23"/>
      <c r="P2090" s="23"/>
      <c r="Q2090" s="23"/>
      <c r="R2090" s="26"/>
      <c r="S2090" s="23"/>
      <c r="U2090" s="113"/>
      <c r="V2090" s="111"/>
      <c r="W2090" s="112"/>
      <c r="X2090" s="111"/>
    </row>
    <row r="2091" spans="1:24" ht="19.5" hidden="1" customHeight="1" outlineLevel="1">
      <c r="A2091" s="29">
        <v>18</v>
      </c>
      <c r="B2091" s="30">
        <f>IF(21&lt;=DAY(DATE(YEAR(설정_코스수당!$K$2),MONTH(설정_코스수당!$K$2)+1,0)),DATE(YEAR(설정_코스수당!$K$2),MONTH(설정_코스수당!$K$2),21),"")</f>
        <v>46194</v>
      </c>
      <c r="C2091" s="31"/>
      <c r="D2091" s="29"/>
      <c r="E2091" s="29"/>
      <c r="F2091" s="32"/>
      <c r="G2091" s="29"/>
      <c r="H2091" s="29"/>
      <c r="I2091" s="29"/>
      <c r="J2091" s="33">
        <f>IF($O2091="방문완료",MAX(0,IFERROR(VLOOKUP($E2091,설정_코스수당!$A$6:$H$10,4,FALSE),0)-IF(OR($P2091="",$P2091="없음"),0,100000)),0)</f>
        <v>0</v>
      </c>
      <c r="K2091" s="33">
        <f t="array" ref="K2091">IF($O2091="방문완료",IFERROR(INDEX(설정_코스수당!$B$15:$F$64,MATCH($G2091,설정_코스수당!$A$15:$A$64,0),MATCH($E2091&amp;"수당",설정_코스수당!$B$14:$F$14,0)),0),0)</f>
        <v>0</v>
      </c>
      <c r="L2091" s="33">
        <f t="array" ref="L2091">IF($O2091="방문완료",IF($H2091="",0,IFERROR(INDEX(설정_코스수당!$B$15:$F$64,MATCH($H2091,설정_코스수당!$A$15:$A$64,0),MATCH($E2091&amp;"수당",설정_코스수당!$B$14:$F$14,0)),0)),0)</f>
        <v>0</v>
      </c>
      <c r="M2091" s="33">
        <f>IF($O2091="방문완료",IFERROR(VLOOKUP($E2091,설정_코스수당!$A$6:$H$10,6,FALSE),0),0)</f>
        <v>0</v>
      </c>
      <c r="N2091" s="34">
        <f t="shared" si="60"/>
        <v>0</v>
      </c>
      <c r="O2091" s="29"/>
      <c r="P2091" s="29"/>
      <c r="Q2091" s="29"/>
      <c r="R2091" s="32"/>
      <c r="S2091" s="29"/>
      <c r="U2091" s="113"/>
      <c r="V2091" s="111"/>
      <c r="W2091" s="112"/>
      <c r="X2091" s="111"/>
    </row>
    <row r="2092" spans="1:24" ht="19.5" hidden="1" customHeight="1" outlineLevel="1">
      <c r="A2092" s="23">
        <v>19</v>
      </c>
      <c r="B2092" s="24">
        <f>IF(21&lt;=DAY(DATE(YEAR(설정_코스수당!$K$2),MONTH(설정_코스수당!$K$2)+1,0)),DATE(YEAR(설정_코스수당!$K$2),MONTH(설정_코스수당!$K$2),21),"")</f>
        <v>46194</v>
      </c>
      <c r="C2092" s="25"/>
      <c r="D2092" s="23"/>
      <c r="E2092" s="23"/>
      <c r="F2092" s="26"/>
      <c r="G2092" s="23"/>
      <c r="H2092" s="23"/>
      <c r="I2092" s="23"/>
      <c r="J2092" s="27">
        <f>IF($O2092="방문완료",MAX(0,IFERROR(VLOOKUP($E2092,설정_코스수당!$A$6:$H$10,4,FALSE),0)-IF(OR($P2092="",$P2092="없음"),0,100000)),0)</f>
        <v>0</v>
      </c>
      <c r="K2092" s="27">
        <f t="array" ref="K2092">IF($O2092="방문완료",IFERROR(INDEX(설정_코스수당!$B$15:$F$64,MATCH($G2092,설정_코스수당!$A$15:$A$64,0),MATCH($E2092&amp;"수당",설정_코스수당!$B$14:$F$14,0)),0),0)</f>
        <v>0</v>
      </c>
      <c r="L2092" s="27">
        <f t="array" ref="L2092">IF($O2092="방문완료",IF($H2092="",0,IFERROR(INDEX(설정_코스수당!$B$15:$F$64,MATCH($H2092,설정_코스수당!$A$15:$A$64,0),MATCH($E2092&amp;"수당",설정_코스수당!$B$14:$F$14,0)),0)),0)</f>
        <v>0</v>
      </c>
      <c r="M2092" s="27">
        <f>IF($O2092="방문완료",IFERROR(VLOOKUP($E2092,설정_코스수당!$A$6:$H$10,6,FALSE),0),0)</f>
        <v>0</v>
      </c>
      <c r="N2092" s="28">
        <f t="shared" si="60"/>
        <v>0</v>
      </c>
      <c r="O2092" s="23"/>
      <c r="P2092" s="23"/>
      <c r="Q2092" s="23"/>
      <c r="R2092" s="26"/>
      <c r="S2092" s="23"/>
      <c r="U2092" s="113"/>
      <c r="V2092" s="111"/>
      <c r="W2092" s="112"/>
      <c r="X2092" s="111"/>
    </row>
    <row r="2093" spans="1:24" ht="19.5" hidden="1" customHeight="1" outlineLevel="1">
      <c r="A2093" s="29">
        <v>20</v>
      </c>
      <c r="B2093" s="30">
        <f>IF(21&lt;=DAY(DATE(YEAR(설정_코스수당!$K$2),MONTH(설정_코스수당!$K$2)+1,0)),DATE(YEAR(설정_코스수당!$K$2),MONTH(설정_코스수당!$K$2),21),"")</f>
        <v>46194</v>
      </c>
      <c r="C2093" s="31"/>
      <c r="D2093" s="29"/>
      <c r="E2093" s="29"/>
      <c r="F2093" s="32"/>
      <c r="G2093" s="29"/>
      <c r="H2093" s="29"/>
      <c r="I2093" s="29"/>
      <c r="J2093" s="33">
        <f>IF($O2093="방문완료",MAX(0,IFERROR(VLOOKUP($E2093,설정_코스수당!$A$6:$H$10,4,FALSE),0)-IF(OR($P2093="",$P2093="없음"),0,100000)),0)</f>
        <v>0</v>
      </c>
      <c r="K2093" s="33">
        <f t="array" ref="K2093">IF($O2093="방문완료",IFERROR(INDEX(설정_코스수당!$B$15:$F$64,MATCH($G2093,설정_코스수당!$A$15:$A$64,0),MATCH($E2093&amp;"수당",설정_코스수당!$B$14:$F$14,0)),0),0)</f>
        <v>0</v>
      </c>
      <c r="L2093" s="33">
        <f t="array" ref="L2093">IF($O2093="방문완료",IF($H2093="",0,IFERROR(INDEX(설정_코스수당!$B$15:$F$64,MATCH($H2093,설정_코스수당!$A$15:$A$64,0),MATCH($E2093&amp;"수당",설정_코스수당!$B$14:$F$14,0)),0)),0)</f>
        <v>0</v>
      </c>
      <c r="M2093" s="33">
        <f>IF($O2093="방문완료",IFERROR(VLOOKUP($E2093,설정_코스수당!$A$6:$H$10,6,FALSE),0),0)</f>
        <v>0</v>
      </c>
      <c r="N2093" s="34">
        <f t="shared" si="60"/>
        <v>0</v>
      </c>
      <c r="O2093" s="29"/>
      <c r="P2093" s="29"/>
      <c r="Q2093" s="29"/>
      <c r="R2093" s="32"/>
      <c r="S2093" s="29"/>
    </row>
    <row r="2094" spans="1:24" ht="19.5" hidden="1" customHeight="1" outlineLevel="1">
      <c r="A2094" s="23">
        <v>21</v>
      </c>
      <c r="B2094" s="24">
        <f>IF(21&lt;=DAY(DATE(YEAR(설정_코스수당!$K$2),MONTH(설정_코스수당!$K$2)+1,0)),DATE(YEAR(설정_코스수당!$K$2),MONTH(설정_코스수당!$K$2),21),"")</f>
        <v>46194</v>
      </c>
      <c r="C2094" s="25"/>
      <c r="D2094" s="23"/>
      <c r="E2094" s="23"/>
      <c r="F2094" s="26"/>
      <c r="G2094" s="23"/>
      <c r="H2094" s="23"/>
      <c r="I2094" s="23"/>
      <c r="J2094" s="27">
        <f>IF($O2094="방문완료",MAX(0,IFERROR(VLOOKUP($E2094,설정_코스수당!$A$6:$H$10,4,FALSE),0)-IF(OR($P2094="",$P2094="없음"),0,100000)),0)</f>
        <v>0</v>
      </c>
      <c r="K2094" s="27">
        <f t="array" ref="K2094">IF($O2094="방문완료",IFERROR(INDEX(설정_코스수당!$B$15:$F$64,MATCH($G2094,설정_코스수당!$A$15:$A$64,0),MATCH($E2094&amp;"수당",설정_코스수당!$B$14:$F$14,0)),0),0)</f>
        <v>0</v>
      </c>
      <c r="L2094" s="27">
        <f t="array" ref="L2094">IF($O2094="방문완료",IF($H2094="",0,IFERROR(INDEX(설정_코스수당!$B$15:$F$64,MATCH($H2094,설정_코스수당!$A$15:$A$64,0),MATCH($E2094&amp;"수당",설정_코스수당!$B$14:$F$14,0)),0)),0)</f>
        <v>0</v>
      </c>
      <c r="M2094" s="27">
        <f>IF($O2094="방문완료",IFERROR(VLOOKUP($E2094,설정_코스수당!$A$6:$H$10,6,FALSE),0),0)</f>
        <v>0</v>
      </c>
      <c r="N2094" s="28">
        <f t="shared" si="60"/>
        <v>0</v>
      </c>
      <c r="O2094" s="23"/>
      <c r="P2094" s="23"/>
      <c r="Q2094" s="23"/>
      <c r="R2094" s="26"/>
      <c r="S2094" s="23"/>
    </row>
    <row r="2095" spans="1:24" ht="19.5" hidden="1" customHeight="1" outlineLevel="1">
      <c r="A2095" s="29">
        <v>22</v>
      </c>
      <c r="B2095" s="30">
        <f>IF(21&lt;=DAY(DATE(YEAR(설정_코스수당!$K$2),MONTH(설정_코스수당!$K$2)+1,0)),DATE(YEAR(설정_코스수당!$K$2),MONTH(설정_코스수당!$K$2),21),"")</f>
        <v>46194</v>
      </c>
      <c r="C2095" s="31"/>
      <c r="D2095" s="29"/>
      <c r="E2095" s="29"/>
      <c r="F2095" s="32"/>
      <c r="G2095" s="29"/>
      <c r="H2095" s="29"/>
      <c r="I2095" s="29"/>
      <c r="J2095" s="33">
        <f>IF($O2095="방문완료",MAX(0,IFERROR(VLOOKUP($E2095,설정_코스수당!$A$6:$H$10,4,FALSE),0)-IF(OR($P2095="",$P2095="없음"),0,100000)),0)</f>
        <v>0</v>
      </c>
      <c r="K2095" s="33">
        <f t="array" ref="K2095">IF($O2095="방문완료",IFERROR(INDEX(설정_코스수당!$B$15:$F$64,MATCH($G2095,설정_코스수당!$A$15:$A$64,0),MATCH($E2095&amp;"수당",설정_코스수당!$B$14:$F$14,0)),0),0)</f>
        <v>0</v>
      </c>
      <c r="L2095" s="33">
        <f t="array" ref="L2095">IF($O2095="방문완료",IF($H2095="",0,IFERROR(INDEX(설정_코스수당!$B$15:$F$64,MATCH($H2095,설정_코스수당!$A$15:$A$64,0),MATCH($E2095&amp;"수당",설정_코스수당!$B$14:$F$14,0)),0)),0)</f>
        <v>0</v>
      </c>
      <c r="M2095" s="33">
        <f>IF($O2095="방문완료",IFERROR(VLOOKUP($E2095,설정_코스수당!$A$6:$H$10,6,FALSE),0),0)</f>
        <v>0</v>
      </c>
      <c r="N2095" s="34">
        <f t="shared" si="60"/>
        <v>0</v>
      </c>
      <c r="O2095" s="29"/>
      <c r="P2095" s="29"/>
      <c r="Q2095" s="29"/>
      <c r="R2095" s="32"/>
      <c r="S2095" s="29"/>
    </row>
    <row r="2096" spans="1:24" ht="19.5" hidden="1" customHeight="1" outlineLevel="1">
      <c r="A2096" s="23">
        <v>23</v>
      </c>
      <c r="B2096" s="24">
        <f>IF(21&lt;=DAY(DATE(YEAR(설정_코스수당!$K$2),MONTH(설정_코스수당!$K$2)+1,0)),DATE(YEAR(설정_코스수당!$K$2),MONTH(설정_코스수당!$K$2),21),"")</f>
        <v>46194</v>
      </c>
      <c r="C2096" s="25"/>
      <c r="D2096" s="23"/>
      <c r="E2096" s="23"/>
      <c r="F2096" s="26"/>
      <c r="G2096" s="23"/>
      <c r="H2096" s="23"/>
      <c r="I2096" s="23"/>
      <c r="J2096" s="27">
        <f>IF($O2096="방문완료",MAX(0,IFERROR(VLOOKUP($E2096,설정_코스수당!$A$6:$H$10,4,FALSE),0)-IF(OR($P2096="",$P2096="없음"),0,100000)),0)</f>
        <v>0</v>
      </c>
      <c r="K2096" s="27">
        <f t="array" ref="K2096">IF($O2096="방문완료",IFERROR(INDEX(설정_코스수당!$B$15:$F$64,MATCH($G2096,설정_코스수당!$A$15:$A$64,0),MATCH($E2096&amp;"수당",설정_코스수당!$B$14:$F$14,0)),0),0)</f>
        <v>0</v>
      </c>
      <c r="L2096" s="27">
        <f t="array" ref="L2096">IF($O2096="방문완료",IF($H2096="",0,IFERROR(INDEX(설정_코스수당!$B$15:$F$64,MATCH($H2096,설정_코스수당!$A$15:$A$64,0),MATCH($E2096&amp;"수당",설정_코스수당!$B$14:$F$14,0)),0)),0)</f>
        <v>0</v>
      </c>
      <c r="M2096" s="27">
        <f>IF($O2096="방문완료",IFERROR(VLOOKUP($E2096,설정_코스수당!$A$6:$H$10,6,FALSE),0),0)</f>
        <v>0</v>
      </c>
      <c r="N2096" s="28">
        <f t="shared" si="60"/>
        <v>0</v>
      </c>
      <c r="O2096" s="23"/>
      <c r="P2096" s="23"/>
      <c r="Q2096" s="23"/>
      <c r="R2096" s="26"/>
      <c r="S2096" s="23"/>
    </row>
    <row r="2097" spans="1:19" ht="19.5" hidden="1" customHeight="1" outlineLevel="1">
      <c r="A2097" s="29">
        <v>24</v>
      </c>
      <c r="B2097" s="30">
        <f>IF(21&lt;=DAY(DATE(YEAR(설정_코스수당!$K$2),MONTH(설정_코스수당!$K$2)+1,0)),DATE(YEAR(설정_코스수당!$K$2),MONTH(설정_코스수당!$K$2),21),"")</f>
        <v>46194</v>
      </c>
      <c r="C2097" s="31"/>
      <c r="D2097" s="29"/>
      <c r="E2097" s="29"/>
      <c r="F2097" s="32"/>
      <c r="G2097" s="29"/>
      <c r="H2097" s="29"/>
      <c r="I2097" s="29"/>
      <c r="J2097" s="33">
        <f>IF($O2097="방문완료",MAX(0,IFERROR(VLOOKUP($E2097,설정_코스수당!$A$6:$H$10,4,FALSE),0)-IF(OR($P2097="",$P2097="없음"),0,100000)),0)</f>
        <v>0</v>
      </c>
      <c r="K2097" s="33">
        <f t="array" ref="K2097">IF($O2097="방문완료",IFERROR(INDEX(설정_코스수당!$B$15:$F$64,MATCH($G2097,설정_코스수당!$A$15:$A$64,0),MATCH($E2097&amp;"수당",설정_코스수당!$B$14:$F$14,0)),0),0)</f>
        <v>0</v>
      </c>
      <c r="L2097" s="33">
        <f t="array" ref="L2097">IF($O2097="방문완료",IF($H2097="",0,IFERROR(INDEX(설정_코스수당!$B$15:$F$64,MATCH($H2097,설정_코스수당!$A$15:$A$64,0),MATCH($E2097&amp;"수당",설정_코스수당!$B$14:$F$14,0)),0)),0)</f>
        <v>0</v>
      </c>
      <c r="M2097" s="33">
        <f>IF($O2097="방문완료",IFERROR(VLOOKUP($E2097,설정_코스수당!$A$6:$H$10,6,FALSE),0),0)</f>
        <v>0</v>
      </c>
      <c r="N2097" s="34">
        <f t="shared" si="60"/>
        <v>0</v>
      </c>
      <c r="O2097" s="29"/>
      <c r="P2097" s="29"/>
      <c r="Q2097" s="29"/>
      <c r="R2097" s="32"/>
      <c r="S2097" s="29"/>
    </row>
    <row r="2098" spans="1:19" ht="19.5" hidden="1" customHeight="1" outlineLevel="1">
      <c r="A2098" s="23">
        <v>25</v>
      </c>
      <c r="B2098" s="24">
        <f>IF(21&lt;=DAY(DATE(YEAR(설정_코스수당!$K$2),MONTH(설정_코스수당!$K$2)+1,0)),DATE(YEAR(설정_코스수당!$K$2),MONTH(설정_코스수당!$K$2),21),"")</f>
        <v>46194</v>
      </c>
      <c r="C2098" s="25"/>
      <c r="D2098" s="23"/>
      <c r="E2098" s="23"/>
      <c r="F2098" s="26"/>
      <c r="G2098" s="23"/>
      <c r="H2098" s="23"/>
      <c r="I2098" s="23"/>
      <c r="J2098" s="27">
        <f>IF($O2098="방문완료",MAX(0,IFERROR(VLOOKUP($E2098,설정_코스수당!$A$6:$H$10,4,FALSE),0)-IF(OR($P2098="",$P2098="없음"),0,100000)),0)</f>
        <v>0</v>
      </c>
      <c r="K2098" s="27">
        <f t="array" ref="K2098">IF($O2098="방문완료",IFERROR(INDEX(설정_코스수당!$B$15:$F$64,MATCH($G2098,설정_코스수당!$A$15:$A$64,0),MATCH($E2098&amp;"수당",설정_코스수당!$B$14:$F$14,0)),0),0)</f>
        <v>0</v>
      </c>
      <c r="L2098" s="27">
        <f t="array" ref="L2098">IF($O2098="방문완료",IF($H2098="",0,IFERROR(INDEX(설정_코스수당!$B$15:$F$64,MATCH($H2098,설정_코스수당!$A$15:$A$64,0),MATCH($E2098&amp;"수당",설정_코스수당!$B$14:$F$14,0)),0)),0)</f>
        <v>0</v>
      </c>
      <c r="M2098" s="27">
        <f>IF($O2098="방문완료",IFERROR(VLOOKUP($E2098,설정_코스수당!$A$6:$H$10,6,FALSE),0),0)</f>
        <v>0</v>
      </c>
      <c r="N2098" s="28">
        <f t="shared" si="60"/>
        <v>0</v>
      </c>
      <c r="O2098" s="23"/>
      <c r="P2098" s="23"/>
      <c r="Q2098" s="23"/>
      <c r="R2098" s="26"/>
      <c r="S2098" s="23"/>
    </row>
    <row r="2099" spans="1:19" ht="19.5" hidden="1" customHeight="1" outlineLevel="1">
      <c r="A2099" s="29">
        <v>26</v>
      </c>
      <c r="B2099" s="30">
        <f>IF(21&lt;=DAY(DATE(YEAR(설정_코스수당!$K$2),MONTH(설정_코스수당!$K$2)+1,0)),DATE(YEAR(설정_코스수당!$K$2),MONTH(설정_코스수당!$K$2),21),"")</f>
        <v>46194</v>
      </c>
      <c r="C2099" s="31"/>
      <c r="D2099" s="29"/>
      <c r="E2099" s="29"/>
      <c r="F2099" s="32"/>
      <c r="G2099" s="29"/>
      <c r="H2099" s="29"/>
      <c r="I2099" s="29"/>
      <c r="J2099" s="33">
        <f>IF($O2099="방문완료",MAX(0,IFERROR(VLOOKUP($E2099,설정_코스수당!$A$6:$H$10,4,FALSE),0)-IF(OR($P2099="",$P2099="없음"),0,100000)),0)</f>
        <v>0</v>
      </c>
      <c r="K2099" s="33">
        <f t="array" ref="K2099">IF($O2099="방문완료",IFERROR(INDEX(설정_코스수당!$B$15:$F$64,MATCH($G2099,설정_코스수당!$A$15:$A$64,0),MATCH($E2099&amp;"수당",설정_코스수당!$B$14:$F$14,0)),0),0)</f>
        <v>0</v>
      </c>
      <c r="L2099" s="33">
        <f t="array" ref="L2099">IF($O2099="방문완료",IF($H2099="",0,IFERROR(INDEX(설정_코스수당!$B$15:$F$64,MATCH($H2099,설정_코스수당!$A$15:$A$64,0),MATCH($E2099&amp;"수당",설정_코스수당!$B$14:$F$14,0)),0)),0)</f>
        <v>0</v>
      </c>
      <c r="M2099" s="33">
        <f>IF($O2099="방문완료",IFERROR(VLOOKUP($E2099,설정_코스수당!$A$6:$H$10,6,FALSE),0),0)</f>
        <v>0</v>
      </c>
      <c r="N2099" s="34">
        <f t="shared" si="60"/>
        <v>0</v>
      </c>
      <c r="O2099" s="29"/>
      <c r="P2099" s="29"/>
      <c r="Q2099" s="29"/>
      <c r="R2099" s="32"/>
      <c r="S2099" s="29"/>
    </row>
    <row r="2100" spans="1:19" ht="19.5" hidden="1" customHeight="1" outlineLevel="1">
      <c r="A2100" s="23">
        <v>27</v>
      </c>
      <c r="B2100" s="24">
        <f>IF(21&lt;=DAY(DATE(YEAR(설정_코스수당!$K$2),MONTH(설정_코스수당!$K$2)+1,0)),DATE(YEAR(설정_코스수당!$K$2),MONTH(설정_코스수당!$K$2),21),"")</f>
        <v>46194</v>
      </c>
      <c r="C2100" s="25"/>
      <c r="D2100" s="23"/>
      <c r="E2100" s="23"/>
      <c r="F2100" s="26"/>
      <c r="G2100" s="23"/>
      <c r="H2100" s="23"/>
      <c r="I2100" s="23"/>
      <c r="J2100" s="27">
        <f>IF($O2100="방문완료",MAX(0,IFERROR(VLOOKUP($E2100,설정_코스수당!$A$6:$H$10,4,FALSE),0)-IF(OR($P2100="",$P2100="없음"),0,100000)),0)</f>
        <v>0</v>
      </c>
      <c r="K2100" s="27">
        <f t="array" ref="K2100">IF($O2100="방문완료",IFERROR(INDEX(설정_코스수당!$B$15:$F$64,MATCH($G2100,설정_코스수당!$A$15:$A$64,0),MATCH($E2100&amp;"수당",설정_코스수당!$B$14:$F$14,0)),0),0)</f>
        <v>0</v>
      </c>
      <c r="L2100" s="27">
        <f t="array" ref="L2100">IF($O2100="방문완료",IF($H2100="",0,IFERROR(INDEX(설정_코스수당!$B$15:$F$64,MATCH($H2100,설정_코스수당!$A$15:$A$64,0),MATCH($E2100&amp;"수당",설정_코스수당!$B$14:$F$14,0)),0)),0)</f>
        <v>0</v>
      </c>
      <c r="M2100" s="27">
        <f>IF($O2100="방문완료",IFERROR(VLOOKUP($E2100,설정_코스수당!$A$6:$H$10,6,FALSE),0),0)</f>
        <v>0</v>
      </c>
      <c r="N2100" s="28">
        <f t="shared" si="60"/>
        <v>0</v>
      </c>
      <c r="O2100" s="23"/>
      <c r="P2100" s="23"/>
      <c r="Q2100" s="23"/>
      <c r="R2100" s="26"/>
      <c r="S2100" s="23"/>
    </row>
    <row r="2101" spans="1:19" ht="19.5" hidden="1" customHeight="1" outlineLevel="1">
      <c r="A2101" s="29">
        <v>28</v>
      </c>
      <c r="B2101" s="30">
        <f>IF(21&lt;=DAY(DATE(YEAR(설정_코스수당!$K$2),MONTH(설정_코스수당!$K$2)+1,0)),DATE(YEAR(설정_코스수당!$K$2),MONTH(설정_코스수당!$K$2),21),"")</f>
        <v>46194</v>
      </c>
      <c r="C2101" s="31"/>
      <c r="D2101" s="29"/>
      <c r="E2101" s="29"/>
      <c r="F2101" s="32"/>
      <c r="G2101" s="29"/>
      <c r="H2101" s="29"/>
      <c r="I2101" s="29"/>
      <c r="J2101" s="33">
        <f>IF($O2101="방문완료",MAX(0,IFERROR(VLOOKUP($E2101,설정_코스수당!$A$6:$H$10,4,FALSE),0)-IF(OR($P2101="",$P2101="없음"),0,100000)),0)</f>
        <v>0</v>
      </c>
      <c r="K2101" s="33">
        <f t="array" ref="K2101">IF($O2101="방문완료",IFERROR(INDEX(설정_코스수당!$B$15:$F$64,MATCH($G2101,설정_코스수당!$A$15:$A$64,0),MATCH($E2101&amp;"수당",설정_코스수당!$B$14:$F$14,0)),0),0)</f>
        <v>0</v>
      </c>
      <c r="L2101" s="33">
        <f t="array" ref="L2101">IF($O2101="방문완료",IF($H2101="",0,IFERROR(INDEX(설정_코스수당!$B$15:$F$64,MATCH($H2101,설정_코스수당!$A$15:$A$64,0),MATCH($E2101&amp;"수당",설정_코스수당!$B$14:$F$14,0)),0)),0)</f>
        <v>0</v>
      </c>
      <c r="M2101" s="33">
        <f>IF($O2101="방문완료",IFERROR(VLOOKUP($E2101,설정_코스수당!$A$6:$H$10,6,FALSE),0),0)</f>
        <v>0</v>
      </c>
      <c r="N2101" s="34">
        <f t="shared" si="60"/>
        <v>0</v>
      </c>
      <c r="O2101" s="29"/>
      <c r="P2101" s="29"/>
      <c r="Q2101" s="29"/>
      <c r="R2101" s="32"/>
      <c r="S2101" s="29"/>
    </row>
    <row r="2102" spans="1:19" ht="19.5" hidden="1" customHeight="1" outlineLevel="1">
      <c r="A2102" s="23">
        <v>29</v>
      </c>
      <c r="B2102" s="24">
        <f>IF(21&lt;=DAY(DATE(YEAR(설정_코스수당!$K$2),MONTH(설정_코스수당!$K$2)+1,0)),DATE(YEAR(설정_코스수당!$K$2),MONTH(설정_코스수당!$K$2),21),"")</f>
        <v>46194</v>
      </c>
      <c r="C2102" s="25"/>
      <c r="D2102" s="23"/>
      <c r="E2102" s="23"/>
      <c r="F2102" s="26"/>
      <c r="G2102" s="23"/>
      <c r="H2102" s="23"/>
      <c r="I2102" s="23"/>
      <c r="J2102" s="27">
        <f>IF($O2102="방문완료",MAX(0,IFERROR(VLOOKUP($E2102,설정_코스수당!$A$6:$H$10,4,FALSE),0)-IF(OR($P2102="",$P2102="없음"),0,100000)),0)</f>
        <v>0</v>
      </c>
      <c r="K2102" s="27">
        <f t="array" ref="K2102">IF($O2102="방문완료",IFERROR(INDEX(설정_코스수당!$B$15:$F$64,MATCH($G2102,설정_코스수당!$A$15:$A$64,0),MATCH($E2102&amp;"수당",설정_코스수당!$B$14:$F$14,0)),0),0)</f>
        <v>0</v>
      </c>
      <c r="L2102" s="27">
        <f t="array" ref="L2102">IF($O2102="방문완료",IF($H2102="",0,IFERROR(INDEX(설정_코스수당!$B$15:$F$64,MATCH($H2102,설정_코스수당!$A$15:$A$64,0),MATCH($E2102&amp;"수당",설정_코스수당!$B$14:$F$14,0)),0)),0)</f>
        <v>0</v>
      </c>
      <c r="M2102" s="27">
        <f>IF($O2102="방문완료",IFERROR(VLOOKUP($E2102,설정_코스수당!$A$6:$H$10,6,FALSE),0),0)</f>
        <v>0</v>
      </c>
      <c r="N2102" s="28">
        <f t="shared" si="60"/>
        <v>0</v>
      </c>
      <c r="O2102" s="23"/>
      <c r="P2102" s="23"/>
      <c r="Q2102" s="23"/>
      <c r="R2102" s="26"/>
      <c r="S2102" s="23"/>
    </row>
    <row r="2103" spans="1:19" ht="19.5" hidden="1" customHeight="1" outlineLevel="1">
      <c r="A2103" s="29">
        <v>30</v>
      </c>
      <c r="B2103" s="30">
        <f>IF(21&lt;=DAY(DATE(YEAR(설정_코스수당!$K$2),MONTH(설정_코스수당!$K$2)+1,0)),DATE(YEAR(설정_코스수당!$K$2),MONTH(설정_코스수당!$K$2),21),"")</f>
        <v>46194</v>
      </c>
      <c r="C2103" s="31"/>
      <c r="D2103" s="29"/>
      <c r="E2103" s="29"/>
      <c r="F2103" s="32"/>
      <c r="G2103" s="29"/>
      <c r="H2103" s="29"/>
      <c r="I2103" s="29"/>
      <c r="J2103" s="33">
        <f>IF($O2103="방문완료",MAX(0,IFERROR(VLOOKUP($E2103,설정_코스수당!$A$6:$H$10,4,FALSE),0)-IF(OR($P2103="",$P2103="없음"),0,100000)),0)</f>
        <v>0</v>
      </c>
      <c r="K2103" s="33">
        <f t="array" ref="K2103">IF($O2103="방문완료",IFERROR(INDEX(설정_코스수당!$B$15:$F$64,MATCH($G2103,설정_코스수당!$A$15:$A$64,0),MATCH($E2103&amp;"수당",설정_코스수당!$B$14:$F$14,0)),0),0)</f>
        <v>0</v>
      </c>
      <c r="L2103" s="33">
        <f t="array" ref="L2103">IF($O2103="방문완료",IF($H2103="",0,IFERROR(INDEX(설정_코스수당!$B$15:$F$64,MATCH($H2103,설정_코스수당!$A$15:$A$64,0),MATCH($E2103&amp;"수당",설정_코스수당!$B$14:$F$14,0)),0)),0)</f>
        <v>0</v>
      </c>
      <c r="M2103" s="33">
        <f>IF($O2103="방문완료",IFERROR(VLOOKUP($E2103,설정_코스수당!$A$6:$H$10,6,FALSE),0),0)</f>
        <v>0</v>
      </c>
      <c r="N2103" s="34">
        <f t="shared" si="60"/>
        <v>0</v>
      </c>
      <c r="O2103" s="29"/>
      <c r="P2103" s="29"/>
      <c r="Q2103" s="29"/>
      <c r="R2103" s="32"/>
      <c r="S2103" s="29"/>
    </row>
    <row r="2104" spans="1:19" ht="19.5" hidden="1" customHeight="1" outlineLevel="1">
      <c r="A2104" s="23">
        <v>31</v>
      </c>
      <c r="B2104" s="24">
        <f>IF(21&lt;=DAY(DATE(YEAR(설정_코스수당!$K$2),MONTH(설정_코스수당!$K$2)+1,0)),DATE(YEAR(설정_코스수당!$K$2),MONTH(설정_코스수당!$K$2),21),"")</f>
        <v>46194</v>
      </c>
      <c r="C2104" s="25"/>
      <c r="D2104" s="23"/>
      <c r="E2104" s="23"/>
      <c r="F2104" s="26"/>
      <c r="G2104" s="23"/>
      <c r="H2104" s="23"/>
      <c r="I2104" s="23"/>
      <c r="J2104" s="27">
        <f>IF($O2104="방문완료",MAX(0,IFERROR(VLOOKUP($E2104,설정_코스수당!$A$6:$H$10,4,FALSE),0)-IF(OR($P2104="",$P2104="없음"),0,100000)),0)</f>
        <v>0</v>
      </c>
      <c r="K2104" s="27">
        <f t="array" ref="K2104">IF($O2104="방문완료",IFERROR(INDEX(설정_코스수당!$B$15:$F$64,MATCH($G2104,설정_코스수당!$A$15:$A$64,0),MATCH($E2104&amp;"수당",설정_코스수당!$B$14:$F$14,0)),0),0)</f>
        <v>0</v>
      </c>
      <c r="L2104" s="27">
        <f t="array" ref="L2104">IF($O2104="방문완료",IF($H2104="",0,IFERROR(INDEX(설정_코스수당!$B$15:$F$64,MATCH($H2104,설정_코스수당!$A$15:$A$64,0),MATCH($E2104&amp;"수당",설정_코스수당!$B$14:$F$14,0)),0)),0)</f>
        <v>0</v>
      </c>
      <c r="M2104" s="27">
        <f>IF($O2104="방문완료",IFERROR(VLOOKUP($E2104,설정_코스수당!$A$6:$H$10,6,FALSE),0),0)</f>
        <v>0</v>
      </c>
      <c r="N2104" s="28">
        <f t="shared" si="60"/>
        <v>0</v>
      </c>
      <c r="O2104" s="23"/>
      <c r="P2104" s="23"/>
      <c r="Q2104" s="23"/>
      <c r="R2104" s="26"/>
      <c r="S2104" s="23"/>
    </row>
    <row r="2105" spans="1:19" ht="19.5" hidden="1" customHeight="1" outlineLevel="1">
      <c r="A2105" s="29">
        <v>32</v>
      </c>
      <c r="B2105" s="30">
        <f>IF(21&lt;=DAY(DATE(YEAR(설정_코스수당!$K$2),MONTH(설정_코스수당!$K$2)+1,0)),DATE(YEAR(설정_코스수당!$K$2),MONTH(설정_코스수당!$K$2),21),"")</f>
        <v>46194</v>
      </c>
      <c r="C2105" s="31"/>
      <c r="D2105" s="29"/>
      <c r="E2105" s="29"/>
      <c r="F2105" s="32"/>
      <c r="G2105" s="29"/>
      <c r="H2105" s="29"/>
      <c r="I2105" s="29"/>
      <c r="J2105" s="33">
        <f>IF($O2105="방문완료",MAX(0,IFERROR(VLOOKUP($E2105,설정_코스수당!$A$6:$H$10,4,FALSE),0)-IF(OR($P2105="",$P2105="없음"),0,100000)),0)</f>
        <v>0</v>
      </c>
      <c r="K2105" s="33">
        <f t="array" ref="K2105">IF($O2105="방문완료",IFERROR(INDEX(설정_코스수당!$B$15:$F$64,MATCH($G2105,설정_코스수당!$A$15:$A$64,0),MATCH($E2105&amp;"수당",설정_코스수당!$B$14:$F$14,0)),0),0)</f>
        <v>0</v>
      </c>
      <c r="L2105" s="33">
        <f t="array" ref="L2105">IF($O2105="방문완료",IF($H2105="",0,IFERROR(INDEX(설정_코스수당!$B$15:$F$64,MATCH($H2105,설정_코스수당!$A$15:$A$64,0),MATCH($E2105&amp;"수당",설정_코스수당!$B$14:$F$14,0)),0)),0)</f>
        <v>0</v>
      </c>
      <c r="M2105" s="33">
        <f>IF($O2105="방문완료",IFERROR(VLOOKUP($E2105,설정_코스수당!$A$6:$H$10,6,FALSE),0),0)</f>
        <v>0</v>
      </c>
      <c r="N2105" s="34">
        <f t="shared" si="60"/>
        <v>0</v>
      </c>
      <c r="O2105" s="29"/>
      <c r="P2105" s="29"/>
      <c r="Q2105" s="29"/>
      <c r="R2105" s="32"/>
      <c r="S2105" s="29"/>
    </row>
    <row r="2106" spans="1:19" ht="19.5" hidden="1" customHeight="1" outlineLevel="1">
      <c r="A2106" s="23">
        <v>33</v>
      </c>
      <c r="B2106" s="24">
        <f>IF(21&lt;=DAY(DATE(YEAR(설정_코스수당!$K$2),MONTH(설정_코스수당!$K$2)+1,0)),DATE(YEAR(설정_코스수당!$K$2),MONTH(설정_코스수당!$K$2),21),"")</f>
        <v>46194</v>
      </c>
      <c r="C2106" s="25"/>
      <c r="D2106" s="23"/>
      <c r="E2106" s="23"/>
      <c r="F2106" s="26"/>
      <c r="G2106" s="23"/>
      <c r="H2106" s="23"/>
      <c r="I2106" s="23"/>
      <c r="J2106" s="27">
        <f>IF($O2106="방문완료",MAX(0,IFERROR(VLOOKUP($E2106,설정_코스수당!$A$6:$H$10,4,FALSE),0)-IF(OR($P2106="",$P2106="없음"),0,100000)),0)</f>
        <v>0</v>
      </c>
      <c r="K2106" s="27">
        <f t="array" ref="K2106">IF($O2106="방문완료",IFERROR(INDEX(설정_코스수당!$B$15:$F$64,MATCH($G2106,설정_코스수당!$A$15:$A$64,0),MATCH($E2106&amp;"수당",설정_코스수당!$B$14:$F$14,0)),0),0)</f>
        <v>0</v>
      </c>
      <c r="L2106" s="27">
        <f t="array" ref="L2106">IF($O2106="방문완료",IF($H2106="",0,IFERROR(INDEX(설정_코스수당!$B$15:$F$64,MATCH($H2106,설정_코스수당!$A$15:$A$64,0),MATCH($E2106&amp;"수당",설정_코스수당!$B$14:$F$14,0)),0)),0)</f>
        <v>0</v>
      </c>
      <c r="M2106" s="27">
        <f>IF($O2106="방문완료",IFERROR(VLOOKUP($E2106,설정_코스수당!$A$6:$H$10,6,FALSE),0),0)</f>
        <v>0</v>
      </c>
      <c r="N2106" s="28">
        <f t="shared" ref="N2106:N2137" si="61">IF($O2106="방문완료",1,0)</f>
        <v>0</v>
      </c>
      <c r="O2106" s="23"/>
      <c r="P2106" s="23"/>
      <c r="Q2106" s="23"/>
      <c r="R2106" s="26"/>
      <c r="S2106" s="23"/>
    </row>
    <row r="2107" spans="1:19" ht="19.5" hidden="1" customHeight="1" outlineLevel="1">
      <c r="A2107" s="29">
        <v>34</v>
      </c>
      <c r="B2107" s="30">
        <f>IF(21&lt;=DAY(DATE(YEAR(설정_코스수당!$K$2),MONTH(설정_코스수당!$K$2)+1,0)),DATE(YEAR(설정_코스수당!$K$2),MONTH(설정_코스수당!$K$2),21),"")</f>
        <v>46194</v>
      </c>
      <c r="C2107" s="31"/>
      <c r="D2107" s="29"/>
      <c r="E2107" s="29"/>
      <c r="F2107" s="32"/>
      <c r="G2107" s="29"/>
      <c r="H2107" s="29"/>
      <c r="I2107" s="29"/>
      <c r="J2107" s="33">
        <f>IF($O2107="방문완료",MAX(0,IFERROR(VLOOKUP($E2107,설정_코스수당!$A$6:$H$10,4,FALSE),0)-IF(OR($P2107="",$P2107="없음"),0,100000)),0)</f>
        <v>0</v>
      </c>
      <c r="K2107" s="33">
        <f t="array" ref="K2107">IF($O2107="방문완료",IFERROR(INDEX(설정_코스수당!$B$15:$F$64,MATCH($G2107,설정_코스수당!$A$15:$A$64,0),MATCH($E2107&amp;"수당",설정_코스수당!$B$14:$F$14,0)),0),0)</f>
        <v>0</v>
      </c>
      <c r="L2107" s="33">
        <f t="array" ref="L2107">IF($O2107="방문완료",IF($H2107="",0,IFERROR(INDEX(설정_코스수당!$B$15:$F$64,MATCH($H2107,설정_코스수당!$A$15:$A$64,0),MATCH($E2107&amp;"수당",설정_코스수당!$B$14:$F$14,0)),0)),0)</f>
        <v>0</v>
      </c>
      <c r="M2107" s="33">
        <f>IF($O2107="방문완료",IFERROR(VLOOKUP($E2107,설정_코스수당!$A$6:$H$10,6,FALSE),0),0)</f>
        <v>0</v>
      </c>
      <c r="N2107" s="34">
        <f t="shared" si="61"/>
        <v>0</v>
      </c>
      <c r="O2107" s="29"/>
      <c r="P2107" s="29"/>
      <c r="Q2107" s="29"/>
      <c r="R2107" s="32"/>
      <c r="S2107" s="29"/>
    </row>
    <row r="2108" spans="1:19" ht="19.5" hidden="1" customHeight="1" outlineLevel="1">
      <c r="A2108" s="23">
        <v>35</v>
      </c>
      <c r="B2108" s="24">
        <f>IF(21&lt;=DAY(DATE(YEAR(설정_코스수당!$K$2),MONTH(설정_코스수당!$K$2)+1,0)),DATE(YEAR(설정_코스수당!$K$2),MONTH(설정_코스수당!$K$2),21),"")</f>
        <v>46194</v>
      </c>
      <c r="C2108" s="25"/>
      <c r="D2108" s="23"/>
      <c r="E2108" s="23"/>
      <c r="F2108" s="26"/>
      <c r="G2108" s="23"/>
      <c r="H2108" s="23"/>
      <c r="I2108" s="23"/>
      <c r="J2108" s="27">
        <f>IF($O2108="방문완료",MAX(0,IFERROR(VLOOKUP($E2108,설정_코스수당!$A$6:$H$10,4,FALSE),0)-IF(OR($P2108="",$P2108="없음"),0,100000)),0)</f>
        <v>0</v>
      </c>
      <c r="K2108" s="27">
        <f t="array" ref="K2108">IF($O2108="방문완료",IFERROR(INDEX(설정_코스수당!$B$15:$F$64,MATCH($G2108,설정_코스수당!$A$15:$A$64,0),MATCH($E2108&amp;"수당",설정_코스수당!$B$14:$F$14,0)),0),0)</f>
        <v>0</v>
      </c>
      <c r="L2108" s="27">
        <f t="array" ref="L2108">IF($O2108="방문완료",IF($H2108="",0,IFERROR(INDEX(설정_코스수당!$B$15:$F$64,MATCH($H2108,설정_코스수당!$A$15:$A$64,0),MATCH($E2108&amp;"수당",설정_코스수당!$B$14:$F$14,0)),0)),0)</f>
        <v>0</v>
      </c>
      <c r="M2108" s="27">
        <f>IF($O2108="방문완료",IFERROR(VLOOKUP($E2108,설정_코스수당!$A$6:$H$10,6,FALSE),0),0)</f>
        <v>0</v>
      </c>
      <c r="N2108" s="28">
        <f t="shared" si="61"/>
        <v>0</v>
      </c>
      <c r="O2108" s="23"/>
      <c r="P2108" s="23"/>
      <c r="Q2108" s="23"/>
      <c r="R2108" s="26"/>
      <c r="S2108" s="23"/>
    </row>
    <row r="2109" spans="1:19" ht="19.5" hidden="1" customHeight="1" outlineLevel="1">
      <c r="A2109" s="29">
        <v>36</v>
      </c>
      <c r="B2109" s="30">
        <f>IF(21&lt;=DAY(DATE(YEAR(설정_코스수당!$K$2),MONTH(설정_코스수당!$K$2)+1,0)),DATE(YEAR(설정_코스수당!$K$2),MONTH(설정_코스수당!$K$2),21),"")</f>
        <v>46194</v>
      </c>
      <c r="C2109" s="31"/>
      <c r="D2109" s="29"/>
      <c r="E2109" s="29"/>
      <c r="F2109" s="32"/>
      <c r="G2109" s="29"/>
      <c r="H2109" s="29"/>
      <c r="I2109" s="29"/>
      <c r="J2109" s="33">
        <f>IF($O2109="방문완료",MAX(0,IFERROR(VLOOKUP($E2109,설정_코스수당!$A$6:$H$10,4,FALSE),0)-IF(OR($P2109="",$P2109="없음"),0,100000)),0)</f>
        <v>0</v>
      </c>
      <c r="K2109" s="33">
        <f t="array" ref="K2109">IF($O2109="방문완료",IFERROR(INDEX(설정_코스수당!$B$15:$F$64,MATCH($G2109,설정_코스수당!$A$15:$A$64,0),MATCH($E2109&amp;"수당",설정_코스수당!$B$14:$F$14,0)),0),0)</f>
        <v>0</v>
      </c>
      <c r="L2109" s="33">
        <f t="array" ref="L2109">IF($O2109="방문완료",IF($H2109="",0,IFERROR(INDEX(설정_코스수당!$B$15:$F$64,MATCH($H2109,설정_코스수당!$A$15:$A$64,0),MATCH($E2109&amp;"수당",설정_코스수당!$B$14:$F$14,0)),0)),0)</f>
        <v>0</v>
      </c>
      <c r="M2109" s="33">
        <f>IF($O2109="방문완료",IFERROR(VLOOKUP($E2109,설정_코스수당!$A$6:$H$10,6,FALSE),0),0)</f>
        <v>0</v>
      </c>
      <c r="N2109" s="34">
        <f t="shared" si="61"/>
        <v>0</v>
      </c>
      <c r="O2109" s="29"/>
      <c r="P2109" s="29"/>
      <c r="Q2109" s="29"/>
      <c r="R2109" s="32"/>
      <c r="S2109" s="29"/>
    </row>
    <row r="2110" spans="1:19" ht="19.5" hidden="1" customHeight="1" outlineLevel="1">
      <c r="A2110" s="23">
        <v>37</v>
      </c>
      <c r="B2110" s="24">
        <f>IF(21&lt;=DAY(DATE(YEAR(설정_코스수당!$K$2),MONTH(설정_코스수당!$K$2)+1,0)),DATE(YEAR(설정_코스수당!$K$2),MONTH(설정_코스수당!$K$2),21),"")</f>
        <v>46194</v>
      </c>
      <c r="C2110" s="25"/>
      <c r="D2110" s="23"/>
      <c r="E2110" s="23"/>
      <c r="F2110" s="26"/>
      <c r="G2110" s="23"/>
      <c r="H2110" s="23"/>
      <c r="I2110" s="23"/>
      <c r="J2110" s="27">
        <f>IF($O2110="방문완료",MAX(0,IFERROR(VLOOKUP($E2110,설정_코스수당!$A$6:$H$10,4,FALSE),0)-IF(OR($P2110="",$P2110="없음"),0,100000)),0)</f>
        <v>0</v>
      </c>
      <c r="K2110" s="27">
        <f t="array" ref="K2110">IF($O2110="방문완료",IFERROR(INDEX(설정_코스수당!$B$15:$F$64,MATCH($G2110,설정_코스수당!$A$15:$A$64,0),MATCH($E2110&amp;"수당",설정_코스수당!$B$14:$F$14,0)),0),0)</f>
        <v>0</v>
      </c>
      <c r="L2110" s="27">
        <f t="array" ref="L2110">IF($O2110="방문완료",IF($H2110="",0,IFERROR(INDEX(설정_코스수당!$B$15:$F$64,MATCH($H2110,설정_코스수당!$A$15:$A$64,0),MATCH($E2110&amp;"수당",설정_코스수당!$B$14:$F$14,0)),0)),0)</f>
        <v>0</v>
      </c>
      <c r="M2110" s="27">
        <f>IF($O2110="방문완료",IFERROR(VLOOKUP($E2110,설정_코스수당!$A$6:$H$10,6,FALSE),0),0)</f>
        <v>0</v>
      </c>
      <c r="N2110" s="28">
        <f t="shared" si="61"/>
        <v>0</v>
      </c>
      <c r="O2110" s="23"/>
      <c r="P2110" s="23"/>
      <c r="Q2110" s="23"/>
      <c r="R2110" s="26"/>
      <c r="S2110" s="23"/>
    </row>
    <row r="2111" spans="1:19" ht="19.5" hidden="1" customHeight="1" outlineLevel="1">
      <c r="A2111" s="29">
        <v>38</v>
      </c>
      <c r="B2111" s="30">
        <f>IF(21&lt;=DAY(DATE(YEAR(설정_코스수당!$K$2),MONTH(설정_코스수당!$K$2)+1,0)),DATE(YEAR(설정_코스수당!$K$2),MONTH(설정_코스수당!$K$2),21),"")</f>
        <v>46194</v>
      </c>
      <c r="C2111" s="31"/>
      <c r="D2111" s="29"/>
      <c r="E2111" s="29"/>
      <c r="F2111" s="32"/>
      <c r="G2111" s="29"/>
      <c r="H2111" s="29"/>
      <c r="I2111" s="29"/>
      <c r="J2111" s="33">
        <f>IF($O2111="방문완료",MAX(0,IFERROR(VLOOKUP($E2111,설정_코스수당!$A$6:$H$10,4,FALSE),0)-IF(OR($P2111="",$P2111="없음"),0,100000)),0)</f>
        <v>0</v>
      </c>
      <c r="K2111" s="33">
        <f t="array" ref="K2111">IF($O2111="방문완료",IFERROR(INDEX(설정_코스수당!$B$15:$F$64,MATCH($G2111,설정_코스수당!$A$15:$A$64,0),MATCH($E2111&amp;"수당",설정_코스수당!$B$14:$F$14,0)),0),0)</f>
        <v>0</v>
      </c>
      <c r="L2111" s="33">
        <f t="array" ref="L2111">IF($O2111="방문완료",IF($H2111="",0,IFERROR(INDEX(설정_코스수당!$B$15:$F$64,MATCH($H2111,설정_코스수당!$A$15:$A$64,0),MATCH($E2111&amp;"수당",설정_코스수당!$B$14:$F$14,0)),0)),0)</f>
        <v>0</v>
      </c>
      <c r="M2111" s="33">
        <f>IF($O2111="방문완료",IFERROR(VLOOKUP($E2111,설정_코스수당!$A$6:$H$10,6,FALSE),0),0)</f>
        <v>0</v>
      </c>
      <c r="N2111" s="34">
        <f t="shared" si="61"/>
        <v>0</v>
      </c>
      <c r="O2111" s="29"/>
      <c r="P2111" s="29"/>
      <c r="Q2111" s="29"/>
      <c r="R2111" s="32"/>
      <c r="S2111" s="29"/>
    </row>
    <row r="2112" spans="1:19" ht="19.5" hidden="1" customHeight="1" outlineLevel="1">
      <c r="A2112" s="23">
        <v>39</v>
      </c>
      <c r="B2112" s="24">
        <f>IF(21&lt;=DAY(DATE(YEAR(설정_코스수당!$K$2),MONTH(설정_코스수당!$K$2)+1,0)),DATE(YEAR(설정_코스수당!$K$2),MONTH(설정_코스수당!$K$2),21),"")</f>
        <v>46194</v>
      </c>
      <c r="C2112" s="25"/>
      <c r="D2112" s="23"/>
      <c r="E2112" s="23"/>
      <c r="F2112" s="26"/>
      <c r="G2112" s="23"/>
      <c r="H2112" s="23"/>
      <c r="I2112" s="23"/>
      <c r="J2112" s="27">
        <f>IF($O2112="방문완료",MAX(0,IFERROR(VLOOKUP($E2112,설정_코스수당!$A$6:$H$10,4,FALSE),0)-IF(OR($P2112="",$P2112="없음"),0,100000)),0)</f>
        <v>0</v>
      </c>
      <c r="K2112" s="27">
        <f t="array" ref="K2112">IF($O2112="방문완료",IFERROR(INDEX(설정_코스수당!$B$15:$F$64,MATCH($G2112,설정_코스수당!$A$15:$A$64,0),MATCH($E2112&amp;"수당",설정_코스수당!$B$14:$F$14,0)),0),0)</f>
        <v>0</v>
      </c>
      <c r="L2112" s="27">
        <f t="array" ref="L2112">IF($O2112="방문완료",IF($H2112="",0,IFERROR(INDEX(설정_코스수당!$B$15:$F$64,MATCH($H2112,설정_코스수당!$A$15:$A$64,0),MATCH($E2112&amp;"수당",설정_코스수당!$B$14:$F$14,0)),0)),0)</f>
        <v>0</v>
      </c>
      <c r="M2112" s="27">
        <f>IF($O2112="방문완료",IFERROR(VLOOKUP($E2112,설정_코스수당!$A$6:$H$10,6,FALSE),0),0)</f>
        <v>0</v>
      </c>
      <c r="N2112" s="28">
        <f t="shared" si="61"/>
        <v>0</v>
      </c>
      <c r="O2112" s="23"/>
      <c r="P2112" s="23"/>
      <c r="Q2112" s="23"/>
      <c r="R2112" s="26"/>
      <c r="S2112" s="23"/>
    </row>
    <row r="2113" spans="1:22" ht="19.5" hidden="1" customHeight="1" outlineLevel="1">
      <c r="A2113" s="29">
        <v>40</v>
      </c>
      <c r="B2113" s="30">
        <f>IF(21&lt;=DAY(DATE(YEAR(설정_코스수당!$K$2),MONTH(설정_코스수당!$K$2)+1,0)),DATE(YEAR(설정_코스수당!$K$2),MONTH(설정_코스수당!$K$2),21),"")</f>
        <v>46194</v>
      </c>
      <c r="C2113" s="31"/>
      <c r="D2113" s="29"/>
      <c r="E2113" s="29"/>
      <c r="F2113" s="32"/>
      <c r="G2113" s="29"/>
      <c r="H2113" s="29"/>
      <c r="I2113" s="29"/>
      <c r="J2113" s="33">
        <f>IF($O2113="방문완료",MAX(0,IFERROR(VLOOKUP($E2113,설정_코스수당!$A$6:$H$10,4,FALSE),0)-IF(OR($P2113="",$P2113="없음"),0,100000)),0)</f>
        <v>0</v>
      </c>
      <c r="K2113" s="33">
        <f t="array" ref="K2113">IF($O2113="방문완료",IFERROR(INDEX(설정_코스수당!$B$15:$F$64,MATCH($G2113,설정_코스수당!$A$15:$A$64,0),MATCH($E2113&amp;"수당",설정_코스수당!$B$14:$F$14,0)),0),0)</f>
        <v>0</v>
      </c>
      <c r="L2113" s="33">
        <f t="array" ref="L2113">IF($O2113="방문완료",IF($H2113="",0,IFERROR(INDEX(설정_코스수당!$B$15:$F$64,MATCH($H2113,설정_코스수당!$A$15:$A$64,0),MATCH($E2113&amp;"수당",설정_코스수당!$B$14:$F$14,0)),0)),0)</f>
        <v>0</v>
      </c>
      <c r="M2113" s="33">
        <f>IF($O2113="방문완료",IFERROR(VLOOKUP($E2113,설정_코스수당!$A$6:$H$10,6,FALSE),0),0)</f>
        <v>0</v>
      </c>
      <c r="N2113" s="34">
        <f t="shared" si="61"/>
        <v>0</v>
      </c>
      <c r="O2113" s="29"/>
      <c r="P2113" s="29"/>
      <c r="Q2113" s="29"/>
      <c r="R2113" s="32"/>
      <c r="S2113" s="29"/>
    </row>
    <row r="2114" spans="1:22" ht="19.5" hidden="1" customHeight="1" outlineLevel="1">
      <c r="A2114" s="23">
        <v>41</v>
      </c>
      <c r="B2114" s="24">
        <f>IF(21&lt;=DAY(DATE(YEAR(설정_코스수당!$K$2),MONTH(설정_코스수당!$K$2)+1,0)),DATE(YEAR(설정_코스수당!$K$2),MONTH(설정_코스수당!$K$2),21),"")</f>
        <v>46194</v>
      </c>
      <c r="C2114" s="25"/>
      <c r="D2114" s="23"/>
      <c r="E2114" s="23"/>
      <c r="F2114" s="26"/>
      <c r="G2114" s="23"/>
      <c r="H2114" s="23"/>
      <c r="I2114" s="23"/>
      <c r="J2114" s="27">
        <f>IF($O2114="방문완료",MAX(0,IFERROR(VLOOKUP($E2114,설정_코스수당!$A$6:$H$10,4,FALSE),0)-IF(OR($P2114="",$P2114="없음"),0,100000)),0)</f>
        <v>0</v>
      </c>
      <c r="K2114" s="27">
        <f t="array" ref="K2114">IF($O2114="방문완료",IFERROR(INDEX(설정_코스수당!$B$15:$F$64,MATCH($G2114,설정_코스수당!$A$15:$A$64,0),MATCH($E2114&amp;"수당",설정_코스수당!$B$14:$F$14,0)),0),0)</f>
        <v>0</v>
      </c>
      <c r="L2114" s="27">
        <f t="array" ref="L2114">IF($O2114="방문완료",IF($H2114="",0,IFERROR(INDEX(설정_코스수당!$B$15:$F$64,MATCH($H2114,설정_코스수당!$A$15:$A$64,0),MATCH($E2114&amp;"수당",설정_코스수당!$B$14:$F$14,0)),0)),0)</f>
        <v>0</v>
      </c>
      <c r="M2114" s="27">
        <f>IF($O2114="방문완료",IFERROR(VLOOKUP($E2114,설정_코스수당!$A$6:$H$10,6,FALSE),0),0)</f>
        <v>0</v>
      </c>
      <c r="N2114" s="28">
        <f t="shared" si="61"/>
        <v>0</v>
      </c>
      <c r="O2114" s="23"/>
      <c r="P2114" s="23"/>
      <c r="Q2114" s="23"/>
      <c r="R2114" s="26"/>
      <c r="S2114" s="23"/>
    </row>
    <row r="2115" spans="1:22" ht="19.5" hidden="1" customHeight="1" outlineLevel="1">
      <c r="A2115" s="29">
        <v>42</v>
      </c>
      <c r="B2115" s="30">
        <f>IF(21&lt;=DAY(DATE(YEAR(설정_코스수당!$K$2),MONTH(설정_코스수당!$K$2)+1,0)),DATE(YEAR(설정_코스수당!$K$2),MONTH(설정_코스수당!$K$2),21),"")</f>
        <v>46194</v>
      </c>
      <c r="C2115" s="31"/>
      <c r="D2115" s="29"/>
      <c r="E2115" s="29"/>
      <c r="F2115" s="32"/>
      <c r="G2115" s="29"/>
      <c r="H2115" s="29"/>
      <c r="I2115" s="29"/>
      <c r="J2115" s="33">
        <f>IF($O2115="방문완료",MAX(0,IFERROR(VLOOKUP($E2115,설정_코스수당!$A$6:$H$10,4,FALSE),0)-IF(OR($P2115="",$P2115="없음"),0,100000)),0)</f>
        <v>0</v>
      </c>
      <c r="K2115" s="33">
        <f t="array" ref="K2115">IF($O2115="방문완료",IFERROR(INDEX(설정_코스수당!$B$15:$F$64,MATCH($G2115,설정_코스수당!$A$15:$A$64,0),MATCH($E2115&amp;"수당",설정_코스수당!$B$14:$F$14,0)),0),0)</f>
        <v>0</v>
      </c>
      <c r="L2115" s="33">
        <f t="array" ref="L2115">IF($O2115="방문완료",IF($H2115="",0,IFERROR(INDEX(설정_코스수당!$B$15:$F$64,MATCH($H2115,설정_코스수당!$A$15:$A$64,0),MATCH($E2115&amp;"수당",설정_코스수당!$B$14:$F$14,0)),0)),0)</f>
        <v>0</v>
      </c>
      <c r="M2115" s="33">
        <f>IF($O2115="방문완료",IFERROR(VLOOKUP($E2115,설정_코스수당!$A$6:$H$10,6,FALSE),0),0)</f>
        <v>0</v>
      </c>
      <c r="N2115" s="34">
        <f t="shared" si="61"/>
        <v>0</v>
      </c>
      <c r="O2115" s="29"/>
      <c r="P2115" s="29"/>
      <c r="Q2115" s="29"/>
      <c r="R2115" s="32"/>
      <c r="S2115" s="29"/>
    </row>
    <row r="2116" spans="1:22" ht="19.5" hidden="1" customHeight="1" outlineLevel="1">
      <c r="A2116" s="23">
        <v>43</v>
      </c>
      <c r="B2116" s="24">
        <f>IF(21&lt;=DAY(DATE(YEAR(설정_코스수당!$K$2),MONTH(설정_코스수당!$K$2)+1,0)),DATE(YEAR(설정_코스수당!$K$2),MONTH(설정_코스수당!$K$2),21),"")</f>
        <v>46194</v>
      </c>
      <c r="C2116" s="25"/>
      <c r="D2116" s="23"/>
      <c r="E2116" s="23"/>
      <c r="F2116" s="26"/>
      <c r="G2116" s="23"/>
      <c r="H2116" s="23"/>
      <c r="I2116" s="23"/>
      <c r="J2116" s="27">
        <f>IF($O2116="방문완료",MAX(0,IFERROR(VLOOKUP($E2116,설정_코스수당!$A$6:$H$10,4,FALSE),0)-IF(OR($P2116="",$P2116="없음"),0,100000)),0)</f>
        <v>0</v>
      </c>
      <c r="K2116" s="27">
        <f t="array" ref="K2116">IF($O2116="방문완료",IFERROR(INDEX(설정_코스수당!$B$15:$F$64,MATCH($G2116,설정_코스수당!$A$15:$A$64,0),MATCH($E2116&amp;"수당",설정_코스수당!$B$14:$F$14,0)),0),0)</f>
        <v>0</v>
      </c>
      <c r="L2116" s="27">
        <f t="array" ref="L2116">IF($O2116="방문완료",IF($H2116="",0,IFERROR(INDEX(설정_코스수당!$B$15:$F$64,MATCH($H2116,설정_코스수당!$A$15:$A$64,0),MATCH($E2116&amp;"수당",설정_코스수당!$B$14:$F$14,0)),0)),0)</f>
        <v>0</v>
      </c>
      <c r="M2116" s="27">
        <f>IF($O2116="방문완료",IFERROR(VLOOKUP($E2116,설정_코스수당!$A$6:$H$10,6,FALSE),0),0)</f>
        <v>0</v>
      </c>
      <c r="N2116" s="28">
        <f t="shared" si="61"/>
        <v>0</v>
      </c>
      <c r="O2116" s="23"/>
      <c r="P2116" s="23"/>
      <c r="Q2116" s="23"/>
      <c r="R2116" s="26"/>
      <c r="S2116" s="23"/>
    </row>
    <row r="2117" spans="1:22" ht="19.5" hidden="1" customHeight="1" outlineLevel="1">
      <c r="A2117" s="29">
        <v>44</v>
      </c>
      <c r="B2117" s="30">
        <f>IF(21&lt;=DAY(DATE(YEAR(설정_코스수당!$K$2),MONTH(설정_코스수당!$K$2)+1,0)),DATE(YEAR(설정_코스수당!$K$2),MONTH(설정_코스수당!$K$2),21),"")</f>
        <v>46194</v>
      </c>
      <c r="C2117" s="31"/>
      <c r="D2117" s="29"/>
      <c r="E2117" s="29"/>
      <c r="F2117" s="32"/>
      <c r="G2117" s="29"/>
      <c r="H2117" s="29"/>
      <c r="I2117" s="29"/>
      <c r="J2117" s="33">
        <f>IF($O2117="방문완료",MAX(0,IFERROR(VLOOKUP($E2117,설정_코스수당!$A$6:$H$10,4,FALSE),0)-IF(OR($P2117="",$P2117="없음"),0,100000)),0)</f>
        <v>0</v>
      </c>
      <c r="K2117" s="33">
        <f t="array" ref="K2117">IF($O2117="방문완료",IFERROR(INDEX(설정_코스수당!$B$15:$F$64,MATCH($G2117,설정_코스수당!$A$15:$A$64,0),MATCH($E2117&amp;"수당",설정_코스수당!$B$14:$F$14,0)),0),0)</f>
        <v>0</v>
      </c>
      <c r="L2117" s="33">
        <f t="array" ref="L2117">IF($O2117="방문완료",IF($H2117="",0,IFERROR(INDEX(설정_코스수당!$B$15:$F$64,MATCH($H2117,설정_코스수당!$A$15:$A$64,0),MATCH($E2117&amp;"수당",설정_코스수당!$B$14:$F$14,0)),0)),0)</f>
        <v>0</v>
      </c>
      <c r="M2117" s="33">
        <f>IF($O2117="방문완료",IFERROR(VLOOKUP($E2117,설정_코스수당!$A$6:$H$10,6,FALSE),0),0)</f>
        <v>0</v>
      </c>
      <c r="N2117" s="34">
        <f t="shared" si="61"/>
        <v>0</v>
      </c>
      <c r="O2117" s="29"/>
      <c r="P2117" s="29"/>
      <c r="Q2117" s="29"/>
      <c r="R2117" s="32"/>
      <c r="S2117" s="29"/>
    </row>
    <row r="2118" spans="1:22" ht="19.5" hidden="1" customHeight="1" outlineLevel="1">
      <c r="A2118" s="23">
        <v>45</v>
      </c>
      <c r="B2118" s="24">
        <f>IF(21&lt;=DAY(DATE(YEAR(설정_코스수당!$K$2),MONTH(설정_코스수당!$K$2)+1,0)),DATE(YEAR(설정_코스수당!$K$2),MONTH(설정_코스수당!$K$2),21),"")</f>
        <v>46194</v>
      </c>
      <c r="C2118" s="25"/>
      <c r="D2118" s="23"/>
      <c r="E2118" s="23"/>
      <c r="F2118" s="26"/>
      <c r="G2118" s="23"/>
      <c r="H2118" s="23"/>
      <c r="I2118" s="23"/>
      <c r="J2118" s="27">
        <f>IF($O2118="방문완료",MAX(0,IFERROR(VLOOKUP($E2118,설정_코스수당!$A$6:$H$10,4,FALSE),0)-IF(OR($P2118="",$P2118="없음"),0,100000)),0)</f>
        <v>0</v>
      </c>
      <c r="K2118" s="27">
        <f t="array" ref="K2118">IF($O2118="방문완료",IFERROR(INDEX(설정_코스수당!$B$15:$F$64,MATCH($G2118,설정_코스수당!$A$15:$A$64,0),MATCH($E2118&amp;"수당",설정_코스수당!$B$14:$F$14,0)),0),0)</f>
        <v>0</v>
      </c>
      <c r="L2118" s="27">
        <f t="array" ref="L2118">IF($O2118="방문완료",IF($H2118="",0,IFERROR(INDEX(설정_코스수당!$B$15:$F$64,MATCH($H2118,설정_코스수당!$A$15:$A$64,0),MATCH($E2118&amp;"수당",설정_코스수당!$B$14:$F$14,0)),0)),0)</f>
        <v>0</v>
      </c>
      <c r="M2118" s="27">
        <f>IF($O2118="방문완료",IFERROR(VLOOKUP($E2118,설정_코스수당!$A$6:$H$10,6,FALSE),0),0)</f>
        <v>0</v>
      </c>
      <c r="N2118" s="28">
        <f t="shared" si="61"/>
        <v>0</v>
      </c>
      <c r="O2118" s="23"/>
      <c r="P2118" s="23"/>
      <c r="Q2118" s="23"/>
      <c r="R2118" s="26"/>
      <c r="S2118" s="23"/>
    </row>
    <row r="2119" spans="1:22" ht="19.5" hidden="1" customHeight="1" outlineLevel="1">
      <c r="A2119" s="29">
        <v>46</v>
      </c>
      <c r="B2119" s="30">
        <f>IF(21&lt;=DAY(DATE(YEAR(설정_코스수당!$K$2),MONTH(설정_코스수당!$K$2)+1,0)),DATE(YEAR(설정_코스수당!$K$2),MONTH(설정_코스수당!$K$2),21),"")</f>
        <v>46194</v>
      </c>
      <c r="C2119" s="31"/>
      <c r="D2119" s="29"/>
      <c r="E2119" s="29"/>
      <c r="F2119" s="32"/>
      <c r="G2119" s="29"/>
      <c r="H2119" s="29"/>
      <c r="I2119" s="29"/>
      <c r="J2119" s="33">
        <f>IF($O2119="방문완료",MAX(0,IFERROR(VLOOKUP($E2119,설정_코스수당!$A$6:$H$10,4,FALSE),0)-IF(OR($P2119="",$P2119="없음"),0,100000)),0)</f>
        <v>0</v>
      </c>
      <c r="K2119" s="33">
        <f t="array" ref="K2119">IF($O2119="방문완료",IFERROR(INDEX(설정_코스수당!$B$15:$F$64,MATCH($G2119,설정_코스수당!$A$15:$A$64,0),MATCH($E2119&amp;"수당",설정_코스수당!$B$14:$F$14,0)),0),0)</f>
        <v>0</v>
      </c>
      <c r="L2119" s="33">
        <f t="array" ref="L2119">IF($O2119="방문완료",IF($H2119="",0,IFERROR(INDEX(설정_코스수당!$B$15:$F$64,MATCH($H2119,설정_코스수당!$A$15:$A$64,0),MATCH($E2119&amp;"수당",설정_코스수당!$B$14:$F$14,0)),0)),0)</f>
        <v>0</v>
      </c>
      <c r="M2119" s="33">
        <f>IF($O2119="방문완료",IFERROR(VLOOKUP($E2119,설정_코스수당!$A$6:$H$10,6,FALSE),0),0)</f>
        <v>0</v>
      </c>
      <c r="N2119" s="34">
        <f t="shared" si="61"/>
        <v>0</v>
      </c>
      <c r="O2119" s="29"/>
      <c r="P2119" s="29"/>
      <c r="Q2119" s="29"/>
      <c r="R2119" s="32"/>
      <c r="S2119" s="29"/>
    </row>
    <row r="2120" spans="1:22" ht="19.5" hidden="1" customHeight="1" outlineLevel="1">
      <c r="A2120" s="23">
        <v>47</v>
      </c>
      <c r="B2120" s="24">
        <f>IF(21&lt;=DAY(DATE(YEAR(설정_코스수당!$K$2),MONTH(설정_코스수당!$K$2)+1,0)),DATE(YEAR(설정_코스수당!$K$2),MONTH(설정_코스수당!$K$2),21),"")</f>
        <v>46194</v>
      </c>
      <c r="C2120" s="25"/>
      <c r="D2120" s="23"/>
      <c r="E2120" s="23"/>
      <c r="F2120" s="26"/>
      <c r="G2120" s="23"/>
      <c r="H2120" s="23"/>
      <c r="I2120" s="23"/>
      <c r="J2120" s="27">
        <f>IF($O2120="방문완료",MAX(0,IFERROR(VLOOKUP($E2120,설정_코스수당!$A$6:$H$10,4,FALSE),0)-IF(OR($P2120="",$P2120="없음"),0,100000)),0)</f>
        <v>0</v>
      </c>
      <c r="K2120" s="27">
        <f t="array" ref="K2120">IF($O2120="방문완료",IFERROR(INDEX(설정_코스수당!$B$15:$F$64,MATCH($G2120,설정_코스수당!$A$15:$A$64,0),MATCH($E2120&amp;"수당",설정_코스수당!$B$14:$F$14,0)),0),0)</f>
        <v>0</v>
      </c>
      <c r="L2120" s="27">
        <f t="array" ref="L2120">IF($O2120="방문완료",IF($H2120="",0,IFERROR(INDEX(설정_코스수당!$B$15:$F$64,MATCH($H2120,설정_코스수당!$A$15:$A$64,0),MATCH($E2120&amp;"수당",설정_코스수당!$B$14:$F$14,0)),0)),0)</f>
        <v>0</v>
      </c>
      <c r="M2120" s="27">
        <f>IF($O2120="방문완료",IFERROR(VLOOKUP($E2120,설정_코스수당!$A$6:$H$10,6,FALSE),0),0)</f>
        <v>0</v>
      </c>
      <c r="N2120" s="28">
        <f t="shared" si="61"/>
        <v>0</v>
      </c>
      <c r="O2120" s="23"/>
      <c r="P2120" s="23"/>
      <c r="Q2120" s="23"/>
      <c r="R2120" s="26"/>
      <c r="S2120" s="23"/>
      <c r="U2120" s="16" t="s">
        <v>72</v>
      </c>
      <c r="V2120" s="17">
        <f>IF(22&lt;=DAY(DATE(YEAR(설정_코스수당!$K$2),MONTH(설정_코스수당!$K$2)+1,0)),COUNTIFS($B:$B,DATE(YEAR(설정_코스수당!$K$2),MONTH(설정_코스수당!$K$2),22),$O:$O,"방문완료",$P:$P,"&lt;&gt;",$P:$P,"&lt;&gt;없음")*100000,"")</f>
        <v>0</v>
      </c>
    </row>
    <row r="2121" spans="1:22" ht="19.5" hidden="1" customHeight="1" outlineLevel="1">
      <c r="A2121" s="29">
        <v>48</v>
      </c>
      <c r="B2121" s="30">
        <f>IF(21&lt;=DAY(DATE(YEAR(설정_코스수당!$K$2),MONTH(설정_코스수당!$K$2)+1,0)),DATE(YEAR(설정_코스수당!$K$2),MONTH(설정_코스수당!$K$2),21),"")</f>
        <v>46194</v>
      </c>
      <c r="C2121" s="31"/>
      <c r="D2121" s="29"/>
      <c r="E2121" s="29"/>
      <c r="F2121" s="32"/>
      <c r="G2121" s="29"/>
      <c r="H2121" s="29"/>
      <c r="I2121" s="29"/>
      <c r="J2121" s="33">
        <f>IF($O2121="방문완료",MAX(0,IFERROR(VLOOKUP($E2121,설정_코스수당!$A$6:$H$10,4,FALSE),0)-IF(OR($P2121="",$P2121="없음"),0,100000)),0)</f>
        <v>0</v>
      </c>
      <c r="K2121" s="33">
        <f t="array" ref="K2121">IF($O2121="방문완료",IFERROR(INDEX(설정_코스수당!$B$15:$F$64,MATCH($G2121,설정_코스수당!$A$15:$A$64,0),MATCH($E2121&amp;"수당",설정_코스수당!$B$14:$F$14,0)),0),0)</f>
        <v>0</v>
      </c>
      <c r="L2121" s="33">
        <f t="array" ref="L2121">IF($O2121="방문완료",IF($H2121="",0,IFERROR(INDEX(설정_코스수당!$B$15:$F$64,MATCH($H2121,설정_코스수당!$A$15:$A$64,0),MATCH($E2121&amp;"수당",설정_코스수당!$B$14:$F$14,0)),0)),0)</f>
        <v>0</v>
      </c>
      <c r="M2121" s="33">
        <f>IF($O2121="방문완료",IFERROR(VLOOKUP($E2121,설정_코스수당!$A$6:$H$10,6,FALSE),0),0)</f>
        <v>0</v>
      </c>
      <c r="N2121" s="34">
        <f t="shared" si="61"/>
        <v>0</v>
      </c>
      <c r="O2121" s="29"/>
      <c r="P2121" s="29"/>
      <c r="Q2121" s="29"/>
      <c r="R2121" s="32"/>
      <c r="S2121" s="29"/>
    </row>
    <row r="2122" spans="1:22" ht="19.5" hidden="1" customHeight="1" outlineLevel="1">
      <c r="A2122" s="23">
        <v>49</v>
      </c>
      <c r="B2122" s="24">
        <f>IF(21&lt;=DAY(DATE(YEAR(설정_코스수당!$K$2),MONTH(설정_코스수당!$K$2)+1,0)),DATE(YEAR(설정_코스수당!$K$2),MONTH(설정_코스수당!$K$2),21),"")</f>
        <v>46194</v>
      </c>
      <c r="C2122" s="25"/>
      <c r="D2122" s="23"/>
      <c r="E2122" s="23"/>
      <c r="F2122" s="26"/>
      <c r="G2122" s="23"/>
      <c r="H2122" s="23"/>
      <c r="I2122" s="23"/>
      <c r="J2122" s="27">
        <f>IF($O2122="방문완료",MAX(0,IFERROR(VLOOKUP($E2122,설정_코스수당!$A$6:$H$10,4,FALSE),0)-IF(OR($P2122="",$P2122="없음"),0,100000)),0)</f>
        <v>0</v>
      </c>
      <c r="K2122" s="27">
        <f t="array" ref="K2122">IF($O2122="방문완료",IFERROR(INDEX(설정_코스수당!$B$15:$F$64,MATCH($G2122,설정_코스수당!$A$15:$A$64,0),MATCH($E2122&amp;"수당",설정_코스수당!$B$14:$F$14,0)),0),0)</f>
        <v>0</v>
      </c>
      <c r="L2122" s="27">
        <f t="array" ref="L2122">IF($O2122="방문완료",IF($H2122="",0,IFERROR(INDEX(설정_코스수당!$B$15:$F$64,MATCH($H2122,설정_코스수당!$A$15:$A$64,0),MATCH($E2122&amp;"수당",설정_코스수당!$B$14:$F$14,0)),0)),0)</f>
        <v>0</v>
      </c>
      <c r="M2122" s="27">
        <f>IF($O2122="방문완료",IFERROR(VLOOKUP($E2122,설정_코스수당!$A$6:$H$10,6,FALSE),0),0)</f>
        <v>0</v>
      </c>
      <c r="N2122" s="28">
        <f t="shared" si="61"/>
        <v>0</v>
      </c>
      <c r="O2122" s="23"/>
      <c r="P2122" s="23"/>
      <c r="Q2122" s="23"/>
      <c r="R2122" s="26"/>
      <c r="S2122" s="23"/>
    </row>
    <row r="2123" spans="1:22" ht="19.5" hidden="1" customHeight="1" outlineLevel="1">
      <c r="A2123" s="29">
        <v>50</v>
      </c>
      <c r="B2123" s="30">
        <f>IF(21&lt;=DAY(DATE(YEAR(설정_코스수당!$K$2),MONTH(설정_코스수당!$K$2)+1,0)),DATE(YEAR(설정_코스수당!$K$2),MONTH(설정_코스수당!$K$2),21),"")</f>
        <v>46194</v>
      </c>
      <c r="C2123" s="31"/>
      <c r="D2123" s="29"/>
      <c r="E2123" s="29"/>
      <c r="F2123" s="32"/>
      <c r="G2123" s="29"/>
      <c r="H2123" s="29"/>
      <c r="I2123" s="29"/>
      <c r="J2123" s="33">
        <f>IF($O2123="방문완료",MAX(0,IFERROR(VLOOKUP($E2123,설정_코스수당!$A$6:$H$10,4,FALSE),0)-IF(OR($P2123="",$P2123="없음"),0,100000)),0)</f>
        <v>0</v>
      </c>
      <c r="K2123" s="33">
        <f t="array" ref="K2123">IF($O2123="방문완료",IFERROR(INDEX(설정_코스수당!$B$15:$F$64,MATCH($G2123,설정_코스수당!$A$15:$A$64,0),MATCH($E2123&amp;"수당",설정_코스수당!$B$14:$F$14,0)),0),0)</f>
        <v>0</v>
      </c>
      <c r="L2123" s="33">
        <f t="array" ref="L2123">IF($O2123="방문완료",IF($H2123="",0,IFERROR(INDEX(설정_코스수당!$B$15:$F$64,MATCH($H2123,설정_코스수당!$A$15:$A$64,0),MATCH($E2123&amp;"수당",설정_코스수당!$B$14:$F$14,0)),0)),0)</f>
        <v>0</v>
      </c>
      <c r="M2123" s="33">
        <f>IF($O2123="방문완료",IFERROR(VLOOKUP($E2123,설정_코스수당!$A$6:$H$10,6,FALSE),0),0)</f>
        <v>0</v>
      </c>
      <c r="N2123" s="34">
        <f t="shared" si="61"/>
        <v>0</v>
      </c>
      <c r="O2123" s="29"/>
      <c r="P2123" s="29"/>
      <c r="Q2123" s="29"/>
      <c r="R2123" s="32"/>
      <c r="S2123" s="29"/>
    </row>
    <row r="2124" spans="1:22" ht="19.5" hidden="1" customHeight="1" outlineLevel="1">
      <c r="A2124" s="23">
        <v>51</v>
      </c>
      <c r="B2124" s="24">
        <f>IF(21&lt;=DAY(DATE(YEAR(설정_코스수당!$K$2),MONTH(설정_코스수당!$K$2)+1,0)),DATE(YEAR(설정_코스수당!$K$2),MONTH(설정_코스수당!$K$2),21),"")</f>
        <v>46194</v>
      </c>
      <c r="C2124" s="25"/>
      <c r="D2124" s="23"/>
      <c r="E2124" s="23"/>
      <c r="F2124" s="26"/>
      <c r="G2124" s="23"/>
      <c r="H2124" s="23"/>
      <c r="I2124" s="23"/>
      <c r="J2124" s="27">
        <f>IF($O2124="방문완료",MAX(0,IFERROR(VLOOKUP($E2124,설정_코스수당!$A$6:$H$10,4,FALSE),0)-IF(OR($P2124="",$P2124="없음"),0,100000)),0)</f>
        <v>0</v>
      </c>
      <c r="K2124" s="27">
        <f t="array" ref="K2124">IF($O2124="방문완료",IFERROR(INDEX(설정_코스수당!$B$15:$F$64,MATCH($G2124,설정_코스수당!$A$15:$A$64,0),MATCH($E2124&amp;"수당",설정_코스수당!$B$14:$F$14,0)),0),0)</f>
        <v>0</v>
      </c>
      <c r="L2124" s="27">
        <f t="array" ref="L2124">IF($O2124="방문완료",IF($H2124="",0,IFERROR(INDEX(설정_코스수당!$B$15:$F$64,MATCH($H2124,설정_코스수당!$A$15:$A$64,0),MATCH($E2124&amp;"수당",설정_코스수당!$B$14:$F$14,0)),0)),0)</f>
        <v>0</v>
      </c>
      <c r="M2124" s="27">
        <f>IF($O2124="방문완료",IFERROR(VLOOKUP($E2124,설정_코스수당!$A$6:$H$10,6,FALSE),0),0)</f>
        <v>0</v>
      </c>
      <c r="N2124" s="28">
        <f t="shared" si="61"/>
        <v>0</v>
      </c>
      <c r="O2124" s="23"/>
      <c r="P2124" s="23"/>
      <c r="Q2124" s="23"/>
      <c r="R2124" s="26"/>
      <c r="S2124" s="23"/>
    </row>
    <row r="2125" spans="1:22" ht="19.5" hidden="1" customHeight="1" outlineLevel="1">
      <c r="A2125" s="29">
        <v>52</v>
      </c>
      <c r="B2125" s="30">
        <f>IF(21&lt;=DAY(DATE(YEAR(설정_코스수당!$K$2),MONTH(설정_코스수당!$K$2)+1,0)),DATE(YEAR(설정_코스수당!$K$2),MONTH(설정_코스수당!$K$2),21),"")</f>
        <v>46194</v>
      </c>
      <c r="C2125" s="31"/>
      <c r="D2125" s="29"/>
      <c r="E2125" s="29"/>
      <c r="F2125" s="32"/>
      <c r="G2125" s="29"/>
      <c r="H2125" s="29"/>
      <c r="I2125" s="29"/>
      <c r="J2125" s="33">
        <f>IF($O2125="방문완료",MAX(0,IFERROR(VLOOKUP($E2125,설정_코스수당!$A$6:$H$10,4,FALSE),0)-IF(OR($P2125="",$P2125="없음"),0,100000)),0)</f>
        <v>0</v>
      </c>
      <c r="K2125" s="33">
        <f t="array" ref="K2125">IF($O2125="방문완료",IFERROR(INDEX(설정_코스수당!$B$15:$F$64,MATCH($G2125,설정_코스수당!$A$15:$A$64,0),MATCH($E2125&amp;"수당",설정_코스수당!$B$14:$F$14,0)),0),0)</f>
        <v>0</v>
      </c>
      <c r="L2125" s="33">
        <f t="array" ref="L2125">IF($O2125="방문완료",IF($H2125="",0,IFERROR(INDEX(설정_코스수당!$B$15:$F$64,MATCH($H2125,설정_코스수당!$A$15:$A$64,0),MATCH($E2125&amp;"수당",설정_코스수당!$B$14:$F$14,0)),0)),0)</f>
        <v>0</v>
      </c>
      <c r="M2125" s="33">
        <f>IF($O2125="방문완료",IFERROR(VLOOKUP($E2125,설정_코스수당!$A$6:$H$10,6,FALSE),0),0)</f>
        <v>0</v>
      </c>
      <c r="N2125" s="34">
        <f t="shared" si="61"/>
        <v>0</v>
      </c>
      <c r="O2125" s="29"/>
      <c r="P2125" s="29"/>
      <c r="Q2125" s="29"/>
      <c r="R2125" s="32"/>
      <c r="S2125" s="29"/>
    </row>
    <row r="2126" spans="1:22" ht="19.5" hidden="1" customHeight="1" outlineLevel="1">
      <c r="A2126" s="23">
        <v>53</v>
      </c>
      <c r="B2126" s="24">
        <f>IF(21&lt;=DAY(DATE(YEAR(설정_코스수당!$K$2),MONTH(설정_코스수당!$K$2)+1,0)),DATE(YEAR(설정_코스수당!$K$2),MONTH(설정_코스수당!$K$2),21),"")</f>
        <v>46194</v>
      </c>
      <c r="C2126" s="25"/>
      <c r="D2126" s="23"/>
      <c r="E2126" s="23"/>
      <c r="F2126" s="26"/>
      <c r="G2126" s="23"/>
      <c r="H2126" s="23"/>
      <c r="I2126" s="23"/>
      <c r="J2126" s="27">
        <f>IF($O2126="방문완료",MAX(0,IFERROR(VLOOKUP($E2126,설정_코스수당!$A$6:$H$10,4,FALSE),0)-IF(OR($P2126="",$P2126="없음"),0,100000)),0)</f>
        <v>0</v>
      </c>
      <c r="K2126" s="27">
        <f t="array" ref="K2126">IF($O2126="방문완료",IFERROR(INDEX(설정_코스수당!$B$15:$F$64,MATCH($G2126,설정_코스수당!$A$15:$A$64,0),MATCH($E2126&amp;"수당",설정_코스수당!$B$14:$F$14,0)),0),0)</f>
        <v>0</v>
      </c>
      <c r="L2126" s="27">
        <f t="array" ref="L2126">IF($O2126="방문완료",IF($H2126="",0,IFERROR(INDEX(설정_코스수당!$B$15:$F$64,MATCH($H2126,설정_코스수당!$A$15:$A$64,0),MATCH($E2126&amp;"수당",설정_코스수당!$B$14:$F$14,0)),0)),0)</f>
        <v>0</v>
      </c>
      <c r="M2126" s="27">
        <f>IF($O2126="방문완료",IFERROR(VLOOKUP($E2126,설정_코스수당!$A$6:$H$10,6,FALSE),0),0)</f>
        <v>0</v>
      </c>
      <c r="N2126" s="28">
        <f t="shared" si="61"/>
        <v>0</v>
      </c>
      <c r="O2126" s="23"/>
      <c r="P2126" s="23"/>
      <c r="Q2126" s="23"/>
      <c r="R2126" s="26"/>
      <c r="S2126" s="23"/>
    </row>
    <row r="2127" spans="1:22" ht="19.5" hidden="1" customHeight="1" outlineLevel="1">
      <c r="A2127" s="29">
        <v>54</v>
      </c>
      <c r="B2127" s="30">
        <f>IF(21&lt;=DAY(DATE(YEAR(설정_코스수당!$K$2),MONTH(설정_코스수당!$K$2)+1,0)),DATE(YEAR(설정_코스수당!$K$2),MONTH(설정_코스수당!$K$2),21),"")</f>
        <v>46194</v>
      </c>
      <c r="C2127" s="31"/>
      <c r="D2127" s="29"/>
      <c r="E2127" s="29"/>
      <c r="F2127" s="32"/>
      <c r="G2127" s="29"/>
      <c r="H2127" s="29"/>
      <c r="I2127" s="29"/>
      <c r="J2127" s="33">
        <f>IF($O2127="방문완료",MAX(0,IFERROR(VLOOKUP($E2127,설정_코스수당!$A$6:$H$10,4,FALSE),0)-IF(OR($P2127="",$P2127="없음"),0,100000)),0)</f>
        <v>0</v>
      </c>
      <c r="K2127" s="33">
        <f t="array" ref="K2127">IF($O2127="방문완료",IFERROR(INDEX(설정_코스수당!$B$15:$F$64,MATCH($G2127,설정_코스수당!$A$15:$A$64,0),MATCH($E2127&amp;"수당",설정_코스수당!$B$14:$F$14,0)),0),0)</f>
        <v>0</v>
      </c>
      <c r="L2127" s="33">
        <f t="array" ref="L2127">IF($O2127="방문완료",IF($H2127="",0,IFERROR(INDEX(설정_코스수당!$B$15:$F$64,MATCH($H2127,설정_코스수당!$A$15:$A$64,0),MATCH($E2127&amp;"수당",설정_코스수당!$B$14:$F$14,0)),0)),0)</f>
        <v>0</v>
      </c>
      <c r="M2127" s="33">
        <f>IF($O2127="방문완료",IFERROR(VLOOKUP($E2127,설정_코스수당!$A$6:$H$10,6,FALSE),0),0)</f>
        <v>0</v>
      </c>
      <c r="N2127" s="34">
        <f t="shared" si="61"/>
        <v>0</v>
      </c>
      <c r="O2127" s="29"/>
      <c r="P2127" s="29"/>
      <c r="Q2127" s="29"/>
      <c r="R2127" s="32"/>
      <c r="S2127" s="29"/>
    </row>
    <row r="2128" spans="1:22" ht="19.5" hidden="1" customHeight="1" outlineLevel="1">
      <c r="A2128" s="23">
        <v>55</v>
      </c>
      <c r="B2128" s="24">
        <f>IF(21&lt;=DAY(DATE(YEAR(설정_코스수당!$K$2),MONTH(설정_코스수당!$K$2)+1,0)),DATE(YEAR(설정_코스수당!$K$2),MONTH(설정_코스수당!$K$2),21),"")</f>
        <v>46194</v>
      </c>
      <c r="C2128" s="25"/>
      <c r="D2128" s="23"/>
      <c r="E2128" s="23"/>
      <c r="F2128" s="26"/>
      <c r="G2128" s="23"/>
      <c r="H2128" s="23"/>
      <c r="I2128" s="23"/>
      <c r="J2128" s="27">
        <f>IF($O2128="방문완료",MAX(0,IFERROR(VLOOKUP($E2128,설정_코스수당!$A$6:$H$10,4,FALSE),0)-IF(OR($P2128="",$P2128="없음"),0,100000)),0)</f>
        <v>0</v>
      </c>
      <c r="K2128" s="27">
        <f t="array" ref="K2128">IF($O2128="방문완료",IFERROR(INDEX(설정_코스수당!$B$15:$F$64,MATCH($G2128,설정_코스수당!$A$15:$A$64,0),MATCH($E2128&amp;"수당",설정_코스수당!$B$14:$F$14,0)),0),0)</f>
        <v>0</v>
      </c>
      <c r="L2128" s="27">
        <f t="array" ref="L2128">IF($O2128="방문완료",IF($H2128="",0,IFERROR(INDEX(설정_코스수당!$B$15:$F$64,MATCH($H2128,설정_코스수당!$A$15:$A$64,0),MATCH($E2128&amp;"수당",설정_코스수당!$B$14:$F$14,0)),0)),0)</f>
        <v>0</v>
      </c>
      <c r="M2128" s="27">
        <f>IF($O2128="방문완료",IFERROR(VLOOKUP($E2128,설정_코스수당!$A$6:$H$10,6,FALSE),0),0)</f>
        <v>0</v>
      </c>
      <c r="N2128" s="28">
        <f t="shared" si="61"/>
        <v>0</v>
      </c>
      <c r="O2128" s="23"/>
      <c r="P2128" s="23"/>
      <c r="Q2128" s="23"/>
      <c r="R2128" s="26"/>
      <c r="S2128" s="23"/>
    </row>
    <row r="2129" spans="1:19" ht="19.5" hidden="1" customHeight="1" outlineLevel="1">
      <c r="A2129" s="29">
        <v>56</v>
      </c>
      <c r="B2129" s="30">
        <f>IF(21&lt;=DAY(DATE(YEAR(설정_코스수당!$K$2),MONTH(설정_코스수당!$K$2)+1,0)),DATE(YEAR(설정_코스수당!$K$2),MONTH(설정_코스수당!$K$2),21),"")</f>
        <v>46194</v>
      </c>
      <c r="C2129" s="31"/>
      <c r="D2129" s="29"/>
      <c r="E2129" s="29"/>
      <c r="F2129" s="32"/>
      <c r="G2129" s="29"/>
      <c r="H2129" s="29"/>
      <c r="I2129" s="29"/>
      <c r="J2129" s="33">
        <f>IF($O2129="방문완료",MAX(0,IFERROR(VLOOKUP($E2129,설정_코스수당!$A$6:$H$10,4,FALSE),0)-IF(OR($P2129="",$P2129="없음"),0,100000)),0)</f>
        <v>0</v>
      </c>
      <c r="K2129" s="33">
        <f t="array" ref="K2129">IF($O2129="방문완료",IFERROR(INDEX(설정_코스수당!$B$15:$F$64,MATCH($G2129,설정_코스수당!$A$15:$A$64,0),MATCH($E2129&amp;"수당",설정_코스수당!$B$14:$F$14,0)),0),0)</f>
        <v>0</v>
      </c>
      <c r="L2129" s="33">
        <f t="array" ref="L2129">IF($O2129="방문완료",IF($H2129="",0,IFERROR(INDEX(설정_코스수당!$B$15:$F$64,MATCH($H2129,설정_코스수당!$A$15:$A$64,0),MATCH($E2129&amp;"수당",설정_코스수당!$B$14:$F$14,0)),0)),0)</f>
        <v>0</v>
      </c>
      <c r="M2129" s="33">
        <f>IF($O2129="방문완료",IFERROR(VLOOKUP($E2129,설정_코스수당!$A$6:$H$10,6,FALSE),0),0)</f>
        <v>0</v>
      </c>
      <c r="N2129" s="34">
        <f t="shared" si="61"/>
        <v>0</v>
      </c>
      <c r="O2129" s="29"/>
      <c r="P2129" s="29"/>
      <c r="Q2129" s="29"/>
      <c r="R2129" s="32"/>
      <c r="S2129" s="29"/>
    </row>
    <row r="2130" spans="1:19" ht="19.5" hidden="1" customHeight="1" outlineLevel="1">
      <c r="A2130" s="23">
        <v>57</v>
      </c>
      <c r="B2130" s="24">
        <f>IF(21&lt;=DAY(DATE(YEAR(설정_코스수당!$K$2),MONTH(설정_코스수당!$K$2)+1,0)),DATE(YEAR(설정_코스수당!$K$2),MONTH(설정_코스수당!$K$2),21),"")</f>
        <v>46194</v>
      </c>
      <c r="C2130" s="25"/>
      <c r="D2130" s="23"/>
      <c r="E2130" s="23"/>
      <c r="F2130" s="26"/>
      <c r="G2130" s="23"/>
      <c r="H2130" s="23"/>
      <c r="I2130" s="23"/>
      <c r="J2130" s="27">
        <f>IF($O2130="방문완료",MAX(0,IFERROR(VLOOKUP($E2130,설정_코스수당!$A$6:$H$10,4,FALSE),0)-IF(OR($P2130="",$P2130="없음"),0,100000)),0)</f>
        <v>0</v>
      </c>
      <c r="K2130" s="27">
        <f t="array" ref="K2130">IF($O2130="방문완료",IFERROR(INDEX(설정_코스수당!$B$15:$F$64,MATCH($G2130,설정_코스수당!$A$15:$A$64,0),MATCH($E2130&amp;"수당",설정_코스수당!$B$14:$F$14,0)),0),0)</f>
        <v>0</v>
      </c>
      <c r="L2130" s="27">
        <f t="array" ref="L2130">IF($O2130="방문완료",IF($H2130="",0,IFERROR(INDEX(설정_코스수당!$B$15:$F$64,MATCH($H2130,설정_코스수당!$A$15:$A$64,0),MATCH($E2130&amp;"수당",설정_코스수당!$B$14:$F$14,0)),0)),0)</f>
        <v>0</v>
      </c>
      <c r="M2130" s="27">
        <f>IF($O2130="방문완료",IFERROR(VLOOKUP($E2130,설정_코스수당!$A$6:$H$10,6,FALSE),0),0)</f>
        <v>0</v>
      </c>
      <c r="N2130" s="28">
        <f t="shared" si="61"/>
        <v>0</v>
      </c>
      <c r="O2130" s="23"/>
      <c r="P2130" s="23"/>
      <c r="Q2130" s="23"/>
      <c r="R2130" s="26"/>
      <c r="S2130" s="23"/>
    </row>
    <row r="2131" spans="1:19" ht="19.5" hidden="1" customHeight="1" outlineLevel="1">
      <c r="A2131" s="29">
        <v>58</v>
      </c>
      <c r="B2131" s="30">
        <f>IF(21&lt;=DAY(DATE(YEAR(설정_코스수당!$K$2),MONTH(설정_코스수당!$K$2)+1,0)),DATE(YEAR(설정_코스수당!$K$2),MONTH(설정_코스수당!$K$2),21),"")</f>
        <v>46194</v>
      </c>
      <c r="C2131" s="31"/>
      <c r="D2131" s="29"/>
      <c r="E2131" s="29"/>
      <c r="F2131" s="32"/>
      <c r="G2131" s="29"/>
      <c r="H2131" s="29"/>
      <c r="I2131" s="29"/>
      <c r="J2131" s="33">
        <f>IF($O2131="방문완료",MAX(0,IFERROR(VLOOKUP($E2131,설정_코스수당!$A$6:$H$10,4,FALSE),0)-IF(OR($P2131="",$P2131="없음"),0,100000)),0)</f>
        <v>0</v>
      </c>
      <c r="K2131" s="33">
        <f t="array" ref="K2131">IF($O2131="방문완료",IFERROR(INDEX(설정_코스수당!$B$15:$F$64,MATCH($G2131,설정_코스수당!$A$15:$A$64,0),MATCH($E2131&amp;"수당",설정_코스수당!$B$14:$F$14,0)),0),0)</f>
        <v>0</v>
      </c>
      <c r="L2131" s="33">
        <f t="array" ref="L2131">IF($O2131="방문완료",IF($H2131="",0,IFERROR(INDEX(설정_코스수당!$B$15:$F$64,MATCH($H2131,설정_코스수당!$A$15:$A$64,0),MATCH($E2131&amp;"수당",설정_코스수당!$B$14:$F$14,0)),0)),0)</f>
        <v>0</v>
      </c>
      <c r="M2131" s="33">
        <f>IF($O2131="방문완료",IFERROR(VLOOKUP($E2131,설정_코스수당!$A$6:$H$10,6,FALSE),0),0)</f>
        <v>0</v>
      </c>
      <c r="N2131" s="34">
        <f t="shared" si="61"/>
        <v>0</v>
      </c>
      <c r="O2131" s="29"/>
      <c r="P2131" s="29"/>
      <c r="Q2131" s="29"/>
      <c r="R2131" s="32"/>
      <c r="S2131" s="29"/>
    </row>
    <row r="2132" spans="1:19" ht="19.5" hidden="1" customHeight="1" outlineLevel="1">
      <c r="A2132" s="23">
        <v>59</v>
      </c>
      <c r="B2132" s="24">
        <f>IF(21&lt;=DAY(DATE(YEAR(설정_코스수당!$K$2),MONTH(설정_코스수당!$K$2)+1,0)),DATE(YEAR(설정_코스수당!$K$2),MONTH(설정_코스수당!$K$2),21),"")</f>
        <v>46194</v>
      </c>
      <c r="C2132" s="25"/>
      <c r="D2132" s="23"/>
      <c r="E2132" s="23"/>
      <c r="F2132" s="26"/>
      <c r="G2132" s="23"/>
      <c r="H2132" s="23"/>
      <c r="I2132" s="23"/>
      <c r="J2132" s="27">
        <f>IF($O2132="방문완료",MAX(0,IFERROR(VLOOKUP($E2132,설정_코스수당!$A$6:$H$10,4,FALSE),0)-IF(OR($P2132="",$P2132="없음"),0,100000)),0)</f>
        <v>0</v>
      </c>
      <c r="K2132" s="27">
        <f t="array" ref="K2132">IF($O2132="방문완료",IFERROR(INDEX(설정_코스수당!$B$15:$F$64,MATCH($G2132,설정_코스수당!$A$15:$A$64,0),MATCH($E2132&amp;"수당",설정_코스수당!$B$14:$F$14,0)),0),0)</f>
        <v>0</v>
      </c>
      <c r="L2132" s="27">
        <f t="array" ref="L2132">IF($O2132="방문완료",IF($H2132="",0,IFERROR(INDEX(설정_코스수당!$B$15:$F$64,MATCH($H2132,설정_코스수당!$A$15:$A$64,0),MATCH($E2132&amp;"수당",설정_코스수당!$B$14:$F$14,0)),0)),0)</f>
        <v>0</v>
      </c>
      <c r="M2132" s="27">
        <f>IF($O2132="방문완료",IFERROR(VLOOKUP($E2132,설정_코스수당!$A$6:$H$10,6,FALSE),0),0)</f>
        <v>0</v>
      </c>
      <c r="N2132" s="28">
        <f t="shared" si="61"/>
        <v>0</v>
      </c>
      <c r="O2132" s="23"/>
      <c r="P2132" s="23"/>
      <c r="Q2132" s="23"/>
      <c r="R2132" s="26"/>
      <c r="S2132" s="23"/>
    </row>
    <row r="2133" spans="1:19" ht="19.5" hidden="1" customHeight="1" outlineLevel="1">
      <c r="A2133" s="29">
        <v>60</v>
      </c>
      <c r="B2133" s="30">
        <f>IF(21&lt;=DAY(DATE(YEAR(설정_코스수당!$K$2),MONTH(설정_코스수당!$K$2)+1,0)),DATE(YEAR(설정_코스수당!$K$2),MONTH(설정_코스수당!$K$2),21),"")</f>
        <v>46194</v>
      </c>
      <c r="C2133" s="31"/>
      <c r="D2133" s="29"/>
      <c r="E2133" s="29"/>
      <c r="F2133" s="32"/>
      <c r="G2133" s="29"/>
      <c r="H2133" s="29"/>
      <c r="I2133" s="29"/>
      <c r="J2133" s="33">
        <f>IF($O2133="방문완료",MAX(0,IFERROR(VLOOKUP($E2133,설정_코스수당!$A$6:$H$10,4,FALSE),0)-IF(OR($P2133="",$P2133="없음"),0,100000)),0)</f>
        <v>0</v>
      </c>
      <c r="K2133" s="33">
        <f t="array" ref="K2133">IF($O2133="방문완료",IFERROR(INDEX(설정_코스수당!$B$15:$F$64,MATCH($G2133,설정_코스수당!$A$15:$A$64,0),MATCH($E2133&amp;"수당",설정_코스수당!$B$14:$F$14,0)),0),0)</f>
        <v>0</v>
      </c>
      <c r="L2133" s="33">
        <f t="array" ref="L2133">IF($O2133="방문완료",IF($H2133="",0,IFERROR(INDEX(설정_코스수당!$B$15:$F$64,MATCH($H2133,설정_코스수당!$A$15:$A$64,0),MATCH($E2133&amp;"수당",설정_코스수당!$B$14:$F$14,0)),0)),0)</f>
        <v>0</v>
      </c>
      <c r="M2133" s="33">
        <f>IF($O2133="방문완료",IFERROR(VLOOKUP($E2133,설정_코스수당!$A$6:$H$10,6,FALSE),0),0)</f>
        <v>0</v>
      </c>
      <c r="N2133" s="34">
        <f t="shared" si="61"/>
        <v>0</v>
      </c>
      <c r="O2133" s="29"/>
      <c r="P2133" s="29"/>
      <c r="Q2133" s="29"/>
      <c r="R2133" s="32"/>
      <c r="S2133" s="29"/>
    </row>
    <row r="2134" spans="1:19" ht="19.5" hidden="1" customHeight="1" outlineLevel="1">
      <c r="A2134" s="23">
        <v>61</v>
      </c>
      <c r="B2134" s="24">
        <f>IF(21&lt;=DAY(DATE(YEAR(설정_코스수당!$K$2),MONTH(설정_코스수당!$K$2)+1,0)),DATE(YEAR(설정_코스수당!$K$2),MONTH(설정_코스수당!$K$2),21),"")</f>
        <v>46194</v>
      </c>
      <c r="C2134" s="25"/>
      <c r="D2134" s="23"/>
      <c r="E2134" s="23"/>
      <c r="F2134" s="26"/>
      <c r="G2134" s="23"/>
      <c r="H2134" s="23"/>
      <c r="I2134" s="23"/>
      <c r="J2134" s="27">
        <f>IF($O2134="방문완료",MAX(0,IFERROR(VLOOKUP($E2134,설정_코스수당!$A$6:$H$10,4,FALSE),0)-IF(OR($P2134="",$P2134="없음"),0,100000)),0)</f>
        <v>0</v>
      </c>
      <c r="K2134" s="27">
        <f t="array" ref="K2134">IF($O2134="방문완료",IFERROR(INDEX(설정_코스수당!$B$15:$F$64,MATCH($G2134,설정_코스수당!$A$15:$A$64,0),MATCH($E2134&amp;"수당",설정_코스수당!$B$14:$F$14,0)),0),0)</f>
        <v>0</v>
      </c>
      <c r="L2134" s="27">
        <f t="array" ref="L2134">IF($O2134="방문완료",IF($H2134="",0,IFERROR(INDEX(설정_코스수당!$B$15:$F$64,MATCH($H2134,설정_코스수당!$A$15:$A$64,0),MATCH($E2134&amp;"수당",설정_코스수당!$B$14:$F$14,0)),0)),0)</f>
        <v>0</v>
      </c>
      <c r="M2134" s="27">
        <f>IF($O2134="방문완료",IFERROR(VLOOKUP($E2134,설정_코스수당!$A$6:$H$10,6,FALSE),0),0)</f>
        <v>0</v>
      </c>
      <c r="N2134" s="28">
        <f t="shared" si="61"/>
        <v>0</v>
      </c>
      <c r="O2134" s="23"/>
      <c r="P2134" s="23"/>
      <c r="Q2134" s="23"/>
      <c r="R2134" s="26"/>
      <c r="S2134" s="23"/>
    </row>
    <row r="2135" spans="1:19" ht="19.5" hidden="1" customHeight="1" outlineLevel="1">
      <c r="A2135" s="29">
        <v>62</v>
      </c>
      <c r="B2135" s="30">
        <f>IF(21&lt;=DAY(DATE(YEAR(설정_코스수당!$K$2),MONTH(설정_코스수당!$K$2)+1,0)),DATE(YEAR(설정_코스수당!$K$2),MONTH(설정_코스수당!$K$2),21),"")</f>
        <v>46194</v>
      </c>
      <c r="C2135" s="31"/>
      <c r="D2135" s="29"/>
      <c r="E2135" s="29"/>
      <c r="F2135" s="32"/>
      <c r="G2135" s="29"/>
      <c r="H2135" s="29"/>
      <c r="I2135" s="29"/>
      <c r="J2135" s="33">
        <f>IF($O2135="방문완료",MAX(0,IFERROR(VLOOKUP($E2135,설정_코스수당!$A$6:$H$10,4,FALSE),0)-IF(OR($P2135="",$P2135="없음"),0,100000)),0)</f>
        <v>0</v>
      </c>
      <c r="K2135" s="33">
        <f t="array" ref="K2135">IF($O2135="방문완료",IFERROR(INDEX(설정_코스수당!$B$15:$F$64,MATCH($G2135,설정_코스수당!$A$15:$A$64,0),MATCH($E2135&amp;"수당",설정_코스수당!$B$14:$F$14,0)),0),0)</f>
        <v>0</v>
      </c>
      <c r="L2135" s="33">
        <f t="array" ref="L2135">IF($O2135="방문완료",IF($H2135="",0,IFERROR(INDEX(설정_코스수당!$B$15:$F$64,MATCH($H2135,설정_코스수당!$A$15:$A$64,0),MATCH($E2135&amp;"수당",설정_코스수당!$B$14:$F$14,0)),0)),0)</f>
        <v>0</v>
      </c>
      <c r="M2135" s="33">
        <f>IF($O2135="방문완료",IFERROR(VLOOKUP($E2135,설정_코스수당!$A$6:$H$10,6,FALSE),0),0)</f>
        <v>0</v>
      </c>
      <c r="N2135" s="34">
        <f t="shared" si="61"/>
        <v>0</v>
      </c>
      <c r="O2135" s="29"/>
      <c r="P2135" s="29"/>
      <c r="Q2135" s="29"/>
      <c r="R2135" s="32"/>
      <c r="S2135" s="29"/>
    </row>
    <row r="2136" spans="1:19" ht="19.5" hidden="1" customHeight="1" outlineLevel="1">
      <c r="A2136" s="23">
        <v>63</v>
      </c>
      <c r="B2136" s="24">
        <f>IF(21&lt;=DAY(DATE(YEAR(설정_코스수당!$K$2),MONTH(설정_코스수당!$K$2)+1,0)),DATE(YEAR(설정_코스수당!$K$2),MONTH(설정_코스수당!$K$2),21),"")</f>
        <v>46194</v>
      </c>
      <c r="C2136" s="25"/>
      <c r="D2136" s="23"/>
      <c r="E2136" s="23"/>
      <c r="F2136" s="26"/>
      <c r="G2136" s="23"/>
      <c r="H2136" s="23"/>
      <c r="I2136" s="23"/>
      <c r="J2136" s="27">
        <f>IF($O2136="방문완료",MAX(0,IFERROR(VLOOKUP($E2136,설정_코스수당!$A$6:$H$10,4,FALSE),0)-IF(OR($P2136="",$P2136="없음"),0,100000)),0)</f>
        <v>0</v>
      </c>
      <c r="K2136" s="27">
        <f t="array" ref="K2136">IF($O2136="방문완료",IFERROR(INDEX(설정_코스수당!$B$15:$F$64,MATCH($G2136,설정_코스수당!$A$15:$A$64,0),MATCH($E2136&amp;"수당",설정_코스수당!$B$14:$F$14,0)),0),0)</f>
        <v>0</v>
      </c>
      <c r="L2136" s="27">
        <f t="array" ref="L2136">IF($O2136="방문완료",IF($H2136="",0,IFERROR(INDEX(설정_코스수당!$B$15:$F$64,MATCH($H2136,설정_코스수당!$A$15:$A$64,0),MATCH($E2136&amp;"수당",설정_코스수당!$B$14:$F$14,0)),0)),0)</f>
        <v>0</v>
      </c>
      <c r="M2136" s="27">
        <f>IF($O2136="방문완료",IFERROR(VLOOKUP($E2136,설정_코스수당!$A$6:$H$10,6,FALSE),0),0)</f>
        <v>0</v>
      </c>
      <c r="N2136" s="28">
        <f t="shared" si="61"/>
        <v>0</v>
      </c>
      <c r="O2136" s="23"/>
      <c r="P2136" s="23"/>
      <c r="Q2136" s="23"/>
      <c r="R2136" s="26"/>
      <c r="S2136" s="23"/>
    </row>
    <row r="2137" spans="1:19" ht="19.5" hidden="1" customHeight="1" outlineLevel="1">
      <c r="A2137" s="29">
        <v>64</v>
      </c>
      <c r="B2137" s="30">
        <f>IF(21&lt;=DAY(DATE(YEAR(설정_코스수당!$K$2),MONTH(설정_코스수당!$K$2)+1,0)),DATE(YEAR(설정_코스수당!$K$2),MONTH(설정_코스수당!$K$2),21),"")</f>
        <v>46194</v>
      </c>
      <c r="C2137" s="31"/>
      <c r="D2137" s="29"/>
      <c r="E2137" s="29"/>
      <c r="F2137" s="32"/>
      <c r="G2137" s="29"/>
      <c r="H2137" s="29"/>
      <c r="I2137" s="29"/>
      <c r="J2137" s="33">
        <f>IF($O2137="방문완료",MAX(0,IFERROR(VLOOKUP($E2137,설정_코스수당!$A$6:$H$10,4,FALSE),0)-IF(OR($P2137="",$P2137="없음"),0,100000)),0)</f>
        <v>0</v>
      </c>
      <c r="K2137" s="33">
        <f t="array" ref="K2137">IF($O2137="방문완료",IFERROR(INDEX(설정_코스수당!$B$15:$F$64,MATCH($G2137,설정_코스수당!$A$15:$A$64,0),MATCH($E2137&amp;"수당",설정_코스수당!$B$14:$F$14,0)),0),0)</f>
        <v>0</v>
      </c>
      <c r="L2137" s="33">
        <f t="array" ref="L2137">IF($O2137="방문완료",IF($H2137="",0,IFERROR(INDEX(설정_코스수당!$B$15:$F$64,MATCH($H2137,설정_코스수당!$A$15:$A$64,0),MATCH($E2137&amp;"수당",설정_코스수당!$B$14:$F$14,0)),0)),0)</f>
        <v>0</v>
      </c>
      <c r="M2137" s="33">
        <f>IF($O2137="방문완료",IFERROR(VLOOKUP($E2137,설정_코스수당!$A$6:$H$10,6,FALSE),0),0)</f>
        <v>0</v>
      </c>
      <c r="N2137" s="34">
        <f t="shared" si="61"/>
        <v>0</v>
      </c>
      <c r="O2137" s="29"/>
      <c r="P2137" s="29"/>
      <c r="Q2137" s="29"/>
      <c r="R2137" s="32"/>
      <c r="S2137" s="29"/>
    </row>
    <row r="2138" spans="1:19" ht="19.5" hidden="1" customHeight="1" outlineLevel="1">
      <c r="A2138" s="23">
        <v>65</v>
      </c>
      <c r="B2138" s="24">
        <f>IF(21&lt;=DAY(DATE(YEAR(설정_코스수당!$K$2),MONTH(설정_코스수당!$K$2)+1,0)),DATE(YEAR(설정_코스수당!$K$2),MONTH(설정_코스수당!$K$2),21),"")</f>
        <v>46194</v>
      </c>
      <c r="C2138" s="25"/>
      <c r="D2138" s="23"/>
      <c r="E2138" s="23"/>
      <c r="F2138" s="26"/>
      <c r="G2138" s="23"/>
      <c r="H2138" s="23"/>
      <c r="I2138" s="23"/>
      <c r="J2138" s="27">
        <f>IF($O2138="방문완료",MAX(0,IFERROR(VLOOKUP($E2138,설정_코스수당!$A$6:$H$10,4,FALSE),0)-IF(OR($P2138="",$P2138="없음"),0,100000)),0)</f>
        <v>0</v>
      </c>
      <c r="K2138" s="27">
        <f t="array" ref="K2138">IF($O2138="방문완료",IFERROR(INDEX(설정_코스수당!$B$15:$F$64,MATCH($G2138,설정_코스수당!$A$15:$A$64,0),MATCH($E2138&amp;"수당",설정_코스수당!$B$14:$F$14,0)),0),0)</f>
        <v>0</v>
      </c>
      <c r="L2138" s="27">
        <f t="array" ref="L2138">IF($O2138="방문완료",IF($H2138="",0,IFERROR(INDEX(설정_코스수당!$B$15:$F$64,MATCH($H2138,설정_코스수당!$A$15:$A$64,0),MATCH($E2138&amp;"수당",설정_코스수당!$B$14:$F$14,0)),0)),0)</f>
        <v>0</v>
      </c>
      <c r="M2138" s="27">
        <f>IF($O2138="방문완료",IFERROR(VLOOKUP($E2138,설정_코스수당!$A$6:$H$10,6,FALSE),0),0)</f>
        <v>0</v>
      </c>
      <c r="N2138" s="28">
        <f t="shared" ref="N2138:N2173" si="62">IF($O2138="방문완료",1,0)</f>
        <v>0</v>
      </c>
      <c r="O2138" s="23"/>
      <c r="P2138" s="23"/>
      <c r="Q2138" s="23"/>
      <c r="R2138" s="26"/>
      <c r="S2138" s="23"/>
    </row>
    <row r="2139" spans="1:19" ht="19.5" hidden="1" customHeight="1" outlineLevel="1">
      <c r="A2139" s="29">
        <v>66</v>
      </c>
      <c r="B2139" s="30">
        <f>IF(21&lt;=DAY(DATE(YEAR(설정_코스수당!$K$2),MONTH(설정_코스수당!$K$2)+1,0)),DATE(YEAR(설정_코스수당!$K$2),MONTH(설정_코스수당!$K$2),21),"")</f>
        <v>46194</v>
      </c>
      <c r="C2139" s="31"/>
      <c r="D2139" s="29"/>
      <c r="E2139" s="29"/>
      <c r="F2139" s="32"/>
      <c r="G2139" s="29"/>
      <c r="H2139" s="29"/>
      <c r="I2139" s="29"/>
      <c r="J2139" s="33">
        <f>IF($O2139="방문완료",MAX(0,IFERROR(VLOOKUP($E2139,설정_코스수당!$A$6:$H$10,4,FALSE),0)-IF(OR($P2139="",$P2139="없음"),0,100000)),0)</f>
        <v>0</v>
      </c>
      <c r="K2139" s="33">
        <f t="array" ref="K2139">IF($O2139="방문완료",IFERROR(INDEX(설정_코스수당!$B$15:$F$64,MATCH($G2139,설정_코스수당!$A$15:$A$64,0),MATCH($E2139&amp;"수당",설정_코스수당!$B$14:$F$14,0)),0),0)</f>
        <v>0</v>
      </c>
      <c r="L2139" s="33">
        <f t="array" ref="L2139">IF($O2139="방문완료",IF($H2139="",0,IFERROR(INDEX(설정_코스수당!$B$15:$F$64,MATCH($H2139,설정_코스수당!$A$15:$A$64,0),MATCH($E2139&amp;"수당",설정_코스수당!$B$14:$F$14,0)),0)),0)</f>
        <v>0</v>
      </c>
      <c r="M2139" s="33">
        <f>IF($O2139="방문완료",IFERROR(VLOOKUP($E2139,설정_코스수당!$A$6:$H$10,6,FALSE),0),0)</f>
        <v>0</v>
      </c>
      <c r="N2139" s="34">
        <f t="shared" si="62"/>
        <v>0</v>
      </c>
      <c r="O2139" s="29"/>
      <c r="P2139" s="29"/>
      <c r="Q2139" s="29"/>
      <c r="R2139" s="32"/>
      <c r="S2139" s="29"/>
    </row>
    <row r="2140" spans="1:19" ht="19.5" hidden="1" customHeight="1" outlineLevel="1">
      <c r="A2140" s="23">
        <v>67</v>
      </c>
      <c r="B2140" s="24">
        <f>IF(21&lt;=DAY(DATE(YEAR(설정_코스수당!$K$2),MONTH(설정_코스수당!$K$2)+1,0)),DATE(YEAR(설정_코스수당!$K$2),MONTH(설정_코스수당!$K$2),21),"")</f>
        <v>46194</v>
      </c>
      <c r="C2140" s="25"/>
      <c r="D2140" s="23"/>
      <c r="E2140" s="23"/>
      <c r="F2140" s="26"/>
      <c r="G2140" s="23"/>
      <c r="H2140" s="23"/>
      <c r="I2140" s="23"/>
      <c r="J2140" s="27">
        <f>IF($O2140="방문완료",MAX(0,IFERROR(VLOOKUP($E2140,설정_코스수당!$A$6:$H$10,4,FALSE),0)-IF(OR($P2140="",$P2140="없음"),0,100000)),0)</f>
        <v>0</v>
      </c>
      <c r="K2140" s="27">
        <f t="array" ref="K2140">IF($O2140="방문완료",IFERROR(INDEX(설정_코스수당!$B$15:$F$64,MATCH($G2140,설정_코스수당!$A$15:$A$64,0),MATCH($E2140&amp;"수당",설정_코스수당!$B$14:$F$14,0)),0),0)</f>
        <v>0</v>
      </c>
      <c r="L2140" s="27">
        <f t="array" ref="L2140">IF($O2140="방문완료",IF($H2140="",0,IFERROR(INDEX(설정_코스수당!$B$15:$F$64,MATCH($H2140,설정_코스수당!$A$15:$A$64,0),MATCH($E2140&amp;"수당",설정_코스수당!$B$14:$F$14,0)),0)),0)</f>
        <v>0</v>
      </c>
      <c r="M2140" s="27">
        <f>IF($O2140="방문완료",IFERROR(VLOOKUP($E2140,설정_코스수당!$A$6:$H$10,6,FALSE),0),0)</f>
        <v>0</v>
      </c>
      <c r="N2140" s="28">
        <f t="shared" si="62"/>
        <v>0</v>
      </c>
      <c r="O2140" s="23"/>
      <c r="P2140" s="23"/>
      <c r="Q2140" s="23"/>
      <c r="R2140" s="26"/>
      <c r="S2140" s="23"/>
    </row>
    <row r="2141" spans="1:19" ht="19.5" hidden="1" customHeight="1" outlineLevel="1">
      <c r="A2141" s="29">
        <v>68</v>
      </c>
      <c r="B2141" s="30">
        <f>IF(21&lt;=DAY(DATE(YEAR(설정_코스수당!$K$2),MONTH(설정_코스수당!$K$2)+1,0)),DATE(YEAR(설정_코스수당!$K$2),MONTH(설정_코스수당!$K$2),21),"")</f>
        <v>46194</v>
      </c>
      <c r="C2141" s="31"/>
      <c r="D2141" s="29"/>
      <c r="E2141" s="29"/>
      <c r="F2141" s="32"/>
      <c r="G2141" s="29"/>
      <c r="H2141" s="29"/>
      <c r="I2141" s="29"/>
      <c r="J2141" s="33">
        <f>IF($O2141="방문완료",MAX(0,IFERROR(VLOOKUP($E2141,설정_코스수당!$A$6:$H$10,4,FALSE),0)-IF(OR($P2141="",$P2141="없음"),0,100000)),0)</f>
        <v>0</v>
      </c>
      <c r="K2141" s="33">
        <f t="array" ref="K2141">IF($O2141="방문완료",IFERROR(INDEX(설정_코스수당!$B$15:$F$64,MATCH($G2141,설정_코스수당!$A$15:$A$64,0),MATCH($E2141&amp;"수당",설정_코스수당!$B$14:$F$14,0)),0),0)</f>
        <v>0</v>
      </c>
      <c r="L2141" s="33">
        <f t="array" ref="L2141">IF($O2141="방문완료",IF($H2141="",0,IFERROR(INDEX(설정_코스수당!$B$15:$F$64,MATCH($H2141,설정_코스수당!$A$15:$A$64,0),MATCH($E2141&amp;"수당",설정_코스수당!$B$14:$F$14,0)),0)),0)</f>
        <v>0</v>
      </c>
      <c r="M2141" s="33">
        <f>IF($O2141="방문완료",IFERROR(VLOOKUP($E2141,설정_코스수당!$A$6:$H$10,6,FALSE),0),0)</f>
        <v>0</v>
      </c>
      <c r="N2141" s="34">
        <f t="shared" si="62"/>
        <v>0</v>
      </c>
      <c r="O2141" s="29"/>
      <c r="P2141" s="29"/>
      <c r="Q2141" s="29"/>
      <c r="R2141" s="32"/>
      <c r="S2141" s="29"/>
    </row>
    <row r="2142" spans="1:19" ht="19.5" hidden="1" customHeight="1" outlineLevel="1">
      <c r="A2142" s="23">
        <v>69</v>
      </c>
      <c r="B2142" s="24">
        <f>IF(21&lt;=DAY(DATE(YEAR(설정_코스수당!$K$2),MONTH(설정_코스수당!$K$2)+1,0)),DATE(YEAR(설정_코스수당!$K$2),MONTH(설정_코스수당!$K$2),21),"")</f>
        <v>46194</v>
      </c>
      <c r="C2142" s="25"/>
      <c r="D2142" s="23"/>
      <c r="E2142" s="23"/>
      <c r="F2142" s="26"/>
      <c r="G2142" s="23"/>
      <c r="H2142" s="23"/>
      <c r="I2142" s="23"/>
      <c r="J2142" s="27">
        <f>IF($O2142="방문완료",MAX(0,IFERROR(VLOOKUP($E2142,설정_코스수당!$A$6:$H$10,4,FALSE),0)-IF(OR($P2142="",$P2142="없음"),0,100000)),0)</f>
        <v>0</v>
      </c>
      <c r="K2142" s="27">
        <f t="array" ref="K2142">IF($O2142="방문완료",IFERROR(INDEX(설정_코스수당!$B$15:$F$64,MATCH($G2142,설정_코스수당!$A$15:$A$64,0),MATCH($E2142&amp;"수당",설정_코스수당!$B$14:$F$14,0)),0),0)</f>
        <v>0</v>
      </c>
      <c r="L2142" s="27">
        <f t="array" ref="L2142">IF($O2142="방문완료",IF($H2142="",0,IFERROR(INDEX(설정_코스수당!$B$15:$F$64,MATCH($H2142,설정_코스수당!$A$15:$A$64,0),MATCH($E2142&amp;"수당",설정_코스수당!$B$14:$F$14,0)),0)),0)</f>
        <v>0</v>
      </c>
      <c r="M2142" s="27">
        <f>IF($O2142="방문완료",IFERROR(VLOOKUP($E2142,설정_코스수당!$A$6:$H$10,6,FALSE),0),0)</f>
        <v>0</v>
      </c>
      <c r="N2142" s="28">
        <f t="shared" si="62"/>
        <v>0</v>
      </c>
      <c r="O2142" s="23"/>
      <c r="P2142" s="23"/>
      <c r="Q2142" s="23"/>
      <c r="R2142" s="26"/>
      <c r="S2142" s="23"/>
    </row>
    <row r="2143" spans="1:19" ht="19.5" hidden="1" customHeight="1" outlineLevel="1">
      <c r="A2143" s="29">
        <v>70</v>
      </c>
      <c r="B2143" s="30">
        <f>IF(21&lt;=DAY(DATE(YEAR(설정_코스수당!$K$2),MONTH(설정_코스수당!$K$2)+1,0)),DATE(YEAR(설정_코스수당!$K$2),MONTH(설정_코스수당!$K$2),21),"")</f>
        <v>46194</v>
      </c>
      <c r="C2143" s="31"/>
      <c r="D2143" s="29"/>
      <c r="E2143" s="29"/>
      <c r="F2143" s="32"/>
      <c r="G2143" s="29"/>
      <c r="H2143" s="29"/>
      <c r="I2143" s="29"/>
      <c r="J2143" s="33">
        <f>IF($O2143="방문완료",MAX(0,IFERROR(VLOOKUP($E2143,설정_코스수당!$A$6:$H$10,4,FALSE),0)-IF(OR($P2143="",$P2143="없음"),0,100000)),0)</f>
        <v>0</v>
      </c>
      <c r="K2143" s="33">
        <f t="array" ref="K2143">IF($O2143="방문완료",IFERROR(INDEX(설정_코스수당!$B$15:$F$64,MATCH($G2143,설정_코스수당!$A$15:$A$64,0),MATCH($E2143&amp;"수당",설정_코스수당!$B$14:$F$14,0)),0),0)</f>
        <v>0</v>
      </c>
      <c r="L2143" s="33">
        <f t="array" ref="L2143">IF($O2143="방문완료",IF($H2143="",0,IFERROR(INDEX(설정_코스수당!$B$15:$F$64,MATCH($H2143,설정_코스수당!$A$15:$A$64,0),MATCH($E2143&amp;"수당",설정_코스수당!$B$14:$F$14,0)),0)),0)</f>
        <v>0</v>
      </c>
      <c r="M2143" s="33">
        <f>IF($O2143="방문완료",IFERROR(VLOOKUP($E2143,설정_코스수당!$A$6:$H$10,6,FALSE),0),0)</f>
        <v>0</v>
      </c>
      <c r="N2143" s="34">
        <f t="shared" si="62"/>
        <v>0</v>
      </c>
      <c r="O2143" s="29"/>
      <c r="P2143" s="29"/>
      <c r="Q2143" s="29"/>
      <c r="R2143" s="32"/>
      <c r="S2143" s="29"/>
    </row>
    <row r="2144" spans="1:19" ht="19.5" hidden="1" customHeight="1" outlineLevel="1">
      <c r="A2144" s="23">
        <v>71</v>
      </c>
      <c r="B2144" s="24">
        <f>IF(21&lt;=DAY(DATE(YEAR(설정_코스수당!$K$2),MONTH(설정_코스수당!$K$2)+1,0)),DATE(YEAR(설정_코스수당!$K$2),MONTH(설정_코스수당!$K$2),21),"")</f>
        <v>46194</v>
      </c>
      <c r="C2144" s="25"/>
      <c r="D2144" s="23"/>
      <c r="E2144" s="23"/>
      <c r="F2144" s="26"/>
      <c r="G2144" s="23"/>
      <c r="H2144" s="23"/>
      <c r="I2144" s="23"/>
      <c r="J2144" s="27">
        <f>IF($O2144="방문완료",MAX(0,IFERROR(VLOOKUP($E2144,설정_코스수당!$A$6:$H$10,4,FALSE),0)-IF(OR($P2144="",$P2144="없음"),0,100000)),0)</f>
        <v>0</v>
      </c>
      <c r="K2144" s="27">
        <f t="array" ref="K2144">IF($O2144="방문완료",IFERROR(INDEX(설정_코스수당!$B$15:$F$64,MATCH($G2144,설정_코스수당!$A$15:$A$64,0),MATCH($E2144&amp;"수당",설정_코스수당!$B$14:$F$14,0)),0),0)</f>
        <v>0</v>
      </c>
      <c r="L2144" s="27">
        <f t="array" ref="L2144">IF($O2144="방문완료",IF($H2144="",0,IFERROR(INDEX(설정_코스수당!$B$15:$F$64,MATCH($H2144,설정_코스수당!$A$15:$A$64,0),MATCH($E2144&amp;"수당",설정_코스수당!$B$14:$F$14,0)),0)),0)</f>
        <v>0</v>
      </c>
      <c r="M2144" s="27">
        <f>IF($O2144="방문완료",IFERROR(VLOOKUP($E2144,설정_코스수당!$A$6:$H$10,6,FALSE),0),0)</f>
        <v>0</v>
      </c>
      <c r="N2144" s="28">
        <f t="shared" si="62"/>
        <v>0</v>
      </c>
      <c r="O2144" s="23"/>
      <c r="P2144" s="23"/>
      <c r="Q2144" s="23"/>
      <c r="R2144" s="26"/>
      <c r="S2144" s="23"/>
    </row>
    <row r="2145" spans="1:19" ht="19.5" hidden="1" customHeight="1" outlineLevel="1">
      <c r="A2145" s="29">
        <v>72</v>
      </c>
      <c r="B2145" s="30">
        <f>IF(21&lt;=DAY(DATE(YEAR(설정_코스수당!$K$2),MONTH(설정_코스수당!$K$2)+1,0)),DATE(YEAR(설정_코스수당!$K$2),MONTH(설정_코스수당!$K$2),21),"")</f>
        <v>46194</v>
      </c>
      <c r="C2145" s="31"/>
      <c r="D2145" s="29"/>
      <c r="E2145" s="29"/>
      <c r="F2145" s="32"/>
      <c r="G2145" s="29"/>
      <c r="H2145" s="29"/>
      <c r="I2145" s="29"/>
      <c r="J2145" s="33">
        <f>IF($O2145="방문완료",MAX(0,IFERROR(VLOOKUP($E2145,설정_코스수당!$A$6:$H$10,4,FALSE),0)-IF(OR($P2145="",$P2145="없음"),0,100000)),0)</f>
        <v>0</v>
      </c>
      <c r="K2145" s="33">
        <f t="array" ref="K2145">IF($O2145="방문완료",IFERROR(INDEX(설정_코스수당!$B$15:$F$64,MATCH($G2145,설정_코스수당!$A$15:$A$64,0),MATCH($E2145&amp;"수당",설정_코스수당!$B$14:$F$14,0)),0),0)</f>
        <v>0</v>
      </c>
      <c r="L2145" s="33">
        <f t="array" ref="L2145">IF($O2145="방문완료",IF($H2145="",0,IFERROR(INDEX(설정_코스수당!$B$15:$F$64,MATCH($H2145,설정_코스수당!$A$15:$A$64,0),MATCH($E2145&amp;"수당",설정_코스수당!$B$14:$F$14,0)),0)),0)</f>
        <v>0</v>
      </c>
      <c r="M2145" s="33">
        <f>IF($O2145="방문완료",IFERROR(VLOOKUP($E2145,설정_코스수당!$A$6:$H$10,6,FALSE),0),0)</f>
        <v>0</v>
      </c>
      <c r="N2145" s="34">
        <f t="shared" si="62"/>
        <v>0</v>
      </c>
      <c r="O2145" s="29"/>
      <c r="P2145" s="29"/>
      <c r="Q2145" s="29"/>
      <c r="R2145" s="32"/>
      <c r="S2145" s="29"/>
    </row>
    <row r="2146" spans="1:19" ht="19.5" hidden="1" customHeight="1" outlineLevel="1">
      <c r="A2146" s="23">
        <v>73</v>
      </c>
      <c r="B2146" s="24">
        <f>IF(21&lt;=DAY(DATE(YEAR(설정_코스수당!$K$2),MONTH(설정_코스수당!$K$2)+1,0)),DATE(YEAR(설정_코스수당!$K$2),MONTH(설정_코스수당!$K$2),21),"")</f>
        <v>46194</v>
      </c>
      <c r="C2146" s="25"/>
      <c r="D2146" s="23"/>
      <c r="E2146" s="23"/>
      <c r="F2146" s="26"/>
      <c r="G2146" s="23"/>
      <c r="H2146" s="23"/>
      <c r="I2146" s="23"/>
      <c r="J2146" s="27">
        <f>IF($O2146="방문완료",MAX(0,IFERROR(VLOOKUP($E2146,설정_코스수당!$A$6:$H$10,4,FALSE),0)-IF(OR($P2146="",$P2146="없음"),0,100000)),0)</f>
        <v>0</v>
      </c>
      <c r="K2146" s="27">
        <f t="array" ref="K2146">IF($O2146="방문완료",IFERROR(INDEX(설정_코스수당!$B$15:$F$64,MATCH($G2146,설정_코스수당!$A$15:$A$64,0),MATCH($E2146&amp;"수당",설정_코스수당!$B$14:$F$14,0)),0),0)</f>
        <v>0</v>
      </c>
      <c r="L2146" s="27">
        <f t="array" ref="L2146">IF($O2146="방문완료",IF($H2146="",0,IFERROR(INDEX(설정_코스수당!$B$15:$F$64,MATCH($H2146,설정_코스수당!$A$15:$A$64,0),MATCH($E2146&amp;"수당",설정_코스수당!$B$14:$F$14,0)),0)),0)</f>
        <v>0</v>
      </c>
      <c r="M2146" s="27">
        <f>IF($O2146="방문완료",IFERROR(VLOOKUP($E2146,설정_코스수당!$A$6:$H$10,6,FALSE),0),0)</f>
        <v>0</v>
      </c>
      <c r="N2146" s="28">
        <f t="shared" si="62"/>
        <v>0</v>
      </c>
      <c r="O2146" s="23"/>
      <c r="P2146" s="23"/>
      <c r="Q2146" s="23"/>
      <c r="R2146" s="26"/>
      <c r="S2146" s="23"/>
    </row>
    <row r="2147" spans="1:19" ht="19.5" hidden="1" customHeight="1" outlineLevel="1">
      <c r="A2147" s="29">
        <v>74</v>
      </c>
      <c r="B2147" s="30">
        <f>IF(21&lt;=DAY(DATE(YEAR(설정_코스수당!$K$2),MONTH(설정_코스수당!$K$2)+1,0)),DATE(YEAR(설정_코스수당!$K$2),MONTH(설정_코스수당!$K$2),21),"")</f>
        <v>46194</v>
      </c>
      <c r="C2147" s="31"/>
      <c r="D2147" s="29"/>
      <c r="E2147" s="29"/>
      <c r="F2147" s="32"/>
      <c r="G2147" s="29"/>
      <c r="H2147" s="29"/>
      <c r="I2147" s="29"/>
      <c r="J2147" s="33">
        <f>IF($O2147="방문완료",MAX(0,IFERROR(VLOOKUP($E2147,설정_코스수당!$A$6:$H$10,4,FALSE),0)-IF(OR($P2147="",$P2147="없음"),0,100000)),0)</f>
        <v>0</v>
      </c>
      <c r="K2147" s="33">
        <f t="array" ref="K2147">IF($O2147="방문완료",IFERROR(INDEX(설정_코스수당!$B$15:$F$64,MATCH($G2147,설정_코스수당!$A$15:$A$64,0),MATCH($E2147&amp;"수당",설정_코스수당!$B$14:$F$14,0)),0),0)</f>
        <v>0</v>
      </c>
      <c r="L2147" s="33">
        <f t="array" ref="L2147">IF($O2147="방문완료",IF($H2147="",0,IFERROR(INDEX(설정_코스수당!$B$15:$F$64,MATCH($H2147,설정_코스수당!$A$15:$A$64,0),MATCH($E2147&amp;"수당",설정_코스수당!$B$14:$F$14,0)),0)),0)</f>
        <v>0</v>
      </c>
      <c r="M2147" s="33">
        <f>IF($O2147="방문완료",IFERROR(VLOOKUP($E2147,설정_코스수당!$A$6:$H$10,6,FALSE),0),0)</f>
        <v>0</v>
      </c>
      <c r="N2147" s="34">
        <f t="shared" si="62"/>
        <v>0</v>
      </c>
      <c r="O2147" s="29"/>
      <c r="P2147" s="29"/>
      <c r="Q2147" s="29"/>
      <c r="R2147" s="32"/>
      <c r="S2147" s="29"/>
    </row>
    <row r="2148" spans="1:19" ht="19.5" hidden="1" customHeight="1" outlineLevel="1">
      <c r="A2148" s="23">
        <v>75</v>
      </c>
      <c r="B2148" s="24">
        <f>IF(21&lt;=DAY(DATE(YEAR(설정_코스수당!$K$2),MONTH(설정_코스수당!$K$2)+1,0)),DATE(YEAR(설정_코스수당!$K$2),MONTH(설정_코스수당!$K$2),21),"")</f>
        <v>46194</v>
      </c>
      <c r="C2148" s="25"/>
      <c r="D2148" s="23"/>
      <c r="E2148" s="23"/>
      <c r="F2148" s="26"/>
      <c r="G2148" s="23"/>
      <c r="H2148" s="23"/>
      <c r="I2148" s="23"/>
      <c r="J2148" s="27">
        <f>IF($O2148="방문완료",MAX(0,IFERROR(VLOOKUP($E2148,설정_코스수당!$A$6:$H$10,4,FALSE),0)-IF(OR($P2148="",$P2148="없음"),0,100000)),0)</f>
        <v>0</v>
      </c>
      <c r="K2148" s="27">
        <f t="array" ref="K2148">IF($O2148="방문완료",IFERROR(INDEX(설정_코스수당!$B$15:$F$64,MATCH($G2148,설정_코스수당!$A$15:$A$64,0),MATCH($E2148&amp;"수당",설정_코스수당!$B$14:$F$14,0)),0),0)</f>
        <v>0</v>
      </c>
      <c r="L2148" s="27">
        <f t="array" ref="L2148">IF($O2148="방문완료",IF($H2148="",0,IFERROR(INDEX(설정_코스수당!$B$15:$F$64,MATCH($H2148,설정_코스수당!$A$15:$A$64,0),MATCH($E2148&amp;"수당",설정_코스수당!$B$14:$F$14,0)),0)),0)</f>
        <v>0</v>
      </c>
      <c r="M2148" s="27">
        <f>IF($O2148="방문완료",IFERROR(VLOOKUP($E2148,설정_코스수당!$A$6:$H$10,6,FALSE),0),0)</f>
        <v>0</v>
      </c>
      <c r="N2148" s="28">
        <f t="shared" si="62"/>
        <v>0</v>
      </c>
      <c r="O2148" s="23"/>
      <c r="P2148" s="23"/>
      <c r="Q2148" s="23"/>
      <c r="R2148" s="26"/>
      <c r="S2148" s="23"/>
    </row>
    <row r="2149" spans="1:19" ht="19.5" hidden="1" customHeight="1" outlineLevel="1">
      <c r="A2149" s="29">
        <v>76</v>
      </c>
      <c r="B2149" s="30">
        <f>IF(21&lt;=DAY(DATE(YEAR(설정_코스수당!$K$2),MONTH(설정_코스수당!$K$2)+1,0)),DATE(YEAR(설정_코스수당!$K$2),MONTH(설정_코스수당!$K$2),21),"")</f>
        <v>46194</v>
      </c>
      <c r="C2149" s="31"/>
      <c r="D2149" s="29"/>
      <c r="E2149" s="29"/>
      <c r="F2149" s="32"/>
      <c r="G2149" s="29"/>
      <c r="H2149" s="29"/>
      <c r="I2149" s="29"/>
      <c r="J2149" s="33">
        <f>IF($O2149="방문완료",MAX(0,IFERROR(VLOOKUP($E2149,설정_코스수당!$A$6:$H$10,4,FALSE),0)-IF(OR($P2149="",$P2149="없음"),0,100000)),0)</f>
        <v>0</v>
      </c>
      <c r="K2149" s="33">
        <f t="array" ref="K2149">IF($O2149="방문완료",IFERROR(INDEX(설정_코스수당!$B$15:$F$64,MATCH($G2149,설정_코스수당!$A$15:$A$64,0),MATCH($E2149&amp;"수당",설정_코스수당!$B$14:$F$14,0)),0),0)</f>
        <v>0</v>
      </c>
      <c r="L2149" s="33">
        <f t="array" ref="L2149">IF($O2149="방문완료",IF($H2149="",0,IFERROR(INDEX(설정_코스수당!$B$15:$F$64,MATCH($H2149,설정_코스수당!$A$15:$A$64,0),MATCH($E2149&amp;"수당",설정_코스수당!$B$14:$F$14,0)),0)),0)</f>
        <v>0</v>
      </c>
      <c r="M2149" s="33">
        <f>IF($O2149="방문완료",IFERROR(VLOOKUP($E2149,설정_코스수당!$A$6:$H$10,6,FALSE),0),0)</f>
        <v>0</v>
      </c>
      <c r="N2149" s="34">
        <f t="shared" si="62"/>
        <v>0</v>
      </c>
      <c r="O2149" s="29"/>
      <c r="P2149" s="29"/>
      <c r="Q2149" s="29"/>
      <c r="R2149" s="32"/>
      <c r="S2149" s="29"/>
    </row>
    <row r="2150" spans="1:19" ht="19.5" hidden="1" customHeight="1" outlineLevel="1">
      <c r="A2150" s="23">
        <v>77</v>
      </c>
      <c r="B2150" s="24">
        <f>IF(21&lt;=DAY(DATE(YEAR(설정_코스수당!$K$2),MONTH(설정_코스수당!$K$2)+1,0)),DATE(YEAR(설정_코스수당!$K$2),MONTH(설정_코스수당!$K$2),21),"")</f>
        <v>46194</v>
      </c>
      <c r="C2150" s="25"/>
      <c r="D2150" s="23"/>
      <c r="E2150" s="23"/>
      <c r="F2150" s="26"/>
      <c r="G2150" s="23"/>
      <c r="H2150" s="23"/>
      <c r="I2150" s="23"/>
      <c r="J2150" s="27">
        <f>IF($O2150="방문완료",MAX(0,IFERROR(VLOOKUP($E2150,설정_코스수당!$A$6:$H$10,4,FALSE),0)-IF(OR($P2150="",$P2150="없음"),0,100000)),0)</f>
        <v>0</v>
      </c>
      <c r="K2150" s="27">
        <f t="array" ref="K2150">IF($O2150="방문완료",IFERROR(INDEX(설정_코스수당!$B$15:$F$64,MATCH($G2150,설정_코스수당!$A$15:$A$64,0),MATCH($E2150&amp;"수당",설정_코스수당!$B$14:$F$14,0)),0),0)</f>
        <v>0</v>
      </c>
      <c r="L2150" s="27">
        <f t="array" ref="L2150">IF($O2150="방문완료",IF($H2150="",0,IFERROR(INDEX(설정_코스수당!$B$15:$F$64,MATCH($H2150,설정_코스수당!$A$15:$A$64,0),MATCH($E2150&amp;"수당",설정_코스수당!$B$14:$F$14,0)),0)),0)</f>
        <v>0</v>
      </c>
      <c r="M2150" s="27">
        <f>IF($O2150="방문완료",IFERROR(VLOOKUP($E2150,설정_코스수당!$A$6:$H$10,6,FALSE),0),0)</f>
        <v>0</v>
      </c>
      <c r="N2150" s="28">
        <f t="shared" si="62"/>
        <v>0</v>
      </c>
      <c r="O2150" s="23"/>
      <c r="P2150" s="23"/>
      <c r="Q2150" s="23"/>
      <c r="R2150" s="26"/>
      <c r="S2150" s="23"/>
    </row>
    <row r="2151" spans="1:19" ht="19.5" hidden="1" customHeight="1" outlineLevel="1">
      <c r="A2151" s="29">
        <v>78</v>
      </c>
      <c r="B2151" s="30">
        <f>IF(21&lt;=DAY(DATE(YEAR(설정_코스수당!$K$2),MONTH(설정_코스수당!$K$2)+1,0)),DATE(YEAR(설정_코스수당!$K$2),MONTH(설정_코스수당!$K$2),21),"")</f>
        <v>46194</v>
      </c>
      <c r="C2151" s="31"/>
      <c r="D2151" s="29"/>
      <c r="E2151" s="29"/>
      <c r="F2151" s="32"/>
      <c r="G2151" s="29"/>
      <c r="H2151" s="29"/>
      <c r="I2151" s="29"/>
      <c r="J2151" s="33">
        <f>IF($O2151="방문완료",MAX(0,IFERROR(VLOOKUP($E2151,설정_코스수당!$A$6:$H$10,4,FALSE),0)-IF(OR($P2151="",$P2151="없음"),0,100000)),0)</f>
        <v>0</v>
      </c>
      <c r="K2151" s="33">
        <f t="array" ref="K2151">IF($O2151="방문완료",IFERROR(INDEX(설정_코스수당!$B$15:$F$64,MATCH($G2151,설정_코스수당!$A$15:$A$64,0),MATCH($E2151&amp;"수당",설정_코스수당!$B$14:$F$14,0)),0),0)</f>
        <v>0</v>
      </c>
      <c r="L2151" s="33">
        <f t="array" ref="L2151">IF($O2151="방문완료",IF($H2151="",0,IFERROR(INDEX(설정_코스수당!$B$15:$F$64,MATCH($H2151,설정_코스수당!$A$15:$A$64,0),MATCH($E2151&amp;"수당",설정_코스수당!$B$14:$F$14,0)),0)),0)</f>
        <v>0</v>
      </c>
      <c r="M2151" s="33">
        <f>IF($O2151="방문완료",IFERROR(VLOOKUP($E2151,설정_코스수당!$A$6:$H$10,6,FALSE),0),0)</f>
        <v>0</v>
      </c>
      <c r="N2151" s="34">
        <f t="shared" si="62"/>
        <v>0</v>
      </c>
      <c r="O2151" s="29"/>
      <c r="P2151" s="29"/>
      <c r="Q2151" s="29"/>
      <c r="R2151" s="32"/>
      <c r="S2151" s="29"/>
    </row>
    <row r="2152" spans="1:19" ht="19.5" hidden="1" customHeight="1" outlineLevel="1">
      <c r="A2152" s="23">
        <v>79</v>
      </c>
      <c r="B2152" s="24">
        <f>IF(21&lt;=DAY(DATE(YEAR(설정_코스수당!$K$2),MONTH(설정_코스수당!$K$2)+1,0)),DATE(YEAR(설정_코스수당!$K$2),MONTH(설정_코스수당!$K$2),21),"")</f>
        <v>46194</v>
      </c>
      <c r="C2152" s="25"/>
      <c r="D2152" s="23"/>
      <c r="E2152" s="23"/>
      <c r="F2152" s="26"/>
      <c r="G2152" s="23"/>
      <c r="H2152" s="23"/>
      <c r="I2152" s="23"/>
      <c r="J2152" s="27">
        <f>IF($O2152="방문완료",MAX(0,IFERROR(VLOOKUP($E2152,설정_코스수당!$A$6:$H$10,4,FALSE),0)-IF(OR($P2152="",$P2152="없음"),0,100000)),0)</f>
        <v>0</v>
      </c>
      <c r="K2152" s="27">
        <f t="array" ref="K2152">IF($O2152="방문완료",IFERROR(INDEX(설정_코스수당!$B$15:$F$64,MATCH($G2152,설정_코스수당!$A$15:$A$64,0),MATCH($E2152&amp;"수당",설정_코스수당!$B$14:$F$14,0)),0),0)</f>
        <v>0</v>
      </c>
      <c r="L2152" s="27">
        <f t="array" ref="L2152">IF($O2152="방문완료",IF($H2152="",0,IFERROR(INDEX(설정_코스수당!$B$15:$F$64,MATCH($H2152,설정_코스수당!$A$15:$A$64,0),MATCH($E2152&amp;"수당",설정_코스수당!$B$14:$F$14,0)),0)),0)</f>
        <v>0</v>
      </c>
      <c r="M2152" s="27">
        <f>IF($O2152="방문완료",IFERROR(VLOOKUP($E2152,설정_코스수당!$A$6:$H$10,6,FALSE),0),0)</f>
        <v>0</v>
      </c>
      <c r="N2152" s="28">
        <f t="shared" si="62"/>
        <v>0</v>
      </c>
      <c r="O2152" s="23"/>
      <c r="P2152" s="23"/>
      <c r="Q2152" s="23"/>
      <c r="R2152" s="26"/>
      <c r="S2152" s="23"/>
    </row>
    <row r="2153" spans="1:19" ht="19.5" hidden="1" customHeight="1" outlineLevel="1">
      <c r="A2153" s="29">
        <v>80</v>
      </c>
      <c r="B2153" s="30">
        <f>IF(21&lt;=DAY(DATE(YEAR(설정_코스수당!$K$2),MONTH(설정_코스수당!$K$2)+1,0)),DATE(YEAR(설정_코스수당!$K$2),MONTH(설정_코스수당!$K$2),21),"")</f>
        <v>46194</v>
      </c>
      <c r="C2153" s="31"/>
      <c r="D2153" s="29"/>
      <c r="E2153" s="29"/>
      <c r="F2153" s="32"/>
      <c r="G2153" s="29"/>
      <c r="H2153" s="29"/>
      <c r="I2153" s="29"/>
      <c r="J2153" s="33">
        <f>IF($O2153="방문완료",MAX(0,IFERROR(VLOOKUP($E2153,설정_코스수당!$A$6:$H$10,4,FALSE),0)-IF(OR($P2153="",$P2153="없음"),0,100000)),0)</f>
        <v>0</v>
      </c>
      <c r="K2153" s="33">
        <f t="array" ref="K2153">IF($O2153="방문완료",IFERROR(INDEX(설정_코스수당!$B$15:$F$64,MATCH($G2153,설정_코스수당!$A$15:$A$64,0),MATCH($E2153&amp;"수당",설정_코스수당!$B$14:$F$14,0)),0),0)</f>
        <v>0</v>
      </c>
      <c r="L2153" s="33">
        <f t="array" ref="L2153">IF($O2153="방문완료",IF($H2153="",0,IFERROR(INDEX(설정_코스수당!$B$15:$F$64,MATCH($H2153,설정_코스수당!$A$15:$A$64,0),MATCH($E2153&amp;"수당",설정_코스수당!$B$14:$F$14,0)),0)),0)</f>
        <v>0</v>
      </c>
      <c r="M2153" s="33">
        <f>IF($O2153="방문완료",IFERROR(VLOOKUP($E2153,설정_코스수당!$A$6:$H$10,6,FALSE),0),0)</f>
        <v>0</v>
      </c>
      <c r="N2153" s="34">
        <f t="shared" si="62"/>
        <v>0</v>
      </c>
      <c r="O2153" s="29"/>
      <c r="P2153" s="29"/>
      <c r="Q2153" s="29"/>
      <c r="R2153" s="32"/>
      <c r="S2153" s="29"/>
    </row>
    <row r="2154" spans="1:19" ht="19.5" hidden="1" customHeight="1" outlineLevel="1">
      <c r="A2154" s="23">
        <v>81</v>
      </c>
      <c r="B2154" s="24">
        <f>IF(21&lt;=DAY(DATE(YEAR(설정_코스수당!$K$2),MONTH(설정_코스수당!$K$2)+1,0)),DATE(YEAR(설정_코스수당!$K$2),MONTH(설정_코스수당!$K$2),21),"")</f>
        <v>46194</v>
      </c>
      <c r="C2154" s="25"/>
      <c r="D2154" s="23"/>
      <c r="E2154" s="23"/>
      <c r="F2154" s="26"/>
      <c r="G2154" s="23"/>
      <c r="H2154" s="23"/>
      <c r="I2154" s="23"/>
      <c r="J2154" s="27">
        <f>IF($O2154="방문완료",MAX(0,IFERROR(VLOOKUP($E2154,설정_코스수당!$A$6:$H$10,4,FALSE),0)-IF(OR($P2154="",$P2154="없음"),0,100000)),0)</f>
        <v>0</v>
      </c>
      <c r="K2154" s="27">
        <f t="array" ref="K2154">IF($O2154="방문완료",IFERROR(INDEX(설정_코스수당!$B$15:$F$64,MATCH($G2154,설정_코스수당!$A$15:$A$64,0),MATCH($E2154&amp;"수당",설정_코스수당!$B$14:$F$14,0)),0),0)</f>
        <v>0</v>
      </c>
      <c r="L2154" s="27">
        <f t="array" ref="L2154">IF($O2154="방문완료",IF($H2154="",0,IFERROR(INDEX(설정_코스수당!$B$15:$F$64,MATCH($H2154,설정_코스수당!$A$15:$A$64,0),MATCH($E2154&amp;"수당",설정_코스수당!$B$14:$F$14,0)),0)),0)</f>
        <v>0</v>
      </c>
      <c r="M2154" s="27">
        <f>IF($O2154="방문완료",IFERROR(VLOOKUP($E2154,설정_코스수당!$A$6:$H$10,6,FALSE),0),0)</f>
        <v>0</v>
      </c>
      <c r="N2154" s="28">
        <f t="shared" si="62"/>
        <v>0</v>
      </c>
      <c r="O2154" s="23"/>
      <c r="P2154" s="23"/>
      <c r="Q2154" s="23"/>
      <c r="R2154" s="26"/>
      <c r="S2154" s="23"/>
    </row>
    <row r="2155" spans="1:19" ht="19.5" hidden="1" customHeight="1" outlineLevel="1">
      <c r="A2155" s="29">
        <v>82</v>
      </c>
      <c r="B2155" s="30">
        <f>IF(21&lt;=DAY(DATE(YEAR(설정_코스수당!$K$2),MONTH(설정_코스수당!$K$2)+1,0)),DATE(YEAR(설정_코스수당!$K$2),MONTH(설정_코스수당!$K$2),21),"")</f>
        <v>46194</v>
      </c>
      <c r="C2155" s="31"/>
      <c r="D2155" s="29"/>
      <c r="E2155" s="29"/>
      <c r="F2155" s="32"/>
      <c r="G2155" s="29"/>
      <c r="H2155" s="29"/>
      <c r="I2155" s="29"/>
      <c r="J2155" s="33">
        <f>IF($O2155="방문완료",MAX(0,IFERROR(VLOOKUP($E2155,설정_코스수당!$A$6:$H$10,4,FALSE),0)-IF(OR($P2155="",$P2155="없음"),0,100000)),0)</f>
        <v>0</v>
      </c>
      <c r="K2155" s="33">
        <f t="array" ref="K2155">IF($O2155="방문완료",IFERROR(INDEX(설정_코스수당!$B$15:$F$64,MATCH($G2155,설정_코스수당!$A$15:$A$64,0),MATCH($E2155&amp;"수당",설정_코스수당!$B$14:$F$14,0)),0),0)</f>
        <v>0</v>
      </c>
      <c r="L2155" s="33">
        <f t="array" ref="L2155">IF($O2155="방문완료",IF($H2155="",0,IFERROR(INDEX(설정_코스수당!$B$15:$F$64,MATCH($H2155,설정_코스수당!$A$15:$A$64,0),MATCH($E2155&amp;"수당",설정_코스수당!$B$14:$F$14,0)),0)),0)</f>
        <v>0</v>
      </c>
      <c r="M2155" s="33">
        <f>IF($O2155="방문완료",IFERROR(VLOOKUP($E2155,설정_코스수당!$A$6:$H$10,6,FALSE),0),0)</f>
        <v>0</v>
      </c>
      <c r="N2155" s="34">
        <f t="shared" si="62"/>
        <v>0</v>
      </c>
      <c r="O2155" s="29"/>
      <c r="P2155" s="29"/>
      <c r="Q2155" s="29"/>
      <c r="R2155" s="32"/>
      <c r="S2155" s="29"/>
    </row>
    <row r="2156" spans="1:19" ht="19.5" hidden="1" customHeight="1" outlineLevel="1">
      <c r="A2156" s="23">
        <v>83</v>
      </c>
      <c r="B2156" s="24">
        <f>IF(21&lt;=DAY(DATE(YEAR(설정_코스수당!$K$2),MONTH(설정_코스수당!$K$2)+1,0)),DATE(YEAR(설정_코스수당!$K$2),MONTH(설정_코스수당!$K$2),21),"")</f>
        <v>46194</v>
      </c>
      <c r="C2156" s="25"/>
      <c r="D2156" s="23"/>
      <c r="E2156" s="23"/>
      <c r="F2156" s="26"/>
      <c r="G2156" s="23"/>
      <c r="H2156" s="23"/>
      <c r="I2156" s="23"/>
      <c r="J2156" s="27">
        <f>IF($O2156="방문완료",MAX(0,IFERROR(VLOOKUP($E2156,설정_코스수당!$A$6:$H$10,4,FALSE),0)-IF(OR($P2156="",$P2156="없음"),0,100000)),0)</f>
        <v>0</v>
      </c>
      <c r="K2156" s="27">
        <f t="array" ref="K2156">IF($O2156="방문완료",IFERROR(INDEX(설정_코스수당!$B$15:$F$64,MATCH($G2156,설정_코스수당!$A$15:$A$64,0),MATCH($E2156&amp;"수당",설정_코스수당!$B$14:$F$14,0)),0),0)</f>
        <v>0</v>
      </c>
      <c r="L2156" s="27">
        <f t="array" ref="L2156">IF($O2156="방문완료",IF($H2156="",0,IFERROR(INDEX(설정_코스수당!$B$15:$F$64,MATCH($H2156,설정_코스수당!$A$15:$A$64,0),MATCH($E2156&amp;"수당",설정_코스수당!$B$14:$F$14,0)),0)),0)</f>
        <v>0</v>
      </c>
      <c r="M2156" s="27">
        <f>IF($O2156="방문완료",IFERROR(VLOOKUP($E2156,설정_코스수당!$A$6:$H$10,6,FALSE),0),0)</f>
        <v>0</v>
      </c>
      <c r="N2156" s="28">
        <f t="shared" si="62"/>
        <v>0</v>
      </c>
      <c r="O2156" s="23"/>
      <c r="P2156" s="23"/>
      <c r="Q2156" s="23"/>
      <c r="R2156" s="26"/>
      <c r="S2156" s="23"/>
    </row>
    <row r="2157" spans="1:19" ht="19.5" hidden="1" customHeight="1" outlineLevel="1">
      <c r="A2157" s="29">
        <v>84</v>
      </c>
      <c r="B2157" s="30">
        <f>IF(21&lt;=DAY(DATE(YEAR(설정_코스수당!$K$2),MONTH(설정_코스수당!$K$2)+1,0)),DATE(YEAR(설정_코스수당!$K$2),MONTH(설정_코스수당!$K$2),21),"")</f>
        <v>46194</v>
      </c>
      <c r="C2157" s="31"/>
      <c r="D2157" s="29"/>
      <c r="E2157" s="29"/>
      <c r="F2157" s="32"/>
      <c r="G2157" s="29"/>
      <c r="H2157" s="29"/>
      <c r="I2157" s="29"/>
      <c r="J2157" s="33">
        <f>IF($O2157="방문완료",MAX(0,IFERROR(VLOOKUP($E2157,설정_코스수당!$A$6:$H$10,4,FALSE),0)-IF(OR($P2157="",$P2157="없음"),0,100000)),0)</f>
        <v>0</v>
      </c>
      <c r="K2157" s="33">
        <f t="array" ref="K2157">IF($O2157="방문완료",IFERROR(INDEX(설정_코스수당!$B$15:$F$64,MATCH($G2157,설정_코스수당!$A$15:$A$64,0),MATCH($E2157&amp;"수당",설정_코스수당!$B$14:$F$14,0)),0),0)</f>
        <v>0</v>
      </c>
      <c r="L2157" s="33">
        <f t="array" ref="L2157">IF($O2157="방문완료",IF($H2157="",0,IFERROR(INDEX(설정_코스수당!$B$15:$F$64,MATCH($H2157,설정_코스수당!$A$15:$A$64,0),MATCH($E2157&amp;"수당",설정_코스수당!$B$14:$F$14,0)),0)),0)</f>
        <v>0</v>
      </c>
      <c r="M2157" s="33">
        <f>IF($O2157="방문완료",IFERROR(VLOOKUP($E2157,설정_코스수당!$A$6:$H$10,6,FALSE),0),0)</f>
        <v>0</v>
      </c>
      <c r="N2157" s="34">
        <f t="shared" si="62"/>
        <v>0</v>
      </c>
      <c r="O2157" s="29"/>
      <c r="P2157" s="29"/>
      <c r="Q2157" s="29"/>
      <c r="R2157" s="32"/>
      <c r="S2157" s="29"/>
    </row>
    <row r="2158" spans="1:19" ht="19.5" hidden="1" customHeight="1" outlineLevel="1">
      <c r="A2158" s="23">
        <v>85</v>
      </c>
      <c r="B2158" s="24">
        <f>IF(21&lt;=DAY(DATE(YEAR(설정_코스수당!$K$2),MONTH(설정_코스수당!$K$2)+1,0)),DATE(YEAR(설정_코스수당!$K$2),MONTH(설정_코스수당!$K$2),21),"")</f>
        <v>46194</v>
      </c>
      <c r="C2158" s="25"/>
      <c r="D2158" s="23"/>
      <c r="E2158" s="23"/>
      <c r="F2158" s="26"/>
      <c r="G2158" s="23"/>
      <c r="H2158" s="23"/>
      <c r="I2158" s="23"/>
      <c r="J2158" s="27">
        <f>IF($O2158="방문완료",MAX(0,IFERROR(VLOOKUP($E2158,설정_코스수당!$A$6:$H$10,4,FALSE),0)-IF(OR($P2158="",$P2158="없음"),0,100000)),0)</f>
        <v>0</v>
      </c>
      <c r="K2158" s="27">
        <f t="array" ref="K2158">IF($O2158="방문완료",IFERROR(INDEX(설정_코스수당!$B$15:$F$64,MATCH($G2158,설정_코스수당!$A$15:$A$64,0),MATCH($E2158&amp;"수당",설정_코스수당!$B$14:$F$14,0)),0),0)</f>
        <v>0</v>
      </c>
      <c r="L2158" s="27">
        <f t="array" ref="L2158">IF($O2158="방문완료",IF($H2158="",0,IFERROR(INDEX(설정_코스수당!$B$15:$F$64,MATCH($H2158,설정_코스수당!$A$15:$A$64,0),MATCH($E2158&amp;"수당",설정_코스수당!$B$14:$F$14,0)),0)),0)</f>
        <v>0</v>
      </c>
      <c r="M2158" s="27">
        <f>IF($O2158="방문완료",IFERROR(VLOOKUP($E2158,설정_코스수당!$A$6:$H$10,6,FALSE),0),0)</f>
        <v>0</v>
      </c>
      <c r="N2158" s="28">
        <f t="shared" si="62"/>
        <v>0</v>
      </c>
      <c r="O2158" s="23"/>
      <c r="P2158" s="23"/>
      <c r="Q2158" s="23"/>
      <c r="R2158" s="26"/>
      <c r="S2158" s="23"/>
    </row>
    <row r="2159" spans="1:19" ht="19.5" hidden="1" customHeight="1" outlineLevel="1">
      <c r="A2159" s="29">
        <v>86</v>
      </c>
      <c r="B2159" s="30">
        <f>IF(21&lt;=DAY(DATE(YEAR(설정_코스수당!$K$2),MONTH(설정_코스수당!$K$2)+1,0)),DATE(YEAR(설정_코스수당!$K$2),MONTH(설정_코스수당!$K$2),21),"")</f>
        <v>46194</v>
      </c>
      <c r="C2159" s="31"/>
      <c r="D2159" s="29"/>
      <c r="E2159" s="29"/>
      <c r="F2159" s="32"/>
      <c r="G2159" s="29"/>
      <c r="H2159" s="29"/>
      <c r="I2159" s="29"/>
      <c r="J2159" s="33">
        <f>IF($O2159="방문완료",MAX(0,IFERROR(VLOOKUP($E2159,설정_코스수당!$A$6:$H$10,4,FALSE),0)-IF(OR($P2159="",$P2159="없음"),0,100000)),0)</f>
        <v>0</v>
      </c>
      <c r="K2159" s="33">
        <f t="array" ref="K2159">IF($O2159="방문완료",IFERROR(INDEX(설정_코스수당!$B$15:$F$64,MATCH($G2159,설정_코스수당!$A$15:$A$64,0),MATCH($E2159&amp;"수당",설정_코스수당!$B$14:$F$14,0)),0),0)</f>
        <v>0</v>
      </c>
      <c r="L2159" s="33">
        <f t="array" ref="L2159">IF($O2159="방문완료",IF($H2159="",0,IFERROR(INDEX(설정_코스수당!$B$15:$F$64,MATCH($H2159,설정_코스수당!$A$15:$A$64,0),MATCH($E2159&amp;"수당",설정_코스수당!$B$14:$F$14,0)),0)),0)</f>
        <v>0</v>
      </c>
      <c r="M2159" s="33">
        <f>IF($O2159="방문완료",IFERROR(VLOOKUP($E2159,설정_코스수당!$A$6:$H$10,6,FALSE),0),0)</f>
        <v>0</v>
      </c>
      <c r="N2159" s="34">
        <f t="shared" si="62"/>
        <v>0</v>
      </c>
      <c r="O2159" s="29"/>
      <c r="P2159" s="29"/>
      <c r="Q2159" s="29"/>
      <c r="R2159" s="32"/>
      <c r="S2159" s="29"/>
    </row>
    <row r="2160" spans="1:19" ht="19.5" hidden="1" customHeight="1" outlineLevel="1">
      <c r="A2160" s="23">
        <v>87</v>
      </c>
      <c r="B2160" s="24">
        <f>IF(21&lt;=DAY(DATE(YEAR(설정_코스수당!$K$2),MONTH(설정_코스수당!$K$2)+1,0)),DATE(YEAR(설정_코스수당!$K$2),MONTH(설정_코스수당!$K$2),21),"")</f>
        <v>46194</v>
      </c>
      <c r="C2160" s="25"/>
      <c r="D2160" s="23"/>
      <c r="E2160" s="23"/>
      <c r="F2160" s="26"/>
      <c r="G2160" s="23"/>
      <c r="H2160" s="23"/>
      <c r="I2160" s="23"/>
      <c r="J2160" s="27">
        <f>IF($O2160="방문완료",MAX(0,IFERROR(VLOOKUP($E2160,설정_코스수당!$A$6:$H$10,4,FALSE),0)-IF(OR($P2160="",$P2160="없음"),0,100000)),0)</f>
        <v>0</v>
      </c>
      <c r="K2160" s="27">
        <f t="array" ref="K2160">IF($O2160="방문완료",IFERROR(INDEX(설정_코스수당!$B$15:$F$64,MATCH($G2160,설정_코스수당!$A$15:$A$64,0),MATCH($E2160&amp;"수당",설정_코스수당!$B$14:$F$14,0)),0),0)</f>
        <v>0</v>
      </c>
      <c r="L2160" s="27">
        <f t="array" ref="L2160">IF($O2160="방문완료",IF($H2160="",0,IFERROR(INDEX(설정_코스수당!$B$15:$F$64,MATCH($H2160,설정_코스수당!$A$15:$A$64,0),MATCH($E2160&amp;"수당",설정_코스수당!$B$14:$F$14,0)),0)),0)</f>
        <v>0</v>
      </c>
      <c r="M2160" s="27">
        <f>IF($O2160="방문완료",IFERROR(VLOOKUP($E2160,설정_코스수당!$A$6:$H$10,6,FALSE),0),0)</f>
        <v>0</v>
      </c>
      <c r="N2160" s="28">
        <f t="shared" si="62"/>
        <v>0</v>
      </c>
      <c r="O2160" s="23"/>
      <c r="P2160" s="23"/>
      <c r="Q2160" s="23"/>
      <c r="R2160" s="26"/>
      <c r="S2160" s="23"/>
    </row>
    <row r="2161" spans="1:27" ht="19.5" hidden="1" customHeight="1" outlineLevel="1">
      <c r="A2161" s="29">
        <v>88</v>
      </c>
      <c r="B2161" s="30">
        <f>IF(21&lt;=DAY(DATE(YEAR(설정_코스수당!$K$2),MONTH(설정_코스수당!$K$2)+1,0)),DATE(YEAR(설정_코스수당!$K$2),MONTH(설정_코스수당!$K$2),21),"")</f>
        <v>46194</v>
      </c>
      <c r="C2161" s="31"/>
      <c r="D2161" s="29"/>
      <c r="E2161" s="29"/>
      <c r="F2161" s="32"/>
      <c r="G2161" s="29"/>
      <c r="H2161" s="29"/>
      <c r="I2161" s="29"/>
      <c r="J2161" s="33">
        <f>IF($O2161="방문완료",MAX(0,IFERROR(VLOOKUP($E2161,설정_코스수당!$A$6:$H$10,4,FALSE),0)-IF(OR($P2161="",$P2161="없음"),0,100000)),0)</f>
        <v>0</v>
      </c>
      <c r="K2161" s="33">
        <f t="array" ref="K2161">IF($O2161="방문완료",IFERROR(INDEX(설정_코스수당!$B$15:$F$64,MATCH($G2161,설정_코스수당!$A$15:$A$64,0),MATCH($E2161&amp;"수당",설정_코스수당!$B$14:$F$14,0)),0),0)</f>
        <v>0</v>
      </c>
      <c r="L2161" s="33">
        <f t="array" ref="L2161">IF($O2161="방문완료",IF($H2161="",0,IFERROR(INDEX(설정_코스수당!$B$15:$F$64,MATCH($H2161,설정_코스수당!$A$15:$A$64,0),MATCH($E2161&amp;"수당",설정_코스수당!$B$14:$F$14,0)),0)),0)</f>
        <v>0</v>
      </c>
      <c r="M2161" s="33">
        <f>IF($O2161="방문완료",IFERROR(VLOOKUP($E2161,설정_코스수당!$A$6:$H$10,6,FALSE),0),0)</f>
        <v>0</v>
      </c>
      <c r="N2161" s="34">
        <f t="shared" si="62"/>
        <v>0</v>
      </c>
      <c r="O2161" s="29"/>
      <c r="P2161" s="29"/>
      <c r="Q2161" s="29"/>
      <c r="R2161" s="32"/>
      <c r="S2161" s="29"/>
    </row>
    <row r="2162" spans="1:27" ht="19.5" hidden="1" customHeight="1" outlineLevel="1">
      <c r="A2162" s="23">
        <v>89</v>
      </c>
      <c r="B2162" s="24">
        <f>IF(21&lt;=DAY(DATE(YEAR(설정_코스수당!$K$2),MONTH(설정_코스수당!$K$2)+1,0)),DATE(YEAR(설정_코스수당!$K$2),MONTH(설정_코스수당!$K$2),21),"")</f>
        <v>46194</v>
      </c>
      <c r="C2162" s="25"/>
      <c r="D2162" s="23"/>
      <c r="E2162" s="23"/>
      <c r="F2162" s="26"/>
      <c r="G2162" s="23"/>
      <c r="H2162" s="23"/>
      <c r="I2162" s="23"/>
      <c r="J2162" s="27">
        <f>IF($O2162="방문완료",MAX(0,IFERROR(VLOOKUP($E2162,설정_코스수당!$A$6:$H$10,4,FALSE),0)-IF(OR($P2162="",$P2162="없음"),0,100000)),0)</f>
        <v>0</v>
      </c>
      <c r="K2162" s="27">
        <f t="array" ref="K2162">IF($O2162="방문완료",IFERROR(INDEX(설정_코스수당!$B$15:$F$64,MATCH($G2162,설정_코스수당!$A$15:$A$64,0),MATCH($E2162&amp;"수당",설정_코스수당!$B$14:$F$14,0)),0),0)</f>
        <v>0</v>
      </c>
      <c r="L2162" s="27">
        <f t="array" ref="L2162">IF($O2162="방문완료",IF($H2162="",0,IFERROR(INDEX(설정_코스수당!$B$15:$F$64,MATCH($H2162,설정_코스수당!$A$15:$A$64,0),MATCH($E2162&amp;"수당",설정_코스수당!$B$14:$F$14,0)),0)),0)</f>
        <v>0</v>
      </c>
      <c r="M2162" s="27">
        <f>IF($O2162="방문완료",IFERROR(VLOOKUP($E2162,설정_코스수당!$A$6:$H$10,6,FALSE),0),0)</f>
        <v>0</v>
      </c>
      <c r="N2162" s="28">
        <f t="shared" si="62"/>
        <v>0</v>
      </c>
      <c r="O2162" s="23"/>
      <c r="P2162" s="23"/>
      <c r="Q2162" s="23"/>
      <c r="R2162" s="26"/>
      <c r="S2162" s="23"/>
    </row>
    <row r="2163" spans="1:27" ht="19.5" hidden="1" customHeight="1" outlineLevel="1">
      <c r="A2163" s="29">
        <v>90</v>
      </c>
      <c r="B2163" s="30">
        <f>IF(21&lt;=DAY(DATE(YEAR(설정_코스수당!$K$2),MONTH(설정_코스수당!$K$2)+1,0)),DATE(YEAR(설정_코스수당!$K$2),MONTH(설정_코스수당!$K$2),21),"")</f>
        <v>46194</v>
      </c>
      <c r="C2163" s="31"/>
      <c r="D2163" s="29"/>
      <c r="E2163" s="29"/>
      <c r="F2163" s="32"/>
      <c r="G2163" s="29"/>
      <c r="H2163" s="29"/>
      <c r="I2163" s="29"/>
      <c r="J2163" s="33">
        <f>IF($O2163="방문완료",MAX(0,IFERROR(VLOOKUP($E2163,설정_코스수당!$A$6:$H$10,4,FALSE),0)-IF(OR($P2163="",$P2163="없음"),0,100000)),0)</f>
        <v>0</v>
      </c>
      <c r="K2163" s="33">
        <f t="array" ref="K2163">IF($O2163="방문완료",IFERROR(INDEX(설정_코스수당!$B$15:$F$64,MATCH($G2163,설정_코스수당!$A$15:$A$64,0),MATCH($E2163&amp;"수당",설정_코스수당!$B$14:$F$14,0)),0),0)</f>
        <v>0</v>
      </c>
      <c r="L2163" s="33">
        <f t="array" ref="L2163">IF($O2163="방문완료",IF($H2163="",0,IFERROR(INDEX(설정_코스수당!$B$15:$F$64,MATCH($H2163,설정_코스수당!$A$15:$A$64,0),MATCH($E2163&amp;"수당",설정_코스수당!$B$14:$F$14,0)),0)),0)</f>
        <v>0</v>
      </c>
      <c r="M2163" s="33">
        <f>IF($O2163="방문완료",IFERROR(VLOOKUP($E2163,설정_코스수당!$A$6:$H$10,6,FALSE),0),0)</f>
        <v>0</v>
      </c>
      <c r="N2163" s="34">
        <f t="shared" si="62"/>
        <v>0</v>
      </c>
      <c r="O2163" s="29"/>
      <c r="P2163" s="29"/>
      <c r="Q2163" s="29"/>
      <c r="R2163" s="32"/>
      <c r="S2163" s="29"/>
    </row>
    <row r="2164" spans="1:27" ht="19.5" hidden="1" customHeight="1" outlineLevel="1">
      <c r="A2164" s="23">
        <v>91</v>
      </c>
      <c r="B2164" s="24">
        <f>IF(21&lt;=DAY(DATE(YEAR(설정_코스수당!$K$2),MONTH(설정_코스수당!$K$2)+1,0)),DATE(YEAR(설정_코스수당!$K$2),MONTH(설정_코스수당!$K$2),21),"")</f>
        <v>46194</v>
      </c>
      <c r="C2164" s="25"/>
      <c r="D2164" s="23"/>
      <c r="E2164" s="23"/>
      <c r="F2164" s="26"/>
      <c r="G2164" s="23"/>
      <c r="H2164" s="23"/>
      <c r="I2164" s="23"/>
      <c r="J2164" s="27">
        <f>IF($O2164="방문완료",MAX(0,IFERROR(VLOOKUP($E2164,설정_코스수당!$A$6:$H$10,4,FALSE),0)-IF(OR($P2164="",$P2164="없음"),0,100000)),0)</f>
        <v>0</v>
      </c>
      <c r="K2164" s="27">
        <f t="array" ref="K2164">IF($O2164="방문완료",IFERROR(INDEX(설정_코스수당!$B$15:$F$64,MATCH($G2164,설정_코스수당!$A$15:$A$64,0),MATCH($E2164&amp;"수당",설정_코스수당!$B$14:$F$14,0)),0),0)</f>
        <v>0</v>
      </c>
      <c r="L2164" s="27">
        <f t="array" ref="L2164">IF($O2164="방문완료",IF($H2164="",0,IFERROR(INDEX(설정_코스수당!$B$15:$F$64,MATCH($H2164,설정_코스수당!$A$15:$A$64,0),MATCH($E2164&amp;"수당",설정_코스수당!$B$14:$F$14,0)),0)),0)</f>
        <v>0</v>
      </c>
      <c r="M2164" s="27">
        <f>IF($O2164="방문완료",IFERROR(VLOOKUP($E2164,설정_코스수당!$A$6:$H$10,6,FALSE),0),0)</f>
        <v>0</v>
      </c>
      <c r="N2164" s="28">
        <f t="shared" si="62"/>
        <v>0</v>
      </c>
      <c r="O2164" s="23"/>
      <c r="P2164" s="23"/>
      <c r="Q2164" s="23"/>
      <c r="R2164" s="26"/>
      <c r="S2164" s="23"/>
    </row>
    <row r="2165" spans="1:27" ht="19.5" hidden="1" customHeight="1" outlineLevel="1">
      <c r="A2165" s="29">
        <v>92</v>
      </c>
      <c r="B2165" s="30">
        <f>IF(21&lt;=DAY(DATE(YEAR(설정_코스수당!$K$2),MONTH(설정_코스수당!$K$2)+1,0)),DATE(YEAR(설정_코스수당!$K$2),MONTH(설정_코스수당!$K$2),21),"")</f>
        <v>46194</v>
      </c>
      <c r="C2165" s="31"/>
      <c r="D2165" s="29"/>
      <c r="E2165" s="29"/>
      <c r="F2165" s="32"/>
      <c r="G2165" s="29"/>
      <c r="H2165" s="29"/>
      <c r="I2165" s="29"/>
      <c r="J2165" s="33">
        <f>IF($O2165="방문완료",MAX(0,IFERROR(VLOOKUP($E2165,설정_코스수당!$A$6:$H$10,4,FALSE),0)-IF(OR($P2165="",$P2165="없음"),0,100000)),0)</f>
        <v>0</v>
      </c>
      <c r="K2165" s="33">
        <f t="array" ref="K2165">IF($O2165="방문완료",IFERROR(INDEX(설정_코스수당!$B$15:$F$64,MATCH($G2165,설정_코스수당!$A$15:$A$64,0),MATCH($E2165&amp;"수당",설정_코스수당!$B$14:$F$14,0)),0),0)</f>
        <v>0</v>
      </c>
      <c r="L2165" s="33">
        <f t="array" ref="L2165">IF($O2165="방문완료",IF($H2165="",0,IFERROR(INDEX(설정_코스수당!$B$15:$F$64,MATCH($H2165,설정_코스수당!$A$15:$A$64,0),MATCH($E2165&amp;"수당",설정_코스수당!$B$14:$F$14,0)),0)),0)</f>
        <v>0</v>
      </c>
      <c r="M2165" s="33">
        <f>IF($O2165="방문완료",IFERROR(VLOOKUP($E2165,설정_코스수당!$A$6:$H$10,6,FALSE),0),0)</f>
        <v>0</v>
      </c>
      <c r="N2165" s="34">
        <f t="shared" si="62"/>
        <v>0</v>
      </c>
      <c r="O2165" s="29"/>
      <c r="P2165" s="29"/>
      <c r="Q2165" s="29"/>
      <c r="R2165" s="32"/>
      <c r="S2165" s="29"/>
    </row>
    <row r="2166" spans="1:27" ht="19.5" hidden="1" customHeight="1" outlineLevel="1">
      <c r="A2166" s="23">
        <v>93</v>
      </c>
      <c r="B2166" s="24">
        <f>IF(21&lt;=DAY(DATE(YEAR(설정_코스수당!$K$2),MONTH(설정_코스수당!$K$2)+1,0)),DATE(YEAR(설정_코스수당!$K$2),MONTH(설정_코스수당!$K$2),21),"")</f>
        <v>46194</v>
      </c>
      <c r="C2166" s="25"/>
      <c r="D2166" s="23"/>
      <c r="E2166" s="23"/>
      <c r="F2166" s="26"/>
      <c r="G2166" s="23"/>
      <c r="H2166" s="23"/>
      <c r="I2166" s="23"/>
      <c r="J2166" s="27">
        <f>IF($O2166="방문완료",MAX(0,IFERROR(VLOOKUP($E2166,설정_코스수당!$A$6:$H$10,4,FALSE),0)-IF(OR($P2166="",$P2166="없음"),0,100000)),0)</f>
        <v>0</v>
      </c>
      <c r="K2166" s="27">
        <f t="array" ref="K2166">IF($O2166="방문완료",IFERROR(INDEX(설정_코스수당!$B$15:$F$64,MATCH($G2166,설정_코스수당!$A$15:$A$64,0),MATCH($E2166&amp;"수당",설정_코스수당!$B$14:$F$14,0)),0),0)</f>
        <v>0</v>
      </c>
      <c r="L2166" s="27">
        <f t="array" ref="L2166">IF($O2166="방문완료",IF($H2166="",0,IFERROR(INDEX(설정_코스수당!$B$15:$F$64,MATCH($H2166,설정_코스수당!$A$15:$A$64,0),MATCH($E2166&amp;"수당",설정_코스수당!$B$14:$F$14,0)),0)),0)</f>
        <v>0</v>
      </c>
      <c r="M2166" s="27">
        <f>IF($O2166="방문완료",IFERROR(VLOOKUP($E2166,설정_코스수당!$A$6:$H$10,6,FALSE),0),0)</f>
        <v>0</v>
      </c>
      <c r="N2166" s="28">
        <f t="shared" si="62"/>
        <v>0</v>
      </c>
      <c r="O2166" s="23"/>
      <c r="P2166" s="23"/>
      <c r="Q2166" s="23"/>
      <c r="R2166" s="26"/>
      <c r="S2166" s="23"/>
    </row>
    <row r="2167" spans="1:27" ht="19.5" hidden="1" customHeight="1" outlineLevel="1">
      <c r="A2167" s="29">
        <v>94</v>
      </c>
      <c r="B2167" s="30">
        <f>IF(21&lt;=DAY(DATE(YEAR(설정_코스수당!$K$2),MONTH(설정_코스수당!$K$2)+1,0)),DATE(YEAR(설정_코스수당!$K$2),MONTH(설정_코스수당!$K$2),21),"")</f>
        <v>46194</v>
      </c>
      <c r="C2167" s="31"/>
      <c r="D2167" s="29"/>
      <c r="E2167" s="29"/>
      <c r="F2167" s="32"/>
      <c r="G2167" s="29"/>
      <c r="H2167" s="29"/>
      <c r="I2167" s="29"/>
      <c r="J2167" s="33">
        <f>IF($O2167="방문완료",MAX(0,IFERROR(VLOOKUP($E2167,설정_코스수당!$A$6:$H$10,4,FALSE),0)-IF(OR($P2167="",$P2167="없음"),0,100000)),0)</f>
        <v>0</v>
      </c>
      <c r="K2167" s="33">
        <f t="array" ref="K2167">IF($O2167="방문완료",IFERROR(INDEX(설정_코스수당!$B$15:$F$64,MATCH($G2167,설정_코스수당!$A$15:$A$64,0),MATCH($E2167&amp;"수당",설정_코스수당!$B$14:$F$14,0)),0),0)</f>
        <v>0</v>
      </c>
      <c r="L2167" s="33">
        <f t="array" ref="L2167">IF($O2167="방문완료",IF($H2167="",0,IFERROR(INDEX(설정_코스수당!$B$15:$F$64,MATCH($H2167,설정_코스수당!$A$15:$A$64,0),MATCH($E2167&amp;"수당",설정_코스수당!$B$14:$F$14,0)),0)),0)</f>
        <v>0</v>
      </c>
      <c r="M2167" s="33">
        <f>IF($O2167="방문완료",IFERROR(VLOOKUP($E2167,설정_코스수당!$A$6:$H$10,6,FALSE),0),0)</f>
        <v>0</v>
      </c>
      <c r="N2167" s="34">
        <f t="shared" si="62"/>
        <v>0</v>
      </c>
      <c r="O2167" s="29"/>
      <c r="P2167" s="29"/>
      <c r="Q2167" s="29"/>
      <c r="R2167" s="32"/>
      <c r="S2167" s="29"/>
    </row>
    <row r="2168" spans="1:27" ht="19.5" hidden="1" customHeight="1" outlineLevel="1">
      <c r="A2168" s="23">
        <v>95</v>
      </c>
      <c r="B2168" s="24">
        <f>IF(21&lt;=DAY(DATE(YEAR(설정_코스수당!$K$2),MONTH(설정_코스수당!$K$2)+1,0)),DATE(YEAR(설정_코스수당!$K$2),MONTH(설정_코스수당!$K$2),21),"")</f>
        <v>46194</v>
      </c>
      <c r="C2168" s="25"/>
      <c r="D2168" s="23"/>
      <c r="E2168" s="23"/>
      <c r="F2168" s="26"/>
      <c r="G2168" s="23"/>
      <c r="H2168" s="23"/>
      <c r="I2168" s="23"/>
      <c r="J2168" s="27">
        <f>IF($O2168="방문완료",MAX(0,IFERROR(VLOOKUP($E2168,설정_코스수당!$A$6:$H$10,4,FALSE),0)-IF(OR($P2168="",$P2168="없음"),0,100000)),0)</f>
        <v>0</v>
      </c>
      <c r="K2168" s="27">
        <f t="array" ref="K2168">IF($O2168="방문완료",IFERROR(INDEX(설정_코스수당!$B$15:$F$64,MATCH($G2168,설정_코스수당!$A$15:$A$64,0),MATCH($E2168&amp;"수당",설정_코스수당!$B$14:$F$14,0)),0),0)</f>
        <v>0</v>
      </c>
      <c r="L2168" s="27">
        <f t="array" ref="L2168">IF($O2168="방문완료",IF($H2168="",0,IFERROR(INDEX(설정_코스수당!$B$15:$F$64,MATCH($H2168,설정_코스수당!$A$15:$A$64,0),MATCH($E2168&amp;"수당",설정_코스수당!$B$14:$F$14,0)),0)),0)</f>
        <v>0</v>
      </c>
      <c r="M2168" s="27">
        <f>IF($O2168="방문완료",IFERROR(VLOOKUP($E2168,설정_코스수당!$A$6:$H$10,6,FALSE),0),0)</f>
        <v>0</v>
      </c>
      <c r="N2168" s="28">
        <f t="shared" si="62"/>
        <v>0</v>
      </c>
      <c r="O2168" s="23"/>
      <c r="P2168" s="23"/>
      <c r="Q2168" s="23"/>
      <c r="R2168" s="26"/>
      <c r="S2168" s="23"/>
    </row>
    <row r="2169" spans="1:27" ht="19.5" hidden="1" customHeight="1" outlineLevel="1">
      <c r="A2169" s="29">
        <v>96</v>
      </c>
      <c r="B2169" s="30">
        <f>IF(21&lt;=DAY(DATE(YEAR(설정_코스수당!$K$2),MONTH(설정_코스수당!$K$2)+1,0)),DATE(YEAR(설정_코스수당!$K$2),MONTH(설정_코스수당!$K$2),21),"")</f>
        <v>46194</v>
      </c>
      <c r="C2169" s="31"/>
      <c r="D2169" s="29"/>
      <c r="E2169" s="29"/>
      <c r="F2169" s="32"/>
      <c r="G2169" s="29"/>
      <c r="H2169" s="29"/>
      <c r="I2169" s="29"/>
      <c r="J2169" s="33">
        <f>IF($O2169="방문완료",MAX(0,IFERROR(VLOOKUP($E2169,설정_코스수당!$A$6:$H$10,4,FALSE),0)-IF(OR($P2169="",$P2169="없음"),0,100000)),0)</f>
        <v>0</v>
      </c>
      <c r="K2169" s="33">
        <f t="array" ref="K2169">IF($O2169="방문완료",IFERROR(INDEX(설정_코스수당!$B$15:$F$64,MATCH($G2169,설정_코스수당!$A$15:$A$64,0),MATCH($E2169&amp;"수당",설정_코스수당!$B$14:$F$14,0)),0),0)</f>
        <v>0</v>
      </c>
      <c r="L2169" s="33">
        <f t="array" ref="L2169">IF($O2169="방문완료",IF($H2169="",0,IFERROR(INDEX(설정_코스수당!$B$15:$F$64,MATCH($H2169,설정_코스수당!$A$15:$A$64,0),MATCH($E2169&amp;"수당",설정_코스수당!$B$14:$F$14,0)),0)),0)</f>
        <v>0</v>
      </c>
      <c r="M2169" s="33">
        <f>IF($O2169="방문완료",IFERROR(VLOOKUP($E2169,설정_코스수당!$A$6:$H$10,6,FALSE),0),0)</f>
        <v>0</v>
      </c>
      <c r="N2169" s="34">
        <f t="shared" si="62"/>
        <v>0</v>
      </c>
      <c r="O2169" s="29"/>
      <c r="P2169" s="29"/>
      <c r="Q2169" s="29"/>
      <c r="R2169" s="32"/>
      <c r="S2169" s="29"/>
    </row>
    <row r="2170" spans="1:27" ht="19.5" hidden="1" customHeight="1" outlineLevel="1">
      <c r="A2170" s="23">
        <v>97</v>
      </c>
      <c r="B2170" s="24">
        <f>IF(21&lt;=DAY(DATE(YEAR(설정_코스수당!$K$2),MONTH(설정_코스수당!$K$2)+1,0)),DATE(YEAR(설정_코스수당!$K$2),MONTH(설정_코스수당!$K$2),21),"")</f>
        <v>46194</v>
      </c>
      <c r="C2170" s="25"/>
      <c r="D2170" s="23"/>
      <c r="E2170" s="23"/>
      <c r="F2170" s="26"/>
      <c r="G2170" s="23"/>
      <c r="H2170" s="23"/>
      <c r="I2170" s="23"/>
      <c r="J2170" s="27">
        <f>IF($O2170="방문완료",MAX(0,IFERROR(VLOOKUP($E2170,설정_코스수당!$A$6:$H$10,4,FALSE),0)-IF(OR($P2170="",$P2170="없음"),0,100000)),0)</f>
        <v>0</v>
      </c>
      <c r="K2170" s="27">
        <f t="array" ref="K2170">IF($O2170="방문완료",IFERROR(INDEX(설정_코스수당!$B$15:$F$64,MATCH($G2170,설정_코스수당!$A$15:$A$64,0),MATCH($E2170&amp;"수당",설정_코스수당!$B$14:$F$14,0)),0),0)</f>
        <v>0</v>
      </c>
      <c r="L2170" s="27">
        <f t="array" ref="L2170">IF($O2170="방문완료",IF($H2170="",0,IFERROR(INDEX(설정_코스수당!$B$15:$F$64,MATCH($H2170,설정_코스수당!$A$15:$A$64,0),MATCH($E2170&amp;"수당",설정_코스수당!$B$14:$F$14,0)),0)),0)</f>
        <v>0</v>
      </c>
      <c r="M2170" s="27">
        <f>IF($O2170="방문완료",IFERROR(VLOOKUP($E2170,설정_코스수당!$A$6:$H$10,6,FALSE),0),0)</f>
        <v>0</v>
      </c>
      <c r="N2170" s="28">
        <f t="shared" si="62"/>
        <v>0</v>
      </c>
      <c r="O2170" s="23"/>
      <c r="P2170" s="23"/>
      <c r="Q2170" s="23"/>
      <c r="R2170" s="26"/>
      <c r="S2170" s="23"/>
    </row>
    <row r="2171" spans="1:27" ht="19.5" hidden="1" customHeight="1" outlineLevel="1">
      <c r="A2171" s="29">
        <v>98</v>
      </c>
      <c r="B2171" s="30">
        <f>IF(21&lt;=DAY(DATE(YEAR(설정_코스수당!$K$2),MONTH(설정_코스수당!$K$2)+1,0)),DATE(YEAR(설정_코스수당!$K$2),MONTH(설정_코스수당!$K$2),21),"")</f>
        <v>46194</v>
      </c>
      <c r="C2171" s="31"/>
      <c r="D2171" s="29"/>
      <c r="E2171" s="29"/>
      <c r="F2171" s="32"/>
      <c r="G2171" s="29"/>
      <c r="H2171" s="29"/>
      <c r="I2171" s="29"/>
      <c r="J2171" s="33">
        <f>IF($O2171="방문완료",MAX(0,IFERROR(VLOOKUP($E2171,설정_코스수당!$A$6:$H$10,4,FALSE),0)-IF(OR($P2171="",$P2171="없음"),0,100000)),0)</f>
        <v>0</v>
      </c>
      <c r="K2171" s="33">
        <f t="array" ref="K2171">IF($O2171="방문완료",IFERROR(INDEX(설정_코스수당!$B$15:$F$64,MATCH($G2171,설정_코스수당!$A$15:$A$64,0),MATCH($E2171&amp;"수당",설정_코스수당!$B$14:$F$14,0)),0),0)</f>
        <v>0</v>
      </c>
      <c r="L2171" s="33">
        <f t="array" ref="L2171">IF($O2171="방문완료",IF($H2171="",0,IFERROR(INDEX(설정_코스수당!$B$15:$F$64,MATCH($H2171,설정_코스수당!$A$15:$A$64,0),MATCH($E2171&amp;"수당",설정_코스수당!$B$14:$F$14,0)),0)),0)</f>
        <v>0</v>
      </c>
      <c r="M2171" s="33">
        <f>IF($O2171="방문완료",IFERROR(VLOOKUP($E2171,설정_코스수당!$A$6:$H$10,6,FALSE),0),0)</f>
        <v>0</v>
      </c>
      <c r="N2171" s="34">
        <f t="shared" si="62"/>
        <v>0</v>
      </c>
      <c r="O2171" s="29"/>
      <c r="P2171" s="29"/>
      <c r="Q2171" s="29"/>
      <c r="R2171" s="32"/>
      <c r="S2171" s="29"/>
    </row>
    <row r="2172" spans="1:27" ht="19.5" hidden="1" customHeight="1" outlineLevel="1">
      <c r="A2172" s="23">
        <v>99</v>
      </c>
      <c r="B2172" s="24">
        <f>IF(21&lt;=DAY(DATE(YEAR(설정_코스수당!$K$2),MONTH(설정_코스수당!$K$2)+1,0)),DATE(YEAR(설정_코스수당!$K$2),MONTH(설정_코스수당!$K$2),21),"")</f>
        <v>46194</v>
      </c>
      <c r="C2172" s="25"/>
      <c r="D2172" s="23"/>
      <c r="E2172" s="23"/>
      <c r="F2172" s="26"/>
      <c r="G2172" s="23"/>
      <c r="H2172" s="23"/>
      <c r="I2172" s="23"/>
      <c r="J2172" s="27">
        <f>IF($O2172="방문완료",MAX(0,IFERROR(VLOOKUP($E2172,설정_코스수당!$A$6:$H$10,4,FALSE),0)-IF(OR($P2172="",$P2172="없음"),0,100000)),0)</f>
        <v>0</v>
      </c>
      <c r="K2172" s="27">
        <f t="array" ref="K2172">IF($O2172="방문완료",IFERROR(INDEX(설정_코스수당!$B$15:$F$64,MATCH($G2172,설정_코스수당!$A$15:$A$64,0),MATCH($E2172&amp;"수당",설정_코스수당!$B$14:$F$14,0)),0),0)</f>
        <v>0</v>
      </c>
      <c r="L2172" s="27">
        <f t="array" ref="L2172">IF($O2172="방문완료",IF($H2172="",0,IFERROR(INDEX(설정_코스수당!$B$15:$F$64,MATCH($H2172,설정_코스수당!$A$15:$A$64,0),MATCH($E2172&amp;"수당",설정_코스수당!$B$14:$F$14,0)),0)),0)</f>
        <v>0</v>
      </c>
      <c r="M2172" s="27">
        <f>IF($O2172="방문완료",IFERROR(VLOOKUP($E2172,설정_코스수당!$A$6:$H$10,6,FALSE),0),0)</f>
        <v>0</v>
      </c>
      <c r="N2172" s="28">
        <f t="shared" si="62"/>
        <v>0</v>
      </c>
      <c r="O2172" s="23"/>
      <c r="P2172" s="23"/>
      <c r="Q2172" s="23"/>
      <c r="R2172" s="26"/>
      <c r="S2172" s="23"/>
    </row>
    <row r="2173" spans="1:27" ht="19.5" hidden="1" customHeight="1" outlineLevel="1">
      <c r="A2173" s="29">
        <v>100</v>
      </c>
      <c r="B2173" s="30">
        <f>IF(21&lt;=DAY(DATE(YEAR(설정_코스수당!$K$2),MONTH(설정_코스수당!$K$2)+1,0)),DATE(YEAR(설정_코스수당!$K$2),MONTH(설정_코스수당!$K$2),21),"")</f>
        <v>46194</v>
      </c>
      <c r="C2173" s="31"/>
      <c r="D2173" s="29"/>
      <c r="E2173" s="29"/>
      <c r="F2173" s="32"/>
      <c r="G2173" s="29"/>
      <c r="H2173" s="29"/>
      <c r="I2173" s="29"/>
      <c r="J2173" s="33">
        <f>IF($O2173="방문완료",MAX(0,IFERROR(VLOOKUP($E2173,설정_코스수당!$A$6:$H$10,4,FALSE),0)-IF(OR($P2173="",$P2173="없음"),0,100000)),0)</f>
        <v>0</v>
      </c>
      <c r="K2173" s="33">
        <f t="array" ref="K2173">IF($O2173="방문완료",IFERROR(INDEX(설정_코스수당!$B$15:$F$64,MATCH($G2173,설정_코스수당!$A$15:$A$64,0),MATCH($E2173&amp;"수당",설정_코스수당!$B$14:$F$14,0)),0),0)</f>
        <v>0</v>
      </c>
      <c r="L2173" s="33">
        <f t="array" ref="L2173">IF($O2173="방문완료",IF($H2173="",0,IFERROR(INDEX(설정_코스수당!$B$15:$F$64,MATCH($H2173,설정_코스수당!$A$15:$A$64,0),MATCH($E2173&amp;"수당",설정_코스수당!$B$14:$F$14,0)),0)),0)</f>
        <v>0</v>
      </c>
      <c r="M2173" s="33">
        <f>IF($O2173="방문완료",IFERROR(VLOOKUP($E2173,설정_코스수당!$A$6:$H$10,6,FALSE),0),0)</f>
        <v>0</v>
      </c>
      <c r="N2173" s="34">
        <f t="shared" si="62"/>
        <v>0</v>
      </c>
      <c r="O2173" s="29"/>
      <c r="P2173" s="29"/>
      <c r="Q2173" s="29"/>
      <c r="R2173" s="32"/>
      <c r="S2173" s="29"/>
    </row>
    <row r="2174" spans="1:27" ht="19.5" hidden="1" customHeight="1" outlineLevel="1">
      <c r="A2174" s="36" t="s">
        <v>79</v>
      </c>
      <c r="B2174" s="37"/>
      <c r="C2174" s="38"/>
      <c r="D2174" s="37"/>
      <c r="E2174" s="37"/>
      <c r="F2174" s="37"/>
      <c r="G2174" s="37"/>
      <c r="H2174" s="37"/>
      <c r="I2174" s="37"/>
      <c r="J2174" s="37">
        <f>IF($O2174="방문완료",MAX(0,IFERROR(VLOOKUP($E2174,설정_코스수당!$A$6:$H$10,4,FALSE),0)-IF(OR($P2174="",$P2174="없음"),0,100000)),0)</f>
        <v>0</v>
      </c>
      <c r="O2174" s="18"/>
      <c r="P2174" s="14"/>
      <c r="Q2174" s="18"/>
      <c r="S2174" s="18"/>
    </row>
    <row r="2175" spans="1:27" ht="21" customHeight="1" collapsed="1">
      <c r="A2175" s="123" t="str">
        <f>IF(22&lt;=DAY(DATE(YEAR(설정_코스수당!$K$2),MONTH(설정_코스수당!$K$2)+1,0)),TEXT(DATE(YEAR(설정_코스수당!$K$2),MONTH(설정_코스수당!$K$2),22),"yyyy-mm-dd")&amp;"  |  예약관리 100슬롯","")</f>
        <v>2026-06-22  |  예약관리 100슬롯</v>
      </c>
      <c r="B2175" s="124"/>
      <c r="C2175" s="124"/>
      <c r="D2175" s="124"/>
      <c r="E2175" s="124"/>
      <c r="F2175" s="124"/>
      <c r="G2175" s="124"/>
      <c r="H2175" s="124"/>
      <c r="I2175" s="124"/>
      <c r="J2175" s="124"/>
      <c r="K2175" s="124"/>
      <c r="L2175" s="124"/>
      <c r="M2175" s="124"/>
      <c r="N2175" s="124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  <c r="AA2175" s="19"/>
    </row>
    <row r="2176" spans="1:27" ht="19.5" hidden="1" customHeight="1" outlineLevel="1">
      <c r="A2176" s="20" t="s">
        <v>41</v>
      </c>
      <c r="B2176" s="20" t="s">
        <v>42</v>
      </c>
      <c r="C2176" s="39" t="s">
        <v>43</v>
      </c>
      <c r="D2176" s="20" t="s">
        <v>44</v>
      </c>
      <c r="E2176" s="20" t="s">
        <v>45</v>
      </c>
      <c r="F2176" s="20" t="s">
        <v>46</v>
      </c>
      <c r="G2176" s="20" t="s">
        <v>47</v>
      </c>
      <c r="H2176" s="20" t="s">
        <v>48</v>
      </c>
      <c r="I2176" s="20" t="s">
        <v>49</v>
      </c>
      <c r="J2176" s="20" t="s">
        <v>50</v>
      </c>
      <c r="K2176" s="20" t="s">
        <v>51</v>
      </c>
      <c r="L2176" s="20" t="s">
        <v>52</v>
      </c>
      <c r="M2176" s="20" t="s">
        <v>53</v>
      </c>
      <c r="N2176" s="20" t="s">
        <v>54</v>
      </c>
      <c r="O2176" s="20" t="s">
        <v>55</v>
      </c>
      <c r="P2176" s="20" t="s">
        <v>56</v>
      </c>
      <c r="Q2176" s="18"/>
      <c r="R2176" s="20" t="s">
        <v>58</v>
      </c>
      <c r="S2176" s="20" t="s">
        <v>59</v>
      </c>
      <c r="U2176" s="122" t="str">
        <f>IF(22&lt;=DAY(DATE(YEAR(설정_코스수당!$K$2),MONTH(설정_코스수당!$K$2)+1,0)),TEXT(DATE(YEAR(설정_코스수당!$K$2),MONTH(설정_코스수당!$K$2),22),"yyyy-mm-dd")&amp;" 일일 상태","")</f>
        <v>2026-06-22 일일 상태</v>
      </c>
      <c r="V2176" s="125"/>
      <c r="W2176" s="122" t="s">
        <v>3</v>
      </c>
      <c r="X2176" s="125"/>
    </row>
    <row r="2177" spans="1:24" ht="19.5" hidden="1" customHeight="1" outlineLevel="1">
      <c r="A2177" s="23">
        <v>1</v>
      </c>
      <c r="B2177" s="24">
        <f>IF(22&lt;=DAY(DATE(YEAR(설정_코스수당!$K$2),MONTH(설정_코스수당!$K$2)+1,0)),DATE(YEAR(설정_코스수당!$K$2),MONTH(설정_코스수당!$K$2),22),"")</f>
        <v>46195</v>
      </c>
      <c r="C2177" s="25">
        <v>0.47916666666666669</v>
      </c>
      <c r="D2177" s="23"/>
      <c r="E2177" s="23" t="s">
        <v>80</v>
      </c>
      <c r="F2177" s="26"/>
      <c r="G2177" s="23"/>
      <c r="H2177" s="23"/>
      <c r="I2177" s="23"/>
      <c r="J2177" s="27">
        <f>IF($O2177="방문완료",MAX(0,IFERROR(VLOOKUP($E2177,설정_코스수당!$A$6:$H$10,4,FALSE),0)-IF(OR($P2177="",$P2177="없음"),0,100000)),0)</f>
        <v>0</v>
      </c>
      <c r="K2177" s="27">
        <f t="array" ref="K2177">IF($O2177="방문완료",IFERROR(INDEX(설정_코스수당!$B$15:$F$64,MATCH($G2177,설정_코스수당!$A$15:$A$64,0),MATCH($E2177&amp;"수당",설정_코스수당!$B$14:$F$14,0)),0),0)</f>
        <v>0</v>
      </c>
      <c r="L2177" s="27">
        <f t="array" ref="L2177">IF($O2177="방문완료",IF($H2177="",0,IFERROR(INDEX(설정_코스수당!$B$15:$F$64,MATCH($H2177,설정_코스수당!$A$15:$A$64,0),MATCH($E2177&amp;"수당",설정_코스수당!$B$14:$F$14,0)),0)),0)</f>
        <v>0</v>
      </c>
      <c r="M2177" s="27">
        <f>IF($O2177="방문완료",IFERROR(VLOOKUP($E2177,설정_코스수당!$A$6:$H$10,6,FALSE),0),0)</f>
        <v>0</v>
      </c>
      <c r="N2177" s="28">
        <f t="shared" ref="N2177:N2208" si="63">IF($O2177="방문완료",1,0)</f>
        <v>0</v>
      </c>
      <c r="O2177" s="23"/>
      <c r="P2177" s="23"/>
      <c r="Q2177" s="23"/>
      <c r="R2177" s="26"/>
      <c r="S2177" s="23"/>
      <c r="U2177" s="104" t="s">
        <v>63</v>
      </c>
      <c r="V2177" s="105">
        <f>IF(22&lt;=DAY(DATE(YEAR(설정_코스수당!$K$2),MONTH(설정_코스수당!$K$2)+1,0)),COUNTIFS($B:$B,DATE(YEAR(설정_코스수당!$K$2),MONTH(설정_코스수당!$K$2),22),$O:$O,"&lt;&gt;"),"")</f>
        <v>0</v>
      </c>
      <c r="W2177" s="104" t="s">
        <v>6</v>
      </c>
      <c r="X2177" s="105">
        <f>IF(22&lt;=DAY(DATE(YEAR(설정_코스수당!$K$2),MONTH(설정_코스수당!$K$2)+1,0)),COUNTIFS($B:$B,DATE(YEAR(설정_코스수당!$K$2),MONTH(설정_코스수당!$K$2),22),$E:$E,"A",$O:$O,"방문완료"),"")</f>
        <v>0</v>
      </c>
    </row>
    <row r="2178" spans="1:24" ht="19.5" hidden="1" customHeight="1" outlineLevel="1">
      <c r="A2178" s="29">
        <v>2</v>
      </c>
      <c r="B2178" s="30">
        <f>IF(22&lt;=DAY(DATE(YEAR(설정_코스수당!$K$2),MONTH(설정_코스수당!$K$2)+1,0)),DATE(YEAR(설정_코스수당!$K$2),MONTH(설정_코스수당!$K$2),22),"")</f>
        <v>46195</v>
      </c>
      <c r="C2178" s="31"/>
      <c r="D2178" s="29"/>
      <c r="E2178" s="29"/>
      <c r="F2178" s="32"/>
      <c r="G2178" s="29"/>
      <c r="H2178" s="29"/>
      <c r="I2178" s="29"/>
      <c r="J2178" s="33">
        <f>IF($O2178="방문완료",MAX(0,IFERROR(VLOOKUP($E2178,설정_코스수당!$A$6:$H$10,4,FALSE),0)-IF(OR($P2178="",$P2178="없음"),0,100000)),0)</f>
        <v>0</v>
      </c>
      <c r="K2178" s="33">
        <f t="array" ref="K2178">IF($O2178="방문완료",IFERROR(INDEX(설정_코스수당!$B$15:$F$64,MATCH($G2178,설정_코스수당!$A$15:$A$64,0),MATCH($E2178&amp;"수당",설정_코스수당!$B$14:$F$14,0)),0),0)</f>
        <v>0</v>
      </c>
      <c r="L2178" s="33">
        <f t="array" ref="L2178">IF($O2178="방문완료",IF($H2178="",0,IFERROR(INDEX(설정_코스수당!$B$15:$F$64,MATCH($H2178,설정_코스수당!$A$15:$A$64,0),MATCH($E2178&amp;"수당",설정_코스수당!$B$14:$F$14,0)),0)),0)</f>
        <v>0</v>
      </c>
      <c r="M2178" s="33">
        <f>IF($O2178="방문완료",IFERROR(VLOOKUP($E2178,설정_코스수당!$A$6:$H$10,6,FALSE),0),0)</f>
        <v>0</v>
      </c>
      <c r="N2178" s="34">
        <f t="shared" si="63"/>
        <v>0</v>
      </c>
      <c r="O2178" s="29"/>
      <c r="P2178" s="29"/>
      <c r="Q2178" s="29"/>
      <c r="R2178" s="32"/>
      <c r="S2178" s="29"/>
      <c r="U2178" s="104" t="s">
        <v>62</v>
      </c>
      <c r="V2178" s="105">
        <f>IF(22&lt;=DAY(DATE(YEAR(설정_코스수당!$K$2),MONTH(설정_코스수당!$K$2)+1,0)),COUNTIFS($B:$B,DATE(YEAR(설정_코스수당!$K$2),MONTH(설정_코스수당!$K$2),22),$O:$O,"방문완료"),"")</f>
        <v>0</v>
      </c>
      <c r="W2178" s="104" t="s">
        <v>9</v>
      </c>
      <c r="X2178" s="105">
        <f>IF(22&lt;=DAY(DATE(YEAR(설정_코스수당!$K$2),MONTH(설정_코스수당!$K$2)+1,0)),COUNTIFS($B:$B,DATE(YEAR(설정_코스수당!$K$2),MONTH(설정_코스수당!$K$2),22),$E:$E,"B",$O:$O,"방문완료"),"")</f>
        <v>0</v>
      </c>
    </row>
    <row r="2179" spans="1:24" ht="19.5" hidden="1" customHeight="1" outlineLevel="1">
      <c r="A2179" s="23">
        <v>3</v>
      </c>
      <c r="B2179" s="24">
        <f>IF(22&lt;=DAY(DATE(YEAR(설정_코스수당!$K$2),MONTH(설정_코스수당!$K$2)+1,0)),DATE(YEAR(설정_코스수당!$K$2),MONTH(설정_코스수당!$K$2),22),"")</f>
        <v>46195</v>
      </c>
      <c r="C2179" s="25"/>
      <c r="D2179" s="23"/>
      <c r="E2179" s="23"/>
      <c r="F2179" s="26"/>
      <c r="G2179" s="23"/>
      <c r="H2179" s="23"/>
      <c r="I2179" s="23"/>
      <c r="J2179" s="27">
        <f>IF($O2179="방문완료",MAX(0,IFERROR(VLOOKUP($E2179,설정_코스수당!$A$6:$H$10,4,FALSE),0)-IF(OR($P2179="",$P2179="없음"),0,100000)),0)</f>
        <v>0</v>
      </c>
      <c r="K2179" s="27">
        <f t="array" ref="K2179">IF($O2179="방문완료",IFERROR(INDEX(설정_코스수당!$B$15:$F$64,MATCH($G2179,설정_코스수당!$A$15:$A$64,0),MATCH($E2179&amp;"수당",설정_코스수당!$B$14:$F$14,0)),0),0)</f>
        <v>0</v>
      </c>
      <c r="L2179" s="27">
        <f t="array" ref="L2179">IF($O2179="방문완료",IF($H2179="",0,IFERROR(INDEX(설정_코스수당!$B$15:$F$64,MATCH($H2179,설정_코스수당!$A$15:$A$64,0),MATCH($E2179&amp;"수당",설정_코스수당!$B$14:$F$14,0)),0)),0)</f>
        <v>0</v>
      </c>
      <c r="M2179" s="27">
        <f>IF($O2179="방문완료",IFERROR(VLOOKUP($E2179,설정_코스수당!$A$6:$H$10,6,FALSE),0),0)</f>
        <v>0</v>
      </c>
      <c r="N2179" s="28">
        <f t="shared" si="63"/>
        <v>0</v>
      </c>
      <c r="O2179" s="23"/>
      <c r="P2179" s="23"/>
      <c r="Q2179" s="23"/>
      <c r="R2179" s="26"/>
      <c r="S2179" s="23"/>
      <c r="U2179" s="104" t="s">
        <v>68</v>
      </c>
      <c r="V2179" s="105" t="str">
        <f>IF(22&lt;=DAY(DATE(YEAR(설정_코스수당!$K$2),MONTH(설정_코스수당!$K$2)+1,0)),COUNTIFS($B:$B,DATE(YEAR(설정_코스수당!$K$2),MONTH(설정_코스수당!$K$2),22),$O:$O,"노쇼")&amp;"/"&amp;COUNTIFS($B:$B,DATE(YEAR(설정_코스수당!$K$2),MONTH(설정_코스수당!$K$2),22),$O:$O,"취소"),"")</f>
        <v>0/0</v>
      </c>
      <c r="W2179" s="104" t="s">
        <v>12</v>
      </c>
      <c r="X2179" s="105">
        <f>IF(22&lt;=DAY(DATE(YEAR(설정_코스수당!$K$2),MONTH(설정_코스수당!$K$2)+1,0)),COUNTIFS($B:$B,DATE(YEAR(설정_코스수당!$K$2),MONTH(설정_코스수당!$K$2),22),$E:$E,"C",$O:$O,"방문완료"),"")</f>
        <v>0</v>
      </c>
    </row>
    <row r="2180" spans="1:24" ht="19.5" hidden="1" customHeight="1" outlineLevel="1">
      <c r="A2180" s="29">
        <v>4</v>
      </c>
      <c r="B2180" s="30">
        <f>IF(22&lt;=DAY(DATE(YEAR(설정_코스수당!$K$2),MONTH(설정_코스수당!$K$2)+1,0)),DATE(YEAR(설정_코스수당!$K$2),MONTH(설정_코스수당!$K$2),22),"")</f>
        <v>46195</v>
      </c>
      <c r="C2180" s="31"/>
      <c r="D2180" s="29"/>
      <c r="E2180" s="29"/>
      <c r="F2180" s="32"/>
      <c r="G2180" s="29"/>
      <c r="H2180" s="29"/>
      <c r="I2180" s="29"/>
      <c r="J2180" s="33">
        <f>IF($O2180="방문완료",MAX(0,IFERROR(VLOOKUP($E2180,설정_코스수당!$A$6:$H$10,4,FALSE),0)-IF(OR($P2180="",$P2180="없음"),0,100000)),0)</f>
        <v>0</v>
      </c>
      <c r="K2180" s="33">
        <f t="array" ref="K2180">IF($O2180="방문완료",IFERROR(INDEX(설정_코스수당!$B$15:$F$64,MATCH($G2180,설정_코스수당!$A$15:$A$64,0),MATCH($E2180&amp;"수당",설정_코스수당!$B$14:$F$14,0)),0),0)</f>
        <v>0</v>
      </c>
      <c r="L2180" s="33">
        <f t="array" ref="L2180">IF($O2180="방문완료",IF($H2180="",0,IFERROR(INDEX(설정_코스수당!$B$15:$F$64,MATCH($H2180,설정_코스수당!$A$15:$A$64,0),MATCH($E2180&amp;"수당",설정_코스수당!$B$14:$F$14,0)),0)),0)</f>
        <v>0</v>
      </c>
      <c r="M2180" s="33">
        <f>IF($O2180="방문완료",IFERROR(VLOOKUP($E2180,설정_코스수당!$A$6:$H$10,6,FALSE),0),0)</f>
        <v>0</v>
      </c>
      <c r="N2180" s="34">
        <f t="shared" si="63"/>
        <v>0</v>
      </c>
      <c r="O2180" s="29"/>
      <c r="P2180" s="29"/>
      <c r="Q2180" s="29"/>
      <c r="R2180" s="32"/>
      <c r="S2180" s="29"/>
      <c r="U2180" s="104" t="s">
        <v>69</v>
      </c>
      <c r="V2180" s="106">
        <f>IF(22&lt;=DAY(DATE(YEAR(설정_코스수당!$K$2),MONTH(설정_코스수당!$K$2)+1,0)),SUMIFS($J:$J,$B:$B,DATE(YEAR(설정_코스수당!$K$2),MONTH(설정_코스수당!$K$2),22),$O:$O,"방문완료"),"")</f>
        <v>0</v>
      </c>
      <c r="W2180" s="104" t="s">
        <v>15</v>
      </c>
      <c r="X2180" s="105">
        <f>IF(22&lt;=DAY(DATE(YEAR(설정_코스수당!$K$2),MONTH(설정_코스수당!$K$2)+1,0)),COUNTIFS($B:$B,DATE(YEAR(설정_코스수당!$K$2),MONTH(설정_코스수당!$K$2),22),$E:$E,"D",$O:$O,"방문완료"),"")</f>
        <v>0</v>
      </c>
    </row>
    <row r="2181" spans="1:24" ht="19.5" hidden="1" customHeight="1" outlineLevel="1">
      <c r="A2181" s="23">
        <v>5</v>
      </c>
      <c r="B2181" s="24">
        <f>IF(22&lt;=DAY(DATE(YEAR(설정_코스수당!$K$2),MONTH(설정_코스수당!$K$2)+1,0)),DATE(YEAR(설정_코스수당!$K$2),MONTH(설정_코스수당!$K$2),22),"")</f>
        <v>46195</v>
      </c>
      <c r="C2181" s="25"/>
      <c r="D2181" s="23"/>
      <c r="E2181" s="23"/>
      <c r="F2181" s="26"/>
      <c r="G2181" s="23"/>
      <c r="H2181" s="23"/>
      <c r="I2181" s="23"/>
      <c r="J2181" s="27">
        <f>IF($O2181="방문완료",MAX(0,IFERROR(VLOOKUP($E2181,설정_코스수당!$A$6:$H$10,4,FALSE),0)-IF(OR($P2181="",$P2181="없음"),0,100000)),0)</f>
        <v>0</v>
      </c>
      <c r="K2181" s="27">
        <f t="array" ref="K2181">IF($O2181="방문완료",IFERROR(INDEX(설정_코스수당!$B$15:$F$64,MATCH($G2181,설정_코스수당!$A$15:$A$64,0),MATCH($E2181&amp;"수당",설정_코스수당!$B$14:$F$14,0)),0),0)</f>
        <v>0</v>
      </c>
      <c r="L2181" s="27">
        <f t="array" ref="L2181">IF($O2181="방문완료",IF($H2181="",0,IFERROR(INDEX(설정_코스수당!$B$15:$F$64,MATCH($H2181,설정_코스수당!$A$15:$A$64,0),MATCH($E2181&amp;"수당",설정_코스수당!$B$14:$F$14,0)),0)),0)</f>
        <v>0</v>
      </c>
      <c r="M2181" s="27">
        <f>IF($O2181="방문완료",IFERROR(VLOOKUP($E2181,설정_코스수당!$A$6:$H$10,6,FALSE),0),0)</f>
        <v>0</v>
      </c>
      <c r="N2181" s="28">
        <f t="shared" si="63"/>
        <v>0</v>
      </c>
      <c r="O2181" s="23"/>
      <c r="P2181" s="23"/>
      <c r="Q2181" s="23"/>
      <c r="R2181" s="26"/>
      <c r="S2181" s="23"/>
      <c r="U2181" s="104" t="s">
        <v>70</v>
      </c>
      <c r="V2181" s="106">
        <f>IF(22&lt;=DAY(DATE(YEAR(설정_코스수당!$K$2),MONTH(설정_코스수당!$K$2)+1,0)),SUMIFS($K:$K,$B:$B,DATE(YEAR(설정_코스수당!$K$2),MONTH(설정_코스수당!$K$2),22),$O:$O,"방문완료")+SUMIFS($L:$L,$B:$B,DATE(YEAR(설정_코스수당!$K$2),MONTH(설정_코스수당!$K$2),22),$O:$O,"방문완료"),"")</f>
        <v>0</v>
      </c>
      <c r="W2181" s="104" t="s">
        <v>18</v>
      </c>
      <c r="X2181" s="105">
        <f>IF(22&lt;=DAY(DATE(YEAR(설정_코스수당!$K$2),MONTH(설정_코스수당!$K$2)+1,0)),COUNTIFS($B:$B,DATE(YEAR(설정_코스수당!$K$2),MONTH(설정_코스수당!$K$2),22),$E:$E,"E",$O:$O,"방문완료"),"")</f>
        <v>0</v>
      </c>
    </row>
    <row r="2182" spans="1:24" ht="19.5" hidden="1" customHeight="1" outlineLevel="1">
      <c r="A2182" s="29">
        <v>6</v>
      </c>
      <c r="B2182" s="30">
        <f>IF(22&lt;=DAY(DATE(YEAR(설정_코스수당!$K$2),MONTH(설정_코스수당!$K$2)+1,0)),DATE(YEAR(설정_코스수당!$K$2),MONTH(설정_코스수당!$K$2),22),"")</f>
        <v>46195</v>
      </c>
      <c r="C2182" s="31"/>
      <c r="D2182" s="29"/>
      <c r="E2182" s="29"/>
      <c r="F2182" s="32"/>
      <c r="G2182" s="29"/>
      <c r="H2182" s="29"/>
      <c r="I2182" s="29"/>
      <c r="J2182" s="33">
        <f>IF($O2182="방문완료",MAX(0,IFERROR(VLOOKUP($E2182,설정_코스수당!$A$6:$H$10,4,FALSE),0)-IF(OR($P2182="",$P2182="없음"),0,100000)),0)</f>
        <v>0</v>
      </c>
      <c r="K2182" s="33">
        <f t="array" ref="K2182">IF($O2182="방문완료",IFERROR(INDEX(설정_코스수당!$B$15:$F$64,MATCH($G2182,설정_코스수당!$A$15:$A$64,0),MATCH($E2182&amp;"수당",설정_코스수당!$B$14:$F$14,0)),0),0)</f>
        <v>0</v>
      </c>
      <c r="L2182" s="33">
        <f t="array" ref="L2182">IF($O2182="방문완료",IF($H2182="",0,IFERROR(INDEX(설정_코스수당!$B$15:$F$64,MATCH($H2182,설정_코스수당!$A$15:$A$64,0),MATCH($E2182&amp;"수당",설정_코스수당!$B$14:$F$14,0)),0)),0)</f>
        <v>0</v>
      </c>
      <c r="M2182" s="33">
        <f>IF($O2182="방문완료",IFERROR(VLOOKUP($E2182,설정_코스수당!$A$6:$H$10,6,FALSE),0),0)</f>
        <v>0</v>
      </c>
      <c r="N2182" s="34">
        <f t="shared" si="63"/>
        <v>0</v>
      </c>
      <c r="O2182" s="29"/>
      <c r="P2182" s="29"/>
      <c r="Q2182" s="29"/>
      <c r="R2182" s="32"/>
      <c r="S2182" s="29"/>
      <c r="U2182" s="104" t="s">
        <v>53</v>
      </c>
      <c r="V2182" s="106">
        <f>IF(22&lt;=DAY(DATE(YEAR(설정_코스수당!$K$2),MONTH(설정_코스수당!$K$2)+1,0)),SUMIFS($M:$M,$B:$B,DATE(YEAR(설정_코스수당!$K$2),MONTH(설정_코스수당!$K$2),22),$O:$O,"방문완료"),"")</f>
        <v>0</v>
      </c>
      <c r="W2182" s="104" t="s">
        <v>71</v>
      </c>
      <c r="X2182" s="107">
        <f>IF(22&lt;=DAY(DATE(YEAR(설정_코스수당!$K$2),MONTH(설정_코스수당!$K$2)+1,0)),COUNTIFS($B:$B,DATE(YEAR(설정_코스수당!$K$2),MONTH(설정_코스수당!$K$2),22),$O:$O,"방문완료",$P:$P,"&lt;&gt;",$P:$P,"&lt;&gt;없음"),"")</f>
        <v>0</v>
      </c>
    </row>
    <row r="2183" spans="1:24" ht="19.5" hidden="1" customHeight="1" outlineLevel="1">
      <c r="A2183" s="23">
        <v>7</v>
      </c>
      <c r="B2183" s="24">
        <f>IF(22&lt;=DAY(DATE(YEAR(설정_코스수당!$K$2),MONTH(설정_코스수당!$K$2)+1,0)),DATE(YEAR(설정_코스수당!$K$2),MONTH(설정_코스수당!$K$2),22),"")</f>
        <v>46195</v>
      </c>
      <c r="C2183" s="25"/>
      <c r="D2183" s="23"/>
      <c r="E2183" s="23"/>
      <c r="F2183" s="26"/>
      <c r="G2183" s="23"/>
      <c r="H2183" s="23"/>
      <c r="I2183" s="23"/>
      <c r="J2183" s="27">
        <f>IF($O2183="방문완료",MAX(0,IFERROR(VLOOKUP($E2183,설정_코스수당!$A$6:$H$10,4,FALSE),0)-IF(OR($P2183="",$P2183="없음"),0,100000)),0)</f>
        <v>0</v>
      </c>
      <c r="K2183" s="27">
        <f t="array" ref="K2183">IF($O2183="방문완료",IFERROR(INDEX(설정_코스수당!$B$15:$F$64,MATCH($G2183,설정_코스수당!$A$15:$A$64,0),MATCH($E2183&amp;"수당",설정_코스수당!$B$14:$F$14,0)),0),0)</f>
        <v>0</v>
      </c>
      <c r="L2183" s="27">
        <f t="array" ref="L2183">IF($O2183="방문완료",IF($H2183="",0,IFERROR(INDEX(설정_코스수당!$B$15:$F$64,MATCH($H2183,설정_코스수당!$A$15:$A$64,0),MATCH($E2183&amp;"수당",설정_코스수당!$B$14:$F$14,0)),0)),0)</f>
        <v>0</v>
      </c>
      <c r="M2183" s="27">
        <f>IF($O2183="방문완료",IFERROR(VLOOKUP($E2183,설정_코스수당!$A$6:$H$10,6,FALSE),0),0)</f>
        <v>0</v>
      </c>
      <c r="N2183" s="28">
        <f t="shared" si="63"/>
        <v>0</v>
      </c>
      <c r="O2183" s="23"/>
      <c r="P2183" s="23"/>
      <c r="Q2183" s="23"/>
      <c r="R2183" s="26"/>
      <c r="S2183" s="23"/>
      <c r="U2183" s="104" t="s">
        <v>72</v>
      </c>
      <c r="V2183" s="108">
        <f>IF(22&lt;=DAY(DATE(YEAR(설정_코스수당!$K$2),MONTH(설정_코스수당!$K$2)+1,0)),COUNTIFS($B:$B,DATE(YEAR(설정_코스수당!$K$2),MONTH(설정_코스수당!$K$2),22),$O:$O,"방문완료",$P:$P,"&lt;&gt;",$P:$P,"&lt;&gt;없음")*100000,"")</f>
        <v>0</v>
      </c>
      <c r="W2183" s="104" t="s">
        <v>73</v>
      </c>
      <c r="X2183" s="105">
        <f>IF(22&lt;=DAY(DATE(YEAR(설정_코스수당!$K$2),MONTH(설정_코스수당!$K$2)+1,0)),COUNTIFS($B:$B,DATE(YEAR(설정_코스수당!$K$2),MONTH(설정_코스수당!$K$2),22),$G:$G,"&lt;&gt;",$O:$O,"방문완료")+COUNTIFS($B:$B,DATE(YEAR(설정_코스수당!$K$2),MONTH(설정_코스수당!$K$2),22),$H:$H,"&lt;&gt;",$O:$O,"방문완료"),"")</f>
        <v>0</v>
      </c>
    </row>
    <row r="2184" spans="1:24" ht="19.5" hidden="1" customHeight="1" outlineLevel="1">
      <c r="A2184" s="29">
        <v>8</v>
      </c>
      <c r="B2184" s="30">
        <f>IF(22&lt;=DAY(DATE(YEAR(설정_코스수당!$K$2),MONTH(설정_코스수당!$K$2)+1,0)),DATE(YEAR(설정_코스수당!$K$2),MONTH(설정_코스수당!$K$2),22),"")</f>
        <v>46195</v>
      </c>
      <c r="C2184" s="31"/>
      <c r="D2184" s="29"/>
      <c r="E2184" s="29"/>
      <c r="F2184" s="32"/>
      <c r="G2184" s="29"/>
      <c r="H2184" s="29"/>
      <c r="I2184" s="29"/>
      <c r="J2184" s="33">
        <f>IF($O2184="방문완료",MAX(0,IFERROR(VLOOKUP($E2184,설정_코스수당!$A$6:$H$10,4,FALSE),0)-IF(OR($P2184="",$P2184="없음"),0,100000)),0)</f>
        <v>0</v>
      </c>
      <c r="K2184" s="33">
        <f t="array" ref="K2184">IF($O2184="방문완료",IFERROR(INDEX(설정_코스수당!$B$15:$F$64,MATCH($G2184,설정_코스수당!$A$15:$A$64,0),MATCH($E2184&amp;"수당",설정_코스수당!$B$14:$F$14,0)),0),0)</f>
        <v>0</v>
      </c>
      <c r="L2184" s="33">
        <f t="array" ref="L2184">IF($O2184="방문완료",IF($H2184="",0,IFERROR(INDEX(설정_코스수당!$B$15:$F$64,MATCH($H2184,설정_코스수당!$A$15:$A$64,0),MATCH($E2184&amp;"수당",설정_코스수당!$B$14:$F$14,0)),0)),0)</f>
        <v>0</v>
      </c>
      <c r="M2184" s="33">
        <f>IF($O2184="방문완료",IFERROR(VLOOKUP($E2184,설정_코스수당!$A$6:$H$10,6,FALSE),0),0)</f>
        <v>0</v>
      </c>
      <c r="N2184" s="34">
        <f t="shared" si="63"/>
        <v>0</v>
      </c>
      <c r="O2184" s="29"/>
      <c r="P2184" s="29"/>
      <c r="Q2184" s="29"/>
      <c r="R2184" s="32"/>
      <c r="S2184" s="29"/>
      <c r="U2184" s="104" t="s">
        <v>74</v>
      </c>
      <c r="V2184" s="108">
        <f>IF(22&lt;=DAY(DATE(YEAR(설정_코스수당!$K$2),MONTH(설정_코스수당!$K$2)+1,0)),SUM($U$2188:$U$2195),"")</f>
        <v>0</v>
      </c>
      <c r="W2184" s="122" t="str">
        <f>IF(22&lt;=DAY(DATE(YEAR(설정_코스수당!$K$2),MONTH(설정_코스수당!$K$2)+1,0)),"계 : "&amp;TEXT(V2180-V2184,"#,##0")&amp;" 동","")</f>
        <v>계 : 0 동</v>
      </c>
      <c r="X2184" s="122"/>
    </row>
    <row r="2185" spans="1:24" ht="19.5" hidden="1" customHeight="1" outlineLevel="1">
      <c r="A2185" s="23">
        <v>9</v>
      </c>
      <c r="B2185" s="24">
        <f>IF(22&lt;=DAY(DATE(YEAR(설정_코스수당!$K$2),MONTH(설정_코스수당!$K$2)+1,0)),DATE(YEAR(설정_코스수당!$K$2),MONTH(설정_코스수당!$K$2),22),"")</f>
        <v>46195</v>
      </c>
      <c r="C2185" s="25"/>
      <c r="D2185" s="23"/>
      <c r="E2185" s="23"/>
      <c r="F2185" s="26"/>
      <c r="G2185" s="23"/>
      <c r="H2185" s="23"/>
      <c r="I2185" s="23"/>
      <c r="J2185" s="27">
        <f>IF($O2185="방문완료",MAX(0,IFERROR(VLOOKUP($E2185,설정_코스수당!$A$6:$H$10,4,FALSE),0)-IF(OR($P2185="",$P2185="없음"),0,100000)),0)</f>
        <v>0</v>
      </c>
      <c r="K2185" s="27">
        <f t="array" ref="K2185">IF($O2185="방문완료",IFERROR(INDEX(설정_코스수당!$B$15:$F$64,MATCH($G2185,설정_코스수당!$A$15:$A$64,0),MATCH($E2185&amp;"수당",설정_코스수당!$B$14:$F$14,0)),0),0)</f>
        <v>0</v>
      </c>
      <c r="L2185" s="27">
        <f t="array" ref="L2185">IF($O2185="방문완료",IF($H2185="",0,IFERROR(INDEX(설정_코스수당!$B$15:$F$64,MATCH($H2185,설정_코스수당!$A$15:$A$64,0),MATCH($E2185&amp;"수당",설정_코스수당!$B$14:$F$14,0)),0)),0)</f>
        <v>0</v>
      </c>
      <c r="M2185" s="27">
        <f>IF($O2185="방문완료",IFERROR(VLOOKUP($E2185,설정_코스수당!$A$6:$H$10,6,FALSE),0),0)</f>
        <v>0</v>
      </c>
      <c r="N2185" s="28">
        <f t="shared" si="63"/>
        <v>0</v>
      </c>
      <c r="O2185" s="23"/>
      <c r="P2185" s="23"/>
      <c r="Q2185" s="23"/>
      <c r="R2185" s="26"/>
      <c r="S2185" s="23"/>
    </row>
    <row r="2186" spans="1:24" ht="19.5" hidden="1" customHeight="1" outlineLevel="1">
      <c r="A2186" s="29">
        <v>10</v>
      </c>
      <c r="B2186" s="30">
        <f>IF(22&lt;=DAY(DATE(YEAR(설정_코스수당!$K$2),MONTH(설정_코스수당!$K$2)+1,0)),DATE(YEAR(설정_코스수당!$K$2),MONTH(설정_코스수당!$K$2),22),"")</f>
        <v>46195</v>
      </c>
      <c r="C2186" s="31"/>
      <c r="D2186" s="29"/>
      <c r="E2186" s="29"/>
      <c r="F2186" s="32"/>
      <c r="G2186" s="29"/>
      <c r="H2186" s="29"/>
      <c r="I2186" s="29"/>
      <c r="J2186" s="33">
        <f>IF($O2186="방문완료",MAX(0,IFERROR(VLOOKUP($E2186,설정_코스수당!$A$6:$H$10,4,FALSE),0)-IF(OR($P2186="",$P2186="없음"),0,100000)),0)</f>
        <v>0</v>
      </c>
      <c r="K2186" s="33">
        <f t="array" ref="K2186">IF($O2186="방문완료",IFERROR(INDEX(설정_코스수당!$B$15:$F$64,MATCH($G2186,설정_코스수당!$A$15:$A$64,0),MATCH($E2186&amp;"수당",설정_코스수당!$B$14:$F$14,0)),0),0)</f>
        <v>0</v>
      </c>
      <c r="L2186" s="33">
        <f t="array" ref="L2186">IF($O2186="방문완료",IF($H2186="",0,IFERROR(INDEX(설정_코스수당!$B$15:$F$64,MATCH($H2186,설정_코스수당!$A$15:$A$64,0),MATCH($E2186&amp;"수당",설정_코스수당!$B$14:$F$14,0)),0)),0)</f>
        <v>0</v>
      </c>
      <c r="M2186" s="33">
        <f>IF($O2186="방문완료",IFERROR(VLOOKUP($E2186,설정_코스수당!$A$6:$H$10,6,FALSE),0),0)</f>
        <v>0</v>
      </c>
      <c r="N2186" s="34">
        <f t="shared" si="63"/>
        <v>0</v>
      </c>
      <c r="O2186" s="29"/>
      <c r="P2186" s="29"/>
      <c r="Q2186" s="29"/>
      <c r="R2186" s="32"/>
      <c r="S2186" s="29"/>
      <c r="U2186" s="120" t="s">
        <v>75</v>
      </c>
      <c r="V2186" s="121"/>
      <c r="W2186" s="121"/>
      <c r="X2186" s="121"/>
    </row>
    <row r="2187" spans="1:24" ht="19.5" hidden="1" customHeight="1" outlineLevel="1">
      <c r="A2187" s="23">
        <v>11</v>
      </c>
      <c r="B2187" s="24">
        <f>IF(22&lt;=DAY(DATE(YEAR(설정_코스수당!$K$2),MONTH(설정_코스수당!$K$2)+1,0)),DATE(YEAR(설정_코스수당!$K$2),MONTH(설정_코스수당!$K$2),22),"")</f>
        <v>46195</v>
      </c>
      <c r="C2187" s="25"/>
      <c r="D2187" s="23"/>
      <c r="E2187" s="23"/>
      <c r="F2187" s="26"/>
      <c r="G2187" s="23"/>
      <c r="H2187" s="23"/>
      <c r="I2187" s="23"/>
      <c r="J2187" s="27">
        <f>IF($O2187="방문완료",MAX(0,IFERROR(VLOOKUP($E2187,설정_코스수당!$A$6:$H$10,4,FALSE),0)-IF(OR($P2187="",$P2187="없음"),0,100000)),0)</f>
        <v>0</v>
      </c>
      <c r="K2187" s="27">
        <f t="array" ref="K2187">IF($O2187="방문완료",IFERROR(INDEX(설정_코스수당!$B$15:$F$64,MATCH($G2187,설정_코스수당!$A$15:$A$64,0),MATCH($E2187&amp;"수당",설정_코스수당!$B$14:$F$14,0)),0),0)</f>
        <v>0</v>
      </c>
      <c r="L2187" s="27">
        <f t="array" ref="L2187">IF($O2187="방문완료",IF($H2187="",0,IFERROR(INDEX(설정_코스수당!$B$15:$F$64,MATCH($H2187,설정_코스수당!$A$15:$A$64,0),MATCH($E2187&amp;"수당",설정_코스수당!$B$14:$F$14,0)),0)),0)</f>
        <v>0</v>
      </c>
      <c r="M2187" s="27">
        <f>IF($O2187="방문완료",IFERROR(VLOOKUP($E2187,설정_코스수당!$A$6:$H$10,6,FALSE),0),0)</f>
        <v>0</v>
      </c>
      <c r="N2187" s="28">
        <f t="shared" si="63"/>
        <v>0</v>
      </c>
      <c r="O2187" s="23"/>
      <c r="P2187" s="23"/>
      <c r="Q2187" s="23"/>
      <c r="R2187" s="26"/>
      <c r="S2187" s="23"/>
      <c r="U2187" s="109" t="s">
        <v>76</v>
      </c>
      <c r="V2187" s="109" t="s">
        <v>77</v>
      </c>
      <c r="W2187" s="109" t="s">
        <v>78</v>
      </c>
      <c r="X2187" s="109" t="s">
        <v>58</v>
      </c>
    </row>
    <row r="2188" spans="1:24" ht="19.5" hidden="1" customHeight="1" outlineLevel="1">
      <c r="A2188" s="29">
        <v>12</v>
      </c>
      <c r="B2188" s="30">
        <f>IF(22&lt;=DAY(DATE(YEAR(설정_코스수당!$K$2),MONTH(설정_코스수당!$K$2)+1,0)),DATE(YEAR(설정_코스수당!$K$2),MONTH(설정_코스수당!$K$2),22),"")</f>
        <v>46195</v>
      </c>
      <c r="C2188" s="31"/>
      <c r="D2188" s="29"/>
      <c r="E2188" s="29"/>
      <c r="F2188" s="32"/>
      <c r="G2188" s="29"/>
      <c r="H2188" s="29"/>
      <c r="I2188" s="29"/>
      <c r="J2188" s="33">
        <f>IF($O2188="방문완료",MAX(0,IFERROR(VLOOKUP($E2188,설정_코스수당!$A$6:$H$10,4,FALSE),0)-IF(OR($P2188="",$P2188="없음"),0,100000)),0)</f>
        <v>0</v>
      </c>
      <c r="K2188" s="33">
        <f t="array" ref="K2188">IF($O2188="방문완료",IFERROR(INDEX(설정_코스수당!$B$15:$F$64,MATCH($G2188,설정_코스수당!$A$15:$A$64,0),MATCH($E2188&amp;"수당",설정_코스수당!$B$14:$F$14,0)),0),0)</f>
        <v>0</v>
      </c>
      <c r="L2188" s="33">
        <f t="array" ref="L2188">IF($O2188="방문완료",IF($H2188="",0,IFERROR(INDEX(설정_코스수당!$B$15:$F$64,MATCH($H2188,설정_코스수당!$A$15:$A$64,0),MATCH($E2188&amp;"수당",설정_코스수당!$B$14:$F$14,0)),0)),0)</f>
        <v>0</v>
      </c>
      <c r="M2188" s="33">
        <f>IF($O2188="방문완료",IFERROR(VLOOKUP($E2188,설정_코스수당!$A$6:$H$10,6,FALSE),0),0)</f>
        <v>0</v>
      </c>
      <c r="N2188" s="34">
        <f t="shared" si="63"/>
        <v>0</v>
      </c>
      <c r="O2188" s="29"/>
      <c r="P2188" s="29"/>
      <c r="Q2188" s="29"/>
      <c r="R2188" s="32"/>
      <c r="S2188" s="29"/>
      <c r="U2188" s="113"/>
      <c r="V2188" s="111"/>
      <c r="W2188" s="112"/>
      <c r="X2188" s="111"/>
    </row>
    <row r="2189" spans="1:24" ht="19.5" hidden="1" customHeight="1" outlineLevel="1">
      <c r="A2189" s="23">
        <v>13</v>
      </c>
      <c r="B2189" s="24">
        <f>IF(22&lt;=DAY(DATE(YEAR(설정_코스수당!$K$2),MONTH(설정_코스수당!$K$2)+1,0)),DATE(YEAR(설정_코스수당!$K$2),MONTH(설정_코스수당!$K$2),22),"")</f>
        <v>46195</v>
      </c>
      <c r="C2189" s="25"/>
      <c r="D2189" s="23"/>
      <c r="E2189" s="23"/>
      <c r="F2189" s="26"/>
      <c r="G2189" s="23"/>
      <c r="H2189" s="23"/>
      <c r="I2189" s="23"/>
      <c r="J2189" s="27">
        <f>IF($O2189="방문완료",MAX(0,IFERROR(VLOOKUP($E2189,설정_코스수당!$A$6:$H$10,4,FALSE),0)-IF(OR($P2189="",$P2189="없음"),0,100000)),0)</f>
        <v>0</v>
      </c>
      <c r="K2189" s="27">
        <f t="array" ref="K2189">IF($O2189="방문완료",IFERROR(INDEX(설정_코스수당!$B$15:$F$64,MATCH($G2189,설정_코스수당!$A$15:$A$64,0),MATCH($E2189&amp;"수당",설정_코스수당!$B$14:$F$14,0)),0),0)</f>
        <v>0</v>
      </c>
      <c r="L2189" s="27">
        <f t="array" ref="L2189">IF($O2189="방문완료",IF($H2189="",0,IFERROR(INDEX(설정_코스수당!$B$15:$F$64,MATCH($H2189,설정_코스수당!$A$15:$A$64,0),MATCH($E2189&amp;"수당",설정_코스수당!$B$14:$F$14,0)),0)),0)</f>
        <v>0</v>
      </c>
      <c r="M2189" s="27">
        <f>IF($O2189="방문완료",IFERROR(VLOOKUP($E2189,설정_코스수당!$A$6:$H$10,6,FALSE),0),0)</f>
        <v>0</v>
      </c>
      <c r="N2189" s="28">
        <f t="shared" si="63"/>
        <v>0</v>
      </c>
      <c r="O2189" s="23"/>
      <c r="P2189" s="23"/>
      <c r="Q2189" s="23"/>
      <c r="R2189" s="26"/>
      <c r="S2189" s="23"/>
      <c r="U2189" s="113"/>
      <c r="V2189" s="111"/>
      <c r="W2189" s="112"/>
      <c r="X2189" s="111"/>
    </row>
    <row r="2190" spans="1:24" ht="19.5" hidden="1" customHeight="1" outlineLevel="1">
      <c r="A2190" s="29">
        <v>14</v>
      </c>
      <c r="B2190" s="30">
        <f>IF(22&lt;=DAY(DATE(YEAR(설정_코스수당!$K$2),MONTH(설정_코스수당!$K$2)+1,0)),DATE(YEAR(설정_코스수당!$K$2),MONTH(설정_코스수당!$K$2),22),"")</f>
        <v>46195</v>
      </c>
      <c r="C2190" s="31"/>
      <c r="D2190" s="29"/>
      <c r="E2190" s="29"/>
      <c r="F2190" s="32"/>
      <c r="G2190" s="29"/>
      <c r="H2190" s="29"/>
      <c r="I2190" s="29"/>
      <c r="J2190" s="33">
        <f>IF($O2190="방문완료",MAX(0,IFERROR(VLOOKUP($E2190,설정_코스수당!$A$6:$H$10,4,FALSE),0)-IF(OR($P2190="",$P2190="없음"),0,100000)),0)</f>
        <v>0</v>
      </c>
      <c r="K2190" s="33">
        <f t="array" ref="K2190">IF($O2190="방문완료",IFERROR(INDEX(설정_코스수당!$B$15:$F$64,MATCH($G2190,설정_코스수당!$A$15:$A$64,0),MATCH($E2190&amp;"수당",설정_코스수당!$B$14:$F$14,0)),0),0)</f>
        <v>0</v>
      </c>
      <c r="L2190" s="33">
        <f t="array" ref="L2190">IF($O2190="방문완료",IF($H2190="",0,IFERROR(INDEX(설정_코스수당!$B$15:$F$64,MATCH($H2190,설정_코스수당!$A$15:$A$64,0),MATCH($E2190&amp;"수당",설정_코스수당!$B$14:$F$14,0)),0)),0)</f>
        <v>0</v>
      </c>
      <c r="M2190" s="33">
        <f>IF($O2190="방문완료",IFERROR(VLOOKUP($E2190,설정_코스수당!$A$6:$H$10,6,FALSE),0),0)</f>
        <v>0</v>
      </c>
      <c r="N2190" s="34">
        <f t="shared" si="63"/>
        <v>0</v>
      </c>
      <c r="O2190" s="29"/>
      <c r="P2190" s="29"/>
      <c r="Q2190" s="29"/>
      <c r="R2190" s="32"/>
      <c r="S2190" s="29"/>
      <c r="U2190" s="113"/>
      <c r="V2190" s="111"/>
      <c r="W2190" s="112"/>
      <c r="X2190" s="111"/>
    </row>
    <row r="2191" spans="1:24" ht="19.5" hidden="1" customHeight="1" outlineLevel="1">
      <c r="A2191" s="23">
        <v>15</v>
      </c>
      <c r="B2191" s="24">
        <f>IF(22&lt;=DAY(DATE(YEAR(설정_코스수당!$K$2),MONTH(설정_코스수당!$K$2)+1,0)),DATE(YEAR(설정_코스수당!$K$2),MONTH(설정_코스수당!$K$2),22),"")</f>
        <v>46195</v>
      </c>
      <c r="C2191" s="25"/>
      <c r="D2191" s="23"/>
      <c r="E2191" s="23"/>
      <c r="F2191" s="26"/>
      <c r="G2191" s="23"/>
      <c r="H2191" s="23"/>
      <c r="I2191" s="23"/>
      <c r="J2191" s="27">
        <f>IF($O2191="방문완료",MAX(0,IFERROR(VLOOKUP($E2191,설정_코스수당!$A$6:$H$10,4,FALSE),0)-IF(OR($P2191="",$P2191="없음"),0,100000)),0)</f>
        <v>0</v>
      </c>
      <c r="K2191" s="27">
        <f t="array" ref="K2191">IF($O2191="방문완료",IFERROR(INDEX(설정_코스수당!$B$15:$F$64,MATCH($G2191,설정_코스수당!$A$15:$A$64,0),MATCH($E2191&amp;"수당",설정_코스수당!$B$14:$F$14,0)),0),0)</f>
        <v>0</v>
      </c>
      <c r="L2191" s="27">
        <f t="array" ref="L2191">IF($O2191="방문완료",IF($H2191="",0,IFERROR(INDEX(설정_코스수당!$B$15:$F$64,MATCH($H2191,설정_코스수당!$A$15:$A$64,0),MATCH($E2191&amp;"수당",설정_코스수당!$B$14:$F$14,0)),0)),0)</f>
        <v>0</v>
      </c>
      <c r="M2191" s="27">
        <f>IF($O2191="방문완료",IFERROR(VLOOKUP($E2191,설정_코스수당!$A$6:$H$10,6,FALSE),0),0)</f>
        <v>0</v>
      </c>
      <c r="N2191" s="28">
        <f t="shared" si="63"/>
        <v>0</v>
      </c>
      <c r="O2191" s="23"/>
      <c r="P2191" s="23"/>
      <c r="Q2191" s="23"/>
      <c r="R2191" s="26"/>
      <c r="S2191" s="23"/>
      <c r="U2191" s="113"/>
      <c r="V2191" s="111"/>
      <c r="W2191" s="112"/>
      <c r="X2191" s="111"/>
    </row>
    <row r="2192" spans="1:24" ht="19.5" hidden="1" customHeight="1" outlineLevel="1">
      <c r="A2192" s="29">
        <v>16</v>
      </c>
      <c r="B2192" s="30">
        <f>IF(22&lt;=DAY(DATE(YEAR(설정_코스수당!$K$2),MONTH(설정_코스수당!$K$2)+1,0)),DATE(YEAR(설정_코스수당!$K$2),MONTH(설정_코스수당!$K$2),22),"")</f>
        <v>46195</v>
      </c>
      <c r="C2192" s="31"/>
      <c r="D2192" s="29"/>
      <c r="E2192" s="29"/>
      <c r="F2192" s="32"/>
      <c r="G2192" s="29"/>
      <c r="H2192" s="29"/>
      <c r="I2192" s="29"/>
      <c r="J2192" s="33">
        <f>IF($O2192="방문완료",MAX(0,IFERROR(VLOOKUP($E2192,설정_코스수당!$A$6:$H$10,4,FALSE),0)-IF(OR($P2192="",$P2192="없음"),0,100000)),0)</f>
        <v>0</v>
      </c>
      <c r="K2192" s="33">
        <f t="array" ref="K2192">IF($O2192="방문완료",IFERROR(INDEX(설정_코스수당!$B$15:$F$64,MATCH($G2192,설정_코스수당!$A$15:$A$64,0),MATCH($E2192&amp;"수당",설정_코스수당!$B$14:$F$14,0)),0),0)</f>
        <v>0</v>
      </c>
      <c r="L2192" s="33">
        <f t="array" ref="L2192">IF($O2192="방문완료",IF($H2192="",0,IFERROR(INDEX(설정_코스수당!$B$15:$F$64,MATCH($H2192,설정_코스수당!$A$15:$A$64,0),MATCH($E2192&amp;"수당",설정_코스수당!$B$14:$F$14,0)),0)),0)</f>
        <v>0</v>
      </c>
      <c r="M2192" s="33">
        <f>IF($O2192="방문완료",IFERROR(VLOOKUP($E2192,설정_코스수당!$A$6:$H$10,6,FALSE),0),0)</f>
        <v>0</v>
      </c>
      <c r="N2192" s="34">
        <f t="shared" si="63"/>
        <v>0</v>
      </c>
      <c r="O2192" s="29"/>
      <c r="P2192" s="29"/>
      <c r="Q2192" s="29"/>
      <c r="R2192" s="32"/>
      <c r="S2192" s="29"/>
      <c r="U2192" s="113"/>
      <c r="V2192" s="111"/>
      <c r="W2192" s="112"/>
      <c r="X2192" s="111"/>
    </row>
    <row r="2193" spans="1:24" ht="19.5" hidden="1" customHeight="1" outlineLevel="1">
      <c r="A2193" s="23">
        <v>17</v>
      </c>
      <c r="B2193" s="24">
        <f>IF(22&lt;=DAY(DATE(YEAR(설정_코스수당!$K$2),MONTH(설정_코스수당!$K$2)+1,0)),DATE(YEAR(설정_코스수당!$K$2),MONTH(설정_코스수당!$K$2),22),"")</f>
        <v>46195</v>
      </c>
      <c r="C2193" s="25"/>
      <c r="D2193" s="23"/>
      <c r="E2193" s="23"/>
      <c r="F2193" s="26"/>
      <c r="G2193" s="23"/>
      <c r="H2193" s="23"/>
      <c r="I2193" s="23"/>
      <c r="J2193" s="27">
        <f>IF($O2193="방문완료",MAX(0,IFERROR(VLOOKUP($E2193,설정_코스수당!$A$6:$H$10,4,FALSE),0)-IF(OR($P2193="",$P2193="없음"),0,100000)),0)</f>
        <v>0</v>
      </c>
      <c r="K2193" s="27">
        <f t="array" ref="K2193">IF($O2193="방문완료",IFERROR(INDEX(설정_코스수당!$B$15:$F$64,MATCH($G2193,설정_코스수당!$A$15:$A$64,0),MATCH($E2193&amp;"수당",설정_코스수당!$B$14:$F$14,0)),0),0)</f>
        <v>0</v>
      </c>
      <c r="L2193" s="27">
        <f t="array" ref="L2193">IF($O2193="방문완료",IF($H2193="",0,IFERROR(INDEX(설정_코스수당!$B$15:$F$64,MATCH($H2193,설정_코스수당!$A$15:$A$64,0),MATCH($E2193&amp;"수당",설정_코스수당!$B$14:$F$14,0)),0)),0)</f>
        <v>0</v>
      </c>
      <c r="M2193" s="27">
        <f>IF($O2193="방문완료",IFERROR(VLOOKUP($E2193,설정_코스수당!$A$6:$H$10,6,FALSE),0),0)</f>
        <v>0</v>
      </c>
      <c r="N2193" s="28">
        <f t="shared" si="63"/>
        <v>0</v>
      </c>
      <c r="O2193" s="23"/>
      <c r="P2193" s="23"/>
      <c r="Q2193" s="23"/>
      <c r="R2193" s="26"/>
      <c r="S2193" s="23"/>
      <c r="U2193" s="113"/>
      <c r="V2193" s="111"/>
      <c r="W2193" s="112"/>
      <c r="X2193" s="111"/>
    </row>
    <row r="2194" spans="1:24" ht="19.5" hidden="1" customHeight="1" outlineLevel="1">
      <c r="A2194" s="29">
        <v>18</v>
      </c>
      <c r="B2194" s="30">
        <f>IF(22&lt;=DAY(DATE(YEAR(설정_코스수당!$K$2),MONTH(설정_코스수당!$K$2)+1,0)),DATE(YEAR(설정_코스수당!$K$2),MONTH(설정_코스수당!$K$2),22),"")</f>
        <v>46195</v>
      </c>
      <c r="C2194" s="31"/>
      <c r="D2194" s="29"/>
      <c r="E2194" s="29"/>
      <c r="F2194" s="32"/>
      <c r="G2194" s="29"/>
      <c r="H2194" s="29"/>
      <c r="I2194" s="29"/>
      <c r="J2194" s="33">
        <f>IF($O2194="방문완료",MAX(0,IFERROR(VLOOKUP($E2194,설정_코스수당!$A$6:$H$10,4,FALSE),0)-IF(OR($P2194="",$P2194="없음"),0,100000)),0)</f>
        <v>0</v>
      </c>
      <c r="K2194" s="33">
        <f t="array" ref="K2194">IF($O2194="방문완료",IFERROR(INDEX(설정_코스수당!$B$15:$F$64,MATCH($G2194,설정_코스수당!$A$15:$A$64,0),MATCH($E2194&amp;"수당",설정_코스수당!$B$14:$F$14,0)),0),0)</f>
        <v>0</v>
      </c>
      <c r="L2194" s="33">
        <f t="array" ref="L2194">IF($O2194="방문완료",IF($H2194="",0,IFERROR(INDEX(설정_코스수당!$B$15:$F$64,MATCH($H2194,설정_코스수당!$A$15:$A$64,0),MATCH($E2194&amp;"수당",설정_코스수당!$B$14:$F$14,0)),0)),0)</f>
        <v>0</v>
      </c>
      <c r="M2194" s="33">
        <f>IF($O2194="방문완료",IFERROR(VLOOKUP($E2194,설정_코스수당!$A$6:$H$10,6,FALSE),0),0)</f>
        <v>0</v>
      </c>
      <c r="N2194" s="34">
        <f t="shared" si="63"/>
        <v>0</v>
      </c>
      <c r="O2194" s="29"/>
      <c r="P2194" s="29"/>
      <c r="Q2194" s="29"/>
      <c r="R2194" s="32"/>
      <c r="S2194" s="29"/>
      <c r="U2194" s="113"/>
      <c r="V2194" s="111"/>
      <c r="W2194" s="112"/>
      <c r="X2194" s="111"/>
    </row>
    <row r="2195" spans="1:24" ht="19.5" hidden="1" customHeight="1" outlineLevel="1">
      <c r="A2195" s="23">
        <v>19</v>
      </c>
      <c r="B2195" s="24">
        <f>IF(22&lt;=DAY(DATE(YEAR(설정_코스수당!$K$2),MONTH(설정_코스수당!$K$2)+1,0)),DATE(YEAR(설정_코스수당!$K$2),MONTH(설정_코스수당!$K$2),22),"")</f>
        <v>46195</v>
      </c>
      <c r="C2195" s="25"/>
      <c r="D2195" s="23"/>
      <c r="E2195" s="23"/>
      <c r="F2195" s="26"/>
      <c r="G2195" s="23"/>
      <c r="H2195" s="23"/>
      <c r="I2195" s="23"/>
      <c r="J2195" s="27">
        <f>IF($O2195="방문완료",MAX(0,IFERROR(VLOOKUP($E2195,설정_코스수당!$A$6:$H$10,4,FALSE),0)-IF(OR($P2195="",$P2195="없음"),0,100000)),0)</f>
        <v>0</v>
      </c>
      <c r="K2195" s="27">
        <f t="array" ref="K2195">IF($O2195="방문완료",IFERROR(INDEX(설정_코스수당!$B$15:$F$64,MATCH($G2195,설정_코스수당!$A$15:$A$64,0),MATCH($E2195&amp;"수당",설정_코스수당!$B$14:$F$14,0)),0),0)</f>
        <v>0</v>
      </c>
      <c r="L2195" s="27">
        <f t="array" ref="L2195">IF($O2195="방문완료",IF($H2195="",0,IFERROR(INDEX(설정_코스수당!$B$15:$F$64,MATCH($H2195,설정_코스수당!$A$15:$A$64,0),MATCH($E2195&amp;"수당",설정_코스수당!$B$14:$F$14,0)),0)),0)</f>
        <v>0</v>
      </c>
      <c r="M2195" s="27">
        <f>IF($O2195="방문완료",IFERROR(VLOOKUP($E2195,설정_코스수당!$A$6:$H$10,6,FALSE),0),0)</f>
        <v>0</v>
      </c>
      <c r="N2195" s="28">
        <f t="shared" si="63"/>
        <v>0</v>
      </c>
      <c r="O2195" s="23"/>
      <c r="P2195" s="23"/>
      <c r="Q2195" s="23"/>
      <c r="R2195" s="26"/>
      <c r="S2195" s="23"/>
      <c r="U2195" s="113"/>
      <c r="V2195" s="111"/>
      <c r="W2195" s="112"/>
      <c r="X2195" s="111"/>
    </row>
    <row r="2196" spans="1:24" ht="19.5" hidden="1" customHeight="1" outlineLevel="1">
      <c r="A2196" s="29">
        <v>20</v>
      </c>
      <c r="B2196" s="30">
        <f>IF(22&lt;=DAY(DATE(YEAR(설정_코스수당!$K$2),MONTH(설정_코스수당!$K$2)+1,0)),DATE(YEAR(설정_코스수당!$K$2),MONTH(설정_코스수당!$K$2),22),"")</f>
        <v>46195</v>
      </c>
      <c r="C2196" s="31"/>
      <c r="D2196" s="29"/>
      <c r="E2196" s="29"/>
      <c r="F2196" s="32"/>
      <c r="G2196" s="29"/>
      <c r="H2196" s="29"/>
      <c r="I2196" s="29"/>
      <c r="J2196" s="33">
        <f>IF($O2196="방문완료",MAX(0,IFERROR(VLOOKUP($E2196,설정_코스수당!$A$6:$H$10,4,FALSE),0)-IF(OR($P2196="",$P2196="없음"),0,100000)),0)</f>
        <v>0</v>
      </c>
      <c r="K2196" s="33">
        <f t="array" ref="K2196">IF($O2196="방문완료",IFERROR(INDEX(설정_코스수당!$B$15:$F$64,MATCH($G2196,설정_코스수당!$A$15:$A$64,0),MATCH($E2196&amp;"수당",설정_코스수당!$B$14:$F$14,0)),0),0)</f>
        <v>0</v>
      </c>
      <c r="L2196" s="33">
        <f t="array" ref="L2196">IF($O2196="방문완료",IF($H2196="",0,IFERROR(INDEX(설정_코스수당!$B$15:$F$64,MATCH($H2196,설정_코스수당!$A$15:$A$64,0),MATCH($E2196&amp;"수당",설정_코스수당!$B$14:$F$14,0)),0)),0)</f>
        <v>0</v>
      </c>
      <c r="M2196" s="33">
        <f>IF($O2196="방문완료",IFERROR(VLOOKUP($E2196,설정_코스수당!$A$6:$H$10,6,FALSE),0),0)</f>
        <v>0</v>
      </c>
      <c r="N2196" s="34">
        <f t="shared" si="63"/>
        <v>0</v>
      </c>
      <c r="O2196" s="29"/>
      <c r="P2196" s="29"/>
      <c r="Q2196" s="29"/>
      <c r="R2196" s="32"/>
      <c r="S2196" s="29"/>
    </row>
    <row r="2197" spans="1:24" ht="19.5" hidden="1" customHeight="1" outlineLevel="1">
      <c r="A2197" s="23">
        <v>21</v>
      </c>
      <c r="B2197" s="24">
        <f>IF(22&lt;=DAY(DATE(YEAR(설정_코스수당!$K$2),MONTH(설정_코스수당!$K$2)+1,0)),DATE(YEAR(설정_코스수당!$K$2),MONTH(설정_코스수당!$K$2),22),"")</f>
        <v>46195</v>
      </c>
      <c r="C2197" s="25"/>
      <c r="D2197" s="23"/>
      <c r="E2197" s="23"/>
      <c r="F2197" s="26"/>
      <c r="G2197" s="23"/>
      <c r="H2197" s="23"/>
      <c r="I2197" s="23"/>
      <c r="J2197" s="27">
        <f>IF($O2197="방문완료",MAX(0,IFERROR(VLOOKUP($E2197,설정_코스수당!$A$6:$H$10,4,FALSE),0)-IF(OR($P2197="",$P2197="없음"),0,100000)),0)</f>
        <v>0</v>
      </c>
      <c r="K2197" s="27">
        <f t="array" ref="K2197">IF($O2197="방문완료",IFERROR(INDEX(설정_코스수당!$B$15:$F$64,MATCH($G2197,설정_코스수당!$A$15:$A$64,0),MATCH($E2197&amp;"수당",설정_코스수당!$B$14:$F$14,0)),0),0)</f>
        <v>0</v>
      </c>
      <c r="L2197" s="27">
        <f t="array" ref="L2197">IF($O2197="방문완료",IF($H2197="",0,IFERROR(INDEX(설정_코스수당!$B$15:$F$64,MATCH($H2197,설정_코스수당!$A$15:$A$64,0),MATCH($E2197&amp;"수당",설정_코스수당!$B$14:$F$14,0)),0)),0)</f>
        <v>0</v>
      </c>
      <c r="M2197" s="27">
        <f>IF($O2197="방문완료",IFERROR(VLOOKUP($E2197,설정_코스수당!$A$6:$H$10,6,FALSE),0),0)</f>
        <v>0</v>
      </c>
      <c r="N2197" s="28">
        <f t="shared" si="63"/>
        <v>0</v>
      </c>
      <c r="O2197" s="23"/>
      <c r="P2197" s="23"/>
      <c r="Q2197" s="23"/>
      <c r="R2197" s="26"/>
      <c r="S2197" s="23"/>
    </row>
    <row r="2198" spans="1:24" ht="19.5" hidden="1" customHeight="1" outlineLevel="1">
      <c r="A2198" s="29">
        <v>22</v>
      </c>
      <c r="B2198" s="30">
        <f>IF(22&lt;=DAY(DATE(YEAR(설정_코스수당!$K$2),MONTH(설정_코스수당!$K$2)+1,0)),DATE(YEAR(설정_코스수당!$K$2),MONTH(설정_코스수당!$K$2),22),"")</f>
        <v>46195</v>
      </c>
      <c r="C2198" s="31"/>
      <c r="D2198" s="29"/>
      <c r="E2198" s="29"/>
      <c r="F2198" s="32"/>
      <c r="G2198" s="29"/>
      <c r="H2198" s="29"/>
      <c r="I2198" s="29"/>
      <c r="J2198" s="33">
        <f>IF($O2198="방문완료",MAX(0,IFERROR(VLOOKUP($E2198,설정_코스수당!$A$6:$H$10,4,FALSE),0)-IF(OR($P2198="",$P2198="없음"),0,100000)),0)</f>
        <v>0</v>
      </c>
      <c r="K2198" s="33">
        <f t="array" ref="K2198">IF($O2198="방문완료",IFERROR(INDEX(설정_코스수당!$B$15:$F$64,MATCH($G2198,설정_코스수당!$A$15:$A$64,0),MATCH($E2198&amp;"수당",설정_코스수당!$B$14:$F$14,0)),0),0)</f>
        <v>0</v>
      </c>
      <c r="L2198" s="33">
        <f t="array" ref="L2198">IF($O2198="방문완료",IF($H2198="",0,IFERROR(INDEX(설정_코스수당!$B$15:$F$64,MATCH($H2198,설정_코스수당!$A$15:$A$64,0),MATCH($E2198&amp;"수당",설정_코스수당!$B$14:$F$14,0)),0)),0)</f>
        <v>0</v>
      </c>
      <c r="M2198" s="33">
        <f>IF($O2198="방문완료",IFERROR(VLOOKUP($E2198,설정_코스수당!$A$6:$H$10,6,FALSE),0),0)</f>
        <v>0</v>
      </c>
      <c r="N2198" s="34">
        <f t="shared" si="63"/>
        <v>0</v>
      </c>
      <c r="O2198" s="29"/>
      <c r="P2198" s="29"/>
      <c r="Q2198" s="29"/>
      <c r="R2198" s="32"/>
      <c r="S2198" s="29"/>
    </row>
    <row r="2199" spans="1:24" ht="19.5" hidden="1" customHeight="1" outlineLevel="1">
      <c r="A2199" s="23">
        <v>23</v>
      </c>
      <c r="B2199" s="24">
        <f>IF(22&lt;=DAY(DATE(YEAR(설정_코스수당!$K$2),MONTH(설정_코스수당!$K$2)+1,0)),DATE(YEAR(설정_코스수당!$K$2),MONTH(설정_코스수당!$K$2),22),"")</f>
        <v>46195</v>
      </c>
      <c r="C2199" s="25"/>
      <c r="D2199" s="23"/>
      <c r="E2199" s="23"/>
      <c r="F2199" s="26"/>
      <c r="G2199" s="23"/>
      <c r="H2199" s="23"/>
      <c r="I2199" s="23"/>
      <c r="J2199" s="27">
        <f>IF($O2199="방문완료",MAX(0,IFERROR(VLOOKUP($E2199,설정_코스수당!$A$6:$H$10,4,FALSE),0)-IF(OR($P2199="",$P2199="없음"),0,100000)),0)</f>
        <v>0</v>
      </c>
      <c r="K2199" s="27">
        <f t="array" ref="K2199">IF($O2199="방문완료",IFERROR(INDEX(설정_코스수당!$B$15:$F$64,MATCH($G2199,설정_코스수당!$A$15:$A$64,0),MATCH($E2199&amp;"수당",설정_코스수당!$B$14:$F$14,0)),0),0)</f>
        <v>0</v>
      </c>
      <c r="L2199" s="27">
        <f t="array" ref="L2199">IF($O2199="방문완료",IF($H2199="",0,IFERROR(INDEX(설정_코스수당!$B$15:$F$64,MATCH($H2199,설정_코스수당!$A$15:$A$64,0),MATCH($E2199&amp;"수당",설정_코스수당!$B$14:$F$14,0)),0)),0)</f>
        <v>0</v>
      </c>
      <c r="M2199" s="27">
        <f>IF($O2199="방문완료",IFERROR(VLOOKUP($E2199,설정_코스수당!$A$6:$H$10,6,FALSE),0),0)</f>
        <v>0</v>
      </c>
      <c r="N2199" s="28">
        <f t="shared" si="63"/>
        <v>0</v>
      </c>
      <c r="O2199" s="23"/>
      <c r="P2199" s="23"/>
      <c r="Q2199" s="23"/>
      <c r="R2199" s="26"/>
      <c r="S2199" s="23"/>
    </row>
    <row r="2200" spans="1:24" ht="19.5" hidden="1" customHeight="1" outlineLevel="1">
      <c r="A2200" s="29">
        <v>24</v>
      </c>
      <c r="B2200" s="30">
        <f>IF(22&lt;=DAY(DATE(YEAR(설정_코스수당!$K$2),MONTH(설정_코스수당!$K$2)+1,0)),DATE(YEAR(설정_코스수당!$K$2),MONTH(설정_코스수당!$K$2),22),"")</f>
        <v>46195</v>
      </c>
      <c r="C2200" s="31"/>
      <c r="D2200" s="29"/>
      <c r="E2200" s="29"/>
      <c r="F2200" s="32"/>
      <c r="G2200" s="29"/>
      <c r="H2200" s="29"/>
      <c r="I2200" s="29"/>
      <c r="J2200" s="33">
        <f>IF($O2200="방문완료",MAX(0,IFERROR(VLOOKUP($E2200,설정_코스수당!$A$6:$H$10,4,FALSE),0)-IF(OR($P2200="",$P2200="없음"),0,100000)),0)</f>
        <v>0</v>
      </c>
      <c r="K2200" s="33">
        <f t="array" ref="K2200">IF($O2200="방문완료",IFERROR(INDEX(설정_코스수당!$B$15:$F$64,MATCH($G2200,설정_코스수당!$A$15:$A$64,0),MATCH($E2200&amp;"수당",설정_코스수당!$B$14:$F$14,0)),0),0)</f>
        <v>0</v>
      </c>
      <c r="L2200" s="33">
        <f t="array" ref="L2200">IF($O2200="방문완료",IF($H2200="",0,IFERROR(INDEX(설정_코스수당!$B$15:$F$64,MATCH($H2200,설정_코스수당!$A$15:$A$64,0),MATCH($E2200&amp;"수당",설정_코스수당!$B$14:$F$14,0)),0)),0)</f>
        <v>0</v>
      </c>
      <c r="M2200" s="33">
        <f>IF($O2200="방문완료",IFERROR(VLOOKUP($E2200,설정_코스수당!$A$6:$H$10,6,FALSE),0),0)</f>
        <v>0</v>
      </c>
      <c r="N2200" s="34">
        <f t="shared" si="63"/>
        <v>0</v>
      </c>
      <c r="O2200" s="29"/>
      <c r="P2200" s="29"/>
      <c r="Q2200" s="29"/>
      <c r="R2200" s="32"/>
      <c r="S2200" s="29"/>
    </row>
    <row r="2201" spans="1:24" ht="19.5" hidden="1" customHeight="1" outlineLevel="1">
      <c r="A2201" s="23">
        <v>25</v>
      </c>
      <c r="B2201" s="24">
        <f>IF(22&lt;=DAY(DATE(YEAR(설정_코스수당!$K$2),MONTH(설정_코스수당!$K$2)+1,0)),DATE(YEAR(설정_코스수당!$K$2),MONTH(설정_코스수당!$K$2),22),"")</f>
        <v>46195</v>
      </c>
      <c r="C2201" s="25"/>
      <c r="D2201" s="23"/>
      <c r="E2201" s="23"/>
      <c r="F2201" s="26"/>
      <c r="G2201" s="23"/>
      <c r="H2201" s="23"/>
      <c r="I2201" s="23"/>
      <c r="J2201" s="27">
        <f>IF($O2201="방문완료",MAX(0,IFERROR(VLOOKUP($E2201,설정_코스수당!$A$6:$H$10,4,FALSE),0)-IF(OR($P2201="",$P2201="없음"),0,100000)),0)</f>
        <v>0</v>
      </c>
      <c r="K2201" s="27">
        <f t="array" ref="K2201">IF($O2201="방문완료",IFERROR(INDEX(설정_코스수당!$B$15:$F$64,MATCH($G2201,설정_코스수당!$A$15:$A$64,0),MATCH($E2201&amp;"수당",설정_코스수당!$B$14:$F$14,0)),0),0)</f>
        <v>0</v>
      </c>
      <c r="L2201" s="27">
        <f t="array" ref="L2201">IF($O2201="방문완료",IF($H2201="",0,IFERROR(INDEX(설정_코스수당!$B$15:$F$64,MATCH($H2201,설정_코스수당!$A$15:$A$64,0),MATCH($E2201&amp;"수당",설정_코스수당!$B$14:$F$14,0)),0)),0)</f>
        <v>0</v>
      </c>
      <c r="M2201" s="27">
        <f>IF($O2201="방문완료",IFERROR(VLOOKUP($E2201,설정_코스수당!$A$6:$H$10,6,FALSE),0),0)</f>
        <v>0</v>
      </c>
      <c r="N2201" s="28">
        <f t="shared" si="63"/>
        <v>0</v>
      </c>
      <c r="O2201" s="23"/>
      <c r="P2201" s="23"/>
      <c r="Q2201" s="23"/>
      <c r="R2201" s="26"/>
      <c r="S2201" s="23"/>
    </row>
    <row r="2202" spans="1:24" ht="19.5" hidden="1" customHeight="1" outlineLevel="1">
      <c r="A2202" s="29">
        <v>26</v>
      </c>
      <c r="B2202" s="30">
        <f>IF(22&lt;=DAY(DATE(YEAR(설정_코스수당!$K$2),MONTH(설정_코스수당!$K$2)+1,0)),DATE(YEAR(설정_코스수당!$K$2),MONTH(설정_코스수당!$K$2),22),"")</f>
        <v>46195</v>
      </c>
      <c r="C2202" s="31"/>
      <c r="D2202" s="29"/>
      <c r="E2202" s="29"/>
      <c r="F2202" s="32"/>
      <c r="G2202" s="29"/>
      <c r="H2202" s="29"/>
      <c r="I2202" s="29"/>
      <c r="J2202" s="33">
        <f>IF($O2202="방문완료",MAX(0,IFERROR(VLOOKUP($E2202,설정_코스수당!$A$6:$H$10,4,FALSE),0)-IF(OR($P2202="",$P2202="없음"),0,100000)),0)</f>
        <v>0</v>
      </c>
      <c r="K2202" s="33">
        <f t="array" ref="K2202">IF($O2202="방문완료",IFERROR(INDEX(설정_코스수당!$B$15:$F$64,MATCH($G2202,설정_코스수당!$A$15:$A$64,0),MATCH($E2202&amp;"수당",설정_코스수당!$B$14:$F$14,0)),0),0)</f>
        <v>0</v>
      </c>
      <c r="L2202" s="33">
        <f t="array" ref="L2202">IF($O2202="방문완료",IF($H2202="",0,IFERROR(INDEX(설정_코스수당!$B$15:$F$64,MATCH($H2202,설정_코스수당!$A$15:$A$64,0),MATCH($E2202&amp;"수당",설정_코스수당!$B$14:$F$14,0)),0)),0)</f>
        <v>0</v>
      </c>
      <c r="M2202" s="33">
        <f>IF($O2202="방문완료",IFERROR(VLOOKUP($E2202,설정_코스수당!$A$6:$H$10,6,FALSE),0),0)</f>
        <v>0</v>
      </c>
      <c r="N2202" s="34">
        <f t="shared" si="63"/>
        <v>0</v>
      </c>
      <c r="O2202" s="29"/>
      <c r="P2202" s="29"/>
      <c r="Q2202" s="29"/>
      <c r="R2202" s="32"/>
      <c r="S2202" s="29"/>
    </row>
    <row r="2203" spans="1:24" ht="19.5" hidden="1" customHeight="1" outlineLevel="1">
      <c r="A2203" s="23">
        <v>27</v>
      </c>
      <c r="B2203" s="24">
        <f>IF(22&lt;=DAY(DATE(YEAR(설정_코스수당!$K$2),MONTH(설정_코스수당!$K$2)+1,0)),DATE(YEAR(설정_코스수당!$K$2),MONTH(설정_코스수당!$K$2),22),"")</f>
        <v>46195</v>
      </c>
      <c r="C2203" s="25"/>
      <c r="D2203" s="23"/>
      <c r="E2203" s="23"/>
      <c r="F2203" s="26"/>
      <c r="G2203" s="23"/>
      <c r="H2203" s="23"/>
      <c r="I2203" s="23"/>
      <c r="J2203" s="27">
        <f>IF($O2203="방문완료",MAX(0,IFERROR(VLOOKUP($E2203,설정_코스수당!$A$6:$H$10,4,FALSE),0)-IF(OR($P2203="",$P2203="없음"),0,100000)),0)</f>
        <v>0</v>
      </c>
      <c r="K2203" s="27">
        <f t="array" ref="K2203">IF($O2203="방문완료",IFERROR(INDEX(설정_코스수당!$B$15:$F$64,MATCH($G2203,설정_코스수당!$A$15:$A$64,0),MATCH($E2203&amp;"수당",설정_코스수당!$B$14:$F$14,0)),0),0)</f>
        <v>0</v>
      </c>
      <c r="L2203" s="27">
        <f t="array" ref="L2203">IF($O2203="방문완료",IF($H2203="",0,IFERROR(INDEX(설정_코스수당!$B$15:$F$64,MATCH($H2203,설정_코스수당!$A$15:$A$64,0),MATCH($E2203&amp;"수당",설정_코스수당!$B$14:$F$14,0)),0)),0)</f>
        <v>0</v>
      </c>
      <c r="M2203" s="27">
        <f>IF($O2203="방문완료",IFERROR(VLOOKUP($E2203,설정_코스수당!$A$6:$H$10,6,FALSE),0),0)</f>
        <v>0</v>
      </c>
      <c r="N2203" s="28">
        <f t="shared" si="63"/>
        <v>0</v>
      </c>
      <c r="O2203" s="23"/>
      <c r="P2203" s="23"/>
      <c r="Q2203" s="23"/>
      <c r="R2203" s="26"/>
      <c r="S2203" s="23"/>
    </row>
    <row r="2204" spans="1:24" ht="19.5" hidden="1" customHeight="1" outlineLevel="1">
      <c r="A2204" s="29">
        <v>28</v>
      </c>
      <c r="B2204" s="30">
        <f>IF(22&lt;=DAY(DATE(YEAR(설정_코스수당!$K$2),MONTH(설정_코스수당!$K$2)+1,0)),DATE(YEAR(설정_코스수당!$K$2),MONTH(설정_코스수당!$K$2),22),"")</f>
        <v>46195</v>
      </c>
      <c r="C2204" s="31"/>
      <c r="D2204" s="29"/>
      <c r="E2204" s="29"/>
      <c r="F2204" s="32"/>
      <c r="G2204" s="29"/>
      <c r="H2204" s="29"/>
      <c r="I2204" s="29"/>
      <c r="J2204" s="33">
        <f>IF($O2204="방문완료",MAX(0,IFERROR(VLOOKUP($E2204,설정_코스수당!$A$6:$H$10,4,FALSE),0)-IF(OR($P2204="",$P2204="없음"),0,100000)),0)</f>
        <v>0</v>
      </c>
      <c r="K2204" s="33">
        <f t="array" ref="K2204">IF($O2204="방문완료",IFERROR(INDEX(설정_코스수당!$B$15:$F$64,MATCH($G2204,설정_코스수당!$A$15:$A$64,0),MATCH($E2204&amp;"수당",설정_코스수당!$B$14:$F$14,0)),0),0)</f>
        <v>0</v>
      </c>
      <c r="L2204" s="33">
        <f t="array" ref="L2204">IF($O2204="방문완료",IF($H2204="",0,IFERROR(INDEX(설정_코스수당!$B$15:$F$64,MATCH($H2204,설정_코스수당!$A$15:$A$64,0),MATCH($E2204&amp;"수당",설정_코스수당!$B$14:$F$14,0)),0)),0)</f>
        <v>0</v>
      </c>
      <c r="M2204" s="33">
        <f>IF($O2204="방문완료",IFERROR(VLOOKUP($E2204,설정_코스수당!$A$6:$H$10,6,FALSE),0),0)</f>
        <v>0</v>
      </c>
      <c r="N2204" s="34">
        <f t="shared" si="63"/>
        <v>0</v>
      </c>
      <c r="O2204" s="29"/>
      <c r="P2204" s="29"/>
      <c r="Q2204" s="29"/>
      <c r="R2204" s="32"/>
      <c r="S2204" s="29"/>
    </row>
    <row r="2205" spans="1:24" ht="19.5" hidden="1" customHeight="1" outlineLevel="1">
      <c r="A2205" s="23">
        <v>29</v>
      </c>
      <c r="B2205" s="24">
        <f>IF(22&lt;=DAY(DATE(YEAR(설정_코스수당!$K$2),MONTH(설정_코스수당!$K$2)+1,0)),DATE(YEAR(설정_코스수당!$K$2),MONTH(설정_코스수당!$K$2),22),"")</f>
        <v>46195</v>
      </c>
      <c r="C2205" s="25"/>
      <c r="D2205" s="23"/>
      <c r="E2205" s="23"/>
      <c r="F2205" s="26"/>
      <c r="G2205" s="23"/>
      <c r="H2205" s="23"/>
      <c r="I2205" s="23"/>
      <c r="J2205" s="27">
        <f>IF($O2205="방문완료",MAX(0,IFERROR(VLOOKUP($E2205,설정_코스수당!$A$6:$H$10,4,FALSE),0)-IF(OR($P2205="",$P2205="없음"),0,100000)),0)</f>
        <v>0</v>
      </c>
      <c r="K2205" s="27">
        <f t="array" ref="K2205">IF($O2205="방문완료",IFERROR(INDEX(설정_코스수당!$B$15:$F$64,MATCH($G2205,설정_코스수당!$A$15:$A$64,0),MATCH($E2205&amp;"수당",설정_코스수당!$B$14:$F$14,0)),0),0)</f>
        <v>0</v>
      </c>
      <c r="L2205" s="27">
        <f t="array" ref="L2205">IF($O2205="방문완료",IF($H2205="",0,IFERROR(INDEX(설정_코스수당!$B$15:$F$64,MATCH($H2205,설정_코스수당!$A$15:$A$64,0),MATCH($E2205&amp;"수당",설정_코스수당!$B$14:$F$14,0)),0)),0)</f>
        <v>0</v>
      </c>
      <c r="M2205" s="27">
        <f>IF($O2205="방문완료",IFERROR(VLOOKUP($E2205,설정_코스수당!$A$6:$H$10,6,FALSE),0),0)</f>
        <v>0</v>
      </c>
      <c r="N2205" s="28">
        <f t="shared" si="63"/>
        <v>0</v>
      </c>
      <c r="O2205" s="23"/>
      <c r="P2205" s="23"/>
      <c r="Q2205" s="23"/>
      <c r="R2205" s="26"/>
      <c r="S2205" s="23"/>
    </row>
    <row r="2206" spans="1:24" ht="19.5" hidden="1" customHeight="1" outlineLevel="1">
      <c r="A2206" s="29">
        <v>30</v>
      </c>
      <c r="B2206" s="30">
        <f>IF(22&lt;=DAY(DATE(YEAR(설정_코스수당!$K$2),MONTH(설정_코스수당!$K$2)+1,0)),DATE(YEAR(설정_코스수당!$K$2),MONTH(설정_코스수당!$K$2),22),"")</f>
        <v>46195</v>
      </c>
      <c r="C2206" s="31"/>
      <c r="D2206" s="29"/>
      <c r="E2206" s="29"/>
      <c r="F2206" s="32"/>
      <c r="G2206" s="29"/>
      <c r="H2206" s="29"/>
      <c r="I2206" s="29"/>
      <c r="J2206" s="33">
        <f>IF($O2206="방문완료",MAX(0,IFERROR(VLOOKUP($E2206,설정_코스수당!$A$6:$H$10,4,FALSE),0)-IF(OR($P2206="",$P2206="없음"),0,100000)),0)</f>
        <v>0</v>
      </c>
      <c r="K2206" s="33">
        <f t="array" ref="K2206">IF($O2206="방문완료",IFERROR(INDEX(설정_코스수당!$B$15:$F$64,MATCH($G2206,설정_코스수당!$A$15:$A$64,0),MATCH($E2206&amp;"수당",설정_코스수당!$B$14:$F$14,0)),0),0)</f>
        <v>0</v>
      </c>
      <c r="L2206" s="33">
        <f t="array" ref="L2206">IF($O2206="방문완료",IF($H2206="",0,IFERROR(INDEX(설정_코스수당!$B$15:$F$64,MATCH($H2206,설정_코스수당!$A$15:$A$64,0),MATCH($E2206&amp;"수당",설정_코스수당!$B$14:$F$14,0)),0)),0)</f>
        <v>0</v>
      </c>
      <c r="M2206" s="33">
        <f>IF($O2206="방문완료",IFERROR(VLOOKUP($E2206,설정_코스수당!$A$6:$H$10,6,FALSE),0),0)</f>
        <v>0</v>
      </c>
      <c r="N2206" s="34">
        <f t="shared" si="63"/>
        <v>0</v>
      </c>
      <c r="O2206" s="29"/>
      <c r="P2206" s="29"/>
      <c r="Q2206" s="29"/>
      <c r="R2206" s="32"/>
      <c r="S2206" s="29"/>
    </row>
    <row r="2207" spans="1:24" ht="19.5" hidden="1" customHeight="1" outlineLevel="1">
      <c r="A2207" s="23">
        <v>31</v>
      </c>
      <c r="B2207" s="24">
        <f>IF(22&lt;=DAY(DATE(YEAR(설정_코스수당!$K$2),MONTH(설정_코스수당!$K$2)+1,0)),DATE(YEAR(설정_코스수당!$K$2),MONTH(설정_코스수당!$K$2),22),"")</f>
        <v>46195</v>
      </c>
      <c r="C2207" s="25"/>
      <c r="D2207" s="23"/>
      <c r="E2207" s="23"/>
      <c r="F2207" s="26"/>
      <c r="G2207" s="23"/>
      <c r="H2207" s="23"/>
      <c r="I2207" s="23"/>
      <c r="J2207" s="27">
        <f>IF($O2207="방문완료",MAX(0,IFERROR(VLOOKUP($E2207,설정_코스수당!$A$6:$H$10,4,FALSE),0)-IF(OR($P2207="",$P2207="없음"),0,100000)),0)</f>
        <v>0</v>
      </c>
      <c r="K2207" s="27">
        <f t="array" ref="K2207">IF($O2207="방문완료",IFERROR(INDEX(설정_코스수당!$B$15:$F$64,MATCH($G2207,설정_코스수당!$A$15:$A$64,0),MATCH($E2207&amp;"수당",설정_코스수당!$B$14:$F$14,0)),0),0)</f>
        <v>0</v>
      </c>
      <c r="L2207" s="27">
        <f t="array" ref="L2207">IF($O2207="방문완료",IF($H2207="",0,IFERROR(INDEX(설정_코스수당!$B$15:$F$64,MATCH($H2207,설정_코스수당!$A$15:$A$64,0),MATCH($E2207&amp;"수당",설정_코스수당!$B$14:$F$14,0)),0)),0)</f>
        <v>0</v>
      </c>
      <c r="M2207" s="27">
        <f>IF($O2207="방문완료",IFERROR(VLOOKUP($E2207,설정_코스수당!$A$6:$H$10,6,FALSE),0),0)</f>
        <v>0</v>
      </c>
      <c r="N2207" s="28">
        <f t="shared" si="63"/>
        <v>0</v>
      </c>
      <c r="O2207" s="23"/>
      <c r="P2207" s="23"/>
      <c r="Q2207" s="23"/>
      <c r="R2207" s="26"/>
      <c r="S2207" s="23"/>
    </row>
    <row r="2208" spans="1:24" ht="19.5" hidden="1" customHeight="1" outlineLevel="1">
      <c r="A2208" s="29">
        <v>32</v>
      </c>
      <c r="B2208" s="30">
        <f>IF(22&lt;=DAY(DATE(YEAR(설정_코스수당!$K$2),MONTH(설정_코스수당!$K$2)+1,0)),DATE(YEAR(설정_코스수당!$K$2),MONTH(설정_코스수당!$K$2),22),"")</f>
        <v>46195</v>
      </c>
      <c r="C2208" s="31"/>
      <c r="D2208" s="29"/>
      <c r="E2208" s="29"/>
      <c r="F2208" s="32"/>
      <c r="G2208" s="29"/>
      <c r="H2208" s="29"/>
      <c r="I2208" s="29"/>
      <c r="J2208" s="33">
        <f>IF($O2208="방문완료",MAX(0,IFERROR(VLOOKUP($E2208,설정_코스수당!$A$6:$H$10,4,FALSE),0)-IF(OR($P2208="",$P2208="없음"),0,100000)),0)</f>
        <v>0</v>
      </c>
      <c r="K2208" s="33">
        <f t="array" ref="K2208">IF($O2208="방문완료",IFERROR(INDEX(설정_코스수당!$B$15:$F$64,MATCH($G2208,설정_코스수당!$A$15:$A$64,0),MATCH($E2208&amp;"수당",설정_코스수당!$B$14:$F$14,0)),0),0)</f>
        <v>0</v>
      </c>
      <c r="L2208" s="33">
        <f t="array" ref="L2208">IF($O2208="방문완료",IF($H2208="",0,IFERROR(INDEX(설정_코스수당!$B$15:$F$64,MATCH($H2208,설정_코스수당!$A$15:$A$64,0),MATCH($E2208&amp;"수당",설정_코스수당!$B$14:$F$14,0)),0)),0)</f>
        <v>0</v>
      </c>
      <c r="M2208" s="33">
        <f>IF($O2208="방문완료",IFERROR(VLOOKUP($E2208,설정_코스수당!$A$6:$H$10,6,FALSE),0),0)</f>
        <v>0</v>
      </c>
      <c r="N2208" s="34">
        <f t="shared" si="63"/>
        <v>0</v>
      </c>
      <c r="O2208" s="29"/>
      <c r="P2208" s="29"/>
      <c r="Q2208" s="29"/>
      <c r="R2208" s="32"/>
      <c r="S2208" s="29"/>
    </row>
    <row r="2209" spans="1:22" ht="19.5" hidden="1" customHeight="1" outlineLevel="1">
      <c r="A2209" s="23">
        <v>33</v>
      </c>
      <c r="B2209" s="24">
        <f>IF(22&lt;=DAY(DATE(YEAR(설정_코스수당!$K$2),MONTH(설정_코스수당!$K$2)+1,0)),DATE(YEAR(설정_코스수당!$K$2),MONTH(설정_코스수당!$K$2),22),"")</f>
        <v>46195</v>
      </c>
      <c r="C2209" s="25"/>
      <c r="D2209" s="23"/>
      <c r="E2209" s="23"/>
      <c r="F2209" s="26"/>
      <c r="G2209" s="23"/>
      <c r="H2209" s="23"/>
      <c r="I2209" s="23"/>
      <c r="J2209" s="27">
        <f>IF($O2209="방문완료",MAX(0,IFERROR(VLOOKUP($E2209,설정_코스수당!$A$6:$H$10,4,FALSE),0)-IF(OR($P2209="",$P2209="없음"),0,100000)),0)</f>
        <v>0</v>
      </c>
      <c r="K2209" s="27">
        <f t="array" ref="K2209">IF($O2209="방문완료",IFERROR(INDEX(설정_코스수당!$B$15:$F$64,MATCH($G2209,설정_코스수당!$A$15:$A$64,0),MATCH($E2209&amp;"수당",설정_코스수당!$B$14:$F$14,0)),0),0)</f>
        <v>0</v>
      </c>
      <c r="L2209" s="27">
        <f t="array" ref="L2209">IF($O2209="방문완료",IF($H2209="",0,IFERROR(INDEX(설정_코스수당!$B$15:$F$64,MATCH($H2209,설정_코스수당!$A$15:$A$64,0),MATCH($E2209&amp;"수당",설정_코스수당!$B$14:$F$14,0)),0)),0)</f>
        <v>0</v>
      </c>
      <c r="M2209" s="27">
        <f>IF($O2209="방문완료",IFERROR(VLOOKUP($E2209,설정_코스수당!$A$6:$H$10,6,FALSE),0),0)</f>
        <v>0</v>
      </c>
      <c r="N2209" s="28">
        <f t="shared" ref="N2209:N2240" si="64">IF($O2209="방문완료",1,0)</f>
        <v>0</v>
      </c>
      <c r="O2209" s="23"/>
      <c r="P2209" s="23"/>
      <c r="Q2209" s="23"/>
      <c r="R2209" s="26"/>
      <c r="S2209" s="23"/>
    </row>
    <row r="2210" spans="1:22" ht="19.5" hidden="1" customHeight="1" outlineLevel="1">
      <c r="A2210" s="29">
        <v>34</v>
      </c>
      <c r="B2210" s="30">
        <f>IF(22&lt;=DAY(DATE(YEAR(설정_코스수당!$K$2),MONTH(설정_코스수당!$K$2)+1,0)),DATE(YEAR(설정_코스수당!$K$2),MONTH(설정_코스수당!$K$2),22),"")</f>
        <v>46195</v>
      </c>
      <c r="C2210" s="31"/>
      <c r="D2210" s="29"/>
      <c r="E2210" s="29"/>
      <c r="F2210" s="32"/>
      <c r="G2210" s="29"/>
      <c r="H2210" s="29"/>
      <c r="I2210" s="29"/>
      <c r="J2210" s="33">
        <f>IF($O2210="방문완료",MAX(0,IFERROR(VLOOKUP($E2210,설정_코스수당!$A$6:$H$10,4,FALSE),0)-IF(OR($P2210="",$P2210="없음"),0,100000)),0)</f>
        <v>0</v>
      </c>
      <c r="K2210" s="33">
        <f t="array" ref="K2210">IF($O2210="방문완료",IFERROR(INDEX(설정_코스수당!$B$15:$F$64,MATCH($G2210,설정_코스수당!$A$15:$A$64,0),MATCH($E2210&amp;"수당",설정_코스수당!$B$14:$F$14,0)),0),0)</f>
        <v>0</v>
      </c>
      <c r="L2210" s="33">
        <f t="array" ref="L2210">IF($O2210="방문완료",IF($H2210="",0,IFERROR(INDEX(설정_코스수당!$B$15:$F$64,MATCH($H2210,설정_코스수당!$A$15:$A$64,0),MATCH($E2210&amp;"수당",설정_코스수당!$B$14:$F$14,0)),0)),0)</f>
        <v>0</v>
      </c>
      <c r="M2210" s="33">
        <f>IF($O2210="방문완료",IFERROR(VLOOKUP($E2210,설정_코스수당!$A$6:$H$10,6,FALSE),0),0)</f>
        <v>0</v>
      </c>
      <c r="N2210" s="34">
        <f t="shared" si="64"/>
        <v>0</v>
      </c>
      <c r="O2210" s="29"/>
      <c r="P2210" s="29"/>
      <c r="Q2210" s="29"/>
      <c r="R2210" s="32"/>
      <c r="S2210" s="29"/>
    </row>
    <row r="2211" spans="1:22" ht="19.5" hidden="1" customHeight="1" outlineLevel="1">
      <c r="A2211" s="23">
        <v>35</v>
      </c>
      <c r="B2211" s="24">
        <f>IF(22&lt;=DAY(DATE(YEAR(설정_코스수당!$K$2),MONTH(설정_코스수당!$K$2)+1,0)),DATE(YEAR(설정_코스수당!$K$2),MONTH(설정_코스수당!$K$2),22),"")</f>
        <v>46195</v>
      </c>
      <c r="C2211" s="25"/>
      <c r="D2211" s="23"/>
      <c r="E2211" s="23"/>
      <c r="F2211" s="26"/>
      <c r="G2211" s="23"/>
      <c r="H2211" s="23"/>
      <c r="I2211" s="23"/>
      <c r="J2211" s="27">
        <f>IF($O2211="방문완료",MAX(0,IFERROR(VLOOKUP($E2211,설정_코스수당!$A$6:$H$10,4,FALSE),0)-IF(OR($P2211="",$P2211="없음"),0,100000)),0)</f>
        <v>0</v>
      </c>
      <c r="K2211" s="27">
        <f t="array" ref="K2211">IF($O2211="방문완료",IFERROR(INDEX(설정_코스수당!$B$15:$F$64,MATCH($G2211,설정_코스수당!$A$15:$A$64,0),MATCH($E2211&amp;"수당",설정_코스수당!$B$14:$F$14,0)),0),0)</f>
        <v>0</v>
      </c>
      <c r="L2211" s="27">
        <f t="array" ref="L2211">IF($O2211="방문완료",IF($H2211="",0,IFERROR(INDEX(설정_코스수당!$B$15:$F$64,MATCH($H2211,설정_코스수당!$A$15:$A$64,0),MATCH($E2211&amp;"수당",설정_코스수당!$B$14:$F$14,0)),0)),0)</f>
        <v>0</v>
      </c>
      <c r="M2211" s="27">
        <f>IF($O2211="방문완료",IFERROR(VLOOKUP($E2211,설정_코스수당!$A$6:$H$10,6,FALSE),0),0)</f>
        <v>0</v>
      </c>
      <c r="N2211" s="28">
        <f t="shared" si="64"/>
        <v>0</v>
      </c>
      <c r="O2211" s="23"/>
      <c r="P2211" s="23"/>
      <c r="Q2211" s="23"/>
      <c r="R2211" s="26"/>
      <c r="S2211" s="23"/>
    </row>
    <row r="2212" spans="1:22" ht="19.5" hidden="1" customHeight="1" outlineLevel="1">
      <c r="A2212" s="29">
        <v>36</v>
      </c>
      <c r="B2212" s="30">
        <f>IF(22&lt;=DAY(DATE(YEAR(설정_코스수당!$K$2),MONTH(설정_코스수당!$K$2)+1,0)),DATE(YEAR(설정_코스수당!$K$2),MONTH(설정_코스수당!$K$2),22),"")</f>
        <v>46195</v>
      </c>
      <c r="C2212" s="31"/>
      <c r="D2212" s="29"/>
      <c r="E2212" s="29"/>
      <c r="F2212" s="32"/>
      <c r="G2212" s="29"/>
      <c r="H2212" s="29"/>
      <c r="I2212" s="29"/>
      <c r="J2212" s="33">
        <f>IF($O2212="방문완료",MAX(0,IFERROR(VLOOKUP($E2212,설정_코스수당!$A$6:$H$10,4,FALSE),0)-IF(OR($P2212="",$P2212="없음"),0,100000)),0)</f>
        <v>0</v>
      </c>
      <c r="K2212" s="33">
        <f t="array" ref="K2212">IF($O2212="방문완료",IFERROR(INDEX(설정_코스수당!$B$15:$F$64,MATCH($G2212,설정_코스수당!$A$15:$A$64,0),MATCH($E2212&amp;"수당",설정_코스수당!$B$14:$F$14,0)),0),0)</f>
        <v>0</v>
      </c>
      <c r="L2212" s="33">
        <f t="array" ref="L2212">IF($O2212="방문완료",IF($H2212="",0,IFERROR(INDEX(설정_코스수당!$B$15:$F$64,MATCH($H2212,설정_코스수당!$A$15:$A$64,0),MATCH($E2212&amp;"수당",설정_코스수당!$B$14:$F$14,0)),0)),0)</f>
        <v>0</v>
      </c>
      <c r="M2212" s="33">
        <f>IF($O2212="방문완료",IFERROR(VLOOKUP($E2212,설정_코스수당!$A$6:$H$10,6,FALSE),0),0)</f>
        <v>0</v>
      </c>
      <c r="N2212" s="34">
        <f t="shared" si="64"/>
        <v>0</v>
      </c>
      <c r="O2212" s="29"/>
      <c r="P2212" s="29"/>
      <c r="Q2212" s="29"/>
      <c r="R2212" s="32"/>
      <c r="S2212" s="29"/>
    </row>
    <row r="2213" spans="1:22" ht="19.5" hidden="1" customHeight="1" outlineLevel="1">
      <c r="A2213" s="23">
        <v>37</v>
      </c>
      <c r="B2213" s="24">
        <f>IF(22&lt;=DAY(DATE(YEAR(설정_코스수당!$K$2),MONTH(설정_코스수당!$K$2)+1,0)),DATE(YEAR(설정_코스수당!$K$2),MONTH(설정_코스수당!$K$2),22),"")</f>
        <v>46195</v>
      </c>
      <c r="C2213" s="25"/>
      <c r="D2213" s="23"/>
      <c r="E2213" s="23"/>
      <c r="F2213" s="26"/>
      <c r="G2213" s="23"/>
      <c r="H2213" s="23"/>
      <c r="I2213" s="23"/>
      <c r="J2213" s="27">
        <f>IF($O2213="방문완료",MAX(0,IFERROR(VLOOKUP($E2213,설정_코스수당!$A$6:$H$10,4,FALSE),0)-IF(OR($P2213="",$P2213="없음"),0,100000)),0)</f>
        <v>0</v>
      </c>
      <c r="K2213" s="27">
        <f t="array" ref="K2213">IF($O2213="방문완료",IFERROR(INDEX(설정_코스수당!$B$15:$F$64,MATCH($G2213,설정_코스수당!$A$15:$A$64,0),MATCH($E2213&amp;"수당",설정_코스수당!$B$14:$F$14,0)),0),0)</f>
        <v>0</v>
      </c>
      <c r="L2213" s="27">
        <f t="array" ref="L2213">IF($O2213="방문완료",IF($H2213="",0,IFERROR(INDEX(설정_코스수당!$B$15:$F$64,MATCH($H2213,설정_코스수당!$A$15:$A$64,0),MATCH($E2213&amp;"수당",설정_코스수당!$B$14:$F$14,0)),0)),0)</f>
        <v>0</v>
      </c>
      <c r="M2213" s="27">
        <f>IF($O2213="방문완료",IFERROR(VLOOKUP($E2213,설정_코스수당!$A$6:$H$10,6,FALSE),0),0)</f>
        <v>0</v>
      </c>
      <c r="N2213" s="28">
        <f t="shared" si="64"/>
        <v>0</v>
      </c>
      <c r="O2213" s="23"/>
      <c r="P2213" s="23"/>
      <c r="Q2213" s="23"/>
      <c r="R2213" s="26"/>
      <c r="S2213" s="23"/>
    </row>
    <row r="2214" spans="1:22" ht="19.5" hidden="1" customHeight="1" outlineLevel="1">
      <c r="A2214" s="29">
        <v>38</v>
      </c>
      <c r="B2214" s="30">
        <f>IF(22&lt;=DAY(DATE(YEAR(설정_코스수당!$K$2),MONTH(설정_코스수당!$K$2)+1,0)),DATE(YEAR(설정_코스수당!$K$2),MONTH(설정_코스수당!$K$2),22),"")</f>
        <v>46195</v>
      </c>
      <c r="C2214" s="31"/>
      <c r="D2214" s="29"/>
      <c r="E2214" s="29"/>
      <c r="F2214" s="32"/>
      <c r="G2214" s="29"/>
      <c r="H2214" s="29"/>
      <c r="I2214" s="29"/>
      <c r="J2214" s="33">
        <f>IF($O2214="방문완료",MAX(0,IFERROR(VLOOKUP($E2214,설정_코스수당!$A$6:$H$10,4,FALSE),0)-IF(OR($P2214="",$P2214="없음"),0,100000)),0)</f>
        <v>0</v>
      </c>
      <c r="K2214" s="33">
        <f t="array" ref="K2214">IF($O2214="방문완료",IFERROR(INDEX(설정_코스수당!$B$15:$F$64,MATCH($G2214,설정_코스수당!$A$15:$A$64,0),MATCH($E2214&amp;"수당",설정_코스수당!$B$14:$F$14,0)),0),0)</f>
        <v>0</v>
      </c>
      <c r="L2214" s="33">
        <f t="array" ref="L2214">IF($O2214="방문완료",IF($H2214="",0,IFERROR(INDEX(설정_코스수당!$B$15:$F$64,MATCH($H2214,설정_코스수당!$A$15:$A$64,0),MATCH($E2214&amp;"수당",설정_코스수당!$B$14:$F$14,0)),0)),0)</f>
        <v>0</v>
      </c>
      <c r="M2214" s="33">
        <f>IF($O2214="방문완료",IFERROR(VLOOKUP($E2214,설정_코스수당!$A$6:$H$10,6,FALSE),0),0)</f>
        <v>0</v>
      </c>
      <c r="N2214" s="34">
        <f t="shared" si="64"/>
        <v>0</v>
      </c>
      <c r="O2214" s="29"/>
      <c r="P2214" s="29"/>
      <c r="Q2214" s="29"/>
      <c r="R2214" s="32"/>
      <c r="S2214" s="29"/>
    </row>
    <row r="2215" spans="1:22" ht="19.5" hidden="1" customHeight="1" outlineLevel="1">
      <c r="A2215" s="23">
        <v>39</v>
      </c>
      <c r="B2215" s="24">
        <f>IF(22&lt;=DAY(DATE(YEAR(설정_코스수당!$K$2),MONTH(설정_코스수당!$K$2)+1,0)),DATE(YEAR(설정_코스수당!$K$2),MONTH(설정_코스수당!$K$2),22),"")</f>
        <v>46195</v>
      </c>
      <c r="C2215" s="25"/>
      <c r="D2215" s="23"/>
      <c r="E2215" s="23"/>
      <c r="F2215" s="26"/>
      <c r="G2215" s="23"/>
      <c r="H2215" s="23"/>
      <c r="I2215" s="23"/>
      <c r="J2215" s="27">
        <f>IF($O2215="방문완료",MAX(0,IFERROR(VLOOKUP($E2215,설정_코스수당!$A$6:$H$10,4,FALSE),0)-IF(OR($P2215="",$P2215="없음"),0,100000)),0)</f>
        <v>0</v>
      </c>
      <c r="K2215" s="27">
        <f t="array" ref="K2215">IF($O2215="방문완료",IFERROR(INDEX(설정_코스수당!$B$15:$F$64,MATCH($G2215,설정_코스수당!$A$15:$A$64,0),MATCH($E2215&amp;"수당",설정_코스수당!$B$14:$F$14,0)),0),0)</f>
        <v>0</v>
      </c>
      <c r="L2215" s="27">
        <f t="array" ref="L2215">IF($O2215="방문완료",IF($H2215="",0,IFERROR(INDEX(설정_코스수당!$B$15:$F$64,MATCH($H2215,설정_코스수당!$A$15:$A$64,0),MATCH($E2215&amp;"수당",설정_코스수당!$B$14:$F$14,0)),0)),0)</f>
        <v>0</v>
      </c>
      <c r="M2215" s="27">
        <f>IF($O2215="방문완료",IFERROR(VLOOKUP($E2215,설정_코스수당!$A$6:$H$10,6,FALSE),0),0)</f>
        <v>0</v>
      </c>
      <c r="N2215" s="28">
        <f t="shared" si="64"/>
        <v>0</v>
      </c>
      <c r="O2215" s="23"/>
      <c r="P2215" s="23"/>
      <c r="Q2215" s="23"/>
      <c r="R2215" s="26"/>
      <c r="S2215" s="23"/>
    </row>
    <row r="2216" spans="1:22" ht="19.5" hidden="1" customHeight="1" outlineLevel="1">
      <c r="A2216" s="29">
        <v>40</v>
      </c>
      <c r="B2216" s="30">
        <f>IF(22&lt;=DAY(DATE(YEAR(설정_코스수당!$K$2),MONTH(설정_코스수당!$K$2)+1,0)),DATE(YEAR(설정_코스수당!$K$2),MONTH(설정_코스수당!$K$2),22),"")</f>
        <v>46195</v>
      </c>
      <c r="C2216" s="31"/>
      <c r="D2216" s="29"/>
      <c r="E2216" s="29"/>
      <c r="F2216" s="32"/>
      <c r="G2216" s="29"/>
      <c r="H2216" s="29"/>
      <c r="I2216" s="29"/>
      <c r="J2216" s="33">
        <f>IF($O2216="방문완료",MAX(0,IFERROR(VLOOKUP($E2216,설정_코스수당!$A$6:$H$10,4,FALSE),0)-IF(OR($P2216="",$P2216="없음"),0,100000)),0)</f>
        <v>0</v>
      </c>
      <c r="K2216" s="33">
        <f t="array" ref="K2216">IF($O2216="방문완료",IFERROR(INDEX(설정_코스수당!$B$15:$F$64,MATCH($G2216,설정_코스수당!$A$15:$A$64,0),MATCH($E2216&amp;"수당",설정_코스수당!$B$14:$F$14,0)),0),0)</f>
        <v>0</v>
      </c>
      <c r="L2216" s="33">
        <f t="array" ref="L2216">IF($O2216="방문완료",IF($H2216="",0,IFERROR(INDEX(설정_코스수당!$B$15:$F$64,MATCH($H2216,설정_코스수당!$A$15:$A$64,0),MATCH($E2216&amp;"수당",설정_코스수당!$B$14:$F$14,0)),0)),0)</f>
        <v>0</v>
      </c>
      <c r="M2216" s="33">
        <f>IF($O2216="방문완료",IFERROR(VLOOKUP($E2216,설정_코스수당!$A$6:$H$10,6,FALSE),0),0)</f>
        <v>0</v>
      </c>
      <c r="N2216" s="34">
        <f t="shared" si="64"/>
        <v>0</v>
      </c>
      <c r="O2216" s="29"/>
      <c r="P2216" s="29"/>
      <c r="Q2216" s="29"/>
      <c r="R2216" s="32"/>
      <c r="S2216" s="29"/>
    </row>
    <row r="2217" spans="1:22" ht="19.5" hidden="1" customHeight="1" outlineLevel="1">
      <c r="A2217" s="23">
        <v>41</v>
      </c>
      <c r="B2217" s="24">
        <f>IF(22&lt;=DAY(DATE(YEAR(설정_코스수당!$K$2),MONTH(설정_코스수당!$K$2)+1,0)),DATE(YEAR(설정_코스수당!$K$2),MONTH(설정_코스수당!$K$2),22),"")</f>
        <v>46195</v>
      </c>
      <c r="C2217" s="25"/>
      <c r="D2217" s="23"/>
      <c r="E2217" s="23"/>
      <c r="F2217" s="26"/>
      <c r="G2217" s="23"/>
      <c r="H2217" s="23"/>
      <c r="I2217" s="23"/>
      <c r="J2217" s="27">
        <f>IF($O2217="방문완료",MAX(0,IFERROR(VLOOKUP($E2217,설정_코스수당!$A$6:$H$10,4,FALSE),0)-IF(OR($P2217="",$P2217="없음"),0,100000)),0)</f>
        <v>0</v>
      </c>
      <c r="K2217" s="27">
        <f t="array" ref="K2217">IF($O2217="방문완료",IFERROR(INDEX(설정_코스수당!$B$15:$F$64,MATCH($G2217,설정_코스수당!$A$15:$A$64,0),MATCH($E2217&amp;"수당",설정_코스수당!$B$14:$F$14,0)),0),0)</f>
        <v>0</v>
      </c>
      <c r="L2217" s="27">
        <f t="array" ref="L2217">IF($O2217="방문완료",IF($H2217="",0,IFERROR(INDEX(설정_코스수당!$B$15:$F$64,MATCH($H2217,설정_코스수당!$A$15:$A$64,0),MATCH($E2217&amp;"수당",설정_코스수당!$B$14:$F$14,0)),0)),0)</f>
        <v>0</v>
      </c>
      <c r="M2217" s="27">
        <f>IF($O2217="방문완료",IFERROR(VLOOKUP($E2217,설정_코스수당!$A$6:$H$10,6,FALSE),0),0)</f>
        <v>0</v>
      </c>
      <c r="N2217" s="28">
        <f t="shared" si="64"/>
        <v>0</v>
      </c>
      <c r="O2217" s="23"/>
      <c r="P2217" s="23"/>
      <c r="Q2217" s="23"/>
      <c r="R2217" s="26"/>
      <c r="S2217" s="23"/>
    </row>
    <row r="2218" spans="1:22" ht="19.5" hidden="1" customHeight="1" outlineLevel="1">
      <c r="A2218" s="29">
        <v>42</v>
      </c>
      <c r="B2218" s="30">
        <f>IF(22&lt;=DAY(DATE(YEAR(설정_코스수당!$K$2),MONTH(설정_코스수당!$K$2)+1,0)),DATE(YEAR(설정_코스수당!$K$2),MONTH(설정_코스수당!$K$2),22),"")</f>
        <v>46195</v>
      </c>
      <c r="C2218" s="31"/>
      <c r="D2218" s="29"/>
      <c r="E2218" s="29"/>
      <c r="F2218" s="32"/>
      <c r="G2218" s="29"/>
      <c r="H2218" s="29"/>
      <c r="I2218" s="29"/>
      <c r="J2218" s="33">
        <f>IF($O2218="방문완료",MAX(0,IFERROR(VLOOKUP($E2218,설정_코스수당!$A$6:$H$10,4,FALSE),0)-IF(OR($P2218="",$P2218="없음"),0,100000)),0)</f>
        <v>0</v>
      </c>
      <c r="K2218" s="33">
        <f t="array" ref="K2218">IF($O2218="방문완료",IFERROR(INDEX(설정_코스수당!$B$15:$F$64,MATCH($G2218,설정_코스수당!$A$15:$A$64,0),MATCH($E2218&amp;"수당",설정_코스수당!$B$14:$F$14,0)),0),0)</f>
        <v>0</v>
      </c>
      <c r="L2218" s="33">
        <f t="array" ref="L2218">IF($O2218="방문완료",IF($H2218="",0,IFERROR(INDEX(설정_코스수당!$B$15:$F$64,MATCH($H2218,설정_코스수당!$A$15:$A$64,0),MATCH($E2218&amp;"수당",설정_코스수당!$B$14:$F$14,0)),0)),0)</f>
        <v>0</v>
      </c>
      <c r="M2218" s="33">
        <f>IF($O2218="방문완료",IFERROR(VLOOKUP($E2218,설정_코스수당!$A$6:$H$10,6,FALSE),0),0)</f>
        <v>0</v>
      </c>
      <c r="N2218" s="34">
        <f t="shared" si="64"/>
        <v>0</v>
      </c>
      <c r="O2218" s="29"/>
      <c r="P2218" s="29"/>
      <c r="Q2218" s="29"/>
      <c r="R2218" s="32"/>
      <c r="S2218" s="29"/>
    </row>
    <row r="2219" spans="1:22" ht="19.5" hidden="1" customHeight="1" outlineLevel="1">
      <c r="A2219" s="23">
        <v>43</v>
      </c>
      <c r="B2219" s="24">
        <f>IF(22&lt;=DAY(DATE(YEAR(설정_코스수당!$K$2),MONTH(설정_코스수당!$K$2)+1,0)),DATE(YEAR(설정_코스수당!$K$2),MONTH(설정_코스수당!$K$2),22),"")</f>
        <v>46195</v>
      </c>
      <c r="C2219" s="25"/>
      <c r="D2219" s="23"/>
      <c r="E2219" s="23"/>
      <c r="F2219" s="26"/>
      <c r="G2219" s="23"/>
      <c r="H2219" s="23"/>
      <c r="I2219" s="23"/>
      <c r="J2219" s="27">
        <f>IF($O2219="방문완료",MAX(0,IFERROR(VLOOKUP($E2219,설정_코스수당!$A$6:$H$10,4,FALSE),0)-IF(OR($P2219="",$P2219="없음"),0,100000)),0)</f>
        <v>0</v>
      </c>
      <c r="K2219" s="27">
        <f t="array" ref="K2219">IF($O2219="방문완료",IFERROR(INDEX(설정_코스수당!$B$15:$F$64,MATCH($G2219,설정_코스수당!$A$15:$A$64,0),MATCH($E2219&amp;"수당",설정_코스수당!$B$14:$F$14,0)),0),0)</f>
        <v>0</v>
      </c>
      <c r="L2219" s="27">
        <f t="array" ref="L2219">IF($O2219="방문완료",IF($H2219="",0,IFERROR(INDEX(설정_코스수당!$B$15:$F$64,MATCH($H2219,설정_코스수당!$A$15:$A$64,0),MATCH($E2219&amp;"수당",설정_코스수당!$B$14:$F$14,0)),0)),0)</f>
        <v>0</v>
      </c>
      <c r="M2219" s="27">
        <f>IF($O2219="방문완료",IFERROR(VLOOKUP($E2219,설정_코스수당!$A$6:$H$10,6,FALSE),0),0)</f>
        <v>0</v>
      </c>
      <c r="N2219" s="28">
        <f t="shared" si="64"/>
        <v>0</v>
      </c>
      <c r="O2219" s="23"/>
      <c r="P2219" s="23"/>
      <c r="Q2219" s="23"/>
      <c r="R2219" s="26"/>
      <c r="S2219" s="23"/>
    </row>
    <row r="2220" spans="1:22" ht="19.5" hidden="1" customHeight="1" outlineLevel="1">
      <c r="A2220" s="29">
        <v>44</v>
      </c>
      <c r="B2220" s="30">
        <f>IF(22&lt;=DAY(DATE(YEAR(설정_코스수당!$K$2),MONTH(설정_코스수당!$K$2)+1,0)),DATE(YEAR(설정_코스수당!$K$2),MONTH(설정_코스수당!$K$2),22),"")</f>
        <v>46195</v>
      </c>
      <c r="C2220" s="31"/>
      <c r="D2220" s="29"/>
      <c r="E2220" s="29"/>
      <c r="F2220" s="32"/>
      <c r="G2220" s="29"/>
      <c r="H2220" s="29"/>
      <c r="I2220" s="29"/>
      <c r="J2220" s="33">
        <f>IF($O2220="방문완료",MAX(0,IFERROR(VLOOKUP($E2220,설정_코스수당!$A$6:$H$10,4,FALSE),0)-IF(OR($P2220="",$P2220="없음"),0,100000)),0)</f>
        <v>0</v>
      </c>
      <c r="K2220" s="33">
        <f t="array" ref="K2220">IF($O2220="방문완료",IFERROR(INDEX(설정_코스수당!$B$15:$F$64,MATCH($G2220,설정_코스수당!$A$15:$A$64,0),MATCH($E2220&amp;"수당",설정_코스수당!$B$14:$F$14,0)),0),0)</f>
        <v>0</v>
      </c>
      <c r="L2220" s="33">
        <f t="array" ref="L2220">IF($O2220="방문완료",IF($H2220="",0,IFERROR(INDEX(설정_코스수당!$B$15:$F$64,MATCH($H2220,설정_코스수당!$A$15:$A$64,0),MATCH($E2220&amp;"수당",설정_코스수당!$B$14:$F$14,0)),0)),0)</f>
        <v>0</v>
      </c>
      <c r="M2220" s="33">
        <f>IF($O2220="방문완료",IFERROR(VLOOKUP($E2220,설정_코스수당!$A$6:$H$10,6,FALSE),0),0)</f>
        <v>0</v>
      </c>
      <c r="N2220" s="34">
        <f t="shared" si="64"/>
        <v>0</v>
      </c>
      <c r="O2220" s="29"/>
      <c r="P2220" s="29"/>
      <c r="Q2220" s="29"/>
      <c r="R2220" s="32"/>
      <c r="S2220" s="29"/>
      <c r="U2220" s="16" t="s">
        <v>72</v>
      </c>
      <c r="V2220" s="17">
        <f>IF(23&lt;=DAY(DATE(YEAR(설정_코스수당!$K$2),MONTH(설정_코스수당!$K$2)+1,0)),COUNTIFS($B:$B,DATE(YEAR(설정_코스수당!$K$2),MONTH(설정_코스수당!$K$2),23),$O:$O,"방문완료",$P:$P,"&lt;&gt;",$P:$P,"&lt;&gt;없음")*100000,"")</f>
        <v>0</v>
      </c>
    </row>
    <row r="2221" spans="1:22" ht="19.5" hidden="1" customHeight="1" outlineLevel="1">
      <c r="A2221" s="23">
        <v>45</v>
      </c>
      <c r="B2221" s="24">
        <f>IF(22&lt;=DAY(DATE(YEAR(설정_코스수당!$K$2),MONTH(설정_코스수당!$K$2)+1,0)),DATE(YEAR(설정_코스수당!$K$2),MONTH(설정_코스수당!$K$2),22),"")</f>
        <v>46195</v>
      </c>
      <c r="C2221" s="25"/>
      <c r="D2221" s="23"/>
      <c r="E2221" s="23"/>
      <c r="F2221" s="26"/>
      <c r="G2221" s="23"/>
      <c r="H2221" s="23"/>
      <c r="I2221" s="23"/>
      <c r="J2221" s="27">
        <f>IF($O2221="방문완료",MAX(0,IFERROR(VLOOKUP($E2221,설정_코스수당!$A$6:$H$10,4,FALSE),0)-IF(OR($P2221="",$P2221="없음"),0,100000)),0)</f>
        <v>0</v>
      </c>
      <c r="K2221" s="27">
        <f t="array" ref="K2221">IF($O2221="방문완료",IFERROR(INDEX(설정_코스수당!$B$15:$F$64,MATCH($G2221,설정_코스수당!$A$15:$A$64,0),MATCH($E2221&amp;"수당",설정_코스수당!$B$14:$F$14,0)),0),0)</f>
        <v>0</v>
      </c>
      <c r="L2221" s="27">
        <f t="array" ref="L2221">IF($O2221="방문완료",IF($H2221="",0,IFERROR(INDEX(설정_코스수당!$B$15:$F$64,MATCH($H2221,설정_코스수당!$A$15:$A$64,0),MATCH($E2221&amp;"수당",설정_코스수당!$B$14:$F$14,0)),0)),0)</f>
        <v>0</v>
      </c>
      <c r="M2221" s="27">
        <f>IF($O2221="방문완료",IFERROR(VLOOKUP($E2221,설정_코스수당!$A$6:$H$10,6,FALSE),0),0)</f>
        <v>0</v>
      </c>
      <c r="N2221" s="28">
        <f t="shared" si="64"/>
        <v>0</v>
      </c>
      <c r="O2221" s="23"/>
      <c r="P2221" s="23"/>
      <c r="Q2221" s="23"/>
      <c r="R2221" s="26"/>
      <c r="S2221" s="23"/>
    </row>
    <row r="2222" spans="1:22" ht="19.5" hidden="1" customHeight="1" outlineLevel="1">
      <c r="A2222" s="29">
        <v>46</v>
      </c>
      <c r="B2222" s="30">
        <f>IF(22&lt;=DAY(DATE(YEAR(설정_코스수당!$K$2),MONTH(설정_코스수당!$K$2)+1,0)),DATE(YEAR(설정_코스수당!$K$2),MONTH(설정_코스수당!$K$2),22),"")</f>
        <v>46195</v>
      </c>
      <c r="C2222" s="31"/>
      <c r="D2222" s="29"/>
      <c r="E2222" s="29"/>
      <c r="F2222" s="32"/>
      <c r="G2222" s="29"/>
      <c r="H2222" s="29"/>
      <c r="I2222" s="29"/>
      <c r="J2222" s="33">
        <f>IF($O2222="방문완료",MAX(0,IFERROR(VLOOKUP($E2222,설정_코스수당!$A$6:$H$10,4,FALSE),0)-IF(OR($P2222="",$P2222="없음"),0,100000)),0)</f>
        <v>0</v>
      </c>
      <c r="K2222" s="33">
        <f t="array" ref="K2222">IF($O2222="방문완료",IFERROR(INDEX(설정_코스수당!$B$15:$F$64,MATCH($G2222,설정_코스수당!$A$15:$A$64,0),MATCH($E2222&amp;"수당",설정_코스수당!$B$14:$F$14,0)),0),0)</f>
        <v>0</v>
      </c>
      <c r="L2222" s="33">
        <f t="array" ref="L2222">IF($O2222="방문완료",IF($H2222="",0,IFERROR(INDEX(설정_코스수당!$B$15:$F$64,MATCH($H2222,설정_코스수당!$A$15:$A$64,0),MATCH($E2222&amp;"수당",설정_코스수당!$B$14:$F$14,0)),0)),0)</f>
        <v>0</v>
      </c>
      <c r="M2222" s="33">
        <f>IF($O2222="방문완료",IFERROR(VLOOKUP($E2222,설정_코스수당!$A$6:$H$10,6,FALSE),0),0)</f>
        <v>0</v>
      </c>
      <c r="N2222" s="34">
        <f t="shared" si="64"/>
        <v>0</v>
      </c>
      <c r="O2222" s="29"/>
      <c r="P2222" s="29"/>
      <c r="Q2222" s="29"/>
      <c r="R2222" s="32"/>
      <c r="S2222" s="29"/>
    </row>
    <row r="2223" spans="1:22" ht="19.5" hidden="1" customHeight="1" outlineLevel="1">
      <c r="A2223" s="23">
        <v>47</v>
      </c>
      <c r="B2223" s="24">
        <f>IF(22&lt;=DAY(DATE(YEAR(설정_코스수당!$K$2),MONTH(설정_코스수당!$K$2)+1,0)),DATE(YEAR(설정_코스수당!$K$2),MONTH(설정_코스수당!$K$2),22),"")</f>
        <v>46195</v>
      </c>
      <c r="C2223" s="25"/>
      <c r="D2223" s="23"/>
      <c r="E2223" s="23"/>
      <c r="F2223" s="26"/>
      <c r="G2223" s="23"/>
      <c r="H2223" s="23"/>
      <c r="I2223" s="23"/>
      <c r="J2223" s="27">
        <f>IF($O2223="방문완료",MAX(0,IFERROR(VLOOKUP($E2223,설정_코스수당!$A$6:$H$10,4,FALSE),0)-IF(OR($P2223="",$P2223="없음"),0,100000)),0)</f>
        <v>0</v>
      </c>
      <c r="K2223" s="27">
        <f t="array" ref="K2223">IF($O2223="방문완료",IFERROR(INDEX(설정_코스수당!$B$15:$F$64,MATCH($G2223,설정_코스수당!$A$15:$A$64,0),MATCH($E2223&amp;"수당",설정_코스수당!$B$14:$F$14,0)),0),0)</f>
        <v>0</v>
      </c>
      <c r="L2223" s="27">
        <f t="array" ref="L2223">IF($O2223="방문완료",IF($H2223="",0,IFERROR(INDEX(설정_코스수당!$B$15:$F$64,MATCH($H2223,설정_코스수당!$A$15:$A$64,0),MATCH($E2223&amp;"수당",설정_코스수당!$B$14:$F$14,0)),0)),0)</f>
        <v>0</v>
      </c>
      <c r="M2223" s="27">
        <f>IF($O2223="방문완료",IFERROR(VLOOKUP($E2223,설정_코스수당!$A$6:$H$10,6,FALSE),0),0)</f>
        <v>0</v>
      </c>
      <c r="N2223" s="28">
        <f t="shared" si="64"/>
        <v>0</v>
      </c>
      <c r="O2223" s="23"/>
      <c r="P2223" s="23"/>
      <c r="Q2223" s="23"/>
      <c r="R2223" s="26"/>
      <c r="S2223" s="23"/>
    </row>
    <row r="2224" spans="1:22" ht="19.5" hidden="1" customHeight="1" outlineLevel="1">
      <c r="A2224" s="29">
        <v>48</v>
      </c>
      <c r="B2224" s="30">
        <f>IF(22&lt;=DAY(DATE(YEAR(설정_코스수당!$K$2),MONTH(설정_코스수당!$K$2)+1,0)),DATE(YEAR(설정_코스수당!$K$2),MONTH(설정_코스수당!$K$2),22),"")</f>
        <v>46195</v>
      </c>
      <c r="C2224" s="31"/>
      <c r="D2224" s="29"/>
      <c r="E2224" s="29"/>
      <c r="F2224" s="32"/>
      <c r="G2224" s="29"/>
      <c r="H2224" s="29"/>
      <c r="I2224" s="29"/>
      <c r="J2224" s="33">
        <f>IF($O2224="방문완료",MAX(0,IFERROR(VLOOKUP($E2224,설정_코스수당!$A$6:$H$10,4,FALSE),0)-IF(OR($P2224="",$P2224="없음"),0,100000)),0)</f>
        <v>0</v>
      </c>
      <c r="K2224" s="33">
        <f t="array" ref="K2224">IF($O2224="방문완료",IFERROR(INDEX(설정_코스수당!$B$15:$F$64,MATCH($G2224,설정_코스수당!$A$15:$A$64,0),MATCH($E2224&amp;"수당",설정_코스수당!$B$14:$F$14,0)),0),0)</f>
        <v>0</v>
      </c>
      <c r="L2224" s="33">
        <f t="array" ref="L2224">IF($O2224="방문완료",IF($H2224="",0,IFERROR(INDEX(설정_코스수당!$B$15:$F$64,MATCH($H2224,설정_코스수당!$A$15:$A$64,0),MATCH($E2224&amp;"수당",설정_코스수당!$B$14:$F$14,0)),0)),0)</f>
        <v>0</v>
      </c>
      <c r="M2224" s="33">
        <f>IF($O2224="방문완료",IFERROR(VLOOKUP($E2224,설정_코스수당!$A$6:$H$10,6,FALSE),0),0)</f>
        <v>0</v>
      </c>
      <c r="N2224" s="34">
        <f t="shared" si="64"/>
        <v>0</v>
      </c>
      <c r="O2224" s="29"/>
      <c r="P2224" s="29"/>
      <c r="Q2224" s="29"/>
      <c r="R2224" s="32"/>
      <c r="S2224" s="29"/>
    </row>
    <row r="2225" spans="1:19" ht="19.5" hidden="1" customHeight="1" outlineLevel="1">
      <c r="A2225" s="23">
        <v>49</v>
      </c>
      <c r="B2225" s="24">
        <f>IF(22&lt;=DAY(DATE(YEAR(설정_코스수당!$K$2),MONTH(설정_코스수당!$K$2)+1,0)),DATE(YEAR(설정_코스수당!$K$2),MONTH(설정_코스수당!$K$2),22),"")</f>
        <v>46195</v>
      </c>
      <c r="C2225" s="25"/>
      <c r="D2225" s="23"/>
      <c r="E2225" s="23"/>
      <c r="F2225" s="26"/>
      <c r="G2225" s="23"/>
      <c r="H2225" s="23"/>
      <c r="I2225" s="23"/>
      <c r="J2225" s="27">
        <f>IF($O2225="방문완료",MAX(0,IFERROR(VLOOKUP($E2225,설정_코스수당!$A$6:$H$10,4,FALSE),0)-IF(OR($P2225="",$P2225="없음"),0,100000)),0)</f>
        <v>0</v>
      </c>
      <c r="K2225" s="27">
        <f t="array" ref="K2225">IF($O2225="방문완료",IFERROR(INDEX(설정_코스수당!$B$15:$F$64,MATCH($G2225,설정_코스수당!$A$15:$A$64,0),MATCH($E2225&amp;"수당",설정_코스수당!$B$14:$F$14,0)),0),0)</f>
        <v>0</v>
      </c>
      <c r="L2225" s="27">
        <f t="array" ref="L2225">IF($O2225="방문완료",IF($H2225="",0,IFERROR(INDEX(설정_코스수당!$B$15:$F$64,MATCH($H2225,설정_코스수당!$A$15:$A$64,0),MATCH($E2225&amp;"수당",설정_코스수당!$B$14:$F$14,0)),0)),0)</f>
        <v>0</v>
      </c>
      <c r="M2225" s="27">
        <f>IF($O2225="방문완료",IFERROR(VLOOKUP($E2225,설정_코스수당!$A$6:$H$10,6,FALSE),0),0)</f>
        <v>0</v>
      </c>
      <c r="N2225" s="28">
        <f t="shared" si="64"/>
        <v>0</v>
      </c>
      <c r="O2225" s="23"/>
      <c r="P2225" s="23"/>
      <c r="Q2225" s="23"/>
      <c r="R2225" s="26"/>
      <c r="S2225" s="23"/>
    </row>
    <row r="2226" spans="1:19" ht="19.5" hidden="1" customHeight="1" outlineLevel="1">
      <c r="A2226" s="29">
        <v>50</v>
      </c>
      <c r="B2226" s="30">
        <f>IF(22&lt;=DAY(DATE(YEAR(설정_코스수당!$K$2),MONTH(설정_코스수당!$K$2)+1,0)),DATE(YEAR(설정_코스수당!$K$2),MONTH(설정_코스수당!$K$2),22),"")</f>
        <v>46195</v>
      </c>
      <c r="C2226" s="31"/>
      <c r="D2226" s="29"/>
      <c r="E2226" s="29"/>
      <c r="F2226" s="32"/>
      <c r="G2226" s="29"/>
      <c r="H2226" s="29"/>
      <c r="I2226" s="29"/>
      <c r="J2226" s="33">
        <f>IF($O2226="방문완료",MAX(0,IFERROR(VLOOKUP($E2226,설정_코스수당!$A$6:$H$10,4,FALSE),0)-IF(OR($P2226="",$P2226="없음"),0,100000)),0)</f>
        <v>0</v>
      </c>
      <c r="K2226" s="33">
        <f t="array" ref="K2226">IF($O2226="방문완료",IFERROR(INDEX(설정_코스수당!$B$15:$F$64,MATCH($G2226,설정_코스수당!$A$15:$A$64,0),MATCH($E2226&amp;"수당",설정_코스수당!$B$14:$F$14,0)),0),0)</f>
        <v>0</v>
      </c>
      <c r="L2226" s="33">
        <f t="array" ref="L2226">IF($O2226="방문완료",IF($H2226="",0,IFERROR(INDEX(설정_코스수당!$B$15:$F$64,MATCH($H2226,설정_코스수당!$A$15:$A$64,0),MATCH($E2226&amp;"수당",설정_코스수당!$B$14:$F$14,0)),0)),0)</f>
        <v>0</v>
      </c>
      <c r="M2226" s="33">
        <f>IF($O2226="방문완료",IFERROR(VLOOKUP($E2226,설정_코스수당!$A$6:$H$10,6,FALSE),0),0)</f>
        <v>0</v>
      </c>
      <c r="N2226" s="34">
        <f t="shared" si="64"/>
        <v>0</v>
      </c>
      <c r="O2226" s="29"/>
      <c r="P2226" s="29"/>
      <c r="Q2226" s="29"/>
      <c r="R2226" s="32"/>
      <c r="S2226" s="29"/>
    </row>
    <row r="2227" spans="1:19" ht="19.5" hidden="1" customHeight="1" outlineLevel="1">
      <c r="A2227" s="23">
        <v>51</v>
      </c>
      <c r="B2227" s="24">
        <f>IF(22&lt;=DAY(DATE(YEAR(설정_코스수당!$K$2),MONTH(설정_코스수당!$K$2)+1,0)),DATE(YEAR(설정_코스수당!$K$2),MONTH(설정_코스수당!$K$2),22),"")</f>
        <v>46195</v>
      </c>
      <c r="C2227" s="25"/>
      <c r="D2227" s="23"/>
      <c r="E2227" s="23"/>
      <c r="F2227" s="26"/>
      <c r="G2227" s="23"/>
      <c r="H2227" s="23"/>
      <c r="I2227" s="23"/>
      <c r="J2227" s="27">
        <f>IF($O2227="방문완료",MAX(0,IFERROR(VLOOKUP($E2227,설정_코스수당!$A$6:$H$10,4,FALSE),0)-IF(OR($P2227="",$P2227="없음"),0,100000)),0)</f>
        <v>0</v>
      </c>
      <c r="K2227" s="27">
        <f t="array" ref="K2227">IF($O2227="방문완료",IFERROR(INDEX(설정_코스수당!$B$15:$F$64,MATCH($G2227,설정_코스수당!$A$15:$A$64,0),MATCH($E2227&amp;"수당",설정_코스수당!$B$14:$F$14,0)),0),0)</f>
        <v>0</v>
      </c>
      <c r="L2227" s="27">
        <f t="array" ref="L2227">IF($O2227="방문완료",IF($H2227="",0,IFERROR(INDEX(설정_코스수당!$B$15:$F$64,MATCH($H2227,설정_코스수당!$A$15:$A$64,0),MATCH($E2227&amp;"수당",설정_코스수당!$B$14:$F$14,0)),0)),0)</f>
        <v>0</v>
      </c>
      <c r="M2227" s="27">
        <f>IF($O2227="방문완료",IFERROR(VLOOKUP($E2227,설정_코스수당!$A$6:$H$10,6,FALSE),0),0)</f>
        <v>0</v>
      </c>
      <c r="N2227" s="28">
        <f t="shared" si="64"/>
        <v>0</v>
      </c>
      <c r="O2227" s="23"/>
      <c r="P2227" s="23"/>
      <c r="Q2227" s="23"/>
      <c r="R2227" s="26"/>
      <c r="S2227" s="23"/>
    </row>
    <row r="2228" spans="1:19" ht="19.5" hidden="1" customHeight="1" outlineLevel="1">
      <c r="A2228" s="29">
        <v>52</v>
      </c>
      <c r="B2228" s="30">
        <f>IF(22&lt;=DAY(DATE(YEAR(설정_코스수당!$K$2),MONTH(설정_코스수당!$K$2)+1,0)),DATE(YEAR(설정_코스수당!$K$2),MONTH(설정_코스수당!$K$2),22),"")</f>
        <v>46195</v>
      </c>
      <c r="C2228" s="31"/>
      <c r="D2228" s="29"/>
      <c r="E2228" s="29"/>
      <c r="F2228" s="32"/>
      <c r="G2228" s="29"/>
      <c r="H2228" s="29"/>
      <c r="I2228" s="29"/>
      <c r="J2228" s="33">
        <f>IF($O2228="방문완료",MAX(0,IFERROR(VLOOKUP($E2228,설정_코스수당!$A$6:$H$10,4,FALSE),0)-IF(OR($P2228="",$P2228="없음"),0,100000)),0)</f>
        <v>0</v>
      </c>
      <c r="K2228" s="33">
        <f t="array" ref="K2228">IF($O2228="방문완료",IFERROR(INDEX(설정_코스수당!$B$15:$F$64,MATCH($G2228,설정_코스수당!$A$15:$A$64,0),MATCH($E2228&amp;"수당",설정_코스수당!$B$14:$F$14,0)),0),0)</f>
        <v>0</v>
      </c>
      <c r="L2228" s="33">
        <f t="array" ref="L2228">IF($O2228="방문완료",IF($H2228="",0,IFERROR(INDEX(설정_코스수당!$B$15:$F$64,MATCH($H2228,설정_코스수당!$A$15:$A$64,0),MATCH($E2228&amp;"수당",설정_코스수당!$B$14:$F$14,0)),0)),0)</f>
        <v>0</v>
      </c>
      <c r="M2228" s="33">
        <f>IF($O2228="방문완료",IFERROR(VLOOKUP($E2228,설정_코스수당!$A$6:$H$10,6,FALSE),0),0)</f>
        <v>0</v>
      </c>
      <c r="N2228" s="34">
        <f t="shared" si="64"/>
        <v>0</v>
      </c>
      <c r="O2228" s="29"/>
      <c r="P2228" s="29"/>
      <c r="Q2228" s="29"/>
      <c r="R2228" s="32"/>
      <c r="S2228" s="29"/>
    </row>
    <row r="2229" spans="1:19" ht="19.5" hidden="1" customHeight="1" outlineLevel="1">
      <c r="A2229" s="23">
        <v>53</v>
      </c>
      <c r="B2229" s="24">
        <f>IF(22&lt;=DAY(DATE(YEAR(설정_코스수당!$K$2),MONTH(설정_코스수당!$K$2)+1,0)),DATE(YEAR(설정_코스수당!$K$2),MONTH(설정_코스수당!$K$2),22),"")</f>
        <v>46195</v>
      </c>
      <c r="C2229" s="25"/>
      <c r="D2229" s="23"/>
      <c r="E2229" s="23"/>
      <c r="F2229" s="26"/>
      <c r="G2229" s="23"/>
      <c r="H2229" s="23"/>
      <c r="I2229" s="23"/>
      <c r="J2229" s="27">
        <f>IF($O2229="방문완료",MAX(0,IFERROR(VLOOKUP($E2229,설정_코스수당!$A$6:$H$10,4,FALSE),0)-IF(OR($P2229="",$P2229="없음"),0,100000)),0)</f>
        <v>0</v>
      </c>
      <c r="K2229" s="27">
        <f t="array" ref="K2229">IF($O2229="방문완료",IFERROR(INDEX(설정_코스수당!$B$15:$F$64,MATCH($G2229,설정_코스수당!$A$15:$A$64,0),MATCH($E2229&amp;"수당",설정_코스수당!$B$14:$F$14,0)),0),0)</f>
        <v>0</v>
      </c>
      <c r="L2229" s="27">
        <f t="array" ref="L2229">IF($O2229="방문완료",IF($H2229="",0,IFERROR(INDEX(설정_코스수당!$B$15:$F$64,MATCH($H2229,설정_코스수당!$A$15:$A$64,0),MATCH($E2229&amp;"수당",설정_코스수당!$B$14:$F$14,0)),0)),0)</f>
        <v>0</v>
      </c>
      <c r="M2229" s="27">
        <f>IF($O2229="방문완료",IFERROR(VLOOKUP($E2229,설정_코스수당!$A$6:$H$10,6,FALSE),0),0)</f>
        <v>0</v>
      </c>
      <c r="N2229" s="28">
        <f t="shared" si="64"/>
        <v>0</v>
      </c>
      <c r="O2229" s="23"/>
      <c r="P2229" s="23"/>
      <c r="Q2229" s="23"/>
      <c r="R2229" s="26"/>
      <c r="S2229" s="23"/>
    </row>
    <row r="2230" spans="1:19" ht="19.5" hidden="1" customHeight="1" outlineLevel="1">
      <c r="A2230" s="29">
        <v>54</v>
      </c>
      <c r="B2230" s="30">
        <f>IF(22&lt;=DAY(DATE(YEAR(설정_코스수당!$K$2),MONTH(설정_코스수당!$K$2)+1,0)),DATE(YEAR(설정_코스수당!$K$2),MONTH(설정_코스수당!$K$2),22),"")</f>
        <v>46195</v>
      </c>
      <c r="C2230" s="31"/>
      <c r="D2230" s="29"/>
      <c r="E2230" s="29"/>
      <c r="F2230" s="32"/>
      <c r="G2230" s="29"/>
      <c r="H2230" s="29"/>
      <c r="I2230" s="29"/>
      <c r="J2230" s="33">
        <f>IF($O2230="방문완료",MAX(0,IFERROR(VLOOKUP($E2230,설정_코스수당!$A$6:$H$10,4,FALSE),0)-IF(OR($P2230="",$P2230="없음"),0,100000)),0)</f>
        <v>0</v>
      </c>
      <c r="K2230" s="33">
        <f t="array" ref="K2230">IF($O2230="방문완료",IFERROR(INDEX(설정_코스수당!$B$15:$F$64,MATCH($G2230,설정_코스수당!$A$15:$A$64,0),MATCH($E2230&amp;"수당",설정_코스수당!$B$14:$F$14,0)),0),0)</f>
        <v>0</v>
      </c>
      <c r="L2230" s="33">
        <f t="array" ref="L2230">IF($O2230="방문완료",IF($H2230="",0,IFERROR(INDEX(설정_코스수당!$B$15:$F$64,MATCH($H2230,설정_코스수당!$A$15:$A$64,0),MATCH($E2230&amp;"수당",설정_코스수당!$B$14:$F$14,0)),0)),0)</f>
        <v>0</v>
      </c>
      <c r="M2230" s="33">
        <f>IF($O2230="방문완료",IFERROR(VLOOKUP($E2230,설정_코스수당!$A$6:$H$10,6,FALSE),0),0)</f>
        <v>0</v>
      </c>
      <c r="N2230" s="34">
        <f t="shared" si="64"/>
        <v>0</v>
      </c>
      <c r="O2230" s="29"/>
      <c r="P2230" s="29"/>
      <c r="Q2230" s="29"/>
      <c r="R2230" s="32"/>
      <c r="S2230" s="29"/>
    </row>
    <row r="2231" spans="1:19" ht="19.5" hidden="1" customHeight="1" outlineLevel="1">
      <c r="A2231" s="23">
        <v>55</v>
      </c>
      <c r="B2231" s="24">
        <f>IF(22&lt;=DAY(DATE(YEAR(설정_코스수당!$K$2),MONTH(설정_코스수당!$K$2)+1,0)),DATE(YEAR(설정_코스수당!$K$2),MONTH(설정_코스수당!$K$2),22),"")</f>
        <v>46195</v>
      </c>
      <c r="C2231" s="25"/>
      <c r="D2231" s="23"/>
      <c r="E2231" s="23"/>
      <c r="F2231" s="26"/>
      <c r="G2231" s="23"/>
      <c r="H2231" s="23"/>
      <c r="I2231" s="23"/>
      <c r="J2231" s="27">
        <f>IF($O2231="방문완료",MAX(0,IFERROR(VLOOKUP($E2231,설정_코스수당!$A$6:$H$10,4,FALSE),0)-IF(OR($P2231="",$P2231="없음"),0,100000)),0)</f>
        <v>0</v>
      </c>
      <c r="K2231" s="27">
        <f t="array" ref="K2231">IF($O2231="방문완료",IFERROR(INDEX(설정_코스수당!$B$15:$F$64,MATCH($G2231,설정_코스수당!$A$15:$A$64,0),MATCH($E2231&amp;"수당",설정_코스수당!$B$14:$F$14,0)),0),0)</f>
        <v>0</v>
      </c>
      <c r="L2231" s="27">
        <f t="array" ref="L2231">IF($O2231="방문완료",IF($H2231="",0,IFERROR(INDEX(설정_코스수당!$B$15:$F$64,MATCH($H2231,설정_코스수당!$A$15:$A$64,0),MATCH($E2231&amp;"수당",설정_코스수당!$B$14:$F$14,0)),0)),0)</f>
        <v>0</v>
      </c>
      <c r="M2231" s="27">
        <f>IF($O2231="방문완료",IFERROR(VLOOKUP($E2231,설정_코스수당!$A$6:$H$10,6,FALSE),0),0)</f>
        <v>0</v>
      </c>
      <c r="N2231" s="28">
        <f t="shared" si="64"/>
        <v>0</v>
      </c>
      <c r="O2231" s="23"/>
      <c r="P2231" s="23"/>
      <c r="Q2231" s="23"/>
      <c r="R2231" s="26"/>
      <c r="S2231" s="23"/>
    </row>
    <row r="2232" spans="1:19" ht="19.5" hidden="1" customHeight="1" outlineLevel="1">
      <c r="A2232" s="29">
        <v>56</v>
      </c>
      <c r="B2232" s="30">
        <f>IF(22&lt;=DAY(DATE(YEAR(설정_코스수당!$K$2),MONTH(설정_코스수당!$K$2)+1,0)),DATE(YEAR(설정_코스수당!$K$2),MONTH(설정_코스수당!$K$2),22),"")</f>
        <v>46195</v>
      </c>
      <c r="C2232" s="31"/>
      <c r="D2232" s="29"/>
      <c r="E2232" s="29"/>
      <c r="F2232" s="32"/>
      <c r="G2232" s="29"/>
      <c r="H2232" s="29"/>
      <c r="I2232" s="29"/>
      <c r="J2232" s="33">
        <f>IF($O2232="방문완료",MAX(0,IFERROR(VLOOKUP($E2232,설정_코스수당!$A$6:$H$10,4,FALSE),0)-IF(OR($P2232="",$P2232="없음"),0,100000)),0)</f>
        <v>0</v>
      </c>
      <c r="K2232" s="33">
        <f t="array" ref="K2232">IF($O2232="방문완료",IFERROR(INDEX(설정_코스수당!$B$15:$F$64,MATCH($G2232,설정_코스수당!$A$15:$A$64,0),MATCH($E2232&amp;"수당",설정_코스수당!$B$14:$F$14,0)),0),0)</f>
        <v>0</v>
      </c>
      <c r="L2232" s="33">
        <f t="array" ref="L2232">IF($O2232="방문완료",IF($H2232="",0,IFERROR(INDEX(설정_코스수당!$B$15:$F$64,MATCH($H2232,설정_코스수당!$A$15:$A$64,0),MATCH($E2232&amp;"수당",설정_코스수당!$B$14:$F$14,0)),0)),0)</f>
        <v>0</v>
      </c>
      <c r="M2232" s="33">
        <f>IF($O2232="방문완료",IFERROR(VLOOKUP($E2232,설정_코스수당!$A$6:$H$10,6,FALSE),0),0)</f>
        <v>0</v>
      </c>
      <c r="N2232" s="34">
        <f t="shared" si="64"/>
        <v>0</v>
      </c>
      <c r="O2232" s="29"/>
      <c r="P2232" s="29"/>
      <c r="Q2232" s="29"/>
      <c r="R2232" s="32"/>
      <c r="S2232" s="29"/>
    </row>
    <row r="2233" spans="1:19" ht="19.5" hidden="1" customHeight="1" outlineLevel="1">
      <c r="A2233" s="23">
        <v>57</v>
      </c>
      <c r="B2233" s="24">
        <f>IF(22&lt;=DAY(DATE(YEAR(설정_코스수당!$K$2),MONTH(설정_코스수당!$K$2)+1,0)),DATE(YEAR(설정_코스수당!$K$2),MONTH(설정_코스수당!$K$2),22),"")</f>
        <v>46195</v>
      </c>
      <c r="C2233" s="25"/>
      <c r="D2233" s="23"/>
      <c r="E2233" s="23"/>
      <c r="F2233" s="26"/>
      <c r="G2233" s="23"/>
      <c r="H2233" s="23"/>
      <c r="I2233" s="23"/>
      <c r="J2233" s="27">
        <f>IF($O2233="방문완료",MAX(0,IFERROR(VLOOKUP($E2233,설정_코스수당!$A$6:$H$10,4,FALSE),0)-IF(OR($P2233="",$P2233="없음"),0,100000)),0)</f>
        <v>0</v>
      </c>
      <c r="K2233" s="27">
        <f t="array" ref="K2233">IF($O2233="방문완료",IFERROR(INDEX(설정_코스수당!$B$15:$F$64,MATCH($G2233,설정_코스수당!$A$15:$A$64,0),MATCH($E2233&amp;"수당",설정_코스수당!$B$14:$F$14,0)),0),0)</f>
        <v>0</v>
      </c>
      <c r="L2233" s="27">
        <f t="array" ref="L2233">IF($O2233="방문완료",IF($H2233="",0,IFERROR(INDEX(설정_코스수당!$B$15:$F$64,MATCH($H2233,설정_코스수당!$A$15:$A$64,0),MATCH($E2233&amp;"수당",설정_코스수당!$B$14:$F$14,0)),0)),0)</f>
        <v>0</v>
      </c>
      <c r="M2233" s="27">
        <f>IF($O2233="방문완료",IFERROR(VLOOKUP($E2233,설정_코스수당!$A$6:$H$10,6,FALSE),0),0)</f>
        <v>0</v>
      </c>
      <c r="N2233" s="28">
        <f t="shared" si="64"/>
        <v>0</v>
      </c>
      <c r="O2233" s="23"/>
      <c r="P2233" s="23"/>
      <c r="Q2233" s="23"/>
      <c r="R2233" s="26"/>
      <c r="S2233" s="23"/>
    </row>
    <row r="2234" spans="1:19" ht="19.5" hidden="1" customHeight="1" outlineLevel="1">
      <c r="A2234" s="29">
        <v>58</v>
      </c>
      <c r="B2234" s="30">
        <f>IF(22&lt;=DAY(DATE(YEAR(설정_코스수당!$K$2),MONTH(설정_코스수당!$K$2)+1,0)),DATE(YEAR(설정_코스수당!$K$2),MONTH(설정_코스수당!$K$2),22),"")</f>
        <v>46195</v>
      </c>
      <c r="C2234" s="31"/>
      <c r="D2234" s="29"/>
      <c r="E2234" s="29"/>
      <c r="F2234" s="32"/>
      <c r="G2234" s="29"/>
      <c r="H2234" s="29"/>
      <c r="I2234" s="29"/>
      <c r="J2234" s="33">
        <f>IF($O2234="방문완료",MAX(0,IFERROR(VLOOKUP($E2234,설정_코스수당!$A$6:$H$10,4,FALSE),0)-IF(OR($P2234="",$P2234="없음"),0,100000)),0)</f>
        <v>0</v>
      </c>
      <c r="K2234" s="33">
        <f t="array" ref="K2234">IF($O2234="방문완료",IFERROR(INDEX(설정_코스수당!$B$15:$F$64,MATCH($G2234,설정_코스수당!$A$15:$A$64,0),MATCH($E2234&amp;"수당",설정_코스수당!$B$14:$F$14,0)),0),0)</f>
        <v>0</v>
      </c>
      <c r="L2234" s="33">
        <f t="array" ref="L2234">IF($O2234="방문완료",IF($H2234="",0,IFERROR(INDEX(설정_코스수당!$B$15:$F$64,MATCH($H2234,설정_코스수당!$A$15:$A$64,0),MATCH($E2234&amp;"수당",설정_코스수당!$B$14:$F$14,0)),0)),0)</f>
        <v>0</v>
      </c>
      <c r="M2234" s="33">
        <f>IF($O2234="방문완료",IFERROR(VLOOKUP($E2234,설정_코스수당!$A$6:$H$10,6,FALSE),0),0)</f>
        <v>0</v>
      </c>
      <c r="N2234" s="34">
        <f t="shared" si="64"/>
        <v>0</v>
      </c>
      <c r="O2234" s="29"/>
      <c r="P2234" s="29"/>
      <c r="Q2234" s="29"/>
      <c r="R2234" s="32"/>
      <c r="S2234" s="29"/>
    </row>
    <row r="2235" spans="1:19" ht="19.5" hidden="1" customHeight="1" outlineLevel="1">
      <c r="A2235" s="23">
        <v>59</v>
      </c>
      <c r="B2235" s="24">
        <f>IF(22&lt;=DAY(DATE(YEAR(설정_코스수당!$K$2),MONTH(설정_코스수당!$K$2)+1,0)),DATE(YEAR(설정_코스수당!$K$2),MONTH(설정_코스수당!$K$2),22),"")</f>
        <v>46195</v>
      </c>
      <c r="C2235" s="25"/>
      <c r="D2235" s="23"/>
      <c r="E2235" s="23"/>
      <c r="F2235" s="26"/>
      <c r="G2235" s="23"/>
      <c r="H2235" s="23"/>
      <c r="I2235" s="23"/>
      <c r="J2235" s="27">
        <f>IF($O2235="방문완료",MAX(0,IFERROR(VLOOKUP($E2235,설정_코스수당!$A$6:$H$10,4,FALSE),0)-IF(OR($P2235="",$P2235="없음"),0,100000)),0)</f>
        <v>0</v>
      </c>
      <c r="K2235" s="27">
        <f t="array" ref="K2235">IF($O2235="방문완료",IFERROR(INDEX(설정_코스수당!$B$15:$F$64,MATCH($G2235,설정_코스수당!$A$15:$A$64,0),MATCH($E2235&amp;"수당",설정_코스수당!$B$14:$F$14,0)),0),0)</f>
        <v>0</v>
      </c>
      <c r="L2235" s="27">
        <f t="array" ref="L2235">IF($O2235="방문완료",IF($H2235="",0,IFERROR(INDEX(설정_코스수당!$B$15:$F$64,MATCH($H2235,설정_코스수당!$A$15:$A$64,0),MATCH($E2235&amp;"수당",설정_코스수당!$B$14:$F$14,0)),0)),0)</f>
        <v>0</v>
      </c>
      <c r="M2235" s="27">
        <f>IF($O2235="방문완료",IFERROR(VLOOKUP($E2235,설정_코스수당!$A$6:$H$10,6,FALSE),0),0)</f>
        <v>0</v>
      </c>
      <c r="N2235" s="28">
        <f t="shared" si="64"/>
        <v>0</v>
      </c>
      <c r="O2235" s="23"/>
      <c r="P2235" s="23"/>
      <c r="Q2235" s="23"/>
      <c r="R2235" s="26"/>
      <c r="S2235" s="23"/>
    </row>
    <row r="2236" spans="1:19" ht="19.5" hidden="1" customHeight="1" outlineLevel="1">
      <c r="A2236" s="29">
        <v>60</v>
      </c>
      <c r="B2236" s="30">
        <f>IF(22&lt;=DAY(DATE(YEAR(설정_코스수당!$K$2),MONTH(설정_코스수당!$K$2)+1,0)),DATE(YEAR(설정_코스수당!$K$2),MONTH(설정_코스수당!$K$2),22),"")</f>
        <v>46195</v>
      </c>
      <c r="C2236" s="31"/>
      <c r="D2236" s="29"/>
      <c r="E2236" s="29"/>
      <c r="F2236" s="32"/>
      <c r="G2236" s="29"/>
      <c r="H2236" s="29"/>
      <c r="I2236" s="29"/>
      <c r="J2236" s="33">
        <f>IF($O2236="방문완료",MAX(0,IFERROR(VLOOKUP($E2236,설정_코스수당!$A$6:$H$10,4,FALSE),0)-IF(OR($P2236="",$P2236="없음"),0,100000)),0)</f>
        <v>0</v>
      </c>
      <c r="K2236" s="33">
        <f t="array" ref="K2236">IF($O2236="방문완료",IFERROR(INDEX(설정_코스수당!$B$15:$F$64,MATCH($G2236,설정_코스수당!$A$15:$A$64,0),MATCH($E2236&amp;"수당",설정_코스수당!$B$14:$F$14,0)),0),0)</f>
        <v>0</v>
      </c>
      <c r="L2236" s="33">
        <f t="array" ref="L2236">IF($O2236="방문완료",IF($H2236="",0,IFERROR(INDEX(설정_코스수당!$B$15:$F$64,MATCH($H2236,설정_코스수당!$A$15:$A$64,0),MATCH($E2236&amp;"수당",설정_코스수당!$B$14:$F$14,0)),0)),0)</f>
        <v>0</v>
      </c>
      <c r="M2236" s="33">
        <f>IF($O2236="방문완료",IFERROR(VLOOKUP($E2236,설정_코스수당!$A$6:$H$10,6,FALSE),0),0)</f>
        <v>0</v>
      </c>
      <c r="N2236" s="34">
        <f t="shared" si="64"/>
        <v>0</v>
      </c>
      <c r="O2236" s="29"/>
      <c r="P2236" s="29"/>
      <c r="Q2236" s="29"/>
      <c r="R2236" s="32"/>
      <c r="S2236" s="29"/>
    </row>
    <row r="2237" spans="1:19" ht="19.5" hidden="1" customHeight="1" outlineLevel="1">
      <c r="A2237" s="23">
        <v>61</v>
      </c>
      <c r="B2237" s="24">
        <f>IF(22&lt;=DAY(DATE(YEAR(설정_코스수당!$K$2),MONTH(설정_코스수당!$K$2)+1,0)),DATE(YEAR(설정_코스수당!$K$2),MONTH(설정_코스수당!$K$2),22),"")</f>
        <v>46195</v>
      </c>
      <c r="C2237" s="25"/>
      <c r="D2237" s="23"/>
      <c r="E2237" s="23"/>
      <c r="F2237" s="26"/>
      <c r="G2237" s="23"/>
      <c r="H2237" s="23"/>
      <c r="I2237" s="23"/>
      <c r="J2237" s="27">
        <f>IF($O2237="방문완료",MAX(0,IFERROR(VLOOKUP($E2237,설정_코스수당!$A$6:$H$10,4,FALSE),0)-IF(OR($P2237="",$P2237="없음"),0,100000)),0)</f>
        <v>0</v>
      </c>
      <c r="K2237" s="27">
        <f t="array" ref="K2237">IF($O2237="방문완료",IFERROR(INDEX(설정_코스수당!$B$15:$F$64,MATCH($G2237,설정_코스수당!$A$15:$A$64,0),MATCH($E2237&amp;"수당",설정_코스수당!$B$14:$F$14,0)),0),0)</f>
        <v>0</v>
      </c>
      <c r="L2237" s="27">
        <f t="array" ref="L2237">IF($O2237="방문완료",IF($H2237="",0,IFERROR(INDEX(설정_코스수당!$B$15:$F$64,MATCH($H2237,설정_코스수당!$A$15:$A$64,0),MATCH($E2237&amp;"수당",설정_코스수당!$B$14:$F$14,0)),0)),0)</f>
        <v>0</v>
      </c>
      <c r="M2237" s="27">
        <f>IF($O2237="방문완료",IFERROR(VLOOKUP($E2237,설정_코스수당!$A$6:$H$10,6,FALSE),0),0)</f>
        <v>0</v>
      </c>
      <c r="N2237" s="28">
        <f t="shared" si="64"/>
        <v>0</v>
      </c>
      <c r="O2237" s="23"/>
      <c r="P2237" s="23"/>
      <c r="Q2237" s="23"/>
      <c r="R2237" s="26"/>
      <c r="S2237" s="23"/>
    </row>
    <row r="2238" spans="1:19" ht="19.5" hidden="1" customHeight="1" outlineLevel="1">
      <c r="A2238" s="29">
        <v>62</v>
      </c>
      <c r="B2238" s="30">
        <f>IF(22&lt;=DAY(DATE(YEAR(설정_코스수당!$K$2),MONTH(설정_코스수당!$K$2)+1,0)),DATE(YEAR(설정_코스수당!$K$2),MONTH(설정_코스수당!$K$2),22),"")</f>
        <v>46195</v>
      </c>
      <c r="C2238" s="31"/>
      <c r="D2238" s="29"/>
      <c r="E2238" s="29"/>
      <c r="F2238" s="32"/>
      <c r="G2238" s="29"/>
      <c r="H2238" s="29"/>
      <c r="I2238" s="29"/>
      <c r="J2238" s="33">
        <f>IF($O2238="방문완료",MAX(0,IFERROR(VLOOKUP($E2238,설정_코스수당!$A$6:$H$10,4,FALSE),0)-IF(OR($P2238="",$P2238="없음"),0,100000)),0)</f>
        <v>0</v>
      </c>
      <c r="K2238" s="33">
        <f t="array" ref="K2238">IF($O2238="방문완료",IFERROR(INDEX(설정_코스수당!$B$15:$F$64,MATCH($G2238,설정_코스수당!$A$15:$A$64,0),MATCH($E2238&amp;"수당",설정_코스수당!$B$14:$F$14,0)),0),0)</f>
        <v>0</v>
      </c>
      <c r="L2238" s="33">
        <f t="array" ref="L2238">IF($O2238="방문완료",IF($H2238="",0,IFERROR(INDEX(설정_코스수당!$B$15:$F$64,MATCH($H2238,설정_코스수당!$A$15:$A$64,0),MATCH($E2238&amp;"수당",설정_코스수당!$B$14:$F$14,0)),0)),0)</f>
        <v>0</v>
      </c>
      <c r="M2238" s="33">
        <f>IF($O2238="방문완료",IFERROR(VLOOKUP($E2238,설정_코스수당!$A$6:$H$10,6,FALSE),0),0)</f>
        <v>0</v>
      </c>
      <c r="N2238" s="34">
        <f t="shared" si="64"/>
        <v>0</v>
      </c>
      <c r="O2238" s="29"/>
      <c r="P2238" s="29"/>
      <c r="Q2238" s="29"/>
      <c r="R2238" s="32"/>
      <c r="S2238" s="29"/>
    </row>
    <row r="2239" spans="1:19" ht="19.5" hidden="1" customHeight="1" outlineLevel="1">
      <c r="A2239" s="23">
        <v>63</v>
      </c>
      <c r="B2239" s="24">
        <f>IF(22&lt;=DAY(DATE(YEAR(설정_코스수당!$K$2),MONTH(설정_코스수당!$K$2)+1,0)),DATE(YEAR(설정_코스수당!$K$2),MONTH(설정_코스수당!$K$2),22),"")</f>
        <v>46195</v>
      </c>
      <c r="C2239" s="25"/>
      <c r="D2239" s="23"/>
      <c r="E2239" s="23"/>
      <c r="F2239" s="26"/>
      <c r="G2239" s="23"/>
      <c r="H2239" s="23"/>
      <c r="I2239" s="23"/>
      <c r="J2239" s="27">
        <f>IF($O2239="방문완료",MAX(0,IFERROR(VLOOKUP($E2239,설정_코스수당!$A$6:$H$10,4,FALSE),0)-IF(OR($P2239="",$P2239="없음"),0,100000)),0)</f>
        <v>0</v>
      </c>
      <c r="K2239" s="27">
        <f t="array" ref="K2239">IF($O2239="방문완료",IFERROR(INDEX(설정_코스수당!$B$15:$F$64,MATCH($G2239,설정_코스수당!$A$15:$A$64,0),MATCH($E2239&amp;"수당",설정_코스수당!$B$14:$F$14,0)),0),0)</f>
        <v>0</v>
      </c>
      <c r="L2239" s="27">
        <f t="array" ref="L2239">IF($O2239="방문완료",IF($H2239="",0,IFERROR(INDEX(설정_코스수당!$B$15:$F$64,MATCH($H2239,설정_코스수당!$A$15:$A$64,0),MATCH($E2239&amp;"수당",설정_코스수당!$B$14:$F$14,0)),0)),0)</f>
        <v>0</v>
      </c>
      <c r="M2239" s="27">
        <f>IF($O2239="방문완료",IFERROR(VLOOKUP($E2239,설정_코스수당!$A$6:$H$10,6,FALSE),0),0)</f>
        <v>0</v>
      </c>
      <c r="N2239" s="28">
        <f t="shared" si="64"/>
        <v>0</v>
      </c>
      <c r="O2239" s="23"/>
      <c r="P2239" s="23"/>
      <c r="Q2239" s="23"/>
      <c r="R2239" s="26"/>
      <c r="S2239" s="23"/>
    </row>
    <row r="2240" spans="1:19" ht="19.5" hidden="1" customHeight="1" outlineLevel="1">
      <c r="A2240" s="29">
        <v>64</v>
      </c>
      <c r="B2240" s="30">
        <f>IF(22&lt;=DAY(DATE(YEAR(설정_코스수당!$K$2),MONTH(설정_코스수당!$K$2)+1,0)),DATE(YEAR(설정_코스수당!$K$2),MONTH(설정_코스수당!$K$2),22),"")</f>
        <v>46195</v>
      </c>
      <c r="C2240" s="31"/>
      <c r="D2240" s="29"/>
      <c r="E2240" s="29"/>
      <c r="F2240" s="32"/>
      <c r="G2240" s="29"/>
      <c r="H2240" s="29"/>
      <c r="I2240" s="29"/>
      <c r="J2240" s="33">
        <f>IF($O2240="방문완료",MAX(0,IFERROR(VLOOKUP($E2240,설정_코스수당!$A$6:$H$10,4,FALSE),0)-IF(OR($P2240="",$P2240="없음"),0,100000)),0)</f>
        <v>0</v>
      </c>
      <c r="K2240" s="33">
        <f t="array" ref="K2240">IF($O2240="방문완료",IFERROR(INDEX(설정_코스수당!$B$15:$F$64,MATCH($G2240,설정_코스수당!$A$15:$A$64,0),MATCH($E2240&amp;"수당",설정_코스수당!$B$14:$F$14,0)),0),0)</f>
        <v>0</v>
      </c>
      <c r="L2240" s="33">
        <f t="array" ref="L2240">IF($O2240="방문완료",IF($H2240="",0,IFERROR(INDEX(설정_코스수당!$B$15:$F$64,MATCH($H2240,설정_코스수당!$A$15:$A$64,0),MATCH($E2240&amp;"수당",설정_코스수당!$B$14:$F$14,0)),0)),0)</f>
        <v>0</v>
      </c>
      <c r="M2240" s="33">
        <f>IF($O2240="방문완료",IFERROR(VLOOKUP($E2240,설정_코스수당!$A$6:$H$10,6,FALSE),0),0)</f>
        <v>0</v>
      </c>
      <c r="N2240" s="34">
        <f t="shared" si="64"/>
        <v>0</v>
      </c>
      <c r="O2240" s="29"/>
      <c r="P2240" s="29"/>
      <c r="Q2240" s="29"/>
      <c r="R2240" s="32"/>
      <c r="S2240" s="29"/>
    </row>
    <row r="2241" spans="1:19" ht="19.5" hidden="1" customHeight="1" outlineLevel="1">
      <c r="A2241" s="23">
        <v>65</v>
      </c>
      <c r="B2241" s="24">
        <f>IF(22&lt;=DAY(DATE(YEAR(설정_코스수당!$K$2),MONTH(설정_코스수당!$K$2)+1,0)),DATE(YEAR(설정_코스수당!$K$2),MONTH(설정_코스수당!$K$2),22),"")</f>
        <v>46195</v>
      </c>
      <c r="C2241" s="25"/>
      <c r="D2241" s="23"/>
      <c r="E2241" s="23"/>
      <c r="F2241" s="26"/>
      <c r="G2241" s="23"/>
      <c r="H2241" s="23"/>
      <c r="I2241" s="23"/>
      <c r="J2241" s="27">
        <f>IF($O2241="방문완료",MAX(0,IFERROR(VLOOKUP($E2241,설정_코스수당!$A$6:$H$10,4,FALSE),0)-IF(OR($P2241="",$P2241="없음"),0,100000)),0)</f>
        <v>0</v>
      </c>
      <c r="K2241" s="27">
        <f t="array" ref="K2241">IF($O2241="방문완료",IFERROR(INDEX(설정_코스수당!$B$15:$F$64,MATCH($G2241,설정_코스수당!$A$15:$A$64,0),MATCH($E2241&amp;"수당",설정_코스수당!$B$14:$F$14,0)),0),0)</f>
        <v>0</v>
      </c>
      <c r="L2241" s="27">
        <f t="array" ref="L2241">IF($O2241="방문완료",IF($H2241="",0,IFERROR(INDEX(설정_코스수당!$B$15:$F$64,MATCH($H2241,설정_코스수당!$A$15:$A$64,0),MATCH($E2241&amp;"수당",설정_코스수당!$B$14:$F$14,0)),0)),0)</f>
        <v>0</v>
      </c>
      <c r="M2241" s="27">
        <f>IF($O2241="방문완료",IFERROR(VLOOKUP($E2241,설정_코스수당!$A$6:$H$10,6,FALSE),0),0)</f>
        <v>0</v>
      </c>
      <c r="N2241" s="28">
        <f t="shared" ref="N2241:N2276" si="65">IF($O2241="방문완료",1,0)</f>
        <v>0</v>
      </c>
      <c r="O2241" s="23"/>
      <c r="P2241" s="23"/>
      <c r="Q2241" s="23"/>
      <c r="R2241" s="26"/>
      <c r="S2241" s="23"/>
    </row>
    <row r="2242" spans="1:19" ht="19.5" hidden="1" customHeight="1" outlineLevel="1">
      <c r="A2242" s="29">
        <v>66</v>
      </c>
      <c r="B2242" s="30">
        <f>IF(22&lt;=DAY(DATE(YEAR(설정_코스수당!$K$2),MONTH(설정_코스수당!$K$2)+1,0)),DATE(YEAR(설정_코스수당!$K$2),MONTH(설정_코스수당!$K$2),22),"")</f>
        <v>46195</v>
      </c>
      <c r="C2242" s="31"/>
      <c r="D2242" s="29"/>
      <c r="E2242" s="29"/>
      <c r="F2242" s="32"/>
      <c r="G2242" s="29"/>
      <c r="H2242" s="29"/>
      <c r="I2242" s="29"/>
      <c r="J2242" s="33">
        <f>IF($O2242="방문완료",MAX(0,IFERROR(VLOOKUP($E2242,설정_코스수당!$A$6:$H$10,4,FALSE),0)-IF(OR($P2242="",$P2242="없음"),0,100000)),0)</f>
        <v>0</v>
      </c>
      <c r="K2242" s="33">
        <f t="array" ref="K2242">IF($O2242="방문완료",IFERROR(INDEX(설정_코스수당!$B$15:$F$64,MATCH($G2242,설정_코스수당!$A$15:$A$64,0),MATCH($E2242&amp;"수당",설정_코스수당!$B$14:$F$14,0)),0),0)</f>
        <v>0</v>
      </c>
      <c r="L2242" s="33">
        <f t="array" ref="L2242">IF($O2242="방문완료",IF($H2242="",0,IFERROR(INDEX(설정_코스수당!$B$15:$F$64,MATCH($H2242,설정_코스수당!$A$15:$A$64,0),MATCH($E2242&amp;"수당",설정_코스수당!$B$14:$F$14,0)),0)),0)</f>
        <v>0</v>
      </c>
      <c r="M2242" s="33">
        <f>IF($O2242="방문완료",IFERROR(VLOOKUP($E2242,설정_코스수당!$A$6:$H$10,6,FALSE),0),0)</f>
        <v>0</v>
      </c>
      <c r="N2242" s="34">
        <f t="shared" si="65"/>
        <v>0</v>
      </c>
      <c r="O2242" s="29"/>
      <c r="P2242" s="29"/>
      <c r="Q2242" s="29"/>
      <c r="R2242" s="32"/>
      <c r="S2242" s="29"/>
    </row>
    <row r="2243" spans="1:19" ht="19.5" hidden="1" customHeight="1" outlineLevel="1">
      <c r="A2243" s="23">
        <v>67</v>
      </c>
      <c r="B2243" s="24">
        <f>IF(22&lt;=DAY(DATE(YEAR(설정_코스수당!$K$2),MONTH(설정_코스수당!$K$2)+1,0)),DATE(YEAR(설정_코스수당!$K$2),MONTH(설정_코스수당!$K$2),22),"")</f>
        <v>46195</v>
      </c>
      <c r="C2243" s="25"/>
      <c r="D2243" s="23"/>
      <c r="E2243" s="23"/>
      <c r="F2243" s="26"/>
      <c r="G2243" s="23"/>
      <c r="H2243" s="23"/>
      <c r="I2243" s="23"/>
      <c r="J2243" s="27">
        <f>IF($O2243="방문완료",MAX(0,IFERROR(VLOOKUP($E2243,설정_코스수당!$A$6:$H$10,4,FALSE),0)-IF(OR($P2243="",$P2243="없음"),0,100000)),0)</f>
        <v>0</v>
      </c>
      <c r="K2243" s="27">
        <f t="array" ref="K2243">IF($O2243="방문완료",IFERROR(INDEX(설정_코스수당!$B$15:$F$64,MATCH($G2243,설정_코스수당!$A$15:$A$64,0),MATCH($E2243&amp;"수당",설정_코스수당!$B$14:$F$14,0)),0),0)</f>
        <v>0</v>
      </c>
      <c r="L2243" s="27">
        <f t="array" ref="L2243">IF($O2243="방문완료",IF($H2243="",0,IFERROR(INDEX(설정_코스수당!$B$15:$F$64,MATCH($H2243,설정_코스수당!$A$15:$A$64,0),MATCH($E2243&amp;"수당",설정_코스수당!$B$14:$F$14,0)),0)),0)</f>
        <v>0</v>
      </c>
      <c r="M2243" s="27">
        <f>IF($O2243="방문완료",IFERROR(VLOOKUP($E2243,설정_코스수당!$A$6:$H$10,6,FALSE),0),0)</f>
        <v>0</v>
      </c>
      <c r="N2243" s="28">
        <f t="shared" si="65"/>
        <v>0</v>
      </c>
      <c r="O2243" s="23"/>
      <c r="P2243" s="23"/>
      <c r="Q2243" s="23"/>
      <c r="R2243" s="26"/>
      <c r="S2243" s="23"/>
    </row>
    <row r="2244" spans="1:19" ht="19.5" hidden="1" customHeight="1" outlineLevel="1">
      <c r="A2244" s="29">
        <v>68</v>
      </c>
      <c r="B2244" s="30">
        <f>IF(22&lt;=DAY(DATE(YEAR(설정_코스수당!$K$2),MONTH(설정_코스수당!$K$2)+1,0)),DATE(YEAR(설정_코스수당!$K$2),MONTH(설정_코스수당!$K$2),22),"")</f>
        <v>46195</v>
      </c>
      <c r="C2244" s="31"/>
      <c r="D2244" s="29"/>
      <c r="E2244" s="29"/>
      <c r="F2244" s="32"/>
      <c r="G2244" s="29"/>
      <c r="H2244" s="29"/>
      <c r="I2244" s="29"/>
      <c r="J2244" s="33">
        <f>IF($O2244="방문완료",MAX(0,IFERROR(VLOOKUP($E2244,설정_코스수당!$A$6:$H$10,4,FALSE),0)-IF(OR($P2244="",$P2244="없음"),0,100000)),0)</f>
        <v>0</v>
      </c>
      <c r="K2244" s="33">
        <f t="array" ref="K2244">IF($O2244="방문완료",IFERROR(INDEX(설정_코스수당!$B$15:$F$64,MATCH($G2244,설정_코스수당!$A$15:$A$64,0),MATCH($E2244&amp;"수당",설정_코스수당!$B$14:$F$14,0)),0),0)</f>
        <v>0</v>
      </c>
      <c r="L2244" s="33">
        <f t="array" ref="L2244">IF($O2244="방문완료",IF($H2244="",0,IFERROR(INDEX(설정_코스수당!$B$15:$F$64,MATCH($H2244,설정_코스수당!$A$15:$A$64,0),MATCH($E2244&amp;"수당",설정_코스수당!$B$14:$F$14,0)),0)),0)</f>
        <v>0</v>
      </c>
      <c r="M2244" s="33">
        <f>IF($O2244="방문완료",IFERROR(VLOOKUP($E2244,설정_코스수당!$A$6:$H$10,6,FALSE),0),0)</f>
        <v>0</v>
      </c>
      <c r="N2244" s="34">
        <f t="shared" si="65"/>
        <v>0</v>
      </c>
      <c r="O2244" s="29"/>
      <c r="P2244" s="29"/>
      <c r="Q2244" s="29"/>
      <c r="R2244" s="32"/>
      <c r="S2244" s="29"/>
    </row>
    <row r="2245" spans="1:19" ht="19.5" hidden="1" customHeight="1" outlineLevel="1">
      <c r="A2245" s="23">
        <v>69</v>
      </c>
      <c r="B2245" s="24">
        <f>IF(22&lt;=DAY(DATE(YEAR(설정_코스수당!$K$2),MONTH(설정_코스수당!$K$2)+1,0)),DATE(YEAR(설정_코스수당!$K$2),MONTH(설정_코스수당!$K$2),22),"")</f>
        <v>46195</v>
      </c>
      <c r="C2245" s="25"/>
      <c r="D2245" s="23"/>
      <c r="E2245" s="23"/>
      <c r="F2245" s="26"/>
      <c r="G2245" s="23"/>
      <c r="H2245" s="23"/>
      <c r="I2245" s="23"/>
      <c r="J2245" s="27">
        <f>IF($O2245="방문완료",MAX(0,IFERROR(VLOOKUP($E2245,설정_코스수당!$A$6:$H$10,4,FALSE),0)-IF(OR($P2245="",$P2245="없음"),0,100000)),0)</f>
        <v>0</v>
      </c>
      <c r="K2245" s="27">
        <f t="array" ref="K2245">IF($O2245="방문완료",IFERROR(INDEX(설정_코스수당!$B$15:$F$64,MATCH($G2245,설정_코스수당!$A$15:$A$64,0),MATCH($E2245&amp;"수당",설정_코스수당!$B$14:$F$14,0)),0),0)</f>
        <v>0</v>
      </c>
      <c r="L2245" s="27">
        <f t="array" ref="L2245">IF($O2245="방문완료",IF($H2245="",0,IFERROR(INDEX(설정_코스수당!$B$15:$F$64,MATCH($H2245,설정_코스수당!$A$15:$A$64,0),MATCH($E2245&amp;"수당",설정_코스수당!$B$14:$F$14,0)),0)),0)</f>
        <v>0</v>
      </c>
      <c r="M2245" s="27">
        <f>IF($O2245="방문완료",IFERROR(VLOOKUP($E2245,설정_코스수당!$A$6:$H$10,6,FALSE),0),0)</f>
        <v>0</v>
      </c>
      <c r="N2245" s="28">
        <f t="shared" si="65"/>
        <v>0</v>
      </c>
      <c r="O2245" s="23"/>
      <c r="P2245" s="23"/>
      <c r="Q2245" s="23"/>
      <c r="R2245" s="26"/>
      <c r="S2245" s="23"/>
    </row>
    <row r="2246" spans="1:19" ht="19.5" hidden="1" customHeight="1" outlineLevel="1">
      <c r="A2246" s="29">
        <v>70</v>
      </c>
      <c r="B2246" s="30">
        <f>IF(22&lt;=DAY(DATE(YEAR(설정_코스수당!$K$2),MONTH(설정_코스수당!$K$2)+1,0)),DATE(YEAR(설정_코스수당!$K$2),MONTH(설정_코스수당!$K$2),22),"")</f>
        <v>46195</v>
      </c>
      <c r="C2246" s="31"/>
      <c r="D2246" s="29"/>
      <c r="E2246" s="29"/>
      <c r="F2246" s="32"/>
      <c r="G2246" s="29"/>
      <c r="H2246" s="29"/>
      <c r="I2246" s="29"/>
      <c r="J2246" s="33">
        <f>IF($O2246="방문완료",MAX(0,IFERROR(VLOOKUP($E2246,설정_코스수당!$A$6:$H$10,4,FALSE),0)-IF(OR($P2246="",$P2246="없음"),0,100000)),0)</f>
        <v>0</v>
      </c>
      <c r="K2246" s="33">
        <f t="array" ref="K2246">IF($O2246="방문완료",IFERROR(INDEX(설정_코스수당!$B$15:$F$64,MATCH($G2246,설정_코스수당!$A$15:$A$64,0),MATCH($E2246&amp;"수당",설정_코스수당!$B$14:$F$14,0)),0),0)</f>
        <v>0</v>
      </c>
      <c r="L2246" s="33">
        <f t="array" ref="L2246">IF($O2246="방문완료",IF($H2246="",0,IFERROR(INDEX(설정_코스수당!$B$15:$F$64,MATCH($H2246,설정_코스수당!$A$15:$A$64,0),MATCH($E2246&amp;"수당",설정_코스수당!$B$14:$F$14,0)),0)),0)</f>
        <v>0</v>
      </c>
      <c r="M2246" s="33">
        <f>IF($O2246="방문완료",IFERROR(VLOOKUP($E2246,설정_코스수당!$A$6:$H$10,6,FALSE),0),0)</f>
        <v>0</v>
      </c>
      <c r="N2246" s="34">
        <f t="shared" si="65"/>
        <v>0</v>
      </c>
      <c r="O2246" s="29"/>
      <c r="P2246" s="29"/>
      <c r="Q2246" s="29"/>
      <c r="R2246" s="32"/>
      <c r="S2246" s="29"/>
    </row>
    <row r="2247" spans="1:19" ht="19.5" hidden="1" customHeight="1" outlineLevel="1">
      <c r="A2247" s="23">
        <v>71</v>
      </c>
      <c r="B2247" s="24">
        <f>IF(22&lt;=DAY(DATE(YEAR(설정_코스수당!$K$2),MONTH(설정_코스수당!$K$2)+1,0)),DATE(YEAR(설정_코스수당!$K$2),MONTH(설정_코스수당!$K$2),22),"")</f>
        <v>46195</v>
      </c>
      <c r="C2247" s="25"/>
      <c r="D2247" s="23"/>
      <c r="E2247" s="23"/>
      <c r="F2247" s="26"/>
      <c r="G2247" s="23"/>
      <c r="H2247" s="23"/>
      <c r="I2247" s="23"/>
      <c r="J2247" s="27">
        <f>IF($O2247="방문완료",MAX(0,IFERROR(VLOOKUP($E2247,설정_코스수당!$A$6:$H$10,4,FALSE),0)-IF(OR($P2247="",$P2247="없음"),0,100000)),0)</f>
        <v>0</v>
      </c>
      <c r="K2247" s="27">
        <f t="array" ref="K2247">IF($O2247="방문완료",IFERROR(INDEX(설정_코스수당!$B$15:$F$64,MATCH($G2247,설정_코스수당!$A$15:$A$64,0),MATCH($E2247&amp;"수당",설정_코스수당!$B$14:$F$14,0)),0),0)</f>
        <v>0</v>
      </c>
      <c r="L2247" s="27">
        <f t="array" ref="L2247">IF($O2247="방문완료",IF($H2247="",0,IFERROR(INDEX(설정_코스수당!$B$15:$F$64,MATCH($H2247,설정_코스수당!$A$15:$A$64,0),MATCH($E2247&amp;"수당",설정_코스수당!$B$14:$F$14,0)),0)),0)</f>
        <v>0</v>
      </c>
      <c r="M2247" s="27">
        <f>IF($O2247="방문완료",IFERROR(VLOOKUP($E2247,설정_코스수당!$A$6:$H$10,6,FALSE),0),0)</f>
        <v>0</v>
      </c>
      <c r="N2247" s="28">
        <f t="shared" si="65"/>
        <v>0</v>
      </c>
      <c r="O2247" s="23"/>
      <c r="P2247" s="23"/>
      <c r="Q2247" s="23"/>
      <c r="R2247" s="26"/>
      <c r="S2247" s="23"/>
    </row>
    <row r="2248" spans="1:19" ht="19.5" hidden="1" customHeight="1" outlineLevel="1">
      <c r="A2248" s="29">
        <v>72</v>
      </c>
      <c r="B2248" s="30">
        <f>IF(22&lt;=DAY(DATE(YEAR(설정_코스수당!$K$2),MONTH(설정_코스수당!$K$2)+1,0)),DATE(YEAR(설정_코스수당!$K$2),MONTH(설정_코스수당!$K$2),22),"")</f>
        <v>46195</v>
      </c>
      <c r="C2248" s="31"/>
      <c r="D2248" s="29"/>
      <c r="E2248" s="29"/>
      <c r="F2248" s="32"/>
      <c r="G2248" s="29"/>
      <c r="H2248" s="29"/>
      <c r="I2248" s="29"/>
      <c r="J2248" s="33">
        <f>IF($O2248="방문완료",MAX(0,IFERROR(VLOOKUP($E2248,설정_코스수당!$A$6:$H$10,4,FALSE),0)-IF(OR($P2248="",$P2248="없음"),0,100000)),0)</f>
        <v>0</v>
      </c>
      <c r="K2248" s="33">
        <f t="array" ref="K2248">IF($O2248="방문완료",IFERROR(INDEX(설정_코스수당!$B$15:$F$64,MATCH($G2248,설정_코스수당!$A$15:$A$64,0),MATCH($E2248&amp;"수당",설정_코스수당!$B$14:$F$14,0)),0),0)</f>
        <v>0</v>
      </c>
      <c r="L2248" s="33">
        <f t="array" ref="L2248">IF($O2248="방문완료",IF($H2248="",0,IFERROR(INDEX(설정_코스수당!$B$15:$F$64,MATCH($H2248,설정_코스수당!$A$15:$A$64,0),MATCH($E2248&amp;"수당",설정_코스수당!$B$14:$F$14,0)),0)),0)</f>
        <v>0</v>
      </c>
      <c r="M2248" s="33">
        <f>IF($O2248="방문완료",IFERROR(VLOOKUP($E2248,설정_코스수당!$A$6:$H$10,6,FALSE),0),0)</f>
        <v>0</v>
      </c>
      <c r="N2248" s="34">
        <f t="shared" si="65"/>
        <v>0</v>
      </c>
      <c r="O2248" s="29"/>
      <c r="P2248" s="29"/>
      <c r="Q2248" s="29"/>
      <c r="R2248" s="32"/>
      <c r="S2248" s="29"/>
    </row>
    <row r="2249" spans="1:19" ht="19.5" hidden="1" customHeight="1" outlineLevel="1">
      <c r="A2249" s="23">
        <v>73</v>
      </c>
      <c r="B2249" s="24">
        <f>IF(22&lt;=DAY(DATE(YEAR(설정_코스수당!$K$2),MONTH(설정_코스수당!$K$2)+1,0)),DATE(YEAR(설정_코스수당!$K$2),MONTH(설정_코스수당!$K$2),22),"")</f>
        <v>46195</v>
      </c>
      <c r="C2249" s="25"/>
      <c r="D2249" s="23"/>
      <c r="E2249" s="23"/>
      <c r="F2249" s="26"/>
      <c r="G2249" s="23"/>
      <c r="H2249" s="23"/>
      <c r="I2249" s="23"/>
      <c r="J2249" s="27">
        <f>IF($O2249="방문완료",MAX(0,IFERROR(VLOOKUP($E2249,설정_코스수당!$A$6:$H$10,4,FALSE),0)-IF(OR($P2249="",$P2249="없음"),0,100000)),0)</f>
        <v>0</v>
      </c>
      <c r="K2249" s="27">
        <f t="array" ref="K2249">IF($O2249="방문완료",IFERROR(INDEX(설정_코스수당!$B$15:$F$64,MATCH($G2249,설정_코스수당!$A$15:$A$64,0),MATCH($E2249&amp;"수당",설정_코스수당!$B$14:$F$14,0)),0),0)</f>
        <v>0</v>
      </c>
      <c r="L2249" s="27">
        <f t="array" ref="L2249">IF($O2249="방문완료",IF($H2249="",0,IFERROR(INDEX(설정_코스수당!$B$15:$F$64,MATCH($H2249,설정_코스수당!$A$15:$A$64,0),MATCH($E2249&amp;"수당",설정_코스수당!$B$14:$F$14,0)),0)),0)</f>
        <v>0</v>
      </c>
      <c r="M2249" s="27">
        <f>IF($O2249="방문완료",IFERROR(VLOOKUP($E2249,설정_코스수당!$A$6:$H$10,6,FALSE),0),0)</f>
        <v>0</v>
      </c>
      <c r="N2249" s="28">
        <f t="shared" si="65"/>
        <v>0</v>
      </c>
      <c r="O2249" s="23"/>
      <c r="P2249" s="23"/>
      <c r="Q2249" s="23"/>
      <c r="R2249" s="26"/>
      <c r="S2249" s="23"/>
    </row>
    <row r="2250" spans="1:19" ht="19.5" hidden="1" customHeight="1" outlineLevel="1">
      <c r="A2250" s="29">
        <v>74</v>
      </c>
      <c r="B2250" s="30">
        <f>IF(22&lt;=DAY(DATE(YEAR(설정_코스수당!$K$2),MONTH(설정_코스수당!$K$2)+1,0)),DATE(YEAR(설정_코스수당!$K$2),MONTH(설정_코스수당!$K$2),22),"")</f>
        <v>46195</v>
      </c>
      <c r="C2250" s="31"/>
      <c r="D2250" s="29"/>
      <c r="E2250" s="29"/>
      <c r="F2250" s="32"/>
      <c r="G2250" s="29"/>
      <c r="H2250" s="29"/>
      <c r="I2250" s="29"/>
      <c r="J2250" s="33">
        <f>IF($O2250="방문완료",MAX(0,IFERROR(VLOOKUP($E2250,설정_코스수당!$A$6:$H$10,4,FALSE),0)-IF(OR($P2250="",$P2250="없음"),0,100000)),0)</f>
        <v>0</v>
      </c>
      <c r="K2250" s="33">
        <f t="array" ref="K2250">IF($O2250="방문완료",IFERROR(INDEX(설정_코스수당!$B$15:$F$64,MATCH($G2250,설정_코스수당!$A$15:$A$64,0),MATCH($E2250&amp;"수당",설정_코스수당!$B$14:$F$14,0)),0),0)</f>
        <v>0</v>
      </c>
      <c r="L2250" s="33">
        <f t="array" ref="L2250">IF($O2250="방문완료",IF($H2250="",0,IFERROR(INDEX(설정_코스수당!$B$15:$F$64,MATCH($H2250,설정_코스수당!$A$15:$A$64,0),MATCH($E2250&amp;"수당",설정_코스수당!$B$14:$F$14,0)),0)),0)</f>
        <v>0</v>
      </c>
      <c r="M2250" s="33">
        <f>IF($O2250="방문완료",IFERROR(VLOOKUP($E2250,설정_코스수당!$A$6:$H$10,6,FALSE),0),0)</f>
        <v>0</v>
      </c>
      <c r="N2250" s="34">
        <f t="shared" si="65"/>
        <v>0</v>
      </c>
      <c r="O2250" s="29"/>
      <c r="P2250" s="29"/>
      <c r="Q2250" s="29"/>
      <c r="R2250" s="32"/>
      <c r="S2250" s="29"/>
    </row>
    <row r="2251" spans="1:19" ht="19.5" hidden="1" customHeight="1" outlineLevel="1">
      <c r="A2251" s="23">
        <v>75</v>
      </c>
      <c r="B2251" s="24">
        <f>IF(22&lt;=DAY(DATE(YEAR(설정_코스수당!$K$2),MONTH(설정_코스수당!$K$2)+1,0)),DATE(YEAR(설정_코스수당!$K$2),MONTH(설정_코스수당!$K$2),22),"")</f>
        <v>46195</v>
      </c>
      <c r="C2251" s="25"/>
      <c r="D2251" s="23"/>
      <c r="E2251" s="23"/>
      <c r="F2251" s="26"/>
      <c r="G2251" s="23"/>
      <c r="H2251" s="23"/>
      <c r="I2251" s="23"/>
      <c r="J2251" s="27">
        <f>IF($O2251="방문완료",MAX(0,IFERROR(VLOOKUP($E2251,설정_코스수당!$A$6:$H$10,4,FALSE),0)-IF(OR($P2251="",$P2251="없음"),0,100000)),0)</f>
        <v>0</v>
      </c>
      <c r="K2251" s="27">
        <f t="array" ref="K2251">IF($O2251="방문완료",IFERROR(INDEX(설정_코스수당!$B$15:$F$64,MATCH($G2251,설정_코스수당!$A$15:$A$64,0),MATCH($E2251&amp;"수당",설정_코스수당!$B$14:$F$14,0)),0),0)</f>
        <v>0</v>
      </c>
      <c r="L2251" s="27">
        <f t="array" ref="L2251">IF($O2251="방문완료",IF($H2251="",0,IFERROR(INDEX(설정_코스수당!$B$15:$F$64,MATCH($H2251,설정_코스수당!$A$15:$A$64,0),MATCH($E2251&amp;"수당",설정_코스수당!$B$14:$F$14,0)),0)),0)</f>
        <v>0</v>
      </c>
      <c r="M2251" s="27">
        <f>IF($O2251="방문완료",IFERROR(VLOOKUP($E2251,설정_코스수당!$A$6:$H$10,6,FALSE),0),0)</f>
        <v>0</v>
      </c>
      <c r="N2251" s="28">
        <f t="shared" si="65"/>
        <v>0</v>
      </c>
      <c r="O2251" s="23"/>
      <c r="P2251" s="23"/>
      <c r="Q2251" s="23"/>
      <c r="R2251" s="26"/>
      <c r="S2251" s="23"/>
    </row>
    <row r="2252" spans="1:19" ht="19.5" hidden="1" customHeight="1" outlineLevel="1">
      <c r="A2252" s="29">
        <v>76</v>
      </c>
      <c r="B2252" s="30">
        <f>IF(22&lt;=DAY(DATE(YEAR(설정_코스수당!$K$2),MONTH(설정_코스수당!$K$2)+1,0)),DATE(YEAR(설정_코스수당!$K$2),MONTH(설정_코스수당!$K$2),22),"")</f>
        <v>46195</v>
      </c>
      <c r="C2252" s="31"/>
      <c r="D2252" s="29"/>
      <c r="E2252" s="29"/>
      <c r="F2252" s="32"/>
      <c r="G2252" s="29"/>
      <c r="H2252" s="29"/>
      <c r="I2252" s="29"/>
      <c r="J2252" s="33">
        <f>IF($O2252="방문완료",MAX(0,IFERROR(VLOOKUP($E2252,설정_코스수당!$A$6:$H$10,4,FALSE),0)-IF(OR($P2252="",$P2252="없음"),0,100000)),0)</f>
        <v>0</v>
      </c>
      <c r="K2252" s="33">
        <f t="array" ref="K2252">IF($O2252="방문완료",IFERROR(INDEX(설정_코스수당!$B$15:$F$64,MATCH($G2252,설정_코스수당!$A$15:$A$64,0),MATCH($E2252&amp;"수당",설정_코스수당!$B$14:$F$14,0)),0),0)</f>
        <v>0</v>
      </c>
      <c r="L2252" s="33">
        <f t="array" ref="L2252">IF($O2252="방문완료",IF($H2252="",0,IFERROR(INDEX(설정_코스수당!$B$15:$F$64,MATCH($H2252,설정_코스수당!$A$15:$A$64,0),MATCH($E2252&amp;"수당",설정_코스수당!$B$14:$F$14,0)),0)),0)</f>
        <v>0</v>
      </c>
      <c r="M2252" s="33">
        <f>IF($O2252="방문완료",IFERROR(VLOOKUP($E2252,설정_코스수당!$A$6:$H$10,6,FALSE),0),0)</f>
        <v>0</v>
      </c>
      <c r="N2252" s="34">
        <f t="shared" si="65"/>
        <v>0</v>
      </c>
      <c r="O2252" s="29"/>
      <c r="P2252" s="29"/>
      <c r="Q2252" s="29"/>
      <c r="R2252" s="32"/>
      <c r="S2252" s="29"/>
    </row>
    <row r="2253" spans="1:19" ht="19.5" hidden="1" customHeight="1" outlineLevel="1">
      <c r="A2253" s="23">
        <v>77</v>
      </c>
      <c r="B2253" s="24">
        <f>IF(22&lt;=DAY(DATE(YEAR(설정_코스수당!$K$2),MONTH(설정_코스수당!$K$2)+1,0)),DATE(YEAR(설정_코스수당!$K$2),MONTH(설정_코스수당!$K$2),22),"")</f>
        <v>46195</v>
      </c>
      <c r="C2253" s="25"/>
      <c r="D2253" s="23"/>
      <c r="E2253" s="23"/>
      <c r="F2253" s="26"/>
      <c r="G2253" s="23"/>
      <c r="H2253" s="23"/>
      <c r="I2253" s="23"/>
      <c r="J2253" s="27">
        <f>IF($O2253="방문완료",MAX(0,IFERROR(VLOOKUP($E2253,설정_코스수당!$A$6:$H$10,4,FALSE),0)-IF(OR($P2253="",$P2253="없음"),0,100000)),0)</f>
        <v>0</v>
      </c>
      <c r="K2253" s="27">
        <f t="array" ref="K2253">IF($O2253="방문완료",IFERROR(INDEX(설정_코스수당!$B$15:$F$64,MATCH($G2253,설정_코스수당!$A$15:$A$64,0),MATCH($E2253&amp;"수당",설정_코스수당!$B$14:$F$14,0)),0),0)</f>
        <v>0</v>
      </c>
      <c r="L2253" s="27">
        <f t="array" ref="L2253">IF($O2253="방문완료",IF($H2253="",0,IFERROR(INDEX(설정_코스수당!$B$15:$F$64,MATCH($H2253,설정_코스수당!$A$15:$A$64,0),MATCH($E2253&amp;"수당",설정_코스수당!$B$14:$F$14,0)),0)),0)</f>
        <v>0</v>
      </c>
      <c r="M2253" s="27">
        <f>IF($O2253="방문완료",IFERROR(VLOOKUP($E2253,설정_코스수당!$A$6:$H$10,6,FALSE),0),0)</f>
        <v>0</v>
      </c>
      <c r="N2253" s="28">
        <f t="shared" si="65"/>
        <v>0</v>
      </c>
      <c r="O2253" s="23"/>
      <c r="P2253" s="23"/>
      <c r="Q2253" s="23"/>
      <c r="R2253" s="26"/>
      <c r="S2253" s="23"/>
    </row>
    <row r="2254" spans="1:19" ht="19.5" hidden="1" customHeight="1" outlineLevel="1">
      <c r="A2254" s="29">
        <v>78</v>
      </c>
      <c r="B2254" s="30">
        <f>IF(22&lt;=DAY(DATE(YEAR(설정_코스수당!$K$2),MONTH(설정_코스수당!$K$2)+1,0)),DATE(YEAR(설정_코스수당!$K$2),MONTH(설정_코스수당!$K$2),22),"")</f>
        <v>46195</v>
      </c>
      <c r="C2254" s="31"/>
      <c r="D2254" s="29"/>
      <c r="E2254" s="29"/>
      <c r="F2254" s="32"/>
      <c r="G2254" s="29"/>
      <c r="H2254" s="29"/>
      <c r="I2254" s="29"/>
      <c r="J2254" s="33">
        <f>IF($O2254="방문완료",MAX(0,IFERROR(VLOOKUP($E2254,설정_코스수당!$A$6:$H$10,4,FALSE),0)-IF(OR($P2254="",$P2254="없음"),0,100000)),0)</f>
        <v>0</v>
      </c>
      <c r="K2254" s="33">
        <f t="array" ref="K2254">IF($O2254="방문완료",IFERROR(INDEX(설정_코스수당!$B$15:$F$64,MATCH($G2254,설정_코스수당!$A$15:$A$64,0),MATCH($E2254&amp;"수당",설정_코스수당!$B$14:$F$14,0)),0),0)</f>
        <v>0</v>
      </c>
      <c r="L2254" s="33">
        <f t="array" ref="L2254">IF($O2254="방문완료",IF($H2254="",0,IFERROR(INDEX(설정_코스수당!$B$15:$F$64,MATCH($H2254,설정_코스수당!$A$15:$A$64,0),MATCH($E2254&amp;"수당",설정_코스수당!$B$14:$F$14,0)),0)),0)</f>
        <v>0</v>
      </c>
      <c r="M2254" s="33">
        <f>IF($O2254="방문완료",IFERROR(VLOOKUP($E2254,설정_코스수당!$A$6:$H$10,6,FALSE),0),0)</f>
        <v>0</v>
      </c>
      <c r="N2254" s="34">
        <f t="shared" si="65"/>
        <v>0</v>
      </c>
      <c r="O2254" s="29"/>
      <c r="P2254" s="29"/>
      <c r="Q2254" s="29"/>
      <c r="R2254" s="32"/>
      <c r="S2254" s="29"/>
    </row>
    <row r="2255" spans="1:19" ht="19.5" hidden="1" customHeight="1" outlineLevel="1">
      <c r="A2255" s="23">
        <v>79</v>
      </c>
      <c r="B2255" s="24">
        <f>IF(22&lt;=DAY(DATE(YEAR(설정_코스수당!$K$2),MONTH(설정_코스수당!$K$2)+1,0)),DATE(YEAR(설정_코스수당!$K$2),MONTH(설정_코스수당!$K$2),22),"")</f>
        <v>46195</v>
      </c>
      <c r="C2255" s="25"/>
      <c r="D2255" s="23"/>
      <c r="E2255" s="23"/>
      <c r="F2255" s="26"/>
      <c r="G2255" s="23"/>
      <c r="H2255" s="23"/>
      <c r="I2255" s="23"/>
      <c r="J2255" s="27">
        <f>IF($O2255="방문완료",MAX(0,IFERROR(VLOOKUP($E2255,설정_코스수당!$A$6:$H$10,4,FALSE),0)-IF(OR($P2255="",$P2255="없음"),0,100000)),0)</f>
        <v>0</v>
      </c>
      <c r="K2255" s="27">
        <f t="array" ref="K2255">IF($O2255="방문완료",IFERROR(INDEX(설정_코스수당!$B$15:$F$64,MATCH($G2255,설정_코스수당!$A$15:$A$64,0),MATCH($E2255&amp;"수당",설정_코스수당!$B$14:$F$14,0)),0),0)</f>
        <v>0</v>
      </c>
      <c r="L2255" s="27">
        <f t="array" ref="L2255">IF($O2255="방문완료",IF($H2255="",0,IFERROR(INDEX(설정_코스수당!$B$15:$F$64,MATCH($H2255,설정_코스수당!$A$15:$A$64,0),MATCH($E2255&amp;"수당",설정_코스수당!$B$14:$F$14,0)),0)),0)</f>
        <v>0</v>
      </c>
      <c r="M2255" s="27">
        <f>IF($O2255="방문완료",IFERROR(VLOOKUP($E2255,설정_코스수당!$A$6:$H$10,6,FALSE),0),0)</f>
        <v>0</v>
      </c>
      <c r="N2255" s="28">
        <f t="shared" si="65"/>
        <v>0</v>
      </c>
      <c r="O2255" s="23"/>
      <c r="P2255" s="23"/>
      <c r="Q2255" s="23"/>
      <c r="R2255" s="26"/>
      <c r="S2255" s="23"/>
    </row>
    <row r="2256" spans="1:19" ht="19.5" hidden="1" customHeight="1" outlineLevel="1">
      <c r="A2256" s="29">
        <v>80</v>
      </c>
      <c r="B2256" s="30">
        <f>IF(22&lt;=DAY(DATE(YEAR(설정_코스수당!$K$2),MONTH(설정_코스수당!$K$2)+1,0)),DATE(YEAR(설정_코스수당!$K$2),MONTH(설정_코스수당!$K$2),22),"")</f>
        <v>46195</v>
      </c>
      <c r="C2256" s="31"/>
      <c r="D2256" s="29"/>
      <c r="E2256" s="29"/>
      <c r="F2256" s="32"/>
      <c r="G2256" s="29"/>
      <c r="H2256" s="29"/>
      <c r="I2256" s="29"/>
      <c r="J2256" s="33">
        <f>IF($O2256="방문완료",MAX(0,IFERROR(VLOOKUP($E2256,설정_코스수당!$A$6:$H$10,4,FALSE),0)-IF(OR($P2256="",$P2256="없음"),0,100000)),0)</f>
        <v>0</v>
      </c>
      <c r="K2256" s="33">
        <f t="array" ref="K2256">IF($O2256="방문완료",IFERROR(INDEX(설정_코스수당!$B$15:$F$64,MATCH($G2256,설정_코스수당!$A$15:$A$64,0),MATCH($E2256&amp;"수당",설정_코스수당!$B$14:$F$14,0)),0),0)</f>
        <v>0</v>
      </c>
      <c r="L2256" s="33">
        <f t="array" ref="L2256">IF($O2256="방문완료",IF($H2256="",0,IFERROR(INDEX(설정_코스수당!$B$15:$F$64,MATCH($H2256,설정_코스수당!$A$15:$A$64,0),MATCH($E2256&amp;"수당",설정_코스수당!$B$14:$F$14,0)),0)),0)</f>
        <v>0</v>
      </c>
      <c r="M2256" s="33">
        <f>IF($O2256="방문완료",IFERROR(VLOOKUP($E2256,설정_코스수당!$A$6:$H$10,6,FALSE),0),0)</f>
        <v>0</v>
      </c>
      <c r="N2256" s="34">
        <f t="shared" si="65"/>
        <v>0</v>
      </c>
      <c r="O2256" s="29"/>
      <c r="P2256" s="29"/>
      <c r="Q2256" s="29"/>
      <c r="R2256" s="32"/>
      <c r="S2256" s="29"/>
    </row>
    <row r="2257" spans="1:19" ht="19.5" hidden="1" customHeight="1" outlineLevel="1">
      <c r="A2257" s="23">
        <v>81</v>
      </c>
      <c r="B2257" s="24">
        <f>IF(22&lt;=DAY(DATE(YEAR(설정_코스수당!$K$2),MONTH(설정_코스수당!$K$2)+1,0)),DATE(YEAR(설정_코스수당!$K$2),MONTH(설정_코스수당!$K$2),22),"")</f>
        <v>46195</v>
      </c>
      <c r="C2257" s="25"/>
      <c r="D2257" s="23"/>
      <c r="E2257" s="23"/>
      <c r="F2257" s="26"/>
      <c r="G2257" s="23"/>
      <c r="H2257" s="23"/>
      <c r="I2257" s="23"/>
      <c r="J2257" s="27">
        <f>IF($O2257="방문완료",MAX(0,IFERROR(VLOOKUP($E2257,설정_코스수당!$A$6:$H$10,4,FALSE),0)-IF(OR($P2257="",$P2257="없음"),0,100000)),0)</f>
        <v>0</v>
      </c>
      <c r="K2257" s="27">
        <f t="array" ref="K2257">IF($O2257="방문완료",IFERROR(INDEX(설정_코스수당!$B$15:$F$64,MATCH($G2257,설정_코스수당!$A$15:$A$64,0),MATCH($E2257&amp;"수당",설정_코스수당!$B$14:$F$14,0)),0),0)</f>
        <v>0</v>
      </c>
      <c r="L2257" s="27">
        <f t="array" ref="L2257">IF($O2257="방문완료",IF($H2257="",0,IFERROR(INDEX(설정_코스수당!$B$15:$F$64,MATCH($H2257,설정_코스수당!$A$15:$A$64,0),MATCH($E2257&amp;"수당",설정_코스수당!$B$14:$F$14,0)),0)),0)</f>
        <v>0</v>
      </c>
      <c r="M2257" s="27">
        <f>IF($O2257="방문완료",IFERROR(VLOOKUP($E2257,설정_코스수당!$A$6:$H$10,6,FALSE),0),0)</f>
        <v>0</v>
      </c>
      <c r="N2257" s="28">
        <f t="shared" si="65"/>
        <v>0</v>
      </c>
      <c r="O2257" s="23"/>
      <c r="P2257" s="23"/>
      <c r="Q2257" s="23"/>
      <c r="R2257" s="26"/>
      <c r="S2257" s="23"/>
    </row>
    <row r="2258" spans="1:19" ht="19.5" hidden="1" customHeight="1" outlineLevel="1">
      <c r="A2258" s="29">
        <v>82</v>
      </c>
      <c r="B2258" s="30">
        <f>IF(22&lt;=DAY(DATE(YEAR(설정_코스수당!$K$2),MONTH(설정_코스수당!$K$2)+1,0)),DATE(YEAR(설정_코스수당!$K$2),MONTH(설정_코스수당!$K$2),22),"")</f>
        <v>46195</v>
      </c>
      <c r="C2258" s="31"/>
      <c r="D2258" s="29"/>
      <c r="E2258" s="29"/>
      <c r="F2258" s="32"/>
      <c r="G2258" s="29"/>
      <c r="H2258" s="29"/>
      <c r="I2258" s="29"/>
      <c r="J2258" s="33">
        <f>IF($O2258="방문완료",MAX(0,IFERROR(VLOOKUP($E2258,설정_코스수당!$A$6:$H$10,4,FALSE),0)-IF(OR($P2258="",$P2258="없음"),0,100000)),0)</f>
        <v>0</v>
      </c>
      <c r="K2258" s="33">
        <f t="array" ref="K2258">IF($O2258="방문완료",IFERROR(INDEX(설정_코스수당!$B$15:$F$64,MATCH($G2258,설정_코스수당!$A$15:$A$64,0),MATCH($E2258&amp;"수당",설정_코스수당!$B$14:$F$14,0)),0),0)</f>
        <v>0</v>
      </c>
      <c r="L2258" s="33">
        <f t="array" ref="L2258">IF($O2258="방문완료",IF($H2258="",0,IFERROR(INDEX(설정_코스수당!$B$15:$F$64,MATCH($H2258,설정_코스수당!$A$15:$A$64,0),MATCH($E2258&amp;"수당",설정_코스수당!$B$14:$F$14,0)),0)),0)</f>
        <v>0</v>
      </c>
      <c r="M2258" s="33">
        <f>IF($O2258="방문완료",IFERROR(VLOOKUP($E2258,설정_코스수당!$A$6:$H$10,6,FALSE),0),0)</f>
        <v>0</v>
      </c>
      <c r="N2258" s="34">
        <f t="shared" si="65"/>
        <v>0</v>
      </c>
      <c r="O2258" s="29"/>
      <c r="P2258" s="29"/>
      <c r="Q2258" s="29"/>
      <c r="R2258" s="32"/>
      <c r="S2258" s="29"/>
    </row>
    <row r="2259" spans="1:19" ht="19.5" hidden="1" customHeight="1" outlineLevel="1">
      <c r="A2259" s="23">
        <v>83</v>
      </c>
      <c r="B2259" s="24">
        <f>IF(22&lt;=DAY(DATE(YEAR(설정_코스수당!$K$2),MONTH(설정_코스수당!$K$2)+1,0)),DATE(YEAR(설정_코스수당!$K$2),MONTH(설정_코스수당!$K$2),22),"")</f>
        <v>46195</v>
      </c>
      <c r="C2259" s="25"/>
      <c r="D2259" s="23"/>
      <c r="E2259" s="23"/>
      <c r="F2259" s="26"/>
      <c r="G2259" s="23"/>
      <c r="H2259" s="23"/>
      <c r="I2259" s="23"/>
      <c r="J2259" s="27">
        <f>IF($O2259="방문완료",MAX(0,IFERROR(VLOOKUP($E2259,설정_코스수당!$A$6:$H$10,4,FALSE),0)-IF(OR($P2259="",$P2259="없음"),0,100000)),0)</f>
        <v>0</v>
      </c>
      <c r="K2259" s="27">
        <f t="array" ref="K2259">IF($O2259="방문완료",IFERROR(INDEX(설정_코스수당!$B$15:$F$64,MATCH($G2259,설정_코스수당!$A$15:$A$64,0),MATCH($E2259&amp;"수당",설정_코스수당!$B$14:$F$14,0)),0),0)</f>
        <v>0</v>
      </c>
      <c r="L2259" s="27">
        <f t="array" ref="L2259">IF($O2259="방문완료",IF($H2259="",0,IFERROR(INDEX(설정_코스수당!$B$15:$F$64,MATCH($H2259,설정_코스수당!$A$15:$A$64,0),MATCH($E2259&amp;"수당",설정_코스수당!$B$14:$F$14,0)),0)),0)</f>
        <v>0</v>
      </c>
      <c r="M2259" s="27">
        <f>IF($O2259="방문완료",IFERROR(VLOOKUP($E2259,설정_코스수당!$A$6:$H$10,6,FALSE),0),0)</f>
        <v>0</v>
      </c>
      <c r="N2259" s="28">
        <f t="shared" si="65"/>
        <v>0</v>
      </c>
      <c r="O2259" s="23"/>
      <c r="P2259" s="23"/>
      <c r="Q2259" s="23"/>
      <c r="R2259" s="26"/>
      <c r="S2259" s="23"/>
    </row>
    <row r="2260" spans="1:19" ht="19.5" hidden="1" customHeight="1" outlineLevel="1">
      <c r="A2260" s="29">
        <v>84</v>
      </c>
      <c r="B2260" s="30">
        <f>IF(22&lt;=DAY(DATE(YEAR(설정_코스수당!$K$2),MONTH(설정_코스수당!$K$2)+1,0)),DATE(YEAR(설정_코스수당!$K$2),MONTH(설정_코스수당!$K$2),22),"")</f>
        <v>46195</v>
      </c>
      <c r="C2260" s="31"/>
      <c r="D2260" s="29"/>
      <c r="E2260" s="29"/>
      <c r="F2260" s="32"/>
      <c r="G2260" s="29"/>
      <c r="H2260" s="29"/>
      <c r="I2260" s="29"/>
      <c r="J2260" s="33">
        <f>IF($O2260="방문완료",MAX(0,IFERROR(VLOOKUP($E2260,설정_코스수당!$A$6:$H$10,4,FALSE),0)-IF(OR($P2260="",$P2260="없음"),0,100000)),0)</f>
        <v>0</v>
      </c>
      <c r="K2260" s="33">
        <f t="array" ref="K2260">IF($O2260="방문완료",IFERROR(INDEX(설정_코스수당!$B$15:$F$64,MATCH($G2260,설정_코스수당!$A$15:$A$64,0),MATCH($E2260&amp;"수당",설정_코스수당!$B$14:$F$14,0)),0),0)</f>
        <v>0</v>
      </c>
      <c r="L2260" s="33">
        <f t="array" ref="L2260">IF($O2260="방문완료",IF($H2260="",0,IFERROR(INDEX(설정_코스수당!$B$15:$F$64,MATCH($H2260,설정_코스수당!$A$15:$A$64,0),MATCH($E2260&amp;"수당",설정_코스수당!$B$14:$F$14,0)),0)),0)</f>
        <v>0</v>
      </c>
      <c r="M2260" s="33">
        <f>IF($O2260="방문완료",IFERROR(VLOOKUP($E2260,설정_코스수당!$A$6:$H$10,6,FALSE),0),0)</f>
        <v>0</v>
      </c>
      <c r="N2260" s="34">
        <f t="shared" si="65"/>
        <v>0</v>
      </c>
      <c r="O2260" s="29"/>
      <c r="P2260" s="29"/>
      <c r="Q2260" s="29"/>
      <c r="R2260" s="32"/>
      <c r="S2260" s="29"/>
    </row>
    <row r="2261" spans="1:19" ht="19.5" hidden="1" customHeight="1" outlineLevel="1">
      <c r="A2261" s="23">
        <v>85</v>
      </c>
      <c r="B2261" s="24">
        <f>IF(22&lt;=DAY(DATE(YEAR(설정_코스수당!$K$2),MONTH(설정_코스수당!$K$2)+1,0)),DATE(YEAR(설정_코스수당!$K$2),MONTH(설정_코스수당!$K$2),22),"")</f>
        <v>46195</v>
      </c>
      <c r="C2261" s="25"/>
      <c r="D2261" s="23"/>
      <c r="E2261" s="23"/>
      <c r="F2261" s="26"/>
      <c r="G2261" s="23"/>
      <c r="H2261" s="23"/>
      <c r="I2261" s="23"/>
      <c r="J2261" s="27">
        <f>IF($O2261="방문완료",MAX(0,IFERROR(VLOOKUP($E2261,설정_코스수당!$A$6:$H$10,4,FALSE),0)-IF(OR($P2261="",$P2261="없음"),0,100000)),0)</f>
        <v>0</v>
      </c>
      <c r="K2261" s="27">
        <f t="array" ref="K2261">IF($O2261="방문완료",IFERROR(INDEX(설정_코스수당!$B$15:$F$64,MATCH($G2261,설정_코스수당!$A$15:$A$64,0),MATCH($E2261&amp;"수당",설정_코스수당!$B$14:$F$14,0)),0),0)</f>
        <v>0</v>
      </c>
      <c r="L2261" s="27">
        <f t="array" ref="L2261">IF($O2261="방문완료",IF($H2261="",0,IFERROR(INDEX(설정_코스수당!$B$15:$F$64,MATCH($H2261,설정_코스수당!$A$15:$A$64,0),MATCH($E2261&amp;"수당",설정_코스수당!$B$14:$F$14,0)),0)),0)</f>
        <v>0</v>
      </c>
      <c r="M2261" s="27">
        <f>IF($O2261="방문완료",IFERROR(VLOOKUP($E2261,설정_코스수당!$A$6:$H$10,6,FALSE),0),0)</f>
        <v>0</v>
      </c>
      <c r="N2261" s="28">
        <f t="shared" si="65"/>
        <v>0</v>
      </c>
      <c r="O2261" s="23"/>
      <c r="P2261" s="23"/>
      <c r="Q2261" s="23"/>
      <c r="R2261" s="26"/>
      <c r="S2261" s="23"/>
    </row>
    <row r="2262" spans="1:19" ht="19.5" hidden="1" customHeight="1" outlineLevel="1">
      <c r="A2262" s="29">
        <v>86</v>
      </c>
      <c r="B2262" s="30">
        <f>IF(22&lt;=DAY(DATE(YEAR(설정_코스수당!$K$2),MONTH(설정_코스수당!$K$2)+1,0)),DATE(YEAR(설정_코스수당!$K$2),MONTH(설정_코스수당!$K$2),22),"")</f>
        <v>46195</v>
      </c>
      <c r="C2262" s="31"/>
      <c r="D2262" s="29"/>
      <c r="E2262" s="29"/>
      <c r="F2262" s="32"/>
      <c r="G2262" s="29"/>
      <c r="H2262" s="29"/>
      <c r="I2262" s="29"/>
      <c r="J2262" s="33">
        <f>IF($O2262="방문완료",MAX(0,IFERROR(VLOOKUP($E2262,설정_코스수당!$A$6:$H$10,4,FALSE),0)-IF(OR($P2262="",$P2262="없음"),0,100000)),0)</f>
        <v>0</v>
      </c>
      <c r="K2262" s="33">
        <f t="array" ref="K2262">IF($O2262="방문완료",IFERROR(INDEX(설정_코스수당!$B$15:$F$64,MATCH($G2262,설정_코스수당!$A$15:$A$64,0),MATCH($E2262&amp;"수당",설정_코스수당!$B$14:$F$14,0)),0),0)</f>
        <v>0</v>
      </c>
      <c r="L2262" s="33">
        <f t="array" ref="L2262">IF($O2262="방문완료",IF($H2262="",0,IFERROR(INDEX(설정_코스수당!$B$15:$F$64,MATCH($H2262,설정_코스수당!$A$15:$A$64,0),MATCH($E2262&amp;"수당",설정_코스수당!$B$14:$F$14,0)),0)),0)</f>
        <v>0</v>
      </c>
      <c r="M2262" s="33">
        <f>IF($O2262="방문완료",IFERROR(VLOOKUP($E2262,설정_코스수당!$A$6:$H$10,6,FALSE),0),0)</f>
        <v>0</v>
      </c>
      <c r="N2262" s="34">
        <f t="shared" si="65"/>
        <v>0</v>
      </c>
      <c r="O2262" s="29"/>
      <c r="P2262" s="29"/>
      <c r="Q2262" s="29"/>
      <c r="R2262" s="32"/>
      <c r="S2262" s="29"/>
    </row>
    <row r="2263" spans="1:19" ht="19.5" hidden="1" customHeight="1" outlineLevel="1">
      <c r="A2263" s="23">
        <v>87</v>
      </c>
      <c r="B2263" s="24">
        <f>IF(22&lt;=DAY(DATE(YEAR(설정_코스수당!$K$2),MONTH(설정_코스수당!$K$2)+1,0)),DATE(YEAR(설정_코스수당!$K$2),MONTH(설정_코스수당!$K$2),22),"")</f>
        <v>46195</v>
      </c>
      <c r="C2263" s="25"/>
      <c r="D2263" s="23"/>
      <c r="E2263" s="23"/>
      <c r="F2263" s="26"/>
      <c r="G2263" s="23"/>
      <c r="H2263" s="23"/>
      <c r="I2263" s="23"/>
      <c r="J2263" s="27">
        <f>IF($O2263="방문완료",MAX(0,IFERROR(VLOOKUP($E2263,설정_코스수당!$A$6:$H$10,4,FALSE),0)-IF(OR($P2263="",$P2263="없음"),0,100000)),0)</f>
        <v>0</v>
      </c>
      <c r="K2263" s="27">
        <f t="array" ref="K2263">IF($O2263="방문완료",IFERROR(INDEX(설정_코스수당!$B$15:$F$64,MATCH($G2263,설정_코스수당!$A$15:$A$64,0),MATCH($E2263&amp;"수당",설정_코스수당!$B$14:$F$14,0)),0),0)</f>
        <v>0</v>
      </c>
      <c r="L2263" s="27">
        <f t="array" ref="L2263">IF($O2263="방문완료",IF($H2263="",0,IFERROR(INDEX(설정_코스수당!$B$15:$F$64,MATCH($H2263,설정_코스수당!$A$15:$A$64,0),MATCH($E2263&amp;"수당",설정_코스수당!$B$14:$F$14,0)),0)),0)</f>
        <v>0</v>
      </c>
      <c r="M2263" s="27">
        <f>IF($O2263="방문완료",IFERROR(VLOOKUP($E2263,설정_코스수당!$A$6:$H$10,6,FALSE),0),0)</f>
        <v>0</v>
      </c>
      <c r="N2263" s="28">
        <f t="shared" si="65"/>
        <v>0</v>
      </c>
      <c r="O2263" s="23"/>
      <c r="P2263" s="23"/>
      <c r="Q2263" s="23"/>
      <c r="R2263" s="26"/>
      <c r="S2263" s="23"/>
    </row>
    <row r="2264" spans="1:19" ht="19.5" hidden="1" customHeight="1" outlineLevel="1">
      <c r="A2264" s="29">
        <v>88</v>
      </c>
      <c r="B2264" s="30">
        <f>IF(22&lt;=DAY(DATE(YEAR(설정_코스수당!$K$2),MONTH(설정_코스수당!$K$2)+1,0)),DATE(YEAR(설정_코스수당!$K$2),MONTH(설정_코스수당!$K$2),22),"")</f>
        <v>46195</v>
      </c>
      <c r="C2264" s="31"/>
      <c r="D2264" s="29"/>
      <c r="E2264" s="29"/>
      <c r="F2264" s="32"/>
      <c r="G2264" s="29"/>
      <c r="H2264" s="29"/>
      <c r="I2264" s="29"/>
      <c r="J2264" s="33">
        <f>IF($O2264="방문완료",MAX(0,IFERROR(VLOOKUP($E2264,설정_코스수당!$A$6:$H$10,4,FALSE),0)-IF(OR($P2264="",$P2264="없음"),0,100000)),0)</f>
        <v>0</v>
      </c>
      <c r="K2264" s="33">
        <f t="array" ref="K2264">IF($O2264="방문완료",IFERROR(INDEX(설정_코스수당!$B$15:$F$64,MATCH($G2264,설정_코스수당!$A$15:$A$64,0),MATCH($E2264&amp;"수당",설정_코스수당!$B$14:$F$14,0)),0),0)</f>
        <v>0</v>
      </c>
      <c r="L2264" s="33">
        <f t="array" ref="L2264">IF($O2264="방문완료",IF($H2264="",0,IFERROR(INDEX(설정_코스수당!$B$15:$F$64,MATCH($H2264,설정_코스수당!$A$15:$A$64,0),MATCH($E2264&amp;"수당",설정_코스수당!$B$14:$F$14,0)),0)),0)</f>
        <v>0</v>
      </c>
      <c r="M2264" s="33">
        <f>IF($O2264="방문완료",IFERROR(VLOOKUP($E2264,설정_코스수당!$A$6:$H$10,6,FALSE),0),0)</f>
        <v>0</v>
      </c>
      <c r="N2264" s="34">
        <f t="shared" si="65"/>
        <v>0</v>
      </c>
      <c r="O2264" s="29"/>
      <c r="P2264" s="29"/>
      <c r="Q2264" s="29"/>
      <c r="R2264" s="32"/>
      <c r="S2264" s="29"/>
    </row>
    <row r="2265" spans="1:19" ht="19.5" hidden="1" customHeight="1" outlineLevel="1">
      <c r="A2265" s="23">
        <v>89</v>
      </c>
      <c r="B2265" s="24">
        <f>IF(22&lt;=DAY(DATE(YEAR(설정_코스수당!$K$2),MONTH(설정_코스수당!$K$2)+1,0)),DATE(YEAR(설정_코스수당!$K$2),MONTH(설정_코스수당!$K$2),22),"")</f>
        <v>46195</v>
      </c>
      <c r="C2265" s="25"/>
      <c r="D2265" s="23"/>
      <c r="E2265" s="23"/>
      <c r="F2265" s="26"/>
      <c r="G2265" s="23"/>
      <c r="H2265" s="23"/>
      <c r="I2265" s="23"/>
      <c r="J2265" s="27">
        <f>IF($O2265="방문완료",MAX(0,IFERROR(VLOOKUP($E2265,설정_코스수당!$A$6:$H$10,4,FALSE),0)-IF(OR($P2265="",$P2265="없음"),0,100000)),0)</f>
        <v>0</v>
      </c>
      <c r="K2265" s="27">
        <f t="array" ref="K2265">IF($O2265="방문완료",IFERROR(INDEX(설정_코스수당!$B$15:$F$64,MATCH($G2265,설정_코스수당!$A$15:$A$64,0),MATCH($E2265&amp;"수당",설정_코스수당!$B$14:$F$14,0)),0),0)</f>
        <v>0</v>
      </c>
      <c r="L2265" s="27">
        <f t="array" ref="L2265">IF($O2265="방문완료",IF($H2265="",0,IFERROR(INDEX(설정_코스수당!$B$15:$F$64,MATCH($H2265,설정_코스수당!$A$15:$A$64,0),MATCH($E2265&amp;"수당",설정_코스수당!$B$14:$F$14,0)),0)),0)</f>
        <v>0</v>
      </c>
      <c r="M2265" s="27">
        <f>IF($O2265="방문완료",IFERROR(VLOOKUP($E2265,설정_코스수당!$A$6:$H$10,6,FALSE),0),0)</f>
        <v>0</v>
      </c>
      <c r="N2265" s="28">
        <f t="shared" si="65"/>
        <v>0</v>
      </c>
      <c r="O2265" s="23"/>
      <c r="P2265" s="23"/>
      <c r="Q2265" s="23"/>
      <c r="R2265" s="26"/>
      <c r="S2265" s="23"/>
    </row>
    <row r="2266" spans="1:19" ht="19.5" hidden="1" customHeight="1" outlineLevel="1">
      <c r="A2266" s="29">
        <v>90</v>
      </c>
      <c r="B2266" s="30">
        <f>IF(22&lt;=DAY(DATE(YEAR(설정_코스수당!$K$2),MONTH(설정_코스수당!$K$2)+1,0)),DATE(YEAR(설정_코스수당!$K$2),MONTH(설정_코스수당!$K$2),22),"")</f>
        <v>46195</v>
      </c>
      <c r="C2266" s="31"/>
      <c r="D2266" s="29"/>
      <c r="E2266" s="29"/>
      <c r="F2266" s="32"/>
      <c r="G2266" s="29"/>
      <c r="H2266" s="29"/>
      <c r="I2266" s="29"/>
      <c r="J2266" s="33">
        <f>IF($O2266="방문완료",MAX(0,IFERROR(VLOOKUP($E2266,설정_코스수당!$A$6:$H$10,4,FALSE),0)-IF(OR($P2266="",$P2266="없음"),0,100000)),0)</f>
        <v>0</v>
      </c>
      <c r="K2266" s="33">
        <f t="array" ref="K2266">IF($O2266="방문완료",IFERROR(INDEX(설정_코스수당!$B$15:$F$64,MATCH($G2266,설정_코스수당!$A$15:$A$64,0),MATCH($E2266&amp;"수당",설정_코스수당!$B$14:$F$14,0)),0),0)</f>
        <v>0</v>
      </c>
      <c r="L2266" s="33">
        <f t="array" ref="L2266">IF($O2266="방문완료",IF($H2266="",0,IFERROR(INDEX(설정_코스수당!$B$15:$F$64,MATCH($H2266,설정_코스수당!$A$15:$A$64,0),MATCH($E2266&amp;"수당",설정_코스수당!$B$14:$F$14,0)),0)),0)</f>
        <v>0</v>
      </c>
      <c r="M2266" s="33">
        <f>IF($O2266="방문완료",IFERROR(VLOOKUP($E2266,설정_코스수당!$A$6:$H$10,6,FALSE),0),0)</f>
        <v>0</v>
      </c>
      <c r="N2266" s="34">
        <f t="shared" si="65"/>
        <v>0</v>
      </c>
      <c r="O2266" s="29"/>
      <c r="P2266" s="29"/>
      <c r="Q2266" s="29"/>
      <c r="R2266" s="32"/>
      <c r="S2266" s="29"/>
    </row>
    <row r="2267" spans="1:19" ht="19.5" hidden="1" customHeight="1" outlineLevel="1">
      <c r="A2267" s="23">
        <v>91</v>
      </c>
      <c r="B2267" s="24">
        <f>IF(22&lt;=DAY(DATE(YEAR(설정_코스수당!$K$2),MONTH(설정_코스수당!$K$2)+1,0)),DATE(YEAR(설정_코스수당!$K$2),MONTH(설정_코스수당!$K$2),22),"")</f>
        <v>46195</v>
      </c>
      <c r="C2267" s="25"/>
      <c r="D2267" s="23"/>
      <c r="E2267" s="23"/>
      <c r="F2267" s="26"/>
      <c r="G2267" s="23"/>
      <c r="H2267" s="23"/>
      <c r="I2267" s="23"/>
      <c r="J2267" s="27">
        <f>IF($O2267="방문완료",MAX(0,IFERROR(VLOOKUP($E2267,설정_코스수당!$A$6:$H$10,4,FALSE),0)-IF(OR($P2267="",$P2267="없음"),0,100000)),0)</f>
        <v>0</v>
      </c>
      <c r="K2267" s="27">
        <f t="array" ref="K2267">IF($O2267="방문완료",IFERROR(INDEX(설정_코스수당!$B$15:$F$64,MATCH($G2267,설정_코스수당!$A$15:$A$64,0),MATCH($E2267&amp;"수당",설정_코스수당!$B$14:$F$14,0)),0),0)</f>
        <v>0</v>
      </c>
      <c r="L2267" s="27">
        <f t="array" ref="L2267">IF($O2267="방문완료",IF($H2267="",0,IFERROR(INDEX(설정_코스수당!$B$15:$F$64,MATCH($H2267,설정_코스수당!$A$15:$A$64,0),MATCH($E2267&amp;"수당",설정_코스수당!$B$14:$F$14,0)),0)),0)</f>
        <v>0</v>
      </c>
      <c r="M2267" s="27">
        <f>IF($O2267="방문완료",IFERROR(VLOOKUP($E2267,설정_코스수당!$A$6:$H$10,6,FALSE),0),0)</f>
        <v>0</v>
      </c>
      <c r="N2267" s="28">
        <f t="shared" si="65"/>
        <v>0</v>
      </c>
      <c r="O2267" s="23"/>
      <c r="P2267" s="23"/>
      <c r="Q2267" s="23"/>
      <c r="R2267" s="26"/>
      <c r="S2267" s="23"/>
    </row>
    <row r="2268" spans="1:19" ht="19.5" hidden="1" customHeight="1" outlineLevel="1">
      <c r="A2268" s="29">
        <v>92</v>
      </c>
      <c r="B2268" s="30">
        <f>IF(22&lt;=DAY(DATE(YEAR(설정_코스수당!$K$2),MONTH(설정_코스수당!$K$2)+1,0)),DATE(YEAR(설정_코스수당!$K$2),MONTH(설정_코스수당!$K$2),22),"")</f>
        <v>46195</v>
      </c>
      <c r="C2268" s="31"/>
      <c r="D2268" s="29"/>
      <c r="E2268" s="29"/>
      <c r="F2268" s="32"/>
      <c r="G2268" s="29"/>
      <c r="H2268" s="29"/>
      <c r="I2268" s="29"/>
      <c r="J2268" s="33">
        <f>IF($O2268="방문완료",MAX(0,IFERROR(VLOOKUP($E2268,설정_코스수당!$A$6:$H$10,4,FALSE),0)-IF(OR($P2268="",$P2268="없음"),0,100000)),0)</f>
        <v>0</v>
      </c>
      <c r="K2268" s="33">
        <f t="array" ref="K2268">IF($O2268="방문완료",IFERROR(INDEX(설정_코스수당!$B$15:$F$64,MATCH($G2268,설정_코스수당!$A$15:$A$64,0),MATCH($E2268&amp;"수당",설정_코스수당!$B$14:$F$14,0)),0),0)</f>
        <v>0</v>
      </c>
      <c r="L2268" s="33">
        <f t="array" ref="L2268">IF($O2268="방문완료",IF($H2268="",0,IFERROR(INDEX(설정_코스수당!$B$15:$F$64,MATCH($H2268,설정_코스수당!$A$15:$A$64,0),MATCH($E2268&amp;"수당",설정_코스수당!$B$14:$F$14,0)),0)),0)</f>
        <v>0</v>
      </c>
      <c r="M2268" s="33">
        <f>IF($O2268="방문완료",IFERROR(VLOOKUP($E2268,설정_코스수당!$A$6:$H$10,6,FALSE),0),0)</f>
        <v>0</v>
      </c>
      <c r="N2268" s="34">
        <f t="shared" si="65"/>
        <v>0</v>
      </c>
      <c r="O2268" s="29"/>
      <c r="P2268" s="29"/>
      <c r="Q2268" s="29"/>
      <c r="R2268" s="32"/>
      <c r="S2268" s="29"/>
    </row>
    <row r="2269" spans="1:19" ht="19.5" hidden="1" customHeight="1" outlineLevel="1">
      <c r="A2269" s="23">
        <v>93</v>
      </c>
      <c r="B2269" s="24">
        <f>IF(22&lt;=DAY(DATE(YEAR(설정_코스수당!$K$2),MONTH(설정_코스수당!$K$2)+1,0)),DATE(YEAR(설정_코스수당!$K$2),MONTH(설정_코스수당!$K$2),22),"")</f>
        <v>46195</v>
      </c>
      <c r="C2269" s="25"/>
      <c r="D2269" s="23"/>
      <c r="E2269" s="23"/>
      <c r="F2269" s="26"/>
      <c r="G2269" s="23"/>
      <c r="H2269" s="23"/>
      <c r="I2269" s="23"/>
      <c r="J2269" s="27">
        <f>IF($O2269="방문완료",MAX(0,IFERROR(VLOOKUP($E2269,설정_코스수당!$A$6:$H$10,4,FALSE),0)-IF(OR($P2269="",$P2269="없음"),0,100000)),0)</f>
        <v>0</v>
      </c>
      <c r="K2269" s="27">
        <f t="array" ref="K2269">IF($O2269="방문완료",IFERROR(INDEX(설정_코스수당!$B$15:$F$64,MATCH($G2269,설정_코스수당!$A$15:$A$64,0),MATCH($E2269&amp;"수당",설정_코스수당!$B$14:$F$14,0)),0),0)</f>
        <v>0</v>
      </c>
      <c r="L2269" s="27">
        <f t="array" ref="L2269">IF($O2269="방문완료",IF($H2269="",0,IFERROR(INDEX(설정_코스수당!$B$15:$F$64,MATCH($H2269,설정_코스수당!$A$15:$A$64,0),MATCH($E2269&amp;"수당",설정_코스수당!$B$14:$F$14,0)),0)),0)</f>
        <v>0</v>
      </c>
      <c r="M2269" s="27">
        <f>IF($O2269="방문완료",IFERROR(VLOOKUP($E2269,설정_코스수당!$A$6:$H$10,6,FALSE),0),0)</f>
        <v>0</v>
      </c>
      <c r="N2269" s="28">
        <f t="shared" si="65"/>
        <v>0</v>
      </c>
      <c r="O2269" s="23"/>
      <c r="P2269" s="23"/>
      <c r="Q2269" s="23"/>
      <c r="R2269" s="26"/>
      <c r="S2269" s="23"/>
    </row>
    <row r="2270" spans="1:19" ht="19.5" hidden="1" customHeight="1" outlineLevel="1">
      <c r="A2270" s="29">
        <v>94</v>
      </c>
      <c r="B2270" s="30">
        <f>IF(22&lt;=DAY(DATE(YEAR(설정_코스수당!$K$2),MONTH(설정_코스수당!$K$2)+1,0)),DATE(YEAR(설정_코스수당!$K$2),MONTH(설정_코스수당!$K$2),22),"")</f>
        <v>46195</v>
      </c>
      <c r="C2270" s="31"/>
      <c r="D2270" s="29"/>
      <c r="E2270" s="29"/>
      <c r="F2270" s="32"/>
      <c r="G2270" s="29"/>
      <c r="H2270" s="29"/>
      <c r="I2270" s="29"/>
      <c r="J2270" s="33">
        <f>IF($O2270="방문완료",MAX(0,IFERROR(VLOOKUP($E2270,설정_코스수당!$A$6:$H$10,4,FALSE),0)-IF(OR($P2270="",$P2270="없음"),0,100000)),0)</f>
        <v>0</v>
      </c>
      <c r="K2270" s="33">
        <f t="array" ref="K2270">IF($O2270="방문완료",IFERROR(INDEX(설정_코스수당!$B$15:$F$64,MATCH($G2270,설정_코스수당!$A$15:$A$64,0),MATCH($E2270&amp;"수당",설정_코스수당!$B$14:$F$14,0)),0),0)</f>
        <v>0</v>
      </c>
      <c r="L2270" s="33">
        <f t="array" ref="L2270">IF($O2270="방문완료",IF($H2270="",0,IFERROR(INDEX(설정_코스수당!$B$15:$F$64,MATCH($H2270,설정_코스수당!$A$15:$A$64,0),MATCH($E2270&amp;"수당",설정_코스수당!$B$14:$F$14,0)),0)),0)</f>
        <v>0</v>
      </c>
      <c r="M2270" s="33">
        <f>IF($O2270="방문완료",IFERROR(VLOOKUP($E2270,설정_코스수당!$A$6:$H$10,6,FALSE),0),0)</f>
        <v>0</v>
      </c>
      <c r="N2270" s="34">
        <f t="shared" si="65"/>
        <v>0</v>
      </c>
      <c r="O2270" s="29"/>
      <c r="P2270" s="29"/>
      <c r="Q2270" s="29"/>
      <c r="R2270" s="32"/>
      <c r="S2270" s="29"/>
    </row>
    <row r="2271" spans="1:19" ht="19.5" hidden="1" customHeight="1" outlineLevel="1">
      <c r="A2271" s="23">
        <v>95</v>
      </c>
      <c r="B2271" s="24">
        <f>IF(22&lt;=DAY(DATE(YEAR(설정_코스수당!$K$2),MONTH(설정_코스수당!$K$2)+1,0)),DATE(YEAR(설정_코스수당!$K$2),MONTH(설정_코스수당!$K$2),22),"")</f>
        <v>46195</v>
      </c>
      <c r="C2271" s="25"/>
      <c r="D2271" s="23"/>
      <c r="E2271" s="23"/>
      <c r="F2271" s="26"/>
      <c r="G2271" s="23"/>
      <c r="H2271" s="23"/>
      <c r="I2271" s="23"/>
      <c r="J2271" s="27">
        <f>IF($O2271="방문완료",MAX(0,IFERROR(VLOOKUP($E2271,설정_코스수당!$A$6:$H$10,4,FALSE),0)-IF(OR($P2271="",$P2271="없음"),0,100000)),0)</f>
        <v>0</v>
      </c>
      <c r="K2271" s="27">
        <f t="array" ref="K2271">IF($O2271="방문완료",IFERROR(INDEX(설정_코스수당!$B$15:$F$64,MATCH($G2271,설정_코스수당!$A$15:$A$64,0),MATCH($E2271&amp;"수당",설정_코스수당!$B$14:$F$14,0)),0),0)</f>
        <v>0</v>
      </c>
      <c r="L2271" s="27">
        <f t="array" ref="L2271">IF($O2271="방문완료",IF($H2271="",0,IFERROR(INDEX(설정_코스수당!$B$15:$F$64,MATCH($H2271,설정_코스수당!$A$15:$A$64,0),MATCH($E2271&amp;"수당",설정_코스수당!$B$14:$F$14,0)),0)),0)</f>
        <v>0</v>
      </c>
      <c r="M2271" s="27">
        <f>IF($O2271="방문완료",IFERROR(VLOOKUP($E2271,설정_코스수당!$A$6:$H$10,6,FALSE),0),0)</f>
        <v>0</v>
      </c>
      <c r="N2271" s="28">
        <f t="shared" si="65"/>
        <v>0</v>
      </c>
      <c r="O2271" s="23"/>
      <c r="P2271" s="23"/>
      <c r="Q2271" s="23"/>
      <c r="R2271" s="26"/>
      <c r="S2271" s="23"/>
    </row>
    <row r="2272" spans="1:19" ht="19.5" hidden="1" customHeight="1" outlineLevel="1">
      <c r="A2272" s="29">
        <v>96</v>
      </c>
      <c r="B2272" s="30">
        <f>IF(22&lt;=DAY(DATE(YEAR(설정_코스수당!$K$2),MONTH(설정_코스수당!$K$2)+1,0)),DATE(YEAR(설정_코스수당!$K$2),MONTH(설정_코스수당!$K$2),22),"")</f>
        <v>46195</v>
      </c>
      <c r="C2272" s="31"/>
      <c r="D2272" s="29"/>
      <c r="E2272" s="29"/>
      <c r="F2272" s="32"/>
      <c r="G2272" s="29"/>
      <c r="H2272" s="29"/>
      <c r="I2272" s="29"/>
      <c r="J2272" s="33">
        <f>IF($O2272="방문완료",MAX(0,IFERROR(VLOOKUP($E2272,설정_코스수당!$A$6:$H$10,4,FALSE),0)-IF(OR($P2272="",$P2272="없음"),0,100000)),0)</f>
        <v>0</v>
      </c>
      <c r="K2272" s="33">
        <f t="array" ref="K2272">IF($O2272="방문완료",IFERROR(INDEX(설정_코스수당!$B$15:$F$64,MATCH($G2272,설정_코스수당!$A$15:$A$64,0),MATCH($E2272&amp;"수당",설정_코스수당!$B$14:$F$14,0)),0),0)</f>
        <v>0</v>
      </c>
      <c r="L2272" s="33">
        <f t="array" ref="L2272">IF($O2272="방문완료",IF($H2272="",0,IFERROR(INDEX(설정_코스수당!$B$15:$F$64,MATCH($H2272,설정_코스수당!$A$15:$A$64,0),MATCH($E2272&amp;"수당",설정_코스수당!$B$14:$F$14,0)),0)),0)</f>
        <v>0</v>
      </c>
      <c r="M2272" s="33">
        <f>IF($O2272="방문완료",IFERROR(VLOOKUP($E2272,설정_코스수당!$A$6:$H$10,6,FALSE),0),0)</f>
        <v>0</v>
      </c>
      <c r="N2272" s="34">
        <f t="shared" si="65"/>
        <v>0</v>
      </c>
      <c r="O2272" s="29"/>
      <c r="P2272" s="29"/>
      <c r="Q2272" s="29"/>
      <c r="R2272" s="32"/>
      <c r="S2272" s="29"/>
    </row>
    <row r="2273" spans="1:27" ht="19.5" hidden="1" customHeight="1" outlineLevel="1">
      <c r="A2273" s="23">
        <v>97</v>
      </c>
      <c r="B2273" s="24">
        <f>IF(22&lt;=DAY(DATE(YEAR(설정_코스수당!$K$2),MONTH(설정_코스수당!$K$2)+1,0)),DATE(YEAR(설정_코스수당!$K$2),MONTH(설정_코스수당!$K$2),22),"")</f>
        <v>46195</v>
      </c>
      <c r="C2273" s="25"/>
      <c r="D2273" s="23"/>
      <c r="E2273" s="23"/>
      <c r="F2273" s="26"/>
      <c r="G2273" s="23"/>
      <c r="H2273" s="23"/>
      <c r="I2273" s="23"/>
      <c r="J2273" s="27">
        <f>IF($O2273="방문완료",MAX(0,IFERROR(VLOOKUP($E2273,설정_코스수당!$A$6:$H$10,4,FALSE),0)-IF(OR($P2273="",$P2273="없음"),0,100000)),0)</f>
        <v>0</v>
      </c>
      <c r="K2273" s="27">
        <f t="array" ref="K2273">IF($O2273="방문완료",IFERROR(INDEX(설정_코스수당!$B$15:$F$64,MATCH($G2273,설정_코스수당!$A$15:$A$64,0),MATCH($E2273&amp;"수당",설정_코스수당!$B$14:$F$14,0)),0),0)</f>
        <v>0</v>
      </c>
      <c r="L2273" s="27">
        <f t="array" ref="L2273">IF($O2273="방문완료",IF($H2273="",0,IFERROR(INDEX(설정_코스수당!$B$15:$F$64,MATCH($H2273,설정_코스수당!$A$15:$A$64,0),MATCH($E2273&amp;"수당",설정_코스수당!$B$14:$F$14,0)),0)),0)</f>
        <v>0</v>
      </c>
      <c r="M2273" s="27">
        <f>IF($O2273="방문완료",IFERROR(VLOOKUP($E2273,설정_코스수당!$A$6:$H$10,6,FALSE),0),0)</f>
        <v>0</v>
      </c>
      <c r="N2273" s="28">
        <f t="shared" si="65"/>
        <v>0</v>
      </c>
      <c r="O2273" s="23"/>
      <c r="P2273" s="23"/>
      <c r="Q2273" s="23"/>
      <c r="R2273" s="26"/>
      <c r="S2273" s="23"/>
    </row>
    <row r="2274" spans="1:27" ht="19.5" hidden="1" customHeight="1" outlineLevel="1">
      <c r="A2274" s="29">
        <v>98</v>
      </c>
      <c r="B2274" s="30">
        <f>IF(22&lt;=DAY(DATE(YEAR(설정_코스수당!$K$2),MONTH(설정_코스수당!$K$2)+1,0)),DATE(YEAR(설정_코스수당!$K$2),MONTH(설정_코스수당!$K$2),22),"")</f>
        <v>46195</v>
      </c>
      <c r="C2274" s="31"/>
      <c r="D2274" s="29"/>
      <c r="E2274" s="29"/>
      <c r="F2274" s="32"/>
      <c r="G2274" s="29"/>
      <c r="H2274" s="29"/>
      <c r="I2274" s="29"/>
      <c r="J2274" s="33">
        <f>IF($O2274="방문완료",MAX(0,IFERROR(VLOOKUP($E2274,설정_코스수당!$A$6:$H$10,4,FALSE),0)-IF(OR($P2274="",$P2274="없음"),0,100000)),0)</f>
        <v>0</v>
      </c>
      <c r="K2274" s="33">
        <f t="array" ref="K2274">IF($O2274="방문완료",IFERROR(INDEX(설정_코스수당!$B$15:$F$64,MATCH($G2274,설정_코스수당!$A$15:$A$64,0),MATCH($E2274&amp;"수당",설정_코스수당!$B$14:$F$14,0)),0),0)</f>
        <v>0</v>
      </c>
      <c r="L2274" s="33">
        <f t="array" ref="L2274">IF($O2274="방문완료",IF($H2274="",0,IFERROR(INDEX(설정_코스수당!$B$15:$F$64,MATCH($H2274,설정_코스수당!$A$15:$A$64,0),MATCH($E2274&amp;"수당",설정_코스수당!$B$14:$F$14,0)),0)),0)</f>
        <v>0</v>
      </c>
      <c r="M2274" s="33">
        <f>IF($O2274="방문완료",IFERROR(VLOOKUP($E2274,설정_코스수당!$A$6:$H$10,6,FALSE),0),0)</f>
        <v>0</v>
      </c>
      <c r="N2274" s="34">
        <f t="shared" si="65"/>
        <v>0</v>
      </c>
      <c r="O2274" s="29"/>
      <c r="P2274" s="29"/>
      <c r="Q2274" s="29"/>
      <c r="R2274" s="32"/>
      <c r="S2274" s="29"/>
    </row>
    <row r="2275" spans="1:27" ht="19.5" hidden="1" customHeight="1" outlineLevel="1">
      <c r="A2275" s="23">
        <v>99</v>
      </c>
      <c r="B2275" s="24">
        <f>IF(22&lt;=DAY(DATE(YEAR(설정_코스수당!$K$2),MONTH(설정_코스수당!$K$2)+1,0)),DATE(YEAR(설정_코스수당!$K$2),MONTH(설정_코스수당!$K$2),22),"")</f>
        <v>46195</v>
      </c>
      <c r="C2275" s="25"/>
      <c r="D2275" s="23"/>
      <c r="E2275" s="23"/>
      <c r="F2275" s="26"/>
      <c r="G2275" s="23"/>
      <c r="H2275" s="23"/>
      <c r="I2275" s="23"/>
      <c r="J2275" s="27">
        <f>IF($O2275="방문완료",MAX(0,IFERROR(VLOOKUP($E2275,설정_코스수당!$A$6:$H$10,4,FALSE),0)-IF(OR($P2275="",$P2275="없음"),0,100000)),0)</f>
        <v>0</v>
      </c>
      <c r="K2275" s="27">
        <f t="array" ref="K2275">IF($O2275="방문완료",IFERROR(INDEX(설정_코스수당!$B$15:$F$64,MATCH($G2275,설정_코스수당!$A$15:$A$64,0),MATCH($E2275&amp;"수당",설정_코스수당!$B$14:$F$14,0)),0),0)</f>
        <v>0</v>
      </c>
      <c r="L2275" s="27">
        <f t="array" ref="L2275">IF($O2275="방문완료",IF($H2275="",0,IFERROR(INDEX(설정_코스수당!$B$15:$F$64,MATCH($H2275,설정_코스수당!$A$15:$A$64,0),MATCH($E2275&amp;"수당",설정_코스수당!$B$14:$F$14,0)),0)),0)</f>
        <v>0</v>
      </c>
      <c r="M2275" s="27">
        <f>IF($O2275="방문완료",IFERROR(VLOOKUP($E2275,설정_코스수당!$A$6:$H$10,6,FALSE),0),0)</f>
        <v>0</v>
      </c>
      <c r="N2275" s="28">
        <f t="shared" si="65"/>
        <v>0</v>
      </c>
      <c r="O2275" s="23"/>
      <c r="P2275" s="23"/>
      <c r="Q2275" s="23"/>
      <c r="R2275" s="26"/>
      <c r="S2275" s="23"/>
    </row>
    <row r="2276" spans="1:27" ht="19.5" hidden="1" customHeight="1" outlineLevel="1">
      <c r="A2276" s="29">
        <v>100</v>
      </c>
      <c r="B2276" s="30">
        <f>IF(22&lt;=DAY(DATE(YEAR(설정_코스수당!$K$2),MONTH(설정_코스수당!$K$2)+1,0)),DATE(YEAR(설정_코스수당!$K$2),MONTH(설정_코스수당!$K$2),22),"")</f>
        <v>46195</v>
      </c>
      <c r="C2276" s="31"/>
      <c r="D2276" s="29"/>
      <c r="E2276" s="29"/>
      <c r="F2276" s="32"/>
      <c r="G2276" s="29"/>
      <c r="H2276" s="29"/>
      <c r="I2276" s="29"/>
      <c r="J2276" s="33">
        <f>IF($O2276="방문완료",MAX(0,IFERROR(VLOOKUP($E2276,설정_코스수당!$A$6:$H$10,4,FALSE),0)-IF(OR($P2276="",$P2276="없음"),0,100000)),0)</f>
        <v>0</v>
      </c>
      <c r="K2276" s="33">
        <f t="array" ref="K2276">IF($O2276="방문완료",IFERROR(INDEX(설정_코스수당!$B$15:$F$64,MATCH($G2276,설정_코스수당!$A$15:$A$64,0),MATCH($E2276&amp;"수당",설정_코스수당!$B$14:$F$14,0)),0),0)</f>
        <v>0</v>
      </c>
      <c r="L2276" s="33">
        <f t="array" ref="L2276">IF($O2276="방문완료",IF($H2276="",0,IFERROR(INDEX(설정_코스수당!$B$15:$F$64,MATCH($H2276,설정_코스수당!$A$15:$A$64,0),MATCH($E2276&amp;"수당",설정_코스수당!$B$14:$F$14,0)),0)),0)</f>
        <v>0</v>
      </c>
      <c r="M2276" s="33">
        <f>IF($O2276="방문완료",IFERROR(VLOOKUP($E2276,설정_코스수당!$A$6:$H$10,6,FALSE),0),0)</f>
        <v>0</v>
      </c>
      <c r="N2276" s="34">
        <f t="shared" si="65"/>
        <v>0</v>
      </c>
      <c r="O2276" s="29"/>
      <c r="P2276" s="29"/>
      <c r="Q2276" s="29"/>
      <c r="R2276" s="32"/>
      <c r="S2276" s="29"/>
    </row>
    <row r="2277" spans="1:27" ht="19.5" hidden="1" customHeight="1" outlineLevel="1">
      <c r="A2277" s="36" t="s">
        <v>79</v>
      </c>
      <c r="B2277" s="37"/>
      <c r="C2277" s="38"/>
      <c r="D2277" s="37"/>
      <c r="E2277" s="37"/>
      <c r="F2277" s="37"/>
      <c r="G2277" s="37"/>
      <c r="H2277" s="37"/>
      <c r="I2277" s="37"/>
      <c r="J2277" s="37">
        <f>IF($O2277="방문완료",MAX(0,IFERROR(VLOOKUP($E2277,설정_코스수당!$A$6:$H$10,4,FALSE),0)-IF(OR($P2277="",$P2277="없음"),0,100000)),0)</f>
        <v>0</v>
      </c>
      <c r="O2277" s="18"/>
      <c r="P2277" s="14"/>
      <c r="Q2277" s="18"/>
      <c r="S2277" s="18"/>
    </row>
    <row r="2278" spans="1:27" ht="21" customHeight="1" collapsed="1">
      <c r="A2278" s="123" t="str">
        <f>IF(23&lt;=DAY(DATE(YEAR(설정_코스수당!$K$2),MONTH(설정_코스수당!$K$2)+1,0)),TEXT(DATE(YEAR(설정_코스수당!$K$2),MONTH(설정_코스수당!$K$2),23),"yyyy-mm-dd")&amp;"  |  예약관리 100슬롯","")</f>
        <v>2026-06-23  |  예약관리 100슬롯</v>
      </c>
      <c r="B2278" s="124"/>
      <c r="C2278" s="124"/>
      <c r="D2278" s="124"/>
      <c r="E2278" s="124"/>
      <c r="F2278" s="124"/>
      <c r="G2278" s="124"/>
      <c r="H2278" s="124"/>
      <c r="I2278" s="124"/>
      <c r="J2278" s="124"/>
      <c r="K2278" s="124"/>
      <c r="L2278" s="124"/>
      <c r="M2278" s="124"/>
      <c r="N2278" s="124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  <c r="AA2278" s="19"/>
    </row>
    <row r="2279" spans="1:27" ht="19.5" hidden="1" customHeight="1" outlineLevel="1">
      <c r="A2279" s="20" t="s">
        <v>41</v>
      </c>
      <c r="B2279" s="20" t="s">
        <v>42</v>
      </c>
      <c r="C2279" s="39" t="s">
        <v>43</v>
      </c>
      <c r="D2279" s="20" t="s">
        <v>44</v>
      </c>
      <c r="E2279" s="20" t="s">
        <v>45</v>
      </c>
      <c r="F2279" s="20" t="s">
        <v>46</v>
      </c>
      <c r="G2279" s="20" t="s">
        <v>47</v>
      </c>
      <c r="H2279" s="20" t="s">
        <v>48</v>
      </c>
      <c r="I2279" s="20" t="s">
        <v>49</v>
      </c>
      <c r="J2279" s="20" t="s">
        <v>50</v>
      </c>
      <c r="K2279" s="20" t="s">
        <v>51</v>
      </c>
      <c r="L2279" s="20" t="s">
        <v>52</v>
      </c>
      <c r="M2279" s="20" t="s">
        <v>53</v>
      </c>
      <c r="N2279" s="20" t="s">
        <v>54</v>
      </c>
      <c r="O2279" s="20" t="s">
        <v>55</v>
      </c>
      <c r="P2279" s="20" t="s">
        <v>56</v>
      </c>
      <c r="Q2279" s="18"/>
      <c r="R2279" s="20" t="s">
        <v>58</v>
      </c>
      <c r="S2279" s="20" t="s">
        <v>59</v>
      </c>
      <c r="U2279" s="122" t="str">
        <f>IF(23&lt;=DAY(DATE(YEAR(설정_코스수당!$K$2),MONTH(설정_코스수당!$K$2)+1,0)),TEXT(DATE(YEAR(설정_코스수당!$K$2),MONTH(설정_코스수당!$K$2),23),"yyyy-mm-dd")&amp;" 일일 상태","")</f>
        <v>2026-06-23 일일 상태</v>
      </c>
      <c r="V2279" s="125"/>
      <c r="W2279" s="122" t="s">
        <v>3</v>
      </c>
      <c r="X2279" s="125"/>
    </row>
    <row r="2280" spans="1:27" ht="19.5" hidden="1" customHeight="1" outlineLevel="1">
      <c r="A2280" s="23">
        <v>1</v>
      </c>
      <c r="B2280" s="24">
        <f>IF(23&lt;=DAY(DATE(YEAR(설정_코스수당!$K$2),MONTH(설정_코스수당!$K$2)+1,0)),DATE(YEAR(설정_코스수당!$K$2),MONTH(설정_코스수당!$K$2),23),"")</f>
        <v>46196</v>
      </c>
      <c r="C2280" s="25"/>
      <c r="D2280" s="23"/>
      <c r="E2280" s="23"/>
      <c r="F2280" s="26"/>
      <c r="G2280" s="23"/>
      <c r="H2280" s="23"/>
      <c r="I2280" s="23"/>
      <c r="J2280" s="27">
        <f>IF($O2280="방문완료",MAX(0,IFERROR(VLOOKUP($E2280,설정_코스수당!$A$6:$H$10,4,FALSE),0)-IF(OR($P2280="",$P2280="없음"),0,100000)),0)</f>
        <v>0</v>
      </c>
      <c r="K2280" s="27">
        <f t="array" ref="K2280">IF($O2280="방문완료",IFERROR(INDEX(설정_코스수당!$B$15:$F$64,MATCH($G2280,설정_코스수당!$A$15:$A$64,0),MATCH($E2280&amp;"수당",설정_코스수당!$B$14:$F$14,0)),0),0)</f>
        <v>0</v>
      </c>
      <c r="L2280" s="27">
        <f t="array" ref="L2280">IF($O2280="방문완료",IF($H2280="",0,IFERROR(INDEX(설정_코스수당!$B$15:$F$64,MATCH($H2280,설정_코스수당!$A$15:$A$64,0),MATCH($E2280&amp;"수당",설정_코스수당!$B$14:$F$14,0)),0)),0)</f>
        <v>0</v>
      </c>
      <c r="M2280" s="27">
        <f>IF($O2280="방문완료",IFERROR(VLOOKUP($E2280,설정_코스수당!$A$6:$H$10,6,FALSE),0),0)</f>
        <v>0</v>
      </c>
      <c r="N2280" s="28">
        <f t="shared" ref="N2280:N2311" si="66">IF($O2280="방문완료",1,0)</f>
        <v>0</v>
      </c>
      <c r="O2280" s="23"/>
      <c r="P2280" s="23"/>
      <c r="Q2280" s="23"/>
      <c r="R2280" s="26"/>
      <c r="S2280" s="23"/>
      <c r="U2280" s="104" t="s">
        <v>63</v>
      </c>
      <c r="V2280" s="105">
        <f>IF(23&lt;=DAY(DATE(YEAR(설정_코스수당!$K$2),MONTH(설정_코스수당!$K$2)+1,0)),COUNTIFS($B:$B,DATE(YEAR(설정_코스수당!$K$2),MONTH(설정_코스수당!$K$2),23),$O:$O,"&lt;&gt;"),"")</f>
        <v>0</v>
      </c>
      <c r="W2280" s="104" t="s">
        <v>6</v>
      </c>
      <c r="X2280" s="105">
        <f>IF(23&lt;=DAY(DATE(YEAR(설정_코스수당!$K$2),MONTH(설정_코스수당!$K$2)+1,0)),COUNTIFS($B:$B,DATE(YEAR(설정_코스수당!$K$2),MONTH(설정_코스수당!$K$2),23),$E:$E,"A",$O:$O,"방문완료"),"")</f>
        <v>0</v>
      </c>
    </row>
    <row r="2281" spans="1:27" ht="19.5" hidden="1" customHeight="1" outlineLevel="1">
      <c r="A2281" s="29">
        <v>2</v>
      </c>
      <c r="B2281" s="30">
        <f>IF(23&lt;=DAY(DATE(YEAR(설정_코스수당!$K$2),MONTH(설정_코스수당!$K$2)+1,0)),DATE(YEAR(설정_코스수당!$K$2),MONTH(설정_코스수당!$K$2),23),"")</f>
        <v>46196</v>
      </c>
      <c r="C2281" s="31"/>
      <c r="D2281" s="29"/>
      <c r="E2281" s="29"/>
      <c r="F2281" s="32"/>
      <c r="G2281" s="29"/>
      <c r="H2281" s="29"/>
      <c r="I2281" s="29"/>
      <c r="J2281" s="33">
        <f>IF($O2281="방문완료",MAX(0,IFERROR(VLOOKUP($E2281,설정_코스수당!$A$6:$H$10,4,FALSE),0)-IF(OR($P2281="",$P2281="없음"),0,100000)),0)</f>
        <v>0</v>
      </c>
      <c r="K2281" s="33">
        <f t="array" ref="K2281">IF($O2281="방문완료",IFERROR(INDEX(설정_코스수당!$B$15:$F$64,MATCH($G2281,설정_코스수당!$A$15:$A$64,0),MATCH($E2281&amp;"수당",설정_코스수당!$B$14:$F$14,0)),0),0)</f>
        <v>0</v>
      </c>
      <c r="L2281" s="33">
        <f t="array" ref="L2281">IF($O2281="방문완료",IF($H2281="",0,IFERROR(INDEX(설정_코스수당!$B$15:$F$64,MATCH($H2281,설정_코스수당!$A$15:$A$64,0),MATCH($E2281&amp;"수당",설정_코스수당!$B$14:$F$14,0)),0)),0)</f>
        <v>0</v>
      </c>
      <c r="M2281" s="33">
        <f>IF($O2281="방문완료",IFERROR(VLOOKUP($E2281,설정_코스수당!$A$6:$H$10,6,FALSE),0),0)</f>
        <v>0</v>
      </c>
      <c r="N2281" s="34">
        <f t="shared" si="66"/>
        <v>0</v>
      </c>
      <c r="O2281" s="29"/>
      <c r="P2281" s="29"/>
      <c r="Q2281" s="29"/>
      <c r="R2281" s="32"/>
      <c r="S2281" s="29"/>
      <c r="U2281" s="104" t="s">
        <v>62</v>
      </c>
      <c r="V2281" s="105">
        <f>IF(23&lt;=DAY(DATE(YEAR(설정_코스수당!$K$2),MONTH(설정_코스수당!$K$2)+1,0)),COUNTIFS($B:$B,DATE(YEAR(설정_코스수당!$K$2),MONTH(설정_코스수당!$K$2),23),$O:$O,"방문완료"),"")</f>
        <v>0</v>
      </c>
      <c r="W2281" s="104" t="s">
        <v>9</v>
      </c>
      <c r="X2281" s="105">
        <f>IF(23&lt;=DAY(DATE(YEAR(설정_코스수당!$K$2),MONTH(설정_코스수당!$K$2)+1,0)),COUNTIFS($B:$B,DATE(YEAR(설정_코스수당!$K$2),MONTH(설정_코스수당!$K$2),23),$E:$E,"B",$O:$O,"방문완료"),"")</f>
        <v>0</v>
      </c>
    </row>
    <row r="2282" spans="1:27" ht="19.5" hidden="1" customHeight="1" outlineLevel="1">
      <c r="A2282" s="23">
        <v>3</v>
      </c>
      <c r="B2282" s="24">
        <f>IF(23&lt;=DAY(DATE(YEAR(설정_코스수당!$K$2),MONTH(설정_코스수당!$K$2)+1,0)),DATE(YEAR(설정_코스수당!$K$2),MONTH(설정_코스수당!$K$2),23),"")</f>
        <v>46196</v>
      </c>
      <c r="C2282" s="25"/>
      <c r="D2282" s="23"/>
      <c r="E2282" s="23"/>
      <c r="F2282" s="26"/>
      <c r="G2282" s="23"/>
      <c r="H2282" s="23"/>
      <c r="I2282" s="23"/>
      <c r="J2282" s="27">
        <f>IF($O2282="방문완료",MAX(0,IFERROR(VLOOKUP($E2282,설정_코스수당!$A$6:$H$10,4,FALSE),0)-IF(OR($P2282="",$P2282="없음"),0,100000)),0)</f>
        <v>0</v>
      </c>
      <c r="K2282" s="27">
        <f t="array" ref="K2282">IF($O2282="방문완료",IFERROR(INDEX(설정_코스수당!$B$15:$F$64,MATCH($G2282,설정_코스수당!$A$15:$A$64,0),MATCH($E2282&amp;"수당",설정_코스수당!$B$14:$F$14,0)),0),0)</f>
        <v>0</v>
      </c>
      <c r="L2282" s="27">
        <f t="array" ref="L2282">IF($O2282="방문완료",IF($H2282="",0,IFERROR(INDEX(설정_코스수당!$B$15:$F$64,MATCH($H2282,설정_코스수당!$A$15:$A$64,0),MATCH($E2282&amp;"수당",설정_코스수당!$B$14:$F$14,0)),0)),0)</f>
        <v>0</v>
      </c>
      <c r="M2282" s="27">
        <f>IF($O2282="방문완료",IFERROR(VLOOKUP($E2282,설정_코스수당!$A$6:$H$10,6,FALSE),0),0)</f>
        <v>0</v>
      </c>
      <c r="N2282" s="28">
        <f t="shared" si="66"/>
        <v>0</v>
      </c>
      <c r="O2282" s="23"/>
      <c r="P2282" s="23"/>
      <c r="Q2282" s="23"/>
      <c r="R2282" s="26"/>
      <c r="S2282" s="23"/>
      <c r="U2282" s="104" t="s">
        <v>68</v>
      </c>
      <c r="V2282" s="105" t="str">
        <f>IF(23&lt;=DAY(DATE(YEAR(설정_코스수당!$K$2),MONTH(설정_코스수당!$K$2)+1,0)),COUNTIFS($B:$B,DATE(YEAR(설정_코스수당!$K$2),MONTH(설정_코스수당!$K$2),23),$O:$O,"노쇼")&amp;"/"&amp;COUNTIFS($B:$B,DATE(YEAR(설정_코스수당!$K$2),MONTH(설정_코스수당!$K$2),23),$O:$O,"취소"),"")</f>
        <v>0/0</v>
      </c>
      <c r="W2282" s="104" t="s">
        <v>12</v>
      </c>
      <c r="X2282" s="105">
        <f>IF(23&lt;=DAY(DATE(YEAR(설정_코스수당!$K$2),MONTH(설정_코스수당!$K$2)+1,0)),COUNTIFS($B:$B,DATE(YEAR(설정_코스수당!$K$2),MONTH(설정_코스수당!$K$2),23),$E:$E,"C",$O:$O,"방문완료"),"")</f>
        <v>0</v>
      </c>
    </row>
    <row r="2283" spans="1:27" ht="19.5" hidden="1" customHeight="1" outlineLevel="1">
      <c r="A2283" s="29">
        <v>4</v>
      </c>
      <c r="B2283" s="30">
        <f>IF(23&lt;=DAY(DATE(YEAR(설정_코스수당!$K$2),MONTH(설정_코스수당!$K$2)+1,0)),DATE(YEAR(설정_코스수당!$K$2),MONTH(설정_코스수당!$K$2),23),"")</f>
        <v>46196</v>
      </c>
      <c r="C2283" s="31"/>
      <c r="D2283" s="29"/>
      <c r="E2283" s="29"/>
      <c r="F2283" s="32"/>
      <c r="G2283" s="29"/>
      <c r="H2283" s="29"/>
      <c r="I2283" s="29"/>
      <c r="J2283" s="33">
        <f>IF($O2283="방문완료",MAX(0,IFERROR(VLOOKUP($E2283,설정_코스수당!$A$6:$H$10,4,FALSE),0)-IF(OR($P2283="",$P2283="없음"),0,100000)),0)</f>
        <v>0</v>
      </c>
      <c r="K2283" s="33">
        <f t="array" ref="K2283">IF($O2283="방문완료",IFERROR(INDEX(설정_코스수당!$B$15:$F$64,MATCH($G2283,설정_코스수당!$A$15:$A$64,0),MATCH($E2283&amp;"수당",설정_코스수당!$B$14:$F$14,0)),0),0)</f>
        <v>0</v>
      </c>
      <c r="L2283" s="33">
        <f t="array" ref="L2283">IF($O2283="방문완료",IF($H2283="",0,IFERROR(INDEX(설정_코스수당!$B$15:$F$64,MATCH($H2283,설정_코스수당!$A$15:$A$64,0),MATCH($E2283&amp;"수당",설정_코스수당!$B$14:$F$14,0)),0)),0)</f>
        <v>0</v>
      </c>
      <c r="M2283" s="33">
        <f>IF($O2283="방문완료",IFERROR(VLOOKUP($E2283,설정_코스수당!$A$6:$H$10,6,FALSE),0),0)</f>
        <v>0</v>
      </c>
      <c r="N2283" s="34">
        <f t="shared" si="66"/>
        <v>0</v>
      </c>
      <c r="O2283" s="29"/>
      <c r="P2283" s="29"/>
      <c r="Q2283" s="29"/>
      <c r="R2283" s="32"/>
      <c r="S2283" s="29"/>
      <c r="U2283" s="104" t="s">
        <v>69</v>
      </c>
      <c r="V2283" s="106">
        <f>IF(23&lt;=DAY(DATE(YEAR(설정_코스수당!$K$2),MONTH(설정_코스수당!$K$2)+1,0)),SUMIFS($J:$J,$B:$B,DATE(YEAR(설정_코스수당!$K$2),MONTH(설정_코스수당!$K$2),23),$O:$O,"방문완료"),"")</f>
        <v>0</v>
      </c>
      <c r="W2283" s="104" t="s">
        <v>15</v>
      </c>
      <c r="X2283" s="105">
        <f>IF(23&lt;=DAY(DATE(YEAR(설정_코스수당!$K$2),MONTH(설정_코스수당!$K$2)+1,0)),COUNTIFS($B:$B,DATE(YEAR(설정_코스수당!$K$2),MONTH(설정_코스수당!$K$2),23),$E:$E,"D",$O:$O,"방문완료"),"")</f>
        <v>0</v>
      </c>
    </row>
    <row r="2284" spans="1:27" ht="19.5" hidden="1" customHeight="1" outlineLevel="1">
      <c r="A2284" s="23">
        <v>5</v>
      </c>
      <c r="B2284" s="24">
        <f>IF(23&lt;=DAY(DATE(YEAR(설정_코스수당!$K$2),MONTH(설정_코스수당!$K$2)+1,0)),DATE(YEAR(설정_코스수당!$K$2),MONTH(설정_코스수당!$K$2),23),"")</f>
        <v>46196</v>
      </c>
      <c r="C2284" s="25"/>
      <c r="D2284" s="23"/>
      <c r="E2284" s="23"/>
      <c r="F2284" s="26"/>
      <c r="G2284" s="23"/>
      <c r="H2284" s="23"/>
      <c r="I2284" s="23"/>
      <c r="J2284" s="27">
        <f>IF($O2284="방문완료",MAX(0,IFERROR(VLOOKUP($E2284,설정_코스수당!$A$6:$H$10,4,FALSE),0)-IF(OR($P2284="",$P2284="없음"),0,100000)),0)</f>
        <v>0</v>
      </c>
      <c r="K2284" s="27">
        <f t="array" ref="K2284">IF($O2284="방문완료",IFERROR(INDEX(설정_코스수당!$B$15:$F$64,MATCH($G2284,설정_코스수당!$A$15:$A$64,0),MATCH($E2284&amp;"수당",설정_코스수당!$B$14:$F$14,0)),0),0)</f>
        <v>0</v>
      </c>
      <c r="L2284" s="27">
        <f t="array" ref="L2284">IF($O2284="방문완료",IF($H2284="",0,IFERROR(INDEX(설정_코스수당!$B$15:$F$64,MATCH($H2284,설정_코스수당!$A$15:$A$64,0),MATCH($E2284&amp;"수당",설정_코스수당!$B$14:$F$14,0)),0)),0)</f>
        <v>0</v>
      </c>
      <c r="M2284" s="27">
        <f>IF($O2284="방문완료",IFERROR(VLOOKUP($E2284,설정_코스수당!$A$6:$H$10,6,FALSE),0),0)</f>
        <v>0</v>
      </c>
      <c r="N2284" s="28">
        <f t="shared" si="66"/>
        <v>0</v>
      </c>
      <c r="O2284" s="23"/>
      <c r="P2284" s="23"/>
      <c r="Q2284" s="23"/>
      <c r="R2284" s="26"/>
      <c r="S2284" s="23"/>
      <c r="U2284" s="104" t="s">
        <v>70</v>
      </c>
      <c r="V2284" s="106">
        <f>IF(23&lt;=DAY(DATE(YEAR(설정_코스수당!$K$2),MONTH(설정_코스수당!$K$2)+1,0)),SUMIFS($K:$K,$B:$B,DATE(YEAR(설정_코스수당!$K$2),MONTH(설정_코스수당!$K$2),23),$O:$O,"방문완료")+SUMIFS($L:$L,$B:$B,DATE(YEAR(설정_코스수당!$K$2),MONTH(설정_코스수당!$K$2),23),$O:$O,"방문완료"),"")</f>
        <v>0</v>
      </c>
      <c r="W2284" s="104" t="s">
        <v>18</v>
      </c>
      <c r="X2284" s="105">
        <f>IF(23&lt;=DAY(DATE(YEAR(설정_코스수당!$K$2),MONTH(설정_코스수당!$K$2)+1,0)),COUNTIFS($B:$B,DATE(YEAR(설정_코스수당!$K$2),MONTH(설정_코스수당!$K$2),23),$E:$E,"E",$O:$O,"방문완료"),"")</f>
        <v>0</v>
      </c>
    </row>
    <row r="2285" spans="1:27" ht="19.5" hidden="1" customHeight="1" outlineLevel="1">
      <c r="A2285" s="29">
        <v>6</v>
      </c>
      <c r="B2285" s="30">
        <f>IF(23&lt;=DAY(DATE(YEAR(설정_코스수당!$K$2),MONTH(설정_코스수당!$K$2)+1,0)),DATE(YEAR(설정_코스수당!$K$2),MONTH(설정_코스수당!$K$2),23),"")</f>
        <v>46196</v>
      </c>
      <c r="C2285" s="31"/>
      <c r="D2285" s="29"/>
      <c r="E2285" s="29"/>
      <c r="F2285" s="32"/>
      <c r="G2285" s="29"/>
      <c r="H2285" s="29"/>
      <c r="I2285" s="29"/>
      <c r="J2285" s="33">
        <f>IF($O2285="방문완료",MAX(0,IFERROR(VLOOKUP($E2285,설정_코스수당!$A$6:$H$10,4,FALSE),0)-IF(OR($P2285="",$P2285="없음"),0,100000)),0)</f>
        <v>0</v>
      </c>
      <c r="K2285" s="33">
        <f t="array" ref="K2285">IF($O2285="방문완료",IFERROR(INDEX(설정_코스수당!$B$15:$F$64,MATCH($G2285,설정_코스수당!$A$15:$A$64,0),MATCH($E2285&amp;"수당",설정_코스수당!$B$14:$F$14,0)),0),0)</f>
        <v>0</v>
      </c>
      <c r="L2285" s="33">
        <f t="array" ref="L2285">IF($O2285="방문완료",IF($H2285="",0,IFERROR(INDEX(설정_코스수당!$B$15:$F$64,MATCH($H2285,설정_코스수당!$A$15:$A$64,0),MATCH($E2285&amp;"수당",설정_코스수당!$B$14:$F$14,0)),0)),0)</f>
        <v>0</v>
      </c>
      <c r="M2285" s="33">
        <f>IF($O2285="방문완료",IFERROR(VLOOKUP($E2285,설정_코스수당!$A$6:$H$10,6,FALSE),0),0)</f>
        <v>0</v>
      </c>
      <c r="N2285" s="34">
        <f t="shared" si="66"/>
        <v>0</v>
      </c>
      <c r="O2285" s="29"/>
      <c r="P2285" s="29"/>
      <c r="Q2285" s="29"/>
      <c r="R2285" s="32"/>
      <c r="S2285" s="29"/>
      <c r="U2285" s="104" t="s">
        <v>53</v>
      </c>
      <c r="V2285" s="106">
        <f>IF(23&lt;=DAY(DATE(YEAR(설정_코스수당!$K$2),MONTH(설정_코스수당!$K$2)+1,0)),SUMIFS($M:$M,$B:$B,DATE(YEAR(설정_코스수당!$K$2),MONTH(설정_코스수당!$K$2),23),$O:$O,"방문완료"),"")</f>
        <v>0</v>
      </c>
      <c r="W2285" s="104" t="s">
        <v>71</v>
      </c>
      <c r="X2285" s="107">
        <f>IF(23&lt;=DAY(DATE(YEAR(설정_코스수당!$K$2),MONTH(설정_코스수당!$K$2)+1,0)),COUNTIFS($B:$B,DATE(YEAR(설정_코스수당!$K$2),MONTH(설정_코스수당!$K$2),23),$O:$O,"방문완료",$P:$P,"&lt;&gt;",$P:$P,"&lt;&gt;없음"),"")</f>
        <v>0</v>
      </c>
    </row>
    <row r="2286" spans="1:27" ht="19.5" hidden="1" customHeight="1" outlineLevel="1">
      <c r="A2286" s="23">
        <v>7</v>
      </c>
      <c r="B2286" s="24">
        <f>IF(23&lt;=DAY(DATE(YEAR(설정_코스수당!$K$2),MONTH(설정_코스수당!$K$2)+1,0)),DATE(YEAR(설정_코스수당!$K$2),MONTH(설정_코스수당!$K$2),23),"")</f>
        <v>46196</v>
      </c>
      <c r="C2286" s="25"/>
      <c r="D2286" s="23"/>
      <c r="E2286" s="23"/>
      <c r="F2286" s="26"/>
      <c r="G2286" s="23"/>
      <c r="H2286" s="23"/>
      <c r="I2286" s="23"/>
      <c r="J2286" s="27">
        <f>IF($O2286="방문완료",MAX(0,IFERROR(VLOOKUP($E2286,설정_코스수당!$A$6:$H$10,4,FALSE),0)-IF(OR($P2286="",$P2286="없음"),0,100000)),0)</f>
        <v>0</v>
      </c>
      <c r="K2286" s="27">
        <f t="array" ref="K2286">IF($O2286="방문완료",IFERROR(INDEX(설정_코스수당!$B$15:$F$64,MATCH($G2286,설정_코스수당!$A$15:$A$64,0),MATCH($E2286&amp;"수당",설정_코스수당!$B$14:$F$14,0)),0),0)</f>
        <v>0</v>
      </c>
      <c r="L2286" s="27">
        <f t="array" ref="L2286">IF($O2286="방문완료",IF($H2286="",0,IFERROR(INDEX(설정_코스수당!$B$15:$F$64,MATCH($H2286,설정_코스수당!$A$15:$A$64,0),MATCH($E2286&amp;"수당",설정_코스수당!$B$14:$F$14,0)),0)),0)</f>
        <v>0</v>
      </c>
      <c r="M2286" s="27">
        <f>IF($O2286="방문완료",IFERROR(VLOOKUP($E2286,설정_코스수당!$A$6:$H$10,6,FALSE),0),0)</f>
        <v>0</v>
      </c>
      <c r="N2286" s="28">
        <f t="shared" si="66"/>
        <v>0</v>
      </c>
      <c r="O2286" s="23"/>
      <c r="P2286" s="23"/>
      <c r="Q2286" s="23"/>
      <c r="R2286" s="26"/>
      <c r="S2286" s="23"/>
      <c r="U2286" s="104" t="s">
        <v>72</v>
      </c>
      <c r="V2286" s="108">
        <f>IF(23&lt;=DAY(DATE(YEAR(설정_코스수당!$K$2),MONTH(설정_코스수당!$K$2)+1,0)),COUNTIFS($B:$B,DATE(YEAR(설정_코스수당!$K$2),MONTH(설정_코스수당!$K$2),23),$O:$O,"방문완료",$P:$P,"&lt;&gt;",$P:$P,"&lt;&gt;없음")*100000,"")</f>
        <v>0</v>
      </c>
      <c r="W2286" s="104" t="s">
        <v>73</v>
      </c>
      <c r="X2286" s="105">
        <f>IF(23&lt;=DAY(DATE(YEAR(설정_코스수당!$K$2),MONTH(설정_코스수당!$K$2)+1,0)),COUNTIFS($B:$B,DATE(YEAR(설정_코스수당!$K$2),MONTH(설정_코스수당!$K$2),23),$G:$G,"&lt;&gt;",$O:$O,"방문완료")+COUNTIFS($B:$B,DATE(YEAR(설정_코스수당!$K$2),MONTH(설정_코스수당!$K$2),23),$H:$H,"&lt;&gt;",$O:$O,"방문완료"),"")</f>
        <v>0</v>
      </c>
    </row>
    <row r="2287" spans="1:27" ht="19.5" hidden="1" customHeight="1" outlineLevel="1">
      <c r="A2287" s="29">
        <v>8</v>
      </c>
      <c r="B2287" s="30">
        <f>IF(23&lt;=DAY(DATE(YEAR(설정_코스수당!$K$2),MONTH(설정_코스수당!$K$2)+1,0)),DATE(YEAR(설정_코스수당!$K$2),MONTH(설정_코스수당!$K$2),23),"")</f>
        <v>46196</v>
      </c>
      <c r="C2287" s="31"/>
      <c r="D2287" s="29"/>
      <c r="E2287" s="29"/>
      <c r="F2287" s="32"/>
      <c r="G2287" s="29"/>
      <c r="H2287" s="29"/>
      <c r="I2287" s="29"/>
      <c r="J2287" s="33">
        <f>IF($O2287="방문완료",MAX(0,IFERROR(VLOOKUP($E2287,설정_코스수당!$A$6:$H$10,4,FALSE),0)-IF(OR($P2287="",$P2287="없음"),0,100000)),0)</f>
        <v>0</v>
      </c>
      <c r="K2287" s="33">
        <f t="array" ref="K2287">IF($O2287="방문완료",IFERROR(INDEX(설정_코스수당!$B$15:$F$64,MATCH($G2287,설정_코스수당!$A$15:$A$64,0),MATCH($E2287&amp;"수당",설정_코스수당!$B$14:$F$14,0)),0),0)</f>
        <v>0</v>
      </c>
      <c r="L2287" s="33">
        <f t="array" ref="L2287">IF($O2287="방문완료",IF($H2287="",0,IFERROR(INDEX(설정_코스수당!$B$15:$F$64,MATCH($H2287,설정_코스수당!$A$15:$A$64,0),MATCH($E2287&amp;"수당",설정_코스수당!$B$14:$F$14,0)),0)),0)</f>
        <v>0</v>
      </c>
      <c r="M2287" s="33">
        <f>IF($O2287="방문완료",IFERROR(VLOOKUP($E2287,설정_코스수당!$A$6:$H$10,6,FALSE),0),0)</f>
        <v>0</v>
      </c>
      <c r="N2287" s="34">
        <f t="shared" si="66"/>
        <v>0</v>
      </c>
      <c r="O2287" s="29"/>
      <c r="P2287" s="29"/>
      <c r="Q2287" s="29"/>
      <c r="R2287" s="32"/>
      <c r="S2287" s="29"/>
      <c r="U2287" s="104" t="s">
        <v>74</v>
      </c>
      <c r="V2287" s="108">
        <f>IF(23&lt;=DAY(DATE(YEAR(설정_코스수당!$K$2),MONTH(설정_코스수당!$K$2)+1,0)),SUM($U$2291:$U$2298),"")</f>
        <v>0</v>
      </c>
      <c r="W2287" s="122" t="str">
        <f>IF(23&lt;=DAY(DATE(YEAR(설정_코스수당!$K$2),MONTH(설정_코스수당!$K$2)+1,0)),"계 : "&amp;TEXT(V2283-V2287,"#,##0")&amp;" 동","")</f>
        <v>계 : 0 동</v>
      </c>
      <c r="X2287" s="122"/>
    </row>
    <row r="2288" spans="1:27" ht="19.5" hidden="1" customHeight="1" outlineLevel="1">
      <c r="A2288" s="23">
        <v>9</v>
      </c>
      <c r="B2288" s="24">
        <f>IF(23&lt;=DAY(DATE(YEAR(설정_코스수당!$K$2),MONTH(설정_코스수당!$K$2)+1,0)),DATE(YEAR(설정_코스수당!$K$2),MONTH(설정_코스수당!$K$2),23),"")</f>
        <v>46196</v>
      </c>
      <c r="C2288" s="25"/>
      <c r="D2288" s="23"/>
      <c r="E2288" s="23"/>
      <c r="F2288" s="26"/>
      <c r="G2288" s="23"/>
      <c r="H2288" s="23"/>
      <c r="I2288" s="23"/>
      <c r="J2288" s="27">
        <f>IF($O2288="방문완료",MAX(0,IFERROR(VLOOKUP($E2288,설정_코스수당!$A$6:$H$10,4,FALSE),0)-IF(OR($P2288="",$P2288="없음"),0,100000)),0)</f>
        <v>0</v>
      </c>
      <c r="K2288" s="27">
        <f t="array" ref="K2288">IF($O2288="방문완료",IFERROR(INDEX(설정_코스수당!$B$15:$F$64,MATCH($G2288,설정_코스수당!$A$15:$A$64,0),MATCH($E2288&amp;"수당",설정_코스수당!$B$14:$F$14,0)),0),0)</f>
        <v>0</v>
      </c>
      <c r="L2288" s="27">
        <f t="array" ref="L2288">IF($O2288="방문완료",IF($H2288="",0,IFERROR(INDEX(설정_코스수당!$B$15:$F$64,MATCH($H2288,설정_코스수당!$A$15:$A$64,0),MATCH($E2288&amp;"수당",설정_코스수당!$B$14:$F$14,0)),0)),0)</f>
        <v>0</v>
      </c>
      <c r="M2288" s="27">
        <f>IF($O2288="방문완료",IFERROR(VLOOKUP($E2288,설정_코스수당!$A$6:$H$10,6,FALSE),0),0)</f>
        <v>0</v>
      </c>
      <c r="N2288" s="28">
        <f t="shared" si="66"/>
        <v>0</v>
      </c>
      <c r="O2288" s="23"/>
      <c r="P2288" s="23"/>
      <c r="Q2288" s="23"/>
      <c r="R2288" s="26"/>
      <c r="S2288" s="23"/>
    </row>
    <row r="2289" spans="1:24" ht="19.5" hidden="1" customHeight="1" outlineLevel="1">
      <c r="A2289" s="29">
        <v>10</v>
      </c>
      <c r="B2289" s="30">
        <f>IF(23&lt;=DAY(DATE(YEAR(설정_코스수당!$K$2),MONTH(설정_코스수당!$K$2)+1,0)),DATE(YEAR(설정_코스수당!$K$2),MONTH(설정_코스수당!$K$2),23),"")</f>
        <v>46196</v>
      </c>
      <c r="C2289" s="31"/>
      <c r="D2289" s="29"/>
      <c r="E2289" s="29"/>
      <c r="F2289" s="32"/>
      <c r="G2289" s="29"/>
      <c r="H2289" s="29"/>
      <c r="I2289" s="29"/>
      <c r="J2289" s="33">
        <f>IF($O2289="방문완료",MAX(0,IFERROR(VLOOKUP($E2289,설정_코스수당!$A$6:$H$10,4,FALSE),0)-IF(OR($P2289="",$P2289="없음"),0,100000)),0)</f>
        <v>0</v>
      </c>
      <c r="K2289" s="33">
        <f t="array" ref="K2289">IF($O2289="방문완료",IFERROR(INDEX(설정_코스수당!$B$15:$F$64,MATCH($G2289,설정_코스수당!$A$15:$A$64,0),MATCH($E2289&amp;"수당",설정_코스수당!$B$14:$F$14,0)),0),0)</f>
        <v>0</v>
      </c>
      <c r="L2289" s="33">
        <f t="array" ref="L2289">IF($O2289="방문완료",IF($H2289="",0,IFERROR(INDEX(설정_코스수당!$B$15:$F$64,MATCH($H2289,설정_코스수당!$A$15:$A$64,0),MATCH($E2289&amp;"수당",설정_코스수당!$B$14:$F$14,0)),0)),0)</f>
        <v>0</v>
      </c>
      <c r="M2289" s="33">
        <f>IF($O2289="방문완료",IFERROR(VLOOKUP($E2289,설정_코스수당!$A$6:$H$10,6,FALSE),0),0)</f>
        <v>0</v>
      </c>
      <c r="N2289" s="34">
        <f t="shared" si="66"/>
        <v>0</v>
      </c>
      <c r="O2289" s="29"/>
      <c r="P2289" s="29"/>
      <c r="Q2289" s="29"/>
      <c r="R2289" s="32"/>
      <c r="S2289" s="29"/>
      <c r="U2289" s="120" t="s">
        <v>75</v>
      </c>
      <c r="V2289" s="121"/>
      <c r="W2289" s="121"/>
      <c r="X2289" s="121"/>
    </row>
    <row r="2290" spans="1:24" ht="19.5" hidden="1" customHeight="1" outlineLevel="1">
      <c r="A2290" s="23">
        <v>11</v>
      </c>
      <c r="B2290" s="24">
        <f>IF(23&lt;=DAY(DATE(YEAR(설정_코스수당!$K$2),MONTH(설정_코스수당!$K$2)+1,0)),DATE(YEAR(설정_코스수당!$K$2),MONTH(설정_코스수당!$K$2),23),"")</f>
        <v>46196</v>
      </c>
      <c r="C2290" s="25"/>
      <c r="D2290" s="23"/>
      <c r="E2290" s="23"/>
      <c r="F2290" s="26"/>
      <c r="G2290" s="23"/>
      <c r="H2290" s="23"/>
      <c r="I2290" s="23"/>
      <c r="J2290" s="27">
        <f>IF($O2290="방문완료",MAX(0,IFERROR(VLOOKUP($E2290,설정_코스수당!$A$6:$H$10,4,FALSE),0)-IF(OR($P2290="",$P2290="없음"),0,100000)),0)</f>
        <v>0</v>
      </c>
      <c r="K2290" s="27">
        <f t="array" ref="K2290">IF($O2290="방문완료",IFERROR(INDEX(설정_코스수당!$B$15:$F$64,MATCH($G2290,설정_코스수당!$A$15:$A$64,0),MATCH($E2290&amp;"수당",설정_코스수당!$B$14:$F$14,0)),0),0)</f>
        <v>0</v>
      </c>
      <c r="L2290" s="27">
        <f t="array" ref="L2290">IF($O2290="방문완료",IF($H2290="",0,IFERROR(INDEX(설정_코스수당!$B$15:$F$64,MATCH($H2290,설정_코스수당!$A$15:$A$64,0),MATCH($E2290&amp;"수당",설정_코스수당!$B$14:$F$14,0)),0)),0)</f>
        <v>0</v>
      </c>
      <c r="M2290" s="27">
        <f>IF($O2290="방문완료",IFERROR(VLOOKUP($E2290,설정_코스수당!$A$6:$H$10,6,FALSE),0),0)</f>
        <v>0</v>
      </c>
      <c r="N2290" s="28">
        <f t="shared" si="66"/>
        <v>0</v>
      </c>
      <c r="O2290" s="23"/>
      <c r="P2290" s="23"/>
      <c r="Q2290" s="23"/>
      <c r="R2290" s="26"/>
      <c r="S2290" s="23"/>
      <c r="U2290" s="109" t="s">
        <v>76</v>
      </c>
      <c r="V2290" s="109" t="s">
        <v>77</v>
      </c>
      <c r="W2290" s="109" t="s">
        <v>78</v>
      </c>
      <c r="X2290" s="109" t="s">
        <v>58</v>
      </c>
    </row>
    <row r="2291" spans="1:24" ht="19.5" hidden="1" customHeight="1" outlineLevel="1">
      <c r="A2291" s="29">
        <v>12</v>
      </c>
      <c r="B2291" s="30">
        <f>IF(23&lt;=DAY(DATE(YEAR(설정_코스수당!$K$2),MONTH(설정_코스수당!$K$2)+1,0)),DATE(YEAR(설정_코스수당!$K$2),MONTH(설정_코스수당!$K$2),23),"")</f>
        <v>46196</v>
      </c>
      <c r="C2291" s="31"/>
      <c r="D2291" s="29"/>
      <c r="E2291" s="29"/>
      <c r="F2291" s="32"/>
      <c r="G2291" s="29"/>
      <c r="H2291" s="29"/>
      <c r="I2291" s="29"/>
      <c r="J2291" s="33">
        <f>IF($O2291="방문완료",MAX(0,IFERROR(VLOOKUP($E2291,설정_코스수당!$A$6:$H$10,4,FALSE),0)-IF(OR($P2291="",$P2291="없음"),0,100000)),0)</f>
        <v>0</v>
      </c>
      <c r="K2291" s="33">
        <f t="array" ref="K2291">IF($O2291="방문완료",IFERROR(INDEX(설정_코스수당!$B$15:$F$64,MATCH($G2291,설정_코스수당!$A$15:$A$64,0),MATCH($E2291&amp;"수당",설정_코스수당!$B$14:$F$14,0)),0),0)</f>
        <v>0</v>
      </c>
      <c r="L2291" s="33">
        <f t="array" ref="L2291">IF($O2291="방문완료",IF($H2291="",0,IFERROR(INDEX(설정_코스수당!$B$15:$F$64,MATCH($H2291,설정_코스수당!$A$15:$A$64,0),MATCH($E2291&amp;"수당",설정_코스수당!$B$14:$F$14,0)),0)),0)</f>
        <v>0</v>
      </c>
      <c r="M2291" s="33">
        <f>IF($O2291="방문완료",IFERROR(VLOOKUP($E2291,설정_코스수당!$A$6:$H$10,6,FALSE),0),0)</f>
        <v>0</v>
      </c>
      <c r="N2291" s="34">
        <f t="shared" si="66"/>
        <v>0</v>
      </c>
      <c r="O2291" s="29"/>
      <c r="P2291" s="29"/>
      <c r="Q2291" s="29"/>
      <c r="R2291" s="32"/>
      <c r="S2291" s="29"/>
      <c r="U2291" s="113"/>
      <c r="V2291" s="111"/>
      <c r="W2291" s="112"/>
      <c r="X2291" s="111"/>
    </row>
    <row r="2292" spans="1:24" ht="19.5" hidden="1" customHeight="1" outlineLevel="1">
      <c r="A2292" s="23">
        <v>13</v>
      </c>
      <c r="B2292" s="24">
        <f>IF(23&lt;=DAY(DATE(YEAR(설정_코스수당!$K$2),MONTH(설정_코스수당!$K$2)+1,0)),DATE(YEAR(설정_코스수당!$K$2),MONTH(설정_코스수당!$K$2),23),"")</f>
        <v>46196</v>
      </c>
      <c r="C2292" s="25"/>
      <c r="D2292" s="23"/>
      <c r="E2292" s="23"/>
      <c r="F2292" s="26"/>
      <c r="G2292" s="23"/>
      <c r="H2292" s="23"/>
      <c r="I2292" s="23"/>
      <c r="J2292" s="27">
        <f>IF($O2292="방문완료",MAX(0,IFERROR(VLOOKUP($E2292,설정_코스수당!$A$6:$H$10,4,FALSE),0)-IF(OR($P2292="",$P2292="없음"),0,100000)),0)</f>
        <v>0</v>
      </c>
      <c r="K2292" s="27">
        <f t="array" ref="K2292">IF($O2292="방문완료",IFERROR(INDEX(설정_코스수당!$B$15:$F$64,MATCH($G2292,설정_코스수당!$A$15:$A$64,0),MATCH($E2292&amp;"수당",설정_코스수당!$B$14:$F$14,0)),0),0)</f>
        <v>0</v>
      </c>
      <c r="L2292" s="27">
        <f t="array" ref="L2292">IF($O2292="방문완료",IF($H2292="",0,IFERROR(INDEX(설정_코스수당!$B$15:$F$64,MATCH($H2292,설정_코스수당!$A$15:$A$64,0),MATCH($E2292&amp;"수당",설정_코스수당!$B$14:$F$14,0)),0)),0)</f>
        <v>0</v>
      </c>
      <c r="M2292" s="27">
        <f>IF($O2292="방문완료",IFERROR(VLOOKUP($E2292,설정_코스수당!$A$6:$H$10,6,FALSE),0),0)</f>
        <v>0</v>
      </c>
      <c r="N2292" s="28">
        <f t="shared" si="66"/>
        <v>0</v>
      </c>
      <c r="O2292" s="23"/>
      <c r="P2292" s="23"/>
      <c r="Q2292" s="23"/>
      <c r="R2292" s="26"/>
      <c r="S2292" s="23"/>
      <c r="U2292" s="113"/>
      <c r="V2292" s="111"/>
      <c r="W2292" s="112"/>
      <c r="X2292" s="111"/>
    </row>
    <row r="2293" spans="1:24" ht="19.5" hidden="1" customHeight="1" outlineLevel="1">
      <c r="A2293" s="29">
        <v>14</v>
      </c>
      <c r="B2293" s="30">
        <f>IF(23&lt;=DAY(DATE(YEAR(설정_코스수당!$K$2),MONTH(설정_코스수당!$K$2)+1,0)),DATE(YEAR(설정_코스수당!$K$2),MONTH(설정_코스수당!$K$2),23),"")</f>
        <v>46196</v>
      </c>
      <c r="C2293" s="31"/>
      <c r="D2293" s="29"/>
      <c r="E2293" s="29"/>
      <c r="F2293" s="32"/>
      <c r="G2293" s="29"/>
      <c r="H2293" s="29"/>
      <c r="I2293" s="29"/>
      <c r="J2293" s="33">
        <f>IF($O2293="방문완료",MAX(0,IFERROR(VLOOKUP($E2293,설정_코스수당!$A$6:$H$10,4,FALSE),0)-IF(OR($P2293="",$P2293="없음"),0,100000)),0)</f>
        <v>0</v>
      </c>
      <c r="K2293" s="33">
        <f t="array" ref="K2293">IF($O2293="방문완료",IFERROR(INDEX(설정_코스수당!$B$15:$F$64,MATCH($G2293,설정_코스수당!$A$15:$A$64,0),MATCH($E2293&amp;"수당",설정_코스수당!$B$14:$F$14,0)),0),0)</f>
        <v>0</v>
      </c>
      <c r="L2293" s="33">
        <f t="array" ref="L2293">IF($O2293="방문완료",IF($H2293="",0,IFERROR(INDEX(설정_코스수당!$B$15:$F$64,MATCH($H2293,설정_코스수당!$A$15:$A$64,0),MATCH($E2293&amp;"수당",설정_코스수당!$B$14:$F$14,0)),0)),0)</f>
        <v>0</v>
      </c>
      <c r="M2293" s="33">
        <f>IF($O2293="방문완료",IFERROR(VLOOKUP($E2293,설정_코스수당!$A$6:$H$10,6,FALSE),0),0)</f>
        <v>0</v>
      </c>
      <c r="N2293" s="34">
        <f t="shared" si="66"/>
        <v>0</v>
      </c>
      <c r="O2293" s="29"/>
      <c r="P2293" s="29"/>
      <c r="Q2293" s="29"/>
      <c r="R2293" s="32"/>
      <c r="S2293" s="29"/>
      <c r="U2293" s="113"/>
      <c r="V2293" s="111"/>
      <c r="W2293" s="112"/>
      <c r="X2293" s="111"/>
    </row>
    <row r="2294" spans="1:24" ht="19.5" hidden="1" customHeight="1" outlineLevel="1">
      <c r="A2294" s="23">
        <v>15</v>
      </c>
      <c r="B2294" s="24">
        <f>IF(23&lt;=DAY(DATE(YEAR(설정_코스수당!$K$2),MONTH(설정_코스수당!$K$2)+1,0)),DATE(YEAR(설정_코스수당!$K$2),MONTH(설정_코스수당!$K$2),23),"")</f>
        <v>46196</v>
      </c>
      <c r="C2294" s="25"/>
      <c r="D2294" s="23"/>
      <c r="E2294" s="23"/>
      <c r="F2294" s="26"/>
      <c r="G2294" s="23"/>
      <c r="H2294" s="23"/>
      <c r="I2294" s="23"/>
      <c r="J2294" s="27">
        <f>IF($O2294="방문완료",MAX(0,IFERROR(VLOOKUP($E2294,설정_코스수당!$A$6:$H$10,4,FALSE),0)-IF(OR($P2294="",$P2294="없음"),0,100000)),0)</f>
        <v>0</v>
      </c>
      <c r="K2294" s="27">
        <f t="array" ref="K2294">IF($O2294="방문완료",IFERROR(INDEX(설정_코스수당!$B$15:$F$64,MATCH($G2294,설정_코스수당!$A$15:$A$64,0),MATCH($E2294&amp;"수당",설정_코스수당!$B$14:$F$14,0)),0),0)</f>
        <v>0</v>
      </c>
      <c r="L2294" s="27">
        <f t="array" ref="L2294">IF($O2294="방문완료",IF($H2294="",0,IFERROR(INDEX(설정_코스수당!$B$15:$F$64,MATCH($H2294,설정_코스수당!$A$15:$A$64,0),MATCH($E2294&amp;"수당",설정_코스수당!$B$14:$F$14,0)),0)),0)</f>
        <v>0</v>
      </c>
      <c r="M2294" s="27">
        <f>IF($O2294="방문완료",IFERROR(VLOOKUP($E2294,설정_코스수당!$A$6:$H$10,6,FALSE),0),0)</f>
        <v>0</v>
      </c>
      <c r="N2294" s="28">
        <f t="shared" si="66"/>
        <v>0</v>
      </c>
      <c r="O2294" s="23"/>
      <c r="P2294" s="23"/>
      <c r="Q2294" s="23"/>
      <c r="R2294" s="26"/>
      <c r="S2294" s="23"/>
      <c r="U2294" s="113"/>
      <c r="V2294" s="111"/>
      <c r="W2294" s="112"/>
      <c r="X2294" s="111"/>
    </row>
    <row r="2295" spans="1:24" ht="19.5" hidden="1" customHeight="1" outlineLevel="1">
      <c r="A2295" s="29">
        <v>16</v>
      </c>
      <c r="B2295" s="30">
        <f>IF(23&lt;=DAY(DATE(YEAR(설정_코스수당!$K$2),MONTH(설정_코스수당!$K$2)+1,0)),DATE(YEAR(설정_코스수당!$K$2),MONTH(설정_코스수당!$K$2),23),"")</f>
        <v>46196</v>
      </c>
      <c r="C2295" s="31"/>
      <c r="D2295" s="29"/>
      <c r="E2295" s="29"/>
      <c r="F2295" s="32"/>
      <c r="G2295" s="29"/>
      <c r="H2295" s="29"/>
      <c r="I2295" s="29"/>
      <c r="J2295" s="33">
        <f>IF($O2295="방문완료",MAX(0,IFERROR(VLOOKUP($E2295,설정_코스수당!$A$6:$H$10,4,FALSE),0)-IF(OR($P2295="",$P2295="없음"),0,100000)),0)</f>
        <v>0</v>
      </c>
      <c r="K2295" s="33">
        <f t="array" ref="K2295">IF($O2295="방문완료",IFERROR(INDEX(설정_코스수당!$B$15:$F$64,MATCH($G2295,설정_코스수당!$A$15:$A$64,0),MATCH($E2295&amp;"수당",설정_코스수당!$B$14:$F$14,0)),0),0)</f>
        <v>0</v>
      </c>
      <c r="L2295" s="33">
        <f t="array" ref="L2295">IF($O2295="방문완료",IF($H2295="",0,IFERROR(INDEX(설정_코스수당!$B$15:$F$64,MATCH($H2295,설정_코스수당!$A$15:$A$64,0),MATCH($E2295&amp;"수당",설정_코스수당!$B$14:$F$14,0)),0)),0)</f>
        <v>0</v>
      </c>
      <c r="M2295" s="33">
        <f>IF($O2295="방문완료",IFERROR(VLOOKUP($E2295,설정_코스수당!$A$6:$H$10,6,FALSE),0),0)</f>
        <v>0</v>
      </c>
      <c r="N2295" s="34">
        <f t="shared" si="66"/>
        <v>0</v>
      </c>
      <c r="O2295" s="29"/>
      <c r="P2295" s="29"/>
      <c r="Q2295" s="29"/>
      <c r="R2295" s="32"/>
      <c r="S2295" s="29"/>
      <c r="U2295" s="113"/>
      <c r="V2295" s="111"/>
      <c r="W2295" s="112"/>
      <c r="X2295" s="111"/>
    </row>
    <row r="2296" spans="1:24" ht="19.5" hidden="1" customHeight="1" outlineLevel="1">
      <c r="A2296" s="23">
        <v>17</v>
      </c>
      <c r="B2296" s="24">
        <f>IF(23&lt;=DAY(DATE(YEAR(설정_코스수당!$K$2),MONTH(설정_코스수당!$K$2)+1,0)),DATE(YEAR(설정_코스수당!$K$2),MONTH(설정_코스수당!$K$2),23),"")</f>
        <v>46196</v>
      </c>
      <c r="C2296" s="25"/>
      <c r="D2296" s="23"/>
      <c r="E2296" s="23"/>
      <c r="F2296" s="26"/>
      <c r="G2296" s="23"/>
      <c r="H2296" s="23"/>
      <c r="I2296" s="23"/>
      <c r="J2296" s="27">
        <f>IF($O2296="방문완료",MAX(0,IFERROR(VLOOKUP($E2296,설정_코스수당!$A$6:$H$10,4,FALSE),0)-IF(OR($P2296="",$P2296="없음"),0,100000)),0)</f>
        <v>0</v>
      </c>
      <c r="K2296" s="27">
        <f t="array" ref="K2296">IF($O2296="방문완료",IFERROR(INDEX(설정_코스수당!$B$15:$F$64,MATCH($G2296,설정_코스수당!$A$15:$A$64,0),MATCH($E2296&amp;"수당",설정_코스수당!$B$14:$F$14,0)),0),0)</f>
        <v>0</v>
      </c>
      <c r="L2296" s="27">
        <f t="array" ref="L2296">IF($O2296="방문완료",IF($H2296="",0,IFERROR(INDEX(설정_코스수당!$B$15:$F$64,MATCH($H2296,설정_코스수당!$A$15:$A$64,0),MATCH($E2296&amp;"수당",설정_코스수당!$B$14:$F$14,0)),0)),0)</f>
        <v>0</v>
      </c>
      <c r="M2296" s="27">
        <f>IF($O2296="방문완료",IFERROR(VLOOKUP($E2296,설정_코스수당!$A$6:$H$10,6,FALSE),0),0)</f>
        <v>0</v>
      </c>
      <c r="N2296" s="28">
        <f t="shared" si="66"/>
        <v>0</v>
      </c>
      <c r="O2296" s="23"/>
      <c r="P2296" s="23"/>
      <c r="Q2296" s="23"/>
      <c r="R2296" s="26"/>
      <c r="S2296" s="23"/>
      <c r="U2296" s="113"/>
      <c r="V2296" s="111"/>
      <c r="W2296" s="112"/>
      <c r="X2296" s="111"/>
    </row>
    <row r="2297" spans="1:24" ht="19.5" hidden="1" customHeight="1" outlineLevel="1">
      <c r="A2297" s="29">
        <v>18</v>
      </c>
      <c r="B2297" s="30">
        <f>IF(23&lt;=DAY(DATE(YEAR(설정_코스수당!$K$2),MONTH(설정_코스수당!$K$2)+1,0)),DATE(YEAR(설정_코스수당!$K$2),MONTH(설정_코스수당!$K$2),23),"")</f>
        <v>46196</v>
      </c>
      <c r="C2297" s="31"/>
      <c r="D2297" s="29"/>
      <c r="E2297" s="29"/>
      <c r="F2297" s="32"/>
      <c r="G2297" s="29"/>
      <c r="H2297" s="29"/>
      <c r="I2297" s="29"/>
      <c r="J2297" s="33">
        <f>IF($O2297="방문완료",MAX(0,IFERROR(VLOOKUP($E2297,설정_코스수당!$A$6:$H$10,4,FALSE),0)-IF(OR($P2297="",$P2297="없음"),0,100000)),0)</f>
        <v>0</v>
      </c>
      <c r="K2297" s="33">
        <f t="array" ref="K2297">IF($O2297="방문완료",IFERROR(INDEX(설정_코스수당!$B$15:$F$64,MATCH($G2297,설정_코스수당!$A$15:$A$64,0),MATCH($E2297&amp;"수당",설정_코스수당!$B$14:$F$14,0)),0),0)</f>
        <v>0</v>
      </c>
      <c r="L2297" s="33">
        <f t="array" ref="L2297">IF($O2297="방문완료",IF($H2297="",0,IFERROR(INDEX(설정_코스수당!$B$15:$F$64,MATCH($H2297,설정_코스수당!$A$15:$A$64,0),MATCH($E2297&amp;"수당",설정_코스수당!$B$14:$F$14,0)),0)),0)</f>
        <v>0</v>
      </c>
      <c r="M2297" s="33">
        <f>IF($O2297="방문완료",IFERROR(VLOOKUP($E2297,설정_코스수당!$A$6:$H$10,6,FALSE),0),0)</f>
        <v>0</v>
      </c>
      <c r="N2297" s="34">
        <f t="shared" si="66"/>
        <v>0</v>
      </c>
      <c r="O2297" s="29"/>
      <c r="P2297" s="29"/>
      <c r="Q2297" s="29"/>
      <c r="R2297" s="32"/>
      <c r="S2297" s="29"/>
      <c r="U2297" s="113"/>
      <c r="V2297" s="111"/>
      <c r="W2297" s="112"/>
      <c r="X2297" s="111"/>
    </row>
    <row r="2298" spans="1:24" ht="19.5" hidden="1" customHeight="1" outlineLevel="1">
      <c r="A2298" s="23">
        <v>19</v>
      </c>
      <c r="B2298" s="24">
        <f>IF(23&lt;=DAY(DATE(YEAR(설정_코스수당!$K$2),MONTH(설정_코스수당!$K$2)+1,0)),DATE(YEAR(설정_코스수당!$K$2),MONTH(설정_코스수당!$K$2),23),"")</f>
        <v>46196</v>
      </c>
      <c r="C2298" s="25"/>
      <c r="D2298" s="23"/>
      <c r="E2298" s="23"/>
      <c r="F2298" s="26"/>
      <c r="G2298" s="23"/>
      <c r="H2298" s="23"/>
      <c r="I2298" s="23"/>
      <c r="J2298" s="27">
        <f>IF($O2298="방문완료",MAX(0,IFERROR(VLOOKUP($E2298,설정_코스수당!$A$6:$H$10,4,FALSE),0)-IF(OR($P2298="",$P2298="없음"),0,100000)),0)</f>
        <v>0</v>
      </c>
      <c r="K2298" s="27">
        <f t="array" ref="K2298">IF($O2298="방문완료",IFERROR(INDEX(설정_코스수당!$B$15:$F$64,MATCH($G2298,설정_코스수당!$A$15:$A$64,0),MATCH($E2298&amp;"수당",설정_코스수당!$B$14:$F$14,0)),0),0)</f>
        <v>0</v>
      </c>
      <c r="L2298" s="27">
        <f t="array" ref="L2298">IF($O2298="방문완료",IF($H2298="",0,IFERROR(INDEX(설정_코스수당!$B$15:$F$64,MATCH($H2298,설정_코스수당!$A$15:$A$64,0),MATCH($E2298&amp;"수당",설정_코스수당!$B$14:$F$14,0)),0)),0)</f>
        <v>0</v>
      </c>
      <c r="M2298" s="27">
        <f>IF($O2298="방문완료",IFERROR(VLOOKUP($E2298,설정_코스수당!$A$6:$H$10,6,FALSE),0),0)</f>
        <v>0</v>
      </c>
      <c r="N2298" s="28">
        <f t="shared" si="66"/>
        <v>0</v>
      </c>
      <c r="O2298" s="23"/>
      <c r="P2298" s="23"/>
      <c r="Q2298" s="23"/>
      <c r="R2298" s="26"/>
      <c r="S2298" s="23"/>
      <c r="U2298" s="113"/>
      <c r="V2298" s="111"/>
      <c r="W2298" s="112"/>
      <c r="X2298" s="111"/>
    </row>
    <row r="2299" spans="1:24" ht="19.5" hidden="1" customHeight="1" outlineLevel="1">
      <c r="A2299" s="29">
        <v>20</v>
      </c>
      <c r="B2299" s="30">
        <f>IF(23&lt;=DAY(DATE(YEAR(설정_코스수당!$K$2),MONTH(설정_코스수당!$K$2)+1,0)),DATE(YEAR(설정_코스수당!$K$2),MONTH(설정_코스수당!$K$2),23),"")</f>
        <v>46196</v>
      </c>
      <c r="C2299" s="31"/>
      <c r="D2299" s="29"/>
      <c r="E2299" s="29"/>
      <c r="F2299" s="32"/>
      <c r="G2299" s="29"/>
      <c r="H2299" s="29"/>
      <c r="I2299" s="29"/>
      <c r="J2299" s="33">
        <f>IF($O2299="방문완료",MAX(0,IFERROR(VLOOKUP($E2299,설정_코스수당!$A$6:$H$10,4,FALSE),0)-IF(OR($P2299="",$P2299="없음"),0,100000)),0)</f>
        <v>0</v>
      </c>
      <c r="K2299" s="33">
        <f t="array" ref="K2299">IF($O2299="방문완료",IFERROR(INDEX(설정_코스수당!$B$15:$F$64,MATCH($G2299,설정_코스수당!$A$15:$A$64,0),MATCH($E2299&amp;"수당",설정_코스수당!$B$14:$F$14,0)),0),0)</f>
        <v>0</v>
      </c>
      <c r="L2299" s="33">
        <f t="array" ref="L2299">IF($O2299="방문완료",IF($H2299="",0,IFERROR(INDEX(설정_코스수당!$B$15:$F$64,MATCH($H2299,설정_코스수당!$A$15:$A$64,0),MATCH($E2299&amp;"수당",설정_코스수당!$B$14:$F$14,0)),0)),0)</f>
        <v>0</v>
      </c>
      <c r="M2299" s="33">
        <f>IF($O2299="방문완료",IFERROR(VLOOKUP($E2299,설정_코스수당!$A$6:$H$10,6,FALSE),0),0)</f>
        <v>0</v>
      </c>
      <c r="N2299" s="34">
        <f t="shared" si="66"/>
        <v>0</v>
      </c>
      <c r="O2299" s="29"/>
      <c r="P2299" s="29"/>
      <c r="Q2299" s="29"/>
      <c r="R2299" s="32"/>
      <c r="S2299" s="29"/>
    </row>
    <row r="2300" spans="1:24" ht="19.5" hidden="1" customHeight="1" outlineLevel="1">
      <c r="A2300" s="23">
        <v>21</v>
      </c>
      <c r="B2300" s="24">
        <f>IF(23&lt;=DAY(DATE(YEAR(설정_코스수당!$K$2),MONTH(설정_코스수당!$K$2)+1,0)),DATE(YEAR(설정_코스수당!$K$2),MONTH(설정_코스수당!$K$2),23),"")</f>
        <v>46196</v>
      </c>
      <c r="C2300" s="25"/>
      <c r="D2300" s="23"/>
      <c r="E2300" s="23"/>
      <c r="F2300" s="26"/>
      <c r="G2300" s="23"/>
      <c r="H2300" s="23"/>
      <c r="I2300" s="23"/>
      <c r="J2300" s="27">
        <f>IF($O2300="방문완료",MAX(0,IFERROR(VLOOKUP($E2300,설정_코스수당!$A$6:$H$10,4,FALSE),0)-IF(OR($P2300="",$P2300="없음"),0,100000)),0)</f>
        <v>0</v>
      </c>
      <c r="K2300" s="27">
        <f t="array" ref="K2300">IF($O2300="방문완료",IFERROR(INDEX(설정_코스수당!$B$15:$F$64,MATCH($G2300,설정_코스수당!$A$15:$A$64,0),MATCH($E2300&amp;"수당",설정_코스수당!$B$14:$F$14,0)),0),0)</f>
        <v>0</v>
      </c>
      <c r="L2300" s="27">
        <f t="array" ref="L2300">IF($O2300="방문완료",IF($H2300="",0,IFERROR(INDEX(설정_코스수당!$B$15:$F$64,MATCH($H2300,설정_코스수당!$A$15:$A$64,0),MATCH($E2300&amp;"수당",설정_코스수당!$B$14:$F$14,0)),0)),0)</f>
        <v>0</v>
      </c>
      <c r="M2300" s="27">
        <f>IF($O2300="방문완료",IFERROR(VLOOKUP($E2300,설정_코스수당!$A$6:$H$10,6,FALSE),0),0)</f>
        <v>0</v>
      </c>
      <c r="N2300" s="28">
        <f t="shared" si="66"/>
        <v>0</v>
      </c>
      <c r="O2300" s="23"/>
      <c r="P2300" s="23"/>
      <c r="Q2300" s="23"/>
      <c r="R2300" s="26"/>
      <c r="S2300" s="23"/>
    </row>
    <row r="2301" spans="1:24" ht="19.5" hidden="1" customHeight="1" outlineLevel="1">
      <c r="A2301" s="29">
        <v>22</v>
      </c>
      <c r="B2301" s="30">
        <f>IF(23&lt;=DAY(DATE(YEAR(설정_코스수당!$K$2),MONTH(설정_코스수당!$K$2)+1,0)),DATE(YEAR(설정_코스수당!$K$2),MONTH(설정_코스수당!$K$2),23),"")</f>
        <v>46196</v>
      </c>
      <c r="C2301" s="31"/>
      <c r="D2301" s="29"/>
      <c r="E2301" s="29"/>
      <c r="F2301" s="32"/>
      <c r="G2301" s="29"/>
      <c r="H2301" s="29"/>
      <c r="I2301" s="29"/>
      <c r="J2301" s="33">
        <f>IF($O2301="방문완료",MAX(0,IFERROR(VLOOKUP($E2301,설정_코스수당!$A$6:$H$10,4,FALSE),0)-IF(OR($P2301="",$P2301="없음"),0,100000)),0)</f>
        <v>0</v>
      </c>
      <c r="K2301" s="33">
        <f t="array" ref="K2301">IF($O2301="방문완료",IFERROR(INDEX(설정_코스수당!$B$15:$F$64,MATCH($G2301,설정_코스수당!$A$15:$A$64,0),MATCH($E2301&amp;"수당",설정_코스수당!$B$14:$F$14,0)),0),0)</f>
        <v>0</v>
      </c>
      <c r="L2301" s="33">
        <f t="array" ref="L2301">IF($O2301="방문완료",IF($H2301="",0,IFERROR(INDEX(설정_코스수당!$B$15:$F$64,MATCH($H2301,설정_코스수당!$A$15:$A$64,0),MATCH($E2301&amp;"수당",설정_코스수당!$B$14:$F$14,0)),0)),0)</f>
        <v>0</v>
      </c>
      <c r="M2301" s="33">
        <f>IF($O2301="방문완료",IFERROR(VLOOKUP($E2301,설정_코스수당!$A$6:$H$10,6,FALSE),0),0)</f>
        <v>0</v>
      </c>
      <c r="N2301" s="34">
        <f t="shared" si="66"/>
        <v>0</v>
      </c>
      <c r="O2301" s="29"/>
      <c r="P2301" s="29"/>
      <c r="Q2301" s="29"/>
      <c r="R2301" s="32"/>
      <c r="S2301" s="29"/>
    </row>
    <row r="2302" spans="1:24" ht="19.5" hidden="1" customHeight="1" outlineLevel="1">
      <c r="A2302" s="23">
        <v>23</v>
      </c>
      <c r="B2302" s="24">
        <f>IF(23&lt;=DAY(DATE(YEAR(설정_코스수당!$K$2),MONTH(설정_코스수당!$K$2)+1,0)),DATE(YEAR(설정_코스수당!$K$2),MONTH(설정_코스수당!$K$2),23),"")</f>
        <v>46196</v>
      </c>
      <c r="C2302" s="25"/>
      <c r="D2302" s="23"/>
      <c r="E2302" s="23"/>
      <c r="F2302" s="26"/>
      <c r="G2302" s="23"/>
      <c r="H2302" s="23"/>
      <c r="I2302" s="23"/>
      <c r="J2302" s="27">
        <f>IF($O2302="방문완료",MAX(0,IFERROR(VLOOKUP($E2302,설정_코스수당!$A$6:$H$10,4,FALSE),0)-IF(OR($P2302="",$P2302="없음"),0,100000)),0)</f>
        <v>0</v>
      </c>
      <c r="K2302" s="27">
        <f t="array" ref="K2302">IF($O2302="방문완료",IFERROR(INDEX(설정_코스수당!$B$15:$F$64,MATCH($G2302,설정_코스수당!$A$15:$A$64,0),MATCH($E2302&amp;"수당",설정_코스수당!$B$14:$F$14,0)),0),0)</f>
        <v>0</v>
      </c>
      <c r="L2302" s="27">
        <f t="array" ref="L2302">IF($O2302="방문완료",IF($H2302="",0,IFERROR(INDEX(설정_코스수당!$B$15:$F$64,MATCH($H2302,설정_코스수당!$A$15:$A$64,0),MATCH($E2302&amp;"수당",설정_코스수당!$B$14:$F$14,0)),0)),0)</f>
        <v>0</v>
      </c>
      <c r="M2302" s="27">
        <f>IF($O2302="방문완료",IFERROR(VLOOKUP($E2302,설정_코스수당!$A$6:$H$10,6,FALSE),0),0)</f>
        <v>0</v>
      </c>
      <c r="N2302" s="28">
        <f t="shared" si="66"/>
        <v>0</v>
      </c>
      <c r="O2302" s="23"/>
      <c r="P2302" s="23"/>
      <c r="Q2302" s="23"/>
      <c r="R2302" s="26"/>
      <c r="S2302" s="23"/>
    </row>
    <row r="2303" spans="1:24" ht="19.5" hidden="1" customHeight="1" outlineLevel="1">
      <c r="A2303" s="29">
        <v>24</v>
      </c>
      <c r="B2303" s="30">
        <f>IF(23&lt;=DAY(DATE(YEAR(설정_코스수당!$K$2),MONTH(설정_코스수당!$K$2)+1,0)),DATE(YEAR(설정_코스수당!$K$2),MONTH(설정_코스수당!$K$2),23),"")</f>
        <v>46196</v>
      </c>
      <c r="C2303" s="31"/>
      <c r="D2303" s="29"/>
      <c r="E2303" s="29"/>
      <c r="F2303" s="32"/>
      <c r="G2303" s="29"/>
      <c r="H2303" s="29"/>
      <c r="I2303" s="29"/>
      <c r="J2303" s="33">
        <f>IF($O2303="방문완료",MAX(0,IFERROR(VLOOKUP($E2303,설정_코스수당!$A$6:$H$10,4,FALSE),0)-IF(OR($P2303="",$P2303="없음"),0,100000)),0)</f>
        <v>0</v>
      </c>
      <c r="K2303" s="33">
        <f t="array" ref="K2303">IF($O2303="방문완료",IFERROR(INDEX(설정_코스수당!$B$15:$F$64,MATCH($G2303,설정_코스수당!$A$15:$A$64,0),MATCH($E2303&amp;"수당",설정_코스수당!$B$14:$F$14,0)),0),0)</f>
        <v>0</v>
      </c>
      <c r="L2303" s="33">
        <f t="array" ref="L2303">IF($O2303="방문완료",IF($H2303="",0,IFERROR(INDEX(설정_코스수당!$B$15:$F$64,MATCH($H2303,설정_코스수당!$A$15:$A$64,0),MATCH($E2303&amp;"수당",설정_코스수당!$B$14:$F$14,0)),0)),0)</f>
        <v>0</v>
      </c>
      <c r="M2303" s="33">
        <f>IF($O2303="방문완료",IFERROR(VLOOKUP($E2303,설정_코스수당!$A$6:$H$10,6,FALSE),0),0)</f>
        <v>0</v>
      </c>
      <c r="N2303" s="34">
        <f t="shared" si="66"/>
        <v>0</v>
      </c>
      <c r="O2303" s="29"/>
      <c r="P2303" s="29"/>
      <c r="Q2303" s="29"/>
      <c r="R2303" s="32"/>
      <c r="S2303" s="29"/>
    </row>
    <row r="2304" spans="1:24" ht="19.5" hidden="1" customHeight="1" outlineLevel="1">
      <c r="A2304" s="23">
        <v>25</v>
      </c>
      <c r="B2304" s="24">
        <f>IF(23&lt;=DAY(DATE(YEAR(설정_코스수당!$K$2),MONTH(설정_코스수당!$K$2)+1,0)),DATE(YEAR(설정_코스수당!$K$2),MONTH(설정_코스수당!$K$2),23),"")</f>
        <v>46196</v>
      </c>
      <c r="C2304" s="25"/>
      <c r="D2304" s="23"/>
      <c r="E2304" s="23"/>
      <c r="F2304" s="26"/>
      <c r="G2304" s="23"/>
      <c r="H2304" s="23"/>
      <c r="I2304" s="23"/>
      <c r="J2304" s="27">
        <f>IF($O2304="방문완료",MAX(0,IFERROR(VLOOKUP($E2304,설정_코스수당!$A$6:$H$10,4,FALSE),0)-IF(OR($P2304="",$P2304="없음"),0,100000)),0)</f>
        <v>0</v>
      </c>
      <c r="K2304" s="27">
        <f t="array" ref="K2304">IF($O2304="방문완료",IFERROR(INDEX(설정_코스수당!$B$15:$F$64,MATCH($G2304,설정_코스수당!$A$15:$A$64,0),MATCH($E2304&amp;"수당",설정_코스수당!$B$14:$F$14,0)),0),0)</f>
        <v>0</v>
      </c>
      <c r="L2304" s="27">
        <f t="array" ref="L2304">IF($O2304="방문완료",IF($H2304="",0,IFERROR(INDEX(설정_코스수당!$B$15:$F$64,MATCH($H2304,설정_코스수당!$A$15:$A$64,0),MATCH($E2304&amp;"수당",설정_코스수당!$B$14:$F$14,0)),0)),0)</f>
        <v>0</v>
      </c>
      <c r="M2304" s="27">
        <f>IF($O2304="방문완료",IFERROR(VLOOKUP($E2304,설정_코스수당!$A$6:$H$10,6,FALSE),0),0)</f>
        <v>0</v>
      </c>
      <c r="N2304" s="28">
        <f t="shared" si="66"/>
        <v>0</v>
      </c>
      <c r="O2304" s="23"/>
      <c r="P2304" s="23"/>
      <c r="Q2304" s="23"/>
      <c r="R2304" s="26"/>
      <c r="S2304" s="23"/>
    </row>
    <row r="2305" spans="1:22" ht="19.5" hidden="1" customHeight="1" outlineLevel="1">
      <c r="A2305" s="29">
        <v>26</v>
      </c>
      <c r="B2305" s="30">
        <f>IF(23&lt;=DAY(DATE(YEAR(설정_코스수당!$K$2),MONTH(설정_코스수당!$K$2)+1,0)),DATE(YEAR(설정_코스수당!$K$2),MONTH(설정_코스수당!$K$2),23),"")</f>
        <v>46196</v>
      </c>
      <c r="C2305" s="31"/>
      <c r="D2305" s="29"/>
      <c r="E2305" s="29"/>
      <c r="F2305" s="32"/>
      <c r="G2305" s="29"/>
      <c r="H2305" s="29"/>
      <c r="I2305" s="29"/>
      <c r="J2305" s="33">
        <f>IF($O2305="방문완료",MAX(0,IFERROR(VLOOKUP($E2305,설정_코스수당!$A$6:$H$10,4,FALSE),0)-IF(OR($P2305="",$P2305="없음"),0,100000)),0)</f>
        <v>0</v>
      </c>
      <c r="K2305" s="33">
        <f t="array" ref="K2305">IF($O2305="방문완료",IFERROR(INDEX(설정_코스수당!$B$15:$F$64,MATCH($G2305,설정_코스수당!$A$15:$A$64,0),MATCH($E2305&amp;"수당",설정_코스수당!$B$14:$F$14,0)),0),0)</f>
        <v>0</v>
      </c>
      <c r="L2305" s="33">
        <f t="array" ref="L2305">IF($O2305="방문완료",IF($H2305="",0,IFERROR(INDEX(설정_코스수당!$B$15:$F$64,MATCH($H2305,설정_코스수당!$A$15:$A$64,0),MATCH($E2305&amp;"수당",설정_코스수당!$B$14:$F$14,0)),0)),0)</f>
        <v>0</v>
      </c>
      <c r="M2305" s="33">
        <f>IF($O2305="방문완료",IFERROR(VLOOKUP($E2305,설정_코스수당!$A$6:$H$10,6,FALSE),0),0)</f>
        <v>0</v>
      </c>
      <c r="N2305" s="34">
        <f t="shared" si="66"/>
        <v>0</v>
      </c>
      <c r="O2305" s="29"/>
      <c r="P2305" s="29"/>
      <c r="Q2305" s="29"/>
      <c r="R2305" s="32"/>
      <c r="S2305" s="29"/>
    </row>
    <row r="2306" spans="1:22" ht="19.5" hidden="1" customHeight="1" outlineLevel="1">
      <c r="A2306" s="23">
        <v>27</v>
      </c>
      <c r="B2306" s="24">
        <f>IF(23&lt;=DAY(DATE(YEAR(설정_코스수당!$K$2),MONTH(설정_코스수당!$K$2)+1,0)),DATE(YEAR(설정_코스수당!$K$2),MONTH(설정_코스수당!$K$2),23),"")</f>
        <v>46196</v>
      </c>
      <c r="C2306" s="25"/>
      <c r="D2306" s="23"/>
      <c r="E2306" s="23"/>
      <c r="F2306" s="26"/>
      <c r="G2306" s="23"/>
      <c r="H2306" s="23"/>
      <c r="I2306" s="23"/>
      <c r="J2306" s="27">
        <f>IF($O2306="방문완료",MAX(0,IFERROR(VLOOKUP($E2306,설정_코스수당!$A$6:$H$10,4,FALSE),0)-IF(OR($P2306="",$P2306="없음"),0,100000)),0)</f>
        <v>0</v>
      </c>
      <c r="K2306" s="27">
        <f t="array" ref="K2306">IF($O2306="방문완료",IFERROR(INDEX(설정_코스수당!$B$15:$F$64,MATCH($G2306,설정_코스수당!$A$15:$A$64,0),MATCH($E2306&amp;"수당",설정_코스수당!$B$14:$F$14,0)),0),0)</f>
        <v>0</v>
      </c>
      <c r="L2306" s="27">
        <f t="array" ref="L2306">IF($O2306="방문완료",IF($H2306="",0,IFERROR(INDEX(설정_코스수당!$B$15:$F$64,MATCH($H2306,설정_코스수당!$A$15:$A$64,0),MATCH($E2306&amp;"수당",설정_코스수당!$B$14:$F$14,0)),0)),0)</f>
        <v>0</v>
      </c>
      <c r="M2306" s="27">
        <f>IF($O2306="방문완료",IFERROR(VLOOKUP($E2306,설정_코스수당!$A$6:$H$10,6,FALSE),0),0)</f>
        <v>0</v>
      </c>
      <c r="N2306" s="28">
        <f t="shared" si="66"/>
        <v>0</v>
      </c>
      <c r="O2306" s="23"/>
      <c r="P2306" s="23"/>
      <c r="Q2306" s="23"/>
      <c r="R2306" s="26"/>
      <c r="S2306" s="23"/>
    </row>
    <row r="2307" spans="1:22" ht="19.5" hidden="1" customHeight="1" outlineLevel="1">
      <c r="A2307" s="29">
        <v>28</v>
      </c>
      <c r="B2307" s="30">
        <f>IF(23&lt;=DAY(DATE(YEAR(설정_코스수당!$K$2),MONTH(설정_코스수당!$K$2)+1,0)),DATE(YEAR(설정_코스수당!$K$2),MONTH(설정_코스수당!$K$2),23),"")</f>
        <v>46196</v>
      </c>
      <c r="C2307" s="31"/>
      <c r="D2307" s="29"/>
      <c r="E2307" s="29"/>
      <c r="F2307" s="32"/>
      <c r="G2307" s="29"/>
      <c r="H2307" s="29"/>
      <c r="I2307" s="29"/>
      <c r="J2307" s="33">
        <f>IF($O2307="방문완료",MAX(0,IFERROR(VLOOKUP($E2307,설정_코스수당!$A$6:$H$10,4,FALSE),0)-IF(OR($P2307="",$P2307="없음"),0,100000)),0)</f>
        <v>0</v>
      </c>
      <c r="K2307" s="33">
        <f t="array" ref="K2307">IF($O2307="방문완료",IFERROR(INDEX(설정_코스수당!$B$15:$F$64,MATCH($G2307,설정_코스수당!$A$15:$A$64,0),MATCH($E2307&amp;"수당",설정_코스수당!$B$14:$F$14,0)),0),0)</f>
        <v>0</v>
      </c>
      <c r="L2307" s="33">
        <f t="array" ref="L2307">IF($O2307="방문완료",IF($H2307="",0,IFERROR(INDEX(설정_코스수당!$B$15:$F$64,MATCH($H2307,설정_코스수당!$A$15:$A$64,0),MATCH($E2307&amp;"수당",설정_코스수당!$B$14:$F$14,0)),0)),0)</f>
        <v>0</v>
      </c>
      <c r="M2307" s="33">
        <f>IF($O2307="방문완료",IFERROR(VLOOKUP($E2307,설정_코스수당!$A$6:$H$10,6,FALSE),0),0)</f>
        <v>0</v>
      </c>
      <c r="N2307" s="34">
        <f t="shared" si="66"/>
        <v>0</v>
      </c>
      <c r="O2307" s="29"/>
      <c r="P2307" s="29"/>
      <c r="Q2307" s="29"/>
      <c r="R2307" s="32"/>
      <c r="S2307" s="29"/>
    </row>
    <row r="2308" spans="1:22" ht="19.5" hidden="1" customHeight="1" outlineLevel="1">
      <c r="A2308" s="23">
        <v>29</v>
      </c>
      <c r="B2308" s="24">
        <f>IF(23&lt;=DAY(DATE(YEAR(설정_코스수당!$K$2),MONTH(설정_코스수당!$K$2)+1,0)),DATE(YEAR(설정_코스수당!$K$2),MONTH(설정_코스수당!$K$2),23),"")</f>
        <v>46196</v>
      </c>
      <c r="C2308" s="25"/>
      <c r="D2308" s="23"/>
      <c r="E2308" s="23"/>
      <c r="F2308" s="26"/>
      <c r="G2308" s="23"/>
      <c r="H2308" s="23"/>
      <c r="I2308" s="23"/>
      <c r="J2308" s="27">
        <f>IF($O2308="방문완료",MAX(0,IFERROR(VLOOKUP($E2308,설정_코스수당!$A$6:$H$10,4,FALSE),0)-IF(OR($P2308="",$P2308="없음"),0,100000)),0)</f>
        <v>0</v>
      </c>
      <c r="K2308" s="27">
        <f t="array" ref="K2308">IF($O2308="방문완료",IFERROR(INDEX(설정_코스수당!$B$15:$F$64,MATCH($G2308,설정_코스수당!$A$15:$A$64,0),MATCH($E2308&amp;"수당",설정_코스수당!$B$14:$F$14,0)),0),0)</f>
        <v>0</v>
      </c>
      <c r="L2308" s="27">
        <f t="array" ref="L2308">IF($O2308="방문완료",IF($H2308="",0,IFERROR(INDEX(설정_코스수당!$B$15:$F$64,MATCH($H2308,설정_코스수당!$A$15:$A$64,0),MATCH($E2308&amp;"수당",설정_코스수당!$B$14:$F$14,0)),0)),0)</f>
        <v>0</v>
      </c>
      <c r="M2308" s="27">
        <f>IF($O2308="방문완료",IFERROR(VLOOKUP($E2308,설정_코스수당!$A$6:$H$10,6,FALSE),0),0)</f>
        <v>0</v>
      </c>
      <c r="N2308" s="28">
        <f t="shared" si="66"/>
        <v>0</v>
      </c>
      <c r="O2308" s="23"/>
      <c r="P2308" s="23"/>
      <c r="Q2308" s="23"/>
      <c r="R2308" s="26"/>
      <c r="S2308" s="23"/>
    </row>
    <row r="2309" spans="1:22" ht="19.5" hidden="1" customHeight="1" outlineLevel="1">
      <c r="A2309" s="29">
        <v>30</v>
      </c>
      <c r="B2309" s="30">
        <f>IF(23&lt;=DAY(DATE(YEAR(설정_코스수당!$K$2),MONTH(설정_코스수당!$K$2)+1,0)),DATE(YEAR(설정_코스수당!$K$2),MONTH(설정_코스수당!$K$2),23),"")</f>
        <v>46196</v>
      </c>
      <c r="C2309" s="31"/>
      <c r="D2309" s="29"/>
      <c r="E2309" s="29"/>
      <c r="F2309" s="32"/>
      <c r="G2309" s="29"/>
      <c r="H2309" s="29"/>
      <c r="I2309" s="29"/>
      <c r="J2309" s="33">
        <f>IF($O2309="방문완료",MAX(0,IFERROR(VLOOKUP($E2309,설정_코스수당!$A$6:$H$10,4,FALSE),0)-IF(OR($P2309="",$P2309="없음"),0,100000)),0)</f>
        <v>0</v>
      </c>
      <c r="K2309" s="33">
        <f t="array" ref="K2309">IF($O2309="방문완료",IFERROR(INDEX(설정_코스수당!$B$15:$F$64,MATCH($G2309,설정_코스수당!$A$15:$A$64,0),MATCH($E2309&amp;"수당",설정_코스수당!$B$14:$F$14,0)),0),0)</f>
        <v>0</v>
      </c>
      <c r="L2309" s="33">
        <f t="array" ref="L2309">IF($O2309="방문완료",IF($H2309="",0,IFERROR(INDEX(설정_코스수당!$B$15:$F$64,MATCH($H2309,설정_코스수당!$A$15:$A$64,0),MATCH($E2309&amp;"수당",설정_코스수당!$B$14:$F$14,0)),0)),0)</f>
        <v>0</v>
      </c>
      <c r="M2309" s="33">
        <f>IF($O2309="방문완료",IFERROR(VLOOKUP($E2309,설정_코스수당!$A$6:$H$10,6,FALSE),0),0)</f>
        <v>0</v>
      </c>
      <c r="N2309" s="34">
        <f t="shared" si="66"/>
        <v>0</v>
      </c>
      <c r="O2309" s="29"/>
      <c r="P2309" s="29"/>
      <c r="Q2309" s="29"/>
      <c r="R2309" s="32"/>
      <c r="S2309" s="29"/>
    </row>
    <row r="2310" spans="1:22" ht="19.5" hidden="1" customHeight="1" outlineLevel="1">
      <c r="A2310" s="23">
        <v>31</v>
      </c>
      <c r="B2310" s="24">
        <f>IF(23&lt;=DAY(DATE(YEAR(설정_코스수당!$K$2),MONTH(설정_코스수당!$K$2)+1,0)),DATE(YEAR(설정_코스수당!$K$2),MONTH(설정_코스수당!$K$2),23),"")</f>
        <v>46196</v>
      </c>
      <c r="C2310" s="25"/>
      <c r="D2310" s="23"/>
      <c r="E2310" s="23"/>
      <c r="F2310" s="26"/>
      <c r="G2310" s="23"/>
      <c r="H2310" s="23"/>
      <c r="I2310" s="23"/>
      <c r="J2310" s="27">
        <f>IF($O2310="방문완료",MAX(0,IFERROR(VLOOKUP($E2310,설정_코스수당!$A$6:$H$10,4,FALSE),0)-IF(OR($P2310="",$P2310="없음"),0,100000)),0)</f>
        <v>0</v>
      </c>
      <c r="K2310" s="27">
        <f t="array" ref="K2310">IF($O2310="방문완료",IFERROR(INDEX(설정_코스수당!$B$15:$F$64,MATCH($G2310,설정_코스수당!$A$15:$A$64,0),MATCH($E2310&amp;"수당",설정_코스수당!$B$14:$F$14,0)),0),0)</f>
        <v>0</v>
      </c>
      <c r="L2310" s="27">
        <f t="array" ref="L2310">IF($O2310="방문완료",IF($H2310="",0,IFERROR(INDEX(설정_코스수당!$B$15:$F$64,MATCH($H2310,설정_코스수당!$A$15:$A$64,0),MATCH($E2310&amp;"수당",설정_코스수당!$B$14:$F$14,0)),0)),0)</f>
        <v>0</v>
      </c>
      <c r="M2310" s="27">
        <f>IF($O2310="방문완료",IFERROR(VLOOKUP($E2310,설정_코스수당!$A$6:$H$10,6,FALSE),0),0)</f>
        <v>0</v>
      </c>
      <c r="N2310" s="28">
        <f t="shared" si="66"/>
        <v>0</v>
      </c>
      <c r="O2310" s="23"/>
      <c r="P2310" s="23"/>
      <c r="Q2310" s="23"/>
      <c r="R2310" s="26"/>
      <c r="S2310" s="23"/>
    </row>
    <row r="2311" spans="1:22" ht="19.5" hidden="1" customHeight="1" outlineLevel="1">
      <c r="A2311" s="29">
        <v>32</v>
      </c>
      <c r="B2311" s="30">
        <f>IF(23&lt;=DAY(DATE(YEAR(설정_코스수당!$K$2),MONTH(설정_코스수당!$K$2)+1,0)),DATE(YEAR(설정_코스수당!$K$2),MONTH(설정_코스수당!$K$2),23),"")</f>
        <v>46196</v>
      </c>
      <c r="C2311" s="31"/>
      <c r="D2311" s="29"/>
      <c r="E2311" s="29"/>
      <c r="F2311" s="32"/>
      <c r="G2311" s="29"/>
      <c r="H2311" s="29"/>
      <c r="I2311" s="29"/>
      <c r="J2311" s="33">
        <f>IF($O2311="방문완료",MAX(0,IFERROR(VLOOKUP($E2311,설정_코스수당!$A$6:$H$10,4,FALSE),0)-IF(OR($P2311="",$P2311="없음"),0,100000)),0)</f>
        <v>0</v>
      </c>
      <c r="K2311" s="33">
        <f t="array" ref="K2311">IF($O2311="방문완료",IFERROR(INDEX(설정_코스수당!$B$15:$F$64,MATCH($G2311,설정_코스수당!$A$15:$A$64,0),MATCH($E2311&amp;"수당",설정_코스수당!$B$14:$F$14,0)),0),0)</f>
        <v>0</v>
      </c>
      <c r="L2311" s="33">
        <f t="array" ref="L2311">IF($O2311="방문완료",IF($H2311="",0,IFERROR(INDEX(설정_코스수당!$B$15:$F$64,MATCH($H2311,설정_코스수당!$A$15:$A$64,0),MATCH($E2311&amp;"수당",설정_코스수당!$B$14:$F$14,0)),0)),0)</f>
        <v>0</v>
      </c>
      <c r="M2311" s="33">
        <f>IF($O2311="방문완료",IFERROR(VLOOKUP($E2311,설정_코스수당!$A$6:$H$10,6,FALSE),0),0)</f>
        <v>0</v>
      </c>
      <c r="N2311" s="34">
        <f t="shared" si="66"/>
        <v>0</v>
      </c>
      <c r="O2311" s="29"/>
      <c r="P2311" s="29"/>
      <c r="Q2311" s="29"/>
      <c r="R2311" s="32"/>
      <c r="S2311" s="29"/>
    </row>
    <row r="2312" spans="1:22" ht="19.5" hidden="1" customHeight="1" outlineLevel="1">
      <c r="A2312" s="23">
        <v>33</v>
      </c>
      <c r="B2312" s="24">
        <f>IF(23&lt;=DAY(DATE(YEAR(설정_코스수당!$K$2),MONTH(설정_코스수당!$K$2)+1,0)),DATE(YEAR(설정_코스수당!$K$2),MONTH(설정_코스수당!$K$2),23),"")</f>
        <v>46196</v>
      </c>
      <c r="C2312" s="25"/>
      <c r="D2312" s="23"/>
      <c r="E2312" s="23"/>
      <c r="F2312" s="26"/>
      <c r="G2312" s="23"/>
      <c r="H2312" s="23"/>
      <c r="I2312" s="23"/>
      <c r="J2312" s="27">
        <f>IF($O2312="방문완료",MAX(0,IFERROR(VLOOKUP($E2312,설정_코스수당!$A$6:$H$10,4,FALSE),0)-IF(OR($P2312="",$P2312="없음"),0,100000)),0)</f>
        <v>0</v>
      </c>
      <c r="K2312" s="27">
        <f t="array" ref="K2312">IF($O2312="방문완료",IFERROR(INDEX(설정_코스수당!$B$15:$F$64,MATCH($G2312,설정_코스수당!$A$15:$A$64,0),MATCH($E2312&amp;"수당",설정_코스수당!$B$14:$F$14,0)),0),0)</f>
        <v>0</v>
      </c>
      <c r="L2312" s="27">
        <f t="array" ref="L2312">IF($O2312="방문완료",IF($H2312="",0,IFERROR(INDEX(설정_코스수당!$B$15:$F$64,MATCH($H2312,설정_코스수당!$A$15:$A$64,0),MATCH($E2312&amp;"수당",설정_코스수당!$B$14:$F$14,0)),0)),0)</f>
        <v>0</v>
      </c>
      <c r="M2312" s="27">
        <f>IF($O2312="방문완료",IFERROR(VLOOKUP($E2312,설정_코스수당!$A$6:$H$10,6,FALSE),0),0)</f>
        <v>0</v>
      </c>
      <c r="N2312" s="28">
        <f t="shared" ref="N2312:N2343" si="67">IF($O2312="방문완료",1,0)</f>
        <v>0</v>
      </c>
      <c r="O2312" s="23"/>
      <c r="P2312" s="23"/>
      <c r="Q2312" s="23"/>
      <c r="R2312" s="26"/>
      <c r="S2312" s="23"/>
    </row>
    <row r="2313" spans="1:22" ht="19.5" hidden="1" customHeight="1" outlineLevel="1">
      <c r="A2313" s="29">
        <v>34</v>
      </c>
      <c r="B2313" s="30">
        <f>IF(23&lt;=DAY(DATE(YEAR(설정_코스수당!$K$2),MONTH(설정_코스수당!$K$2)+1,0)),DATE(YEAR(설정_코스수당!$K$2),MONTH(설정_코스수당!$K$2),23),"")</f>
        <v>46196</v>
      </c>
      <c r="C2313" s="31"/>
      <c r="D2313" s="29"/>
      <c r="E2313" s="29"/>
      <c r="F2313" s="32"/>
      <c r="G2313" s="29"/>
      <c r="H2313" s="29"/>
      <c r="I2313" s="29"/>
      <c r="J2313" s="33">
        <f>IF($O2313="방문완료",MAX(0,IFERROR(VLOOKUP($E2313,설정_코스수당!$A$6:$H$10,4,FALSE),0)-IF(OR($P2313="",$P2313="없음"),0,100000)),0)</f>
        <v>0</v>
      </c>
      <c r="K2313" s="33">
        <f t="array" ref="K2313">IF($O2313="방문완료",IFERROR(INDEX(설정_코스수당!$B$15:$F$64,MATCH($G2313,설정_코스수당!$A$15:$A$64,0),MATCH($E2313&amp;"수당",설정_코스수당!$B$14:$F$14,0)),0),0)</f>
        <v>0</v>
      </c>
      <c r="L2313" s="33">
        <f t="array" ref="L2313">IF($O2313="방문완료",IF($H2313="",0,IFERROR(INDEX(설정_코스수당!$B$15:$F$64,MATCH($H2313,설정_코스수당!$A$15:$A$64,0),MATCH($E2313&amp;"수당",설정_코스수당!$B$14:$F$14,0)),0)),0)</f>
        <v>0</v>
      </c>
      <c r="M2313" s="33">
        <f>IF($O2313="방문완료",IFERROR(VLOOKUP($E2313,설정_코스수당!$A$6:$H$10,6,FALSE),0),0)</f>
        <v>0</v>
      </c>
      <c r="N2313" s="34">
        <f t="shared" si="67"/>
        <v>0</v>
      </c>
      <c r="O2313" s="29"/>
      <c r="P2313" s="29"/>
      <c r="Q2313" s="29"/>
      <c r="R2313" s="32"/>
      <c r="S2313" s="29"/>
    </row>
    <row r="2314" spans="1:22" ht="19.5" hidden="1" customHeight="1" outlineLevel="1">
      <c r="A2314" s="23">
        <v>35</v>
      </c>
      <c r="B2314" s="24">
        <f>IF(23&lt;=DAY(DATE(YEAR(설정_코스수당!$K$2),MONTH(설정_코스수당!$K$2)+1,0)),DATE(YEAR(설정_코스수당!$K$2),MONTH(설정_코스수당!$K$2),23),"")</f>
        <v>46196</v>
      </c>
      <c r="C2314" s="25"/>
      <c r="D2314" s="23"/>
      <c r="E2314" s="23"/>
      <c r="F2314" s="26"/>
      <c r="G2314" s="23"/>
      <c r="H2314" s="23"/>
      <c r="I2314" s="23"/>
      <c r="J2314" s="27">
        <f>IF($O2314="방문완료",MAX(0,IFERROR(VLOOKUP($E2314,설정_코스수당!$A$6:$H$10,4,FALSE),0)-IF(OR($P2314="",$P2314="없음"),0,100000)),0)</f>
        <v>0</v>
      </c>
      <c r="K2314" s="27">
        <f t="array" ref="K2314">IF($O2314="방문완료",IFERROR(INDEX(설정_코스수당!$B$15:$F$64,MATCH($G2314,설정_코스수당!$A$15:$A$64,0),MATCH($E2314&amp;"수당",설정_코스수당!$B$14:$F$14,0)),0),0)</f>
        <v>0</v>
      </c>
      <c r="L2314" s="27">
        <f t="array" ref="L2314">IF($O2314="방문완료",IF($H2314="",0,IFERROR(INDEX(설정_코스수당!$B$15:$F$64,MATCH($H2314,설정_코스수당!$A$15:$A$64,0),MATCH($E2314&amp;"수당",설정_코스수당!$B$14:$F$14,0)),0)),0)</f>
        <v>0</v>
      </c>
      <c r="M2314" s="27">
        <f>IF($O2314="방문완료",IFERROR(VLOOKUP($E2314,설정_코스수당!$A$6:$H$10,6,FALSE),0),0)</f>
        <v>0</v>
      </c>
      <c r="N2314" s="28">
        <f t="shared" si="67"/>
        <v>0</v>
      </c>
      <c r="O2314" s="23"/>
      <c r="P2314" s="23"/>
      <c r="Q2314" s="23"/>
      <c r="R2314" s="26"/>
      <c r="S2314" s="23"/>
    </row>
    <row r="2315" spans="1:22" ht="19.5" hidden="1" customHeight="1" outlineLevel="1">
      <c r="A2315" s="29">
        <v>36</v>
      </c>
      <c r="B2315" s="30">
        <f>IF(23&lt;=DAY(DATE(YEAR(설정_코스수당!$K$2),MONTH(설정_코스수당!$K$2)+1,0)),DATE(YEAR(설정_코스수당!$K$2),MONTH(설정_코스수당!$K$2),23),"")</f>
        <v>46196</v>
      </c>
      <c r="C2315" s="31"/>
      <c r="D2315" s="29"/>
      <c r="E2315" s="29"/>
      <c r="F2315" s="32"/>
      <c r="G2315" s="29"/>
      <c r="H2315" s="29"/>
      <c r="I2315" s="29"/>
      <c r="J2315" s="33">
        <f>IF($O2315="방문완료",MAX(0,IFERROR(VLOOKUP($E2315,설정_코스수당!$A$6:$H$10,4,FALSE),0)-IF(OR($P2315="",$P2315="없음"),0,100000)),0)</f>
        <v>0</v>
      </c>
      <c r="K2315" s="33">
        <f t="array" ref="K2315">IF($O2315="방문완료",IFERROR(INDEX(설정_코스수당!$B$15:$F$64,MATCH($G2315,설정_코스수당!$A$15:$A$64,0),MATCH($E2315&amp;"수당",설정_코스수당!$B$14:$F$14,0)),0),0)</f>
        <v>0</v>
      </c>
      <c r="L2315" s="33">
        <f t="array" ref="L2315">IF($O2315="방문완료",IF($H2315="",0,IFERROR(INDEX(설정_코스수당!$B$15:$F$64,MATCH($H2315,설정_코스수당!$A$15:$A$64,0),MATCH($E2315&amp;"수당",설정_코스수당!$B$14:$F$14,0)),0)),0)</f>
        <v>0</v>
      </c>
      <c r="M2315" s="33">
        <f>IF($O2315="방문완료",IFERROR(VLOOKUP($E2315,설정_코스수당!$A$6:$H$10,6,FALSE),0),0)</f>
        <v>0</v>
      </c>
      <c r="N2315" s="34">
        <f t="shared" si="67"/>
        <v>0</v>
      </c>
      <c r="O2315" s="29"/>
      <c r="P2315" s="29"/>
      <c r="Q2315" s="29"/>
      <c r="R2315" s="32"/>
      <c r="S2315" s="29"/>
    </row>
    <row r="2316" spans="1:22" ht="19.5" hidden="1" customHeight="1" outlineLevel="1">
      <c r="A2316" s="23">
        <v>37</v>
      </c>
      <c r="B2316" s="24">
        <f>IF(23&lt;=DAY(DATE(YEAR(설정_코스수당!$K$2),MONTH(설정_코스수당!$K$2)+1,0)),DATE(YEAR(설정_코스수당!$K$2),MONTH(설정_코스수당!$K$2),23),"")</f>
        <v>46196</v>
      </c>
      <c r="C2316" s="25"/>
      <c r="D2316" s="23"/>
      <c r="E2316" s="23"/>
      <c r="F2316" s="26"/>
      <c r="G2316" s="23"/>
      <c r="H2316" s="23"/>
      <c r="I2316" s="23"/>
      <c r="J2316" s="27">
        <f>IF($O2316="방문완료",MAX(0,IFERROR(VLOOKUP($E2316,설정_코스수당!$A$6:$H$10,4,FALSE),0)-IF(OR($P2316="",$P2316="없음"),0,100000)),0)</f>
        <v>0</v>
      </c>
      <c r="K2316" s="27">
        <f t="array" ref="K2316">IF($O2316="방문완료",IFERROR(INDEX(설정_코스수당!$B$15:$F$64,MATCH($G2316,설정_코스수당!$A$15:$A$64,0),MATCH($E2316&amp;"수당",설정_코스수당!$B$14:$F$14,0)),0),0)</f>
        <v>0</v>
      </c>
      <c r="L2316" s="27">
        <f t="array" ref="L2316">IF($O2316="방문완료",IF($H2316="",0,IFERROR(INDEX(설정_코스수당!$B$15:$F$64,MATCH($H2316,설정_코스수당!$A$15:$A$64,0),MATCH($E2316&amp;"수당",설정_코스수당!$B$14:$F$14,0)),0)),0)</f>
        <v>0</v>
      </c>
      <c r="M2316" s="27">
        <f>IF($O2316="방문완료",IFERROR(VLOOKUP($E2316,설정_코스수당!$A$6:$H$10,6,FALSE),0),0)</f>
        <v>0</v>
      </c>
      <c r="N2316" s="28">
        <f t="shared" si="67"/>
        <v>0</v>
      </c>
      <c r="O2316" s="23"/>
      <c r="P2316" s="23"/>
      <c r="Q2316" s="23"/>
      <c r="R2316" s="26"/>
      <c r="S2316" s="23"/>
    </row>
    <row r="2317" spans="1:22" ht="19.5" hidden="1" customHeight="1" outlineLevel="1">
      <c r="A2317" s="29">
        <v>38</v>
      </c>
      <c r="B2317" s="30">
        <f>IF(23&lt;=DAY(DATE(YEAR(설정_코스수당!$K$2),MONTH(설정_코스수당!$K$2)+1,0)),DATE(YEAR(설정_코스수당!$K$2),MONTH(설정_코스수당!$K$2),23),"")</f>
        <v>46196</v>
      </c>
      <c r="C2317" s="31"/>
      <c r="D2317" s="29"/>
      <c r="E2317" s="29"/>
      <c r="F2317" s="32"/>
      <c r="G2317" s="29"/>
      <c r="H2317" s="29"/>
      <c r="I2317" s="29"/>
      <c r="J2317" s="33">
        <f>IF($O2317="방문완료",MAX(0,IFERROR(VLOOKUP($E2317,설정_코스수당!$A$6:$H$10,4,FALSE),0)-IF(OR($P2317="",$P2317="없음"),0,100000)),0)</f>
        <v>0</v>
      </c>
      <c r="K2317" s="33">
        <f t="array" ref="K2317">IF($O2317="방문완료",IFERROR(INDEX(설정_코스수당!$B$15:$F$64,MATCH($G2317,설정_코스수당!$A$15:$A$64,0),MATCH($E2317&amp;"수당",설정_코스수당!$B$14:$F$14,0)),0),0)</f>
        <v>0</v>
      </c>
      <c r="L2317" s="33">
        <f t="array" ref="L2317">IF($O2317="방문완료",IF($H2317="",0,IFERROR(INDEX(설정_코스수당!$B$15:$F$64,MATCH($H2317,설정_코스수당!$A$15:$A$64,0),MATCH($E2317&amp;"수당",설정_코스수당!$B$14:$F$14,0)),0)),0)</f>
        <v>0</v>
      </c>
      <c r="M2317" s="33">
        <f>IF($O2317="방문완료",IFERROR(VLOOKUP($E2317,설정_코스수당!$A$6:$H$10,6,FALSE),0),0)</f>
        <v>0</v>
      </c>
      <c r="N2317" s="34">
        <f t="shared" si="67"/>
        <v>0</v>
      </c>
      <c r="O2317" s="29"/>
      <c r="P2317" s="29"/>
      <c r="Q2317" s="29"/>
      <c r="R2317" s="32"/>
      <c r="S2317" s="29"/>
    </row>
    <row r="2318" spans="1:22" ht="19.5" hidden="1" customHeight="1" outlineLevel="1">
      <c r="A2318" s="23">
        <v>39</v>
      </c>
      <c r="B2318" s="24">
        <f>IF(23&lt;=DAY(DATE(YEAR(설정_코스수당!$K$2),MONTH(설정_코스수당!$K$2)+1,0)),DATE(YEAR(설정_코스수당!$K$2),MONTH(설정_코스수당!$K$2),23),"")</f>
        <v>46196</v>
      </c>
      <c r="C2318" s="25"/>
      <c r="D2318" s="23"/>
      <c r="E2318" s="23"/>
      <c r="F2318" s="26"/>
      <c r="G2318" s="23"/>
      <c r="H2318" s="23"/>
      <c r="I2318" s="23"/>
      <c r="J2318" s="27">
        <f>IF($O2318="방문완료",MAX(0,IFERROR(VLOOKUP($E2318,설정_코스수당!$A$6:$H$10,4,FALSE),0)-IF(OR($P2318="",$P2318="없음"),0,100000)),0)</f>
        <v>0</v>
      </c>
      <c r="K2318" s="27">
        <f t="array" ref="K2318">IF($O2318="방문완료",IFERROR(INDEX(설정_코스수당!$B$15:$F$64,MATCH($G2318,설정_코스수당!$A$15:$A$64,0),MATCH($E2318&amp;"수당",설정_코스수당!$B$14:$F$14,0)),0),0)</f>
        <v>0</v>
      </c>
      <c r="L2318" s="27">
        <f t="array" ref="L2318">IF($O2318="방문완료",IF($H2318="",0,IFERROR(INDEX(설정_코스수당!$B$15:$F$64,MATCH($H2318,설정_코스수당!$A$15:$A$64,0),MATCH($E2318&amp;"수당",설정_코스수당!$B$14:$F$14,0)),0)),0)</f>
        <v>0</v>
      </c>
      <c r="M2318" s="27">
        <f>IF($O2318="방문완료",IFERROR(VLOOKUP($E2318,설정_코스수당!$A$6:$H$10,6,FALSE),0),0)</f>
        <v>0</v>
      </c>
      <c r="N2318" s="28">
        <f t="shared" si="67"/>
        <v>0</v>
      </c>
      <c r="O2318" s="23"/>
      <c r="P2318" s="23"/>
      <c r="Q2318" s="23"/>
      <c r="R2318" s="26"/>
      <c r="S2318" s="23"/>
    </row>
    <row r="2319" spans="1:22" ht="19.5" hidden="1" customHeight="1" outlineLevel="1">
      <c r="A2319" s="29">
        <v>40</v>
      </c>
      <c r="B2319" s="30">
        <f>IF(23&lt;=DAY(DATE(YEAR(설정_코스수당!$K$2),MONTH(설정_코스수당!$K$2)+1,0)),DATE(YEAR(설정_코스수당!$K$2),MONTH(설정_코스수당!$K$2),23),"")</f>
        <v>46196</v>
      </c>
      <c r="C2319" s="31"/>
      <c r="D2319" s="29"/>
      <c r="E2319" s="29"/>
      <c r="F2319" s="32"/>
      <c r="G2319" s="29"/>
      <c r="H2319" s="29"/>
      <c r="I2319" s="29"/>
      <c r="J2319" s="33">
        <f>IF($O2319="방문완료",MAX(0,IFERROR(VLOOKUP($E2319,설정_코스수당!$A$6:$H$10,4,FALSE),0)-IF(OR($P2319="",$P2319="없음"),0,100000)),0)</f>
        <v>0</v>
      </c>
      <c r="K2319" s="33">
        <f t="array" ref="K2319">IF($O2319="방문완료",IFERROR(INDEX(설정_코스수당!$B$15:$F$64,MATCH($G2319,설정_코스수당!$A$15:$A$64,0),MATCH($E2319&amp;"수당",설정_코스수당!$B$14:$F$14,0)),0),0)</f>
        <v>0</v>
      </c>
      <c r="L2319" s="33">
        <f t="array" ref="L2319">IF($O2319="방문완료",IF($H2319="",0,IFERROR(INDEX(설정_코스수당!$B$15:$F$64,MATCH($H2319,설정_코스수당!$A$15:$A$64,0),MATCH($E2319&amp;"수당",설정_코스수당!$B$14:$F$14,0)),0)),0)</f>
        <v>0</v>
      </c>
      <c r="M2319" s="33">
        <f>IF($O2319="방문완료",IFERROR(VLOOKUP($E2319,설정_코스수당!$A$6:$H$10,6,FALSE),0),0)</f>
        <v>0</v>
      </c>
      <c r="N2319" s="34">
        <f t="shared" si="67"/>
        <v>0</v>
      </c>
      <c r="O2319" s="29"/>
      <c r="P2319" s="29"/>
      <c r="Q2319" s="29"/>
      <c r="R2319" s="32"/>
      <c r="S2319" s="29"/>
    </row>
    <row r="2320" spans="1:22" ht="19.5" hidden="1" customHeight="1" outlineLevel="1">
      <c r="A2320" s="23">
        <v>41</v>
      </c>
      <c r="B2320" s="24">
        <f>IF(23&lt;=DAY(DATE(YEAR(설정_코스수당!$K$2),MONTH(설정_코스수당!$K$2)+1,0)),DATE(YEAR(설정_코스수당!$K$2),MONTH(설정_코스수당!$K$2),23),"")</f>
        <v>46196</v>
      </c>
      <c r="C2320" s="25"/>
      <c r="D2320" s="23"/>
      <c r="E2320" s="23"/>
      <c r="F2320" s="26"/>
      <c r="G2320" s="23"/>
      <c r="H2320" s="23"/>
      <c r="I2320" s="23"/>
      <c r="J2320" s="27">
        <f>IF($O2320="방문완료",MAX(0,IFERROR(VLOOKUP($E2320,설정_코스수당!$A$6:$H$10,4,FALSE),0)-IF(OR($P2320="",$P2320="없음"),0,100000)),0)</f>
        <v>0</v>
      </c>
      <c r="K2320" s="27">
        <f t="array" ref="K2320">IF($O2320="방문완료",IFERROR(INDEX(설정_코스수당!$B$15:$F$64,MATCH($G2320,설정_코스수당!$A$15:$A$64,0),MATCH($E2320&amp;"수당",설정_코스수당!$B$14:$F$14,0)),0),0)</f>
        <v>0</v>
      </c>
      <c r="L2320" s="27">
        <f t="array" ref="L2320">IF($O2320="방문완료",IF($H2320="",0,IFERROR(INDEX(설정_코스수당!$B$15:$F$64,MATCH($H2320,설정_코스수당!$A$15:$A$64,0),MATCH($E2320&amp;"수당",설정_코스수당!$B$14:$F$14,0)),0)),0)</f>
        <v>0</v>
      </c>
      <c r="M2320" s="27">
        <f>IF($O2320="방문완료",IFERROR(VLOOKUP($E2320,설정_코스수당!$A$6:$H$10,6,FALSE),0),0)</f>
        <v>0</v>
      </c>
      <c r="N2320" s="28">
        <f t="shared" si="67"/>
        <v>0</v>
      </c>
      <c r="O2320" s="23"/>
      <c r="P2320" s="23"/>
      <c r="Q2320" s="23"/>
      <c r="R2320" s="26"/>
      <c r="S2320" s="23"/>
      <c r="U2320" s="16" t="s">
        <v>72</v>
      </c>
      <c r="V2320" s="17">
        <f>IF(24&lt;=DAY(DATE(YEAR(설정_코스수당!$K$2),MONTH(설정_코스수당!$K$2)+1,0)),COUNTIFS($B:$B,DATE(YEAR(설정_코스수당!$K$2),MONTH(설정_코스수당!$K$2),24),$O:$O,"방문완료",$P:$P,"&lt;&gt;",$P:$P,"&lt;&gt;없음")*100000,"")</f>
        <v>0</v>
      </c>
    </row>
    <row r="2321" spans="1:19" ht="19.5" hidden="1" customHeight="1" outlineLevel="1">
      <c r="A2321" s="29">
        <v>42</v>
      </c>
      <c r="B2321" s="30">
        <f>IF(23&lt;=DAY(DATE(YEAR(설정_코스수당!$K$2),MONTH(설정_코스수당!$K$2)+1,0)),DATE(YEAR(설정_코스수당!$K$2),MONTH(설정_코스수당!$K$2),23),"")</f>
        <v>46196</v>
      </c>
      <c r="C2321" s="31"/>
      <c r="D2321" s="29"/>
      <c r="E2321" s="29"/>
      <c r="F2321" s="32"/>
      <c r="G2321" s="29"/>
      <c r="H2321" s="29"/>
      <c r="I2321" s="29"/>
      <c r="J2321" s="33">
        <f>IF($O2321="방문완료",MAX(0,IFERROR(VLOOKUP($E2321,설정_코스수당!$A$6:$H$10,4,FALSE),0)-IF(OR($P2321="",$P2321="없음"),0,100000)),0)</f>
        <v>0</v>
      </c>
      <c r="K2321" s="33">
        <f t="array" ref="K2321">IF($O2321="방문완료",IFERROR(INDEX(설정_코스수당!$B$15:$F$64,MATCH($G2321,설정_코스수당!$A$15:$A$64,0),MATCH($E2321&amp;"수당",설정_코스수당!$B$14:$F$14,0)),0),0)</f>
        <v>0</v>
      </c>
      <c r="L2321" s="33">
        <f t="array" ref="L2321">IF($O2321="방문완료",IF($H2321="",0,IFERROR(INDEX(설정_코스수당!$B$15:$F$64,MATCH($H2321,설정_코스수당!$A$15:$A$64,0),MATCH($E2321&amp;"수당",설정_코스수당!$B$14:$F$14,0)),0)),0)</f>
        <v>0</v>
      </c>
      <c r="M2321" s="33">
        <f>IF($O2321="방문완료",IFERROR(VLOOKUP($E2321,설정_코스수당!$A$6:$H$10,6,FALSE),0),0)</f>
        <v>0</v>
      </c>
      <c r="N2321" s="34">
        <f t="shared" si="67"/>
        <v>0</v>
      </c>
      <c r="O2321" s="29"/>
      <c r="P2321" s="29"/>
      <c r="Q2321" s="29"/>
      <c r="R2321" s="32"/>
      <c r="S2321" s="29"/>
    </row>
    <row r="2322" spans="1:19" ht="19.5" hidden="1" customHeight="1" outlineLevel="1">
      <c r="A2322" s="23">
        <v>43</v>
      </c>
      <c r="B2322" s="24">
        <f>IF(23&lt;=DAY(DATE(YEAR(설정_코스수당!$K$2),MONTH(설정_코스수당!$K$2)+1,0)),DATE(YEAR(설정_코스수당!$K$2),MONTH(설정_코스수당!$K$2),23),"")</f>
        <v>46196</v>
      </c>
      <c r="C2322" s="25"/>
      <c r="D2322" s="23"/>
      <c r="E2322" s="23"/>
      <c r="F2322" s="26"/>
      <c r="G2322" s="23"/>
      <c r="H2322" s="23"/>
      <c r="I2322" s="23"/>
      <c r="J2322" s="27">
        <f>IF($O2322="방문완료",MAX(0,IFERROR(VLOOKUP($E2322,설정_코스수당!$A$6:$H$10,4,FALSE),0)-IF(OR($P2322="",$P2322="없음"),0,100000)),0)</f>
        <v>0</v>
      </c>
      <c r="K2322" s="27">
        <f t="array" ref="K2322">IF($O2322="방문완료",IFERROR(INDEX(설정_코스수당!$B$15:$F$64,MATCH($G2322,설정_코스수당!$A$15:$A$64,0),MATCH($E2322&amp;"수당",설정_코스수당!$B$14:$F$14,0)),0),0)</f>
        <v>0</v>
      </c>
      <c r="L2322" s="27">
        <f t="array" ref="L2322">IF($O2322="방문완료",IF($H2322="",0,IFERROR(INDEX(설정_코스수당!$B$15:$F$64,MATCH($H2322,설정_코스수당!$A$15:$A$64,0),MATCH($E2322&amp;"수당",설정_코스수당!$B$14:$F$14,0)),0)),0)</f>
        <v>0</v>
      </c>
      <c r="M2322" s="27">
        <f>IF($O2322="방문완료",IFERROR(VLOOKUP($E2322,설정_코스수당!$A$6:$H$10,6,FALSE),0),0)</f>
        <v>0</v>
      </c>
      <c r="N2322" s="28">
        <f t="shared" si="67"/>
        <v>0</v>
      </c>
      <c r="O2322" s="23"/>
      <c r="P2322" s="23"/>
      <c r="Q2322" s="23"/>
      <c r="R2322" s="26"/>
      <c r="S2322" s="23"/>
    </row>
    <row r="2323" spans="1:19" ht="19.5" hidden="1" customHeight="1" outlineLevel="1">
      <c r="A2323" s="29">
        <v>44</v>
      </c>
      <c r="B2323" s="30">
        <f>IF(23&lt;=DAY(DATE(YEAR(설정_코스수당!$K$2),MONTH(설정_코스수당!$K$2)+1,0)),DATE(YEAR(설정_코스수당!$K$2),MONTH(설정_코스수당!$K$2),23),"")</f>
        <v>46196</v>
      </c>
      <c r="C2323" s="31"/>
      <c r="D2323" s="29"/>
      <c r="E2323" s="29"/>
      <c r="F2323" s="32"/>
      <c r="G2323" s="29"/>
      <c r="H2323" s="29"/>
      <c r="I2323" s="29"/>
      <c r="J2323" s="33">
        <f>IF($O2323="방문완료",MAX(0,IFERROR(VLOOKUP($E2323,설정_코스수당!$A$6:$H$10,4,FALSE),0)-IF(OR($P2323="",$P2323="없음"),0,100000)),0)</f>
        <v>0</v>
      </c>
      <c r="K2323" s="33">
        <f t="array" ref="K2323">IF($O2323="방문완료",IFERROR(INDEX(설정_코스수당!$B$15:$F$64,MATCH($G2323,설정_코스수당!$A$15:$A$64,0),MATCH($E2323&amp;"수당",설정_코스수당!$B$14:$F$14,0)),0),0)</f>
        <v>0</v>
      </c>
      <c r="L2323" s="33">
        <f t="array" ref="L2323">IF($O2323="방문완료",IF($H2323="",0,IFERROR(INDEX(설정_코스수당!$B$15:$F$64,MATCH($H2323,설정_코스수당!$A$15:$A$64,0),MATCH($E2323&amp;"수당",설정_코스수당!$B$14:$F$14,0)),0)),0)</f>
        <v>0</v>
      </c>
      <c r="M2323" s="33">
        <f>IF($O2323="방문완료",IFERROR(VLOOKUP($E2323,설정_코스수당!$A$6:$H$10,6,FALSE),0),0)</f>
        <v>0</v>
      </c>
      <c r="N2323" s="34">
        <f t="shared" si="67"/>
        <v>0</v>
      </c>
      <c r="O2323" s="29"/>
      <c r="P2323" s="29"/>
      <c r="Q2323" s="29"/>
      <c r="R2323" s="32"/>
      <c r="S2323" s="29"/>
    </row>
    <row r="2324" spans="1:19" ht="19.5" hidden="1" customHeight="1" outlineLevel="1">
      <c r="A2324" s="23">
        <v>45</v>
      </c>
      <c r="B2324" s="24">
        <f>IF(23&lt;=DAY(DATE(YEAR(설정_코스수당!$K$2),MONTH(설정_코스수당!$K$2)+1,0)),DATE(YEAR(설정_코스수당!$K$2),MONTH(설정_코스수당!$K$2),23),"")</f>
        <v>46196</v>
      </c>
      <c r="C2324" s="25"/>
      <c r="D2324" s="23"/>
      <c r="E2324" s="23"/>
      <c r="F2324" s="26"/>
      <c r="G2324" s="23"/>
      <c r="H2324" s="23"/>
      <c r="I2324" s="23"/>
      <c r="J2324" s="27">
        <f>IF($O2324="방문완료",MAX(0,IFERROR(VLOOKUP($E2324,설정_코스수당!$A$6:$H$10,4,FALSE),0)-IF(OR($P2324="",$P2324="없음"),0,100000)),0)</f>
        <v>0</v>
      </c>
      <c r="K2324" s="27">
        <f t="array" ref="K2324">IF($O2324="방문완료",IFERROR(INDEX(설정_코스수당!$B$15:$F$64,MATCH($G2324,설정_코스수당!$A$15:$A$64,0),MATCH($E2324&amp;"수당",설정_코스수당!$B$14:$F$14,0)),0),0)</f>
        <v>0</v>
      </c>
      <c r="L2324" s="27">
        <f t="array" ref="L2324">IF($O2324="방문완료",IF($H2324="",0,IFERROR(INDEX(설정_코스수당!$B$15:$F$64,MATCH($H2324,설정_코스수당!$A$15:$A$64,0),MATCH($E2324&amp;"수당",설정_코스수당!$B$14:$F$14,0)),0)),0)</f>
        <v>0</v>
      </c>
      <c r="M2324" s="27">
        <f>IF($O2324="방문완료",IFERROR(VLOOKUP($E2324,설정_코스수당!$A$6:$H$10,6,FALSE),0),0)</f>
        <v>0</v>
      </c>
      <c r="N2324" s="28">
        <f t="shared" si="67"/>
        <v>0</v>
      </c>
      <c r="O2324" s="23"/>
      <c r="P2324" s="23"/>
      <c r="Q2324" s="23"/>
      <c r="R2324" s="26"/>
      <c r="S2324" s="23"/>
    </row>
    <row r="2325" spans="1:19" ht="19.5" hidden="1" customHeight="1" outlineLevel="1">
      <c r="A2325" s="29">
        <v>46</v>
      </c>
      <c r="B2325" s="30">
        <f>IF(23&lt;=DAY(DATE(YEAR(설정_코스수당!$K$2),MONTH(설정_코스수당!$K$2)+1,0)),DATE(YEAR(설정_코스수당!$K$2),MONTH(설정_코스수당!$K$2),23),"")</f>
        <v>46196</v>
      </c>
      <c r="C2325" s="31"/>
      <c r="D2325" s="29"/>
      <c r="E2325" s="29"/>
      <c r="F2325" s="32"/>
      <c r="G2325" s="29"/>
      <c r="H2325" s="29"/>
      <c r="I2325" s="29"/>
      <c r="J2325" s="33">
        <f>IF($O2325="방문완료",MAX(0,IFERROR(VLOOKUP($E2325,설정_코스수당!$A$6:$H$10,4,FALSE),0)-IF(OR($P2325="",$P2325="없음"),0,100000)),0)</f>
        <v>0</v>
      </c>
      <c r="K2325" s="33">
        <f t="array" ref="K2325">IF($O2325="방문완료",IFERROR(INDEX(설정_코스수당!$B$15:$F$64,MATCH($G2325,설정_코스수당!$A$15:$A$64,0),MATCH($E2325&amp;"수당",설정_코스수당!$B$14:$F$14,0)),0),0)</f>
        <v>0</v>
      </c>
      <c r="L2325" s="33">
        <f t="array" ref="L2325">IF($O2325="방문완료",IF($H2325="",0,IFERROR(INDEX(설정_코스수당!$B$15:$F$64,MATCH($H2325,설정_코스수당!$A$15:$A$64,0),MATCH($E2325&amp;"수당",설정_코스수당!$B$14:$F$14,0)),0)),0)</f>
        <v>0</v>
      </c>
      <c r="M2325" s="33">
        <f>IF($O2325="방문완료",IFERROR(VLOOKUP($E2325,설정_코스수당!$A$6:$H$10,6,FALSE),0),0)</f>
        <v>0</v>
      </c>
      <c r="N2325" s="34">
        <f t="shared" si="67"/>
        <v>0</v>
      </c>
      <c r="O2325" s="29"/>
      <c r="P2325" s="29"/>
      <c r="Q2325" s="29"/>
      <c r="R2325" s="32"/>
      <c r="S2325" s="29"/>
    </row>
    <row r="2326" spans="1:19" ht="19.5" hidden="1" customHeight="1" outlineLevel="1">
      <c r="A2326" s="23">
        <v>47</v>
      </c>
      <c r="B2326" s="24">
        <f>IF(23&lt;=DAY(DATE(YEAR(설정_코스수당!$K$2),MONTH(설정_코스수당!$K$2)+1,0)),DATE(YEAR(설정_코스수당!$K$2),MONTH(설정_코스수당!$K$2),23),"")</f>
        <v>46196</v>
      </c>
      <c r="C2326" s="25"/>
      <c r="D2326" s="23"/>
      <c r="E2326" s="23"/>
      <c r="F2326" s="26"/>
      <c r="G2326" s="23"/>
      <c r="H2326" s="23"/>
      <c r="I2326" s="23"/>
      <c r="J2326" s="27">
        <f>IF($O2326="방문완료",MAX(0,IFERROR(VLOOKUP($E2326,설정_코스수당!$A$6:$H$10,4,FALSE),0)-IF(OR($P2326="",$P2326="없음"),0,100000)),0)</f>
        <v>0</v>
      </c>
      <c r="K2326" s="27">
        <f t="array" ref="K2326">IF($O2326="방문완료",IFERROR(INDEX(설정_코스수당!$B$15:$F$64,MATCH($G2326,설정_코스수당!$A$15:$A$64,0),MATCH($E2326&amp;"수당",설정_코스수당!$B$14:$F$14,0)),0),0)</f>
        <v>0</v>
      </c>
      <c r="L2326" s="27">
        <f t="array" ref="L2326">IF($O2326="방문완료",IF($H2326="",0,IFERROR(INDEX(설정_코스수당!$B$15:$F$64,MATCH($H2326,설정_코스수당!$A$15:$A$64,0),MATCH($E2326&amp;"수당",설정_코스수당!$B$14:$F$14,0)),0)),0)</f>
        <v>0</v>
      </c>
      <c r="M2326" s="27">
        <f>IF($O2326="방문완료",IFERROR(VLOOKUP($E2326,설정_코스수당!$A$6:$H$10,6,FALSE),0),0)</f>
        <v>0</v>
      </c>
      <c r="N2326" s="28">
        <f t="shared" si="67"/>
        <v>0</v>
      </c>
      <c r="O2326" s="23"/>
      <c r="P2326" s="23"/>
      <c r="Q2326" s="23"/>
      <c r="R2326" s="26"/>
      <c r="S2326" s="23"/>
    </row>
    <row r="2327" spans="1:19" ht="19.5" hidden="1" customHeight="1" outlineLevel="1">
      <c r="A2327" s="29">
        <v>48</v>
      </c>
      <c r="B2327" s="30">
        <f>IF(23&lt;=DAY(DATE(YEAR(설정_코스수당!$K$2),MONTH(설정_코스수당!$K$2)+1,0)),DATE(YEAR(설정_코스수당!$K$2),MONTH(설정_코스수당!$K$2),23),"")</f>
        <v>46196</v>
      </c>
      <c r="C2327" s="31"/>
      <c r="D2327" s="29"/>
      <c r="E2327" s="29"/>
      <c r="F2327" s="32"/>
      <c r="G2327" s="29"/>
      <c r="H2327" s="29"/>
      <c r="I2327" s="29"/>
      <c r="J2327" s="33">
        <f>IF($O2327="방문완료",MAX(0,IFERROR(VLOOKUP($E2327,설정_코스수당!$A$6:$H$10,4,FALSE),0)-IF(OR($P2327="",$P2327="없음"),0,100000)),0)</f>
        <v>0</v>
      </c>
      <c r="K2327" s="33">
        <f t="array" ref="K2327">IF($O2327="방문완료",IFERROR(INDEX(설정_코스수당!$B$15:$F$64,MATCH($G2327,설정_코스수당!$A$15:$A$64,0),MATCH($E2327&amp;"수당",설정_코스수당!$B$14:$F$14,0)),0),0)</f>
        <v>0</v>
      </c>
      <c r="L2327" s="33">
        <f t="array" ref="L2327">IF($O2327="방문완료",IF($H2327="",0,IFERROR(INDEX(설정_코스수당!$B$15:$F$64,MATCH($H2327,설정_코스수당!$A$15:$A$64,0),MATCH($E2327&amp;"수당",설정_코스수당!$B$14:$F$14,0)),0)),0)</f>
        <v>0</v>
      </c>
      <c r="M2327" s="33">
        <f>IF($O2327="방문완료",IFERROR(VLOOKUP($E2327,설정_코스수당!$A$6:$H$10,6,FALSE),0),0)</f>
        <v>0</v>
      </c>
      <c r="N2327" s="34">
        <f t="shared" si="67"/>
        <v>0</v>
      </c>
      <c r="O2327" s="29"/>
      <c r="P2327" s="29"/>
      <c r="Q2327" s="29"/>
      <c r="R2327" s="32"/>
      <c r="S2327" s="29"/>
    </row>
    <row r="2328" spans="1:19" ht="19.5" hidden="1" customHeight="1" outlineLevel="1">
      <c r="A2328" s="23">
        <v>49</v>
      </c>
      <c r="B2328" s="24">
        <f>IF(23&lt;=DAY(DATE(YEAR(설정_코스수당!$K$2),MONTH(설정_코스수당!$K$2)+1,0)),DATE(YEAR(설정_코스수당!$K$2),MONTH(설정_코스수당!$K$2),23),"")</f>
        <v>46196</v>
      </c>
      <c r="C2328" s="25"/>
      <c r="D2328" s="23"/>
      <c r="E2328" s="23"/>
      <c r="F2328" s="26"/>
      <c r="G2328" s="23"/>
      <c r="H2328" s="23"/>
      <c r="I2328" s="23"/>
      <c r="J2328" s="27">
        <f>IF($O2328="방문완료",MAX(0,IFERROR(VLOOKUP($E2328,설정_코스수당!$A$6:$H$10,4,FALSE),0)-IF(OR($P2328="",$P2328="없음"),0,100000)),0)</f>
        <v>0</v>
      </c>
      <c r="K2328" s="27">
        <f t="array" ref="K2328">IF($O2328="방문완료",IFERROR(INDEX(설정_코스수당!$B$15:$F$64,MATCH($G2328,설정_코스수당!$A$15:$A$64,0),MATCH($E2328&amp;"수당",설정_코스수당!$B$14:$F$14,0)),0),0)</f>
        <v>0</v>
      </c>
      <c r="L2328" s="27">
        <f t="array" ref="L2328">IF($O2328="방문완료",IF($H2328="",0,IFERROR(INDEX(설정_코스수당!$B$15:$F$64,MATCH($H2328,설정_코스수당!$A$15:$A$64,0),MATCH($E2328&amp;"수당",설정_코스수당!$B$14:$F$14,0)),0)),0)</f>
        <v>0</v>
      </c>
      <c r="M2328" s="27">
        <f>IF($O2328="방문완료",IFERROR(VLOOKUP($E2328,설정_코스수당!$A$6:$H$10,6,FALSE),0),0)</f>
        <v>0</v>
      </c>
      <c r="N2328" s="28">
        <f t="shared" si="67"/>
        <v>0</v>
      </c>
      <c r="O2328" s="23"/>
      <c r="P2328" s="23"/>
      <c r="Q2328" s="23"/>
      <c r="R2328" s="26"/>
      <c r="S2328" s="23"/>
    </row>
    <row r="2329" spans="1:19" ht="19.5" hidden="1" customHeight="1" outlineLevel="1">
      <c r="A2329" s="29">
        <v>50</v>
      </c>
      <c r="B2329" s="30">
        <f>IF(23&lt;=DAY(DATE(YEAR(설정_코스수당!$K$2),MONTH(설정_코스수당!$K$2)+1,0)),DATE(YEAR(설정_코스수당!$K$2),MONTH(설정_코스수당!$K$2),23),"")</f>
        <v>46196</v>
      </c>
      <c r="C2329" s="31"/>
      <c r="D2329" s="29"/>
      <c r="E2329" s="29"/>
      <c r="F2329" s="32"/>
      <c r="G2329" s="29"/>
      <c r="H2329" s="29"/>
      <c r="I2329" s="29"/>
      <c r="J2329" s="33">
        <f>IF($O2329="방문완료",MAX(0,IFERROR(VLOOKUP($E2329,설정_코스수당!$A$6:$H$10,4,FALSE),0)-IF(OR($P2329="",$P2329="없음"),0,100000)),0)</f>
        <v>0</v>
      </c>
      <c r="K2329" s="33">
        <f t="array" ref="K2329">IF($O2329="방문완료",IFERROR(INDEX(설정_코스수당!$B$15:$F$64,MATCH($G2329,설정_코스수당!$A$15:$A$64,0),MATCH($E2329&amp;"수당",설정_코스수당!$B$14:$F$14,0)),0),0)</f>
        <v>0</v>
      </c>
      <c r="L2329" s="33">
        <f t="array" ref="L2329">IF($O2329="방문완료",IF($H2329="",0,IFERROR(INDEX(설정_코스수당!$B$15:$F$64,MATCH($H2329,설정_코스수당!$A$15:$A$64,0),MATCH($E2329&amp;"수당",설정_코스수당!$B$14:$F$14,0)),0)),0)</f>
        <v>0</v>
      </c>
      <c r="M2329" s="33">
        <f>IF($O2329="방문완료",IFERROR(VLOOKUP($E2329,설정_코스수당!$A$6:$H$10,6,FALSE),0),0)</f>
        <v>0</v>
      </c>
      <c r="N2329" s="34">
        <f t="shared" si="67"/>
        <v>0</v>
      </c>
      <c r="O2329" s="29"/>
      <c r="P2329" s="29"/>
      <c r="Q2329" s="29"/>
      <c r="R2329" s="32"/>
      <c r="S2329" s="29"/>
    </row>
    <row r="2330" spans="1:19" ht="19.5" hidden="1" customHeight="1" outlineLevel="1">
      <c r="A2330" s="23">
        <v>51</v>
      </c>
      <c r="B2330" s="24">
        <f>IF(23&lt;=DAY(DATE(YEAR(설정_코스수당!$K$2),MONTH(설정_코스수당!$K$2)+1,0)),DATE(YEAR(설정_코스수당!$K$2),MONTH(설정_코스수당!$K$2),23),"")</f>
        <v>46196</v>
      </c>
      <c r="C2330" s="25"/>
      <c r="D2330" s="23"/>
      <c r="E2330" s="23"/>
      <c r="F2330" s="26"/>
      <c r="G2330" s="23"/>
      <c r="H2330" s="23"/>
      <c r="I2330" s="23"/>
      <c r="J2330" s="27">
        <f>IF($O2330="방문완료",MAX(0,IFERROR(VLOOKUP($E2330,설정_코스수당!$A$6:$H$10,4,FALSE),0)-IF(OR($P2330="",$P2330="없음"),0,100000)),0)</f>
        <v>0</v>
      </c>
      <c r="K2330" s="27">
        <f t="array" ref="K2330">IF($O2330="방문완료",IFERROR(INDEX(설정_코스수당!$B$15:$F$64,MATCH($G2330,설정_코스수당!$A$15:$A$64,0),MATCH($E2330&amp;"수당",설정_코스수당!$B$14:$F$14,0)),0),0)</f>
        <v>0</v>
      </c>
      <c r="L2330" s="27">
        <f t="array" ref="L2330">IF($O2330="방문완료",IF($H2330="",0,IFERROR(INDEX(설정_코스수당!$B$15:$F$64,MATCH($H2330,설정_코스수당!$A$15:$A$64,0),MATCH($E2330&amp;"수당",설정_코스수당!$B$14:$F$14,0)),0)),0)</f>
        <v>0</v>
      </c>
      <c r="M2330" s="27">
        <f>IF($O2330="방문완료",IFERROR(VLOOKUP($E2330,설정_코스수당!$A$6:$H$10,6,FALSE),0),0)</f>
        <v>0</v>
      </c>
      <c r="N2330" s="28">
        <f t="shared" si="67"/>
        <v>0</v>
      </c>
      <c r="O2330" s="23"/>
      <c r="P2330" s="23"/>
      <c r="Q2330" s="23"/>
      <c r="R2330" s="26"/>
      <c r="S2330" s="23"/>
    </row>
    <row r="2331" spans="1:19" ht="19.5" hidden="1" customHeight="1" outlineLevel="1">
      <c r="A2331" s="29">
        <v>52</v>
      </c>
      <c r="B2331" s="30">
        <f>IF(23&lt;=DAY(DATE(YEAR(설정_코스수당!$K$2),MONTH(설정_코스수당!$K$2)+1,0)),DATE(YEAR(설정_코스수당!$K$2),MONTH(설정_코스수당!$K$2),23),"")</f>
        <v>46196</v>
      </c>
      <c r="C2331" s="31"/>
      <c r="D2331" s="29"/>
      <c r="E2331" s="29"/>
      <c r="F2331" s="32"/>
      <c r="G2331" s="29"/>
      <c r="H2331" s="29"/>
      <c r="I2331" s="29"/>
      <c r="J2331" s="33">
        <f>IF($O2331="방문완료",MAX(0,IFERROR(VLOOKUP($E2331,설정_코스수당!$A$6:$H$10,4,FALSE),0)-IF(OR($P2331="",$P2331="없음"),0,100000)),0)</f>
        <v>0</v>
      </c>
      <c r="K2331" s="33">
        <f t="array" ref="K2331">IF($O2331="방문완료",IFERROR(INDEX(설정_코스수당!$B$15:$F$64,MATCH($G2331,설정_코스수당!$A$15:$A$64,0),MATCH($E2331&amp;"수당",설정_코스수당!$B$14:$F$14,0)),0),0)</f>
        <v>0</v>
      </c>
      <c r="L2331" s="33">
        <f t="array" ref="L2331">IF($O2331="방문완료",IF($H2331="",0,IFERROR(INDEX(설정_코스수당!$B$15:$F$64,MATCH($H2331,설정_코스수당!$A$15:$A$64,0),MATCH($E2331&amp;"수당",설정_코스수당!$B$14:$F$14,0)),0)),0)</f>
        <v>0</v>
      </c>
      <c r="M2331" s="33">
        <f>IF($O2331="방문완료",IFERROR(VLOOKUP($E2331,설정_코스수당!$A$6:$H$10,6,FALSE),0),0)</f>
        <v>0</v>
      </c>
      <c r="N2331" s="34">
        <f t="shared" si="67"/>
        <v>0</v>
      </c>
      <c r="O2331" s="29"/>
      <c r="P2331" s="29"/>
      <c r="Q2331" s="29"/>
      <c r="R2331" s="32"/>
      <c r="S2331" s="29"/>
    </row>
    <row r="2332" spans="1:19" ht="19.5" hidden="1" customHeight="1" outlineLevel="1">
      <c r="A2332" s="23">
        <v>53</v>
      </c>
      <c r="B2332" s="24">
        <f>IF(23&lt;=DAY(DATE(YEAR(설정_코스수당!$K$2),MONTH(설정_코스수당!$K$2)+1,0)),DATE(YEAR(설정_코스수당!$K$2),MONTH(설정_코스수당!$K$2),23),"")</f>
        <v>46196</v>
      </c>
      <c r="C2332" s="25"/>
      <c r="D2332" s="23"/>
      <c r="E2332" s="23"/>
      <c r="F2332" s="26"/>
      <c r="G2332" s="23"/>
      <c r="H2332" s="23"/>
      <c r="I2332" s="23"/>
      <c r="J2332" s="27">
        <f>IF($O2332="방문완료",MAX(0,IFERROR(VLOOKUP($E2332,설정_코스수당!$A$6:$H$10,4,FALSE),0)-IF(OR($P2332="",$P2332="없음"),0,100000)),0)</f>
        <v>0</v>
      </c>
      <c r="K2332" s="27">
        <f t="array" ref="K2332">IF($O2332="방문완료",IFERROR(INDEX(설정_코스수당!$B$15:$F$64,MATCH($G2332,설정_코스수당!$A$15:$A$64,0),MATCH($E2332&amp;"수당",설정_코스수당!$B$14:$F$14,0)),0),0)</f>
        <v>0</v>
      </c>
      <c r="L2332" s="27">
        <f t="array" ref="L2332">IF($O2332="방문완료",IF($H2332="",0,IFERROR(INDEX(설정_코스수당!$B$15:$F$64,MATCH($H2332,설정_코스수당!$A$15:$A$64,0),MATCH($E2332&amp;"수당",설정_코스수당!$B$14:$F$14,0)),0)),0)</f>
        <v>0</v>
      </c>
      <c r="M2332" s="27">
        <f>IF($O2332="방문완료",IFERROR(VLOOKUP($E2332,설정_코스수당!$A$6:$H$10,6,FALSE),0),0)</f>
        <v>0</v>
      </c>
      <c r="N2332" s="28">
        <f t="shared" si="67"/>
        <v>0</v>
      </c>
      <c r="O2332" s="23"/>
      <c r="P2332" s="23"/>
      <c r="Q2332" s="23"/>
      <c r="R2332" s="26"/>
      <c r="S2332" s="23"/>
    </row>
    <row r="2333" spans="1:19" ht="19.5" hidden="1" customHeight="1" outlineLevel="1">
      <c r="A2333" s="29">
        <v>54</v>
      </c>
      <c r="B2333" s="30">
        <f>IF(23&lt;=DAY(DATE(YEAR(설정_코스수당!$K$2),MONTH(설정_코스수당!$K$2)+1,0)),DATE(YEAR(설정_코스수당!$K$2),MONTH(설정_코스수당!$K$2),23),"")</f>
        <v>46196</v>
      </c>
      <c r="C2333" s="31"/>
      <c r="D2333" s="29"/>
      <c r="E2333" s="29"/>
      <c r="F2333" s="32"/>
      <c r="G2333" s="29"/>
      <c r="H2333" s="29"/>
      <c r="I2333" s="29"/>
      <c r="J2333" s="33">
        <f>IF($O2333="방문완료",MAX(0,IFERROR(VLOOKUP($E2333,설정_코스수당!$A$6:$H$10,4,FALSE),0)-IF(OR($P2333="",$P2333="없음"),0,100000)),0)</f>
        <v>0</v>
      </c>
      <c r="K2333" s="33">
        <f t="array" ref="K2333">IF($O2333="방문완료",IFERROR(INDEX(설정_코스수당!$B$15:$F$64,MATCH($G2333,설정_코스수당!$A$15:$A$64,0),MATCH($E2333&amp;"수당",설정_코스수당!$B$14:$F$14,0)),0),0)</f>
        <v>0</v>
      </c>
      <c r="L2333" s="33">
        <f t="array" ref="L2333">IF($O2333="방문완료",IF($H2333="",0,IFERROR(INDEX(설정_코스수당!$B$15:$F$64,MATCH($H2333,설정_코스수당!$A$15:$A$64,0),MATCH($E2333&amp;"수당",설정_코스수당!$B$14:$F$14,0)),0)),0)</f>
        <v>0</v>
      </c>
      <c r="M2333" s="33">
        <f>IF($O2333="방문완료",IFERROR(VLOOKUP($E2333,설정_코스수당!$A$6:$H$10,6,FALSE),0),0)</f>
        <v>0</v>
      </c>
      <c r="N2333" s="34">
        <f t="shared" si="67"/>
        <v>0</v>
      </c>
      <c r="O2333" s="29"/>
      <c r="P2333" s="29"/>
      <c r="Q2333" s="29"/>
      <c r="R2333" s="32"/>
      <c r="S2333" s="29"/>
    </row>
    <row r="2334" spans="1:19" ht="19.5" hidden="1" customHeight="1" outlineLevel="1">
      <c r="A2334" s="23">
        <v>55</v>
      </c>
      <c r="B2334" s="24">
        <f>IF(23&lt;=DAY(DATE(YEAR(설정_코스수당!$K$2),MONTH(설정_코스수당!$K$2)+1,0)),DATE(YEAR(설정_코스수당!$K$2),MONTH(설정_코스수당!$K$2),23),"")</f>
        <v>46196</v>
      </c>
      <c r="C2334" s="25"/>
      <c r="D2334" s="23"/>
      <c r="E2334" s="23"/>
      <c r="F2334" s="26"/>
      <c r="G2334" s="23"/>
      <c r="H2334" s="23"/>
      <c r="I2334" s="23"/>
      <c r="J2334" s="27">
        <f>IF($O2334="방문완료",MAX(0,IFERROR(VLOOKUP($E2334,설정_코스수당!$A$6:$H$10,4,FALSE),0)-IF(OR($P2334="",$P2334="없음"),0,100000)),0)</f>
        <v>0</v>
      </c>
      <c r="K2334" s="27">
        <f t="array" ref="K2334">IF($O2334="방문완료",IFERROR(INDEX(설정_코스수당!$B$15:$F$64,MATCH($G2334,설정_코스수당!$A$15:$A$64,0),MATCH($E2334&amp;"수당",설정_코스수당!$B$14:$F$14,0)),0),0)</f>
        <v>0</v>
      </c>
      <c r="L2334" s="27">
        <f t="array" ref="L2334">IF($O2334="방문완료",IF($H2334="",0,IFERROR(INDEX(설정_코스수당!$B$15:$F$64,MATCH($H2334,설정_코스수당!$A$15:$A$64,0),MATCH($E2334&amp;"수당",설정_코스수당!$B$14:$F$14,0)),0)),0)</f>
        <v>0</v>
      </c>
      <c r="M2334" s="27">
        <f>IF($O2334="방문완료",IFERROR(VLOOKUP($E2334,설정_코스수당!$A$6:$H$10,6,FALSE),0),0)</f>
        <v>0</v>
      </c>
      <c r="N2334" s="28">
        <f t="shared" si="67"/>
        <v>0</v>
      </c>
      <c r="O2334" s="23"/>
      <c r="P2334" s="23"/>
      <c r="Q2334" s="23"/>
      <c r="R2334" s="26"/>
      <c r="S2334" s="23"/>
    </row>
    <row r="2335" spans="1:19" ht="19.5" hidden="1" customHeight="1" outlineLevel="1">
      <c r="A2335" s="29">
        <v>56</v>
      </c>
      <c r="B2335" s="30">
        <f>IF(23&lt;=DAY(DATE(YEAR(설정_코스수당!$K$2),MONTH(설정_코스수당!$K$2)+1,0)),DATE(YEAR(설정_코스수당!$K$2),MONTH(설정_코스수당!$K$2),23),"")</f>
        <v>46196</v>
      </c>
      <c r="C2335" s="31"/>
      <c r="D2335" s="29"/>
      <c r="E2335" s="29"/>
      <c r="F2335" s="32"/>
      <c r="G2335" s="29"/>
      <c r="H2335" s="29"/>
      <c r="I2335" s="29"/>
      <c r="J2335" s="33">
        <f>IF($O2335="방문완료",MAX(0,IFERROR(VLOOKUP($E2335,설정_코스수당!$A$6:$H$10,4,FALSE),0)-IF(OR($P2335="",$P2335="없음"),0,100000)),0)</f>
        <v>0</v>
      </c>
      <c r="K2335" s="33">
        <f t="array" ref="K2335">IF($O2335="방문완료",IFERROR(INDEX(설정_코스수당!$B$15:$F$64,MATCH($G2335,설정_코스수당!$A$15:$A$64,0),MATCH($E2335&amp;"수당",설정_코스수당!$B$14:$F$14,0)),0),0)</f>
        <v>0</v>
      </c>
      <c r="L2335" s="33">
        <f t="array" ref="L2335">IF($O2335="방문완료",IF($H2335="",0,IFERROR(INDEX(설정_코스수당!$B$15:$F$64,MATCH($H2335,설정_코스수당!$A$15:$A$64,0),MATCH($E2335&amp;"수당",설정_코스수당!$B$14:$F$14,0)),0)),0)</f>
        <v>0</v>
      </c>
      <c r="M2335" s="33">
        <f>IF($O2335="방문완료",IFERROR(VLOOKUP($E2335,설정_코스수당!$A$6:$H$10,6,FALSE),0),0)</f>
        <v>0</v>
      </c>
      <c r="N2335" s="34">
        <f t="shared" si="67"/>
        <v>0</v>
      </c>
      <c r="O2335" s="29"/>
      <c r="P2335" s="29"/>
      <c r="Q2335" s="29"/>
      <c r="R2335" s="32"/>
      <c r="S2335" s="29"/>
    </row>
    <row r="2336" spans="1:19" ht="19.5" hidden="1" customHeight="1" outlineLevel="1">
      <c r="A2336" s="23">
        <v>57</v>
      </c>
      <c r="B2336" s="24">
        <f>IF(23&lt;=DAY(DATE(YEAR(설정_코스수당!$K$2),MONTH(설정_코스수당!$K$2)+1,0)),DATE(YEAR(설정_코스수당!$K$2),MONTH(설정_코스수당!$K$2),23),"")</f>
        <v>46196</v>
      </c>
      <c r="C2336" s="25"/>
      <c r="D2336" s="23"/>
      <c r="E2336" s="23"/>
      <c r="F2336" s="26"/>
      <c r="G2336" s="23"/>
      <c r="H2336" s="23"/>
      <c r="I2336" s="23"/>
      <c r="J2336" s="27">
        <f>IF($O2336="방문완료",MAX(0,IFERROR(VLOOKUP($E2336,설정_코스수당!$A$6:$H$10,4,FALSE),0)-IF(OR($P2336="",$P2336="없음"),0,100000)),0)</f>
        <v>0</v>
      </c>
      <c r="K2336" s="27">
        <f t="array" ref="K2336">IF($O2336="방문완료",IFERROR(INDEX(설정_코스수당!$B$15:$F$64,MATCH($G2336,설정_코스수당!$A$15:$A$64,0),MATCH($E2336&amp;"수당",설정_코스수당!$B$14:$F$14,0)),0),0)</f>
        <v>0</v>
      </c>
      <c r="L2336" s="27">
        <f t="array" ref="L2336">IF($O2336="방문완료",IF($H2336="",0,IFERROR(INDEX(설정_코스수당!$B$15:$F$64,MATCH($H2336,설정_코스수당!$A$15:$A$64,0),MATCH($E2336&amp;"수당",설정_코스수당!$B$14:$F$14,0)),0)),0)</f>
        <v>0</v>
      </c>
      <c r="M2336" s="27">
        <f>IF($O2336="방문완료",IFERROR(VLOOKUP($E2336,설정_코스수당!$A$6:$H$10,6,FALSE),0),0)</f>
        <v>0</v>
      </c>
      <c r="N2336" s="28">
        <f t="shared" si="67"/>
        <v>0</v>
      </c>
      <c r="O2336" s="23"/>
      <c r="P2336" s="23"/>
      <c r="Q2336" s="23"/>
      <c r="R2336" s="26"/>
      <c r="S2336" s="23"/>
    </row>
    <row r="2337" spans="1:19" ht="19.5" hidden="1" customHeight="1" outlineLevel="1">
      <c r="A2337" s="29">
        <v>58</v>
      </c>
      <c r="B2337" s="30">
        <f>IF(23&lt;=DAY(DATE(YEAR(설정_코스수당!$K$2),MONTH(설정_코스수당!$K$2)+1,0)),DATE(YEAR(설정_코스수당!$K$2),MONTH(설정_코스수당!$K$2),23),"")</f>
        <v>46196</v>
      </c>
      <c r="C2337" s="31"/>
      <c r="D2337" s="29"/>
      <c r="E2337" s="29"/>
      <c r="F2337" s="32"/>
      <c r="G2337" s="29"/>
      <c r="H2337" s="29"/>
      <c r="I2337" s="29"/>
      <c r="J2337" s="33">
        <f>IF($O2337="방문완료",MAX(0,IFERROR(VLOOKUP($E2337,설정_코스수당!$A$6:$H$10,4,FALSE),0)-IF(OR($P2337="",$P2337="없음"),0,100000)),0)</f>
        <v>0</v>
      </c>
      <c r="K2337" s="33">
        <f t="array" ref="K2337">IF($O2337="방문완료",IFERROR(INDEX(설정_코스수당!$B$15:$F$64,MATCH($G2337,설정_코스수당!$A$15:$A$64,0),MATCH($E2337&amp;"수당",설정_코스수당!$B$14:$F$14,0)),0),0)</f>
        <v>0</v>
      </c>
      <c r="L2337" s="33">
        <f t="array" ref="L2337">IF($O2337="방문완료",IF($H2337="",0,IFERROR(INDEX(설정_코스수당!$B$15:$F$64,MATCH($H2337,설정_코스수당!$A$15:$A$64,0),MATCH($E2337&amp;"수당",설정_코스수당!$B$14:$F$14,0)),0)),0)</f>
        <v>0</v>
      </c>
      <c r="M2337" s="33">
        <f>IF($O2337="방문완료",IFERROR(VLOOKUP($E2337,설정_코스수당!$A$6:$H$10,6,FALSE),0),0)</f>
        <v>0</v>
      </c>
      <c r="N2337" s="34">
        <f t="shared" si="67"/>
        <v>0</v>
      </c>
      <c r="O2337" s="29"/>
      <c r="P2337" s="29"/>
      <c r="Q2337" s="29"/>
      <c r="R2337" s="32"/>
      <c r="S2337" s="29"/>
    </row>
    <row r="2338" spans="1:19" ht="19.5" hidden="1" customHeight="1" outlineLevel="1">
      <c r="A2338" s="23">
        <v>59</v>
      </c>
      <c r="B2338" s="24">
        <f>IF(23&lt;=DAY(DATE(YEAR(설정_코스수당!$K$2),MONTH(설정_코스수당!$K$2)+1,0)),DATE(YEAR(설정_코스수당!$K$2),MONTH(설정_코스수당!$K$2),23),"")</f>
        <v>46196</v>
      </c>
      <c r="C2338" s="25"/>
      <c r="D2338" s="23"/>
      <c r="E2338" s="23"/>
      <c r="F2338" s="26"/>
      <c r="G2338" s="23"/>
      <c r="H2338" s="23"/>
      <c r="I2338" s="23"/>
      <c r="J2338" s="27">
        <f>IF($O2338="방문완료",MAX(0,IFERROR(VLOOKUP($E2338,설정_코스수당!$A$6:$H$10,4,FALSE),0)-IF(OR($P2338="",$P2338="없음"),0,100000)),0)</f>
        <v>0</v>
      </c>
      <c r="K2338" s="27">
        <f t="array" ref="K2338">IF($O2338="방문완료",IFERROR(INDEX(설정_코스수당!$B$15:$F$64,MATCH($G2338,설정_코스수당!$A$15:$A$64,0),MATCH($E2338&amp;"수당",설정_코스수당!$B$14:$F$14,0)),0),0)</f>
        <v>0</v>
      </c>
      <c r="L2338" s="27">
        <f t="array" ref="L2338">IF($O2338="방문완료",IF($H2338="",0,IFERROR(INDEX(설정_코스수당!$B$15:$F$64,MATCH($H2338,설정_코스수당!$A$15:$A$64,0),MATCH($E2338&amp;"수당",설정_코스수당!$B$14:$F$14,0)),0)),0)</f>
        <v>0</v>
      </c>
      <c r="M2338" s="27">
        <f>IF($O2338="방문완료",IFERROR(VLOOKUP($E2338,설정_코스수당!$A$6:$H$10,6,FALSE),0),0)</f>
        <v>0</v>
      </c>
      <c r="N2338" s="28">
        <f t="shared" si="67"/>
        <v>0</v>
      </c>
      <c r="O2338" s="23"/>
      <c r="P2338" s="23"/>
      <c r="Q2338" s="23"/>
      <c r="R2338" s="26"/>
      <c r="S2338" s="23"/>
    </row>
    <row r="2339" spans="1:19" ht="19.5" hidden="1" customHeight="1" outlineLevel="1">
      <c r="A2339" s="29">
        <v>60</v>
      </c>
      <c r="B2339" s="30">
        <f>IF(23&lt;=DAY(DATE(YEAR(설정_코스수당!$K$2),MONTH(설정_코스수당!$K$2)+1,0)),DATE(YEAR(설정_코스수당!$K$2),MONTH(설정_코스수당!$K$2),23),"")</f>
        <v>46196</v>
      </c>
      <c r="C2339" s="31"/>
      <c r="D2339" s="29"/>
      <c r="E2339" s="29"/>
      <c r="F2339" s="32"/>
      <c r="G2339" s="29"/>
      <c r="H2339" s="29"/>
      <c r="I2339" s="29"/>
      <c r="J2339" s="33">
        <f>IF($O2339="방문완료",MAX(0,IFERROR(VLOOKUP($E2339,설정_코스수당!$A$6:$H$10,4,FALSE),0)-IF(OR($P2339="",$P2339="없음"),0,100000)),0)</f>
        <v>0</v>
      </c>
      <c r="K2339" s="33">
        <f t="array" ref="K2339">IF($O2339="방문완료",IFERROR(INDEX(설정_코스수당!$B$15:$F$64,MATCH($G2339,설정_코스수당!$A$15:$A$64,0),MATCH($E2339&amp;"수당",설정_코스수당!$B$14:$F$14,0)),0),0)</f>
        <v>0</v>
      </c>
      <c r="L2339" s="33">
        <f t="array" ref="L2339">IF($O2339="방문완료",IF($H2339="",0,IFERROR(INDEX(설정_코스수당!$B$15:$F$64,MATCH($H2339,설정_코스수당!$A$15:$A$64,0),MATCH($E2339&amp;"수당",설정_코스수당!$B$14:$F$14,0)),0)),0)</f>
        <v>0</v>
      </c>
      <c r="M2339" s="33">
        <f>IF($O2339="방문완료",IFERROR(VLOOKUP($E2339,설정_코스수당!$A$6:$H$10,6,FALSE),0),0)</f>
        <v>0</v>
      </c>
      <c r="N2339" s="34">
        <f t="shared" si="67"/>
        <v>0</v>
      </c>
      <c r="O2339" s="29"/>
      <c r="P2339" s="29"/>
      <c r="Q2339" s="29"/>
      <c r="R2339" s="32"/>
      <c r="S2339" s="29"/>
    </row>
    <row r="2340" spans="1:19" ht="19.5" hidden="1" customHeight="1" outlineLevel="1">
      <c r="A2340" s="23">
        <v>61</v>
      </c>
      <c r="B2340" s="24">
        <f>IF(23&lt;=DAY(DATE(YEAR(설정_코스수당!$K$2),MONTH(설정_코스수당!$K$2)+1,0)),DATE(YEAR(설정_코스수당!$K$2),MONTH(설정_코스수당!$K$2),23),"")</f>
        <v>46196</v>
      </c>
      <c r="C2340" s="25"/>
      <c r="D2340" s="23"/>
      <c r="E2340" s="23"/>
      <c r="F2340" s="26"/>
      <c r="G2340" s="23"/>
      <c r="H2340" s="23"/>
      <c r="I2340" s="23"/>
      <c r="J2340" s="27">
        <f>IF($O2340="방문완료",MAX(0,IFERROR(VLOOKUP($E2340,설정_코스수당!$A$6:$H$10,4,FALSE),0)-IF(OR($P2340="",$P2340="없음"),0,100000)),0)</f>
        <v>0</v>
      </c>
      <c r="K2340" s="27">
        <f t="array" ref="K2340">IF($O2340="방문완료",IFERROR(INDEX(설정_코스수당!$B$15:$F$64,MATCH($G2340,설정_코스수당!$A$15:$A$64,0),MATCH($E2340&amp;"수당",설정_코스수당!$B$14:$F$14,0)),0),0)</f>
        <v>0</v>
      </c>
      <c r="L2340" s="27">
        <f t="array" ref="L2340">IF($O2340="방문완료",IF($H2340="",0,IFERROR(INDEX(설정_코스수당!$B$15:$F$64,MATCH($H2340,설정_코스수당!$A$15:$A$64,0),MATCH($E2340&amp;"수당",설정_코스수당!$B$14:$F$14,0)),0)),0)</f>
        <v>0</v>
      </c>
      <c r="M2340" s="27">
        <f>IF($O2340="방문완료",IFERROR(VLOOKUP($E2340,설정_코스수당!$A$6:$H$10,6,FALSE),0),0)</f>
        <v>0</v>
      </c>
      <c r="N2340" s="28">
        <f t="shared" si="67"/>
        <v>0</v>
      </c>
      <c r="O2340" s="23"/>
      <c r="P2340" s="23"/>
      <c r="Q2340" s="23"/>
      <c r="R2340" s="26"/>
      <c r="S2340" s="23"/>
    </row>
    <row r="2341" spans="1:19" ht="19.5" hidden="1" customHeight="1" outlineLevel="1">
      <c r="A2341" s="29">
        <v>62</v>
      </c>
      <c r="B2341" s="30">
        <f>IF(23&lt;=DAY(DATE(YEAR(설정_코스수당!$K$2),MONTH(설정_코스수당!$K$2)+1,0)),DATE(YEAR(설정_코스수당!$K$2),MONTH(설정_코스수당!$K$2),23),"")</f>
        <v>46196</v>
      </c>
      <c r="C2341" s="31"/>
      <c r="D2341" s="29"/>
      <c r="E2341" s="29"/>
      <c r="F2341" s="32"/>
      <c r="G2341" s="29"/>
      <c r="H2341" s="29"/>
      <c r="I2341" s="29"/>
      <c r="J2341" s="33">
        <f>IF($O2341="방문완료",MAX(0,IFERROR(VLOOKUP($E2341,설정_코스수당!$A$6:$H$10,4,FALSE),0)-IF(OR($P2341="",$P2341="없음"),0,100000)),0)</f>
        <v>0</v>
      </c>
      <c r="K2341" s="33">
        <f t="array" ref="K2341">IF($O2341="방문완료",IFERROR(INDEX(설정_코스수당!$B$15:$F$64,MATCH($G2341,설정_코스수당!$A$15:$A$64,0),MATCH($E2341&amp;"수당",설정_코스수당!$B$14:$F$14,0)),0),0)</f>
        <v>0</v>
      </c>
      <c r="L2341" s="33">
        <f t="array" ref="L2341">IF($O2341="방문완료",IF($H2341="",0,IFERROR(INDEX(설정_코스수당!$B$15:$F$64,MATCH($H2341,설정_코스수당!$A$15:$A$64,0),MATCH($E2341&amp;"수당",설정_코스수당!$B$14:$F$14,0)),0)),0)</f>
        <v>0</v>
      </c>
      <c r="M2341" s="33">
        <f>IF($O2341="방문완료",IFERROR(VLOOKUP($E2341,설정_코스수당!$A$6:$H$10,6,FALSE),0),0)</f>
        <v>0</v>
      </c>
      <c r="N2341" s="34">
        <f t="shared" si="67"/>
        <v>0</v>
      </c>
      <c r="O2341" s="29"/>
      <c r="P2341" s="29"/>
      <c r="Q2341" s="29"/>
      <c r="R2341" s="32"/>
      <c r="S2341" s="29"/>
    </row>
    <row r="2342" spans="1:19" ht="19.5" hidden="1" customHeight="1" outlineLevel="1">
      <c r="A2342" s="23">
        <v>63</v>
      </c>
      <c r="B2342" s="24">
        <f>IF(23&lt;=DAY(DATE(YEAR(설정_코스수당!$K$2),MONTH(설정_코스수당!$K$2)+1,0)),DATE(YEAR(설정_코스수당!$K$2),MONTH(설정_코스수당!$K$2),23),"")</f>
        <v>46196</v>
      </c>
      <c r="C2342" s="25"/>
      <c r="D2342" s="23"/>
      <c r="E2342" s="23"/>
      <c r="F2342" s="26"/>
      <c r="G2342" s="23"/>
      <c r="H2342" s="23"/>
      <c r="I2342" s="23"/>
      <c r="J2342" s="27">
        <f>IF($O2342="방문완료",MAX(0,IFERROR(VLOOKUP($E2342,설정_코스수당!$A$6:$H$10,4,FALSE),0)-IF(OR($P2342="",$P2342="없음"),0,100000)),0)</f>
        <v>0</v>
      </c>
      <c r="K2342" s="27">
        <f t="array" ref="K2342">IF($O2342="방문완료",IFERROR(INDEX(설정_코스수당!$B$15:$F$64,MATCH($G2342,설정_코스수당!$A$15:$A$64,0),MATCH($E2342&amp;"수당",설정_코스수당!$B$14:$F$14,0)),0),0)</f>
        <v>0</v>
      </c>
      <c r="L2342" s="27">
        <f t="array" ref="L2342">IF($O2342="방문완료",IF($H2342="",0,IFERROR(INDEX(설정_코스수당!$B$15:$F$64,MATCH($H2342,설정_코스수당!$A$15:$A$64,0),MATCH($E2342&amp;"수당",설정_코스수당!$B$14:$F$14,0)),0)),0)</f>
        <v>0</v>
      </c>
      <c r="M2342" s="27">
        <f>IF($O2342="방문완료",IFERROR(VLOOKUP($E2342,설정_코스수당!$A$6:$H$10,6,FALSE),0),0)</f>
        <v>0</v>
      </c>
      <c r="N2342" s="28">
        <f t="shared" si="67"/>
        <v>0</v>
      </c>
      <c r="O2342" s="23"/>
      <c r="P2342" s="23"/>
      <c r="Q2342" s="23"/>
      <c r="R2342" s="26"/>
      <c r="S2342" s="23"/>
    </row>
    <row r="2343" spans="1:19" ht="19.5" hidden="1" customHeight="1" outlineLevel="1">
      <c r="A2343" s="29">
        <v>64</v>
      </c>
      <c r="B2343" s="30">
        <f>IF(23&lt;=DAY(DATE(YEAR(설정_코스수당!$K$2),MONTH(설정_코스수당!$K$2)+1,0)),DATE(YEAR(설정_코스수당!$K$2),MONTH(설정_코스수당!$K$2),23),"")</f>
        <v>46196</v>
      </c>
      <c r="C2343" s="31"/>
      <c r="D2343" s="29"/>
      <c r="E2343" s="29"/>
      <c r="F2343" s="32"/>
      <c r="G2343" s="29"/>
      <c r="H2343" s="29"/>
      <c r="I2343" s="29"/>
      <c r="J2343" s="33">
        <f>IF($O2343="방문완료",MAX(0,IFERROR(VLOOKUP($E2343,설정_코스수당!$A$6:$H$10,4,FALSE),0)-IF(OR($P2343="",$P2343="없음"),0,100000)),0)</f>
        <v>0</v>
      </c>
      <c r="K2343" s="33">
        <f t="array" ref="K2343">IF($O2343="방문완료",IFERROR(INDEX(설정_코스수당!$B$15:$F$64,MATCH($G2343,설정_코스수당!$A$15:$A$64,0),MATCH($E2343&amp;"수당",설정_코스수당!$B$14:$F$14,0)),0),0)</f>
        <v>0</v>
      </c>
      <c r="L2343" s="33">
        <f t="array" ref="L2343">IF($O2343="방문완료",IF($H2343="",0,IFERROR(INDEX(설정_코스수당!$B$15:$F$64,MATCH($H2343,설정_코스수당!$A$15:$A$64,0),MATCH($E2343&amp;"수당",설정_코스수당!$B$14:$F$14,0)),0)),0)</f>
        <v>0</v>
      </c>
      <c r="M2343" s="33">
        <f>IF($O2343="방문완료",IFERROR(VLOOKUP($E2343,설정_코스수당!$A$6:$H$10,6,FALSE),0),0)</f>
        <v>0</v>
      </c>
      <c r="N2343" s="34">
        <f t="shared" si="67"/>
        <v>0</v>
      </c>
      <c r="O2343" s="29"/>
      <c r="P2343" s="29"/>
      <c r="Q2343" s="29"/>
      <c r="R2343" s="32"/>
      <c r="S2343" s="29"/>
    </row>
    <row r="2344" spans="1:19" ht="19.5" hidden="1" customHeight="1" outlineLevel="1">
      <c r="A2344" s="23">
        <v>65</v>
      </c>
      <c r="B2344" s="24">
        <f>IF(23&lt;=DAY(DATE(YEAR(설정_코스수당!$K$2),MONTH(설정_코스수당!$K$2)+1,0)),DATE(YEAR(설정_코스수당!$K$2),MONTH(설정_코스수당!$K$2),23),"")</f>
        <v>46196</v>
      </c>
      <c r="C2344" s="25"/>
      <c r="D2344" s="23"/>
      <c r="E2344" s="23"/>
      <c r="F2344" s="26"/>
      <c r="G2344" s="23"/>
      <c r="H2344" s="23"/>
      <c r="I2344" s="23"/>
      <c r="J2344" s="27">
        <f>IF($O2344="방문완료",MAX(0,IFERROR(VLOOKUP($E2344,설정_코스수당!$A$6:$H$10,4,FALSE),0)-IF(OR($P2344="",$P2344="없음"),0,100000)),0)</f>
        <v>0</v>
      </c>
      <c r="K2344" s="27">
        <f t="array" ref="K2344">IF($O2344="방문완료",IFERROR(INDEX(설정_코스수당!$B$15:$F$64,MATCH($G2344,설정_코스수당!$A$15:$A$64,0),MATCH($E2344&amp;"수당",설정_코스수당!$B$14:$F$14,0)),0),0)</f>
        <v>0</v>
      </c>
      <c r="L2344" s="27">
        <f t="array" ref="L2344">IF($O2344="방문완료",IF($H2344="",0,IFERROR(INDEX(설정_코스수당!$B$15:$F$64,MATCH($H2344,설정_코스수당!$A$15:$A$64,0),MATCH($E2344&amp;"수당",설정_코스수당!$B$14:$F$14,0)),0)),0)</f>
        <v>0</v>
      </c>
      <c r="M2344" s="27">
        <f>IF($O2344="방문완료",IFERROR(VLOOKUP($E2344,설정_코스수당!$A$6:$H$10,6,FALSE),0),0)</f>
        <v>0</v>
      </c>
      <c r="N2344" s="28">
        <f t="shared" ref="N2344:N2379" si="68">IF($O2344="방문완료",1,0)</f>
        <v>0</v>
      </c>
      <c r="O2344" s="23"/>
      <c r="P2344" s="23"/>
      <c r="Q2344" s="23"/>
      <c r="R2344" s="26"/>
      <c r="S2344" s="23"/>
    </row>
    <row r="2345" spans="1:19" ht="19.5" hidden="1" customHeight="1" outlineLevel="1">
      <c r="A2345" s="29">
        <v>66</v>
      </c>
      <c r="B2345" s="30">
        <f>IF(23&lt;=DAY(DATE(YEAR(설정_코스수당!$K$2),MONTH(설정_코스수당!$K$2)+1,0)),DATE(YEAR(설정_코스수당!$K$2),MONTH(설정_코스수당!$K$2),23),"")</f>
        <v>46196</v>
      </c>
      <c r="C2345" s="31"/>
      <c r="D2345" s="29"/>
      <c r="E2345" s="29"/>
      <c r="F2345" s="32"/>
      <c r="G2345" s="29"/>
      <c r="H2345" s="29"/>
      <c r="I2345" s="29"/>
      <c r="J2345" s="33">
        <f>IF($O2345="방문완료",MAX(0,IFERROR(VLOOKUP($E2345,설정_코스수당!$A$6:$H$10,4,FALSE),0)-IF(OR($P2345="",$P2345="없음"),0,100000)),0)</f>
        <v>0</v>
      </c>
      <c r="K2345" s="33">
        <f t="array" ref="K2345">IF($O2345="방문완료",IFERROR(INDEX(설정_코스수당!$B$15:$F$64,MATCH($G2345,설정_코스수당!$A$15:$A$64,0),MATCH($E2345&amp;"수당",설정_코스수당!$B$14:$F$14,0)),0),0)</f>
        <v>0</v>
      </c>
      <c r="L2345" s="33">
        <f t="array" ref="L2345">IF($O2345="방문완료",IF($H2345="",0,IFERROR(INDEX(설정_코스수당!$B$15:$F$64,MATCH($H2345,설정_코스수당!$A$15:$A$64,0),MATCH($E2345&amp;"수당",설정_코스수당!$B$14:$F$14,0)),0)),0)</f>
        <v>0</v>
      </c>
      <c r="M2345" s="33">
        <f>IF($O2345="방문완료",IFERROR(VLOOKUP($E2345,설정_코스수당!$A$6:$H$10,6,FALSE),0),0)</f>
        <v>0</v>
      </c>
      <c r="N2345" s="34">
        <f t="shared" si="68"/>
        <v>0</v>
      </c>
      <c r="O2345" s="29"/>
      <c r="P2345" s="29"/>
      <c r="Q2345" s="29"/>
      <c r="R2345" s="32"/>
      <c r="S2345" s="29"/>
    </row>
    <row r="2346" spans="1:19" ht="19.5" hidden="1" customHeight="1" outlineLevel="1">
      <c r="A2346" s="23">
        <v>67</v>
      </c>
      <c r="B2346" s="24">
        <f>IF(23&lt;=DAY(DATE(YEAR(설정_코스수당!$K$2),MONTH(설정_코스수당!$K$2)+1,0)),DATE(YEAR(설정_코스수당!$K$2),MONTH(설정_코스수당!$K$2),23),"")</f>
        <v>46196</v>
      </c>
      <c r="C2346" s="25"/>
      <c r="D2346" s="23"/>
      <c r="E2346" s="23"/>
      <c r="F2346" s="26"/>
      <c r="G2346" s="23"/>
      <c r="H2346" s="23"/>
      <c r="I2346" s="23"/>
      <c r="J2346" s="27">
        <f>IF($O2346="방문완료",MAX(0,IFERROR(VLOOKUP($E2346,설정_코스수당!$A$6:$H$10,4,FALSE),0)-IF(OR($P2346="",$P2346="없음"),0,100000)),0)</f>
        <v>0</v>
      </c>
      <c r="K2346" s="27">
        <f t="array" ref="K2346">IF($O2346="방문완료",IFERROR(INDEX(설정_코스수당!$B$15:$F$64,MATCH($G2346,설정_코스수당!$A$15:$A$64,0),MATCH($E2346&amp;"수당",설정_코스수당!$B$14:$F$14,0)),0),0)</f>
        <v>0</v>
      </c>
      <c r="L2346" s="27">
        <f t="array" ref="L2346">IF($O2346="방문완료",IF($H2346="",0,IFERROR(INDEX(설정_코스수당!$B$15:$F$64,MATCH($H2346,설정_코스수당!$A$15:$A$64,0),MATCH($E2346&amp;"수당",설정_코스수당!$B$14:$F$14,0)),0)),0)</f>
        <v>0</v>
      </c>
      <c r="M2346" s="27">
        <f>IF($O2346="방문완료",IFERROR(VLOOKUP($E2346,설정_코스수당!$A$6:$H$10,6,FALSE),0),0)</f>
        <v>0</v>
      </c>
      <c r="N2346" s="28">
        <f t="shared" si="68"/>
        <v>0</v>
      </c>
      <c r="O2346" s="23"/>
      <c r="P2346" s="23"/>
      <c r="Q2346" s="23"/>
      <c r="R2346" s="26"/>
      <c r="S2346" s="23"/>
    </row>
    <row r="2347" spans="1:19" ht="19.5" hidden="1" customHeight="1" outlineLevel="1">
      <c r="A2347" s="29">
        <v>68</v>
      </c>
      <c r="B2347" s="30">
        <f>IF(23&lt;=DAY(DATE(YEAR(설정_코스수당!$K$2),MONTH(설정_코스수당!$K$2)+1,0)),DATE(YEAR(설정_코스수당!$K$2),MONTH(설정_코스수당!$K$2),23),"")</f>
        <v>46196</v>
      </c>
      <c r="C2347" s="31"/>
      <c r="D2347" s="29"/>
      <c r="E2347" s="29"/>
      <c r="F2347" s="32"/>
      <c r="G2347" s="29"/>
      <c r="H2347" s="29"/>
      <c r="I2347" s="29"/>
      <c r="J2347" s="33">
        <f>IF($O2347="방문완료",MAX(0,IFERROR(VLOOKUP($E2347,설정_코스수당!$A$6:$H$10,4,FALSE),0)-IF(OR($P2347="",$P2347="없음"),0,100000)),0)</f>
        <v>0</v>
      </c>
      <c r="K2347" s="33">
        <f t="array" ref="K2347">IF($O2347="방문완료",IFERROR(INDEX(설정_코스수당!$B$15:$F$64,MATCH($G2347,설정_코스수당!$A$15:$A$64,0),MATCH($E2347&amp;"수당",설정_코스수당!$B$14:$F$14,0)),0),0)</f>
        <v>0</v>
      </c>
      <c r="L2347" s="33">
        <f t="array" ref="L2347">IF($O2347="방문완료",IF($H2347="",0,IFERROR(INDEX(설정_코스수당!$B$15:$F$64,MATCH($H2347,설정_코스수당!$A$15:$A$64,0),MATCH($E2347&amp;"수당",설정_코스수당!$B$14:$F$14,0)),0)),0)</f>
        <v>0</v>
      </c>
      <c r="M2347" s="33">
        <f>IF($O2347="방문완료",IFERROR(VLOOKUP($E2347,설정_코스수당!$A$6:$H$10,6,FALSE),0),0)</f>
        <v>0</v>
      </c>
      <c r="N2347" s="34">
        <f t="shared" si="68"/>
        <v>0</v>
      </c>
      <c r="O2347" s="29"/>
      <c r="P2347" s="29"/>
      <c r="Q2347" s="29"/>
      <c r="R2347" s="32"/>
      <c r="S2347" s="29"/>
    </row>
    <row r="2348" spans="1:19" ht="19.5" hidden="1" customHeight="1" outlineLevel="1">
      <c r="A2348" s="23">
        <v>69</v>
      </c>
      <c r="B2348" s="24">
        <f>IF(23&lt;=DAY(DATE(YEAR(설정_코스수당!$K$2),MONTH(설정_코스수당!$K$2)+1,0)),DATE(YEAR(설정_코스수당!$K$2),MONTH(설정_코스수당!$K$2),23),"")</f>
        <v>46196</v>
      </c>
      <c r="C2348" s="25"/>
      <c r="D2348" s="23"/>
      <c r="E2348" s="23"/>
      <c r="F2348" s="26"/>
      <c r="G2348" s="23"/>
      <c r="H2348" s="23"/>
      <c r="I2348" s="23"/>
      <c r="J2348" s="27">
        <f>IF($O2348="방문완료",MAX(0,IFERROR(VLOOKUP($E2348,설정_코스수당!$A$6:$H$10,4,FALSE),0)-IF(OR($P2348="",$P2348="없음"),0,100000)),0)</f>
        <v>0</v>
      </c>
      <c r="K2348" s="27">
        <f t="array" ref="K2348">IF($O2348="방문완료",IFERROR(INDEX(설정_코스수당!$B$15:$F$64,MATCH($G2348,설정_코스수당!$A$15:$A$64,0),MATCH($E2348&amp;"수당",설정_코스수당!$B$14:$F$14,0)),0),0)</f>
        <v>0</v>
      </c>
      <c r="L2348" s="27">
        <f t="array" ref="L2348">IF($O2348="방문완료",IF($H2348="",0,IFERROR(INDEX(설정_코스수당!$B$15:$F$64,MATCH($H2348,설정_코스수당!$A$15:$A$64,0),MATCH($E2348&amp;"수당",설정_코스수당!$B$14:$F$14,0)),0)),0)</f>
        <v>0</v>
      </c>
      <c r="M2348" s="27">
        <f>IF($O2348="방문완료",IFERROR(VLOOKUP($E2348,설정_코스수당!$A$6:$H$10,6,FALSE),0),0)</f>
        <v>0</v>
      </c>
      <c r="N2348" s="28">
        <f t="shared" si="68"/>
        <v>0</v>
      </c>
      <c r="O2348" s="23"/>
      <c r="P2348" s="23"/>
      <c r="Q2348" s="23"/>
      <c r="R2348" s="26"/>
      <c r="S2348" s="23"/>
    </row>
    <row r="2349" spans="1:19" ht="19.5" hidden="1" customHeight="1" outlineLevel="1">
      <c r="A2349" s="29">
        <v>70</v>
      </c>
      <c r="B2349" s="30">
        <f>IF(23&lt;=DAY(DATE(YEAR(설정_코스수당!$K$2),MONTH(설정_코스수당!$K$2)+1,0)),DATE(YEAR(설정_코스수당!$K$2),MONTH(설정_코스수당!$K$2),23),"")</f>
        <v>46196</v>
      </c>
      <c r="C2349" s="31"/>
      <c r="D2349" s="29"/>
      <c r="E2349" s="29"/>
      <c r="F2349" s="32"/>
      <c r="G2349" s="29"/>
      <c r="H2349" s="29"/>
      <c r="I2349" s="29"/>
      <c r="J2349" s="33">
        <f>IF($O2349="방문완료",MAX(0,IFERROR(VLOOKUP($E2349,설정_코스수당!$A$6:$H$10,4,FALSE),0)-IF(OR($P2349="",$P2349="없음"),0,100000)),0)</f>
        <v>0</v>
      </c>
      <c r="K2349" s="33">
        <f t="array" ref="K2349">IF($O2349="방문완료",IFERROR(INDEX(설정_코스수당!$B$15:$F$64,MATCH($G2349,설정_코스수당!$A$15:$A$64,0),MATCH($E2349&amp;"수당",설정_코스수당!$B$14:$F$14,0)),0),0)</f>
        <v>0</v>
      </c>
      <c r="L2349" s="33">
        <f t="array" ref="L2349">IF($O2349="방문완료",IF($H2349="",0,IFERROR(INDEX(설정_코스수당!$B$15:$F$64,MATCH($H2349,설정_코스수당!$A$15:$A$64,0),MATCH($E2349&amp;"수당",설정_코스수당!$B$14:$F$14,0)),0)),0)</f>
        <v>0</v>
      </c>
      <c r="M2349" s="33">
        <f>IF($O2349="방문완료",IFERROR(VLOOKUP($E2349,설정_코스수당!$A$6:$H$10,6,FALSE),0),0)</f>
        <v>0</v>
      </c>
      <c r="N2349" s="34">
        <f t="shared" si="68"/>
        <v>0</v>
      </c>
      <c r="O2349" s="29"/>
      <c r="P2349" s="29"/>
      <c r="Q2349" s="29"/>
      <c r="R2349" s="32"/>
      <c r="S2349" s="29"/>
    </row>
    <row r="2350" spans="1:19" ht="19.5" hidden="1" customHeight="1" outlineLevel="1">
      <c r="A2350" s="23">
        <v>71</v>
      </c>
      <c r="B2350" s="24">
        <f>IF(23&lt;=DAY(DATE(YEAR(설정_코스수당!$K$2),MONTH(설정_코스수당!$K$2)+1,0)),DATE(YEAR(설정_코스수당!$K$2),MONTH(설정_코스수당!$K$2),23),"")</f>
        <v>46196</v>
      </c>
      <c r="C2350" s="25"/>
      <c r="D2350" s="23"/>
      <c r="E2350" s="23"/>
      <c r="F2350" s="26"/>
      <c r="G2350" s="23"/>
      <c r="H2350" s="23"/>
      <c r="I2350" s="23"/>
      <c r="J2350" s="27">
        <f>IF($O2350="방문완료",MAX(0,IFERROR(VLOOKUP($E2350,설정_코스수당!$A$6:$H$10,4,FALSE),0)-IF(OR($P2350="",$P2350="없음"),0,100000)),0)</f>
        <v>0</v>
      </c>
      <c r="K2350" s="27">
        <f t="array" ref="K2350">IF($O2350="방문완료",IFERROR(INDEX(설정_코스수당!$B$15:$F$64,MATCH($G2350,설정_코스수당!$A$15:$A$64,0),MATCH($E2350&amp;"수당",설정_코스수당!$B$14:$F$14,0)),0),0)</f>
        <v>0</v>
      </c>
      <c r="L2350" s="27">
        <f t="array" ref="L2350">IF($O2350="방문완료",IF($H2350="",0,IFERROR(INDEX(설정_코스수당!$B$15:$F$64,MATCH($H2350,설정_코스수당!$A$15:$A$64,0),MATCH($E2350&amp;"수당",설정_코스수당!$B$14:$F$14,0)),0)),0)</f>
        <v>0</v>
      </c>
      <c r="M2350" s="27">
        <f>IF($O2350="방문완료",IFERROR(VLOOKUP($E2350,설정_코스수당!$A$6:$H$10,6,FALSE),0),0)</f>
        <v>0</v>
      </c>
      <c r="N2350" s="28">
        <f t="shared" si="68"/>
        <v>0</v>
      </c>
      <c r="O2350" s="23"/>
      <c r="P2350" s="23"/>
      <c r="Q2350" s="23"/>
      <c r="R2350" s="26"/>
      <c r="S2350" s="23"/>
    </row>
    <row r="2351" spans="1:19" ht="19.5" hidden="1" customHeight="1" outlineLevel="1">
      <c r="A2351" s="29">
        <v>72</v>
      </c>
      <c r="B2351" s="30">
        <f>IF(23&lt;=DAY(DATE(YEAR(설정_코스수당!$K$2),MONTH(설정_코스수당!$K$2)+1,0)),DATE(YEAR(설정_코스수당!$K$2),MONTH(설정_코스수당!$K$2),23),"")</f>
        <v>46196</v>
      </c>
      <c r="C2351" s="31"/>
      <c r="D2351" s="29"/>
      <c r="E2351" s="29"/>
      <c r="F2351" s="32"/>
      <c r="G2351" s="29"/>
      <c r="H2351" s="29"/>
      <c r="I2351" s="29"/>
      <c r="J2351" s="33">
        <f>IF($O2351="방문완료",MAX(0,IFERROR(VLOOKUP($E2351,설정_코스수당!$A$6:$H$10,4,FALSE),0)-IF(OR($P2351="",$P2351="없음"),0,100000)),0)</f>
        <v>0</v>
      </c>
      <c r="K2351" s="33">
        <f t="array" ref="K2351">IF($O2351="방문완료",IFERROR(INDEX(설정_코스수당!$B$15:$F$64,MATCH($G2351,설정_코스수당!$A$15:$A$64,0),MATCH($E2351&amp;"수당",설정_코스수당!$B$14:$F$14,0)),0),0)</f>
        <v>0</v>
      </c>
      <c r="L2351" s="33">
        <f t="array" ref="L2351">IF($O2351="방문완료",IF($H2351="",0,IFERROR(INDEX(설정_코스수당!$B$15:$F$64,MATCH($H2351,설정_코스수당!$A$15:$A$64,0),MATCH($E2351&amp;"수당",설정_코스수당!$B$14:$F$14,0)),0)),0)</f>
        <v>0</v>
      </c>
      <c r="M2351" s="33">
        <f>IF($O2351="방문완료",IFERROR(VLOOKUP($E2351,설정_코스수당!$A$6:$H$10,6,FALSE),0),0)</f>
        <v>0</v>
      </c>
      <c r="N2351" s="34">
        <f t="shared" si="68"/>
        <v>0</v>
      </c>
      <c r="O2351" s="29"/>
      <c r="P2351" s="29"/>
      <c r="Q2351" s="29"/>
      <c r="R2351" s="32"/>
      <c r="S2351" s="29"/>
    </row>
    <row r="2352" spans="1:19" ht="19.5" hidden="1" customHeight="1" outlineLevel="1">
      <c r="A2352" s="23">
        <v>73</v>
      </c>
      <c r="B2352" s="24">
        <f>IF(23&lt;=DAY(DATE(YEAR(설정_코스수당!$K$2),MONTH(설정_코스수당!$K$2)+1,0)),DATE(YEAR(설정_코스수당!$K$2),MONTH(설정_코스수당!$K$2),23),"")</f>
        <v>46196</v>
      </c>
      <c r="C2352" s="25"/>
      <c r="D2352" s="23"/>
      <c r="E2352" s="23"/>
      <c r="F2352" s="26"/>
      <c r="G2352" s="23"/>
      <c r="H2352" s="23"/>
      <c r="I2352" s="23"/>
      <c r="J2352" s="27">
        <f>IF($O2352="방문완료",MAX(0,IFERROR(VLOOKUP($E2352,설정_코스수당!$A$6:$H$10,4,FALSE),0)-IF(OR($P2352="",$P2352="없음"),0,100000)),0)</f>
        <v>0</v>
      </c>
      <c r="K2352" s="27">
        <f t="array" ref="K2352">IF($O2352="방문완료",IFERROR(INDEX(설정_코스수당!$B$15:$F$64,MATCH($G2352,설정_코스수당!$A$15:$A$64,0),MATCH($E2352&amp;"수당",설정_코스수당!$B$14:$F$14,0)),0),0)</f>
        <v>0</v>
      </c>
      <c r="L2352" s="27">
        <f t="array" ref="L2352">IF($O2352="방문완료",IF($H2352="",0,IFERROR(INDEX(설정_코스수당!$B$15:$F$64,MATCH($H2352,설정_코스수당!$A$15:$A$64,0),MATCH($E2352&amp;"수당",설정_코스수당!$B$14:$F$14,0)),0)),0)</f>
        <v>0</v>
      </c>
      <c r="M2352" s="27">
        <f>IF($O2352="방문완료",IFERROR(VLOOKUP($E2352,설정_코스수당!$A$6:$H$10,6,FALSE),0),0)</f>
        <v>0</v>
      </c>
      <c r="N2352" s="28">
        <f t="shared" si="68"/>
        <v>0</v>
      </c>
      <c r="O2352" s="23"/>
      <c r="P2352" s="23"/>
      <c r="Q2352" s="23"/>
      <c r="R2352" s="26"/>
      <c r="S2352" s="23"/>
    </row>
    <row r="2353" spans="1:19" ht="19.5" hidden="1" customHeight="1" outlineLevel="1">
      <c r="A2353" s="29">
        <v>74</v>
      </c>
      <c r="B2353" s="30">
        <f>IF(23&lt;=DAY(DATE(YEAR(설정_코스수당!$K$2),MONTH(설정_코스수당!$K$2)+1,0)),DATE(YEAR(설정_코스수당!$K$2),MONTH(설정_코스수당!$K$2),23),"")</f>
        <v>46196</v>
      </c>
      <c r="C2353" s="31"/>
      <c r="D2353" s="29"/>
      <c r="E2353" s="29"/>
      <c r="F2353" s="32"/>
      <c r="G2353" s="29"/>
      <c r="H2353" s="29"/>
      <c r="I2353" s="29"/>
      <c r="J2353" s="33">
        <f>IF($O2353="방문완료",MAX(0,IFERROR(VLOOKUP($E2353,설정_코스수당!$A$6:$H$10,4,FALSE),0)-IF(OR($P2353="",$P2353="없음"),0,100000)),0)</f>
        <v>0</v>
      </c>
      <c r="K2353" s="33">
        <f t="array" ref="K2353">IF($O2353="방문완료",IFERROR(INDEX(설정_코스수당!$B$15:$F$64,MATCH($G2353,설정_코스수당!$A$15:$A$64,0),MATCH($E2353&amp;"수당",설정_코스수당!$B$14:$F$14,0)),0),0)</f>
        <v>0</v>
      </c>
      <c r="L2353" s="33">
        <f t="array" ref="L2353">IF($O2353="방문완료",IF($H2353="",0,IFERROR(INDEX(설정_코스수당!$B$15:$F$64,MATCH($H2353,설정_코스수당!$A$15:$A$64,0),MATCH($E2353&amp;"수당",설정_코스수당!$B$14:$F$14,0)),0)),0)</f>
        <v>0</v>
      </c>
      <c r="M2353" s="33">
        <f>IF($O2353="방문완료",IFERROR(VLOOKUP($E2353,설정_코스수당!$A$6:$H$10,6,FALSE),0),0)</f>
        <v>0</v>
      </c>
      <c r="N2353" s="34">
        <f t="shared" si="68"/>
        <v>0</v>
      </c>
      <c r="O2353" s="29"/>
      <c r="P2353" s="29"/>
      <c r="Q2353" s="29"/>
      <c r="R2353" s="32"/>
      <c r="S2353" s="29"/>
    </row>
    <row r="2354" spans="1:19" ht="19.5" hidden="1" customHeight="1" outlineLevel="1">
      <c r="A2354" s="23">
        <v>75</v>
      </c>
      <c r="B2354" s="24">
        <f>IF(23&lt;=DAY(DATE(YEAR(설정_코스수당!$K$2),MONTH(설정_코스수당!$K$2)+1,0)),DATE(YEAR(설정_코스수당!$K$2),MONTH(설정_코스수당!$K$2),23),"")</f>
        <v>46196</v>
      </c>
      <c r="C2354" s="25"/>
      <c r="D2354" s="23"/>
      <c r="E2354" s="23"/>
      <c r="F2354" s="26"/>
      <c r="G2354" s="23"/>
      <c r="H2354" s="23"/>
      <c r="I2354" s="23"/>
      <c r="J2354" s="27">
        <f>IF($O2354="방문완료",MAX(0,IFERROR(VLOOKUP($E2354,설정_코스수당!$A$6:$H$10,4,FALSE),0)-IF(OR($P2354="",$P2354="없음"),0,100000)),0)</f>
        <v>0</v>
      </c>
      <c r="K2354" s="27">
        <f t="array" ref="K2354">IF($O2354="방문완료",IFERROR(INDEX(설정_코스수당!$B$15:$F$64,MATCH($G2354,설정_코스수당!$A$15:$A$64,0),MATCH($E2354&amp;"수당",설정_코스수당!$B$14:$F$14,0)),0),0)</f>
        <v>0</v>
      </c>
      <c r="L2354" s="27">
        <f t="array" ref="L2354">IF($O2354="방문완료",IF($H2354="",0,IFERROR(INDEX(설정_코스수당!$B$15:$F$64,MATCH($H2354,설정_코스수당!$A$15:$A$64,0),MATCH($E2354&amp;"수당",설정_코스수당!$B$14:$F$14,0)),0)),0)</f>
        <v>0</v>
      </c>
      <c r="M2354" s="27">
        <f>IF($O2354="방문완료",IFERROR(VLOOKUP($E2354,설정_코스수당!$A$6:$H$10,6,FALSE),0),0)</f>
        <v>0</v>
      </c>
      <c r="N2354" s="28">
        <f t="shared" si="68"/>
        <v>0</v>
      </c>
      <c r="O2354" s="23"/>
      <c r="P2354" s="23"/>
      <c r="Q2354" s="23"/>
      <c r="R2354" s="26"/>
      <c r="S2354" s="23"/>
    </row>
    <row r="2355" spans="1:19" ht="19.5" hidden="1" customHeight="1" outlineLevel="1">
      <c r="A2355" s="29">
        <v>76</v>
      </c>
      <c r="B2355" s="30">
        <f>IF(23&lt;=DAY(DATE(YEAR(설정_코스수당!$K$2),MONTH(설정_코스수당!$K$2)+1,0)),DATE(YEAR(설정_코스수당!$K$2),MONTH(설정_코스수당!$K$2),23),"")</f>
        <v>46196</v>
      </c>
      <c r="C2355" s="31"/>
      <c r="D2355" s="29"/>
      <c r="E2355" s="29"/>
      <c r="F2355" s="32"/>
      <c r="G2355" s="29"/>
      <c r="H2355" s="29"/>
      <c r="I2355" s="29"/>
      <c r="J2355" s="33">
        <f>IF($O2355="방문완료",MAX(0,IFERROR(VLOOKUP($E2355,설정_코스수당!$A$6:$H$10,4,FALSE),0)-IF(OR($P2355="",$P2355="없음"),0,100000)),0)</f>
        <v>0</v>
      </c>
      <c r="K2355" s="33">
        <f t="array" ref="K2355">IF($O2355="방문완료",IFERROR(INDEX(설정_코스수당!$B$15:$F$64,MATCH($G2355,설정_코스수당!$A$15:$A$64,0),MATCH($E2355&amp;"수당",설정_코스수당!$B$14:$F$14,0)),0),0)</f>
        <v>0</v>
      </c>
      <c r="L2355" s="33">
        <f t="array" ref="L2355">IF($O2355="방문완료",IF($H2355="",0,IFERROR(INDEX(설정_코스수당!$B$15:$F$64,MATCH($H2355,설정_코스수당!$A$15:$A$64,0),MATCH($E2355&amp;"수당",설정_코스수당!$B$14:$F$14,0)),0)),0)</f>
        <v>0</v>
      </c>
      <c r="M2355" s="33">
        <f>IF($O2355="방문완료",IFERROR(VLOOKUP($E2355,설정_코스수당!$A$6:$H$10,6,FALSE),0),0)</f>
        <v>0</v>
      </c>
      <c r="N2355" s="34">
        <f t="shared" si="68"/>
        <v>0</v>
      </c>
      <c r="O2355" s="29"/>
      <c r="P2355" s="29"/>
      <c r="Q2355" s="29"/>
      <c r="R2355" s="32"/>
      <c r="S2355" s="29"/>
    </row>
    <row r="2356" spans="1:19" ht="19.5" hidden="1" customHeight="1" outlineLevel="1">
      <c r="A2356" s="23">
        <v>77</v>
      </c>
      <c r="B2356" s="24">
        <f>IF(23&lt;=DAY(DATE(YEAR(설정_코스수당!$K$2),MONTH(설정_코스수당!$K$2)+1,0)),DATE(YEAR(설정_코스수당!$K$2),MONTH(설정_코스수당!$K$2),23),"")</f>
        <v>46196</v>
      </c>
      <c r="C2356" s="25"/>
      <c r="D2356" s="23"/>
      <c r="E2356" s="23"/>
      <c r="F2356" s="26"/>
      <c r="G2356" s="23"/>
      <c r="H2356" s="23"/>
      <c r="I2356" s="23"/>
      <c r="J2356" s="27">
        <f>IF($O2356="방문완료",MAX(0,IFERROR(VLOOKUP($E2356,설정_코스수당!$A$6:$H$10,4,FALSE),0)-IF(OR($P2356="",$P2356="없음"),0,100000)),0)</f>
        <v>0</v>
      </c>
      <c r="K2356" s="27">
        <f t="array" ref="K2356">IF($O2356="방문완료",IFERROR(INDEX(설정_코스수당!$B$15:$F$64,MATCH($G2356,설정_코스수당!$A$15:$A$64,0),MATCH($E2356&amp;"수당",설정_코스수당!$B$14:$F$14,0)),0),0)</f>
        <v>0</v>
      </c>
      <c r="L2356" s="27">
        <f t="array" ref="L2356">IF($O2356="방문완료",IF($H2356="",0,IFERROR(INDEX(설정_코스수당!$B$15:$F$64,MATCH($H2356,설정_코스수당!$A$15:$A$64,0),MATCH($E2356&amp;"수당",설정_코스수당!$B$14:$F$14,0)),0)),0)</f>
        <v>0</v>
      </c>
      <c r="M2356" s="27">
        <f>IF($O2356="방문완료",IFERROR(VLOOKUP($E2356,설정_코스수당!$A$6:$H$10,6,FALSE),0),0)</f>
        <v>0</v>
      </c>
      <c r="N2356" s="28">
        <f t="shared" si="68"/>
        <v>0</v>
      </c>
      <c r="O2356" s="23"/>
      <c r="P2356" s="23"/>
      <c r="Q2356" s="23"/>
      <c r="R2356" s="26"/>
      <c r="S2356" s="23"/>
    </row>
    <row r="2357" spans="1:19" ht="19.5" hidden="1" customHeight="1" outlineLevel="1">
      <c r="A2357" s="29">
        <v>78</v>
      </c>
      <c r="B2357" s="30">
        <f>IF(23&lt;=DAY(DATE(YEAR(설정_코스수당!$K$2),MONTH(설정_코스수당!$K$2)+1,0)),DATE(YEAR(설정_코스수당!$K$2),MONTH(설정_코스수당!$K$2),23),"")</f>
        <v>46196</v>
      </c>
      <c r="C2357" s="31"/>
      <c r="D2357" s="29"/>
      <c r="E2357" s="29"/>
      <c r="F2357" s="32"/>
      <c r="G2357" s="29"/>
      <c r="H2357" s="29"/>
      <c r="I2357" s="29"/>
      <c r="J2357" s="33">
        <f>IF($O2357="방문완료",MAX(0,IFERROR(VLOOKUP($E2357,설정_코스수당!$A$6:$H$10,4,FALSE),0)-IF(OR($P2357="",$P2357="없음"),0,100000)),0)</f>
        <v>0</v>
      </c>
      <c r="K2357" s="33">
        <f t="array" ref="K2357">IF($O2357="방문완료",IFERROR(INDEX(설정_코스수당!$B$15:$F$64,MATCH($G2357,설정_코스수당!$A$15:$A$64,0),MATCH($E2357&amp;"수당",설정_코스수당!$B$14:$F$14,0)),0),0)</f>
        <v>0</v>
      </c>
      <c r="L2357" s="33">
        <f t="array" ref="L2357">IF($O2357="방문완료",IF($H2357="",0,IFERROR(INDEX(설정_코스수당!$B$15:$F$64,MATCH($H2357,설정_코스수당!$A$15:$A$64,0),MATCH($E2357&amp;"수당",설정_코스수당!$B$14:$F$14,0)),0)),0)</f>
        <v>0</v>
      </c>
      <c r="M2357" s="33">
        <f>IF($O2357="방문완료",IFERROR(VLOOKUP($E2357,설정_코스수당!$A$6:$H$10,6,FALSE),0),0)</f>
        <v>0</v>
      </c>
      <c r="N2357" s="34">
        <f t="shared" si="68"/>
        <v>0</v>
      </c>
      <c r="O2357" s="29"/>
      <c r="P2357" s="29"/>
      <c r="Q2357" s="29"/>
      <c r="R2357" s="32"/>
      <c r="S2357" s="29"/>
    </row>
    <row r="2358" spans="1:19" ht="19.5" hidden="1" customHeight="1" outlineLevel="1">
      <c r="A2358" s="23">
        <v>79</v>
      </c>
      <c r="B2358" s="24">
        <f>IF(23&lt;=DAY(DATE(YEAR(설정_코스수당!$K$2),MONTH(설정_코스수당!$K$2)+1,0)),DATE(YEAR(설정_코스수당!$K$2),MONTH(설정_코스수당!$K$2),23),"")</f>
        <v>46196</v>
      </c>
      <c r="C2358" s="25"/>
      <c r="D2358" s="23"/>
      <c r="E2358" s="23"/>
      <c r="F2358" s="26"/>
      <c r="G2358" s="23"/>
      <c r="H2358" s="23"/>
      <c r="I2358" s="23"/>
      <c r="J2358" s="27">
        <f>IF($O2358="방문완료",MAX(0,IFERROR(VLOOKUP($E2358,설정_코스수당!$A$6:$H$10,4,FALSE),0)-IF(OR($P2358="",$P2358="없음"),0,100000)),0)</f>
        <v>0</v>
      </c>
      <c r="K2358" s="27">
        <f t="array" ref="K2358">IF($O2358="방문완료",IFERROR(INDEX(설정_코스수당!$B$15:$F$64,MATCH($G2358,설정_코스수당!$A$15:$A$64,0),MATCH($E2358&amp;"수당",설정_코스수당!$B$14:$F$14,0)),0),0)</f>
        <v>0</v>
      </c>
      <c r="L2358" s="27">
        <f t="array" ref="L2358">IF($O2358="방문완료",IF($H2358="",0,IFERROR(INDEX(설정_코스수당!$B$15:$F$64,MATCH($H2358,설정_코스수당!$A$15:$A$64,0),MATCH($E2358&amp;"수당",설정_코스수당!$B$14:$F$14,0)),0)),0)</f>
        <v>0</v>
      </c>
      <c r="M2358" s="27">
        <f>IF($O2358="방문완료",IFERROR(VLOOKUP($E2358,설정_코스수당!$A$6:$H$10,6,FALSE),0),0)</f>
        <v>0</v>
      </c>
      <c r="N2358" s="28">
        <f t="shared" si="68"/>
        <v>0</v>
      </c>
      <c r="O2358" s="23"/>
      <c r="P2358" s="23"/>
      <c r="Q2358" s="23"/>
      <c r="R2358" s="26"/>
      <c r="S2358" s="23"/>
    </row>
    <row r="2359" spans="1:19" ht="19.5" hidden="1" customHeight="1" outlineLevel="1">
      <c r="A2359" s="29">
        <v>80</v>
      </c>
      <c r="B2359" s="30">
        <f>IF(23&lt;=DAY(DATE(YEAR(설정_코스수당!$K$2),MONTH(설정_코스수당!$K$2)+1,0)),DATE(YEAR(설정_코스수당!$K$2),MONTH(설정_코스수당!$K$2),23),"")</f>
        <v>46196</v>
      </c>
      <c r="C2359" s="31"/>
      <c r="D2359" s="29"/>
      <c r="E2359" s="29"/>
      <c r="F2359" s="32"/>
      <c r="G2359" s="29"/>
      <c r="H2359" s="29"/>
      <c r="I2359" s="29"/>
      <c r="J2359" s="33">
        <f>IF($O2359="방문완료",MAX(0,IFERROR(VLOOKUP($E2359,설정_코스수당!$A$6:$H$10,4,FALSE),0)-IF(OR($P2359="",$P2359="없음"),0,100000)),0)</f>
        <v>0</v>
      </c>
      <c r="K2359" s="33">
        <f t="array" ref="K2359">IF($O2359="방문완료",IFERROR(INDEX(설정_코스수당!$B$15:$F$64,MATCH($G2359,설정_코스수당!$A$15:$A$64,0),MATCH($E2359&amp;"수당",설정_코스수당!$B$14:$F$14,0)),0),0)</f>
        <v>0</v>
      </c>
      <c r="L2359" s="33">
        <f t="array" ref="L2359">IF($O2359="방문완료",IF($H2359="",0,IFERROR(INDEX(설정_코스수당!$B$15:$F$64,MATCH($H2359,설정_코스수당!$A$15:$A$64,0),MATCH($E2359&amp;"수당",설정_코스수당!$B$14:$F$14,0)),0)),0)</f>
        <v>0</v>
      </c>
      <c r="M2359" s="33">
        <f>IF($O2359="방문완료",IFERROR(VLOOKUP($E2359,설정_코스수당!$A$6:$H$10,6,FALSE),0),0)</f>
        <v>0</v>
      </c>
      <c r="N2359" s="34">
        <f t="shared" si="68"/>
        <v>0</v>
      </c>
      <c r="O2359" s="29"/>
      <c r="P2359" s="29"/>
      <c r="Q2359" s="29"/>
      <c r="R2359" s="32"/>
      <c r="S2359" s="29"/>
    </row>
    <row r="2360" spans="1:19" ht="19.5" hidden="1" customHeight="1" outlineLevel="1">
      <c r="A2360" s="23">
        <v>81</v>
      </c>
      <c r="B2360" s="24">
        <f>IF(23&lt;=DAY(DATE(YEAR(설정_코스수당!$K$2),MONTH(설정_코스수당!$K$2)+1,0)),DATE(YEAR(설정_코스수당!$K$2),MONTH(설정_코스수당!$K$2),23),"")</f>
        <v>46196</v>
      </c>
      <c r="C2360" s="25"/>
      <c r="D2360" s="23"/>
      <c r="E2360" s="23"/>
      <c r="F2360" s="26"/>
      <c r="G2360" s="23"/>
      <c r="H2360" s="23"/>
      <c r="I2360" s="23"/>
      <c r="J2360" s="27">
        <f>IF($O2360="방문완료",MAX(0,IFERROR(VLOOKUP($E2360,설정_코스수당!$A$6:$H$10,4,FALSE),0)-IF(OR($P2360="",$P2360="없음"),0,100000)),0)</f>
        <v>0</v>
      </c>
      <c r="K2360" s="27">
        <f t="array" ref="K2360">IF($O2360="방문완료",IFERROR(INDEX(설정_코스수당!$B$15:$F$64,MATCH($G2360,설정_코스수당!$A$15:$A$64,0),MATCH($E2360&amp;"수당",설정_코스수당!$B$14:$F$14,0)),0),0)</f>
        <v>0</v>
      </c>
      <c r="L2360" s="27">
        <f t="array" ref="L2360">IF($O2360="방문완료",IF($H2360="",0,IFERROR(INDEX(설정_코스수당!$B$15:$F$64,MATCH($H2360,설정_코스수당!$A$15:$A$64,0),MATCH($E2360&amp;"수당",설정_코스수당!$B$14:$F$14,0)),0)),0)</f>
        <v>0</v>
      </c>
      <c r="M2360" s="27">
        <f>IF($O2360="방문완료",IFERROR(VLOOKUP($E2360,설정_코스수당!$A$6:$H$10,6,FALSE),0),0)</f>
        <v>0</v>
      </c>
      <c r="N2360" s="28">
        <f t="shared" si="68"/>
        <v>0</v>
      </c>
      <c r="O2360" s="23"/>
      <c r="P2360" s="23"/>
      <c r="Q2360" s="23"/>
      <c r="R2360" s="26"/>
      <c r="S2360" s="23"/>
    </row>
    <row r="2361" spans="1:19" ht="19.5" hidden="1" customHeight="1" outlineLevel="1">
      <c r="A2361" s="29">
        <v>82</v>
      </c>
      <c r="B2361" s="30">
        <f>IF(23&lt;=DAY(DATE(YEAR(설정_코스수당!$K$2),MONTH(설정_코스수당!$K$2)+1,0)),DATE(YEAR(설정_코스수당!$K$2),MONTH(설정_코스수당!$K$2),23),"")</f>
        <v>46196</v>
      </c>
      <c r="C2361" s="31"/>
      <c r="D2361" s="29"/>
      <c r="E2361" s="29"/>
      <c r="F2361" s="32"/>
      <c r="G2361" s="29"/>
      <c r="H2361" s="29"/>
      <c r="I2361" s="29"/>
      <c r="J2361" s="33">
        <f>IF($O2361="방문완료",MAX(0,IFERROR(VLOOKUP($E2361,설정_코스수당!$A$6:$H$10,4,FALSE),0)-IF(OR($P2361="",$P2361="없음"),0,100000)),0)</f>
        <v>0</v>
      </c>
      <c r="K2361" s="33">
        <f t="array" ref="K2361">IF($O2361="방문완료",IFERROR(INDEX(설정_코스수당!$B$15:$F$64,MATCH($G2361,설정_코스수당!$A$15:$A$64,0),MATCH($E2361&amp;"수당",설정_코스수당!$B$14:$F$14,0)),0),0)</f>
        <v>0</v>
      </c>
      <c r="L2361" s="33">
        <f t="array" ref="L2361">IF($O2361="방문완료",IF($H2361="",0,IFERROR(INDEX(설정_코스수당!$B$15:$F$64,MATCH($H2361,설정_코스수당!$A$15:$A$64,0),MATCH($E2361&amp;"수당",설정_코스수당!$B$14:$F$14,0)),0)),0)</f>
        <v>0</v>
      </c>
      <c r="M2361" s="33">
        <f>IF($O2361="방문완료",IFERROR(VLOOKUP($E2361,설정_코스수당!$A$6:$H$10,6,FALSE),0),0)</f>
        <v>0</v>
      </c>
      <c r="N2361" s="34">
        <f t="shared" si="68"/>
        <v>0</v>
      </c>
      <c r="O2361" s="29"/>
      <c r="P2361" s="29"/>
      <c r="Q2361" s="29"/>
      <c r="R2361" s="32"/>
      <c r="S2361" s="29"/>
    </row>
    <row r="2362" spans="1:19" ht="19.5" hidden="1" customHeight="1" outlineLevel="1">
      <c r="A2362" s="23">
        <v>83</v>
      </c>
      <c r="B2362" s="24">
        <f>IF(23&lt;=DAY(DATE(YEAR(설정_코스수당!$K$2),MONTH(설정_코스수당!$K$2)+1,0)),DATE(YEAR(설정_코스수당!$K$2),MONTH(설정_코스수당!$K$2),23),"")</f>
        <v>46196</v>
      </c>
      <c r="C2362" s="25"/>
      <c r="D2362" s="23"/>
      <c r="E2362" s="23"/>
      <c r="F2362" s="26"/>
      <c r="G2362" s="23"/>
      <c r="H2362" s="23"/>
      <c r="I2362" s="23"/>
      <c r="J2362" s="27">
        <f>IF($O2362="방문완료",MAX(0,IFERROR(VLOOKUP($E2362,설정_코스수당!$A$6:$H$10,4,FALSE),0)-IF(OR($P2362="",$P2362="없음"),0,100000)),0)</f>
        <v>0</v>
      </c>
      <c r="K2362" s="27">
        <f t="array" ref="K2362">IF($O2362="방문완료",IFERROR(INDEX(설정_코스수당!$B$15:$F$64,MATCH($G2362,설정_코스수당!$A$15:$A$64,0),MATCH($E2362&amp;"수당",설정_코스수당!$B$14:$F$14,0)),0),0)</f>
        <v>0</v>
      </c>
      <c r="L2362" s="27">
        <f t="array" ref="L2362">IF($O2362="방문완료",IF($H2362="",0,IFERROR(INDEX(설정_코스수당!$B$15:$F$64,MATCH($H2362,설정_코스수당!$A$15:$A$64,0),MATCH($E2362&amp;"수당",설정_코스수당!$B$14:$F$14,0)),0)),0)</f>
        <v>0</v>
      </c>
      <c r="M2362" s="27">
        <f>IF($O2362="방문완료",IFERROR(VLOOKUP($E2362,설정_코스수당!$A$6:$H$10,6,FALSE),0),0)</f>
        <v>0</v>
      </c>
      <c r="N2362" s="28">
        <f t="shared" si="68"/>
        <v>0</v>
      </c>
      <c r="O2362" s="23"/>
      <c r="P2362" s="23"/>
      <c r="Q2362" s="23"/>
      <c r="R2362" s="26"/>
      <c r="S2362" s="23"/>
    </row>
    <row r="2363" spans="1:19" ht="19.5" hidden="1" customHeight="1" outlineLevel="1">
      <c r="A2363" s="29">
        <v>84</v>
      </c>
      <c r="B2363" s="30">
        <f>IF(23&lt;=DAY(DATE(YEAR(설정_코스수당!$K$2),MONTH(설정_코스수당!$K$2)+1,0)),DATE(YEAR(설정_코스수당!$K$2),MONTH(설정_코스수당!$K$2),23),"")</f>
        <v>46196</v>
      </c>
      <c r="C2363" s="31"/>
      <c r="D2363" s="29"/>
      <c r="E2363" s="29"/>
      <c r="F2363" s="32"/>
      <c r="G2363" s="29"/>
      <c r="H2363" s="29"/>
      <c r="I2363" s="29"/>
      <c r="J2363" s="33">
        <f>IF($O2363="방문완료",MAX(0,IFERROR(VLOOKUP($E2363,설정_코스수당!$A$6:$H$10,4,FALSE),0)-IF(OR($P2363="",$P2363="없음"),0,100000)),0)</f>
        <v>0</v>
      </c>
      <c r="K2363" s="33">
        <f t="array" ref="K2363">IF($O2363="방문완료",IFERROR(INDEX(설정_코스수당!$B$15:$F$64,MATCH($G2363,설정_코스수당!$A$15:$A$64,0),MATCH($E2363&amp;"수당",설정_코스수당!$B$14:$F$14,0)),0),0)</f>
        <v>0</v>
      </c>
      <c r="L2363" s="33">
        <f t="array" ref="L2363">IF($O2363="방문완료",IF($H2363="",0,IFERROR(INDEX(설정_코스수당!$B$15:$F$64,MATCH($H2363,설정_코스수당!$A$15:$A$64,0),MATCH($E2363&amp;"수당",설정_코스수당!$B$14:$F$14,0)),0)),0)</f>
        <v>0</v>
      </c>
      <c r="M2363" s="33">
        <f>IF($O2363="방문완료",IFERROR(VLOOKUP($E2363,설정_코스수당!$A$6:$H$10,6,FALSE),0),0)</f>
        <v>0</v>
      </c>
      <c r="N2363" s="34">
        <f t="shared" si="68"/>
        <v>0</v>
      </c>
      <c r="O2363" s="29"/>
      <c r="P2363" s="29"/>
      <c r="Q2363" s="29"/>
      <c r="R2363" s="32"/>
      <c r="S2363" s="29"/>
    </row>
    <row r="2364" spans="1:19" ht="19.5" hidden="1" customHeight="1" outlineLevel="1">
      <c r="A2364" s="23">
        <v>85</v>
      </c>
      <c r="B2364" s="24">
        <f>IF(23&lt;=DAY(DATE(YEAR(설정_코스수당!$K$2),MONTH(설정_코스수당!$K$2)+1,0)),DATE(YEAR(설정_코스수당!$K$2),MONTH(설정_코스수당!$K$2),23),"")</f>
        <v>46196</v>
      </c>
      <c r="C2364" s="25"/>
      <c r="D2364" s="23"/>
      <c r="E2364" s="23"/>
      <c r="F2364" s="26"/>
      <c r="G2364" s="23"/>
      <c r="H2364" s="23"/>
      <c r="I2364" s="23"/>
      <c r="J2364" s="27">
        <f>IF($O2364="방문완료",MAX(0,IFERROR(VLOOKUP($E2364,설정_코스수당!$A$6:$H$10,4,FALSE),0)-IF(OR($P2364="",$P2364="없음"),0,100000)),0)</f>
        <v>0</v>
      </c>
      <c r="K2364" s="27">
        <f t="array" ref="K2364">IF($O2364="방문완료",IFERROR(INDEX(설정_코스수당!$B$15:$F$64,MATCH($G2364,설정_코스수당!$A$15:$A$64,0),MATCH($E2364&amp;"수당",설정_코스수당!$B$14:$F$14,0)),0),0)</f>
        <v>0</v>
      </c>
      <c r="L2364" s="27">
        <f t="array" ref="L2364">IF($O2364="방문완료",IF($H2364="",0,IFERROR(INDEX(설정_코스수당!$B$15:$F$64,MATCH($H2364,설정_코스수당!$A$15:$A$64,0),MATCH($E2364&amp;"수당",설정_코스수당!$B$14:$F$14,0)),0)),0)</f>
        <v>0</v>
      </c>
      <c r="M2364" s="27">
        <f>IF($O2364="방문완료",IFERROR(VLOOKUP($E2364,설정_코스수당!$A$6:$H$10,6,FALSE),0),0)</f>
        <v>0</v>
      </c>
      <c r="N2364" s="28">
        <f t="shared" si="68"/>
        <v>0</v>
      </c>
      <c r="O2364" s="23"/>
      <c r="P2364" s="23"/>
      <c r="Q2364" s="23"/>
      <c r="R2364" s="26"/>
      <c r="S2364" s="23"/>
    </row>
    <row r="2365" spans="1:19" ht="19.5" hidden="1" customHeight="1" outlineLevel="1">
      <c r="A2365" s="29">
        <v>86</v>
      </c>
      <c r="B2365" s="30">
        <f>IF(23&lt;=DAY(DATE(YEAR(설정_코스수당!$K$2),MONTH(설정_코스수당!$K$2)+1,0)),DATE(YEAR(설정_코스수당!$K$2),MONTH(설정_코스수당!$K$2),23),"")</f>
        <v>46196</v>
      </c>
      <c r="C2365" s="31"/>
      <c r="D2365" s="29"/>
      <c r="E2365" s="29"/>
      <c r="F2365" s="32"/>
      <c r="G2365" s="29"/>
      <c r="H2365" s="29"/>
      <c r="I2365" s="29"/>
      <c r="J2365" s="33">
        <f>IF($O2365="방문완료",MAX(0,IFERROR(VLOOKUP($E2365,설정_코스수당!$A$6:$H$10,4,FALSE),0)-IF(OR($P2365="",$P2365="없음"),0,100000)),0)</f>
        <v>0</v>
      </c>
      <c r="K2365" s="33">
        <f t="array" ref="K2365">IF($O2365="방문완료",IFERROR(INDEX(설정_코스수당!$B$15:$F$64,MATCH($G2365,설정_코스수당!$A$15:$A$64,0),MATCH($E2365&amp;"수당",설정_코스수당!$B$14:$F$14,0)),0),0)</f>
        <v>0</v>
      </c>
      <c r="L2365" s="33">
        <f t="array" ref="L2365">IF($O2365="방문완료",IF($H2365="",0,IFERROR(INDEX(설정_코스수당!$B$15:$F$64,MATCH($H2365,설정_코스수당!$A$15:$A$64,0),MATCH($E2365&amp;"수당",설정_코스수당!$B$14:$F$14,0)),0)),0)</f>
        <v>0</v>
      </c>
      <c r="M2365" s="33">
        <f>IF($O2365="방문완료",IFERROR(VLOOKUP($E2365,설정_코스수당!$A$6:$H$10,6,FALSE),0),0)</f>
        <v>0</v>
      </c>
      <c r="N2365" s="34">
        <f t="shared" si="68"/>
        <v>0</v>
      </c>
      <c r="O2365" s="29"/>
      <c r="P2365" s="29"/>
      <c r="Q2365" s="29"/>
      <c r="R2365" s="32"/>
      <c r="S2365" s="29"/>
    </row>
    <row r="2366" spans="1:19" ht="19.5" hidden="1" customHeight="1" outlineLevel="1">
      <c r="A2366" s="23">
        <v>87</v>
      </c>
      <c r="B2366" s="24">
        <f>IF(23&lt;=DAY(DATE(YEAR(설정_코스수당!$K$2),MONTH(설정_코스수당!$K$2)+1,0)),DATE(YEAR(설정_코스수당!$K$2),MONTH(설정_코스수당!$K$2),23),"")</f>
        <v>46196</v>
      </c>
      <c r="C2366" s="25"/>
      <c r="D2366" s="23"/>
      <c r="E2366" s="23"/>
      <c r="F2366" s="26"/>
      <c r="G2366" s="23"/>
      <c r="H2366" s="23"/>
      <c r="I2366" s="23"/>
      <c r="J2366" s="27">
        <f>IF($O2366="방문완료",MAX(0,IFERROR(VLOOKUP($E2366,설정_코스수당!$A$6:$H$10,4,FALSE),0)-IF(OR($P2366="",$P2366="없음"),0,100000)),0)</f>
        <v>0</v>
      </c>
      <c r="K2366" s="27">
        <f t="array" ref="K2366">IF($O2366="방문완료",IFERROR(INDEX(설정_코스수당!$B$15:$F$64,MATCH($G2366,설정_코스수당!$A$15:$A$64,0),MATCH($E2366&amp;"수당",설정_코스수당!$B$14:$F$14,0)),0),0)</f>
        <v>0</v>
      </c>
      <c r="L2366" s="27">
        <f t="array" ref="L2366">IF($O2366="방문완료",IF($H2366="",0,IFERROR(INDEX(설정_코스수당!$B$15:$F$64,MATCH($H2366,설정_코스수당!$A$15:$A$64,0),MATCH($E2366&amp;"수당",설정_코스수당!$B$14:$F$14,0)),0)),0)</f>
        <v>0</v>
      </c>
      <c r="M2366" s="27">
        <f>IF($O2366="방문완료",IFERROR(VLOOKUP($E2366,설정_코스수당!$A$6:$H$10,6,FALSE),0),0)</f>
        <v>0</v>
      </c>
      <c r="N2366" s="28">
        <f t="shared" si="68"/>
        <v>0</v>
      </c>
      <c r="O2366" s="23"/>
      <c r="P2366" s="23"/>
      <c r="Q2366" s="23"/>
      <c r="R2366" s="26"/>
      <c r="S2366" s="23"/>
    </row>
    <row r="2367" spans="1:19" ht="19.5" hidden="1" customHeight="1" outlineLevel="1">
      <c r="A2367" s="29">
        <v>88</v>
      </c>
      <c r="B2367" s="30">
        <f>IF(23&lt;=DAY(DATE(YEAR(설정_코스수당!$K$2),MONTH(설정_코스수당!$K$2)+1,0)),DATE(YEAR(설정_코스수당!$K$2),MONTH(설정_코스수당!$K$2),23),"")</f>
        <v>46196</v>
      </c>
      <c r="C2367" s="31"/>
      <c r="D2367" s="29"/>
      <c r="E2367" s="29"/>
      <c r="F2367" s="32"/>
      <c r="G2367" s="29"/>
      <c r="H2367" s="29"/>
      <c r="I2367" s="29"/>
      <c r="J2367" s="33">
        <f>IF($O2367="방문완료",MAX(0,IFERROR(VLOOKUP($E2367,설정_코스수당!$A$6:$H$10,4,FALSE),0)-IF(OR($P2367="",$P2367="없음"),0,100000)),0)</f>
        <v>0</v>
      </c>
      <c r="K2367" s="33">
        <f t="array" ref="K2367">IF($O2367="방문완료",IFERROR(INDEX(설정_코스수당!$B$15:$F$64,MATCH($G2367,설정_코스수당!$A$15:$A$64,0),MATCH($E2367&amp;"수당",설정_코스수당!$B$14:$F$14,0)),0),0)</f>
        <v>0</v>
      </c>
      <c r="L2367" s="33">
        <f t="array" ref="L2367">IF($O2367="방문완료",IF($H2367="",0,IFERROR(INDEX(설정_코스수당!$B$15:$F$64,MATCH($H2367,설정_코스수당!$A$15:$A$64,0),MATCH($E2367&amp;"수당",설정_코스수당!$B$14:$F$14,0)),0)),0)</f>
        <v>0</v>
      </c>
      <c r="M2367" s="33">
        <f>IF($O2367="방문완료",IFERROR(VLOOKUP($E2367,설정_코스수당!$A$6:$H$10,6,FALSE),0),0)</f>
        <v>0</v>
      </c>
      <c r="N2367" s="34">
        <f t="shared" si="68"/>
        <v>0</v>
      </c>
      <c r="O2367" s="29"/>
      <c r="P2367" s="29"/>
      <c r="Q2367" s="29"/>
      <c r="R2367" s="32"/>
      <c r="S2367" s="29"/>
    </row>
    <row r="2368" spans="1:19" ht="19.5" hidden="1" customHeight="1" outlineLevel="1">
      <c r="A2368" s="23">
        <v>89</v>
      </c>
      <c r="B2368" s="24">
        <f>IF(23&lt;=DAY(DATE(YEAR(설정_코스수당!$K$2),MONTH(설정_코스수당!$K$2)+1,0)),DATE(YEAR(설정_코스수당!$K$2),MONTH(설정_코스수당!$K$2),23),"")</f>
        <v>46196</v>
      </c>
      <c r="C2368" s="25"/>
      <c r="D2368" s="23"/>
      <c r="E2368" s="23"/>
      <c r="F2368" s="26"/>
      <c r="G2368" s="23"/>
      <c r="H2368" s="23"/>
      <c r="I2368" s="23"/>
      <c r="J2368" s="27">
        <f>IF($O2368="방문완료",MAX(0,IFERROR(VLOOKUP($E2368,설정_코스수당!$A$6:$H$10,4,FALSE),0)-IF(OR($P2368="",$P2368="없음"),0,100000)),0)</f>
        <v>0</v>
      </c>
      <c r="K2368" s="27">
        <f t="array" ref="K2368">IF($O2368="방문완료",IFERROR(INDEX(설정_코스수당!$B$15:$F$64,MATCH($G2368,설정_코스수당!$A$15:$A$64,0),MATCH($E2368&amp;"수당",설정_코스수당!$B$14:$F$14,0)),0),0)</f>
        <v>0</v>
      </c>
      <c r="L2368" s="27">
        <f t="array" ref="L2368">IF($O2368="방문완료",IF($H2368="",0,IFERROR(INDEX(설정_코스수당!$B$15:$F$64,MATCH($H2368,설정_코스수당!$A$15:$A$64,0),MATCH($E2368&amp;"수당",설정_코스수당!$B$14:$F$14,0)),0)),0)</f>
        <v>0</v>
      </c>
      <c r="M2368" s="27">
        <f>IF($O2368="방문완료",IFERROR(VLOOKUP($E2368,설정_코스수당!$A$6:$H$10,6,FALSE),0),0)</f>
        <v>0</v>
      </c>
      <c r="N2368" s="28">
        <f t="shared" si="68"/>
        <v>0</v>
      </c>
      <c r="O2368" s="23"/>
      <c r="P2368" s="23"/>
      <c r="Q2368" s="23"/>
      <c r="R2368" s="26"/>
      <c r="S2368" s="23"/>
    </row>
    <row r="2369" spans="1:27" ht="19.5" hidden="1" customHeight="1" outlineLevel="1">
      <c r="A2369" s="29">
        <v>90</v>
      </c>
      <c r="B2369" s="30">
        <f>IF(23&lt;=DAY(DATE(YEAR(설정_코스수당!$K$2),MONTH(설정_코스수당!$K$2)+1,0)),DATE(YEAR(설정_코스수당!$K$2),MONTH(설정_코스수당!$K$2),23),"")</f>
        <v>46196</v>
      </c>
      <c r="C2369" s="31"/>
      <c r="D2369" s="29"/>
      <c r="E2369" s="29"/>
      <c r="F2369" s="32"/>
      <c r="G2369" s="29"/>
      <c r="H2369" s="29"/>
      <c r="I2369" s="29"/>
      <c r="J2369" s="33">
        <f>IF($O2369="방문완료",MAX(0,IFERROR(VLOOKUP($E2369,설정_코스수당!$A$6:$H$10,4,FALSE),0)-IF(OR($P2369="",$P2369="없음"),0,100000)),0)</f>
        <v>0</v>
      </c>
      <c r="K2369" s="33">
        <f t="array" ref="K2369">IF($O2369="방문완료",IFERROR(INDEX(설정_코스수당!$B$15:$F$64,MATCH($G2369,설정_코스수당!$A$15:$A$64,0),MATCH($E2369&amp;"수당",설정_코스수당!$B$14:$F$14,0)),0),0)</f>
        <v>0</v>
      </c>
      <c r="L2369" s="33">
        <f t="array" ref="L2369">IF($O2369="방문완료",IF($H2369="",0,IFERROR(INDEX(설정_코스수당!$B$15:$F$64,MATCH($H2369,설정_코스수당!$A$15:$A$64,0),MATCH($E2369&amp;"수당",설정_코스수당!$B$14:$F$14,0)),0)),0)</f>
        <v>0</v>
      </c>
      <c r="M2369" s="33">
        <f>IF($O2369="방문완료",IFERROR(VLOOKUP($E2369,설정_코스수당!$A$6:$H$10,6,FALSE),0),0)</f>
        <v>0</v>
      </c>
      <c r="N2369" s="34">
        <f t="shared" si="68"/>
        <v>0</v>
      </c>
      <c r="O2369" s="29"/>
      <c r="P2369" s="29"/>
      <c r="Q2369" s="29"/>
      <c r="R2369" s="32"/>
      <c r="S2369" s="29"/>
    </row>
    <row r="2370" spans="1:27" ht="19.5" hidden="1" customHeight="1" outlineLevel="1">
      <c r="A2370" s="23">
        <v>91</v>
      </c>
      <c r="B2370" s="24">
        <f>IF(23&lt;=DAY(DATE(YEAR(설정_코스수당!$K$2),MONTH(설정_코스수당!$K$2)+1,0)),DATE(YEAR(설정_코스수당!$K$2),MONTH(설정_코스수당!$K$2),23),"")</f>
        <v>46196</v>
      </c>
      <c r="C2370" s="25"/>
      <c r="D2370" s="23"/>
      <c r="E2370" s="23"/>
      <c r="F2370" s="26"/>
      <c r="G2370" s="23"/>
      <c r="H2370" s="23"/>
      <c r="I2370" s="23"/>
      <c r="J2370" s="27">
        <f>IF($O2370="방문완료",MAX(0,IFERROR(VLOOKUP($E2370,설정_코스수당!$A$6:$H$10,4,FALSE),0)-IF(OR($P2370="",$P2370="없음"),0,100000)),0)</f>
        <v>0</v>
      </c>
      <c r="K2370" s="27">
        <f t="array" ref="K2370">IF($O2370="방문완료",IFERROR(INDEX(설정_코스수당!$B$15:$F$64,MATCH($G2370,설정_코스수당!$A$15:$A$64,0),MATCH($E2370&amp;"수당",설정_코스수당!$B$14:$F$14,0)),0),0)</f>
        <v>0</v>
      </c>
      <c r="L2370" s="27">
        <f t="array" ref="L2370">IF($O2370="방문완료",IF($H2370="",0,IFERROR(INDEX(설정_코스수당!$B$15:$F$64,MATCH($H2370,설정_코스수당!$A$15:$A$64,0),MATCH($E2370&amp;"수당",설정_코스수당!$B$14:$F$14,0)),0)),0)</f>
        <v>0</v>
      </c>
      <c r="M2370" s="27">
        <f>IF($O2370="방문완료",IFERROR(VLOOKUP($E2370,설정_코스수당!$A$6:$H$10,6,FALSE),0),0)</f>
        <v>0</v>
      </c>
      <c r="N2370" s="28">
        <f t="shared" si="68"/>
        <v>0</v>
      </c>
      <c r="O2370" s="23"/>
      <c r="P2370" s="23"/>
      <c r="Q2370" s="23"/>
      <c r="R2370" s="26"/>
      <c r="S2370" s="23"/>
    </row>
    <row r="2371" spans="1:27" ht="19.5" hidden="1" customHeight="1" outlineLevel="1">
      <c r="A2371" s="29">
        <v>92</v>
      </c>
      <c r="B2371" s="30">
        <f>IF(23&lt;=DAY(DATE(YEAR(설정_코스수당!$K$2),MONTH(설정_코스수당!$K$2)+1,0)),DATE(YEAR(설정_코스수당!$K$2),MONTH(설정_코스수당!$K$2),23),"")</f>
        <v>46196</v>
      </c>
      <c r="C2371" s="31"/>
      <c r="D2371" s="29"/>
      <c r="E2371" s="29"/>
      <c r="F2371" s="32"/>
      <c r="G2371" s="29"/>
      <c r="H2371" s="29"/>
      <c r="I2371" s="29"/>
      <c r="J2371" s="33">
        <f>IF($O2371="방문완료",MAX(0,IFERROR(VLOOKUP($E2371,설정_코스수당!$A$6:$H$10,4,FALSE),0)-IF(OR($P2371="",$P2371="없음"),0,100000)),0)</f>
        <v>0</v>
      </c>
      <c r="K2371" s="33">
        <f t="array" ref="K2371">IF($O2371="방문완료",IFERROR(INDEX(설정_코스수당!$B$15:$F$64,MATCH($G2371,설정_코스수당!$A$15:$A$64,0),MATCH($E2371&amp;"수당",설정_코스수당!$B$14:$F$14,0)),0),0)</f>
        <v>0</v>
      </c>
      <c r="L2371" s="33">
        <f t="array" ref="L2371">IF($O2371="방문완료",IF($H2371="",0,IFERROR(INDEX(설정_코스수당!$B$15:$F$64,MATCH($H2371,설정_코스수당!$A$15:$A$64,0),MATCH($E2371&amp;"수당",설정_코스수당!$B$14:$F$14,0)),0)),0)</f>
        <v>0</v>
      </c>
      <c r="M2371" s="33">
        <f>IF($O2371="방문완료",IFERROR(VLOOKUP($E2371,설정_코스수당!$A$6:$H$10,6,FALSE),0),0)</f>
        <v>0</v>
      </c>
      <c r="N2371" s="34">
        <f t="shared" si="68"/>
        <v>0</v>
      </c>
      <c r="O2371" s="29"/>
      <c r="P2371" s="29"/>
      <c r="Q2371" s="29"/>
      <c r="R2371" s="32"/>
      <c r="S2371" s="29"/>
    </row>
    <row r="2372" spans="1:27" ht="19.5" hidden="1" customHeight="1" outlineLevel="1">
      <c r="A2372" s="23">
        <v>93</v>
      </c>
      <c r="B2372" s="24">
        <f>IF(23&lt;=DAY(DATE(YEAR(설정_코스수당!$K$2),MONTH(설정_코스수당!$K$2)+1,0)),DATE(YEAR(설정_코스수당!$K$2),MONTH(설정_코스수당!$K$2),23),"")</f>
        <v>46196</v>
      </c>
      <c r="C2372" s="25"/>
      <c r="D2372" s="23"/>
      <c r="E2372" s="23"/>
      <c r="F2372" s="26"/>
      <c r="G2372" s="23"/>
      <c r="H2372" s="23"/>
      <c r="I2372" s="23"/>
      <c r="J2372" s="27">
        <f>IF($O2372="방문완료",MAX(0,IFERROR(VLOOKUP($E2372,설정_코스수당!$A$6:$H$10,4,FALSE),0)-IF(OR($P2372="",$P2372="없음"),0,100000)),0)</f>
        <v>0</v>
      </c>
      <c r="K2372" s="27">
        <f t="array" ref="K2372">IF($O2372="방문완료",IFERROR(INDEX(설정_코스수당!$B$15:$F$64,MATCH($G2372,설정_코스수당!$A$15:$A$64,0),MATCH($E2372&amp;"수당",설정_코스수당!$B$14:$F$14,0)),0),0)</f>
        <v>0</v>
      </c>
      <c r="L2372" s="27">
        <f t="array" ref="L2372">IF($O2372="방문완료",IF($H2372="",0,IFERROR(INDEX(설정_코스수당!$B$15:$F$64,MATCH($H2372,설정_코스수당!$A$15:$A$64,0),MATCH($E2372&amp;"수당",설정_코스수당!$B$14:$F$14,0)),0)),0)</f>
        <v>0</v>
      </c>
      <c r="M2372" s="27">
        <f>IF($O2372="방문완료",IFERROR(VLOOKUP($E2372,설정_코스수당!$A$6:$H$10,6,FALSE),0),0)</f>
        <v>0</v>
      </c>
      <c r="N2372" s="28">
        <f t="shared" si="68"/>
        <v>0</v>
      </c>
      <c r="O2372" s="23"/>
      <c r="P2372" s="23"/>
      <c r="Q2372" s="23"/>
      <c r="R2372" s="26"/>
      <c r="S2372" s="23"/>
    </row>
    <row r="2373" spans="1:27" ht="19.5" hidden="1" customHeight="1" outlineLevel="1">
      <c r="A2373" s="29">
        <v>94</v>
      </c>
      <c r="B2373" s="30">
        <f>IF(23&lt;=DAY(DATE(YEAR(설정_코스수당!$K$2),MONTH(설정_코스수당!$K$2)+1,0)),DATE(YEAR(설정_코스수당!$K$2),MONTH(설정_코스수당!$K$2),23),"")</f>
        <v>46196</v>
      </c>
      <c r="C2373" s="31"/>
      <c r="D2373" s="29"/>
      <c r="E2373" s="29"/>
      <c r="F2373" s="32"/>
      <c r="G2373" s="29"/>
      <c r="H2373" s="29"/>
      <c r="I2373" s="29"/>
      <c r="J2373" s="33">
        <f>IF($O2373="방문완료",MAX(0,IFERROR(VLOOKUP($E2373,설정_코스수당!$A$6:$H$10,4,FALSE),0)-IF(OR($P2373="",$P2373="없음"),0,100000)),0)</f>
        <v>0</v>
      </c>
      <c r="K2373" s="33">
        <f t="array" ref="K2373">IF($O2373="방문완료",IFERROR(INDEX(설정_코스수당!$B$15:$F$64,MATCH($G2373,설정_코스수당!$A$15:$A$64,0),MATCH($E2373&amp;"수당",설정_코스수당!$B$14:$F$14,0)),0),0)</f>
        <v>0</v>
      </c>
      <c r="L2373" s="33">
        <f t="array" ref="L2373">IF($O2373="방문완료",IF($H2373="",0,IFERROR(INDEX(설정_코스수당!$B$15:$F$64,MATCH($H2373,설정_코스수당!$A$15:$A$64,0),MATCH($E2373&amp;"수당",설정_코스수당!$B$14:$F$14,0)),0)),0)</f>
        <v>0</v>
      </c>
      <c r="M2373" s="33">
        <f>IF($O2373="방문완료",IFERROR(VLOOKUP($E2373,설정_코스수당!$A$6:$H$10,6,FALSE),0),0)</f>
        <v>0</v>
      </c>
      <c r="N2373" s="34">
        <f t="shared" si="68"/>
        <v>0</v>
      </c>
      <c r="O2373" s="29"/>
      <c r="P2373" s="29"/>
      <c r="Q2373" s="29"/>
      <c r="R2373" s="32"/>
      <c r="S2373" s="29"/>
    </row>
    <row r="2374" spans="1:27" ht="19.5" hidden="1" customHeight="1" outlineLevel="1">
      <c r="A2374" s="23">
        <v>95</v>
      </c>
      <c r="B2374" s="24">
        <f>IF(23&lt;=DAY(DATE(YEAR(설정_코스수당!$K$2),MONTH(설정_코스수당!$K$2)+1,0)),DATE(YEAR(설정_코스수당!$K$2),MONTH(설정_코스수당!$K$2),23),"")</f>
        <v>46196</v>
      </c>
      <c r="C2374" s="25"/>
      <c r="D2374" s="23"/>
      <c r="E2374" s="23"/>
      <c r="F2374" s="26"/>
      <c r="G2374" s="23"/>
      <c r="H2374" s="23"/>
      <c r="I2374" s="23"/>
      <c r="J2374" s="27">
        <f>IF($O2374="방문완료",MAX(0,IFERROR(VLOOKUP($E2374,설정_코스수당!$A$6:$H$10,4,FALSE),0)-IF(OR($P2374="",$P2374="없음"),0,100000)),0)</f>
        <v>0</v>
      </c>
      <c r="K2374" s="27">
        <f t="array" ref="K2374">IF($O2374="방문완료",IFERROR(INDEX(설정_코스수당!$B$15:$F$64,MATCH($G2374,설정_코스수당!$A$15:$A$64,0),MATCH($E2374&amp;"수당",설정_코스수당!$B$14:$F$14,0)),0),0)</f>
        <v>0</v>
      </c>
      <c r="L2374" s="27">
        <f t="array" ref="L2374">IF($O2374="방문완료",IF($H2374="",0,IFERROR(INDEX(설정_코스수당!$B$15:$F$64,MATCH($H2374,설정_코스수당!$A$15:$A$64,0),MATCH($E2374&amp;"수당",설정_코스수당!$B$14:$F$14,0)),0)),0)</f>
        <v>0</v>
      </c>
      <c r="M2374" s="27">
        <f>IF($O2374="방문완료",IFERROR(VLOOKUP($E2374,설정_코스수당!$A$6:$H$10,6,FALSE),0),0)</f>
        <v>0</v>
      </c>
      <c r="N2374" s="28">
        <f t="shared" si="68"/>
        <v>0</v>
      </c>
      <c r="O2374" s="23"/>
      <c r="P2374" s="23"/>
      <c r="Q2374" s="23"/>
      <c r="R2374" s="26"/>
      <c r="S2374" s="23"/>
    </row>
    <row r="2375" spans="1:27" ht="19.5" hidden="1" customHeight="1" outlineLevel="1">
      <c r="A2375" s="29">
        <v>96</v>
      </c>
      <c r="B2375" s="30">
        <f>IF(23&lt;=DAY(DATE(YEAR(설정_코스수당!$K$2),MONTH(설정_코스수당!$K$2)+1,0)),DATE(YEAR(설정_코스수당!$K$2),MONTH(설정_코스수당!$K$2),23),"")</f>
        <v>46196</v>
      </c>
      <c r="C2375" s="31"/>
      <c r="D2375" s="29"/>
      <c r="E2375" s="29"/>
      <c r="F2375" s="32"/>
      <c r="G2375" s="29"/>
      <c r="H2375" s="29"/>
      <c r="I2375" s="29"/>
      <c r="J2375" s="33">
        <f>IF($O2375="방문완료",MAX(0,IFERROR(VLOOKUP($E2375,설정_코스수당!$A$6:$H$10,4,FALSE),0)-IF(OR($P2375="",$P2375="없음"),0,100000)),0)</f>
        <v>0</v>
      </c>
      <c r="K2375" s="33">
        <f t="array" ref="K2375">IF($O2375="방문완료",IFERROR(INDEX(설정_코스수당!$B$15:$F$64,MATCH($G2375,설정_코스수당!$A$15:$A$64,0),MATCH($E2375&amp;"수당",설정_코스수당!$B$14:$F$14,0)),0),0)</f>
        <v>0</v>
      </c>
      <c r="L2375" s="33">
        <f t="array" ref="L2375">IF($O2375="방문완료",IF($H2375="",0,IFERROR(INDEX(설정_코스수당!$B$15:$F$64,MATCH($H2375,설정_코스수당!$A$15:$A$64,0),MATCH($E2375&amp;"수당",설정_코스수당!$B$14:$F$14,0)),0)),0)</f>
        <v>0</v>
      </c>
      <c r="M2375" s="33">
        <f>IF($O2375="방문완료",IFERROR(VLOOKUP($E2375,설정_코스수당!$A$6:$H$10,6,FALSE),0),0)</f>
        <v>0</v>
      </c>
      <c r="N2375" s="34">
        <f t="shared" si="68"/>
        <v>0</v>
      </c>
      <c r="O2375" s="29"/>
      <c r="P2375" s="29"/>
      <c r="Q2375" s="29"/>
      <c r="R2375" s="32"/>
      <c r="S2375" s="29"/>
    </row>
    <row r="2376" spans="1:27" ht="19.5" hidden="1" customHeight="1" outlineLevel="1">
      <c r="A2376" s="23">
        <v>97</v>
      </c>
      <c r="B2376" s="24">
        <f>IF(23&lt;=DAY(DATE(YEAR(설정_코스수당!$K$2),MONTH(설정_코스수당!$K$2)+1,0)),DATE(YEAR(설정_코스수당!$K$2),MONTH(설정_코스수당!$K$2),23),"")</f>
        <v>46196</v>
      </c>
      <c r="C2376" s="25"/>
      <c r="D2376" s="23"/>
      <c r="E2376" s="23"/>
      <c r="F2376" s="26"/>
      <c r="G2376" s="23"/>
      <c r="H2376" s="23"/>
      <c r="I2376" s="23"/>
      <c r="J2376" s="27">
        <f>IF($O2376="방문완료",MAX(0,IFERROR(VLOOKUP($E2376,설정_코스수당!$A$6:$H$10,4,FALSE),0)-IF(OR($P2376="",$P2376="없음"),0,100000)),0)</f>
        <v>0</v>
      </c>
      <c r="K2376" s="27">
        <f t="array" ref="K2376">IF($O2376="방문완료",IFERROR(INDEX(설정_코스수당!$B$15:$F$64,MATCH($G2376,설정_코스수당!$A$15:$A$64,0),MATCH($E2376&amp;"수당",설정_코스수당!$B$14:$F$14,0)),0),0)</f>
        <v>0</v>
      </c>
      <c r="L2376" s="27">
        <f t="array" ref="L2376">IF($O2376="방문완료",IF($H2376="",0,IFERROR(INDEX(설정_코스수당!$B$15:$F$64,MATCH($H2376,설정_코스수당!$A$15:$A$64,0),MATCH($E2376&amp;"수당",설정_코스수당!$B$14:$F$14,0)),0)),0)</f>
        <v>0</v>
      </c>
      <c r="M2376" s="27">
        <f>IF($O2376="방문완료",IFERROR(VLOOKUP($E2376,설정_코스수당!$A$6:$H$10,6,FALSE),0),0)</f>
        <v>0</v>
      </c>
      <c r="N2376" s="28">
        <f t="shared" si="68"/>
        <v>0</v>
      </c>
      <c r="O2376" s="23"/>
      <c r="P2376" s="23"/>
      <c r="Q2376" s="23"/>
      <c r="R2376" s="26"/>
      <c r="S2376" s="23"/>
    </row>
    <row r="2377" spans="1:27" ht="19.5" hidden="1" customHeight="1" outlineLevel="1">
      <c r="A2377" s="29">
        <v>98</v>
      </c>
      <c r="B2377" s="30">
        <f>IF(23&lt;=DAY(DATE(YEAR(설정_코스수당!$K$2),MONTH(설정_코스수당!$K$2)+1,0)),DATE(YEAR(설정_코스수당!$K$2),MONTH(설정_코스수당!$K$2),23),"")</f>
        <v>46196</v>
      </c>
      <c r="C2377" s="31"/>
      <c r="D2377" s="29"/>
      <c r="E2377" s="29"/>
      <c r="F2377" s="32"/>
      <c r="G2377" s="29"/>
      <c r="H2377" s="29"/>
      <c r="I2377" s="29"/>
      <c r="J2377" s="33">
        <f>IF($O2377="방문완료",MAX(0,IFERROR(VLOOKUP($E2377,설정_코스수당!$A$6:$H$10,4,FALSE),0)-IF(OR($P2377="",$P2377="없음"),0,100000)),0)</f>
        <v>0</v>
      </c>
      <c r="K2377" s="33">
        <f t="array" ref="K2377">IF($O2377="방문완료",IFERROR(INDEX(설정_코스수당!$B$15:$F$64,MATCH($G2377,설정_코스수당!$A$15:$A$64,0),MATCH($E2377&amp;"수당",설정_코스수당!$B$14:$F$14,0)),0),0)</f>
        <v>0</v>
      </c>
      <c r="L2377" s="33">
        <f t="array" ref="L2377">IF($O2377="방문완료",IF($H2377="",0,IFERROR(INDEX(설정_코스수당!$B$15:$F$64,MATCH($H2377,설정_코스수당!$A$15:$A$64,0),MATCH($E2377&amp;"수당",설정_코스수당!$B$14:$F$14,0)),0)),0)</f>
        <v>0</v>
      </c>
      <c r="M2377" s="33">
        <f>IF($O2377="방문완료",IFERROR(VLOOKUP($E2377,설정_코스수당!$A$6:$H$10,6,FALSE),0),0)</f>
        <v>0</v>
      </c>
      <c r="N2377" s="34">
        <f t="shared" si="68"/>
        <v>0</v>
      </c>
      <c r="O2377" s="29"/>
      <c r="P2377" s="29"/>
      <c r="Q2377" s="29"/>
      <c r="R2377" s="32"/>
      <c r="S2377" s="29"/>
    </row>
    <row r="2378" spans="1:27" ht="19.5" hidden="1" customHeight="1" outlineLevel="1">
      <c r="A2378" s="23">
        <v>99</v>
      </c>
      <c r="B2378" s="24">
        <f>IF(23&lt;=DAY(DATE(YEAR(설정_코스수당!$K$2),MONTH(설정_코스수당!$K$2)+1,0)),DATE(YEAR(설정_코스수당!$K$2),MONTH(설정_코스수당!$K$2),23),"")</f>
        <v>46196</v>
      </c>
      <c r="C2378" s="25"/>
      <c r="D2378" s="23"/>
      <c r="E2378" s="23"/>
      <c r="F2378" s="26"/>
      <c r="G2378" s="23"/>
      <c r="H2378" s="23"/>
      <c r="I2378" s="23"/>
      <c r="J2378" s="27">
        <f>IF($O2378="방문완료",MAX(0,IFERROR(VLOOKUP($E2378,설정_코스수당!$A$6:$H$10,4,FALSE),0)-IF(OR($P2378="",$P2378="없음"),0,100000)),0)</f>
        <v>0</v>
      </c>
      <c r="K2378" s="27">
        <f t="array" ref="K2378">IF($O2378="방문완료",IFERROR(INDEX(설정_코스수당!$B$15:$F$64,MATCH($G2378,설정_코스수당!$A$15:$A$64,0),MATCH($E2378&amp;"수당",설정_코스수당!$B$14:$F$14,0)),0),0)</f>
        <v>0</v>
      </c>
      <c r="L2378" s="27">
        <f t="array" ref="L2378">IF($O2378="방문완료",IF($H2378="",0,IFERROR(INDEX(설정_코스수당!$B$15:$F$64,MATCH($H2378,설정_코스수당!$A$15:$A$64,0),MATCH($E2378&amp;"수당",설정_코스수당!$B$14:$F$14,0)),0)),0)</f>
        <v>0</v>
      </c>
      <c r="M2378" s="27">
        <f>IF($O2378="방문완료",IFERROR(VLOOKUP($E2378,설정_코스수당!$A$6:$H$10,6,FALSE),0),0)</f>
        <v>0</v>
      </c>
      <c r="N2378" s="28">
        <f t="shared" si="68"/>
        <v>0</v>
      </c>
      <c r="O2378" s="23"/>
      <c r="P2378" s="23"/>
      <c r="Q2378" s="23"/>
      <c r="R2378" s="26"/>
      <c r="S2378" s="23"/>
    </row>
    <row r="2379" spans="1:27" ht="19.5" hidden="1" customHeight="1" outlineLevel="1">
      <c r="A2379" s="29">
        <v>100</v>
      </c>
      <c r="B2379" s="30">
        <f>IF(23&lt;=DAY(DATE(YEAR(설정_코스수당!$K$2),MONTH(설정_코스수당!$K$2)+1,0)),DATE(YEAR(설정_코스수당!$K$2),MONTH(설정_코스수당!$K$2),23),"")</f>
        <v>46196</v>
      </c>
      <c r="C2379" s="31"/>
      <c r="D2379" s="29"/>
      <c r="E2379" s="29"/>
      <c r="F2379" s="32"/>
      <c r="G2379" s="29"/>
      <c r="H2379" s="29"/>
      <c r="I2379" s="29"/>
      <c r="J2379" s="33">
        <f>IF($O2379="방문완료",MAX(0,IFERROR(VLOOKUP($E2379,설정_코스수당!$A$6:$H$10,4,FALSE),0)-IF(OR($P2379="",$P2379="없음"),0,100000)),0)</f>
        <v>0</v>
      </c>
      <c r="K2379" s="33">
        <f t="array" ref="K2379">IF($O2379="방문완료",IFERROR(INDEX(설정_코스수당!$B$15:$F$64,MATCH($G2379,설정_코스수당!$A$15:$A$64,0),MATCH($E2379&amp;"수당",설정_코스수당!$B$14:$F$14,0)),0),0)</f>
        <v>0</v>
      </c>
      <c r="L2379" s="33">
        <f t="array" ref="L2379">IF($O2379="방문완료",IF($H2379="",0,IFERROR(INDEX(설정_코스수당!$B$15:$F$64,MATCH($H2379,설정_코스수당!$A$15:$A$64,0),MATCH($E2379&amp;"수당",설정_코스수당!$B$14:$F$14,0)),0)),0)</f>
        <v>0</v>
      </c>
      <c r="M2379" s="33">
        <f>IF($O2379="방문완료",IFERROR(VLOOKUP($E2379,설정_코스수당!$A$6:$H$10,6,FALSE),0),0)</f>
        <v>0</v>
      </c>
      <c r="N2379" s="34">
        <f t="shared" si="68"/>
        <v>0</v>
      </c>
      <c r="O2379" s="29"/>
      <c r="P2379" s="29"/>
      <c r="Q2379" s="29"/>
      <c r="R2379" s="32"/>
      <c r="S2379" s="29"/>
    </row>
    <row r="2380" spans="1:27" ht="19.5" hidden="1" customHeight="1" outlineLevel="1">
      <c r="A2380" s="36" t="s">
        <v>79</v>
      </c>
      <c r="B2380" s="37"/>
      <c r="C2380" s="38"/>
      <c r="D2380" s="37"/>
      <c r="E2380" s="37"/>
      <c r="F2380" s="37"/>
      <c r="G2380" s="37"/>
      <c r="H2380" s="37"/>
      <c r="I2380" s="37"/>
      <c r="J2380" s="37">
        <f>IF($O2380="방문완료",MAX(0,IFERROR(VLOOKUP($E2380,설정_코스수당!$A$6:$H$10,4,FALSE),0)-IF(OR($P2380="",$P2380="없음"),0,100000)),0)</f>
        <v>0</v>
      </c>
      <c r="O2380" s="18"/>
      <c r="P2380" s="14"/>
      <c r="Q2380" s="18"/>
      <c r="S2380" s="18"/>
    </row>
    <row r="2381" spans="1:27" ht="21" customHeight="1" collapsed="1">
      <c r="A2381" s="123" t="str">
        <f>IF(24&lt;=DAY(DATE(YEAR(설정_코스수당!$K$2),MONTH(설정_코스수당!$K$2)+1,0)),TEXT(DATE(YEAR(설정_코스수당!$K$2),MONTH(설정_코스수당!$K$2),24),"yyyy-mm-dd")&amp;"  |  예약관리 100슬롯","")</f>
        <v>2026-06-24  |  예약관리 100슬롯</v>
      </c>
      <c r="B2381" s="124"/>
      <c r="C2381" s="124"/>
      <c r="D2381" s="124"/>
      <c r="E2381" s="124"/>
      <c r="F2381" s="124"/>
      <c r="G2381" s="124"/>
      <c r="H2381" s="124"/>
      <c r="I2381" s="124"/>
      <c r="J2381" s="124"/>
      <c r="K2381" s="124"/>
      <c r="L2381" s="124"/>
      <c r="M2381" s="124"/>
      <c r="N2381" s="124"/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19"/>
      <c r="AA2381" s="19"/>
    </row>
    <row r="2382" spans="1:27" ht="19.5" hidden="1" customHeight="1" outlineLevel="1">
      <c r="A2382" s="20" t="s">
        <v>41</v>
      </c>
      <c r="B2382" s="20" t="s">
        <v>42</v>
      </c>
      <c r="C2382" s="39" t="s">
        <v>43</v>
      </c>
      <c r="D2382" s="20" t="s">
        <v>44</v>
      </c>
      <c r="E2382" s="20" t="s">
        <v>45</v>
      </c>
      <c r="F2382" s="20" t="s">
        <v>46</v>
      </c>
      <c r="G2382" s="20" t="s">
        <v>47</v>
      </c>
      <c r="H2382" s="20" t="s">
        <v>48</v>
      </c>
      <c r="I2382" s="20" t="s">
        <v>49</v>
      </c>
      <c r="J2382" s="20" t="s">
        <v>50</v>
      </c>
      <c r="K2382" s="20" t="s">
        <v>51</v>
      </c>
      <c r="L2382" s="20" t="s">
        <v>52</v>
      </c>
      <c r="M2382" s="20" t="s">
        <v>53</v>
      </c>
      <c r="N2382" s="20" t="s">
        <v>54</v>
      </c>
      <c r="O2382" s="20" t="s">
        <v>55</v>
      </c>
      <c r="P2382" s="20" t="s">
        <v>56</v>
      </c>
      <c r="Q2382" s="18"/>
      <c r="R2382" s="20" t="s">
        <v>58</v>
      </c>
      <c r="S2382" s="20" t="s">
        <v>59</v>
      </c>
      <c r="U2382" s="122" t="str">
        <f>IF(24&lt;=DAY(DATE(YEAR(설정_코스수당!$K$2),MONTH(설정_코스수당!$K$2)+1,0)),TEXT(DATE(YEAR(설정_코스수당!$K$2),MONTH(설정_코스수당!$K$2),24),"yyyy-mm-dd")&amp;" 일일 상태","")</f>
        <v>2026-06-24 일일 상태</v>
      </c>
      <c r="V2382" s="125"/>
      <c r="W2382" s="122" t="s">
        <v>3</v>
      </c>
      <c r="X2382" s="125"/>
    </row>
    <row r="2383" spans="1:27" ht="19.5" hidden="1" customHeight="1" outlineLevel="1">
      <c r="A2383" s="23">
        <v>1</v>
      </c>
      <c r="B2383" s="24">
        <f>IF(24&lt;=DAY(DATE(YEAR(설정_코스수당!$K$2),MONTH(설정_코스수당!$K$2)+1,0)),DATE(YEAR(설정_코스수당!$K$2),MONTH(설정_코스수당!$K$2),24),"")</f>
        <v>46197</v>
      </c>
      <c r="C2383" s="25"/>
      <c r="D2383" s="23"/>
      <c r="E2383" s="23"/>
      <c r="F2383" s="26"/>
      <c r="G2383" s="23"/>
      <c r="H2383" s="23"/>
      <c r="I2383" s="23"/>
      <c r="J2383" s="27">
        <f>IF($O2383="방문완료",MAX(0,IFERROR(VLOOKUP($E2383,설정_코스수당!$A$6:$H$10,4,FALSE),0)-IF(OR($P2383="",$P2383="없음"),0,100000)),0)</f>
        <v>0</v>
      </c>
      <c r="K2383" s="27">
        <f t="array" ref="K2383">IF($O2383="방문완료",IFERROR(INDEX(설정_코스수당!$B$15:$F$64,MATCH($G2383,설정_코스수당!$A$15:$A$64,0),MATCH($E2383&amp;"수당",설정_코스수당!$B$14:$F$14,0)),0),0)</f>
        <v>0</v>
      </c>
      <c r="L2383" s="27">
        <f t="array" ref="L2383">IF($O2383="방문완료",IF($H2383="",0,IFERROR(INDEX(설정_코스수당!$B$15:$F$64,MATCH($H2383,설정_코스수당!$A$15:$A$64,0),MATCH($E2383&amp;"수당",설정_코스수당!$B$14:$F$14,0)),0)),0)</f>
        <v>0</v>
      </c>
      <c r="M2383" s="27">
        <f>IF($O2383="방문완료",IFERROR(VLOOKUP($E2383,설정_코스수당!$A$6:$H$10,6,FALSE),0),0)</f>
        <v>0</v>
      </c>
      <c r="N2383" s="28">
        <f t="shared" ref="N2383:N2414" si="69">IF($O2383="방문완료",1,0)</f>
        <v>0</v>
      </c>
      <c r="O2383" s="23"/>
      <c r="P2383" s="23"/>
      <c r="Q2383" s="23"/>
      <c r="R2383" s="26"/>
      <c r="S2383" s="23"/>
      <c r="U2383" s="104" t="s">
        <v>63</v>
      </c>
      <c r="V2383" s="105">
        <f>IF(24&lt;=DAY(DATE(YEAR(설정_코스수당!$K$2),MONTH(설정_코스수당!$K$2)+1,0)),COUNTIFS($B:$B,DATE(YEAR(설정_코스수당!$K$2),MONTH(설정_코스수당!$K$2),24),$O:$O,"&lt;&gt;"),"")</f>
        <v>0</v>
      </c>
      <c r="W2383" s="104" t="s">
        <v>6</v>
      </c>
      <c r="X2383" s="105">
        <f>IF(24&lt;=DAY(DATE(YEAR(설정_코스수당!$K$2),MONTH(설정_코스수당!$K$2)+1,0)),COUNTIFS($B:$B,DATE(YEAR(설정_코스수당!$K$2),MONTH(설정_코스수당!$K$2),24),$E:$E,"A",$O:$O,"방문완료"),"")</f>
        <v>0</v>
      </c>
    </row>
    <row r="2384" spans="1:27" ht="19.5" hidden="1" customHeight="1" outlineLevel="1">
      <c r="A2384" s="29">
        <v>2</v>
      </c>
      <c r="B2384" s="30">
        <f>IF(24&lt;=DAY(DATE(YEAR(설정_코스수당!$K$2),MONTH(설정_코스수당!$K$2)+1,0)),DATE(YEAR(설정_코스수당!$K$2),MONTH(설정_코스수당!$K$2),24),"")</f>
        <v>46197</v>
      </c>
      <c r="C2384" s="31"/>
      <c r="D2384" s="29"/>
      <c r="E2384" s="29"/>
      <c r="F2384" s="32"/>
      <c r="G2384" s="29"/>
      <c r="H2384" s="29"/>
      <c r="I2384" s="29"/>
      <c r="J2384" s="33">
        <f>IF($O2384="방문완료",MAX(0,IFERROR(VLOOKUP($E2384,설정_코스수당!$A$6:$H$10,4,FALSE),0)-IF(OR($P2384="",$P2384="없음"),0,100000)),0)</f>
        <v>0</v>
      </c>
      <c r="K2384" s="33">
        <f t="array" ref="K2384">IF($O2384="방문완료",IFERROR(INDEX(설정_코스수당!$B$15:$F$64,MATCH($G2384,설정_코스수당!$A$15:$A$64,0),MATCH($E2384&amp;"수당",설정_코스수당!$B$14:$F$14,0)),0),0)</f>
        <v>0</v>
      </c>
      <c r="L2384" s="33">
        <f t="array" ref="L2384">IF($O2384="방문완료",IF($H2384="",0,IFERROR(INDEX(설정_코스수당!$B$15:$F$64,MATCH($H2384,설정_코스수당!$A$15:$A$64,0),MATCH($E2384&amp;"수당",설정_코스수당!$B$14:$F$14,0)),0)),0)</f>
        <v>0</v>
      </c>
      <c r="M2384" s="33">
        <f>IF($O2384="방문완료",IFERROR(VLOOKUP($E2384,설정_코스수당!$A$6:$H$10,6,FALSE),0),0)</f>
        <v>0</v>
      </c>
      <c r="N2384" s="34">
        <f t="shared" si="69"/>
        <v>0</v>
      </c>
      <c r="O2384" s="29"/>
      <c r="P2384" s="29"/>
      <c r="Q2384" s="29"/>
      <c r="R2384" s="32"/>
      <c r="S2384" s="29"/>
      <c r="U2384" s="104" t="s">
        <v>62</v>
      </c>
      <c r="V2384" s="105">
        <f>IF(24&lt;=DAY(DATE(YEAR(설정_코스수당!$K$2),MONTH(설정_코스수당!$K$2)+1,0)),COUNTIFS($B:$B,DATE(YEAR(설정_코스수당!$K$2),MONTH(설정_코스수당!$K$2),24),$O:$O,"방문완료"),"")</f>
        <v>0</v>
      </c>
      <c r="W2384" s="104" t="s">
        <v>9</v>
      </c>
      <c r="X2384" s="105">
        <f>IF(24&lt;=DAY(DATE(YEAR(설정_코스수당!$K$2),MONTH(설정_코스수당!$K$2)+1,0)),COUNTIFS($B:$B,DATE(YEAR(설정_코스수당!$K$2),MONTH(설정_코스수당!$K$2),24),$E:$E,"B",$O:$O,"방문완료"),"")</f>
        <v>0</v>
      </c>
    </row>
    <row r="2385" spans="1:24" ht="19.5" hidden="1" customHeight="1" outlineLevel="1">
      <c r="A2385" s="23">
        <v>3</v>
      </c>
      <c r="B2385" s="24">
        <f>IF(24&lt;=DAY(DATE(YEAR(설정_코스수당!$K$2),MONTH(설정_코스수당!$K$2)+1,0)),DATE(YEAR(설정_코스수당!$K$2),MONTH(설정_코스수당!$K$2),24),"")</f>
        <v>46197</v>
      </c>
      <c r="C2385" s="25"/>
      <c r="D2385" s="23"/>
      <c r="E2385" s="23"/>
      <c r="F2385" s="26"/>
      <c r="G2385" s="23"/>
      <c r="H2385" s="23"/>
      <c r="I2385" s="23"/>
      <c r="J2385" s="27">
        <f>IF($O2385="방문완료",MAX(0,IFERROR(VLOOKUP($E2385,설정_코스수당!$A$6:$H$10,4,FALSE),0)-IF(OR($P2385="",$P2385="없음"),0,100000)),0)</f>
        <v>0</v>
      </c>
      <c r="K2385" s="27">
        <f t="array" ref="K2385">IF($O2385="방문완료",IFERROR(INDEX(설정_코스수당!$B$15:$F$64,MATCH($G2385,설정_코스수당!$A$15:$A$64,0),MATCH($E2385&amp;"수당",설정_코스수당!$B$14:$F$14,0)),0),0)</f>
        <v>0</v>
      </c>
      <c r="L2385" s="27">
        <f t="array" ref="L2385">IF($O2385="방문완료",IF($H2385="",0,IFERROR(INDEX(설정_코스수당!$B$15:$F$64,MATCH($H2385,설정_코스수당!$A$15:$A$64,0),MATCH($E2385&amp;"수당",설정_코스수당!$B$14:$F$14,0)),0)),0)</f>
        <v>0</v>
      </c>
      <c r="M2385" s="27">
        <f>IF($O2385="방문완료",IFERROR(VLOOKUP($E2385,설정_코스수당!$A$6:$H$10,6,FALSE),0),0)</f>
        <v>0</v>
      </c>
      <c r="N2385" s="28">
        <f t="shared" si="69"/>
        <v>0</v>
      </c>
      <c r="O2385" s="23"/>
      <c r="P2385" s="23"/>
      <c r="Q2385" s="23"/>
      <c r="R2385" s="26"/>
      <c r="S2385" s="23"/>
      <c r="U2385" s="104" t="s">
        <v>68</v>
      </c>
      <c r="V2385" s="105" t="str">
        <f>IF(24&lt;=DAY(DATE(YEAR(설정_코스수당!$K$2),MONTH(설정_코스수당!$K$2)+1,0)),COUNTIFS($B:$B,DATE(YEAR(설정_코스수당!$K$2),MONTH(설정_코스수당!$K$2),24),$O:$O,"노쇼")&amp;"/"&amp;COUNTIFS($B:$B,DATE(YEAR(설정_코스수당!$K$2),MONTH(설정_코스수당!$K$2),24),$O:$O,"취소"),"")</f>
        <v>0/0</v>
      </c>
      <c r="W2385" s="104" t="s">
        <v>12</v>
      </c>
      <c r="X2385" s="105">
        <f>IF(24&lt;=DAY(DATE(YEAR(설정_코스수당!$K$2),MONTH(설정_코스수당!$K$2)+1,0)),COUNTIFS($B:$B,DATE(YEAR(설정_코스수당!$K$2),MONTH(설정_코스수당!$K$2),24),$E:$E,"C",$O:$O,"방문완료"),"")</f>
        <v>0</v>
      </c>
    </row>
    <row r="2386" spans="1:24" ht="19.5" hidden="1" customHeight="1" outlineLevel="1">
      <c r="A2386" s="29">
        <v>4</v>
      </c>
      <c r="B2386" s="30">
        <f>IF(24&lt;=DAY(DATE(YEAR(설정_코스수당!$K$2),MONTH(설정_코스수당!$K$2)+1,0)),DATE(YEAR(설정_코스수당!$K$2),MONTH(설정_코스수당!$K$2),24),"")</f>
        <v>46197</v>
      </c>
      <c r="C2386" s="31"/>
      <c r="D2386" s="29"/>
      <c r="E2386" s="29"/>
      <c r="F2386" s="32"/>
      <c r="G2386" s="29"/>
      <c r="H2386" s="29"/>
      <c r="I2386" s="29"/>
      <c r="J2386" s="33">
        <f>IF($O2386="방문완료",MAX(0,IFERROR(VLOOKUP($E2386,설정_코스수당!$A$6:$H$10,4,FALSE),0)-IF(OR($P2386="",$P2386="없음"),0,100000)),0)</f>
        <v>0</v>
      </c>
      <c r="K2386" s="33">
        <f t="array" ref="K2386">IF($O2386="방문완료",IFERROR(INDEX(설정_코스수당!$B$15:$F$64,MATCH($G2386,설정_코스수당!$A$15:$A$64,0),MATCH($E2386&amp;"수당",설정_코스수당!$B$14:$F$14,0)),0),0)</f>
        <v>0</v>
      </c>
      <c r="L2386" s="33">
        <f t="array" ref="L2386">IF($O2386="방문완료",IF($H2386="",0,IFERROR(INDEX(설정_코스수당!$B$15:$F$64,MATCH($H2386,설정_코스수당!$A$15:$A$64,0),MATCH($E2386&amp;"수당",설정_코스수당!$B$14:$F$14,0)),0)),0)</f>
        <v>0</v>
      </c>
      <c r="M2386" s="33">
        <f>IF($O2386="방문완료",IFERROR(VLOOKUP($E2386,설정_코스수당!$A$6:$H$10,6,FALSE),0),0)</f>
        <v>0</v>
      </c>
      <c r="N2386" s="34">
        <f t="shared" si="69"/>
        <v>0</v>
      </c>
      <c r="O2386" s="29"/>
      <c r="P2386" s="29"/>
      <c r="Q2386" s="29"/>
      <c r="R2386" s="32"/>
      <c r="S2386" s="29"/>
      <c r="U2386" s="104" t="s">
        <v>69</v>
      </c>
      <c r="V2386" s="106">
        <f>IF(24&lt;=DAY(DATE(YEAR(설정_코스수당!$K$2),MONTH(설정_코스수당!$K$2)+1,0)),SUMIFS($J:$J,$B:$B,DATE(YEAR(설정_코스수당!$K$2),MONTH(설정_코스수당!$K$2),24),$O:$O,"방문완료"),"")</f>
        <v>0</v>
      </c>
      <c r="W2386" s="104" t="s">
        <v>15</v>
      </c>
      <c r="X2386" s="105">
        <f>IF(24&lt;=DAY(DATE(YEAR(설정_코스수당!$K$2),MONTH(설정_코스수당!$K$2)+1,0)),COUNTIFS($B:$B,DATE(YEAR(설정_코스수당!$K$2),MONTH(설정_코스수당!$K$2),24),$E:$E,"D",$O:$O,"방문완료"),"")</f>
        <v>0</v>
      </c>
    </row>
    <row r="2387" spans="1:24" ht="19.5" hidden="1" customHeight="1" outlineLevel="1">
      <c r="A2387" s="23">
        <v>5</v>
      </c>
      <c r="B2387" s="24">
        <f>IF(24&lt;=DAY(DATE(YEAR(설정_코스수당!$K$2),MONTH(설정_코스수당!$K$2)+1,0)),DATE(YEAR(설정_코스수당!$K$2),MONTH(설정_코스수당!$K$2),24),"")</f>
        <v>46197</v>
      </c>
      <c r="C2387" s="25"/>
      <c r="D2387" s="23"/>
      <c r="E2387" s="23"/>
      <c r="F2387" s="26"/>
      <c r="G2387" s="23"/>
      <c r="H2387" s="23"/>
      <c r="I2387" s="23"/>
      <c r="J2387" s="27">
        <f>IF($O2387="방문완료",MAX(0,IFERROR(VLOOKUP($E2387,설정_코스수당!$A$6:$H$10,4,FALSE),0)-IF(OR($P2387="",$P2387="없음"),0,100000)),0)</f>
        <v>0</v>
      </c>
      <c r="K2387" s="27">
        <f t="array" ref="K2387">IF($O2387="방문완료",IFERROR(INDEX(설정_코스수당!$B$15:$F$64,MATCH($G2387,설정_코스수당!$A$15:$A$64,0),MATCH($E2387&amp;"수당",설정_코스수당!$B$14:$F$14,0)),0),0)</f>
        <v>0</v>
      </c>
      <c r="L2387" s="27">
        <f t="array" ref="L2387">IF($O2387="방문완료",IF($H2387="",0,IFERROR(INDEX(설정_코스수당!$B$15:$F$64,MATCH($H2387,설정_코스수당!$A$15:$A$64,0),MATCH($E2387&amp;"수당",설정_코스수당!$B$14:$F$14,0)),0)),0)</f>
        <v>0</v>
      </c>
      <c r="M2387" s="27">
        <f>IF($O2387="방문완료",IFERROR(VLOOKUP($E2387,설정_코스수당!$A$6:$H$10,6,FALSE),0),0)</f>
        <v>0</v>
      </c>
      <c r="N2387" s="28">
        <f t="shared" si="69"/>
        <v>0</v>
      </c>
      <c r="O2387" s="23"/>
      <c r="P2387" s="23"/>
      <c r="Q2387" s="23"/>
      <c r="R2387" s="26"/>
      <c r="S2387" s="23"/>
      <c r="U2387" s="104" t="s">
        <v>70</v>
      </c>
      <c r="V2387" s="106">
        <f>IF(24&lt;=DAY(DATE(YEAR(설정_코스수당!$K$2),MONTH(설정_코스수당!$K$2)+1,0)),SUMIFS($K:$K,$B:$B,DATE(YEAR(설정_코스수당!$K$2),MONTH(설정_코스수당!$K$2),24),$O:$O,"방문완료")+SUMIFS($L:$L,$B:$B,DATE(YEAR(설정_코스수당!$K$2),MONTH(설정_코스수당!$K$2),24),$O:$O,"방문완료"),"")</f>
        <v>0</v>
      </c>
      <c r="W2387" s="104" t="s">
        <v>18</v>
      </c>
      <c r="X2387" s="105">
        <f>IF(24&lt;=DAY(DATE(YEAR(설정_코스수당!$K$2),MONTH(설정_코스수당!$K$2)+1,0)),COUNTIFS($B:$B,DATE(YEAR(설정_코스수당!$K$2),MONTH(설정_코스수당!$K$2),24),$E:$E,"E",$O:$O,"방문완료"),"")</f>
        <v>0</v>
      </c>
    </row>
    <row r="2388" spans="1:24" ht="19.5" hidden="1" customHeight="1" outlineLevel="1">
      <c r="A2388" s="29">
        <v>6</v>
      </c>
      <c r="B2388" s="30">
        <f>IF(24&lt;=DAY(DATE(YEAR(설정_코스수당!$K$2),MONTH(설정_코스수당!$K$2)+1,0)),DATE(YEAR(설정_코스수당!$K$2),MONTH(설정_코스수당!$K$2),24),"")</f>
        <v>46197</v>
      </c>
      <c r="C2388" s="31"/>
      <c r="D2388" s="29"/>
      <c r="E2388" s="29"/>
      <c r="F2388" s="32"/>
      <c r="G2388" s="29"/>
      <c r="H2388" s="29"/>
      <c r="I2388" s="29"/>
      <c r="J2388" s="33">
        <f>IF($O2388="방문완료",MAX(0,IFERROR(VLOOKUP($E2388,설정_코스수당!$A$6:$H$10,4,FALSE),0)-IF(OR($P2388="",$P2388="없음"),0,100000)),0)</f>
        <v>0</v>
      </c>
      <c r="K2388" s="33">
        <f t="array" ref="K2388">IF($O2388="방문완료",IFERROR(INDEX(설정_코스수당!$B$15:$F$64,MATCH($G2388,설정_코스수당!$A$15:$A$64,0),MATCH($E2388&amp;"수당",설정_코스수당!$B$14:$F$14,0)),0),0)</f>
        <v>0</v>
      </c>
      <c r="L2388" s="33">
        <f t="array" ref="L2388">IF($O2388="방문완료",IF($H2388="",0,IFERROR(INDEX(설정_코스수당!$B$15:$F$64,MATCH($H2388,설정_코스수당!$A$15:$A$64,0),MATCH($E2388&amp;"수당",설정_코스수당!$B$14:$F$14,0)),0)),0)</f>
        <v>0</v>
      </c>
      <c r="M2388" s="33">
        <f>IF($O2388="방문완료",IFERROR(VLOOKUP($E2388,설정_코스수당!$A$6:$H$10,6,FALSE),0),0)</f>
        <v>0</v>
      </c>
      <c r="N2388" s="34">
        <f t="shared" si="69"/>
        <v>0</v>
      </c>
      <c r="O2388" s="29"/>
      <c r="P2388" s="29"/>
      <c r="Q2388" s="29"/>
      <c r="R2388" s="32"/>
      <c r="S2388" s="29"/>
      <c r="U2388" s="104" t="s">
        <v>53</v>
      </c>
      <c r="V2388" s="106">
        <f>IF(24&lt;=DAY(DATE(YEAR(설정_코스수당!$K$2),MONTH(설정_코스수당!$K$2)+1,0)),SUMIFS($M:$M,$B:$B,DATE(YEAR(설정_코스수당!$K$2),MONTH(설정_코스수당!$K$2),24),$O:$O,"방문완료"),"")</f>
        <v>0</v>
      </c>
      <c r="W2388" s="104" t="s">
        <v>71</v>
      </c>
      <c r="X2388" s="107">
        <f>IF(24&lt;=DAY(DATE(YEAR(설정_코스수당!$K$2),MONTH(설정_코스수당!$K$2)+1,0)),COUNTIFS($B:$B,DATE(YEAR(설정_코스수당!$K$2),MONTH(설정_코스수당!$K$2),24),$O:$O,"방문완료",$P:$P,"&lt;&gt;",$P:$P,"&lt;&gt;없음"),"")</f>
        <v>0</v>
      </c>
    </row>
    <row r="2389" spans="1:24" ht="19.5" hidden="1" customHeight="1" outlineLevel="1">
      <c r="A2389" s="23">
        <v>7</v>
      </c>
      <c r="B2389" s="24">
        <f>IF(24&lt;=DAY(DATE(YEAR(설정_코스수당!$K$2),MONTH(설정_코스수당!$K$2)+1,0)),DATE(YEAR(설정_코스수당!$K$2),MONTH(설정_코스수당!$K$2),24),"")</f>
        <v>46197</v>
      </c>
      <c r="C2389" s="25"/>
      <c r="D2389" s="23"/>
      <c r="E2389" s="23"/>
      <c r="F2389" s="26"/>
      <c r="G2389" s="23"/>
      <c r="H2389" s="23"/>
      <c r="I2389" s="23"/>
      <c r="J2389" s="27">
        <f>IF($O2389="방문완료",MAX(0,IFERROR(VLOOKUP($E2389,설정_코스수당!$A$6:$H$10,4,FALSE),0)-IF(OR($P2389="",$P2389="없음"),0,100000)),0)</f>
        <v>0</v>
      </c>
      <c r="K2389" s="27">
        <f t="array" ref="K2389">IF($O2389="방문완료",IFERROR(INDEX(설정_코스수당!$B$15:$F$64,MATCH($G2389,설정_코스수당!$A$15:$A$64,0),MATCH($E2389&amp;"수당",설정_코스수당!$B$14:$F$14,0)),0),0)</f>
        <v>0</v>
      </c>
      <c r="L2389" s="27">
        <f t="array" ref="L2389">IF($O2389="방문완료",IF($H2389="",0,IFERROR(INDEX(설정_코스수당!$B$15:$F$64,MATCH($H2389,설정_코스수당!$A$15:$A$64,0),MATCH($E2389&amp;"수당",설정_코스수당!$B$14:$F$14,0)),0)),0)</f>
        <v>0</v>
      </c>
      <c r="M2389" s="27">
        <f>IF($O2389="방문완료",IFERROR(VLOOKUP($E2389,설정_코스수당!$A$6:$H$10,6,FALSE),0),0)</f>
        <v>0</v>
      </c>
      <c r="N2389" s="28">
        <f t="shared" si="69"/>
        <v>0</v>
      </c>
      <c r="O2389" s="23"/>
      <c r="P2389" s="23"/>
      <c r="Q2389" s="23"/>
      <c r="R2389" s="26"/>
      <c r="S2389" s="23"/>
      <c r="U2389" s="104" t="s">
        <v>72</v>
      </c>
      <c r="V2389" s="108">
        <f>IF(24&lt;=DAY(DATE(YEAR(설정_코스수당!$K$2),MONTH(설정_코스수당!$K$2)+1,0)),COUNTIFS($B:$B,DATE(YEAR(설정_코스수당!$K$2),MONTH(설정_코스수당!$K$2),24),$O:$O,"방문완료",$P:$P,"&lt;&gt;",$P:$P,"&lt;&gt;없음")*100000,"")</f>
        <v>0</v>
      </c>
      <c r="W2389" s="104" t="s">
        <v>73</v>
      </c>
      <c r="X2389" s="105">
        <f>IF(24&lt;=DAY(DATE(YEAR(설정_코스수당!$K$2),MONTH(설정_코스수당!$K$2)+1,0)),COUNTIFS($B:$B,DATE(YEAR(설정_코스수당!$K$2),MONTH(설정_코스수당!$K$2),24),$G:$G,"&lt;&gt;",$O:$O,"방문완료")+COUNTIFS($B:$B,DATE(YEAR(설정_코스수당!$K$2),MONTH(설정_코스수당!$K$2),24),$H:$H,"&lt;&gt;",$O:$O,"방문완료"),"")</f>
        <v>0</v>
      </c>
    </row>
    <row r="2390" spans="1:24" ht="19.5" hidden="1" customHeight="1" outlineLevel="1">
      <c r="A2390" s="29">
        <v>8</v>
      </c>
      <c r="B2390" s="30">
        <f>IF(24&lt;=DAY(DATE(YEAR(설정_코스수당!$K$2),MONTH(설정_코스수당!$K$2)+1,0)),DATE(YEAR(설정_코스수당!$K$2),MONTH(설정_코스수당!$K$2),24),"")</f>
        <v>46197</v>
      </c>
      <c r="C2390" s="31"/>
      <c r="D2390" s="29"/>
      <c r="E2390" s="29"/>
      <c r="F2390" s="32"/>
      <c r="G2390" s="29"/>
      <c r="H2390" s="29"/>
      <c r="I2390" s="29"/>
      <c r="J2390" s="33">
        <f>IF($O2390="방문완료",MAX(0,IFERROR(VLOOKUP($E2390,설정_코스수당!$A$6:$H$10,4,FALSE),0)-IF(OR($P2390="",$P2390="없음"),0,100000)),0)</f>
        <v>0</v>
      </c>
      <c r="K2390" s="33">
        <f t="array" ref="K2390">IF($O2390="방문완료",IFERROR(INDEX(설정_코스수당!$B$15:$F$64,MATCH($G2390,설정_코스수당!$A$15:$A$64,0),MATCH($E2390&amp;"수당",설정_코스수당!$B$14:$F$14,0)),0),0)</f>
        <v>0</v>
      </c>
      <c r="L2390" s="33">
        <f t="array" ref="L2390">IF($O2390="방문완료",IF($H2390="",0,IFERROR(INDEX(설정_코스수당!$B$15:$F$64,MATCH($H2390,설정_코스수당!$A$15:$A$64,0),MATCH($E2390&amp;"수당",설정_코스수당!$B$14:$F$14,0)),0)),0)</f>
        <v>0</v>
      </c>
      <c r="M2390" s="33">
        <f>IF($O2390="방문완료",IFERROR(VLOOKUP($E2390,설정_코스수당!$A$6:$H$10,6,FALSE),0),0)</f>
        <v>0</v>
      </c>
      <c r="N2390" s="34">
        <f t="shared" si="69"/>
        <v>0</v>
      </c>
      <c r="O2390" s="29"/>
      <c r="P2390" s="29"/>
      <c r="Q2390" s="29"/>
      <c r="R2390" s="32"/>
      <c r="S2390" s="29"/>
      <c r="U2390" s="104" t="s">
        <v>74</v>
      </c>
      <c r="V2390" s="108">
        <f>IF(24&lt;=DAY(DATE(YEAR(설정_코스수당!$K$2),MONTH(설정_코스수당!$K$2)+1,0)),SUM($U$2394:$U$2401),"")</f>
        <v>0</v>
      </c>
      <c r="W2390" s="122" t="str">
        <f>IF(24&lt;=DAY(DATE(YEAR(설정_코스수당!$K$2),MONTH(설정_코스수당!$K$2)+1,0)),"계 : "&amp;TEXT(V2386-V2390,"#,##0")&amp;" 동","")</f>
        <v>계 : 0 동</v>
      </c>
      <c r="X2390" s="122"/>
    </row>
    <row r="2391" spans="1:24" ht="19.5" hidden="1" customHeight="1" outlineLevel="1">
      <c r="A2391" s="23">
        <v>9</v>
      </c>
      <c r="B2391" s="24">
        <f>IF(24&lt;=DAY(DATE(YEAR(설정_코스수당!$K$2),MONTH(설정_코스수당!$K$2)+1,0)),DATE(YEAR(설정_코스수당!$K$2),MONTH(설정_코스수당!$K$2),24),"")</f>
        <v>46197</v>
      </c>
      <c r="C2391" s="25"/>
      <c r="D2391" s="23"/>
      <c r="E2391" s="23"/>
      <c r="F2391" s="26"/>
      <c r="G2391" s="23"/>
      <c r="H2391" s="23"/>
      <c r="I2391" s="23"/>
      <c r="J2391" s="27">
        <f>IF($O2391="방문완료",MAX(0,IFERROR(VLOOKUP($E2391,설정_코스수당!$A$6:$H$10,4,FALSE),0)-IF(OR($P2391="",$P2391="없음"),0,100000)),0)</f>
        <v>0</v>
      </c>
      <c r="K2391" s="27">
        <f t="array" ref="K2391">IF($O2391="방문완료",IFERROR(INDEX(설정_코스수당!$B$15:$F$64,MATCH($G2391,설정_코스수당!$A$15:$A$64,0),MATCH($E2391&amp;"수당",설정_코스수당!$B$14:$F$14,0)),0),0)</f>
        <v>0</v>
      </c>
      <c r="L2391" s="27">
        <f t="array" ref="L2391">IF($O2391="방문완료",IF($H2391="",0,IFERROR(INDEX(설정_코스수당!$B$15:$F$64,MATCH($H2391,설정_코스수당!$A$15:$A$64,0),MATCH($E2391&amp;"수당",설정_코스수당!$B$14:$F$14,0)),0)),0)</f>
        <v>0</v>
      </c>
      <c r="M2391" s="27">
        <f>IF($O2391="방문완료",IFERROR(VLOOKUP($E2391,설정_코스수당!$A$6:$H$10,6,FALSE),0),0)</f>
        <v>0</v>
      </c>
      <c r="N2391" s="28">
        <f t="shared" si="69"/>
        <v>0</v>
      </c>
      <c r="O2391" s="23"/>
      <c r="P2391" s="23"/>
      <c r="Q2391" s="23"/>
      <c r="R2391" s="26"/>
      <c r="S2391" s="23"/>
    </row>
    <row r="2392" spans="1:24" ht="19.5" hidden="1" customHeight="1" outlineLevel="1">
      <c r="A2392" s="29">
        <v>10</v>
      </c>
      <c r="B2392" s="30">
        <f>IF(24&lt;=DAY(DATE(YEAR(설정_코스수당!$K$2),MONTH(설정_코스수당!$K$2)+1,0)),DATE(YEAR(설정_코스수당!$K$2),MONTH(설정_코스수당!$K$2),24),"")</f>
        <v>46197</v>
      </c>
      <c r="C2392" s="31"/>
      <c r="D2392" s="29"/>
      <c r="E2392" s="29"/>
      <c r="F2392" s="32"/>
      <c r="G2392" s="29"/>
      <c r="H2392" s="29"/>
      <c r="I2392" s="29"/>
      <c r="J2392" s="33">
        <f>IF($O2392="방문완료",MAX(0,IFERROR(VLOOKUP($E2392,설정_코스수당!$A$6:$H$10,4,FALSE),0)-IF(OR($P2392="",$P2392="없음"),0,100000)),0)</f>
        <v>0</v>
      </c>
      <c r="K2392" s="33">
        <f t="array" ref="K2392">IF($O2392="방문완료",IFERROR(INDEX(설정_코스수당!$B$15:$F$64,MATCH($G2392,설정_코스수당!$A$15:$A$64,0),MATCH($E2392&amp;"수당",설정_코스수당!$B$14:$F$14,0)),0),0)</f>
        <v>0</v>
      </c>
      <c r="L2392" s="33">
        <f t="array" ref="L2392">IF($O2392="방문완료",IF($H2392="",0,IFERROR(INDEX(설정_코스수당!$B$15:$F$64,MATCH($H2392,설정_코스수당!$A$15:$A$64,0),MATCH($E2392&amp;"수당",설정_코스수당!$B$14:$F$14,0)),0)),0)</f>
        <v>0</v>
      </c>
      <c r="M2392" s="33">
        <f>IF($O2392="방문완료",IFERROR(VLOOKUP($E2392,설정_코스수당!$A$6:$H$10,6,FALSE),0),0)</f>
        <v>0</v>
      </c>
      <c r="N2392" s="34">
        <f t="shared" si="69"/>
        <v>0</v>
      </c>
      <c r="O2392" s="29"/>
      <c r="P2392" s="29"/>
      <c r="Q2392" s="29"/>
      <c r="R2392" s="32"/>
      <c r="S2392" s="29"/>
      <c r="U2392" s="120" t="s">
        <v>75</v>
      </c>
      <c r="V2392" s="121"/>
      <c r="W2392" s="121"/>
      <c r="X2392" s="121"/>
    </row>
    <row r="2393" spans="1:24" ht="19.5" hidden="1" customHeight="1" outlineLevel="1">
      <c r="A2393" s="23">
        <v>11</v>
      </c>
      <c r="B2393" s="24">
        <f>IF(24&lt;=DAY(DATE(YEAR(설정_코스수당!$K$2),MONTH(설정_코스수당!$K$2)+1,0)),DATE(YEAR(설정_코스수당!$K$2),MONTH(설정_코스수당!$K$2),24),"")</f>
        <v>46197</v>
      </c>
      <c r="C2393" s="25"/>
      <c r="D2393" s="23"/>
      <c r="E2393" s="23"/>
      <c r="F2393" s="26"/>
      <c r="G2393" s="23"/>
      <c r="H2393" s="23"/>
      <c r="I2393" s="23"/>
      <c r="J2393" s="27">
        <f>IF($O2393="방문완료",MAX(0,IFERROR(VLOOKUP($E2393,설정_코스수당!$A$6:$H$10,4,FALSE),0)-IF(OR($P2393="",$P2393="없음"),0,100000)),0)</f>
        <v>0</v>
      </c>
      <c r="K2393" s="27">
        <f t="array" ref="K2393">IF($O2393="방문완료",IFERROR(INDEX(설정_코스수당!$B$15:$F$64,MATCH($G2393,설정_코스수당!$A$15:$A$64,0),MATCH($E2393&amp;"수당",설정_코스수당!$B$14:$F$14,0)),0),0)</f>
        <v>0</v>
      </c>
      <c r="L2393" s="27">
        <f t="array" ref="L2393">IF($O2393="방문완료",IF($H2393="",0,IFERROR(INDEX(설정_코스수당!$B$15:$F$64,MATCH($H2393,설정_코스수당!$A$15:$A$64,0),MATCH($E2393&amp;"수당",설정_코스수당!$B$14:$F$14,0)),0)),0)</f>
        <v>0</v>
      </c>
      <c r="M2393" s="27">
        <f>IF($O2393="방문완료",IFERROR(VLOOKUP($E2393,설정_코스수당!$A$6:$H$10,6,FALSE),0),0)</f>
        <v>0</v>
      </c>
      <c r="N2393" s="28">
        <f t="shared" si="69"/>
        <v>0</v>
      </c>
      <c r="O2393" s="23"/>
      <c r="P2393" s="23"/>
      <c r="Q2393" s="23"/>
      <c r="R2393" s="26"/>
      <c r="S2393" s="23"/>
      <c r="U2393" s="109" t="s">
        <v>76</v>
      </c>
      <c r="V2393" s="109" t="s">
        <v>77</v>
      </c>
      <c r="W2393" s="109" t="s">
        <v>78</v>
      </c>
      <c r="X2393" s="109" t="s">
        <v>58</v>
      </c>
    </row>
    <row r="2394" spans="1:24" ht="19.5" hidden="1" customHeight="1" outlineLevel="1">
      <c r="A2394" s="29">
        <v>12</v>
      </c>
      <c r="B2394" s="30">
        <f>IF(24&lt;=DAY(DATE(YEAR(설정_코스수당!$K$2),MONTH(설정_코스수당!$K$2)+1,0)),DATE(YEAR(설정_코스수당!$K$2),MONTH(설정_코스수당!$K$2),24),"")</f>
        <v>46197</v>
      </c>
      <c r="C2394" s="31"/>
      <c r="D2394" s="29"/>
      <c r="E2394" s="29"/>
      <c r="F2394" s="32"/>
      <c r="G2394" s="29"/>
      <c r="H2394" s="29"/>
      <c r="I2394" s="29"/>
      <c r="J2394" s="33">
        <f>IF($O2394="방문완료",MAX(0,IFERROR(VLOOKUP($E2394,설정_코스수당!$A$6:$H$10,4,FALSE),0)-IF(OR($P2394="",$P2394="없음"),0,100000)),0)</f>
        <v>0</v>
      </c>
      <c r="K2394" s="33">
        <f t="array" ref="K2394">IF($O2394="방문완료",IFERROR(INDEX(설정_코스수당!$B$15:$F$64,MATCH($G2394,설정_코스수당!$A$15:$A$64,0),MATCH($E2394&amp;"수당",설정_코스수당!$B$14:$F$14,0)),0),0)</f>
        <v>0</v>
      </c>
      <c r="L2394" s="33">
        <f t="array" ref="L2394">IF($O2394="방문완료",IF($H2394="",0,IFERROR(INDEX(설정_코스수당!$B$15:$F$64,MATCH($H2394,설정_코스수당!$A$15:$A$64,0),MATCH($E2394&amp;"수당",설정_코스수당!$B$14:$F$14,0)),0)),0)</f>
        <v>0</v>
      </c>
      <c r="M2394" s="33">
        <f>IF($O2394="방문완료",IFERROR(VLOOKUP($E2394,설정_코스수당!$A$6:$H$10,6,FALSE),0),0)</f>
        <v>0</v>
      </c>
      <c r="N2394" s="34">
        <f t="shared" si="69"/>
        <v>0</v>
      </c>
      <c r="O2394" s="29"/>
      <c r="P2394" s="29"/>
      <c r="Q2394" s="29"/>
      <c r="R2394" s="32"/>
      <c r="S2394" s="29"/>
      <c r="U2394" s="113"/>
      <c r="V2394" s="111"/>
      <c r="W2394" s="112"/>
      <c r="X2394" s="111"/>
    </row>
    <row r="2395" spans="1:24" ht="19.5" hidden="1" customHeight="1" outlineLevel="1">
      <c r="A2395" s="23">
        <v>13</v>
      </c>
      <c r="B2395" s="24">
        <f>IF(24&lt;=DAY(DATE(YEAR(설정_코스수당!$K$2),MONTH(설정_코스수당!$K$2)+1,0)),DATE(YEAR(설정_코스수당!$K$2),MONTH(설정_코스수당!$K$2),24),"")</f>
        <v>46197</v>
      </c>
      <c r="C2395" s="25"/>
      <c r="D2395" s="23"/>
      <c r="E2395" s="23"/>
      <c r="F2395" s="26"/>
      <c r="G2395" s="23"/>
      <c r="H2395" s="23"/>
      <c r="I2395" s="23"/>
      <c r="J2395" s="27">
        <f>IF($O2395="방문완료",MAX(0,IFERROR(VLOOKUP($E2395,설정_코스수당!$A$6:$H$10,4,FALSE),0)-IF(OR($P2395="",$P2395="없음"),0,100000)),0)</f>
        <v>0</v>
      </c>
      <c r="K2395" s="27">
        <f t="array" ref="K2395">IF($O2395="방문완료",IFERROR(INDEX(설정_코스수당!$B$15:$F$64,MATCH($G2395,설정_코스수당!$A$15:$A$64,0),MATCH($E2395&amp;"수당",설정_코스수당!$B$14:$F$14,0)),0),0)</f>
        <v>0</v>
      </c>
      <c r="L2395" s="27">
        <f t="array" ref="L2395">IF($O2395="방문완료",IF($H2395="",0,IFERROR(INDEX(설정_코스수당!$B$15:$F$64,MATCH($H2395,설정_코스수당!$A$15:$A$64,0),MATCH($E2395&amp;"수당",설정_코스수당!$B$14:$F$14,0)),0)),0)</f>
        <v>0</v>
      </c>
      <c r="M2395" s="27">
        <f>IF($O2395="방문완료",IFERROR(VLOOKUP($E2395,설정_코스수당!$A$6:$H$10,6,FALSE),0),0)</f>
        <v>0</v>
      </c>
      <c r="N2395" s="28">
        <f t="shared" si="69"/>
        <v>0</v>
      </c>
      <c r="O2395" s="23"/>
      <c r="P2395" s="23"/>
      <c r="Q2395" s="23"/>
      <c r="R2395" s="26"/>
      <c r="S2395" s="23"/>
      <c r="U2395" s="113"/>
      <c r="V2395" s="111"/>
      <c r="W2395" s="112"/>
      <c r="X2395" s="111"/>
    </row>
    <row r="2396" spans="1:24" ht="19.5" hidden="1" customHeight="1" outlineLevel="1">
      <c r="A2396" s="29">
        <v>14</v>
      </c>
      <c r="B2396" s="30">
        <f>IF(24&lt;=DAY(DATE(YEAR(설정_코스수당!$K$2),MONTH(설정_코스수당!$K$2)+1,0)),DATE(YEAR(설정_코스수당!$K$2),MONTH(설정_코스수당!$K$2),24),"")</f>
        <v>46197</v>
      </c>
      <c r="C2396" s="31"/>
      <c r="D2396" s="29"/>
      <c r="E2396" s="29"/>
      <c r="F2396" s="32"/>
      <c r="G2396" s="29"/>
      <c r="H2396" s="29"/>
      <c r="I2396" s="29"/>
      <c r="J2396" s="33">
        <f>IF($O2396="방문완료",MAX(0,IFERROR(VLOOKUP($E2396,설정_코스수당!$A$6:$H$10,4,FALSE),0)-IF(OR($P2396="",$P2396="없음"),0,100000)),0)</f>
        <v>0</v>
      </c>
      <c r="K2396" s="33">
        <f t="array" ref="K2396">IF($O2396="방문완료",IFERROR(INDEX(설정_코스수당!$B$15:$F$64,MATCH($G2396,설정_코스수당!$A$15:$A$64,0),MATCH($E2396&amp;"수당",설정_코스수당!$B$14:$F$14,0)),0),0)</f>
        <v>0</v>
      </c>
      <c r="L2396" s="33">
        <f t="array" ref="L2396">IF($O2396="방문완료",IF($H2396="",0,IFERROR(INDEX(설정_코스수당!$B$15:$F$64,MATCH($H2396,설정_코스수당!$A$15:$A$64,0),MATCH($E2396&amp;"수당",설정_코스수당!$B$14:$F$14,0)),0)),0)</f>
        <v>0</v>
      </c>
      <c r="M2396" s="33">
        <f>IF($O2396="방문완료",IFERROR(VLOOKUP($E2396,설정_코스수당!$A$6:$H$10,6,FALSE),0),0)</f>
        <v>0</v>
      </c>
      <c r="N2396" s="34">
        <f t="shared" si="69"/>
        <v>0</v>
      </c>
      <c r="O2396" s="29"/>
      <c r="P2396" s="29"/>
      <c r="Q2396" s="29"/>
      <c r="R2396" s="32"/>
      <c r="S2396" s="29"/>
      <c r="U2396" s="113"/>
      <c r="V2396" s="111"/>
      <c r="W2396" s="112"/>
      <c r="X2396" s="111"/>
    </row>
    <row r="2397" spans="1:24" ht="19.5" hidden="1" customHeight="1" outlineLevel="1">
      <c r="A2397" s="23">
        <v>15</v>
      </c>
      <c r="B2397" s="24">
        <f>IF(24&lt;=DAY(DATE(YEAR(설정_코스수당!$K$2),MONTH(설정_코스수당!$K$2)+1,0)),DATE(YEAR(설정_코스수당!$K$2),MONTH(설정_코스수당!$K$2),24),"")</f>
        <v>46197</v>
      </c>
      <c r="C2397" s="25"/>
      <c r="D2397" s="23"/>
      <c r="E2397" s="23"/>
      <c r="F2397" s="26"/>
      <c r="G2397" s="23"/>
      <c r="H2397" s="23"/>
      <c r="I2397" s="23"/>
      <c r="J2397" s="27">
        <f>IF($O2397="방문완료",MAX(0,IFERROR(VLOOKUP($E2397,설정_코스수당!$A$6:$H$10,4,FALSE),0)-IF(OR($P2397="",$P2397="없음"),0,100000)),0)</f>
        <v>0</v>
      </c>
      <c r="K2397" s="27">
        <f t="array" ref="K2397">IF($O2397="방문완료",IFERROR(INDEX(설정_코스수당!$B$15:$F$64,MATCH($G2397,설정_코스수당!$A$15:$A$64,0),MATCH($E2397&amp;"수당",설정_코스수당!$B$14:$F$14,0)),0),0)</f>
        <v>0</v>
      </c>
      <c r="L2397" s="27">
        <f t="array" ref="L2397">IF($O2397="방문완료",IF($H2397="",0,IFERROR(INDEX(설정_코스수당!$B$15:$F$64,MATCH($H2397,설정_코스수당!$A$15:$A$64,0),MATCH($E2397&amp;"수당",설정_코스수당!$B$14:$F$14,0)),0)),0)</f>
        <v>0</v>
      </c>
      <c r="M2397" s="27">
        <f>IF($O2397="방문완료",IFERROR(VLOOKUP($E2397,설정_코스수당!$A$6:$H$10,6,FALSE),0),0)</f>
        <v>0</v>
      </c>
      <c r="N2397" s="28">
        <f t="shared" si="69"/>
        <v>0</v>
      </c>
      <c r="O2397" s="23"/>
      <c r="P2397" s="23"/>
      <c r="Q2397" s="23"/>
      <c r="R2397" s="26"/>
      <c r="S2397" s="23"/>
      <c r="U2397" s="113"/>
      <c r="V2397" s="111"/>
      <c r="W2397" s="112"/>
      <c r="X2397" s="111"/>
    </row>
    <row r="2398" spans="1:24" ht="19.5" hidden="1" customHeight="1" outlineLevel="1">
      <c r="A2398" s="29">
        <v>16</v>
      </c>
      <c r="B2398" s="30">
        <f>IF(24&lt;=DAY(DATE(YEAR(설정_코스수당!$K$2),MONTH(설정_코스수당!$K$2)+1,0)),DATE(YEAR(설정_코스수당!$K$2),MONTH(설정_코스수당!$K$2),24),"")</f>
        <v>46197</v>
      </c>
      <c r="C2398" s="31"/>
      <c r="D2398" s="29"/>
      <c r="E2398" s="29"/>
      <c r="F2398" s="32"/>
      <c r="G2398" s="29"/>
      <c r="H2398" s="29"/>
      <c r="I2398" s="29"/>
      <c r="J2398" s="33">
        <f>IF($O2398="방문완료",MAX(0,IFERROR(VLOOKUP($E2398,설정_코스수당!$A$6:$H$10,4,FALSE),0)-IF(OR($P2398="",$P2398="없음"),0,100000)),0)</f>
        <v>0</v>
      </c>
      <c r="K2398" s="33">
        <f t="array" ref="K2398">IF($O2398="방문완료",IFERROR(INDEX(설정_코스수당!$B$15:$F$64,MATCH($G2398,설정_코스수당!$A$15:$A$64,0),MATCH($E2398&amp;"수당",설정_코스수당!$B$14:$F$14,0)),0),0)</f>
        <v>0</v>
      </c>
      <c r="L2398" s="33">
        <f t="array" ref="L2398">IF($O2398="방문완료",IF($H2398="",0,IFERROR(INDEX(설정_코스수당!$B$15:$F$64,MATCH($H2398,설정_코스수당!$A$15:$A$64,0),MATCH($E2398&amp;"수당",설정_코스수당!$B$14:$F$14,0)),0)),0)</f>
        <v>0</v>
      </c>
      <c r="M2398" s="33">
        <f>IF($O2398="방문완료",IFERROR(VLOOKUP($E2398,설정_코스수당!$A$6:$H$10,6,FALSE),0),0)</f>
        <v>0</v>
      </c>
      <c r="N2398" s="34">
        <f t="shared" si="69"/>
        <v>0</v>
      </c>
      <c r="O2398" s="29"/>
      <c r="P2398" s="29"/>
      <c r="Q2398" s="29"/>
      <c r="R2398" s="32"/>
      <c r="S2398" s="29"/>
      <c r="U2398" s="113"/>
      <c r="V2398" s="111"/>
      <c r="W2398" s="112"/>
      <c r="X2398" s="111"/>
    </row>
    <row r="2399" spans="1:24" ht="19.5" hidden="1" customHeight="1" outlineLevel="1">
      <c r="A2399" s="23">
        <v>17</v>
      </c>
      <c r="B2399" s="24">
        <f>IF(24&lt;=DAY(DATE(YEAR(설정_코스수당!$K$2),MONTH(설정_코스수당!$K$2)+1,0)),DATE(YEAR(설정_코스수당!$K$2),MONTH(설정_코스수당!$K$2),24),"")</f>
        <v>46197</v>
      </c>
      <c r="C2399" s="25"/>
      <c r="D2399" s="23"/>
      <c r="E2399" s="23"/>
      <c r="F2399" s="26"/>
      <c r="G2399" s="23"/>
      <c r="H2399" s="23"/>
      <c r="I2399" s="23"/>
      <c r="J2399" s="27">
        <f>IF($O2399="방문완료",MAX(0,IFERROR(VLOOKUP($E2399,설정_코스수당!$A$6:$H$10,4,FALSE),0)-IF(OR($P2399="",$P2399="없음"),0,100000)),0)</f>
        <v>0</v>
      </c>
      <c r="K2399" s="27">
        <f t="array" ref="K2399">IF($O2399="방문완료",IFERROR(INDEX(설정_코스수당!$B$15:$F$64,MATCH($G2399,설정_코스수당!$A$15:$A$64,0),MATCH($E2399&amp;"수당",설정_코스수당!$B$14:$F$14,0)),0),0)</f>
        <v>0</v>
      </c>
      <c r="L2399" s="27">
        <f t="array" ref="L2399">IF($O2399="방문완료",IF($H2399="",0,IFERROR(INDEX(설정_코스수당!$B$15:$F$64,MATCH($H2399,설정_코스수당!$A$15:$A$64,0),MATCH($E2399&amp;"수당",설정_코스수당!$B$14:$F$14,0)),0)),0)</f>
        <v>0</v>
      </c>
      <c r="M2399" s="27">
        <f>IF($O2399="방문완료",IFERROR(VLOOKUP($E2399,설정_코스수당!$A$6:$H$10,6,FALSE),0),0)</f>
        <v>0</v>
      </c>
      <c r="N2399" s="28">
        <f t="shared" si="69"/>
        <v>0</v>
      </c>
      <c r="O2399" s="23"/>
      <c r="P2399" s="23"/>
      <c r="Q2399" s="23"/>
      <c r="R2399" s="26"/>
      <c r="S2399" s="23"/>
      <c r="U2399" s="113"/>
      <c r="V2399" s="111"/>
      <c r="W2399" s="112"/>
      <c r="X2399" s="111"/>
    </row>
    <row r="2400" spans="1:24" ht="19.5" hidden="1" customHeight="1" outlineLevel="1">
      <c r="A2400" s="29">
        <v>18</v>
      </c>
      <c r="B2400" s="30">
        <f>IF(24&lt;=DAY(DATE(YEAR(설정_코스수당!$K$2),MONTH(설정_코스수당!$K$2)+1,0)),DATE(YEAR(설정_코스수당!$K$2),MONTH(설정_코스수당!$K$2),24),"")</f>
        <v>46197</v>
      </c>
      <c r="C2400" s="31"/>
      <c r="D2400" s="29"/>
      <c r="E2400" s="29"/>
      <c r="F2400" s="32"/>
      <c r="G2400" s="29"/>
      <c r="H2400" s="29"/>
      <c r="I2400" s="29"/>
      <c r="J2400" s="33">
        <f>IF($O2400="방문완료",MAX(0,IFERROR(VLOOKUP($E2400,설정_코스수당!$A$6:$H$10,4,FALSE),0)-IF(OR($P2400="",$P2400="없음"),0,100000)),0)</f>
        <v>0</v>
      </c>
      <c r="K2400" s="33">
        <f t="array" ref="K2400">IF($O2400="방문완료",IFERROR(INDEX(설정_코스수당!$B$15:$F$64,MATCH($G2400,설정_코스수당!$A$15:$A$64,0),MATCH($E2400&amp;"수당",설정_코스수당!$B$14:$F$14,0)),0),0)</f>
        <v>0</v>
      </c>
      <c r="L2400" s="33">
        <f t="array" ref="L2400">IF($O2400="방문완료",IF($H2400="",0,IFERROR(INDEX(설정_코스수당!$B$15:$F$64,MATCH($H2400,설정_코스수당!$A$15:$A$64,0),MATCH($E2400&amp;"수당",설정_코스수당!$B$14:$F$14,0)),0)),0)</f>
        <v>0</v>
      </c>
      <c r="M2400" s="33">
        <f>IF($O2400="방문완료",IFERROR(VLOOKUP($E2400,설정_코스수당!$A$6:$H$10,6,FALSE),0),0)</f>
        <v>0</v>
      </c>
      <c r="N2400" s="34">
        <f t="shared" si="69"/>
        <v>0</v>
      </c>
      <c r="O2400" s="29"/>
      <c r="P2400" s="29"/>
      <c r="Q2400" s="29"/>
      <c r="R2400" s="32"/>
      <c r="S2400" s="29"/>
      <c r="U2400" s="113"/>
      <c r="V2400" s="111"/>
      <c r="W2400" s="112"/>
      <c r="X2400" s="111"/>
    </row>
    <row r="2401" spans="1:24" ht="19.5" hidden="1" customHeight="1" outlineLevel="1">
      <c r="A2401" s="23">
        <v>19</v>
      </c>
      <c r="B2401" s="24">
        <f>IF(24&lt;=DAY(DATE(YEAR(설정_코스수당!$K$2),MONTH(설정_코스수당!$K$2)+1,0)),DATE(YEAR(설정_코스수당!$K$2),MONTH(설정_코스수당!$K$2),24),"")</f>
        <v>46197</v>
      </c>
      <c r="C2401" s="25"/>
      <c r="D2401" s="23"/>
      <c r="E2401" s="23"/>
      <c r="F2401" s="26"/>
      <c r="G2401" s="23"/>
      <c r="H2401" s="23"/>
      <c r="I2401" s="23"/>
      <c r="J2401" s="27">
        <f>IF($O2401="방문완료",MAX(0,IFERROR(VLOOKUP($E2401,설정_코스수당!$A$6:$H$10,4,FALSE),0)-IF(OR($P2401="",$P2401="없음"),0,100000)),0)</f>
        <v>0</v>
      </c>
      <c r="K2401" s="27">
        <f t="array" ref="K2401">IF($O2401="방문완료",IFERROR(INDEX(설정_코스수당!$B$15:$F$64,MATCH($G2401,설정_코스수당!$A$15:$A$64,0),MATCH($E2401&amp;"수당",설정_코스수당!$B$14:$F$14,0)),0),0)</f>
        <v>0</v>
      </c>
      <c r="L2401" s="27">
        <f t="array" ref="L2401">IF($O2401="방문완료",IF($H2401="",0,IFERROR(INDEX(설정_코스수당!$B$15:$F$64,MATCH($H2401,설정_코스수당!$A$15:$A$64,0),MATCH($E2401&amp;"수당",설정_코스수당!$B$14:$F$14,0)),0)),0)</f>
        <v>0</v>
      </c>
      <c r="M2401" s="27">
        <f>IF($O2401="방문완료",IFERROR(VLOOKUP($E2401,설정_코스수당!$A$6:$H$10,6,FALSE),0),0)</f>
        <v>0</v>
      </c>
      <c r="N2401" s="28">
        <f t="shared" si="69"/>
        <v>0</v>
      </c>
      <c r="O2401" s="23"/>
      <c r="P2401" s="23"/>
      <c r="Q2401" s="23"/>
      <c r="R2401" s="26"/>
      <c r="S2401" s="23"/>
      <c r="U2401" s="113"/>
      <c r="V2401" s="111"/>
      <c r="W2401" s="112"/>
      <c r="X2401" s="111"/>
    </row>
    <row r="2402" spans="1:24" ht="19.5" hidden="1" customHeight="1" outlineLevel="1">
      <c r="A2402" s="29">
        <v>20</v>
      </c>
      <c r="B2402" s="30">
        <f>IF(24&lt;=DAY(DATE(YEAR(설정_코스수당!$K$2),MONTH(설정_코스수당!$K$2)+1,0)),DATE(YEAR(설정_코스수당!$K$2),MONTH(설정_코스수당!$K$2),24),"")</f>
        <v>46197</v>
      </c>
      <c r="C2402" s="31"/>
      <c r="D2402" s="29"/>
      <c r="E2402" s="29"/>
      <c r="F2402" s="32"/>
      <c r="G2402" s="29"/>
      <c r="H2402" s="29"/>
      <c r="I2402" s="29"/>
      <c r="J2402" s="33">
        <f>IF($O2402="방문완료",MAX(0,IFERROR(VLOOKUP($E2402,설정_코스수당!$A$6:$H$10,4,FALSE),0)-IF(OR($P2402="",$P2402="없음"),0,100000)),0)</f>
        <v>0</v>
      </c>
      <c r="K2402" s="33">
        <f t="array" ref="K2402">IF($O2402="방문완료",IFERROR(INDEX(설정_코스수당!$B$15:$F$64,MATCH($G2402,설정_코스수당!$A$15:$A$64,0),MATCH($E2402&amp;"수당",설정_코스수당!$B$14:$F$14,0)),0),0)</f>
        <v>0</v>
      </c>
      <c r="L2402" s="33">
        <f t="array" ref="L2402">IF($O2402="방문완료",IF($H2402="",0,IFERROR(INDEX(설정_코스수당!$B$15:$F$64,MATCH($H2402,설정_코스수당!$A$15:$A$64,0),MATCH($E2402&amp;"수당",설정_코스수당!$B$14:$F$14,0)),0)),0)</f>
        <v>0</v>
      </c>
      <c r="M2402" s="33">
        <f>IF($O2402="방문완료",IFERROR(VLOOKUP($E2402,설정_코스수당!$A$6:$H$10,6,FALSE),0),0)</f>
        <v>0</v>
      </c>
      <c r="N2402" s="34">
        <f t="shared" si="69"/>
        <v>0</v>
      </c>
      <c r="O2402" s="29"/>
      <c r="P2402" s="29"/>
      <c r="Q2402" s="29"/>
      <c r="R2402" s="32"/>
      <c r="S2402" s="29"/>
    </row>
    <row r="2403" spans="1:24" ht="19.5" hidden="1" customHeight="1" outlineLevel="1">
      <c r="A2403" s="23">
        <v>21</v>
      </c>
      <c r="B2403" s="24">
        <f>IF(24&lt;=DAY(DATE(YEAR(설정_코스수당!$K$2),MONTH(설정_코스수당!$K$2)+1,0)),DATE(YEAR(설정_코스수당!$K$2),MONTH(설정_코스수당!$K$2),24),"")</f>
        <v>46197</v>
      </c>
      <c r="C2403" s="25"/>
      <c r="D2403" s="23"/>
      <c r="E2403" s="23"/>
      <c r="F2403" s="26"/>
      <c r="G2403" s="23"/>
      <c r="H2403" s="23"/>
      <c r="I2403" s="23"/>
      <c r="J2403" s="27">
        <f>IF($O2403="방문완료",MAX(0,IFERROR(VLOOKUP($E2403,설정_코스수당!$A$6:$H$10,4,FALSE),0)-IF(OR($P2403="",$P2403="없음"),0,100000)),0)</f>
        <v>0</v>
      </c>
      <c r="K2403" s="27">
        <f t="array" ref="K2403">IF($O2403="방문완료",IFERROR(INDEX(설정_코스수당!$B$15:$F$64,MATCH($G2403,설정_코스수당!$A$15:$A$64,0),MATCH($E2403&amp;"수당",설정_코스수당!$B$14:$F$14,0)),0),0)</f>
        <v>0</v>
      </c>
      <c r="L2403" s="27">
        <f t="array" ref="L2403">IF($O2403="방문완료",IF($H2403="",0,IFERROR(INDEX(설정_코스수당!$B$15:$F$64,MATCH($H2403,설정_코스수당!$A$15:$A$64,0),MATCH($E2403&amp;"수당",설정_코스수당!$B$14:$F$14,0)),0)),0)</f>
        <v>0</v>
      </c>
      <c r="M2403" s="27">
        <f>IF($O2403="방문완료",IFERROR(VLOOKUP($E2403,설정_코스수당!$A$6:$H$10,6,FALSE),0),0)</f>
        <v>0</v>
      </c>
      <c r="N2403" s="28">
        <f t="shared" si="69"/>
        <v>0</v>
      </c>
      <c r="O2403" s="23"/>
      <c r="P2403" s="23"/>
      <c r="Q2403" s="23"/>
      <c r="R2403" s="26"/>
      <c r="S2403" s="23"/>
    </row>
    <row r="2404" spans="1:24" ht="19.5" hidden="1" customHeight="1" outlineLevel="1">
      <c r="A2404" s="29">
        <v>22</v>
      </c>
      <c r="B2404" s="30">
        <f>IF(24&lt;=DAY(DATE(YEAR(설정_코스수당!$K$2),MONTH(설정_코스수당!$K$2)+1,0)),DATE(YEAR(설정_코스수당!$K$2),MONTH(설정_코스수당!$K$2),24),"")</f>
        <v>46197</v>
      </c>
      <c r="C2404" s="31"/>
      <c r="D2404" s="29"/>
      <c r="E2404" s="29"/>
      <c r="F2404" s="32"/>
      <c r="G2404" s="29"/>
      <c r="H2404" s="29"/>
      <c r="I2404" s="29"/>
      <c r="J2404" s="33">
        <f>IF($O2404="방문완료",MAX(0,IFERROR(VLOOKUP($E2404,설정_코스수당!$A$6:$H$10,4,FALSE),0)-IF(OR($P2404="",$P2404="없음"),0,100000)),0)</f>
        <v>0</v>
      </c>
      <c r="K2404" s="33">
        <f t="array" ref="K2404">IF($O2404="방문완료",IFERROR(INDEX(설정_코스수당!$B$15:$F$64,MATCH($G2404,설정_코스수당!$A$15:$A$64,0),MATCH($E2404&amp;"수당",설정_코스수당!$B$14:$F$14,0)),0),0)</f>
        <v>0</v>
      </c>
      <c r="L2404" s="33">
        <f t="array" ref="L2404">IF($O2404="방문완료",IF($H2404="",0,IFERROR(INDEX(설정_코스수당!$B$15:$F$64,MATCH($H2404,설정_코스수당!$A$15:$A$64,0),MATCH($E2404&amp;"수당",설정_코스수당!$B$14:$F$14,0)),0)),0)</f>
        <v>0</v>
      </c>
      <c r="M2404" s="33">
        <f>IF($O2404="방문완료",IFERROR(VLOOKUP($E2404,설정_코스수당!$A$6:$H$10,6,FALSE),0),0)</f>
        <v>0</v>
      </c>
      <c r="N2404" s="34">
        <f t="shared" si="69"/>
        <v>0</v>
      </c>
      <c r="O2404" s="29"/>
      <c r="P2404" s="29"/>
      <c r="Q2404" s="29"/>
      <c r="R2404" s="32"/>
      <c r="S2404" s="29"/>
    </row>
    <row r="2405" spans="1:24" ht="19.5" hidden="1" customHeight="1" outlineLevel="1">
      <c r="A2405" s="23">
        <v>23</v>
      </c>
      <c r="B2405" s="24">
        <f>IF(24&lt;=DAY(DATE(YEAR(설정_코스수당!$K$2),MONTH(설정_코스수당!$K$2)+1,0)),DATE(YEAR(설정_코스수당!$K$2),MONTH(설정_코스수당!$K$2),24),"")</f>
        <v>46197</v>
      </c>
      <c r="C2405" s="25"/>
      <c r="D2405" s="23"/>
      <c r="E2405" s="23"/>
      <c r="F2405" s="26"/>
      <c r="G2405" s="23"/>
      <c r="H2405" s="23"/>
      <c r="I2405" s="23"/>
      <c r="J2405" s="27">
        <f>IF($O2405="방문완료",MAX(0,IFERROR(VLOOKUP($E2405,설정_코스수당!$A$6:$H$10,4,FALSE),0)-IF(OR($P2405="",$P2405="없음"),0,100000)),0)</f>
        <v>0</v>
      </c>
      <c r="K2405" s="27">
        <f t="array" ref="K2405">IF($O2405="방문완료",IFERROR(INDEX(설정_코스수당!$B$15:$F$64,MATCH($G2405,설정_코스수당!$A$15:$A$64,0),MATCH($E2405&amp;"수당",설정_코스수당!$B$14:$F$14,0)),0),0)</f>
        <v>0</v>
      </c>
      <c r="L2405" s="27">
        <f t="array" ref="L2405">IF($O2405="방문완료",IF($H2405="",0,IFERROR(INDEX(설정_코스수당!$B$15:$F$64,MATCH($H2405,설정_코스수당!$A$15:$A$64,0),MATCH($E2405&amp;"수당",설정_코스수당!$B$14:$F$14,0)),0)),0)</f>
        <v>0</v>
      </c>
      <c r="M2405" s="27">
        <f>IF($O2405="방문완료",IFERROR(VLOOKUP($E2405,설정_코스수당!$A$6:$H$10,6,FALSE),0),0)</f>
        <v>0</v>
      </c>
      <c r="N2405" s="28">
        <f t="shared" si="69"/>
        <v>0</v>
      </c>
      <c r="O2405" s="23"/>
      <c r="P2405" s="23"/>
      <c r="Q2405" s="23"/>
      <c r="R2405" s="26"/>
      <c r="S2405" s="23"/>
    </row>
    <row r="2406" spans="1:24" ht="19.5" hidden="1" customHeight="1" outlineLevel="1">
      <c r="A2406" s="29">
        <v>24</v>
      </c>
      <c r="B2406" s="30">
        <f>IF(24&lt;=DAY(DATE(YEAR(설정_코스수당!$K$2),MONTH(설정_코스수당!$K$2)+1,0)),DATE(YEAR(설정_코스수당!$K$2),MONTH(설정_코스수당!$K$2),24),"")</f>
        <v>46197</v>
      </c>
      <c r="C2406" s="31"/>
      <c r="D2406" s="29"/>
      <c r="E2406" s="29"/>
      <c r="F2406" s="32"/>
      <c r="G2406" s="29"/>
      <c r="H2406" s="29"/>
      <c r="I2406" s="29"/>
      <c r="J2406" s="33">
        <f>IF($O2406="방문완료",MAX(0,IFERROR(VLOOKUP($E2406,설정_코스수당!$A$6:$H$10,4,FALSE),0)-IF(OR($P2406="",$P2406="없음"),0,100000)),0)</f>
        <v>0</v>
      </c>
      <c r="K2406" s="33">
        <f t="array" ref="K2406">IF($O2406="방문완료",IFERROR(INDEX(설정_코스수당!$B$15:$F$64,MATCH($G2406,설정_코스수당!$A$15:$A$64,0),MATCH($E2406&amp;"수당",설정_코스수당!$B$14:$F$14,0)),0),0)</f>
        <v>0</v>
      </c>
      <c r="L2406" s="33">
        <f t="array" ref="L2406">IF($O2406="방문완료",IF($H2406="",0,IFERROR(INDEX(설정_코스수당!$B$15:$F$64,MATCH($H2406,설정_코스수당!$A$15:$A$64,0),MATCH($E2406&amp;"수당",설정_코스수당!$B$14:$F$14,0)),0)),0)</f>
        <v>0</v>
      </c>
      <c r="M2406" s="33">
        <f>IF($O2406="방문완료",IFERROR(VLOOKUP($E2406,설정_코스수당!$A$6:$H$10,6,FALSE),0),0)</f>
        <v>0</v>
      </c>
      <c r="N2406" s="34">
        <f t="shared" si="69"/>
        <v>0</v>
      </c>
      <c r="O2406" s="29"/>
      <c r="P2406" s="29"/>
      <c r="Q2406" s="29"/>
      <c r="R2406" s="32"/>
      <c r="S2406" s="29"/>
    </row>
    <row r="2407" spans="1:24" ht="19.5" hidden="1" customHeight="1" outlineLevel="1">
      <c r="A2407" s="23">
        <v>25</v>
      </c>
      <c r="B2407" s="24">
        <f>IF(24&lt;=DAY(DATE(YEAR(설정_코스수당!$K$2),MONTH(설정_코스수당!$K$2)+1,0)),DATE(YEAR(설정_코스수당!$K$2),MONTH(설정_코스수당!$K$2),24),"")</f>
        <v>46197</v>
      </c>
      <c r="C2407" s="25"/>
      <c r="D2407" s="23"/>
      <c r="E2407" s="23"/>
      <c r="F2407" s="26"/>
      <c r="G2407" s="23"/>
      <c r="H2407" s="23"/>
      <c r="I2407" s="23"/>
      <c r="J2407" s="27">
        <f>IF($O2407="방문완료",MAX(0,IFERROR(VLOOKUP($E2407,설정_코스수당!$A$6:$H$10,4,FALSE),0)-IF(OR($P2407="",$P2407="없음"),0,100000)),0)</f>
        <v>0</v>
      </c>
      <c r="K2407" s="27">
        <f t="array" ref="K2407">IF($O2407="방문완료",IFERROR(INDEX(설정_코스수당!$B$15:$F$64,MATCH($G2407,설정_코스수당!$A$15:$A$64,0),MATCH($E2407&amp;"수당",설정_코스수당!$B$14:$F$14,0)),0),0)</f>
        <v>0</v>
      </c>
      <c r="L2407" s="27">
        <f t="array" ref="L2407">IF($O2407="방문완료",IF($H2407="",0,IFERROR(INDEX(설정_코스수당!$B$15:$F$64,MATCH($H2407,설정_코스수당!$A$15:$A$64,0),MATCH($E2407&amp;"수당",설정_코스수당!$B$14:$F$14,0)),0)),0)</f>
        <v>0</v>
      </c>
      <c r="M2407" s="27">
        <f>IF($O2407="방문완료",IFERROR(VLOOKUP($E2407,설정_코스수당!$A$6:$H$10,6,FALSE),0),0)</f>
        <v>0</v>
      </c>
      <c r="N2407" s="28">
        <f t="shared" si="69"/>
        <v>0</v>
      </c>
      <c r="O2407" s="23"/>
      <c r="P2407" s="23"/>
      <c r="Q2407" s="23"/>
      <c r="R2407" s="26"/>
      <c r="S2407" s="23"/>
    </row>
    <row r="2408" spans="1:24" ht="19.5" hidden="1" customHeight="1" outlineLevel="1">
      <c r="A2408" s="29">
        <v>26</v>
      </c>
      <c r="B2408" s="30">
        <f>IF(24&lt;=DAY(DATE(YEAR(설정_코스수당!$K$2),MONTH(설정_코스수당!$K$2)+1,0)),DATE(YEAR(설정_코스수당!$K$2),MONTH(설정_코스수당!$K$2),24),"")</f>
        <v>46197</v>
      </c>
      <c r="C2408" s="31"/>
      <c r="D2408" s="29"/>
      <c r="E2408" s="29"/>
      <c r="F2408" s="32"/>
      <c r="G2408" s="29"/>
      <c r="H2408" s="29"/>
      <c r="I2408" s="29"/>
      <c r="J2408" s="33">
        <f>IF($O2408="방문완료",MAX(0,IFERROR(VLOOKUP($E2408,설정_코스수당!$A$6:$H$10,4,FALSE),0)-IF(OR($P2408="",$P2408="없음"),0,100000)),0)</f>
        <v>0</v>
      </c>
      <c r="K2408" s="33">
        <f t="array" ref="K2408">IF($O2408="방문완료",IFERROR(INDEX(설정_코스수당!$B$15:$F$64,MATCH($G2408,설정_코스수당!$A$15:$A$64,0),MATCH($E2408&amp;"수당",설정_코스수당!$B$14:$F$14,0)),0),0)</f>
        <v>0</v>
      </c>
      <c r="L2408" s="33">
        <f t="array" ref="L2408">IF($O2408="방문완료",IF($H2408="",0,IFERROR(INDEX(설정_코스수당!$B$15:$F$64,MATCH($H2408,설정_코스수당!$A$15:$A$64,0),MATCH($E2408&amp;"수당",설정_코스수당!$B$14:$F$14,0)),0)),0)</f>
        <v>0</v>
      </c>
      <c r="M2408" s="33">
        <f>IF($O2408="방문완료",IFERROR(VLOOKUP($E2408,설정_코스수당!$A$6:$H$10,6,FALSE),0),0)</f>
        <v>0</v>
      </c>
      <c r="N2408" s="34">
        <f t="shared" si="69"/>
        <v>0</v>
      </c>
      <c r="O2408" s="29"/>
      <c r="P2408" s="29"/>
      <c r="Q2408" s="29"/>
      <c r="R2408" s="32"/>
      <c r="S2408" s="29"/>
    </row>
    <row r="2409" spans="1:24" ht="19.5" hidden="1" customHeight="1" outlineLevel="1">
      <c r="A2409" s="23">
        <v>27</v>
      </c>
      <c r="B2409" s="24">
        <f>IF(24&lt;=DAY(DATE(YEAR(설정_코스수당!$K$2),MONTH(설정_코스수당!$K$2)+1,0)),DATE(YEAR(설정_코스수당!$K$2),MONTH(설정_코스수당!$K$2),24),"")</f>
        <v>46197</v>
      </c>
      <c r="C2409" s="25"/>
      <c r="D2409" s="23"/>
      <c r="E2409" s="23"/>
      <c r="F2409" s="26"/>
      <c r="G2409" s="23"/>
      <c r="H2409" s="23"/>
      <c r="I2409" s="23"/>
      <c r="J2409" s="27">
        <f>IF($O2409="방문완료",MAX(0,IFERROR(VLOOKUP($E2409,설정_코스수당!$A$6:$H$10,4,FALSE),0)-IF(OR($P2409="",$P2409="없음"),0,100000)),0)</f>
        <v>0</v>
      </c>
      <c r="K2409" s="27">
        <f t="array" ref="K2409">IF($O2409="방문완료",IFERROR(INDEX(설정_코스수당!$B$15:$F$64,MATCH($G2409,설정_코스수당!$A$15:$A$64,0),MATCH($E2409&amp;"수당",설정_코스수당!$B$14:$F$14,0)),0),0)</f>
        <v>0</v>
      </c>
      <c r="L2409" s="27">
        <f t="array" ref="L2409">IF($O2409="방문완료",IF($H2409="",0,IFERROR(INDEX(설정_코스수당!$B$15:$F$64,MATCH($H2409,설정_코스수당!$A$15:$A$64,0),MATCH($E2409&amp;"수당",설정_코스수당!$B$14:$F$14,0)),0)),0)</f>
        <v>0</v>
      </c>
      <c r="M2409" s="27">
        <f>IF($O2409="방문완료",IFERROR(VLOOKUP($E2409,설정_코스수당!$A$6:$H$10,6,FALSE),0),0)</f>
        <v>0</v>
      </c>
      <c r="N2409" s="28">
        <f t="shared" si="69"/>
        <v>0</v>
      </c>
      <c r="O2409" s="23"/>
      <c r="P2409" s="23"/>
      <c r="Q2409" s="23"/>
      <c r="R2409" s="26"/>
      <c r="S2409" s="23"/>
    </row>
    <row r="2410" spans="1:24" ht="19.5" hidden="1" customHeight="1" outlineLevel="1">
      <c r="A2410" s="29">
        <v>28</v>
      </c>
      <c r="B2410" s="30">
        <f>IF(24&lt;=DAY(DATE(YEAR(설정_코스수당!$K$2),MONTH(설정_코스수당!$K$2)+1,0)),DATE(YEAR(설정_코스수당!$K$2),MONTH(설정_코스수당!$K$2),24),"")</f>
        <v>46197</v>
      </c>
      <c r="C2410" s="31"/>
      <c r="D2410" s="29"/>
      <c r="E2410" s="29"/>
      <c r="F2410" s="32"/>
      <c r="G2410" s="29"/>
      <c r="H2410" s="29"/>
      <c r="I2410" s="29"/>
      <c r="J2410" s="33">
        <f>IF($O2410="방문완료",MAX(0,IFERROR(VLOOKUP($E2410,설정_코스수당!$A$6:$H$10,4,FALSE),0)-IF(OR($P2410="",$P2410="없음"),0,100000)),0)</f>
        <v>0</v>
      </c>
      <c r="K2410" s="33">
        <f t="array" ref="K2410">IF($O2410="방문완료",IFERROR(INDEX(설정_코스수당!$B$15:$F$64,MATCH($G2410,설정_코스수당!$A$15:$A$64,0),MATCH($E2410&amp;"수당",설정_코스수당!$B$14:$F$14,0)),0),0)</f>
        <v>0</v>
      </c>
      <c r="L2410" s="33">
        <f t="array" ref="L2410">IF($O2410="방문완료",IF($H2410="",0,IFERROR(INDEX(설정_코스수당!$B$15:$F$64,MATCH($H2410,설정_코스수당!$A$15:$A$64,0),MATCH($E2410&amp;"수당",설정_코스수당!$B$14:$F$14,0)),0)),0)</f>
        <v>0</v>
      </c>
      <c r="M2410" s="33">
        <f>IF($O2410="방문완료",IFERROR(VLOOKUP($E2410,설정_코스수당!$A$6:$H$10,6,FALSE),0),0)</f>
        <v>0</v>
      </c>
      <c r="N2410" s="34">
        <f t="shared" si="69"/>
        <v>0</v>
      </c>
      <c r="O2410" s="29"/>
      <c r="P2410" s="29"/>
      <c r="Q2410" s="29"/>
      <c r="R2410" s="32"/>
      <c r="S2410" s="29"/>
    </row>
    <row r="2411" spans="1:24" ht="19.5" hidden="1" customHeight="1" outlineLevel="1">
      <c r="A2411" s="23">
        <v>29</v>
      </c>
      <c r="B2411" s="24">
        <f>IF(24&lt;=DAY(DATE(YEAR(설정_코스수당!$K$2),MONTH(설정_코스수당!$K$2)+1,0)),DATE(YEAR(설정_코스수당!$K$2),MONTH(설정_코스수당!$K$2),24),"")</f>
        <v>46197</v>
      </c>
      <c r="C2411" s="25"/>
      <c r="D2411" s="23"/>
      <c r="E2411" s="23"/>
      <c r="F2411" s="26"/>
      <c r="G2411" s="23"/>
      <c r="H2411" s="23"/>
      <c r="I2411" s="23"/>
      <c r="J2411" s="27">
        <f>IF($O2411="방문완료",MAX(0,IFERROR(VLOOKUP($E2411,설정_코스수당!$A$6:$H$10,4,FALSE),0)-IF(OR($P2411="",$P2411="없음"),0,100000)),0)</f>
        <v>0</v>
      </c>
      <c r="K2411" s="27">
        <f t="array" ref="K2411">IF($O2411="방문완료",IFERROR(INDEX(설정_코스수당!$B$15:$F$64,MATCH($G2411,설정_코스수당!$A$15:$A$64,0),MATCH($E2411&amp;"수당",설정_코스수당!$B$14:$F$14,0)),0),0)</f>
        <v>0</v>
      </c>
      <c r="L2411" s="27">
        <f t="array" ref="L2411">IF($O2411="방문완료",IF($H2411="",0,IFERROR(INDEX(설정_코스수당!$B$15:$F$64,MATCH($H2411,설정_코스수당!$A$15:$A$64,0),MATCH($E2411&amp;"수당",설정_코스수당!$B$14:$F$14,0)),0)),0)</f>
        <v>0</v>
      </c>
      <c r="M2411" s="27">
        <f>IF($O2411="방문완료",IFERROR(VLOOKUP($E2411,설정_코스수당!$A$6:$H$10,6,FALSE),0),0)</f>
        <v>0</v>
      </c>
      <c r="N2411" s="28">
        <f t="shared" si="69"/>
        <v>0</v>
      </c>
      <c r="O2411" s="23"/>
      <c r="P2411" s="23"/>
      <c r="Q2411" s="23"/>
      <c r="R2411" s="26"/>
      <c r="S2411" s="23"/>
    </row>
    <row r="2412" spans="1:24" ht="19.5" hidden="1" customHeight="1" outlineLevel="1">
      <c r="A2412" s="29">
        <v>30</v>
      </c>
      <c r="B2412" s="30">
        <f>IF(24&lt;=DAY(DATE(YEAR(설정_코스수당!$K$2),MONTH(설정_코스수당!$K$2)+1,0)),DATE(YEAR(설정_코스수당!$K$2),MONTH(설정_코스수당!$K$2),24),"")</f>
        <v>46197</v>
      </c>
      <c r="C2412" s="31"/>
      <c r="D2412" s="29"/>
      <c r="E2412" s="29"/>
      <c r="F2412" s="32"/>
      <c r="G2412" s="29"/>
      <c r="H2412" s="29"/>
      <c r="I2412" s="29"/>
      <c r="J2412" s="33">
        <f>IF($O2412="방문완료",MAX(0,IFERROR(VLOOKUP($E2412,설정_코스수당!$A$6:$H$10,4,FALSE),0)-IF(OR($P2412="",$P2412="없음"),0,100000)),0)</f>
        <v>0</v>
      </c>
      <c r="K2412" s="33">
        <f t="array" ref="K2412">IF($O2412="방문완료",IFERROR(INDEX(설정_코스수당!$B$15:$F$64,MATCH($G2412,설정_코스수당!$A$15:$A$64,0),MATCH($E2412&amp;"수당",설정_코스수당!$B$14:$F$14,0)),0),0)</f>
        <v>0</v>
      </c>
      <c r="L2412" s="33">
        <f t="array" ref="L2412">IF($O2412="방문완료",IF($H2412="",0,IFERROR(INDEX(설정_코스수당!$B$15:$F$64,MATCH($H2412,설정_코스수당!$A$15:$A$64,0),MATCH($E2412&amp;"수당",설정_코스수당!$B$14:$F$14,0)),0)),0)</f>
        <v>0</v>
      </c>
      <c r="M2412" s="33">
        <f>IF($O2412="방문완료",IFERROR(VLOOKUP($E2412,설정_코스수당!$A$6:$H$10,6,FALSE),0),0)</f>
        <v>0</v>
      </c>
      <c r="N2412" s="34">
        <f t="shared" si="69"/>
        <v>0</v>
      </c>
      <c r="O2412" s="29"/>
      <c r="P2412" s="29"/>
      <c r="Q2412" s="29"/>
      <c r="R2412" s="32"/>
      <c r="S2412" s="29"/>
    </row>
    <row r="2413" spans="1:24" ht="19.5" hidden="1" customHeight="1" outlineLevel="1">
      <c r="A2413" s="23">
        <v>31</v>
      </c>
      <c r="B2413" s="24">
        <f>IF(24&lt;=DAY(DATE(YEAR(설정_코스수당!$K$2),MONTH(설정_코스수당!$K$2)+1,0)),DATE(YEAR(설정_코스수당!$K$2),MONTH(설정_코스수당!$K$2),24),"")</f>
        <v>46197</v>
      </c>
      <c r="C2413" s="25"/>
      <c r="D2413" s="23"/>
      <c r="E2413" s="23"/>
      <c r="F2413" s="26"/>
      <c r="G2413" s="23"/>
      <c r="H2413" s="23"/>
      <c r="I2413" s="23"/>
      <c r="J2413" s="27">
        <f>IF($O2413="방문완료",MAX(0,IFERROR(VLOOKUP($E2413,설정_코스수당!$A$6:$H$10,4,FALSE),0)-IF(OR($P2413="",$P2413="없음"),0,100000)),0)</f>
        <v>0</v>
      </c>
      <c r="K2413" s="27">
        <f t="array" ref="K2413">IF($O2413="방문완료",IFERROR(INDEX(설정_코스수당!$B$15:$F$64,MATCH($G2413,설정_코스수당!$A$15:$A$64,0),MATCH($E2413&amp;"수당",설정_코스수당!$B$14:$F$14,0)),0),0)</f>
        <v>0</v>
      </c>
      <c r="L2413" s="27">
        <f t="array" ref="L2413">IF($O2413="방문완료",IF($H2413="",0,IFERROR(INDEX(설정_코스수당!$B$15:$F$64,MATCH($H2413,설정_코스수당!$A$15:$A$64,0),MATCH($E2413&amp;"수당",설정_코스수당!$B$14:$F$14,0)),0)),0)</f>
        <v>0</v>
      </c>
      <c r="M2413" s="27">
        <f>IF($O2413="방문완료",IFERROR(VLOOKUP($E2413,설정_코스수당!$A$6:$H$10,6,FALSE),0),0)</f>
        <v>0</v>
      </c>
      <c r="N2413" s="28">
        <f t="shared" si="69"/>
        <v>0</v>
      </c>
      <c r="O2413" s="23"/>
      <c r="P2413" s="23"/>
      <c r="Q2413" s="23"/>
      <c r="R2413" s="26"/>
      <c r="S2413" s="23"/>
    </row>
    <row r="2414" spans="1:24" ht="19.5" hidden="1" customHeight="1" outlineLevel="1">
      <c r="A2414" s="29">
        <v>32</v>
      </c>
      <c r="B2414" s="30">
        <f>IF(24&lt;=DAY(DATE(YEAR(설정_코스수당!$K$2),MONTH(설정_코스수당!$K$2)+1,0)),DATE(YEAR(설정_코스수당!$K$2),MONTH(설정_코스수당!$K$2),24),"")</f>
        <v>46197</v>
      </c>
      <c r="C2414" s="31"/>
      <c r="D2414" s="29"/>
      <c r="E2414" s="29"/>
      <c r="F2414" s="32"/>
      <c r="G2414" s="29"/>
      <c r="H2414" s="29"/>
      <c r="I2414" s="29"/>
      <c r="J2414" s="33">
        <f>IF($O2414="방문완료",MAX(0,IFERROR(VLOOKUP($E2414,설정_코스수당!$A$6:$H$10,4,FALSE),0)-IF(OR($P2414="",$P2414="없음"),0,100000)),0)</f>
        <v>0</v>
      </c>
      <c r="K2414" s="33">
        <f t="array" ref="K2414">IF($O2414="방문완료",IFERROR(INDEX(설정_코스수당!$B$15:$F$64,MATCH($G2414,설정_코스수당!$A$15:$A$64,0),MATCH($E2414&amp;"수당",설정_코스수당!$B$14:$F$14,0)),0),0)</f>
        <v>0</v>
      </c>
      <c r="L2414" s="33">
        <f t="array" ref="L2414">IF($O2414="방문완료",IF($H2414="",0,IFERROR(INDEX(설정_코스수당!$B$15:$F$64,MATCH($H2414,설정_코스수당!$A$15:$A$64,0),MATCH($E2414&amp;"수당",설정_코스수당!$B$14:$F$14,0)),0)),0)</f>
        <v>0</v>
      </c>
      <c r="M2414" s="33">
        <f>IF($O2414="방문완료",IFERROR(VLOOKUP($E2414,설정_코스수당!$A$6:$H$10,6,FALSE),0),0)</f>
        <v>0</v>
      </c>
      <c r="N2414" s="34">
        <f t="shared" si="69"/>
        <v>0</v>
      </c>
      <c r="O2414" s="29"/>
      <c r="P2414" s="29"/>
      <c r="Q2414" s="29"/>
      <c r="R2414" s="32"/>
      <c r="S2414" s="29"/>
    </row>
    <row r="2415" spans="1:24" ht="19.5" hidden="1" customHeight="1" outlineLevel="1">
      <c r="A2415" s="23">
        <v>33</v>
      </c>
      <c r="B2415" s="24">
        <f>IF(24&lt;=DAY(DATE(YEAR(설정_코스수당!$K$2),MONTH(설정_코스수당!$K$2)+1,0)),DATE(YEAR(설정_코스수당!$K$2),MONTH(설정_코스수당!$K$2),24),"")</f>
        <v>46197</v>
      </c>
      <c r="C2415" s="25"/>
      <c r="D2415" s="23"/>
      <c r="E2415" s="23"/>
      <c r="F2415" s="26"/>
      <c r="G2415" s="23"/>
      <c r="H2415" s="23"/>
      <c r="I2415" s="23"/>
      <c r="J2415" s="27">
        <f>IF($O2415="방문완료",MAX(0,IFERROR(VLOOKUP($E2415,설정_코스수당!$A$6:$H$10,4,FALSE),0)-IF(OR($P2415="",$P2415="없음"),0,100000)),0)</f>
        <v>0</v>
      </c>
      <c r="K2415" s="27">
        <f t="array" ref="K2415">IF($O2415="방문완료",IFERROR(INDEX(설정_코스수당!$B$15:$F$64,MATCH($G2415,설정_코스수당!$A$15:$A$64,0),MATCH($E2415&amp;"수당",설정_코스수당!$B$14:$F$14,0)),0),0)</f>
        <v>0</v>
      </c>
      <c r="L2415" s="27">
        <f t="array" ref="L2415">IF($O2415="방문완료",IF($H2415="",0,IFERROR(INDEX(설정_코스수당!$B$15:$F$64,MATCH($H2415,설정_코스수당!$A$15:$A$64,0),MATCH($E2415&amp;"수당",설정_코스수당!$B$14:$F$14,0)),0)),0)</f>
        <v>0</v>
      </c>
      <c r="M2415" s="27">
        <f>IF($O2415="방문완료",IFERROR(VLOOKUP($E2415,설정_코스수당!$A$6:$H$10,6,FALSE),0),0)</f>
        <v>0</v>
      </c>
      <c r="N2415" s="28">
        <f t="shared" ref="N2415:N2446" si="70">IF($O2415="방문완료",1,0)</f>
        <v>0</v>
      </c>
      <c r="O2415" s="23"/>
      <c r="P2415" s="23"/>
      <c r="Q2415" s="23"/>
      <c r="R2415" s="26"/>
      <c r="S2415" s="23"/>
    </row>
    <row r="2416" spans="1:24" ht="19.5" hidden="1" customHeight="1" outlineLevel="1">
      <c r="A2416" s="29">
        <v>34</v>
      </c>
      <c r="B2416" s="30">
        <f>IF(24&lt;=DAY(DATE(YEAR(설정_코스수당!$K$2),MONTH(설정_코스수당!$K$2)+1,0)),DATE(YEAR(설정_코스수당!$K$2),MONTH(설정_코스수당!$K$2),24),"")</f>
        <v>46197</v>
      </c>
      <c r="C2416" s="31"/>
      <c r="D2416" s="29"/>
      <c r="E2416" s="29"/>
      <c r="F2416" s="32"/>
      <c r="G2416" s="29"/>
      <c r="H2416" s="29"/>
      <c r="I2416" s="29"/>
      <c r="J2416" s="33">
        <f>IF($O2416="방문완료",MAX(0,IFERROR(VLOOKUP($E2416,설정_코스수당!$A$6:$H$10,4,FALSE),0)-IF(OR($P2416="",$P2416="없음"),0,100000)),0)</f>
        <v>0</v>
      </c>
      <c r="K2416" s="33">
        <f t="array" ref="K2416">IF($O2416="방문완료",IFERROR(INDEX(설정_코스수당!$B$15:$F$64,MATCH($G2416,설정_코스수당!$A$15:$A$64,0),MATCH($E2416&amp;"수당",설정_코스수당!$B$14:$F$14,0)),0),0)</f>
        <v>0</v>
      </c>
      <c r="L2416" s="33">
        <f t="array" ref="L2416">IF($O2416="방문완료",IF($H2416="",0,IFERROR(INDEX(설정_코스수당!$B$15:$F$64,MATCH($H2416,설정_코스수당!$A$15:$A$64,0),MATCH($E2416&amp;"수당",설정_코스수당!$B$14:$F$14,0)),0)),0)</f>
        <v>0</v>
      </c>
      <c r="M2416" s="33">
        <f>IF($O2416="방문완료",IFERROR(VLOOKUP($E2416,설정_코스수당!$A$6:$H$10,6,FALSE),0),0)</f>
        <v>0</v>
      </c>
      <c r="N2416" s="34">
        <f t="shared" si="70"/>
        <v>0</v>
      </c>
      <c r="O2416" s="29"/>
      <c r="P2416" s="29"/>
      <c r="Q2416" s="29"/>
      <c r="R2416" s="32"/>
      <c r="S2416" s="29"/>
    </row>
    <row r="2417" spans="1:22" ht="19.5" hidden="1" customHeight="1" outlineLevel="1">
      <c r="A2417" s="23">
        <v>35</v>
      </c>
      <c r="B2417" s="24">
        <f>IF(24&lt;=DAY(DATE(YEAR(설정_코스수당!$K$2),MONTH(설정_코스수당!$K$2)+1,0)),DATE(YEAR(설정_코스수당!$K$2),MONTH(설정_코스수당!$K$2),24),"")</f>
        <v>46197</v>
      </c>
      <c r="C2417" s="25"/>
      <c r="D2417" s="23"/>
      <c r="E2417" s="23"/>
      <c r="F2417" s="26"/>
      <c r="G2417" s="23"/>
      <c r="H2417" s="23"/>
      <c r="I2417" s="23"/>
      <c r="J2417" s="27">
        <f>IF($O2417="방문완료",MAX(0,IFERROR(VLOOKUP($E2417,설정_코스수당!$A$6:$H$10,4,FALSE),0)-IF(OR($P2417="",$P2417="없음"),0,100000)),0)</f>
        <v>0</v>
      </c>
      <c r="K2417" s="27">
        <f t="array" ref="K2417">IF($O2417="방문완료",IFERROR(INDEX(설정_코스수당!$B$15:$F$64,MATCH($G2417,설정_코스수당!$A$15:$A$64,0),MATCH($E2417&amp;"수당",설정_코스수당!$B$14:$F$14,0)),0),0)</f>
        <v>0</v>
      </c>
      <c r="L2417" s="27">
        <f t="array" ref="L2417">IF($O2417="방문완료",IF($H2417="",0,IFERROR(INDEX(설정_코스수당!$B$15:$F$64,MATCH($H2417,설정_코스수당!$A$15:$A$64,0),MATCH($E2417&amp;"수당",설정_코스수당!$B$14:$F$14,0)),0)),0)</f>
        <v>0</v>
      </c>
      <c r="M2417" s="27">
        <f>IF($O2417="방문완료",IFERROR(VLOOKUP($E2417,설정_코스수당!$A$6:$H$10,6,FALSE),0),0)</f>
        <v>0</v>
      </c>
      <c r="N2417" s="28">
        <f t="shared" si="70"/>
        <v>0</v>
      </c>
      <c r="O2417" s="23"/>
      <c r="P2417" s="23"/>
      <c r="Q2417" s="23"/>
      <c r="R2417" s="26"/>
      <c r="S2417" s="23"/>
    </row>
    <row r="2418" spans="1:22" ht="19.5" hidden="1" customHeight="1" outlineLevel="1">
      <c r="A2418" s="29">
        <v>36</v>
      </c>
      <c r="B2418" s="30">
        <f>IF(24&lt;=DAY(DATE(YEAR(설정_코스수당!$K$2),MONTH(설정_코스수당!$K$2)+1,0)),DATE(YEAR(설정_코스수당!$K$2),MONTH(설정_코스수당!$K$2),24),"")</f>
        <v>46197</v>
      </c>
      <c r="C2418" s="31"/>
      <c r="D2418" s="29"/>
      <c r="E2418" s="29"/>
      <c r="F2418" s="32"/>
      <c r="G2418" s="29"/>
      <c r="H2418" s="29"/>
      <c r="I2418" s="29"/>
      <c r="J2418" s="33">
        <f>IF($O2418="방문완료",MAX(0,IFERROR(VLOOKUP($E2418,설정_코스수당!$A$6:$H$10,4,FALSE),0)-IF(OR($P2418="",$P2418="없음"),0,100000)),0)</f>
        <v>0</v>
      </c>
      <c r="K2418" s="33">
        <f t="array" ref="K2418">IF($O2418="방문완료",IFERROR(INDEX(설정_코스수당!$B$15:$F$64,MATCH($G2418,설정_코스수당!$A$15:$A$64,0),MATCH($E2418&amp;"수당",설정_코스수당!$B$14:$F$14,0)),0),0)</f>
        <v>0</v>
      </c>
      <c r="L2418" s="33">
        <f t="array" ref="L2418">IF($O2418="방문완료",IF($H2418="",0,IFERROR(INDEX(설정_코스수당!$B$15:$F$64,MATCH($H2418,설정_코스수당!$A$15:$A$64,0),MATCH($E2418&amp;"수당",설정_코스수당!$B$14:$F$14,0)),0)),0)</f>
        <v>0</v>
      </c>
      <c r="M2418" s="33">
        <f>IF($O2418="방문완료",IFERROR(VLOOKUP($E2418,설정_코스수당!$A$6:$H$10,6,FALSE),0),0)</f>
        <v>0</v>
      </c>
      <c r="N2418" s="34">
        <f t="shared" si="70"/>
        <v>0</v>
      </c>
      <c r="O2418" s="29"/>
      <c r="P2418" s="29"/>
      <c r="Q2418" s="29"/>
      <c r="R2418" s="32"/>
      <c r="S2418" s="29"/>
    </row>
    <row r="2419" spans="1:22" ht="19.5" hidden="1" customHeight="1" outlineLevel="1">
      <c r="A2419" s="23">
        <v>37</v>
      </c>
      <c r="B2419" s="24">
        <f>IF(24&lt;=DAY(DATE(YEAR(설정_코스수당!$K$2),MONTH(설정_코스수당!$K$2)+1,0)),DATE(YEAR(설정_코스수당!$K$2),MONTH(설정_코스수당!$K$2),24),"")</f>
        <v>46197</v>
      </c>
      <c r="C2419" s="25"/>
      <c r="D2419" s="23"/>
      <c r="E2419" s="23"/>
      <c r="F2419" s="26"/>
      <c r="G2419" s="23"/>
      <c r="H2419" s="23"/>
      <c r="I2419" s="23"/>
      <c r="J2419" s="27">
        <f>IF($O2419="방문완료",MAX(0,IFERROR(VLOOKUP($E2419,설정_코스수당!$A$6:$H$10,4,FALSE),0)-IF(OR($P2419="",$P2419="없음"),0,100000)),0)</f>
        <v>0</v>
      </c>
      <c r="K2419" s="27">
        <f t="array" ref="K2419">IF($O2419="방문완료",IFERROR(INDEX(설정_코스수당!$B$15:$F$64,MATCH($G2419,설정_코스수당!$A$15:$A$64,0),MATCH($E2419&amp;"수당",설정_코스수당!$B$14:$F$14,0)),0),0)</f>
        <v>0</v>
      </c>
      <c r="L2419" s="27">
        <f t="array" ref="L2419">IF($O2419="방문완료",IF($H2419="",0,IFERROR(INDEX(설정_코스수당!$B$15:$F$64,MATCH($H2419,설정_코스수당!$A$15:$A$64,0),MATCH($E2419&amp;"수당",설정_코스수당!$B$14:$F$14,0)),0)),0)</f>
        <v>0</v>
      </c>
      <c r="M2419" s="27">
        <f>IF($O2419="방문완료",IFERROR(VLOOKUP($E2419,설정_코스수당!$A$6:$H$10,6,FALSE),0),0)</f>
        <v>0</v>
      </c>
      <c r="N2419" s="28">
        <f t="shared" si="70"/>
        <v>0</v>
      </c>
      <c r="O2419" s="23"/>
      <c r="P2419" s="23"/>
      <c r="Q2419" s="23"/>
      <c r="R2419" s="26"/>
      <c r="S2419" s="23"/>
    </row>
    <row r="2420" spans="1:22" ht="19.5" hidden="1" customHeight="1" outlineLevel="1">
      <c r="A2420" s="29">
        <v>38</v>
      </c>
      <c r="B2420" s="30">
        <f>IF(24&lt;=DAY(DATE(YEAR(설정_코스수당!$K$2),MONTH(설정_코스수당!$K$2)+1,0)),DATE(YEAR(설정_코스수당!$K$2),MONTH(설정_코스수당!$K$2),24),"")</f>
        <v>46197</v>
      </c>
      <c r="C2420" s="31"/>
      <c r="D2420" s="29"/>
      <c r="E2420" s="29"/>
      <c r="F2420" s="32"/>
      <c r="G2420" s="29"/>
      <c r="H2420" s="29"/>
      <c r="I2420" s="29"/>
      <c r="J2420" s="33">
        <f>IF($O2420="방문완료",MAX(0,IFERROR(VLOOKUP($E2420,설정_코스수당!$A$6:$H$10,4,FALSE),0)-IF(OR($P2420="",$P2420="없음"),0,100000)),0)</f>
        <v>0</v>
      </c>
      <c r="K2420" s="33">
        <f t="array" ref="K2420">IF($O2420="방문완료",IFERROR(INDEX(설정_코스수당!$B$15:$F$64,MATCH($G2420,설정_코스수당!$A$15:$A$64,0),MATCH($E2420&amp;"수당",설정_코스수당!$B$14:$F$14,0)),0),0)</f>
        <v>0</v>
      </c>
      <c r="L2420" s="33">
        <f t="array" ref="L2420">IF($O2420="방문완료",IF($H2420="",0,IFERROR(INDEX(설정_코스수당!$B$15:$F$64,MATCH($H2420,설정_코스수당!$A$15:$A$64,0),MATCH($E2420&amp;"수당",설정_코스수당!$B$14:$F$14,0)),0)),0)</f>
        <v>0</v>
      </c>
      <c r="M2420" s="33">
        <f>IF($O2420="방문완료",IFERROR(VLOOKUP($E2420,설정_코스수당!$A$6:$H$10,6,FALSE),0),0)</f>
        <v>0</v>
      </c>
      <c r="N2420" s="34">
        <f t="shared" si="70"/>
        <v>0</v>
      </c>
      <c r="O2420" s="29"/>
      <c r="P2420" s="29"/>
      <c r="Q2420" s="29"/>
      <c r="R2420" s="32"/>
      <c r="S2420" s="29"/>
      <c r="U2420" s="16" t="s">
        <v>72</v>
      </c>
      <c r="V2420" s="17">
        <f>IF(25&lt;=DAY(DATE(YEAR(설정_코스수당!$K$2),MONTH(설정_코스수당!$K$2)+1,0)),COUNTIFS($B:$B,DATE(YEAR(설정_코스수당!$K$2),MONTH(설정_코스수당!$K$2),25),$O:$O,"방문완료",$P:$P,"&lt;&gt;",$P:$P,"&lt;&gt;없음")*100000,"")</f>
        <v>0</v>
      </c>
    </row>
    <row r="2421" spans="1:22" ht="19.5" hidden="1" customHeight="1" outlineLevel="1">
      <c r="A2421" s="23">
        <v>39</v>
      </c>
      <c r="B2421" s="24">
        <f>IF(24&lt;=DAY(DATE(YEAR(설정_코스수당!$K$2),MONTH(설정_코스수당!$K$2)+1,0)),DATE(YEAR(설정_코스수당!$K$2),MONTH(설정_코스수당!$K$2),24),"")</f>
        <v>46197</v>
      </c>
      <c r="C2421" s="25"/>
      <c r="D2421" s="23"/>
      <c r="E2421" s="23"/>
      <c r="F2421" s="26"/>
      <c r="G2421" s="23"/>
      <c r="H2421" s="23"/>
      <c r="I2421" s="23"/>
      <c r="J2421" s="27">
        <f>IF($O2421="방문완료",MAX(0,IFERROR(VLOOKUP($E2421,설정_코스수당!$A$6:$H$10,4,FALSE),0)-IF(OR($P2421="",$P2421="없음"),0,100000)),0)</f>
        <v>0</v>
      </c>
      <c r="K2421" s="27">
        <f t="array" ref="K2421">IF($O2421="방문완료",IFERROR(INDEX(설정_코스수당!$B$15:$F$64,MATCH($G2421,설정_코스수당!$A$15:$A$64,0),MATCH($E2421&amp;"수당",설정_코스수당!$B$14:$F$14,0)),0),0)</f>
        <v>0</v>
      </c>
      <c r="L2421" s="27">
        <f t="array" ref="L2421">IF($O2421="방문완료",IF($H2421="",0,IFERROR(INDEX(설정_코스수당!$B$15:$F$64,MATCH($H2421,설정_코스수당!$A$15:$A$64,0),MATCH($E2421&amp;"수당",설정_코스수당!$B$14:$F$14,0)),0)),0)</f>
        <v>0</v>
      </c>
      <c r="M2421" s="27">
        <f>IF($O2421="방문완료",IFERROR(VLOOKUP($E2421,설정_코스수당!$A$6:$H$10,6,FALSE),0),0)</f>
        <v>0</v>
      </c>
      <c r="N2421" s="28">
        <f t="shared" si="70"/>
        <v>0</v>
      </c>
      <c r="O2421" s="23"/>
      <c r="P2421" s="23"/>
      <c r="Q2421" s="23"/>
      <c r="R2421" s="26"/>
      <c r="S2421" s="23"/>
    </row>
    <row r="2422" spans="1:22" ht="19.5" hidden="1" customHeight="1" outlineLevel="1">
      <c r="A2422" s="29">
        <v>40</v>
      </c>
      <c r="B2422" s="30">
        <f>IF(24&lt;=DAY(DATE(YEAR(설정_코스수당!$K$2),MONTH(설정_코스수당!$K$2)+1,0)),DATE(YEAR(설정_코스수당!$K$2),MONTH(설정_코스수당!$K$2),24),"")</f>
        <v>46197</v>
      </c>
      <c r="C2422" s="31"/>
      <c r="D2422" s="29"/>
      <c r="E2422" s="29"/>
      <c r="F2422" s="32"/>
      <c r="G2422" s="29"/>
      <c r="H2422" s="29"/>
      <c r="I2422" s="29"/>
      <c r="J2422" s="33">
        <f>IF($O2422="방문완료",MAX(0,IFERROR(VLOOKUP($E2422,설정_코스수당!$A$6:$H$10,4,FALSE),0)-IF(OR($P2422="",$P2422="없음"),0,100000)),0)</f>
        <v>0</v>
      </c>
      <c r="K2422" s="33">
        <f t="array" ref="K2422">IF($O2422="방문완료",IFERROR(INDEX(설정_코스수당!$B$15:$F$64,MATCH($G2422,설정_코스수당!$A$15:$A$64,0),MATCH($E2422&amp;"수당",설정_코스수당!$B$14:$F$14,0)),0),0)</f>
        <v>0</v>
      </c>
      <c r="L2422" s="33">
        <f t="array" ref="L2422">IF($O2422="방문완료",IF($H2422="",0,IFERROR(INDEX(설정_코스수당!$B$15:$F$64,MATCH($H2422,설정_코스수당!$A$15:$A$64,0),MATCH($E2422&amp;"수당",설정_코스수당!$B$14:$F$14,0)),0)),0)</f>
        <v>0</v>
      </c>
      <c r="M2422" s="33">
        <f>IF($O2422="방문완료",IFERROR(VLOOKUP($E2422,설정_코스수당!$A$6:$H$10,6,FALSE),0),0)</f>
        <v>0</v>
      </c>
      <c r="N2422" s="34">
        <f t="shared" si="70"/>
        <v>0</v>
      </c>
      <c r="O2422" s="29"/>
      <c r="P2422" s="29"/>
      <c r="Q2422" s="29"/>
      <c r="R2422" s="32"/>
      <c r="S2422" s="29"/>
    </row>
    <row r="2423" spans="1:22" ht="19.5" hidden="1" customHeight="1" outlineLevel="1">
      <c r="A2423" s="23">
        <v>41</v>
      </c>
      <c r="B2423" s="24">
        <f>IF(24&lt;=DAY(DATE(YEAR(설정_코스수당!$K$2),MONTH(설정_코스수당!$K$2)+1,0)),DATE(YEAR(설정_코스수당!$K$2),MONTH(설정_코스수당!$K$2),24),"")</f>
        <v>46197</v>
      </c>
      <c r="C2423" s="25"/>
      <c r="D2423" s="23"/>
      <c r="E2423" s="23"/>
      <c r="F2423" s="26"/>
      <c r="G2423" s="23"/>
      <c r="H2423" s="23"/>
      <c r="I2423" s="23"/>
      <c r="J2423" s="27">
        <f>IF($O2423="방문완료",MAX(0,IFERROR(VLOOKUP($E2423,설정_코스수당!$A$6:$H$10,4,FALSE),0)-IF(OR($P2423="",$P2423="없음"),0,100000)),0)</f>
        <v>0</v>
      </c>
      <c r="K2423" s="27">
        <f t="array" ref="K2423">IF($O2423="방문완료",IFERROR(INDEX(설정_코스수당!$B$15:$F$64,MATCH($G2423,설정_코스수당!$A$15:$A$64,0),MATCH($E2423&amp;"수당",설정_코스수당!$B$14:$F$14,0)),0),0)</f>
        <v>0</v>
      </c>
      <c r="L2423" s="27">
        <f t="array" ref="L2423">IF($O2423="방문완료",IF($H2423="",0,IFERROR(INDEX(설정_코스수당!$B$15:$F$64,MATCH($H2423,설정_코스수당!$A$15:$A$64,0),MATCH($E2423&amp;"수당",설정_코스수당!$B$14:$F$14,0)),0)),0)</f>
        <v>0</v>
      </c>
      <c r="M2423" s="27">
        <f>IF($O2423="방문완료",IFERROR(VLOOKUP($E2423,설정_코스수당!$A$6:$H$10,6,FALSE),0),0)</f>
        <v>0</v>
      </c>
      <c r="N2423" s="28">
        <f t="shared" si="70"/>
        <v>0</v>
      </c>
      <c r="O2423" s="23"/>
      <c r="P2423" s="23"/>
      <c r="Q2423" s="23"/>
      <c r="R2423" s="26"/>
      <c r="S2423" s="23"/>
    </row>
    <row r="2424" spans="1:22" ht="19.5" hidden="1" customHeight="1" outlineLevel="1">
      <c r="A2424" s="29">
        <v>42</v>
      </c>
      <c r="B2424" s="30">
        <f>IF(24&lt;=DAY(DATE(YEAR(설정_코스수당!$K$2),MONTH(설정_코스수당!$K$2)+1,0)),DATE(YEAR(설정_코스수당!$K$2),MONTH(설정_코스수당!$K$2),24),"")</f>
        <v>46197</v>
      </c>
      <c r="C2424" s="31"/>
      <c r="D2424" s="29"/>
      <c r="E2424" s="29"/>
      <c r="F2424" s="32"/>
      <c r="G2424" s="29"/>
      <c r="H2424" s="29"/>
      <c r="I2424" s="29"/>
      <c r="J2424" s="33">
        <f>IF($O2424="방문완료",MAX(0,IFERROR(VLOOKUP($E2424,설정_코스수당!$A$6:$H$10,4,FALSE),0)-IF(OR($P2424="",$P2424="없음"),0,100000)),0)</f>
        <v>0</v>
      </c>
      <c r="K2424" s="33">
        <f t="array" ref="K2424">IF($O2424="방문완료",IFERROR(INDEX(설정_코스수당!$B$15:$F$64,MATCH($G2424,설정_코스수당!$A$15:$A$64,0),MATCH($E2424&amp;"수당",설정_코스수당!$B$14:$F$14,0)),0),0)</f>
        <v>0</v>
      </c>
      <c r="L2424" s="33">
        <f t="array" ref="L2424">IF($O2424="방문완료",IF($H2424="",0,IFERROR(INDEX(설정_코스수당!$B$15:$F$64,MATCH($H2424,설정_코스수당!$A$15:$A$64,0),MATCH($E2424&amp;"수당",설정_코스수당!$B$14:$F$14,0)),0)),0)</f>
        <v>0</v>
      </c>
      <c r="M2424" s="33">
        <f>IF($O2424="방문완료",IFERROR(VLOOKUP($E2424,설정_코스수당!$A$6:$H$10,6,FALSE),0),0)</f>
        <v>0</v>
      </c>
      <c r="N2424" s="34">
        <f t="shared" si="70"/>
        <v>0</v>
      </c>
      <c r="O2424" s="29"/>
      <c r="P2424" s="29"/>
      <c r="Q2424" s="29"/>
      <c r="R2424" s="32"/>
      <c r="S2424" s="29"/>
    </row>
    <row r="2425" spans="1:22" ht="19.5" hidden="1" customHeight="1" outlineLevel="1">
      <c r="A2425" s="23">
        <v>43</v>
      </c>
      <c r="B2425" s="24">
        <f>IF(24&lt;=DAY(DATE(YEAR(설정_코스수당!$K$2),MONTH(설정_코스수당!$K$2)+1,0)),DATE(YEAR(설정_코스수당!$K$2),MONTH(설정_코스수당!$K$2),24),"")</f>
        <v>46197</v>
      </c>
      <c r="C2425" s="25"/>
      <c r="D2425" s="23"/>
      <c r="E2425" s="23"/>
      <c r="F2425" s="26"/>
      <c r="G2425" s="23"/>
      <c r="H2425" s="23"/>
      <c r="I2425" s="23"/>
      <c r="J2425" s="27">
        <f>IF($O2425="방문완료",MAX(0,IFERROR(VLOOKUP($E2425,설정_코스수당!$A$6:$H$10,4,FALSE),0)-IF(OR($P2425="",$P2425="없음"),0,100000)),0)</f>
        <v>0</v>
      </c>
      <c r="K2425" s="27">
        <f t="array" ref="K2425">IF($O2425="방문완료",IFERROR(INDEX(설정_코스수당!$B$15:$F$64,MATCH($G2425,설정_코스수당!$A$15:$A$64,0),MATCH($E2425&amp;"수당",설정_코스수당!$B$14:$F$14,0)),0),0)</f>
        <v>0</v>
      </c>
      <c r="L2425" s="27">
        <f t="array" ref="L2425">IF($O2425="방문완료",IF($H2425="",0,IFERROR(INDEX(설정_코스수당!$B$15:$F$64,MATCH($H2425,설정_코스수당!$A$15:$A$64,0),MATCH($E2425&amp;"수당",설정_코스수당!$B$14:$F$14,0)),0)),0)</f>
        <v>0</v>
      </c>
      <c r="M2425" s="27">
        <f>IF($O2425="방문완료",IFERROR(VLOOKUP($E2425,설정_코스수당!$A$6:$H$10,6,FALSE),0),0)</f>
        <v>0</v>
      </c>
      <c r="N2425" s="28">
        <f t="shared" si="70"/>
        <v>0</v>
      </c>
      <c r="O2425" s="23"/>
      <c r="P2425" s="23"/>
      <c r="Q2425" s="23"/>
      <c r="R2425" s="26"/>
      <c r="S2425" s="23"/>
    </row>
    <row r="2426" spans="1:22" ht="19.5" hidden="1" customHeight="1" outlineLevel="1">
      <c r="A2426" s="29">
        <v>44</v>
      </c>
      <c r="B2426" s="30">
        <f>IF(24&lt;=DAY(DATE(YEAR(설정_코스수당!$K$2),MONTH(설정_코스수당!$K$2)+1,0)),DATE(YEAR(설정_코스수당!$K$2),MONTH(설정_코스수당!$K$2),24),"")</f>
        <v>46197</v>
      </c>
      <c r="C2426" s="31"/>
      <c r="D2426" s="29"/>
      <c r="E2426" s="29"/>
      <c r="F2426" s="32"/>
      <c r="G2426" s="29"/>
      <c r="H2426" s="29"/>
      <c r="I2426" s="29"/>
      <c r="J2426" s="33">
        <f>IF($O2426="방문완료",MAX(0,IFERROR(VLOOKUP($E2426,설정_코스수당!$A$6:$H$10,4,FALSE),0)-IF(OR($P2426="",$P2426="없음"),0,100000)),0)</f>
        <v>0</v>
      </c>
      <c r="K2426" s="33">
        <f t="array" ref="K2426">IF($O2426="방문완료",IFERROR(INDEX(설정_코스수당!$B$15:$F$64,MATCH($G2426,설정_코스수당!$A$15:$A$64,0),MATCH($E2426&amp;"수당",설정_코스수당!$B$14:$F$14,0)),0),0)</f>
        <v>0</v>
      </c>
      <c r="L2426" s="33">
        <f t="array" ref="L2426">IF($O2426="방문완료",IF($H2426="",0,IFERROR(INDEX(설정_코스수당!$B$15:$F$64,MATCH($H2426,설정_코스수당!$A$15:$A$64,0),MATCH($E2426&amp;"수당",설정_코스수당!$B$14:$F$14,0)),0)),0)</f>
        <v>0</v>
      </c>
      <c r="M2426" s="33">
        <f>IF($O2426="방문완료",IFERROR(VLOOKUP($E2426,설정_코스수당!$A$6:$H$10,6,FALSE),0),0)</f>
        <v>0</v>
      </c>
      <c r="N2426" s="34">
        <f t="shared" si="70"/>
        <v>0</v>
      </c>
      <c r="O2426" s="29"/>
      <c r="P2426" s="29"/>
      <c r="Q2426" s="29"/>
      <c r="R2426" s="32"/>
      <c r="S2426" s="29"/>
    </row>
    <row r="2427" spans="1:22" ht="19.5" hidden="1" customHeight="1" outlineLevel="1">
      <c r="A2427" s="23">
        <v>45</v>
      </c>
      <c r="B2427" s="24">
        <f>IF(24&lt;=DAY(DATE(YEAR(설정_코스수당!$K$2),MONTH(설정_코스수당!$K$2)+1,0)),DATE(YEAR(설정_코스수당!$K$2),MONTH(설정_코스수당!$K$2),24),"")</f>
        <v>46197</v>
      </c>
      <c r="C2427" s="25"/>
      <c r="D2427" s="23"/>
      <c r="E2427" s="23"/>
      <c r="F2427" s="26"/>
      <c r="G2427" s="23"/>
      <c r="H2427" s="23"/>
      <c r="I2427" s="23"/>
      <c r="J2427" s="27">
        <f>IF($O2427="방문완료",MAX(0,IFERROR(VLOOKUP($E2427,설정_코스수당!$A$6:$H$10,4,FALSE),0)-IF(OR($P2427="",$P2427="없음"),0,100000)),0)</f>
        <v>0</v>
      </c>
      <c r="K2427" s="27">
        <f t="array" ref="K2427">IF($O2427="방문완료",IFERROR(INDEX(설정_코스수당!$B$15:$F$64,MATCH($G2427,설정_코스수당!$A$15:$A$64,0),MATCH($E2427&amp;"수당",설정_코스수당!$B$14:$F$14,0)),0),0)</f>
        <v>0</v>
      </c>
      <c r="L2427" s="27">
        <f t="array" ref="L2427">IF($O2427="방문완료",IF($H2427="",0,IFERROR(INDEX(설정_코스수당!$B$15:$F$64,MATCH($H2427,설정_코스수당!$A$15:$A$64,0),MATCH($E2427&amp;"수당",설정_코스수당!$B$14:$F$14,0)),0)),0)</f>
        <v>0</v>
      </c>
      <c r="M2427" s="27">
        <f>IF($O2427="방문완료",IFERROR(VLOOKUP($E2427,설정_코스수당!$A$6:$H$10,6,FALSE),0),0)</f>
        <v>0</v>
      </c>
      <c r="N2427" s="28">
        <f t="shared" si="70"/>
        <v>0</v>
      </c>
      <c r="O2427" s="23"/>
      <c r="P2427" s="23"/>
      <c r="Q2427" s="23"/>
      <c r="R2427" s="26"/>
      <c r="S2427" s="23"/>
    </row>
    <row r="2428" spans="1:22" ht="19.5" hidden="1" customHeight="1" outlineLevel="1">
      <c r="A2428" s="29">
        <v>46</v>
      </c>
      <c r="B2428" s="30">
        <f>IF(24&lt;=DAY(DATE(YEAR(설정_코스수당!$K$2),MONTH(설정_코스수당!$K$2)+1,0)),DATE(YEAR(설정_코스수당!$K$2),MONTH(설정_코스수당!$K$2),24),"")</f>
        <v>46197</v>
      </c>
      <c r="C2428" s="31"/>
      <c r="D2428" s="29"/>
      <c r="E2428" s="29"/>
      <c r="F2428" s="32"/>
      <c r="G2428" s="29"/>
      <c r="H2428" s="29"/>
      <c r="I2428" s="29"/>
      <c r="J2428" s="33">
        <f>IF($O2428="방문완료",MAX(0,IFERROR(VLOOKUP($E2428,설정_코스수당!$A$6:$H$10,4,FALSE),0)-IF(OR($P2428="",$P2428="없음"),0,100000)),0)</f>
        <v>0</v>
      </c>
      <c r="K2428" s="33">
        <f t="array" ref="K2428">IF($O2428="방문완료",IFERROR(INDEX(설정_코스수당!$B$15:$F$64,MATCH($G2428,설정_코스수당!$A$15:$A$64,0),MATCH($E2428&amp;"수당",설정_코스수당!$B$14:$F$14,0)),0),0)</f>
        <v>0</v>
      </c>
      <c r="L2428" s="33">
        <f t="array" ref="L2428">IF($O2428="방문완료",IF($H2428="",0,IFERROR(INDEX(설정_코스수당!$B$15:$F$64,MATCH($H2428,설정_코스수당!$A$15:$A$64,0),MATCH($E2428&amp;"수당",설정_코스수당!$B$14:$F$14,0)),0)),0)</f>
        <v>0</v>
      </c>
      <c r="M2428" s="33">
        <f>IF($O2428="방문완료",IFERROR(VLOOKUP($E2428,설정_코스수당!$A$6:$H$10,6,FALSE),0),0)</f>
        <v>0</v>
      </c>
      <c r="N2428" s="34">
        <f t="shared" si="70"/>
        <v>0</v>
      </c>
      <c r="O2428" s="29"/>
      <c r="P2428" s="29"/>
      <c r="Q2428" s="29"/>
      <c r="R2428" s="32"/>
      <c r="S2428" s="29"/>
    </row>
    <row r="2429" spans="1:22" ht="19.5" hidden="1" customHeight="1" outlineLevel="1">
      <c r="A2429" s="23">
        <v>47</v>
      </c>
      <c r="B2429" s="24">
        <f>IF(24&lt;=DAY(DATE(YEAR(설정_코스수당!$K$2),MONTH(설정_코스수당!$K$2)+1,0)),DATE(YEAR(설정_코스수당!$K$2),MONTH(설정_코스수당!$K$2),24),"")</f>
        <v>46197</v>
      </c>
      <c r="C2429" s="25"/>
      <c r="D2429" s="23"/>
      <c r="E2429" s="23"/>
      <c r="F2429" s="26"/>
      <c r="G2429" s="23"/>
      <c r="H2429" s="23"/>
      <c r="I2429" s="23"/>
      <c r="J2429" s="27">
        <f>IF($O2429="방문완료",MAX(0,IFERROR(VLOOKUP($E2429,설정_코스수당!$A$6:$H$10,4,FALSE),0)-IF(OR($P2429="",$P2429="없음"),0,100000)),0)</f>
        <v>0</v>
      </c>
      <c r="K2429" s="27">
        <f t="array" ref="K2429">IF($O2429="방문완료",IFERROR(INDEX(설정_코스수당!$B$15:$F$64,MATCH($G2429,설정_코스수당!$A$15:$A$64,0),MATCH($E2429&amp;"수당",설정_코스수당!$B$14:$F$14,0)),0),0)</f>
        <v>0</v>
      </c>
      <c r="L2429" s="27">
        <f t="array" ref="L2429">IF($O2429="방문완료",IF($H2429="",0,IFERROR(INDEX(설정_코스수당!$B$15:$F$64,MATCH($H2429,설정_코스수당!$A$15:$A$64,0),MATCH($E2429&amp;"수당",설정_코스수당!$B$14:$F$14,0)),0)),0)</f>
        <v>0</v>
      </c>
      <c r="M2429" s="27">
        <f>IF($O2429="방문완료",IFERROR(VLOOKUP($E2429,설정_코스수당!$A$6:$H$10,6,FALSE),0),0)</f>
        <v>0</v>
      </c>
      <c r="N2429" s="28">
        <f t="shared" si="70"/>
        <v>0</v>
      </c>
      <c r="O2429" s="23"/>
      <c r="P2429" s="23"/>
      <c r="Q2429" s="23"/>
      <c r="R2429" s="26"/>
      <c r="S2429" s="23"/>
    </row>
    <row r="2430" spans="1:22" ht="19.5" hidden="1" customHeight="1" outlineLevel="1">
      <c r="A2430" s="29">
        <v>48</v>
      </c>
      <c r="B2430" s="30">
        <f>IF(24&lt;=DAY(DATE(YEAR(설정_코스수당!$K$2),MONTH(설정_코스수당!$K$2)+1,0)),DATE(YEAR(설정_코스수당!$K$2),MONTH(설정_코스수당!$K$2),24),"")</f>
        <v>46197</v>
      </c>
      <c r="C2430" s="31"/>
      <c r="D2430" s="29"/>
      <c r="E2430" s="29"/>
      <c r="F2430" s="32"/>
      <c r="G2430" s="29"/>
      <c r="H2430" s="29"/>
      <c r="I2430" s="29"/>
      <c r="J2430" s="33">
        <f>IF($O2430="방문완료",MAX(0,IFERROR(VLOOKUP($E2430,설정_코스수당!$A$6:$H$10,4,FALSE),0)-IF(OR($P2430="",$P2430="없음"),0,100000)),0)</f>
        <v>0</v>
      </c>
      <c r="K2430" s="33">
        <f t="array" ref="K2430">IF($O2430="방문완료",IFERROR(INDEX(설정_코스수당!$B$15:$F$64,MATCH($G2430,설정_코스수당!$A$15:$A$64,0),MATCH($E2430&amp;"수당",설정_코스수당!$B$14:$F$14,0)),0),0)</f>
        <v>0</v>
      </c>
      <c r="L2430" s="33">
        <f t="array" ref="L2430">IF($O2430="방문완료",IF($H2430="",0,IFERROR(INDEX(설정_코스수당!$B$15:$F$64,MATCH($H2430,설정_코스수당!$A$15:$A$64,0),MATCH($E2430&amp;"수당",설정_코스수당!$B$14:$F$14,0)),0)),0)</f>
        <v>0</v>
      </c>
      <c r="M2430" s="33">
        <f>IF($O2430="방문완료",IFERROR(VLOOKUP($E2430,설정_코스수당!$A$6:$H$10,6,FALSE),0),0)</f>
        <v>0</v>
      </c>
      <c r="N2430" s="34">
        <f t="shared" si="70"/>
        <v>0</v>
      </c>
      <c r="O2430" s="29"/>
      <c r="P2430" s="29"/>
      <c r="Q2430" s="29"/>
      <c r="R2430" s="32"/>
      <c r="S2430" s="29"/>
    </row>
    <row r="2431" spans="1:22" ht="19.5" hidden="1" customHeight="1" outlineLevel="1">
      <c r="A2431" s="23">
        <v>49</v>
      </c>
      <c r="B2431" s="24">
        <f>IF(24&lt;=DAY(DATE(YEAR(설정_코스수당!$K$2),MONTH(설정_코스수당!$K$2)+1,0)),DATE(YEAR(설정_코스수당!$K$2),MONTH(설정_코스수당!$K$2),24),"")</f>
        <v>46197</v>
      </c>
      <c r="C2431" s="25"/>
      <c r="D2431" s="23"/>
      <c r="E2431" s="23"/>
      <c r="F2431" s="26"/>
      <c r="G2431" s="23"/>
      <c r="H2431" s="23"/>
      <c r="I2431" s="23"/>
      <c r="J2431" s="27">
        <f>IF($O2431="방문완료",MAX(0,IFERROR(VLOOKUP($E2431,설정_코스수당!$A$6:$H$10,4,FALSE),0)-IF(OR($P2431="",$P2431="없음"),0,100000)),0)</f>
        <v>0</v>
      </c>
      <c r="K2431" s="27">
        <f t="array" ref="K2431">IF($O2431="방문완료",IFERROR(INDEX(설정_코스수당!$B$15:$F$64,MATCH($G2431,설정_코스수당!$A$15:$A$64,0),MATCH($E2431&amp;"수당",설정_코스수당!$B$14:$F$14,0)),0),0)</f>
        <v>0</v>
      </c>
      <c r="L2431" s="27">
        <f t="array" ref="L2431">IF($O2431="방문완료",IF($H2431="",0,IFERROR(INDEX(설정_코스수당!$B$15:$F$64,MATCH($H2431,설정_코스수당!$A$15:$A$64,0),MATCH($E2431&amp;"수당",설정_코스수당!$B$14:$F$14,0)),0)),0)</f>
        <v>0</v>
      </c>
      <c r="M2431" s="27">
        <f>IF($O2431="방문완료",IFERROR(VLOOKUP($E2431,설정_코스수당!$A$6:$H$10,6,FALSE),0),0)</f>
        <v>0</v>
      </c>
      <c r="N2431" s="28">
        <f t="shared" si="70"/>
        <v>0</v>
      </c>
      <c r="O2431" s="23"/>
      <c r="P2431" s="23"/>
      <c r="Q2431" s="23"/>
      <c r="R2431" s="26"/>
      <c r="S2431" s="23"/>
    </row>
    <row r="2432" spans="1:22" ht="19.5" hidden="1" customHeight="1" outlineLevel="1">
      <c r="A2432" s="29">
        <v>50</v>
      </c>
      <c r="B2432" s="30">
        <f>IF(24&lt;=DAY(DATE(YEAR(설정_코스수당!$K$2),MONTH(설정_코스수당!$K$2)+1,0)),DATE(YEAR(설정_코스수당!$K$2),MONTH(설정_코스수당!$K$2),24),"")</f>
        <v>46197</v>
      </c>
      <c r="C2432" s="31"/>
      <c r="D2432" s="29"/>
      <c r="E2432" s="29"/>
      <c r="F2432" s="32"/>
      <c r="G2432" s="29"/>
      <c r="H2432" s="29"/>
      <c r="I2432" s="29"/>
      <c r="J2432" s="33">
        <f>IF($O2432="방문완료",MAX(0,IFERROR(VLOOKUP($E2432,설정_코스수당!$A$6:$H$10,4,FALSE),0)-IF(OR($P2432="",$P2432="없음"),0,100000)),0)</f>
        <v>0</v>
      </c>
      <c r="K2432" s="33">
        <f t="array" ref="K2432">IF($O2432="방문완료",IFERROR(INDEX(설정_코스수당!$B$15:$F$64,MATCH($G2432,설정_코스수당!$A$15:$A$64,0),MATCH($E2432&amp;"수당",설정_코스수당!$B$14:$F$14,0)),0),0)</f>
        <v>0</v>
      </c>
      <c r="L2432" s="33">
        <f t="array" ref="L2432">IF($O2432="방문완료",IF($H2432="",0,IFERROR(INDEX(설정_코스수당!$B$15:$F$64,MATCH($H2432,설정_코스수당!$A$15:$A$64,0),MATCH($E2432&amp;"수당",설정_코스수당!$B$14:$F$14,0)),0)),0)</f>
        <v>0</v>
      </c>
      <c r="M2432" s="33">
        <f>IF($O2432="방문완료",IFERROR(VLOOKUP($E2432,설정_코스수당!$A$6:$H$10,6,FALSE),0),0)</f>
        <v>0</v>
      </c>
      <c r="N2432" s="34">
        <f t="shared" si="70"/>
        <v>0</v>
      </c>
      <c r="O2432" s="29"/>
      <c r="P2432" s="29"/>
      <c r="Q2432" s="29"/>
      <c r="R2432" s="32"/>
      <c r="S2432" s="29"/>
    </row>
    <row r="2433" spans="1:19" ht="19.5" hidden="1" customHeight="1" outlineLevel="1">
      <c r="A2433" s="23">
        <v>51</v>
      </c>
      <c r="B2433" s="24">
        <f>IF(24&lt;=DAY(DATE(YEAR(설정_코스수당!$K$2),MONTH(설정_코스수당!$K$2)+1,0)),DATE(YEAR(설정_코스수당!$K$2),MONTH(설정_코스수당!$K$2),24),"")</f>
        <v>46197</v>
      </c>
      <c r="C2433" s="25"/>
      <c r="D2433" s="23"/>
      <c r="E2433" s="23"/>
      <c r="F2433" s="26"/>
      <c r="G2433" s="23"/>
      <c r="H2433" s="23"/>
      <c r="I2433" s="23"/>
      <c r="J2433" s="27">
        <f>IF($O2433="방문완료",MAX(0,IFERROR(VLOOKUP($E2433,설정_코스수당!$A$6:$H$10,4,FALSE),0)-IF(OR($P2433="",$P2433="없음"),0,100000)),0)</f>
        <v>0</v>
      </c>
      <c r="K2433" s="27">
        <f t="array" ref="K2433">IF($O2433="방문완료",IFERROR(INDEX(설정_코스수당!$B$15:$F$64,MATCH($G2433,설정_코스수당!$A$15:$A$64,0),MATCH($E2433&amp;"수당",설정_코스수당!$B$14:$F$14,0)),0),0)</f>
        <v>0</v>
      </c>
      <c r="L2433" s="27">
        <f t="array" ref="L2433">IF($O2433="방문완료",IF($H2433="",0,IFERROR(INDEX(설정_코스수당!$B$15:$F$64,MATCH($H2433,설정_코스수당!$A$15:$A$64,0),MATCH($E2433&amp;"수당",설정_코스수당!$B$14:$F$14,0)),0)),0)</f>
        <v>0</v>
      </c>
      <c r="M2433" s="27">
        <f>IF($O2433="방문완료",IFERROR(VLOOKUP($E2433,설정_코스수당!$A$6:$H$10,6,FALSE),0),0)</f>
        <v>0</v>
      </c>
      <c r="N2433" s="28">
        <f t="shared" si="70"/>
        <v>0</v>
      </c>
      <c r="O2433" s="23"/>
      <c r="P2433" s="23"/>
      <c r="Q2433" s="23"/>
      <c r="R2433" s="26"/>
      <c r="S2433" s="23"/>
    </row>
    <row r="2434" spans="1:19" ht="19.5" hidden="1" customHeight="1" outlineLevel="1">
      <c r="A2434" s="29">
        <v>52</v>
      </c>
      <c r="B2434" s="30">
        <f>IF(24&lt;=DAY(DATE(YEAR(설정_코스수당!$K$2),MONTH(설정_코스수당!$K$2)+1,0)),DATE(YEAR(설정_코스수당!$K$2),MONTH(설정_코스수당!$K$2),24),"")</f>
        <v>46197</v>
      </c>
      <c r="C2434" s="31"/>
      <c r="D2434" s="29"/>
      <c r="E2434" s="29"/>
      <c r="F2434" s="32"/>
      <c r="G2434" s="29"/>
      <c r="H2434" s="29"/>
      <c r="I2434" s="29"/>
      <c r="J2434" s="33">
        <f>IF($O2434="방문완료",MAX(0,IFERROR(VLOOKUP($E2434,설정_코스수당!$A$6:$H$10,4,FALSE),0)-IF(OR($P2434="",$P2434="없음"),0,100000)),0)</f>
        <v>0</v>
      </c>
      <c r="K2434" s="33">
        <f t="array" ref="K2434">IF($O2434="방문완료",IFERROR(INDEX(설정_코스수당!$B$15:$F$64,MATCH($G2434,설정_코스수당!$A$15:$A$64,0),MATCH($E2434&amp;"수당",설정_코스수당!$B$14:$F$14,0)),0),0)</f>
        <v>0</v>
      </c>
      <c r="L2434" s="33">
        <f t="array" ref="L2434">IF($O2434="방문완료",IF($H2434="",0,IFERROR(INDEX(설정_코스수당!$B$15:$F$64,MATCH($H2434,설정_코스수당!$A$15:$A$64,0),MATCH($E2434&amp;"수당",설정_코스수당!$B$14:$F$14,0)),0)),0)</f>
        <v>0</v>
      </c>
      <c r="M2434" s="33">
        <f>IF($O2434="방문완료",IFERROR(VLOOKUP($E2434,설정_코스수당!$A$6:$H$10,6,FALSE),0),0)</f>
        <v>0</v>
      </c>
      <c r="N2434" s="34">
        <f t="shared" si="70"/>
        <v>0</v>
      </c>
      <c r="O2434" s="29"/>
      <c r="P2434" s="29"/>
      <c r="Q2434" s="29"/>
      <c r="R2434" s="32"/>
      <c r="S2434" s="29"/>
    </row>
    <row r="2435" spans="1:19" ht="19.5" hidden="1" customHeight="1" outlineLevel="1">
      <c r="A2435" s="23">
        <v>53</v>
      </c>
      <c r="B2435" s="24">
        <f>IF(24&lt;=DAY(DATE(YEAR(설정_코스수당!$K$2),MONTH(설정_코스수당!$K$2)+1,0)),DATE(YEAR(설정_코스수당!$K$2),MONTH(설정_코스수당!$K$2),24),"")</f>
        <v>46197</v>
      </c>
      <c r="C2435" s="25"/>
      <c r="D2435" s="23"/>
      <c r="E2435" s="23"/>
      <c r="F2435" s="26"/>
      <c r="G2435" s="23"/>
      <c r="H2435" s="23"/>
      <c r="I2435" s="23"/>
      <c r="J2435" s="27">
        <f>IF($O2435="방문완료",MAX(0,IFERROR(VLOOKUP($E2435,설정_코스수당!$A$6:$H$10,4,FALSE),0)-IF(OR($P2435="",$P2435="없음"),0,100000)),0)</f>
        <v>0</v>
      </c>
      <c r="K2435" s="27">
        <f t="array" ref="K2435">IF($O2435="방문완료",IFERROR(INDEX(설정_코스수당!$B$15:$F$64,MATCH($G2435,설정_코스수당!$A$15:$A$64,0),MATCH($E2435&amp;"수당",설정_코스수당!$B$14:$F$14,0)),0),0)</f>
        <v>0</v>
      </c>
      <c r="L2435" s="27">
        <f t="array" ref="L2435">IF($O2435="방문완료",IF($H2435="",0,IFERROR(INDEX(설정_코스수당!$B$15:$F$64,MATCH($H2435,설정_코스수당!$A$15:$A$64,0),MATCH($E2435&amp;"수당",설정_코스수당!$B$14:$F$14,0)),0)),0)</f>
        <v>0</v>
      </c>
      <c r="M2435" s="27">
        <f>IF($O2435="방문완료",IFERROR(VLOOKUP($E2435,설정_코스수당!$A$6:$H$10,6,FALSE),0),0)</f>
        <v>0</v>
      </c>
      <c r="N2435" s="28">
        <f t="shared" si="70"/>
        <v>0</v>
      </c>
      <c r="O2435" s="23"/>
      <c r="P2435" s="23"/>
      <c r="Q2435" s="23"/>
      <c r="R2435" s="26"/>
      <c r="S2435" s="23"/>
    </row>
    <row r="2436" spans="1:19" ht="19.5" hidden="1" customHeight="1" outlineLevel="1">
      <c r="A2436" s="29">
        <v>54</v>
      </c>
      <c r="B2436" s="30">
        <f>IF(24&lt;=DAY(DATE(YEAR(설정_코스수당!$K$2),MONTH(설정_코스수당!$K$2)+1,0)),DATE(YEAR(설정_코스수당!$K$2),MONTH(설정_코스수당!$K$2),24),"")</f>
        <v>46197</v>
      </c>
      <c r="C2436" s="31"/>
      <c r="D2436" s="29"/>
      <c r="E2436" s="29"/>
      <c r="F2436" s="32"/>
      <c r="G2436" s="29"/>
      <c r="H2436" s="29"/>
      <c r="I2436" s="29"/>
      <c r="J2436" s="33">
        <f>IF($O2436="방문완료",MAX(0,IFERROR(VLOOKUP($E2436,설정_코스수당!$A$6:$H$10,4,FALSE),0)-IF(OR($P2436="",$P2436="없음"),0,100000)),0)</f>
        <v>0</v>
      </c>
      <c r="K2436" s="33">
        <f t="array" ref="K2436">IF($O2436="방문완료",IFERROR(INDEX(설정_코스수당!$B$15:$F$64,MATCH($G2436,설정_코스수당!$A$15:$A$64,0),MATCH($E2436&amp;"수당",설정_코스수당!$B$14:$F$14,0)),0),0)</f>
        <v>0</v>
      </c>
      <c r="L2436" s="33">
        <f t="array" ref="L2436">IF($O2436="방문완료",IF($H2436="",0,IFERROR(INDEX(설정_코스수당!$B$15:$F$64,MATCH($H2436,설정_코스수당!$A$15:$A$64,0),MATCH($E2436&amp;"수당",설정_코스수당!$B$14:$F$14,0)),0)),0)</f>
        <v>0</v>
      </c>
      <c r="M2436" s="33">
        <f>IF($O2436="방문완료",IFERROR(VLOOKUP($E2436,설정_코스수당!$A$6:$H$10,6,FALSE),0),0)</f>
        <v>0</v>
      </c>
      <c r="N2436" s="34">
        <f t="shared" si="70"/>
        <v>0</v>
      </c>
      <c r="O2436" s="29"/>
      <c r="P2436" s="29"/>
      <c r="Q2436" s="29"/>
      <c r="R2436" s="32"/>
      <c r="S2436" s="29"/>
    </row>
    <row r="2437" spans="1:19" ht="19.5" hidden="1" customHeight="1" outlineLevel="1">
      <c r="A2437" s="23">
        <v>55</v>
      </c>
      <c r="B2437" s="24">
        <f>IF(24&lt;=DAY(DATE(YEAR(설정_코스수당!$K$2),MONTH(설정_코스수당!$K$2)+1,0)),DATE(YEAR(설정_코스수당!$K$2),MONTH(설정_코스수당!$K$2),24),"")</f>
        <v>46197</v>
      </c>
      <c r="C2437" s="25"/>
      <c r="D2437" s="23"/>
      <c r="E2437" s="23"/>
      <c r="F2437" s="26"/>
      <c r="G2437" s="23"/>
      <c r="H2437" s="23"/>
      <c r="I2437" s="23"/>
      <c r="J2437" s="27">
        <f>IF($O2437="방문완료",MAX(0,IFERROR(VLOOKUP($E2437,설정_코스수당!$A$6:$H$10,4,FALSE),0)-IF(OR($P2437="",$P2437="없음"),0,100000)),0)</f>
        <v>0</v>
      </c>
      <c r="K2437" s="27">
        <f t="array" ref="K2437">IF($O2437="방문완료",IFERROR(INDEX(설정_코스수당!$B$15:$F$64,MATCH($G2437,설정_코스수당!$A$15:$A$64,0),MATCH($E2437&amp;"수당",설정_코스수당!$B$14:$F$14,0)),0),0)</f>
        <v>0</v>
      </c>
      <c r="L2437" s="27">
        <f t="array" ref="L2437">IF($O2437="방문완료",IF($H2437="",0,IFERROR(INDEX(설정_코스수당!$B$15:$F$64,MATCH($H2437,설정_코스수당!$A$15:$A$64,0),MATCH($E2437&amp;"수당",설정_코스수당!$B$14:$F$14,0)),0)),0)</f>
        <v>0</v>
      </c>
      <c r="M2437" s="27">
        <f>IF($O2437="방문완료",IFERROR(VLOOKUP($E2437,설정_코스수당!$A$6:$H$10,6,FALSE),0),0)</f>
        <v>0</v>
      </c>
      <c r="N2437" s="28">
        <f t="shared" si="70"/>
        <v>0</v>
      </c>
      <c r="O2437" s="23"/>
      <c r="P2437" s="23"/>
      <c r="Q2437" s="23"/>
      <c r="R2437" s="26"/>
      <c r="S2437" s="23"/>
    </row>
    <row r="2438" spans="1:19" ht="19.5" hidden="1" customHeight="1" outlineLevel="1">
      <c r="A2438" s="29">
        <v>56</v>
      </c>
      <c r="B2438" s="30">
        <f>IF(24&lt;=DAY(DATE(YEAR(설정_코스수당!$K$2),MONTH(설정_코스수당!$K$2)+1,0)),DATE(YEAR(설정_코스수당!$K$2),MONTH(설정_코스수당!$K$2),24),"")</f>
        <v>46197</v>
      </c>
      <c r="C2438" s="31"/>
      <c r="D2438" s="29"/>
      <c r="E2438" s="29"/>
      <c r="F2438" s="32"/>
      <c r="G2438" s="29"/>
      <c r="H2438" s="29"/>
      <c r="I2438" s="29"/>
      <c r="J2438" s="33">
        <f>IF($O2438="방문완료",MAX(0,IFERROR(VLOOKUP($E2438,설정_코스수당!$A$6:$H$10,4,FALSE),0)-IF(OR($P2438="",$P2438="없음"),0,100000)),0)</f>
        <v>0</v>
      </c>
      <c r="K2438" s="33">
        <f t="array" ref="K2438">IF($O2438="방문완료",IFERROR(INDEX(설정_코스수당!$B$15:$F$64,MATCH($G2438,설정_코스수당!$A$15:$A$64,0),MATCH($E2438&amp;"수당",설정_코스수당!$B$14:$F$14,0)),0),0)</f>
        <v>0</v>
      </c>
      <c r="L2438" s="33">
        <f t="array" ref="L2438">IF($O2438="방문완료",IF($H2438="",0,IFERROR(INDEX(설정_코스수당!$B$15:$F$64,MATCH($H2438,설정_코스수당!$A$15:$A$64,0),MATCH($E2438&amp;"수당",설정_코스수당!$B$14:$F$14,0)),0)),0)</f>
        <v>0</v>
      </c>
      <c r="M2438" s="33">
        <f>IF($O2438="방문완료",IFERROR(VLOOKUP($E2438,설정_코스수당!$A$6:$H$10,6,FALSE),0),0)</f>
        <v>0</v>
      </c>
      <c r="N2438" s="34">
        <f t="shared" si="70"/>
        <v>0</v>
      </c>
      <c r="O2438" s="29"/>
      <c r="P2438" s="29"/>
      <c r="Q2438" s="29"/>
      <c r="R2438" s="32"/>
      <c r="S2438" s="29"/>
    </row>
    <row r="2439" spans="1:19" ht="19.5" hidden="1" customHeight="1" outlineLevel="1">
      <c r="A2439" s="23">
        <v>57</v>
      </c>
      <c r="B2439" s="24">
        <f>IF(24&lt;=DAY(DATE(YEAR(설정_코스수당!$K$2),MONTH(설정_코스수당!$K$2)+1,0)),DATE(YEAR(설정_코스수당!$K$2),MONTH(설정_코스수당!$K$2),24),"")</f>
        <v>46197</v>
      </c>
      <c r="C2439" s="25"/>
      <c r="D2439" s="23"/>
      <c r="E2439" s="23"/>
      <c r="F2439" s="26"/>
      <c r="G2439" s="23"/>
      <c r="H2439" s="23"/>
      <c r="I2439" s="23"/>
      <c r="J2439" s="27">
        <f>IF($O2439="방문완료",MAX(0,IFERROR(VLOOKUP($E2439,설정_코스수당!$A$6:$H$10,4,FALSE),0)-IF(OR($P2439="",$P2439="없음"),0,100000)),0)</f>
        <v>0</v>
      </c>
      <c r="K2439" s="27">
        <f t="array" ref="K2439">IF($O2439="방문완료",IFERROR(INDEX(설정_코스수당!$B$15:$F$64,MATCH($G2439,설정_코스수당!$A$15:$A$64,0),MATCH($E2439&amp;"수당",설정_코스수당!$B$14:$F$14,0)),0),0)</f>
        <v>0</v>
      </c>
      <c r="L2439" s="27">
        <f t="array" ref="L2439">IF($O2439="방문완료",IF($H2439="",0,IFERROR(INDEX(설정_코스수당!$B$15:$F$64,MATCH($H2439,설정_코스수당!$A$15:$A$64,0),MATCH($E2439&amp;"수당",설정_코스수당!$B$14:$F$14,0)),0)),0)</f>
        <v>0</v>
      </c>
      <c r="M2439" s="27">
        <f>IF($O2439="방문완료",IFERROR(VLOOKUP($E2439,설정_코스수당!$A$6:$H$10,6,FALSE),0),0)</f>
        <v>0</v>
      </c>
      <c r="N2439" s="28">
        <f t="shared" si="70"/>
        <v>0</v>
      </c>
      <c r="O2439" s="23"/>
      <c r="P2439" s="23"/>
      <c r="Q2439" s="23"/>
      <c r="R2439" s="26"/>
      <c r="S2439" s="23"/>
    </row>
    <row r="2440" spans="1:19" ht="19.5" hidden="1" customHeight="1" outlineLevel="1">
      <c r="A2440" s="29">
        <v>58</v>
      </c>
      <c r="B2440" s="30">
        <f>IF(24&lt;=DAY(DATE(YEAR(설정_코스수당!$K$2),MONTH(설정_코스수당!$K$2)+1,0)),DATE(YEAR(설정_코스수당!$K$2),MONTH(설정_코스수당!$K$2),24),"")</f>
        <v>46197</v>
      </c>
      <c r="C2440" s="31"/>
      <c r="D2440" s="29"/>
      <c r="E2440" s="29"/>
      <c r="F2440" s="32"/>
      <c r="G2440" s="29"/>
      <c r="H2440" s="29"/>
      <c r="I2440" s="29"/>
      <c r="J2440" s="33">
        <f>IF($O2440="방문완료",MAX(0,IFERROR(VLOOKUP($E2440,설정_코스수당!$A$6:$H$10,4,FALSE),0)-IF(OR($P2440="",$P2440="없음"),0,100000)),0)</f>
        <v>0</v>
      </c>
      <c r="K2440" s="33">
        <f t="array" ref="K2440">IF($O2440="방문완료",IFERROR(INDEX(설정_코스수당!$B$15:$F$64,MATCH($G2440,설정_코스수당!$A$15:$A$64,0),MATCH($E2440&amp;"수당",설정_코스수당!$B$14:$F$14,0)),0),0)</f>
        <v>0</v>
      </c>
      <c r="L2440" s="33">
        <f t="array" ref="L2440">IF($O2440="방문완료",IF($H2440="",0,IFERROR(INDEX(설정_코스수당!$B$15:$F$64,MATCH($H2440,설정_코스수당!$A$15:$A$64,0),MATCH($E2440&amp;"수당",설정_코스수당!$B$14:$F$14,0)),0)),0)</f>
        <v>0</v>
      </c>
      <c r="M2440" s="33">
        <f>IF($O2440="방문완료",IFERROR(VLOOKUP($E2440,설정_코스수당!$A$6:$H$10,6,FALSE),0),0)</f>
        <v>0</v>
      </c>
      <c r="N2440" s="34">
        <f t="shared" si="70"/>
        <v>0</v>
      </c>
      <c r="O2440" s="29"/>
      <c r="P2440" s="29"/>
      <c r="Q2440" s="29"/>
      <c r="R2440" s="32"/>
      <c r="S2440" s="29"/>
    </row>
    <row r="2441" spans="1:19" ht="19.5" hidden="1" customHeight="1" outlineLevel="1">
      <c r="A2441" s="23">
        <v>59</v>
      </c>
      <c r="B2441" s="24">
        <f>IF(24&lt;=DAY(DATE(YEAR(설정_코스수당!$K$2),MONTH(설정_코스수당!$K$2)+1,0)),DATE(YEAR(설정_코스수당!$K$2),MONTH(설정_코스수당!$K$2),24),"")</f>
        <v>46197</v>
      </c>
      <c r="C2441" s="25"/>
      <c r="D2441" s="23"/>
      <c r="E2441" s="23"/>
      <c r="F2441" s="26"/>
      <c r="G2441" s="23"/>
      <c r="H2441" s="23"/>
      <c r="I2441" s="23"/>
      <c r="J2441" s="27">
        <f>IF($O2441="방문완료",MAX(0,IFERROR(VLOOKUP($E2441,설정_코스수당!$A$6:$H$10,4,FALSE),0)-IF(OR($P2441="",$P2441="없음"),0,100000)),0)</f>
        <v>0</v>
      </c>
      <c r="K2441" s="27">
        <f t="array" ref="K2441">IF($O2441="방문완료",IFERROR(INDEX(설정_코스수당!$B$15:$F$64,MATCH($G2441,설정_코스수당!$A$15:$A$64,0),MATCH($E2441&amp;"수당",설정_코스수당!$B$14:$F$14,0)),0),0)</f>
        <v>0</v>
      </c>
      <c r="L2441" s="27">
        <f t="array" ref="L2441">IF($O2441="방문완료",IF($H2441="",0,IFERROR(INDEX(설정_코스수당!$B$15:$F$64,MATCH($H2441,설정_코스수당!$A$15:$A$64,0),MATCH($E2441&amp;"수당",설정_코스수당!$B$14:$F$14,0)),0)),0)</f>
        <v>0</v>
      </c>
      <c r="M2441" s="27">
        <f>IF($O2441="방문완료",IFERROR(VLOOKUP($E2441,설정_코스수당!$A$6:$H$10,6,FALSE),0),0)</f>
        <v>0</v>
      </c>
      <c r="N2441" s="28">
        <f t="shared" si="70"/>
        <v>0</v>
      </c>
      <c r="O2441" s="23"/>
      <c r="P2441" s="23"/>
      <c r="Q2441" s="23"/>
      <c r="R2441" s="26"/>
      <c r="S2441" s="23"/>
    </row>
    <row r="2442" spans="1:19" ht="19.5" hidden="1" customHeight="1" outlineLevel="1">
      <c r="A2442" s="29">
        <v>60</v>
      </c>
      <c r="B2442" s="30">
        <f>IF(24&lt;=DAY(DATE(YEAR(설정_코스수당!$K$2),MONTH(설정_코스수당!$K$2)+1,0)),DATE(YEAR(설정_코스수당!$K$2),MONTH(설정_코스수당!$K$2),24),"")</f>
        <v>46197</v>
      </c>
      <c r="C2442" s="31"/>
      <c r="D2442" s="29"/>
      <c r="E2442" s="29"/>
      <c r="F2442" s="32"/>
      <c r="G2442" s="29"/>
      <c r="H2442" s="29"/>
      <c r="I2442" s="29"/>
      <c r="J2442" s="33">
        <f>IF($O2442="방문완료",MAX(0,IFERROR(VLOOKUP($E2442,설정_코스수당!$A$6:$H$10,4,FALSE),0)-IF(OR($P2442="",$P2442="없음"),0,100000)),0)</f>
        <v>0</v>
      </c>
      <c r="K2442" s="33">
        <f t="array" ref="K2442">IF($O2442="방문완료",IFERROR(INDEX(설정_코스수당!$B$15:$F$64,MATCH($G2442,설정_코스수당!$A$15:$A$64,0),MATCH($E2442&amp;"수당",설정_코스수당!$B$14:$F$14,0)),0),0)</f>
        <v>0</v>
      </c>
      <c r="L2442" s="33">
        <f t="array" ref="L2442">IF($O2442="방문완료",IF($H2442="",0,IFERROR(INDEX(설정_코스수당!$B$15:$F$64,MATCH($H2442,설정_코스수당!$A$15:$A$64,0),MATCH($E2442&amp;"수당",설정_코스수당!$B$14:$F$14,0)),0)),0)</f>
        <v>0</v>
      </c>
      <c r="M2442" s="33">
        <f>IF($O2442="방문완료",IFERROR(VLOOKUP($E2442,설정_코스수당!$A$6:$H$10,6,FALSE),0),0)</f>
        <v>0</v>
      </c>
      <c r="N2442" s="34">
        <f t="shared" si="70"/>
        <v>0</v>
      </c>
      <c r="O2442" s="29"/>
      <c r="P2442" s="29"/>
      <c r="Q2442" s="29"/>
      <c r="R2442" s="32"/>
      <c r="S2442" s="29"/>
    </row>
    <row r="2443" spans="1:19" ht="19.5" hidden="1" customHeight="1" outlineLevel="1">
      <c r="A2443" s="23">
        <v>61</v>
      </c>
      <c r="B2443" s="24">
        <f>IF(24&lt;=DAY(DATE(YEAR(설정_코스수당!$K$2),MONTH(설정_코스수당!$K$2)+1,0)),DATE(YEAR(설정_코스수당!$K$2),MONTH(설정_코스수당!$K$2),24),"")</f>
        <v>46197</v>
      </c>
      <c r="C2443" s="25"/>
      <c r="D2443" s="23"/>
      <c r="E2443" s="23"/>
      <c r="F2443" s="26"/>
      <c r="G2443" s="23"/>
      <c r="H2443" s="23"/>
      <c r="I2443" s="23"/>
      <c r="J2443" s="27">
        <f>IF($O2443="방문완료",MAX(0,IFERROR(VLOOKUP($E2443,설정_코스수당!$A$6:$H$10,4,FALSE),0)-IF(OR($P2443="",$P2443="없음"),0,100000)),0)</f>
        <v>0</v>
      </c>
      <c r="K2443" s="27">
        <f t="array" ref="K2443">IF($O2443="방문완료",IFERROR(INDEX(설정_코스수당!$B$15:$F$64,MATCH($G2443,설정_코스수당!$A$15:$A$64,0),MATCH($E2443&amp;"수당",설정_코스수당!$B$14:$F$14,0)),0),0)</f>
        <v>0</v>
      </c>
      <c r="L2443" s="27">
        <f t="array" ref="L2443">IF($O2443="방문완료",IF($H2443="",0,IFERROR(INDEX(설정_코스수당!$B$15:$F$64,MATCH($H2443,설정_코스수당!$A$15:$A$64,0),MATCH($E2443&amp;"수당",설정_코스수당!$B$14:$F$14,0)),0)),0)</f>
        <v>0</v>
      </c>
      <c r="M2443" s="27">
        <f>IF($O2443="방문완료",IFERROR(VLOOKUP($E2443,설정_코스수당!$A$6:$H$10,6,FALSE),0),0)</f>
        <v>0</v>
      </c>
      <c r="N2443" s="28">
        <f t="shared" si="70"/>
        <v>0</v>
      </c>
      <c r="O2443" s="23"/>
      <c r="P2443" s="23"/>
      <c r="Q2443" s="23"/>
      <c r="R2443" s="26"/>
      <c r="S2443" s="23"/>
    </row>
    <row r="2444" spans="1:19" ht="19.5" hidden="1" customHeight="1" outlineLevel="1">
      <c r="A2444" s="29">
        <v>62</v>
      </c>
      <c r="B2444" s="30">
        <f>IF(24&lt;=DAY(DATE(YEAR(설정_코스수당!$K$2),MONTH(설정_코스수당!$K$2)+1,0)),DATE(YEAR(설정_코스수당!$K$2),MONTH(설정_코스수당!$K$2),24),"")</f>
        <v>46197</v>
      </c>
      <c r="C2444" s="31"/>
      <c r="D2444" s="29"/>
      <c r="E2444" s="29"/>
      <c r="F2444" s="32"/>
      <c r="G2444" s="29"/>
      <c r="H2444" s="29"/>
      <c r="I2444" s="29"/>
      <c r="J2444" s="33">
        <f>IF($O2444="방문완료",MAX(0,IFERROR(VLOOKUP($E2444,설정_코스수당!$A$6:$H$10,4,FALSE),0)-IF(OR($P2444="",$P2444="없음"),0,100000)),0)</f>
        <v>0</v>
      </c>
      <c r="K2444" s="33">
        <f t="array" ref="K2444">IF($O2444="방문완료",IFERROR(INDEX(설정_코스수당!$B$15:$F$64,MATCH($G2444,설정_코스수당!$A$15:$A$64,0),MATCH($E2444&amp;"수당",설정_코스수당!$B$14:$F$14,0)),0),0)</f>
        <v>0</v>
      </c>
      <c r="L2444" s="33">
        <f t="array" ref="L2444">IF($O2444="방문완료",IF($H2444="",0,IFERROR(INDEX(설정_코스수당!$B$15:$F$64,MATCH($H2444,설정_코스수당!$A$15:$A$64,0),MATCH($E2444&amp;"수당",설정_코스수당!$B$14:$F$14,0)),0)),0)</f>
        <v>0</v>
      </c>
      <c r="M2444" s="33">
        <f>IF($O2444="방문완료",IFERROR(VLOOKUP($E2444,설정_코스수당!$A$6:$H$10,6,FALSE),0),0)</f>
        <v>0</v>
      </c>
      <c r="N2444" s="34">
        <f t="shared" si="70"/>
        <v>0</v>
      </c>
      <c r="O2444" s="29"/>
      <c r="P2444" s="29"/>
      <c r="Q2444" s="29"/>
      <c r="R2444" s="32"/>
      <c r="S2444" s="29"/>
    </row>
    <row r="2445" spans="1:19" ht="19.5" hidden="1" customHeight="1" outlineLevel="1">
      <c r="A2445" s="23">
        <v>63</v>
      </c>
      <c r="B2445" s="24">
        <f>IF(24&lt;=DAY(DATE(YEAR(설정_코스수당!$K$2),MONTH(설정_코스수당!$K$2)+1,0)),DATE(YEAR(설정_코스수당!$K$2),MONTH(설정_코스수당!$K$2),24),"")</f>
        <v>46197</v>
      </c>
      <c r="C2445" s="25"/>
      <c r="D2445" s="23"/>
      <c r="E2445" s="23"/>
      <c r="F2445" s="26"/>
      <c r="G2445" s="23"/>
      <c r="H2445" s="23"/>
      <c r="I2445" s="23"/>
      <c r="J2445" s="27">
        <f>IF($O2445="방문완료",MAX(0,IFERROR(VLOOKUP($E2445,설정_코스수당!$A$6:$H$10,4,FALSE),0)-IF(OR($P2445="",$P2445="없음"),0,100000)),0)</f>
        <v>0</v>
      </c>
      <c r="K2445" s="27">
        <f t="array" ref="K2445">IF($O2445="방문완료",IFERROR(INDEX(설정_코스수당!$B$15:$F$64,MATCH($G2445,설정_코스수당!$A$15:$A$64,0),MATCH($E2445&amp;"수당",설정_코스수당!$B$14:$F$14,0)),0),0)</f>
        <v>0</v>
      </c>
      <c r="L2445" s="27">
        <f t="array" ref="L2445">IF($O2445="방문완료",IF($H2445="",0,IFERROR(INDEX(설정_코스수당!$B$15:$F$64,MATCH($H2445,설정_코스수당!$A$15:$A$64,0),MATCH($E2445&amp;"수당",설정_코스수당!$B$14:$F$14,0)),0)),0)</f>
        <v>0</v>
      </c>
      <c r="M2445" s="27">
        <f>IF($O2445="방문완료",IFERROR(VLOOKUP($E2445,설정_코스수당!$A$6:$H$10,6,FALSE),0),0)</f>
        <v>0</v>
      </c>
      <c r="N2445" s="28">
        <f t="shared" si="70"/>
        <v>0</v>
      </c>
      <c r="O2445" s="23"/>
      <c r="P2445" s="23"/>
      <c r="Q2445" s="23"/>
      <c r="R2445" s="26"/>
      <c r="S2445" s="23"/>
    </row>
    <row r="2446" spans="1:19" ht="19.5" hidden="1" customHeight="1" outlineLevel="1">
      <c r="A2446" s="29">
        <v>64</v>
      </c>
      <c r="B2446" s="30">
        <f>IF(24&lt;=DAY(DATE(YEAR(설정_코스수당!$K$2),MONTH(설정_코스수당!$K$2)+1,0)),DATE(YEAR(설정_코스수당!$K$2),MONTH(설정_코스수당!$K$2),24),"")</f>
        <v>46197</v>
      </c>
      <c r="C2446" s="31"/>
      <c r="D2446" s="29"/>
      <c r="E2446" s="29"/>
      <c r="F2446" s="32"/>
      <c r="G2446" s="29"/>
      <c r="H2446" s="29"/>
      <c r="I2446" s="29"/>
      <c r="J2446" s="33">
        <f>IF($O2446="방문완료",MAX(0,IFERROR(VLOOKUP($E2446,설정_코스수당!$A$6:$H$10,4,FALSE),0)-IF(OR($P2446="",$P2446="없음"),0,100000)),0)</f>
        <v>0</v>
      </c>
      <c r="K2446" s="33">
        <f t="array" ref="K2446">IF($O2446="방문완료",IFERROR(INDEX(설정_코스수당!$B$15:$F$64,MATCH($G2446,설정_코스수당!$A$15:$A$64,0),MATCH($E2446&amp;"수당",설정_코스수당!$B$14:$F$14,0)),0),0)</f>
        <v>0</v>
      </c>
      <c r="L2446" s="33">
        <f t="array" ref="L2446">IF($O2446="방문완료",IF($H2446="",0,IFERROR(INDEX(설정_코스수당!$B$15:$F$64,MATCH($H2446,설정_코스수당!$A$15:$A$64,0),MATCH($E2446&amp;"수당",설정_코스수당!$B$14:$F$14,0)),0)),0)</f>
        <v>0</v>
      </c>
      <c r="M2446" s="33">
        <f>IF($O2446="방문완료",IFERROR(VLOOKUP($E2446,설정_코스수당!$A$6:$H$10,6,FALSE),0),0)</f>
        <v>0</v>
      </c>
      <c r="N2446" s="34">
        <f t="shared" si="70"/>
        <v>0</v>
      </c>
      <c r="O2446" s="29"/>
      <c r="P2446" s="29"/>
      <c r="Q2446" s="29"/>
      <c r="R2446" s="32"/>
      <c r="S2446" s="29"/>
    </row>
    <row r="2447" spans="1:19" ht="19.5" hidden="1" customHeight="1" outlineLevel="1">
      <c r="A2447" s="23">
        <v>65</v>
      </c>
      <c r="B2447" s="24">
        <f>IF(24&lt;=DAY(DATE(YEAR(설정_코스수당!$K$2),MONTH(설정_코스수당!$K$2)+1,0)),DATE(YEAR(설정_코스수당!$K$2),MONTH(설정_코스수당!$K$2),24),"")</f>
        <v>46197</v>
      </c>
      <c r="C2447" s="25"/>
      <c r="D2447" s="23"/>
      <c r="E2447" s="23"/>
      <c r="F2447" s="26"/>
      <c r="G2447" s="23"/>
      <c r="H2447" s="23"/>
      <c r="I2447" s="23"/>
      <c r="J2447" s="27">
        <f>IF($O2447="방문완료",MAX(0,IFERROR(VLOOKUP($E2447,설정_코스수당!$A$6:$H$10,4,FALSE),0)-IF(OR($P2447="",$P2447="없음"),0,100000)),0)</f>
        <v>0</v>
      </c>
      <c r="K2447" s="27">
        <f t="array" ref="K2447">IF($O2447="방문완료",IFERROR(INDEX(설정_코스수당!$B$15:$F$64,MATCH($G2447,설정_코스수당!$A$15:$A$64,0),MATCH($E2447&amp;"수당",설정_코스수당!$B$14:$F$14,0)),0),0)</f>
        <v>0</v>
      </c>
      <c r="L2447" s="27">
        <f t="array" ref="L2447">IF($O2447="방문완료",IF($H2447="",0,IFERROR(INDEX(설정_코스수당!$B$15:$F$64,MATCH($H2447,설정_코스수당!$A$15:$A$64,0),MATCH($E2447&amp;"수당",설정_코스수당!$B$14:$F$14,0)),0)),0)</f>
        <v>0</v>
      </c>
      <c r="M2447" s="27">
        <f>IF($O2447="방문완료",IFERROR(VLOOKUP($E2447,설정_코스수당!$A$6:$H$10,6,FALSE),0),0)</f>
        <v>0</v>
      </c>
      <c r="N2447" s="28">
        <f t="shared" ref="N2447:N2482" si="71">IF($O2447="방문완료",1,0)</f>
        <v>0</v>
      </c>
      <c r="O2447" s="23"/>
      <c r="P2447" s="23"/>
      <c r="Q2447" s="23"/>
      <c r="R2447" s="26"/>
      <c r="S2447" s="23"/>
    </row>
    <row r="2448" spans="1:19" ht="19.5" hidden="1" customHeight="1" outlineLevel="1">
      <c r="A2448" s="29">
        <v>66</v>
      </c>
      <c r="B2448" s="30">
        <f>IF(24&lt;=DAY(DATE(YEAR(설정_코스수당!$K$2),MONTH(설정_코스수당!$K$2)+1,0)),DATE(YEAR(설정_코스수당!$K$2),MONTH(설정_코스수당!$K$2),24),"")</f>
        <v>46197</v>
      </c>
      <c r="C2448" s="31"/>
      <c r="D2448" s="29"/>
      <c r="E2448" s="29"/>
      <c r="F2448" s="32"/>
      <c r="G2448" s="29"/>
      <c r="H2448" s="29"/>
      <c r="I2448" s="29"/>
      <c r="J2448" s="33">
        <f>IF($O2448="방문완료",MAX(0,IFERROR(VLOOKUP($E2448,설정_코스수당!$A$6:$H$10,4,FALSE),0)-IF(OR($P2448="",$P2448="없음"),0,100000)),0)</f>
        <v>0</v>
      </c>
      <c r="K2448" s="33">
        <f t="array" ref="K2448">IF($O2448="방문완료",IFERROR(INDEX(설정_코스수당!$B$15:$F$64,MATCH($G2448,설정_코스수당!$A$15:$A$64,0),MATCH($E2448&amp;"수당",설정_코스수당!$B$14:$F$14,0)),0),0)</f>
        <v>0</v>
      </c>
      <c r="L2448" s="33">
        <f t="array" ref="L2448">IF($O2448="방문완료",IF($H2448="",0,IFERROR(INDEX(설정_코스수당!$B$15:$F$64,MATCH($H2448,설정_코스수당!$A$15:$A$64,0),MATCH($E2448&amp;"수당",설정_코스수당!$B$14:$F$14,0)),0)),0)</f>
        <v>0</v>
      </c>
      <c r="M2448" s="33">
        <f>IF($O2448="방문완료",IFERROR(VLOOKUP($E2448,설정_코스수당!$A$6:$H$10,6,FALSE),0),0)</f>
        <v>0</v>
      </c>
      <c r="N2448" s="34">
        <f t="shared" si="71"/>
        <v>0</v>
      </c>
      <c r="O2448" s="29"/>
      <c r="P2448" s="29"/>
      <c r="Q2448" s="29"/>
      <c r="R2448" s="32"/>
      <c r="S2448" s="29"/>
    </row>
    <row r="2449" spans="1:19" ht="19.5" hidden="1" customHeight="1" outlineLevel="1">
      <c r="A2449" s="23">
        <v>67</v>
      </c>
      <c r="B2449" s="24">
        <f>IF(24&lt;=DAY(DATE(YEAR(설정_코스수당!$K$2),MONTH(설정_코스수당!$K$2)+1,0)),DATE(YEAR(설정_코스수당!$K$2),MONTH(설정_코스수당!$K$2),24),"")</f>
        <v>46197</v>
      </c>
      <c r="C2449" s="25"/>
      <c r="D2449" s="23"/>
      <c r="E2449" s="23"/>
      <c r="F2449" s="26"/>
      <c r="G2449" s="23"/>
      <c r="H2449" s="23"/>
      <c r="I2449" s="23"/>
      <c r="J2449" s="27">
        <f>IF($O2449="방문완료",MAX(0,IFERROR(VLOOKUP($E2449,설정_코스수당!$A$6:$H$10,4,FALSE),0)-IF(OR($P2449="",$P2449="없음"),0,100000)),0)</f>
        <v>0</v>
      </c>
      <c r="K2449" s="27">
        <f t="array" ref="K2449">IF($O2449="방문완료",IFERROR(INDEX(설정_코스수당!$B$15:$F$64,MATCH($G2449,설정_코스수당!$A$15:$A$64,0),MATCH($E2449&amp;"수당",설정_코스수당!$B$14:$F$14,0)),0),0)</f>
        <v>0</v>
      </c>
      <c r="L2449" s="27">
        <f t="array" ref="L2449">IF($O2449="방문완료",IF($H2449="",0,IFERROR(INDEX(설정_코스수당!$B$15:$F$64,MATCH($H2449,설정_코스수당!$A$15:$A$64,0),MATCH($E2449&amp;"수당",설정_코스수당!$B$14:$F$14,0)),0)),0)</f>
        <v>0</v>
      </c>
      <c r="M2449" s="27">
        <f>IF($O2449="방문완료",IFERROR(VLOOKUP($E2449,설정_코스수당!$A$6:$H$10,6,FALSE),0),0)</f>
        <v>0</v>
      </c>
      <c r="N2449" s="28">
        <f t="shared" si="71"/>
        <v>0</v>
      </c>
      <c r="O2449" s="23"/>
      <c r="P2449" s="23"/>
      <c r="Q2449" s="23"/>
      <c r="R2449" s="26"/>
      <c r="S2449" s="23"/>
    </row>
    <row r="2450" spans="1:19" ht="19.5" hidden="1" customHeight="1" outlineLevel="1">
      <c r="A2450" s="29">
        <v>68</v>
      </c>
      <c r="B2450" s="30">
        <f>IF(24&lt;=DAY(DATE(YEAR(설정_코스수당!$K$2),MONTH(설정_코스수당!$K$2)+1,0)),DATE(YEAR(설정_코스수당!$K$2),MONTH(설정_코스수당!$K$2),24),"")</f>
        <v>46197</v>
      </c>
      <c r="C2450" s="31"/>
      <c r="D2450" s="29"/>
      <c r="E2450" s="29"/>
      <c r="F2450" s="32"/>
      <c r="G2450" s="29"/>
      <c r="H2450" s="29"/>
      <c r="I2450" s="29"/>
      <c r="J2450" s="33">
        <f>IF($O2450="방문완료",MAX(0,IFERROR(VLOOKUP($E2450,설정_코스수당!$A$6:$H$10,4,FALSE),0)-IF(OR($P2450="",$P2450="없음"),0,100000)),0)</f>
        <v>0</v>
      </c>
      <c r="K2450" s="33">
        <f t="array" ref="K2450">IF($O2450="방문완료",IFERROR(INDEX(설정_코스수당!$B$15:$F$64,MATCH($G2450,설정_코스수당!$A$15:$A$64,0),MATCH($E2450&amp;"수당",설정_코스수당!$B$14:$F$14,0)),0),0)</f>
        <v>0</v>
      </c>
      <c r="L2450" s="33">
        <f t="array" ref="L2450">IF($O2450="방문완료",IF($H2450="",0,IFERROR(INDEX(설정_코스수당!$B$15:$F$64,MATCH($H2450,설정_코스수당!$A$15:$A$64,0),MATCH($E2450&amp;"수당",설정_코스수당!$B$14:$F$14,0)),0)),0)</f>
        <v>0</v>
      </c>
      <c r="M2450" s="33">
        <f>IF($O2450="방문완료",IFERROR(VLOOKUP($E2450,설정_코스수당!$A$6:$H$10,6,FALSE),0),0)</f>
        <v>0</v>
      </c>
      <c r="N2450" s="34">
        <f t="shared" si="71"/>
        <v>0</v>
      </c>
      <c r="O2450" s="29"/>
      <c r="P2450" s="29"/>
      <c r="Q2450" s="29"/>
      <c r="R2450" s="32"/>
      <c r="S2450" s="29"/>
    </row>
    <row r="2451" spans="1:19" ht="19.5" hidden="1" customHeight="1" outlineLevel="1">
      <c r="A2451" s="23">
        <v>69</v>
      </c>
      <c r="B2451" s="24">
        <f>IF(24&lt;=DAY(DATE(YEAR(설정_코스수당!$K$2),MONTH(설정_코스수당!$K$2)+1,0)),DATE(YEAR(설정_코스수당!$K$2),MONTH(설정_코스수당!$K$2),24),"")</f>
        <v>46197</v>
      </c>
      <c r="C2451" s="25"/>
      <c r="D2451" s="23"/>
      <c r="E2451" s="23"/>
      <c r="F2451" s="26"/>
      <c r="G2451" s="23"/>
      <c r="H2451" s="23"/>
      <c r="I2451" s="23"/>
      <c r="J2451" s="27">
        <f>IF($O2451="방문완료",MAX(0,IFERROR(VLOOKUP($E2451,설정_코스수당!$A$6:$H$10,4,FALSE),0)-IF(OR($P2451="",$P2451="없음"),0,100000)),0)</f>
        <v>0</v>
      </c>
      <c r="K2451" s="27">
        <f t="array" ref="K2451">IF($O2451="방문완료",IFERROR(INDEX(설정_코스수당!$B$15:$F$64,MATCH($G2451,설정_코스수당!$A$15:$A$64,0),MATCH($E2451&amp;"수당",설정_코스수당!$B$14:$F$14,0)),0),0)</f>
        <v>0</v>
      </c>
      <c r="L2451" s="27">
        <f t="array" ref="L2451">IF($O2451="방문완료",IF($H2451="",0,IFERROR(INDEX(설정_코스수당!$B$15:$F$64,MATCH($H2451,설정_코스수당!$A$15:$A$64,0),MATCH($E2451&amp;"수당",설정_코스수당!$B$14:$F$14,0)),0)),0)</f>
        <v>0</v>
      </c>
      <c r="M2451" s="27">
        <f>IF($O2451="방문완료",IFERROR(VLOOKUP($E2451,설정_코스수당!$A$6:$H$10,6,FALSE),0),0)</f>
        <v>0</v>
      </c>
      <c r="N2451" s="28">
        <f t="shared" si="71"/>
        <v>0</v>
      </c>
      <c r="O2451" s="23"/>
      <c r="P2451" s="23"/>
      <c r="Q2451" s="23"/>
      <c r="R2451" s="26"/>
      <c r="S2451" s="23"/>
    </row>
    <row r="2452" spans="1:19" ht="19.5" hidden="1" customHeight="1" outlineLevel="1">
      <c r="A2452" s="29">
        <v>70</v>
      </c>
      <c r="B2452" s="30">
        <f>IF(24&lt;=DAY(DATE(YEAR(설정_코스수당!$K$2),MONTH(설정_코스수당!$K$2)+1,0)),DATE(YEAR(설정_코스수당!$K$2),MONTH(설정_코스수당!$K$2),24),"")</f>
        <v>46197</v>
      </c>
      <c r="C2452" s="31"/>
      <c r="D2452" s="29"/>
      <c r="E2452" s="29"/>
      <c r="F2452" s="32"/>
      <c r="G2452" s="29"/>
      <c r="H2452" s="29"/>
      <c r="I2452" s="29"/>
      <c r="J2452" s="33">
        <f>IF($O2452="방문완료",MAX(0,IFERROR(VLOOKUP($E2452,설정_코스수당!$A$6:$H$10,4,FALSE),0)-IF(OR($P2452="",$P2452="없음"),0,100000)),0)</f>
        <v>0</v>
      </c>
      <c r="K2452" s="33">
        <f t="array" ref="K2452">IF($O2452="방문완료",IFERROR(INDEX(설정_코스수당!$B$15:$F$64,MATCH($G2452,설정_코스수당!$A$15:$A$64,0),MATCH($E2452&amp;"수당",설정_코스수당!$B$14:$F$14,0)),0),0)</f>
        <v>0</v>
      </c>
      <c r="L2452" s="33">
        <f t="array" ref="L2452">IF($O2452="방문완료",IF($H2452="",0,IFERROR(INDEX(설정_코스수당!$B$15:$F$64,MATCH($H2452,설정_코스수당!$A$15:$A$64,0),MATCH($E2452&amp;"수당",설정_코스수당!$B$14:$F$14,0)),0)),0)</f>
        <v>0</v>
      </c>
      <c r="M2452" s="33">
        <f>IF($O2452="방문완료",IFERROR(VLOOKUP($E2452,설정_코스수당!$A$6:$H$10,6,FALSE),0),0)</f>
        <v>0</v>
      </c>
      <c r="N2452" s="34">
        <f t="shared" si="71"/>
        <v>0</v>
      </c>
      <c r="O2452" s="29"/>
      <c r="P2452" s="29"/>
      <c r="Q2452" s="29"/>
      <c r="R2452" s="32"/>
      <c r="S2452" s="29"/>
    </row>
    <row r="2453" spans="1:19" ht="19.5" hidden="1" customHeight="1" outlineLevel="1">
      <c r="A2453" s="23">
        <v>71</v>
      </c>
      <c r="B2453" s="24">
        <f>IF(24&lt;=DAY(DATE(YEAR(설정_코스수당!$K$2),MONTH(설정_코스수당!$K$2)+1,0)),DATE(YEAR(설정_코스수당!$K$2),MONTH(설정_코스수당!$K$2),24),"")</f>
        <v>46197</v>
      </c>
      <c r="C2453" s="25"/>
      <c r="D2453" s="23"/>
      <c r="E2453" s="23"/>
      <c r="F2453" s="26"/>
      <c r="G2453" s="23"/>
      <c r="H2453" s="23"/>
      <c r="I2453" s="23"/>
      <c r="J2453" s="27">
        <f>IF($O2453="방문완료",MAX(0,IFERROR(VLOOKUP($E2453,설정_코스수당!$A$6:$H$10,4,FALSE),0)-IF(OR($P2453="",$P2453="없음"),0,100000)),0)</f>
        <v>0</v>
      </c>
      <c r="K2453" s="27">
        <f t="array" ref="K2453">IF($O2453="방문완료",IFERROR(INDEX(설정_코스수당!$B$15:$F$64,MATCH($G2453,설정_코스수당!$A$15:$A$64,0),MATCH($E2453&amp;"수당",설정_코스수당!$B$14:$F$14,0)),0),0)</f>
        <v>0</v>
      </c>
      <c r="L2453" s="27">
        <f t="array" ref="L2453">IF($O2453="방문완료",IF($H2453="",0,IFERROR(INDEX(설정_코스수당!$B$15:$F$64,MATCH($H2453,설정_코스수당!$A$15:$A$64,0),MATCH($E2453&amp;"수당",설정_코스수당!$B$14:$F$14,0)),0)),0)</f>
        <v>0</v>
      </c>
      <c r="M2453" s="27">
        <f>IF($O2453="방문완료",IFERROR(VLOOKUP($E2453,설정_코스수당!$A$6:$H$10,6,FALSE),0),0)</f>
        <v>0</v>
      </c>
      <c r="N2453" s="28">
        <f t="shared" si="71"/>
        <v>0</v>
      </c>
      <c r="O2453" s="23"/>
      <c r="P2453" s="23"/>
      <c r="Q2453" s="23"/>
      <c r="R2453" s="26"/>
      <c r="S2453" s="23"/>
    </row>
    <row r="2454" spans="1:19" ht="19.5" hidden="1" customHeight="1" outlineLevel="1">
      <c r="A2454" s="29">
        <v>72</v>
      </c>
      <c r="B2454" s="30">
        <f>IF(24&lt;=DAY(DATE(YEAR(설정_코스수당!$K$2),MONTH(설정_코스수당!$K$2)+1,0)),DATE(YEAR(설정_코스수당!$K$2),MONTH(설정_코스수당!$K$2),24),"")</f>
        <v>46197</v>
      </c>
      <c r="C2454" s="31"/>
      <c r="D2454" s="29"/>
      <c r="E2454" s="29"/>
      <c r="F2454" s="32"/>
      <c r="G2454" s="29"/>
      <c r="H2454" s="29"/>
      <c r="I2454" s="29"/>
      <c r="J2454" s="33">
        <f>IF($O2454="방문완료",MAX(0,IFERROR(VLOOKUP($E2454,설정_코스수당!$A$6:$H$10,4,FALSE),0)-IF(OR($P2454="",$P2454="없음"),0,100000)),0)</f>
        <v>0</v>
      </c>
      <c r="K2454" s="33">
        <f t="array" ref="K2454">IF($O2454="방문완료",IFERROR(INDEX(설정_코스수당!$B$15:$F$64,MATCH($G2454,설정_코스수당!$A$15:$A$64,0),MATCH($E2454&amp;"수당",설정_코스수당!$B$14:$F$14,0)),0),0)</f>
        <v>0</v>
      </c>
      <c r="L2454" s="33">
        <f t="array" ref="L2454">IF($O2454="방문완료",IF($H2454="",0,IFERROR(INDEX(설정_코스수당!$B$15:$F$64,MATCH($H2454,설정_코스수당!$A$15:$A$64,0),MATCH($E2454&amp;"수당",설정_코스수당!$B$14:$F$14,0)),0)),0)</f>
        <v>0</v>
      </c>
      <c r="M2454" s="33">
        <f>IF($O2454="방문완료",IFERROR(VLOOKUP($E2454,설정_코스수당!$A$6:$H$10,6,FALSE),0),0)</f>
        <v>0</v>
      </c>
      <c r="N2454" s="34">
        <f t="shared" si="71"/>
        <v>0</v>
      </c>
      <c r="O2454" s="29"/>
      <c r="P2454" s="29"/>
      <c r="Q2454" s="29"/>
      <c r="R2454" s="32"/>
      <c r="S2454" s="29"/>
    </row>
    <row r="2455" spans="1:19" ht="19.5" hidden="1" customHeight="1" outlineLevel="1">
      <c r="A2455" s="23">
        <v>73</v>
      </c>
      <c r="B2455" s="24">
        <f>IF(24&lt;=DAY(DATE(YEAR(설정_코스수당!$K$2),MONTH(설정_코스수당!$K$2)+1,0)),DATE(YEAR(설정_코스수당!$K$2),MONTH(설정_코스수당!$K$2),24),"")</f>
        <v>46197</v>
      </c>
      <c r="C2455" s="25"/>
      <c r="D2455" s="23"/>
      <c r="E2455" s="23"/>
      <c r="F2455" s="26"/>
      <c r="G2455" s="23"/>
      <c r="H2455" s="23"/>
      <c r="I2455" s="23"/>
      <c r="J2455" s="27">
        <f>IF($O2455="방문완료",MAX(0,IFERROR(VLOOKUP($E2455,설정_코스수당!$A$6:$H$10,4,FALSE),0)-IF(OR($P2455="",$P2455="없음"),0,100000)),0)</f>
        <v>0</v>
      </c>
      <c r="K2455" s="27">
        <f t="array" ref="K2455">IF($O2455="방문완료",IFERROR(INDEX(설정_코스수당!$B$15:$F$64,MATCH($G2455,설정_코스수당!$A$15:$A$64,0),MATCH($E2455&amp;"수당",설정_코스수당!$B$14:$F$14,0)),0),0)</f>
        <v>0</v>
      </c>
      <c r="L2455" s="27">
        <f t="array" ref="L2455">IF($O2455="방문완료",IF($H2455="",0,IFERROR(INDEX(설정_코스수당!$B$15:$F$64,MATCH($H2455,설정_코스수당!$A$15:$A$64,0),MATCH($E2455&amp;"수당",설정_코스수당!$B$14:$F$14,0)),0)),0)</f>
        <v>0</v>
      </c>
      <c r="M2455" s="27">
        <f>IF($O2455="방문완료",IFERROR(VLOOKUP($E2455,설정_코스수당!$A$6:$H$10,6,FALSE),0),0)</f>
        <v>0</v>
      </c>
      <c r="N2455" s="28">
        <f t="shared" si="71"/>
        <v>0</v>
      </c>
      <c r="O2455" s="23"/>
      <c r="P2455" s="23"/>
      <c r="Q2455" s="23"/>
      <c r="R2455" s="26"/>
      <c r="S2455" s="23"/>
    </row>
    <row r="2456" spans="1:19" ht="19.5" hidden="1" customHeight="1" outlineLevel="1">
      <c r="A2456" s="29">
        <v>74</v>
      </c>
      <c r="B2456" s="30">
        <f>IF(24&lt;=DAY(DATE(YEAR(설정_코스수당!$K$2),MONTH(설정_코스수당!$K$2)+1,0)),DATE(YEAR(설정_코스수당!$K$2),MONTH(설정_코스수당!$K$2),24),"")</f>
        <v>46197</v>
      </c>
      <c r="C2456" s="31"/>
      <c r="D2456" s="29"/>
      <c r="E2456" s="29"/>
      <c r="F2456" s="32"/>
      <c r="G2456" s="29"/>
      <c r="H2456" s="29"/>
      <c r="I2456" s="29"/>
      <c r="J2456" s="33">
        <f>IF($O2456="방문완료",MAX(0,IFERROR(VLOOKUP($E2456,설정_코스수당!$A$6:$H$10,4,FALSE),0)-IF(OR($P2456="",$P2456="없음"),0,100000)),0)</f>
        <v>0</v>
      </c>
      <c r="K2456" s="33">
        <f t="array" ref="K2456">IF($O2456="방문완료",IFERROR(INDEX(설정_코스수당!$B$15:$F$64,MATCH($G2456,설정_코스수당!$A$15:$A$64,0),MATCH($E2456&amp;"수당",설정_코스수당!$B$14:$F$14,0)),0),0)</f>
        <v>0</v>
      </c>
      <c r="L2456" s="33">
        <f t="array" ref="L2456">IF($O2456="방문완료",IF($H2456="",0,IFERROR(INDEX(설정_코스수당!$B$15:$F$64,MATCH($H2456,설정_코스수당!$A$15:$A$64,0),MATCH($E2456&amp;"수당",설정_코스수당!$B$14:$F$14,0)),0)),0)</f>
        <v>0</v>
      </c>
      <c r="M2456" s="33">
        <f>IF($O2456="방문완료",IFERROR(VLOOKUP($E2456,설정_코스수당!$A$6:$H$10,6,FALSE),0),0)</f>
        <v>0</v>
      </c>
      <c r="N2456" s="34">
        <f t="shared" si="71"/>
        <v>0</v>
      </c>
      <c r="O2456" s="29"/>
      <c r="P2456" s="29"/>
      <c r="Q2456" s="29"/>
      <c r="R2456" s="32"/>
      <c r="S2456" s="29"/>
    </row>
    <row r="2457" spans="1:19" ht="19.5" hidden="1" customHeight="1" outlineLevel="1">
      <c r="A2457" s="23">
        <v>75</v>
      </c>
      <c r="B2457" s="24">
        <f>IF(24&lt;=DAY(DATE(YEAR(설정_코스수당!$K$2),MONTH(설정_코스수당!$K$2)+1,0)),DATE(YEAR(설정_코스수당!$K$2),MONTH(설정_코스수당!$K$2),24),"")</f>
        <v>46197</v>
      </c>
      <c r="C2457" s="25"/>
      <c r="D2457" s="23"/>
      <c r="E2457" s="23"/>
      <c r="F2457" s="26"/>
      <c r="G2457" s="23"/>
      <c r="H2457" s="23"/>
      <c r="I2457" s="23"/>
      <c r="J2457" s="27">
        <f>IF($O2457="방문완료",MAX(0,IFERROR(VLOOKUP($E2457,설정_코스수당!$A$6:$H$10,4,FALSE),0)-IF(OR($P2457="",$P2457="없음"),0,100000)),0)</f>
        <v>0</v>
      </c>
      <c r="K2457" s="27">
        <f t="array" ref="K2457">IF($O2457="방문완료",IFERROR(INDEX(설정_코스수당!$B$15:$F$64,MATCH($G2457,설정_코스수당!$A$15:$A$64,0),MATCH($E2457&amp;"수당",설정_코스수당!$B$14:$F$14,0)),0),0)</f>
        <v>0</v>
      </c>
      <c r="L2457" s="27">
        <f t="array" ref="L2457">IF($O2457="방문완료",IF($H2457="",0,IFERROR(INDEX(설정_코스수당!$B$15:$F$64,MATCH($H2457,설정_코스수당!$A$15:$A$64,0),MATCH($E2457&amp;"수당",설정_코스수당!$B$14:$F$14,0)),0)),0)</f>
        <v>0</v>
      </c>
      <c r="M2457" s="27">
        <f>IF($O2457="방문완료",IFERROR(VLOOKUP($E2457,설정_코스수당!$A$6:$H$10,6,FALSE),0),0)</f>
        <v>0</v>
      </c>
      <c r="N2457" s="28">
        <f t="shared" si="71"/>
        <v>0</v>
      </c>
      <c r="O2457" s="23"/>
      <c r="P2457" s="23"/>
      <c r="Q2457" s="23"/>
      <c r="R2457" s="26"/>
      <c r="S2457" s="23"/>
    </row>
    <row r="2458" spans="1:19" ht="19.5" hidden="1" customHeight="1" outlineLevel="1">
      <c r="A2458" s="29">
        <v>76</v>
      </c>
      <c r="B2458" s="30">
        <f>IF(24&lt;=DAY(DATE(YEAR(설정_코스수당!$K$2),MONTH(설정_코스수당!$K$2)+1,0)),DATE(YEAR(설정_코스수당!$K$2),MONTH(설정_코스수당!$K$2),24),"")</f>
        <v>46197</v>
      </c>
      <c r="C2458" s="31"/>
      <c r="D2458" s="29"/>
      <c r="E2458" s="29"/>
      <c r="F2458" s="32"/>
      <c r="G2458" s="29"/>
      <c r="H2458" s="29"/>
      <c r="I2458" s="29"/>
      <c r="J2458" s="33">
        <f>IF($O2458="방문완료",MAX(0,IFERROR(VLOOKUP($E2458,설정_코스수당!$A$6:$H$10,4,FALSE),0)-IF(OR($P2458="",$P2458="없음"),0,100000)),0)</f>
        <v>0</v>
      </c>
      <c r="K2458" s="33">
        <f t="array" ref="K2458">IF($O2458="방문완료",IFERROR(INDEX(설정_코스수당!$B$15:$F$64,MATCH($G2458,설정_코스수당!$A$15:$A$64,0),MATCH($E2458&amp;"수당",설정_코스수당!$B$14:$F$14,0)),0),0)</f>
        <v>0</v>
      </c>
      <c r="L2458" s="33">
        <f t="array" ref="L2458">IF($O2458="방문완료",IF($H2458="",0,IFERROR(INDEX(설정_코스수당!$B$15:$F$64,MATCH($H2458,설정_코스수당!$A$15:$A$64,0),MATCH($E2458&amp;"수당",설정_코스수당!$B$14:$F$14,0)),0)),0)</f>
        <v>0</v>
      </c>
      <c r="M2458" s="33">
        <f>IF($O2458="방문완료",IFERROR(VLOOKUP($E2458,설정_코스수당!$A$6:$H$10,6,FALSE),0),0)</f>
        <v>0</v>
      </c>
      <c r="N2458" s="34">
        <f t="shared" si="71"/>
        <v>0</v>
      </c>
      <c r="O2458" s="29"/>
      <c r="P2458" s="29"/>
      <c r="Q2458" s="29"/>
      <c r="R2458" s="32"/>
      <c r="S2458" s="29"/>
    </row>
    <row r="2459" spans="1:19" ht="19.5" hidden="1" customHeight="1" outlineLevel="1">
      <c r="A2459" s="23">
        <v>77</v>
      </c>
      <c r="B2459" s="24">
        <f>IF(24&lt;=DAY(DATE(YEAR(설정_코스수당!$K$2),MONTH(설정_코스수당!$K$2)+1,0)),DATE(YEAR(설정_코스수당!$K$2),MONTH(설정_코스수당!$K$2),24),"")</f>
        <v>46197</v>
      </c>
      <c r="C2459" s="25"/>
      <c r="D2459" s="23"/>
      <c r="E2459" s="23"/>
      <c r="F2459" s="26"/>
      <c r="G2459" s="23"/>
      <c r="H2459" s="23"/>
      <c r="I2459" s="23"/>
      <c r="J2459" s="27">
        <f>IF($O2459="방문완료",MAX(0,IFERROR(VLOOKUP($E2459,설정_코스수당!$A$6:$H$10,4,FALSE),0)-IF(OR($P2459="",$P2459="없음"),0,100000)),0)</f>
        <v>0</v>
      </c>
      <c r="K2459" s="27">
        <f t="array" ref="K2459">IF($O2459="방문완료",IFERROR(INDEX(설정_코스수당!$B$15:$F$64,MATCH($G2459,설정_코스수당!$A$15:$A$64,0),MATCH($E2459&amp;"수당",설정_코스수당!$B$14:$F$14,0)),0),0)</f>
        <v>0</v>
      </c>
      <c r="L2459" s="27">
        <f t="array" ref="L2459">IF($O2459="방문완료",IF($H2459="",0,IFERROR(INDEX(설정_코스수당!$B$15:$F$64,MATCH($H2459,설정_코스수당!$A$15:$A$64,0),MATCH($E2459&amp;"수당",설정_코스수당!$B$14:$F$14,0)),0)),0)</f>
        <v>0</v>
      </c>
      <c r="M2459" s="27">
        <f>IF($O2459="방문완료",IFERROR(VLOOKUP($E2459,설정_코스수당!$A$6:$H$10,6,FALSE),0),0)</f>
        <v>0</v>
      </c>
      <c r="N2459" s="28">
        <f t="shared" si="71"/>
        <v>0</v>
      </c>
      <c r="O2459" s="23"/>
      <c r="P2459" s="23"/>
      <c r="Q2459" s="23"/>
      <c r="R2459" s="26"/>
      <c r="S2459" s="23"/>
    </row>
    <row r="2460" spans="1:19" ht="19.5" hidden="1" customHeight="1" outlineLevel="1">
      <c r="A2460" s="29">
        <v>78</v>
      </c>
      <c r="B2460" s="30">
        <f>IF(24&lt;=DAY(DATE(YEAR(설정_코스수당!$K$2),MONTH(설정_코스수당!$K$2)+1,0)),DATE(YEAR(설정_코스수당!$K$2),MONTH(설정_코스수당!$K$2),24),"")</f>
        <v>46197</v>
      </c>
      <c r="C2460" s="31"/>
      <c r="D2460" s="29"/>
      <c r="E2460" s="29"/>
      <c r="F2460" s="32"/>
      <c r="G2460" s="29"/>
      <c r="H2460" s="29"/>
      <c r="I2460" s="29"/>
      <c r="J2460" s="33">
        <f>IF($O2460="방문완료",MAX(0,IFERROR(VLOOKUP($E2460,설정_코스수당!$A$6:$H$10,4,FALSE),0)-IF(OR($P2460="",$P2460="없음"),0,100000)),0)</f>
        <v>0</v>
      </c>
      <c r="K2460" s="33">
        <f t="array" ref="K2460">IF($O2460="방문완료",IFERROR(INDEX(설정_코스수당!$B$15:$F$64,MATCH($G2460,설정_코스수당!$A$15:$A$64,0),MATCH($E2460&amp;"수당",설정_코스수당!$B$14:$F$14,0)),0),0)</f>
        <v>0</v>
      </c>
      <c r="L2460" s="33">
        <f t="array" ref="L2460">IF($O2460="방문완료",IF($H2460="",0,IFERROR(INDEX(설정_코스수당!$B$15:$F$64,MATCH($H2460,설정_코스수당!$A$15:$A$64,0),MATCH($E2460&amp;"수당",설정_코스수당!$B$14:$F$14,0)),0)),0)</f>
        <v>0</v>
      </c>
      <c r="M2460" s="33">
        <f>IF($O2460="방문완료",IFERROR(VLOOKUP($E2460,설정_코스수당!$A$6:$H$10,6,FALSE),0),0)</f>
        <v>0</v>
      </c>
      <c r="N2460" s="34">
        <f t="shared" si="71"/>
        <v>0</v>
      </c>
      <c r="O2460" s="29"/>
      <c r="P2460" s="29"/>
      <c r="Q2460" s="29"/>
      <c r="R2460" s="32"/>
      <c r="S2460" s="29"/>
    </row>
    <row r="2461" spans="1:19" ht="19.5" hidden="1" customHeight="1" outlineLevel="1">
      <c r="A2461" s="23">
        <v>79</v>
      </c>
      <c r="B2461" s="24">
        <f>IF(24&lt;=DAY(DATE(YEAR(설정_코스수당!$K$2),MONTH(설정_코스수당!$K$2)+1,0)),DATE(YEAR(설정_코스수당!$K$2),MONTH(설정_코스수당!$K$2),24),"")</f>
        <v>46197</v>
      </c>
      <c r="C2461" s="25"/>
      <c r="D2461" s="23"/>
      <c r="E2461" s="23"/>
      <c r="F2461" s="26"/>
      <c r="G2461" s="23"/>
      <c r="H2461" s="23"/>
      <c r="I2461" s="23"/>
      <c r="J2461" s="27">
        <f>IF($O2461="방문완료",MAX(0,IFERROR(VLOOKUP($E2461,설정_코스수당!$A$6:$H$10,4,FALSE),0)-IF(OR($P2461="",$P2461="없음"),0,100000)),0)</f>
        <v>0</v>
      </c>
      <c r="K2461" s="27">
        <f t="array" ref="K2461">IF($O2461="방문완료",IFERROR(INDEX(설정_코스수당!$B$15:$F$64,MATCH($G2461,설정_코스수당!$A$15:$A$64,0),MATCH($E2461&amp;"수당",설정_코스수당!$B$14:$F$14,0)),0),0)</f>
        <v>0</v>
      </c>
      <c r="L2461" s="27">
        <f t="array" ref="L2461">IF($O2461="방문완료",IF($H2461="",0,IFERROR(INDEX(설정_코스수당!$B$15:$F$64,MATCH($H2461,설정_코스수당!$A$15:$A$64,0),MATCH($E2461&amp;"수당",설정_코스수당!$B$14:$F$14,0)),0)),0)</f>
        <v>0</v>
      </c>
      <c r="M2461" s="27">
        <f>IF($O2461="방문완료",IFERROR(VLOOKUP($E2461,설정_코스수당!$A$6:$H$10,6,FALSE),0),0)</f>
        <v>0</v>
      </c>
      <c r="N2461" s="28">
        <f t="shared" si="71"/>
        <v>0</v>
      </c>
      <c r="O2461" s="23"/>
      <c r="P2461" s="23"/>
      <c r="Q2461" s="23"/>
      <c r="R2461" s="26"/>
      <c r="S2461" s="23"/>
    </row>
    <row r="2462" spans="1:19" ht="19.5" hidden="1" customHeight="1" outlineLevel="1">
      <c r="A2462" s="29">
        <v>80</v>
      </c>
      <c r="B2462" s="30">
        <f>IF(24&lt;=DAY(DATE(YEAR(설정_코스수당!$K$2),MONTH(설정_코스수당!$K$2)+1,0)),DATE(YEAR(설정_코스수당!$K$2),MONTH(설정_코스수당!$K$2),24),"")</f>
        <v>46197</v>
      </c>
      <c r="C2462" s="31"/>
      <c r="D2462" s="29"/>
      <c r="E2462" s="29"/>
      <c r="F2462" s="32"/>
      <c r="G2462" s="29"/>
      <c r="H2462" s="29"/>
      <c r="I2462" s="29"/>
      <c r="J2462" s="33">
        <f>IF($O2462="방문완료",MAX(0,IFERROR(VLOOKUP($E2462,설정_코스수당!$A$6:$H$10,4,FALSE),0)-IF(OR($P2462="",$P2462="없음"),0,100000)),0)</f>
        <v>0</v>
      </c>
      <c r="K2462" s="33">
        <f t="array" ref="K2462">IF($O2462="방문완료",IFERROR(INDEX(설정_코스수당!$B$15:$F$64,MATCH($G2462,설정_코스수당!$A$15:$A$64,0),MATCH($E2462&amp;"수당",설정_코스수당!$B$14:$F$14,0)),0),0)</f>
        <v>0</v>
      </c>
      <c r="L2462" s="33">
        <f t="array" ref="L2462">IF($O2462="방문완료",IF($H2462="",0,IFERROR(INDEX(설정_코스수당!$B$15:$F$64,MATCH($H2462,설정_코스수당!$A$15:$A$64,0),MATCH($E2462&amp;"수당",설정_코스수당!$B$14:$F$14,0)),0)),0)</f>
        <v>0</v>
      </c>
      <c r="M2462" s="33">
        <f>IF($O2462="방문완료",IFERROR(VLOOKUP($E2462,설정_코스수당!$A$6:$H$10,6,FALSE),0),0)</f>
        <v>0</v>
      </c>
      <c r="N2462" s="34">
        <f t="shared" si="71"/>
        <v>0</v>
      </c>
      <c r="O2462" s="29"/>
      <c r="P2462" s="29"/>
      <c r="Q2462" s="29"/>
      <c r="R2462" s="32"/>
      <c r="S2462" s="29"/>
    </row>
    <row r="2463" spans="1:19" ht="19.5" hidden="1" customHeight="1" outlineLevel="1">
      <c r="A2463" s="23">
        <v>81</v>
      </c>
      <c r="B2463" s="24">
        <f>IF(24&lt;=DAY(DATE(YEAR(설정_코스수당!$K$2),MONTH(설정_코스수당!$K$2)+1,0)),DATE(YEAR(설정_코스수당!$K$2),MONTH(설정_코스수당!$K$2),24),"")</f>
        <v>46197</v>
      </c>
      <c r="C2463" s="25"/>
      <c r="D2463" s="23"/>
      <c r="E2463" s="23"/>
      <c r="F2463" s="26"/>
      <c r="G2463" s="23"/>
      <c r="H2463" s="23"/>
      <c r="I2463" s="23"/>
      <c r="J2463" s="27">
        <f>IF($O2463="방문완료",MAX(0,IFERROR(VLOOKUP($E2463,설정_코스수당!$A$6:$H$10,4,FALSE),0)-IF(OR($P2463="",$P2463="없음"),0,100000)),0)</f>
        <v>0</v>
      </c>
      <c r="K2463" s="27">
        <f t="array" ref="K2463">IF($O2463="방문완료",IFERROR(INDEX(설정_코스수당!$B$15:$F$64,MATCH($G2463,설정_코스수당!$A$15:$A$64,0),MATCH($E2463&amp;"수당",설정_코스수당!$B$14:$F$14,0)),0),0)</f>
        <v>0</v>
      </c>
      <c r="L2463" s="27">
        <f t="array" ref="L2463">IF($O2463="방문완료",IF($H2463="",0,IFERROR(INDEX(설정_코스수당!$B$15:$F$64,MATCH($H2463,설정_코스수당!$A$15:$A$64,0),MATCH($E2463&amp;"수당",설정_코스수당!$B$14:$F$14,0)),0)),0)</f>
        <v>0</v>
      </c>
      <c r="M2463" s="27">
        <f>IF($O2463="방문완료",IFERROR(VLOOKUP($E2463,설정_코스수당!$A$6:$H$10,6,FALSE),0),0)</f>
        <v>0</v>
      </c>
      <c r="N2463" s="28">
        <f t="shared" si="71"/>
        <v>0</v>
      </c>
      <c r="O2463" s="23"/>
      <c r="P2463" s="23"/>
      <c r="Q2463" s="23"/>
      <c r="R2463" s="26"/>
      <c r="S2463" s="23"/>
    </row>
    <row r="2464" spans="1:19" ht="19.5" hidden="1" customHeight="1" outlineLevel="1">
      <c r="A2464" s="29">
        <v>82</v>
      </c>
      <c r="B2464" s="30">
        <f>IF(24&lt;=DAY(DATE(YEAR(설정_코스수당!$K$2),MONTH(설정_코스수당!$K$2)+1,0)),DATE(YEAR(설정_코스수당!$K$2),MONTH(설정_코스수당!$K$2),24),"")</f>
        <v>46197</v>
      </c>
      <c r="C2464" s="31"/>
      <c r="D2464" s="29"/>
      <c r="E2464" s="29"/>
      <c r="F2464" s="32"/>
      <c r="G2464" s="29"/>
      <c r="H2464" s="29"/>
      <c r="I2464" s="29"/>
      <c r="J2464" s="33">
        <f>IF($O2464="방문완료",MAX(0,IFERROR(VLOOKUP($E2464,설정_코스수당!$A$6:$H$10,4,FALSE),0)-IF(OR($P2464="",$P2464="없음"),0,100000)),0)</f>
        <v>0</v>
      </c>
      <c r="K2464" s="33">
        <f t="array" ref="K2464">IF($O2464="방문완료",IFERROR(INDEX(설정_코스수당!$B$15:$F$64,MATCH($G2464,설정_코스수당!$A$15:$A$64,0),MATCH($E2464&amp;"수당",설정_코스수당!$B$14:$F$14,0)),0),0)</f>
        <v>0</v>
      </c>
      <c r="L2464" s="33">
        <f t="array" ref="L2464">IF($O2464="방문완료",IF($H2464="",0,IFERROR(INDEX(설정_코스수당!$B$15:$F$64,MATCH($H2464,설정_코스수당!$A$15:$A$64,0),MATCH($E2464&amp;"수당",설정_코스수당!$B$14:$F$14,0)),0)),0)</f>
        <v>0</v>
      </c>
      <c r="M2464" s="33">
        <f>IF($O2464="방문완료",IFERROR(VLOOKUP($E2464,설정_코스수당!$A$6:$H$10,6,FALSE),0),0)</f>
        <v>0</v>
      </c>
      <c r="N2464" s="34">
        <f t="shared" si="71"/>
        <v>0</v>
      </c>
      <c r="O2464" s="29"/>
      <c r="P2464" s="29"/>
      <c r="Q2464" s="29"/>
      <c r="R2464" s="32"/>
      <c r="S2464" s="29"/>
    </row>
    <row r="2465" spans="1:19" ht="19.5" hidden="1" customHeight="1" outlineLevel="1">
      <c r="A2465" s="23">
        <v>83</v>
      </c>
      <c r="B2465" s="24">
        <f>IF(24&lt;=DAY(DATE(YEAR(설정_코스수당!$K$2),MONTH(설정_코스수당!$K$2)+1,0)),DATE(YEAR(설정_코스수당!$K$2),MONTH(설정_코스수당!$K$2),24),"")</f>
        <v>46197</v>
      </c>
      <c r="C2465" s="25"/>
      <c r="D2465" s="23"/>
      <c r="E2465" s="23"/>
      <c r="F2465" s="26"/>
      <c r="G2465" s="23"/>
      <c r="H2465" s="23"/>
      <c r="I2465" s="23"/>
      <c r="J2465" s="27">
        <f>IF($O2465="방문완료",MAX(0,IFERROR(VLOOKUP($E2465,설정_코스수당!$A$6:$H$10,4,FALSE),0)-IF(OR($P2465="",$P2465="없음"),0,100000)),0)</f>
        <v>0</v>
      </c>
      <c r="K2465" s="27">
        <f t="array" ref="K2465">IF($O2465="방문완료",IFERROR(INDEX(설정_코스수당!$B$15:$F$64,MATCH($G2465,설정_코스수당!$A$15:$A$64,0),MATCH($E2465&amp;"수당",설정_코스수당!$B$14:$F$14,0)),0),0)</f>
        <v>0</v>
      </c>
      <c r="L2465" s="27">
        <f t="array" ref="L2465">IF($O2465="방문완료",IF($H2465="",0,IFERROR(INDEX(설정_코스수당!$B$15:$F$64,MATCH($H2465,설정_코스수당!$A$15:$A$64,0),MATCH($E2465&amp;"수당",설정_코스수당!$B$14:$F$14,0)),0)),0)</f>
        <v>0</v>
      </c>
      <c r="M2465" s="27">
        <f>IF($O2465="방문완료",IFERROR(VLOOKUP($E2465,설정_코스수당!$A$6:$H$10,6,FALSE),0),0)</f>
        <v>0</v>
      </c>
      <c r="N2465" s="28">
        <f t="shared" si="71"/>
        <v>0</v>
      </c>
      <c r="O2465" s="23"/>
      <c r="P2465" s="23"/>
      <c r="Q2465" s="23"/>
      <c r="R2465" s="26"/>
      <c r="S2465" s="23"/>
    </row>
    <row r="2466" spans="1:19" ht="19.5" hidden="1" customHeight="1" outlineLevel="1">
      <c r="A2466" s="29">
        <v>84</v>
      </c>
      <c r="B2466" s="30">
        <f>IF(24&lt;=DAY(DATE(YEAR(설정_코스수당!$K$2),MONTH(설정_코스수당!$K$2)+1,0)),DATE(YEAR(설정_코스수당!$K$2),MONTH(설정_코스수당!$K$2),24),"")</f>
        <v>46197</v>
      </c>
      <c r="C2466" s="31"/>
      <c r="D2466" s="29"/>
      <c r="E2466" s="29"/>
      <c r="F2466" s="32"/>
      <c r="G2466" s="29"/>
      <c r="H2466" s="29"/>
      <c r="I2466" s="29"/>
      <c r="J2466" s="33">
        <f>IF($O2466="방문완료",MAX(0,IFERROR(VLOOKUP($E2466,설정_코스수당!$A$6:$H$10,4,FALSE),0)-IF(OR($P2466="",$P2466="없음"),0,100000)),0)</f>
        <v>0</v>
      </c>
      <c r="K2466" s="33">
        <f t="array" ref="K2466">IF($O2466="방문완료",IFERROR(INDEX(설정_코스수당!$B$15:$F$64,MATCH($G2466,설정_코스수당!$A$15:$A$64,0),MATCH($E2466&amp;"수당",설정_코스수당!$B$14:$F$14,0)),0),0)</f>
        <v>0</v>
      </c>
      <c r="L2466" s="33">
        <f t="array" ref="L2466">IF($O2466="방문완료",IF($H2466="",0,IFERROR(INDEX(설정_코스수당!$B$15:$F$64,MATCH($H2466,설정_코스수당!$A$15:$A$64,0),MATCH($E2466&amp;"수당",설정_코스수당!$B$14:$F$14,0)),0)),0)</f>
        <v>0</v>
      </c>
      <c r="M2466" s="33">
        <f>IF($O2466="방문완료",IFERROR(VLOOKUP($E2466,설정_코스수당!$A$6:$H$10,6,FALSE),0),0)</f>
        <v>0</v>
      </c>
      <c r="N2466" s="34">
        <f t="shared" si="71"/>
        <v>0</v>
      </c>
      <c r="O2466" s="29"/>
      <c r="P2466" s="29"/>
      <c r="Q2466" s="29"/>
      <c r="R2466" s="32"/>
      <c r="S2466" s="29"/>
    </row>
    <row r="2467" spans="1:19" ht="19.5" hidden="1" customHeight="1" outlineLevel="1">
      <c r="A2467" s="23">
        <v>85</v>
      </c>
      <c r="B2467" s="24">
        <f>IF(24&lt;=DAY(DATE(YEAR(설정_코스수당!$K$2),MONTH(설정_코스수당!$K$2)+1,0)),DATE(YEAR(설정_코스수당!$K$2),MONTH(설정_코스수당!$K$2),24),"")</f>
        <v>46197</v>
      </c>
      <c r="C2467" s="25"/>
      <c r="D2467" s="23"/>
      <c r="E2467" s="23"/>
      <c r="F2467" s="26"/>
      <c r="G2467" s="23"/>
      <c r="H2467" s="23"/>
      <c r="I2467" s="23"/>
      <c r="J2467" s="27">
        <f>IF($O2467="방문완료",MAX(0,IFERROR(VLOOKUP($E2467,설정_코스수당!$A$6:$H$10,4,FALSE),0)-IF(OR($P2467="",$P2467="없음"),0,100000)),0)</f>
        <v>0</v>
      </c>
      <c r="K2467" s="27">
        <f t="array" ref="K2467">IF($O2467="방문완료",IFERROR(INDEX(설정_코스수당!$B$15:$F$64,MATCH($G2467,설정_코스수당!$A$15:$A$64,0),MATCH($E2467&amp;"수당",설정_코스수당!$B$14:$F$14,0)),0),0)</f>
        <v>0</v>
      </c>
      <c r="L2467" s="27">
        <f t="array" ref="L2467">IF($O2467="방문완료",IF($H2467="",0,IFERROR(INDEX(설정_코스수당!$B$15:$F$64,MATCH($H2467,설정_코스수당!$A$15:$A$64,0),MATCH($E2467&amp;"수당",설정_코스수당!$B$14:$F$14,0)),0)),0)</f>
        <v>0</v>
      </c>
      <c r="M2467" s="27">
        <f>IF($O2467="방문완료",IFERROR(VLOOKUP($E2467,설정_코스수당!$A$6:$H$10,6,FALSE),0),0)</f>
        <v>0</v>
      </c>
      <c r="N2467" s="28">
        <f t="shared" si="71"/>
        <v>0</v>
      </c>
      <c r="O2467" s="23"/>
      <c r="P2467" s="23"/>
      <c r="Q2467" s="23"/>
      <c r="R2467" s="26"/>
      <c r="S2467" s="23"/>
    </row>
    <row r="2468" spans="1:19" ht="19.5" hidden="1" customHeight="1" outlineLevel="1">
      <c r="A2468" s="29">
        <v>86</v>
      </c>
      <c r="B2468" s="30">
        <f>IF(24&lt;=DAY(DATE(YEAR(설정_코스수당!$K$2),MONTH(설정_코스수당!$K$2)+1,0)),DATE(YEAR(설정_코스수당!$K$2),MONTH(설정_코스수당!$K$2),24),"")</f>
        <v>46197</v>
      </c>
      <c r="C2468" s="31"/>
      <c r="D2468" s="29"/>
      <c r="E2468" s="29"/>
      <c r="F2468" s="32"/>
      <c r="G2468" s="29"/>
      <c r="H2468" s="29"/>
      <c r="I2468" s="29"/>
      <c r="J2468" s="33">
        <f>IF($O2468="방문완료",MAX(0,IFERROR(VLOOKUP($E2468,설정_코스수당!$A$6:$H$10,4,FALSE),0)-IF(OR($P2468="",$P2468="없음"),0,100000)),0)</f>
        <v>0</v>
      </c>
      <c r="K2468" s="33">
        <f t="array" ref="K2468">IF($O2468="방문완료",IFERROR(INDEX(설정_코스수당!$B$15:$F$64,MATCH($G2468,설정_코스수당!$A$15:$A$64,0),MATCH($E2468&amp;"수당",설정_코스수당!$B$14:$F$14,0)),0),0)</f>
        <v>0</v>
      </c>
      <c r="L2468" s="33">
        <f t="array" ref="L2468">IF($O2468="방문완료",IF($H2468="",0,IFERROR(INDEX(설정_코스수당!$B$15:$F$64,MATCH($H2468,설정_코스수당!$A$15:$A$64,0),MATCH($E2468&amp;"수당",설정_코스수당!$B$14:$F$14,0)),0)),0)</f>
        <v>0</v>
      </c>
      <c r="M2468" s="33">
        <f>IF($O2468="방문완료",IFERROR(VLOOKUP($E2468,설정_코스수당!$A$6:$H$10,6,FALSE),0),0)</f>
        <v>0</v>
      </c>
      <c r="N2468" s="34">
        <f t="shared" si="71"/>
        <v>0</v>
      </c>
      <c r="O2468" s="29"/>
      <c r="P2468" s="29"/>
      <c r="Q2468" s="29"/>
      <c r="R2468" s="32"/>
      <c r="S2468" s="29"/>
    </row>
    <row r="2469" spans="1:19" ht="19.5" hidden="1" customHeight="1" outlineLevel="1">
      <c r="A2469" s="23">
        <v>87</v>
      </c>
      <c r="B2469" s="24">
        <f>IF(24&lt;=DAY(DATE(YEAR(설정_코스수당!$K$2),MONTH(설정_코스수당!$K$2)+1,0)),DATE(YEAR(설정_코스수당!$K$2),MONTH(설정_코스수당!$K$2),24),"")</f>
        <v>46197</v>
      </c>
      <c r="C2469" s="25"/>
      <c r="D2469" s="23"/>
      <c r="E2469" s="23"/>
      <c r="F2469" s="26"/>
      <c r="G2469" s="23"/>
      <c r="H2469" s="23"/>
      <c r="I2469" s="23"/>
      <c r="J2469" s="27">
        <f>IF($O2469="방문완료",MAX(0,IFERROR(VLOOKUP($E2469,설정_코스수당!$A$6:$H$10,4,FALSE),0)-IF(OR($P2469="",$P2469="없음"),0,100000)),0)</f>
        <v>0</v>
      </c>
      <c r="K2469" s="27">
        <f t="array" ref="K2469">IF($O2469="방문완료",IFERROR(INDEX(설정_코스수당!$B$15:$F$64,MATCH($G2469,설정_코스수당!$A$15:$A$64,0),MATCH($E2469&amp;"수당",설정_코스수당!$B$14:$F$14,0)),0),0)</f>
        <v>0</v>
      </c>
      <c r="L2469" s="27">
        <f t="array" ref="L2469">IF($O2469="방문완료",IF($H2469="",0,IFERROR(INDEX(설정_코스수당!$B$15:$F$64,MATCH($H2469,설정_코스수당!$A$15:$A$64,0),MATCH($E2469&amp;"수당",설정_코스수당!$B$14:$F$14,0)),0)),0)</f>
        <v>0</v>
      </c>
      <c r="M2469" s="27">
        <f>IF($O2469="방문완료",IFERROR(VLOOKUP($E2469,설정_코스수당!$A$6:$H$10,6,FALSE),0),0)</f>
        <v>0</v>
      </c>
      <c r="N2469" s="28">
        <f t="shared" si="71"/>
        <v>0</v>
      </c>
      <c r="O2469" s="23"/>
      <c r="P2469" s="23"/>
      <c r="Q2469" s="23"/>
      <c r="R2469" s="26"/>
      <c r="S2469" s="23"/>
    </row>
    <row r="2470" spans="1:19" ht="19.5" hidden="1" customHeight="1" outlineLevel="1">
      <c r="A2470" s="29">
        <v>88</v>
      </c>
      <c r="B2470" s="30">
        <f>IF(24&lt;=DAY(DATE(YEAR(설정_코스수당!$K$2),MONTH(설정_코스수당!$K$2)+1,0)),DATE(YEAR(설정_코스수당!$K$2),MONTH(설정_코스수당!$K$2),24),"")</f>
        <v>46197</v>
      </c>
      <c r="C2470" s="31"/>
      <c r="D2470" s="29"/>
      <c r="E2470" s="29"/>
      <c r="F2470" s="32"/>
      <c r="G2470" s="29"/>
      <c r="H2470" s="29"/>
      <c r="I2470" s="29"/>
      <c r="J2470" s="33">
        <f>IF($O2470="방문완료",MAX(0,IFERROR(VLOOKUP($E2470,설정_코스수당!$A$6:$H$10,4,FALSE),0)-IF(OR($P2470="",$P2470="없음"),0,100000)),0)</f>
        <v>0</v>
      </c>
      <c r="K2470" s="33">
        <f t="array" ref="K2470">IF($O2470="방문완료",IFERROR(INDEX(설정_코스수당!$B$15:$F$64,MATCH($G2470,설정_코스수당!$A$15:$A$64,0),MATCH($E2470&amp;"수당",설정_코스수당!$B$14:$F$14,0)),0),0)</f>
        <v>0</v>
      </c>
      <c r="L2470" s="33">
        <f t="array" ref="L2470">IF($O2470="방문완료",IF($H2470="",0,IFERROR(INDEX(설정_코스수당!$B$15:$F$64,MATCH($H2470,설정_코스수당!$A$15:$A$64,0),MATCH($E2470&amp;"수당",설정_코스수당!$B$14:$F$14,0)),0)),0)</f>
        <v>0</v>
      </c>
      <c r="M2470" s="33">
        <f>IF($O2470="방문완료",IFERROR(VLOOKUP($E2470,설정_코스수당!$A$6:$H$10,6,FALSE),0),0)</f>
        <v>0</v>
      </c>
      <c r="N2470" s="34">
        <f t="shared" si="71"/>
        <v>0</v>
      </c>
      <c r="O2470" s="29"/>
      <c r="P2470" s="29"/>
      <c r="Q2470" s="29"/>
      <c r="R2470" s="32"/>
      <c r="S2470" s="29"/>
    </row>
    <row r="2471" spans="1:19" ht="19.5" hidden="1" customHeight="1" outlineLevel="1">
      <c r="A2471" s="23">
        <v>89</v>
      </c>
      <c r="B2471" s="24">
        <f>IF(24&lt;=DAY(DATE(YEAR(설정_코스수당!$K$2),MONTH(설정_코스수당!$K$2)+1,0)),DATE(YEAR(설정_코스수당!$K$2),MONTH(설정_코스수당!$K$2),24),"")</f>
        <v>46197</v>
      </c>
      <c r="C2471" s="25"/>
      <c r="D2471" s="23"/>
      <c r="E2471" s="23"/>
      <c r="F2471" s="26"/>
      <c r="G2471" s="23"/>
      <c r="H2471" s="23"/>
      <c r="I2471" s="23"/>
      <c r="J2471" s="27">
        <f>IF($O2471="방문완료",MAX(0,IFERROR(VLOOKUP($E2471,설정_코스수당!$A$6:$H$10,4,FALSE),0)-IF(OR($P2471="",$P2471="없음"),0,100000)),0)</f>
        <v>0</v>
      </c>
      <c r="K2471" s="27">
        <f t="array" ref="K2471">IF($O2471="방문완료",IFERROR(INDEX(설정_코스수당!$B$15:$F$64,MATCH($G2471,설정_코스수당!$A$15:$A$64,0),MATCH($E2471&amp;"수당",설정_코스수당!$B$14:$F$14,0)),0),0)</f>
        <v>0</v>
      </c>
      <c r="L2471" s="27">
        <f t="array" ref="L2471">IF($O2471="방문완료",IF($H2471="",0,IFERROR(INDEX(설정_코스수당!$B$15:$F$64,MATCH($H2471,설정_코스수당!$A$15:$A$64,0),MATCH($E2471&amp;"수당",설정_코스수당!$B$14:$F$14,0)),0)),0)</f>
        <v>0</v>
      </c>
      <c r="M2471" s="27">
        <f>IF($O2471="방문완료",IFERROR(VLOOKUP($E2471,설정_코스수당!$A$6:$H$10,6,FALSE),0),0)</f>
        <v>0</v>
      </c>
      <c r="N2471" s="28">
        <f t="shared" si="71"/>
        <v>0</v>
      </c>
      <c r="O2471" s="23"/>
      <c r="P2471" s="23"/>
      <c r="Q2471" s="23"/>
      <c r="R2471" s="26"/>
      <c r="S2471" s="23"/>
    </row>
    <row r="2472" spans="1:19" ht="19.5" hidden="1" customHeight="1" outlineLevel="1">
      <c r="A2472" s="29">
        <v>90</v>
      </c>
      <c r="B2472" s="30">
        <f>IF(24&lt;=DAY(DATE(YEAR(설정_코스수당!$K$2),MONTH(설정_코스수당!$K$2)+1,0)),DATE(YEAR(설정_코스수당!$K$2),MONTH(설정_코스수당!$K$2),24),"")</f>
        <v>46197</v>
      </c>
      <c r="C2472" s="31"/>
      <c r="D2472" s="29"/>
      <c r="E2472" s="29"/>
      <c r="F2472" s="32"/>
      <c r="G2472" s="29"/>
      <c r="H2472" s="29"/>
      <c r="I2472" s="29"/>
      <c r="J2472" s="33">
        <f>IF($O2472="방문완료",MAX(0,IFERROR(VLOOKUP($E2472,설정_코스수당!$A$6:$H$10,4,FALSE),0)-IF(OR($P2472="",$P2472="없음"),0,100000)),0)</f>
        <v>0</v>
      </c>
      <c r="K2472" s="33">
        <f t="array" ref="K2472">IF($O2472="방문완료",IFERROR(INDEX(설정_코스수당!$B$15:$F$64,MATCH($G2472,설정_코스수당!$A$15:$A$64,0),MATCH($E2472&amp;"수당",설정_코스수당!$B$14:$F$14,0)),0),0)</f>
        <v>0</v>
      </c>
      <c r="L2472" s="33">
        <f t="array" ref="L2472">IF($O2472="방문완료",IF($H2472="",0,IFERROR(INDEX(설정_코스수당!$B$15:$F$64,MATCH($H2472,설정_코스수당!$A$15:$A$64,0),MATCH($E2472&amp;"수당",설정_코스수당!$B$14:$F$14,0)),0)),0)</f>
        <v>0</v>
      </c>
      <c r="M2472" s="33">
        <f>IF($O2472="방문완료",IFERROR(VLOOKUP($E2472,설정_코스수당!$A$6:$H$10,6,FALSE),0),0)</f>
        <v>0</v>
      </c>
      <c r="N2472" s="34">
        <f t="shared" si="71"/>
        <v>0</v>
      </c>
      <c r="O2472" s="29"/>
      <c r="P2472" s="29"/>
      <c r="Q2472" s="29"/>
      <c r="R2472" s="32"/>
      <c r="S2472" s="29"/>
    </row>
    <row r="2473" spans="1:19" ht="19.5" hidden="1" customHeight="1" outlineLevel="1">
      <c r="A2473" s="23">
        <v>91</v>
      </c>
      <c r="B2473" s="24">
        <f>IF(24&lt;=DAY(DATE(YEAR(설정_코스수당!$K$2),MONTH(설정_코스수당!$K$2)+1,0)),DATE(YEAR(설정_코스수당!$K$2),MONTH(설정_코스수당!$K$2),24),"")</f>
        <v>46197</v>
      </c>
      <c r="C2473" s="25"/>
      <c r="D2473" s="23"/>
      <c r="E2473" s="23"/>
      <c r="F2473" s="26"/>
      <c r="G2473" s="23"/>
      <c r="H2473" s="23"/>
      <c r="I2473" s="23"/>
      <c r="J2473" s="27">
        <f>IF($O2473="방문완료",MAX(0,IFERROR(VLOOKUP($E2473,설정_코스수당!$A$6:$H$10,4,FALSE),0)-IF(OR($P2473="",$P2473="없음"),0,100000)),0)</f>
        <v>0</v>
      </c>
      <c r="K2473" s="27">
        <f t="array" ref="K2473">IF($O2473="방문완료",IFERROR(INDEX(설정_코스수당!$B$15:$F$64,MATCH($G2473,설정_코스수당!$A$15:$A$64,0),MATCH($E2473&amp;"수당",설정_코스수당!$B$14:$F$14,0)),0),0)</f>
        <v>0</v>
      </c>
      <c r="L2473" s="27">
        <f t="array" ref="L2473">IF($O2473="방문완료",IF($H2473="",0,IFERROR(INDEX(설정_코스수당!$B$15:$F$64,MATCH($H2473,설정_코스수당!$A$15:$A$64,0),MATCH($E2473&amp;"수당",설정_코스수당!$B$14:$F$14,0)),0)),0)</f>
        <v>0</v>
      </c>
      <c r="M2473" s="27">
        <f>IF($O2473="방문완료",IFERROR(VLOOKUP($E2473,설정_코스수당!$A$6:$H$10,6,FALSE),0),0)</f>
        <v>0</v>
      </c>
      <c r="N2473" s="28">
        <f t="shared" si="71"/>
        <v>0</v>
      </c>
      <c r="O2473" s="23"/>
      <c r="P2473" s="23"/>
      <c r="Q2473" s="23"/>
      <c r="R2473" s="26"/>
      <c r="S2473" s="23"/>
    </row>
    <row r="2474" spans="1:19" ht="19.5" hidden="1" customHeight="1" outlineLevel="1">
      <c r="A2474" s="29">
        <v>92</v>
      </c>
      <c r="B2474" s="30">
        <f>IF(24&lt;=DAY(DATE(YEAR(설정_코스수당!$K$2),MONTH(설정_코스수당!$K$2)+1,0)),DATE(YEAR(설정_코스수당!$K$2),MONTH(설정_코스수당!$K$2),24),"")</f>
        <v>46197</v>
      </c>
      <c r="C2474" s="31"/>
      <c r="D2474" s="29"/>
      <c r="E2474" s="29"/>
      <c r="F2474" s="32"/>
      <c r="G2474" s="29"/>
      <c r="H2474" s="29"/>
      <c r="I2474" s="29"/>
      <c r="J2474" s="33">
        <f>IF($O2474="방문완료",MAX(0,IFERROR(VLOOKUP($E2474,설정_코스수당!$A$6:$H$10,4,FALSE),0)-IF(OR($P2474="",$P2474="없음"),0,100000)),0)</f>
        <v>0</v>
      </c>
      <c r="K2474" s="33">
        <f t="array" ref="K2474">IF($O2474="방문완료",IFERROR(INDEX(설정_코스수당!$B$15:$F$64,MATCH($G2474,설정_코스수당!$A$15:$A$64,0),MATCH($E2474&amp;"수당",설정_코스수당!$B$14:$F$14,0)),0),0)</f>
        <v>0</v>
      </c>
      <c r="L2474" s="33">
        <f t="array" ref="L2474">IF($O2474="방문완료",IF($H2474="",0,IFERROR(INDEX(설정_코스수당!$B$15:$F$64,MATCH($H2474,설정_코스수당!$A$15:$A$64,0),MATCH($E2474&amp;"수당",설정_코스수당!$B$14:$F$14,0)),0)),0)</f>
        <v>0</v>
      </c>
      <c r="M2474" s="33">
        <f>IF($O2474="방문완료",IFERROR(VLOOKUP($E2474,설정_코스수당!$A$6:$H$10,6,FALSE),0),0)</f>
        <v>0</v>
      </c>
      <c r="N2474" s="34">
        <f t="shared" si="71"/>
        <v>0</v>
      </c>
      <c r="O2474" s="29"/>
      <c r="P2474" s="29"/>
      <c r="Q2474" s="29"/>
      <c r="R2474" s="32"/>
      <c r="S2474" s="29"/>
    </row>
    <row r="2475" spans="1:19" ht="19.5" hidden="1" customHeight="1" outlineLevel="1">
      <c r="A2475" s="23">
        <v>93</v>
      </c>
      <c r="B2475" s="24">
        <f>IF(24&lt;=DAY(DATE(YEAR(설정_코스수당!$K$2),MONTH(설정_코스수당!$K$2)+1,0)),DATE(YEAR(설정_코스수당!$K$2),MONTH(설정_코스수당!$K$2),24),"")</f>
        <v>46197</v>
      </c>
      <c r="C2475" s="25"/>
      <c r="D2475" s="23"/>
      <c r="E2475" s="23"/>
      <c r="F2475" s="26"/>
      <c r="G2475" s="23"/>
      <c r="H2475" s="23"/>
      <c r="I2475" s="23"/>
      <c r="J2475" s="27">
        <f>IF($O2475="방문완료",MAX(0,IFERROR(VLOOKUP($E2475,설정_코스수당!$A$6:$H$10,4,FALSE),0)-IF(OR($P2475="",$P2475="없음"),0,100000)),0)</f>
        <v>0</v>
      </c>
      <c r="K2475" s="27">
        <f t="array" ref="K2475">IF($O2475="방문완료",IFERROR(INDEX(설정_코스수당!$B$15:$F$64,MATCH($G2475,설정_코스수당!$A$15:$A$64,0),MATCH($E2475&amp;"수당",설정_코스수당!$B$14:$F$14,0)),0),0)</f>
        <v>0</v>
      </c>
      <c r="L2475" s="27">
        <f t="array" ref="L2475">IF($O2475="방문완료",IF($H2475="",0,IFERROR(INDEX(설정_코스수당!$B$15:$F$64,MATCH($H2475,설정_코스수당!$A$15:$A$64,0),MATCH($E2475&amp;"수당",설정_코스수당!$B$14:$F$14,0)),0)),0)</f>
        <v>0</v>
      </c>
      <c r="M2475" s="27">
        <f>IF($O2475="방문완료",IFERROR(VLOOKUP($E2475,설정_코스수당!$A$6:$H$10,6,FALSE),0),0)</f>
        <v>0</v>
      </c>
      <c r="N2475" s="28">
        <f t="shared" si="71"/>
        <v>0</v>
      </c>
      <c r="O2475" s="23"/>
      <c r="P2475" s="23"/>
      <c r="Q2475" s="23"/>
      <c r="R2475" s="26"/>
      <c r="S2475" s="23"/>
    </row>
    <row r="2476" spans="1:19" ht="19.5" hidden="1" customHeight="1" outlineLevel="1">
      <c r="A2476" s="29">
        <v>94</v>
      </c>
      <c r="B2476" s="30">
        <f>IF(24&lt;=DAY(DATE(YEAR(설정_코스수당!$K$2),MONTH(설정_코스수당!$K$2)+1,0)),DATE(YEAR(설정_코스수당!$K$2),MONTH(설정_코스수당!$K$2),24),"")</f>
        <v>46197</v>
      </c>
      <c r="C2476" s="31"/>
      <c r="D2476" s="29"/>
      <c r="E2476" s="29"/>
      <c r="F2476" s="32"/>
      <c r="G2476" s="29"/>
      <c r="H2476" s="29"/>
      <c r="I2476" s="29"/>
      <c r="J2476" s="33">
        <f>IF($O2476="방문완료",MAX(0,IFERROR(VLOOKUP($E2476,설정_코스수당!$A$6:$H$10,4,FALSE),0)-IF(OR($P2476="",$P2476="없음"),0,100000)),0)</f>
        <v>0</v>
      </c>
      <c r="K2476" s="33">
        <f t="array" ref="K2476">IF($O2476="방문완료",IFERROR(INDEX(설정_코스수당!$B$15:$F$64,MATCH($G2476,설정_코스수당!$A$15:$A$64,0),MATCH($E2476&amp;"수당",설정_코스수당!$B$14:$F$14,0)),0),0)</f>
        <v>0</v>
      </c>
      <c r="L2476" s="33">
        <f t="array" ref="L2476">IF($O2476="방문완료",IF($H2476="",0,IFERROR(INDEX(설정_코스수당!$B$15:$F$64,MATCH($H2476,설정_코스수당!$A$15:$A$64,0),MATCH($E2476&amp;"수당",설정_코스수당!$B$14:$F$14,0)),0)),0)</f>
        <v>0</v>
      </c>
      <c r="M2476" s="33">
        <f>IF($O2476="방문완료",IFERROR(VLOOKUP($E2476,설정_코스수당!$A$6:$H$10,6,FALSE),0),0)</f>
        <v>0</v>
      </c>
      <c r="N2476" s="34">
        <f t="shared" si="71"/>
        <v>0</v>
      </c>
      <c r="O2476" s="29"/>
      <c r="P2476" s="29"/>
      <c r="Q2476" s="29"/>
      <c r="R2476" s="32"/>
      <c r="S2476" s="29"/>
    </row>
    <row r="2477" spans="1:19" ht="19.5" hidden="1" customHeight="1" outlineLevel="1">
      <c r="A2477" s="23">
        <v>95</v>
      </c>
      <c r="B2477" s="24">
        <f>IF(24&lt;=DAY(DATE(YEAR(설정_코스수당!$K$2),MONTH(설정_코스수당!$K$2)+1,0)),DATE(YEAR(설정_코스수당!$K$2),MONTH(설정_코스수당!$K$2),24),"")</f>
        <v>46197</v>
      </c>
      <c r="C2477" s="25"/>
      <c r="D2477" s="23"/>
      <c r="E2477" s="23"/>
      <c r="F2477" s="26"/>
      <c r="G2477" s="23"/>
      <c r="H2477" s="23"/>
      <c r="I2477" s="23"/>
      <c r="J2477" s="27">
        <f>IF($O2477="방문완료",MAX(0,IFERROR(VLOOKUP($E2477,설정_코스수당!$A$6:$H$10,4,FALSE),0)-IF(OR($P2477="",$P2477="없음"),0,100000)),0)</f>
        <v>0</v>
      </c>
      <c r="K2477" s="27">
        <f t="array" ref="K2477">IF($O2477="방문완료",IFERROR(INDEX(설정_코스수당!$B$15:$F$64,MATCH($G2477,설정_코스수당!$A$15:$A$64,0),MATCH($E2477&amp;"수당",설정_코스수당!$B$14:$F$14,0)),0),0)</f>
        <v>0</v>
      </c>
      <c r="L2477" s="27">
        <f t="array" ref="L2477">IF($O2477="방문완료",IF($H2477="",0,IFERROR(INDEX(설정_코스수당!$B$15:$F$64,MATCH($H2477,설정_코스수당!$A$15:$A$64,0),MATCH($E2477&amp;"수당",설정_코스수당!$B$14:$F$14,0)),0)),0)</f>
        <v>0</v>
      </c>
      <c r="M2477" s="27">
        <f>IF($O2477="방문완료",IFERROR(VLOOKUP($E2477,설정_코스수당!$A$6:$H$10,6,FALSE),0),0)</f>
        <v>0</v>
      </c>
      <c r="N2477" s="28">
        <f t="shared" si="71"/>
        <v>0</v>
      </c>
      <c r="O2477" s="23"/>
      <c r="P2477" s="23"/>
      <c r="Q2477" s="23"/>
      <c r="R2477" s="26"/>
      <c r="S2477" s="23"/>
    </row>
    <row r="2478" spans="1:19" ht="19.5" hidden="1" customHeight="1" outlineLevel="1">
      <c r="A2478" s="29">
        <v>96</v>
      </c>
      <c r="B2478" s="30">
        <f>IF(24&lt;=DAY(DATE(YEAR(설정_코스수당!$K$2),MONTH(설정_코스수당!$K$2)+1,0)),DATE(YEAR(설정_코스수당!$K$2),MONTH(설정_코스수당!$K$2),24),"")</f>
        <v>46197</v>
      </c>
      <c r="C2478" s="31"/>
      <c r="D2478" s="29"/>
      <c r="E2478" s="29"/>
      <c r="F2478" s="32"/>
      <c r="G2478" s="29"/>
      <c r="H2478" s="29"/>
      <c r="I2478" s="29"/>
      <c r="J2478" s="33">
        <f>IF($O2478="방문완료",MAX(0,IFERROR(VLOOKUP($E2478,설정_코스수당!$A$6:$H$10,4,FALSE),0)-IF(OR($P2478="",$P2478="없음"),0,100000)),0)</f>
        <v>0</v>
      </c>
      <c r="K2478" s="33">
        <f t="array" ref="K2478">IF($O2478="방문완료",IFERROR(INDEX(설정_코스수당!$B$15:$F$64,MATCH($G2478,설정_코스수당!$A$15:$A$64,0),MATCH($E2478&amp;"수당",설정_코스수당!$B$14:$F$14,0)),0),0)</f>
        <v>0</v>
      </c>
      <c r="L2478" s="33">
        <f t="array" ref="L2478">IF($O2478="방문완료",IF($H2478="",0,IFERROR(INDEX(설정_코스수당!$B$15:$F$64,MATCH($H2478,설정_코스수당!$A$15:$A$64,0),MATCH($E2478&amp;"수당",설정_코스수당!$B$14:$F$14,0)),0)),0)</f>
        <v>0</v>
      </c>
      <c r="M2478" s="33">
        <f>IF($O2478="방문완료",IFERROR(VLOOKUP($E2478,설정_코스수당!$A$6:$H$10,6,FALSE),0),0)</f>
        <v>0</v>
      </c>
      <c r="N2478" s="34">
        <f t="shared" si="71"/>
        <v>0</v>
      </c>
      <c r="O2478" s="29"/>
      <c r="P2478" s="29"/>
      <c r="Q2478" s="29"/>
      <c r="R2478" s="32"/>
      <c r="S2478" s="29"/>
    </row>
    <row r="2479" spans="1:19" ht="19.5" hidden="1" customHeight="1" outlineLevel="1">
      <c r="A2479" s="23">
        <v>97</v>
      </c>
      <c r="B2479" s="24">
        <f>IF(24&lt;=DAY(DATE(YEAR(설정_코스수당!$K$2),MONTH(설정_코스수당!$K$2)+1,0)),DATE(YEAR(설정_코스수당!$K$2),MONTH(설정_코스수당!$K$2),24),"")</f>
        <v>46197</v>
      </c>
      <c r="C2479" s="25"/>
      <c r="D2479" s="23"/>
      <c r="E2479" s="23"/>
      <c r="F2479" s="26"/>
      <c r="G2479" s="23"/>
      <c r="H2479" s="23"/>
      <c r="I2479" s="23"/>
      <c r="J2479" s="27">
        <f>IF($O2479="방문완료",MAX(0,IFERROR(VLOOKUP($E2479,설정_코스수당!$A$6:$H$10,4,FALSE),0)-IF(OR($P2479="",$P2479="없음"),0,100000)),0)</f>
        <v>0</v>
      </c>
      <c r="K2479" s="27">
        <f t="array" ref="K2479">IF($O2479="방문완료",IFERROR(INDEX(설정_코스수당!$B$15:$F$64,MATCH($G2479,설정_코스수당!$A$15:$A$64,0),MATCH($E2479&amp;"수당",설정_코스수당!$B$14:$F$14,0)),0),0)</f>
        <v>0</v>
      </c>
      <c r="L2479" s="27">
        <f t="array" ref="L2479">IF($O2479="방문완료",IF($H2479="",0,IFERROR(INDEX(설정_코스수당!$B$15:$F$64,MATCH($H2479,설정_코스수당!$A$15:$A$64,0),MATCH($E2479&amp;"수당",설정_코스수당!$B$14:$F$14,0)),0)),0)</f>
        <v>0</v>
      </c>
      <c r="M2479" s="27">
        <f>IF($O2479="방문완료",IFERROR(VLOOKUP($E2479,설정_코스수당!$A$6:$H$10,6,FALSE),0),0)</f>
        <v>0</v>
      </c>
      <c r="N2479" s="28">
        <f t="shared" si="71"/>
        <v>0</v>
      </c>
      <c r="O2479" s="23"/>
      <c r="P2479" s="23"/>
      <c r="Q2479" s="23"/>
      <c r="R2479" s="26"/>
      <c r="S2479" s="23"/>
    </row>
    <row r="2480" spans="1:19" ht="19.5" hidden="1" customHeight="1" outlineLevel="1">
      <c r="A2480" s="29">
        <v>98</v>
      </c>
      <c r="B2480" s="30">
        <f>IF(24&lt;=DAY(DATE(YEAR(설정_코스수당!$K$2),MONTH(설정_코스수당!$K$2)+1,0)),DATE(YEAR(설정_코스수당!$K$2),MONTH(설정_코스수당!$K$2),24),"")</f>
        <v>46197</v>
      </c>
      <c r="C2480" s="31"/>
      <c r="D2480" s="29"/>
      <c r="E2480" s="29"/>
      <c r="F2480" s="32"/>
      <c r="G2480" s="29"/>
      <c r="H2480" s="29"/>
      <c r="I2480" s="29"/>
      <c r="J2480" s="33">
        <f>IF($O2480="방문완료",MAX(0,IFERROR(VLOOKUP($E2480,설정_코스수당!$A$6:$H$10,4,FALSE),0)-IF(OR($P2480="",$P2480="없음"),0,100000)),0)</f>
        <v>0</v>
      </c>
      <c r="K2480" s="33">
        <f t="array" ref="K2480">IF($O2480="방문완료",IFERROR(INDEX(설정_코스수당!$B$15:$F$64,MATCH($G2480,설정_코스수당!$A$15:$A$64,0),MATCH($E2480&amp;"수당",설정_코스수당!$B$14:$F$14,0)),0),0)</f>
        <v>0</v>
      </c>
      <c r="L2480" s="33">
        <f t="array" ref="L2480">IF($O2480="방문완료",IF($H2480="",0,IFERROR(INDEX(설정_코스수당!$B$15:$F$64,MATCH($H2480,설정_코스수당!$A$15:$A$64,0),MATCH($E2480&amp;"수당",설정_코스수당!$B$14:$F$14,0)),0)),0)</f>
        <v>0</v>
      </c>
      <c r="M2480" s="33">
        <f>IF($O2480="방문완료",IFERROR(VLOOKUP($E2480,설정_코스수당!$A$6:$H$10,6,FALSE),0),0)</f>
        <v>0</v>
      </c>
      <c r="N2480" s="34">
        <f t="shared" si="71"/>
        <v>0</v>
      </c>
      <c r="O2480" s="29"/>
      <c r="P2480" s="29"/>
      <c r="Q2480" s="29"/>
      <c r="R2480" s="32"/>
      <c r="S2480" s="29"/>
    </row>
    <row r="2481" spans="1:27" ht="19.5" hidden="1" customHeight="1" outlineLevel="1">
      <c r="A2481" s="23">
        <v>99</v>
      </c>
      <c r="B2481" s="24">
        <f>IF(24&lt;=DAY(DATE(YEAR(설정_코스수당!$K$2),MONTH(설정_코스수당!$K$2)+1,0)),DATE(YEAR(설정_코스수당!$K$2),MONTH(설정_코스수당!$K$2),24),"")</f>
        <v>46197</v>
      </c>
      <c r="C2481" s="25"/>
      <c r="D2481" s="23"/>
      <c r="E2481" s="23"/>
      <c r="F2481" s="26"/>
      <c r="G2481" s="23"/>
      <c r="H2481" s="23"/>
      <c r="I2481" s="23"/>
      <c r="J2481" s="27">
        <f>IF($O2481="방문완료",MAX(0,IFERROR(VLOOKUP($E2481,설정_코스수당!$A$6:$H$10,4,FALSE),0)-IF(OR($P2481="",$P2481="없음"),0,100000)),0)</f>
        <v>0</v>
      </c>
      <c r="K2481" s="27">
        <f t="array" ref="K2481">IF($O2481="방문완료",IFERROR(INDEX(설정_코스수당!$B$15:$F$64,MATCH($G2481,설정_코스수당!$A$15:$A$64,0),MATCH($E2481&amp;"수당",설정_코스수당!$B$14:$F$14,0)),0),0)</f>
        <v>0</v>
      </c>
      <c r="L2481" s="27">
        <f t="array" ref="L2481">IF($O2481="방문완료",IF($H2481="",0,IFERROR(INDEX(설정_코스수당!$B$15:$F$64,MATCH($H2481,설정_코스수당!$A$15:$A$64,0),MATCH($E2481&amp;"수당",설정_코스수당!$B$14:$F$14,0)),0)),0)</f>
        <v>0</v>
      </c>
      <c r="M2481" s="27">
        <f>IF($O2481="방문완료",IFERROR(VLOOKUP($E2481,설정_코스수당!$A$6:$H$10,6,FALSE),0),0)</f>
        <v>0</v>
      </c>
      <c r="N2481" s="28">
        <f t="shared" si="71"/>
        <v>0</v>
      </c>
      <c r="O2481" s="23"/>
      <c r="P2481" s="23"/>
      <c r="Q2481" s="23"/>
      <c r="R2481" s="26"/>
      <c r="S2481" s="23"/>
    </row>
    <row r="2482" spans="1:27" ht="19.5" hidden="1" customHeight="1" outlineLevel="1">
      <c r="A2482" s="29">
        <v>100</v>
      </c>
      <c r="B2482" s="30">
        <f>IF(24&lt;=DAY(DATE(YEAR(설정_코스수당!$K$2),MONTH(설정_코스수당!$K$2)+1,0)),DATE(YEAR(설정_코스수당!$K$2),MONTH(설정_코스수당!$K$2),24),"")</f>
        <v>46197</v>
      </c>
      <c r="C2482" s="31"/>
      <c r="D2482" s="29"/>
      <c r="E2482" s="29"/>
      <c r="F2482" s="32"/>
      <c r="G2482" s="29"/>
      <c r="H2482" s="29"/>
      <c r="I2482" s="29"/>
      <c r="J2482" s="33">
        <f>IF($O2482="방문완료",MAX(0,IFERROR(VLOOKUP($E2482,설정_코스수당!$A$6:$H$10,4,FALSE),0)-IF(OR($P2482="",$P2482="없음"),0,100000)),0)</f>
        <v>0</v>
      </c>
      <c r="K2482" s="33">
        <f t="array" ref="K2482">IF($O2482="방문완료",IFERROR(INDEX(설정_코스수당!$B$15:$F$64,MATCH($G2482,설정_코스수당!$A$15:$A$64,0),MATCH($E2482&amp;"수당",설정_코스수당!$B$14:$F$14,0)),0),0)</f>
        <v>0</v>
      </c>
      <c r="L2482" s="33">
        <f t="array" ref="L2482">IF($O2482="방문완료",IF($H2482="",0,IFERROR(INDEX(설정_코스수당!$B$15:$F$64,MATCH($H2482,설정_코스수당!$A$15:$A$64,0),MATCH($E2482&amp;"수당",설정_코스수당!$B$14:$F$14,0)),0)),0)</f>
        <v>0</v>
      </c>
      <c r="M2482" s="33">
        <f>IF($O2482="방문완료",IFERROR(VLOOKUP($E2482,설정_코스수당!$A$6:$H$10,6,FALSE),0),0)</f>
        <v>0</v>
      </c>
      <c r="N2482" s="34">
        <f t="shared" si="71"/>
        <v>0</v>
      </c>
      <c r="O2482" s="29"/>
      <c r="P2482" s="29"/>
      <c r="Q2482" s="29"/>
      <c r="R2482" s="32"/>
      <c r="S2482" s="29"/>
    </row>
    <row r="2483" spans="1:27" ht="19.5" hidden="1" customHeight="1" outlineLevel="1">
      <c r="A2483" s="36" t="s">
        <v>79</v>
      </c>
      <c r="B2483" s="37"/>
      <c r="C2483" s="38"/>
      <c r="D2483" s="37"/>
      <c r="E2483" s="37"/>
      <c r="F2483" s="37"/>
      <c r="G2483" s="37"/>
      <c r="H2483" s="37"/>
      <c r="I2483" s="37"/>
      <c r="J2483" s="37">
        <f>IF($O2483="방문완료",MAX(0,IFERROR(VLOOKUP($E2483,설정_코스수당!$A$6:$H$10,4,FALSE),0)-IF(OR($P2483="",$P2483="없음"),0,100000)),0)</f>
        <v>0</v>
      </c>
      <c r="O2483" s="18"/>
      <c r="P2483" s="14"/>
      <c r="Q2483" s="18"/>
      <c r="S2483" s="18"/>
    </row>
    <row r="2484" spans="1:27" ht="21" customHeight="1" collapsed="1">
      <c r="A2484" s="123" t="str">
        <f>IF(25&lt;=DAY(DATE(YEAR(설정_코스수당!$K$2),MONTH(설정_코스수당!$K$2)+1,0)),TEXT(DATE(YEAR(설정_코스수당!$K$2),MONTH(설정_코스수당!$K$2),25),"yyyy-mm-dd")&amp;"  |  예약관리 100슬롯","")</f>
        <v>2026-06-25  |  예약관리 100슬롯</v>
      </c>
      <c r="B2484" s="124"/>
      <c r="C2484" s="124"/>
      <c r="D2484" s="124"/>
      <c r="E2484" s="124"/>
      <c r="F2484" s="124"/>
      <c r="G2484" s="124"/>
      <c r="H2484" s="124"/>
      <c r="I2484" s="124"/>
      <c r="J2484" s="124"/>
      <c r="K2484" s="124"/>
      <c r="L2484" s="124"/>
      <c r="M2484" s="124"/>
      <c r="N2484" s="124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19"/>
      <c r="AA2484" s="19"/>
    </row>
    <row r="2485" spans="1:27" ht="19.5" hidden="1" customHeight="1" outlineLevel="1">
      <c r="A2485" s="20" t="s">
        <v>41</v>
      </c>
      <c r="B2485" s="20" t="s">
        <v>42</v>
      </c>
      <c r="C2485" s="39" t="s">
        <v>43</v>
      </c>
      <c r="D2485" s="20" t="s">
        <v>44</v>
      </c>
      <c r="E2485" s="20" t="s">
        <v>45</v>
      </c>
      <c r="F2485" s="20" t="s">
        <v>46</v>
      </c>
      <c r="G2485" s="20" t="s">
        <v>47</v>
      </c>
      <c r="H2485" s="20" t="s">
        <v>48</v>
      </c>
      <c r="I2485" s="20" t="s">
        <v>49</v>
      </c>
      <c r="J2485" s="20" t="s">
        <v>50</v>
      </c>
      <c r="K2485" s="20" t="s">
        <v>51</v>
      </c>
      <c r="L2485" s="20" t="s">
        <v>52</v>
      </c>
      <c r="M2485" s="20" t="s">
        <v>53</v>
      </c>
      <c r="N2485" s="20" t="s">
        <v>54</v>
      </c>
      <c r="O2485" s="20" t="s">
        <v>55</v>
      </c>
      <c r="P2485" s="20" t="s">
        <v>56</v>
      </c>
      <c r="Q2485" s="18"/>
      <c r="R2485" s="20" t="s">
        <v>58</v>
      </c>
      <c r="S2485" s="20" t="s">
        <v>59</v>
      </c>
      <c r="U2485" s="122" t="str">
        <f>IF(25&lt;=DAY(DATE(YEAR(설정_코스수당!$K$2),MONTH(설정_코스수당!$K$2)+1,0)),TEXT(DATE(YEAR(설정_코스수당!$K$2),MONTH(설정_코스수당!$K$2),25),"yyyy-mm-dd")&amp;" 일일 상태","")</f>
        <v>2026-06-25 일일 상태</v>
      </c>
      <c r="V2485" s="125"/>
      <c r="W2485" s="122" t="s">
        <v>3</v>
      </c>
      <c r="X2485" s="125"/>
    </row>
    <row r="2486" spans="1:27" ht="19.5" hidden="1" customHeight="1" outlineLevel="1">
      <c r="A2486" s="23">
        <v>1</v>
      </c>
      <c r="B2486" s="24">
        <f>IF(25&lt;=DAY(DATE(YEAR(설정_코스수당!$K$2),MONTH(설정_코스수당!$K$2)+1,0)),DATE(YEAR(설정_코스수당!$K$2),MONTH(설정_코스수당!$K$2),25),"")</f>
        <v>46198</v>
      </c>
      <c r="C2486" s="25"/>
      <c r="D2486" s="23"/>
      <c r="E2486" s="23"/>
      <c r="F2486" s="26"/>
      <c r="G2486" s="23"/>
      <c r="H2486" s="23"/>
      <c r="I2486" s="23"/>
      <c r="J2486" s="27">
        <f>IF($O2486="방문완료",MAX(0,IFERROR(VLOOKUP($E2486,설정_코스수당!$A$6:$H$10,4,FALSE),0)-IF(OR($P2486="",$P2486="없음"),0,100000)),0)</f>
        <v>0</v>
      </c>
      <c r="K2486" s="27">
        <f t="array" ref="K2486">IF($O2486="방문완료",IFERROR(INDEX(설정_코스수당!$B$15:$F$64,MATCH($G2486,설정_코스수당!$A$15:$A$64,0),MATCH($E2486&amp;"수당",설정_코스수당!$B$14:$F$14,0)),0),0)</f>
        <v>0</v>
      </c>
      <c r="L2486" s="27">
        <f t="array" ref="L2486">IF($O2486="방문완료",IF($H2486="",0,IFERROR(INDEX(설정_코스수당!$B$15:$F$64,MATCH($H2486,설정_코스수당!$A$15:$A$64,0),MATCH($E2486&amp;"수당",설정_코스수당!$B$14:$F$14,0)),0)),0)</f>
        <v>0</v>
      </c>
      <c r="M2486" s="27">
        <f>IF($O2486="방문완료",IFERROR(VLOOKUP($E2486,설정_코스수당!$A$6:$H$10,6,FALSE),0),0)</f>
        <v>0</v>
      </c>
      <c r="N2486" s="28">
        <f t="shared" ref="N2486:N2517" si="72">IF($O2486="방문완료",1,0)</f>
        <v>0</v>
      </c>
      <c r="O2486" s="23"/>
      <c r="P2486" s="23"/>
      <c r="Q2486" s="23"/>
      <c r="R2486" s="26"/>
      <c r="S2486" s="23"/>
      <c r="U2486" s="104" t="s">
        <v>63</v>
      </c>
      <c r="V2486" s="105">
        <f>IF(25&lt;=DAY(DATE(YEAR(설정_코스수당!$K$2),MONTH(설정_코스수당!$K$2)+1,0)),COUNTIFS($B:$B,DATE(YEAR(설정_코스수당!$K$2),MONTH(설정_코스수당!$K$2),25),$O:$O,"&lt;&gt;"),"")</f>
        <v>0</v>
      </c>
      <c r="W2486" s="104" t="s">
        <v>6</v>
      </c>
      <c r="X2486" s="105">
        <f>IF(25&lt;=DAY(DATE(YEAR(설정_코스수당!$K$2),MONTH(설정_코스수당!$K$2)+1,0)),COUNTIFS($B:$B,DATE(YEAR(설정_코스수당!$K$2),MONTH(설정_코스수당!$K$2),25),$E:$E,"A",$O:$O,"방문완료"),"")</f>
        <v>0</v>
      </c>
    </row>
    <row r="2487" spans="1:27" ht="19.5" hidden="1" customHeight="1" outlineLevel="1">
      <c r="A2487" s="29">
        <v>2</v>
      </c>
      <c r="B2487" s="30">
        <f>IF(25&lt;=DAY(DATE(YEAR(설정_코스수당!$K$2),MONTH(설정_코스수당!$K$2)+1,0)),DATE(YEAR(설정_코스수당!$K$2),MONTH(설정_코스수당!$K$2),25),"")</f>
        <v>46198</v>
      </c>
      <c r="C2487" s="31"/>
      <c r="D2487" s="29"/>
      <c r="E2487" s="29"/>
      <c r="F2487" s="32"/>
      <c r="G2487" s="29"/>
      <c r="H2487" s="29"/>
      <c r="I2487" s="29"/>
      <c r="J2487" s="33">
        <f>IF($O2487="방문완료",MAX(0,IFERROR(VLOOKUP($E2487,설정_코스수당!$A$6:$H$10,4,FALSE),0)-IF(OR($P2487="",$P2487="없음"),0,100000)),0)</f>
        <v>0</v>
      </c>
      <c r="K2487" s="33">
        <f t="array" ref="K2487">IF($O2487="방문완료",IFERROR(INDEX(설정_코스수당!$B$15:$F$64,MATCH($G2487,설정_코스수당!$A$15:$A$64,0),MATCH($E2487&amp;"수당",설정_코스수당!$B$14:$F$14,0)),0),0)</f>
        <v>0</v>
      </c>
      <c r="L2487" s="33">
        <f t="array" ref="L2487">IF($O2487="방문완료",IF($H2487="",0,IFERROR(INDEX(설정_코스수당!$B$15:$F$64,MATCH($H2487,설정_코스수당!$A$15:$A$64,0),MATCH($E2487&amp;"수당",설정_코스수당!$B$14:$F$14,0)),0)),0)</f>
        <v>0</v>
      </c>
      <c r="M2487" s="33">
        <f>IF($O2487="방문완료",IFERROR(VLOOKUP($E2487,설정_코스수당!$A$6:$H$10,6,FALSE),0),0)</f>
        <v>0</v>
      </c>
      <c r="N2487" s="34">
        <f t="shared" si="72"/>
        <v>0</v>
      </c>
      <c r="O2487" s="29"/>
      <c r="P2487" s="29"/>
      <c r="Q2487" s="29"/>
      <c r="R2487" s="32"/>
      <c r="S2487" s="29"/>
      <c r="U2487" s="104" t="s">
        <v>62</v>
      </c>
      <c r="V2487" s="105">
        <f>IF(25&lt;=DAY(DATE(YEAR(설정_코스수당!$K$2),MONTH(설정_코스수당!$K$2)+1,0)),COUNTIFS($B:$B,DATE(YEAR(설정_코스수당!$K$2),MONTH(설정_코스수당!$K$2),25),$O:$O,"방문완료"),"")</f>
        <v>0</v>
      </c>
      <c r="W2487" s="104" t="s">
        <v>9</v>
      </c>
      <c r="X2487" s="105">
        <f>IF(25&lt;=DAY(DATE(YEAR(설정_코스수당!$K$2),MONTH(설정_코스수당!$K$2)+1,0)),COUNTIFS($B:$B,DATE(YEAR(설정_코스수당!$K$2),MONTH(설정_코스수당!$K$2),25),$E:$E,"B",$O:$O,"방문완료"),"")</f>
        <v>0</v>
      </c>
    </row>
    <row r="2488" spans="1:27" ht="19.5" hidden="1" customHeight="1" outlineLevel="1">
      <c r="A2488" s="23">
        <v>3</v>
      </c>
      <c r="B2488" s="24">
        <f>IF(25&lt;=DAY(DATE(YEAR(설정_코스수당!$K$2),MONTH(설정_코스수당!$K$2)+1,0)),DATE(YEAR(설정_코스수당!$K$2),MONTH(설정_코스수당!$K$2),25),"")</f>
        <v>46198</v>
      </c>
      <c r="C2488" s="25"/>
      <c r="D2488" s="23"/>
      <c r="E2488" s="23"/>
      <c r="F2488" s="26"/>
      <c r="G2488" s="23"/>
      <c r="H2488" s="23"/>
      <c r="I2488" s="23"/>
      <c r="J2488" s="27">
        <f>IF($O2488="방문완료",MAX(0,IFERROR(VLOOKUP($E2488,설정_코스수당!$A$6:$H$10,4,FALSE),0)-IF(OR($P2488="",$P2488="없음"),0,100000)),0)</f>
        <v>0</v>
      </c>
      <c r="K2488" s="27">
        <f t="array" ref="K2488">IF($O2488="방문완료",IFERROR(INDEX(설정_코스수당!$B$15:$F$64,MATCH($G2488,설정_코스수당!$A$15:$A$64,0),MATCH($E2488&amp;"수당",설정_코스수당!$B$14:$F$14,0)),0),0)</f>
        <v>0</v>
      </c>
      <c r="L2488" s="27">
        <f t="array" ref="L2488">IF($O2488="방문완료",IF($H2488="",0,IFERROR(INDEX(설정_코스수당!$B$15:$F$64,MATCH($H2488,설정_코스수당!$A$15:$A$64,0),MATCH($E2488&amp;"수당",설정_코스수당!$B$14:$F$14,0)),0)),0)</f>
        <v>0</v>
      </c>
      <c r="M2488" s="27">
        <f>IF($O2488="방문완료",IFERROR(VLOOKUP($E2488,설정_코스수당!$A$6:$H$10,6,FALSE),0),0)</f>
        <v>0</v>
      </c>
      <c r="N2488" s="28">
        <f t="shared" si="72"/>
        <v>0</v>
      </c>
      <c r="O2488" s="23"/>
      <c r="P2488" s="23"/>
      <c r="Q2488" s="23"/>
      <c r="R2488" s="26"/>
      <c r="S2488" s="23"/>
      <c r="U2488" s="104" t="s">
        <v>68</v>
      </c>
      <c r="V2488" s="105" t="str">
        <f>IF(25&lt;=DAY(DATE(YEAR(설정_코스수당!$K$2),MONTH(설정_코스수당!$K$2)+1,0)),COUNTIFS($B:$B,DATE(YEAR(설정_코스수당!$K$2),MONTH(설정_코스수당!$K$2),25),$O:$O,"노쇼")&amp;"/"&amp;COUNTIFS($B:$B,DATE(YEAR(설정_코스수당!$K$2),MONTH(설정_코스수당!$K$2),25),$O:$O,"취소"),"")</f>
        <v>0/0</v>
      </c>
      <c r="W2488" s="104" t="s">
        <v>12</v>
      </c>
      <c r="X2488" s="105">
        <f>IF(25&lt;=DAY(DATE(YEAR(설정_코스수당!$K$2),MONTH(설정_코스수당!$K$2)+1,0)),COUNTIFS($B:$B,DATE(YEAR(설정_코스수당!$K$2),MONTH(설정_코스수당!$K$2),25),$E:$E,"C",$O:$O,"방문완료"),"")</f>
        <v>0</v>
      </c>
    </row>
    <row r="2489" spans="1:27" ht="19.5" hidden="1" customHeight="1" outlineLevel="1">
      <c r="A2489" s="29">
        <v>4</v>
      </c>
      <c r="B2489" s="30">
        <f>IF(25&lt;=DAY(DATE(YEAR(설정_코스수당!$K$2),MONTH(설정_코스수당!$K$2)+1,0)),DATE(YEAR(설정_코스수당!$K$2),MONTH(설정_코스수당!$K$2),25),"")</f>
        <v>46198</v>
      </c>
      <c r="C2489" s="31"/>
      <c r="D2489" s="29"/>
      <c r="E2489" s="29"/>
      <c r="F2489" s="32"/>
      <c r="G2489" s="29"/>
      <c r="H2489" s="29"/>
      <c r="I2489" s="29"/>
      <c r="J2489" s="33">
        <f>IF($O2489="방문완료",MAX(0,IFERROR(VLOOKUP($E2489,설정_코스수당!$A$6:$H$10,4,FALSE),0)-IF(OR($P2489="",$P2489="없음"),0,100000)),0)</f>
        <v>0</v>
      </c>
      <c r="K2489" s="33">
        <f t="array" ref="K2489">IF($O2489="방문완료",IFERROR(INDEX(설정_코스수당!$B$15:$F$64,MATCH($G2489,설정_코스수당!$A$15:$A$64,0),MATCH($E2489&amp;"수당",설정_코스수당!$B$14:$F$14,0)),0),0)</f>
        <v>0</v>
      </c>
      <c r="L2489" s="33">
        <f t="array" ref="L2489">IF($O2489="방문완료",IF($H2489="",0,IFERROR(INDEX(설정_코스수당!$B$15:$F$64,MATCH($H2489,설정_코스수당!$A$15:$A$64,0),MATCH($E2489&amp;"수당",설정_코스수당!$B$14:$F$14,0)),0)),0)</f>
        <v>0</v>
      </c>
      <c r="M2489" s="33">
        <f>IF($O2489="방문완료",IFERROR(VLOOKUP($E2489,설정_코스수당!$A$6:$H$10,6,FALSE),0),0)</f>
        <v>0</v>
      </c>
      <c r="N2489" s="34">
        <f t="shared" si="72"/>
        <v>0</v>
      </c>
      <c r="O2489" s="29"/>
      <c r="P2489" s="29"/>
      <c r="Q2489" s="29"/>
      <c r="R2489" s="32"/>
      <c r="S2489" s="29"/>
      <c r="U2489" s="104" t="s">
        <v>69</v>
      </c>
      <c r="V2489" s="106">
        <f>IF(25&lt;=DAY(DATE(YEAR(설정_코스수당!$K$2),MONTH(설정_코스수당!$K$2)+1,0)),SUMIFS($J:$J,$B:$B,DATE(YEAR(설정_코스수당!$K$2),MONTH(설정_코스수당!$K$2),25),$O:$O,"방문완료"),"")</f>
        <v>0</v>
      </c>
      <c r="W2489" s="104" t="s">
        <v>15</v>
      </c>
      <c r="X2489" s="105">
        <f>IF(25&lt;=DAY(DATE(YEAR(설정_코스수당!$K$2),MONTH(설정_코스수당!$K$2)+1,0)),COUNTIFS($B:$B,DATE(YEAR(설정_코스수당!$K$2),MONTH(설정_코스수당!$K$2),25),$E:$E,"D",$O:$O,"방문완료"),"")</f>
        <v>0</v>
      </c>
    </row>
    <row r="2490" spans="1:27" ht="19.5" hidden="1" customHeight="1" outlineLevel="1">
      <c r="A2490" s="23">
        <v>5</v>
      </c>
      <c r="B2490" s="24">
        <f>IF(25&lt;=DAY(DATE(YEAR(설정_코스수당!$K$2),MONTH(설정_코스수당!$K$2)+1,0)),DATE(YEAR(설정_코스수당!$K$2),MONTH(설정_코스수당!$K$2),25),"")</f>
        <v>46198</v>
      </c>
      <c r="C2490" s="25"/>
      <c r="D2490" s="23"/>
      <c r="E2490" s="23"/>
      <c r="F2490" s="26"/>
      <c r="G2490" s="23"/>
      <c r="H2490" s="23"/>
      <c r="I2490" s="23"/>
      <c r="J2490" s="27">
        <f>IF($O2490="방문완료",MAX(0,IFERROR(VLOOKUP($E2490,설정_코스수당!$A$6:$H$10,4,FALSE),0)-IF(OR($P2490="",$P2490="없음"),0,100000)),0)</f>
        <v>0</v>
      </c>
      <c r="K2490" s="27">
        <f t="array" ref="K2490">IF($O2490="방문완료",IFERROR(INDEX(설정_코스수당!$B$15:$F$64,MATCH($G2490,설정_코스수당!$A$15:$A$64,0),MATCH($E2490&amp;"수당",설정_코스수당!$B$14:$F$14,0)),0),0)</f>
        <v>0</v>
      </c>
      <c r="L2490" s="27">
        <f t="array" ref="L2490">IF($O2490="방문완료",IF($H2490="",0,IFERROR(INDEX(설정_코스수당!$B$15:$F$64,MATCH($H2490,설정_코스수당!$A$15:$A$64,0),MATCH($E2490&amp;"수당",설정_코스수당!$B$14:$F$14,0)),0)),0)</f>
        <v>0</v>
      </c>
      <c r="M2490" s="27">
        <f>IF($O2490="방문완료",IFERROR(VLOOKUP($E2490,설정_코스수당!$A$6:$H$10,6,FALSE),0),0)</f>
        <v>0</v>
      </c>
      <c r="N2490" s="28">
        <f t="shared" si="72"/>
        <v>0</v>
      </c>
      <c r="O2490" s="23"/>
      <c r="P2490" s="23"/>
      <c r="Q2490" s="23"/>
      <c r="R2490" s="26"/>
      <c r="S2490" s="23"/>
      <c r="U2490" s="104" t="s">
        <v>70</v>
      </c>
      <c r="V2490" s="106">
        <f>IF(25&lt;=DAY(DATE(YEAR(설정_코스수당!$K$2),MONTH(설정_코스수당!$K$2)+1,0)),SUMIFS($K:$K,$B:$B,DATE(YEAR(설정_코스수당!$K$2),MONTH(설정_코스수당!$K$2),25),$O:$O,"방문완료")+SUMIFS($L:$L,$B:$B,DATE(YEAR(설정_코스수당!$K$2),MONTH(설정_코스수당!$K$2),25),$O:$O,"방문완료"),"")</f>
        <v>0</v>
      </c>
      <c r="W2490" s="104" t="s">
        <v>18</v>
      </c>
      <c r="X2490" s="105">
        <f>IF(25&lt;=DAY(DATE(YEAR(설정_코스수당!$K$2),MONTH(설정_코스수당!$K$2)+1,0)),COUNTIFS($B:$B,DATE(YEAR(설정_코스수당!$K$2),MONTH(설정_코스수당!$K$2),25),$E:$E,"E",$O:$O,"방문완료"),"")</f>
        <v>0</v>
      </c>
    </row>
    <row r="2491" spans="1:27" ht="19.5" hidden="1" customHeight="1" outlineLevel="1">
      <c r="A2491" s="29">
        <v>6</v>
      </c>
      <c r="B2491" s="30">
        <f>IF(25&lt;=DAY(DATE(YEAR(설정_코스수당!$K$2),MONTH(설정_코스수당!$K$2)+1,0)),DATE(YEAR(설정_코스수당!$K$2),MONTH(설정_코스수당!$K$2),25),"")</f>
        <v>46198</v>
      </c>
      <c r="C2491" s="31"/>
      <c r="D2491" s="29"/>
      <c r="E2491" s="29"/>
      <c r="F2491" s="32"/>
      <c r="G2491" s="29"/>
      <c r="H2491" s="29"/>
      <c r="I2491" s="29"/>
      <c r="J2491" s="33">
        <f>IF($O2491="방문완료",MAX(0,IFERROR(VLOOKUP($E2491,설정_코스수당!$A$6:$H$10,4,FALSE),0)-IF(OR($P2491="",$P2491="없음"),0,100000)),0)</f>
        <v>0</v>
      </c>
      <c r="K2491" s="33">
        <f t="array" ref="K2491">IF($O2491="방문완료",IFERROR(INDEX(설정_코스수당!$B$15:$F$64,MATCH($G2491,설정_코스수당!$A$15:$A$64,0),MATCH($E2491&amp;"수당",설정_코스수당!$B$14:$F$14,0)),0),0)</f>
        <v>0</v>
      </c>
      <c r="L2491" s="33">
        <f t="array" ref="L2491">IF($O2491="방문완료",IF($H2491="",0,IFERROR(INDEX(설정_코스수당!$B$15:$F$64,MATCH($H2491,설정_코스수당!$A$15:$A$64,0),MATCH($E2491&amp;"수당",설정_코스수당!$B$14:$F$14,0)),0)),0)</f>
        <v>0</v>
      </c>
      <c r="M2491" s="33">
        <f>IF($O2491="방문완료",IFERROR(VLOOKUP($E2491,설정_코스수당!$A$6:$H$10,6,FALSE),0),0)</f>
        <v>0</v>
      </c>
      <c r="N2491" s="34">
        <f t="shared" si="72"/>
        <v>0</v>
      </c>
      <c r="O2491" s="29"/>
      <c r="P2491" s="29"/>
      <c r="Q2491" s="29"/>
      <c r="R2491" s="32"/>
      <c r="S2491" s="29"/>
      <c r="U2491" s="104" t="s">
        <v>53</v>
      </c>
      <c r="V2491" s="106">
        <f>IF(25&lt;=DAY(DATE(YEAR(설정_코스수당!$K$2),MONTH(설정_코스수당!$K$2)+1,0)),SUMIFS($M:$M,$B:$B,DATE(YEAR(설정_코스수당!$K$2),MONTH(설정_코스수당!$K$2),25),$O:$O,"방문완료"),"")</f>
        <v>0</v>
      </c>
      <c r="W2491" s="104" t="s">
        <v>71</v>
      </c>
      <c r="X2491" s="107">
        <f>IF(25&lt;=DAY(DATE(YEAR(설정_코스수당!$K$2),MONTH(설정_코스수당!$K$2)+1,0)),COUNTIFS($B:$B,DATE(YEAR(설정_코스수당!$K$2),MONTH(설정_코스수당!$K$2),25),$O:$O,"방문완료",$P:$P,"&lt;&gt;",$P:$P,"&lt;&gt;없음"),"")</f>
        <v>0</v>
      </c>
    </row>
    <row r="2492" spans="1:27" ht="19.5" hidden="1" customHeight="1" outlineLevel="1">
      <c r="A2492" s="23">
        <v>7</v>
      </c>
      <c r="B2492" s="24">
        <f>IF(25&lt;=DAY(DATE(YEAR(설정_코스수당!$K$2),MONTH(설정_코스수당!$K$2)+1,0)),DATE(YEAR(설정_코스수당!$K$2),MONTH(설정_코스수당!$K$2),25),"")</f>
        <v>46198</v>
      </c>
      <c r="C2492" s="25"/>
      <c r="D2492" s="23"/>
      <c r="E2492" s="23"/>
      <c r="F2492" s="26"/>
      <c r="G2492" s="23"/>
      <c r="H2492" s="23"/>
      <c r="I2492" s="23"/>
      <c r="J2492" s="27">
        <f>IF($O2492="방문완료",MAX(0,IFERROR(VLOOKUP($E2492,설정_코스수당!$A$6:$H$10,4,FALSE),0)-IF(OR($P2492="",$P2492="없음"),0,100000)),0)</f>
        <v>0</v>
      </c>
      <c r="K2492" s="27">
        <f t="array" ref="K2492">IF($O2492="방문완료",IFERROR(INDEX(설정_코스수당!$B$15:$F$64,MATCH($G2492,설정_코스수당!$A$15:$A$64,0),MATCH($E2492&amp;"수당",설정_코스수당!$B$14:$F$14,0)),0),0)</f>
        <v>0</v>
      </c>
      <c r="L2492" s="27">
        <f t="array" ref="L2492">IF($O2492="방문완료",IF($H2492="",0,IFERROR(INDEX(설정_코스수당!$B$15:$F$64,MATCH($H2492,설정_코스수당!$A$15:$A$64,0),MATCH($E2492&amp;"수당",설정_코스수당!$B$14:$F$14,0)),0)),0)</f>
        <v>0</v>
      </c>
      <c r="M2492" s="27">
        <f>IF($O2492="방문완료",IFERROR(VLOOKUP($E2492,설정_코스수당!$A$6:$H$10,6,FALSE),0),0)</f>
        <v>0</v>
      </c>
      <c r="N2492" s="28">
        <f t="shared" si="72"/>
        <v>0</v>
      </c>
      <c r="O2492" s="23"/>
      <c r="P2492" s="23"/>
      <c r="Q2492" s="23"/>
      <c r="R2492" s="26"/>
      <c r="S2492" s="23"/>
      <c r="U2492" s="104" t="s">
        <v>72</v>
      </c>
      <c r="V2492" s="108">
        <f>IF(25&lt;=DAY(DATE(YEAR(설정_코스수당!$K$2),MONTH(설정_코스수당!$K$2)+1,0)),COUNTIFS($B:$B,DATE(YEAR(설정_코스수당!$K$2),MONTH(설정_코스수당!$K$2),25),$O:$O,"방문완료",$P:$P,"&lt;&gt;",$P:$P,"&lt;&gt;없음")*100000,"")</f>
        <v>0</v>
      </c>
      <c r="W2492" s="104" t="s">
        <v>73</v>
      </c>
      <c r="X2492" s="105">
        <f>IF(25&lt;=DAY(DATE(YEAR(설정_코스수당!$K$2),MONTH(설정_코스수당!$K$2)+1,0)),COUNTIFS($B:$B,DATE(YEAR(설정_코스수당!$K$2),MONTH(설정_코스수당!$K$2),25),$G:$G,"&lt;&gt;",$O:$O,"방문완료")+COUNTIFS($B:$B,DATE(YEAR(설정_코스수당!$K$2),MONTH(설정_코스수당!$K$2),25),$H:$H,"&lt;&gt;",$O:$O,"방문완료"),"")</f>
        <v>0</v>
      </c>
    </row>
    <row r="2493" spans="1:27" ht="19.5" hidden="1" customHeight="1" outlineLevel="1">
      <c r="A2493" s="29">
        <v>8</v>
      </c>
      <c r="B2493" s="30">
        <f>IF(25&lt;=DAY(DATE(YEAR(설정_코스수당!$K$2),MONTH(설정_코스수당!$K$2)+1,0)),DATE(YEAR(설정_코스수당!$K$2),MONTH(설정_코스수당!$K$2),25),"")</f>
        <v>46198</v>
      </c>
      <c r="C2493" s="31"/>
      <c r="D2493" s="29"/>
      <c r="E2493" s="29"/>
      <c r="F2493" s="32"/>
      <c r="G2493" s="29"/>
      <c r="H2493" s="29"/>
      <c r="I2493" s="29"/>
      <c r="J2493" s="33">
        <f>IF($O2493="방문완료",MAX(0,IFERROR(VLOOKUP($E2493,설정_코스수당!$A$6:$H$10,4,FALSE),0)-IF(OR($P2493="",$P2493="없음"),0,100000)),0)</f>
        <v>0</v>
      </c>
      <c r="K2493" s="33">
        <f t="array" ref="K2493">IF($O2493="방문완료",IFERROR(INDEX(설정_코스수당!$B$15:$F$64,MATCH($G2493,설정_코스수당!$A$15:$A$64,0),MATCH($E2493&amp;"수당",설정_코스수당!$B$14:$F$14,0)),0),0)</f>
        <v>0</v>
      </c>
      <c r="L2493" s="33">
        <f t="array" ref="L2493">IF($O2493="방문완료",IF($H2493="",0,IFERROR(INDEX(설정_코스수당!$B$15:$F$64,MATCH($H2493,설정_코스수당!$A$15:$A$64,0),MATCH($E2493&amp;"수당",설정_코스수당!$B$14:$F$14,0)),0)),0)</f>
        <v>0</v>
      </c>
      <c r="M2493" s="33">
        <f>IF($O2493="방문완료",IFERROR(VLOOKUP($E2493,설정_코스수당!$A$6:$H$10,6,FALSE),0),0)</f>
        <v>0</v>
      </c>
      <c r="N2493" s="34">
        <f t="shared" si="72"/>
        <v>0</v>
      </c>
      <c r="O2493" s="29"/>
      <c r="P2493" s="29"/>
      <c r="Q2493" s="29"/>
      <c r="R2493" s="32"/>
      <c r="S2493" s="29"/>
      <c r="U2493" s="104" t="s">
        <v>74</v>
      </c>
      <c r="V2493" s="108">
        <f>IF(25&lt;=DAY(DATE(YEAR(설정_코스수당!$K$2),MONTH(설정_코스수당!$K$2)+1,0)),SUM($U$2497:$U$2504),"")</f>
        <v>0</v>
      </c>
      <c r="W2493" s="122" t="str">
        <f>IF(25&lt;=DAY(DATE(YEAR(설정_코스수당!$K$2),MONTH(설정_코스수당!$K$2)+1,0)),"계 : "&amp;TEXT(V2489-V2493,"#,##0")&amp;" 동","")</f>
        <v>계 : 0 동</v>
      </c>
      <c r="X2493" s="122"/>
    </row>
    <row r="2494" spans="1:27" ht="19.5" hidden="1" customHeight="1" outlineLevel="1">
      <c r="A2494" s="23">
        <v>9</v>
      </c>
      <c r="B2494" s="24">
        <f>IF(25&lt;=DAY(DATE(YEAR(설정_코스수당!$K$2),MONTH(설정_코스수당!$K$2)+1,0)),DATE(YEAR(설정_코스수당!$K$2),MONTH(설정_코스수당!$K$2),25),"")</f>
        <v>46198</v>
      </c>
      <c r="C2494" s="25"/>
      <c r="D2494" s="23"/>
      <c r="E2494" s="23"/>
      <c r="F2494" s="26"/>
      <c r="G2494" s="23"/>
      <c r="H2494" s="23"/>
      <c r="I2494" s="23"/>
      <c r="J2494" s="27">
        <f>IF($O2494="방문완료",MAX(0,IFERROR(VLOOKUP($E2494,설정_코스수당!$A$6:$H$10,4,FALSE),0)-IF(OR($P2494="",$P2494="없음"),0,100000)),0)</f>
        <v>0</v>
      </c>
      <c r="K2494" s="27">
        <f t="array" ref="K2494">IF($O2494="방문완료",IFERROR(INDEX(설정_코스수당!$B$15:$F$64,MATCH($G2494,설정_코스수당!$A$15:$A$64,0),MATCH($E2494&amp;"수당",설정_코스수당!$B$14:$F$14,0)),0),0)</f>
        <v>0</v>
      </c>
      <c r="L2494" s="27">
        <f t="array" ref="L2494">IF($O2494="방문완료",IF($H2494="",0,IFERROR(INDEX(설정_코스수당!$B$15:$F$64,MATCH($H2494,설정_코스수당!$A$15:$A$64,0),MATCH($E2494&amp;"수당",설정_코스수당!$B$14:$F$14,0)),0)),0)</f>
        <v>0</v>
      </c>
      <c r="M2494" s="27">
        <f>IF($O2494="방문완료",IFERROR(VLOOKUP($E2494,설정_코스수당!$A$6:$H$10,6,FALSE),0),0)</f>
        <v>0</v>
      </c>
      <c r="N2494" s="28">
        <f t="shared" si="72"/>
        <v>0</v>
      </c>
      <c r="O2494" s="23"/>
      <c r="P2494" s="23"/>
      <c r="Q2494" s="23"/>
      <c r="R2494" s="26"/>
      <c r="S2494" s="23"/>
    </row>
    <row r="2495" spans="1:27" ht="19.5" hidden="1" customHeight="1" outlineLevel="1">
      <c r="A2495" s="29">
        <v>10</v>
      </c>
      <c r="B2495" s="30">
        <f>IF(25&lt;=DAY(DATE(YEAR(설정_코스수당!$K$2),MONTH(설정_코스수당!$K$2)+1,0)),DATE(YEAR(설정_코스수당!$K$2),MONTH(설정_코스수당!$K$2),25),"")</f>
        <v>46198</v>
      </c>
      <c r="C2495" s="31"/>
      <c r="D2495" s="29"/>
      <c r="E2495" s="29"/>
      <c r="F2495" s="32"/>
      <c r="G2495" s="29"/>
      <c r="H2495" s="29"/>
      <c r="I2495" s="29"/>
      <c r="J2495" s="33">
        <f>IF($O2495="방문완료",MAX(0,IFERROR(VLOOKUP($E2495,설정_코스수당!$A$6:$H$10,4,FALSE),0)-IF(OR($P2495="",$P2495="없음"),0,100000)),0)</f>
        <v>0</v>
      </c>
      <c r="K2495" s="33">
        <f t="array" ref="K2495">IF($O2495="방문완료",IFERROR(INDEX(설정_코스수당!$B$15:$F$64,MATCH($G2495,설정_코스수당!$A$15:$A$64,0),MATCH($E2495&amp;"수당",설정_코스수당!$B$14:$F$14,0)),0),0)</f>
        <v>0</v>
      </c>
      <c r="L2495" s="33">
        <f t="array" ref="L2495">IF($O2495="방문완료",IF($H2495="",0,IFERROR(INDEX(설정_코스수당!$B$15:$F$64,MATCH($H2495,설정_코스수당!$A$15:$A$64,0),MATCH($E2495&amp;"수당",설정_코스수당!$B$14:$F$14,0)),0)),0)</f>
        <v>0</v>
      </c>
      <c r="M2495" s="33">
        <f>IF($O2495="방문완료",IFERROR(VLOOKUP($E2495,설정_코스수당!$A$6:$H$10,6,FALSE),0),0)</f>
        <v>0</v>
      </c>
      <c r="N2495" s="34">
        <f t="shared" si="72"/>
        <v>0</v>
      </c>
      <c r="O2495" s="29"/>
      <c r="P2495" s="29"/>
      <c r="Q2495" s="29"/>
      <c r="R2495" s="32"/>
      <c r="S2495" s="29"/>
      <c r="U2495" s="120" t="s">
        <v>75</v>
      </c>
      <c r="V2495" s="121"/>
      <c r="W2495" s="121"/>
      <c r="X2495" s="121"/>
    </row>
    <row r="2496" spans="1:27" ht="19.5" hidden="1" customHeight="1" outlineLevel="1">
      <c r="A2496" s="23">
        <v>11</v>
      </c>
      <c r="B2496" s="24">
        <f>IF(25&lt;=DAY(DATE(YEAR(설정_코스수당!$K$2),MONTH(설정_코스수당!$K$2)+1,0)),DATE(YEAR(설정_코스수당!$K$2),MONTH(설정_코스수당!$K$2),25),"")</f>
        <v>46198</v>
      </c>
      <c r="C2496" s="25"/>
      <c r="D2496" s="23"/>
      <c r="E2496" s="23"/>
      <c r="F2496" s="26"/>
      <c r="G2496" s="23"/>
      <c r="H2496" s="23"/>
      <c r="I2496" s="23"/>
      <c r="J2496" s="27">
        <f>IF($O2496="방문완료",MAX(0,IFERROR(VLOOKUP($E2496,설정_코스수당!$A$6:$H$10,4,FALSE),0)-IF(OR($P2496="",$P2496="없음"),0,100000)),0)</f>
        <v>0</v>
      </c>
      <c r="K2496" s="27">
        <f t="array" ref="K2496">IF($O2496="방문완료",IFERROR(INDEX(설정_코스수당!$B$15:$F$64,MATCH($G2496,설정_코스수당!$A$15:$A$64,0),MATCH($E2496&amp;"수당",설정_코스수당!$B$14:$F$14,0)),0),0)</f>
        <v>0</v>
      </c>
      <c r="L2496" s="27">
        <f t="array" ref="L2496">IF($O2496="방문완료",IF($H2496="",0,IFERROR(INDEX(설정_코스수당!$B$15:$F$64,MATCH($H2496,설정_코스수당!$A$15:$A$64,0),MATCH($E2496&amp;"수당",설정_코스수당!$B$14:$F$14,0)),0)),0)</f>
        <v>0</v>
      </c>
      <c r="M2496" s="27">
        <f>IF($O2496="방문완료",IFERROR(VLOOKUP($E2496,설정_코스수당!$A$6:$H$10,6,FALSE),0),0)</f>
        <v>0</v>
      </c>
      <c r="N2496" s="28">
        <f t="shared" si="72"/>
        <v>0</v>
      </c>
      <c r="O2496" s="23"/>
      <c r="P2496" s="23"/>
      <c r="Q2496" s="23"/>
      <c r="R2496" s="26"/>
      <c r="S2496" s="23"/>
      <c r="U2496" s="109" t="s">
        <v>76</v>
      </c>
      <c r="V2496" s="109" t="s">
        <v>77</v>
      </c>
      <c r="W2496" s="109" t="s">
        <v>78</v>
      </c>
      <c r="X2496" s="109" t="s">
        <v>58</v>
      </c>
    </row>
    <row r="2497" spans="1:24" ht="19.5" hidden="1" customHeight="1" outlineLevel="1">
      <c r="A2497" s="29">
        <v>12</v>
      </c>
      <c r="B2497" s="30">
        <f>IF(25&lt;=DAY(DATE(YEAR(설정_코스수당!$K$2),MONTH(설정_코스수당!$K$2)+1,0)),DATE(YEAR(설정_코스수당!$K$2),MONTH(설정_코스수당!$K$2),25),"")</f>
        <v>46198</v>
      </c>
      <c r="C2497" s="31"/>
      <c r="D2497" s="29"/>
      <c r="E2497" s="29"/>
      <c r="F2497" s="32"/>
      <c r="G2497" s="29"/>
      <c r="H2497" s="29"/>
      <c r="I2497" s="29"/>
      <c r="J2497" s="33">
        <f>IF($O2497="방문완료",MAX(0,IFERROR(VLOOKUP($E2497,설정_코스수당!$A$6:$H$10,4,FALSE),0)-IF(OR($P2497="",$P2497="없음"),0,100000)),0)</f>
        <v>0</v>
      </c>
      <c r="K2497" s="33">
        <f t="array" ref="K2497">IF($O2497="방문완료",IFERROR(INDEX(설정_코스수당!$B$15:$F$64,MATCH($G2497,설정_코스수당!$A$15:$A$64,0),MATCH($E2497&amp;"수당",설정_코스수당!$B$14:$F$14,0)),0),0)</f>
        <v>0</v>
      </c>
      <c r="L2497" s="33">
        <f t="array" ref="L2497">IF($O2497="방문완료",IF($H2497="",0,IFERROR(INDEX(설정_코스수당!$B$15:$F$64,MATCH($H2497,설정_코스수당!$A$15:$A$64,0),MATCH($E2497&amp;"수당",설정_코스수당!$B$14:$F$14,0)),0)),0)</f>
        <v>0</v>
      </c>
      <c r="M2497" s="33">
        <f>IF($O2497="방문완료",IFERROR(VLOOKUP($E2497,설정_코스수당!$A$6:$H$10,6,FALSE),0),0)</f>
        <v>0</v>
      </c>
      <c r="N2497" s="34">
        <f t="shared" si="72"/>
        <v>0</v>
      </c>
      <c r="O2497" s="29"/>
      <c r="P2497" s="29"/>
      <c r="Q2497" s="29"/>
      <c r="R2497" s="32"/>
      <c r="S2497" s="29"/>
      <c r="U2497" s="113"/>
      <c r="V2497" s="111"/>
      <c r="W2497" s="112"/>
      <c r="X2497" s="111"/>
    </row>
    <row r="2498" spans="1:24" ht="19.5" hidden="1" customHeight="1" outlineLevel="1">
      <c r="A2498" s="23">
        <v>13</v>
      </c>
      <c r="B2498" s="24">
        <f>IF(25&lt;=DAY(DATE(YEAR(설정_코스수당!$K$2),MONTH(설정_코스수당!$K$2)+1,0)),DATE(YEAR(설정_코스수당!$K$2),MONTH(설정_코스수당!$K$2),25),"")</f>
        <v>46198</v>
      </c>
      <c r="C2498" s="25"/>
      <c r="D2498" s="23"/>
      <c r="E2498" s="23"/>
      <c r="F2498" s="26"/>
      <c r="G2498" s="23"/>
      <c r="H2498" s="23"/>
      <c r="I2498" s="23"/>
      <c r="J2498" s="27">
        <f>IF($O2498="방문완료",MAX(0,IFERROR(VLOOKUP($E2498,설정_코스수당!$A$6:$H$10,4,FALSE),0)-IF(OR($P2498="",$P2498="없음"),0,100000)),0)</f>
        <v>0</v>
      </c>
      <c r="K2498" s="27">
        <f t="array" ref="K2498">IF($O2498="방문완료",IFERROR(INDEX(설정_코스수당!$B$15:$F$64,MATCH($G2498,설정_코스수당!$A$15:$A$64,0),MATCH($E2498&amp;"수당",설정_코스수당!$B$14:$F$14,0)),0),0)</f>
        <v>0</v>
      </c>
      <c r="L2498" s="27">
        <f t="array" ref="L2498">IF($O2498="방문완료",IF($H2498="",0,IFERROR(INDEX(설정_코스수당!$B$15:$F$64,MATCH($H2498,설정_코스수당!$A$15:$A$64,0),MATCH($E2498&amp;"수당",설정_코스수당!$B$14:$F$14,0)),0)),0)</f>
        <v>0</v>
      </c>
      <c r="M2498" s="27">
        <f>IF($O2498="방문완료",IFERROR(VLOOKUP($E2498,설정_코스수당!$A$6:$H$10,6,FALSE),0),0)</f>
        <v>0</v>
      </c>
      <c r="N2498" s="28">
        <f t="shared" si="72"/>
        <v>0</v>
      </c>
      <c r="O2498" s="23"/>
      <c r="P2498" s="23"/>
      <c r="Q2498" s="23"/>
      <c r="R2498" s="26"/>
      <c r="S2498" s="23"/>
      <c r="U2498" s="113"/>
      <c r="V2498" s="111"/>
      <c r="W2498" s="112"/>
      <c r="X2498" s="111"/>
    </row>
    <row r="2499" spans="1:24" ht="19.5" hidden="1" customHeight="1" outlineLevel="1">
      <c r="A2499" s="29">
        <v>14</v>
      </c>
      <c r="B2499" s="30">
        <f>IF(25&lt;=DAY(DATE(YEAR(설정_코스수당!$K$2),MONTH(설정_코스수당!$K$2)+1,0)),DATE(YEAR(설정_코스수당!$K$2),MONTH(설정_코스수당!$K$2),25),"")</f>
        <v>46198</v>
      </c>
      <c r="C2499" s="31"/>
      <c r="D2499" s="29"/>
      <c r="E2499" s="29"/>
      <c r="F2499" s="32"/>
      <c r="G2499" s="29"/>
      <c r="H2499" s="29"/>
      <c r="I2499" s="29"/>
      <c r="J2499" s="33">
        <f>IF($O2499="방문완료",MAX(0,IFERROR(VLOOKUP($E2499,설정_코스수당!$A$6:$H$10,4,FALSE),0)-IF(OR($P2499="",$P2499="없음"),0,100000)),0)</f>
        <v>0</v>
      </c>
      <c r="K2499" s="33">
        <f t="array" ref="K2499">IF($O2499="방문완료",IFERROR(INDEX(설정_코스수당!$B$15:$F$64,MATCH($G2499,설정_코스수당!$A$15:$A$64,0),MATCH($E2499&amp;"수당",설정_코스수당!$B$14:$F$14,0)),0),0)</f>
        <v>0</v>
      </c>
      <c r="L2499" s="33">
        <f t="array" ref="L2499">IF($O2499="방문완료",IF($H2499="",0,IFERROR(INDEX(설정_코스수당!$B$15:$F$64,MATCH($H2499,설정_코스수당!$A$15:$A$64,0),MATCH($E2499&amp;"수당",설정_코스수당!$B$14:$F$14,0)),0)),0)</f>
        <v>0</v>
      </c>
      <c r="M2499" s="33">
        <f>IF($O2499="방문완료",IFERROR(VLOOKUP($E2499,설정_코스수당!$A$6:$H$10,6,FALSE),0),0)</f>
        <v>0</v>
      </c>
      <c r="N2499" s="34">
        <f t="shared" si="72"/>
        <v>0</v>
      </c>
      <c r="O2499" s="29"/>
      <c r="P2499" s="29"/>
      <c r="Q2499" s="29"/>
      <c r="R2499" s="32"/>
      <c r="S2499" s="29"/>
      <c r="U2499" s="113"/>
      <c r="V2499" s="111"/>
      <c r="W2499" s="112"/>
      <c r="X2499" s="111"/>
    </row>
    <row r="2500" spans="1:24" ht="19.5" hidden="1" customHeight="1" outlineLevel="1">
      <c r="A2500" s="23">
        <v>15</v>
      </c>
      <c r="B2500" s="24">
        <f>IF(25&lt;=DAY(DATE(YEAR(설정_코스수당!$K$2),MONTH(설정_코스수당!$K$2)+1,0)),DATE(YEAR(설정_코스수당!$K$2),MONTH(설정_코스수당!$K$2),25),"")</f>
        <v>46198</v>
      </c>
      <c r="C2500" s="25"/>
      <c r="D2500" s="23"/>
      <c r="E2500" s="23"/>
      <c r="F2500" s="26"/>
      <c r="G2500" s="23"/>
      <c r="H2500" s="23"/>
      <c r="I2500" s="23"/>
      <c r="J2500" s="27">
        <f>IF($O2500="방문완료",MAX(0,IFERROR(VLOOKUP($E2500,설정_코스수당!$A$6:$H$10,4,FALSE),0)-IF(OR($P2500="",$P2500="없음"),0,100000)),0)</f>
        <v>0</v>
      </c>
      <c r="K2500" s="27">
        <f t="array" ref="K2500">IF($O2500="방문완료",IFERROR(INDEX(설정_코스수당!$B$15:$F$64,MATCH($G2500,설정_코스수당!$A$15:$A$64,0),MATCH($E2500&amp;"수당",설정_코스수당!$B$14:$F$14,0)),0),0)</f>
        <v>0</v>
      </c>
      <c r="L2500" s="27">
        <f t="array" ref="L2500">IF($O2500="방문완료",IF($H2500="",0,IFERROR(INDEX(설정_코스수당!$B$15:$F$64,MATCH($H2500,설정_코스수당!$A$15:$A$64,0),MATCH($E2500&amp;"수당",설정_코스수당!$B$14:$F$14,0)),0)),0)</f>
        <v>0</v>
      </c>
      <c r="M2500" s="27">
        <f>IF($O2500="방문완료",IFERROR(VLOOKUP($E2500,설정_코스수당!$A$6:$H$10,6,FALSE),0),0)</f>
        <v>0</v>
      </c>
      <c r="N2500" s="28">
        <f t="shared" si="72"/>
        <v>0</v>
      </c>
      <c r="O2500" s="23"/>
      <c r="P2500" s="23"/>
      <c r="Q2500" s="23"/>
      <c r="R2500" s="26"/>
      <c r="S2500" s="23"/>
      <c r="U2500" s="113"/>
      <c r="V2500" s="111"/>
      <c r="W2500" s="112"/>
      <c r="X2500" s="111"/>
    </row>
    <row r="2501" spans="1:24" ht="19.5" hidden="1" customHeight="1" outlineLevel="1">
      <c r="A2501" s="29">
        <v>16</v>
      </c>
      <c r="B2501" s="30">
        <f>IF(25&lt;=DAY(DATE(YEAR(설정_코스수당!$K$2),MONTH(설정_코스수당!$K$2)+1,0)),DATE(YEAR(설정_코스수당!$K$2),MONTH(설정_코스수당!$K$2),25),"")</f>
        <v>46198</v>
      </c>
      <c r="C2501" s="31"/>
      <c r="D2501" s="29"/>
      <c r="E2501" s="29"/>
      <c r="F2501" s="32"/>
      <c r="G2501" s="29"/>
      <c r="H2501" s="29"/>
      <c r="I2501" s="29"/>
      <c r="J2501" s="33">
        <f>IF($O2501="방문완료",MAX(0,IFERROR(VLOOKUP($E2501,설정_코스수당!$A$6:$H$10,4,FALSE),0)-IF(OR($P2501="",$P2501="없음"),0,100000)),0)</f>
        <v>0</v>
      </c>
      <c r="K2501" s="33">
        <f t="array" ref="K2501">IF($O2501="방문완료",IFERROR(INDEX(설정_코스수당!$B$15:$F$64,MATCH($G2501,설정_코스수당!$A$15:$A$64,0),MATCH($E2501&amp;"수당",설정_코스수당!$B$14:$F$14,0)),0),0)</f>
        <v>0</v>
      </c>
      <c r="L2501" s="33">
        <f t="array" ref="L2501">IF($O2501="방문완료",IF($H2501="",0,IFERROR(INDEX(설정_코스수당!$B$15:$F$64,MATCH($H2501,설정_코스수당!$A$15:$A$64,0),MATCH($E2501&amp;"수당",설정_코스수당!$B$14:$F$14,0)),0)),0)</f>
        <v>0</v>
      </c>
      <c r="M2501" s="33">
        <f>IF($O2501="방문완료",IFERROR(VLOOKUP($E2501,설정_코스수당!$A$6:$H$10,6,FALSE),0),0)</f>
        <v>0</v>
      </c>
      <c r="N2501" s="34">
        <f t="shared" si="72"/>
        <v>0</v>
      </c>
      <c r="O2501" s="29"/>
      <c r="P2501" s="29"/>
      <c r="Q2501" s="29"/>
      <c r="R2501" s="32"/>
      <c r="S2501" s="29"/>
      <c r="U2501" s="113"/>
      <c r="V2501" s="111"/>
      <c r="W2501" s="112"/>
      <c r="X2501" s="111"/>
    </row>
    <row r="2502" spans="1:24" ht="19.5" hidden="1" customHeight="1" outlineLevel="1">
      <c r="A2502" s="23">
        <v>17</v>
      </c>
      <c r="B2502" s="24">
        <f>IF(25&lt;=DAY(DATE(YEAR(설정_코스수당!$K$2),MONTH(설정_코스수당!$K$2)+1,0)),DATE(YEAR(설정_코스수당!$K$2),MONTH(설정_코스수당!$K$2),25),"")</f>
        <v>46198</v>
      </c>
      <c r="C2502" s="25"/>
      <c r="D2502" s="23"/>
      <c r="E2502" s="23"/>
      <c r="F2502" s="26"/>
      <c r="G2502" s="23"/>
      <c r="H2502" s="23"/>
      <c r="I2502" s="23"/>
      <c r="J2502" s="27">
        <f>IF($O2502="방문완료",MAX(0,IFERROR(VLOOKUP($E2502,설정_코스수당!$A$6:$H$10,4,FALSE),0)-IF(OR($P2502="",$P2502="없음"),0,100000)),0)</f>
        <v>0</v>
      </c>
      <c r="K2502" s="27">
        <f t="array" ref="K2502">IF($O2502="방문완료",IFERROR(INDEX(설정_코스수당!$B$15:$F$64,MATCH($G2502,설정_코스수당!$A$15:$A$64,0),MATCH($E2502&amp;"수당",설정_코스수당!$B$14:$F$14,0)),0),0)</f>
        <v>0</v>
      </c>
      <c r="L2502" s="27">
        <f t="array" ref="L2502">IF($O2502="방문완료",IF($H2502="",0,IFERROR(INDEX(설정_코스수당!$B$15:$F$64,MATCH($H2502,설정_코스수당!$A$15:$A$64,0),MATCH($E2502&amp;"수당",설정_코스수당!$B$14:$F$14,0)),0)),0)</f>
        <v>0</v>
      </c>
      <c r="M2502" s="27">
        <f>IF($O2502="방문완료",IFERROR(VLOOKUP($E2502,설정_코스수당!$A$6:$H$10,6,FALSE),0),0)</f>
        <v>0</v>
      </c>
      <c r="N2502" s="28">
        <f t="shared" si="72"/>
        <v>0</v>
      </c>
      <c r="O2502" s="23"/>
      <c r="P2502" s="23"/>
      <c r="Q2502" s="23"/>
      <c r="R2502" s="26"/>
      <c r="S2502" s="23"/>
      <c r="U2502" s="113"/>
      <c r="V2502" s="111"/>
      <c r="W2502" s="112"/>
      <c r="X2502" s="111"/>
    </row>
    <row r="2503" spans="1:24" ht="19.5" hidden="1" customHeight="1" outlineLevel="1">
      <c r="A2503" s="29">
        <v>18</v>
      </c>
      <c r="B2503" s="30">
        <f>IF(25&lt;=DAY(DATE(YEAR(설정_코스수당!$K$2),MONTH(설정_코스수당!$K$2)+1,0)),DATE(YEAR(설정_코스수당!$K$2),MONTH(설정_코스수당!$K$2),25),"")</f>
        <v>46198</v>
      </c>
      <c r="C2503" s="31"/>
      <c r="D2503" s="29"/>
      <c r="E2503" s="29"/>
      <c r="F2503" s="32"/>
      <c r="G2503" s="29"/>
      <c r="H2503" s="29"/>
      <c r="I2503" s="29"/>
      <c r="J2503" s="33">
        <f>IF($O2503="방문완료",MAX(0,IFERROR(VLOOKUP($E2503,설정_코스수당!$A$6:$H$10,4,FALSE),0)-IF(OR($P2503="",$P2503="없음"),0,100000)),0)</f>
        <v>0</v>
      </c>
      <c r="K2503" s="33">
        <f t="array" ref="K2503">IF($O2503="방문완료",IFERROR(INDEX(설정_코스수당!$B$15:$F$64,MATCH($G2503,설정_코스수당!$A$15:$A$64,0),MATCH($E2503&amp;"수당",설정_코스수당!$B$14:$F$14,0)),0),0)</f>
        <v>0</v>
      </c>
      <c r="L2503" s="33">
        <f t="array" ref="L2503">IF($O2503="방문완료",IF($H2503="",0,IFERROR(INDEX(설정_코스수당!$B$15:$F$64,MATCH($H2503,설정_코스수당!$A$15:$A$64,0),MATCH($E2503&amp;"수당",설정_코스수당!$B$14:$F$14,0)),0)),0)</f>
        <v>0</v>
      </c>
      <c r="M2503" s="33">
        <f>IF($O2503="방문완료",IFERROR(VLOOKUP($E2503,설정_코스수당!$A$6:$H$10,6,FALSE),0),0)</f>
        <v>0</v>
      </c>
      <c r="N2503" s="34">
        <f t="shared" si="72"/>
        <v>0</v>
      </c>
      <c r="O2503" s="29"/>
      <c r="P2503" s="29"/>
      <c r="Q2503" s="29"/>
      <c r="R2503" s="32"/>
      <c r="S2503" s="29"/>
      <c r="U2503" s="113"/>
      <c r="V2503" s="111"/>
      <c r="W2503" s="112"/>
      <c r="X2503" s="111"/>
    </row>
    <row r="2504" spans="1:24" ht="19.5" hidden="1" customHeight="1" outlineLevel="1">
      <c r="A2504" s="23">
        <v>19</v>
      </c>
      <c r="B2504" s="24">
        <f>IF(25&lt;=DAY(DATE(YEAR(설정_코스수당!$K$2),MONTH(설정_코스수당!$K$2)+1,0)),DATE(YEAR(설정_코스수당!$K$2),MONTH(설정_코스수당!$K$2),25),"")</f>
        <v>46198</v>
      </c>
      <c r="C2504" s="25"/>
      <c r="D2504" s="23"/>
      <c r="E2504" s="23"/>
      <c r="F2504" s="26"/>
      <c r="G2504" s="23"/>
      <c r="H2504" s="23"/>
      <c r="I2504" s="23"/>
      <c r="J2504" s="27">
        <f>IF($O2504="방문완료",MAX(0,IFERROR(VLOOKUP($E2504,설정_코스수당!$A$6:$H$10,4,FALSE),0)-IF(OR($P2504="",$P2504="없음"),0,100000)),0)</f>
        <v>0</v>
      </c>
      <c r="K2504" s="27">
        <f t="array" ref="K2504">IF($O2504="방문완료",IFERROR(INDEX(설정_코스수당!$B$15:$F$64,MATCH($G2504,설정_코스수당!$A$15:$A$64,0),MATCH($E2504&amp;"수당",설정_코스수당!$B$14:$F$14,0)),0),0)</f>
        <v>0</v>
      </c>
      <c r="L2504" s="27">
        <f t="array" ref="L2504">IF($O2504="방문완료",IF($H2504="",0,IFERROR(INDEX(설정_코스수당!$B$15:$F$64,MATCH($H2504,설정_코스수당!$A$15:$A$64,0),MATCH($E2504&amp;"수당",설정_코스수당!$B$14:$F$14,0)),0)),0)</f>
        <v>0</v>
      </c>
      <c r="M2504" s="27">
        <f>IF($O2504="방문완료",IFERROR(VLOOKUP($E2504,설정_코스수당!$A$6:$H$10,6,FALSE),0),0)</f>
        <v>0</v>
      </c>
      <c r="N2504" s="28">
        <f t="shared" si="72"/>
        <v>0</v>
      </c>
      <c r="O2504" s="23"/>
      <c r="P2504" s="23"/>
      <c r="Q2504" s="23"/>
      <c r="R2504" s="26"/>
      <c r="S2504" s="23"/>
      <c r="U2504" s="113"/>
      <c r="V2504" s="111"/>
      <c r="W2504" s="112"/>
      <c r="X2504" s="111"/>
    </row>
    <row r="2505" spans="1:24" ht="19.5" hidden="1" customHeight="1" outlineLevel="1">
      <c r="A2505" s="29">
        <v>20</v>
      </c>
      <c r="B2505" s="30">
        <f>IF(25&lt;=DAY(DATE(YEAR(설정_코스수당!$K$2),MONTH(설정_코스수당!$K$2)+1,0)),DATE(YEAR(설정_코스수당!$K$2),MONTH(설정_코스수당!$K$2),25),"")</f>
        <v>46198</v>
      </c>
      <c r="C2505" s="31"/>
      <c r="D2505" s="29"/>
      <c r="E2505" s="29"/>
      <c r="F2505" s="32"/>
      <c r="G2505" s="29"/>
      <c r="H2505" s="29"/>
      <c r="I2505" s="29"/>
      <c r="J2505" s="33">
        <f>IF($O2505="방문완료",MAX(0,IFERROR(VLOOKUP($E2505,설정_코스수당!$A$6:$H$10,4,FALSE),0)-IF(OR($P2505="",$P2505="없음"),0,100000)),0)</f>
        <v>0</v>
      </c>
      <c r="K2505" s="33">
        <f t="array" ref="K2505">IF($O2505="방문완료",IFERROR(INDEX(설정_코스수당!$B$15:$F$64,MATCH($G2505,설정_코스수당!$A$15:$A$64,0),MATCH($E2505&amp;"수당",설정_코스수당!$B$14:$F$14,0)),0),0)</f>
        <v>0</v>
      </c>
      <c r="L2505" s="33">
        <f t="array" ref="L2505">IF($O2505="방문완료",IF($H2505="",0,IFERROR(INDEX(설정_코스수당!$B$15:$F$64,MATCH($H2505,설정_코스수당!$A$15:$A$64,0),MATCH($E2505&amp;"수당",설정_코스수당!$B$14:$F$14,0)),0)),0)</f>
        <v>0</v>
      </c>
      <c r="M2505" s="33">
        <f>IF($O2505="방문완료",IFERROR(VLOOKUP($E2505,설정_코스수당!$A$6:$H$10,6,FALSE),0),0)</f>
        <v>0</v>
      </c>
      <c r="N2505" s="34">
        <f t="shared" si="72"/>
        <v>0</v>
      </c>
      <c r="O2505" s="29"/>
      <c r="P2505" s="29"/>
      <c r="Q2505" s="29"/>
      <c r="R2505" s="32"/>
      <c r="S2505" s="29"/>
    </row>
    <row r="2506" spans="1:24" ht="19.5" hidden="1" customHeight="1" outlineLevel="1">
      <c r="A2506" s="23">
        <v>21</v>
      </c>
      <c r="B2506" s="24">
        <f>IF(25&lt;=DAY(DATE(YEAR(설정_코스수당!$K$2),MONTH(설정_코스수당!$K$2)+1,0)),DATE(YEAR(설정_코스수당!$K$2),MONTH(설정_코스수당!$K$2),25),"")</f>
        <v>46198</v>
      </c>
      <c r="C2506" s="25"/>
      <c r="D2506" s="23"/>
      <c r="E2506" s="23"/>
      <c r="F2506" s="26"/>
      <c r="G2506" s="23"/>
      <c r="H2506" s="23"/>
      <c r="I2506" s="23"/>
      <c r="J2506" s="27">
        <f>IF($O2506="방문완료",MAX(0,IFERROR(VLOOKUP($E2506,설정_코스수당!$A$6:$H$10,4,FALSE),0)-IF(OR($P2506="",$P2506="없음"),0,100000)),0)</f>
        <v>0</v>
      </c>
      <c r="K2506" s="27">
        <f t="array" ref="K2506">IF($O2506="방문완료",IFERROR(INDEX(설정_코스수당!$B$15:$F$64,MATCH($G2506,설정_코스수당!$A$15:$A$64,0),MATCH($E2506&amp;"수당",설정_코스수당!$B$14:$F$14,0)),0),0)</f>
        <v>0</v>
      </c>
      <c r="L2506" s="27">
        <f t="array" ref="L2506">IF($O2506="방문완료",IF($H2506="",0,IFERROR(INDEX(설정_코스수당!$B$15:$F$64,MATCH($H2506,설정_코스수당!$A$15:$A$64,0),MATCH($E2506&amp;"수당",설정_코스수당!$B$14:$F$14,0)),0)),0)</f>
        <v>0</v>
      </c>
      <c r="M2506" s="27">
        <f>IF($O2506="방문완료",IFERROR(VLOOKUP($E2506,설정_코스수당!$A$6:$H$10,6,FALSE),0),0)</f>
        <v>0</v>
      </c>
      <c r="N2506" s="28">
        <f t="shared" si="72"/>
        <v>0</v>
      </c>
      <c r="O2506" s="23"/>
      <c r="P2506" s="23"/>
      <c r="Q2506" s="23"/>
      <c r="R2506" s="26"/>
      <c r="S2506" s="23"/>
    </row>
    <row r="2507" spans="1:24" ht="19.5" hidden="1" customHeight="1" outlineLevel="1">
      <c r="A2507" s="29">
        <v>22</v>
      </c>
      <c r="B2507" s="30">
        <f>IF(25&lt;=DAY(DATE(YEAR(설정_코스수당!$K$2),MONTH(설정_코스수당!$K$2)+1,0)),DATE(YEAR(설정_코스수당!$K$2),MONTH(설정_코스수당!$K$2),25),"")</f>
        <v>46198</v>
      </c>
      <c r="C2507" s="31"/>
      <c r="D2507" s="29"/>
      <c r="E2507" s="29"/>
      <c r="F2507" s="32"/>
      <c r="G2507" s="29"/>
      <c r="H2507" s="29"/>
      <c r="I2507" s="29"/>
      <c r="J2507" s="33">
        <f>IF($O2507="방문완료",MAX(0,IFERROR(VLOOKUP($E2507,설정_코스수당!$A$6:$H$10,4,FALSE),0)-IF(OR($P2507="",$P2507="없음"),0,100000)),0)</f>
        <v>0</v>
      </c>
      <c r="K2507" s="33">
        <f t="array" ref="K2507">IF($O2507="방문완료",IFERROR(INDEX(설정_코스수당!$B$15:$F$64,MATCH($G2507,설정_코스수당!$A$15:$A$64,0),MATCH($E2507&amp;"수당",설정_코스수당!$B$14:$F$14,0)),0),0)</f>
        <v>0</v>
      </c>
      <c r="L2507" s="33">
        <f t="array" ref="L2507">IF($O2507="방문완료",IF($H2507="",0,IFERROR(INDEX(설정_코스수당!$B$15:$F$64,MATCH($H2507,설정_코스수당!$A$15:$A$64,0),MATCH($E2507&amp;"수당",설정_코스수당!$B$14:$F$14,0)),0)),0)</f>
        <v>0</v>
      </c>
      <c r="M2507" s="33">
        <f>IF($O2507="방문완료",IFERROR(VLOOKUP($E2507,설정_코스수당!$A$6:$H$10,6,FALSE),0),0)</f>
        <v>0</v>
      </c>
      <c r="N2507" s="34">
        <f t="shared" si="72"/>
        <v>0</v>
      </c>
      <c r="O2507" s="29"/>
      <c r="P2507" s="29"/>
      <c r="Q2507" s="29"/>
      <c r="R2507" s="32"/>
      <c r="S2507" s="29"/>
    </row>
    <row r="2508" spans="1:24" ht="19.5" hidden="1" customHeight="1" outlineLevel="1">
      <c r="A2508" s="23">
        <v>23</v>
      </c>
      <c r="B2508" s="24">
        <f>IF(25&lt;=DAY(DATE(YEAR(설정_코스수당!$K$2),MONTH(설정_코스수당!$K$2)+1,0)),DATE(YEAR(설정_코스수당!$K$2),MONTH(설정_코스수당!$K$2),25),"")</f>
        <v>46198</v>
      </c>
      <c r="C2508" s="25"/>
      <c r="D2508" s="23"/>
      <c r="E2508" s="23"/>
      <c r="F2508" s="26"/>
      <c r="G2508" s="23"/>
      <c r="H2508" s="23"/>
      <c r="I2508" s="23"/>
      <c r="J2508" s="27">
        <f>IF($O2508="방문완료",MAX(0,IFERROR(VLOOKUP($E2508,설정_코스수당!$A$6:$H$10,4,FALSE),0)-IF(OR($P2508="",$P2508="없음"),0,100000)),0)</f>
        <v>0</v>
      </c>
      <c r="K2508" s="27">
        <f t="array" ref="K2508">IF($O2508="방문완료",IFERROR(INDEX(설정_코스수당!$B$15:$F$64,MATCH($G2508,설정_코스수당!$A$15:$A$64,0),MATCH($E2508&amp;"수당",설정_코스수당!$B$14:$F$14,0)),0),0)</f>
        <v>0</v>
      </c>
      <c r="L2508" s="27">
        <f t="array" ref="L2508">IF($O2508="방문완료",IF($H2508="",0,IFERROR(INDEX(설정_코스수당!$B$15:$F$64,MATCH($H2508,설정_코스수당!$A$15:$A$64,0),MATCH($E2508&amp;"수당",설정_코스수당!$B$14:$F$14,0)),0)),0)</f>
        <v>0</v>
      </c>
      <c r="M2508" s="27">
        <f>IF($O2508="방문완료",IFERROR(VLOOKUP($E2508,설정_코스수당!$A$6:$H$10,6,FALSE),0),0)</f>
        <v>0</v>
      </c>
      <c r="N2508" s="28">
        <f t="shared" si="72"/>
        <v>0</v>
      </c>
      <c r="O2508" s="23"/>
      <c r="P2508" s="23"/>
      <c r="Q2508" s="23"/>
      <c r="R2508" s="26"/>
      <c r="S2508" s="23"/>
    </row>
    <row r="2509" spans="1:24" ht="19.5" hidden="1" customHeight="1" outlineLevel="1">
      <c r="A2509" s="29">
        <v>24</v>
      </c>
      <c r="B2509" s="30">
        <f>IF(25&lt;=DAY(DATE(YEAR(설정_코스수당!$K$2),MONTH(설정_코스수당!$K$2)+1,0)),DATE(YEAR(설정_코스수당!$K$2),MONTH(설정_코스수당!$K$2),25),"")</f>
        <v>46198</v>
      </c>
      <c r="C2509" s="31"/>
      <c r="D2509" s="29"/>
      <c r="E2509" s="29"/>
      <c r="F2509" s="32"/>
      <c r="G2509" s="29"/>
      <c r="H2509" s="29"/>
      <c r="I2509" s="29"/>
      <c r="J2509" s="33">
        <f>IF($O2509="방문완료",MAX(0,IFERROR(VLOOKUP($E2509,설정_코스수당!$A$6:$H$10,4,FALSE),0)-IF(OR($P2509="",$P2509="없음"),0,100000)),0)</f>
        <v>0</v>
      </c>
      <c r="K2509" s="33">
        <f t="array" ref="K2509">IF($O2509="방문완료",IFERROR(INDEX(설정_코스수당!$B$15:$F$64,MATCH($G2509,설정_코스수당!$A$15:$A$64,0),MATCH($E2509&amp;"수당",설정_코스수당!$B$14:$F$14,0)),0),0)</f>
        <v>0</v>
      </c>
      <c r="L2509" s="33">
        <f t="array" ref="L2509">IF($O2509="방문완료",IF($H2509="",0,IFERROR(INDEX(설정_코스수당!$B$15:$F$64,MATCH($H2509,설정_코스수당!$A$15:$A$64,0),MATCH($E2509&amp;"수당",설정_코스수당!$B$14:$F$14,0)),0)),0)</f>
        <v>0</v>
      </c>
      <c r="M2509" s="33">
        <f>IF($O2509="방문완료",IFERROR(VLOOKUP($E2509,설정_코스수당!$A$6:$H$10,6,FALSE),0),0)</f>
        <v>0</v>
      </c>
      <c r="N2509" s="34">
        <f t="shared" si="72"/>
        <v>0</v>
      </c>
      <c r="O2509" s="29"/>
      <c r="P2509" s="29"/>
      <c r="Q2509" s="29"/>
      <c r="R2509" s="32"/>
      <c r="S2509" s="29"/>
    </row>
    <row r="2510" spans="1:24" ht="19.5" hidden="1" customHeight="1" outlineLevel="1">
      <c r="A2510" s="23">
        <v>25</v>
      </c>
      <c r="B2510" s="24">
        <f>IF(25&lt;=DAY(DATE(YEAR(설정_코스수당!$K$2),MONTH(설정_코스수당!$K$2)+1,0)),DATE(YEAR(설정_코스수당!$K$2),MONTH(설정_코스수당!$K$2),25),"")</f>
        <v>46198</v>
      </c>
      <c r="C2510" s="25"/>
      <c r="D2510" s="23"/>
      <c r="E2510" s="23"/>
      <c r="F2510" s="26"/>
      <c r="G2510" s="23"/>
      <c r="H2510" s="23"/>
      <c r="I2510" s="23"/>
      <c r="J2510" s="27">
        <f>IF($O2510="방문완료",MAX(0,IFERROR(VLOOKUP($E2510,설정_코스수당!$A$6:$H$10,4,FALSE),0)-IF(OR($P2510="",$P2510="없음"),0,100000)),0)</f>
        <v>0</v>
      </c>
      <c r="K2510" s="27">
        <f t="array" ref="K2510">IF($O2510="방문완료",IFERROR(INDEX(설정_코스수당!$B$15:$F$64,MATCH($G2510,설정_코스수당!$A$15:$A$64,0),MATCH($E2510&amp;"수당",설정_코스수당!$B$14:$F$14,0)),0),0)</f>
        <v>0</v>
      </c>
      <c r="L2510" s="27">
        <f t="array" ref="L2510">IF($O2510="방문완료",IF($H2510="",0,IFERROR(INDEX(설정_코스수당!$B$15:$F$64,MATCH($H2510,설정_코스수당!$A$15:$A$64,0),MATCH($E2510&amp;"수당",설정_코스수당!$B$14:$F$14,0)),0)),0)</f>
        <v>0</v>
      </c>
      <c r="M2510" s="27">
        <f>IF($O2510="방문완료",IFERROR(VLOOKUP($E2510,설정_코스수당!$A$6:$H$10,6,FALSE),0),0)</f>
        <v>0</v>
      </c>
      <c r="N2510" s="28">
        <f t="shared" si="72"/>
        <v>0</v>
      </c>
      <c r="O2510" s="23"/>
      <c r="P2510" s="23"/>
      <c r="Q2510" s="23"/>
      <c r="R2510" s="26"/>
      <c r="S2510" s="23"/>
    </row>
    <row r="2511" spans="1:24" ht="19.5" hidden="1" customHeight="1" outlineLevel="1">
      <c r="A2511" s="29">
        <v>26</v>
      </c>
      <c r="B2511" s="30">
        <f>IF(25&lt;=DAY(DATE(YEAR(설정_코스수당!$K$2),MONTH(설정_코스수당!$K$2)+1,0)),DATE(YEAR(설정_코스수당!$K$2),MONTH(설정_코스수당!$K$2),25),"")</f>
        <v>46198</v>
      </c>
      <c r="C2511" s="31"/>
      <c r="D2511" s="29"/>
      <c r="E2511" s="29"/>
      <c r="F2511" s="32"/>
      <c r="G2511" s="29"/>
      <c r="H2511" s="29"/>
      <c r="I2511" s="29"/>
      <c r="J2511" s="33">
        <f>IF($O2511="방문완료",MAX(0,IFERROR(VLOOKUP($E2511,설정_코스수당!$A$6:$H$10,4,FALSE),0)-IF(OR($P2511="",$P2511="없음"),0,100000)),0)</f>
        <v>0</v>
      </c>
      <c r="K2511" s="33">
        <f t="array" ref="K2511">IF($O2511="방문완료",IFERROR(INDEX(설정_코스수당!$B$15:$F$64,MATCH($G2511,설정_코스수당!$A$15:$A$64,0),MATCH($E2511&amp;"수당",설정_코스수당!$B$14:$F$14,0)),0),0)</f>
        <v>0</v>
      </c>
      <c r="L2511" s="33">
        <f t="array" ref="L2511">IF($O2511="방문완료",IF($H2511="",0,IFERROR(INDEX(설정_코스수당!$B$15:$F$64,MATCH($H2511,설정_코스수당!$A$15:$A$64,0),MATCH($E2511&amp;"수당",설정_코스수당!$B$14:$F$14,0)),0)),0)</f>
        <v>0</v>
      </c>
      <c r="M2511" s="33">
        <f>IF($O2511="방문완료",IFERROR(VLOOKUP($E2511,설정_코스수당!$A$6:$H$10,6,FALSE),0),0)</f>
        <v>0</v>
      </c>
      <c r="N2511" s="34">
        <f t="shared" si="72"/>
        <v>0</v>
      </c>
      <c r="O2511" s="29"/>
      <c r="P2511" s="29"/>
      <c r="Q2511" s="29"/>
      <c r="R2511" s="32"/>
      <c r="S2511" s="29"/>
    </row>
    <row r="2512" spans="1:24" ht="19.5" hidden="1" customHeight="1" outlineLevel="1">
      <c r="A2512" s="23">
        <v>27</v>
      </c>
      <c r="B2512" s="24">
        <f>IF(25&lt;=DAY(DATE(YEAR(설정_코스수당!$K$2),MONTH(설정_코스수당!$K$2)+1,0)),DATE(YEAR(설정_코스수당!$K$2),MONTH(설정_코스수당!$K$2),25),"")</f>
        <v>46198</v>
      </c>
      <c r="C2512" s="25"/>
      <c r="D2512" s="23"/>
      <c r="E2512" s="23"/>
      <c r="F2512" s="26"/>
      <c r="G2512" s="23"/>
      <c r="H2512" s="23"/>
      <c r="I2512" s="23"/>
      <c r="J2512" s="27">
        <f>IF($O2512="방문완료",MAX(0,IFERROR(VLOOKUP($E2512,설정_코스수당!$A$6:$H$10,4,FALSE),0)-IF(OR($P2512="",$P2512="없음"),0,100000)),0)</f>
        <v>0</v>
      </c>
      <c r="K2512" s="27">
        <f t="array" ref="K2512">IF($O2512="방문완료",IFERROR(INDEX(설정_코스수당!$B$15:$F$64,MATCH($G2512,설정_코스수당!$A$15:$A$64,0),MATCH($E2512&amp;"수당",설정_코스수당!$B$14:$F$14,0)),0),0)</f>
        <v>0</v>
      </c>
      <c r="L2512" s="27">
        <f t="array" ref="L2512">IF($O2512="방문완료",IF($H2512="",0,IFERROR(INDEX(설정_코스수당!$B$15:$F$64,MATCH($H2512,설정_코스수당!$A$15:$A$64,0),MATCH($E2512&amp;"수당",설정_코스수당!$B$14:$F$14,0)),0)),0)</f>
        <v>0</v>
      </c>
      <c r="M2512" s="27">
        <f>IF($O2512="방문완료",IFERROR(VLOOKUP($E2512,설정_코스수당!$A$6:$H$10,6,FALSE),0),0)</f>
        <v>0</v>
      </c>
      <c r="N2512" s="28">
        <f t="shared" si="72"/>
        <v>0</v>
      </c>
      <c r="O2512" s="23"/>
      <c r="P2512" s="23"/>
      <c r="Q2512" s="23"/>
      <c r="R2512" s="26"/>
      <c r="S2512" s="23"/>
    </row>
    <row r="2513" spans="1:22" ht="19.5" hidden="1" customHeight="1" outlineLevel="1">
      <c r="A2513" s="29">
        <v>28</v>
      </c>
      <c r="B2513" s="30">
        <f>IF(25&lt;=DAY(DATE(YEAR(설정_코스수당!$K$2),MONTH(설정_코스수당!$K$2)+1,0)),DATE(YEAR(설정_코스수당!$K$2),MONTH(설정_코스수당!$K$2),25),"")</f>
        <v>46198</v>
      </c>
      <c r="C2513" s="31"/>
      <c r="D2513" s="29"/>
      <c r="E2513" s="29"/>
      <c r="F2513" s="32"/>
      <c r="G2513" s="29"/>
      <c r="H2513" s="29"/>
      <c r="I2513" s="29"/>
      <c r="J2513" s="33">
        <f>IF($O2513="방문완료",MAX(0,IFERROR(VLOOKUP($E2513,설정_코스수당!$A$6:$H$10,4,FALSE),0)-IF(OR($P2513="",$P2513="없음"),0,100000)),0)</f>
        <v>0</v>
      </c>
      <c r="K2513" s="33">
        <f t="array" ref="K2513">IF($O2513="방문완료",IFERROR(INDEX(설정_코스수당!$B$15:$F$64,MATCH($G2513,설정_코스수당!$A$15:$A$64,0),MATCH($E2513&amp;"수당",설정_코스수당!$B$14:$F$14,0)),0),0)</f>
        <v>0</v>
      </c>
      <c r="L2513" s="33">
        <f t="array" ref="L2513">IF($O2513="방문완료",IF($H2513="",0,IFERROR(INDEX(설정_코스수당!$B$15:$F$64,MATCH($H2513,설정_코스수당!$A$15:$A$64,0),MATCH($E2513&amp;"수당",설정_코스수당!$B$14:$F$14,0)),0)),0)</f>
        <v>0</v>
      </c>
      <c r="M2513" s="33">
        <f>IF($O2513="방문완료",IFERROR(VLOOKUP($E2513,설정_코스수당!$A$6:$H$10,6,FALSE),0),0)</f>
        <v>0</v>
      </c>
      <c r="N2513" s="34">
        <f t="shared" si="72"/>
        <v>0</v>
      </c>
      <c r="O2513" s="29"/>
      <c r="P2513" s="29"/>
      <c r="Q2513" s="29"/>
      <c r="R2513" s="32"/>
      <c r="S2513" s="29"/>
    </row>
    <row r="2514" spans="1:22" ht="19.5" hidden="1" customHeight="1" outlineLevel="1">
      <c r="A2514" s="23">
        <v>29</v>
      </c>
      <c r="B2514" s="24">
        <f>IF(25&lt;=DAY(DATE(YEAR(설정_코스수당!$K$2),MONTH(설정_코스수당!$K$2)+1,0)),DATE(YEAR(설정_코스수당!$K$2),MONTH(설정_코스수당!$K$2),25),"")</f>
        <v>46198</v>
      </c>
      <c r="C2514" s="25"/>
      <c r="D2514" s="23"/>
      <c r="E2514" s="23"/>
      <c r="F2514" s="26"/>
      <c r="G2514" s="23"/>
      <c r="H2514" s="23"/>
      <c r="I2514" s="23"/>
      <c r="J2514" s="27">
        <f>IF($O2514="방문완료",MAX(0,IFERROR(VLOOKUP($E2514,설정_코스수당!$A$6:$H$10,4,FALSE),0)-IF(OR($P2514="",$P2514="없음"),0,100000)),0)</f>
        <v>0</v>
      </c>
      <c r="K2514" s="27">
        <f t="array" ref="K2514">IF($O2514="방문완료",IFERROR(INDEX(설정_코스수당!$B$15:$F$64,MATCH($G2514,설정_코스수당!$A$15:$A$64,0),MATCH($E2514&amp;"수당",설정_코스수당!$B$14:$F$14,0)),0),0)</f>
        <v>0</v>
      </c>
      <c r="L2514" s="27">
        <f t="array" ref="L2514">IF($O2514="방문완료",IF($H2514="",0,IFERROR(INDEX(설정_코스수당!$B$15:$F$64,MATCH($H2514,설정_코스수당!$A$15:$A$64,0),MATCH($E2514&amp;"수당",설정_코스수당!$B$14:$F$14,0)),0)),0)</f>
        <v>0</v>
      </c>
      <c r="M2514" s="27">
        <f>IF($O2514="방문완료",IFERROR(VLOOKUP($E2514,설정_코스수당!$A$6:$H$10,6,FALSE),0),0)</f>
        <v>0</v>
      </c>
      <c r="N2514" s="28">
        <f t="shared" si="72"/>
        <v>0</v>
      </c>
      <c r="O2514" s="23"/>
      <c r="P2514" s="23"/>
      <c r="Q2514" s="23"/>
      <c r="R2514" s="26"/>
      <c r="S2514" s="23"/>
    </row>
    <row r="2515" spans="1:22" ht="19.5" hidden="1" customHeight="1" outlineLevel="1">
      <c r="A2515" s="29">
        <v>30</v>
      </c>
      <c r="B2515" s="30">
        <f>IF(25&lt;=DAY(DATE(YEAR(설정_코스수당!$K$2),MONTH(설정_코스수당!$K$2)+1,0)),DATE(YEAR(설정_코스수당!$K$2),MONTH(설정_코스수당!$K$2),25),"")</f>
        <v>46198</v>
      </c>
      <c r="C2515" s="31"/>
      <c r="D2515" s="29"/>
      <c r="E2515" s="29"/>
      <c r="F2515" s="32"/>
      <c r="G2515" s="29"/>
      <c r="H2515" s="29"/>
      <c r="I2515" s="29"/>
      <c r="J2515" s="33">
        <f>IF($O2515="방문완료",MAX(0,IFERROR(VLOOKUP($E2515,설정_코스수당!$A$6:$H$10,4,FALSE),0)-IF(OR($P2515="",$P2515="없음"),0,100000)),0)</f>
        <v>0</v>
      </c>
      <c r="K2515" s="33">
        <f t="array" ref="K2515">IF($O2515="방문완료",IFERROR(INDEX(설정_코스수당!$B$15:$F$64,MATCH($G2515,설정_코스수당!$A$15:$A$64,0),MATCH($E2515&amp;"수당",설정_코스수당!$B$14:$F$14,0)),0),0)</f>
        <v>0</v>
      </c>
      <c r="L2515" s="33">
        <f t="array" ref="L2515">IF($O2515="방문완료",IF($H2515="",0,IFERROR(INDEX(설정_코스수당!$B$15:$F$64,MATCH($H2515,설정_코스수당!$A$15:$A$64,0),MATCH($E2515&amp;"수당",설정_코스수당!$B$14:$F$14,0)),0)),0)</f>
        <v>0</v>
      </c>
      <c r="M2515" s="33">
        <f>IF($O2515="방문완료",IFERROR(VLOOKUP($E2515,설정_코스수당!$A$6:$H$10,6,FALSE),0),0)</f>
        <v>0</v>
      </c>
      <c r="N2515" s="34">
        <f t="shared" si="72"/>
        <v>0</v>
      </c>
      <c r="O2515" s="29"/>
      <c r="P2515" s="29"/>
      <c r="Q2515" s="29"/>
      <c r="R2515" s="32"/>
      <c r="S2515" s="29"/>
    </row>
    <row r="2516" spans="1:22" ht="19.5" hidden="1" customHeight="1" outlineLevel="1">
      <c r="A2516" s="23">
        <v>31</v>
      </c>
      <c r="B2516" s="24">
        <f>IF(25&lt;=DAY(DATE(YEAR(설정_코스수당!$K$2),MONTH(설정_코스수당!$K$2)+1,0)),DATE(YEAR(설정_코스수당!$K$2),MONTH(설정_코스수당!$K$2),25),"")</f>
        <v>46198</v>
      </c>
      <c r="C2516" s="25"/>
      <c r="D2516" s="23"/>
      <c r="E2516" s="23"/>
      <c r="F2516" s="26"/>
      <c r="G2516" s="23"/>
      <c r="H2516" s="23"/>
      <c r="I2516" s="23"/>
      <c r="J2516" s="27">
        <f>IF($O2516="방문완료",MAX(0,IFERROR(VLOOKUP($E2516,설정_코스수당!$A$6:$H$10,4,FALSE),0)-IF(OR($P2516="",$P2516="없음"),0,100000)),0)</f>
        <v>0</v>
      </c>
      <c r="K2516" s="27">
        <f t="array" ref="K2516">IF($O2516="방문완료",IFERROR(INDEX(설정_코스수당!$B$15:$F$64,MATCH($G2516,설정_코스수당!$A$15:$A$64,0),MATCH($E2516&amp;"수당",설정_코스수당!$B$14:$F$14,0)),0),0)</f>
        <v>0</v>
      </c>
      <c r="L2516" s="27">
        <f t="array" ref="L2516">IF($O2516="방문완료",IF($H2516="",0,IFERROR(INDEX(설정_코스수당!$B$15:$F$64,MATCH($H2516,설정_코스수당!$A$15:$A$64,0),MATCH($E2516&amp;"수당",설정_코스수당!$B$14:$F$14,0)),0)),0)</f>
        <v>0</v>
      </c>
      <c r="M2516" s="27">
        <f>IF($O2516="방문완료",IFERROR(VLOOKUP($E2516,설정_코스수당!$A$6:$H$10,6,FALSE),0),0)</f>
        <v>0</v>
      </c>
      <c r="N2516" s="28">
        <f t="shared" si="72"/>
        <v>0</v>
      </c>
      <c r="O2516" s="23"/>
      <c r="P2516" s="23"/>
      <c r="Q2516" s="23"/>
      <c r="R2516" s="26"/>
      <c r="S2516" s="23"/>
    </row>
    <row r="2517" spans="1:22" ht="19.5" hidden="1" customHeight="1" outlineLevel="1">
      <c r="A2517" s="29">
        <v>32</v>
      </c>
      <c r="B2517" s="30">
        <f>IF(25&lt;=DAY(DATE(YEAR(설정_코스수당!$K$2),MONTH(설정_코스수당!$K$2)+1,0)),DATE(YEAR(설정_코스수당!$K$2),MONTH(설정_코스수당!$K$2),25),"")</f>
        <v>46198</v>
      </c>
      <c r="C2517" s="31"/>
      <c r="D2517" s="29"/>
      <c r="E2517" s="29"/>
      <c r="F2517" s="32"/>
      <c r="G2517" s="29"/>
      <c r="H2517" s="29"/>
      <c r="I2517" s="29"/>
      <c r="J2517" s="33">
        <f>IF($O2517="방문완료",MAX(0,IFERROR(VLOOKUP($E2517,설정_코스수당!$A$6:$H$10,4,FALSE),0)-IF(OR($P2517="",$P2517="없음"),0,100000)),0)</f>
        <v>0</v>
      </c>
      <c r="K2517" s="33">
        <f t="array" ref="K2517">IF($O2517="방문완료",IFERROR(INDEX(설정_코스수당!$B$15:$F$64,MATCH($G2517,설정_코스수당!$A$15:$A$64,0),MATCH($E2517&amp;"수당",설정_코스수당!$B$14:$F$14,0)),0),0)</f>
        <v>0</v>
      </c>
      <c r="L2517" s="33">
        <f t="array" ref="L2517">IF($O2517="방문완료",IF($H2517="",0,IFERROR(INDEX(설정_코스수당!$B$15:$F$64,MATCH($H2517,설정_코스수당!$A$15:$A$64,0),MATCH($E2517&amp;"수당",설정_코스수당!$B$14:$F$14,0)),0)),0)</f>
        <v>0</v>
      </c>
      <c r="M2517" s="33">
        <f>IF($O2517="방문완료",IFERROR(VLOOKUP($E2517,설정_코스수당!$A$6:$H$10,6,FALSE),0),0)</f>
        <v>0</v>
      </c>
      <c r="N2517" s="34">
        <f t="shared" si="72"/>
        <v>0</v>
      </c>
      <c r="O2517" s="29"/>
      <c r="P2517" s="29"/>
      <c r="Q2517" s="29"/>
      <c r="R2517" s="32"/>
      <c r="S2517" s="29"/>
    </row>
    <row r="2518" spans="1:22" ht="19.5" hidden="1" customHeight="1" outlineLevel="1">
      <c r="A2518" s="23">
        <v>33</v>
      </c>
      <c r="B2518" s="24">
        <f>IF(25&lt;=DAY(DATE(YEAR(설정_코스수당!$K$2),MONTH(설정_코스수당!$K$2)+1,0)),DATE(YEAR(설정_코스수당!$K$2),MONTH(설정_코스수당!$K$2),25),"")</f>
        <v>46198</v>
      </c>
      <c r="C2518" s="25"/>
      <c r="D2518" s="23"/>
      <c r="E2518" s="23"/>
      <c r="F2518" s="26"/>
      <c r="G2518" s="23"/>
      <c r="H2518" s="23"/>
      <c r="I2518" s="23"/>
      <c r="J2518" s="27">
        <f>IF($O2518="방문완료",MAX(0,IFERROR(VLOOKUP($E2518,설정_코스수당!$A$6:$H$10,4,FALSE),0)-IF(OR($P2518="",$P2518="없음"),0,100000)),0)</f>
        <v>0</v>
      </c>
      <c r="K2518" s="27">
        <f t="array" ref="K2518">IF($O2518="방문완료",IFERROR(INDEX(설정_코스수당!$B$15:$F$64,MATCH($G2518,설정_코스수당!$A$15:$A$64,0),MATCH($E2518&amp;"수당",설정_코스수당!$B$14:$F$14,0)),0),0)</f>
        <v>0</v>
      </c>
      <c r="L2518" s="27">
        <f t="array" ref="L2518">IF($O2518="방문완료",IF($H2518="",0,IFERROR(INDEX(설정_코스수당!$B$15:$F$64,MATCH($H2518,설정_코스수당!$A$15:$A$64,0),MATCH($E2518&amp;"수당",설정_코스수당!$B$14:$F$14,0)),0)),0)</f>
        <v>0</v>
      </c>
      <c r="M2518" s="27">
        <f>IF($O2518="방문완료",IFERROR(VLOOKUP($E2518,설정_코스수당!$A$6:$H$10,6,FALSE),0),0)</f>
        <v>0</v>
      </c>
      <c r="N2518" s="28">
        <f t="shared" ref="N2518:N2549" si="73">IF($O2518="방문완료",1,0)</f>
        <v>0</v>
      </c>
      <c r="O2518" s="23"/>
      <c r="P2518" s="23"/>
      <c r="Q2518" s="23"/>
      <c r="R2518" s="26"/>
      <c r="S2518" s="23"/>
    </row>
    <row r="2519" spans="1:22" ht="19.5" hidden="1" customHeight="1" outlineLevel="1">
      <c r="A2519" s="29">
        <v>34</v>
      </c>
      <c r="B2519" s="30">
        <f>IF(25&lt;=DAY(DATE(YEAR(설정_코스수당!$K$2),MONTH(설정_코스수당!$K$2)+1,0)),DATE(YEAR(설정_코스수당!$K$2),MONTH(설정_코스수당!$K$2),25),"")</f>
        <v>46198</v>
      </c>
      <c r="C2519" s="31"/>
      <c r="D2519" s="29"/>
      <c r="E2519" s="29"/>
      <c r="F2519" s="32"/>
      <c r="G2519" s="29"/>
      <c r="H2519" s="29"/>
      <c r="I2519" s="29"/>
      <c r="J2519" s="33">
        <f>IF($O2519="방문완료",MAX(0,IFERROR(VLOOKUP($E2519,설정_코스수당!$A$6:$H$10,4,FALSE),0)-IF(OR($P2519="",$P2519="없음"),0,100000)),0)</f>
        <v>0</v>
      </c>
      <c r="K2519" s="33">
        <f t="array" ref="K2519">IF($O2519="방문완료",IFERROR(INDEX(설정_코스수당!$B$15:$F$64,MATCH($G2519,설정_코스수당!$A$15:$A$64,0),MATCH($E2519&amp;"수당",설정_코스수당!$B$14:$F$14,0)),0),0)</f>
        <v>0</v>
      </c>
      <c r="L2519" s="33">
        <f t="array" ref="L2519">IF($O2519="방문완료",IF($H2519="",0,IFERROR(INDEX(설정_코스수당!$B$15:$F$64,MATCH($H2519,설정_코스수당!$A$15:$A$64,0),MATCH($E2519&amp;"수당",설정_코스수당!$B$14:$F$14,0)),0)),0)</f>
        <v>0</v>
      </c>
      <c r="M2519" s="33">
        <f>IF($O2519="방문완료",IFERROR(VLOOKUP($E2519,설정_코스수당!$A$6:$H$10,6,FALSE),0),0)</f>
        <v>0</v>
      </c>
      <c r="N2519" s="34">
        <f t="shared" si="73"/>
        <v>0</v>
      </c>
      <c r="O2519" s="29"/>
      <c r="P2519" s="29"/>
      <c r="Q2519" s="29"/>
      <c r="R2519" s="32"/>
      <c r="S2519" s="29"/>
    </row>
    <row r="2520" spans="1:22" ht="19.5" hidden="1" customHeight="1" outlineLevel="1">
      <c r="A2520" s="23">
        <v>35</v>
      </c>
      <c r="B2520" s="24">
        <f>IF(25&lt;=DAY(DATE(YEAR(설정_코스수당!$K$2),MONTH(설정_코스수당!$K$2)+1,0)),DATE(YEAR(설정_코스수당!$K$2),MONTH(설정_코스수당!$K$2),25),"")</f>
        <v>46198</v>
      </c>
      <c r="C2520" s="25"/>
      <c r="D2520" s="23"/>
      <c r="E2520" s="23"/>
      <c r="F2520" s="26"/>
      <c r="G2520" s="23"/>
      <c r="H2520" s="23"/>
      <c r="I2520" s="23"/>
      <c r="J2520" s="27">
        <f>IF($O2520="방문완료",MAX(0,IFERROR(VLOOKUP($E2520,설정_코스수당!$A$6:$H$10,4,FALSE),0)-IF(OR($P2520="",$P2520="없음"),0,100000)),0)</f>
        <v>0</v>
      </c>
      <c r="K2520" s="27">
        <f t="array" ref="K2520">IF($O2520="방문완료",IFERROR(INDEX(설정_코스수당!$B$15:$F$64,MATCH($G2520,설정_코스수당!$A$15:$A$64,0),MATCH($E2520&amp;"수당",설정_코스수당!$B$14:$F$14,0)),0),0)</f>
        <v>0</v>
      </c>
      <c r="L2520" s="27">
        <f t="array" ref="L2520">IF($O2520="방문완료",IF($H2520="",0,IFERROR(INDEX(설정_코스수당!$B$15:$F$64,MATCH($H2520,설정_코스수당!$A$15:$A$64,0),MATCH($E2520&amp;"수당",설정_코스수당!$B$14:$F$14,0)),0)),0)</f>
        <v>0</v>
      </c>
      <c r="M2520" s="27">
        <f>IF($O2520="방문완료",IFERROR(VLOOKUP($E2520,설정_코스수당!$A$6:$H$10,6,FALSE),0),0)</f>
        <v>0</v>
      </c>
      <c r="N2520" s="28">
        <f t="shared" si="73"/>
        <v>0</v>
      </c>
      <c r="O2520" s="23"/>
      <c r="P2520" s="23"/>
      <c r="Q2520" s="23"/>
      <c r="R2520" s="26"/>
      <c r="S2520" s="23"/>
      <c r="U2520" s="16" t="s">
        <v>72</v>
      </c>
      <c r="V2520" s="17">
        <f>IF(26&lt;=DAY(DATE(YEAR(설정_코스수당!$K$2),MONTH(설정_코스수당!$K$2)+1,0)),COUNTIFS($B:$B,DATE(YEAR(설정_코스수당!$K$2),MONTH(설정_코스수당!$K$2),26),$O:$O,"방문완료",$P:$P,"&lt;&gt;",$P:$P,"&lt;&gt;없음")*100000,"")</f>
        <v>0</v>
      </c>
    </row>
    <row r="2521" spans="1:22" ht="19.5" hidden="1" customHeight="1" outlineLevel="1">
      <c r="A2521" s="29">
        <v>36</v>
      </c>
      <c r="B2521" s="30">
        <f>IF(25&lt;=DAY(DATE(YEAR(설정_코스수당!$K$2),MONTH(설정_코스수당!$K$2)+1,0)),DATE(YEAR(설정_코스수당!$K$2),MONTH(설정_코스수당!$K$2),25),"")</f>
        <v>46198</v>
      </c>
      <c r="C2521" s="31"/>
      <c r="D2521" s="29"/>
      <c r="E2521" s="29"/>
      <c r="F2521" s="32"/>
      <c r="G2521" s="29"/>
      <c r="H2521" s="29"/>
      <c r="I2521" s="29"/>
      <c r="J2521" s="33">
        <f>IF($O2521="방문완료",MAX(0,IFERROR(VLOOKUP($E2521,설정_코스수당!$A$6:$H$10,4,FALSE),0)-IF(OR($P2521="",$P2521="없음"),0,100000)),0)</f>
        <v>0</v>
      </c>
      <c r="K2521" s="33">
        <f t="array" ref="K2521">IF($O2521="방문완료",IFERROR(INDEX(설정_코스수당!$B$15:$F$64,MATCH($G2521,설정_코스수당!$A$15:$A$64,0),MATCH($E2521&amp;"수당",설정_코스수당!$B$14:$F$14,0)),0),0)</f>
        <v>0</v>
      </c>
      <c r="L2521" s="33">
        <f t="array" ref="L2521">IF($O2521="방문완료",IF($H2521="",0,IFERROR(INDEX(설정_코스수당!$B$15:$F$64,MATCH($H2521,설정_코스수당!$A$15:$A$64,0),MATCH($E2521&amp;"수당",설정_코스수당!$B$14:$F$14,0)),0)),0)</f>
        <v>0</v>
      </c>
      <c r="M2521" s="33">
        <f>IF($O2521="방문완료",IFERROR(VLOOKUP($E2521,설정_코스수당!$A$6:$H$10,6,FALSE),0),0)</f>
        <v>0</v>
      </c>
      <c r="N2521" s="34">
        <f t="shared" si="73"/>
        <v>0</v>
      </c>
      <c r="O2521" s="29"/>
      <c r="P2521" s="29"/>
      <c r="Q2521" s="29"/>
      <c r="R2521" s="32"/>
      <c r="S2521" s="29"/>
    </row>
    <row r="2522" spans="1:22" ht="19.5" hidden="1" customHeight="1" outlineLevel="1">
      <c r="A2522" s="23">
        <v>37</v>
      </c>
      <c r="B2522" s="24">
        <f>IF(25&lt;=DAY(DATE(YEAR(설정_코스수당!$K$2),MONTH(설정_코스수당!$K$2)+1,0)),DATE(YEAR(설정_코스수당!$K$2),MONTH(설정_코스수당!$K$2),25),"")</f>
        <v>46198</v>
      </c>
      <c r="C2522" s="25"/>
      <c r="D2522" s="23"/>
      <c r="E2522" s="23"/>
      <c r="F2522" s="26"/>
      <c r="G2522" s="23"/>
      <c r="H2522" s="23"/>
      <c r="I2522" s="23"/>
      <c r="J2522" s="27">
        <f>IF($O2522="방문완료",MAX(0,IFERROR(VLOOKUP($E2522,설정_코스수당!$A$6:$H$10,4,FALSE),0)-IF(OR($P2522="",$P2522="없음"),0,100000)),0)</f>
        <v>0</v>
      </c>
      <c r="K2522" s="27">
        <f t="array" ref="K2522">IF($O2522="방문완료",IFERROR(INDEX(설정_코스수당!$B$15:$F$64,MATCH($G2522,설정_코스수당!$A$15:$A$64,0),MATCH($E2522&amp;"수당",설정_코스수당!$B$14:$F$14,0)),0),0)</f>
        <v>0</v>
      </c>
      <c r="L2522" s="27">
        <f t="array" ref="L2522">IF($O2522="방문완료",IF($H2522="",0,IFERROR(INDEX(설정_코스수당!$B$15:$F$64,MATCH($H2522,설정_코스수당!$A$15:$A$64,0),MATCH($E2522&amp;"수당",설정_코스수당!$B$14:$F$14,0)),0)),0)</f>
        <v>0</v>
      </c>
      <c r="M2522" s="27">
        <f>IF($O2522="방문완료",IFERROR(VLOOKUP($E2522,설정_코스수당!$A$6:$H$10,6,FALSE),0),0)</f>
        <v>0</v>
      </c>
      <c r="N2522" s="28">
        <f t="shared" si="73"/>
        <v>0</v>
      </c>
      <c r="O2522" s="23"/>
      <c r="P2522" s="23"/>
      <c r="Q2522" s="23"/>
      <c r="R2522" s="26"/>
      <c r="S2522" s="23"/>
    </row>
    <row r="2523" spans="1:22" ht="19.5" hidden="1" customHeight="1" outlineLevel="1">
      <c r="A2523" s="29">
        <v>38</v>
      </c>
      <c r="B2523" s="30">
        <f>IF(25&lt;=DAY(DATE(YEAR(설정_코스수당!$K$2),MONTH(설정_코스수당!$K$2)+1,0)),DATE(YEAR(설정_코스수당!$K$2),MONTH(설정_코스수당!$K$2),25),"")</f>
        <v>46198</v>
      </c>
      <c r="C2523" s="31"/>
      <c r="D2523" s="29"/>
      <c r="E2523" s="29"/>
      <c r="F2523" s="32"/>
      <c r="G2523" s="29"/>
      <c r="H2523" s="29"/>
      <c r="I2523" s="29"/>
      <c r="J2523" s="33">
        <f>IF($O2523="방문완료",MAX(0,IFERROR(VLOOKUP($E2523,설정_코스수당!$A$6:$H$10,4,FALSE),0)-IF(OR($P2523="",$P2523="없음"),0,100000)),0)</f>
        <v>0</v>
      </c>
      <c r="K2523" s="33">
        <f t="array" ref="K2523">IF($O2523="방문완료",IFERROR(INDEX(설정_코스수당!$B$15:$F$64,MATCH($G2523,설정_코스수당!$A$15:$A$64,0),MATCH($E2523&amp;"수당",설정_코스수당!$B$14:$F$14,0)),0),0)</f>
        <v>0</v>
      </c>
      <c r="L2523" s="33">
        <f t="array" ref="L2523">IF($O2523="방문완료",IF($H2523="",0,IFERROR(INDEX(설정_코스수당!$B$15:$F$64,MATCH($H2523,설정_코스수당!$A$15:$A$64,0),MATCH($E2523&amp;"수당",설정_코스수당!$B$14:$F$14,0)),0)),0)</f>
        <v>0</v>
      </c>
      <c r="M2523" s="33">
        <f>IF($O2523="방문완료",IFERROR(VLOOKUP($E2523,설정_코스수당!$A$6:$H$10,6,FALSE),0),0)</f>
        <v>0</v>
      </c>
      <c r="N2523" s="34">
        <f t="shared" si="73"/>
        <v>0</v>
      </c>
      <c r="O2523" s="29"/>
      <c r="P2523" s="29"/>
      <c r="Q2523" s="29"/>
      <c r="R2523" s="32"/>
      <c r="S2523" s="29"/>
    </row>
    <row r="2524" spans="1:22" ht="19.5" hidden="1" customHeight="1" outlineLevel="1">
      <c r="A2524" s="23">
        <v>39</v>
      </c>
      <c r="B2524" s="24">
        <f>IF(25&lt;=DAY(DATE(YEAR(설정_코스수당!$K$2),MONTH(설정_코스수당!$K$2)+1,0)),DATE(YEAR(설정_코스수당!$K$2),MONTH(설정_코스수당!$K$2),25),"")</f>
        <v>46198</v>
      </c>
      <c r="C2524" s="25"/>
      <c r="D2524" s="23"/>
      <c r="E2524" s="23"/>
      <c r="F2524" s="26"/>
      <c r="G2524" s="23"/>
      <c r="H2524" s="23"/>
      <c r="I2524" s="23"/>
      <c r="J2524" s="27">
        <f>IF($O2524="방문완료",MAX(0,IFERROR(VLOOKUP($E2524,설정_코스수당!$A$6:$H$10,4,FALSE),0)-IF(OR($P2524="",$P2524="없음"),0,100000)),0)</f>
        <v>0</v>
      </c>
      <c r="K2524" s="27">
        <f t="array" ref="K2524">IF($O2524="방문완료",IFERROR(INDEX(설정_코스수당!$B$15:$F$64,MATCH($G2524,설정_코스수당!$A$15:$A$64,0),MATCH($E2524&amp;"수당",설정_코스수당!$B$14:$F$14,0)),0),0)</f>
        <v>0</v>
      </c>
      <c r="L2524" s="27">
        <f t="array" ref="L2524">IF($O2524="방문완료",IF($H2524="",0,IFERROR(INDEX(설정_코스수당!$B$15:$F$64,MATCH($H2524,설정_코스수당!$A$15:$A$64,0),MATCH($E2524&amp;"수당",설정_코스수당!$B$14:$F$14,0)),0)),0)</f>
        <v>0</v>
      </c>
      <c r="M2524" s="27">
        <f>IF($O2524="방문완료",IFERROR(VLOOKUP($E2524,설정_코스수당!$A$6:$H$10,6,FALSE),0),0)</f>
        <v>0</v>
      </c>
      <c r="N2524" s="28">
        <f t="shared" si="73"/>
        <v>0</v>
      </c>
      <c r="O2524" s="23"/>
      <c r="P2524" s="23"/>
      <c r="Q2524" s="23"/>
      <c r="R2524" s="26"/>
      <c r="S2524" s="23"/>
    </row>
    <row r="2525" spans="1:22" ht="19.5" hidden="1" customHeight="1" outlineLevel="1">
      <c r="A2525" s="29">
        <v>40</v>
      </c>
      <c r="B2525" s="30">
        <f>IF(25&lt;=DAY(DATE(YEAR(설정_코스수당!$K$2),MONTH(설정_코스수당!$K$2)+1,0)),DATE(YEAR(설정_코스수당!$K$2),MONTH(설정_코스수당!$K$2),25),"")</f>
        <v>46198</v>
      </c>
      <c r="C2525" s="31"/>
      <c r="D2525" s="29"/>
      <c r="E2525" s="29"/>
      <c r="F2525" s="32"/>
      <c r="G2525" s="29"/>
      <c r="H2525" s="29"/>
      <c r="I2525" s="29"/>
      <c r="J2525" s="33">
        <f>IF($O2525="방문완료",MAX(0,IFERROR(VLOOKUP($E2525,설정_코스수당!$A$6:$H$10,4,FALSE),0)-IF(OR($P2525="",$P2525="없음"),0,100000)),0)</f>
        <v>0</v>
      </c>
      <c r="K2525" s="33">
        <f t="array" ref="K2525">IF($O2525="방문완료",IFERROR(INDEX(설정_코스수당!$B$15:$F$64,MATCH($G2525,설정_코스수당!$A$15:$A$64,0),MATCH($E2525&amp;"수당",설정_코스수당!$B$14:$F$14,0)),0),0)</f>
        <v>0</v>
      </c>
      <c r="L2525" s="33">
        <f t="array" ref="L2525">IF($O2525="방문완료",IF($H2525="",0,IFERROR(INDEX(설정_코스수당!$B$15:$F$64,MATCH($H2525,설정_코스수당!$A$15:$A$64,0),MATCH($E2525&amp;"수당",설정_코스수당!$B$14:$F$14,0)),0)),0)</f>
        <v>0</v>
      </c>
      <c r="M2525" s="33">
        <f>IF($O2525="방문완료",IFERROR(VLOOKUP($E2525,설정_코스수당!$A$6:$H$10,6,FALSE),0),0)</f>
        <v>0</v>
      </c>
      <c r="N2525" s="34">
        <f t="shared" si="73"/>
        <v>0</v>
      </c>
      <c r="O2525" s="29"/>
      <c r="P2525" s="29"/>
      <c r="Q2525" s="29"/>
      <c r="R2525" s="32"/>
      <c r="S2525" s="29"/>
    </row>
    <row r="2526" spans="1:22" ht="19.5" hidden="1" customHeight="1" outlineLevel="1">
      <c r="A2526" s="23">
        <v>41</v>
      </c>
      <c r="B2526" s="24">
        <f>IF(25&lt;=DAY(DATE(YEAR(설정_코스수당!$K$2),MONTH(설정_코스수당!$K$2)+1,0)),DATE(YEAR(설정_코스수당!$K$2),MONTH(설정_코스수당!$K$2),25),"")</f>
        <v>46198</v>
      </c>
      <c r="C2526" s="25"/>
      <c r="D2526" s="23"/>
      <c r="E2526" s="23"/>
      <c r="F2526" s="26"/>
      <c r="G2526" s="23"/>
      <c r="H2526" s="23"/>
      <c r="I2526" s="23"/>
      <c r="J2526" s="27">
        <f>IF($O2526="방문완료",MAX(0,IFERROR(VLOOKUP($E2526,설정_코스수당!$A$6:$H$10,4,FALSE),0)-IF(OR($P2526="",$P2526="없음"),0,100000)),0)</f>
        <v>0</v>
      </c>
      <c r="K2526" s="27">
        <f t="array" ref="K2526">IF($O2526="방문완료",IFERROR(INDEX(설정_코스수당!$B$15:$F$64,MATCH($G2526,설정_코스수당!$A$15:$A$64,0),MATCH($E2526&amp;"수당",설정_코스수당!$B$14:$F$14,0)),0),0)</f>
        <v>0</v>
      </c>
      <c r="L2526" s="27">
        <f t="array" ref="L2526">IF($O2526="방문완료",IF($H2526="",0,IFERROR(INDEX(설정_코스수당!$B$15:$F$64,MATCH($H2526,설정_코스수당!$A$15:$A$64,0),MATCH($E2526&amp;"수당",설정_코스수당!$B$14:$F$14,0)),0)),0)</f>
        <v>0</v>
      </c>
      <c r="M2526" s="27">
        <f>IF($O2526="방문완료",IFERROR(VLOOKUP($E2526,설정_코스수당!$A$6:$H$10,6,FALSE),0),0)</f>
        <v>0</v>
      </c>
      <c r="N2526" s="28">
        <f t="shared" si="73"/>
        <v>0</v>
      </c>
      <c r="O2526" s="23"/>
      <c r="P2526" s="23"/>
      <c r="Q2526" s="23"/>
      <c r="R2526" s="26"/>
      <c r="S2526" s="23"/>
    </row>
    <row r="2527" spans="1:22" ht="19.5" hidden="1" customHeight="1" outlineLevel="1">
      <c r="A2527" s="29">
        <v>42</v>
      </c>
      <c r="B2527" s="30">
        <f>IF(25&lt;=DAY(DATE(YEAR(설정_코스수당!$K$2),MONTH(설정_코스수당!$K$2)+1,0)),DATE(YEAR(설정_코스수당!$K$2),MONTH(설정_코스수당!$K$2),25),"")</f>
        <v>46198</v>
      </c>
      <c r="C2527" s="31"/>
      <c r="D2527" s="29"/>
      <c r="E2527" s="29"/>
      <c r="F2527" s="32"/>
      <c r="G2527" s="29"/>
      <c r="H2527" s="29"/>
      <c r="I2527" s="29"/>
      <c r="J2527" s="33">
        <f>IF($O2527="방문완료",MAX(0,IFERROR(VLOOKUP($E2527,설정_코스수당!$A$6:$H$10,4,FALSE),0)-IF(OR($P2527="",$P2527="없음"),0,100000)),0)</f>
        <v>0</v>
      </c>
      <c r="K2527" s="33">
        <f t="array" ref="K2527">IF($O2527="방문완료",IFERROR(INDEX(설정_코스수당!$B$15:$F$64,MATCH($G2527,설정_코스수당!$A$15:$A$64,0),MATCH($E2527&amp;"수당",설정_코스수당!$B$14:$F$14,0)),0),0)</f>
        <v>0</v>
      </c>
      <c r="L2527" s="33">
        <f t="array" ref="L2527">IF($O2527="방문완료",IF($H2527="",0,IFERROR(INDEX(설정_코스수당!$B$15:$F$64,MATCH($H2527,설정_코스수당!$A$15:$A$64,0),MATCH($E2527&amp;"수당",설정_코스수당!$B$14:$F$14,0)),0)),0)</f>
        <v>0</v>
      </c>
      <c r="M2527" s="33">
        <f>IF($O2527="방문완료",IFERROR(VLOOKUP($E2527,설정_코스수당!$A$6:$H$10,6,FALSE),0),0)</f>
        <v>0</v>
      </c>
      <c r="N2527" s="34">
        <f t="shared" si="73"/>
        <v>0</v>
      </c>
      <c r="O2527" s="29"/>
      <c r="P2527" s="29"/>
      <c r="Q2527" s="29"/>
      <c r="R2527" s="32"/>
      <c r="S2527" s="29"/>
    </row>
    <row r="2528" spans="1:22" ht="19.5" hidden="1" customHeight="1" outlineLevel="1">
      <c r="A2528" s="23">
        <v>43</v>
      </c>
      <c r="B2528" s="24">
        <f>IF(25&lt;=DAY(DATE(YEAR(설정_코스수당!$K$2),MONTH(설정_코스수당!$K$2)+1,0)),DATE(YEAR(설정_코스수당!$K$2),MONTH(설정_코스수당!$K$2),25),"")</f>
        <v>46198</v>
      </c>
      <c r="C2528" s="25"/>
      <c r="D2528" s="23"/>
      <c r="E2528" s="23"/>
      <c r="F2528" s="26"/>
      <c r="G2528" s="23"/>
      <c r="H2528" s="23"/>
      <c r="I2528" s="23"/>
      <c r="J2528" s="27">
        <f>IF($O2528="방문완료",MAX(0,IFERROR(VLOOKUP($E2528,설정_코스수당!$A$6:$H$10,4,FALSE),0)-IF(OR($P2528="",$P2528="없음"),0,100000)),0)</f>
        <v>0</v>
      </c>
      <c r="K2528" s="27">
        <f t="array" ref="K2528">IF($O2528="방문완료",IFERROR(INDEX(설정_코스수당!$B$15:$F$64,MATCH($G2528,설정_코스수당!$A$15:$A$64,0),MATCH($E2528&amp;"수당",설정_코스수당!$B$14:$F$14,0)),0),0)</f>
        <v>0</v>
      </c>
      <c r="L2528" s="27">
        <f t="array" ref="L2528">IF($O2528="방문완료",IF($H2528="",0,IFERROR(INDEX(설정_코스수당!$B$15:$F$64,MATCH($H2528,설정_코스수당!$A$15:$A$64,0),MATCH($E2528&amp;"수당",설정_코스수당!$B$14:$F$14,0)),0)),0)</f>
        <v>0</v>
      </c>
      <c r="M2528" s="27">
        <f>IF($O2528="방문완료",IFERROR(VLOOKUP($E2528,설정_코스수당!$A$6:$H$10,6,FALSE),0),0)</f>
        <v>0</v>
      </c>
      <c r="N2528" s="28">
        <f t="shared" si="73"/>
        <v>0</v>
      </c>
      <c r="O2528" s="23"/>
      <c r="P2528" s="23"/>
      <c r="Q2528" s="23"/>
      <c r="R2528" s="26"/>
      <c r="S2528" s="23"/>
    </row>
    <row r="2529" spans="1:19" ht="19.5" hidden="1" customHeight="1" outlineLevel="1">
      <c r="A2529" s="29">
        <v>44</v>
      </c>
      <c r="B2529" s="30">
        <f>IF(25&lt;=DAY(DATE(YEAR(설정_코스수당!$K$2),MONTH(설정_코스수당!$K$2)+1,0)),DATE(YEAR(설정_코스수당!$K$2),MONTH(설정_코스수당!$K$2),25),"")</f>
        <v>46198</v>
      </c>
      <c r="C2529" s="31"/>
      <c r="D2529" s="29"/>
      <c r="E2529" s="29"/>
      <c r="F2529" s="32"/>
      <c r="G2529" s="29"/>
      <c r="H2529" s="29"/>
      <c r="I2529" s="29"/>
      <c r="J2529" s="33">
        <f>IF($O2529="방문완료",MAX(0,IFERROR(VLOOKUP($E2529,설정_코스수당!$A$6:$H$10,4,FALSE),0)-IF(OR($P2529="",$P2529="없음"),0,100000)),0)</f>
        <v>0</v>
      </c>
      <c r="K2529" s="33">
        <f t="array" ref="K2529">IF($O2529="방문완료",IFERROR(INDEX(설정_코스수당!$B$15:$F$64,MATCH($G2529,설정_코스수당!$A$15:$A$64,0),MATCH($E2529&amp;"수당",설정_코스수당!$B$14:$F$14,0)),0),0)</f>
        <v>0</v>
      </c>
      <c r="L2529" s="33">
        <f t="array" ref="L2529">IF($O2529="방문완료",IF($H2529="",0,IFERROR(INDEX(설정_코스수당!$B$15:$F$64,MATCH($H2529,설정_코스수당!$A$15:$A$64,0),MATCH($E2529&amp;"수당",설정_코스수당!$B$14:$F$14,0)),0)),0)</f>
        <v>0</v>
      </c>
      <c r="M2529" s="33">
        <f>IF($O2529="방문완료",IFERROR(VLOOKUP($E2529,설정_코스수당!$A$6:$H$10,6,FALSE),0),0)</f>
        <v>0</v>
      </c>
      <c r="N2529" s="34">
        <f t="shared" si="73"/>
        <v>0</v>
      </c>
      <c r="O2529" s="29"/>
      <c r="P2529" s="29"/>
      <c r="Q2529" s="29"/>
      <c r="R2529" s="32"/>
      <c r="S2529" s="29"/>
    </row>
    <row r="2530" spans="1:19" ht="19.5" hidden="1" customHeight="1" outlineLevel="1">
      <c r="A2530" s="23">
        <v>45</v>
      </c>
      <c r="B2530" s="24">
        <f>IF(25&lt;=DAY(DATE(YEAR(설정_코스수당!$K$2),MONTH(설정_코스수당!$K$2)+1,0)),DATE(YEAR(설정_코스수당!$K$2),MONTH(설정_코스수당!$K$2),25),"")</f>
        <v>46198</v>
      </c>
      <c r="C2530" s="25"/>
      <c r="D2530" s="23"/>
      <c r="E2530" s="23"/>
      <c r="F2530" s="26"/>
      <c r="G2530" s="23"/>
      <c r="H2530" s="23"/>
      <c r="I2530" s="23"/>
      <c r="J2530" s="27">
        <f>IF($O2530="방문완료",MAX(0,IFERROR(VLOOKUP($E2530,설정_코스수당!$A$6:$H$10,4,FALSE),0)-IF(OR($P2530="",$P2530="없음"),0,100000)),0)</f>
        <v>0</v>
      </c>
      <c r="K2530" s="27">
        <f t="array" ref="K2530">IF($O2530="방문완료",IFERROR(INDEX(설정_코스수당!$B$15:$F$64,MATCH($G2530,설정_코스수당!$A$15:$A$64,0),MATCH($E2530&amp;"수당",설정_코스수당!$B$14:$F$14,0)),0),0)</f>
        <v>0</v>
      </c>
      <c r="L2530" s="27">
        <f t="array" ref="L2530">IF($O2530="방문완료",IF($H2530="",0,IFERROR(INDEX(설정_코스수당!$B$15:$F$64,MATCH($H2530,설정_코스수당!$A$15:$A$64,0),MATCH($E2530&amp;"수당",설정_코스수당!$B$14:$F$14,0)),0)),0)</f>
        <v>0</v>
      </c>
      <c r="M2530" s="27">
        <f>IF($O2530="방문완료",IFERROR(VLOOKUP($E2530,설정_코스수당!$A$6:$H$10,6,FALSE),0),0)</f>
        <v>0</v>
      </c>
      <c r="N2530" s="28">
        <f t="shared" si="73"/>
        <v>0</v>
      </c>
      <c r="O2530" s="23"/>
      <c r="P2530" s="23"/>
      <c r="Q2530" s="23"/>
      <c r="R2530" s="26"/>
      <c r="S2530" s="23"/>
    </row>
    <row r="2531" spans="1:19" ht="19.5" hidden="1" customHeight="1" outlineLevel="1">
      <c r="A2531" s="29">
        <v>46</v>
      </c>
      <c r="B2531" s="30">
        <f>IF(25&lt;=DAY(DATE(YEAR(설정_코스수당!$K$2),MONTH(설정_코스수당!$K$2)+1,0)),DATE(YEAR(설정_코스수당!$K$2),MONTH(설정_코스수당!$K$2),25),"")</f>
        <v>46198</v>
      </c>
      <c r="C2531" s="31"/>
      <c r="D2531" s="29"/>
      <c r="E2531" s="29"/>
      <c r="F2531" s="32"/>
      <c r="G2531" s="29"/>
      <c r="H2531" s="29"/>
      <c r="I2531" s="29"/>
      <c r="J2531" s="33">
        <f>IF($O2531="방문완료",MAX(0,IFERROR(VLOOKUP($E2531,설정_코스수당!$A$6:$H$10,4,FALSE),0)-IF(OR($P2531="",$P2531="없음"),0,100000)),0)</f>
        <v>0</v>
      </c>
      <c r="K2531" s="33">
        <f t="array" ref="K2531">IF($O2531="방문완료",IFERROR(INDEX(설정_코스수당!$B$15:$F$64,MATCH($G2531,설정_코스수당!$A$15:$A$64,0),MATCH($E2531&amp;"수당",설정_코스수당!$B$14:$F$14,0)),0),0)</f>
        <v>0</v>
      </c>
      <c r="L2531" s="33">
        <f t="array" ref="L2531">IF($O2531="방문완료",IF($H2531="",0,IFERROR(INDEX(설정_코스수당!$B$15:$F$64,MATCH($H2531,설정_코스수당!$A$15:$A$64,0),MATCH($E2531&amp;"수당",설정_코스수당!$B$14:$F$14,0)),0)),0)</f>
        <v>0</v>
      </c>
      <c r="M2531" s="33">
        <f>IF($O2531="방문완료",IFERROR(VLOOKUP($E2531,설정_코스수당!$A$6:$H$10,6,FALSE),0),0)</f>
        <v>0</v>
      </c>
      <c r="N2531" s="34">
        <f t="shared" si="73"/>
        <v>0</v>
      </c>
      <c r="O2531" s="29"/>
      <c r="P2531" s="29"/>
      <c r="Q2531" s="29"/>
      <c r="R2531" s="32"/>
      <c r="S2531" s="29"/>
    </row>
    <row r="2532" spans="1:19" ht="19.5" hidden="1" customHeight="1" outlineLevel="1">
      <c r="A2532" s="23">
        <v>47</v>
      </c>
      <c r="B2532" s="24">
        <f>IF(25&lt;=DAY(DATE(YEAR(설정_코스수당!$K$2),MONTH(설정_코스수당!$K$2)+1,0)),DATE(YEAR(설정_코스수당!$K$2),MONTH(설정_코스수당!$K$2),25),"")</f>
        <v>46198</v>
      </c>
      <c r="C2532" s="25"/>
      <c r="D2532" s="23"/>
      <c r="E2532" s="23"/>
      <c r="F2532" s="26"/>
      <c r="G2532" s="23"/>
      <c r="H2532" s="23"/>
      <c r="I2532" s="23"/>
      <c r="J2532" s="27">
        <f>IF($O2532="방문완료",MAX(0,IFERROR(VLOOKUP($E2532,설정_코스수당!$A$6:$H$10,4,FALSE),0)-IF(OR($P2532="",$P2532="없음"),0,100000)),0)</f>
        <v>0</v>
      </c>
      <c r="K2532" s="27">
        <f t="array" ref="K2532">IF($O2532="방문완료",IFERROR(INDEX(설정_코스수당!$B$15:$F$64,MATCH($G2532,설정_코스수당!$A$15:$A$64,0),MATCH($E2532&amp;"수당",설정_코스수당!$B$14:$F$14,0)),0),0)</f>
        <v>0</v>
      </c>
      <c r="L2532" s="27">
        <f t="array" ref="L2532">IF($O2532="방문완료",IF($H2532="",0,IFERROR(INDEX(설정_코스수당!$B$15:$F$64,MATCH($H2532,설정_코스수당!$A$15:$A$64,0),MATCH($E2532&amp;"수당",설정_코스수당!$B$14:$F$14,0)),0)),0)</f>
        <v>0</v>
      </c>
      <c r="M2532" s="27">
        <f>IF($O2532="방문완료",IFERROR(VLOOKUP($E2532,설정_코스수당!$A$6:$H$10,6,FALSE),0),0)</f>
        <v>0</v>
      </c>
      <c r="N2532" s="28">
        <f t="shared" si="73"/>
        <v>0</v>
      </c>
      <c r="O2532" s="23"/>
      <c r="P2532" s="23"/>
      <c r="Q2532" s="23"/>
      <c r="R2532" s="26"/>
      <c r="S2532" s="23"/>
    </row>
    <row r="2533" spans="1:19" ht="19.5" hidden="1" customHeight="1" outlineLevel="1">
      <c r="A2533" s="29">
        <v>48</v>
      </c>
      <c r="B2533" s="30">
        <f>IF(25&lt;=DAY(DATE(YEAR(설정_코스수당!$K$2),MONTH(설정_코스수당!$K$2)+1,0)),DATE(YEAR(설정_코스수당!$K$2),MONTH(설정_코스수당!$K$2),25),"")</f>
        <v>46198</v>
      </c>
      <c r="C2533" s="31"/>
      <c r="D2533" s="29"/>
      <c r="E2533" s="29"/>
      <c r="F2533" s="32"/>
      <c r="G2533" s="29"/>
      <c r="H2533" s="29"/>
      <c r="I2533" s="29"/>
      <c r="J2533" s="33">
        <f>IF($O2533="방문완료",MAX(0,IFERROR(VLOOKUP($E2533,설정_코스수당!$A$6:$H$10,4,FALSE),0)-IF(OR($P2533="",$P2533="없음"),0,100000)),0)</f>
        <v>0</v>
      </c>
      <c r="K2533" s="33">
        <f t="array" ref="K2533">IF($O2533="방문완료",IFERROR(INDEX(설정_코스수당!$B$15:$F$64,MATCH($G2533,설정_코스수당!$A$15:$A$64,0),MATCH($E2533&amp;"수당",설정_코스수당!$B$14:$F$14,0)),0),0)</f>
        <v>0</v>
      </c>
      <c r="L2533" s="33">
        <f t="array" ref="L2533">IF($O2533="방문완료",IF($H2533="",0,IFERROR(INDEX(설정_코스수당!$B$15:$F$64,MATCH($H2533,설정_코스수당!$A$15:$A$64,0),MATCH($E2533&amp;"수당",설정_코스수당!$B$14:$F$14,0)),0)),0)</f>
        <v>0</v>
      </c>
      <c r="M2533" s="33">
        <f>IF($O2533="방문완료",IFERROR(VLOOKUP($E2533,설정_코스수당!$A$6:$H$10,6,FALSE),0),0)</f>
        <v>0</v>
      </c>
      <c r="N2533" s="34">
        <f t="shared" si="73"/>
        <v>0</v>
      </c>
      <c r="O2533" s="29"/>
      <c r="P2533" s="29"/>
      <c r="Q2533" s="29"/>
      <c r="R2533" s="32"/>
      <c r="S2533" s="29"/>
    </row>
    <row r="2534" spans="1:19" ht="19.5" hidden="1" customHeight="1" outlineLevel="1">
      <c r="A2534" s="23">
        <v>49</v>
      </c>
      <c r="B2534" s="24">
        <f>IF(25&lt;=DAY(DATE(YEAR(설정_코스수당!$K$2),MONTH(설정_코스수당!$K$2)+1,0)),DATE(YEAR(설정_코스수당!$K$2),MONTH(설정_코스수당!$K$2),25),"")</f>
        <v>46198</v>
      </c>
      <c r="C2534" s="25"/>
      <c r="D2534" s="23"/>
      <c r="E2534" s="23"/>
      <c r="F2534" s="26"/>
      <c r="G2534" s="23"/>
      <c r="H2534" s="23"/>
      <c r="I2534" s="23"/>
      <c r="J2534" s="27">
        <f>IF($O2534="방문완료",MAX(0,IFERROR(VLOOKUP($E2534,설정_코스수당!$A$6:$H$10,4,FALSE),0)-IF(OR($P2534="",$P2534="없음"),0,100000)),0)</f>
        <v>0</v>
      </c>
      <c r="K2534" s="27">
        <f t="array" ref="K2534">IF($O2534="방문완료",IFERROR(INDEX(설정_코스수당!$B$15:$F$64,MATCH($G2534,설정_코스수당!$A$15:$A$64,0),MATCH($E2534&amp;"수당",설정_코스수당!$B$14:$F$14,0)),0),0)</f>
        <v>0</v>
      </c>
      <c r="L2534" s="27">
        <f t="array" ref="L2534">IF($O2534="방문완료",IF($H2534="",0,IFERROR(INDEX(설정_코스수당!$B$15:$F$64,MATCH($H2534,설정_코스수당!$A$15:$A$64,0),MATCH($E2534&amp;"수당",설정_코스수당!$B$14:$F$14,0)),0)),0)</f>
        <v>0</v>
      </c>
      <c r="M2534" s="27">
        <f>IF($O2534="방문완료",IFERROR(VLOOKUP($E2534,설정_코스수당!$A$6:$H$10,6,FALSE),0),0)</f>
        <v>0</v>
      </c>
      <c r="N2534" s="28">
        <f t="shared" si="73"/>
        <v>0</v>
      </c>
      <c r="O2534" s="23"/>
      <c r="P2534" s="23"/>
      <c r="Q2534" s="23"/>
      <c r="R2534" s="26"/>
      <c r="S2534" s="23"/>
    </row>
    <row r="2535" spans="1:19" ht="19.5" hidden="1" customHeight="1" outlineLevel="1">
      <c r="A2535" s="29">
        <v>50</v>
      </c>
      <c r="B2535" s="30">
        <f>IF(25&lt;=DAY(DATE(YEAR(설정_코스수당!$K$2),MONTH(설정_코스수당!$K$2)+1,0)),DATE(YEAR(설정_코스수당!$K$2),MONTH(설정_코스수당!$K$2),25),"")</f>
        <v>46198</v>
      </c>
      <c r="C2535" s="31"/>
      <c r="D2535" s="29"/>
      <c r="E2535" s="29"/>
      <c r="F2535" s="32"/>
      <c r="G2535" s="29"/>
      <c r="H2535" s="29"/>
      <c r="I2535" s="29"/>
      <c r="J2535" s="33">
        <f>IF($O2535="방문완료",MAX(0,IFERROR(VLOOKUP($E2535,설정_코스수당!$A$6:$H$10,4,FALSE),0)-IF(OR($P2535="",$P2535="없음"),0,100000)),0)</f>
        <v>0</v>
      </c>
      <c r="K2535" s="33">
        <f t="array" ref="K2535">IF($O2535="방문완료",IFERROR(INDEX(설정_코스수당!$B$15:$F$64,MATCH($G2535,설정_코스수당!$A$15:$A$64,0),MATCH($E2535&amp;"수당",설정_코스수당!$B$14:$F$14,0)),0),0)</f>
        <v>0</v>
      </c>
      <c r="L2535" s="33">
        <f t="array" ref="L2535">IF($O2535="방문완료",IF($H2535="",0,IFERROR(INDEX(설정_코스수당!$B$15:$F$64,MATCH($H2535,설정_코스수당!$A$15:$A$64,0),MATCH($E2535&amp;"수당",설정_코스수당!$B$14:$F$14,0)),0)),0)</f>
        <v>0</v>
      </c>
      <c r="M2535" s="33">
        <f>IF($O2535="방문완료",IFERROR(VLOOKUP($E2535,설정_코스수당!$A$6:$H$10,6,FALSE),0),0)</f>
        <v>0</v>
      </c>
      <c r="N2535" s="34">
        <f t="shared" si="73"/>
        <v>0</v>
      </c>
      <c r="O2535" s="29"/>
      <c r="P2535" s="29"/>
      <c r="Q2535" s="29"/>
      <c r="R2535" s="32"/>
      <c r="S2535" s="29"/>
    </row>
    <row r="2536" spans="1:19" ht="19.5" hidden="1" customHeight="1" outlineLevel="1">
      <c r="A2536" s="23">
        <v>51</v>
      </c>
      <c r="B2536" s="24">
        <f>IF(25&lt;=DAY(DATE(YEAR(설정_코스수당!$K$2),MONTH(설정_코스수당!$K$2)+1,0)),DATE(YEAR(설정_코스수당!$K$2),MONTH(설정_코스수당!$K$2),25),"")</f>
        <v>46198</v>
      </c>
      <c r="C2536" s="25"/>
      <c r="D2536" s="23"/>
      <c r="E2536" s="23"/>
      <c r="F2536" s="26"/>
      <c r="G2536" s="23"/>
      <c r="H2536" s="23"/>
      <c r="I2536" s="23"/>
      <c r="J2536" s="27">
        <f>IF($O2536="방문완료",MAX(0,IFERROR(VLOOKUP($E2536,설정_코스수당!$A$6:$H$10,4,FALSE),0)-IF(OR($P2536="",$P2536="없음"),0,100000)),0)</f>
        <v>0</v>
      </c>
      <c r="K2536" s="27">
        <f t="array" ref="K2536">IF($O2536="방문완료",IFERROR(INDEX(설정_코스수당!$B$15:$F$64,MATCH($G2536,설정_코스수당!$A$15:$A$64,0),MATCH($E2536&amp;"수당",설정_코스수당!$B$14:$F$14,0)),0),0)</f>
        <v>0</v>
      </c>
      <c r="L2536" s="27">
        <f t="array" ref="L2536">IF($O2536="방문완료",IF($H2536="",0,IFERROR(INDEX(설정_코스수당!$B$15:$F$64,MATCH($H2536,설정_코스수당!$A$15:$A$64,0),MATCH($E2536&amp;"수당",설정_코스수당!$B$14:$F$14,0)),0)),0)</f>
        <v>0</v>
      </c>
      <c r="M2536" s="27">
        <f>IF($O2536="방문완료",IFERROR(VLOOKUP($E2536,설정_코스수당!$A$6:$H$10,6,FALSE),0),0)</f>
        <v>0</v>
      </c>
      <c r="N2536" s="28">
        <f t="shared" si="73"/>
        <v>0</v>
      </c>
      <c r="O2536" s="23"/>
      <c r="P2536" s="23"/>
      <c r="Q2536" s="23"/>
      <c r="R2536" s="26"/>
      <c r="S2536" s="23"/>
    </row>
    <row r="2537" spans="1:19" ht="19.5" hidden="1" customHeight="1" outlineLevel="1">
      <c r="A2537" s="29">
        <v>52</v>
      </c>
      <c r="B2537" s="30">
        <f>IF(25&lt;=DAY(DATE(YEAR(설정_코스수당!$K$2),MONTH(설정_코스수당!$K$2)+1,0)),DATE(YEAR(설정_코스수당!$K$2),MONTH(설정_코스수당!$K$2),25),"")</f>
        <v>46198</v>
      </c>
      <c r="C2537" s="31"/>
      <c r="D2537" s="29"/>
      <c r="E2537" s="29"/>
      <c r="F2537" s="32"/>
      <c r="G2537" s="29"/>
      <c r="H2537" s="29"/>
      <c r="I2537" s="29"/>
      <c r="J2537" s="33">
        <f>IF($O2537="방문완료",MAX(0,IFERROR(VLOOKUP($E2537,설정_코스수당!$A$6:$H$10,4,FALSE),0)-IF(OR($P2537="",$P2537="없음"),0,100000)),0)</f>
        <v>0</v>
      </c>
      <c r="K2537" s="33">
        <f t="array" ref="K2537">IF($O2537="방문완료",IFERROR(INDEX(설정_코스수당!$B$15:$F$64,MATCH($G2537,설정_코스수당!$A$15:$A$64,0),MATCH($E2537&amp;"수당",설정_코스수당!$B$14:$F$14,0)),0),0)</f>
        <v>0</v>
      </c>
      <c r="L2537" s="33">
        <f t="array" ref="L2537">IF($O2537="방문완료",IF($H2537="",0,IFERROR(INDEX(설정_코스수당!$B$15:$F$64,MATCH($H2537,설정_코스수당!$A$15:$A$64,0),MATCH($E2537&amp;"수당",설정_코스수당!$B$14:$F$14,0)),0)),0)</f>
        <v>0</v>
      </c>
      <c r="M2537" s="33">
        <f>IF($O2537="방문완료",IFERROR(VLOOKUP($E2537,설정_코스수당!$A$6:$H$10,6,FALSE),0),0)</f>
        <v>0</v>
      </c>
      <c r="N2537" s="34">
        <f t="shared" si="73"/>
        <v>0</v>
      </c>
      <c r="O2537" s="29"/>
      <c r="P2537" s="29"/>
      <c r="Q2537" s="29"/>
      <c r="R2537" s="32"/>
      <c r="S2537" s="29"/>
    </row>
    <row r="2538" spans="1:19" ht="19.5" hidden="1" customHeight="1" outlineLevel="1">
      <c r="A2538" s="23">
        <v>53</v>
      </c>
      <c r="B2538" s="24">
        <f>IF(25&lt;=DAY(DATE(YEAR(설정_코스수당!$K$2),MONTH(설정_코스수당!$K$2)+1,0)),DATE(YEAR(설정_코스수당!$K$2),MONTH(설정_코스수당!$K$2),25),"")</f>
        <v>46198</v>
      </c>
      <c r="C2538" s="25"/>
      <c r="D2538" s="23"/>
      <c r="E2538" s="23"/>
      <c r="F2538" s="26"/>
      <c r="G2538" s="23"/>
      <c r="H2538" s="23"/>
      <c r="I2538" s="23"/>
      <c r="J2538" s="27">
        <f>IF($O2538="방문완료",MAX(0,IFERROR(VLOOKUP($E2538,설정_코스수당!$A$6:$H$10,4,FALSE),0)-IF(OR($P2538="",$P2538="없음"),0,100000)),0)</f>
        <v>0</v>
      </c>
      <c r="K2538" s="27">
        <f t="array" ref="K2538">IF($O2538="방문완료",IFERROR(INDEX(설정_코스수당!$B$15:$F$64,MATCH($G2538,설정_코스수당!$A$15:$A$64,0),MATCH($E2538&amp;"수당",설정_코스수당!$B$14:$F$14,0)),0),0)</f>
        <v>0</v>
      </c>
      <c r="L2538" s="27">
        <f t="array" ref="L2538">IF($O2538="방문완료",IF($H2538="",0,IFERROR(INDEX(설정_코스수당!$B$15:$F$64,MATCH($H2538,설정_코스수당!$A$15:$A$64,0),MATCH($E2538&amp;"수당",설정_코스수당!$B$14:$F$14,0)),0)),0)</f>
        <v>0</v>
      </c>
      <c r="M2538" s="27">
        <f>IF($O2538="방문완료",IFERROR(VLOOKUP($E2538,설정_코스수당!$A$6:$H$10,6,FALSE),0),0)</f>
        <v>0</v>
      </c>
      <c r="N2538" s="28">
        <f t="shared" si="73"/>
        <v>0</v>
      </c>
      <c r="O2538" s="23"/>
      <c r="P2538" s="23"/>
      <c r="Q2538" s="23"/>
      <c r="R2538" s="26"/>
      <c r="S2538" s="23"/>
    </row>
    <row r="2539" spans="1:19" ht="19.5" hidden="1" customHeight="1" outlineLevel="1">
      <c r="A2539" s="29">
        <v>54</v>
      </c>
      <c r="B2539" s="30">
        <f>IF(25&lt;=DAY(DATE(YEAR(설정_코스수당!$K$2),MONTH(설정_코스수당!$K$2)+1,0)),DATE(YEAR(설정_코스수당!$K$2),MONTH(설정_코스수당!$K$2),25),"")</f>
        <v>46198</v>
      </c>
      <c r="C2539" s="31"/>
      <c r="D2539" s="29"/>
      <c r="E2539" s="29"/>
      <c r="F2539" s="32"/>
      <c r="G2539" s="29"/>
      <c r="H2539" s="29"/>
      <c r="I2539" s="29"/>
      <c r="J2539" s="33">
        <f>IF($O2539="방문완료",MAX(0,IFERROR(VLOOKUP($E2539,설정_코스수당!$A$6:$H$10,4,FALSE),0)-IF(OR($P2539="",$P2539="없음"),0,100000)),0)</f>
        <v>0</v>
      </c>
      <c r="K2539" s="33">
        <f t="array" ref="K2539">IF($O2539="방문완료",IFERROR(INDEX(설정_코스수당!$B$15:$F$64,MATCH($G2539,설정_코스수당!$A$15:$A$64,0),MATCH($E2539&amp;"수당",설정_코스수당!$B$14:$F$14,0)),0),0)</f>
        <v>0</v>
      </c>
      <c r="L2539" s="33">
        <f t="array" ref="L2539">IF($O2539="방문완료",IF($H2539="",0,IFERROR(INDEX(설정_코스수당!$B$15:$F$64,MATCH($H2539,설정_코스수당!$A$15:$A$64,0),MATCH($E2539&amp;"수당",설정_코스수당!$B$14:$F$14,0)),0)),0)</f>
        <v>0</v>
      </c>
      <c r="M2539" s="33">
        <f>IF($O2539="방문완료",IFERROR(VLOOKUP($E2539,설정_코스수당!$A$6:$H$10,6,FALSE),0),0)</f>
        <v>0</v>
      </c>
      <c r="N2539" s="34">
        <f t="shared" si="73"/>
        <v>0</v>
      </c>
      <c r="O2539" s="29"/>
      <c r="P2539" s="29"/>
      <c r="Q2539" s="29"/>
      <c r="R2539" s="32"/>
      <c r="S2539" s="29"/>
    </row>
    <row r="2540" spans="1:19" ht="19.5" hidden="1" customHeight="1" outlineLevel="1">
      <c r="A2540" s="23">
        <v>55</v>
      </c>
      <c r="B2540" s="24">
        <f>IF(25&lt;=DAY(DATE(YEAR(설정_코스수당!$K$2),MONTH(설정_코스수당!$K$2)+1,0)),DATE(YEAR(설정_코스수당!$K$2),MONTH(설정_코스수당!$K$2),25),"")</f>
        <v>46198</v>
      </c>
      <c r="C2540" s="25"/>
      <c r="D2540" s="23"/>
      <c r="E2540" s="23"/>
      <c r="F2540" s="26"/>
      <c r="G2540" s="23"/>
      <c r="H2540" s="23"/>
      <c r="I2540" s="23"/>
      <c r="J2540" s="27">
        <f>IF($O2540="방문완료",MAX(0,IFERROR(VLOOKUP($E2540,설정_코스수당!$A$6:$H$10,4,FALSE),0)-IF(OR($P2540="",$P2540="없음"),0,100000)),0)</f>
        <v>0</v>
      </c>
      <c r="K2540" s="27">
        <f t="array" ref="K2540">IF($O2540="방문완료",IFERROR(INDEX(설정_코스수당!$B$15:$F$64,MATCH($G2540,설정_코스수당!$A$15:$A$64,0),MATCH($E2540&amp;"수당",설정_코스수당!$B$14:$F$14,0)),0),0)</f>
        <v>0</v>
      </c>
      <c r="L2540" s="27">
        <f t="array" ref="L2540">IF($O2540="방문완료",IF($H2540="",0,IFERROR(INDEX(설정_코스수당!$B$15:$F$64,MATCH($H2540,설정_코스수당!$A$15:$A$64,0),MATCH($E2540&amp;"수당",설정_코스수당!$B$14:$F$14,0)),0)),0)</f>
        <v>0</v>
      </c>
      <c r="M2540" s="27">
        <f>IF($O2540="방문완료",IFERROR(VLOOKUP($E2540,설정_코스수당!$A$6:$H$10,6,FALSE),0),0)</f>
        <v>0</v>
      </c>
      <c r="N2540" s="28">
        <f t="shared" si="73"/>
        <v>0</v>
      </c>
      <c r="O2540" s="23"/>
      <c r="P2540" s="23"/>
      <c r="Q2540" s="23"/>
      <c r="R2540" s="26"/>
      <c r="S2540" s="23"/>
    </row>
    <row r="2541" spans="1:19" ht="19.5" hidden="1" customHeight="1" outlineLevel="1">
      <c r="A2541" s="29">
        <v>56</v>
      </c>
      <c r="B2541" s="30">
        <f>IF(25&lt;=DAY(DATE(YEAR(설정_코스수당!$K$2),MONTH(설정_코스수당!$K$2)+1,0)),DATE(YEAR(설정_코스수당!$K$2),MONTH(설정_코스수당!$K$2),25),"")</f>
        <v>46198</v>
      </c>
      <c r="C2541" s="31"/>
      <c r="D2541" s="29"/>
      <c r="E2541" s="29"/>
      <c r="F2541" s="32"/>
      <c r="G2541" s="29"/>
      <c r="H2541" s="29"/>
      <c r="I2541" s="29"/>
      <c r="J2541" s="33">
        <f>IF($O2541="방문완료",MAX(0,IFERROR(VLOOKUP($E2541,설정_코스수당!$A$6:$H$10,4,FALSE),0)-IF(OR($P2541="",$P2541="없음"),0,100000)),0)</f>
        <v>0</v>
      </c>
      <c r="K2541" s="33">
        <f t="array" ref="K2541">IF($O2541="방문완료",IFERROR(INDEX(설정_코스수당!$B$15:$F$64,MATCH($G2541,설정_코스수당!$A$15:$A$64,0),MATCH($E2541&amp;"수당",설정_코스수당!$B$14:$F$14,0)),0),0)</f>
        <v>0</v>
      </c>
      <c r="L2541" s="33">
        <f t="array" ref="L2541">IF($O2541="방문완료",IF($H2541="",0,IFERROR(INDEX(설정_코스수당!$B$15:$F$64,MATCH($H2541,설정_코스수당!$A$15:$A$64,0),MATCH($E2541&amp;"수당",설정_코스수당!$B$14:$F$14,0)),0)),0)</f>
        <v>0</v>
      </c>
      <c r="M2541" s="33">
        <f>IF($O2541="방문완료",IFERROR(VLOOKUP($E2541,설정_코스수당!$A$6:$H$10,6,FALSE),0),0)</f>
        <v>0</v>
      </c>
      <c r="N2541" s="34">
        <f t="shared" si="73"/>
        <v>0</v>
      </c>
      <c r="O2541" s="29"/>
      <c r="P2541" s="29"/>
      <c r="Q2541" s="29"/>
      <c r="R2541" s="32"/>
      <c r="S2541" s="29"/>
    </row>
    <row r="2542" spans="1:19" ht="19.5" hidden="1" customHeight="1" outlineLevel="1">
      <c r="A2542" s="23">
        <v>57</v>
      </c>
      <c r="B2542" s="24">
        <f>IF(25&lt;=DAY(DATE(YEAR(설정_코스수당!$K$2),MONTH(설정_코스수당!$K$2)+1,0)),DATE(YEAR(설정_코스수당!$K$2),MONTH(설정_코스수당!$K$2),25),"")</f>
        <v>46198</v>
      </c>
      <c r="C2542" s="25"/>
      <c r="D2542" s="23"/>
      <c r="E2542" s="23"/>
      <c r="F2542" s="26"/>
      <c r="G2542" s="23"/>
      <c r="H2542" s="23"/>
      <c r="I2542" s="23"/>
      <c r="J2542" s="27">
        <f>IF($O2542="방문완료",MAX(0,IFERROR(VLOOKUP($E2542,설정_코스수당!$A$6:$H$10,4,FALSE),0)-IF(OR($P2542="",$P2542="없음"),0,100000)),0)</f>
        <v>0</v>
      </c>
      <c r="K2542" s="27">
        <f t="array" ref="K2542">IF($O2542="방문완료",IFERROR(INDEX(설정_코스수당!$B$15:$F$64,MATCH($G2542,설정_코스수당!$A$15:$A$64,0),MATCH($E2542&amp;"수당",설정_코스수당!$B$14:$F$14,0)),0),0)</f>
        <v>0</v>
      </c>
      <c r="L2542" s="27">
        <f t="array" ref="L2542">IF($O2542="방문완료",IF($H2542="",0,IFERROR(INDEX(설정_코스수당!$B$15:$F$64,MATCH($H2542,설정_코스수당!$A$15:$A$64,0),MATCH($E2542&amp;"수당",설정_코스수당!$B$14:$F$14,0)),0)),0)</f>
        <v>0</v>
      </c>
      <c r="M2542" s="27">
        <f>IF($O2542="방문완료",IFERROR(VLOOKUP($E2542,설정_코스수당!$A$6:$H$10,6,FALSE),0),0)</f>
        <v>0</v>
      </c>
      <c r="N2542" s="28">
        <f t="shared" si="73"/>
        <v>0</v>
      </c>
      <c r="O2542" s="23"/>
      <c r="P2542" s="23"/>
      <c r="Q2542" s="23"/>
      <c r="R2542" s="26"/>
      <c r="S2542" s="23"/>
    </row>
    <row r="2543" spans="1:19" ht="19.5" hidden="1" customHeight="1" outlineLevel="1">
      <c r="A2543" s="29">
        <v>58</v>
      </c>
      <c r="B2543" s="30">
        <f>IF(25&lt;=DAY(DATE(YEAR(설정_코스수당!$K$2),MONTH(설정_코스수당!$K$2)+1,0)),DATE(YEAR(설정_코스수당!$K$2),MONTH(설정_코스수당!$K$2),25),"")</f>
        <v>46198</v>
      </c>
      <c r="C2543" s="31"/>
      <c r="D2543" s="29"/>
      <c r="E2543" s="29"/>
      <c r="F2543" s="32"/>
      <c r="G2543" s="29"/>
      <c r="H2543" s="29"/>
      <c r="I2543" s="29"/>
      <c r="J2543" s="33">
        <f>IF($O2543="방문완료",MAX(0,IFERROR(VLOOKUP($E2543,설정_코스수당!$A$6:$H$10,4,FALSE),0)-IF(OR($P2543="",$P2543="없음"),0,100000)),0)</f>
        <v>0</v>
      </c>
      <c r="K2543" s="33">
        <f t="array" ref="K2543">IF($O2543="방문완료",IFERROR(INDEX(설정_코스수당!$B$15:$F$64,MATCH($G2543,설정_코스수당!$A$15:$A$64,0),MATCH($E2543&amp;"수당",설정_코스수당!$B$14:$F$14,0)),0),0)</f>
        <v>0</v>
      </c>
      <c r="L2543" s="33">
        <f t="array" ref="L2543">IF($O2543="방문완료",IF($H2543="",0,IFERROR(INDEX(설정_코스수당!$B$15:$F$64,MATCH($H2543,설정_코스수당!$A$15:$A$64,0),MATCH($E2543&amp;"수당",설정_코스수당!$B$14:$F$14,0)),0)),0)</f>
        <v>0</v>
      </c>
      <c r="M2543" s="33">
        <f>IF($O2543="방문완료",IFERROR(VLOOKUP($E2543,설정_코스수당!$A$6:$H$10,6,FALSE),0),0)</f>
        <v>0</v>
      </c>
      <c r="N2543" s="34">
        <f t="shared" si="73"/>
        <v>0</v>
      </c>
      <c r="O2543" s="29"/>
      <c r="P2543" s="29"/>
      <c r="Q2543" s="29"/>
      <c r="R2543" s="32"/>
      <c r="S2543" s="29"/>
    </row>
    <row r="2544" spans="1:19" ht="19.5" hidden="1" customHeight="1" outlineLevel="1">
      <c r="A2544" s="23">
        <v>59</v>
      </c>
      <c r="B2544" s="24">
        <f>IF(25&lt;=DAY(DATE(YEAR(설정_코스수당!$K$2),MONTH(설정_코스수당!$K$2)+1,0)),DATE(YEAR(설정_코스수당!$K$2),MONTH(설정_코스수당!$K$2),25),"")</f>
        <v>46198</v>
      </c>
      <c r="C2544" s="25"/>
      <c r="D2544" s="23"/>
      <c r="E2544" s="23"/>
      <c r="F2544" s="26"/>
      <c r="G2544" s="23"/>
      <c r="H2544" s="23"/>
      <c r="I2544" s="23"/>
      <c r="J2544" s="27">
        <f>IF($O2544="방문완료",MAX(0,IFERROR(VLOOKUP($E2544,설정_코스수당!$A$6:$H$10,4,FALSE),0)-IF(OR($P2544="",$P2544="없음"),0,100000)),0)</f>
        <v>0</v>
      </c>
      <c r="K2544" s="27">
        <f t="array" ref="K2544">IF($O2544="방문완료",IFERROR(INDEX(설정_코스수당!$B$15:$F$64,MATCH($G2544,설정_코스수당!$A$15:$A$64,0),MATCH($E2544&amp;"수당",설정_코스수당!$B$14:$F$14,0)),0),0)</f>
        <v>0</v>
      </c>
      <c r="L2544" s="27">
        <f t="array" ref="L2544">IF($O2544="방문완료",IF($H2544="",0,IFERROR(INDEX(설정_코스수당!$B$15:$F$64,MATCH($H2544,설정_코스수당!$A$15:$A$64,0),MATCH($E2544&amp;"수당",설정_코스수당!$B$14:$F$14,0)),0)),0)</f>
        <v>0</v>
      </c>
      <c r="M2544" s="27">
        <f>IF($O2544="방문완료",IFERROR(VLOOKUP($E2544,설정_코스수당!$A$6:$H$10,6,FALSE),0),0)</f>
        <v>0</v>
      </c>
      <c r="N2544" s="28">
        <f t="shared" si="73"/>
        <v>0</v>
      </c>
      <c r="O2544" s="23"/>
      <c r="P2544" s="23"/>
      <c r="Q2544" s="23"/>
      <c r="R2544" s="26"/>
      <c r="S2544" s="23"/>
    </row>
    <row r="2545" spans="1:19" ht="19.5" hidden="1" customHeight="1" outlineLevel="1">
      <c r="A2545" s="29">
        <v>60</v>
      </c>
      <c r="B2545" s="30">
        <f>IF(25&lt;=DAY(DATE(YEAR(설정_코스수당!$K$2),MONTH(설정_코스수당!$K$2)+1,0)),DATE(YEAR(설정_코스수당!$K$2),MONTH(설정_코스수당!$K$2),25),"")</f>
        <v>46198</v>
      </c>
      <c r="C2545" s="31"/>
      <c r="D2545" s="29"/>
      <c r="E2545" s="29"/>
      <c r="F2545" s="32"/>
      <c r="G2545" s="29"/>
      <c r="H2545" s="29"/>
      <c r="I2545" s="29"/>
      <c r="J2545" s="33">
        <f>IF($O2545="방문완료",MAX(0,IFERROR(VLOOKUP($E2545,설정_코스수당!$A$6:$H$10,4,FALSE),0)-IF(OR($P2545="",$P2545="없음"),0,100000)),0)</f>
        <v>0</v>
      </c>
      <c r="K2545" s="33">
        <f t="array" ref="K2545">IF($O2545="방문완료",IFERROR(INDEX(설정_코스수당!$B$15:$F$64,MATCH($G2545,설정_코스수당!$A$15:$A$64,0),MATCH($E2545&amp;"수당",설정_코스수당!$B$14:$F$14,0)),0),0)</f>
        <v>0</v>
      </c>
      <c r="L2545" s="33">
        <f t="array" ref="L2545">IF($O2545="방문완료",IF($H2545="",0,IFERROR(INDEX(설정_코스수당!$B$15:$F$64,MATCH($H2545,설정_코스수당!$A$15:$A$64,0),MATCH($E2545&amp;"수당",설정_코스수당!$B$14:$F$14,0)),0)),0)</f>
        <v>0</v>
      </c>
      <c r="M2545" s="33">
        <f>IF($O2545="방문완료",IFERROR(VLOOKUP($E2545,설정_코스수당!$A$6:$H$10,6,FALSE),0),0)</f>
        <v>0</v>
      </c>
      <c r="N2545" s="34">
        <f t="shared" si="73"/>
        <v>0</v>
      </c>
      <c r="O2545" s="29"/>
      <c r="P2545" s="29"/>
      <c r="Q2545" s="29"/>
      <c r="R2545" s="32"/>
      <c r="S2545" s="29"/>
    </row>
    <row r="2546" spans="1:19" ht="19.5" hidden="1" customHeight="1" outlineLevel="1">
      <c r="A2546" s="23">
        <v>61</v>
      </c>
      <c r="B2546" s="24">
        <f>IF(25&lt;=DAY(DATE(YEAR(설정_코스수당!$K$2),MONTH(설정_코스수당!$K$2)+1,0)),DATE(YEAR(설정_코스수당!$K$2),MONTH(설정_코스수당!$K$2),25),"")</f>
        <v>46198</v>
      </c>
      <c r="C2546" s="25"/>
      <c r="D2546" s="23"/>
      <c r="E2546" s="23"/>
      <c r="F2546" s="26"/>
      <c r="G2546" s="23"/>
      <c r="H2546" s="23"/>
      <c r="I2546" s="23"/>
      <c r="J2546" s="27">
        <f>IF($O2546="방문완료",MAX(0,IFERROR(VLOOKUP($E2546,설정_코스수당!$A$6:$H$10,4,FALSE),0)-IF(OR($P2546="",$P2546="없음"),0,100000)),0)</f>
        <v>0</v>
      </c>
      <c r="K2546" s="27">
        <f t="array" ref="K2546">IF($O2546="방문완료",IFERROR(INDEX(설정_코스수당!$B$15:$F$64,MATCH($G2546,설정_코스수당!$A$15:$A$64,0),MATCH($E2546&amp;"수당",설정_코스수당!$B$14:$F$14,0)),0),0)</f>
        <v>0</v>
      </c>
      <c r="L2546" s="27">
        <f t="array" ref="L2546">IF($O2546="방문완료",IF($H2546="",0,IFERROR(INDEX(설정_코스수당!$B$15:$F$64,MATCH($H2546,설정_코스수당!$A$15:$A$64,0),MATCH($E2546&amp;"수당",설정_코스수당!$B$14:$F$14,0)),0)),0)</f>
        <v>0</v>
      </c>
      <c r="M2546" s="27">
        <f>IF($O2546="방문완료",IFERROR(VLOOKUP($E2546,설정_코스수당!$A$6:$H$10,6,FALSE),0),0)</f>
        <v>0</v>
      </c>
      <c r="N2546" s="28">
        <f t="shared" si="73"/>
        <v>0</v>
      </c>
      <c r="O2546" s="23"/>
      <c r="P2546" s="23"/>
      <c r="Q2546" s="23"/>
      <c r="R2546" s="26"/>
      <c r="S2546" s="23"/>
    </row>
    <row r="2547" spans="1:19" ht="19.5" hidden="1" customHeight="1" outlineLevel="1">
      <c r="A2547" s="29">
        <v>62</v>
      </c>
      <c r="B2547" s="30">
        <f>IF(25&lt;=DAY(DATE(YEAR(설정_코스수당!$K$2),MONTH(설정_코스수당!$K$2)+1,0)),DATE(YEAR(설정_코스수당!$K$2),MONTH(설정_코스수당!$K$2),25),"")</f>
        <v>46198</v>
      </c>
      <c r="C2547" s="31"/>
      <c r="D2547" s="29"/>
      <c r="E2547" s="29"/>
      <c r="F2547" s="32"/>
      <c r="G2547" s="29"/>
      <c r="H2547" s="29"/>
      <c r="I2547" s="29"/>
      <c r="J2547" s="33">
        <f>IF($O2547="방문완료",MAX(0,IFERROR(VLOOKUP($E2547,설정_코스수당!$A$6:$H$10,4,FALSE),0)-IF(OR($P2547="",$P2547="없음"),0,100000)),0)</f>
        <v>0</v>
      </c>
      <c r="K2547" s="33">
        <f t="array" ref="K2547">IF($O2547="방문완료",IFERROR(INDEX(설정_코스수당!$B$15:$F$64,MATCH($G2547,설정_코스수당!$A$15:$A$64,0),MATCH($E2547&amp;"수당",설정_코스수당!$B$14:$F$14,0)),0),0)</f>
        <v>0</v>
      </c>
      <c r="L2547" s="33">
        <f t="array" ref="L2547">IF($O2547="방문완료",IF($H2547="",0,IFERROR(INDEX(설정_코스수당!$B$15:$F$64,MATCH($H2547,설정_코스수당!$A$15:$A$64,0),MATCH($E2547&amp;"수당",설정_코스수당!$B$14:$F$14,0)),0)),0)</f>
        <v>0</v>
      </c>
      <c r="M2547" s="33">
        <f>IF($O2547="방문완료",IFERROR(VLOOKUP($E2547,설정_코스수당!$A$6:$H$10,6,FALSE),0),0)</f>
        <v>0</v>
      </c>
      <c r="N2547" s="34">
        <f t="shared" si="73"/>
        <v>0</v>
      </c>
      <c r="O2547" s="29"/>
      <c r="P2547" s="29"/>
      <c r="Q2547" s="29"/>
      <c r="R2547" s="32"/>
      <c r="S2547" s="29"/>
    </row>
    <row r="2548" spans="1:19" ht="19.5" hidden="1" customHeight="1" outlineLevel="1">
      <c r="A2548" s="23">
        <v>63</v>
      </c>
      <c r="B2548" s="24">
        <f>IF(25&lt;=DAY(DATE(YEAR(설정_코스수당!$K$2),MONTH(설정_코스수당!$K$2)+1,0)),DATE(YEAR(설정_코스수당!$K$2),MONTH(설정_코스수당!$K$2),25),"")</f>
        <v>46198</v>
      </c>
      <c r="C2548" s="25"/>
      <c r="D2548" s="23"/>
      <c r="E2548" s="23"/>
      <c r="F2548" s="26"/>
      <c r="G2548" s="23"/>
      <c r="H2548" s="23"/>
      <c r="I2548" s="23"/>
      <c r="J2548" s="27">
        <f>IF($O2548="방문완료",MAX(0,IFERROR(VLOOKUP($E2548,설정_코스수당!$A$6:$H$10,4,FALSE),0)-IF(OR($P2548="",$P2548="없음"),0,100000)),0)</f>
        <v>0</v>
      </c>
      <c r="K2548" s="27">
        <f t="array" ref="K2548">IF($O2548="방문완료",IFERROR(INDEX(설정_코스수당!$B$15:$F$64,MATCH($G2548,설정_코스수당!$A$15:$A$64,0),MATCH($E2548&amp;"수당",설정_코스수당!$B$14:$F$14,0)),0),0)</f>
        <v>0</v>
      </c>
      <c r="L2548" s="27">
        <f t="array" ref="L2548">IF($O2548="방문완료",IF($H2548="",0,IFERROR(INDEX(설정_코스수당!$B$15:$F$64,MATCH($H2548,설정_코스수당!$A$15:$A$64,0),MATCH($E2548&amp;"수당",설정_코스수당!$B$14:$F$14,0)),0)),0)</f>
        <v>0</v>
      </c>
      <c r="M2548" s="27">
        <f>IF($O2548="방문완료",IFERROR(VLOOKUP($E2548,설정_코스수당!$A$6:$H$10,6,FALSE),0),0)</f>
        <v>0</v>
      </c>
      <c r="N2548" s="28">
        <f t="shared" si="73"/>
        <v>0</v>
      </c>
      <c r="O2548" s="23"/>
      <c r="P2548" s="23"/>
      <c r="Q2548" s="23"/>
      <c r="R2548" s="26"/>
      <c r="S2548" s="23"/>
    </row>
    <row r="2549" spans="1:19" ht="19.5" hidden="1" customHeight="1" outlineLevel="1">
      <c r="A2549" s="29">
        <v>64</v>
      </c>
      <c r="B2549" s="30">
        <f>IF(25&lt;=DAY(DATE(YEAR(설정_코스수당!$K$2),MONTH(설정_코스수당!$K$2)+1,0)),DATE(YEAR(설정_코스수당!$K$2),MONTH(설정_코스수당!$K$2),25),"")</f>
        <v>46198</v>
      </c>
      <c r="C2549" s="31"/>
      <c r="D2549" s="29"/>
      <c r="E2549" s="29"/>
      <c r="F2549" s="32"/>
      <c r="G2549" s="29"/>
      <c r="H2549" s="29"/>
      <c r="I2549" s="29"/>
      <c r="J2549" s="33">
        <f>IF($O2549="방문완료",MAX(0,IFERROR(VLOOKUP($E2549,설정_코스수당!$A$6:$H$10,4,FALSE),0)-IF(OR($P2549="",$P2549="없음"),0,100000)),0)</f>
        <v>0</v>
      </c>
      <c r="K2549" s="33">
        <f t="array" ref="K2549">IF($O2549="방문완료",IFERROR(INDEX(설정_코스수당!$B$15:$F$64,MATCH($G2549,설정_코스수당!$A$15:$A$64,0),MATCH($E2549&amp;"수당",설정_코스수당!$B$14:$F$14,0)),0),0)</f>
        <v>0</v>
      </c>
      <c r="L2549" s="33">
        <f t="array" ref="L2549">IF($O2549="방문완료",IF($H2549="",0,IFERROR(INDEX(설정_코스수당!$B$15:$F$64,MATCH($H2549,설정_코스수당!$A$15:$A$64,0),MATCH($E2549&amp;"수당",설정_코스수당!$B$14:$F$14,0)),0)),0)</f>
        <v>0</v>
      </c>
      <c r="M2549" s="33">
        <f>IF($O2549="방문완료",IFERROR(VLOOKUP($E2549,설정_코스수당!$A$6:$H$10,6,FALSE),0),0)</f>
        <v>0</v>
      </c>
      <c r="N2549" s="34">
        <f t="shared" si="73"/>
        <v>0</v>
      </c>
      <c r="O2549" s="29"/>
      <c r="P2549" s="29"/>
      <c r="Q2549" s="29"/>
      <c r="R2549" s="32"/>
      <c r="S2549" s="29"/>
    </row>
    <row r="2550" spans="1:19" ht="19.5" hidden="1" customHeight="1" outlineLevel="1">
      <c r="A2550" s="23">
        <v>65</v>
      </c>
      <c r="B2550" s="24">
        <f>IF(25&lt;=DAY(DATE(YEAR(설정_코스수당!$K$2),MONTH(설정_코스수당!$K$2)+1,0)),DATE(YEAR(설정_코스수당!$K$2),MONTH(설정_코스수당!$K$2),25),"")</f>
        <v>46198</v>
      </c>
      <c r="C2550" s="25"/>
      <c r="D2550" s="23"/>
      <c r="E2550" s="23"/>
      <c r="F2550" s="26"/>
      <c r="G2550" s="23"/>
      <c r="H2550" s="23"/>
      <c r="I2550" s="23"/>
      <c r="J2550" s="27">
        <f>IF($O2550="방문완료",MAX(0,IFERROR(VLOOKUP($E2550,설정_코스수당!$A$6:$H$10,4,FALSE),0)-IF(OR($P2550="",$P2550="없음"),0,100000)),0)</f>
        <v>0</v>
      </c>
      <c r="K2550" s="27">
        <f t="array" ref="K2550">IF($O2550="방문완료",IFERROR(INDEX(설정_코스수당!$B$15:$F$64,MATCH($G2550,설정_코스수당!$A$15:$A$64,0),MATCH($E2550&amp;"수당",설정_코스수당!$B$14:$F$14,0)),0),0)</f>
        <v>0</v>
      </c>
      <c r="L2550" s="27">
        <f t="array" ref="L2550">IF($O2550="방문완료",IF($H2550="",0,IFERROR(INDEX(설정_코스수당!$B$15:$F$64,MATCH($H2550,설정_코스수당!$A$15:$A$64,0),MATCH($E2550&amp;"수당",설정_코스수당!$B$14:$F$14,0)),0)),0)</f>
        <v>0</v>
      </c>
      <c r="M2550" s="27">
        <f>IF($O2550="방문완료",IFERROR(VLOOKUP($E2550,설정_코스수당!$A$6:$H$10,6,FALSE),0),0)</f>
        <v>0</v>
      </c>
      <c r="N2550" s="28">
        <f t="shared" ref="N2550:N2585" si="74">IF($O2550="방문완료",1,0)</f>
        <v>0</v>
      </c>
      <c r="O2550" s="23"/>
      <c r="P2550" s="23"/>
      <c r="Q2550" s="23"/>
      <c r="R2550" s="26"/>
      <c r="S2550" s="23"/>
    </row>
    <row r="2551" spans="1:19" ht="19.5" hidden="1" customHeight="1" outlineLevel="1">
      <c r="A2551" s="29">
        <v>66</v>
      </c>
      <c r="B2551" s="30">
        <f>IF(25&lt;=DAY(DATE(YEAR(설정_코스수당!$K$2),MONTH(설정_코스수당!$K$2)+1,0)),DATE(YEAR(설정_코스수당!$K$2),MONTH(설정_코스수당!$K$2),25),"")</f>
        <v>46198</v>
      </c>
      <c r="C2551" s="31"/>
      <c r="D2551" s="29"/>
      <c r="E2551" s="29"/>
      <c r="F2551" s="32"/>
      <c r="G2551" s="29"/>
      <c r="H2551" s="29"/>
      <c r="I2551" s="29"/>
      <c r="J2551" s="33">
        <f>IF($O2551="방문완료",MAX(0,IFERROR(VLOOKUP($E2551,설정_코스수당!$A$6:$H$10,4,FALSE),0)-IF(OR($P2551="",$P2551="없음"),0,100000)),0)</f>
        <v>0</v>
      </c>
      <c r="K2551" s="33">
        <f t="array" ref="K2551">IF($O2551="방문완료",IFERROR(INDEX(설정_코스수당!$B$15:$F$64,MATCH($G2551,설정_코스수당!$A$15:$A$64,0),MATCH($E2551&amp;"수당",설정_코스수당!$B$14:$F$14,0)),0),0)</f>
        <v>0</v>
      </c>
      <c r="L2551" s="33">
        <f t="array" ref="L2551">IF($O2551="방문완료",IF($H2551="",0,IFERROR(INDEX(설정_코스수당!$B$15:$F$64,MATCH($H2551,설정_코스수당!$A$15:$A$64,0),MATCH($E2551&amp;"수당",설정_코스수당!$B$14:$F$14,0)),0)),0)</f>
        <v>0</v>
      </c>
      <c r="M2551" s="33">
        <f>IF($O2551="방문완료",IFERROR(VLOOKUP($E2551,설정_코스수당!$A$6:$H$10,6,FALSE),0),0)</f>
        <v>0</v>
      </c>
      <c r="N2551" s="34">
        <f t="shared" si="74"/>
        <v>0</v>
      </c>
      <c r="O2551" s="29"/>
      <c r="P2551" s="29"/>
      <c r="Q2551" s="29"/>
      <c r="R2551" s="32"/>
      <c r="S2551" s="29"/>
    </row>
    <row r="2552" spans="1:19" ht="19.5" hidden="1" customHeight="1" outlineLevel="1">
      <c r="A2552" s="23">
        <v>67</v>
      </c>
      <c r="B2552" s="24">
        <f>IF(25&lt;=DAY(DATE(YEAR(설정_코스수당!$K$2),MONTH(설정_코스수당!$K$2)+1,0)),DATE(YEAR(설정_코스수당!$K$2),MONTH(설정_코스수당!$K$2),25),"")</f>
        <v>46198</v>
      </c>
      <c r="C2552" s="25"/>
      <c r="D2552" s="23"/>
      <c r="E2552" s="23"/>
      <c r="F2552" s="26"/>
      <c r="G2552" s="23"/>
      <c r="H2552" s="23"/>
      <c r="I2552" s="23"/>
      <c r="J2552" s="27">
        <f>IF($O2552="방문완료",MAX(0,IFERROR(VLOOKUP($E2552,설정_코스수당!$A$6:$H$10,4,FALSE),0)-IF(OR($P2552="",$P2552="없음"),0,100000)),0)</f>
        <v>0</v>
      </c>
      <c r="K2552" s="27">
        <f t="array" ref="K2552">IF($O2552="방문완료",IFERROR(INDEX(설정_코스수당!$B$15:$F$64,MATCH($G2552,설정_코스수당!$A$15:$A$64,0),MATCH($E2552&amp;"수당",설정_코스수당!$B$14:$F$14,0)),0),0)</f>
        <v>0</v>
      </c>
      <c r="L2552" s="27">
        <f t="array" ref="L2552">IF($O2552="방문완료",IF($H2552="",0,IFERROR(INDEX(설정_코스수당!$B$15:$F$64,MATCH($H2552,설정_코스수당!$A$15:$A$64,0),MATCH($E2552&amp;"수당",설정_코스수당!$B$14:$F$14,0)),0)),0)</f>
        <v>0</v>
      </c>
      <c r="M2552" s="27">
        <f>IF($O2552="방문완료",IFERROR(VLOOKUP($E2552,설정_코스수당!$A$6:$H$10,6,FALSE),0),0)</f>
        <v>0</v>
      </c>
      <c r="N2552" s="28">
        <f t="shared" si="74"/>
        <v>0</v>
      </c>
      <c r="O2552" s="23"/>
      <c r="P2552" s="23"/>
      <c r="Q2552" s="23"/>
      <c r="R2552" s="26"/>
      <c r="S2552" s="23"/>
    </row>
    <row r="2553" spans="1:19" ht="19.5" hidden="1" customHeight="1" outlineLevel="1">
      <c r="A2553" s="29">
        <v>68</v>
      </c>
      <c r="B2553" s="30">
        <f>IF(25&lt;=DAY(DATE(YEAR(설정_코스수당!$K$2),MONTH(설정_코스수당!$K$2)+1,0)),DATE(YEAR(설정_코스수당!$K$2),MONTH(설정_코스수당!$K$2),25),"")</f>
        <v>46198</v>
      </c>
      <c r="C2553" s="31"/>
      <c r="D2553" s="29"/>
      <c r="E2553" s="29"/>
      <c r="F2553" s="32"/>
      <c r="G2553" s="29"/>
      <c r="H2553" s="29"/>
      <c r="I2553" s="29"/>
      <c r="J2553" s="33">
        <f>IF($O2553="방문완료",MAX(0,IFERROR(VLOOKUP($E2553,설정_코스수당!$A$6:$H$10,4,FALSE),0)-IF(OR($P2553="",$P2553="없음"),0,100000)),0)</f>
        <v>0</v>
      </c>
      <c r="K2553" s="33">
        <f t="array" ref="K2553">IF($O2553="방문완료",IFERROR(INDEX(설정_코스수당!$B$15:$F$64,MATCH($G2553,설정_코스수당!$A$15:$A$64,0),MATCH($E2553&amp;"수당",설정_코스수당!$B$14:$F$14,0)),0),0)</f>
        <v>0</v>
      </c>
      <c r="L2553" s="33">
        <f t="array" ref="L2553">IF($O2553="방문완료",IF($H2553="",0,IFERROR(INDEX(설정_코스수당!$B$15:$F$64,MATCH($H2553,설정_코스수당!$A$15:$A$64,0),MATCH($E2553&amp;"수당",설정_코스수당!$B$14:$F$14,0)),0)),0)</f>
        <v>0</v>
      </c>
      <c r="M2553" s="33">
        <f>IF($O2553="방문완료",IFERROR(VLOOKUP($E2553,설정_코스수당!$A$6:$H$10,6,FALSE),0),0)</f>
        <v>0</v>
      </c>
      <c r="N2553" s="34">
        <f t="shared" si="74"/>
        <v>0</v>
      </c>
      <c r="O2553" s="29"/>
      <c r="P2553" s="29"/>
      <c r="Q2553" s="29"/>
      <c r="R2553" s="32"/>
      <c r="S2553" s="29"/>
    </row>
    <row r="2554" spans="1:19" ht="19.5" hidden="1" customHeight="1" outlineLevel="1">
      <c r="A2554" s="23">
        <v>69</v>
      </c>
      <c r="B2554" s="24">
        <f>IF(25&lt;=DAY(DATE(YEAR(설정_코스수당!$K$2),MONTH(설정_코스수당!$K$2)+1,0)),DATE(YEAR(설정_코스수당!$K$2),MONTH(설정_코스수당!$K$2),25),"")</f>
        <v>46198</v>
      </c>
      <c r="C2554" s="25"/>
      <c r="D2554" s="23"/>
      <c r="E2554" s="23"/>
      <c r="F2554" s="26"/>
      <c r="G2554" s="23"/>
      <c r="H2554" s="23"/>
      <c r="I2554" s="23"/>
      <c r="J2554" s="27">
        <f>IF($O2554="방문완료",MAX(0,IFERROR(VLOOKUP($E2554,설정_코스수당!$A$6:$H$10,4,FALSE),0)-IF(OR($P2554="",$P2554="없음"),0,100000)),0)</f>
        <v>0</v>
      </c>
      <c r="K2554" s="27">
        <f t="array" ref="K2554">IF($O2554="방문완료",IFERROR(INDEX(설정_코스수당!$B$15:$F$64,MATCH($G2554,설정_코스수당!$A$15:$A$64,0),MATCH($E2554&amp;"수당",설정_코스수당!$B$14:$F$14,0)),0),0)</f>
        <v>0</v>
      </c>
      <c r="L2554" s="27">
        <f t="array" ref="L2554">IF($O2554="방문완료",IF($H2554="",0,IFERROR(INDEX(설정_코스수당!$B$15:$F$64,MATCH($H2554,설정_코스수당!$A$15:$A$64,0),MATCH($E2554&amp;"수당",설정_코스수당!$B$14:$F$14,0)),0)),0)</f>
        <v>0</v>
      </c>
      <c r="M2554" s="27">
        <f>IF($O2554="방문완료",IFERROR(VLOOKUP($E2554,설정_코스수당!$A$6:$H$10,6,FALSE),0),0)</f>
        <v>0</v>
      </c>
      <c r="N2554" s="28">
        <f t="shared" si="74"/>
        <v>0</v>
      </c>
      <c r="O2554" s="23"/>
      <c r="P2554" s="23"/>
      <c r="Q2554" s="23"/>
      <c r="R2554" s="26"/>
      <c r="S2554" s="23"/>
    </row>
    <row r="2555" spans="1:19" ht="19.5" hidden="1" customHeight="1" outlineLevel="1">
      <c r="A2555" s="29">
        <v>70</v>
      </c>
      <c r="B2555" s="30">
        <f>IF(25&lt;=DAY(DATE(YEAR(설정_코스수당!$K$2),MONTH(설정_코스수당!$K$2)+1,0)),DATE(YEAR(설정_코스수당!$K$2),MONTH(설정_코스수당!$K$2),25),"")</f>
        <v>46198</v>
      </c>
      <c r="C2555" s="31"/>
      <c r="D2555" s="29"/>
      <c r="E2555" s="29"/>
      <c r="F2555" s="32"/>
      <c r="G2555" s="29"/>
      <c r="H2555" s="29"/>
      <c r="I2555" s="29"/>
      <c r="J2555" s="33">
        <f>IF($O2555="방문완료",MAX(0,IFERROR(VLOOKUP($E2555,설정_코스수당!$A$6:$H$10,4,FALSE),0)-IF(OR($P2555="",$P2555="없음"),0,100000)),0)</f>
        <v>0</v>
      </c>
      <c r="K2555" s="33">
        <f t="array" ref="K2555">IF($O2555="방문완료",IFERROR(INDEX(설정_코스수당!$B$15:$F$64,MATCH($G2555,설정_코스수당!$A$15:$A$64,0),MATCH($E2555&amp;"수당",설정_코스수당!$B$14:$F$14,0)),0),0)</f>
        <v>0</v>
      </c>
      <c r="L2555" s="33">
        <f t="array" ref="L2555">IF($O2555="방문완료",IF($H2555="",0,IFERROR(INDEX(설정_코스수당!$B$15:$F$64,MATCH($H2555,설정_코스수당!$A$15:$A$64,0),MATCH($E2555&amp;"수당",설정_코스수당!$B$14:$F$14,0)),0)),0)</f>
        <v>0</v>
      </c>
      <c r="M2555" s="33">
        <f>IF($O2555="방문완료",IFERROR(VLOOKUP($E2555,설정_코스수당!$A$6:$H$10,6,FALSE),0),0)</f>
        <v>0</v>
      </c>
      <c r="N2555" s="34">
        <f t="shared" si="74"/>
        <v>0</v>
      </c>
      <c r="O2555" s="29"/>
      <c r="P2555" s="29"/>
      <c r="Q2555" s="29"/>
      <c r="R2555" s="32"/>
      <c r="S2555" s="29"/>
    </row>
    <row r="2556" spans="1:19" ht="19.5" hidden="1" customHeight="1" outlineLevel="1">
      <c r="A2556" s="23">
        <v>71</v>
      </c>
      <c r="B2556" s="24">
        <f>IF(25&lt;=DAY(DATE(YEAR(설정_코스수당!$K$2),MONTH(설정_코스수당!$K$2)+1,0)),DATE(YEAR(설정_코스수당!$K$2),MONTH(설정_코스수당!$K$2),25),"")</f>
        <v>46198</v>
      </c>
      <c r="C2556" s="25"/>
      <c r="D2556" s="23"/>
      <c r="E2556" s="23"/>
      <c r="F2556" s="26"/>
      <c r="G2556" s="23"/>
      <c r="H2556" s="23"/>
      <c r="I2556" s="23"/>
      <c r="J2556" s="27">
        <f>IF($O2556="방문완료",MAX(0,IFERROR(VLOOKUP($E2556,설정_코스수당!$A$6:$H$10,4,FALSE),0)-IF(OR($P2556="",$P2556="없음"),0,100000)),0)</f>
        <v>0</v>
      </c>
      <c r="K2556" s="27">
        <f t="array" ref="K2556">IF($O2556="방문완료",IFERROR(INDEX(설정_코스수당!$B$15:$F$64,MATCH($G2556,설정_코스수당!$A$15:$A$64,0),MATCH($E2556&amp;"수당",설정_코스수당!$B$14:$F$14,0)),0),0)</f>
        <v>0</v>
      </c>
      <c r="L2556" s="27">
        <f t="array" ref="L2556">IF($O2556="방문완료",IF($H2556="",0,IFERROR(INDEX(설정_코스수당!$B$15:$F$64,MATCH($H2556,설정_코스수당!$A$15:$A$64,0),MATCH($E2556&amp;"수당",설정_코스수당!$B$14:$F$14,0)),0)),0)</f>
        <v>0</v>
      </c>
      <c r="M2556" s="27">
        <f>IF($O2556="방문완료",IFERROR(VLOOKUP($E2556,설정_코스수당!$A$6:$H$10,6,FALSE),0),0)</f>
        <v>0</v>
      </c>
      <c r="N2556" s="28">
        <f t="shared" si="74"/>
        <v>0</v>
      </c>
      <c r="O2556" s="23"/>
      <c r="P2556" s="23"/>
      <c r="Q2556" s="23"/>
      <c r="R2556" s="26"/>
      <c r="S2556" s="23"/>
    </row>
    <row r="2557" spans="1:19" ht="19.5" hidden="1" customHeight="1" outlineLevel="1">
      <c r="A2557" s="29">
        <v>72</v>
      </c>
      <c r="B2557" s="30">
        <f>IF(25&lt;=DAY(DATE(YEAR(설정_코스수당!$K$2),MONTH(설정_코스수당!$K$2)+1,0)),DATE(YEAR(설정_코스수당!$K$2),MONTH(설정_코스수당!$K$2),25),"")</f>
        <v>46198</v>
      </c>
      <c r="C2557" s="31"/>
      <c r="D2557" s="29"/>
      <c r="E2557" s="29"/>
      <c r="F2557" s="32"/>
      <c r="G2557" s="29"/>
      <c r="H2557" s="29"/>
      <c r="I2557" s="29"/>
      <c r="J2557" s="33">
        <f>IF($O2557="방문완료",MAX(0,IFERROR(VLOOKUP($E2557,설정_코스수당!$A$6:$H$10,4,FALSE),0)-IF(OR($P2557="",$P2557="없음"),0,100000)),0)</f>
        <v>0</v>
      </c>
      <c r="K2557" s="33">
        <f t="array" ref="K2557">IF($O2557="방문완료",IFERROR(INDEX(설정_코스수당!$B$15:$F$64,MATCH($G2557,설정_코스수당!$A$15:$A$64,0),MATCH($E2557&amp;"수당",설정_코스수당!$B$14:$F$14,0)),0),0)</f>
        <v>0</v>
      </c>
      <c r="L2557" s="33">
        <f t="array" ref="L2557">IF($O2557="방문완료",IF($H2557="",0,IFERROR(INDEX(설정_코스수당!$B$15:$F$64,MATCH($H2557,설정_코스수당!$A$15:$A$64,0),MATCH($E2557&amp;"수당",설정_코스수당!$B$14:$F$14,0)),0)),0)</f>
        <v>0</v>
      </c>
      <c r="M2557" s="33">
        <f>IF($O2557="방문완료",IFERROR(VLOOKUP($E2557,설정_코스수당!$A$6:$H$10,6,FALSE),0),0)</f>
        <v>0</v>
      </c>
      <c r="N2557" s="34">
        <f t="shared" si="74"/>
        <v>0</v>
      </c>
      <c r="O2557" s="29"/>
      <c r="P2557" s="29"/>
      <c r="Q2557" s="29"/>
      <c r="R2557" s="32"/>
      <c r="S2557" s="29"/>
    </row>
    <row r="2558" spans="1:19" ht="19.5" hidden="1" customHeight="1" outlineLevel="1">
      <c r="A2558" s="23">
        <v>73</v>
      </c>
      <c r="B2558" s="24">
        <f>IF(25&lt;=DAY(DATE(YEAR(설정_코스수당!$K$2),MONTH(설정_코스수당!$K$2)+1,0)),DATE(YEAR(설정_코스수당!$K$2),MONTH(설정_코스수당!$K$2),25),"")</f>
        <v>46198</v>
      </c>
      <c r="C2558" s="25"/>
      <c r="D2558" s="23"/>
      <c r="E2558" s="23"/>
      <c r="F2558" s="26"/>
      <c r="G2558" s="23"/>
      <c r="H2558" s="23"/>
      <c r="I2558" s="23"/>
      <c r="J2558" s="27">
        <f>IF($O2558="방문완료",MAX(0,IFERROR(VLOOKUP($E2558,설정_코스수당!$A$6:$H$10,4,FALSE),0)-IF(OR($P2558="",$P2558="없음"),0,100000)),0)</f>
        <v>0</v>
      </c>
      <c r="K2558" s="27">
        <f t="array" ref="K2558">IF($O2558="방문완료",IFERROR(INDEX(설정_코스수당!$B$15:$F$64,MATCH($G2558,설정_코스수당!$A$15:$A$64,0),MATCH($E2558&amp;"수당",설정_코스수당!$B$14:$F$14,0)),0),0)</f>
        <v>0</v>
      </c>
      <c r="L2558" s="27">
        <f t="array" ref="L2558">IF($O2558="방문완료",IF($H2558="",0,IFERROR(INDEX(설정_코스수당!$B$15:$F$64,MATCH($H2558,설정_코스수당!$A$15:$A$64,0),MATCH($E2558&amp;"수당",설정_코스수당!$B$14:$F$14,0)),0)),0)</f>
        <v>0</v>
      </c>
      <c r="M2558" s="27">
        <f>IF($O2558="방문완료",IFERROR(VLOOKUP($E2558,설정_코스수당!$A$6:$H$10,6,FALSE),0),0)</f>
        <v>0</v>
      </c>
      <c r="N2558" s="28">
        <f t="shared" si="74"/>
        <v>0</v>
      </c>
      <c r="O2558" s="23"/>
      <c r="P2558" s="23"/>
      <c r="Q2558" s="23"/>
      <c r="R2558" s="26"/>
      <c r="S2558" s="23"/>
    </row>
    <row r="2559" spans="1:19" ht="19.5" hidden="1" customHeight="1" outlineLevel="1">
      <c r="A2559" s="29">
        <v>74</v>
      </c>
      <c r="B2559" s="30">
        <f>IF(25&lt;=DAY(DATE(YEAR(설정_코스수당!$K$2),MONTH(설정_코스수당!$K$2)+1,0)),DATE(YEAR(설정_코스수당!$K$2),MONTH(설정_코스수당!$K$2),25),"")</f>
        <v>46198</v>
      </c>
      <c r="C2559" s="31"/>
      <c r="D2559" s="29"/>
      <c r="E2559" s="29"/>
      <c r="F2559" s="32"/>
      <c r="G2559" s="29"/>
      <c r="H2559" s="29"/>
      <c r="I2559" s="29"/>
      <c r="J2559" s="33">
        <f>IF($O2559="방문완료",MAX(0,IFERROR(VLOOKUP($E2559,설정_코스수당!$A$6:$H$10,4,FALSE),0)-IF(OR($P2559="",$P2559="없음"),0,100000)),0)</f>
        <v>0</v>
      </c>
      <c r="K2559" s="33">
        <f t="array" ref="K2559">IF($O2559="방문완료",IFERROR(INDEX(설정_코스수당!$B$15:$F$64,MATCH($G2559,설정_코스수당!$A$15:$A$64,0),MATCH($E2559&amp;"수당",설정_코스수당!$B$14:$F$14,0)),0),0)</f>
        <v>0</v>
      </c>
      <c r="L2559" s="33">
        <f t="array" ref="L2559">IF($O2559="방문완료",IF($H2559="",0,IFERROR(INDEX(설정_코스수당!$B$15:$F$64,MATCH($H2559,설정_코스수당!$A$15:$A$64,0),MATCH($E2559&amp;"수당",설정_코스수당!$B$14:$F$14,0)),0)),0)</f>
        <v>0</v>
      </c>
      <c r="M2559" s="33">
        <f>IF($O2559="방문완료",IFERROR(VLOOKUP($E2559,설정_코스수당!$A$6:$H$10,6,FALSE),0),0)</f>
        <v>0</v>
      </c>
      <c r="N2559" s="34">
        <f t="shared" si="74"/>
        <v>0</v>
      </c>
      <c r="O2559" s="29"/>
      <c r="P2559" s="29"/>
      <c r="Q2559" s="29"/>
      <c r="R2559" s="32"/>
      <c r="S2559" s="29"/>
    </row>
    <row r="2560" spans="1:19" ht="19.5" hidden="1" customHeight="1" outlineLevel="1">
      <c r="A2560" s="23">
        <v>75</v>
      </c>
      <c r="B2560" s="24">
        <f>IF(25&lt;=DAY(DATE(YEAR(설정_코스수당!$K$2),MONTH(설정_코스수당!$K$2)+1,0)),DATE(YEAR(설정_코스수당!$K$2),MONTH(설정_코스수당!$K$2),25),"")</f>
        <v>46198</v>
      </c>
      <c r="C2560" s="25"/>
      <c r="D2560" s="23"/>
      <c r="E2560" s="23"/>
      <c r="F2560" s="26"/>
      <c r="G2560" s="23"/>
      <c r="H2560" s="23"/>
      <c r="I2560" s="23"/>
      <c r="J2560" s="27">
        <f>IF($O2560="방문완료",MAX(0,IFERROR(VLOOKUP($E2560,설정_코스수당!$A$6:$H$10,4,FALSE),0)-IF(OR($P2560="",$P2560="없음"),0,100000)),0)</f>
        <v>0</v>
      </c>
      <c r="K2560" s="27">
        <f t="array" ref="K2560">IF($O2560="방문완료",IFERROR(INDEX(설정_코스수당!$B$15:$F$64,MATCH($G2560,설정_코스수당!$A$15:$A$64,0),MATCH($E2560&amp;"수당",설정_코스수당!$B$14:$F$14,0)),0),0)</f>
        <v>0</v>
      </c>
      <c r="L2560" s="27">
        <f t="array" ref="L2560">IF($O2560="방문완료",IF($H2560="",0,IFERROR(INDEX(설정_코스수당!$B$15:$F$64,MATCH($H2560,설정_코스수당!$A$15:$A$64,0),MATCH($E2560&amp;"수당",설정_코스수당!$B$14:$F$14,0)),0)),0)</f>
        <v>0</v>
      </c>
      <c r="M2560" s="27">
        <f>IF($O2560="방문완료",IFERROR(VLOOKUP($E2560,설정_코스수당!$A$6:$H$10,6,FALSE),0),0)</f>
        <v>0</v>
      </c>
      <c r="N2560" s="28">
        <f t="shared" si="74"/>
        <v>0</v>
      </c>
      <c r="O2560" s="23"/>
      <c r="P2560" s="23"/>
      <c r="Q2560" s="23"/>
      <c r="R2560" s="26"/>
      <c r="S2560" s="23"/>
    </row>
    <row r="2561" spans="1:19" ht="19.5" hidden="1" customHeight="1" outlineLevel="1">
      <c r="A2561" s="29">
        <v>76</v>
      </c>
      <c r="B2561" s="30">
        <f>IF(25&lt;=DAY(DATE(YEAR(설정_코스수당!$K$2),MONTH(설정_코스수당!$K$2)+1,0)),DATE(YEAR(설정_코스수당!$K$2),MONTH(설정_코스수당!$K$2),25),"")</f>
        <v>46198</v>
      </c>
      <c r="C2561" s="31"/>
      <c r="D2561" s="29"/>
      <c r="E2561" s="29"/>
      <c r="F2561" s="32"/>
      <c r="G2561" s="29"/>
      <c r="H2561" s="29"/>
      <c r="I2561" s="29"/>
      <c r="J2561" s="33">
        <f>IF($O2561="방문완료",MAX(0,IFERROR(VLOOKUP($E2561,설정_코스수당!$A$6:$H$10,4,FALSE),0)-IF(OR($P2561="",$P2561="없음"),0,100000)),0)</f>
        <v>0</v>
      </c>
      <c r="K2561" s="33">
        <f t="array" ref="K2561">IF($O2561="방문완료",IFERROR(INDEX(설정_코스수당!$B$15:$F$64,MATCH($G2561,설정_코스수당!$A$15:$A$64,0),MATCH($E2561&amp;"수당",설정_코스수당!$B$14:$F$14,0)),0),0)</f>
        <v>0</v>
      </c>
      <c r="L2561" s="33">
        <f t="array" ref="L2561">IF($O2561="방문완료",IF($H2561="",0,IFERROR(INDEX(설정_코스수당!$B$15:$F$64,MATCH($H2561,설정_코스수당!$A$15:$A$64,0),MATCH($E2561&amp;"수당",설정_코스수당!$B$14:$F$14,0)),0)),0)</f>
        <v>0</v>
      </c>
      <c r="M2561" s="33">
        <f>IF($O2561="방문완료",IFERROR(VLOOKUP($E2561,설정_코스수당!$A$6:$H$10,6,FALSE),0),0)</f>
        <v>0</v>
      </c>
      <c r="N2561" s="34">
        <f t="shared" si="74"/>
        <v>0</v>
      </c>
      <c r="O2561" s="29"/>
      <c r="P2561" s="29"/>
      <c r="Q2561" s="29"/>
      <c r="R2561" s="32"/>
      <c r="S2561" s="29"/>
    </row>
    <row r="2562" spans="1:19" ht="19.5" hidden="1" customHeight="1" outlineLevel="1">
      <c r="A2562" s="23">
        <v>77</v>
      </c>
      <c r="B2562" s="24">
        <f>IF(25&lt;=DAY(DATE(YEAR(설정_코스수당!$K$2),MONTH(설정_코스수당!$K$2)+1,0)),DATE(YEAR(설정_코스수당!$K$2),MONTH(설정_코스수당!$K$2),25),"")</f>
        <v>46198</v>
      </c>
      <c r="C2562" s="25"/>
      <c r="D2562" s="23"/>
      <c r="E2562" s="23"/>
      <c r="F2562" s="26"/>
      <c r="G2562" s="23"/>
      <c r="H2562" s="23"/>
      <c r="I2562" s="23"/>
      <c r="J2562" s="27">
        <f>IF($O2562="방문완료",MAX(0,IFERROR(VLOOKUP($E2562,설정_코스수당!$A$6:$H$10,4,FALSE),0)-IF(OR($P2562="",$P2562="없음"),0,100000)),0)</f>
        <v>0</v>
      </c>
      <c r="K2562" s="27">
        <f t="array" ref="K2562">IF($O2562="방문완료",IFERROR(INDEX(설정_코스수당!$B$15:$F$64,MATCH($G2562,설정_코스수당!$A$15:$A$64,0),MATCH($E2562&amp;"수당",설정_코스수당!$B$14:$F$14,0)),0),0)</f>
        <v>0</v>
      </c>
      <c r="L2562" s="27">
        <f t="array" ref="L2562">IF($O2562="방문완료",IF($H2562="",0,IFERROR(INDEX(설정_코스수당!$B$15:$F$64,MATCH($H2562,설정_코스수당!$A$15:$A$64,0),MATCH($E2562&amp;"수당",설정_코스수당!$B$14:$F$14,0)),0)),0)</f>
        <v>0</v>
      </c>
      <c r="M2562" s="27">
        <f>IF($O2562="방문완료",IFERROR(VLOOKUP($E2562,설정_코스수당!$A$6:$H$10,6,FALSE),0),0)</f>
        <v>0</v>
      </c>
      <c r="N2562" s="28">
        <f t="shared" si="74"/>
        <v>0</v>
      </c>
      <c r="O2562" s="23"/>
      <c r="P2562" s="23"/>
      <c r="Q2562" s="23"/>
      <c r="R2562" s="26"/>
      <c r="S2562" s="23"/>
    </row>
    <row r="2563" spans="1:19" ht="19.5" hidden="1" customHeight="1" outlineLevel="1">
      <c r="A2563" s="29">
        <v>78</v>
      </c>
      <c r="B2563" s="30">
        <f>IF(25&lt;=DAY(DATE(YEAR(설정_코스수당!$K$2),MONTH(설정_코스수당!$K$2)+1,0)),DATE(YEAR(설정_코스수당!$K$2),MONTH(설정_코스수당!$K$2),25),"")</f>
        <v>46198</v>
      </c>
      <c r="C2563" s="31"/>
      <c r="D2563" s="29"/>
      <c r="E2563" s="29"/>
      <c r="F2563" s="32"/>
      <c r="G2563" s="29"/>
      <c r="H2563" s="29"/>
      <c r="I2563" s="29"/>
      <c r="J2563" s="33">
        <f>IF($O2563="방문완료",MAX(0,IFERROR(VLOOKUP($E2563,설정_코스수당!$A$6:$H$10,4,FALSE),0)-IF(OR($P2563="",$P2563="없음"),0,100000)),0)</f>
        <v>0</v>
      </c>
      <c r="K2563" s="33">
        <f t="array" ref="K2563">IF($O2563="방문완료",IFERROR(INDEX(설정_코스수당!$B$15:$F$64,MATCH($G2563,설정_코스수당!$A$15:$A$64,0),MATCH($E2563&amp;"수당",설정_코스수당!$B$14:$F$14,0)),0),0)</f>
        <v>0</v>
      </c>
      <c r="L2563" s="33">
        <f t="array" ref="L2563">IF($O2563="방문완료",IF($H2563="",0,IFERROR(INDEX(설정_코스수당!$B$15:$F$64,MATCH($H2563,설정_코스수당!$A$15:$A$64,0),MATCH($E2563&amp;"수당",설정_코스수당!$B$14:$F$14,0)),0)),0)</f>
        <v>0</v>
      </c>
      <c r="M2563" s="33">
        <f>IF($O2563="방문완료",IFERROR(VLOOKUP($E2563,설정_코스수당!$A$6:$H$10,6,FALSE),0),0)</f>
        <v>0</v>
      </c>
      <c r="N2563" s="34">
        <f t="shared" si="74"/>
        <v>0</v>
      </c>
      <c r="O2563" s="29"/>
      <c r="P2563" s="29"/>
      <c r="Q2563" s="29"/>
      <c r="R2563" s="32"/>
      <c r="S2563" s="29"/>
    </row>
    <row r="2564" spans="1:19" ht="19.5" hidden="1" customHeight="1" outlineLevel="1">
      <c r="A2564" s="23">
        <v>79</v>
      </c>
      <c r="B2564" s="24">
        <f>IF(25&lt;=DAY(DATE(YEAR(설정_코스수당!$K$2),MONTH(설정_코스수당!$K$2)+1,0)),DATE(YEAR(설정_코스수당!$K$2),MONTH(설정_코스수당!$K$2),25),"")</f>
        <v>46198</v>
      </c>
      <c r="C2564" s="25"/>
      <c r="D2564" s="23"/>
      <c r="E2564" s="23"/>
      <c r="F2564" s="26"/>
      <c r="G2564" s="23"/>
      <c r="H2564" s="23"/>
      <c r="I2564" s="23"/>
      <c r="J2564" s="27">
        <f>IF($O2564="방문완료",MAX(0,IFERROR(VLOOKUP($E2564,설정_코스수당!$A$6:$H$10,4,FALSE),0)-IF(OR($P2564="",$P2564="없음"),0,100000)),0)</f>
        <v>0</v>
      </c>
      <c r="K2564" s="27">
        <f t="array" ref="K2564">IF($O2564="방문완료",IFERROR(INDEX(설정_코스수당!$B$15:$F$64,MATCH($G2564,설정_코스수당!$A$15:$A$64,0),MATCH($E2564&amp;"수당",설정_코스수당!$B$14:$F$14,0)),0),0)</f>
        <v>0</v>
      </c>
      <c r="L2564" s="27">
        <f t="array" ref="L2564">IF($O2564="방문완료",IF($H2564="",0,IFERROR(INDEX(설정_코스수당!$B$15:$F$64,MATCH($H2564,설정_코스수당!$A$15:$A$64,0),MATCH($E2564&amp;"수당",설정_코스수당!$B$14:$F$14,0)),0)),0)</f>
        <v>0</v>
      </c>
      <c r="M2564" s="27">
        <f>IF($O2564="방문완료",IFERROR(VLOOKUP($E2564,설정_코스수당!$A$6:$H$10,6,FALSE),0),0)</f>
        <v>0</v>
      </c>
      <c r="N2564" s="28">
        <f t="shared" si="74"/>
        <v>0</v>
      </c>
      <c r="O2564" s="23"/>
      <c r="P2564" s="23"/>
      <c r="Q2564" s="23"/>
      <c r="R2564" s="26"/>
      <c r="S2564" s="23"/>
    </row>
    <row r="2565" spans="1:19" ht="19.5" hidden="1" customHeight="1" outlineLevel="1">
      <c r="A2565" s="29">
        <v>80</v>
      </c>
      <c r="B2565" s="30">
        <f>IF(25&lt;=DAY(DATE(YEAR(설정_코스수당!$K$2),MONTH(설정_코스수당!$K$2)+1,0)),DATE(YEAR(설정_코스수당!$K$2),MONTH(설정_코스수당!$K$2),25),"")</f>
        <v>46198</v>
      </c>
      <c r="C2565" s="31"/>
      <c r="D2565" s="29"/>
      <c r="E2565" s="29"/>
      <c r="F2565" s="32"/>
      <c r="G2565" s="29"/>
      <c r="H2565" s="29"/>
      <c r="I2565" s="29"/>
      <c r="J2565" s="33">
        <f>IF($O2565="방문완료",MAX(0,IFERROR(VLOOKUP($E2565,설정_코스수당!$A$6:$H$10,4,FALSE),0)-IF(OR($P2565="",$P2565="없음"),0,100000)),0)</f>
        <v>0</v>
      </c>
      <c r="K2565" s="33">
        <f t="array" ref="K2565">IF($O2565="방문완료",IFERROR(INDEX(설정_코스수당!$B$15:$F$64,MATCH($G2565,설정_코스수당!$A$15:$A$64,0),MATCH($E2565&amp;"수당",설정_코스수당!$B$14:$F$14,0)),0),0)</f>
        <v>0</v>
      </c>
      <c r="L2565" s="33">
        <f t="array" ref="L2565">IF($O2565="방문완료",IF($H2565="",0,IFERROR(INDEX(설정_코스수당!$B$15:$F$64,MATCH($H2565,설정_코스수당!$A$15:$A$64,0),MATCH($E2565&amp;"수당",설정_코스수당!$B$14:$F$14,0)),0)),0)</f>
        <v>0</v>
      </c>
      <c r="M2565" s="33">
        <f>IF($O2565="방문완료",IFERROR(VLOOKUP($E2565,설정_코스수당!$A$6:$H$10,6,FALSE),0),0)</f>
        <v>0</v>
      </c>
      <c r="N2565" s="34">
        <f t="shared" si="74"/>
        <v>0</v>
      </c>
      <c r="O2565" s="29"/>
      <c r="P2565" s="29"/>
      <c r="Q2565" s="29"/>
      <c r="R2565" s="32"/>
      <c r="S2565" s="29"/>
    </row>
    <row r="2566" spans="1:19" ht="19.5" hidden="1" customHeight="1" outlineLevel="1">
      <c r="A2566" s="23">
        <v>81</v>
      </c>
      <c r="B2566" s="24">
        <f>IF(25&lt;=DAY(DATE(YEAR(설정_코스수당!$K$2),MONTH(설정_코스수당!$K$2)+1,0)),DATE(YEAR(설정_코스수당!$K$2),MONTH(설정_코스수당!$K$2),25),"")</f>
        <v>46198</v>
      </c>
      <c r="C2566" s="25"/>
      <c r="D2566" s="23"/>
      <c r="E2566" s="23"/>
      <c r="F2566" s="26"/>
      <c r="G2566" s="23"/>
      <c r="H2566" s="23"/>
      <c r="I2566" s="23"/>
      <c r="J2566" s="27">
        <f>IF($O2566="방문완료",MAX(0,IFERROR(VLOOKUP($E2566,설정_코스수당!$A$6:$H$10,4,FALSE),0)-IF(OR($P2566="",$P2566="없음"),0,100000)),0)</f>
        <v>0</v>
      </c>
      <c r="K2566" s="27">
        <f t="array" ref="K2566">IF($O2566="방문완료",IFERROR(INDEX(설정_코스수당!$B$15:$F$64,MATCH($G2566,설정_코스수당!$A$15:$A$64,0),MATCH($E2566&amp;"수당",설정_코스수당!$B$14:$F$14,0)),0),0)</f>
        <v>0</v>
      </c>
      <c r="L2566" s="27">
        <f t="array" ref="L2566">IF($O2566="방문완료",IF($H2566="",0,IFERROR(INDEX(설정_코스수당!$B$15:$F$64,MATCH($H2566,설정_코스수당!$A$15:$A$64,0),MATCH($E2566&amp;"수당",설정_코스수당!$B$14:$F$14,0)),0)),0)</f>
        <v>0</v>
      </c>
      <c r="M2566" s="27">
        <f>IF($O2566="방문완료",IFERROR(VLOOKUP($E2566,설정_코스수당!$A$6:$H$10,6,FALSE),0),0)</f>
        <v>0</v>
      </c>
      <c r="N2566" s="28">
        <f t="shared" si="74"/>
        <v>0</v>
      </c>
      <c r="O2566" s="23"/>
      <c r="P2566" s="23"/>
      <c r="Q2566" s="23"/>
      <c r="R2566" s="26"/>
      <c r="S2566" s="23"/>
    </row>
    <row r="2567" spans="1:19" ht="19.5" hidden="1" customHeight="1" outlineLevel="1">
      <c r="A2567" s="29">
        <v>82</v>
      </c>
      <c r="B2567" s="30">
        <f>IF(25&lt;=DAY(DATE(YEAR(설정_코스수당!$K$2),MONTH(설정_코스수당!$K$2)+1,0)),DATE(YEAR(설정_코스수당!$K$2),MONTH(설정_코스수당!$K$2),25),"")</f>
        <v>46198</v>
      </c>
      <c r="C2567" s="31"/>
      <c r="D2567" s="29"/>
      <c r="E2567" s="29"/>
      <c r="F2567" s="32"/>
      <c r="G2567" s="29"/>
      <c r="H2567" s="29"/>
      <c r="I2567" s="29"/>
      <c r="J2567" s="33">
        <f>IF($O2567="방문완료",MAX(0,IFERROR(VLOOKUP($E2567,설정_코스수당!$A$6:$H$10,4,FALSE),0)-IF(OR($P2567="",$P2567="없음"),0,100000)),0)</f>
        <v>0</v>
      </c>
      <c r="K2567" s="33">
        <f t="array" ref="K2567">IF($O2567="방문완료",IFERROR(INDEX(설정_코스수당!$B$15:$F$64,MATCH($G2567,설정_코스수당!$A$15:$A$64,0),MATCH($E2567&amp;"수당",설정_코스수당!$B$14:$F$14,0)),0),0)</f>
        <v>0</v>
      </c>
      <c r="L2567" s="33">
        <f t="array" ref="L2567">IF($O2567="방문완료",IF($H2567="",0,IFERROR(INDEX(설정_코스수당!$B$15:$F$64,MATCH($H2567,설정_코스수당!$A$15:$A$64,0),MATCH($E2567&amp;"수당",설정_코스수당!$B$14:$F$14,0)),0)),0)</f>
        <v>0</v>
      </c>
      <c r="M2567" s="33">
        <f>IF($O2567="방문완료",IFERROR(VLOOKUP($E2567,설정_코스수당!$A$6:$H$10,6,FALSE),0),0)</f>
        <v>0</v>
      </c>
      <c r="N2567" s="34">
        <f t="shared" si="74"/>
        <v>0</v>
      </c>
      <c r="O2567" s="29"/>
      <c r="P2567" s="29"/>
      <c r="Q2567" s="29"/>
      <c r="R2567" s="32"/>
      <c r="S2567" s="29"/>
    </row>
    <row r="2568" spans="1:19" ht="19.5" hidden="1" customHeight="1" outlineLevel="1">
      <c r="A2568" s="23">
        <v>83</v>
      </c>
      <c r="B2568" s="24">
        <f>IF(25&lt;=DAY(DATE(YEAR(설정_코스수당!$K$2),MONTH(설정_코스수당!$K$2)+1,0)),DATE(YEAR(설정_코스수당!$K$2),MONTH(설정_코스수당!$K$2),25),"")</f>
        <v>46198</v>
      </c>
      <c r="C2568" s="25"/>
      <c r="D2568" s="23"/>
      <c r="E2568" s="23"/>
      <c r="F2568" s="26"/>
      <c r="G2568" s="23"/>
      <c r="H2568" s="23"/>
      <c r="I2568" s="23"/>
      <c r="J2568" s="27">
        <f>IF($O2568="방문완료",MAX(0,IFERROR(VLOOKUP($E2568,설정_코스수당!$A$6:$H$10,4,FALSE),0)-IF(OR($P2568="",$P2568="없음"),0,100000)),0)</f>
        <v>0</v>
      </c>
      <c r="K2568" s="27">
        <f t="array" ref="K2568">IF($O2568="방문완료",IFERROR(INDEX(설정_코스수당!$B$15:$F$64,MATCH($G2568,설정_코스수당!$A$15:$A$64,0),MATCH($E2568&amp;"수당",설정_코스수당!$B$14:$F$14,0)),0),0)</f>
        <v>0</v>
      </c>
      <c r="L2568" s="27">
        <f t="array" ref="L2568">IF($O2568="방문완료",IF($H2568="",0,IFERROR(INDEX(설정_코스수당!$B$15:$F$64,MATCH($H2568,설정_코스수당!$A$15:$A$64,0),MATCH($E2568&amp;"수당",설정_코스수당!$B$14:$F$14,0)),0)),0)</f>
        <v>0</v>
      </c>
      <c r="M2568" s="27">
        <f>IF($O2568="방문완료",IFERROR(VLOOKUP($E2568,설정_코스수당!$A$6:$H$10,6,FALSE),0),0)</f>
        <v>0</v>
      </c>
      <c r="N2568" s="28">
        <f t="shared" si="74"/>
        <v>0</v>
      </c>
      <c r="O2568" s="23"/>
      <c r="P2568" s="23"/>
      <c r="Q2568" s="23"/>
      <c r="R2568" s="26"/>
      <c r="S2568" s="23"/>
    </row>
    <row r="2569" spans="1:19" ht="19.5" hidden="1" customHeight="1" outlineLevel="1">
      <c r="A2569" s="29">
        <v>84</v>
      </c>
      <c r="B2569" s="30">
        <f>IF(25&lt;=DAY(DATE(YEAR(설정_코스수당!$K$2),MONTH(설정_코스수당!$K$2)+1,0)),DATE(YEAR(설정_코스수당!$K$2),MONTH(설정_코스수당!$K$2),25),"")</f>
        <v>46198</v>
      </c>
      <c r="C2569" s="31"/>
      <c r="D2569" s="29"/>
      <c r="E2569" s="29"/>
      <c r="F2569" s="32"/>
      <c r="G2569" s="29"/>
      <c r="H2569" s="29"/>
      <c r="I2569" s="29"/>
      <c r="J2569" s="33">
        <f>IF($O2569="방문완료",MAX(0,IFERROR(VLOOKUP($E2569,설정_코스수당!$A$6:$H$10,4,FALSE),0)-IF(OR($P2569="",$P2569="없음"),0,100000)),0)</f>
        <v>0</v>
      </c>
      <c r="K2569" s="33">
        <f t="array" ref="K2569">IF($O2569="방문완료",IFERROR(INDEX(설정_코스수당!$B$15:$F$64,MATCH($G2569,설정_코스수당!$A$15:$A$64,0),MATCH($E2569&amp;"수당",설정_코스수당!$B$14:$F$14,0)),0),0)</f>
        <v>0</v>
      </c>
      <c r="L2569" s="33">
        <f t="array" ref="L2569">IF($O2569="방문완료",IF($H2569="",0,IFERROR(INDEX(설정_코스수당!$B$15:$F$64,MATCH($H2569,설정_코스수당!$A$15:$A$64,0),MATCH($E2569&amp;"수당",설정_코스수당!$B$14:$F$14,0)),0)),0)</f>
        <v>0</v>
      </c>
      <c r="M2569" s="33">
        <f>IF($O2569="방문완료",IFERROR(VLOOKUP($E2569,설정_코스수당!$A$6:$H$10,6,FALSE),0),0)</f>
        <v>0</v>
      </c>
      <c r="N2569" s="34">
        <f t="shared" si="74"/>
        <v>0</v>
      </c>
      <c r="O2569" s="29"/>
      <c r="P2569" s="29"/>
      <c r="Q2569" s="29"/>
      <c r="R2569" s="32"/>
      <c r="S2569" s="29"/>
    </row>
    <row r="2570" spans="1:19" ht="19.5" hidden="1" customHeight="1" outlineLevel="1">
      <c r="A2570" s="23">
        <v>85</v>
      </c>
      <c r="B2570" s="24">
        <f>IF(25&lt;=DAY(DATE(YEAR(설정_코스수당!$K$2),MONTH(설정_코스수당!$K$2)+1,0)),DATE(YEAR(설정_코스수당!$K$2),MONTH(설정_코스수당!$K$2),25),"")</f>
        <v>46198</v>
      </c>
      <c r="C2570" s="25"/>
      <c r="D2570" s="23"/>
      <c r="E2570" s="23"/>
      <c r="F2570" s="26"/>
      <c r="G2570" s="23"/>
      <c r="H2570" s="23"/>
      <c r="I2570" s="23"/>
      <c r="J2570" s="27">
        <f>IF($O2570="방문완료",MAX(0,IFERROR(VLOOKUP($E2570,설정_코스수당!$A$6:$H$10,4,FALSE),0)-IF(OR($P2570="",$P2570="없음"),0,100000)),0)</f>
        <v>0</v>
      </c>
      <c r="K2570" s="27">
        <f t="array" ref="K2570">IF($O2570="방문완료",IFERROR(INDEX(설정_코스수당!$B$15:$F$64,MATCH($G2570,설정_코스수당!$A$15:$A$64,0),MATCH($E2570&amp;"수당",설정_코스수당!$B$14:$F$14,0)),0),0)</f>
        <v>0</v>
      </c>
      <c r="L2570" s="27">
        <f t="array" ref="L2570">IF($O2570="방문완료",IF($H2570="",0,IFERROR(INDEX(설정_코스수당!$B$15:$F$64,MATCH($H2570,설정_코스수당!$A$15:$A$64,0),MATCH($E2570&amp;"수당",설정_코스수당!$B$14:$F$14,0)),0)),0)</f>
        <v>0</v>
      </c>
      <c r="M2570" s="27">
        <f>IF($O2570="방문완료",IFERROR(VLOOKUP($E2570,설정_코스수당!$A$6:$H$10,6,FALSE),0),0)</f>
        <v>0</v>
      </c>
      <c r="N2570" s="28">
        <f t="shared" si="74"/>
        <v>0</v>
      </c>
      <c r="O2570" s="23"/>
      <c r="P2570" s="23"/>
      <c r="Q2570" s="23"/>
      <c r="R2570" s="26"/>
      <c r="S2570" s="23"/>
    </row>
    <row r="2571" spans="1:19" ht="19.5" hidden="1" customHeight="1" outlineLevel="1">
      <c r="A2571" s="29">
        <v>86</v>
      </c>
      <c r="B2571" s="30">
        <f>IF(25&lt;=DAY(DATE(YEAR(설정_코스수당!$K$2),MONTH(설정_코스수당!$K$2)+1,0)),DATE(YEAR(설정_코스수당!$K$2),MONTH(설정_코스수당!$K$2),25),"")</f>
        <v>46198</v>
      </c>
      <c r="C2571" s="31"/>
      <c r="D2571" s="29"/>
      <c r="E2571" s="29"/>
      <c r="F2571" s="32"/>
      <c r="G2571" s="29"/>
      <c r="H2571" s="29"/>
      <c r="I2571" s="29"/>
      <c r="J2571" s="33">
        <f>IF($O2571="방문완료",MAX(0,IFERROR(VLOOKUP($E2571,설정_코스수당!$A$6:$H$10,4,FALSE),0)-IF(OR($P2571="",$P2571="없음"),0,100000)),0)</f>
        <v>0</v>
      </c>
      <c r="K2571" s="33">
        <f t="array" ref="K2571">IF($O2571="방문완료",IFERROR(INDEX(설정_코스수당!$B$15:$F$64,MATCH($G2571,설정_코스수당!$A$15:$A$64,0),MATCH($E2571&amp;"수당",설정_코스수당!$B$14:$F$14,0)),0),0)</f>
        <v>0</v>
      </c>
      <c r="L2571" s="33">
        <f t="array" ref="L2571">IF($O2571="방문완료",IF($H2571="",0,IFERROR(INDEX(설정_코스수당!$B$15:$F$64,MATCH($H2571,설정_코스수당!$A$15:$A$64,0),MATCH($E2571&amp;"수당",설정_코스수당!$B$14:$F$14,0)),0)),0)</f>
        <v>0</v>
      </c>
      <c r="M2571" s="33">
        <f>IF($O2571="방문완료",IFERROR(VLOOKUP($E2571,설정_코스수당!$A$6:$H$10,6,FALSE),0),0)</f>
        <v>0</v>
      </c>
      <c r="N2571" s="34">
        <f t="shared" si="74"/>
        <v>0</v>
      </c>
      <c r="O2571" s="29"/>
      <c r="P2571" s="29"/>
      <c r="Q2571" s="29"/>
      <c r="R2571" s="32"/>
      <c r="S2571" s="29"/>
    </row>
    <row r="2572" spans="1:19" ht="19.5" hidden="1" customHeight="1" outlineLevel="1">
      <c r="A2572" s="23">
        <v>87</v>
      </c>
      <c r="B2572" s="24">
        <f>IF(25&lt;=DAY(DATE(YEAR(설정_코스수당!$K$2),MONTH(설정_코스수당!$K$2)+1,0)),DATE(YEAR(설정_코스수당!$K$2),MONTH(설정_코스수당!$K$2),25),"")</f>
        <v>46198</v>
      </c>
      <c r="C2572" s="25"/>
      <c r="D2572" s="23"/>
      <c r="E2572" s="23"/>
      <c r="F2572" s="26"/>
      <c r="G2572" s="23"/>
      <c r="H2572" s="23"/>
      <c r="I2572" s="23"/>
      <c r="J2572" s="27">
        <f>IF($O2572="방문완료",MAX(0,IFERROR(VLOOKUP($E2572,설정_코스수당!$A$6:$H$10,4,FALSE),0)-IF(OR($P2572="",$P2572="없음"),0,100000)),0)</f>
        <v>0</v>
      </c>
      <c r="K2572" s="27">
        <f t="array" ref="K2572">IF($O2572="방문완료",IFERROR(INDEX(설정_코스수당!$B$15:$F$64,MATCH($G2572,설정_코스수당!$A$15:$A$64,0),MATCH($E2572&amp;"수당",설정_코스수당!$B$14:$F$14,0)),0),0)</f>
        <v>0</v>
      </c>
      <c r="L2572" s="27">
        <f t="array" ref="L2572">IF($O2572="방문완료",IF($H2572="",0,IFERROR(INDEX(설정_코스수당!$B$15:$F$64,MATCH($H2572,설정_코스수당!$A$15:$A$64,0),MATCH($E2572&amp;"수당",설정_코스수당!$B$14:$F$14,0)),0)),0)</f>
        <v>0</v>
      </c>
      <c r="M2572" s="27">
        <f>IF($O2572="방문완료",IFERROR(VLOOKUP($E2572,설정_코스수당!$A$6:$H$10,6,FALSE),0),0)</f>
        <v>0</v>
      </c>
      <c r="N2572" s="28">
        <f t="shared" si="74"/>
        <v>0</v>
      </c>
      <c r="O2572" s="23"/>
      <c r="P2572" s="23"/>
      <c r="Q2572" s="23"/>
      <c r="R2572" s="26"/>
      <c r="S2572" s="23"/>
    </row>
    <row r="2573" spans="1:19" ht="19.5" hidden="1" customHeight="1" outlineLevel="1">
      <c r="A2573" s="29">
        <v>88</v>
      </c>
      <c r="B2573" s="30">
        <f>IF(25&lt;=DAY(DATE(YEAR(설정_코스수당!$K$2),MONTH(설정_코스수당!$K$2)+1,0)),DATE(YEAR(설정_코스수당!$K$2),MONTH(설정_코스수당!$K$2),25),"")</f>
        <v>46198</v>
      </c>
      <c r="C2573" s="31"/>
      <c r="D2573" s="29"/>
      <c r="E2573" s="29"/>
      <c r="F2573" s="32"/>
      <c r="G2573" s="29"/>
      <c r="H2573" s="29"/>
      <c r="I2573" s="29"/>
      <c r="J2573" s="33">
        <f>IF($O2573="방문완료",MAX(0,IFERROR(VLOOKUP($E2573,설정_코스수당!$A$6:$H$10,4,FALSE),0)-IF(OR($P2573="",$P2573="없음"),0,100000)),0)</f>
        <v>0</v>
      </c>
      <c r="K2573" s="33">
        <f t="array" ref="K2573">IF($O2573="방문완료",IFERROR(INDEX(설정_코스수당!$B$15:$F$64,MATCH($G2573,설정_코스수당!$A$15:$A$64,0),MATCH($E2573&amp;"수당",설정_코스수당!$B$14:$F$14,0)),0),0)</f>
        <v>0</v>
      </c>
      <c r="L2573" s="33">
        <f t="array" ref="L2573">IF($O2573="방문완료",IF($H2573="",0,IFERROR(INDEX(설정_코스수당!$B$15:$F$64,MATCH($H2573,설정_코스수당!$A$15:$A$64,0),MATCH($E2573&amp;"수당",설정_코스수당!$B$14:$F$14,0)),0)),0)</f>
        <v>0</v>
      </c>
      <c r="M2573" s="33">
        <f>IF($O2573="방문완료",IFERROR(VLOOKUP($E2573,설정_코스수당!$A$6:$H$10,6,FALSE),0),0)</f>
        <v>0</v>
      </c>
      <c r="N2573" s="34">
        <f t="shared" si="74"/>
        <v>0</v>
      </c>
      <c r="O2573" s="29"/>
      <c r="P2573" s="29"/>
      <c r="Q2573" s="29"/>
      <c r="R2573" s="32"/>
      <c r="S2573" s="29"/>
    </row>
    <row r="2574" spans="1:19" ht="19.5" hidden="1" customHeight="1" outlineLevel="1">
      <c r="A2574" s="23">
        <v>89</v>
      </c>
      <c r="B2574" s="24">
        <f>IF(25&lt;=DAY(DATE(YEAR(설정_코스수당!$K$2),MONTH(설정_코스수당!$K$2)+1,0)),DATE(YEAR(설정_코스수당!$K$2),MONTH(설정_코스수당!$K$2),25),"")</f>
        <v>46198</v>
      </c>
      <c r="C2574" s="25"/>
      <c r="D2574" s="23"/>
      <c r="E2574" s="23"/>
      <c r="F2574" s="26"/>
      <c r="G2574" s="23"/>
      <c r="H2574" s="23"/>
      <c r="I2574" s="23"/>
      <c r="J2574" s="27">
        <f>IF($O2574="방문완료",MAX(0,IFERROR(VLOOKUP($E2574,설정_코스수당!$A$6:$H$10,4,FALSE),0)-IF(OR($P2574="",$P2574="없음"),0,100000)),0)</f>
        <v>0</v>
      </c>
      <c r="K2574" s="27">
        <f t="array" ref="K2574">IF($O2574="방문완료",IFERROR(INDEX(설정_코스수당!$B$15:$F$64,MATCH($G2574,설정_코스수당!$A$15:$A$64,0),MATCH($E2574&amp;"수당",설정_코스수당!$B$14:$F$14,0)),0),0)</f>
        <v>0</v>
      </c>
      <c r="L2574" s="27">
        <f t="array" ref="L2574">IF($O2574="방문완료",IF($H2574="",0,IFERROR(INDEX(설정_코스수당!$B$15:$F$64,MATCH($H2574,설정_코스수당!$A$15:$A$64,0),MATCH($E2574&amp;"수당",설정_코스수당!$B$14:$F$14,0)),0)),0)</f>
        <v>0</v>
      </c>
      <c r="M2574" s="27">
        <f>IF($O2574="방문완료",IFERROR(VLOOKUP($E2574,설정_코스수당!$A$6:$H$10,6,FALSE),0),0)</f>
        <v>0</v>
      </c>
      <c r="N2574" s="28">
        <f t="shared" si="74"/>
        <v>0</v>
      </c>
      <c r="O2574" s="23"/>
      <c r="P2574" s="23"/>
      <c r="Q2574" s="23"/>
      <c r="R2574" s="26"/>
      <c r="S2574" s="23"/>
    </row>
    <row r="2575" spans="1:19" ht="19.5" hidden="1" customHeight="1" outlineLevel="1">
      <c r="A2575" s="29">
        <v>90</v>
      </c>
      <c r="B2575" s="30">
        <f>IF(25&lt;=DAY(DATE(YEAR(설정_코스수당!$K$2),MONTH(설정_코스수당!$K$2)+1,0)),DATE(YEAR(설정_코스수당!$K$2),MONTH(설정_코스수당!$K$2),25),"")</f>
        <v>46198</v>
      </c>
      <c r="C2575" s="31"/>
      <c r="D2575" s="29"/>
      <c r="E2575" s="29"/>
      <c r="F2575" s="32"/>
      <c r="G2575" s="29"/>
      <c r="H2575" s="29"/>
      <c r="I2575" s="29"/>
      <c r="J2575" s="33">
        <f>IF($O2575="방문완료",MAX(0,IFERROR(VLOOKUP($E2575,설정_코스수당!$A$6:$H$10,4,FALSE),0)-IF(OR($P2575="",$P2575="없음"),0,100000)),0)</f>
        <v>0</v>
      </c>
      <c r="K2575" s="33">
        <f t="array" ref="K2575">IF($O2575="방문완료",IFERROR(INDEX(설정_코스수당!$B$15:$F$64,MATCH($G2575,설정_코스수당!$A$15:$A$64,0),MATCH($E2575&amp;"수당",설정_코스수당!$B$14:$F$14,0)),0),0)</f>
        <v>0</v>
      </c>
      <c r="L2575" s="33">
        <f t="array" ref="L2575">IF($O2575="방문완료",IF($H2575="",0,IFERROR(INDEX(설정_코스수당!$B$15:$F$64,MATCH($H2575,설정_코스수당!$A$15:$A$64,0),MATCH($E2575&amp;"수당",설정_코스수당!$B$14:$F$14,0)),0)),0)</f>
        <v>0</v>
      </c>
      <c r="M2575" s="33">
        <f>IF($O2575="방문완료",IFERROR(VLOOKUP($E2575,설정_코스수당!$A$6:$H$10,6,FALSE),0),0)</f>
        <v>0</v>
      </c>
      <c r="N2575" s="34">
        <f t="shared" si="74"/>
        <v>0</v>
      </c>
      <c r="O2575" s="29"/>
      <c r="P2575" s="29"/>
      <c r="Q2575" s="29"/>
      <c r="R2575" s="32"/>
      <c r="S2575" s="29"/>
    </row>
    <row r="2576" spans="1:19" ht="19.5" hidden="1" customHeight="1" outlineLevel="1">
      <c r="A2576" s="23">
        <v>91</v>
      </c>
      <c r="B2576" s="24">
        <f>IF(25&lt;=DAY(DATE(YEAR(설정_코스수당!$K$2),MONTH(설정_코스수당!$K$2)+1,0)),DATE(YEAR(설정_코스수당!$K$2),MONTH(설정_코스수당!$K$2),25),"")</f>
        <v>46198</v>
      </c>
      <c r="C2576" s="25"/>
      <c r="D2576" s="23"/>
      <c r="E2576" s="23"/>
      <c r="F2576" s="26"/>
      <c r="G2576" s="23"/>
      <c r="H2576" s="23"/>
      <c r="I2576" s="23"/>
      <c r="J2576" s="27">
        <f>IF($O2576="방문완료",MAX(0,IFERROR(VLOOKUP($E2576,설정_코스수당!$A$6:$H$10,4,FALSE),0)-IF(OR($P2576="",$P2576="없음"),0,100000)),0)</f>
        <v>0</v>
      </c>
      <c r="K2576" s="27">
        <f t="array" ref="K2576">IF($O2576="방문완료",IFERROR(INDEX(설정_코스수당!$B$15:$F$64,MATCH($G2576,설정_코스수당!$A$15:$A$64,0),MATCH($E2576&amp;"수당",설정_코스수당!$B$14:$F$14,0)),0),0)</f>
        <v>0</v>
      </c>
      <c r="L2576" s="27">
        <f t="array" ref="L2576">IF($O2576="방문완료",IF($H2576="",0,IFERROR(INDEX(설정_코스수당!$B$15:$F$64,MATCH($H2576,설정_코스수당!$A$15:$A$64,0),MATCH($E2576&amp;"수당",설정_코스수당!$B$14:$F$14,0)),0)),0)</f>
        <v>0</v>
      </c>
      <c r="M2576" s="27">
        <f>IF($O2576="방문완료",IFERROR(VLOOKUP($E2576,설정_코스수당!$A$6:$H$10,6,FALSE),0),0)</f>
        <v>0</v>
      </c>
      <c r="N2576" s="28">
        <f t="shared" si="74"/>
        <v>0</v>
      </c>
      <c r="O2576" s="23"/>
      <c r="P2576" s="23"/>
      <c r="Q2576" s="23"/>
      <c r="R2576" s="26"/>
      <c r="S2576" s="23"/>
    </row>
    <row r="2577" spans="1:27" ht="19.5" hidden="1" customHeight="1" outlineLevel="1">
      <c r="A2577" s="29">
        <v>92</v>
      </c>
      <c r="B2577" s="30">
        <f>IF(25&lt;=DAY(DATE(YEAR(설정_코스수당!$K$2),MONTH(설정_코스수당!$K$2)+1,0)),DATE(YEAR(설정_코스수당!$K$2),MONTH(설정_코스수당!$K$2),25),"")</f>
        <v>46198</v>
      </c>
      <c r="C2577" s="31"/>
      <c r="D2577" s="29"/>
      <c r="E2577" s="29"/>
      <c r="F2577" s="32"/>
      <c r="G2577" s="29"/>
      <c r="H2577" s="29"/>
      <c r="I2577" s="29"/>
      <c r="J2577" s="33">
        <f>IF($O2577="방문완료",MAX(0,IFERROR(VLOOKUP($E2577,설정_코스수당!$A$6:$H$10,4,FALSE),0)-IF(OR($P2577="",$P2577="없음"),0,100000)),0)</f>
        <v>0</v>
      </c>
      <c r="K2577" s="33">
        <f t="array" ref="K2577">IF($O2577="방문완료",IFERROR(INDEX(설정_코스수당!$B$15:$F$64,MATCH($G2577,설정_코스수당!$A$15:$A$64,0),MATCH($E2577&amp;"수당",설정_코스수당!$B$14:$F$14,0)),0),0)</f>
        <v>0</v>
      </c>
      <c r="L2577" s="33">
        <f t="array" ref="L2577">IF($O2577="방문완료",IF($H2577="",0,IFERROR(INDEX(설정_코스수당!$B$15:$F$64,MATCH($H2577,설정_코스수당!$A$15:$A$64,0),MATCH($E2577&amp;"수당",설정_코스수당!$B$14:$F$14,0)),0)),0)</f>
        <v>0</v>
      </c>
      <c r="M2577" s="33">
        <f>IF($O2577="방문완료",IFERROR(VLOOKUP($E2577,설정_코스수당!$A$6:$H$10,6,FALSE),0),0)</f>
        <v>0</v>
      </c>
      <c r="N2577" s="34">
        <f t="shared" si="74"/>
        <v>0</v>
      </c>
      <c r="O2577" s="29"/>
      <c r="P2577" s="29"/>
      <c r="Q2577" s="29"/>
      <c r="R2577" s="32"/>
      <c r="S2577" s="29"/>
    </row>
    <row r="2578" spans="1:27" ht="19.5" hidden="1" customHeight="1" outlineLevel="1">
      <c r="A2578" s="23">
        <v>93</v>
      </c>
      <c r="B2578" s="24">
        <f>IF(25&lt;=DAY(DATE(YEAR(설정_코스수당!$K$2),MONTH(설정_코스수당!$K$2)+1,0)),DATE(YEAR(설정_코스수당!$K$2),MONTH(설정_코스수당!$K$2),25),"")</f>
        <v>46198</v>
      </c>
      <c r="C2578" s="25"/>
      <c r="D2578" s="23"/>
      <c r="E2578" s="23"/>
      <c r="F2578" s="26"/>
      <c r="G2578" s="23"/>
      <c r="H2578" s="23"/>
      <c r="I2578" s="23"/>
      <c r="J2578" s="27">
        <f>IF($O2578="방문완료",MAX(0,IFERROR(VLOOKUP($E2578,설정_코스수당!$A$6:$H$10,4,FALSE),0)-IF(OR($P2578="",$P2578="없음"),0,100000)),0)</f>
        <v>0</v>
      </c>
      <c r="K2578" s="27">
        <f t="array" ref="K2578">IF($O2578="방문완료",IFERROR(INDEX(설정_코스수당!$B$15:$F$64,MATCH($G2578,설정_코스수당!$A$15:$A$64,0),MATCH($E2578&amp;"수당",설정_코스수당!$B$14:$F$14,0)),0),0)</f>
        <v>0</v>
      </c>
      <c r="L2578" s="27">
        <f t="array" ref="L2578">IF($O2578="방문완료",IF($H2578="",0,IFERROR(INDEX(설정_코스수당!$B$15:$F$64,MATCH($H2578,설정_코스수당!$A$15:$A$64,0),MATCH($E2578&amp;"수당",설정_코스수당!$B$14:$F$14,0)),0)),0)</f>
        <v>0</v>
      </c>
      <c r="M2578" s="27">
        <f>IF($O2578="방문완료",IFERROR(VLOOKUP($E2578,설정_코스수당!$A$6:$H$10,6,FALSE),0),0)</f>
        <v>0</v>
      </c>
      <c r="N2578" s="28">
        <f t="shared" si="74"/>
        <v>0</v>
      </c>
      <c r="O2578" s="23"/>
      <c r="P2578" s="23"/>
      <c r="Q2578" s="23"/>
      <c r="R2578" s="26"/>
      <c r="S2578" s="23"/>
    </row>
    <row r="2579" spans="1:27" ht="19.5" hidden="1" customHeight="1" outlineLevel="1">
      <c r="A2579" s="29">
        <v>94</v>
      </c>
      <c r="B2579" s="30">
        <f>IF(25&lt;=DAY(DATE(YEAR(설정_코스수당!$K$2),MONTH(설정_코스수당!$K$2)+1,0)),DATE(YEAR(설정_코스수당!$K$2),MONTH(설정_코스수당!$K$2),25),"")</f>
        <v>46198</v>
      </c>
      <c r="C2579" s="31"/>
      <c r="D2579" s="29"/>
      <c r="E2579" s="29"/>
      <c r="F2579" s="32"/>
      <c r="G2579" s="29"/>
      <c r="H2579" s="29"/>
      <c r="I2579" s="29"/>
      <c r="J2579" s="33">
        <f>IF($O2579="방문완료",MAX(0,IFERROR(VLOOKUP($E2579,설정_코스수당!$A$6:$H$10,4,FALSE),0)-IF(OR($P2579="",$P2579="없음"),0,100000)),0)</f>
        <v>0</v>
      </c>
      <c r="K2579" s="33">
        <f t="array" ref="K2579">IF($O2579="방문완료",IFERROR(INDEX(설정_코스수당!$B$15:$F$64,MATCH($G2579,설정_코스수당!$A$15:$A$64,0),MATCH($E2579&amp;"수당",설정_코스수당!$B$14:$F$14,0)),0),0)</f>
        <v>0</v>
      </c>
      <c r="L2579" s="33">
        <f t="array" ref="L2579">IF($O2579="방문완료",IF($H2579="",0,IFERROR(INDEX(설정_코스수당!$B$15:$F$64,MATCH($H2579,설정_코스수당!$A$15:$A$64,0),MATCH($E2579&amp;"수당",설정_코스수당!$B$14:$F$14,0)),0)),0)</f>
        <v>0</v>
      </c>
      <c r="M2579" s="33">
        <f>IF($O2579="방문완료",IFERROR(VLOOKUP($E2579,설정_코스수당!$A$6:$H$10,6,FALSE),0),0)</f>
        <v>0</v>
      </c>
      <c r="N2579" s="34">
        <f t="shared" si="74"/>
        <v>0</v>
      </c>
      <c r="O2579" s="29"/>
      <c r="P2579" s="29"/>
      <c r="Q2579" s="29"/>
      <c r="R2579" s="32"/>
      <c r="S2579" s="29"/>
    </row>
    <row r="2580" spans="1:27" ht="19.5" hidden="1" customHeight="1" outlineLevel="1">
      <c r="A2580" s="23">
        <v>95</v>
      </c>
      <c r="B2580" s="24">
        <f>IF(25&lt;=DAY(DATE(YEAR(설정_코스수당!$K$2),MONTH(설정_코스수당!$K$2)+1,0)),DATE(YEAR(설정_코스수당!$K$2),MONTH(설정_코스수당!$K$2),25),"")</f>
        <v>46198</v>
      </c>
      <c r="C2580" s="25"/>
      <c r="D2580" s="23"/>
      <c r="E2580" s="23"/>
      <c r="F2580" s="26"/>
      <c r="G2580" s="23"/>
      <c r="H2580" s="23"/>
      <c r="I2580" s="23"/>
      <c r="J2580" s="27">
        <f>IF($O2580="방문완료",MAX(0,IFERROR(VLOOKUP($E2580,설정_코스수당!$A$6:$H$10,4,FALSE),0)-IF(OR($P2580="",$P2580="없음"),0,100000)),0)</f>
        <v>0</v>
      </c>
      <c r="K2580" s="27">
        <f t="array" ref="K2580">IF($O2580="방문완료",IFERROR(INDEX(설정_코스수당!$B$15:$F$64,MATCH($G2580,설정_코스수당!$A$15:$A$64,0),MATCH($E2580&amp;"수당",설정_코스수당!$B$14:$F$14,0)),0),0)</f>
        <v>0</v>
      </c>
      <c r="L2580" s="27">
        <f t="array" ref="L2580">IF($O2580="방문완료",IF($H2580="",0,IFERROR(INDEX(설정_코스수당!$B$15:$F$64,MATCH($H2580,설정_코스수당!$A$15:$A$64,0),MATCH($E2580&amp;"수당",설정_코스수당!$B$14:$F$14,0)),0)),0)</f>
        <v>0</v>
      </c>
      <c r="M2580" s="27">
        <f>IF($O2580="방문완료",IFERROR(VLOOKUP($E2580,설정_코스수당!$A$6:$H$10,6,FALSE),0),0)</f>
        <v>0</v>
      </c>
      <c r="N2580" s="28">
        <f t="shared" si="74"/>
        <v>0</v>
      </c>
      <c r="O2580" s="23"/>
      <c r="P2580" s="23"/>
      <c r="Q2580" s="23"/>
      <c r="R2580" s="26"/>
      <c r="S2580" s="23"/>
    </row>
    <row r="2581" spans="1:27" ht="19.5" hidden="1" customHeight="1" outlineLevel="1">
      <c r="A2581" s="29">
        <v>96</v>
      </c>
      <c r="B2581" s="30">
        <f>IF(25&lt;=DAY(DATE(YEAR(설정_코스수당!$K$2),MONTH(설정_코스수당!$K$2)+1,0)),DATE(YEAR(설정_코스수당!$K$2),MONTH(설정_코스수당!$K$2),25),"")</f>
        <v>46198</v>
      </c>
      <c r="C2581" s="31"/>
      <c r="D2581" s="29"/>
      <c r="E2581" s="29"/>
      <c r="F2581" s="32"/>
      <c r="G2581" s="29"/>
      <c r="H2581" s="29"/>
      <c r="I2581" s="29"/>
      <c r="J2581" s="33">
        <f>IF($O2581="방문완료",MAX(0,IFERROR(VLOOKUP($E2581,설정_코스수당!$A$6:$H$10,4,FALSE),0)-IF(OR($P2581="",$P2581="없음"),0,100000)),0)</f>
        <v>0</v>
      </c>
      <c r="K2581" s="33">
        <f t="array" ref="K2581">IF($O2581="방문완료",IFERROR(INDEX(설정_코스수당!$B$15:$F$64,MATCH($G2581,설정_코스수당!$A$15:$A$64,0),MATCH($E2581&amp;"수당",설정_코스수당!$B$14:$F$14,0)),0),0)</f>
        <v>0</v>
      </c>
      <c r="L2581" s="33">
        <f t="array" ref="L2581">IF($O2581="방문완료",IF($H2581="",0,IFERROR(INDEX(설정_코스수당!$B$15:$F$64,MATCH($H2581,설정_코스수당!$A$15:$A$64,0),MATCH($E2581&amp;"수당",설정_코스수당!$B$14:$F$14,0)),0)),0)</f>
        <v>0</v>
      </c>
      <c r="M2581" s="33">
        <f>IF($O2581="방문완료",IFERROR(VLOOKUP($E2581,설정_코스수당!$A$6:$H$10,6,FALSE),0),0)</f>
        <v>0</v>
      </c>
      <c r="N2581" s="34">
        <f t="shared" si="74"/>
        <v>0</v>
      </c>
      <c r="O2581" s="29"/>
      <c r="P2581" s="29"/>
      <c r="Q2581" s="29"/>
      <c r="R2581" s="32"/>
      <c r="S2581" s="29"/>
    </row>
    <row r="2582" spans="1:27" ht="19.5" hidden="1" customHeight="1" outlineLevel="1">
      <c r="A2582" s="23">
        <v>97</v>
      </c>
      <c r="B2582" s="24">
        <f>IF(25&lt;=DAY(DATE(YEAR(설정_코스수당!$K$2),MONTH(설정_코스수당!$K$2)+1,0)),DATE(YEAR(설정_코스수당!$K$2),MONTH(설정_코스수당!$K$2),25),"")</f>
        <v>46198</v>
      </c>
      <c r="C2582" s="25"/>
      <c r="D2582" s="23"/>
      <c r="E2582" s="23"/>
      <c r="F2582" s="26"/>
      <c r="G2582" s="23"/>
      <c r="H2582" s="23"/>
      <c r="I2582" s="23"/>
      <c r="J2582" s="27">
        <f>IF($O2582="방문완료",MAX(0,IFERROR(VLOOKUP($E2582,설정_코스수당!$A$6:$H$10,4,FALSE),0)-IF(OR($P2582="",$P2582="없음"),0,100000)),0)</f>
        <v>0</v>
      </c>
      <c r="K2582" s="27">
        <f t="array" ref="K2582">IF($O2582="방문완료",IFERROR(INDEX(설정_코스수당!$B$15:$F$64,MATCH($G2582,설정_코스수당!$A$15:$A$64,0),MATCH($E2582&amp;"수당",설정_코스수당!$B$14:$F$14,0)),0),0)</f>
        <v>0</v>
      </c>
      <c r="L2582" s="27">
        <f t="array" ref="L2582">IF($O2582="방문완료",IF($H2582="",0,IFERROR(INDEX(설정_코스수당!$B$15:$F$64,MATCH($H2582,설정_코스수당!$A$15:$A$64,0),MATCH($E2582&amp;"수당",설정_코스수당!$B$14:$F$14,0)),0)),0)</f>
        <v>0</v>
      </c>
      <c r="M2582" s="27">
        <f>IF($O2582="방문완료",IFERROR(VLOOKUP($E2582,설정_코스수당!$A$6:$H$10,6,FALSE),0),0)</f>
        <v>0</v>
      </c>
      <c r="N2582" s="28">
        <f t="shared" si="74"/>
        <v>0</v>
      </c>
      <c r="O2582" s="23"/>
      <c r="P2582" s="23"/>
      <c r="Q2582" s="23"/>
      <c r="R2582" s="26"/>
      <c r="S2582" s="23"/>
    </row>
    <row r="2583" spans="1:27" ht="19.5" hidden="1" customHeight="1" outlineLevel="1">
      <c r="A2583" s="29">
        <v>98</v>
      </c>
      <c r="B2583" s="30">
        <f>IF(25&lt;=DAY(DATE(YEAR(설정_코스수당!$K$2),MONTH(설정_코스수당!$K$2)+1,0)),DATE(YEAR(설정_코스수당!$K$2),MONTH(설정_코스수당!$K$2),25),"")</f>
        <v>46198</v>
      </c>
      <c r="C2583" s="31"/>
      <c r="D2583" s="29"/>
      <c r="E2583" s="29"/>
      <c r="F2583" s="32"/>
      <c r="G2583" s="29"/>
      <c r="H2583" s="29"/>
      <c r="I2583" s="29"/>
      <c r="J2583" s="33">
        <f>IF($O2583="방문완료",MAX(0,IFERROR(VLOOKUP($E2583,설정_코스수당!$A$6:$H$10,4,FALSE),0)-IF(OR($P2583="",$P2583="없음"),0,100000)),0)</f>
        <v>0</v>
      </c>
      <c r="K2583" s="33">
        <f t="array" ref="K2583">IF($O2583="방문완료",IFERROR(INDEX(설정_코스수당!$B$15:$F$64,MATCH($G2583,설정_코스수당!$A$15:$A$64,0),MATCH($E2583&amp;"수당",설정_코스수당!$B$14:$F$14,0)),0),0)</f>
        <v>0</v>
      </c>
      <c r="L2583" s="33">
        <f t="array" ref="L2583">IF($O2583="방문완료",IF($H2583="",0,IFERROR(INDEX(설정_코스수당!$B$15:$F$64,MATCH($H2583,설정_코스수당!$A$15:$A$64,0),MATCH($E2583&amp;"수당",설정_코스수당!$B$14:$F$14,0)),0)),0)</f>
        <v>0</v>
      </c>
      <c r="M2583" s="33">
        <f>IF($O2583="방문완료",IFERROR(VLOOKUP($E2583,설정_코스수당!$A$6:$H$10,6,FALSE),0),0)</f>
        <v>0</v>
      </c>
      <c r="N2583" s="34">
        <f t="shared" si="74"/>
        <v>0</v>
      </c>
      <c r="O2583" s="29"/>
      <c r="P2583" s="29"/>
      <c r="Q2583" s="29"/>
      <c r="R2583" s="32"/>
      <c r="S2583" s="29"/>
    </row>
    <row r="2584" spans="1:27" ht="19.5" hidden="1" customHeight="1" outlineLevel="1">
      <c r="A2584" s="23">
        <v>99</v>
      </c>
      <c r="B2584" s="24">
        <f>IF(25&lt;=DAY(DATE(YEAR(설정_코스수당!$K$2),MONTH(설정_코스수당!$K$2)+1,0)),DATE(YEAR(설정_코스수당!$K$2),MONTH(설정_코스수당!$K$2),25),"")</f>
        <v>46198</v>
      </c>
      <c r="C2584" s="25"/>
      <c r="D2584" s="23"/>
      <c r="E2584" s="23"/>
      <c r="F2584" s="26"/>
      <c r="G2584" s="23"/>
      <c r="H2584" s="23"/>
      <c r="I2584" s="23"/>
      <c r="J2584" s="27">
        <f>IF($O2584="방문완료",MAX(0,IFERROR(VLOOKUP($E2584,설정_코스수당!$A$6:$H$10,4,FALSE),0)-IF(OR($P2584="",$P2584="없음"),0,100000)),0)</f>
        <v>0</v>
      </c>
      <c r="K2584" s="27">
        <f t="array" ref="K2584">IF($O2584="방문완료",IFERROR(INDEX(설정_코스수당!$B$15:$F$64,MATCH($G2584,설정_코스수당!$A$15:$A$64,0),MATCH($E2584&amp;"수당",설정_코스수당!$B$14:$F$14,0)),0),0)</f>
        <v>0</v>
      </c>
      <c r="L2584" s="27">
        <f t="array" ref="L2584">IF($O2584="방문완료",IF($H2584="",0,IFERROR(INDEX(설정_코스수당!$B$15:$F$64,MATCH($H2584,설정_코스수당!$A$15:$A$64,0),MATCH($E2584&amp;"수당",설정_코스수당!$B$14:$F$14,0)),0)),0)</f>
        <v>0</v>
      </c>
      <c r="M2584" s="27">
        <f>IF($O2584="방문완료",IFERROR(VLOOKUP($E2584,설정_코스수당!$A$6:$H$10,6,FALSE),0),0)</f>
        <v>0</v>
      </c>
      <c r="N2584" s="28">
        <f t="shared" si="74"/>
        <v>0</v>
      </c>
      <c r="O2584" s="23"/>
      <c r="P2584" s="23"/>
      <c r="Q2584" s="23"/>
      <c r="R2584" s="26"/>
      <c r="S2584" s="23"/>
    </row>
    <row r="2585" spans="1:27" ht="19.5" hidden="1" customHeight="1" outlineLevel="1">
      <c r="A2585" s="29">
        <v>100</v>
      </c>
      <c r="B2585" s="30">
        <f>IF(25&lt;=DAY(DATE(YEAR(설정_코스수당!$K$2),MONTH(설정_코스수당!$K$2)+1,0)),DATE(YEAR(설정_코스수당!$K$2),MONTH(설정_코스수당!$K$2),25),"")</f>
        <v>46198</v>
      </c>
      <c r="C2585" s="31"/>
      <c r="D2585" s="29"/>
      <c r="E2585" s="29"/>
      <c r="F2585" s="32"/>
      <c r="G2585" s="29"/>
      <c r="H2585" s="29"/>
      <c r="I2585" s="29"/>
      <c r="J2585" s="33">
        <f>IF($O2585="방문완료",MAX(0,IFERROR(VLOOKUP($E2585,설정_코스수당!$A$6:$H$10,4,FALSE),0)-IF(OR($P2585="",$P2585="없음"),0,100000)),0)</f>
        <v>0</v>
      </c>
      <c r="K2585" s="33">
        <f t="array" ref="K2585">IF($O2585="방문완료",IFERROR(INDEX(설정_코스수당!$B$15:$F$64,MATCH($G2585,설정_코스수당!$A$15:$A$64,0),MATCH($E2585&amp;"수당",설정_코스수당!$B$14:$F$14,0)),0),0)</f>
        <v>0</v>
      </c>
      <c r="L2585" s="33">
        <f t="array" ref="L2585">IF($O2585="방문완료",IF($H2585="",0,IFERROR(INDEX(설정_코스수당!$B$15:$F$64,MATCH($H2585,설정_코스수당!$A$15:$A$64,0),MATCH($E2585&amp;"수당",설정_코스수당!$B$14:$F$14,0)),0)),0)</f>
        <v>0</v>
      </c>
      <c r="M2585" s="33">
        <f>IF($O2585="방문완료",IFERROR(VLOOKUP($E2585,설정_코스수당!$A$6:$H$10,6,FALSE),0),0)</f>
        <v>0</v>
      </c>
      <c r="N2585" s="34">
        <f t="shared" si="74"/>
        <v>0</v>
      </c>
      <c r="O2585" s="29"/>
      <c r="P2585" s="29"/>
      <c r="Q2585" s="29"/>
      <c r="R2585" s="32"/>
      <c r="S2585" s="29"/>
    </row>
    <row r="2586" spans="1:27" ht="19.5" hidden="1" customHeight="1" outlineLevel="1">
      <c r="A2586" s="36" t="s">
        <v>79</v>
      </c>
      <c r="B2586" s="37"/>
      <c r="C2586" s="38"/>
      <c r="D2586" s="37"/>
      <c r="E2586" s="37"/>
      <c r="F2586" s="37"/>
      <c r="G2586" s="37"/>
      <c r="H2586" s="37"/>
      <c r="I2586" s="37"/>
      <c r="J2586" s="37">
        <f>IF($O2586="방문완료",MAX(0,IFERROR(VLOOKUP($E2586,설정_코스수당!$A$6:$H$10,4,FALSE),0)-IF(OR($P2586="",$P2586="없음"),0,100000)),0)</f>
        <v>0</v>
      </c>
      <c r="O2586" s="18"/>
      <c r="P2586" s="14"/>
      <c r="Q2586" s="18"/>
      <c r="S2586" s="18"/>
    </row>
    <row r="2587" spans="1:27" ht="21" customHeight="1" collapsed="1">
      <c r="A2587" s="123" t="str">
        <f>IF(26&lt;=DAY(DATE(YEAR(설정_코스수당!$K$2),MONTH(설정_코스수당!$K$2)+1,0)),TEXT(DATE(YEAR(설정_코스수당!$K$2),MONTH(설정_코스수당!$K$2),26),"yyyy-mm-dd")&amp;"  |  예약관리 100슬롯","")</f>
        <v>2026-06-26  |  예약관리 100슬롯</v>
      </c>
      <c r="B2587" s="124"/>
      <c r="C2587" s="124"/>
      <c r="D2587" s="124"/>
      <c r="E2587" s="124"/>
      <c r="F2587" s="124"/>
      <c r="G2587" s="124"/>
      <c r="H2587" s="124"/>
      <c r="I2587" s="124"/>
      <c r="J2587" s="124"/>
      <c r="K2587" s="124"/>
      <c r="L2587" s="124"/>
      <c r="M2587" s="124"/>
      <c r="N2587" s="124"/>
      <c r="O2587" s="19"/>
      <c r="P2587" s="19"/>
      <c r="Q2587" s="19"/>
      <c r="R2587" s="19"/>
      <c r="S2587" s="19"/>
      <c r="T2587" s="19"/>
      <c r="U2587" s="19"/>
      <c r="V2587" s="19"/>
      <c r="W2587" s="19"/>
      <c r="X2587" s="19"/>
      <c r="Y2587" s="19"/>
      <c r="Z2587" s="19"/>
      <c r="AA2587" s="19"/>
    </row>
    <row r="2588" spans="1:27" ht="19.5" hidden="1" customHeight="1" outlineLevel="1">
      <c r="A2588" s="20" t="s">
        <v>41</v>
      </c>
      <c r="B2588" s="20" t="s">
        <v>42</v>
      </c>
      <c r="C2588" s="39" t="s">
        <v>43</v>
      </c>
      <c r="D2588" s="20" t="s">
        <v>44</v>
      </c>
      <c r="E2588" s="20" t="s">
        <v>45</v>
      </c>
      <c r="F2588" s="20" t="s">
        <v>46</v>
      </c>
      <c r="G2588" s="20" t="s">
        <v>47</v>
      </c>
      <c r="H2588" s="20" t="s">
        <v>48</v>
      </c>
      <c r="I2588" s="20" t="s">
        <v>49</v>
      </c>
      <c r="J2588" s="20" t="s">
        <v>50</v>
      </c>
      <c r="K2588" s="20" t="s">
        <v>51</v>
      </c>
      <c r="L2588" s="20" t="s">
        <v>52</v>
      </c>
      <c r="M2588" s="20" t="s">
        <v>53</v>
      </c>
      <c r="N2588" s="20" t="s">
        <v>54</v>
      </c>
      <c r="O2588" s="20" t="s">
        <v>55</v>
      </c>
      <c r="P2588" s="20" t="s">
        <v>56</v>
      </c>
      <c r="Q2588" s="18"/>
      <c r="R2588" s="20" t="s">
        <v>58</v>
      </c>
      <c r="S2588" s="20" t="s">
        <v>59</v>
      </c>
      <c r="U2588" s="122" t="str">
        <f>IF(26&lt;=DAY(DATE(YEAR(설정_코스수당!$K$2),MONTH(설정_코스수당!$K$2)+1,0)),TEXT(DATE(YEAR(설정_코스수당!$K$2),MONTH(설정_코스수당!$K$2),26),"yyyy-mm-dd")&amp;" 일일 상태","")</f>
        <v>2026-06-26 일일 상태</v>
      </c>
      <c r="V2588" s="125"/>
      <c r="W2588" s="122" t="s">
        <v>3</v>
      </c>
      <c r="X2588" s="125"/>
    </row>
    <row r="2589" spans="1:27" ht="19.5" hidden="1" customHeight="1" outlineLevel="1">
      <c r="A2589" s="23">
        <v>1</v>
      </c>
      <c r="B2589" s="24">
        <f>IF(26&lt;=DAY(DATE(YEAR(설정_코스수당!$K$2),MONTH(설정_코스수당!$K$2)+1,0)),DATE(YEAR(설정_코스수당!$K$2),MONTH(설정_코스수당!$K$2),26),"")</f>
        <v>46199</v>
      </c>
      <c r="C2589" s="25"/>
      <c r="D2589" s="23"/>
      <c r="E2589" s="23"/>
      <c r="F2589" s="26"/>
      <c r="G2589" s="23"/>
      <c r="H2589" s="23"/>
      <c r="I2589" s="23"/>
      <c r="J2589" s="27">
        <f>IF($O2589="방문완료",MAX(0,IFERROR(VLOOKUP($E2589,설정_코스수당!$A$6:$H$10,4,FALSE),0)-IF(OR($P2589="",$P2589="없음"),0,100000)),0)</f>
        <v>0</v>
      </c>
      <c r="K2589" s="27">
        <f t="array" ref="K2589">IF($O2589="방문완료",IFERROR(INDEX(설정_코스수당!$B$15:$F$64,MATCH($G2589,설정_코스수당!$A$15:$A$64,0),MATCH($E2589&amp;"수당",설정_코스수당!$B$14:$F$14,0)),0),0)</f>
        <v>0</v>
      </c>
      <c r="L2589" s="27">
        <f t="array" ref="L2589">IF($O2589="방문완료",IF($H2589="",0,IFERROR(INDEX(설정_코스수당!$B$15:$F$64,MATCH($H2589,설정_코스수당!$A$15:$A$64,0),MATCH($E2589&amp;"수당",설정_코스수당!$B$14:$F$14,0)),0)),0)</f>
        <v>0</v>
      </c>
      <c r="M2589" s="27">
        <f>IF($O2589="방문완료",IFERROR(VLOOKUP($E2589,설정_코스수당!$A$6:$H$10,6,FALSE),0),0)</f>
        <v>0</v>
      </c>
      <c r="N2589" s="28">
        <f t="shared" ref="N2589:N2620" si="75">IF($O2589="방문완료",1,0)</f>
        <v>0</v>
      </c>
      <c r="O2589" s="23"/>
      <c r="P2589" s="23"/>
      <c r="Q2589" s="23"/>
      <c r="R2589" s="26"/>
      <c r="S2589" s="23"/>
      <c r="U2589" s="104" t="s">
        <v>63</v>
      </c>
      <c r="V2589" s="105">
        <f>IF(26&lt;=DAY(DATE(YEAR(설정_코스수당!$K$2),MONTH(설정_코스수당!$K$2)+1,0)),COUNTIFS($B:$B,DATE(YEAR(설정_코스수당!$K$2),MONTH(설정_코스수당!$K$2),26),$O:$O,"&lt;&gt;"),"")</f>
        <v>0</v>
      </c>
      <c r="W2589" s="104" t="s">
        <v>6</v>
      </c>
      <c r="X2589" s="105">
        <f>IF(26&lt;=DAY(DATE(YEAR(설정_코스수당!$K$2),MONTH(설정_코스수당!$K$2)+1,0)),COUNTIFS($B:$B,DATE(YEAR(설정_코스수당!$K$2),MONTH(설정_코스수당!$K$2),26),$E:$E,"A",$O:$O,"방문완료"),"")</f>
        <v>0</v>
      </c>
    </row>
    <row r="2590" spans="1:27" ht="19.5" hidden="1" customHeight="1" outlineLevel="1">
      <c r="A2590" s="29">
        <v>2</v>
      </c>
      <c r="B2590" s="30">
        <f>IF(26&lt;=DAY(DATE(YEAR(설정_코스수당!$K$2),MONTH(설정_코스수당!$K$2)+1,0)),DATE(YEAR(설정_코스수당!$K$2),MONTH(설정_코스수당!$K$2),26),"")</f>
        <v>46199</v>
      </c>
      <c r="C2590" s="31"/>
      <c r="D2590" s="29"/>
      <c r="E2590" s="29"/>
      <c r="F2590" s="32"/>
      <c r="G2590" s="29"/>
      <c r="H2590" s="29"/>
      <c r="I2590" s="29"/>
      <c r="J2590" s="33">
        <f>IF($O2590="방문완료",MAX(0,IFERROR(VLOOKUP($E2590,설정_코스수당!$A$6:$H$10,4,FALSE),0)-IF(OR($P2590="",$P2590="없음"),0,100000)),0)</f>
        <v>0</v>
      </c>
      <c r="K2590" s="33">
        <f t="array" ref="K2590">IF($O2590="방문완료",IFERROR(INDEX(설정_코스수당!$B$15:$F$64,MATCH($G2590,설정_코스수당!$A$15:$A$64,0),MATCH($E2590&amp;"수당",설정_코스수당!$B$14:$F$14,0)),0),0)</f>
        <v>0</v>
      </c>
      <c r="L2590" s="33">
        <f t="array" ref="L2590">IF($O2590="방문완료",IF($H2590="",0,IFERROR(INDEX(설정_코스수당!$B$15:$F$64,MATCH($H2590,설정_코스수당!$A$15:$A$64,0),MATCH($E2590&amp;"수당",설정_코스수당!$B$14:$F$14,0)),0)),0)</f>
        <v>0</v>
      </c>
      <c r="M2590" s="33">
        <f>IF($O2590="방문완료",IFERROR(VLOOKUP($E2590,설정_코스수당!$A$6:$H$10,6,FALSE),0),0)</f>
        <v>0</v>
      </c>
      <c r="N2590" s="34">
        <f t="shared" si="75"/>
        <v>0</v>
      </c>
      <c r="O2590" s="29"/>
      <c r="P2590" s="29"/>
      <c r="Q2590" s="29"/>
      <c r="R2590" s="32"/>
      <c r="S2590" s="29"/>
      <c r="U2590" s="104" t="s">
        <v>62</v>
      </c>
      <c r="V2590" s="105">
        <f>IF(26&lt;=DAY(DATE(YEAR(설정_코스수당!$K$2),MONTH(설정_코스수당!$K$2)+1,0)),COUNTIFS($B:$B,DATE(YEAR(설정_코스수당!$K$2),MONTH(설정_코스수당!$K$2),26),$O:$O,"방문완료"),"")</f>
        <v>0</v>
      </c>
      <c r="W2590" s="104" t="s">
        <v>9</v>
      </c>
      <c r="X2590" s="105">
        <f>IF(26&lt;=DAY(DATE(YEAR(설정_코스수당!$K$2),MONTH(설정_코스수당!$K$2)+1,0)),COUNTIFS($B:$B,DATE(YEAR(설정_코스수당!$K$2),MONTH(설정_코스수당!$K$2),26),$E:$E,"B",$O:$O,"방문완료"),"")</f>
        <v>0</v>
      </c>
    </row>
    <row r="2591" spans="1:27" ht="19.5" hidden="1" customHeight="1" outlineLevel="1">
      <c r="A2591" s="23">
        <v>3</v>
      </c>
      <c r="B2591" s="24">
        <f>IF(26&lt;=DAY(DATE(YEAR(설정_코스수당!$K$2),MONTH(설정_코스수당!$K$2)+1,0)),DATE(YEAR(설정_코스수당!$K$2),MONTH(설정_코스수당!$K$2),26),"")</f>
        <v>46199</v>
      </c>
      <c r="C2591" s="25"/>
      <c r="D2591" s="23"/>
      <c r="E2591" s="23"/>
      <c r="F2591" s="26"/>
      <c r="G2591" s="23"/>
      <c r="H2591" s="23"/>
      <c r="I2591" s="23"/>
      <c r="J2591" s="27">
        <f>IF($O2591="방문완료",MAX(0,IFERROR(VLOOKUP($E2591,설정_코스수당!$A$6:$H$10,4,FALSE),0)-IF(OR($P2591="",$P2591="없음"),0,100000)),0)</f>
        <v>0</v>
      </c>
      <c r="K2591" s="27">
        <f t="array" ref="K2591">IF($O2591="방문완료",IFERROR(INDEX(설정_코스수당!$B$15:$F$64,MATCH($G2591,설정_코스수당!$A$15:$A$64,0),MATCH($E2591&amp;"수당",설정_코스수당!$B$14:$F$14,0)),0),0)</f>
        <v>0</v>
      </c>
      <c r="L2591" s="27">
        <f t="array" ref="L2591">IF($O2591="방문완료",IF($H2591="",0,IFERROR(INDEX(설정_코스수당!$B$15:$F$64,MATCH($H2591,설정_코스수당!$A$15:$A$64,0),MATCH($E2591&amp;"수당",설정_코스수당!$B$14:$F$14,0)),0)),0)</f>
        <v>0</v>
      </c>
      <c r="M2591" s="27">
        <f>IF($O2591="방문완료",IFERROR(VLOOKUP($E2591,설정_코스수당!$A$6:$H$10,6,FALSE),0),0)</f>
        <v>0</v>
      </c>
      <c r="N2591" s="28">
        <f t="shared" si="75"/>
        <v>0</v>
      </c>
      <c r="O2591" s="23"/>
      <c r="P2591" s="23"/>
      <c r="Q2591" s="23"/>
      <c r="R2591" s="26"/>
      <c r="S2591" s="23"/>
      <c r="U2591" s="104" t="s">
        <v>68</v>
      </c>
      <c r="V2591" s="105" t="str">
        <f>IF(26&lt;=DAY(DATE(YEAR(설정_코스수당!$K$2),MONTH(설정_코스수당!$K$2)+1,0)),COUNTIFS($B:$B,DATE(YEAR(설정_코스수당!$K$2),MONTH(설정_코스수당!$K$2),26),$O:$O,"노쇼")&amp;"/"&amp;COUNTIFS($B:$B,DATE(YEAR(설정_코스수당!$K$2),MONTH(설정_코스수당!$K$2),26),$O:$O,"취소"),"")</f>
        <v>0/0</v>
      </c>
      <c r="W2591" s="104" t="s">
        <v>12</v>
      </c>
      <c r="X2591" s="105">
        <f>IF(26&lt;=DAY(DATE(YEAR(설정_코스수당!$K$2),MONTH(설정_코스수당!$K$2)+1,0)),COUNTIFS($B:$B,DATE(YEAR(설정_코스수당!$K$2),MONTH(설정_코스수당!$K$2),26),$E:$E,"C",$O:$O,"방문완료"),"")</f>
        <v>0</v>
      </c>
    </row>
    <row r="2592" spans="1:27" ht="19.5" hidden="1" customHeight="1" outlineLevel="1">
      <c r="A2592" s="29">
        <v>4</v>
      </c>
      <c r="B2592" s="30">
        <f>IF(26&lt;=DAY(DATE(YEAR(설정_코스수당!$K$2),MONTH(설정_코스수당!$K$2)+1,0)),DATE(YEAR(설정_코스수당!$K$2),MONTH(설정_코스수당!$K$2),26),"")</f>
        <v>46199</v>
      </c>
      <c r="C2592" s="31"/>
      <c r="D2592" s="29"/>
      <c r="E2592" s="29"/>
      <c r="F2592" s="32"/>
      <c r="G2592" s="29"/>
      <c r="H2592" s="29"/>
      <c r="I2592" s="29"/>
      <c r="J2592" s="33">
        <f>IF($O2592="방문완료",MAX(0,IFERROR(VLOOKUP($E2592,설정_코스수당!$A$6:$H$10,4,FALSE),0)-IF(OR($P2592="",$P2592="없음"),0,100000)),0)</f>
        <v>0</v>
      </c>
      <c r="K2592" s="33">
        <f t="array" ref="K2592">IF($O2592="방문완료",IFERROR(INDEX(설정_코스수당!$B$15:$F$64,MATCH($G2592,설정_코스수당!$A$15:$A$64,0),MATCH($E2592&amp;"수당",설정_코스수당!$B$14:$F$14,0)),0),0)</f>
        <v>0</v>
      </c>
      <c r="L2592" s="33">
        <f t="array" ref="L2592">IF($O2592="방문완료",IF($H2592="",0,IFERROR(INDEX(설정_코스수당!$B$15:$F$64,MATCH($H2592,설정_코스수당!$A$15:$A$64,0),MATCH($E2592&amp;"수당",설정_코스수당!$B$14:$F$14,0)),0)),0)</f>
        <v>0</v>
      </c>
      <c r="M2592" s="33">
        <f>IF($O2592="방문완료",IFERROR(VLOOKUP($E2592,설정_코스수당!$A$6:$H$10,6,FALSE),0),0)</f>
        <v>0</v>
      </c>
      <c r="N2592" s="34">
        <f t="shared" si="75"/>
        <v>0</v>
      </c>
      <c r="O2592" s="29"/>
      <c r="P2592" s="29"/>
      <c r="Q2592" s="29"/>
      <c r="R2592" s="32"/>
      <c r="S2592" s="29"/>
      <c r="U2592" s="104" t="s">
        <v>69</v>
      </c>
      <c r="V2592" s="106">
        <f>IF(26&lt;=DAY(DATE(YEAR(설정_코스수당!$K$2),MONTH(설정_코스수당!$K$2)+1,0)),SUMIFS($J:$J,$B:$B,DATE(YEAR(설정_코스수당!$K$2),MONTH(설정_코스수당!$K$2),26),$O:$O,"방문완료"),"")</f>
        <v>0</v>
      </c>
      <c r="W2592" s="104" t="s">
        <v>15</v>
      </c>
      <c r="X2592" s="105">
        <f>IF(26&lt;=DAY(DATE(YEAR(설정_코스수당!$K$2),MONTH(설정_코스수당!$K$2)+1,0)),COUNTIFS($B:$B,DATE(YEAR(설정_코스수당!$K$2),MONTH(설정_코스수당!$K$2),26),$E:$E,"D",$O:$O,"방문완료"),"")</f>
        <v>0</v>
      </c>
    </row>
    <row r="2593" spans="1:24" ht="19.5" hidden="1" customHeight="1" outlineLevel="1">
      <c r="A2593" s="23">
        <v>5</v>
      </c>
      <c r="B2593" s="24">
        <f>IF(26&lt;=DAY(DATE(YEAR(설정_코스수당!$K$2),MONTH(설정_코스수당!$K$2)+1,0)),DATE(YEAR(설정_코스수당!$K$2),MONTH(설정_코스수당!$K$2),26),"")</f>
        <v>46199</v>
      </c>
      <c r="C2593" s="25"/>
      <c r="D2593" s="23"/>
      <c r="E2593" s="23"/>
      <c r="F2593" s="26"/>
      <c r="G2593" s="23"/>
      <c r="H2593" s="23"/>
      <c r="I2593" s="23"/>
      <c r="J2593" s="27">
        <f>IF($O2593="방문완료",MAX(0,IFERROR(VLOOKUP($E2593,설정_코스수당!$A$6:$H$10,4,FALSE),0)-IF(OR($P2593="",$P2593="없음"),0,100000)),0)</f>
        <v>0</v>
      </c>
      <c r="K2593" s="27">
        <f t="array" ref="K2593">IF($O2593="방문완료",IFERROR(INDEX(설정_코스수당!$B$15:$F$64,MATCH($G2593,설정_코스수당!$A$15:$A$64,0),MATCH($E2593&amp;"수당",설정_코스수당!$B$14:$F$14,0)),0),0)</f>
        <v>0</v>
      </c>
      <c r="L2593" s="27">
        <f t="array" ref="L2593">IF($O2593="방문완료",IF($H2593="",0,IFERROR(INDEX(설정_코스수당!$B$15:$F$64,MATCH($H2593,설정_코스수당!$A$15:$A$64,0),MATCH($E2593&amp;"수당",설정_코스수당!$B$14:$F$14,0)),0)),0)</f>
        <v>0</v>
      </c>
      <c r="M2593" s="27">
        <f>IF($O2593="방문완료",IFERROR(VLOOKUP($E2593,설정_코스수당!$A$6:$H$10,6,FALSE),0),0)</f>
        <v>0</v>
      </c>
      <c r="N2593" s="28">
        <f t="shared" si="75"/>
        <v>0</v>
      </c>
      <c r="O2593" s="23"/>
      <c r="P2593" s="23"/>
      <c r="Q2593" s="23"/>
      <c r="R2593" s="26"/>
      <c r="S2593" s="23"/>
      <c r="U2593" s="104" t="s">
        <v>70</v>
      </c>
      <c r="V2593" s="106">
        <f>IF(26&lt;=DAY(DATE(YEAR(설정_코스수당!$K$2),MONTH(설정_코스수당!$K$2)+1,0)),SUMIFS($K:$K,$B:$B,DATE(YEAR(설정_코스수당!$K$2),MONTH(설정_코스수당!$K$2),26),$O:$O,"방문완료")+SUMIFS($L:$L,$B:$B,DATE(YEAR(설정_코스수당!$K$2),MONTH(설정_코스수당!$K$2),26),$O:$O,"방문완료"),"")</f>
        <v>0</v>
      </c>
      <c r="W2593" s="104" t="s">
        <v>18</v>
      </c>
      <c r="X2593" s="105">
        <f>IF(26&lt;=DAY(DATE(YEAR(설정_코스수당!$K$2),MONTH(설정_코스수당!$K$2)+1,0)),COUNTIFS($B:$B,DATE(YEAR(설정_코스수당!$K$2),MONTH(설정_코스수당!$K$2),26),$E:$E,"E",$O:$O,"방문완료"),"")</f>
        <v>0</v>
      </c>
    </row>
    <row r="2594" spans="1:24" ht="19.5" hidden="1" customHeight="1" outlineLevel="1">
      <c r="A2594" s="29">
        <v>6</v>
      </c>
      <c r="B2594" s="30">
        <f>IF(26&lt;=DAY(DATE(YEAR(설정_코스수당!$K$2),MONTH(설정_코스수당!$K$2)+1,0)),DATE(YEAR(설정_코스수당!$K$2),MONTH(설정_코스수당!$K$2),26),"")</f>
        <v>46199</v>
      </c>
      <c r="C2594" s="31"/>
      <c r="D2594" s="29"/>
      <c r="E2594" s="29"/>
      <c r="F2594" s="32"/>
      <c r="G2594" s="29"/>
      <c r="H2594" s="29"/>
      <c r="I2594" s="29"/>
      <c r="J2594" s="33">
        <f>IF($O2594="방문완료",MAX(0,IFERROR(VLOOKUP($E2594,설정_코스수당!$A$6:$H$10,4,FALSE),0)-IF(OR($P2594="",$P2594="없음"),0,100000)),0)</f>
        <v>0</v>
      </c>
      <c r="K2594" s="33">
        <f t="array" ref="K2594">IF($O2594="방문완료",IFERROR(INDEX(설정_코스수당!$B$15:$F$64,MATCH($G2594,설정_코스수당!$A$15:$A$64,0),MATCH($E2594&amp;"수당",설정_코스수당!$B$14:$F$14,0)),0),0)</f>
        <v>0</v>
      </c>
      <c r="L2594" s="33">
        <f t="array" ref="L2594">IF($O2594="방문완료",IF($H2594="",0,IFERROR(INDEX(설정_코스수당!$B$15:$F$64,MATCH($H2594,설정_코스수당!$A$15:$A$64,0),MATCH($E2594&amp;"수당",설정_코스수당!$B$14:$F$14,0)),0)),0)</f>
        <v>0</v>
      </c>
      <c r="M2594" s="33">
        <f>IF($O2594="방문완료",IFERROR(VLOOKUP($E2594,설정_코스수당!$A$6:$H$10,6,FALSE),0),0)</f>
        <v>0</v>
      </c>
      <c r="N2594" s="34">
        <f t="shared" si="75"/>
        <v>0</v>
      </c>
      <c r="O2594" s="29"/>
      <c r="P2594" s="29"/>
      <c r="Q2594" s="29"/>
      <c r="R2594" s="32"/>
      <c r="S2594" s="29"/>
      <c r="U2594" s="104" t="s">
        <v>53</v>
      </c>
      <c r="V2594" s="106">
        <f>IF(26&lt;=DAY(DATE(YEAR(설정_코스수당!$K$2),MONTH(설정_코스수당!$K$2)+1,0)),SUMIFS($M:$M,$B:$B,DATE(YEAR(설정_코스수당!$K$2),MONTH(설정_코스수당!$K$2),26),$O:$O,"방문완료"),"")</f>
        <v>0</v>
      </c>
      <c r="W2594" s="104" t="s">
        <v>71</v>
      </c>
      <c r="X2594" s="107">
        <f>IF(26&lt;=DAY(DATE(YEAR(설정_코스수당!$K$2),MONTH(설정_코스수당!$K$2)+1,0)),COUNTIFS($B:$B,DATE(YEAR(설정_코스수당!$K$2),MONTH(설정_코스수당!$K$2),26),$O:$O,"방문완료",$P:$P,"&lt;&gt;",$P:$P,"&lt;&gt;없음"),"")</f>
        <v>0</v>
      </c>
    </row>
    <row r="2595" spans="1:24" ht="19.5" hidden="1" customHeight="1" outlineLevel="1">
      <c r="A2595" s="23">
        <v>7</v>
      </c>
      <c r="B2595" s="24">
        <f>IF(26&lt;=DAY(DATE(YEAR(설정_코스수당!$K$2),MONTH(설정_코스수당!$K$2)+1,0)),DATE(YEAR(설정_코스수당!$K$2),MONTH(설정_코스수당!$K$2),26),"")</f>
        <v>46199</v>
      </c>
      <c r="C2595" s="25"/>
      <c r="D2595" s="23"/>
      <c r="E2595" s="23"/>
      <c r="F2595" s="26"/>
      <c r="G2595" s="23"/>
      <c r="H2595" s="23"/>
      <c r="I2595" s="23"/>
      <c r="J2595" s="27">
        <f>IF($O2595="방문완료",MAX(0,IFERROR(VLOOKUP($E2595,설정_코스수당!$A$6:$H$10,4,FALSE),0)-IF(OR($P2595="",$P2595="없음"),0,100000)),0)</f>
        <v>0</v>
      </c>
      <c r="K2595" s="27">
        <f t="array" ref="K2595">IF($O2595="방문완료",IFERROR(INDEX(설정_코스수당!$B$15:$F$64,MATCH($G2595,설정_코스수당!$A$15:$A$64,0),MATCH($E2595&amp;"수당",설정_코스수당!$B$14:$F$14,0)),0),0)</f>
        <v>0</v>
      </c>
      <c r="L2595" s="27">
        <f t="array" ref="L2595">IF($O2595="방문완료",IF($H2595="",0,IFERROR(INDEX(설정_코스수당!$B$15:$F$64,MATCH($H2595,설정_코스수당!$A$15:$A$64,0),MATCH($E2595&amp;"수당",설정_코스수당!$B$14:$F$14,0)),0)),0)</f>
        <v>0</v>
      </c>
      <c r="M2595" s="27">
        <f>IF($O2595="방문완료",IFERROR(VLOOKUP($E2595,설정_코스수당!$A$6:$H$10,6,FALSE),0),0)</f>
        <v>0</v>
      </c>
      <c r="N2595" s="28">
        <f t="shared" si="75"/>
        <v>0</v>
      </c>
      <c r="O2595" s="23"/>
      <c r="P2595" s="23"/>
      <c r="Q2595" s="23"/>
      <c r="R2595" s="26"/>
      <c r="S2595" s="23"/>
      <c r="U2595" s="104" t="s">
        <v>72</v>
      </c>
      <c r="V2595" s="108">
        <f>IF(26&lt;=DAY(DATE(YEAR(설정_코스수당!$K$2),MONTH(설정_코스수당!$K$2)+1,0)),COUNTIFS($B:$B,DATE(YEAR(설정_코스수당!$K$2),MONTH(설정_코스수당!$K$2),26),$O:$O,"방문완료",$P:$P,"&lt;&gt;",$P:$P,"&lt;&gt;없음")*100000,"")</f>
        <v>0</v>
      </c>
      <c r="W2595" s="104" t="s">
        <v>73</v>
      </c>
      <c r="X2595" s="105">
        <f>IF(26&lt;=DAY(DATE(YEAR(설정_코스수당!$K$2),MONTH(설정_코스수당!$K$2)+1,0)),COUNTIFS($B:$B,DATE(YEAR(설정_코스수당!$K$2),MONTH(설정_코스수당!$K$2),26),$G:$G,"&lt;&gt;",$O:$O,"방문완료")+COUNTIFS($B:$B,DATE(YEAR(설정_코스수당!$K$2),MONTH(설정_코스수당!$K$2),26),$H:$H,"&lt;&gt;",$O:$O,"방문완료"),"")</f>
        <v>0</v>
      </c>
    </row>
    <row r="2596" spans="1:24" ht="19.5" hidden="1" customHeight="1" outlineLevel="1">
      <c r="A2596" s="29">
        <v>8</v>
      </c>
      <c r="B2596" s="30">
        <f>IF(26&lt;=DAY(DATE(YEAR(설정_코스수당!$K$2),MONTH(설정_코스수당!$K$2)+1,0)),DATE(YEAR(설정_코스수당!$K$2),MONTH(설정_코스수당!$K$2),26),"")</f>
        <v>46199</v>
      </c>
      <c r="C2596" s="31"/>
      <c r="D2596" s="29"/>
      <c r="E2596" s="29"/>
      <c r="F2596" s="32"/>
      <c r="G2596" s="29"/>
      <c r="H2596" s="29"/>
      <c r="I2596" s="29"/>
      <c r="J2596" s="33">
        <f>IF($O2596="방문완료",MAX(0,IFERROR(VLOOKUP($E2596,설정_코스수당!$A$6:$H$10,4,FALSE),0)-IF(OR($P2596="",$P2596="없음"),0,100000)),0)</f>
        <v>0</v>
      </c>
      <c r="K2596" s="33">
        <f t="array" ref="K2596">IF($O2596="방문완료",IFERROR(INDEX(설정_코스수당!$B$15:$F$64,MATCH($G2596,설정_코스수당!$A$15:$A$64,0),MATCH($E2596&amp;"수당",설정_코스수당!$B$14:$F$14,0)),0),0)</f>
        <v>0</v>
      </c>
      <c r="L2596" s="33">
        <f t="array" ref="L2596">IF($O2596="방문완료",IF($H2596="",0,IFERROR(INDEX(설정_코스수당!$B$15:$F$64,MATCH($H2596,설정_코스수당!$A$15:$A$64,0),MATCH($E2596&amp;"수당",설정_코스수당!$B$14:$F$14,0)),0)),0)</f>
        <v>0</v>
      </c>
      <c r="M2596" s="33">
        <f>IF($O2596="방문완료",IFERROR(VLOOKUP($E2596,설정_코스수당!$A$6:$H$10,6,FALSE),0),0)</f>
        <v>0</v>
      </c>
      <c r="N2596" s="34">
        <f t="shared" si="75"/>
        <v>0</v>
      </c>
      <c r="O2596" s="29"/>
      <c r="P2596" s="29"/>
      <c r="Q2596" s="29"/>
      <c r="R2596" s="32"/>
      <c r="S2596" s="29"/>
      <c r="U2596" s="104" t="s">
        <v>74</v>
      </c>
      <c r="V2596" s="108">
        <f>IF(26&lt;=DAY(DATE(YEAR(설정_코스수당!$K$2),MONTH(설정_코스수당!$K$2)+1,0)),SUM($U$2600:$U$2607),"")</f>
        <v>0</v>
      </c>
      <c r="W2596" s="122" t="str">
        <f>IF(26&lt;=DAY(DATE(YEAR(설정_코스수당!$K$2),MONTH(설정_코스수당!$K$2)+1,0)),"계 : "&amp;TEXT(V2592-V2596,"#,##0")&amp;" 동","")</f>
        <v>계 : 0 동</v>
      </c>
      <c r="X2596" s="122"/>
    </row>
    <row r="2597" spans="1:24" ht="19.5" hidden="1" customHeight="1" outlineLevel="1">
      <c r="A2597" s="23">
        <v>9</v>
      </c>
      <c r="B2597" s="24">
        <f>IF(26&lt;=DAY(DATE(YEAR(설정_코스수당!$K$2),MONTH(설정_코스수당!$K$2)+1,0)),DATE(YEAR(설정_코스수당!$K$2),MONTH(설정_코스수당!$K$2),26),"")</f>
        <v>46199</v>
      </c>
      <c r="C2597" s="25"/>
      <c r="D2597" s="23"/>
      <c r="E2597" s="23"/>
      <c r="F2597" s="26"/>
      <c r="G2597" s="23"/>
      <c r="H2597" s="23"/>
      <c r="I2597" s="23"/>
      <c r="J2597" s="27">
        <f>IF($O2597="방문완료",MAX(0,IFERROR(VLOOKUP($E2597,설정_코스수당!$A$6:$H$10,4,FALSE),0)-IF(OR($P2597="",$P2597="없음"),0,100000)),0)</f>
        <v>0</v>
      </c>
      <c r="K2597" s="27">
        <f t="array" ref="K2597">IF($O2597="방문완료",IFERROR(INDEX(설정_코스수당!$B$15:$F$64,MATCH($G2597,설정_코스수당!$A$15:$A$64,0),MATCH($E2597&amp;"수당",설정_코스수당!$B$14:$F$14,0)),0),0)</f>
        <v>0</v>
      </c>
      <c r="L2597" s="27">
        <f t="array" ref="L2597">IF($O2597="방문완료",IF($H2597="",0,IFERROR(INDEX(설정_코스수당!$B$15:$F$64,MATCH($H2597,설정_코스수당!$A$15:$A$64,0),MATCH($E2597&amp;"수당",설정_코스수당!$B$14:$F$14,0)),0)),0)</f>
        <v>0</v>
      </c>
      <c r="M2597" s="27">
        <f>IF($O2597="방문완료",IFERROR(VLOOKUP($E2597,설정_코스수당!$A$6:$H$10,6,FALSE),0),0)</f>
        <v>0</v>
      </c>
      <c r="N2597" s="28">
        <f t="shared" si="75"/>
        <v>0</v>
      </c>
      <c r="O2597" s="23"/>
      <c r="P2597" s="23"/>
      <c r="Q2597" s="23"/>
      <c r="R2597" s="26"/>
      <c r="S2597" s="23"/>
    </row>
    <row r="2598" spans="1:24" ht="19.5" hidden="1" customHeight="1" outlineLevel="1">
      <c r="A2598" s="29">
        <v>10</v>
      </c>
      <c r="B2598" s="30">
        <f>IF(26&lt;=DAY(DATE(YEAR(설정_코스수당!$K$2),MONTH(설정_코스수당!$K$2)+1,0)),DATE(YEAR(설정_코스수당!$K$2),MONTH(설정_코스수당!$K$2),26),"")</f>
        <v>46199</v>
      </c>
      <c r="C2598" s="31"/>
      <c r="D2598" s="29"/>
      <c r="E2598" s="29"/>
      <c r="F2598" s="32"/>
      <c r="G2598" s="29"/>
      <c r="H2598" s="29"/>
      <c r="I2598" s="29"/>
      <c r="J2598" s="33">
        <f>IF($O2598="방문완료",MAX(0,IFERROR(VLOOKUP($E2598,설정_코스수당!$A$6:$H$10,4,FALSE),0)-IF(OR($P2598="",$P2598="없음"),0,100000)),0)</f>
        <v>0</v>
      </c>
      <c r="K2598" s="33">
        <f t="array" ref="K2598">IF($O2598="방문완료",IFERROR(INDEX(설정_코스수당!$B$15:$F$64,MATCH($G2598,설정_코스수당!$A$15:$A$64,0),MATCH($E2598&amp;"수당",설정_코스수당!$B$14:$F$14,0)),0),0)</f>
        <v>0</v>
      </c>
      <c r="L2598" s="33">
        <f t="array" ref="L2598">IF($O2598="방문완료",IF($H2598="",0,IFERROR(INDEX(설정_코스수당!$B$15:$F$64,MATCH($H2598,설정_코스수당!$A$15:$A$64,0),MATCH($E2598&amp;"수당",설정_코스수당!$B$14:$F$14,0)),0)),0)</f>
        <v>0</v>
      </c>
      <c r="M2598" s="33">
        <f>IF($O2598="방문완료",IFERROR(VLOOKUP($E2598,설정_코스수당!$A$6:$H$10,6,FALSE),0),0)</f>
        <v>0</v>
      </c>
      <c r="N2598" s="34">
        <f t="shared" si="75"/>
        <v>0</v>
      </c>
      <c r="O2598" s="29"/>
      <c r="P2598" s="29"/>
      <c r="Q2598" s="29"/>
      <c r="R2598" s="32"/>
      <c r="S2598" s="29"/>
      <c r="U2598" s="120" t="s">
        <v>75</v>
      </c>
      <c r="V2598" s="121"/>
      <c r="W2598" s="121"/>
      <c r="X2598" s="121"/>
    </row>
    <row r="2599" spans="1:24" ht="19.5" hidden="1" customHeight="1" outlineLevel="1">
      <c r="A2599" s="23">
        <v>11</v>
      </c>
      <c r="B2599" s="24">
        <f>IF(26&lt;=DAY(DATE(YEAR(설정_코스수당!$K$2),MONTH(설정_코스수당!$K$2)+1,0)),DATE(YEAR(설정_코스수당!$K$2),MONTH(설정_코스수당!$K$2),26),"")</f>
        <v>46199</v>
      </c>
      <c r="C2599" s="25"/>
      <c r="D2599" s="23"/>
      <c r="E2599" s="23"/>
      <c r="F2599" s="26"/>
      <c r="G2599" s="23"/>
      <c r="H2599" s="23"/>
      <c r="I2599" s="23"/>
      <c r="J2599" s="27">
        <f>IF($O2599="방문완료",MAX(0,IFERROR(VLOOKUP($E2599,설정_코스수당!$A$6:$H$10,4,FALSE),0)-IF(OR($P2599="",$P2599="없음"),0,100000)),0)</f>
        <v>0</v>
      </c>
      <c r="K2599" s="27">
        <f t="array" ref="K2599">IF($O2599="방문완료",IFERROR(INDEX(설정_코스수당!$B$15:$F$64,MATCH($G2599,설정_코스수당!$A$15:$A$64,0),MATCH($E2599&amp;"수당",설정_코스수당!$B$14:$F$14,0)),0),0)</f>
        <v>0</v>
      </c>
      <c r="L2599" s="27">
        <f t="array" ref="L2599">IF($O2599="방문완료",IF($H2599="",0,IFERROR(INDEX(설정_코스수당!$B$15:$F$64,MATCH($H2599,설정_코스수당!$A$15:$A$64,0),MATCH($E2599&amp;"수당",설정_코스수당!$B$14:$F$14,0)),0)),0)</f>
        <v>0</v>
      </c>
      <c r="M2599" s="27">
        <f>IF($O2599="방문완료",IFERROR(VLOOKUP($E2599,설정_코스수당!$A$6:$H$10,6,FALSE),0),0)</f>
        <v>0</v>
      </c>
      <c r="N2599" s="28">
        <f t="shared" si="75"/>
        <v>0</v>
      </c>
      <c r="O2599" s="23"/>
      <c r="P2599" s="23"/>
      <c r="Q2599" s="23"/>
      <c r="R2599" s="26"/>
      <c r="S2599" s="23"/>
      <c r="U2599" s="109" t="s">
        <v>76</v>
      </c>
      <c r="V2599" s="109" t="s">
        <v>77</v>
      </c>
      <c r="W2599" s="109" t="s">
        <v>78</v>
      </c>
      <c r="X2599" s="109" t="s">
        <v>58</v>
      </c>
    </row>
    <row r="2600" spans="1:24" ht="19.5" hidden="1" customHeight="1" outlineLevel="1">
      <c r="A2600" s="29">
        <v>12</v>
      </c>
      <c r="B2600" s="30">
        <f>IF(26&lt;=DAY(DATE(YEAR(설정_코스수당!$K$2),MONTH(설정_코스수당!$K$2)+1,0)),DATE(YEAR(설정_코스수당!$K$2),MONTH(설정_코스수당!$K$2),26),"")</f>
        <v>46199</v>
      </c>
      <c r="C2600" s="31"/>
      <c r="D2600" s="29"/>
      <c r="E2600" s="29"/>
      <c r="F2600" s="32"/>
      <c r="G2600" s="29"/>
      <c r="H2600" s="29"/>
      <c r="I2600" s="29"/>
      <c r="J2600" s="33">
        <f>IF($O2600="방문완료",MAX(0,IFERROR(VLOOKUP($E2600,설정_코스수당!$A$6:$H$10,4,FALSE),0)-IF(OR($P2600="",$P2600="없음"),0,100000)),0)</f>
        <v>0</v>
      </c>
      <c r="K2600" s="33">
        <f t="array" ref="K2600">IF($O2600="방문완료",IFERROR(INDEX(설정_코스수당!$B$15:$F$64,MATCH($G2600,설정_코스수당!$A$15:$A$64,0),MATCH($E2600&amp;"수당",설정_코스수당!$B$14:$F$14,0)),0),0)</f>
        <v>0</v>
      </c>
      <c r="L2600" s="33">
        <f t="array" ref="L2600">IF($O2600="방문완료",IF($H2600="",0,IFERROR(INDEX(설정_코스수당!$B$15:$F$64,MATCH($H2600,설정_코스수당!$A$15:$A$64,0),MATCH($E2600&amp;"수당",설정_코스수당!$B$14:$F$14,0)),0)),0)</f>
        <v>0</v>
      </c>
      <c r="M2600" s="33">
        <f>IF($O2600="방문완료",IFERROR(VLOOKUP($E2600,설정_코스수당!$A$6:$H$10,6,FALSE),0),0)</f>
        <v>0</v>
      </c>
      <c r="N2600" s="34">
        <f t="shared" si="75"/>
        <v>0</v>
      </c>
      <c r="O2600" s="29"/>
      <c r="P2600" s="29"/>
      <c r="Q2600" s="29"/>
      <c r="R2600" s="32"/>
      <c r="S2600" s="29"/>
      <c r="U2600" s="113"/>
      <c r="V2600" s="111"/>
      <c r="W2600" s="112"/>
      <c r="X2600" s="111"/>
    </row>
    <row r="2601" spans="1:24" ht="19.5" hidden="1" customHeight="1" outlineLevel="1">
      <c r="A2601" s="23">
        <v>13</v>
      </c>
      <c r="B2601" s="24">
        <f>IF(26&lt;=DAY(DATE(YEAR(설정_코스수당!$K$2),MONTH(설정_코스수당!$K$2)+1,0)),DATE(YEAR(설정_코스수당!$K$2),MONTH(설정_코스수당!$K$2),26),"")</f>
        <v>46199</v>
      </c>
      <c r="C2601" s="25"/>
      <c r="D2601" s="23"/>
      <c r="E2601" s="23"/>
      <c r="F2601" s="26"/>
      <c r="G2601" s="23"/>
      <c r="H2601" s="23"/>
      <c r="I2601" s="23"/>
      <c r="J2601" s="27">
        <f>IF($O2601="방문완료",MAX(0,IFERROR(VLOOKUP($E2601,설정_코스수당!$A$6:$H$10,4,FALSE),0)-IF(OR($P2601="",$P2601="없음"),0,100000)),0)</f>
        <v>0</v>
      </c>
      <c r="K2601" s="27">
        <f t="array" ref="K2601">IF($O2601="방문완료",IFERROR(INDEX(설정_코스수당!$B$15:$F$64,MATCH($G2601,설정_코스수당!$A$15:$A$64,0),MATCH($E2601&amp;"수당",설정_코스수당!$B$14:$F$14,0)),0),0)</f>
        <v>0</v>
      </c>
      <c r="L2601" s="27">
        <f t="array" ref="L2601">IF($O2601="방문완료",IF($H2601="",0,IFERROR(INDEX(설정_코스수당!$B$15:$F$64,MATCH($H2601,설정_코스수당!$A$15:$A$64,0),MATCH($E2601&amp;"수당",설정_코스수당!$B$14:$F$14,0)),0)),0)</f>
        <v>0</v>
      </c>
      <c r="M2601" s="27">
        <f>IF($O2601="방문완료",IFERROR(VLOOKUP($E2601,설정_코스수당!$A$6:$H$10,6,FALSE),0),0)</f>
        <v>0</v>
      </c>
      <c r="N2601" s="28">
        <f t="shared" si="75"/>
        <v>0</v>
      </c>
      <c r="O2601" s="23"/>
      <c r="P2601" s="23"/>
      <c r="Q2601" s="23"/>
      <c r="R2601" s="26"/>
      <c r="S2601" s="23"/>
      <c r="U2601" s="113"/>
      <c r="V2601" s="111"/>
      <c r="W2601" s="112"/>
      <c r="X2601" s="111"/>
    </row>
    <row r="2602" spans="1:24" ht="19.5" hidden="1" customHeight="1" outlineLevel="1">
      <c r="A2602" s="29">
        <v>14</v>
      </c>
      <c r="B2602" s="30">
        <f>IF(26&lt;=DAY(DATE(YEAR(설정_코스수당!$K$2),MONTH(설정_코스수당!$K$2)+1,0)),DATE(YEAR(설정_코스수당!$K$2),MONTH(설정_코스수당!$K$2),26),"")</f>
        <v>46199</v>
      </c>
      <c r="C2602" s="31"/>
      <c r="D2602" s="29"/>
      <c r="E2602" s="29"/>
      <c r="F2602" s="32"/>
      <c r="G2602" s="29"/>
      <c r="H2602" s="29"/>
      <c r="I2602" s="29"/>
      <c r="J2602" s="33">
        <f>IF($O2602="방문완료",MAX(0,IFERROR(VLOOKUP($E2602,설정_코스수당!$A$6:$H$10,4,FALSE),0)-IF(OR($P2602="",$P2602="없음"),0,100000)),0)</f>
        <v>0</v>
      </c>
      <c r="K2602" s="33">
        <f t="array" ref="K2602">IF($O2602="방문완료",IFERROR(INDEX(설정_코스수당!$B$15:$F$64,MATCH($G2602,설정_코스수당!$A$15:$A$64,0),MATCH($E2602&amp;"수당",설정_코스수당!$B$14:$F$14,0)),0),0)</f>
        <v>0</v>
      </c>
      <c r="L2602" s="33">
        <f t="array" ref="L2602">IF($O2602="방문완료",IF($H2602="",0,IFERROR(INDEX(설정_코스수당!$B$15:$F$64,MATCH($H2602,설정_코스수당!$A$15:$A$64,0),MATCH($E2602&amp;"수당",설정_코스수당!$B$14:$F$14,0)),0)),0)</f>
        <v>0</v>
      </c>
      <c r="M2602" s="33">
        <f>IF($O2602="방문완료",IFERROR(VLOOKUP($E2602,설정_코스수당!$A$6:$H$10,6,FALSE),0),0)</f>
        <v>0</v>
      </c>
      <c r="N2602" s="34">
        <f t="shared" si="75"/>
        <v>0</v>
      </c>
      <c r="O2602" s="29"/>
      <c r="P2602" s="29"/>
      <c r="Q2602" s="29"/>
      <c r="R2602" s="32"/>
      <c r="S2602" s="29"/>
      <c r="U2602" s="113"/>
      <c r="V2602" s="111"/>
      <c r="W2602" s="112"/>
      <c r="X2602" s="111"/>
    </row>
    <row r="2603" spans="1:24" ht="19.5" hidden="1" customHeight="1" outlineLevel="1">
      <c r="A2603" s="23">
        <v>15</v>
      </c>
      <c r="B2603" s="24">
        <f>IF(26&lt;=DAY(DATE(YEAR(설정_코스수당!$K$2),MONTH(설정_코스수당!$K$2)+1,0)),DATE(YEAR(설정_코스수당!$K$2),MONTH(설정_코스수당!$K$2),26),"")</f>
        <v>46199</v>
      </c>
      <c r="C2603" s="25"/>
      <c r="D2603" s="23"/>
      <c r="E2603" s="23"/>
      <c r="F2603" s="26"/>
      <c r="G2603" s="23"/>
      <c r="H2603" s="23"/>
      <c r="I2603" s="23"/>
      <c r="J2603" s="27">
        <f>IF($O2603="방문완료",MAX(0,IFERROR(VLOOKUP($E2603,설정_코스수당!$A$6:$H$10,4,FALSE),0)-IF(OR($P2603="",$P2603="없음"),0,100000)),0)</f>
        <v>0</v>
      </c>
      <c r="K2603" s="27">
        <f t="array" ref="K2603">IF($O2603="방문완료",IFERROR(INDEX(설정_코스수당!$B$15:$F$64,MATCH($G2603,설정_코스수당!$A$15:$A$64,0),MATCH($E2603&amp;"수당",설정_코스수당!$B$14:$F$14,0)),0),0)</f>
        <v>0</v>
      </c>
      <c r="L2603" s="27">
        <f t="array" ref="L2603">IF($O2603="방문완료",IF($H2603="",0,IFERROR(INDEX(설정_코스수당!$B$15:$F$64,MATCH($H2603,설정_코스수당!$A$15:$A$64,0),MATCH($E2603&amp;"수당",설정_코스수당!$B$14:$F$14,0)),0)),0)</f>
        <v>0</v>
      </c>
      <c r="M2603" s="27">
        <f>IF($O2603="방문완료",IFERROR(VLOOKUP($E2603,설정_코스수당!$A$6:$H$10,6,FALSE),0),0)</f>
        <v>0</v>
      </c>
      <c r="N2603" s="28">
        <f t="shared" si="75"/>
        <v>0</v>
      </c>
      <c r="O2603" s="23"/>
      <c r="P2603" s="23"/>
      <c r="Q2603" s="23"/>
      <c r="R2603" s="26"/>
      <c r="S2603" s="23"/>
      <c r="U2603" s="113"/>
      <c r="V2603" s="111"/>
      <c r="W2603" s="112"/>
      <c r="X2603" s="111"/>
    </row>
    <row r="2604" spans="1:24" ht="19.5" hidden="1" customHeight="1" outlineLevel="1">
      <c r="A2604" s="29">
        <v>16</v>
      </c>
      <c r="B2604" s="30">
        <f>IF(26&lt;=DAY(DATE(YEAR(설정_코스수당!$K$2),MONTH(설정_코스수당!$K$2)+1,0)),DATE(YEAR(설정_코스수당!$K$2),MONTH(설정_코스수당!$K$2),26),"")</f>
        <v>46199</v>
      </c>
      <c r="C2604" s="31"/>
      <c r="D2604" s="29"/>
      <c r="E2604" s="29"/>
      <c r="F2604" s="32"/>
      <c r="G2604" s="29"/>
      <c r="H2604" s="29"/>
      <c r="I2604" s="29"/>
      <c r="J2604" s="33">
        <f>IF($O2604="방문완료",MAX(0,IFERROR(VLOOKUP($E2604,설정_코스수당!$A$6:$H$10,4,FALSE),0)-IF(OR($P2604="",$P2604="없음"),0,100000)),0)</f>
        <v>0</v>
      </c>
      <c r="K2604" s="33">
        <f t="array" ref="K2604">IF($O2604="방문완료",IFERROR(INDEX(설정_코스수당!$B$15:$F$64,MATCH($G2604,설정_코스수당!$A$15:$A$64,0),MATCH($E2604&amp;"수당",설정_코스수당!$B$14:$F$14,0)),0),0)</f>
        <v>0</v>
      </c>
      <c r="L2604" s="33">
        <f t="array" ref="L2604">IF($O2604="방문완료",IF($H2604="",0,IFERROR(INDEX(설정_코스수당!$B$15:$F$64,MATCH($H2604,설정_코스수당!$A$15:$A$64,0),MATCH($E2604&amp;"수당",설정_코스수당!$B$14:$F$14,0)),0)),0)</f>
        <v>0</v>
      </c>
      <c r="M2604" s="33">
        <f>IF($O2604="방문완료",IFERROR(VLOOKUP($E2604,설정_코스수당!$A$6:$H$10,6,FALSE),0),0)</f>
        <v>0</v>
      </c>
      <c r="N2604" s="34">
        <f t="shared" si="75"/>
        <v>0</v>
      </c>
      <c r="O2604" s="29"/>
      <c r="P2604" s="29"/>
      <c r="Q2604" s="29"/>
      <c r="R2604" s="32"/>
      <c r="S2604" s="29"/>
      <c r="U2604" s="113"/>
      <c r="V2604" s="111"/>
      <c r="W2604" s="112"/>
      <c r="X2604" s="111"/>
    </row>
    <row r="2605" spans="1:24" ht="19.5" hidden="1" customHeight="1" outlineLevel="1">
      <c r="A2605" s="23">
        <v>17</v>
      </c>
      <c r="B2605" s="24">
        <f>IF(26&lt;=DAY(DATE(YEAR(설정_코스수당!$K$2),MONTH(설정_코스수당!$K$2)+1,0)),DATE(YEAR(설정_코스수당!$K$2),MONTH(설정_코스수당!$K$2),26),"")</f>
        <v>46199</v>
      </c>
      <c r="C2605" s="25"/>
      <c r="D2605" s="23"/>
      <c r="E2605" s="23"/>
      <c r="F2605" s="26"/>
      <c r="G2605" s="23"/>
      <c r="H2605" s="23"/>
      <c r="I2605" s="23"/>
      <c r="J2605" s="27">
        <f>IF($O2605="방문완료",MAX(0,IFERROR(VLOOKUP($E2605,설정_코스수당!$A$6:$H$10,4,FALSE),0)-IF(OR($P2605="",$P2605="없음"),0,100000)),0)</f>
        <v>0</v>
      </c>
      <c r="K2605" s="27">
        <f t="array" ref="K2605">IF($O2605="방문완료",IFERROR(INDEX(설정_코스수당!$B$15:$F$64,MATCH($G2605,설정_코스수당!$A$15:$A$64,0),MATCH($E2605&amp;"수당",설정_코스수당!$B$14:$F$14,0)),0),0)</f>
        <v>0</v>
      </c>
      <c r="L2605" s="27">
        <f t="array" ref="L2605">IF($O2605="방문완료",IF($H2605="",0,IFERROR(INDEX(설정_코스수당!$B$15:$F$64,MATCH($H2605,설정_코스수당!$A$15:$A$64,0),MATCH($E2605&amp;"수당",설정_코스수당!$B$14:$F$14,0)),0)),0)</f>
        <v>0</v>
      </c>
      <c r="M2605" s="27">
        <f>IF($O2605="방문완료",IFERROR(VLOOKUP($E2605,설정_코스수당!$A$6:$H$10,6,FALSE),0),0)</f>
        <v>0</v>
      </c>
      <c r="N2605" s="28">
        <f t="shared" si="75"/>
        <v>0</v>
      </c>
      <c r="O2605" s="23"/>
      <c r="P2605" s="23"/>
      <c r="Q2605" s="23"/>
      <c r="R2605" s="26"/>
      <c r="S2605" s="23"/>
      <c r="U2605" s="113"/>
      <c r="V2605" s="111"/>
      <c r="W2605" s="112"/>
      <c r="X2605" s="111"/>
    </row>
    <row r="2606" spans="1:24" ht="19.5" hidden="1" customHeight="1" outlineLevel="1">
      <c r="A2606" s="29">
        <v>18</v>
      </c>
      <c r="B2606" s="30">
        <f>IF(26&lt;=DAY(DATE(YEAR(설정_코스수당!$K$2),MONTH(설정_코스수당!$K$2)+1,0)),DATE(YEAR(설정_코스수당!$K$2),MONTH(설정_코스수당!$K$2),26),"")</f>
        <v>46199</v>
      </c>
      <c r="C2606" s="31"/>
      <c r="D2606" s="29"/>
      <c r="E2606" s="29"/>
      <c r="F2606" s="32"/>
      <c r="G2606" s="29"/>
      <c r="H2606" s="29"/>
      <c r="I2606" s="29"/>
      <c r="J2606" s="33">
        <f>IF($O2606="방문완료",MAX(0,IFERROR(VLOOKUP($E2606,설정_코스수당!$A$6:$H$10,4,FALSE),0)-IF(OR($P2606="",$P2606="없음"),0,100000)),0)</f>
        <v>0</v>
      </c>
      <c r="K2606" s="33">
        <f t="array" ref="K2606">IF($O2606="방문완료",IFERROR(INDEX(설정_코스수당!$B$15:$F$64,MATCH($G2606,설정_코스수당!$A$15:$A$64,0),MATCH($E2606&amp;"수당",설정_코스수당!$B$14:$F$14,0)),0),0)</f>
        <v>0</v>
      </c>
      <c r="L2606" s="33">
        <f t="array" ref="L2606">IF($O2606="방문완료",IF($H2606="",0,IFERROR(INDEX(설정_코스수당!$B$15:$F$64,MATCH($H2606,설정_코스수당!$A$15:$A$64,0),MATCH($E2606&amp;"수당",설정_코스수당!$B$14:$F$14,0)),0)),0)</f>
        <v>0</v>
      </c>
      <c r="M2606" s="33">
        <f>IF($O2606="방문완료",IFERROR(VLOOKUP($E2606,설정_코스수당!$A$6:$H$10,6,FALSE),0),0)</f>
        <v>0</v>
      </c>
      <c r="N2606" s="34">
        <f t="shared" si="75"/>
        <v>0</v>
      </c>
      <c r="O2606" s="29"/>
      <c r="P2606" s="29"/>
      <c r="Q2606" s="29"/>
      <c r="R2606" s="32"/>
      <c r="S2606" s="29"/>
      <c r="U2606" s="113"/>
      <c r="V2606" s="111"/>
      <c r="W2606" s="112"/>
      <c r="X2606" s="111"/>
    </row>
    <row r="2607" spans="1:24" ht="19.5" hidden="1" customHeight="1" outlineLevel="1">
      <c r="A2607" s="23">
        <v>19</v>
      </c>
      <c r="B2607" s="24">
        <f>IF(26&lt;=DAY(DATE(YEAR(설정_코스수당!$K$2),MONTH(설정_코스수당!$K$2)+1,0)),DATE(YEAR(설정_코스수당!$K$2),MONTH(설정_코스수당!$K$2),26),"")</f>
        <v>46199</v>
      </c>
      <c r="C2607" s="25"/>
      <c r="D2607" s="23"/>
      <c r="E2607" s="23"/>
      <c r="F2607" s="26"/>
      <c r="G2607" s="23"/>
      <c r="H2607" s="23"/>
      <c r="I2607" s="23"/>
      <c r="J2607" s="27">
        <f>IF($O2607="방문완료",MAX(0,IFERROR(VLOOKUP($E2607,설정_코스수당!$A$6:$H$10,4,FALSE),0)-IF(OR($P2607="",$P2607="없음"),0,100000)),0)</f>
        <v>0</v>
      </c>
      <c r="K2607" s="27">
        <f t="array" ref="K2607">IF($O2607="방문완료",IFERROR(INDEX(설정_코스수당!$B$15:$F$64,MATCH($G2607,설정_코스수당!$A$15:$A$64,0),MATCH($E2607&amp;"수당",설정_코스수당!$B$14:$F$14,0)),0),0)</f>
        <v>0</v>
      </c>
      <c r="L2607" s="27">
        <f t="array" ref="L2607">IF($O2607="방문완료",IF($H2607="",0,IFERROR(INDEX(설정_코스수당!$B$15:$F$64,MATCH($H2607,설정_코스수당!$A$15:$A$64,0),MATCH($E2607&amp;"수당",설정_코스수당!$B$14:$F$14,0)),0)),0)</f>
        <v>0</v>
      </c>
      <c r="M2607" s="27">
        <f>IF($O2607="방문완료",IFERROR(VLOOKUP($E2607,설정_코스수당!$A$6:$H$10,6,FALSE),0),0)</f>
        <v>0</v>
      </c>
      <c r="N2607" s="28">
        <f t="shared" si="75"/>
        <v>0</v>
      </c>
      <c r="O2607" s="23"/>
      <c r="P2607" s="23"/>
      <c r="Q2607" s="23"/>
      <c r="R2607" s="26"/>
      <c r="S2607" s="23"/>
      <c r="U2607" s="113"/>
      <c r="V2607" s="111"/>
      <c r="W2607" s="112"/>
      <c r="X2607" s="111"/>
    </row>
    <row r="2608" spans="1:24" ht="19.5" hidden="1" customHeight="1" outlineLevel="1">
      <c r="A2608" s="29">
        <v>20</v>
      </c>
      <c r="B2608" s="30">
        <f>IF(26&lt;=DAY(DATE(YEAR(설정_코스수당!$K$2),MONTH(설정_코스수당!$K$2)+1,0)),DATE(YEAR(설정_코스수당!$K$2),MONTH(설정_코스수당!$K$2),26),"")</f>
        <v>46199</v>
      </c>
      <c r="C2608" s="31"/>
      <c r="D2608" s="29"/>
      <c r="E2608" s="29"/>
      <c r="F2608" s="32"/>
      <c r="G2608" s="29"/>
      <c r="H2608" s="29"/>
      <c r="I2608" s="29"/>
      <c r="J2608" s="33">
        <f>IF($O2608="방문완료",MAX(0,IFERROR(VLOOKUP($E2608,설정_코스수당!$A$6:$H$10,4,FALSE),0)-IF(OR($P2608="",$P2608="없음"),0,100000)),0)</f>
        <v>0</v>
      </c>
      <c r="K2608" s="33">
        <f t="array" ref="K2608">IF($O2608="방문완료",IFERROR(INDEX(설정_코스수당!$B$15:$F$64,MATCH($G2608,설정_코스수당!$A$15:$A$64,0),MATCH($E2608&amp;"수당",설정_코스수당!$B$14:$F$14,0)),0),0)</f>
        <v>0</v>
      </c>
      <c r="L2608" s="33">
        <f t="array" ref="L2608">IF($O2608="방문완료",IF($H2608="",0,IFERROR(INDEX(설정_코스수당!$B$15:$F$64,MATCH($H2608,설정_코스수당!$A$15:$A$64,0),MATCH($E2608&amp;"수당",설정_코스수당!$B$14:$F$14,0)),0)),0)</f>
        <v>0</v>
      </c>
      <c r="M2608" s="33">
        <f>IF($O2608="방문완료",IFERROR(VLOOKUP($E2608,설정_코스수당!$A$6:$H$10,6,FALSE),0),0)</f>
        <v>0</v>
      </c>
      <c r="N2608" s="34">
        <f t="shared" si="75"/>
        <v>0</v>
      </c>
      <c r="O2608" s="29"/>
      <c r="P2608" s="29"/>
      <c r="Q2608" s="29"/>
      <c r="R2608" s="32"/>
      <c r="S2608" s="29"/>
    </row>
    <row r="2609" spans="1:22" ht="19.5" hidden="1" customHeight="1" outlineLevel="1">
      <c r="A2609" s="23">
        <v>21</v>
      </c>
      <c r="B2609" s="24">
        <f>IF(26&lt;=DAY(DATE(YEAR(설정_코스수당!$K$2),MONTH(설정_코스수당!$K$2)+1,0)),DATE(YEAR(설정_코스수당!$K$2),MONTH(설정_코스수당!$K$2),26),"")</f>
        <v>46199</v>
      </c>
      <c r="C2609" s="25"/>
      <c r="D2609" s="23"/>
      <c r="E2609" s="23"/>
      <c r="F2609" s="26"/>
      <c r="G2609" s="23"/>
      <c r="H2609" s="23"/>
      <c r="I2609" s="23"/>
      <c r="J2609" s="27">
        <f>IF($O2609="방문완료",MAX(0,IFERROR(VLOOKUP($E2609,설정_코스수당!$A$6:$H$10,4,FALSE),0)-IF(OR($P2609="",$P2609="없음"),0,100000)),0)</f>
        <v>0</v>
      </c>
      <c r="K2609" s="27">
        <f t="array" ref="K2609">IF($O2609="방문완료",IFERROR(INDEX(설정_코스수당!$B$15:$F$64,MATCH($G2609,설정_코스수당!$A$15:$A$64,0),MATCH($E2609&amp;"수당",설정_코스수당!$B$14:$F$14,0)),0),0)</f>
        <v>0</v>
      </c>
      <c r="L2609" s="27">
        <f t="array" ref="L2609">IF($O2609="방문완료",IF($H2609="",0,IFERROR(INDEX(설정_코스수당!$B$15:$F$64,MATCH($H2609,설정_코스수당!$A$15:$A$64,0),MATCH($E2609&amp;"수당",설정_코스수당!$B$14:$F$14,0)),0)),0)</f>
        <v>0</v>
      </c>
      <c r="M2609" s="27">
        <f>IF($O2609="방문완료",IFERROR(VLOOKUP($E2609,설정_코스수당!$A$6:$H$10,6,FALSE),0),0)</f>
        <v>0</v>
      </c>
      <c r="N2609" s="28">
        <f t="shared" si="75"/>
        <v>0</v>
      </c>
      <c r="O2609" s="23"/>
      <c r="P2609" s="23"/>
      <c r="Q2609" s="23"/>
      <c r="R2609" s="26"/>
      <c r="S2609" s="23"/>
    </row>
    <row r="2610" spans="1:22" ht="19.5" hidden="1" customHeight="1" outlineLevel="1">
      <c r="A2610" s="29">
        <v>22</v>
      </c>
      <c r="B2610" s="30">
        <f>IF(26&lt;=DAY(DATE(YEAR(설정_코스수당!$K$2),MONTH(설정_코스수당!$K$2)+1,0)),DATE(YEAR(설정_코스수당!$K$2),MONTH(설정_코스수당!$K$2),26),"")</f>
        <v>46199</v>
      </c>
      <c r="C2610" s="31"/>
      <c r="D2610" s="29"/>
      <c r="E2610" s="29"/>
      <c r="F2610" s="32"/>
      <c r="G2610" s="29"/>
      <c r="H2610" s="29"/>
      <c r="I2610" s="29"/>
      <c r="J2610" s="33">
        <f>IF($O2610="방문완료",MAX(0,IFERROR(VLOOKUP($E2610,설정_코스수당!$A$6:$H$10,4,FALSE),0)-IF(OR($P2610="",$P2610="없음"),0,100000)),0)</f>
        <v>0</v>
      </c>
      <c r="K2610" s="33">
        <f t="array" ref="K2610">IF($O2610="방문완료",IFERROR(INDEX(설정_코스수당!$B$15:$F$64,MATCH($G2610,설정_코스수당!$A$15:$A$64,0),MATCH($E2610&amp;"수당",설정_코스수당!$B$14:$F$14,0)),0),0)</f>
        <v>0</v>
      </c>
      <c r="L2610" s="33">
        <f t="array" ref="L2610">IF($O2610="방문완료",IF($H2610="",0,IFERROR(INDEX(설정_코스수당!$B$15:$F$64,MATCH($H2610,설정_코스수당!$A$15:$A$64,0),MATCH($E2610&amp;"수당",설정_코스수당!$B$14:$F$14,0)),0)),0)</f>
        <v>0</v>
      </c>
      <c r="M2610" s="33">
        <f>IF($O2610="방문완료",IFERROR(VLOOKUP($E2610,설정_코스수당!$A$6:$H$10,6,FALSE),0),0)</f>
        <v>0</v>
      </c>
      <c r="N2610" s="34">
        <f t="shared" si="75"/>
        <v>0</v>
      </c>
      <c r="O2610" s="29"/>
      <c r="P2610" s="29"/>
      <c r="Q2610" s="29"/>
      <c r="R2610" s="32"/>
      <c r="S2610" s="29"/>
    </row>
    <row r="2611" spans="1:22" ht="19.5" hidden="1" customHeight="1" outlineLevel="1">
      <c r="A2611" s="23">
        <v>23</v>
      </c>
      <c r="B2611" s="24">
        <f>IF(26&lt;=DAY(DATE(YEAR(설정_코스수당!$K$2),MONTH(설정_코스수당!$K$2)+1,0)),DATE(YEAR(설정_코스수당!$K$2),MONTH(설정_코스수당!$K$2),26),"")</f>
        <v>46199</v>
      </c>
      <c r="C2611" s="25"/>
      <c r="D2611" s="23"/>
      <c r="E2611" s="23"/>
      <c r="F2611" s="26"/>
      <c r="G2611" s="23"/>
      <c r="H2611" s="23"/>
      <c r="I2611" s="23"/>
      <c r="J2611" s="27">
        <f>IF($O2611="방문완료",MAX(0,IFERROR(VLOOKUP($E2611,설정_코스수당!$A$6:$H$10,4,FALSE),0)-IF(OR($P2611="",$P2611="없음"),0,100000)),0)</f>
        <v>0</v>
      </c>
      <c r="K2611" s="27">
        <f t="array" ref="K2611">IF($O2611="방문완료",IFERROR(INDEX(설정_코스수당!$B$15:$F$64,MATCH($G2611,설정_코스수당!$A$15:$A$64,0),MATCH($E2611&amp;"수당",설정_코스수당!$B$14:$F$14,0)),0),0)</f>
        <v>0</v>
      </c>
      <c r="L2611" s="27">
        <f t="array" ref="L2611">IF($O2611="방문완료",IF($H2611="",0,IFERROR(INDEX(설정_코스수당!$B$15:$F$64,MATCH($H2611,설정_코스수당!$A$15:$A$64,0),MATCH($E2611&amp;"수당",설정_코스수당!$B$14:$F$14,0)),0)),0)</f>
        <v>0</v>
      </c>
      <c r="M2611" s="27">
        <f>IF($O2611="방문완료",IFERROR(VLOOKUP($E2611,설정_코스수당!$A$6:$H$10,6,FALSE),0),0)</f>
        <v>0</v>
      </c>
      <c r="N2611" s="28">
        <f t="shared" si="75"/>
        <v>0</v>
      </c>
      <c r="O2611" s="23"/>
      <c r="P2611" s="23"/>
      <c r="Q2611" s="23"/>
      <c r="R2611" s="26"/>
      <c r="S2611" s="23"/>
    </row>
    <row r="2612" spans="1:22" ht="19.5" hidden="1" customHeight="1" outlineLevel="1">
      <c r="A2612" s="29">
        <v>24</v>
      </c>
      <c r="B2612" s="30">
        <f>IF(26&lt;=DAY(DATE(YEAR(설정_코스수당!$K$2),MONTH(설정_코스수당!$K$2)+1,0)),DATE(YEAR(설정_코스수당!$K$2),MONTH(설정_코스수당!$K$2),26),"")</f>
        <v>46199</v>
      </c>
      <c r="C2612" s="31"/>
      <c r="D2612" s="29"/>
      <c r="E2612" s="29"/>
      <c r="F2612" s="32"/>
      <c r="G2612" s="29"/>
      <c r="H2612" s="29"/>
      <c r="I2612" s="29"/>
      <c r="J2612" s="33">
        <f>IF($O2612="방문완료",MAX(0,IFERROR(VLOOKUP($E2612,설정_코스수당!$A$6:$H$10,4,FALSE),0)-IF(OR($P2612="",$P2612="없음"),0,100000)),0)</f>
        <v>0</v>
      </c>
      <c r="K2612" s="33">
        <f t="array" ref="K2612">IF($O2612="방문완료",IFERROR(INDEX(설정_코스수당!$B$15:$F$64,MATCH($G2612,설정_코스수당!$A$15:$A$64,0),MATCH($E2612&amp;"수당",설정_코스수당!$B$14:$F$14,0)),0),0)</f>
        <v>0</v>
      </c>
      <c r="L2612" s="33">
        <f t="array" ref="L2612">IF($O2612="방문완료",IF($H2612="",0,IFERROR(INDEX(설정_코스수당!$B$15:$F$64,MATCH($H2612,설정_코스수당!$A$15:$A$64,0),MATCH($E2612&amp;"수당",설정_코스수당!$B$14:$F$14,0)),0)),0)</f>
        <v>0</v>
      </c>
      <c r="M2612" s="33">
        <f>IF($O2612="방문완료",IFERROR(VLOOKUP($E2612,설정_코스수당!$A$6:$H$10,6,FALSE),0),0)</f>
        <v>0</v>
      </c>
      <c r="N2612" s="34">
        <f t="shared" si="75"/>
        <v>0</v>
      </c>
      <c r="O2612" s="29"/>
      <c r="P2612" s="29"/>
      <c r="Q2612" s="29"/>
      <c r="R2612" s="32"/>
      <c r="S2612" s="29"/>
    </row>
    <row r="2613" spans="1:22" ht="19.5" hidden="1" customHeight="1" outlineLevel="1">
      <c r="A2613" s="23">
        <v>25</v>
      </c>
      <c r="B2613" s="24">
        <f>IF(26&lt;=DAY(DATE(YEAR(설정_코스수당!$K$2),MONTH(설정_코스수당!$K$2)+1,0)),DATE(YEAR(설정_코스수당!$K$2),MONTH(설정_코스수당!$K$2),26),"")</f>
        <v>46199</v>
      </c>
      <c r="C2613" s="25"/>
      <c r="D2613" s="23"/>
      <c r="E2613" s="23"/>
      <c r="F2613" s="26"/>
      <c r="G2613" s="23"/>
      <c r="H2613" s="23"/>
      <c r="I2613" s="23"/>
      <c r="J2613" s="27">
        <f>IF($O2613="방문완료",MAX(0,IFERROR(VLOOKUP($E2613,설정_코스수당!$A$6:$H$10,4,FALSE),0)-IF(OR($P2613="",$P2613="없음"),0,100000)),0)</f>
        <v>0</v>
      </c>
      <c r="K2613" s="27">
        <f t="array" ref="K2613">IF($O2613="방문완료",IFERROR(INDEX(설정_코스수당!$B$15:$F$64,MATCH($G2613,설정_코스수당!$A$15:$A$64,0),MATCH($E2613&amp;"수당",설정_코스수당!$B$14:$F$14,0)),0),0)</f>
        <v>0</v>
      </c>
      <c r="L2613" s="27">
        <f t="array" ref="L2613">IF($O2613="방문완료",IF($H2613="",0,IFERROR(INDEX(설정_코스수당!$B$15:$F$64,MATCH($H2613,설정_코스수당!$A$15:$A$64,0),MATCH($E2613&amp;"수당",설정_코스수당!$B$14:$F$14,0)),0)),0)</f>
        <v>0</v>
      </c>
      <c r="M2613" s="27">
        <f>IF($O2613="방문완료",IFERROR(VLOOKUP($E2613,설정_코스수당!$A$6:$H$10,6,FALSE),0),0)</f>
        <v>0</v>
      </c>
      <c r="N2613" s="28">
        <f t="shared" si="75"/>
        <v>0</v>
      </c>
      <c r="O2613" s="23"/>
      <c r="P2613" s="23"/>
      <c r="Q2613" s="23"/>
      <c r="R2613" s="26"/>
      <c r="S2613" s="23"/>
    </row>
    <row r="2614" spans="1:22" ht="19.5" hidden="1" customHeight="1" outlineLevel="1">
      <c r="A2614" s="29">
        <v>26</v>
      </c>
      <c r="B2614" s="30">
        <f>IF(26&lt;=DAY(DATE(YEAR(설정_코스수당!$K$2),MONTH(설정_코스수당!$K$2)+1,0)),DATE(YEAR(설정_코스수당!$K$2),MONTH(설정_코스수당!$K$2),26),"")</f>
        <v>46199</v>
      </c>
      <c r="C2614" s="31"/>
      <c r="D2614" s="29"/>
      <c r="E2614" s="29"/>
      <c r="F2614" s="32"/>
      <c r="G2614" s="29"/>
      <c r="H2614" s="29"/>
      <c r="I2614" s="29"/>
      <c r="J2614" s="33">
        <f>IF($O2614="방문완료",MAX(0,IFERROR(VLOOKUP($E2614,설정_코스수당!$A$6:$H$10,4,FALSE),0)-IF(OR($P2614="",$P2614="없음"),0,100000)),0)</f>
        <v>0</v>
      </c>
      <c r="K2614" s="33">
        <f t="array" ref="K2614">IF($O2614="방문완료",IFERROR(INDEX(설정_코스수당!$B$15:$F$64,MATCH($G2614,설정_코스수당!$A$15:$A$64,0),MATCH($E2614&amp;"수당",설정_코스수당!$B$14:$F$14,0)),0),0)</f>
        <v>0</v>
      </c>
      <c r="L2614" s="33">
        <f t="array" ref="L2614">IF($O2614="방문완료",IF($H2614="",0,IFERROR(INDEX(설정_코스수당!$B$15:$F$64,MATCH($H2614,설정_코스수당!$A$15:$A$64,0),MATCH($E2614&amp;"수당",설정_코스수당!$B$14:$F$14,0)),0)),0)</f>
        <v>0</v>
      </c>
      <c r="M2614" s="33">
        <f>IF($O2614="방문완료",IFERROR(VLOOKUP($E2614,설정_코스수당!$A$6:$H$10,6,FALSE),0),0)</f>
        <v>0</v>
      </c>
      <c r="N2614" s="34">
        <f t="shared" si="75"/>
        <v>0</v>
      </c>
      <c r="O2614" s="29"/>
      <c r="P2614" s="29"/>
      <c r="Q2614" s="29"/>
      <c r="R2614" s="32"/>
      <c r="S2614" s="29"/>
    </row>
    <row r="2615" spans="1:22" ht="19.5" hidden="1" customHeight="1" outlineLevel="1">
      <c r="A2615" s="23">
        <v>27</v>
      </c>
      <c r="B2615" s="24">
        <f>IF(26&lt;=DAY(DATE(YEAR(설정_코스수당!$K$2),MONTH(설정_코스수당!$K$2)+1,0)),DATE(YEAR(설정_코스수당!$K$2),MONTH(설정_코스수당!$K$2),26),"")</f>
        <v>46199</v>
      </c>
      <c r="C2615" s="25"/>
      <c r="D2615" s="23"/>
      <c r="E2615" s="23"/>
      <c r="F2615" s="26"/>
      <c r="G2615" s="23"/>
      <c r="H2615" s="23"/>
      <c r="I2615" s="23"/>
      <c r="J2615" s="27">
        <f>IF($O2615="방문완료",MAX(0,IFERROR(VLOOKUP($E2615,설정_코스수당!$A$6:$H$10,4,FALSE),0)-IF(OR($P2615="",$P2615="없음"),0,100000)),0)</f>
        <v>0</v>
      </c>
      <c r="K2615" s="27">
        <f t="array" ref="K2615">IF($O2615="방문완료",IFERROR(INDEX(설정_코스수당!$B$15:$F$64,MATCH($G2615,설정_코스수당!$A$15:$A$64,0),MATCH($E2615&amp;"수당",설정_코스수당!$B$14:$F$14,0)),0),0)</f>
        <v>0</v>
      </c>
      <c r="L2615" s="27">
        <f t="array" ref="L2615">IF($O2615="방문완료",IF($H2615="",0,IFERROR(INDEX(설정_코스수당!$B$15:$F$64,MATCH($H2615,설정_코스수당!$A$15:$A$64,0),MATCH($E2615&amp;"수당",설정_코스수당!$B$14:$F$14,0)),0)),0)</f>
        <v>0</v>
      </c>
      <c r="M2615" s="27">
        <f>IF($O2615="방문완료",IFERROR(VLOOKUP($E2615,설정_코스수당!$A$6:$H$10,6,FALSE),0),0)</f>
        <v>0</v>
      </c>
      <c r="N2615" s="28">
        <f t="shared" si="75"/>
        <v>0</v>
      </c>
      <c r="O2615" s="23"/>
      <c r="P2615" s="23"/>
      <c r="Q2615" s="23"/>
      <c r="R2615" s="26"/>
      <c r="S2615" s="23"/>
    </row>
    <row r="2616" spans="1:22" ht="19.5" hidden="1" customHeight="1" outlineLevel="1">
      <c r="A2616" s="29">
        <v>28</v>
      </c>
      <c r="B2616" s="30">
        <f>IF(26&lt;=DAY(DATE(YEAR(설정_코스수당!$K$2),MONTH(설정_코스수당!$K$2)+1,0)),DATE(YEAR(설정_코스수당!$K$2),MONTH(설정_코스수당!$K$2),26),"")</f>
        <v>46199</v>
      </c>
      <c r="C2616" s="31"/>
      <c r="D2616" s="29"/>
      <c r="E2616" s="29"/>
      <c r="F2616" s="32"/>
      <c r="G2616" s="29"/>
      <c r="H2616" s="29"/>
      <c r="I2616" s="29"/>
      <c r="J2616" s="33">
        <f>IF($O2616="방문완료",MAX(0,IFERROR(VLOOKUP($E2616,설정_코스수당!$A$6:$H$10,4,FALSE),0)-IF(OR($P2616="",$P2616="없음"),0,100000)),0)</f>
        <v>0</v>
      </c>
      <c r="K2616" s="33">
        <f t="array" ref="K2616">IF($O2616="방문완료",IFERROR(INDEX(설정_코스수당!$B$15:$F$64,MATCH($G2616,설정_코스수당!$A$15:$A$64,0),MATCH($E2616&amp;"수당",설정_코스수당!$B$14:$F$14,0)),0),0)</f>
        <v>0</v>
      </c>
      <c r="L2616" s="33">
        <f t="array" ref="L2616">IF($O2616="방문완료",IF($H2616="",0,IFERROR(INDEX(설정_코스수당!$B$15:$F$64,MATCH($H2616,설정_코스수당!$A$15:$A$64,0),MATCH($E2616&amp;"수당",설정_코스수당!$B$14:$F$14,0)),0)),0)</f>
        <v>0</v>
      </c>
      <c r="M2616" s="33">
        <f>IF($O2616="방문완료",IFERROR(VLOOKUP($E2616,설정_코스수당!$A$6:$H$10,6,FALSE),0),0)</f>
        <v>0</v>
      </c>
      <c r="N2616" s="34">
        <f t="shared" si="75"/>
        <v>0</v>
      </c>
      <c r="O2616" s="29"/>
      <c r="P2616" s="29"/>
      <c r="Q2616" s="29"/>
      <c r="R2616" s="32"/>
      <c r="S2616" s="29"/>
    </row>
    <row r="2617" spans="1:22" ht="19.5" hidden="1" customHeight="1" outlineLevel="1">
      <c r="A2617" s="23">
        <v>29</v>
      </c>
      <c r="B2617" s="24">
        <f>IF(26&lt;=DAY(DATE(YEAR(설정_코스수당!$K$2),MONTH(설정_코스수당!$K$2)+1,0)),DATE(YEAR(설정_코스수당!$K$2),MONTH(설정_코스수당!$K$2),26),"")</f>
        <v>46199</v>
      </c>
      <c r="C2617" s="25"/>
      <c r="D2617" s="23"/>
      <c r="E2617" s="23"/>
      <c r="F2617" s="26"/>
      <c r="G2617" s="23"/>
      <c r="H2617" s="23"/>
      <c r="I2617" s="23"/>
      <c r="J2617" s="27">
        <f>IF($O2617="방문완료",MAX(0,IFERROR(VLOOKUP($E2617,설정_코스수당!$A$6:$H$10,4,FALSE),0)-IF(OR($P2617="",$P2617="없음"),0,100000)),0)</f>
        <v>0</v>
      </c>
      <c r="K2617" s="27">
        <f t="array" ref="K2617">IF($O2617="방문완료",IFERROR(INDEX(설정_코스수당!$B$15:$F$64,MATCH($G2617,설정_코스수당!$A$15:$A$64,0),MATCH($E2617&amp;"수당",설정_코스수당!$B$14:$F$14,0)),0),0)</f>
        <v>0</v>
      </c>
      <c r="L2617" s="27">
        <f t="array" ref="L2617">IF($O2617="방문완료",IF($H2617="",0,IFERROR(INDEX(설정_코스수당!$B$15:$F$64,MATCH($H2617,설정_코스수당!$A$15:$A$64,0),MATCH($E2617&amp;"수당",설정_코스수당!$B$14:$F$14,0)),0)),0)</f>
        <v>0</v>
      </c>
      <c r="M2617" s="27">
        <f>IF($O2617="방문완료",IFERROR(VLOOKUP($E2617,설정_코스수당!$A$6:$H$10,6,FALSE),0),0)</f>
        <v>0</v>
      </c>
      <c r="N2617" s="28">
        <f t="shared" si="75"/>
        <v>0</v>
      </c>
      <c r="O2617" s="23"/>
      <c r="P2617" s="23"/>
      <c r="Q2617" s="23"/>
      <c r="R2617" s="26"/>
      <c r="S2617" s="23"/>
    </row>
    <row r="2618" spans="1:22" ht="19.5" hidden="1" customHeight="1" outlineLevel="1">
      <c r="A2618" s="29">
        <v>30</v>
      </c>
      <c r="B2618" s="30">
        <f>IF(26&lt;=DAY(DATE(YEAR(설정_코스수당!$K$2),MONTH(설정_코스수당!$K$2)+1,0)),DATE(YEAR(설정_코스수당!$K$2),MONTH(설정_코스수당!$K$2),26),"")</f>
        <v>46199</v>
      </c>
      <c r="C2618" s="31"/>
      <c r="D2618" s="29"/>
      <c r="E2618" s="29"/>
      <c r="F2618" s="32"/>
      <c r="G2618" s="29"/>
      <c r="H2618" s="29"/>
      <c r="I2618" s="29"/>
      <c r="J2618" s="33">
        <f>IF($O2618="방문완료",MAX(0,IFERROR(VLOOKUP($E2618,설정_코스수당!$A$6:$H$10,4,FALSE),0)-IF(OR($P2618="",$P2618="없음"),0,100000)),0)</f>
        <v>0</v>
      </c>
      <c r="K2618" s="33">
        <f t="array" ref="K2618">IF($O2618="방문완료",IFERROR(INDEX(설정_코스수당!$B$15:$F$64,MATCH($G2618,설정_코스수당!$A$15:$A$64,0),MATCH($E2618&amp;"수당",설정_코스수당!$B$14:$F$14,0)),0),0)</f>
        <v>0</v>
      </c>
      <c r="L2618" s="33">
        <f t="array" ref="L2618">IF($O2618="방문완료",IF($H2618="",0,IFERROR(INDEX(설정_코스수당!$B$15:$F$64,MATCH($H2618,설정_코스수당!$A$15:$A$64,0),MATCH($E2618&amp;"수당",설정_코스수당!$B$14:$F$14,0)),0)),0)</f>
        <v>0</v>
      </c>
      <c r="M2618" s="33">
        <f>IF($O2618="방문완료",IFERROR(VLOOKUP($E2618,설정_코스수당!$A$6:$H$10,6,FALSE),0),0)</f>
        <v>0</v>
      </c>
      <c r="N2618" s="34">
        <f t="shared" si="75"/>
        <v>0</v>
      </c>
      <c r="O2618" s="29"/>
      <c r="P2618" s="29"/>
      <c r="Q2618" s="29"/>
      <c r="R2618" s="32"/>
      <c r="S2618" s="29"/>
    </row>
    <row r="2619" spans="1:22" ht="19.5" hidden="1" customHeight="1" outlineLevel="1">
      <c r="A2619" s="23">
        <v>31</v>
      </c>
      <c r="B2619" s="24">
        <f>IF(26&lt;=DAY(DATE(YEAR(설정_코스수당!$K$2),MONTH(설정_코스수당!$K$2)+1,0)),DATE(YEAR(설정_코스수당!$K$2),MONTH(설정_코스수당!$K$2),26),"")</f>
        <v>46199</v>
      </c>
      <c r="C2619" s="25"/>
      <c r="D2619" s="23"/>
      <c r="E2619" s="23"/>
      <c r="F2619" s="26"/>
      <c r="G2619" s="23"/>
      <c r="H2619" s="23"/>
      <c r="I2619" s="23"/>
      <c r="J2619" s="27">
        <f>IF($O2619="방문완료",MAX(0,IFERROR(VLOOKUP($E2619,설정_코스수당!$A$6:$H$10,4,FALSE),0)-IF(OR($P2619="",$P2619="없음"),0,100000)),0)</f>
        <v>0</v>
      </c>
      <c r="K2619" s="27">
        <f t="array" ref="K2619">IF($O2619="방문완료",IFERROR(INDEX(설정_코스수당!$B$15:$F$64,MATCH($G2619,설정_코스수당!$A$15:$A$64,0),MATCH($E2619&amp;"수당",설정_코스수당!$B$14:$F$14,0)),0),0)</f>
        <v>0</v>
      </c>
      <c r="L2619" s="27">
        <f t="array" ref="L2619">IF($O2619="방문완료",IF($H2619="",0,IFERROR(INDEX(설정_코스수당!$B$15:$F$64,MATCH($H2619,설정_코스수당!$A$15:$A$64,0),MATCH($E2619&amp;"수당",설정_코스수당!$B$14:$F$14,0)),0)),0)</f>
        <v>0</v>
      </c>
      <c r="M2619" s="27">
        <f>IF($O2619="방문완료",IFERROR(VLOOKUP($E2619,설정_코스수당!$A$6:$H$10,6,FALSE),0),0)</f>
        <v>0</v>
      </c>
      <c r="N2619" s="28">
        <f t="shared" si="75"/>
        <v>0</v>
      </c>
      <c r="O2619" s="23"/>
      <c r="P2619" s="23"/>
      <c r="Q2619" s="23"/>
      <c r="R2619" s="26"/>
      <c r="S2619" s="23"/>
    </row>
    <row r="2620" spans="1:22" ht="19.5" hidden="1" customHeight="1" outlineLevel="1">
      <c r="A2620" s="29">
        <v>32</v>
      </c>
      <c r="B2620" s="30">
        <f>IF(26&lt;=DAY(DATE(YEAR(설정_코스수당!$K$2),MONTH(설정_코스수당!$K$2)+1,0)),DATE(YEAR(설정_코스수당!$K$2),MONTH(설정_코스수당!$K$2),26),"")</f>
        <v>46199</v>
      </c>
      <c r="C2620" s="31"/>
      <c r="D2620" s="29"/>
      <c r="E2620" s="29"/>
      <c r="F2620" s="32"/>
      <c r="G2620" s="29"/>
      <c r="H2620" s="29"/>
      <c r="I2620" s="29"/>
      <c r="J2620" s="33">
        <f>IF($O2620="방문완료",MAX(0,IFERROR(VLOOKUP($E2620,설정_코스수당!$A$6:$H$10,4,FALSE),0)-IF(OR($P2620="",$P2620="없음"),0,100000)),0)</f>
        <v>0</v>
      </c>
      <c r="K2620" s="33">
        <f t="array" ref="K2620">IF($O2620="방문완료",IFERROR(INDEX(설정_코스수당!$B$15:$F$64,MATCH($G2620,설정_코스수당!$A$15:$A$64,0),MATCH($E2620&amp;"수당",설정_코스수당!$B$14:$F$14,0)),0),0)</f>
        <v>0</v>
      </c>
      <c r="L2620" s="33">
        <f t="array" ref="L2620">IF($O2620="방문완료",IF($H2620="",0,IFERROR(INDEX(설정_코스수당!$B$15:$F$64,MATCH($H2620,설정_코스수당!$A$15:$A$64,0),MATCH($E2620&amp;"수당",설정_코스수당!$B$14:$F$14,0)),0)),0)</f>
        <v>0</v>
      </c>
      <c r="M2620" s="33">
        <f>IF($O2620="방문완료",IFERROR(VLOOKUP($E2620,설정_코스수당!$A$6:$H$10,6,FALSE),0),0)</f>
        <v>0</v>
      </c>
      <c r="N2620" s="34">
        <f t="shared" si="75"/>
        <v>0</v>
      </c>
      <c r="O2620" s="29"/>
      <c r="P2620" s="29"/>
      <c r="Q2620" s="29"/>
      <c r="R2620" s="32"/>
      <c r="S2620" s="29"/>
      <c r="U2620" s="16" t="s">
        <v>72</v>
      </c>
      <c r="V2620" s="17">
        <f>IF(27&lt;=DAY(DATE(YEAR(설정_코스수당!$K$2),MONTH(설정_코스수당!$K$2)+1,0)),COUNTIFS($B:$B,DATE(YEAR(설정_코스수당!$K$2),MONTH(설정_코스수당!$K$2),27),$O:$O,"방문완료",$P:$P,"&lt;&gt;",$P:$P,"&lt;&gt;없음")*100000,"")</f>
        <v>0</v>
      </c>
    </row>
    <row r="2621" spans="1:22" ht="19.5" hidden="1" customHeight="1" outlineLevel="1">
      <c r="A2621" s="23">
        <v>33</v>
      </c>
      <c r="B2621" s="24">
        <f>IF(26&lt;=DAY(DATE(YEAR(설정_코스수당!$K$2),MONTH(설정_코스수당!$K$2)+1,0)),DATE(YEAR(설정_코스수당!$K$2),MONTH(설정_코스수당!$K$2),26),"")</f>
        <v>46199</v>
      </c>
      <c r="C2621" s="25"/>
      <c r="D2621" s="23"/>
      <c r="E2621" s="23"/>
      <c r="F2621" s="26"/>
      <c r="G2621" s="23"/>
      <c r="H2621" s="23"/>
      <c r="I2621" s="23"/>
      <c r="J2621" s="27">
        <f>IF($O2621="방문완료",MAX(0,IFERROR(VLOOKUP($E2621,설정_코스수당!$A$6:$H$10,4,FALSE),0)-IF(OR($P2621="",$P2621="없음"),0,100000)),0)</f>
        <v>0</v>
      </c>
      <c r="K2621" s="27">
        <f t="array" ref="K2621">IF($O2621="방문완료",IFERROR(INDEX(설정_코스수당!$B$15:$F$64,MATCH($G2621,설정_코스수당!$A$15:$A$64,0),MATCH($E2621&amp;"수당",설정_코스수당!$B$14:$F$14,0)),0),0)</f>
        <v>0</v>
      </c>
      <c r="L2621" s="27">
        <f t="array" ref="L2621">IF($O2621="방문완료",IF($H2621="",0,IFERROR(INDEX(설정_코스수당!$B$15:$F$64,MATCH($H2621,설정_코스수당!$A$15:$A$64,0),MATCH($E2621&amp;"수당",설정_코스수당!$B$14:$F$14,0)),0)),0)</f>
        <v>0</v>
      </c>
      <c r="M2621" s="27">
        <f>IF($O2621="방문완료",IFERROR(VLOOKUP($E2621,설정_코스수당!$A$6:$H$10,6,FALSE),0),0)</f>
        <v>0</v>
      </c>
      <c r="N2621" s="28">
        <f t="shared" ref="N2621:N2652" si="76">IF($O2621="방문완료",1,0)</f>
        <v>0</v>
      </c>
      <c r="O2621" s="23"/>
      <c r="P2621" s="23"/>
      <c r="Q2621" s="23"/>
      <c r="R2621" s="26"/>
      <c r="S2621" s="23"/>
    </row>
    <row r="2622" spans="1:22" ht="19.5" hidden="1" customHeight="1" outlineLevel="1">
      <c r="A2622" s="29">
        <v>34</v>
      </c>
      <c r="B2622" s="30">
        <f>IF(26&lt;=DAY(DATE(YEAR(설정_코스수당!$K$2),MONTH(설정_코스수당!$K$2)+1,0)),DATE(YEAR(설정_코스수당!$K$2),MONTH(설정_코스수당!$K$2),26),"")</f>
        <v>46199</v>
      </c>
      <c r="C2622" s="31"/>
      <c r="D2622" s="29"/>
      <c r="E2622" s="29"/>
      <c r="F2622" s="32"/>
      <c r="G2622" s="29"/>
      <c r="H2622" s="29"/>
      <c r="I2622" s="29"/>
      <c r="J2622" s="33">
        <f>IF($O2622="방문완료",MAX(0,IFERROR(VLOOKUP($E2622,설정_코스수당!$A$6:$H$10,4,FALSE),0)-IF(OR($P2622="",$P2622="없음"),0,100000)),0)</f>
        <v>0</v>
      </c>
      <c r="K2622" s="33">
        <f t="array" ref="K2622">IF($O2622="방문완료",IFERROR(INDEX(설정_코스수당!$B$15:$F$64,MATCH($G2622,설정_코스수당!$A$15:$A$64,0),MATCH($E2622&amp;"수당",설정_코스수당!$B$14:$F$14,0)),0),0)</f>
        <v>0</v>
      </c>
      <c r="L2622" s="33">
        <f t="array" ref="L2622">IF($O2622="방문완료",IF($H2622="",0,IFERROR(INDEX(설정_코스수당!$B$15:$F$64,MATCH($H2622,설정_코스수당!$A$15:$A$64,0),MATCH($E2622&amp;"수당",설정_코스수당!$B$14:$F$14,0)),0)),0)</f>
        <v>0</v>
      </c>
      <c r="M2622" s="33">
        <f>IF($O2622="방문완료",IFERROR(VLOOKUP($E2622,설정_코스수당!$A$6:$H$10,6,FALSE),0),0)</f>
        <v>0</v>
      </c>
      <c r="N2622" s="34">
        <f t="shared" si="76"/>
        <v>0</v>
      </c>
      <c r="O2622" s="29"/>
      <c r="P2622" s="29"/>
      <c r="Q2622" s="29"/>
      <c r="R2622" s="32"/>
      <c r="S2622" s="29"/>
    </row>
    <row r="2623" spans="1:22" ht="19.5" hidden="1" customHeight="1" outlineLevel="1">
      <c r="A2623" s="23">
        <v>35</v>
      </c>
      <c r="B2623" s="24">
        <f>IF(26&lt;=DAY(DATE(YEAR(설정_코스수당!$K$2),MONTH(설정_코스수당!$K$2)+1,0)),DATE(YEAR(설정_코스수당!$K$2),MONTH(설정_코스수당!$K$2),26),"")</f>
        <v>46199</v>
      </c>
      <c r="C2623" s="25"/>
      <c r="D2623" s="23"/>
      <c r="E2623" s="23"/>
      <c r="F2623" s="26"/>
      <c r="G2623" s="23"/>
      <c r="H2623" s="23"/>
      <c r="I2623" s="23"/>
      <c r="J2623" s="27">
        <f>IF($O2623="방문완료",MAX(0,IFERROR(VLOOKUP($E2623,설정_코스수당!$A$6:$H$10,4,FALSE),0)-IF(OR($P2623="",$P2623="없음"),0,100000)),0)</f>
        <v>0</v>
      </c>
      <c r="K2623" s="27">
        <f t="array" ref="K2623">IF($O2623="방문완료",IFERROR(INDEX(설정_코스수당!$B$15:$F$64,MATCH($G2623,설정_코스수당!$A$15:$A$64,0),MATCH($E2623&amp;"수당",설정_코스수당!$B$14:$F$14,0)),0),0)</f>
        <v>0</v>
      </c>
      <c r="L2623" s="27">
        <f t="array" ref="L2623">IF($O2623="방문완료",IF($H2623="",0,IFERROR(INDEX(설정_코스수당!$B$15:$F$64,MATCH($H2623,설정_코스수당!$A$15:$A$64,0),MATCH($E2623&amp;"수당",설정_코스수당!$B$14:$F$14,0)),0)),0)</f>
        <v>0</v>
      </c>
      <c r="M2623" s="27">
        <f>IF($O2623="방문완료",IFERROR(VLOOKUP($E2623,설정_코스수당!$A$6:$H$10,6,FALSE),0),0)</f>
        <v>0</v>
      </c>
      <c r="N2623" s="28">
        <f t="shared" si="76"/>
        <v>0</v>
      </c>
      <c r="O2623" s="23"/>
      <c r="P2623" s="23"/>
      <c r="Q2623" s="23"/>
      <c r="R2623" s="26"/>
      <c r="S2623" s="23"/>
    </row>
    <row r="2624" spans="1:22" ht="19.5" hidden="1" customHeight="1" outlineLevel="1">
      <c r="A2624" s="29">
        <v>36</v>
      </c>
      <c r="B2624" s="30">
        <f>IF(26&lt;=DAY(DATE(YEAR(설정_코스수당!$K$2),MONTH(설정_코스수당!$K$2)+1,0)),DATE(YEAR(설정_코스수당!$K$2),MONTH(설정_코스수당!$K$2),26),"")</f>
        <v>46199</v>
      </c>
      <c r="C2624" s="31"/>
      <c r="D2624" s="29"/>
      <c r="E2624" s="29"/>
      <c r="F2624" s="32"/>
      <c r="G2624" s="29"/>
      <c r="H2624" s="29"/>
      <c r="I2624" s="29"/>
      <c r="J2624" s="33">
        <f>IF($O2624="방문완료",MAX(0,IFERROR(VLOOKUP($E2624,설정_코스수당!$A$6:$H$10,4,FALSE),0)-IF(OR($P2624="",$P2624="없음"),0,100000)),0)</f>
        <v>0</v>
      </c>
      <c r="K2624" s="33">
        <f t="array" ref="K2624">IF($O2624="방문완료",IFERROR(INDEX(설정_코스수당!$B$15:$F$64,MATCH($G2624,설정_코스수당!$A$15:$A$64,0),MATCH($E2624&amp;"수당",설정_코스수당!$B$14:$F$14,0)),0),0)</f>
        <v>0</v>
      </c>
      <c r="L2624" s="33">
        <f t="array" ref="L2624">IF($O2624="방문완료",IF($H2624="",0,IFERROR(INDEX(설정_코스수당!$B$15:$F$64,MATCH($H2624,설정_코스수당!$A$15:$A$64,0),MATCH($E2624&amp;"수당",설정_코스수당!$B$14:$F$14,0)),0)),0)</f>
        <v>0</v>
      </c>
      <c r="M2624" s="33">
        <f>IF($O2624="방문완료",IFERROR(VLOOKUP($E2624,설정_코스수당!$A$6:$H$10,6,FALSE),0),0)</f>
        <v>0</v>
      </c>
      <c r="N2624" s="34">
        <f t="shared" si="76"/>
        <v>0</v>
      </c>
      <c r="O2624" s="29"/>
      <c r="P2624" s="29"/>
      <c r="Q2624" s="29"/>
      <c r="R2624" s="32"/>
      <c r="S2624" s="29"/>
    </row>
    <row r="2625" spans="1:19" ht="19.5" hidden="1" customHeight="1" outlineLevel="1">
      <c r="A2625" s="23">
        <v>37</v>
      </c>
      <c r="B2625" s="24">
        <f>IF(26&lt;=DAY(DATE(YEAR(설정_코스수당!$K$2),MONTH(설정_코스수당!$K$2)+1,0)),DATE(YEAR(설정_코스수당!$K$2),MONTH(설정_코스수당!$K$2),26),"")</f>
        <v>46199</v>
      </c>
      <c r="C2625" s="25"/>
      <c r="D2625" s="23"/>
      <c r="E2625" s="23"/>
      <c r="F2625" s="26"/>
      <c r="G2625" s="23"/>
      <c r="H2625" s="23"/>
      <c r="I2625" s="23"/>
      <c r="J2625" s="27">
        <f>IF($O2625="방문완료",MAX(0,IFERROR(VLOOKUP($E2625,설정_코스수당!$A$6:$H$10,4,FALSE),0)-IF(OR($P2625="",$P2625="없음"),0,100000)),0)</f>
        <v>0</v>
      </c>
      <c r="K2625" s="27">
        <f t="array" ref="K2625">IF($O2625="방문완료",IFERROR(INDEX(설정_코스수당!$B$15:$F$64,MATCH($G2625,설정_코스수당!$A$15:$A$64,0),MATCH($E2625&amp;"수당",설정_코스수당!$B$14:$F$14,0)),0),0)</f>
        <v>0</v>
      </c>
      <c r="L2625" s="27">
        <f t="array" ref="L2625">IF($O2625="방문완료",IF($H2625="",0,IFERROR(INDEX(설정_코스수당!$B$15:$F$64,MATCH($H2625,설정_코스수당!$A$15:$A$64,0),MATCH($E2625&amp;"수당",설정_코스수당!$B$14:$F$14,0)),0)),0)</f>
        <v>0</v>
      </c>
      <c r="M2625" s="27">
        <f>IF($O2625="방문완료",IFERROR(VLOOKUP($E2625,설정_코스수당!$A$6:$H$10,6,FALSE),0),0)</f>
        <v>0</v>
      </c>
      <c r="N2625" s="28">
        <f t="shared" si="76"/>
        <v>0</v>
      </c>
      <c r="O2625" s="23"/>
      <c r="P2625" s="23"/>
      <c r="Q2625" s="23"/>
      <c r="R2625" s="26"/>
      <c r="S2625" s="23"/>
    </row>
    <row r="2626" spans="1:19" ht="19.5" hidden="1" customHeight="1" outlineLevel="1">
      <c r="A2626" s="29">
        <v>38</v>
      </c>
      <c r="B2626" s="30">
        <f>IF(26&lt;=DAY(DATE(YEAR(설정_코스수당!$K$2),MONTH(설정_코스수당!$K$2)+1,0)),DATE(YEAR(설정_코스수당!$K$2),MONTH(설정_코스수당!$K$2),26),"")</f>
        <v>46199</v>
      </c>
      <c r="C2626" s="31"/>
      <c r="D2626" s="29"/>
      <c r="E2626" s="29"/>
      <c r="F2626" s="32"/>
      <c r="G2626" s="29"/>
      <c r="H2626" s="29"/>
      <c r="I2626" s="29"/>
      <c r="J2626" s="33">
        <f>IF($O2626="방문완료",MAX(0,IFERROR(VLOOKUP($E2626,설정_코스수당!$A$6:$H$10,4,FALSE),0)-IF(OR($P2626="",$P2626="없음"),0,100000)),0)</f>
        <v>0</v>
      </c>
      <c r="K2626" s="33">
        <f t="array" ref="K2626">IF($O2626="방문완료",IFERROR(INDEX(설정_코스수당!$B$15:$F$64,MATCH($G2626,설정_코스수당!$A$15:$A$64,0),MATCH($E2626&amp;"수당",설정_코스수당!$B$14:$F$14,0)),0),0)</f>
        <v>0</v>
      </c>
      <c r="L2626" s="33">
        <f t="array" ref="L2626">IF($O2626="방문완료",IF($H2626="",0,IFERROR(INDEX(설정_코스수당!$B$15:$F$64,MATCH($H2626,설정_코스수당!$A$15:$A$64,0),MATCH($E2626&amp;"수당",설정_코스수당!$B$14:$F$14,0)),0)),0)</f>
        <v>0</v>
      </c>
      <c r="M2626" s="33">
        <f>IF($O2626="방문완료",IFERROR(VLOOKUP($E2626,설정_코스수당!$A$6:$H$10,6,FALSE),0),0)</f>
        <v>0</v>
      </c>
      <c r="N2626" s="34">
        <f t="shared" si="76"/>
        <v>0</v>
      </c>
      <c r="O2626" s="29"/>
      <c r="P2626" s="29"/>
      <c r="Q2626" s="29"/>
      <c r="R2626" s="32"/>
      <c r="S2626" s="29"/>
    </row>
    <row r="2627" spans="1:19" ht="19.5" hidden="1" customHeight="1" outlineLevel="1">
      <c r="A2627" s="23">
        <v>39</v>
      </c>
      <c r="B2627" s="24">
        <f>IF(26&lt;=DAY(DATE(YEAR(설정_코스수당!$K$2),MONTH(설정_코스수당!$K$2)+1,0)),DATE(YEAR(설정_코스수당!$K$2),MONTH(설정_코스수당!$K$2),26),"")</f>
        <v>46199</v>
      </c>
      <c r="C2627" s="25"/>
      <c r="D2627" s="23"/>
      <c r="E2627" s="23"/>
      <c r="F2627" s="26"/>
      <c r="G2627" s="23"/>
      <c r="H2627" s="23"/>
      <c r="I2627" s="23"/>
      <c r="J2627" s="27">
        <f>IF($O2627="방문완료",MAX(0,IFERROR(VLOOKUP($E2627,설정_코스수당!$A$6:$H$10,4,FALSE),0)-IF(OR($P2627="",$P2627="없음"),0,100000)),0)</f>
        <v>0</v>
      </c>
      <c r="K2627" s="27">
        <f t="array" ref="K2627">IF($O2627="방문완료",IFERROR(INDEX(설정_코스수당!$B$15:$F$64,MATCH($G2627,설정_코스수당!$A$15:$A$64,0),MATCH($E2627&amp;"수당",설정_코스수당!$B$14:$F$14,0)),0),0)</f>
        <v>0</v>
      </c>
      <c r="L2627" s="27">
        <f t="array" ref="L2627">IF($O2627="방문완료",IF($H2627="",0,IFERROR(INDEX(설정_코스수당!$B$15:$F$64,MATCH($H2627,설정_코스수당!$A$15:$A$64,0),MATCH($E2627&amp;"수당",설정_코스수당!$B$14:$F$14,0)),0)),0)</f>
        <v>0</v>
      </c>
      <c r="M2627" s="27">
        <f>IF($O2627="방문완료",IFERROR(VLOOKUP($E2627,설정_코스수당!$A$6:$H$10,6,FALSE),0),0)</f>
        <v>0</v>
      </c>
      <c r="N2627" s="28">
        <f t="shared" si="76"/>
        <v>0</v>
      </c>
      <c r="O2627" s="23"/>
      <c r="P2627" s="23"/>
      <c r="Q2627" s="23"/>
      <c r="R2627" s="26"/>
      <c r="S2627" s="23"/>
    </row>
    <row r="2628" spans="1:19" ht="19.5" hidden="1" customHeight="1" outlineLevel="1">
      <c r="A2628" s="29">
        <v>40</v>
      </c>
      <c r="B2628" s="30">
        <f>IF(26&lt;=DAY(DATE(YEAR(설정_코스수당!$K$2),MONTH(설정_코스수당!$K$2)+1,0)),DATE(YEAR(설정_코스수당!$K$2),MONTH(설정_코스수당!$K$2),26),"")</f>
        <v>46199</v>
      </c>
      <c r="C2628" s="31"/>
      <c r="D2628" s="29"/>
      <c r="E2628" s="29"/>
      <c r="F2628" s="32"/>
      <c r="G2628" s="29"/>
      <c r="H2628" s="29"/>
      <c r="I2628" s="29"/>
      <c r="J2628" s="33">
        <f>IF($O2628="방문완료",MAX(0,IFERROR(VLOOKUP($E2628,설정_코스수당!$A$6:$H$10,4,FALSE),0)-IF(OR($P2628="",$P2628="없음"),0,100000)),0)</f>
        <v>0</v>
      </c>
      <c r="K2628" s="33">
        <f t="array" ref="K2628">IF($O2628="방문완료",IFERROR(INDEX(설정_코스수당!$B$15:$F$64,MATCH($G2628,설정_코스수당!$A$15:$A$64,0),MATCH($E2628&amp;"수당",설정_코스수당!$B$14:$F$14,0)),0),0)</f>
        <v>0</v>
      </c>
      <c r="L2628" s="33">
        <f t="array" ref="L2628">IF($O2628="방문완료",IF($H2628="",0,IFERROR(INDEX(설정_코스수당!$B$15:$F$64,MATCH($H2628,설정_코스수당!$A$15:$A$64,0),MATCH($E2628&amp;"수당",설정_코스수당!$B$14:$F$14,0)),0)),0)</f>
        <v>0</v>
      </c>
      <c r="M2628" s="33">
        <f>IF($O2628="방문완료",IFERROR(VLOOKUP($E2628,설정_코스수당!$A$6:$H$10,6,FALSE),0),0)</f>
        <v>0</v>
      </c>
      <c r="N2628" s="34">
        <f t="shared" si="76"/>
        <v>0</v>
      </c>
      <c r="O2628" s="29"/>
      <c r="P2628" s="29"/>
      <c r="Q2628" s="29"/>
      <c r="R2628" s="32"/>
      <c r="S2628" s="29"/>
    </row>
    <row r="2629" spans="1:19" ht="19.5" hidden="1" customHeight="1" outlineLevel="1">
      <c r="A2629" s="23">
        <v>41</v>
      </c>
      <c r="B2629" s="24">
        <f>IF(26&lt;=DAY(DATE(YEAR(설정_코스수당!$K$2),MONTH(설정_코스수당!$K$2)+1,0)),DATE(YEAR(설정_코스수당!$K$2),MONTH(설정_코스수당!$K$2),26),"")</f>
        <v>46199</v>
      </c>
      <c r="C2629" s="25"/>
      <c r="D2629" s="23"/>
      <c r="E2629" s="23"/>
      <c r="F2629" s="26"/>
      <c r="G2629" s="23"/>
      <c r="H2629" s="23"/>
      <c r="I2629" s="23"/>
      <c r="J2629" s="27">
        <f>IF($O2629="방문완료",MAX(0,IFERROR(VLOOKUP($E2629,설정_코스수당!$A$6:$H$10,4,FALSE),0)-IF(OR($P2629="",$P2629="없음"),0,100000)),0)</f>
        <v>0</v>
      </c>
      <c r="K2629" s="27">
        <f t="array" ref="K2629">IF($O2629="방문완료",IFERROR(INDEX(설정_코스수당!$B$15:$F$64,MATCH($G2629,설정_코스수당!$A$15:$A$64,0),MATCH($E2629&amp;"수당",설정_코스수당!$B$14:$F$14,0)),0),0)</f>
        <v>0</v>
      </c>
      <c r="L2629" s="27">
        <f t="array" ref="L2629">IF($O2629="방문완료",IF($H2629="",0,IFERROR(INDEX(설정_코스수당!$B$15:$F$64,MATCH($H2629,설정_코스수당!$A$15:$A$64,0),MATCH($E2629&amp;"수당",설정_코스수당!$B$14:$F$14,0)),0)),0)</f>
        <v>0</v>
      </c>
      <c r="M2629" s="27">
        <f>IF($O2629="방문완료",IFERROR(VLOOKUP($E2629,설정_코스수당!$A$6:$H$10,6,FALSE),0),0)</f>
        <v>0</v>
      </c>
      <c r="N2629" s="28">
        <f t="shared" si="76"/>
        <v>0</v>
      </c>
      <c r="O2629" s="23"/>
      <c r="P2629" s="23"/>
      <c r="Q2629" s="23"/>
      <c r="R2629" s="26"/>
      <c r="S2629" s="23"/>
    </row>
    <row r="2630" spans="1:19" ht="19.5" hidden="1" customHeight="1" outlineLevel="1">
      <c r="A2630" s="29">
        <v>42</v>
      </c>
      <c r="B2630" s="30">
        <f>IF(26&lt;=DAY(DATE(YEAR(설정_코스수당!$K$2),MONTH(설정_코스수당!$K$2)+1,0)),DATE(YEAR(설정_코스수당!$K$2),MONTH(설정_코스수당!$K$2),26),"")</f>
        <v>46199</v>
      </c>
      <c r="C2630" s="31"/>
      <c r="D2630" s="29"/>
      <c r="E2630" s="29"/>
      <c r="F2630" s="32"/>
      <c r="G2630" s="29"/>
      <c r="H2630" s="29"/>
      <c r="I2630" s="29"/>
      <c r="J2630" s="33">
        <f>IF($O2630="방문완료",MAX(0,IFERROR(VLOOKUP($E2630,설정_코스수당!$A$6:$H$10,4,FALSE),0)-IF(OR($P2630="",$P2630="없음"),0,100000)),0)</f>
        <v>0</v>
      </c>
      <c r="K2630" s="33">
        <f t="array" ref="K2630">IF($O2630="방문완료",IFERROR(INDEX(설정_코스수당!$B$15:$F$64,MATCH($G2630,설정_코스수당!$A$15:$A$64,0),MATCH($E2630&amp;"수당",설정_코스수당!$B$14:$F$14,0)),0),0)</f>
        <v>0</v>
      </c>
      <c r="L2630" s="33">
        <f t="array" ref="L2630">IF($O2630="방문완료",IF($H2630="",0,IFERROR(INDEX(설정_코스수당!$B$15:$F$64,MATCH($H2630,설정_코스수당!$A$15:$A$64,0),MATCH($E2630&amp;"수당",설정_코스수당!$B$14:$F$14,0)),0)),0)</f>
        <v>0</v>
      </c>
      <c r="M2630" s="33">
        <f>IF($O2630="방문완료",IFERROR(VLOOKUP($E2630,설정_코스수당!$A$6:$H$10,6,FALSE),0),0)</f>
        <v>0</v>
      </c>
      <c r="N2630" s="34">
        <f t="shared" si="76"/>
        <v>0</v>
      </c>
      <c r="O2630" s="29"/>
      <c r="P2630" s="29"/>
      <c r="Q2630" s="29"/>
      <c r="R2630" s="32"/>
      <c r="S2630" s="29"/>
    </row>
    <row r="2631" spans="1:19" ht="19.5" hidden="1" customHeight="1" outlineLevel="1">
      <c r="A2631" s="23">
        <v>43</v>
      </c>
      <c r="B2631" s="24">
        <f>IF(26&lt;=DAY(DATE(YEAR(설정_코스수당!$K$2),MONTH(설정_코스수당!$K$2)+1,0)),DATE(YEAR(설정_코스수당!$K$2),MONTH(설정_코스수당!$K$2),26),"")</f>
        <v>46199</v>
      </c>
      <c r="C2631" s="25"/>
      <c r="D2631" s="23"/>
      <c r="E2631" s="23"/>
      <c r="F2631" s="26"/>
      <c r="G2631" s="23"/>
      <c r="H2631" s="23"/>
      <c r="I2631" s="23"/>
      <c r="J2631" s="27">
        <f>IF($O2631="방문완료",MAX(0,IFERROR(VLOOKUP($E2631,설정_코스수당!$A$6:$H$10,4,FALSE),0)-IF(OR($P2631="",$P2631="없음"),0,100000)),0)</f>
        <v>0</v>
      </c>
      <c r="K2631" s="27">
        <f t="array" ref="K2631">IF($O2631="방문완료",IFERROR(INDEX(설정_코스수당!$B$15:$F$64,MATCH($G2631,설정_코스수당!$A$15:$A$64,0),MATCH($E2631&amp;"수당",설정_코스수당!$B$14:$F$14,0)),0),0)</f>
        <v>0</v>
      </c>
      <c r="L2631" s="27">
        <f t="array" ref="L2631">IF($O2631="방문완료",IF($H2631="",0,IFERROR(INDEX(설정_코스수당!$B$15:$F$64,MATCH($H2631,설정_코스수당!$A$15:$A$64,0),MATCH($E2631&amp;"수당",설정_코스수당!$B$14:$F$14,0)),0)),0)</f>
        <v>0</v>
      </c>
      <c r="M2631" s="27">
        <f>IF($O2631="방문완료",IFERROR(VLOOKUP($E2631,설정_코스수당!$A$6:$H$10,6,FALSE),0),0)</f>
        <v>0</v>
      </c>
      <c r="N2631" s="28">
        <f t="shared" si="76"/>
        <v>0</v>
      </c>
      <c r="O2631" s="23"/>
      <c r="P2631" s="23"/>
      <c r="Q2631" s="23"/>
      <c r="R2631" s="26"/>
      <c r="S2631" s="23"/>
    </row>
    <row r="2632" spans="1:19" ht="19.5" hidden="1" customHeight="1" outlineLevel="1">
      <c r="A2632" s="29">
        <v>44</v>
      </c>
      <c r="B2632" s="30">
        <f>IF(26&lt;=DAY(DATE(YEAR(설정_코스수당!$K$2),MONTH(설정_코스수당!$K$2)+1,0)),DATE(YEAR(설정_코스수당!$K$2),MONTH(설정_코스수당!$K$2),26),"")</f>
        <v>46199</v>
      </c>
      <c r="C2632" s="31"/>
      <c r="D2632" s="29"/>
      <c r="E2632" s="29"/>
      <c r="F2632" s="32"/>
      <c r="G2632" s="29"/>
      <c r="H2632" s="29"/>
      <c r="I2632" s="29"/>
      <c r="J2632" s="33">
        <f>IF($O2632="방문완료",MAX(0,IFERROR(VLOOKUP($E2632,설정_코스수당!$A$6:$H$10,4,FALSE),0)-IF(OR($P2632="",$P2632="없음"),0,100000)),0)</f>
        <v>0</v>
      </c>
      <c r="K2632" s="33">
        <f t="array" ref="K2632">IF($O2632="방문완료",IFERROR(INDEX(설정_코스수당!$B$15:$F$64,MATCH($G2632,설정_코스수당!$A$15:$A$64,0),MATCH($E2632&amp;"수당",설정_코스수당!$B$14:$F$14,0)),0),0)</f>
        <v>0</v>
      </c>
      <c r="L2632" s="33">
        <f t="array" ref="L2632">IF($O2632="방문완료",IF($H2632="",0,IFERROR(INDEX(설정_코스수당!$B$15:$F$64,MATCH($H2632,설정_코스수당!$A$15:$A$64,0),MATCH($E2632&amp;"수당",설정_코스수당!$B$14:$F$14,0)),0)),0)</f>
        <v>0</v>
      </c>
      <c r="M2632" s="33">
        <f>IF($O2632="방문완료",IFERROR(VLOOKUP($E2632,설정_코스수당!$A$6:$H$10,6,FALSE),0),0)</f>
        <v>0</v>
      </c>
      <c r="N2632" s="34">
        <f t="shared" si="76"/>
        <v>0</v>
      </c>
      <c r="O2632" s="29"/>
      <c r="P2632" s="29"/>
      <c r="Q2632" s="29"/>
      <c r="R2632" s="32"/>
      <c r="S2632" s="29"/>
    </row>
    <row r="2633" spans="1:19" ht="19.5" hidden="1" customHeight="1" outlineLevel="1">
      <c r="A2633" s="23">
        <v>45</v>
      </c>
      <c r="B2633" s="24">
        <f>IF(26&lt;=DAY(DATE(YEAR(설정_코스수당!$K$2),MONTH(설정_코스수당!$K$2)+1,0)),DATE(YEAR(설정_코스수당!$K$2),MONTH(설정_코스수당!$K$2),26),"")</f>
        <v>46199</v>
      </c>
      <c r="C2633" s="25"/>
      <c r="D2633" s="23"/>
      <c r="E2633" s="23"/>
      <c r="F2633" s="26"/>
      <c r="G2633" s="23"/>
      <c r="H2633" s="23"/>
      <c r="I2633" s="23"/>
      <c r="J2633" s="27">
        <f>IF($O2633="방문완료",MAX(0,IFERROR(VLOOKUP($E2633,설정_코스수당!$A$6:$H$10,4,FALSE),0)-IF(OR($P2633="",$P2633="없음"),0,100000)),0)</f>
        <v>0</v>
      </c>
      <c r="K2633" s="27">
        <f t="array" ref="K2633">IF($O2633="방문완료",IFERROR(INDEX(설정_코스수당!$B$15:$F$64,MATCH($G2633,설정_코스수당!$A$15:$A$64,0),MATCH($E2633&amp;"수당",설정_코스수당!$B$14:$F$14,0)),0),0)</f>
        <v>0</v>
      </c>
      <c r="L2633" s="27">
        <f t="array" ref="L2633">IF($O2633="방문완료",IF($H2633="",0,IFERROR(INDEX(설정_코스수당!$B$15:$F$64,MATCH($H2633,설정_코스수당!$A$15:$A$64,0),MATCH($E2633&amp;"수당",설정_코스수당!$B$14:$F$14,0)),0)),0)</f>
        <v>0</v>
      </c>
      <c r="M2633" s="27">
        <f>IF($O2633="방문완료",IFERROR(VLOOKUP($E2633,설정_코스수당!$A$6:$H$10,6,FALSE),0),0)</f>
        <v>0</v>
      </c>
      <c r="N2633" s="28">
        <f t="shared" si="76"/>
        <v>0</v>
      </c>
      <c r="O2633" s="23"/>
      <c r="P2633" s="23"/>
      <c r="Q2633" s="23"/>
      <c r="R2633" s="26"/>
      <c r="S2633" s="23"/>
    </row>
    <row r="2634" spans="1:19" ht="19.5" hidden="1" customHeight="1" outlineLevel="1">
      <c r="A2634" s="29">
        <v>46</v>
      </c>
      <c r="B2634" s="30">
        <f>IF(26&lt;=DAY(DATE(YEAR(설정_코스수당!$K$2),MONTH(설정_코스수당!$K$2)+1,0)),DATE(YEAR(설정_코스수당!$K$2),MONTH(설정_코스수당!$K$2),26),"")</f>
        <v>46199</v>
      </c>
      <c r="C2634" s="31"/>
      <c r="D2634" s="29"/>
      <c r="E2634" s="29"/>
      <c r="F2634" s="32"/>
      <c r="G2634" s="29"/>
      <c r="H2634" s="29"/>
      <c r="I2634" s="29"/>
      <c r="J2634" s="33">
        <f>IF($O2634="방문완료",MAX(0,IFERROR(VLOOKUP($E2634,설정_코스수당!$A$6:$H$10,4,FALSE),0)-IF(OR($P2634="",$P2634="없음"),0,100000)),0)</f>
        <v>0</v>
      </c>
      <c r="K2634" s="33">
        <f t="array" ref="K2634">IF($O2634="방문완료",IFERROR(INDEX(설정_코스수당!$B$15:$F$64,MATCH($G2634,설정_코스수당!$A$15:$A$64,0),MATCH($E2634&amp;"수당",설정_코스수당!$B$14:$F$14,0)),0),0)</f>
        <v>0</v>
      </c>
      <c r="L2634" s="33">
        <f t="array" ref="L2634">IF($O2634="방문완료",IF($H2634="",0,IFERROR(INDEX(설정_코스수당!$B$15:$F$64,MATCH($H2634,설정_코스수당!$A$15:$A$64,0),MATCH($E2634&amp;"수당",설정_코스수당!$B$14:$F$14,0)),0)),0)</f>
        <v>0</v>
      </c>
      <c r="M2634" s="33">
        <f>IF($O2634="방문완료",IFERROR(VLOOKUP($E2634,설정_코스수당!$A$6:$H$10,6,FALSE),0),0)</f>
        <v>0</v>
      </c>
      <c r="N2634" s="34">
        <f t="shared" si="76"/>
        <v>0</v>
      </c>
      <c r="O2634" s="29"/>
      <c r="P2634" s="29"/>
      <c r="Q2634" s="29"/>
      <c r="R2634" s="32"/>
      <c r="S2634" s="29"/>
    </row>
    <row r="2635" spans="1:19" ht="19.5" hidden="1" customHeight="1" outlineLevel="1">
      <c r="A2635" s="23">
        <v>47</v>
      </c>
      <c r="B2635" s="24">
        <f>IF(26&lt;=DAY(DATE(YEAR(설정_코스수당!$K$2),MONTH(설정_코스수당!$K$2)+1,0)),DATE(YEAR(설정_코스수당!$K$2),MONTH(설정_코스수당!$K$2),26),"")</f>
        <v>46199</v>
      </c>
      <c r="C2635" s="25"/>
      <c r="D2635" s="23"/>
      <c r="E2635" s="23"/>
      <c r="F2635" s="26"/>
      <c r="G2635" s="23"/>
      <c r="H2635" s="23"/>
      <c r="I2635" s="23"/>
      <c r="J2635" s="27">
        <f>IF($O2635="방문완료",MAX(0,IFERROR(VLOOKUP($E2635,설정_코스수당!$A$6:$H$10,4,FALSE),0)-IF(OR($P2635="",$P2635="없음"),0,100000)),0)</f>
        <v>0</v>
      </c>
      <c r="K2635" s="27">
        <f t="array" ref="K2635">IF($O2635="방문완료",IFERROR(INDEX(설정_코스수당!$B$15:$F$64,MATCH($G2635,설정_코스수당!$A$15:$A$64,0),MATCH($E2635&amp;"수당",설정_코스수당!$B$14:$F$14,0)),0),0)</f>
        <v>0</v>
      </c>
      <c r="L2635" s="27">
        <f t="array" ref="L2635">IF($O2635="방문완료",IF($H2635="",0,IFERROR(INDEX(설정_코스수당!$B$15:$F$64,MATCH($H2635,설정_코스수당!$A$15:$A$64,0),MATCH($E2635&amp;"수당",설정_코스수당!$B$14:$F$14,0)),0)),0)</f>
        <v>0</v>
      </c>
      <c r="M2635" s="27">
        <f>IF($O2635="방문완료",IFERROR(VLOOKUP($E2635,설정_코스수당!$A$6:$H$10,6,FALSE),0),0)</f>
        <v>0</v>
      </c>
      <c r="N2635" s="28">
        <f t="shared" si="76"/>
        <v>0</v>
      </c>
      <c r="O2635" s="23"/>
      <c r="P2635" s="23"/>
      <c r="Q2635" s="23"/>
      <c r="R2635" s="26"/>
      <c r="S2635" s="23"/>
    </row>
    <row r="2636" spans="1:19" ht="19.5" hidden="1" customHeight="1" outlineLevel="1">
      <c r="A2636" s="29">
        <v>48</v>
      </c>
      <c r="B2636" s="30">
        <f>IF(26&lt;=DAY(DATE(YEAR(설정_코스수당!$K$2),MONTH(설정_코스수당!$K$2)+1,0)),DATE(YEAR(설정_코스수당!$K$2),MONTH(설정_코스수당!$K$2),26),"")</f>
        <v>46199</v>
      </c>
      <c r="C2636" s="31"/>
      <c r="D2636" s="29"/>
      <c r="E2636" s="29"/>
      <c r="F2636" s="32"/>
      <c r="G2636" s="29"/>
      <c r="H2636" s="29"/>
      <c r="I2636" s="29"/>
      <c r="J2636" s="33">
        <f>IF($O2636="방문완료",MAX(0,IFERROR(VLOOKUP($E2636,설정_코스수당!$A$6:$H$10,4,FALSE),0)-IF(OR($P2636="",$P2636="없음"),0,100000)),0)</f>
        <v>0</v>
      </c>
      <c r="K2636" s="33">
        <f t="array" ref="K2636">IF($O2636="방문완료",IFERROR(INDEX(설정_코스수당!$B$15:$F$64,MATCH($G2636,설정_코스수당!$A$15:$A$64,0),MATCH($E2636&amp;"수당",설정_코스수당!$B$14:$F$14,0)),0),0)</f>
        <v>0</v>
      </c>
      <c r="L2636" s="33">
        <f t="array" ref="L2636">IF($O2636="방문완료",IF($H2636="",0,IFERROR(INDEX(설정_코스수당!$B$15:$F$64,MATCH($H2636,설정_코스수당!$A$15:$A$64,0),MATCH($E2636&amp;"수당",설정_코스수당!$B$14:$F$14,0)),0)),0)</f>
        <v>0</v>
      </c>
      <c r="M2636" s="33">
        <f>IF($O2636="방문완료",IFERROR(VLOOKUP($E2636,설정_코스수당!$A$6:$H$10,6,FALSE),0),0)</f>
        <v>0</v>
      </c>
      <c r="N2636" s="34">
        <f t="shared" si="76"/>
        <v>0</v>
      </c>
      <c r="O2636" s="29"/>
      <c r="P2636" s="29"/>
      <c r="Q2636" s="29"/>
      <c r="R2636" s="32"/>
      <c r="S2636" s="29"/>
    </row>
    <row r="2637" spans="1:19" ht="19.5" hidden="1" customHeight="1" outlineLevel="1">
      <c r="A2637" s="23">
        <v>49</v>
      </c>
      <c r="B2637" s="24">
        <f>IF(26&lt;=DAY(DATE(YEAR(설정_코스수당!$K$2),MONTH(설정_코스수당!$K$2)+1,0)),DATE(YEAR(설정_코스수당!$K$2),MONTH(설정_코스수당!$K$2),26),"")</f>
        <v>46199</v>
      </c>
      <c r="C2637" s="25"/>
      <c r="D2637" s="23"/>
      <c r="E2637" s="23"/>
      <c r="F2637" s="26"/>
      <c r="G2637" s="23"/>
      <c r="H2637" s="23"/>
      <c r="I2637" s="23"/>
      <c r="J2637" s="27">
        <f>IF($O2637="방문완료",MAX(0,IFERROR(VLOOKUP($E2637,설정_코스수당!$A$6:$H$10,4,FALSE),0)-IF(OR($P2637="",$P2637="없음"),0,100000)),0)</f>
        <v>0</v>
      </c>
      <c r="K2637" s="27">
        <f t="array" ref="K2637">IF($O2637="방문완료",IFERROR(INDEX(설정_코스수당!$B$15:$F$64,MATCH($G2637,설정_코스수당!$A$15:$A$64,0),MATCH($E2637&amp;"수당",설정_코스수당!$B$14:$F$14,0)),0),0)</f>
        <v>0</v>
      </c>
      <c r="L2637" s="27">
        <f t="array" ref="L2637">IF($O2637="방문완료",IF($H2637="",0,IFERROR(INDEX(설정_코스수당!$B$15:$F$64,MATCH($H2637,설정_코스수당!$A$15:$A$64,0),MATCH($E2637&amp;"수당",설정_코스수당!$B$14:$F$14,0)),0)),0)</f>
        <v>0</v>
      </c>
      <c r="M2637" s="27">
        <f>IF($O2637="방문완료",IFERROR(VLOOKUP($E2637,설정_코스수당!$A$6:$H$10,6,FALSE),0),0)</f>
        <v>0</v>
      </c>
      <c r="N2637" s="28">
        <f t="shared" si="76"/>
        <v>0</v>
      </c>
      <c r="O2637" s="23"/>
      <c r="P2637" s="23"/>
      <c r="Q2637" s="23"/>
      <c r="R2637" s="26"/>
      <c r="S2637" s="23"/>
    </row>
    <row r="2638" spans="1:19" ht="19.5" hidden="1" customHeight="1" outlineLevel="1">
      <c r="A2638" s="29">
        <v>50</v>
      </c>
      <c r="B2638" s="30">
        <f>IF(26&lt;=DAY(DATE(YEAR(설정_코스수당!$K$2),MONTH(설정_코스수당!$K$2)+1,0)),DATE(YEAR(설정_코스수당!$K$2),MONTH(설정_코스수당!$K$2),26),"")</f>
        <v>46199</v>
      </c>
      <c r="C2638" s="31"/>
      <c r="D2638" s="29"/>
      <c r="E2638" s="29"/>
      <c r="F2638" s="32"/>
      <c r="G2638" s="29"/>
      <c r="H2638" s="29"/>
      <c r="I2638" s="29"/>
      <c r="J2638" s="33">
        <f>IF($O2638="방문완료",MAX(0,IFERROR(VLOOKUP($E2638,설정_코스수당!$A$6:$H$10,4,FALSE),0)-IF(OR($P2638="",$P2638="없음"),0,100000)),0)</f>
        <v>0</v>
      </c>
      <c r="K2638" s="33">
        <f t="array" ref="K2638">IF($O2638="방문완료",IFERROR(INDEX(설정_코스수당!$B$15:$F$64,MATCH($G2638,설정_코스수당!$A$15:$A$64,0),MATCH($E2638&amp;"수당",설정_코스수당!$B$14:$F$14,0)),0),0)</f>
        <v>0</v>
      </c>
      <c r="L2638" s="33">
        <f t="array" ref="L2638">IF($O2638="방문완료",IF($H2638="",0,IFERROR(INDEX(설정_코스수당!$B$15:$F$64,MATCH($H2638,설정_코스수당!$A$15:$A$64,0),MATCH($E2638&amp;"수당",설정_코스수당!$B$14:$F$14,0)),0)),0)</f>
        <v>0</v>
      </c>
      <c r="M2638" s="33">
        <f>IF($O2638="방문완료",IFERROR(VLOOKUP($E2638,설정_코스수당!$A$6:$H$10,6,FALSE),0),0)</f>
        <v>0</v>
      </c>
      <c r="N2638" s="34">
        <f t="shared" si="76"/>
        <v>0</v>
      </c>
      <c r="O2638" s="29"/>
      <c r="P2638" s="29"/>
      <c r="Q2638" s="29"/>
      <c r="R2638" s="32"/>
      <c r="S2638" s="29"/>
    </row>
    <row r="2639" spans="1:19" ht="19.5" hidden="1" customHeight="1" outlineLevel="1">
      <c r="A2639" s="23">
        <v>51</v>
      </c>
      <c r="B2639" s="24">
        <f>IF(26&lt;=DAY(DATE(YEAR(설정_코스수당!$K$2),MONTH(설정_코스수당!$K$2)+1,0)),DATE(YEAR(설정_코스수당!$K$2),MONTH(설정_코스수당!$K$2),26),"")</f>
        <v>46199</v>
      </c>
      <c r="C2639" s="25"/>
      <c r="D2639" s="23"/>
      <c r="E2639" s="23"/>
      <c r="F2639" s="26"/>
      <c r="G2639" s="23"/>
      <c r="H2639" s="23"/>
      <c r="I2639" s="23"/>
      <c r="J2639" s="27">
        <f>IF($O2639="방문완료",MAX(0,IFERROR(VLOOKUP($E2639,설정_코스수당!$A$6:$H$10,4,FALSE),0)-IF(OR($P2639="",$P2639="없음"),0,100000)),0)</f>
        <v>0</v>
      </c>
      <c r="K2639" s="27">
        <f t="array" ref="K2639">IF($O2639="방문완료",IFERROR(INDEX(설정_코스수당!$B$15:$F$64,MATCH($G2639,설정_코스수당!$A$15:$A$64,0),MATCH($E2639&amp;"수당",설정_코스수당!$B$14:$F$14,0)),0),0)</f>
        <v>0</v>
      </c>
      <c r="L2639" s="27">
        <f t="array" ref="L2639">IF($O2639="방문완료",IF($H2639="",0,IFERROR(INDEX(설정_코스수당!$B$15:$F$64,MATCH($H2639,설정_코스수당!$A$15:$A$64,0),MATCH($E2639&amp;"수당",설정_코스수당!$B$14:$F$14,0)),0)),0)</f>
        <v>0</v>
      </c>
      <c r="M2639" s="27">
        <f>IF($O2639="방문완료",IFERROR(VLOOKUP($E2639,설정_코스수당!$A$6:$H$10,6,FALSE),0),0)</f>
        <v>0</v>
      </c>
      <c r="N2639" s="28">
        <f t="shared" si="76"/>
        <v>0</v>
      </c>
      <c r="O2639" s="23"/>
      <c r="P2639" s="23"/>
      <c r="Q2639" s="23"/>
      <c r="R2639" s="26"/>
      <c r="S2639" s="23"/>
    </row>
    <row r="2640" spans="1:19" ht="19.5" hidden="1" customHeight="1" outlineLevel="1">
      <c r="A2640" s="29">
        <v>52</v>
      </c>
      <c r="B2640" s="30">
        <f>IF(26&lt;=DAY(DATE(YEAR(설정_코스수당!$K$2),MONTH(설정_코스수당!$K$2)+1,0)),DATE(YEAR(설정_코스수당!$K$2),MONTH(설정_코스수당!$K$2),26),"")</f>
        <v>46199</v>
      </c>
      <c r="C2640" s="31"/>
      <c r="D2640" s="29"/>
      <c r="E2640" s="29"/>
      <c r="F2640" s="32"/>
      <c r="G2640" s="29"/>
      <c r="H2640" s="29"/>
      <c r="I2640" s="29"/>
      <c r="J2640" s="33">
        <f>IF($O2640="방문완료",MAX(0,IFERROR(VLOOKUP($E2640,설정_코스수당!$A$6:$H$10,4,FALSE),0)-IF(OR($P2640="",$P2640="없음"),0,100000)),0)</f>
        <v>0</v>
      </c>
      <c r="K2640" s="33">
        <f t="array" ref="K2640">IF($O2640="방문완료",IFERROR(INDEX(설정_코스수당!$B$15:$F$64,MATCH($G2640,설정_코스수당!$A$15:$A$64,0),MATCH($E2640&amp;"수당",설정_코스수당!$B$14:$F$14,0)),0),0)</f>
        <v>0</v>
      </c>
      <c r="L2640" s="33">
        <f t="array" ref="L2640">IF($O2640="방문완료",IF($H2640="",0,IFERROR(INDEX(설정_코스수당!$B$15:$F$64,MATCH($H2640,설정_코스수당!$A$15:$A$64,0),MATCH($E2640&amp;"수당",설정_코스수당!$B$14:$F$14,0)),0)),0)</f>
        <v>0</v>
      </c>
      <c r="M2640" s="33">
        <f>IF($O2640="방문완료",IFERROR(VLOOKUP($E2640,설정_코스수당!$A$6:$H$10,6,FALSE),0),0)</f>
        <v>0</v>
      </c>
      <c r="N2640" s="34">
        <f t="shared" si="76"/>
        <v>0</v>
      </c>
      <c r="O2640" s="29"/>
      <c r="P2640" s="29"/>
      <c r="Q2640" s="29"/>
      <c r="R2640" s="32"/>
      <c r="S2640" s="29"/>
    </row>
    <row r="2641" spans="1:19" ht="19.5" hidden="1" customHeight="1" outlineLevel="1">
      <c r="A2641" s="23">
        <v>53</v>
      </c>
      <c r="B2641" s="24">
        <f>IF(26&lt;=DAY(DATE(YEAR(설정_코스수당!$K$2),MONTH(설정_코스수당!$K$2)+1,0)),DATE(YEAR(설정_코스수당!$K$2),MONTH(설정_코스수당!$K$2),26),"")</f>
        <v>46199</v>
      </c>
      <c r="C2641" s="25"/>
      <c r="D2641" s="23"/>
      <c r="E2641" s="23"/>
      <c r="F2641" s="26"/>
      <c r="G2641" s="23"/>
      <c r="H2641" s="23"/>
      <c r="I2641" s="23"/>
      <c r="J2641" s="27">
        <f>IF($O2641="방문완료",MAX(0,IFERROR(VLOOKUP($E2641,설정_코스수당!$A$6:$H$10,4,FALSE),0)-IF(OR($P2641="",$P2641="없음"),0,100000)),0)</f>
        <v>0</v>
      </c>
      <c r="K2641" s="27">
        <f t="array" ref="K2641">IF($O2641="방문완료",IFERROR(INDEX(설정_코스수당!$B$15:$F$64,MATCH($G2641,설정_코스수당!$A$15:$A$64,0),MATCH($E2641&amp;"수당",설정_코스수당!$B$14:$F$14,0)),0),0)</f>
        <v>0</v>
      </c>
      <c r="L2641" s="27">
        <f t="array" ref="L2641">IF($O2641="방문완료",IF($H2641="",0,IFERROR(INDEX(설정_코스수당!$B$15:$F$64,MATCH($H2641,설정_코스수당!$A$15:$A$64,0),MATCH($E2641&amp;"수당",설정_코스수당!$B$14:$F$14,0)),0)),0)</f>
        <v>0</v>
      </c>
      <c r="M2641" s="27">
        <f>IF($O2641="방문완료",IFERROR(VLOOKUP($E2641,설정_코스수당!$A$6:$H$10,6,FALSE),0),0)</f>
        <v>0</v>
      </c>
      <c r="N2641" s="28">
        <f t="shared" si="76"/>
        <v>0</v>
      </c>
      <c r="O2641" s="23"/>
      <c r="P2641" s="23"/>
      <c r="Q2641" s="23"/>
      <c r="R2641" s="26"/>
      <c r="S2641" s="23"/>
    </row>
    <row r="2642" spans="1:19" ht="19.5" hidden="1" customHeight="1" outlineLevel="1">
      <c r="A2642" s="29">
        <v>54</v>
      </c>
      <c r="B2642" s="30">
        <f>IF(26&lt;=DAY(DATE(YEAR(설정_코스수당!$K$2),MONTH(설정_코스수당!$K$2)+1,0)),DATE(YEAR(설정_코스수당!$K$2),MONTH(설정_코스수당!$K$2),26),"")</f>
        <v>46199</v>
      </c>
      <c r="C2642" s="31"/>
      <c r="D2642" s="29"/>
      <c r="E2642" s="29"/>
      <c r="F2642" s="32"/>
      <c r="G2642" s="29"/>
      <c r="H2642" s="29"/>
      <c r="I2642" s="29"/>
      <c r="J2642" s="33">
        <f>IF($O2642="방문완료",MAX(0,IFERROR(VLOOKUP($E2642,설정_코스수당!$A$6:$H$10,4,FALSE),0)-IF(OR($P2642="",$P2642="없음"),0,100000)),0)</f>
        <v>0</v>
      </c>
      <c r="K2642" s="33">
        <f t="array" ref="K2642">IF($O2642="방문완료",IFERROR(INDEX(설정_코스수당!$B$15:$F$64,MATCH($G2642,설정_코스수당!$A$15:$A$64,0),MATCH($E2642&amp;"수당",설정_코스수당!$B$14:$F$14,0)),0),0)</f>
        <v>0</v>
      </c>
      <c r="L2642" s="33">
        <f t="array" ref="L2642">IF($O2642="방문완료",IF($H2642="",0,IFERROR(INDEX(설정_코스수당!$B$15:$F$64,MATCH($H2642,설정_코스수당!$A$15:$A$64,0),MATCH($E2642&amp;"수당",설정_코스수당!$B$14:$F$14,0)),0)),0)</f>
        <v>0</v>
      </c>
      <c r="M2642" s="33">
        <f>IF($O2642="방문완료",IFERROR(VLOOKUP($E2642,설정_코스수당!$A$6:$H$10,6,FALSE),0),0)</f>
        <v>0</v>
      </c>
      <c r="N2642" s="34">
        <f t="shared" si="76"/>
        <v>0</v>
      </c>
      <c r="O2642" s="29"/>
      <c r="P2642" s="29"/>
      <c r="Q2642" s="29"/>
      <c r="R2642" s="32"/>
      <c r="S2642" s="29"/>
    </row>
    <row r="2643" spans="1:19" ht="19.5" hidden="1" customHeight="1" outlineLevel="1">
      <c r="A2643" s="23">
        <v>55</v>
      </c>
      <c r="B2643" s="24">
        <f>IF(26&lt;=DAY(DATE(YEAR(설정_코스수당!$K$2),MONTH(설정_코스수당!$K$2)+1,0)),DATE(YEAR(설정_코스수당!$K$2),MONTH(설정_코스수당!$K$2),26),"")</f>
        <v>46199</v>
      </c>
      <c r="C2643" s="25"/>
      <c r="D2643" s="23"/>
      <c r="E2643" s="23"/>
      <c r="F2643" s="26"/>
      <c r="G2643" s="23"/>
      <c r="H2643" s="23"/>
      <c r="I2643" s="23"/>
      <c r="J2643" s="27">
        <f>IF($O2643="방문완료",MAX(0,IFERROR(VLOOKUP($E2643,설정_코스수당!$A$6:$H$10,4,FALSE),0)-IF(OR($P2643="",$P2643="없음"),0,100000)),0)</f>
        <v>0</v>
      </c>
      <c r="K2643" s="27">
        <f t="array" ref="K2643">IF($O2643="방문완료",IFERROR(INDEX(설정_코스수당!$B$15:$F$64,MATCH($G2643,설정_코스수당!$A$15:$A$64,0),MATCH($E2643&amp;"수당",설정_코스수당!$B$14:$F$14,0)),0),0)</f>
        <v>0</v>
      </c>
      <c r="L2643" s="27">
        <f t="array" ref="L2643">IF($O2643="방문완료",IF($H2643="",0,IFERROR(INDEX(설정_코스수당!$B$15:$F$64,MATCH($H2643,설정_코스수당!$A$15:$A$64,0),MATCH($E2643&amp;"수당",설정_코스수당!$B$14:$F$14,0)),0)),0)</f>
        <v>0</v>
      </c>
      <c r="M2643" s="27">
        <f>IF($O2643="방문완료",IFERROR(VLOOKUP($E2643,설정_코스수당!$A$6:$H$10,6,FALSE),0),0)</f>
        <v>0</v>
      </c>
      <c r="N2643" s="28">
        <f t="shared" si="76"/>
        <v>0</v>
      </c>
      <c r="O2643" s="23"/>
      <c r="P2643" s="23"/>
      <c r="Q2643" s="23"/>
      <c r="R2643" s="26"/>
      <c r="S2643" s="23"/>
    </row>
    <row r="2644" spans="1:19" ht="19.5" hidden="1" customHeight="1" outlineLevel="1">
      <c r="A2644" s="29">
        <v>56</v>
      </c>
      <c r="B2644" s="30">
        <f>IF(26&lt;=DAY(DATE(YEAR(설정_코스수당!$K$2),MONTH(설정_코스수당!$K$2)+1,0)),DATE(YEAR(설정_코스수당!$K$2),MONTH(설정_코스수당!$K$2),26),"")</f>
        <v>46199</v>
      </c>
      <c r="C2644" s="31"/>
      <c r="D2644" s="29"/>
      <c r="E2644" s="29"/>
      <c r="F2644" s="32"/>
      <c r="G2644" s="29"/>
      <c r="H2644" s="29"/>
      <c r="I2644" s="29"/>
      <c r="J2644" s="33">
        <f>IF($O2644="방문완료",MAX(0,IFERROR(VLOOKUP($E2644,설정_코스수당!$A$6:$H$10,4,FALSE),0)-IF(OR($P2644="",$P2644="없음"),0,100000)),0)</f>
        <v>0</v>
      </c>
      <c r="K2644" s="33">
        <f t="array" ref="K2644">IF($O2644="방문완료",IFERROR(INDEX(설정_코스수당!$B$15:$F$64,MATCH($G2644,설정_코스수당!$A$15:$A$64,0),MATCH($E2644&amp;"수당",설정_코스수당!$B$14:$F$14,0)),0),0)</f>
        <v>0</v>
      </c>
      <c r="L2644" s="33">
        <f t="array" ref="L2644">IF($O2644="방문완료",IF($H2644="",0,IFERROR(INDEX(설정_코스수당!$B$15:$F$64,MATCH($H2644,설정_코스수당!$A$15:$A$64,0),MATCH($E2644&amp;"수당",설정_코스수당!$B$14:$F$14,0)),0)),0)</f>
        <v>0</v>
      </c>
      <c r="M2644" s="33">
        <f>IF($O2644="방문완료",IFERROR(VLOOKUP($E2644,설정_코스수당!$A$6:$H$10,6,FALSE),0),0)</f>
        <v>0</v>
      </c>
      <c r="N2644" s="34">
        <f t="shared" si="76"/>
        <v>0</v>
      </c>
      <c r="O2644" s="29"/>
      <c r="P2644" s="29"/>
      <c r="Q2644" s="29"/>
      <c r="R2644" s="32"/>
      <c r="S2644" s="29"/>
    </row>
    <row r="2645" spans="1:19" ht="19.5" hidden="1" customHeight="1" outlineLevel="1">
      <c r="A2645" s="23">
        <v>57</v>
      </c>
      <c r="B2645" s="24">
        <f>IF(26&lt;=DAY(DATE(YEAR(설정_코스수당!$K$2),MONTH(설정_코스수당!$K$2)+1,0)),DATE(YEAR(설정_코스수당!$K$2),MONTH(설정_코스수당!$K$2),26),"")</f>
        <v>46199</v>
      </c>
      <c r="C2645" s="25"/>
      <c r="D2645" s="23"/>
      <c r="E2645" s="23"/>
      <c r="F2645" s="26"/>
      <c r="G2645" s="23"/>
      <c r="H2645" s="23"/>
      <c r="I2645" s="23"/>
      <c r="J2645" s="27">
        <f>IF($O2645="방문완료",MAX(0,IFERROR(VLOOKUP($E2645,설정_코스수당!$A$6:$H$10,4,FALSE),0)-IF(OR($P2645="",$P2645="없음"),0,100000)),0)</f>
        <v>0</v>
      </c>
      <c r="K2645" s="27">
        <f t="array" ref="K2645">IF($O2645="방문완료",IFERROR(INDEX(설정_코스수당!$B$15:$F$64,MATCH($G2645,설정_코스수당!$A$15:$A$64,0),MATCH($E2645&amp;"수당",설정_코스수당!$B$14:$F$14,0)),0),0)</f>
        <v>0</v>
      </c>
      <c r="L2645" s="27">
        <f t="array" ref="L2645">IF($O2645="방문완료",IF($H2645="",0,IFERROR(INDEX(설정_코스수당!$B$15:$F$64,MATCH($H2645,설정_코스수당!$A$15:$A$64,0),MATCH($E2645&amp;"수당",설정_코스수당!$B$14:$F$14,0)),0)),0)</f>
        <v>0</v>
      </c>
      <c r="M2645" s="27">
        <f>IF($O2645="방문완료",IFERROR(VLOOKUP($E2645,설정_코스수당!$A$6:$H$10,6,FALSE),0),0)</f>
        <v>0</v>
      </c>
      <c r="N2645" s="28">
        <f t="shared" si="76"/>
        <v>0</v>
      </c>
      <c r="O2645" s="23"/>
      <c r="P2645" s="23"/>
      <c r="Q2645" s="23"/>
      <c r="R2645" s="26"/>
      <c r="S2645" s="23"/>
    </row>
    <row r="2646" spans="1:19" ht="19.5" hidden="1" customHeight="1" outlineLevel="1">
      <c r="A2646" s="29">
        <v>58</v>
      </c>
      <c r="B2646" s="30">
        <f>IF(26&lt;=DAY(DATE(YEAR(설정_코스수당!$K$2),MONTH(설정_코스수당!$K$2)+1,0)),DATE(YEAR(설정_코스수당!$K$2),MONTH(설정_코스수당!$K$2),26),"")</f>
        <v>46199</v>
      </c>
      <c r="C2646" s="31"/>
      <c r="D2646" s="29"/>
      <c r="E2646" s="29"/>
      <c r="F2646" s="32"/>
      <c r="G2646" s="29"/>
      <c r="H2646" s="29"/>
      <c r="I2646" s="29"/>
      <c r="J2646" s="33">
        <f>IF($O2646="방문완료",MAX(0,IFERROR(VLOOKUP($E2646,설정_코스수당!$A$6:$H$10,4,FALSE),0)-IF(OR($P2646="",$P2646="없음"),0,100000)),0)</f>
        <v>0</v>
      </c>
      <c r="K2646" s="33">
        <f t="array" ref="K2646">IF($O2646="방문완료",IFERROR(INDEX(설정_코스수당!$B$15:$F$64,MATCH($G2646,설정_코스수당!$A$15:$A$64,0),MATCH($E2646&amp;"수당",설정_코스수당!$B$14:$F$14,0)),0),0)</f>
        <v>0</v>
      </c>
      <c r="L2646" s="33">
        <f t="array" ref="L2646">IF($O2646="방문완료",IF($H2646="",0,IFERROR(INDEX(설정_코스수당!$B$15:$F$64,MATCH($H2646,설정_코스수당!$A$15:$A$64,0),MATCH($E2646&amp;"수당",설정_코스수당!$B$14:$F$14,0)),0)),0)</f>
        <v>0</v>
      </c>
      <c r="M2646" s="33">
        <f>IF($O2646="방문완료",IFERROR(VLOOKUP($E2646,설정_코스수당!$A$6:$H$10,6,FALSE),0),0)</f>
        <v>0</v>
      </c>
      <c r="N2646" s="34">
        <f t="shared" si="76"/>
        <v>0</v>
      </c>
      <c r="O2646" s="29"/>
      <c r="P2646" s="29"/>
      <c r="Q2646" s="29"/>
      <c r="R2646" s="32"/>
      <c r="S2646" s="29"/>
    </row>
    <row r="2647" spans="1:19" ht="19.5" hidden="1" customHeight="1" outlineLevel="1">
      <c r="A2647" s="23">
        <v>59</v>
      </c>
      <c r="B2647" s="24">
        <f>IF(26&lt;=DAY(DATE(YEAR(설정_코스수당!$K$2),MONTH(설정_코스수당!$K$2)+1,0)),DATE(YEAR(설정_코스수당!$K$2),MONTH(설정_코스수당!$K$2),26),"")</f>
        <v>46199</v>
      </c>
      <c r="C2647" s="25"/>
      <c r="D2647" s="23"/>
      <c r="E2647" s="23"/>
      <c r="F2647" s="26"/>
      <c r="G2647" s="23"/>
      <c r="H2647" s="23"/>
      <c r="I2647" s="23"/>
      <c r="J2647" s="27">
        <f>IF($O2647="방문완료",MAX(0,IFERROR(VLOOKUP($E2647,설정_코스수당!$A$6:$H$10,4,FALSE),0)-IF(OR($P2647="",$P2647="없음"),0,100000)),0)</f>
        <v>0</v>
      </c>
      <c r="K2647" s="27">
        <f t="array" ref="K2647">IF($O2647="방문완료",IFERROR(INDEX(설정_코스수당!$B$15:$F$64,MATCH($G2647,설정_코스수당!$A$15:$A$64,0),MATCH($E2647&amp;"수당",설정_코스수당!$B$14:$F$14,0)),0),0)</f>
        <v>0</v>
      </c>
      <c r="L2647" s="27">
        <f t="array" ref="L2647">IF($O2647="방문완료",IF($H2647="",0,IFERROR(INDEX(설정_코스수당!$B$15:$F$64,MATCH($H2647,설정_코스수당!$A$15:$A$64,0),MATCH($E2647&amp;"수당",설정_코스수당!$B$14:$F$14,0)),0)),0)</f>
        <v>0</v>
      </c>
      <c r="M2647" s="27">
        <f>IF($O2647="방문완료",IFERROR(VLOOKUP($E2647,설정_코스수당!$A$6:$H$10,6,FALSE),0),0)</f>
        <v>0</v>
      </c>
      <c r="N2647" s="28">
        <f t="shared" si="76"/>
        <v>0</v>
      </c>
      <c r="O2647" s="23"/>
      <c r="P2647" s="23"/>
      <c r="Q2647" s="23"/>
      <c r="R2647" s="26"/>
      <c r="S2647" s="23"/>
    </row>
    <row r="2648" spans="1:19" ht="19.5" hidden="1" customHeight="1" outlineLevel="1">
      <c r="A2648" s="29">
        <v>60</v>
      </c>
      <c r="B2648" s="30">
        <f>IF(26&lt;=DAY(DATE(YEAR(설정_코스수당!$K$2),MONTH(설정_코스수당!$K$2)+1,0)),DATE(YEAR(설정_코스수당!$K$2),MONTH(설정_코스수당!$K$2),26),"")</f>
        <v>46199</v>
      </c>
      <c r="C2648" s="31"/>
      <c r="D2648" s="29"/>
      <c r="E2648" s="29"/>
      <c r="F2648" s="32"/>
      <c r="G2648" s="29"/>
      <c r="H2648" s="29"/>
      <c r="I2648" s="29"/>
      <c r="J2648" s="33">
        <f>IF($O2648="방문완료",MAX(0,IFERROR(VLOOKUP($E2648,설정_코스수당!$A$6:$H$10,4,FALSE),0)-IF(OR($P2648="",$P2648="없음"),0,100000)),0)</f>
        <v>0</v>
      </c>
      <c r="K2648" s="33">
        <f t="array" ref="K2648">IF($O2648="방문완료",IFERROR(INDEX(설정_코스수당!$B$15:$F$64,MATCH($G2648,설정_코스수당!$A$15:$A$64,0),MATCH($E2648&amp;"수당",설정_코스수당!$B$14:$F$14,0)),0),0)</f>
        <v>0</v>
      </c>
      <c r="L2648" s="33">
        <f t="array" ref="L2648">IF($O2648="방문완료",IF($H2648="",0,IFERROR(INDEX(설정_코스수당!$B$15:$F$64,MATCH($H2648,설정_코스수당!$A$15:$A$64,0),MATCH($E2648&amp;"수당",설정_코스수당!$B$14:$F$14,0)),0)),0)</f>
        <v>0</v>
      </c>
      <c r="M2648" s="33">
        <f>IF($O2648="방문완료",IFERROR(VLOOKUP($E2648,설정_코스수당!$A$6:$H$10,6,FALSE),0),0)</f>
        <v>0</v>
      </c>
      <c r="N2648" s="34">
        <f t="shared" si="76"/>
        <v>0</v>
      </c>
      <c r="O2648" s="29"/>
      <c r="P2648" s="29"/>
      <c r="Q2648" s="29"/>
      <c r="R2648" s="32"/>
      <c r="S2648" s="29"/>
    </row>
    <row r="2649" spans="1:19" ht="19.5" hidden="1" customHeight="1" outlineLevel="1">
      <c r="A2649" s="23">
        <v>61</v>
      </c>
      <c r="B2649" s="24">
        <f>IF(26&lt;=DAY(DATE(YEAR(설정_코스수당!$K$2),MONTH(설정_코스수당!$K$2)+1,0)),DATE(YEAR(설정_코스수당!$K$2),MONTH(설정_코스수당!$K$2),26),"")</f>
        <v>46199</v>
      </c>
      <c r="C2649" s="25"/>
      <c r="D2649" s="23"/>
      <c r="E2649" s="23"/>
      <c r="F2649" s="26"/>
      <c r="G2649" s="23"/>
      <c r="H2649" s="23"/>
      <c r="I2649" s="23"/>
      <c r="J2649" s="27">
        <f>IF($O2649="방문완료",MAX(0,IFERROR(VLOOKUP($E2649,설정_코스수당!$A$6:$H$10,4,FALSE),0)-IF(OR($P2649="",$P2649="없음"),0,100000)),0)</f>
        <v>0</v>
      </c>
      <c r="K2649" s="27">
        <f t="array" ref="K2649">IF($O2649="방문완료",IFERROR(INDEX(설정_코스수당!$B$15:$F$64,MATCH($G2649,설정_코스수당!$A$15:$A$64,0),MATCH($E2649&amp;"수당",설정_코스수당!$B$14:$F$14,0)),0),0)</f>
        <v>0</v>
      </c>
      <c r="L2649" s="27">
        <f t="array" ref="L2649">IF($O2649="방문완료",IF($H2649="",0,IFERROR(INDEX(설정_코스수당!$B$15:$F$64,MATCH($H2649,설정_코스수당!$A$15:$A$64,0),MATCH($E2649&amp;"수당",설정_코스수당!$B$14:$F$14,0)),0)),0)</f>
        <v>0</v>
      </c>
      <c r="M2649" s="27">
        <f>IF($O2649="방문완료",IFERROR(VLOOKUP($E2649,설정_코스수당!$A$6:$H$10,6,FALSE),0),0)</f>
        <v>0</v>
      </c>
      <c r="N2649" s="28">
        <f t="shared" si="76"/>
        <v>0</v>
      </c>
      <c r="O2649" s="23"/>
      <c r="P2649" s="23"/>
      <c r="Q2649" s="23"/>
      <c r="R2649" s="26"/>
      <c r="S2649" s="23"/>
    </row>
    <row r="2650" spans="1:19" ht="19.5" hidden="1" customHeight="1" outlineLevel="1">
      <c r="A2650" s="29">
        <v>62</v>
      </c>
      <c r="B2650" s="30">
        <f>IF(26&lt;=DAY(DATE(YEAR(설정_코스수당!$K$2),MONTH(설정_코스수당!$K$2)+1,0)),DATE(YEAR(설정_코스수당!$K$2),MONTH(설정_코스수당!$K$2),26),"")</f>
        <v>46199</v>
      </c>
      <c r="C2650" s="31"/>
      <c r="D2650" s="29"/>
      <c r="E2650" s="29"/>
      <c r="F2650" s="32"/>
      <c r="G2650" s="29"/>
      <c r="H2650" s="29"/>
      <c r="I2650" s="29"/>
      <c r="J2650" s="33">
        <f>IF($O2650="방문완료",MAX(0,IFERROR(VLOOKUP($E2650,설정_코스수당!$A$6:$H$10,4,FALSE),0)-IF(OR($P2650="",$P2650="없음"),0,100000)),0)</f>
        <v>0</v>
      </c>
      <c r="K2650" s="33">
        <f t="array" ref="K2650">IF($O2650="방문완료",IFERROR(INDEX(설정_코스수당!$B$15:$F$64,MATCH($G2650,설정_코스수당!$A$15:$A$64,0),MATCH($E2650&amp;"수당",설정_코스수당!$B$14:$F$14,0)),0),0)</f>
        <v>0</v>
      </c>
      <c r="L2650" s="33">
        <f t="array" ref="L2650">IF($O2650="방문완료",IF($H2650="",0,IFERROR(INDEX(설정_코스수당!$B$15:$F$64,MATCH($H2650,설정_코스수당!$A$15:$A$64,0),MATCH($E2650&amp;"수당",설정_코스수당!$B$14:$F$14,0)),0)),0)</f>
        <v>0</v>
      </c>
      <c r="M2650" s="33">
        <f>IF($O2650="방문완료",IFERROR(VLOOKUP($E2650,설정_코스수당!$A$6:$H$10,6,FALSE),0),0)</f>
        <v>0</v>
      </c>
      <c r="N2650" s="34">
        <f t="shared" si="76"/>
        <v>0</v>
      </c>
      <c r="O2650" s="29"/>
      <c r="P2650" s="29"/>
      <c r="Q2650" s="29"/>
      <c r="R2650" s="32"/>
      <c r="S2650" s="29"/>
    </row>
    <row r="2651" spans="1:19" ht="19.5" hidden="1" customHeight="1" outlineLevel="1">
      <c r="A2651" s="23">
        <v>63</v>
      </c>
      <c r="B2651" s="24">
        <f>IF(26&lt;=DAY(DATE(YEAR(설정_코스수당!$K$2),MONTH(설정_코스수당!$K$2)+1,0)),DATE(YEAR(설정_코스수당!$K$2),MONTH(설정_코스수당!$K$2),26),"")</f>
        <v>46199</v>
      </c>
      <c r="C2651" s="25"/>
      <c r="D2651" s="23"/>
      <c r="E2651" s="23"/>
      <c r="F2651" s="26"/>
      <c r="G2651" s="23"/>
      <c r="H2651" s="23"/>
      <c r="I2651" s="23"/>
      <c r="J2651" s="27">
        <f>IF($O2651="방문완료",MAX(0,IFERROR(VLOOKUP($E2651,설정_코스수당!$A$6:$H$10,4,FALSE),0)-IF(OR($P2651="",$P2651="없음"),0,100000)),0)</f>
        <v>0</v>
      </c>
      <c r="K2651" s="27">
        <f t="array" ref="K2651">IF($O2651="방문완료",IFERROR(INDEX(설정_코스수당!$B$15:$F$64,MATCH($G2651,설정_코스수당!$A$15:$A$64,0),MATCH($E2651&amp;"수당",설정_코스수당!$B$14:$F$14,0)),0),0)</f>
        <v>0</v>
      </c>
      <c r="L2651" s="27">
        <f t="array" ref="L2651">IF($O2651="방문완료",IF($H2651="",0,IFERROR(INDEX(설정_코스수당!$B$15:$F$64,MATCH($H2651,설정_코스수당!$A$15:$A$64,0),MATCH($E2651&amp;"수당",설정_코스수당!$B$14:$F$14,0)),0)),0)</f>
        <v>0</v>
      </c>
      <c r="M2651" s="27">
        <f>IF($O2651="방문완료",IFERROR(VLOOKUP($E2651,설정_코스수당!$A$6:$H$10,6,FALSE),0),0)</f>
        <v>0</v>
      </c>
      <c r="N2651" s="28">
        <f t="shared" si="76"/>
        <v>0</v>
      </c>
      <c r="O2651" s="23"/>
      <c r="P2651" s="23"/>
      <c r="Q2651" s="23"/>
      <c r="R2651" s="26"/>
      <c r="S2651" s="23"/>
    </row>
    <row r="2652" spans="1:19" ht="19.5" hidden="1" customHeight="1" outlineLevel="1">
      <c r="A2652" s="29">
        <v>64</v>
      </c>
      <c r="B2652" s="30">
        <f>IF(26&lt;=DAY(DATE(YEAR(설정_코스수당!$K$2),MONTH(설정_코스수당!$K$2)+1,0)),DATE(YEAR(설정_코스수당!$K$2),MONTH(설정_코스수당!$K$2),26),"")</f>
        <v>46199</v>
      </c>
      <c r="C2652" s="31"/>
      <c r="D2652" s="29"/>
      <c r="E2652" s="29"/>
      <c r="F2652" s="32"/>
      <c r="G2652" s="29"/>
      <c r="H2652" s="29"/>
      <c r="I2652" s="29"/>
      <c r="J2652" s="33">
        <f>IF($O2652="방문완료",MAX(0,IFERROR(VLOOKUP($E2652,설정_코스수당!$A$6:$H$10,4,FALSE),0)-IF(OR($P2652="",$P2652="없음"),0,100000)),0)</f>
        <v>0</v>
      </c>
      <c r="K2652" s="33">
        <f t="array" ref="K2652">IF($O2652="방문완료",IFERROR(INDEX(설정_코스수당!$B$15:$F$64,MATCH($G2652,설정_코스수당!$A$15:$A$64,0),MATCH($E2652&amp;"수당",설정_코스수당!$B$14:$F$14,0)),0),0)</f>
        <v>0</v>
      </c>
      <c r="L2652" s="33">
        <f t="array" ref="L2652">IF($O2652="방문완료",IF($H2652="",0,IFERROR(INDEX(설정_코스수당!$B$15:$F$64,MATCH($H2652,설정_코스수당!$A$15:$A$64,0),MATCH($E2652&amp;"수당",설정_코스수당!$B$14:$F$14,0)),0)),0)</f>
        <v>0</v>
      </c>
      <c r="M2652" s="33">
        <f>IF($O2652="방문완료",IFERROR(VLOOKUP($E2652,설정_코스수당!$A$6:$H$10,6,FALSE),0),0)</f>
        <v>0</v>
      </c>
      <c r="N2652" s="34">
        <f t="shared" si="76"/>
        <v>0</v>
      </c>
      <c r="O2652" s="29"/>
      <c r="P2652" s="29"/>
      <c r="Q2652" s="29"/>
      <c r="R2652" s="32"/>
      <c r="S2652" s="29"/>
    </row>
    <row r="2653" spans="1:19" ht="19.5" hidden="1" customHeight="1" outlineLevel="1">
      <c r="A2653" s="23">
        <v>65</v>
      </c>
      <c r="B2653" s="24">
        <f>IF(26&lt;=DAY(DATE(YEAR(설정_코스수당!$K$2),MONTH(설정_코스수당!$K$2)+1,0)),DATE(YEAR(설정_코스수당!$K$2),MONTH(설정_코스수당!$K$2),26),"")</f>
        <v>46199</v>
      </c>
      <c r="C2653" s="25"/>
      <c r="D2653" s="23"/>
      <c r="E2653" s="23"/>
      <c r="F2653" s="26"/>
      <c r="G2653" s="23"/>
      <c r="H2653" s="23"/>
      <c r="I2653" s="23"/>
      <c r="J2653" s="27">
        <f>IF($O2653="방문완료",MAX(0,IFERROR(VLOOKUP($E2653,설정_코스수당!$A$6:$H$10,4,FALSE),0)-IF(OR($P2653="",$P2653="없음"),0,100000)),0)</f>
        <v>0</v>
      </c>
      <c r="K2653" s="27">
        <f t="array" ref="K2653">IF($O2653="방문완료",IFERROR(INDEX(설정_코스수당!$B$15:$F$64,MATCH($G2653,설정_코스수당!$A$15:$A$64,0),MATCH($E2653&amp;"수당",설정_코스수당!$B$14:$F$14,0)),0),0)</f>
        <v>0</v>
      </c>
      <c r="L2653" s="27">
        <f t="array" ref="L2653">IF($O2653="방문완료",IF($H2653="",0,IFERROR(INDEX(설정_코스수당!$B$15:$F$64,MATCH($H2653,설정_코스수당!$A$15:$A$64,0),MATCH($E2653&amp;"수당",설정_코스수당!$B$14:$F$14,0)),0)),0)</f>
        <v>0</v>
      </c>
      <c r="M2653" s="27">
        <f>IF($O2653="방문완료",IFERROR(VLOOKUP($E2653,설정_코스수당!$A$6:$H$10,6,FALSE),0),0)</f>
        <v>0</v>
      </c>
      <c r="N2653" s="28">
        <f t="shared" ref="N2653:N2688" si="77">IF($O2653="방문완료",1,0)</f>
        <v>0</v>
      </c>
      <c r="O2653" s="23"/>
      <c r="P2653" s="23"/>
      <c r="Q2653" s="23"/>
      <c r="R2653" s="26"/>
      <c r="S2653" s="23"/>
    </row>
    <row r="2654" spans="1:19" ht="19.5" hidden="1" customHeight="1" outlineLevel="1">
      <c r="A2654" s="29">
        <v>66</v>
      </c>
      <c r="B2654" s="30">
        <f>IF(26&lt;=DAY(DATE(YEAR(설정_코스수당!$K$2),MONTH(설정_코스수당!$K$2)+1,0)),DATE(YEAR(설정_코스수당!$K$2),MONTH(설정_코스수당!$K$2),26),"")</f>
        <v>46199</v>
      </c>
      <c r="C2654" s="31"/>
      <c r="D2654" s="29"/>
      <c r="E2654" s="29"/>
      <c r="F2654" s="32"/>
      <c r="G2654" s="29"/>
      <c r="H2654" s="29"/>
      <c r="I2654" s="29"/>
      <c r="J2654" s="33">
        <f>IF($O2654="방문완료",MAX(0,IFERROR(VLOOKUP($E2654,설정_코스수당!$A$6:$H$10,4,FALSE),0)-IF(OR($P2654="",$P2654="없음"),0,100000)),0)</f>
        <v>0</v>
      </c>
      <c r="K2654" s="33">
        <f t="array" ref="K2654">IF($O2654="방문완료",IFERROR(INDEX(설정_코스수당!$B$15:$F$64,MATCH($G2654,설정_코스수당!$A$15:$A$64,0),MATCH($E2654&amp;"수당",설정_코스수당!$B$14:$F$14,0)),0),0)</f>
        <v>0</v>
      </c>
      <c r="L2654" s="33">
        <f t="array" ref="L2654">IF($O2654="방문완료",IF($H2654="",0,IFERROR(INDEX(설정_코스수당!$B$15:$F$64,MATCH($H2654,설정_코스수당!$A$15:$A$64,0),MATCH($E2654&amp;"수당",설정_코스수당!$B$14:$F$14,0)),0)),0)</f>
        <v>0</v>
      </c>
      <c r="M2654" s="33">
        <f>IF($O2654="방문완료",IFERROR(VLOOKUP($E2654,설정_코스수당!$A$6:$H$10,6,FALSE),0),0)</f>
        <v>0</v>
      </c>
      <c r="N2654" s="34">
        <f t="shared" si="77"/>
        <v>0</v>
      </c>
      <c r="O2654" s="29"/>
      <c r="P2654" s="29"/>
      <c r="Q2654" s="29"/>
      <c r="R2654" s="32"/>
      <c r="S2654" s="29"/>
    </row>
    <row r="2655" spans="1:19" ht="19.5" hidden="1" customHeight="1" outlineLevel="1">
      <c r="A2655" s="23">
        <v>67</v>
      </c>
      <c r="B2655" s="24">
        <f>IF(26&lt;=DAY(DATE(YEAR(설정_코스수당!$K$2),MONTH(설정_코스수당!$K$2)+1,0)),DATE(YEAR(설정_코스수당!$K$2),MONTH(설정_코스수당!$K$2),26),"")</f>
        <v>46199</v>
      </c>
      <c r="C2655" s="25"/>
      <c r="D2655" s="23"/>
      <c r="E2655" s="23"/>
      <c r="F2655" s="26"/>
      <c r="G2655" s="23"/>
      <c r="H2655" s="23"/>
      <c r="I2655" s="23"/>
      <c r="J2655" s="27">
        <f>IF($O2655="방문완료",MAX(0,IFERROR(VLOOKUP($E2655,설정_코스수당!$A$6:$H$10,4,FALSE),0)-IF(OR($P2655="",$P2655="없음"),0,100000)),0)</f>
        <v>0</v>
      </c>
      <c r="K2655" s="27">
        <f t="array" ref="K2655">IF($O2655="방문완료",IFERROR(INDEX(설정_코스수당!$B$15:$F$64,MATCH($G2655,설정_코스수당!$A$15:$A$64,0),MATCH($E2655&amp;"수당",설정_코스수당!$B$14:$F$14,0)),0),0)</f>
        <v>0</v>
      </c>
      <c r="L2655" s="27">
        <f t="array" ref="L2655">IF($O2655="방문완료",IF($H2655="",0,IFERROR(INDEX(설정_코스수당!$B$15:$F$64,MATCH($H2655,설정_코스수당!$A$15:$A$64,0),MATCH($E2655&amp;"수당",설정_코스수당!$B$14:$F$14,0)),0)),0)</f>
        <v>0</v>
      </c>
      <c r="M2655" s="27">
        <f>IF($O2655="방문완료",IFERROR(VLOOKUP($E2655,설정_코스수당!$A$6:$H$10,6,FALSE),0),0)</f>
        <v>0</v>
      </c>
      <c r="N2655" s="28">
        <f t="shared" si="77"/>
        <v>0</v>
      </c>
      <c r="O2655" s="23"/>
      <c r="P2655" s="23"/>
      <c r="Q2655" s="23"/>
      <c r="R2655" s="26"/>
      <c r="S2655" s="23"/>
    </row>
    <row r="2656" spans="1:19" ht="19.5" hidden="1" customHeight="1" outlineLevel="1">
      <c r="A2656" s="29">
        <v>68</v>
      </c>
      <c r="B2656" s="30">
        <f>IF(26&lt;=DAY(DATE(YEAR(설정_코스수당!$K$2),MONTH(설정_코스수당!$K$2)+1,0)),DATE(YEAR(설정_코스수당!$K$2),MONTH(설정_코스수당!$K$2),26),"")</f>
        <v>46199</v>
      </c>
      <c r="C2656" s="31"/>
      <c r="D2656" s="29"/>
      <c r="E2656" s="29"/>
      <c r="F2656" s="32"/>
      <c r="G2656" s="29"/>
      <c r="H2656" s="29"/>
      <c r="I2656" s="29"/>
      <c r="J2656" s="33">
        <f>IF($O2656="방문완료",MAX(0,IFERROR(VLOOKUP($E2656,설정_코스수당!$A$6:$H$10,4,FALSE),0)-IF(OR($P2656="",$P2656="없음"),0,100000)),0)</f>
        <v>0</v>
      </c>
      <c r="K2656" s="33">
        <f t="array" ref="K2656">IF($O2656="방문완료",IFERROR(INDEX(설정_코스수당!$B$15:$F$64,MATCH($G2656,설정_코스수당!$A$15:$A$64,0),MATCH($E2656&amp;"수당",설정_코스수당!$B$14:$F$14,0)),0),0)</f>
        <v>0</v>
      </c>
      <c r="L2656" s="33">
        <f t="array" ref="L2656">IF($O2656="방문완료",IF($H2656="",0,IFERROR(INDEX(설정_코스수당!$B$15:$F$64,MATCH($H2656,설정_코스수당!$A$15:$A$64,0),MATCH($E2656&amp;"수당",설정_코스수당!$B$14:$F$14,0)),0)),0)</f>
        <v>0</v>
      </c>
      <c r="M2656" s="33">
        <f>IF($O2656="방문완료",IFERROR(VLOOKUP($E2656,설정_코스수당!$A$6:$H$10,6,FALSE),0),0)</f>
        <v>0</v>
      </c>
      <c r="N2656" s="34">
        <f t="shared" si="77"/>
        <v>0</v>
      </c>
      <c r="O2656" s="29"/>
      <c r="P2656" s="29"/>
      <c r="Q2656" s="29"/>
      <c r="R2656" s="32"/>
      <c r="S2656" s="29"/>
    </row>
    <row r="2657" spans="1:19" ht="19.5" hidden="1" customHeight="1" outlineLevel="1">
      <c r="A2657" s="23">
        <v>69</v>
      </c>
      <c r="B2657" s="24">
        <f>IF(26&lt;=DAY(DATE(YEAR(설정_코스수당!$K$2),MONTH(설정_코스수당!$K$2)+1,0)),DATE(YEAR(설정_코스수당!$K$2),MONTH(설정_코스수당!$K$2),26),"")</f>
        <v>46199</v>
      </c>
      <c r="C2657" s="25"/>
      <c r="D2657" s="23"/>
      <c r="E2657" s="23"/>
      <c r="F2657" s="26"/>
      <c r="G2657" s="23"/>
      <c r="H2657" s="23"/>
      <c r="I2657" s="23"/>
      <c r="J2657" s="27">
        <f>IF($O2657="방문완료",MAX(0,IFERROR(VLOOKUP($E2657,설정_코스수당!$A$6:$H$10,4,FALSE),0)-IF(OR($P2657="",$P2657="없음"),0,100000)),0)</f>
        <v>0</v>
      </c>
      <c r="K2657" s="27">
        <f t="array" ref="K2657">IF($O2657="방문완료",IFERROR(INDEX(설정_코스수당!$B$15:$F$64,MATCH($G2657,설정_코스수당!$A$15:$A$64,0),MATCH($E2657&amp;"수당",설정_코스수당!$B$14:$F$14,0)),0),0)</f>
        <v>0</v>
      </c>
      <c r="L2657" s="27">
        <f t="array" ref="L2657">IF($O2657="방문완료",IF($H2657="",0,IFERROR(INDEX(설정_코스수당!$B$15:$F$64,MATCH($H2657,설정_코스수당!$A$15:$A$64,0),MATCH($E2657&amp;"수당",설정_코스수당!$B$14:$F$14,0)),0)),0)</f>
        <v>0</v>
      </c>
      <c r="M2657" s="27">
        <f>IF($O2657="방문완료",IFERROR(VLOOKUP($E2657,설정_코스수당!$A$6:$H$10,6,FALSE),0),0)</f>
        <v>0</v>
      </c>
      <c r="N2657" s="28">
        <f t="shared" si="77"/>
        <v>0</v>
      </c>
      <c r="O2657" s="23"/>
      <c r="P2657" s="23"/>
      <c r="Q2657" s="23"/>
      <c r="R2657" s="26"/>
      <c r="S2657" s="23"/>
    </row>
    <row r="2658" spans="1:19" ht="19.5" hidden="1" customHeight="1" outlineLevel="1">
      <c r="A2658" s="29">
        <v>70</v>
      </c>
      <c r="B2658" s="30">
        <f>IF(26&lt;=DAY(DATE(YEAR(설정_코스수당!$K$2),MONTH(설정_코스수당!$K$2)+1,0)),DATE(YEAR(설정_코스수당!$K$2),MONTH(설정_코스수당!$K$2),26),"")</f>
        <v>46199</v>
      </c>
      <c r="C2658" s="31"/>
      <c r="D2658" s="29"/>
      <c r="E2658" s="29"/>
      <c r="F2658" s="32"/>
      <c r="G2658" s="29"/>
      <c r="H2658" s="29"/>
      <c r="I2658" s="29"/>
      <c r="J2658" s="33">
        <f>IF($O2658="방문완료",MAX(0,IFERROR(VLOOKUP($E2658,설정_코스수당!$A$6:$H$10,4,FALSE),0)-IF(OR($P2658="",$P2658="없음"),0,100000)),0)</f>
        <v>0</v>
      </c>
      <c r="K2658" s="33">
        <f t="array" ref="K2658">IF($O2658="방문완료",IFERROR(INDEX(설정_코스수당!$B$15:$F$64,MATCH($G2658,설정_코스수당!$A$15:$A$64,0),MATCH($E2658&amp;"수당",설정_코스수당!$B$14:$F$14,0)),0),0)</f>
        <v>0</v>
      </c>
      <c r="L2658" s="33">
        <f t="array" ref="L2658">IF($O2658="방문완료",IF($H2658="",0,IFERROR(INDEX(설정_코스수당!$B$15:$F$64,MATCH($H2658,설정_코스수당!$A$15:$A$64,0),MATCH($E2658&amp;"수당",설정_코스수당!$B$14:$F$14,0)),0)),0)</f>
        <v>0</v>
      </c>
      <c r="M2658" s="33">
        <f>IF($O2658="방문완료",IFERROR(VLOOKUP($E2658,설정_코스수당!$A$6:$H$10,6,FALSE),0),0)</f>
        <v>0</v>
      </c>
      <c r="N2658" s="34">
        <f t="shared" si="77"/>
        <v>0</v>
      </c>
      <c r="O2658" s="29"/>
      <c r="P2658" s="29"/>
      <c r="Q2658" s="29"/>
      <c r="R2658" s="32"/>
      <c r="S2658" s="29"/>
    </row>
    <row r="2659" spans="1:19" ht="19.5" hidden="1" customHeight="1" outlineLevel="1">
      <c r="A2659" s="23">
        <v>71</v>
      </c>
      <c r="B2659" s="24">
        <f>IF(26&lt;=DAY(DATE(YEAR(설정_코스수당!$K$2),MONTH(설정_코스수당!$K$2)+1,0)),DATE(YEAR(설정_코스수당!$K$2),MONTH(설정_코스수당!$K$2),26),"")</f>
        <v>46199</v>
      </c>
      <c r="C2659" s="25"/>
      <c r="D2659" s="23"/>
      <c r="E2659" s="23"/>
      <c r="F2659" s="26"/>
      <c r="G2659" s="23"/>
      <c r="H2659" s="23"/>
      <c r="I2659" s="23"/>
      <c r="J2659" s="27">
        <f>IF($O2659="방문완료",MAX(0,IFERROR(VLOOKUP($E2659,설정_코스수당!$A$6:$H$10,4,FALSE),0)-IF(OR($P2659="",$P2659="없음"),0,100000)),0)</f>
        <v>0</v>
      </c>
      <c r="K2659" s="27">
        <f t="array" ref="K2659">IF($O2659="방문완료",IFERROR(INDEX(설정_코스수당!$B$15:$F$64,MATCH($G2659,설정_코스수당!$A$15:$A$64,0),MATCH($E2659&amp;"수당",설정_코스수당!$B$14:$F$14,0)),0),0)</f>
        <v>0</v>
      </c>
      <c r="L2659" s="27">
        <f t="array" ref="L2659">IF($O2659="방문완료",IF($H2659="",0,IFERROR(INDEX(설정_코스수당!$B$15:$F$64,MATCH($H2659,설정_코스수당!$A$15:$A$64,0),MATCH($E2659&amp;"수당",설정_코스수당!$B$14:$F$14,0)),0)),0)</f>
        <v>0</v>
      </c>
      <c r="M2659" s="27">
        <f>IF($O2659="방문완료",IFERROR(VLOOKUP($E2659,설정_코스수당!$A$6:$H$10,6,FALSE),0),0)</f>
        <v>0</v>
      </c>
      <c r="N2659" s="28">
        <f t="shared" si="77"/>
        <v>0</v>
      </c>
      <c r="O2659" s="23"/>
      <c r="P2659" s="23"/>
      <c r="Q2659" s="23"/>
      <c r="R2659" s="26"/>
      <c r="S2659" s="23"/>
    </row>
    <row r="2660" spans="1:19" ht="19.5" hidden="1" customHeight="1" outlineLevel="1">
      <c r="A2660" s="29">
        <v>72</v>
      </c>
      <c r="B2660" s="30">
        <f>IF(26&lt;=DAY(DATE(YEAR(설정_코스수당!$K$2),MONTH(설정_코스수당!$K$2)+1,0)),DATE(YEAR(설정_코스수당!$K$2),MONTH(설정_코스수당!$K$2),26),"")</f>
        <v>46199</v>
      </c>
      <c r="C2660" s="31"/>
      <c r="D2660" s="29"/>
      <c r="E2660" s="29"/>
      <c r="F2660" s="32"/>
      <c r="G2660" s="29"/>
      <c r="H2660" s="29"/>
      <c r="I2660" s="29"/>
      <c r="J2660" s="33">
        <f>IF($O2660="방문완료",MAX(0,IFERROR(VLOOKUP($E2660,설정_코스수당!$A$6:$H$10,4,FALSE),0)-IF(OR($P2660="",$P2660="없음"),0,100000)),0)</f>
        <v>0</v>
      </c>
      <c r="K2660" s="33">
        <f t="array" ref="K2660">IF($O2660="방문완료",IFERROR(INDEX(설정_코스수당!$B$15:$F$64,MATCH($G2660,설정_코스수당!$A$15:$A$64,0),MATCH($E2660&amp;"수당",설정_코스수당!$B$14:$F$14,0)),0),0)</f>
        <v>0</v>
      </c>
      <c r="L2660" s="33">
        <f t="array" ref="L2660">IF($O2660="방문완료",IF($H2660="",0,IFERROR(INDEX(설정_코스수당!$B$15:$F$64,MATCH($H2660,설정_코스수당!$A$15:$A$64,0),MATCH($E2660&amp;"수당",설정_코스수당!$B$14:$F$14,0)),0)),0)</f>
        <v>0</v>
      </c>
      <c r="M2660" s="33">
        <f>IF($O2660="방문완료",IFERROR(VLOOKUP($E2660,설정_코스수당!$A$6:$H$10,6,FALSE),0),0)</f>
        <v>0</v>
      </c>
      <c r="N2660" s="34">
        <f t="shared" si="77"/>
        <v>0</v>
      </c>
      <c r="O2660" s="29"/>
      <c r="P2660" s="29"/>
      <c r="Q2660" s="29"/>
      <c r="R2660" s="32"/>
      <c r="S2660" s="29"/>
    </row>
    <row r="2661" spans="1:19" ht="19.5" hidden="1" customHeight="1" outlineLevel="1">
      <c r="A2661" s="23">
        <v>73</v>
      </c>
      <c r="B2661" s="24">
        <f>IF(26&lt;=DAY(DATE(YEAR(설정_코스수당!$K$2),MONTH(설정_코스수당!$K$2)+1,0)),DATE(YEAR(설정_코스수당!$K$2),MONTH(설정_코스수당!$K$2),26),"")</f>
        <v>46199</v>
      </c>
      <c r="C2661" s="25"/>
      <c r="D2661" s="23"/>
      <c r="E2661" s="23"/>
      <c r="F2661" s="26"/>
      <c r="G2661" s="23"/>
      <c r="H2661" s="23"/>
      <c r="I2661" s="23"/>
      <c r="J2661" s="27">
        <f>IF($O2661="방문완료",MAX(0,IFERROR(VLOOKUP($E2661,설정_코스수당!$A$6:$H$10,4,FALSE),0)-IF(OR($P2661="",$P2661="없음"),0,100000)),0)</f>
        <v>0</v>
      </c>
      <c r="K2661" s="27">
        <f t="array" ref="K2661">IF($O2661="방문완료",IFERROR(INDEX(설정_코스수당!$B$15:$F$64,MATCH($G2661,설정_코스수당!$A$15:$A$64,0),MATCH($E2661&amp;"수당",설정_코스수당!$B$14:$F$14,0)),0),0)</f>
        <v>0</v>
      </c>
      <c r="L2661" s="27">
        <f t="array" ref="L2661">IF($O2661="방문완료",IF($H2661="",0,IFERROR(INDEX(설정_코스수당!$B$15:$F$64,MATCH($H2661,설정_코스수당!$A$15:$A$64,0),MATCH($E2661&amp;"수당",설정_코스수당!$B$14:$F$14,0)),0)),0)</f>
        <v>0</v>
      </c>
      <c r="M2661" s="27">
        <f>IF($O2661="방문완료",IFERROR(VLOOKUP($E2661,설정_코스수당!$A$6:$H$10,6,FALSE),0),0)</f>
        <v>0</v>
      </c>
      <c r="N2661" s="28">
        <f t="shared" si="77"/>
        <v>0</v>
      </c>
      <c r="O2661" s="23"/>
      <c r="P2661" s="23"/>
      <c r="Q2661" s="23"/>
      <c r="R2661" s="26"/>
      <c r="S2661" s="23"/>
    </row>
    <row r="2662" spans="1:19" ht="19.5" hidden="1" customHeight="1" outlineLevel="1">
      <c r="A2662" s="29">
        <v>74</v>
      </c>
      <c r="B2662" s="30">
        <f>IF(26&lt;=DAY(DATE(YEAR(설정_코스수당!$K$2),MONTH(설정_코스수당!$K$2)+1,0)),DATE(YEAR(설정_코스수당!$K$2),MONTH(설정_코스수당!$K$2),26),"")</f>
        <v>46199</v>
      </c>
      <c r="C2662" s="31"/>
      <c r="D2662" s="29"/>
      <c r="E2662" s="29"/>
      <c r="F2662" s="32"/>
      <c r="G2662" s="29"/>
      <c r="H2662" s="29"/>
      <c r="I2662" s="29"/>
      <c r="J2662" s="33">
        <f>IF($O2662="방문완료",MAX(0,IFERROR(VLOOKUP($E2662,설정_코스수당!$A$6:$H$10,4,FALSE),0)-IF(OR($P2662="",$P2662="없음"),0,100000)),0)</f>
        <v>0</v>
      </c>
      <c r="K2662" s="33">
        <f t="array" ref="K2662">IF($O2662="방문완료",IFERROR(INDEX(설정_코스수당!$B$15:$F$64,MATCH($G2662,설정_코스수당!$A$15:$A$64,0),MATCH($E2662&amp;"수당",설정_코스수당!$B$14:$F$14,0)),0),0)</f>
        <v>0</v>
      </c>
      <c r="L2662" s="33">
        <f t="array" ref="L2662">IF($O2662="방문완료",IF($H2662="",0,IFERROR(INDEX(설정_코스수당!$B$15:$F$64,MATCH($H2662,설정_코스수당!$A$15:$A$64,0),MATCH($E2662&amp;"수당",설정_코스수당!$B$14:$F$14,0)),0)),0)</f>
        <v>0</v>
      </c>
      <c r="M2662" s="33">
        <f>IF($O2662="방문완료",IFERROR(VLOOKUP($E2662,설정_코스수당!$A$6:$H$10,6,FALSE),0),0)</f>
        <v>0</v>
      </c>
      <c r="N2662" s="34">
        <f t="shared" si="77"/>
        <v>0</v>
      </c>
      <c r="O2662" s="29"/>
      <c r="P2662" s="29"/>
      <c r="Q2662" s="29"/>
      <c r="R2662" s="32"/>
      <c r="S2662" s="29"/>
    </row>
    <row r="2663" spans="1:19" ht="19.5" hidden="1" customHeight="1" outlineLevel="1">
      <c r="A2663" s="23">
        <v>75</v>
      </c>
      <c r="B2663" s="24">
        <f>IF(26&lt;=DAY(DATE(YEAR(설정_코스수당!$K$2),MONTH(설정_코스수당!$K$2)+1,0)),DATE(YEAR(설정_코스수당!$K$2),MONTH(설정_코스수당!$K$2),26),"")</f>
        <v>46199</v>
      </c>
      <c r="C2663" s="25"/>
      <c r="D2663" s="23"/>
      <c r="E2663" s="23"/>
      <c r="F2663" s="26"/>
      <c r="G2663" s="23"/>
      <c r="H2663" s="23"/>
      <c r="I2663" s="23"/>
      <c r="J2663" s="27">
        <f>IF($O2663="방문완료",MAX(0,IFERROR(VLOOKUP($E2663,설정_코스수당!$A$6:$H$10,4,FALSE),0)-IF(OR($P2663="",$P2663="없음"),0,100000)),0)</f>
        <v>0</v>
      </c>
      <c r="K2663" s="27">
        <f t="array" ref="K2663">IF($O2663="방문완료",IFERROR(INDEX(설정_코스수당!$B$15:$F$64,MATCH($G2663,설정_코스수당!$A$15:$A$64,0),MATCH($E2663&amp;"수당",설정_코스수당!$B$14:$F$14,0)),0),0)</f>
        <v>0</v>
      </c>
      <c r="L2663" s="27">
        <f t="array" ref="L2663">IF($O2663="방문완료",IF($H2663="",0,IFERROR(INDEX(설정_코스수당!$B$15:$F$64,MATCH($H2663,설정_코스수당!$A$15:$A$64,0),MATCH($E2663&amp;"수당",설정_코스수당!$B$14:$F$14,0)),0)),0)</f>
        <v>0</v>
      </c>
      <c r="M2663" s="27">
        <f>IF($O2663="방문완료",IFERROR(VLOOKUP($E2663,설정_코스수당!$A$6:$H$10,6,FALSE),0),0)</f>
        <v>0</v>
      </c>
      <c r="N2663" s="28">
        <f t="shared" si="77"/>
        <v>0</v>
      </c>
      <c r="O2663" s="23"/>
      <c r="P2663" s="23"/>
      <c r="Q2663" s="23"/>
      <c r="R2663" s="26"/>
      <c r="S2663" s="23"/>
    </row>
    <row r="2664" spans="1:19" ht="19.5" hidden="1" customHeight="1" outlineLevel="1">
      <c r="A2664" s="29">
        <v>76</v>
      </c>
      <c r="B2664" s="30">
        <f>IF(26&lt;=DAY(DATE(YEAR(설정_코스수당!$K$2),MONTH(설정_코스수당!$K$2)+1,0)),DATE(YEAR(설정_코스수당!$K$2),MONTH(설정_코스수당!$K$2),26),"")</f>
        <v>46199</v>
      </c>
      <c r="C2664" s="31"/>
      <c r="D2664" s="29"/>
      <c r="E2664" s="29"/>
      <c r="F2664" s="32"/>
      <c r="G2664" s="29"/>
      <c r="H2664" s="29"/>
      <c r="I2664" s="29"/>
      <c r="J2664" s="33">
        <f>IF($O2664="방문완료",MAX(0,IFERROR(VLOOKUP($E2664,설정_코스수당!$A$6:$H$10,4,FALSE),0)-IF(OR($P2664="",$P2664="없음"),0,100000)),0)</f>
        <v>0</v>
      </c>
      <c r="K2664" s="33">
        <f t="array" ref="K2664">IF($O2664="방문완료",IFERROR(INDEX(설정_코스수당!$B$15:$F$64,MATCH($G2664,설정_코스수당!$A$15:$A$64,0),MATCH($E2664&amp;"수당",설정_코스수당!$B$14:$F$14,0)),0),0)</f>
        <v>0</v>
      </c>
      <c r="L2664" s="33">
        <f t="array" ref="L2664">IF($O2664="방문완료",IF($H2664="",0,IFERROR(INDEX(설정_코스수당!$B$15:$F$64,MATCH($H2664,설정_코스수당!$A$15:$A$64,0),MATCH($E2664&amp;"수당",설정_코스수당!$B$14:$F$14,0)),0)),0)</f>
        <v>0</v>
      </c>
      <c r="M2664" s="33">
        <f>IF($O2664="방문완료",IFERROR(VLOOKUP($E2664,설정_코스수당!$A$6:$H$10,6,FALSE),0),0)</f>
        <v>0</v>
      </c>
      <c r="N2664" s="34">
        <f t="shared" si="77"/>
        <v>0</v>
      </c>
      <c r="O2664" s="29"/>
      <c r="P2664" s="29"/>
      <c r="Q2664" s="29"/>
      <c r="R2664" s="32"/>
      <c r="S2664" s="29"/>
    </row>
    <row r="2665" spans="1:19" ht="19.5" hidden="1" customHeight="1" outlineLevel="1">
      <c r="A2665" s="23">
        <v>77</v>
      </c>
      <c r="B2665" s="24">
        <f>IF(26&lt;=DAY(DATE(YEAR(설정_코스수당!$K$2),MONTH(설정_코스수당!$K$2)+1,0)),DATE(YEAR(설정_코스수당!$K$2),MONTH(설정_코스수당!$K$2),26),"")</f>
        <v>46199</v>
      </c>
      <c r="C2665" s="25"/>
      <c r="D2665" s="23"/>
      <c r="E2665" s="23"/>
      <c r="F2665" s="26"/>
      <c r="G2665" s="23"/>
      <c r="H2665" s="23"/>
      <c r="I2665" s="23"/>
      <c r="J2665" s="27">
        <f>IF($O2665="방문완료",MAX(0,IFERROR(VLOOKUP($E2665,설정_코스수당!$A$6:$H$10,4,FALSE),0)-IF(OR($P2665="",$P2665="없음"),0,100000)),0)</f>
        <v>0</v>
      </c>
      <c r="K2665" s="27">
        <f t="array" ref="K2665">IF($O2665="방문완료",IFERROR(INDEX(설정_코스수당!$B$15:$F$64,MATCH($G2665,설정_코스수당!$A$15:$A$64,0),MATCH($E2665&amp;"수당",설정_코스수당!$B$14:$F$14,0)),0),0)</f>
        <v>0</v>
      </c>
      <c r="L2665" s="27">
        <f t="array" ref="L2665">IF($O2665="방문완료",IF($H2665="",0,IFERROR(INDEX(설정_코스수당!$B$15:$F$64,MATCH($H2665,설정_코스수당!$A$15:$A$64,0),MATCH($E2665&amp;"수당",설정_코스수당!$B$14:$F$14,0)),0)),0)</f>
        <v>0</v>
      </c>
      <c r="M2665" s="27">
        <f>IF($O2665="방문완료",IFERROR(VLOOKUP($E2665,설정_코스수당!$A$6:$H$10,6,FALSE),0),0)</f>
        <v>0</v>
      </c>
      <c r="N2665" s="28">
        <f t="shared" si="77"/>
        <v>0</v>
      </c>
      <c r="O2665" s="23"/>
      <c r="P2665" s="23"/>
      <c r="Q2665" s="23"/>
      <c r="R2665" s="26"/>
      <c r="S2665" s="23"/>
    </row>
    <row r="2666" spans="1:19" ht="19.5" hidden="1" customHeight="1" outlineLevel="1">
      <c r="A2666" s="29">
        <v>78</v>
      </c>
      <c r="B2666" s="30">
        <f>IF(26&lt;=DAY(DATE(YEAR(설정_코스수당!$K$2),MONTH(설정_코스수당!$K$2)+1,0)),DATE(YEAR(설정_코스수당!$K$2),MONTH(설정_코스수당!$K$2),26),"")</f>
        <v>46199</v>
      </c>
      <c r="C2666" s="31"/>
      <c r="D2666" s="29"/>
      <c r="E2666" s="29"/>
      <c r="F2666" s="32"/>
      <c r="G2666" s="29"/>
      <c r="H2666" s="29"/>
      <c r="I2666" s="29"/>
      <c r="J2666" s="33">
        <f>IF($O2666="방문완료",MAX(0,IFERROR(VLOOKUP($E2666,설정_코스수당!$A$6:$H$10,4,FALSE),0)-IF(OR($P2666="",$P2666="없음"),0,100000)),0)</f>
        <v>0</v>
      </c>
      <c r="K2666" s="33">
        <f t="array" ref="K2666">IF($O2666="방문완료",IFERROR(INDEX(설정_코스수당!$B$15:$F$64,MATCH($G2666,설정_코스수당!$A$15:$A$64,0),MATCH($E2666&amp;"수당",설정_코스수당!$B$14:$F$14,0)),0),0)</f>
        <v>0</v>
      </c>
      <c r="L2666" s="33">
        <f t="array" ref="L2666">IF($O2666="방문완료",IF($H2666="",0,IFERROR(INDEX(설정_코스수당!$B$15:$F$64,MATCH($H2666,설정_코스수당!$A$15:$A$64,0),MATCH($E2666&amp;"수당",설정_코스수당!$B$14:$F$14,0)),0)),0)</f>
        <v>0</v>
      </c>
      <c r="M2666" s="33">
        <f>IF($O2666="방문완료",IFERROR(VLOOKUP($E2666,설정_코스수당!$A$6:$H$10,6,FALSE),0),0)</f>
        <v>0</v>
      </c>
      <c r="N2666" s="34">
        <f t="shared" si="77"/>
        <v>0</v>
      </c>
      <c r="O2666" s="29"/>
      <c r="P2666" s="29"/>
      <c r="Q2666" s="29"/>
      <c r="R2666" s="32"/>
      <c r="S2666" s="29"/>
    </row>
    <row r="2667" spans="1:19" ht="19.5" hidden="1" customHeight="1" outlineLevel="1">
      <c r="A2667" s="23">
        <v>79</v>
      </c>
      <c r="B2667" s="24">
        <f>IF(26&lt;=DAY(DATE(YEAR(설정_코스수당!$K$2),MONTH(설정_코스수당!$K$2)+1,0)),DATE(YEAR(설정_코스수당!$K$2),MONTH(설정_코스수당!$K$2),26),"")</f>
        <v>46199</v>
      </c>
      <c r="C2667" s="25"/>
      <c r="D2667" s="23"/>
      <c r="E2667" s="23"/>
      <c r="F2667" s="26"/>
      <c r="G2667" s="23"/>
      <c r="H2667" s="23"/>
      <c r="I2667" s="23"/>
      <c r="J2667" s="27">
        <f>IF($O2667="방문완료",MAX(0,IFERROR(VLOOKUP($E2667,설정_코스수당!$A$6:$H$10,4,FALSE),0)-IF(OR($P2667="",$P2667="없음"),0,100000)),0)</f>
        <v>0</v>
      </c>
      <c r="K2667" s="27">
        <f t="array" ref="K2667">IF($O2667="방문완료",IFERROR(INDEX(설정_코스수당!$B$15:$F$64,MATCH($G2667,설정_코스수당!$A$15:$A$64,0),MATCH($E2667&amp;"수당",설정_코스수당!$B$14:$F$14,0)),0),0)</f>
        <v>0</v>
      </c>
      <c r="L2667" s="27">
        <f t="array" ref="L2667">IF($O2667="방문완료",IF($H2667="",0,IFERROR(INDEX(설정_코스수당!$B$15:$F$64,MATCH($H2667,설정_코스수당!$A$15:$A$64,0),MATCH($E2667&amp;"수당",설정_코스수당!$B$14:$F$14,0)),0)),0)</f>
        <v>0</v>
      </c>
      <c r="M2667" s="27">
        <f>IF($O2667="방문완료",IFERROR(VLOOKUP($E2667,설정_코스수당!$A$6:$H$10,6,FALSE),0),0)</f>
        <v>0</v>
      </c>
      <c r="N2667" s="28">
        <f t="shared" si="77"/>
        <v>0</v>
      </c>
      <c r="O2667" s="23"/>
      <c r="P2667" s="23"/>
      <c r="Q2667" s="23"/>
      <c r="R2667" s="26"/>
      <c r="S2667" s="23"/>
    </row>
    <row r="2668" spans="1:19" ht="19.5" hidden="1" customHeight="1" outlineLevel="1">
      <c r="A2668" s="29">
        <v>80</v>
      </c>
      <c r="B2668" s="30">
        <f>IF(26&lt;=DAY(DATE(YEAR(설정_코스수당!$K$2),MONTH(설정_코스수당!$K$2)+1,0)),DATE(YEAR(설정_코스수당!$K$2),MONTH(설정_코스수당!$K$2),26),"")</f>
        <v>46199</v>
      </c>
      <c r="C2668" s="31"/>
      <c r="D2668" s="29"/>
      <c r="E2668" s="29"/>
      <c r="F2668" s="32"/>
      <c r="G2668" s="29"/>
      <c r="H2668" s="29"/>
      <c r="I2668" s="29"/>
      <c r="J2668" s="33">
        <f>IF($O2668="방문완료",MAX(0,IFERROR(VLOOKUP($E2668,설정_코스수당!$A$6:$H$10,4,FALSE),0)-IF(OR($P2668="",$P2668="없음"),0,100000)),0)</f>
        <v>0</v>
      </c>
      <c r="K2668" s="33">
        <f t="array" ref="K2668">IF($O2668="방문완료",IFERROR(INDEX(설정_코스수당!$B$15:$F$64,MATCH($G2668,설정_코스수당!$A$15:$A$64,0),MATCH($E2668&amp;"수당",설정_코스수당!$B$14:$F$14,0)),0),0)</f>
        <v>0</v>
      </c>
      <c r="L2668" s="33">
        <f t="array" ref="L2668">IF($O2668="방문완료",IF($H2668="",0,IFERROR(INDEX(설정_코스수당!$B$15:$F$64,MATCH($H2668,설정_코스수당!$A$15:$A$64,0),MATCH($E2668&amp;"수당",설정_코스수당!$B$14:$F$14,0)),0)),0)</f>
        <v>0</v>
      </c>
      <c r="M2668" s="33">
        <f>IF($O2668="방문완료",IFERROR(VLOOKUP($E2668,설정_코스수당!$A$6:$H$10,6,FALSE),0),0)</f>
        <v>0</v>
      </c>
      <c r="N2668" s="34">
        <f t="shared" si="77"/>
        <v>0</v>
      </c>
      <c r="O2668" s="29"/>
      <c r="P2668" s="29"/>
      <c r="Q2668" s="29"/>
      <c r="R2668" s="32"/>
      <c r="S2668" s="29"/>
    </row>
    <row r="2669" spans="1:19" ht="19.5" hidden="1" customHeight="1" outlineLevel="1">
      <c r="A2669" s="23">
        <v>81</v>
      </c>
      <c r="B2669" s="24">
        <f>IF(26&lt;=DAY(DATE(YEAR(설정_코스수당!$K$2),MONTH(설정_코스수당!$K$2)+1,0)),DATE(YEAR(설정_코스수당!$K$2),MONTH(설정_코스수당!$K$2),26),"")</f>
        <v>46199</v>
      </c>
      <c r="C2669" s="25"/>
      <c r="D2669" s="23"/>
      <c r="E2669" s="23"/>
      <c r="F2669" s="26"/>
      <c r="G2669" s="23"/>
      <c r="H2669" s="23"/>
      <c r="I2669" s="23"/>
      <c r="J2669" s="27">
        <f>IF($O2669="방문완료",MAX(0,IFERROR(VLOOKUP($E2669,설정_코스수당!$A$6:$H$10,4,FALSE),0)-IF(OR($P2669="",$P2669="없음"),0,100000)),0)</f>
        <v>0</v>
      </c>
      <c r="K2669" s="27">
        <f t="array" ref="K2669">IF($O2669="방문완료",IFERROR(INDEX(설정_코스수당!$B$15:$F$64,MATCH($G2669,설정_코스수당!$A$15:$A$64,0),MATCH($E2669&amp;"수당",설정_코스수당!$B$14:$F$14,0)),0),0)</f>
        <v>0</v>
      </c>
      <c r="L2669" s="27">
        <f t="array" ref="L2669">IF($O2669="방문완료",IF($H2669="",0,IFERROR(INDEX(설정_코스수당!$B$15:$F$64,MATCH($H2669,설정_코스수당!$A$15:$A$64,0),MATCH($E2669&amp;"수당",설정_코스수당!$B$14:$F$14,0)),0)),0)</f>
        <v>0</v>
      </c>
      <c r="M2669" s="27">
        <f>IF($O2669="방문완료",IFERROR(VLOOKUP($E2669,설정_코스수당!$A$6:$H$10,6,FALSE),0),0)</f>
        <v>0</v>
      </c>
      <c r="N2669" s="28">
        <f t="shared" si="77"/>
        <v>0</v>
      </c>
      <c r="O2669" s="23"/>
      <c r="P2669" s="23"/>
      <c r="Q2669" s="23"/>
      <c r="R2669" s="26"/>
      <c r="S2669" s="23"/>
    </row>
    <row r="2670" spans="1:19" ht="19.5" hidden="1" customHeight="1" outlineLevel="1">
      <c r="A2670" s="29">
        <v>82</v>
      </c>
      <c r="B2670" s="30">
        <f>IF(26&lt;=DAY(DATE(YEAR(설정_코스수당!$K$2),MONTH(설정_코스수당!$K$2)+1,0)),DATE(YEAR(설정_코스수당!$K$2),MONTH(설정_코스수당!$K$2),26),"")</f>
        <v>46199</v>
      </c>
      <c r="C2670" s="31"/>
      <c r="D2670" s="29"/>
      <c r="E2670" s="29"/>
      <c r="F2670" s="32"/>
      <c r="G2670" s="29"/>
      <c r="H2670" s="29"/>
      <c r="I2670" s="29"/>
      <c r="J2670" s="33">
        <f>IF($O2670="방문완료",MAX(0,IFERROR(VLOOKUP($E2670,설정_코스수당!$A$6:$H$10,4,FALSE),0)-IF(OR($P2670="",$P2670="없음"),0,100000)),0)</f>
        <v>0</v>
      </c>
      <c r="K2670" s="33">
        <f t="array" ref="K2670">IF($O2670="방문완료",IFERROR(INDEX(설정_코스수당!$B$15:$F$64,MATCH($G2670,설정_코스수당!$A$15:$A$64,0),MATCH($E2670&amp;"수당",설정_코스수당!$B$14:$F$14,0)),0),0)</f>
        <v>0</v>
      </c>
      <c r="L2670" s="33">
        <f t="array" ref="L2670">IF($O2670="방문완료",IF($H2670="",0,IFERROR(INDEX(설정_코스수당!$B$15:$F$64,MATCH($H2670,설정_코스수당!$A$15:$A$64,0),MATCH($E2670&amp;"수당",설정_코스수당!$B$14:$F$14,0)),0)),0)</f>
        <v>0</v>
      </c>
      <c r="M2670" s="33">
        <f>IF($O2670="방문완료",IFERROR(VLOOKUP($E2670,설정_코스수당!$A$6:$H$10,6,FALSE),0),0)</f>
        <v>0</v>
      </c>
      <c r="N2670" s="34">
        <f t="shared" si="77"/>
        <v>0</v>
      </c>
      <c r="O2670" s="29"/>
      <c r="P2670" s="29"/>
      <c r="Q2670" s="29"/>
      <c r="R2670" s="32"/>
      <c r="S2670" s="29"/>
    </row>
    <row r="2671" spans="1:19" ht="19.5" hidden="1" customHeight="1" outlineLevel="1">
      <c r="A2671" s="23">
        <v>83</v>
      </c>
      <c r="B2671" s="24">
        <f>IF(26&lt;=DAY(DATE(YEAR(설정_코스수당!$K$2),MONTH(설정_코스수당!$K$2)+1,0)),DATE(YEAR(설정_코스수당!$K$2),MONTH(설정_코스수당!$K$2),26),"")</f>
        <v>46199</v>
      </c>
      <c r="C2671" s="25"/>
      <c r="D2671" s="23"/>
      <c r="E2671" s="23"/>
      <c r="F2671" s="26"/>
      <c r="G2671" s="23"/>
      <c r="H2671" s="23"/>
      <c r="I2671" s="23"/>
      <c r="J2671" s="27">
        <f>IF($O2671="방문완료",MAX(0,IFERROR(VLOOKUP($E2671,설정_코스수당!$A$6:$H$10,4,FALSE),0)-IF(OR($P2671="",$P2671="없음"),0,100000)),0)</f>
        <v>0</v>
      </c>
      <c r="K2671" s="27">
        <f t="array" ref="K2671">IF($O2671="방문완료",IFERROR(INDEX(설정_코스수당!$B$15:$F$64,MATCH($G2671,설정_코스수당!$A$15:$A$64,0),MATCH($E2671&amp;"수당",설정_코스수당!$B$14:$F$14,0)),0),0)</f>
        <v>0</v>
      </c>
      <c r="L2671" s="27">
        <f t="array" ref="L2671">IF($O2671="방문완료",IF($H2671="",0,IFERROR(INDEX(설정_코스수당!$B$15:$F$64,MATCH($H2671,설정_코스수당!$A$15:$A$64,0),MATCH($E2671&amp;"수당",설정_코스수당!$B$14:$F$14,0)),0)),0)</f>
        <v>0</v>
      </c>
      <c r="M2671" s="27">
        <f>IF($O2671="방문완료",IFERROR(VLOOKUP($E2671,설정_코스수당!$A$6:$H$10,6,FALSE),0),0)</f>
        <v>0</v>
      </c>
      <c r="N2671" s="28">
        <f t="shared" si="77"/>
        <v>0</v>
      </c>
      <c r="O2671" s="23"/>
      <c r="P2671" s="23"/>
      <c r="Q2671" s="23"/>
      <c r="R2671" s="26"/>
      <c r="S2671" s="23"/>
    </row>
    <row r="2672" spans="1:19" ht="19.5" hidden="1" customHeight="1" outlineLevel="1">
      <c r="A2672" s="29">
        <v>84</v>
      </c>
      <c r="B2672" s="30">
        <f>IF(26&lt;=DAY(DATE(YEAR(설정_코스수당!$K$2),MONTH(설정_코스수당!$K$2)+1,0)),DATE(YEAR(설정_코스수당!$K$2),MONTH(설정_코스수당!$K$2),26),"")</f>
        <v>46199</v>
      </c>
      <c r="C2672" s="31"/>
      <c r="D2672" s="29"/>
      <c r="E2672" s="29"/>
      <c r="F2672" s="32"/>
      <c r="G2672" s="29"/>
      <c r="H2672" s="29"/>
      <c r="I2672" s="29"/>
      <c r="J2672" s="33">
        <f>IF($O2672="방문완료",MAX(0,IFERROR(VLOOKUP($E2672,설정_코스수당!$A$6:$H$10,4,FALSE),0)-IF(OR($P2672="",$P2672="없음"),0,100000)),0)</f>
        <v>0</v>
      </c>
      <c r="K2672" s="33">
        <f t="array" ref="K2672">IF($O2672="방문완료",IFERROR(INDEX(설정_코스수당!$B$15:$F$64,MATCH($G2672,설정_코스수당!$A$15:$A$64,0),MATCH($E2672&amp;"수당",설정_코스수당!$B$14:$F$14,0)),0),0)</f>
        <v>0</v>
      </c>
      <c r="L2672" s="33">
        <f t="array" ref="L2672">IF($O2672="방문완료",IF($H2672="",0,IFERROR(INDEX(설정_코스수당!$B$15:$F$64,MATCH($H2672,설정_코스수당!$A$15:$A$64,0),MATCH($E2672&amp;"수당",설정_코스수당!$B$14:$F$14,0)),0)),0)</f>
        <v>0</v>
      </c>
      <c r="M2672" s="33">
        <f>IF($O2672="방문완료",IFERROR(VLOOKUP($E2672,설정_코스수당!$A$6:$H$10,6,FALSE),0),0)</f>
        <v>0</v>
      </c>
      <c r="N2672" s="34">
        <f t="shared" si="77"/>
        <v>0</v>
      </c>
      <c r="O2672" s="29"/>
      <c r="P2672" s="29"/>
      <c r="Q2672" s="29"/>
      <c r="R2672" s="32"/>
      <c r="S2672" s="29"/>
    </row>
    <row r="2673" spans="1:19" ht="19.5" hidden="1" customHeight="1" outlineLevel="1">
      <c r="A2673" s="23">
        <v>85</v>
      </c>
      <c r="B2673" s="24">
        <f>IF(26&lt;=DAY(DATE(YEAR(설정_코스수당!$K$2),MONTH(설정_코스수당!$K$2)+1,0)),DATE(YEAR(설정_코스수당!$K$2),MONTH(설정_코스수당!$K$2),26),"")</f>
        <v>46199</v>
      </c>
      <c r="C2673" s="25"/>
      <c r="D2673" s="23"/>
      <c r="E2673" s="23"/>
      <c r="F2673" s="26"/>
      <c r="G2673" s="23"/>
      <c r="H2673" s="23"/>
      <c r="I2673" s="23"/>
      <c r="J2673" s="27">
        <f>IF($O2673="방문완료",MAX(0,IFERROR(VLOOKUP($E2673,설정_코스수당!$A$6:$H$10,4,FALSE),0)-IF(OR($P2673="",$P2673="없음"),0,100000)),0)</f>
        <v>0</v>
      </c>
      <c r="K2673" s="27">
        <f t="array" ref="K2673">IF($O2673="방문완료",IFERROR(INDEX(설정_코스수당!$B$15:$F$64,MATCH($G2673,설정_코스수당!$A$15:$A$64,0),MATCH($E2673&amp;"수당",설정_코스수당!$B$14:$F$14,0)),0),0)</f>
        <v>0</v>
      </c>
      <c r="L2673" s="27">
        <f t="array" ref="L2673">IF($O2673="방문완료",IF($H2673="",0,IFERROR(INDEX(설정_코스수당!$B$15:$F$64,MATCH($H2673,설정_코스수당!$A$15:$A$64,0),MATCH($E2673&amp;"수당",설정_코스수당!$B$14:$F$14,0)),0)),0)</f>
        <v>0</v>
      </c>
      <c r="M2673" s="27">
        <f>IF($O2673="방문완료",IFERROR(VLOOKUP($E2673,설정_코스수당!$A$6:$H$10,6,FALSE),0),0)</f>
        <v>0</v>
      </c>
      <c r="N2673" s="28">
        <f t="shared" si="77"/>
        <v>0</v>
      </c>
      <c r="O2673" s="23"/>
      <c r="P2673" s="23"/>
      <c r="Q2673" s="23"/>
      <c r="R2673" s="26"/>
      <c r="S2673" s="23"/>
    </row>
    <row r="2674" spans="1:19" ht="19.5" hidden="1" customHeight="1" outlineLevel="1">
      <c r="A2674" s="29">
        <v>86</v>
      </c>
      <c r="B2674" s="30">
        <f>IF(26&lt;=DAY(DATE(YEAR(설정_코스수당!$K$2),MONTH(설정_코스수당!$K$2)+1,0)),DATE(YEAR(설정_코스수당!$K$2),MONTH(설정_코스수당!$K$2),26),"")</f>
        <v>46199</v>
      </c>
      <c r="C2674" s="31"/>
      <c r="D2674" s="29"/>
      <c r="E2674" s="29"/>
      <c r="F2674" s="32"/>
      <c r="G2674" s="29"/>
      <c r="H2674" s="29"/>
      <c r="I2674" s="29"/>
      <c r="J2674" s="33">
        <f>IF($O2674="방문완료",MAX(0,IFERROR(VLOOKUP($E2674,설정_코스수당!$A$6:$H$10,4,FALSE),0)-IF(OR($P2674="",$P2674="없음"),0,100000)),0)</f>
        <v>0</v>
      </c>
      <c r="K2674" s="33">
        <f t="array" ref="K2674">IF($O2674="방문완료",IFERROR(INDEX(설정_코스수당!$B$15:$F$64,MATCH($G2674,설정_코스수당!$A$15:$A$64,0),MATCH($E2674&amp;"수당",설정_코스수당!$B$14:$F$14,0)),0),0)</f>
        <v>0</v>
      </c>
      <c r="L2674" s="33">
        <f t="array" ref="L2674">IF($O2674="방문완료",IF($H2674="",0,IFERROR(INDEX(설정_코스수당!$B$15:$F$64,MATCH($H2674,설정_코스수당!$A$15:$A$64,0),MATCH($E2674&amp;"수당",설정_코스수당!$B$14:$F$14,0)),0)),0)</f>
        <v>0</v>
      </c>
      <c r="M2674" s="33">
        <f>IF($O2674="방문완료",IFERROR(VLOOKUP($E2674,설정_코스수당!$A$6:$H$10,6,FALSE),0),0)</f>
        <v>0</v>
      </c>
      <c r="N2674" s="34">
        <f t="shared" si="77"/>
        <v>0</v>
      </c>
      <c r="O2674" s="29"/>
      <c r="P2674" s="29"/>
      <c r="Q2674" s="29"/>
      <c r="R2674" s="32"/>
      <c r="S2674" s="29"/>
    </row>
    <row r="2675" spans="1:19" ht="19.5" hidden="1" customHeight="1" outlineLevel="1">
      <c r="A2675" s="23">
        <v>87</v>
      </c>
      <c r="B2675" s="24">
        <f>IF(26&lt;=DAY(DATE(YEAR(설정_코스수당!$K$2),MONTH(설정_코스수당!$K$2)+1,0)),DATE(YEAR(설정_코스수당!$K$2),MONTH(설정_코스수당!$K$2),26),"")</f>
        <v>46199</v>
      </c>
      <c r="C2675" s="25"/>
      <c r="D2675" s="23"/>
      <c r="E2675" s="23"/>
      <c r="F2675" s="26"/>
      <c r="G2675" s="23"/>
      <c r="H2675" s="23"/>
      <c r="I2675" s="23"/>
      <c r="J2675" s="27">
        <f>IF($O2675="방문완료",MAX(0,IFERROR(VLOOKUP($E2675,설정_코스수당!$A$6:$H$10,4,FALSE),0)-IF(OR($P2675="",$P2675="없음"),0,100000)),0)</f>
        <v>0</v>
      </c>
      <c r="K2675" s="27">
        <f t="array" ref="K2675">IF($O2675="방문완료",IFERROR(INDEX(설정_코스수당!$B$15:$F$64,MATCH($G2675,설정_코스수당!$A$15:$A$64,0),MATCH($E2675&amp;"수당",설정_코스수당!$B$14:$F$14,0)),0),0)</f>
        <v>0</v>
      </c>
      <c r="L2675" s="27">
        <f t="array" ref="L2675">IF($O2675="방문완료",IF($H2675="",0,IFERROR(INDEX(설정_코스수당!$B$15:$F$64,MATCH($H2675,설정_코스수당!$A$15:$A$64,0),MATCH($E2675&amp;"수당",설정_코스수당!$B$14:$F$14,0)),0)),0)</f>
        <v>0</v>
      </c>
      <c r="M2675" s="27">
        <f>IF($O2675="방문완료",IFERROR(VLOOKUP($E2675,설정_코스수당!$A$6:$H$10,6,FALSE),0),0)</f>
        <v>0</v>
      </c>
      <c r="N2675" s="28">
        <f t="shared" si="77"/>
        <v>0</v>
      </c>
      <c r="O2675" s="23"/>
      <c r="P2675" s="23"/>
      <c r="Q2675" s="23"/>
      <c r="R2675" s="26"/>
      <c r="S2675" s="23"/>
    </row>
    <row r="2676" spans="1:19" ht="19.5" hidden="1" customHeight="1" outlineLevel="1">
      <c r="A2676" s="29">
        <v>88</v>
      </c>
      <c r="B2676" s="30">
        <f>IF(26&lt;=DAY(DATE(YEAR(설정_코스수당!$K$2),MONTH(설정_코스수당!$K$2)+1,0)),DATE(YEAR(설정_코스수당!$K$2),MONTH(설정_코스수당!$K$2),26),"")</f>
        <v>46199</v>
      </c>
      <c r="C2676" s="31"/>
      <c r="D2676" s="29"/>
      <c r="E2676" s="29"/>
      <c r="F2676" s="32"/>
      <c r="G2676" s="29"/>
      <c r="H2676" s="29"/>
      <c r="I2676" s="29"/>
      <c r="J2676" s="33">
        <f>IF($O2676="방문완료",MAX(0,IFERROR(VLOOKUP($E2676,설정_코스수당!$A$6:$H$10,4,FALSE),0)-IF(OR($P2676="",$P2676="없음"),0,100000)),0)</f>
        <v>0</v>
      </c>
      <c r="K2676" s="33">
        <f t="array" ref="K2676">IF($O2676="방문완료",IFERROR(INDEX(설정_코스수당!$B$15:$F$64,MATCH($G2676,설정_코스수당!$A$15:$A$64,0),MATCH($E2676&amp;"수당",설정_코스수당!$B$14:$F$14,0)),0),0)</f>
        <v>0</v>
      </c>
      <c r="L2676" s="33">
        <f t="array" ref="L2676">IF($O2676="방문완료",IF($H2676="",0,IFERROR(INDEX(설정_코스수당!$B$15:$F$64,MATCH($H2676,설정_코스수당!$A$15:$A$64,0),MATCH($E2676&amp;"수당",설정_코스수당!$B$14:$F$14,0)),0)),0)</f>
        <v>0</v>
      </c>
      <c r="M2676" s="33">
        <f>IF($O2676="방문완료",IFERROR(VLOOKUP($E2676,설정_코스수당!$A$6:$H$10,6,FALSE),0),0)</f>
        <v>0</v>
      </c>
      <c r="N2676" s="34">
        <f t="shared" si="77"/>
        <v>0</v>
      </c>
      <c r="O2676" s="29"/>
      <c r="P2676" s="29"/>
      <c r="Q2676" s="29"/>
      <c r="R2676" s="32"/>
      <c r="S2676" s="29"/>
    </row>
    <row r="2677" spans="1:19" ht="19.5" hidden="1" customHeight="1" outlineLevel="1">
      <c r="A2677" s="23">
        <v>89</v>
      </c>
      <c r="B2677" s="24">
        <f>IF(26&lt;=DAY(DATE(YEAR(설정_코스수당!$K$2),MONTH(설정_코스수당!$K$2)+1,0)),DATE(YEAR(설정_코스수당!$K$2),MONTH(설정_코스수당!$K$2),26),"")</f>
        <v>46199</v>
      </c>
      <c r="C2677" s="25"/>
      <c r="D2677" s="23"/>
      <c r="E2677" s="23"/>
      <c r="F2677" s="26"/>
      <c r="G2677" s="23"/>
      <c r="H2677" s="23"/>
      <c r="I2677" s="23"/>
      <c r="J2677" s="27">
        <f>IF($O2677="방문완료",MAX(0,IFERROR(VLOOKUP($E2677,설정_코스수당!$A$6:$H$10,4,FALSE),0)-IF(OR($P2677="",$P2677="없음"),0,100000)),0)</f>
        <v>0</v>
      </c>
      <c r="K2677" s="27">
        <f t="array" ref="K2677">IF($O2677="방문완료",IFERROR(INDEX(설정_코스수당!$B$15:$F$64,MATCH($G2677,설정_코스수당!$A$15:$A$64,0),MATCH($E2677&amp;"수당",설정_코스수당!$B$14:$F$14,0)),0),0)</f>
        <v>0</v>
      </c>
      <c r="L2677" s="27">
        <f t="array" ref="L2677">IF($O2677="방문완료",IF($H2677="",0,IFERROR(INDEX(설정_코스수당!$B$15:$F$64,MATCH($H2677,설정_코스수당!$A$15:$A$64,0),MATCH($E2677&amp;"수당",설정_코스수당!$B$14:$F$14,0)),0)),0)</f>
        <v>0</v>
      </c>
      <c r="M2677" s="27">
        <f>IF($O2677="방문완료",IFERROR(VLOOKUP($E2677,설정_코스수당!$A$6:$H$10,6,FALSE),0),0)</f>
        <v>0</v>
      </c>
      <c r="N2677" s="28">
        <f t="shared" si="77"/>
        <v>0</v>
      </c>
      <c r="O2677" s="23"/>
      <c r="P2677" s="23"/>
      <c r="Q2677" s="23"/>
      <c r="R2677" s="26"/>
      <c r="S2677" s="23"/>
    </row>
    <row r="2678" spans="1:19" ht="19.5" hidden="1" customHeight="1" outlineLevel="1">
      <c r="A2678" s="29">
        <v>90</v>
      </c>
      <c r="B2678" s="30">
        <f>IF(26&lt;=DAY(DATE(YEAR(설정_코스수당!$K$2),MONTH(설정_코스수당!$K$2)+1,0)),DATE(YEAR(설정_코스수당!$K$2),MONTH(설정_코스수당!$K$2),26),"")</f>
        <v>46199</v>
      </c>
      <c r="C2678" s="31"/>
      <c r="D2678" s="29"/>
      <c r="E2678" s="29"/>
      <c r="F2678" s="32"/>
      <c r="G2678" s="29"/>
      <c r="H2678" s="29"/>
      <c r="I2678" s="29"/>
      <c r="J2678" s="33">
        <f>IF($O2678="방문완료",MAX(0,IFERROR(VLOOKUP($E2678,설정_코스수당!$A$6:$H$10,4,FALSE),0)-IF(OR($P2678="",$P2678="없음"),0,100000)),0)</f>
        <v>0</v>
      </c>
      <c r="K2678" s="33">
        <f t="array" ref="K2678">IF($O2678="방문완료",IFERROR(INDEX(설정_코스수당!$B$15:$F$64,MATCH($G2678,설정_코스수당!$A$15:$A$64,0),MATCH($E2678&amp;"수당",설정_코스수당!$B$14:$F$14,0)),0),0)</f>
        <v>0</v>
      </c>
      <c r="L2678" s="33">
        <f t="array" ref="L2678">IF($O2678="방문완료",IF($H2678="",0,IFERROR(INDEX(설정_코스수당!$B$15:$F$64,MATCH($H2678,설정_코스수당!$A$15:$A$64,0),MATCH($E2678&amp;"수당",설정_코스수당!$B$14:$F$14,0)),0)),0)</f>
        <v>0</v>
      </c>
      <c r="M2678" s="33">
        <f>IF($O2678="방문완료",IFERROR(VLOOKUP($E2678,설정_코스수당!$A$6:$H$10,6,FALSE),0),0)</f>
        <v>0</v>
      </c>
      <c r="N2678" s="34">
        <f t="shared" si="77"/>
        <v>0</v>
      </c>
      <c r="O2678" s="29"/>
      <c r="P2678" s="29"/>
      <c r="Q2678" s="29"/>
      <c r="R2678" s="32"/>
      <c r="S2678" s="29"/>
    </row>
    <row r="2679" spans="1:19" ht="19.5" hidden="1" customHeight="1" outlineLevel="1">
      <c r="A2679" s="23">
        <v>91</v>
      </c>
      <c r="B2679" s="24">
        <f>IF(26&lt;=DAY(DATE(YEAR(설정_코스수당!$K$2),MONTH(설정_코스수당!$K$2)+1,0)),DATE(YEAR(설정_코스수당!$K$2),MONTH(설정_코스수당!$K$2),26),"")</f>
        <v>46199</v>
      </c>
      <c r="C2679" s="25"/>
      <c r="D2679" s="23"/>
      <c r="E2679" s="23"/>
      <c r="F2679" s="26"/>
      <c r="G2679" s="23"/>
      <c r="H2679" s="23"/>
      <c r="I2679" s="23"/>
      <c r="J2679" s="27">
        <f>IF($O2679="방문완료",MAX(0,IFERROR(VLOOKUP($E2679,설정_코스수당!$A$6:$H$10,4,FALSE),0)-IF(OR($P2679="",$P2679="없음"),0,100000)),0)</f>
        <v>0</v>
      </c>
      <c r="K2679" s="27">
        <f t="array" ref="K2679">IF($O2679="방문완료",IFERROR(INDEX(설정_코스수당!$B$15:$F$64,MATCH($G2679,설정_코스수당!$A$15:$A$64,0),MATCH($E2679&amp;"수당",설정_코스수당!$B$14:$F$14,0)),0),0)</f>
        <v>0</v>
      </c>
      <c r="L2679" s="27">
        <f t="array" ref="L2679">IF($O2679="방문완료",IF($H2679="",0,IFERROR(INDEX(설정_코스수당!$B$15:$F$64,MATCH($H2679,설정_코스수당!$A$15:$A$64,0),MATCH($E2679&amp;"수당",설정_코스수당!$B$14:$F$14,0)),0)),0)</f>
        <v>0</v>
      </c>
      <c r="M2679" s="27">
        <f>IF($O2679="방문완료",IFERROR(VLOOKUP($E2679,설정_코스수당!$A$6:$H$10,6,FALSE),0),0)</f>
        <v>0</v>
      </c>
      <c r="N2679" s="28">
        <f t="shared" si="77"/>
        <v>0</v>
      </c>
      <c r="O2679" s="23"/>
      <c r="P2679" s="23"/>
      <c r="Q2679" s="23"/>
      <c r="R2679" s="26"/>
      <c r="S2679" s="23"/>
    </row>
    <row r="2680" spans="1:19" ht="19.5" hidden="1" customHeight="1" outlineLevel="1">
      <c r="A2680" s="29">
        <v>92</v>
      </c>
      <c r="B2680" s="30">
        <f>IF(26&lt;=DAY(DATE(YEAR(설정_코스수당!$K$2),MONTH(설정_코스수당!$K$2)+1,0)),DATE(YEAR(설정_코스수당!$K$2),MONTH(설정_코스수당!$K$2),26),"")</f>
        <v>46199</v>
      </c>
      <c r="C2680" s="31"/>
      <c r="D2680" s="29"/>
      <c r="E2680" s="29"/>
      <c r="F2680" s="32"/>
      <c r="G2680" s="29"/>
      <c r="H2680" s="29"/>
      <c r="I2680" s="29"/>
      <c r="J2680" s="33">
        <f>IF($O2680="방문완료",MAX(0,IFERROR(VLOOKUP($E2680,설정_코스수당!$A$6:$H$10,4,FALSE),0)-IF(OR($P2680="",$P2680="없음"),0,100000)),0)</f>
        <v>0</v>
      </c>
      <c r="K2680" s="33">
        <f t="array" ref="K2680">IF($O2680="방문완료",IFERROR(INDEX(설정_코스수당!$B$15:$F$64,MATCH($G2680,설정_코스수당!$A$15:$A$64,0),MATCH($E2680&amp;"수당",설정_코스수당!$B$14:$F$14,0)),0),0)</f>
        <v>0</v>
      </c>
      <c r="L2680" s="33">
        <f t="array" ref="L2680">IF($O2680="방문완료",IF($H2680="",0,IFERROR(INDEX(설정_코스수당!$B$15:$F$64,MATCH($H2680,설정_코스수당!$A$15:$A$64,0),MATCH($E2680&amp;"수당",설정_코스수당!$B$14:$F$14,0)),0)),0)</f>
        <v>0</v>
      </c>
      <c r="M2680" s="33">
        <f>IF($O2680="방문완료",IFERROR(VLOOKUP($E2680,설정_코스수당!$A$6:$H$10,6,FALSE),0),0)</f>
        <v>0</v>
      </c>
      <c r="N2680" s="34">
        <f t="shared" si="77"/>
        <v>0</v>
      </c>
      <c r="O2680" s="29"/>
      <c r="P2680" s="29"/>
      <c r="Q2680" s="29"/>
      <c r="R2680" s="32"/>
      <c r="S2680" s="29"/>
    </row>
    <row r="2681" spans="1:19" ht="19.5" hidden="1" customHeight="1" outlineLevel="1">
      <c r="A2681" s="23">
        <v>93</v>
      </c>
      <c r="B2681" s="24">
        <f>IF(26&lt;=DAY(DATE(YEAR(설정_코스수당!$K$2),MONTH(설정_코스수당!$K$2)+1,0)),DATE(YEAR(설정_코스수당!$K$2),MONTH(설정_코스수당!$K$2),26),"")</f>
        <v>46199</v>
      </c>
      <c r="C2681" s="25"/>
      <c r="D2681" s="23"/>
      <c r="E2681" s="23"/>
      <c r="F2681" s="26"/>
      <c r="G2681" s="23"/>
      <c r="H2681" s="23"/>
      <c r="I2681" s="23"/>
      <c r="J2681" s="27">
        <f>IF($O2681="방문완료",MAX(0,IFERROR(VLOOKUP($E2681,설정_코스수당!$A$6:$H$10,4,FALSE),0)-IF(OR($P2681="",$P2681="없음"),0,100000)),0)</f>
        <v>0</v>
      </c>
      <c r="K2681" s="27">
        <f t="array" ref="K2681">IF($O2681="방문완료",IFERROR(INDEX(설정_코스수당!$B$15:$F$64,MATCH($G2681,설정_코스수당!$A$15:$A$64,0),MATCH($E2681&amp;"수당",설정_코스수당!$B$14:$F$14,0)),0),0)</f>
        <v>0</v>
      </c>
      <c r="L2681" s="27">
        <f t="array" ref="L2681">IF($O2681="방문완료",IF($H2681="",0,IFERROR(INDEX(설정_코스수당!$B$15:$F$64,MATCH($H2681,설정_코스수당!$A$15:$A$64,0),MATCH($E2681&amp;"수당",설정_코스수당!$B$14:$F$14,0)),0)),0)</f>
        <v>0</v>
      </c>
      <c r="M2681" s="27">
        <f>IF($O2681="방문완료",IFERROR(VLOOKUP($E2681,설정_코스수당!$A$6:$H$10,6,FALSE),0),0)</f>
        <v>0</v>
      </c>
      <c r="N2681" s="28">
        <f t="shared" si="77"/>
        <v>0</v>
      </c>
      <c r="O2681" s="23"/>
      <c r="P2681" s="23"/>
      <c r="Q2681" s="23"/>
      <c r="R2681" s="26"/>
      <c r="S2681" s="23"/>
    </row>
    <row r="2682" spans="1:19" ht="19.5" hidden="1" customHeight="1" outlineLevel="1">
      <c r="A2682" s="29">
        <v>94</v>
      </c>
      <c r="B2682" s="30">
        <f>IF(26&lt;=DAY(DATE(YEAR(설정_코스수당!$K$2),MONTH(설정_코스수당!$K$2)+1,0)),DATE(YEAR(설정_코스수당!$K$2),MONTH(설정_코스수당!$K$2),26),"")</f>
        <v>46199</v>
      </c>
      <c r="C2682" s="31"/>
      <c r="D2682" s="29"/>
      <c r="E2682" s="29"/>
      <c r="F2682" s="32"/>
      <c r="G2682" s="29"/>
      <c r="H2682" s="29"/>
      <c r="I2682" s="29"/>
      <c r="J2682" s="33">
        <f>IF($O2682="방문완료",MAX(0,IFERROR(VLOOKUP($E2682,설정_코스수당!$A$6:$H$10,4,FALSE),0)-IF(OR($P2682="",$P2682="없음"),0,100000)),0)</f>
        <v>0</v>
      </c>
      <c r="K2682" s="33">
        <f t="array" ref="K2682">IF($O2682="방문완료",IFERROR(INDEX(설정_코스수당!$B$15:$F$64,MATCH($G2682,설정_코스수당!$A$15:$A$64,0),MATCH($E2682&amp;"수당",설정_코스수당!$B$14:$F$14,0)),0),0)</f>
        <v>0</v>
      </c>
      <c r="L2682" s="33">
        <f t="array" ref="L2682">IF($O2682="방문완료",IF($H2682="",0,IFERROR(INDEX(설정_코스수당!$B$15:$F$64,MATCH($H2682,설정_코스수당!$A$15:$A$64,0),MATCH($E2682&amp;"수당",설정_코스수당!$B$14:$F$14,0)),0)),0)</f>
        <v>0</v>
      </c>
      <c r="M2682" s="33">
        <f>IF($O2682="방문완료",IFERROR(VLOOKUP($E2682,설정_코스수당!$A$6:$H$10,6,FALSE),0),0)</f>
        <v>0</v>
      </c>
      <c r="N2682" s="34">
        <f t="shared" si="77"/>
        <v>0</v>
      </c>
      <c r="O2682" s="29"/>
      <c r="P2682" s="29"/>
      <c r="Q2682" s="29"/>
      <c r="R2682" s="32"/>
      <c r="S2682" s="29"/>
    </row>
    <row r="2683" spans="1:19" ht="19.5" hidden="1" customHeight="1" outlineLevel="1">
      <c r="A2683" s="23">
        <v>95</v>
      </c>
      <c r="B2683" s="24">
        <f>IF(26&lt;=DAY(DATE(YEAR(설정_코스수당!$K$2),MONTH(설정_코스수당!$K$2)+1,0)),DATE(YEAR(설정_코스수당!$K$2),MONTH(설정_코스수당!$K$2),26),"")</f>
        <v>46199</v>
      </c>
      <c r="C2683" s="25"/>
      <c r="D2683" s="23"/>
      <c r="E2683" s="23"/>
      <c r="F2683" s="26"/>
      <c r="G2683" s="23"/>
      <c r="H2683" s="23"/>
      <c r="I2683" s="23"/>
      <c r="J2683" s="27">
        <f>IF($O2683="방문완료",MAX(0,IFERROR(VLOOKUP($E2683,설정_코스수당!$A$6:$H$10,4,FALSE),0)-IF(OR($P2683="",$P2683="없음"),0,100000)),0)</f>
        <v>0</v>
      </c>
      <c r="K2683" s="27">
        <f t="array" ref="K2683">IF($O2683="방문완료",IFERROR(INDEX(설정_코스수당!$B$15:$F$64,MATCH($G2683,설정_코스수당!$A$15:$A$64,0),MATCH($E2683&amp;"수당",설정_코스수당!$B$14:$F$14,0)),0),0)</f>
        <v>0</v>
      </c>
      <c r="L2683" s="27">
        <f t="array" ref="L2683">IF($O2683="방문완료",IF($H2683="",0,IFERROR(INDEX(설정_코스수당!$B$15:$F$64,MATCH($H2683,설정_코스수당!$A$15:$A$64,0),MATCH($E2683&amp;"수당",설정_코스수당!$B$14:$F$14,0)),0)),0)</f>
        <v>0</v>
      </c>
      <c r="M2683" s="27">
        <f>IF($O2683="방문완료",IFERROR(VLOOKUP($E2683,설정_코스수당!$A$6:$H$10,6,FALSE),0),0)</f>
        <v>0</v>
      </c>
      <c r="N2683" s="28">
        <f t="shared" si="77"/>
        <v>0</v>
      </c>
      <c r="O2683" s="23"/>
      <c r="P2683" s="23"/>
      <c r="Q2683" s="23"/>
      <c r="R2683" s="26"/>
      <c r="S2683" s="23"/>
    </row>
    <row r="2684" spans="1:19" ht="19.5" hidden="1" customHeight="1" outlineLevel="1">
      <c r="A2684" s="29">
        <v>96</v>
      </c>
      <c r="B2684" s="30">
        <f>IF(26&lt;=DAY(DATE(YEAR(설정_코스수당!$K$2),MONTH(설정_코스수당!$K$2)+1,0)),DATE(YEAR(설정_코스수당!$K$2),MONTH(설정_코스수당!$K$2),26),"")</f>
        <v>46199</v>
      </c>
      <c r="C2684" s="31"/>
      <c r="D2684" s="29"/>
      <c r="E2684" s="29"/>
      <c r="F2684" s="32"/>
      <c r="G2684" s="29"/>
      <c r="H2684" s="29"/>
      <c r="I2684" s="29"/>
      <c r="J2684" s="33">
        <f>IF($O2684="방문완료",MAX(0,IFERROR(VLOOKUP($E2684,설정_코스수당!$A$6:$H$10,4,FALSE),0)-IF(OR($P2684="",$P2684="없음"),0,100000)),0)</f>
        <v>0</v>
      </c>
      <c r="K2684" s="33">
        <f t="array" ref="K2684">IF($O2684="방문완료",IFERROR(INDEX(설정_코스수당!$B$15:$F$64,MATCH($G2684,설정_코스수당!$A$15:$A$64,0),MATCH($E2684&amp;"수당",설정_코스수당!$B$14:$F$14,0)),0),0)</f>
        <v>0</v>
      </c>
      <c r="L2684" s="33">
        <f t="array" ref="L2684">IF($O2684="방문완료",IF($H2684="",0,IFERROR(INDEX(설정_코스수당!$B$15:$F$64,MATCH($H2684,설정_코스수당!$A$15:$A$64,0),MATCH($E2684&amp;"수당",설정_코스수당!$B$14:$F$14,0)),0)),0)</f>
        <v>0</v>
      </c>
      <c r="M2684" s="33">
        <f>IF($O2684="방문완료",IFERROR(VLOOKUP($E2684,설정_코스수당!$A$6:$H$10,6,FALSE),0),0)</f>
        <v>0</v>
      </c>
      <c r="N2684" s="34">
        <f t="shared" si="77"/>
        <v>0</v>
      </c>
      <c r="O2684" s="29"/>
      <c r="P2684" s="29"/>
      <c r="Q2684" s="29"/>
      <c r="R2684" s="32"/>
      <c r="S2684" s="29"/>
    </row>
    <row r="2685" spans="1:19" ht="19.5" hidden="1" customHeight="1" outlineLevel="1">
      <c r="A2685" s="23">
        <v>97</v>
      </c>
      <c r="B2685" s="24">
        <f>IF(26&lt;=DAY(DATE(YEAR(설정_코스수당!$K$2),MONTH(설정_코스수당!$K$2)+1,0)),DATE(YEAR(설정_코스수당!$K$2),MONTH(설정_코스수당!$K$2),26),"")</f>
        <v>46199</v>
      </c>
      <c r="C2685" s="25"/>
      <c r="D2685" s="23"/>
      <c r="E2685" s="23"/>
      <c r="F2685" s="26"/>
      <c r="G2685" s="23"/>
      <c r="H2685" s="23"/>
      <c r="I2685" s="23"/>
      <c r="J2685" s="27">
        <f>IF($O2685="방문완료",MAX(0,IFERROR(VLOOKUP($E2685,설정_코스수당!$A$6:$H$10,4,FALSE),0)-IF(OR($P2685="",$P2685="없음"),0,100000)),0)</f>
        <v>0</v>
      </c>
      <c r="K2685" s="27">
        <f t="array" ref="K2685">IF($O2685="방문완료",IFERROR(INDEX(설정_코스수당!$B$15:$F$64,MATCH($G2685,설정_코스수당!$A$15:$A$64,0),MATCH($E2685&amp;"수당",설정_코스수당!$B$14:$F$14,0)),0),0)</f>
        <v>0</v>
      </c>
      <c r="L2685" s="27">
        <f t="array" ref="L2685">IF($O2685="방문완료",IF($H2685="",0,IFERROR(INDEX(설정_코스수당!$B$15:$F$64,MATCH($H2685,설정_코스수당!$A$15:$A$64,0),MATCH($E2685&amp;"수당",설정_코스수당!$B$14:$F$14,0)),0)),0)</f>
        <v>0</v>
      </c>
      <c r="M2685" s="27">
        <f>IF($O2685="방문완료",IFERROR(VLOOKUP($E2685,설정_코스수당!$A$6:$H$10,6,FALSE),0),0)</f>
        <v>0</v>
      </c>
      <c r="N2685" s="28">
        <f t="shared" si="77"/>
        <v>0</v>
      </c>
      <c r="O2685" s="23"/>
      <c r="P2685" s="23"/>
      <c r="Q2685" s="23"/>
      <c r="R2685" s="26"/>
      <c r="S2685" s="23"/>
    </row>
    <row r="2686" spans="1:19" ht="19.5" hidden="1" customHeight="1" outlineLevel="1">
      <c r="A2686" s="29">
        <v>98</v>
      </c>
      <c r="B2686" s="30">
        <f>IF(26&lt;=DAY(DATE(YEAR(설정_코스수당!$K$2),MONTH(설정_코스수당!$K$2)+1,0)),DATE(YEAR(설정_코스수당!$K$2),MONTH(설정_코스수당!$K$2),26),"")</f>
        <v>46199</v>
      </c>
      <c r="C2686" s="31"/>
      <c r="D2686" s="29"/>
      <c r="E2686" s="29"/>
      <c r="F2686" s="32"/>
      <c r="G2686" s="29"/>
      <c r="H2686" s="29"/>
      <c r="I2686" s="29"/>
      <c r="J2686" s="33">
        <f>IF($O2686="방문완료",MAX(0,IFERROR(VLOOKUP($E2686,설정_코스수당!$A$6:$H$10,4,FALSE),0)-IF(OR($P2686="",$P2686="없음"),0,100000)),0)</f>
        <v>0</v>
      </c>
      <c r="K2686" s="33">
        <f t="array" ref="K2686">IF($O2686="방문완료",IFERROR(INDEX(설정_코스수당!$B$15:$F$64,MATCH($G2686,설정_코스수당!$A$15:$A$64,0),MATCH($E2686&amp;"수당",설정_코스수당!$B$14:$F$14,0)),0),0)</f>
        <v>0</v>
      </c>
      <c r="L2686" s="33">
        <f t="array" ref="L2686">IF($O2686="방문완료",IF($H2686="",0,IFERROR(INDEX(설정_코스수당!$B$15:$F$64,MATCH($H2686,설정_코스수당!$A$15:$A$64,0),MATCH($E2686&amp;"수당",설정_코스수당!$B$14:$F$14,0)),0)),0)</f>
        <v>0</v>
      </c>
      <c r="M2686" s="33">
        <f>IF($O2686="방문완료",IFERROR(VLOOKUP($E2686,설정_코스수당!$A$6:$H$10,6,FALSE),0),0)</f>
        <v>0</v>
      </c>
      <c r="N2686" s="34">
        <f t="shared" si="77"/>
        <v>0</v>
      </c>
      <c r="O2686" s="29"/>
      <c r="P2686" s="29"/>
      <c r="Q2686" s="29"/>
      <c r="R2686" s="32"/>
      <c r="S2686" s="29"/>
    </row>
    <row r="2687" spans="1:19" ht="19.5" hidden="1" customHeight="1" outlineLevel="1">
      <c r="A2687" s="23">
        <v>99</v>
      </c>
      <c r="B2687" s="24">
        <f>IF(26&lt;=DAY(DATE(YEAR(설정_코스수당!$K$2),MONTH(설정_코스수당!$K$2)+1,0)),DATE(YEAR(설정_코스수당!$K$2),MONTH(설정_코스수당!$K$2),26),"")</f>
        <v>46199</v>
      </c>
      <c r="C2687" s="25"/>
      <c r="D2687" s="23"/>
      <c r="E2687" s="23"/>
      <c r="F2687" s="26"/>
      <c r="G2687" s="23"/>
      <c r="H2687" s="23"/>
      <c r="I2687" s="23"/>
      <c r="J2687" s="27">
        <f>IF($O2687="방문완료",MAX(0,IFERROR(VLOOKUP($E2687,설정_코스수당!$A$6:$H$10,4,FALSE),0)-IF(OR($P2687="",$P2687="없음"),0,100000)),0)</f>
        <v>0</v>
      </c>
      <c r="K2687" s="27">
        <f t="array" ref="K2687">IF($O2687="방문완료",IFERROR(INDEX(설정_코스수당!$B$15:$F$64,MATCH($G2687,설정_코스수당!$A$15:$A$64,0),MATCH($E2687&amp;"수당",설정_코스수당!$B$14:$F$14,0)),0),0)</f>
        <v>0</v>
      </c>
      <c r="L2687" s="27">
        <f t="array" ref="L2687">IF($O2687="방문완료",IF($H2687="",0,IFERROR(INDEX(설정_코스수당!$B$15:$F$64,MATCH($H2687,설정_코스수당!$A$15:$A$64,0),MATCH($E2687&amp;"수당",설정_코스수당!$B$14:$F$14,0)),0)),0)</f>
        <v>0</v>
      </c>
      <c r="M2687" s="27">
        <f>IF($O2687="방문완료",IFERROR(VLOOKUP($E2687,설정_코스수당!$A$6:$H$10,6,FALSE),0),0)</f>
        <v>0</v>
      </c>
      <c r="N2687" s="28">
        <f t="shared" si="77"/>
        <v>0</v>
      </c>
      <c r="O2687" s="23"/>
      <c r="P2687" s="23"/>
      <c r="Q2687" s="23"/>
      <c r="R2687" s="26"/>
      <c r="S2687" s="23"/>
    </row>
    <row r="2688" spans="1:19" ht="19.5" hidden="1" customHeight="1" outlineLevel="1">
      <c r="A2688" s="29">
        <v>100</v>
      </c>
      <c r="B2688" s="30">
        <f>IF(26&lt;=DAY(DATE(YEAR(설정_코스수당!$K$2),MONTH(설정_코스수당!$K$2)+1,0)),DATE(YEAR(설정_코스수당!$K$2),MONTH(설정_코스수당!$K$2),26),"")</f>
        <v>46199</v>
      </c>
      <c r="C2688" s="31"/>
      <c r="D2688" s="29"/>
      <c r="E2688" s="29"/>
      <c r="F2688" s="32"/>
      <c r="G2688" s="29"/>
      <c r="H2688" s="29"/>
      <c r="I2688" s="29"/>
      <c r="J2688" s="33">
        <f>IF($O2688="방문완료",MAX(0,IFERROR(VLOOKUP($E2688,설정_코스수당!$A$6:$H$10,4,FALSE),0)-IF(OR($P2688="",$P2688="없음"),0,100000)),0)</f>
        <v>0</v>
      </c>
      <c r="K2688" s="33">
        <f t="array" ref="K2688">IF($O2688="방문완료",IFERROR(INDEX(설정_코스수당!$B$15:$F$64,MATCH($G2688,설정_코스수당!$A$15:$A$64,0),MATCH($E2688&amp;"수당",설정_코스수당!$B$14:$F$14,0)),0),0)</f>
        <v>0</v>
      </c>
      <c r="L2688" s="33">
        <f t="array" ref="L2688">IF($O2688="방문완료",IF($H2688="",0,IFERROR(INDEX(설정_코스수당!$B$15:$F$64,MATCH($H2688,설정_코스수당!$A$15:$A$64,0),MATCH($E2688&amp;"수당",설정_코스수당!$B$14:$F$14,0)),0)),0)</f>
        <v>0</v>
      </c>
      <c r="M2688" s="33">
        <f>IF($O2688="방문완료",IFERROR(VLOOKUP($E2688,설정_코스수당!$A$6:$H$10,6,FALSE),0),0)</f>
        <v>0</v>
      </c>
      <c r="N2688" s="34">
        <f t="shared" si="77"/>
        <v>0</v>
      </c>
      <c r="O2688" s="29"/>
      <c r="P2688" s="29"/>
      <c r="Q2688" s="29"/>
      <c r="R2688" s="32"/>
      <c r="S2688" s="29"/>
    </row>
    <row r="2689" spans="1:27" ht="19.5" hidden="1" customHeight="1" outlineLevel="1">
      <c r="A2689" s="36" t="s">
        <v>79</v>
      </c>
      <c r="B2689" s="37"/>
      <c r="C2689" s="38"/>
      <c r="D2689" s="37"/>
      <c r="E2689" s="37"/>
      <c r="F2689" s="37"/>
      <c r="G2689" s="37"/>
      <c r="H2689" s="37"/>
      <c r="I2689" s="37"/>
      <c r="J2689" s="37">
        <f>IF($O2689="방문완료",MAX(0,IFERROR(VLOOKUP($E2689,설정_코스수당!$A$6:$H$10,4,FALSE),0)-IF(OR($P2689="",$P2689="없음"),0,100000)),0)</f>
        <v>0</v>
      </c>
      <c r="O2689" s="18"/>
      <c r="P2689" s="14"/>
      <c r="Q2689" s="18"/>
      <c r="S2689" s="18"/>
    </row>
    <row r="2690" spans="1:27" ht="21" customHeight="1" collapsed="1">
      <c r="A2690" s="123" t="str">
        <f>IF(27&lt;=DAY(DATE(YEAR(설정_코스수당!$K$2),MONTH(설정_코스수당!$K$2)+1,0)),TEXT(DATE(YEAR(설정_코스수당!$K$2),MONTH(설정_코스수당!$K$2),27),"yyyy-mm-dd")&amp;"  |  예약관리 100슬롯","")</f>
        <v>2026-06-27  |  예약관리 100슬롯</v>
      </c>
      <c r="B2690" s="124"/>
      <c r="C2690" s="124"/>
      <c r="D2690" s="124"/>
      <c r="E2690" s="124"/>
      <c r="F2690" s="124"/>
      <c r="G2690" s="124"/>
      <c r="H2690" s="124"/>
      <c r="I2690" s="124"/>
      <c r="J2690" s="124"/>
      <c r="K2690" s="124"/>
      <c r="L2690" s="124"/>
      <c r="M2690" s="124"/>
      <c r="N2690" s="124"/>
      <c r="O2690" s="19"/>
      <c r="P2690" s="19"/>
      <c r="Q2690" s="19"/>
      <c r="R2690" s="19"/>
      <c r="S2690" s="19"/>
      <c r="T2690" s="19"/>
      <c r="U2690" s="19"/>
      <c r="V2690" s="19"/>
      <c r="W2690" s="19"/>
      <c r="X2690" s="19"/>
      <c r="Y2690" s="19"/>
      <c r="Z2690" s="19"/>
      <c r="AA2690" s="19"/>
    </row>
    <row r="2691" spans="1:27" ht="19.5" hidden="1" customHeight="1" outlineLevel="1">
      <c r="A2691" s="20" t="s">
        <v>41</v>
      </c>
      <c r="B2691" s="20" t="s">
        <v>42</v>
      </c>
      <c r="C2691" s="39" t="s">
        <v>43</v>
      </c>
      <c r="D2691" s="20" t="s">
        <v>44</v>
      </c>
      <c r="E2691" s="20" t="s">
        <v>45</v>
      </c>
      <c r="F2691" s="20" t="s">
        <v>46</v>
      </c>
      <c r="G2691" s="20" t="s">
        <v>47</v>
      </c>
      <c r="H2691" s="20" t="s">
        <v>48</v>
      </c>
      <c r="I2691" s="20" t="s">
        <v>49</v>
      </c>
      <c r="J2691" s="20" t="s">
        <v>50</v>
      </c>
      <c r="K2691" s="20" t="s">
        <v>51</v>
      </c>
      <c r="L2691" s="20" t="s">
        <v>52</v>
      </c>
      <c r="M2691" s="20" t="s">
        <v>53</v>
      </c>
      <c r="N2691" s="20" t="s">
        <v>54</v>
      </c>
      <c r="O2691" s="20" t="s">
        <v>55</v>
      </c>
      <c r="P2691" s="20" t="s">
        <v>56</v>
      </c>
      <c r="Q2691" s="18"/>
      <c r="R2691" s="20" t="s">
        <v>58</v>
      </c>
      <c r="S2691" s="20" t="s">
        <v>59</v>
      </c>
      <c r="U2691" s="122" t="str">
        <f>IF(27&lt;=DAY(DATE(YEAR(설정_코스수당!$K$2),MONTH(설정_코스수당!$K$2)+1,0)),TEXT(DATE(YEAR(설정_코스수당!$K$2),MONTH(설정_코스수당!$K$2),27),"yyyy-mm-dd")&amp;" 일일 상태","")</f>
        <v>2026-06-27 일일 상태</v>
      </c>
      <c r="V2691" s="125"/>
      <c r="W2691" s="122" t="s">
        <v>3</v>
      </c>
      <c r="X2691" s="125"/>
    </row>
    <row r="2692" spans="1:27" ht="19.5" hidden="1" customHeight="1" outlineLevel="1">
      <c r="A2692" s="23">
        <v>1</v>
      </c>
      <c r="B2692" s="24">
        <f>IF(27&lt;=DAY(DATE(YEAR(설정_코스수당!$K$2),MONTH(설정_코스수당!$K$2)+1,0)),DATE(YEAR(설정_코스수당!$K$2),MONTH(설정_코스수당!$K$2),27),"")</f>
        <v>46200</v>
      </c>
      <c r="C2692" s="25"/>
      <c r="D2692" s="23"/>
      <c r="E2692" s="23"/>
      <c r="F2692" s="26"/>
      <c r="G2692" s="23"/>
      <c r="H2692" s="23"/>
      <c r="I2692" s="23"/>
      <c r="J2692" s="27">
        <f>IF($O2692="방문완료",MAX(0,IFERROR(VLOOKUP($E2692,설정_코스수당!$A$6:$H$10,4,FALSE),0)-IF(OR($P2692="",$P2692="없음"),0,100000)),0)</f>
        <v>0</v>
      </c>
      <c r="K2692" s="27">
        <f t="array" ref="K2692">IF($O2692="방문완료",IFERROR(INDEX(설정_코스수당!$B$15:$F$64,MATCH($G2692,설정_코스수당!$A$15:$A$64,0),MATCH($E2692&amp;"수당",설정_코스수당!$B$14:$F$14,0)),0),0)</f>
        <v>0</v>
      </c>
      <c r="L2692" s="27">
        <f t="array" ref="L2692">IF($O2692="방문완료",IF($H2692="",0,IFERROR(INDEX(설정_코스수당!$B$15:$F$64,MATCH($H2692,설정_코스수당!$A$15:$A$64,0),MATCH($E2692&amp;"수당",설정_코스수당!$B$14:$F$14,0)),0)),0)</f>
        <v>0</v>
      </c>
      <c r="M2692" s="27">
        <f>IF($O2692="방문완료",IFERROR(VLOOKUP($E2692,설정_코스수당!$A$6:$H$10,6,FALSE),0),0)</f>
        <v>0</v>
      </c>
      <c r="N2692" s="28">
        <f t="shared" ref="N2692:N2723" si="78">IF($O2692="방문완료",1,0)</f>
        <v>0</v>
      </c>
      <c r="O2692" s="23"/>
      <c r="P2692" s="23"/>
      <c r="Q2692" s="23"/>
      <c r="R2692" s="26"/>
      <c r="S2692" s="23"/>
      <c r="U2692" s="104" t="s">
        <v>63</v>
      </c>
      <c r="V2692" s="105">
        <f>IF(27&lt;=DAY(DATE(YEAR(설정_코스수당!$K$2),MONTH(설정_코스수당!$K$2)+1,0)),COUNTIFS($B:$B,DATE(YEAR(설정_코스수당!$K$2),MONTH(설정_코스수당!$K$2),27),$O:$O,"&lt;&gt;"),"")</f>
        <v>0</v>
      </c>
      <c r="W2692" s="104" t="s">
        <v>6</v>
      </c>
      <c r="X2692" s="105">
        <f>IF(27&lt;=DAY(DATE(YEAR(설정_코스수당!$K$2),MONTH(설정_코스수당!$K$2)+1,0)),COUNTIFS($B:$B,DATE(YEAR(설정_코스수당!$K$2),MONTH(설정_코스수당!$K$2),27),$E:$E,"A",$O:$O,"방문완료"),"")</f>
        <v>0</v>
      </c>
    </row>
    <row r="2693" spans="1:27" ht="19.5" hidden="1" customHeight="1" outlineLevel="1">
      <c r="A2693" s="29">
        <v>2</v>
      </c>
      <c r="B2693" s="30">
        <f>IF(27&lt;=DAY(DATE(YEAR(설정_코스수당!$K$2),MONTH(설정_코스수당!$K$2)+1,0)),DATE(YEAR(설정_코스수당!$K$2),MONTH(설정_코스수당!$K$2),27),"")</f>
        <v>46200</v>
      </c>
      <c r="C2693" s="31"/>
      <c r="D2693" s="29"/>
      <c r="E2693" s="29"/>
      <c r="F2693" s="32"/>
      <c r="G2693" s="29"/>
      <c r="H2693" s="29"/>
      <c r="I2693" s="29"/>
      <c r="J2693" s="33">
        <f>IF($O2693="방문완료",MAX(0,IFERROR(VLOOKUP($E2693,설정_코스수당!$A$6:$H$10,4,FALSE),0)-IF(OR($P2693="",$P2693="없음"),0,100000)),0)</f>
        <v>0</v>
      </c>
      <c r="K2693" s="33">
        <f t="array" ref="K2693">IF($O2693="방문완료",IFERROR(INDEX(설정_코스수당!$B$15:$F$64,MATCH($G2693,설정_코스수당!$A$15:$A$64,0),MATCH($E2693&amp;"수당",설정_코스수당!$B$14:$F$14,0)),0),0)</f>
        <v>0</v>
      </c>
      <c r="L2693" s="33">
        <f t="array" ref="L2693">IF($O2693="방문완료",IF($H2693="",0,IFERROR(INDEX(설정_코스수당!$B$15:$F$64,MATCH($H2693,설정_코스수당!$A$15:$A$64,0),MATCH($E2693&amp;"수당",설정_코스수당!$B$14:$F$14,0)),0)),0)</f>
        <v>0</v>
      </c>
      <c r="M2693" s="33">
        <f>IF($O2693="방문완료",IFERROR(VLOOKUP($E2693,설정_코스수당!$A$6:$H$10,6,FALSE),0),0)</f>
        <v>0</v>
      </c>
      <c r="N2693" s="34">
        <f t="shared" si="78"/>
        <v>0</v>
      </c>
      <c r="O2693" s="29"/>
      <c r="P2693" s="29"/>
      <c r="Q2693" s="29"/>
      <c r="R2693" s="32"/>
      <c r="S2693" s="29"/>
      <c r="U2693" s="104" t="s">
        <v>62</v>
      </c>
      <c r="V2693" s="105">
        <f>IF(27&lt;=DAY(DATE(YEAR(설정_코스수당!$K$2),MONTH(설정_코스수당!$K$2)+1,0)),COUNTIFS($B:$B,DATE(YEAR(설정_코스수당!$K$2),MONTH(설정_코스수당!$K$2),27),$O:$O,"방문완료"),"")</f>
        <v>0</v>
      </c>
      <c r="W2693" s="104" t="s">
        <v>9</v>
      </c>
      <c r="X2693" s="105">
        <f>IF(27&lt;=DAY(DATE(YEAR(설정_코스수당!$K$2),MONTH(설정_코스수당!$K$2)+1,0)),COUNTIFS($B:$B,DATE(YEAR(설정_코스수당!$K$2),MONTH(설정_코스수당!$K$2),27),$E:$E,"B",$O:$O,"방문완료"),"")</f>
        <v>0</v>
      </c>
    </row>
    <row r="2694" spans="1:27" ht="19.5" hidden="1" customHeight="1" outlineLevel="1">
      <c r="A2694" s="23">
        <v>3</v>
      </c>
      <c r="B2694" s="24">
        <f>IF(27&lt;=DAY(DATE(YEAR(설정_코스수당!$K$2),MONTH(설정_코스수당!$K$2)+1,0)),DATE(YEAR(설정_코스수당!$K$2),MONTH(설정_코스수당!$K$2),27),"")</f>
        <v>46200</v>
      </c>
      <c r="C2694" s="25"/>
      <c r="D2694" s="23"/>
      <c r="E2694" s="23"/>
      <c r="F2694" s="26"/>
      <c r="G2694" s="23"/>
      <c r="H2694" s="23"/>
      <c r="I2694" s="23"/>
      <c r="J2694" s="27">
        <f>IF($O2694="방문완료",MAX(0,IFERROR(VLOOKUP($E2694,설정_코스수당!$A$6:$H$10,4,FALSE),0)-IF(OR($P2694="",$P2694="없음"),0,100000)),0)</f>
        <v>0</v>
      </c>
      <c r="K2694" s="27">
        <f t="array" ref="K2694">IF($O2694="방문완료",IFERROR(INDEX(설정_코스수당!$B$15:$F$64,MATCH($G2694,설정_코스수당!$A$15:$A$64,0),MATCH($E2694&amp;"수당",설정_코스수당!$B$14:$F$14,0)),0),0)</f>
        <v>0</v>
      </c>
      <c r="L2694" s="27">
        <f t="array" ref="L2694">IF($O2694="방문완료",IF($H2694="",0,IFERROR(INDEX(설정_코스수당!$B$15:$F$64,MATCH($H2694,설정_코스수당!$A$15:$A$64,0),MATCH($E2694&amp;"수당",설정_코스수당!$B$14:$F$14,0)),0)),0)</f>
        <v>0</v>
      </c>
      <c r="M2694" s="27">
        <f>IF($O2694="방문완료",IFERROR(VLOOKUP($E2694,설정_코스수당!$A$6:$H$10,6,FALSE),0),0)</f>
        <v>0</v>
      </c>
      <c r="N2694" s="28">
        <f t="shared" si="78"/>
        <v>0</v>
      </c>
      <c r="O2694" s="23"/>
      <c r="P2694" s="23"/>
      <c r="Q2694" s="23"/>
      <c r="R2694" s="26"/>
      <c r="S2694" s="23"/>
      <c r="U2694" s="104" t="s">
        <v>68</v>
      </c>
      <c r="V2694" s="105" t="str">
        <f>IF(27&lt;=DAY(DATE(YEAR(설정_코스수당!$K$2),MONTH(설정_코스수당!$K$2)+1,0)),COUNTIFS($B:$B,DATE(YEAR(설정_코스수당!$K$2),MONTH(설정_코스수당!$K$2),27),$O:$O,"노쇼")&amp;"/"&amp;COUNTIFS($B:$B,DATE(YEAR(설정_코스수당!$K$2),MONTH(설정_코스수당!$K$2),27),$O:$O,"취소"),"")</f>
        <v>0/0</v>
      </c>
      <c r="W2694" s="104" t="s">
        <v>12</v>
      </c>
      <c r="X2694" s="105">
        <f>IF(27&lt;=DAY(DATE(YEAR(설정_코스수당!$K$2),MONTH(설정_코스수당!$K$2)+1,0)),COUNTIFS($B:$B,DATE(YEAR(설정_코스수당!$K$2),MONTH(설정_코스수당!$K$2),27),$E:$E,"C",$O:$O,"방문완료"),"")</f>
        <v>0</v>
      </c>
    </row>
    <row r="2695" spans="1:27" ht="19.5" hidden="1" customHeight="1" outlineLevel="1">
      <c r="A2695" s="29">
        <v>4</v>
      </c>
      <c r="B2695" s="30">
        <f>IF(27&lt;=DAY(DATE(YEAR(설정_코스수당!$K$2),MONTH(설정_코스수당!$K$2)+1,0)),DATE(YEAR(설정_코스수당!$K$2),MONTH(설정_코스수당!$K$2),27),"")</f>
        <v>46200</v>
      </c>
      <c r="C2695" s="31"/>
      <c r="D2695" s="29"/>
      <c r="E2695" s="29"/>
      <c r="F2695" s="32"/>
      <c r="G2695" s="29"/>
      <c r="H2695" s="29"/>
      <c r="I2695" s="29"/>
      <c r="J2695" s="33">
        <f>IF($O2695="방문완료",MAX(0,IFERROR(VLOOKUP($E2695,설정_코스수당!$A$6:$H$10,4,FALSE),0)-IF(OR($P2695="",$P2695="없음"),0,100000)),0)</f>
        <v>0</v>
      </c>
      <c r="K2695" s="33">
        <f t="array" ref="K2695">IF($O2695="방문완료",IFERROR(INDEX(설정_코스수당!$B$15:$F$64,MATCH($G2695,설정_코스수당!$A$15:$A$64,0),MATCH($E2695&amp;"수당",설정_코스수당!$B$14:$F$14,0)),0),0)</f>
        <v>0</v>
      </c>
      <c r="L2695" s="33">
        <f t="array" ref="L2695">IF($O2695="방문완료",IF($H2695="",0,IFERROR(INDEX(설정_코스수당!$B$15:$F$64,MATCH($H2695,설정_코스수당!$A$15:$A$64,0),MATCH($E2695&amp;"수당",설정_코스수당!$B$14:$F$14,0)),0)),0)</f>
        <v>0</v>
      </c>
      <c r="M2695" s="33">
        <f>IF($O2695="방문완료",IFERROR(VLOOKUP($E2695,설정_코스수당!$A$6:$H$10,6,FALSE),0),0)</f>
        <v>0</v>
      </c>
      <c r="N2695" s="34">
        <f t="shared" si="78"/>
        <v>0</v>
      </c>
      <c r="O2695" s="29"/>
      <c r="P2695" s="29"/>
      <c r="Q2695" s="29"/>
      <c r="R2695" s="32"/>
      <c r="S2695" s="29"/>
      <c r="U2695" s="104" t="s">
        <v>69</v>
      </c>
      <c r="V2695" s="106">
        <f>IF(27&lt;=DAY(DATE(YEAR(설정_코스수당!$K$2),MONTH(설정_코스수당!$K$2)+1,0)),SUMIFS($J:$J,$B:$B,DATE(YEAR(설정_코스수당!$K$2),MONTH(설정_코스수당!$K$2),27),$O:$O,"방문완료"),"")</f>
        <v>0</v>
      </c>
      <c r="W2695" s="104" t="s">
        <v>15</v>
      </c>
      <c r="X2695" s="105">
        <f>IF(27&lt;=DAY(DATE(YEAR(설정_코스수당!$K$2),MONTH(설정_코스수당!$K$2)+1,0)),COUNTIFS($B:$B,DATE(YEAR(설정_코스수당!$K$2),MONTH(설정_코스수당!$K$2),27),$E:$E,"D",$O:$O,"방문완료"),"")</f>
        <v>0</v>
      </c>
    </row>
    <row r="2696" spans="1:27" ht="19.5" hidden="1" customHeight="1" outlineLevel="1">
      <c r="A2696" s="23">
        <v>5</v>
      </c>
      <c r="B2696" s="24">
        <f>IF(27&lt;=DAY(DATE(YEAR(설정_코스수당!$K$2),MONTH(설정_코스수당!$K$2)+1,0)),DATE(YEAR(설정_코스수당!$K$2),MONTH(설정_코스수당!$K$2),27),"")</f>
        <v>46200</v>
      </c>
      <c r="C2696" s="25"/>
      <c r="D2696" s="23"/>
      <c r="E2696" s="23"/>
      <c r="F2696" s="26"/>
      <c r="G2696" s="23"/>
      <c r="H2696" s="23"/>
      <c r="I2696" s="23"/>
      <c r="J2696" s="27">
        <f>IF($O2696="방문완료",MAX(0,IFERROR(VLOOKUP($E2696,설정_코스수당!$A$6:$H$10,4,FALSE),0)-IF(OR($P2696="",$P2696="없음"),0,100000)),0)</f>
        <v>0</v>
      </c>
      <c r="K2696" s="27">
        <f t="array" ref="K2696">IF($O2696="방문완료",IFERROR(INDEX(설정_코스수당!$B$15:$F$64,MATCH($G2696,설정_코스수당!$A$15:$A$64,0),MATCH($E2696&amp;"수당",설정_코스수당!$B$14:$F$14,0)),0),0)</f>
        <v>0</v>
      </c>
      <c r="L2696" s="27">
        <f t="array" ref="L2696">IF($O2696="방문완료",IF($H2696="",0,IFERROR(INDEX(설정_코스수당!$B$15:$F$64,MATCH($H2696,설정_코스수당!$A$15:$A$64,0),MATCH($E2696&amp;"수당",설정_코스수당!$B$14:$F$14,0)),0)),0)</f>
        <v>0</v>
      </c>
      <c r="M2696" s="27">
        <f>IF($O2696="방문완료",IFERROR(VLOOKUP($E2696,설정_코스수당!$A$6:$H$10,6,FALSE),0),0)</f>
        <v>0</v>
      </c>
      <c r="N2696" s="28">
        <f t="shared" si="78"/>
        <v>0</v>
      </c>
      <c r="O2696" s="23"/>
      <c r="P2696" s="23"/>
      <c r="Q2696" s="23"/>
      <c r="R2696" s="26"/>
      <c r="S2696" s="23"/>
      <c r="U2696" s="104" t="s">
        <v>70</v>
      </c>
      <c r="V2696" s="106">
        <f>IF(27&lt;=DAY(DATE(YEAR(설정_코스수당!$K$2),MONTH(설정_코스수당!$K$2)+1,0)),SUMIFS($K:$K,$B:$B,DATE(YEAR(설정_코스수당!$K$2),MONTH(설정_코스수당!$K$2),27),$O:$O,"방문완료")+SUMIFS($L:$L,$B:$B,DATE(YEAR(설정_코스수당!$K$2),MONTH(설정_코스수당!$K$2),27),$O:$O,"방문완료"),"")</f>
        <v>0</v>
      </c>
      <c r="W2696" s="104" t="s">
        <v>18</v>
      </c>
      <c r="X2696" s="105">
        <f>IF(27&lt;=DAY(DATE(YEAR(설정_코스수당!$K$2),MONTH(설정_코스수당!$K$2)+1,0)),COUNTIFS($B:$B,DATE(YEAR(설정_코스수당!$K$2),MONTH(설정_코스수당!$K$2),27),$E:$E,"E",$O:$O,"방문완료"),"")</f>
        <v>0</v>
      </c>
    </row>
    <row r="2697" spans="1:27" ht="19.5" hidden="1" customHeight="1" outlineLevel="1">
      <c r="A2697" s="29">
        <v>6</v>
      </c>
      <c r="B2697" s="30">
        <f>IF(27&lt;=DAY(DATE(YEAR(설정_코스수당!$K$2),MONTH(설정_코스수당!$K$2)+1,0)),DATE(YEAR(설정_코스수당!$K$2),MONTH(설정_코스수당!$K$2),27),"")</f>
        <v>46200</v>
      </c>
      <c r="C2697" s="31"/>
      <c r="D2697" s="29"/>
      <c r="E2697" s="29"/>
      <c r="F2697" s="32"/>
      <c r="G2697" s="29"/>
      <c r="H2697" s="29"/>
      <c r="I2697" s="29"/>
      <c r="J2697" s="33">
        <f>IF($O2697="방문완료",MAX(0,IFERROR(VLOOKUP($E2697,설정_코스수당!$A$6:$H$10,4,FALSE),0)-IF(OR($P2697="",$P2697="없음"),0,100000)),0)</f>
        <v>0</v>
      </c>
      <c r="K2697" s="33">
        <f t="array" ref="K2697">IF($O2697="방문완료",IFERROR(INDEX(설정_코스수당!$B$15:$F$64,MATCH($G2697,설정_코스수당!$A$15:$A$64,0),MATCH($E2697&amp;"수당",설정_코스수당!$B$14:$F$14,0)),0),0)</f>
        <v>0</v>
      </c>
      <c r="L2697" s="33">
        <f t="array" ref="L2697">IF($O2697="방문완료",IF($H2697="",0,IFERROR(INDEX(설정_코스수당!$B$15:$F$64,MATCH($H2697,설정_코스수당!$A$15:$A$64,0),MATCH($E2697&amp;"수당",설정_코스수당!$B$14:$F$14,0)),0)),0)</f>
        <v>0</v>
      </c>
      <c r="M2697" s="33">
        <f>IF($O2697="방문완료",IFERROR(VLOOKUP($E2697,설정_코스수당!$A$6:$H$10,6,FALSE),0),0)</f>
        <v>0</v>
      </c>
      <c r="N2697" s="34">
        <f t="shared" si="78"/>
        <v>0</v>
      </c>
      <c r="O2697" s="29"/>
      <c r="P2697" s="29"/>
      <c r="Q2697" s="29"/>
      <c r="R2697" s="32"/>
      <c r="S2697" s="29"/>
      <c r="U2697" s="104" t="s">
        <v>53</v>
      </c>
      <c r="V2697" s="106">
        <f>IF(27&lt;=DAY(DATE(YEAR(설정_코스수당!$K$2),MONTH(설정_코스수당!$K$2)+1,0)),SUMIFS($M:$M,$B:$B,DATE(YEAR(설정_코스수당!$K$2),MONTH(설정_코스수당!$K$2),27),$O:$O,"방문완료"),"")</f>
        <v>0</v>
      </c>
      <c r="W2697" s="104" t="s">
        <v>71</v>
      </c>
      <c r="X2697" s="107">
        <f>IF(27&lt;=DAY(DATE(YEAR(설정_코스수당!$K$2),MONTH(설정_코스수당!$K$2)+1,0)),COUNTIFS($B:$B,DATE(YEAR(설정_코스수당!$K$2),MONTH(설정_코스수당!$K$2),27),$O:$O,"방문완료",$P:$P,"&lt;&gt;",$P:$P,"&lt;&gt;없음"),"")</f>
        <v>0</v>
      </c>
    </row>
    <row r="2698" spans="1:27" ht="19.5" hidden="1" customHeight="1" outlineLevel="1">
      <c r="A2698" s="23">
        <v>7</v>
      </c>
      <c r="B2698" s="24">
        <f>IF(27&lt;=DAY(DATE(YEAR(설정_코스수당!$K$2),MONTH(설정_코스수당!$K$2)+1,0)),DATE(YEAR(설정_코스수당!$K$2),MONTH(설정_코스수당!$K$2),27),"")</f>
        <v>46200</v>
      </c>
      <c r="C2698" s="25"/>
      <c r="D2698" s="23"/>
      <c r="E2698" s="23"/>
      <c r="F2698" s="26"/>
      <c r="G2698" s="23"/>
      <c r="H2698" s="23"/>
      <c r="I2698" s="23"/>
      <c r="J2698" s="27">
        <f>IF($O2698="방문완료",MAX(0,IFERROR(VLOOKUP($E2698,설정_코스수당!$A$6:$H$10,4,FALSE),0)-IF(OR($P2698="",$P2698="없음"),0,100000)),0)</f>
        <v>0</v>
      </c>
      <c r="K2698" s="27">
        <f t="array" ref="K2698">IF($O2698="방문완료",IFERROR(INDEX(설정_코스수당!$B$15:$F$64,MATCH($G2698,설정_코스수당!$A$15:$A$64,0),MATCH($E2698&amp;"수당",설정_코스수당!$B$14:$F$14,0)),0),0)</f>
        <v>0</v>
      </c>
      <c r="L2698" s="27">
        <f t="array" ref="L2698">IF($O2698="방문완료",IF($H2698="",0,IFERROR(INDEX(설정_코스수당!$B$15:$F$64,MATCH($H2698,설정_코스수당!$A$15:$A$64,0),MATCH($E2698&amp;"수당",설정_코스수당!$B$14:$F$14,0)),0)),0)</f>
        <v>0</v>
      </c>
      <c r="M2698" s="27">
        <f>IF($O2698="방문완료",IFERROR(VLOOKUP($E2698,설정_코스수당!$A$6:$H$10,6,FALSE),0),0)</f>
        <v>0</v>
      </c>
      <c r="N2698" s="28">
        <f t="shared" si="78"/>
        <v>0</v>
      </c>
      <c r="O2698" s="23"/>
      <c r="P2698" s="23"/>
      <c r="Q2698" s="23"/>
      <c r="R2698" s="26"/>
      <c r="S2698" s="23"/>
      <c r="U2698" s="104" t="s">
        <v>72</v>
      </c>
      <c r="V2698" s="108">
        <f>IF(27&lt;=DAY(DATE(YEAR(설정_코스수당!$K$2),MONTH(설정_코스수당!$K$2)+1,0)),COUNTIFS($B:$B,DATE(YEAR(설정_코스수당!$K$2),MONTH(설정_코스수당!$K$2),27),$O:$O,"방문완료",$P:$P,"&lt;&gt;",$P:$P,"&lt;&gt;없음")*100000,"")</f>
        <v>0</v>
      </c>
      <c r="W2698" s="104" t="s">
        <v>73</v>
      </c>
      <c r="X2698" s="105">
        <f>IF(27&lt;=DAY(DATE(YEAR(설정_코스수당!$K$2),MONTH(설정_코스수당!$K$2)+1,0)),COUNTIFS($B:$B,DATE(YEAR(설정_코스수당!$K$2),MONTH(설정_코스수당!$K$2),27),$G:$G,"&lt;&gt;",$O:$O,"방문완료")+COUNTIFS($B:$B,DATE(YEAR(설정_코스수당!$K$2),MONTH(설정_코스수당!$K$2),27),$H:$H,"&lt;&gt;",$O:$O,"방문완료"),"")</f>
        <v>0</v>
      </c>
    </row>
    <row r="2699" spans="1:27" ht="19.5" hidden="1" customHeight="1" outlineLevel="1">
      <c r="A2699" s="29">
        <v>8</v>
      </c>
      <c r="B2699" s="30">
        <f>IF(27&lt;=DAY(DATE(YEAR(설정_코스수당!$K$2),MONTH(설정_코스수당!$K$2)+1,0)),DATE(YEAR(설정_코스수당!$K$2),MONTH(설정_코스수당!$K$2),27),"")</f>
        <v>46200</v>
      </c>
      <c r="C2699" s="31"/>
      <c r="D2699" s="29"/>
      <c r="E2699" s="29"/>
      <c r="F2699" s="32"/>
      <c r="G2699" s="29"/>
      <c r="H2699" s="29"/>
      <c r="I2699" s="29"/>
      <c r="J2699" s="33">
        <f>IF($O2699="방문완료",MAX(0,IFERROR(VLOOKUP($E2699,설정_코스수당!$A$6:$H$10,4,FALSE),0)-IF(OR($P2699="",$P2699="없음"),0,100000)),0)</f>
        <v>0</v>
      </c>
      <c r="K2699" s="33">
        <f t="array" ref="K2699">IF($O2699="방문완료",IFERROR(INDEX(설정_코스수당!$B$15:$F$64,MATCH($G2699,설정_코스수당!$A$15:$A$64,0),MATCH($E2699&amp;"수당",설정_코스수당!$B$14:$F$14,0)),0),0)</f>
        <v>0</v>
      </c>
      <c r="L2699" s="33">
        <f t="array" ref="L2699">IF($O2699="방문완료",IF($H2699="",0,IFERROR(INDEX(설정_코스수당!$B$15:$F$64,MATCH($H2699,설정_코스수당!$A$15:$A$64,0),MATCH($E2699&amp;"수당",설정_코스수당!$B$14:$F$14,0)),0)),0)</f>
        <v>0</v>
      </c>
      <c r="M2699" s="33">
        <f>IF($O2699="방문완료",IFERROR(VLOOKUP($E2699,설정_코스수당!$A$6:$H$10,6,FALSE),0),0)</f>
        <v>0</v>
      </c>
      <c r="N2699" s="34">
        <f t="shared" si="78"/>
        <v>0</v>
      </c>
      <c r="O2699" s="29"/>
      <c r="P2699" s="29"/>
      <c r="Q2699" s="29"/>
      <c r="R2699" s="32"/>
      <c r="S2699" s="29"/>
      <c r="U2699" s="104" t="s">
        <v>74</v>
      </c>
      <c r="V2699" s="108">
        <f>IF(27&lt;=DAY(DATE(YEAR(설정_코스수당!$K$2),MONTH(설정_코스수당!$K$2)+1,0)),SUM($U$2703:$U$2710),"")</f>
        <v>0</v>
      </c>
      <c r="W2699" s="122" t="str">
        <f>IF(27&lt;=DAY(DATE(YEAR(설정_코스수당!$K$2),MONTH(설정_코스수당!$K$2)+1,0)),"계 : "&amp;TEXT(V2695-V2699,"#,##0")&amp;" 동","")</f>
        <v>계 : 0 동</v>
      </c>
      <c r="X2699" s="122"/>
    </row>
    <row r="2700" spans="1:27" ht="19.5" hidden="1" customHeight="1" outlineLevel="1">
      <c r="A2700" s="23">
        <v>9</v>
      </c>
      <c r="B2700" s="24">
        <f>IF(27&lt;=DAY(DATE(YEAR(설정_코스수당!$K$2),MONTH(설정_코스수당!$K$2)+1,0)),DATE(YEAR(설정_코스수당!$K$2),MONTH(설정_코스수당!$K$2),27),"")</f>
        <v>46200</v>
      </c>
      <c r="C2700" s="25"/>
      <c r="D2700" s="23"/>
      <c r="E2700" s="23"/>
      <c r="F2700" s="26"/>
      <c r="G2700" s="23"/>
      <c r="H2700" s="23"/>
      <c r="I2700" s="23"/>
      <c r="J2700" s="27">
        <f>IF($O2700="방문완료",MAX(0,IFERROR(VLOOKUP($E2700,설정_코스수당!$A$6:$H$10,4,FALSE),0)-IF(OR($P2700="",$P2700="없음"),0,100000)),0)</f>
        <v>0</v>
      </c>
      <c r="K2700" s="27">
        <f t="array" ref="K2700">IF($O2700="방문완료",IFERROR(INDEX(설정_코스수당!$B$15:$F$64,MATCH($G2700,설정_코스수당!$A$15:$A$64,0),MATCH($E2700&amp;"수당",설정_코스수당!$B$14:$F$14,0)),0),0)</f>
        <v>0</v>
      </c>
      <c r="L2700" s="27">
        <f t="array" ref="L2700">IF($O2700="방문완료",IF($H2700="",0,IFERROR(INDEX(설정_코스수당!$B$15:$F$64,MATCH($H2700,설정_코스수당!$A$15:$A$64,0),MATCH($E2700&amp;"수당",설정_코스수당!$B$14:$F$14,0)),0)),0)</f>
        <v>0</v>
      </c>
      <c r="M2700" s="27">
        <f>IF($O2700="방문완료",IFERROR(VLOOKUP($E2700,설정_코스수당!$A$6:$H$10,6,FALSE),0),0)</f>
        <v>0</v>
      </c>
      <c r="N2700" s="28">
        <f t="shared" si="78"/>
        <v>0</v>
      </c>
      <c r="O2700" s="23"/>
      <c r="P2700" s="23"/>
      <c r="Q2700" s="23"/>
      <c r="R2700" s="26"/>
      <c r="S2700" s="23"/>
    </row>
    <row r="2701" spans="1:27" ht="19.5" hidden="1" customHeight="1" outlineLevel="1">
      <c r="A2701" s="29">
        <v>10</v>
      </c>
      <c r="B2701" s="30">
        <f>IF(27&lt;=DAY(DATE(YEAR(설정_코스수당!$K$2),MONTH(설정_코스수당!$K$2)+1,0)),DATE(YEAR(설정_코스수당!$K$2),MONTH(설정_코스수당!$K$2),27),"")</f>
        <v>46200</v>
      </c>
      <c r="C2701" s="31"/>
      <c r="D2701" s="29"/>
      <c r="E2701" s="29"/>
      <c r="F2701" s="32"/>
      <c r="G2701" s="29"/>
      <c r="H2701" s="29"/>
      <c r="I2701" s="29"/>
      <c r="J2701" s="33">
        <f>IF($O2701="방문완료",MAX(0,IFERROR(VLOOKUP($E2701,설정_코스수당!$A$6:$H$10,4,FALSE),0)-IF(OR($P2701="",$P2701="없음"),0,100000)),0)</f>
        <v>0</v>
      </c>
      <c r="K2701" s="33">
        <f t="array" ref="K2701">IF($O2701="방문완료",IFERROR(INDEX(설정_코스수당!$B$15:$F$64,MATCH($G2701,설정_코스수당!$A$15:$A$64,0),MATCH($E2701&amp;"수당",설정_코스수당!$B$14:$F$14,0)),0),0)</f>
        <v>0</v>
      </c>
      <c r="L2701" s="33">
        <f t="array" ref="L2701">IF($O2701="방문완료",IF($H2701="",0,IFERROR(INDEX(설정_코스수당!$B$15:$F$64,MATCH($H2701,설정_코스수당!$A$15:$A$64,0),MATCH($E2701&amp;"수당",설정_코스수당!$B$14:$F$14,0)),0)),0)</f>
        <v>0</v>
      </c>
      <c r="M2701" s="33">
        <f>IF($O2701="방문완료",IFERROR(VLOOKUP($E2701,설정_코스수당!$A$6:$H$10,6,FALSE),0),0)</f>
        <v>0</v>
      </c>
      <c r="N2701" s="34">
        <f t="shared" si="78"/>
        <v>0</v>
      </c>
      <c r="O2701" s="29"/>
      <c r="P2701" s="29"/>
      <c r="Q2701" s="29"/>
      <c r="R2701" s="32"/>
      <c r="S2701" s="29"/>
      <c r="U2701" s="120" t="s">
        <v>75</v>
      </c>
      <c r="V2701" s="121"/>
      <c r="W2701" s="121"/>
      <c r="X2701" s="121"/>
    </row>
    <row r="2702" spans="1:27" ht="19.5" hidden="1" customHeight="1" outlineLevel="1">
      <c r="A2702" s="23">
        <v>11</v>
      </c>
      <c r="B2702" s="24">
        <f>IF(27&lt;=DAY(DATE(YEAR(설정_코스수당!$K$2),MONTH(설정_코스수당!$K$2)+1,0)),DATE(YEAR(설정_코스수당!$K$2),MONTH(설정_코스수당!$K$2),27),"")</f>
        <v>46200</v>
      </c>
      <c r="C2702" s="25"/>
      <c r="D2702" s="23"/>
      <c r="E2702" s="23"/>
      <c r="F2702" s="26"/>
      <c r="G2702" s="23"/>
      <c r="H2702" s="23"/>
      <c r="I2702" s="23"/>
      <c r="J2702" s="27">
        <f>IF($O2702="방문완료",MAX(0,IFERROR(VLOOKUP($E2702,설정_코스수당!$A$6:$H$10,4,FALSE),0)-IF(OR($P2702="",$P2702="없음"),0,100000)),0)</f>
        <v>0</v>
      </c>
      <c r="K2702" s="27">
        <f t="array" ref="K2702">IF($O2702="방문완료",IFERROR(INDEX(설정_코스수당!$B$15:$F$64,MATCH($G2702,설정_코스수당!$A$15:$A$64,0),MATCH($E2702&amp;"수당",설정_코스수당!$B$14:$F$14,0)),0),0)</f>
        <v>0</v>
      </c>
      <c r="L2702" s="27">
        <f t="array" ref="L2702">IF($O2702="방문완료",IF($H2702="",0,IFERROR(INDEX(설정_코스수당!$B$15:$F$64,MATCH($H2702,설정_코스수당!$A$15:$A$64,0),MATCH($E2702&amp;"수당",설정_코스수당!$B$14:$F$14,0)),0)),0)</f>
        <v>0</v>
      </c>
      <c r="M2702" s="27">
        <f>IF($O2702="방문완료",IFERROR(VLOOKUP($E2702,설정_코스수당!$A$6:$H$10,6,FALSE),0),0)</f>
        <v>0</v>
      </c>
      <c r="N2702" s="28">
        <f t="shared" si="78"/>
        <v>0</v>
      </c>
      <c r="O2702" s="23"/>
      <c r="P2702" s="23"/>
      <c r="Q2702" s="23"/>
      <c r="R2702" s="26"/>
      <c r="S2702" s="23"/>
      <c r="U2702" s="109" t="s">
        <v>76</v>
      </c>
      <c r="V2702" s="109" t="s">
        <v>77</v>
      </c>
      <c r="W2702" s="109" t="s">
        <v>78</v>
      </c>
      <c r="X2702" s="109" t="s">
        <v>58</v>
      </c>
    </row>
    <row r="2703" spans="1:27" ht="19.5" hidden="1" customHeight="1" outlineLevel="1">
      <c r="A2703" s="29">
        <v>12</v>
      </c>
      <c r="B2703" s="30">
        <f>IF(27&lt;=DAY(DATE(YEAR(설정_코스수당!$K$2),MONTH(설정_코스수당!$K$2)+1,0)),DATE(YEAR(설정_코스수당!$K$2),MONTH(설정_코스수당!$K$2),27),"")</f>
        <v>46200</v>
      </c>
      <c r="C2703" s="31"/>
      <c r="D2703" s="29"/>
      <c r="E2703" s="29"/>
      <c r="F2703" s="32"/>
      <c r="G2703" s="29"/>
      <c r="H2703" s="29"/>
      <c r="I2703" s="29"/>
      <c r="J2703" s="33">
        <f>IF($O2703="방문완료",MAX(0,IFERROR(VLOOKUP($E2703,설정_코스수당!$A$6:$H$10,4,FALSE),0)-IF(OR($P2703="",$P2703="없음"),0,100000)),0)</f>
        <v>0</v>
      </c>
      <c r="K2703" s="33">
        <f t="array" ref="K2703">IF($O2703="방문완료",IFERROR(INDEX(설정_코스수당!$B$15:$F$64,MATCH($G2703,설정_코스수당!$A$15:$A$64,0),MATCH($E2703&amp;"수당",설정_코스수당!$B$14:$F$14,0)),0),0)</f>
        <v>0</v>
      </c>
      <c r="L2703" s="33">
        <f t="array" ref="L2703">IF($O2703="방문완료",IF($H2703="",0,IFERROR(INDEX(설정_코스수당!$B$15:$F$64,MATCH($H2703,설정_코스수당!$A$15:$A$64,0),MATCH($E2703&amp;"수당",설정_코스수당!$B$14:$F$14,0)),0)),0)</f>
        <v>0</v>
      </c>
      <c r="M2703" s="33">
        <f>IF($O2703="방문완료",IFERROR(VLOOKUP($E2703,설정_코스수당!$A$6:$H$10,6,FALSE),0),0)</f>
        <v>0</v>
      </c>
      <c r="N2703" s="34">
        <f t="shared" si="78"/>
        <v>0</v>
      </c>
      <c r="O2703" s="29"/>
      <c r="P2703" s="29"/>
      <c r="Q2703" s="29"/>
      <c r="R2703" s="32"/>
      <c r="S2703" s="29"/>
      <c r="U2703" s="113"/>
      <c r="V2703" s="111"/>
      <c r="W2703" s="112"/>
      <c r="X2703" s="111"/>
    </row>
    <row r="2704" spans="1:27" ht="19.5" hidden="1" customHeight="1" outlineLevel="1">
      <c r="A2704" s="23">
        <v>13</v>
      </c>
      <c r="B2704" s="24">
        <f>IF(27&lt;=DAY(DATE(YEAR(설정_코스수당!$K$2),MONTH(설정_코스수당!$K$2)+1,0)),DATE(YEAR(설정_코스수당!$K$2),MONTH(설정_코스수당!$K$2),27),"")</f>
        <v>46200</v>
      </c>
      <c r="C2704" s="25"/>
      <c r="D2704" s="23"/>
      <c r="E2704" s="23"/>
      <c r="F2704" s="26"/>
      <c r="G2704" s="23"/>
      <c r="H2704" s="23"/>
      <c r="I2704" s="23"/>
      <c r="J2704" s="27">
        <f>IF($O2704="방문완료",MAX(0,IFERROR(VLOOKUP($E2704,설정_코스수당!$A$6:$H$10,4,FALSE),0)-IF(OR($P2704="",$P2704="없음"),0,100000)),0)</f>
        <v>0</v>
      </c>
      <c r="K2704" s="27">
        <f t="array" ref="K2704">IF($O2704="방문완료",IFERROR(INDEX(설정_코스수당!$B$15:$F$64,MATCH($G2704,설정_코스수당!$A$15:$A$64,0),MATCH($E2704&amp;"수당",설정_코스수당!$B$14:$F$14,0)),0),0)</f>
        <v>0</v>
      </c>
      <c r="L2704" s="27">
        <f t="array" ref="L2704">IF($O2704="방문완료",IF($H2704="",0,IFERROR(INDEX(설정_코스수당!$B$15:$F$64,MATCH($H2704,설정_코스수당!$A$15:$A$64,0),MATCH($E2704&amp;"수당",설정_코스수당!$B$14:$F$14,0)),0)),0)</f>
        <v>0</v>
      </c>
      <c r="M2704" s="27">
        <f>IF($O2704="방문완료",IFERROR(VLOOKUP($E2704,설정_코스수당!$A$6:$H$10,6,FALSE),0),0)</f>
        <v>0</v>
      </c>
      <c r="N2704" s="28">
        <f t="shared" si="78"/>
        <v>0</v>
      </c>
      <c r="O2704" s="23"/>
      <c r="P2704" s="23"/>
      <c r="Q2704" s="23"/>
      <c r="R2704" s="26"/>
      <c r="S2704" s="23"/>
      <c r="U2704" s="113"/>
      <c r="V2704" s="111"/>
      <c r="W2704" s="112"/>
      <c r="X2704" s="111"/>
    </row>
    <row r="2705" spans="1:24" ht="19.5" hidden="1" customHeight="1" outlineLevel="1">
      <c r="A2705" s="29">
        <v>14</v>
      </c>
      <c r="B2705" s="30">
        <f>IF(27&lt;=DAY(DATE(YEAR(설정_코스수당!$K$2),MONTH(설정_코스수당!$K$2)+1,0)),DATE(YEAR(설정_코스수당!$K$2),MONTH(설정_코스수당!$K$2),27),"")</f>
        <v>46200</v>
      </c>
      <c r="C2705" s="31"/>
      <c r="D2705" s="29"/>
      <c r="E2705" s="29"/>
      <c r="F2705" s="32"/>
      <c r="G2705" s="29"/>
      <c r="H2705" s="29"/>
      <c r="I2705" s="29"/>
      <c r="J2705" s="33">
        <f>IF($O2705="방문완료",MAX(0,IFERROR(VLOOKUP($E2705,설정_코스수당!$A$6:$H$10,4,FALSE),0)-IF(OR($P2705="",$P2705="없음"),0,100000)),0)</f>
        <v>0</v>
      </c>
      <c r="K2705" s="33">
        <f t="array" ref="K2705">IF($O2705="방문완료",IFERROR(INDEX(설정_코스수당!$B$15:$F$64,MATCH($G2705,설정_코스수당!$A$15:$A$64,0),MATCH($E2705&amp;"수당",설정_코스수당!$B$14:$F$14,0)),0),0)</f>
        <v>0</v>
      </c>
      <c r="L2705" s="33">
        <f t="array" ref="L2705">IF($O2705="방문완료",IF($H2705="",0,IFERROR(INDEX(설정_코스수당!$B$15:$F$64,MATCH($H2705,설정_코스수당!$A$15:$A$64,0),MATCH($E2705&amp;"수당",설정_코스수당!$B$14:$F$14,0)),0)),0)</f>
        <v>0</v>
      </c>
      <c r="M2705" s="33">
        <f>IF($O2705="방문완료",IFERROR(VLOOKUP($E2705,설정_코스수당!$A$6:$H$10,6,FALSE),0),0)</f>
        <v>0</v>
      </c>
      <c r="N2705" s="34">
        <f t="shared" si="78"/>
        <v>0</v>
      </c>
      <c r="O2705" s="29"/>
      <c r="P2705" s="29"/>
      <c r="Q2705" s="29"/>
      <c r="R2705" s="32"/>
      <c r="S2705" s="29"/>
      <c r="U2705" s="113"/>
      <c r="V2705" s="111"/>
      <c r="W2705" s="112"/>
      <c r="X2705" s="111"/>
    </row>
    <row r="2706" spans="1:24" ht="19.5" hidden="1" customHeight="1" outlineLevel="1">
      <c r="A2706" s="23">
        <v>15</v>
      </c>
      <c r="B2706" s="24">
        <f>IF(27&lt;=DAY(DATE(YEAR(설정_코스수당!$K$2),MONTH(설정_코스수당!$K$2)+1,0)),DATE(YEAR(설정_코스수당!$K$2),MONTH(설정_코스수당!$K$2),27),"")</f>
        <v>46200</v>
      </c>
      <c r="C2706" s="25"/>
      <c r="D2706" s="23"/>
      <c r="E2706" s="23"/>
      <c r="F2706" s="26"/>
      <c r="G2706" s="23"/>
      <c r="H2706" s="23"/>
      <c r="I2706" s="23"/>
      <c r="J2706" s="27">
        <f>IF($O2706="방문완료",MAX(0,IFERROR(VLOOKUP($E2706,설정_코스수당!$A$6:$H$10,4,FALSE),0)-IF(OR($P2706="",$P2706="없음"),0,100000)),0)</f>
        <v>0</v>
      </c>
      <c r="K2706" s="27">
        <f t="array" ref="K2706">IF($O2706="방문완료",IFERROR(INDEX(설정_코스수당!$B$15:$F$64,MATCH($G2706,설정_코스수당!$A$15:$A$64,0),MATCH($E2706&amp;"수당",설정_코스수당!$B$14:$F$14,0)),0),0)</f>
        <v>0</v>
      </c>
      <c r="L2706" s="27">
        <f t="array" ref="L2706">IF($O2706="방문완료",IF($H2706="",0,IFERROR(INDEX(설정_코스수당!$B$15:$F$64,MATCH($H2706,설정_코스수당!$A$15:$A$64,0),MATCH($E2706&amp;"수당",설정_코스수당!$B$14:$F$14,0)),0)),0)</f>
        <v>0</v>
      </c>
      <c r="M2706" s="27">
        <f>IF($O2706="방문완료",IFERROR(VLOOKUP($E2706,설정_코스수당!$A$6:$H$10,6,FALSE),0),0)</f>
        <v>0</v>
      </c>
      <c r="N2706" s="28">
        <f t="shared" si="78"/>
        <v>0</v>
      </c>
      <c r="O2706" s="23"/>
      <c r="P2706" s="23"/>
      <c r="Q2706" s="23"/>
      <c r="R2706" s="26"/>
      <c r="S2706" s="23"/>
      <c r="U2706" s="113"/>
      <c r="V2706" s="111"/>
      <c r="W2706" s="112"/>
      <c r="X2706" s="111"/>
    </row>
    <row r="2707" spans="1:24" ht="19.5" hidden="1" customHeight="1" outlineLevel="1">
      <c r="A2707" s="29">
        <v>16</v>
      </c>
      <c r="B2707" s="30">
        <f>IF(27&lt;=DAY(DATE(YEAR(설정_코스수당!$K$2),MONTH(설정_코스수당!$K$2)+1,0)),DATE(YEAR(설정_코스수당!$K$2),MONTH(설정_코스수당!$K$2),27),"")</f>
        <v>46200</v>
      </c>
      <c r="C2707" s="31"/>
      <c r="D2707" s="29"/>
      <c r="E2707" s="29"/>
      <c r="F2707" s="32"/>
      <c r="G2707" s="29"/>
      <c r="H2707" s="29"/>
      <c r="I2707" s="29"/>
      <c r="J2707" s="33">
        <f>IF($O2707="방문완료",MAX(0,IFERROR(VLOOKUP($E2707,설정_코스수당!$A$6:$H$10,4,FALSE),0)-IF(OR($P2707="",$P2707="없음"),0,100000)),0)</f>
        <v>0</v>
      </c>
      <c r="K2707" s="33">
        <f t="array" ref="K2707">IF($O2707="방문완료",IFERROR(INDEX(설정_코스수당!$B$15:$F$64,MATCH($G2707,설정_코스수당!$A$15:$A$64,0),MATCH($E2707&amp;"수당",설정_코스수당!$B$14:$F$14,0)),0),0)</f>
        <v>0</v>
      </c>
      <c r="L2707" s="33">
        <f t="array" ref="L2707">IF($O2707="방문완료",IF($H2707="",0,IFERROR(INDEX(설정_코스수당!$B$15:$F$64,MATCH($H2707,설정_코스수당!$A$15:$A$64,0),MATCH($E2707&amp;"수당",설정_코스수당!$B$14:$F$14,0)),0)),0)</f>
        <v>0</v>
      </c>
      <c r="M2707" s="33">
        <f>IF($O2707="방문완료",IFERROR(VLOOKUP($E2707,설정_코스수당!$A$6:$H$10,6,FALSE),0),0)</f>
        <v>0</v>
      </c>
      <c r="N2707" s="34">
        <f t="shared" si="78"/>
        <v>0</v>
      </c>
      <c r="O2707" s="29"/>
      <c r="P2707" s="29"/>
      <c r="Q2707" s="29"/>
      <c r="R2707" s="32"/>
      <c r="S2707" s="29"/>
      <c r="U2707" s="113"/>
      <c r="V2707" s="111"/>
      <c r="W2707" s="112"/>
      <c r="X2707" s="111"/>
    </row>
    <row r="2708" spans="1:24" ht="19.5" hidden="1" customHeight="1" outlineLevel="1">
      <c r="A2708" s="23">
        <v>17</v>
      </c>
      <c r="B2708" s="24">
        <f>IF(27&lt;=DAY(DATE(YEAR(설정_코스수당!$K$2),MONTH(설정_코스수당!$K$2)+1,0)),DATE(YEAR(설정_코스수당!$K$2),MONTH(설정_코스수당!$K$2),27),"")</f>
        <v>46200</v>
      </c>
      <c r="C2708" s="25"/>
      <c r="D2708" s="23"/>
      <c r="E2708" s="23"/>
      <c r="F2708" s="26"/>
      <c r="G2708" s="23"/>
      <c r="H2708" s="23"/>
      <c r="I2708" s="23"/>
      <c r="J2708" s="27">
        <f>IF($O2708="방문완료",MAX(0,IFERROR(VLOOKUP($E2708,설정_코스수당!$A$6:$H$10,4,FALSE),0)-IF(OR($P2708="",$P2708="없음"),0,100000)),0)</f>
        <v>0</v>
      </c>
      <c r="K2708" s="27">
        <f t="array" ref="K2708">IF($O2708="방문완료",IFERROR(INDEX(설정_코스수당!$B$15:$F$64,MATCH($G2708,설정_코스수당!$A$15:$A$64,0),MATCH($E2708&amp;"수당",설정_코스수당!$B$14:$F$14,0)),0),0)</f>
        <v>0</v>
      </c>
      <c r="L2708" s="27">
        <f t="array" ref="L2708">IF($O2708="방문완료",IF($H2708="",0,IFERROR(INDEX(설정_코스수당!$B$15:$F$64,MATCH($H2708,설정_코스수당!$A$15:$A$64,0),MATCH($E2708&amp;"수당",설정_코스수당!$B$14:$F$14,0)),0)),0)</f>
        <v>0</v>
      </c>
      <c r="M2708" s="27">
        <f>IF($O2708="방문완료",IFERROR(VLOOKUP($E2708,설정_코스수당!$A$6:$H$10,6,FALSE),0),0)</f>
        <v>0</v>
      </c>
      <c r="N2708" s="28">
        <f t="shared" si="78"/>
        <v>0</v>
      </c>
      <c r="O2708" s="23"/>
      <c r="P2708" s="23"/>
      <c r="Q2708" s="23"/>
      <c r="R2708" s="26"/>
      <c r="S2708" s="23"/>
      <c r="U2708" s="113"/>
      <c r="V2708" s="111"/>
      <c r="W2708" s="112"/>
      <c r="X2708" s="111"/>
    </row>
    <row r="2709" spans="1:24" ht="19.5" hidden="1" customHeight="1" outlineLevel="1">
      <c r="A2709" s="29">
        <v>18</v>
      </c>
      <c r="B2709" s="30">
        <f>IF(27&lt;=DAY(DATE(YEAR(설정_코스수당!$K$2),MONTH(설정_코스수당!$K$2)+1,0)),DATE(YEAR(설정_코스수당!$K$2),MONTH(설정_코스수당!$K$2),27),"")</f>
        <v>46200</v>
      </c>
      <c r="C2709" s="31"/>
      <c r="D2709" s="29"/>
      <c r="E2709" s="29"/>
      <c r="F2709" s="32"/>
      <c r="G2709" s="29"/>
      <c r="H2709" s="29"/>
      <c r="I2709" s="29"/>
      <c r="J2709" s="33">
        <f>IF($O2709="방문완료",MAX(0,IFERROR(VLOOKUP($E2709,설정_코스수당!$A$6:$H$10,4,FALSE),0)-IF(OR($P2709="",$P2709="없음"),0,100000)),0)</f>
        <v>0</v>
      </c>
      <c r="K2709" s="33">
        <f t="array" ref="K2709">IF($O2709="방문완료",IFERROR(INDEX(설정_코스수당!$B$15:$F$64,MATCH($G2709,설정_코스수당!$A$15:$A$64,0),MATCH($E2709&amp;"수당",설정_코스수당!$B$14:$F$14,0)),0),0)</f>
        <v>0</v>
      </c>
      <c r="L2709" s="33">
        <f t="array" ref="L2709">IF($O2709="방문완료",IF($H2709="",0,IFERROR(INDEX(설정_코스수당!$B$15:$F$64,MATCH($H2709,설정_코스수당!$A$15:$A$64,0),MATCH($E2709&amp;"수당",설정_코스수당!$B$14:$F$14,0)),0)),0)</f>
        <v>0</v>
      </c>
      <c r="M2709" s="33">
        <f>IF($O2709="방문완료",IFERROR(VLOOKUP($E2709,설정_코스수당!$A$6:$H$10,6,FALSE),0),0)</f>
        <v>0</v>
      </c>
      <c r="N2709" s="34">
        <f t="shared" si="78"/>
        <v>0</v>
      </c>
      <c r="O2709" s="29"/>
      <c r="P2709" s="29"/>
      <c r="Q2709" s="29"/>
      <c r="R2709" s="32"/>
      <c r="S2709" s="29"/>
      <c r="U2709" s="113"/>
      <c r="V2709" s="111"/>
      <c r="W2709" s="112"/>
      <c r="X2709" s="111"/>
    </row>
    <row r="2710" spans="1:24" ht="19.5" hidden="1" customHeight="1" outlineLevel="1">
      <c r="A2710" s="23">
        <v>19</v>
      </c>
      <c r="B2710" s="24">
        <f>IF(27&lt;=DAY(DATE(YEAR(설정_코스수당!$K$2),MONTH(설정_코스수당!$K$2)+1,0)),DATE(YEAR(설정_코스수당!$K$2),MONTH(설정_코스수당!$K$2),27),"")</f>
        <v>46200</v>
      </c>
      <c r="C2710" s="25"/>
      <c r="D2710" s="23"/>
      <c r="E2710" s="23"/>
      <c r="F2710" s="26"/>
      <c r="G2710" s="23"/>
      <c r="H2710" s="23"/>
      <c r="I2710" s="23"/>
      <c r="J2710" s="27">
        <f>IF($O2710="방문완료",MAX(0,IFERROR(VLOOKUP($E2710,설정_코스수당!$A$6:$H$10,4,FALSE),0)-IF(OR($P2710="",$P2710="없음"),0,100000)),0)</f>
        <v>0</v>
      </c>
      <c r="K2710" s="27">
        <f t="array" ref="K2710">IF($O2710="방문완료",IFERROR(INDEX(설정_코스수당!$B$15:$F$64,MATCH($G2710,설정_코스수당!$A$15:$A$64,0),MATCH($E2710&amp;"수당",설정_코스수당!$B$14:$F$14,0)),0),0)</f>
        <v>0</v>
      </c>
      <c r="L2710" s="27">
        <f t="array" ref="L2710">IF($O2710="방문완료",IF($H2710="",0,IFERROR(INDEX(설정_코스수당!$B$15:$F$64,MATCH($H2710,설정_코스수당!$A$15:$A$64,0),MATCH($E2710&amp;"수당",설정_코스수당!$B$14:$F$14,0)),0)),0)</f>
        <v>0</v>
      </c>
      <c r="M2710" s="27">
        <f>IF($O2710="방문완료",IFERROR(VLOOKUP($E2710,설정_코스수당!$A$6:$H$10,6,FALSE),0),0)</f>
        <v>0</v>
      </c>
      <c r="N2710" s="28">
        <f t="shared" si="78"/>
        <v>0</v>
      </c>
      <c r="O2710" s="23"/>
      <c r="P2710" s="23"/>
      <c r="Q2710" s="23"/>
      <c r="R2710" s="26"/>
      <c r="S2710" s="23"/>
      <c r="U2710" s="113"/>
      <c r="V2710" s="111"/>
      <c r="W2710" s="112"/>
      <c r="X2710" s="111"/>
    </row>
    <row r="2711" spans="1:24" ht="19.5" hidden="1" customHeight="1" outlineLevel="1">
      <c r="A2711" s="29">
        <v>20</v>
      </c>
      <c r="B2711" s="30">
        <f>IF(27&lt;=DAY(DATE(YEAR(설정_코스수당!$K$2),MONTH(설정_코스수당!$K$2)+1,0)),DATE(YEAR(설정_코스수당!$K$2),MONTH(설정_코스수당!$K$2),27),"")</f>
        <v>46200</v>
      </c>
      <c r="C2711" s="31"/>
      <c r="D2711" s="29"/>
      <c r="E2711" s="29"/>
      <c r="F2711" s="32"/>
      <c r="G2711" s="29"/>
      <c r="H2711" s="29"/>
      <c r="I2711" s="29"/>
      <c r="J2711" s="33">
        <f>IF($O2711="방문완료",MAX(0,IFERROR(VLOOKUP($E2711,설정_코스수당!$A$6:$H$10,4,FALSE),0)-IF(OR($P2711="",$P2711="없음"),0,100000)),0)</f>
        <v>0</v>
      </c>
      <c r="K2711" s="33">
        <f t="array" ref="K2711">IF($O2711="방문완료",IFERROR(INDEX(설정_코스수당!$B$15:$F$64,MATCH($G2711,설정_코스수당!$A$15:$A$64,0),MATCH($E2711&amp;"수당",설정_코스수당!$B$14:$F$14,0)),0),0)</f>
        <v>0</v>
      </c>
      <c r="L2711" s="33">
        <f t="array" ref="L2711">IF($O2711="방문완료",IF($H2711="",0,IFERROR(INDEX(설정_코스수당!$B$15:$F$64,MATCH($H2711,설정_코스수당!$A$15:$A$64,0),MATCH($E2711&amp;"수당",설정_코스수당!$B$14:$F$14,0)),0)),0)</f>
        <v>0</v>
      </c>
      <c r="M2711" s="33">
        <f>IF($O2711="방문완료",IFERROR(VLOOKUP($E2711,설정_코스수당!$A$6:$H$10,6,FALSE),0),0)</f>
        <v>0</v>
      </c>
      <c r="N2711" s="34">
        <f t="shared" si="78"/>
        <v>0</v>
      </c>
      <c r="O2711" s="29"/>
      <c r="P2711" s="29"/>
      <c r="Q2711" s="29"/>
      <c r="R2711" s="32"/>
      <c r="S2711" s="29"/>
    </row>
    <row r="2712" spans="1:24" ht="19.5" hidden="1" customHeight="1" outlineLevel="1">
      <c r="A2712" s="23">
        <v>21</v>
      </c>
      <c r="B2712" s="24">
        <f>IF(27&lt;=DAY(DATE(YEAR(설정_코스수당!$K$2),MONTH(설정_코스수당!$K$2)+1,0)),DATE(YEAR(설정_코스수당!$K$2),MONTH(설정_코스수당!$K$2),27),"")</f>
        <v>46200</v>
      </c>
      <c r="C2712" s="25"/>
      <c r="D2712" s="23"/>
      <c r="E2712" s="23"/>
      <c r="F2712" s="26"/>
      <c r="G2712" s="23"/>
      <c r="H2712" s="23"/>
      <c r="I2712" s="23"/>
      <c r="J2712" s="27">
        <f>IF($O2712="방문완료",MAX(0,IFERROR(VLOOKUP($E2712,설정_코스수당!$A$6:$H$10,4,FALSE),0)-IF(OR($P2712="",$P2712="없음"),0,100000)),0)</f>
        <v>0</v>
      </c>
      <c r="K2712" s="27">
        <f t="array" ref="K2712">IF($O2712="방문완료",IFERROR(INDEX(설정_코스수당!$B$15:$F$64,MATCH($G2712,설정_코스수당!$A$15:$A$64,0),MATCH($E2712&amp;"수당",설정_코스수당!$B$14:$F$14,0)),0),0)</f>
        <v>0</v>
      </c>
      <c r="L2712" s="27">
        <f t="array" ref="L2712">IF($O2712="방문완료",IF($H2712="",0,IFERROR(INDEX(설정_코스수당!$B$15:$F$64,MATCH($H2712,설정_코스수당!$A$15:$A$64,0),MATCH($E2712&amp;"수당",설정_코스수당!$B$14:$F$14,0)),0)),0)</f>
        <v>0</v>
      </c>
      <c r="M2712" s="27">
        <f>IF($O2712="방문완료",IFERROR(VLOOKUP($E2712,설정_코스수당!$A$6:$H$10,6,FALSE),0),0)</f>
        <v>0</v>
      </c>
      <c r="N2712" s="28">
        <f t="shared" si="78"/>
        <v>0</v>
      </c>
      <c r="O2712" s="23"/>
      <c r="P2712" s="23"/>
      <c r="Q2712" s="23"/>
      <c r="R2712" s="26"/>
      <c r="S2712" s="23"/>
    </row>
    <row r="2713" spans="1:24" ht="19.5" hidden="1" customHeight="1" outlineLevel="1">
      <c r="A2713" s="29">
        <v>22</v>
      </c>
      <c r="B2713" s="30">
        <f>IF(27&lt;=DAY(DATE(YEAR(설정_코스수당!$K$2),MONTH(설정_코스수당!$K$2)+1,0)),DATE(YEAR(설정_코스수당!$K$2),MONTH(설정_코스수당!$K$2),27),"")</f>
        <v>46200</v>
      </c>
      <c r="C2713" s="31"/>
      <c r="D2713" s="29"/>
      <c r="E2713" s="29"/>
      <c r="F2713" s="32"/>
      <c r="G2713" s="29"/>
      <c r="H2713" s="29"/>
      <c r="I2713" s="29"/>
      <c r="J2713" s="33">
        <f>IF($O2713="방문완료",MAX(0,IFERROR(VLOOKUP($E2713,설정_코스수당!$A$6:$H$10,4,FALSE),0)-IF(OR($P2713="",$P2713="없음"),0,100000)),0)</f>
        <v>0</v>
      </c>
      <c r="K2713" s="33">
        <f t="array" ref="K2713">IF($O2713="방문완료",IFERROR(INDEX(설정_코스수당!$B$15:$F$64,MATCH($G2713,설정_코스수당!$A$15:$A$64,0),MATCH($E2713&amp;"수당",설정_코스수당!$B$14:$F$14,0)),0),0)</f>
        <v>0</v>
      </c>
      <c r="L2713" s="33">
        <f t="array" ref="L2713">IF($O2713="방문완료",IF($H2713="",0,IFERROR(INDEX(설정_코스수당!$B$15:$F$64,MATCH($H2713,설정_코스수당!$A$15:$A$64,0),MATCH($E2713&amp;"수당",설정_코스수당!$B$14:$F$14,0)),0)),0)</f>
        <v>0</v>
      </c>
      <c r="M2713" s="33">
        <f>IF($O2713="방문완료",IFERROR(VLOOKUP($E2713,설정_코스수당!$A$6:$H$10,6,FALSE),0),0)</f>
        <v>0</v>
      </c>
      <c r="N2713" s="34">
        <f t="shared" si="78"/>
        <v>0</v>
      </c>
      <c r="O2713" s="29"/>
      <c r="P2713" s="29"/>
      <c r="Q2713" s="29"/>
      <c r="R2713" s="32"/>
      <c r="S2713" s="29"/>
    </row>
    <row r="2714" spans="1:24" ht="19.5" hidden="1" customHeight="1" outlineLevel="1">
      <c r="A2714" s="23">
        <v>23</v>
      </c>
      <c r="B2714" s="24">
        <f>IF(27&lt;=DAY(DATE(YEAR(설정_코스수당!$K$2),MONTH(설정_코스수당!$K$2)+1,0)),DATE(YEAR(설정_코스수당!$K$2),MONTH(설정_코스수당!$K$2),27),"")</f>
        <v>46200</v>
      </c>
      <c r="C2714" s="25"/>
      <c r="D2714" s="23"/>
      <c r="E2714" s="23"/>
      <c r="F2714" s="26"/>
      <c r="G2714" s="23"/>
      <c r="H2714" s="23"/>
      <c r="I2714" s="23"/>
      <c r="J2714" s="27">
        <f>IF($O2714="방문완료",MAX(0,IFERROR(VLOOKUP($E2714,설정_코스수당!$A$6:$H$10,4,FALSE),0)-IF(OR($P2714="",$P2714="없음"),0,100000)),0)</f>
        <v>0</v>
      </c>
      <c r="K2714" s="27">
        <f t="array" ref="K2714">IF($O2714="방문완료",IFERROR(INDEX(설정_코스수당!$B$15:$F$64,MATCH($G2714,설정_코스수당!$A$15:$A$64,0),MATCH($E2714&amp;"수당",설정_코스수당!$B$14:$F$14,0)),0),0)</f>
        <v>0</v>
      </c>
      <c r="L2714" s="27">
        <f t="array" ref="L2714">IF($O2714="방문완료",IF($H2714="",0,IFERROR(INDEX(설정_코스수당!$B$15:$F$64,MATCH($H2714,설정_코스수당!$A$15:$A$64,0),MATCH($E2714&amp;"수당",설정_코스수당!$B$14:$F$14,0)),0)),0)</f>
        <v>0</v>
      </c>
      <c r="M2714" s="27">
        <f>IF($O2714="방문완료",IFERROR(VLOOKUP($E2714,설정_코스수당!$A$6:$H$10,6,FALSE),0),0)</f>
        <v>0</v>
      </c>
      <c r="N2714" s="28">
        <f t="shared" si="78"/>
        <v>0</v>
      </c>
      <c r="O2714" s="23"/>
      <c r="P2714" s="23"/>
      <c r="Q2714" s="23"/>
      <c r="R2714" s="26"/>
      <c r="S2714" s="23"/>
    </row>
    <row r="2715" spans="1:24" ht="19.5" hidden="1" customHeight="1" outlineLevel="1">
      <c r="A2715" s="29">
        <v>24</v>
      </c>
      <c r="B2715" s="30">
        <f>IF(27&lt;=DAY(DATE(YEAR(설정_코스수당!$K$2),MONTH(설정_코스수당!$K$2)+1,0)),DATE(YEAR(설정_코스수당!$K$2),MONTH(설정_코스수당!$K$2),27),"")</f>
        <v>46200</v>
      </c>
      <c r="C2715" s="31"/>
      <c r="D2715" s="29"/>
      <c r="E2715" s="29"/>
      <c r="F2715" s="32"/>
      <c r="G2715" s="29"/>
      <c r="H2715" s="29"/>
      <c r="I2715" s="29"/>
      <c r="J2715" s="33">
        <f>IF($O2715="방문완료",MAX(0,IFERROR(VLOOKUP($E2715,설정_코스수당!$A$6:$H$10,4,FALSE),0)-IF(OR($P2715="",$P2715="없음"),0,100000)),0)</f>
        <v>0</v>
      </c>
      <c r="K2715" s="33">
        <f t="array" ref="K2715">IF($O2715="방문완료",IFERROR(INDEX(설정_코스수당!$B$15:$F$64,MATCH($G2715,설정_코스수당!$A$15:$A$64,0),MATCH($E2715&amp;"수당",설정_코스수당!$B$14:$F$14,0)),0),0)</f>
        <v>0</v>
      </c>
      <c r="L2715" s="33">
        <f t="array" ref="L2715">IF($O2715="방문완료",IF($H2715="",0,IFERROR(INDEX(설정_코스수당!$B$15:$F$64,MATCH($H2715,설정_코스수당!$A$15:$A$64,0),MATCH($E2715&amp;"수당",설정_코스수당!$B$14:$F$14,0)),0)),0)</f>
        <v>0</v>
      </c>
      <c r="M2715" s="33">
        <f>IF($O2715="방문완료",IFERROR(VLOOKUP($E2715,설정_코스수당!$A$6:$H$10,6,FALSE),0),0)</f>
        <v>0</v>
      </c>
      <c r="N2715" s="34">
        <f t="shared" si="78"/>
        <v>0</v>
      </c>
      <c r="O2715" s="29"/>
      <c r="P2715" s="29"/>
      <c r="Q2715" s="29"/>
      <c r="R2715" s="32"/>
      <c r="S2715" s="29"/>
    </row>
    <row r="2716" spans="1:24" ht="19.5" hidden="1" customHeight="1" outlineLevel="1">
      <c r="A2716" s="23">
        <v>25</v>
      </c>
      <c r="B2716" s="24">
        <f>IF(27&lt;=DAY(DATE(YEAR(설정_코스수당!$K$2),MONTH(설정_코스수당!$K$2)+1,0)),DATE(YEAR(설정_코스수당!$K$2),MONTH(설정_코스수당!$K$2),27),"")</f>
        <v>46200</v>
      </c>
      <c r="C2716" s="25"/>
      <c r="D2716" s="23"/>
      <c r="E2716" s="23"/>
      <c r="F2716" s="26"/>
      <c r="G2716" s="23"/>
      <c r="H2716" s="23"/>
      <c r="I2716" s="23"/>
      <c r="J2716" s="27">
        <f>IF($O2716="방문완료",MAX(0,IFERROR(VLOOKUP($E2716,설정_코스수당!$A$6:$H$10,4,FALSE),0)-IF(OR($P2716="",$P2716="없음"),0,100000)),0)</f>
        <v>0</v>
      </c>
      <c r="K2716" s="27">
        <f t="array" ref="K2716">IF($O2716="방문완료",IFERROR(INDEX(설정_코스수당!$B$15:$F$64,MATCH($G2716,설정_코스수당!$A$15:$A$64,0),MATCH($E2716&amp;"수당",설정_코스수당!$B$14:$F$14,0)),0),0)</f>
        <v>0</v>
      </c>
      <c r="L2716" s="27">
        <f t="array" ref="L2716">IF($O2716="방문완료",IF($H2716="",0,IFERROR(INDEX(설정_코스수당!$B$15:$F$64,MATCH($H2716,설정_코스수당!$A$15:$A$64,0),MATCH($E2716&amp;"수당",설정_코스수당!$B$14:$F$14,0)),0)),0)</f>
        <v>0</v>
      </c>
      <c r="M2716" s="27">
        <f>IF($O2716="방문완료",IFERROR(VLOOKUP($E2716,설정_코스수당!$A$6:$H$10,6,FALSE),0),0)</f>
        <v>0</v>
      </c>
      <c r="N2716" s="28">
        <f t="shared" si="78"/>
        <v>0</v>
      </c>
      <c r="O2716" s="23"/>
      <c r="P2716" s="23"/>
      <c r="Q2716" s="23"/>
      <c r="R2716" s="26"/>
      <c r="S2716" s="23"/>
    </row>
    <row r="2717" spans="1:24" ht="19.5" hidden="1" customHeight="1" outlineLevel="1">
      <c r="A2717" s="29">
        <v>26</v>
      </c>
      <c r="B2717" s="30">
        <f>IF(27&lt;=DAY(DATE(YEAR(설정_코스수당!$K$2),MONTH(설정_코스수당!$K$2)+1,0)),DATE(YEAR(설정_코스수당!$K$2),MONTH(설정_코스수당!$K$2),27),"")</f>
        <v>46200</v>
      </c>
      <c r="C2717" s="31"/>
      <c r="D2717" s="29"/>
      <c r="E2717" s="29"/>
      <c r="F2717" s="32"/>
      <c r="G2717" s="29"/>
      <c r="H2717" s="29"/>
      <c r="I2717" s="29"/>
      <c r="J2717" s="33">
        <f>IF($O2717="방문완료",MAX(0,IFERROR(VLOOKUP($E2717,설정_코스수당!$A$6:$H$10,4,FALSE),0)-IF(OR($P2717="",$P2717="없음"),0,100000)),0)</f>
        <v>0</v>
      </c>
      <c r="K2717" s="33">
        <f t="array" ref="K2717">IF($O2717="방문완료",IFERROR(INDEX(설정_코스수당!$B$15:$F$64,MATCH($G2717,설정_코스수당!$A$15:$A$64,0),MATCH($E2717&amp;"수당",설정_코스수당!$B$14:$F$14,0)),0),0)</f>
        <v>0</v>
      </c>
      <c r="L2717" s="33">
        <f t="array" ref="L2717">IF($O2717="방문완료",IF($H2717="",0,IFERROR(INDEX(설정_코스수당!$B$15:$F$64,MATCH($H2717,설정_코스수당!$A$15:$A$64,0),MATCH($E2717&amp;"수당",설정_코스수당!$B$14:$F$14,0)),0)),0)</f>
        <v>0</v>
      </c>
      <c r="M2717" s="33">
        <f>IF($O2717="방문완료",IFERROR(VLOOKUP($E2717,설정_코스수당!$A$6:$H$10,6,FALSE),0),0)</f>
        <v>0</v>
      </c>
      <c r="N2717" s="34">
        <f t="shared" si="78"/>
        <v>0</v>
      </c>
      <c r="O2717" s="29"/>
      <c r="P2717" s="29"/>
      <c r="Q2717" s="29"/>
      <c r="R2717" s="32"/>
      <c r="S2717" s="29"/>
    </row>
    <row r="2718" spans="1:24" ht="19.5" hidden="1" customHeight="1" outlineLevel="1">
      <c r="A2718" s="23">
        <v>27</v>
      </c>
      <c r="B2718" s="24">
        <f>IF(27&lt;=DAY(DATE(YEAR(설정_코스수당!$K$2),MONTH(설정_코스수당!$K$2)+1,0)),DATE(YEAR(설정_코스수당!$K$2),MONTH(설정_코스수당!$K$2),27),"")</f>
        <v>46200</v>
      </c>
      <c r="C2718" s="25"/>
      <c r="D2718" s="23"/>
      <c r="E2718" s="23"/>
      <c r="F2718" s="26"/>
      <c r="G2718" s="23"/>
      <c r="H2718" s="23"/>
      <c r="I2718" s="23"/>
      <c r="J2718" s="27">
        <f>IF($O2718="방문완료",MAX(0,IFERROR(VLOOKUP($E2718,설정_코스수당!$A$6:$H$10,4,FALSE),0)-IF(OR($P2718="",$P2718="없음"),0,100000)),0)</f>
        <v>0</v>
      </c>
      <c r="K2718" s="27">
        <f t="array" ref="K2718">IF($O2718="방문완료",IFERROR(INDEX(설정_코스수당!$B$15:$F$64,MATCH($G2718,설정_코스수당!$A$15:$A$64,0),MATCH($E2718&amp;"수당",설정_코스수당!$B$14:$F$14,0)),0),0)</f>
        <v>0</v>
      </c>
      <c r="L2718" s="27">
        <f t="array" ref="L2718">IF($O2718="방문완료",IF($H2718="",0,IFERROR(INDEX(설정_코스수당!$B$15:$F$64,MATCH($H2718,설정_코스수당!$A$15:$A$64,0),MATCH($E2718&amp;"수당",설정_코스수당!$B$14:$F$14,0)),0)),0)</f>
        <v>0</v>
      </c>
      <c r="M2718" s="27">
        <f>IF($O2718="방문완료",IFERROR(VLOOKUP($E2718,설정_코스수당!$A$6:$H$10,6,FALSE),0),0)</f>
        <v>0</v>
      </c>
      <c r="N2718" s="28">
        <f t="shared" si="78"/>
        <v>0</v>
      </c>
      <c r="O2718" s="23"/>
      <c r="P2718" s="23"/>
      <c r="Q2718" s="23"/>
      <c r="R2718" s="26"/>
      <c r="S2718" s="23"/>
    </row>
    <row r="2719" spans="1:24" ht="19.5" hidden="1" customHeight="1" outlineLevel="1">
      <c r="A2719" s="29">
        <v>28</v>
      </c>
      <c r="B2719" s="30">
        <f>IF(27&lt;=DAY(DATE(YEAR(설정_코스수당!$K$2),MONTH(설정_코스수당!$K$2)+1,0)),DATE(YEAR(설정_코스수당!$K$2),MONTH(설정_코스수당!$K$2),27),"")</f>
        <v>46200</v>
      </c>
      <c r="C2719" s="31"/>
      <c r="D2719" s="29"/>
      <c r="E2719" s="29"/>
      <c r="F2719" s="32"/>
      <c r="G2719" s="29"/>
      <c r="H2719" s="29"/>
      <c r="I2719" s="29"/>
      <c r="J2719" s="33">
        <f>IF($O2719="방문완료",MAX(0,IFERROR(VLOOKUP($E2719,설정_코스수당!$A$6:$H$10,4,FALSE),0)-IF(OR($P2719="",$P2719="없음"),0,100000)),0)</f>
        <v>0</v>
      </c>
      <c r="K2719" s="33">
        <f t="array" ref="K2719">IF($O2719="방문완료",IFERROR(INDEX(설정_코스수당!$B$15:$F$64,MATCH($G2719,설정_코스수당!$A$15:$A$64,0),MATCH($E2719&amp;"수당",설정_코스수당!$B$14:$F$14,0)),0),0)</f>
        <v>0</v>
      </c>
      <c r="L2719" s="33">
        <f t="array" ref="L2719">IF($O2719="방문완료",IF($H2719="",0,IFERROR(INDEX(설정_코스수당!$B$15:$F$64,MATCH($H2719,설정_코스수당!$A$15:$A$64,0),MATCH($E2719&amp;"수당",설정_코스수당!$B$14:$F$14,0)),0)),0)</f>
        <v>0</v>
      </c>
      <c r="M2719" s="33">
        <f>IF($O2719="방문완료",IFERROR(VLOOKUP($E2719,설정_코스수당!$A$6:$H$10,6,FALSE),0),0)</f>
        <v>0</v>
      </c>
      <c r="N2719" s="34">
        <f t="shared" si="78"/>
        <v>0</v>
      </c>
      <c r="O2719" s="29"/>
      <c r="P2719" s="29"/>
      <c r="Q2719" s="29"/>
      <c r="R2719" s="32"/>
      <c r="S2719" s="29"/>
    </row>
    <row r="2720" spans="1:24" ht="19.5" hidden="1" customHeight="1" outlineLevel="1">
      <c r="A2720" s="23">
        <v>29</v>
      </c>
      <c r="B2720" s="24">
        <f>IF(27&lt;=DAY(DATE(YEAR(설정_코스수당!$K$2),MONTH(설정_코스수당!$K$2)+1,0)),DATE(YEAR(설정_코스수당!$K$2),MONTH(설정_코스수당!$K$2),27),"")</f>
        <v>46200</v>
      </c>
      <c r="C2720" s="25"/>
      <c r="D2720" s="23"/>
      <c r="E2720" s="23"/>
      <c r="F2720" s="26"/>
      <c r="G2720" s="23"/>
      <c r="H2720" s="23"/>
      <c r="I2720" s="23"/>
      <c r="J2720" s="27">
        <f>IF($O2720="방문완료",MAX(0,IFERROR(VLOOKUP($E2720,설정_코스수당!$A$6:$H$10,4,FALSE),0)-IF(OR($P2720="",$P2720="없음"),0,100000)),0)</f>
        <v>0</v>
      </c>
      <c r="K2720" s="27">
        <f t="array" ref="K2720">IF($O2720="방문완료",IFERROR(INDEX(설정_코스수당!$B$15:$F$64,MATCH($G2720,설정_코스수당!$A$15:$A$64,0),MATCH($E2720&amp;"수당",설정_코스수당!$B$14:$F$14,0)),0),0)</f>
        <v>0</v>
      </c>
      <c r="L2720" s="27">
        <f t="array" ref="L2720">IF($O2720="방문완료",IF($H2720="",0,IFERROR(INDEX(설정_코스수당!$B$15:$F$64,MATCH($H2720,설정_코스수당!$A$15:$A$64,0),MATCH($E2720&amp;"수당",설정_코스수당!$B$14:$F$14,0)),0)),0)</f>
        <v>0</v>
      </c>
      <c r="M2720" s="27">
        <f>IF($O2720="방문완료",IFERROR(VLOOKUP($E2720,설정_코스수당!$A$6:$H$10,6,FALSE),0),0)</f>
        <v>0</v>
      </c>
      <c r="N2720" s="28">
        <f t="shared" si="78"/>
        <v>0</v>
      </c>
      <c r="O2720" s="23"/>
      <c r="P2720" s="23"/>
      <c r="Q2720" s="23"/>
      <c r="R2720" s="26"/>
      <c r="S2720" s="23"/>
      <c r="U2720" s="16" t="s">
        <v>72</v>
      </c>
      <c r="V2720" s="17">
        <f>IF(28&lt;=DAY(DATE(YEAR(설정_코스수당!$K$2),MONTH(설정_코스수당!$K$2)+1,0)),COUNTIFS($B:$B,DATE(YEAR(설정_코스수당!$K$2),MONTH(설정_코스수당!$K$2),28),$O:$O,"방문완료",$P:$P,"&lt;&gt;",$P:$P,"&lt;&gt;없음")*100000,"")</f>
        <v>0</v>
      </c>
    </row>
    <row r="2721" spans="1:19" ht="19.5" hidden="1" customHeight="1" outlineLevel="1">
      <c r="A2721" s="29">
        <v>30</v>
      </c>
      <c r="B2721" s="30">
        <f>IF(27&lt;=DAY(DATE(YEAR(설정_코스수당!$K$2),MONTH(설정_코스수당!$K$2)+1,0)),DATE(YEAR(설정_코스수당!$K$2),MONTH(설정_코스수당!$K$2),27),"")</f>
        <v>46200</v>
      </c>
      <c r="C2721" s="31"/>
      <c r="D2721" s="29"/>
      <c r="E2721" s="29"/>
      <c r="F2721" s="32"/>
      <c r="G2721" s="29"/>
      <c r="H2721" s="29"/>
      <c r="I2721" s="29"/>
      <c r="J2721" s="33">
        <f>IF($O2721="방문완료",MAX(0,IFERROR(VLOOKUP($E2721,설정_코스수당!$A$6:$H$10,4,FALSE),0)-IF(OR($P2721="",$P2721="없음"),0,100000)),0)</f>
        <v>0</v>
      </c>
      <c r="K2721" s="33">
        <f t="array" ref="K2721">IF($O2721="방문완료",IFERROR(INDEX(설정_코스수당!$B$15:$F$64,MATCH($G2721,설정_코스수당!$A$15:$A$64,0),MATCH($E2721&amp;"수당",설정_코스수당!$B$14:$F$14,0)),0),0)</f>
        <v>0</v>
      </c>
      <c r="L2721" s="33">
        <f t="array" ref="L2721">IF($O2721="방문완료",IF($H2721="",0,IFERROR(INDEX(설정_코스수당!$B$15:$F$64,MATCH($H2721,설정_코스수당!$A$15:$A$64,0),MATCH($E2721&amp;"수당",설정_코스수당!$B$14:$F$14,0)),0)),0)</f>
        <v>0</v>
      </c>
      <c r="M2721" s="33">
        <f>IF($O2721="방문완료",IFERROR(VLOOKUP($E2721,설정_코스수당!$A$6:$H$10,6,FALSE),0),0)</f>
        <v>0</v>
      </c>
      <c r="N2721" s="34">
        <f t="shared" si="78"/>
        <v>0</v>
      </c>
      <c r="O2721" s="29"/>
      <c r="P2721" s="29"/>
      <c r="Q2721" s="29"/>
      <c r="R2721" s="32"/>
      <c r="S2721" s="29"/>
    </row>
    <row r="2722" spans="1:19" ht="19.5" hidden="1" customHeight="1" outlineLevel="1">
      <c r="A2722" s="23">
        <v>31</v>
      </c>
      <c r="B2722" s="24">
        <f>IF(27&lt;=DAY(DATE(YEAR(설정_코스수당!$K$2),MONTH(설정_코스수당!$K$2)+1,0)),DATE(YEAR(설정_코스수당!$K$2),MONTH(설정_코스수당!$K$2),27),"")</f>
        <v>46200</v>
      </c>
      <c r="C2722" s="25"/>
      <c r="D2722" s="23"/>
      <c r="E2722" s="23"/>
      <c r="F2722" s="26"/>
      <c r="G2722" s="23"/>
      <c r="H2722" s="23"/>
      <c r="I2722" s="23"/>
      <c r="J2722" s="27">
        <f>IF($O2722="방문완료",MAX(0,IFERROR(VLOOKUP($E2722,설정_코스수당!$A$6:$H$10,4,FALSE),0)-IF(OR($P2722="",$P2722="없음"),0,100000)),0)</f>
        <v>0</v>
      </c>
      <c r="K2722" s="27">
        <f t="array" ref="K2722">IF($O2722="방문완료",IFERROR(INDEX(설정_코스수당!$B$15:$F$64,MATCH($G2722,설정_코스수당!$A$15:$A$64,0),MATCH($E2722&amp;"수당",설정_코스수당!$B$14:$F$14,0)),0),0)</f>
        <v>0</v>
      </c>
      <c r="L2722" s="27">
        <f t="array" ref="L2722">IF($O2722="방문완료",IF($H2722="",0,IFERROR(INDEX(설정_코스수당!$B$15:$F$64,MATCH($H2722,설정_코스수당!$A$15:$A$64,0),MATCH($E2722&amp;"수당",설정_코스수당!$B$14:$F$14,0)),0)),0)</f>
        <v>0</v>
      </c>
      <c r="M2722" s="27">
        <f>IF($O2722="방문완료",IFERROR(VLOOKUP($E2722,설정_코스수당!$A$6:$H$10,6,FALSE),0),0)</f>
        <v>0</v>
      </c>
      <c r="N2722" s="28">
        <f t="shared" si="78"/>
        <v>0</v>
      </c>
      <c r="O2722" s="23"/>
      <c r="P2722" s="23"/>
      <c r="Q2722" s="23"/>
      <c r="R2722" s="26"/>
      <c r="S2722" s="23"/>
    </row>
    <row r="2723" spans="1:19" ht="19.5" hidden="1" customHeight="1" outlineLevel="1">
      <c r="A2723" s="29">
        <v>32</v>
      </c>
      <c r="B2723" s="30">
        <f>IF(27&lt;=DAY(DATE(YEAR(설정_코스수당!$K$2),MONTH(설정_코스수당!$K$2)+1,0)),DATE(YEAR(설정_코스수당!$K$2),MONTH(설정_코스수당!$K$2),27),"")</f>
        <v>46200</v>
      </c>
      <c r="C2723" s="31"/>
      <c r="D2723" s="29"/>
      <c r="E2723" s="29"/>
      <c r="F2723" s="32"/>
      <c r="G2723" s="29"/>
      <c r="H2723" s="29"/>
      <c r="I2723" s="29"/>
      <c r="J2723" s="33">
        <f>IF($O2723="방문완료",MAX(0,IFERROR(VLOOKUP($E2723,설정_코스수당!$A$6:$H$10,4,FALSE),0)-IF(OR($P2723="",$P2723="없음"),0,100000)),0)</f>
        <v>0</v>
      </c>
      <c r="K2723" s="33">
        <f t="array" ref="K2723">IF($O2723="방문완료",IFERROR(INDEX(설정_코스수당!$B$15:$F$64,MATCH($G2723,설정_코스수당!$A$15:$A$64,0),MATCH($E2723&amp;"수당",설정_코스수당!$B$14:$F$14,0)),0),0)</f>
        <v>0</v>
      </c>
      <c r="L2723" s="33">
        <f t="array" ref="L2723">IF($O2723="방문완료",IF($H2723="",0,IFERROR(INDEX(설정_코스수당!$B$15:$F$64,MATCH($H2723,설정_코스수당!$A$15:$A$64,0),MATCH($E2723&amp;"수당",설정_코스수당!$B$14:$F$14,0)),0)),0)</f>
        <v>0</v>
      </c>
      <c r="M2723" s="33">
        <f>IF($O2723="방문완료",IFERROR(VLOOKUP($E2723,설정_코스수당!$A$6:$H$10,6,FALSE),0),0)</f>
        <v>0</v>
      </c>
      <c r="N2723" s="34">
        <f t="shared" si="78"/>
        <v>0</v>
      </c>
      <c r="O2723" s="29"/>
      <c r="P2723" s="29"/>
      <c r="Q2723" s="29"/>
      <c r="R2723" s="32"/>
      <c r="S2723" s="29"/>
    </row>
    <row r="2724" spans="1:19" ht="19.5" hidden="1" customHeight="1" outlineLevel="1">
      <c r="A2724" s="23">
        <v>33</v>
      </c>
      <c r="B2724" s="24">
        <f>IF(27&lt;=DAY(DATE(YEAR(설정_코스수당!$K$2),MONTH(설정_코스수당!$K$2)+1,0)),DATE(YEAR(설정_코스수당!$K$2),MONTH(설정_코스수당!$K$2),27),"")</f>
        <v>46200</v>
      </c>
      <c r="C2724" s="25"/>
      <c r="D2724" s="23"/>
      <c r="E2724" s="23"/>
      <c r="F2724" s="26"/>
      <c r="G2724" s="23"/>
      <c r="H2724" s="23"/>
      <c r="I2724" s="23"/>
      <c r="J2724" s="27">
        <f>IF($O2724="방문완료",MAX(0,IFERROR(VLOOKUP($E2724,설정_코스수당!$A$6:$H$10,4,FALSE),0)-IF(OR($P2724="",$P2724="없음"),0,100000)),0)</f>
        <v>0</v>
      </c>
      <c r="K2724" s="27">
        <f t="array" ref="K2724">IF($O2724="방문완료",IFERROR(INDEX(설정_코스수당!$B$15:$F$64,MATCH($G2724,설정_코스수당!$A$15:$A$64,0),MATCH($E2724&amp;"수당",설정_코스수당!$B$14:$F$14,0)),0),0)</f>
        <v>0</v>
      </c>
      <c r="L2724" s="27">
        <f t="array" ref="L2724">IF($O2724="방문완료",IF($H2724="",0,IFERROR(INDEX(설정_코스수당!$B$15:$F$64,MATCH($H2724,설정_코스수당!$A$15:$A$64,0),MATCH($E2724&amp;"수당",설정_코스수당!$B$14:$F$14,0)),0)),0)</f>
        <v>0</v>
      </c>
      <c r="M2724" s="27">
        <f>IF($O2724="방문완료",IFERROR(VLOOKUP($E2724,설정_코스수당!$A$6:$H$10,6,FALSE),0),0)</f>
        <v>0</v>
      </c>
      <c r="N2724" s="28">
        <f t="shared" ref="N2724:N2755" si="79">IF($O2724="방문완료",1,0)</f>
        <v>0</v>
      </c>
      <c r="O2724" s="23"/>
      <c r="P2724" s="23"/>
      <c r="Q2724" s="23"/>
      <c r="R2724" s="26"/>
      <c r="S2724" s="23"/>
    </row>
    <row r="2725" spans="1:19" ht="19.5" hidden="1" customHeight="1" outlineLevel="1">
      <c r="A2725" s="29">
        <v>34</v>
      </c>
      <c r="B2725" s="30">
        <f>IF(27&lt;=DAY(DATE(YEAR(설정_코스수당!$K$2),MONTH(설정_코스수당!$K$2)+1,0)),DATE(YEAR(설정_코스수당!$K$2),MONTH(설정_코스수당!$K$2),27),"")</f>
        <v>46200</v>
      </c>
      <c r="C2725" s="31"/>
      <c r="D2725" s="29"/>
      <c r="E2725" s="29"/>
      <c r="F2725" s="32"/>
      <c r="G2725" s="29"/>
      <c r="H2725" s="29"/>
      <c r="I2725" s="29"/>
      <c r="J2725" s="33">
        <f>IF($O2725="방문완료",MAX(0,IFERROR(VLOOKUP($E2725,설정_코스수당!$A$6:$H$10,4,FALSE),0)-IF(OR($P2725="",$P2725="없음"),0,100000)),0)</f>
        <v>0</v>
      </c>
      <c r="K2725" s="33">
        <f t="array" ref="K2725">IF($O2725="방문완료",IFERROR(INDEX(설정_코스수당!$B$15:$F$64,MATCH($G2725,설정_코스수당!$A$15:$A$64,0),MATCH($E2725&amp;"수당",설정_코스수당!$B$14:$F$14,0)),0),0)</f>
        <v>0</v>
      </c>
      <c r="L2725" s="33">
        <f t="array" ref="L2725">IF($O2725="방문완료",IF($H2725="",0,IFERROR(INDEX(설정_코스수당!$B$15:$F$64,MATCH($H2725,설정_코스수당!$A$15:$A$64,0),MATCH($E2725&amp;"수당",설정_코스수당!$B$14:$F$14,0)),0)),0)</f>
        <v>0</v>
      </c>
      <c r="M2725" s="33">
        <f>IF($O2725="방문완료",IFERROR(VLOOKUP($E2725,설정_코스수당!$A$6:$H$10,6,FALSE),0),0)</f>
        <v>0</v>
      </c>
      <c r="N2725" s="34">
        <f t="shared" si="79"/>
        <v>0</v>
      </c>
      <c r="O2725" s="29"/>
      <c r="P2725" s="29"/>
      <c r="Q2725" s="29"/>
      <c r="R2725" s="32"/>
      <c r="S2725" s="29"/>
    </row>
    <row r="2726" spans="1:19" ht="19.5" hidden="1" customHeight="1" outlineLevel="1">
      <c r="A2726" s="23">
        <v>35</v>
      </c>
      <c r="B2726" s="24">
        <f>IF(27&lt;=DAY(DATE(YEAR(설정_코스수당!$K$2),MONTH(설정_코스수당!$K$2)+1,0)),DATE(YEAR(설정_코스수당!$K$2),MONTH(설정_코스수당!$K$2),27),"")</f>
        <v>46200</v>
      </c>
      <c r="C2726" s="25"/>
      <c r="D2726" s="23"/>
      <c r="E2726" s="23"/>
      <c r="F2726" s="26"/>
      <c r="G2726" s="23"/>
      <c r="H2726" s="23"/>
      <c r="I2726" s="23"/>
      <c r="J2726" s="27">
        <f>IF($O2726="방문완료",MAX(0,IFERROR(VLOOKUP($E2726,설정_코스수당!$A$6:$H$10,4,FALSE),0)-IF(OR($P2726="",$P2726="없음"),0,100000)),0)</f>
        <v>0</v>
      </c>
      <c r="K2726" s="27">
        <f t="array" ref="K2726">IF($O2726="방문완료",IFERROR(INDEX(설정_코스수당!$B$15:$F$64,MATCH($G2726,설정_코스수당!$A$15:$A$64,0),MATCH($E2726&amp;"수당",설정_코스수당!$B$14:$F$14,0)),0),0)</f>
        <v>0</v>
      </c>
      <c r="L2726" s="27">
        <f t="array" ref="L2726">IF($O2726="방문완료",IF($H2726="",0,IFERROR(INDEX(설정_코스수당!$B$15:$F$64,MATCH($H2726,설정_코스수당!$A$15:$A$64,0),MATCH($E2726&amp;"수당",설정_코스수당!$B$14:$F$14,0)),0)),0)</f>
        <v>0</v>
      </c>
      <c r="M2726" s="27">
        <f>IF($O2726="방문완료",IFERROR(VLOOKUP($E2726,설정_코스수당!$A$6:$H$10,6,FALSE),0),0)</f>
        <v>0</v>
      </c>
      <c r="N2726" s="28">
        <f t="shared" si="79"/>
        <v>0</v>
      </c>
      <c r="O2726" s="23"/>
      <c r="P2726" s="23"/>
      <c r="Q2726" s="23"/>
      <c r="R2726" s="26"/>
      <c r="S2726" s="23"/>
    </row>
    <row r="2727" spans="1:19" ht="19.5" hidden="1" customHeight="1" outlineLevel="1">
      <c r="A2727" s="29">
        <v>36</v>
      </c>
      <c r="B2727" s="30">
        <f>IF(27&lt;=DAY(DATE(YEAR(설정_코스수당!$K$2),MONTH(설정_코스수당!$K$2)+1,0)),DATE(YEAR(설정_코스수당!$K$2),MONTH(설정_코스수당!$K$2),27),"")</f>
        <v>46200</v>
      </c>
      <c r="C2727" s="31"/>
      <c r="D2727" s="29"/>
      <c r="E2727" s="29"/>
      <c r="F2727" s="32"/>
      <c r="G2727" s="29"/>
      <c r="H2727" s="29"/>
      <c r="I2727" s="29"/>
      <c r="J2727" s="33">
        <f>IF($O2727="방문완료",MAX(0,IFERROR(VLOOKUP($E2727,설정_코스수당!$A$6:$H$10,4,FALSE),0)-IF(OR($P2727="",$P2727="없음"),0,100000)),0)</f>
        <v>0</v>
      </c>
      <c r="K2727" s="33">
        <f t="array" ref="K2727">IF($O2727="방문완료",IFERROR(INDEX(설정_코스수당!$B$15:$F$64,MATCH($G2727,설정_코스수당!$A$15:$A$64,0),MATCH($E2727&amp;"수당",설정_코스수당!$B$14:$F$14,0)),0),0)</f>
        <v>0</v>
      </c>
      <c r="L2727" s="33">
        <f t="array" ref="L2727">IF($O2727="방문완료",IF($H2727="",0,IFERROR(INDEX(설정_코스수당!$B$15:$F$64,MATCH($H2727,설정_코스수당!$A$15:$A$64,0),MATCH($E2727&amp;"수당",설정_코스수당!$B$14:$F$14,0)),0)),0)</f>
        <v>0</v>
      </c>
      <c r="M2727" s="33">
        <f>IF($O2727="방문완료",IFERROR(VLOOKUP($E2727,설정_코스수당!$A$6:$H$10,6,FALSE),0),0)</f>
        <v>0</v>
      </c>
      <c r="N2727" s="34">
        <f t="shared" si="79"/>
        <v>0</v>
      </c>
      <c r="O2727" s="29"/>
      <c r="P2727" s="29"/>
      <c r="Q2727" s="29"/>
      <c r="R2727" s="32"/>
      <c r="S2727" s="29"/>
    </row>
    <row r="2728" spans="1:19" ht="19.5" hidden="1" customHeight="1" outlineLevel="1">
      <c r="A2728" s="23">
        <v>37</v>
      </c>
      <c r="B2728" s="24">
        <f>IF(27&lt;=DAY(DATE(YEAR(설정_코스수당!$K$2),MONTH(설정_코스수당!$K$2)+1,0)),DATE(YEAR(설정_코스수당!$K$2),MONTH(설정_코스수당!$K$2),27),"")</f>
        <v>46200</v>
      </c>
      <c r="C2728" s="25"/>
      <c r="D2728" s="23"/>
      <c r="E2728" s="23"/>
      <c r="F2728" s="26"/>
      <c r="G2728" s="23"/>
      <c r="H2728" s="23"/>
      <c r="I2728" s="23"/>
      <c r="J2728" s="27">
        <f>IF($O2728="방문완료",MAX(0,IFERROR(VLOOKUP($E2728,설정_코스수당!$A$6:$H$10,4,FALSE),0)-IF(OR($P2728="",$P2728="없음"),0,100000)),0)</f>
        <v>0</v>
      </c>
      <c r="K2728" s="27">
        <f t="array" ref="K2728">IF($O2728="방문완료",IFERROR(INDEX(설정_코스수당!$B$15:$F$64,MATCH($G2728,설정_코스수당!$A$15:$A$64,0),MATCH($E2728&amp;"수당",설정_코스수당!$B$14:$F$14,0)),0),0)</f>
        <v>0</v>
      </c>
      <c r="L2728" s="27">
        <f t="array" ref="L2728">IF($O2728="방문완료",IF($H2728="",0,IFERROR(INDEX(설정_코스수당!$B$15:$F$64,MATCH($H2728,설정_코스수당!$A$15:$A$64,0),MATCH($E2728&amp;"수당",설정_코스수당!$B$14:$F$14,0)),0)),0)</f>
        <v>0</v>
      </c>
      <c r="M2728" s="27">
        <f>IF($O2728="방문완료",IFERROR(VLOOKUP($E2728,설정_코스수당!$A$6:$H$10,6,FALSE),0),0)</f>
        <v>0</v>
      </c>
      <c r="N2728" s="28">
        <f t="shared" si="79"/>
        <v>0</v>
      </c>
      <c r="O2728" s="23"/>
      <c r="P2728" s="23"/>
      <c r="Q2728" s="23"/>
      <c r="R2728" s="26"/>
      <c r="S2728" s="23"/>
    </row>
    <row r="2729" spans="1:19" ht="19.5" hidden="1" customHeight="1" outlineLevel="1">
      <c r="A2729" s="29">
        <v>38</v>
      </c>
      <c r="B2729" s="30">
        <f>IF(27&lt;=DAY(DATE(YEAR(설정_코스수당!$K$2),MONTH(설정_코스수당!$K$2)+1,0)),DATE(YEAR(설정_코스수당!$K$2),MONTH(설정_코스수당!$K$2),27),"")</f>
        <v>46200</v>
      </c>
      <c r="C2729" s="31"/>
      <c r="D2729" s="29"/>
      <c r="E2729" s="29"/>
      <c r="F2729" s="32"/>
      <c r="G2729" s="29"/>
      <c r="H2729" s="29"/>
      <c r="I2729" s="29"/>
      <c r="J2729" s="33">
        <f>IF($O2729="방문완료",MAX(0,IFERROR(VLOOKUP($E2729,설정_코스수당!$A$6:$H$10,4,FALSE),0)-IF(OR($P2729="",$P2729="없음"),0,100000)),0)</f>
        <v>0</v>
      </c>
      <c r="K2729" s="33">
        <f t="array" ref="K2729">IF($O2729="방문완료",IFERROR(INDEX(설정_코스수당!$B$15:$F$64,MATCH($G2729,설정_코스수당!$A$15:$A$64,0),MATCH($E2729&amp;"수당",설정_코스수당!$B$14:$F$14,0)),0),0)</f>
        <v>0</v>
      </c>
      <c r="L2729" s="33">
        <f t="array" ref="L2729">IF($O2729="방문완료",IF($H2729="",0,IFERROR(INDEX(설정_코스수당!$B$15:$F$64,MATCH($H2729,설정_코스수당!$A$15:$A$64,0),MATCH($E2729&amp;"수당",설정_코스수당!$B$14:$F$14,0)),0)),0)</f>
        <v>0</v>
      </c>
      <c r="M2729" s="33">
        <f>IF($O2729="방문완료",IFERROR(VLOOKUP($E2729,설정_코스수당!$A$6:$H$10,6,FALSE),0),0)</f>
        <v>0</v>
      </c>
      <c r="N2729" s="34">
        <f t="shared" si="79"/>
        <v>0</v>
      </c>
      <c r="O2729" s="29"/>
      <c r="P2729" s="29"/>
      <c r="Q2729" s="29"/>
      <c r="R2729" s="32"/>
      <c r="S2729" s="29"/>
    </row>
    <row r="2730" spans="1:19" ht="19.5" hidden="1" customHeight="1" outlineLevel="1">
      <c r="A2730" s="23">
        <v>39</v>
      </c>
      <c r="B2730" s="24">
        <f>IF(27&lt;=DAY(DATE(YEAR(설정_코스수당!$K$2),MONTH(설정_코스수당!$K$2)+1,0)),DATE(YEAR(설정_코스수당!$K$2),MONTH(설정_코스수당!$K$2),27),"")</f>
        <v>46200</v>
      </c>
      <c r="C2730" s="25"/>
      <c r="D2730" s="23"/>
      <c r="E2730" s="23"/>
      <c r="F2730" s="26"/>
      <c r="G2730" s="23"/>
      <c r="H2730" s="23"/>
      <c r="I2730" s="23"/>
      <c r="J2730" s="27">
        <f>IF($O2730="방문완료",MAX(0,IFERROR(VLOOKUP($E2730,설정_코스수당!$A$6:$H$10,4,FALSE),0)-IF(OR($P2730="",$P2730="없음"),0,100000)),0)</f>
        <v>0</v>
      </c>
      <c r="K2730" s="27">
        <f t="array" ref="K2730">IF($O2730="방문완료",IFERROR(INDEX(설정_코스수당!$B$15:$F$64,MATCH($G2730,설정_코스수당!$A$15:$A$64,0),MATCH($E2730&amp;"수당",설정_코스수당!$B$14:$F$14,0)),0),0)</f>
        <v>0</v>
      </c>
      <c r="L2730" s="27">
        <f t="array" ref="L2730">IF($O2730="방문완료",IF($H2730="",0,IFERROR(INDEX(설정_코스수당!$B$15:$F$64,MATCH($H2730,설정_코스수당!$A$15:$A$64,0),MATCH($E2730&amp;"수당",설정_코스수당!$B$14:$F$14,0)),0)),0)</f>
        <v>0</v>
      </c>
      <c r="M2730" s="27">
        <f>IF($O2730="방문완료",IFERROR(VLOOKUP($E2730,설정_코스수당!$A$6:$H$10,6,FALSE),0),0)</f>
        <v>0</v>
      </c>
      <c r="N2730" s="28">
        <f t="shared" si="79"/>
        <v>0</v>
      </c>
      <c r="O2730" s="23"/>
      <c r="P2730" s="23"/>
      <c r="Q2730" s="23"/>
      <c r="R2730" s="26"/>
      <c r="S2730" s="23"/>
    </row>
    <row r="2731" spans="1:19" ht="19.5" hidden="1" customHeight="1" outlineLevel="1">
      <c r="A2731" s="29">
        <v>40</v>
      </c>
      <c r="B2731" s="30">
        <f>IF(27&lt;=DAY(DATE(YEAR(설정_코스수당!$K$2),MONTH(설정_코스수당!$K$2)+1,0)),DATE(YEAR(설정_코스수당!$K$2),MONTH(설정_코스수당!$K$2),27),"")</f>
        <v>46200</v>
      </c>
      <c r="C2731" s="31"/>
      <c r="D2731" s="29"/>
      <c r="E2731" s="29"/>
      <c r="F2731" s="32"/>
      <c r="G2731" s="29"/>
      <c r="H2731" s="29"/>
      <c r="I2731" s="29"/>
      <c r="J2731" s="33">
        <f>IF($O2731="방문완료",MAX(0,IFERROR(VLOOKUP($E2731,설정_코스수당!$A$6:$H$10,4,FALSE),0)-IF(OR($P2731="",$P2731="없음"),0,100000)),0)</f>
        <v>0</v>
      </c>
      <c r="K2731" s="33">
        <f t="array" ref="K2731">IF($O2731="방문완료",IFERROR(INDEX(설정_코스수당!$B$15:$F$64,MATCH($G2731,설정_코스수당!$A$15:$A$64,0),MATCH($E2731&amp;"수당",설정_코스수당!$B$14:$F$14,0)),0),0)</f>
        <v>0</v>
      </c>
      <c r="L2731" s="33">
        <f t="array" ref="L2731">IF($O2731="방문완료",IF($H2731="",0,IFERROR(INDEX(설정_코스수당!$B$15:$F$64,MATCH($H2731,설정_코스수당!$A$15:$A$64,0),MATCH($E2731&amp;"수당",설정_코스수당!$B$14:$F$14,0)),0)),0)</f>
        <v>0</v>
      </c>
      <c r="M2731" s="33">
        <f>IF($O2731="방문완료",IFERROR(VLOOKUP($E2731,설정_코스수당!$A$6:$H$10,6,FALSE),0),0)</f>
        <v>0</v>
      </c>
      <c r="N2731" s="34">
        <f t="shared" si="79"/>
        <v>0</v>
      </c>
      <c r="O2731" s="29"/>
      <c r="P2731" s="29"/>
      <c r="Q2731" s="29"/>
      <c r="R2731" s="32"/>
      <c r="S2731" s="29"/>
    </row>
    <row r="2732" spans="1:19" ht="19.5" hidden="1" customHeight="1" outlineLevel="1">
      <c r="A2732" s="23">
        <v>41</v>
      </c>
      <c r="B2732" s="24">
        <f>IF(27&lt;=DAY(DATE(YEAR(설정_코스수당!$K$2),MONTH(설정_코스수당!$K$2)+1,0)),DATE(YEAR(설정_코스수당!$K$2),MONTH(설정_코스수당!$K$2),27),"")</f>
        <v>46200</v>
      </c>
      <c r="C2732" s="25"/>
      <c r="D2732" s="23"/>
      <c r="E2732" s="23"/>
      <c r="F2732" s="26"/>
      <c r="G2732" s="23"/>
      <c r="H2732" s="23"/>
      <c r="I2732" s="23"/>
      <c r="J2732" s="27">
        <f>IF($O2732="방문완료",MAX(0,IFERROR(VLOOKUP($E2732,설정_코스수당!$A$6:$H$10,4,FALSE),0)-IF(OR($P2732="",$P2732="없음"),0,100000)),0)</f>
        <v>0</v>
      </c>
      <c r="K2732" s="27">
        <f t="array" ref="K2732">IF($O2732="방문완료",IFERROR(INDEX(설정_코스수당!$B$15:$F$64,MATCH($G2732,설정_코스수당!$A$15:$A$64,0),MATCH($E2732&amp;"수당",설정_코스수당!$B$14:$F$14,0)),0),0)</f>
        <v>0</v>
      </c>
      <c r="L2732" s="27">
        <f t="array" ref="L2732">IF($O2732="방문완료",IF($H2732="",0,IFERROR(INDEX(설정_코스수당!$B$15:$F$64,MATCH($H2732,설정_코스수당!$A$15:$A$64,0),MATCH($E2732&amp;"수당",설정_코스수당!$B$14:$F$14,0)),0)),0)</f>
        <v>0</v>
      </c>
      <c r="M2732" s="27">
        <f>IF($O2732="방문완료",IFERROR(VLOOKUP($E2732,설정_코스수당!$A$6:$H$10,6,FALSE),0),0)</f>
        <v>0</v>
      </c>
      <c r="N2732" s="28">
        <f t="shared" si="79"/>
        <v>0</v>
      </c>
      <c r="O2732" s="23"/>
      <c r="P2732" s="23"/>
      <c r="Q2732" s="23"/>
      <c r="R2732" s="26"/>
      <c r="S2732" s="23"/>
    </row>
    <row r="2733" spans="1:19" ht="19.5" hidden="1" customHeight="1" outlineLevel="1">
      <c r="A2733" s="29">
        <v>42</v>
      </c>
      <c r="B2733" s="30">
        <f>IF(27&lt;=DAY(DATE(YEAR(설정_코스수당!$K$2),MONTH(설정_코스수당!$K$2)+1,0)),DATE(YEAR(설정_코스수당!$K$2),MONTH(설정_코스수당!$K$2),27),"")</f>
        <v>46200</v>
      </c>
      <c r="C2733" s="31"/>
      <c r="D2733" s="29"/>
      <c r="E2733" s="29"/>
      <c r="F2733" s="32"/>
      <c r="G2733" s="29"/>
      <c r="H2733" s="29"/>
      <c r="I2733" s="29"/>
      <c r="J2733" s="33">
        <f>IF($O2733="방문완료",MAX(0,IFERROR(VLOOKUP($E2733,설정_코스수당!$A$6:$H$10,4,FALSE),0)-IF(OR($P2733="",$P2733="없음"),0,100000)),0)</f>
        <v>0</v>
      </c>
      <c r="K2733" s="33">
        <f t="array" ref="K2733">IF($O2733="방문완료",IFERROR(INDEX(설정_코스수당!$B$15:$F$64,MATCH($G2733,설정_코스수당!$A$15:$A$64,0),MATCH($E2733&amp;"수당",설정_코스수당!$B$14:$F$14,0)),0),0)</f>
        <v>0</v>
      </c>
      <c r="L2733" s="33">
        <f t="array" ref="L2733">IF($O2733="방문완료",IF($H2733="",0,IFERROR(INDEX(설정_코스수당!$B$15:$F$64,MATCH($H2733,설정_코스수당!$A$15:$A$64,0),MATCH($E2733&amp;"수당",설정_코스수당!$B$14:$F$14,0)),0)),0)</f>
        <v>0</v>
      </c>
      <c r="M2733" s="33">
        <f>IF($O2733="방문완료",IFERROR(VLOOKUP($E2733,설정_코스수당!$A$6:$H$10,6,FALSE),0),0)</f>
        <v>0</v>
      </c>
      <c r="N2733" s="34">
        <f t="shared" si="79"/>
        <v>0</v>
      </c>
      <c r="O2733" s="29"/>
      <c r="P2733" s="29"/>
      <c r="Q2733" s="29"/>
      <c r="R2733" s="32"/>
      <c r="S2733" s="29"/>
    </row>
    <row r="2734" spans="1:19" ht="19.5" hidden="1" customHeight="1" outlineLevel="1">
      <c r="A2734" s="23">
        <v>43</v>
      </c>
      <c r="B2734" s="24">
        <f>IF(27&lt;=DAY(DATE(YEAR(설정_코스수당!$K$2),MONTH(설정_코스수당!$K$2)+1,0)),DATE(YEAR(설정_코스수당!$K$2),MONTH(설정_코스수당!$K$2),27),"")</f>
        <v>46200</v>
      </c>
      <c r="C2734" s="25"/>
      <c r="D2734" s="23"/>
      <c r="E2734" s="23"/>
      <c r="F2734" s="26"/>
      <c r="G2734" s="23"/>
      <c r="H2734" s="23"/>
      <c r="I2734" s="23"/>
      <c r="J2734" s="27">
        <f>IF($O2734="방문완료",MAX(0,IFERROR(VLOOKUP($E2734,설정_코스수당!$A$6:$H$10,4,FALSE),0)-IF(OR($P2734="",$P2734="없음"),0,100000)),0)</f>
        <v>0</v>
      </c>
      <c r="K2734" s="27">
        <f t="array" ref="K2734">IF($O2734="방문완료",IFERROR(INDEX(설정_코스수당!$B$15:$F$64,MATCH($G2734,설정_코스수당!$A$15:$A$64,0),MATCH($E2734&amp;"수당",설정_코스수당!$B$14:$F$14,0)),0),0)</f>
        <v>0</v>
      </c>
      <c r="L2734" s="27">
        <f t="array" ref="L2734">IF($O2734="방문완료",IF($H2734="",0,IFERROR(INDEX(설정_코스수당!$B$15:$F$64,MATCH($H2734,설정_코스수당!$A$15:$A$64,0),MATCH($E2734&amp;"수당",설정_코스수당!$B$14:$F$14,0)),0)),0)</f>
        <v>0</v>
      </c>
      <c r="M2734" s="27">
        <f>IF($O2734="방문완료",IFERROR(VLOOKUP($E2734,설정_코스수당!$A$6:$H$10,6,FALSE),0),0)</f>
        <v>0</v>
      </c>
      <c r="N2734" s="28">
        <f t="shared" si="79"/>
        <v>0</v>
      </c>
      <c r="O2734" s="23"/>
      <c r="P2734" s="23"/>
      <c r="Q2734" s="23"/>
      <c r="R2734" s="26"/>
      <c r="S2734" s="23"/>
    </row>
    <row r="2735" spans="1:19" ht="19.5" hidden="1" customHeight="1" outlineLevel="1">
      <c r="A2735" s="29">
        <v>44</v>
      </c>
      <c r="B2735" s="30">
        <f>IF(27&lt;=DAY(DATE(YEAR(설정_코스수당!$K$2),MONTH(설정_코스수당!$K$2)+1,0)),DATE(YEAR(설정_코스수당!$K$2),MONTH(설정_코스수당!$K$2),27),"")</f>
        <v>46200</v>
      </c>
      <c r="C2735" s="31"/>
      <c r="D2735" s="29"/>
      <c r="E2735" s="29"/>
      <c r="F2735" s="32"/>
      <c r="G2735" s="29"/>
      <c r="H2735" s="29"/>
      <c r="I2735" s="29"/>
      <c r="J2735" s="33">
        <f>IF($O2735="방문완료",MAX(0,IFERROR(VLOOKUP($E2735,설정_코스수당!$A$6:$H$10,4,FALSE),0)-IF(OR($P2735="",$P2735="없음"),0,100000)),0)</f>
        <v>0</v>
      </c>
      <c r="K2735" s="33">
        <f t="array" ref="K2735">IF($O2735="방문완료",IFERROR(INDEX(설정_코스수당!$B$15:$F$64,MATCH($G2735,설정_코스수당!$A$15:$A$64,0),MATCH($E2735&amp;"수당",설정_코스수당!$B$14:$F$14,0)),0),0)</f>
        <v>0</v>
      </c>
      <c r="L2735" s="33">
        <f t="array" ref="L2735">IF($O2735="방문완료",IF($H2735="",0,IFERROR(INDEX(설정_코스수당!$B$15:$F$64,MATCH($H2735,설정_코스수당!$A$15:$A$64,0),MATCH($E2735&amp;"수당",설정_코스수당!$B$14:$F$14,0)),0)),0)</f>
        <v>0</v>
      </c>
      <c r="M2735" s="33">
        <f>IF($O2735="방문완료",IFERROR(VLOOKUP($E2735,설정_코스수당!$A$6:$H$10,6,FALSE),0),0)</f>
        <v>0</v>
      </c>
      <c r="N2735" s="34">
        <f t="shared" si="79"/>
        <v>0</v>
      </c>
      <c r="O2735" s="29"/>
      <c r="P2735" s="29"/>
      <c r="Q2735" s="29"/>
      <c r="R2735" s="32"/>
      <c r="S2735" s="29"/>
    </row>
    <row r="2736" spans="1:19" ht="19.5" hidden="1" customHeight="1" outlineLevel="1">
      <c r="A2736" s="23">
        <v>45</v>
      </c>
      <c r="B2736" s="24">
        <f>IF(27&lt;=DAY(DATE(YEAR(설정_코스수당!$K$2),MONTH(설정_코스수당!$K$2)+1,0)),DATE(YEAR(설정_코스수당!$K$2),MONTH(설정_코스수당!$K$2),27),"")</f>
        <v>46200</v>
      </c>
      <c r="C2736" s="25"/>
      <c r="D2736" s="23"/>
      <c r="E2736" s="23"/>
      <c r="F2736" s="26"/>
      <c r="G2736" s="23"/>
      <c r="H2736" s="23"/>
      <c r="I2736" s="23"/>
      <c r="J2736" s="27">
        <f>IF($O2736="방문완료",MAX(0,IFERROR(VLOOKUP($E2736,설정_코스수당!$A$6:$H$10,4,FALSE),0)-IF(OR($P2736="",$P2736="없음"),0,100000)),0)</f>
        <v>0</v>
      </c>
      <c r="K2736" s="27">
        <f t="array" ref="K2736">IF($O2736="방문완료",IFERROR(INDEX(설정_코스수당!$B$15:$F$64,MATCH($G2736,설정_코스수당!$A$15:$A$64,0),MATCH($E2736&amp;"수당",설정_코스수당!$B$14:$F$14,0)),0),0)</f>
        <v>0</v>
      </c>
      <c r="L2736" s="27">
        <f t="array" ref="L2736">IF($O2736="방문완료",IF($H2736="",0,IFERROR(INDEX(설정_코스수당!$B$15:$F$64,MATCH($H2736,설정_코스수당!$A$15:$A$64,0),MATCH($E2736&amp;"수당",설정_코스수당!$B$14:$F$14,0)),0)),0)</f>
        <v>0</v>
      </c>
      <c r="M2736" s="27">
        <f>IF($O2736="방문완료",IFERROR(VLOOKUP($E2736,설정_코스수당!$A$6:$H$10,6,FALSE),0),0)</f>
        <v>0</v>
      </c>
      <c r="N2736" s="28">
        <f t="shared" si="79"/>
        <v>0</v>
      </c>
      <c r="O2736" s="23"/>
      <c r="P2736" s="23"/>
      <c r="Q2736" s="23"/>
      <c r="R2736" s="26"/>
      <c r="S2736" s="23"/>
    </row>
    <row r="2737" spans="1:19" ht="19.5" hidden="1" customHeight="1" outlineLevel="1">
      <c r="A2737" s="29">
        <v>46</v>
      </c>
      <c r="B2737" s="30">
        <f>IF(27&lt;=DAY(DATE(YEAR(설정_코스수당!$K$2),MONTH(설정_코스수당!$K$2)+1,0)),DATE(YEAR(설정_코스수당!$K$2),MONTH(설정_코스수당!$K$2),27),"")</f>
        <v>46200</v>
      </c>
      <c r="C2737" s="31"/>
      <c r="D2737" s="29"/>
      <c r="E2737" s="29"/>
      <c r="F2737" s="32"/>
      <c r="G2737" s="29"/>
      <c r="H2737" s="29"/>
      <c r="I2737" s="29"/>
      <c r="J2737" s="33">
        <f>IF($O2737="방문완료",MAX(0,IFERROR(VLOOKUP($E2737,설정_코스수당!$A$6:$H$10,4,FALSE),0)-IF(OR($P2737="",$P2737="없음"),0,100000)),0)</f>
        <v>0</v>
      </c>
      <c r="K2737" s="33">
        <f t="array" ref="K2737">IF($O2737="방문완료",IFERROR(INDEX(설정_코스수당!$B$15:$F$64,MATCH($G2737,설정_코스수당!$A$15:$A$64,0),MATCH($E2737&amp;"수당",설정_코스수당!$B$14:$F$14,0)),0),0)</f>
        <v>0</v>
      </c>
      <c r="L2737" s="33">
        <f t="array" ref="L2737">IF($O2737="방문완료",IF($H2737="",0,IFERROR(INDEX(설정_코스수당!$B$15:$F$64,MATCH($H2737,설정_코스수당!$A$15:$A$64,0),MATCH($E2737&amp;"수당",설정_코스수당!$B$14:$F$14,0)),0)),0)</f>
        <v>0</v>
      </c>
      <c r="M2737" s="33">
        <f>IF($O2737="방문완료",IFERROR(VLOOKUP($E2737,설정_코스수당!$A$6:$H$10,6,FALSE),0),0)</f>
        <v>0</v>
      </c>
      <c r="N2737" s="34">
        <f t="shared" si="79"/>
        <v>0</v>
      </c>
      <c r="O2737" s="29"/>
      <c r="P2737" s="29"/>
      <c r="Q2737" s="29"/>
      <c r="R2737" s="32"/>
      <c r="S2737" s="29"/>
    </row>
    <row r="2738" spans="1:19" ht="19.5" hidden="1" customHeight="1" outlineLevel="1">
      <c r="A2738" s="23">
        <v>47</v>
      </c>
      <c r="B2738" s="24">
        <f>IF(27&lt;=DAY(DATE(YEAR(설정_코스수당!$K$2),MONTH(설정_코스수당!$K$2)+1,0)),DATE(YEAR(설정_코스수당!$K$2),MONTH(설정_코스수당!$K$2),27),"")</f>
        <v>46200</v>
      </c>
      <c r="C2738" s="25"/>
      <c r="D2738" s="23"/>
      <c r="E2738" s="23"/>
      <c r="F2738" s="26"/>
      <c r="G2738" s="23"/>
      <c r="H2738" s="23"/>
      <c r="I2738" s="23"/>
      <c r="J2738" s="27">
        <f>IF($O2738="방문완료",MAX(0,IFERROR(VLOOKUP($E2738,설정_코스수당!$A$6:$H$10,4,FALSE),0)-IF(OR($P2738="",$P2738="없음"),0,100000)),0)</f>
        <v>0</v>
      </c>
      <c r="K2738" s="27">
        <f t="array" ref="K2738">IF($O2738="방문완료",IFERROR(INDEX(설정_코스수당!$B$15:$F$64,MATCH($G2738,설정_코스수당!$A$15:$A$64,0),MATCH($E2738&amp;"수당",설정_코스수당!$B$14:$F$14,0)),0),0)</f>
        <v>0</v>
      </c>
      <c r="L2738" s="27">
        <f t="array" ref="L2738">IF($O2738="방문완료",IF($H2738="",0,IFERROR(INDEX(설정_코스수당!$B$15:$F$64,MATCH($H2738,설정_코스수당!$A$15:$A$64,0),MATCH($E2738&amp;"수당",설정_코스수당!$B$14:$F$14,0)),0)),0)</f>
        <v>0</v>
      </c>
      <c r="M2738" s="27">
        <f>IF($O2738="방문완료",IFERROR(VLOOKUP($E2738,설정_코스수당!$A$6:$H$10,6,FALSE),0),0)</f>
        <v>0</v>
      </c>
      <c r="N2738" s="28">
        <f t="shared" si="79"/>
        <v>0</v>
      </c>
      <c r="O2738" s="23"/>
      <c r="P2738" s="23"/>
      <c r="Q2738" s="23"/>
      <c r="R2738" s="26"/>
      <c r="S2738" s="23"/>
    </row>
    <row r="2739" spans="1:19" ht="19.5" hidden="1" customHeight="1" outlineLevel="1">
      <c r="A2739" s="29">
        <v>48</v>
      </c>
      <c r="B2739" s="30">
        <f>IF(27&lt;=DAY(DATE(YEAR(설정_코스수당!$K$2),MONTH(설정_코스수당!$K$2)+1,0)),DATE(YEAR(설정_코스수당!$K$2),MONTH(설정_코스수당!$K$2),27),"")</f>
        <v>46200</v>
      </c>
      <c r="C2739" s="31"/>
      <c r="D2739" s="29"/>
      <c r="E2739" s="29"/>
      <c r="F2739" s="32"/>
      <c r="G2739" s="29"/>
      <c r="H2739" s="29"/>
      <c r="I2739" s="29"/>
      <c r="J2739" s="33">
        <f>IF($O2739="방문완료",MAX(0,IFERROR(VLOOKUP($E2739,설정_코스수당!$A$6:$H$10,4,FALSE),0)-IF(OR($P2739="",$P2739="없음"),0,100000)),0)</f>
        <v>0</v>
      </c>
      <c r="K2739" s="33">
        <f t="array" ref="K2739">IF($O2739="방문완료",IFERROR(INDEX(설정_코스수당!$B$15:$F$64,MATCH($G2739,설정_코스수당!$A$15:$A$64,0),MATCH($E2739&amp;"수당",설정_코스수당!$B$14:$F$14,0)),0),0)</f>
        <v>0</v>
      </c>
      <c r="L2739" s="33">
        <f t="array" ref="L2739">IF($O2739="방문완료",IF($H2739="",0,IFERROR(INDEX(설정_코스수당!$B$15:$F$64,MATCH($H2739,설정_코스수당!$A$15:$A$64,0),MATCH($E2739&amp;"수당",설정_코스수당!$B$14:$F$14,0)),0)),0)</f>
        <v>0</v>
      </c>
      <c r="M2739" s="33">
        <f>IF($O2739="방문완료",IFERROR(VLOOKUP($E2739,설정_코스수당!$A$6:$H$10,6,FALSE),0),0)</f>
        <v>0</v>
      </c>
      <c r="N2739" s="34">
        <f t="shared" si="79"/>
        <v>0</v>
      </c>
      <c r="O2739" s="29"/>
      <c r="P2739" s="29"/>
      <c r="Q2739" s="29"/>
      <c r="R2739" s="32"/>
      <c r="S2739" s="29"/>
    </row>
    <row r="2740" spans="1:19" ht="19.5" hidden="1" customHeight="1" outlineLevel="1">
      <c r="A2740" s="23">
        <v>49</v>
      </c>
      <c r="B2740" s="24">
        <f>IF(27&lt;=DAY(DATE(YEAR(설정_코스수당!$K$2),MONTH(설정_코스수당!$K$2)+1,0)),DATE(YEAR(설정_코스수당!$K$2),MONTH(설정_코스수당!$K$2),27),"")</f>
        <v>46200</v>
      </c>
      <c r="C2740" s="25"/>
      <c r="D2740" s="23"/>
      <c r="E2740" s="23"/>
      <c r="F2740" s="26"/>
      <c r="G2740" s="23"/>
      <c r="H2740" s="23"/>
      <c r="I2740" s="23"/>
      <c r="J2740" s="27">
        <f>IF($O2740="방문완료",MAX(0,IFERROR(VLOOKUP($E2740,설정_코스수당!$A$6:$H$10,4,FALSE),0)-IF(OR($P2740="",$P2740="없음"),0,100000)),0)</f>
        <v>0</v>
      </c>
      <c r="K2740" s="27">
        <f t="array" ref="K2740">IF($O2740="방문완료",IFERROR(INDEX(설정_코스수당!$B$15:$F$64,MATCH($G2740,설정_코스수당!$A$15:$A$64,0),MATCH($E2740&amp;"수당",설정_코스수당!$B$14:$F$14,0)),0),0)</f>
        <v>0</v>
      </c>
      <c r="L2740" s="27">
        <f t="array" ref="L2740">IF($O2740="방문완료",IF($H2740="",0,IFERROR(INDEX(설정_코스수당!$B$15:$F$64,MATCH($H2740,설정_코스수당!$A$15:$A$64,0),MATCH($E2740&amp;"수당",설정_코스수당!$B$14:$F$14,0)),0)),0)</f>
        <v>0</v>
      </c>
      <c r="M2740" s="27">
        <f>IF($O2740="방문완료",IFERROR(VLOOKUP($E2740,설정_코스수당!$A$6:$H$10,6,FALSE),0),0)</f>
        <v>0</v>
      </c>
      <c r="N2740" s="28">
        <f t="shared" si="79"/>
        <v>0</v>
      </c>
      <c r="O2740" s="23"/>
      <c r="P2740" s="23"/>
      <c r="Q2740" s="23"/>
      <c r="R2740" s="26"/>
      <c r="S2740" s="23"/>
    </row>
    <row r="2741" spans="1:19" ht="19.5" hidden="1" customHeight="1" outlineLevel="1">
      <c r="A2741" s="29">
        <v>50</v>
      </c>
      <c r="B2741" s="30">
        <f>IF(27&lt;=DAY(DATE(YEAR(설정_코스수당!$K$2),MONTH(설정_코스수당!$K$2)+1,0)),DATE(YEAR(설정_코스수당!$K$2),MONTH(설정_코스수당!$K$2),27),"")</f>
        <v>46200</v>
      </c>
      <c r="C2741" s="31"/>
      <c r="D2741" s="29"/>
      <c r="E2741" s="29"/>
      <c r="F2741" s="32"/>
      <c r="G2741" s="29"/>
      <c r="H2741" s="29"/>
      <c r="I2741" s="29"/>
      <c r="J2741" s="33">
        <f>IF($O2741="방문완료",MAX(0,IFERROR(VLOOKUP($E2741,설정_코스수당!$A$6:$H$10,4,FALSE),0)-IF(OR($P2741="",$P2741="없음"),0,100000)),0)</f>
        <v>0</v>
      </c>
      <c r="K2741" s="33">
        <f t="array" ref="K2741">IF($O2741="방문완료",IFERROR(INDEX(설정_코스수당!$B$15:$F$64,MATCH($G2741,설정_코스수당!$A$15:$A$64,0),MATCH($E2741&amp;"수당",설정_코스수당!$B$14:$F$14,0)),0),0)</f>
        <v>0</v>
      </c>
      <c r="L2741" s="33">
        <f t="array" ref="L2741">IF($O2741="방문완료",IF($H2741="",0,IFERROR(INDEX(설정_코스수당!$B$15:$F$64,MATCH($H2741,설정_코스수당!$A$15:$A$64,0),MATCH($E2741&amp;"수당",설정_코스수당!$B$14:$F$14,0)),0)),0)</f>
        <v>0</v>
      </c>
      <c r="M2741" s="33">
        <f>IF($O2741="방문완료",IFERROR(VLOOKUP($E2741,설정_코스수당!$A$6:$H$10,6,FALSE),0),0)</f>
        <v>0</v>
      </c>
      <c r="N2741" s="34">
        <f t="shared" si="79"/>
        <v>0</v>
      </c>
      <c r="O2741" s="29"/>
      <c r="P2741" s="29"/>
      <c r="Q2741" s="29"/>
      <c r="R2741" s="32"/>
      <c r="S2741" s="29"/>
    </row>
    <row r="2742" spans="1:19" ht="19.5" hidden="1" customHeight="1" outlineLevel="1">
      <c r="A2742" s="23">
        <v>51</v>
      </c>
      <c r="B2742" s="24">
        <f>IF(27&lt;=DAY(DATE(YEAR(설정_코스수당!$K$2),MONTH(설정_코스수당!$K$2)+1,0)),DATE(YEAR(설정_코스수당!$K$2),MONTH(설정_코스수당!$K$2),27),"")</f>
        <v>46200</v>
      </c>
      <c r="C2742" s="25"/>
      <c r="D2742" s="23"/>
      <c r="E2742" s="23"/>
      <c r="F2742" s="26"/>
      <c r="G2742" s="23"/>
      <c r="H2742" s="23"/>
      <c r="I2742" s="23"/>
      <c r="J2742" s="27">
        <f>IF($O2742="방문완료",MAX(0,IFERROR(VLOOKUP($E2742,설정_코스수당!$A$6:$H$10,4,FALSE),0)-IF(OR($P2742="",$P2742="없음"),0,100000)),0)</f>
        <v>0</v>
      </c>
      <c r="K2742" s="27">
        <f t="array" ref="K2742">IF($O2742="방문완료",IFERROR(INDEX(설정_코스수당!$B$15:$F$64,MATCH($G2742,설정_코스수당!$A$15:$A$64,0),MATCH($E2742&amp;"수당",설정_코스수당!$B$14:$F$14,0)),0),0)</f>
        <v>0</v>
      </c>
      <c r="L2742" s="27">
        <f t="array" ref="L2742">IF($O2742="방문완료",IF($H2742="",0,IFERROR(INDEX(설정_코스수당!$B$15:$F$64,MATCH($H2742,설정_코스수당!$A$15:$A$64,0),MATCH($E2742&amp;"수당",설정_코스수당!$B$14:$F$14,0)),0)),0)</f>
        <v>0</v>
      </c>
      <c r="M2742" s="27">
        <f>IF($O2742="방문완료",IFERROR(VLOOKUP($E2742,설정_코스수당!$A$6:$H$10,6,FALSE),0),0)</f>
        <v>0</v>
      </c>
      <c r="N2742" s="28">
        <f t="shared" si="79"/>
        <v>0</v>
      </c>
      <c r="O2742" s="23"/>
      <c r="P2742" s="23"/>
      <c r="Q2742" s="23"/>
      <c r="R2742" s="26"/>
      <c r="S2742" s="23"/>
    </row>
    <row r="2743" spans="1:19" ht="19.5" hidden="1" customHeight="1" outlineLevel="1">
      <c r="A2743" s="29">
        <v>52</v>
      </c>
      <c r="B2743" s="30">
        <f>IF(27&lt;=DAY(DATE(YEAR(설정_코스수당!$K$2),MONTH(설정_코스수당!$K$2)+1,0)),DATE(YEAR(설정_코스수당!$K$2),MONTH(설정_코스수당!$K$2),27),"")</f>
        <v>46200</v>
      </c>
      <c r="C2743" s="31"/>
      <c r="D2743" s="29"/>
      <c r="E2743" s="29"/>
      <c r="F2743" s="32"/>
      <c r="G2743" s="29"/>
      <c r="H2743" s="29"/>
      <c r="I2743" s="29"/>
      <c r="J2743" s="33">
        <f>IF($O2743="방문완료",MAX(0,IFERROR(VLOOKUP($E2743,설정_코스수당!$A$6:$H$10,4,FALSE),0)-IF(OR($P2743="",$P2743="없음"),0,100000)),0)</f>
        <v>0</v>
      </c>
      <c r="K2743" s="33">
        <f t="array" ref="K2743">IF($O2743="방문완료",IFERROR(INDEX(설정_코스수당!$B$15:$F$64,MATCH($G2743,설정_코스수당!$A$15:$A$64,0),MATCH($E2743&amp;"수당",설정_코스수당!$B$14:$F$14,0)),0),0)</f>
        <v>0</v>
      </c>
      <c r="L2743" s="33">
        <f t="array" ref="L2743">IF($O2743="방문완료",IF($H2743="",0,IFERROR(INDEX(설정_코스수당!$B$15:$F$64,MATCH($H2743,설정_코스수당!$A$15:$A$64,0),MATCH($E2743&amp;"수당",설정_코스수당!$B$14:$F$14,0)),0)),0)</f>
        <v>0</v>
      </c>
      <c r="M2743" s="33">
        <f>IF($O2743="방문완료",IFERROR(VLOOKUP($E2743,설정_코스수당!$A$6:$H$10,6,FALSE),0),0)</f>
        <v>0</v>
      </c>
      <c r="N2743" s="34">
        <f t="shared" si="79"/>
        <v>0</v>
      </c>
      <c r="O2743" s="29"/>
      <c r="P2743" s="29"/>
      <c r="Q2743" s="29"/>
      <c r="R2743" s="32"/>
      <c r="S2743" s="29"/>
    </row>
    <row r="2744" spans="1:19" ht="19.5" hidden="1" customHeight="1" outlineLevel="1">
      <c r="A2744" s="23">
        <v>53</v>
      </c>
      <c r="B2744" s="24">
        <f>IF(27&lt;=DAY(DATE(YEAR(설정_코스수당!$K$2),MONTH(설정_코스수당!$K$2)+1,0)),DATE(YEAR(설정_코스수당!$K$2),MONTH(설정_코스수당!$K$2),27),"")</f>
        <v>46200</v>
      </c>
      <c r="C2744" s="25"/>
      <c r="D2744" s="23"/>
      <c r="E2744" s="23"/>
      <c r="F2744" s="26"/>
      <c r="G2744" s="23"/>
      <c r="H2744" s="23"/>
      <c r="I2744" s="23"/>
      <c r="J2744" s="27">
        <f>IF($O2744="방문완료",MAX(0,IFERROR(VLOOKUP($E2744,설정_코스수당!$A$6:$H$10,4,FALSE),0)-IF(OR($P2744="",$P2744="없음"),0,100000)),0)</f>
        <v>0</v>
      </c>
      <c r="K2744" s="27">
        <f t="array" ref="K2744">IF($O2744="방문완료",IFERROR(INDEX(설정_코스수당!$B$15:$F$64,MATCH($G2744,설정_코스수당!$A$15:$A$64,0),MATCH($E2744&amp;"수당",설정_코스수당!$B$14:$F$14,0)),0),0)</f>
        <v>0</v>
      </c>
      <c r="L2744" s="27">
        <f t="array" ref="L2744">IF($O2744="방문완료",IF($H2744="",0,IFERROR(INDEX(설정_코스수당!$B$15:$F$64,MATCH($H2744,설정_코스수당!$A$15:$A$64,0),MATCH($E2744&amp;"수당",설정_코스수당!$B$14:$F$14,0)),0)),0)</f>
        <v>0</v>
      </c>
      <c r="M2744" s="27">
        <f>IF($O2744="방문완료",IFERROR(VLOOKUP($E2744,설정_코스수당!$A$6:$H$10,6,FALSE),0),0)</f>
        <v>0</v>
      </c>
      <c r="N2744" s="28">
        <f t="shared" si="79"/>
        <v>0</v>
      </c>
      <c r="O2744" s="23"/>
      <c r="P2744" s="23"/>
      <c r="Q2744" s="23"/>
      <c r="R2744" s="26"/>
      <c r="S2744" s="23"/>
    </row>
    <row r="2745" spans="1:19" ht="19.5" hidden="1" customHeight="1" outlineLevel="1">
      <c r="A2745" s="29">
        <v>54</v>
      </c>
      <c r="B2745" s="30">
        <f>IF(27&lt;=DAY(DATE(YEAR(설정_코스수당!$K$2),MONTH(설정_코스수당!$K$2)+1,0)),DATE(YEAR(설정_코스수당!$K$2),MONTH(설정_코스수당!$K$2),27),"")</f>
        <v>46200</v>
      </c>
      <c r="C2745" s="31"/>
      <c r="D2745" s="29"/>
      <c r="E2745" s="29"/>
      <c r="F2745" s="32"/>
      <c r="G2745" s="29"/>
      <c r="H2745" s="29"/>
      <c r="I2745" s="29"/>
      <c r="J2745" s="33">
        <f>IF($O2745="방문완료",MAX(0,IFERROR(VLOOKUP($E2745,설정_코스수당!$A$6:$H$10,4,FALSE),0)-IF(OR($P2745="",$P2745="없음"),0,100000)),0)</f>
        <v>0</v>
      </c>
      <c r="K2745" s="33">
        <f t="array" ref="K2745">IF($O2745="방문완료",IFERROR(INDEX(설정_코스수당!$B$15:$F$64,MATCH($G2745,설정_코스수당!$A$15:$A$64,0),MATCH($E2745&amp;"수당",설정_코스수당!$B$14:$F$14,0)),0),0)</f>
        <v>0</v>
      </c>
      <c r="L2745" s="33">
        <f t="array" ref="L2745">IF($O2745="방문완료",IF($H2745="",0,IFERROR(INDEX(설정_코스수당!$B$15:$F$64,MATCH($H2745,설정_코스수당!$A$15:$A$64,0),MATCH($E2745&amp;"수당",설정_코스수당!$B$14:$F$14,0)),0)),0)</f>
        <v>0</v>
      </c>
      <c r="M2745" s="33">
        <f>IF($O2745="방문완료",IFERROR(VLOOKUP($E2745,설정_코스수당!$A$6:$H$10,6,FALSE),0),0)</f>
        <v>0</v>
      </c>
      <c r="N2745" s="34">
        <f t="shared" si="79"/>
        <v>0</v>
      </c>
      <c r="O2745" s="29"/>
      <c r="P2745" s="29"/>
      <c r="Q2745" s="29"/>
      <c r="R2745" s="32"/>
      <c r="S2745" s="29"/>
    </row>
    <row r="2746" spans="1:19" ht="19.5" hidden="1" customHeight="1" outlineLevel="1">
      <c r="A2746" s="23">
        <v>55</v>
      </c>
      <c r="B2746" s="24">
        <f>IF(27&lt;=DAY(DATE(YEAR(설정_코스수당!$K$2),MONTH(설정_코스수당!$K$2)+1,0)),DATE(YEAR(설정_코스수당!$K$2),MONTH(설정_코스수당!$K$2),27),"")</f>
        <v>46200</v>
      </c>
      <c r="C2746" s="25"/>
      <c r="D2746" s="23"/>
      <c r="E2746" s="23"/>
      <c r="F2746" s="26"/>
      <c r="G2746" s="23"/>
      <c r="H2746" s="23"/>
      <c r="I2746" s="23"/>
      <c r="J2746" s="27">
        <f>IF($O2746="방문완료",MAX(0,IFERROR(VLOOKUP($E2746,설정_코스수당!$A$6:$H$10,4,FALSE),0)-IF(OR($P2746="",$P2746="없음"),0,100000)),0)</f>
        <v>0</v>
      </c>
      <c r="K2746" s="27">
        <f t="array" ref="K2746">IF($O2746="방문완료",IFERROR(INDEX(설정_코스수당!$B$15:$F$64,MATCH($G2746,설정_코스수당!$A$15:$A$64,0),MATCH($E2746&amp;"수당",설정_코스수당!$B$14:$F$14,0)),0),0)</f>
        <v>0</v>
      </c>
      <c r="L2746" s="27">
        <f t="array" ref="L2746">IF($O2746="방문완료",IF($H2746="",0,IFERROR(INDEX(설정_코스수당!$B$15:$F$64,MATCH($H2746,설정_코스수당!$A$15:$A$64,0),MATCH($E2746&amp;"수당",설정_코스수당!$B$14:$F$14,0)),0)),0)</f>
        <v>0</v>
      </c>
      <c r="M2746" s="27">
        <f>IF($O2746="방문완료",IFERROR(VLOOKUP($E2746,설정_코스수당!$A$6:$H$10,6,FALSE),0),0)</f>
        <v>0</v>
      </c>
      <c r="N2746" s="28">
        <f t="shared" si="79"/>
        <v>0</v>
      </c>
      <c r="O2746" s="23"/>
      <c r="P2746" s="23"/>
      <c r="Q2746" s="23"/>
      <c r="R2746" s="26"/>
      <c r="S2746" s="23"/>
    </row>
    <row r="2747" spans="1:19" ht="19.5" hidden="1" customHeight="1" outlineLevel="1">
      <c r="A2747" s="29">
        <v>56</v>
      </c>
      <c r="B2747" s="30">
        <f>IF(27&lt;=DAY(DATE(YEAR(설정_코스수당!$K$2),MONTH(설정_코스수당!$K$2)+1,0)),DATE(YEAR(설정_코스수당!$K$2),MONTH(설정_코스수당!$K$2),27),"")</f>
        <v>46200</v>
      </c>
      <c r="C2747" s="31"/>
      <c r="D2747" s="29"/>
      <c r="E2747" s="29"/>
      <c r="F2747" s="32"/>
      <c r="G2747" s="29"/>
      <c r="H2747" s="29"/>
      <c r="I2747" s="29"/>
      <c r="J2747" s="33">
        <f>IF($O2747="방문완료",MAX(0,IFERROR(VLOOKUP($E2747,설정_코스수당!$A$6:$H$10,4,FALSE),0)-IF(OR($P2747="",$P2747="없음"),0,100000)),0)</f>
        <v>0</v>
      </c>
      <c r="K2747" s="33">
        <f t="array" ref="K2747">IF($O2747="방문완료",IFERROR(INDEX(설정_코스수당!$B$15:$F$64,MATCH($G2747,설정_코스수당!$A$15:$A$64,0),MATCH($E2747&amp;"수당",설정_코스수당!$B$14:$F$14,0)),0),0)</f>
        <v>0</v>
      </c>
      <c r="L2747" s="33">
        <f t="array" ref="L2747">IF($O2747="방문완료",IF($H2747="",0,IFERROR(INDEX(설정_코스수당!$B$15:$F$64,MATCH($H2747,설정_코스수당!$A$15:$A$64,0),MATCH($E2747&amp;"수당",설정_코스수당!$B$14:$F$14,0)),0)),0)</f>
        <v>0</v>
      </c>
      <c r="M2747" s="33">
        <f>IF($O2747="방문완료",IFERROR(VLOOKUP($E2747,설정_코스수당!$A$6:$H$10,6,FALSE),0),0)</f>
        <v>0</v>
      </c>
      <c r="N2747" s="34">
        <f t="shared" si="79"/>
        <v>0</v>
      </c>
      <c r="O2747" s="29"/>
      <c r="P2747" s="29"/>
      <c r="Q2747" s="29"/>
      <c r="R2747" s="32"/>
      <c r="S2747" s="29"/>
    </row>
    <row r="2748" spans="1:19" ht="19.5" hidden="1" customHeight="1" outlineLevel="1">
      <c r="A2748" s="23">
        <v>57</v>
      </c>
      <c r="B2748" s="24">
        <f>IF(27&lt;=DAY(DATE(YEAR(설정_코스수당!$K$2),MONTH(설정_코스수당!$K$2)+1,0)),DATE(YEAR(설정_코스수당!$K$2),MONTH(설정_코스수당!$K$2),27),"")</f>
        <v>46200</v>
      </c>
      <c r="C2748" s="25"/>
      <c r="D2748" s="23"/>
      <c r="E2748" s="23"/>
      <c r="F2748" s="26"/>
      <c r="G2748" s="23"/>
      <c r="H2748" s="23"/>
      <c r="I2748" s="23"/>
      <c r="J2748" s="27">
        <f>IF($O2748="방문완료",MAX(0,IFERROR(VLOOKUP($E2748,설정_코스수당!$A$6:$H$10,4,FALSE),0)-IF(OR($P2748="",$P2748="없음"),0,100000)),0)</f>
        <v>0</v>
      </c>
      <c r="K2748" s="27">
        <f t="array" ref="K2748">IF($O2748="방문완료",IFERROR(INDEX(설정_코스수당!$B$15:$F$64,MATCH($G2748,설정_코스수당!$A$15:$A$64,0),MATCH($E2748&amp;"수당",설정_코스수당!$B$14:$F$14,0)),0),0)</f>
        <v>0</v>
      </c>
      <c r="L2748" s="27">
        <f t="array" ref="L2748">IF($O2748="방문완료",IF($H2748="",0,IFERROR(INDEX(설정_코스수당!$B$15:$F$64,MATCH($H2748,설정_코스수당!$A$15:$A$64,0),MATCH($E2748&amp;"수당",설정_코스수당!$B$14:$F$14,0)),0)),0)</f>
        <v>0</v>
      </c>
      <c r="M2748" s="27">
        <f>IF($O2748="방문완료",IFERROR(VLOOKUP($E2748,설정_코스수당!$A$6:$H$10,6,FALSE),0),0)</f>
        <v>0</v>
      </c>
      <c r="N2748" s="28">
        <f t="shared" si="79"/>
        <v>0</v>
      </c>
      <c r="O2748" s="23"/>
      <c r="P2748" s="23"/>
      <c r="Q2748" s="23"/>
      <c r="R2748" s="26"/>
      <c r="S2748" s="23"/>
    </row>
    <row r="2749" spans="1:19" ht="19.5" hidden="1" customHeight="1" outlineLevel="1">
      <c r="A2749" s="29">
        <v>58</v>
      </c>
      <c r="B2749" s="30">
        <f>IF(27&lt;=DAY(DATE(YEAR(설정_코스수당!$K$2),MONTH(설정_코스수당!$K$2)+1,0)),DATE(YEAR(설정_코스수당!$K$2),MONTH(설정_코스수당!$K$2),27),"")</f>
        <v>46200</v>
      </c>
      <c r="C2749" s="31"/>
      <c r="D2749" s="29"/>
      <c r="E2749" s="29"/>
      <c r="F2749" s="32"/>
      <c r="G2749" s="29"/>
      <c r="H2749" s="29"/>
      <c r="I2749" s="29"/>
      <c r="J2749" s="33">
        <f>IF($O2749="방문완료",MAX(0,IFERROR(VLOOKUP($E2749,설정_코스수당!$A$6:$H$10,4,FALSE),0)-IF(OR($P2749="",$P2749="없음"),0,100000)),0)</f>
        <v>0</v>
      </c>
      <c r="K2749" s="33">
        <f t="array" ref="K2749">IF($O2749="방문완료",IFERROR(INDEX(설정_코스수당!$B$15:$F$64,MATCH($G2749,설정_코스수당!$A$15:$A$64,0),MATCH($E2749&amp;"수당",설정_코스수당!$B$14:$F$14,0)),0),0)</f>
        <v>0</v>
      </c>
      <c r="L2749" s="33">
        <f t="array" ref="L2749">IF($O2749="방문완료",IF($H2749="",0,IFERROR(INDEX(설정_코스수당!$B$15:$F$64,MATCH($H2749,설정_코스수당!$A$15:$A$64,0),MATCH($E2749&amp;"수당",설정_코스수당!$B$14:$F$14,0)),0)),0)</f>
        <v>0</v>
      </c>
      <c r="M2749" s="33">
        <f>IF($O2749="방문완료",IFERROR(VLOOKUP($E2749,설정_코스수당!$A$6:$H$10,6,FALSE),0),0)</f>
        <v>0</v>
      </c>
      <c r="N2749" s="34">
        <f t="shared" si="79"/>
        <v>0</v>
      </c>
      <c r="O2749" s="29"/>
      <c r="P2749" s="29"/>
      <c r="Q2749" s="29"/>
      <c r="R2749" s="32"/>
      <c r="S2749" s="29"/>
    </row>
    <row r="2750" spans="1:19" ht="19.5" hidden="1" customHeight="1" outlineLevel="1">
      <c r="A2750" s="23">
        <v>59</v>
      </c>
      <c r="B2750" s="24">
        <f>IF(27&lt;=DAY(DATE(YEAR(설정_코스수당!$K$2),MONTH(설정_코스수당!$K$2)+1,0)),DATE(YEAR(설정_코스수당!$K$2),MONTH(설정_코스수당!$K$2),27),"")</f>
        <v>46200</v>
      </c>
      <c r="C2750" s="25"/>
      <c r="D2750" s="23"/>
      <c r="E2750" s="23"/>
      <c r="F2750" s="26"/>
      <c r="G2750" s="23"/>
      <c r="H2750" s="23"/>
      <c r="I2750" s="23"/>
      <c r="J2750" s="27">
        <f>IF($O2750="방문완료",MAX(0,IFERROR(VLOOKUP($E2750,설정_코스수당!$A$6:$H$10,4,FALSE),0)-IF(OR($P2750="",$P2750="없음"),0,100000)),0)</f>
        <v>0</v>
      </c>
      <c r="K2750" s="27">
        <f t="array" ref="K2750">IF($O2750="방문완료",IFERROR(INDEX(설정_코스수당!$B$15:$F$64,MATCH($G2750,설정_코스수당!$A$15:$A$64,0),MATCH($E2750&amp;"수당",설정_코스수당!$B$14:$F$14,0)),0),0)</f>
        <v>0</v>
      </c>
      <c r="L2750" s="27">
        <f t="array" ref="L2750">IF($O2750="방문완료",IF($H2750="",0,IFERROR(INDEX(설정_코스수당!$B$15:$F$64,MATCH($H2750,설정_코스수당!$A$15:$A$64,0),MATCH($E2750&amp;"수당",설정_코스수당!$B$14:$F$14,0)),0)),0)</f>
        <v>0</v>
      </c>
      <c r="M2750" s="27">
        <f>IF($O2750="방문완료",IFERROR(VLOOKUP($E2750,설정_코스수당!$A$6:$H$10,6,FALSE),0),0)</f>
        <v>0</v>
      </c>
      <c r="N2750" s="28">
        <f t="shared" si="79"/>
        <v>0</v>
      </c>
      <c r="O2750" s="23"/>
      <c r="P2750" s="23"/>
      <c r="Q2750" s="23"/>
      <c r="R2750" s="26"/>
      <c r="S2750" s="23"/>
    </row>
    <row r="2751" spans="1:19" ht="19.5" hidden="1" customHeight="1" outlineLevel="1">
      <c r="A2751" s="29">
        <v>60</v>
      </c>
      <c r="B2751" s="30">
        <f>IF(27&lt;=DAY(DATE(YEAR(설정_코스수당!$K$2),MONTH(설정_코스수당!$K$2)+1,0)),DATE(YEAR(설정_코스수당!$K$2),MONTH(설정_코스수당!$K$2),27),"")</f>
        <v>46200</v>
      </c>
      <c r="C2751" s="31"/>
      <c r="D2751" s="29"/>
      <c r="E2751" s="29"/>
      <c r="F2751" s="32"/>
      <c r="G2751" s="29"/>
      <c r="H2751" s="29"/>
      <c r="I2751" s="29"/>
      <c r="J2751" s="33">
        <f>IF($O2751="방문완료",MAX(0,IFERROR(VLOOKUP($E2751,설정_코스수당!$A$6:$H$10,4,FALSE),0)-IF(OR($P2751="",$P2751="없음"),0,100000)),0)</f>
        <v>0</v>
      </c>
      <c r="K2751" s="33">
        <f t="array" ref="K2751">IF($O2751="방문완료",IFERROR(INDEX(설정_코스수당!$B$15:$F$64,MATCH($G2751,설정_코스수당!$A$15:$A$64,0),MATCH($E2751&amp;"수당",설정_코스수당!$B$14:$F$14,0)),0),0)</f>
        <v>0</v>
      </c>
      <c r="L2751" s="33">
        <f t="array" ref="L2751">IF($O2751="방문완료",IF($H2751="",0,IFERROR(INDEX(설정_코스수당!$B$15:$F$64,MATCH($H2751,설정_코스수당!$A$15:$A$64,0),MATCH($E2751&amp;"수당",설정_코스수당!$B$14:$F$14,0)),0)),0)</f>
        <v>0</v>
      </c>
      <c r="M2751" s="33">
        <f>IF($O2751="방문완료",IFERROR(VLOOKUP($E2751,설정_코스수당!$A$6:$H$10,6,FALSE),0),0)</f>
        <v>0</v>
      </c>
      <c r="N2751" s="34">
        <f t="shared" si="79"/>
        <v>0</v>
      </c>
      <c r="O2751" s="29"/>
      <c r="P2751" s="29"/>
      <c r="Q2751" s="29"/>
      <c r="R2751" s="32"/>
      <c r="S2751" s="29"/>
    </row>
    <row r="2752" spans="1:19" ht="19.5" hidden="1" customHeight="1" outlineLevel="1">
      <c r="A2752" s="23">
        <v>61</v>
      </c>
      <c r="B2752" s="24">
        <f>IF(27&lt;=DAY(DATE(YEAR(설정_코스수당!$K$2),MONTH(설정_코스수당!$K$2)+1,0)),DATE(YEAR(설정_코스수당!$K$2),MONTH(설정_코스수당!$K$2),27),"")</f>
        <v>46200</v>
      </c>
      <c r="C2752" s="25"/>
      <c r="D2752" s="23"/>
      <c r="E2752" s="23"/>
      <c r="F2752" s="26"/>
      <c r="G2752" s="23"/>
      <c r="H2752" s="23"/>
      <c r="I2752" s="23"/>
      <c r="J2752" s="27">
        <f>IF($O2752="방문완료",MAX(0,IFERROR(VLOOKUP($E2752,설정_코스수당!$A$6:$H$10,4,FALSE),0)-IF(OR($P2752="",$P2752="없음"),0,100000)),0)</f>
        <v>0</v>
      </c>
      <c r="K2752" s="27">
        <f t="array" ref="K2752">IF($O2752="방문완료",IFERROR(INDEX(설정_코스수당!$B$15:$F$64,MATCH($G2752,설정_코스수당!$A$15:$A$64,0),MATCH($E2752&amp;"수당",설정_코스수당!$B$14:$F$14,0)),0),0)</f>
        <v>0</v>
      </c>
      <c r="L2752" s="27">
        <f t="array" ref="L2752">IF($O2752="방문완료",IF($H2752="",0,IFERROR(INDEX(설정_코스수당!$B$15:$F$64,MATCH($H2752,설정_코스수당!$A$15:$A$64,0),MATCH($E2752&amp;"수당",설정_코스수당!$B$14:$F$14,0)),0)),0)</f>
        <v>0</v>
      </c>
      <c r="M2752" s="27">
        <f>IF($O2752="방문완료",IFERROR(VLOOKUP($E2752,설정_코스수당!$A$6:$H$10,6,FALSE),0),0)</f>
        <v>0</v>
      </c>
      <c r="N2752" s="28">
        <f t="shared" si="79"/>
        <v>0</v>
      </c>
      <c r="O2752" s="23"/>
      <c r="P2752" s="23"/>
      <c r="Q2752" s="23"/>
      <c r="R2752" s="26"/>
      <c r="S2752" s="23"/>
    </row>
    <row r="2753" spans="1:19" ht="19.5" hidden="1" customHeight="1" outlineLevel="1">
      <c r="A2753" s="29">
        <v>62</v>
      </c>
      <c r="B2753" s="30">
        <f>IF(27&lt;=DAY(DATE(YEAR(설정_코스수당!$K$2),MONTH(설정_코스수당!$K$2)+1,0)),DATE(YEAR(설정_코스수당!$K$2),MONTH(설정_코스수당!$K$2),27),"")</f>
        <v>46200</v>
      </c>
      <c r="C2753" s="31"/>
      <c r="D2753" s="29"/>
      <c r="E2753" s="29"/>
      <c r="F2753" s="32"/>
      <c r="G2753" s="29"/>
      <c r="H2753" s="29"/>
      <c r="I2753" s="29"/>
      <c r="J2753" s="33">
        <f>IF($O2753="방문완료",MAX(0,IFERROR(VLOOKUP($E2753,설정_코스수당!$A$6:$H$10,4,FALSE),0)-IF(OR($P2753="",$P2753="없음"),0,100000)),0)</f>
        <v>0</v>
      </c>
      <c r="K2753" s="33">
        <f t="array" ref="K2753">IF($O2753="방문완료",IFERROR(INDEX(설정_코스수당!$B$15:$F$64,MATCH($G2753,설정_코스수당!$A$15:$A$64,0),MATCH($E2753&amp;"수당",설정_코스수당!$B$14:$F$14,0)),0),0)</f>
        <v>0</v>
      </c>
      <c r="L2753" s="33">
        <f t="array" ref="L2753">IF($O2753="방문완료",IF($H2753="",0,IFERROR(INDEX(설정_코스수당!$B$15:$F$64,MATCH($H2753,설정_코스수당!$A$15:$A$64,0),MATCH($E2753&amp;"수당",설정_코스수당!$B$14:$F$14,0)),0)),0)</f>
        <v>0</v>
      </c>
      <c r="M2753" s="33">
        <f>IF($O2753="방문완료",IFERROR(VLOOKUP($E2753,설정_코스수당!$A$6:$H$10,6,FALSE),0),0)</f>
        <v>0</v>
      </c>
      <c r="N2753" s="34">
        <f t="shared" si="79"/>
        <v>0</v>
      </c>
      <c r="O2753" s="29"/>
      <c r="P2753" s="29"/>
      <c r="Q2753" s="29"/>
      <c r="R2753" s="32"/>
      <c r="S2753" s="29"/>
    </row>
    <row r="2754" spans="1:19" ht="19.5" hidden="1" customHeight="1" outlineLevel="1">
      <c r="A2754" s="23">
        <v>63</v>
      </c>
      <c r="B2754" s="24">
        <f>IF(27&lt;=DAY(DATE(YEAR(설정_코스수당!$K$2),MONTH(설정_코스수당!$K$2)+1,0)),DATE(YEAR(설정_코스수당!$K$2),MONTH(설정_코스수당!$K$2),27),"")</f>
        <v>46200</v>
      </c>
      <c r="C2754" s="25"/>
      <c r="D2754" s="23"/>
      <c r="E2754" s="23"/>
      <c r="F2754" s="26"/>
      <c r="G2754" s="23"/>
      <c r="H2754" s="23"/>
      <c r="I2754" s="23"/>
      <c r="J2754" s="27">
        <f>IF($O2754="방문완료",MAX(0,IFERROR(VLOOKUP($E2754,설정_코스수당!$A$6:$H$10,4,FALSE),0)-IF(OR($P2754="",$P2754="없음"),0,100000)),0)</f>
        <v>0</v>
      </c>
      <c r="K2754" s="27">
        <f t="array" ref="K2754">IF($O2754="방문완료",IFERROR(INDEX(설정_코스수당!$B$15:$F$64,MATCH($G2754,설정_코스수당!$A$15:$A$64,0),MATCH($E2754&amp;"수당",설정_코스수당!$B$14:$F$14,0)),0),0)</f>
        <v>0</v>
      </c>
      <c r="L2754" s="27">
        <f t="array" ref="L2754">IF($O2754="방문완료",IF($H2754="",0,IFERROR(INDEX(설정_코스수당!$B$15:$F$64,MATCH($H2754,설정_코스수당!$A$15:$A$64,0),MATCH($E2754&amp;"수당",설정_코스수당!$B$14:$F$14,0)),0)),0)</f>
        <v>0</v>
      </c>
      <c r="M2754" s="27">
        <f>IF($O2754="방문완료",IFERROR(VLOOKUP($E2754,설정_코스수당!$A$6:$H$10,6,FALSE),0),0)</f>
        <v>0</v>
      </c>
      <c r="N2754" s="28">
        <f t="shared" si="79"/>
        <v>0</v>
      </c>
      <c r="O2754" s="23"/>
      <c r="P2754" s="23"/>
      <c r="Q2754" s="23"/>
      <c r="R2754" s="26"/>
      <c r="S2754" s="23"/>
    </row>
    <row r="2755" spans="1:19" ht="19.5" hidden="1" customHeight="1" outlineLevel="1">
      <c r="A2755" s="29">
        <v>64</v>
      </c>
      <c r="B2755" s="30">
        <f>IF(27&lt;=DAY(DATE(YEAR(설정_코스수당!$K$2),MONTH(설정_코스수당!$K$2)+1,0)),DATE(YEAR(설정_코스수당!$K$2),MONTH(설정_코스수당!$K$2),27),"")</f>
        <v>46200</v>
      </c>
      <c r="C2755" s="31"/>
      <c r="D2755" s="29"/>
      <c r="E2755" s="29"/>
      <c r="F2755" s="32"/>
      <c r="G2755" s="29"/>
      <c r="H2755" s="29"/>
      <c r="I2755" s="29"/>
      <c r="J2755" s="33">
        <f>IF($O2755="방문완료",MAX(0,IFERROR(VLOOKUP($E2755,설정_코스수당!$A$6:$H$10,4,FALSE),0)-IF(OR($P2755="",$P2755="없음"),0,100000)),0)</f>
        <v>0</v>
      </c>
      <c r="K2755" s="33">
        <f t="array" ref="K2755">IF($O2755="방문완료",IFERROR(INDEX(설정_코스수당!$B$15:$F$64,MATCH($G2755,설정_코스수당!$A$15:$A$64,0),MATCH($E2755&amp;"수당",설정_코스수당!$B$14:$F$14,0)),0),0)</f>
        <v>0</v>
      </c>
      <c r="L2755" s="33">
        <f t="array" ref="L2755">IF($O2755="방문완료",IF($H2755="",0,IFERROR(INDEX(설정_코스수당!$B$15:$F$64,MATCH($H2755,설정_코스수당!$A$15:$A$64,0),MATCH($E2755&amp;"수당",설정_코스수당!$B$14:$F$14,0)),0)),0)</f>
        <v>0</v>
      </c>
      <c r="M2755" s="33">
        <f>IF($O2755="방문완료",IFERROR(VLOOKUP($E2755,설정_코스수당!$A$6:$H$10,6,FALSE),0),0)</f>
        <v>0</v>
      </c>
      <c r="N2755" s="34">
        <f t="shared" si="79"/>
        <v>0</v>
      </c>
      <c r="O2755" s="29"/>
      <c r="P2755" s="29"/>
      <c r="Q2755" s="29"/>
      <c r="R2755" s="32"/>
      <c r="S2755" s="29"/>
    </row>
    <row r="2756" spans="1:19" ht="19.5" hidden="1" customHeight="1" outlineLevel="1">
      <c r="A2756" s="23">
        <v>65</v>
      </c>
      <c r="B2756" s="24">
        <f>IF(27&lt;=DAY(DATE(YEAR(설정_코스수당!$K$2),MONTH(설정_코스수당!$K$2)+1,0)),DATE(YEAR(설정_코스수당!$K$2),MONTH(설정_코스수당!$K$2),27),"")</f>
        <v>46200</v>
      </c>
      <c r="C2756" s="25"/>
      <c r="D2756" s="23"/>
      <c r="E2756" s="23"/>
      <c r="F2756" s="26"/>
      <c r="G2756" s="23"/>
      <c r="H2756" s="23"/>
      <c r="I2756" s="23"/>
      <c r="J2756" s="27">
        <f>IF($O2756="방문완료",MAX(0,IFERROR(VLOOKUP($E2756,설정_코스수당!$A$6:$H$10,4,FALSE),0)-IF(OR($P2756="",$P2756="없음"),0,100000)),0)</f>
        <v>0</v>
      </c>
      <c r="K2756" s="27">
        <f t="array" ref="K2756">IF($O2756="방문완료",IFERROR(INDEX(설정_코스수당!$B$15:$F$64,MATCH($G2756,설정_코스수당!$A$15:$A$64,0),MATCH($E2756&amp;"수당",설정_코스수당!$B$14:$F$14,0)),0),0)</f>
        <v>0</v>
      </c>
      <c r="L2756" s="27">
        <f t="array" ref="L2756">IF($O2756="방문완료",IF($H2756="",0,IFERROR(INDEX(설정_코스수당!$B$15:$F$64,MATCH($H2756,설정_코스수당!$A$15:$A$64,0),MATCH($E2756&amp;"수당",설정_코스수당!$B$14:$F$14,0)),0)),0)</f>
        <v>0</v>
      </c>
      <c r="M2756" s="27">
        <f>IF($O2756="방문완료",IFERROR(VLOOKUP($E2756,설정_코스수당!$A$6:$H$10,6,FALSE),0),0)</f>
        <v>0</v>
      </c>
      <c r="N2756" s="28">
        <f t="shared" ref="N2756:N2791" si="80">IF($O2756="방문완료",1,0)</f>
        <v>0</v>
      </c>
      <c r="O2756" s="23"/>
      <c r="P2756" s="23"/>
      <c r="Q2756" s="23"/>
      <c r="R2756" s="26"/>
      <c r="S2756" s="23"/>
    </row>
    <row r="2757" spans="1:19" ht="19.5" hidden="1" customHeight="1" outlineLevel="1">
      <c r="A2757" s="29">
        <v>66</v>
      </c>
      <c r="B2757" s="30">
        <f>IF(27&lt;=DAY(DATE(YEAR(설정_코스수당!$K$2),MONTH(설정_코스수당!$K$2)+1,0)),DATE(YEAR(설정_코스수당!$K$2),MONTH(설정_코스수당!$K$2),27),"")</f>
        <v>46200</v>
      </c>
      <c r="C2757" s="31"/>
      <c r="D2757" s="29"/>
      <c r="E2757" s="29"/>
      <c r="F2757" s="32"/>
      <c r="G2757" s="29"/>
      <c r="H2757" s="29"/>
      <c r="I2757" s="29"/>
      <c r="J2757" s="33">
        <f>IF($O2757="방문완료",MAX(0,IFERROR(VLOOKUP($E2757,설정_코스수당!$A$6:$H$10,4,FALSE),0)-IF(OR($P2757="",$P2757="없음"),0,100000)),0)</f>
        <v>0</v>
      </c>
      <c r="K2757" s="33">
        <f t="array" ref="K2757">IF($O2757="방문완료",IFERROR(INDEX(설정_코스수당!$B$15:$F$64,MATCH($G2757,설정_코스수당!$A$15:$A$64,0),MATCH($E2757&amp;"수당",설정_코스수당!$B$14:$F$14,0)),0),0)</f>
        <v>0</v>
      </c>
      <c r="L2757" s="33">
        <f t="array" ref="L2757">IF($O2757="방문완료",IF($H2757="",0,IFERROR(INDEX(설정_코스수당!$B$15:$F$64,MATCH($H2757,설정_코스수당!$A$15:$A$64,0),MATCH($E2757&amp;"수당",설정_코스수당!$B$14:$F$14,0)),0)),0)</f>
        <v>0</v>
      </c>
      <c r="M2757" s="33">
        <f>IF($O2757="방문완료",IFERROR(VLOOKUP($E2757,설정_코스수당!$A$6:$H$10,6,FALSE),0),0)</f>
        <v>0</v>
      </c>
      <c r="N2757" s="34">
        <f t="shared" si="80"/>
        <v>0</v>
      </c>
      <c r="O2757" s="29"/>
      <c r="P2757" s="29"/>
      <c r="Q2757" s="29"/>
      <c r="R2757" s="32"/>
      <c r="S2757" s="29"/>
    </row>
    <row r="2758" spans="1:19" ht="19.5" hidden="1" customHeight="1" outlineLevel="1">
      <c r="A2758" s="23">
        <v>67</v>
      </c>
      <c r="B2758" s="24">
        <f>IF(27&lt;=DAY(DATE(YEAR(설정_코스수당!$K$2),MONTH(설정_코스수당!$K$2)+1,0)),DATE(YEAR(설정_코스수당!$K$2),MONTH(설정_코스수당!$K$2),27),"")</f>
        <v>46200</v>
      </c>
      <c r="C2758" s="25"/>
      <c r="D2758" s="23"/>
      <c r="E2758" s="23"/>
      <c r="F2758" s="26"/>
      <c r="G2758" s="23"/>
      <c r="H2758" s="23"/>
      <c r="I2758" s="23"/>
      <c r="J2758" s="27">
        <f>IF($O2758="방문완료",MAX(0,IFERROR(VLOOKUP($E2758,설정_코스수당!$A$6:$H$10,4,FALSE),0)-IF(OR($P2758="",$P2758="없음"),0,100000)),0)</f>
        <v>0</v>
      </c>
      <c r="K2758" s="27">
        <f t="array" ref="K2758">IF($O2758="방문완료",IFERROR(INDEX(설정_코스수당!$B$15:$F$64,MATCH($G2758,설정_코스수당!$A$15:$A$64,0),MATCH($E2758&amp;"수당",설정_코스수당!$B$14:$F$14,0)),0),0)</f>
        <v>0</v>
      </c>
      <c r="L2758" s="27">
        <f t="array" ref="L2758">IF($O2758="방문완료",IF($H2758="",0,IFERROR(INDEX(설정_코스수당!$B$15:$F$64,MATCH($H2758,설정_코스수당!$A$15:$A$64,0),MATCH($E2758&amp;"수당",설정_코스수당!$B$14:$F$14,0)),0)),0)</f>
        <v>0</v>
      </c>
      <c r="M2758" s="27">
        <f>IF($O2758="방문완료",IFERROR(VLOOKUP($E2758,설정_코스수당!$A$6:$H$10,6,FALSE),0),0)</f>
        <v>0</v>
      </c>
      <c r="N2758" s="28">
        <f t="shared" si="80"/>
        <v>0</v>
      </c>
      <c r="O2758" s="23"/>
      <c r="P2758" s="23"/>
      <c r="Q2758" s="23"/>
      <c r="R2758" s="26"/>
      <c r="S2758" s="23"/>
    </row>
    <row r="2759" spans="1:19" ht="19.5" hidden="1" customHeight="1" outlineLevel="1">
      <c r="A2759" s="29">
        <v>68</v>
      </c>
      <c r="B2759" s="30">
        <f>IF(27&lt;=DAY(DATE(YEAR(설정_코스수당!$K$2),MONTH(설정_코스수당!$K$2)+1,0)),DATE(YEAR(설정_코스수당!$K$2),MONTH(설정_코스수당!$K$2),27),"")</f>
        <v>46200</v>
      </c>
      <c r="C2759" s="31"/>
      <c r="D2759" s="29"/>
      <c r="E2759" s="29"/>
      <c r="F2759" s="32"/>
      <c r="G2759" s="29"/>
      <c r="H2759" s="29"/>
      <c r="I2759" s="29"/>
      <c r="J2759" s="33">
        <f>IF($O2759="방문완료",MAX(0,IFERROR(VLOOKUP($E2759,설정_코스수당!$A$6:$H$10,4,FALSE),0)-IF(OR($P2759="",$P2759="없음"),0,100000)),0)</f>
        <v>0</v>
      </c>
      <c r="K2759" s="33">
        <f t="array" ref="K2759">IF($O2759="방문완료",IFERROR(INDEX(설정_코스수당!$B$15:$F$64,MATCH($G2759,설정_코스수당!$A$15:$A$64,0),MATCH($E2759&amp;"수당",설정_코스수당!$B$14:$F$14,0)),0),0)</f>
        <v>0</v>
      </c>
      <c r="L2759" s="33">
        <f t="array" ref="L2759">IF($O2759="방문완료",IF($H2759="",0,IFERROR(INDEX(설정_코스수당!$B$15:$F$64,MATCH($H2759,설정_코스수당!$A$15:$A$64,0),MATCH($E2759&amp;"수당",설정_코스수당!$B$14:$F$14,0)),0)),0)</f>
        <v>0</v>
      </c>
      <c r="M2759" s="33">
        <f>IF($O2759="방문완료",IFERROR(VLOOKUP($E2759,설정_코스수당!$A$6:$H$10,6,FALSE),0),0)</f>
        <v>0</v>
      </c>
      <c r="N2759" s="34">
        <f t="shared" si="80"/>
        <v>0</v>
      </c>
      <c r="O2759" s="29"/>
      <c r="P2759" s="29"/>
      <c r="Q2759" s="29"/>
      <c r="R2759" s="32"/>
      <c r="S2759" s="29"/>
    </row>
    <row r="2760" spans="1:19" ht="19.5" hidden="1" customHeight="1" outlineLevel="1">
      <c r="A2760" s="23">
        <v>69</v>
      </c>
      <c r="B2760" s="24">
        <f>IF(27&lt;=DAY(DATE(YEAR(설정_코스수당!$K$2),MONTH(설정_코스수당!$K$2)+1,0)),DATE(YEAR(설정_코스수당!$K$2),MONTH(설정_코스수당!$K$2),27),"")</f>
        <v>46200</v>
      </c>
      <c r="C2760" s="25"/>
      <c r="D2760" s="23"/>
      <c r="E2760" s="23"/>
      <c r="F2760" s="26"/>
      <c r="G2760" s="23"/>
      <c r="H2760" s="23"/>
      <c r="I2760" s="23"/>
      <c r="J2760" s="27">
        <f>IF($O2760="방문완료",MAX(0,IFERROR(VLOOKUP($E2760,설정_코스수당!$A$6:$H$10,4,FALSE),0)-IF(OR($P2760="",$P2760="없음"),0,100000)),0)</f>
        <v>0</v>
      </c>
      <c r="K2760" s="27">
        <f t="array" ref="K2760">IF($O2760="방문완료",IFERROR(INDEX(설정_코스수당!$B$15:$F$64,MATCH($G2760,설정_코스수당!$A$15:$A$64,0),MATCH($E2760&amp;"수당",설정_코스수당!$B$14:$F$14,0)),0),0)</f>
        <v>0</v>
      </c>
      <c r="L2760" s="27">
        <f t="array" ref="L2760">IF($O2760="방문완료",IF($H2760="",0,IFERROR(INDEX(설정_코스수당!$B$15:$F$64,MATCH($H2760,설정_코스수당!$A$15:$A$64,0),MATCH($E2760&amp;"수당",설정_코스수당!$B$14:$F$14,0)),0)),0)</f>
        <v>0</v>
      </c>
      <c r="M2760" s="27">
        <f>IF($O2760="방문완료",IFERROR(VLOOKUP($E2760,설정_코스수당!$A$6:$H$10,6,FALSE),0),0)</f>
        <v>0</v>
      </c>
      <c r="N2760" s="28">
        <f t="shared" si="80"/>
        <v>0</v>
      </c>
      <c r="O2760" s="23"/>
      <c r="P2760" s="23"/>
      <c r="Q2760" s="23"/>
      <c r="R2760" s="26"/>
      <c r="S2760" s="23"/>
    </row>
    <row r="2761" spans="1:19" ht="19.5" hidden="1" customHeight="1" outlineLevel="1">
      <c r="A2761" s="29">
        <v>70</v>
      </c>
      <c r="B2761" s="30">
        <f>IF(27&lt;=DAY(DATE(YEAR(설정_코스수당!$K$2),MONTH(설정_코스수당!$K$2)+1,0)),DATE(YEAR(설정_코스수당!$K$2),MONTH(설정_코스수당!$K$2),27),"")</f>
        <v>46200</v>
      </c>
      <c r="C2761" s="31"/>
      <c r="D2761" s="29"/>
      <c r="E2761" s="29"/>
      <c r="F2761" s="32"/>
      <c r="G2761" s="29"/>
      <c r="H2761" s="29"/>
      <c r="I2761" s="29"/>
      <c r="J2761" s="33">
        <f>IF($O2761="방문완료",MAX(0,IFERROR(VLOOKUP($E2761,설정_코스수당!$A$6:$H$10,4,FALSE),0)-IF(OR($P2761="",$P2761="없음"),0,100000)),0)</f>
        <v>0</v>
      </c>
      <c r="K2761" s="33">
        <f t="array" ref="K2761">IF($O2761="방문완료",IFERROR(INDEX(설정_코스수당!$B$15:$F$64,MATCH($G2761,설정_코스수당!$A$15:$A$64,0),MATCH($E2761&amp;"수당",설정_코스수당!$B$14:$F$14,0)),0),0)</f>
        <v>0</v>
      </c>
      <c r="L2761" s="33">
        <f t="array" ref="L2761">IF($O2761="방문완료",IF($H2761="",0,IFERROR(INDEX(설정_코스수당!$B$15:$F$64,MATCH($H2761,설정_코스수당!$A$15:$A$64,0),MATCH($E2761&amp;"수당",설정_코스수당!$B$14:$F$14,0)),0)),0)</f>
        <v>0</v>
      </c>
      <c r="M2761" s="33">
        <f>IF($O2761="방문완료",IFERROR(VLOOKUP($E2761,설정_코스수당!$A$6:$H$10,6,FALSE),0),0)</f>
        <v>0</v>
      </c>
      <c r="N2761" s="34">
        <f t="shared" si="80"/>
        <v>0</v>
      </c>
      <c r="O2761" s="29"/>
      <c r="P2761" s="29"/>
      <c r="Q2761" s="29"/>
      <c r="R2761" s="32"/>
      <c r="S2761" s="29"/>
    </row>
    <row r="2762" spans="1:19" ht="19.5" hidden="1" customHeight="1" outlineLevel="1">
      <c r="A2762" s="23">
        <v>71</v>
      </c>
      <c r="B2762" s="24">
        <f>IF(27&lt;=DAY(DATE(YEAR(설정_코스수당!$K$2),MONTH(설정_코스수당!$K$2)+1,0)),DATE(YEAR(설정_코스수당!$K$2),MONTH(설정_코스수당!$K$2),27),"")</f>
        <v>46200</v>
      </c>
      <c r="C2762" s="25"/>
      <c r="D2762" s="23"/>
      <c r="E2762" s="23"/>
      <c r="F2762" s="26"/>
      <c r="G2762" s="23"/>
      <c r="H2762" s="23"/>
      <c r="I2762" s="23"/>
      <c r="J2762" s="27">
        <f>IF($O2762="방문완료",MAX(0,IFERROR(VLOOKUP($E2762,설정_코스수당!$A$6:$H$10,4,FALSE),0)-IF(OR($P2762="",$P2762="없음"),0,100000)),0)</f>
        <v>0</v>
      </c>
      <c r="K2762" s="27">
        <f t="array" ref="K2762">IF($O2762="방문완료",IFERROR(INDEX(설정_코스수당!$B$15:$F$64,MATCH($G2762,설정_코스수당!$A$15:$A$64,0),MATCH($E2762&amp;"수당",설정_코스수당!$B$14:$F$14,0)),0),0)</f>
        <v>0</v>
      </c>
      <c r="L2762" s="27">
        <f t="array" ref="L2762">IF($O2762="방문완료",IF($H2762="",0,IFERROR(INDEX(설정_코스수당!$B$15:$F$64,MATCH($H2762,설정_코스수당!$A$15:$A$64,0),MATCH($E2762&amp;"수당",설정_코스수당!$B$14:$F$14,0)),0)),0)</f>
        <v>0</v>
      </c>
      <c r="M2762" s="27">
        <f>IF($O2762="방문완료",IFERROR(VLOOKUP($E2762,설정_코스수당!$A$6:$H$10,6,FALSE),0),0)</f>
        <v>0</v>
      </c>
      <c r="N2762" s="28">
        <f t="shared" si="80"/>
        <v>0</v>
      </c>
      <c r="O2762" s="23"/>
      <c r="P2762" s="23"/>
      <c r="Q2762" s="23"/>
      <c r="R2762" s="26"/>
      <c r="S2762" s="23"/>
    </row>
    <row r="2763" spans="1:19" ht="19.5" hidden="1" customHeight="1" outlineLevel="1">
      <c r="A2763" s="29">
        <v>72</v>
      </c>
      <c r="B2763" s="30">
        <f>IF(27&lt;=DAY(DATE(YEAR(설정_코스수당!$K$2),MONTH(설정_코스수당!$K$2)+1,0)),DATE(YEAR(설정_코스수당!$K$2),MONTH(설정_코스수당!$K$2),27),"")</f>
        <v>46200</v>
      </c>
      <c r="C2763" s="31"/>
      <c r="D2763" s="29"/>
      <c r="E2763" s="29"/>
      <c r="F2763" s="32"/>
      <c r="G2763" s="29"/>
      <c r="H2763" s="29"/>
      <c r="I2763" s="29"/>
      <c r="J2763" s="33">
        <f>IF($O2763="방문완료",MAX(0,IFERROR(VLOOKUP($E2763,설정_코스수당!$A$6:$H$10,4,FALSE),0)-IF(OR($P2763="",$P2763="없음"),0,100000)),0)</f>
        <v>0</v>
      </c>
      <c r="K2763" s="33">
        <f t="array" ref="K2763">IF($O2763="방문완료",IFERROR(INDEX(설정_코스수당!$B$15:$F$64,MATCH($G2763,설정_코스수당!$A$15:$A$64,0),MATCH($E2763&amp;"수당",설정_코스수당!$B$14:$F$14,0)),0),0)</f>
        <v>0</v>
      </c>
      <c r="L2763" s="33">
        <f t="array" ref="L2763">IF($O2763="방문완료",IF($H2763="",0,IFERROR(INDEX(설정_코스수당!$B$15:$F$64,MATCH($H2763,설정_코스수당!$A$15:$A$64,0),MATCH($E2763&amp;"수당",설정_코스수당!$B$14:$F$14,0)),0)),0)</f>
        <v>0</v>
      </c>
      <c r="M2763" s="33">
        <f>IF($O2763="방문완료",IFERROR(VLOOKUP($E2763,설정_코스수당!$A$6:$H$10,6,FALSE),0),0)</f>
        <v>0</v>
      </c>
      <c r="N2763" s="34">
        <f t="shared" si="80"/>
        <v>0</v>
      </c>
      <c r="O2763" s="29"/>
      <c r="P2763" s="29"/>
      <c r="Q2763" s="29"/>
      <c r="R2763" s="32"/>
      <c r="S2763" s="29"/>
    </row>
    <row r="2764" spans="1:19" ht="19.5" hidden="1" customHeight="1" outlineLevel="1">
      <c r="A2764" s="23">
        <v>73</v>
      </c>
      <c r="B2764" s="24">
        <f>IF(27&lt;=DAY(DATE(YEAR(설정_코스수당!$K$2),MONTH(설정_코스수당!$K$2)+1,0)),DATE(YEAR(설정_코스수당!$K$2),MONTH(설정_코스수당!$K$2),27),"")</f>
        <v>46200</v>
      </c>
      <c r="C2764" s="25"/>
      <c r="D2764" s="23"/>
      <c r="E2764" s="23"/>
      <c r="F2764" s="26"/>
      <c r="G2764" s="23"/>
      <c r="H2764" s="23"/>
      <c r="I2764" s="23"/>
      <c r="J2764" s="27">
        <f>IF($O2764="방문완료",MAX(0,IFERROR(VLOOKUP($E2764,설정_코스수당!$A$6:$H$10,4,FALSE),0)-IF(OR($P2764="",$P2764="없음"),0,100000)),0)</f>
        <v>0</v>
      </c>
      <c r="K2764" s="27">
        <f t="array" ref="K2764">IF($O2764="방문완료",IFERROR(INDEX(설정_코스수당!$B$15:$F$64,MATCH($G2764,설정_코스수당!$A$15:$A$64,0),MATCH($E2764&amp;"수당",설정_코스수당!$B$14:$F$14,0)),0),0)</f>
        <v>0</v>
      </c>
      <c r="L2764" s="27">
        <f t="array" ref="L2764">IF($O2764="방문완료",IF($H2764="",0,IFERROR(INDEX(설정_코스수당!$B$15:$F$64,MATCH($H2764,설정_코스수당!$A$15:$A$64,0),MATCH($E2764&amp;"수당",설정_코스수당!$B$14:$F$14,0)),0)),0)</f>
        <v>0</v>
      </c>
      <c r="M2764" s="27">
        <f>IF($O2764="방문완료",IFERROR(VLOOKUP($E2764,설정_코스수당!$A$6:$H$10,6,FALSE),0),0)</f>
        <v>0</v>
      </c>
      <c r="N2764" s="28">
        <f t="shared" si="80"/>
        <v>0</v>
      </c>
      <c r="O2764" s="23"/>
      <c r="P2764" s="23"/>
      <c r="Q2764" s="23"/>
      <c r="R2764" s="26"/>
      <c r="S2764" s="23"/>
    </row>
    <row r="2765" spans="1:19" ht="19.5" hidden="1" customHeight="1" outlineLevel="1">
      <c r="A2765" s="29">
        <v>74</v>
      </c>
      <c r="B2765" s="30">
        <f>IF(27&lt;=DAY(DATE(YEAR(설정_코스수당!$K$2),MONTH(설정_코스수당!$K$2)+1,0)),DATE(YEAR(설정_코스수당!$K$2),MONTH(설정_코스수당!$K$2),27),"")</f>
        <v>46200</v>
      </c>
      <c r="C2765" s="31"/>
      <c r="D2765" s="29"/>
      <c r="E2765" s="29"/>
      <c r="F2765" s="32"/>
      <c r="G2765" s="29"/>
      <c r="H2765" s="29"/>
      <c r="I2765" s="29"/>
      <c r="J2765" s="33">
        <f>IF($O2765="방문완료",MAX(0,IFERROR(VLOOKUP($E2765,설정_코스수당!$A$6:$H$10,4,FALSE),0)-IF(OR($P2765="",$P2765="없음"),0,100000)),0)</f>
        <v>0</v>
      </c>
      <c r="K2765" s="33">
        <f t="array" ref="K2765">IF($O2765="방문완료",IFERROR(INDEX(설정_코스수당!$B$15:$F$64,MATCH($G2765,설정_코스수당!$A$15:$A$64,0),MATCH($E2765&amp;"수당",설정_코스수당!$B$14:$F$14,0)),0),0)</f>
        <v>0</v>
      </c>
      <c r="L2765" s="33">
        <f t="array" ref="L2765">IF($O2765="방문완료",IF($H2765="",0,IFERROR(INDEX(설정_코스수당!$B$15:$F$64,MATCH($H2765,설정_코스수당!$A$15:$A$64,0),MATCH($E2765&amp;"수당",설정_코스수당!$B$14:$F$14,0)),0)),0)</f>
        <v>0</v>
      </c>
      <c r="M2765" s="33">
        <f>IF($O2765="방문완료",IFERROR(VLOOKUP($E2765,설정_코스수당!$A$6:$H$10,6,FALSE),0),0)</f>
        <v>0</v>
      </c>
      <c r="N2765" s="34">
        <f t="shared" si="80"/>
        <v>0</v>
      </c>
      <c r="O2765" s="29"/>
      <c r="P2765" s="29"/>
      <c r="Q2765" s="29"/>
      <c r="R2765" s="32"/>
      <c r="S2765" s="29"/>
    </row>
    <row r="2766" spans="1:19" ht="19.5" hidden="1" customHeight="1" outlineLevel="1">
      <c r="A2766" s="23">
        <v>75</v>
      </c>
      <c r="B2766" s="24">
        <f>IF(27&lt;=DAY(DATE(YEAR(설정_코스수당!$K$2),MONTH(설정_코스수당!$K$2)+1,0)),DATE(YEAR(설정_코스수당!$K$2),MONTH(설정_코스수당!$K$2),27),"")</f>
        <v>46200</v>
      </c>
      <c r="C2766" s="25"/>
      <c r="D2766" s="23"/>
      <c r="E2766" s="23"/>
      <c r="F2766" s="26"/>
      <c r="G2766" s="23"/>
      <c r="H2766" s="23"/>
      <c r="I2766" s="23"/>
      <c r="J2766" s="27">
        <f>IF($O2766="방문완료",MAX(0,IFERROR(VLOOKUP($E2766,설정_코스수당!$A$6:$H$10,4,FALSE),0)-IF(OR($P2766="",$P2766="없음"),0,100000)),0)</f>
        <v>0</v>
      </c>
      <c r="K2766" s="27">
        <f t="array" ref="K2766">IF($O2766="방문완료",IFERROR(INDEX(설정_코스수당!$B$15:$F$64,MATCH($G2766,설정_코스수당!$A$15:$A$64,0),MATCH($E2766&amp;"수당",설정_코스수당!$B$14:$F$14,0)),0),0)</f>
        <v>0</v>
      </c>
      <c r="L2766" s="27">
        <f t="array" ref="L2766">IF($O2766="방문완료",IF($H2766="",0,IFERROR(INDEX(설정_코스수당!$B$15:$F$64,MATCH($H2766,설정_코스수당!$A$15:$A$64,0),MATCH($E2766&amp;"수당",설정_코스수당!$B$14:$F$14,0)),0)),0)</f>
        <v>0</v>
      </c>
      <c r="M2766" s="27">
        <f>IF($O2766="방문완료",IFERROR(VLOOKUP($E2766,설정_코스수당!$A$6:$H$10,6,FALSE),0),0)</f>
        <v>0</v>
      </c>
      <c r="N2766" s="28">
        <f t="shared" si="80"/>
        <v>0</v>
      </c>
      <c r="O2766" s="23"/>
      <c r="P2766" s="23"/>
      <c r="Q2766" s="23"/>
      <c r="R2766" s="26"/>
      <c r="S2766" s="23"/>
    </row>
    <row r="2767" spans="1:19" ht="19.5" hidden="1" customHeight="1" outlineLevel="1">
      <c r="A2767" s="29">
        <v>76</v>
      </c>
      <c r="B2767" s="30">
        <f>IF(27&lt;=DAY(DATE(YEAR(설정_코스수당!$K$2),MONTH(설정_코스수당!$K$2)+1,0)),DATE(YEAR(설정_코스수당!$K$2),MONTH(설정_코스수당!$K$2),27),"")</f>
        <v>46200</v>
      </c>
      <c r="C2767" s="31"/>
      <c r="D2767" s="29"/>
      <c r="E2767" s="29"/>
      <c r="F2767" s="32"/>
      <c r="G2767" s="29"/>
      <c r="H2767" s="29"/>
      <c r="I2767" s="29"/>
      <c r="J2767" s="33">
        <f>IF($O2767="방문완료",MAX(0,IFERROR(VLOOKUP($E2767,설정_코스수당!$A$6:$H$10,4,FALSE),0)-IF(OR($P2767="",$P2767="없음"),0,100000)),0)</f>
        <v>0</v>
      </c>
      <c r="K2767" s="33">
        <f t="array" ref="K2767">IF($O2767="방문완료",IFERROR(INDEX(설정_코스수당!$B$15:$F$64,MATCH($G2767,설정_코스수당!$A$15:$A$64,0),MATCH($E2767&amp;"수당",설정_코스수당!$B$14:$F$14,0)),0),0)</f>
        <v>0</v>
      </c>
      <c r="L2767" s="33">
        <f t="array" ref="L2767">IF($O2767="방문완료",IF($H2767="",0,IFERROR(INDEX(설정_코스수당!$B$15:$F$64,MATCH($H2767,설정_코스수당!$A$15:$A$64,0),MATCH($E2767&amp;"수당",설정_코스수당!$B$14:$F$14,0)),0)),0)</f>
        <v>0</v>
      </c>
      <c r="M2767" s="33">
        <f>IF($O2767="방문완료",IFERROR(VLOOKUP($E2767,설정_코스수당!$A$6:$H$10,6,FALSE),0),0)</f>
        <v>0</v>
      </c>
      <c r="N2767" s="34">
        <f t="shared" si="80"/>
        <v>0</v>
      </c>
      <c r="O2767" s="29"/>
      <c r="P2767" s="29"/>
      <c r="Q2767" s="29"/>
      <c r="R2767" s="32"/>
      <c r="S2767" s="29"/>
    </row>
    <row r="2768" spans="1:19" ht="19.5" hidden="1" customHeight="1" outlineLevel="1">
      <c r="A2768" s="23">
        <v>77</v>
      </c>
      <c r="B2768" s="24">
        <f>IF(27&lt;=DAY(DATE(YEAR(설정_코스수당!$K$2),MONTH(설정_코스수당!$K$2)+1,0)),DATE(YEAR(설정_코스수당!$K$2),MONTH(설정_코스수당!$K$2),27),"")</f>
        <v>46200</v>
      </c>
      <c r="C2768" s="25"/>
      <c r="D2768" s="23"/>
      <c r="E2768" s="23"/>
      <c r="F2768" s="26"/>
      <c r="G2768" s="23"/>
      <c r="H2768" s="23"/>
      <c r="I2768" s="23"/>
      <c r="J2768" s="27">
        <f>IF($O2768="방문완료",MAX(0,IFERROR(VLOOKUP($E2768,설정_코스수당!$A$6:$H$10,4,FALSE),0)-IF(OR($P2768="",$P2768="없음"),0,100000)),0)</f>
        <v>0</v>
      </c>
      <c r="K2768" s="27">
        <f t="array" ref="K2768">IF($O2768="방문완료",IFERROR(INDEX(설정_코스수당!$B$15:$F$64,MATCH($G2768,설정_코스수당!$A$15:$A$64,0),MATCH($E2768&amp;"수당",설정_코스수당!$B$14:$F$14,0)),0),0)</f>
        <v>0</v>
      </c>
      <c r="L2768" s="27">
        <f t="array" ref="L2768">IF($O2768="방문완료",IF($H2768="",0,IFERROR(INDEX(설정_코스수당!$B$15:$F$64,MATCH($H2768,설정_코스수당!$A$15:$A$64,0),MATCH($E2768&amp;"수당",설정_코스수당!$B$14:$F$14,0)),0)),0)</f>
        <v>0</v>
      </c>
      <c r="M2768" s="27">
        <f>IF($O2768="방문완료",IFERROR(VLOOKUP($E2768,설정_코스수당!$A$6:$H$10,6,FALSE),0),0)</f>
        <v>0</v>
      </c>
      <c r="N2768" s="28">
        <f t="shared" si="80"/>
        <v>0</v>
      </c>
      <c r="O2768" s="23"/>
      <c r="P2768" s="23"/>
      <c r="Q2768" s="23"/>
      <c r="R2768" s="26"/>
      <c r="S2768" s="23"/>
    </row>
    <row r="2769" spans="1:19" ht="19.5" hidden="1" customHeight="1" outlineLevel="1">
      <c r="A2769" s="29">
        <v>78</v>
      </c>
      <c r="B2769" s="30">
        <f>IF(27&lt;=DAY(DATE(YEAR(설정_코스수당!$K$2),MONTH(설정_코스수당!$K$2)+1,0)),DATE(YEAR(설정_코스수당!$K$2),MONTH(설정_코스수당!$K$2),27),"")</f>
        <v>46200</v>
      </c>
      <c r="C2769" s="31"/>
      <c r="D2769" s="29"/>
      <c r="E2769" s="29"/>
      <c r="F2769" s="32"/>
      <c r="G2769" s="29"/>
      <c r="H2769" s="29"/>
      <c r="I2769" s="29"/>
      <c r="J2769" s="33">
        <f>IF($O2769="방문완료",MAX(0,IFERROR(VLOOKUP($E2769,설정_코스수당!$A$6:$H$10,4,FALSE),0)-IF(OR($P2769="",$P2769="없음"),0,100000)),0)</f>
        <v>0</v>
      </c>
      <c r="K2769" s="33">
        <f t="array" ref="K2769">IF($O2769="방문완료",IFERROR(INDEX(설정_코스수당!$B$15:$F$64,MATCH($G2769,설정_코스수당!$A$15:$A$64,0),MATCH($E2769&amp;"수당",설정_코스수당!$B$14:$F$14,0)),0),0)</f>
        <v>0</v>
      </c>
      <c r="L2769" s="33">
        <f t="array" ref="L2769">IF($O2769="방문완료",IF($H2769="",0,IFERROR(INDEX(설정_코스수당!$B$15:$F$64,MATCH($H2769,설정_코스수당!$A$15:$A$64,0),MATCH($E2769&amp;"수당",설정_코스수당!$B$14:$F$14,0)),0)),0)</f>
        <v>0</v>
      </c>
      <c r="M2769" s="33">
        <f>IF($O2769="방문완료",IFERROR(VLOOKUP($E2769,설정_코스수당!$A$6:$H$10,6,FALSE),0),0)</f>
        <v>0</v>
      </c>
      <c r="N2769" s="34">
        <f t="shared" si="80"/>
        <v>0</v>
      </c>
      <c r="O2769" s="29"/>
      <c r="P2769" s="29"/>
      <c r="Q2769" s="29"/>
      <c r="R2769" s="32"/>
      <c r="S2769" s="29"/>
    </row>
    <row r="2770" spans="1:19" ht="19.5" hidden="1" customHeight="1" outlineLevel="1">
      <c r="A2770" s="23">
        <v>79</v>
      </c>
      <c r="B2770" s="24">
        <f>IF(27&lt;=DAY(DATE(YEAR(설정_코스수당!$K$2),MONTH(설정_코스수당!$K$2)+1,0)),DATE(YEAR(설정_코스수당!$K$2),MONTH(설정_코스수당!$K$2),27),"")</f>
        <v>46200</v>
      </c>
      <c r="C2770" s="25"/>
      <c r="D2770" s="23"/>
      <c r="E2770" s="23"/>
      <c r="F2770" s="26"/>
      <c r="G2770" s="23"/>
      <c r="H2770" s="23"/>
      <c r="I2770" s="23"/>
      <c r="J2770" s="27">
        <f>IF($O2770="방문완료",MAX(0,IFERROR(VLOOKUP($E2770,설정_코스수당!$A$6:$H$10,4,FALSE),0)-IF(OR($P2770="",$P2770="없음"),0,100000)),0)</f>
        <v>0</v>
      </c>
      <c r="K2770" s="27">
        <f t="array" ref="K2770">IF($O2770="방문완료",IFERROR(INDEX(설정_코스수당!$B$15:$F$64,MATCH($G2770,설정_코스수당!$A$15:$A$64,0),MATCH($E2770&amp;"수당",설정_코스수당!$B$14:$F$14,0)),0),0)</f>
        <v>0</v>
      </c>
      <c r="L2770" s="27">
        <f t="array" ref="L2770">IF($O2770="방문완료",IF($H2770="",0,IFERROR(INDEX(설정_코스수당!$B$15:$F$64,MATCH($H2770,설정_코스수당!$A$15:$A$64,0),MATCH($E2770&amp;"수당",설정_코스수당!$B$14:$F$14,0)),0)),0)</f>
        <v>0</v>
      </c>
      <c r="M2770" s="27">
        <f>IF($O2770="방문완료",IFERROR(VLOOKUP($E2770,설정_코스수당!$A$6:$H$10,6,FALSE),0),0)</f>
        <v>0</v>
      </c>
      <c r="N2770" s="28">
        <f t="shared" si="80"/>
        <v>0</v>
      </c>
      <c r="O2770" s="23"/>
      <c r="P2770" s="23"/>
      <c r="Q2770" s="23"/>
      <c r="R2770" s="26"/>
      <c r="S2770" s="23"/>
    </row>
    <row r="2771" spans="1:19" ht="19.5" hidden="1" customHeight="1" outlineLevel="1">
      <c r="A2771" s="29">
        <v>80</v>
      </c>
      <c r="B2771" s="30">
        <f>IF(27&lt;=DAY(DATE(YEAR(설정_코스수당!$K$2),MONTH(설정_코스수당!$K$2)+1,0)),DATE(YEAR(설정_코스수당!$K$2),MONTH(설정_코스수당!$K$2),27),"")</f>
        <v>46200</v>
      </c>
      <c r="C2771" s="31"/>
      <c r="D2771" s="29"/>
      <c r="E2771" s="29"/>
      <c r="F2771" s="32"/>
      <c r="G2771" s="29"/>
      <c r="H2771" s="29"/>
      <c r="I2771" s="29"/>
      <c r="J2771" s="33">
        <f>IF($O2771="방문완료",MAX(0,IFERROR(VLOOKUP($E2771,설정_코스수당!$A$6:$H$10,4,FALSE),0)-IF(OR($P2771="",$P2771="없음"),0,100000)),0)</f>
        <v>0</v>
      </c>
      <c r="K2771" s="33">
        <f t="array" ref="K2771">IF($O2771="방문완료",IFERROR(INDEX(설정_코스수당!$B$15:$F$64,MATCH($G2771,설정_코스수당!$A$15:$A$64,0),MATCH($E2771&amp;"수당",설정_코스수당!$B$14:$F$14,0)),0),0)</f>
        <v>0</v>
      </c>
      <c r="L2771" s="33">
        <f t="array" ref="L2771">IF($O2771="방문완료",IF($H2771="",0,IFERROR(INDEX(설정_코스수당!$B$15:$F$64,MATCH($H2771,설정_코스수당!$A$15:$A$64,0),MATCH($E2771&amp;"수당",설정_코스수당!$B$14:$F$14,0)),0)),0)</f>
        <v>0</v>
      </c>
      <c r="M2771" s="33">
        <f>IF($O2771="방문완료",IFERROR(VLOOKUP($E2771,설정_코스수당!$A$6:$H$10,6,FALSE),0),0)</f>
        <v>0</v>
      </c>
      <c r="N2771" s="34">
        <f t="shared" si="80"/>
        <v>0</v>
      </c>
      <c r="O2771" s="29"/>
      <c r="P2771" s="29"/>
      <c r="Q2771" s="29"/>
      <c r="R2771" s="32"/>
      <c r="S2771" s="29"/>
    </row>
    <row r="2772" spans="1:19" ht="19.5" hidden="1" customHeight="1" outlineLevel="1">
      <c r="A2772" s="23">
        <v>81</v>
      </c>
      <c r="B2772" s="24">
        <f>IF(27&lt;=DAY(DATE(YEAR(설정_코스수당!$K$2),MONTH(설정_코스수당!$K$2)+1,0)),DATE(YEAR(설정_코스수당!$K$2),MONTH(설정_코스수당!$K$2),27),"")</f>
        <v>46200</v>
      </c>
      <c r="C2772" s="25"/>
      <c r="D2772" s="23"/>
      <c r="E2772" s="23"/>
      <c r="F2772" s="26"/>
      <c r="G2772" s="23"/>
      <c r="H2772" s="23"/>
      <c r="I2772" s="23"/>
      <c r="J2772" s="27">
        <f>IF($O2772="방문완료",MAX(0,IFERROR(VLOOKUP($E2772,설정_코스수당!$A$6:$H$10,4,FALSE),0)-IF(OR($P2772="",$P2772="없음"),0,100000)),0)</f>
        <v>0</v>
      </c>
      <c r="K2772" s="27">
        <f t="array" ref="K2772">IF($O2772="방문완료",IFERROR(INDEX(설정_코스수당!$B$15:$F$64,MATCH($G2772,설정_코스수당!$A$15:$A$64,0),MATCH($E2772&amp;"수당",설정_코스수당!$B$14:$F$14,0)),0),0)</f>
        <v>0</v>
      </c>
      <c r="L2772" s="27">
        <f t="array" ref="L2772">IF($O2772="방문완료",IF($H2772="",0,IFERROR(INDEX(설정_코스수당!$B$15:$F$64,MATCH($H2772,설정_코스수당!$A$15:$A$64,0),MATCH($E2772&amp;"수당",설정_코스수당!$B$14:$F$14,0)),0)),0)</f>
        <v>0</v>
      </c>
      <c r="M2772" s="27">
        <f>IF($O2772="방문완료",IFERROR(VLOOKUP($E2772,설정_코스수당!$A$6:$H$10,6,FALSE),0),0)</f>
        <v>0</v>
      </c>
      <c r="N2772" s="28">
        <f t="shared" si="80"/>
        <v>0</v>
      </c>
      <c r="O2772" s="23"/>
      <c r="P2772" s="23"/>
      <c r="Q2772" s="23"/>
      <c r="R2772" s="26"/>
      <c r="S2772" s="23"/>
    </row>
    <row r="2773" spans="1:19" ht="19.5" hidden="1" customHeight="1" outlineLevel="1">
      <c r="A2773" s="29">
        <v>82</v>
      </c>
      <c r="B2773" s="30">
        <f>IF(27&lt;=DAY(DATE(YEAR(설정_코스수당!$K$2),MONTH(설정_코스수당!$K$2)+1,0)),DATE(YEAR(설정_코스수당!$K$2),MONTH(설정_코스수당!$K$2),27),"")</f>
        <v>46200</v>
      </c>
      <c r="C2773" s="31"/>
      <c r="D2773" s="29"/>
      <c r="E2773" s="29"/>
      <c r="F2773" s="32"/>
      <c r="G2773" s="29"/>
      <c r="H2773" s="29"/>
      <c r="I2773" s="29"/>
      <c r="J2773" s="33">
        <f>IF($O2773="방문완료",MAX(0,IFERROR(VLOOKUP($E2773,설정_코스수당!$A$6:$H$10,4,FALSE),0)-IF(OR($P2773="",$P2773="없음"),0,100000)),0)</f>
        <v>0</v>
      </c>
      <c r="K2773" s="33">
        <f t="array" ref="K2773">IF($O2773="방문완료",IFERROR(INDEX(설정_코스수당!$B$15:$F$64,MATCH($G2773,설정_코스수당!$A$15:$A$64,0),MATCH($E2773&amp;"수당",설정_코스수당!$B$14:$F$14,0)),0),0)</f>
        <v>0</v>
      </c>
      <c r="L2773" s="33">
        <f t="array" ref="L2773">IF($O2773="방문완료",IF($H2773="",0,IFERROR(INDEX(설정_코스수당!$B$15:$F$64,MATCH($H2773,설정_코스수당!$A$15:$A$64,0),MATCH($E2773&amp;"수당",설정_코스수당!$B$14:$F$14,0)),0)),0)</f>
        <v>0</v>
      </c>
      <c r="M2773" s="33">
        <f>IF($O2773="방문완료",IFERROR(VLOOKUP($E2773,설정_코스수당!$A$6:$H$10,6,FALSE),0),0)</f>
        <v>0</v>
      </c>
      <c r="N2773" s="34">
        <f t="shared" si="80"/>
        <v>0</v>
      </c>
      <c r="O2773" s="29"/>
      <c r="P2773" s="29"/>
      <c r="Q2773" s="29"/>
      <c r="R2773" s="32"/>
      <c r="S2773" s="29"/>
    </row>
    <row r="2774" spans="1:19" ht="19.5" hidden="1" customHeight="1" outlineLevel="1">
      <c r="A2774" s="23">
        <v>83</v>
      </c>
      <c r="B2774" s="24">
        <f>IF(27&lt;=DAY(DATE(YEAR(설정_코스수당!$K$2),MONTH(설정_코스수당!$K$2)+1,0)),DATE(YEAR(설정_코스수당!$K$2),MONTH(설정_코스수당!$K$2),27),"")</f>
        <v>46200</v>
      </c>
      <c r="C2774" s="25"/>
      <c r="D2774" s="23"/>
      <c r="E2774" s="23"/>
      <c r="F2774" s="26"/>
      <c r="G2774" s="23"/>
      <c r="H2774" s="23"/>
      <c r="I2774" s="23"/>
      <c r="J2774" s="27">
        <f>IF($O2774="방문완료",MAX(0,IFERROR(VLOOKUP($E2774,설정_코스수당!$A$6:$H$10,4,FALSE),0)-IF(OR($P2774="",$P2774="없음"),0,100000)),0)</f>
        <v>0</v>
      </c>
      <c r="K2774" s="27">
        <f t="array" ref="K2774">IF($O2774="방문완료",IFERROR(INDEX(설정_코스수당!$B$15:$F$64,MATCH($G2774,설정_코스수당!$A$15:$A$64,0),MATCH($E2774&amp;"수당",설정_코스수당!$B$14:$F$14,0)),0),0)</f>
        <v>0</v>
      </c>
      <c r="L2774" s="27">
        <f t="array" ref="L2774">IF($O2774="방문완료",IF($H2774="",0,IFERROR(INDEX(설정_코스수당!$B$15:$F$64,MATCH($H2774,설정_코스수당!$A$15:$A$64,0),MATCH($E2774&amp;"수당",설정_코스수당!$B$14:$F$14,0)),0)),0)</f>
        <v>0</v>
      </c>
      <c r="M2774" s="27">
        <f>IF($O2774="방문완료",IFERROR(VLOOKUP($E2774,설정_코스수당!$A$6:$H$10,6,FALSE),0),0)</f>
        <v>0</v>
      </c>
      <c r="N2774" s="28">
        <f t="shared" si="80"/>
        <v>0</v>
      </c>
      <c r="O2774" s="23"/>
      <c r="P2774" s="23"/>
      <c r="Q2774" s="23"/>
      <c r="R2774" s="26"/>
      <c r="S2774" s="23"/>
    </row>
    <row r="2775" spans="1:19" ht="19.5" hidden="1" customHeight="1" outlineLevel="1">
      <c r="A2775" s="29">
        <v>84</v>
      </c>
      <c r="B2775" s="30">
        <f>IF(27&lt;=DAY(DATE(YEAR(설정_코스수당!$K$2),MONTH(설정_코스수당!$K$2)+1,0)),DATE(YEAR(설정_코스수당!$K$2),MONTH(설정_코스수당!$K$2),27),"")</f>
        <v>46200</v>
      </c>
      <c r="C2775" s="31"/>
      <c r="D2775" s="29"/>
      <c r="E2775" s="29"/>
      <c r="F2775" s="32"/>
      <c r="G2775" s="29"/>
      <c r="H2775" s="29"/>
      <c r="I2775" s="29"/>
      <c r="J2775" s="33">
        <f>IF($O2775="방문완료",MAX(0,IFERROR(VLOOKUP($E2775,설정_코스수당!$A$6:$H$10,4,FALSE),0)-IF(OR($P2775="",$P2775="없음"),0,100000)),0)</f>
        <v>0</v>
      </c>
      <c r="K2775" s="33">
        <f t="array" ref="K2775">IF($O2775="방문완료",IFERROR(INDEX(설정_코스수당!$B$15:$F$64,MATCH($G2775,설정_코스수당!$A$15:$A$64,0),MATCH($E2775&amp;"수당",설정_코스수당!$B$14:$F$14,0)),0),0)</f>
        <v>0</v>
      </c>
      <c r="L2775" s="33">
        <f t="array" ref="L2775">IF($O2775="방문완료",IF($H2775="",0,IFERROR(INDEX(설정_코스수당!$B$15:$F$64,MATCH($H2775,설정_코스수당!$A$15:$A$64,0),MATCH($E2775&amp;"수당",설정_코스수당!$B$14:$F$14,0)),0)),0)</f>
        <v>0</v>
      </c>
      <c r="M2775" s="33">
        <f>IF($O2775="방문완료",IFERROR(VLOOKUP($E2775,설정_코스수당!$A$6:$H$10,6,FALSE),0),0)</f>
        <v>0</v>
      </c>
      <c r="N2775" s="34">
        <f t="shared" si="80"/>
        <v>0</v>
      </c>
      <c r="O2775" s="29"/>
      <c r="P2775" s="29"/>
      <c r="Q2775" s="29"/>
      <c r="R2775" s="32"/>
      <c r="S2775" s="29"/>
    </row>
    <row r="2776" spans="1:19" ht="19.5" hidden="1" customHeight="1" outlineLevel="1">
      <c r="A2776" s="23">
        <v>85</v>
      </c>
      <c r="B2776" s="24">
        <f>IF(27&lt;=DAY(DATE(YEAR(설정_코스수당!$K$2),MONTH(설정_코스수당!$K$2)+1,0)),DATE(YEAR(설정_코스수당!$K$2),MONTH(설정_코스수당!$K$2),27),"")</f>
        <v>46200</v>
      </c>
      <c r="C2776" s="25"/>
      <c r="D2776" s="23"/>
      <c r="E2776" s="23"/>
      <c r="F2776" s="26"/>
      <c r="G2776" s="23"/>
      <c r="H2776" s="23"/>
      <c r="I2776" s="23"/>
      <c r="J2776" s="27">
        <f>IF($O2776="방문완료",MAX(0,IFERROR(VLOOKUP($E2776,설정_코스수당!$A$6:$H$10,4,FALSE),0)-IF(OR($P2776="",$P2776="없음"),0,100000)),0)</f>
        <v>0</v>
      </c>
      <c r="K2776" s="27">
        <f t="array" ref="K2776">IF($O2776="방문완료",IFERROR(INDEX(설정_코스수당!$B$15:$F$64,MATCH($G2776,설정_코스수당!$A$15:$A$64,0),MATCH($E2776&amp;"수당",설정_코스수당!$B$14:$F$14,0)),0),0)</f>
        <v>0</v>
      </c>
      <c r="L2776" s="27">
        <f t="array" ref="L2776">IF($O2776="방문완료",IF($H2776="",0,IFERROR(INDEX(설정_코스수당!$B$15:$F$64,MATCH($H2776,설정_코스수당!$A$15:$A$64,0),MATCH($E2776&amp;"수당",설정_코스수당!$B$14:$F$14,0)),0)),0)</f>
        <v>0</v>
      </c>
      <c r="M2776" s="27">
        <f>IF($O2776="방문완료",IFERROR(VLOOKUP($E2776,설정_코스수당!$A$6:$H$10,6,FALSE),0),0)</f>
        <v>0</v>
      </c>
      <c r="N2776" s="28">
        <f t="shared" si="80"/>
        <v>0</v>
      </c>
      <c r="O2776" s="23"/>
      <c r="P2776" s="23"/>
      <c r="Q2776" s="23"/>
      <c r="R2776" s="26"/>
      <c r="S2776" s="23"/>
    </row>
    <row r="2777" spans="1:19" ht="19.5" hidden="1" customHeight="1" outlineLevel="1">
      <c r="A2777" s="29">
        <v>86</v>
      </c>
      <c r="B2777" s="30">
        <f>IF(27&lt;=DAY(DATE(YEAR(설정_코스수당!$K$2),MONTH(설정_코스수당!$K$2)+1,0)),DATE(YEAR(설정_코스수당!$K$2),MONTH(설정_코스수당!$K$2),27),"")</f>
        <v>46200</v>
      </c>
      <c r="C2777" s="31"/>
      <c r="D2777" s="29"/>
      <c r="E2777" s="29"/>
      <c r="F2777" s="32"/>
      <c r="G2777" s="29"/>
      <c r="H2777" s="29"/>
      <c r="I2777" s="29"/>
      <c r="J2777" s="33">
        <f>IF($O2777="방문완료",MAX(0,IFERROR(VLOOKUP($E2777,설정_코스수당!$A$6:$H$10,4,FALSE),0)-IF(OR($P2777="",$P2777="없음"),0,100000)),0)</f>
        <v>0</v>
      </c>
      <c r="K2777" s="33">
        <f t="array" ref="K2777">IF($O2777="방문완료",IFERROR(INDEX(설정_코스수당!$B$15:$F$64,MATCH($G2777,설정_코스수당!$A$15:$A$64,0),MATCH($E2777&amp;"수당",설정_코스수당!$B$14:$F$14,0)),0),0)</f>
        <v>0</v>
      </c>
      <c r="L2777" s="33">
        <f t="array" ref="L2777">IF($O2777="방문완료",IF($H2777="",0,IFERROR(INDEX(설정_코스수당!$B$15:$F$64,MATCH($H2777,설정_코스수당!$A$15:$A$64,0),MATCH($E2777&amp;"수당",설정_코스수당!$B$14:$F$14,0)),0)),0)</f>
        <v>0</v>
      </c>
      <c r="M2777" s="33">
        <f>IF($O2777="방문완료",IFERROR(VLOOKUP($E2777,설정_코스수당!$A$6:$H$10,6,FALSE),0),0)</f>
        <v>0</v>
      </c>
      <c r="N2777" s="34">
        <f t="shared" si="80"/>
        <v>0</v>
      </c>
      <c r="O2777" s="29"/>
      <c r="P2777" s="29"/>
      <c r="Q2777" s="29"/>
      <c r="R2777" s="32"/>
      <c r="S2777" s="29"/>
    </row>
    <row r="2778" spans="1:19" ht="19.5" hidden="1" customHeight="1" outlineLevel="1">
      <c r="A2778" s="23">
        <v>87</v>
      </c>
      <c r="B2778" s="24">
        <f>IF(27&lt;=DAY(DATE(YEAR(설정_코스수당!$K$2),MONTH(설정_코스수당!$K$2)+1,0)),DATE(YEAR(설정_코스수당!$K$2),MONTH(설정_코스수당!$K$2),27),"")</f>
        <v>46200</v>
      </c>
      <c r="C2778" s="25"/>
      <c r="D2778" s="23"/>
      <c r="E2778" s="23"/>
      <c r="F2778" s="26"/>
      <c r="G2778" s="23"/>
      <c r="H2778" s="23"/>
      <c r="I2778" s="23"/>
      <c r="J2778" s="27">
        <f>IF($O2778="방문완료",MAX(0,IFERROR(VLOOKUP($E2778,설정_코스수당!$A$6:$H$10,4,FALSE),0)-IF(OR($P2778="",$P2778="없음"),0,100000)),0)</f>
        <v>0</v>
      </c>
      <c r="K2778" s="27">
        <f t="array" ref="K2778">IF($O2778="방문완료",IFERROR(INDEX(설정_코스수당!$B$15:$F$64,MATCH($G2778,설정_코스수당!$A$15:$A$64,0),MATCH($E2778&amp;"수당",설정_코스수당!$B$14:$F$14,0)),0),0)</f>
        <v>0</v>
      </c>
      <c r="L2778" s="27">
        <f t="array" ref="L2778">IF($O2778="방문완료",IF($H2778="",0,IFERROR(INDEX(설정_코스수당!$B$15:$F$64,MATCH($H2778,설정_코스수당!$A$15:$A$64,0),MATCH($E2778&amp;"수당",설정_코스수당!$B$14:$F$14,0)),0)),0)</f>
        <v>0</v>
      </c>
      <c r="M2778" s="27">
        <f>IF($O2778="방문완료",IFERROR(VLOOKUP($E2778,설정_코스수당!$A$6:$H$10,6,FALSE),0),0)</f>
        <v>0</v>
      </c>
      <c r="N2778" s="28">
        <f t="shared" si="80"/>
        <v>0</v>
      </c>
      <c r="O2778" s="23"/>
      <c r="P2778" s="23"/>
      <c r="Q2778" s="23"/>
      <c r="R2778" s="26"/>
      <c r="S2778" s="23"/>
    </row>
    <row r="2779" spans="1:19" ht="19.5" hidden="1" customHeight="1" outlineLevel="1">
      <c r="A2779" s="29">
        <v>88</v>
      </c>
      <c r="B2779" s="30">
        <f>IF(27&lt;=DAY(DATE(YEAR(설정_코스수당!$K$2),MONTH(설정_코스수당!$K$2)+1,0)),DATE(YEAR(설정_코스수당!$K$2),MONTH(설정_코스수당!$K$2),27),"")</f>
        <v>46200</v>
      </c>
      <c r="C2779" s="31"/>
      <c r="D2779" s="29"/>
      <c r="E2779" s="29"/>
      <c r="F2779" s="32"/>
      <c r="G2779" s="29"/>
      <c r="H2779" s="29"/>
      <c r="I2779" s="29"/>
      <c r="J2779" s="33">
        <f>IF($O2779="방문완료",MAX(0,IFERROR(VLOOKUP($E2779,설정_코스수당!$A$6:$H$10,4,FALSE),0)-IF(OR($P2779="",$P2779="없음"),0,100000)),0)</f>
        <v>0</v>
      </c>
      <c r="K2779" s="33">
        <f t="array" ref="K2779">IF($O2779="방문완료",IFERROR(INDEX(설정_코스수당!$B$15:$F$64,MATCH($G2779,설정_코스수당!$A$15:$A$64,0),MATCH($E2779&amp;"수당",설정_코스수당!$B$14:$F$14,0)),0),0)</f>
        <v>0</v>
      </c>
      <c r="L2779" s="33">
        <f t="array" ref="L2779">IF($O2779="방문완료",IF($H2779="",0,IFERROR(INDEX(설정_코스수당!$B$15:$F$64,MATCH($H2779,설정_코스수당!$A$15:$A$64,0),MATCH($E2779&amp;"수당",설정_코스수당!$B$14:$F$14,0)),0)),0)</f>
        <v>0</v>
      </c>
      <c r="M2779" s="33">
        <f>IF($O2779="방문완료",IFERROR(VLOOKUP($E2779,설정_코스수당!$A$6:$H$10,6,FALSE),0),0)</f>
        <v>0</v>
      </c>
      <c r="N2779" s="34">
        <f t="shared" si="80"/>
        <v>0</v>
      </c>
      <c r="O2779" s="29"/>
      <c r="P2779" s="29"/>
      <c r="Q2779" s="29"/>
      <c r="R2779" s="32"/>
      <c r="S2779" s="29"/>
    </row>
    <row r="2780" spans="1:19" ht="19.5" hidden="1" customHeight="1" outlineLevel="1">
      <c r="A2780" s="23">
        <v>89</v>
      </c>
      <c r="B2780" s="24">
        <f>IF(27&lt;=DAY(DATE(YEAR(설정_코스수당!$K$2),MONTH(설정_코스수당!$K$2)+1,0)),DATE(YEAR(설정_코스수당!$K$2),MONTH(설정_코스수당!$K$2),27),"")</f>
        <v>46200</v>
      </c>
      <c r="C2780" s="25"/>
      <c r="D2780" s="23"/>
      <c r="E2780" s="23"/>
      <c r="F2780" s="26"/>
      <c r="G2780" s="23"/>
      <c r="H2780" s="23"/>
      <c r="I2780" s="23"/>
      <c r="J2780" s="27">
        <f>IF($O2780="방문완료",MAX(0,IFERROR(VLOOKUP($E2780,설정_코스수당!$A$6:$H$10,4,FALSE),0)-IF(OR($P2780="",$P2780="없음"),0,100000)),0)</f>
        <v>0</v>
      </c>
      <c r="K2780" s="27">
        <f t="array" ref="K2780">IF($O2780="방문완료",IFERROR(INDEX(설정_코스수당!$B$15:$F$64,MATCH($G2780,설정_코스수당!$A$15:$A$64,0),MATCH($E2780&amp;"수당",설정_코스수당!$B$14:$F$14,0)),0),0)</f>
        <v>0</v>
      </c>
      <c r="L2780" s="27">
        <f t="array" ref="L2780">IF($O2780="방문완료",IF($H2780="",0,IFERROR(INDEX(설정_코스수당!$B$15:$F$64,MATCH($H2780,설정_코스수당!$A$15:$A$64,0),MATCH($E2780&amp;"수당",설정_코스수당!$B$14:$F$14,0)),0)),0)</f>
        <v>0</v>
      </c>
      <c r="M2780" s="27">
        <f>IF($O2780="방문완료",IFERROR(VLOOKUP($E2780,설정_코스수당!$A$6:$H$10,6,FALSE),0),0)</f>
        <v>0</v>
      </c>
      <c r="N2780" s="28">
        <f t="shared" si="80"/>
        <v>0</v>
      </c>
      <c r="O2780" s="23"/>
      <c r="P2780" s="23"/>
      <c r="Q2780" s="23"/>
      <c r="R2780" s="26"/>
      <c r="S2780" s="23"/>
    </row>
    <row r="2781" spans="1:19" ht="19.5" hidden="1" customHeight="1" outlineLevel="1">
      <c r="A2781" s="29">
        <v>90</v>
      </c>
      <c r="B2781" s="30">
        <f>IF(27&lt;=DAY(DATE(YEAR(설정_코스수당!$K$2),MONTH(설정_코스수당!$K$2)+1,0)),DATE(YEAR(설정_코스수당!$K$2),MONTH(설정_코스수당!$K$2),27),"")</f>
        <v>46200</v>
      </c>
      <c r="C2781" s="31"/>
      <c r="D2781" s="29"/>
      <c r="E2781" s="29"/>
      <c r="F2781" s="32"/>
      <c r="G2781" s="29"/>
      <c r="H2781" s="29"/>
      <c r="I2781" s="29"/>
      <c r="J2781" s="33">
        <f>IF($O2781="방문완료",MAX(0,IFERROR(VLOOKUP($E2781,설정_코스수당!$A$6:$H$10,4,FALSE),0)-IF(OR($P2781="",$P2781="없음"),0,100000)),0)</f>
        <v>0</v>
      </c>
      <c r="K2781" s="33">
        <f t="array" ref="K2781">IF($O2781="방문완료",IFERROR(INDEX(설정_코스수당!$B$15:$F$64,MATCH($G2781,설정_코스수당!$A$15:$A$64,0),MATCH($E2781&amp;"수당",설정_코스수당!$B$14:$F$14,0)),0),0)</f>
        <v>0</v>
      </c>
      <c r="L2781" s="33">
        <f t="array" ref="L2781">IF($O2781="방문완료",IF($H2781="",0,IFERROR(INDEX(설정_코스수당!$B$15:$F$64,MATCH($H2781,설정_코스수당!$A$15:$A$64,0),MATCH($E2781&amp;"수당",설정_코스수당!$B$14:$F$14,0)),0)),0)</f>
        <v>0</v>
      </c>
      <c r="M2781" s="33">
        <f>IF($O2781="방문완료",IFERROR(VLOOKUP($E2781,설정_코스수당!$A$6:$H$10,6,FALSE),0),0)</f>
        <v>0</v>
      </c>
      <c r="N2781" s="34">
        <f t="shared" si="80"/>
        <v>0</v>
      </c>
      <c r="O2781" s="29"/>
      <c r="P2781" s="29"/>
      <c r="Q2781" s="29"/>
      <c r="R2781" s="32"/>
      <c r="S2781" s="29"/>
    </row>
    <row r="2782" spans="1:19" ht="19.5" hidden="1" customHeight="1" outlineLevel="1">
      <c r="A2782" s="23">
        <v>91</v>
      </c>
      <c r="B2782" s="24">
        <f>IF(27&lt;=DAY(DATE(YEAR(설정_코스수당!$K$2),MONTH(설정_코스수당!$K$2)+1,0)),DATE(YEAR(설정_코스수당!$K$2),MONTH(설정_코스수당!$K$2),27),"")</f>
        <v>46200</v>
      </c>
      <c r="C2782" s="25"/>
      <c r="D2782" s="23"/>
      <c r="E2782" s="23"/>
      <c r="F2782" s="26"/>
      <c r="G2782" s="23"/>
      <c r="H2782" s="23"/>
      <c r="I2782" s="23"/>
      <c r="J2782" s="27">
        <f>IF($O2782="방문완료",MAX(0,IFERROR(VLOOKUP($E2782,설정_코스수당!$A$6:$H$10,4,FALSE),0)-IF(OR($P2782="",$P2782="없음"),0,100000)),0)</f>
        <v>0</v>
      </c>
      <c r="K2782" s="27">
        <f t="array" ref="K2782">IF($O2782="방문완료",IFERROR(INDEX(설정_코스수당!$B$15:$F$64,MATCH($G2782,설정_코스수당!$A$15:$A$64,0),MATCH($E2782&amp;"수당",설정_코스수당!$B$14:$F$14,0)),0),0)</f>
        <v>0</v>
      </c>
      <c r="L2782" s="27">
        <f t="array" ref="L2782">IF($O2782="방문완료",IF($H2782="",0,IFERROR(INDEX(설정_코스수당!$B$15:$F$64,MATCH($H2782,설정_코스수당!$A$15:$A$64,0),MATCH($E2782&amp;"수당",설정_코스수당!$B$14:$F$14,0)),0)),0)</f>
        <v>0</v>
      </c>
      <c r="M2782" s="27">
        <f>IF($O2782="방문완료",IFERROR(VLOOKUP($E2782,설정_코스수당!$A$6:$H$10,6,FALSE),0),0)</f>
        <v>0</v>
      </c>
      <c r="N2782" s="28">
        <f t="shared" si="80"/>
        <v>0</v>
      </c>
      <c r="O2782" s="23"/>
      <c r="P2782" s="23"/>
      <c r="Q2782" s="23"/>
      <c r="R2782" s="26"/>
      <c r="S2782" s="23"/>
    </row>
    <row r="2783" spans="1:19" ht="19.5" hidden="1" customHeight="1" outlineLevel="1">
      <c r="A2783" s="29">
        <v>92</v>
      </c>
      <c r="B2783" s="30">
        <f>IF(27&lt;=DAY(DATE(YEAR(설정_코스수당!$K$2),MONTH(설정_코스수당!$K$2)+1,0)),DATE(YEAR(설정_코스수당!$K$2),MONTH(설정_코스수당!$K$2),27),"")</f>
        <v>46200</v>
      </c>
      <c r="C2783" s="31"/>
      <c r="D2783" s="29"/>
      <c r="E2783" s="29"/>
      <c r="F2783" s="32"/>
      <c r="G2783" s="29"/>
      <c r="H2783" s="29"/>
      <c r="I2783" s="29"/>
      <c r="J2783" s="33">
        <f>IF($O2783="방문완료",MAX(0,IFERROR(VLOOKUP($E2783,설정_코스수당!$A$6:$H$10,4,FALSE),0)-IF(OR($P2783="",$P2783="없음"),0,100000)),0)</f>
        <v>0</v>
      </c>
      <c r="K2783" s="33">
        <f t="array" ref="K2783">IF($O2783="방문완료",IFERROR(INDEX(설정_코스수당!$B$15:$F$64,MATCH($G2783,설정_코스수당!$A$15:$A$64,0),MATCH($E2783&amp;"수당",설정_코스수당!$B$14:$F$14,0)),0),0)</f>
        <v>0</v>
      </c>
      <c r="L2783" s="33">
        <f t="array" ref="L2783">IF($O2783="방문완료",IF($H2783="",0,IFERROR(INDEX(설정_코스수당!$B$15:$F$64,MATCH($H2783,설정_코스수당!$A$15:$A$64,0),MATCH($E2783&amp;"수당",설정_코스수당!$B$14:$F$14,0)),0)),0)</f>
        <v>0</v>
      </c>
      <c r="M2783" s="33">
        <f>IF($O2783="방문완료",IFERROR(VLOOKUP($E2783,설정_코스수당!$A$6:$H$10,6,FALSE),0),0)</f>
        <v>0</v>
      </c>
      <c r="N2783" s="34">
        <f t="shared" si="80"/>
        <v>0</v>
      </c>
      <c r="O2783" s="29"/>
      <c r="P2783" s="29"/>
      <c r="Q2783" s="29"/>
      <c r="R2783" s="32"/>
      <c r="S2783" s="29"/>
    </row>
    <row r="2784" spans="1:19" ht="19.5" hidden="1" customHeight="1" outlineLevel="1">
      <c r="A2784" s="23">
        <v>93</v>
      </c>
      <c r="B2784" s="24">
        <f>IF(27&lt;=DAY(DATE(YEAR(설정_코스수당!$K$2),MONTH(설정_코스수당!$K$2)+1,0)),DATE(YEAR(설정_코스수당!$K$2),MONTH(설정_코스수당!$K$2),27),"")</f>
        <v>46200</v>
      </c>
      <c r="C2784" s="25"/>
      <c r="D2784" s="23"/>
      <c r="E2784" s="23"/>
      <c r="F2784" s="26"/>
      <c r="G2784" s="23"/>
      <c r="H2784" s="23"/>
      <c r="I2784" s="23"/>
      <c r="J2784" s="27">
        <f>IF($O2784="방문완료",MAX(0,IFERROR(VLOOKUP($E2784,설정_코스수당!$A$6:$H$10,4,FALSE),0)-IF(OR($P2784="",$P2784="없음"),0,100000)),0)</f>
        <v>0</v>
      </c>
      <c r="K2784" s="27">
        <f t="array" ref="K2784">IF($O2784="방문완료",IFERROR(INDEX(설정_코스수당!$B$15:$F$64,MATCH($G2784,설정_코스수당!$A$15:$A$64,0),MATCH($E2784&amp;"수당",설정_코스수당!$B$14:$F$14,0)),0),0)</f>
        <v>0</v>
      </c>
      <c r="L2784" s="27">
        <f t="array" ref="L2784">IF($O2784="방문완료",IF($H2784="",0,IFERROR(INDEX(설정_코스수당!$B$15:$F$64,MATCH($H2784,설정_코스수당!$A$15:$A$64,0),MATCH($E2784&amp;"수당",설정_코스수당!$B$14:$F$14,0)),0)),0)</f>
        <v>0</v>
      </c>
      <c r="M2784" s="27">
        <f>IF($O2784="방문완료",IFERROR(VLOOKUP($E2784,설정_코스수당!$A$6:$H$10,6,FALSE),0),0)</f>
        <v>0</v>
      </c>
      <c r="N2784" s="28">
        <f t="shared" si="80"/>
        <v>0</v>
      </c>
      <c r="O2784" s="23"/>
      <c r="P2784" s="23"/>
      <c r="Q2784" s="23"/>
      <c r="R2784" s="26"/>
      <c r="S2784" s="23"/>
    </row>
    <row r="2785" spans="1:27" ht="19.5" hidden="1" customHeight="1" outlineLevel="1">
      <c r="A2785" s="29">
        <v>94</v>
      </c>
      <c r="B2785" s="30">
        <f>IF(27&lt;=DAY(DATE(YEAR(설정_코스수당!$K$2),MONTH(설정_코스수당!$K$2)+1,0)),DATE(YEAR(설정_코스수당!$K$2),MONTH(설정_코스수당!$K$2),27),"")</f>
        <v>46200</v>
      </c>
      <c r="C2785" s="31"/>
      <c r="D2785" s="29"/>
      <c r="E2785" s="29"/>
      <c r="F2785" s="32"/>
      <c r="G2785" s="29"/>
      <c r="H2785" s="29"/>
      <c r="I2785" s="29"/>
      <c r="J2785" s="33">
        <f>IF($O2785="방문완료",MAX(0,IFERROR(VLOOKUP($E2785,설정_코스수당!$A$6:$H$10,4,FALSE),0)-IF(OR($P2785="",$P2785="없음"),0,100000)),0)</f>
        <v>0</v>
      </c>
      <c r="K2785" s="33">
        <f t="array" ref="K2785">IF($O2785="방문완료",IFERROR(INDEX(설정_코스수당!$B$15:$F$64,MATCH($G2785,설정_코스수당!$A$15:$A$64,0),MATCH($E2785&amp;"수당",설정_코스수당!$B$14:$F$14,0)),0),0)</f>
        <v>0</v>
      </c>
      <c r="L2785" s="33">
        <f t="array" ref="L2785">IF($O2785="방문완료",IF($H2785="",0,IFERROR(INDEX(설정_코스수당!$B$15:$F$64,MATCH($H2785,설정_코스수당!$A$15:$A$64,0),MATCH($E2785&amp;"수당",설정_코스수당!$B$14:$F$14,0)),0)),0)</f>
        <v>0</v>
      </c>
      <c r="M2785" s="33">
        <f>IF($O2785="방문완료",IFERROR(VLOOKUP($E2785,설정_코스수당!$A$6:$H$10,6,FALSE),0),0)</f>
        <v>0</v>
      </c>
      <c r="N2785" s="34">
        <f t="shared" si="80"/>
        <v>0</v>
      </c>
      <c r="O2785" s="29"/>
      <c r="P2785" s="29"/>
      <c r="Q2785" s="29"/>
      <c r="R2785" s="32"/>
      <c r="S2785" s="29"/>
    </row>
    <row r="2786" spans="1:27" ht="19.5" hidden="1" customHeight="1" outlineLevel="1">
      <c r="A2786" s="23">
        <v>95</v>
      </c>
      <c r="B2786" s="24">
        <f>IF(27&lt;=DAY(DATE(YEAR(설정_코스수당!$K$2),MONTH(설정_코스수당!$K$2)+1,0)),DATE(YEAR(설정_코스수당!$K$2),MONTH(설정_코스수당!$K$2),27),"")</f>
        <v>46200</v>
      </c>
      <c r="C2786" s="25"/>
      <c r="D2786" s="23"/>
      <c r="E2786" s="23"/>
      <c r="F2786" s="26"/>
      <c r="G2786" s="23"/>
      <c r="H2786" s="23"/>
      <c r="I2786" s="23"/>
      <c r="J2786" s="27">
        <f>IF($O2786="방문완료",MAX(0,IFERROR(VLOOKUP($E2786,설정_코스수당!$A$6:$H$10,4,FALSE),0)-IF(OR($P2786="",$P2786="없음"),0,100000)),0)</f>
        <v>0</v>
      </c>
      <c r="K2786" s="27">
        <f t="array" ref="K2786">IF($O2786="방문완료",IFERROR(INDEX(설정_코스수당!$B$15:$F$64,MATCH($G2786,설정_코스수당!$A$15:$A$64,0),MATCH($E2786&amp;"수당",설정_코스수당!$B$14:$F$14,0)),0),0)</f>
        <v>0</v>
      </c>
      <c r="L2786" s="27">
        <f t="array" ref="L2786">IF($O2786="방문완료",IF($H2786="",0,IFERROR(INDEX(설정_코스수당!$B$15:$F$64,MATCH($H2786,설정_코스수당!$A$15:$A$64,0),MATCH($E2786&amp;"수당",설정_코스수당!$B$14:$F$14,0)),0)),0)</f>
        <v>0</v>
      </c>
      <c r="M2786" s="27">
        <f>IF($O2786="방문완료",IFERROR(VLOOKUP($E2786,설정_코스수당!$A$6:$H$10,6,FALSE),0),0)</f>
        <v>0</v>
      </c>
      <c r="N2786" s="28">
        <f t="shared" si="80"/>
        <v>0</v>
      </c>
      <c r="O2786" s="23"/>
      <c r="P2786" s="23"/>
      <c r="Q2786" s="23"/>
      <c r="R2786" s="26"/>
      <c r="S2786" s="23"/>
    </row>
    <row r="2787" spans="1:27" ht="19.5" hidden="1" customHeight="1" outlineLevel="1">
      <c r="A2787" s="29">
        <v>96</v>
      </c>
      <c r="B2787" s="30">
        <f>IF(27&lt;=DAY(DATE(YEAR(설정_코스수당!$K$2),MONTH(설정_코스수당!$K$2)+1,0)),DATE(YEAR(설정_코스수당!$K$2),MONTH(설정_코스수당!$K$2),27),"")</f>
        <v>46200</v>
      </c>
      <c r="C2787" s="31"/>
      <c r="D2787" s="29"/>
      <c r="E2787" s="29"/>
      <c r="F2787" s="32"/>
      <c r="G2787" s="29"/>
      <c r="H2787" s="29"/>
      <c r="I2787" s="29"/>
      <c r="J2787" s="33">
        <f>IF($O2787="방문완료",MAX(0,IFERROR(VLOOKUP($E2787,설정_코스수당!$A$6:$H$10,4,FALSE),0)-IF(OR($P2787="",$P2787="없음"),0,100000)),0)</f>
        <v>0</v>
      </c>
      <c r="K2787" s="33">
        <f t="array" ref="K2787">IF($O2787="방문완료",IFERROR(INDEX(설정_코스수당!$B$15:$F$64,MATCH($G2787,설정_코스수당!$A$15:$A$64,0),MATCH($E2787&amp;"수당",설정_코스수당!$B$14:$F$14,0)),0),0)</f>
        <v>0</v>
      </c>
      <c r="L2787" s="33">
        <f t="array" ref="L2787">IF($O2787="방문완료",IF($H2787="",0,IFERROR(INDEX(설정_코스수당!$B$15:$F$64,MATCH($H2787,설정_코스수당!$A$15:$A$64,0),MATCH($E2787&amp;"수당",설정_코스수당!$B$14:$F$14,0)),0)),0)</f>
        <v>0</v>
      </c>
      <c r="M2787" s="33">
        <f>IF($O2787="방문완료",IFERROR(VLOOKUP($E2787,설정_코스수당!$A$6:$H$10,6,FALSE),0),0)</f>
        <v>0</v>
      </c>
      <c r="N2787" s="34">
        <f t="shared" si="80"/>
        <v>0</v>
      </c>
      <c r="O2787" s="29"/>
      <c r="P2787" s="29"/>
      <c r="Q2787" s="29"/>
      <c r="R2787" s="32"/>
      <c r="S2787" s="29"/>
    </row>
    <row r="2788" spans="1:27" ht="19.5" hidden="1" customHeight="1" outlineLevel="1">
      <c r="A2788" s="23">
        <v>97</v>
      </c>
      <c r="B2788" s="24">
        <f>IF(27&lt;=DAY(DATE(YEAR(설정_코스수당!$K$2),MONTH(설정_코스수당!$K$2)+1,0)),DATE(YEAR(설정_코스수당!$K$2),MONTH(설정_코스수당!$K$2),27),"")</f>
        <v>46200</v>
      </c>
      <c r="C2788" s="25"/>
      <c r="D2788" s="23"/>
      <c r="E2788" s="23"/>
      <c r="F2788" s="26"/>
      <c r="G2788" s="23"/>
      <c r="H2788" s="23"/>
      <c r="I2788" s="23"/>
      <c r="J2788" s="27">
        <f>IF($O2788="방문완료",MAX(0,IFERROR(VLOOKUP($E2788,설정_코스수당!$A$6:$H$10,4,FALSE),0)-IF(OR($P2788="",$P2788="없음"),0,100000)),0)</f>
        <v>0</v>
      </c>
      <c r="K2788" s="27">
        <f t="array" ref="K2788">IF($O2788="방문완료",IFERROR(INDEX(설정_코스수당!$B$15:$F$64,MATCH($G2788,설정_코스수당!$A$15:$A$64,0),MATCH($E2788&amp;"수당",설정_코스수당!$B$14:$F$14,0)),0),0)</f>
        <v>0</v>
      </c>
      <c r="L2788" s="27">
        <f t="array" ref="L2788">IF($O2788="방문완료",IF($H2788="",0,IFERROR(INDEX(설정_코스수당!$B$15:$F$64,MATCH($H2788,설정_코스수당!$A$15:$A$64,0),MATCH($E2788&amp;"수당",설정_코스수당!$B$14:$F$14,0)),0)),0)</f>
        <v>0</v>
      </c>
      <c r="M2788" s="27">
        <f>IF($O2788="방문완료",IFERROR(VLOOKUP($E2788,설정_코스수당!$A$6:$H$10,6,FALSE),0),0)</f>
        <v>0</v>
      </c>
      <c r="N2788" s="28">
        <f t="shared" si="80"/>
        <v>0</v>
      </c>
      <c r="O2788" s="23"/>
      <c r="P2788" s="23"/>
      <c r="Q2788" s="23"/>
      <c r="R2788" s="26"/>
      <c r="S2788" s="23"/>
    </row>
    <row r="2789" spans="1:27" ht="19.5" hidden="1" customHeight="1" outlineLevel="1">
      <c r="A2789" s="29">
        <v>98</v>
      </c>
      <c r="B2789" s="30">
        <f>IF(27&lt;=DAY(DATE(YEAR(설정_코스수당!$K$2),MONTH(설정_코스수당!$K$2)+1,0)),DATE(YEAR(설정_코스수당!$K$2),MONTH(설정_코스수당!$K$2),27),"")</f>
        <v>46200</v>
      </c>
      <c r="C2789" s="31"/>
      <c r="D2789" s="29"/>
      <c r="E2789" s="29"/>
      <c r="F2789" s="32"/>
      <c r="G2789" s="29"/>
      <c r="H2789" s="29"/>
      <c r="I2789" s="29"/>
      <c r="J2789" s="33">
        <f>IF($O2789="방문완료",MAX(0,IFERROR(VLOOKUP($E2789,설정_코스수당!$A$6:$H$10,4,FALSE),0)-IF(OR($P2789="",$P2789="없음"),0,100000)),0)</f>
        <v>0</v>
      </c>
      <c r="K2789" s="33">
        <f t="array" ref="K2789">IF($O2789="방문완료",IFERROR(INDEX(설정_코스수당!$B$15:$F$64,MATCH($G2789,설정_코스수당!$A$15:$A$64,0),MATCH($E2789&amp;"수당",설정_코스수당!$B$14:$F$14,0)),0),0)</f>
        <v>0</v>
      </c>
      <c r="L2789" s="33">
        <f t="array" ref="L2789">IF($O2789="방문완료",IF($H2789="",0,IFERROR(INDEX(설정_코스수당!$B$15:$F$64,MATCH($H2789,설정_코스수당!$A$15:$A$64,0),MATCH($E2789&amp;"수당",설정_코스수당!$B$14:$F$14,0)),0)),0)</f>
        <v>0</v>
      </c>
      <c r="M2789" s="33">
        <f>IF($O2789="방문완료",IFERROR(VLOOKUP($E2789,설정_코스수당!$A$6:$H$10,6,FALSE),0),0)</f>
        <v>0</v>
      </c>
      <c r="N2789" s="34">
        <f t="shared" si="80"/>
        <v>0</v>
      </c>
      <c r="O2789" s="29"/>
      <c r="P2789" s="29"/>
      <c r="Q2789" s="29"/>
      <c r="R2789" s="32"/>
      <c r="S2789" s="29"/>
    </row>
    <row r="2790" spans="1:27" ht="19.5" hidden="1" customHeight="1" outlineLevel="1">
      <c r="A2790" s="23">
        <v>99</v>
      </c>
      <c r="B2790" s="24">
        <f>IF(27&lt;=DAY(DATE(YEAR(설정_코스수당!$K$2),MONTH(설정_코스수당!$K$2)+1,0)),DATE(YEAR(설정_코스수당!$K$2),MONTH(설정_코스수당!$K$2),27),"")</f>
        <v>46200</v>
      </c>
      <c r="C2790" s="25"/>
      <c r="D2790" s="23"/>
      <c r="E2790" s="23"/>
      <c r="F2790" s="26"/>
      <c r="G2790" s="23"/>
      <c r="H2790" s="23"/>
      <c r="I2790" s="23"/>
      <c r="J2790" s="27">
        <f>IF($O2790="방문완료",MAX(0,IFERROR(VLOOKUP($E2790,설정_코스수당!$A$6:$H$10,4,FALSE),0)-IF(OR($P2790="",$P2790="없음"),0,100000)),0)</f>
        <v>0</v>
      </c>
      <c r="K2790" s="27">
        <f t="array" ref="K2790">IF($O2790="방문완료",IFERROR(INDEX(설정_코스수당!$B$15:$F$64,MATCH($G2790,설정_코스수당!$A$15:$A$64,0),MATCH($E2790&amp;"수당",설정_코스수당!$B$14:$F$14,0)),0),0)</f>
        <v>0</v>
      </c>
      <c r="L2790" s="27">
        <f t="array" ref="L2790">IF($O2790="방문완료",IF($H2790="",0,IFERROR(INDEX(설정_코스수당!$B$15:$F$64,MATCH($H2790,설정_코스수당!$A$15:$A$64,0),MATCH($E2790&amp;"수당",설정_코스수당!$B$14:$F$14,0)),0)),0)</f>
        <v>0</v>
      </c>
      <c r="M2790" s="27">
        <f>IF($O2790="방문완료",IFERROR(VLOOKUP($E2790,설정_코스수당!$A$6:$H$10,6,FALSE),0),0)</f>
        <v>0</v>
      </c>
      <c r="N2790" s="28">
        <f t="shared" si="80"/>
        <v>0</v>
      </c>
      <c r="O2790" s="23"/>
      <c r="P2790" s="23"/>
      <c r="Q2790" s="23"/>
      <c r="R2790" s="26"/>
      <c r="S2790" s="23"/>
    </row>
    <row r="2791" spans="1:27" ht="19.5" hidden="1" customHeight="1" outlineLevel="1">
      <c r="A2791" s="29">
        <v>100</v>
      </c>
      <c r="B2791" s="30">
        <f>IF(27&lt;=DAY(DATE(YEAR(설정_코스수당!$K$2),MONTH(설정_코스수당!$K$2)+1,0)),DATE(YEAR(설정_코스수당!$K$2),MONTH(설정_코스수당!$K$2),27),"")</f>
        <v>46200</v>
      </c>
      <c r="C2791" s="31"/>
      <c r="D2791" s="29"/>
      <c r="E2791" s="29"/>
      <c r="F2791" s="32"/>
      <c r="G2791" s="29"/>
      <c r="H2791" s="29"/>
      <c r="I2791" s="29"/>
      <c r="J2791" s="33">
        <f>IF($O2791="방문완료",MAX(0,IFERROR(VLOOKUP($E2791,설정_코스수당!$A$6:$H$10,4,FALSE),0)-IF(OR($P2791="",$P2791="없음"),0,100000)),0)</f>
        <v>0</v>
      </c>
      <c r="K2791" s="33">
        <f t="array" ref="K2791">IF($O2791="방문완료",IFERROR(INDEX(설정_코스수당!$B$15:$F$64,MATCH($G2791,설정_코스수당!$A$15:$A$64,0),MATCH($E2791&amp;"수당",설정_코스수당!$B$14:$F$14,0)),0),0)</f>
        <v>0</v>
      </c>
      <c r="L2791" s="33">
        <f t="array" ref="L2791">IF($O2791="방문완료",IF($H2791="",0,IFERROR(INDEX(설정_코스수당!$B$15:$F$64,MATCH($H2791,설정_코스수당!$A$15:$A$64,0),MATCH($E2791&amp;"수당",설정_코스수당!$B$14:$F$14,0)),0)),0)</f>
        <v>0</v>
      </c>
      <c r="M2791" s="33">
        <f>IF($O2791="방문완료",IFERROR(VLOOKUP($E2791,설정_코스수당!$A$6:$H$10,6,FALSE),0),0)</f>
        <v>0</v>
      </c>
      <c r="N2791" s="34">
        <f t="shared" si="80"/>
        <v>0</v>
      </c>
      <c r="O2791" s="29"/>
      <c r="P2791" s="29"/>
      <c r="Q2791" s="29"/>
      <c r="R2791" s="32"/>
      <c r="S2791" s="29"/>
    </row>
    <row r="2792" spans="1:27" ht="19.5" hidden="1" customHeight="1" outlineLevel="1">
      <c r="A2792" s="36" t="s">
        <v>79</v>
      </c>
      <c r="B2792" s="37"/>
      <c r="C2792" s="38"/>
      <c r="D2792" s="37"/>
      <c r="E2792" s="37"/>
      <c r="F2792" s="37"/>
      <c r="G2792" s="37"/>
      <c r="H2792" s="37"/>
      <c r="I2792" s="37"/>
      <c r="J2792" s="37">
        <f>IF($O2792="방문완료",MAX(0,IFERROR(VLOOKUP($E2792,설정_코스수당!$A$6:$H$10,4,FALSE),0)-IF(OR($P2792="",$P2792="없음"),0,100000)),0)</f>
        <v>0</v>
      </c>
      <c r="O2792" s="18"/>
      <c r="P2792" s="14"/>
      <c r="Q2792" s="18"/>
      <c r="S2792" s="18"/>
    </row>
    <row r="2793" spans="1:27" ht="21" customHeight="1" collapsed="1">
      <c r="A2793" s="123" t="str">
        <f>IF(28&lt;=DAY(DATE(YEAR(설정_코스수당!$K$2),MONTH(설정_코스수당!$K$2)+1,0)),TEXT(DATE(YEAR(설정_코스수당!$K$2),MONTH(설정_코스수당!$K$2),28),"yyyy-mm-dd")&amp;"  |  예약관리 100슬롯","")</f>
        <v>2026-06-28  |  예약관리 100슬롯</v>
      </c>
      <c r="B2793" s="124"/>
      <c r="C2793" s="124"/>
      <c r="D2793" s="124"/>
      <c r="E2793" s="124"/>
      <c r="F2793" s="124"/>
      <c r="G2793" s="124"/>
      <c r="H2793" s="124"/>
      <c r="I2793" s="124"/>
      <c r="J2793" s="124"/>
      <c r="K2793" s="124"/>
      <c r="L2793" s="124"/>
      <c r="M2793" s="124"/>
      <c r="N2793" s="124"/>
      <c r="O2793" s="19"/>
      <c r="P2793" s="19"/>
      <c r="Q2793" s="19"/>
      <c r="R2793" s="19"/>
      <c r="S2793" s="19"/>
      <c r="T2793" s="19"/>
      <c r="U2793" s="19"/>
      <c r="V2793" s="19"/>
      <c r="W2793" s="19"/>
      <c r="X2793" s="19"/>
      <c r="Y2793" s="19"/>
      <c r="Z2793" s="19"/>
      <c r="AA2793" s="19"/>
    </row>
    <row r="2794" spans="1:27" ht="19.5" hidden="1" customHeight="1" outlineLevel="1">
      <c r="A2794" s="20" t="s">
        <v>41</v>
      </c>
      <c r="B2794" s="20" t="s">
        <v>42</v>
      </c>
      <c r="C2794" s="39" t="s">
        <v>43</v>
      </c>
      <c r="D2794" s="20" t="s">
        <v>44</v>
      </c>
      <c r="E2794" s="20" t="s">
        <v>45</v>
      </c>
      <c r="F2794" s="20" t="s">
        <v>46</v>
      </c>
      <c r="G2794" s="20" t="s">
        <v>47</v>
      </c>
      <c r="H2794" s="20" t="s">
        <v>48</v>
      </c>
      <c r="I2794" s="20" t="s">
        <v>49</v>
      </c>
      <c r="J2794" s="20" t="s">
        <v>50</v>
      </c>
      <c r="K2794" s="20" t="s">
        <v>51</v>
      </c>
      <c r="L2794" s="20" t="s">
        <v>52</v>
      </c>
      <c r="M2794" s="20" t="s">
        <v>53</v>
      </c>
      <c r="N2794" s="20" t="s">
        <v>54</v>
      </c>
      <c r="O2794" s="20" t="s">
        <v>55</v>
      </c>
      <c r="P2794" s="20" t="s">
        <v>56</v>
      </c>
      <c r="Q2794" s="18"/>
      <c r="R2794" s="20" t="s">
        <v>58</v>
      </c>
      <c r="S2794" s="20" t="s">
        <v>59</v>
      </c>
      <c r="U2794" s="122" t="str">
        <f>IF(28&lt;=DAY(DATE(YEAR(설정_코스수당!$K$2),MONTH(설정_코스수당!$K$2)+1,0)),TEXT(DATE(YEAR(설정_코스수당!$K$2),MONTH(설정_코스수당!$K$2),28),"yyyy-mm-dd")&amp;" 일일 상태","")</f>
        <v>2026-06-28 일일 상태</v>
      </c>
      <c r="V2794" s="125"/>
      <c r="W2794" s="122" t="s">
        <v>3</v>
      </c>
      <c r="X2794" s="125"/>
    </row>
    <row r="2795" spans="1:27" ht="19.5" hidden="1" customHeight="1" outlineLevel="1">
      <c r="A2795" s="23">
        <v>1</v>
      </c>
      <c r="B2795" s="24">
        <f>IF(28&lt;=DAY(DATE(YEAR(설정_코스수당!$K$2),MONTH(설정_코스수당!$K$2)+1,0)),DATE(YEAR(설정_코스수당!$K$2),MONTH(설정_코스수당!$K$2),28),"")</f>
        <v>46201</v>
      </c>
      <c r="C2795" s="25"/>
      <c r="D2795" s="23"/>
      <c r="E2795" s="23"/>
      <c r="F2795" s="26"/>
      <c r="G2795" s="23"/>
      <c r="H2795" s="23"/>
      <c r="I2795" s="23"/>
      <c r="J2795" s="27">
        <f>IF($O2795="방문완료",MAX(0,IFERROR(VLOOKUP($E2795,설정_코스수당!$A$6:$H$10,4,FALSE),0)-IF(OR($P2795="",$P2795="없음"),0,100000)),0)</f>
        <v>0</v>
      </c>
      <c r="K2795" s="27">
        <f t="array" ref="K2795">IF($O2795="방문완료",IFERROR(INDEX(설정_코스수당!$B$15:$F$64,MATCH($G2795,설정_코스수당!$A$15:$A$64,0),MATCH($E2795&amp;"수당",설정_코스수당!$B$14:$F$14,0)),0),0)</f>
        <v>0</v>
      </c>
      <c r="L2795" s="27">
        <f t="array" ref="L2795">IF($O2795="방문완료",IF($H2795="",0,IFERROR(INDEX(설정_코스수당!$B$15:$F$64,MATCH($H2795,설정_코스수당!$A$15:$A$64,0),MATCH($E2795&amp;"수당",설정_코스수당!$B$14:$F$14,0)),0)),0)</f>
        <v>0</v>
      </c>
      <c r="M2795" s="27">
        <f>IF($O2795="방문완료",IFERROR(VLOOKUP($E2795,설정_코스수당!$A$6:$H$10,6,FALSE),0),0)</f>
        <v>0</v>
      </c>
      <c r="N2795" s="28">
        <f t="shared" ref="N2795:N2826" si="81">IF($O2795="방문완료",1,0)</f>
        <v>0</v>
      </c>
      <c r="O2795" s="23"/>
      <c r="P2795" s="23"/>
      <c r="Q2795" s="23"/>
      <c r="R2795" s="26"/>
      <c r="S2795" s="23"/>
      <c r="U2795" s="104" t="s">
        <v>63</v>
      </c>
      <c r="V2795" s="105">
        <f>IF(28&lt;=DAY(DATE(YEAR(설정_코스수당!$K$2),MONTH(설정_코스수당!$K$2)+1,0)),COUNTIFS($B:$B,DATE(YEAR(설정_코스수당!$K$2),MONTH(설정_코스수당!$K$2),28),$O:$O,"&lt;&gt;"),"")</f>
        <v>0</v>
      </c>
      <c r="W2795" s="104" t="s">
        <v>6</v>
      </c>
      <c r="X2795" s="105">
        <f>IF(28&lt;=DAY(DATE(YEAR(설정_코스수당!$K$2),MONTH(설정_코스수당!$K$2)+1,0)),COUNTIFS($B:$B,DATE(YEAR(설정_코스수당!$K$2),MONTH(설정_코스수당!$K$2),28),$E:$E,"A",$O:$O,"방문완료"),"")</f>
        <v>0</v>
      </c>
    </row>
    <row r="2796" spans="1:27" ht="19.5" hidden="1" customHeight="1" outlineLevel="1">
      <c r="A2796" s="29">
        <v>2</v>
      </c>
      <c r="B2796" s="30">
        <f>IF(28&lt;=DAY(DATE(YEAR(설정_코스수당!$K$2),MONTH(설정_코스수당!$K$2)+1,0)),DATE(YEAR(설정_코스수당!$K$2),MONTH(설정_코스수당!$K$2),28),"")</f>
        <v>46201</v>
      </c>
      <c r="C2796" s="31"/>
      <c r="D2796" s="29"/>
      <c r="E2796" s="29"/>
      <c r="F2796" s="32"/>
      <c r="G2796" s="29"/>
      <c r="H2796" s="29"/>
      <c r="I2796" s="29"/>
      <c r="J2796" s="33">
        <f>IF($O2796="방문완료",MAX(0,IFERROR(VLOOKUP($E2796,설정_코스수당!$A$6:$H$10,4,FALSE),0)-IF(OR($P2796="",$P2796="없음"),0,100000)),0)</f>
        <v>0</v>
      </c>
      <c r="K2796" s="33">
        <f t="array" ref="K2796">IF($O2796="방문완료",IFERROR(INDEX(설정_코스수당!$B$15:$F$64,MATCH($G2796,설정_코스수당!$A$15:$A$64,0),MATCH($E2796&amp;"수당",설정_코스수당!$B$14:$F$14,0)),0),0)</f>
        <v>0</v>
      </c>
      <c r="L2796" s="33">
        <f t="array" ref="L2796">IF($O2796="방문완료",IF($H2796="",0,IFERROR(INDEX(설정_코스수당!$B$15:$F$64,MATCH($H2796,설정_코스수당!$A$15:$A$64,0),MATCH($E2796&amp;"수당",설정_코스수당!$B$14:$F$14,0)),0)),0)</f>
        <v>0</v>
      </c>
      <c r="M2796" s="33">
        <f>IF($O2796="방문완료",IFERROR(VLOOKUP($E2796,설정_코스수당!$A$6:$H$10,6,FALSE),0),0)</f>
        <v>0</v>
      </c>
      <c r="N2796" s="34">
        <f t="shared" si="81"/>
        <v>0</v>
      </c>
      <c r="O2796" s="29"/>
      <c r="P2796" s="29"/>
      <c r="Q2796" s="29"/>
      <c r="R2796" s="32"/>
      <c r="S2796" s="29"/>
      <c r="U2796" s="104" t="s">
        <v>62</v>
      </c>
      <c r="V2796" s="105">
        <f>IF(28&lt;=DAY(DATE(YEAR(설정_코스수당!$K$2),MONTH(설정_코스수당!$K$2)+1,0)),COUNTIFS($B:$B,DATE(YEAR(설정_코스수당!$K$2),MONTH(설정_코스수당!$K$2),28),$O:$O,"방문완료"),"")</f>
        <v>0</v>
      </c>
      <c r="W2796" s="104" t="s">
        <v>9</v>
      </c>
      <c r="X2796" s="105">
        <f>IF(28&lt;=DAY(DATE(YEAR(설정_코스수당!$K$2),MONTH(설정_코스수당!$K$2)+1,0)),COUNTIFS($B:$B,DATE(YEAR(설정_코스수당!$K$2),MONTH(설정_코스수당!$K$2),28),$E:$E,"B",$O:$O,"방문완료"),"")</f>
        <v>0</v>
      </c>
    </row>
    <row r="2797" spans="1:27" ht="19.5" hidden="1" customHeight="1" outlineLevel="1">
      <c r="A2797" s="23">
        <v>3</v>
      </c>
      <c r="B2797" s="24">
        <f>IF(28&lt;=DAY(DATE(YEAR(설정_코스수당!$K$2),MONTH(설정_코스수당!$K$2)+1,0)),DATE(YEAR(설정_코스수당!$K$2),MONTH(설정_코스수당!$K$2),28),"")</f>
        <v>46201</v>
      </c>
      <c r="C2797" s="25"/>
      <c r="D2797" s="23"/>
      <c r="E2797" s="23"/>
      <c r="F2797" s="26"/>
      <c r="G2797" s="23"/>
      <c r="H2797" s="23"/>
      <c r="I2797" s="23"/>
      <c r="J2797" s="27">
        <f>IF($O2797="방문완료",MAX(0,IFERROR(VLOOKUP($E2797,설정_코스수당!$A$6:$H$10,4,FALSE),0)-IF(OR($P2797="",$P2797="없음"),0,100000)),0)</f>
        <v>0</v>
      </c>
      <c r="K2797" s="27">
        <f t="array" ref="K2797">IF($O2797="방문완료",IFERROR(INDEX(설정_코스수당!$B$15:$F$64,MATCH($G2797,설정_코스수당!$A$15:$A$64,0),MATCH($E2797&amp;"수당",설정_코스수당!$B$14:$F$14,0)),0),0)</f>
        <v>0</v>
      </c>
      <c r="L2797" s="27">
        <f t="array" ref="L2797">IF($O2797="방문완료",IF($H2797="",0,IFERROR(INDEX(설정_코스수당!$B$15:$F$64,MATCH($H2797,설정_코스수당!$A$15:$A$64,0),MATCH($E2797&amp;"수당",설정_코스수당!$B$14:$F$14,0)),0)),0)</f>
        <v>0</v>
      </c>
      <c r="M2797" s="27">
        <f>IF($O2797="방문완료",IFERROR(VLOOKUP($E2797,설정_코스수당!$A$6:$H$10,6,FALSE),0),0)</f>
        <v>0</v>
      </c>
      <c r="N2797" s="28">
        <f t="shared" si="81"/>
        <v>0</v>
      </c>
      <c r="O2797" s="23"/>
      <c r="P2797" s="23"/>
      <c r="Q2797" s="23"/>
      <c r="R2797" s="26"/>
      <c r="S2797" s="23"/>
      <c r="U2797" s="104" t="s">
        <v>68</v>
      </c>
      <c r="V2797" s="105" t="str">
        <f>IF(28&lt;=DAY(DATE(YEAR(설정_코스수당!$K$2),MONTH(설정_코스수당!$K$2)+1,0)),COUNTIFS($B:$B,DATE(YEAR(설정_코스수당!$K$2),MONTH(설정_코스수당!$K$2),28),$O:$O,"노쇼")&amp;"/"&amp;COUNTIFS($B:$B,DATE(YEAR(설정_코스수당!$K$2),MONTH(설정_코스수당!$K$2),28),$O:$O,"취소"),"")</f>
        <v>0/0</v>
      </c>
      <c r="W2797" s="104" t="s">
        <v>12</v>
      </c>
      <c r="X2797" s="105">
        <f>IF(28&lt;=DAY(DATE(YEAR(설정_코스수당!$K$2),MONTH(설정_코스수당!$K$2)+1,0)),COUNTIFS($B:$B,DATE(YEAR(설정_코스수당!$K$2),MONTH(설정_코스수당!$K$2),28),$E:$E,"C",$O:$O,"방문완료"),"")</f>
        <v>0</v>
      </c>
    </row>
    <row r="2798" spans="1:27" ht="19.5" hidden="1" customHeight="1" outlineLevel="1">
      <c r="A2798" s="29">
        <v>4</v>
      </c>
      <c r="B2798" s="30">
        <f>IF(28&lt;=DAY(DATE(YEAR(설정_코스수당!$K$2),MONTH(설정_코스수당!$K$2)+1,0)),DATE(YEAR(설정_코스수당!$K$2),MONTH(설정_코스수당!$K$2),28),"")</f>
        <v>46201</v>
      </c>
      <c r="C2798" s="31"/>
      <c r="D2798" s="29"/>
      <c r="E2798" s="29"/>
      <c r="F2798" s="32"/>
      <c r="G2798" s="29"/>
      <c r="H2798" s="29"/>
      <c r="I2798" s="29"/>
      <c r="J2798" s="33">
        <f>IF($O2798="방문완료",MAX(0,IFERROR(VLOOKUP($E2798,설정_코스수당!$A$6:$H$10,4,FALSE),0)-IF(OR($P2798="",$P2798="없음"),0,100000)),0)</f>
        <v>0</v>
      </c>
      <c r="K2798" s="33">
        <f t="array" ref="K2798">IF($O2798="방문완료",IFERROR(INDEX(설정_코스수당!$B$15:$F$64,MATCH($G2798,설정_코스수당!$A$15:$A$64,0),MATCH($E2798&amp;"수당",설정_코스수당!$B$14:$F$14,0)),0),0)</f>
        <v>0</v>
      </c>
      <c r="L2798" s="33">
        <f t="array" ref="L2798">IF($O2798="방문완료",IF($H2798="",0,IFERROR(INDEX(설정_코스수당!$B$15:$F$64,MATCH($H2798,설정_코스수당!$A$15:$A$64,0),MATCH($E2798&amp;"수당",설정_코스수당!$B$14:$F$14,0)),0)),0)</f>
        <v>0</v>
      </c>
      <c r="M2798" s="33">
        <f>IF($O2798="방문완료",IFERROR(VLOOKUP($E2798,설정_코스수당!$A$6:$H$10,6,FALSE),0),0)</f>
        <v>0</v>
      </c>
      <c r="N2798" s="34">
        <f t="shared" si="81"/>
        <v>0</v>
      </c>
      <c r="O2798" s="29"/>
      <c r="P2798" s="29"/>
      <c r="Q2798" s="29"/>
      <c r="R2798" s="32"/>
      <c r="S2798" s="29"/>
      <c r="U2798" s="104" t="s">
        <v>69</v>
      </c>
      <c r="V2798" s="106">
        <f>IF(28&lt;=DAY(DATE(YEAR(설정_코스수당!$K$2),MONTH(설정_코스수당!$K$2)+1,0)),SUMIFS($J:$J,$B:$B,DATE(YEAR(설정_코스수당!$K$2),MONTH(설정_코스수당!$K$2),28),$O:$O,"방문완료"),"")</f>
        <v>0</v>
      </c>
      <c r="W2798" s="104" t="s">
        <v>15</v>
      </c>
      <c r="X2798" s="105">
        <f>IF(28&lt;=DAY(DATE(YEAR(설정_코스수당!$K$2),MONTH(설정_코스수당!$K$2)+1,0)),COUNTIFS($B:$B,DATE(YEAR(설정_코스수당!$K$2),MONTH(설정_코스수당!$K$2),28),$E:$E,"D",$O:$O,"방문완료"),"")</f>
        <v>0</v>
      </c>
    </row>
    <row r="2799" spans="1:27" ht="19.5" hidden="1" customHeight="1" outlineLevel="1">
      <c r="A2799" s="23">
        <v>5</v>
      </c>
      <c r="B2799" s="24">
        <f>IF(28&lt;=DAY(DATE(YEAR(설정_코스수당!$K$2),MONTH(설정_코스수당!$K$2)+1,0)),DATE(YEAR(설정_코스수당!$K$2),MONTH(설정_코스수당!$K$2),28),"")</f>
        <v>46201</v>
      </c>
      <c r="C2799" s="25"/>
      <c r="D2799" s="23"/>
      <c r="E2799" s="23"/>
      <c r="F2799" s="26"/>
      <c r="G2799" s="23"/>
      <c r="H2799" s="23"/>
      <c r="I2799" s="23"/>
      <c r="J2799" s="27">
        <f>IF($O2799="방문완료",MAX(0,IFERROR(VLOOKUP($E2799,설정_코스수당!$A$6:$H$10,4,FALSE),0)-IF(OR($P2799="",$P2799="없음"),0,100000)),0)</f>
        <v>0</v>
      </c>
      <c r="K2799" s="27">
        <f t="array" ref="K2799">IF($O2799="방문완료",IFERROR(INDEX(설정_코스수당!$B$15:$F$64,MATCH($G2799,설정_코스수당!$A$15:$A$64,0),MATCH($E2799&amp;"수당",설정_코스수당!$B$14:$F$14,0)),0),0)</f>
        <v>0</v>
      </c>
      <c r="L2799" s="27">
        <f t="array" ref="L2799">IF($O2799="방문완료",IF($H2799="",0,IFERROR(INDEX(설정_코스수당!$B$15:$F$64,MATCH($H2799,설정_코스수당!$A$15:$A$64,0),MATCH($E2799&amp;"수당",설정_코스수당!$B$14:$F$14,0)),0)),0)</f>
        <v>0</v>
      </c>
      <c r="M2799" s="27">
        <f>IF($O2799="방문완료",IFERROR(VLOOKUP($E2799,설정_코스수당!$A$6:$H$10,6,FALSE),0),0)</f>
        <v>0</v>
      </c>
      <c r="N2799" s="28">
        <f t="shared" si="81"/>
        <v>0</v>
      </c>
      <c r="O2799" s="23"/>
      <c r="P2799" s="23"/>
      <c r="Q2799" s="23"/>
      <c r="R2799" s="26"/>
      <c r="S2799" s="23"/>
      <c r="U2799" s="104" t="s">
        <v>70</v>
      </c>
      <c r="V2799" s="106">
        <f>IF(28&lt;=DAY(DATE(YEAR(설정_코스수당!$K$2),MONTH(설정_코스수당!$K$2)+1,0)),SUMIFS($K:$K,$B:$B,DATE(YEAR(설정_코스수당!$K$2),MONTH(설정_코스수당!$K$2),28),$O:$O,"방문완료")+SUMIFS($L:$L,$B:$B,DATE(YEAR(설정_코스수당!$K$2),MONTH(설정_코스수당!$K$2),28),$O:$O,"방문완료"),"")</f>
        <v>0</v>
      </c>
      <c r="W2799" s="104" t="s">
        <v>18</v>
      </c>
      <c r="X2799" s="105">
        <f>IF(28&lt;=DAY(DATE(YEAR(설정_코스수당!$K$2),MONTH(설정_코스수당!$K$2)+1,0)),COUNTIFS($B:$B,DATE(YEAR(설정_코스수당!$K$2),MONTH(설정_코스수당!$K$2),28),$E:$E,"E",$O:$O,"방문완료"),"")</f>
        <v>0</v>
      </c>
    </row>
    <row r="2800" spans="1:27" ht="19.5" hidden="1" customHeight="1" outlineLevel="1">
      <c r="A2800" s="29">
        <v>6</v>
      </c>
      <c r="B2800" s="30">
        <f>IF(28&lt;=DAY(DATE(YEAR(설정_코스수당!$K$2),MONTH(설정_코스수당!$K$2)+1,0)),DATE(YEAR(설정_코스수당!$K$2),MONTH(설정_코스수당!$K$2),28),"")</f>
        <v>46201</v>
      </c>
      <c r="C2800" s="31"/>
      <c r="D2800" s="29"/>
      <c r="E2800" s="29"/>
      <c r="F2800" s="32"/>
      <c r="G2800" s="29"/>
      <c r="H2800" s="29"/>
      <c r="I2800" s="29"/>
      <c r="J2800" s="33">
        <f>IF($O2800="방문완료",MAX(0,IFERROR(VLOOKUP($E2800,설정_코스수당!$A$6:$H$10,4,FALSE),0)-IF(OR($P2800="",$P2800="없음"),0,100000)),0)</f>
        <v>0</v>
      </c>
      <c r="K2800" s="33">
        <f t="array" ref="K2800">IF($O2800="방문완료",IFERROR(INDEX(설정_코스수당!$B$15:$F$64,MATCH($G2800,설정_코스수당!$A$15:$A$64,0),MATCH($E2800&amp;"수당",설정_코스수당!$B$14:$F$14,0)),0),0)</f>
        <v>0</v>
      </c>
      <c r="L2800" s="33">
        <f t="array" ref="L2800">IF($O2800="방문완료",IF($H2800="",0,IFERROR(INDEX(설정_코스수당!$B$15:$F$64,MATCH($H2800,설정_코스수당!$A$15:$A$64,0),MATCH($E2800&amp;"수당",설정_코스수당!$B$14:$F$14,0)),0)),0)</f>
        <v>0</v>
      </c>
      <c r="M2800" s="33">
        <f>IF($O2800="방문완료",IFERROR(VLOOKUP($E2800,설정_코스수당!$A$6:$H$10,6,FALSE),0),0)</f>
        <v>0</v>
      </c>
      <c r="N2800" s="34">
        <f t="shared" si="81"/>
        <v>0</v>
      </c>
      <c r="O2800" s="29"/>
      <c r="P2800" s="29"/>
      <c r="Q2800" s="29"/>
      <c r="R2800" s="32"/>
      <c r="S2800" s="29"/>
      <c r="U2800" s="104" t="s">
        <v>53</v>
      </c>
      <c r="V2800" s="106">
        <f>IF(28&lt;=DAY(DATE(YEAR(설정_코스수당!$K$2),MONTH(설정_코스수당!$K$2)+1,0)),SUMIFS($M:$M,$B:$B,DATE(YEAR(설정_코스수당!$K$2),MONTH(설정_코스수당!$K$2),28),$O:$O,"방문완료"),"")</f>
        <v>0</v>
      </c>
      <c r="W2800" s="104" t="s">
        <v>71</v>
      </c>
      <c r="X2800" s="107">
        <f>IF(28&lt;=DAY(DATE(YEAR(설정_코스수당!$K$2),MONTH(설정_코스수당!$K$2)+1,0)),COUNTIFS($B:$B,DATE(YEAR(설정_코스수당!$K$2),MONTH(설정_코스수당!$K$2),28),$O:$O,"방문완료",$P:$P,"&lt;&gt;",$P:$P,"&lt;&gt;없음"),"")</f>
        <v>0</v>
      </c>
    </row>
    <row r="2801" spans="1:24" ht="19.5" hidden="1" customHeight="1" outlineLevel="1">
      <c r="A2801" s="23">
        <v>7</v>
      </c>
      <c r="B2801" s="24">
        <f>IF(28&lt;=DAY(DATE(YEAR(설정_코스수당!$K$2),MONTH(설정_코스수당!$K$2)+1,0)),DATE(YEAR(설정_코스수당!$K$2),MONTH(설정_코스수당!$K$2),28),"")</f>
        <v>46201</v>
      </c>
      <c r="C2801" s="25"/>
      <c r="D2801" s="23"/>
      <c r="E2801" s="23"/>
      <c r="F2801" s="26"/>
      <c r="G2801" s="23"/>
      <c r="H2801" s="23"/>
      <c r="I2801" s="23"/>
      <c r="J2801" s="27">
        <f>IF($O2801="방문완료",MAX(0,IFERROR(VLOOKUP($E2801,설정_코스수당!$A$6:$H$10,4,FALSE),0)-IF(OR($P2801="",$P2801="없음"),0,100000)),0)</f>
        <v>0</v>
      </c>
      <c r="K2801" s="27">
        <f t="array" ref="K2801">IF($O2801="방문완료",IFERROR(INDEX(설정_코스수당!$B$15:$F$64,MATCH($G2801,설정_코스수당!$A$15:$A$64,0),MATCH($E2801&amp;"수당",설정_코스수당!$B$14:$F$14,0)),0),0)</f>
        <v>0</v>
      </c>
      <c r="L2801" s="27">
        <f t="array" ref="L2801">IF($O2801="방문완료",IF($H2801="",0,IFERROR(INDEX(설정_코스수당!$B$15:$F$64,MATCH($H2801,설정_코스수당!$A$15:$A$64,0),MATCH($E2801&amp;"수당",설정_코스수당!$B$14:$F$14,0)),0)),0)</f>
        <v>0</v>
      </c>
      <c r="M2801" s="27">
        <f>IF($O2801="방문완료",IFERROR(VLOOKUP($E2801,설정_코스수당!$A$6:$H$10,6,FALSE),0),0)</f>
        <v>0</v>
      </c>
      <c r="N2801" s="28">
        <f t="shared" si="81"/>
        <v>0</v>
      </c>
      <c r="O2801" s="23"/>
      <c r="P2801" s="23"/>
      <c r="Q2801" s="23"/>
      <c r="R2801" s="26"/>
      <c r="S2801" s="23"/>
      <c r="U2801" s="104" t="s">
        <v>72</v>
      </c>
      <c r="V2801" s="108">
        <f>IF(28&lt;=DAY(DATE(YEAR(설정_코스수당!$K$2),MONTH(설정_코스수당!$K$2)+1,0)),COUNTIFS($B:$B,DATE(YEAR(설정_코스수당!$K$2),MONTH(설정_코스수당!$K$2),28),$O:$O,"방문완료",$P:$P,"&lt;&gt;",$P:$P,"&lt;&gt;없음")*100000,"")</f>
        <v>0</v>
      </c>
      <c r="W2801" s="104" t="s">
        <v>73</v>
      </c>
      <c r="X2801" s="105">
        <f>IF(28&lt;=DAY(DATE(YEAR(설정_코스수당!$K$2),MONTH(설정_코스수당!$K$2)+1,0)),COUNTIFS($B:$B,DATE(YEAR(설정_코스수당!$K$2),MONTH(설정_코스수당!$K$2),28),$G:$G,"&lt;&gt;",$O:$O,"방문완료")+COUNTIFS($B:$B,DATE(YEAR(설정_코스수당!$K$2),MONTH(설정_코스수당!$K$2),28),$H:$H,"&lt;&gt;",$O:$O,"방문완료"),"")</f>
        <v>0</v>
      </c>
    </row>
    <row r="2802" spans="1:24" ht="19.5" hidden="1" customHeight="1" outlineLevel="1">
      <c r="A2802" s="29">
        <v>8</v>
      </c>
      <c r="B2802" s="30">
        <f>IF(28&lt;=DAY(DATE(YEAR(설정_코스수당!$K$2),MONTH(설정_코스수당!$K$2)+1,0)),DATE(YEAR(설정_코스수당!$K$2),MONTH(설정_코스수당!$K$2),28),"")</f>
        <v>46201</v>
      </c>
      <c r="C2802" s="31"/>
      <c r="D2802" s="29"/>
      <c r="E2802" s="29"/>
      <c r="F2802" s="32"/>
      <c r="G2802" s="29"/>
      <c r="H2802" s="29"/>
      <c r="I2802" s="29"/>
      <c r="J2802" s="33">
        <f>IF($O2802="방문완료",MAX(0,IFERROR(VLOOKUP($E2802,설정_코스수당!$A$6:$H$10,4,FALSE),0)-IF(OR($P2802="",$P2802="없음"),0,100000)),0)</f>
        <v>0</v>
      </c>
      <c r="K2802" s="33">
        <f t="array" ref="K2802">IF($O2802="방문완료",IFERROR(INDEX(설정_코스수당!$B$15:$F$64,MATCH($G2802,설정_코스수당!$A$15:$A$64,0),MATCH($E2802&amp;"수당",설정_코스수당!$B$14:$F$14,0)),0),0)</f>
        <v>0</v>
      </c>
      <c r="L2802" s="33">
        <f t="array" ref="L2802">IF($O2802="방문완료",IF($H2802="",0,IFERROR(INDEX(설정_코스수당!$B$15:$F$64,MATCH($H2802,설정_코스수당!$A$15:$A$64,0),MATCH($E2802&amp;"수당",설정_코스수당!$B$14:$F$14,0)),0)),0)</f>
        <v>0</v>
      </c>
      <c r="M2802" s="33">
        <f>IF($O2802="방문완료",IFERROR(VLOOKUP($E2802,설정_코스수당!$A$6:$H$10,6,FALSE),0),0)</f>
        <v>0</v>
      </c>
      <c r="N2802" s="34">
        <f t="shared" si="81"/>
        <v>0</v>
      </c>
      <c r="O2802" s="29"/>
      <c r="P2802" s="29"/>
      <c r="Q2802" s="29"/>
      <c r="R2802" s="32"/>
      <c r="S2802" s="29"/>
      <c r="U2802" s="104" t="s">
        <v>74</v>
      </c>
      <c r="V2802" s="108">
        <f>IF(28&lt;=DAY(DATE(YEAR(설정_코스수당!$K$2),MONTH(설정_코스수당!$K$2)+1,0)),SUM($U$2806:$U$2813),"")</f>
        <v>0</v>
      </c>
      <c r="W2802" s="122" t="str">
        <f>IF(28&lt;=DAY(DATE(YEAR(설정_코스수당!$K$2),MONTH(설정_코스수당!$K$2)+1,0)),"계 : "&amp;TEXT(V2798-V2802,"#,##0")&amp;" 동","")</f>
        <v>계 : 0 동</v>
      </c>
      <c r="X2802" s="122"/>
    </row>
    <row r="2803" spans="1:24" ht="19.5" hidden="1" customHeight="1" outlineLevel="1">
      <c r="A2803" s="23">
        <v>9</v>
      </c>
      <c r="B2803" s="24">
        <f>IF(28&lt;=DAY(DATE(YEAR(설정_코스수당!$K$2),MONTH(설정_코스수당!$K$2)+1,0)),DATE(YEAR(설정_코스수당!$K$2),MONTH(설정_코스수당!$K$2),28),"")</f>
        <v>46201</v>
      </c>
      <c r="C2803" s="25"/>
      <c r="D2803" s="23"/>
      <c r="E2803" s="23"/>
      <c r="F2803" s="26"/>
      <c r="G2803" s="23"/>
      <c r="H2803" s="23"/>
      <c r="I2803" s="23"/>
      <c r="J2803" s="27">
        <f>IF($O2803="방문완료",MAX(0,IFERROR(VLOOKUP($E2803,설정_코스수당!$A$6:$H$10,4,FALSE),0)-IF(OR($P2803="",$P2803="없음"),0,100000)),0)</f>
        <v>0</v>
      </c>
      <c r="K2803" s="27">
        <f t="array" ref="K2803">IF($O2803="방문완료",IFERROR(INDEX(설정_코스수당!$B$15:$F$64,MATCH($G2803,설정_코스수당!$A$15:$A$64,0),MATCH($E2803&amp;"수당",설정_코스수당!$B$14:$F$14,0)),0),0)</f>
        <v>0</v>
      </c>
      <c r="L2803" s="27">
        <f t="array" ref="L2803">IF($O2803="방문완료",IF($H2803="",0,IFERROR(INDEX(설정_코스수당!$B$15:$F$64,MATCH($H2803,설정_코스수당!$A$15:$A$64,0),MATCH($E2803&amp;"수당",설정_코스수당!$B$14:$F$14,0)),0)),0)</f>
        <v>0</v>
      </c>
      <c r="M2803" s="27">
        <f>IF($O2803="방문완료",IFERROR(VLOOKUP($E2803,설정_코스수당!$A$6:$H$10,6,FALSE),0),0)</f>
        <v>0</v>
      </c>
      <c r="N2803" s="28">
        <f t="shared" si="81"/>
        <v>0</v>
      </c>
      <c r="O2803" s="23"/>
      <c r="P2803" s="23"/>
      <c r="Q2803" s="23"/>
      <c r="R2803" s="26"/>
      <c r="S2803" s="23"/>
    </row>
    <row r="2804" spans="1:24" ht="19.5" hidden="1" customHeight="1" outlineLevel="1">
      <c r="A2804" s="29">
        <v>10</v>
      </c>
      <c r="B2804" s="30">
        <f>IF(28&lt;=DAY(DATE(YEAR(설정_코스수당!$K$2),MONTH(설정_코스수당!$K$2)+1,0)),DATE(YEAR(설정_코스수당!$K$2),MONTH(설정_코스수당!$K$2),28),"")</f>
        <v>46201</v>
      </c>
      <c r="C2804" s="31"/>
      <c r="D2804" s="29"/>
      <c r="E2804" s="29"/>
      <c r="F2804" s="32"/>
      <c r="G2804" s="29"/>
      <c r="H2804" s="29"/>
      <c r="I2804" s="29"/>
      <c r="J2804" s="33">
        <f>IF($O2804="방문완료",MAX(0,IFERROR(VLOOKUP($E2804,설정_코스수당!$A$6:$H$10,4,FALSE),0)-IF(OR($P2804="",$P2804="없음"),0,100000)),0)</f>
        <v>0</v>
      </c>
      <c r="K2804" s="33">
        <f t="array" ref="K2804">IF($O2804="방문완료",IFERROR(INDEX(설정_코스수당!$B$15:$F$64,MATCH($G2804,설정_코스수당!$A$15:$A$64,0),MATCH($E2804&amp;"수당",설정_코스수당!$B$14:$F$14,0)),0),0)</f>
        <v>0</v>
      </c>
      <c r="L2804" s="33">
        <f t="array" ref="L2804">IF($O2804="방문완료",IF($H2804="",0,IFERROR(INDEX(설정_코스수당!$B$15:$F$64,MATCH($H2804,설정_코스수당!$A$15:$A$64,0),MATCH($E2804&amp;"수당",설정_코스수당!$B$14:$F$14,0)),0)),0)</f>
        <v>0</v>
      </c>
      <c r="M2804" s="33">
        <f>IF($O2804="방문완료",IFERROR(VLOOKUP($E2804,설정_코스수당!$A$6:$H$10,6,FALSE),0),0)</f>
        <v>0</v>
      </c>
      <c r="N2804" s="34">
        <f t="shared" si="81"/>
        <v>0</v>
      </c>
      <c r="O2804" s="29"/>
      <c r="P2804" s="29"/>
      <c r="Q2804" s="29"/>
      <c r="R2804" s="32"/>
      <c r="S2804" s="29"/>
      <c r="U2804" s="120" t="s">
        <v>75</v>
      </c>
      <c r="V2804" s="121"/>
      <c r="W2804" s="121"/>
      <c r="X2804" s="121"/>
    </row>
    <row r="2805" spans="1:24" ht="19.5" hidden="1" customHeight="1" outlineLevel="1">
      <c r="A2805" s="23">
        <v>11</v>
      </c>
      <c r="B2805" s="24">
        <f>IF(28&lt;=DAY(DATE(YEAR(설정_코스수당!$K$2),MONTH(설정_코스수당!$K$2)+1,0)),DATE(YEAR(설정_코스수당!$K$2),MONTH(설정_코스수당!$K$2),28),"")</f>
        <v>46201</v>
      </c>
      <c r="C2805" s="25"/>
      <c r="D2805" s="23"/>
      <c r="E2805" s="23"/>
      <c r="F2805" s="26"/>
      <c r="G2805" s="23"/>
      <c r="H2805" s="23"/>
      <c r="I2805" s="23"/>
      <c r="J2805" s="27">
        <f>IF($O2805="방문완료",MAX(0,IFERROR(VLOOKUP($E2805,설정_코스수당!$A$6:$H$10,4,FALSE),0)-IF(OR($P2805="",$P2805="없음"),0,100000)),0)</f>
        <v>0</v>
      </c>
      <c r="K2805" s="27">
        <f t="array" ref="K2805">IF($O2805="방문완료",IFERROR(INDEX(설정_코스수당!$B$15:$F$64,MATCH($G2805,설정_코스수당!$A$15:$A$64,0),MATCH($E2805&amp;"수당",설정_코스수당!$B$14:$F$14,0)),0),0)</f>
        <v>0</v>
      </c>
      <c r="L2805" s="27">
        <f t="array" ref="L2805">IF($O2805="방문완료",IF($H2805="",0,IFERROR(INDEX(설정_코스수당!$B$15:$F$64,MATCH($H2805,설정_코스수당!$A$15:$A$64,0),MATCH($E2805&amp;"수당",설정_코스수당!$B$14:$F$14,0)),0)),0)</f>
        <v>0</v>
      </c>
      <c r="M2805" s="27">
        <f>IF($O2805="방문완료",IFERROR(VLOOKUP($E2805,설정_코스수당!$A$6:$H$10,6,FALSE),0),0)</f>
        <v>0</v>
      </c>
      <c r="N2805" s="28">
        <f t="shared" si="81"/>
        <v>0</v>
      </c>
      <c r="O2805" s="23"/>
      <c r="P2805" s="23"/>
      <c r="Q2805" s="23"/>
      <c r="R2805" s="26"/>
      <c r="S2805" s="23"/>
      <c r="U2805" s="109" t="s">
        <v>76</v>
      </c>
      <c r="V2805" s="109" t="s">
        <v>77</v>
      </c>
      <c r="W2805" s="109" t="s">
        <v>78</v>
      </c>
      <c r="X2805" s="109" t="s">
        <v>58</v>
      </c>
    </row>
    <row r="2806" spans="1:24" ht="19.5" hidden="1" customHeight="1" outlineLevel="1">
      <c r="A2806" s="29">
        <v>12</v>
      </c>
      <c r="B2806" s="30">
        <f>IF(28&lt;=DAY(DATE(YEAR(설정_코스수당!$K$2),MONTH(설정_코스수당!$K$2)+1,0)),DATE(YEAR(설정_코스수당!$K$2),MONTH(설정_코스수당!$K$2),28),"")</f>
        <v>46201</v>
      </c>
      <c r="C2806" s="31"/>
      <c r="D2806" s="29"/>
      <c r="E2806" s="29"/>
      <c r="F2806" s="32"/>
      <c r="G2806" s="29"/>
      <c r="H2806" s="29"/>
      <c r="I2806" s="29"/>
      <c r="J2806" s="33">
        <f>IF($O2806="방문완료",MAX(0,IFERROR(VLOOKUP($E2806,설정_코스수당!$A$6:$H$10,4,FALSE),0)-IF(OR($P2806="",$P2806="없음"),0,100000)),0)</f>
        <v>0</v>
      </c>
      <c r="K2806" s="33">
        <f t="array" ref="K2806">IF($O2806="방문완료",IFERROR(INDEX(설정_코스수당!$B$15:$F$64,MATCH($G2806,설정_코스수당!$A$15:$A$64,0),MATCH($E2806&amp;"수당",설정_코스수당!$B$14:$F$14,0)),0),0)</f>
        <v>0</v>
      </c>
      <c r="L2806" s="33">
        <f t="array" ref="L2806">IF($O2806="방문완료",IF($H2806="",0,IFERROR(INDEX(설정_코스수당!$B$15:$F$64,MATCH($H2806,설정_코스수당!$A$15:$A$64,0),MATCH($E2806&amp;"수당",설정_코스수당!$B$14:$F$14,0)),0)),0)</f>
        <v>0</v>
      </c>
      <c r="M2806" s="33">
        <f>IF($O2806="방문완료",IFERROR(VLOOKUP($E2806,설정_코스수당!$A$6:$H$10,6,FALSE),0),0)</f>
        <v>0</v>
      </c>
      <c r="N2806" s="34">
        <f t="shared" si="81"/>
        <v>0</v>
      </c>
      <c r="O2806" s="29"/>
      <c r="P2806" s="29"/>
      <c r="Q2806" s="29"/>
      <c r="R2806" s="32"/>
      <c r="S2806" s="29"/>
      <c r="U2806" s="113"/>
      <c r="V2806" s="111"/>
      <c r="W2806" s="112"/>
      <c r="X2806" s="111"/>
    </row>
    <row r="2807" spans="1:24" ht="19.5" hidden="1" customHeight="1" outlineLevel="1">
      <c r="A2807" s="23">
        <v>13</v>
      </c>
      <c r="B2807" s="24">
        <f>IF(28&lt;=DAY(DATE(YEAR(설정_코스수당!$K$2),MONTH(설정_코스수당!$K$2)+1,0)),DATE(YEAR(설정_코스수당!$K$2),MONTH(설정_코스수당!$K$2),28),"")</f>
        <v>46201</v>
      </c>
      <c r="C2807" s="25"/>
      <c r="D2807" s="23"/>
      <c r="E2807" s="23"/>
      <c r="F2807" s="26"/>
      <c r="G2807" s="23"/>
      <c r="H2807" s="23"/>
      <c r="I2807" s="23"/>
      <c r="J2807" s="27">
        <f>IF($O2807="방문완료",MAX(0,IFERROR(VLOOKUP($E2807,설정_코스수당!$A$6:$H$10,4,FALSE),0)-IF(OR($P2807="",$P2807="없음"),0,100000)),0)</f>
        <v>0</v>
      </c>
      <c r="K2807" s="27">
        <f t="array" ref="K2807">IF($O2807="방문완료",IFERROR(INDEX(설정_코스수당!$B$15:$F$64,MATCH($G2807,설정_코스수당!$A$15:$A$64,0),MATCH($E2807&amp;"수당",설정_코스수당!$B$14:$F$14,0)),0),0)</f>
        <v>0</v>
      </c>
      <c r="L2807" s="27">
        <f t="array" ref="L2807">IF($O2807="방문완료",IF($H2807="",0,IFERROR(INDEX(설정_코스수당!$B$15:$F$64,MATCH($H2807,설정_코스수당!$A$15:$A$64,0),MATCH($E2807&amp;"수당",설정_코스수당!$B$14:$F$14,0)),0)),0)</f>
        <v>0</v>
      </c>
      <c r="M2807" s="27">
        <f>IF($O2807="방문완료",IFERROR(VLOOKUP($E2807,설정_코스수당!$A$6:$H$10,6,FALSE),0),0)</f>
        <v>0</v>
      </c>
      <c r="N2807" s="28">
        <f t="shared" si="81"/>
        <v>0</v>
      </c>
      <c r="O2807" s="23"/>
      <c r="P2807" s="23"/>
      <c r="Q2807" s="23"/>
      <c r="R2807" s="26"/>
      <c r="S2807" s="23"/>
      <c r="U2807" s="113"/>
      <c r="V2807" s="111"/>
      <c r="W2807" s="112"/>
      <c r="X2807" s="111"/>
    </row>
    <row r="2808" spans="1:24" ht="19.5" hidden="1" customHeight="1" outlineLevel="1">
      <c r="A2808" s="29">
        <v>14</v>
      </c>
      <c r="B2808" s="30">
        <f>IF(28&lt;=DAY(DATE(YEAR(설정_코스수당!$K$2),MONTH(설정_코스수당!$K$2)+1,0)),DATE(YEAR(설정_코스수당!$K$2),MONTH(설정_코스수당!$K$2),28),"")</f>
        <v>46201</v>
      </c>
      <c r="C2808" s="31"/>
      <c r="D2808" s="29"/>
      <c r="E2808" s="29"/>
      <c r="F2808" s="32"/>
      <c r="G2808" s="29"/>
      <c r="H2808" s="29"/>
      <c r="I2808" s="29"/>
      <c r="J2808" s="33">
        <f>IF($O2808="방문완료",MAX(0,IFERROR(VLOOKUP($E2808,설정_코스수당!$A$6:$H$10,4,FALSE),0)-IF(OR($P2808="",$P2808="없음"),0,100000)),0)</f>
        <v>0</v>
      </c>
      <c r="K2808" s="33">
        <f t="array" ref="K2808">IF($O2808="방문완료",IFERROR(INDEX(설정_코스수당!$B$15:$F$64,MATCH($G2808,설정_코스수당!$A$15:$A$64,0),MATCH($E2808&amp;"수당",설정_코스수당!$B$14:$F$14,0)),0),0)</f>
        <v>0</v>
      </c>
      <c r="L2808" s="33">
        <f t="array" ref="L2808">IF($O2808="방문완료",IF($H2808="",0,IFERROR(INDEX(설정_코스수당!$B$15:$F$64,MATCH($H2808,설정_코스수당!$A$15:$A$64,0),MATCH($E2808&amp;"수당",설정_코스수당!$B$14:$F$14,0)),0)),0)</f>
        <v>0</v>
      </c>
      <c r="M2808" s="33">
        <f>IF($O2808="방문완료",IFERROR(VLOOKUP($E2808,설정_코스수당!$A$6:$H$10,6,FALSE),0),0)</f>
        <v>0</v>
      </c>
      <c r="N2808" s="34">
        <f t="shared" si="81"/>
        <v>0</v>
      </c>
      <c r="O2808" s="29"/>
      <c r="P2808" s="29"/>
      <c r="Q2808" s="29"/>
      <c r="R2808" s="32"/>
      <c r="S2808" s="29"/>
      <c r="U2808" s="113"/>
      <c r="V2808" s="111"/>
      <c r="W2808" s="112"/>
      <c r="X2808" s="111"/>
    </row>
    <row r="2809" spans="1:24" ht="19.5" hidden="1" customHeight="1" outlineLevel="1">
      <c r="A2809" s="23">
        <v>15</v>
      </c>
      <c r="B2809" s="24">
        <f>IF(28&lt;=DAY(DATE(YEAR(설정_코스수당!$K$2),MONTH(설정_코스수당!$K$2)+1,0)),DATE(YEAR(설정_코스수당!$K$2),MONTH(설정_코스수당!$K$2),28),"")</f>
        <v>46201</v>
      </c>
      <c r="C2809" s="25"/>
      <c r="D2809" s="23"/>
      <c r="E2809" s="23"/>
      <c r="F2809" s="26"/>
      <c r="G2809" s="23"/>
      <c r="H2809" s="23"/>
      <c r="I2809" s="23"/>
      <c r="J2809" s="27">
        <f>IF($O2809="방문완료",MAX(0,IFERROR(VLOOKUP($E2809,설정_코스수당!$A$6:$H$10,4,FALSE),0)-IF(OR($P2809="",$P2809="없음"),0,100000)),0)</f>
        <v>0</v>
      </c>
      <c r="K2809" s="27">
        <f t="array" ref="K2809">IF($O2809="방문완료",IFERROR(INDEX(설정_코스수당!$B$15:$F$64,MATCH($G2809,설정_코스수당!$A$15:$A$64,0),MATCH($E2809&amp;"수당",설정_코스수당!$B$14:$F$14,0)),0),0)</f>
        <v>0</v>
      </c>
      <c r="L2809" s="27">
        <f t="array" ref="L2809">IF($O2809="방문완료",IF($H2809="",0,IFERROR(INDEX(설정_코스수당!$B$15:$F$64,MATCH($H2809,설정_코스수당!$A$15:$A$64,0),MATCH($E2809&amp;"수당",설정_코스수당!$B$14:$F$14,0)),0)),0)</f>
        <v>0</v>
      </c>
      <c r="M2809" s="27">
        <f>IF($O2809="방문완료",IFERROR(VLOOKUP($E2809,설정_코스수당!$A$6:$H$10,6,FALSE),0),0)</f>
        <v>0</v>
      </c>
      <c r="N2809" s="28">
        <f t="shared" si="81"/>
        <v>0</v>
      </c>
      <c r="O2809" s="23"/>
      <c r="P2809" s="23"/>
      <c r="Q2809" s="23"/>
      <c r="R2809" s="26"/>
      <c r="S2809" s="23"/>
      <c r="U2809" s="113"/>
      <c r="V2809" s="111"/>
      <c r="W2809" s="112"/>
      <c r="X2809" s="111"/>
    </row>
    <row r="2810" spans="1:24" ht="19.5" hidden="1" customHeight="1" outlineLevel="1">
      <c r="A2810" s="29">
        <v>16</v>
      </c>
      <c r="B2810" s="30">
        <f>IF(28&lt;=DAY(DATE(YEAR(설정_코스수당!$K$2),MONTH(설정_코스수당!$K$2)+1,0)),DATE(YEAR(설정_코스수당!$K$2),MONTH(설정_코스수당!$K$2),28),"")</f>
        <v>46201</v>
      </c>
      <c r="C2810" s="31"/>
      <c r="D2810" s="29"/>
      <c r="E2810" s="29"/>
      <c r="F2810" s="32"/>
      <c r="G2810" s="29"/>
      <c r="H2810" s="29"/>
      <c r="I2810" s="29"/>
      <c r="J2810" s="33">
        <f>IF($O2810="방문완료",MAX(0,IFERROR(VLOOKUP($E2810,설정_코스수당!$A$6:$H$10,4,FALSE),0)-IF(OR($P2810="",$P2810="없음"),0,100000)),0)</f>
        <v>0</v>
      </c>
      <c r="K2810" s="33">
        <f t="array" ref="K2810">IF($O2810="방문완료",IFERROR(INDEX(설정_코스수당!$B$15:$F$64,MATCH($G2810,설정_코스수당!$A$15:$A$64,0),MATCH($E2810&amp;"수당",설정_코스수당!$B$14:$F$14,0)),0),0)</f>
        <v>0</v>
      </c>
      <c r="L2810" s="33">
        <f t="array" ref="L2810">IF($O2810="방문완료",IF($H2810="",0,IFERROR(INDEX(설정_코스수당!$B$15:$F$64,MATCH($H2810,설정_코스수당!$A$15:$A$64,0),MATCH($E2810&amp;"수당",설정_코스수당!$B$14:$F$14,0)),0)),0)</f>
        <v>0</v>
      </c>
      <c r="M2810" s="33">
        <f>IF($O2810="방문완료",IFERROR(VLOOKUP($E2810,설정_코스수당!$A$6:$H$10,6,FALSE),0),0)</f>
        <v>0</v>
      </c>
      <c r="N2810" s="34">
        <f t="shared" si="81"/>
        <v>0</v>
      </c>
      <c r="O2810" s="29"/>
      <c r="P2810" s="29"/>
      <c r="Q2810" s="29"/>
      <c r="R2810" s="32"/>
      <c r="S2810" s="29"/>
      <c r="U2810" s="113"/>
      <c r="V2810" s="111"/>
      <c r="W2810" s="112"/>
      <c r="X2810" s="111"/>
    </row>
    <row r="2811" spans="1:24" ht="19.5" hidden="1" customHeight="1" outlineLevel="1">
      <c r="A2811" s="23">
        <v>17</v>
      </c>
      <c r="B2811" s="24">
        <f>IF(28&lt;=DAY(DATE(YEAR(설정_코스수당!$K$2),MONTH(설정_코스수당!$K$2)+1,0)),DATE(YEAR(설정_코스수당!$K$2),MONTH(설정_코스수당!$K$2),28),"")</f>
        <v>46201</v>
      </c>
      <c r="C2811" s="25"/>
      <c r="D2811" s="23"/>
      <c r="E2811" s="23"/>
      <c r="F2811" s="26"/>
      <c r="G2811" s="23"/>
      <c r="H2811" s="23"/>
      <c r="I2811" s="23"/>
      <c r="J2811" s="27">
        <f>IF($O2811="방문완료",MAX(0,IFERROR(VLOOKUP($E2811,설정_코스수당!$A$6:$H$10,4,FALSE),0)-IF(OR($P2811="",$P2811="없음"),0,100000)),0)</f>
        <v>0</v>
      </c>
      <c r="K2811" s="27">
        <f t="array" ref="K2811">IF($O2811="방문완료",IFERROR(INDEX(설정_코스수당!$B$15:$F$64,MATCH($G2811,설정_코스수당!$A$15:$A$64,0),MATCH($E2811&amp;"수당",설정_코스수당!$B$14:$F$14,0)),0),0)</f>
        <v>0</v>
      </c>
      <c r="L2811" s="27">
        <f t="array" ref="L2811">IF($O2811="방문완료",IF($H2811="",0,IFERROR(INDEX(설정_코스수당!$B$15:$F$64,MATCH($H2811,설정_코스수당!$A$15:$A$64,0),MATCH($E2811&amp;"수당",설정_코스수당!$B$14:$F$14,0)),0)),0)</f>
        <v>0</v>
      </c>
      <c r="M2811" s="27">
        <f>IF($O2811="방문완료",IFERROR(VLOOKUP($E2811,설정_코스수당!$A$6:$H$10,6,FALSE),0),0)</f>
        <v>0</v>
      </c>
      <c r="N2811" s="28">
        <f t="shared" si="81"/>
        <v>0</v>
      </c>
      <c r="O2811" s="23"/>
      <c r="P2811" s="23"/>
      <c r="Q2811" s="23"/>
      <c r="R2811" s="26"/>
      <c r="S2811" s="23"/>
      <c r="U2811" s="113"/>
      <c r="V2811" s="111"/>
      <c r="W2811" s="112"/>
      <c r="X2811" s="111"/>
    </row>
    <row r="2812" spans="1:24" ht="19.5" hidden="1" customHeight="1" outlineLevel="1">
      <c r="A2812" s="29">
        <v>18</v>
      </c>
      <c r="B2812" s="30">
        <f>IF(28&lt;=DAY(DATE(YEAR(설정_코스수당!$K$2),MONTH(설정_코스수당!$K$2)+1,0)),DATE(YEAR(설정_코스수당!$K$2),MONTH(설정_코스수당!$K$2),28),"")</f>
        <v>46201</v>
      </c>
      <c r="C2812" s="31"/>
      <c r="D2812" s="29"/>
      <c r="E2812" s="29"/>
      <c r="F2812" s="32"/>
      <c r="G2812" s="29"/>
      <c r="H2812" s="29"/>
      <c r="I2812" s="29"/>
      <c r="J2812" s="33">
        <f>IF($O2812="방문완료",MAX(0,IFERROR(VLOOKUP($E2812,설정_코스수당!$A$6:$H$10,4,FALSE),0)-IF(OR($P2812="",$P2812="없음"),0,100000)),0)</f>
        <v>0</v>
      </c>
      <c r="K2812" s="33">
        <f t="array" ref="K2812">IF($O2812="방문완료",IFERROR(INDEX(설정_코스수당!$B$15:$F$64,MATCH($G2812,설정_코스수당!$A$15:$A$64,0),MATCH($E2812&amp;"수당",설정_코스수당!$B$14:$F$14,0)),0),0)</f>
        <v>0</v>
      </c>
      <c r="L2812" s="33">
        <f t="array" ref="L2812">IF($O2812="방문완료",IF($H2812="",0,IFERROR(INDEX(설정_코스수당!$B$15:$F$64,MATCH($H2812,설정_코스수당!$A$15:$A$64,0),MATCH($E2812&amp;"수당",설정_코스수당!$B$14:$F$14,0)),0)),0)</f>
        <v>0</v>
      </c>
      <c r="M2812" s="33">
        <f>IF($O2812="방문완료",IFERROR(VLOOKUP($E2812,설정_코스수당!$A$6:$H$10,6,FALSE),0),0)</f>
        <v>0</v>
      </c>
      <c r="N2812" s="34">
        <f t="shared" si="81"/>
        <v>0</v>
      </c>
      <c r="O2812" s="29"/>
      <c r="P2812" s="29"/>
      <c r="Q2812" s="29"/>
      <c r="R2812" s="32"/>
      <c r="S2812" s="29"/>
      <c r="U2812" s="113"/>
      <c r="V2812" s="111"/>
      <c r="W2812" s="112"/>
      <c r="X2812" s="111"/>
    </row>
    <row r="2813" spans="1:24" ht="19.5" hidden="1" customHeight="1" outlineLevel="1">
      <c r="A2813" s="23">
        <v>19</v>
      </c>
      <c r="B2813" s="24">
        <f>IF(28&lt;=DAY(DATE(YEAR(설정_코스수당!$K$2),MONTH(설정_코스수당!$K$2)+1,0)),DATE(YEAR(설정_코스수당!$K$2),MONTH(설정_코스수당!$K$2),28),"")</f>
        <v>46201</v>
      </c>
      <c r="C2813" s="25"/>
      <c r="D2813" s="23"/>
      <c r="E2813" s="23"/>
      <c r="F2813" s="26"/>
      <c r="G2813" s="23"/>
      <c r="H2813" s="23"/>
      <c r="I2813" s="23"/>
      <c r="J2813" s="27">
        <f>IF($O2813="방문완료",MAX(0,IFERROR(VLOOKUP($E2813,설정_코스수당!$A$6:$H$10,4,FALSE),0)-IF(OR($P2813="",$P2813="없음"),0,100000)),0)</f>
        <v>0</v>
      </c>
      <c r="K2813" s="27">
        <f t="array" ref="K2813">IF($O2813="방문완료",IFERROR(INDEX(설정_코스수당!$B$15:$F$64,MATCH($G2813,설정_코스수당!$A$15:$A$64,0),MATCH($E2813&amp;"수당",설정_코스수당!$B$14:$F$14,0)),0),0)</f>
        <v>0</v>
      </c>
      <c r="L2813" s="27">
        <f t="array" ref="L2813">IF($O2813="방문완료",IF($H2813="",0,IFERROR(INDEX(설정_코스수당!$B$15:$F$64,MATCH($H2813,설정_코스수당!$A$15:$A$64,0),MATCH($E2813&amp;"수당",설정_코스수당!$B$14:$F$14,0)),0)),0)</f>
        <v>0</v>
      </c>
      <c r="M2813" s="27">
        <f>IF($O2813="방문완료",IFERROR(VLOOKUP($E2813,설정_코스수당!$A$6:$H$10,6,FALSE),0),0)</f>
        <v>0</v>
      </c>
      <c r="N2813" s="28">
        <f t="shared" si="81"/>
        <v>0</v>
      </c>
      <c r="O2813" s="23"/>
      <c r="P2813" s="23"/>
      <c r="Q2813" s="23"/>
      <c r="R2813" s="26"/>
      <c r="S2813" s="23"/>
      <c r="U2813" s="113"/>
      <c r="V2813" s="111"/>
      <c r="W2813" s="112"/>
      <c r="X2813" s="111"/>
    </row>
    <row r="2814" spans="1:24" ht="19.5" hidden="1" customHeight="1" outlineLevel="1">
      <c r="A2814" s="29">
        <v>20</v>
      </c>
      <c r="B2814" s="30">
        <f>IF(28&lt;=DAY(DATE(YEAR(설정_코스수당!$K$2),MONTH(설정_코스수당!$K$2)+1,0)),DATE(YEAR(설정_코스수당!$K$2),MONTH(설정_코스수당!$K$2),28),"")</f>
        <v>46201</v>
      </c>
      <c r="C2814" s="31"/>
      <c r="D2814" s="29"/>
      <c r="E2814" s="29"/>
      <c r="F2814" s="32"/>
      <c r="G2814" s="29"/>
      <c r="H2814" s="29"/>
      <c r="I2814" s="29"/>
      <c r="J2814" s="33">
        <f>IF($O2814="방문완료",MAX(0,IFERROR(VLOOKUP($E2814,설정_코스수당!$A$6:$H$10,4,FALSE),0)-IF(OR($P2814="",$P2814="없음"),0,100000)),0)</f>
        <v>0</v>
      </c>
      <c r="K2814" s="33">
        <f t="array" ref="K2814">IF($O2814="방문완료",IFERROR(INDEX(설정_코스수당!$B$15:$F$64,MATCH($G2814,설정_코스수당!$A$15:$A$64,0),MATCH($E2814&amp;"수당",설정_코스수당!$B$14:$F$14,0)),0),0)</f>
        <v>0</v>
      </c>
      <c r="L2814" s="33">
        <f t="array" ref="L2814">IF($O2814="방문완료",IF($H2814="",0,IFERROR(INDEX(설정_코스수당!$B$15:$F$64,MATCH($H2814,설정_코스수당!$A$15:$A$64,0),MATCH($E2814&amp;"수당",설정_코스수당!$B$14:$F$14,0)),0)),0)</f>
        <v>0</v>
      </c>
      <c r="M2814" s="33">
        <f>IF($O2814="방문완료",IFERROR(VLOOKUP($E2814,설정_코스수당!$A$6:$H$10,6,FALSE),0),0)</f>
        <v>0</v>
      </c>
      <c r="N2814" s="34">
        <f t="shared" si="81"/>
        <v>0</v>
      </c>
      <c r="O2814" s="29"/>
      <c r="P2814" s="29"/>
      <c r="Q2814" s="29"/>
      <c r="R2814" s="32"/>
      <c r="S2814" s="29"/>
    </row>
    <row r="2815" spans="1:24" ht="19.5" hidden="1" customHeight="1" outlineLevel="1">
      <c r="A2815" s="23">
        <v>21</v>
      </c>
      <c r="B2815" s="24">
        <f>IF(28&lt;=DAY(DATE(YEAR(설정_코스수당!$K$2),MONTH(설정_코스수당!$K$2)+1,0)),DATE(YEAR(설정_코스수당!$K$2),MONTH(설정_코스수당!$K$2),28),"")</f>
        <v>46201</v>
      </c>
      <c r="C2815" s="25"/>
      <c r="D2815" s="23"/>
      <c r="E2815" s="23"/>
      <c r="F2815" s="26"/>
      <c r="G2815" s="23"/>
      <c r="H2815" s="23"/>
      <c r="I2815" s="23"/>
      <c r="J2815" s="27">
        <f>IF($O2815="방문완료",MAX(0,IFERROR(VLOOKUP($E2815,설정_코스수당!$A$6:$H$10,4,FALSE),0)-IF(OR($P2815="",$P2815="없음"),0,100000)),0)</f>
        <v>0</v>
      </c>
      <c r="K2815" s="27">
        <f t="array" ref="K2815">IF($O2815="방문완료",IFERROR(INDEX(설정_코스수당!$B$15:$F$64,MATCH($G2815,설정_코스수당!$A$15:$A$64,0),MATCH($E2815&amp;"수당",설정_코스수당!$B$14:$F$14,0)),0),0)</f>
        <v>0</v>
      </c>
      <c r="L2815" s="27">
        <f t="array" ref="L2815">IF($O2815="방문완료",IF($H2815="",0,IFERROR(INDEX(설정_코스수당!$B$15:$F$64,MATCH($H2815,설정_코스수당!$A$15:$A$64,0),MATCH($E2815&amp;"수당",설정_코스수당!$B$14:$F$14,0)),0)),0)</f>
        <v>0</v>
      </c>
      <c r="M2815" s="27">
        <f>IF($O2815="방문완료",IFERROR(VLOOKUP($E2815,설정_코스수당!$A$6:$H$10,6,FALSE),0),0)</f>
        <v>0</v>
      </c>
      <c r="N2815" s="28">
        <f t="shared" si="81"/>
        <v>0</v>
      </c>
      <c r="O2815" s="23"/>
      <c r="P2815" s="23"/>
      <c r="Q2815" s="23"/>
      <c r="R2815" s="26"/>
      <c r="S2815" s="23"/>
    </row>
    <row r="2816" spans="1:24" ht="19.5" hidden="1" customHeight="1" outlineLevel="1">
      <c r="A2816" s="29">
        <v>22</v>
      </c>
      <c r="B2816" s="30">
        <f>IF(28&lt;=DAY(DATE(YEAR(설정_코스수당!$K$2),MONTH(설정_코스수당!$K$2)+1,0)),DATE(YEAR(설정_코스수당!$K$2),MONTH(설정_코스수당!$K$2),28),"")</f>
        <v>46201</v>
      </c>
      <c r="C2816" s="31"/>
      <c r="D2816" s="29"/>
      <c r="E2816" s="29"/>
      <c r="F2816" s="32"/>
      <c r="G2816" s="29"/>
      <c r="H2816" s="29"/>
      <c r="I2816" s="29"/>
      <c r="J2816" s="33">
        <f>IF($O2816="방문완료",MAX(0,IFERROR(VLOOKUP($E2816,설정_코스수당!$A$6:$H$10,4,FALSE),0)-IF(OR($P2816="",$P2816="없음"),0,100000)),0)</f>
        <v>0</v>
      </c>
      <c r="K2816" s="33">
        <f t="array" ref="K2816">IF($O2816="방문완료",IFERROR(INDEX(설정_코스수당!$B$15:$F$64,MATCH($G2816,설정_코스수당!$A$15:$A$64,0),MATCH($E2816&amp;"수당",설정_코스수당!$B$14:$F$14,0)),0),0)</f>
        <v>0</v>
      </c>
      <c r="L2816" s="33">
        <f t="array" ref="L2816">IF($O2816="방문완료",IF($H2816="",0,IFERROR(INDEX(설정_코스수당!$B$15:$F$64,MATCH($H2816,설정_코스수당!$A$15:$A$64,0),MATCH($E2816&amp;"수당",설정_코스수당!$B$14:$F$14,0)),0)),0)</f>
        <v>0</v>
      </c>
      <c r="M2816" s="33">
        <f>IF($O2816="방문완료",IFERROR(VLOOKUP($E2816,설정_코스수당!$A$6:$H$10,6,FALSE),0),0)</f>
        <v>0</v>
      </c>
      <c r="N2816" s="34">
        <f t="shared" si="81"/>
        <v>0</v>
      </c>
      <c r="O2816" s="29"/>
      <c r="P2816" s="29"/>
      <c r="Q2816" s="29"/>
      <c r="R2816" s="32"/>
      <c r="S2816" s="29"/>
    </row>
    <row r="2817" spans="1:22" ht="19.5" hidden="1" customHeight="1" outlineLevel="1">
      <c r="A2817" s="23">
        <v>23</v>
      </c>
      <c r="B2817" s="24">
        <f>IF(28&lt;=DAY(DATE(YEAR(설정_코스수당!$K$2),MONTH(설정_코스수당!$K$2)+1,0)),DATE(YEAR(설정_코스수당!$K$2),MONTH(설정_코스수당!$K$2),28),"")</f>
        <v>46201</v>
      </c>
      <c r="C2817" s="25"/>
      <c r="D2817" s="23"/>
      <c r="E2817" s="23"/>
      <c r="F2817" s="26"/>
      <c r="G2817" s="23"/>
      <c r="H2817" s="23"/>
      <c r="I2817" s="23"/>
      <c r="J2817" s="27">
        <f>IF($O2817="방문완료",MAX(0,IFERROR(VLOOKUP($E2817,설정_코스수당!$A$6:$H$10,4,FALSE),0)-IF(OR($P2817="",$P2817="없음"),0,100000)),0)</f>
        <v>0</v>
      </c>
      <c r="K2817" s="27">
        <f t="array" ref="K2817">IF($O2817="방문완료",IFERROR(INDEX(설정_코스수당!$B$15:$F$64,MATCH($G2817,설정_코스수당!$A$15:$A$64,0),MATCH($E2817&amp;"수당",설정_코스수당!$B$14:$F$14,0)),0),0)</f>
        <v>0</v>
      </c>
      <c r="L2817" s="27">
        <f t="array" ref="L2817">IF($O2817="방문완료",IF($H2817="",0,IFERROR(INDEX(설정_코스수당!$B$15:$F$64,MATCH($H2817,설정_코스수당!$A$15:$A$64,0),MATCH($E2817&amp;"수당",설정_코스수당!$B$14:$F$14,0)),0)),0)</f>
        <v>0</v>
      </c>
      <c r="M2817" s="27">
        <f>IF($O2817="방문완료",IFERROR(VLOOKUP($E2817,설정_코스수당!$A$6:$H$10,6,FALSE),0),0)</f>
        <v>0</v>
      </c>
      <c r="N2817" s="28">
        <f t="shared" si="81"/>
        <v>0</v>
      </c>
      <c r="O2817" s="23"/>
      <c r="P2817" s="23"/>
      <c r="Q2817" s="23"/>
      <c r="R2817" s="26"/>
      <c r="S2817" s="23"/>
    </row>
    <row r="2818" spans="1:22" ht="19.5" hidden="1" customHeight="1" outlineLevel="1">
      <c r="A2818" s="29">
        <v>24</v>
      </c>
      <c r="B2818" s="30">
        <f>IF(28&lt;=DAY(DATE(YEAR(설정_코스수당!$K$2),MONTH(설정_코스수당!$K$2)+1,0)),DATE(YEAR(설정_코스수당!$K$2),MONTH(설정_코스수당!$K$2),28),"")</f>
        <v>46201</v>
      </c>
      <c r="C2818" s="31"/>
      <c r="D2818" s="29"/>
      <c r="E2818" s="29"/>
      <c r="F2818" s="32"/>
      <c r="G2818" s="29"/>
      <c r="H2818" s="29"/>
      <c r="I2818" s="29"/>
      <c r="J2818" s="33">
        <f>IF($O2818="방문완료",MAX(0,IFERROR(VLOOKUP($E2818,설정_코스수당!$A$6:$H$10,4,FALSE),0)-IF(OR($P2818="",$P2818="없음"),0,100000)),0)</f>
        <v>0</v>
      </c>
      <c r="K2818" s="33">
        <f t="array" ref="K2818">IF($O2818="방문완료",IFERROR(INDEX(설정_코스수당!$B$15:$F$64,MATCH($G2818,설정_코스수당!$A$15:$A$64,0),MATCH($E2818&amp;"수당",설정_코스수당!$B$14:$F$14,0)),0),0)</f>
        <v>0</v>
      </c>
      <c r="L2818" s="33">
        <f t="array" ref="L2818">IF($O2818="방문완료",IF($H2818="",0,IFERROR(INDEX(설정_코스수당!$B$15:$F$64,MATCH($H2818,설정_코스수당!$A$15:$A$64,0),MATCH($E2818&amp;"수당",설정_코스수당!$B$14:$F$14,0)),0)),0)</f>
        <v>0</v>
      </c>
      <c r="M2818" s="33">
        <f>IF($O2818="방문완료",IFERROR(VLOOKUP($E2818,설정_코스수당!$A$6:$H$10,6,FALSE),0),0)</f>
        <v>0</v>
      </c>
      <c r="N2818" s="34">
        <f t="shared" si="81"/>
        <v>0</v>
      </c>
      <c r="O2818" s="29"/>
      <c r="P2818" s="29"/>
      <c r="Q2818" s="29"/>
      <c r="R2818" s="32"/>
      <c r="S2818" s="29"/>
    </row>
    <row r="2819" spans="1:22" ht="19.5" hidden="1" customHeight="1" outlineLevel="1">
      <c r="A2819" s="23">
        <v>25</v>
      </c>
      <c r="B2819" s="24">
        <f>IF(28&lt;=DAY(DATE(YEAR(설정_코스수당!$K$2),MONTH(설정_코스수당!$K$2)+1,0)),DATE(YEAR(설정_코스수당!$K$2),MONTH(설정_코스수당!$K$2),28),"")</f>
        <v>46201</v>
      </c>
      <c r="C2819" s="25"/>
      <c r="D2819" s="23"/>
      <c r="E2819" s="23"/>
      <c r="F2819" s="26"/>
      <c r="G2819" s="23"/>
      <c r="H2819" s="23"/>
      <c r="I2819" s="23"/>
      <c r="J2819" s="27">
        <f>IF($O2819="방문완료",MAX(0,IFERROR(VLOOKUP($E2819,설정_코스수당!$A$6:$H$10,4,FALSE),0)-IF(OR($P2819="",$P2819="없음"),0,100000)),0)</f>
        <v>0</v>
      </c>
      <c r="K2819" s="27">
        <f t="array" ref="K2819">IF($O2819="방문완료",IFERROR(INDEX(설정_코스수당!$B$15:$F$64,MATCH($G2819,설정_코스수당!$A$15:$A$64,0),MATCH($E2819&amp;"수당",설정_코스수당!$B$14:$F$14,0)),0),0)</f>
        <v>0</v>
      </c>
      <c r="L2819" s="27">
        <f t="array" ref="L2819">IF($O2819="방문완료",IF($H2819="",0,IFERROR(INDEX(설정_코스수당!$B$15:$F$64,MATCH($H2819,설정_코스수당!$A$15:$A$64,0),MATCH($E2819&amp;"수당",설정_코스수당!$B$14:$F$14,0)),0)),0)</f>
        <v>0</v>
      </c>
      <c r="M2819" s="27">
        <f>IF($O2819="방문완료",IFERROR(VLOOKUP($E2819,설정_코스수당!$A$6:$H$10,6,FALSE),0),0)</f>
        <v>0</v>
      </c>
      <c r="N2819" s="28">
        <f t="shared" si="81"/>
        <v>0</v>
      </c>
      <c r="O2819" s="23"/>
      <c r="P2819" s="23"/>
      <c r="Q2819" s="23"/>
      <c r="R2819" s="26"/>
      <c r="S2819" s="23"/>
    </row>
    <row r="2820" spans="1:22" ht="19.5" hidden="1" customHeight="1" outlineLevel="1">
      <c r="A2820" s="29">
        <v>26</v>
      </c>
      <c r="B2820" s="30">
        <f>IF(28&lt;=DAY(DATE(YEAR(설정_코스수당!$K$2),MONTH(설정_코스수당!$K$2)+1,0)),DATE(YEAR(설정_코스수당!$K$2),MONTH(설정_코스수당!$K$2),28),"")</f>
        <v>46201</v>
      </c>
      <c r="C2820" s="31"/>
      <c r="D2820" s="29"/>
      <c r="E2820" s="29"/>
      <c r="F2820" s="32"/>
      <c r="G2820" s="29"/>
      <c r="H2820" s="29"/>
      <c r="I2820" s="29"/>
      <c r="J2820" s="33">
        <f>IF($O2820="방문완료",MAX(0,IFERROR(VLOOKUP($E2820,설정_코스수당!$A$6:$H$10,4,FALSE),0)-IF(OR($P2820="",$P2820="없음"),0,100000)),0)</f>
        <v>0</v>
      </c>
      <c r="K2820" s="33">
        <f t="array" ref="K2820">IF($O2820="방문완료",IFERROR(INDEX(설정_코스수당!$B$15:$F$64,MATCH($G2820,설정_코스수당!$A$15:$A$64,0),MATCH($E2820&amp;"수당",설정_코스수당!$B$14:$F$14,0)),0),0)</f>
        <v>0</v>
      </c>
      <c r="L2820" s="33">
        <f t="array" ref="L2820">IF($O2820="방문완료",IF($H2820="",0,IFERROR(INDEX(설정_코스수당!$B$15:$F$64,MATCH($H2820,설정_코스수당!$A$15:$A$64,0),MATCH($E2820&amp;"수당",설정_코스수당!$B$14:$F$14,0)),0)),0)</f>
        <v>0</v>
      </c>
      <c r="M2820" s="33">
        <f>IF($O2820="방문완료",IFERROR(VLOOKUP($E2820,설정_코스수당!$A$6:$H$10,6,FALSE),0),0)</f>
        <v>0</v>
      </c>
      <c r="N2820" s="34">
        <f t="shared" si="81"/>
        <v>0</v>
      </c>
      <c r="O2820" s="29"/>
      <c r="P2820" s="29"/>
      <c r="Q2820" s="29"/>
      <c r="R2820" s="32"/>
      <c r="S2820" s="29"/>
      <c r="U2820" s="16" t="s">
        <v>72</v>
      </c>
      <c r="V2820" s="17">
        <f>IF(29&lt;=DAY(DATE(YEAR(설정_코스수당!$K$2),MONTH(설정_코스수당!$K$2)+1,0)),COUNTIFS($B:$B,DATE(YEAR(설정_코스수당!$K$2),MONTH(설정_코스수당!$K$2),29),$O:$O,"방문완료",$P:$P,"&lt;&gt;",$P:$P,"&lt;&gt;없음")*100000,"")</f>
        <v>0</v>
      </c>
    </row>
    <row r="2821" spans="1:22" ht="19.5" hidden="1" customHeight="1" outlineLevel="1">
      <c r="A2821" s="23">
        <v>27</v>
      </c>
      <c r="B2821" s="24">
        <f>IF(28&lt;=DAY(DATE(YEAR(설정_코스수당!$K$2),MONTH(설정_코스수당!$K$2)+1,0)),DATE(YEAR(설정_코스수당!$K$2),MONTH(설정_코스수당!$K$2),28),"")</f>
        <v>46201</v>
      </c>
      <c r="C2821" s="25"/>
      <c r="D2821" s="23"/>
      <c r="E2821" s="23"/>
      <c r="F2821" s="26"/>
      <c r="G2821" s="23"/>
      <c r="H2821" s="23"/>
      <c r="I2821" s="23"/>
      <c r="J2821" s="27">
        <f>IF($O2821="방문완료",MAX(0,IFERROR(VLOOKUP($E2821,설정_코스수당!$A$6:$H$10,4,FALSE),0)-IF(OR($P2821="",$P2821="없음"),0,100000)),0)</f>
        <v>0</v>
      </c>
      <c r="K2821" s="27">
        <f t="array" ref="K2821">IF($O2821="방문완료",IFERROR(INDEX(설정_코스수당!$B$15:$F$64,MATCH($G2821,설정_코스수당!$A$15:$A$64,0),MATCH($E2821&amp;"수당",설정_코스수당!$B$14:$F$14,0)),0),0)</f>
        <v>0</v>
      </c>
      <c r="L2821" s="27">
        <f t="array" ref="L2821">IF($O2821="방문완료",IF($H2821="",0,IFERROR(INDEX(설정_코스수당!$B$15:$F$64,MATCH($H2821,설정_코스수당!$A$15:$A$64,0),MATCH($E2821&amp;"수당",설정_코스수당!$B$14:$F$14,0)),0)),0)</f>
        <v>0</v>
      </c>
      <c r="M2821" s="27">
        <f>IF($O2821="방문완료",IFERROR(VLOOKUP($E2821,설정_코스수당!$A$6:$H$10,6,FALSE),0),0)</f>
        <v>0</v>
      </c>
      <c r="N2821" s="28">
        <f t="shared" si="81"/>
        <v>0</v>
      </c>
      <c r="O2821" s="23"/>
      <c r="P2821" s="23"/>
      <c r="Q2821" s="23"/>
      <c r="R2821" s="26"/>
      <c r="S2821" s="23"/>
    </row>
    <row r="2822" spans="1:22" ht="19.5" hidden="1" customHeight="1" outlineLevel="1">
      <c r="A2822" s="29">
        <v>28</v>
      </c>
      <c r="B2822" s="30">
        <f>IF(28&lt;=DAY(DATE(YEAR(설정_코스수당!$K$2),MONTH(설정_코스수당!$K$2)+1,0)),DATE(YEAR(설정_코스수당!$K$2),MONTH(설정_코스수당!$K$2),28),"")</f>
        <v>46201</v>
      </c>
      <c r="C2822" s="31"/>
      <c r="D2822" s="29"/>
      <c r="E2822" s="29"/>
      <c r="F2822" s="32"/>
      <c r="G2822" s="29"/>
      <c r="H2822" s="29"/>
      <c r="I2822" s="29"/>
      <c r="J2822" s="33">
        <f>IF($O2822="방문완료",MAX(0,IFERROR(VLOOKUP($E2822,설정_코스수당!$A$6:$H$10,4,FALSE),0)-IF(OR($P2822="",$P2822="없음"),0,100000)),0)</f>
        <v>0</v>
      </c>
      <c r="K2822" s="33">
        <f t="array" ref="K2822">IF($O2822="방문완료",IFERROR(INDEX(설정_코스수당!$B$15:$F$64,MATCH($G2822,설정_코스수당!$A$15:$A$64,0),MATCH($E2822&amp;"수당",설정_코스수당!$B$14:$F$14,0)),0),0)</f>
        <v>0</v>
      </c>
      <c r="L2822" s="33">
        <f t="array" ref="L2822">IF($O2822="방문완료",IF($H2822="",0,IFERROR(INDEX(설정_코스수당!$B$15:$F$64,MATCH($H2822,설정_코스수당!$A$15:$A$64,0),MATCH($E2822&amp;"수당",설정_코스수당!$B$14:$F$14,0)),0)),0)</f>
        <v>0</v>
      </c>
      <c r="M2822" s="33">
        <f>IF($O2822="방문완료",IFERROR(VLOOKUP($E2822,설정_코스수당!$A$6:$H$10,6,FALSE),0),0)</f>
        <v>0</v>
      </c>
      <c r="N2822" s="34">
        <f t="shared" si="81"/>
        <v>0</v>
      </c>
      <c r="O2822" s="29"/>
      <c r="P2822" s="29"/>
      <c r="Q2822" s="29"/>
      <c r="R2822" s="32"/>
      <c r="S2822" s="29"/>
    </row>
    <row r="2823" spans="1:22" ht="19.5" hidden="1" customHeight="1" outlineLevel="1">
      <c r="A2823" s="23">
        <v>29</v>
      </c>
      <c r="B2823" s="24">
        <f>IF(28&lt;=DAY(DATE(YEAR(설정_코스수당!$K$2),MONTH(설정_코스수당!$K$2)+1,0)),DATE(YEAR(설정_코스수당!$K$2),MONTH(설정_코스수당!$K$2),28),"")</f>
        <v>46201</v>
      </c>
      <c r="C2823" s="25"/>
      <c r="D2823" s="23"/>
      <c r="E2823" s="23"/>
      <c r="F2823" s="26"/>
      <c r="G2823" s="23"/>
      <c r="H2823" s="23"/>
      <c r="I2823" s="23"/>
      <c r="J2823" s="27">
        <f>IF($O2823="방문완료",MAX(0,IFERROR(VLOOKUP($E2823,설정_코스수당!$A$6:$H$10,4,FALSE),0)-IF(OR($P2823="",$P2823="없음"),0,100000)),0)</f>
        <v>0</v>
      </c>
      <c r="K2823" s="27">
        <f t="array" ref="K2823">IF($O2823="방문완료",IFERROR(INDEX(설정_코스수당!$B$15:$F$64,MATCH($G2823,설정_코스수당!$A$15:$A$64,0),MATCH($E2823&amp;"수당",설정_코스수당!$B$14:$F$14,0)),0),0)</f>
        <v>0</v>
      </c>
      <c r="L2823" s="27">
        <f t="array" ref="L2823">IF($O2823="방문완료",IF($H2823="",0,IFERROR(INDEX(설정_코스수당!$B$15:$F$64,MATCH($H2823,설정_코스수당!$A$15:$A$64,0),MATCH($E2823&amp;"수당",설정_코스수당!$B$14:$F$14,0)),0)),0)</f>
        <v>0</v>
      </c>
      <c r="M2823" s="27">
        <f>IF($O2823="방문완료",IFERROR(VLOOKUP($E2823,설정_코스수당!$A$6:$H$10,6,FALSE),0),0)</f>
        <v>0</v>
      </c>
      <c r="N2823" s="28">
        <f t="shared" si="81"/>
        <v>0</v>
      </c>
      <c r="O2823" s="23"/>
      <c r="P2823" s="23"/>
      <c r="Q2823" s="23"/>
      <c r="R2823" s="26"/>
      <c r="S2823" s="23"/>
    </row>
    <row r="2824" spans="1:22" ht="19.5" hidden="1" customHeight="1" outlineLevel="1">
      <c r="A2824" s="29">
        <v>30</v>
      </c>
      <c r="B2824" s="30">
        <f>IF(28&lt;=DAY(DATE(YEAR(설정_코스수당!$K$2),MONTH(설정_코스수당!$K$2)+1,0)),DATE(YEAR(설정_코스수당!$K$2),MONTH(설정_코스수당!$K$2),28),"")</f>
        <v>46201</v>
      </c>
      <c r="C2824" s="31"/>
      <c r="D2824" s="29"/>
      <c r="E2824" s="29"/>
      <c r="F2824" s="32"/>
      <c r="G2824" s="29"/>
      <c r="H2824" s="29"/>
      <c r="I2824" s="29"/>
      <c r="J2824" s="33">
        <f>IF($O2824="방문완료",MAX(0,IFERROR(VLOOKUP($E2824,설정_코스수당!$A$6:$H$10,4,FALSE),0)-IF(OR($P2824="",$P2824="없음"),0,100000)),0)</f>
        <v>0</v>
      </c>
      <c r="K2824" s="33">
        <f t="array" ref="K2824">IF($O2824="방문완료",IFERROR(INDEX(설정_코스수당!$B$15:$F$64,MATCH($G2824,설정_코스수당!$A$15:$A$64,0),MATCH($E2824&amp;"수당",설정_코스수당!$B$14:$F$14,0)),0),0)</f>
        <v>0</v>
      </c>
      <c r="L2824" s="33">
        <f t="array" ref="L2824">IF($O2824="방문완료",IF($H2824="",0,IFERROR(INDEX(설정_코스수당!$B$15:$F$64,MATCH($H2824,설정_코스수당!$A$15:$A$64,0),MATCH($E2824&amp;"수당",설정_코스수당!$B$14:$F$14,0)),0)),0)</f>
        <v>0</v>
      </c>
      <c r="M2824" s="33">
        <f>IF($O2824="방문완료",IFERROR(VLOOKUP($E2824,설정_코스수당!$A$6:$H$10,6,FALSE),0),0)</f>
        <v>0</v>
      </c>
      <c r="N2824" s="34">
        <f t="shared" si="81"/>
        <v>0</v>
      </c>
      <c r="O2824" s="29"/>
      <c r="P2824" s="29"/>
      <c r="Q2824" s="29"/>
      <c r="R2824" s="32"/>
      <c r="S2824" s="29"/>
    </row>
    <row r="2825" spans="1:22" ht="19.5" hidden="1" customHeight="1" outlineLevel="1">
      <c r="A2825" s="23">
        <v>31</v>
      </c>
      <c r="B2825" s="24">
        <f>IF(28&lt;=DAY(DATE(YEAR(설정_코스수당!$K$2),MONTH(설정_코스수당!$K$2)+1,0)),DATE(YEAR(설정_코스수당!$K$2),MONTH(설정_코스수당!$K$2),28),"")</f>
        <v>46201</v>
      </c>
      <c r="C2825" s="25"/>
      <c r="D2825" s="23"/>
      <c r="E2825" s="23"/>
      <c r="F2825" s="26"/>
      <c r="G2825" s="23"/>
      <c r="H2825" s="23"/>
      <c r="I2825" s="23"/>
      <c r="J2825" s="27">
        <f>IF($O2825="방문완료",MAX(0,IFERROR(VLOOKUP($E2825,설정_코스수당!$A$6:$H$10,4,FALSE),0)-IF(OR($P2825="",$P2825="없음"),0,100000)),0)</f>
        <v>0</v>
      </c>
      <c r="K2825" s="27">
        <f t="array" ref="K2825">IF($O2825="방문완료",IFERROR(INDEX(설정_코스수당!$B$15:$F$64,MATCH($G2825,설정_코스수당!$A$15:$A$64,0),MATCH($E2825&amp;"수당",설정_코스수당!$B$14:$F$14,0)),0),0)</f>
        <v>0</v>
      </c>
      <c r="L2825" s="27">
        <f t="array" ref="L2825">IF($O2825="방문완료",IF($H2825="",0,IFERROR(INDEX(설정_코스수당!$B$15:$F$64,MATCH($H2825,설정_코스수당!$A$15:$A$64,0),MATCH($E2825&amp;"수당",설정_코스수당!$B$14:$F$14,0)),0)),0)</f>
        <v>0</v>
      </c>
      <c r="M2825" s="27">
        <f>IF($O2825="방문완료",IFERROR(VLOOKUP($E2825,설정_코스수당!$A$6:$H$10,6,FALSE),0),0)</f>
        <v>0</v>
      </c>
      <c r="N2825" s="28">
        <f t="shared" si="81"/>
        <v>0</v>
      </c>
      <c r="O2825" s="23"/>
      <c r="P2825" s="23"/>
      <c r="Q2825" s="23"/>
      <c r="R2825" s="26"/>
      <c r="S2825" s="23"/>
    </row>
    <row r="2826" spans="1:22" ht="19.5" hidden="1" customHeight="1" outlineLevel="1">
      <c r="A2826" s="29">
        <v>32</v>
      </c>
      <c r="B2826" s="30">
        <f>IF(28&lt;=DAY(DATE(YEAR(설정_코스수당!$K$2),MONTH(설정_코스수당!$K$2)+1,0)),DATE(YEAR(설정_코스수당!$K$2),MONTH(설정_코스수당!$K$2),28),"")</f>
        <v>46201</v>
      </c>
      <c r="C2826" s="31"/>
      <c r="D2826" s="29"/>
      <c r="E2826" s="29"/>
      <c r="F2826" s="32"/>
      <c r="G2826" s="29"/>
      <c r="H2826" s="29"/>
      <c r="I2826" s="29"/>
      <c r="J2826" s="33">
        <f>IF($O2826="방문완료",MAX(0,IFERROR(VLOOKUP($E2826,설정_코스수당!$A$6:$H$10,4,FALSE),0)-IF(OR($P2826="",$P2826="없음"),0,100000)),0)</f>
        <v>0</v>
      </c>
      <c r="K2826" s="33">
        <f t="array" ref="K2826">IF($O2826="방문완료",IFERROR(INDEX(설정_코스수당!$B$15:$F$64,MATCH($G2826,설정_코스수당!$A$15:$A$64,0),MATCH($E2826&amp;"수당",설정_코스수당!$B$14:$F$14,0)),0),0)</f>
        <v>0</v>
      </c>
      <c r="L2826" s="33">
        <f t="array" ref="L2826">IF($O2826="방문완료",IF($H2826="",0,IFERROR(INDEX(설정_코스수당!$B$15:$F$64,MATCH($H2826,설정_코스수당!$A$15:$A$64,0),MATCH($E2826&amp;"수당",설정_코스수당!$B$14:$F$14,0)),0)),0)</f>
        <v>0</v>
      </c>
      <c r="M2826" s="33">
        <f>IF($O2826="방문완료",IFERROR(VLOOKUP($E2826,설정_코스수당!$A$6:$H$10,6,FALSE),0),0)</f>
        <v>0</v>
      </c>
      <c r="N2826" s="34">
        <f t="shared" si="81"/>
        <v>0</v>
      </c>
      <c r="O2826" s="29"/>
      <c r="P2826" s="29"/>
      <c r="Q2826" s="29"/>
      <c r="R2826" s="32"/>
      <c r="S2826" s="29"/>
    </row>
    <row r="2827" spans="1:22" ht="19.5" hidden="1" customHeight="1" outlineLevel="1">
      <c r="A2827" s="23">
        <v>33</v>
      </c>
      <c r="B2827" s="24">
        <f>IF(28&lt;=DAY(DATE(YEAR(설정_코스수당!$K$2),MONTH(설정_코스수당!$K$2)+1,0)),DATE(YEAR(설정_코스수당!$K$2),MONTH(설정_코스수당!$K$2),28),"")</f>
        <v>46201</v>
      </c>
      <c r="C2827" s="25"/>
      <c r="D2827" s="23"/>
      <c r="E2827" s="23"/>
      <c r="F2827" s="26"/>
      <c r="G2827" s="23"/>
      <c r="H2827" s="23"/>
      <c r="I2827" s="23"/>
      <c r="J2827" s="27">
        <f>IF($O2827="방문완료",MAX(0,IFERROR(VLOOKUP($E2827,설정_코스수당!$A$6:$H$10,4,FALSE),0)-IF(OR($P2827="",$P2827="없음"),0,100000)),0)</f>
        <v>0</v>
      </c>
      <c r="K2827" s="27">
        <f t="array" ref="K2827">IF($O2827="방문완료",IFERROR(INDEX(설정_코스수당!$B$15:$F$64,MATCH($G2827,설정_코스수당!$A$15:$A$64,0),MATCH($E2827&amp;"수당",설정_코스수당!$B$14:$F$14,0)),0),0)</f>
        <v>0</v>
      </c>
      <c r="L2827" s="27">
        <f t="array" ref="L2827">IF($O2827="방문완료",IF($H2827="",0,IFERROR(INDEX(설정_코스수당!$B$15:$F$64,MATCH($H2827,설정_코스수당!$A$15:$A$64,0),MATCH($E2827&amp;"수당",설정_코스수당!$B$14:$F$14,0)),0)),0)</f>
        <v>0</v>
      </c>
      <c r="M2827" s="27">
        <f>IF($O2827="방문완료",IFERROR(VLOOKUP($E2827,설정_코스수당!$A$6:$H$10,6,FALSE),0),0)</f>
        <v>0</v>
      </c>
      <c r="N2827" s="28">
        <f t="shared" ref="N2827:N2858" si="82">IF($O2827="방문완료",1,0)</f>
        <v>0</v>
      </c>
      <c r="O2827" s="23"/>
      <c r="P2827" s="23"/>
      <c r="Q2827" s="23"/>
      <c r="R2827" s="26"/>
      <c r="S2827" s="23"/>
    </row>
    <row r="2828" spans="1:22" ht="19.5" hidden="1" customHeight="1" outlineLevel="1">
      <c r="A2828" s="29">
        <v>34</v>
      </c>
      <c r="B2828" s="30">
        <f>IF(28&lt;=DAY(DATE(YEAR(설정_코스수당!$K$2),MONTH(설정_코스수당!$K$2)+1,0)),DATE(YEAR(설정_코스수당!$K$2),MONTH(설정_코스수당!$K$2),28),"")</f>
        <v>46201</v>
      </c>
      <c r="C2828" s="31"/>
      <c r="D2828" s="29"/>
      <c r="E2828" s="29"/>
      <c r="F2828" s="32"/>
      <c r="G2828" s="29"/>
      <c r="H2828" s="29"/>
      <c r="I2828" s="29"/>
      <c r="J2828" s="33">
        <f>IF($O2828="방문완료",MAX(0,IFERROR(VLOOKUP($E2828,설정_코스수당!$A$6:$H$10,4,FALSE),0)-IF(OR($P2828="",$P2828="없음"),0,100000)),0)</f>
        <v>0</v>
      </c>
      <c r="K2828" s="33">
        <f t="array" ref="K2828">IF($O2828="방문완료",IFERROR(INDEX(설정_코스수당!$B$15:$F$64,MATCH($G2828,설정_코스수당!$A$15:$A$64,0),MATCH($E2828&amp;"수당",설정_코스수당!$B$14:$F$14,0)),0),0)</f>
        <v>0</v>
      </c>
      <c r="L2828" s="33">
        <f t="array" ref="L2828">IF($O2828="방문완료",IF($H2828="",0,IFERROR(INDEX(설정_코스수당!$B$15:$F$64,MATCH($H2828,설정_코스수당!$A$15:$A$64,0),MATCH($E2828&amp;"수당",설정_코스수당!$B$14:$F$14,0)),0)),0)</f>
        <v>0</v>
      </c>
      <c r="M2828" s="33">
        <f>IF($O2828="방문완료",IFERROR(VLOOKUP($E2828,설정_코스수당!$A$6:$H$10,6,FALSE),0),0)</f>
        <v>0</v>
      </c>
      <c r="N2828" s="34">
        <f t="shared" si="82"/>
        <v>0</v>
      </c>
      <c r="O2828" s="29"/>
      <c r="P2828" s="29"/>
      <c r="Q2828" s="29"/>
      <c r="R2828" s="32"/>
      <c r="S2828" s="29"/>
    </row>
    <row r="2829" spans="1:22" ht="19.5" hidden="1" customHeight="1" outlineLevel="1">
      <c r="A2829" s="23">
        <v>35</v>
      </c>
      <c r="B2829" s="24">
        <f>IF(28&lt;=DAY(DATE(YEAR(설정_코스수당!$K$2),MONTH(설정_코스수당!$K$2)+1,0)),DATE(YEAR(설정_코스수당!$K$2),MONTH(설정_코스수당!$K$2),28),"")</f>
        <v>46201</v>
      </c>
      <c r="C2829" s="25"/>
      <c r="D2829" s="23"/>
      <c r="E2829" s="23"/>
      <c r="F2829" s="26"/>
      <c r="G2829" s="23"/>
      <c r="H2829" s="23"/>
      <c r="I2829" s="23"/>
      <c r="J2829" s="27">
        <f>IF($O2829="방문완료",MAX(0,IFERROR(VLOOKUP($E2829,설정_코스수당!$A$6:$H$10,4,FALSE),0)-IF(OR($P2829="",$P2829="없음"),0,100000)),0)</f>
        <v>0</v>
      </c>
      <c r="K2829" s="27">
        <f t="array" ref="K2829">IF($O2829="방문완료",IFERROR(INDEX(설정_코스수당!$B$15:$F$64,MATCH($G2829,설정_코스수당!$A$15:$A$64,0),MATCH($E2829&amp;"수당",설정_코스수당!$B$14:$F$14,0)),0),0)</f>
        <v>0</v>
      </c>
      <c r="L2829" s="27">
        <f t="array" ref="L2829">IF($O2829="방문완료",IF($H2829="",0,IFERROR(INDEX(설정_코스수당!$B$15:$F$64,MATCH($H2829,설정_코스수당!$A$15:$A$64,0),MATCH($E2829&amp;"수당",설정_코스수당!$B$14:$F$14,0)),0)),0)</f>
        <v>0</v>
      </c>
      <c r="M2829" s="27">
        <f>IF($O2829="방문완료",IFERROR(VLOOKUP($E2829,설정_코스수당!$A$6:$H$10,6,FALSE),0),0)</f>
        <v>0</v>
      </c>
      <c r="N2829" s="28">
        <f t="shared" si="82"/>
        <v>0</v>
      </c>
      <c r="O2829" s="23"/>
      <c r="P2829" s="23"/>
      <c r="Q2829" s="23"/>
      <c r="R2829" s="26"/>
      <c r="S2829" s="23"/>
    </row>
    <row r="2830" spans="1:22" ht="19.5" hidden="1" customHeight="1" outlineLevel="1">
      <c r="A2830" s="29">
        <v>36</v>
      </c>
      <c r="B2830" s="30">
        <f>IF(28&lt;=DAY(DATE(YEAR(설정_코스수당!$K$2),MONTH(설정_코스수당!$K$2)+1,0)),DATE(YEAR(설정_코스수당!$K$2),MONTH(설정_코스수당!$K$2),28),"")</f>
        <v>46201</v>
      </c>
      <c r="C2830" s="31"/>
      <c r="D2830" s="29"/>
      <c r="E2830" s="29"/>
      <c r="F2830" s="32"/>
      <c r="G2830" s="29"/>
      <c r="H2830" s="29"/>
      <c r="I2830" s="29"/>
      <c r="J2830" s="33">
        <f>IF($O2830="방문완료",MAX(0,IFERROR(VLOOKUP($E2830,설정_코스수당!$A$6:$H$10,4,FALSE),0)-IF(OR($P2830="",$P2830="없음"),0,100000)),0)</f>
        <v>0</v>
      </c>
      <c r="K2830" s="33">
        <f t="array" ref="K2830">IF($O2830="방문완료",IFERROR(INDEX(설정_코스수당!$B$15:$F$64,MATCH($G2830,설정_코스수당!$A$15:$A$64,0),MATCH($E2830&amp;"수당",설정_코스수당!$B$14:$F$14,0)),0),0)</f>
        <v>0</v>
      </c>
      <c r="L2830" s="33">
        <f t="array" ref="L2830">IF($O2830="방문완료",IF($H2830="",0,IFERROR(INDEX(설정_코스수당!$B$15:$F$64,MATCH($H2830,설정_코스수당!$A$15:$A$64,0),MATCH($E2830&amp;"수당",설정_코스수당!$B$14:$F$14,0)),0)),0)</f>
        <v>0</v>
      </c>
      <c r="M2830" s="33">
        <f>IF($O2830="방문완료",IFERROR(VLOOKUP($E2830,설정_코스수당!$A$6:$H$10,6,FALSE),0),0)</f>
        <v>0</v>
      </c>
      <c r="N2830" s="34">
        <f t="shared" si="82"/>
        <v>0</v>
      </c>
      <c r="O2830" s="29"/>
      <c r="P2830" s="29"/>
      <c r="Q2830" s="29"/>
      <c r="R2830" s="32"/>
      <c r="S2830" s="29"/>
    </row>
    <row r="2831" spans="1:22" ht="19.5" hidden="1" customHeight="1" outlineLevel="1">
      <c r="A2831" s="23">
        <v>37</v>
      </c>
      <c r="B2831" s="24">
        <f>IF(28&lt;=DAY(DATE(YEAR(설정_코스수당!$K$2),MONTH(설정_코스수당!$K$2)+1,0)),DATE(YEAR(설정_코스수당!$K$2),MONTH(설정_코스수당!$K$2),28),"")</f>
        <v>46201</v>
      </c>
      <c r="C2831" s="25"/>
      <c r="D2831" s="23"/>
      <c r="E2831" s="23"/>
      <c r="F2831" s="26"/>
      <c r="G2831" s="23"/>
      <c r="H2831" s="23"/>
      <c r="I2831" s="23"/>
      <c r="J2831" s="27">
        <f>IF($O2831="방문완료",MAX(0,IFERROR(VLOOKUP($E2831,설정_코스수당!$A$6:$H$10,4,FALSE),0)-IF(OR($P2831="",$P2831="없음"),0,100000)),0)</f>
        <v>0</v>
      </c>
      <c r="K2831" s="27">
        <f t="array" ref="K2831">IF($O2831="방문완료",IFERROR(INDEX(설정_코스수당!$B$15:$F$64,MATCH($G2831,설정_코스수당!$A$15:$A$64,0),MATCH($E2831&amp;"수당",설정_코스수당!$B$14:$F$14,0)),0),0)</f>
        <v>0</v>
      </c>
      <c r="L2831" s="27">
        <f t="array" ref="L2831">IF($O2831="방문완료",IF($H2831="",0,IFERROR(INDEX(설정_코스수당!$B$15:$F$64,MATCH($H2831,설정_코스수당!$A$15:$A$64,0),MATCH($E2831&amp;"수당",설정_코스수당!$B$14:$F$14,0)),0)),0)</f>
        <v>0</v>
      </c>
      <c r="M2831" s="27">
        <f>IF($O2831="방문완료",IFERROR(VLOOKUP($E2831,설정_코스수당!$A$6:$H$10,6,FALSE),0),0)</f>
        <v>0</v>
      </c>
      <c r="N2831" s="28">
        <f t="shared" si="82"/>
        <v>0</v>
      </c>
      <c r="O2831" s="23"/>
      <c r="P2831" s="23"/>
      <c r="Q2831" s="23"/>
      <c r="R2831" s="26"/>
      <c r="S2831" s="23"/>
    </row>
    <row r="2832" spans="1:22" ht="19.5" hidden="1" customHeight="1" outlineLevel="1">
      <c r="A2832" s="29">
        <v>38</v>
      </c>
      <c r="B2832" s="30">
        <f>IF(28&lt;=DAY(DATE(YEAR(설정_코스수당!$K$2),MONTH(설정_코스수당!$K$2)+1,0)),DATE(YEAR(설정_코스수당!$K$2),MONTH(설정_코스수당!$K$2),28),"")</f>
        <v>46201</v>
      </c>
      <c r="C2832" s="31"/>
      <c r="D2832" s="29"/>
      <c r="E2832" s="29"/>
      <c r="F2832" s="32"/>
      <c r="G2832" s="29"/>
      <c r="H2832" s="29"/>
      <c r="I2832" s="29"/>
      <c r="J2832" s="33">
        <f>IF($O2832="방문완료",MAX(0,IFERROR(VLOOKUP($E2832,설정_코스수당!$A$6:$H$10,4,FALSE),0)-IF(OR($P2832="",$P2832="없음"),0,100000)),0)</f>
        <v>0</v>
      </c>
      <c r="K2832" s="33">
        <f t="array" ref="K2832">IF($O2832="방문완료",IFERROR(INDEX(설정_코스수당!$B$15:$F$64,MATCH($G2832,설정_코스수당!$A$15:$A$64,0),MATCH($E2832&amp;"수당",설정_코스수당!$B$14:$F$14,0)),0),0)</f>
        <v>0</v>
      </c>
      <c r="L2832" s="33">
        <f t="array" ref="L2832">IF($O2832="방문완료",IF($H2832="",0,IFERROR(INDEX(설정_코스수당!$B$15:$F$64,MATCH($H2832,설정_코스수당!$A$15:$A$64,0),MATCH($E2832&amp;"수당",설정_코스수당!$B$14:$F$14,0)),0)),0)</f>
        <v>0</v>
      </c>
      <c r="M2832" s="33">
        <f>IF($O2832="방문완료",IFERROR(VLOOKUP($E2832,설정_코스수당!$A$6:$H$10,6,FALSE),0),0)</f>
        <v>0</v>
      </c>
      <c r="N2832" s="34">
        <f t="shared" si="82"/>
        <v>0</v>
      </c>
      <c r="O2832" s="29"/>
      <c r="P2832" s="29"/>
      <c r="Q2832" s="29"/>
      <c r="R2832" s="32"/>
      <c r="S2832" s="29"/>
    </row>
    <row r="2833" spans="1:19" ht="19.5" hidden="1" customHeight="1" outlineLevel="1">
      <c r="A2833" s="23">
        <v>39</v>
      </c>
      <c r="B2833" s="24">
        <f>IF(28&lt;=DAY(DATE(YEAR(설정_코스수당!$K$2),MONTH(설정_코스수당!$K$2)+1,0)),DATE(YEAR(설정_코스수당!$K$2),MONTH(설정_코스수당!$K$2),28),"")</f>
        <v>46201</v>
      </c>
      <c r="C2833" s="25"/>
      <c r="D2833" s="23"/>
      <c r="E2833" s="23"/>
      <c r="F2833" s="26"/>
      <c r="G2833" s="23"/>
      <c r="H2833" s="23"/>
      <c r="I2833" s="23"/>
      <c r="J2833" s="27">
        <f>IF($O2833="방문완료",MAX(0,IFERROR(VLOOKUP($E2833,설정_코스수당!$A$6:$H$10,4,FALSE),0)-IF(OR($P2833="",$P2833="없음"),0,100000)),0)</f>
        <v>0</v>
      </c>
      <c r="K2833" s="27">
        <f t="array" ref="K2833">IF($O2833="방문완료",IFERROR(INDEX(설정_코스수당!$B$15:$F$64,MATCH($G2833,설정_코스수당!$A$15:$A$64,0),MATCH($E2833&amp;"수당",설정_코스수당!$B$14:$F$14,0)),0),0)</f>
        <v>0</v>
      </c>
      <c r="L2833" s="27">
        <f t="array" ref="L2833">IF($O2833="방문완료",IF($H2833="",0,IFERROR(INDEX(설정_코스수당!$B$15:$F$64,MATCH($H2833,설정_코스수당!$A$15:$A$64,0),MATCH($E2833&amp;"수당",설정_코스수당!$B$14:$F$14,0)),0)),0)</f>
        <v>0</v>
      </c>
      <c r="M2833" s="27">
        <f>IF($O2833="방문완료",IFERROR(VLOOKUP($E2833,설정_코스수당!$A$6:$H$10,6,FALSE),0),0)</f>
        <v>0</v>
      </c>
      <c r="N2833" s="28">
        <f t="shared" si="82"/>
        <v>0</v>
      </c>
      <c r="O2833" s="23"/>
      <c r="P2833" s="23"/>
      <c r="Q2833" s="23"/>
      <c r="R2833" s="26"/>
      <c r="S2833" s="23"/>
    </row>
    <row r="2834" spans="1:19" ht="19.5" hidden="1" customHeight="1" outlineLevel="1">
      <c r="A2834" s="29">
        <v>40</v>
      </c>
      <c r="B2834" s="30">
        <f>IF(28&lt;=DAY(DATE(YEAR(설정_코스수당!$K$2),MONTH(설정_코스수당!$K$2)+1,0)),DATE(YEAR(설정_코스수당!$K$2),MONTH(설정_코스수당!$K$2),28),"")</f>
        <v>46201</v>
      </c>
      <c r="C2834" s="31"/>
      <c r="D2834" s="29"/>
      <c r="E2834" s="29"/>
      <c r="F2834" s="32"/>
      <c r="G2834" s="29"/>
      <c r="H2834" s="29"/>
      <c r="I2834" s="29"/>
      <c r="J2834" s="33">
        <f>IF($O2834="방문완료",MAX(0,IFERROR(VLOOKUP($E2834,설정_코스수당!$A$6:$H$10,4,FALSE),0)-IF(OR($P2834="",$P2834="없음"),0,100000)),0)</f>
        <v>0</v>
      </c>
      <c r="K2834" s="33">
        <f t="array" ref="K2834">IF($O2834="방문완료",IFERROR(INDEX(설정_코스수당!$B$15:$F$64,MATCH($G2834,설정_코스수당!$A$15:$A$64,0),MATCH($E2834&amp;"수당",설정_코스수당!$B$14:$F$14,0)),0),0)</f>
        <v>0</v>
      </c>
      <c r="L2834" s="33">
        <f t="array" ref="L2834">IF($O2834="방문완료",IF($H2834="",0,IFERROR(INDEX(설정_코스수당!$B$15:$F$64,MATCH($H2834,설정_코스수당!$A$15:$A$64,0),MATCH($E2834&amp;"수당",설정_코스수당!$B$14:$F$14,0)),0)),0)</f>
        <v>0</v>
      </c>
      <c r="M2834" s="33">
        <f>IF($O2834="방문완료",IFERROR(VLOOKUP($E2834,설정_코스수당!$A$6:$H$10,6,FALSE),0),0)</f>
        <v>0</v>
      </c>
      <c r="N2834" s="34">
        <f t="shared" si="82"/>
        <v>0</v>
      </c>
      <c r="O2834" s="29"/>
      <c r="P2834" s="29"/>
      <c r="Q2834" s="29"/>
      <c r="R2834" s="32"/>
      <c r="S2834" s="29"/>
    </row>
    <row r="2835" spans="1:19" ht="19.5" hidden="1" customHeight="1" outlineLevel="1">
      <c r="A2835" s="23">
        <v>41</v>
      </c>
      <c r="B2835" s="24">
        <f>IF(28&lt;=DAY(DATE(YEAR(설정_코스수당!$K$2),MONTH(설정_코스수당!$K$2)+1,0)),DATE(YEAR(설정_코스수당!$K$2),MONTH(설정_코스수당!$K$2),28),"")</f>
        <v>46201</v>
      </c>
      <c r="C2835" s="25"/>
      <c r="D2835" s="23"/>
      <c r="E2835" s="23"/>
      <c r="F2835" s="26"/>
      <c r="G2835" s="23"/>
      <c r="H2835" s="23"/>
      <c r="I2835" s="23"/>
      <c r="J2835" s="27">
        <f>IF($O2835="방문완료",MAX(0,IFERROR(VLOOKUP($E2835,설정_코스수당!$A$6:$H$10,4,FALSE),0)-IF(OR($P2835="",$P2835="없음"),0,100000)),0)</f>
        <v>0</v>
      </c>
      <c r="K2835" s="27">
        <f t="array" ref="K2835">IF($O2835="방문완료",IFERROR(INDEX(설정_코스수당!$B$15:$F$64,MATCH($G2835,설정_코스수당!$A$15:$A$64,0),MATCH($E2835&amp;"수당",설정_코스수당!$B$14:$F$14,0)),0),0)</f>
        <v>0</v>
      </c>
      <c r="L2835" s="27">
        <f t="array" ref="L2835">IF($O2835="방문완료",IF($H2835="",0,IFERROR(INDEX(설정_코스수당!$B$15:$F$64,MATCH($H2835,설정_코스수당!$A$15:$A$64,0),MATCH($E2835&amp;"수당",설정_코스수당!$B$14:$F$14,0)),0)),0)</f>
        <v>0</v>
      </c>
      <c r="M2835" s="27">
        <f>IF($O2835="방문완료",IFERROR(VLOOKUP($E2835,설정_코스수당!$A$6:$H$10,6,FALSE),0),0)</f>
        <v>0</v>
      </c>
      <c r="N2835" s="28">
        <f t="shared" si="82"/>
        <v>0</v>
      </c>
      <c r="O2835" s="23"/>
      <c r="P2835" s="23"/>
      <c r="Q2835" s="23"/>
      <c r="R2835" s="26"/>
      <c r="S2835" s="23"/>
    </row>
    <row r="2836" spans="1:19" ht="19.5" hidden="1" customHeight="1" outlineLevel="1">
      <c r="A2836" s="29">
        <v>42</v>
      </c>
      <c r="B2836" s="30">
        <f>IF(28&lt;=DAY(DATE(YEAR(설정_코스수당!$K$2),MONTH(설정_코스수당!$K$2)+1,0)),DATE(YEAR(설정_코스수당!$K$2),MONTH(설정_코스수당!$K$2),28),"")</f>
        <v>46201</v>
      </c>
      <c r="C2836" s="31"/>
      <c r="D2836" s="29"/>
      <c r="E2836" s="29"/>
      <c r="F2836" s="32"/>
      <c r="G2836" s="29"/>
      <c r="H2836" s="29"/>
      <c r="I2836" s="29"/>
      <c r="J2836" s="33">
        <f>IF($O2836="방문완료",MAX(0,IFERROR(VLOOKUP($E2836,설정_코스수당!$A$6:$H$10,4,FALSE),0)-IF(OR($P2836="",$P2836="없음"),0,100000)),0)</f>
        <v>0</v>
      </c>
      <c r="K2836" s="33">
        <f t="array" ref="K2836">IF($O2836="방문완료",IFERROR(INDEX(설정_코스수당!$B$15:$F$64,MATCH($G2836,설정_코스수당!$A$15:$A$64,0),MATCH($E2836&amp;"수당",설정_코스수당!$B$14:$F$14,0)),0),0)</f>
        <v>0</v>
      </c>
      <c r="L2836" s="33">
        <f t="array" ref="L2836">IF($O2836="방문완료",IF($H2836="",0,IFERROR(INDEX(설정_코스수당!$B$15:$F$64,MATCH($H2836,설정_코스수당!$A$15:$A$64,0),MATCH($E2836&amp;"수당",설정_코스수당!$B$14:$F$14,0)),0)),0)</f>
        <v>0</v>
      </c>
      <c r="M2836" s="33">
        <f>IF($O2836="방문완료",IFERROR(VLOOKUP($E2836,설정_코스수당!$A$6:$H$10,6,FALSE),0),0)</f>
        <v>0</v>
      </c>
      <c r="N2836" s="34">
        <f t="shared" si="82"/>
        <v>0</v>
      </c>
      <c r="O2836" s="29"/>
      <c r="P2836" s="29"/>
      <c r="Q2836" s="29"/>
      <c r="R2836" s="32"/>
      <c r="S2836" s="29"/>
    </row>
    <row r="2837" spans="1:19" ht="19.5" hidden="1" customHeight="1" outlineLevel="1">
      <c r="A2837" s="23">
        <v>43</v>
      </c>
      <c r="B2837" s="24">
        <f>IF(28&lt;=DAY(DATE(YEAR(설정_코스수당!$K$2),MONTH(설정_코스수당!$K$2)+1,0)),DATE(YEAR(설정_코스수당!$K$2),MONTH(설정_코스수당!$K$2),28),"")</f>
        <v>46201</v>
      </c>
      <c r="C2837" s="25"/>
      <c r="D2837" s="23"/>
      <c r="E2837" s="23"/>
      <c r="F2837" s="26"/>
      <c r="G2837" s="23"/>
      <c r="H2837" s="23"/>
      <c r="I2837" s="23"/>
      <c r="J2837" s="27">
        <f>IF($O2837="방문완료",MAX(0,IFERROR(VLOOKUP($E2837,설정_코스수당!$A$6:$H$10,4,FALSE),0)-IF(OR($P2837="",$P2837="없음"),0,100000)),0)</f>
        <v>0</v>
      </c>
      <c r="K2837" s="27">
        <f t="array" ref="K2837">IF($O2837="방문완료",IFERROR(INDEX(설정_코스수당!$B$15:$F$64,MATCH($G2837,설정_코스수당!$A$15:$A$64,0),MATCH($E2837&amp;"수당",설정_코스수당!$B$14:$F$14,0)),0),0)</f>
        <v>0</v>
      </c>
      <c r="L2837" s="27">
        <f t="array" ref="L2837">IF($O2837="방문완료",IF($H2837="",0,IFERROR(INDEX(설정_코스수당!$B$15:$F$64,MATCH($H2837,설정_코스수당!$A$15:$A$64,0),MATCH($E2837&amp;"수당",설정_코스수당!$B$14:$F$14,0)),0)),0)</f>
        <v>0</v>
      </c>
      <c r="M2837" s="27">
        <f>IF($O2837="방문완료",IFERROR(VLOOKUP($E2837,설정_코스수당!$A$6:$H$10,6,FALSE),0),0)</f>
        <v>0</v>
      </c>
      <c r="N2837" s="28">
        <f t="shared" si="82"/>
        <v>0</v>
      </c>
      <c r="O2837" s="23"/>
      <c r="P2837" s="23"/>
      <c r="Q2837" s="23"/>
      <c r="R2837" s="26"/>
      <c r="S2837" s="23"/>
    </row>
    <row r="2838" spans="1:19" ht="19.5" hidden="1" customHeight="1" outlineLevel="1">
      <c r="A2838" s="29">
        <v>44</v>
      </c>
      <c r="B2838" s="30">
        <f>IF(28&lt;=DAY(DATE(YEAR(설정_코스수당!$K$2),MONTH(설정_코스수당!$K$2)+1,0)),DATE(YEAR(설정_코스수당!$K$2),MONTH(설정_코스수당!$K$2),28),"")</f>
        <v>46201</v>
      </c>
      <c r="C2838" s="31"/>
      <c r="D2838" s="29"/>
      <c r="E2838" s="29"/>
      <c r="F2838" s="32"/>
      <c r="G2838" s="29"/>
      <c r="H2838" s="29"/>
      <c r="I2838" s="29"/>
      <c r="J2838" s="33">
        <f>IF($O2838="방문완료",MAX(0,IFERROR(VLOOKUP($E2838,설정_코스수당!$A$6:$H$10,4,FALSE),0)-IF(OR($P2838="",$P2838="없음"),0,100000)),0)</f>
        <v>0</v>
      </c>
      <c r="K2838" s="33">
        <f t="array" ref="K2838">IF($O2838="방문완료",IFERROR(INDEX(설정_코스수당!$B$15:$F$64,MATCH($G2838,설정_코스수당!$A$15:$A$64,0),MATCH($E2838&amp;"수당",설정_코스수당!$B$14:$F$14,0)),0),0)</f>
        <v>0</v>
      </c>
      <c r="L2838" s="33">
        <f t="array" ref="L2838">IF($O2838="방문완료",IF($H2838="",0,IFERROR(INDEX(설정_코스수당!$B$15:$F$64,MATCH($H2838,설정_코스수당!$A$15:$A$64,0),MATCH($E2838&amp;"수당",설정_코스수당!$B$14:$F$14,0)),0)),0)</f>
        <v>0</v>
      </c>
      <c r="M2838" s="33">
        <f>IF($O2838="방문완료",IFERROR(VLOOKUP($E2838,설정_코스수당!$A$6:$H$10,6,FALSE),0),0)</f>
        <v>0</v>
      </c>
      <c r="N2838" s="34">
        <f t="shared" si="82"/>
        <v>0</v>
      </c>
      <c r="O2838" s="29"/>
      <c r="P2838" s="29"/>
      <c r="Q2838" s="29"/>
      <c r="R2838" s="32"/>
      <c r="S2838" s="29"/>
    </row>
    <row r="2839" spans="1:19" ht="19.5" hidden="1" customHeight="1" outlineLevel="1">
      <c r="A2839" s="23">
        <v>45</v>
      </c>
      <c r="B2839" s="24">
        <f>IF(28&lt;=DAY(DATE(YEAR(설정_코스수당!$K$2),MONTH(설정_코스수당!$K$2)+1,0)),DATE(YEAR(설정_코스수당!$K$2),MONTH(설정_코스수당!$K$2),28),"")</f>
        <v>46201</v>
      </c>
      <c r="C2839" s="25"/>
      <c r="D2839" s="23"/>
      <c r="E2839" s="23"/>
      <c r="F2839" s="26"/>
      <c r="G2839" s="23"/>
      <c r="H2839" s="23"/>
      <c r="I2839" s="23"/>
      <c r="J2839" s="27">
        <f>IF($O2839="방문완료",MAX(0,IFERROR(VLOOKUP($E2839,설정_코스수당!$A$6:$H$10,4,FALSE),0)-IF(OR($P2839="",$P2839="없음"),0,100000)),0)</f>
        <v>0</v>
      </c>
      <c r="K2839" s="27">
        <f t="array" ref="K2839">IF($O2839="방문완료",IFERROR(INDEX(설정_코스수당!$B$15:$F$64,MATCH($G2839,설정_코스수당!$A$15:$A$64,0),MATCH($E2839&amp;"수당",설정_코스수당!$B$14:$F$14,0)),0),0)</f>
        <v>0</v>
      </c>
      <c r="L2839" s="27">
        <f t="array" ref="L2839">IF($O2839="방문완료",IF($H2839="",0,IFERROR(INDEX(설정_코스수당!$B$15:$F$64,MATCH($H2839,설정_코스수당!$A$15:$A$64,0),MATCH($E2839&amp;"수당",설정_코스수당!$B$14:$F$14,0)),0)),0)</f>
        <v>0</v>
      </c>
      <c r="M2839" s="27">
        <f>IF($O2839="방문완료",IFERROR(VLOOKUP($E2839,설정_코스수당!$A$6:$H$10,6,FALSE),0),0)</f>
        <v>0</v>
      </c>
      <c r="N2839" s="28">
        <f t="shared" si="82"/>
        <v>0</v>
      </c>
      <c r="O2839" s="23"/>
      <c r="P2839" s="23"/>
      <c r="Q2839" s="23"/>
      <c r="R2839" s="26"/>
      <c r="S2839" s="23"/>
    </row>
    <row r="2840" spans="1:19" ht="19.5" hidden="1" customHeight="1" outlineLevel="1">
      <c r="A2840" s="29">
        <v>46</v>
      </c>
      <c r="B2840" s="30">
        <f>IF(28&lt;=DAY(DATE(YEAR(설정_코스수당!$K$2),MONTH(설정_코스수당!$K$2)+1,0)),DATE(YEAR(설정_코스수당!$K$2),MONTH(설정_코스수당!$K$2),28),"")</f>
        <v>46201</v>
      </c>
      <c r="C2840" s="31"/>
      <c r="D2840" s="29"/>
      <c r="E2840" s="29"/>
      <c r="F2840" s="32"/>
      <c r="G2840" s="29"/>
      <c r="H2840" s="29"/>
      <c r="I2840" s="29"/>
      <c r="J2840" s="33">
        <f>IF($O2840="방문완료",MAX(0,IFERROR(VLOOKUP($E2840,설정_코스수당!$A$6:$H$10,4,FALSE),0)-IF(OR($P2840="",$P2840="없음"),0,100000)),0)</f>
        <v>0</v>
      </c>
      <c r="K2840" s="33">
        <f t="array" ref="K2840">IF($O2840="방문완료",IFERROR(INDEX(설정_코스수당!$B$15:$F$64,MATCH($G2840,설정_코스수당!$A$15:$A$64,0),MATCH($E2840&amp;"수당",설정_코스수당!$B$14:$F$14,0)),0),0)</f>
        <v>0</v>
      </c>
      <c r="L2840" s="33">
        <f t="array" ref="L2840">IF($O2840="방문완료",IF($H2840="",0,IFERROR(INDEX(설정_코스수당!$B$15:$F$64,MATCH($H2840,설정_코스수당!$A$15:$A$64,0),MATCH($E2840&amp;"수당",설정_코스수당!$B$14:$F$14,0)),0)),0)</f>
        <v>0</v>
      </c>
      <c r="M2840" s="33">
        <f>IF($O2840="방문완료",IFERROR(VLOOKUP($E2840,설정_코스수당!$A$6:$H$10,6,FALSE),0),0)</f>
        <v>0</v>
      </c>
      <c r="N2840" s="34">
        <f t="shared" si="82"/>
        <v>0</v>
      </c>
      <c r="O2840" s="29"/>
      <c r="P2840" s="29"/>
      <c r="Q2840" s="29"/>
      <c r="R2840" s="32"/>
      <c r="S2840" s="29"/>
    </row>
    <row r="2841" spans="1:19" ht="19.5" hidden="1" customHeight="1" outlineLevel="1">
      <c r="A2841" s="23">
        <v>47</v>
      </c>
      <c r="B2841" s="24">
        <f>IF(28&lt;=DAY(DATE(YEAR(설정_코스수당!$K$2),MONTH(설정_코스수당!$K$2)+1,0)),DATE(YEAR(설정_코스수당!$K$2),MONTH(설정_코스수당!$K$2),28),"")</f>
        <v>46201</v>
      </c>
      <c r="C2841" s="25"/>
      <c r="D2841" s="23"/>
      <c r="E2841" s="23"/>
      <c r="F2841" s="26"/>
      <c r="G2841" s="23"/>
      <c r="H2841" s="23"/>
      <c r="I2841" s="23"/>
      <c r="J2841" s="27">
        <f>IF($O2841="방문완료",MAX(0,IFERROR(VLOOKUP($E2841,설정_코스수당!$A$6:$H$10,4,FALSE),0)-IF(OR($P2841="",$P2841="없음"),0,100000)),0)</f>
        <v>0</v>
      </c>
      <c r="K2841" s="27">
        <f t="array" ref="K2841">IF($O2841="방문완료",IFERROR(INDEX(설정_코스수당!$B$15:$F$64,MATCH($G2841,설정_코스수당!$A$15:$A$64,0),MATCH($E2841&amp;"수당",설정_코스수당!$B$14:$F$14,0)),0),0)</f>
        <v>0</v>
      </c>
      <c r="L2841" s="27">
        <f t="array" ref="L2841">IF($O2841="방문완료",IF($H2841="",0,IFERROR(INDEX(설정_코스수당!$B$15:$F$64,MATCH($H2841,설정_코스수당!$A$15:$A$64,0),MATCH($E2841&amp;"수당",설정_코스수당!$B$14:$F$14,0)),0)),0)</f>
        <v>0</v>
      </c>
      <c r="M2841" s="27">
        <f>IF($O2841="방문완료",IFERROR(VLOOKUP($E2841,설정_코스수당!$A$6:$H$10,6,FALSE),0),0)</f>
        <v>0</v>
      </c>
      <c r="N2841" s="28">
        <f t="shared" si="82"/>
        <v>0</v>
      </c>
      <c r="O2841" s="23"/>
      <c r="P2841" s="23"/>
      <c r="Q2841" s="23"/>
      <c r="R2841" s="26"/>
      <c r="S2841" s="23"/>
    </row>
    <row r="2842" spans="1:19" ht="19.5" hidden="1" customHeight="1" outlineLevel="1">
      <c r="A2842" s="29">
        <v>48</v>
      </c>
      <c r="B2842" s="30">
        <f>IF(28&lt;=DAY(DATE(YEAR(설정_코스수당!$K$2),MONTH(설정_코스수당!$K$2)+1,0)),DATE(YEAR(설정_코스수당!$K$2),MONTH(설정_코스수당!$K$2),28),"")</f>
        <v>46201</v>
      </c>
      <c r="C2842" s="31"/>
      <c r="D2842" s="29"/>
      <c r="E2842" s="29"/>
      <c r="F2842" s="32"/>
      <c r="G2842" s="29"/>
      <c r="H2842" s="29"/>
      <c r="I2842" s="29"/>
      <c r="J2842" s="33">
        <f>IF($O2842="방문완료",MAX(0,IFERROR(VLOOKUP($E2842,설정_코스수당!$A$6:$H$10,4,FALSE),0)-IF(OR($P2842="",$P2842="없음"),0,100000)),0)</f>
        <v>0</v>
      </c>
      <c r="K2842" s="33">
        <f t="array" ref="K2842">IF($O2842="방문완료",IFERROR(INDEX(설정_코스수당!$B$15:$F$64,MATCH($G2842,설정_코스수당!$A$15:$A$64,0),MATCH($E2842&amp;"수당",설정_코스수당!$B$14:$F$14,0)),0),0)</f>
        <v>0</v>
      </c>
      <c r="L2842" s="33">
        <f t="array" ref="L2842">IF($O2842="방문완료",IF($H2842="",0,IFERROR(INDEX(설정_코스수당!$B$15:$F$64,MATCH($H2842,설정_코스수당!$A$15:$A$64,0),MATCH($E2842&amp;"수당",설정_코스수당!$B$14:$F$14,0)),0)),0)</f>
        <v>0</v>
      </c>
      <c r="M2842" s="33">
        <f>IF($O2842="방문완료",IFERROR(VLOOKUP($E2842,설정_코스수당!$A$6:$H$10,6,FALSE),0),0)</f>
        <v>0</v>
      </c>
      <c r="N2842" s="34">
        <f t="shared" si="82"/>
        <v>0</v>
      </c>
      <c r="O2842" s="29"/>
      <c r="P2842" s="29"/>
      <c r="Q2842" s="29"/>
      <c r="R2842" s="32"/>
      <c r="S2842" s="29"/>
    </row>
    <row r="2843" spans="1:19" ht="19.5" hidden="1" customHeight="1" outlineLevel="1">
      <c r="A2843" s="23">
        <v>49</v>
      </c>
      <c r="B2843" s="24">
        <f>IF(28&lt;=DAY(DATE(YEAR(설정_코스수당!$K$2),MONTH(설정_코스수당!$K$2)+1,0)),DATE(YEAR(설정_코스수당!$K$2),MONTH(설정_코스수당!$K$2),28),"")</f>
        <v>46201</v>
      </c>
      <c r="C2843" s="25"/>
      <c r="D2843" s="23"/>
      <c r="E2843" s="23"/>
      <c r="F2843" s="26"/>
      <c r="G2843" s="23"/>
      <c r="H2843" s="23"/>
      <c r="I2843" s="23"/>
      <c r="J2843" s="27">
        <f>IF($O2843="방문완료",MAX(0,IFERROR(VLOOKUP($E2843,설정_코스수당!$A$6:$H$10,4,FALSE),0)-IF(OR($P2843="",$P2843="없음"),0,100000)),0)</f>
        <v>0</v>
      </c>
      <c r="K2843" s="27">
        <f t="array" ref="K2843">IF($O2843="방문완료",IFERROR(INDEX(설정_코스수당!$B$15:$F$64,MATCH($G2843,설정_코스수당!$A$15:$A$64,0),MATCH($E2843&amp;"수당",설정_코스수당!$B$14:$F$14,0)),0),0)</f>
        <v>0</v>
      </c>
      <c r="L2843" s="27">
        <f t="array" ref="L2843">IF($O2843="방문완료",IF($H2843="",0,IFERROR(INDEX(설정_코스수당!$B$15:$F$64,MATCH($H2843,설정_코스수당!$A$15:$A$64,0),MATCH($E2843&amp;"수당",설정_코스수당!$B$14:$F$14,0)),0)),0)</f>
        <v>0</v>
      </c>
      <c r="M2843" s="27">
        <f>IF($O2843="방문완료",IFERROR(VLOOKUP($E2843,설정_코스수당!$A$6:$H$10,6,FALSE),0),0)</f>
        <v>0</v>
      </c>
      <c r="N2843" s="28">
        <f t="shared" si="82"/>
        <v>0</v>
      </c>
      <c r="O2843" s="23"/>
      <c r="P2843" s="23"/>
      <c r="Q2843" s="23"/>
      <c r="R2843" s="26"/>
      <c r="S2843" s="23"/>
    </row>
    <row r="2844" spans="1:19" ht="19.5" hidden="1" customHeight="1" outlineLevel="1">
      <c r="A2844" s="29">
        <v>50</v>
      </c>
      <c r="B2844" s="30">
        <f>IF(28&lt;=DAY(DATE(YEAR(설정_코스수당!$K$2),MONTH(설정_코스수당!$K$2)+1,0)),DATE(YEAR(설정_코스수당!$K$2),MONTH(설정_코스수당!$K$2),28),"")</f>
        <v>46201</v>
      </c>
      <c r="C2844" s="31"/>
      <c r="D2844" s="29"/>
      <c r="E2844" s="29"/>
      <c r="F2844" s="32"/>
      <c r="G2844" s="29"/>
      <c r="H2844" s="29"/>
      <c r="I2844" s="29"/>
      <c r="J2844" s="33">
        <f>IF($O2844="방문완료",MAX(0,IFERROR(VLOOKUP($E2844,설정_코스수당!$A$6:$H$10,4,FALSE),0)-IF(OR($P2844="",$P2844="없음"),0,100000)),0)</f>
        <v>0</v>
      </c>
      <c r="K2844" s="33">
        <f t="array" ref="K2844">IF($O2844="방문완료",IFERROR(INDEX(설정_코스수당!$B$15:$F$64,MATCH($G2844,설정_코스수당!$A$15:$A$64,0),MATCH($E2844&amp;"수당",설정_코스수당!$B$14:$F$14,0)),0),0)</f>
        <v>0</v>
      </c>
      <c r="L2844" s="33">
        <f t="array" ref="L2844">IF($O2844="방문완료",IF($H2844="",0,IFERROR(INDEX(설정_코스수당!$B$15:$F$64,MATCH($H2844,설정_코스수당!$A$15:$A$64,0),MATCH($E2844&amp;"수당",설정_코스수당!$B$14:$F$14,0)),0)),0)</f>
        <v>0</v>
      </c>
      <c r="M2844" s="33">
        <f>IF($O2844="방문완료",IFERROR(VLOOKUP($E2844,설정_코스수당!$A$6:$H$10,6,FALSE),0),0)</f>
        <v>0</v>
      </c>
      <c r="N2844" s="34">
        <f t="shared" si="82"/>
        <v>0</v>
      </c>
      <c r="O2844" s="29"/>
      <c r="P2844" s="29"/>
      <c r="Q2844" s="29"/>
      <c r="R2844" s="32"/>
      <c r="S2844" s="29"/>
    </row>
    <row r="2845" spans="1:19" ht="19.5" hidden="1" customHeight="1" outlineLevel="1">
      <c r="A2845" s="23">
        <v>51</v>
      </c>
      <c r="B2845" s="24">
        <f>IF(28&lt;=DAY(DATE(YEAR(설정_코스수당!$K$2),MONTH(설정_코스수당!$K$2)+1,0)),DATE(YEAR(설정_코스수당!$K$2),MONTH(설정_코스수당!$K$2),28),"")</f>
        <v>46201</v>
      </c>
      <c r="C2845" s="25"/>
      <c r="D2845" s="23"/>
      <c r="E2845" s="23"/>
      <c r="F2845" s="26"/>
      <c r="G2845" s="23"/>
      <c r="H2845" s="23"/>
      <c r="I2845" s="23"/>
      <c r="J2845" s="27">
        <f>IF($O2845="방문완료",MAX(0,IFERROR(VLOOKUP($E2845,설정_코스수당!$A$6:$H$10,4,FALSE),0)-IF(OR($P2845="",$P2845="없음"),0,100000)),0)</f>
        <v>0</v>
      </c>
      <c r="K2845" s="27">
        <f t="array" ref="K2845">IF($O2845="방문완료",IFERROR(INDEX(설정_코스수당!$B$15:$F$64,MATCH($G2845,설정_코스수당!$A$15:$A$64,0),MATCH($E2845&amp;"수당",설정_코스수당!$B$14:$F$14,0)),0),0)</f>
        <v>0</v>
      </c>
      <c r="L2845" s="27">
        <f t="array" ref="L2845">IF($O2845="방문완료",IF($H2845="",0,IFERROR(INDEX(설정_코스수당!$B$15:$F$64,MATCH($H2845,설정_코스수당!$A$15:$A$64,0),MATCH($E2845&amp;"수당",설정_코스수당!$B$14:$F$14,0)),0)),0)</f>
        <v>0</v>
      </c>
      <c r="M2845" s="27">
        <f>IF($O2845="방문완료",IFERROR(VLOOKUP($E2845,설정_코스수당!$A$6:$H$10,6,FALSE),0),0)</f>
        <v>0</v>
      </c>
      <c r="N2845" s="28">
        <f t="shared" si="82"/>
        <v>0</v>
      </c>
      <c r="O2845" s="23"/>
      <c r="P2845" s="23"/>
      <c r="Q2845" s="23"/>
      <c r="R2845" s="26"/>
      <c r="S2845" s="23"/>
    </row>
    <row r="2846" spans="1:19" ht="19.5" hidden="1" customHeight="1" outlineLevel="1">
      <c r="A2846" s="29">
        <v>52</v>
      </c>
      <c r="B2846" s="30">
        <f>IF(28&lt;=DAY(DATE(YEAR(설정_코스수당!$K$2),MONTH(설정_코스수당!$K$2)+1,0)),DATE(YEAR(설정_코스수당!$K$2),MONTH(설정_코스수당!$K$2),28),"")</f>
        <v>46201</v>
      </c>
      <c r="C2846" s="31"/>
      <c r="D2846" s="29"/>
      <c r="E2846" s="29"/>
      <c r="F2846" s="32"/>
      <c r="G2846" s="29"/>
      <c r="H2846" s="29"/>
      <c r="I2846" s="29"/>
      <c r="J2846" s="33">
        <f>IF($O2846="방문완료",MAX(0,IFERROR(VLOOKUP($E2846,설정_코스수당!$A$6:$H$10,4,FALSE),0)-IF(OR($P2846="",$P2846="없음"),0,100000)),0)</f>
        <v>0</v>
      </c>
      <c r="K2846" s="33">
        <f t="array" ref="K2846">IF($O2846="방문완료",IFERROR(INDEX(설정_코스수당!$B$15:$F$64,MATCH($G2846,설정_코스수당!$A$15:$A$64,0),MATCH($E2846&amp;"수당",설정_코스수당!$B$14:$F$14,0)),0),0)</f>
        <v>0</v>
      </c>
      <c r="L2846" s="33">
        <f t="array" ref="L2846">IF($O2846="방문완료",IF($H2846="",0,IFERROR(INDEX(설정_코스수당!$B$15:$F$64,MATCH($H2846,설정_코스수당!$A$15:$A$64,0),MATCH($E2846&amp;"수당",설정_코스수당!$B$14:$F$14,0)),0)),0)</f>
        <v>0</v>
      </c>
      <c r="M2846" s="33">
        <f>IF($O2846="방문완료",IFERROR(VLOOKUP($E2846,설정_코스수당!$A$6:$H$10,6,FALSE),0),0)</f>
        <v>0</v>
      </c>
      <c r="N2846" s="34">
        <f t="shared" si="82"/>
        <v>0</v>
      </c>
      <c r="O2846" s="29"/>
      <c r="P2846" s="29"/>
      <c r="Q2846" s="29"/>
      <c r="R2846" s="32"/>
      <c r="S2846" s="29"/>
    </row>
    <row r="2847" spans="1:19" ht="19.5" hidden="1" customHeight="1" outlineLevel="1">
      <c r="A2847" s="23">
        <v>53</v>
      </c>
      <c r="B2847" s="24">
        <f>IF(28&lt;=DAY(DATE(YEAR(설정_코스수당!$K$2),MONTH(설정_코스수당!$K$2)+1,0)),DATE(YEAR(설정_코스수당!$K$2),MONTH(설정_코스수당!$K$2),28),"")</f>
        <v>46201</v>
      </c>
      <c r="C2847" s="25"/>
      <c r="D2847" s="23"/>
      <c r="E2847" s="23"/>
      <c r="F2847" s="26"/>
      <c r="G2847" s="23"/>
      <c r="H2847" s="23"/>
      <c r="I2847" s="23"/>
      <c r="J2847" s="27">
        <f>IF($O2847="방문완료",MAX(0,IFERROR(VLOOKUP($E2847,설정_코스수당!$A$6:$H$10,4,FALSE),0)-IF(OR($P2847="",$P2847="없음"),0,100000)),0)</f>
        <v>0</v>
      </c>
      <c r="K2847" s="27">
        <f t="array" ref="K2847">IF($O2847="방문완료",IFERROR(INDEX(설정_코스수당!$B$15:$F$64,MATCH($G2847,설정_코스수당!$A$15:$A$64,0),MATCH($E2847&amp;"수당",설정_코스수당!$B$14:$F$14,0)),0),0)</f>
        <v>0</v>
      </c>
      <c r="L2847" s="27">
        <f t="array" ref="L2847">IF($O2847="방문완료",IF($H2847="",0,IFERROR(INDEX(설정_코스수당!$B$15:$F$64,MATCH($H2847,설정_코스수당!$A$15:$A$64,0),MATCH($E2847&amp;"수당",설정_코스수당!$B$14:$F$14,0)),0)),0)</f>
        <v>0</v>
      </c>
      <c r="M2847" s="27">
        <f>IF($O2847="방문완료",IFERROR(VLOOKUP($E2847,설정_코스수당!$A$6:$H$10,6,FALSE),0),0)</f>
        <v>0</v>
      </c>
      <c r="N2847" s="28">
        <f t="shared" si="82"/>
        <v>0</v>
      </c>
      <c r="O2847" s="23"/>
      <c r="P2847" s="23"/>
      <c r="Q2847" s="23"/>
      <c r="R2847" s="26"/>
      <c r="S2847" s="23"/>
    </row>
    <row r="2848" spans="1:19" ht="19.5" hidden="1" customHeight="1" outlineLevel="1">
      <c r="A2848" s="29">
        <v>54</v>
      </c>
      <c r="B2848" s="30">
        <f>IF(28&lt;=DAY(DATE(YEAR(설정_코스수당!$K$2),MONTH(설정_코스수당!$K$2)+1,0)),DATE(YEAR(설정_코스수당!$K$2),MONTH(설정_코스수당!$K$2),28),"")</f>
        <v>46201</v>
      </c>
      <c r="C2848" s="31"/>
      <c r="D2848" s="29"/>
      <c r="E2848" s="29"/>
      <c r="F2848" s="32"/>
      <c r="G2848" s="29"/>
      <c r="H2848" s="29"/>
      <c r="I2848" s="29"/>
      <c r="J2848" s="33">
        <f>IF($O2848="방문완료",MAX(0,IFERROR(VLOOKUP($E2848,설정_코스수당!$A$6:$H$10,4,FALSE),0)-IF(OR($P2848="",$P2848="없음"),0,100000)),0)</f>
        <v>0</v>
      </c>
      <c r="K2848" s="33">
        <f t="array" ref="K2848">IF($O2848="방문완료",IFERROR(INDEX(설정_코스수당!$B$15:$F$64,MATCH($G2848,설정_코스수당!$A$15:$A$64,0),MATCH($E2848&amp;"수당",설정_코스수당!$B$14:$F$14,0)),0),0)</f>
        <v>0</v>
      </c>
      <c r="L2848" s="33">
        <f t="array" ref="L2848">IF($O2848="방문완료",IF($H2848="",0,IFERROR(INDEX(설정_코스수당!$B$15:$F$64,MATCH($H2848,설정_코스수당!$A$15:$A$64,0),MATCH($E2848&amp;"수당",설정_코스수당!$B$14:$F$14,0)),0)),0)</f>
        <v>0</v>
      </c>
      <c r="M2848" s="33">
        <f>IF($O2848="방문완료",IFERROR(VLOOKUP($E2848,설정_코스수당!$A$6:$H$10,6,FALSE),0),0)</f>
        <v>0</v>
      </c>
      <c r="N2848" s="34">
        <f t="shared" si="82"/>
        <v>0</v>
      </c>
      <c r="O2848" s="29"/>
      <c r="P2848" s="29"/>
      <c r="Q2848" s="29"/>
      <c r="R2848" s="32"/>
      <c r="S2848" s="29"/>
    </row>
    <row r="2849" spans="1:19" ht="19.5" hidden="1" customHeight="1" outlineLevel="1">
      <c r="A2849" s="23">
        <v>55</v>
      </c>
      <c r="B2849" s="24">
        <f>IF(28&lt;=DAY(DATE(YEAR(설정_코스수당!$K$2),MONTH(설정_코스수당!$K$2)+1,0)),DATE(YEAR(설정_코스수당!$K$2),MONTH(설정_코스수당!$K$2),28),"")</f>
        <v>46201</v>
      </c>
      <c r="C2849" s="25"/>
      <c r="D2849" s="23"/>
      <c r="E2849" s="23"/>
      <c r="F2849" s="26"/>
      <c r="G2849" s="23"/>
      <c r="H2849" s="23"/>
      <c r="I2849" s="23"/>
      <c r="J2849" s="27">
        <f>IF($O2849="방문완료",MAX(0,IFERROR(VLOOKUP($E2849,설정_코스수당!$A$6:$H$10,4,FALSE),0)-IF(OR($P2849="",$P2849="없음"),0,100000)),0)</f>
        <v>0</v>
      </c>
      <c r="K2849" s="27">
        <f t="array" ref="K2849">IF($O2849="방문완료",IFERROR(INDEX(설정_코스수당!$B$15:$F$64,MATCH($G2849,설정_코스수당!$A$15:$A$64,0),MATCH($E2849&amp;"수당",설정_코스수당!$B$14:$F$14,0)),0),0)</f>
        <v>0</v>
      </c>
      <c r="L2849" s="27">
        <f t="array" ref="L2849">IF($O2849="방문완료",IF($H2849="",0,IFERROR(INDEX(설정_코스수당!$B$15:$F$64,MATCH($H2849,설정_코스수당!$A$15:$A$64,0),MATCH($E2849&amp;"수당",설정_코스수당!$B$14:$F$14,0)),0)),0)</f>
        <v>0</v>
      </c>
      <c r="M2849" s="27">
        <f>IF($O2849="방문완료",IFERROR(VLOOKUP($E2849,설정_코스수당!$A$6:$H$10,6,FALSE),0),0)</f>
        <v>0</v>
      </c>
      <c r="N2849" s="28">
        <f t="shared" si="82"/>
        <v>0</v>
      </c>
      <c r="O2849" s="23"/>
      <c r="P2849" s="23"/>
      <c r="Q2849" s="23"/>
      <c r="R2849" s="26"/>
      <c r="S2849" s="23"/>
    </row>
    <row r="2850" spans="1:19" ht="19.5" hidden="1" customHeight="1" outlineLevel="1">
      <c r="A2850" s="29">
        <v>56</v>
      </c>
      <c r="B2850" s="30">
        <f>IF(28&lt;=DAY(DATE(YEAR(설정_코스수당!$K$2),MONTH(설정_코스수당!$K$2)+1,0)),DATE(YEAR(설정_코스수당!$K$2),MONTH(설정_코스수당!$K$2),28),"")</f>
        <v>46201</v>
      </c>
      <c r="C2850" s="31"/>
      <c r="D2850" s="29"/>
      <c r="E2850" s="29"/>
      <c r="F2850" s="32"/>
      <c r="G2850" s="29"/>
      <c r="H2850" s="29"/>
      <c r="I2850" s="29"/>
      <c r="J2850" s="33">
        <f>IF($O2850="방문완료",MAX(0,IFERROR(VLOOKUP($E2850,설정_코스수당!$A$6:$H$10,4,FALSE),0)-IF(OR($P2850="",$P2850="없음"),0,100000)),0)</f>
        <v>0</v>
      </c>
      <c r="K2850" s="33">
        <f t="array" ref="K2850">IF($O2850="방문완료",IFERROR(INDEX(설정_코스수당!$B$15:$F$64,MATCH($G2850,설정_코스수당!$A$15:$A$64,0),MATCH($E2850&amp;"수당",설정_코스수당!$B$14:$F$14,0)),0),0)</f>
        <v>0</v>
      </c>
      <c r="L2850" s="33">
        <f t="array" ref="L2850">IF($O2850="방문완료",IF($H2850="",0,IFERROR(INDEX(설정_코스수당!$B$15:$F$64,MATCH($H2850,설정_코스수당!$A$15:$A$64,0),MATCH($E2850&amp;"수당",설정_코스수당!$B$14:$F$14,0)),0)),0)</f>
        <v>0</v>
      </c>
      <c r="M2850" s="33">
        <f>IF($O2850="방문완료",IFERROR(VLOOKUP($E2850,설정_코스수당!$A$6:$H$10,6,FALSE),0),0)</f>
        <v>0</v>
      </c>
      <c r="N2850" s="34">
        <f t="shared" si="82"/>
        <v>0</v>
      </c>
      <c r="O2850" s="29"/>
      <c r="P2850" s="29"/>
      <c r="Q2850" s="29"/>
      <c r="R2850" s="32"/>
      <c r="S2850" s="29"/>
    </row>
    <row r="2851" spans="1:19" ht="19.5" hidden="1" customHeight="1" outlineLevel="1">
      <c r="A2851" s="23">
        <v>57</v>
      </c>
      <c r="B2851" s="24">
        <f>IF(28&lt;=DAY(DATE(YEAR(설정_코스수당!$K$2),MONTH(설정_코스수당!$K$2)+1,0)),DATE(YEAR(설정_코스수당!$K$2),MONTH(설정_코스수당!$K$2),28),"")</f>
        <v>46201</v>
      </c>
      <c r="C2851" s="25"/>
      <c r="D2851" s="23"/>
      <c r="E2851" s="23"/>
      <c r="F2851" s="26"/>
      <c r="G2851" s="23"/>
      <c r="H2851" s="23"/>
      <c r="I2851" s="23"/>
      <c r="J2851" s="27">
        <f>IF($O2851="방문완료",MAX(0,IFERROR(VLOOKUP($E2851,설정_코스수당!$A$6:$H$10,4,FALSE),0)-IF(OR($P2851="",$P2851="없음"),0,100000)),0)</f>
        <v>0</v>
      </c>
      <c r="K2851" s="27">
        <f t="array" ref="K2851">IF($O2851="방문완료",IFERROR(INDEX(설정_코스수당!$B$15:$F$64,MATCH($G2851,설정_코스수당!$A$15:$A$64,0),MATCH($E2851&amp;"수당",설정_코스수당!$B$14:$F$14,0)),0),0)</f>
        <v>0</v>
      </c>
      <c r="L2851" s="27">
        <f t="array" ref="L2851">IF($O2851="방문완료",IF($H2851="",0,IFERROR(INDEX(설정_코스수당!$B$15:$F$64,MATCH($H2851,설정_코스수당!$A$15:$A$64,0),MATCH($E2851&amp;"수당",설정_코스수당!$B$14:$F$14,0)),0)),0)</f>
        <v>0</v>
      </c>
      <c r="M2851" s="27">
        <f>IF($O2851="방문완료",IFERROR(VLOOKUP($E2851,설정_코스수당!$A$6:$H$10,6,FALSE),0),0)</f>
        <v>0</v>
      </c>
      <c r="N2851" s="28">
        <f t="shared" si="82"/>
        <v>0</v>
      </c>
      <c r="O2851" s="23"/>
      <c r="P2851" s="23"/>
      <c r="Q2851" s="23"/>
      <c r="R2851" s="26"/>
      <c r="S2851" s="23"/>
    </row>
    <row r="2852" spans="1:19" ht="19.5" hidden="1" customHeight="1" outlineLevel="1">
      <c r="A2852" s="29">
        <v>58</v>
      </c>
      <c r="B2852" s="30">
        <f>IF(28&lt;=DAY(DATE(YEAR(설정_코스수당!$K$2),MONTH(설정_코스수당!$K$2)+1,0)),DATE(YEAR(설정_코스수당!$K$2),MONTH(설정_코스수당!$K$2),28),"")</f>
        <v>46201</v>
      </c>
      <c r="C2852" s="31"/>
      <c r="D2852" s="29"/>
      <c r="E2852" s="29"/>
      <c r="F2852" s="32"/>
      <c r="G2852" s="29"/>
      <c r="H2852" s="29"/>
      <c r="I2852" s="29"/>
      <c r="J2852" s="33">
        <f>IF($O2852="방문완료",MAX(0,IFERROR(VLOOKUP($E2852,설정_코스수당!$A$6:$H$10,4,FALSE),0)-IF(OR($P2852="",$P2852="없음"),0,100000)),0)</f>
        <v>0</v>
      </c>
      <c r="K2852" s="33">
        <f t="array" ref="K2852">IF($O2852="방문완료",IFERROR(INDEX(설정_코스수당!$B$15:$F$64,MATCH($G2852,설정_코스수당!$A$15:$A$64,0),MATCH($E2852&amp;"수당",설정_코스수당!$B$14:$F$14,0)),0),0)</f>
        <v>0</v>
      </c>
      <c r="L2852" s="33">
        <f t="array" ref="L2852">IF($O2852="방문완료",IF($H2852="",0,IFERROR(INDEX(설정_코스수당!$B$15:$F$64,MATCH($H2852,설정_코스수당!$A$15:$A$64,0),MATCH($E2852&amp;"수당",설정_코스수당!$B$14:$F$14,0)),0)),0)</f>
        <v>0</v>
      </c>
      <c r="M2852" s="33">
        <f>IF($O2852="방문완료",IFERROR(VLOOKUP($E2852,설정_코스수당!$A$6:$H$10,6,FALSE),0),0)</f>
        <v>0</v>
      </c>
      <c r="N2852" s="34">
        <f t="shared" si="82"/>
        <v>0</v>
      </c>
      <c r="O2852" s="29"/>
      <c r="P2852" s="29"/>
      <c r="Q2852" s="29"/>
      <c r="R2852" s="32"/>
      <c r="S2852" s="29"/>
    </row>
    <row r="2853" spans="1:19" ht="19.5" hidden="1" customHeight="1" outlineLevel="1">
      <c r="A2853" s="23">
        <v>59</v>
      </c>
      <c r="B2853" s="24">
        <f>IF(28&lt;=DAY(DATE(YEAR(설정_코스수당!$K$2),MONTH(설정_코스수당!$K$2)+1,0)),DATE(YEAR(설정_코스수당!$K$2),MONTH(설정_코스수당!$K$2),28),"")</f>
        <v>46201</v>
      </c>
      <c r="C2853" s="25"/>
      <c r="D2853" s="23"/>
      <c r="E2853" s="23"/>
      <c r="F2853" s="26"/>
      <c r="G2853" s="23"/>
      <c r="H2853" s="23"/>
      <c r="I2853" s="23"/>
      <c r="J2853" s="27">
        <f>IF($O2853="방문완료",MAX(0,IFERROR(VLOOKUP($E2853,설정_코스수당!$A$6:$H$10,4,FALSE),0)-IF(OR($P2853="",$P2853="없음"),0,100000)),0)</f>
        <v>0</v>
      </c>
      <c r="K2853" s="27">
        <f t="array" ref="K2853">IF($O2853="방문완료",IFERROR(INDEX(설정_코스수당!$B$15:$F$64,MATCH($G2853,설정_코스수당!$A$15:$A$64,0),MATCH($E2853&amp;"수당",설정_코스수당!$B$14:$F$14,0)),0),0)</f>
        <v>0</v>
      </c>
      <c r="L2853" s="27">
        <f t="array" ref="L2853">IF($O2853="방문완료",IF($H2853="",0,IFERROR(INDEX(설정_코스수당!$B$15:$F$64,MATCH($H2853,설정_코스수당!$A$15:$A$64,0),MATCH($E2853&amp;"수당",설정_코스수당!$B$14:$F$14,0)),0)),0)</f>
        <v>0</v>
      </c>
      <c r="M2853" s="27">
        <f>IF($O2853="방문완료",IFERROR(VLOOKUP($E2853,설정_코스수당!$A$6:$H$10,6,FALSE),0),0)</f>
        <v>0</v>
      </c>
      <c r="N2853" s="28">
        <f t="shared" si="82"/>
        <v>0</v>
      </c>
      <c r="O2853" s="23"/>
      <c r="P2853" s="23"/>
      <c r="Q2853" s="23"/>
      <c r="R2853" s="26"/>
      <c r="S2853" s="23"/>
    </row>
    <row r="2854" spans="1:19" ht="19.5" hidden="1" customHeight="1" outlineLevel="1">
      <c r="A2854" s="29">
        <v>60</v>
      </c>
      <c r="B2854" s="30">
        <f>IF(28&lt;=DAY(DATE(YEAR(설정_코스수당!$K$2),MONTH(설정_코스수당!$K$2)+1,0)),DATE(YEAR(설정_코스수당!$K$2),MONTH(설정_코스수당!$K$2),28),"")</f>
        <v>46201</v>
      </c>
      <c r="C2854" s="31"/>
      <c r="D2854" s="29"/>
      <c r="E2854" s="29"/>
      <c r="F2854" s="32"/>
      <c r="G2854" s="29"/>
      <c r="H2854" s="29"/>
      <c r="I2854" s="29"/>
      <c r="J2854" s="33">
        <f>IF($O2854="방문완료",MAX(0,IFERROR(VLOOKUP($E2854,설정_코스수당!$A$6:$H$10,4,FALSE),0)-IF(OR($P2854="",$P2854="없음"),0,100000)),0)</f>
        <v>0</v>
      </c>
      <c r="K2854" s="33">
        <f t="array" ref="K2854">IF($O2854="방문완료",IFERROR(INDEX(설정_코스수당!$B$15:$F$64,MATCH($G2854,설정_코스수당!$A$15:$A$64,0),MATCH($E2854&amp;"수당",설정_코스수당!$B$14:$F$14,0)),0),0)</f>
        <v>0</v>
      </c>
      <c r="L2854" s="33">
        <f t="array" ref="L2854">IF($O2854="방문완료",IF($H2854="",0,IFERROR(INDEX(설정_코스수당!$B$15:$F$64,MATCH($H2854,설정_코스수당!$A$15:$A$64,0),MATCH($E2854&amp;"수당",설정_코스수당!$B$14:$F$14,0)),0)),0)</f>
        <v>0</v>
      </c>
      <c r="M2854" s="33">
        <f>IF($O2854="방문완료",IFERROR(VLOOKUP($E2854,설정_코스수당!$A$6:$H$10,6,FALSE),0),0)</f>
        <v>0</v>
      </c>
      <c r="N2854" s="34">
        <f t="shared" si="82"/>
        <v>0</v>
      </c>
      <c r="O2854" s="29"/>
      <c r="P2854" s="29"/>
      <c r="Q2854" s="29"/>
      <c r="R2854" s="32"/>
      <c r="S2854" s="29"/>
    </row>
    <row r="2855" spans="1:19" ht="19.5" hidden="1" customHeight="1" outlineLevel="1">
      <c r="A2855" s="23">
        <v>61</v>
      </c>
      <c r="B2855" s="24">
        <f>IF(28&lt;=DAY(DATE(YEAR(설정_코스수당!$K$2),MONTH(설정_코스수당!$K$2)+1,0)),DATE(YEAR(설정_코스수당!$K$2),MONTH(설정_코스수당!$K$2),28),"")</f>
        <v>46201</v>
      </c>
      <c r="C2855" s="25"/>
      <c r="D2855" s="23"/>
      <c r="E2855" s="23"/>
      <c r="F2855" s="26"/>
      <c r="G2855" s="23"/>
      <c r="H2855" s="23"/>
      <c r="I2855" s="23"/>
      <c r="J2855" s="27">
        <f>IF($O2855="방문완료",MAX(0,IFERROR(VLOOKUP($E2855,설정_코스수당!$A$6:$H$10,4,FALSE),0)-IF(OR($P2855="",$P2855="없음"),0,100000)),0)</f>
        <v>0</v>
      </c>
      <c r="K2855" s="27">
        <f t="array" ref="K2855">IF($O2855="방문완료",IFERROR(INDEX(설정_코스수당!$B$15:$F$64,MATCH($G2855,설정_코스수당!$A$15:$A$64,0),MATCH($E2855&amp;"수당",설정_코스수당!$B$14:$F$14,0)),0),0)</f>
        <v>0</v>
      </c>
      <c r="L2855" s="27">
        <f t="array" ref="L2855">IF($O2855="방문완료",IF($H2855="",0,IFERROR(INDEX(설정_코스수당!$B$15:$F$64,MATCH($H2855,설정_코스수당!$A$15:$A$64,0),MATCH($E2855&amp;"수당",설정_코스수당!$B$14:$F$14,0)),0)),0)</f>
        <v>0</v>
      </c>
      <c r="M2855" s="27">
        <f>IF($O2855="방문완료",IFERROR(VLOOKUP($E2855,설정_코스수당!$A$6:$H$10,6,FALSE),0),0)</f>
        <v>0</v>
      </c>
      <c r="N2855" s="28">
        <f t="shared" si="82"/>
        <v>0</v>
      </c>
      <c r="O2855" s="23"/>
      <c r="P2855" s="23"/>
      <c r="Q2855" s="23"/>
      <c r="R2855" s="26"/>
      <c r="S2855" s="23"/>
    </row>
    <row r="2856" spans="1:19" ht="19.5" hidden="1" customHeight="1" outlineLevel="1">
      <c r="A2856" s="29">
        <v>62</v>
      </c>
      <c r="B2856" s="30">
        <f>IF(28&lt;=DAY(DATE(YEAR(설정_코스수당!$K$2),MONTH(설정_코스수당!$K$2)+1,0)),DATE(YEAR(설정_코스수당!$K$2),MONTH(설정_코스수당!$K$2),28),"")</f>
        <v>46201</v>
      </c>
      <c r="C2856" s="31"/>
      <c r="D2856" s="29"/>
      <c r="E2856" s="29"/>
      <c r="F2856" s="32"/>
      <c r="G2856" s="29"/>
      <c r="H2856" s="29"/>
      <c r="I2856" s="29"/>
      <c r="J2856" s="33">
        <f>IF($O2856="방문완료",MAX(0,IFERROR(VLOOKUP($E2856,설정_코스수당!$A$6:$H$10,4,FALSE),0)-IF(OR($P2856="",$P2856="없음"),0,100000)),0)</f>
        <v>0</v>
      </c>
      <c r="K2856" s="33">
        <f t="array" ref="K2856">IF($O2856="방문완료",IFERROR(INDEX(설정_코스수당!$B$15:$F$64,MATCH($G2856,설정_코스수당!$A$15:$A$64,0),MATCH($E2856&amp;"수당",설정_코스수당!$B$14:$F$14,0)),0),0)</f>
        <v>0</v>
      </c>
      <c r="L2856" s="33">
        <f t="array" ref="L2856">IF($O2856="방문완료",IF($H2856="",0,IFERROR(INDEX(설정_코스수당!$B$15:$F$64,MATCH($H2856,설정_코스수당!$A$15:$A$64,0),MATCH($E2856&amp;"수당",설정_코스수당!$B$14:$F$14,0)),0)),0)</f>
        <v>0</v>
      </c>
      <c r="M2856" s="33">
        <f>IF($O2856="방문완료",IFERROR(VLOOKUP($E2856,설정_코스수당!$A$6:$H$10,6,FALSE),0),0)</f>
        <v>0</v>
      </c>
      <c r="N2856" s="34">
        <f t="shared" si="82"/>
        <v>0</v>
      </c>
      <c r="O2856" s="29"/>
      <c r="P2856" s="29"/>
      <c r="Q2856" s="29"/>
      <c r="R2856" s="32"/>
      <c r="S2856" s="29"/>
    </row>
    <row r="2857" spans="1:19" ht="19.5" hidden="1" customHeight="1" outlineLevel="1">
      <c r="A2857" s="23">
        <v>63</v>
      </c>
      <c r="B2857" s="24">
        <f>IF(28&lt;=DAY(DATE(YEAR(설정_코스수당!$K$2),MONTH(설정_코스수당!$K$2)+1,0)),DATE(YEAR(설정_코스수당!$K$2),MONTH(설정_코스수당!$K$2),28),"")</f>
        <v>46201</v>
      </c>
      <c r="C2857" s="25"/>
      <c r="D2857" s="23"/>
      <c r="E2857" s="23"/>
      <c r="F2857" s="26"/>
      <c r="G2857" s="23"/>
      <c r="H2857" s="23"/>
      <c r="I2857" s="23"/>
      <c r="J2857" s="27">
        <f>IF($O2857="방문완료",MAX(0,IFERROR(VLOOKUP($E2857,설정_코스수당!$A$6:$H$10,4,FALSE),0)-IF(OR($P2857="",$P2857="없음"),0,100000)),0)</f>
        <v>0</v>
      </c>
      <c r="K2857" s="27">
        <f t="array" ref="K2857">IF($O2857="방문완료",IFERROR(INDEX(설정_코스수당!$B$15:$F$64,MATCH($G2857,설정_코스수당!$A$15:$A$64,0),MATCH($E2857&amp;"수당",설정_코스수당!$B$14:$F$14,0)),0),0)</f>
        <v>0</v>
      </c>
      <c r="L2857" s="27">
        <f t="array" ref="L2857">IF($O2857="방문완료",IF($H2857="",0,IFERROR(INDEX(설정_코스수당!$B$15:$F$64,MATCH($H2857,설정_코스수당!$A$15:$A$64,0),MATCH($E2857&amp;"수당",설정_코스수당!$B$14:$F$14,0)),0)),0)</f>
        <v>0</v>
      </c>
      <c r="M2857" s="27">
        <f>IF($O2857="방문완료",IFERROR(VLOOKUP($E2857,설정_코스수당!$A$6:$H$10,6,FALSE),0),0)</f>
        <v>0</v>
      </c>
      <c r="N2857" s="28">
        <f t="shared" si="82"/>
        <v>0</v>
      </c>
      <c r="O2857" s="23"/>
      <c r="P2857" s="23"/>
      <c r="Q2857" s="23"/>
      <c r="R2857" s="26"/>
      <c r="S2857" s="23"/>
    </row>
    <row r="2858" spans="1:19" ht="19.5" hidden="1" customHeight="1" outlineLevel="1">
      <c r="A2858" s="29">
        <v>64</v>
      </c>
      <c r="B2858" s="30">
        <f>IF(28&lt;=DAY(DATE(YEAR(설정_코스수당!$K$2),MONTH(설정_코스수당!$K$2)+1,0)),DATE(YEAR(설정_코스수당!$K$2),MONTH(설정_코스수당!$K$2),28),"")</f>
        <v>46201</v>
      </c>
      <c r="C2858" s="31"/>
      <c r="D2858" s="29"/>
      <c r="E2858" s="29"/>
      <c r="F2858" s="32"/>
      <c r="G2858" s="29"/>
      <c r="H2858" s="29"/>
      <c r="I2858" s="29"/>
      <c r="J2858" s="33">
        <f>IF($O2858="방문완료",MAX(0,IFERROR(VLOOKUP($E2858,설정_코스수당!$A$6:$H$10,4,FALSE),0)-IF(OR($P2858="",$P2858="없음"),0,100000)),0)</f>
        <v>0</v>
      </c>
      <c r="K2858" s="33">
        <f t="array" ref="K2858">IF($O2858="방문완료",IFERROR(INDEX(설정_코스수당!$B$15:$F$64,MATCH($G2858,설정_코스수당!$A$15:$A$64,0),MATCH($E2858&amp;"수당",설정_코스수당!$B$14:$F$14,0)),0),0)</f>
        <v>0</v>
      </c>
      <c r="L2858" s="33">
        <f t="array" ref="L2858">IF($O2858="방문완료",IF($H2858="",0,IFERROR(INDEX(설정_코스수당!$B$15:$F$64,MATCH($H2858,설정_코스수당!$A$15:$A$64,0),MATCH($E2858&amp;"수당",설정_코스수당!$B$14:$F$14,0)),0)),0)</f>
        <v>0</v>
      </c>
      <c r="M2858" s="33">
        <f>IF($O2858="방문완료",IFERROR(VLOOKUP($E2858,설정_코스수당!$A$6:$H$10,6,FALSE),0),0)</f>
        <v>0</v>
      </c>
      <c r="N2858" s="34">
        <f t="shared" si="82"/>
        <v>0</v>
      </c>
      <c r="O2858" s="29"/>
      <c r="P2858" s="29"/>
      <c r="Q2858" s="29"/>
      <c r="R2858" s="32"/>
      <c r="S2858" s="29"/>
    </row>
    <row r="2859" spans="1:19" ht="19.5" hidden="1" customHeight="1" outlineLevel="1">
      <c r="A2859" s="23">
        <v>65</v>
      </c>
      <c r="B2859" s="24">
        <f>IF(28&lt;=DAY(DATE(YEAR(설정_코스수당!$K$2),MONTH(설정_코스수당!$K$2)+1,0)),DATE(YEAR(설정_코스수당!$K$2),MONTH(설정_코스수당!$K$2),28),"")</f>
        <v>46201</v>
      </c>
      <c r="C2859" s="25"/>
      <c r="D2859" s="23"/>
      <c r="E2859" s="23"/>
      <c r="F2859" s="26"/>
      <c r="G2859" s="23"/>
      <c r="H2859" s="23"/>
      <c r="I2859" s="23"/>
      <c r="J2859" s="27">
        <f>IF($O2859="방문완료",MAX(0,IFERROR(VLOOKUP($E2859,설정_코스수당!$A$6:$H$10,4,FALSE),0)-IF(OR($P2859="",$P2859="없음"),0,100000)),0)</f>
        <v>0</v>
      </c>
      <c r="K2859" s="27">
        <f t="array" ref="K2859">IF($O2859="방문완료",IFERROR(INDEX(설정_코스수당!$B$15:$F$64,MATCH($G2859,설정_코스수당!$A$15:$A$64,0),MATCH($E2859&amp;"수당",설정_코스수당!$B$14:$F$14,0)),0),0)</f>
        <v>0</v>
      </c>
      <c r="L2859" s="27">
        <f t="array" ref="L2859">IF($O2859="방문완료",IF($H2859="",0,IFERROR(INDEX(설정_코스수당!$B$15:$F$64,MATCH($H2859,설정_코스수당!$A$15:$A$64,0),MATCH($E2859&amp;"수당",설정_코스수당!$B$14:$F$14,0)),0)),0)</f>
        <v>0</v>
      </c>
      <c r="M2859" s="27">
        <f>IF($O2859="방문완료",IFERROR(VLOOKUP($E2859,설정_코스수당!$A$6:$H$10,6,FALSE),0),0)</f>
        <v>0</v>
      </c>
      <c r="N2859" s="28">
        <f t="shared" ref="N2859:N2894" si="83">IF($O2859="방문완료",1,0)</f>
        <v>0</v>
      </c>
      <c r="O2859" s="23"/>
      <c r="P2859" s="23"/>
      <c r="Q2859" s="23"/>
      <c r="R2859" s="26"/>
      <c r="S2859" s="23"/>
    </row>
    <row r="2860" spans="1:19" ht="19.5" hidden="1" customHeight="1" outlineLevel="1">
      <c r="A2860" s="29">
        <v>66</v>
      </c>
      <c r="B2860" s="30">
        <f>IF(28&lt;=DAY(DATE(YEAR(설정_코스수당!$K$2),MONTH(설정_코스수당!$K$2)+1,0)),DATE(YEAR(설정_코스수당!$K$2),MONTH(설정_코스수당!$K$2),28),"")</f>
        <v>46201</v>
      </c>
      <c r="C2860" s="31"/>
      <c r="D2860" s="29"/>
      <c r="E2860" s="29"/>
      <c r="F2860" s="32"/>
      <c r="G2860" s="29"/>
      <c r="H2860" s="29"/>
      <c r="I2860" s="29"/>
      <c r="J2860" s="33">
        <f>IF($O2860="방문완료",MAX(0,IFERROR(VLOOKUP($E2860,설정_코스수당!$A$6:$H$10,4,FALSE),0)-IF(OR($P2860="",$P2860="없음"),0,100000)),0)</f>
        <v>0</v>
      </c>
      <c r="K2860" s="33">
        <f t="array" ref="K2860">IF($O2860="방문완료",IFERROR(INDEX(설정_코스수당!$B$15:$F$64,MATCH($G2860,설정_코스수당!$A$15:$A$64,0),MATCH($E2860&amp;"수당",설정_코스수당!$B$14:$F$14,0)),0),0)</f>
        <v>0</v>
      </c>
      <c r="L2860" s="33">
        <f t="array" ref="L2860">IF($O2860="방문완료",IF($H2860="",0,IFERROR(INDEX(설정_코스수당!$B$15:$F$64,MATCH($H2860,설정_코스수당!$A$15:$A$64,0),MATCH($E2860&amp;"수당",설정_코스수당!$B$14:$F$14,0)),0)),0)</f>
        <v>0</v>
      </c>
      <c r="M2860" s="33">
        <f>IF($O2860="방문완료",IFERROR(VLOOKUP($E2860,설정_코스수당!$A$6:$H$10,6,FALSE),0),0)</f>
        <v>0</v>
      </c>
      <c r="N2860" s="34">
        <f t="shared" si="83"/>
        <v>0</v>
      </c>
      <c r="O2860" s="29"/>
      <c r="P2860" s="29"/>
      <c r="Q2860" s="29"/>
      <c r="R2860" s="32"/>
      <c r="S2860" s="29"/>
    </row>
    <row r="2861" spans="1:19" ht="19.5" hidden="1" customHeight="1" outlineLevel="1">
      <c r="A2861" s="23">
        <v>67</v>
      </c>
      <c r="B2861" s="24">
        <f>IF(28&lt;=DAY(DATE(YEAR(설정_코스수당!$K$2),MONTH(설정_코스수당!$K$2)+1,0)),DATE(YEAR(설정_코스수당!$K$2),MONTH(설정_코스수당!$K$2),28),"")</f>
        <v>46201</v>
      </c>
      <c r="C2861" s="25"/>
      <c r="D2861" s="23"/>
      <c r="E2861" s="23"/>
      <c r="F2861" s="26"/>
      <c r="G2861" s="23"/>
      <c r="H2861" s="23"/>
      <c r="I2861" s="23"/>
      <c r="J2861" s="27">
        <f>IF($O2861="방문완료",MAX(0,IFERROR(VLOOKUP($E2861,설정_코스수당!$A$6:$H$10,4,FALSE),0)-IF(OR($P2861="",$P2861="없음"),0,100000)),0)</f>
        <v>0</v>
      </c>
      <c r="K2861" s="27">
        <f t="array" ref="K2861">IF($O2861="방문완료",IFERROR(INDEX(설정_코스수당!$B$15:$F$64,MATCH($G2861,설정_코스수당!$A$15:$A$64,0),MATCH($E2861&amp;"수당",설정_코스수당!$B$14:$F$14,0)),0),0)</f>
        <v>0</v>
      </c>
      <c r="L2861" s="27">
        <f t="array" ref="L2861">IF($O2861="방문완료",IF($H2861="",0,IFERROR(INDEX(설정_코스수당!$B$15:$F$64,MATCH($H2861,설정_코스수당!$A$15:$A$64,0),MATCH($E2861&amp;"수당",설정_코스수당!$B$14:$F$14,0)),0)),0)</f>
        <v>0</v>
      </c>
      <c r="M2861" s="27">
        <f>IF($O2861="방문완료",IFERROR(VLOOKUP($E2861,설정_코스수당!$A$6:$H$10,6,FALSE),0),0)</f>
        <v>0</v>
      </c>
      <c r="N2861" s="28">
        <f t="shared" si="83"/>
        <v>0</v>
      </c>
      <c r="O2861" s="23"/>
      <c r="P2861" s="23"/>
      <c r="Q2861" s="23"/>
      <c r="R2861" s="26"/>
      <c r="S2861" s="23"/>
    </row>
    <row r="2862" spans="1:19" ht="19.5" hidden="1" customHeight="1" outlineLevel="1">
      <c r="A2862" s="29">
        <v>68</v>
      </c>
      <c r="B2862" s="30">
        <f>IF(28&lt;=DAY(DATE(YEAR(설정_코스수당!$K$2),MONTH(설정_코스수당!$K$2)+1,0)),DATE(YEAR(설정_코스수당!$K$2),MONTH(설정_코스수당!$K$2),28),"")</f>
        <v>46201</v>
      </c>
      <c r="C2862" s="31"/>
      <c r="D2862" s="29"/>
      <c r="E2862" s="29"/>
      <c r="F2862" s="32"/>
      <c r="G2862" s="29"/>
      <c r="H2862" s="29"/>
      <c r="I2862" s="29"/>
      <c r="J2862" s="33">
        <f>IF($O2862="방문완료",MAX(0,IFERROR(VLOOKUP($E2862,설정_코스수당!$A$6:$H$10,4,FALSE),0)-IF(OR($P2862="",$P2862="없음"),0,100000)),0)</f>
        <v>0</v>
      </c>
      <c r="K2862" s="33">
        <f t="array" ref="K2862">IF($O2862="방문완료",IFERROR(INDEX(설정_코스수당!$B$15:$F$64,MATCH($G2862,설정_코스수당!$A$15:$A$64,0),MATCH($E2862&amp;"수당",설정_코스수당!$B$14:$F$14,0)),0),0)</f>
        <v>0</v>
      </c>
      <c r="L2862" s="33">
        <f t="array" ref="L2862">IF($O2862="방문완료",IF($H2862="",0,IFERROR(INDEX(설정_코스수당!$B$15:$F$64,MATCH($H2862,설정_코스수당!$A$15:$A$64,0),MATCH($E2862&amp;"수당",설정_코스수당!$B$14:$F$14,0)),0)),0)</f>
        <v>0</v>
      </c>
      <c r="M2862" s="33">
        <f>IF($O2862="방문완료",IFERROR(VLOOKUP($E2862,설정_코스수당!$A$6:$H$10,6,FALSE),0),0)</f>
        <v>0</v>
      </c>
      <c r="N2862" s="34">
        <f t="shared" si="83"/>
        <v>0</v>
      </c>
      <c r="O2862" s="29"/>
      <c r="P2862" s="29"/>
      <c r="Q2862" s="29"/>
      <c r="R2862" s="32"/>
      <c r="S2862" s="29"/>
    </row>
    <row r="2863" spans="1:19" ht="19.5" hidden="1" customHeight="1" outlineLevel="1">
      <c r="A2863" s="23">
        <v>69</v>
      </c>
      <c r="B2863" s="24">
        <f>IF(28&lt;=DAY(DATE(YEAR(설정_코스수당!$K$2),MONTH(설정_코스수당!$K$2)+1,0)),DATE(YEAR(설정_코스수당!$K$2),MONTH(설정_코스수당!$K$2),28),"")</f>
        <v>46201</v>
      </c>
      <c r="C2863" s="25"/>
      <c r="D2863" s="23"/>
      <c r="E2863" s="23"/>
      <c r="F2863" s="26"/>
      <c r="G2863" s="23"/>
      <c r="H2863" s="23"/>
      <c r="I2863" s="23"/>
      <c r="J2863" s="27">
        <f>IF($O2863="방문완료",MAX(0,IFERROR(VLOOKUP($E2863,설정_코스수당!$A$6:$H$10,4,FALSE),0)-IF(OR($P2863="",$P2863="없음"),0,100000)),0)</f>
        <v>0</v>
      </c>
      <c r="K2863" s="27">
        <f t="array" ref="K2863">IF($O2863="방문완료",IFERROR(INDEX(설정_코스수당!$B$15:$F$64,MATCH($G2863,설정_코스수당!$A$15:$A$64,0),MATCH($E2863&amp;"수당",설정_코스수당!$B$14:$F$14,0)),0),0)</f>
        <v>0</v>
      </c>
      <c r="L2863" s="27">
        <f t="array" ref="L2863">IF($O2863="방문완료",IF($H2863="",0,IFERROR(INDEX(설정_코스수당!$B$15:$F$64,MATCH($H2863,설정_코스수당!$A$15:$A$64,0),MATCH($E2863&amp;"수당",설정_코스수당!$B$14:$F$14,0)),0)),0)</f>
        <v>0</v>
      </c>
      <c r="M2863" s="27">
        <f>IF($O2863="방문완료",IFERROR(VLOOKUP($E2863,설정_코스수당!$A$6:$H$10,6,FALSE),0),0)</f>
        <v>0</v>
      </c>
      <c r="N2863" s="28">
        <f t="shared" si="83"/>
        <v>0</v>
      </c>
      <c r="O2863" s="23"/>
      <c r="P2863" s="23"/>
      <c r="Q2863" s="23"/>
      <c r="R2863" s="26"/>
      <c r="S2863" s="23"/>
    </row>
    <row r="2864" spans="1:19" ht="19.5" hidden="1" customHeight="1" outlineLevel="1">
      <c r="A2864" s="29">
        <v>70</v>
      </c>
      <c r="B2864" s="30">
        <f>IF(28&lt;=DAY(DATE(YEAR(설정_코스수당!$K$2),MONTH(설정_코스수당!$K$2)+1,0)),DATE(YEAR(설정_코스수당!$K$2),MONTH(설정_코스수당!$K$2),28),"")</f>
        <v>46201</v>
      </c>
      <c r="C2864" s="31"/>
      <c r="D2864" s="29"/>
      <c r="E2864" s="29"/>
      <c r="F2864" s="32"/>
      <c r="G2864" s="29"/>
      <c r="H2864" s="29"/>
      <c r="I2864" s="29"/>
      <c r="J2864" s="33">
        <f>IF($O2864="방문완료",MAX(0,IFERROR(VLOOKUP($E2864,설정_코스수당!$A$6:$H$10,4,FALSE),0)-IF(OR($P2864="",$P2864="없음"),0,100000)),0)</f>
        <v>0</v>
      </c>
      <c r="K2864" s="33">
        <f t="array" ref="K2864">IF($O2864="방문완료",IFERROR(INDEX(설정_코스수당!$B$15:$F$64,MATCH($G2864,설정_코스수당!$A$15:$A$64,0),MATCH($E2864&amp;"수당",설정_코스수당!$B$14:$F$14,0)),0),0)</f>
        <v>0</v>
      </c>
      <c r="L2864" s="33">
        <f t="array" ref="L2864">IF($O2864="방문완료",IF($H2864="",0,IFERROR(INDEX(설정_코스수당!$B$15:$F$64,MATCH($H2864,설정_코스수당!$A$15:$A$64,0),MATCH($E2864&amp;"수당",설정_코스수당!$B$14:$F$14,0)),0)),0)</f>
        <v>0</v>
      </c>
      <c r="M2864" s="33">
        <f>IF($O2864="방문완료",IFERROR(VLOOKUP($E2864,설정_코스수당!$A$6:$H$10,6,FALSE),0),0)</f>
        <v>0</v>
      </c>
      <c r="N2864" s="34">
        <f t="shared" si="83"/>
        <v>0</v>
      </c>
      <c r="O2864" s="29"/>
      <c r="P2864" s="29"/>
      <c r="Q2864" s="29"/>
      <c r="R2864" s="32"/>
      <c r="S2864" s="29"/>
    </row>
    <row r="2865" spans="1:19" ht="19.5" hidden="1" customHeight="1" outlineLevel="1">
      <c r="A2865" s="23">
        <v>71</v>
      </c>
      <c r="B2865" s="24">
        <f>IF(28&lt;=DAY(DATE(YEAR(설정_코스수당!$K$2),MONTH(설정_코스수당!$K$2)+1,0)),DATE(YEAR(설정_코스수당!$K$2),MONTH(설정_코스수당!$K$2),28),"")</f>
        <v>46201</v>
      </c>
      <c r="C2865" s="25"/>
      <c r="D2865" s="23"/>
      <c r="E2865" s="23"/>
      <c r="F2865" s="26"/>
      <c r="G2865" s="23"/>
      <c r="H2865" s="23"/>
      <c r="I2865" s="23"/>
      <c r="J2865" s="27">
        <f>IF($O2865="방문완료",MAX(0,IFERROR(VLOOKUP($E2865,설정_코스수당!$A$6:$H$10,4,FALSE),0)-IF(OR($P2865="",$P2865="없음"),0,100000)),0)</f>
        <v>0</v>
      </c>
      <c r="K2865" s="27">
        <f t="array" ref="K2865">IF($O2865="방문완료",IFERROR(INDEX(설정_코스수당!$B$15:$F$64,MATCH($G2865,설정_코스수당!$A$15:$A$64,0),MATCH($E2865&amp;"수당",설정_코스수당!$B$14:$F$14,0)),0),0)</f>
        <v>0</v>
      </c>
      <c r="L2865" s="27">
        <f t="array" ref="L2865">IF($O2865="방문완료",IF($H2865="",0,IFERROR(INDEX(설정_코스수당!$B$15:$F$64,MATCH($H2865,설정_코스수당!$A$15:$A$64,0),MATCH($E2865&amp;"수당",설정_코스수당!$B$14:$F$14,0)),0)),0)</f>
        <v>0</v>
      </c>
      <c r="M2865" s="27">
        <f>IF($O2865="방문완료",IFERROR(VLOOKUP($E2865,설정_코스수당!$A$6:$H$10,6,FALSE),0),0)</f>
        <v>0</v>
      </c>
      <c r="N2865" s="28">
        <f t="shared" si="83"/>
        <v>0</v>
      </c>
      <c r="O2865" s="23"/>
      <c r="P2865" s="23"/>
      <c r="Q2865" s="23"/>
      <c r="R2865" s="26"/>
      <c r="S2865" s="23"/>
    </row>
    <row r="2866" spans="1:19" ht="19.5" hidden="1" customHeight="1" outlineLevel="1">
      <c r="A2866" s="29">
        <v>72</v>
      </c>
      <c r="B2866" s="30">
        <f>IF(28&lt;=DAY(DATE(YEAR(설정_코스수당!$K$2),MONTH(설정_코스수당!$K$2)+1,0)),DATE(YEAR(설정_코스수당!$K$2),MONTH(설정_코스수당!$K$2),28),"")</f>
        <v>46201</v>
      </c>
      <c r="C2866" s="31"/>
      <c r="D2866" s="29"/>
      <c r="E2866" s="29"/>
      <c r="F2866" s="32"/>
      <c r="G2866" s="29"/>
      <c r="H2866" s="29"/>
      <c r="I2866" s="29"/>
      <c r="J2866" s="33">
        <f>IF($O2866="방문완료",MAX(0,IFERROR(VLOOKUP($E2866,설정_코스수당!$A$6:$H$10,4,FALSE),0)-IF(OR($P2866="",$P2866="없음"),0,100000)),0)</f>
        <v>0</v>
      </c>
      <c r="K2866" s="33">
        <f t="array" ref="K2866">IF($O2866="방문완료",IFERROR(INDEX(설정_코스수당!$B$15:$F$64,MATCH($G2866,설정_코스수당!$A$15:$A$64,0),MATCH($E2866&amp;"수당",설정_코스수당!$B$14:$F$14,0)),0),0)</f>
        <v>0</v>
      </c>
      <c r="L2866" s="33">
        <f t="array" ref="L2866">IF($O2866="방문완료",IF($H2866="",0,IFERROR(INDEX(설정_코스수당!$B$15:$F$64,MATCH($H2866,설정_코스수당!$A$15:$A$64,0),MATCH($E2866&amp;"수당",설정_코스수당!$B$14:$F$14,0)),0)),0)</f>
        <v>0</v>
      </c>
      <c r="M2866" s="33">
        <f>IF($O2866="방문완료",IFERROR(VLOOKUP($E2866,설정_코스수당!$A$6:$H$10,6,FALSE),0),0)</f>
        <v>0</v>
      </c>
      <c r="N2866" s="34">
        <f t="shared" si="83"/>
        <v>0</v>
      </c>
      <c r="O2866" s="29"/>
      <c r="P2866" s="29"/>
      <c r="Q2866" s="29"/>
      <c r="R2866" s="32"/>
      <c r="S2866" s="29"/>
    </row>
    <row r="2867" spans="1:19" ht="19.5" hidden="1" customHeight="1" outlineLevel="1">
      <c r="A2867" s="23">
        <v>73</v>
      </c>
      <c r="B2867" s="24">
        <f>IF(28&lt;=DAY(DATE(YEAR(설정_코스수당!$K$2),MONTH(설정_코스수당!$K$2)+1,0)),DATE(YEAR(설정_코스수당!$K$2),MONTH(설정_코스수당!$K$2),28),"")</f>
        <v>46201</v>
      </c>
      <c r="C2867" s="25"/>
      <c r="D2867" s="23"/>
      <c r="E2867" s="23"/>
      <c r="F2867" s="26"/>
      <c r="G2867" s="23"/>
      <c r="H2867" s="23"/>
      <c r="I2867" s="23"/>
      <c r="J2867" s="27">
        <f>IF($O2867="방문완료",MAX(0,IFERROR(VLOOKUP($E2867,설정_코스수당!$A$6:$H$10,4,FALSE),0)-IF(OR($P2867="",$P2867="없음"),0,100000)),0)</f>
        <v>0</v>
      </c>
      <c r="K2867" s="27">
        <f t="array" ref="K2867">IF($O2867="방문완료",IFERROR(INDEX(설정_코스수당!$B$15:$F$64,MATCH($G2867,설정_코스수당!$A$15:$A$64,0),MATCH($E2867&amp;"수당",설정_코스수당!$B$14:$F$14,0)),0),0)</f>
        <v>0</v>
      </c>
      <c r="L2867" s="27">
        <f t="array" ref="L2867">IF($O2867="방문완료",IF($H2867="",0,IFERROR(INDEX(설정_코스수당!$B$15:$F$64,MATCH($H2867,설정_코스수당!$A$15:$A$64,0),MATCH($E2867&amp;"수당",설정_코스수당!$B$14:$F$14,0)),0)),0)</f>
        <v>0</v>
      </c>
      <c r="M2867" s="27">
        <f>IF($O2867="방문완료",IFERROR(VLOOKUP($E2867,설정_코스수당!$A$6:$H$10,6,FALSE),0),0)</f>
        <v>0</v>
      </c>
      <c r="N2867" s="28">
        <f t="shared" si="83"/>
        <v>0</v>
      </c>
      <c r="O2867" s="23"/>
      <c r="P2867" s="23"/>
      <c r="Q2867" s="23"/>
      <c r="R2867" s="26"/>
      <c r="S2867" s="23"/>
    </row>
    <row r="2868" spans="1:19" ht="19.5" hidden="1" customHeight="1" outlineLevel="1">
      <c r="A2868" s="29">
        <v>74</v>
      </c>
      <c r="B2868" s="30">
        <f>IF(28&lt;=DAY(DATE(YEAR(설정_코스수당!$K$2),MONTH(설정_코스수당!$K$2)+1,0)),DATE(YEAR(설정_코스수당!$K$2),MONTH(설정_코스수당!$K$2),28),"")</f>
        <v>46201</v>
      </c>
      <c r="C2868" s="31"/>
      <c r="D2868" s="29"/>
      <c r="E2868" s="29"/>
      <c r="F2868" s="32"/>
      <c r="G2868" s="29"/>
      <c r="H2868" s="29"/>
      <c r="I2868" s="29"/>
      <c r="J2868" s="33">
        <f>IF($O2868="방문완료",MAX(0,IFERROR(VLOOKUP($E2868,설정_코스수당!$A$6:$H$10,4,FALSE),0)-IF(OR($P2868="",$P2868="없음"),0,100000)),0)</f>
        <v>0</v>
      </c>
      <c r="K2868" s="33">
        <f t="array" ref="K2868">IF($O2868="방문완료",IFERROR(INDEX(설정_코스수당!$B$15:$F$64,MATCH($G2868,설정_코스수당!$A$15:$A$64,0),MATCH($E2868&amp;"수당",설정_코스수당!$B$14:$F$14,0)),0),0)</f>
        <v>0</v>
      </c>
      <c r="L2868" s="33">
        <f t="array" ref="L2868">IF($O2868="방문완료",IF($H2868="",0,IFERROR(INDEX(설정_코스수당!$B$15:$F$64,MATCH($H2868,설정_코스수당!$A$15:$A$64,0),MATCH($E2868&amp;"수당",설정_코스수당!$B$14:$F$14,0)),0)),0)</f>
        <v>0</v>
      </c>
      <c r="M2868" s="33">
        <f>IF($O2868="방문완료",IFERROR(VLOOKUP($E2868,설정_코스수당!$A$6:$H$10,6,FALSE),0),0)</f>
        <v>0</v>
      </c>
      <c r="N2868" s="34">
        <f t="shared" si="83"/>
        <v>0</v>
      </c>
      <c r="O2868" s="29"/>
      <c r="P2868" s="29"/>
      <c r="Q2868" s="29"/>
      <c r="R2868" s="32"/>
      <c r="S2868" s="29"/>
    </row>
    <row r="2869" spans="1:19" ht="19.5" hidden="1" customHeight="1" outlineLevel="1">
      <c r="A2869" s="23">
        <v>75</v>
      </c>
      <c r="B2869" s="24">
        <f>IF(28&lt;=DAY(DATE(YEAR(설정_코스수당!$K$2),MONTH(설정_코스수당!$K$2)+1,0)),DATE(YEAR(설정_코스수당!$K$2),MONTH(설정_코스수당!$K$2),28),"")</f>
        <v>46201</v>
      </c>
      <c r="C2869" s="25"/>
      <c r="D2869" s="23"/>
      <c r="E2869" s="23"/>
      <c r="F2869" s="26"/>
      <c r="G2869" s="23"/>
      <c r="H2869" s="23"/>
      <c r="I2869" s="23"/>
      <c r="J2869" s="27">
        <f>IF($O2869="방문완료",MAX(0,IFERROR(VLOOKUP($E2869,설정_코스수당!$A$6:$H$10,4,FALSE),0)-IF(OR($P2869="",$P2869="없음"),0,100000)),0)</f>
        <v>0</v>
      </c>
      <c r="K2869" s="27">
        <f t="array" ref="K2869">IF($O2869="방문완료",IFERROR(INDEX(설정_코스수당!$B$15:$F$64,MATCH($G2869,설정_코스수당!$A$15:$A$64,0),MATCH($E2869&amp;"수당",설정_코스수당!$B$14:$F$14,0)),0),0)</f>
        <v>0</v>
      </c>
      <c r="L2869" s="27">
        <f t="array" ref="L2869">IF($O2869="방문완료",IF($H2869="",0,IFERROR(INDEX(설정_코스수당!$B$15:$F$64,MATCH($H2869,설정_코스수당!$A$15:$A$64,0),MATCH($E2869&amp;"수당",설정_코스수당!$B$14:$F$14,0)),0)),0)</f>
        <v>0</v>
      </c>
      <c r="M2869" s="27">
        <f>IF($O2869="방문완료",IFERROR(VLOOKUP($E2869,설정_코스수당!$A$6:$H$10,6,FALSE),0),0)</f>
        <v>0</v>
      </c>
      <c r="N2869" s="28">
        <f t="shared" si="83"/>
        <v>0</v>
      </c>
      <c r="O2869" s="23"/>
      <c r="P2869" s="23"/>
      <c r="Q2869" s="23"/>
      <c r="R2869" s="26"/>
      <c r="S2869" s="23"/>
    </row>
    <row r="2870" spans="1:19" ht="19.5" hidden="1" customHeight="1" outlineLevel="1">
      <c r="A2870" s="29">
        <v>76</v>
      </c>
      <c r="B2870" s="30">
        <f>IF(28&lt;=DAY(DATE(YEAR(설정_코스수당!$K$2),MONTH(설정_코스수당!$K$2)+1,0)),DATE(YEAR(설정_코스수당!$K$2),MONTH(설정_코스수당!$K$2),28),"")</f>
        <v>46201</v>
      </c>
      <c r="C2870" s="31"/>
      <c r="D2870" s="29"/>
      <c r="E2870" s="29"/>
      <c r="F2870" s="32"/>
      <c r="G2870" s="29"/>
      <c r="H2870" s="29"/>
      <c r="I2870" s="29"/>
      <c r="J2870" s="33">
        <f>IF($O2870="방문완료",MAX(0,IFERROR(VLOOKUP($E2870,설정_코스수당!$A$6:$H$10,4,FALSE),0)-IF(OR($P2870="",$P2870="없음"),0,100000)),0)</f>
        <v>0</v>
      </c>
      <c r="K2870" s="33">
        <f t="array" ref="K2870">IF($O2870="방문완료",IFERROR(INDEX(설정_코스수당!$B$15:$F$64,MATCH($G2870,설정_코스수당!$A$15:$A$64,0),MATCH($E2870&amp;"수당",설정_코스수당!$B$14:$F$14,0)),0),0)</f>
        <v>0</v>
      </c>
      <c r="L2870" s="33">
        <f t="array" ref="L2870">IF($O2870="방문완료",IF($H2870="",0,IFERROR(INDEX(설정_코스수당!$B$15:$F$64,MATCH($H2870,설정_코스수당!$A$15:$A$64,0),MATCH($E2870&amp;"수당",설정_코스수당!$B$14:$F$14,0)),0)),0)</f>
        <v>0</v>
      </c>
      <c r="M2870" s="33">
        <f>IF($O2870="방문완료",IFERROR(VLOOKUP($E2870,설정_코스수당!$A$6:$H$10,6,FALSE),0),0)</f>
        <v>0</v>
      </c>
      <c r="N2870" s="34">
        <f t="shared" si="83"/>
        <v>0</v>
      </c>
      <c r="O2870" s="29"/>
      <c r="P2870" s="29"/>
      <c r="Q2870" s="29"/>
      <c r="R2870" s="32"/>
      <c r="S2870" s="29"/>
    </row>
    <row r="2871" spans="1:19" ht="19.5" hidden="1" customHeight="1" outlineLevel="1">
      <c r="A2871" s="23">
        <v>77</v>
      </c>
      <c r="B2871" s="24">
        <f>IF(28&lt;=DAY(DATE(YEAR(설정_코스수당!$K$2),MONTH(설정_코스수당!$K$2)+1,0)),DATE(YEAR(설정_코스수당!$K$2),MONTH(설정_코스수당!$K$2),28),"")</f>
        <v>46201</v>
      </c>
      <c r="C2871" s="25"/>
      <c r="D2871" s="23"/>
      <c r="E2871" s="23"/>
      <c r="F2871" s="26"/>
      <c r="G2871" s="23"/>
      <c r="H2871" s="23"/>
      <c r="I2871" s="23"/>
      <c r="J2871" s="27">
        <f>IF($O2871="방문완료",MAX(0,IFERROR(VLOOKUP($E2871,설정_코스수당!$A$6:$H$10,4,FALSE),0)-IF(OR($P2871="",$P2871="없음"),0,100000)),0)</f>
        <v>0</v>
      </c>
      <c r="K2871" s="27">
        <f t="array" ref="K2871">IF($O2871="방문완료",IFERROR(INDEX(설정_코스수당!$B$15:$F$64,MATCH($G2871,설정_코스수당!$A$15:$A$64,0),MATCH($E2871&amp;"수당",설정_코스수당!$B$14:$F$14,0)),0),0)</f>
        <v>0</v>
      </c>
      <c r="L2871" s="27">
        <f t="array" ref="L2871">IF($O2871="방문완료",IF($H2871="",0,IFERROR(INDEX(설정_코스수당!$B$15:$F$64,MATCH($H2871,설정_코스수당!$A$15:$A$64,0),MATCH($E2871&amp;"수당",설정_코스수당!$B$14:$F$14,0)),0)),0)</f>
        <v>0</v>
      </c>
      <c r="M2871" s="27">
        <f>IF($O2871="방문완료",IFERROR(VLOOKUP($E2871,설정_코스수당!$A$6:$H$10,6,FALSE),0),0)</f>
        <v>0</v>
      </c>
      <c r="N2871" s="28">
        <f t="shared" si="83"/>
        <v>0</v>
      </c>
      <c r="O2871" s="23"/>
      <c r="P2871" s="23"/>
      <c r="Q2871" s="23"/>
      <c r="R2871" s="26"/>
      <c r="S2871" s="23"/>
    </row>
    <row r="2872" spans="1:19" ht="19.5" hidden="1" customHeight="1" outlineLevel="1">
      <c r="A2872" s="29">
        <v>78</v>
      </c>
      <c r="B2872" s="30">
        <f>IF(28&lt;=DAY(DATE(YEAR(설정_코스수당!$K$2),MONTH(설정_코스수당!$K$2)+1,0)),DATE(YEAR(설정_코스수당!$K$2),MONTH(설정_코스수당!$K$2),28),"")</f>
        <v>46201</v>
      </c>
      <c r="C2872" s="31"/>
      <c r="D2872" s="29"/>
      <c r="E2872" s="29"/>
      <c r="F2872" s="32"/>
      <c r="G2872" s="29"/>
      <c r="H2872" s="29"/>
      <c r="I2872" s="29"/>
      <c r="J2872" s="33">
        <f>IF($O2872="방문완료",MAX(0,IFERROR(VLOOKUP($E2872,설정_코스수당!$A$6:$H$10,4,FALSE),0)-IF(OR($P2872="",$P2872="없음"),0,100000)),0)</f>
        <v>0</v>
      </c>
      <c r="K2872" s="33">
        <f t="array" ref="K2872">IF($O2872="방문완료",IFERROR(INDEX(설정_코스수당!$B$15:$F$64,MATCH($G2872,설정_코스수당!$A$15:$A$64,0),MATCH($E2872&amp;"수당",설정_코스수당!$B$14:$F$14,0)),0),0)</f>
        <v>0</v>
      </c>
      <c r="L2872" s="33">
        <f t="array" ref="L2872">IF($O2872="방문완료",IF($H2872="",0,IFERROR(INDEX(설정_코스수당!$B$15:$F$64,MATCH($H2872,설정_코스수당!$A$15:$A$64,0),MATCH($E2872&amp;"수당",설정_코스수당!$B$14:$F$14,0)),0)),0)</f>
        <v>0</v>
      </c>
      <c r="M2872" s="33">
        <f>IF($O2872="방문완료",IFERROR(VLOOKUP($E2872,설정_코스수당!$A$6:$H$10,6,FALSE),0),0)</f>
        <v>0</v>
      </c>
      <c r="N2872" s="34">
        <f t="shared" si="83"/>
        <v>0</v>
      </c>
      <c r="O2872" s="29"/>
      <c r="P2872" s="29"/>
      <c r="Q2872" s="29"/>
      <c r="R2872" s="32"/>
      <c r="S2872" s="29"/>
    </row>
    <row r="2873" spans="1:19" ht="19.5" hidden="1" customHeight="1" outlineLevel="1">
      <c r="A2873" s="23">
        <v>79</v>
      </c>
      <c r="B2873" s="24">
        <f>IF(28&lt;=DAY(DATE(YEAR(설정_코스수당!$K$2),MONTH(설정_코스수당!$K$2)+1,0)),DATE(YEAR(설정_코스수당!$K$2),MONTH(설정_코스수당!$K$2),28),"")</f>
        <v>46201</v>
      </c>
      <c r="C2873" s="25"/>
      <c r="D2873" s="23"/>
      <c r="E2873" s="23"/>
      <c r="F2873" s="26"/>
      <c r="G2873" s="23"/>
      <c r="H2873" s="23"/>
      <c r="I2873" s="23"/>
      <c r="J2873" s="27">
        <f>IF($O2873="방문완료",MAX(0,IFERROR(VLOOKUP($E2873,설정_코스수당!$A$6:$H$10,4,FALSE),0)-IF(OR($P2873="",$P2873="없음"),0,100000)),0)</f>
        <v>0</v>
      </c>
      <c r="K2873" s="27">
        <f t="array" ref="K2873">IF($O2873="방문완료",IFERROR(INDEX(설정_코스수당!$B$15:$F$64,MATCH($G2873,설정_코스수당!$A$15:$A$64,0),MATCH($E2873&amp;"수당",설정_코스수당!$B$14:$F$14,0)),0),0)</f>
        <v>0</v>
      </c>
      <c r="L2873" s="27">
        <f t="array" ref="L2873">IF($O2873="방문완료",IF($H2873="",0,IFERROR(INDEX(설정_코스수당!$B$15:$F$64,MATCH($H2873,설정_코스수당!$A$15:$A$64,0),MATCH($E2873&amp;"수당",설정_코스수당!$B$14:$F$14,0)),0)),0)</f>
        <v>0</v>
      </c>
      <c r="M2873" s="27">
        <f>IF($O2873="방문완료",IFERROR(VLOOKUP($E2873,설정_코스수당!$A$6:$H$10,6,FALSE),0),0)</f>
        <v>0</v>
      </c>
      <c r="N2873" s="28">
        <f t="shared" si="83"/>
        <v>0</v>
      </c>
      <c r="O2873" s="23"/>
      <c r="P2873" s="23"/>
      <c r="Q2873" s="23"/>
      <c r="R2873" s="26"/>
      <c r="S2873" s="23"/>
    </row>
    <row r="2874" spans="1:19" ht="19.5" hidden="1" customHeight="1" outlineLevel="1">
      <c r="A2874" s="29">
        <v>80</v>
      </c>
      <c r="B2874" s="30">
        <f>IF(28&lt;=DAY(DATE(YEAR(설정_코스수당!$K$2),MONTH(설정_코스수당!$K$2)+1,0)),DATE(YEAR(설정_코스수당!$K$2),MONTH(설정_코스수당!$K$2),28),"")</f>
        <v>46201</v>
      </c>
      <c r="C2874" s="31"/>
      <c r="D2874" s="29"/>
      <c r="E2874" s="29"/>
      <c r="F2874" s="32"/>
      <c r="G2874" s="29"/>
      <c r="H2874" s="29"/>
      <c r="I2874" s="29"/>
      <c r="J2874" s="33">
        <f>IF($O2874="방문완료",MAX(0,IFERROR(VLOOKUP($E2874,설정_코스수당!$A$6:$H$10,4,FALSE),0)-IF(OR($P2874="",$P2874="없음"),0,100000)),0)</f>
        <v>0</v>
      </c>
      <c r="K2874" s="33">
        <f t="array" ref="K2874">IF($O2874="방문완료",IFERROR(INDEX(설정_코스수당!$B$15:$F$64,MATCH($G2874,설정_코스수당!$A$15:$A$64,0),MATCH($E2874&amp;"수당",설정_코스수당!$B$14:$F$14,0)),0),0)</f>
        <v>0</v>
      </c>
      <c r="L2874" s="33">
        <f t="array" ref="L2874">IF($O2874="방문완료",IF($H2874="",0,IFERROR(INDEX(설정_코스수당!$B$15:$F$64,MATCH($H2874,설정_코스수당!$A$15:$A$64,0),MATCH($E2874&amp;"수당",설정_코스수당!$B$14:$F$14,0)),0)),0)</f>
        <v>0</v>
      </c>
      <c r="M2874" s="33">
        <f>IF($O2874="방문완료",IFERROR(VLOOKUP($E2874,설정_코스수당!$A$6:$H$10,6,FALSE),0),0)</f>
        <v>0</v>
      </c>
      <c r="N2874" s="34">
        <f t="shared" si="83"/>
        <v>0</v>
      </c>
      <c r="O2874" s="29"/>
      <c r="P2874" s="29"/>
      <c r="Q2874" s="29"/>
      <c r="R2874" s="32"/>
      <c r="S2874" s="29"/>
    </row>
    <row r="2875" spans="1:19" ht="19.5" hidden="1" customHeight="1" outlineLevel="1">
      <c r="A2875" s="23">
        <v>81</v>
      </c>
      <c r="B2875" s="24">
        <f>IF(28&lt;=DAY(DATE(YEAR(설정_코스수당!$K$2),MONTH(설정_코스수당!$K$2)+1,0)),DATE(YEAR(설정_코스수당!$K$2),MONTH(설정_코스수당!$K$2),28),"")</f>
        <v>46201</v>
      </c>
      <c r="C2875" s="25"/>
      <c r="D2875" s="23"/>
      <c r="E2875" s="23"/>
      <c r="F2875" s="26"/>
      <c r="G2875" s="23"/>
      <c r="H2875" s="23"/>
      <c r="I2875" s="23"/>
      <c r="J2875" s="27">
        <f>IF($O2875="방문완료",MAX(0,IFERROR(VLOOKUP($E2875,설정_코스수당!$A$6:$H$10,4,FALSE),0)-IF(OR($P2875="",$P2875="없음"),0,100000)),0)</f>
        <v>0</v>
      </c>
      <c r="K2875" s="27">
        <f t="array" ref="K2875">IF($O2875="방문완료",IFERROR(INDEX(설정_코스수당!$B$15:$F$64,MATCH($G2875,설정_코스수당!$A$15:$A$64,0),MATCH($E2875&amp;"수당",설정_코스수당!$B$14:$F$14,0)),0),0)</f>
        <v>0</v>
      </c>
      <c r="L2875" s="27">
        <f t="array" ref="L2875">IF($O2875="방문완료",IF($H2875="",0,IFERROR(INDEX(설정_코스수당!$B$15:$F$64,MATCH($H2875,설정_코스수당!$A$15:$A$64,0),MATCH($E2875&amp;"수당",설정_코스수당!$B$14:$F$14,0)),0)),0)</f>
        <v>0</v>
      </c>
      <c r="M2875" s="27">
        <f>IF($O2875="방문완료",IFERROR(VLOOKUP($E2875,설정_코스수당!$A$6:$H$10,6,FALSE),0),0)</f>
        <v>0</v>
      </c>
      <c r="N2875" s="28">
        <f t="shared" si="83"/>
        <v>0</v>
      </c>
      <c r="O2875" s="23"/>
      <c r="P2875" s="23"/>
      <c r="Q2875" s="23"/>
      <c r="R2875" s="26"/>
      <c r="S2875" s="23"/>
    </row>
    <row r="2876" spans="1:19" ht="19.5" hidden="1" customHeight="1" outlineLevel="1">
      <c r="A2876" s="29">
        <v>82</v>
      </c>
      <c r="B2876" s="30">
        <f>IF(28&lt;=DAY(DATE(YEAR(설정_코스수당!$K$2),MONTH(설정_코스수당!$K$2)+1,0)),DATE(YEAR(설정_코스수당!$K$2),MONTH(설정_코스수당!$K$2),28),"")</f>
        <v>46201</v>
      </c>
      <c r="C2876" s="31"/>
      <c r="D2876" s="29"/>
      <c r="E2876" s="29"/>
      <c r="F2876" s="32"/>
      <c r="G2876" s="29"/>
      <c r="H2876" s="29"/>
      <c r="I2876" s="29"/>
      <c r="J2876" s="33">
        <f>IF($O2876="방문완료",MAX(0,IFERROR(VLOOKUP($E2876,설정_코스수당!$A$6:$H$10,4,FALSE),0)-IF(OR($P2876="",$P2876="없음"),0,100000)),0)</f>
        <v>0</v>
      </c>
      <c r="K2876" s="33">
        <f t="array" ref="K2876">IF($O2876="방문완료",IFERROR(INDEX(설정_코스수당!$B$15:$F$64,MATCH($G2876,설정_코스수당!$A$15:$A$64,0),MATCH($E2876&amp;"수당",설정_코스수당!$B$14:$F$14,0)),0),0)</f>
        <v>0</v>
      </c>
      <c r="L2876" s="33">
        <f t="array" ref="L2876">IF($O2876="방문완료",IF($H2876="",0,IFERROR(INDEX(설정_코스수당!$B$15:$F$64,MATCH($H2876,설정_코스수당!$A$15:$A$64,0),MATCH($E2876&amp;"수당",설정_코스수당!$B$14:$F$14,0)),0)),0)</f>
        <v>0</v>
      </c>
      <c r="M2876" s="33">
        <f>IF($O2876="방문완료",IFERROR(VLOOKUP($E2876,설정_코스수당!$A$6:$H$10,6,FALSE),0),0)</f>
        <v>0</v>
      </c>
      <c r="N2876" s="34">
        <f t="shared" si="83"/>
        <v>0</v>
      </c>
      <c r="O2876" s="29"/>
      <c r="P2876" s="29"/>
      <c r="Q2876" s="29"/>
      <c r="R2876" s="32"/>
      <c r="S2876" s="29"/>
    </row>
    <row r="2877" spans="1:19" ht="19.5" hidden="1" customHeight="1" outlineLevel="1">
      <c r="A2877" s="23">
        <v>83</v>
      </c>
      <c r="B2877" s="24">
        <f>IF(28&lt;=DAY(DATE(YEAR(설정_코스수당!$K$2),MONTH(설정_코스수당!$K$2)+1,0)),DATE(YEAR(설정_코스수당!$K$2),MONTH(설정_코스수당!$K$2),28),"")</f>
        <v>46201</v>
      </c>
      <c r="C2877" s="25"/>
      <c r="D2877" s="23"/>
      <c r="E2877" s="23"/>
      <c r="F2877" s="26"/>
      <c r="G2877" s="23"/>
      <c r="H2877" s="23"/>
      <c r="I2877" s="23"/>
      <c r="J2877" s="27">
        <f>IF($O2877="방문완료",MAX(0,IFERROR(VLOOKUP($E2877,설정_코스수당!$A$6:$H$10,4,FALSE),0)-IF(OR($P2877="",$P2877="없음"),0,100000)),0)</f>
        <v>0</v>
      </c>
      <c r="K2877" s="27">
        <f t="array" ref="K2877">IF($O2877="방문완료",IFERROR(INDEX(설정_코스수당!$B$15:$F$64,MATCH($G2877,설정_코스수당!$A$15:$A$64,0),MATCH($E2877&amp;"수당",설정_코스수당!$B$14:$F$14,0)),0),0)</f>
        <v>0</v>
      </c>
      <c r="L2877" s="27">
        <f t="array" ref="L2877">IF($O2877="방문완료",IF($H2877="",0,IFERROR(INDEX(설정_코스수당!$B$15:$F$64,MATCH($H2877,설정_코스수당!$A$15:$A$64,0),MATCH($E2877&amp;"수당",설정_코스수당!$B$14:$F$14,0)),0)),0)</f>
        <v>0</v>
      </c>
      <c r="M2877" s="27">
        <f>IF($O2877="방문완료",IFERROR(VLOOKUP($E2877,설정_코스수당!$A$6:$H$10,6,FALSE),0),0)</f>
        <v>0</v>
      </c>
      <c r="N2877" s="28">
        <f t="shared" si="83"/>
        <v>0</v>
      </c>
      <c r="O2877" s="23"/>
      <c r="P2877" s="23"/>
      <c r="Q2877" s="23"/>
      <c r="R2877" s="26"/>
      <c r="S2877" s="23"/>
    </row>
    <row r="2878" spans="1:19" ht="19.5" hidden="1" customHeight="1" outlineLevel="1">
      <c r="A2878" s="29">
        <v>84</v>
      </c>
      <c r="B2878" s="30">
        <f>IF(28&lt;=DAY(DATE(YEAR(설정_코스수당!$K$2),MONTH(설정_코스수당!$K$2)+1,0)),DATE(YEAR(설정_코스수당!$K$2),MONTH(설정_코스수당!$K$2),28),"")</f>
        <v>46201</v>
      </c>
      <c r="C2878" s="31"/>
      <c r="D2878" s="29"/>
      <c r="E2878" s="29"/>
      <c r="F2878" s="32"/>
      <c r="G2878" s="29"/>
      <c r="H2878" s="29"/>
      <c r="I2878" s="29"/>
      <c r="J2878" s="33">
        <f>IF($O2878="방문완료",MAX(0,IFERROR(VLOOKUP($E2878,설정_코스수당!$A$6:$H$10,4,FALSE),0)-IF(OR($P2878="",$P2878="없음"),0,100000)),0)</f>
        <v>0</v>
      </c>
      <c r="K2878" s="33">
        <f t="array" ref="K2878">IF($O2878="방문완료",IFERROR(INDEX(설정_코스수당!$B$15:$F$64,MATCH($G2878,설정_코스수당!$A$15:$A$64,0),MATCH($E2878&amp;"수당",설정_코스수당!$B$14:$F$14,0)),0),0)</f>
        <v>0</v>
      </c>
      <c r="L2878" s="33">
        <f t="array" ref="L2878">IF($O2878="방문완료",IF($H2878="",0,IFERROR(INDEX(설정_코스수당!$B$15:$F$64,MATCH($H2878,설정_코스수당!$A$15:$A$64,0),MATCH($E2878&amp;"수당",설정_코스수당!$B$14:$F$14,0)),0)),0)</f>
        <v>0</v>
      </c>
      <c r="M2878" s="33">
        <f>IF($O2878="방문완료",IFERROR(VLOOKUP($E2878,설정_코스수당!$A$6:$H$10,6,FALSE),0),0)</f>
        <v>0</v>
      </c>
      <c r="N2878" s="34">
        <f t="shared" si="83"/>
        <v>0</v>
      </c>
      <c r="O2878" s="29"/>
      <c r="P2878" s="29"/>
      <c r="Q2878" s="29"/>
      <c r="R2878" s="32"/>
      <c r="S2878" s="29"/>
    </row>
    <row r="2879" spans="1:19" ht="19.5" hidden="1" customHeight="1" outlineLevel="1">
      <c r="A2879" s="23">
        <v>85</v>
      </c>
      <c r="B2879" s="24">
        <f>IF(28&lt;=DAY(DATE(YEAR(설정_코스수당!$K$2),MONTH(설정_코스수당!$K$2)+1,0)),DATE(YEAR(설정_코스수당!$K$2),MONTH(설정_코스수당!$K$2),28),"")</f>
        <v>46201</v>
      </c>
      <c r="C2879" s="25"/>
      <c r="D2879" s="23"/>
      <c r="E2879" s="23"/>
      <c r="F2879" s="26"/>
      <c r="G2879" s="23"/>
      <c r="H2879" s="23"/>
      <c r="I2879" s="23"/>
      <c r="J2879" s="27">
        <f>IF($O2879="방문완료",MAX(0,IFERROR(VLOOKUP($E2879,설정_코스수당!$A$6:$H$10,4,FALSE),0)-IF(OR($P2879="",$P2879="없음"),0,100000)),0)</f>
        <v>0</v>
      </c>
      <c r="K2879" s="27">
        <f t="array" ref="K2879">IF($O2879="방문완료",IFERROR(INDEX(설정_코스수당!$B$15:$F$64,MATCH($G2879,설정_코스수당!$A$15:$A$64,0),MATCH($E2879&amp;"수당",설정_코스수당!$B$14:$F$14,0)),0),0)</f>
        <v>0</v>
      </c>
      <c r="L2879" s="27">
        <f t="array" ref="L2879">IF($O2879="방문완료",IF($H2879="",0,IFERROR(INDEX(설정_코스수당!$B$15:$F$64,MATCH($H2879,설정_코스수당!$A$15:$A$64,0),MATCH($E2879&amp;"수당",설정_코스수당!$B$14:$F$14,0)),0)),0)</f>
        <v>0</v>
      </c>
      <c r="M2879" s="27">
        <f>IF($O2879="방문완료",IFERROR(VLOOKUP($E2879,설정_코스수당!$A$6:$H$10,6,FALSE),0),0)</f>
        <v>0</v>
      </c>
      <c r="N2879" s="28">
        <f t="shared" si="83"/>
        <v>0</v>
      </c>
      <c r="O2879" s="23"/>
      <c r="P2879" s="23"/>
      <c r="Q2879" s="23"/>
      <c r="R2879" s="26"/>
      <c r="S2879" s="23"/>
    </row>
    <row r="2880" spans="1:19" ht="19.5" hidden="1" customHeight="1" outlineLevel="1">
      <c r="A2880" s="29">
        <v>86</v>
      </c>
      <c r="B2880" s="30">
        <f>IF(28&lt;=DAY(DATE(YEAR(설정_코스수당!$K$2),MONTH(설정_코스수당!$K$2)+1,0)),DATE(YEAR(설정_코스수당!$K$2),MONTH(설정_코스수당!$K$2),28),"")</f>
        <v>46201</v>
      </c>
      <c r="C2880" s="31"/>
      <c r="D2880" s="29"/>
      <c r="E2880" s="29"/>
      <c r="F2880" s="32"/>
      <c r="G2880" s="29"/>
      <c r="H2880" s="29"/>
      <c r="I2880" s="29"/>
      <c r="J2880" s="33">
        <f>IF($O2880="방문완료",MAX(0,IFERROR(VLOOKUP($E2880,설정_코스수당!$A$6:$H$10,4,FALSE),0)-IF(OR($P2880="",$P2880="없음"),0,100000)),0)</f>
        <v>0</v>
      </c>
      <c r="K2880" s="33">
        <f t="array" ref="K2880">IF($O2880="방문완료",IFERROR(INDEX(설정_코스수당!$B$15:$F$64,MATCH($G2880,설정_코스수당!$A$15:$A$64,0),MATCH($E2880&amp;"수당",설정_코스수당!$B$14:$F$14,0)),0),0)</f>
        <v>0</v>
      </c>
      <c r="L2880" s="33">
        <f t="array" ref="L2880">IF($O2880="방문완료",IF($H2880="",0,IFERROR(INDEX(설정_코스수당!$B$15:$F$64,MATCH($H2880,설정_코스수당!$A$15:$A$64,0),MATCH($E2880&amp;"수당",설정_코스수당!$B$14:$F$14,0)),0)),0)</f>
        <v>0</v>
      </c>
      <c r="M2880" s="33">
        <f>IF($O2880="방문완료",IFERROR(VLOOKUP($E2880,설정_코스수당!$A$6:$H$10,6,FALSE),0),0)</f>
        <v>0</v>
      </c>
      <c r="N2880" s="34">
        <f t="shared" si="83"/>
        <v>0</v>
      </c>
      <c r="O2880" s="29"/>
      <c r="P2880" s="29"/>
      <c r="Q2880" s="29"/>
      <c r="R2880" s="32"/>
      <c r="S2880" s="29"/>
    </row>
    <row r="2881" spans="1:27" ht="19.5" hidden="1" customHeight="1" outlineLevel="1">
      <c r="A2881" s="23">
        <v>87</v>
      </c>
      <c r="B2881" s="24">
        <f>IF(28&lt;=DAY(DATE(YEAR(설정_코스수당!$K$2),MONTH(설정_코스수당!$K$2)+1,0)),DATE(YEAR(설정_코스수당!$K$2),MONTH(설정_코스수당!$K$2),28),"")</f>
        <v>46201</v>
      </c>
      <c r="C2881" s="25"/>
      <c r="D2881" s="23"/>
      <c r="E2881" s="23"/>
      <c r="F2881" s="26"/>
      <c r="G2881" s="23"/>
      <c r="H2881" s="23"/>
      <c r="I2881" s="23"/>
      <c r="J2881" s="27">
        <f>IF($O2881="방문완료",MAX(0,IFERROR(VLOOKUP($E2881,설정_코스수당!$A$6:$H$10,4,FALSE),0)-IF(OR($P2881="",$P2881="없음"),0,100000)),0)</f>
        <v>0</v>
      </c>
      <c r="K2881" s="27">
        <f t="array" ref="K2881">IF($O2881="방문완료",IFERROR(INDEX(설정_코스수당!$B$15:$F$64,MATCH($G2881,설정_코스수당!$A$15:$A$64,0),MATCH($E2881&amp;"수당",설정_코스수당!$B$14:$F$14,0)),0),0)</f>
        <v>0</v>
      </c>
      <c r="L2881" s="27">
        <f t="array" ref="L2881">IF($O2881="방문완료",IF($H2881="",0,IFERROR(INDEX(설정_코스수당!$B$15:$F$64,MATCH($H2881,설정_코스수당!$A$15:$A$64,0),MATCH($E2881&amp;"수당",설정_코스수당!$B$14:$F$14,0)),0)),0)</f>
        <v>0</v>
      </c>
      <c r="M2881" s="27">
        <f>IF($O2881="방문완료",IFERROR(VLOOKUP($E2881,설정_코스수당!$A$6:$H$10,6,FALSE),0),0)</f>
        <v>0</v>
      </c>
      <c r="N2881" s="28">
        <f t="shared" si="83"/>
        <v>0</v>
      </c>
      <c r="O2881" s="23"/>
      <c r="P2881" s="23"/>
      <c r="Q2881" s="23"/>
      <c r="R2881" s="26"/>
      <c r="S2881" s="23"/>
    </row>
    <row r="2882" spans="1:27" ht="19.5" hidden="1" customHeight="1" outlineLevel="1">
      <c r="A2882" s="29">
        <v>88</v>
      </c>
      <c r="B2882" s="30">
        <f>IF(28&lt;=DAY(DATE(YEAR(설정_코스수당!$K$2),MONTH(설정_코스수당!$K$2)+1,0)),DATE(YEAR(설정_코스수당!$K$2),MONTH(설정_코스수당!$K$2),28),"")</f>
        <v>46201</v>
      </c>
      <c r="C2882" s="31"/>
      <c r="D2882" s="29"/>
      <c r="E2882" s="29"/>
      <c r="F2882" s="32"/>
      <c r="G2882" s="29"/>
      <c r="H2882" s="29"/>
      <c r="I2882" s="29"/>
      <c r="J2882" s="33">
        <f>IF($O2882="방문완료",MAX(0,IFERROR(VLOOKUP($E2882,설정_코스수당!$A$6:$H$10,4,FALSE),0)-IF(OR($P2882="",$P2882="없음"),0,100000)),0)</f>
        <v>0</v>
      </c>
      <c r="K2882" s="33">
        <f t="array" ref="K2882">IF($O2882="방문완료",IFERROR(INDEX(설정_코스수당!$B$15:$F$64,MATCH($G2882,설정_코스수당!$A$15:$A$64,0),MATCH($E2882&amp;"수당",설정_코스수당!$B$14:$F$14,0)),0),0)</f>
        <v>0</v>
      </c>
      <c r="L2882" s="33">
        <f t="array" ref="L2882">IF($O2882="방문완료",IF($H2882="",0,IFERROR(INDEX(설정_코스수당!$B$15:$F$64,MATCH($H2882,설정_코스수당!$A$15:$A$64,0),MATCH($E2882&amp;"수당",설정_코스수당!$B$14:$F$14,0)),0)),0)</f>
        <v>0</v>
      </c>
      <c r="M2882" s="33">
        <f>IF($O2882="방문완료",IFERROR(VLOOKUP($E2882,설정_코스수당!$A$6:$H$10,6,FALSE),0),0)</f>
        <v>0</v>
      </c>
      <c r="N2882" s="34">
        <f t="shared" si="83"/>
        <v>0</v>
      </c>
      <c r="O2882" s="29"/>
      <c r="P2882" s="29"/>
      <c r="Q2882" s="29"/>
      <c r="R2882" s="32"/>
      <c r="S2882" s="29"/>
    </row>
    <row r="2883" spans="1:27" ht="19.5" hidden="1" customHeight="1" outlineLevel="1">
      <c r="A2883" s="23">
        <v>89</v>
      </c>
      <c r="B2883" s="24">
        <f>IF(28&lt;=DAY(DATE(YEAR(설정_코스수당!$K$2),MONTH(설정_코스수당!$K$2)+1,0)),DATE(YEAR(설정_코스수당!$K$2),MONTH(설정_코스수당!$K$2),28),"")</f>
        <v>46201</v>
      </c>
      <c r="C2883" s="25"/>
      <c r="D2883" s="23"/>
      <c r="E2883" s="23"/>
      <c r="F2883" s="26"/>
      <c r="G2883" s="23"/>
      <c r="H2883" s="23"/>
      <c r="I2883" s="23"/>
      <c r="J2883" s="27">
        <f>IF($O2883="방문완료",MAX(0,IFERROR(VLOOKUP($E2883,설정_코스수당!$A$6:$H$10,4,FALSE),0)-IF(OR($P2883="",$P2883="없음"),0,100000)),0)</f>
        <v>0</v>
      </c>
      <c r="K2883" s="27">
        <f t="array" ref="K2883">IF($O2883="방문완료",IFERROR(INDEX(설정_코스수당!$B$15:$F$64,MATCH($G2883,설정_코스수당!$A$15:$A$64,0),MATCH($E2883&amp;"수당",설정_코스수당!$B$14:$F$14,0)),0),0)</f>
        <v>0</v>
      </c>
      <c r="L2883" s="27">
        <f t="array" ref="L2883">IF($O2883="방문완료",IF($H2883="",0,IFERROR(INDEX(설정_코스수당!$B$15:$F$64,MATCH($H2883,설정_코스수당!$A$15:$A$64,0),MATCH($E2883&amp;"수당",설정_코스수당!$B$14:$F$14,0)),0)),0)</f>
        <v>0</v>
      </c>
      <c r="M2883" s="27">
        <f>IF($O2883="방문완료",IFERROR(VLOOKUP($E2883,설정_코스수당!$A$6:$H$10,6,FALSE),0),0)</f>
        <v>0</v>
      </c>
      <c r="N2883" s="28">
        <f t="shared" si="83"/>
        <v>0</v>
      </c>
      <c r="O2883" s="23"/>
      <c r="P2883" s="23"/>
      <c r="Q2883" s="23"/>
      <c r="R2883" s="26"/>
      <c r="S2883" s="23"/>
    </row>
    <row r="2884" spans="1:27" ht="19.5" hidden="1" customHeight="1" outlineLevel="1">
      <c r="A2884" s="29">
        <v>90</v>
      </c>
      <c r="B2884" s="30">
        <f>IF(28&lt;=DAY(DATE(YEAR(설정_코스수당!$K$2),MONTH(설정_코스수당!$K$2)+1,0)),DATE(YEAR(설정_코스수당!$K$2),MONTH(설정_코스수당!$K$2),28),"")</f>
        <v>46201</v>
      </c>
      <c r="C2884" s="31"/>
      <c r="D2884" s="29"/>
      <c r="E2884" s="29"/>
      <c r="F2884" s="32"/>
      <c r="G2884" s="29"/>
      <c r="H2884" s="29"/>
      <c r="I2884" s="29"/>
      <c r="J2884" s="33">
        <f>IF($O2884="방문완료",MAX(0,IFERROR(VLOOKUP($E2884,설정_코스수당!$A$6:$H$10,4,FALSE),0)-IF(OR($P2884="",$P2884="없음"),0,100000)),0)</f>
        <v>0</v>
      </c>
      <c r="K2884" s="33">
        <f t="array" ref="K2884">IF($O2884="방문완료",IFERROR(INDEX(설정_코스수당!$B$15:$F$64,MATCH($G2884,설정_코스수당!$A$15:$A$64,0),MATCH($E2884&amp;"수당",설정_코스수당!$B$14:$F$14,0)),0),0)</f>
        <v>0</v>
      </c>
      <c r="L2884" s="33">
        <f t="array" ref="L2884">IF($O2884="방문완료",IF($H2884="",0,IFERROR(INDEX(설정_코스수당!$B$15:$F$64,MATCH($H2884,설정_코스수당!$A$15:$A$64,0),MATCH($E2884&amp;"수당",설정_코스수당!$B$14:$F$14,0)),0)),0)</f>
        <v>0</v>
      </c>
      <c r="M2884" s="33">
        <f>IF($O2884="방문완료",IFERROR(VLOOKUP($E2884,설정_코스수당!$A$6:$H$10,6,FALSE),0),0)</f>
        <v>0</v>
      </c>
      <c r="N2884" s="34">
        <f t="shared" si="83"/>
        <v>0</v>
      </c>
      <c r="O2884" s="29"/>
      <c r="P2884" s="29"/>
      <c r="Q2884" s="29"/>
      <c r="R2884" s="32"/>
      <c r="S2884" s="29"/>
    </row>
    <row r="2885" spans="1:27" ht="19.5" hidden="1" customHeight="1" outlineLevel="1">
      <c r="A2885" s="23">
        <v>91</v>
      </c>
      <c r="B2885" s="24">
        <f>IF(28&lt;=DAY(DATE(YEAR(설정_코스수당!$K$2),MONTH(설정_코스수당!$K$2)+1,0)),DATE(YEAR(설정_코스수당!$K$2),MONTH(설정_코스수당!$K$2),28),"")</f>
        <v>46201</v>
      </c>
      <c r="C2885" s="25"/>
      <c r="D2885" s="23"/>
      <c r="E2885" s="23"/>
      <c r="F2885" s="26"/>
      <c r="G2885" s="23"/>
      <c r="H2885" s="23"/>
      <c r="I2885" s="23"/>
      <c r="J2885" s="27">
        <f>IF($O2885="방문완료",MAX(0,IFERROR(VLOOKUP($E2885,설정_코스수당!$A$6:$H$10,4,FALSE),0)-IF(OR($P2885="",$P2885="없음"),0,100000)),0)</f>
        <v>0</v>
      </c>
      <c r="K2885" s="27">
        <f t="array" ref="K2885">IF($O2885="방문완료",IFERROR(INDEX(설정_코스수당!$B$15:$F$64,MATCH($G2885,설정_코스수당!$A$15:$A$64,0),MATCH($E2885&amp;"수당",설정_코스수당!$B$14:$F$14,0)),0),0)</f>
        <v>0</v>
      </c>
      <c r="L2885" s="27">
        <f t="array" ref="L2885">IF($O2885="방문완료",IF($H2885="",0,IFERROR(INDEX(설정_코스수당!$B$15:$F$64,MATCH($H2885,설정_코스수당!$A$15:$A$64,0),MATCH($E2885&amp;"수당",설정_코스수당!$B$14:$F$14,0)),0)),0)</f>
        <v>0</v>
      </c>
      <c r="M2885" s="27">
        <f>IF($O2885="방문완료",IFERROR(VLOOKUP($E2885,설정_코스수당!$A$6:$H$10,6,FALSE),0),0)</f>
        <v>0</v>
      </c>
      <c r="N2885" s="28">
        <f t="shared" si="83"/>
        <v>0</v>
      </c>
      <c r="O2885" s="23"/>
      <c r="P2885" s="23"/>
      <c r="Q2885" s="23"/>
      <c r="R2885" s="26"/>
      <c r="S2885" s="23"/>
    </row>
    <row r="2886" spans="1:27" ht="19.5" hidden="1" customHeight="1" outlineLevel="1">
      <c r="A2886" s="29">
        <v>92</v>
      </c>
      <c r="B2886" s="30">
        <f>IF(28&lt;=DAY(DATE(YEAR(설정_코스수당!$K$2),MONTH(설정_코스수당!$K$2)+1,0)),DATE(YEAR(설정_코스수당!$K$2),MONTH(설정_코스수당!$K$2),28),"")</f>
        <v>46201</v>
      </c>
      <c r="C2886" s="31"/>
      <c r="D2886" s="29"/>
      <c r="E2886" s="29"/>
      <c r="F2886" s="32"/>
      <c r="G2886" s="29"/>
      <c r="H2886" s="29"/>
      <c r="I2886" s="29"/>
      <c r="J2886" s="33">
        <f>IF($O2886="방문완료",MAX(0,IFERROR(VLOOKUP($E2886,설정_코스수당!$A$6:$H$10,4,FALSE),0)-IF(OR($P2886="",$P2886="없음"),0,100000)),0)</f>
        <v>0</v>
      </c>
      <c r="K2886" s="33">
        <f t="array" ref="K2886">IF($O2886="방문완료",IFERROR(INDEX(설정_코스수당!$B$15:$F$64,MATCH($G2886,설정_코스수당!$A$15:$A$64,0),MATCH($E2886&amp;"수당",설정_코스수당!$B$14:$F$14,0)),0),0)</f>
        <v>0</v>
      </c>
      <c r="L2886" s="33">
        <f t="array" ref="L2886">IF($O2886="방문완료",IF($H2886="",0,IFERROR(INDEX(설정_코스수당!$B$15:$F$64,MATCH($H2886,설정_코스수당!$A$15:$A$64,0),MATCH($E2886&amp;"수당",설정_코스수당!$B$14:$F$14,0)),0)),0)</f>
        <v>0</v>
      </c>
      <c r="M2886" s="33">
        <f>IF($O2886="방문완료",IFERROR(VLOOKUP($E2886,설정_코스수당!$A$6:$H$10,6,FALSE),0),0)</f>
        <v>0</v>
      </c>
      <c r="N2886" s="34">
        <f t="shared" si="83"/>
        <v>0</v>
      </c>
      <c r="O2886" s="29"/>
      <c r="P2886" s="29"/>
      <c r="Q2886" s="29"/>
      <c r="R2886" s="32"/>
      <c r="S2886" s="29"/>
    </row>
    <row r="2887" spans="1:27" ht="19.5" hidden="1" customHeight="1" outlineLevel="1">
      <c r="A2887" s="23">
        <v>93</v>
      </c>
      <c r="B2887" s="24">
        <f>IF(28&lt;=DAY(DATE(YEAR(설정_코스수당!$K$2),MONTH(설정_코스수당!$K$2)+1,0)),DATE(YEAR(설정_코스수당!$K$2),MONTH(설정_코스수당!$K$2),28),"")</f>
        <v>46201</v>
      </c>
      <c r="C2887" s="25"/>
      <c r="D2887" s="23"/>
      <c r="E2887" s="23"/>
      <c r="F2887" s="26"/>
      <c r="G2887" s="23"/>
      <c r="H2887" s="23"/>
      <c r="I2887" s="23"/>
      <c r="J2887" s="27">
        <f>IF($O2887="방문완료",MAX(0,IFERROR(VLOOKUP($E2887,설정_코스수당!$A$6:$H$10,4,FALSE),0)-IF(OR($P2887="",$P2887="없음"),0,100000)),0)</f>
        <v>0</v>
      </c>
      <c r="K2887" s="27">
        <f t="array" ref="K2887">IF($O2887="방문완료",IFERROR(INDEX(설정_코스수당!$B$15:$F$64,MATCH($G2887,설정_코스수당!$A$15:$A$64,0),MATCH($E2887&amp;"수당",설정_코스수당!$B$14:$F$14,0)),0),0)</f>
        <v>0</v>
      </c>
      <c r="L2887" s="27">
        <f t="array" ref="L2887">IF($O2887="방문완료",IF($H2887="",0,IFERROR(INDEX(설정_코스수당!$B$15:$F$64,MATCH($H2887,설정_코스수당!$A$15:$A$64,0),MATCH($E2887&amp;"수당",설정_코스수당!$B$14:$F$14,0)),0)),0)</f>
        <v>0</v>
      </c>
      <c r="M2887" s="27">
        <f>IF($O2887="방문완료",IFERROR(VLOOKUP($E2887,설정_코스수당!$A$6:$H$10,6,FALSE),0),0)</f>
        <v>0</v>
      </c>
      <c r="N2887" s="28">
        <f t="shared" si="83"/>
        <v>0</v>
      </c>
      <c r="O2887" s="23"/>
      <c r="P2887" s="23"/>
      <c r="Q2887" s="23"/>
      <c r="R2887" s="26"/>
      <c r="S2887" s="23"/>
    </row>
    <row r="2888" spans="1:27" ht="19.5" hidden="1" customHeight="1" outlineLevel="1">
      <c r="A2888" s="29">
        <v>94</v>
      </c>
      <c r="B2888" s="30">
        <f>IF(28&lt;=DAY(DATE(YEAR(설정_코스수당!$K$2),MONTH(설정_코스수당!$K$2)+1,0)),DATE(YEAR(설정_코스수당!$K$2),MONTH(설정_코스수당!$K$2),28),"")</f>
        <v>46201</v>
      </c>
      <c r="C2888" s="31"/>
      <c r="D2888" s="29"/>
      <c r="E2888" s="29"/>
      <c r="F2888" s="32"/>
      <c r="G2888" s="29"/>
      <c r="H2888" s="29"/>
      <c r="I2888" s="29"/>
      <c r="J2888" s="33">
        <f>IF($O2888="방문완료",MAX(0,IFERROR(VLOOKUP($E2888,설정_코스수당!$A$6:$H$10,4,FALSE),0)-IF(OR($P2888="",$P2888="없음"),0,100000)),0)</f>
        <v>0</v>
      </c>
      <c r="K2888" s="33">
        <f t="array" ref="K2888">IF($O2888="방문완료",IFERROR(INDEX(설정_코스수당!$B$15:$F$64,MATCH($G2888,설정_코스수당!$A$15:$A$64,0),MATCH($E2888&amp;"수당",설정_코스수당!$B$14:$F$14,0)),0),0)</f>
        <v>0</v>
      </c>
      <c r="L2888" s="33">
        <f t="array" ref="L2888">IF($O2888="방문완료",IF($H2888="",0,IFERROR(INDEX(설정_코스수당!$B$15:$F$64,MATCH($H2888,설정_코스수당!$A$15:$A$64,0),MATCH($E2888&amp;"수당",설정_코스수당!$B$14:$F$14,0)),0)),0)</f>
        <v>0</v>
      </c>
      <c r="M2888" s="33">
        <f>IF($O2888="방문완료",IFERROR(VLOOKUP($E2888,설정_코스수당!$A$6:$H$10,6,FALSE),0),0)</f>
        <v>0</v>
      </c>
      <c r="N2888" s="34">
        <f t="shared" si="83"/>
        <v>0</v>
      </c>
      <c r="O2888" s="29"/>
      <c r="P2888" s="29"/>
      <c r="Q2888" s="29"/>
      <c r="R2888" s="32"/>
      <c r="S2888" s="29"/>
    </row>
    <row r="2889" spans="1:27" ht="19.5" hidden="1" customHeight="1" outlineLevel="1">
      <c r="A2889" s="23">
        <v>95</v>
      </c>
      <c r="B2889" s="24">
        <f>IF(28&lt;=DAY(DATE(YEAR(설정_코스수당!$K$2),MONTH(설정_코스수당!$K$2)+1,0)),DATE(YEAR(설정_코스수당!$K$2),MONTH(설정_코스수당!$K$2),28),"")</f>
        <v>46201</v>
      </c>
      <c r="C2889" s="25"/>
      <c r="D2889" s="23"/>
      <c r="E2889" s="23"/>
      <c r="F2889" s="26"/>
      <c r="G2889" s="23"/>
      <c r="H2889" s="23"/>
      <c r="I2889" s="23"/>
      <c r="J2889" s="27">
        <f>IF($O2889="방문완료",MAX(0,IFERROR(VLOOKUP($E2889,설정_코스수당!$A$6:$H$10,4,FALSE),0)-IF(OR($P2889="",$P2889="없음"),0,100000)),0)</f>
        <v>0</v>
      </c>
      <c r="K2889" s="27">
        <f t="array" ref="K2889">IF($O2889="방문완료",IFERROR(INDEX(설정_코스수당!$B$15:$F$64,MATCH($G2889,설정_코스수당!$A$15:$A$64,0),MATCH($E2889&amp;"수당",설정_코스수당!$B$14:$F$14,0)),0),0)</f>
        <v>0</v>
      </c>
      <c r="L2889" s="27">
        <f t="array" ref="L2889">IF($O2889="방문완료",IF($H2889="",0,IFERROR(INDEX(설정_코스수당!$B$15:$F$64,MATCH($H2889,설정_코스수당!$A$15:$A$64,0),MATCH($E2889&amp;"수당",설정_코스수당!$B$14:$F$14,0)),0)),0)</f>
        <v>0</v>
      </c>
      <c r="M2889" s="27">
        <f>IF($O2889="방문완료",IFERROR(VLOOKUP($E2889,설정_코스수당!$A$6:$H$10,6,FALSE),0),0)</f>
        <v>0</v>
      </c>
      <c r="N2889" s="28">
        <f t="shared" si="83"/>
        <v>0</v>
      </c>
      <c r="O2889" s="23"/>
      <c r="P2889" s="23"/>
      <c r="Q2889" s="23"/>
      <c r="R2889" s="26"/>
      <c r="S2889" s="23"/>
    </row>
    <row r="2890" spans="1:27" ht="19.5" hidden="1" customHeight="1" outlineLevel="1">
      <c r="A2890" s="29">
        <v>96</v>
      </c>
      <c r="B2890" s="30">
        <f>IF(28&lt;=DAY(DATE(YEAR(설정_코스수당!$K$2),MONTH(설정_코스수당!$K$2)+1,0)),DATE(YEAR(설정_코스수당!$K$2),MONTH(설정_코스수당!$K$2),28),"")</f>
        <v>46201</v>
      </c>
      <c r="C2890" s="31"/>
      <c r="D2890" s="29"/>
      <c r="E2890" s="29"/>
      <c r="F2890" s="32"/>
      <c r="G2890" s="29"/>
      <c r="H2890" s="29"/>
      <c r="I2890" s="29"/>
      <c r="J2890" s="33">
        <f>IF($O2890="방문완료",MAX(0,IFERROR(VLOOKUP($E2890,설정_코스수당!$A$6:$H$10,4,FALSE),0)-IF(OR($P2890="",$P2890="없음"),0,100000)),0)</f>
        <v>0</v>
      </c>
      <c r="K2890" s="33">
        <f t="array" ref="K2890">IF($O2890="방문완료",IFERROR(INDEX(설정_코스수당!$B$15:$F$64,MATCH($G2890,설정_코스수당!$A$15:$A$64,0),MATCH($E2890&amp;"수당",설정_코스수당!$B$14:$F$14,0)),0),0)</f>
        <v>0</v>
      </c>
      <c r="L2890" s="33">
        <f t="array" ref="L2890">IF($O2890="방문완료",IF($H2890="",0,IFERROR(INDEX(설정_코스수당!$B$15:$F$64,MATCH($H2890,설정_코스수당!$A$15:$A$64,0),MATCH($E2890&amp;"수당",설정_코스수당!$B$14:$F$14,0)),0)),0)</f>
        <v>0</v>
      </c>
      <c r="M2890" s="33">
        <f>IF($O2890="방문완료",IFERROR(VLOOKUP($E2890,설정_코스수당!$A$6:$H$10,6,FALSE),0),0)</f>
        <v>0</v>
      </c>
      <c r="N2890" s="34">
        <f t="shared" si="83"/>
        <v>0</v>
      </c>
      <c r="O2890" s="29"/>
      <c r="P2890" s="29"/>
      <c r="Q2890" s="29"/>
      <c r="R2890" s="32"/>
      <c r="S2890" s="29"/>
    </row>
    <row r="2891" spans="1:27" ht="19.5" hidden="1" customHeight="1" outlineLevel="1">
      <c r="A2891" s="23">
        <v>97</v>
      </c>
      <c r="B2891" s="24">
        <f>IF(28&lt;=DAY(DATE(YEAR(설정_코스수당!$K$2),MONTH(설정_코스수당!$K$2)+1,0)),DATE(YEAR(설정_코스수당!$K$2),MONTH(설정_코스수당!$K$2),28),"")</f>
        <v>46201</v>
      </c>
      <c r="C2891" s="25"/>
      <c r="D2891" s="23"/>
      <c r="E2891" s="23"/>
      <c r="F2891" s="26"/>
      <c r="G2891" s="23"/>
      <c r="H2891" s="23"/>
      <c r="I2891" s="23"/>
      <c r="J2891" s="27">
        <f>IF($O2891="방문완료",MAX(0,IFERROR(VLOOKUP($E2891,설정_코스수당!$A$6:$H$10,4,FALSE),0)-IF(OR($P2891="",$P2891="없음"),0,100000)),0)</f>
        <v>0</v>
      </c>
      <c r="K2891" s="27">
        <f t="array" ref="K2891">IF($O2891="방문완료",IFERROR(INDEX(설정_코스수당!$B$15:$F$64,MATCH($G2891,설정_코스수당!$A$15:$A$64,0),MATCH($E2891&amp;"수당",설정_코스수당!$B$14:$F$14,0)),0),0)</f>
        <v>0</v>
      </c>
      <c r="L2891" s="27">
        <f t="array" ref="L2891">IF($O2891="방문완료",IF($H2891="",0,IFERROR(INDEX(설정_코스수당!$B$15:$F$64,MATCH($H2891,설정_코스수당!$A$15:$A$64,0),MATCH($E2891&amp;"수당",설정_코스수당!$B$14:$F$14,0)),0)),0)</f>
        <v>0</v>
      </c>
      <c r="M2891" s="27">
        <f>IF($O2891="방문완료",IFERROR(VLOOKUP($E2891,설정_코스수당!$A$6:$H$10,6,FALSE),0),0)</f>
        <v>0</v>
      </c>
      <c r="N2891" s="28">
        <f t="shared" si="83"/>
        <v>0</v>
      </c>
      <c r="O2891" s="23"/>
      <c r="P2891" s="23"/>
      <c r="Q2891" s="23"/>
      <c r="R2891" s="26"/>
      <c r="S2891" s="23"/>
    </row>
    <row r="2892" spans="1:27" ht="19.5" hidden="1" customHeight="1" outlineLevel="1">
      <c r="A2892" s="29">
        <v>98</v>
      </c>
      <c r="B2892" s="30">
        <f>IF(28&lt;=DAY(DATE(YEAR(설정_코스수당!$K$2),MONTH(설정_코스수당!$K$2)+1,0)),DATE(YEAR(설정_코스수당!$K$2),MONTH(설정_코스수당!$K$2),28),"")</f>
        <v>46201</v>
      </c>
      <c r="C2892" s="31"/>
      <c r="D2892" s="29"/>
      <c r="E2892" s="29"/>
      <c r="F2892" s="32"/>
      <c r="G2892" s="29"/>
      <c r="H2892" s="29"/>
      <c r="I2892" s="29"/>
      <c r="J2892" s="33">
        <f>IF($O2892="방문완료",MAX(0,IFERROR(VLOOKUP($E2892,설정_코스수당!$A$6:$H$10,4,FALSE),0)-IF(OR($P2892="",$P2892="없음"),0,100000)),0)</f>
        <v>0</v>
      </c>
      <c r="K2892" s="33">
        <f t="array" ref="K2892">IF($O2892="방문완료",IFERROR(INDEX(설정_코스수당!$B$15:$F$64,MATCH($G2892,설정_코스수당!$A$15:$A$64,0),MATCH($E2892&amp;"수당",설정_코스수당!$B$14:$F$14,0)),0),0)</f>
        <v>0</v>
      </c>
      <c r="L2892" s="33">
        <f t="array" ref="L2892">IF($O2892="방문완료",IF($H2892="",0,IFERROR(INDEX(설정_코스수당!$B$15:$F$64,MATCH($H2892,설정_코스수당!$A$15:$A$64,0),MATCH($E2892&amp;"수당",설정_코스수당!$B$14:$F$14,0)),0)),0)</f>
        <v>0</v>
      </c>
      <c r="M2892" s="33">
        <f>IF($O2892="방문완료",IFERROR(VLOOKUP($E2892,설정_코스수당!$A$6:$H$10,6,FALSE),0),0)</f>
        <v>0</v>
      </c>
      <c r="N2892" s="34">
        <f t="shared" si="83"/>
        <v>0</v>
      </c>
      <c r="O2892" s="29"/>
      <c r="P2892" s="29"/>
      <c r="Q2892" s="29"/>
      <c r="R2892" s="32"/>
      <c r="S2892" s="29"/>
    </row>
    <row r="2893" spans="1:27" ht="19.5" hidden="1" customHeight="1" outlineLevel="1">
      <c r="A2893" s="23">
        <v>99</v>
      </c>
      <c r="B2893" s="24">
        <f>IF(28&lt;=DAY(DATE(YEAR(설정_코스수당!$K$2),MONTH(설정_코스수당!$K$2)+1,0)),DATE(YEAR(설정_코스수당!$K$2),MONTH(설정_코스수당!$K$2),28),"")</f>
        <v>46201</v>
      </c>
      <c r="C2893" s="25"/>
      <c r="D2893" s="23"/>
      <c r="E2893" s="23"/>
      <c r="F2893" s="26"/>
      <c r="G2893" s="23"/>
      <c r="H2893" s="23"/>
      <c r="I2893" s="23"/>
      <c r="J2893" s="27">
        <f>IF($O2893="방문완료",MAX(0,IFERROR(VLOOKUP($E2893,설정_코스수당!$A$6:$H$10,4,FALSE),0)-IF(OR($P2893="",$P2893="없음"),0,100000)),0)</f>
        <v>0</v>
      </c>
      <c r="K2893" s="27">
        <f t="array" ref="K2893">IF($O2893="방문완료",IFERROR(INDEX(설정_코스수당!$B$15:$F$64,MATCH($G2893,설정_코스수당!$A$15:$A$64,0),MATCH($E2893&amp;"수당",설정_코스수당!$B$14:$F$14,0)),0),0)</f>
        <v>0</v>
      </c>
      <c r="L2893" s="27">
        <f t="array" ref="L2893">IF($O2893="방문완료",IF($H2893="",0,IFERROR(INDEX(설정_코스수당!$B$15:$F$64,MATCH($H2893,설정_코스수당!$A$15:$A$64,0),MATCH($E2893&amp;"수당",설정_코스수당!$B$14:$F$14,0)),0)),0)</f>
        <v>0</v>
      </c>
      <c r="M2893" s="27">
        <f>IF($O2893="방문완료",IFERROR(VLOOKUP($E2893,설정_코스수당!$A$6:$H$10,6,FALSE),0),0)</f>
        <v>0</v>
      </c>
      <c r="N2893" s="28">
        <f t="shared" si="83"/>
        <v>0</v>
      </c>
      <c r="O2893" s="23"/>
      <c r="P2893" s="23"/>
      <c r="Q2893" s="23"/>
      <c r="R2893" s="26"/>
      <c r="S2893" s="23"/>
    </row>
    <row r="2894" spans="1:27" ht="19.5" hidden="1" customHeight="1" outlineLevel="1">
      <c r="A2894" s="29">
        <v>100</v>
      </c>
      <c r="B2894" s="30">
        <f>IF(28&lt;=DAY(DATE(YEAR(설정_코스수당!$K$2),MONTH(설정_코스수당!$K$2)+1,0)),DATE(YEAR(설정_코스수당!$K$2),MONTH(설정_코스수당!$K$2),28),"")</f>
        <v>46201</v>
      </c>
      <c r="C2894" s="31"/>
      <c r="D2894" s="29"/>
      <c r="E2894" s="29"/>
      <c r="F2894" s="32"/>
      <c r="G2894" s="29"/>
      <c r="H2894" s="29"/>
      <c r="I2894" s="29"/>
      <c r="J2894" s="33">
        <f>IF($O2894="방문완료",MAX(0,IFERROR(VLOOKUP($E2894,설정_코스수당!$A$6:$H$10,4,FALSE),0)-IF(OR($P2894="",$P2894="없음"),0,100000)),0)</f>
        <v>0</v>
      </c>
      <c r="K2894" s="33">
        <f t="array" ref="K2894">IF($O2894="방문완료",IFERROR(INDEX(설정_코스수당!$B$15:$F$64,MATCH($G2894,설정_코스수당!$A$15:$A$64,0),MATCH($E2894&amp;"수당",설정_코스수당!$B$14:$F$14,0)),0),0)</f>
        <v>0</v>
      </c>
      <c r="L2894" s="33">
        <f t="array" ref="L2894">IF($O2894="방문완료",IF($H2894="",0,IFERROR(INDEX(설정_코스수당!$B$15:$F$64,MATCH($H2894,설정_코스수당!$A$15:$A$64,0),MATCH($E2894&amp;"수당",설정_코스수당!$B$14:$F$14,0)),0)),0)</f>
        <v>0</v>
      </c>
      <c r="M2894" s="33">
        <f>IF($O2894="방문완료",IFERROR(VLOOKUP($E2894,설정_코스수당!$A$6:$H$10,6,FALSE),0),0)</f>
        <v>0</v>
      </c>
      <c r="N2894" s="34">
        <f t="shared" si="83"/>
        <v>0</v>
      </c>
      <c r="O2894" s="29"/>
      <c r="P2894" s="29"/>
      <c r="Q2894" s="29"/>
      <c r="R2894" s="32"/>
      <c r="S2894" s="29"/>
    </row>
    <row r="2895" spans="1:27" ht="19.5" hidden="1" customHeight="1" outlineLevel="1">
      <c r="A2895" s="36" t="s">
        <v>79</v>
      </c>
      <c r="B2895" s="37"/>
      <c r="C2895" s="38"/>
      <c r="D2895" s="37"/>
      <c r="E2895" s="37"/>
      <c r="F2895" s="37"/>
      <c r="G2895" s="37"/>
      <c r="H2895" s="37"/>
      <c r="I2895" s="37"/>
      <c r="J2895" s="37">
        <f>IF($O2895="방문완료",MAX(0,IFERROR(VLOOKUP($E2895,설정_코스수당!$A$6:$H$10,4,FALSE),0)-IF(OR($P2895="",$P2895="없음"),0,100000)),0)</f>
        <v>0</v>
      </c>
      <c r="O2895" s="18"/>
      <c r="P2895" s="14"/>
      <c r="Q2895" s="18"/>
      <c r="S2895" s="18"/>
    </row>
    <row r="2896" spans="1:27" ht="21" customHeight="1" collapsed="1">
      <c r="A2896" s="123" t="str">
        <f>IF(29&lt;=DAY(DATE(YEAR(설정_코스수당!$K$2),MONTH(설정_코스수당!$K$2)+1,0)),TEXT(DATE(YEAR(설정_코스수당!$K$2),MONTH(설정_코스수당!$K$2),29),"yyyy-mm-dd")&amp;"  |  예약관리 100슬롯","")</f>
        <v>2026-06-29  |  예약관리 100슬롯</v>
      </c>
      <c r="B2896" s="124"/>
      <c r="C2896" s="124"/>
      <c r="D2896" s="124"/>
      <c r="E2896" s="124"/>
      <c r="F2896" s="124"/>
      <c r="G2896" s="124"/>
      <c r="H2896" s="124"/>
      <c r="I2896" s="124"/>
      <c r="J2896" s="124"/>
      <c r="K2896" s="124"/>
      <c r="L2896" s="124"/>
      <c r="M2896" s="124"/>
      <c r="N2896" s="124"/>
      <c r="O2896" s="19"/>
      <c r="P2896" s="19"/>
      <c r="Q2896" s="19"/>
      <c r="R2896" s="19"/>
      <c r="S2896" s="19"/>
      <c r="T2896" s="19"/>
      <c r="U2896" s="19"/>
      <c r="V2896" s="19"/>
      <c r="W2896" s="19"/>
      <c r="X2896" s="19"/>
      <c r="Y2896" s="19"/>
      <c r="Z2896" s="19"/>
      <c r="AA2896" s="19"/>
    </row>
    <row r="2897" spans="1:24" ht="19.5" hidden="1" customHeight="1" outlineLevel="1">
      <c r="A2897" s="20" t="s">
        <v>41</v>
      </c>
      <c r="B2897" s="20" t="s">
        <v>42</v>
      </c>
      <c r="C2897" s="39" t="s">
        <v>43</v>
      </c>
      <c r="D2897" s="20" t="s">
        <v>44</v>
      </c>
      <c r="E2897" s="20" t="s">
        <v>45</v>
      </c>
      <c r="F2897" s="20" t="s">
        <v>46</v>
      </c>
      <c r="G2897" s="20" t="s">
        <v>47</v>
      </c>
      <c r="H2897" s="20" t="s">
        <v>48</v>
      </c>
      <c r="I2897" s="20" t="s">
        <v>49</v>
      </c>
      <c r="J2897" s="20" t="s">
        <v>50</v>
      </c>
      <c r="K2897" s="20" t="s">
        <v>51</v>
      </c>
      <c r="L2897" s="20" t="s">
        <v>52</v>
      </c>
      <c r="M2897" s="20" t="s">
        <v>53</v>
      </c>
      <c r="N2897" s="20" t="s">
        <v>54</v>
      </c>
      <c r="O2897" s="20" t="s">
        <v>55</v>
      </c>
      <c r="P2897" s="20" t="s">
        <v>56</v>
      </c>
      <c r="Q2897" s="18"/>
      <c r="R2897" s="20" t="s">
        <v>58</v>
      </c>
      <c r="S2897" s="20" t="s">
        <v>59</v>
      </c>
      <c r="U2897" s="122" t="str">
        <f>IF(29&lt;=DAY(DATE(YEAR(설정_코스수당!$K$2),MONTH(설정_코스수당!$K$2)+1,0)),TEXT(DATE(YEAR(설정_코스수당!$K$2),MONTH(설정_코스수당!$K$2),29),"yyyy-mm-dd")&amp;" 일일 상태","")</f>
        <v>2026-06-29 일일 상태</v>
      </c>
      <c r="V2897" s="125"/>
      <c r="W2897" s="122" t="s">
        <v>3</v>
      </c>
      <c r="X2897" s="125"/>
    </row>
    <row r="2898" spans="1:24" ht="19.5" hidden="1" customHeight="1" outlineLevel="1">
      <c r="A2898" s="23">
        <v>1</v>
      </c>
      <c r="B2898" s="24">
        <f>IF(29&lt;=DAY(DATE(YEAR(설정_코스수당!$K$2),MONTH(설정_코스수당!$K$2)+1,0)),DATE(YEAR(설정_코스수당!$K$2),MONTH(설정_코스수당!$K$2),29),"")</f>
        <v>46202</v>
      </c>
      <c r="C2898" s="25"/>
      <c r="D2898" s="23"/>
      <c r="E2898" s="23"/>
      <c r="F2898" s="26"/>
      <c r="G2898" s="23"/>
      <c r="H2898" s="23"/>
      <c r="I2898" s="23"/>
      <c r="J2898" s="27">
        <f>IF($O2898="방문완료",MAX(0,IFERROR(VLOOKUP($E2898,설정_코스수당!$A$6:$H$10,4,FALSE),0)-IF(OR($P2898="",$P2898="없음"),0,100000)),0)</f>
        <v>0</v>
      </c>
      <c r="K2898" s="27">
        <f t="array" ref="K2898">IF($O2898="방문완료",IFERROR(INDEX(설정_코스수당!$B$15:$F$64,MATCH($G2898,설정_코스수당!$A$15:$A$64,0),MATCH($E2898&amp;"수당",설정_코스수당!$B$14:$F$14,0)),0),0)</f>
        <v>0</v>
      </c>
      <c r="L2898" s="27">
        <f t="array" ref="L2898">IF($O2898="방문완료",IF($H2898="",0,IFERROR(INDEX(설정_코스수당!$B$15:$F$64,MATCH($H2898,설정_코스수당!$A$15:$A$64,0),MATCH($E2898&amp;"수당",설정_코스수당!$B$14:$F$14,0)),0)),0)</f>
        <v>0</v>
      </c>
      <c r="M2898" s="27">
        <f>IF($O2898="방문완료",IFERROR(VLOOKUP($E2898,설정_코스수당!$A$6:$H$10,6,FALSE),0),0)</f>
        <v>0</v>
      </c>
      <c r="N2898" s="28">
        <f t="shared" ref="N2898:N2929" si="84">IF($O2898="방문완료",1,0)</f>
        <v>0</v>
      </c>
      <c r="O2898" s="23"/>
      <c r="P2898" s="23"/>
      <c r="Q2898" s="23"/>
      <c r="R2898" s="26"/>
      <c r="S2898" s="23"/>
      <c r="U2898" s="104" t="s">
        <v>63</v>
      </c>
      <c r="V2898" s="105">
        <f>IF(29&lt;=DAY(DATE(YEAR(설정_코스수당!$K$2),MONTH(설정_코스수당!$K$2)+1,0)),COUNTIFS($B:$B,DATE(YEAR(설정_코스수당!$K$2),MONTH(설정_코스수당!$K$2),29),$O:$O,"&lt;&gt;"),"")</f>
        <v>0</v>
      </c>
      <c r="W2898" s="104" t="s">
        <v>6</v>
      </c>
      <c r="X2898" s="105">
        <f>IF(29&lt;=DAY(DATE(YEAR(설정_코스수당!$K$2),MONTH(설정_코스수당!$K$2)+1,0)),COUNTIFS($B:$B,DATE(YEAR(설정_코스수당!$K$2),MONTH(설정_코스수당!$K$2),29),$E:$E,"A",$O:$O,"방문완료"),"")</f>
        <v>0</v>
      </c>
    </row>
    <row r="2899" spans="1:24" ht="19.5" hidden="1" customHeight="1" outlineLevel="1">
      <c r="A2899" s="29">
        <v>2</v>
      </c>
      <c r="B2899" s="30">
        <f>IF(29&lt;=DAY(DATE(YEAR(설정_코스수당!$K$2),MONTH(설정_코스수당!$K$2)+1,0)),DATE(YEAR(설정_코스수당!$K$2),MONTH(설정_코스수당!$K$2),29),"")</f>
        <v>46202</v>
      </c>
      <c r="C2899" s="31"/>
      <c r="D2899" s="29"/>
      <c r="E2899" s="29"/>
      <c r="F2899" s="32"/>
      <c r="G2899" s="29"/>
      <c r="H2899" s="29"/>
      <c r="I2899" s="29"/>
      <c r="J2899" s="33">
        <f>IF($O2899="방문완료",MAX(0,IFERROR(VLOOKUP($E2899,설정_코스수당!$A$6:$H$10,4,FALSE),0)-IF(OR($P2899="",$P2899="없음"),0,100000)),0)</f>
        <v>0</v>
      </c>
      <c r="K2899" s="33">
        <f t="array" ref="K2899">IF($O2899="방문완료",IFERROR(INDEX(설정_코스수당!$B$15:$F$64,MATCH($G2899,설정_코스수당!$A$15:$A$64,0),MATCH($E2899&amp;"수당",설정_코스수당!$B$14:$F$14,0)),0),0)</f>
        <v>0</v>
      </c>
      <c r="L2899" s="33">
        <f t="array" ref="L2899">IF($O2899="방문완료",IF($H2899="",0,IFERROR(INDEX(설정_코스수당!$B$15:$F$64,MATCH($H2899,설정_코스수당!$A$15:$A$64,0),MATCH($E2899&amp;"수당",설정_코스수당!$B$14:$F$14,0)),0)),0)</f>
        <v>0</v>
      </c>
      <c r="M2899" s="33">
        <f>IF($O2899="방문완료",IFERROR(VLOOKUP($E2899,설정_코스수당!$A$6:$H$10,6,FALSE),0),0)</f>
        <v>0</v>
      </c>
      <c r="N2899" s="34">
        <f t="shared" si="84"/>
        <v>0</v>
      </c>
      <c r="O2899" s="29"/>
      <c r="P2899" s="29"/>
      <c r="Q2899" s="29"/>
      <c r="R2899" s="32"/>
      <c r="S2899" s="29"/>
      <c r="U2899" s="104" t="s">
        <v>62</v>
      </c>
      <c r="V2899" s="105">
        <f>IF(29&lt;=DAY(DATE(YEAR(설정_코스수당!$K$2),MONTH(설정_코스수당!$K$2)+1,0)),COUNTIFS($B:$B,DATE(YEAR(설정_코스수당!$K$2),MONTH(설정_코스수당!$K$2),29),$O:$O,"방문완료"),"")</f>
        <v>0</v>
      </c>
      <c r="W2899" s="104" t="s">
        <v>9</v>
      </c>
      <c r="X2899" s="105">
        <f>IF(29&lt;=DAY(DATE(YEAR(설정_코스수당!$K$2),MONTH(설정_코스수당!$K$2)+1,0)),COUNTIFS($B:$B,DATE(YEAR(설정_코스수당!$K$2),MONTH(설정_코스수당!$K$2),29),$E:$E,"B",$O:$O,"방문완료"),"")</f>
        <v>0</v>
      </c>
    </row>
    <row r="2900" spans="1:24" ht="19.5" hidden="1" customHeight="1" outlineLevel="1">
      <c r="A2900" s="23">
        <v>3</v>
      </c>
      <c r="B2900" s="24">
        <f>IF(29&lt;=DAY(DATE(YEAR(설정_코스수당!$K$2),MONTH(설정_코스수당!$K$2)+1,0)),DATE(YEAR(설정_코스수당!$K$2),MONTH(설정_코스수당!$K$2),29),"")</f>
        <v>46202</v>
      </c>
      <c r="C2900" s="25"/>
      <c r="D2900" s="23"/>
      <c r="E2900" s="23"/>
      <c r="F2900" s="26"/>
      <c r="G2900" s="23"/>
      <c r="H2900" s="23"/>
      <c r="I2900" s="23"/>
      <c r="J2900" s="27">
        <f>IF($O2900="방문완료",MAX(0,IFERROR(VLOOKUP($E2900,설정_코스수당!$A$6:$H$10,4,FALSE),0)-IF(OR($P2900="",$P2900="없음"),0,100000)),0)</f>
        <v>0</v>
      </c>
      <c r="K2900" s="27">
        <f t="array" ref="K2900">IF($O2900="방문완료",IFERROR(INDEX(설정_코스수당!$B$15:$F$64,MATCH($G2900,설정_코스수당!$A$15:$A$64,0),MATCH($E2900&amp;"수당",설정_코스수당!$B$14:$F$14,0)),0),0)</f>
        <v>0</v>
      </c>
      <c r="L2900" s="27">
        <f t="array" ref="L2900">IF($O2900="방문완료",IF($H2900="",0,IFERROR(INDEX(설정_코스수당!$B$15:$F$64,MATCH($H2900,설정_코스수당!$A$15:$A$64,0),MATCH($E2900&amp;"수당",설정_코스수당!$B$14:$F$14,0)),0)),0)</f>
        <v>0</v>
      </c>
      <c r="M2900" s="27">
        <f>IF($O2900="방문완료",IFERROR(VLOOKUP($E2900,설정_코스수당!$A$6:$H$10,6,FALSE),0),0)</f>
        <v>0</v>
      </c>
      <c r="N2900" s="28">
        <f t="shared" si="84"/>
        <v>0</v>
      </c>
      <c r="O2900" s="23"/>
      <c r="P2900" s="23"/>
      <c r="Q2900" s="23"/>
      <c r="R2900" s="26"/>
      <c r="S2900" s="23"/>
      <c r="U2900" s="104" t="s">
        <v>68</v>
      </c>
      <c r="V2900" s="105" t="str">
        <f>IF(29&lt;=DAY(DATE(YEAR(설정_코스수당!$K$2),MONTH(설정_코스수당!$K$2)+1,0)),COUNTIFS($B:$B,DATE(YEAR(설정_코스수당!$K$2),MONTH(설정_코스수당!$K$2),29),$O:$O,"노쇼")&amp;"/"&amp;COUNTIFS($B:$B,DATE(YEAR(설정_코스수당!$K$2),MONTH(설정_코스수당!$K$2),29),$O:$O,"취소"),"")</f>
        <v>0/0</v>
      </c>
      <c r="W2900" s="104" t="s">
        <v>12</v>
      </c>
      <c r="X2900" s="105">
        <f>IF(29&lt;=DAY(DATE(YEAR(설정_코스수당!$K$2),MONTH(설정_코스수당!$K$2)+1,0)),COUNTIFS($B:$B,DATE(YEAR(설정_코스수당!$K$2),MONTH(설정_코스수당!$K$2),29),$E:$E,"C",$O:$O,"방문완료"),"")</f>
        <v>0</v>
      </c>
    </row>
    <row r="2901" spans="1:24" ht="19.5" hidden="1" customHeight="1" outlineLevel="1">
      <c r="A2901" s="29">
        <v>4</v>
      </c>
      <c r="B2901" s="30">
        <f>IF(29&lt;=DAY(DATE(YEAR(설정_코스수당!$K$2),MONTH(설정_코스수당!$K$2)+1,0)),DATE(YEAR(설정_코스수당!$K$2),MONTH(설정_코스수당!$K$2),29),"")</f>
        <v>46202</v>
      </c>
      <c r="C2901" s="31"/>
      <c r="D2901" s="29"/>
      <c r="E2901" s="29"/>
      <c r="F2901" s="32"/>
      <c r="G2901" s="29"/>
      <c r="H2901" s="29"/>
      <c r="I2901" s="29"/>
      <c r="J2901" s="33">
        <f>IF($O2901="방문완료",MAX(0,IFERROR(VLOOKUP($E2901,설정_코스수당!$A$6:$H$10,4,FALSE),0)-IF(OR($P2901="",$P2901="없음"),0,100000)),0)</f>
        <v>0</v>
      </c>
      <c r="K2901" s="33">
        <f t="array" ref="K2901">IF($O2901="방문완료",IFERROR(INDEX(설정_코스수당!$B$15:$F$64,MATCH($G2901,설정_코스수당!$A$15:$A$64,0),MATCH($E2901&amp;"수당",설정_코스수당!$B$14:$F$14,0)),0),0)</f>
        <v>0</v>
      </c>
      <c r="L2901" s="33">
        <f t="array" ref="L2901">IF($O2901="방문완료",IF($H2901="",0,IFERROR(INDEX(설정_코스수당!$B$15:$F$64,MATCH($H2901,설정_코스수당!$A$15:$A$64,0),MATCH($E2901&amp;"수당",설정_코스수당!$B$14:$F$14,0)),0)),0)</f>
        <v>0</v>
      </c>
      <c r="M2901" s="33">
        <f>IF($O2901="방문완료",IFERROR(VLOOKUP($E2901,설정_코스수당!$A$6:$H$10,6,FALSE),0),0)</f>
        <v>0</v>
      </c>
      <c r="N2901" s="34">
        <f t="shared" si="84"/>
        <v>0</v>
      </c>
      <c r="O2901" s="29"/>
      <c r="P2901" s="29"/>
      <c r="Q2901" s="29"/>
      <c r="R2901" s="32"/>
      <c r="S2901" s="29"/>
      <c r="U2901" s="104" t="s">
        <v>69</v>
      </c>
      <c r="V2901" s="106">
        <f>IF(29&lt;=DAY(DATE(YEAR(설정_코스수당!$K$2),MONTH(설정_코스수당!$K$2)+1,0)),SUMIFS($J:$J,$B:$B,DATE(YEAR(설정_코스수당!$K$2),MONTH(설정_코스수당!$K$2),29),$O:$O,"방문완료"),"")</f>
        <v>0</v>
      </c>
      <c r="W2901" s="104" t="s">
        <v>15</v>
      </c>
      <c r="X2901" s="105">
        <f>IF(29&lt;=DAY(DATE(YEAR(설정_코스수당!$K$2),MONTH(설정_코스수당!$K$2)+1,0)),COUNTIFS($B:$B,DATE(YEAR(설정_코스수당!$K$2),MONTH(설정_코스수당!$K$2),29),$E:$E,"D",$O:$O,"방문완료"),"")</f>
        <v>0</v>
      </c>
    </row>
    <row r="2902" spans="1:24" ht="19.5" hidden="1" customHeight="1" outlineLevel="1">
      <c r="A2902" s="23">
        <v>5</v>
      </c>
      <c r="B2902" s="24">
        <f>IF(29&lt;=DAY(DATE(YEAR(설정_코스수당!$K$2),MONTH(설정_코스수당!$K$2)+1,0)),DATE(YEAR(설정_코스수당!$K$2),MONTH(설정_코스수당!$K$2),29),"")</f>
        <v>46202</v>
      </c>
      <c r="C2902" s="25"/>
      <c r="D2902" s="23"/>
      <c r="E2902" s="23"/>
      <c r="F2902" s="26"/>
      <c r="G2902" s="23"/>
      <c r="H2902" s="23"/>
      <c r="I2902" s="23"/>
      <c r="J2902" s="27">
        <f>IF($O2902="방문완료",MAX(0,IFERROR(VLOOKUP($E2902,설정_코스수당!$A$6:$H$10,4,FALSE),0)-IF(OR($P2902="",$P2902="없음"),0,100000)),0)</f>
        <v>0</v>
      </c>
      <c r="K2902" s="27">
        <f t="array" ref="K2902">IF($O2902="방문완료",IFERROR(INDEX(설정_코스수당!$B$15:$F$64,MATCH($G2902,설정_코스수당!$A$15:$A$64,0),MATCH($E2902&amp;"수당",설정_코스수당!$B$14:$F$14,0)),0),0)</f>
        <v>0</v>
      </c>
      <c r="L2902" s="27">
        <f t="array" ref="L2902">IF($O2902="방문완료",IF($H2902="",0,IFERROR(INDEX(설정_코스수당!$B$15:$F$64,MATCH($H2902,설정_코스수당!$A$15:$A$64,0),MATCH($E2902&amp;"수당",설정_코스수당!$B$14:$F$14,0)),0)),0)</f>
        <v>0</v>
      </c>
      <c r="M2902" s="27">
        <f>IF($O2902="방문완료",IFERROR(VLOOKUP($E2902,설정_코스수당!$A$6:$H$10,6,FALSE),0),0)</f>
        <v>0</v>
      </c>
      <c r="N2902" s="28">
        <f t="shared" si="84"/>
        <v>0</v>
      </c>
      <c r="O2902" s="23"/>
      <c r="P2902" s="23"/>
      <c r="Q2902" s="23"/>
      <c r="R2902" s="26"/>
      <c r="S2902" s="23"/>
      <c r="U2902" s="104" t="s">
        <v>70</v>
      </c>
      <c r="V2902" s="106">
        <f>IF(29&lt;=DAY(DATE(YEAR(설정_코스수당!$K$2),MONTH(설정_코스수당!$K$2)+1,0)),SUMIFS($K:$K,$B:$B,DATE(YEAR(설정_코스수당!$K$2),MONTH(설정_코스수당!$K$2),29),$O:$O,"방문완료")+SUMIFS($L:$L,$B:$B,DATE(YEAR(설정_코스수당!$K$2),MONTH(설정_코스수당!$K$2),29),$O:$O,"방문완료"),"")</f>
        <v>0</v>
      </c>
      <c r="W2902" s="104" t="s">
        <v>18</v>
      </c>
      <c r="X2902" s="105">
        <f>IF(29&lt;=DAY(DATE(YEAR(설정_코스수당!$K$2),MONTH(설정_코스수당!$K$2)+1,0)),COUNTIFS($B:$B,DATE(YEAR(설정_코스수당!$K$2),MONTH(설정_코스수당!$K$2),29),$E:$E,"E",$O:$O,"방문완료"),"")</f>
        <v>0</v>
      </c>
    </row>
    <row r="2903" spans="1:24" ht="19.5" hidden="1" customHeight="1" outlineLevel="1">
      <c r="A2903" s="29">
        <v>6</v>
      </c>
      <c r="B2903" s="30">
        <f>IF(29&lt;=DAY(DATE(YEAR(설정_코스수당!$K$2),MONTH(설정_코스수당!$K$2)+1,0)),DATE(YEAR(설정_코스수당!$K$2),MONTH(설정_코스수당!$K$2),29),"")</f>
        <v>46202</v>
      </c>
      <c r="C2903" s="31"/>
      <c r="D2903" s="29"/>
      <c r="E2903" s="29"/>
      <c r="F2903" s="32"/>
      <c r="G2903" s="29"/>
      <c r="H2903" s="29"/>
      <c r="I2903" s="29"/>
      <c r="J2903" s="33">
        <f>IF($O2903="방문완료",MAX(0,IFERROR(VLOOKUP($E2903,설정_코스수당!$A$6:$H$10,4,FALSE),0)-IF(OR($P2903="",$P2903="없음"),0,100000)),0)</f>
        <v>0</v>
      </c>
      <c r="K2903" s="33">
        <f t="array" ref="K2903">IF($O2903="방문완료",IFERROR(INDEX(설정_코스수당!$B$15:$F$64,MATCH($G2903,설정_코스수당!$A$15:$A$64,0),MATCH($E2903&amp;"수당",설정_코스수당!$B$14:$F$14,0)),0),0)</f>
        <v>0</v>
      </c>
      <c r="L2903" s="33">
        <f t="array" ref="L2903">IF($O2903="방문완료",IF($H2903="",0,IFERROR(INDEX(설정_코스수당!$B$15:$F$64,MATCH($H2903,설정_코스수당!$A$15:$A$64,0),MATCH($E2903&amp;"수당",설정_코스수당!$B$14:$F$14,0)),0)),0)</f>
        <v>0</v>
      </c>
      <c r="M2903" s="33">
        <f>IF($O2903="방문완료",IFERROR(VLOOKUP($E2903,설정_코스수당!$A$6:$H$10,6,FALSE),0),0)</f>
        <v>0</v>
      </c>
      <c r="N2903" s="34">
        <f t="shared" si="84"/>
        <v>0</v>
      </c>
      <c r="O2903" s="29"/>
      <c r="P2903" s="29"/>
      <c r="Q2903" s="29"/>
      <c r="R2903" s="32"/>
      <c r="S2903" s="29"/>
      <c r="U2903" s="104" t="s">
        <v>53</v>
      </c>
      <c r="V2903" s="106">
        <f>IF(29&lt;=DAY(DATE(YEAR(설정_코스수당!$K$2),MONTH(설정_코스수당!$K$2)+1,0)),SUMIFS($M:$M,$B:$B,DATE(YEAR(설정_코스수당!$K$2),MONTH(설정_코스수당!$K$2),29),$O:$O,"방문완료"),"")</f>
        <v>0</v>
      </c>
      <c r="W2903" s="104" t="s">
        <v>71</v>
      </c>
      <c r="X2903" s="107">
        <f>IF(29&lt;=DAY(DATE(YEAR(설정_코스수당!$K$2),MONTH(설정_코스수당!$K$2)+1,0)),COUNTIFS($B:$B,DATE(YEAR(설정_코스수당!$K$2),MONTH(설정_코스수당!$K$2),29),$O:$O,"방문완료",$P:$P,"&lt;&gt;",$P:$P,"&lt;&gt;없음"),"")</f>
        <v>0</v>
      </c>
    </row>
    <row r="2904" spans="1:24" ht="19.5" hidden="1" customHeight="1" outlineLevel="1">
      <c r="A2904" s="23">
        <v>7</v>
      </c>
      <c r="B2904" s="24">
        <f>IF(29&lt;=DAY(DATE(YEAR(설정_코스수당!$K$2),MONTH(설정_코스수당!$K$2)+1,0)),DATE(YEAR(설정_코스수당!$K$2),MONTH(설정_코스수당!$K$2),29),"")</f>
        <v>46202</v>
      </c>
      <c r="C2904" s="25"/>
      <c r="D2904" s="23"/>
      <c r="E2904" s="23"/>
      <c r="F2904" s="26"/>
      <c r="G2904" s="23"/>
      <c r="H2904" s="23"/>
      <c r="I2904" s="23"/>
      <c r="J2904" s="27">
        <f>IF($O2904="방문완료",MAX(0,IFERROR(VLOOKUP($E2904,설정_코스수당!$A$6:$H$10,4,FALSE),0)-IF(OR($P2904="",$P2904="없음"),0,100000)),0)</f>
        <v>0</v>
      </c>
      <c r="K2904" s="27">
        <f t="array" ref="K2904">IF($O2904="방문완료",IFERROR(INDEX(설정_코스수당!$B$15:$F$64,MATCH($G2904,설정_코스수당!$A$15:$A$64,0),MATCH($E2904&amp;"수당",설정_코스수당!$B$14:$F$14,0)),0),0)</f>
        <v>0</v>
      </c>
      <c r="L2904" s="27">
        <f t="array" ref="L2904">IF($O2904="방문완료",IF($H2904="",0,IFERROR(INDEX(설정_코스수당!$B$15:$F$64,MATCH($H2904,설정_코스수당!$A$15:$A$64,0),MATCH($E2904&amp;"수당",설정_코스수당!$B$14:$F$14,0)),0)),0)</f>
        <v>0</v>
      </c>
      <c r="M2904" s="27">
        <f>IF($O2904="방문완료",IFERROR(VLOOKUP($E2904,설정_코스수당!$A$6:$H$10,6,FALSE),0),0)</f>
        <v>0</v>
      </c>
      <c r="N2904" s="28">
        <f t="shared" si="84"/>
        <v>0</v>
      </c>
      <c r="O2904" s="23"/>
      <c r="P2904" s="23"/>
      <c r="Q2904" s="23"/>
      <c r="R2904" s="26"/>
      <c r="S2904" s="23"/>
      <c r="U2904" s="104" t="s">
        <v>72</v>
      </c>
      <c r="V2904" s="108">
        <f>IF(29&lt;=DAY(DATE(YEAR(설정_코스수당!$K$2),MONTH(설정_코스수당!$K$2)+1,0)),COUNTIFS($B:$B,DATE(YEAR(설정_코스수당!$K$2),MONTH(설정_코스수당!$K$2),29),$O:$O,"방문완료",$P:$P,"&lt;&gt;",$P:$P,"&lt;&gt;없음")*100000,"")</f>
        <v>0</v>
      </c>
      <c r="W2904" s="104" t="s">
        <v>73</v>
      </c>
      <c r="X2904" s="105">
        <f>IF(29&lt;=DAY(DATE(YEAR(설정_코스수당!$K$2),MONTH(설정_코스수당!$K$2)+1,0)),COUNTIFS($B:$B,DATE(YEAR(설정_코스수당!$K$2),MONTH(설정_코스수당!$K$2),29),$G:$G,"&lt;&gt;",$O:$O,"방문완료")+COUNTIFS($B:$B,DATE(YEAR(설정_코스수당!$K$2),MONTH(설정_코스수당!$K$2),29),$H:$H,"&lt;&gt;",$O:$O,"방문완료"),"")</f>
        <v>0</v>
      </c>
    </row>
    <row r="2905" spans="1:24" ht="19.5" hidden="1" customHeight="1" outlineLevel="1">
      <c r="A2905" s="29">
        <v>8</v>
      </c>
      <c r="B2905" s="30">
        <f>IF(29&lt;=DAY(DATE(YEAR(설정_코스수당!$K$2),MONTH(설정_코스수당!$K$2)+1,0)),DATE(YEAR(설정_코스수당!$K$2),MONTH(설정_코스수당!$K$2),29),"")</f>
        <v>46202</v>
      </c>
      <c r="C2905" s="31"/>
      <c r="D2905" s="29"/>
      <c r="E2905" s="29"/>
      <c r="F2905" s="32"/>
      <c r="G2905" s="29"/>
      <c r="H2905" s="29"/>
      <c r="I2905" s="29"/>
      <c r="J2905" s="33">
        <f>IF($O2905="방문완료",MAX(0,IFERROR(VLOOKUP($E2905,설정_코스수당!$A$6:$H$10,4,FALSE),0)-IF(OR($P2905="",$P2905="없음"),0,100000)),0)</f>
        <v>0</v>
      </c>
      <c r="K2905" s="33">
        <f t="array" ref="K2905">IF($O2905="방문완료",IFERROR(INDEX(설정_코스수당!$B$15:$F$64,MATCH($G2905,설정_코스수당!$A$15:$A$64,0),MATCH($E2905&amp;"수당",설정_코스수당!$B$14:$F$14,0)),0),0)</f>
        <v>0</v>
      </c>
      <c r="L2905" s="33">
        <f t="array" ref="L2905">IF($O2905="방문완료",IF($H2905="",0,IFERROR(INDEX(설정_코스수당!$B$15:$F$64,MATCH($H2905,설정_코스수당!$A$15:$A$64,0),MATCH($E2905&amp;"수당",설정_코스수당!$B$14:$F$14,0)),0)),0)</f>
        <v>0</v>
      </c>
      <c r="M2905" s="33">
        <f>IF($O2905="방문완료",IFERROR(VLOOKUP($E2905,설정_코스수당!$A$6:$H$10,6,FALSE),0),0)</f>
        <v>0</v>
      </c>
      <c r="N2905" s="34">
        <f t="shared" si="84"/>
        <v>0</v>
      </c>
      <c r="O2905" s="29"/>
      <c r="P2905" s="29"/>
      <c r="Q2905" s="29"/>
      <c r="R2905" s="32"/>
      <c r="S2905" s="29"/>
      <c r="U2905" s="104" t="s">
        <v>74</v>
      </c>
      <c r="V2905" s="108">
        <f>IF(29&lt;=DAY(DATE(YEAR(설정_코스수당!$K$2),MONTH(설정_코스수당!$K$2)+1,0)),SUM($U$2909:$U$2916),"")</f>
        <v>0</v>
      </c>
      <c r="W2905" s="122" t="str">
        <f>IF(29&lt;=DAY(DATE(YEAR(설정_코스수당!$K$2),MONTH(설정_코스수당!$K$2)+1,0)),"계 : "&amp;TEXT(V2901-V2905,"#,##0")&amp;" 동","")</f>
        <v>계 : 0 동</v>
      </c>
      <c r="X2905" s="122"/>
    </row>
    <row r="2906" spans="1:24" ht="19.5" hidden="1" customHeight="1" outlineLevel="1">
      <c r="A2906" s="23">
        <v>9</v>
      </c>
      <c r="B2906" s="24">
        <f>IF(29&lt;=DAY(DATE(YEAR(설정_코스수당!$K$2),MONTH(설정_코스수당!$K$2)+1,0)),DATE(YEAR(설정_코스수당!$K$2),MONTH(설정_코스수당!$K$2),29),"")</f>
        <v>46202</v>
      </c>
      <c r="C2906" s="25"/>
      <c r="D2906" s="23"/>
      <c r="E2906" s="23"/>
      <c r="F2906" s="26"/>
      <c r="G2906" s="23"/>
      <c r="H2906" s="23"/>
      <c r="I2906" s="23"/>
      <c r="J2906" s="27">
        <f>IF($O2906="방문완료",MAX(0,IFERROR(VLOOKUP($E2906,설정_코스수당!$A$6:$H$10,4,FALSE),0)-IF(OR($P2906="",$P2906="없음"),0,100000)),0)</f>
        <v>0</v>
      </c>
      <c r="K2906" s="27">
        <f t="array" ref="K2906">IF($O2906="방문완료",IFERROR(INDEX(설정_코스수당!$B$15:$F$64,MATCH($G2906,설정_코스수당!$A$15:$A$64,0),MATCH($E2906&amp;"수당",설정_코스수당!$B$14:$F$14,0)),0),0)</f>
        <v>0</v>
      </c>
      <c r="L2906" s="27">
        <f t="array" ref="L2906">IF($O2906="방문완료",IF($H2906="",0,IFERROR(INDEX(설정_코스수당!$B$15:$F$64,MATCH($H2906,설정_코스수당!$A$15:$A$64,0),MATCH($E2906&amp;"수당",설정_코스수당!$B$14:$F$14,0)),0)),0)</f>
        <v>0</v>
      </c>
      <c r="M2906" s="27">
        <f>IF($O2906="방문완료",IFERROR(VLOOKUP($E2906,설정_코스수당!$A$6:$H$10,6,FALSE),0),0)</f>
        <v>0</v>
      </c>
      <c r="N2906" s="28">
        <f t="shared" si="84"/>
        <v>0</v>
      </c>
      <c r="O2906" s="23"/>
      <c r="P2906" s="23"/>
      <c r="Q2906" s="23"/>
      <c r="R2906" s="26"/>
      <c r="S2906" s="23"/>
    </row>
    <row r="2907" spans="1:24" ht="19.5" hidden="1" customHeight="1" outlineLevel="1">
      <c r="A2907" s="29">
        <v>10</v>
      </c>
      <c r="B2907" s="30">
        <f>IF(29&lt;=DAY(DATE(YEAR(설정_코스수당!$K$2),MONTH(설정_코스수당!$K$2)+1,0)),DATE(YEAR(설정_코스수당!$K$2),MONTH(설정_코스수당!$K$2),29),"")</f>
        <v>46202</v>
      </c>
      <c r="C2907" s="31"/>
      <c r="D2907" s="29"/>
      <c r="E2907" s="29"/>
      <c r="F2907" s="32"/>
      <c r="G2907" s="29"/>
      <c r="H2907" s="29"/>
      <c r="I2907" s="29"/>
      <c r="J2907" s="33">
        <f>IF($O2907="방문완료",MAX(0,IFERROR(VLOOKUP($E2907,설정_코스수당!$A$6:$H$10,4,FALSE),0)-IF(OR($P2907="",$P2907="없음"),0,100000)),0)</f>
        <v>0</v>
      </c>
      <c r="K2907" s="33">
        <f t="array" ref="K2907">IF($O2907="방문완료",IFERROR(INDEX(설정_코스수당!$B$15:$F$64,MATCH($G2907,설정_코스수당!$A$15:$A$64,0),MATCH($E2907&amp;"수당",설정_코스수당!$B$14:$F$14,0)),0),0)</f>
        <v>0</v>
      </c>
      <c r="L2907" s="33">
        <f t="array" ref="L2907">IF($O2907="방문완료",IF($H2907="",0,IFERROR(INDEX(설정_코스수당!$B$15:$F$64,MATCH($H2907,설정_코스수당!$A$15:$A$64,0),MATCH($E2907&amp;"수당",설정_코스수당!$B$14:$F$14,0)),0)),0)</f>
        <v>0</v>
      </c>
      <c r="M2907" s="33">
        <f>IF($O2907="방문완료",IFERROR(VLOOKUP($E2907,설정_코스수당!$A$6:$H$10,6,FALSE),0),0)</f>
        <v>0</v>
      </c>
      <c r="N2907" s="34">
        <f t="shared" si="84"/>
        <v>0</v>
      </c>
      <c r="O2907" s="29"/>
      <c r="P2907" s="29"/>
      <c r="Q2907" s="29"/>
      <c r="R2907" s="32"/>
      <c r="S2907" s="29"/>
      <c r="U2907" s="120" t="s">
        <v>75</v>
      </c>
      <c r="V2907" s="121"/>
      <c r="W2907" s="121"/>
      <c r="X2907" s="121"/>
    </row>
    <row r="2908" spans="1:24" ht="19.5" hidden="1" customHeight="1" outlineLevel="1">
      <c r="A2908" s="23">
        <v>11</v>
      </c>
      <c r="B2908" s="24">
        <f>IF(29&lt;=DAY(DATE(YEAR(설정_코스수당!$K$2),MONTH(설정_코스수당!$K$2)+1,0)),DATE(YEAR(설정_코스수당!$K$2),MONTH(설정_코스수당!$K$2),29),"")</f>
        <v>46202</v>
      </c>
      <c r="C2908" s="25"/>
      <c r="D2908" s="23"/>
      <c r="E2908" s="23"/>
      <c r="F2908" s="26"/>
      <c r="G2908" s="23"/>
      <c r="H2908" s="23"/>
      <c r="I2908" s="23"/>
      <c r="J2908" s="27">
        <f>IF($O2908="방문완료",MAX(0,IFERROR(VLOOKUP($E2908,설정_코스수당!$A$6:$H$10,4,FALSE),0)-IF(OR($P2908="",$P2908="없음"),0,100000)),0)</f>
        <v>0</v>
      </c>
      <c r="K2908" s="27">
        <f t="array" ref="K2908">IF($O2908="방문완료",IFERROR(INDEX(설정_코스수당!$B$15:$F$64,MATCH($G2908,설정_코스수당!$A$15:$A$64,0),MATCH($E2908&amp;"수당",설정_코스수당!$B$14:$F$14,0)),0),0)</f>
        <v>0</v>
      </c>
      <c r="L2908" s="27">
        <f t="array" ref="L2908">IF($O2908="방문완료",IF($H2908="",0,IFERROR(INDEX(설정_코스수당!$B$15:$F$64,MATCH($H2908,설정_코스수당!$A$15:$A$64,0),MATCH($E2908&amp;"수당",설정_코스수당!$B$14:$F$14,0)),0)),0)</f>
        <v>0</v>
      </c>
      <c r="M2908" s="27">
        <f>IF($O2908="방문완료",IFERROR(VLOOKUP($E2908,설정_코스수당!$A$6:$H$10,6,FALSE),0),0)</f>
        <v>0</v>
      </c>
      <c r="N2908" s="28">
        <f t="shared" si="84"/>
        <v>0</v>
      </c>
      <c r="O2908" s="23"/>
      <c r="P2908" s="23"/>
      <c r="Q2908" s="23"/>
      <c r="R2908" s="26"/>
      <c r="S2908" s="23"/>
      <c r="U2908" s="109" t="s">
        <v>76</v>
      </c>
      <c r="V2908" s="109" t="s">
        <v>77</v>
      </c>
      <c r="W2908" s="109" t="s">
        <v>78</v>
      </c>
      <c r="X2908" s="109" t="s">
        <v>58</v>
      </c>
    </row>
    <row r="2909" spans="1:24" ht="19.5" hidden="1" customHeight="1" outlineLevel="1">
      <c r="A2909" s="29">
        <v>12</v>
      </c>
      <c r="B2909" s="30">
        <f>IF(29&lt;=DAY(DATE(YEAR(설정_코스수당!$K$2),MONTH(설정_코스수당!$K$2)+1,0)),DATE(YEAR(설정_코스수당!$K$2),MONTH(설정_코스수당!$K$2),29),"")</f>
        <v>46202</v>
      </c>
      <c r="C2909" s="31"/>
      <c r="D2909" s="29"/>
      <c r="E2909" s="29"/>
      <c r="F2909" s="32"/>
      <c r="G2909" s="29"/>
      <c r="H2909" s="29"/>
      <c r="I2909" s="29"/>
      <c r="J2909" s="33">
        <f>IF($O2909="방문완료",MAX(0,IFERROR(VLOOKUP($E2909,설정_코스수당!$A$6:$H$10,4,FALSE),0)-IF(OR($P2909="",$P2909="없음"),0,100000)),0)</f>
        <v>0</v>
      </c>
      <c r="K2909" s="33">
        <f t="array" ref="K2909">IF($O2909="방문완료",IFERROR(INDEX(설정_코스수당!$B$15:$F$64,MATCH($G2909,설정_코스수당!$A$15:$A$64,0),MATCH($E2909&amp;"수당",설정_코스수당!$B$14:$F$14,0)),0),0)</f>
        <v>0</v>
      </c>
      <c r="L2909" s="33">
        <f t="array" ref="L2909">IF($O2909="방문완료",IF($H2909="",0,IFERROR(INDEX(설정_코스수당!$B$15:$F$64,MATCH($H2909,설정_코스수당!$A$15:$A$64,0),MATCH($E2909&amp;"수당",설정_코스수당!$B$14:$F$14,0)),0)),0)</f>
        <v>0</v>
      </c>
      <c r="M2909" s="33">
        <f>IF($O2909="방문완료",IFERROR(VLOOKUP($E2909,설정_코스수당!$A$6:$H$10,6,FALSE),0),0)</f>
        <v>0</v>
      </c>
      <c r="N2909" s="34">
        <f t="shared" si="84"/>
        <v>0</v>
      </c>
      <c r="O2909" s="29"/>
      <c r="P2909" s="29"/>
      <c r="Q2909" s="29"/>
      <c r="R2909" s="32"/>
      <c r="S2909" s="29"/>
      <c r="U2909" s="113"/>
      <c r="V2909" s="111"/>
      <c r="W2909" s="112"/>
      <c r="X2909" s="111"/>
    </row>
    <row r="2910" spans="1:24" ht="19.5" hidden="1" customHeight="1" outlineLevel="1">
      <c r="A2910" s="23">
        <v>13</v>
      </c>
      <c r="B2910" s="24">
        <f>IF(29&lt;=DAY(DATE(YEAR(설정_코스수당!$K$2),MONTH(설정_코스수당!$K$2)+1,0)),DATE(YEAR(설정_코스수당!$K$2),MONTH(설정_코스수당!$K$2),29),"")</f>
        <v>46202</v>
      </c>
      <c r="C2910" s="25"/>
      <c r="D2910" s="23"/>
      <c r="E2910" s="23"/>
      <c r="F2910" s="26"/>
      <c r="G2910" s="23"/>
      <c r="H2910" s="23"/>
      <c r="I2910" s="23"/>
      <c r="J2910" s="27">
        <f>IF($O2910="방문완료",MAX(0,IFERROR(VLOOKUP($E2910,설정_코스수당!$A$6:$H$10,4,FALSE),0)-IF(OR($P2910="",$P2910="없음"),0,100000)),0)</f>
        <v>0</v>
      </c>
      <c r="K2910" s="27">
        <f t="array" ref="K2910">IF($O2910="방문완료",IFERROR(INDEX(설정_코스수당!$B$15:$F$64,MATCH($G2910,설정_코스수당!$A$15:$A$64,0),MATCH($E2910&amp;"수당",설정_코스수당!$B$14:$F$14,0)),0),0)</f>
        <v>0</v>
      </c>
      <c r="L2910" s="27">
        <f t="array" ref="L2910">IF($O2910="방문완료",IF($H2910="",0,IFERROR(INDEX(설정_코스수당!$B$15:$F$64,MATCH($H2910,설정_코스수당!$A$15:$A$64,0),MATCH($E2910&amp;"수당",설정_코스수당!$B$14:$F$14,0)),0)),0)</f>
        <v>0</v>
      </c>
      <c r="M2910" s="27">
        <f>IF($O2910="방문완료",IFERROR(VLOOKUP($E2910,설정_코스수당!$A$6:$H$10,6,FALSE),0),0)</f>
        <v>0</v>
      </c>
      <c r="N2910" s="28">
        <f t="shared" si="84"/>
        <v>0</v>
      </c>
      <c r="O2910" s="23"/>
      <c r="P2910" s="23"/>
      <c r="Q2910" s="23"/>
      <c r="R2910" s="26"/>
      <c r="S2910" s="23"/>
      <c r="U2910" s="113"/>
      <c r="V2910" s="111"/>
      <c r="W2910" s="112"/>
      <c r="X2910" s="111"/>
    </row>
    <row r="2911" spans="1:24" ht="19.5" hidden="1" customHeight="1" outlineLevel="1">
      <c r="A2911" s="29">
        <v>14</v>
      </c>
      <c r="B2911" s="30">
        <f>IF(29&lt;=DAY(DATE(YEAR(설정_코스수당!$K$2),MONTH(설정_코스수당!$K$2)+1,0)),DATE(YEAR(설정_코스수당!$K$2),MONTH(설정_코스수당!$K$2),29),"")</f>
        <v>46202</v>
      </c>
      <c r="C2911" s="31"/>
      <c r="D2911" s="29"/>
      <c r="E2911" s="29"/>
      <c r="F2911" s="32"/>
      <c r="G2911" s="29"/>
      <c r="H2911" s="29"/>
      <c r="I2911" s="29"/>
      <c r="J2911" s="33">
        <f>IF($O2911="방문완료",MAX(0,IFERROR(VLOOKUP($E2911,설정_코스수당!$A$6:$H$10,4,FALSE),0)-IF(OR($P2911="",$P2911="없음"),0,100000)),0)</f>
        <v>0</v>
      </c>
      <c r="K2911" s="33">
        <f t="array" ref="K2911">IF($O2911="방문완료",IFERROR(INDEX(설정_코스수당!$B$15:$F$64,MATCH($G2911,설정_코스수당!$A$15:$A$64,0),MATCH($E2911&amp;"수당",설정_코스수당!$B$14:$F$14,0)),0),0)</f>
        <v>0</v>
      </c>
      <c r="L2911" s="33">
        <f t="array" ref="L2911">IF($O2911="방문완료",IF($H2911="",0,IFERROR(INDEX(설정_코스수당!$B$15:$F$64,MATCH($H2911,설정_코스수당!$A$15:$A$64,0),MATCH($E2911&amp;"수당",설정_코스수당!$B$14:$F$14,0)),0)),0)</f>
        <v>0</v>
      </c>
      <c r="M2911" s="33">
        <f>IF($O2911="방문완료",IFERROR(VLOOKUP($E2911,설정_코스수당!$A$6:$H$10,6,FALSE),0),0)</f>
        <v>0</v>
      </c>
      <c r="N2911" s="34">
        <f t="shared" si="84"/>
        <v>0</v>
      </c>
      <c r="O2911" s="29"/>
      <c r="P2911" s="29"/>
      <c r="Q2911" s="29"/>
      <c r="R2911" s="32"/>
      <c r="S2911" s="29"/>
      <c r="U2911" s="113"/>
      <c r="V2911" s="111"/>
      <c r="W2911" s="112"/>
      <c r="X2911" s="111"/>
    </row>
    <row r="2912" spans="1:24" ht="19.5" hidden="1" customHeight="1" outlineLevel="1">
      <c r="A2912" s="23">
        <v>15</v>
      </c>
      <c r="B2912" s="24">
        <f>IF(29&lt;=DAY(DATE(YEAR(설정_코스수당!$K$2),MONTH(설정_코스수당!$K$2)+1,0)),DATE(YEAR(설정_코스수당!$K$2),MONTH(설정_코스수당!$K$2),29),"")</f>
        <v>46202</v>
      </c>
      <c r="C2912" s="25"/>
      <c r="D2912" s="23"/>
      <c r="E2912" s="23"/>
      <c r="F2912" s="26"/>
      <c r="G2912" s="23"/>
      <c r="H2912" s="23"/>
      <c r="I2912" s="23"/>
      <c r="J2912" s="27">
        <f>IF($O2912="방문완료",MAX(0,IFERROR(VLOOKUP($E2912,설정_코스수당!$A$6:$H$10,4,FALSE),0)-IF(OR($P2912="",$P2912="없음"),0,100000)),0)</f>
        <v>0</v>
      </c>
      <c r="K2912" s="27">
        <f t="array" ref="K2912">IF($O2912="방문완료",IFERROR(INDEX(설정_코스수당!$B$15:$F$64,MATCH($G2912,설정_코스수당!$A$15:$A$64,0),MATCH($E2912&amp;"수당",설정_코스수당!$B$14:$F$14,0)),0),0)</f>
        <v>0</v>
      </c>
      <c r="L2912" s="27">
        <f t="array" ref="L2912">IF($O2912="방문완료",IF($H2912="",0,IFERROR(INDEX(설정_코스수당!$B$15:$F$64,MATCH($H2912,설정_코스수당!$A$15:$A$64,0),MATCH($E2912&amp;"수당",설정_코스수당!$B$14:$F$14,0)),0)),0)</f>
        <v>0</v>
      </c>
      <c r="M2912" s="27">
        <f>IF($O2912="방문완료",IFERROR(VLOOKUP($E2912,설정_코스수당!$A$6:$H$10,6,FALSE),0),0)</f>
        <v>0</v>
      </c>
      <c r="N2912" s="28">
        <f t="shared" si="84"/>
        <v>0</v>
      </c>
      <c r="O2912" s="23"/>
      <c r="P2912" s="23"/>
      <c r="Q2912" s="23"/>
      <c r="R2912" s="26"/>
      <c r="S2912" s="23"/>
      <c r="U2912" s="113"/>
      <c r="V2912" s="111"/>
      <c r="W2912" s="112"/>
      <c r="X2912" s="111"/>
    </row>
    <row r="2913" spans="1:24" ht="19.5" hidden="1" customHeight="1" outlineLevel="1">
      <c r="A2913" s="29">
        <v>16</v>
      </c>
      <c r="B2913" s="30">
        <f>IF(29&lt;=DAY(DATE(YEAR(설정_코스수당!$K$2),MONTH(설정_코스수당!$K$2)+1,0)),DATE(YEAR(설정_코스수당!$K$2),MONTH(설정_코스수당!$K$2),29),"")</f>
        <v>46202</v>
      </c>
      <c r="C2913" s="31"/>
      <c r="D2913" s="29"/>
      <c r="E2913" s="29"/>
      <c r="F2913" s="32"/>
      <c r="G2913" s="29"/>
      <c r="H2913" s="29"/>
      <c r="I2913" s="29"/>
      <c r="J2913" s="33">
        <f>IF($O2913="방문완료",MAX(0,IFERROR(VLOOKUP($E2913,설정_코스수당!$A$6:$H$10,4,FALSE),0)-IF(OR($P2913="",$P2913="없음"),0,100000)),0)</f>
        <v>0</v>
      </c>
      <c r="K2913" s="33">
        <f t="array" ref="K2913">IF($O2913="방문완료",IFERROR(INDEX(설정_코스수당!$B$15:$F$64,MATCH($G2913,설정_코스수당!$A$15:$A$64,0),MATCH($E2913&amp;"수당",설정_코스수당!$B$14:$F$14,0)),0),0)</f>
        <v>0</v>
      </c>
      <c r="L2913" s="33">
        <f t="array" ref="L2913">IF($O2913="방문완료",IF($H2913="",0,IFERROR(INDEX(설정_코스수당!$B$15:$F$64,MATCH($H2913,설정_코스수당!$A$15:$A$64,0),MATCH($E2913&amp;"수당",설정_코스수당!$B$14:$F$14,0)),0)),0)</f>
        <v>0</v>
      </c>
      <c r="M2913" s="33">
        <f>IF($O2913="방문완료",IFERROR(VLOOKUP($E2913,설정_코스수당!$A$6:$H$10,6,FALSE),0),0)</f>
        <v>0</v>
      </c>
      <c r="N2913" s="34">
        <f t="shared" si="84"/>
        <v>0</v>
      </c>
      <c r="O2913" s="29"/>
      <c r="P2913" s="29"/>
      <c r="Q2913" s="29"/>
      <c r="R2913" s="32"/>
      <c r="S2913" s="29"/>
      <c r="U2913" s="113"/>
      <c r="V2913" s="111"/>
      <c r="W2913" s="112"/>
      <c r="X2913" s="111"/>
    </row>
    <row r="2914" spans="1:24" ht="19.5" hidden="1" customHeight="1" outlineLevel="1">
      <c r="A2914" s="23">
        <v>17</v>
      </c>
      <c r="B2914" s="24">
        <f>IF(29&lt;=DAY(DATE(YEAR(설정_코스수당!$K$2),MONTH(설정_코스수당!$K$2)+1,0)),DATE(YEAR(설정_코스수당!$K$2),MONTH(설정_코스수당!$K$2),29),"")</f>
        <v>46202</v>
      </c>
      <c r="C2914" s="25"/>
      <c r="D2914" s="23"/>
      <c r="E2914" s="23"/>
      <c r="F2914" s="26"/>
      <c r="G2914" s="23"/>
      <c r="H2914" s="23"/>
      <c r="I2914" s="23"/>
      <c r="J2914" s="27">
        <f>IF($O2914="방문완료",MAX(0,IFERROR(VLOOKUP($E2914,설정_코스수당!$A$6:$H$10,4,FALSE),0)-IF(OR($P2914="",$P2914="없음"),0,100000)),0)</f>
        <v>0</v>
      </c>
      <c r="K2914" s="27">
        <f t="array" ref="K2914">IF($O2914="방문완료",IFERROR(INDEX(설정_코스수당!$B$15:$F$64,MATCH($G2914,설정_코스수당!$A$15:$A$64,0),MATCH($E2914&amp;"수당",설정_코스수당!$B$14:$F$14,0)),0),0)</f>
        <v>0</v>
      </c>
      <c r="L2914" s="27">
        <f t="array" ref="L2914">IF($O2914="방문완료",IF($H2914="",0,IFERROR(INDEX(설정_코스수당!$B$15:$F$64,MATCH($H2914,설정_코스수당!$A$15:$A$64,0),MATCH($E2914&amp;"수당",설정_코스수당!$B$14:$F$14,0)),0)),0)</f>
        <v>0</v>
      </c>
      <c r="M2914" s="27">
        <f>IF($O2914="방문완료",IFERROR(VLOOKUP($E2914,설정_코스수당!$A$6:$H$10,6,FALSE),0),0)</f>
        <v>0</v>
      </c>
      <c r="N2914" s="28">
        <f t="shared" si="84"/>
        <v>0</v>
      </c>
      <c r="O2914" s="23"/>
      <c r="P2914" s="23"/>
      <c r="Q2914" s="23"/>
      <c r="R2914" s="26"/>
      <c r="S2914" s="23"/>
      <c r="U2914" s="113"/>
      <c r="V2914" s="111"/>
      <c r="W2914" s="112"/>
      <c r="X2914" s="111"/>
    </row>
    <row r="2915" spans="1:24" ht="19.5" hidden="1" customHeight="1" outlineLevel="1">
      <c r="A2915" s="29">
        <v>18</v>
      </c>
      <c r="B2915" s="30">
        <f>IF(29&lt;=DAY(DATE(YEAR(설정_코스수당!$K$2),MONTH(설정_코스수당!$K$2)+1,0)),DATE(YEAR(설정_코스수당!$K$2),MONTH(설정_코스수당!$K$2),29),"")</f>
        <v>46202</v>
      </c>
      <c r="C2915" s="31"/>
      <c r="D2915" s="29"/>
      <c r="E2915" s="29"/>
      <c r="F2915" s="32"/>
      <c r="G2915" s="29"/>
      <c r="H2915" s="29"/>
      <c r="I2915" s="29"/>
      <c r="J2915" s="33">
        <f>IF($O2915="방문완료",MAX(0,IFERROR(VLOOKUP($E2915,설정_코스수당!$A$6:$H$10,4,FALSE),0)-IF(OR($P2915="",$P2915="없음"),0,100000)),0)</f>
        <v>0</v>
      </c>
      <c r="K2915" s="33">
        <f t="array" ref="K2915">IF($O2915="방문완료",IFERROR(INDEX(설정_코스수당!$B$15:$F$64,MATCH($G2915,설정_코스수당!$A$15:$A$64,0),MATCH($E2915&amp;"수당",설정_코스수당!$B$14:$F$14,0)),0),0)</f>
        <v>0</v>
      </c>
      <c r="L2915" s="33">
        <f t="array" ref="L2915">IF($O2915="방문완료",IF($H2915="",0,IFERROR(INDEX(설정_코스수당!$B$15:$F$64,MATCH($H2915,설정_코스수당!$A$15:$A$64,0),MATCH($E2915&amp;"수당",설정_코스수당!$B$14:$F$14,0)),0)),0)</f>
        <v>0</v>
      </c>
      <c r="M2915" s="33">
        <f>IF($O2915="방문완료",IFERROR(VLOOKUP($E2915,설정_코스수당!$A$6:$H$10,6,FALSE),0),0)</f>
        <v>0</v>
      </c>
      <c r="N2915" s="34">
        <f t="shared" si="84"/>
        <v>0</v>
      </c>
      <c r="O2915" s="29"/>
      <c r="P2915" s="29"/>
      <c r="Q2915" s="29"/>
      <c r="R2915" s="32"/>
      <c r="S2915" s="29"/>
      <c r="U2915" s="113"/>
      <c r="V2915" s="111"/>
      <c r="W2915" s="112"/>
      <c r="X2915" s="111"/>
    </row>
    <row r="2916" spans="1:24" ht="19.5" hidden="1" customHeight="1" outlineLevel="1">
      <c r="A2916" s="23">
        <v>19</v>
      </c>
      <c r="B2916" s="24">
        <f>IF(29&lt;=DAY(DATE(YEAR(설정_코스수당!$K$2),MONTH(설정_코스수당!$K$2)+1,0)),DATE(YEAR(설정_코스수당!$K$2),MONTH(설정_코스수당!$K$2),29),"")</f>
        <v>46202</v>
      </c>
      <c r="C2916" s="25"/>
      <c r="D2916" s="23"/>
      <c r="E2916" s="23"/>
      <c r="F2916" s="26"/>
      <c r="G2916" s="23"/>
      <c r="H2916" s="23"/>
      <c r="I2916" s="23"/>
      <c r="J2916" s="27">
        <f>IF($O2916="방문완료",MAX(0,IFERROR(VLOOKUP($E2916,설정_코스수당!$A$6:$H$10,4,FALSE),0)-IF(OR($P2916="",$P2916="없음"),0,100000)),0)</f>
        <v>0</v>
      </c>
      <c r="K2916" s="27">
        <f t="array" ref="K2916">IF($O2916="방문완료",IFERROR(INDEX(설정_코스수당!$B$15:$F$64,MATCH($G2916,설정_코스수당!$A$15:$A$64,0),MATCH($E2916&amp;"수당",설정_코스수당!$B$14:$F$14,0)),0),0)</f>
        <v>0</v>
      </c>
      <c r="L2916" s="27">
        <f t="array" ref="L2916">IF($O2916="방문완료",IF($H2916="",0,IFERROR(INDEX(설정_코스수당!$B$15:$F$64,MATCH($H2916,설정_코스수당!$A$15:$A$64,0),MATCH($E2916&amp;"수당",설정_코스수당!$B$14:$F$14,0)),0)),0)</f>
        <v>0</v>
      </c>
      <c r="M2916" s="27">
        <f>IF($O2916="방문완료",IFERROR(VLOOKUP($E2916,설정_코스수당!$A$6:$H$10,6,FALSE),0),0)</f>
        <v>0</v>
      </c>
      <c r="N2916" s="28">
        <f t="shared" si="84"/>
        <v>0</v>
      </c>
      <c r="O2916" s="23"/>
      <c r="P2916" s="23"/>
      <c r="Q2916" s="23"/>
      <c r="R2916" s="26"/>
      <c r="S2916" s="23"/>
      <c r="U2916" s="113"/>
      <c r="V2916" s="111"/>
      <c r="W2916" s="112"/>
      <c r="X2916" s="111"/>
    </row>
    <row r="2917" spans="1:24" ht="19.5" hidden="1" customHeight="1" outlineLevel="1">
      <c r="A2917" s="29">
        <v>20</v>
      </c>
      <c r="B2917" s="30">
        <f>IF(29&lt;=DAY(DATE(YEAR(설정_코스수당!$K$2),MONTH(설정_코스수당!$K$2)+1,0)),DATE(YEAR(설정_코스수당!$K$2),MONTH(설정_코스수당!$K$2),29),"")</f>
        <v>46202</v>
      </c>
      <c r="C2917" s="31"/>
      <c r="D2917" s="29"/>
      <c r="E2917" s="29"/>
      <c r="F2917" s="32"/>
      <c r="G2917" s="29"/>
      <c r="H2917" s="29"/>
      <c r="I2917" s="29"/>
      <c r="J2917" s="33">
        <f>IF($O2917="방문완료",MAX(0,IFERROR(VLOOKUP($E2917,설정_코스수당!$A$6:$H$10,4,FALSE),0)-IF(OR($P2917="",$P2917="없음"),0,100000)),0)</f>
        <v>0</v>
      </c>
      <c r="K2917" s="33">
        <f t="array" ref="K2917">IF($O2917="방문완료",IFERROR(INDEX(설정_코스수당!$B$15:$F$64,MATCH($G2917,설정_코스수당!$A$15:$A$64,0),MATCH($E2917&amp;"수당",설정_코스수당!$B$14:$F$14,0)),0),0)</f>
        <v>0</v>
      </c>
      <c r="L2917" s="33">
        <f t="array" ref="L2917">IF($O2917="방문완료",IF($H2917="",0,IFERROR(INDEX(설정_코스수당!$B$15:$F$64,MATCH($H2917,설정_코스수당!$A$15:$A$64,0),MATCH($E2917&amp;"수당",설정_코스수당!$B$14:$F$14,0)),0)),0)</f>
        <v>0</v>
      </c>
      <c r="M2917" s="33">
        <f>IF($O2917="방문완료",IFERROR(VLOOKUP($E2917,설정_코스수당!$A$6:$H$10,6,FALSE),0),0)</f>
        <v>0</v>
      </c>
      <c r="N2917" s="34">
        <f t="shared" si="84"/>
        <v>0</v>
      </c>
      <c r="O2917" s="29"/>
      <c r="P2917" s="29"/>
      <c r="Q2917" s="29"/>
      <c r="R2917" s="32"/>
      <c r="S2917" s="29"/>
    </row>
    <row r="2918" spans="1:24" ht="19.5" hidden="1" customHeight="1" outlineLevel="1">
      <c r="A2918" s="23">
        <v>21</v>
      </c>
      <c r="B2918" s="24">
        <f>IF(29&lt;=DAY(DATE(YEAR(설정_코스수당!$K$2),MONTH(설정_코스수당!$K$2)+1,0)),DATE(YEAR(설정_코스수당!$K$2),MONTH(설정_코스수당!$K$2),29),"")</f>
        <v>46202</v>
      </c>
      <c r="C2918" s="25"/>
      <c r="D2918" s="23"/>
      <c r="E2918" s="23"/>
      <c r="F2918" s="26"/>
      <c r="G2918" s="23"/>
      <c r="H2918" s="23"/>
      <c r="I2918" s="23"/>
      <c r="J2918" s="27">
        <f>IF($O2918="방문완료",MAX(0,IFERROR(VLOOKUP($E2918,설정_코스수당!$A$6:$H$10,4,FALSE),0)-IF(OR($P2918="",$P2918="없음"),0,100000)),0)</f>
        <v>0</v>
      </c>
      <c r="K2918" s="27">
        <f t="array" ref="K2918">IF($O2918="방문완료",IFERROR(INDEX(설정_코스수당!$B$15:$F$64,MATCH($G2918,설정_코스수당!$A$15:$A$64,0),MATCH($E2918&amp;"수당",설정_코스수당!$B$14:$F$14,0)),0),0)</f>
        <v>0</v>
      </c>
      <c r="L2918" s="27">
        <f t="array" ref="L2918">IF($O2918="방문완료",IF($H2918="",0,IFERROR(INDEX(설정_코스수당!$B$15:$F$64,MATCH($H2918,설정_코스수당!$A$15:$A$64,0),MATCH($E2918&amp;"수당",설정_코스수당!$B$14:$F$14,0)),0)),0)</f>
        <v>0</v>
      </c>
      <c r="M2918" s="27">
        <f>IF($O2918="방문완료",IFERROR(VLOOKUP($E2918,설정_코스수당!$A$6:$H$10,6,FALSE),0),0)</f>
        <v>0</v>
      </c>
      <c r="N2918" s="28">
        <f t="shared" si="84"/>
        <v>0</v>
      </c>
      <c r="O2918" s="23"/>
      <c r="P2918" s="23"/>
      <c r="Q2918" s="23"/>
      <c r="R2918" s="26"/>
      <c r="S2918" s="23"/>
    </row>
    <row r="2919" spans="1:24" ht="19.5" hidden="1" customHeight="1" outlineLevel="1">
      <c r="A2919" s="29">
        <v>22</v>
      </c>
      <c r="B2919" s="30">
        <f>IF(29&lt;=DAY(DATE(YEAR(설정_코스수당!$K$2),MONTH(설정_코스수당!$K$2)+1,0)),DATE(YEAR(설정_코스수당!$K$2),MONTH(설정_코스수당!$K$2),29),"")</f>
        <v>46202</v>
      </c>
      <c r="C2919" s="31"/>
      <c r="D2919" s="29"/>
      <c r="E2919" s="29"/>
      <c r="F2919" s="32"/>
      <c r="G2919" s="29"/>
      <c r="H2919" s="29"/>
      <c r="I2919" s="29"/>
      <c r="J2919" s="33">
        <f>IF($O2919="방문완료",MAX(0,IFERROR(VLOOKUP($E2919,설정_코스수당!$A$6:$H$10,4,FALSE),0)-IF(OR($P2919="",$P2919="없음"),0,100000)),0)</f>
        <v>0</v>
      </c>
      <c r="K2919" s="33">
        <f t="array" ref="K2919">IF($O2919="방문완료",IFERROR(INDEX(설정_코스수당!$B$15:$F$64,MATCH($G2919,설정_코스수당!$A$15:$A$64,0),MATCH($E2919&amp;"수당",설정_코스수당!$B$14:$F$14,0)),0),0)</f>
        <v>0</v>
      </c>
      <c r="L2919" s="33">
        <f t="array" ref="L2919">IF($O2919="방문완료",IF($H2919="",0,IFERROR(INDEX(설정_코스수당!$B$15:$F$64,MATCH($H2919,설정_코스수당!$A$15:$A$64,0),MATCH($E2919&amp;"수당",설정_코스수당!$B$14:$F$14,0)),0)),0)</f>
        <v>0</v>
      </c>
      <c r="M2919" s="33">
        <f>IF($O2919="방문완료",IFERROR(VLOOKUP($E2919,설정_코스수당!$A$6:$H$10,6,FALSE),0),0)</f>
        <v>0</v>
      </c>
      <c r="N2919" s="34">
        <f t="shared" si="84"/>
        <v>0</v>
      </c>
      <c r="O2919" s="29"/>
      <c r="P2919" s="29"/>
      <c r="Q2919" s="29"/>
      <c r="R2919" s="32"/>
      <c r="S2919" s="29"/>
    </row>
    <row r="2920" spans="1:24" ht="19.5" hidden="1" customHeight="1" outlineLevel="1">
      <c r="A2920" s="23">
        <v>23</v>
      </c>
      <c r="B2920" s="24">
        <f>IF(29&lt;=DAY(DATE(YEAR(설정_코스수당!$K$2),MONTH(설정_코스수당!$K$2)+1,0)),DATE(YEAR(설정_코스수당!$K$2),MONTH(설정_코스수당!$K$2),29),"")</f>
        <v>46202</v>
      </c>
      <c r="C2920" s="25"/>
      <c r="D2920" s="23"/>
      <c r="E2920" s="23"/>
      <c r="F2920" s="26"/>
      <c r="G2920" s="23"/>
      <c r="H2920" s="23"/>
      <c r="I2920" s="23"/>
      <c r="J2920" s="27">
        <f>IF($O2920="방문완료",MAX(0,IFERROR(VLOOKUP($E2920,설정_코스수당!$A$6:$H$10,4,FALSE),0)-IF(OR($P2920="",$P2920="없음"),0,100000)),0)</f>
        <v>0</v>
      </c>
      <c r="K2920" s="27">
        <f t="array" ref="K2920">IF($O2920="방문완료",IFERROR(INDEX(설정_코스수당!$B$15:$F$64,MATCH($G2920,설정_코스수당!$A$15:$A$64,0),MATCH($E2920&amp;"수당",설정_코스수당!$B$14:$F$14,0)),0),0)</f>
        <v>0</v>
      </c>
      <c r="L2920" s="27">
        <f t="array" ref="L2920">IF($O2920="방문완료",IF($H2920="",0,IFERROR(INDEX(설정_코스수당!$B$15:$F$64,MATCH($H2920,설정_코스수당!$A$15:$A$64,0),MATCH($E2920&amp;"수당",설정_코스수당!$B$14:$F$14,0)),0)),0)</f>
        <v>0</v>
      </c>
      <c r="M2920" s="27">
        <f>IF($O2920="방문완료",IFERROR(VLOOKUP($E2920,설정_코스수당!$A$6:$H$10,6,FALSE),0),0)</f>
        <v>0</v>
      </c>
      <c r="N2920" s="28">
        <f t="shared" si="84"/>
        <v>0</v>
      </c>
      <c r="O2920" s="23"/>
      <c r="P2920" s="23"/>
      <c r="Q2920" s="23"/>
      <c r="R2920" s="26"/>
      <c r="S2920" s="23"/>
      <c r="U2920" s="16" t="s">
        <v>72</v>
      </c>
      <c r="V2920" s="17">
        <f>IF(30&lt;=DAY(DATE(YEAR(설정_코스수당!$K$2),MONTH(설정_코스수당!$K$2)+1,0)),COUNTIFS($B:$B,DATE(YEAR(설정_코스수당!$K$2),MONTH(설정_코스수당!$K$2),30),$O:$O,"방문완료",$P:$P,"&lt;&gt;",$P:$P,"&lt;&gt;없음")*100000,"")</f>
        <v>0</v>
      </c>
    </row>
    <row r="2921" spans="1:24" ht="19.5" hidden="1" customHeight="1" outlineLevel="1">
      <c r="A2921" s="29">
        <v>24</v>
      </c>
      <c r="B2921" s="30">
        <f>IF(29&lt;=DAY(DATE(YEAR(설정_코스수당!$K$2),MONTH(설정_코스수당!$K$2)+1,0)),DATE(YEAR(설정_코스수당!$K$2),MONTH(설정_코스수당!$K$2),29),"")</f>
        <v>46202</v>
      </c>
      <c r="C2921" s="31"/>
      <c r="D2921" s="29"/>
      <c r="E2921" s="29"/>
      <c r="F2921" s="32"/>
      <c r="G2921" s="29"/>
      <c r="H2921" s="29"/>
      <c r="I2921" s="29"/>
      <c r="J2921" s="33">
        <f>IF($O2921="방문완료",MAX(0,IFERROR(VLOOKUP($E2921,설정_코스수당!$A$6:$H$10,4,FALSE),0)-IF(OR($P2921="",$P2921="없음"),0,100000)),0)</f>
        <v>0</v>
      </c>
      <c r="K2921" s="33">
        <f t="array" ref="K2921">IF($O2921="방문완료",IFERROR(INDEX(설정_코스수당!$B$15:$F$64,MATCH($G2921,설정_코스수당!$A$15:$A$64,0),MATCH($E2921&amp;"수당",설정_코스수당!$B$14:$F$14,0)),0),0)</f>
        <v>0</v>
      </c>
      <c r="L2921" s="33">
        <f t="array" ref="L2921">IF($O2921="방문완료",IF($H2921="",0,IFERROR(INDEX(설정_코스수당!$B$15:$F$64,MATCH($H2921,설정_코스수당!$A$15:$A$64,0),MATCH($E2921&amp;"수당",설정_코스수당!$B$14:$F$14,0)),0)),0)</f>
        <v>0</v>
      </c>
      <c r="M2921" s="33">
        <f>IF($O2921="방문완료",IFERROR(VLOOKUP($E2921,설정_코스수당!$A$6:$H$10,6,FALSE),0),0)</f>
        <v>0</v>
      </c>
      <c r="N2921" s="34">
        <f t="shared" si="84"/>
        <v>0</v>
      </c>
      <c r="O2921" s="29"/>
      <c r="P2921" s="29"/>
      <c r="Q2921" s="29"/>
      <c r="R2921" s="32"/>
      <c r="S2921" s="29"/>
    </row>
    <row r="2922" spans="1:24" ht="19.5" hidden="1" customHeight="1" outlineLevel="1">
      <c r="A2922" s="23">
        <v>25</v>
      </c>
      <c r="B2922" s="24">
        <f>IF(29&lt;=DAY(DATE(YEAR(설정_코스수당!$K$2),MONTH(설정_코스수당!$K$2)+1,0)),DATE(YEAR(설정_코스수당!$K$2),MONTH(설정_코스수당!$K$2),29),"")</f>
        <v>46202</v>
      </c>
      <c r="C2922" s="25"/>
      <c r="D2922" s="23"/>
      <c r="E2922" s="23"/>
      <c r="F2922" s="26"/>
      <c r="G2922" s="23"/>
      <c r="H2922" s="23"/>
      <c r="I2922" s="23"/>
      <c r="J2922" s="27">
        <f>IF($O2922="방문완료",MAX(0,IFERROR(VLOOKUP($E2922,설정_코스수당!$A$6:$H$10,4,FALSE),0)-IF(OR($P2922="",$P2922="없음"),0,100000)),0)</f>
        <v>0</v>
      </c>
      <c r="K2922" s="27">
        <f t="array" ref="K2922">IF($O2922="방문완료",IFERROR(INDEX(설정_코스수당!$B$15:$F$64,MATCH($G2922,설정_코스수당!$A$15:$A$64,0),MATCH($E2922&amp;"수당",설정_코스수당!$B$14:$F$14,0)),0),0)</f>
        <v>0</v>
      </c>
      <c r="L2922" s="27">
        <f t="array" ref="L2922">IF($O2922="방문완료",IF($H2922="",0,IFERROR(INDEX(설정_코스수당!$B$15:$F$64,MATCH($H2922,설정_코스수당!$A$15:$A$64,0),MATCH($E2922&amp;"수당",설정_코스수당!$B$14:$F$14,0)),0)),0)</f>
        <v>0</v>
      </c>
      <c r="M2922" s="27">
        <f>IF($O2922="방문완료",IFERROR(VLOOKUP($E2922,설정_코스수당!$A$6:$H$10,6,FALSE),0),0)</f>
        <v>0</v>
      </c>
      <c r="N2922" s="28">
        <f t="shared" si="84"/>
        <v>0</v>
      </c>
      <c r="O2922" s="23"/>
      <c r="P2922" s="23"/>
      <c r="Q2922" s="23"/>
      <c r="R2922" s="26"/>
      <c r="S2922" s="23"/>
    </row>
    <row r="2923" spans="1:24" ht="19.5" hidden="1" customHeight="1" outlineLevel="1">
      <c r="A2923" s="29">
        <v>26</v>
      </c>
      <c r="B2923" s="30">
        <f>IF(29&lt;=DAY(DATE(YEAR(설정_코스수당!$K$2),MONTH(설정_코스수당!$K$2)+1,0)),DATE(YEAR(설정_코스수당!$K$2),MONTH(설정_코스수당!$K$2),29),"")</f>
        <v>46202</v>
      </c>
      <c r="C2923" s="31"/>
      <c r="D2923" s="29"/>
      <c r="E2923" s="29"/>
      <c r="F2923" s="32"/>
      <c r="G2923" s="29"/>
      <c r="H2923" s="29"/>
      <c r="I2923" s="29"/>
      <c r="J2923" s="33">
        <f>IF($O2923="방문완료",MAX(0,IFERROR(VLOOKUP($E2923,설정_코스수당!$A$6:$H$10,4,FALSE),0)-IF(OR($P2923="",$P2923="없음"),0,100000)),0)</f>
        <v>0</v>
      </c>
      <c r="K2923" s="33">
        <f t="array" ref="K2923">IF($O2923="방문완료",IFERROR(INDEX(설정_코스수당!$B$15:$F$64,MATCH($G2923,설정_코스수당!$A$15:$A$64,0),MATCH($E2923&amp;"수당",설정_코스수당!$B$14:$F$14,0)),0),0)</f>
        <v>0</v>
      </c>
      <c r="L2923" s="33">
        <f t="array" ref="L2923">IF($O2923="방문완료",IF($H2923="",0,IFERROR(INDEX(설정_코스수당!$B$15:$F$64,MATCH($H2923,설정_코스수당!$A$15:$A$64,0),MATCH($E2923&amp;"수당",설정_코스수당!$B$14:$F$14,0)),0)),0)</f>
        <v>0</v>
      </c>
      <c r="M2923" s="33">
        <f>IF($O2923="방문완료",IFERROR(VLOOKUP($E2923,설정_코스수당!$A$6:$H$10,6,FALSE),0),0)</f>
        <v>0</v>
      </c>
      <c r="N2923" s="34">
        <f t="shared" si="84"/>
        <v>0</v>
      </c>
      <c r="O2923" s="29"/>
      <c r="P2923" s="29"/>
      <c r="Q2923" s="29"/>
      <c r="R2923" s="32"/>
      <c r="S2923" s="29"/>
    </row>
    <row r="2924" spans="1:24" ht="19.5" hidden="1" customHeight="1" outlineLevel="1">
      <c r="A2924" s="23">
        <v>27</v>
      </c>
      <c r="B2924" s="24">
        <f>IF(29&lt;=DAY(DATE(YEAR(설정_코스수당!$K$2),MONTH(설정_코스수당!$K$2)+1,0)),DATE(YEAR(설정_코스수당!$K$2),MONTH(설정_코스수당!$K$2),29),"")</f>
        <v>46202</v>
      </c>
      <c r="C2924" s="25"/>
      <c r="D2924" s="23"/>
      <c r="E2924" s="23"/>
      <c r="F2924" s="26"/>
      <c r="G2924" s="23"/>
      <c r="H2924" s="23"/>
      <c r="I2924" s="23"/>
      <c r="J2924" s="27">
        <f>IF($O2924="방문완료",MAX(0,IFERROR(VLOOKUP($E2924,설정_코스수당!$A$6:$H$10,4,FALSE),0)-IF(OR($P2924="",$P2924="없음"),0,100000)),0)</f>
        <v>0</v>
      </c>
      <c r="K2924" s="27">
        <f t="array" ref="K2924">IF($O2924="방문완료",IFERROR(INDEX(설정_코스수당!$B$15:$F$64,MATCH($G2924,설정_코스수당!$A$15:$A$64,0),MATCH($E2924&amp;"수당",설정_코스수당!$B$14:$F$14,0)),0),0)</f>
        <v>0</v>
      </c>
      <c r="L2924" s="27">
        <f t="array" ref="L2924">IF($O2924="방문완료",IF($H2924="",0,IFERROR(INDEX(설정_코스수당!$B$15:$F$64,MATCH($H2924,설정_코스수당!$A$15:$A$64,0),MATCH($E2924&amp;"수당",설정_코스수당!$B$14:$F$14,0)),0)),0)</f>
        <v>0</v>
      </c>
      <c r="M2924" s="27">
        <f>IF($O2924="방문완료",IFERROR(VLOOKUP($E2924,설정_코스수당!$A$6:$H$10,6,FALSE),0),0)</f>
        <v>0</v>
      </c>
      <c r="N2924" s="28">
        <f t="shared" si="84"/>
        <v>0</v>
      </c>
      <c r="O2924" s="23"/>
      <c r="P2924" s="23"/>
      <c r="Q2924" s="23"/>
      <c r="R2924" s="26"/>
      <c r="S2924" s="23"/>
    </row>
    <row r="2925" spans="1:24" ht="19.5" hidden="1" customHeight="1" outlineLevel="1">
      <c r="A2925" s="29">
        <v>28</v>
      </c>
      <c r="B2925" s="30">
        <f>IF(29&lt;=DAY(DATE(YEAR(설정_코스수당!$K$2),MONTH(설정_코스수당!$K$2)+1,0)),DATE(YEAR(설정_코스수당!$K$2),MONTH(설정_코스수당!$K$2),29),"")</f>
        <v>46202</v>
      </c>
      <c r="C2925" s="31"/>
      <c r="D2925" s="29"/>
      <c r="E2925" s="29"/>
      <c r="F2925" s="32"/>
      <c r="G2925" s="29"/>
      <c r="H2925" s="29"/>
      <c r="I2925" s="29"/>
      <c r="J2925" s="33">
        <f>IF($O2925="방문완료",MAX(0,IFERROR(VLOOKUP($E2925,설정_코스수당!$A$6:$H$10,4,FALSE),0)-IF(OR($P2925="",$P2925="없음"),0,100000)),0)</f>
        <v>0</v>
      </c>
      <c r="K2925" s="33">
        <f t="array" ref="K2925">IF($O2925="방문완료",IFERROR(INDEX(설정_코스수당!$B$15:$F$64,MATCH($G2925,설정_코스수당!$A$15:$A$64,0),MATCH($E2925&amp;"수당",설정_코스수당!$B$14:$F$14,0)),0),0)</f>
        <v>0</v>
      </c>
      <c r="L2925" s="33">
        <f t="array" ref="L2925">IF($O2925="방문완료",IF($H2925="",0,IFERROR(INDEX(설정_코스수당!$B$15:$F$64,MATCH($H2925,설정_코스수당!$A$15:$A$64,0),MATCH($E2925&amp;"수당",설정_코스수당!$B$14:$F$14,0)),0)),0)</f>
        <v>0</v>
      </c>
      <c r="M2925" s="33">
        <f>IF($O2925="방문완료",IFERROR(VLOOKUP($E2925,설정_코스수당!$A$6:$H$10,6,FALSE),0),0)</f>
        <v>0</v>
      </c>
      <c r="N2925" s="34">
        <f t="shared" si="84"/>
        <v>0</v>
      </c>
      <c r="O2925" s="29"/>
      <c r="P2925" s="29"/>
      <c r="Q2925" s="29"/>
      <c r="R2925" s="32"/>
      <c r="S2925" s="29"/>
    </row>
    <row r="2926" spans="1:24" ht="19.5" hidden="1" customHeight="1" outlineLevel="1">
      <c r="A2926" s="23">
        <v>29</v>
      </c>
      <c r="B2926" s="24">
        <f>IF(29&lt;=DAY(DATE(YEAR(설정_코스수당!$K$2),MONTH(설정_코스수당!$K$2)+1,0)),DATE(YEAR(설정_코스수당!$K$2),MONTH(설정_코스수당!$K$2),29),"")</f>
        <v>46202</v>
      </c>
      <c r="C2926" s="25"/>
      <c r="D2926" s="23"/>
      <c r="E2926" s="23"/>
      <c r="F2926" s="26"/>
      <c r="G2926" s="23"/>
      <c r="H2926" s="23"/>
      <c r="I2926" s="23"/>
      <c r="J2926" s="27">
        <f>IF($O2926="방문완료",MAX(0,IFERROR(VLOOKUP($E2926,설정_코스수당!$A$6:$H$10,4,FALSE),0)-IF(OR($P2926="",$P2926="없음"),0,100000)),0)</f>
        <v>0</v>
      </c>
      <c r="K2926" s="27">
        <f t="array" ref="K2926">IF($O2926="방문완료",IFERROR(INDEX(설정_코스수당!$B$15:$F$64,MATCH($G2926,설정_코스수당!$A$15:$A$64,0),MATCH($E2926&amp;"수당",설정_코스수당!$B$14:$F$14,0)),0),0)</f>
        <v>0</v>
      </c>
      <c r="L2926" s="27">
        <f t="array" ref="L2926">IF($O2926="방문완료",IF($H2926="",0,IFERROR(INDEX(설정_코스수당!$B$15:$F$64,MATCH($H2926,설정_코스수당!$A$15:$A$64,0),MATCH($E2926&amp;"수당",설정_코스수당!$B$14:$F$14,0)),0)),0)</f>
        <v>0</v>
      </c>
      <c r="M2926" s="27">
        <f>IF($O2926="방문완료",IFERROR(VLOOKUP($E2926,설정_코스수당!$A$6:$H$10,6,FALSE),0),0)</f>
        <v>0</v>
      </c>
      <c r="N2926" s="28">
        <f t="shared" si="84"/>
        <v>0</v>
      </c>
      <c r="O2926" s="23"/>
      <c r="P2926" s="23"/>
      <c r="Q2926" s="23"/>
      <c r="R2926" s="26"/>
      <c r="S2926" s="23"/>
    </row>
    <row r="2927" spans="1:24" ht="19.5" hidden="1" customHeight="1" outlineLevel="1">
      <c r="A2927" s="29">
        <v>30</v>
      </c>
      <c r="B2927" s="30">
        <f>IF(29&lt;=DAY(DATE(YEAR(설정_코스수당!$K$2),MONTH(설정_코스수당!$K$2)+1,0)),DATE(YEAR(설정_코스수당!$K$2),MONTH(설정_코스수당!$K$2),29),"")</f>
        <v>46202</v>
      </c>
      <c r="C2927" s="31"/>
      <c r="D2927" s="29"/>
      <c r="E2927" s="29"/>
      <c r="F2927" s="32"/>
      <c r="G2927" s="29"/>
      <c r="H2927" s="29"/>
      <c r="I2927" s="29"/>
      <c r="J2927" s="33">
        <f>IF($O2927="방문완료",MAX(0,IFERROR(VLOOKUP($E2927,설정_코스수당!$A$6:$H$10,4,FALSE),0)-IF(OR($P2927="",$P2927="없음"),0,100000)),0)</f>
        <v>0</v>
      </c>
      <c r="K2927" s="33">
        <f t="array" ref="K2927">IF($O2927="방문완료",IFERROR(INDEX(설정_코스수당!$B$15:$F$64,MATCH($G2927,설정_코스수당!$A$15:$A$64,0),MATCH($E2927&amp;"수당",설정_코스수당!$B$14:$F$14,0)),0),0)</f>
        <v>0</v>
      </c>
      <c r="L2927" s="33">
        <f t="array" ref="L2927">IF($O2927="방문완료",IF($H2927="",0,IFERROR(INDEX(설정_코스수당!$B$15:$F$64,MATCH($H2927,설정_코스수당!$A$15:$A$64,0),MATCH($E2927&amp;"수당",설정_코스수당!$B$14:$F$14,0)),0)),0)</f>
        <v>0</v>
      </c>
      <c r="M2927" s="33">
        <f>IF($O2927="방문완료",IFERROR(VLOOKUP($E2927,설정_코스수당!$A$6:$H$10,6,FALSE),0),0)</f>
        <v>0</v>
      </c>
      <c r="N2927" s="34">
        <f t="shared" si="84"/>
        <v>0</v>
      </c>
      <c r="O2927" s="29"/>
      <c r="P2927" s="29"/>
      <c r="Q2927" s="29"/>
      <c r="R2927" s="32"/>
      <c r="S2927" s="29"/>
    </row>
    <row r="2928" spans="1:24" ht="19.5" hidden="1" customHeight="1" outlineLevel="1">
      <c r="A2928" s="23">
        <v>31</v>
      </c>
      <c r="B2928" s="24">
        <f>IF(29&lt;=DAY(DATE(YEAR(설정_코스수당!$K$2),MONTH(설정_코스수당!$K$2)+1,0)),DATE(YEAR(설정_코스수당!$K$2),MONTH(설정_코스수당!$K$2),29),"")</f>
        <v>46202</v>
      </c>
      <c r="C2928" s="25"/>
      <c r="D2928" s="23"/>
      <c r="E2928" s="23"/>
      <c r="F2928" s="26"/>
      <c r="G2928" s="23"/>
      <c r="H2928" s="23"/>
      <c r="I2928" s="23"/>
      <c r="J2928" s="27">
        <f>IF($O2928="방문완료",MAX(0,IFERROR(VLOOKUP($E2928,설정_코스수당!$A$6:$H$10,4,FALSE),0)-IF(OR($P2928="",$P2928="없음"),0,100000)),0)</f>
        <v>0</v>
      </c>
      <c r="K2928" s="27">
        <f t="array" ref="K2928">IF($O2928="방문완료",IFERROR(INDEX(설정_코스수당!$B$15:$F$64,MATCH($G2928,설정_코스수당!$A$15:$A$64,0),MATCH($E2928&amp;"수당",설정_코스수당!$B$14:$F$14,0)),0),0)</f>
        <v>0</v>
      </c>
      <c r="L2928" s="27">
        <f t="array" ref="L2928">IF($O2928="방문완료",IF($H2928="",0,IFERROR(INDEX(설정_코스수당!$B$15:$F$64,MATCH($H2928,설정_코스수당!$A$15:$A$64,0),MATCH($E2928&amp;"수당",설정_코스수당!$B$14:$F$14,0)),0)),0)</f>
        <v>0</v>
      </c>
      <c r="M2928" s="27">
        <f>IF($O2928="방문완료",IFERROR(VLOOKUP($E2928,설정_코스수당!$A$6:$H$10,6,FALSE),0),0)</f>
        <v>0</v>
      </c>
      <c r="N2928" s="28">
        <f t="shared" si="84"/>
        <v>0</v>
      </c>
      <c r="O2928" s="23"/>
      <c r="P2928" s="23"/>
      <c r="Q2928" s="23"/>
      <c r="R2928" s="26"/>
      <c r="S2928" s="23"/>
    </row>
    <row r="2929" spans="1:19" ht="19.5" hidden="1" customHeight="1" outlineLevel="1">
      <c r="A2929" s="29">
        <v>32</v>
      </c>
      <c r="B2929" s="30">
        <f>IF(29&lt;=DAY(DATE(YEAR(설정_코스수당!$K$2),MONTH(설정_코스수당!$K$2)+1,0)),DATE(YEAR(설정_코스수당!$K$2),MONTH(설정_코스수당!$K$2),29),"")</f>
        <v>46202</v>
      </c>
      <c r="C2929" s="31"/>
      <c r="D2929" s="29"/>
      <c r="E2929" s="29"/>
      <c r="F2929" s="32"/>
      <c r="G2929" s="29"/>
      <c r="H2929" s="29"/>
      <c r="I2929" s="29"/>
      <c r="J2929" s="33">
        <f>IF($O2929="방문완료",MAX(0,IFERROR(VLOOKUP($E2929,설정_코스수당!$A$6:$H$10,4,FALSE),0)-IF(OR($P2929="",$P2929="없음"),0,100000)),0)</f>
        <v>0</v>
      </c>
      <c r="K2929" s="33">
        <f t="array" ref="K2929">IF($O2929="방문완료",IFERROR(INDEX(설정_코스수당!$B$15:$F$64,MATCH($G2929,설정_코스수당!$A$15:$A$64,0),MATCH($E2929&amp;"수당",설정_코스수당!$B$14:$F$14,0)),0),0)</f>
        <v>0</v>
      </c>
      <c r="L2929" s="33">
        <f t="array" ref="L2929">IF($O2929="방문완료",IF($H2929="",0,IFERROR(INDEX(설정_코스수당!$B$15:$F$64,MATCH($H2929,설정_코스수당!$A$15:$A$64,0),MATCH($E2929&amp;"수당",설정_코스수당!$B$14:$F$14,0)),0)),0)</f>
        <v>0</v>
      </c>
      <c r="M2929" s="33">
        <f>IF($O2929="방문완료",IFERROR(VLOOKUP($E2929,설정_코스수당!$A$6:$H$10,6,FALSE),0),0)</f>
        <v>0</v>
      </c>
      <c r="N2929" s="34">
        <f t="shared" si="84"/>
        <v>0</v>
      </c>
      <c r="O2929" s="29"/>
      <c r="P2929" s="29"/>
      <c r="Q2929" s="29"/>
      <c r="R2929" s="32"/>
      <c r="S2929" s="29"/>
    </row>
    <row r="2930" spans="1:19" ht="19.5" hidden="1" customHeight="1" outlineLevel="1">
      <c r="A2930" s="23">
        <v>33</v>
      </c>
      <c r="B2930" s="24">
        <f>IF(29&lt;=DAY(DATE(YEAR(설정_코스수당!$K$2),MONTH(설정_코스수당!$K$2)+1,0)),DATE(YEAR(설정_코스수당!$K$2),MONTH(설정_코스수당!$K$2),29),"")</f>
        <v>46202</v>
      </c>
      <c r="C2930" s="25"/>
      <c r="D2930" s="23"/>
      <c r="E2930" s="23"/>
      <c r="F2930" s="26"/>
      <c r="G2930" s="23"/>
      <c r="H2930" s="23"/>
      <c r="I2930" s="23"/>
      <c r="J2930" s="27">
        <f>IF($O2930="방문완료",MAX(0,IFERROR(VLOOKUP($E2930,설정_코스수당!$A$6:$H$10,4,FALSE),0)-IF(OR($P2930="",$P2930="없음"),0,100000)),0)</f>
        <v>0</v>
      </c>
      <c r="K2930" s="27">
        <f t="array" ref="K2930">IF($O2930="방문완료",IFERROR(INDEX(설정_코스수당!$B$15:$F$64,MATCH($G2930,설정_코스수당!$A$15:$A$64,0),MATCH($E2930&amp;"수당",설정_코스수당!$B$14:$F$14,0)),0),0)</f>
        <v>0</v>
      </c>
      <c r="L2930" s="27">
        <f t="array" ref="L2930">IF($O2930="방문완료",IF($H2930="",0,IFERROR(INDEX(설정_코스수당!$B$15:$F$64,MATCH($H2930,설정_코스수당!$A$15:$A$64,0),MATCH($E2930&amp;"수당",설정_코스수당!$B$14:$F$14,0)),0)),0)</f>
        <v>0</v>
      </c>
      <c r="M2930" s="27">
        <f>IF($O2930="방문완료",IFERROR(VLOOKUP($E2930,설정_코스수당!$A$6:$H$10,6,FALSE),0),0)</f>
        <v>0</v>
      </c>
      <c r="N2930" s="28">
        <f t="shared" ref="N2930:N2961" si="85">IF($O2930="방문완료",1,0)</f>
        <v>0</v>
      </c>
      <c r="O2930" s="23"/>
      <c r="P2930" s="23"/>
      <c r="Q2930" s="23"/>
      <c r="R2930" s="26"/>
      <c r="S2930" s="23"/>
    </row>
    <row r="2931" spans="1:19" ht="19.5" hidden="1" customHeight="1" outlineLevel="1">
      <c r="A2931" s="29">
        <v>34</v>
      </c>
      <c r="B2931" s="30">
        <f>IF(29&lt;=DAY(DATE(YEAR(설정_코스수당!$K$2),MONTH(설정_코스수당!$K$2)+1,0)),DATE(YEAR(설정_코스수당!$K$2),MONTH(설정_코스수당!$K$2),29),"")</f>
        <v>46202</v>
      </c>
      <c r="C2931" s="31"/>
      <c r="D2931" s="29"/>
      <c r="E2931" s="29"/>
      <c r="F2931" s="32"/>
      <c r="G2931" s="29"/>
      <c r="H2931" s="29"/>
      <c r="I2931" s="29"/>
      <c r="J2931" s="33">
        <f>IF($O2931="방문완료",MAX(0,IFERROR(VLOOKUP($E2931,설정_코스수당!$A$6:$H$10,4,FALSE),0)-IF(OR($P2931="",$P2931="없음"),0,100000)),0)</f>
        <v>0</v>
      </c>
      <c r="K2931" s="33">
        <f t="array" ref="K2931">IF($O2931="방문완료",IFERROR(INDEX(설정_코스수당!$B$15:$F$64,MATCH($G2931,설정_코스수당!$A$15:$A$64,0),MATCH($E2931&amp;"수당",설정_코스수당!$B$14:$F$14,0)),0),0)</f>
        <v>0</v>
      </c>
      <c r="L2931" s="33">
        <f t="array" ref="L2931">IF($O2931="방문완료",IF($H2931="",0,IFERROR(INDEX(설정_코스수당!$B$15:$F$64,MATCH($H2931,설정_코스수당!$A$15:$A$64,0),MATCH($E2931&amp;"수당",설정_코스수당!$B$14:$F$14,0)),0)),0)</f>
        <v>0</v>
      </c>
      <c r="M2931" s="33">
        <f>IF($O2931="방문완료",IFERROR(VLOOKUP($E2931,설정_코스수당!$A$6:$H$10,6,FALSE),0),0)</f>
        <v>0</v>
      </c>
      <c r="N2931" s="34">
        <f t="shared" si="85"/>
        <v>0</v>
      </c>
      <c r="O2931" s="29"/>
      <c r="P2931" s="29"/>
      <c r="Q2931" s="29"/>
      <c r="R2931" s="32"/>
      <c r="S2931" s="29"/>
    </row>
    <row r="2932" spans="1:19" ht="19.5" hidden="1" customHeight="1" outlineLevel="1">
      <c r="A2932" s="23">
        <v>35</v>
      </c>
      <c r="B2932" s="24">
        <f>IF(29&lt;=DAY(DATE(YEAR(설정_코스수당!$K$2),MONTH(설정_코스수당!$K$2)+1,0)),DATE(YEAR(설정_코스수당!$K$2),MONTH(설정_코스수당!$K$2),29),"")</f>
        <v>46202</v>
      </c>
      <c r="C2932" s="25"/>
      <c r="D2932" s="23"/>
      <c r="E2932" s="23"/>
      <c r="F2932" s="26"/>
      <c r="G2932" s="23"/>
      <c r="H2932" s="23"/>
      <c r="I2932" s="23"/>
      <c r="J2932" s="27">
        <f>IF($O2932="방문완료",MAX(0,IFERROR(VLOOKUP($E2932,설정_코스수당!$A$6:$H$10,4,FALSE),0)-IF(OR($P2932="",$P2932="없음"),0,100000)),0)</f>
        <v>0</v>
      </c>
      <c r="K2932" s="27">
        <f t="array" ref="K2932">IF($O2932="방문완료",IFERROR(INDEX(설정_코스수당!$B$15:$F$64,MATCH($G2932,설정_코스수당!$A$15:$A$64,0),MATCH($E2932&amp;"수당",설정_코스수당!$B$14:$F$14,0)),0),0)</f>
        <v>0</v>
      </c>
      <c r="L2932" s="27">
        <f t="array" ref="L2932">IF($O2932="방문완료",IF($H2932="",0,IFERROR(INDEX(설정_코스수당!$B$15:$F$64,MATCH($H2932,설정_코스수당!$A$15:$A$64,0),MATCH($E2932&amp;"수당",설정_코스수당!$B$14:$F$14,0)),0)),0)</f>
        <v>0</v>
      </c>
      <c r="M2932" s="27">
        <f>IF($O2932="방문완료",IFERROR(VLOOKUP($E2932,설정_코스수당!$A$6:$H$10,6,FALSE),0),0)</f>
        <v>0</v>
      </c>
      <c r="N2932" s="28">
        <f t="shared" si="85"/>
        <v>0</v>
      </c>
      <c r="O2932" s="23"/>
      <c r="P2932" s="23"/>
      <c r="Q2932" s="23"/>
      <c r="R2932" s="26"/>
      <c r="S2932" s="23"/>
    </row>
    <row r="2933" spans="1:19" ht="19.5" hidden="1" customHeight="1" outlineLevel="1">
      <c r="A2933" s="29">
        <v>36</v>
      </c>
      <c r="B2933" s="30">
        <f>IF(29&lt;=DAY(DATE(YEAR(설정_코스수당!$K$2),MONTH(설정_코스수당!$K$2)+1,0)),DATE(YEAR(설정_코스수당!$K$2),MONTH(설정_코스수당!$K$2),29),"")</f>
        <v>46202</v>
      </c>
      <c r="C2933" s="31"/>
      <c r="D2933" s="29"/>
      <c r="E2933" s="29"/>
      <c r="F2933" s="32"/>
      <c r="G2933" s="29"/>
      <c r="H2933" s="29"/>
      <c r="I2933" s="29"/>
      <c r="J2933" s="33">
        <f>IF($O2933="방문완료",MAX(0,IFERROR(VLOOKUP($E2933,설정_코스수당!$A$6:$H$10,4,FALSE),0)-IF(OR($P2933="",$P2933="없음"),0,100000)),0)</f>
        <v>0</v>
      </c>
      <c r="K2933" s="33">
        <f t="array" ref="K2933">IF($O2933="방문완료",IFERROR(INDEX(설정_코스수당!$B$15:$F$64,MATCH($G2933,설정_코스수당!$A$15:$A$64,0),MATCH($E2933&amp;"수당",설정_코스수당!$B$14:$F$14,0)),0),0)</f>
        <v>0</v>
      </c>
      <c r="L2933" s="33">
        <f t="array" ref="L2933">IF($O2933="방문완료",IF($H2933="",0,IFERROR(INDEX(설정_코스수당!$B$15:$F$64,MATCH($H2933,설정_코스수당!$A$15:$A$64,0),MATCH($E2933&amp;"수당",설정_코스수당!$B$14:$F$14,0)),0)),0)</f>
        <v>0</v>
      </c>
      <c r="M2933" s="33">
        <f>IF($O2933="방문완료",IFERROR(VLOOKUP($E2933,설정_코스수당!$A$6:$H$10,6,FALSE),0),0)</f>
        <v>0</v>
      </c>
      <c r="N2933" s="34">
        <f t="shared" si="85"/>
        <v>0</v>
      </c>
      <c r="O2933" s="29"/>
      <c r="P2933" s="29"/>
      <c r="Q2933" s="29"/>
      <c r="R2933" s="32"/>
      <c r="S2933" s="29"/>
    </row>
    <row r="2934" spans="1:19" ht="19.5" hidden="1" customHeight="1" outlineLevel="1">
      <c r="A2934" s="23">
        <v>37</v>
      </c>
      <c r="B2934" s="24">
        <f>IF(29&lt;=DAY(DATE(YEAR(설정_코스수당!$K$2),MONTH(설정_코스수당!$K$2)+1,0)),DATE(YEAR(설정_코스수당!$K$2),MONTH(설정_코스수당!$K$2),29),"")</f>
        <v>46202</v>
      </c>
      <c r="C2934" s="25"/>
      <c r="D2934" s="23"/>
      <c r="E2934" s="23"/>
      <c r="F2934" s="26"/>
      <c r="G2934" s="23"/>
      <c r="H2934" s="23"/>
      <c r="I2934" s="23"/>
      <c r="J2934" s="27">
        <f>IF($O2934="방문완료",MAX(0,IFERROR(VLOOKUP($E2934,설정_코스수당!$A$6:$H$10,4,FALSE),0)-IF(OR($P2934="",$P2934="없음"),0,100000)),0)</f>
        <v>0</v>
      </c>
      <c r="K2934" s="27">
        <f t="array" ref="K2934">IF($O2934="방문완료",IFERROR(INDEX(설정_코스수당!$B$15:$F$64,MATCH($G2934,설정_코스수당!$A$15:$A$64,0),MATCH($E2934&amp;"수당",설정_코스수당!$B$14:$F$14,0)),0),0)</f>
        <v>0</v>
      </c>
      <c r="L2934" s="27">
        <f t="array" ref="L2934">IF($O2934="방문완료",IF($H2934="",0,IFERROR(INDEX(설정_코스수당!$B$15:$F$64,MATCH($H2934,설정_코스수당!$A$15:$A$64,0),MATCH($E2934&amp;"수당",설정_코스수당!$B$14:$F$14,0)),0)),0)</f>
        <v>0</v>
      </c>
      <c r="M2934" s="27">
        <f>IF($O2934="방문완료",IFERROR(VLOOKUP($E2934,설정_코스수당!$A$6:$H$10,6,FALSE),0),0)</f>
        <v>0</v>
      </c>
      <c r="N2934" s="28">
        <f t="shared" si="85"/>
        <v>0</v>
      </c>
      <c r="O2934" s="23"/>
      <c r="P2934" s="23"/>
      <c r="Q2934" s="23"/>
      <c r="R2934" s="26"/>
      <c r="S2934" s="23"/>
    </row>
    <row r="2935" spans="1:19" ht="19.5" hidden="1" customHeight="1" outlineLevel="1">
      <c r="A2935" s="29">
        <v>38</v>
      </c>
      <c r="B2935" s="30">
        <f>IF(29&lt;=DAY(DATE(YEAR(설정_코스수당!$K$2),MONTH(설정_코스수당!$K$2)+1,0)),DATE(YEAR(설정_코스수당!$K$2),MONTH(설정_코스수당!$K$2),29),"")</f>
        <v>46202</v>
      </c>
      <c r="C2935" s="31"/>
      <c r="D2935" s="29"/>
      <c r="E2935" s="29"/>
      <c r="F2935" s="32"/>
      <c r="G2935" s="29"/>
      <c r="H2935" s="29"/>
      <c r="I2935" s="29"/>
      <c r="J2935" s="33">
        <f>IF($O2935="방문완료",MAX(0,IFERROR(VLOOKUP($E2935,설정_코스수당!$A$6:$H$10,4,FALSE),0)-IF(OR($P2935="",$P2935="없음"),0,100000)),0)</f>
        <v>0</v>
      </c>
      <c r="K2935" s="33">
        <f t="array" ref="K2935">IF($O2935="방문완료",IFERROR(INDEX(설정_코스수당!$B$15:$F$64,MATCH($G2935,설정_코스수당!$A$15:$A$64,0),MATCH($E2935&amp;"수당",설정_코스수당!$B$14:$F$14,0)),0),0)</f>
        <v>0</v>
      </c>
      <c r="L2935" s="33">
        <f t="array" ref="L2935">IF($O2935="방문완료",IF($H2935="",0,IFERROR(INDEX(설정_코스수당!$B$15:$F$64,MATCH($H2935,설정_코스수당!$A$15:$A$64,0),MATCH($E2935&amp;"수당",설정_코스수당!$B$14:$F$14,0)),0)),0)</f>
        <v>0</v>
      </c>
      <c r="M2935" s="33">
        <f>IF($O2935="방문완료",IFERROR(VLOOKUP($E2935,설정_코스수당!$A$6:$H$10,6,FALSE),0),0)</f>
        <v>0</v>
      </c>
      <c r="N2935" s="34">
        <f t="shared" si="85"/>
        <v>0</v>
      </c>
      <c r="O2935" s="29"/>
      <c r="P2935" s="29"/>
      <c r="Q2935" s="29"/>
      <c r="R2935" s="32"/>
      <c r="S2935" s="29"/>
    </row>
    <row r="2936" spans="1:19" ht="19.5" hidden="1" customHeight="1" outlineLevel="1">
      <c r="A2936" s="23">
        <v>39</v>
      </c>
      <c r="B2936" s="24">
        <f>IF(29&lt;=DAY(DATE(YEAR(설정_코스수당!$K$2),MONTH(설정_코스수당!$K$2)+1,0)),DATE(YEAR(설정_코스수당!$K$2),MONTH(설정_코스수당!$K$2),29),"")</f>
        <v>46202</v>
      </c>
      <c r="C2936" s="25"/>
      <c r="D2936" s="23"/>
      <c r="E2936" s="23"/>
      <c r="F2936" s="26"/>
      <c r="G2936" s="23"/>
      <c r="H2936" s="23"/>
      <c r="I2936" s="23"/>
      <c r="J2936" s="27">
        <f>IF($O2936="방문완료",MAX(0,IFERROR(VLOOKUP($E2936,설정_코스수당!$A$6:$H$10,4,FALSE),0)-IF(OR($P2936="",$P2936="없음"),0,100000)),0)</f>
        <v>0</v>
      </c>
      <c r="K2936" s="27">
        <f t="array" ref="K2936">IF($O2936="방문완료",IFERROR(INDEX(설정_코스수당!$B$15:$F$64,MATCH($G2936,설정_코스수당!$A$15:$A$64,0),MATCH($E2936&amp;"수당",설정_코스수당!$B$14:$F$14,0)),0),0)</f>
        <v>0</v>
      </c>
      <c r="L2936" s="27">
        <f t="array" ref="L2936">IF($O2936="방문완료",IF($H2936="",0,IFERROR(INDEX(설정_코스수당!$B$15:$F$64,MATCH($H2936,설정_코스수당!$A$15:$A$64,0),MATCH($E2936&amp;"수당",설정_코스수당!$B$14:$F$14,0)),0)),0)</f>
        <v>0</v>
      </c>
      <c r="M2936" s="27">
        <f>IF($O2936="방문완료",IFERROR(VLOOKUP($E2936,설정_코스수당!$A$6:$H$10,6,FALSE),0),0)</f>
        <v>0</v>
      </c>
      <c r="N2936" s="28">
        <f t="shared" si="85"/>
        <v>0</v>
      </c>
      <c r="O2936" s="23"/>
      <c r="P2936" s="23"/>
      <c r="Q2936" s="23"/>
      <c r="R2936" s="26"/>
      <c r="S2936" s="23"/>
    </row>
    <row r="2937" spans="1:19" ht="19.5" hidden="1" customHeight="1" outlineLevel="1">
      <c r="A2937" s="29">
        <v>40</v>
      </c>
      <c r="B2937" s="30">
        <f>IF(29&lt;=DAY(DATE(YEAR(설정_코스수당!$K$2),MONTH(설정_코스수당!$K$2)+1,0)),DATE(YEAR(설정_코스수당!$K$2),MONTH(설정_코스수당!$K$2),29),"")</f>
        <v>46202</v>
      </c>
      <c r="C2937" s="31"/>
      <c r="D2937" s="29"/>
      <c r="E2937" s="29"/>
      <c r="F2937" s="32"/>
      <c r="G2937" s="29"/>
      <c r="H2937" s="29"/>
      <c r="I2937" s="29"/>
      <c r="J2937" s="33">
        <f>IF($O2937="방문완료",MAX(0,IFERROR(VLOOKUP($E2937,설정_코스수당!$A$6:$H$10,4,FALSE),0)-IF(OR($P2937="",$P2937="없음"),0,100000)),0)</f>
        <v>0</v>
      </c>
      <c r="K2937" s="33">
        <f t="array" ref="K2937">IF($O2937="방문완료",IFERROR(INDEX(설정_코스수당!$B$15:$F$64,MATCH($G2937,설정_코스수당!$A$15:$A$64,0),MATCH($E2937&amp;"수당",설정_코스수당!$B$14:$F$14,0)),0),0)</f>
        <v>0</v>
      </c>
      <c r="L2937" s="33">
        <f t="array" ref="L2937">IF($O2937="방문완료",IF($H2937="",0,IFERROR(INDEX(설정_코스수당!$B$15:$F$64,MATCH($H2937,설정_코스수당!$A$15:$A$64,0),MATCH($E2937&amp;"수당",설정_코스수당!$B$14:$F$14,0)),0)),0)</f>
        <v>0</v>
      </c>
      <c r="M2937" s="33">
        <f>IF($O2937="방문완료",IFERROR(VLOOKUP($E2937,설정_코스수당!$A$6:$H$10,6,FALSE),0),0)</f>
        <v>0</v>
      </c>
      <c r="N2937" s="34">
        <f t="shared" si="85"/>
        <v>0</v>
      </c>
      <c r="O2937" s="29"/>
      <c r="P2937" s="29"/>
      <c r="Q2937" s="29"/>
      <c r="R2937" s="32"/>
      <c r="S2937" s="29"/>
    </row>
    <row r="2938" spans="1:19" ht="19.5" hidden="1" customHeight="1" outlineLevel="1">
      <c r="A2938" s="23">
        <v>41</v>
      </c>
      <c r="B2938" s="24">
        <f>IF(29&lt;=DAY(DATE(YEAR(설정_코스수당!$K$2),MONTH(설정_코스수당!$K$2)+1,0)),DATE(YEAR(설정_코스수당!$K$2),MONTH(설정_코스수당!$K$2),29),"")</f>
        <v>46202</v>
      </c>
      <c r="C2938" s="25"/>
      <c r="D2938" s="23"/>
      <c r="E2938" s="23"/>
      <c r="F2938" s="26"/>
      <c r="G2938" s="23"/>
      <c r="H2938" s="23"/>
      <c r="I2938" s="23"/>
      <c r="J2938" s="27">
        <f>IF($O2938="방문완료",MAX(0,IFERROR(VLOOKUP($E2938,설정_코스수당!$A$6:$H$10,4,FALSE),0)-IF(OR($P2938="",$P2938="없음"),0,100000)),0)</f>
        <v>0</v>
      </c>
      <c r="K2938" s="27">
        <f t="array" ref="K2938">IF($O2938="방문완료",IFERROR(INDEX(설정_코스수당!$B$15:$F$64,MATCH($G2938,설정_코스수당!$A$15:$A$64,0),MATCH($E2938&amp;"수당",설정_코스수당!$B$14:$F$14,0)),0),0)</f>
        <v>0</v>
      </c>
      <c r="L2938" s="27">
        <f t="array" ref="L2938">IF($O2938="방문완료",IF($H2938="",0,IFERROR(INDEX(설정_코스수당!$B$15:$F$64,MATCH($H2938,설정_코스수당!$A$15:$A$64,0),MATCH($E2938&amp;"수당",설정_코스수당!$B$14:$F$14,0)),0)),0)</f>
        <v>0</v>
      </c>
      <c r="M2938" s="27">
        <f>IF($O2938="방문완료",IFERROR(VLOOKUP($E2938,설정_코스수당!$A$6:$H$10,6,FALSE),0),0)</f>
        <v>0</v>
      </c>
      <c r="N2938" s="28">
        <f t="shared" si="85"/>
        <v>0</v>
      </c>
      <c r="O2938" s="23"/>
      <c r="P2938" s="23"/>
      <c r="Q2938" s="23"/>
      <c r="R2938" s="26"/>
      <c r="S2938" s="23"/>
    </row>
    <row r="2939" spans="1:19" ht="19.5" hidden="1" customHeight="1" outlineLevel="1">
      <c r="A2939" s="29">
        <v>42</v>
      </c>
      <c r="B2939" s="30">
        <f>IF(29&lt;=DAY(DATE(YEAR(설정_코스수당!$K$2),MONTH(설정_코스수당!$K$2)+1,0)),DATE(YEAR(설정_코스수당!$K$2),MONTH(설정_코스수당!$K$2),29),"")</f>
        <v>46202</v>
      </c>
      <c r="C2939" s="31"/>
      <c r="D2939" s="29"/>
      <c r="E2939" s="29"/>
      <c r="F2939" s="32"/>
      <c r="G2939" s="29"/>
      <c r="H2939" s="29"/>
      <c r="I2939" s="29"/>
      <c r="J2939" s="33">
        <f>IF($O2939="방문완료",MAX(0,IFERROR(VLOOKUP($E2939,설정_코스수당!$A$6:$H$10,4,FALSE),0)-IF(OR($P2939="",$P2939="없음"),0,100000)),0)</f>
        <v>0</v>
      </c>
      <c r="K2939" s="33">
        <f t="array" ref="K2939">IF($O2939="방문완료",IFERROR(INDEX(설정_코스수당!$B$15:$F$64,MATCH($G2939,설정_코스수당!$A$15:$A$64,0),MATCH($E2939&amp;"수당",설정_코스수당!$B$14:$F$14,0)),0),0)</f>
        <v>0</v>
      </c>
      <c r="L2939" s="33">
        <f t="array" ref="L2939">IF($O2939="방문완료",IF($H2939="",0,IFERROR(INDEX(설정_코스수당!$B$15:$F$64,MATCH($H2939,설정_코스수당!$A$15:$A$64,0),MATCH($E2939&amp;"수당",설정_코스수당!$B$14:$F$14,0)),0)),0)</f>
        <v>0</v>
      </c>
      <c r="M2939" s="33">
        <f>IF($O2939="방문완료",IFERROR(VLOOKUP($E2939,설정_코스수당!$A$6:$H$10,6,FALSE),0),0)</f>
        <v>0</v>
      </c>
      <c r="N2939" s="34">
        <f t="shared" si="85"/>
        <v>0</v>
      </c>
      <c r="O2939" s="29"/>
      <c r="P2939" s="29"/>
      <c r="Q2939" s="29"/>
      <c r="R2939" s="32"/>
      <c r="S2939" s="29"/>
    </row>
    <row r="2940" spans="1:19" ht="19.5" hidden="1" customHeight="1" outlineLevel="1">
      <c r="A2940" s="23">
        <v>43</v>
      </c>
      <c r="B2940" s="24">
        <f>IF(29&lt;=DAY(DATE(YEAR(설정_코스수당!$K$2),MONTH(설정_코스수당!$K$2)+1,0)),DATE(YEAR(설정_코스수당!$K$2),MONTH(설정_코스수당!$K$2),29),"")</f>
        <v>46202</v>
      </c>
      <c r="C2940" s="25"/>
      <c r="D2940" s="23"/>
      <c r="E2940" s="23"/>
      <c r="F2940" s="26"/>
      <c r="G2940" s="23"/>
      <c r="H2940" s="23"/>
      <c r="I2940" s="23"/>
      <c r="J2940" s="27">
        <f>IF($O2940="방문완료",MAX(0,IFERROR(VLOOKUP($E2940,설정_코스수당!$A$6:$H$10,4,FALSE),0)-IF(OR($P2940="",$P2940="없음"),0,100000)),0)</f>
        <v>0</v>
      </c>
      <c r="K2940" s="27">
        <f t="array" ref="K2940">IF($O2940="방문완료",IFERROR(INDEX(설정_코스수당!$B$15:$F$64,MATCH($G2940,설정_코스수당!$A$15:$A$64,0),MATCH($E2940&amp;"수당",설정_코스수당!$B$14:$F$14,0)),0),0)</f>
        <v>0</v>
      </c>
      <c r="L2940" s="27">
        <f t="array" ref="L2940">IF($O2940="방문완료",IF($H2940="",0,IFERROR(INDEX(설정_코스수당!$B$15:$F$64,MATCH($H2940,설정_코스수당!$A$15:$A$64,0),MATCH($E2940&amp;"수당",설정_코스수당!$B$14:$F$14,0)),0)),0)</f>
        <v>0</v>
      </c>
      <c r="M2940" s="27">
        <f>IF($O2940="방문완료",IFERROR(VLOOKUP($E2940,설정_코스수당!$A$6:$H$10,6,FALSE),0),0)</f>
        <v>0</v>
      </c>
      <c r="N2940" s="28">
        <f t="shared" si="85"/>
        <v>0</v>
      </c>
      <c r="O2940" s="23"/>
      <c r="P2940" s="23"/>
      <c r="Q2940" s="23"/>
      <c r="R2940" s="26"/>
      <c r="S2940" s="23"/>
    </row>
    <row r="2941" spans="1:19" ht="19.5" hidden="1" customHeight="1" outlineLevel="1">
      <c r="A2941" s="29">
        <v>44</v>
      </c>
      <c r="B2941" s="30">
        <f>IF(29&lt;=DAY(DATE(YEAR(설정_코스수당!$K$2),MONTH(설정_코스수당!$K$2)+1,0)),DATE(YEAR(설정_코스수당!$K$2),MONTH(설정_코스수당!$K$2),29),"")</f>
        <v>46202</v>
      </c>
      <c r="C2941" s="31"/>
      <c r="D2941" s="29"/>
      <c r="E2941" s="29"/>
      <c r="F2941" s="32"/>
      <c r="G2941" s="29"/>
      <c r="H2941" s="29"/>
      <c r="I2941" s="29"/>
      <c r="J2941" s="33">
        <f>IF($O2941="방문완료",MAX(0,IFERROR(VLOOKUP($E2941,설정_코스수당!$A$6:$H$10,4,FALSE),0)-IF(OR($P2941="",$P2941="없음"),0,100000)),0)</f>
        <v>0</v>
      </c>
      <c r="K2941" s="33">
        <f t="array" ref="K2941">IF($O2941="방문완료",IFERROR(INDEX(설정_코스수당!$B$15:$F$64,MATCH($G2941,설정_코스수당!$A$15:$A$64,0),MATCH($E2941&amp;"수당",설정_코스수당!$B$14:$F$14,0)),0),0)</f>
        <v>0</v>
      </c>
      <c r="L2941" s="33">
        <f t="array" ref="L2941">IF($O2941="방문완료",IF($H2941="",0,IFERROR(INDEX(설정_코스수당!$B$15:$F$64,MATCH($H2941,설정_코스수당!$A$15:$A$64,0),MATCH($E2941&amp;"수당",설정_코스수당!$B$14:$F$14,0)),0)),0)</f>
        <v>0</v>
      </c>
      <c r="M2941" s="33">
        <f>IF($O2941="방문완료",IFERROR(VLOOKUP($E2941,설정_코스수당!$A$6:$H$10,6,FALSE),0),0)</f>
        <v>0</v>
      </c>
      <c r="N2941" s="34">
        <f t="shared" si="85"/>
        <v>0</v>
      </c>
      <c r="O2941" s="29"/>
      <c r="P2941" s="29"/>
      <c r="Q2941" s="29"/>
      <c r="R2941" s="32"/>
      <c r="S2941" s="29"/>
    </row>
    <row r="2942" spans="1:19" ht="19.5" hidden="1" customHeight="1" outlineLevel="1">
      <c r="A2942" s="23">
        <v>45</v>
      </c>
      <c r="B2942" s="24">
        <f>IF(29&lt;=DAY(DATE(YEAR(설정_코스수당!$K$2),MONTH(설정_코스수당!$K$2)+1,0)),DATE(YEAR(설정_코스수당!$K$2),MONTH(설정_코스수당!$K$2),29),"")</f>
        <v>46202</v>
      </c>
      <c r="C2942" s="25"/>
      <c r="D2942" s="23"/>
      <c r="E2942" s="23"/>
      <c r="F2942" s="26"/>
      <c r="G2942" s="23"/>
      <c r="H2942" s="23"/>
      <c r="I2942" s="23"/>
      <c r="J2942" s="27">
        <f>IF($O2942="방문완료",MAX(0,IFERROR(VLOOKUP($E2942,설정_코스수당!$A$6:$H$10,4,FALSE),0)-IF(OR($P2942="",$P2942="없음"),0,100000)),0)</f>
        <v>0</v>
      </c>
      <c r="K2942" s="27">
        <f t="array" ref="K2942">IF($O2942="방문완료",IFERROR(INDEX(설정_코스수당!$B$15:$F$64,MATCH($G2942,설정_코스수당!$A$15:$A$64,0),MATCH($E2942&amp;"수당",설정_코스수당!$B$14:$F$14,0)),0),0)</f>
        <v>0</v>
      </c>
      <c r="L2942" s="27">
        <f t="array" ref="L2942">IF($O2942="방문완료",IF($H2942="",0,IFERROR(INDEX(설정_코스수당!$B$15:$F$64,MATCH($H2942,설정_코스수당!$A$15:$A$64,0),MATCH($E2942&amp;"수당",설정_코스수당!$B$14:$F$14,0)),0)),0)</f>
        <v>0</v>
      </c>
      <c r="M2942" s="27">
        <f>IF($O2942="방문완료",IFERROR(VLOOKUP($E2942,설정_코스수당!$A$6:$H$10,6,FALSE),0),0)</f>
        <v>0</v>
      </c>
      <c r="N2942" s="28">
        <f t="shared" si="85"/>
        <v>0</v>
      </c>
      <c r="O2942" s="23"/>
      <c r="P2942" s="23"/>
      <c r="Q2942" s="23"/>
      <c r="R2942" s="26"/>
      <c r="S2942" s="23"/>
    </row>
    <row r="2943" spans="1:19" ht="19.5" hidden="1" customHeight="1" outlineLevel="1">
      <c r="A2943" s="29">
        <v>46</v>
      </c>
      <c r="B2943" s="30">
        <f>IF(29&lt;=DAY(DATE(YEAR(설정_코스수당!$K$2),MONTH(설정_코스수당!$K$2)+1,0)),DATE(YEAR(설정_코스수당!$K$2),MONTH(설정_코스수당!$K$2),29),"")</f>
        <v>46202</v>
      </c>
      <c r="C2943" s="31"/>
      <c r="D2943" s="29"/>
      <c r="E2943" s="29"/>
      <c r="F2943" s="32"/>
      <c r="G2943" s="29"/>
      <c r="H2943" s="29"/>
      <c r="I2943" s="29"/>
      <c r="J2943" s="33">
        <f>IF($O2943="방문완료",MAX(0,IFERROR(VLOOKUP($E2943,설정_코스수당!$A$6:$H$10,4,FALSE),0)-IF(OR($P2943="",$P2943="없음"),0,100000)),0)</f>
        <v>0</v>
      </c>
      <c r="K2943" s="33">
        <f t="array" ref="K2943">IF($O2943="방문완료",IFERROR(INDEX(설정_코스수당!$B$15:$F$64,MATCH($G2943,설정_코스수당!$A$15:$A$64,0),MATCH($E2943&amp;"수당",설정_코스수당!$B$14:$F$14,0)),0),0)</f>
        <v>0</v>
      </c>
      <c r="L2943" s="33">
        <f t="array" ref="L2943">IF($O2943="방문완료",IF($H2943="",0,IFERROR(INDEX(설정_코스수당!$B$15:$F$64,MATCH($H2943,설정_코스수당!$A$15:$A$64,0),MATCH($E2943&amp;"수당",설정_코스수당!$B$14:$F$14,0)),0)),0)</f>
        <v>0</v>
      </c>
      <c r="M2943" s="33">
        <f>IF($O2943="방문완료",IFERROR(VLOOKUP($E2943,설정_코스수당!$A$6:$H$10,6,FALSE),0),0)</f>
        <v>0</v>
      </c>
      <c r="N2943" s="34">
        <f t="shared" si="85"/>
        <v>0</v>
      </c>
      <c r="O2943" s="29"/>
      <c r="P2943" s="29"/>
      <c r="Q2943" s="29"/>
      <c r="R2943" s="32"/>
      <c r="S2943" s="29"/>
    </row>
    <row r="2944" spans="1:19" ht="19.5" hidden="1" customHeight="1" outlineLevel="1">
      <c r="A2944" s="23">
        <v>47</v>
      </c>
      <c r="B2944" s="24">
        <f>IF(29&lt;=DAY(DATE(YEAR(설정_코스수당!$K$2),MONTH(설정_코스수당!$K$2)+1,0)),DATE(YEAR(설정_코스수당!$K$2),MONTH(설정_코스수당!$K$2),29),"")</f>
        <v>46202</v>
      </c>
      <c r="C2944" s="25"/>
      <c r="D2944" s="23"/>
      <c r="E2944" s="23"/>
      <c r="F2944" s="26"/>
      <c r="G2944" s="23"/>
      <c r="H2944" s="23"/>
      <c r="I2944" s="23"/>
      <c r="J2944" s="27">
        <f>IF($O2944="방문완료",MAX(0,IFERROR(VLOOKUP($E2944,설정_코스수당!$A$6:$H$10,4,FALSE),0)-IF(OR($P2944="",$P2944="없음"),0,100000)),0)</f>
        <v>0</v>
      </c>
      <c r="K2944" s="27">
        <f t="array" ref="K2944">IF($O2944="방문완료",IFERROR(INDEX(설정_코스수당!$B$15:$F$64,MATCH($G2944,설정_코스수당!$A$15:$A$64,0),MATCH($E2944&amp;"수당",설정_코스수당!$B$14:$F$14,0)),0),0)</f>
        <v>0</v>
      </c>
      <c r="L2944" s="27">
        <f t="array" ref="L2944">IF($O2944="방문완료",IF($H2944="",0,IFERROR(INDEX(설정_코스수당!$B$15:$F$64,MATCH($H2944,설정_코스수당!$A$15:$A$64,0),MATCH($E2944&amp;"수당",설정_코스수당!$B$14:$F$14,0)),0)),0)</f>
        <v>0</v>
      </c>
      <c r="M2944" s="27">
        <f>IF($O2944="방문완료",IFERROR(VLOOKUP($E2944,설정_코스수당!$A$6:$H$10,6,FALSE),0),0)</f>
        <v>0</v>
      </c>
      <c r="N2944" s="28">
        <f t="shared" si="85"/>
        <v>0</v>
      </c>
      <c r="O2944" s="23"/>
      <c r="P2944" s="23"/>
      <c r="Q2944" s="23"/>
      <c r="R2944" s="26"/>
      <c r="S2944" s="23"/>
    </row>
    <row r="2945" spans="1:19" ht="19.5" hidden="1" customHeight="1" outlineLevel="1">
      <c r="A2945" s="29">
        <v>48</v>
      </c>
      <c r="B2945" s="30">
        <f>IF(29&lt;=DAY(DATE(YEAR(설정_코스수당!$K$2),MONTH(설정_코스수당!$K$2)+1,0)),DATE(YEAR(설정_코스수당!$K$2),MONTH(설정_코스수당!$K$2),29),"")</f>
        <v>46202</v>
      </c>
      <c r="C2945" s="31"/>
      <c r="D2945" s="29"/>
      <c r="E2945" s="29"/>
      <c r="F2945" s="32"/>
      <c r="G2945" s="29"/>
      <c r="H2945" s="29"/>
      <c r="I2945" s="29"/>
      <c r="J2945" s="33">
        <f>IF($O2945="방문완료",MAX(0,IFERROR(VLOOKUP($E2945,설정_코스수당!$A$6:$H$10,4,FALSE),0)-IF(OR($P2945="",$P2945="없음"),0,100000)),0)</f>
        <v>0</v>
      </c>
      <c r="K2945" s="33">
        <f t="array" ref="K2945">IF($O2945="방문완료",IFERROR(INDEX(설정_코스수당!$B$15:$F$64,MATCH($G2945,설정_코스수당!$A$15:$A$64,0),MATCH($E2945&amp;"수당",설정_코스수당!$B$14:$F$14,0)),0),0)</f>
        <v>0</v>
      </c>
      <c r="L2945" s="33">
        <f t="array" ref="L2945">IF($O2945="방문완료",IF($H2945="",0,IFERROR(INDEX(설정_코스수당!$B$15:$F$64,MATCH($H2945,설정_코스수당!$A$15:$A$64,0),MATCH($E2945&amp;"수당",설정_코스수당!$B$14:$F$14,0)),0)),0)</f>
        <v>0</v>
      </c>
      <c r="M2945" s="33">
        <f>IF($O2945="방문완료",IFERROR(VLOOKUP($E2945,설정_코스수당!$A$6:$H$10,6,FALSE),0),0)</f>
        <v>0</v>
      </c>
      <c r="N2945" s="34">
        <f t="shared" si="85"/>
        <v>0</v>
      </c>
      <c r="O2945" s="29"/>
      <c r="P2945" s="29"/>
      <c r="Q2945" s="29"/>
      <c r="R2945" s="32"/>
      <c r="S2945" s="29"/>
    </row>
    <row r="2946" spans="1:19" ht="19.5" hidden="1" customHeight="1" outlineLevel="1">
      <c r="A2946" s="23">
        <v>49</v>
      </c>
      <c r="B2946" s="24">
        <f>IF(29&lt;=DAY(DATE(YEAR(설정_코스수당!$K$2),MONTH(설정_코스수당!$K$2)+1,0)),DATE(YEAR(설정_코스수당!$K$2),MONTH(설정_코스수당!$K$2),29),"")</f>
        <v>46202</v>
      </c>
      <c r="C2946" s="25"/>
      <c r="D2946" s="23"/>
      <c r="E2946" s="23"/>
      <c r="F2946" s="26"/>
      <c r="G2946" s="23"/>
      <c r="H2946" s="23"/>
      <c r="I2946" s="23"/>
      <c r="J2946" s="27">
        <f>IF($O2946="방문완료",MAX(0,IFERROR(VLOOKUP($E2946,설정_코스수당!$A$6:$H$10,4,FALSE),0)-IF(OR($P2946="",$P2946="없음"),0,100000)),0)</f>
        <v>0</v>
      </c>
      <c r="K2946" s="27">
        <f t="array" ref="K2946">IF($O2946="방문완료",IFERROR(INDEX(설정_코스수당!$B$15:$F$64,MATCH($G2946,설정_코스수당!$A$15:$A$64,0),MATCH($E2946&amp;"수당",설정_코스수당!$B$14:$F$14,0)),0),0)</f>
        <v>0</v>
      </c>
      <c r="L2946" s="27">
        <f t="array" ref="L2946">IF($O2946="방문완료",IF($H2946="",0,IFERROR(INDEX(설정_코스수당!$B$15:$F$64,MATCH($H2946,설정_코스수당!$A$15:$A$64,0),MATCH($E2946&amp;"수당",설정_코스수당!$B$14:$F$14,0)),0)),0)</f>
        <v>0</v>
      </c>
      <c r="M2946" s="27">
        <f>IF($O2946="방문완료",IFERROR(VLOOKUP($E2946,설정_코스수당!$A$6:$H$10,6,FALSE),0),0)</f>
        <v>0</v>
      </c>
      <c r="N2946" s="28">
        <f t="shared" si="85"/>
        <v>0</v>
      </c>
      <c r="O2946" s="23"/>
      <c r="P2946" s="23"/>
      <c r="Q2946" s="23"/>
      <c r="R2946" s="26"/>
      <c r="S2946" s="23"/>
    </row>
    <row r="2947" spans="1:19" ht="19.5" hidden="1" customHeight="1" outlineLevel="1">
      <c r="A2947" s="29">
        <v>50</v>
      </c>
      <c r="B2947" s="30">
        <f>IF(29&lt;=DAY(DATE(YEAR(설정_코스수당!$K$2),MONTH(설정_코스수당!$K$2)+1,0)),DATE(YEAR(설정_코스수당!$K$2),MONTH(설정_코스수당!$K$2),29),"")</f>
        <v>46202</v>
      </c>
      <c r="C2947" s="31"/>
      <c r="D2947" s="29"/>
      <c r="E2947" s="29"/>
      <c r="F2947" s="32"/>
      <c r="G2947" s="29"/>
      <c r="H2947" s="29"/>
      <c r="I2947" s="29"/>
      <c r="J2947" s="33">
        <f>IF($O2947="방문완료",MAX(0,IFERROR(VLOOKUP($E2947,설정_코스수당!$A$6:$H$10,4,FALSE),0)-IF(OR($P2947="",$P2947="없음"),0,100000)),0)</f>
        <v>0</v>
      </c>
      <c r="K2947" s="33">
        <f t="array" ref="K2947">IF($O2947="방문완료",IFERROR(INDEX(설정_코스수당!$B$15:$F$64,MATCH($G2947,설정_코스수당!$A$15:$A$64,0),MATCH($E2947&amp;"수당",설정_코스수당!$B$14:$F$14,0)),0),0)</f>
        <v>0</v>
      </c>
      <c r="L2947" s="33">
        <f t="array" ref="L2947">IF($O2947="방문완료",IF($H2947="",0,IFERROR(INDEX(설정_코스수당!$B$15:$F$64,MATCH($H2947,설정_코스수당!$A$15:$A$64,0),MATCH($E2947&amp;"수당",설정_코스수당!$B$14:$F$14,0)),0)),0)</f>
        <v>0</v>
      </c>
      <c r="M2947" s="33">
        <f>IF($O2947="방문완료",IFERROR(VLOOKUP($E2947,설정_코스수당!$A$6:$H$10,6,FALSE),0),0)</f>
        <v>0</v>
      </c>
      <c r="N2947" s="34">
        <f t="shared" si="85"/>
        <v>0</v>
      </c>
      <c r="O2947" s="29"/>
      <c r="P2947" s="29"/>
      <c r="Q2947" s="29"/>
      <c r="R2947" s="32"/>
      <c r="S2947" s="29"/>
    </row>
    <row r="2948" spans="1:19" ht="19.5" hidden="1" customHeight="1" outlineLevel="1">
      <c r="A2948" s="23">
        <v>51</v>
      </c>
      <c r="B2948" s="24">
        <f>IF(29&lt;=DAY(DATE(YEAR(설정_코스수당!$K$2),MONTH(설정_코스수당!$K$2)+1,0)),DATE(YEAR(설정_코스수당!$K$2),MONTH(설정_코스수당!$K$2),29),"")</f>
        <v>46202</v>
      </c>
      <c r="C2948" s="25"/>
      <c r="D2948" s="23"/>
      <c r="E2948" s="23"/>
      <c r="F2948" s="26"/>
      <c r="G2948" s="23"/>
      <c r="H2948" s="23"/>
      <c r="I2948" s="23"/>
      <c r="J2948" s="27">
        <f>IF($O2948="방문완료",MAX(0,IFERROR(VLOOKUP($E2948,설정_코스수당!$A$6:$H$10,4,FALSE),0)-IF(OR($P2948="",$P2948="없음"),0,100000)),0)</f>
        <v>0</v>
      </c>
      <c r="K2948" s="27">
        <f t="array" ref="K2948">IF($O2948="방문완료",IFERROR(INDEX(설정_코스수당!$B$15:$F$64,MATCH($G2948,설정_코스수당!$A$15:$A$64,0),MATCH($E2948&amp;"수당",설정_코스수당!$B$14:$F$14,0)),0),0)</f>
        <v>0</v>
      </c>
      <c r="L2948" s="27">
        <f t="array" ref="L2948">IF($O2948="방문완료",IF($H2948="",0,IFERROR(INDEX(설정_코스수당!$B$15:$F$64,MATCH($H2948,설정_코스수당!$A$15:$A$64,0),MATCH($E2948&amp;"수당",설정_코스수당!$B$14:$F$14,0)),0)),0)</f>
        <v>0</v>
      </c>
      <c r="M2948" s="27">
        <f>IF($O2948="방문완료",IFERROR(VLOOKUP($E2948,설정_코스수당!$A$6:$H$10,6,FALSE),0),0)</f>
        <v>0</v>
      </c>
      <c r="N2948" s="28">
        <f t="shared" si="85"/>
        <v>0</v>
      </c>
      <c r="O2948" s="23"/>
      <c r="P2948" s="23"/>
      <c r="Q2948" s="23"/>
      <c r="R2948" s="26"/>
      <c r="S2948" s="23"/>
    </row>
    <row r="2949" spans="1:19" ht="19.5" hidden="1" customHeight="1" outlineLevel="1">
      <c r="A2949" s="29">
        <v>52</v>
      </c>
      <c r="B2949" s="30">
        <f>IF(29&lt;=DAY(DATE(YEAR(설정_코스수당!$K$2),MONTH(설정_코스수당!$K$2)+1,0)),DATE(YEAR(설정_코스수당!$K$2),MONTH(설정_코스수당!$K$2),29),"")</f>
        <v>46202</v>
      </c>
      <c r="C2949" s="31"/>
      <c r="D2949" s="29"/>
      <c r="E2949" s="29"/>
      <c r="F2949" s="32"/>
      <c r="G2949" s="29"/>
      <c r="H2949" s="29"/>
      <c r="I2949" s="29"/>
      <c r="J2949" s="33">
        <f>IF($O2949="방문완료",MAX(0,IFERROR(VLOOKUP($E2949,설정_코스수당!$A$6:$H$10,4,FALSE),0)-IF(OR($P2949="",$P2949="없음"),0,100000)),0)</f>
        <v>0</v>
      </c>
      <c r="K2949" s="33">
        <f t="array" ref="K2949">IF($O2949="방문완료",IFERROR(INDEX(설정_코스수당!$B$15:$F$64,MATCH($G2949,설정_코스수당!$A$15:$A$64,0),MATCH($E2949&amp;"수당",설정_코스수당!$B$14:$F$14,0)),0),0)</f>
        <v>0</v>
      </c>
      <c r="L2949" s="33">
        <f t="array" ref="L2949">IF($O2949="방문완료",IF($H2949="",0,IFERROR(INDEX(설정_코스수당!$B$15:$F$64,MATCH($H2949,설정_코스수당!$A$15:$A$64,0),MATCH($E2949&amp;"수당",설정_코스수당!$B$14:$F$14,0)),0)),0)</f>
        <v>0</v>
      </c>
      <c r="M2949" s="33">
        <f>IF($O2949="방문완료",IFERROR(VLOOKUP($E2949,설정_코스수당!$A$6:$H$10,6,FALSE),0),0)</f>
        <v>0</v>
      </c>
      <c r="N2949" s="34">
        <f t="shared" si="85"/>
        <v>0</v>
      </c>
      <c r="O2949" s="29"/>
      <c r="P2949" s="29"/>
      <c r="Q2949" s="29"/>
      <c r="R2949" s="32"/>
      <c r="S2949" s="29"/>
    </row>
    <row r="2950" spans="1:19" ht="19.5" hidden="1" customHeight="1" outlineLevel="1">
      <c r="A2950" s="23">
        <v>53</v>
      </c>
      <c r="B2950" s="24">
        <f>IF(29&lt;=DAY(DATE(YEAR(설정_코스수당!$K$2),MONTH(설정_코스수당!$K$2)+1,0)),DATE(YEAR(설정_코스수당!$K$2),MONTH(설정_코스수당!$K$2),29),"")</f>
        <v>46202</v>
      </c>
      <c r="C2950" s="25"/>
      <c r="D2950" s="23"/>
      <c r="E2950" s="23"/>
      <c r="F2950" s="26"/>
      <c r="G2950" s="23"/>
      <c r="H2950" s="23"/>
      <c r="I2950" s="23"/>
      <c r="J2950" s="27">
        <f>IF($O2950="방문완료",MAX(0,IFERROR(VLOOKUP($E2950,설정_코스수당!$A$6:$H$10,4,FALSE),0)-IF(OR($P2950="",$P2950="없음"),0,100000)),0)</f>
        <v>0</v>
      </c>
      <c r="K2950" s="27">
        <f t="array" ref="K2950">IF($O2950="방문완료",IFERROR(INDEX(설정_코스수당!$B$15:$F$64,MATCH($G2950,설정_코스수당!$A$15:$A$64,0),MATCH($E2950&amp;"수당",설정_코스수당!$B$14:$F$14,0)),0),0)</f>
        <v>0</v>
      </c>
      <c r="L2950" s="27">
        <f t="array" ref="L2950">IF($O2950="방문완료",IF($H2950="",0,IFERROR(INDEX(설정_코스수당!$B$15:$F$64,MATCH($H2950,설정_코스수당!$A$15:$A$64,0),MATCH($E2950&amp;"수당",설정_코스수당!$B$14:$F$14,0)),0)),0)</f>
        <v>0</v>
      </c>
      <c r="M2950" s="27">
        <f>IF($O2950="방문완료",IFERROR(VLOOKUP($E2950,설정_코스수당!$A$6:$H$10,6,FALSE),0),0)</f>
        <v>0</v>
      </c>
      <c r="N2950" s="28">
        <f t="shared" si="85"/>
        <v>0</v>
      </c>
      <c r="O2950" s="23"/>
      <c r="P2950" s="23"/>
      <c r="Q2950" s="23"/>
      <c r="R2950" s="26"/>
      <c r="S2950" s="23"/>
    </row>
    <row r="2951" spans="1:19" ht="19.5" hidden="1" customHeight="1" outlineLevel="1">
      <c r="A2951" s="29">
        <v>54</v>
      </c>
      <c r="B2951" s="30">
        <f>IF(29&lt;=DAY(DATE(YEAR(설정_코스수당!$K$2),MONTH(설정_코스수당!$K$2)+1,0)),DATE(YEAR(설정_코스수당!$K$2),MONTH(설정_코스수당!$K$2),29),"")</f>
        <v>46202</v>
      </c>
      <c r="C2951" s="31"/>
      <c r="D2951" s="29"/>
      <c r="E2951" s="29"/>
      <c r="F2951" s="32"/>
      <c r="G2951" s="29"/>
      <c r="H2951" s="29"/>
      <c r="I2951" s="29"/>
      <c r="J2951" s="33">
        <f>IF($O2951="방문완료",MAX(0,IFERROR(VLOOKUP($E2951,설정_코스수당!$A$6:$H$10,4,FALSE),0)-IF(OR($P2951="",$P2951="없음"),0,100000)),0)</f>
        <v>0</v>
      </c>
      <c r="K2951" s="33">
        <f t="array" ref="K2951">IF($O2951="방문완료",IFERROR(INDEX(설정_코스수당!$B$15:$F$64,MATCH($G2951,설정_코스수당!$A$15:$A$64,0),MATCH($E2951&amp;"수당",설정_코스수당!$B$14:$F$14,0)),0),0)</f>
        <v>0</v>
      </c>
      <c r="L2951" s="33">
        <f t="array" ref="L2951">IF($O2951="방문완료",IF($H2951="",0,IFERROR(INDEX(설정_코스수당!$B$15:$F$64,MATCH($H2951,설정_코스수당!$A$15:$A$64,0),MATCH($E2951&amp;"수당",설정_코스수당!$B$14:$F$14,0)),0)),0)</f>
        <v>0</v>
      </c>
      <c r="M2951" s="33">
        <f>IF($O2951="방문완료",IFERROR(VLOOKUP($E2951,설정_코스수당!$A$6:$H$10,6,FALSE),0),0)</f>
        <v>0</v>
      </c>
      <c r="N2951" s="34">
        <f t="shared" si="85"/>
        <v>0</v>
      </c>
      <c r="O2951" s="29"/>
      <c r="P2951" s="29"/>
      <c r="Q2951" s="29"/>
      <c r="R2951" s="32"/>
      <c r="S2951" s="29"/>
    </row>
    <row r="2952" spans="1:19" ht="19.5" hidden="1" customHeight="1" outlineLevel="1">
      <c r="A2952" s="23">
        <v>55</v>
      </c>
      <c r="B2952" s="24">
        <f>IF(29&lt;=DAY(DATE(YEAR(설정_코스수당!$K$2),MONTH(설정_코스수당!$K$2)+1,0)),DATE(YEAR(설정_코스수당!$K$2),MONTH(설정_코스수당!$K$2),29),"")</f>
        <v>46202</v>
      </c>
      <c r="C2952" s="25"/>
      <c r="D2952" s="23"/>
      <c r="E2952" s="23"/>
      <c r="F2952" s="26"/>
      <c r="G2952" s="23"/>
      <c r="H2952" s="23"/>
      <c r="I2952" s="23"/>
      <c r="J2952" s="27">
        <f>IF($O2952="방문완료",MAX(0,IFERROR(VLOOKUP($E2952,설정_코스수당!$A$6:$H$10,4,FALSE),0)-IF(OR($P2952="",$P2952="없음"),0,100000)),0)</f>
        <v>0</v>
      </c>
      <c r="K2952" s="27">
        <f t="array" ref="K2952">IF($O2952="방문완료",IFERROR(INDEX(설정_코스수당!$B$15:$F$64,MATCH($G2952,설정_코스수당!$A$15:$A$64,0),MATCH($E2952&amp;"수당",설정_코스수당!$B$14:$F$14,0)),0),0)</f>
        <v>0</v>
      </c>
      <c r="L2952" s="27">
        <f t="array" ref="L2952">IF($O2952="방문완료",IF($H2952="",0,IFERROR(INDEX(설정_코스수당!$B$15:$F$64,MATCH($H2952,설정_코스수당!$A$15:$A$64,0),MATCH($E2952&amp;"수당",설정_코스수당!$B$14:$F$14,0)),0)),0)</f>
        <v>0</v>
      </c>
      <c r="M2952" s="27">
        <f>IF($O2952="방문완료",IFERROR(VLOOKUP($E2952,설정_코스수당!$A$6:$H$10,6,FALSE),0),0)</f>
        <v>0</v>
      </c>
      <c r="N2952" s="28">
        <f t="shared" si="85"/>
        <v>0</v>
      </c>
      <c r="O2952" s="23"/>
      <c r="P2952" s="23"/>
      <c r="Q2952" s="23"/>
      <c r="R2952" s="26"/>
      <c r="S2952" s="23"/>
    </row>
    <row r="2953" spans="1:19" ht="19.5" hidden="1" customHeight="1" outlineLevel="1">
      <c r="A2953" s="29">
        <v>56</v>
      </c>
      <c r="B2953" s="30">
        <f>IF(29&lt;=DAY(DATE(YEAR(설정_코스수당!$K$2),MONTH(설정_코스수당!$K$2)+1,0)),DATE(YEAR(설정_코스수당!$K$2),MONTH(설정_코스수당!$K$2),29),"")</f>
        <v>46202</v>
      </c>
      <c r="C2953" s="31"/>
      <c r="D2953" s="29"/>
      <c r="E2953" s="29"/>
      <c r="F2953" s="32"/>
      <c r="G2953" s="29"/>
      <c r="H2953" s="29"/>
      <c r="I2953" s="29"/>
      <c r="J2953" s="33">
        <f>IF($O2953="방문완료",MAX(0,IFERROR(VLOOKUP($E2953,설정_코스수당!$A$6:$H$10,4,FALSE),0)-IF(OR($P2953="",$P2953="없음"),0,100000)),0)</f>
        <v>0</v>
      </c>
      <c r="K2953" s="33">
        <f t="array" ref="K2953">IF($O2953="방문완료",IFERROR(INDEX(설정_코스수당!$B$15:$F$64,MATCH($G2953,설정_코스수당!$A$15:$A$64,0),MATCH($E2953&amp;"수당",설정_코스수당!$B$14:$F$14,0)),0),0)</f>
        <v>0</v>
      </c>
      <c r="L2953" s="33">
        <f t="array" ref="L2953">IF($O2953="방문완료",IF($H2953="",0,IFERROR(INDEX(설정_코스수당!$B$15:$F$64,MATCH($H2953,설정_코스수당!$A$15:$A$64,0),MATCH($E2953&amp;"수당",설정_코스수당!$B$14:$F$14,0)),0)),0)</f>
        <v>0</v>
      </c>
      <c r="M2953" s="33">
        <f>IF($O2953="방문완료",IFERROR(VLOOKUP($E2953,설정_코스수당!$A$6:$H$10,6,FALSE),0),0)</f>
        <v>0</v>
      </c>
      <c r="N2953" s="34">
        <f t="shared" si="85"/>
        <v>0</v>
      </c>
      <c r="O2953" s="29"/>
      <c r="P2953" s="29"/>
      <c r="Q2953" s="29"/>
      <c r="R2953" s="32"/>
      <c r="S2953" s="29"/>
    </row>
    <row r="2954" spans="1:19" ht="19.5" hidden="1" customHeight="1" outlineLevel="1">
      <c r="A2954" s="23">
        <v>57</v>
      </c>
      <c r="B2954" s="24">
        <f>IF(29&lt;=DAY(DATE(YEAR(설정_코스수당!$K$2),MONTH(설정_코스수당!$K$2)+1,0)),DATE(YEAR(설정_코스수당!$K$2),MONTH(설정_코스수당!$K$2),29),"")</f>
        <v>46202</v>
      </c>
      <c r="C2954" s="25"/>
      <c r="D2954" s="23"/>
      <c r="E2954" s="23"/>
      <c r="F2954" s="26"/>
      <c r="G2954" s="23"/>
      <c r="H2954" s="23"/>
      <c r="I2954" s="23"/>
      <c r="J2954" s="27">
        <f>IF($O2954="방문완료",MAX(0,IFERROR(VLOOKUP($E2954,설정_코스수당!$A$6:$H$10,4,FALSE),0)-IF(OR($P2954="",$P2954="없음"),0,100000)),0)</f>
        <v>0</v>
      </c>
      <c r="K2954" s="27">
        <f t="array" ref="K2954">IF($O2954="방문완료",IFERROR(INDEX(설정_코스수당!$B$15:$F$64,MATCH($G2954,설정_코스수당!$A$15:$A$64,0),MATCH($E2954&amp;"수당",설정_코스수당!$B$14:$F$14,0)),0),0)</f>
        <v>0</v>
      </c>
      <c r="L2954" s="27">
        <f t="array" ref="L2954">IF($O2954="방문완료",IF($H2954="",0,IFERROR(INDEX(설정_코스수당!$B$15:$F$64,MATCH($H2954,설정_코스수당!$A$15:$A$64,0),MATCH($E2954&amp;"수당",설정_코스수당!$B$14:$F$14,0)),0)),0)</f>
        <v>0</v>
      </c>
      <c r="M2954" s="27">
        <f>IF($O2954="방문완료",IFERROR(VLOOKUP($E2954,설정_코스수당!$A$6:$H$10,6,FALSE),0),0)</f>
        <v>0</v>
      </c>
      <c r="N2954" s="28">
        <f t="shared" si="85"/>
        <v>0</v>
      </c>
      <c r="O2954" s="23"/>
      <c r="P2954" s="23"/>
      <c r="Q2954" s="23"/>
      <c r="R2954" s="26"/>
      <c r="S2954" s="23"/>
    </row>
    <row r="2955" spans="1:19" ht="19.5" hidden="1" customHeight="1" outlineLevel="1">
      <c r="A2955" s="29">
        <v>58</v>
      </c>
      <c r="B2955" s="30">
        <f>IF(29&lt;=DAY(DATE(YEAR(설정_코스수당!$K$2),MONTH(설정_코스수당!$K$2)+1,0)),DATE(YEAR(설정_코스수당!$K$2),MONTH(설정_코스수당!$K$2),29),"")</f>
        <v>46202</v>
      </c>
      <c r="C2955" s="31"/>
      <c r="D2955" s="29"/>
      <c r="E2955" s="29"/>
      <c r="F2955" s="32"/>
      <c r="G2955" s="29"/>
      <c r="H2955" s="29"/>
      <c r="I2955" s="29"/>
      <c r="J2955" s="33">
        <f>IF($O2955="방문완료",MAX(0,IFERROR(VLOOKUP($E2955,설정_코스수당!$A$6:$H$10,4,FALSE),0)-IF(OR($P2955="",$P2955="없음"),0,100000)),0)</f>
        <v>0</v>
      </c>
      <c r="K2955" s="33">
        <f t="array" ref="K2955">IF($O2955="방문완료",IFERROR(INDEX(설정_코스수당!$B$15:$F$64,MATCH($G2955,설정_코스수당!$A$15:$A$64,0),MATCH($E2955&amp;"수당",설정_코스수당!$B$14:$F$14,0)),0),0)</f>
        <v>0</v>
      </c>
      <c r="L2955" s="33">
        <f t="array" ref="L2955">IF($O2955="방문완료",IF($H2955="",0,IFERROR(INDEX(설정_코스수당!$B$15:$F$64,MATCH($H2955,설정_코스수당!$A$15:$A$64,0),MATCH($E2955&amp;"수당",설정_코스수당!$B$14:$F$14,0)),0)),0)</f>
        <v>0</v>
      </c>
      <c r="M2955" s="33">
        <f>IF($O2955="방문완료",IFERROR(VLOOKUP($E2955,설정_코스수당!$A$6:$H$10,6,FALSE),0),0)</f>
        <v>0</v>
      </c>
      <c r="N2955" s="34">
        <f t="shared" si="85"/>
        <v>0</v>
      </c>
      <c r="O2955" s="29"/>
      <c r="P2955" s="29"/>
      <c r="Q2955" s="29"/>
      <c r="R2955" s="32"/>
      <c r="S2955" s="29"/>
    </row>
    <row r="2956" spans="1:19" ht="19.5" hidden="1" customHeight="1" outlineLevel="1">
      <c r="A2956" s="23">
        <v>59</v>
      </c>
      <c r="B2956" s="24">
        <f>IF(29&lt;=DAY(DATE(YEAR(설정_코스수당!$K$2),MONTH(설정_코스수당!$K$2)+1,0)),DATE(YEAR(설정_코스수당!$K$2),MONTH(설정_코스수당!$K$2),29),"")</f>
        <v>46202</v>
      </c>
      <c r="C2956" s="25"/>
      <c r="D2956" s="23"/>
      <c r="E2956" s="23"/>
      <c r="F2956" s="26"/>
      <c r="G2956" s="23"/>
      <c r="H2956" s="23"/>
      <c r="I2956" s="23"/>
      <c r="J2956" s="27">
        <f>IF($O2956="방문완료",MAX(0,IFERROR(VLOOKUP($E2956,설정_코스수당!$A$6:$H$10,4,FALSE),0)-IF(OR($P2956="",$P2956="없음"),0,100000)),0)</f>
        <v>0</v>
      </c>
      <c r="K2956" s="27">
        <f t="array" ref="K2956">IF($O2956="방문완료",IFERROR(INDEX(설정_코스수당!$B$15:$F$64,MATCH($G2956,설정_코스수당!$A$15:$A$64,0),MATCH($E2956&amp;"수당",설정_코스수당!$B$14:$F$14,0)),0),0)</f>
        <v>0</v>
      </c>
      <c r="L2956" s="27">
        <f t="array" ref="L2956">IF($O2956="방문완료",IF($H2956="",0,IFERROR(INDEX(설정_코스수당!$B$15:$F$64,MATCH($H2956,설정_코스수당!$A$15:$A$64,0),MATCH($E2956&amp;"수당",설정_코스수당!$B$14:$F$14,0)),0)),0)</f>
        <v>0</v>
      </c>
      <c r="M2956" s="27">
        <f>IF($O2956="방문완료",IFERROR(VLOOKUP($E2956,설정_코스수당!$A$6:$H$10,6,FALSE),0),0)</f>
        <v>0</v>
      </c>
      <c r="N2956" s="28">
        <f t="shared" si="85"/>
        <v>0</v>
      </c>
      <c r="O2956" s="23"/>
      <c r="P2956" s="23"/>
      <c r="Q2956" s="23"/>
      <c r="R2956" s="26"/>
      <c r="S2956" s="23"/>
    </row>
    <row r="2957" spans="1:19" ht="19.5" hidden="1" customHeight="1" outlineLevel="1">
      <c r="A2957" s="29">
        <v>60</v>
      </c>
      <c r="B2957" s="30">
        <f>IF(29&lt;=DAY(DATE(YEAR(설정_코스수당!$K$2),MONTH(설정_코스수당!$K$2)+1,0)),DATE(YEAR(설정_코스수당!$K$2),MONTH(설정_코스수당!$K$2),29),"")</f>
        <v>46202</v>
      </c>
      <c r="C2957" s="31"/>
      <c r="D2957" s="29"/>
      <c r="E2957" s="29"/>
      <c r="F2957" s="32"/>
      <c r="G2957" s="29"/>
      <c r="H2957" s="29"/>
      <c r="I2957" s="29"/>
      <c r="J2957" s="33">
        <f>IF($O2957="방문완료",MAX(0,IFERROR(VLOOKUP($E2957,설정_코스수당!$A$6:$H$10,4,FALSE),0)-IF(OR($P2957="",$P2957="없음"),0,100000)),0)</f>
        <v>0</v>
      </c>
      <c r="K2957" s="33">
        <f t="array" ref="K2957">IF($O2957="방문완료",IFERROR(INDEX(설정_코스수당!$B$15:$F$64,MATCH($G2957,설정_코스수당!$A$15:$A$64,0),MATCH($E2957&amp;"수당",설정_코스수당!$B$14:$F$14,0)),0),0)</f>
        <v>0</v>
      </c>
      <c r="L2957" s="33">
        <f t="array" ref="L2957">IF($O2957="방문완료",IF($H2957="",0,IFERROR(INDEX(설정_코스수당!$B$15:$F$64,MATCH($H2957,설정_코스수당!$A$15:$A$64,0),MATCH($E2957&amp;"수당",설정_코스수당!$B$14:$F$14,0)),0)),0)</f>
        <v>0</v>
      </c>
      <c r="M2957" s="33">
        <f>IF($O2957="방문완료",IFERROR(VLOOKUP($E2957,설정_코스수당!$A$6:$H$10,6,FALSE),0),0)</f>
        <v>0</v>
      </c>
      <c r="N2957" s="34">
        <f t="shared" si="85"/>
        <v>0</v>
      </c>
      <c r="O2957" s="29"/>
      <c r="P2957" s="29"/>
      <c r="Q2957" s="29"/>
      <c r="R2957" s="32"/>
      <c r="S2957" s="29"/>
    </row>
    <row r="2958" spans="1:19" ht="19.5" hidden="1" customHeight="1" outlineLevel="1">
      <c r="A2958" s="23">
        <v>61</v>
      </c>
      <c r="B2958" s="24">
        <f>IF(29&lt;=DAY(DATE(YEAR(설정_코스수당!$K$2),MONTH(설정_코스수당!$K$2)+1,0)),DATE(YEAR(설정_코스수당!$K$2),MONTH(설정_코스수당!$K$2),29),"")</f>
        <v>46202</v>
      </c>
      <c r="C2958" s="25"/>
      <c r="D2958" s="23"/>
      <c r="E2958" s="23"/>
      <c r="F2958" s="26"/>
      <c r="G2958" s="23"/>
      <c r="H2958" s="23"/>
      <c r="I2958" s="23"/>
      <c r="J2958" s="27">
        <f>IF($O2958="방문완료",MAX(0,IFERROR(VLOOKUP($E2958,설정_코스수당!$A$6:$H$10,4,FALSE),0)-IF(OR($P2958="",$P2958="없음"),0,100000)),0)</f>
        <v>0</v>
      </c>
      <c r="K2958" s="27">
        <f t="array" ref="K2958">IF($O2958="방문완료",IFERROR(INDEX(설정_코스수당!$B$15:$F$64,MATCH($G2958,설정_코스수당!$A$15:$A$64,0),MATCH($E2958&amp;"수당",설정_코스수당!$B$14:$F$14,0)),0),0)</f>
        <v>0</v>
      </c>
      <c r="L2958" s="27">
        <f t="array" ref="L2958">IF($O2958="방문완료",IF($H2958="",0,IFERROR(INDEX(설정_코스수당!$B$15:$F$64,MATCH($H2958,설정_코스수당!$A$15:$A$64,0),MATCH($E2958&amp;"수당",설정_코스수당!$B$14:$F$14,0)),0)),0)</f>
        <v>0</v>
      </c>
      <c r="M2958" s="27">
        <f>IF($O2958="방문완료",IFERROR(VLOOKUP($E2958,설정_코스수당!$A$6:$H$10,6,FALSE),0),0)</f>
        <v>0</v>
      </c>
      <c r="N2958" s="28">
        <f t="shared" si="85"/>
        <v>0</v>
      </c>
      <c r="O2958" s="23"/>
      <c r="P2958" s="23"/>
      <c r="Q2958" s="23"/>
      <c r="R2958" s="26"/>
      <c r="S2958" s="23"/>
    </row>
    <row r="2959" spans="1:19" ht="19.5" hidden="1" customHeight="1" outlineLevel="1">
      <c r="A2959" s="29">
        <v>62</v>
      </c>
      <c r="B2959" s="30">
        <f>IF(29&lt;=DAY(DATE(YEAR(설정_코스수당!$K$2),MONTH(설정_코스수당!$K$2)+1,0)),DATE(YEAR(설정_코스수당!$K$2),MONTH(설정_코스수당!$K$2),29),"")</f>
        <v>46202</v>
      </c>
      <c r="C2959" s="31"/>
      <c r="D2959" s="29"/>
      <c r="E2959" s="29"/>
      <c r="F2959" s="32"/>
      <c r="G2959" s="29"/>
      <c r="H2959" s="29"/>
      <c r="I2959" s="29"/>
      <c r="J2959" s="33">
        <f>IF($O2959="방문완료",MAX(0,IFERROR(VLOOKUP($E2959,설정_코스수당!$A$6:$H$10,4,FALSE),0)-IF(OR($P2959="",$P2959="없음"),0,100000)),0)</f>
        <v>0</v>
      </c>
      <c r="K2959" s="33">
        <f t="array" ref="K2959">IF($O2959="방문완료",IFERROR(INDEX(설정_코스수당!$B$15:$F$64,MATCH($G2959,설정_코스수당!$A$15:$A$64,0),MATCH($E2959&amp;"수당",설정_코스수당!$B$14:$F$14,0)),0),0)</f>
        <v>0</v>
      </c>
      <c r="L2959" s="33">
        <f t="array" ref="L2959">IF($O2959="방문완료",IF($H2959="",0,IFERROR(INDEX(설정_코스수당!$B$15:$F$64,MATCH($H2959,설정_코스수당!$A$15:$A$64,0),MATCH($E2959&amp;"수당",설정_코스수당!$B$14:$F$14,0)),0)),0)</f>
        <v>0</v>
      </c>
      <c r="M2959" s="33">
        <f>IF($O2959="방문완료",IFERROR(VLOOKUP($E2959,설정_코스수당!$A$6:$H$10,6,FALSE),0),0)</f>
        <v>0</v>
      </c>
      <c r="N2959" s="34">
        <f t="shared" si="85"/>
        <v>0</v>
      </c>
      <c r="O2959" s="29"/>
      <c r="P2959" s="29"/>
      <c r="Q2959" s="29"/>
      <c r="R2959" s="32"/>
      <c r="S2959" s="29"/>
    </row>
    <row r="2960" spans="1:19" ht="19.5" hidden="1" customHeight="1" outlineLevel="1">
      <c r="A2960" s="23">
        <v>63</v>
      </c>
      <c r="B2960" s="24">
        <f>IF(29&lt;=DAY(DATE(YEAR(설정_코스수당!$K$2),MONTH(설정_코스수당!$K$2)+1,0)),DATE(YEAR(설정_코스수당!$K$2),MONTH(설정_코스수당!$K$2),29),"")</f>
        <v>46202</v>
      </c>
      <c r="C2960" s="25"/>
      <c r="D2960" s="23"/>
      <c r="E2960" s="23"/>
      <c r="F2960" s="26"/>
      <c r="G2960" s="23"/>
      <c r="H2960" s="23"/>
      <c r="I2960" s="23"/>
      <c r="J2960" s="27">
        <f>IF($O2960="방문완료",MAX(0,IFERROR(VLOOKUP($E2960,설정_코스수당!$A$6:$H$10,4,FALSE),0)-IF(OR($P2960="",$P2960="없음"),0,100000)),0)</f>
        <v>0</v>
      </c>
      <c r="K2960" s="27">
        <f t="array" ref="K2960">IF($O2960="방문완료",IFERROR(INDEX(설정_코스수당!$B$15:$F$64,MATCH($G2960,설정_코스수당!$A$15:$A$64,0),MATCH($E2960&amp;"수당",설정_코스수당!$B$14:$F$14,0)),0),0)</f>
        <v>0</v>
      </c>
      <c r="L2960" s="27">
        <f t="array" ref="L2960">IF($O2960="방문완료",IF($H2960="",0,IFERROR(INDEX(설정_코스수당!$B$15:$F$64,MATCH($H2960,설정_코스수당!$A$15:$A$64,0),MATCH($E2960&amp;"수당",설정_코스수당!$B$14:$F$14,0)),0)),0)</f>
        <v>0</v>
      </c>
      <c r="M2960" s="27">
        <f>IF($O2960="방문완료",IFERROR(VLOOKUP($E2960,설정_코스수당!$A$6:$H$10,6,FALSE),0),0)</f>
        <v>0</v>
      </c>
      <c r="N2960" s="28">
        <f t="shared" si="85"/>
        <v>0</v>
      </c>
      <c r="O2960" s="23"/>
      <c r="P2960" s="23"/>
      <c r="Q2960" s="23"/>
      <c r="R2960" s="26"/>
      <c r="S2960" s="23"/>
    </row>
    <row r="2961" spans="1:19" ht="19.5" hidden="1" customHeight="1" outlineLevel="1">
      <c r="A2961" s="29">
        <v>64</v>
      </c>
      <c r="B2961" s="30">
        <f>IF(29&lt;=DAY(DATE(YEAR(설정_코스수당!$K$2),MONTH(설정_코스수당!$K$2)+1,0)),DATE(YEAR(설정_코스수당!$K$2),MONTH(설정_코스수당!$K$2),29),"")</f>
        <v>46202</v>
      </c>
      <c r="C2961" s="31"/>
      <c r="D2961" s="29"/>
      <c r="E2961" s="29"/>
      <c r="F2961" s="32"/>
      <c r="G2961" s="29"/>
      <c r="H2961" s="29"/>
      <c r="I2961" s="29"/>
      <c r="J2961" s="33">
        <f>IF($O2961="방문완료",MAX(0,IFERROR(VLOOKUP($E2961,설정_코스수당!$A$6:$H$10,4,FALSE),0)-IF(OR($P2961="",$P2961="없음"),0,100000)),0)</f>
        <v>0</v>
      </c>
      <c r="K2961" s="33">
        <f t="array" ref="K2961">IF($O2961="방문완료",IFERROR(INDEX(설정_코스수당!$B$15:$F$64,MATCH($G2961,설정_코스수당!$A$15:$A$64,0),MATCH($E2961&amp;"수당",설정_코스수당!$B$14:$F$14,0)),0),0)</f>
        <v>0</v>
      </c>
      <c r="L2961" s="33">
        <f t="array" ref="L2961">IF($O2961="방문완료",IF($H2961="",0,IFERROR(INDEX(설정_코스수당!$B$15:$F$64,MATCH($H2961,설정_코스수당!$A$15:$A$64,0),MATCH($E2961&amp;"수당",설정_코스수당!$B$14:$F$14,0)),0)),0)</f>
        <v>0</v>
      </c>
      <c r="M2961" s="33">
        <f>IF($O2961="방문완료",IFERROR(VLOOKUP($E2961,설정_코스수당!$A$6:$H$10,6,FALSE),0),0)</f>
        <v>0</v>
      </c>
      <c r="N2961" s="34">
        <f t="shared" si="85"/>
        <v>0</v>
      </c>
      <c r="O2961" s="29"/>
      <c r="P2961" s="29"/>
      <c r="Q2961" s="29"/>
      <c r="R2961" s="32"/>
      <c r="S2961" s="29"/>
    </row>
    <row r="2962" spans="1:19" ht="19.5" hidden="1" customHeight="1" outlineLevel="1">
      <c r="A2962" s="23">
        <v>65</v>
      </c>
      <c r="B2962" s="24">
        <f>IF(29&lt;=DAY(DATE(YEAR(설정_코스수당!$K$2),MONTH(설정_코스수당!$K$2)+1,0)),DATE(YEAR(설정_코스수당!$K$2),MONTH(설정_코스수당!$K$2),29),"")</f>
        <v>46202</v>
      </c>
      <c r="C2962" s="25"/>
      <c r="D2962" s="23"/>
      <c r="E2962" s="23"/>
      <c r="F2962" s="26"/>
      <c r="G2962" s="23"/>
      <c r="H2962" s="23"/>
      <c r="I2962" s="23"/>
      <c r="J2962" s="27">
        <f>IF($O2962="방문완료",MAX(0,IFERROR(VLOOKUP($E2962,설정_코스수당!$A$6:$H$10,4,FALSE),0)-IF(OR($P2962="",$P2962="없음"),0,100000)),0)</f>
        <v>0</v>
      </c>
      <c r="K2962" s="27">
        <f t="array" ref="K2962">IF($O2962="방문완료",IFERROR(INDEX(설정_코스수당!$B$15:$F$64,MATCH($G2962,설정_코스수당!$A$15:$A$64,0),MATCH($E2962&amp;"수당",설정_코스수당!$B$14:$F$14,0)),0),0)</f>
        <v>0</v>
      </c>
      <c r="L2962" s="27">
        <f t="array" ref="L2962">IF($O2962="방문완료",IF($H2962="",0,IFERROR(INDEX(설정_코스수당!$B$15:$F$64,MATCH($H2962,설정_코스수당!$A$15:$A$64,0),MATCH($E2962&amp;"수당",설정_코스수당!$B$14:$F$14,0)),0)),0)</f>
        <v>0</v>
      </c>
      <c r="M2962" s="27">
        <f>IF($O2962="방문완료",IFERROR(VLOOKUP($E2962,설정_코스수당!$A$6:$H$10,6,FALSE),0),0)</f>
        <v>0</v>
      </c>
      <c r="N2962" s="28">
        <f t="shared" ref="N2962:N2997" si="86">IF($O2962="방문완료",1,0)</f>
        <v>0</v>
      </c>
      <c r="O2962" s="23"/>
      <c r="P2962" s="23"/>
      <c r="Q2962" s="23"/>
      <c r="R2962" s="26"/>
      <c r="S2962" s="23"/>
    </row>
    <row r="2963" spans="1:19" ht="19.5" hidden="1" customHeight="1" outlineLevel="1">
      <c r="A2963" s="29">
        <v>66</v>
      </c>
      <c r="B2963" s="30">
        <f>IF(29&lt;=DAY(DATE(YEAR(설정_코스수당!$K$2),MONTH(설정_코스수당!$K$2)+1,0)),DATE(YEAR(설정_코스수당!$K$2),MONTH(설정_코스수당!$K$2),29),"")</f>
        <v>46202</v>
      </c>
      <c r="C2963" s="31"/>
      <c r="D2963" s="29"/>
      <c r="E2963" s="29"/>
      <c r="F2963" s="32"/>
      <c r="G2963" s="29"/>
      <c r="H2963" s="29"/>
      <c r="I2963" s="29"/>
      <c r="J2963" s="33">
        <f>IF($O2963="방문완료",MAX(0,IFERROR(VLOOKUP($E2963,설정_코스수당!$A$6:$H$10,4,FALSE),0)-IF(OR($P2963="",$P2963="없음"),0,100000)),0)</f>
        <v>0</v>
      </c>
      <c r="K2963" s="33">
        <f t="array" ref="K2963">IF($O2963="방문완료",IFERROR(INDEX(설정_코스수당!$B$15:$F$64,MATCH($G2963,설정_코스수당!$A$15:$A$64,0),MATCH($E2963&amp;"수당",설정_코스수당!$B$14:$F$14,0)),0),0)</f>
        <v>0</v>
      </c>
      <c r="L2963" s="33">
        <f t="array" ref="L2963">IF($O2963="방문완료",IF($H2963="",0,IFERROR(INDEX(설정_코스수당!$B$15:$F$64,MATCH($H2963,설정_코스수당!$A$15:$A$64,0),MATCH($E2963&amp;"수당",설정_코스수당!$B$14:$F$14,0)),0)),0)</f>
        <v>0</v>
      </c>
      <c r="M2963" s="33">
        <f>IF($O2963="방문완료",IFERROR(VLOOKUP($E2963,설정_코스수당!$A$6:$H$10,6,FALSE),0),0)</f>
        <v>0</v>
      </c>
      <c r="N2963" s="34">
        <f t="shared" si="86"/>
        <v>0</v>
      </c>
      <c r="O2963" s="29"/>
      <c r="P2963" s="29"/>
      <c r="Q2963" s="29"/>
      <c r="R2963" s="32"/>
      <c r="S2963" s="29"/>
    </row>
    <row r="2964" spans="1:19" ht="19.5" hidden="1" customHeight="1" outlineLevel="1">
      <c r="A2964" s="23">
        <v>67</v>
      </c>
      <c r="B2964" s="24">
        <f>IF(29&lt;=DAY(DATE(YEAR(설정_코스수당!$K$2),MONTH(설정_코스수당!$K$2)+1,0)),DATE(YEAR(설정_코스수당!$K$2),MONTH(설정_코스수당!$K$2),29),"")</f>
        <v>46202</v>
      </c>
      <c r="C2964" s="25"/>
      <c r="D2964" s="23"/>
      <c r="E2964" s="23"/>
      <c r="F2964" s="26"/>
      <c r="G2964" s="23"/>
      <c r="H2964" s="23"/>
      <c r="I2964" s="23"/>
      <c r="J2964" s="27">
        <f>IF($O2964="방문완료",MAX(0,IFERROR(VLOOKUP($E2964,설정_코스수당!$A$6:$H$10,4,FALSE),0)-IF(OR($P2964="",$P2964="없음"),0,100000)),0)</f>
        <v>0</v>
      </c>
      <c r="K2964" s="27">
        <f t="array" ref="K2964">IF($O2964="방문완료",IFERROR(INDEX(설정_코스수당!$B$15:$F$64,MATCH($G2964,설정_코스수당!$A$15:$A$64,0),MATCH($E2964&amp;"수당",설정_코스수당!$B$14:$F$14,0)),0),0)</f>
        <v>0</v>
      </c>
      <c r="L2964" s="27">
        <f t="array" ref="L2964">IF($O2964="방문완료",IF($H2964="",0,IFERROR(INDEX(설정_코스수당!$B$15:$F$64,MATCH($H2964,설정_코스수당!$A$15:$A$64,0),MATCH($E2964&amp;"수당",설정_코스수당!$B$14:$F$14,0)),0)),0)</f>
        <v>0</v>
      </c>
      <c r="M2964" s="27">
        <f>IF($O2964="방문완료",IFERROR(VLOOKUP($E2964,설정_코스수당!$A$6:$H$10,6,FALSE),0),0)</f>
        <v>0</v>
      </c>
      <c r="N2964" s="28">
        <f t="shared" si="86"/>
        <v>0</v>
      </c>
      <c r="O2964" s="23"/>
      <c r="P2964" s="23"/>
      <c r="Q2964" s="23"/>
      <c r="R2964" s="26"/>
      <c r="S2964" s="23"/>
    </row>
    <row r="2965" spans="1:19" ht="19.5" hidden="1" customHeight="1" outlineLevel="1">
      <c r="A2965" s="29">
        <v>68</v>
      </c>
      <c r="B2965" s="30">
        <f>IF(29&lt;=DAY(DATE(YEAR(설정_코스수당!$K$2),MONTH(설정_코스수당!$K$2)+1,0)),DATE(YEAR(설정_코스수당!$K$2),MONTH(설정_코스수당!$K$2),29),"")</f>
        <v>46202</v>
      </c>
      <c r="C2965" s="31"/>
      <c r="D2965" s="29"/>
      <c r="E2965" s="29"/>
      <c r="F2965" s="32"/>
      <c r="G2965" s="29"/>
      <c r="H2965" s="29"/>
      <c r="I2965" s="29"/>
      <c r="J2965" s="33">
        <f>IF($O2965="방문완료",MAX(0,IFERROR(VLOOKUP($E2965,설정_코스수당!$A$6:$H$10,4,FALSE),0)-IF(OR($P2965="",$P2965="없음"),0,100000)),0)</f>
        <v>0</v>
      </c>
      <c r="K2965" s="33">
        <f t="array" ref="K2965">IF($O2965="방문완료",IFERROR(INDEX(설정_코스수당!$B$15:$F$64,MATCH($G2965,설정_코스수당!$A$15:$A$64,0),MATCH($E2965&amp;"수당",설정_코스수당!$B$14:$F$14,0)),0),0)</f>
        <v>0</v>
      </c>
      <c r="L2965" s="33">
        <f t="array" ref="L2965">IF($O2965="방문완료",IF($H2965="",0,IFERROR(INDEX(설정_코스수당!$B$15:$F$64,MATCH($H2965,설정_코스수당!$A$15:$A$64,0),MATCH($E2965&amp;"수당",설정_코스수당!$B$14:$F$14,0)),0)),0)</f>
        <v>0</v>
      </c>
      <c r="M2965" s="33">
        <f>IF($O2965="방문완료",IFERROR(VLOOKUP($E2965,설정_코스수당!$A$6:$H$10,6,FALSE),0),0)</f>
        <v>0</v>
      </c>
      <c r="N2965" s="34">
        <f t="shared" si="86"/>
        <v>0</v>
      </c>
      <c r="O2965" s="29"/>
      <c r="P2965" s="29"/>
      <c r="Q2965" s="29"/>
      <c r="R2965" s="32"/>
      <c r="S2965" s="29"/>
    </row>
    <row r="2966" spans="1:19" ht="19.5" hidden="1" customHeight="1" outlineLevel="1">
      <c r="A2966" s="23">
        <v>69</v>
      </c>
      <c r="B2966" s="24">
        <f>IF(29&lt;=DAY(DATE(YEAR(설정_코스수당!$K$2),MONTH(설정_코스수당!$K$2)+1,0)),DATE(YEAR(설정_코스수당!$K$2),MONTH(설정_코스수당!$K$2),29),"")</f>
        <v>46202</v>
      </c>
      <c r="C2966" s="25"/>
      <c r="D2966" s="23"/>
      <c r="E2966" s="23"/>
      <c r="F2966" s="26"/>
      <c r="G2966" s="23"/>
      <c r="H2966" s="23"/>
      <c r="I2966" s="23"/>
      <c r="J2966" s="27">
        <f>IF($O2966="방문완료",MAX(0,IFERROR(VLOOKUP($E2966,설정_코스수당!$A$6:$H$10,4,FALSE),0)-IF(OR($P2966="",$P2966="없음"),0,100000)),0)</f>
        <v>0</v>
      </c>
      <c r="K2966" s="27">
        <f t="array" ref="K2966">IF($O2966="방문완료",IFERROR(INDEX(설정_코스수당!$B$15:$F$64,MATCH($G2966,설정_코스수당!$A$15:$A$64,0),MATCH($E2966&amp;"수당",설정_코스수당!$B$14:$F$14,0)),0),0)</f>
        <v>0</v>
      </c>
      <c r="L2966" s="27">
        <f t="array" ref="L2966">IF($O2966="방문완료",IF($H2966="",0,IFERROR(INDEX(설정_코스수당!$B$15:$F$64,MATCH($H2966,설정_코스수당!$A$15:$A$64,0),MATCH($E2966&amp;"수당",설정_코스수당!$B$14:$F$14,0)),0)),0)</f>
        <v>0</v>
      </c>
      <c r="M2966" s="27">
        <f>IF($O2966="방문완료",IFERROR(VLOOKUP($E2966,설정_코스수당!$A$6:$H$10,6,FALSE),0),0)</f>
        <v>0</v>
      </c>
      <c r="N2966" s="28">
        <f t="shared" si="86"/>
        <v>0</v>
      </c>
      <c r="O2966" s="23"/>
      <c r="P2966" s="23"/>
      <c r="Q2966" s="23"/>
      <c r="R2966" s="26"/>
      <c r="S2966" s="23"/>
    </row>
    <row r="2967" spans="1:19" ht="19.5" hidden="1" customHeight="1" outlineLevel="1">
      <c r="A2967" s="29">
        <v>70</v>
      </c>
      <c r="B2967" s="30">
        <f>IF(29&lt;=DAY(DATE(YEAR(설정_코스수당!$K$2),MONTH(설정_코스수당!$K$2)+1,0)),DATE(YEAR(설정_코스수당!$K$2),MONTH(설정_코스수당!$K$2),29),"")</f>
        <v>46202</v>
      </c>
      <c r="C2967" s="31"/>
      <c r="D2967" s="29"/>
      <c r="E2967" s="29"/>
      <c r="F2967" s="32"/>
      <c r="G2967" s="29"/>
      <c r="H2967" s="29"/>
      <c r="I2967" s="29"/>
      <c r="J2967" s="33">
        <f>IF($O2967="방문완료",MAX(0,IFERROR(VLOOKUP($E2967,설정_코스수당!$A$6:$H$10,4,FALSE),0)-IF(OR($P2967="",$P2967="없음"),0,100000)),0)</f>
        <v>0</v>
      </c>
      <c r="K2967" s="33">
        <f t="array" ref="K2967">IF($O2967="방문완료",IFERROR(INDEX(설정_코스수당!$B$15:$F$64,MATCH($G2967,설정_코스수당!$A$15:$A$64,0),MATCH($E2967&amp;"수당",설정_코스수당!$B$14:$F$14,0)),0),0)</f>
        <v>0</v>
      </c>
      <c r="L2967" s="33">
        <f t="array" ref="L2967">IF($O2967="방문완료",IF($H2967="",0,IFERROR(INDEX(설정_코스수당!$B$15:$F$64,MATCH($H2967,설정_코스수당!$A$15:$A$64,0),MATCH($E2967&amp;"수당",설정_코스수당!$B$14:$F$14,0)),0)),0)</f>
        <v>0</v>
      </c>
      <c r="M2967" s="33">
        <f>IF($O2967="방문완료",IFERROR(VLOOKUP($E2967,설정_코스수당!$A$6:$H$10,6,FALSE),0),0)</f>
        <v>0</v>
      </c>
      <c r="N2967" s="34">
        <f t="shared" si="86"/>
        <v>0</v>
      </c>
      <c r="O2967" s="29"/>
      <c r="P2967" s="29"/>
      <c r="Q2967" s="29"/>
      <c r="R2967" s="32"/>
      <c r="S2967" s="29"/>
    </row>
    <row r="2968" spans="1:19" ht="19.5" hidden="1" customHeight="1" outlineLevel="1">
      <c r="A2968" s="23">
        <v>71</v>
      </c>
      <c r="B2968" s="24">
        <f>IF(29&lt;=DAY(DATE(YEAR(설정_코스수당!$K$2),MONTH(설정_코스수당!$K$2)+1,0)),DATE(YEAR(설정_코스수당!$K$2),MONTH(설정_코스수당!$K$2),29),"")</f>
        <v>46202</v>
      </c>
      <c r="C2968" s="25"/>
      <c r="D2968" s="23"/>
      <c r="E2968" s="23"/>
      <c r="F2968" s="26"/>
      <c r="G2968" s="23"/>
      <c r="H2968" s="23"/>
      <c r="I2968" s="23"/>
      <c r="J2968" s="27">
        <f>IF($O2968="방문완료",MAX(0,IFERROR(VLOOKUP($E2968,설정_코스수당!$A$6:$H$10,4,FALSE),0)-IF(OR($P2968="",$P2968="없음"),0,100000)),0)</f>
        <v>0</v>
      </c>
      <c r="K2968" s="27">
        <f t="array" ref="K2968">IF($O2968="방문완료",IFERROR(INDEX(설정_코스수당!$B$15:$F$64,MATCH($G2968,설정_코스수당!$A$15:$A$64,0),MATCH($E2968&amp;"수당",설정_코스수당!$B$14:$F$14,0)),0),0)</f>
        <v>0</v>
      </c>
      <c r="L2968" s="27">
        <f t="array" ref="L2968">IF($O2968="방문완료",IF($H2968="",0,IFERROR(INDEX(설정_코스수당!$B$15:$F$64,MATCH($H2968,설정_코스수당!$A$15:$A$64,0),MATCH($E2968&amp;"수당",설정_코스수당!$B$14:$F$14,0)),0)),0)</f>
        <v>0</v>
      </c>
      <c r="M2968" s="27">
        <f>IF($O2968="방문완료",IFERROR(VLOOKUP($E2968,설정_코스수당!$A$6:$H$10,6,FALSE),0),0)</f>
        <v>0</v>
      </c>
      <c r="N2968" s="28">
        <f t="shared" si="86"/>
        <v>0</v>
      </c>
      <c r="O2968" s="23"/>
      <c r="P2968" s="23"/>
      <c r="Q2968" s="23"/>
      <c r="R2968" s="26"/>
      <c r="S2968" s="23"/>
    </row>
    <row r="2969" spans="1:19" ht="19.5" hidden="1" customHeight="1" outlineLevel="1">
      <c r="A2969" s="29">
        <v>72</v>
      </c>
      <c r="B2969" s="30">
        <f>IF(29&lt;=DAY(DATE(YEAR(설정_코스수당!$K$2),MONTH(설정_코스수당!$K$2)+1,0)),DATE(YEAR(설정_코스수당!$K$2),MONTH(설정_코스수당!$K$2),29),"")</f>
        <v>46202</v>
      </c>
      <c r="C2969" s="31"/>
      <c r="D2969" s="29"/>
      <c r="E2969" s="29"/>
      <c r="F2969" s="32"/>
      <c r="G2969" s="29"/>
      <c r="H2969" s="29"/>
      <c r="I2969" s="29"/>
      <c r="J2969" s="33">
        <f>IF($O2969="방문완료",MAX(0,IFERROR(VLOOKUP($E2969,설정_코스수당!$A$6:$H$10,4,FALSE),0)-IF(OR($P2969="",$P2969="없음"),0,100000)),0)</f>
        <v>0</v>
      </c>
      <c r="K2969" s="33">
        <f t="array" ref="K2969">IF($O2969="방문완료",IFERROR(INDEX(설정_코스수당!$B$15:$F$64,MATCH($G2969,설정_코스수당!$A$15:$A$64,0),MATCH($E2969&amp;"수당",설정_코스수당!$B$14:$F$14,0)),0),0)</f>
        <v>0</v>
      </c>
      <c r="L2969" s="33">
        <f t="array" ref="L2969">IF($O2969="방문완료",IF($H2969="",0,IFERROR(INDEX(설정_코스수당!$B$15:$F$64,MATCH($H2969,설정_코스수당!$A$15:$A$64,0),MATCH($E2969&amp;"수당",설정_코스수당!$B$14:$F$14,0)),0)),0)</f>
        <v>0</v>
      </c>
      <c r="M2969" s="33">
        <f>IF($O2969="방문완료",IFERROR(VLOOKUP($E2969,설정_코스수당!$A$6:$H$10,6,FALSE),0),0)</f>
        <v>0</v>
      </c>
      <c r="N2969" s="34">
        <f t="shared" si="86"/>
        <v>0</v>
      </c>
      <c r="O2969" s="29"/>
      <c r="P2969" s="29"/>
      <c r="Q2969" s="29"/>
      <c r="R2969" s="32"/>
      <c r="S2969" s="29"/>
    </row>
    <row r="2970" spans="1:19" ht="19.5" hidden="1" customHeight="1" outlineLevel="1">
      <c r="A2970" s="23">
        <v>73</v>
      </c>
      <c r="B2970" s="24">
        <f>IF(29&lt;=DAY(DATE(YEAR(설정_코스수당!$K$2),MONTH(설정_코스수당!$K$2)+1,0)),DATE(YEAR(설정_코스수당!$K$2),MONTH(설정_코스수당!$K$2),29),"")</f>
        <v>46202</v>
      </c>
      <c r="C2970" s="25"/>
      <c r="D2970" s="23"/>
      <c r="E2970" s="23"/>
      <c r="F2970" s="26"/>
      <c r="G2970" s="23"/>
      <c r="H2970" s="23"/>
      <c r="I2970" s="23"/>
      <c r="J2970" s="27">
        <f>IF($O2970="방문완료",MAX(0,IFERROR(VLOOKUP($E2970,설정_코스수당!$A$6:$H$10,4,FALSE),0)-IF(OR($P2970="",$P2970="없음"),0,100000)),0)</f>
        <v>0</v>
      </c>
      <c r="K2970" s="27">
        <f t="array" ref="K2970">IF($O2970="방문완료",IFERROR(INDEX(설정_코스수당!$B$15:$F$64,MATCH($G2970,설정_코스수당!$A$15:$A$64,0),MATCH($E2970&amp;"수당",설정_코스수당!$B$14:$F$14,0)),0),0)</f>
        <v>0</v>
      </c>
      <c r="L2970" s="27">
        <f t="array" ref="L2970">IF($O2970="방문완료",IF($H2970="",0,IFERROR(INDEX(설정_코스수당!$B$15:$F$64,MATCH($H2970,설정_코스수당!$A$15:$A$64,0),MATCH($E2970&amp;"수당",설정_코스수당!$B$14:$F$14,0)),0)),0)</f>
        <v>0</v>
      </c>
      <c r="M2970" s="27">
        <f>IF($O2970="방문완료",IFERROR(VLOOKUP($E2970,설정_코스수당!$A$6:$H$10,6,FALSE),0),0)</f>
        <v>0</v>
      </c>
      <c r="N2970" s="28">
        <f t="shared" si="86"/>
        <v>0</v>
      </c>
      <c r="O2970" s="23"/>
      <c r="P2970" s="23"/>
      <c r="Q2970" s="23"/>
      <c r="R2970" s="26"/>
      <c r="S2970" s="23"/>
    </row>
    <row r="2971" spans="1:19" ht="19.5" hidden="1" customHeight="1" outlineLevel="1">
      <c r="A2971" s="29">
        <v>74</v>
      </c>
      <c r="B2971" s="30">
        <f>IF(29&lt;=DAY(DATE(YEAR(설정_코스수당!$K$2),MONTH(설정_코스수당!$K$2)+1,0)),DATE(YEAR(설정_코스수당!$K$2),MONTH(설정_코스수당!$K$2),29),"")</f>
        <v>46202</v>
      </c>
      <c r="C2971" s="31"/>
      <c r="D2971" s="29"/>
      <c r="E2971" s="29"/>
      <c r="F2971" s="32"/>
      <c r="G2971" s="29"/>
      <c r="H2971" s="29"/>
      <c r="I2971" s="29"/>
      <c r="J2971" s="33">
        <f>IF($O2971="방문완료",MAX(0,IFERROR(VLOOKUP($E2971,설정_코스수당!$A$6:$H$10,4,FALSE),0)-IF(OR($P2971="",$P2971="없음"),0,100000)),0)</f>
        <v>0</v>
      </c>
      <c r="K2971" s="33">
        <f t="array" ref="K2971">IF($O2971="방문완료",IFERROR(INDEX(설정_코스수당!$B$15:$F$64,MATCH($G2971,설정_코스수당!$A$15:$A$64,0),MATCH($E2971&amp;"수당",설정_코스수당!$B$14:$F$14,0)),0),0)</f>
        <v>0</v>
      </c>
      <c r="L2971" s="33">
        <f t="array" ref="L2971">IF($O2971="방문완료",IF($H2971="",0,IFERROR(INDEX(설정_코스수당!$B$15:$F$64,MATCH($H2971,설정_코스수당!$A$15:$A$64,0),MATCH($E2971&amp;"수당",설정_코스수당!$B$14:$F$14,0)),0)),0)</f>
        <v>0</v>
      </c>
      <c r="M2971" s="33">
        <f>IF($O2971="방문완료",IFERROR(VLOOKUP($E2971,설정_코스수당!$A$6:$H$10,6,FALSE),0),0)</f>
        <v>0</v>
      </c>
      <c r="N2971" s="34">
        <f t="shared" si="86"/>
        <v>0</v>
      </c>
      <c r="O2971" s="29"/>
      <c r="P2971" s="29"/>
      <c r="Q2971" s="29"/>
      <c r="R2971" s="32"/>
      <c r="S2971" s="29"/>
    </row>
    <row r="2972" spans="1:19" ht="19.5" hidden="1" customHeight="1" outlineLevel="1">
      <c r="A2972" s="23">
        <v>75</v>
      </c>
      <c r="B2972" s="24">
        <f>IF(29&lt;=DAY(DATE(YEAR(설정_코스수당!$K$2),MONTH(설정_코스수당!$K$2)+1,0)),DATE(YEAR(설정_코스수당!$K$2),MONTH(설정_코스수당!$K$2),29),"")</f>
        <v>46202</v>
      </c>
      <c r="C2972" s="25"/>
      <c r="D2972" s="23"/>
      <c r="E2972" s="23"/>
      <c r="F2972" s="26"/>
      <c r="G2972" s="23"/>
      <c r="H2972" s="23"/>
      <c r="I2972" s="23"/>
      <c r="J2972" s="27">
        <f>IF($O2972="방문완료",MAX(0,IFERROR(VLOOKUP($E2972,설정_코스수당!$A$6:$H$10,4,FALSE),0)-IF(OR($P2972="",$P2972="없음"),0,100000)),0)</f>
        <v>0</v>
      </c>
      <c r="K2972" s="27">
        <f t="array" ref="K2972">IF($O2972="방문완료",IFERROR(INDEX(설정_코스수당!$B$15:$F$64,MATCH($G2972,설정_코스수당!$A$15:$A$64,0),MATCH($E2972&amp;"수당",설정_코스수당!$B$14:$F$14,0)),0),0)</f>
        <v>0</v>
      </c>
      <c r="L2972" s="27">
        <f t="array" ref="L2972">IF($O2972="방문완료",IF($H2972="",0,IFERROR(INDEX(설정_코스수당!$B$15:$F$64,MATCH($H2972,설정_코스수당!$A$15:$A$64,0),MATCH($E2972&amp;"수당",설정_코스수당!$B$14:$F$14,0)),0)),0)</f>
        <v>0</v>
      </c>
      <c r="M2972" s="27">
        <f>IF($O2972="방문완료",IFERROR(VLOOKUP($E2972,설정_코스수당!$A$6:$H$10,6,FALSE),0),0)</f>
        <v>0</v>
      </c>
      <c r="N2972" s="28">
        <f t="shared" si="86"/>
        <v>0</v>
      </c>
      <c r="O2972" s="23"/>
      <c r="P2972" s="23"/>
      <c r="Q2972" s="23"/>
      <c r="R2972" s="26"/>
      <c r="S2972" s="23"/>
    </row>
    <row r="2973" spans="1:19" ht="19.5" hidden="1" customHeight="1" outlineLevel="1">
      <c r="A2973" s="29">
        <v>76</v>
      </c>
      <c r="B2973" s="30">
        <f>IF(29&lt;=DAY(DATE(YEAR(설정_코스수당!$K$2),MONTH(설정_코스수당!$K$2)+1,0)),DATE(YEAR(설정_코스수당!$K$2),MONTH(설정_코스수당!$K$2),29),"")</f>
        <v>46202</v>
      </c>
      <c r="C2973" s="31"/>
      <c r="D2973" s="29"/>
      <c r="E2973" s="29"/>
      <c r="F2973" s="32"/>
      <c r="G2973" s="29"/>
      <c r="H2973" s="29"/>
      <c r="I2973" s="29"/>
      <c r="J2973" s="33">
        <f>IF($O2973="방문완료",MAX(0,IFERROR(VLOOKUP($E2973,설정_코스수당!$A$6:$H$10,4,FALSE),0)-IF(OR($P2973="",$P2973="없음"),0,100000)),0)</f>
        <v>0</v>
      </c>
      <c r="K2973" s="33">
        <f t="array" ref="K2973">IF($O2973="방문완료",IFERROR(INDEX(설정_코스수당!$B$15:$F$64,MATCH($G2973,설정_코스수당!$A$15:$A$64,0),MATCH($E2973&amp;"수당",설정_코스수당!$B$14:$F$14,0)),0),0)</f>
        <v>0</v>
      </c>
      <c r="L2973" s="33">
        <f t="array" ref="L2973">IF($O2973="방문완료",IF($H2973="",0,IFERROR(INDEX(설정_코스수당!$B$15:$F$64,MATCH($H2973,설정_코스수당!$A$15:$A$64,0),MATCH($E2973&amp;"수당",설정_코스수당!$B$14:$F$14,0)),0)),0)</f>
        <v>0</v>
      </c>
      <c r="M2973" s="33">
        <f>IF($O2973="방문완료",IFERROR(VLOOKUP($E2973,설정_코스수당!$A$6:$H$10,6,FALSE),0),0)</f>
        <v>0</v>
      </c>
      <c r="N2973" s="34">
        <f t="shared" si="86"/>
        <v>0</v>
      </c>
      <c r="O2973" s="29"/>
      <c r="P2973" s="29"/>
      <c r="Q2973" s="29"/>
      <c r="R2973" s="32"/>
      <c r="S2973" s="29"/>
    </row>
    <row r="2974" spans="1:19" ht="19.5" hidden="1" customHeight="1" outlineLevel="1">
      <c r="A2974" s="23">
        <v>77</v>
      </c>
      <c r="B2974" s="24">
        <f>IF(29&lt;=DAY(DATE(YEAR(설정_코스수당!$K$2),MONTH(설정_코스수당!$K$2)+1,0)),DATE(YEAR(설정_코스수당!$K$2),MONTH(설정_코스수당!$K$2),29),"")</f>
        <v>46202</v>
      </c>
      <c r="C2974" s="25"/>
      <c r="D2974" s="23"/>
      <c r="E2974" s="23"/>
      <c r="F2974" s="26"/>
      <c r="G2974" s="23"/>
      <c r="H2974" s="23"/>
      <c r="I2974" s="23"/>
      <c r="J2974" s="27">
        <f>IF($O2974="방문완료",MAX(0,IFERROR(VLOOKUP($E2974,설정_코스수당!$A$6:$H$10,4,FALSE),0)-IF(OR($P2974="",$P2974="없음"),0,100000)),0)</f>
        <v>0</v>
      </c>
      <c r="K2974" s="27">
        <f t="array" ref="K2974">IF($O2974="방문완료",IFERROR(INDEX(설정_코스수당!$B$15:$F$64,MATCH($G2974,설정_코스수당!$A$15:$A$64,0),MATCH($E2974&amp;"수당",설정_코스수당!$B$14:$F$14,0)),0),0)</f>
        <v>0</v>
      </c>
      <c r="L2974" s="27">
        <f t="array" ref="L2974">IF($O2974="방문완료",IF($H2974="",0,IFERROR(INDEX(설정_코스수당!$B$15:$F$64,MATCH($H2974,설정_코스수당!$A$15:$A$64,0),MATCH($E2974&amp;"수당",설정_코스수당!$B$14:$F$14,0)),0)),0)</f>
        <v>0</v>
      </c>
      <c r="M2974" s="27">
        <f>IF($O2974="방문완료",IFERROR(VLOOKUP($E2974,설정_코스수당!$A$6:$H$10,6,FALSE),0),0)</f>
        <v>0</v>
      </c>
      <c r="N2974" s="28">
        <f t="shared" si="86"/>
        <v>0</v>
      </c>
      <c r="O2974" s="23"/>
      <c r="P2974" s="23"/>
      <c r="Q2974" s="23"/>
      <c r="R2974" s="26"/>
      <c r="S2974" s="23"/>
    </row>
    <row r="2975" spans="1:19" ht="19.5" hidden="1" customHeight="1" outlineLevel="1">
      <c r="A2975" s="29">
        <v>78</v>
      </c>
      <c r="B2975" s="30">
        <f>IF(29&lt;=DAY(DATE(YEAR(설정_코스수당!$K$2),MONTH(설정_코스수당!$K$2)+1,0)),DATE(YEAR(설정_코스수당!$K$2),MONTH(설정_코스수당!$K$2),29),"")</f>
        <v>46202</v>
      </c>
      <c r="C2975" s="31"/>
      <c r="D2975" s="29"/>
      <c r="E2975" s="29"/>
      <c r="F2975" s="32"/>
      <c r="G2975" s="29"/>
      <c r="H2975" s="29"/>
      <c r="I2975" s="29"/>
      <c r="J2975" s="33">
        <f>IF($O2975="방문완료",MAX(0,IFERROR(VLOOKUP($E2975,설정_코스수당!$A$6:$H$10,4,FALSE),0)-IF(OR($P2975="",$P2975="없음"),0,100000)),0)</f>
        <v>0</v>
      </c>
      <c r="K2975" s="33">
        <f t="array" ref="K2975">IF($O2975="방문완료",IFERROR(INDEX(설정_코스수당!$B$15:$F$64,MATCH($G2975,설정_코스수당!$A$15:$A$64,0),MATCH($E2975&amp;"수당",설정_코스수당!$B$14:$F$14,0)),0),0)</f>
        <v>0</v>
      </c>
      <c r="L2975" s="33">
        <f t="array" ref="L2975">IF($O2975="방문완료",IF($H2975="",0,IFERROR(INDEX(설정_코스수당!$B$15:$F$64,MATCH($H2975,설정_코스수당!$A$15:$A$64,0),MATCH($E2975&amp;"수당",설정_코스수당!$B$14:$F$14,0)),0)),0)</f>
        <v>0</v>
      </c>
      <c r="M2975" s="33">
        <f>IF($O2975="방문완료",IFERROR(VLOOKUP($E2975,설정_코스수당!$A$6:$H$10,6,FALSE),0),0)</f>
        <v>0</v>
      </c>
      <c r="N2975" s="34">
        <f t="shared" si="86"/>
        <v>0</v>
      </c>
      <c r="O2975" s="29"/>
      <c r="P2975" s="29"/>
      <c r="Q2975" s="29"/>
      <c r="R2975" s="32"/>
      <c r="S2975" s="29"/>
    </row>
    <row r="2976" spans="1:19" ht="19.5" hidden="1" customHeight="1" outlineLevel="1">
      <c r="A2976" s="23">
        <v>79</v>
      </c>
      <c r="B2976" s="24">
        <f>IF(29&lt;=DAY(DATE(YEAR(설정_코스수당!$K$2),MONTH(설정_코스수당!$K$2)+1,0)),DATE(YEAR(설정_코스수당!$K$2),MONTH(설정_코스수당!$K$2),29),"")</f>
        <v>46202</v>
      </c>
      <c r="C2976" s="25"/>
      <c r="D2976" s="23"/>
      <c r="E2976" s="23"/>
      <c r="F2976" s="26"/>
      <c r="G2976" s="23"/>
      <c r="H2976" s="23"/>
      <c r="I2976" s="23"/>
      <c r="J2976" s="27">
        <f>IF($O2976="방문완료",MAX(0,IFERROR(VLOOKUP($E2976,설정_코스수당!$A$6:$H$10,4,FALSE),0)-IF(OR($P2976="",$P2976="없음"),0,100000)),0)</f>
        <v>0</v>
      </c>
      <c r="K2976" s="27">
        <f t="array" ref="K2976">IF($O2976="방문완료",IFERROR(INDEX(설정_코스수당!$B$15:$F$64,MATCH($G2976,설정_코스수당!$A$15:$A$64,0),MATCH($E2976&amp;"수당",설정_코스수당!$B$14:$F$14,0)),0),0)</f>
        <v>0</v>
      </c>
      <c r="L2976" s="27">
        <f t="array" ref="L2976">IF($O2976="방문완료",IF($H2976="",0,IFERROR(INDEX(설정_코스수당!$B$15:$F$64,MATCH($H2976,설정_코스수당!$A$15:$A$64,0),MATCH($E2976&amp;"수당",설정_코스수당!$B$14:$F$14,0)),0)),0)</f>
        <v>0</v>
      </c>
      <c r="M2976" s="27">
        <f>IF($O2976="방문완료",IFERROR(VLOOKUP($E2976,설정_코스수당!$A$6:$H$10,6,FALSE),0),0)</f>
        <v>0</v>
      </c>
      <c r="N2976" s="28">
        <f t="shared" si="86"/>
        <v>0</v>
      </c>
      <c r="O2976" s="23"/>
      <c r="P2976" s="23"/>
      <c r="Q2976" s="23"/>
      <c r="R2976" s="26"/>
      <c r="S2976" s="23"/>
    </row>
    <row r="2977" spans="1:19" ht="19.5" hidden="1" customHeight="1" outlineLevel="1">
      <c r="A2977" s="29">
        <v>80</v>
      </c>
      <c r="B2977" s="30">
        <f>IF(29&lt;=DAY(DATE(YEAR(설정_코스수당!$K$2),MONTH(설정_코스수당!$K$2)+1,0)),DATE(YEAR(설정_코스수당!$K$2),MONTH(설정_코스수당!$K$2),29),"")</f>
        <v>46202</v>
      </c>
      <c r="C2977" s="31"/>
      <c r="D2977" s="29"/>
      <c r="E2977" s="29"/>
      <c r="F2977" s="32"/>
      <c r="G2977" s="29"/>
      <c r="H2977" s="29"/>
      <c r="I2977" s="29"/>
      <c r="J2977" s="33">
        <f>IF($O2977="방문완료",MAX(0,IFERROR(VLOOKUP($E2977,설정_코스수당!$A$6:$H$10,4,FALSE),0)-IF(OR($P2977="",$P2977="없음"),0,100000)),0)</f>
        <v>0</v>
      </c>
      <c r="K2977" s="33">
        <f t="array" ref="K2977">IF($O2977="방문완료",IFERROR(INDEX(설정_코스수당!$B$15:$F$64,MATCH($G2977,설정_코스수당!$A$15:$A$64,0),MATCH($E2977&amp;"수당",설정_코스수당!$B$14:$F$14,0)),0),0)</f>
        <v>0</v>
      </c>
      <c r="L2977" s="33">
        <f t="array" ref="L2977">IF($O2977="방문완료",IF($H2977="",0,IFERROR(INDEX(설정_코스수당!$B$15:$F$64,MATCH($H2977,설정_코스수당!$A$15:$A$64,0),MATCH($E2977&amp;"수당",설정_코스수당!$B$14:$F$14,0)),0)),0)</f>
        <v>0</v>
      </c>
      <c r="M2977" s="33">
        <f>IF($O2977="방문완료",IFERROR(VLOOKUP($E2977,설정_코스수당!$A$6:$H$10,6,FALSE),0),0)</f>
        <v>0</v>
      </c>
      <c r="N2977" s="34">
        <f t="shared" si="86"/>
        <v>0</v>
      </c>
      <c r="O2977" s="29"/>
      <c r="P2977" s="29"/>
      <c r="Q2977" s="29"/>
      <c r="R2977" s="32"/>
      <c r="S2977" s="29"/>
    </row>
    <row r="2978" spans="1:19" ht="19.5" hidden="1" customHeight="1" outlineLevel="1">
      <c r="A2978" s="23">
        <v>81</v>
      </c>
      <c r="B2978" s="24">
        <f>IF(29&lt;=DAY(DATE(YEAR(설정_코스수당!$K$2),MONTH(설정_코스수당!$K$2)+1,0)),DATE(YEAR(설정_코스수당!$K$2),MONTH(설정_코스수당!$K$2),29),"")</f>
        <v>46202</v>
      </c>
      <c r="C2978" s="25"/>
      <c r="D2978" s="23"/>
      <c r="E2978" s="23"/>
      <c r="F2978" s="26"/>
      <c r="G2978" s="23"/>
      <c r="H2978" s="23"/>
      <c r="I2978" s="23"/>
      <c r="J2978" s="27">
        <f>IF($O2978="방문완료",MAX(0,IFERROR(VLOOKUP($E2978,설정_코스수당!$A$6:$H$10,4,FALSE),0)-IF(OR($P2978="",$P2978="없음"),0,100000)),0)</f>
        <v>0</v>
      </c>
      <c r="K2978" s="27">
        <f t="array" ref="K2978">IF($O2978="방문완료",IFERROR(INDEX(설정_코스수당!$B$15:$F$64,MATCH($G2978,설정_코스수당!$A$15:$A$64,0),MATCH($E2978&amp;"수당",설정_코스수당!$B$14:$F$14,0)),0),0)</f>
        <v>0</v>
      </c>
      <c r="L2978" s="27">
        <f t="array" ref="L2978">IF($O2978="방문완료",IF($H2978="",0,IFERROR(INDEX(설정_코스수당!$B$15:$F$64,MATCH($H2978,설정_코스수당!$A$15:$A$64,0),MATCH($E2978&amp;"수당",설정_코스수당!$B$14:$F$14,0)),0)),0)</f>
        <v>0</v>
      </c>
      <c r="M2978" s="27">
        <f>IF($O2978="방문완료",IFERROR(VLOOKUP($E2978,설정_코스수당!$A$6:$H$10,6,FALSE),0),0)</f>
        <v>0</v>
      </c>
      <c r="N2978" s="28">
        <f t="shared" si="86"/>
        <v>0</v>
      </c>
      <c r="O2978" s="23"/>
      <c r="P2978" s="23"/>
      <c r="Q2978" s="23"/>
      <c r="R2978" s="26"/>
      <c r="S2978" s="23"/>
    </row>
    <row r="2979" spans="1:19" ht="19.5" hidden="1" customHeight="1" outlineLevel="1">
      <c r="A2979" s="29">
        <v>82</v>
      </c>
      <c r="B2979" s="30">
        <f>IF(29&lt;=DAY(DATE(YEAR(설정_코스수당!$K$2),MONTH(설정_코스수당!$K$2)+1,0)),DATE(YEAR(설정_코스수당!$K$2),MONTH(설정_코스수당!$K$2),29),"")</f>
        <v>46202</v>
      </c>
      <c r="C2979" s="31"/>
      <c r="D2979" s="29"/>
      <c r="E2979" s="29"/>
      <c r="F2979" s="32"/>
      <c r="G2979" s="29"/>
      <c r="H2979" s="29"/>
      <c r="I2979" s="29"/>
      <c r="J2979" s="33">
        <f>IF($O2979="방문완료",MAX(0,IFERROR(VLOOKUP($E2979,설정_코스수당!$A$6:$H$10,4,FALSE),0)-IF(OR($P2979="",$P2979="없음"),0,100000)),0)</f>
        <v>0</v>
      </c>
      <c r="K2979" s="33">
        <f t="array" ref="K2979">IF($O2979="방문완료",IFERROR(INDEX(설정_코스수당!$B$15:$F$64,MATCH($G2979,설정_코스수당!$A$15:$A$64,0),MATCH($E2979&amp;"수당",설정_코스수당!$B$14:$F$14,0)),0),0)</f>
        <v>0</v>
      </c>
      <c r="L2979" s="33">
        <f t="array" ref="L2979">IF($O2979="방문완료",IF($H2979="",0,IFERROR(INDEX(설정_코스수당!$B$15:$F$64,MATCH($H2979,설정_코스수당!$A$15:$A$64,0),MATCH($E2979&amp;"수당",설정_코스수당!$B$14:$F$14,0)),0)),0)</f>
        <v>0</v>
      </c>
      <c r="M2979" s="33">
        <f>IF($O2979="방문완료",IFERROR(VLOOKUP($E2979,설정_코스수당!$A$6:$H$10,6,FALSE),0),0)</f>
        <v>0</v>
      </c>
      <c r="N2979" s="34">
        <f t="shared" si="86"/>
        <v>0</v>
      </c>
      <c r="O2979" s="29"/>
      <c r="P2979" s="29"/>
      <c r="Q2979" s="29"/>
      <c r="R2979" s="32"/>
      <c r="S2979" s="29"/>
    </row>
    <row r="2980" spans="1:19" ht="19.5" hidden="1" customHeight="1" outlineLevel="1">
      <c r="A2980" s="23">
        <v>83</v>
      </c>
      <c r="B2980" s="24">
        <f>IF(29&lt;=DAY(DATE(YEAR(설정_코스수당!$K$2),MONTH(설정_코스수당!$K$2)+1,0)),DATE(YEAR(설정_코스수당!$K$2),MONTH(설정_코스수당!$K$2),29),"")</f>
        <v>46202</v>
      </c>
      <c r="C2980" s="25"/>
      <c r="D2980" s="23"/>
      <c r="E2980" s="23"/>
      <c r="F2980" s="26"/>
      <c r="G2980" s="23"/>
      <c r="H2980" s="23"/>
      <c r="I2980" s="23"/>
      <c r="J2980" s="27">
        <f>IF($O2980="방문완료",MAX(0,IFERROR(VLOOKUP($E2980,설정_코스수당!$A$6:$H$10,4,FALSE),0)-IF(OR($P2980="",$P2980="없음"),0,100000)),0)</f>
        <v>0</v>
      </c>
      <c r="K2980" s="27">
        <f t="array" ref="K2980">IF($O2980="방문완료",IFERROR(INDEX(설정_코스수당!$B$15:$F$64,MATCH($G2980,설정_코스수당!$A$15:$A$64,0),MATCH($E2980&amp;"수당",설정_코스수당!$B$14:$F$14,0)),0),0)</f>
        <v>0</v>
      </c>
      <c r="L2980" s="27">
        <f t="array" ref="L2980">IF($O2980="방문완료",IF($H2980="",0,IFERROR(INDEX(설정_코스수당!$B$15:$F$64,MATCH($H2980,설정_코스수당!$A$15:$A$64,0),MATCH($E2980&amp;"수당",설정_코스수당!$B$14:$F$14,0)),0)),0)</f>
        <v>0</v>
      </c>
      <c r="M2980" s="27">
        <f>IF($O2980="방문완료",IFERROR(VLOOKUP($E2980,설정_코스수당!$A$6:$H$10,6,FALSE),0),0)</f>
        <v>0</v>
      </c>
      <c r="N2980" s="28">
        <f t="shared" si="86"/>
        <v>0</v>
      </c>
      <c r="O2980" s="23"/>
      <c r="P2980" s="23"/>
      <c r="Q2980" s="23"/>
      <c r="R2980" s="26"/>
      <c r="S2980" s="23"/>
    </row>
    <row r="2981" spans="1:19" ht="19.5" hidden="1" customHeight="1" outlineLevel="1">
      <c r="A2981" s="29">
        <v>84</v>
      </c>
      <c r="B2981" s="30">
        <f>IF(29&lt;=DAY(DATE(YEAR(설정_코스수당!$K$2),MONTH(설정_코스수당!$K$2)+1,0)),DATE(YEAR(설정_코스수당!$K$2),MONTH(설정_코스수당!$K$2),29),"")</f>
        <v>46202</v>
      </c>
      <c r="C2981" s="31"/>
      <c r="D2981" s="29"/>
      <c r="E2981" s="29"/>
      <c r="F2981" s="32"/>
      <c r="G2981" s="29"/>
      <c r="H2981" s="29"/>
      <c r="I2981" s="29"/>
      <c r="J2981" s="33">
        <f>IF($O2981="방문완료",MAX(0,IFERROR(VLOOKUP($E2981,설정_코스수당!$A$6:$H$10,4,FALSE),0)-IF(OR($P2981="",$P2981="없음"),0,100000)),0)</f>
        <v>0</v>
      </c>
      <c r="K2981" s="33">
        <f t="array" ref="K2981">IF($O2981="방문완료",IFERROR(INDEX(설정_코스수당!$B$15:$F$64,MATCH($G2981,설정_코스수당!$A$15:$A$64,0),MATCH($E2981&amp;"수당",설정_코스수당!$B$14:$F$14,0)),0),0)</f>
        <v>0</v>
      </c>
      <c r="L2981" s="33">
        <f t="array" ref="L2981">IF($O2981="방문완료",IF($H2981="",0,IFERROR(INDEX(설정_코스수당!$B$15:$F$64,MATCH($H2981,설정_코스수당!$A$15:$A$64,0),MATCH($E2981&amp;"수당",설정_코스수당!$B$14:$F$14,0)),0)),0)</f>
        <v>0</v>
      </c>
      <c r="M2981" s="33">
        <f>IF($O2981="방문완료",IFERROR(VLOOKUP($E2981,설정_코스수당!$A$6:$H$10,6,FALSE),0),0)</f>
        <v>0</v>
      </c>
      <c r="N2981" s="34">
        <f t="shared" si="86"/>
        <v>0</v>
      </c>
      <c r="O2981" s="29"/>
      <c r="P2981" s="29"/>
      <c r="Q2981" s="29"/>
      <c r="R2981" s="32"/>
      <c r="S2981" s="29"/>
    </row>
    <row r="2982" spans="1:19" ht="19.5" hidden="1" customHeight="1" outlineLevel="1">
      <c r="A2982" s="23">
        <v>85</v>
      </c>
      <c r="B2982" s="24">
        <f>IF(29&lt;=DAY(DATE(YEAR(설정_코스수당!$K$2),MONTH(설정_코스수당!$K$2)+1,0)),DATE(YEAR(설정_코스수당!$K$2),MONTH(설정_코스수당!$K$2),29),"")</f>
        <v>46202</v>
      </c>
      <c r="C2982" s="25"/>
      <c r="D2982" s="23"/>
      <c r="E2982" s="23"/>
      <c r="F2982" s="26"/>
      <c r="G2982" s="23"/>
      <c r="H2982" s="23"/>
      <c r="I2982" s="23"/>
      <c r="J2982" s="27">
        <f>IF($O2982="방문완료",MAX(0,IFERROR(VLOOKUP($E2982,설정_코스수당!$A$6:$H$10,4,FALSE),0)-IF(OR($P2982="",$P2982="없음"),0,100000)),0)</f>
        <v>0</v>
      </c>
      <c r="K2982" s="27">
        <f t="array" ref="K2982">IF($O2982="방문완료",IFERROR(INDEX(설정_코스수당!$B$15:$F$64,MATCH($G2982,설정_코스수당!$A$15:$A$64,0),MATCH($E2982&amp;"수당",설정_코스수당!$B$14:$F$14,0)),0),0)</f>
        <v>0</v>
      </c>
      <c r="L2982" s="27">
        <f t="array" ref="L2982">IF($O2982="방문완료",IF($H2982="",0,IFERROR(INDEX(설정_코스수당!$B$15:$F$64,MATCH($H2982,설정_코스수당!$A$15:$A$64,0),MATCH($E2982&amp;"수당",설정_코스수당!$B$14:$F$14,0)),0)),0)</f>
        <v>0</v>
      </c>
      <c r="M2982" s="27">
        <f>IF($O2982="방문완료",IFERROR(VLOOKUP($E2982,설정_코스수당!$A$6:$H$10,6,FALSE),0),0)</f>
        <v>0</v>
      </c>
      <c r="N2982" s="28">
        <f t="shared" si="86"/>
        <v>0</v>
      </c>
      <c r="O2982" s="23"/>
      <c r="P2982" s="23"/>
      <c r="Q2982" s="23"/>
      <c r="R2982" s="26"/>
      <c r="S2982" s="23"/>
    </row>
    <row r="2983" spans="1:19" ht="19.5" hidden="1" customHeight="1" outlineLevel="1">
      <c r="A2983" s="29">
        <v>86</v>
      </c>
      <c r="B2983" s="30">
        <f>IF(29&lt;=DAY(DATE(YEAR(설정_코스수당!$K$2),MONTH(설정_코스수당!$K$2)+1,0)),DATE(YEAR(설정_코스수당!$K$2),MONTH(설정_코스수당!$K$2),29),"")</f>
        <v>46202</v>
      </c>
      <c r="C2983" s="31"/>
      <c r="D2983" s="29"/>
      <c r="E2983" s="29"/>
      <c r="F2983" s="32"/>
      <c r="G2983" s="29"/>
      <c r="H2983" s="29"/>
      <c r="I2983" s="29"/>
      <c r="J2983" s="33">
        <f>IF($O2983="방문완료",MAX(0,IFERROR(VLOOKUP($E2983,설정_코스수당!$A$6:$H$10,4,FALSE),0)-IF(OR($P2983="",$P2983="없음"),0,100000)),0)</f>
        <v>0</v>
      </c>
      <c r="K2983" s="33">
        <f t="array" ref="K2983">IF($O2983="방문완료",IFERROR(INDEX(설정_코스수당!$B$15:$F$64,MATCH($G2983,설정_코스수당!$A$15:$A$64,0),MATCH($E2983&amp;"수당",설정_코스수당!$B$14:$F$14,0)),0),0)</f>
        <v>0</v>
      </c>
      <c r="L2983" s="33">
        <f t="array" ref="L2983">IF($O2983="방문완료",IF($H2983="",0,IFERROR(INDEX(설정_코스수당!$B$15:$F$64,MATCH($H2983,설정_코스수당!$A$15:$A$64,0),MATCH($E2983&amp;"수당",설정_코스수당!$B$14:$F$14,0)),0)),0)</f>
        <v>0</v>
      </c>
      <c r="M2983" s="33">
        <f>IF($O2983="방문완료",IFERROR(VLOOKUP($E2983,설정_코스수당!$A$6:$H$10,6,FALSE),0),0)</f>
        <v>0</v>
      </c>
      <c r="N2983" s="34">
        <f t="shared" si="86"/>
        <v>0</v>
      </c>
      <c r="O2983" s="29"/>
      <c r="P2983" s="29"/>
      <c r="Q2983" s="29"/>
      <c r="R2983" s="32"/>
      <c r="S2983" s="29"/>
    </row>
    <row r="2984" spans="1:19" ht="19.5" hidden="1" customHeight="1" outlineLevel="1">
      <c r="A2984" s="23">
        <v>87</v>
      </c>
      <c r="B2984" s="24">
        <f>IF(29&lt;=DAY(DATE(YEAR(설정_코스수당!$K$2),MONTH(설정_코스수당!$K$2)+1,0)),DATE(YEAR(설정_코스수당!$K$2),MONTH(설정_코스수당!$K$2),29),"")</f>
        <v>46202</v>
      </c>
      <c r="C2984" s="25"/>
      <c r="D2984" s="23"/>
      <c r="E2984" s="23"/>
      <c r="F2984" s="26"/>
      <c r="G2984" s="23"/>
      <c r="H2984" s="23"/>
      <c r="I2984" s="23"/>
      <c r="J2984" s="27">
        <f>IF($O2984="방문완료",MAX(0,IFERROR(VLOOKUP($E2984,설정_코스수당!$A$6:$H$10,4,FALSE),0)-IF(OR($P2984="",$P2984="없음"),0,100000)),0)</f>
        <v>0</v>
      </c>
      <c r="K2984" s="27">
        <f t="array" ref="K2984">IF($O2984="방문완료",IFERROR(INDEX(설정_코스수당!$B$15:$F$64,MATCH($G2984,설정_코스수당!$A$15:$A$64,0),MATCH($E2984&amp;"수당",설정_코스수당!$B$14:$F$14,0)),0),0)</f>
        <v>0</v>
      </c>
      <c r="L2984" s="27">
        <f t="array" ref="L2984">IF($O2984="방문완료",IF($H2984="",0,IFERROR(INDEX(설정_코스수당!$B$15:$F$64,MATCH($H2984,설정_코스수당!$A$15:$A$64,0),MATCH($E2984&amp;"수당",설정_코스수당!$B$14:$F$14,0)),0)),0)</f>
        <v>0</v>
      </c>
      <c r="M2984" s="27">
        <f>IF($O2984="방문완료",IFERROR(VLOOKUP($E2984,설정_코스수당!$A$6:$H$10,6,FALSE),0),0)</f>
        <v>0</v>
      </c>
      <c r="N2984" s="28">
        <f t="shared" si="86"/>
        <v>0</v>
      </c>
      <c r="O2984" s="23"/>
      <c r="P2984" s="23"/>
      <c r="Q2984" s="23"/>
      <c r="R2984" s="26"/>
      <c r="S2984" s="23"/>
    </row>
    <row r="2985" spans="1:19" ht="19.5" hidden="1" customHeight="1" outlineLevel="1">
      <c r="A2985" s="29">
        <v>88</v>
      </c>
      <c r="B2985" s="30">
        <f>IF(29&lt;=DAY(DATE(YEAR(설정_코스수당!$K$2),MONTH(설정_코스수당!$K$2)+1,0)),DATE(YEAR(설정_코스수당!$K$2),MONTH(설정_코스수당!$K$2),29),"")</f>
        <v>46202</v>
      </c>
      <c r="C2985" s="31"/>
      <c r="D2985" s="29"/>
      <c r="E2985" s="29"/>
      <c r="F2985" s="32"/>
      <c r="G2985" s="29"/>
      <c r="H2985" s="29"/>
      <c r="I2985" s="29"/>
      <c r="J2985" s="33">
        <f>IF($O2985="방문완료",MAX(0,IFERROR(VLOOKUP($E2985,설정_코스수당!$A$6:$H$10,4,FALSE),0)-IF(OR($P2985="",$P2985="없음"),0,100000)),0)</f>
        <v>0</v>
      </c>
      <c r="K2985" s="33">
        <f t="array" ref="K2985">IF($O2985="방문완료",IFERROR(INDEX(설정_코스수당!$B$15:$F$64,MATCH($G2985,설정_코스수당!$A$15:$A$64,0),MATCH($E2985&amp;"수당",설정_코스수당!$B$14:$F$14,0)),0),0)</f>
        <v>0</v>
      </c>
      <c r="L2985" s="33">
        <f t="array" ref="L2985">IF($O2985="방문완료",IF($H2985="",0,IFERROR(INDEX(설정_코스수당!$B$15:$F$64,MATCH($H2985,설정_코스수당!$A$15:$A$64,0),MATCH($E2985&amp;"수당",설정_코스수당!$B$14:$F$14,0)),0)),0)</f>
        <v>0</v>
      </c>
      <c r="M2985" s="33">
        <f>IF($O2985="방문완료",IFERROR(VLOOKUP($E2985,설정_코스수당!$A$6:$H$10,6,FALSE),0),0)</f>
        <v>0</v>
      </c>
      <c r="N2985" s="34">
        <f t="shared" si="86"/>
        <v>0</v>
      </c>
      <c r="O2985" s="29"/>
      <c r="P2985" s="29"/>
      <c r="Q2985" s="29"/>
      <c r="R2985" s="32"/>
      <c r="S2985" s="29"/>
    </row>
    <row r="2986" spans="1:19" ht="19.5" hidden="1" customHeight="1" outlineLevel="1">
      <c r="A2986" s="23">
        <v>89</v>
      </c>
      <c r="B2986" s="24">
        <f>IF(29&lt;=DAY(DATE(YEAR(설정_코스수당!$K$2),MONTH(설정_코스수당!$K$2)+1,0)),DATE(YEAR(설정_코스수당!$K$2),MONTH(설정_코스수당!$K$2),29),"")</f>
        <v>46202</v>
      </c>
      <c r="C2986" s="25"/>
      <c r="D2986" s="23"/>
      <c r="E2986" s="23"/>
      <c r="F2986" s="26"/>
      <c r="G2986" s="23"/>
      <c r="H2986" s="23"/>
      <c r="I2986" s="23"/>
      <c r="J2986" s="27">
        <f>IF($O2986="방문완료",MAX(0,IFERROR(VLOOKUP($E2986,설정_코스수당!$A$6:$H$10,4,FALSE),0)-IF(OR($P2986="",$P2986="없음"),0,100000)),0)</f>
        <v>0</v>
      </c>
      <c r="K2986" s="27">
        <f t="array" ref="K2986">IF($O2986="방문완료",IFERROR(INDEX(설정_코스수당!$B$15:$F$64,MATCH($G2986,설정_코스수당!$A$15:$A$64,0),MATCH($E2986&amp;"수당",설정_코스수당!$B$14:$F$14,0)),0),0)</f>
        <v>0</v>
      </c>
      <c r="L2986" s="27">
        <f t="array" ref="L2986">IF($O2986="방문완료",IF($H2986="",0,IFERROR(INDEX(설정_코스수당!$B$15:$F$64,MATCH($H2986,설정_코스수당!$A$15:$A$64,0),MATCH($E2986&amp;"수당",설정_코스수당!$B$14:$F$14,0)),0)),0)</f>
        <v>0</v>
      </c>
      <c r="M2986" s="27">
        <f>IF($O2986="방문완료",IFERROR(VLOOKUP($E2986,설정_코스수당!$A$6:$H$10,6,FALSE),0),0)</f>
        <v>0</v>
      </c>
      <c r="N2986" s="28">
        <f t="shared" si="86"/>
        <v>0</v>
      </c>
      <c r="O2986" s="23"/>
      <c r="P2986" s="23"/>
      <c r="Q2986" s="23"/>
      <c r="R2986" s="26"/>
      <c r="S2986" s="23"/>
    </row>
    <row r="2987" spans="1:19" ht="19.5" hidden="1" customHeight="1" outlineLevel="1">
      <c r="A2987" s="29">
        <v>90</v>
      </c>
      <c r="B2987" s="30">
        <f>IF(29&lt;=DAY(DATE(YEAR(설정_코스수당!$K$2),MONTH(설정_코스수당!$K$2)+1,0)),DATE(YEAR(설정_코스수당!$K$2),MONTH(설정_코스수당!$K$2),29),"")</f>
        <v>46202</v>
      </c>
      <c r="C2987" s="31"/>
      <c r="D2987" s="29"/>
      <c r="E2987" s="29"/>
      <c r="F2987" s="32"/>
      <c r="G2987" s="29"/>
      <c r="H2987" s="29"/>
      <c r="I2987" s="29"/>
      <c r="J2987" s="33">
        <f>IF($O2987="방문완료",MAX(0,IFERROR(VLOOKUP($E2987,설정_코스수당!$A$6:$H$10,4,FALSE),0)-IF(OR($P2987="",$P2987="없음"),0,100000)),0)</f>
        <v>0</v>
      </c>
      <c r="K2987" s="33">
        <f t="array" ref="K2987">IF($O2987="방문완료",IFERROR(INDEX(설정_코스수당!$B$15:$F$64,MATCH($G2987,설정_코스수당!$A$15:$A$64,0),MATCH($E2987&amp;"수당",설정_코스수당!$B$14:$F$14,0)),0),0)</f>
        <v>0</v>
      </c>
      <c r="L2987" s="33">
        <f t="array" ref="L2987">IF($O2987="방문완료",IF($H2987="",0,IFERROR(INDEX(설정_코스수당!$B$15:$F$64,MATCH($H2987,설정_코스수당!$A$15:$A$64,0),MATCH($E2987&amp;"수당",설정_코스수당!$B$14:$F$14,0)),0)),0)</f>
        <v>0</v>
      </c>
      <c r="M2987" s="33">
        <f>IF($O2987="방문완료",IFERROR(VLOOKUP($E2987,설정_코스수당!$A$6:$H$10,6,FALSE),0),0)</f>
        <v>0</v>
      </c>
      <c r="N2987" s="34">
        <f t="shared" si="86"/>
        <v>0</v>
      </c>
      <c r="O2987" s="29"/>
      <c r="P2987" s="29"/>
      <c r="Q2987" s="29"/>
      <c r="R2987" s="32"/>
      <c r="S2987" s="29"/>
    </row>
    <row r="2988" spans="1:19" ht="19.5" hidden="1" customHeight="1" outlineLevel="1">
      <c r="A2988" s="23">
        <v>91</v>
      </c>
      <c r="B2988" s="24">
        <f>IF(29&lt;=DAY(DATE(YEAR(설정_코스수당!$K$2),MONTH(설정_코스수당!$K$2)+1,0)),DATE(YEAR(설정_코스수당!$K$2),MONTH(설정_코스수당!$K$2),29),"")</f>
        <v>46202</v>
      </c>
      <c r="C2988" s="25"/>
      <c r="D2988" s="23"/>
      <c r="E2988" s="23"/>
      <c r="F2988" s="26"/>
      <c r="G2988" s="23"/>
      <c r="H2988" s="23"/>
      <c r="I2988" s="23"/>
      <c r="J2988" s="27">
        <f>IF($O2988="방문완료",MAX(0,IFERROR(VLOOKUP($E2988,설정_코스수당!$A$6:$H$10,4,FALSE),0)-IF(OR($P2988="",$P2988="없음"),0,100000)),0)</f>
        <v>0</v>
      </c>
      <c r="K2988" s="27">
        <f t="array" ref="K2988">IF($O2988="방문완료",IFERROR(INDEX(설정_코스수당!$B$15:$F$64,MATCH($G2988,설정_코스수당!$A$15:$A$64,0),MATCH($E2988&amp;"수당",설정_코스수당!$B$14:$F$14,0)),0),0)</f>
        <v>0</v>
      </c>
      <c r="L2988" s="27">
        <f t="array" ref="L2988">IF($O2988="방문완료",IF($H2988="",0,IFERROR(INDEX(설정_코스수당!$B$15:$F$64,MATCH($H2988,설정_코스수당!$A$15:$A$64,0),MATCH($E2988&amp;"수당",설정_코스수당!$B$14:$F$14,0)),0)),0)</f>
        <v>0</v>
      </c>
      <c r="M2988" s="27">
        <f>IF($O2988="방문완료",IFERROR(VLOOKUP($E2988,설정_코스수당!$A$6:$H$10,6,FALSE),0),0)</f>
        <v>0</v>
      </c>
      <c r="N2988" s="28">
        <f t="shared" si="86"/>
        <v>0</v>
      </c>
      <c r="O2988" s="23"/>
      <c r="P2988" s="23"/>
      <c r="Q2988" s="23"/>
      <c r="R2988" s="26"/>
      <c r="S2988" s="23"/>
    </row>
    <row r="2989" spans="1:19" ht="19.5" hidden="1" customHeight="1" outlineLevel="1">
      <c r="A2989" s="29">
        <v>92</v>
      </c>
      <c r="B2989" s="30">
        <f>IF(29&lt;=DAY(DATE(YEAR(설정_코스수당!$K$2),MONTH(설정_코스수당!$K$2)+1,0)),DATE(YEAR(설정_코스수당!$K$2),MONTH(설정_코스수당!$K$2),29),"")</f>
        <v>46202</v>
      </c>
      <c r="C2989" s="31"/>
      <c r="D2989" s="29"/>
      <c r="E2989" s="29"/>
      <c r="F2989" s="32"/>
      <c r="G2989" s="29"/>
      <c r="H2989" s="29"/>
      <c r="I2989" s="29"/>
      <c r="J2989" s="33">
        <f>IF($O2989="방문완료",MAX(0,IFERROR(VLOOKUP($E2989,설정_코스수당!$A$6:$H$10,4,FALSE),0)-IF(OR($P2989="",$P2989="없음"),0,100000)),0)</f>
        <v>0</v>
      </c>
      <c r="K2989" s="33">
        <f t="array" ref="K2989">IF($O2989="방문완료",IFERROR(INDEX(설정_코스수당!$B$15:$F$64,MATCH($G2989,설정_코스수당!$A$15:$A$64,0),MATCH($E2989&amp;"수당",설정_코스수당!$B$14:$F$14,0)),0),0)</f>
        <v>0</v>
      </c>
      <c r="L2989" s="33">
        <f t="array" ref="L2989">IF($O2989="방문완료",IF($H2989="",0,IFERROR(INDEX(설정_코스수당!$B$15:$F$64,MATCH($H2989,설정_코스수당!$A$15:$A$64,0),MATCH($E2989&amp;"수당",설정_코스수당!$B$14:$F$14,0)),0)),0)</f>
        <v>0</v>
      </c>
      <c r="M2989" s="33">
        <f>IF($O2989="방문완료",IFERROR(VLOOKUP($E2989,설정_코스수당!$A$6:$H$10,6,FALSE),0),0)</f>
        <v>0</v>
      </c>
      <c r="N2989" s="34">
        <f t="shared" si="86"/>
        <v>0</v>
      </c>
      <c r="O2989" s="29"/>
      <c r="P2989" s="29"/>
      <c r="Q2989" s="29"/>
      <c r="R2989" s="32"/>
      <c r="S2989" s="29"/>
    </row>
    <row r="2990" spans="1:19" ht="19.5" hidden="1" customHeight="1" outlineLevel="1">
      <c r="A2990" s="23">
        <v>93</v>
      </c>
      <c r="B2990" s="24">
        <f>IF(29&lt;=DAY(DATE(YEAR(설정_코스수당!$K$2),MONTH(설정_코스수당!$K$2)+1,0)),DATE(YEAR(설정_코스수당!$K$2),MONTH(설정_코스수당!$K$2),29),"")</f>
        <v>46202</v>
      </c>
      <c r="C2990" s="25"/>
      <c r="D2990" s="23"/>
      <c r="E2990" s="23"/>
      <c r="F2990" s="26"/>
      <c r="G2990" s="23"/>
      <c r="H2990" s="23"/>
      <c r="I2990" s="23"/>
      <c r="J2990" s="27">
        <f>IF($O2990="방문완료",MAX(0,IFERROR(VLOOKUP($E2990,설정_코스수당!$A$6:$H$10,4,FALSE),0)-IF(OR($P2990="",$P2990="없음"),0,100000)),0)</f>
        <v>0</v>
      </c>
      <c r="K2990" s="27">
        <f t="array" ref="K2990">IF($O2990="방문완료",IFERROR(INDEX(설정_코스수당!$B$15:$F$64,MATCH($G2990,설정_코스수당!$A$15:$A$64,0),MATCH($E2990&amp;"수당",설정_코스수당!$B$14:$F$14,0)),0),0)</f>
        <v>0</v>
      </c>
      <c r="L2990" s="27">
        <f t="array" ref="L2990">IF($O2990="방문완료",IF($H2990="",0,IFERROR(INDEX(설정_코스수당!$B$15:$F$64,MATCH($H2990,설정_코스수당!$A$15:$A$64,0),MATCH($E2990&amp;"수당",설정_코스수당!$B$14:$F$14,0)),0)),0)</f>
        <v>0</v>
      </c>
      <c r="M2990" s="27">
        <f>IF($O2990="방문완료",IFERROR(VLOOKUP($E2990,설정_코스수당!$A$6:$H$10,6,FALSE),0),0)</f>
        <v>0</v>
      </c>
      <c r="N2990" s="28">
        <f t="shared" si="86"/>
        <v>0</v>
      </c>
      <c r="O2990" s="23"/>
      <c r="P2990" s="23"/>
      <c r="Q2990" s="23"/>
      <c r="R2990" s="26"/>
      <c r="S2990" s="23"/>
    </row>
    <row r="2991" spans="1:19" ht="19.5" hidden="1" customHeight="1" outlineLevel="1">
      <c r="A2991" s="29">
        <v>94</v>
      </c>
      <c r="B2991" s="30">
        <f>IF(29&lt;=DAY(DATE(YEAR(설정_코스수당!$K$2),MONTH(설정_코스수당!$K$2)+1,0)),DATE(YEAR(설정_코스수당!$K$2),MONTH(설정_코스수당!$K$2),29),"")</f>
        <v>46202</v>
      </c>
      <c r="C2991" s="31"/>
      <c r="D2991" s="29"/>
      <c r="E2991" s="29"/>
      <c r="F2991" s="32"/>
      <c r="G2991" s="29"/>
      <c r="H2991" s="29"/>
      <c r="I2991" s="29"/>
      <c r="J2991" s="33">
        <f>IF($O2991="방문완료",MAX(0,IFERROR(VLOOKUP($E2991,설정_코스수당!$A$6:$H$10,4,FALSE),0)-IF(OR($P2991="",$P2991="없음"),0,100000)),0)</f>
        <v>0</v>
      </c>
      <c r="K2991" s="33">
        <f t="array" ref="K2991">IF($O2991="방문완료",IFERROR(INDEX(설정_코스수당!$B$15:$F$64,MATCH($G2991,설정_코스수당!$A$15:$A$64,0),MATCH($E2991&amp;"수당",설정_코스수당!$B$14:$F$14,0)),0),0)</f>
        <v>0</v>
      </c>
      <c r="L2991" s="33">
        <f t="array" ref="L2991">IF($O2991="방문완료",IF($H2991="",0,IFERROR(INDEX(설정_코스수당!$B$15:$F$64,MATCH($H2991,설정_코스수당!$A$15:$A$64,0),MATCH($E2991&amp;"수당",설정_코스수당!$B$14:$F$14,0)),0)),0)</f>
        <v>0</v>
      </c>
      <c r="M2991" s="33">
        <f>IF($O2991="방문완료",IFERROR(VLOOKUP($E2991,설정_코스수당!$A$6:$H$10,6,FALSE),0),0)</f>
        <v>0</v>
      </c>
      <c r="N2991" s="34">
        <f t="shared" si="86"/>
        <v>0</v>
      </c>
      <c r="O2991" s="29"/>
      <c r="P2991" s="29"/>
      <c r="Q2991" s="29"/>
      <c r="R2991" s="32"/>
      <c r="S2991" s="29"/>
    </row>
    <row r="2992" spans="1:19" ht="19.5" hidden="1" customHeight="1" outlineLevel="1">
      <c r="A2992" s="23">
        <v>95</v>
      </c>
      <c r="B2992" s="24">
        <f>IF(29&lt;=DAY(DATE(YEAR(설정_코스수당!$K$2),MONTH(설정_코스수당!$K$2)+1,0)),DATE(YEAR(설정_코스수당!$K$2),MONTH(설정_코스수당!$K$2),29),"")</f>
        <v>46202</v>
      </c>
      <c r="C2992" s="25"/>
      <c r="D2992" s="23"/>
      <c r="E2992" s="23"/>
      <c r="F2992" s="26"/>
      <c r="G2992" s="23"/>
      <c r="H2992" s="23"/>
      <c r="I2992" s="23"/>
      <c r="J2992" s="27">
        <f>IF($O2992="방문완료",MAX(0,IFERROR(VLOOKUP($E2992,설정_코스수당!$A$6:$H$10,4,FALSE),0)-IF(OR($P2992="",$P2992="없음"),0,100000)),0)</f>
        <v>0</v>
      </c>
      <c r="K2992" s="27">
        <f t="array" ref="K2992">IF($O2992="방문완료",IFERROR(INDEX(설정_코스수당!$B$15:$F$64,MATCH($G2992,설정_코스수당!$A$15:$A$64,0),MATCH($E2992&amp;"수당",설정_코스수당!$B$14:$F$14,0)),0),0)</f>
        <v>0</v>
      </c>
      <c r="L2992" s="27">
        <f t="array" ref="L2992">IF($O2992="방문완료",IF($H2992="",0,IFERROR(INDEX(설정_코스수당!$B$15:$F$64,MATCH($H2992,설정_코스수당!$A$15:$A$64,0),MATCH($E2992&amp;"수당",설정_코스수당!$B$14:$F$14,0)),0)),0)</f>
        <v>0</v>
      </c>
      <c r="M2992" s="27">
        <f>IF($O2992="방문완료",IFERROR(VLOOKUP($E2992,설정_코스수당!$A$6:$H$10,6,FALSE),0),0)</f>
        <v>0</v>
      </c>
      <c r="N2992" s="28">
        <f t="shared" si="86"/>
        <v>0</v>
      </c>
      <c r="O2992" s="23"/>
      <c r="P2992" s="23"/>
      <c r="Q2992" s="23"/>
      <c r="R2992" s="26"/>
      <c r="S2992" s="23"/>
    </row>
    <row r="2993" spans="1:27" ht="19.5" hidden="1" customHeight="1" outlineLevel="1">
      <c r="A2993" s="29">
        <v>96</v>
      </c>
      <c r="B2993" s="30">
        <f>IF(29&lt;=DAY(DATE(YEAR(설정_코스수당!$K$2),MONTH(설정_코스수당!$K$2)+1,0)),DATE(YEAR(설정_코스수당!$K$2),MONTH(설정_코스수당!$K$2),29),"")</f>
        <v>46202</v>
      </c>
      <c r="C2993" s="31"/>
      <c r="D2993" s="29"/>
      <c r="E2993" s="29"/>
      <c r="F2993" s="32"/>
      <c r="G2993" s="29"/>
      <c r="H2993" s="29"/>
      <c r="I2993" s="29"/>
      <c r="J2993" s="33">
        <f>IF($O2993="방문완료",MAX(0,IFERROR(VLOOKUP($E2993,설정_코스수당!$A$6:$H$10,4,FALSE),0)-IF(OR($P2993="",$P2993="없음"),0,100000)),0)</f>
        <v>0</v>
      </c>
      <c r="K2993" s="33">
        <f t="array" ref="K2993">IF($O2993="방문완료",IFERROR(INDEX(설정_코스수당!$B$15:$F$64,MATCH($G2993,설정_코스수당!$A$15:$A$64,0),MATCH($E2993&amp;"수당",설정_코스수당!$B$14:$F$14,0)),0),0)</f>
        <v>0</v>
      </c>
      <c r="L2993" s="33">
        <f t="array" ref="L2993">IF($O2993="방문완료",IF($H2993="",0,IFERROR(INDEX(설정_코스수당!$B$15:$F$64,MATCH($H2993,설정_코스수당!$A$15:$A$64,0),MATCH($E2993&amp;"수당",설정_코스수당!$B$14:$F$14,0)),0)),0)</f>
        <v>0</v>
      </c>
      <c r="M2993" s="33">
        <f>IF($O2993="방문완료",IFERROR(VLOOKUP($E2993,설정_코스수당!$A$6:$H$10,6,FALSE),0),0)</f>
        <v>0</v>
      </c>
      <c r="N2993" s="34">
        <f t="shared" si="86"/>
        <v>0</v>
      </c>
      <c r="O2993" s="29"/>
      <c r="P2993" s="29"/>
      <c r="Q2993" s="29"/>
      <c r="R2993" s="32"/>
      <c r="S2993" s="29"/>
    </row>
    <row r="2994" spans="1:27" ht="19.5" hidden="1" customHeight="1" outlineLevel="1">
      <c r="A2994" s="23">
        <v>97</v>
      </c>
      <c r="B2994" s="24">
        <f>IF(29&lt;=DAY(DATE(YEAR(설정_코스수당!$K$2),MONTH(설정_코스수당!$K$2)+1,0)),DATE(YEAR(설정_코스수당!$K$2),MONTH(설정_코스수당!$K$2),29),"")</f>
        <v>46202</v>
      </c>
      <c r="C2994" s="25"/>
      <c r="D2994" s="23"/>
      <c r="E2994" s="23"/>
      <c r="F2994" s="26"/>
      <c r="G2994" s="23"/>
      <c r="H2994" s="23"/>
      <c r="I2994" s="23"/>
      <c r="J2994" s="27">
        <f>IF($O2994="방문완료",MAX(0,IFERROR(VLOOKUP($E2994,설정_코스수당!$A$6:$H$10,4,FALSE),0)-IF(OR($P2994="",$P2994="없음"),0,100000)),0)</f>
        <v>0</v>
      </c>
      <c r="K2994" s="27">
        <f t="array" ref="K2994">IF($O2994="방문완료",IFERROR(INDEX(설정_코스수당!$B$15:$F$64,MATCH($G2994,설정_코스수당!$A$15:$A$64,0),MATCH($E2994&amp;"수당",설정_코스수당!$B$14:$F$14,0)),0),0)</f>
        <v>0</v>
      </c>
      <c r="L2994" s="27">
        <f t="array" ref="L2994">IF($O2994="방문완료",IF($H2994="",0,IFERROR(INDEX(설정_코스수당!$B$15:$F$64,MATCH($H2994,설정_코스수당!$A$15:$A$64,0),MATCH($E2994&amp;"수당",설정_코스수당!$B$14:$F$14,0)),0)),0)</f>
        <v>0</v>
      </c>
      <c r="M2994" s="27">
        <f>IF($O2994="방문완료",IFERROR(VLOOKUP($E2994,설정_코스수당!$A$6:$H$10,6,FALSE),0),0)</f>
        <v>0</v>
      </c>
      <c r="N2994" s="28">
        <f t="shared" si="86"/>
        <v>0</v>
      </c>
      <c r="O2994" s="23"/>
      <c r="P2994" s="23"/>
      <c r="Q2994" s="23"/>
      <c r="R2994" s="26"/>
      <c r="S2994" s="23"/>
    </row>
    <row r="2995" spans="1:27" ht="19.5" hidden="1" customHeight="1" outlineLevel="1">
      <c r="A2995" s="29">
        <v>98</v>
      </c>
      <c r="B2995" s="30">
        <f>IF(29&lt;=DAY(DATE(YEAR(설정_코스수당!$K$2),MONTH(설정_코스수당!$K$2)+1,0)),DATE(YEAR(설정_코스수당!$K$2),MONTH(설정_코스수당!$K$2),29),"")</f>
        <v>46202</v>
      </c>
      <c r="C2995" s="31"/>
      <c r="D2995" s="29"/>
      <c r="E2995" s="29"/>
      <c r="F2995" s="32"/>
      <c r="G2995" s="29"/>
      <c r="H2995" s="29"/>
      <c r="I2995" s="29"/>
      <c r="J2995" s="33">
        <f>IF($O2995="방문완료",MAX(0,IFERROR(VLOOKUP($E2995,설정_코스수당!$A$6:$H$10,4,FALSE),0)-IF(OR($P2995="",$P2995="없음"),0,100000)),0)</f>
        <v>0</v>
      </c>
      <c r="K2995" s="33">
        <f t="array" ref="K2995">IF($O2995="방문완료",IFERROR(INDEX(설정_코스수당!$B$15:$F$64,MATCH($G2995,설정_코스수당!$A$15:$A$64,0),MATCH($E2995&amp;"수당",설정_코스수당!$B$14:$F$14,0)),0),0)</f>
        <v>0</v>
      </c>
      <c r="L2995" s="33">
        <f t="array" ref="L2995">IF($O2995="방문완료",IF($H2995="",0,IFERROR(INDEX(설정_코스수당!$B$15:$F$64,MATCH($H2995,설정_코스수당!$A$15:$A$64,0),MATCH($E2995&amp;"수당",설정_코스수당!$B$14:$F$14,0)),0)),0)</f>
        <v>0</v>
      </c>
      <c r="M2995" s="33">
        <f>IF($O2995="방문완료",IFERROR(VLOOKUP($E2995,설정_코스수당!$A$6:$H$10,6,FALSE),0),0)</f>
        <v>0</v>
      </c>
      <c r="N2995" s="34">
        <f t="shared" si="86"/>
        <v>0</v>
      </c>
      <c r="O2995" s="29"/>
      <c r="P2995" s="29"/>
      <c r="Q2995" s="29"/>
      <c r="R2995" s="32"/>
      <c r="S2995" s="29"/>
    </row>
    <row r="2996" spans="1:27" ht="19.5" hidden="1" customHeight="1" outlineLevel="1">
      <c r="A2996" s="23">
        <v>99</v>
      </c>
      <c r="B2996" s="24">
        <f>IF(29&lt;=DAY(DATE(YEAR(설정_코스수당!$K$2),MONTH(설정_코스수당!$K$2)+1,0)),DATE(YEAR(설정_코스수당!$K$2),MONTH(설정_코스수당!$K$2),29),"")</f>
        <v>46202</v>
      </c>
      <c r="C2996" s="25"/>
      <c r="D2996" s="23"/>
      <c r="E2996" s="23"/>
      <c r="F2996" s="26"/>
      <c r="G2996" s="23"/>
      <c r="H2996" s="23"/>
      <c r="I2996" s="23"/>
      <c r="J2996" s="27">
        <f>IF($O2996="방문완료",MAX(0,IFERROR(VLOOKUP($E2996,설정_코스수당!$A$6:$H$10,4,FALSE),0)-IF(OR($P2996="",$P2996="없음"),0,100000)),0)</f>
        <v>0</v>
      </c>
      <c r="K2996" s="27">
        <f t="array" ref="K2996">IF($O2996="방문완료",IFERROR(INDEX(설정_코스수당!$B$15:$F$64,MATCH($G2996,설정_코스수당!$A$15:$A$64,0),MATCH($E2996&amp;"수당",설정_코스수당!$B$14:$F$14,0)),0),0)</f>
        <v>0</v>
      </c>
      <c r="L2996" s="27">
        <f t="array" ref="L2996">IF($O2996="방문완료",IF($H2996="",0,IFERROR(INDEX(설정_코스수당!$B$15:$F$64,MATCH($H2996,설정_코스수당!$A$15:$A$64,0),MATCH($E2996&amp;"수당",설정_코스수당!$B$14:$F$14,0)),0)),0)</f>
        <v>0</v>
      </c>
      <c r="M2996" s="27">
        <f>IF($O2996="방문완료",IFERROR(VLOOKUP($E2996,설정_코스수당!$A$6:$H$10,6,FALSE),0),0)</f>
        <v>0</v>
      </c>
      <c r="N2996" s="28">
        <f t="shared" si="86"/>
        <v>0</v>
      </c>
      <c r="O2996" s="23"/>
      <c r="P2996" s="23"/>
      <c r="Q2996" s="23"/>
      <c r="R2996" s="26"/>
      <c r="S2996" s="23"/>
    </row>
    <row r="2997" spans="1:27" ht="19.5" hidden="1" customHeight="1" outlineLevel="1">
      <c r="A2997" s="29">
        <v>100</v>
      </c>
      <c r="B2997" s="30">
        <f>IF(29&lt;=DAY(DATE(YEAR(설정_코스수당!$K$2),MONTH(설정_코스수당!$K$2)+1,0)),DATE(YEAR(설정_코스수당!$K$2),MONTH(설정_코스수당!$K$2),29),"")</f>
        <v>46202</v>
      </c>
      <c r="C2997" s="31"/>
      <c r="D2997" s="29"/>
      <c r="E2997" s="29"/>
      <c r="F2997" s="32"/>
      <c r="G2997" s="29"/>
      <c r="H2997" s="29"/>
      <c r="I2997" s="29"/>
      <c r="J2997" s="33">
        <f>IF($O2997="방문완료",MAX(0,IFERROR(VLOOKUP($E2997,설정_코스수당!$A$6:$H$10,4,FALSE),0)-IF(OR($P2997="",$P2997="없음"),0,100000)),0)</f>
        <v>0</v>
      </c>
      <c r="K2997" s="33">
        <f t="array" ref="K2997">IF($O2997="방문완료",IFERROR(INDEX(설정_코스수당!$B$15:$F$64,MATCH($G2997,설정_코스수당!$A$15:$A$64,0),MATCH($E2997&amp;"수당",설정_코스수당!$B$14:$F$14,0)),0),0)</f>
        <v>0</v>
      </c>
      <c r="L2997" s="33">
        <f t="array" ref="L2997">IF($O2997="방문완료",IF($H2997="",0,IFERROR(INDEX(설정_코스수당!$B$15:$F$64,MATCH($H2997,설정_코스수당!$A$15:$A$64,0),MATCH($E2997&amp;"수당",설정_코스수당!$B$14:$F$14,0)),0)),0)</f>
        <v>0</v>
      </c>
      <c r="M2997" s="33">
        <f>IF($O2997="방문완료",IFERROR(VLOOKUP($E2997,설정_코스수당!$A$6:$H$10,6,FALSE),0),0)</f>
        <v>0</v>
      </c>
      <c r="N2997" s="34">
        <f t="shared" si="86"/>
        <v>0</v>
      </c>
      <c r="O2997" s="29"/>
      <c r="P2997" s="29"/>
      <c r="Q2997" s="29"/>
      <c r="R2997" s="32"/>
      <c r="S2997" s="29"/>
    </row>
    <row r="2998" spans="1:27" ht="19.5" hidden="1" customHeight="1" outlineLevel="1">
      <c r="A2998" s="36" t="s">
        <v>79</v>
      </c>
      <c r="B2998" s="37"/>
      <c r="C2998" s="38"/>
      <c r="D2998" s="37"/>
      <c r="E2998" s="37"/>
      <c r="F2998" s="37"/>
      <c r="G2998" s="37"/>
      <c r="H2998" s="37"/>
      <c r="I2998" s="37"/>
      <c r="J2998" s="37">
        <f>IF($O2998="방문완료",MAX(0,IFERROR(VLOOKUP($E2998,설정_코스수당!$A$6:$H$10,4,FALSE),0)-IF(OR($P2998="",$P2998="없음"),0,100000)),0)</f>
        <v>0</v>
      </c>
      <c r="O2998" s="18"/>
      <c r="P2998" s="14"/>
      <c r="Q2998" s="18"/>
      <c r="S2998" s="18"/>
    </row>
    <row r="2999" spans="1:27" ht="21" customHeight="1" collapsed="1">
      <c r="A2999" s="123" t="str">
        <f>IF(30&lt;=DAY(DATE(YEAR(설정_코스수당!$K$2),MONTH(설정_코스수당!$K$2)+1,0)),TEXT(DATE(YEAR(설정_코스수당!$K$2),MONTH(설정_코스수당!$K$2),30),"yyyy-mm-dd")&amp;"  |  예약관리 100슬롯","")</f>
        <v>2026-06-30  |  예약관리 100슬롯</v>
      </c>
      <c r="B2999" s="124"/>
      <c r="C2999" s="124"/>
      <c r="D2999" s="124"/>
      <c r="E2999" s="124"/>
      <c r="F2999" s="124"/>
      <c r="G2999" s="124"/>
      <c r="H2999" s="124"/>
      <c r="I2999" s="124"/>
      <c r="J2999" s="124"/>
      <c r="K2999" s="124"/>
      <c r="L2999" s="124"/>
      <c r="M2999" s="124"/>
      <c r="N2999" s="124"/>
      <c r="O2999" s="19"/>
      <c r="P2999" s="19"/>
      <c r="Q2999" s="19"/>
      <c r="R2999" s="19"/>
      <c r="S2999" s="19"/>
      <c r="T2999" s="19"/>
      <c r="U2999" s="19"/>
      <c r="V2999" s="19"/>
      <c r="W2999" s="19"/>
      <c r="X2999" s="19"/>
      <c r="Y2999" s="19"/>
      <c r="Z2999" s="19"/>
      <c r="AA2999" s="19"/>
    </row>
    <row r="3000" spans="1:27" ht="19.5" hidden="1" customHeight="1" outlineLevel="1">
      <c r="A3000" s="20" t="s">
        <v>41</v>
      </c>
      <c r="B3000" s="20" t="s">
        <v>42</v>
      </c>
      <c r="C3000" s="39" t="s">
        <v>43</v>
      </c>
      <c r="D3000" s="20" t="s">
        <v>44</v>
      </c>
      <c r="E3000" s="20" t="s">
        <v>45</v>
      </c>
      <c r="F3000" s="20" t="s">
        <v>46</v>
      </c>
      <c r="G3000" s="20" t="s">
        <v>47</v>
      </c>
      <c r="H3000" s="20" t="s">
        <v>48</v>
      </c>
      <c r="I3000" s="20" t="s">
        <v>49</v>
      </c>
      <c r="J3000" s="20" t="s">
        <v>50</v>
      </c>
      <c r="K3000" s="20" t="s">
        <v>51</v>
      </c>
      <c r="L3000" s="20" t="s">
        <v>52</v>
      </c>
      <c r="M3000" s="20" t="s">
        <v>53</v>
      </c>
      <c r="N3000" s="20" t="s">
        <v>54</v>
      </c>
      <c r="O3000" s="20" t="s">
        <v>55</v>
      </c>
      <c r="P3000" s="20" t="s">
        <v>56</v>
      </c>
      <c r="Q3000" s="18"/>
      <c r="R3000" s="20" t="s">
        <v>58</v>
      </c>
      <c r="S3000" s="20" t="s">
        <v>59</v>
      </c>
      <c r="U3000" s="122" t="str">
        <f>IF(30&lt;=DAY(DATE(YEAR(설정_코스수당!$K$2),MONTH(설정_코스수당!$K$2)+1,0)),TEXT(DATE(YEAR(설정_코스수당!$K$2),MONTH(설정_코스수당!$K$2),30),"yyyy-mm-dd")&amp;" 일일 상태","")</f>
        <v>2026-06-30 일일 상태</v>
      </c>
      <c r="V3000" s="125"/>
      <c r="W3000" s="122" t="s">
        <v>3</v>
      </c>
      <c r="X3000" s="125"/>
    </row>
    <row r="3001" spans="1:27" ht="19.5" hidden="1" customHeight="1" outlineLevel="1">
      <c r="A3001" s="23">
        <v>1</v>
      </c>
      <c r="B3001" s="24">
        <f>IF(30&lt;=DAY(DATE(YEAR(설정_코스수당!$K$2),MONTH(설정_코스수당!$K$2)+1,0)),DATE(YEAR(설정_코스수당!$K$2),MONTH(설정_코스수당!$K$2),30),"")</f>
        <v>46203</v>
      </c>
      <c r="C3001" s="25"/>
      <c r="D3001" s="23"/>
      <c r="E3001" s="23"/>
      <c r="F3001" s="26"/>
      <c r="G3001" s="23"/>
      <c r="H3001" s="23"/>
      <c r="I3001" s="23"/>
      <c r="J3001" s="27">
        <f>IF($O3001="방문완료",MAX(0,IFERROR(VLOOKUP($E3001,설정_코스수당!$A$6:$H$10,4,FALSE),0)-IF(OR($P3001="",$P3001="없음"),0,100000)),0)</f>
        <v>0</v>
      </c>
      <c r="K3001" s="27">
        <f t="array" ref="K3001">IF($O3001="방문완료",IFERROR(INDEX(설정_코스수당!$B$15:$F$64,MATCH($G3001,설정_코스수당!$A$15:$A$64,0),MATCH($E3001&amp;"수당",설정_코스수당!$B$14:$F$14,0)),0),0)</f>
        <v>0</v>
      </c>
      <c r="L3001" s="27">
        <f t="array" ref="L3001">IF($O3001="방문완료",IF($H3001="",0,IFERROR(INDEX(설정_코스수당!$B$15:$F$64,MATCH($H3001,설정_코스수당!$A$15:$A$64,0),MATCH($E3001&amp;"수당",설정_코스수당!$B$14:$F$14,0)),0)),0)</f>
        <v>0</v>
      </c>
      <c r="M3001" s="27">
        <f>IF($O3001="방문완료",IFERROR(VLOOKUP($E3001,설정_코스수당!$A$6:$H$10,6,FALSE),0),0)</f>
        <v>0</v>
      </c>
      <c r="N3001" s="28">
        <f t="shared" ref="N3001:N3032" si="87">IF($O3001="방문완료",1,0)</f>
        <v>0</v>
      </c>
      <c r="O3001" s="23"/>
      <c r="P3001" s="23"/>
      <c r="Q3001" s="23"/>
      <c r="R3001" s="26"/>
      <c r="S3001" s="23"/>
      <c r="U3001" s="104" t="s">
        <v>63</v>
      </c>
      <c r="V3001" s="105">
        <f>IF(30&lt;=DAY(DATE(YEAR(설정_코스수당!$K$2),MONTH(설정_코스수당!$K$2)+1,0)),COUNTIFS($B:$B,DATE(YEAR(설정_코스수당!$K$2),MONTH(설정_코스수당!$K$2),30),$O:$O,"&lt;&gt;"),"")</f>
        <v>0</v>
      </c>
      <c r="W3001" s="104" t="s">
        <v>6</v>
      </c>
      <c r="X3001" s="105">
        <f>IF(30&lt;=DAY(DATE(YEAR(설정_코스수당!$K$2),MONTH(설정_코스수당!$K$2)+1,0)),COUNTIFS($B:$B,DATE(YEAR(설정_코스수당!$K$2),MONTH(설정_코스수당!$K$2),30),$E:$E,"A",$O:$O,"방문완료"),"")</f>
        <v>0</v>
      </c>
    </row>
    <row r="3002" spans="1:27" ht="19.5" hidden="1" customHeight="1" outlineLevel="1">
      <c r="A3002" s="29">
        <v>2</v>
      </c>
      <c r="B3002" s="30">
        <f>IF(30&lt;=DAY(DATE(YEAR(설정_코스수당!$K$2),MONTH(설정_코스수당!$K$2)+1,0)),DATE(YEAR(설정_코스수당!$K$2),MONTH(설정_코스수당!$K$2),30),"")</f>
        <v>46203</v>
      </c>
      <c r="C3002" s="31"/>
      <c r="D3002" s="29"/>
      <c r="E3002" s="29"/>
      <c r="F3002" s="32"/>
      <c r="G3002" s="29"/>
      <c r="H3002" s="29"/>
      <c r="I3002" s="29"/>
      <c r="J3002" s="33">
        <f>IF($O3002="방문완료",MAX(0,IFERROR(VLOOKUP($E3002,설정_코스수당!$A$6:$H$10,4,FALSE),0)-IF(OR($P3002="",$P3002="없음"),0,100000)),0)</f>
        <v>0</v>
      </c>
      <c r="K3002" s="33">
        <f t="array" ref="K3002">IF($O3002="방문완료",IFERROR(INDEX(설정_코스수당!$B$15:$F$64,MATCH($G3002,설정_코스수당!$A$15:$A$64,0),MATCH($E3002&amp;"수당",설정_코스수당!$B$14:$F$14,0)),0),0)</f>
        <v>0</v>
      </c>
      <c r="L3002" s="33">
        <f t="array" ref="L3002">IF($O3002="방문완료",IF($H3002="",0,IFERROR(INDEX(설정_코스수당!$B$15:$F$64,MATCH($H3002,설정_코스수당!$A$15:$A$64,0),MATCH($E3002&amp;"수당",설정_코스수당!$B$14:$F$14,0)),0)),0)</f>
        <v>0</v>
      </c>
      <c r="M3002" s="33">
        <f>IF($O3002="방문완료",IFERROR(VLOOKUP($E3002,설정_코스수당!$A$6:$H$10,6,FALSE),0),0)</f>
        <v>0</v>
      </c>
      <c r="N3002" s="34">
        <f t="shared" si="87"/>
        <v>0</v>
      </c>
      <c r="O3002" s="29"/>
      <c r="P3002" s="29"/>
      <c r="Q3002" s="29"/>
      <c r="R3002" s="32"/>
      <c r="S3002" s="29"/>
      <c r="U3002" s="104" t="s">
        <v>62</v>
      </c>
      <c r="V3002" s="105">
        <f>IF(30&lt;=DAY(DATE(YEAR(설정_코스수당!$K$2),MONTH(설정_코스수당!$K$2)+1,0)),COUNTIFS($B:$B,DATE(YEAR(설정_코스수당!$K$2),MONTH(설정_코스수당!$K$2),30),$O:$O,"방문완료"),"")</f>
        <v>0</v>
      </c>
      <c r="W3002" s="104" t="s">
        <v>9</v>
      </c>
      <c r="X3002" s="105">
        <f>IF(30&lt;=DAY(DATE(YEAR(설정_코스수당!$K$2),MONTH(설정_코스수당!$K$2)+1,0)),COUNTIFS($B:$B,DATE(YEAR(설정_코스수당!$K$2),MONTH(설정_코스수당!$K$2),30),$E:$E,"B",$O:$O,"방문완료"),"")</f>
        <v>0</v>
      </c>
    </row>
    <row r="3003" spans="1:27" ht="19.5" hidden="1" customHeight="1" outlineLevel="1">
      <c r="A3003" s="23">
        <v>3</v>
      </c>
      <c r="B3003" s="24">
        <f>IF(30&lt;=DAY(DATE(YEAR(설정_코스수당!$K$2),MONTH(설정_코스수당!$K$2)+1,0)),DATE(YEAR(설정_코스수당!$K$2),MONTH(설정_코스수당!$K$2),30),"")</f>
        <v>46203</v>
      </c>
      <c r="C3003" s="25"/>
      <c r="D3003" s="23"/>
      <c r="E3003" s="23"/>
      <c r="F3003" s="26"/>
      <c r="G3003" s="23"/>
      <c r="H3003" s="23"/>
      <c r="I3003" s="23"/>
      <c r="J3003" s="27">
        <f>IF($O3003="방문완료",MAX(0,IFERROR(VLOOKUP($E3003,설정_코스수당!$A$6:$H$10,4,FALSE),0)-IF(OR($P3003="",$P3003="없음"),0,100000)),0)</f>
        <v>0</v>
      </c>
      <c r="K3003" s="27">
        <f t="array" ref="K3003">IF($O3003="방문완료",IFERROR(INDEX(설정_코스수당!$B$15:$F$64,MATCH($G3003,설정_코스수당!$A$15:$A$64,0),MATCH($E3003&amp;"수당",설정_코스수당!$B$14:$F$14,0)),0),0)</f>
        <v>0</v>
      </c>
      <c r="L3003" s="27">
        <f t="array" ref="L3003">IF($O3003="방문완료",IF($H3003="",0,IFERROR(INDEX(설정_코스수당!$B$15:$F$64,MATCH($H3003,설정_코스수당!$A$15:$A$64,0),MATCH($E3003&amp;"수당",설정_코스수당!$B$14:$F$14,0)),0)),0)</f>
        <v>0</v>
      </c>
      <c r="M3003" s="27">
        <f>IF($O3003="방문완료",IFERROR(VLOOKUP($E3003,설정_코스수당!$A$6:$H$10,6,FALSE),0),0)</f>
        <v>0</v>
      </c>
      <c r="N3003" s="28">
        <f t="shared" si="87"/>
        <v>0</v>
      </c>
      <c r="O3003" s="23"/>
      <c r="P3003" s="23"/>
      <c r="Q3003" s="23"/>
      <c r="R3003" s="26"/>
      <c r="S3003" s="23"/>
      <c r="U3003" s="104" t="s">
        <v>68</v>
      </c>
      <c r="V3003" s="105" t="str">
        <f>IF(30&lt;=DAY(DATE(YEAR(설정_코스수당!$K$2),MONTH(설정_코스수당!$K$2)+1,0)),COUNTIFS($B:$B,DATE(YEAR(설정_코스수당!$K$2),MONTH(설정_코스수당!$K$2),30),$O:$O,"노쇼")&amp;"/"&amp;COUNTIFS($B:$B,DATE(YEAR(설정_코스수당!$K$2),MONTH(설정_코스수당!$K$2),30),$O:$O,"취소"),"")</f>
        <v>0/0</v>
      </c>
      <c r="W3003" s="104" t="s">
        <v>12</v>
      </c>
      <c r="X3003" s="105">
        <f>IF(30&lt;=DAY(DATE(YEAR(설정_코스수당!$K$2),MONTH(설정_코스수당!$K$2)+1,0)),COUNTIFS($B:$B,DATE(YEAR(설정_코스수당!$K$2),MONTH(설정_코스수당!$K$2),30),$E:$E,"C",$O:$O,"방문완료"),"")</f>
        <v>0</v>
      </c>
    </row>
    <row r="3004" spans="1:27" ht="19.5" hidden="1" customHeight="1" outlineLevel="1">
      <c r="A3004" s="29">
        <v>4</v>
      </c>
      <c r="B3004" s="30">
        <f>IF(30&lt;=DAY(DATE(YEAR(설정_코스수당!$K$2),MONTH(설정_코스수당!$K$2)+1,0)),DATE(YEAR(설정_코스수당!$K$2),MONTH(설정_코스수당!$K$2),30),"")</f>
        <v>46203</v>
      </c>
      <c r="C3004" s="31"/>
      <c r="D3004" s="29"/>
      <c r="E3004" s="29"/>
      <c r="F3004" s="32"/>
      <c r="G3004" s="29"/>
      <c r="H3004" s="29"/>
      <c r="I3004" s="29"/>
      <c r="J3004" s="33">
        <f>IF($O3004="방문완료",MAX(0,IFERROR(VLOOKUP($E3004,설정_코스수당!$A$6:$H$10,4,FALSE),0)-IF(OR($P3004="",$P3004="없음"),0,100000)),0)</f>
        <v>0</v>
      </c>
      <c r="K3004" s="33">
        <f t="array" ref="K3004">IF($O3004="방문완료",IFERROR(INDEX(설정_코스수당!$B$15:$F$64,MATCH($G3004,설정_코스수당!$A$15:$A$64,0),MATCH($E3004&amp;"수당",설정_코스수당!$B$14:$F$14,0)),0),0)</f>
        <v>0</v>
      </c>
      <c r="L3004" s="33">
        <f t="array" ref="L3004">IF($O3004="방문완료",IF($H3004="",0,IFERROR(INDEX(설정_코스수당!$B$15:$F$64,MATCH($H3004,설정_코스수당!$A$15:$A$64,0),MATCH($E3004&amp;"수당",설정_코스수당!$B$14:$F$14,0)),0)),0)</f>
        <v>0</v>
      </c>
      <c r="M3004" s="33">
        <f>IF($O3004="방문완료",IFERROR(VLOOKUP($E3004,설정_코스수당!$A$6:$H$10,6,FALSE),0),0)</f>
        <v>0</v>
      </c>
      <c r="N3004" s="34">
        <f t="shared" si="87"/>
        <v>0</v>
      </c>
      <c r="O3004" s="29"/>
      <c r="P3004" s="29"/>
      <c r="Q3004" s="29"/>
      <c r="R3004" s="32"/>
      <c r="S3004" s="29"/>
      <c r="U3004" s="104" t="s">
        <v>69</v>
      </c>
      <c r="V3004" s="106">
        <f>IF(30&lt;=DAY(DATE(YEAR(설정_코스수당!$K$2),MONTH(설정_코스수당!$K$2)+1,0)),SUMIFS($J:$J,$B:$B,DATE(YEAR(설정_코스수당!$K$2),MONTH(설정_코스수당!$K$2),30),$O:$O,"방문완료"),"")</f>
        <v>0</v>
      </c>
      <c r="W3004" s="104" t="s">
        <v>15</v>
      </c>
      <c r="X3004" s="105">
        <f>IF(30&lt;=DAY(DATE(YEAR(설정_코스수당!$K$2),MONTH(설정_코스수당!$K$2)+1,0)),COUNTIFS($B:$B,DATE(YEAR(설정_코스수당!$K$2),MONTH(설정_코스수당!$K$2),30),$E:$E,"D",$O:$O,"방문완료"),"")</f>
        <v>0</v>
      </c>
    </row>
    <row r="3005" spans="1:27" ht="19.5" hidden="1" customHeight="1" outlineLevel="1">
      <c r="A3005" s="23">
        <v>5</v>
      </c>
      <c r="B3005" s="24">
        <f>IF(30&lt;=DAY(DATE(YEAR(설정_코스수당!$K$2),MONTH(설정_코스수당!$K$2)+1,0)),DATE(YEAR(설정_코스수당!$K$2),MONTH(설정_코스수당!$K$2),30),"")</f>
        <v>46203</v>
      </c>
      <c r="C3005" s="25"/>
      <c r="D3005" s="23"/>
      <c r="E3005" s="23"/>
      <c r="F3005" s="26"/>
      <c r="G3005" s="23"/>
      <c r="H3005" s="23"/>
      <c r="I3005" s="23"/>
      <c r="J3005" s="27">
        <f>IF($O3005="방문완료",MAX(0,IFERROR(VLOOKUP($E3005,설정_코스수당!$A$6:$H$10,4,FALSE),0)-IF(OR($P3005="",$P3005="없음"),0,100000)),0)</f>
        <v>0</v>
      </c>
      <c r="K3005" s="27">
        <f t="array" ref="K3005">IF($O3005="방문완료",IFERROR(INDEX(설정_코스수당!$B$15:$F$64,MATCH($G3005,설정_코스수당!$A$15:$A$64,0),MATCH($E3005&amp;"수당",설정_코스수당!$B$14:$F$14,0)),0),0)</f>
        <v>0</v>
      </c>
      <c r="L3005" s="27">
        <f t="array" ref="L3005">IF($O3005="방문완료",IF($H3005="",0,IFERROR(INDEX(설정_코스수당!$B$15:$F$64,MATCH($H3005,설정_코스수당!$A$15:$A$64,0),MATCH($E3005&amp;"수당",설정_코스수당!$B$14:$F$14,0)),0)),0)</f>
        <v>0</v>
      </c>
      <c r="M3005" s="27">
        <f>IF($O3005="방문완료",IFERROR(VLOOKUP($E3005,설정_코스수당!$A$6:$H$10,6,FALSE),0),0)</f>
        <v>0</v>
      </c>
      <c r="N3005" s="28">
        <f t="shared" si="87"/>
        <v>0</v>
      </c>
      <c r="O3005" s="23"/>
      <c r="P3005" s="23"/>
      <c r="Q3005" s="23"/>
      <c r="R3005" s="26"/>
      <c r="S3005" s="23"/>
      <c r="U3005" s="104" t="s">
        <v>70</v>
      </c>
      <c r="V3005" s="106">
        <f>IF(30&lt;=DAY(DATE(YEAR(설정_코스수당!$K$2),MONTH(설정_코스수당!$K$2)+1,0)),SUMIFS($K:$K,$B:$B,DATE(YEAR(설정_코스수당!$K$2),MONTH(설정_코스수당!$K$2),30),$O:$O,"방문완료")+SUMIFS($L:$L,$B:$B,DATE(YEAR(설정_코스수당!$K$2),MONTH(설정_코스수당!$K$2),30),$O:$O,"방문완료"),"")</f>
        <v>0</v>
      </c>
      <c r="W3005" s="104" t="s">
        <v>18</v>
      </c>
      <c r="X3005" s="105">
        <f>IF(30&lt;=DAY(DATE(YEAR(설정_코스수당!$K$2),MONTH(설정_코스수당!$K$2)+1,0)),COUNTIFS($B:$B,DATE(YEAR(설정_코스수당!$K$2),MONTH(설정_코스수당!$K$2),30),$E:$E,"E",$O:$O,"방문완료"),"")</f>
        <v>0</v>
      </c>
    </row>
    <row r="3006" spans="1:27" ht="19.5" hidden="1" customHeight="1" outlineLevel="1">
      <c r="A3006" s="29">
        <v>6</v>
      </c>
      <c r="B3006" s="30">
        <f>IF(30&lt;=DAY(DATE(YEAR(설정_코스수당!$K$2),MONTH(설정_코스수당!$K$2)+1,0)),DATE(YEAR(설정_코스수당!$K$2),MONTH(설정_코스수당!$K$2),30),"")</f>
        <v>46203</v>
      </c>
      <c r="C3006" s="31"/>
      <c r="D3006" s="29"/>
      <c r="E3006" s="29"/>
      <c r="F3006" s="32"/>
      <c r="G3006" s="29"/>
      <c r="H3006" s="29"/>
      <c r="I3006" s="29"/>
      <c r="J3006" s="33">
        <f>IF($O3006="방문완료",MAX(0,IFERROR(VLOOKUP($E3006,설정_코스수당!$A$6:$H$10,4,FALSE),0)-IF(OR($P3006="",$P3006="없음"),0,100000)),0)</f>
        <v>0</v>
      </c>
      <c r="K3006" s="33">
        <f t="array" ref="K3006">IF($O3006="방문완료",IFERROR(INDEX(설정_코스수당!$B$15:$F$64,MATCH($G3006,설정_코스수당!$A$15:$A$64,0),MATCH($E3006&amp;"수당",설정_코스수당!$B$14:$F$14,0)),0),0)</f>
        <v>0</v>
      </c>
      <c r="L3006" s="33">
        <f t="array" ref="L3006">IF($O3006="방문완료",IF($H3006="",0,IFERROR(INDEX(설정_코스수당!$B$15:$F$64,MATCH($H3006,설정_코스수당!$A$15:$A$64,0),MATCH($E3006&amp;"수당",설정_코스수당!$B$14:$F$14,0)),0)),0)</f>
        <v>0</v>
      </c>
      <c r="M3006" s="33">
        <f>IF($O3006="방문완료",IFERROR(VLOOKUP($E3006,설정_코스수당!$A$6:$H$10,6,FALSE),0),0)</f>
        <v>0</v>
      </c>
      <c r="N3006" s="34">
        <f t="shared" si="87"/>
        <v>0</v>
      </c>
      <c r="O3006" s="29"/>
      <c r="P3006" s="29"/>
      <c r="Q3006" s="29"/>
      <c r="R3006" s="32"/>
      <c r="S3006" s="29"/>
      <c r="U3006" s="104" t="s">
        <v>53</v>
      </c>
      <c r="V3006" s="106">
        <f>IF(30&lt;=DAY(DATE(YEAR(설정_코스수당!$K$2),MONTH(설정_코스수당!$K$2)+1,0)),SUMIFS($M:$M,$B:$B,DATE(YEAR(설정_코스수당!$K$2),MONTH(설정_코스수당!$K$2),30),$O:$O,"방문완료"),"")</f>
        <v>0</v>
      </c>
      <c r="W3006" s="104" t="s">
        <v>71</v>
      </c>
      <c r="X3006" s="107">
        <f>IF(30&lt;=DAY(DATE(YEAR(설정_코스수당!$K$2),MONTH(설정_코스수당!$K$2)+1,0)),COUNTIFS($B:$B,DATE(YEAR(설정_코스수당!$K$2),MONTH(설정_코스수당!$K$2),30),$O:$O,"방문완료",$P:$P,"&lt;&gt;",$P:$P,"&lt;&gt;없음"),"")</f>
        <v>0</v>
      </c>
    </row>
    <row r="3007" spans="1:27" ht="19.5" hidden="1" customHeight="1" outlineLevel="1">
      <c r="A3007" s="23">
        <v>7</v>
      </c>
      <c r="B3007" s="24">
        <f>IF(30&lt;=DAY(DATE(YEAR(설정_코스수당!$K$2),MONTH(설정_코스수당!$K$2)+1,0)),DATE(YEAR(설정_코스수당!$K$2),MONTH(설정_코스수당!$K$2),30),"")</f>
        <v>46203</v>
      </c>
      <c r="C3007" s="25"/>
      <c r="D3007" s="23"/>
      <c r="E3007" s="23"/>
      <c r="F3007" s="26"/>
      <c r="G3007" s="23"/>
      <c r="H3007" s="23"/>
      <c r="I3007" s="23"/>
      <c r="J3007" s="27">
        <f>IF($O3007="방문완료",MAX(0,IFERROR(VLOOKUP($E3007,설정_코스수당!$A$6:$H$10,4,FALSE),0)-IF(OR($P3007="",$P3007="없음"),0,100000)),0)</f>
        <v>0</v>
      </c>
      <c r="K3007" s="27">
        <f t="array" ref="K3007">IF($O3007="방문완료",IFERROR(INDEX(설정_코스수당!$B$15:$F$64,MATCH($G3007,설정_코스수당!$A$15:$A$64,0),MATCH($E3007&amp;"수당",설정_코스수당!$B$14:$F$14,0)),0),0)</f>
        <v>0</v>
      </c>
      <c r="L3007" s="27">
        <f t="array" ref="L3007">IF($O3007="방문완료",IF($H3007="",0,IFERROR(INDEX(설정_코스수당!$B$15:$F$64,MATCH($H3007,설정_코스수당!$A$15:$A$64,0),MATCH($E3007&amp;"수당",설정_코스수당!$B$14:$F$14,0)),0)),0)</f>
        <v>0</v>
      </c>
      <c r="M3007" s="27">
        <f>IF($O3007="방문완료",IFERROR(VLOOKUP($E3007,설정_코스수당!$A$6:$H$10,6,FALSE),0),0)</f>
        <v>0</v>
      </c>
      <c r="N3007" s="28">
        <f t="shared" si="87"/>
        <v>0</v>
      </c>
      <c r="O3007" s="23"/>
      <c r="P3007" s="23"/>
      <c r="Q3007" s="23"/>
      <c r="R3007" s="26"/>
      <c r="S3007" s="23"/>
      <c r="U3007" s="104" t="s">
        <v>72</v>
      </c>
      <c r="V3007" s="108">
        <f>IF(30&lt;=DAY(DATE(YEAR(설정_코스수당!$K$2),MONTH(설정_코스수당!$K$2)+1,0)),COUNTIFS($B:$B,DATE(YEAR(설정_코스수당!$K$2),MONTH(설정_코스수당!$K$2),30),$O:$O,"방문완료",$P:$P,"&lt;&gt;",$P:$P,"&lt;&gt;없음")*100000,"")</f>
        <v>0</v>
      </c>
      <c r="W3007" s="104" t="s">
        <v>73</v>
      </c>
      <c r="X3007" s="105">
        <f>IF(30&lt;=DAY(DATE(YEAR(설정_코스수당!$K$2),MONTH(설정_코스수당!$K$2)+1,0)),COUNTIFS($B:$B,DATE(YEAR(설정_코스수당!$K$2),MONTH(설정_코스수당!$K$2),30),$G:$G,"&lt;&gt;",$O:$O,"방문완료")+COUNTIFS($B:$B,DATE(YEAR(설정_코스수당!$K$2),MONTH(설정_코스수당!$K$2),30),$H:$H,"&lt;&gt;",$O:$O,"방문완료"),"")</f>
        <v>0</v>
      </c>
    </row>
    <row r="3008" spans="1:27" ht="19.5" hidden="1" customHeight="1" outlineLevel="1">
      <c r="A3008" s="29">
        <v>8</v>
      </c>
      <c r="B3008" s="30">
        <f>IF(30&lt;=DAY(DATE(YEAR(설정_코스수당!$K$2),MONTH(설정_코스수당!$K$2)+1,0)),DATE(YEAR(설정_코스수당!$K$2),MONTH(설정_코스수당!$K$2),30),"")</f>
        <v>46203</v>
      </c>
      <c r="C3008" s="31"/>
      <c r="D3008" s="29"/>
      <c r="E3008" s="29"/>
      <c r="F3008" s="32"/>
      <c r="G3008" s="29"/>
      <c r="H3008" s="29"/>
      <c r="I3008" s="29"/>
      <c r="J3008" s="33">
        <f>IF($O3008="방문완료",MAX(0,IFERROR(VLOOKUP($E3008,설정_코스수당!$A$6:$H$10,4,FALSE),0)-IF(OR($P3008="",$P3008="없음"),0,100000)),0)</f>
        <v>0</v>
      </c>
      <c r="K3008" s="33">
        <f t="array" ref="K3008">IF($O3008="방문완료",IFERROR(INDEX(설정_코스수당!$B$15:$F$64,MATCH($G3008,설정_코스수당!$A$15:$A$64,0),MATCH($E3008&amp;"수당",설정_코스수당!$B$14:$F$14,0)),0),0)</f>
        <v>0</v>
      </c>
      <c r="L3008" s="33">
        <f t="array" ref="L3008">IF($O3008="방문완료",IF($H3008="",0,IFERROR(INDEX(설정_코스수당!$B$15:$F$64,MATCH($H3008,설정_코스수당!$A$15:$A$64,0),MATCH($E3008&amp;"수당",설정_코스수당!$B$14:$F$14,0)),0)),0)</f>
        <v>0</v>
      </c>
      <c r="M3008" s="33">
        <f>IF($O3008="방문완료",IFERROR(VLOOKUP($E3008,설정_코스수당!$A$6:$H$10,6,FALSE),0),0)</f>
        <v>0</v>
      </c>
      <c r="N3008" s="34">
        <f t="shared" si="87"/>
        <v>0</v>
      </c>
      <c r="O3008" s="29"/>
      <c r="P3008" s="29"/>
      <c r="Q3008" s="29"/>
      <c r="R3008" s="32"/>
      <c r="S3008" s="29"/>
      <c r="U3008" s="104" t="s">
        <v>74</v>
      </c>
      <c r="V3008" s="108">
        <f>IF(30&lt;=DAY(DATE(YEAR(설정_코스수당!$K$2),MONTH(설정_코스수당!$K$2)+1,0)),SUM($U$3012:$U$3019),"")</f>
        <v>0</v>
      </c>
      <c r="W3008" s="122" t="str">
        <f>IF(30&lt;=DAY(DATE(YEAR(설정_코스수당!$K$2),MONTH(설정_코스수당!$K$2)+1,0)),"계 : "&amp;TEXT(V3004-V3008,"#,##0")&amp;" 동","")</f>
        <v>계 : 0 동</v>
      </c>
      <c r="X3008" s="122"/>
    </row>
    <row r="3009" spans="1:24" ht="19.5" hidden="1" customHeight="1" outlineLevel="1">
      <c r="A3009" s="23">
        <v>9</v>
      </c>
      <c r="B3009" s="24">
        <f>IF(30&lt;=DAY(DATE(YEAR(설정_코스수당!$K$2),MONTH(설정_코스수당!$K$2)+1,0)),DATE(YEAR(설정_코스수당!$K$2),MONTH(설정_코스수당!$K$2),30),"")</f>
        <v>46203</v>
      </c>
      <c r="C3009" s="25"/>
      <c r="D3009" s="23"/>
      <c r="E3009" s="23"/>
      <c r="F3009" s="26"/>
      <c r="G3009" s="23"/>
      <c r="H3009" s="23"/>
      <c r="I3009" s="23"/>
      <c r="J3009" s="27">
        <f>IF($O3009="방문완료",MAX(0,IFERROR(VLOOKUP($E3009,설정_코스수당!$A$6:$H$10,4,FALSE),0)-IF(OR($P3009="",$P3009="없음"),0,100000)),0)</f>
        <v>0</v>
      </c>
      <c r="K3009" s="27">
        <f t="array" ref="K3009">IF($O3009="방문완료",IFERROR(INDEX(설정_코스수당!$B$15:$F$64,MATCH($G3009,설정_코스수당!$A$15:$A$64,0),MATCH($E3009&amp;"수당",설정_코스수당!$B$14:$F$14,0)),0),0)</f>
        <v>0</v>
      </c>
      <c r="L3009" s="27">
        <f t="array" ref="L3009">IF($O3009="방문완료",IF($H3009="",0,IFERROR(INDEX(설정_코스수당!$B$15:$F$64,MATCH($H3009,설정_코스수당!$A$15:$A$64,0),MATCH($E3009&amp;"수당",설정_코스수당!$B$14:$F$14,0)),0)),0)</f>
        <v>0</v>
      </c>
      <c r="M3009" s="27">
        <f>IF($O3009="방문완료",IFERROR(VLOOKUP($E3009,설정_코스수당!$A$6:$H$10,6,FALSE),0),0)</f>
        <v>0</v>
      </c>
      <c r="N3009" s="28">
        <f t="shared" si="87"/>
        <v>0</v>
      </c>
      <c r="O3009" s="23"/>
      <c r="P3009" s="23"/>
      <c r="Q3009" s="23"/>
      <c r="R3009" s="26"/>
      <c r="S3009" s="23"/>
    </row>
    <row r="3010" spans="1:24" ht="19.5" hidden="1" customHeight="1" outlineLevel="1">
      <c r="A3010" s="29">
        <v>10</v>
      </c>
      <c r="B3010" s="30">
        <f>IF(30&lt;=DAY(DATE(YEAR(설정_코스수당!$K$2),MONTH(설정_코스수당!$K$2)+1,0)),DATE(YEAR(설정_코스수당!$K$2),MONTH(설정_코스수당!$K$2),30),"")</f>
        <v>46203</v>
      </c>
      <c r="C3010" s="31"/>
      <c r="D3010" s="29"/>
      <c r="E3010" s="29"/>
      <c r="F3010" s="32"/>
      <c r="G3010" s="29"/>
      <c r="H3010" s="29"/>
      <c r="I3010" s="29"/>
      <c r="J3010" s="33">
        <f>IF($O3010="방문완료",MAX(0,IFERROR(VLOOKUP($E3010,설정_코스수당!$A$6:$H$10,4,FALSE),0)-IF(OR($P3010="",$P3010="없음"),0,100000)),0)</f>
        <v>0</v>
      </c>
      <c r="K3010" s="33">
        <f t="array" ref="K3010">IF($O3010="방문완료",IFERROR(INDEX(설정_코스수당!$B$15:$F$64,MATCH($G3010,설정_코스수당!$A$15:$A$64,0),MATCH($E3010&amp;"수당",설정_코스수당!$B$14:$F$14,0)),0),0)</f>
        <v>0</v>
      </c>
      <c r="L3010" s="33">
        <f t="array" ref="L3010">IF($O3010="방문완료",IF($H3010="",0,IFERROR(INDEX(설정_코스수당!$B$15:$F$64,MATCH($H3010,설정_코스수당!$A$15:$A$64,0),MATCH($E3010&amp;"수당",설정_코스수당!$B$14:$F$14,0)),0)),0)</f>
        <v>0</v>
      </c>
      <c r="M3010" s="33">
        <f>IF($O3010="방문완료",IFERROR(VLOOKUP($E3010,설정_코스수당!$A$6:$H$10,6,FALSE),0),0)</f>
        <v>0</v>
      </c>
      <c r="N3010" s="34">
        <f t="shared" si="87"/>
        <v>0</v>
      </c>
      <c r="O3010" s="29"/>
      <c r="P3010" s="29"/>
      <c r="Q3010" s="29"/>
      <c r="R3010" s="32"/>
      <c r="S3010" s="29"/>
      <c r="U3010" s="120" t="s">
        <v>75</v>
      </c>
      <c r="V3010" s="121"/>
      <c r="W3010" s="121"/>
      <c r="X3010" s="121"/>
    </row>
    <row r="3011" spans="1:24" ht="19.5" hidden="1" customHeight="1" outlineLevel="1">
      <c r="A3011" s="23">
        <v>11</v>
      </c>
      <c r="B3011" s="24">
        <f>IF(30&lt;=DAY(DATE(YEAR(설정_코스수당!$K$2),MONTH(설정_코스수당!$K$2)+1,0)),DATE(YEAR(설정_코스수당!$K$2),MONTH(설정_코스수당!$K$2),30),"")</f>
        <v>46203</v>
      </c>
      <c r="C3011" s="25"/>
      <c r="D3011" s="23"/>
      <c r="E3011" s="23"/>
      <c r="F3011" s="26"/>
      <c r="G3011" s="23"/>
      <c r="H3011" s="23"/>
      <c r="I3011" s="23"/>
      <c r="J3011" s="27">
        <f>IF($O3011="방문완료",MAX(0,IFERROR(VLOOKUP($E3011,설정_코스수당!$A$6:$H$10,4,FALSE),0)-IF(OR($P3011="",$P3011="없음"),0,100000)),0)</f>
        <v>0</v>
      </c>
      <c r="K3011" s="27">
        <f t="array" ref="K3011">IF($O3011="방문완료",IFERROR(INDEX(설정_코스수당!$B$15:$F$64,MATCH($G3011,설정_코스수당!$A$15:$A$64,0),MATCH($E3011&amp;"수당",설정_코스수당!$B$14:$F$14,0)),0),0)</f>
        <v>0</v>
      </c>
      <c r="L3011" s="27">
        <f t="array" ref="L3011">IF($O3011="방문완료",IF($H3011="",0,IFERROR(INDEX(설정_코스수당!$B$15:$F$64,MATCH($H3011,설정_코스수당!$A$15:$A$64,0),MATCH($E3011&amp;"수당",설정_코스수당!$B$14:$F$14,0)),0)),0)</f>
        <v>0</v>
      </c>
      <c r="M3011" s="27">
        <f>IF($O3011="방문완료",IFERROR(VLOOKUP($E3011,설정_코스수당!$A$6:$H$10,6,FALSE),0),0)</f>
        <v>0</v>
      </c>
      <c r="N3011" s="28">
        <f t="shared" si="87"/>
        <v>0</v>
      </c>
      <c r="O3011" s="23"/>
      <c r="P3011" s="23"/>
      <c r="Q3011" s="23"/>
      <c r="R3011" s="26"/>
      <c r="S3011" s="23"/>
      <c r="U3011" s="109" t="s">
        <v>76</v>
      </c>
      <c r="V3011" s="109" t="s">
        <v>77</v>
      </c>
      <c r="W3011" s="109" t="s">
        <v>78</v>
      </c>
      <c r="X3011" s="109" t="s">
        <v>58</v>
      </c>
    </row>
    <row r="3012" spans="1:24" ht="19.5" hidden="1" customHeight="1" outlineLevel="1">
      <c r="A3012" s="29">
        <v>12</v>
      </c>
      <c r="B3012" s="30">
        <f>IF(30&lt;=DAY(DATE(YEAR(설정_코스수당!$K$2),MONTH(설정_코스수당!$K$2)+1,0)),DATE(YEAR(설정_코스수당!$K$2),MONTH(설정_코스수당!$K$2),30),"")</f>
        <v>46203</v>
      </c>
      <c r="C3012" s="31"/>
      <c r="D3012" s="29"/>
      <c r="E3012" s="29"/>
      <c r="F3012" s="32"/>
      <c r="G3012" s="29"/>
      <c r="H3012" s="29"/>
      <c r="I3012" s="29"/>
      <c r="J3012" s="33">
        <f>IF($O3012="방문완료",MAX(0,IFERROR(VLOOKUP($E3012,설정_코스수당!$A$6:$H$10,4,FALSE),0)-IF(OR($P3012="",$P3012="없음"),0,100000)),0)</f>
        <v>0</v>
      </c>
      <c r="K3012" s="33">
        <f t="array" ref="K3012">IF($O3012="방문완료",IFERROR(INDEX(설정_코스수당!$B$15:$F$64,MATCH($G3012,설정_코스수당!$A$15:$A$64,0),MATCH($E3012&amp;"수당",설정_코스수당!$B$14:$F$14,0)),0),0)</f>
        <v>0</v>
      </c>
      <c r="L3012" s="33">
        <f t="array" ref="L3012">IF($O3012="방문완료",IF($H3012="",0,IFERROR(INDEX(설정_코스수당!$B$15:$F$64,MATCH($H3012,설정_코스수당!$A$15:$A$64,0),MATCH($E3012&amp;"수당",설정_코스수당!$B$14:$F$14,0)),0)),0)</f>
        <v>0</v>
      </c>
      <c r="M3012" s="33">
        <f>IF($O3012="방문완료",IFERROR(VLOOKUP($E3012,설정_코스수당!$A$6:$H$10,6,FALSE),0),0)</f>
        <v>0</v>
      </c>
      <c r="N3012" s="34">
        <f t="shared" si="87"/>
        <v>0</v>
      </c>
      <c r="O3012" s="29"/>
      <c r="P3012" s="29"/>
      <c r="Q3012" s="29"/>
      <c r="R3012" s="32"/>
      <c r="S3012" s="29"/>
      <c r="U3012" s="113"/>
      <c r="V3012" s="111"/>
      <c r="W3012" s="112"/>
      <c r="X3012" s="111"/>
    </row>
    <row r="3013" spans="1:24" ht="19.5" hidden="1" customHeight="1" outlineLevel="1">
      <c r="A3013" s="23">
        <v>13</v>
      </c>
      <c r="B3013" s="24">
        <f>IF(30&lt;=DAY(DATE(YEAR(설정_코스수당!$K$2),MONTH(설정_코스수당!$K$2)+1,0)),DATE(YEAR(설정_코스수당!$K$2),MONTH(설정_코스수당!$K$2),30),"")</f>
        <v>46203</v>
      </c>
      <c r="C3013" s="25"/>
      <c r="D3013" s="23"/>
      <c r="E3013" s="23"/>
      <c r="F3013" s="26"/>
      <c r="G3013" s="23"/>
      <c r="H3013" s="23"/>
      <c r="I3013" s="23"/>
      <c r="J3013" s="27">
        <f>IF($O3013="방문완료",MAX(0,IFERROR(VLOOKUP($E3013,설정_코스수당!$A$6:$H$10,4,FALSE),0)-IF(OR($P3013="",$P3013="없음"),0,100000)),0)</f>
        <v>0</v>
      </c>
      <c r="K3013" s="27">
        <f t="array" ref="K3013">IF($O3013="방문완료",IFERROR(INDEX(설정_코스수당!$B$15:$F$64,MATCH($G3013,설정_코스수당!$A$15:$A$64,0),MATCH($E3013&amp;"수당",설정_코스수당!$B$14:$F$14,0)),0),0)</f>
        <v>0</v>
      </c>
      <c r="L3013" s="27">
        <f t="array" ref="L3013">IF($O3013="방문완료",IF($H3013="",0,IFERROR(INDEX(설정_코스수당!$B$15:$F$64,MATCH($H3013,설정_코스수당!$A$15:$A$64,0),MATCH($E3013&amp;"수당",설정_코스수당!$B$14:$F$14,0)),0)),0)</f>
        <v>0</v>
      </c>
      <c r="M3013" s="27">
        <f>IF($O3013="방문완료",IFERROR(VLOOKUP($E3013,설정_코스수당!$A$6:$H$10,6,FALSE),0),0)</f>
        <v>0</v>
      </c>
      <c r="N3013" s="28">
        <f t="shared" si="87"/>
        <v>0</v>
      </c>
      <c r="O3013" s="23"/>
      <c r="P3013" s="23"/>
      <c r="Q3013" s="23"/>
      <c r="R3013" s="26"/>
      <c r="S3013" s="23"/>
      <c r="U3013" s="113"/>
      <c r="V3013" s="111"/>
      <c r="W3013" s="112"/>
      <c r="X3013" s="111"/>
    </row>
    <row r="3014" spans="1:24" ht="19.5" hidden="1" customHeight="1" outlineLevel="1">
      <c r="A3014" s="29">
        <v>14</v>
      </c>
      <c r="B3014" s="30">
        <f>IF(30&lt;=DAY(DATE(YEAR(설정_코스수당!$K$2),MONTH(설정_코스수당!$K$2)+1,0)),DATE(YEAR(설정_코스수당!$K$2),MONTH(설정_코스수당!$K$2),30),"")</f>
        <v>46203</v>
      </c>
      <c r="C3014" s="31"/>
      <c r="D3014" s="29"/>
      <c r="E3014" s="29"/>
      <c r="F3014" s="32"/>
      <c r="G3014" s="29"/>
      <c r="H3014" s="29"/>
      <c r="I3014" s="29"/>
      <c r="J3014" s="33">
        <f>IF($O3014="방문완료",MAX(0,IFERROR(VLOOKUP($E3014,설정_코스수당!$A$6:$H$10,4,FALSE),0)-IF(OR($P3014="",$P3014="없음"),0,100000)),0)</f>
        <v>0</v>
      </c>
      <c r="K3014" s="33">
        <f t="array" ref="K3014">IF($O3014="방문완료",IFERROR(INDEX(설정_코스수당!$B$15:$F$64,MATCH($G3014,설정_코스수당!$A$15:$A$64,0),MATCH($E3014&amp;"수당",설정_코스수당!$B$14:$F$14,0)),0),0)</f>
        <v>0</v>
      </c>
      <c r="L3014" s="33">
        <f t="array" ref="L3014">IF($O3014="방문완료",IF($H3014="",0,IFERROR(INDEX(설정_코스수당!$B$15:$F$64,MATCH($H3014,설정_코스수당!$A$15:$A$64,0),MATCH($E3014&amp;"수당",설정_코스수당!$B$14:$F$14,0)),0)),0)</f>
        <v>0</v>
      </c>
      <c r="M3014" s="33">
        <f>IF($O3014="방문완료",IFERROR(VLOOKUP($E3014,설정_코스수당!$A$6:$H$10,6,FALSE),0),0)</f>
        <v>0</v>
      </c>
      <c r="N3014" s="34">
        <f t="shared" si="87"/>
        <v>0</v>
      </c>
      <c r="O3014" s="29"/>
      <c r="P3014" s="29"/>
      <c r="Q3014" s="29"/>
      <c r="R3014" s="32"/>
      <c r="S3014" s="29"/>
      <c r="U3014" s="113"/>
      <c r="V3014" s="111"/>
      <c r="W3014" s="112"/>
      <c r="X3014" s="111"/>
    </row>
    <row r="3015" spans="1:24" ht="19.5" hidden="1" customHeight="1" outlineLevel="1">
      <c r="A3015" s="23">
        <v>15</v>
      </c>
      <c r="B3015" s="24">
        <f>IF(30&lt;=DAY(DATE(YEAR(설정_코스수당!$K$2),MONTH(설정_코스수당!$K$2)+1,0)),DATE(YEAR(설정_코스수당!$K$2),MONTH(설정_코스수당!$K$2),30),"")</f>
        <v>46203</v>
      </c>
      <c r="C3015" s="25"/>
      <c r="D3015" s="23"/>
      <c r="E3015" s="23"/>
      <c r="F3015" s="26"/>
      <c r="G3015" s="23"/>
      <c r="H3015" s="23"/>
      <c r="I3015" s="23"/>
      <c r="J3015" s="27">
        <f>IF($O3015="방문완료",MAX(0,IFERROR(VLOOKUP($E3015,설정_코스수당!$A$6:$H$10,4,FALSE),0)-IF(OR($P3015="",$P3015="없음"),0,100000)),0)</f>
        <v>0</v>
      </c>
      <c r="K3015" s="27">
        <f t="array" ref="K3015">IF($O3015="방문완료",IFERROR(INDEX(설정_코스수당!$B$15:$F$64,MATCH($G3015,설정_코스수당!$A$15:$A$64,0),MATCH($E3015&amp;"수당",설정_코스수당!$B$14:$F$14,0)),0),0)</f>
        <v>0</v>
      </c>
      <c r="L3015" s="27">
        <f t="array" ref="L3015">IF($O3015="방문완료",IF($H3015="",0,IFERROR(INDEX(설정_코스수당!$B$15:$F$64,MATCH($H3015,설정_코스수당!$A$15:$A$64,0),MATCH($E3015&amp;"수당",설정_코스수당!$B$14:$F$14,0)),0)),0)</f>
        <v>0</v>
      </c>
      <c r="M3015" s="27">
        <f>IF($O3015="방문완료",IFERROR(VLOOKUP($E3015,설정_코스수당!$A$6:$H$10,6,FALSE),0),0)</f>
        <v>0</v>
      </c>
      <c r="N3015" s="28">
        <f t="shared" si="87"/>
        <v>0</v>
      </c>
      <c r="O3015" s="23"/>
      <c r="P3015" s="23"/>
      <c r="Q3015" s="23"/>
      <c r="R3015" s="26"/>
      <c r="S3015" s="23"/>
      <c r="U3015" s="113"/>
      <c r="V3015" s="111"/>
      <c r="W3015" s="112"/>
      <c r="X3015" s="111"/>
    </row>
    <row r="3016" spans="1:24" ht="19.5" hidden="1" customHeight="1" outlineLevel="1">
      <c r="A3016" s="29">
        <v>16</v>
      </c>
      <c r="B3016" s="30">
        <f>IF(30&lt;=DAY(DATE(YEAR(설정_코스수당!$K$2),MONTH(설정_코스수당!$K$2)+1,0)),DATE(YEAR(설정_코스수당!$K$2),MONTH(설정_코스수당!$K$2),30),"")</f>
        <v>46203</v>
      </c>
      <c r="C3016" s="31"/>
      <c r="D3016" s="29"/>
      <c r="E3016" s="29"/>
      <c r="F3016" s="32"/>
      <c r="G3016" s="29"/>
      <c r="H3016" s="29"/>
      <c r="I3016" s="29"/>
      <c r="J3016" s="33">
        <f>IF($O3016="방문완료",MAX(0,IFERROR(VLOOKUP($E3016,설정_코스수당!$A$6:$H$10,4,FALSE),0)-IF(OR($P3016="",$P3016="없음"),0,100000)),0)</f>
        <v>0</v>
      </c>
      <c r="K3016" s="33">
        <f t="array" ref="K3016">IF($O3016="방문완료",IFERROR(INDEX(설정_코스수당!$B$15:$F$64,MATCH($G3016,설정_코스수당!$A$15:$A$64,0),MATCH($E3016&amp;"수당",설정_코스수당!$B$14:$F$14,0)),0),0)</f>
        <v>0</v>
      </c>
      <c r="L3016" s="33">
        <f t="array" ref="L3016">IF($O3016="방문완료",IF($H3016="",0,IFERROR(INDEX(설정_코스수당!$B$15:$F$64,MATCH($H3016,설정_코스수당!$A$15:$A$64,0),MATCH($E3016&amp;"수당",설정_코스수당!$B$14:$F$14,0)),0)),0)</f>
        <v>0</v>
      </c>
      <c r="M3016" s="33">
        <f>IF($O3016="방문완료",IFERROR(VLOOKUP($E3016,설정_코스수당!$A$6:$H$10,6,FALSE),0),0)</f>
        <v>0</v>
      </c>
      <c r="N3016" s="34">
        <f t="shared" si="87"/>
        <v>0</v>
      </c>
      <c r="O3016" s="29"/>
      <c r="P3016" s="29"/>
      <c r="Q3016" s="29"/>
      <c r="R3016" s="32"/>
      <c r="S3016" s="29"/>
      <c r="U3016" s="113"/>
      <c r="V3016" s="111"/>
      <c r="W3016" s="112"/>
      <c r="X3016" s="111"/>
    </row>
    <row r="3017" spans="1:24" ht="19.5" hidden="1" customHeight="1" outlineLevel="1">
      <c r="A3017" s="23">
        <v>17</v>
      </c>
      <c r="B3017" s="24">
        <f>IF(30&lt;=DAY(DATE(YEAR(설정_코스수당!$K$2),MONTH(설정_코스수당!$K$2)+1,0)),DATE(YEAR(설정_코스수당!$K$2),MONTH(설정_코스수당!$K$2),30),"")</f>
        <v>46203</v>
      </c>
      <c r="C3017" s="25"/>
      <c r="D3017" s="23"/>
      <c r="E3017" s="23"/>
      <c r="F3017" s="26"/>
      <c r="G3017" s="23"/>
      <c r="H3017" s="23"/>
      <c r="I3017" s="23"/>
      <c r="J3017" s="27">
        <f>IF($O3017="방문완료",MAX(0,IFERROR(VLOOKUP($E3017,설정_코스수당!$A$6:$H$10,4,FALSE),0)-IF(OR($P3017="",$P3017="없음"),0,100000)),0)</f>
        <v>0</v>
      </c>
      <c r="K3017" s="27">
        <f t="array" ref="K3017">IF($O3017="방문완료",IFERROR(INDEX(설정_코스수당!$B$15:$F$64,MATCH($G3017,설정_코스수당!$A$15:$A$64,0),MATCH($E3017&amp;"수당",설정_코스수당!$B$14:$F$14,0)),0),0)</f>
        <v>0</v>
      </c>
      <c r="L3017" s="27">
        <f t="array" ref="L3017">IF($O3017="방문완료",IF($H3017="",0,IFERROR(INDEX(설정_코스수당!$B$15:$F$64,MATCH($H3017,설정_코스수당!$A$15:$A$64,0),MATCH($E3017&amp;"수당",설정_코스수당!$B$14:$F$14,0)),0)),0)</f>
        <v>0</v>
      </c>
      <c r="M3017" s="27">
        <f>IF($O3017="방문완료",IFERROR(VLOOKUP($E3017,설정_코스수당!$A$6:$H$10,6,FALSE),0),0)</f>
        <v>0</v>
      </c>
      <c r="N3017" s="28">
        <f t="shared" si="87"/>
        <v>0</v>
      </c>
      <c r="O3017" s="23"/>
      <c r="P3017" s="23"/>
      <c r="Q3017" s="23"/>
      <c r="R3017" s="26"/>
      <c r="S3017" s="23"/>
      <c r="U3017" s="113"/>
      <c r="V3017" s="111"/>
      <c r="W3017" s="112"/>
      <c r="X3017" s="111"/>
    </row>
    <row r="3018" spans="1:24" ht="19.5" hidden="1" customHeight="1" outlineLevel="1">
      <c r="A3018" s="29">
        <v>18</v>
      </c>
      <c r="B3018" s="30">
        <f>IF(30&lt;=DAY(DATE(YEAR(설정_코스수당!$K$2),MONTH(설정_코스수당!$K$2)+1,0)),DATE(YEAR(설정_코스수당!$K$2),MONTH(설정_코스수당!$K$2),30),"")</f>
        <v>46203</v>
      </c>
      <c r="C3018" s="31"/>
      <c r="D3018" s="29"/>
      <c r="E3018" s="29"/>
      <c r="F3018" s="32"/>
      <c r="G3018" s="29"/>
      <c r="H3018" s="29"/>
      <c r="I3018" s="29"/>
      <c r="J3018" s="33">
        <f>IF($O3018="방문완료",MAX(0,IFERROR(VLOOKUP($E3018,설정_코스수당!$A$6:$H$10,4,FALSE),0)-IF(OR($P3018="",$P3018="없음"),0,100000)),0)</f>
        <v>0</v>
      </c>
      <c r="K3018" s="33">
        <f t="array" ref="K3018">IF($O3018="방문완료",IFERROR(INDEX(설정_코스수당!$B$15:$F$64,MATCH($G3018,설정_코스수당!$A$15:$A$64,0),MATCH($E3018&amp;"수당",설정_코스수당!$B$14:$F$14,0)),0),0)</f>
        <v>0</v>
      </c>
      <c r="L3018" s="33">
        <f t="array" ref="L3018">IF($O3018="방문완료",IF($H3018="",0,IFERROR(INDEX(설정_코스수당!$B$15:$F$64,MATCH($H3018,설정_코스수당!$A$15:$A$64,0),MATCH($E3018&amp;"수당",설정_코스수당!$B$14:$F$14,0)),0)),0)</f>
        <v>0</v>
      </c>
      <c r="M3018" s="33">
        <f>IF($O3018="방문완료",IFERROR(VLOOKUP($E3018,설정_코스수당!$A$6:$H$10,6,FALSE),0),0)</f>
        <v>0</v>
      </c>
      <c r="N3018" s="34">
        <f t="shared" si="87"/>
        <v>0</v>
      </c>
      <c r="O3018" s="29"/>
      <c r="P3018" s="29"/>
      <c r="Q3018" s="29"/>
      <c r="R3018" s="32"/>
      <c r="S3018" s="29"/>
      <c r="U3018" s="113"/>
      <c r="V3018" s="111"/>
      <c r="W3018" s="112"/>
      <c r="X3018" s="111"/>
    </row>
    <row r="3019" spans="1:24" ht="19.5" hidden="1" customHeight="1" outlineLevel="1">
      <c r="A3019" s="23">
        <v>19</v>
      </c>
      <c r="B3019" s="24">
        <f>IF(30&lt;=DAY(DATE(YEAR(설정_코스수당!$K$2),MONTH(설정_코스수당!$K$2)+1,0)),DATE(YEAR(설정_코스수당!$K$2),MONTH(설정_코스수당!$K$2),30),"")</f>
        <v>46203</v>
      </c>
      <c r="C3019" s="25"/>
      <c r="D3019" s="23"/>
      <c r="E3019" s="23"/>
      <c r="F3019" s="26"/>
      <c r="G3019" s="23"/>
      <c r="H3019" s="23"/>
      <c r="I3019" s="23"/>
      <c r="J3019" s="27">
        <f>IF($O3019="방문완료",MAX(0,IFERROR(VLOOKUP($E3019,설정_코스수당!$A$6:$H$10,4,FALSE),0)-IF(OR($P3019="",$P3019="없음"),0,100000)),0)</f>
        <v>0</v>
      </c>
      <c r="K3019" s="27">
        <f t="array" ref="K3019">IF($O3019="방문완료",IFERROR(INDEX(설정_코스수당!$B$15:$F$64,MATCH($G3019,설정_코스수당!$A$15:$A$64,0),MATCH($E3019&amp;"수당",설정_코스수당!$B$14:$F$14,0)),0),0)</f>
        <v>0</v>
      </c>
      <c r="L3019" s="27">
        <f t="array" ref="L3019">IF($O3019="방문완료",IF($H3019="",0,IFERROR(INDEX(설정_코스수당!$B$15:$F$64,MATCH($H3019,설정_코스수당!$A$15:$A$64,0),MATCH($E3019&amp;"수당",설정_코스수당!$B$14:$F$14,0)),0)),0)</f>
        <v>0</v>
      </c>
      <c r="M3019" s="27">
        <f>IF($O3019="방문완료",IFERROR(VLOOKUP($E3019,설정_코스수당!$A$6:$H$10,6,FALSE),0),0)</f>
        <v>0</v>
      </c>
      <c r="N3019" s="28">
        <f t="shared" si="87"/>
        <v>0</v>
      </c>
      <c r="O3019" s="23"/>
      <c r="P3019" s="23"/>
      <c r="Q3019" s="23"/>
      <c r="R3019" s="26"/>
      <c r="S3019" s="23"/>
      <c r="U3019" s="113"/>
      <c r="V3019" s="111"/>
      <c r="W3019" s="112"/>
      <c r="X3019" s="111"/>
    </row>
    <row r="3020" spans="1:24" ht="19.5" hidden="1" customHeight="1" outlineLevel="1">
      <c r="A3020" s="29">
        <v>20</v>
      </c>
      <c r="B3020" s="30">
        <f>IF(30&lt;=DAY(DATE(YEAR(설정_코스수당!$K$2),MONTH(설정_코스수당!$K$2)+1,0)),DATE(YEAR(설정_코스수당!$K$2),MONTH(설정_코스수당!$K$2),30),"")</f>
        <v>46203</v>
      </c>
      <c r="C3020" s="31"/>
      <c r="D3020" s="29"/>
      <c r="E3020" s="29"/>
      <c r="F3020" s="32"/>
      <c r="G3020" s="29"/>
      <c r="H3020" s="29"/>
      <c r="I3020" s="29"/>
      <c r="J3020" s="33">
        <f>IF($O3020="방문완료",MAX(0,IFERROR(VLOOKUP($E3020,설정_코스수당!$A$6:$H$10,4,FALSE),0)-IF(OR($P3020="",$P3020="없음"),0,100000)),0)</f>
        <v>0</v>
      </c>
      <c r="K3020" s="33">
        <f t="array" ref="K3020">IF($O3020="방문완료",IFERROR(INDEX(설정_코스수당!$B$15:$F$64,MATCH($G3020,설정_코스수당!$A$15:$A$64,0),MATCH($E3020&amp;"수당",설정_코스수당!$B$14:$F$14,0)),0),0)</f>
        <v>0</v>
      </c>
      <c r="L3020" s="33">
        <f t="array" ref="L3020">IF($O3020="방문완료",IF($H3020="",0,IFERROR(INDEX(설정_코스수당!$B$15:$F$64,MATCH($H3020,설정_코스수당!$A$15:$A$64,0),MATCH($E3020&amp;"수당",설정_코스수당!$B$14:$F$14,0)),0)),0)</f>
        <v>0</v>
      </c>
      <c r="M3020" s="33">
        <f>IF($O3020="방문완료",IFERROR(VLOOKUP($E3020,설정_코스수당!$A$6:$H$10,6,FALSE),0),0)</f>
        <v>0</v>
      </c>
      <c r="N3020" s="34">
        <f t="shared" si="87"/>
        <v>0</v>
      </c>
      <c r="O3020" s="29"/>
      <c r="P3020" s="29"/>
      <c r="Q3020" s="29"/>
      <c r="R3020" s="32"/>
      <c r="S3020" s="29"/>
      <c r="U3020" s="16" t="s">
        <v>72</v>
      </c>
      <c r="V3020" s="17" t="str">
        <f>IF(31&lt;=DAY(DATE(YEAR(설정_코스수당!$K$2),MONTH(설정_코스수당!$K$2)+1,0)),COUNTIFS($B:$B,DATE(YEAR(설정_코스수당!$K$2),MONTH(설정_코스수당!$K$2),31),$O:$O,"방문완료",$P:$P,"&lt;&gt;",$P:$P,"&lt;&gt;없음")*100000,"")</f>
        <v/>
      </c>
    </row>
    <row r="3021" spans="1:24" ht="19.5" hidden="1" customHeight="1" outlineLevel="1">
      <c r="A3021" s="23">
        <v>21</v>
      </c>
      <c r="B3021" s="24">
        <f>IF(30&lt;=DAY(DATE(YEAR(설정_코스수당!$K$2),MONTH(설정_코스수당!$K$2)+1,0)),DATE(YEAR(설정_코스수당!$K$2),MONTH(설정_코스수당!$K$2),30),"")</f>
        <v>46203</v>
      </c>
      <c r="C3021" s="25"/>
      <c r="D3021" s="23"/>
      <c r="E3021" s="23"/>
      <c r="F3021" s="26"/>
      <c r="G3021" s="23"/>
      <c r="H3021" s="23"/>
      <c r="I3021" s="23"/>
      <c r="J3021" s="27">
        <f>IF($O3021="방문완료",MAX(0,IFERROR(VLOOKUP($E3021,설정_코스수당!$A$6:$H$10,4,FALSE),0)-IF(OR($P3021="",$P3021="없음"),0,100000)),0)</f>
        <v>0</v>
      </c>
      <c r="K3021" s="27">
        <f t="array" ref="K3021">IF($O3021="방문완료",IFERROR(INDEX(설정_코스수당!$B$15:$F$64,MATCH($G3021,설정_코스수당!$A$15:$A$64,0),MATCH($E3021&amp;"수당",설정_코스수당!$B$14:$F$14,0)),0),0)</f>
        <v>0</v>
      </c>
      <c r="L3021" s="27">
        <f t="array" ref="L3021">IF($O3021="방문완료",IF($H3021="",0,IFERROR(INDEX(설정_코스수당!$B$15:$F$64,MATCH($H3021,설정_코스수당!$A$15:$A$64,0),MATCH($E3021&amp;"수당",설정_코스수당!$B$14:$F$14,0)),0)),0)</f>
        <v>0</v>
      </c>
      <c r="M3021" s="27">
        <f>IF($O3021="방문완료",IFERROR(VLOOKUP($E3021,설정_코스수당!$A$6:$H$10,6,FALSE),0),0)</f>
        <v>0</v>
      </c>
      <c r="N3021" s="28">
        <f t="shared" si="87"/>
        <v>0</v>
      </c>
      <c r="O3021" s="23"/>
      <c r="P3021" s="23"/>
      <c r="Q3021" s="23"/>
      <c r="R3021" s="26"/>
      <c r="S3021" s="23"/>
    </row>
    <row r="3022" spans="1:24" ht="19.5" hidden="1" customHeight="1" outlineLevel="1">
      <c r="A3022" s="29">
        <v>22</v>
      </c>
      <c r="B3022" s="30">
        <f>IF(30&lt;=DAY(DATE(YEAR(설정_코스수당!$K$2),MONTH(설정_코스수당!$K$2)+1,0)),DATE(YEAR(설정_코스수당!$K$2),MONTH(설정_코스수당!$K$2),30),"")</f>
        <v>46203</v>
      </c>
      <c r="C3022" s="31"/>
      <c r="D3022" s="29"/>
      <c r="E3022" s="29"/>
      <c r="F3022" s="32"/>
      <c r="G3022" s="29"/>
      <c r="H3022" s="29"/>
      <c r="I3022" s="29"/>
      <c r="J3022" s="33">
        <f>IF($O3022="방문완료",MAX(0,IFERROR(VLOOKUP($E3022,설정_코스수당!$A$6:$H$10,4,FALSE),0)-IF(OR($P3022="",$P3022="없음"),0,100000)),0)</f>
        <v>0</v>
      </c>
      <c r="K3022" s="33">
        <f t="array" ref="K3022">IF($O3022="방문완료",IFERROR(INDEX(설정_코스수당!$B$15:$F$64,MATCH($G3022,설정_코스수당!$A$15:$A$64,0),MATCH($E3022&amp;"수당",설정_코스수당!$B$14:$F$14,0)),0),0)</f>
        <v>0</v>
      </c>
      <c r="L3022" s="33">
        <f t="array" ref="L3022">IF($O3022="방문완료",IF($H3022="",0,IFERROR(INDEX(설정_코스수당!$B$15:$F$64,MATCH($H3022,설정_코스수당!$A$15:$A$64,0),MATCH($E3022&amp;"수당",설정_코스수당!$B$14:$F$14,0)),0)),0)</f>
        <v>0</v>
      </c>
      <c r="M3022" s="33">
        <f>IF($O3022="방문완료",IFERROR(VLOOKUP($E3022,설정_코스수당!$A$6:$H$10,6,FALSE),0),0)</f>
        <v>0</v>
      </c>
      <c r="N3022" s="34">
        <f t="shared" si="87"/>
        <v>0</v>
      </c>
      <c r="O3022" s="29"/>
      <c r="P3022" s="29"/>
      <c r="Q3022" s="29"/>
      <c r="R3022" s="32"/>
      <c r="S3022" s="29"/>
    </row>
    <row r="3023" spans="1:24" ht="19.5" hidden="1" customHeight="1" outlineLevel="1">
      <c r="A3023" s="23">
        <v>23</v>
      </c>
      <c r="B3023" s="24">
        <f>IF(30&lt;=DAY(DATE(YEAR(설정_코스수당!$K$2),MONTH(설정_코스수당!$K$2)+1,0)),DATE(YEAR(설정_코스수당!$K$2),MONTH(설정_코스수당!$K$2),30),"")</f>
        <v>46203</v>
      </c>
      <c r="C3023" s="25"/>
      <c r="D3023" s="23"/>
      <c r="E3023" s="23"/>
      <c r="F3023" s="26"/>
      <c r="G3023" s="23"/>
      <c r="H3023" s="23"/>
      <c r="I3023" s="23"/>
      <c r="J3023" s="27">
        <f>IF($O3023="방문완료",MAX(0,IFERROR(VLOOKUP($E3023,설정_코스수당!$A$6:$H$10,4,FALSE),0)-IF(OR($P3023="",$P3023="없음"),0,100000)),0)</f>
        <v>0</v>
      </c>
      <c r="K3023" s="27">
        <f t="array" ref="K3023">IF($O3023="방문완료",IFERROR(INDEX(설정_코스수당!$B$15:$F$64,MATCH($G3023,설정_코스수당!$A$15:$A$64,0),MATCH($E3023&amp;"수당",설정_코스수당!$B$14:$F$14,0)),0),0)</f>
        <v>0</v>
      </c>
      <c r="L3023" s="27">
        <f t="array" ref="L3023">IF($O3023="방문완료",IF($H3023="",0,IFERROR(INDEX(설정_코스수당!$B$15:$F$64,MATCH($H3023,설정_코스수당!$A$15:$A$64,0),MATCH($E3023&amp;"수당",설정_코스수당!$B$14:$F$14,0)),0)),0)</f>
        <v>0</v>
      </c>
      <c r="M3023" s="27">
        <f>IF($O3023="방문완료",IFERROR(VLOOKUP($E3023,설정_코스수당!$A$6:$H$10,6,FALSE),0),0)</f>
        <v>0</v>
      </c>
      <c r="N3023" s="28">
        <f t="shared" si="87"/>
        <v>0</v>
      </c>
      <c r="O3023" s="23"/>
      <c r="P3023" s="23"/>
      <c r="Q3023" s="23"/>
      <c r="R3023" s="26"/>
      <c r="S3023" s="23"/>
    </row>
    <row r="3024" spans="1:24" ht="19.5" hidden="1" customHeight="1" outlineLevel="1">
      <c r="A3024" s="29">
        <v>24</v>
      </c>
      <c r="B3024" s="30">
        <f>IF(30&lt;=DAY(DATE(YEAR(설정_코스수당!$K$2),MONTH(설정_코스수당!$K$2)+1,0)),DATE(YEAR(설정_코스수당!$K$2),MONTH(설정_코스수당!$K$2),30),"")</f>
        <v>46203</v>
      </c>
      <c r="C3024" s="31"/>
      <c r="D3024" s="29"/>
      <c r="E3024" s="29"/>
      <c r="F3024" s="32"/>
      <c r="G3024" s="29"/>
      <c r="H3024" s="29"/>
      <c r="I3024" s="29"/>
      <c r="J3024" s="33">
        <f>IF($O3024="방문완료",MAX(0,IFERROR(VLOOKUP($E3024,설정_코스수당!$A$6:$H$10,4,FALSE),0)-IF(OR($P3024="",$P3024="없음"),0,100000)),0)</f>
        <v>0</v>
      </c>
      <c r="K3024" s="33">
        <f t="array" ref="K3024">IF($O3024="방문완료",IFERROR(INDEX(설정_코스수당!$B$15:$F$64,MATCH($G3024,설정_코스수당!$A$15:$A$64,0),MATCH($E3024&amp;"수당",설정_코스수당!$B$14:$F$14,0)),0),0)</f>
        <v>0</v>
      </c>
      <c r="L3024" s="33">
        <f t="array" ref="L3024">IF($O3024="방문완료",IF($H3024="",0,IFERROR(INDEX(설정_코스수당!$B$15:$F$64,MATCH($H3024,설정_코스수당!$A$15:$A$64,0),MATCH($E3024&amp;"수당",설정_코스수당!$B$14:$F$14,0)),0)),0)</f>
        <v>0</v>
      </c>
      <c r="M3024" s="33">
        <f>IF($O3024="방문완료",IFERROR(VLOOKUP($E3024,설정_코스수당!$A$6:$H$10,6,FALSE),0),0)</f>
        <v>0</v>
      </c>
      <c r="N3024" s="34">
        <f t="shared" si="87"/>
        <v>0</v>
      </c>
      <c r="O3024" s="29"/>
      <c r="P3024" s="29"/>
      <c r="Q3024" s="29"/>
      <c r="R3024" s="32"/>
      <c r="S3024" s="29"/>
    </row>
    <row r="3025" spans="1:19" ht="19.5" hidden="1" customHeight="1" outlineLevel="1">
      <c r="A3025" s="23">
        <v>25</v>
      </c>
      <c r="B3025" s="24">
        <f>IF(30&lt;=DAY(DATE(YEAR(설정_코스수당!$K$2),MONTH(설정_코스수당!$K$2)+1,0)),DATE(YEAR(설정_코스수당!$K$2),MONTH(설정_코스수당!$K$2),30),"")</f>
        <v>46203</v>
      </c>
      <c r="C3025" s="25"/>
      <c r="D3025" s="23"/>
      <c r="E3025" s="23"/>
      <c r="F3025" s="26"/>
      <c r="G3025" s="23"/>
      <c r="H3025" s="23"/>
      <c r="I3025" s="23"/>
      <c r="J3025" s="27">
        <f>IF($O3025="방문완료",MAX(0,IFERROR(VLOOKUP($E3025,설정_코스수당!$A$6:$H$10,4,FALSE),0)-IF(OR($P3025="",$P3025="없음"),0,100000)),0)</f>
        <v>0</v>
      </c>
      <c r="K3025" s="27">
        <f t="array" ref="K3025">IF($O3025="방문완료",IFERROR(INDEX(설정_코스수당!$B$15:$F$64,MATCH($G3025,설정_코스수당!$A$15:$A$64,0),MATCH($E3025&amp;"수당",설정_코스수당!$B$14:$F$14,0)),0),0)</f>
        <v>0</v>
      </c>
      <c r="L3025" s="27">
        <f t="array" ref="L3025">IF($O3025="방문완료",IF($H3025="",0,IFERROR(INDEX(설정_코스수당!$B$15:$F$64,MATCH($H3025,설정_코스수당!$A$15:$A$64,0),MATCH($E3025&amp;"수당",설정_코스수당!$B$14:$F$14,0)),0)),0)</f>
        <v>0</v>
      </c>
      <c r="M3025" s="27">
        <f>IF($O3025="방문완료",IFERROR(VLOOKUP($E3025,설정_코스수당!$A$6:$H$10,6,FALSE),0),0)</f>
        <v>0</v>
      </c>
      <c r="N3025" s="28">
        <f t="shared" si="87"/>
        <v>0</v>
      </c>
      <c r="O3025" s="23"/>
      <c r="P3025" s="23"/>
      <c r="Q3025" s="23"/>
      <c r="R3025" s="26"/>
      <c r="S3025" s="23"/>
    </row>
    <row r="3026" spans="1:19" ht="19.5" hidden="1" customHeight="1" outlineLevel="1">
      <c r="A3026" s="29">
        <v>26</v>
      </c>
      <c r="B3026" s="30">
        <f>IF(30&lt;=DAY(DATE(YEAR(설정_코스수당!$K$2),MONTH(설정_코스수당!$K$2)+1,0)),DATE(YEAR(설정_코스수당!$K$2),MONTH(설정_코스수당!$K$2),30),"")</f>
        <v>46203</v>
      </c>
      <c r="C3026" s="31"/>
      <c r="D3026" s="29"/>
      <c r="E3026" s="29"/>
      <c r="F3026" s="32"/>
      <c r="G3026" s="29"/>
      <c r="H3026" s="29"/>
      <c r="I3026" s="29"/>
      <c r="J3026" s="33">
        <f>IF($O3026="방문완료",MAX(0,IFERROR(VLOOKUP($E3026,설정_코스수당!$A$6:$H$10,4,FALSE),0)-IF(OR($P3026="",$P3026="없음"),0,100000)),0)</f>
        <v>0</v>
      </c>
      <c r="K3026" s="33">
        <f t="array" ref="K3026">IF($O3026="방문완료",IFERROR(INDEX(설정_코스수당!$B$15:$F$64,MATCH($G3026,설정_코스수당!$A$15:$A$64,0),MATCH($E3026&amp;"수당",설정_코스수당!$B$14:$F$14,0)),0),0)</f>
        <v>0</v>
      </c>
      <c r="L3026" s="33">
        <f t="array" ref="L3026">IF($O3026="방문완료",IF($H3026="",0,IFERROR(INDEX(설정_코스수당!$B$15:$F$64,MATCH($H3026,설정_코스수당!$A$15:$A$64,0),MATCH($E3026&amp;"수당",설정_코스수당!$B$14:$F$14,0)),0)),0)</f>
        <v>0</v>
      </c>
      <c r="M3026" s="33">
        <f>IF($O3026="방문완료",IFERROR(VLOOKUP($E3026,설정_코스수당!$A$6:$H$10,6,FALSE),0),0)</f>
        <v>0</v>
      </c>
      <c r="N3026" s="34">
        <f t="shared" si="87"/>
        <v>0</v>
      </c>
      <c r="O3026" s="29"/>
      <c r="P3026" s="29"/>
      <c r="Q3026" s="29"/>
      <c r="R3026" s="32"/>
      <c r="S3026" s="29"/>
    </row>
    <row r="3027" spans="1:19" ht="19.5" hidden="1" customHeight="1" outlineLevel="1">
      <c r="A3027" s="23">
        <v>27</v>
      </c>
      <c r="B3027" s="24">
        <f>IF(30&lt;=DAY(DATE(YEAR(설정_코스수당!$K$2),MONTH(설정_코스수당!$K$2)+1,0)),DATE(YEAR(설정_코스수당!$K$2),MONTH(설정_코스수당!$K$2),30),"")</f>
        <v>46203</v>
      </c>
      <c r="C3027" s="25"/>
      <c r="D3027" s="23"/>
      <c r="E3027" s="23"/>
      <c r="F3027" s="26"/>
      <c r="G3027" s="23"/>
      <c r="H3027" s="23"/>
      <c r="I3027" s="23"/>
      <c r="J3027" s="27">
        <f>IF($O3027="방문완료",MAX(0,IFERROR(VLOOKUP($E3027,설정_코스수당!$A$6:$H$10,4,FALSE),0)-IF(OR($P3027="",$P3027="없음"),0,100000)),0)</f>
        <v>0</v>
      </c>
      <c r="K3027" s="27">
        <f t="array" ref="K3027">IF($O3027="방문완료",IFERROR(INDEX(설정_코스수당!$B$15:$F$64,MATCH($G3027,설정_코스수당!$A$15:$A$64,0),MATCH($E3027&amp;"수당",설정_코스수당!$B$14:$F$14,0)),0),0)</f>
        <v>0</v>
      </c>
      <c r="L3027" s="27">
        <f t="array" ref="L3027">IF($O3027="방문완료",IF($H3027="",0,IFERROR(INDEX(설정_코스수당!$B$15:$F$64,MATCH($H3027,설정_코스수당!$A$15:$A$64,0),MATCH($E3027&amp;"수당",설정_코스수당!$B$14:$F$14,0)),0)),0)</f>
        <v>0</v>
      </c>
      <c r="M3027" s="27">
        <f>IF($O3027="방문완료",IFERROR(VLOOKUP($E3027,설정_코스수당!$A$6:$H$10,6,FALSE),0),0)</f>
        <v>0</v>
      </c>
      <c r="N3027" s="28">
        <f t="shared" si="87"/>
        <v>0</v>
      </c>
      <c r="O3027" s="23"/>
      <c r="P3027" s="23"/>
      <c r="Q3027" s="23"/>
      <c r="R3027" s="26"/>
      <c r="S3027" s="23"/>
    </row>
    <row r="3028" spans="1:19" ht="19.5" hidden="1" customHeight="1" outlineLevel="1">
      <c r="A3028" s="29">
        <v>28</v>
      </c>
      <c r="B3028" s="30">
        <f>IF(30&lt;=DAY(DATE(YEAR(설정_코스수당!$K$2),MONTH(설정_코스수당!$K$2)+1,0)),DATE(YEAR(설정_코스수당!$K$2),MONTH(설정_코스수당!$K$2),30),"")</f>
        <v>46203</v>
      </c>
      <c r="C3028" s="31"/>
      <c r="D3028" s="29"/>
      <c r="E3028" s="29"/>
      <c r="F3028" s="32"/>
      <c r="G3028" s="29"/>
      <c r="H3028" s="29"/>
      <c r="I3028" s="29"/>
      <c r="J3028" s="33">
        <f>IF($O3028="방문완료",MAX(0,IFERROR(VLOOKUP($E3028,설정_코스수당!$A$6:$H$10,4,FALSE),0)-IF(OR($P3028="",$P3028="없음"),0,100000)),0)</f>
        <v>0</v>
      </c>
      <c r="K3028" s="33">
        <f t="array" ref="K3028">IF($O3028="방문완료",IFERROR(INDEX(설정_코스수당!$B$15:$F$64,MATCH($G3028,설정_코스수당!$A$15:$A$64,0),MATCH($E3028&amp;"수당",설정_코스수당!$B$14:$F$14,0)),0),0)</f>
        <v>0</v>
      </c>
      <c r="L3028" s="33">
        <f t="array" ref="L3028">IF($O3028="방문완료",IF($H3028="",0,IFERROR(INDEX(설정_코스수당!$B$15:$F$64,MATCH($H3028,설정_코스수당!$A$15:$A$64,0),MATCH($E3028&amp;"수당",설정_코스수당!$B$14:$F$14,0)),0)),0)</f>
        <v>0</v>
      </c>
      <c r="M3028" s="33">
        <f>IF($O3028="방문완료",IFERROR(VLOOKUP($E3028,설정_코스수당!$A$6:$H$10,6,FALSE),0),0)</f>
        <v>0</v>
      </c>
      <c r="N3028" s="34">
        <f t="shared" si="87"/>
        <v>0</v>
      </c>
      <c r="O3028" s="29"/>
      <c r="P3028" s="29"/>
      <c r="Q3028" s="29"/>
      <c r="R3028" s="32"/>
      <c r="S3028" s="29"/>
    </row>
    <row r="3029" spans="1:19" ht="19.5" hidden="1" customHeight="1" outlineLevel="1">
      <c r="A3029" s="23">
        <v>29</v>
      </c>
      <c r="B3029" s="24">
        <f>IF(30&lt;=DAY(DATE(YEAR(설정_코스수당!$K$2),MONTH(설정_코스수당!$K$2)+1,0)),DATE(YEAR(설정_코스수당!$K$2),MONTH(설정_코스수당!$K$2),30),"")</f>
        <v>46203</v>
      </c>
      <c r="C3029" s="25"/>
      <c r="D3029" s="23"/>
      <c r="E3029" s="23"/>
      <c r="F3029" s="26"/>
      <c r="G3029" s="23"/>
      <c r="H3029" s="23"/>
      <c r="I3029" s="23"/>
      <c r="J3029" s="27">
        <f>IF($O3029="방문완료",MAX(0,IFERROR(VLOOKUP($E3029,설정_코스수당!$A$6:$H$10,4,FALSE),0)-IF(OR($P3029="",$P3029="없음"),0,100000)),0)</f>
        <v>0</v>
      </c>
      <c r="K3029" s="27">
        <f t="array" ref="K3029">IF($O3029="방문완료",IFERROR(INDEX(설정_코스수당!$B$15:$F$64,MATCH($G3029,설정_코스수당!$A$15:$A$64,0),MATCH($E3029&amp;"수당",설정_코스수당!$B$14:$F$14,0)),0),0)</f>
        <v>0</v>
      </c>
      <c r="L3029" s="27">
        <f t="array" ref="L3029">IF($O3029="방문완료",IF($H3029="",0,IFERROR(INDEX(설정_코스수당!$B$15:$F$64,MATCH($H3029,설정_코스수당!$A$15:$A$64,0),MATCH($E3029&amp;"수당",설정_코스수당!$B$14:$F$14,0)),0)),0)</f>
        <v>0</v>
      </c>
      <c r="M3029" s="27">
        <f>IF($O3029="방문완료",IFERROR(VLOOKUP($E3029,설정_코스수당!$A$6:$H$10,6,FALSE),0),0)</f>
        <v>0</v>
      </c>
      <c r="N3029" s="28">
        <f t="shared" si="87"/>
        <v>0</v>
      </c>
      <c r="O3029" s="23"/>
      <c r="P3029" s="23"/>
      <c r="Q3029" s="23"/>
      <c r="R3029" s="26"/>
      <c r="S3029" s="23"/>
    </row>
    <row r="3030" spans="1:19" ht="19.5" hidden="1" customHeight="1" outlineLevel="1">
      <c r="A3030" s="29">
        <v>30</v>
      </c>
      <c r="B3030" s="30">
        <f>IF(30&lt;=DAY(DATE(YEAR(설정_코스수당!$K$2),MONTH(설정_코스수당!$K$2)+1,0)),DATE(YEAR(설정_코스수당!$K$2),MONTH(설정_코스수당!$K$2),30),"")</f>
        <v>46203</v>
      </c>
      <c r="C3030" s="31"/>
      <c r="D3030" s="29"/>
      <c r="E3030" s="29"/>
      <c r="F3030" s="32"/>
      <c r="G3030" s="29"/>
      <c r="H3030" s="29"/>
      <c r="I3030" s="29"/>
      <c r="J3030" s="33">
        <f>IF($O3030="방문완료",MAX(0,IFERROR(VLOOKUP($E3030,설정_코스수당!$A$6:$H$10,4,FALSE),0)-IF(OR($P3030="",$P3030="없음"),0,100000)),0)</f>
        <v>0</v>
      </c>
      <c r="K3030" s="33">
        <f t="array" ref="K3030">IF($O3030="방문완료",IFERROR(INDEX(설정_코스수당!$B$15:$F$64,MATCH($G3030,설정_코스수당!$A$15:$A$64,0),MATCH($E3030&amp;"수당",설정_코스수당!$B$14:$F$14,0)),0),0)</f>
        <v>0</v>
      </c>
      <c r="L3030" s="33">
        <f t="array" ref="L3030">IF($O3030="방문완료",IF($H3030="",0,IFERROR(INDEX(설정_코스수당!$B$15:$F$64,MATCH($H3030,설정_코스수당!$A$15:$A$64,0),MATCH($E3030&amp;"수당",설정_코스수당!$B$14:$F$14,0)),0)),0)</f>
        <v>0</v>
      </c>
      <c r="M3030" s="33">
        <f>IF($O3030="방문완료",IFERROR(VLOOKUP($E3030,설정_코스수당!$A$6:$H$10,6,FALSE),0),0)</f>
        <v>0</v>
      </c>
      <c r="N3030" s="34">
        <f t="shared" si="87"/>
        <v>0</v>
      </c>
      <c r="O3030" s="29"/>
      <c r="P3030" s="29"/>
      <c r="Q3030" s="29"/>
      <c r="R3030" s="32"/>
      <c r="S3030" s="29"/>
    </row>
    <row r="3031" spans="1:19" ht="19.5" hidden="1" customHeight="1" outlineLevel="1">
      <c r="A3031" s="23">
        <v>31</v>
      </c>
      <c r="B3031" s="24">
        <f>IF(30&lt;=DAY(DATE(YEAR(설정_코스수당!$K$2),MONTH(설정_코스수당!$K$2)+1,0)),DATE(YEAR(설정_코스수당!$K$2),MONTH(설정_코스수당!$K$2),30),"")</f>
        <v>46203</v>
      </c>
      <c r="C3031" s="25"/>
      <c r="D3031" s="23"/>
      <c r="E3031" s="23"/>
      <c r="F3031" s="26"/>
      <c r="G3031" s="23"/>
      <c r="H3031" s="23"/>
      <c r="I3031" s="23"/>
      <c r="J3031" s="27">
        <f>IF($O3031="방문완료",MAX(0,IFERROR(VLOOKUP($E3031,설정_코스수당!$A$6:$H$10,4,FALSE),0)-IF(OR($P3031="",$P3031="없음"),0,100000)),0)</f>
        <v>0</v>
      </c>
      <c r="K3031" s="27">
        <f t="array" ref="K3031">IF($O3031="방문완료",IFERROR(INDEX(설정_코스수당!$B$15:$F$64,MATCH($G3031,설정_코스수당!$A$15:$A$64,0),MATCH($E3031&amp;"수당",설정_코스수당!$B$14:$F$14,0)),0),0)</f>
        <v>0</v>
      </c>
      <c r="L3031" s="27">
        <f t="array" ref="L3031">IF($O3031="방문완료",IF($H3031="",0,IFERROR(INDEX(설정_코스수당!$B$15:$F$64,MATCH($H3031,설정_코스수당!$A$15:$A$64,0),MATCH($E3031&amp;"수당",설정_코스수당!$B$14:$F$14,0)),0)),0)</f>
        <v>0</v>
      </c>
      <c r="M3031" s="27">
        <f>IF($O3031="방문완료",IFERROR(VLOOKUP($E3031,설정_코스수당!$A$6:$H$10,6,FALSE),0),0)</f>
        <v>0</v>
      </c>
      <c r="N3031" s="28">
        <f t="shared" si="87"/>
        <v>0</v>
      </c>
      <c r="O3031" s="23"/>
      <c r="P3031" s="23"/>
      <c r="Q3031" s="23"/>
      <c r="R3031" s="26"/>
      <c r="S3031" s="23"/>
    </row>
    <row r="3032" spans="1:19" ht="19.5" hidden="1" customHeight="1" outlineLevel="1">
      <c r="A3032" s="29">
        <v>32</v>
      </c>
      <c r="B3032" s="30">
        <f>IF(30&lt;=DAY(DATE(YEAR(설정_코스수당!$K$2),MONTH(설정_코스수당!$K$2)+1,0)),DATE(YEAR(설정_코스수당!$K$2),MONTH(설정_코스수당!$K$2),30),"")</f>
        <v>46203</v>
      </c>
      <c r="C3032" s="31"/>
      <c r="D3032" s="29"/>
      <c r="E3032" s="29"/>
      <c r="F3032" s="32"/>
      <c r="G3032" s="29"/>
      <c r="H3032" s="29"/>
      <c r="I3032" s="29"/>
      <c r="J3032" s="33">
        <f>IF($O3032="방문완료",MAX(0,IFERROR(VLOOKUP($E3032,설정_코스수당!$A$6:$H$10,4,FALSE),0)-IF(OR($P3032="",$P3032="없음"),0,100000)),0)</f>
        <v>0</v>
      </c>
      <c r="K3032" s="33">
        <f t="array" ref="K3032">IF($O3032="방문완료",IFERROR(INDEX(설정_코스수당!$B$15:$F$64,MATCH($G3032,설정_코스수당!$A$15:$A$64,0),MATCH($E3032&amp;"수당",설정_코스수당!$B$14:$F$14,0)),0),0)</f>
        <v>0</v>
      </c>
      <c r="L3032" s="33">
        <f t="array" ref="L3032">IF($O3032="방문완료",IF($H3032="",0,IFERROR(INDEX(설정_코스수당!$B$15:$F$64,MATCH($H3032,설정_코스수당!$A$15:$A$64,0),MATCH($E3032&amp;"수당",설정_코스수당!$B$14:$F$14,0)),0)),0)</f>
        <v>0</v>
      </c>
      <c r="M3032" s="33">
        <f>IF($O3032="방문완료",IFERROR(VLOOKUP($E3032,설정_코스수당!$A$6:$H$10,6,FALSE),0),0)</f>
        <v>0</v>
      </c>
      <c r="N3032" s="34">
        <f t="shared" si="87"/>
        <v>0</v>
      </c>
      <c r="O3032" s="29"/>
      <c r="P3032" s="29"/>
      <c r="Q3032" s="29"/>
      <c r="R3032" s="32"/>
      <c r="S3032" s="29"/>
    </row>
    <row r="3033" spans="1:19" ht="19.5" hidden="1" customHeight="1" outlineLevel="1">
      <c r="A3033" s="23">
        <v>33</v>
      </c>
      <c r="B3033" s="24">
        <f>IF(30&lt;=DAY(DATE(YEAR(설정_코스수당!$K$2),MONTH(설정_코스수당!$K$2)+1,0)),DATE(YEAR(설정_코스수당!$K$2),MONTH(설정_코스수당!$K$2),30),"")</f>
        <v>46203</v>
      </c>
      <c r="C3033" s="25"/>
      <c r="D3033" s="23"/>
      <c r="E3033" s="23"/>
      <c r="F3033" s="26"/>
      <c r="G3033" s="23"/>
      <c r="H3033" s="23"/>
      <c r="I3033" s="23"/>
      <c r="J3033" s="27">
        <f>IF($O3033="방문완료",MAX(0,IFERROR(VLOOKUP($E3033,설정_코스수당!$A$6:$H$10,4,FALSE),0)-IF(OR($P3033="",$P3033="없음"),0,100000)),0)</f>
        <v>0</v>
      </c>
      <c r="K3033" s="27">
        <f t="array" ref="K3033">IF($O3033="방문완료",IFERROR(INDEX(설정_코스수당!$B$15:$F$64,MATCH($G3033,설정_코스수당!$A$15:$A$64,0),MATCH($E3033&amp;"수당",설정_코스수당!$B$14:$F$14,0)),0),0)</f>
        <v>0</v>
      </c>
      <c r="L3033" s="27">
        <f t="array" ref="L3033">IF($O3033="방문완료",IF($H3033="",0,IFERROR(INDEX(설정_코스수당!$B$15:$F$64,MATCH($H3033,설정_코스수당!$A$15:$A$64,0),MATCH($E3033&amp;"수당",설정_코스수당!$B$14:$F$14,0)),0)),0)</f>
        <v>0</v>
      </c>
      <c r="M3033" s="27">
        <f>IF($O3033="방문완료",IFERROR(VLOOKUP($E3033,설정_코스수당!$A$6:$H$10,6,FALSE),0),0)</f>
        <v>0</v>
      </c>
      <c r="N3033" s="28">
        <f t="shared" ref="N3033:N3064" si="88">IF($O3033="방문완료",1,0)</f>
        <v>0</v>
      </c>
      <c r="O3033" s="23"/>
      <c r="P3033" s="23"/>
      <c r="Q3033" s="23"/>
      <c r="R3033" s="26"/>
      <c r="S3033" s="23"/>
    </row>
    <row r="3034" spans="1:19" ht="19.5" hidden="1" customHeight="1" outlineLevel="1">
      <c r="A3034" s="29">
        <v>34</v>
      </c>
      <c r="B3034" s="30">
        <f>IF(30&lt;=DAY(DATE(YEAR(설정_코스수당!$K$2),MONTH(설정_코스수당!$K$2)+1,0)),DATE(YEAR(설정_코스수당!$K$2),MONTH(설정_코스수당!$K$2),30),"")</f>
        <v>46203</v>
      </c>
      <c r="C3034" s="31"/>
      <c r="D3034" s="29"/>
      <c r="E3034" s="29"/>
      <c r="F3034" s="32"/>
      <c r="G3034" s="29"/>
      <c r="H3034" s="29"/>
      <c r="I3034" s="29"/>
      <c r="J3034" s="33">
        <f>IF($O3034="방문완료",MAX(0,IFERROR(VLOOKUP($E3034,설정_코스수당!$A$6:$H$10,4,FALSE),0)-IF(OR($P3034="",$P3034="없음"),0,100000)),0)</f>
        <v>0</v>
      </c>
      <c r="K3034" s="33">
        <f t="array" ref="K3034">IF($O3034="방문완료",IFERROR(INDEX(설정_코스수당!$B$15:$F$64,MATCH($G3034,설정_코스수당!$A$15:$A$64,0),MATCH($E3034&amp;"수당",설정_코스수당!$B$14:$F$14,0)),0),0)</f>
        <v>0</v>
      </c>
      <c r="L3034" s="33">
        <f t="array" ref="L3034">IF($O3034="방문완료",IF($H3034="",0,IFERROR(INDEX(설정_코스수당!$B$15:$F$64,MATCH($H3034,설정_코스수당!$A$15:$A$64,0),MATCH($E3034&amp;"수당",설정_코스수당!$B$14:$F$14,0)),0)),0)</f>
        <v>0</v>
      </c>
      <c r="M3034" s="33">
        <f>IF($O3034="방문완료",IFERROR(VLOOKUP($E3034,설정_코스수당!$A$6:$H$10,6,FALSE),0),0)</f>
        <v>0</v>
      </c>
      <c r="N3034" s="34">
        <f t="shared" si="88"/>
        <v>0</v>
      </c>
      <c r="O3034" s="29"/>
      <c r="P3034" s="29"/>
      <c r="Q3034" s="29"/>
      <c r="R3034" s="32"/>
      <c r="S3034" s="29"/>
    </row>
    <row r="3035" spans="1:19" ht="19.5" hidden="1" customHeight="1" outlineLevel="1">
      <c r="A3035" s="23">
        <v>35</v>
      </c>
      <c r="B3035" s="24">
        <f>IF(30&lt;=DAY(DATE(YEAR(설정_코스수당!$K$2),MONTH(설정_코스수당!$K$2)+1,0)),DATE(YEAR(설정_코스수당!$K$2),MONTH(설정_코스수당!$K$2),30),"")</f>
        <v>46203</v>
      </c>
      <c r="C3035" s="25"/>
      <c r="D3035" s="23"/>
      <c r="E3035" s="23"/>
      <c r="F3035" s="26"/>
      <c r="G3035" s="23"/>
      <c r="H3035" s="23"/>
      <c r="I3035" s="23"/>
      <c r="J3035" s="27">
        <f>IF($O3035="방문완료",MAX(0,IFERROR(VLOOKUP($E3035,설정_코스수당!$A$6:$H$10,4,FALSE),0)-IF(OR($P3035="",$P3035="없음"),0,100000)),0)</f>
        <v>0</v>
      </c>
      <c r="K3035" s="27">
        <f t="array" ref="K3035">IF($O3035="방문완료",IFERROR(INDEX(설정_코스수당!$B$15:$F$64,MATCH($G3035,설정_코스수당!$A$15:$A$64,0),MATCH($E3035&amp;"수당",설정_코스수당!$B$14:$F$14,0)),0),0)</f>
        <v>0</v>
      </c>
      <c r="L3035" s="27">
        <f t="array" ref="L3035">IF($O3035="방문완료",IF($H3035="",0,IFERROR(INDEX(설정_코스수당!$B$15:$F$64,MATCH($H3035,설정_코스수당!$A$15:$A$64,0),MATCH($E3035&amp;"수당",설정_코스수당!$B$14:$F$14,0)),0)),0)</f>
        <v>0</v>
      </c>
      <c r="M3035" s="27">
        <f>IF($O3035="방문완료",IFERROR(VLOOKUP($E3035,설정_코스수당!$A$6:$H$10,6,FALSE),0),0)</f>
        <v>0</v>
      </c>
      <c r="N3035" s="28">
        <f t="shared" si="88"/>
        <v>0</v>
      </c>
      <c r="O3035" s="23"/>
      <c r="P3035" s="23"/>
      <c r="Q3035" s="23"/>
      <c r="R3035" s="26"/>
      <c r="S3035" s="23"/>
    </row>
    <row r="3036" spans="1:19" ht="19.5" hidden="1" customHeight="1" outlineLevel="1">
      <c r="A3036" s="29">
        <v>36</v>
      </c>
      <c r="B3036" s="30">
        <f>IF(30&lt;=DAY(DATE(YEAR(설정_코스수당!$K$2),MONTH(설정_코스수당!$K$2)+1,0)),DATE(YEAR(설정_코스수당!$K$2),MONTH(설정_코스수당!$K$2),30),"")</f>
        <v>46203</v>
      </c>
      <c r="C3036" s="31"/>
      <c r="D3036" s="29"/>
      <c r="E3036" s="29"/>
      <c r="F3036" s="32"/>
      <c r="G3036" s="29"/>
      <c r="H3036" s="29"/>
      <c r="I3036" s="29"/>
      <c r="J3036" s="33">
        <f>IF($O3036="방문완료",MAX(0,IFERROR(VLOOKUP($E3036,설정_코스수당!$A$6:$H$10,4,FALSE),0)-IF(OR($P3036="",$P3036="없음"),0,100000)),0)</f>
        <v>0</v>
      </c>
      <c r="K3036" s="33">
        <f t="array" ref="K3036">IF($O3036="방문완료",IFERROR(INDEX(설정_코스수당!$B$15:$F$64,MATCH($G3036,설정_코스수당!$A$15:$A$64,0),MATCH($E3036&amp;"수당",설정_코스수당!$B$14:$F$14,0)),0),0)</f>
        <v>0</v>
      </c>
      <c r="L3036" s="33">
        <f t="array" ref="L3036">IF($O3036="방문완료",IF($H3036="",0,IFERROR(INDEX(설정_코스수당!$B$15:$F$64,MATCH($H3036,설정_코스수당!$A$15:$A$64,0),MATCH($E3036&amp;"수당",설정_코스수당!$B$14:$F$14,0)),0)),0)</f>
        <v>0</v>
      </c>
      <c r="M3036" s="33">
        <f>IF($O3036="방문완료",IFERROR(VLOOKUP($E3036,설정_코스수당!$A$6:$H$10,6,FALSE),0),0)</f>
        <v>0</v>
      </c>
      <c r="N3036" s="34">
        <f t="shared" si="88"/>
        <v>0</v>
      </c>
      <c r="O3036" s="29"/>
      <c r="P3036" s="29"/>
      <c r="Q3036" s="29"/>
      <c r="R3036" s="32"/>
      <c r="S3036" s="29"/>
    </row>
    <row r="3037" spans="1:19" ht="19.5" hidden="1" customHeight="1" outlineLevel="1">
      <c r="A3037" s="23">
        <v>37</v>
      </c>
      <c r="B3037" s="24">
        <f>IF(30&lt;=DAY(DATE(YEAR(설정_코스수당!$K$2),MONTH(설정_코스수당!$K$2)+1,0)),DATE(YEAR(설정_코스수당!$K$2),MONTH(설정_코스수당!$K$2),30),"")</f>
        <v>46203</v>
      </c>
      <c r="C3037" s="25"/>
      <c r="D3037" s="23"/>
      <c r="E3037" s="23"/>
      <c r="F3037" s="26"/>
      <c r="G3037" s="23"/>
      <c r="H3037" s="23"/>
      <c r="I3037" s="23"/>
      <c r="J3037" s="27">
        <f>IF($O3037="방문완료",MAX(0,IFERROR(VLOOKUP($E3037,설정_코스수당!$A$6:$H$10,4,FALSE),0)-IF(OR($P3037="",$P3037="없음"),0,100000)),0)</f>
        <v>0</v>
      </c>
      <c r="K3037" s="27">
        <f t="array" ref="K3037">IF($O3037="방문완료",IFERROR(INDEX(설정_코스수당!$B$15:$F$64,MATCH($G3037,설정_코스수당!$A$15:$A$64,0),MATCH($E3037&amp;"수당",설정_코스수당!$B$14:$F$14,0)),0),0)</f>
        <v>0</v>
      </c>
      <c r="L3037" s="27">
        <f t="array" ref="L3037">IF($O3037="방문완료",IF($H3037="",0,IFERROR(INDEX(설정_코스수당!$B$15:$F$64,MATCH($H3037,설정_코스수당!$A$15:$A$64,0),MATCH($E3037&amp;"수당",설정_코스수당!$B$14:$F$14,0)),0)),0)</f>
        <v>0</v>
      </c>
      <c r="M3037" s="27">
        <f>IF($O3037="방문완료",IFERROR(VLOOKUP($E3037,설정_코스수당!$A$6:$H$10,6,FALSE),0),0)</f>
        <v>0</v>
      </c>
      <c r="N3037" s="28">
        <f t="shared" si="88"/>
        <v>0</v>
      </c>
      <c r="O3037" s="23"/>
      <c r="P3037" s="23"/>
      <c r="Q3037" s="23"/>
      <c r="R3037" s="26"/>
      <c r="S3037" s="23"/>
    </row>
    <row r="3038" spans="1:19" ht="19.5" hidden="1" customHeight="1" outlineLevel="1">
      <c r="A3038" s="29">
        <v>38</v>
      </c>
      <c r="B3038" s="30">
        <f>IF(30&lt;=DAY(DATE(YEAR(설정_코스수당!$K$2),MONTH(설정_코스수당!$K$2)+1,0)),DATE(YEAR(설정_코스수당!$K$2),MONTH(설정_코스수당!$K$2),30),"")</f>
        <v>46203</v>
      </c>
      <c r="C3038" s="31"/>
      <c r="D3038" s="29"/>
      <c r="E3038" s="29"/>
      <c r="F3038" s="32"/>
      <c r="G3038" s="29"/>
      <c r="H3038" s="29"/>
      <c r="I3038" s="29"/>
      <c r="J3038" s="33">
        <f>IF($O3038="방문완료",MAX(0,IFERROR(VLOOKUP($E3038,설정_코스수당!$A$6:$H$10,4,FALSE),0)-IF(OR($P3038="",$P3038="없음"),0,100000)),0)</f>
        <v>0</v>
      </c>
      <c r="K3038" s="33">
        <f t="array" ref="K3038">IF($O3038="방문완료",IFERROR(INDEX(설정_코스수당!$B$15:$F$64,MATCH($G3038,설정_코스수당!$A$15:$A$64,0),MATCH($E3038&amp;"수당",설정_코스수당!$B$14:$F$14,0)),0),0)</f>
        <v>0</v>
      </c>
      <c r="L3038" s="33">
        <f t="array" ref="L3038">IF($O3038="방문완료",IF($H3038="",0,IFERROR(INDEX(설정_코스수당!$B$15:$F$64,MATCH($H3038,설정_코스수당!$A$15:$A$64,0),MATCH($E3038&amp;"수당",설정_코스수당!$B$14:$F$14,0)),0)),0)</f>
        <v>0</v>
      </c>
      <c r="M3038" s="33">
        <f>IF($O3038="방문완료",IFERROR(VLOOKUP($E3038,설정_코스수당!$A$6:$H$10,6,FALSE),0),0)</f>
        <v>0</v>
      </c>
      <c r="N3038" s="34">
        <f t="shared" si="88"/>
        <v>0</v>
      </c>
      <c r="O3038" s="29"/>
      <c r="P3038" s="29"/>
      <c r="Q3038" s="29"/>
      <c r="R3038" s="32"/>
      <c r="S3038" s="29"/>
    </row>
    <row r="3039" spans="1:19" ht="19.5" hidden="1" customHeight="1" outlineLevel="1">
      <c r="A3039" s="23">
        <v>39</v>
      </c>
      <c r="B3039" s="24">
        <f>IF(30&lt;=DAY(DATE(YEAR(설정_코스수당!$K$2),MONTH(설정_코스수당!$K$2)+1,0)),DATE(YEAR(설정_코스수당!$K$2),MONTH(설정_코스수당!$K$2),30),"")</f>
        <v>46203</v>
      </c>
      <c r="C3039" s="25"/>
      <c r="D3039" s="23"/>
      <c r="E3039" s="23"/>
      <c r="F3039" s="26"/>
      <c r="G3039" s="23"/>
      <c r="H3039" s="23"/>
      <c r="I3039" s="23"/>
      <c r="J3039" s="27">
        <f>IF($O3039="방문완료",MAX(0,IFERROR(VLOOKUP($E3039,설정_코스수당!$A$6:$H$10,4,FALSE),0)-IF(OR($P3039="",$P3039="없음"),0,100000)),0)</f>
        <v>0</v>
      </c>
      <c r="K3039" s="27">
        <f t="array" ref="K3039">IF($O3039="방문완료",IFERROR(INDEX(설정_코스수당!$B$15:$F$64,MATCH($G3039,설정_코스수당!$A$15:$A$64,0),MATCH($E3039&amp;"수당",설정_코스수당!$B$14:$F$14,0)),0),0)</f>
        <v>0</v>
      </c>
      <c r="L3039" s="27">
        <f t="array" ref="L3039">IF($O3039="방문완료",IF($H3039="",0,IFERROR(INDEX(설정_코스수당!$B$15:$F$64,MATCH($H3039,설정_코스수당!$A$15:$A$64,0),MATCH($E3039&amp;"수당",설정_코스수당!$B$14:$F$14,0)),0)),0)</f>
        <v>0</v>
      </c>
      <c r="M3039" s="27">
        <f>IF($O3039="방문완료",IFERROR(VLOOKUP($E3039,설정_코스수당!$A$6:$H$10,6,FALSE),0),0)</f>
        <v>0</v>
      </c>
      <c r="N3039" s="28">
        <f t="shared" si="88"/>
        <v>0</v>
      </c>
      <c r="O3039" s="23"/>
      <c r="P3039" s="23"/>
      <c r="Q3039" s="23"/>
      <c r="R3039" s="26"/>
      <c r="S3039" s="23"/>
    </row>
    <row r="3040" spans="1:19" ht="19.5" hidden="1" customHeight="1" outlineLevel="1">
      <c r="A3040" s="29">
        <v>40</v>
      </c>
      <c r="B3040" s="30">
        <f>IF(30&lt;=DAY(DATE(YEAR(설정_코스수당!$K$2),MONTH(설정_코스수당!$K$2)+1,0)),DATE(YEAR(설정_코스수당!$K$2),MONTH(설정_코스수당!$K$2),30),"")</f>
        <v>46203</v>
      </c>
      <c r="C3040" s="31"/>
      <c r="D3040" s="29"/>
      <c r="E3040" s="29"/>
      <c r="F3040" s="32"/>
      <c r="G3040" s="29"/>
      <c r="H3040" s="29"/>
      <c r="I3040" s="29"/>
      <c r="J3040" s="33">
        <f>IF($O3040="방문완료",MAX(0,IFERROR(VLOOKUP($E3040,설정_코스수당!$A$6:$H$10,4,FALSE),0)-IF(OR($P3040="",$P3040="없음"),0,100000)),0)</f>
        <v>0</v>
      </c>
      <c r="K3040" s="33">
        <f t="array" ref="K3040">IF($O3040="방문완료",IFERROR(INDEX(설정_코스수당!$B$15:$F$64,MATCH($G3040,설정_코스수당!$A$15:$A$64,0),MATCH($E3040&amp;"수당",설정_코스수당!$B$14:$F$14,0)),0),0)</f>
        <v>0</v>
      </c>
      <c r="L3040" s="33">
        <f t="array" ref="L3040">IF($O3040="방문완료",IF($H3040="",0,IFERROR(INDEX(설정_코스수당!$B$15:$F$64,MATCH($H3040,설정_코스수당!$A$15:$A$64,0),MATCH($E3040&amp;"수당",설정_코스수당!$B$14:$F$14,0)),0)),0)</f>
        <v>0</v>
      </c>
      <c r="M3040" s="33">
        <f>IF($O3040="방문완료",IFERROR(VLOOKUP($E3040,설정_코스수당!$A$6:$H$10,6,FALSE),0),0)</f>
        <v>0</v>
      </c>
      <c r="N3040" s="34">
        <f t="shared" si="88"/>
        <v>0</v>
      </c>
      <c r="O3040" s="29"/>
      <c r="P3040" s="29"/>
      <c r="Q3040" s="29"/>
      <c r="R3040" s="32"/>
      <c r="S3040" s="29"/>
    </row>
    <row r="3041" spans="1:19" ht="19.5" hidden="1" customHeight="1" outlineLevel="1">
      <c r="A3041" s="23">
        <v>41</v>
      </c>
      <c r="B3041" s="24">
        <f>IF(30&lt;=DAY(DATE(YEAR(설정_코스수당!$K$2),MONTH(설정_코스수당!$K$2)+1,0)),DATE(YEAR(설정_코스수당!$K$2),MONTH(설정_코스수당!$K$2),30),"")</f>
        <v>46203</v>
      </c>
      <c r="C3041" s="25"/>
      <c r="D3041" s="23"/>
      <c r="E3041" s="23"/>
      <c r="F3041" s="26"/>
      <c r="G3041" s="23"/>
      <c r="H3041" s="23"/>
      <c r="I3041" s="23"/>
      <c r="J3041" s="27">
        <f>IF($O3041="방문완료",MAX(0,IFERROR(VLOOKUP($E3041,설정_코스수당!$A$6:$H$10,4,FALSE),0)-IF(OR($P3041="",$P3041="없음"),0,100000)),0)</f>
        <v>0</v>
      </c>
      <c r="K3041" s="27">
        <f t="array" ref="K3041">IF($O3041="방문완료",IFERROR(INDEX(설정_코스수당!$B$15:$F$64,MATCH($G3041,설정_코스수당!$A$15:$A$64,0),MATCH($E3041&amp;"수당",설정_코스수당!$B$14:$F$14,0)),0),0)</f>
        <v>0</v>
      </c>
      <c r="L3041" s="27">
        <f t="array" ref="L3041">IF($O3041="방문완료",IF($H3041="",0,IFERROR(INDEX(설정_코스수당!$B$15:$F$64,MATCH($H3041,설정_코스수당!$A$15:$A$64,0),MATCH($E3041&amp;"수당",설정_코스수당!$B$14:$F$14,0)),0)),0)</f>
        <v>0</v>
      </c>
      <c r="M3041" s="27">
        <f>IF($O3041="방문완료",IFERROR(VLOOKUP($E3041,설정_코스수당!$A$6:$H$10,6,FALSE),0),0)</f>
        <v>0</v>
      </c>
      <c r="N3041" s="28">
        <f t="shared" si="88"/>
        <v>0</v>
      </c>
      <c r="O3041" s="23"/>
      <c r="P3041" s="23"/>
      <c r="Q3041" s="23"/>
      <c r="R3041" s="26"/>
      <c r="S3041" s="23"/>
    </row>
    <row r="3042" spans="1:19" ht="19.5" hidden="1" customHeight="1" outlineLevel="1">
      <c r="A3042" s="29">
        <v>42</v>
      </c>
      <c r="B3042" s="30">
        <f>IF(30&lt;=DAY(DATE(YEAR(설정_코스수당!$K$2),MONTH(설정_코스수당!$K$2)+1,0)),DATE(YEAR(설정_코스수당!$K$2),MONTH(설정_코스수당!$K$2),30),"")</f>
        <v>46203</v>
      </c>
      <c r="C3042" s="31"/>
      <c r="D3042" s="29"/>
      <c r="E3042" s="29"/>
      <c r="F3042" s="32"/>
      <c r="G3042" s="29"/>
      <c r="H3042" s="29"/>
      <c r="I3042" s="29"/>
      <c r="J3042" s="33">
        <f>IF($O3042="방문완료",MAX(0,IFERROR(VLOOKUP($E3042,설정_코스수당!$A$6:$H$10,4,FALSE),0)-IF(OR($P3042="",$P3042="없음"),0,100000)),0)</f>
        <v>0</v>
      </c>
      <c r="K3042" s="33">
        <f t="array" ref="K3042">IF($O3042="방문완료",IFERROR(INDEX(설정_코스수당!$B$15:$F$64,MATCH($G3042,설정_코스수당!$A$15:$A$64,0),MATCH($E3042&amp;"수당",설정_코스수당!$B$14:$F$14,0)),0),0)</f>
        <v>0</v>
      </c>
      <c r="L3042" s="33">
        <f t="array" ref="L3042">IF($O3042="방문완료",IF($H3042="",0,IFERROR(INDEX(설정_코스수당!$B$15:$F$64,MATCH($H3042,설정_코스수당!$A$15:$A$64,0),MATCH($E3042&amp;"수당",설정_코스수당!$B$14:$F$14,0)),0)),0)</f>
        <v>0</v>
      </c>
      <c r="M3042" s="33">
        <f>IF($O3042="방문완료",IFERROR(VLOOKUP($E3042,설정_코스수당!$A$6:$H$10,6,FALSE),0),0)</f>
        <v>0</v>
      </c>
      <c r="N3042" s="34">
        <f t="shared" si="88"/>
        <v>0</v>
      </c>
      <c r="O3042" s="29"/>
      <c r="P3042" s="29"/>
      <c r="Q3042" s="29"/>
      <c r="R3042" s="32"/>
      <c r="S3042" s="29"/>
    </row>
    <row r="3043" spans="1:19" ht="19.5" hidden="1" customHeight="1" outlineLevel="1">
      <c r="A3043" s="23">
        <v>43</v>
      </c>
      <c r="B3043" s="24">
        <f>IF(30&lt;=DAY(DATE(YEAR(설정_코스수당!$K$2),MONTH(설정_코스수당!$K$2)+1,0)),DATE(YEAR(설정_코스수당!$K$2),MONTH(설정_코스수당!$K$2),30),"")</f>
        <v>46203</v>
      </c>
      <c r="C3043" s="25"/>
      <c r="D3043" s="23"/>
      <c r="E3043" s="23"/>
      <c r="F3043" s="26"/>
      <c r="G3043" s="23"/>
      <c r="H3043" s="23"/>
      <c r="I3043" s="23"/>
      <c r="J3043" s="27">
        <f>IF($O3043="방문완료",MAX(0,IFERROR(VLOOKUP($E3043,설정_코스수당!$A$6:$H$10,4,FALSE),0)-IF(OR($P3043="",$P3043="없음"),0,100000)),0)</f>
        <v>0</v>
      </c>
      <c r="K3043" s="27">
        <f t="array" ref="K3043">IF($O3043="방문완료",IFERROR(INDEX(설정_코스수당!$B$15:$F$64,MATCH($G3043,설정_코스수당!$A$15:$A$64,0),MATCH($E3043&amp;"수당",설정_코스수당!$B$14:$F$14,0)),0),0)</f>
        <v>0</v>
      </c>
      <c r="L3043" s="27">
        <f t="array" ref="L3043">IF($O3043="방문완료",IF($H3043="",0,IFERROR(INDEX(설정_코스수당!$B$15:$F$64,MATCH($H3043,설정_코스수당!$A$15:$A$64,0),MATCH($E3043&amp;"수당",설정_코스수당!$B$14:$F$14,0)),0)),0)</f>
        <v>0</v>
      </c>
      <c r="M3043" s="27">
        <f>IF($O3043="방문완료",IFERROR(VLOOKUP($E3043,설정_코스수당!$A$6:$H$10,6,FALSE),0),0)</f>
        <v>0</v>
      </c>
      <c r="N3043" s="28">
        <f t="shared" si="88"/>
        <v>0</v>
      </c>
      <c r="O3043" s="23"/>
      <c r="P3043" s="23"/>
      <c r="Q3043" s="23"/>
      <c r="R3043" s="26"/>
      <c r="S3043" s="23"/>
    </row>
    <row r="3044" spans="1:19" ht="19.5" hidden="1" customHeight="1" outlineLevel="1">
      <c r="A3044" s="29">
        <v>44</v>
      </c>
      <c r="B3044" s="30">
        <f>IF(30&lt;=DAY(DATE(YEAR(설정_코스수당!$K$2),MONTH(설정_코스수당!$K$2)+1,0)),DATE(YEAR(설정_코스수당!$K$2),MONTH(설정_코스수당!$K$2),30),"")</f>
        <v>46203</v>
      </c>
      <c r="C3044" s="31"/>
      <c r="D3044" s="29"/>
      <c r="E3044" s="29"/>
      <c r="F3044" s="32"/>
      <c r="G3044" s="29"/>
      <c r="H3044" s="29"/>
      <c r="I3044" s="29"/>
      <c r="J3044" s="33">
        <f>IF($O3044="방문완료",MAX(0,IFERROR(VLOOKUP($E3044,설정_코스수당!$A$6:$H$10,4,FALSE),0)-IF(OR($P3044="",$P3044="없음"),0,100000)),0)</f>
        <v>0</v>
      </c>
      <c r="K3044" s="33">
        <f t="array" ref="K3044">IF($O3044="방문완료",IFERROR(INDEX(설정_코스수당!$B$15:$F$64,MATCH($G3044,설정_코스수당!$A$15:$A$64,0),MATCH($E3044&amp;"수당",설정_코스수당!$B$14:$F$14,0)),0),0)</f>
        <v>0</v>
      </c>
      <c r="L3044" s="33">
        <f t="array" ref="L3044">IF($O3044="방문완료",IF($H3044="",0,IFERROR(INDEX(설정_코스수당!$B$15:$F$64,MATCH($H3044,설정_코스수당!$A$15:$A$64,0),MATCH($E3044&amp;"수당",설정_코스수당!$B$14:$F$14,0)),0)),0)</f>
        <v>0</v>
      </c>
      <c r="M3044" s="33">
        <f>IF($O3044="방문완료",IFERROR(VLOOKUP($E3044,설정_코스수당!$A$6:$H$10,6,FALSE),0),0)</f>
        <v>0</v>
      </c>
      <c r="N3044" s="34">
        <f t="shared" si="88"/>
        <v>0</v>
      </c>
      <c r="O3044" s="29"/>
      <c r="P3044" s="29"/>
      <c r="Q3044" s="29"/>
      <c r="R3044" s="32"/>
      <c r="S3044" s="29"/>
    </row>
    <row r="3045" spans="1:19" ht="19.5" hidden="1" customHeight="1" outlineLevel="1">
      <c r="A3045" s="23">
        <v>45</v>
      </c>
      <c r="B3045" s="24">
        <f>IF(30&lt;=DAY(DATE(YEAR(설정_코스수당!$K$2),MONTH(설정_코스수당!$K$2)+1,0)),DATE(YEAR(설정_코스수당!$K$2),MONTH(설정_코스수당!$K$2),30),"")</f>
        <v>46203</v>
      </c>
      <c r="C3045" s="25"/>
      <c r="D3045" s="23"/>
      <c r="E3045" s="23"/>
      <c r="F3045" s="26"/>
      <c r="G3045" s="23"/>
      <c r="H3045" s="23"/>
      <c r="I3045" s="23"/>
      <c r="J3045" s="27">
        <f>IF($O3045="방문완료",MAX(0,IFERROR(VLOOKUP($E3045,설정_코스수당!$A$6:$H$10,4,FALSE),0)-IF(OR($P3045="",$P3045="없음"),0,100000)),0)</f>
        <v>0</v>
      </c>
      <c r="K3045" s="27">
        <f t="array" ref="K3045">IF($O3045="방문완료",IFERROR(INDEX(설정_코스수당!$B$15:$F$64,MATCH($G3045,설정_코스수당!$A$15:$A$64,0),MATCH($E3045&amp;"수당",설정_코스수당!$B$14:$F$14,0)),0),0)</f>
        <v>0</v>
      </c>
      <c r="L3045" s="27">
        <f t="array" ref="L3045">IF($O3045="방문완료",IF($H3045="",0,IFERROR(INDEX(설정_코스수당!$B$15:$F$64,MATCH($H3045,설정_코스수당!$A$15:$A$64,0),MATCH($E3045&amp;"수당",설정_코스수당!$B$14:$F$14,0)),0)),0)</f>
        <v>0</v>
      </c>
      <c r="M3045" s="27">
        <f>IF($O3045="방문완료",IFERROR(VLOOKUP($E3045,설정_코스수당!$A$6:$H$10,6,FALSE),0),0)</f>
        <v>0</v>
      </c>
      <c r="N3045" s="28">
        <f t="shared" si="88"/>
        <v>0</v>
      </c>
      <c r="O3045" s="23"/>
      <c r="P3045" s="23"/>
      <c r="Q3045" s="23"/>
      <c r="R3045" s="26"/>
      <c r="S3045" s="23"/>
    </row>
    <row r="3046" spans="1:19" ht="19.5" hidden="1" customHeight="1" outlineLevel="1">
      <c r="A3046" s="29">
        <v>46</v>
      </c>
      <c r="B3046" s="30">
        <f>IF(30&lt;=DAY(DATE(YEAR(설정_코스수당!$K$2),MONTH(설정_코스수당!$K$2)+1,0)),DATE(YEAR(설정_코스수당!$K$2),MONTH(설정_코스수당!$K$2),30),"")</f>
        <v>46203</v>
      </c>
      <c r="C3046" s="31"/>
      <c r="D3046" s="29"/>
      <c r="E3046" s="29"/>
      <c r="F3046" s="32"/>
      <c r="G3046" s="29"/>
      <c r="H3046" s="29"/>
      <c r="I3046" s="29"/>
      <c r="J3046" s="33">
        <f>IF($O3046="방문완료",MAX(0,IFERROR(VLOOKUP($E3046,설정_코스수당!$A$6:$H$10,4,FALSE),0)-IF(OR($P3046="",$P3046="없음"),0,100000)),0)</f>
        <v>0</v>
      </c>
      <c r="K3046" s="33">
        <f t="array" ref="K3046">IF($O3046="방문완료",IFERROR(INDEX(설정_코스수당!$B$15:$F$64,MATCH($G3046,설정_코스수당!$A$15:$A$64,0),MATCH($E3046&amp;"수당",설정_코스수당!$B$14:$F$14,0)),0),0)</f>
        <v>0</v>
      </c>
      <c r="L3046" s="33">
        <f t="array" ref="L3046">IF($O3046="방문완료",IF($H3046="",0,IFERROR(INDEX(설정_코스수당!$B$15:$F$64,MATCH($H3046,설정_코스수당!$A$15:$A$64,0),MATCH($E3046&amp;"수당",설정_코스수당!$B$14:$F$14,0)),0)),0)</f>
        <v>0</v>
      </c>
      <c r="M3046" s="33">
        <f>IF($O3046="방문완료",IFERROR(VLOOKUP($E3046,설정_코스수당!$A$6:$H$10,6,FALSE),0),0)</f>
        <v>0</v>
      </c>
      <c r="N3046" s="34">
        <f t="shared" si="88"/>
        <v>0</v>
      </c>
      <c r="O3046" s="29"/>
      <c r="P3046" s="29"/>
      <c r="Q3046" s="29"/>
      <c r="R3046" s="32"/>
      <c r="S3046" s="29"/>
    </row>
    <row r="3047" spans="1:19" ht="19.5" hidden="1" customHeight="1" outlineLevel="1">
      <c r="A3047" s="23">
        <v>47</v>
      </c>
      <c r="B3047" s="24">
        <f>IF(30&lt;=DAY(DATE(YEAR(설정_코스수당!$K$2),MONTH(설정_코스수당!$K$2)+1,0)),DATE(YEAR(설정_코스수당!$K$2),MONTH(설정_코스수당!$K$2),30),"")</f>
        <v>46203</v>
      </c>
      <c r="C3047" s="25"/>
      <c r="D3047" s="23"/>
      <c r="E3047" s="23"/>
      <c r="F3047" s="26"/>
      <c r="G3047" s="23"/>
      <c r="H3047" s="23"/>
      <c r="I3047" s="23"/>
      <c r="J3047" s="27">
        <f>IF($O3047="방문완료",MAX(0,IFERROR(VLOOKUP($E3047,설정_코스수당!$A$6:$H$10,4,FALSE),0)-IF(OR($P3047="",$P3047="없음"),0,100000)),0)</f>
        <v>0</v>
      </c>
      <c r="K3047" s="27">
        <f t="array" ref="K3047">IF($O3047="방문완료",IFERROR(INDEX(설정_코스수당!$B$15:$F$64,MATCH($G3047,설정_코스수당!$A$15:$A$64,0),MATCH($E3047&amp;"수당",설정_코스수당!$B$14:$F$14,0)),0),0)</f>
        <v>0</v>
      </c>
      <c r="L3047" s="27">
        <f t="array" ref="L3047">IF($O3047="방문완료",IF($H3047="",0,IFERROR(INDEX(설정_코스수당!$B$15:$F$64,MATCH($H3047,설정_코스수당!$A$15:$A$64,0),MATCH($E3047&amp;"수당",설정_코스수당!$B$14:$F$14,0)),0)),0)</f>
        <v>0</v>
      </c>
      <c r="M3047" s="27">
        <f>IF($O3047="방문완료",IFERROR(VLOOKUP($E3047,설정_코스수당!$A$6:$H$10,6,FALSE),0),0)</f>
        <v>0</v>
      </c>
      <c r="N3047" s="28">
        <f t="shared" si="88"/>
        <v>0</v>
      </c>
      <c r="O3047" s="23"/>
      <c r="P3047" s="23"/>
      <c r="Q3047" s="23"/>
      <c r="R3047" s="26"/>
      <c r="S3047" s="23"/>
    </row>
    <row r="3048" spans="1:19" ht="19.5" hidden="1" customHeight="1" outlineLevel="1">
      <c r="A3048" s="29">
        <v>48</v>
      </c>
      <c r="B3048" s="30">
        <f>IF(30&lt;=DAY(DATE(YEAR(설정_코스수당!$K$2),MONTH(설정_코스수당!$K$2)+1,0)),DATE(YEAR(설정_코스수당!$K$2),MONTH(설정_코스수당!$K$2),30),"")</f>
        <v>46203</v>
      </c>
      <c r="C3048" s="31"/>
      <c r="D3048" s="29"/>
      <c r="E3048" s="29"/>
      <c r="F3048" s="32"/>
      <c r="G3048" s="29"/>
      <c r="H3048" s="29"/>
      <c r="I3048" s="29"/>
      <c r="J3048" s="33">
        <f>IF($O3048="방문완료",MAX(0,IFERROR(VLOOKUP($E3048,설정_코스수당!$A$6:$H$10,4,FALSE),0)-IF(OR($P3048="",$P3048="없음"),0,100000)),0)</f>
        <v>0</v>
      </c>
      <c r="K3048" s="33">
        <f t="array" ref="K3048">IF($O3048="방문완료",IFERROR(INDEX(설정_코스수당!$B$15:$F$64,MATCH($G3048,설정_코스수당!$A$15:$A$64,0),MATCH($E3048&amp;"수당",설정_코스수당!$B$14:$F$14,0)),0),0)</f>
        <v>0</v>
      </c>
      <c r="L3048" s="33">
        <f t="array" ref="L3048">IF($O3048="방문완료",IF($H3048="",0,IFERROR(INDEX(설정_코스수당!$B$15:$F$64,MATCH($H3048,설정_코스수당!$A$15:$A$64,0),MATCH($E3048&amp;"수당",설정_코스수당!$B$14:$F$14,0)),0)),0)</f>
        <v>0</v>
      </c>
      <c r="M3048" s="33">
        <f>IF($O3048="방문완료",IFERROR(VLOOKUP($E3048,설정_코스수당!$A$6:$H$10,6,FALSE),0),0)</f>
        <v>0</v>
      </c>
      <c r="N3048" s="34">
        <f t="shared" si="88"/>
        <v>0</v>
      </c>
      <c r="O3048" s="29"/>
      <c r="P3048" s="29"/>
      <c r="Q3048" s="29"/>
      <c r="R3048" s="32"/>
      <c r="S3048" s="29"/>
    </row>
    <row r="3049" spans="1:19" ht="19.5" hidden="1" customHeight="1" outlineLevel="1">
      <c r="A3049" s="23">
        <v>49</v>
      </c>
      <c r="B3049" s="24">
        <f>IF(30&lt;=DAY(DATE(YEAR(설정_코스수당!$K$2),MONTH(설정_코스수당!$K$2)+1,0)),DATE(YEAR(설정_코스수당!$K$2),MONTH(설정_코스수당!$K$2),30),"")</f>
        <v>46203</v>
      </c>
      <c r="C3049" s="25"/>
      <c r="D3049" s="23"/>
      <c r="E3049" s="23"/>
      <c r="F3049" s="26"/>
      <c r="G3049" s="23"/>
      <c r="H3049" s="23"/>
      <c r="I3049" s="23"/>
      <c r="J3049" s="27">
        <f>IF($O3049="방문완료",MAX(0,IFERROR(VLOOKUP($E3049,설정_코스수당!$A$6:$H$10,4,FALSE),0)-IF(OR($P3049="",$P3049="없음"),0,100000)),0)</f>
        <v>0</v>
      </c>
      <c r="K3049" s="27">
        <f t="array" ref="K3049">IF($O3049="방문완료",IFERROR(INDEX(설정_코스수당!$B$15:$F$64,MATCH($G3049,설정_코스수당!$A$15:$A$64,0),MATCH($E3049&amp;"수당",설정_코스수당!$B$14:$F$14,0)),0),0)</f>
        <v>0</v>
      </c>
      <c r="L3049" s="27">
        <f t="array" ref="L3049">IF($O3049="방문완료",IF($H3049="",0,IFERROR(INDEX(설정_코스수당!$B$15:$F$64,MATCH($H3049,설정_코스수당!$A$15:$A$64,0),MATCH($E3049&amp;"수당",설정_코스수당!$B$14:$F$14,0)),0)),0)</f>
        <v>0</v>
      </c>
      <c r="M3049" s="27">
        <f>IF($O3049="방문완료",IFERROR(VLOOKUP($E3049,설정_코스수당!$A$6:$H$10,6,FALSE),0),0)</f>
        <v>0</v>
      </c>
      <c r="N3049" s="28">
        <f t="shared" si="88"/>
        <v>0</v>
      </c>
      <c r="O3049" s="23"/>
      <c r="P3049" s="23"/>
      <c r="Q3049" s="23"/>
      <c r="R3049" s="26"/>
      <c r="S3049" s="23"/>
    </row>
    <row r="3050" spans="1:19" ht="19.5" hidden="1" customHeight="1" outlineLevel="1">
      <c r="A3050" s="29">
        <v>50</v>
      </c>
      <c r="B3050" s="30">
        <f>IF(30&lt;=DAY(DATE(YEAR(설정_코스수당!$K$2),MONTH(설정_코스수당!$K$2)+1,0)),DATE(YEAR(설정_코스수당!$K$2),MONTH(설정_코스수당!$K$2),30),"")</f>
        <v>46203</v>
      </c>
      <c r="C3050" s="31"/>
      <c r="D3050" s="29"/>
      <c r="E3050" s="29"/>
      <c r="F3050" s="32"/>
      <c r="G3050" s="29"/>
      <c r="H3050" s="29"/>
      <c r="I3050" s="29"/>
      <c r="J3050" s="33">
        <f>IF($O3050="방문완료",MAX(0,IFERROR(VLOOKUP($E3050,설정_코스수당!$A$6:$H$10,4,FALSE),0)-IF(OR($P3050="",$P3050="없음"),0,100000)),0)</f>
        <v>0</v>
      </c>
      <c r="K3050" s="33">
        <f t="array" ref="K3050">IF($O3050="방문완료",IFERROR(INDEX(설정_코스수당!$B$15:$F$64,MATCH($G3050,설정_코스수당!$A$15:$A$64,0),MATCH($E3050&amp;"수당",설정_코스수당!$B$14:$F$14,0)),0),0)</f>
        <v>0</v>
      </c>
      <c r="L3050" s="33">
        <f t="array" ref="L3050">IF($O3050="방문완료",IF($H3050="",0,IFERROR(INDEX(설정_코스수당!$B$15:$F$64,MATCH($H3050,설정_코스수당!$A$15:$A$64,0),MATCH($E3050&amp;"수당",설정_코스수당!$B$14:$F$14,0)),0)),0)</f>
        <v>0</v>
      </c>
      <c r="M3050" s="33">
        <f>IF($O3050="방문완료",IFERROR(VLOOKUP($E3050,설정_코스수당!$A$6:$H$10,6,FALSE),0),0)</f>
        <v>0</v>
      </c>
      <c r="N3050" s="34">
        <f t="shared" si="88"/>
        <v>0</v>
      </c>
      <c r="O3050" s="29"/>
      <c r="P3050" s="29"/>
      <c r="Q3050" s="29"/>
      <c r="R3050" s="32"/>
      <c r="S3050" s="29"/>
    </row>
    <row r="3051" spans="1:19" ht="19.5" hidden="1" customHeight="1" outlineLevel="1">
      <c r="A3051" s="23">
        <v>51</v>
      </c>
      <c r="B3051" s="24">
        <f>IF(30&lt;=DAY(DATE(YEAR(설정_코스수당!$K$2),MONTH(설정_코스수당!$K$2)+1,0)),DATE(YEAR(설정_코스수당!$K$2),MONTH(설정_코스수당!$K$2),30),"")</f>
        <v>46203</v>
      </c>
      <c r="C3051" s="25"/>
      <c r="D3051" s="23"/>
      <c r="E3051" s="23"/>
      <c r="F3051" s="26"/>
      <c r="G3051" s="23"/>
      <c r="H3051" s="23"/>
      <c r="I3051" s="23"/>
      <c r="J3051" s="27">
        <f>IF($O3051="방문완료",MAX(0,IFERROR(VLOOKUP($E3051,설정_코스수당!$A$6:$H$10,4,FALSE),0)-IF(OR($P3051="",$P3051="없음"),0,100000)),0)</f>
        <v>0</v>
      </c>
      <c r="K3051" s="27">
        <f t="array" ref="K3051">IF($O3051="방문완료",IFERROR(INDEX(설정_코스수당!$B$15:$F$64,MATCH($G3051,설정_코스수당!$A$15:$A$64,0),MATCH($E3051&amp;"수당",설정_코스수당!$B$14:$F$14,0)),0),0)</f>
        <v>0</v>
      </c>
      <c r="L3051" s="27">
        <f t="array" ref="L3051">IF($O3051="방문완료",IF($H3051="",0,IFERROR(INDEX(설정_코스수당!$B$15:$F$64,MATCH($H3051,설정_코스수당!$A$15:$A$64,0),MATCH($E3051&amp;"수당",설정_코스수당!$B$14:$F$14,0)),0)),0)</f>
        <v>0</v>
      </c>
      <c r="M3051" s="27">
        <f>IF($O3051="방문완료",IFERROR(VLOOKUP($E3051,설정_코스수당!$A$6:$H$10,6,FALSE),0),0)</f>
        <v>0</v>
      </c>
      <c r="N3051" s="28">
        <f t="shared" si="88"/>
        <v>0</v>
      </c>
      <c r="O3051" s="23"/>
      <c r="P3051" s="23"/>
      <c r="Q3051" s="23"/>
      <c r="R3051" s="26"/>
      <c r="S3051" s="23"/>
    </row>
    <row r="3052" spans="1:19" ht="19.5" hidden="1" customHeight="1" outlineLevel="1">
      <c r="A3052" s="29">
        <v>52</v>
      </c>
      <c r="B3052" s="30">
        <f>IF(30&lt;=DAY(DATE(YEAR(설정_코스수당!$K$2),MONTH(설정_코스수당!$K$2)+1,0)),DATE(YEAR(설정_코스수당!$K$2),MONTH(설정_코스수당!$K$2),30),"")</f>
        <v>46203</v>
      </c>
      <c r="C3052" s="31"/>
      <c r="D3052" s="29"/>
      <c r="E3052" s="29"/>
      <c r="F3052" s="32"/>
      <c r="G3052" s="29"/>
      <c r="H3052" s="29"/>
      <c r="I3052" s="29"/>
      <c r="J3052" s="33">
        <f>IF($O3052="방문완료",MAX(0,IFERROR(VLOOKUP($E3052,설정_코스수당!$A$6:$H$10,4,FALSE),0)-IF(OR($P3052="",$P3052="없음"),0,100000)),0)</f>
        <v>0</v>
      </c>
      <c r="K3052" s="33">
        <f t="array" ref="K3052">IF($O3052="방문완료",IFERROR(INDEX(설정_코스수당!$B$15:$F$64,MATCH($G3052,설정_코스수당!$A$15:$A$64,0),MATCH($E3052&amp;"수당",설정_코스수당!$B$14:$F$14,0)),0),0)</f>
        <v>0</v>
      </c>
      <c r="L3052" s="33">
        <f t="array" ref="L3052">IF($O3052="방문완료",IF($H3052="",0,IFERROR(INDEX(설정_코스수당!$B$15:$F$64,MATCH($H3052,설정_코스수당!$A$15:$A$64,0),MATCH($E3052&amp;"수당",설정_코스수당!$B$14:$F$14,0)),0)),0)</f>
        <v>0</v>
      </c>
      <c r="M3052" s="33">
        <f>IF($O3052="방문완료",IFERROR(VLOOKUP($E3052,설정_코스수당!$A$6:$H$10,6,FALSE),0),0)</f>
        <v>0</v>
      </c>
      <c r="N3052" s="34">
        <f t="shared" si="88"/>
        <v>0</v>
      </c>
      <c r="O3052" s="29"/>
      <c r="P3052" s="29"/>
      <c r="Q3052" s="29"/>
      <c r="R3052" s="32"/>
      <c r="S3052" s="29"/>
    </row>
    <row r="3053" spans="1:19" ht="19.5" hidden="1" customHeight="1" outlineLevel="1">
      <c r="A3053" s="23">
        <v>53</v>
      </c>
      <c r="B3053" s="24">
        <f>IF(30&lt;=DAY(DATE(YEAR(설정_코스수당!$K$2),MONTH(설정_코스수당!$K$2)+1,0)),DATE(YEAR(설정_코스수당!$K$2),MONTH(설정_코스수당!$K$2),30),"")</f>
        <v>46203</v>
      </c>
      <c r="C3053" s="25"/>
      <c r="D3053" s="23"/>
      <c r="E3053" s="23"/>
      <c r="F3053" s="26"/>
      <c r="G3053" s="23"/>
      <c r="H3053" s="23"/>
      <c r="I3053" s="23"/>
      <c r="J3053" s="27">
        <f>IF($O3053="방문완료",MAX(0,IFERROR(VLOOKUP($E3053,설정_코스수당!$A$6:$H$10,4,FALSE),0)-IF(OR($P3053="",$P3053="없음"),0,100000)),0)</f>
        <v>0</v>
      </c>
      <c r="K3053" s="27">
        <f t="array" ref="K3053">IF($O3053="방문완료",IFERROR(INDEX(설정_코스수당!$B$15:$F$64,MATCH($G3053,설정_코스수당!$A$15:$A$64,0),MATCH($E3053&amp;"수당",설정_코스수당!$B$14:$F$14,0)),0),0)</f>
        <v>0</v>
      </c>
      <c r="L3053" s="27">
        <f t="array" ref="L3053">IF($O3053="방문완료",IF($H3053="",0,IFERROR(INDEX(설정_코스수당!$B$15:$F$64,MATCH($H3053,설정_코스수당!$A$15:$A$64,0),MATCH($E3053&amp;"수당",설정_코스수당!$B$14:$F$14,0)),0)),0)</f>
        <v>0</v>
      </c>
      <c r="M3053" s="27">
        <f>IF($O3053="방문완료",IFERROR(VLOOKUP($E3053,설정_코스수당!$A$6:$H$10,6,FALSE),0),0)</f>
        <v>0</v>
      </c>
      <c r="N3053" s="28">
        <f t="shared" si="88"/>
        <v>0</v>
      </c>
      <c r="O3053" s="23"/>
      <c r="P3053" s="23"/>
      <c r="Q3053" s="23"/>
      <c r="R3053" s="26"/>
      <c r="S3053" s="23"/>
    </row>
    <row r="3054" spans="1:19" ht="19.5" hidden="1" customHeight="1" outlineLevel="1">
      <c r="A3054" s="29">
        <v>54</v>
      </c>
      <c r="B3054" s="30">
        <f>IF(30&lt;=DAY(DATE(YEAR(설정_코스수당!$K$2),MONTH(설정_코스수당!$K$2)+1,0)),DATE(YEAR(설정_코스수당!$K$2),MONTH(설정_코스수당!$K$2),30),"")</f>
        <v>46203</v>
      </c>
      <c r="C3054" s="31"/>
      <c r="D3054" s="29"/>
      <c r="E3054" s="29"/>
      <c r="F3054" s="32"/>
      <c r="G3054" s="29"/>
      <c r="H3054" s="29"/>
      <c r="I3054" s="29"/>
      <c r="J3054" s="33">
        <f>IF($O3054="방문완료",MAX(0,IFERROR(VLOOKUP($E3054,설정_코스수당!$A$6:$H$10,4,FALSE),0)-IF(OR($P3054="",$P3054="없음"),0,100000)),0)</f>
        <v>0</v>
      </c>
      <c r="K3054" s="33">
        <f t="array" ref="K3054">IF($O3054="방문완료",IFERROR(INDEX(설정_코스수당!$B$15:$F$64,MATCH($G3054,설정_코스수당!$A$15:$A$64,0),MATCH($E3054&amp;"수당",설정_코스수당!$B$14:$F$14,0)),0),0)</f>
        <v>0</v>
      </c>
      <c r="L3054" s="33">
        <f t="array" ref="L3054">IF($O3054="방문완료",IF($H3054="",0,IFERROR(INDEX(설정_코스수당!$B$15:$F$64,MATCH($H3054,설정_코스수당!$A$15:$A$64,0),MATCH($E3054&amp;"수당",설정_코스수당!$B$14:$F$14,0)),0)),0)</f>
        <v>0</v>
      </c>
      <c r="M3054" s="33">
        <f>IF($O3054="방문완료",IFERROR(VLOOKUP($E3054,설정_코스수당!$A$6:$H$10,6,FALSE),0),0)</f>
        <v>0</v>
      </c>
      <c r="N3054" s="34">
        <f t="shared" si="88"/>
        <v>0</v>
      </c>
      <c r="O3054" s="29"/>
      <c r="P3054" s="29"/>
      <c r="Q3054" s="29"/>
      <c r="R3054" s="32"/>
      <c r="S3054" s="29"/>
    </row>
    <row r="3055" spans="1:19" ht="19.5" hidden="1" customHeight="1" outlineLevel="1">
      <c r="A3055" s="23">
        <v>55</v>
      </c>
      <c r="B3055" s="24">
        <f>IF(30&lt;=DAY(DATE(YEAR(설정_코스수당!$K$2),MONTH(설정_코스수당!$K$2)+1,0)),DATE(YEAR(설정_코스수당!$K$2),MONTH(설정_코스수당!$K$2),30),"")</f>
        <v>46203</v>
      </c>
      <c r="C3055" s="25"/>
      <c r="D3055" s="23"/>
      <c r="E3055" s="23"/>
      <c r="F3055" s="26"/>
      <c r="G3055" s="23"/>
      <c r="H3055" s="23"/>
      <c r="I3055" s="23"/>
      <c r="J3055" s="27">
        <f>IF($O3055="방문완료",MAX(0,IFERROR(VLOOKUP($E3055,설정_코스수당!$A$6:$H$10,4,FALSE),0)-IF(OR($P3055="",$P3055="없음"),0,100000)),0)</f>
        <v>0</v>
      </c>
      <c r="K3055" s="27">
        <f t="array" ref="K3055">IF($O3055="방문완료",IFERROR(INDEX(설정_코스수당!$B$15:$F$64,MATCH($G3055,설정_코스수당!$A$15:$A$64,0),MATCH($E3055&amp;"수당",설정_코스수당!$B$14:$F$14,0)),0),0)</f>
        <v>0</v>
      </c>
      <c r="L3055" s="27">
        <f t="array" ref="L3055">IF($O3055="방문완료",IF($H3055="",0,IFERROR(INDEX(설정_코스수당!$B$15:$F$64,MATCH($H3055,설정_코스수당!$A$15:$A$64,0),MATCH($E3055&amp;"수당",설정_코스수당!$B$14:$F$14,0)),0)),0)</f>
        <v>0</v>
      </c>
      <c r="M3055" s="27">
        <f>IF($O3055="방문완료",IFERROR(VLOOKUP($E3055,설정_코스수당!$A$6:$H$10,6,FALSE),0),0)</f>
        <v>0</v>
      </c>
      <c r="N3055" s="28">
        <f t="shared" si="88"/>
        <v>0</v>
      </c>
      <c r="O3055" s="23"/>
      <c r="P3055" s="23"/>
      <c r="Q3055" s="23"/>
      <c r="R3055" s="26"/>
      <c r="S3055" s="23"/>
    </row>
    <row r="3056" spans="1:19" ht="19.5" hidden="1" customHeight="1" outlineLevel="1">
      <c r="A3056" s="29">
        <v>56</v>
      </c>
      <c r="B3056" s="30">
        <f>IF(30&lt;=DAY(DATE(YEAR(설정_코스수당!$K$2),MONTH(설정_코스수당!$K$2)+1,0)),DATE(YEAR(설정_코스수당!$K$2),MONTH(설정_코스수당!$K$2),30),"")</f>
        <v>46203</v>
      </c>
      <c r="C3056" s="31"/>
      <c r="D3056" s="29"/>
      <c r="E3056" s="29"/>
      <c r="F3056" s="32"/>
      <c r="G3056" s="29"/>
      <c r="H3056" s="29"/>
      <c r="I3056" s="29"/>
      <c r="J3056" s="33">
        <f>IF($O3056="방문완료",MAX(0,IFERROR(VLOOKUP($E3056,설정_코스수당!$A$6:$H$10,4,FALSE),0)-IF(OR($P3056="",$P3056="없음"),0,100000)),0)</f>
        <v>0</v>
      </c>
      <c r="K3056" s="33">
        <f t="array" ref="K3056">IF($O3056="방문완료",IFERROR(INDEX(설정_코스수당!$B$15:$F$64,MATCH($G3056,설정_코스수당!$A$15:$A$64,0),MATCH($E3056&amp;"수당",설정_코스수당!$B$14:$F$14,0)),0),0)</f>
        <v>0</v>
      </c>
      <c r="L3056" s="33">
        <f t="array" ref="L3056">IF($O3056="방문완료",IF($H3056="",0,IFERROR(INDEX(설정_코스수당!$B$15:$F$64,MATCH($H3056,설정_코스수당!$A$15:$A$64,0),MATCH($E3056&amp;"수당",설정_코스수당!$B$14:$F$14,0)),0)),0)</f>
        <v>0</v>
      </c>
      <c r="M3056" s="33">
        <f>IF($O3056="방문완료",IFERROR(VLOOKUP($E3056,설정_코스수당!$A$6:$H$10,6,FALSE),0),0)</f>
        <v>0</v>
      </c>
      <c r="N3056" s="34">
        <f t="shared" si="88"/>
        <v>0</v>
      </c>
      <c r="O3056" s="29"/>
      <c r="P3056" s="29"/>
      <c r="Q3056" s="29"/>
      <c r="R3056" s="32"/>
      <c r="S3056" s="29"/>
    </row>
    <row r="3057" spans="1:19" ht="19.5" hidden="1" customHeight="1" outlineLevel="1">
      <c r="A3057" s="23">
        <v>57</v>
      </c>
      <c r="B3057" s="24">
        <f>IF(30&lt;=DAY(DATE(YEAR(설정_코스수당!$K$2),MONTH(설정_코스수당!$K$2)+1,0)),DATE(YEAR(설정_코스수당!$K$2),MONTH(설정_코스수당!$K$2),30),"")</f>
        <v>46203</v>
      </c>
      <c r="C3057" s="25"/>
      <c r="D3057" s="23"/>
      <c r="E3057" s="23"/>
      <c r="F3057" s="26"/>
      <c r="G3057" s="23"/>
      <c r="H3057" s="23"/>
      <c r="I3057" s="23"/>
      <c r="J3057" s="27">
        <f>IF($O3057="방문완료",MAX(0,IFERROR(VLOOKUP($E3057,설정_코스수당!$A$6:$H$10,4,FALSE),0)-IF(OR($P3057="",$P3057="없음"),0,100000)),0)</f>
        <v>0</v>
      </c>
      <c r="K3057" s="27">
        <f t="array" ref="K3057">IF($O3057="방문완료",IFERROR(INDEX(설정_코스수당!$B$15:$F$64,MATCH($G3057,설정_코스수당!$A$15:$A$64,0),MATCH($E3057&amp;"수당",설정_코스수당!$B$14:$F$14,0)),0),0)</f>
        <v>0</v>
      </c>
      <c r="L3057" s="27">
        <f t="array" ref="L3057">IF($O3057="방문완료",IF($H3057="",0,IFERROR(INDEX(설정_코스수당!$B$15:$F$64,MATCH($H3057,설정_코스수당!$A$15:$A$64,0),MATCH($E3057&amp;"수당",설정_코스수당!$B$14:$F$14,0)),0)),0)</f>
        <v>0</v>
      </c>
      <c r="M3057" s="27">
        <f>IF($O3057="방문완료",IFERROR(VLOOKUP($E3057,설정_코스수당!$A$6:$H$10,6,FALSE),0),0)</f>
        <v>0</v>
      </c>
      <c r="N3057" s="28">
        <f t="shared" si="88"/>
        <v>0</v>
      </c>
      <c r="O3057" s="23"/>
      <c r="P3057" s="23"/>
      <c r="Q3057" s="23"/>
      <c r="R3057" s="26"/>
      <c r="S3057" s="23"/>
    </row>
    <row r="3058" spans="1:19" ht="19.5" hidden="1" customHeight="1" outlineLevel="1">
      <c r="A3058" s="29">
        <v>58</v>
      </c>
      <c r="B3058" s="30">
        <f>IF(30&lt;=DAY(DATE(YEAR(설정_코스수당!$K$2),MONTH(설정_코스수당!$K$2)+1,0)),DATE(YEAR(설정_코스수당!$K$2),MONTH(설정_코스수당!$K$2),30),"")</f>
        <v>46203</v>
      </c>
      <c r="C3058" s="31"/>
      <c r="D3058" s="29"/>
      <c r="E3058" s="29"/>
      <c r="F3058" s="32"/>
      <c r="G3058" s="29"/>
      <c r="H3058" s="29"/>
      <c r="I3058" s="29"/>
      <c r="J3058" s="33">
        <f>IF($O3058="방문완료",MAX(0,IFERROR(VLOOKUP($E3058,설정_코스수당!$A$6:$H$10,4,FALSE),0)-IF(OR($P3058="",$P3058="없음"),0,100000)),0)</f>
        <v>0</v>
      </c>
      <c r="K3058" s="33">
        <f t="array" ref="K3058">IF($O3058="방문완료",IFERROR(INDEX(설정_코스수당!$B$15:$F$64,MATCH($G3058,설정_코스수당!$A$15:$A$64,0),MATCH($E3058&amp;"수당",설정_코스수당!$B$14:$F$14,0)),0),0)</f>
        <v>0</v>
      </c>
      <c r="L3058" s="33">
        <f t="array" ref="L3058">IF($O3058="방문완료",IF($H3058="",0,IFERROR(INDEX(설정_코스수당!$B$15:$F$64,MATCH($H3058,설정_코스수당!$A$15:$A$64,0),MATCH($E3058&amp;"수당",설정_코스수당!$B$14:$F$14,0)),0)),0)</f>
        <v>0</v>
      </c>
      <c r="M3058" s="33">
        <f>IF($O3058="방문완료",IFERROR(VLOOKUP($E3058,설정_코스수당!$A$6:$H$10,6,FALSE),0),0)</f>
        <v>0</v>
      </c>
      <c r="N3058" s="34">
        <f t="shared" si="88"/>
        <v>0</v>
      </c>
      <c r="O3058" s="29"/>
      <c r="P3058" s="29"/>
      <c r="Q3058" s="29"/>
      <c r="R3058" s="32"/>
      <c r="S3058" s="29"/>
    </row>
    <row r="3059" spans="1:19" ht="19.5" hidden="1" customHeight="1" outlineLevel="1">
      <c r="A3059" s="23">
        <v>59</v>
      </c>
      <c r="B3059" s="24">
        <f>IF(30&lt;=DAY(DATE(YEAR(설정_코스수당!$K$2),MONTH(설정_코스수당!$K$2)+1,0)),DATE(YEAR(설정_코스수당!$K$2),MONTH(설정_코스수당!$K$2),30),"")</f>
        <v>46203</v>
      </c>
      <c r="C3059" s="25"/>
      <c r="D3059" s="23"/>
      <c r="E3059" s="23"/>
      <c r="F3059" s="26"/>
      <c r="G3059" s="23"/>
      <c r="H3059" s="23"/>
      <c r="I3059" s="23"/>
      <c r="J3059" s="27">
        <f>IF($O3059="방문완료",MAX(0,IFERROR(VLOOKUP($E3059,설정_코스수당!$A$6:$H$10,4,FALSE),0)-IF(OR($P3059="",$P3059="없음"),0,100000)),0)</f>
        <v>0</v>
      </c>
      <c r="K3059" s="27">
        <f t="array" ref="K3059">IF($O3059="방문완료",IFERROR(INDEX(설정_코스수당!$B$15:$F$64,MATCH($G3059,설정_코스수당!$A$15:$A$64,0),MATCH($E3059&amp;"수당",설정_코스수당!$B$14:$F$14,0)),0),0)</f>
        <v>0</v>
      </c>
      <c r="L3059" s="27">
        <f t="array" ref="L3059">IF($O3059="방문완료",IF($H3059="",0,IFERROR(INDEX(설정_코스수당!$B$15:$F$64,MATCH($H3059,설정_코스수당!$A$15:$A$64,0),MATCH($E3059&amp;"수당",설정_코스수당!$B$14:$F$14,0)),0)),0)</f>
        <v>0</v>
      </c>
      <c r="M3059" s="27">
        <f>IF($O3059="방문완료",IFERROR(VLOOKUP($E3059,설정_코스수당!$A$6:$H$10,6,FALSE),0),0)</f>
        <v>0</v>
      </c>
      <c r="N3059" s="28">
        <f t="shared" si="88"/>
        <v>0</v>
      </c>
      <c r="O3059" s="23"/>
      <c r="P3059" s="23"/>
      <c r="Q3059" s="23"/>
      <c r="R3059" s="26"/>
      <c r="S3059" s="23"/>
    </row>
    <row r="3060" spans="1:19" ht="19.5" hidden="1" customHeight="1" outlineLevel="1">
      <c r="A3060" s="29">
        <v>60</v>
      </c>
      <c r="B3060" s="30">
        <f>IF(30&lt;=DAY(DATE(YEAR(설정_코스수당!$K$2),MONTH(설정_코스수당!$K$2)+1,0)),DATE(YEAR(설정_코스수당!$K$2),MONTH(설정_코스수당!$K$2),30),"")</f>
        <v>46203</v>
      </c>
      <c r="C3060" s="31"/>
      <c r="D3060" s="29"/>
      <c r="E3060" s="29"/>
      <c r="F3060" s="32"/>
      <c r="G3060" s="29"/>
      <c r="H3060" s="29"/>
      <c r="I3060" s="29"/>
      <c r="J3060" s="33">
        <f>IF($O3060="방문완료",MAX(0,IFERROR(VLOOKUP($E3060,설정_코스수당!$A$6:$H$10,4,FALSE),0)-IF(OR($P3060="",$P3060="없음"),0,100000)),0)</f>
        <v>0</v>
      </c>
      <c r="K3060" s="33">
        <f t="array" ref="K3060">IF($O3060="방문완료",IFERROR(INDEX(설정_코스수당!$B$15:$F$64,MATCH($G3060,설정_코스수당!$A$15:$A$64,0),MATCH($E3060&amp;"수당",설정_코스수당!$B$14:$F$14,0)),0),0)</f>
        <v>0</v>
      </c>
      <c r="L3060" s="33">
        <f t="array" ref="L3060">IF($O3060="방문완료",IF($H3060="",0,IFERROR(INDEX(설정_코스수당!$B$15:$F$64,MATCH($H3060,설정_코스수당!$A$15:$A$64,0),MATCH($E3060&amp;"수당",설정_코스수당!$B$14:$F$14,0)),0)),0)</f>
        <v>0</v>
      </c>
      <c r="M3060" s="33">
        <f>IF($O3060="방문완료",IFERROR(VLOOKUP($E3060,설정_코스수당!$A$6:$H$10,6,FALSE),0),0)</f>
        <v>0</v>
      </c>
      <c r="N3060" s="34">
        <f t="shared" si="88"/>
        <v>0</v>
      </c>
      <c r="O3060" s="29"/>
      <c r="P3060" s="29"/>
      <c r="Q3060" s="29"/>
      <c r="R3060" s="32"/>
      <c r="S3060" s="29"/>
    </row>
    <row r="3061" spans="1:19" ht="19.5" hidden="1" customHeight="1" outlineLevel="1">
      <c r="A3061" s="23">
        <v>61</v>
      </c>
      <c r="B3061" s="24">
        <f>IF(30&lt;=DAY(DATE(YEAR(설정_코스수당!$K$2),MONTH(설정_코스수당!$K$2)+1,0)),DATE(YEAR(설정_코스수당!$K$2),MONTH(설정_코스수당!$K$2),30),"")</f>
        <v>46203</v>
      </c>
      <c r="C3061" s="25"/>
      <c r="D3061" s="23"/>
      <c r="E3061" s="23"/>
      <c r="F3061" s="26"/>
      <c r="G3061" s="23"/>
      <c r="H3061" s="23"/>
      <c r="I3061" s="23"/>
      <c r="J3061" s="27">
        <f>IF($O3061="방문완료",MAX(0,IFERROR(VLOOKUP($E3061,설정_코스수당!$A$6:$H$10,4,FALSE),0)-IF(OR($P3061="",$P3061="없음"),0,100000)),0)</f>
        <v>0</v>
      </c>
      <c r="K3061" s="27">
        <f t="array" ref="K3061">IF($O3061="방문완료",IFERROR(INDEX(설정_코스수당!$B$15:$F$64,MATCH($G3061,설정_코스수당!$A$15:$A$64,0),MATCH($E3061&amp;"수당",설정_코스수당!$B$14:$F$14,0)),0),0)</f>
        <v>0</v>
      </c>
      <c r="L3061" s="27">
        <f t="array" ref="L3061">IF($O3061="방문완료",IF($H3061="",0,IFERROR(INDEX(설정_코스수당!$B$15:$F$64,MATCH($H3061,설정_코스수당!$A$15:$A$64,0),MATCH($E3061&amp;"수당",설정_코스수당!$B$14:$F$14,0)),0)),0)</f>
        <v>0</v>
      </c>
      <c r="M3061" s="27">
        <f>IF($O3061="방문완료",IFERROR(VLOOKUP($E3061,설정_코스수당!$A$6:$H$10,6,FALSE),0),0)</f>
        <v>0</v>
      </c>
      <c r="N3061" s="28">
        <f t="shared" si="88"/>
        <v>0</v>
      </c>
      <c r="O3061" s="23"/>
      <c r="P3061" s="23"/>
      <c r="Q3061" s="23"/>
      <c r="R3061" s="26"/>
      <c r="S3061" s="23"/>
    </row>
    <row r="3062" spans="1:19" ht="19.5" hidden="1" customHeight="1" outlineLevel="1">
      <c r="A3062" s="29">
        <v>62</v>
      </c>
      <c r="B3062" s="30">
        <f>IF(30&lt;=DAY(DATE(YEAR(설정_코스수당!$K$2),MONTH(설정_코스수당!$K$2)+1,0)),DATE(YEAR(설정_코스수당!$K$2),MONTH(설정_코스수당!$K$2),30),"")</f>
        <v>46203</v>
      </c>
      <c r="C3062" s="31"/>
      <c r="D3062" s="29"/>
      <c r="E3062" s="29"/>
      <c r="F3062" s="32"/>
      <c r="G3062" s="29"/>
      <c r="H3062" s="29"/>
      <c r="I3062" s="29"/>
      <c r="J3062" s="33">
        <f>IF($O3062="방문완료",MAX(0,IFERROR(VLOOKUP($E3062,설정_코스수당!$A$6:$H$10,4,FALSE),0)-IF(OR($P3062="",$P3062="없음"),0,100000)),0)</f>
        <v>0</v>
      </c>
      <c r="K3062" s="33">
        <f t="array" ref="K3062">IF($O3062="방문완료",IFERROR(INDEX(설정_코스수당!$B$15:$F$64,MATCH($G3062,설정_코스수당!$A$15:$A$64,0),MATCH($E3062&amp;"수당",설정_코스수당!$B$14:$F$14,0)),0),0)</f>
        <v>0</v>
      </c>
      <c r="L3062" s="33">
        <f t="array" ref="L3062">IF($O3062="방문완료",IF($H3062="",0,IFERROR(INDEX(설정_코스수당!$B$15:$F$64,MATCH($H3062,설정_코스수당!$A$15:$A$64,0),MATCH($E3062&amp;"수당",설정_코스수당!$B$14:$F$14,0)),0)),0)</f>
        <v>0</v>
      </c>
      <c r="M3062" s="33">
        <f>IF($O3062="방문완료",IFERROR(VLOOKUP($E3062,설정_코스수당!$A$6:$H$10,6,FALSE),0),0)</f>
        <v>0</v>
      </c>
      <c r="N3062" s="34">
        <f t="shared" si="88"/>
        <v>0</v>
      </c>
      <c r="O3062" s="29"/>
      <c r="P3062" s="29"/>
      <c r="Q3062" s="29"/>
      <c r="R3062" s="32"/>
      <c r="S3062" s="29"/>
    </row>
    <row r="3063" spans="1:19" ht="19.5" hidden="1" customHeight="1" outlineLevel="1">
      <c r="A3063" s="23">
        <v>63</v>
      </c>
      <c r="B3063" s="24">
        <f>IF(30&lt;=DAY(DATE(YEAR(설정_코스수당!$K$2),MONTH(설정_코스수당!$K$2)+1,0)),DATE(YEAR(설정_코스수당!$K$2),MONTH(설정_코스수당!$K$2),30),"")</f>
        <v>46203</v>
      </c>
      <c r="C3063" s="25"/>
      <c r="D3063" s="23"/>
      <c r="E3063" s="23"/>
      <c r="F3063" s="26"/>
      <c r="G3063" s="23"/>
      <c r="H3063" s="23"/>
      <c r="I3063" s="23"/>
      <c r="J3063" s="27">
        <f>IF($O3063="방문완료",MAX(0,IFERROR(VLOOKUP($E3063,설정_코스수당!$A$6:$H$10,4,FALSE),0)-IF(OR($P3063="",$P3063="없음"),0,100000)),0)</f>
        <v>0</v>
      </c>
      <c r="K3063" s="27">
        <f t="array" ref="K3063">IF($O3063="방문완료",IFERROR(INDEX(설정_코스수당!$B$15:$F$64,MATCH($G3063,설정_코스수당!$A$15:$A$64,0),MATCH($E3063&amp;"수당",설정_코스수당!$B$14:$F$14,0)),0),0)</f>
        <v>0</v>
      </c>
      <c r="L3063" s="27">
        <f t="array" ref="L3063">IF($O3063="방문완료",IF($H3063="",0,IFERROR(INDEX(설정_코스수당!$B$15:$F$64,MATCH($H3063,설정_코스수당!$A$15:$A$64,0),MATCH($E3063&amp;"수당",설정_코스수당!$B$14:$F$14,0)),0)),0)</f>
        <v>0</v>
      </c>
      <c r="M3063" s="27">
        <f>IF($O3063="방문완료",IFERROR(VLOOKUP($E3063,설정_코스수당!$A$6:$H$10,6,FALSE),0),0)</f>
        <v>0</v>
      </c>
      <c r="N3063" s="28">
        <f t="shared" si="88"/>
        <v>0</v>
      </c>
      <c r="O3063" s="23"/>
      <c r="P3063" s="23"/>
      <c r="Q3063" s="23"/>
      <c r="R3063" s="26"/>
      <c r="S3063" s="23"/>
    </row>
    <row r="3064" spans="1:19" ht="19.5" hidden="1" customHeight="1" outlineLevel="1">
      <c r="A3064" s="29">
        <v>64</v>
      </c>
      <c r="B3064" s="30">
        <f>IF(30&lt;=DAY(DATE(YEAR(설정_코스수당!$K$2),MONTH(설정_코스수당!$K$2)+1,0)),DATE(YEAR(설정_코스수당!$K$2),MONTH(설정_코스수당!$K$2),30),"")</f>
        <v>46203</v>
      </c>
      <c r="C3064" s="31"/>
      <c r="D3064" s="29"/>
      <c r="E3064" s="29"/>
      <c r="F3064" s="32"/>
      <c r="G3064" s="29"/>
      <c r="H3064" s="29"/>
      <c r="I3064" s="29"/>
      <c r="J3064" s="33">
        <f>IF($O3064="방문완료",MAX(0,IFERROR(VLOOKUP($E3064,설정_코스수당!$A$6:$H$10,4,FALSE),0)-IF(OR($P3064="",$P3064="없음"),0,100000)),0)</f>
        <v>0</v>
      </c>
      <c r="K3064" s="33">
        <f t="array" ref="K3064">IF($O3064="방문완료",IFERROR(INDEX(설정_코스수당!$B$15:$F$64,MATCH($G3064,설정_코스수당!$A$15:$A$64,0),MATCH($E3064&amp;"수당",설정_코스수당!$B$14:$F$14,0)),0),0)</f>
        <v>0</v>
      </c>
      <c r="L3064" s="33">
        <f t="array" ref="L3064">IF($O3064="방문완료",IF($H3064="",0,IFERROR(INDEX(설정_코스수당!$B$15:$F$64,MATCH($H3064,설정_코스수당!$A$15:$A$64,0),MATCH($E3064&amp;"수당",설정_코스수당!$B$14:$F$14,0)),0)),0)</f>
        <v>0</v>
      </c>
      <c r="M3064" s="33">
        <f>IF($O3064="방문완료",IFERROR(VLOOKUP($E3064,설정_코스수당!$A$6:$H$10,6,FALSE),0),0)</f>
        <v>0</v>
      </c>
      <c r="N3064" s="34">
        <f t="shared" si="88"/>
        <v>0</v>
      </c>
      <c r="O3064" s="29"/>
      <c r="P3064" s="29"/>
      <c r="Q3064" s="29"/>
      <c r="R3064" s="32"/>
      <c r="S3064" s="29"/>
    </row>
    <row r="3065" spans="1:19" ht="19.5" hidden="1" customHeight="1" outlineLevel="1">
      <c r="A3065" s="23">
        <v>65</v>
      </c>
      <c r="B3065" s="24">
        <f>IF(30&lt;=DAY(DATE(YEAR(설정_코스수당!$K$2),MONTH(설정_코스수당!$K$2)+1,0)),DATE(YEAR(설정_코스수당!$K$2),MONTH(설정_코스수당!$K$2),30),"")</f>
        <v>46203</v>
      </c>
      <c r="C3065" s="25"/>
      <c r="D3065" s="23"/>
      <c r="E3065" s="23"/>
      <c r="F3065" s="26"/>
      <c r="G3065" s="23"/>
      <c r="H3065" s="23"/>
      <c r="I3065" s="23"/>
      <c r="J3065" s="27">
        <f>IF($O3065="방문완료",MAX(0,IFERROR(VLOOKUP($E3065,설정_코스수당!$A$6:$H$10,4,FALSE),0)-IF(OR($P3065="",$P3065="없음"),0,100000)),0)</f>
        <v>0</v>
      </c>
      <c r="K3065" s="27">
        <f t="array" ref="K3065">IF($O3065="방문완료",IFERROR(INDEX(설정_코스수당!$B$15:$F$64,MATCH($G3065,설정_코스수당!$A$15:$A$64,0),MATCH($E3065&amp;"수당",설정_코스수당!$B$14:$F$14,0)),0),0)</f>
        <v>0</v>
      </c>
      <c r="L3065" s="27">
        <f t="array" ref="L3065">IF($O3065="방문완료",IF($H3065="",0,IFERROR(INDEX(설정_코스수당!$B$15:$F$64,MATCH($H3065,설정_코스수당!$A$15:$A$64,0),MATCH($E3065&amp;"수당",설정_코스수당!$B$14:$F$14,0)),0)),0)</f>
        <v>0</v>
      </c>
      <c r="M3065" s="27">
        <f>IF($O3065="방문완료",IFERROR(VLOOKUP($E3065,설정_코스수당!$A$6:$H$10,6,FALSE),0),0)</f>
        <v>0</v>
      </c>
      <c r="N3065" s="28">
        <f t="shared" ref="N3065:N3100" si="89">IF($O3065="방문완료",1,0)</f>
        <v>0</v>
      </c>
      <c r="O3065" s="23"/>
      <c r="P3065" s="23"/>
      <c r="Q3065" s="23"/>
      <c r="R3065" s="26"/>
      <c r="S3065" s="23"/>
    </row>
    <row r="3066" spans="1:19" ht="19.5" hidden="1" customHeight="1" outlineLevel="1">
      <c r="A3066" s="29">
        <v>66</v>
      </c>
      <c r="B3066" s="30">
        <f>IF(30&lt;=DAY(DATE(YEAR(설정_코스수당!$K$2),MONTH(설정_코스수당!$K$2)+1,0)),DATE(YEAR(설정_코스수당!$K$2),MONTH(설정_코스수당!$K$2),30),"")</f>
        <v>46203</v>
      </c>
      <c r="C3066" s="31"/>
      <c r="D3066" s="29"/>
      <c r="E3066" s="29"/>
      <c r="F3066" s="32"/>
      <c r="G3066" s="29"/>
      <c r="H3066" s="29"/>
      <c r="I3066" s="29"/>
      <c r="J3066" s="33">
        <f>IF($O3066="방문완료",MAX(0,IFERROR(VLOOKUP($E3066,설정_코스수당!$A$6:$H$10,4,FALSE),0)-IF(OR($P3066="",$P3066="없음"),0,100000)),0)</f>
        <v>0</v>
      </c>
      <c r="K3066" s="33">
        <f t="array" ref="K3066">IF($O3066="방문완료",IFERROR(INDEX(설정_코스수당!$B$15:$F$64,MATCH($G3066,설정_코스수당!$A$15:$A$64,0),MATCH($E3066&amp;"수당",설정_코스수당!$B$14:$F$14,0)),0),0)</f>
        <v>0</v>
      </c>
      <c r="L3066" s="33">
        <f t="array" ref="L3066">IF($O3066="방문완료",IF($H3066="",0,IFERROR(INDEX(설정_코스수당!$B$15:$F$64,MATCH($H3066,설정_코스수당!$A$15:$A$64,0),MATCH($E3066&amp;"수당",설정_코스수당!$B$14:$F$14,0)),0)),0)</f>
        <v>0</v>
      </c>
      <c r="M3066" s="33">
        <f>IF($O3066="방문완료",IFERROR(VLOOKUP($E3066,설정_코스수당!$A$6:$H$10,6,FALSE),0),0)</f>
        <v>0</v>
      </c>
      <c r="N3066" s="34">
        <f t="shared" si="89"/>
        <v>0</v>
      </c>
      <c r="O3066" s="29"/>
      <c r="P3066" s="29"/>
      <c r="Q3066" s="29"/>
      <c r="R3066" s="32"/>
      <c r="S3066" s="29"/>
    </row>
    <row r="3067" spans="1:19" ht="19.5" hidden="1" customHeight="1" outlineLevel="1">
      <c r="A3067" s="23">
        <v>67</v>
      </c>
      <c r="B3067" s="24">
        <f>IF(30&lt;=DAY(DATE(YEAR(설정_코스수당!$K$2),MONTH(설정_코스수당!$K$2)+1,0)),DATE(YEAR(설정_코스수당!$K$2),MONTH(설정_코스수당!$K$2),30),"")</f>
        <v>46203</v>
      </c>
      <c r="C3067" s="25"/>
      <c r="D3067" s="23"/>
      <c r="E3067" s="23"/>
      <c r="F3067" s="26"/>
      <c r="G3067" s="23"/>
      <c r="H3067" s="23"/>
      <c r="I3067" s="23"/>
      <c r="J3067" s="27">
        <f>IF($O3067="방문완료",MAX(0,IFERROR(VLOOKUP($E3067,설정_코스수당!$A$6:$H$10,4,FALSE),0)-IF(OR($P3067="",$P3067="없음"),0,100000)),0)</f>
        <v>0</v>
      </c>
      <c r="K3067" s="27">
        <f t="array" ref="K3067">IF($O3067="방문완료",IFERROR(INDEX(설정_코스수당!$B$15:$F$64,MATCH($G3067,설정_코스수당!$A$15:$A$64,0),MATCH($E3067&amp;"수당",설정_코스수당!$B$14:$F$14,0)),0),0)</f>
        <v>0</v>
      </c>
      <c r="L3067" s="27">
        <f t="array" ref="L3067">IF($O3067="방문완료",IF($H3067="",0,IFERROR(INDEX(설정_코스수당!$B$15:$F$64,MATCH($H3067,설정_코스수당!$A$15:$A$64,0),MATCH($E3067&amp;"수당",설정_코스수당!$B$14:$F$14,0)),0)),0)</f>
        <v>0</v>
      </c>
      <c r="M3067" s="27">
        <f>IF($O3067="방문완료",IFERROR(VLOOKUP($E3067,설정_코스수당!$A$6:$H$10,6,FALSE),0),0)</f>
        <v>0</v>
      </c>
      <c r="N3067" s="28">
        <f t="shared" si="89"/>
        <v>0</v>
      </c>
      <c r="O3067" s="23"/>
      <c r="P3067" s="23"/>
      <c r="Q3067" s="23"/>
      <c r="R3067" s="26"/>
      <c r="S3067" s="23"/>
    </row>
    <row r="3068" spans="1:19" ht="19.5" hidden="1" customHeight="1" outlineLevel="1">
      <c r="A3068" s="29">
        <v>68</v>
      </c>
      <c r="B3068" s="30">
        <f>IF(30&lt;=DAY(DATE(YEAR(설정_코스수당!$K$2),MONTH(설정_코스수당!$K$2)+1,0)),DATE(YEAR(설정_코스수당!$K$2),MONTH(설정_코스수당!$K$2),30),"")</f>
        <v>46203</v>
      </c>
      <c r="C3068" s="31"/>
      <c r="D3068" s="29"/>
      <c r="E3068" s="29"/>
      <c r="F3068" s="32"/>
      <c r="G3068" s="29"/>
      <c r="H3068" s="29"/>
      <c r="I3068" s="29"/>
      <c r="J3068" s="33">
        <f>IF($O3068="방문완료",MAX(0,IFERROR(VLOOKUP($E3068,설정_코스수당!$A$6:$H$10,4,FALSE),0)-IF(OR($P3068="",$P3068="없음"),0,100000)),0)</f>
        <v>0</v>
      </c>
      <c r="K3068" s="33">
        <f t="array" ref="K3068">IF($O3068="방문완료",IFERROR(INDEX(설정_코스수당!$B$15:$F$64,MATCH($G3068,설정_코스수당!$A$15:$A$64,0),MATCH($E3068&amp;"수당",설정_코스수당!$B$14:$F$14,0)),0),0)</f>
        <v>0</v>
      </c>
      <c r="L3068" s="33">
        <f t="array" ref="L3068">IF($O3068="방문완료",IF($H3068="",0,IFERROR(INDEX(설정_코스수당!$B$15:$F$64,MATCH($H3068,설정_코스수당!$A$15:$A$64,0),MATCH($E3068&amp;"수당",설정_코스수당!$B$14:$F$14,0)),0)),0)</f>
        <v>0</v>
      </c>
      <c r="M3068" s="33">
        <f>IF($O3068="방문완료",IFERROR(VLOOKUP($E3068,설정_코스수당!$A$6:$H$10,6,FALSE),0),0)</f>
        <v>0</v>
      </c>
      <c r="N3068" s="34">
        <f t="shared" si="89"/>
        <v>0</v>
      </c>
      <c r="O3068" s="29"/>
      <c r="P3068" s="29"/>
      <c r="Q3068" s="29"/>
      <c r="R3068" s="32"/>
      <c r="S3068" s="29"/>
    </row>
    <row r="3069" spans="1:19" ht="19.5" hidden="1" customHeight="1" outlineLevel="1">
      <c r="A3069" s="23">
        <v>69</v>
      </c>
      <c r="B3069" s="24">
        <f>IF(30&lt;=DAY(DATE(YEAR(설정_코스수당!$K$2),MONTH(설정_코스수당!$K$2)+1,0)),DATE(YEAR(설정_코스수당!$K$2),MONTH(설정_코스수당!$K$2),30),"")</f>
        <v>46203</v>
      </c>
      <c r="C3069" s="25"/>
      <c r="D3069" s="23"/>
      <c r="E3069" s="23"/>
      <c r="F3069" s="26"/>
      <c r="G3069" s="23"/>
      <c r="H3069" s="23"/>
      <c r="I3069" s="23"/>
      <c r="J3069" s="27">
        <f>IF($O3069="방문완료",MAX(0,IFERROR(VLOOKUP($E3069,설정_코스수당!$A$6:$H$10,4,FALSE),0)-IF(OR($P3069="",$P3069="없음"),0,100000)),0)</f>
        <v>0</v>
      </c>
      <c r="K3069" s="27">
        <f t="array" ref="K3069">IF($O3069="방문완료",IFERROR(INDEX(설정_코스수당!$B$15:$F$64,MATCH($G3069,설정_코스수당!$A$15:$A$64,0),MATCH($E3069&amp;"수당",설정_코스수당!$B$14:$F$14,0)),0),0)</f>
        <v>0</v>
      </c>
      <c r="L3069" s="27">
        <f t="array" ref="L3069">IF($O3069="방문완료",IF($H3069="",0,IFERROR(INDEX(설정_코스수당!$B$15:$F$64,MATCH($H3069,설정_코스수당!$A$15:$A$64,0),MATCH($E3069&amp;"수당",설정_코스수당!$B$14:$F$14,0)),0)),0)</f>
        <v>0</v>
      </c>
      <c r="M3069" s="27">
        <f>IF($O3069="방문완료",IFERROR(VLOOKUP($E3069,설정_코스수당!$A$6:$H$10,6,FALSE),0),0)</f>
        <v>0</v>
      </c>
      <c r="N3069" s="28">
        <f t="shared" si="89"/>
        <v>0</v>
      </c>
      <c r="O3069" s="23"/>
      <c r="P3069" s="23"/>
      <c r="Q3069" s="23"/>
      <c r="R3069" s="26"/>
      <c r="S3069" s="23"/>
    </row>
    <row r="3070" spans="1:19" ht="19.5" hidden="1" customHeight="1" outlineLevel="1">
      <c r="A3070" s="29">
        <v>70</v>
      </c>
      <c r="B3070" s="30">
        <f>IF(30&lt;=DAY(DATE(YEAR(설정_코스수당!$K$2),MONTH(설정_코스수당!$K$2)+1,0)),DATE(YEAR(설정_코스수당!$K$2),MONTH(설정_코스수당!$K$2),30),"")</f>
        <v>46203</v>
      </c>
      <c r="C3070" s="31"/>
      <c r="D3070" s="29"/>
      <c r="E3070" s="29"/>
      <c r="F3070" s="32"/>
      <c r="G3070" s="29"/>
      <c r="H3070" s="29"/>
      <c r="I3070" s="29"/>
      <c r="J3070" s="33">
        <f>IF($O3070="방문완료",MAX(0,IFERROR(VLOOKUP($E3070,설정_코스수당!$A$6:$H$10,4,FALSE),0)-IF(OR($P3070="",$P3070="없음"),0,100000)),0)</f>
        <v>0</v>
      </c>
      <c r="K3070" s="33">
        <f t="array" ref="K3070">IF($O3070="방문완료",IFERROR(INDEX(설정_코스수당!$B$15:$F$64,MATCH($G3070,설정_코스수당!$A$15:$A$64,0),MATCH($E3070&amp;"수당",설정_코스수당!$B$14:$F$14,0)),0),0)</f>
        <v>0</v>
      </c>
      <c r="L3070" s="33">
        <f t="array" ref="L3070">IF($O3070="방문완료",IF($H3070="",0,IFERROR(INDEX(설정_코스수당!$B$15:$F$64,MATCH($H3070,설정_코스수당!$A$15:$A$64,0),MATCH($E3070&amp;"수당",설정_코스수당!$B$14:$F$14,0)),0)),0)</f>
        <v>0</v>
      </c>
      <c r="M3070" s="33">
        <f>IF($O3070="방문완료",IFERROR(VLOOKUP($E3070,설정_코스수당!$A$6:$H$10,6,FALSE),0),0)</f>
        <v>0</v>
      </c>
      <c r="N3070" s="34">
        <f t="shared" si="89"/>
        <v>0</v>
      </c>
      <c r="O3070" s="29"/>
      <c r="P3070" s="29"/>
      <c r="Q3070" s="29"/>
      <c r="R3070" s="32"/>
      <c r="S3070" s="29"/>
    </row>
    <row r="3071" spans="1:19" ht="19.5" hidden="1" customHeight="1" outlineLevel="1">
      <c r="A3071" s="23">
        <v>71</v>
      </c>
      <c r="B3071" s="24">
        <f>IF(30&lt;=DAY(DATE(YEAR(설정_코스수당!$K$2),MONTH(설정_코스수당!$K$2)+1,0)),DATE(YEAR(설정_코스수당!$K$2),MONTH(설정_코스수당!$K$2),30),"")</f>
        <v>46203</v>
      </c>
      <c r="C3071" s="25"/>
      <c r="D3071" s="23"/>
      <c r="E3071" s="23"/>
      <c r="F3071" s="26"/>
      <c r="G3071" s="23"/>
      <c r="H3071" s="23"/>
      <c r="I3071" s="23"/>
      <c r="J3071" s="27">
        <f>IF($O3071="방문완료",MAX(0,IFERROR(VLOOKUP($E3071,설정_코스수당!$A$6:$H$10,4,FALSE),0)-IF(OR($P3071="",$P3071="없음"),0,100000)),0)</f>
        <v>0</v>
      </c>
      <c r="K3071" s="27">
        <f t="array" ref="K3071">IF($O3071="방문완료",IFERROR(INDEX(설정_코스수당!$B$15:$F$64,MATCH($G3071,설정_코스수당!$A$15:$A$64,0),MATCH($E3071&amp;"수당",설정_코스수당!$B$14:$F$14,0)),0),0)</f>
        <v>0</v>
      </c>
      <c r="L3071" s="27">
        <f t="array" ref="L3071">IF($O3071="방문완료",IF($H3071="",0,IFERROR(INDEX(설정_코스수당!$B$15:$F$64,MATCH($H3071,설정_코스수당!$A$15:$A$64,0),MATCH($E3071&amp;"수당",설정_코스수당!$B$14:$F$14,0)),0)),0)</f>
        <v>0</v>
      </c>
      <c r="M3071" s="27">
        <f>IF($O3071="방문완료",IFERROR(VLOOKUP($E3071,설정_코스수당!$A$6:$H$10,6,FALSE),0),0)</f>
        <v>0</v>
      </c>
      <c r="N3071" s="28">
        <f t="shared" si="89"/>
        <v>0</v>
      </c>
      <c r="O3071" s="23"/>
      <c r="P3071" s="23"/>
      <c r="Q3071" s="23"/>
      <c r="R3071" s="26"/>
      <c r="S3071" s="23"/>
    </row>
    <row r="3072" spans="1:19" ht="19.5" hidden="1" customHeight="1" outlineLevel="1">
      <c r="A3072" s="29">
        <v>72</v>
      </c>
      <c r="B3072" s="30">
        <f>IF(30&lt;=DAY(DATE(YEAR(설정_코스수당!$K$2),MONTH(설정_코스수당!$K$2)+1,0)),DATE(YEAR(설정_코스수당!$K$2),MONTH(설정_코스수당!$K$2),30),"")</f>
        <v>46203</v>
      </c>
      <c r="C3072" s="31"/>
      <c r="D3072" s="29"/>
      <c r="E3072" s="29"/>
      <c r="F3072" s="32"/>
      <c r="G3072" s="29"/>
      <c r="H3072" s="29"/>
      <c r="I3072" s="29"/>
      <c r="J3072" s="33">
        <f>IF($O3072="방문완료",MAX(0,IFERROR(VLOOKUP($E3072,설정_코스수당!$A$6:$H$10,4,FALSE),0)-IF(OR($P3072="",$P3072="없음"),0,100000)),0)</f>
        <v>0</v>
      </c>
      <c r="K3072" s="33">
        <f t="array" ref="K3072">IF($O3072="방문완료",IFERROR(INDEX(설정_코스수당!$B$15:$F$64,MATCH($G3072,설정_코스수당!$A$15:$A$64,0),MATCH($E3072&amp;"수당",설정_코스수당!$B$14:$F$14,0)),0),0)</f>
        <v>0</v>
      </c>
      <c r="L3072" s="33">
        <f t="array" ref="L3072">IF($O3072="방문완료",IF($H3072="",0,IFERROR(INDEX(설정_코스수당!$B$15:$F$64,MATCH($H3072,설정_코스수당!$A$15:$A$64,0),MATCH($E3072&amp;"수당",설정_코스수당!$B$14:$F$14,0)),0)),0)</f>
        <v>0</v>
      </c>
      <c r="M3072" s="33">
        <f>IF($O3072="방문완료",IFERROR(VLOOKUP($E3072,설정_코스수당!$A$6:$H$10,6,FALSE),0),0)</f>
        <v>0</v>
      </c>
      <c r="N3072" s="34">
        <f t="shared" si="89"/>
        <v>0</v>
      </c>
      <c r="O3072" s="29"/>
      <c r="P3072" s="29"/>
      <c r="Q3072" s="29"/>
      <c r="R3072" s="32"/>
      <c r="S3072" s="29"/>
    </row>
    <row r="3073" spans="1:19" ht="19.5" hidden="1" customHeight="1" outlineLevel="1">
      <c r="A3073" s="23">
        <v>73</v>
      </c>
      <c r="B3073" s="24">
        <f>IF(30&lt;=DAY(DATE(YEAR(설정_코스수당!$K$2),MONTH(설정_코스수당!$K$2)+1,0)),DATE(YEAR(설정_코스수당!$K$2),MONTH(설정_코스수당!$K$2),30),"")</f>
        <v>46203</v>
      </c>
      <c r="C3073" s="25"/>
      <c r="D3073" s="23"/>
      <c r="E3073" s="23"/>
      <c r="F3073" s="26"/>
      <c r="G3073" s="23"/>
      <c r="H3073" s="23"/>
      <c r="I3073" s="23"/>
      <c r="J3073" s="27">
        <f>IF($O3073="방문완료",MAX(0,IFERROR(VLOOKUP($E3073,설정_코스수당!$A$6:$H$10,4,FALSE),0)-IF(OR($P3073="",$P3073="없음"),0,100000)),0)</f>
        <v>0</v>
      </c>
      <c r="K3073" s="27">
        <f t="array" ref="K3073">IF($O3073="방문완료",IFERROR(INDEX(설정_코스수당!$B$15:$F$64,MATCH($G3073,설정_코스수당!$A$15:$A$64,0),MATCH($E3073&amp;"수당",설정_코스수당!$B$14:$F$14,0)),0),0)</f>
        <v>0</v>
      </c>
      <c r="L3073" s="27">
        <f t="array" ref="L3073">IF($O3073="방문완료",IF($H3073="",0,IFERROR(INDEX(설정_코스수당!$B$15:$F$64,MATCH($H3073,설정_코스수당!$A$15:$A$64,0),MATCH($E3073&amp;"수당",설정_코스수당!$B$14:$F$14,0)),0)),0)</f>
        <v>0</v>
      </c>
      <c r="M3073" s="27">
        <f>IF($O3073="방문완료",IFERROR(VLOOKUP($E3073,설정_코스수당!$A$6:$H$10,6,FALSE),0),0)</f>
        <v>0</v>
      </c>
      <c r="N3073" s="28">
        <f t="shared" si="89"/>
        <v>0</v>
      </c>
      <c r="O3073" s="23"/>
      <c r="P3073" s="23"/>
      <c r="Q3073" s="23"/>
      <c r="R3073" s="26"/>
      <c r="S3073" s="23"/>
    </row>
    <row r="3074" spans="1:19" ht="19.5" hidden="1" customHeight="1" outlineLevel="1">
      <c r="A3074" s="29">
        <v>74</v>
      </c>
      <c r="B3074" s="30">
        <f>IF(30&lt;=DAY(DATE(YEAR(설정_코스수당!$K$2),MONTH(설정_코스수당!$K$2)+1,0)),DATE(YEAR(설정_코스수당!$K$2),MONTH(설정_코스수당!$K$2),30),"")</f>
        <v>46203</v>
      </c>
      <c r="C3074" s="31"/>
      <c r="D3074" s="29"/>
      <c r="E3074" s="29"/>
      <c r="F3074" s="32"/>
      <c r="G3074" s="29"/>
      <c r="H3074" s="29"/>
      <c r="I3074" s="29"/>
      <c r="J3074" s="33">
        <f>IF($O3074="방문완료",MAX(0,IFERROR(VLOOKUP($E3074,설정_코스수당!$A$6:$H$10,4,FALSE),0)-IF(OR($P3074="",$P3074="없음"),0,100000)),0)</f>
        <v>0</v>
      </c>
      <c r="K3074" s="33">
        <f t="array" ref="K3074">IF($O3074="방문완료",IFERROR(INDEX(설정_코스수당!$B$15:$F$64,MATCH($G3074,설정_코스수당!$A$15:$A$64,0),MATCH($E3074&amp;"수당",설정_코스수당!$B$14:$F$14,0)),0),0)</f>
        <v>0</v>
      </c>
      <c r="L3074" s="33">
        <f t="array" ref="L3074">IF($O3074="방문완료",IF($H3074="",0,IFERROR(INDEX(설정_코스수당!$B$15:$F$64,MATCH($H3074,설정_코스수당!$A$15:$A$64,0),MATCH($E3074&amp;"수당",설정_코스수당!$B$14:$F$14,0)),0)),0)</f>
        <v>0</v>
      </c>
      <c r="M3074" s="33">
        <f>IF($O3074="방문완료",IFERROR(VLOOKUP($E3074,설정_코스수당!$A$6:$H$10,6,FALSE),0),0)</f>
        <v>0</v>
      </c>
      <c r="N3074" s="34">
        <f t="shared" si="89"/>
        <v>0</v>
      </c>
      <c r="O3074" s="29"/>
      <c r="P3074" s="29"/>
      <c r="Q3074" s="29"/>
      <c r="R3074" s="32"/>
      <c r="S3074" s="29"/>
    </row>
    <row r="3075" spans="1:19" ht="19.5" hidden="1" customHeight="1" outlineLevel="1">
      <c r="A3075" s="23">
        <v>75</v>
      </c>
      <c r="B3075" s="24">
        <f>IF(30&lt;=DAY(DATE(YEAR(설정_코스수당!$K$2),MONTH(설정_코스수당!$K$2)+1,0)),DATE(YEAR(설정_코스수당!$K$2),MONTH(설정_코스수당!$K$2),30),"")</f>
        <v>46203</v>
      </c>
      <c r="C3075" s="25"/>
      <c r="D3075" s="23"/>
      <c r="E3075" s="23"/>
      <c r="F3075" s="26"/>
      <c r="G3075" s="23"/>
      <c r="H3075" s="23"/>
      <c r="I3075" s="23"/>
      <c r="J3075" s="27">
        <f>IF($O3075="방문완료",MAX(0,IFERROR(VLOOKUP($E3075,설정_코스수당!$A$6:$H$10,4,FALSE),0)-IF(OR($P3075="",$P3075="없음"),0,100000)),0)</f>
        <v>0</v>
      </c>
      <c r="K3075" s="27">
        <f t="array" ref="K3075">IF($O3075="방문완료",IFERROR(INDEX(설정_코스수당!$B$15:$F$64,MATCH($G3075,설정_코스수당!$A$15:$A$64,0),MATCH($E3075&amp;"수당",설정_코스수당!$B$14:$F$14,0)),0),0)</f>
        <v>0</v>
      </c>
      <c r="L3075" s="27">
        <f t="array" ref="L3075">IF($O3075="방문완료",IF($H3075="",0,IFERROR(INDEX(설정_코스수당!$B$15:$F$64,MATCH($H3075,설정_코스수당!$A$15:$A$64,0),MATCH($E3075&amp;"수당",설정_코스수당!$B$14:$F$14,0)),0)),0)</f>
        <v>0</v>
      </c>
      <c r="M3075" s="27">
        <f>IF($O3075="방문완료",IFERROR(VLOOKUP($E3075,설정_코스수당!$A$6:$H$10,6,FALSE),0),0)</f>
        <v>0</v>
      </c>
      <c r="N3075" s="28">
        <f t="shared" si="89"/>
        <v>0</v>
      </c>
      <c r="O3075" s="23"/>
      <c r="P3075" s="23"/>
      <c r="Q3075" s="23"/>
      <c r="R3075" s="26"/>
      <c r="S3075" s="23"/>
    </row>
    <row r="3076" spans="1:19" ht="19.5" hidden="1" customHeight="1" outlineLevel="1">
      <c r="A3076" s="29">
        <v>76</v>
      </c>
      <c r="B3076" s="30">
        <f>IF(30&lt;=DAY(DATE(YEAR(설정_코스수당!$K$2),MONTH(설정_코스수당!$K$2)+1,0)),DATE(YEAR(설정_코스수당!$K$2),MONTH(설정_코스수당!$K$2),30),"")</f>
        <v>46203</v>
      </c>
      <c r="C3076" s="31"/>
      <c r="D3076" s="29"/>
      <c r="E3076" s="29"/>
      <c r="F3076" s="32"/>
      <c r="G3076" s="29"/>
      <c r="H3076" s="29"/>
      <c r="I3076" s="29"/>
      <c r="J3076" s="33">
        <f>IF($O3076="방문완료",MAX(0,IFERROR(VLOOKUP($E3076,설정_코스수당!$A$6:$H$10,4,FALSE),0)-IF(OR($P3076="",$P3076="없음"),0,100000)),0)</f>
        <v>0</v>
      </c>
      <c r="K3076" s="33">
        <f t="array" ref="K3076">IF($O3076="방문완료",IFERROR(INDEX(설정_코스수당!$B$15:$F$64,MATCH($G3076,설정_코스수당!$A$15:$A$64,0),MATCH($E3076&amp;"수당",설정_코스수당!$B$14:$F$14,0)),0),0)</f>
        <v>0</v>
      </c>
      <c r="L3076" s="33">
        <f t="array" ref="L3076">IF($O3076="방문완료",IF($H3076="",0,IFERROR(INDEX(설정_코스수당!$B$15:$F$64,MATCH($H3076,설정_코스수당!$A$15:$A$64,0),MATCH($E3076&amp;"수당",설정_코스수당!$B$14:$F$14,0)),0)),0)</f>
        <v>0</v>
      </c>
      <c r="M3076" s="33">
        <f>IF($O3076="방문완료",IFERROR(VLOOKUP($E3076,설정_코스수당!$A$6:$H$10,6,FALSE),0),0)</f>
        <v>0</v>
      </c>
      <c r="N3076" s="34">
        <f t="shared" si="89"/>
        <v>0</v>
      </c>
      <c r="O3076" s="29"/>
      <c r="P3076" s="29"/>
      <c r="Q3076" s="29"/>
      <c r="R3076" s="32"/>
      <c r="S3076" s="29"/>
    </row>
    <row r="3077" spans="1:19" ht="19.5" hidden="1" customHeight="1" outlineLevel="1">
      <c r="A3077" s="23">
        <v>77</v>
      </c>
      <c r="B3077" s="24">
        <f>IF(30&lt;=DAY(DATE(YEAR(설정_코스수당!$K$2),MONTH(설정_코스수당!$K$2)+1,0)),DATE(YEAR(설정_코스수당!$K$2),MONTH(설정_코스수당!$K$2),30),"")</f>
        <v>46203</v>
      </c>
      <c r="C3077" s="25"/>
      <c r="D3077" s="23"/>
      <c r="E3077" s="23"/>
      <c r="F3077" s="26"/>
      <c r="G3077" s="23"/>
      <c r="H3077" s="23"/>
      <c r="I3077" s="23"/>
      <c r="J3077" s="27">
        <f>IF($O3077="방문완료",MAX(0,IFERROR(VLOOKUP($E3077,설정_코스수당!$A$6:$H$10,4,FALSE),0)-IF(OR($P3077="",$P3077="없음"),0,100000)),0)</f>
        <v>0</v>
      </c>
      <c r="K3077" s="27">
        <f t="array" ref="K3077">IF($O3077="방문완료",IFERROR(INDEX(설정_코스수당!$B$15:$F$64,MATCH($G3077,설정_코스수당!$A$15:$A$64,0),MATCH($E3077&amp;"수당",설정_코스수당!$B$14:$F$14,0)),0),0)</f>
        <v>0</v>
      </c>
      <c r="L3077" s="27">
        <f t="array" ref="L3077">IF($O3077="방문완료",IF($H3077="",0,IFERROR(INDEX(설정_코스수당!$B$15:$F$64,MATCH($H3077,설정_코스수당!$A$15:$A$64,0),MATCH($E3077&amp;"수당",설정_코스수당!$B$14:$F$14,0)),0)),0)</f>
        <v>0</v>
      </c>
      <c r="M3077" s="27">
        <f>IF($O3077="방문완료",IFERROR(VLOOKUP($E3077,설정_코스수당!$A$6:$H$10,6,FALSE),0),0)</f>
        <v>0</v>
      </c>
      <c r="N3077" s="28">
        <f t="shared" si="89"/>
        <v>0</v>
      </c>
      <c r="O3077" s="23"/>
      <c r="P3077" s="23"/>
      <c r="Q3077" s="23"/>
      <c r="R3077" s="26"/>
      <c r="S3077" s="23"/>
    </row>
    <row r="3078" spans="1:19" ht="19.5" hidden="1" customHeight="1" outlineLevel="1">
      <c r="A3078" s="29">
        <v>78</v>
      </c>
      <c r="B3078" s="30">
        <f>IF(30&lt;=DAY(DATE(YEAR(설정_코스수당!$K$2),MONTH(설정_코스수당!$K$2)+1,0)),DATE(YEAR(설정_코스수당!$K$2),MONTH(설정_코스수당!$K$2),30),"")</f>
        <v>46203</v>
      </c>
      <c r="C3078" s="31"/>
      <c r="D3078" s="29"/>
      <c r="E3078" s="29"/>
      <c r="F3078" s="32"/>
      <c r="G3078" s="29"/>
      <c r="H3078" s="29"/>
      <c r="I3078" s="29"/>
      <c r="J3078" s="33">
        <f>IF($O3078="방문완료",MAX(0,IFERROR(VLOOKUP($E3078,설정_코스수당!$A$6:$H$10,4,FALSE),0)-IF(OR($P3078="",$P3078="없음"),0,100000)),0)</f>
        <v>0</v>
      </c>
      <c r="K3078" s="33">
        <f t="array" ref="K3078">IF($O3078="방문완료",IFERROR(INDEX(설정_코스수당!$B$15:$F$64,MATCH($G3078,설정_코스수당!$A$15:$A$64,0),MATCH($E3078&amp;"수당",설정_코스수당!$B$14:$F$14,0)),0),0)</f>
        <v>0</v>
      </c>
      <c r="L3078" s="33">
        <f t="array" ref="L3078">IF($O3078="방문완료",IF($H3078="",0,IFERROR(INDEX(설정_코스수당!$B$15:$F$64,MATCH($H3078,설정_코스수당!$A$15:$A$64,0),MATCH($E3078&amp;"수당",설정_코스수당!$B$14:$F$14,0)),0)),0)</f>
        <v>0</v>
      </c>
      <c r="M3078" s="33">
        <f>IF($O3078="방문완료",IFERROR(VLOOKUP($E3078,설정_코스수당!$A$6:$H$10,6,FALSE),0),0)</f>
        <v>0</v>
      </c>
      <c r="N3078" s="34">
        <f t="shared" si="89"/>
        <v>0</v>
      </c>
      <c r="O3078" s="29"/>
      <c r="P3078" s="29"/>
      <c r="Q3078" s="29"/>
      <c r="R3078" s="32"/>
      <c r="S3078" s="29"/>
    </row>
    <row r="3079" spans="1:19" ht="19.5" hidden="1" customHeight="1" outlineLevel="1">
      <c r="A3079" s="23">
        <v>79</v>
      </c>
      <c r="B3079" s="24">
        <f>IF(30&lt;=DAY(DATE(YEAR(설정_코스수당!$K$2),MONTH(설정_코스수당!$K$2)+1,0)),DATE(YEAR(설정_코스수당!$K$2),MONTH(설정_코스수당!$K$2),30),"")</f>
        <v>46203</v>
      </c>
      <c r="C3079" s="25"/>
      <c r="D3079" s="23"/>
      <c r="E3079" s="23"/>
      <c r="F3079" s="26"/>
      <c r="G3079" s="23"/>
      <c r="H3079" s="23"/>
      <c r="I3079" s="23"/>
      <c r="J3079" s="27">
        <f>IF($O3079="방문완료",MAX(0,IFERROR(VLOOKUP($E3079,설정_코스수당!$A$6:$H$10,4,FALSE),0)-IF(OR($P3079="",$P3079="없음"),0,100000)),0)</f>
        <v>0</v>
      </c>
      <c r="K3079" s="27">
        <f t="array" ref="K3079">IF($O3079="방문완료",IFERROR(INDEX(설정_코스수당!$B$15:$F$64,MATCH($G3079,설정_코스수당!$A$15:$A$64,0),MATCH($E3079&amp;"수당",설정_코스수당!$B$14:$F$14,0)),0),0)</f>
        <v>0</v>
      </c>
      <c r="L3079" s="27">
        <f t="array" ref="L3079">IF($O3079="방문완료",IF($H3079="",0,IFERROR(INDEX(설정_코스수당!$B$15:$F$64,MATCH($H3079,설정_코스수당!$A$15:$A$64,0),MATCH($E3079&amp;"수당",설정_코스수당!$B$14:$F$14,0)),0)),0)</f>
        <v>0</v>
      </c>
      <c r="M3079" s="27">
        <f>IF($O3079="방문완료",IFERROR(VLOOKUP($E3079,설정_코스수당!$A$6:$H$10,6,FALSE),0),0)</f>
        <v>0</v>
      </c>
      <c r="N3079" s="28">
        <f t="shared" si="89"/>
        <v>0</v>
      </c>
      <c r="O3079" s="23"/>
      <c r="P3079" s="23"/>
      <c r="Q3079" s="23"/>
      <c r="R3079" s="26"/>
      <c r="S3079" s="23"/>
    </row>
    <row r="3080" spans="1:19" ht="19.5" hidden="1" customHeight="1" outlineLevel="1">
      <c r="A3080" s="29">
        <v>80</v>
      </c>
      <c r="B3080" s="30">
        <f>IF(30&lt;=DAY(DATE(YEAR(설정_코스수당!$K$2),MONTH(설정_코스수당!$K$2)+1,0)),DATE(YEAR(설정_코스수당!$K$2),MONTH(설정_코스수당!$K$2),30),"")</f>
        <v>46203</v>
      </c>
      <c r="C3080" s="31"/>
      <c r="D3080" s="29"/>
      <c r="E3080" s="29"/>
      <c r="F3080" s="32"/>
      <c r="G3080" s="29"/>
      <c r="H3080" s="29"/>
      <c r="I3080" s="29"/>
      <c r="J3080" s="33">
        <f>IF($O3080="방문완료",MAX(0,IFERROR(VLOOKUP($E3080,설정_코스수당!$A$6:$H$10,4,FALSE),0)-IF(OR($P3080="",$P3080="없음"),0,100000)),0)</f>
        <v>0</v>
      </c>
      <c r="K3080" s="33">
        <f t="array" ref="K3080">IF($O3080="방문완료",IFERROR(INDEX(설정_코스수당!$B$15:$F$64,MATCH($G3080,설정_코스수당!$A$15:$A$64,0),MATCH($E3080&amp;"수당",설정_코스수당!$B$14:$F$14,0)),0),0)</f>
        <v>0</v>
      </c>
      <c r="L3080" s="33">
        <f t="array" ref="L3080">IF($O3080="방문완료",IF($H3080="",0,IFERROR(INDEX(설정_코스수당!$B$15:$F$64,MATCH($H3080,설정_코스수당!$A$15:$A$64,0),MATCH($E3080&amp;"수당",설정_코스수당!$B$14:$F$14,0)),0)),0)</f>
        <v>0</v>
      </c>
      <c r="M3080" s="33">
        <f>IF($O3080="방문완료",IFERROR(VLOOKUP($E3080,설정_코스수당!$A$6:$H$10,6,FALSE),0),0)</f>
        <v>0</v>
      </c>
      <c r="N3080" s="34">
        <f t="shared" si="89"/>
        <v>0</v>
      </c>
      <c r="O3080" s="29"/>
      <c r="P3080" s="29"/>
      <c r="Q3080" s="29"/>
      <c r="R3080" s="32"/>
      <c r="S3080" s="29"/>
    </row>
    <row r="3081" spans="1:19" ht="19.5" hidden="1" customHeight="1" outlineLevel="1">
      <c r="A3081" s="23">
        <v>81</v>
      </c>
      <c r="B3081" s="24">
        <f>IF(30&lt;=DAY(DATE(YEAR(설정_코스수당!$K$2),MONTH(설정_코스수당!$K$2)+1,0)),DATE(YEAR(설정_코스수당!$K$2),MONTH(설정_코스수당!$K$2),30),"")</f>
        <v>46203</v>
      </c>
      <c r="C3081" s="25"/>
      <c r="D3081" s="23"/>
      <c r="E3081" s="23"/>
      <c r="F3081" s="26"/>
      <c r="G3081" s="23"/>
      <c r="H3081" s="23"/>
      <c r="I3081" s="23"/>
      <c r="J3081" s="27">
        <f>IF($O3081="방문완료",MAX(0,IFERROR(VLOOKUP($E3081,설정_코스수당!$A$6:$H$10,4,FALSE),0)-IF(OR($P3081="",$P3081="없음"),0,100000)),0)</f>
        <v>0</v>
      </c>
      <c r="K3081" s="27">
        <f t="array" ref="K3081">IF($O3081="방문완료",IFERROR(INDEX(설정_코스수당!$B$15:$F$64,MATCH($G3081,설정_코스수당!$A$15:$A$64,0),MATCH($E3081&amp;"수당",설정_코스수당!$B$14:$F$14,0)),0),0)</f>
        <v>0</v>
      </c>
      <c r="L3081" s="27">
        <f t="array" ref="L3081">IF($O3081="방문완료",IF($H3081="",0,IFERROR(INDEX(설정_코스수당!$B$15:$F$64,MATCH($H3081,설정_코스수당!$A$15:$A$64,0),MATCH($E3081&amp;"수당",설정_코스수당!$B$14:$F$14,0)),0)),0)</f>
        <v>0</v>
      </c>
      <c r="M3081" s="27">
        <f>IF($O3081="방문완료",IFERROR(VLOOKUP($E3081,설정_코스수당!$A$6:$H$10,6,FALSE),0),0)</f>
        <v>0</v>
      </c>
      <c r="N3081" s="28">
        <f t="shared" si="89"/>
        <v>0</v>
      </c>
      <c r="O3081" s="23"/>
      <c r="P3081" s="23"/>
      <c r="Q3081" s="23"/>
      <c r="R3081" s="26"/>
      <c r="S3081" s="23"/>
    </row>
    <row r="3082" spans="1:19" ht="19.5" hidden="1" customHeight="1" outlineLevel="1">
      <c r="A3082" s="29">
        <v>82</v>
      </c>
      <c r="B3082" s="30">
        <f>IF(30&lt;=DAY(DATE(YEAR(설정_코스수당!$K$2),MONTH(설정_코스수당!$K$2)+1,0)),DATE(YEAR(설정_코스수당!$K$2),MONTH(설정_코스수당!$K$2),30),"")</f>
        <v>46203</v>
      </c>
      <c r="C3082" s="31"/>
      <c r="D3082" s="29"/>
      <c r="E3082" s="29"/>
      <c r="F3082" s="32"/>
      <c r="G3082" s="29"/>
      <c r="H3082" s="29"/>
      <c r="I3082" s="29"/>
      <c r="J3082" s="33">
        <f>IF($O3082="방문완료",MAX(0,IFERROR(VLOOKUP($E3082,설정_코스수당!$A$6:$H$10,4,FALSE),0)-IF(OR($P3082="",$P3082="없음"),0,100000)),0)</f>
        <v>0</v>
      </c>
      <c r="K3082" s="33">
        <f t="array" ref="K3082">IF($O3082="방문완료",IFERROR(INDEX(설정_코스수당!$B$15:$F$64,MATCH($G3082,설정_코스수당!$A$15:$A$64,0),MATCH($E3082&amp;"수당",설정_코스수당!$B$14:$F$14,0)),0),0)</f>
        <v>0</v>
      </c>
      <c r="L3082" s="33">
        <f t="array" ref="L3082">IF($O3082="방문완료",IF($H3082="",0,IFERROR(INDEX(설정_코스수당!$B$15:$F$64,MATCH($H3082,설정_코스수당!$A$15:$A$64,0),MATCH($E3082&amp;"수당",설정_코스수당!$B$14:$F$14,0)),0)),0)</f>
        <v>0</v>
      </c>
      <c r="M3082" s="33">
        <f>IF($O3082="방문완료",IFERROR(VLOOKUP($E3082,설정_코스수당!$A$6:$H$10,6,FALSE),0),0)</f>
        <v>0</v>
      </c>
      <c r="N3082" s="34">
        <f t="shared" si="89"/>
        <v>0</v>
      </c>
      <c r="O3082" s="29"/>
      <c r="P3082" s="29"/>
      <c r="Q3082" s="29"/>
      <c r="R3082" s="32"/>
      <c r="S3082" s="29"/>
    </row>
    <row r="3083" spans="1:19" ht="19.5" hidden="1" customHeight="1" outlineLevel="1">
      <c r="A3083" s="23">
        <v>83</v>
      </c>
      <c r="B3083" s="24">
        <f>IF(30&lt;=DAY(DATE(YEAR(설정_코스수당!$K$2),MONTH(설정_코스수당!$K$2)+1,0)),DATE(YEAR(설정_코스수당!$K$2),MONTH(설정_코스수당!$K$2),30),"")</f>
        <v>46203</v>
      </c>
      <c r="C3083" s="25"/>
      <c r="D3083" s="23"/>
      <c r="E3083" s="23"/>
      <c r="F3083" s="26"/>
      <c r="G3083" s="23"/>
      <c r="H3083" s="23"/>
      <c r="I3083" s="23"/>
      <c r="J3083" s="27">
        <f>IF($O3083="방문완료",MAX(0,IFERROR(VLOOKUP($E3083,설정_코스수당!$A$6:$H$10,4,FALSE),0)-IF(OR($P3083="",$P3083="없음"),0,100000)),0)</f>
        <v>0</v>
      </c>
      <c r="K3083" s="27">
        <f t="array" ref="K3083">IF($O3083="방문완료",IFERROR(INDEX(설정_코스수당!$B$15:$F$64,MATCH($G3083,설정_코스수당!$A$15:$A$64,0),MATCH($E3083&amp;"수당",설정_코스수당!$B$14:$F$14,0)),0),0)</f>
        <v>0</v>
      </c>
      <c r="L3083" s="27">
        <f t="array" ref="L3083">IF($O3083="방문완료",IF($H3083="",0,IFERROR(INDEX(설정_코스수당!$B$15:$F$64,MATCH($H3083,설정_코스수당!$A$15:$A$64,0),MATCH($E3083&amp;"수당",설정_코스수당!$B$14:$F$14,0)),0)),0)</f>
        <v>0</v>
      </c>
      <c r="M3083" s="27">
        <f>IF($O3083="방문완료",IFERROR(VLOOKUP($E3083,설정_코스수당!$A$6:$H$10,6,FALSE),0),0)</f>
        <v>0</v>
      </c>
      <c r="N3083" s="28">
        <f t="shared" si="89"/>
        <v>0</v>
      </c>
      <c r="O3083" s="23"/>
      <c r="P3083" s="23"/>
      <c r="Q3083" s="23"/>
      <c r="R3083" s="26"/>
      <c r="S3083" s="23"/>
    </row>
    <row r="3084" spans="1:19" ht="19.5" hidden="1" customHeight="1" outlineLevel="1">
      <c r="A3084" s="29">
        <v>84</v>
      </c>
      <c r="B3084" s="30">
        <f>IF(30&lt;=DAY(DATE(YEAR(설정_코스수당!$K$2),MONTH(설정_코스수당!$K$2)+1,0)),DATE(YEAR(설정_코스수당!$K$2),MONTH(설정_코스수당!$K$2),30),"")</f>
        <v>46203</v>
      </c>
      <c r="C3084" s="31"/>
      <c r="D3084" s="29"/>
      <c r="E3084" s="29"/>
      <c r="F3084" s="32"/>
      <c r="G3084" s="29"/>
      <c r="H3084" s="29"/>
      <c r="I3084" s="29"/>
      <c r="J3084" s="33">
        <f>IF($O3084="방문완료",MAX(0,IFERROR(VLOOKUP($E3084,설정_코스수당!$A$6:$H$10,4,FALSE),0)-IF(OR($P3084="",$P3084="없음"),0,100000)),0)</f>
        <v>0</v>
      </c>
      <c r="K3084" s="33">
        <f t="array" ref="K3084">IF($O3084="방문완료",IFERROR(INDEX(설정_코스수당!$B$15:$F$64,MATCH($G3084,설정_코스수당!$A$15:$A$64,0),MATCH($E3084&amp;"수당",설정_코스수당!$B$14:$F$14,0)),0),0)</f>
        <v>0</v>
      </c>
      <c r="L3084" s="33">
        <f t="array" ref="L3084">IF($O3084="방문완료",IF($H3084="",0,IFERROR(INDEX(설정_코스수당!$B$15:$F$64,MATCH($H3084,설정_코스수당!$A$15:$A$64,0),MATCH($E3084&amp;"수당",설정_코스수당!$B$14:$F$14,0)),0)),0)</f>
        <v>0</v>
      </c>
      <c r="M3084" s="33">
        <f>IF($O3084="방문완료",IFERROR(VLOOKUP($E3084,설정_코스수당!$A$6:$H$10,6,FALSE),0),0)</f>
        <v>0</v>
      </c>
      <c r="N3084" s="34">
        <f t="shared" si="89"/>
        <v>0</v>
      </c>
      <c r="O3084" s="29"/>
      <c r="P3084" s="29"/>
      <c r="Q3084" s="29"/>
      <c r="R3084" s="32"/>
      <c r="S3084" s="29"/>
    </row>
    <row r="3085" spans="1:19" ht="19.5" hidden="1" customHeight="1" outlineLevel="1">
      <c r="A3085" s="23">
        <v>85</v>
      </c>
      <c r="B3085" s="24">
        <f>IF(30&lt;=DAY(DATE(YEAR(설정_코스수당!$K$2),MONTH(설정_코스수당!$K$2)+1,0)),DATE(YEAR(설정_코스수당!$K$2),MONTH(설정_코스수당!$K$2),30),"")</f>
        <v>46203</v>
      </c>
      <c r="C3085" s="25"/>
      <c r="D3085" s="23"/>
      <c r="E3085" s="23"/>
      <c r="F3085" s="26"/>
      <c r="G3085" s="23"/>
      <c r="H3085" s="23"/>
      <c r="I3085" s="23"/>
      <c r="J3085" s="27">
        <f>IF($O3085="방문완료",MAX(0,IFERROR(VLOOKUP($E3085,설정_코스수당!$A$6:$H$10,4,FALSE),0)-IF(OR($P3085="",$P3085="없음"),0,100000)),0)</f>
        <v>0</v>
      </c>
      <c r="K3085" s="27">
        <f t="array" ref="K3085">IF($O3085="방문완료",IFERROR(INDEX(설정_코스수당!$B$15:$F$64,MATCH($G3085,설정_코스수당!$A$15:$A$64,0),MATCH($E3085&amp;"수당",설정_코스수당!$B$14:$F$14,0)),0),0)</f>
        <v>0</v>
      </c>
      <c r="L3085" s="27">
        <f t="array" ref="L3085">IF($O3085="방문완료",IF($H3085="",0,IFERROR(INDEX(설정_코스수당!$B$15:$F$64,MATCH($H3085,설정_코스수당!$A$15:$A$64,0),MATCH($E3085&amp;"수당",설정_코스수당!$B$14:$F$14,0)),0)),0)</f>
        <v>0</v>
      </c>
      <c r="M3085" s="27">
        <f>IF($O3085="방문완료",IFERROR(VLOOKUP($E3085,설정_코스수당!$A$6:$H$10,6,FALSE),0),0)</f>
        <v>0</v>
      </c>
      <c r="N3085" s="28">
        <f t="shared" si="89"/>
        <v>0</v>
      </c>
      <c r="O3085" s="23"/>
      <c r="P3085" s="23"/>
      <c r="Q3085" s="23"/>
      <c r="R3085" s="26"/>
      <c r="S3085" s="23"/>
    </row>
    <row r="3086" spans="1:19" ht="19.5" hidden="1" customHeight="1" outlineLevel="1">
      <c r="A3086" s="29">
        <v>86</v>
      </c>
      <c r="B3086" s="30">
        <f>IF(30&lt;=DAY(DATE(YEAR(설정_코스수당!$K$2),MONTH(설정_코스수당!$K$2)+1,0)),DATE(YEAR(설정_코스수당!$K$2),MONTH(설정_코스수당!$K$2),30),"")</f>
        <v>46203</v>
      </c>
      <c r="C3086" s="31"/>
      <c r="D3086" s="29"/>
      <c r="E3086" s="29"/>
      <c r="F3086" s="32"/>
      <c r="G3086" s="29"/>
      <c r="H3086" s="29"/>
      <c r="I3086" s="29"/>
      <c r="J3086" s="33">
        <f>IF($O3086="방문완료",MAX(0,IFERROR(VLOOKUP($E3086,설정_코스수당!$A$6:$H$10,4,FALSE),0)-IF(OR($P3086="",$P3086="없음"),0,100000)),0)</f>
        <v>0</v>
      </c>
      <c r="K3086" s="33">
        <f t="array" ref="K3086">IF($O3086="방문완료",IFERROR(INDEX(설정_코스수당!$B$15:$F$64,MATCH($G3086,설정_코스수당!$A$15:$A$64,0),MATCH($E3086&amp;"수당",설정_코스수당!$B$14:$F$14,0)),0),0)</f>
        <v>0</v>
      </c>
      <c r="L3086" s="33">
        <f t="array" ref="L3086">IF($O3086="방문완료",IF($H3086="",0,IFERROR(INDEX(설정_코스수당!$B$15:$F$64,MATCH($H3086,설정_코스수당!$A$15:$A$64,0),MATCH($E3086&amp;"수당",설정_코스수당!$B$14:$F$14,0)),0)),0)</f>
        <v>0</v>
      </c>
      <c r="M3086" s="33">
        <f>IF($O3086="방문완료",IFERROR(VLOOKUP($E3086,설정_코스수당!$A$6:$H$10,6,FALSE),0),0)</f>
        <v>0</v>
      </c>
      <c r="N3086" s="34">
        <f t="shared" si="89"/>
        <v>0</v>
      </c>
      <c r="O3086" s="29"/>
      <c r="P3086" s="29"/>
      <c r="Q3086" s="29"/>
      <c r="R3086" s="32"/>
      <c r="S3086" s="29"/>
    </row>
    <row r="3087" spans="1:19" ht="19.5" hidden="1" customHeight="1" outlineLevel="1">
      <c r="A3087" s="23">
        <v>87</v>
      </c>
      <c r="B3087" s="24">
        <f>IF(30&lt;=DAY(DATE(YEAR(설정_코스수당!$K$2),MONTH(설정_코스수당!$K$2)+1,0)),DATE(YEAR(설정_코스수당!$K$2),MONTH(설정_코스수당!$K$2),30),"")</f>
        <v>46203</v>
      </c>
      <c r="C3087" s="25"/>
      <c r="D3087" s="23"/>
      <c r="E3087" s="23"/>
      <c r="F3087" s="26"/>
      <c r="G3087" s="23"/>
      <c r="H3087" s="23"/>
      <c r="I3087" s="23"/>
      <c r="J3087" s="27">
        <f>IF($O3087="방문완료",MAX(0,IFERROR(VLOOKUP($E3087,설정_코스수당!$A$6:$H$10,4,FALSE),0)-IF(OR($P3087="",$P3087="없음"),0,100000)),0)</f>
        <v>0</v>
      </c>
      <c r="K3087" s="27">
        <f t="array" ref="K3087">IF($O3087="방문완료",IFERROR(INDEX(설정_코스수당!$B$15:$F$64,MATCH($G3087,설정_코스수당!$A$15:$A$64,0),MATCH($E3087&amp;"수당",설정_코스수당!$B$14:$F$14,0)),0),0)</f>
        <v>0</v>
      </c>
      <c r="L3087" s="27">
        <f t="array" ref="L3087">IF($O3087="방문완료",IF($H3087="",0,IFERROR(INDEX(설정_코스수당!$B$15:$F$64,MATCH($H3087,설정_코스수당!$A$15:$A$64,0),MATCH($E3087&amp;"수당",설정_코스수당!$B$14:$F$14,0)),0)),0)</f>
        <v>0</v>
      </c>
      <c r="M3087" s="27">
        <f>IF($O3087="방문완료",IFERROR(VLOOKUP($E3087,설정_코스수당!$A$6:$H$10,6,FALSE),0),0)</f>
        <v>0</v>
      </c>
      <c r="N3087" s="28">
        <f t="shared" si="89"/>
        <v>0</v>
      </c>
      <c r="O3087" s="23"/>
      <c r="P3087" s="23"/>
      <c r="Q3087" s="23"/>
      <c r="R3087" s="26"/>
      <c r="S3087" s="23"/>
    </row>
    <row r="3088" spans="1:19" ht="19.5" hidden="1" customHeight="1" outlineLevel="1">
      <c r="A3088" s="29">
        <v>88</v>
      </c>
      <c r="B3088" s="30">
        <f>IF(30&lt;=DAY(DATE(YEAR(설정_코스수당!$K$2),MONTH(설정_코스수당!$K$2)+1,0)),DATE(YEAR(설정_코스수당!$K$2),MONTH(설정_코스수당!$K$2),30),"")</f>
        <v>46203</v>
      </c>
      <c r="C3088" s="31"/>
      <c r="D3088" s="29"/>
      <c r="E3088" s="29"/>
      <c r="F3088" s="32"/>
      <c r="G3088" s="29"/>
      <c r="H3088" s="29"/>
      <c r="I3088" s="29"/>
      <c r="J3088" s="33">
        <f>IF($O3088="방문완료",MAX(0,IFERROR(VLOOKUP($E3088,설정_코스수당!$A$6:$H$10,4,FALSE),0)-IF(OR($P3088="",$P3088="없음"),0,100000)),0)</f>
        <v>0</v>
      </c>
      <c r="K3088" s="33">
        <f t="array" ref="K3088">IF($O3088="방문완료",IFERROR(INDEX(설정_코스수당!$B$15:$F$64,MATCH($G3088,설정_코스수당!$A$15:$A$64,0),MATCH($E3088&amp;"수당",설정_코스수당!$B$14:$F$14,0)),0),0)</f>
        <v>0</v>
      </c>
      <c r="L3088" s="33">
        <f t="array" ref="L3088">IF($O3088="방문완료",IF($H3088="",0,IFERROR(INDEX(설정_코스수당!$B$15:$F$64,MATCH($H3088,설정_코스수당!$A$15:$A$64,0),MATCH($E3088&amp;"수당",설정_코스수당!$B$14:$F$14,0)),0)),0)</f>
        <v>0</v>
      </c>
      <c r="M3088" s="33">
        <f>IF($O3088="방문완료",IFERROR(VLOOKUP($E3088,설정_코스수당!$A$6:$H$10,6,FALSE),0),0)</f>
        <v>0</v>
      </c>
      <c r="N3088" s="34">
        <f t="shared" si="89"/>
        <v>0</v>
      </c>
      <c r="O3088" s="29"/>
      <c r="P3088" s="29"/>
      <c r="Q3088" s="29"/>
      <c r="R3088" s="32"/>
      <c r="S3088" s="29"/>
    </row>
    <row r="3089" spans="1:27" ht="19.5" hidden="1" customHeight="1" outlineLevel="1">
      <c r="A3089" s="23">
        <v>89</v>
      </c>
      <c r="B3089" s="24">
        <f>IF(30&lt;=DAY(DATE(YEAR(설정_코스수당!$K$2),MONTH(설정_코스수당!$K$2)+1,0)),DATE(YEAR(설정_코스수당!$K$2),MONTH(설정_코스수당!$K$2),30),"")</f>
        <v>46203</v>
      </c>
      <c r="C3089" s="25"/>
      <c r="D3089" s="23"/>
      <c r="E3089" s="23"/>
      <c r="F3089" s="26"/>
      <c r="G3089" s="23"/>
      <c r="H3089" s="23"/>
      <c r="I3089" s="23"/>
      <c r="J3089" s="27">
        <f>IF($O3089="방문완료",MAX(0,IFERROR(VLOOKUP($E3089,설정_코스수당!$A$6:$H$10,4,FALSE),0)-IF(OR($P3089="",$P3089="없음"),0,100000)),0)</f>
        <v>0</v>
      </c>
      <c r="K3089" s="27">
        <f t="array" ref="K3089">IF($O3089="방문완료",IFERROR(INDEX(설정_코스수당!$B$15:$F$64,MATCH($G3089,설정_코스수당!$A$15:$A$64,0),MATCH($E3089&amp;"수당",설정_코스수당!$B$14:$F$14,0)),0),0)</f>
        <v>0</v>
      </c>
      <c r="L3089" s="27">
        <f t="array" ref="L3089">IF($O3089="방문완료",IF($H3089="",0,IFERROR(INDEX(설정_코스수당!$B$15:$F$64,MATCH($H3089,설정_코스수당!$A$15:$A$64,0),MATCH($E3089&amp;"수당",설정_코스수당!$B$14:$F$14,0)),0)),0)</f>
        <v>0</v>
      </c>
      <c r="M3089" s="27">
        <f>IF($O3089="방문완료",IFERROR(VLOOKUP($E3089,설정_코스수당!$A$6:$H$10,6,FALSE),0),0)</f>
        <v>0</v>
      </c>
      <c r="N3089" s="28">
        <f t="shared" si="89"/>
        <v>0</v>
      </c>
      <c r="O3089" s="23"/>
      <c r="P3089" s="23"/>
      <c r="Q3089" s="23"/>
      <c r="R3089" s="26"/>
      <c r="S3089" s="23"/>
    </row>
    <row r="3090" spans="1:27" ht="19.5" hidden="1" customHeight="1" outlineLevel="1">
      <c r="A3090" s="29">
        <v>90</v>
      </c>
      <c r="B3090" s="30">
        <f>IF(30&lt;=DAY(DATE(YEAR(설정_코스수당!$K$2),MONTH(설정_코스수당!$K$2)+1,0)),DATE(YEAR(설정_코스수당!$K$2),MONTH(설정_코스수당!$K$2),30),"")</f>
        <v>46203</v>
      </c>
      <c r="C3090" s="31"/>
      <c r="D3090" s="29"/>
      <c r="E3090" s="29"/>
      <c r="F3090" s="32"/>
      <c r="G3090" s="29"/>
      <c r="H3090" s="29"/>
      <c r="I3090" s="29"/>
      <c r="J3090" s="33">
        <f>IF($O3090="방문완료",MAX(0,IFERROR(VLOOKUP($E3090,설정_코스수당!$A$6:$H$10,4,FALSE),0)-IF(OR($P3090="",$P3090="없음"),0,100000)),0)</f>
        <v>0</v>
      </c>
      <c r="K3090" s="33">
        <f t="array" ref="K3090">IF($O3090="방문완료",IFERROR(INDEX(설정_코스수당!$B$15:$F$64,MATCH($G3090,설정_코스수당!$A$15:$A$64,0),MATCH($E3090&amp;"수당",설정_코스수당!$B$14:$F$14,0)),0),0)</f>
        <v>0</v>
      </c>
      <c r="L3090" s="33">
        <f t="array" ref="L3090">IF($O3090="방문완료",IF($H3090="",0,IFERROR(INDEX(설정_코스수당!$B$15:$F$64,MATCH($H3090,설정_코스수당!$A$15:$A$64,0),MATCH($E3090&amp;"수당",설정_코스수당!$B$14:$F$14,0)),0)),0)</f>
        <v>0</v>
      </c>
      <c r="M3090" s="33">
        <f>IF($O3090="방문완료",IFERROR(VLOOKUP($E3090,설정_코스수당!$A$6:$H$10,6,FALSE),0),0)</f>
        <v>0</v>
      </c>
      <c r="N3090" s="34">
        <f t="shared" si="89"/>
        <v>0</v>
      </c>
      <c r="O3090" s="29"/>
      <c r="P3090" s="29"/>
      <c r="Q3090" s="29"/>
      <c r="R3090" s="32"/>
      <c r="S3090" s="29"/>
    </row>
    <row r="3091" spans="1:27" ht="19.5" hidden="1" customHeight="1" outlineLevel="1">
      <c r="A3091" s="23">
        <v>91</v>
      </c>
      <c r="B3091" s="24">
        <f>IF(30&lt;=DAY(DATE(YEAR(설정_코스수당!$K$2),MONTH(설정_코스수당!$K$2)+1,0)),DATE(YEAR(설정_코스수당!$K$2),MONTH(설정_코스수당!$K$2),30),"")</f>
        <v>46203</v>
      </c>
      <c r="C3091" s="25"/>
      <c r="D3091" s="23"/>
      <c r="E3091" s="23"/>
      <c r="F3091" s="26"/>
      <c r="G3091" s="23"/>
      <c r="H3091" s="23"/>
      <c r="I3091" s="23"/>
      <c r="J3091" s="27">
        <f>IF($O3091="방문완료",MAX(0,IFERROR(VLOOKUP($E3091,설정_코스수당!$A$6:$H$10,4,FALSE),0)-IF(OR($P3091="",$P3091="없음"),0,100000)),0)</f>
        <v>0</v>
      </c>
      <c r="K3091" s="27">
        <f t="array" ref="K3091">IF($O3091="방문완료",IFERROR(INDEX(설정_코스수당!$B$15:$F$64,MATCH($G3091,설정_코스수당!$A$15:$A$64,0),MATCH($E3091&amp;"수당",설정_코스수당!$B$14:$F$14,0)),0),0)</f>
        <v>0</v>
      </c>
      <c r="L3091" s="27">
        <f t="array" ref="L3091">IF($O3091="방문완료",IF($H3091="",0,IFERROR(INDEX(설정_코스수당!$B$15:$F$64,MATCH($H3091,설정_코스수당!$A$15:$A$64,0),MATCH($E3091&amp;"수당",설정_코스수당!$B$14:$F$14,0)),0)),0)</f>
        <v>0</v>
      </c>
      <c r="M3091" s="27">
        <f>IF($O3091="방문완료",IFERROR(VLOOKUP($E3091,설정_코스수당!$A$6:$H$10,6,FALSE),0),0)</f>
        <v>0</v>
      </c>
      <c r="N3091" s="28">
        <f t="shared" si="89"/>
        <v>0</v>
      </c>
      <c r="O3091" s="23"/>
      <c r="P3091" s="23"/>
      <c r="Q3091" s="23"/>
      <c r="R3091" s="26"/>
      <c r="S3091" s="23"/>
    </row>
    <row r="3092" spans="1:27" ht="19.5" hidden="1" customHeight="1" outlineLevel="1">
      <c r="A3092" s="29">
        <v>92</v>
      </c>
      <c r="B3092" s="30">
        <f>IF(30&lt;=DAY(DATE(YEAR(설정_코스수당!$K$2),MONTH(설정_코스수당!$K$2)+1,0)),DATE(YEAR(설정_코스수당!$K$2),MONTH(설정_코스수당!$K$2),30),"")</f>
        <v>46203</v>
      </c>
      <c r="C3092" s="31"/>
      <c r="D3092" s="29"/>
      <c r="E3092" s="29"/>
      <c r="F3092" s="32"/>
      <c r="G3092" s="29"/>
      <c r="H3092" s="29"/>
      <c r="I3092" s="29"/>
      <c r="J3092" s="33">
        <f>IF($O3092="방문완료",MAX(0,IFERROR(VLOOKUP($E3092,설정_코스수당!$A$6:$H$10,4,FALSE),0)-IF(OR($P3092="",$P3092="없음"),0,100000)),0)</f>
        <v>0</v>
      </c>
      <c r="K3092" s="33">
        <f t="array" ref="K3092">IF($O3092="방문완료",IFERROR(INDEX(설정_코스수당!$B$15:$F$64,MATCH($G3092,설정_코스수당!$A$15:$A$64,0),MATCH($E3092&amp;"수당",설정_코스수당!$B$14:$F$14,0)),0),0)</f>
        <v>0</v>
      </c>
      <c r="L3092" s="33">
        <f t="array" ref="L3092">IF($O3092="방문완료",IF($H3092="",0,IFERROR(INDEX(설정_코스수당!$B$15:$F$64,MATCH($H3092,설정_코스수당!$A$15:$A$64,0),MATCH($E3092&amp;"수당",설정_코스수당!$B$14:$F$14,0)),0)),0)</f>
        <v>0</v>
      </c>
      <c r="M3092" s="33">
        <f>IF($O3092="방문완료",IFERROR(VLOOKUP($E3092,설정_코스수당!$A$6:$H$10,6,FALSE),0),0)</f>
        <v>0</v>
      </c>
      <c r="N3092" s="34">
        <f t="shared" si="89"/>
        <v>0</v>
      </c>
      <c r="O3092" s="29"/>
      <c r="P3092" s="29"/>
      <c r="Q3092" s="29"/>
      <c r="R3092" s="32"/>
      <c r="S3092" s="29"/>
    </row>
    <row r="3093" spans="1:27" ht="19.5" hidden="1" customHeight="1" outlineLevel="1">
      <c r="A3093" s="23">
        <v>93</v>
      </c>
      <c r="B3093" s="24">
        <f>IF(30&lt;=DAY(DATE(YEAR(설정_코스수당!$K$2),MONTH(설정_코스수당!$K$2)+1,0)),DATE(YEAR(설정_코스수당!$K$2),MONTH(설정_코스수당!$K$2),30),"")</f>
        <v>46203</v>
      </c>
      <c r="C3093" s="25"/>
      <c r="D3093" s="23"/>
      <c r="E3093" s="23"/>
      <c r="F3093" s="26"/>
      <c r="G3093" s="23"/>
      <c r="H3093" s="23"/>
      <c r="I3093" s="23"/>
      <c r="J3093" s="27">
        <f>IF($O3093="방문완료",MAX(0,IFERROR(VLOOKUP($E3093,설정_코스수당!$A$6:$H$10,4,FALSE),0)-IF(OR($P3093="",$P3093="없음"),0,100000)),0)</f>
        <v>0</v>
      </c>
      <c r="K3093" s="27">
        <f t="array" ref="K3093">IF($O3093="방문완료",IFERROR(INDEX(설정_코스수당!$B$15:$F$64,MATCH($G3093,설정_코스수당!$A$15:$A$64,0),MATCH($E3093&amp;"수당",설정_코스수당!$B$14:$F$14,0)),0),0)</f>
        <v>0</v>
      </c>
      <c r="L3093" s="27">
        <f t="array" ref="L3093">IF($O3093="방문완료",IF($H3093="",0,IFERROR(INDEX(설정_코스수당!$B$15:$F$64,MATCH($H3093,설정_코스수당!$A$15:$A$64,0),MATCH($E3093&amp;"수당",설정_코스수당!$B$14:$F$14,0)),0)),0)</f>
        <v>0</v>
      </c>
      <c r="M3093" s="27">
        <f>IF($O3093="방문완료",IFERROR(VLOOKUP($E3093,설정_코스수당!$A$6:$H$10,6,FALSE),0),0)</f>
        <v>0</v>
      </c>
      <c r="N3093" s="28">
        <f t="shared" si="89"/>
        <v>0</v>
      </c>
      <c r="O3093" s="23"/>
      <c r="P3093" s="23"/>
      <c r="Q3093" s="23"/>
      <c r="R3093" s="26"/>
      <c r="S3093" s="23"/>
    </row>
    <row r="3094" spans="1:27" ht="19.5" hidden="1" customHeight="1" outlineLevel="1">
      <c r="A3094" s="29">
        <v>94</v>
      </c>
      <c r="B3094" s="30">
        <f>IF(30&lt;=DAY(DATE(YEAR(설정_코스수당!$K$2),MONTH(설정_코스수당!$K$2)+1,0)),DATE(YEAR(설정_코스수당!$K$2),MONTH(설정_코스수당!$K$2),30),"")</f>
        <v>46203</v>
      </c>
      <c r="C3094" s="31"/>
      <c r="D3094" s="29"/>
      <c r="E3094" s="29"/>
      <c r="F3094" s="32"/>
      <c r="G3094" s="29"/>
      <c r="H3094" s="29"/>
      <c r="I3094" s="29"/>
      <c r="J3094" s="33">
        <f>IF($O3094="방문완료",MAX(0,IFERROR(VLOOKUP($E3094,설정_코스수당!$A$6:$H$10,4,FALSE),0)-IF(OR($P3094="",$P3094="없음"),0,100000)),0)</f>
        <v>0</v>
      </c>
      <c r="K3094" s="33">
        <f t="array" ref="K3094">IF($O3094="방문완료",IFERROR(INDEX(설정_코스수당!$B$15:$F$64,MATCH($G3094,설정_코스수당!$A$15:$A$64,0),MATCH($E3094&amp;"수당",설정_코스수당!$B$14:$F$14,0)),0),0)</f>
        <v>0</v>
      </c>
      <c r="L3094" s="33">
        <f t="array" ref="L3094">IF($O3094="방문완료",IF($H3094="",0,IFERROR(INDEX(설정_코스수당!$B$15:$F$64,MATCH($H3094,설정_코스수당!$A$15:$A$64,0),MATCH($E3094&amp;"수당",설정_코스수당!$B$14:$F$14,0)),0)),0)</f>
        <v>0</v>
      </c>
      <c r="M3094" s="33">
        <f>IF($O3094="방문완료",IFERROR(VLOOKUP($E3094,설정_코스수당!$A$6:$H$10,6,FALSE),0),0)</f>
        <v>0</v>
      </c>
      <c r="N3094" s="34">
        <f t="shared" si="89"/>
        <v>0</v>
      </c>
      <c r="O3094" s="29"/>
      <c r="P3094" s="29"/>
      <c r="Q3094" s="29"/>
      <c r="R3094" s="32"/>
      <c r="S3094" s="29"/>
    </row>
    <row r="3095" spans="1:27" ht="19.5" hidden="1" customHeight="1" outlineLevel="1">
      <c r="A3095" s="23">
        <v>95</v>
      </c>
      <c r="B3095" s="24">
        <f>IF(30&lt;=DAY(DATE(YEAR(설정_코스수당!$K$2),MONTH(설정_코스수당!$K$2)+1,0)),DATE(YEAR(설정_코스수당!$K$2),MONTH(설정_코스수당!$K$2),30),"")</f>
        <v>46203</v>
      </c>
      <c r="C3095" s="25"/>
      <c r="D3095" s="23"/>
      <c r="E3095" s="23"/>
      <c r="F3095" s="26"/>
      <c r="G3095" s="23"/>
      <c r="H3095" s="23"/>
      <c r="I3095" s="23"/>
      <c r="J3095" s="27">
        <f>IF($O3095="방문완료",MAX(0,IFERROR(VLOOKUP($E3095,설정_코스수당!$A$6:$H$10,4,FALSE),0)-IF(OR($P3095="",$P3095="없음"),0,100000)),0)</f>
        <v>0</v>
      </c>
      <c r="K3095" s="27">
        <f t="array" ref="K3095">IF($O3095="방문완료",IFERROR(INDEX(설정_코스수당!$B$15:$F$64,MATCH($G3095,설정_코스수당!$A$15:$A$64,0),MATCH($E3095&amp;"수당",설정_코스수당!$B$14:$F$14,0)),0),0)</f>
        <v>0</v>
      </c>
      <c r="L3095" s="27">
        <f t="array" ref="L3095">IF($O3095="방문완료",IF($H3095="",0,IFERROR(INDEX(설정_코스수당!$B$15:$F$64,MATCH($H3095,설정_코스수당!$A$15:$A$64,0),MATCH($E3095&amp;"수당",설정_코스수당!$B$14:$F$14,0)),0)),0)</f>
        <v>0</v>
      </c>
      <c r="M3095" s="27">
        <f>IF($O3095="방문완료",IFERROR(VLOOKUP($E3095,설정_코스수당!$A$6:$H$10,6,FALSE),0),0)</f>
        <v>0</v>
      </c>
      <c r="N3095" s="28">
        <f t="shared" si="89"/>
        <v>0</v>
      </c>
      <c r="O3095" s="23"/>
      <c r="P3095" s="23"/>
      <c r="Q3095" s="23"/>
      <c r="R3095" s="26"/>
      <c r="S3095" s="23"/>
    </row>
    <row r="3096" spans="1:27" ht="19.5" hidden="1" customHeight="1" outlineLevel="1">
      <c r="A3096" s="29">
        <v>96</v>
      </c>
      <c r="B3096" s="30">
        <f>IF(30&lt;=DAY(DATE(YEAR(설정_코스수당!$K$2),MONTH(설정_코스수당!$K$2)+1,0)),DATE(YEAR(설정_코스수당!$K$2),MONTH(설정_코스수당!$K$2),30),"")</f>
        <v>46203</v>
      </c>
      <c r="C3096" s="31"/>
      <c r="D3096" s="29"/>
      <c r="E3096" s="29"/>
      <c r="F3096" s="32"/>
      <c r="G3096" s="29"/>
      <c r="H3096" s="29"/>
      <c r="I3096" s="29"/>
      <c r="J3096" s="33">
        <f>IF($O3096="방문완료",MAX(0,IFERROR(VLOOKUP($E3096,설정_코스수당!$A$6:$H$10,4,FALSE),0)-IF(OR($P3096="",$P3096="없음"),0,100000)),0)</f>
        <v>0</v>
      </c>
      <c r="K3096" s="33">
        <f t="array" ref="K3096">IF($O3096="방문완료",IFERROR(INDEX(설정_코스수당!$B$15:$F$64,MATCH($G3096,설정_코스수당!$A$15:$A$64,0),MATCH($E3096&amp;"수당",설정_코스수당!$B$14:$F$14,0)),0),0)</f>
        <v>0</v>
      </c>
      <c r="L3096" s="33">
        <f t="array" ref="L3096">IF($O3096="방문완료",IF($H3096="",0,IFERROR(INDEX(설정_코스수당!$B$15:$F$64,MATCH($H3096,설정_코스수당!$A$15:$A$64,0),MATCH($E3096&amp;"수당",설정_코스수당!$B$14:$F$14,0)),0)),0)</f>
        <v>0</v>
      </c>
      <c r="M3096" s="33">
        <f>IF($O3096="방문완료",IFERROR(VLOOKUP($E3096,설정_코스수당!$A$6:$H$10,6,FALSE),0),0)</f>
        <v>0</v>
      </c>
      <c r="N3096" s="34">
        <f t="shared" si="89"/>
        <v>0</v>
      </c>
      <c r="O3096" s="29"/>
      <c r="P3096" s="29"/>
      <c r="Q3096" s="29"/>
      <c r="R3096" s="32"/>
      <c r="S3096" s="29"/>
    </row>
    <row r="3097" spans="1:27" ht="19.5" hidden="1" customHeight="1" outlineLevel="1">
      <c r="A3097" s="23">
        <v>97</v>
      </c>
      <c r="B3097" s="24">
        <f>IF(30&lt;=DAY(DATE(YEAR(설정_코스수당!$K$2),MONTH(설정_코스수당!$K$2)+1,0)),DATE(YEAR(설정_코스수당!$K$2),MONTH(설정_코스수당!$K$2),30),"")</f>
        <v>46203</v>
      </c>
      <c r="C3097" s="25"/>
      <c r="D3097" s="23"/>
      <c r="E3097" s="23"/>
      <c r="F3097" s="26"/>
      <c r="G3097" s="23"/>
      <c r="H3097" s="23"/>
      <c r="I3097" s="23"/>
      <c r="J3097" s="27">
        <f>IF($O3097="방문완료",MAX(0,IFERROR(VLOOKUP($E3097,설정_코스수당!$A$6:$H$10,4,FALSE),0)-IF(OR($P3097="",$P3097="없음"),0,100000)),0)</f>
        <v>0</v>
      </c>
      <c r="K3097" s="27">
        <f t="array" ref="K3097">IF($O3097="방문완료",IFERROR(INDEX(설정_코스수당!$B$15:$F$64,MATCH($G3097,설정_코스수당!$A$15:$A$64,0),MATCH($E3097&amp;"수당",설정_코스수당!$B$14:$F$14,0)),0),0)</f>
        <v>0</v>
      </c>
      <c r="L3097" s="27">
        <f t="array" ref="L3097">IF($O3097="방문완료",IF($H3097="",0,IFERROR(INDEX(설정_코스수당!$B$15:$F$64,MATCH($H3097,설정_코스수당!$A$15:$A$64,0),MATCH($E3097&amp;"수당",설정_코스수당!$B$14:$F$14,0)),0)),0)</f>
        <v>0</v>
      </c>
      <c r="M3097" s="27">
        <f>IF($O3097="방문완료",IFERROR(VLOOKUP($E3097,설정_코스수당!$A$6:$H$10,6,FALSE),0),0)</f>
        <v>0</v>
      </c>
      <c r="N3097" s="28">
        <f t="shared" si="89"/>
        <v>0</v>
      </c>
      <c r="O3097" s="23"/>
      <c r="P3097" s="23"/>
      <c r="Q3097" s="23"/>
      <c r="R3097" s="26"/>
      <c r="S3097" s="23"/>
    </row>
    <row r="3098" spans="1:27" ht="19.5" hidden="1" customHeight="1" outlineLevel="1">
      <c r="A3098" s="29">
        <v>98</v>
      </c>
      <c r="B3098" s="30">
        <f>IF(30&lt;=DAY(DATE(YEAR(설정_코스수당!$K$2),MONTH(설정_코스수당!$K$2)+1,0)),DATE(YEAR(설정_코스수당!$K$2),MONTH(설정_코스수당!$K$2),30),"")</f>
        <v>46203</v>
      </c>
      <c r="C3098" s="31"/>
      <c r="D3098" s="29"/>
      <c r="E3098" s="29"/>
      <c r="F3098" s="32"/>
      <c r="G3098" s="29"/>
      <c r="H3098" s="29"/>
      <c r="I3098" s="29"/>
      <c r="J3098" s="33">
        <f>IF($O3098="방문완료",MAX(0,IFERROR(VLOOKUP($E3098,설정_코스수당!$A$6:$H$10,4,FALSE),0)-IF(OR($P3098="",$P3098="없음"),0,100000)),0)</f>
        <v>0</v>
      </c>
      <c r="K3098" s="33">
        <f t="array" ref="K3098">IF($O3098="방문완료",IFERROR(INDEX(설정_코스수당!$B$15:$F$64,MATCH($G3098,설정_코스수당!$A$15:$A$64,0),MATCH($E3098&amp;"수당",설정_코스수당!$B$14:$F$14,0)),0),0)</f>
        <v>0</v>
      </c>
      <c r="L3098" s="33">
        <f t="array" ref="L3098">IF($O3098="방문완료",IF($H3098="",0,IFERROR(INDEX(설정_코스수당!$B$15:$F$64,MATCH($H3098,설정_코스수당!$A$15:$A$64,0),MATCH($E3098&amp;"수당",설정_코스수당!$B$14:$F$14,0)),0)),0)</f>
        <v>0</v>
      </c>
      <c r="M3098" s="33">
        <f>IF($O3098="방문완료",IFERROR(VLOOKUP($E3098,설정_코스수당!$A$6:$H$10,6,FALSE),0),0)</f>
        <v>0</v>
      </c>
      <c r="N3098" s="34">
        <f t="shared" si="89"/>
        <v>0</v>
      </c>
      <c r="O3098" s="29"/>
      <c r="P3098" s="29"/>
      <c r="Q3098" s="29"/>
      <c r="R3098" s="32"/>
      <c r="S3098" s="29"/>
    </row>
    <row r="3099" spans="1:27" ht="19.5" hidden="1" customHeight="1" outlineLevel="1">
      <c r="A3099" s="23">
        <v>99</v>
      </c>
      <c r="B3099" s="24">
        <f>IF(30&lt;=DAY(DATE(YEAR(설정_코스수당!$K$2),MONTH(설정_코스수당!$K$2)+1,0)),DATE(YEAR(설정_코스수당!$K$2),MONTH(설정_코스수당!$K$2),30),"")</f>
        <v>46203</v>
      </c>
      <c r="C3099" s="25"/>
      <c r="D3099" s="23"/>
      <c r="E3099" s="23"/>
      <c r="F3099" s="26"/>
      <c r="G3099" s="23"/>
      <c r="H3099" s="23"/>
      <c r="I3099" s="23"/>
      <c r="J3099" s="27">
        <f>IF($O3099="방문완료",MAX(0,IFERROR(VLOOKUP($E3099,설정_코스수당!$A$6:$H$10,4,FALSE),0)-IF(OR($P3099="",$P3099="없음"),0,100000)),0)</f>
        <v>0</v>
      </c>
      <c r="K3099" s="27">
        <f t="array" ref="K3099">IF($O3099="방문완료",IFERROR(INDEX(설정_코스수당!$B$15:$F$64,MATCH($G3099,설정_코스수당!$A$15:$A$64,0),MATCH($E3099&amp;"수당",설정_코스수당!$B$14:$F$14,0)),0),0)</f>
        <v>0</v>
      </c>
      <c r="L3099" s="27">
        <f t="array" ref="L3099">IF($O3099="방문완료",IF($H3099="",0,IFERROR(INDEX(설정_코스수당!$B$15:$F$64,MATCH($H3099,설정_코스수당!$A$15:$A$64,0),MATCH($E3099&amp;"수당",설정_코스수당!$B$14:$F$14,0)),0)),0)</f>
        <v>0</v>
      </c>
      <c r="M3099" s="27">
        <f>IF($O3099="방문완료",IFERROR(VLOOKUP($E3099,설정_코스수당!$A$6:$H$10,6,FALSE),0),0)</f>
        <v>0</v>
      </c>
      <c r="N3099" s="28">
        <f t="shared" si="89"/>
        <v>0</v>
      </c>
      <c r="O3099" s="23"/>
      <c r="P3099" s="23"/>
      <c r="Q3099" s="23"/>
      <c r="R3099" s="26"/>
      <c r="S3099" s="23"/>
    </row>
    <row r="3100" spans="1:27" ht="19.5" hidden="1" customHeight="1" outlineLevel="1">
      <c r="A3100" s="29">
        <v>100</v>
      </c>
      <c r="B3100" s="30">
        <f>IF(30&lt;=DAY(DATE(YEAR(설정_코스수당!$K$2),MONTH(설정_코스수당!$K$2)+1,0)),DATE(YEAR(설정_코스수당!$K$2),MONTH(설정_코스수당!$K$2),30),"")</f>
        <v>46203</v>
      </c>
      <c r="C3100" s="31"/>
      <c r="D3100" s="29"/>
      <c r="E3100" s="29"/>
      <c r="F3100" s="32"/>
      <c r="G3100" s="29"/>
      <c r="H3100" s="29"/>
      <c r="I3100" s="29"/>
      <c r="J3100" s="33">
        <f>IF($O3100="방문완료",MAX(0,IFERROR(VLOOKUP($E3100,설정_코스수당!$A$6:$H$10,4,FALSE),0)-IF(OR($P3100="",$P3100="없음"),0,100000)),0)</f>
        <v>0</v>
      </c>
      <c r="K3100" s="33">
        <f t="array" ref="K3100">IF($O3100="방문완료",IFERROR(INDEX(설정_코스수당!$B$15:$F$64,MATCH($G3100,설정_코스수당!$A$15:$A$64,0),MATCH($E3100&amp;"수당",설정_코스수당!$B$14:$F$14,0)),0),0)</f>
        <v>0</v>
      </c>
      <c r="L3100" s="33">
        <f t="array" ref="L3100">IF($O3100="방문완료",IF($H3100="",0,IFERROR(INDEX(설정_코스수당!$B$15:$F$64,MATCH($H3100,설정_코스수당!$A$15:$A$64,0),MATCH($E3100&amp;"수당",설정_코스수당!$B$14:$F$14,0)),0)),0)</f>
        <v>0</v>
      </c>
      <c r="M3100" s="33">
        <f>IF($O3100="방문완료",IFERROR(VLOOKUP($E3100,설정_코스수당!$A$6:$H$10,6,FALSE),0),0)</f>
        <v>0</v>
      </c>
      <c r="N3100" s="34">
        <f t="shared" si="89"/>
        <v>0</v>
      </c>
      <c r="O3100" s="29"/>
      <c r="P3100" s="29"/>
      <c r="Q3100" s="29"/>
      <c r="R3100" s="32"/>
      <c r="S3100" s="29"/>
    </row>
    <row r="3101" spans="1:27" ht="19.5" hidden="1" customHeight="1" outlineLevel="1">
      <c r="A3101" s="36" t="s">
        <v>79</v>
      </c>
      <c r="B3101" s="37"/>
      <c r="C3101" s="38"/>
      <c r="D3101" s="37"/>
      <c r="E3101" s="37"/>
      <c r="F3101" s="37"/>
      <c r="G3101" s="37"/>
      <c r="H3101" s="37"/>
      <c r="I3101" s="37"/>
      <c r="J3101" s="37">
        <f>IF($O3101="방문완료",MAX(0,IFERROR(VLOOKUP($E3101,설정_코스수당!$A$6:$H$10,4,FALSE),0)-IF(OR($P3101="",$P3101="없음"),0,100000)),0)</f>
        <v>0</v>
      </c>
      <c r="O3101" s="18"/>
      <c r="P3101" s="14"/>
      <c r="Q3101" s="18"/>
      <c r="S3101" s="18"/>
    </row>
    <row r="3102" spans="1:27" ht="21" customHeight="1" collapsed="1">
      <c r="A3102" s="123" t="str">
        <f>IF(31&lt;=DAY(DATE(YEAR(설정_코스수당!$K$2),MONTH(설정_코스수당!$K$2)+1,0)),TEXT(DATE(YEAR(설정_코스수당!$K$2),MONTH(설정_코스수당!$K$2),31),"yyyy-mm-dd")&amp;"  |  예약관리 100슬롯","")</f>
        <v/>
      </c>
      <c r="B3102" s="124"/>
      <c r="C3102" s="124"/>
      <c r="D3102" s="124"/>
      <c r="E3102" s="124"/>
      <c r="F3102" s="124"/>
      <c r="G3102" s="124"/>
      <c r="H3102" s="124"/>
      <c r="I3102" s="124"/>
      <c r="J3102" s="124"/>
      <c r="K3102" s="124"/>
      <c r="L3102" s="124"/>
      <c r="M3102" s="124"/>
      <c r="N3102" s="124"/>
      <c r="O3102" s="19"/>
      <c r="P3102" s="19"/>
      <c r="Q3102" s="19"/>
      <c r="R3102" s="19"/>
      <c r="S3102" s="19"/>
      <c r="T3102" s="19"/>
      <c r="U3102" s="19"/>
      <c r="V3102" s="19"/>
      <c r="W3102" s="19"/>
      <c r="X3102" s="19"/>
      <c r="Y3102" s="19"/>
      <c r="Z3102" s="19"/>
      <c r="AA3102" s="19"/>
    </row>
    <row r="3103" spans="1:27" ht="19.5" hidden="1" customHeight="1" outlineLevel="1">
      <c r="A3103" s="20" t="s">
        <v>41</v>
      </c>
      <c r="B3103" s="20" t="s">
        <v>42</v>
      </c>
      <c r="C3103" s="39" t="s">
        <v>43</v>
      </c>
      <c r="D3103" s="20" t="s">
        <v>44</v>
      </c>
      <c r="E3103" s="20" t="s">
        <v>45</v>
      </c>
      <c r="F3103" s="20" t="s">
        <v>46</v>
      </c>
      <c r="G3103" s="20" t="s">
        <v>47</v>
      </c>
      <c r="H3103" s="20" t="s">
        <v>48</v>
      </c>
      <c r="I3103" s="20" t="s">
        <v>49</v>
      </c>
      <c r="J3103" s="20" t="s">
        <v>50</v>
      </c>
      <c r="K3103" s="20" t="s">
        <v>51</v>
      </c>
      <c r="L3103" s="20" t="s">
        <v>52</v>
      </c>
      <c r="M3103" s="20" t="s">
        <v>53</v>
      </c>
      <c r="N3103" s="20" t="s">
        <v>54</v>
      </c>
      <c r="O3103" s="20" t="s">
        <v>55</v>
      </c>
      <c r="P3103" s="20" t="s">
        <v>56</v>
      </c>
      <c r="Q3103" s="18"/>
      <c r="R3103" s="20" t="s">
        <v>58</v>
      </c>
      <c r="S3103" s="20" t="s">
        <v>59</v>
      </c>
      <c r="U3103" s="122" t="str">
        <f>IF(31&lt;=DAY(DATE(YEAR(설정_코스수당!$K$2),MONTH(설정_코스수당!$K$2)+1,0)),TEXT(DATE(YEAR(설정_코스수당!$K$2),MONTH(설정_코스수당!$K$2),31),"yyyy-mm-dd")&amp;" 일일 상태","")</f>
        <v/>
      </c>
      <c r="V3103" s="125"/>
      <c r="W3103" s="122" t="s">
        <v>3</v>
      </c>
      <c r="X3103" s="125"/>
    </row>
    <row r="3104" spans="1:27" ht="19.5" hidden="1" customHeight="1" outlineLevel="1">
      <c r="A3104" s="23">
        <v>1</v>
      </c>
      <c r="B3104" s="24" t="str">
        <f>IF(31&lt;=DAY(DATE(YEAR(설정_코스수당!$K$2),MONTH(설정_코스수당!$K$2)+1,0)),DATE(YEAR(설정_코스수당!$K$2),MONTH(설정_코스수당!$K$2),31),"")</f>
        <v/>
      </c>
      <c r="C3104" s="25"/>
      <c r="D3104" s="23"/>
      <c r="E3104" s="23"/>
      <c r="F3104" s="26"/>
      <c r="G3104" s="23"/>
      <c r="H3104" s="23"/>
      <c r="I3104" s="23"/>
      <c r="J3104" s="27">
        <f>IF($O3104="방문완료",MAX(0,IFERROR(VLOOKUP($E3104,설정_코스수당!$A$6:$H$10,4,FALSE),0)-IF(OR($P3104="",$P3104="없음"),0,100000)),0)</f>
        <v>0</v>
      </c>
      <c r="K3104" s="27">
        <f t="array" ref="K3104">IF($O3104="방문완료",IFERROR(INDEX(설정_코스수당!$B$15:$F$64,MATCH($G3104,설정_코스수당!$A$15:$A$64,0),MATCH($E3104&amp;"수당",설정_코스수당!$B$14:$F$14,0)),0),0)</f>
        <v>0</v>
      </c>
      <c r="L3104" s="27">
        <f t="array" ref="L3104">IF($O3104="방문완료",IF($H3104="",0,IFERROR(INDEX(설정_코스수당!$B$15:$F$64,MATCH($H3104,설정_코스수당!$A$15:$A$64,0),MATCH($E3104&amp;"수당",설정_코스수당!$B$14:$F$14,0)),0)),0)</f>
        <v>0</v>
      </c>
      <c r="M3104" s="27">
        <f>IF($O3104="방문완료",IFERROR(VLOOKUP($E3104,설정_코스수당!$A$6:$H$10,6,FALSE),0),0)</f>
        <v>0</v>
      </c>
      <c r="N3104" s="28">
        <f t="shared" ref="N3104:N3135" si="90">IF($O3104="방문완료",1,0)</f>
        <v>0</v>
      </c>
      <c r="O3104" s="23"/>
      <c r="P3104" s="23"/>
      <c r="Q3104" s="23"/>
      <c r="R3104" s="26"/>
      <c r="S3104" s="23"/>
      <c r="U3104" s="104" t="s">
        <v>63</v>
      </c>
      <c r="V3104" s="105" t="str">
        <f>IF(31&lt;=DAY(DATE(YEAR(설정_코스수당!$K$2),MONTH(설정_코스수당!$K$2)+1,0)),COUNTIFS($B:$B,DATE(YEAR(설정_코스수당!$K$2),MONTH(설정_코스수당!$K$2),31),$O:$O,"&lt;&gt;"),"")</f>
        <v/>
      </c>
      <c r="W3104" s="104" t="s">
        <v>6</v>
      </c>
      <c r="X3104" s="105" t="str">
        <f>IF(31&lt;=DAY(DATE(YEAR(설정_코스수당!$K$2),MONTH(설정_코스수당!$K$2)+1,0)),COUNTIFS($B:$B,DATE(YEAR(설정_코스수당!$K$2),MONTH(설정_코스수당!$K$2),31),$E:$E,"A",$O:$O,"방문완료"),"")</f>
        <v/>
      </c>
    </row>
    <row r="3105" spans="1:24" ht="19.5" hidden="1" customHeight="1" outlineLevel="1">
      <c r="A3105" s="29">
        <v>2</v>
      </c>
      <c r="B3105" s="30" t="str">
        <f>IF(31&lt;=DAY(DATE(YEAR(설정_코스수당!$K$2),MONTH(설정_코스수당!$K$2)+1,0)),DATE(YEAR(설정_코스수당!$K$2),MONTH(설정_코스수당!$K$2),31),"")</f>
        <v/>
      </c>
      <c r="C3105" s="31"/>
      <c r="D3105" s="29"/>
      <c r="E3105" s="29"/>
      <c r="F3105" s="32"/>
      <c r="G3105" s="29"/>
      <c r="H3105" s="29"/>
      <c r="I3105" s="29"/>
      <c r="J3105" s="33">
        <f>IF($O3105="방문완료",MAX(0,IFERROR(VLOOKUP($E3105,설정_코스수당!$A$6:$H$10,4,FALSE),0)-IF(OR($P3105="",$P3105="없음"),0,100000)),0)</f>
        <v>0</v>
      </c>
      <c r="K3105" s="33">
        <f t="array" ref="K3105">IF($O3105="방문완료",IFERROR(INDEX(설정_코스수당!$B$15:$F$64,MATCH($G3105,설정_코스수당!$A$15:$A$64,0),MATCH($E3105&amp;"수당",설정_코스수당!$B$14:$F$14,0)),0),0)</f>
        <v>0</v>
      </c>
      <c r="L3105" s="33">
        <f t="array" ref="L3105">IF($O3105="방문완료",IF($H3105="",0,IFERROR(INDEX(설정_코스수당!$B$15:$F$64,MATCH($H3105,설정_코스수당!$A$15:$A$64,0),MATCH($E3105&amp;"수당",설정_코스수당!$B$14:$F$14,0)),0)),0)</f>
        <v>0</v>
      </c>
      <c r="M3105" s="33">
        <f>IF($O3105="방문완료",IFERROR(VLOOKUP($E3105,설정_코스수당!$A$6:$H$10,6,FALSE),0),0)</f>
        <v>0</v>
      </c>
      <c r="N3105" s="34">
        <f t="shared" si="90"/>
        <v>0</v>
      </c>
      <c r="O3105" s="29"/>
      <c r="P3105" s="29"/>
      <c r="Q3105" s="29"/>
      <c r="R3105" s="32"/>
      <c r="S3105" s="29"/>
      <c r="U3105" s="104" t="s">
        <v>62</v>
      </c>
      <c r="V3105" s="105" t="str">
        <f>IF(31&lt;=DAY(DATE(YEAR(설정_코스수당!$K$2),MONTH(설정_코스수당!$K$2)+1,0)),COUNTIFS($B:$B,DATE(YEAR(설정_코스수당!$K$2),MONTH(설정_코스수당!$K$2),31),$O:$O,"방문완료"),"")</f>
        <v/>
      </c>
      <c r="W3105" s="104" t="s">
        <v>9</v>
      </c>
      <c r="X3105" s="105" t="str">
        <f>IF(31&lt;=DAY(DATE(YEAR(설정_코스수당!$K$2),MONTH(설정_코스수당!$K$2)+1,0)),COUNTIFS($B:$B,DATE(YEAR(설정_코스수당!$K$2),MONTH(설정_코스수당!$K$2),31),$E:$E,"B",$O:$O,"방문완료"),"")</f>
        <v/>
      </c>
    </row>
    <row r="3106" spans="1:24" ht="19.5" hidden="1" customHeight="1" outlineLevel="1">
      <c r="A3106" s="23">
        <v>3</v>
      </c>
      <c r="B3106" s="24" t="str">
        <f>IF(31&lt;=DAY(DATE(YEAR(설정_코스수당!$K$2),MONTH(설정_코스수당!$K$2)+1,0)),DATE(YEAR(설정_코스수당!$K$2),MONTH(설정_코스수당!$K$2),31),"")</f>
        <v/>
      </c>
      <c r="C3106" s="25"/>
      <c r="D3106" s="23"/>
      <c r="E3106" s="23"/>
      <c r="F3106" s="26"/>
      <c r="G3106" s="23"/>
      <c r="H3106" s="23"/>
      <c r="I3106" s="23"/>
      <c r="J3106" s="27">
        <f>IF($O3106="방문완료",MAX(0,IFERROR(VLOOKUP($E3106,설정_코스수당!$A$6:$H$10,4,FALSE),0)-IF(OR($P3106="",$P3106="없음"),0,100000)),0)</f>
        <v>0</v>
      </c>
      <c r="K3106" s="27">
        <f t="array" ref="K3106">IF($O3106="방문완료",IFERROR(INDEX(설정_코스수당!$B$15:$F$64,MATCH($G3106,설정_코스수당!$A$15:$A$64,0),MATCH($E3106&amp;"수당",설정_코스수당!$B$14:$F$14,0)),0),0)</f>
        <v>0</v>
      </c>
      <c r="L3106" s="27">
        <f t="array" ref="L3106">IF($O3106="방문완료",IF($H3106="",0,IFERROR(INDEX(설정_코스수당!$B$15:$F$64,MATCH($H3106,설정_코스수당!$A$15:$A$64,0),MATCH($E3106&amp;"수당",설정_코스수당!$B$14:$F$14,0)),0)),0)</f>
        <v>0</v>
      </c>
      <c r="M3106" s="27">
        <f>IF($O3106="방문완료",IFERROR(VLOOKUP($E3106,설정_코스수당!$A$6:$H$10,6,FALSE),0),0)</f>
        <v>0</v>
      </c>
      <c r="N3106" s="28">
        <f t="shared" si="90"/>
        <v>0</v>
      </c>
      <c r="O3106" s="23"/>
      <c r="P3106" s="23"/>
      <c r="Q3106" s="23"/>
      <c r="R3106" s="26"/>
      <c r="S3106" s="23"/>
      <c r="U3106" s="104" t="s">
        <v>68</v>
      </c>
      <c r="V3106" s="105" t="str">
        <f>IF(31&lt;=DAY(DATE(YEAR(설정_코스수당!$K$2),MONTH(설정_코스수당!$K$2)+1,0)),COUNTIFS($B:$B,DATE(YEAR(설정_코스수당!$K$2),MONTH(설정_코스수당!$K$2),31),$O:$O,"노쇼")&amp;"/"&amp;COUNTIFS($B:$B,DATE(YEAR(설정_코스수당!$K$2),MONTH(설정_코스수당!$K$2),31),$O:$O,"취소"),"")</f>
        <v/>
      </c>
      <c r="W3106" s="104" t="s">
        <v>12</v>
      </c>
      <c r="X3106" s="105" t="str">
        <f>IF(31&lt;=DAY(DATE(YEAR(설정_코스수당!$K$2),MONTH(설정_코스수당!$K$2)+1,0)),COUNTIFS($B:$B,DATE(YEAR(설정_코스수당!$K$2),MONTH(설정_코스수당!$K$2),31),$E:$E,"C",$O:$O,"방문완료"),"")</f>
        <v/>
      </c>
    </row>
    <row r="3107" spans="1:24" ht="19.5" hidden="1" customHeight="1" outlineLevel="1">
      <c r="A3107" s="29">
        <v>4</v>
      </c>
      <c r="B3107" s="30" t="str">
        <f>IF(31&lt;=DAY(DATE(YEAR(설정_코스수당!$K$2),MONTH(설정_코스수당!$K$2)+1,0)),DATE(YEAR(설정_코스수당!$K$2),MONTH(설정_코스수당!$K$2),31),"")</f>
        <v/>
      </c>
      <c r="C3107" s="31"/>
      <c r="D3107" s="29"/>
      <c r="E3107" s="29"/>
      <c r="F3107" s="32"/>
      <c r="G3107" s="29"/>
      <c r="H3107" s="29"/>
      <c r="I3107" s="29"/>
      <c r="J3107" s="33">
        <f>IF($O3107="방문완료",MAX(0,IFERROR(VLOOKUP($E3107,설정_코스수당!$A$6:$H$10,4,FALSE),0)-IF(OR($P3107="",$P3107="없음"),0,100000)),0)</f>
        <v>0</v>
      </c>
      <c r="K3107" s="33">
        <f t="array" ref="K3107">IF($O3107="방문완료",IFERROR(INDEX(설정_코스수당!$B$15:$F$64,MATCH($G3107,설정_코스수당!$A$15:$A$64,0),MATCH($E3107&amp;"수당",설정_코스수당!$B$14:$F$14,0)),0),0)</f>
        <v>0</v>
      </c>
      <c r="L3107" s="33">
        <f t="array" ref="L3107">IF($O3107="방문완료",IF($H3107="",0,IFERROR(INDEX(설정_코스수당!$B$15:$F$64,MATCH($H3107,설정_코스수당!$A$15:$A$64,0),MATCH($E3107&amp;"수당",설정_코스수당!$B$14:$F$14,0)),0)),0)</f>
        <v>0</v>
      </c>
      <c r="M3107" s="33">
        <f>IF($O3107="방문완료",IFERROR(VLOOKUP($E3107,설정_코스수당!$A$6:$H$10,6,FALSE),0),0)</f>
        <v>0</v>
      </c>
      <c r="N3107" s="34">
        <f t="shared" si="90"/>
        <v>0</v>
      </c>
      <c r="O3107" s="29"/>
      <c r="P3107" s="29"/>
      <c r="Q3107" s="29"/>
      <c r="R3107" s="32"/>
      <c r="S3107" s="29"/>
      <c r="U3107" s="104" t="s">
        <v>69</v>
      </c>
      <c r="V3107" s="106" t="str">
        <f>IF(31&lt;=DAY(DATE(YEAR(설정_코스수당!$K$2),MONTH(설정_코스수당!$K$2)+1,0)),SUMIFS($J:$J,$B:$B,DATE(YEAR(설정_코스수당!$K$2),MONTH(설정_코스수당!$K$2),31),$O:$O,"방문완료"),"")</f>
        <v/>
      </c>
      <c r="W3107" s="104" t="s">
        <v>15</v>
      </c>
      <c r="X3107" s="105" t="str">
        <f>IF(31&lt;=DAY(DATE(YEAR(설정_코스수당!$K$2),MONTH(설정_코스수당!$K$2)+1,0)),COUNTIFS($B:$B,DATE(YEAR(설정_코스수당!$K$2),MONTH(설정_코스수당!$K$2),31),$E:$E,"D",$O:$O,"방문완료"),"")</f>
        <v/>
      </c>
    </row>
    <row r="3108" spans="1:24" ht="19.5" hidden="1" customHeight="1" outlineLevel="1">
      <c r="A3108" s="23">
        <v>5</v>
      </c>
      <c r="B3108" s="24" t="str">
        <f>IF(31&lt;=DAY(DATE(YEAR(설정_코스수당!$K$2),MONTH(설정_코스수당!$K$2)+1,0)),DATE(YEAR(설정_코스수당!$K$2),MONTH(설정_코스수당!$K$2),31),"")</f>
        <v/>
      </c>
      <c r="C3108" s="25"/>
      <c r="D3108" s="23"/>
      <c r="E3108" s="23"/>
      <c r="F3108" s="26"/>
      <c r="G3108" s="23"/>
      <c r="H3108" s="23"/>
      <c r="I3108" s="23"/>
      <c r="J3108" s="27">
        <f>IF($O3108="방문완료",MAX(0,IFERROR(VLOOKUP($E3108,설정_코스수당!$A$6:$H$10,4,FALSE),0)-IF(OR($P3108="",$P3108="없음"),0,100000)),0)</f>
        <v>0</v>
      </c>
      <c r="K3108" s="27">
        <f t="array" ref="K3108">IF($O3108="방문완료",IFERROR(INDEX(설정_코스수당!$B$15:$F$64,MATCH($G3108,설정_코스수당!$A$15:$A$64,0),MATCH($E3108&amp;"수당",설정_코스수당!$B$14:$F$14,0)),0),0)</f>
        <v>0</v>
      </c>
      <c r="L3108" s="27">
        <f t="array" ref="L3108">IF($O3108="방문완료",IF($H3108="",0,IFERROR(INDEX(설정_코스수당!$B$15:$F$64,MATCH($H3108,설정_코스수당!$A$15:$A$64,0),MATCH($E3108&amp;"수당",설정_코스수당!$B$14:$F$14,0)),0)),0)</f>
        <v>0</v>
      </c>
      <c r="M3108" s="27">
        <f>IF($O3108="방문완료",IFERROR(VLOOKUP($E3108,설정_코스수당!$A$6:$H$10,6,FALSE),0),0)</f>
        <v>0</v>
      </c>
      <c r="N3108" s="28">
        <f t="shared" si="90"/>
        <v>0</v>
      </c>
      <c r="O3108" s="23"/>
      <c r="P3108" s="23"/>
      <c r="Q3108" s="23"/>
      <c r="R3108" s="26"/>
      <c r="S3108" s="23"/>
      <c r="U3108" s="104" t="s">
        <v>70</v>
      </c>
      <c r="V3108" s="106" t="str">
        <f>IF(31&lt;=DAY(DATE(YEAR(설정_코스수당!$K$2),MONTH(설정_코스수당!$K$2)+1,0)),SUMIFS($K:$K,$B:$B,DATE(YEAR(설정_코스수당!$K$2),MONTH(설정_코스수당!$K$2),31),$O:$O,"방문완료")+SUMIFS($L:$L,$B:$B,DATE(YEAR(설정_코스수당!$K$2),MONTH(설정_코스수당!$K$2),31),$O:$O,"방문완료"),"")</f>
        <v/>
      </c>
      <c r="W3108" s="104" t="s">
        <v>18</v>
      </c>
      <c r="X3108" s="105" t="str">
        <f>IF(31&lt;=DAY(DATE(YEAR(설정_코스수당!$K$2),MONTH(설정_코스수당!$K$2)+1,0)),COUNTIFS($B:$B,DATE(YEAR(설정_코스수당!$K$2),MONTH(설정_코스수당!$K$2),31),$E:$E,"E",$O:$O,"방문완료"),"")</f>
        <v/>
      </c>
    </row>
    <row r="3109" spans="1:24" ht="19.5" hidden="1" customHeight="1" outlineLevel="1">
      <c r="A3109" s="29">
        <v>6</v>
      </c>
      <c r="B3109" s="30" t="str">
        <f>IF(31&lt;=DAY(DATE(YEAR(설정_코스수당!$K$2),MONTH(설정_코스수당!$K$2)+1,0)),DATE(YEAR(설정_코스수당!$K$2),MONTH(설정_코스수당!$K$2),31),"")</f>
        <v/>
      </c>
      <c r="C3109" s="31"/>
      <c r="D3109" s="29"/>
      <c r="E3109" s="29"/>
      <c r="F3109" s="32"/>
      <c r="G3109" s="29"/>
      <c r="H3109" s="29"/>
      <c r="I3109" s="29"/>
      <c r="J3109" s="33">
        <f>IF($O3109="방문완료",MAX(0,IFERROR(VLOOKUP($E3109,설정_코스수당!$A$6:$H$10,4,FALSE),0)-IF(OR($P3109="",$P3109="없음"),0,100000)),0)</f>
        <v>0</v>
      </c>
      <c r="K3109" s="33">
        <f t="array" ref="K3109">IF($O3109="방문완료",IFERROR(INDEX(설정_코스수당!$B$15:$F$64,MATCH($G3109,설정_코스수당!$A$15:$A$64,0),MATCH($E3109&amp;"수당",설정_코스수당!$B$14:$F$14,0)),0),0)</f>
        <v>0</v>
      </c>
      <c r="L3109" s="33">
        <f t="array" ref="L3109">IF($O3109="방문완료",IF($H3109="",0,IFERROR(INDEX(설정_코스수당!$B$15:$F$64,MATCH($H3109,설정_코스수당!$A$15:$A$64,0),MATCH($E3109&amp;"수당",설정_코스수당!$B$14:$F$14,0)),0)),0)</f>
        <v>0</v>
      </c>
      <c r="M3109" s="33">
        <f>IF($O3109="방문완료",IFERROR(VLOOKUP($E3109,설정_코스수당!$A$6:$H$10,6,FALSE),0),0)</f>
        <v>0</v>
      </c>
      <c r="N3109" s="34">
        <f t="shared" si="90"/>
        <v>0</v>
      </c>
      <c r="O3109" s="29"/>
      <c r="P3109" s="29"/>
      <c r="Q3109" s="29"/>
      <c r="R3109" s="32"/>
      <c r="S3109" s="29"/>
      <c r="U3109" s="104" t="s">
        <v>53</v>
      </c>
      <c r="V3109" s="106" t="str">
        <f>IF(31&lt;=DAY(DATE(YEAR(설정_코스수당!$K$2),MONTH(설정_코스수당!$K$2)+1,0)),SUMIFS($M:$M,$B:$B,DATE(YEAR(설정_코스수당!$K$2),MONTH(설정_코스수당!$K$2),31),$O:$O,"방문완료"),"")</f>
        <v/>
      </c>
      <c r="W3109" s="104" t="s">
        <v>71</v>
      </c>
      <c r="X3109" s="107" t="str">
        <f>IF(31&lt;=DAY(DATE(YEAR(설정_코스수당!$K$2),MONTH(설정_코스수당!$K$2)+1,0)),COUNTIFS($B:$B,DATE(YEAR(설정_코스수당!$K$2),MONTH(설정_코스수당!$K$2),31),$O:$O,"방문완료",$P:$P,"&lt;&gt;",$P:$P,"&lt;&gt;없음"),"")</f>
        <v/>
      </c>
    </row>
    <row r="3110" spans="1:24" ht="19.5" hidden="1" customHeight="1" outlineLevel="1">
      <c r="A3110" s="23">
        <v>7</v>
      </c>
      <c r="B3110" s="24" t="str">
        <f>IF(31&lt;=DAY(DATE(YEAR(설정_코스수당!$K$2),MONTH(설정_코스수당!$K$2)+1,0)),DATE(YEAR(설정_코스수당!$K$2),MONTH(설정_코스수당!$K$2),31),"")</f>
        <v/>
      </c>
      <c r="C3110" s="25"/>
      <c r="D3110" s="23"/>
      <c r="E3110" s="23"/>
      <c r="F3110" s="26"/>
      <c r="G3110" s="23"/>
      <c r="H3110" s="23"/>
      <c r="I3110" s="23"/>
      <c r="J3110" s="27">
        <f>IF($O3110="방문완료",MAX(0,IFERROR(VLOOKUP($E3110,설정_코스수당!$A$6:$H$10,4,FALSE),0)-IF(OR($P3110="",$P3110="없음"),0,100000)),0)</f>
        <v>0</v>
      </c>
      <c r="K3110" s="27">
        <f t="array" ref="K3110">IF($O3110="방문완료",IFERROR(INDEX(설정_코스수당!$B$15:$F$64,MATCH($G3110,설정_코스수당!$A$15:$A$64,0),MATCH($E3110&amp;"수당",설정_코스수당!$B$14:$F$14,0)),0),0)</f>
        <v>0</v>
      </c>
      <c r="L3110" s="27">
        <f t="array" ref="L3110">IF($O3110="방문완료",IF($H3110="",0,IFERROR(INDEX(설정_코스수당!$B$15:$F$64,MATCH($H3110,설정_코스수당!$A$15:$A$64,0),MATCH($E3110&amp;"수당",설정_코스수당!$B$14:$F$14,0)),0)),0)</f>
        <v>0</v>
      </c>
      <c r="M3110" s="27">
        <f>IF($O3110="방문완료",IFERROR(VLOOKUP($E3110,설정_코스수당!$A$6:$H$10,6,FALSE),0),0)</f>
        <v>0</v>
      </c>
      <c r="N3110" s="28">
        <f t="shared" si="90"/>
        <v>0</v>
      </c>
      <c r="O3110" s="23"/>
      <c r="P3110" s="23"/>
      <c r="Q3110" s="23"/>
      <c r="R3110" s="26"/>
      <c r="S3110" s="23"/>
      <c r="U3110" s="104" t="s">
        <v>72</v>
      </c>
      <c r="V3110" s="108" t="str">
        <f>IF(31&lt;=DAY(DATE(YEAR(설정_코스수당!$K$2),MONTH(설정_코스수당!$K$2)+1,0)),COUNTIFS($B:$B,DATE(YEAR(설정_코스수당!$K$2),MONTH(설정_코스수당!$K$2),31),$O:$O,"방문완료",$P:$P,"&lt;&gt;",$P:$P,"&lt;&gt;없음")*100000,"")</f>
        <v/>
      </c>
      <c r="W3110" s="104" t="s">
        <v>73</v>
      </c>
      <c r="X3110" s="105" t="str">
        <f>IF(31&lt;=DAY(DATE(YEAR(설정_코스수당!$K$2),MONTH(설정_코스수당!$K$2)+1,0)),COUNTIFS($B:$B,DATE(YEAR(설정_코스수당!$K$2),MONTH(설정_코스수당!$K$2),31),$G:$G,"&lt;&gt;",$O:$O,"방문완료")+COUNTIFS($B:$B,DATE(YEAR(설정_코스수당!$K$2),MONTH(설정_코스수당!$K$2),31),$H:$H,"&lt;&gt;",$O:$O,"방문완료"),"")</f>
        <v/>
      </c>
    </row>
    <row r="3111" spans="1:24" ht="19.5" hidden="1" customHeight="1" outlineLevel="1">
      <c r="A3111" s="29">
        <v>8</v>
      </c>
      <c r="B3111" s="30" t="str">
        <f>IF(31&lt;=DAY(DATE(YEAR(설정_코스수당!$K$2),MONTH(설정_코스수당!$K$2)+1,0)),DATE(YEAR(설정_코스수당!$K$2),MONTH(설정_코스수당!$K$2),31),"")</f>
        <v/>
      </c>
      <c r="C3111" s="31"/>
      <c r="D3111" s="29"/>
      <c r="E3111" s="29"/>
      <c r="F3111" s="32"/>
      <c r="G3111" s="29"/>
      <c r="H3111" s="29"/>
      <c r="I3111" s="29"/>
      <c r="J3111" s="33">
        <f>IF($O3111="방문완료",MAX(0,IFERROR(VLOOKUP($E3111,설정_코스수당!$A$6:$H$10,4,FALSE),0)-IF(OR($P3111="",$P3111="없음"),0,100000)),0)</f>
        <v>0</v>
      </c>
      <c r="K3111" s="33">
        <f t="array" ref="K3111">IF($O3111="방문완료",IFERROR(INDEX(설정_코스수당!$B$15:$F$64,MATCH($G3111,설정_코스수당!$A$15:$A$64,0),MATCH($E3111&amp;"수당",설정_코스수당!$B$14:$F$14,0)),0),0)</f>
        <v>0</v>
      </c>
      <c r="L3111" s="33">
        <f t="array" ref="L3111">IF($O3111="방문완료",IF($H3111="",0,IFERROR(INDEX(설정_코스수당!$B$15:$F$64,MATCH($H3111,설정_코스수당!$A$15:$A$64,0),MATCH($E3111&amp;"수당",설정_코스수당!$B$14:$F$14,0)),0)),0)</f>
        <v>0</v>
      </c>
      <c r="M3111" s="33">
        <f>IF($O3111="방문완료",IFERROR(VLOOKUP($E3111,설정_코스수당!$A$6:$H$10,6,FALSE),0),0)</f>
        <v>0</v>
      </c>
      <c r="N3111" s="34">
        <f t="shared" si="90"/>
        <v>0</v>
      </c>
      <c r="O3111" s="29"/>
      <c r="P3111" s="29"/>
      <c r="Q3111" s="29"/>
      <c r="R3111" s="32"/>
      <c r="S3111" s="29"/>
      <c r="U3111" s="104" t="s">
        <v>74</v>
      </c>
      <c r="V3111" s="108" t="str">
        <f>IF(31&lt;=DAY(DATE(YEAR(설정_코스수당!$K$2),MONTH(설정_코스수당!$K$2)+1,0)),SUM($U$3115:$U$3122),"")</f>
        <v/>
      </c>
      <c r="W3111" s="122" t="str">
        <f>IF(31&lt;=DAY(DATE(YEAR(설정_코스수당!$K$2),MONTH(설정_코스수당!$K$2)+1,0)),"계 : "&amp;TEXT(V3107-V3111,"#,##0")&amp;" 동","")</f>
        <v/>
      </c>
      <c r="X3111" s="122"/>
    </row>
    <row r="3112" spans="1:24" ht="19.5" hidden="1" customHeight="1" outlineLevel="1">
      <c r="A3112" s="23">
        <v>9</v>
      </c>
      <c r="B3112" s="24" t="str">
        <f>IF(31&lt;=DAY(DATE(YEAR(설정_코스수당!$K$2),MONTH(설정_코스수당!$K$2)+1,0)),DATE(YEAR(설정_코스수당!$K$2),MONTH(설정_코스수당!$K$2),31),"")</f>
        <v/>
      </c>
      <c r="C3112" s="25"/>
      <c r="D3112" s="23"/>
      <c r="E3112" s="23"/>
      <c r="F3112" s="26"/>
      <c r="G3112" s="23"/>
      <c r="H3112" s="23"/>
      <c r="I3112" s="23"/>
      <c r="J3112" s="27">
        <f>IF($O3112="방문완료",MAX(0,IFERROR(VLOOKUP($E3112,설정_코스수당!$A$6:$H$10,4,FALSE),0)-IF(OR($P3112="",$P3112="없음"),0,100000)),0)</f>
        <v>0</v>
      </c>
      <c r="K3112" s="27">
        <f t="array" ref="K3112">IF($O3112="방문완료",IFERROR(INDEX(설정_코스수당!$B$15:$F$64,MATCH($G3112,설정_코스수당!$A$15:$A$64,0),MATCH($E3112&amp;"수당",설정_코스수당!$B$14:$F$14,0)),0),0)</f>
        <v>0</v>
      </c>
      <c r="L3112" s="27">
        <f t="array" ref="L3112">IF($O3112="방문완료",IF($H3112="",0,IFERROR(INDEX(설정_코스수당!$B$15:$F$64,MATCH($H3112,설정_코스수당!$A$15:$A$64,0),MATCH($E3112&amp;"수당",설정_코스수당!$B$14:$F$14,0)),0)),0)</f>
        <v>0</v>
      </c>
      <c r="M3112" s="27">
        <f>IF($O3112="방문완료",IFERROR(VLOOKUP($E3112,설정_코스수당!$A$6:$H$10,6,FALSE),0),0)</f>
        <v>0</v>
      </c>
      <c r="N3112" s="28">
        <f t="shared" si="90"/>
        <v>0</v>
      </c>
      <c r="O3112" s="23"/>
      <c r="P3112" s="23"/>
      <c r="Q3112" s="23"/>
      <c r="R3112" s="26"/>
      <c r="S3112" s="23"/>
    </row>
    <row r="3113" spans="1:24" ht="19.5" hidden="1" customHeight="1" outlineLevel="1">
      <c r="A3113" s="29">
        <v>10</v>
      </c>
      <c r="B3113" s="30" t="str">
        <f>IF(31&lt;=DAY(DATE(YEAR(설정_코스수당!$K$2),MONTH(설정_코스수당!$K$2)+1,0)),DATE(YEAR(설정_코스수당!$K$2),MONTH(설정_코스수당!$K$2),31),"")</f>
        <v/>
      </c>
      <c r="C3113" s="31"/>
      <c r="D3113" s="29"/>
      <c r="E3113" s="29"/>
      <c r="F3113" s="32"/>
      <c r="G3113" s="29"/>
      <c r="H3113" s="29"/>
      <c r="I3113" s="29"/>
      <c r="J3113" s="33">
        <f>IF($O3113="방문완료",MAX(0,IFERROR(VLOOKUP($E3113,설정_코스수당!$A$6:$H$10,4,FALSE),0)-IF(OR($P3113="",$P3113="없음"),0,100000)),0)</f>
        <v>0</v>
      </c>
      <c r="K3113" s="33">
        <f t="array" ref="K3113">IF($O3113="방문완료",IFERROR(INDEX(설정_코스수당!$B$15:$F$64,MATCH($G3113,설정_코스수당!$A$15:$A$64,0),MATCH($E3113&amp;"수당",설정_코스수당!$B$14:$F$14,0)),0),0)</f>
        <v>0</v>
      </c>
      <c r="L3113" s="33">
        <f t="array" ref="L3113">IF($O3113="방문완료",IF($H3113="",0,IFERROR(INDEX(설정_코스수당!$B$15:$F$64,MATCH($H3113,설정_코스수당!$A$15:$A$64,0),MATCH($E3113&amp;"수당",설정_코스수당!$B$14:$F$14,0)),0)),0)</f>
        <v>0</v>
      </c>
      <c r="M3113" s="33">
        <f>IF($O3113="방문완료",IFERROR(VLOOKUP($E3113,설정_코스수당!$A$6:$H$10,6,FALSE),0),0)</f>
        <v>0</v>
      </c>
      <c r="N3113" s="34">
        <f t="shared" si="90"/>
        <v>0</v>
      </c>
      <c r="O3113" s="29"/>
      <c r="P3113" s="29"/>
      <c r="Q3113" s="29"/>
      <c r="R3113" s="32"/>
      <c r="S3113" s="29"/>
      <c r="U3113" s="120" t="s">
        <v>75</v>
      </c>
      <c r="V3113" s="121"/>
      <c r="W3113" s="121"/>
      <c r="X3113" s="121"/>
    </row>
    <row r="3114" spans="1:24" ht="19.5" hidden="1" customHeight="1" outlineLevel="1">
      <c r="A3114" s="23">
        <v>11</v>
      </c>
      <c r="B3114" s="24" t="str">
        <f>IF(31&lt;=DAY(DATE(YEAR(설정_코스수당!$K$2),MONTH(설정_코스수당!$K$2)+1,0)),DATE(YEAR(설정_코스수당!$K$2),MONTH(설정_코스수당!$K$2),31),"")</f>
        <v/>
      </c>
      <c r="C3114" s="25"/>
      <c r="D3114" s="23"/>
      <c r="E3114" s="23"/>
      <c r="F3114" s="26"/>
      <c r="G3114" s="23"/>
      <c r="H3114" s="23"/>
      <c r="I3114" s="23"/>
      <c r="J3114" s="27">
        <f>IF($O3114="방문완료",MAX(0,IFERROR(VLOOKUP($E3114,설정_코스수당!$A$6:$H$10,4,FALSE),0)-IF(OR($P3114="",$P3114="없음"),0,100000)),0)</f>
        <v>0</v>
      </c>
      <c r="K3114" s="27">
        <f t="array" ref="K3114">IF($O3114="방문완료",IFERROR(INDEX(설정_코스수당!$B$15:$F$64,MATCH($G3114,설정_코스수당!$A$15:$A$64,0),MATCH($E3114&amp;"수당",설정_코스수당!$B$14:$F$14,0)),0),0)</f>
        <v>0</v>
      </c>
      <c r="L3114" s="27">
        <f t="array" ref="L3114">IF($O3114="방문완료",IF($H3114="",0,IFERROR(INDEX(설정_코스수당!$B$15:$F$64,MATCH($H3114,설정_코스수당!$A$15:$A$64,0),MATCH($E3114&amp;"수당",설정_코스수당!$B$14:$F$14,0)),0)),0)</f>
        <v>0</v>
      </c>
      <c r="M3114" s="27">
        <f>IF($O3114="방문완료",IFERROR(VLOOKUP($E3114,설정_코스수당!$A$6:$H$10,6,FALSE),0),0)</f>
        <v>0</v>
      </c>
      <c r="N3114" s="28">
        <f t="shared" si="90"/>
        <v>0</v>
      </c>
      <c r="O3114" s="23"/>
      <c r="P3114" s="23"/>
      <c r="Q3114" s="23"/>
      <c r="R3114" s="26"/>
      <c r="S3114" s="23"/>
      <c r="U3114" s="109" t="s">
        <v>76</v>
      </c>
      <c r="V3114" s="109" t="s">
        <v>77</v>
      </c>
      <c r="W3114" s="109" t="s">
        <v>78</v>
      </c>
      <c r="X3114" s="109" t="s">
        <v>58</v>
      </c>
    </row>
    <row r="3115" spans="1:24" ht="19.5" hidden="1" customHeight="1" outlineLevel="1">
      <c r="A3115" s="29">
        <v>12</v>
      </c>
      <c r="B3115" s="30" t="str">
        <f>IF(31&lt;=DAY(DATE(YEAR(설정_코스수당!$K$2),MONTH(설정_코스수당!$K$2)+1,0)),DATE(YEAR(설정_코스수당!$K$2),MONTH(설정_코스수당!$K$2),31),"")</f>
        <v/>
      </c>
      <c r="C3115" s="31"/>
      <c r="D3115" s="29"/>
      <c r="E3115" s="29"/>
      <c r="F3115" s="32"/>
      <c r="G3115" s="29"/>
      <c r="H3115" s="29"/>
      <c r="I3115" s="29"/>
      <c r="J3115" s="33">
        <f>IF($O3115="방문완료",MAX(0,IFERROR(VLOOKUP($E3115,설정_코스수당!$A$6:$H$10,4,FALSE),0)-IF(OR($P3115="",$P3115="없음"),0,100000)),0)</f>
        <v>0</v>
      </c>
      <c r="K3115" s="33">
        <f t="array" ref="K3115">IF($O3115="방문완료",IFERROR(INDEX(설정_코스수당!$B$15:$F$64,MATCH($G3115,설정_코스수당!$A$15:$A$64,0),MATCH($E3115&amp;"수당",설정_코스수당!$B$14:$F$14,0)),0),0)</f>
        <v>0</v>
      </c>
      <c r="L3115" s="33">
        <f t="array" ref="L3115">IF($O3115="방문완료",IF($H3115="",0,IFERROR(INDEX(설정_코스수당!$B$15:$F$64,MATCH($H3115,설정_코스수당!$A$15:$A$64,0),MATCH($E3115&amp;"수당",설정_코스수당!$B$14:$F$14,0)),0)),0)</f>
        <v>0</v>
      </c>
      <c r="M3115" s="33">
        <f>IF($O3115="방문완료",IFERROR(VLOOKUP($E3115,설정_코스수당!$A$6:$H$10,6,FALSE),0),0)</f>
        <v>0</v>
      </c>
      <c r="N3115" s="34">
        <f t="shared" si="90"/>
        <v>0</v>
      </c>
      <c r="O3115" s="29"/>
      <c r="P3115" s="29"/>
      <c r="Q3115" s="29"/>
      <c r="R3115" s="32"/>
      <c r="S3115" s="29"/>
      <c r="U3115" s="113"/>
      <c r="V3115" s="111"/>
      <c r="W3115" s="112"/>
      <c r="X3115" s="111"/>
    </row>
    <row r="3116" spans="1:24" ht="19.5" hidden="1" customHeight="1" outlineLevel="1">
      <c r="A3116" s="23">
        <v>13</v>
      </c>
      <c r="B3116" s="24" t="str">
        <f>IF(31&lt;=DAY(DATE(YEAR(설정_코스수당!$K$2),MONTH(설정_코스수당!$K$2)+1,0)),DATE(YEAR(설정_코스수당!$K$2),MONTH(설정_코스수당!$K$2),31),"")</f>
        <v/>
      </c>
      <c r="C3116" s="25"/>
      <c r="D3116" s="23"/>
      <c r="E3116" s="23"/>
      <c r="F3116" s="26"/>
      <c r="G3116" s="23"/>
      <c r="H3116" s="23"/>
      <c r="I3116" s="23"/>
      <c r="J3116" s="27">
        <f>IF($O3116="방문완료",MAX(0,IFERROR(VLOOKUP($E3116,설정_코스수당!$A$6:$H$10,4,FALSE),0)-IF(OR($P3116="",$P3116="없음"),0,100000)),0)</f>
        <v>0</v>
      </c>
      <c r="K3116" s="27">
        <f t="array" ref="K3116">IF($O3116="방문완료",IFERROR(INDEX(설정_코스수당!$B$15:$F$64,MATCH($G3116,설정_코스수당!$A$15:$A$64,0),MATCH($E3116&amp;"수당",설정_코스수당!$B$14:$F$14,0)),0),0)</f>
        <v>0</v>
      </c>
      <c r="L3116" s="27">
        <f t="array" ref="L3116">IF($O3116="방문완료",IF($H3116="",0,IFERROR(INDEX(설정_코스수당!$B$15:$F$64,MATCH($H3116,설정_코스수당!$A$15:$A$64,0),MATCH($E3116&amp;"수당",설정_코스수당!$B$14:$F$14,0)),0)),0)</f>
        <v>0</v>
      </c>
      <c r="M3116" s="27">
        <f>IF($O3116="방문완료",IFERROR(VLOOKUP($E3116,설정_코스수당!$A$6:$H$10,6,FALSE),0),0)</f>
        <v>0</v>
      </c>
      <c r="N3116" s="28">
        <f t="shared" si="90"/>
        <v>0</v>
      </c>
      <c r="O3116" s="23"/>
      <c r="P3116" s="23"/>
      <c r="Q3116" s="23"/>
      <c r="R3116" s="26"/>
      <c r="S3116" s="23"/>
      <c r="U3116" s="113"/>
      <c r="V3116" s="111"/>
      <c r="W3116" s="112"/>
      <c r="X3116" s="111"/>
    </row>
    <row r="3117" spans="1:24" ht="19.5" hidden="1" customHeight="1" outlineLevel="1">
      <c r="A3117" s="29">
        <v>14</v>
      </c>
      <c r="B3117" s="30" t="str">
        <f>IF(31&lt;=DAY(DATE(YEAR(설정_코스수당!$K$2),MONTH(설정_코스수당!$K$2)+1,0)),DATE(YEAR(설정_코스수당!$K$2),MONTH(설정_코스수당!$K$2),31),"")</f>
        <v/>
      </c>
      <c r="C3117" s="31"/>
      <c r="D3117" s="29"/>
      <c r="E3117" s="29"/>
      <c r="F3117" s="32"/>
      <c r="G3117" s="29"/>
      <c r="H3117" s="29"/>
      <c r="I3117" s="29"/>
      <c r="J3117" s="33">
        <f>IF($O3117="방문완료",MAX(0,IFERROR(VLOOKUP($E3117,설정_코스수당!$A$6:$H$10,4,FALSE),0)-IF(OR($P3117="",$P3117="없음"),0,100000)),0)</f>
        <v>0</v>
      </c>
      <c r="K3117" s="33">
        <f t="array" ref="K3117">IF($O3117="방문완료",IFERROR(INDEX(설정_코스수당!$B$15:$F$64,MATCH($G3117,설정_코스수당!$A$15:$A$64,0),MATCH($E3117&amp;"수당",설정_코스수당!$B$14:$F$14,0)),0),0)</f>
        <v>0</v>
      </c>
      <c r="L3117" s="33">
        <f t="array" ref="L3117">IF($O3117="방문완료",IF($H3117="",0,IFERROR(INDEX(설정_코스수당!$B$15:$F$64,MATCH($H3117,설정_코스수당!$A$15:$A$64,0),MATCH($E3117&amp;"수당",설정_코스수당!$B$14:$F$14,0)),0)),0)</f>
        <v>0</v>
      </c>
      <c r="M3117" s="33">
        <f>IF($O3117="방문완료",IFERROR(VLOOKUP($E3117,설정_코스수당!$A$6:$H$10,6,FALSE),0),0)</f>
        <v>0</v>
      </c>
      <c r="N3117" s="34">
        <f t="shared" si="90"/>
        <v>0</v>
      </c>
      <c r="O3117" s="29"/>
      <c r="P3117" s="29"/>
      <c r="Q3117" s="29"/>
      <c r="R3117" s="32"/>
      <c r="S3117" s="29"/>
      <c r="U3117" s="113"/>
      <c r="V3117" s="111"/>
      <c r="W3117" s="112"/>
      <c r="X3117" s="111"/>
    </row>
    <row r="3118" spans="1:24" ht="19.5" hidden="1" customHeight="1" outlineLevel="1">
      <c r="A3118" s="23">
        <v>15</v>
      </c>
      <c r="B3118" s="24" t="str">
        <f>IF(31&lt;=DAY(DATE(YEAR(설정_코스수당!$K$2),MONTH(설정_코스수당!$K$2)+1,0)),DATE(YEAR(설정_코스수당!$K$2),MONTH(설정_코스수당!$K$2),31),"")</f>
        <v/>
      </c>
      <c r="C3118" s="25"/>
      <c r="D3118" s="23"/>
      <c r="E3118" s="23"/>
      <c r="F3118" s="26"/>
      <c r="G3118" s="23"/>
      <c r="H3118" s="23"/>
      <c r="I3118" s="23"/>
      <c r="J3118" s="27">
        <f>IF($O3118="방문완료",MAX(0,IFERROR(VLOOKUP($E3118,설정_코스수당!$A$6:$H$10,4,FALSE),0)-IF(OR($P3118="",$P3118="없음"),0,100000)),0)</f>
        <v>0</v>
      </c>
      <c r="K3118" s="27">
        <f t="array" ref="K3118">IF($O3118="방문완료",IFERROR(INDEX(설정_코스수당!$B$15:$F$64,MATCH($G3118,설정_코스수당!$A$15:$A$64,0),MATCH($E3118&amp;"수당",설정_코스수당!$B$14:$F$14,0)),0),0)</f>
        <v>0</v>
      </c>
      <c r="L3118" s="27">
        <f t="array" ref="L3118">IF($O3118="방문완료",IF($H3118="",0,IFERROR(INDEX(설정_코스수당!$B$15:$F$64,MATCH($H3118,설정_코스수당!$A$15:$A$64,0),MATCH($E3118&amp;"수당",설정_코스수당!$B$14:$F$14,0)),0)),0)</f>
        <v>0</v>
      </c>
      <c r="M3118" s="27">
        <f>IF($O3118="방문완료",IFERROR(VLOOKUP($E3118,설정_코스수당!$A$6:$H$10,6,FALSE),0),0)</f>
        <v>0</v>
      </c>
      <c r="N3118" s="28">
        <f t="shared" si="90"/>
        <v>0</v>
      </c>
      <c r="O3118" s="23"/>
      <c r="P3118" s="23"/>
      <c r="Q3118" s="23"/>
      <c r="R3118" s="26"/>
      <c r="S3118" s="23"/>
      <c r="U3118" s="113"/>
      <c r="V3118" s="111"/>
      <c r="W3118" s="112"/>
      <c r="X3118" s="111"/>
    </row>
    <row r="3119" spans="1:24" ht="19.5" hidden="1" customHeight="1" outlineLevel="1">
      <c r="A3119" s="29">
        <v>16</v>
      </c>
      <c r="B3119" s="30" t="str">
        <f>IF(31&lt;=DAY(DATE(YEAR(설정_코스수당!$K$2),MONTH(설정_코스수당!$K$2)+1,0)),DATE(YEAR(설정_코스수당!$K$2),MONTH(설정_코스수당!$K$2),31),"")</f>
        <v/>
      </c>
      <c r="C3119" s="31"/>
      <c r="D3119" s="29"/>
      <c r="E3119" s="29"/>
      <c r="F3119" s="32"/>
      <c r="G3119" s="29"/>
      <c r="H3119" s="29"/>
      <c r="I3119" s="29"/>
      <c r="J3119" s="33">
        <f>IF($O3119="방문완료",MAX(0,IFERROR(VLOOKUP($E3119,설정_코스수당!$A$6:$H$10,4,FALSE),0)-IF(OR($P3119="",$P3119="없음"),0,100000)),0)</f>
        <v>0</v>
      </c>
      <c r="K3119" s="33">
        <f t="array" ref="K3119">IF($O3119="방문완료",IFERROR(INDEX(설정_코스수당!$B$15:$F$64,MATCH($G3119,설정_코스수당!$A$15:$A$64,0),MATCH($E3119&amp;"수당",설정_코스수당!$B$14:$F$14,0)),0),0)</f>
        <v>0</v>
      </c>
      <c r="L3119" s="33">
        <f t="array" ref="L3119">IF($O3119="방문완료",IF($H3119="",0,IFERROR(INDEX(설정_코스수당!$B$15:$F$64,MATCH($H3119,설정_코스수당!$A$15:$A$64,0),MATCH($E3119&amp;"수당",설정_코스수당!$B$14:$F$14,0)),0)),0)</f>
        <v>0</v>
      </c>
      <c r="M3119" s="33">
        <f>IF($O3119="방문완료",IFERROR(VLOOKUP($E3119,설정_코스수당!$A$6:$H$10,6,FALSE),0),0)</f>
        <v>0</v>
      </c>
      <c r="N3119" s="34">
        <f t="shared" si="90"/>
        <v>0</v>
      </c>
      <c r="O3119" s="29"/>
      <c r="P3119" s="29"/>
      <c r="Q3119" s="29"/>
      <c r="R3119" s="32"/>
      <c r="S3119" s="29"/>
      <c r="U3119" s="113"/>
      <c r="V3119" s="111"/>
      <c r="W3119" s="112"/>
      <c r="X3119" s="111"/>
    </row>
    <row r="3120" spans="1:24" ht="19.5" hidden="1" customHeight="1" outlineLevel="1">
      <c r="A3120" s="23">
        <v>17</v>
      </c>
      <c r="B3120" s="24" t="str">
        <f>IF(31&lt;=DAY(DATE(YEAR(설정_코스수당!$K$2),MONTH(설정_코스수당!$K$2)+1,0)),DATE(YEAR(설정_코스수당!$K$2),MONTH(설정_코스수당!$K$2),31),"")</f>
        <v/>
      </c>
      <c r="C3120" s="25"/>
      <c r="D3120" s="23"/>
      <c r="E3120" s="23"/>
      <c r="F3120" s="26"/>
      <c r="G3120" s="23"/>
      <c r="H3120" s="23"/>
      <c r="I3120" s="23"/>
      <c r="J3120" s="27">
        <f>IF($O3120="방문완료",MAX(0,IFERROR(VLOOKUP($E3120,설정_코스수당!$A$6:$H$10,4,FALSE),0)-IF(OR($P3120="",$P3120="없음"),0,100000)),0)</f>
        <v>0</v>
      </c>
      <c r="K3120" s="27">
        <f t="array" ref="K3120">IF($O3120="방문완료",IFERROR(INDEX(설정_코스수당!$B$15:$F$64,MATCH($G3120,설정_코스수당!$A$15:$A$64,0),MATCH($E3120&amp;"수당",설정_코스수당!$B$14:$F$14,0)),0),0)</f>
        <v>0</v>
      </c>
      <c r="L3120" s="27">
        <f t="array" ref="L3120">IF($O3120="방문완료",IF($H3120="",0,IFERROR(INDEX(설정_코스수당!$B$15:$F$64,MATCH($H3120,설정_코스수당!$A$15:$A$64,0),MATCH($E3120&amp;"수당",설정_코스수당!$B$14:$F$14,0)),0)),0)</f>
        <v>0</v>
      </c>
      <c r="M3120" s="27">
        <f>IF($O3120="방문완료",IFERROR(VLOOKUP($E3120,설정_코스수당!$A$6:$H$10,6,FALSE),0),0)</f>
        <v>0</v>
      </c>
      <c r="N3120" s="28">
        <f t="shared" si="90"/>
        <v>0</v>
      </c>
      <c r="O3120" s="23"/>
      <c r="P3120" s="23"/>
      <c r="Q3120" s="23"/>
      <c r="R3120" s="26"/>
      <c r="S3120" s="23"/>
      <c r="U3120" s="113"/>
      <c r="V3120" s="111"/>
      <c r="W3120" s="112"/>
      <c r="X3120" s="111"/>
    </row>
    <row r="3121" spans="1:24" ht="19.5" hidden="1" customHeight="1" outlineLevel="1">
      <c r="A3121" s="29">
        <v>18</v>
      </c>
      <c r="B3121" s="30" t="str">
        <f>IF(31&lt;=DAY(DATE(YEAR(설정_코스수당!$K$2),MONTH(설정_코스수당!$K$2)+1,0)),DATE(YEAR(설정_코스수당!$K$2),MONTH(설정_코스수당!$K$2),31),"")</f>
        <v/>
      </c>
      <c r="C3121" s="31"/>
      <c r="D3121" s="29"/>
      <c r="E3121" s="29"/>
      <c r="F3121" s="32"/>
      <c r="G3121" s="29"/>
      <c r="H3121" s="29"/>
      <c r="I3121" s="29"/>
      <c r="J3121" s="33">
        <f>IF($O3121="방문완료",MAX(0,IFERROR(VLOOKUP($E3121,설정_코스수당!$A$6:$H$10,4,FALSE),0)-IF(OR($P3121="",$P3121="없음"),0,100000)),0)</f>
        <v>0</v>
      </c>
      <c r="K3121" s="33">
        <f t="array" ref="K3121">IF($O3121="방문완료",IFERROR(INDEX(설정_코스수당!$B$15:$F$64,MATCH($G3121,설정_코스수당!$A$15:$A$64,0),MATCH($E3121&amp;"수당",설정_코스수당!$B$14:$F$14,0)),0),0)</f>
        <v>0</v>
      </c>
      <c r="L3121" s="33">
        <f t="array" ref="L3121">IF($O3121="방문완료",IF($H3121="",0,IFERROR(INDEX(설정_코스수당!$B$15:$F$64,MATCH($H3121,설정_코스수당!$A$15:$A$64,0),MATCH($E3121&amp;"수당",설정_코스수당!$B$14:$F$14,0)),0)),0)</f>
        <v>0</v>
      </c>
      <c r="M3121" s="33">
        <f>IF($O3121="방문완료",IFERROR(VLOOKUP($E3121,설정_코스수당!$A$6:$H$10,6,FALSE),0),0)</f>
        <v>0</v>
      </c>
      <c r="N3121" s="34">
        <f t="shared" si="90"/>
        <v>0</v>
      </c>
      <c r="O3121" s="29"/>
      <c r="P3121" s="29"/>
      <c r="Q3121" s="29"/>
      <c r="R3121" s="32"/>
      <c r="S3121" s="29"/>
      <c r="U3121" s="113"/>
      <c r="V3121" s="111"/>
      <c r="W3121" s="112"/>
      <c r="X3121" s="111"/>
    </row>
    <row r="3122" spans="1:24" ht="19.5" hidden="1" customHeight="1" outlineLevel="1">
      <c r="A3122" s="23">
        <v>19</v>
      </c>
      <c r="B3122" s="24" t="str">
        <f>IF(31&lt;=DAY(DATE(YEAR(설정_코스수당!$K$2),MONTH(설정_코스수당!$K$2)+1,0)),DATE(YEAR(설정_코스수당!$K$2),MONTH(설정_코스수당!$K$2),31),"")</f>
        <v/>
      </c>
      <c r="C3122" s="25"/>
      <c r="D3122" s="23"/>
      <c r="E3122" s="23"/>
      <c r="F3122" s="26"/>
      <c r="G3122" s="23"/>
      <c r="H3122" s="23"/>
      <c r="I3122" s="23"/>
      <c r="J3122" s="27">
        <f>IF($O3122="방문완료",MAX(0,IFERROR(VLOOKUP($E3122,설정_코스수당!$A$6:$H$10,4,FALSE),0)-IF(OR($P3122="",$P3122="없음"),0,100000)),0)</f>
        <v>0</v>
      </c>
      <c r="K3122" s="27">
        <f t="array" ref="K3122">IF($O3122="방문완료",IFERROR(INDEX(설정_코스수당!$B$15:$F$64,MATCH($G3122,설정_코스수당!$A$15:$A$64,0),MATCH($E3122&amp;"수당",설정_코스수당!$B$14:$F$14,0)),0),0)</f>
        <v>0</v>
      </c>
      <c r="L3122" s="27">
        <f t="array" ref="L3122">IF($O3122="방문완료",IF($H3122="",0,IFERROR(INDEX(설정_코스수당!$B$15:$F$64,MATCH($H3122,설정_코스수당!$A$15:$A$64,0),MATCH($E3122&amp;"수당",설정_코스수당!$B$14:$F$14,0)),0)),0)</f>
        <v>0</v>
      </c>
      <c r="M3122" s="27">
        <f>IF($O3122="방문완료",IFERROR(VLOOKUP($E3122,설정_코스수당!$A$6:$H$10,6,FALSE),0),0)</f>
        <v>0</v>
      </c>
      <c r="N3122" s="28">
        <f t="shared" si="90"/>
        <v>0</v>
      </c>
      <c r="O3122" s="23"/>
      <c r="P3122" s="23"/>
      <c r="Q3122" s="23"/>
      <c r="R3122" s="26"/>
      <c r="S3122" s="23"/>
      <c r="U3122" s="113"/>
      <c r="V3122" s="111"/>
      <c r="W3122" s="112"/>
      <c r="X3122" s="111"/>
    </row>
    <row r="3123" spans="1:24" ht="19.5" hidden="1" customHeight="1" outlineLevel="1">
      <c r="A3123" s="29">
        <v>20</v>
      </c>
      <c r="B3123" s="30" t="str">
        <f>IF(31&lt;=DAY(DATE(YEAR(설정_코스수당!$K$2),MONTH(설정_코스수당!$K$2)+1,0)),DATE(YEAR(설정_코스수당!$K$2),MONTH(설정_코스수당!$K$2),31),"")</f>
        <v/>
      </c>
      <c r="C3123" s="31"/>
      <c r="D3123" s="29"/>
      <c r="E3123" s="29"/>
      <c r="F3123" s="32"/>
      <c r="G3123" s="29"/>
      <c r="H3123" s="29"/>
      <c r="I3123" s="29"/>
      <c r="J3123" s="33">
        <f>IF($O3123="방문완료",MAX(0,IFERROR(VLOOKUP($E3123,설정_코스수당!$A$6:$H$10,4,FALSE),0)-IF(OR($P3123="",$P3123="없음"),0,100000)),0)</f>
        <v>0</v>
      </c>
      <c r="K3123" s="33">
        <f t="array" ref="K3123">IF($O3123="방문완료",IFERROR(INDEX(설정_코스수당!$B$15:$F$64,MATCH($G3123,설정_코스수당!$A$15:$A$64,0),MATCH($E3123&amp;"수당",설정_코스수당!$B$14:$F$14,0)),0),0)</f>
        <v>0</v>
      </c>
      <c r="L3123" s="33">
        <f t="array" ref="L3123">IF($O3123="방문완료",IF($H3123="",0,IFERROR(INDEX(설정_코스수당!$B$15:$F$64,MATCH($H3123,설정_코스수당!$A$15:$A$64,0),MATCH($E3123&amp;"수당",설정_코스수당!$B$14:$F$14,0)),0)),0)</f>
        <v>0</v>
      </c>
      <c r="M3123" s="33">
        <f>IF($O3123="방문완료",IFERROR(VLOOKUP($E3123,설정_코스수당!$A$6:$H$10,6,FALSE),0),0)</f>
        <v>0</v>
      </c>
      <c r="N3123" s="34">
        <f t="shared" si="90"/>
        <v>0</v>
      </c>
      <c r="O3123" s="29"/>
      <c r="P3123" s="29"/>
      <c r="Q3123" s="29"/>
      <c r="R3123" s="32"/>
      <c r="S3123" s="29"/>
    </row>
    <row r="3124" spans="1:24" ht="19.5" hidden="1" customHeight="1" outlineLevel="1">
      <c r="A3124" s="23">
        <v>21</v>
      </c>
      <c r="B3124" s="24" t="str">
        <f>IF(31&lt;=DAY(DATE(YEAR(설정_코스수당!$K$2),MONTH(설정_코스수당!$K$2)+1,0)),DATE(YEAR(설정_코스수당!$K$2),MONTH(설정_코스수당!$K$2),31),"")</f>
        <v/>
      </c>
      <c r="C3124" s="25"/>
      <c r="D3124" s="23"/>
      <c r="E3124" s="23"/>
      <c r="F3124" s="26"/>
      <c r="G3124" s="23"/>
      <c r="H3124" s="23"/>
      <c r="I3124" s="23"/>
      <c r="J3124" s="27">
        <f>IF($O3124="방문완료",MAX(0,IFERROR(VLOOKUP($E3124,설정_코스수당!$A$6:$H$10,4,FALSE),0)-IF(OR($P3124="",$P3124="없음"),0,100000)),0)</f>
        <v>0</v>
      </c>
      <c r="K3124" s="27">
        <f t="array" ref="K3124">IF($O3124="방문완료",IFERROR(INDEX(설정_코스수당!$B$15:$F$64,MATCH($G3124,설정_코스수당!$A$15:$A$64,0),MATCH($E3124&amp;"수당",설정_코스수당!$B$14:$F$14,0)),0),0)</f>
        <v>0</v>
      </c>
      <c r="L3124" s="27">
        <f t="array" ref="L3124">IF($O3124="방문완료",IF($H3124="",0,IFERROR(INDEX(설정_코스수당!$B$15:$F$64,MATCH($H3124,설정_코스수당!$A$15:$A$64,0),MATCH($E3124&amp;"수당",설정_코스수당!$B$14:$F$14,0)),0)),0)</f>
        <v>0</v>
      </c>
      <c r="M3124" s="27">
        <f>IF($O3124="방문완료",IFERROR(VLOOKUP($E3124,설정_코스수당!$A$6:$H$10,6,FALSE),0),0)</f>
        <v>0</v>
      </c>
      <c r="N3124" s="28">
        <f t="shared" si="90"/>
        <v>0</v>
      </c>
      <c r="O3124" s="23"/>
      <c r="P3124" s="23"/>
      <c r="Q3124" s="23"/>
      <c r="R3124" s="26"/>
      <c r="S3124" s="23"/>
    </row>
    <row r="3125" spans="1:24" ht="19.5" hidden="1" customHeight="1" outlineLevel="1">
      <c r="A3125" s="29">
        <v>22</v>
      </c>
      <c r="B3125" s="30" t="str">
        <f>IF(31&lt;=DAY(DATE(YEAR(설정_코스수당!$K$2),MONTH(설정_코스수당!$K$2)+1,0)),DATE(YEAR(설정_코스수당!$K$2),MONTH(설정_코스수당!$K$2),31),"")</f>
        <v/>
      </c>
      <c r="C3125" s="31"/>
      <c r="D3125" s="29"/>
      <c r="E3125" s="29"/>
      <c r="F3125" s="32"/>
      <c r="G3125" s="29"/>
      <c r="H3125" s="29"/>
      <c r="I3125" s="29"/>
      <c r="J3125" s="33">
        <f>IF($O3125="방문완료",MAX(0,IFERROR(VLOOKUP($E3125,설정_코스수당!$A$6:$H$10,4,FALSE),0)-IF(OR($P3125="",$P3125="없음"),0,100000)),0)</f>
        <v>0</v>
      </c>
      <c r="K3125" s="33">
        <f t="array" ref="K3125">IF($O3125="방문완료",IFERROR(INDEX(설정_코스수당!$B$15:$F$64,MATCH($G3125,설정_코스수당!$A$15:$A$64,0),MATCH($E3125&amp;"수당",설정_코스수당!$B$14:$F$14,0)),0),0)</f>
        <v>0</v>
      </c>
      <c r="L3125" s="33">
        <f t="array" ref="L3125">IF($O3125="방문완료",IF($H3125="",0,IFERROR(INDEX(설정_코스수당!$B$15:$F$64,MATCH($H3125,설정_코스수당!$A$15:$A$64,0),MATCH($E3125&amp;"수당",설정_코스수당!$B$14:$F$14,0)),0)),0)</f>
        <v>0</v>
      </c>
      <c r="M3125" s="33">
        <f>IF($O3125="방문완료",IFERROR(VLOOKUP($E3125,설정_코스수당!$A$6:$H$10,6,FALSE),0),0)</f>
        <v>0</v>
      </c>
      <c r="N3125" s="34">
        <f t="shared" si="90"/>
        <v>0</v>
      </c>
      <c r="O3125" s="29"/>
      <c r="P3125" s="29"/>
      <c r="Q3125" s="29"/>
      <c r="R3125" s="32"/>
      <c r="S3125" s="29"/>
    </row>
    <row r="3126" spans="1:24" ht="19.5" hidden="1" customHeight="1" outlineLevel="1">
      <c r="A3126" s="23">
        <v>23</v>
      </c>
      <c r="B3126" s="24" t="str">
        <f>IF(31&lt;=DAY(DATE(YEAR(설정_코스수당!$K$2),MONTH(설정_코스수당!$K$2)+1,0)),DATE(YEAR(설정_코스수당!$K$2),MONTH(설정_코스수당!$K$2),31),"")</f>
        <v/>
      </c>
      <c r="C3126" s="25"/>
      <c r="D3126" s="23"/>
      <c r="E3126" s="23"/>
      <c r="F3126" s="26"/>
      <c r="G3126" s="23"/>
      <c r="H3126" s="23"/>
      <c r="I3126" s="23"/>
      <c r="J3126" s="27">
        <f>IF($O3126="방문완료",MAX(0,IFERROR(VLOOKUP($E3126,설정_코스수당!$A$6:$H$10,4,FALSE),0)-IF(OR($P3126="",$P3126="없음"),0,100000)),0)</f>
        <v>0</v>
      </c>
      <c r="K3126" s="27">
        <f t="array" ref="K3126">IF($O3126="방문완료",IFERROR(INDEX(설정_코스수당!$B$15:$F$64,MATCH($G3126,설정_코스수당!$A$15:$A$64,0),MATCH($E3126&amp;"수당",설정_코스수당!$B$14:$F$14,0)),0),0)</f>
        <v>0</v>
      </c>
      <c r="L3126" s="27">
        <f t="array" ref="L3126">IF($O3126="방문완료",IF($H3126="",0,IFERROR(INDEX(설정_코스수당!$B$15:$F$64,MATCH($H3126,설정_코스수당!$A$15:$A$64,0),MATCH($E3126&amp;"수당",설정_코스수당!$B$14:$F$14,0)),0)),0)</f>
        <v>0</v>
      </c>
      <c r="M3126" s="27">
        <f>IF($O3126="방문완료",IFERROR(VLOOKUP($E3126,설정_코스수당!$A$6:$H$10,6,FALSE),0),0)</f>
        <v>0</v>
      </c>
      <c r="N3126" s="28">
        <f t="shared" si="90"/>
        <v>0</v>
      </c>
      <c r="O3126" s="23"/>
      <c r="P3126" s="23"/>
      <c r="Q3126" s="23"/>
      <c r="R3126" s="26"/>
      <c r="S3126" s="23"/>
    </row>
    <row r="3127" spans="1:24" ht="19.5" hidden="1" customHeight="1" outlineLevel="1">
      <c r="A3127" s="29">
        <v>24</v>
      </c>
      <c r="B3127" s="30" t="str">
        <f>IF(31&lt;=DAY(DATE(YEAR(설정_코스수당!$K$2),MONTH(설정_코스수당!$K$2)+1,0)),DATE(YEAR(설정_코스수당!$K$2),MONTH(설정_코스수당!$K$2),31),"")</f>
        <v/>
      </c>
      <c r="C3127" s="31"/>
      <c r="D3127" s="29"/>
      <c r="E3127" s="29"/>
      <c r="F3127" s="32"/>
      <c r="G3127" s="29"/>
      <c r="H3127" s="29"/>
      <c r="I3127" s="29"/>
      <c r="J3127" s="33">
        <f>IF($O3127="방문완료",MAX(0,IFERROR(VLOOKUP($E3127,설정_코스수당!$A$6:$H$10,4,FALSE),0)-IF(OR($P3127="",$P3127="없음"),0,100000)),0)</f>
        <v>0</v>
      </c>
      <c r="K3127" s="33">
        <f t="array" ref="K3127">IF($O3127="방문완료",IFERROR(INDEX(설정_코스수당!$B$15:$F$64,MATCH($G3127,설정_코스수당!$A$15:$A$64,0),MATCH($E3127&amp;"수당",설정_코스수당!$B$14:$F$14,0)),0),0)</f>
        <v>0</v>
      </c>
      <c r="L3127" s="33">
        <f t="array" ref="L3127">IF($O3127="방문완료",IF($H3127="",0,IFERROR(INDEX(설정_코스수당!$B$15:$F$64,MATCH($H3127,설정_코스수당!$A$15:$A$64,0),MATCH($E3127&amp;"수당",설정_코스수당!$B$14:$F$14,0)),0)),0)</f>
        <v>0</v>
      </c>
      <c r="M3127" s="33">
        <f>IF($O3127="방문완료",IFERROR(VLOOKUP($E3127,설정_코스수당!$A$6:$H$10,6,FALSE),0),0)</f>
        <v>0</v>
      </c>
      <c r="N3127" s="34">
        <f t="shared" si="90"/>
        <v>0</v>
      </c>
      <c r="O3127" s="29"/>
      <c r="P3127" s="29"/>
      <c r="Q3127" s="29"/>
      <c r="R3127" s="32"/>
      <c r="S3127" s="29"/>
    </row>
    <row r="3128" spans="1:24" ht="19.5" hidden="1" customHeight="1" outlineLevel="1">
      <c r="A3128" s="23">
        <v>25</v>
      </c>
      <c r="B3128" s="24" t="str">
        <f>IF(31&lt;=DAY(DATE(YEAR(설정_코스수당!$K$2),MONTH(설정_코스수당!$K$2)+1,0)),DATE(YEAR(설정_코스수당!$K$2),MONTH(설정_코스수당!$K$2),31),"")</f>
        <v/>
      </c>
      <c r="C3128" s="25"/>
      <c r="D3128" s="23"/>
      <c r="E3128" s="23"/>
      <c r="F3128" s="26"/>
      <c r="G3128" s="23"/>
      <c r="H3128" s="23"/>
      <c r="I3128" s="23"/>
      <c r="J3128" s="27">
        <f>IF($O3128="방문완료",MAX(0,IFERROR(VLOOKUP($E3128,설정_코스수당!$A$6:$H$10,4,FALSE),0)-IF(OR($P3128="",$P3128="없음"),0,100000)),0)</f>
        <v>0</v>
      </c>
      <c r="K3128" s="27">
        <f t="array" ref="K3128">IF($O3128="방문완료",IFERROR(INDEX(설정_코스수당!$B$15:$F$64,MATCH($G3128,설정_코스수당!$A$15:$A$64,0),MATCH($E3128&amp;"수당",설정_코스수당!$B$14:$F$14,0)),0),0)</f>
        <v>0</v>
      </c>
      <c r="L3128" s="27">
        <f t="array" ref="L3128">IF($O3128="방문완료",IF($H3128="",0,IFERROR(INDEX(설정_코스수당!$B$15:$F$64,MATCH($H3128,설정_코스수당!$A$15:$A$64,0),MATCH($E3128&amp;"수당",설정_코스수당!$B$14:$F$14,0)),0)),0)</f>
        <v>0</v>
      </c>
      <c r="M3128" s="27">
        <f>IF($O3128="방문완료",IFERROR(VLOOKUP($E3128,설정_코스수당!$A$6:$H$10,6,FALSE),0),0)</f>
        <v>0</v>
      </c>
      <c r="N3128" s="28">
        <f t="shared" si="90"/>
        <v>0</v>
      </c>
      <c r="O3128" s="23"/>
      <c r="P3128" s="23"/>
      <c r="Q3128" s="23"/>
      <c r="R3128" s="26"/>
      <c r="S3128" s="23"/>
    </row>
    <row r="3129" spans="1:24" ht="19.5" hidden="1" customHeight="1" outlineLevel="1">
      <c r="A3129" s="29">
        <v>26</v>
      </c>
      <c r="B3129" s="30" t="str">
        <f>IF(31&lt;=DAY(DATE(YEAR(설정_코스수당!$K$2),MONTH(설정_코스수당!$K$2)+1,0)),DATE(YEAR(설정_코스수당!$K$2),MONTH(설정_코스수당!$K$2),31),"")</f>
        <v/>
      </c>
      <c r="C3129" s="31"/>
      <c r="D3129" s="29"/>
      <c r="E3129" s="29"/>
      <c r="F3129" s="32"/>
      <c r="G3129" s="29"/>
      <c r="H3129" s="29"/>
      <c r="I3129" s="29"/>
      <c r="J3129" s="33">
        <f>IF($O3129="방문완료",MAX(0,IFERROR(VLOOKUP($E3129,설정_코스수당!$A$6:$H$10,4,FALSE),0)-IF(OR($P3129="",$P3129="없음"),0,100000)),0)</f>
        <v>0</v>
      </c>
      <c r="K3129" s="33">
        <f t="array" ref="K3129">IF($O3129="방문완료",IFERROR(INDEX(설정_코스수당!$B$15:$F$64,MATCH($G3129,설정_코스수당!$A$15:$A$64,0),MATCH($E3129&amp;"수당",설정_코스수당!$B$14:$F$14,0)),0),0)</f>
        <v>0</v>
      </c>
      <c r="L3129" s="33">
        <f t="array" ref="L3129">IF($O3129="방문완료",IF($H3129="",0,IFERROR(INDEX(설정_코스수당!$B$15:$F$64,MATCH($H3129,설정_코스수당!$A$15:$A$64,0),MATCH($E3129&amp;"수당",설정_코스수당!$B$14:$F$14,0)),0)),0)</f>
        <v>0</v>
      </c>
      <c r="M3129" s="33">
        <f>IF($O3129="방문완료",IFERROR(VLOOKUP($E3129,설정_코스수당!$A$6:$H$10,6,FALSE),0),0)</f>
        <v>0</v>
      </c>
      <c r="N3129" s="34">
        <f t="shared" si="90"/>
        <v>0</v>
      </c>
      <c r="O3129" s="29"/>
      <c r="P3129" s="29"/>
      <c r="Q3129" s="29"/>
      <c r="R3129" s="32"/>
      <c r="S3129" s="29"/>
    </row>
    <row r="3130" spans="1:24" ht="19.5" hidden="1" customHeight="1" outlineLevel="1">
      <c r="A3130" s="23">
        <v>27</v>
      </c>
      <c r="B3130" s="24" t="str">
        <f>IF(31&lt;=DAY(DATE(YEAR(설정_코스수당!$K$2),MONTH(설정_코스수당!$K$2)+1,0)),DATE(YEAR(설정_코스수당!$K$2),MONTH(설정_코스수당!$K$2),31),"")</f>
        <v/>
      </c>
      <c r="C3130" s="25"/>
      <c r="D3130" s="23"/>
      <c r="E3130" s="23"/>
      <c r="F3130" s="26"/>
      <c r="G3130" s="23"/>
      <c r="H3130" s="23"/>
      <c r="I3130" s="23"/>
      <c r="J3130" s="27">
        <f>IF($O3130="방문완료",MAX(0,IFERROR(VLOOKUP($E3130,설정_코스수당!$A$6:$H$10,4,FALSE),0)-IF(OR($P3130="",$P3130="없음"),0,100000)),0)</f>
        <v>0</v>
      </c>
      <c r="K3130" s="27">
        <f t="array" ref="K3130">IF($O3130="방문완료",IFERROR(INDEX(설정_코스수당!$B$15:$F$64,MATCH($G3130,설정_코스수당!$A$15:$A$64,0),MATCH($E3130&amp;"수당",설정_코스수당!$B$14:$F$14,0)),0),0)</f>
        <v>0</v>
      </c>
      <c r="L3130" s="27">
        <f t="array" ref="L3130">IF($O3130="방문완료",IF($H3130="",0,IFERROR(INDEX(설정_코스수당!$B$15:$F$64,MATCH($H3130,설정_코스수당!$A$15:$A$64,0),MATCH($E3130&amp;"수당",설정_코스수당!$B$14:$F$14,0)),0)),0)</f>
        <v>0</v>
      </c>
      <c r="M3130" s="27">
        <f>IF($O3130="방문완료",IFERROR(VLOOKUP($E3130,설정_코스수당!$A$6:$H$10,6,FALSE),0),0)</f>
        <v>0</v>
      </c>
      <c r="N3130" s="28">
        <f t="shared" si="90"/>
        <v>0</v>
      </c>
      <c r="O3130" s="23"/>
      <c r="P3130" s="23"/>
      <c r="Q3130" s="23"/>
      <c r="R3130" s="26"/>
      <c r="S3130" s="23"/>
    </row>
    <row r="3131" spans="1:24" ht="19.5" hidden="1" customHeight="1" outlineLevel="1">
      <c r="A3131" s="29">
        <v>28</v>
      </c>
      <c r="B3131" s="30" t="str">
        <f>IF(31&lt;=DAY(DATE(YEAR(설정_코스수당!$K$2),MONTH(설정_코스수당!$K$2)+1,0)),DATE(YEAR(설정_코스수당!$K$2),MONTH(설정_코스수당!$K$2),31),"")</f>
        <v/>
      </c>
      <c r="C3131" s="31"/>
      <c r="D3131" s="29"/>
      <c r="E3131" s="29"/>
      <c r="F3131" s="32"/>
      <c r="G3131" s="29"/>
      <c r="H3131" s="29"/>
      <c r="I3131" s="29"/>
      <c r="J3131" s="33">
        <f>IF($O3131="방문완료",MAX(0,IFERROR(VLOOKUP($E3131,설정_코스수당!$A$6:$H$10,4,FALSE),0)-IF(OR($P3131="",$P3131="없음"),0,100000)),0)</f>
        <v>0</v>
      </c>
      <c r="K3131" s="33">
        <f t="array" ref="K3131">IF($O3131="방문완료",IFERROR(INDEX(설정_코스수당!$B$15:$F$64,MATCH($G3131,설정_코스수당!$A$15:$A$64,0),MATCH($E3131&amp;"수당",설정_코스수당!$B$14:$F$14,0)),0),0)</f>
        <v>0</v>
      </c>
      <c r="L3131" s="33">
        <f t="array" ref="L3131">IF($O3131="방문완료",IF($H3131="",0,IFERROR(INDEX(설정_코스수당!$B$15:$F$64,MATCH($H3131,설정_코스수당!$A$15:$A$64,0),MATCH($E3131&amp;"수당",설정_코스수당!$B$14:$F$14,0)),0)),0)</f>
        <v>0</v>
      </c>
      <c r="M3131" s="33">
        <f>IF($O3131="방문완료",IFERROR(VLOOKUP($E3131,설정_코스수당!$A$6:$H$10,6,FALSE),0),0)</f>
        <v>0</v>
      </c>
      <c r="N3131" s="34">
        <f t="shared" si="90"/>
        <v>0</v>
      </c>
      <c r="O3131" s="29"/>
      <c r="P3131" s="29"/>
      <c r="Q3131" s="29"/>
      <c r="R3131" s="32"/>
      <c r="S3131" s="29"/>
    </row>
    <row r="3132" spans="1:24" ht="19.5" hidden="1" customHeight="1" outlineLevel="1">
      <c r="A3132" s="23">
        <v>29</v>
      </c>
      <c r="B3132" s="24" t="str">
        <f>IF(31&lt;=DAY(DATE(YEAR(설정_코스수당!$K$2),MONTH(설정_코스수당!$K$2)+1,0)),DATE(YEAR(설정_코스수당!$K$2),MONTH(설정_코스수당!$K$2),31),"")</f>
        <v/>
      </c>
      <c r="C3132" s="25"/>
      <c r="D3132" s="23"/>
      <c r="E3132" s="23"/>
      <c r="F3132" s="26"/>
      <c r="G3132" s="23"/>
      <c r="H3132" s="23"/>
      <c r="I3132" s="23"/>
      <c r="J3132" s="27">
        <f>IF($O3132="방문완료",MAX(0,IFERROR(VLOOKUP($E3132,설정_코스수당!$A$6:$H$10,4,FALSE),0)-IF(OR($P3132="",$P3132="없음"),0,100000)),0)</f>
        <v>0</v>
      </c>
      <c r="K3132" s="27">
        <f t="array" ref="K3132">IF($O3132="방문완료",IFERROR(INDEX(설정_코스수당!$B$15:$F$64,MATCH($G3132,설정_코스수당!$A$15:$A$64,0),MATCH($E3132&amp;"수당",설정_코스수당!$B$14:$F$14,0)),0),0)</f>
        <v>0</v>
      </c>
      <c r="L3132" s="27">
        <f t="array" ref="L3132">IF($O3132="방문완료",IF($H3132="",0,IFERROR(INDEX(설정_코스수당!$B$15:$F$64,MATCH($H3132,설정_코스수당!$A$15:$A$64,0),MATCH($E3132&amp;"수당",설정_코스수당!$B$14:$F$14,0)),0)),0)</f>
        <v>0</v>
      </c>
      <c r="M3132" s="27">
        <f>IF($O3132="방문완료",IFERROR(VLOOKUP($E3132,설정_코스수당!$A$6:$H$10,6,FALSE),0),0)</f>
        <v>0</v>
      </c>
      <c r="N3132" s="28">
        <f t="shared" si="90"/>
        <v>0</v>
      </c>
      <c r="O3132" s="23"/>
      <c r="P3132" s="23"/>
      <c r="Q3132" s="23"/>
      <c r="R3132" s="26"/>
      <c r="S3132" s="23"/>
    </row>
    <row r="3133" spans="1:24" ht="19.5" hidden="1" customHeight="1" outlineLevel="1">
      <c r="A3133" s="29">
        <v>30</v>
      </c>
      <c r="B3133" s="30" t="str">
        <f>IF(31&lt;=DAY(DATE(YEAR(설정_코스수당!$K$2),MONTH(설정_코스수당!$K$2)+1,0)),DATE(YEAR(설정_코스수당!$K$2),MONTH(설정_코스수당!$K$2),31),"")</f>
        <v/>
      </c>
      <c r="C3133" s="31"/>
      <c r="D3133" s="29"/>
      <c r="E3133" s="29"/>
      <c r="F3133" s="32"/>
      <c r="G3133" s="29"/>
      <c r="H3133" s="29"/>
      <c r="I3133" s="29"/>
      <c r="J3133" s="33">
        <f>IF($O3133="방문완료",MAX(0,IFERROR(VLOOKUP($E3133,설정_코스수당!$A$6:$H$10,4,FALSE),0)-IF(OR($P3133="",$P3133="없음"),0,100000)),0)</f>
        <v>0</v>
      </c>
      <c r="K3133" s="33">
        <f t="array" ref="K3133">IF($O3133="방문완료",IFERROR(INDEX(설정_코스수당!$B$15:$F$64,MATCH($G3133,설정_코스수당!$A$15:$A$64,0),MATCH($E3133&amp;"수당",설정_코스수당!$B$14:$F$14,0)),0),0)</f>
        <v>0</v>
      </c>
      <c r="L3133" s="33">
        <f t="array" ref="L3133">IF($O3133="방문완료",IF($H3133="",0,IFERROR(INDEX(설정_코스수당!$B$15:$F$64,MATCH($H3133,설정_코스수당!$A$15:$A$64,0),MATCH($E3133&amp;"수당",설정_코스수당!$B$14:$F$14,0)),0)),0)</f>
        <v>0</v>
      </c>
      <c r="M3133" s="33">
        <f>IF($O3133="방문완료",IFERROR(VLOOKUP($E3133,설정_코스수당!$A$6:$H$10,6,FALSE),0),0)</f>
        <v>0</v>
      </c>
      <c r="N3133" s="34">
        <f t="shared" si="90"/>
        <v>0</v>
      </c>
      <c r="O3133" s="29"/>
      <c r="P3133" s="29"/>
      <c r="Q3133" s="29"/>
      <c r="R3133" s="32"/>
      <c r="S3133" s="29"/>
    </row>
    <row r="3134" spans="1:24" ht="19.5" hidden="1" customHeight="1" outlineLevel="1">
      <c r="A3134" s="23">
        <v>31</v>
      </c>
      <c r="B3134" s="24" t="str">
        <f>IF(31&lt;=DAY(DATE(YEAR(설정_코스수당!$K$2),MONTH(설정_코스수당!$K$2)+1,0)),DATE(YEAR(설정_코스수당!$K$2),MONTH(설정_코스수당!$K$2),31),"")</f>
        <v/>
      </c>
      <c r="C3134" s="25"/>
      <c r="D3134" s="23"/>
      <c r="E3134" s="23"/>
      <c r="F3134" s="26"/>
      <c r="G3134" s="23"/>
      <c r="H3134" s="23"/>
      <c r="I3134" s="23"/>
      <c r="J3134" s="27">
        <f>IF($O3134="방문완료",MAX(0,IFERROR(VLOOKUP($E3134,설정_코스수당!$A$6:$H$10,4,FALSE),0)-IF(OR($P3134="",$P3134="없음"),0,100000)),0)</f>
        <v>0</v>
      </c>
      <c r="K3134" s="27">
        <f t="array" ref="K3134">IF($O3134="방문완료",IFERROR(INDEX(설정_코스수당!$B$15:$F$64,MATCH($G3134,설정_코스수당!$A$15:$A$64,0),MATCH($E3134&amp;"수당",설정_코스수당!$B$14:$F$14,0)),0),0)</f>
        <v>0</v>
      </c>
      <c r="L3134" s="27">
        <f t="array" ref="L3134">IF($O3134="방문완료",IF($H3134="",0,IFERROR(INDEX(설정_코스수당!$B$15:$F$64,MATCH($H3134,설정_코스수당!$A$15:$A$64,0),MATCH($E3134&amp;"수당",설정_코스수당!$B$14:$F$14,0)),0)),0)</f>
        <v>0</v>
      </c>
      <c r="M3134" s="27">
        <f>IF($O3134="방문완료",IFERROR(VLOOKUP($E3134,설정_코스수당!$A$6:$H$10,6,FALSE),0),0)</f>
        <v>0</v>
      </c>
      <c r="N3134" s="28">
        <f t="shared" si="90"/>
        <v>0</v>
      </c>
      <c r="O3134" s="23"/>
      <c r="P3134" s="23"/>
      <c r="Q3134" s="23"/>
      <c r="R3134" s="26"/>
      <c r="S3134" s="23"/>
    </row>
    <row r="3135" spans="1:24" ht="19.5" hidden="1" customHeight="1" outlineLevel="1">
      <c r="A3135" s="29">
        <v>32</v>
      </c>
      <c r="B3135" s="30" t="str">
        <f>IF(31&lt;=DAY(DATE(YEAR(설정_코스수당!$K$2),MONTH(설정_코스수당!$K$2)+1,0)),DATE(YEAR(설정_코스수당!$K$2),MONTH(설정_코스수당!$K$2),31),"")</f>
        <v/>
      </c>
      <c r="C3135" s="31"/>
      <c r="D3135" s="29"/>
      <c r="E3135" s="29"/>
      <c r="F3135" s="32"/>
      <c r="G3135" s="29"/>
      <c r="H3135" s="29"/>
      <c r="I3135" s="29"/>
      <c r="J3135" s="33">
        <f>IF($O3135="방문완료",MAX(0,IFERROR(VLOOKUP($E3135,설정_코스수당!$A$6:$H$10,4,FALSE),0)-IF(OR($P3135="",$P3135="없음"),0,100000)),0)</f>
        <v>0</v>
      </c>
      <c r="K3135" s="33">
        <f t="array" ref="K3135">IF($O3135="방문완료",IFERROR(INDEX(설정_코스수당!$B$15:$F$64,MATCH($G3135,설정_코스수당!$A$15:$A$64,0),MATCH($E3135&amp;"수당",설정_코스수당!$B$14:$F$14,0)),0),0)</f>
        <v>0</v>
      </c>
      <c r="L3135" s="33">
        <f t="array" ref="L3135">IF($O3135="방문완료",IF($H3135="",0,IFERROR(INDEX(설정_코스수당!$B$15:$F$64,MATCH($H3135,설정_코스수당!$A$15:$A$64,0),MATCH($E3135&amp;"수당",설정_코스수당!$B$14:$F$14,0)),0)),0)</f>
        <v>0</v>
      </c>
      <c r="M3135" s="33">
        <f>IF($O3135="방문완료",IFERROR(VLOOKUP($E3135,설정_코스수당!$A$6:$H$10,6,FALSE),0),0)</f>
        <v>0</v>
      </c>
      <c r="N3135" s="34">
        <f t="shared" si="90"/>
        <v>0</v>
      </c>
      <c r="O3135" s="29"/>
      <c r="P3135" s="29"/>
      <c r="Q3135" s="29"/>
      <c r="R3135" s="32"/>
      <c r="S3135" s="29"/>
    </row>
    <row r="3136" spans="1:24" ht="19.5" hidden="1" customHeight="1" outlineLevel="1">
      <c r="A3136" s="23">
        <v>33</v>
      </c>
      <c r="B3136" s="24" t="str">
        <f>IF(31&lt;=DAY(DATE(YEAR(설정_코스수당!$K$2),MONTH(설정_코스수당!$K$2)+1,0)),DATE(YEAR(설정_코스수당!$K$2),MONTH(설정_코스수당!$K$2),31),"")</f>
        <v/>
      </c>
      <c r="C3136" s="25"/>
      <c r="D3136" s="23"/>
      <c r="E3136" s="23"/>
      <c r="F3136" s="26"/>
      <c r="G3136" s="23"/>
      <c r="H3136" s="23"/>
      <c r="I3136" s="23"/>
      <c r="J3136" s="27">
        <f>IF($O3136="방문완료",MAX(0,IFERROR(VLOOKUP($E3136,설정_코스수당!$A$6:$H$10,4,FALSE),0)-IF(OR($P3136="",$P3136="없음"),0,100000)),0)</f>
        <v>0</v>
      </c>
      <c r="K3136" s="27">
        <f t="array" ref="K3136">IF($O3136="방문완료",IFERROR(INDEX(설정_코스수당!$B$15:$F$64,MATCH($G3136,설정_코스수당!$A$15:$A$64,0),MATCH($E3136&amp;"수당",설정_코스수당!$B$14:$F$14,0)),0),0)</f>
        <v>0</v>
      </c>
      <c r="L3136" s="27">
        <f t="array" ref="L3136">IF($O3136="방문완료",IF($H3136="",0,IFERROR(INDEX(설정_코스수당!$B$15:$F$64,MATCH($H3136,설정_코스수당!$A$15:$A$64,0),MATCH($E3136&amp;"수당",설정_코스수당!$B$14:$F$14,0)),0)),0)</f>
        <v>0</v>
      </c>
      <c r="M3136" s="27">
        <f>IF($O3136="방문완료",IFERROR(VLOOKUP($E3136,설정_코스수당!$A$6:$H$10,6,FALSE),0),0)</f>
        <v>0</v>
      </c>
      <c r="N3136" s="28">
        <f t="shared" ref="N3136:N3167" si="91">IF($O3136="방문완료",1,0)</f>
        <v>0</v>
      </c>
      <c r="O3136" s="23"/>
      <c r="P3136" s="23"/>
      <c r="Q3136" s="23"/>
      <c r="R3136" s="26"/>
      <c r="S3136" s="23"/>
    </row>
    <row r="3137" spans="1:19" ht="19.5" hidden="1" customHeight="1" outlineLevel="1">
      <c r="A3137" s="29">
        <v>34</v>
      </c>
      <c r="B3137" s="30" t="str">
        <f>IF(31&lt;=DAY(DATE(YEAR(설정_코스수당!$K$2),MONTH(설정_코스수당!$K$2)+1,0)),DATE(YEAR(설정_코스수당!$K$2),MONTH(설정_코스수당!$K$2),31),"")</f>
        <v/>
      </c>
      <c r="C3137" s="31"/>
      <c r="D3137" s="29"/>
      <c r="E3137" s="29"/>
      <c r="F3137" s="32"/>
      <c r="G3137" s="29"/>
      <c r="H3137" s="29"/>
      <c r="I3137" s="29"/>
      <c r="J3137" s="33">
        <f>IF($O3137="방문완료",MAX(0,IFERROR(VLOOKUP($E3137,설정_코스수당!$A$6:$H$10,4,FALSE),0)-IF(OR($P3137="",$P3137="없음"),0,100000)),0)</f>
        <v>0</v>
      </c>
      <c r="K3137" s="33">
        <f t="array" ref="K3137">IF($O3137="방문완료",IFERROR(INDEX(설정_코스수당!$B$15:$F$64,MATCH($G3137,설정_코스수당!$A$15:$A$64,0),MATCH($E3137&amp;"수당",설정_코스수당!$B$14:$F$14,0)),0),0)</f>
        <v>0</v>
      </c>
      <c r="L3137" s="33">
        <f t="array" ref="L3137">IF($O3137="방문완료",IF($H3137="",0,IFERROR(INDEX(설정_코스수당!$B$15:$F$64,MATCH($H3137,설정_코스수당!$A$15:$A$64,0),MATCH($E3137&amp;"수당",설정_코스수당!$B$14:$F$14,0)),0)),0)</f>
        <v>0</v>
      </c>
      <c r="M3137" s="33">
        <f>IF($O3137="방문완료",IFERROR(VLOOKUP($E3137,설정_코스수당!$A$6:$H$10,6,FALSE),0),0)</f>
        <v>0</v>
      </c>
      <c r="N3137" s="34">
        <f t="shared" si="91"/>
        <v>0</v>
      </c>
      <c r="O3137" s="29"/>
      <c r="P3137" s="29"/>
      <c r="Q3137" s="29"/>
      <c r="R3137" s="32"/>
      <c r="S3137" s="29"/>
    </row>
    <row r="3138" spans="1:19" ht="19.5" hidden="1" customHeight="1" outlineLevel="1">
      <c r="A3138" s="23">
        <v>35</v>
      </c>
      <c r="B3138" s="24" t="str">
        <f>IF(31&lt;=DAY(DATE(YEAR(설정_코스수당!$K$2),MONTH(설정_코스수당!$K$2)+1,0)),DATE(YEAR(설정_코스수당!$K$2),MONTH(설정_코스수당!$K$2),31),"")</f>
        <v/>
      </c>
      <c r="C3138" s="25"/>
      <c r="D3138" s="23"/>
      <c r="E3138" s="23"/>
      <c r="F3138" s="26"/>
      <c r="G3138" s="23"/>
      <c r="H3138" s="23"/>
      <c r="I3138" s="23"/>
      <c r="J3138" s="27">
        <f>IF($O3138="방문완료",MAX(0,IFERROR(VLOOKUP($E3138,설정_코스수당!$A$6:$H$10,4,FALSE),0)-IF(OR($P3138="",$P3138="없음"),0,100000)),0)</f>
        <v>0</v>
      </c>
      <c r="K3138" s="27">
        <f t="array" ref="K3138">IF($O3138="방문완료",IFERROR(INDEX(설정_코스수당!$B$15:$F$64,MATCH($G3138,설정_코스수당!$A$15:$A$64,0),MATCH($E3138&amp;"수당",설정_코스수당!$B$14:$F$14,0)),0),0)</f>
        <v>0</v>
      </c>
      <c r="L3138" s="27">
        <f t="array" ref="L3138">IF($O3138="방문완료",IF($H3138="",0,IFERROR(INDEX(설정_코스수당!$B$15:$F$64,MATCH($H3138,설정_코스수당!$A$15:$A$64,0),MATCH($E3138&amp;"수당",설정_코스수당!$B$14:$F$14,0)),0)),0)</f>
        <v>0</v>
      </c>
      <c r="M3138" s="27">
        <f>IF($O3138="방문완료",IFERROR(VLOOKUP($E3138,설정_코스수당!$A$6:$H$10,6,FALSE),0),0)</f>
        <v>0</v>
      </c>
      <c r="N3138" s="28">
        <f t="shared" si="91"/>
        <v>0</v>
      </c>
      <c r="O3138" s="23"/>
      <c r="P3138" s="23"/>
      <c r="Q3138" s="23"/>
      <c r="R3138" s="26"/>
      <c r="S3138" s="23"/>
    </row>
    <row r="3139" spans="1:19" ht="19.5" hidden="1" customHeight="1" outlineLevel="1">
      <c r="A3139" s="29">
        <v>36</v>
      </c>
      <c r="B3139" s="30" t="str">
        <f>IF(31&lt;=DAY(DATE(YEAR(설정_코스수당!$K$2),MONTH(설정_코스수당!$K$2)+1,0)),DATE(YEAR(설정_코스수당!$K$2),MONTH(설정_코스수당!$K$2),31),"")</f>
        <v/>
      </c>
      <c r="C3139" s="31"/>
      <c r="D3139" s="29"/>
      <c r="E3139" s="29"/>
      <c r="F3139" s="32"/>
      <c r="G3139" s="29"/>
      <c r="H3139" s="29"/>
      <c r="I3139" s="29"/>
      <c r="J3139" s="33">
        <f>IF($O3139="방문완료",MAX(0,IFERROR(VLOOKUP($E3139,설정_코스수당!$A$6:$H$10,4,FALSE),0)-IF(OR($P3139="",$P3139="없음"),0,100000)),0)</f>
        <v>0</v>
      </c>
      <c r="K3139" s="33">
        <f t="array" ref="K3139">IF($O3139="방문완료",IFERROR(INDEX(설정_코스수당!$B$15:$F$64,MATCH($G3139,설정_코스수당!$A$15:$A$64,0),MATCH($E3139&amp;"수당",설정_코스수당!$B$14:$F$14,0)),0),0)</f>
        <v>0</v>
      </c>
      <c r="L3139" s="33">
        <f t="array" ref="L3139">IF($O3139="방문완료",IF($H3139="",0,IFERROR(INDEX(설정_코스수당!$B$15:$F$64,MATCH($H3139,설정_코스수당!$A$15:$A$64,0),MATCH($E3139&amp;"수당",설정_코스수당!$B$14:$F$14,0)),0)),0)</f>
        <v>0</v>
      </c>
      <c r="M3139" s="33">
        <f>IF($O3139="방문완료",IFERROR(VLOOKUP($E3139,설정_코스수당!$A$6:$H$10,6,FALSE),0),0)</f>
        <v>0</v>
      </c>
      <c r="N3139" s="34">
        <f t="shared" si="91"/>
        <v>0</v>
      </c>
      <c r="O3139" s="29"/>
      <c r="P3139" s="29"/>
      <c r="Q3139" s="29"/>
      <c r="R3139" s="32"/>
      <c r="S3139" s="29"/>
    </row>
    <row r="3140" spans="1:19" ht="19.5" hidden="1" customHeight="1" outlineLevel="1">
      <c r="A3140" s="23">
        <v>37</v>
      </c>
      <c r="B3140" s="24" t="str">
        <f>IF(31&lt;=DAY(DATE(YEAR(설정_코스수당!$K$2),MONTH(설정_코스수당!$K$2)+1,0)),DATE(YEAR(설정_코스수당!$K$2),MONTH(설정_코스수당!$K$2),31),"")</f>
        <v/>
      </c>
      <c r="C3140" s="25"/>
      <c r="D3140" s="23"/>
      <c r="E3140" s="23"/>
      <c r="F3140" s="26"/>
      <c r="G3140" s="23"/>
      <c r="H3140" s="23"/>
      <c r="I3140" s="23"/>
      <c r="J3140" s="27">
        <f>IF($O3140="방문완료",MAX(0,IFERROR(VLOOKUP($E3140,설정_코스수당!$A$6:$H$10,4,FALSE),0)-IF(OR($P3140="",$P3140="없음"),0,100000)),0)</f>
        <v>0</v>
      </c>
      <c r="K3140" s="27">
        <f t="array" ref="K3140">IF($O3140="방문완료",IFERROR(INDEX(설정_코스수당!$B$15:$F$64,MATCH($G3140,설정_코스수당!$A$15:$A$64,0),MATCH($E3140&amp;"수당",설정_코스수당!$B$14:$F$14,0)),0),0)</f>
        <v>0</v>
      </c>
      <c r="L3140" s="27">
        <f t="array" ref="L3140">IF($O3140="방문완료",IF($H3140="",0,IFERROR(INDEX(설정_코스수당!$B$15:$F$64,MATCH($H3140,설정_코스수당!$A$15:$A$64,0),MATCH($E3140&amp;"수당",설정_코스수당!$B$14:$F$14,0)),0)),0)</f>
        <v>0</v>
      </c>
      <c r="M3140" s="27">
        <f>IF($O3140="방문완료",IFERROR(VLOOKUP($E3140,설정_코스수당!$A$6:$H$10,6,FALSE),0),0)</f>
        <v>0</v>
      </c>
      <c r="N3140" s="28">
        <f t="shared" si="91"/>
        <v>0</v>
      </c>
      <c r="O3140" s="23"/>
      <c r="P3140" s="23"/>
      <c r="Q3140" s="23"/>
      <c r="R3140" s="26"/>
      <c r="S3140" s="23"/>
    </row>
    <row r="3141" spans="1:19" ht="19.5" hidden="1" customHeight="1" outlineLevel="1">
      <c r="A3141" s="29">
        <v>38</v>
      </c>
      <c r="B3141" s="30" t="str">
        <f>IF(31&lt;=DAY(DATE(YEAR(설정_코스수당!$K$2),MONTH(설정_코스수당!$K$2)+1,0)),DATE(YEAR(설정_코스수당!$K$2),MONTH(설정_코스수당!$K$2),31),"")</f>
        <v/>
      </c>
      <c r="C3141" s="31"/>
      <c r="D3141" s="29"/>
      <c r="E3141" s="29"/>
      <c r="F3141" s="32"/>
      <c r="G3141" s="29"/>
      <c r="H3141" s="29"/>
      <c r="I3141" s="29"/>
      <c r="J3141" s="33">
        <f>IF($O3141="방문완료",MAX(0,IFERROR(VLOOKUP($E3141,설정_코스수당!$A$6:$H$10,4,FALSE),0)-IF(OR($P3141="",$P3141="없음"),0,100000)),0)</f>
        <v>0</v>
      </c>
      <c r="K3141" s="33">
        <f t="array" ref="K3141">IF($O3141="방문완료",IFERROR(INDEX(설정_코스수당!$B$15:$F$64,MATCH($G3141,설정_코스수당!$A$15:$A$64,0),MATCH($E3141&amp;"수당",설정_코스수당!$B$14:$F$14,0)),0),0)</f>
        <v>0</v>
      </c>
      <c r="L3141" s="33">
        <f t="array" ref="L3141">IF($O3141="방문완료",IF($H3141="",0,IFERROR(INDEX(설정_코스수당!$B$15:$F$64,MATCH($H3141,설정_코스수당!$A$15:$A$64,0),MATCH($E3141&amp;"수당",설정_코스수당!$B$14:$F$14,0)),0)),0)</f>
        <v>0</v>
      </c>
      <c r="M3141" s="33">
        <f>IF($O3141="방문완료",IFERROR(VLOOKUP($E3141,설정_코스수당!$A$6:$H$10,6,FALSE),0),0)</f>
        <v>0</v>
      </c>
      <c r="N3141" s="34">
        <f t="shared" si="91"/>
        <v>0</v>
      </c>
      <c r="O3141" s="29"/>
      <c r="P3141" s="29"/>
      <c r="Q3141" s="29"/>
      <c r="R3141" s="32"/>
      <c r="S3141" s="29"/>
    </row>
    <row r="3142" spans="1:19" ht="19.5" hidden="1" customHeight="1" outlineLevel="1">
      <c r="A3142" s="23">
        <v>39</v>
      </c>
      <c r="B3142" s="24" t="str">
        <f>IF(31&lt;=DAY(DATE(YEAR(설정_코스수당!$K$2),MONTH(설정_코스수당!$K$2)+1,0)),DATE(YEAR(설정_코스수당!$K$2),MONTH(설정_코스수당!$K$2),31),"")</f>
        <v/>
      </c>
      <c r="C3142" s="25"/>
      <c r="D3142" s="23"/>
      <c r="E3142" s="23"/>
      <c r="F3142" s="26"/>
      <c r="G3142" s="23"/>
      <c r="H3142" s="23"/>
      <c r="I3142" s="23"/>
      <c r="J3142" s="27">
        <f>IF($O3142="방문완료",MAX(0,IFERROR(VLOOKUP($E3142,설정_코스수당!$A$6:$H$10,4,FALSE),0)-IF(OR($P3142="",$P3142="없음"),0,100000)),0)</f>
        <v>0</v>
      </c>
      <c r="K3142" s="27">
        <f t="array" ref="K3142">IF($O3142="방문완료",IFERROR(INDEX(설정_코스수당!$B$15:$F$64,MATCH($G3142,설정_코스수당!$A$15:$A$64,0),MATCH($E3142&amp;"수당",설정_코스수당!$B$14:$F$14,0)),0),0)</f>
        <v>0</v>
      </c>
      <c r="L3142" s="27">
        <f t="array" ref="L3142">IF($O3142="방문완료",IF($H3142="",0,IFERROR(INDEX(설정_코스수당!$B$15:$F$64,MATCH($H3142,설정_코스수당!$A$15:$A$64,0),MATCH($E3142&amp;"수당",설정_코스수당!$B$14:$F$14,0)),0)),0)</f>
        <v>0</v>
      </c>
      <c r="M3142" s="27">
        <f>IF($O3142="방문완료",IFERROR(VLOOKUP($E3142,설정_코스수당!$A$6:$H$10,6,FALSE),0),0)</f>
        <v>0</v>
      </c>
      <c r="N3142" s="28">
        <f t="shared" si="91"/>
        <v>0</v>
      </c>
      <c r="O3142" s="23"/>
      <c r="P3142" s="23"/>
      <c r="Q3142" s="23"/>
      <c r="R3142" s="26"/>
      <c r="S3142" s="23"/>
    </row>
    <row r="3143" spans="1:19" ht="19.5" hidden="1" customHeight="1" outlineLevel="1">
      <c r="A3143" s="29">
        <v>40</v>
      </c>
      <c r="B3143" s="30" t="str">
        <f>IF(31&lt;=DAY(DATE(YEAR(설정_코스수당!$K$2),MONTH(설정_코스수당!$K$2)+1,0)),DATE(YEAR(설정_코스수당!$K$2),MONTH(설정_코스수당!$K$2),31),"")</f>
        <v/>
      </c>
      <c r="C3143" s="31"/>
      <c r="D3143" s="29"/>
      <c r="E3143" s="29"/>
      <c r="F3143" s="32"/>
      <c r="G3143" s="29"/>
      <c r="H3143" s="29"/>
      <c r="I3143" s="29"/>
      <c r="J3143" s="33">
        <f>IF($O3143="방문완료",MAX(0,IFERROR(VLOOKUP($E3143,설정_코스수당!$A$6:$H$10,4,FALSE),0)-IF(OR($P3143="",$P3143="없음"),0,100000)),0)</f>
        <v>0</v>
      </c>
      <c r="K3143" s="33">
        <f t="array" ref="K3143">IF($O3143="방문완료",IFERROR(INDEX(설정_코스수당!$B$15:$F$64,MATCH($G3143,설정_코스수당!$A$15:$A$64,0),MATCH($E3143&amp;"수당",설정_코스수당!$B$14:$F$14,0)),0),0)</f>
        <v>0</v>
      </c>
      <c r="L3143" s="33">
        <f t="array" ref="L3143">IF($O3143="방문완료",IF($H3143="",0,IFERROR(INDEX(설정_코스수당!$B$15:$F$64,MATCH($H3143,설정_코스수당!$A$15:$A$64,0),MATCH($E3143&amp;"수당",설정_코스수당!$B$14:$F$14,0)),0)),0)</f>
        <v>0</v>
      </c>
      <c r="M3143" s="33">
        <f>IF($O3143="방문완료",IFERROR(VLOOKUP($E3143,설정_코스수당!$A$6:$H$10,6,FALSE),0),0)</f>
        <v>0</v>
      </c>
      <c r="N3143" s="34">
        <f t="shared" si="91"/>
        <v>0</v>
      </c>
      <c r="O3143" s="29"/>
      <c r="P3143" s="29"/>
      <c r="Q3143" s="29"/>
      <c r="R3143" s="32"/>
      <c r="S3143" s="29"/>
    </row>
    <row r="3144" spans="1:19" ht="19.5" hidden="1" customHeight="1" outlineLevel="1">
      <c r="A3144" s="23">
        <v>41</v>
      </c>
      <c r="B3144" s="24" t="str">
        <f>IF(31&lt;=DAY(DATE(YEAR(설정_코스수당!$K$2),MONTH(설정_코스수당!$K$2)+1,0)),DATE(YEAR(설정_코스수당!$K$2),MONTH(설정_코스수당!$K$2),31),"")</f>
        <v/>
      </c>
      <c r="C3144" s="25"/>
      <c r="D3144" s="23"/>
      <c r="E3144" s="23"/>
      <c r="F3144" s="26"/>
      <c r="G3144" s="23"/>
      <c r="H3144" s="23"/>
      <c r="I3144" s="23"/>
      <c r="J3144" s="27">
        <f>IF($O3144="방문완료",MAX(0,IFERROR(VLOOKUP($E3144,설정_코스수당!$A$6:$H$10,4,FALSE),0)-IF(OR($P3144="",$P3144="없음"),0,100000)),0)</f>
        <v>0</v>
      </c>
      <c r="K3144" s="27">
        <f t="array" ref="K3144">IF($O3144="방문완료",IFERROR(INDEX(설정_코스수당!$B$15:$F$64,MATCH($G3144,설정_코스수당!$A$15:$A$64,0),MATCH($E3144&amp;"수당",설정_코스수당!$B$14:$F$14,0)),0),0)</f>
        <v>0</v>
      </c>
      <c r="L3144" s="27">
        <f t="array" ref="L3144">IF($O3144="방문완료",IF($H3144="",0,IFERROR(INDEX(설정_코스수당!$B$15:$F$64,MATCH($H3144,설정_코스수당!$A$15:$A$64,0),MATCH($E3144&amp;"수당",설정_코스수당!$B$14:$F$14,0)),0)),0)</f>
        <v>0</v>
      </c>
      <c r="M3144" s="27">
        <f>IF($O3144="방문완료",IFERROR(VLOOKUP($E3144,설정_코스수당!$A$6:$H$10,6,FALSE),0),0)</f>
        <v>0</v>
      </c>
      <c r="N3144" s="28">
        <f t="shared" si="91"/>
        <v>0</v>
      </c>
      <c r="O3144" s="23"/>
      <c r="P3144" s="23"/>
      <c r="Q3144" s="23"/>
      <c r="R3144" s="26"/>
      <c r="S3144" s="23"/>
    </row>
    <row r="3145" spans="1:19" ht="19.5" hidden="1" customHeight="1" outlineLevel="1">
      <c r="A3145" s="29">
        <v>42</v>
      </c>
      <c r="B3145" s="30" t="str">
        <f>IF(31&lt;=DAY(DATE(YEAR(설정_코스수당!$K$2),MONTH(설정_코스수당!$K$2)+1,0)),DATE(YEAR(설정_코스수당!$K$2),MONTH(설정_코스수당!$K$2),31),"")</f>
        <v/>
      </c>
      <c r="C3145" s="31"/>
      <c r="D3145" s="29"/>
      <c r="E3145" s="29"/>
      <c r="F3145" s="32"/>
      <c r="G3145" s="29"/>
      <c r="H3145" s="29"/>
      <c r="I3145" s="29"/>
      <c r="J3145" s="33">
        <f>IF($O3145="방문완료",MAX(0,IFERROR(VLOOKUP($E3145,설정_코스수당!$A$6:$H$10,4,FALSE),0)-IF(OR($P3145="",$P3145="없음"),0,100000)),0)</f>
        <v>0</v>
      </c>
      <c r="K3145" s="33">
        <f t="array" ref="K3145">IF($O3145="방문완료",IFERROR(INDEX(설정_코스수당!$B$15:$F$64,MATCH($G3145,설정_코스수당!$A$15:$A$64,0),MATCH($E3145&amp;"수당",설정_코스수당!$B$14:$F$14,0)),0),0)</f>
        <v>0</v>
      </c>
      <c r="L3145" s="33">
        <f t="array" ref="L3145">IF($O3145="방문완료",IF($H3145="",0,IFERROR(INDEX(설정_코스수당!$B$15:$F$64,MATCH($H3145,설정_코스수당!$A$15:$A$64,0),MATCH($E3145&amp;"수당",설정_코스수당!$B$14:$F$14,0)),0)),0)</f>
        <v>0</v>
      </c>
      <c r="M3145" s="33">
        <f>IF($O3145="방문완료",IFERROR(VLOOKUP($E3145,설정_코스수당!$A$6:$H$10,6,FALSE),0),0)</f>
        <v>0</v>
      </c>
      <c r="N3145" s="34">
        <f t="shared" si="91"/>
        <v>0</v>
      </c>
      <c r="O3145" s="29"/>
      <c r="P3145" s="29"/>
      <c r="Q3145" s="29"/>
      <c r="R3145" s="32"/>
      <c r="S3145" s="29"/>
    </row>
    <row r="3146" spans="1:19" ht="19.5" hidden="1" customHeight="1" outlineLevel="1">
      <c r="A3146" s="23">
        <v>43</v>
      </c>
      <c r="B3146" s="24" t="str">
        <f>IF(31&lt;=DAY(DATE(YEAR(설정_코스수당!$K$2),MONTH(설정_코스수당!$K$2)+1,0)),DATE(YEAR(설정_코스수당!$K$2),MONTH(설정_코스수당!$K$2),31),"")</f>
        <v/>
      </c>
      <c r="C3146" s="25"/>
      <c r="D3146" s="23"/>
      <c r="E3146" s="23"/>
      <c r="F3146" s="26"/>
      <c r="G3146" s="23"/>
      <c r="H3146" s="23"/>
      <c r="I3146" s="23"/>
      <c r="J3146" s="27">
        <f>IF($O3146="방문완료",MAX(0,IFERROR(VLOOKUP($E3146,설정_코스수당!$A$6:$H$10,4,FALSE),0)-IF(OR($P3146="",$P3146="없음"),0,100000)),0)</f>
        <v>0</v>
      </c>
      <c r="K3146" s="27">
        <f t="array" ref="K3146">IF($O3146="방문완료",IFERROR(INDEX(설정_코스수당!$B$15:$F$64,MATCH($G3146,설정_코스수당!$A$15:$A$64,0),MATCH($E3146&amp;"수당",설정_코스수당!$B$14:$F$14,0)),0),0)</f>
        <v>0</v>
      </c>
      <c r="L3146" s="27">
        <f t="array" ref="L3146">IF($O3146="방문완료",IF($H3146="",0,IFERROR(INDEX(설정_코스수당!$B$15:$F$64,MATCH($H3146,설정_코스수당!$A$15:$A$64,0),MATCH($E3146&amp;"수당",설정_코스수당!$B$14:$F$14,0)),0)),0)</f>
        <v>0</v>
      </c>
      <c r="M3146" s="27">
        <f>IF($O3146="방문완료",IFERROR(VLOOKUP($E3146,설정_코스수당!$A$6:$H$10,6,FALSE),0),0)</f>
        <v>0</v>
      </c>
      <c r="N3146" s="28">
        <f t="shared" si="91"/>
        <v>0</v>
      </c>
      <c r="O3146" s="23"/>
      <c r="P3146" s="23"/>
      <c r="Q3146" s="23"/>
      <c r="R3146" s="26"/>
      <c r="S3146" s="23"/>
    </row>
    <row r="3147" spans="1:19" ht="19.5" hidden="1" customHeight="1" outlineLevel="1">
      <c r="A3147" s="29">
        <v>44</v>
      </c>
      <c r="B3147" s="30" t="str">
        <f>IF(31&lt;=DAY(DATE(YEAR(설정_코스수당!$K$2),MONTH(설정_코스수당!$K$2)+1,0)),DATE(YEAR(설정_코스수당!$K$2),MONTH(설정_코스수당!$K$2),31),"")</f>
        <v/>
      </c>
      <c r="C3147" s="31"/>
      <c r="D3147" s="29"/>
      <c r="E3147" s="29"/>
      <c r="F3147" s="32"/>
      <c r="G3147" s="29"/>
      <c r="H3147" s="29"/>
      <c r="I3147" s="29"/>
      <c r="J3147" s="33">
        <f>IF($O3147="방문완료",MAX(0,IFERROR(VLOOKUP($E3147,설정_코스수당!$A$6:$H$10,4,FALSE),0)-IF(OR($P3147="",$P3147="없음"),0,100000)),0)</f>
        <v>0</v>
      </c>
      <c r="K3147" s="33">
        <f t="array" ref="K3147">IF($O3147="방문완료",IFERROR(INDEX(설정_코스수당!$B$15:$F$64,MATCH($G3147,설정_코스수당!$A$15:$A$64,0),MATCH($E3147&amp;"수당",설정_코스수당!$B$14:$F$14,0)),0),0)</f>
        <v>0</v>
      </c>
      <c r="L3147" s="33">
        <f t="array" ref="L3147">IF($O3147="방문완료",IF($H3147="",0,IFERROR(INDEX(설정_코스수당!$B$15:$F$64,MATCH($H3147,설정_코스수당!$A$15:$A$64,0),MATCH($E3147&amp;"수당",설정_코스수당!$B$14:$F$14,0)),0)),0)</f>
        <v>0</v>
      </c>
      <c r="M3147" s="33">
        <f>IF($O3147="방문완료",IFERROR(VLOOKUP($E3147,설정_코스수당!$A$6:$H$10,6,FALSE),0),0)</f>
        <v>0</v>
      </c>
      <c r="N3147" s="34">
        <f t="shared" si="91"/>
        <v>0</v>
      </c>
      <c r="O3147" s="29"/>
      <c r="P3147" s="29"/>
      <c r="Q3147" s="29"/>
      <c r="R3147" s="32"/>
      <c r="S3147" s="29"/>
    </row>
    <row r="3148" spans="1:19" ht="19.5" hidden="1" customHeight="1" outlineLevel="1">
      <c r="A3148" s="23">
        <v>45</v>
      </c>
      <c r="B3148" s="24" t="str">
        <f>IF(31&lt;=DAY(DATE(YEAR(설정_코스수당!$K$2),MONTH(설정_코스수당!$K$2)+1,0)),DATE(YEAR(설정_코스수당!$K$2),MONTH(설정_코스수당!$K$2),31),"")</f>
        <v/>
      </c>
      <c r="C3148" s="25"/>
      <c r="D3148" s="23"/>
      <c r="E3148" s="23"/>
      <c r="F3148" s="26"/>
      <c r="G3148" s="23"/>
      <c r="H3148" s="23"/>
      <c r="I3148" s="23"/>
      <c r="J3148" s="27">
        <f>IF($O3148="방문완료",MAX(0,IFERROR(VLOOKUP($E3148,설정_코스수당!$A$6:$H$10,4,FALSE),0)-IF(OR($P3148="",$P3148="없음"),0,100000)),0)</f>
        <v>0</v>
      </c>
      <c r="K3148" s="27">
        <f t="array" ref="K3148">IF($O3148="방문완료",IFERROR(INDEX(설정_코스수당!$B$15:$F$64,MATCH($G3148,설정_코스수당!$A$15:$A$64,0),MATCH($E3148&amp;"수당",설정_코스수당!$B$14:$F$14,0)),0),0)</f>
        <v>0</v>
      </c>
      <c r="L3148" s="27">
        <f t="array" ref="L3148">IF($O3148="방문완료",IF($H3148="",0,IFERROR(INDEX(설정_코스수당!$B$15:$F$64,MATCH($H3148,설정_코스수당!$A$15:$A$64,0),MATCH($E3148&amp;"수당",설정_코스수당!$B$14:$F$14,0)),0)),0)</f>
        <v>0</v>
      </c>
      <c r="M3148" s="27">
        <f>IF($O3148="방문완료",IFERROR(VLOOKUP($E3148,설정_코스수당!$A$6:$H$10,6,FALSE),0),0)</f>
        <v>0</v>
      </c>
      <c r="N3148" s="28">
        <f t="shared" si="91"/>
        <v>0</v>
      </c>
      <c r="O3148" s="23"/>
      <c r="P3148" s="23"/>
      <c r="Q3148" s="23"/>
      <c r="R3148" s="26"/>
      <c r="S3148" s="23"/>
    </row>
    <row r="3149" spans="1:19" ht="19.5" hidden="1" customHeight="1" outlineLevel="1">
      <c r="A3149" s="29">
        <v>46</v>
      </c>
      <c r="B3149" s="30" t="str">
        <f>IF(31&lt;=DAY(DATE(YEAR(설정_코스수당!$K$2),MONTH(설정_코스수당!$K$2)+1,0)),DATE(YEAR(설정_코스수당!$K$2),MONTH(설정_코스수당!$K$2),31),"")</f>
        <v/>
      </c>
      <c r="C3149" s="31"/>
      <c r="D3149" s="29"/>
      <c r="E3149" s="29"/>
      <c r="F3149" s="32"/>
      <c r="G3149" s="29"/>
      <c r="H3149" s="29"/>
      <c r="I3149" s="29"/>
      <c r="J3149" s="33">
        <f>IF($O3149="방문완료",MAX(0,IFERROR(VLOOKUP($E3149,설정_코스수당!$A$6:$H$10,4,FALSE),0)-IF(OR($P3149="",$P3149="없음"),0,100000)),0)</f>
        <v>0</v>
      </c>
      <c r="K3149" s="33">
        <f t="array" ref="K3149">IF($O3149="방문완료",IFERROR(INDEX(설정_코스수당!$B$15:$F$64,MATCH($G3149,설정_코스수당!$A$15:$A$64,0),MATCH($E3149&amp;"수당",설정_코스수당!$B$14:$F$14,0)),0),0)</f>
        <v>0</v>
      </c>
      <c r="L3149" s="33">
        <f t="array" ref="L3149">IF($O3149="방문완료",IF($H3149="",0,IFERROR(INDEX(설정_코스수당!$B$15:$F$64,MATCH($H3149,설정_코스수당!$A$15:$A$64,0),MATCH($E3149&amp;"수당",설정_코스수당!$B$14:$F$14,0)),0)),0)</f>
        <v>0</v>
      </c>
      <c r="M3149" s="33">
        <f>IF($O3149="방문완료",IFERROR(VLOOKUP($E3149,설정_코스수당!$A$6:$H$10,6,FALSE),0),0)</f>
        <v>0</v>
      </c>
      <c r="N3149" s="34">
        <f t="shared" si="91"/>
        <v>0</v>
      </c>
      <c r="O3149" s="29"/>
      <c r="P3149" s="29"/>
      <c r="Q3149" s="29"/>
      <c r="R3149" s="32"/>
      <c r="S3149" s="29"/>
    </row>
    <row r="3150" spans="1:19" ht="19.5" hidden="1" customHeight="1" outlineLevel="1">
      <c r="A3150" s="23">
        <v>47</v>
      </c>
      <c r="B3150" s="24" t="str">
        <f>IF(31&lt;=DAY(DATE(YEAR(설정_코스수당!$K$2),MONTH(설정_코스수당!$K$2)+1,0)),DATE(YEAR(설정_코스수당!$K$2),MONTH(설정_코스수당!$K$2),31),"")</f>
        <v/>
      </c>
      <c r="C3150" s="25"/>
      <c r="D3150" s="23"/>
      <c r="E3150" s="23"/>
      <c r="F3150" s="26"/>
      <c r="G3150" s="23"/>
      <c r="H3150" s="23"/>
      <c r="I3150" s="23"/>
      <c r="J3150" s="27">
        <f>IF($O3150="방문완료",MAX(0,IFERROR(VLOOKUP($E3150,설정_코스수당!$A$6:$H$10,4,FALSE),0)-IF(OR($P3150="",$P3150="없음"),0,100000)),0)</f>
        <v>0</v>
      </c>
      <c r="K3150" s="27">
        <f t="array" ref="K3150">IF($O3150="방문완료",IFERROR(INDEX(설정_코스수당!$B$15:$F$64,MATCH($G3150,설정_코스수당!$A$15:$A$64,0),MATCH($E3150&amp;"수당",설정_코스수당!$B$14:$F$14,0)),0),0)</f>
        <v>0</v>
      </c>
      <c r="L3150" s="27">
        <f t="array" ref="L3150">IF($O3150="방문완료",IF($H3150="",0,IFERROR(INDEX(설정_코스수당!$B$15:$F$64,MATCH($H3150,설정_코스수당!$A$15:$A$64,0),MATCH($E3150&amp;"수당",설정_코스수당!$B$14:$F$14,0)),0)),0)</f>
        <v>0</v>
      </c>
      <c r="M3150" s="27">
        <f>IF($O3150="방문완료",IFERROR(VLOOKUP($E3150,설정_코스수당!$A$6:$H$10,6,FALSE),0),0)</f>
        <v>0</v>
      </c>
      <c r="N3150" s="28">
        <f t="shared" si="91"/>
        <v>0</v>
      </c>
      <c r="O3150" s="23"/>
      <c r="P3150" s="23"/>
      <c r="Q3150" s="23"/>
      <c r="R3150" s="26"/>
      <c r="S3150" s="23"/>
    </row>
    <row r="3151" spans="1:19" ht="19.5" hidden="1" customHeight="1" outlineLevel="1">
      <c r="A3151" s="29">
        <v>48</v>
      </c>
      <c r="B3151" s="30" t="str">
        <f>IF(31&lt;=DAY(DATE(YEAR(설정_코스수당!$K$2),MONTH(설정_코스수당!$K$2)+1,0)),DATE(YEAR(설정_코스수당!$K$2),MONTH(설정_코스수당!$K$2),31),"")</f>
        <v/>
      </c>
      <c r="C3151" s="31"/>
      <c r="D3151" s="29"/>
      <c r="E3151" s="29"/>
      <c r="F3151" s="32"/>
      <c r="G3151" s="29"/>
      <c r="H3151" s="29"/>
      <c r="I3151" s="29"/>
      <c r="J3151" s="33">
        <f>IF($O3151="방문완료",MAX(0,IFERROR(VLOOKUP($E3151,설정_코스수당!$A$6:$H$10,4,FALSE),0)-IF(OR($P3151="",$P3151="없음"),0,100000)),0)</f>
        <v>0</v>
      </c>
      <c r="K3151" s="33">
        <f t="array" ref="K3151">IF($O3151="방문완료",IFERROR(INDEX(설정_코스수당!$B$15:$F$64,MATCH($G3151,설정_코스수당!$A$15:$A$64,0),MATCH($E3151&amp;"수당",설정_코스수당!$B$14:$F$14,0)),0),0)</f>
        <v>0</v>
      </c>
      <c r="L3151" s="33">
        <f t="array" ref="L3151">IF($O3151="방문완료",IF($H3151="",0,IFERROR(INDEX(설정_코스수당!$B$15:$F$64,MATCH($H3151,설정_코스수당!$A$15:$A$64,0),MATCH($E3151&amp;"수당",설정_코스수당!$B$14:$F$14,0)),0)),0)</f>
        <v>0</v>
      </c>
      <c r="M3151" s="33">
        <f>IF($O3151="방문완료",IFERROR(VLOOKUP($E3151,설정_코스수당!$A$6:$H$10,6,FALSE),0),0)</f>
        <v>0</v>
      </c>
      <c r="N3151" s="34">
        <f t="shared" si="91"/>
        <v>0</v>
      </c>
      <c r="O3151" s="29"/>
      <c r="P3151" s="29"/>
      <c r="Q3151" s="29"/>
      <c r="R3151" s="32"/>
      <c r="S3151" s="29"/>
    </row>
    <row r="3152" spans="1:19" ht="19.5" hidden="1" customHeight="1" outlineLevel="1">
      <c r="A3152" s="23">
        <v>49</v>
      </c>
      <c r="B3152" s="24" t="str">
        <f>IF(31&lt;=DAY(DATE(YEAR(설정_코스수당!$K$2),MONTH(설정_코스수당!$K$2)+1,0)),DATE(YEAR(설정_코스수당!$K$2),MONTH(설정_코스수당!$K$2),31),"")</f>
        <v/>
      </c>
      <c r="C3152" s="25"/>
      <c r="D3152" s="23"/>
      <c r="E3152" s="23"/>
      <c r="F3152" s="26"/>
      <c r="G3152" s="23"/>
      <c r="H3152" s="23"/>
      <c r="I3152" s="23"/>
      <c r="J3152" s="27">
        <f>IF($O3152="방문완료",MAX(0,IFERROR(VLOOKUP($E3152,설정_코스수당!$A$6:$H$10,4,FALSE),0)-IF(OR($P3152="",$P3152="없음"),0,100000)),0)</f>
        <v>0</v>
      </c>
      <c r="K3152" s="27">
        <f t="array" ref="K3152">IF($O3152="방문완료",IFERROR(INDEX(설정_코스수당!$B$15:$F$64,MATCH($G3152,설정_코스수당!$A$15:$A$64,0),MATCH($E3152&amp;"수당",설정_코스수당!$B$14:$F$14,0)),0),0)</f>
        <v>0</v>
      </c>
      <c r="L3152" s="27">
        <f t="array" ref="L3152">IF($O3152="방문완료",IF($H3152="",0,IFERROR(INDEX(설정_코스수당!$B$15:$F$64,MATCH($H3152,설정_코스수당!$A$15:$A$64,0),MATCH($E3152&amp;"수당",설정_코스수당!$B$14:$F$14,0)),0)),0)</f>
        <v>0</v>
      </c>
      <c r="M3152" s="27">
        <f>IF($O3152="방문완료",IFERROR(VLOOKUP($E3152,설정_코스수당!$A$6:$H$10,6,FALSE),0),0)</f>
        <v>0</v>
      </c>
      <c r="N3152" s="28">
        <f t="shared" si="91"/>
        <v>0</v>
      </c>
      <c r="O3152" s="23"/>
      <c r="P3152" s="23"/>
      <c r="Q3152" s="23"/>
      <c r="R3152" s="26"/>
      <c r="S3152" s="23"/>
    </row>
    <row r="3153" spans="1:19" ht="19.5" hidden="1" customHeight="1" outlineLevel="1">
      <c r="A3153" s="29">
        <v>50</v>
      </c>
      <c r="B3153" s="30" t="str">
        <f>IF(31&lt;=DAY(DATE(YEAR(설정_코스수당!$K$2),MONTH(설정_코스수당!$K$2)+1,0)),DATE(YEAR(설정_코스수당!$K$2),MONTH(설정_코스수당!$K$2),31),"")</f>
        <v/>
      </c>
      <c r="C3153" s="31"/>
      <c r="D3153" s="29"/>
      <c r="E3153" s="29"/>
      <c r="F3153" s="32"/>
      <c r="G3153" s="29"/>
      <c r="H3153" s="29"/>
      <c r="I3153" s="29"/>
      <c r="J3153" s="33">
        <f>IF($O3153="방문완료",MAX(0,IFERROR(VLOOKUP($E3153,설정_코스수당!$A$6:$H$10,4,FALSE),0)-IF(OR($P3153="",$P3153="없음"),0,100000)),0)</f>
        <v>0</v>
      </c>
      <c r="K3153" s="33">
        <f t="array" ref="K3153">IF($O3153="방문완료",IFERROR(INDEX(설정_코스수당!$B$15:$F$64,MATCH($G3153,설정_코스수당!$A$15:$A$64,0),MATCH($E3153&amp;"수당",설정_코스수당!$B$14:$F$14,0)),0),0)</f>
        <v>0</v>
      </c>
      <c r="L3153" s="33">
        <f t="array" ref="L3153">IF($O3153="방문완료",IF($H3153="",0,IFERROR(INDEX(설정_코스수당!$B$15:$F$64,MATCH($H3153,설정_코스수당!$A$15:$A$64,0),MATCH($E3153&amp;"수당",설정_코스수당!$B$14:$F$14,0)),0)),0)</f>
        <v>0</v>
      </c>
      <c r="M3153" s="33">
        <f>IF($O3153="방문완료",IFERROR(VLOOKUP($E3153,설정_코스수당!$A$6:$H$10,6,FALSE),0),0)</f>
        <v>0</v>
      </c>
      <c r="N3153" s="34">
        <f t="shared" si="91"/>
        <v>0</v>
      </c>
      <c r="O3153" s="29"/>
      <c r="P3153" s="29"/>
      <c r="Q3153" s="29"/>
      <c r="R3153" s="32"/>
      <c r="S3153" s="29"/>
    </row>
    <row r="3154" spans="1:19" ht="19.5" hidden="1" customHeight="1" outlineLevel="1">
      <c r="A3154" s="23">
        <v>51</v>
      </c>
      <c r="B3154" s="24" t="str">
        <f>IF(31&lt;=DAY(DATE(YEAR(설정_코스수당!$K$2),MONTH(설정_코스수당!$K$2)+1,0)),DATE(YEAR(설정_코스수당!$K$2),MONTH(설정_코스수당!$K$2),31),"")</f>
        <v/>
      </c>
      <c r="C3154" s="25"/>
      <c r="D3154" s="23"/>
      <c r="E3154" s="23"/>
      <c r="F3154" s="26"/>
      <c r="G3154" s="23"/>
      <c r="H3154" s="23"/>
      <c r="I3154" s="23"/>
      <c r="J3154" s="27">
        <f>IF($O3154="방문완료",MAX(0,IFERROR(VLOOKUP($E3154,설정_코스수당!$A$6:$H$10,4,FALSE),0)-IF(OR($P3154="",$P3154="없음"),0,100000)),0)</f>
        <v>0</v>
      </c>
      <c r="K3154" s="27">
        <f t="array" ref="K3154">IF($O3154="방문완료",IFERROR(INDEX(설정_코스수당!$B$15:$F$64,MATCH($G3154,설정_코스수당!$A$15:$A$64,0),MATCH($E3154&amp;"수당",설정_코스수당!$B$14:$F$14,0)),0),0)</f>
        <v>0</v>
      </c>
      <c r="L3154" s="27">
        <f t="array" ref="L3154">IF($O3154="방문완료",IF($H3154="",0,IFERROR(INDEX(설정_코스수당!$B$15:$F$64,MATCH($H3154,설정_코스수당!$A$15:$A$64,0),MATCH($E3154&amp;"수당",설정_코스수당!$B$14:$F$14,0)),0)),0)</f>
        <v>0</v>
      </c>
      <c r="M3154" s="27">
        <f>IF($O3154="방문완료",IFERROR(VLOOKUP($E3154,설정_코스수당!$A$6:$H$10,6,FALSE),0),0)</f>
        <v>0</v>
      </c>
      <c r="N3154" s="28">
        <f t="shared" si="91"/>
        <v>0</v>
      </c>
      <c r="O3154" s="23"/>
      <c r="P3154" s="23"/>
      <c r="Q3154" s="23"/>
      <c r="R3154" s="26"/>
      <c r="S3154" s="23"/>
    </row>
    <row r="3155" spans="1:19" ht="19.5" hidden="1" customHeight="1" outlineLevel="1">
      <c r="A3155" s="29">
        <v>52</v>
      </c>
      <c r="B3155" s="30" t="str">
        <f>IF(31&lt;=DAY(DATE(YEAR(설정_코스수당!$K$2),MONTH(설정_코스수당!$K$2)+1,0)),DATE(YEAR(설정_코스수당!$K$2),MONTH(설정_코스수당!$K$2),31),"")</f>
        <v/>
      </c>
      <c r="C3155" s="31"/>
      <c r="D3155" s="29"/>
      <c r="E3155" s="29"/>
      <c r="F3155" s="32"/>
      <c r="G3155" s="29"/>
      <c r="H3155" s="29"/>
      <c r="I3155" s="29"/>
      <c r="J3155" s="33">
        <f>IF($O3155="방문완료",MAX(0,IFERROR(VLOOKUP($E3155,설정_코스수당!$A$6:$H$10,4,FALSE),0)-IF(OR($P3155="",$P3155="없음"),0,100000)),0)</f>
        <v>0</v>
      </c>
      <c r="K3155" s="33">
        <f t="array" ref="K3155">IF($O3155="방문완료",IFERROR(INDEX(설정_코스수당!$B$15:$F$64,MATCH($G3155,설정_코스수당!$A$15:$A$64,0),MATCH($E3155&amp;"수당",설정_코스수당!$B$14:$F$14,0)),0),0)</f>
        <v>0</v>
      </c>
      <c r="L3155" s="33">
        <f t="array" ref="L3155">IF($O3155="방문완료",IF($H3155="",0,IFERROR(INDEX(설정_코스수당!$B$15:$F$64,MATCH($H3155,설정_코스수당!$A$15:$A$64,0),MATCH($E3155&amp;"수당",설정_코스수당!$B$14:$F$14,0)),0)),0)</f>
        <v>0</v>
      </c>
      <c r="M3155" s="33">
        <f>IF($O3155="방문완료",IFERROR(VLOOKUP($E3155,설정_코스수당!$A$6:$H$10,6,FALSE),0),0)</f>
        <v>0</v>
      </c>
      <c r="N3155" s="34">
        <f t="shared" si="91"/>
        <v>0</v>
      </c>
      <c r="O3155" s="29"/>
      <c r="P3155" s="29"/>
      <c r="Q3155" s="29"/>
      <c r="R3155" s="32"/>
      <c r="S3155" s="29"/>
    </row>
    <row r="3156" spans="1:19" ht="19.5" hidden="1" customHeight="1" outlineLevel="1">
      <c r="A3156" s="23">
        <v>53</v>
      </c>
      <c r="B3156" s="24" t="str">
        <f>IF(31&lt;=DAY(DATE(YEAR(설정_코스수당!$K$2),MONTH(설정_코스수당!$K$2)+1,0)),DATE(YEAR(설정_코스수당!$K$2),MONTH(설정_코스수당!$K$2),31),"")</f>
        <v/>
      </c>
      <c r="C3156" s="25"/>
      <c r="D3156" s="23"/>
      <c r="E3156" s="23"/>
      <c r="F3156" s="26"/>
      <c r="G3156" s="23"/>
      <c r="H3156" s="23"/>
      <c r="I3156" s="23"/>
      <c r="J3156" s="27">
        <f>IF($O3156="방문완료",MAX(0,IFERROR(VLOOKUP($E3156,설정_코스수당!$A$6:$H$10,4,FALSE),0)-IF(OR($P3156="",$P3156="없음"),0,100000)),0)</f>
        <v>0</v>
      </c>
      <c r="K3156" s="27">
        <f t="array" ref="K3156">IF($O3156="방문완료",IFERROR(INDEX(설정_코스수당!$B$15:$F$64,MATCH($G3156,설정_코스수당!$A$15:$A$64,0),MATCH($E3156&amp;"수당",설정_코스수당!$B$14:$F$14,0)),0),0)</f>
        <v>0</v>
      </c>
      <c r="L3156" s="27">
        <f t="array" ref="L3156">IF($O3156="방문완료",IF($H3156="",0,IFERROR(INDEX(설정_코스수당!$B$15:$F$64,MATCH($H3156,설정_코스수당!$A$15:$A$64,0),MATCH($E3156&amp;"수당",설정_코스수당!$B$14:$F$14,0)),0)),0)</f>
        <v>0</v>
      </c>
      <c r="M3156" s="27">
        <f>IF($O3156="방문완료",IFERROR(VLOOKUP($E3156,설정_코스수당!$A$6:$H$10,6,FALSE),0),0)</f>
        <v>0</v>
      </c>
      <c r="N3156" s="28">
        <f t="shared" si="91"/>
        <v>0</v>
      </c>
      <c r="O3156" s="23"/>
      <c r="P3156" s="23"/>
      <c r="Q3156" s="23"/>
      <c r="R3156" s="26"/>
      <c r="S3156" s="23"/>
    </row>
    <row r="3157" spans="1:19" ht="19.5" hidden="1" customHeight="1" outlineLevel="1">
      <c r="A3157" s="29">
        <v>54</v>
      </c>
      <c r="B3157" s="30" t="str">
        <f>IF(31&lt;=DAY(DATE(YEAR(설정_코스수당!$K$2),MONTH(설정_코스수당!$K$2)+1,0)),DATE(YEAR(설정_코스수당!$K$2),MONTH(설정_코스수당!$K$2),31),"")</f>
        <v/>
      </c>
      <c r="C3157" s="31"/>
      <c r="D3157" s="29"/>
      <c r="E3157" s="29"/>
      <c r="F3157" s="32"/>
      <c r="G3157" s="29"/>
      <c r="H3157" s="29"/>
      <c r="I3157" s="29"/>
      <c r="J3157" s="33">
        <f>IF($O3157="방문완료",MAX(0,IFERROR(VLOOKUP($E3157,설정_코스수당!$A$6:$H$10,4,FALSE),0)-IF(OR($P3157="",$P3157="없음"),0,100000)),0)</f>
        <v>0</v>
      </c>
      <c r="K3157" s="33">
        <f t="array" ref="K3157">IF($O3157="방문완료",IFERROR(INDEX(설정_코스수당!$B$15:$F$64,MATCH($G3157,설정_코스수당!$A$15:$A$64,0),MATCH($E3157&amp;"수당",설정_코스수당!$B$14:$F$14,0)),0),0)</f>
        <v>0</v>
      </c>
      <c r="L3157" s="33">
        <f t="array" ref="L3157">IF($O3157="방문완료",IF($H3157="",0,IFERROR(INDEX(설정_코스수당!$B$15:$F$64,MATCH($H3157,설정_코스수당!$A$15:$A$64,0),MATCH($E3157&amp;"수당",설정_코스수당!$B$14:$F$14,0)),0)),0)</f>
        <v>0</v>
      </c>
      <c r="M3157" s="33">
        <f>IF($O3157="방문완료",IFERROR(VLOOKUP($E3157,설정_코스수당!$A$6:$H$10,6,FALSE),0),0)</f>
        <v>0</v>
      </c>
      <c r="N3157" s="34">
        <f t="shared" si="91"/>
        <v>0</v>
      </c>
      <c r="O3157" s="29"/>
      <c r="P3157" s="29"/>
      <c r="Q3157" s="29"/>
      <c r="R3157" s="32"/>
      <c r="S3157" s="29"/>
    </row>
    <row r="3158" spans="1:19" ht="19.5" hidden="1" customHeight="1" outlineLevel="1">
      <c r="A3158" s="23">
        <v>55</v>
      </c>
      <c r="B3158" s="24" t="str">
        <f>IF(31&lt;=DAY(DATE(YEAR(설정_코스수당!$K$2),MONTH(설정_코스수당!$K$2)+1,0)),DATE(YEAR(설정_코스수당!$K$2),MONTH(설정_코스수당!$K$2),31),"")</f>
        <v/>
      </c>
      <c r="C3158" s="25"/>
      <c r="D3158" s="23"/>
      <c r="E3158" s="23"/>
      <c r="F3158" s="26"/>
      <c r="G3158" s="23"/>
      <c r="H3158" s="23"/>
      <c r="I3158" s="23"/>
      <c r="J3158" s="27">
        <f>IF($O3158="방문완료",MAX(0,IFERROR(VLOOKUP($E3158,설정_코스수당!$A$6:$H$10,4,FALSE),0)-IF(OR($P3158="",$P3158="없음"),0,100000)),0)</f>
        <v>0</v>
      </c>
      <c r="K3158" s="27">
        <f t="array" ref="K3158">IF($O3158="방문완료",IFERROR(INDEX(설정_코스수당!$B$15:$F$64,MATCH($G3158,설정_코스수당!$A$15:$A$64,0),MATCH($E3158&amp;"수당",설정_코스수당!$B$14:$F$14,0)),0),0)</f>
        <v>0</v>
      </c>
      <c r="L3158" s="27">
        <f t="array" ref="L3158">IF($O3158="방문완료",IF($H3158="",0,IFERROR(INDEX(설정_코스수당!$B$15:$F$64,MATCH($H3158,설정_코스수당!$A$15:$A$64,0),MATCH($E3158&amp;"수당",설정_코스수당!$B$14:$F$14,0)),0)),0)</f>
        <v>0</v>
      </c>
      <c r="M3158" s="27">
        <f>IF($O3158="방문완료",IFERROR(VLOOKUP($E3158,설정_코스수당!$A$6:$H$10,6,FALSE),0),0)</f>
        <v>0</v>
      </c>
      <c r="N3158" s="28">
        <f t="shared" si="91"/>
        <v>0</v>
      </c>
      <c r="O3158" s="23"/>
      <c r="P3158" s="23"/>
      <c r="Q3158" s="23"/>
      <c r="R3158" s="26"/>
      <c r="S3158" s="23"/>
    </row>
    <row r="3159" spans="1:19" ht="19.5" hidden="1" customHeight="1" outlineLevel="1">
      <c r="A3159" s="29">
        <v>56</v>
      </c>
      <c r="B3159" s="30" t="str">
        <f>IF(31&lt;=DAY(DATE(YEAR(설정_코스수당!$K$2),MONTH(설정_코스수당!$K$2)+1,0)),DATE(YEAR(설정_코스수당!$K$2),MONTH(설정_코스수당!$K$2),31),"")</f>
        <v/>
      </c>
      <c r="C3159" s="31"/>
      <c r="D3159" s="29"/>
      <c r="E3159" s="29"/>
      <c r="F3159" s="32"/>
      <c r="G3159" s="29"/>
      <c r="H3159" s="29"/>
      <c r="I3159" s="29"/>
      <c r="J3159" s="33">
        <f>IF($O3159="방문완료",MAX(0,IFERROR(VLOOKUP($E3159,설정_코스수당!$A$6:$H$10,4,FALSE),0)-IF(OR($P3159="",$P3159="없음"),0,100000)),0)</f>
        <v>0</v>
      </c>
      <c r="K3159" s="33">
        <f t="array" ref="K3159">IF($O3159="방문완료",IFERROR(INDEX(설정_코스수당!$B$15:$F$64,MATCH($G3159,설정_코스수당!$A$15:$A$64,0),MATCH($E3159&amp;"수당",설정_코스수당!$B$14:$F$14,0)),0),0)</f>
        <v>0</v>
      </c>
      <c r="L3159" s="33">
        <f t="array" ref="L3159">IF($O3159="방문완료",IF($H3159="",0,IFERROR(INDEX(설정_코스수당!$B$15:$F$64,MATCH($H3159,설정_코스수당!$A$15:$A$64,0),MATCH($E3159&amp;"수당",설정_코스수당!$B$14:$F$14,0)),0)),0)</f>
        <v>0</v>
      </c>
      <c r="M3159" s="33">
        <f>IF($O3159="방문완료",IFERROR(VLOOKUP($E3159,설정_코스수당!$A$6:$H$10,6,FALSE),0),0)</f>
        <v>0</v>
      </c>
      <c r="N3159" s="34">
        <f t="shared" si="91"/>
        <v>0</v>
      </c>
      <c r="O3159" s="29"/>
      <c r="P3159" s="29"/>
      <c r="Q3159" s="29"/>
      <c r="R3159" s="32"/>
      <c r="S3159" s="29"/>
    </row>
    <row r="3160" spans="1:19" ht="19.5" hidden="1" customHeight="1" outlineLevel="1">
      <c r="A3160" s="23">
        <v>57</v>
      </c>
      <c r="B3160" s="24" t="str">
        <f>IF(31&lt;=DAY(DATE(YEAR(설정_코스수당!$K$2),MONTH(설정_코스수당!$K$2)+1,0)),DATE(YEAR(설정_코스수당!$K$2),MONTH(설정_코스수당!$K$2),31),"")</f>
        <v/>
      </c>
      <c r="C3160" s="25"/>
      <c r="D3160" s="23"/>
      <c r="E3160" s="23"/>
      <c r="F3160" s="26"/>
      <c r="G3160" s="23"/>
      <c r="H3160" s="23"/>
      <c r="I3160" s="23"/>
      <c r="J3160" s="27">
        <f>IF($O3160="방문완료",MAX(0,IFERROR(VLOOKUP($E3160,설정_코스수당!$A$6:$H$10,4,FALSE),0)-IF(OR($P3160="",$P3160="없음"),0,100000)),0)</f>
        <v>0</v>
      </c>
      <c r="K3160" s="27">
        <f t="array" ref="K3160">IF($O3160="방문완료",IFERROR(INDEX(설정_코스수당!$B$15:$F$64,MATCH($G3160,설정_코스수당!$A$15:$A$64,0),MATCH($E3160&amp;"수당",설정_코스수당!$B$14:$F$14,0)),0),0)</f>
        <v>0</v>
      </c>
      <c r="L3160" s="27">
        <f t="array" ref="L3160">IF($O3160="방문완료",IF($H3160="",0,IFERROR(INDEX(설정_코스수당!$B$15:$F$64,MATCH($H3160,설정_코스수당!$A$15:$A$64,0),MATCH($E3160&amp;"수당",설정_코스수당!$B$14:$F$14,0)),0)),0)</f>
        <v>0</v>
      </c>
      <c r="M3160" s="27">
        <f>IF($O3160="방문완료",IFERROR(VLOOKUP($E3160,설정_코스수당!$A$6:$H$10,6,FALSE),0),0)</f>
        <v>0</v>
      </c>
      <c r="N3160" s="28">
        <f t="shared" si="91"/>
        <v>0</v>
      </c>
      <c r="O3160" s="23"/>
      <c r="P3160" s="23"/>
      <c r="Q3160" s="23"/>
      <c r="R3160" s="26"/>
      <c r="S3160" s="23"/>
    </row>
    <row r="3161" spans="1:19" ht="19.5" hidden="1" customHeight="1" outlineLevel="1">
      <c r="A3161" s="29">
        <v>58</v>
      </c>
      <c r="B3161" s="30" t="str">
        <f>IF(31&lt;=DAY(DATE(YEAR(설정_코스수당!$K$2),MONTH(설정_코스수당!$K$2)+1,0)),DATE(YEAR(설정_코스수당!$K$2),MONTH(설정_코스수당!$K$2),31),"")</f>
        <v/>
      </c>
      <c r="C3161" s="31"/>
      <c r="D3161" s="29"/>
      <c r="E3161" s="29"/>
      <c r="F3161" s="32"/>
      <c r="G3161" s="29"/>
      <c r="H3161" s="29"/>
      <c r="I3161" s="29"/>
      <c r="J3161" s="33">
        <f>IF($O3161="방문완료",MAX(0,IFERROR(VLOOKUP($E3161,설정_코스수당!$A$6:$H$10,4,FALSE),0)-IF(OR($P3161="",$P3161="없음"),0,100000)),0)</f>
        <v>0</v>
      </c>
      <c r="K3161" s="33">
        <f t="array" ref="K3161">IF($O3161="방문완료",IFERROR(INDEX(설정_코스수당!$B$15:$F$64,MATCH($G3161,설정_코스수당!$A$15:$A$64,0),MATCH($E3161&amp;"수당",설정_코스수당!$B$14:$F$14,0)),0),0)</f>
        <v>0</v>
      </c>
      <c r="L3161" s="33">
        <f t="array" ref="L3161">IF($O3161="방문완료",IF($H3161="",0,IFERROR(INDEX(설정_코스수당!$B$15:$F$64,MATCH($H3161,설정_코스수당!$A$15:$A$64,0),MATCH($E3161&amp;"수당",설정_코스수당!$B$14:$F$14,0)),0)),0)</f>
        <v>0</v>
      </c>
      <c r="M3161" s="33">
        <f>IF($O3161="방문완료",IFERROR(VLOOKUP($E3161,설정_코스수당!$A$6:$H$10,6,FALSE),0),0)</f>
        <v>0</v>
      </c>
      <c r="N3161" s="34">
        <f t="shared" si="91"/>
        <v>0</v>
      </c>
      <c r="O3161" s="29"/>
      <c r="P3161" s="29"/>
      <c r="Q3161" s="29"/>
      <c r="R3161" s="32"/>
      <c r="S3161" s="29"/>
    </row>
    <row r="3162" spans="1:19" ht="19.5" hidden="1" customHeight="1" outlineLevel="1">
      <c r="A3162" s="23">
        <v>59</v>
      </c>
      <c r="B3162" s="24" t="str">
        <f>IF(31&lt;=DAY(DATE(YEAR(설정_코스수당!$K$2),MONTH(설정_코스수당!$K$2)+1,0)),DATE(YEAR(설정_코스수당!$K$2),MONTH(설정_코스수당!$K$2),31),"")</f>
        <v/>
      </c>
      <c r="C3162" s="25"/>
      <c r="D3162" s="23"/>
      <c r="E3162" s="23"/>
      <c r="F3162" s="26"/>
      <c r="G3162" s="23"/>
      <c r="H3162" s="23"/>
      <c r="I3162" s="23"/>
      <c r="J3162" s="27">
        <f>IF($O3162="방문완료",MAX(0,IFERROR(VLOOKUP($E3162,설정_코스수당!$A$6:$H$10,4,FALSE),0)-IF(OR($P3162="",$P3162="없음"),0,100000)),0)</f>
        <v>0</v>
      </c>
      <c r="K3162" s="27">
        <f t="array" ref="K3162">IF($O3162="방문완료",IFERROR(INDEX(설정_코스수당!$B$15:$F$64,MATCH($G3162,설정_코스수당!$A$15:$A$64,0),MATCH($E3162&amp;"수당",설정_코스수당!$B$14:$F$14,0)),0),0)</f>
        <v>0</v>
      </c>
      <c r="L3162" s="27">
        <f t="array" ref="L3162">IF($O3162="방문완료",IF($H3162="",0,IFERROR(INDEX(설정_코스수당!$B$15:$F$64,MATCH($H3162,설정_코스수당!$A$15:$A$64,0),MATCH($E3162&amp;"수당",설정_코스수당!$B$14:$F$14,0)),0)),0)</f>
        <v>0</v>
      </c>
      <c r="M3162" s="27">
        <f>IF($O3162="방문완료",IFERROR(VLOOKUP($E3162,설정_코스수당!$A$6:$H$10,6,FALSE),0),0)</f>
        <v>0</v>
      </c>
      <c r="N3162" s="28">
        <f t="shared" si="91"/>
        <v>0</v>
      </c>
      <c r="O3162" s="23"/>
      <c r="P3162" s="23"/>
      <c r="Q3162" s="23"/>
      <c r="R3162" s="26"/>
      <c r="S3162" s="23"/>
    </row>
    <row r="3163" spans="1:19" ht="19.5" hidden="1" customHeight="1" outlineLevel="1">
      <c r="A3163" s="29">
        <v>60</v>
      </c>
      <c r="B3163" s="30" t="str">
        <f>IF(31&lt;=DAY(DATE(YEAR(설정_코스수당!$K$2),MONTH(설정_코스수당!$K$2)+1,0)),DATE(YEAR(설정_코스수당!$K$2),MONTH(설정_코스수당!$K$2),31),"")</f>
        <v/>
      </c>
      <c r="C3163" s="31"/>
      <c r="D3163" s="29"/>
      <c r="E3163" s="29"/>
      <c r="F3163" s="32"/>
      <c r="G3163" s="29"/>
      <c r="H3163" s="29"/>
      <c r="I3163" s="29"/>
      <c r="J3163" s="33">
        <f>IF($O3163="방문완료",MAX(0,IFERROR(VLOOKUP($E3163,설정_코스수당!$A$6:$H$10,4,FALSE),0)-IF(OR($P3163="",$P3163="없음"),0,100000)),0)</f>
        <v>0</v>
      </c>
      <c r="K3163" s="33">
        <f t="array" ref="K3163">IF($O3163="방문완료",IFERROR(INDEX(설정_코스수당!$B$15:$F$64,MATCH($G3163,설정_코스수당!$A$15:$A$64,0),MATCH($E3163&amp;"수당",설정_코스수당!$B$14:$F$14,0)),0),0)</f>
        <v>0</v>
      </c>
      <c r="L3163" s="33">
        <f t="array" ref="L3163">IF($O3163="방문완료",IF($H3163="",0,IFERROR(INDEX(설정_코스수당!$B$15:$F$64,MATCH($H3163,설정_코스수당!$A$15:$A$64,0),MATCH($E3163&amp;"수당",설정_코스수당!$B$14:$F$14,0)),0)),0)</f>
        <v>0</v>
      </c>
      <c r="M3163" s="33">
        <f>IF($O3163="방문완료",IFERROR(VLOOKUP($E3163,설정_코스수당!$A$6:$H$10,6,FALSE),0),0)</f>
        <v>0</v>
      </c>
      <c r="N3163" s="34">
        <f t="shared" si="91"/>
        <v>0</v>
      </c>
      <c r="O3163" s="29"/>
      <c r="P3163" s="29"/>
      <c r="Q3163" s="29"/>
      <c r="R3163" s="32"/>
      <c r="S3163" s="29"/>
    </row>
    <row r="3164" spans="1:19" ht="19.5" hidden="1" customHeight="1" outlineLevel="1">
      <c r="A3164" s="23">
        <v>61</v>
      </c>
      <c r="B3164" s="24" t="str">
        <f>IF(31&lt;=DAY(DATE(YEAR(설정_코스수당!$K$2),MONTH(설정_코스수당!$K$2)+1,0)),DATE(YEAR(설정_코스수당!$K$2),MONTH(설정_코스수당!$K$2),31),"")</f>
        <v/>
      </c>
      <c r="C3164" s="25"/>
      <c r="D3164" s="23"/>
      <c r="E3164" s="23"/>
      <c r="F3164" s="26"/>
      <c r="G3164" s="23"/>
      <c r="H3164" s="23"/>
      <c r="I3164" s="23"/>
      <c r="J3164" s="27">
        <f>IF($O3164="방문완료",MAX(0,IFERROR(VLOOKUP($E3164,설정_코스수당!$A$6:$H$10,4,FALSE),0)-IF(OR($P3164="",$P3164="없음"),0,100000)),0)</f>
        <v>0</v>
      </c>
      <c r="K3164" s="27">
        <f t="array" ref="K3164">IF($O3164="방문완료",IFERROR(INDEX(설정_코스수당!$B$15:$F$64,MATCH($G3164,설정_코스수당!$A$15:$A$64,0),MATCH($E3164&amp;"수당",설정_코스수당!$B$14:$F$14,0)),0),0)</f>
        <v>0</v>
      </c>
      <c r="L3164" s="27">
        <f t="array" ref="L3164">IF($O3164="방문완료",IF($H3164="",0,IFERROR(INDEX(설정_코스수당!$B$15:$F$64,MATCH($H3164,설정_코스수당!$A$15:$A$64,0),MATCH($E3164&amp;"수당",설정_코스수당!$B$14:$F$14,0)),0)),0)</f>
        <v>0</v>
      </c>
      <c r="M3164" s="27">
        <f>IF($O3164="방문완료",IFERROR(VLOOKUP($E3164,설정_코스수당!$A$6:$H$10,6,FALSE),0),0)</f>
        <v>0</v>
      </c>
      <c r="N3164" s="28">
        <f t="shared" si="91"/>
        <v>0</v>
      </c>
      <c r="O3164" s="23"/>
      <c r="P3164" s="23"/>
      <c r="Q3164" s="23"/>
      <c r="R3164" s="26"/>
      <c r="S3164" s="23"/>
    </row>
    <row r="3165" spans="1:19" ht="19.5" hidden="1" customHeight="1" outlineLevel="1">
      <c r="A3165" s="29">
        <v>62</v>
      </c>
      <c r="B3165" s="30" t="str">
        <f>IF(31&lt;=DAY(DATE(YEAR(설정_코스수당!$K$2),MONTH(설정_코스수당!$K$2)+1,0)),DATE(YEAR(설정_코스수당!$K$2),MONTH(설정_코스수당!$K$2),31),"")</f>
        <v/>
      </c>
      <c r="C3165" s="31"/>
      <c r="D3165" s="29"/>
      <c r="E3165" s="29"/>
      <c r="F3165" s="32"/>
      <c r="G3165" s="29"/>
      <c r="H3165" s="29"/>
      <c r="I3165" s="29"/>
      <c r="J3165" s="33">
        <f>IF($O3165="방문완료",MAX(0,IFERROR(VLOOKUP($E3165,설정_코스수당!$A$6:$H$10,4,FALSE),0)-IF(OR($P3165="",$P3165="없음"),0,100000)),0)</f>
        <v>0</v>
      </c>
      <c r="K3165" s="33">
        <f t="array" ref="K3165">IF($O3165="방문완료",IFERROR(INDEX(설정_코스수당!$B$15:$F$64,MATCH($G3165,설정_코스수당!$A$15:$A$64,0),MATCH($E3165&amp;"수당",설정_코스수당!$B$14:$F$14,0)),0),0)</f>
        <v>0</v>
      </c>
      <c r="L3165" s="33">
        <f t="array" ref="L3165">IF($O3165="방문완료",IF($H3165="",0,IFERROR(INDEX(설정_코스수당!$B$15:$F$64,MATCH($H3165,설정_코스수당!$A$15:$A$64,0),MATCH($E3165&amp;"수당",설정_코스수당!$B$14:$F$14,0)),0)),0)</f>
        <v>0</v>
      </c>
      <c r="M3165" s="33">
        <f>IF($O3165="방문완료",IFERROR(VLOOKUP($E3165,설정_코스수당!$A$6:$H$10,6,FALSE),0),0)</f>
        <v>0</v>
      </c>
      <c r="N3165" s="34">
        <f t="shared" si="91"/>
        <v>0</v>
      </c>
      <c r="O3165" s="29"/>
      <c r="P3165" s="29"/>
      <c r="Q3165" s="29"/>
      <c r="R3165" s="32"/>
      <c r="S3165" s="29"/>
    </row>
    <row r="3166" spans="1:19" ht="19.5" hidden="1" customHeight="1" outlineLevel="1">
      <c r="A3166" s="23">
        <v>63</v>
      </c>
      <c r="B3166" s="24" t="str">
        <f>IF(31&lt;=DAY(DATE(YEAR(설정_코스수당!$K$2),MONTH(설정_코스수당!$K$2)+1,0)),DATE(YEAR(설정_코스수당!$K$2),MONTH(설정_코스수당!$K$2),31),"")</f>
        <v/>
      </c>
      <c r="C3166" s="25"/>
      <c r="D3166" s="23"/>
      <c r="E3166" s="23"/>
      <c r="F3166" s="26"/>
      <c r="G3166" s="23"/>
      <c r="H3166" s="23"/>
      <c r="I3166" s="23"/>
      <c r="J3166" s="27">
        <f>IF($O3166="방문완료",MAX(0,IFERROR(VLOOKUP($E3166,설정_코스수당!$A$6:$H$10,4,FALSE),0)-IF(OR($P3166="",$P3166="없음"),0,100000)),0)</f>
        <v>0</v>
      </c>
      <c r="K3166" s="27">
        <f t="array" ref="K3166">IF($O3166="방문완료",IFERROR(INDEX(설정_코스수당!$B$15:$F$64,MATCH($G3166,설정_코스수당!$A$15:$A$64,0),MATCH($E3166&amp;"수당",설정_코스수당!$B$14:$F$14,0)),0),0)</f>
        <v>0</v>
      </c>
      <c r="L3166" s="27">
        <f t="array" ref="L3166">IF($O3166="방문완료",IF($H3166="",0,IFERROR(INDEX(설정_코스수당!$B$15:$F$64,MATCH($H3166,설정_코스수당!$A$15:$A$64,0),MATCH($E3166&amp;"수당",설정_코스수당!$B$14:$F$14,0)),0)),0)</f>
        <v>0</v>
      </c>
      <c r="M3166" s="27">
        <f>IF($O3166="방문완료",IFERROR(VLOOKUP($E3166,설정_코스수당!$A$6:$H$10,6,FALSE),0),0)</f>
        <v>0</v>
      </c>
      <c r="N3166" s="28">
        <f t="shared" si="91"/>
        <v>0</v>
      </c>
      <c r="O3166" s="23"/>
      <c r="P3166" s="23"/>
      <c r="Q3166" s="23"/>
      <c r="R3166" s="26"/>
      <c r="S3166" s="23"/>
    </row>
    <row r="3167" spans="1:19" ht="19.5" hidden="1" customHeight="1" outlineLevel="1">
      <c r="A3167" s="29">
        <v>64</v>
      </c>
      <c r="B3167" s="30" t="str">
        <f>IF(31&lt;=DAY(DATE(YEAR(설정_코스수당!$K$2),MONTH(설정_코스수당!$K$2)+1,0)),DATE(YEAR(설정_코스수당!$K$2),MONTH(설정_코스수당!$K$2),31),"")</f>
        <v/>
      </c>
      <c r="C3167" s="31"/>
      <c r="D3167" s="29"/>
      <c r="E3167" s="29"/>
      <c r="F3167" s="32"/>
      <c r="G3167" s="29"/>
      <c r="H3167" s="29"/>
      <c r="I3167" s="29"/>
      <c r="J3167" s="33">
        <f>IF($O3167="방문완료",MAX(0,IFERROR(VLOOKUP($E3167,설정_코스수당!$A$6:$H$10,4,FALSE),0)-IF(OR($P3167="",$P3167="없음"),0,100000)),0)</f>
        <v>0</v>
      </c>
      <c r="K3167" s="33">
        <f t="array" ref="K3167">IF($O3167="방문완료",IFERROR(INDEX(설정_코스수당!$B$15:$F$64,MATCH($G3167,설정_코스수당!$A$15:$A$64,0),MATCH($E3167&amp;"수당",설정_코스수당!$B$14:$F$14,0)),0),0)</f>
        <v>0</v>
      </c>
      <c r="L3167" s="33">
        <f t="array" ref="L3167">IF($O3167="방문완료",IF($H3167="",0,IFERROR(INDEX(설정_코스수당!$B$15:$F$64,MATCH($H3167,설정_코스수당!$A$15:$A$64,0),MATCH($E3167&amp;"수당",설정_코스수당!$B$14:$F$14,0)),0)),0)</f>
        <v>0</v>
      </c>
      <c r="M3167" s="33">
        <f>IF($O3167="방문완료",IFERROR(VLOOKUP($E3167,설정_코스수당!$A$6:$H$10,6,FALSE),0),0)</f>
        <v>0</v>
      </c>
      <c r="N3167" s="34">
        <f t="shared" si="91"/>
        <v>0</v>
      </c>
      <c r="O3167" s="29"/>
      <c r="P3167" s="29"/>
      <c r="Q3167" s="29"/>
      <c r="R3167" s="32"/>
      <c r="S3167" s="29"/>
    </row>
    <row r="3168" spans="1:19" ht="19.5" hidden="1" customHeight="1" outlineLevel="1">
      <c r="A3168" s="23">
        <v>65</v>
      </c>
      <c r="B3168" s="24" t="str">
        <f>IF(31&lt;=DAY(DATE(YEAR(설정_코스수당!$K$2),MONTH(설정_코스수당!$K$2)+1,0)),DATE(YEAR(설정_코스수당!$K$2),MONTH(설정_코스수당!$K$2),31),"")</f>
        <v/>
      </c>
      <c r="C3168" s="25"/>
      <c r="D3168" s="23"/>
      <c r="E3168" s="23"/>
      <c r="F3168" s="26"/>
      <c r="G3168" s="23"/>
      <c r="H3168" s="23"/>
      <c r="I3168" s="23"/>
      <c r="J3168" s="27">
        <f>IF($O3168="방문완료",MAX(0,IFERROR(VLOOKUP($E3168,설정_코스수당!$A$6:$H$10,4,FALSE),0)-IF(OR($P3168="",$P3168="없음"),0,100000)),0)</f>
        <v>0</v>
      </c>
      <c r="K3168" s="27">
        <f t="array" ref="K3168">IF($O3168="방문완료",IFERROR(INDEX(설정_코스수당!$B$15:$F$64,MATCH($G3168,설정_코스수당!$A$15:$A$64,0),MATCH($E3168&amp;"수당",설정_코스수당!$B$14:$F$14,0)),0),0)</f>
        <v>0</v>
      </c>
      <c r="L3168" s="27">
        <f t="array" ref="L3168">IF($O3168="방문완료",IF($H3168="",0,IFERROR(INDEX(설정_코스수당!$B$15:$F$64,MATCH($H3168,설정_코스수당!$A$15:$A$64,0),MATCH($E3168&amp;"수당",설정_코스수당!$B$14:$F$14,0)),0)),0)</f>
        <v>0</v>
      </c>
      <c r="M3168" s="27">
        <f>IF($O3168="방문완료",IFERROR(VLOOKUP($E3168,설정_코스수당!$A$6:$H$10,6,FALSE),0),0)</f>
        <v>0</v>
      </c>
      <c r="N3168" s="28">
        <f t="shared" ref="N3168:N3203" si="92">IF($O3168="방문완료",1,0)</f>
        <v>0</v>
      </c>
      <c r="O3168" s="23"/>
      <c r="P3168" s="23"/>
      <c r="Q3168" s="23"/>
      <c r="R3168" s="26"/>
      <c r="S3168" s="23"/>
    </row>
    <row r="3169" spans="1:19" ht="19.5" hidden="1" customHeight="1" outlineLevel="1">
      <c r="A3169" s="29">
        <v>66</v>
      </c>
      <c r="B3169" s="30" t="str">
        <f>IF(31&lt;=DAY(DATE(YEAR(설정_코스수당!$K$2),MONTH(설정_코스수당!$K$2)+1,0)),DATE(YEAR(설정_코스수당!$K$2),MONTH(설정_코스수당!$K$2),31),"")</f>
        <v/>
      </c>
      <c r="C3169" s="31"/>
      <c r="D3169" s="29"/>
      <c r="E3169" s="29"/>
      <c r="F3169" s="32"/>
      <c r="G3169" s="29"/>
      <c r="H3169" s="29"/>
      <c r="I3169" s="29"/>
      <c r="J3169" s="33">
        <f>IF($O3169="방문완료",MAX(0,IFERROR(VLOOKUP($E3169,설정_코스수당!$A$6:$H$10,4,FALSE),0)-IF(OR($P3169="",$P3169="없음"),0,100000)),0)</f>
        <v>0</v>
      </c>
      <c r="K3169" s="33">
        <f t="array" ref="K3169">IF($O3169="방문완료",IFERROR(INDEX(설정_코스수당!$B$15:$F$64,MATCH($G3169,설정_코스수당!$A$15:$A$64,0),MATCH($E3169&amp;"수당",설정_코스수당!$B$14:$F$14,0)),0),0)</f>
        <v>0</v>
      </c>
      <c r="L3169" s="33">
        <f t="array" ref="L3169">IF($O3169="방문완료",IF($H3169="",0,IFERROR(INDEX(설정_코스수당!$B$15:$F$64,MATCH($H3169,설정_코스수당!$A$15:$A$64,0),MATCH($E3169&amp;"수당",설정_코스수당!$B$14:$F$14,0)),0)),0)</f>
        <v>0</v>
      </c>
      <c r="M3169" s="33">
        <f>IF($O3169="방문완료",IFERROR(VLOOKUP($E3169,설정_코스수당!$A$6:$H$10,6,FALSE),0),0)</f>
        <v>0</v>
      </c>
      <c r="N3169" s="34">
        <f t="shared" si="92"/>
        <v>0</v>
      </c>
      <c r="O3169" s="29"/>
      <c r="P3169" s="29"/>
      <c r="Q3169" s="29"/>
      <c r="R3169" s="32"/>
      <c r="S3169" s="29"/>
    </row>
    <row r="3170" spans="1:19" ht="19.5" hidden="1" customHeight="1" outlineLevel="1">
      <c r="A3170" s="23">
        <v>67</v>
      </c>
      <c r="B3170" s="24" t="str">
        <f>IF(31&lt;=DAY(DATE(YEAR(설정_코스수당!$K$2),MONTH(설정_코스수당!$K$2)+1,0)),DATE(YEAR(설정_코스수당!$K$2),MONTH(설정_코스수당!$K$2),31),"")</f>
        <v/>
      </c>
      <c r="C3170" s="25"/>
      <c r="D3170" s="23"/>
      <c r="E3170" s="23"/>
      <c r="F3170" s="26"/>
      <c r="G3170" s="23"/>
      <c r="H3170" s="23"/>
      <c r="I3170" s="23"/>
      <c r="J3170" s="27">
        <f>IF($O3170="방문완료",MAX(0,IFERROR(VLOOKUP($E3170,설정_코스수당!$A$6:$H$10,4,FALSE),0)-IF(OR($P3170="",$P3170="없음"),0,100000)),0)</f>
        <v>0</v>
      </c>
      <c r="K3170" s="27">
        <f t="array" ref="K3170">IF($O3170="방문완료",IFERROR(INDEX(설정_코스수당!$B$15:$F$64,MATCH($G3170,설정_코스수당!$A$15:$A$64,0),MATCH($E3170&amp;"수당",설정_코스수당!$B$14:$F$14,0)),0),0)</f>
        <v>0</v>
      </c>
      <c r="L3170" s="27">
        <f t="array" ref="L3170">IF($O3170="방문완료",IF($H3170="",0,IFERROR(INDEX(설정_코스수당!$B$15:$F$64,MATCH($H3170,설정_코스수당!$A$15:$A$64,0),MATCH($E3170&amp;"수당",설정_코스수당!$B$14:$F$14,0)),0)),0)</f>
        <v>0</v>
      </c>
      <c r="M3170" s="27">
        <f>IF($O3170="방문완료",IFERROR(VLOOKUP($E3170,설정_코스수당!$A$6:$H$10,6,FALSE),0),0)</f>
        <v>0</v>
      </c>
      <c r="N3170" s="28">
        <f t="shared" si="92"/>
        <v>0</v>
      </c>
      <c r="O3170" s="23"/>
      <c r="P3170" s="23"/>
      <c r="Q3170" s="23"/>
      <c r="R3170" s="26"/>
      <c r="S3170" s="23"/>
    </row>
    <row r="3171" spans="1:19" ht="19.5" hidden="1" customHeight="1" outlineLevel="1">
      <c r="A3171" s="29">
        <v>68</v>
      </c>
      <c r="B3171" s="30" t="str">
        <f>IF(31&lt;=DAY(DATE(YEAR(설정_코스수당!$K$2),MONTH(설정_코스수당!$K$2)+1,0)),DATE(YEAR(설정_코스수당!$K$2),MONTH(설정_코스수당!$K$2),31),"")</f>
        <v/>
      </c>
      <c r="C3171" s="31"/>
      <c r="D3171" s="29"/>
      <c r="E3171" s="29"/>
      <c r="F3171" s="32"/>
      <c r="G3171" s="29"/>
      <c r="H3171" s="29"/>
      <c r="I3171" s="29"/>
      <c r="J3171" s="33">
        <f>IF($O3171="방문완료",MAX(0,IFERROR(VLOOKUP($E3171,설정_코스수당!$A$6:$H$10,4,FALSE),0)-IF(OR($P3171="",$P3171="없음"),0,100000)),0)</f>
        <v>0</v>
      </c>
      <c r="K3171" s="33">
        <f t="array" ref="K3171">IF($O3171="방문완료",IFERROR(INDEX(설정_코스수당!$B$15:$F$64,MATCH($G3171,설정_코스수당!$A$15:$A$64,0),MATCH($E3171&amp;"수당",설정_코스수당!$B$14:$F$14,0)),0),0)</f>
        <v>0</v>
      </c>
      <c r="L3171" s="33">
        <f t="array" ref="L3171">IF($O3171="방문완료",IF($H3171="",0,IFERROR(INDEX(설정_코스수당!$B$15:$F$64,MATCH($H3171,설정_코스수당!$A$15:$A$64,0),MATCH($E3171&amp;"수당",설정_코스수당!$B$14:$F$14,0)),0)),0)</f>
        <v>0</v>
      </c>
      <c r="M3171" s="33">
        <f>IF($O3171="방문완료",IFERROR(VLOOKUP($E3171,설정_코스수당!$A$6:$H$10,6,FALSE),0),0)</f>
        <v>0</v>
      </c>
      <c r="N3171" s="34">
        <f t="shared" si="92"/>
        <v>0</v>
      </c>
      <c r="O3171" s="29"/>
      <c r="P3171" s="29"/>
      <c r="Q3171" s="29"/>
      <c r="R3171" s="32"/>
      <c r="S3171" s="29"/>
    </row>
    <row r="3172" spans="1:19" ht="19.5" hidden="1" customHeight="1" outlineLevel="1">
      <c r="A3172" s="23">
        <v>69</v>
      </c>
      <c r="B3172" s="24" t="str">
        <f>IF(31&lt;=DAY(DATE(YEAR(설정_코스수당!$K$2),MONTH(설정_코스수당!$K$2)+1,0)),DATE(YEAR(설정_코스수당!$K$2),MONTH(설정_코스수당!$K$2),31),"")</f>
        <v/>
      </c>
      <c r="C3172" s="25"/>
      <c r="D3172" s="23"/>
      <c r="E3172" s="23"/>
      <c r="F3172" s="26"/>
      <c r="G3172" s="23"/>
      <c r="H3172" s="23"/>
      <c r="I3172" s="23"/>
      <c r="J3172" s="27">
        <f>IF($O3172="방문완료",MAX(0,IFERROR(VLOOKUP($E3172,설정_코스수당!$A$6:$H$10,4,FALSE),0)-IF(OR($P3172="",$P3172="없음"),0,100000)),0)</f>
        <v>0</v>
      </c>
      <c r="K3172" s="27">
        <f t="array" ref="K3172">IF($O3172="방문완료",IFERROR(INDEX(설정_코스수당!$B$15:$F$64,MATCH($G3172,설정_코스수당!$A$15:$A$64,0),MATCH($E3172&amp;"수당",설정_코스수당!$B$14:$F$14,0)),0),0)</f>
        <v>0</v>
      </c>
      <c r="L3172" s="27">
        <f t="array" ref="L3172">IF($O3172="방문완료",IF($H3172="",0,IFERROR(INDEX(설정_코스수당!$B$15:$F$64,MATCH($H3172,설정_코스수당!$A$15:$A$64,0),MATCH($E3172&amp;"수당",설정_코스수당!$B$14:$F$14,0)),0)),0)</f>
        <v>0</v>
      </c>
      <c r="M3172" s="27">
        <f>IF($O3172="방문완료",IFERROR(VLOOKUP($E3172,설정_코스수당!$A$6:$H$10,6,FALSE),0),0)</f>
        <v>0</v>
      </c>
      <c r="N3172" s="28">
        <f t="shared" si="92"/>
        <v>0</v>
      </c>
      <c r="O3172" s="23"/>
      <c r="P3172" s="23"/>
      <c r="Q3172" s="23"/>
      <c r="R3172" s="26"/>
      <c r="S3172" s="23"/>
    </row>
    <row r="3173" spans="1:19" ht="19.5" hidden="1" customHeight="1" outlineLevel="1">
      <c r="A3173" s="29">
        <v>70</v>
      </c>
      <c r="B3173" s="30" t="str">
        <f>IF(31&lt;=DAY(DATE(YEAR(설정_코스수당!$K$2),MONTH(설정_코스수당!$K$2)+1,0)),DATE(YEAR(설정_코스수당!$K$2),MONTH(설정_코스수당!$K$2),31),"")</f>
        <v/>
      </c>
      <c r="C3173" s="31"/>
      <c r="D3173" s="29"/>
      <c r="E3173" s="29"/>
      <c r="F3173" s="32"/>
      <c r="G3173" s="29"/>
      <c r="H3173" s="29"/>
      <c r="I3173" s="29"/>
      <c r="J3173" s="33">
        <f>IF($O3173="방문완료",MAX(0,IFERROR(VLOOKUP($E3173,설정_코스수당!$A$6:$H$10,4,FALSE),0)-IF(OR($P3173="",$P3173="없음"),0,100000)),0)</f>
        <v>0</v>
      </c>
      <c r="K3173" s="33">
        <f t="array" ref="K3173">IF($O3173="방문완료",IFERROR(INDEX(설정_코스수당!$B$15:$F$64,MATCH($G3173,설정_코스수당!$A$15:$A$64,0),MATCH($E3173&amp;"수당",설정_코스수당!$B$14:$F$14,0)),0),0)</f>
        <v>0</v>
      </c>
      <c r="L3173" s="33">
        <f t="array" ref="L3173">IF($O3173="방문완료",IF($H3173="",0,IFERROR(INDEX(설정_코스수당!$B$15:$F$64,MATCH($H3173,설정_코스수당!$A$15:$A$64,0),MATCH($E3173&amp;"수당",설정_코스수당!$B$14:$F$14,0)),0)),0)</f>
        <v>0</v>
      </c>
      <c r="M3173" s="33">
        <f>IF($O3173="방문완료",IFERROR(VLOOKUP($E3173,설정_코스수당!$A$6:$H$10,6,FALSE),0),0)</f>
        <v>0</v>
      </c>
      <c r="N3173" s="34">
        <f t="shared" si="92"/>
        <v>0</v>
      </c>
      <c r="O3173" s="29"/>
      <c r="P3173" s="29"/>
      <c r="Q3173" s="29"/>
      <c r="R3173" s="32"/>
      <c r="S3173" s="29"/>
    </row>
    <row r="3174" spans="1:19" ht="19.5" hidden="1" customHeight="1" outlineLevel="1">
      <c r="A3174" s="23">
        <v>71</v>
      </c>
      <c r="B3174" s="24" t="str">
        <f>IF(31&lt;=DAY(DATE(YEAR(설정_코스수당!$K$2),MONTH(설정_코스수당!$K$2)+1,0)),DATE(YEAR(설정_코스수당!$K$2),MONTH(설정_코스수당!$K$2),31),"")</f>
        <v/>
      </c>
      <c r="C3174" s="25"/>
      <c r="D3174" s="23"/>
      <c r="E3174" s="23"/>
      <c r="F3174" s="26"/>
      <c r="G3174" s="23"/>
      <c r="H3174" s="23"/>
      <c r="I3174" s="23"/>
      <c r="J3174" s="27">
        <f>IF($O3174="방문완료",MAX(0,IFERROR(VLOOKUP($E3174,설정_코스수당!$A$6:$H$10,4,FALSE),0)-IF(OR($P3174="",$P3174="없음"),0,100000)),0)</f>
        <v>0</v>
      </c>
      <c r="K3174" s="27">
        <f t="array" ref="K3174">IF($O3174="방문완료",IFERROR(INDEX(설정_코스수당!$B$15:$F$64,MATCH($G3174,설정_코스수당!$A$15:$A$64,0),MATCH($E3174&amp;"수당",설정_코스수당!$B$14:$F$14,0)),0),0)</f>
        <v>0</v>
      </c>
      <c r="L3174" s="27">
        <f t="array" ref="L3174">IF($O3174="방문완료",IF($H3174="",0,IFERROR(INDEX(설정_코스수당!$B$15:$F$64,MATCH($H3174,설정_코스수당!$A$15:$A$64,0),MATCH($E3174&amp;"수당",설정_코스수당!$B$14:$F$14,0)),0)),0)</f>
        <v>0</v>
      </c>
      <c r="M3174" s="27">
        <f>IF($O3174="방문완료",IFERROR(VLOOKUP($E3174,설정_코스수당!$A$6:$H$10,6,FALSE),0),0)</f>
        <v>0</v>
      </c>
      <c r="N3174" s="28">
        <f t="shared" si="92"/>
        <v>0</v>
      </c>
      <c r="O3174" s="23"/>
      <c r="P3174" s="23"/>
      <c r="Q3174" s="23"/>
      <c r="R3174" s="26"/>
      <c r="S3174" s="23"/>
    </row>
    <row r="3175" spans="1:19" ht="19.5" hidden="1" customHeight="1" outlineLevel="1">
      <c r="A3175" s="29">
        <v>72</v>
      </c>
      <c r="B3175" s="30" t="str">
        <f>IF(31&lt;=DAY(DATE(YEAR(설정_코스수당!$K$2),MONTH(설정_코스수당!$K$2)+1,0)),DATE(YEAR(설정_코스수당!$K$2),MONTH(설정_코스수당!$K$2),31),"")</f>
        <v/>
      </c>
      <c r="C3175" s="31"/>
      <c r="D3175" s="29"/>
      <c r="E3175" s="29"/>
      <c r="F3175" s="32"/>
      <c r="G3175" s="29"/>
      <c r="H3175" s="29"/>
      <c r="I3175" s="29"/>
      <c r="J3175" s="33">
        <f>IF($O3175="방문완료",MAX(0,IFERROR(VLOOKUP($E3175,설정_코스수당!$A$6:$H$10,4,FALSE),0)-IF(OR($P3175="",$P3175="없음"),0,100000)),0)</f>
        <v>0</v>
      </c>
      <c r="K3175" s="33">
        <f t="array" ref="K3175">IF($O3175="방문완료",IFERROR(INDEX(설정_코스수당!$B$15:$F$64,MATCH($G3175,설정_코스수당!$A$15:$A$64,0),MATCH($E3175&amp;"수당",설정_코스수당!$B$14:$F$14,0)),0),0)</f>
        <v>0</v>
      </c>
      <c r="L3175" s="33">
        <f t="array" ref="L3175">IF($O3175="방문완료",IF($H3175="",0,IFERROR(INDEX(설정_코스수당!$B$15:$F$64,MATCH($H3175,설정_코스수당!$A$15:$A$64,0),MATCH($E3175&amp;"수당",설정_코스수당!$B$14:$F$14,0)),0)),0)</f>
        <v>0</v>
      </c>
      <c r="M3175" s="33">
        <f>IF($O3175="방문완료",IFERROR(VLOOKUP($E3175,설정_코스수당!$A$6:$H$10,6,FALSE),0),0)</f>
        <v>0</v>
      </c>
      <c r="N3175" s="34">
        <f t="shared" si="92"/>
        <v>0</v>
      </c>
      <c r="O3175" s="29"/>
      <c r="P3175" s="29"/>
      <c r="Q3175" s="29"/>
      <c r="R3175" s="32"/>
      <c r="S3175" s="29"/>
    </row>
    <row r="3176" spans="1:19" ht="19.5" hidden="1" customHeight="1" outlineLevel="1">
      <c r="A3176" s="23">
        <v>73</v>
      </c>
      <c r="B3176" s="24" t="str">
        <f>IF(31&lt;=DAY(DATE(YEAR(설정_코스수당!$K$2),MONTH(설정_코스수당!$K$2)+1,0)),DATE(YEAR(설정_코스수당!$K$2),MONTH(설정_코스수당!$K$2),31),"")</f>
        <v/>
      </c>
      <c r="C3176" s="25"/>
      <c r="D3176" s="23"/>
      <c r="E3176" s="23"/>
      <c r="F3176" s="26"/>
      <c r="G3176" s="23"/>
      <c r="H3176" s="23"/>
      <c r="I3176" s="23"/>
      <c r="J3176" s="27">
        <f>IF($O3176="방문완료",MAX(0,IFERROR(VLOOKUP($E3176,설정_코스수당!$A$6:$H$10,4,FALSE),0)-IF(OR($P3176="",$P3176="없음"),0,100000)),0)</f>
        <v>0</v>
      </c>
      <c r="K3176" s="27">
        <f t="array" ref="K3176">IF($O3176="방문완료",IFERROR(INDEX(설정_코스수당!$B$15:$F$64,MATCH($G3176,설정_코스수당!$A$15:$A$64,0),MATCH($E3176&amp;"수당",설정_코스수당!$B$14:$F$14,0)),0),0)</f>
        <v>0</v>
      </c>
      <c r="L3176" s="27">
        <f t="array" ref="L3176">IF($O3176="방문완료",IF($H3176="",0,IFERROR(INDEX(설정_코스수당!$B$15:$F$64,MATCH($H3176,설정_코스수당!$A$15:$A$64,0),MATCH($E3176&amp;"수당",설정_코스수당!$B$14:$F$14,0)),0)),0)</f>
        <v>0</v>
      </c>
      <c r="M3176" s="27">
        <f>IF($O3176="방문완료",IFERROR(VLOOKUP($E3176,설정_코스수당!$A$6:$H$10,6,FALSE),0),0)</f>
        <v>0</v>
      </c>
      <c r="N3176" s="28">
        <f t="shared" si="92"/>
        <v>0</v>
      </c>
      <c r="O3176" s="23"/>
      <c r="P3176" s="23"/>
      <c r="Q3176" s="23"/>
      <c r="R3176" s="26"/>
      <c r="S3176" s="23"/>
    </row>
    <row r="3177" spans="1:19" ht="19.5" hidden="1" customHeight="1" outlineLevel="1">
      <c r="A3177" s="29">
        <v>74</v>
      </c>
      <c r="B3177" s="30" t="str">
        <f>IF(31&lt;=DAY(DATE(YEAR(설정_코스수당!$K$2),MONTH(설정_코스수당!$K$2)+1,0)),DATE(YEAR(설정_코스수당!$K$2),MONTH(설정_코스수당!$K$2),31),"")</f>
        <v/>
      </c>
      <c r="C3177" s="31"/>
      <c r="D3177" s="29"/>
      <c r="E3177" s="29"/>
      <c r="F3177" s="32"/>
      <c r="G3177" s="29"/>
      <c r="H3177" s="29"/>
      <c r="I3177" s="29"/>
      <c r="J3177" s="33">
        <f>IF($O3177="방문완료",MAX(0,IFERROR(VLOOKUP($E3177,설정_코스수당!$A$6:$H$10,4,FALSE),0)-IF(OR($P3177="",$P3177="없음"),0,100000)),0)</f>
        <v>0</v>
      </c>
      <c r="K3177" s="33">
        <f t="array" ref="K3177">IF($O3177="방문완료",IFERROR(INDEX(설정_코스수당!$B$15:$F$64,MATCH($G3177,설정_코스수당!$A$15:$A$64,0),MATCH($E3177&amp;"수당",설정_코스수당!$B$14:$F$14,0)),0),0)</f>
        <v>0</v>
      </c>
      <c r="L3177" s="33">
        <f t="array" ref="L3177">IF($O3177="방문완료",IF($H3177="",0,IFERROR(INDEX(설정_코스수당!$B$15:$F$64,MATCH($H3177,설정_코스수당!$A$15:$A$64,0),MATCH($E3177&amp;"수당",설정_코스수당!$B$14:$F$14,0)),0)),0)</f>
        <v>0</v>
      </c>
      <c r="M3177" s="33">
        <f>IF($O3177="방문완료",IFERROR(VLOOKUP($E3177,설정_코스수당!$A$6:$H$10,6,FALSE),0),0)</f>
        <v>0</v>
      </c>
      <c r="N3177" s="34">
        <f t="shared" si="92"/>
        <v>0</v>
      </c>
      <c r="O3177" s="29"/>
      <c r="P3177" s="29"/>
      <c r="Q3177" s="29"/>
      <c r="R3177" s="32"/>
      <c r="S3177" s="29"/>
    </row>
    <row r="3178" spans="1:19" ht="19.5" hidden="1" customHeight="1" outlineLevel="1">
      <c r="A3178" s="23">
        <v>75</v>
      </c>
      <c r="B3178" s="24" t="str">
        <f>IF(31&lt;=DAY(DATE(YEAR(설정_코스수당!$K$2),MONTH(설정_코스수당!$K$2)+1,0)),DATE(YEAR(설정_코스수당!$K$2),MONTH(설정_코스수당!$K$2),31),"")</f>
        <v/>
      </c>
      <c r="C3178" s="25"/>
      <c r="D3178" s="23"/>
      <c r="E3178" s="23"/>
      <c r="F3178" s="26"/>
      <c r="G3178" s="23"/>
      <c r="H3178" s="23"/>
      <c r="I3178" s="23"/>
      <c r="J3178" s="27">
        <f>IF($O3178="방문완료",MAX(0,IFERROR(VLOOKUP($E3178,설정_코스수당!$A$6:$H$10,4,FALSE),0)-IF(OR($P3178="",$P3178="없음"),0,100000)),0)</f>
        <v>0</v>
      </c>
      <c r="K3178" s="27">
        <f t="array" ref="K3178">IF($O3178="방문완료",IFERROR(INDEX(설정_코스수당!$B$15:$F$64,MATCH($G3178,설정_코스수당!$A$15:$A$64,0),MATCH($E3178&amp;"수당",설정_코스수당!$B$14:$F$14,0)),0),0)</f>
        <v>0</v>
      </c>
      <c r="L3178" s="27">
        <f t="array" ref="L3178">IF($O3178="방문완료",IF($H3178="",0,IFERROR(INDEX(설정_코스수당!$B$15:$F$64,MATCH($H3178,설정_코스수당!$A$15:$A$64,0),MATCH($E3178&amp;"수당",설정_코스수당!$B$14:$F$14,0)),0)),0)</f>
        <v>0</v>
      </c>
      <c r="M3178" s="27">
        <f>IF($O3178="방문완료",IFERROR(VLOOKUP($E3178,설정_코스수당!$A$6:$H$10,6,FALSE),0),0)</f>
        <v>0</v>
      </c>
      <c r="N3178" s="28">
        <f t="shared" si="92"/>
        <v>0</v>
      </c>
      <c r="O3178" s="23"/>
      <c r="P3178" s="23"/>
      <c r="Q3178" s="23"/>
      <c r="R3178" s="26"/>
      <c r="S3178" s="23"/>
    </row>
    <row r="3179" spans="1:19" ht="19.5" hidden="1" customHeight="1" outlineLevel="1">
      <c r="A3179" s="29">
        <v>76</v>
      </c>
      <c r="B3179" s="30" t="str">
        <f>IF(31&lt;=DAY(DATE(YEAR(설정_코스수당!$K$2),MONTH(설정_코스수당!$K$2)+1,0)),DATE(YEAR(설정_코스수당!$K$2),MONTH(설정_코스수당!$K$2),31),"")</f>
        <v/>
      </c>
      <c r="C3179" s="31"/>
      <c r="D3179" s="29"/>
      <c r="E3179" s="29"/>
      <c r="F3179" s="32"/>
      <c r="G3179" s="29"/>
      <c r="H3179" s="29"/>
      <c r="I3179" s="29"/>
      <c r="J3179" s="33">
        <f>IF($O3179="방문완료",MAX(0,IFERROR(VLOOKUP($E3179,설정_코스수당!$A$6:$H$10,4,FALSE),0)-IF(OR($P3179="",$P3179="없음"),0,100000)),0)</f>
        <v>0</v>
      </c>
      <c r="K3179" s="33">
        <f t="array" ref="K3179">IF($O3179="방문완료",IFERROR(INDEX(설정_코스수당!$B$15:$F$64,MATCH($G3179,설정_코스수당!$A$15:$A$64,0),MATCH($E3179&amp;"수당",설정_코스수당!$B$14:$F$14,0)),0),0)</f>
        <v>0</v>
      </c>
      <c r="L3179" s="33">
        <f t="array" ref="L3179">IF($O3179="방문완료",IF($H3179="",0,IFERROR(INDEX(설정_코스수당!$B$15:$F$64,MATCH($H3179,설정_코스수당!$A$15:$A$64,0),MATCH($E3179&amp;"수당",설정_코스수당!$B$14:$F$14,0)),0)),0)</f>
        <v>0</v>
      </c>
      <c r="M3179" s="33">
        <f>IF($O3179="방문완료",IFERROR(VLOOKUP($E3179,설정_코스수당!$A$6:$H$10,6,FALSE),0),0)</f>
        <v>0</v>
      </c>
      <c r="N3179" s="34">
        <f t="shared" si="92"/>
        <v>0</v>
      </c>
      <c r="O3179" s="29"/>
      <c r="P3179" s="29"/>
      <c r="Q3179" s="29"/>
      <c r="R3179" s="32"/>
      <c r="S3179" s="29"/>
    </row>
    <row r="3180" spans="1:19" ht="19.5" hidden="1" customHeight="1" outlineLevel="1">
      <c r="A3180" s="23">
        <v>77</v>
      </c>
      <c r="B3180" s="24" t="str">
        <f>IF(31&lt;=DAY(DATE(YEAR(설정_코스수당!$K$2),MONTH(설정_코스수당!$K$2)+1,0)),DATE(YEAR(설정_코스수당!$K$2),MONTH(설정_코스수당!$K$2),31),"")</f>
        <v/>
      </c>
      <c r="C3180" s="25"/>
      <c r="D3180" s="23"/>
      <c r="E3180" s="23"/>
      <c r="F3180" s="26"/>
      <c r="G3180" s="23"/>
      <c r="H3180" s="23"/>
      <c r="I3180" s="23"/>
      <c r="J3180" s="27">
        <f>IF($O3180="방문완료",MAX(0,IFERROR(VLOOKUP($E3180,설정_코스수당!$A$6:$H$10,4,FALSE),0)-IF(OR($P3180="",$P3180="없음"),0,100000)),0)</f>
        <v>0</v>
      </c>
      <c r="K3180" s="27">
        <f t="array" ref="K3180">IF($O3180="방문완료",IFERROR(INDEX(설정_코스수당!$B$15:$F$64,MATCH($G3180,설정_코스수당!$A$15:$A$64,0),MATCH($E3180&amp;"수당",설정_코스수당!$B$14:$F$14,0)),0),0)</f>
        <v>0</v>
      </c>
      <c r="L3180" s="27">
        <f t="array" ref="L3180">IF($O3180="방문완료",IF($H3180="",0,IFERROR(INDEX(설정_코스수당!$B$15:$F$64,MATCH($H3180,설정_코스수당!$A$15:$A$64,0),MATCH($E3180&amp;"수당",설정_코스수당!$B$14:$F$14,0)),0)),0)</f>
        <v>0</v>
      </c>
      <c r="M3180" s="27">
        <f>IF($O3180="방문완료",IFERROR(VLOOKUP($E3180,설정_코스수당!$A$6:$H$10,6,FALSE),0),0)</f>
        <v>0</v>
      </c>
      <c r="N3180" s="28">
        <f t="shared" si="92"/>
        <v>0</v>
      </c>
      <c r="O3180" s="23"/>
      <c r="P3180" s="23"/>
      <c r="Q3180" s="23"/>
      <c r="R3180" s="26"/>
      <c r="S3180" s="23"/>
    </row>
    <row r="3181" spans="1:19" ht="19.5" hidden="1" customHeight="1" outlineLevel="1">
      <c r="A3181" s="29">
        <v>78</v>
      </c>
      <c r="B3181" s="30" t="str">
        <f>IF(31&lt;=DAY(DATE(YEAR(설정_코스수당!$K$2),MONTH(설정_코스수당!$K$2)+1,0)),DATE(YEAR(설정_코스수당!$K$2),MONTH(설정_코스수당!$K$2),31),"")</f>
        <v/>
      </c>
      <c r="C3181" s="31"/>
      <c r="D3181" s="29"/>
      <c r="E3181" s="29"/>
      <c r="F3181" s="32"/>
      <c r="G3181" s="29"/>
      <c r="H3181" s="29"/>
      <c r="I3181" s="29"/>
      <c r="J3181" s="33">
        <f>IF($O3181="방문완료",MAX(0,IFERROR(VLOOKUP($E3181,설정_코스수당!$A$6:$H$10,4,FALSE),0)-IF(OR($P3181="",$P3181="없음"),0,100000)),0)</f>
        <v>0</v>
      </c>
      <c r="K3181" s="33">
        <f t="array" ref="K3181">IF($O3181="방문완료",IFERROR(INDEX(설정_코스수당!$B$15:$F$64,MATCH($G3181,설정_코스수당!$A$15:$A$64,0),MATCH($E3181&amp;"수당",설정_코스수당!$B$14:$F$14,0)),0),0)</f>
        <v>0</v>
      </c>
      <c r="L3181" s="33">
        <f t="array" ref="L3181">IF($O3181="방문완료",IF($H3181="",0,IFERROR(INDEX(설정_코스수당!$B$15:$F$64,MATCH($H3181,설정_코스수당!$A$15:$A$64,0),MATCH($E3181&amp;"수당",설정_코스수당!$B$14:$F$14,0)),0)),0)</f>
        <v>0</v>
      </c>
      <c r="M3181" s="33">
        <f>IF($O3181="방문완료",IFERROR(VLOOKUP($E3181,설정_코스수당!$A$6:$H$10,6,FALSE),0),0)</f>
        <v>0</v>
      </c>
      <c r="N3181" s="34">
        <f t="shared" si="92"/>
        <v>0</v>
      </c>
      <c r="O3181" s="29"/>
      <c r="P3181" s="29"/>
      <c r="Q3181" s="29"/>
      <c r="R3181" s="32"/>
      <c r="S3181" s="29"/>
    </row>
    <row r="3182" spans="1:19" ht="19.5" hidden="1" customHeight="1" outlineLevel="1">
      <c r="A3182" s="23">
        <v>79</v>
      </c>
      <c r="B3182" s="24" t="str">
        <f>IF(31&lt;=DAY(DATE(YEAR(설정_코스수당!$K$2),MONTH(설정_코스수당!$K$2)+1,0)),DATE(YEAR(설정_코스수당!$K$2),MONTH(설정_코스수당!$K$2),31),"")</f>
        <v/>
      </c>
      <c r="C3182" s="25"/>
      <c r="D3182" s="23"/>
      <c r="E3182" s="23"/>
      <c r="F3182" s="26"/>
      <c r="G3182" s="23"/>
      <c r="H3182" s="23"/>
      <c r="I3182" s="23"/>
      <c r="J3182" s="27">
        <f>IF($O3182="방문완료",MAX(0,IFERROR(VLOOKUP($E3182,설정_코스수당!$A$6:$H$10,4,FALSE),0)-IF(OR($P3182="",$P3182="없음"),0,100000)),0)</f>
        <v>0</v>
      </c>
      <c r="K3182" s="27">
        <f t="array" ref="K3182">IF($O3182="방문완료",IFERROR(INDEX(설정_코스수당!$B$15:$F$64,MATCH($G3182,설정_코스수당!$A$15:$A$64,0),MATCH($E3182&amp;"수당",설정_코스수당!$B$14:$F$14,0)),0),0)</f>
        <v>0</v>
      </c>
      <c r="L3182" s="27">
        <f t="array" ref="L3182">IF($O3182="방문완료",IF($H3182="",0,IFERROR(INDEX(설정_코스수당!$B$15:$F$64,MATCH($H3182,설정_코스수당!$A$15:$A$64,0),MATCH($E3182&amp;"수당",설정_코스수당!$B$14:$F$14,0)),0)),0)</f>
        <v>0</v>
      </c>
      <c r="M3182" s="27">
        <f>IF($O3182="방문완료",IFERROR(VLOOKUP($E3182,설정_코스수당!$A$6:$H$10,6,FALSE),0),0)</f>
        <v>0</v>
      </c>
      <c r="N3182" s="28">
        <f t="shared" si="92"/>
        <v>0</v>
      </c>
      <c r="O3182" s="23"/>
      <c r="P3182" s="23"/>
      <c r="Q3182" s="23"/>
      <c r="R3182" s="26"/>
      <c r="S3182" s="23"/>
    </row>
    <row r="3183" spans="1:19" ht="19.5" hidden="1" customHeight="1" outlineLevel="1">
      <c r="A3183" s="29">
        <v>80</v>
      </c>
      <c r="B3183" s="30" t="str">
        <f>IF(31&lt;=DAY(DATE(YEAR(설정_코스수당!$K$2),MONTH(설정_코스수당!$K$2)+1,0)),DATE(YEAR(설정_코스수당!$K$2),MONTH(설정_코스수당!$K$2),31),"")</f>
        <v/>
      </c>
      <c r="C3183" s="31"/>
      <c r="D3183" s="29"/>
      <c r="E3183" s="29"/>
      <c r="F3183" s="32"/>
      <c r="G3183" s="29"/>
      <c r="H3183" s="29"/>
      <c r="I3183" s="29"/>
      <c r="J3183" s="33">
        <f>IF($O3183="방문완료",MAX(0,IFERROR(VLOOKUP($E3183,설정_코스수당!$A$6:$H$10,4,FALSE),0)-IF(OR($P3183="",$P3183="없음"),0,100000)),0)</f>
        <v>0</v>
      </c>
      <c r="K3183" s="33">
        <f t="array" ref="K3183">IF($O3183="방문완료",IFERROR(INDEX(설정_코스수당!$B$15:$F$64,MATCH($G3183,설정_코스수당!$A$15:$A$64,0),MATCH($E3183&amp;"수당",설정_코스수당!$B$14:$F$14,0)),0),0)</f>
        <v>0</v>
      </c>
      <c r="L3183" s="33">
        <f t="array" ref="L3183">IF($O3183="방문완료",IF($H3183="",0,IFERROR(INDEX(설정_코스수당!$B$15:$F$64,MATCH($H3183,설정_코스수당!$A$15:$A$64,0),MATCH($E3183&amp;"수당",설정_코스수당!$B$14:$F$14,0)),0)),0)</f>
        <v>0</v>
      </c>
      <c r="M3183" s="33">
        <f>IF($O3183="방문완료",IFERROR(VLOOKUP($E3183,설정_코스수당!$A$6:$H$10,6,FALSE),0),0)</f>
        <v>0</v>
      </c>
      <c r="N3183" s="34">
        <f t="shared" si="92"/>
        <v>0</v>
      </c>
      <c r="O3183" s="29"/>
      <c r="P3183" s="29"/>
      <c r="Q3183" s="29"/>
      <c r="R3183" s="32"/>
      <c r="S3183" s="29"/>
    </row>
    <row r="3184" spans="1:19" ht="19.5" hidden="1" customHeight="1" outlineLevel="1">
      <c r="A3184" s="23">
        <v>81</v>
      </c>
      <c r="B3184" s="24" t="str">
        <f>IF(31&lt;=DAY(DATE(YEAR(설정_코스수당!$K$2),MONTH(설정_코스수당!$K$2)+1,0)),DATE(YEAR(설정_코스수당!$K$2),MONTH(설정_코스수당!$K$2),31),"")</f>
        <v/>
      </c>
      <c r="C3184" s="25"/>
      <c r="D3184" s="23"/>
      <c r="E3184" s="23"/>
      <c r="F3184" s="26"/>
      <c r="G3184" s="23"/>
      <c r="H3184" s="23"/>
      <c r="I3184" s="23"/>
      <c r="J3184" s="27">
        <f>IF($O3184="방문완료",MAX(0,IFERROR(VLOOKUP($E3184,설정_코스수당!$A$6:$H$10,4,FALSE),0)-IF(OR($P3184="",$P3184="없음"),0,100000)),0)</f>
        <v>0</v>
      </c>
      <c r="K3184" s="27">
        <f t="array" ref="K3184">IF($O3184="방문완료",IFERROR(INDEX(설정_코스수당!$B$15:$F$64,MATCH($G3184,설정_코스수당!$A$15:$A$64,0),MATCH($E3184&amp;"수당",설정_코스수당!$B$14:$F$14,0)),0),0)</f>
        <v>0</v>
      </c>
      <c r="L3184" s="27">
        <f t="array" ref="L3184">IF($O3184="방문완료",IF($H3184="",0,IFERROR(INDEX(설정_코스수당!$B$15:$F$64,MATCH($H3184,설정_코스수당!$A$15:$A$64,0),MATCH($E3184&amp;"수당",설정_코스수당!$B$14:$F$14,0)),0)),0)</f>
        <v>0</v>
      </c>
      <c r="M3184" s="27">
        <f>IF($O3184="방문완료",IFERROR(VLOOKUP($E3184,설정_코스수당!$A$6:$H$10,6,FALSE),0),0)</f>
        <v>0</v>
      </c>
      <c r="N3184" s="28">
        <f t="shared" si="92"/>
        <v>0</v>
      </c>
      <c r="O3184" s="23"/>
      <c r="P3184" s="23"/>
      <c r="Q3184" s="23"/>
      <c r="R3184" s="26"/>
      <c r="S3184" s="23"/>
    </row>
    <row r="3185" spans="1:19" ht="19.5" hidden="1" customHeight="1" outlineLevel="1">
      <c r="A3185" s="29">
        <v>82</v>
      </c>
      <c r="B3185" s="30" t="str">
        <f>IF(31&lt;=DAY(DATE(YEAR(설정_코스수당!$K$2),MONTH(설정_코스수당!$K$2)+1,0)),DATE(YEAR(설정_코스수당!$K$2),MONTH(설정_코스수당!$K$2),31),"")</f>
        <v/>
      </c>
      <c r="C3185" s="31"/>
      <c r="D3185" s="29"/>
      <c r="E3185" s="29"/>
      <c r="F3185" s="32"/>
      <c r="G3185" s="29"/>
      <c r="H3185" s="29"/>
      <c r="I3185" s="29"/>
      <c r="J3185" s="33">
        <f>IF($O3185="방문완료",MAX(0,IFERROR(VLOOKUP($E3185,설정_코스수당!$A$6:$H$10,4,FALSE),0)-IF(OR($P3185="",$P3185="없음"),0,100000)),0)</f>
        <v>0</v>
      </c>
      <c r="K3185" s="33">
        <f t="array" ref="K3185">IF($O3185="방문완료",IFERROR(INDEX(설정_코스수당!$B$15:$F$64,MATCH($G3185,설정_코스수당!$A$15:$A$64,0),MATCH($E3185&amp;"수당",설정_코스수당!$B$14:$F$14,0)),0),0)</f>
        <v>0</v>
      </c>
      <c r="L3185" s="33">
        <f t="array" ref="L3185">IF($O3185="방문완료",IF($H3185="",0,IFERROR(INDEX(설정_코스수당!$B$15:$F$64,MATCH($H3185,설정_코스수당!$A$15:$A$64,0),MATCH($E3185&amp;"수당",설정_코스수당!$B$14:$F$14,0)),0)),0)</f>
        <v>0</v>
      </c>
      <c r="M3185" s="33">
        <f>IF($O3185="방문완료",IFERROR(VLOOKUP($E3185,설정_코스수당!$A$6:$H$10,6,FALSE),0),0)</f>
        <v>0</v>
      </c>
      <c r="N3185" s="34">
        <f t="shared" si="92"/>
        <v>0</v>
      </c>
      <c r="O3185" s="29"/>
      <c r="P3185" s="29"/>
      <c r="Q3185" s="29"/>
      <c r="R3185" s="32"/>
      <c r="S3185" s="29"/>
    </row>
    <row r="3186" spans="1:19" ht="19.5" hidden="1" customHeight="1" outlineLevel="1">
      <c r="A3186" s="23">
        <v>83</v>
      </c>
      <c r="B3186" s="24" t="str">
        <f>IF(31&lt;=DAY(DATE(YEAR(설정_코스수당!$K$2),MONTH(설정_코스수당!$K$2)+1,0)),DATE(YEAR(설정_코스수당!$K$2),MONTH(설정_코스수당!$K$2),31),"")</f>
        <v/>
      </c>
      <c r="C3186" s="25"/>
      <c r="D3186" s="23"/>
      <c r="E3186" s="23"/>
      <c r="F3186" s="26"/>
      <c r="G3186" s="23"/>
      <c r="H3186" s="23"/>
      <c r="I3186" s="23"/>
      <c r="J3186" s="27">
        <f>IF($O3186="방문완료",MAX(0,IFERROR(VLOOKUP($E3186,설정_코스수당!$A$6:$H$10,4,FALSE),0)-IF(OR($P3186="",$P3186="없음"),0,100000)),0)</f>
        <v>0</v>
      </c>
      <c r="K3186" s="27">
        <f t="array" ref="K3186">IF($O3186="방문완료",IFERROR(INDEX(설정_코스수당!$B$15:$F$64,MATCH($G3186,설정_코스수당!$A$15:$A$64,0),MATCH($E3186&amp;"수당",설정_코스수당!$B$14:$F$14,0)),0),0)</f>
        <v>0</v>
      </c>
      <c r="L3186" s="27">
        <f t="array" ref="L3186">IF($O3186="방문완료",IF($H3186="",0,IFERROR(INDEX(설정_코스수당!$B$15:$F$64,MATCH($H3186,설정_코스수당!$A$15:$A$64,0),MATCH($E3186&amp;"수당",설정_코스수당!$B$14:$F$14,0)),0)),0)</f>
        <v>0</v>
      </c>
      <c r="M3186" s="27">
        <f>IF($O3186="방문완료",IFERROR(VLOOKUP($E3186,설정_코스수당!$A$6:$H$10,6,FALSE),0),0)</f>
        <v>0</v>
      </c>
      <c r="N3186" s="28">
        <f t="shared" si="92"/>
        <v>0</v>
      </c>
      <c r="O3186" s="23"/>
      <c r="P3186" s="23"/>
      <c r="Q3186" s="23"/>
      <c r="R3186" s="26"/>
      <c r="S3186" s="23"/>
    </row>
    <row r="3187" spans="1:19" ht="19.5" hidden="1" customHeight="1" outlineLevel="1">
      <c r="A3187" s="29">
        <v>84</v>
      </c>
      <c r="B3187" s="30" t="str">
        <f>IF(31&lt;=DAY(DATE(YEAR(설정_코스수당!$K$2),MONTH(설정_코스수당!$K$2)+1,0)),DATE(YEAR(설정_코스수당!$K$2),MONTH(설정_코스수당!$K$2),31),"")</f>
        <v/>
      </c>
      <c r="C3187" s="31"/>
      <c r="D3187" s="29"/>
      <c r="E3187" s="29"/>
      <c r="F3187" s="32"/>
      <c r="G3187" s="29"/>
      <c r="H3187" s="29"/>
      <c r="I3187" s="29"/>
      <c r="J3187" s="33">
        <f>IF($O3187="방문완료",MAX(0,IFERROR(VLOOKUP($E3187,설정_코스수당!$A$6:$H$10,4,FALSE),0)-IF(OR($P3187="",$P3187="없음"),0,100000)),0)</f>
        <v>0</v>
      </c>
      <c r="K3187" s="33">
        <f t="array" ref="K3187">IF($O3187="방문완료",IFERROR(INDEX(설정_코스수당!$B$15:$F$64,MATCH($G3187,설정_코스수당!$A$15:$A$64,0),MATCH($E3187&amp;"수당",설정_코스수당!$B$14:$F$14,0)),0),0)</f>
        <v>0</v>
      </c>
      <c r="L3187" s="33">
        <f t="array" ref="L3187">IF($O3187="방문완료",IF($H3187="",0,IFERROR(INDEX(설정_코스수당!$B$15:$F$64,MATCH($H3187,설정_코스수당!$A$15:$A$64,0),MATCH($E3187&amp;"수당",설정_코스수당!$B$14:$F$14,0)),0)),0)</f>
        <v>0</v>
      </c>
      <c r="M3187" s="33">
        <f>IF($O3187="방문완료",IFERROR(VLOOKUP($E3187,설정_코스수당!$A$6:$H$10,6,FALSE),0),0)</f>
        <v>0</v>
      </c>
      <c r="N3187" s="34">
        <f t="shared" si="92"/>
        <v>0</v>
      </c>
      <c r="O3187" s="29"/>
      <c r="P3187" s="29"/>
      <c r="Q3187" s="29"/>
      <c r="R3187" s="32"/>
      <c r="S3187" s="29"/>
    </row>
    <row r="3188" spans="1:19" ht="19.5" hidden="1" customHeight="1" outlineLevel="1">
      <c r="A3188" s="23">
        <v>85</v>
      </c>
      <c r="B3188" s="24" t="str">
        <f>IF(31&lt;=DAY(DATE(YEAR(설정_코스수당!$K$2),MONTH(설정_코스수당!$K$2)+1,0)),DATE(YEAR(설정_코스수당!$K$2),MONTH(설정_코스수당!$K$2),31),"")</f>
        <v/>
      </c>
      <c r="C3188" s="25"/>
      <c r="D3188" s="23"/>
      <c r="E3188" s="23"/>
      <c r="F3188" s="26"/>
      <c r="G3188" s="23"/>
      <c r="H3188" s="23"/>
      <c r="I3188" s="23"/>
      <c r="J3188" s="27">
        <f>IF($O3188="방문완료",MAX(0,IFERROR(VLOOKUP($E3188,설정_코스수당!$A$6:$H$10,4,FALSE),0)-IF(OR($P3188="",$P3188="없음"),0,100000)),0)</f>
        <v>0</v>
      </c>
      <c r="K3188" s="27">
        <f t="array" ref="K3188">IF($O3188="방문완료",IFERROR(INDEX(설정_코스수당!$B$15:$F$64,MATCH($G3188,설정_코스수당!$A$15:$A$64,0),MATCH($E3188&amp;"수당",설정_코스수당!$B$14:$F$14,0)),0),0)</f>
        <v>0</v>
      </c>
      <c r="L3188" s="27">
        <f t="array" ref="L3188">IF($O3188="방문완료",IF($H3188="",0,IFERROR(INDEX(설정_코스수당!$B$15:$F$64,MATCH($H3188,설정_코스수당!$A$15:$A$64,0),MATCH($E3188&amp;"수당",설정_코스수당!$B$14:$F$14,0)),0)),0)</f>
        <v>0</v>
      </c>
      <c r="M3188" s="27">
        <f>IF($O3188="방문완료",IFERROR(VLOOKUP($E3188,설정_코스수당!$A$6:$H$10,6,FALSE),0),0)</f>
        <v>0</v>
      </c>
      <c r="N3188" s="28">
        <f t="shared" si="92"/>
        <v>0</v>
      </c>
      <c r="O3188" s="23"/>
      <c r="P3188" s="23"/>
      <c r="Q3188" s="23"/>
      <c r="R3188" s="26"/>
      <c r="S3188" s="23"/>
    </row>
    <row r="3189" spans="1:19" ht="19.5" hidden="1" customHeight="1" outlineLevel="1">
      <c r="A3189" s="29">
        <v>86</v>
      </c>
      <c r="B3189" s="30" t="str">
        <f>IF(31&lt;=DAY(DATE(YEAR(설정_코스수당!$K$2),MONTH(설정_코스수당!$K$2)+1,0)),DATE(YEAR(설정_코스수당!$K$2),MONTH(설정_코스수당!$K$2),31),"")</f>
        <v/>
      </c>
      <c r="C3189" s="31"/>
      <c r="D3189" s="29"/>
      <c r="E3189" s="29"/>
      <c r="F3189" s="32"/>
      <c r="G3189" s="29"/>
      <c r="H3189" s="29"/>
      <c r="I3189" s="29"/>
      <c r="J3189" s="33">
        <f>IF($O3189="방문완료",MAX(0,IFERROR(VLOOKUP($E3189,설정_코스수당!$A$6:$H$10,4,FALSE),0)-IF(OR($P3189="",$P3189="없음"),0,100000)),0)</f>
        <v>0</v>
      </c>
      <c r="K3189" s="33">
        <f t="array" ref="K3189">IF($O3189="방문완료",IFERROR(INDEX(설정_코스수당!$B$15:$F$64,MATCH($G3189,설정_코스수당!$A$15:$A$64,0),MATCH($E3189&amp;"수당",설정_코스수당!$B$14:$F$14,0)),0),0)</f>
        <v>0</v>
      </c>
      <c r="L3189" s="33">
        <f t="array" ref="L3189">IF($O3189="방문완료",IF($H3189="",0,IFERROR(INDEX(설정_코스수당!$B$15:$F$64,MATCH($H3189,설정_코스수당!$A$15:$A$64,0),MATCH($E3189&amp;"수당",설정_코스수당!$B$14:$F$14,0)),0)),0)</f>
        <v>0</v>
      </c>
      <c r="M3189" s="33">
        <f>IF($O3189="방문완료",IFERROR(VLOOKUP($E3189,설정_코스수당!$A$6:$H$10,6,FALSE),0),0)</f>
        <v>0</v>
      </c>
      <c r="N3189" s="34">
        <f t="shared" si="92"/>
        <v>0</v>
      </c>
      <c r="O3189" s="29"/>
      <c r="P3189" s="29"/>
      <c r="Q3189" s="29"/>
      <c r="R3189" s="32"/>
      <c r="S3189" s="29"/>
    </row>
    <row r="3190" spans="1:19" ht="19.5" hidden="1" customHeight="1" outlineLevel="1">
      <c r="A3190" s="23">
        <v>87</v>
      </c>
      <c r="B3190" s="24" t="str">
        <f>IF(31&lt;=DAY(DATE(YEAR(설정_코스수당!$K$2),MONTH(설정_코스수당!$K$2)+1,0)),DATE(YEAR(설정_코스수당!$K$2),MONTH(설정_코스수당!$K$2),31),"")</f>
        <v/>
      </c>
      <c r="C3190" s="25"/>
      <c r="D3190" s="23"/>
      <c r="E3190" s="23"/>
      <c r="F3190" s="26"/>
      <c r="G3190" s="23"/>
      <c r="H3190" s="23"/>
      <c r="I3190" s="23"/>
      <c r="J3190" s="27">
        <f>IF($O3190="방문완료",MAX(0,IFERROR(VLOOKUP($E3190,설정_코스수당!$A$6:$H$10,4,FALSE),0)-IF(OR($P3190="",$P3190="없음"),0,100000)),0)</f>
        <v>0</v>
      </c>
      <c r="K3190" s="27">
        <f t="array" ref="K3190">IF($O3190="방문완료",IFERROR(INDEX(설정_코스수당!$B$15:$F$64,MATCH($G3190,설정_코스수당!$A$15:$A$64,0),MATCH($E3190&amp;"수당",설정_코스수당!$B$14:$F$14,0)),0),0)</f>
        <v>0</v>
      </c>
      <c r="L3190" s="27">
        <f t="array" ref="L3190">IF($O3190="방문완료",IF($H3190="",0,IFERROR(INDEX(설정_코스수당!$B$15:$F$64,MATCH($H3190,설정_코스수당!$A$15:$A$64,0),MATCH($E3190&amp;"수당",설정_코스수당!$B$14:$F$14,0)),0)),0)</f>
        <v>0</v>
      </c>
      <c r="M3190" s="27">
        <f>IF($O3190="방문완료",IFERROR(VLOOKUP($E3190,설정_코스수당!$A$6:$H$10,6,FALSE),0),0)</f>
        <v>0</v>
      </c>
      <c r="N3190" s="28">
        <f t="shared" si="92"/>
        <v>0</v>
      </c>
      <c r="O3190" s="23"/>
      <c r="P3190" s="23"/>
      <c r="Q3190" s="23"/>
      <c r="R3190" s="26"/>
      <c r="S3190" s="23"/>
    </row>
    <row r="3191" spans="1:19" ht="19.5" hidden="1" customHeight="1" outlineLevel="1">
      <c r="A3191" s="29">
        <v>88</v>
      </c>
      <c r="B3191" s="30" t="str">
        <f>IF(31&lt;=DAY(DATE(YEAR(설정_코스수당!$K$2),MONTH(설정_코스수당!$K$2)+1,0)),DATE(YEAR(설정_코스수당!$K$2),MONTH(설정_코스수당!$K$2),31),"")</f>
        <v/>
      </c>
      <c r="C3191" s="31"/>
      <c r="D3191" s="29"/>
      <c r="E3191" s="29"/>
      <c r="F3191" s="32"/>
      <c r="G3191" s="29"/>
      <c r="H3191" s="29"/>
      <c r="I3191" s="29"/>
      <c r="J3191" s="33">
        <f>IF($O3191="방문완료",MAX(0,IFERROR(VLOOKUP($E3191,설정_코스수당!$A$6:$H$10,4,FALSE),0)-IF(OR($P3191="",$P3191="없음"),0,100000)),0)</f>
        <v>0</v>
      </c>
      <c r="K3191" s="33">
        <f t="array" ref="K3191">IF($O3191="방문완료",IFERROR(INDEX(설정_코스수당!$B$15:$F$64,MATCH($G3191,설정_코스수당!$A$15:$A$64,0),MATCH($E3191&amp;"수당",설정_코스수당!$B$14:$F$14,0)),0),0)</f>
        <v>0</v>
      </c>
      <c r="L3191" s="33">
        <f t="array" ref="L3191">IF($O3191="방문완료",IF($H3191="",0,IFERROR(INDEX(설정_코스수당!$B$15:$F$64,MATCH($H3191,설정_코스수당!$A$15:$A$64,0),MATCH($E3191&amp;"수당",설정_코스수당!$B$14:$F$14,0)),0)),0)</f>
        <v>0</v>
      </c>
      <c r="M3191" s="33">
        <f>IF($O3191="방문완료",IFERROR(VLOOKUP($E3191,설정_코스수당!$A$6:$H$10,6,FALSE),0),0)</f>
        <v>0</v>
      </c>
      <c r="N3191" s="34">
        <f t="shared" si="92"/>
        <v>0</v>
      </c>
      <c r="O3191" s="29"/>
      <c r="P3191" s="29"/>
      <c r="Q3191" s="29"/>
      <c r="R3191" s="32"/>
      <c r="S3191" s="29"/>
    </row>
    <row r="3192" spans="1:19" ht="19.5" hidden="1" customHeight="1" outlineLevel="1">
      <c r="A3192" s="23">
        <v>89</v>
      </c>
      <c r="B3192" s="24" t="str">
        <f>IF(31&lt;=DAY(DATE(YEAR(설정_코스수당!$K$2),MONTH(설정_코스수당!$K$2)+1,0)),DATE(YEAR(설정_코스수당!$K$2),MONTH(설정_코스수당!$K$2),31),"")</f>
        <v/>
      </c>
      <c r="C3192" s="25"/>
      <c r="D3192" s="23"/>
      <c r="E3192" s="23"/>
      <c r="F3192" s="26"/>
      <c r="G3192" s="23"/>
      <c r="H3192" s="23"/>
      <c r="I3192" s="23"/>
      <c r="J3192" s="27">
        <f>IF($O3192="방문완료",MAX(0,IFERROR(VLOOKUP($E3192,설정_코스수당!$A$6:$H$10,4,FALSE),0)-IF(OR($P3192="",$P3192="없음"),0,100000)),0)</f>
        <v>0</v>
      </c>
      <c r="K3192" s="27">
        <f t="array" ref="K3192">IF($O3192="방문완료",IFERROR(INDEX(설정_코스수당!$B$15:$F$64,MATCH($G3192,설정_코스수당!$A$15:$A$64,0),MATCH($E3192&amp;"수당",설정_코스수당!$B$14:$F$14,0)),0),0)</f>
        <v>0</v>
      </c>
      <c r="L3192" s="27">
        <f t="array" ref="L3192">IF($O3192="방문완료",IF($H3192="",0,IFERROR(INDEX(설정_코스수당!$B$15:$F$64,MATCH($H3192,설정_코스수당!$A$15:$A$64,0),MATCH($E3192&amp;"수당",설정_코스수당!$B$14:$F$14,0)),0)),0)</f>
        <v>0</v>
      </c>
      <c r="M3192" s="27">
        <f>IF($O3192="방문완료",IFERROR(VLOOKUP($E3192,설정_코스수당!$A$6:$H$10,6,FALSE),0),0)</f>
        <v>0</v>
      </c>
      <c r="N3192" s="28">
        <f t="shared" si="92"/>
        <v>0</v>
      </c>
      <c r="O3192" s="23"/>
      <c r="P3192" s="23"/>
      <c r="Q3192" s="23"/>
      <c r="R3192" s="26"/>
      <c r="S3192" s="23"/>
    </row>
    <row r="3193" spans="1:19" ht="19.5" hidden="1" customHeight="1" outlineLevel="1">
      <c r="A3193" s="29">
        <v>90</v>
      </c>
      <c r="B3193" s="30" t="str">
        <f>IF(31&lt;=DAY(DATE(YEAR(설정_코스수당!$K$2),MONTH(설정_코스수당!$K$2)+1,0)),DATE(YEAR(설정_코스수당!$K$2),MONTH(설정_코스수당!$K$2),31),"")</f>
        <v/>
      </c>
      <c r="C3193" s="31"/>
      <c r="D3193" s="29"/>
      <c r="E3193" s="29"/>
      <c r="F3193" s="32"/>
      <c r="G3193" s="29"/>
      <c r="H3193" s="29"/>
      <c r="I3193" s="29"/>
      <c r="J3193" s="33">
        <f>IF($O3193="방문완료",MAX(0,IFERROR(VLOOKUP($E3193,설정_코스수당!$A$6:$H$10,4,FALSE),0)-IF(OR($P3193="",$P3193="없음"),0,100000)),0)</f>
        <v>0</v>
      </c>
      <c r="K3193" s="33">
        <f t="array" ref="K3193">IF($O3193="방문완료",IFERROR(INDEX(설정_코스수당!$B$15:$F$64,MATCH($G3193,설정_코스수당!$A$15:$A$64,0),MATCH($E3193&amp;"수당",설정_코스수당!$B$14:$F$14,0)),0),0)</f>
        <v>0</v>
      </c>
      <c r="L3193" s="33">
        <f t="array" ref="L3193">IF($O3193="방문완료",IF($H3193="",0,IFERROR(INDEX(설정_코스수당!$B$15:$F$64,MATCH($H3193,설정_코스수당!$A$15:$A$64,0),MATCH($E3193&amp;"수당",설정_코스수당!$B$14:$F$14,0)),0)),0)</f>
        <v>0</v>
      </c>
      <c r="M3193" s="33">
        <f>IF($O3193="방문완료",IFERROR(VLOOKUP($E3193,설정_코스수당!$A$6:$H$10,6,FALSE),0),0)</f>
        <v>0</v>
      </c>
      <c r="N3193" s="34">
        <f t="shared" si="92"/>
        <v>0</v>
      </c>
      <c r="O3193" s="29"/>
      <c r="P3193" s="29"/>
      <c r="Q3193" s="29"/>
      <c r="R3193" s="32"/>
      <c r="S3193" s="29"/>
    </row>
    <row r="3194" spans="1:19" ht="19.5" hidden="1" customHeight="1" outlineLevel="1">
      <c r="A3194" s="23">
        <v>91</v>
      </c>
      <c r="B3194" s="24" t="str">
        <f>IF(31&lt;=DAY(DATE(YEAR(설정_코스수당!$K$2),MONTH(설정_코스수당!$K$2)+1,0)),DATE(YEAR(설정_코스수당!$K$2),MONTH(설정_코스수당!$K$2),31),"")</f>
        <v/>
      </c>
      <c r="C3194" s="25"/>
      <c r="D3194" s="23"/>
      <c r="E3194" s="23"/>
      <c r="F3194" s="26"/>
      <c r="G3194" s="23"/>
      <c r="H3194" s="23"/>
      <c r="I3194" s="23"/>
      <c r="J3194" s="27">
        <f>IF($O3194="방문완료",MAX(0,IFERROR(VLOOKUP($E3194,설정_코스수당!$A$6:$H$10,4,FALSE),0)-IF(OR($P3194="",$P3194="없음"),0,100000)),0)</f>
        <v>0</v>
      </c>
      <c r="K3194" s="27">
        <f t="array" ref="K3194">IF($O3194="방문완료",IFERROR(INDEX(설정_코스수당!$B$15:$F$64,MATCH($G3194,설정_코스수당!$A$15:$A$64,0),MATCH($E3194&amp;"수당",설정_코스수당!$B$14:$F$14,0)),0),0)</f>
        <v>0</v>
      </c>
      <c r="L3194" s="27">
        <f t="array" ref="L3194">IF($O3194="방문완료",IF($H3194="",0,IFERROR(INDEX(설정_코스수당!$B$15:$F$64,MATCH($H3194,설정_코스수당!$A$15:$A$64,0),MATCH($E3194&amp;"수당",설정_코스수당!$B$14:$F$14,0)),0)),0)</f>
        <v>0</v>
      </c>
      <c r="M3194" s="27">
        <f>IF($O3194="방문완료",IFERROR(VLOOKUP($E3194,설정_코스수당!$A$6:$H$10,6,FALSE),0),0)</f>
        <v>0</v>
      </c>
      <c r="N3194" s="28">
        <f t="shared" si="92"/>
        <v>0</v>
      </c>
      <c r="O3194" s="23"/>
      <c r="P3194" s="23"/>
      <c r="Q3194" s="23"/>
      <c r="R3194" s="26"/>
      <c r="S3194" s="23"/>
    </row>
    <row r="3195" spans="1:19" ht="19.5" hidden="1" customHeight="1" outlineLevel="1">
      <c r="A3195" s="29">
        <v>92</v>
      </c>
      <c r="B3195" s="30" t="str">
        <f>IF(31&lt;=DAY(DATE(YEAR(설정_코스수당!$K$2),MONTH(설정_코스수당!$K$2)+1,0)),DATE(YEAR(설정_코스수당!$K$2),MONTH(설정_코스수당!$K$2),31),"")</f>
        <v/>
      </c>
      <c r="C3195" s="31"/>
      <c r="D3195" s="29"/>
      <c r="E3195" s="29"/>
      <c r="F3195" s="32"/>
      <c r="G3195" s="29"/>
      <c r="H3195" s="29"/>
      <c r="I3195" s="29"/>
      <c r="J3195" s="33">
        <f>IF($O3195="방문완료",MAX(0,IFERROR(VLOOKUP($E3195,설정_코스수당!$A$6:$H$10,4,FALSE),0)-IF(OR($P3195="",$P3195="없음"),0,100000)),0)</f>
        <v>0</v>
      </c>
      <c r="K3195" s="33">
        <f t="array" ref="K3195">IF($O3195="방문완료",IFERROR(INDEX(설정_코스수당!$B$15:$F$64,MATCH($G3195,설정_코스수당!$A$15:$A$64,0),MATCH($E3195&amp;"수당",설정_코스수당!$B$14:$F$14,0)),0),0)</f>
        <v>0</v>
      </c>
      <c r="L3195" s="33">
        <f t="array" ref="L3195">IF($O3195="방문완료",IF($H3195="",0,IFERROR(INDEX(설정_코스수당!$B$15:$F$64,MATCH($H3195,설정_코스수당!$A$15:$A$64,0),MATCH($E3195&amp;"수당",설정_코스수당!$B$14:$F$14,0)),0)),0)</f>
        <v>0</v>
      </c>
      <c r="M3195" s="33">
        <f>IF($O3195="방문완료",IFERROR(VLOOKUP($E3195,설정_코스수당!$A$6:$H$10,6,FALSE),0),0)</f>
        <v>0</v>
      </c>
      <c r="N3195" s="34">
        <f t="shared" si="92"/>
        <v>0</v>
      </c>
      <c r="O3195" s="29"/>
      <c r="P3195" s="29"/>
      <c r="Q3195" s="29"/>
      <c r="R3195" s="32"/>
      <c r="S3195" s="29"/>
    </row>
    <row r="3196" spans="1:19" ht="19.5" hidden="1" customHeight="1" outlineLevel="1">
      <c r="A3196" s="23">
        <v>93</v>
      </c>
      <c r="B3196" s="24" t="str">
        <f>IF(31&lt;=DAY(DATE(YEAR(설정_코스수당!$K$2),MONTH(설정_코스수당!$K$2)+1,0)),DATE(YEAR(설정_코스수당!$K$2),MONTH(설정_코스수당!$K$2),31),"")</f>
        <v/>
      </c>
      <c r="C3196" s="25"/>
      <c r="D3196" s="23"/>
      <c r="E3196" s="23"/>
      <c r="F3196" s="26"/>
      <c r="G3196" s="23"/>
      <c r="H3196" s="23"/>
      <c r="I3196" s="23"/>
      <c r="J3196" s="27">
        <f>IF($O3196="방문완료",MAX(0,IFERROR(VLOOKUP($E3196,설정_코스수당!$A$6:$H$10,4,FALSE),0)-IF(OR($P3196="",$P3196="없음"),0,100000)),0)</f>
        <v>0</v>
      </c>
      <c r="K3196" s="27">
        <f t="array" ref="K3196">IF($O3196="방문완료",IFERROR(INDEX(설정_코스수당!$B$15:$F$64,MATCH($G3196,설정_코스수당!$A$15:$A$64,0),MATCH($E3196&amp;"수당",설정_코스수당!$B$14:$F$14,0)),0),0)</f>
        <v>0</v>
      </c>
      <c r="L3196" s="27">
        <f t="array" ref="L3196">IF($O3196="방문완료",IF($H3196="",0,IFERROR(INDEX(설정_코스수당!$B$15:$F$64,MATCH($H3196,설정_코스수당!$A$15:$A$64,0),MATCH($E3196&amp;"수당",설정_코스수당!$B$14:$F$14,0)),0)),0)</f>
        <v>0</v>
      </c>
      <c r="M3196" s="27">
        <f>IF($O3196="방문완료",IFERROR(VLOOKUP($E3196,설정_코스수당!$A$6:$H$10,6,FALSE),0),0)</f>
        <v>0</v>
      </c>
      <c r="N3196" s="28">
        <f t="shared" si="92"/>
        <v>0</v>
      </c>
      <c r="O3196" s="23"/>
      <c r="P3196" s="23"/>
      <c r="Q3196" s="23"/>
      <c r="R3196" s="26"/>
      <c r="S3196" s="23"/>
    </row>
    <row r="3197" spans="1:19" ht="19.5" hidden="1" customHeight="1" outlineLevel="1">
      <c r="A3197" s="29">
        <v>94</v>
      </c>
      <c r="B3197" s="30" t="str">
        <f>IF(31&lt;=DAY(DATE(YEAR(설정_코스수당!$K$2),MONTH(설정_코스수당!$K$2)+1,0)),DATE(YEAR(설정_코스수당!$K$2),MONTH(설정_코스수당!$K$2),31),"")</f>
        <v/>
      </c>
      <c r="C3197" s="31"/>
      <c r="D3197" s="29"/>
      <c r="E3197" s="29"/>
      <c r="F3197" s="32"/>
      <c r="G3197" s="29"/>
      <c r="H3197" s="29"/>
      <c r="I3197" s="29"/>
      <c r="J3197" s="33">
        <f>IF($O3197="방문완료",MAX(0,IFERROR(VLOOKUP($E3197,설정_코스수당!$A$6:$H$10,4,FALSE),0)-IF(OR($P3197="",$P3197="없음"),0,100000)),0)</f>
        <v>0</v>
      </c>
      <c r="K3197" s="33">
        <f t="array" ref="K3197">IF($O3197="방문완료",IFERROR(INDEX(설정_코스수당!$B$15:$F$64,MATCH($G3197,설정_코스수당!$A$15:$A$64,0),MATCH($E3197&amp;"수당",설정_코스수당!$B$14:$F$14,0)),0),0)</f>
        <v>0</v>
      </c>
      <c r="L3197" s="33">
        <f t="array" ref="L3197">IF($O3197="방문완료",IF($H3197="",0,IFERROR(INDEX(설정_코스수당!$B$15:$F$64,MATCH($H3197,설정_코스수당!$A$15:$A$64,0),MATCH($E3197&amp;"수당",설정_코스수당!$B$14:$F$14,0)),0)),0)</f>
        <v>0</v>
      </c>
      <c r="M3197" s="33">
        <f>IF($O3197="방문완료",IFERROR(VLOOKUP($E3197,설정_코스수당!$A$6:$H$10,6,FALSE),0),0)</f>
        <v>0</v>
      </c>
      <c r="N3197" s="34">
        <f t="shared" si="92"/>
        <v>0</v>
      </c>
      <c r="O3197" s="29"/>
      <c r="P3197" s="29"/>
      <c r="Q3197" s="29"/>
      <c r="R3197" s="32"/>
      <c r="S3197" s="29"/>
    </row>
    <row r="3198" spans="1:19" ht="19.5" hidden="1" customHeight="1" outlineLevel="1">
      <c r="A3198" s="23">
        <v>95</v>
      </c>
      <c r="B3198" s="24" t="str">
        <f>IF(31&lt;=DAY(DATE(YEAR(설정_코스수당!$K$2),MONTH(설정_코스수당!$K$2)+1,0)),DATE(YEAR(설정_코스수당!$K$2),MONTH(설정_코스수당!$K$2),31),"")</f>
        <v/>
      </c>
      <c r="C3198" s="25"/>
      <c r="D3198" s="23"/>
      <c r="E3198" s="23"/>
      <c r="F3198" s="26"/>
      <c r="G3198" s="23"/>
      <c r="H3198" s="23"/>
      <c r="I3198" s="23"/>
      <c r="J3198" s="27">
        <f>IF($O3198="방문완료",MAX(0,IFERROR(VLOOKUP($E3198,설정_코스수당!$A$6:$H$10,4,FALSE),0)-IF(OR($P3198="",$P3198="없음"),0,100000)),0)</f>
        <v>0</v>
      </c>
      <c r="K3198" s="27">
        <f t="array" ref="K3198">IF($O3198="방문완료",IFERROR(INDEX(설정_코스수당!$B$15:$F$64,MATCH($G3198,설정_코스수당!$A$15:$A$64,0),MATCH($E3198&amp;"수당",설정_코스수당!$B$14:$F$14,0)),0),0)</f>
        <v>0</v>
      </c>
      <c r="L3198" s="27">
        <f t="array" ref="L3198">IF($O3198="방문완료",IF($H3198="",0,IFERROR(INDEX(설정_코스수당!$B$15:$F$64,MATCH($H3198,설정_코스수당!$A$15:$A$64,0),MATCH($E3198&amp;"수당",설정_코스수당!$B$14:$F$14,0)),0)),0)</f>
        <v>0</v>
      </c>
      <c r="M3198" s="27">
        <f>IF($O3198="방문완료",IFERROR(VLOOKUP($E3198,설정_코스수당!$A$6:$H$10,6,FALSE),0),0)</f>
        <v>0</v>
      </c>
      <c r="N3198" s="28">
        <f t="shared" si="92"/>
        <v>0</v>
      </c>
      <c r="O3198" s="23"/>
      <c r="P3198" s="23"/>
      <c r="Q3198" s="23"/>
      <c r="R3198" s="26"/>
      <c r="S3198" s="23"/>
    </row>
    <row r="3199" spans="1:19" ht="19.5" hidden="1" customHeight="1" outlineLevel="1">
      <c r="A3199" s="29">
        <v>96</v>
      </c>
      <c r="B3199" s="30" t="str">
        <f>IF(31&lt;=DAY(DATE(YEAR(설정_코스수당!$K$2),MONTH(설정_코스수당!$K$2)+1,0)),DATE(YEAR(설정_코스수당!$K$2),MONTH(설정_코스수당!$K$2),31),"")</f>
        <v/>
      </c>
      <c r="C3199" s="31"/>
      <c r="D3199" s="29"/>
      <c r="E3199" s="29"/>
      <c r="F3199" s="32"/>
      <c r="G3199" s="29"/>
      <c r="H3199" s="29"/>
      <c r="I3199" s="29"/>
      <c r="J3199" s="33">
        <f>IF($O3199="방문완료",MAX(0,IFERROR(VLOOKUP($E3199,설정_코스수당!$A$6:$H$10,4,FALSE),0)-IF(OR($P3199="",$P3199="없음"),0,100000)),0)</f>
        <v>0</v>
      </c>
      <c r="K3199" s="33">
        <f t="array" ref="K3199">IF($O3199="방문완료",IFERROR(INDEX(설정_코스수당!$B$15:$F$64,MATCH($G3199,설정_코스수당!$A$15:$A$64,0),MATCH($E3199&amp;"수당",설정_코스수당!$B$14:$F$14,0)),0),0)</f>
        <v>0</v>
      </c>
      <c r="L3199" s="33">
        <f t="array" ref="L3199">IF($O3199="방문완료",IF($H3199="",0,IFERROR(INDEX(설정_코스수당!$B$15:$F$64,MATCH($H3199,설정_코스수당!$A$15:$A$64,0),MATCH($E3199&amp;"수당",설정_코스수당!$B$14:$F$14,0)),0)),0)</f>
        <v>0</v>
      </c>
      <c r="M3199" s="33">
        <f>IF($O3199="방문완료",IFERROR(VLOOKUP($E3199,설정_코스수당!$A$6:$H$10,6,FALSE),0),0)</f>
        <v>0</v>
      </c>
      <c r="N3199" s="34">
        <f t="shared" si="92"/>
        <v>0</v>
      </c>
      <c r="O3199" s="29"/>
      <c r="P3199" s="29"/>
      <c r="Q3199" s="29"/>
      <c r="R3199" s="32"/>
      <c r="S3199" s="29"/>
    </row>
    <row r="3200" spans="1:19" ht="19.5" hidden="1" customHeight="1" outlineLevel="1">
      <c r="A3200" s="23">
        <v>97</v>
      </c>
      <c r="B3200" s="24" t="str">
        <f>IF(31&lt;=DAY(DATE(YEAR(설정_코스수당!$K$2),MONTH(설정_코스수당!$K$2)+1,0)),DATE(YEAR(설정_코스수당!$K$2),MONTH(설정_코스수당!$K$2),31),"")</f>
        <v/>
      </c>
      <c r="C3200" s="25"/>
      <c r="D3200" s="23"/>
      <c r="E3200" s="23"/>
      <c r="F3200" s="26"/>
      <c r="G3200" s="23"/>
      <c r="H3200" s="23"/>
      <c r="I3200" s="23"/>
      <c r="J3200" s="27">
        <f>IF($O3200="방문완료",MAX(0,IFERROR(VLOOKUP($E3200,설정_코스수당!$A$6:$H$10,4,FALSE),0)-IF(OR($P3200="",$P3200="없음"),0,100000)),0)</f>
        <v>0</v>
      </c>
      <c r="K3200" s="27">
        <f t="array" ref="K3200">IF($O3200="방문완료",IFERROR(INDEX(설정_코스수당!$B$15:$F$64,MATCH($G3200,설정_코스수당!$A$15:$A$64,0),MATCH($E3200&amp;"수당",설정_코스수당!$B$14:$F$14,0)),0),0)</f>
        <v>0</v>
      </c>
      <c r="L3200" s="27">
        <f t="array" ref="L3200">IF($O3200="방문완료",IF($H3200="",0,IFERROR(INDEX(설정_코스수당!$B$15:$F$64,MATCH($H3200,설정_코스수당!$A$15:$A$64,0),MATCH($E3200&amp;"수당",설정_코스수당!$B$14:$F$14,0)),0)),0)</f>
        <v>0</v>
      </c>
      <c r="M3200" s="27">
        <f>IF($O3200="방문완료",IFERROR(VLOOKUP($E3200,설정_코스수당!$A$6:$H$10,6,FALSE),0),0)</f>
        <v>0</v>
      </c>
      <c r="N3200" s="28">
        <f t="shared" si="92"/>
        <v>0</v>
      </c>
      <c r="O3200" s="23"/>
      <c r="P3200" s="23"/>
      <c r="Q3200" s="23"/>
      <c r="R3200" s="26"/>
      <c r="S3200" s="23"/>
    </row>
    <row r="3201" spans="1:19" ht="19.5" hidden="1" customHeight="1" outlineLevel="1">
      <c r="A3201" s="29">
        <v>98</v>
      </c>
      <c r="B3201" s="30" t="str">
        <f>IF(31&lt;=DAY(DATE(YEAR(설정_코스수당!$K$2),MONTH(설정_코스수당!$K$2)+1,0)),DATE(YEAR(설정_코스수당!$K$2),MONTH(설정_코스수당!$K$2),31),"")</f>
        <v/>
      </c>
      <c r="C3201" s="31"/>
      <c r="D3201" s="29"/>
      <c r="E3201" s="29"/>
      <c r="F3201" s="32"/>
      <c r="G3201" s="29"/>
      <c r="H3201" s="29"/>
      <c r="I3201" s="29"/>
      <c r="J3201" s="33">
        <f>IF($O3201="방문완료",MAX(0,IFERROR(VLOOKUP($E3201,설정_코스수당!$A$6:$H$10,4,FALSE),0)-IF(OR($P3201="",$P3201="없음"),0,100000)),0)</f>
        <v>0</v>
      </c>
      <c r="K3201" s="33">
        <f t="array" ref="K3201">IF($O3201="방문완료",IFERROR(INDEX(설정_코스수당!$B$15:$F$64,MATCH($G3201,설정_코스수당!$A$15:$A$64,0),MATCH($E3201&amp;"수당",설정_코스수당!$B$14:$F$14,0)),0),0)</f>
        <v>0</v>
      </c>
      <c r="L3201" s="33">
        <f t="array" ref="L3201">IF($O3201="방문완료",IF($H3201="",0,IFERROR(INDEX(설정_코스수당!$B$15:$F$64,MATCH($H3201,설정_코스수당!$A$15:$A$64,0),MATCH($E3201&amp;"수당",설정_코스수당!$B$14:$F$14,0)),0)),0)</f>
        <v>0</v>
      </c>
      <c r="M3201" s="33">
        <f>IF($O3201="방문완료",IFERROR(VLOOKUP($E3201,설정_코스수당!$A$6:$H$10,6,FALSE),0),0)</f>
        <v>0</v>
      </c>
      <c r="N3201" s="34">
        <f t="shared" si="92"/>
        <v>0</v>
      </c>
      <c r="O3201" s="29"/>
      <c r="P3201" s="29"/>
      <c r="Q3201" s="29"/>
      <c r="R3201" s="32"/>
      <c r="S3201" s="29"/>
    </row>
    <row r="3202" spans="1:19" ht="19.5" hidden="1" customHeight="1" outlineLevel="1">
      <c r="A3202" s="23">
        <v>99</v>
      </c>
      <c r="B3202" s="24" t="str">
        <f>IF(31&lt;=DAY(DATE(YEAR(설정_코스수당!$K$2),MONTH(설정_코스수당!$K$2)+1,0)),DATE(YEAR(설정_코스수당!$K$2),MONTH(설정_코스수당!$K$2),31),"")</f>
        <v/>
      </c>
      <c r="C3202" s="25"/>
      <c r="D3202" s="23"/>
      <c r="E3202" s="23"/>
      <c r="F3202" s="26"/>
      <c r="G3202" s="23"/>
      <c r="H3202" s="23"/>
      <c r="I3202" s="23"/>
      <c r="J3202" s="27">
        <f>IF($O3202="방문완료",MAX(0,IFERROR(VLOOKUP($E3202,설정_코스수당!$A$6:$H$10,4,FALSE),0)-IF(OR($P3202="",$P3202="없음"),0,100000)),0)</f>
        <v>0</v>
      </c>
      <c r="K3202" s="27">
        <f t="array" ref="K3202">IF($O3202="방문완료",IFERROR(INDEX(설정_코스수당!$B$15:$F$64,MATCH($G3202,설정_코스수당!$A$15:$A$64,0),MATCH($E3202&amp;"수당",설정_코스수당!$B$14:$F$14,0)),0),0)</f>
        <v>0</v>
      </c>
      <c r="L3202" s="27">
        <f t="array" ref="L3202">IF($O3202="방문완료",IF($H3202="",0,IFERROR(INDEX(설정_코스수당!$B$15:$F$64,MATCH($H3202,설정_코스수당!$A$15:$A$64,0),MATCH($E3202&amp;"수당",설정_코스수당!$B$14:$F$14,0)),0)),0)</f>
        <v>0</v>
      </c>
      <c r="M3202" s="27">
        <f>IF($O3202="방문완료",IFERROR(VLOOKUP($E3202,설정_코스수당!$A$6:$H$10,6,FALSE),0),0)</f>
        <v>0</v>
      </c>
      <c r="N3202" s="28">
        <f t="shared" si="92"/>
        <v>0</v>
      </c>
      <c r="O3202" s="23"/>
      <c r="P3202" s="23"/>
      <c r="Q3202" s="23"/>
      <c r="R3202" s="26"/>
      <c r="S3202" s="23"/>
    </row>
    <row r="3203" spans="1:19" ht="19.5" hidden="1" customHeight="1" outlineLevel="1">
      <c r="A3203" s="29">
        <v>100</v>
      </c>
      <c r="B3203" s="30" t="str">
        <f>IF(31&lt;=DAY(DATE(YEAR(설정_코스수당!$K$2),MONTH(설정_코스수당!$K$2)+1,0)),DATE(YEAR(설정_코스수당!$K$2),MONTH(설정_코스수당!$K$2),31),"")</f>
        <v/>
      </c>
      <c r="C3203" s="31"/>
      <c r="D3203" s="29"/>
      <c r="E3203" s="29"/>
      <c r="F3203" s="32"/>
      <c r="G3203" s="29"/>
      <c r="H3203" s="29"/>
      <c r="I3203" s="29"/>
      <c r="J3203" s="33">
        <f>IF($O3203="방문완료",MAX(0,IFERROR(VLOOKUP($E3203,설정_코스수당!$A$6:$H$10,4,FALSE),0)-IF(OR($P3203="",$P3203="없음"),0,100000)),0)</f>
        <v>0</v>
      </c>
      <c r="K3203" s="33">
        <f t="array" ref="K3203">IF($O3203="방문완료",IFERROR(INDEX(설정_코스수당!$B$15:$F$64,MATCH($G3203,설정_코스수당!$A$15:$A$64,0),MATCH($E3203&amp;"수당",설정_코스수당!$B$14:$F$14,0)),0),0)</f>
        <v>0</v>
      </c>
      <c r="L3203" s="33">
        <f t="array" ref="L3203">IF($O3203="방문완료",IF($H3203="",0,IFERROR(INDEX(설정_코스수당!$B$15:$F$64,MATCH($H3203,설정_코스수당!$A$15:$A$64,0),MATCH($E3203&amp;"수당",설정_코스수당!$B$14:$F$14,0)),0)),0)</f>
        <v>0</v>
      </c>
      <c r="M3203" s="33">
        <f>IF($O3203="방문완료",IFERROR(VLOOKUP($E3203,설정_코스수당!$A$6:$H$10,6,FALSE),0),0)</f>
        <v>0</v>
      </c>
      <c r="N3203" s="34">
        <f t="shared" si="92"/>
        <v>0</v>
      </c>
      <c r="O3203" s="29"/>
      <c r="P3203" s="29"/>
      <c r="Q3203" s="29"/>
      <c r="R3203" s="32"/>
      <c r="S3203" s="29"/>
    </row>
    <row r="3204" spans="1:19" ht="19.5" hidden="1" customHeight="1" outlineLevel="1">
      <c r="A3204" s="36" t="s">
        <v>79</v>
      </c>
      <c r="B3204" s="37"/>
      <c r="C3204" s="38"/>
      <c r="D3204" s="37"/>
      <c r="E3204" s="37"/>
      <c r="F3204" s="37"/>
      <c r="G3204" s="37"/>
      <c r="H3204" s="37"/>
      <c r="I3204" s="37"/>
      <c r="J3204" s="37"/>
      <c r="K3204" s="37"/>
      <c r="L3204" s="37"/>
      <c r="M3204" s="37"/>
      <c r="N3204" s="37"/>
      <c r="O3204" s="37"/>
      <c r="P3204" s="37"/>
      <c r="Q3204" s="37"/>
      <c r="R3204" s="37"/>
      <c r="S3204" s="37"/>
    </row>
  </sheetData>
  <mergeCells count="162">
    <mergeCell ref="U2598:X2598"/>
    <mergeCell ref="U3000:V3000"/>
    <mergeCell ref="U1259:X1259"/>
    <mergeCell ref="W13:X13"/>
    <mergeCell ref="W1661:X1661"/>
    <mergeCell ref="U1146:V1146"/>
    <mergeCell ref="A1145:N1145"/>
    <mergeCell ref="W1146:X1146"/>
    <mergeCell ref="U116:V116"/>
    <mergeCell ref="A630:N630"/>
    <mergeCell ref="G5:H5"/>
    <mergeCell ref="A1248:N1248"/>
    <mergeCell ref="U2083:X2083"/>
    <mergeCell ref="U940:V940"/>
    <mergeCell ref="W940:X940"/>
    <mergeCell ref="U538:X538"/>
    <mergeCell ref="A424:N424"/>
    <mergeCell ref="U126:X126"/>
    <mergeCell ref="A1:D1"/>
    <mergeCell ref="U1970:V1970"/>
    <mergeCell ref="W2794:X2794"/>
    <mergeCell ref="U950:X950"/>
    <mergeCell ref="U1249:V1249"/>
    <mergeCell ref="W1249:X1249"/>
    <mergeCell ref="U229:X229"/>
    <mergeCell ref="U3010:X3010"/>
    <mergeCell ref="W21:X21"/>
    <mergeCell ref="U2804:X2804"/>
    <mergeCell ref="W2802:X2802"/>
    <mergeCell ref="U2907:X2907"/>
    <mergeCell ref="U1980:X1980"/>
    <mergeCell ref="W2596:X2596"/>
    <mergeCell ref="A1866:N1866"/>
    <mergeCell ref="W425:X425"/>
    <mergeCell ref="W219:X219"/>
    <mergeCell ref="A321:N321"/>
    <mergeCell ref="W1558:X1558"/>
    <mergeCell ref="A2278:N2278"/>
    <mergeCell ref="W1772:X1772"/>
    <mergeCell ref="D5:E5"/>
    <mergeCell ref="U847:X847"/>
    <mergeCell ref="A1454:N1454"/>
    <mergeCell ref="A2:S2"/>
    <mergeCell ref="W2493:X2493"/>
    <mergeCell ref="W116:X116"/>
    <mergeCell ref="A1969:N1969"/>
    <mergeCell ref="A2381:N2381"/>
    <mergeCell ref="W528:X528"/>
    <mergeCell ref="U1352:V1352"/>
    <mergeCell ref="W1463:X1463"/>
    <mergeCell ref="W2081:X2081"/>
    <mergeCell ref="U2485:V2485"/>
    <mergeCell ref="W2485:X2485"/>
    <mergeCell ref="U2279:V2279"/>
    <mergeCell ref="A2484:N2484"/>
    <mergeCell ref="W2279:X2279"/>
    <mergeCell ref="U2186:X2186"/>
    <mergeCell ref="W1978:X1978"/>
    <mergeCell ref="W1257:X1257"/>
    <mergeCell ref="U1455:V1455"/>
    <mergeCell ref="A1660:N1660"/>
    <mergeCell ref="W1455:X1455"/>
    <mergeCell ref="W433:X433"/>
    <mergeCell ref="W2287:X2287"/>
    <mergeCell ref="J5:S8"/>
    <mergeCell ref="A1351:N1351"/>
    <mergeCell ref="U3113:X3113"/>
    <mergeCell ref="U13:V13"/>
    <mergeCell ref="A2072:N2072"/>
    <mergeCell ref="U2289:X2289"/>
    <mergeCell ref="W2905:X2905"/>
    <mergeCell ref="W1764:X1764"/>
    <mergeCell ref="A12:N12"/>
    <mergeCell ref="U2588:V2588"/>
    <mergeCell ref="U734:V734"/>
    <mergeCell ref="W2588:X2588"/>
    <mergeCell ref="W734:X734"/>
    <mergeCell ref="W1867:X1867"/>
    <mergeCell ref="A2587:N2587"/>
    <mergeCell ref="W639:X639"/>
    <mergeCell ref="U744:X744"/>
    <mergeCell ref="U322:V322"/>
    <mergeCell ref="W322:X322"/>
    <mergeCell ref="U1362:X1362"/>
    <mergeCell ref="U2897:V2897"/>
    <mergeCell ref="U1156:X1156"/>
    <mergeCell ref="W2390:X2390"/>
    <mergeCell ref="U2073:V2073"/>
    <mergeCell ref="U332:X332"/>
    <mergeCell ref="W1360:X1360"/>
    <mergeCell ref="A4:S4"/>
    <mergeCell ref="U3103:V3103"/>
    <mergeCell ref="U1764:V1764"/>
    <mergeCell ref="A3102:N3102"/>
    <mergeCell ref="W1043:X1043"/>
    <mergeCell ref="A733:N733"/>
    <mergeCell ref="A1557:N1557"/>
    <mergeCell ref="W1875:X1875"/>
    <mergeCell ref="A2690:N2690"/>
    <mergeCell ref="U1558:V1558"/>
    <mergeCell ref="U2392:X2392"/>
    <mergeCell ref="W330:X330"/>
    <mergeCell ref="W3000:X3000"/>
    <mergeCell ref="W3008:X3008"/>
    <mergeCell ref="W1051:X1051"/>
    <mergeCell ref="W2184:X2184"/>
    <mergeCell ref="U1867:V1867"/>
    <mergeCell ref="A939:N939"/>
    <mergeCell ref="U1661:V1661"/>
    <mergeCell ref="A11:H11"/>
    <mergeCell ref="A527:N527"/>
    <mergeCell ref="W227:X227"/>
    <mergeCell ref="U2382:V2382"/>
    <mergeCell ref="U1043:V1043"/>
    <mergeCell ref="U1465:X1465"/>
    <mergeCell ref="W1352:X1352"/>
    <mergeCell ref="W2699:X2699"/>
    <mergeCell ref="U641:X641"/>
    <mergeCell ref="U1774:X1774"/>
    <mergeCell ref="U1671:X1671"/>
    <mergeCell ref="A115:N115"/>
    <mergeCell ref="U2691:V2691"/>
    <mergeCell ref="W3111:X3111"/>
    <mergeCell ref="A2896:N2896"/>
    <mergeCell ref="W2691:X2691"/>
    <mergeCell ref="U2794:V2794"/>
    <mergeCell ref="U425:V425"/>
    <mergeCell ref="A2793:N2793"/>
    <mergeCell ref="W1669:X1669"/>
    <mergeCell ref="W124:X124"/>
    <mergeCell ref="W2382:X2382"/>
    <mergeCell ref="W1154:X1154"/>
    <mergeCell ref="U837:V837"/>
    <mergeCell ref="W837:X837"/>
    <mergeCell ref="A2175:N2175"/>
    <mergeCell ref="U1877:X1877"/>
    <mergeCell ref="A836:N836"/>
    <mergeCell ref="U2495:X2495"/>
    <mergeCell ref="U1053:X1053"/>
    <mergeCell ref="W1566:X1566"/>
    <mergeCell ref="A1763:N1763"/>
    <mergeCell ref="A1042:N1042"/>
    <mergeCell ref="W1970:X1970"/>
    <mergeCell ref="U23:X23"/>
    <mergeCell ref="W742:X742"/>
    <mergeCell ref="W3103:X3103"/>
    <mergeCell ref="W536:X536"/>
    <mergeCell ref="U219:V219"/>
    <mergeCell ref="W2897:X2897"/>
    <mergeCell ref="A2999:N2999"/>
    <mergeCell ref="U2701:X2701"/>
    <mergeCell ref="A218:N218"/>
    <mergeCell ref="W2073:X2073"/>
    <mergeCell ref="W845:X845"/>
    <mergeCell ref="U528:V528"/>
    <mergeCell ref="U2176:V2176"/>
    <mergeCell ref="U435:X435"/>
    <mergeCell ref="W2176:X2176"/>
    <mergeCell ref="W948:X948"/>
    <mergeCell ref="U1568:X1568"/>
    <mergeCell ref="U631:V631"/>
    <mergeCell ref="W631:X631"/>
  </mergeCells>
  <phoneticPr fontId="45" type="noConversion"/>
  <dataValidations count="2">
    <dataValidation type="list" allowBlank="1" sqref="P14:P3204" xr:uid="{00000000-0002-0000-0100-000005000000}">
      <formula1>"일주일내방문,생일자,후기작성"</formula1>
    </dataValidation>
    <dataValidation type="list" allowBlank="1" sqref="Q14:Q3204" xr:uid="{00000000-0002-0000-0100-000007000000}">
      <formula1>"현금,카드,계좌,기타"</formula1>
    </dataValidation>
  </dataValidation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100-000000000000}">
          <x14:formula1>
            <xm:f>목록!$I$2:$I$51</xm:f>
          </x14:formula1>
          <xm:sqref>I14:I114 I116:I217 I219:I320 I322:I423 I425:I526 I528:I629 I631:I732 I734:I835 I837:I938 I940:I1041 I1043:I1144 I1146:I1247 I1249:I1350 I1352:I1453 I1455:I1556 I1558:I1659 I1661:I1762 I1764:I1865 I1867:I1968 I1970:I2071 I2073:I2174 I2176:I2277 I2279:I2380 I2382:I2483 I2485:I2586 I2588:I2689 I2691:I2792 I2794:I2895 I2897:I2998 I3000:I3101 I3103:I3204</xm:sqref>
        </x14:dataValidation>
        <x14:dataValidation type="list" allowBlank="1" xr:uid="{00000000-0002-0000-0100-000001000000}">
          <x14:formula1>
            <xm:f>TV설정!$A$4:$A$14</xm:f>
          </x14:formula1>
          <xm:sqref>D14:D114 D116:D217 D219:D320 D322:D423 D425:D526 D528:D629 D631:D732 D734:D835 D837:D938 D940:D1041 D1043:D1144 D1146:D1247 D1249:D1350 D1352:D1453 D1455:D1556 D1558:D1659 D1661:D1762 D1764:D1865 D1867:D1968 D1970:D2071 D2073:D2174 D2176:D2277 D2279:D2380 D2382:D2483 D2485:D2586 D2588:D2689 D2691:D2792 D2794:D2895 D2897:D2998 D3000:D3101 D3103:D3204</xm:sqref>
        </x14:dataValidation>
        <x14:dataValidation type="list" allowBlank="1" xr:uid="{00000000-0002-0000-0100-000002000000}">
          <x14:formula1>
            <xm:f>TV설정!$D$4:$D$8</xm:f>
          </x14:formula1>
          <xm:sqref>E14:E114 E116:E217 E219:E320 E322:E423 E425:E526 E528:E629 E631:E732 E734:E835 E837:E938 E940:E1041 E1043:E1144 E1146:E1247 E1249:E1350 E1352:E1453 E1455:E1556 E1558:E1659 E1661:E1762 E1764:E1865 E1867:E1968 E1970:E2071 E2073:E2174 E2176:E2277 E2279:E2380 E2382:E2483 E2485:E2586 E2588:E2689 E2691:E2792 E2794:E2895 E2897:E2998 E3000:E3101 E3103:E3204</xm:sqref>
        </x14:dataValidation>
        <x14:dataValidation type="list" allowBlank="1" xr:uid="{00000000-0002-0000-0100-000003000000}">
          <x14:formula1>
            <xm:f>TV설정!$C$4:$C$32</xm:f>
          </x14:formula1>
          <xm:sqref>C14:C114 C116:C217 C219:C320 C322:C423 C425:C526 C528:C629 C631:C732 C734:C835 C837:C938 C940:C1041 C1043:C1144 C1146:C1247 C1249:C1350 C1352:C1453 C1455:C1556 C1558:C1659 C1661:C1762 C1764:C1865 C1867:C1968 C1970:C2071 C2073:C2174 C2176:C2277 C2279:C2380 C2382:C2483 C2485:C2586 C2588:C2689 C2691:C2792 C2794:C2895 C2897:C2998 C3000:C3101 C3103:C3204</xm:sqref>
        </x14:dataValidation>
        <x14:dataValidation type="list" allowBlank="1" xr:uid="{00000000-0002-0000-0100-000004000000}">
          <x14:formula1>
            <xm:f>목록!$H$2:$H$51</xm:f>
          </x14:formula1>
          <xm:sqref>G14:H114 G116:H217 G219:H320 G322:H423 G425:H526 G528:H629 G631:H732 G734:H835 G837:H938 G940:H1041 G1043:H1144 G1146:H1247 G1249:H1350 G1352:H1453 G1455:H1556 G1558:H1659 G1661:H1762 G1764:H1865 G1867:H1968 G1970:H2071 G2073:H2174 G2176:H2277 G2279:H2380 G2382:H2483 G2485:H2586 G2588:H2689 G2691:H2792 G2794:H2895 G2897:H2998 G3000:H3101 G3103:H3204</xm:sqref>
        </x14:dataValidation>
        <x14:dataValidation type="list" allowBlank="1" xr:uid="{00000000-0002-0000-0100-000006000000}">
          <x14:formula1>
            <xm:f>목록!$G$2:$G$51</xm:f>
          </x14:formula1>
          <xm:sqref>S14:S3204</xm:sqref>
        </x14:dataValidation>
        <x14:dataValidation type="list" allowBlank="1" xr:uid="{00000000-0002-0000-0100-000008000000}">
          <x14:formula1>
            <xm:f>TV설정!$B$4:$B$9</xm:f>
          </x14:formula1>
          <xm:sqref>O14:O3204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showGridLines="0" workbookViewId="0">
      <pane ySplit="7" topLeftCell="A8" activePane="bottomLeft" state="frozen"/>
      <selection pane="bottomLeft" activeCell="B9" sqref="B9"/>
    </sheetView>
  </sheetViews>
  <sheetFormatPr defaultColWidth="14.453125" defaultRowHeight="15" customHeight="1"/>
  <cols>
    <col min="1" max="1" width="12" customWidth="1"/>
    <col min="2" max="2" width="14" customWidth="1"/>
    <col min="3" max="4" width="16" customWidth="1"/>
    <col min="5" max="7" width="10" customWidth="1"/>
    <col min="8" max="8" width="22" customWidth="1"/>
    <col min="9" max="9" width="18" customWidth="1"/>
    <col min="10" max="10" width="12" hidden="1" customWidth="1"/>
    <col min="11" max="11" width="10" hidden="1" customWidth="1"/>
    <col min="12" max="12" width="14" hidden="1" customWidth="1"/>
    <col min="13" max="26" width="8.7265625" customWidth="1"/>
  </cols>
  <sheetData>
    <row r="1" spans="1:12" ht="14.25" customHeight="1">
      <c r="A1" s="136" t="s">
        <v>81</v>
      </c>
      <c r="B1" s="129"/>
      <c r="C1" s="129"/>
      <c r="D1" s="129"/>
      <c r="E1" s="129"/>
      <c r="F1" s="129"/>
      <c r="G1" s="129"/>
      <c r="H1" s="129"/>
      <c r="I1" s="129"/>
    </row>
    <row r="2" spans="1:12" ht="14.25" customHeight="1">
      <c r="A2" s="135" t="s">
        <v>82</v>
      </c>
      <c r="B2" s="129"/>
      <c r="C2" s="129"/>
      <c r="D2" s="129"/>
      <c r="E2" s="129"/>
      <c r="F2" s="129"/>
      <c r="G2" s="129"/>
      <c r="H2" s="129"/>
      <c r="I2" s="129"/>
    </row>
    <row r="3" spans="1:12" ht="14.25" customHeight="1"/>
    <row r="4" spans="1:12" ht="14.25" customHeight="1">
      <c r="A4" s="40" t="s">
        <v>83</v>
      </c>
      <c r="B4" s="40" t="s">
        <v>84</v>
      </c>
      <c r="C4" s="40" t="s">
        <v>85</v>
      </c>
      <c r="D4" s="40" t="s">
        <v>86</v>
      </c>
      <c r="E4" s="40" t="s">
        <v>87</v>
      </c>
      <c r="F4" s="40" t="s">
        <v>88</v>
      </c>
    </row>
    <row r="5" spans="1:12" ht="14.25" customHeight="1">
      <c r="A5" s="41">
        <f ca="1">COUNTIF($B$9:$B$19,"사용중")</f>
        <v>0</v>
      </c>
      <c r="B5" s="41">
        <f ca="1">COUNTIF($B$9:$B$19,"예약")</f>
        <v>0</v>
      </c>
      <c r="C5" s="41">
        <f ca="1">COUNTIF($B$9:$B$19,"청소중")</f>
        <v>0</v>
      </c>
      <c r="D5" s="41">
        <f ca="1">COUNTIF($B$9:$B$19,"종료확인")</f>
        <v>0</v>
      </c>
      <c r="E5" s="41">
        <f ca="1">COUNTIF($B$9:$B$19,"빈방")</f>
        <v>11</v>
      </c>
      <c r="F5" s="41">
        <f ca="1">COUNTIFS($B$9:$B$19,"사용중",$F$9:$F$19,"&lt;=10",$F$9:$F$19,"&gt;=0")</f>
        <v>0</v>
      </c>
    </row>
    <row r="6" spans="1:12" ht="14.25" customHeight="1"/>
    <row r="7" spans="1:12" ht="14.25" customHeight="1"/>
    <row r="8" spans="1:12" ht="14.25" customHeight="1">
      <c r="A8" s="42" t="s">
        <v>44</v>
      </c>
      <c r="B8" s="42" t="s">
        <v>89</v>
      </c>
      <c r="C8" s="42" t="s">
        <v>45</v>
      </c>
      <c r="D8" s="42" t="s">
        <v>90</v>
      </c>
      <c r="E8" s="42" t="s">
        <v>91</v>
      </c>
      <c r="F8" s="42" t="s">
        <v>92</v>
      </c>
      <c r="G8" s="42" t="s">
        <v>93</v>
      </c>
      <c r="H8" s="42" t="s">
        <v>94</v>
      </c>
      <c r="I8" s="42" t="s">
        <v>95</v>
      </c>
      <c r="J8" s="42" t="s">
        <v>96</v>
      </c>
      <c r="K8" s="42" t="s">
        <v>97</v>
      </c>
      <c r="L8" s="42" t="s">
        <v>98</v>
      </c>
    </row>
    <row r="9" spans="1:12" ht="30.75" customHeight="1">
      <c r="A9" s="43" t="s">
        <v>60</v>
      </c>
      <c r="B9" s="44" t="str">
        <f t="shared" ref="B9:B19" ca="1" si="0">IF(AND($J9="사용중",$F9=0),"종료확인",$J9)</f>
        <v>빈방</v>
      </c>
      <c r="C9" s="45" t="str">
        <f>IF($J9="빈방","",IFERROR(LOOKUP(2,1/((실시간콜입력!$D$14:$D$3204=$A9)*((실시간콜입력!$O$14:$O$3204="사용중")+(실시간콜입력!$O$14:$O$3204="청소중")+(실시간콜입력!$O$14:$O$3204="예약"))),실시간콜입력!$E$14:$E$3204),""))</f>
        <v/>
      </c>
      <c r="D9" s="45" t="str">
        <f>IF($J9="빈방","",IFERROR(LOOKUP(2,1/((실시간콜입력!$D$14:$D$3204=$A9)*((실시간콜입력!$O$14:$O$3204="사용중")+(실시간콜입력!$O$14:$O$3204="청소중")+(실시간콜입력!$O$14:$O$3204="예약"))),실시간콜입력!$G$14:$G$3204),"")&amp;IF(IFERROR(LOOKUP(2,1/((실시간콜입력!$D$14:$D$3204=$A9)*((실시간콜입력!$O$14:$O$3204="사용중")+(실시간콜입력!$O$14:$O$3204="청소중")+(실시간콜입력!$O$14:$O$3204="예약"))),실시간콜입력!$H$14:$H$3204),"")&lt;&gt;""," / "&amp;IFERROR(LOOKUP(2,1/((실시간콜입력!$D$14:$D$3204=$A9)*((실시간콜입력!$O$14:$O$3204="사용중")+(실시간콜입력!$O$14:$O$3204="청소중")+(실시간콜입력!$O$14:$O$3204="예약"))),실시간콜입력!$H$14:$H$3204),""),"")&amp;IF(IFERROR(LOOKUP(2,1/((실시간콜입력!$D$14:$D$3204=$A9)*((실시간콜입력!$O$14:$O$3204="사용중")+(실시간콜입력!$O$14:$O$3204="청소중")+(실시간콜입력!$O$14:$O$3204="예약"))),실시간콜입력!$I$14:$I$3204),"")&lt;&gt;""," / "&amp;IFERROR(LOOKUP(2,1/((실시간콜입력!$D$14:$D$3204=$A9)*((실시간콜입력!$O$14:$O$3204="사용중")+(실시간콜입력!$O$14:$O$3204="청소중")+(실시간콜입력!$O$14:$O$3204="예약"))),실시간콜입력!$I$14:$I$3204),""),""))</f>
        <v/>
      </c>
      <c r="E9" s="46" t="str">
        <f>IF($J9="빈방","",IFERROR(TIMEVALUE(IFERROR(LOOKUP(2,1/((실시간콜입력!$D$14:$D$3204=$A9)*((실시간콜입력!$O$14:$O$3204="사용중")+(실시간콜입력!$O$14:$O$3204="청소중")+(실시간콜입력!$O$14:$O$3204="예약"))),실시간콜입력!$C$14:$C$3204),"")),IFERROR(LOOKUP(2,1/((실시간콜입력!$D$14:$D$3204=$A9)*((실시간콜입력!$O$14:$O$3204="사용중")+(실시간콜입력!$O$14:$O$3204="청소중")+(실시간콜입력!$O$14:$O$3204="예약"))),실시간콜입력!$C$14:$C$3204),"")))</f>
        <v/>
      </c>
      <c r="F9" s="47" t="str">
        <f t="shared" ref="F9:F19" ca="1" si="1">IF($J9&lt;&gt;"사용중","",MAX(0,ROUND((($L9+$K9/1440)-NOW())*1440,0)))</f>
        <v/>
      </c>
      <c r="G9" s="46" t="str">
        <f t="shared" ref="G9:G19" si="2">IF($J9="사용중",$E9+$K9/1440,"")</f>
        <v/>
      </c>
      <c r="H9" s="48" t="str">
        <f t="shared" ref="H9:H19" ca="1" si="3">IF($B9="빈방","입실 가능",IF($B9="청소중","청소 진행",IF($B9="예약","예약 대기",IF($B9="종료확인","종료 확인 필요",$F9&amp;"분 남음"))))</f>
        <v>입실 가능</v>
      </c>
      <c r="I9" s="45"/>
      <c r="J9" s="45" t="str">
        <f>IFERROR(LOOKUP(2,1/((실시간콜입력!$D$14:$D$3204=$A9)*((실시간콜입력!$O$14:$O$3204="사용중")+(실시간콜입력!$O$14:$O$3204="청소중")+(실시간콜입력!$O$14:$O$3204="예약"))),실시간콜입력!$O$14:$O$3204),"빈방")</f>
        <v>빈방</v>
      </c>
      <c r="K9" s="45">
        <f t="array" ref="K9">IFERROR(INDEX(TV설정!$E$4:$E$8,MATCH($C9,TV설정!$D$4:$D$8,0)),60)</f>
        <v>60</v>
      </c>
      <c r="L9" s="45" t="str">
        <f t="shared" ref="L9:L19" ca="1" si="4">IF($E9="","",IF($E9&lt;TIME(3,0,0),IF(MOD(NOW(),1)&lt;TIME(3,0,0),TODAY()+$E9,TODAY()+1+$E9),TODAY()+$E9))</f>
        <v/>
      </c>
    </row>
    <row r="10" spans="1:12" ht="30.75" customHeight="1">
      <c r="A10" s="43" t="s">
        <v>64</v>
      </c>
      <c r="B10" s="44" t="str">
        <f t="shared" ca="1" si="0"/>
        <v>빈방</v>
      </c>
      <c r="C10" s="45" t="str">
        <f>IF($J10="빈방","",IFERROR(LOOKUP(2,1/((실시간콜입력!$D$14:$D$3204=$A10)*((실시간콜입력!$O$14:$O$3204="사용중")+(실시간콜입력!$O$14:$O$3204="청소중")+(실시간콜입력!$O$14:$O$3204="예약"))),실시간콜입력!$E$14:$E$3204),""))</f>
        <v/>
      </c>
      <c r="D10" s="45" t="str">
        <f>IF($J10="빈방","",IFERROR(LOOKUP(2,1/((실시간콜입력!$D$14:$D$3204=$A10)*((실시간콜입력!$O$14:$O$3204="사용중")+(실시간콜입력!$O$14:$O$3204="청소중")+(실시간콜입력!$O$14:$O$3204="예약"))),실시간콜입력!$G$14:$G$3204),"")&amp;IF(IFERROR(LOOKUP(2,1/((실시간콜입력!$D$14:$D$3204=$A10)*((실시간콜입력!$O$14:$O$3204="사용중")+(실시간콜입력!$O$14:$O$3204="청소중")+(실시간콜입력!$O$14:$O$3204="예약"))),실시간콜입력!$H$14:$H$3204),"")&lt;&gt;""," / "&amp;IFERROR(LOOKUP(2,1/((실시간콜입력!$D$14:$D$3204=$A10)*((실시간콜입력!$O$14:$O$3204="사용중")+(실시간콜입력!$O$14:$O$3204="청소중")+(실시간콜입력!$O$14:$O$3204="예약"))),실시간콜입력!$H$14:$H$3204),""),"")&amp;IF(IFERROR(LOOKUP(2,1/((실시간콜입력!$D$14:$D$3204=$A10)*((실시간콜입력!$O$14:$O$3204="사용중")+(실시간콜입력!$O$14:$O$3204="청소중")+(실시간콜입력!$O$14:$O$3204="예약"))),실시간콜입력!$I$14:$I$3204),"")&lt;&gt;""," / "&amp;IFERROR(LOOKUP(2,1/((실시간콜입력!$D$14:$D$3204=$A10)*((실시간콜입력!$O$14:$O$3204="사용중")+(실시간콜입력!$O$14:$O$3204="청소중")+(실시간콜입력!$O$14:$O$3204="예약"))),실시간콜입력!$I$14:$I$3204),""),""))</f>
        <v/>
      </c>
      <c r="E10" s="46" t="str">
        <f>IF($J10="빈방","",IFERROR(TIMEVALUE(IFERROR(LOOKUP(2,1/((실시간콜입력!$D$14:$D$3204=$A10)*((실시간콜입력!$O$14:$O$3204="사용중")+(실시간콜입력!$O$14:$O$3204="청소중")+(실시간콜입력!$O$14:$O$3204="예약"))),실시간콜입력!$C$14:$C$3204),"")),IFERROR(LOOKUP(2,1/((실시간콜입력!$D$14:$D$3204=$A10)*((실시간콜입력!$O$14:$O$3204="사용중")+(실시간콜입력!$O$14:$O$3204="청소중")+(실시간콜입력!$O$14:$O$3204="예약"))),실시간콜입력!$C$14:$C$3204),"")))</f>
        <v/>
      </c>
      <c r="F10" s="47" t="str">
        <f t="shared" ca="1" si="1"/>
        <v/>
      </c>
      <c r="G10" s="46" t="str">
        <f t="shared" si="2"/>
        <v/>
      </c>
      <c r="H10" s="48" t="str">
        <f t="shared" ca="1" si="3"/>
        <v>입실 가능</v>
      </c>
      <c r="I10" s="45"/>
      <c r="J10" s="45" t="str">
        <f>IFERROR(LOOKUP(2,1/((실시간콜입력!$D$14:$D$3204=$A10)*((실시간콜입력!$O$14:$O$3204="사용중")+(실시간콜입력!$O$14:$O$3204="청소중")+(실시간콜입력!$O$14:$O$3204="예약"))),실시간콜입력!$O$14:$O$3204),"빈방")</f>
        <v>빈방</v>
      </c>
      <c r="K10" s="45">
        <f t="array" ref="K10">IFERROR(INDEX(TV설정!$E$4:$E$8,MATCH($C10,TV설정!$D$4:$D$8,0)),60)</f>
        <v>60</v>
      </c>
      <c r="L10" s="45" t="str">
        <f t="shared" ca="1" si="4"/>
        <v/>
      </c>
    </row>
    <row r="11" spans="1:12" ht="30.75" customHeight="1">
      <c r="A11" s="43" t="s">
        <v>99</v>
      </c>
      <c r="B11" s="44" t="str">
        <f t="shared" ca="1" si="0"/>
        <v>빈방</v>
      </c>
      <c r="C11" s="45" t="str">
        <f>IF($J11="빈방","",IFERROR(LOOKUP(2,1/((실시간콜입력!$D$14:$D$3204=$A11)*((실시간콜입력!$O$14:$O$3204="사용중")+(실시간콜입력!$O$14:$O$3204="청소중")+(실시간콜입력!$O$14:$O$3204="예약"))),실시간콜입력!$E$14:$E$3204),""))</f>
        <v/>
      </c>
      <c r="D11" s="45" t="str">
        <f>IF($J11="빈방","",IFERROR(LOOKUP(2,1/((실시간콜입력!$D$14:$D$3204=$A11)*((실시간콜입력!$O$14:$O$3204="사용중")+(실시간콜입력!$O$14:$O$3204="청소중")+(실시간콜입력!$O$14:$O$3204="예약"))),실시간콜입력!$G$14:$G$3204),"")&amp;IF(IFERROR(LOOKUP(2,1/((실시간콜입력!$D$14:$D$3204=$A11)*((실시간콜입력!$O$14:$O$3204="사용중")+(실시간콜입력!$O$14:$O$3204="청소중")+(실시간콜입력!$O$14:$O$3204="예약"))),실시간콜입력!$H$14:$H$3204),"")&lt;&gt;""," / "&amp;IFERROR(LOOKUP(2,1/((실시간콜입력!$D$14:$D$3204=$A11)*((실시간콜입력!$O$14:$O$3204="사용중")+(실시간콜입력!$O$14:$O$3204="청소중")+(실시간콜입력!$O$14:$O$3204="예약"))),실시간콜입력!$H$14:$H$3204),""),"")&amp;IF(IFERROR(LOOKUP(2,1/((실시간콜입력!$D$14:$D$3204=$A11)*((실시간콜입력!$O$14:$O$3204="사용중")+(실시간콜입력!$O$14:$O$3204="청소중")+(실시간콜입력!$O$14:$O$3204="예약"))),실시간콜입력!$I$14:$I$3204),"")&lt;&gt;""," / "&amp;IFERROR(LOOKUP(2,1/((실시간콜입력!$D$14:$D$3204=$A11)*((실시간콜입력!$O$14:$O$3204="사용중")+(실시간콜입력!$O$14:$O$3204="청소중")+(실시간콜입력!$O$14:$O$3204="예약"))),실시간콜입력!$I$14:$I$3204),""),""))</f>
        <v/>
      </c>
      <c r="E11" s="46" t="str">
        <f>IF($J11="빈방","",IFERROR(TIMEVALUE(IFERROR(LOOKUP(2,1/((실시간콜입력!$D$14:$D$3204=$A11)*((실시간콜입력!$O$14:$O$3204="사용중")+(실시간콜입력!$O$14:$O$3204="청소중")+(실시간콜입력!$O$14:$O$3204="예약"))),실시간콜입력!$C$14:$C$3204),"")),IFERROR(LOOKUP(2,1/((실시간콜입력!$D$14:$D$3204=$A11)*((실시간콜입력!$O$14:$O$3204="사용중")+(실시간콜입력!$O$14:$O$3204="청소중")+(실시간콜입력!$O$14:$O$3204="예약"))),실시간콜입력!$C$14:$C$3204),"")))</f>
        <v/>
      </c>
      <c r="F11" s="47" t="str">
        <f t="shared" ca="1" si="1"/>
        <v/>
      </c>
      <c r="G11" s="46" t="str">
        <f t="shared" si="2"/>
        <v/>
      </c>
      <c r="H11" s="48" t="str">
        <f t="shared" ca="1" si="3"/>
        <v>입실 가능</v>
      </c>
      <c r="I11" s="45"/>
      <c r="J11" s="45" t="str">
        <f>IFERROR(LOOKUP(2,1/((실시간콜입력!$D$14:$D$3204=$A11)*((실시간콜입력!$O$14:$O$3204="사용중")+(실시간콜입력!$O$14:$O$3204="청소중")+(실시간콜입력!$O$14:$O$3204="예약"))),실시간콜입력!$O$14:$O$3204),"빈방")</f>
        <v>빈방</v>
      </c>
      <c r="K11" s="45">
        <f t="array" ref="K11">IFERROR(INDEX(TV설정!$E$4:$E$8,MATCH($C11,TV설정!$D$4:$D$8,0)),60)</f>
        <v>60</v>
      </c>
      <c r="L11" s="45" t="str">
        <f t="shared" ca="1" si="4"/>
        <v/>
      </c>
    </row>
    <row r="12" spans="1:12" ht="30.75" customHeight="1">
      <c r="A12" s="43" t="s">
        <v>100</v>
      </c>
      <c r="B12" s="44" t="str">
        <f t="shared" ca="1" si="0"/>
        <v>빈방</v>
      </c>
      <c r="C12" s="45" t="str">
        <f>IF($J12="빈방","",IFERROR(LOOKUP(2,1/((실시간콜입력!$D$14:$D$3204=$A12)*((실시간콜입력!$O$14:$O$3204="사용중")+(실시간콜입력!$O$14:$O$3204="청소중")+(실시간콜입력!$O$14:$O$3204="예약"))),실시간콜입력!$E$14:$E$3204),""))</f>
        <v/>
      </c>
      <c r="D12" s="45" t="str">
        <f>IF($J12="빈방","",IFERROR(LOOKUP(2,1/((실시간콜입력!$D$14:$D$3204=$A12)*((실시간콜입력!$O$14:$O$3204="사용중")+(실시간콜입력!$O$14:$O$3204="청소중")+(실시간콜입력!$O$14:$O$3204="예약"))),실시간콜입력!$G$14:$G$3204),"")&amp;IF(IFERROR(LOOKUP(2,1/((실시간콜입력!$D$14:$D$3204=$A12)*((실시간콜입력!$O$14:$O$3204="사용중")+(실시간콜입력!$O$14:$O$3204="청소중")+(실시간콜입력!$O$14:$O$3204="예약"))),실시간콜입력!$H$14:$H$3204),"")&lt;&gt;""," / "&amp;IFERROR(LOOKUP(2,1/((실시간콜입력!$D$14:$D$3204=$A12)*((실시간콜입력!$O$14:$O$3204="사용중")+(실시간콜입력!$O$14:$O$3204="청소중")+(실시간콜입력!$O$14:$O$3204="예약"))),실시간콜입력!$H$14:$H$3204),""),"")&amp;IF(IFERROR(LOOKUP(2,1/((실시간콜입력!$D$14:$D$3204=$A12)*((실시간콜입력!$O$14:$O$3204="사용중")+(실시간콜입력!$O$14:$O$3204="청소중")+(실시간콜입력!$O$14:$O$3204="예약"))),실시간콜입력!$I$14:$I$3204),"")&lt;&gt;""," / "&amp;IFERROR(LOOKUP(2,1/((실시간콜입력!$D$14:$D$3204=$A12)*((실시간콜입력!$O$14:$O$3204="사용중")+(실시간콜입력!$O$14:$O$3204="청소중")+(실시간콜입력!$O$14:$O$3204="예약"))),실시간콜입력!$I$14:$I$3204),""),""))</f>
        <v/>
      </c>
      <c r="E12" s="46" t="str">
        <f>IF($J12="빈방","",IFERROR(TIMEVALUE(IFERROR(LOOKUP(2,1/((실시간콜입력!$D$14:$D$3204=$A12)*((실시간콜입력!$O$14:$O$3204="사용중")+(실시간콜입력!$O$14:$O$3204="청소중")+(실시간콜입력!$O$14:$O$3204="예약"))),실시간콜입력!$C$14:$C$3204),"")),IFERROR(LOOKUP(2,1/((실시간콜입력!$D$14:$D$3204=$A12)*((실시간콜입력!$O$14:$O$3204="사용중")+(실시간콜입력!$O$14:$O$3204="청소중")+(실시간콜입력!$O$14:$O$3204="예약"))),실시간콜입력!$C$14:$C$3204),"")))</f>
        <v/>
      </c>
      <c r="F12" s="47" t="str">
        <f t="shared" ca="1" si="1"/>
        <v/>
      </c>
      <c r="G12" s="46" t="str">
        <f t="shared" si="2"/>
        <v/>
      </c>
      <c r="H12" s="48" t="str">
        <f t="shared" ca="1" si="3"/>
        <v>입실 가능</v>
      </c>
      <c r="I12" s="45"/>
      <c r="J12" s="45" t="str">
        <f>IFERROR(LOOKUP(2,1/((실시간콜입력!$D$14:$D$3204=$A12)*((실시간콜입력!$O$14:$O$3204="사용중")+(실시간콜입력!$O$14:$O$3204="청소중")+(실시간콜입력!$O$14:$O$3204="예약"))),실시간콜입력!$O$14:$O$3204),"빈방")</f>
        <v>빈방</v>
      </c>
      <c r="K12" s="45">
        <f t="array" ref="K12">IFERROR(INDEX(TV설정!$E$4:$E$8,MATCH($C12,TV설정!$D$4:$D$8,0)),60)</f>
        <v>60</v>
      </c>
      <c r="L12" s="45" t="str">
        <f t="shared" ca="1" si="4"/>
        <v/>
      </c>
    </row>
    <row r="13" spans="1:12" ht="30.75" customHeight="1">
      <c r="A13" s="43" t="s">
        <v>101</v>
      </c>
      <c r="B13" s="44" t="str">
        <f t="shared" ca="1" si="0"/>
        <v>빈방</v>
      </c>
      <c r="C13" s="45" t="str">
        <f>IF($J13="빈방","",IFERROR(LOOKUP(2,1/((실시간콜입력!$D$14:$D$3204=$A13)*((실시간콜입력!$O$14:$O$3204="사용중")+(실시간콜입력!$O$14:$O$3204="청소중")+(실시간콜입력!$O$14:$O$3204="예약"))),실시간콜입력!$E$14:$E$3204),""))</f>
        <v/>
      </c>
      <c r="D13" s="45" t="str">
        <f>IF($J13="빈방","",IFERROR(LOOKUP(2,1/((실시간콜입력!$D$14:$D$3204=$A13)*((실시간콜입력!$O$14:$O$3204="사용중")+(실시간콜입력!$O$14:$O$3204="청소중")+(실시간콜입력!$O$14:$O$3204="예약"))),실시간콜입력!$G$14:$G$3204),"")&amp;IF(IFERROR(LOOKUP(2,1/((실시간콜입력!$D$14:$D$3204=$A13)*((실시간콜입력!$O$14:$O$3204="사용중")+(실시간콜입력!$O$14:$O$3204="청소중")+(실시간콜입력!$O$14:$O$3204="예약"))),실시간콜입력!$H$14:$H$3204),"")&lt;&gt;""," / "&amp;IFERROR(LOOKUP(2,1/((실시간콜입력!$D$14:$D$3204=$A13)*((실시간콜입력!$O$14:$O$3204="사용중")+(실시간콜입력!$O$14:$O$3204="청소중")+(실시간콜입력!$O$14:$O$3204="예약"))),실시간콜입력!$H$14:$H$3204),""),"")&amp;IF(IFERROR(LOOKUP(2,1/((실시간콜입력!$D$14:$D$3204=$A13)*((실시간콜입력!$O$14:$O$3204="사용중")+(실시간콜입력!$O$14:$O$3204="청소중")+(실시간콜입력!$O$14:$O$3204="예약"))),실시간콜입력!$I$14:$I$3204),"")&lt;&gt;""," / "&amp;IFERROR(LOOKUP(2,1/((실시간콜입력!$D$14:$D$3204=$A13)*((실시간콜입력!$O$14:$O$3204="사용중")+(실시간콜입력!$O$14:$O$3204="청소중")+(실시간콜입력!$O$14:$O$3204="예약"))),실시간콜입력!$I$14:$I$3204),""),""))</f>
        <v/>
      </c>
      <c r="E13" s="46" t="str">
        <f>IF($J13="빈방","",IFERROR(TIMEVALUE(IFERROR(LOOKUP(2,1/((실시간콜입력!$D$14:$D$3204=$A13)*((실시간콜입력!$O$14:$O$3204="사용중")+(실시간콜입력!$O$14:$O$3204="청소중")+(실시간콜입력!$O$14:$O$3204="예약"))),실시간콜입력!$C$14:$C$3204),"")),IFERROR(LOOKUP(2,1/((실시간콜입력!$D$14:$D$3204=$A13)*((실시간콜입력!$O$14:$O$3204="사용중")+(실시간콜입력!$O$14:$O$3204="청소중")+(실시간콜입력!$O$14:$O$3204="예약"))),실시간콜입력!$C$14:$C$3204),"")))</f>
        <v/>
      </c>
      <c r="F13" s="47" t="str">
        <f t="shared" ca="1" si="1"/>
        <v/>
      </c>
      <c r="G13" s="46" t="str">
        <f t="shared" si="2"/>
        <v/>
      </c>
      <c r="H13" s="48" t="str">
        <f t="shared" ca="1" si="3"/>
        <v>입실 가능</v>
      </c>
      <c r="I13" s="45"/>
      <c r="J13" s="45" t="str">
        <f>IFERROR(LOOKUP(2,1/((실시간콜입력!$D$14:$D$3204=$A13)*((실시간콜입력!$O$14:$O$3204="사용중")+(실시간콜입력!$O$14:$O$3204="청소중")+(실시간콜입력!$O$14:$O$3204="예약"))),실시간콜입력!$O$14:$O$3204),"빈방")</f>
        <v>빈방</v>
      </c>
      <c r="K13" s="45">
        <f t="array" ref="K13">IFERROR(INDEX(TV설정!$E$4:$E$8,MATCH($C13,TV설정!$D$4:$D$8,0)),60)</f>
        <v>60</v>
      </c>
      <c r="L13" s="45" t="str">
        <f t="shared" ca="1" si="4"/>
        <v/>
      </c>
    </row>
    <row r="14" spans="1:12" ht="30.75" customHeight="1">
      <c r="A14" s="43" t="s">
        <v>102</v>
      </c>
      <c r="B14" s="44" t="str">
        <f t="shared" ca="1" si="0"/>
        <v>빈방</v>
      </c>
      <c r="C14" s="45" t="str">
        <f>IF($J14="빈방","",IFERROR(LOOKUP(2,1/((실시간콜입력!$D$14:$D$3204=$A14)*((실시간콜입력!$O$14:$O$3204="사용중")+(실시간콜입력!$O$14:$O$3204="청소중")+(실시간콜입력!$O$14:$O$3204="예약"))),실시간콜입력!$E$14:$E$3204),""))</f>
        <v/>
      </c>
      <c r="D14" s="45" t="str">
        <f>IF($J14="빈방","",IFERROR(LOOKUP(2,1/((실시간콜입력!$D$14:$D$3204=$A14)*((실시간콜입력!$O$14:$O$3204="사용중")+(실시간콜입력!$O$14:$O$3204="청소중")+(실시간콜입력!$O$14:$O$3204="예약"))),실시간콜입력!$G$14:$G$3204),"")&amp;IF(IFERROR(LOOKUP(2,1/((실시간콜입력!$D$14:$D$3204=$A14)*((실시간콜입력!$O$14:$O$3204="사용중")+(실시간콜입력!$O$14:$O$3204="청소중")+(실시간콜입력!$O$14:$O$3204="예약"))),실시간콜입력!$H$14:$H$3204),"")&lt;&gt;""," / "&amp;IFERROR(LOOKUP(2,1/((실시간콜입력!$D$14:$D$3204=$A14)*((실시간콜입력!$O$14:$O$3204="사용중")+(실시간콜입력!$O$14:$O$3204="청소중")+(실시간콜입력!$O$14:$O$3204="예약"))),실시간콜입력!$H$14:$H$3204),""),"")&amp;IF(IFERROR(LOOKUP(2,1/((실시간콜입력!$D$14:$D$3204=$A14)*((실시간콜입력!$O$14:$O$3204="사용중")+(실시간콜입력!$O$14:$O$3204="청소중")+(실시간콜입력!$O$14:$O$3204="예약"))),실시간콜입력!$I$14:$I$3204),"")&lt;&gt;""," / "&amp;IFERROR(LOOKUP(2,1/((실시간콜입력!$D$14:$D$3204=$A14)*((실시간콜입력!$O$14:$O$3204="사용중")+(실시간콜입력!$O$14:$O$3204="청소중")+(실시간콜입력!$O$14:$O$3204="예약"))),실시간콜입력!$I$14:$I$3204),""),""))</f>
        <v/>
      </c>
      <c r="E14" s="46" t="str">
        <f>IF($J14="빈방","",IFERROR(TIMEVALUE(IFERROR(LOOKUP(2,1/((실시간콜입력!$D$14:$D$3204=$A14)*((실시간콜입력!$O$14:$O$3204="사용중")+(실시간콜입력!$O$14:$O$3204="청소중")+(실시간콜입력!$O$14:$O$3204="예약"))),실시간콜입력!$C$14:$C$3204),"")),IFERROR(LOOKUP(2,1/((실시간콜입력!$D$14:$D$3204=$A14)*((실시간콜입력!$O$14:$O$3204="사용중")+(실시간콜입력!$O$14:$O$3204="청소중")+(실시간콜입력!$O$14:$O$3204="예약"))),실시간콜입력!$C$14:$C$3204),"")))</f>
        <v/>
      </c>
      <c r="F14" s="47" t="str">
        <f t="shared" ca="1" si="1"/>
        <v/>
      </c>
      <c r="G14" s="46" t="str">
        <f t="shared" si="2"/>
        <v/>
      </c>
      <c r="H14" s="48" t="str">
        <f t="shared" ca="1" si="3"/>
        <v>입실 가능</v>
      </c>
      <c r="I14" s="45"/>
      <c r="J14" s="45" t="str">
        <f>IFERROR(LOOKUP(2,1/((실시간콜입력!$D$14:$D$3204=$A14)*((실시간콜입력!$O$14:$O$3204="사용중")+(실시간콜입력!$O$14:$O$3204="청소중")+(실시간콜입력!$O$14:$O$3204="예약"))),실시간콜입력!$O$14:$O$3204),"빈방")</f>
        <v>빈방</v>
      </c>
      <c r="K14" s="45">
        <f t="array" ref="K14">IFERROR(INDEX(TV설정!$E$4:$E$8,MATCH($C14,TV설정!$D$4:$D$8,0)),60)</f>
        <v>60</v>
      </c>
      <c r="L14" s="45" t="str">
        <f t="shared" ca="1" si="4"/>
        <v/>
      </c>
    </row>
    <row r="15" spans="1:12" ht="30.75" customHeight="1">
      <c r="A15" s="43" t="s">
        <v>103</v>
      </c>
      <c r="B15" s="44" t="str">
        <f t="shared" ca="1" si="0"/>
        <v>빈방</v>
      </c>
      <c r="C15" s="45" t="str">
        <f>IF($J15="빈방","",IFERROR(LOOKUP(2,1/((실시간콜입력!$D$14:$D$3204=$A15)*((실시간콜입력!$O$14:$O$3204="사용중")+(실시간콜입력!$O$14:$O$3204="청소중")+(실시간콜입력!$O$14:$O$3204="예약"))),실시간콜입력!$E$14:$E$3204),""))</f>
        <v/>
      </c>
      <c r="D15" s="45" t="str">
        <f>IF($J15="빈방","",IFERROR(LOOKUP(2,1/((실시간콜입력!$D$14:$D$3204=$A15)*((실시간콜입력!$O$14:$O$3204="사용중")+(실시간콜입력!$O$14:$O$3204="청소중")+(실시간콜입력!$O$14:$O$3204="예약"))),실시간콜입력!$G$14:$G$3204),"")&amp;IF(IFERROR(LOOKUP(2,1/((실시간콜입력!$D$14:$D$3204=$A15)*((실시간콜입력!$O$14:$O$3204="사용중")+(실시간콜입력!$O$14:$O$3204="청소중")+(실시간콜입력!$O$14:$O$3204="예약"))),실시간콜입력!$H$14:$H$3204),"")&lt;&gt;""," / "&amp;IFERROR(LOOKUP(2,1/((실시간콜입력!$D$14:$D$3204=$A15)*((실시간콜입력!$O$14:$O$3204="사용중")+(실시간콜입력!$O$14:$O$3204="청소중")+(실시간콜입력!$O$14:$O$3204="예약"))),실시간콜입력!$H$14:$H$3204),""),"")&amp;IF(IFERROR(LOOKUP(2,1/((실시간콜입력!$D$14:$D$3204=$A15)*((실시간콜입력!$O$14:$O$3204="사용중")+(실시간콜입력!$O$14:$O$3204="청소중")+(실시간콜입력!$O$14:$O$3204="예약"))),실시간콜입력!$I$14:$I$3204),"")&lt;&gt;""," / "&amp;IFERROR(LOOKUP(2,1/((실시간콜입력!$D$14:$D$3204=$A15)*((실시간콜입력!$O$14:$O$3204="사용중")+(실시간콜입력!$O$14:$O$3204="청소중")+(실시간콜입력!$O$14:$O$3204="예약"))),실시간콜입력!$I$14:$I$3204),""),""))</f>
        <v/>
      </c>
      <c r="E15" s="46" t="str">
        <f>IF($J15="빈방","",IFERROR(TIMEVALUE(IFERROR(LOOKUP(2,1/((실시간콜입력!$D$14:$D$3204=$A15)*((실시간콜입력!$O$14:$O$3204="사용중")+(실시간콜입력!$O$14:$O$3204="청소중")+(실시간콜입력!$O$14:$O$3204="예약"))),실시간콜입력!$C$14:$C$3204),"")),IFERROR(LOOKUP(2,1/((실시간콜입력!$D$14:$D$3204=$A15)*((실시간콜입력!$O$14:$O$3204="사용중")+(실시간콜입력!$O$14:$O$3204="청소중")+(실시간콜입력!$O$14:$O$3204="예약"))),실시간콜입력!$C$14:$C$3204),"")))</f>
        <v/>
      </c>
      <c r="F15" s="47" t="str">
        <f t="shared" ca="1" si="1"/>
        <v/>
      </c>
      <c r="G15" s="46" t="str">
        <f t="shared" si="2"/>
        <v/>
      </c>
      <c r="H15" s="48" t="str">
        <f t="shared" ca="1" si="3"/>
        <v>입실 가능</v>
      </c>
      <c r="I15" s="45"/>
      <c r="J15" s="45" t="str">
        <f>IFERROR(LOOKUP(2,1/((실시간콜입력!$D$14:$D$3204=$A15)*((실시간콜입력!$O$14:$O$3204="사용중")+(실시간콜입력!$O$14:$O$3204="청소중")+(실시간콜입력!$O$14:$O$3204="예약"))),실시간콜입력!$O$14:$O$3204),"빈방")</f>
        <v>빈방</v>
      </c>
      <c r="K15" s="45">
        <f t="array" ref="K15">IFERROR(INDEX(TV설정!$E$4:$E$8,MATCH($C15,TV설정!$D$4:$D$8,0)),60)</f>
        <v>60</v>
      </c>
      <c r="L15" s="45" t="str">
        <f t="shared" ca="1" si="4"/>
        <v/>
      </c>
    </row>
    <row r="16" spans="1:12" ht="30.75" customHeight="1">
      <c r="A16" s="43" t="s">
        <v>104</v>
      </c>
      <c r="B16" s="44" t="str">
        <f t="shared" ca="1" si="0"/>
        <v>빈방</v>
      </c>
      <c r="C16" s="45" t="str">
        <f>IF($J16="빈방","",IFERROR(LOOKUP(2,1/((실시간콜입력!$D$14:$D$3204=$A16)*((실시간콜입력!$O$14:$O$3204="사용중")+(실시간콜입력!$O$14:$O$3204="청소중")+(실시간콜입력!$O$14:$O$3204="예약"))),실시간콜입력!$E$14:$E$3204),""))</f>
        <v/>
      </c>
      <c r="D16" s="45" t="str">
        <f>IF($J16="빈방","",IFERROR(LOOKUP(2,1/((실시간콜입력!$D$14:$D$3204=$A16)*((실시간콜입력!$O$14:$O$3204="사용중")+(실시간콜입력!$O$14:$O$3204="청소중")+(실시간콜입력!$O$14:$O$3204="예약"))),실시간콜입력!$G$14:$G$3204),"")&amp;IF(IFERROR(LOOKUP(2,1/((실시간콜입력!$D$14:$D$3204=$A16)*((실시간콜입력!$O$14:$O$3204="사용중")+(실시간콜입력!$O$14:$O$3204="청소중")+(실시간콜입력!$O$14:$O$3204="예약"))),실시간콜입력!$H$14:$H$3204),"")&lt;&gt;""," / "&amp;IFERROR(LOOKUP(2,1/((실시간콜입력!$D$14:$D$3204=$A16)*((실시간콜입력!$O$14:$O$3204="사용중")+(실시간콜입력!$O$14:$O$3204="청소중")+(실시간콜입력!$O$14:$O$3204="예약"))),실시간콜입력!$H$14:$H$3204),""),"")&amp;IF(IFERROR(LOOKUP(2,1/((실시간콜입력!$D$14:$D$3204=$A16)*((실시간콜입력!$O$14:$O$3204="사용중")+(실시간콜입력!$O$14:$O$3204="청소중")+(실시간콜입력!$O$14:$O$3204="예약"))),실시간콜입력!$I$14:$I$3204),"")&lt;&gt;""," / "&amp;IFERROR(LOOKUP(2,1/((실시간콜입력!$D$14:$D$3204=$A16)*((실시간콜입력!$O$14:$O$3204="사용중")+(실시간콜입력!$O$14:$O$3204="청소중")+(실시간콜입력!$O$14:$O$3204="예약"))),실시간콜입력!$I$14:$I$3204),""),""))</f>
        <v/>
      </c>
      <c r="E16" s="46" t="str">
        <f>IF($J16="빈방","",IFERROR(TIMEVALUE(IFERROR(LOOKUP(2,1/((실시간콜입력!$D$14:$D$3204=$A16)*((실시간콜입력!$O$14:$O$3204="사용중")+(실시간콜입력!$O$14:$O$3204="청소중")+(실시간콜입력!$O$14:$O$3204="예약"))),실시간콜입력!$C$14:$C$3204),"")),IFERROR(LOOKUP(2,1/((실시간콜입력!$D$14:$D$3204=$A16)*((실시간콜입력!$O$14:$O$3204="사용중")+(실시간콜입력!$O$14:$O$3204="청소중")+(실시간콜입력!$O$14:$O$3204="예약"))),실시간콜입력!$C$14:$C$3204),"")))</f>
        <v/>
      </c>
      <c r="F16" s="47" t="str">
        <f t="shared" ca="1" si="1"/>
        <v/>
      </c>
      <c r="G16" s="46" t="str">
        <f t="shared" si="2"/>
        <v/>
      </c>
      <c r="H16" s="48" t="str">
        <f t="shared" ca="1" si="3"/>
        <v>입실 가능</v>
      </c>
      <c r="I16" s="45"/>
      <c r="J16" s="45" t="str">
        <f>IFERROR(LOOKUP(2,1/((실시간콜입력!$D$14:$D$3204=$A16)*((실시간콜입력!$O$14:$O$3204="사용중")+(실시간콜입력!$O$14:$O$3204="청소중")+(실시간콜입력!$O$14:$O$3204="예약"))),실시간콜입력!$O$14:$O$3204),"빈방")</f>
        <v>빈방</v>
      </c>
      <c r="K16" s="45">
        <f t="array" ref="K16">IFERROR(INDEX(TV설정!$E$4:$E$8,MATCH($C16,TV설정!$D$4:$D$8,0)),60)</f>
        <v>60</v>
      </c>
      <c r="L16" s="45" t="str">
        <f t="shared" ca="1" si="4"/>
        <v/>
      </c>
    </row>
    <row r="17" spans="1:12" ht="30.75" customHeight="1">
      <c r="A17" s="43" t="s">
        <v>105</v>
      </c>
      <c r="B17" s="44" t="str">
        <f t="shared" ca="1" si="0"/>
        <v>빈방</v>
      </c>
      <c r="C17" s="45" t="str">
        <f>IF($J17="빈방","",IFERROR(LOOKUP(2,1/((실시간콜입력!$D$14:$D$3204=$A17)*((실시간콜입력!$O$14:$O$3204="사용중")+(실시간콜입력!$O$14:$O$3204="청소중")+(실시간콜입력!$O$14:$O$3204="예약"))),실시간콜입력!$E$14:$E$3204),""))</f>
        <v/>
      </c>
      <c r="D17" s="45" t="str">
        <f>IF($J17="빈방","",IFERROR(LOOKUP(2,1/((실시간콜입력!$D$14:$D$3204=$A17)*((실시간콜입력!$O$14:$O$3204="사용중")+(실시간콜입력!$O$14:$O$3204="청소중")+(실시간콜입력!$O$14:$O$3204="예약"))),실시간콜입력!$G$14:$G$3204),"")&amp;IF(IFERROR(LOOKUP(2,1/((실시간콜입력!$D$14:$D$3204=$A17)*((실시간콜입력!$O$14:$O$3204="사용중")+(실시간콜입력!$O$14:$O$3204="청소중")+(실시간콜입력!$O$14:$O$3204="예약"))),실시간콜입력!$H$14:$H$3204),"")&lt;&gt;""," / "&amp;IFERROR(LOOKUP(2,1/((실시간콜입력!$D$14:$D$3204=$A17)*((실시간콜입력!$O$14:$O$3204="사용중")+(실시간콜입력!$O$14:$O$3204="청소중")+(실시간콜입력!$O$14:$O$3204="예약"))),실시간콜입력!$H$14:$H$3204),""),"")&amp;IF(IFERROR(LOOKUP(2,1/((실시간콜입력!$D$14:$D$3204=$A17)*((실시간콜입력!$O$14:$O$3204="사용중")+(실시간콜입력!$O$14:$O$3204="청소중")+(실시간콜입력!$O$14:$O$3204="예약"))),실시간콜입력!$I$14:$I$3204),"")&lt;&gt;""," / "&amp;IFERROR(LOOKUP(2,1/((실시간콜입력!$D$14:$D$3204=$A17)*((실시간콜입력!$O$14:$O$3204="사용중")+(실시간콜입력!$O$14:$O$3204="청소중")+(실시간콜입력!$O$14:$O$3204="예약"))),실시간콜입력!$I$14:$I$3204),""),""))</f>
        <v/>
      </c>
      <c r="E17" s="46" t="str">
        <f>IF($J17="빈방","",IFERROR(TIMEVALUE(IFERROR(LOOKUP(2,1/((실시간콜입력!$D$14:$D$3204=$A17)*((실시간콜입력!$O$14:$O$3204="사용중")+(실시간콜입력!$O$14:$O$3204="청소중")+(실시간콜입력!$O$14:$O$3204="예약"))),실시간콜입력!$C$14:$C$3204),"")),IFERROR(LOOKUP(2,1/((실시간콜입력!$D$14:$D$3204=$A17)*((실시간콜입력!$O$14:$O$3204="사용중")+(실시간콜입력!$O$14:$O$3204="청소중")+(실시간콜입력!$O$14:$O$3204="예약"))),실시간콜입력!$C$14:$C$3204),"")))</f>
        <v/>
      </c>
      <c r="F17" s="47" t="str">
        <f t="shared" ca="1" si="1"/>
        <v/>
      </c>
      <c r="G17" s="46" t="str">
        <f t="shared" si="2"/>
        <v/>
      </c>
      <c r="H17" s="48" t="str">
        <f t="shared" ca="1" si="3"/>
        <v>입실 가능</v>
      </c>
      <c r="I17" s="45"/>
      <c r="J17" s="45" t="str">
        <f>IFERROR(LOOKUP(2,1/((실시간콜입력!$D$14:$D$3204=$A17)*((실시간콜입력!$O$14:$O$3204="사용중")+(실시간콜입력!$O$14:$O$3204="청소중")+(실시간콜입력!$O$14:$O$3204="예약"))),실시간콜입력!$O$14:$O$3204),"빈방")</f>
        <v>빈방</v>
      </c>
      <c r="K17" s="45">
        <f t="array" ref="K17">IFERROR(INDEX(TV설정!$E$4:$E$8,MATCH($C17,TV설정!$D$4:$D$8,0)),60)</f>
        <v>60</v>
      </c>
      <c r="L17" s="45" t="str">
        <f t="shared" ca="1" si="4"/>
        <v/>
      </c>
    </row>
    <row r="18" spans="1:12" ht="30.75" customHeight="1">
      <c r="A18" s="43" t="s">
        <v>106</v>
      </c>
      <c r="B18" s="44" t="str">
        <f t="shared" ca="1" si="0"/>
        <v>빈방</v>
      </c>
      <c r="C18" s="45" t="str">
        <f>IF($J18="빈방","",IFERROR(LOOKUP(2,1/((실시간콜입력!$D$14:$D$3204=$A18)*((실시간콜입력!$O$14:$O$3204="사용중")+(실시간콜입력!$O$14:$O$3204="청소중")+(실시간콜입력!$O$14:$O$3204="예약"))),실시간콜입력!$E$14:$E$3204),""))</f>
        <v/>
      </c>
      <c r="D18" s="45" t="str">
        <f>IF($J18="빈방","",IFERROR(LOOKUP(2,1/((실시간콜입력!$D$14:$D$3204=$A18)*((실시간콜입력!$O$14:$O$3204="사용중")+(실시간콜입력!$O$14:$O$3204="청소중")+(실시간콜입력!$O$14:$O$3204="예약"))),실시간콜입력!$G$14:$G$3204),"")&amp;IF(IFERROR(LOOKUP(2,1/((실시간콜입력!$D$14:$D$3204=$A18)*((실시간콜입력!$O$14:$O$3204="사용중")+(실시간콜입력!$O$14:$O$3204="청소중")+(실시간콜입력!$O$14:$O$3204="예약"))),실시간콜입력!$H$14:$H$3204),"")&lt;&gt;""," / "&amp;IFERROR(LOOKUP(2,1/((실시간콜입력!$D$14:$D$3204=$A18)*((실시간콜입력!$O$14:$O$3204="사용중")+(실시간콜입력!$O$14:$O$3204="청소중")+(실시간콜입력!$O$14:$O$3204="예약"))),실시간콜입력!$H$14:$H$3204),""),"")&amp;IF(IFERROR(LOOKUP(2,1/((실시간콜입력!$D$14:$D$3204=$A18)*((실시간콜입력!$O$14:$O$3204="사용중")+(실시간콜입력!$O$14:$O$3204="청소중")+(실시간콜입력!$O$14:$O$3204="예약"))),실시간콜입력!$I$14:$I$3204),"")&lt;&gt;""," / "&amp;IFERROR(LOOKUP(2,1/((실시간콜입력!$D$14:$D$3204=$A18)*((실시간콜입력!$O$14:$O$3204="사용중")+(실시간콜입력!$O$14:$O$3204="청소중")+(실시간콜입력!$O$14:$O$3204="예약"))),실시간콜입력!$I$14:$I$3204),""),""))</f>
        <v/>
      </c>
      <c r="E18" s="46" t="str">
        <f>IF($J18="빈방","",IFERROR(TIMEVALUE(IFERROR(LOOKUP(2,1/((실시간콜입력!$D$14:$D$3204=$A18)*((실시간콜입력!$O$14:$O$3204="사용중")+(실시간콜입력!$O$14:$O$3204="청소중")+(실시간콜입력!$O$14:$O$3204="예약"))),실시간콜입력!$C$14:$C$3204),"")),IFERROR(LOOKUP(2,1/((실시간콜입력!$D$14:$D$3204=$A18)*((실시간콜입력!$O$14:$O$3204="사용중")+(실시간콜입력!$O$14:$O$3204="청소중")+(실시간콜입력!$O$14:$O$3204="예약"))),실시간콜입력!$C$14:$C$3204),"")))</f>
        <v/>
      </c>
      <c r="F18" s="47" t="str">
        <f t="shared" ca="1" si="1"/>
        <v/>
      </c>
      <c r="G18" s="46" t="str">
        <f t="shared" si="2"/>
        <v/>
      </c>
      <c r="H18" s="48" t="str">
        <f t="shared" ca="1" si="3"/>
        <v>입실 가능</v>
      </c>
      <c r="I18" s="45"/>
      <c r="J18" s="45" t="str">
        <f>IFERROR(LOOKUP(2,1/((실시간콜입력!$D$14:$D$3204=$A18)*((실시간콜입력!$O$14:$O$3204="사용중")+(실시간콜입력!$O$14:$O$3204="청소중")+(실시간콜입력!$O$14:$O$3204="예약"))),실시간콜입력!$O$14:$O$3204),"빈방")</f>
        <v>빈방</v>
      </c>
      <c r="K18" s="45">
        <f t="array" ref="K18">IFERROR(INDEX(TV설정!$E$4:$E$8,MATCH($C18,TV설정!$D$4:$D$8,0)),60)</f>
        <v>60</v>
      </c>
      <c r="L18" s="45" t="str">
        <f t="shared" ca="1" si="4"/>
        <v/>
      </c>
    </row>
    <row r="19" spans="1:12" ht="30.75" customHeight="1">
      <c r="A19" s="43" t="s">
        <v>107</v>
      </c>
      <c r="B19" s="44" t="str">
        <f t="shared" ca="1" si="0"/>
        <v>빈방</v>
      </c>
      <c r="C19" s="45" t="str">
        <f>IF($J19="빈방","",IFERROR(LOOKUP(2,1/((실시간콜입력!$D$14:$D$3204=$A19)*((실시간콜입력!$O$14:$O$3204="사용중")+(실시간콜입력!$O$14:$O$3204="청소중")+(실시간콜입력!$O$14:$O$3204="예약"))),실시간콜입력!$E$14:$E$3204),""))</f>
        <v/>
      </c>
      <c r="D19" s="45" t="str">
        <f>IF($J19="빈방","",IFERROR(LOOKUP(2,1/((실시간콜입력!$D$14:$D$3204=$A19)*((실시간콜입력!$O$14:$O$3204="사용중")+(실시간콜입력!$O$14:$O$3204="청소중")+(실시간콜입력!$O$14:$O$3204="예약"))),실시간콜입력!$G$14:$G$3204),"")&amp;IF(IFERROR(LOOKUP(2,1/((실시간콜입력!$D$14:$D$3204=$A19)*((실시간콜입력!$O$14:$O$3204="사용중")+(실시간콜입력!$O$14:$O$3204="청소중")+(실시간콜입력!$O$14:$O$3204="예약"))),실시간콜입력!$H$14:$H$3204),"")&lt;&gt;""," / "&amp;IFERROR(LOOKUP(2,1/((실시간콜입력!$D$14:$D$3204=$A19)*((실시간콜입력!$O$14:$O$3204="사용중")+(실시간콜입력!$O$14:$O$3204="청소중")+(실시간콜입력!$O$14:$O$3204="예약"))),실시간콜입력!$H$14:$H$3204),""),"")&amp;IF(IFERROR(LOOKUP(2,1/((실시간콜입력!$D$14:$D$3204=$A19)*((실시간콜입력!$O$14:$O$3204="사용중")+(실시간콜입력!$O$14:$O$3204="청소중")+(실시간콜입력!$O$14:$O$3204="예약"))),실시간콜입력!$I$14:$I$3204),"")&lt;&gt;""," / "&amp;IFERROR(LOOKUP(2,1/((실시간콜입력!$D$14:$D$3204=$A19)*((실시간콜입력!$O$14:$O$3204="사용중")+(실시간콜입력!$O$14:$O$3204="청소중")+(실시간콜입력!$O$14:$O$3204="예약"))),실시간콜입력!$I$14:$I$3204),""),""))</f>
        <v/>
      </c>
      <c r="E19" s="46" t="str">
        <f>IF($J19="빈방","",IFERROR(TIMEVALUE(IFERROR(LOOKUP(2,1/((실시간콜입력!$D$14:$D$3204=$A19)*((실시간콜입력!$O$14:$O$3204="사용중")+(실시간콜입력!$O$14:$O$3204="청소중")+(실시간콜입력!$O$14:$O$3204="예약"))),실시간콜입력!$C$14:$C$3204),"")),IFERROR(LOOKUP(2,1/((실시간콜입력!$D$14:$D$3204=$A19)*((실시간콜입력!$O$14:$O$3204="사용중")+(실시간콜입력!$O$14:$O$3204="청소중")+(실시간콜입력!$O$14:$O$3204="예약"))),실시간콜입력!$C$14:$C$3204),"")))</f>
        <v/>
      </c>
      <c r="F19" s="47" t="str">
        <f t="shared" ca="1" si="1"/>
        <v/>
      </c>
      <c r="G19" s="46" t="str">
        <f t="shared" si="2"/>
        <v/>
      </c>
      <c r="H19" s="48" t="str">
        <f t="shared" ca="1" si="3"/>
        <v>입실 가능</v>
      </c>
      <c r="I19" s="45"/>
      <c r="J19" s="45" t="str">
        <f>IFERROR(LOOKUP(2,1/((실시간콜입력!$D$14:$D$3204=$A19)*((실시간콜입력!$O$14:$O$3204="사용중")+(실시간콜입력!$O$14:$O$3204="청소중")+(실시간콜입력!$O$14:$O$3204="예약"))),실시간콜입력!$O$14:$O$3204),"빈방")</f>
        <v>빈방</v>
      </c>
      <c r="K19" s="45">
        <f t="array" ref="K19">IFERROR(INDEX(TV설정!$E$4:$E$8,MATCH($C19,TV설정!$D$4:$D$8,0)),60)</f>
        <v>60</v>
      </c>
      <c r="L19" s="45" t="str">
        <f t="shared" ca="1" si="4"/>
        <v/>
      </c>
    </row>
    <row r="20" spans="1:12" ht="14.25" customHeight="1"/>
    <row r="21" spans="1:12" ht="14.25" customHeight="1"/>
    <row r="22" spans="1:12" ht="14.25" customHeight="1">
      <c r="A22" s="134" t="s">
        <v>108</v>
      </c>
      <c r="B22" s="129"/>
      <c r="C22" s="129"/>
      <c r="D22" s="129"/>
      <c r="E22" s="129"/>
      <c r="F22" s="129"/>
      <c r="G22" s="129"/>
      <c r="H22" s="129"/>
      <c r="I22" s="129"/>
    </row>
    <row r="23" spans="1:12" ht="14.25" customHeight="1">
      <c r="A23" s="134" t="s">
        <v>109</v>
      </c>
      <c r="B23" s="129"/>
      <c r="C23" s="129"/>
      <c r="D23" s="129"/>
      <c r="E23" s="129"/>
      <c r="F23" s="129"/>
      <c r="G23" s="129"/>
      <c r="H23" s="129"/>
      <c r="I23" s="129"/>
    </row>
    <row r="24" spans="1:12" ht="14.25" customHeight="1">
      <c r="A24" s="134" t="s">
        <v>110</v>
      </c>
      <c r="B24" s="129"/>
      <c r="C24" s="129"/>
      <c r="D24" s="129"/>
      <c r="E24" s="129"/>
      <c r="F24" s="129"/>
      <c r="G24" s="129"/>
      <c r="H24" s="129"/>
      <c r="I24" s="129"/>
    </row>
    <row r="25" spans="1:12" ht="14.25" customHeight="1">
      <c r="A25" s="134" t="s">
        <v>111</v>
      </c>
      <c r="B25" s="129"/>
      <c r="C25" s="129"/>
      <c r="D25" s="129"/>
      <c r="E25" s="129"/>
      <c r="F25" s="129"/>
      <c r="G25" s="129"/>
      <c r="H25" s="129"/>
      <c r="I25" s="129"/>
    </row>
    <row r="26" spans="1:12" ht="14.25" customHeight="1"/>
    <row r="27" spans="1:12" ht="14.25" customHeight="1"/>
    <row r="28" spans="1:12" ht="14.25" customHeight="1"/>
    <row r="29" spans="1:12" ht="14.25" customHeight="1"/>
    <row r="30" spans="1:12" ht="14.25" customHeight="1"/>
    <row r="31" spans="1:12" ht="14.25" customHeight="1"/>
    <row r="32" spans="1:1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25:I25"/>
    <mergeCell ref="A2:I2"/>
    <mergeCell ref="A1:I1"/>
    <mergeCell ref="A23:I23"/>
    <mergeCell ref="A22:I22"/>
    <mergeCell ref="A24:I24"/>
  </mergeCells>
  <phoneticPr fontId="45" type="noConversion"/>
  <conditionalFormatting sqref="A9:I19">
    <cfRule type="expression" dxfId="59" priority="1">
      <formula>$B9="사용중"</formula>
    </cfRule>
    <cfRule type="expression" dxfId="58" priority="2">
      <formula>$B9="청소중"</formula>
    </cfRule>
    <cfRule type="expression" dxfId="57" priority="3">
      <formula>$B9="예약"</formula>
    </cfRule>
    <cfRule type="expression" dxfId="56" priority="4">
      <formula>$B9="종료확인"</formula>
    </cfRule>
    <cfRule type="expression" dxfId="55" priority="5">
      <formula>$B9="빈방"</formula>
    </cfRule>
  </conditionalFormatting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showGridLines="0" workbookViewId="0">
      <pane ySplit="6" topLeftCell="A7" activePane="bottomLeft" state="frozen"/>
      <selection pane="bottomLeft" activeCell="A8" sqref="A8:C8"/>
    </sheetView>
  </sheetViews>
  <sheetFormatPr defaultColWidth="14.453125" defaultRowHeight="15" customHeight="1"/>
  <cols>
    <col min="1" max="9" width="14.453125" customWidth="1"/>
    <col min="10" max="12" width="11" customWidth="1"/>
    <col min="13" max="26" width="8.7265625" customWidth="1"/>
  </cols>
  <sheetData>
    <row r="1" spans="1:12" ht="27.75" customHeight="1">
      <c r="A1" s="145" t="s">
        <v>112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ht="24" customHeight="1">
      <c r="A2" s="143" t="s">
        <v>113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</row>
    <row r="3" spans="1:12" ht="12" customHeight="1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ht="24.75" customHeight="1">
      <c r="A4" s="50" t="s">
        <v>83</v>
      </c>
      <c r="B4" s="51" t="s">
        <v>84</v>
      </c>
      <c r="C4" s="52" t="s">
        <v>85</v>
      </c>
      <c r="D4" s="53" t="s">
        <v>86</v>
      </c>
      <c r="E4" s="54" t="s">
        <v>87</v>
      </c>
      <c r="F4" s="55" t="s">
        <v>88</v>
      </c>
      <c r="G4" s="49"/>
      <c r="H4" s="49"/>
      <c r="I4" s="49"/>
      <c r="J4" s="49"/>
      <c r="K4" s="49"/>
      <c r="L4" s="49"/>
    </row>
    <row r="5" spans="1:12" ht="27.75" customHeight="1">
      <c r="A5" s="56">
        <f ca="1">웨이터리스트!A5</f>
        <v>0</v>
      </c>
      <c r="B5" s="56">
        <f ca="1">웨이터리스트!B5</f>
        <v>0</v>
      </c>
      <c r="C5" s="56">
        <f ca="1">웨이터리스트!C5</f>
        <v>0</v>
      </c>
      <c r="D5" s="56">
        <f ca="1">웨이터리스트!D5</f>
        <v>0</v>
      </c>
      <c r="E5" s="56">
        <f ca="1">웨이터리스트!E5</f>
        <v>11</v>
      </c>
      <c r="F5" s="56">
        <f ca="1">웨이터리스트!F5</f>
        <v>0</v>
      </c>
      <c r="G5" s="49"/>
      <c r="H5" s="49"/>
      <c r="I5" s="49"/>
      <c r="J5" s="49"/>
      <c r="K5" s="49"/>
      <c r="L5" s="49"/>
    </row>
    <row r="6" spans="1:12" ht="13.5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</row>
    <row r="7" spans="1:12" ht="31.5" customHeight="1">
      <c r="A7" s="137" t="str">
        <f>웨이터리스트!$A$18</f>
        <v>401 호실</v>
      </c>
      <c r="B7" s="138"/>
      <c r="C7" s="139"/>
      <c r="D7" s="137" t="str">
        <f>웨이터리스트!$A$19</f>
        <v>402 호실</v>
      </c>
      <c r="E7" s="138"/>
      <c r="F7" s="139"/>
      <c r="G7" s="57"/>
      <c r="H7" s="57"/>
      <c r="I7" s="57"/>
      <c r="J7" s="57"/>
      <c r="K7" s="57"/>
      <c r="L7" s="57"/>
    </row>
    <row r="8" spans="1:12" ht="31.5" customHeight="1">
      <c r="A8" s="142" t="str">
        <f ca="1">IF(웨이터리스트!$B$18="사용중","사용중",IF(웨이터리스트!$B$18="청소중","청소중",IF(웨이터리스트!$B$18="예약","예약",IF(웨이터리스트!$B$18="종료확인","종료확인","빈방"))))</f>
        <v>빈방</v>
      </c>
      <c r="B8" s="138"/>
      <c r="C8" s="139"/>
      <c r="D8" s="142" t="str">
        <f ca="1">IF(웨이터리스트!$B$19="사용중","사용중",IF(웨이터리스트!$B$19="청소중","청소중",IF(웨이터리스트!$B$19="예약","예약",IF(웨이터리스트!$B$19="종료확인","종료확인","빈방"))))</f>
        <v>빈방</v>
      </c>
      <c r="E8" s="138"/>
      <c r="F8" s="139"/>
      <c r="G8" s="57"/>
      <c r="H8" s="57"/>
      <c r="I8" s="57"/>
      <c r="J8" s="57"/>
      <c r="K8" s="57"/>
      <c r="L8" s="57"/>
    </row>
    <row r="9" spans="1:12" ht="25.5" customHeight="1">
      <c r="A9" s="141" t="str">
        <f ca="1">IF(웨이터리스트!$F$18="","","⏱ 남은시간 : "&amp;웨이터리스트!$F$18&amp;"분")</f>
        <v/>
      </c>
      <c r="B9" s="138"/>
      <c r="C9" s="139"/>
      <c r="D9" s="141" t="str">
        <f ca="1">IF(웨이터리스트!$F$19="","","⏱ 남은시간 : "&amp;웨이터리스트!$F$19&amp;"분")</f>
        <v/>
      </c>
      <c r="E9" s="138"/>
      <c r="F9" s="139"/>
      <c r="G9" s="57"/>
      <c r="H9" s="57"/>
      <c r="I9" s="57"/>
      <c r="J9" s="57"/>
      <c r="K9" s="57"/>
      <c r="L9" s="57"/>
    </row>
    <row r="10" spans="1:12" ht="25.5" customHeight="1">
      <c r="A10" s="141" t="str">
        <f ca="1">IF(OR(웨이터리스트!$B$18="사용중",웨이터리스트!$B$18="예약"),웨이터리스트!$C$18,"")</f>
        <v/>
      </c>
      <c r="B10" s="138"/>
      <c r="C10" s="139"/>
      <c r="D10" s="141" t="str">
        <f ca="1">IF(OR(웨이터리스트!$B$19="사용중",웨이터리스트!$B$19="예약"),웨이터리스트!$C$19,"")</f>
        <v/>
      </c>
      <c r="E10" s="138"/>
      <c r="F10" s="139"/>
      <c r="G10" s="57"/>
      <c r="H10" s="57"/>
      <c r="I10" s="57"/>
      <c r="J10" s="57"/>
      <c r="K10" s="57"/>
      <c r="L10" s="57"/>
    </row>
    <row r="11" spans="1:12" ht="27.75" customHeight="1">
      <c r="A11" s="140" t="str">
        <f>IF(웨이터리스트!$D$18="","","담당: "&amp;웨이터리스트!$D$18)</f>
        <v/>
      </c>
      <c r="B11" s="138"/>
      <c r="C11" s="139"/>
      <c r="D11" s="140" t="str">
        <f>IF(웨이터리스트!$D$19="","","담당: "&amp;웨이터리스트!$D$19)</f>
        <v/>
      </c>
      <c r="E11" s="138"/>
      <c r="F11" s="139"/>
      <c r="G11" s="57"/>
      <c r="H11" s="57"/>
      <c r="I11" s="57"/>
      <c r="J11" s="57"/>
      <c r="K11" s="57"/>
      <c r="L11" s="57"/>
    </row>
    <row r="12" spans="1:12" ht="13.5" customHeight="1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</row>
    <row r="13" spans="1:12" ht="31.5" customHeight="1">
      <c r="A13" s="137" t="str">
        <f>웨이터리스트!$A$15</f>
        <v>301 호실</v>
      </c>
      <c r="B13" s="138"/>
      <c r="C13" s="139"/>
      <c r="D13" s="137" t="str">
        <f>웨이터리스트!$A$16</f>
        <v>302 호실</v>
      </c>
      <c r="E13" s="138"/>
      <c r="F13" s="139"/>
      <c r="G13" s="137" t="str">
        <f>웨이터리스트!$A$17</f>
        <v>303 호실</v>
      </c>
      <c r="H13" s="138"/>
      <c r="I13" s="139"/>
      <c r="J13" s="57"/>
      <c r="K13" s="57"/>
      <c r="L13" s="57"/>
    </row>
    <row r="14" spans="1:12" ht="31.5" customHeight="1">
      <c r="A14" s="142" t="str">
        <f ca="1">IF(웨이터리스트!$B$15="사용중","사용중",IF(웨이터리스트!$B$15="청소중","청소중",IF(웨이터리스트!$B$15="예약","예약",IF(웨이터리스트!$B$15="종료확인","종료확인","빈방"))))</f>
        <v>빈방</v>
      </c>
      <c r="B14" s="138"/>
      <c r="C14" s="139"/>
      <c r="D14" s="142" t="str">
        <f ca="1">IF(웨이터리스트!$B$16="사용중","사용중",IF(웨이터리스트!$B$16="청소중","청소중",IF(웨이터리스트!$B$16="예약","예약",IF(웨이터리스트!$B$16="종료확인","종료확인","빈방"))))</f>
        <v>빈방</v>
      </c>
      <c r="E14" s="138"/>
      <c r="F14" s="139"/>
      <c r="G14" s="142" t="str">
        <f ca="1">IF(웨이터리스트!$B$17="사용중","사용중",IF(웨이터리스트!$B$17="청소중","청소중",IF(웨이터리스트!$B$17="예약","예약",IF(웨이터리스트!$B$17="종료확인","종료확인","빈방"))))</f>
        <v>빈방</v>
      </c>
      <c r="H14" s="138"/>
      <c r="I14" s="139"/>
      <c r="J14" s="57"/>
      <c r="K14" s="57"/>
      <c r="L14" s="57"/>
    </row>
    <row r="15" spans="1:12" ht="25.5" customHeight="1">
      <c r="A15" s="141" t="str">
        <f ca="1">IF(웨이터리스트!$F$15="","","⏱ 남은시간 : "&amp;웨이터리스트!$F$15&amp;"분")</f>
        <v/>
      </c>
      <c r="B15" s="138"/>
      <c r="C15" s="139"/>
      <c r="D15" s="141" t="str">
        <f ca="1">IF(웨이터리스트!$F$16="","","⏱ 남은시간 : "&amp;웨이터리스트!$F$16&amp;"분")</f>
        <v/>
      </c>
      <c r="E15" s="138"/>
      <c r="F15" s="139"/>
      <c r="G15" s="141" t="str">
        <f ca="1">IF(웨이터리스트!$F$17="","","⏱ 남은시간 : "&amp;웨이터리스트!$F$17&amp;"분")</f>
        <v/>
      </c>
      <c r="H15" s="138"/>
      <c r="I15" s="139"/>
      <c r="J15" s="57"/>
      <c r="K15" s="57"/>
      <c r="L15" s="57"/>
    </row>
    <row r="16" spans="1:12" ht="25.5" customHeight="1">
      <c r="A16" s="141" t="str">
        <f ca="1">IF(OR(웨이터리스트!$B$15="사용중",웨이터리스트!$B$15="예약"),웨이터리스트!$C$15,"")</f>
        <v/>
      </c>
      <c r="B16" s="138"/>
      <c r="C16" s="139"/>
      <c r="D16" s="141" t="str">
        <f ca="1">IF(OR(웨이터리스트!$B$16="사용중",웨이터리스트!$B$16="예약"),웨이터리스트!$C$16,"")</f>
        <v/>
      </c>
      <c r="E16" s="138"/>
      <c r="F16" s="139"/>
      <c r="G16" s="141" t="str">
        <f ca="1">IF(OR(웨이터리스트!$B$17="사용중",웨이터리스트!$B$17="예약"),웨이터리스트!$C$17,"")</f>
        <v/>
      </c>
      <c r="H16" s="138"/>
      <c r="I16" s="139"/>
      <c r="J16" s="57"/>
      <c r="K16" s="57"/>
      <c r="L16" s="57"/>
    </row>
    <row r="17" spans="1:12" ht="27.75" customHeight="1">
      <c r="A17" s="140" t="str">
        <f>IF(웨이터리스트!$D$15="","","담당: "&amp;웨이터리스트!$D$15)</f>
        <v/>
      </c>
      <c r="B17" s="138"/>
      <c r="C17" s="139"/>
      <c r="D17" s="140" t="str">
        <f>IF(웨이터리스트!$D$16="","","담당: "&amp;웨이터리스트!$D$16)</f>
        <v/>
      </c>
      <c r="E17" s="138"/>
      <c r="F17" s="139"/>
      <c r="G17" s="140" t="str">
        <f>IF(웨이터리스트!$D$17="","","담당: "&amp;웨이터리스트!$D$17)</f>
        <v/>
      </c>
      <c r="H17" s="138"/>
      <c r="I17" s="139"/>
      <c r="J17" s="57"/>
      <c r="K17" s="57"/>
      <c r="L17" s="57"/>
    </row>
    <row r="18" spans="1:12" ht="13.5" customHeight="1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</row>
    <row r="19" spans="1:12" ht="31.5" customHeight="1">
      <c r="A19" s="137" t="str">
        <f>웨이터리스트!$A$12</f>
        <v>201 호실</v>
      </c>
      <c r="B19" s="138"/>
      <c r="C19" s="139"/>
      <c r="D19" s="137" t="str">
        <f>웨이터리스트!$A$13</f>
        <v>202 호실</v>
      </c>
      <c r="E19" s="138"/>
      <c r="F19" s="139"/>
      <c r="G19" s="137" t="str">
        <f>웨이터리스트!$A$14</f>
        <v>203 호실</v>
      </c>
      <c r="H19" s="138"/>
      <c r="I19" s="139"/>
      <c r="J19" s="57"/>
      <c r="K19" s="57"/>
      <c r="L19" s="57"/>
    </row>
    <row r="20" spans="1:12" ht="31.5" customHeight="1">
      <c r="A20" s="142" t="str">
        <f ca="1">IF(웨이터리스트!$B$12="사용중","사용중",IF(웨이터리스트!$B$12="청소중","청소중",IF(웨이터리스트!$B$12="예약","예약",IF(웨이터리스트!$B$12="종료확인","종료확인","빈방"))))</f>
        <v>빈방</v>
      </c>
      <c r="B20" s="138"/>
      <c r="C20" s="139"/>
      <c r="D20" s="142" t="str">
        <f ca="1">IF(웨이터리스트!$B$13="사용중","사용중",IF(웨이터리스트!$B$13="청소중","청소중",IF(웨이터리스트!$B$13="예약","예약",IF(웨이터리스트!$B$13="종료확인","종료확인","빈방"))))</f>
        <v>빈방</v>
      </c>
      <c r="E20" s="138"/>
      <c r="F20" s="139"/>
      <c r="G20" s="142" t="str">
        <f ca="1">IF(웨이터리스트!$B$14="사용중","사용중",IF(웨이터리스트!$B$14="청소중","청소중",IF(웨이터리스트!$B$14="예약","예약",IF(웨이터리스트!$B$14="종료확인","종료확인","빈방"))))</f>
        <v>빈방</v>
      </c>
      <c r="H20" s="138"/>
      <c r="I20" s="139"/>
      <c r="J20" s="57"/>
      <c r="K20" s="57"/>
      <c r="L20" s="57"/>
    </row>
    <row r="21" spans="1:12" ht="25.5" customHeight="1">
      <c r="A21" s="141" t="str">
        <f ca="1">IF(웨이터리스트!$F$12="","","⏱ 남은시간 : "&amp;웨이터리스트!$F$12&amp;"분")</f>
        <v/>
      </c>
      <c r="B21" s="138"/>
      <c r="C21" s="139"/>
      <c r="D21" s="141" t="str">
        <f ca="1">IF(웨이터리스트!$F$13="","","⏱ 남은시간 : "&amp;웨이터리스트!$F$13&amp;"분")</f>
        <v/>
      </c>
      <c r="E21" s="138"/>
      <c r="F21" s="139"/>
      <c r="G21" s="141" t="str">
        <f ca="1">IF(웨이터리스트!$F$14="","","⏱ 남은시간 : "&amp;웨이터리스트!$F$14&amp;"분")</f>
        <v/>
      </c>
      <c r="H21" s="138"/>
      <c r="I21" s="139"/>
      <c r="J21" s="57"/>
      <c r="K21" s="57"/>
      <c r="L21" s="57"/>
    </row>
    <row r="22" spans="1:12" ht="25.5" customHeight="1">
      <c r="A22" s="141" t="str">
        <f ca="1">IF(OR(웨이터리스트!$B$12="사용중",웨이터리스트!$B$12="예약"),웨이터리스트!$C$12,"")</f>
        <v/>
      </c>
      <c r="B22" s="138"/>
      <c r="C22" s="139"/>
      <c r="D22" s="141" t="str">
        <f ca="1">IF(OR(웨이터리스트!$B$13="사용중",웨이터리스트!$B$13="예약"),웨이터리스트!$C$13,"")</f>
        <v/>
      </c>
      <c r="E22" s="138"/>
      <c r="F22" s="139"/>
      <c r="G22" s="141" t="str">
        <f ca="1">IF(OR(웨이터리스트!$B$14="사용중",웨이터리스트!$B$14="예약"),웨이터리스트!$C$14,"")</f>
        <v/>
      </c>
      <c r="H22" s="138"/>
      <c r="I22" s="139"/>
      <c r="J22" s="57"/>
      <c r="K22" s="57"/>
      <c r="L22" s="57"/>
    </row>
    <row r="23" spans="1:12" ht="27.75" customHeight="1">
      <c r="A23" s="140" t="str">
        <f>IF(웨이터리스트!$D$12="","","담당: "&amp;웨이터리스트!$D$12)</f>
        <v/>
      </c>
      <c r="B23" s="138"/>
      <c r="C23" s="139"/>
      <c r="D23" s="140" t="str">
        <f>IF(웨이터리스트!$D$13="","","담당: "&amp;웨이터리스트!$D$13)</f>
        <v/>
      </c>
      <c r="E23" s="138"/>
      <c r="F23" s="139"/>
      <c r="G23" s="140" t="str">
        <f>IF(웨이터리스트!$D$14="","","담당: "&amp;웨이터리스트!$D$14)</f>
        <v/>
      </c>
      <c r="H23" s="138"/>
      <c r="I23" s="139"/>
      <c r="J23" s="57"/>
      <c r="K23" s="57"/>
      <c r="L23" s="57"/>
    </row>
    <row r="24" spans="1:12" ht="13.5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</row>
    <row r="25" spans="1:12" ht="31.5" customHeight="1">
      <c r="A25" s="137" t="str">
        <f>웨이터리스트!$A$9</f>
        <v>101 호실</v>
      </c>
      <c r="B25" s="138"/>
      <c r="C25" s="139"/>
      <c r="D25" s="137" t="str">
        <f>웨이터리스트!$A$10</f>
        <v>102 호실</v>
      </c>
      <c r="E25" s="138"/>
      <c r="F25" s="139"/>
      <c r="G25" s="137" t="str">
        <f>웨이터리스트!$A$11</f>
        <v>103 호실</v>
      </c>
      <c r="H25" s="138"/>
      <c r="I25" s="139"/>
      <c r="J25" s="57"/>
      <c r="K25" s="57"/>
      <c r="L25" s="57"/>
    </row>
    <row r="26" spans="1:12" ht="31.5" customHeight="1">
      <c r="A26" s="142" t="str">
        <f ca="1">IF(웨이터리스트!$B$9="사용중","사용중",IF(웨이터리스트!$B$9="청소중","청소중",IF(웨이터리스트!$B$9="예약","예약",IF(웨이터리스트!$B$9="종료확인","종료확인","빈방"))))</f>
        <v>빈방</v>
      </c>
      <c r="B26" s="138"/>
      <c r="C26" s="139"/>
      <c r="D26" s="142" t="str">
        <f ca="1">IF(웨이터리스트!$B$10="사용중","사용중",IF(웨이터리스트!$B$10="청소중","청소중",IF(웨이터리스트!$B$10="예약","예약",IF(웨이터리스트!$B$10="종료확인","종료확인","빈방"))))</f>
        <v>빈방</v>
      </c>
      <c r="E26" s="138"/>
      <c r="F26" s="139"/>
      <c r="G26" s="142" t="str">
        <f ca="1">IF(웨이터리스트!$B$11="사용중","사용중",IF(웨이터리스트!$B$11="청소중","청소중",IF(웨이터리스트!$B$11="예약","예약",IF(웨이터리스트!$B$11="종료확인","종료확인","빈방"))))</f>
        <v>빈방</v>
      </c>
      <c r="H26" s="138"/>
      <c r="I26" s="139"/>
      <c r="J26" s="57"/>
      <c r="K26" s="57"/>
      <c r="L26" s="57"/>
    </row>
    <row r="27" spans="1:12" ht="25.5" customHeight="1">
      <c r="A27" s="141" t="str">
        <f ca="1">IF(웨이터리스트!$F$9="","","⏱ 남은시간 : "&amp;웨이터리스트!$F$9&amp;"분")</f>
        <v/>
      </c>
      <c r="B27" s="138"/>
      <c r="C27" s="139"/>
      <c r="D27" s="141" t="str">
        <f ca="1">IF(웨이터리스트!$F$10="","","⏱ 남은시간 : "&amp;웨이터리스트!$F$10&amp;"분")</f>
        <v/>
      </c>
      <c r="E27" s="138"/>
      <c r="F27" s="139"/>
      <c r="G27" s="141" t="str">
        <f ca="1">IF(웨이터리스트!$F$11="","","⏱ 남은시간 : "&amp;웨이터리스트!$F$11&amp;"분")</f>
        <v/>
      </c>
      <c r="H27" s="138"/>
      <c r="I27" s="139"/>
      <c r="J27" s="57"/>
      <c r="K27" s="57"/>
      <c r="L27" s="57"/>
    </row>
    <row r="28" spans="1:12" ht="25.5" customHeight="1">
      <c r="A28" s="141" t="str">
        <f ca="1">IF(OR(웨이터리스트!$B$9="사용중",웨이터리스트!$B$9="예약"),웨이터리스트!$C$9,"")</f>
        <v/>
      </c>
      <c r="B28" s="138"/>
      <c r="C28" s="139"/>
      <c r="D28" s="141" t="str">
        <f ca="1">IF(OR(웨이터리스트!$B$10="사용중",웨이터리스트!$B$10="예약"),웨이터리스트!$C$10,"")</f>
        <v/>
      </c>
      <c r="E28" s="138"/>
      <c r="F28" s="139"/>
      <c r="G28" s="141" t="str">
        <f ca="1">IF(OR(웨이터리스트!$B$11="사용중",웨이터리스트!$B$11="예약"),웨이터리스트!$C$11,"")</f>
        <v/>
      </c>
      <c r="H28" s="138"/>
      <c r="I28" s="139"/>
      <c r="J28" s="57"/>
      <c r="K28" s="57"/>
      <c r="L28" s="57"/>
    </row>
    <row r="29" spans="1:12" ht="27.75" customHeight="1">
      <c r="A29" s="140" t="str">
        <f>IF(웨이터리스트!$D$9="","","담당: "&amp;웨이터리스트!$D$9)</f>
        <v/>
      </c>
      <c r="B29" s="138"/>
      <c r="C29" s="139"/>
      <c r="D29" s="140" t="str">
        <f>IF(웨이터리스트!$D$10="","","담당: "&amp;웨이터리스트!$D$10)</f>
        <v/>
      </c>
      <c r="E29" s="138"/>
      <c r="F29" s="139"/>
      <c r="G29" s="140" t="str">
        <f>IF(웨이터리스트!$D$11="","","담당: "&amp;웨이터리스트!$D$11)</f>
        <v/>
      </c>
      <c r="H29" s="138"/>
      <c r="I29" s="139"/>
      <c r="J29" s="57"/>
      <c r="K29" s="57"/>
      <c r="L29" s="57"/>
    </row>
    <row r="30" spans="1:12" ht="13.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</row>
    <row r="31" spans="1:12" ht="24" customHeight="1">
      <c r="A31" s="144" t="s">
        <v>114</v>
      </c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</row>
    <row r="32" spans="1:12" ht="24" customHeight="1">
      <c r="A32" s="144" t="s">
        <v>115</v>
      </c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</row>
    <row r="33" spans="1:12" ht="21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2" ht="21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</row>
    <row r="35" spans="1:12" ht="14.25" customHeight="1"/>
    <row r="36" spans="1:12" ht="14.25" customHeight="1"/>
    <row r="37" spans="1:12" ht="14.25" customHeight="1"/>
    <row r="38" spans="1:12" ht="14.25" customHeight="1"/>
    <row r="39" spans="1:12" ht="14.25" customHeight="1"/>
    <row r="40" spans="1:12" ht="14.25" customHeight="1"/>
    <row r="41" spans="1:12" ht="14.25" customHeight="1"/>
    <row r="42" spans="1:12" ht="14.25" customHeight="1"/>
    <row r="43" spans="1:12" ht="14.25" customHeight="1"/>
    <row r="44" spans="1:12" ht="14.25" customHeight="1"/>
    <row r="45" spans="1:12" ht="14.25" customHeight="1"/>
    <row r="46" spans="1:12" ht="14.25" customHeight="1"/>
    <row r="47" spans="1:12" ht="14.25" customHeight="1"/>
    <row r="48" spans="1:1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9">
    <mergeCell ref="A1:L1"/>
    <mergeCell ref="G23:I23"/>
    <mergeCell ref="D22:F22"/>
    <mergeCell ref="G17:I17"/>
    <mergeCell ref="D21:F21"/>
    <mergeCell ref="A7:C7"/>
    <mergeCell ref="A16:C16"/>
    <mergeCell ref="A31:L31"/>
    <mergeCell ref="A9:C9"/>
    <mergeCell ref="D26:F26"/>
    <mergeCell ref="A15:C15"/>
    <mergeCell ref="D20:F20"/>
    <mergeCell ref="G21:I21"/>
    <mergeCell ref="D10:F10"/>
    <mergeCell ref="D19:F19"/>
    <mergeCell ref="A11:C11"/>
    <mergeCell ref="G27:I27"/>
    <mergeCell ref="D29:F29"/>
    <mergeCell ref="D14:F14"/>
    <mergeCell ref="A19:C19"/>
    <mergeCell ref="D23:F23"/>
    <mergeCell ref="G22:I22"/>
    <mergeCell ref="A32:L32"/>
    <mergeCell ref="A17:C17"/>
    <mergeCell ref="A22:C22"/>
    <mergeCell ref="D9:F9"/>
    <mergeCell ref="G26:I26"/>
    <mergeCell ref="G20:I20"/>
    <mergeCell ref="A29:C29"/>
    <mergeCell ref="G29:I29"/>
    <mergeCell ref="D25:F25"/>
    <mergeCell ref="D15:F15"/>
    <mergeCell ref="A20:C20"/>
    <mergeCell ref="G25:I25"/>
    <mergeCell ref="A10:C10"/>
    <mergeCell ref="A28:C28"/>
    <mergeCell ref="G16:I16"/>
    <mergeCell ref="A13:C13"/>
    <mergeCell ref="D7:F7"/>
    <mergeCell ref="A26:C26"/>
    <mergeCell ref="D16:F16"/>
    <mergeCell ref="G15:I15"/>
    <mergeCell ref="A2:L2"/>
    <mergeCell ref="G14:I14"/>
    <mergeCell ref="A23:C23"/>
    <mergeCell ref="A8:C8"/>
    <mergeCell ref="A14:C14"/>
    <mergeCell ref="D8:F8"/>
    <mergeCell ref="A25:C25"/>
    <mergeCell ref="D11:F11"/>
    <mergeCell ref="D13:F13"/>
    <mergeCell ref="G28:I28"/>
    <mergeCell ref="D27:F27"/>
    <mergeCell ref="G13:I13"/>
    <mergeCell ref="G19:I19"/>
    <mergeCell ref="A27:C27"/>
    <mergeCell ref="D17:F17"/>
    <mergeCell ref="A21:C21"/>
    <mergeCell ref="D28:F28"/>
  </mergeCells>
  <phoneticPr fontId="45" type="noConversion"/>
  <conditionalFormatting sqref="A7:C11">
    <cfRule type="expression" dxfId="54" priority="1">
      <formula>$A$8="사용중"</formula>
    </cfRule>
    <cfRule type="expression" dxfId="53" priority="2">
      <formula>$A$8="청소중"</formula>
    </cfRule>
    <cfRule type="expression" dxfId="52" priority="3">
      <formula>$A$8="예약"</formula>
    </cfRule>
    <cfRule type="expression" dxfId="51" priority="4">
      <formula>$A$8="종료확인"</formula>
    </cfRule>
    <cfRule type="expression" dxfId="50" priority="5">
      <formula>$A$8="빈방"</formula>
    </cfRule>
  </conditionalFormatting>
  <conditionalFormatting sqref="D7:F11">
    <cfRule type="expression" dxfId="49" priority="6">
      <formula>$D$8="사용중"</formula>
    </cfRule>
    <cfRule type="expression" dxfId="48" priority="7">
      <formula>$D$8="청소중"</formula>
    </cfRule>
    <cfRule type="expression" dxfId="47" priority="8">
      <formula>$D$8="예약"</formula>
    </cfRule>
    <cfRule type="expression" dxfId="46" priority="9">
      <formula>$D$8="종료확인"</formula>
    </cfRule>
    <cfRule type="expression" dxfId="45" priority="10">
      <formula>$D$8="빈방"</formula>
    </cfRule>
  </conditionalFormatting>
  <conditionalFormatting sqref="A13:C17">
    <cfRule type="expression" dxfId="44" priority="11">
      <formula>$A$14="사용중"</formula>
    </cfRule>
    <cfRule type="expression" dxfId="43" priority="12">
      <formula>$A$14="청소중"</formula>
    </cfRule>
    <cfRule type="expression" dxfId="42" priority="13">
      <formula>$A$14="예약"</formula>
    </cfRule>
    <cfRule type="expression" dxfId="41" priority="14">
      <formula>$A$14="종료확인"</formula>
    </cfRule>
    <cfRule type="expression" dxfId="40" priority="15">
      <formula>$A$14="빈방"</formula>
    </cfRule>
  </conditionalFormatting>
  <conditionalFormatting sqref="D13:F17">
    <cfRule type="expression" dxfId="39" priority="16">
      <formula>$D$14="사용중"</formula>
    </cfRule>
    <cfRule type="expression" dxfId="38" priority="17">
      <formula>$D$14="청소중"</formula>
    </cfRule>
    <cfRule type="expression" dxfId="37" priority="18">
      <formula>$D$14="예약"</formula>
    </cfRule>
    <cfRule type="expression" dxfId="36" priority="19">
      <formula>$D$14="종료확인"</formula>
    </cfRule>
    <cfRule type="expression" dxfId="35" priority="20">
      <formula>$D$14="빈방"</formula>
    </cfRule>
  </conditionalFormatting>
  <conditionalFormatting sqref="G13:I17">
    <cfRule type="expression" dxfId="34" priority="21">
      <formula>$G$14="사용중"</formula>
    </cfRule>
    <cfRule type="expression" dxfId="33" priority="22">
      <formula>$G$14="청소중"</formula>
    </cfRule>
    <cfRule type="expression" dxfId="32" priority="23">
      <formula>$G$14="예약"</formula>
    </cfRule>
    <cfRule type="expression" dxfId="31" priority="24">
      <formula>$G$14="종료확인"</formula>
    </cfRule>
    <cfRule type="expression" dxfId="30" priority="25">
      <formula>$G$14="빈방"</formula>
    </cfRule>
  </conditionalFormatting>
  <conditionalFormatting sqref="A19:C23">
    <cfRule type="expression" dxfId="29" priority="26">
      <formula>$A$20="사용중"</formula>
    </cfRule>
    <cfRule type="expression" dxfId="28" priority="27">
      <formula>$A$20="청소중"</formula>
    </cfRule>
    <cfRule type="expression" dxfId="27" priority="28">
      <formula>$A$20="예약"</formula>
    </cfRule>
    <cfRule type="expression" dxfId="26" priority="29">
      <formula>$A$20="종료확인"</formula>
    </cfRule>
    <cfRule type="expression" dxfId="25" priority="30">
      <formula>$A$20="빈방"</formula>
    </cfRule>
  </conditionalFormatting>
  <conditionalFormatting sqref="D19:F23">
    <cfRule type="expression" dxfId="24" priority="31">
      <formula>$D$20="사용중"</formula>
    </cfRule>
    <cfRule type="expression" dxfId="23" priority="32">
      <formula>$D$20="청소중"</formula>
    </cfRule>
    <cfRule type="expression" dxfId="22" priority="33">
      <formula>$D$20="예약"</formula>
    </cfRule>
    <cfRule type="expression" dxfId="21" priority="34">
      <formula>$D$20="종료확인"</formula>
    </cfRule>
    <cfRule type="expression" dxfId="20" priority="35">
      <formula>$D$20="빈방"</formula>
    </cfRule>
  </conditionalFormatting>
  <conditionalFormatting sqref="G19:I23">
    <cfRule type="expression" dxfId="19" priority="36">
      <formula>$G$20="사용중"</formula>
    </cfRule>
    <cfRule type="expression" dxfId="18" priority="37">
      <formula>$G$20="청소중"</formula>
    </cfRule>
    <cfRule type="expression" dxfId="17" priority="38">
      <formula>$G$20="예약"</formula>
    </cfRule>
    <cfRule type="expression" dxfId="16" priority="39">
      <formula>$G$20="종료확인"</formula>
    </cfRule>
    <cfRule type="expression" dxfId="15" priority="40">
      <formula>$G$20="빈방"</formula>
    </cfRule>
  </conditionalFormatting>
  <conditionalFormatting sqref="A25:C29">
    <cfRule type="expression" dxfId="14" priority="41">
      <formula>$A$26="사용중"</formula>
    </cfRule>
    <cfRule type="expression" dxfId="13" priority="42">
      <formula>$A$26="청소중"</formula>
    </cfRule>
    <cfRule type="expression" dxfId="12" priority="43">
      <formula>$A$26="예약"</formula>
    </cfRule>
    <cfRule type="expression" dxfId="11" priority="44">
      <formula>$A$26="종료확인"</formula>
    </cfRule>
    <cfRule type="expression" dxfId="10" priority="45">
      <formula>$A$26="빈방"</formula>
    </cfRule>
  </conditionalFormatting>
  <conditionalFormatting sqref="D25:F29">
    <cfRule type="expression" dxfId="9" priority="46">
      <formula>$D$26="사용중"</formula>
    </cfRule>
    <cfRule type="expression" dxfId="8" priority="47">
      <formula>$D$26="청소중"</formula>
    </cfRule>
    <cfRule type="expression" dxfId="7" priority="48">
      <formula>$D$26="예약"</formula>
    </cfRule>
    <cfRule type="expression" dxfId="6" priority="49">
      <formula>$D$26="종료확인"</formula>
    </cfRule>
    <cfRule type="expression" dxfId="5" priority="50">
      <formula>$D$26="빈방"</formula>
    </cfRule>
  </conditionalFormatting>
  <conditionalFormatting sqref="G25:I29">
    <cfRule type="expression" dxfId="4" priority="51">
      <formula>$G$26="사용중"</formula>
    </cfRule>
    <cfRule type="expression" dxfId="3" priority="52">
      <formula>$G$26="청소중"</formula>
    </cfRule>
    <cfRule type="expression" dxfId="2" priority="53">
      <formula>$G$26="예약"</formula>
    </cfRule>
    <cfRule type="expression" dxfId="1" priority="54">
      <formula>$G$26="종료확인"</formula>
    </cfRule>
    <cfRule type="expression" dxfId="0" priority="55">
      <formula>$G$26="빈방"</formula>
    </cfRule>
  </conditionalFormatting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1" width="17.453125" customWidth="1"/>
    <col min="2" max="13" width="14" customWidth="1"/>
  </cols>
  <sheetData>
    <row r="1" spans="1:13" ht="27.75" customHeight="1">
      <c r="A1" s="147" t="s">
        <v>116</v>
      </c>
      <c r="B1" s="115"/>
      <c r="C1" s="115"/>
      <c r="D1" s="115"/>
      <c r="E1" s="115"/>
      <c r="F1" s="1"/>
      <c r="G1" s="1"/>
      <c r="H1" s="1"/>
      <c r="I1" s="1"/>
      <c r="J1" s="1"/>
      <c r="K1" s="1"/>
      <c r="L1" s="1"/>
      <c r="M1" s="1"/>
    </row>
    <row r="2" spans="1:13" ht="22.5" customHeight="1">
      <c r="A2" s="146" t="s">
        <v>117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"/>
    </row>
    <row r="3" spans="1:1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6.5" customHeight="1">
      <c r="A4" s="20" t="s">
        <v>42</v>
      </c>
      <c r="B4" s="20" t="s">
        <v>118</v>
      </c>
      <c r="C4" s="20" t="s">
        <v>119</v>
      </c>
      <c r="D4" s="20" t="s">
        <v>120</v>
      </c>
      <c r="E4" s="20" t="s">
        <v>121</v>
      </c>
      <c r="F4" s="20" t="s">
        <v>122</v>
      </c>
      <c r="G4" s="20" t="s">
        <v>123</v>
      </c>
      <c r="H4" s="20" t="s">
        <v>124</v>
      </c>
      <c r="I4" s="20" t="s">
        <v>125</v>
      </c>
      <c r="J4" s="20" t="s">
        <v>126</v>
      </c>
      <c r="K4" s="20" t="s">
        <v>127</v>
      </c>
      <c r="L4" s="20" t="s">
        <v>128</v>
      </c>
      <c r="M4" s="20" t="s">
        <v>129</v>
      </c>
    </row>
    <row r="5" spans="1:13" ht="16.5" customHeight="1">
      <c r="A5" s="59">
        <f>IF(1&lt;=DAY(DATE(YEAR(설정_코스수당!$K$2),MONTH(설정_코스수당!$K$2)+1,0)),DATE(YEAR(설정_코스수당!$K$2),MONTH(설정_코스수당!$K$2),1),"")</f>
        <v>46174</v>
      </c>
      <c r="B5" s="60">
        <f>COUNTIFS(실시간콜입력!$B:$B,A5,실시간콜입력!$O:$O,"방문완료")</f>
        <v>0</v>
      </c>
      <c r="C5" s="61">
        <f>IF(B5&gt;=설정_코스수당!$A$71,설정_코스수당!$B$71,IF(B5&gt;=설정_코스수당!$A$70,설정_코스수당!$B$70,IF(B5&gt;=설정_코스수당!$A$69,설정_코스수당!$B$69,0)))</f>
        <v>0</v>
      </c>
      <c r="D5" s="62" t="s">
        <v>130</v>
      </c>
      <c r="E5" s="61">
        <f t="shared" ref="E5:E35" si="0">IF(D5="정상",$C5,0)</f>
        <v>0</v>
      </c>
      <c r="F5" s="62" t="s">
        <v>130</v>
      </c>
      <c r="G5" s="61">
        <f t="shared" ref="G5:G35" si="1">IF(F5="정상",$C5,0)</f>
        <v>0</v>
      </c>
      <c r="H5" s="62" t="s">
        <v>130</v>
      </c>
      <c r="I5" s="61">
        <f t="shared" ref="I5:I35" si="2">IF(H5="정상",$C5,0)</f>
        <v>0</v>
      </c>
      <c r="J5" s="62" t="s">
        <v>130</v>
      </c>
      <c r="K5" s="61">
        <f t="shared" ref="K5:K35" si="3">IF(J5="정상",$C5,0)</f>
        <v>0</v>
      </c>
      <c r="L5" s="62" t="s">
        <v>130</v>
      </c>
      <c r="M5" s="61">
        <f t="shared" ref="M5:M35" si="4">IF(L5="정상",$C5,0)</f>
        <v>0</v>
      </c>
    </row>
    <row r="6" spans="1:13" ht="16.5" customHeight="1">
      <c r="A6" s="59">
        <f>IF(2&lt;=DAY(DATE(YEAR(설정_코스수당!$K$2),MONTH(설정_코스수당!$K$2)+1,0)),DATE(YEAR(설정_코스수당!$K$2),MONTH(설정_코스수당!$K$2),2),"")</f>
        <v>46175</v>
      </c>
      <c r="B6" s="60">
        <f>COUNTIFS(실시간콜입력!$B:$B,A6,실시간콜입력!$O:$O,"방문완료")</f>
        <v>0</v>
      </c>
      <c r="C6" s="61">
        <f>IF(B6&gt;=설정_코스수당!$A$71,설정_코스수당!$B$71,IF(B6&gt;=설정_코스수당!$A$70,설정_코스수당!$B$70,IF(B6&gt;=설정_코스수당!$A$69,설정_코스수당!$B$69,0)))</f>
        <v>0</v>
      </c>
      <c r="D6" s="62" t="s">
        <v>130</v>
      </c>
      <c r="E6" s="61">
        <f t="shared" si="0"/>
        <v>0</v>
      </c>
      <c r="F6" s="62" t="s">
        <v>130</v>
      </c>
      <c r="G6" s="61">
        <f t="shared" si="1"/>
        <v>0</v>
      </c>
      <c r="H6" s="62" t="s">
        <v>130</v>
      </c>
      <c r="I6" s="61">
        <f t="shared" si="2"/>
        <v>0</v>
      </c>
      <c r="J6" s="62" t="s">
        <v>130</v>
      </c>
      <c r="K6" s="61">
        <f t="shared" si="3"/>
        <v>0</v>
      </c>
      <c r="L6" s="62" t="s">
        <v>130</v>
      </c>
      <c r="M6" s="61">
        <f t="shared" si="4"/>
        <v>0</v>
      </c>
    </row>
    <row r="7" spans="1:13" ht="16.5" customHeight="1">
      <c r="A7" s="59">
        <f>IF(3&lt;=DAY(DATE(YEAR(설정_코스수당!$K$2),MONTH(설정_코스수당!$K$2)+1,0)),DATE(YEAR(설정_코스수당!$K$2),MONTH(설정_코스수당!$K$2),3),"")</f>
        <v>46176</v>
      </c>
      <c r="B7" s="60">
        <f>COUNTIFS(실시간콜입력!$B:$B,A7,실시간콜입력!$O:$O,"방문완료")</f>
        <v>0</v>
      </c>
      <c r="C7" s="61">
        <f>IF(B7&gt;=설정_코스수당!$A$71,설정_코스수당!$B$71,IF(B7&gt;=설정_코스수당!$A$70,설정_코스수당!$B$70,IF(B7&gt;=설정_코스수당!$A$69,설정_코스수당!$B$69,0)))</f>
        <v>0</v>
      </c>
      <c r="D7" s="62" t="s">
        <v>130</v>
      </c>
      <c r="E7" s="61">
        <f t="shared" si="0"/>
        <v>0</v>
      </c>
      <c r="F7" s="62" t="s">
        <v>130</v>
      </c>
      <c r="G7" s="61">
        <f t="shared" si="1"/>
        <v>0</v>
      </c>
      <c r="H7" s="62" t="s">
        <v>130</v>
      </c>
      <c r="I7" s="61">
        <f t="shared" si="2"/>
        <v>0</v>
      </c>
      <c r="J7" s="62" t="s">
        <v>130</v>
      </c>
      <c r="K7" s="61">
        <f t="shared" si="3"/>
        <v>0</v>
      </c>
      <c r="L7" s="62" t="s">
        <v>130</v>
      </c>
      <c r="M7" s="61">
        <f t="shared" si="4"/>
        <v>0</v>
      </c>
    </row>
    <row r="8" spans="1:13" ht="16.5" customHeight="1">
      <c r="A8" s="59">
        <f>IF(4&lt;=DAY(DATE(YEAR(설정_코스수당!$K$2),MONTH(설정_코스수당!$K$2)+1,0)),DATE(YEAR(설정_코스수당!$K$2),MONTH(설정_코스수당!$K$2),4),"")</f>
        <v>46177</v>
      </c>
      <c r="B8" s="60">
        <f>COUNTIFS(실시간콜입력!$B:$B,A8,실시간콜입력!$O:$O,"방문완료")</f>
        <v>0</v>
      </c>
      <c r="C8" s="61">
        <f>IF(B8&gt;=설정_코스수당!$A$71,설정_코스수당!$B$71,IF(B8&gt;=설정_코스수당!$A$70,설정_코스수당!$B$70,IF(B8&gt;=설정_코스수당!$A$69,설정_코스수당!$B$69,0)))</f>
        <v>0</v>
      </c>
      <c r="D8" s="62" t="s">
        <v>130</v>
      </c>
      <c r="E8" s="61">
        <f t="shared" si="0"/>
        <v>0</v>
      </c>
      <c r="F8" s="62" t="s">
        <v>130</v>
      </c>
      <c r="G8" s="61">
        <f t="shared" si="1"/>
        <v>0</v>
      </c>
      <c r="H8" s="62" t="s">
        <v>130</v>
      </c>
      <c r="I8" s="61">
        <f t="shared" si="2"/>
        <v>0</v>
      </c>
      <c r="J8" s="62" t="s">
        <v>130</v>
      </c>
      <c r="K8" s="61">
        <f t="shared" si="3"/>
        <v>0</v>
      </c>
      <c r="L8" s="62" t="s">
        <v>130</v>
      </c>
      <c r="M8" s="61">
        <f t="shared" si="4"/>
        <v>0</v>
      </c>
    </row>
    <row r="9" spans="1:13" ht="16.5" customHeight="1">
      <c r="A9" s="59">
        <f>IF(5&lt;=DAY(DATE(YEAR(설정_코스수당!$K$2),MONTH(설정_코스수당!$K$2)+1,0)),DATE(YEAR(설정_코스수당!$K$2),MONTH(설정_코스수당!$K$2),5),"")</f>
        <v>46178</v>
      </c>
      <c r="B9" s="60">
        <f>COUNTIFS(실시간콜입력!$B:$B,A9,실시간콜입력!$O:$O,"방문완료")</f>
        <v>0</v>
      </c>
      <c r="C9" s="61">
        <f>IF(B9&gt;=설정_코스수당!$A$71,설정_코스수당!$B$71,IF(B9&gt;=설정_코스수당!$A$70,설정_코스수당!$B$70,IF(B9&gt;=설정_코스수당!$A$69,설정_코스수당!$B$69,0)))</f>
        <v>0</v>
      </c>
      <c r="D9" s="62" t="s">
        <v>130</v>
      </c>
      <c r="E9" s="61">
        <f t="shared" si="0"/>
        <v>0</v>
      </c>
      <c r="F9" s="62" t="s">
        <v>130</v>
      </c>
      <c r="G9" s="61">
        <f t="shared" si="1"/>
        <v>0</v>
      </c>
      <c r="H9" s="62" t="s">
        <v>130</v>
      </c>
      <c r="I9" s="61">
        <f t="shared" si="2"/>
        <v>0</v>
      </c>
      <c r="J9" s="62" t="s">
        <v>130</v>
      </c>
      <c r="K9" s="61">
        <f t="shared" si="3"/>
        <v>0</v>
      </c>
      <c r="L9" s="62" t="s">
        <v>130</v>
      </c>
      <c r="M9" s="61">
        <f t="shared" si="4"/>
        <v>0</v>
      </c>
    </row>
    <row r="10" spans="1:13" ht="16.5" customHeight="1">
      <c r="A10" s="59">
        <f>IF(6&lt;=DAY(DATE(YEAR(설정_코스수당!$K$2),MONTH(설정_코스수당!$K$2)+1,0)),DATE(YEAR(설정_코스수당!$K$2),MONTH(설정_코스수당!$K$2),6),"")</f>
        <v>46179</v>
      </c>
      <c r="B10" s="60">
        <f>COUNTIFS(실시간콜입력!$B:$B,A10,실시간콜입력!$O:$O,"방문완료")</f>
        <v>0</v>
      </c>
      <c r="C10" s="61">
        <f>IF(B10&gt;=설정_코스수당!$A$71,설정_코스수당!$B$71,IF(B10&gt;=설정_코스수당!$A$70,설정_코스수당!$B$70,IF(B10&gt;=설정_코스수당!$A$69,설정_코스수당!$B$69,0)))</f>
        <v>0</v>
      </c>
      <c r="D10" s="62" t="s">
        <v>130</v>
      </c>
      <c r="E10" s="61">
        <f t="shared" si="0"/>
        <v>0</v>
      </c>
      <c r="F10" s="62" t="s">
        <v>130</v>
      </c>
      <c r="G10" s="61">
        <f t="shared" si="1"/>
        <v>0</v>
      </c>
      <c r="H10" s="62" t="s">
        <v>130</v>
      </c>
      <c r="I10" s="61">
        <f t="shared" si="2"/>
        <v>0</v>
      </c>
      <c r="J10" s="62" t="s">
        <v>130</v>
      </c>
      <c r="K10" s="61">
        <f t="shared" si="3"/>
        <v>0</v>
      </c>
      <c r="L10" s="62" t="s">
        <v>130</v>
      </c>
      <c r="M10" s="61">
        <f t="shared" si="4"/>
        <v>0</v>
      </c>
    </row>
    <row r="11" spans="1:13" ht="16.5" customHeight="1">
      <c r="A11" s="59">
        <f>IF(7&lt;=DAY(DATE(YEAR(설정_코스수당!$K$2),MONTH(설정_코스수당!$K$2)+1,0)),DATE(YEAR(설정_코스수당!$K$2),MONTH(설정_코스수당!$K$2),7),"")</f>
        <v>46180</v>
      </c>
      <c r="B11" s="60">
        <f>COUNTIFS(실시간콜입력!$B:$B,A11,실시간콜입력!$O:$O,"방문완료")</f>
        <v>0</v>
      </c>
      <c r="C11" s="61">
        <f>IF(B11&gt;=설정_코스수당!$A$71,설정_코스수당!$B$71,IF(B11&gt;=설정_코스수당!$A$70,설정_코스수당!$B$70,IF(B11&gt;=설정_코스수당!$A$69,설정_코스수당!$B$69,0)))</f>
        <v>0</v>
      </c>
      <c r="D11" s="62" t="s">
        <v>130</v>
      </c>
      <c r="E11" s="61">
        <f t="shared" si="0"/>
        <v>0</v>
      </c>
      <c r="F11" s="62" t="s">
        <v>130</v>
      </c>
      <c r="G11" s="61">
        <f t="shared" si="1"/>
        <v>0</v>
      </c>
      <c r="H11" s="62" t="s">
        <v>130</v>
      </c>
      <c r="I11" s="61">
        <f t="shared" si="2"/>
        <v>0</v>
      </c>
      <c r="J11" s="62" t="s">
        <v>130</v>
      </c>
      <c r="K11" s="61">
        <f t="shared" si="3"/>
        <v>0</v>
      </c>
      <c r="L11" s="62" t="s">
        <v>130</v>
      </c>
      <c r="M11" s="61">
        <f t="shared" si="4"/>
        <v>0</v>
      </c>
    </row>
    <row r="12" spans="1:13" ht="16.5" customHeight="1">
      <c r="A12" s="59">
        <f>IF(8&lt;=DAY(DATE(YEAR(설정_코스수당!$K$2),MONTH(설정_코스수당!$K$2)+1,0)),DATE(YEAR(설정_코스수당!$K$2),MONTH(설정_코스수당!$K$2),8),"")</f>
        <v>46181</v>
      </c>
      <c r="B12" s="60">
        <f>COUNTIFS(실시간콜입력!$B:$B,A12,실시간콜입력!$O:$O,"방문완료")</f>
        <v>0</v>
      </c>
      <c r="C12" s="61">
        <f>IF(B12&gt;=설정_코스수당!$A$71,설정_코스수당!$B$71,IF(B12&gt;=설정_코스수당!$A$70,설정_코스수당!$B$70,IF(B12&gt;=설정_코스수당!$A$69,설정_코스수당!$B$69,0)))</f>
        <v>0</v>
      </c>
      <c r="D12" s="62" t="s">
        <v>130</v>
      </c>
      <c r="E12" s="61">
        <f t="shared" si="0"/>
        <v>0</v>
      </c>
      <c r="F12" s="62" t="s">
        <v>130</v>
      </c>
      <c r="G12" s="61">
        <f t="shared" si="1"/>
        <v>0</v>
      </c>
      <c r="H12" s="62" t="s">
        <v>130</v>
      </c>
      <c r="I12" s="61">
        <f t="shared" si="2"/>
        <v>0</v>
      </c>
      <c r="J12" s="62" t="s">
        <v>130</v>
      </c>
      <c r="K12" s="61">
        <f t="shared" si="3"/>
        <v>0</v>
      </c>
      <c r="L12" s="62" t="s">
        <v>130</v>
      </c>
      <c r="M12" s="61">
        <f t="shared" si="4"/>
        <v>0</v>
      </c>
    </row>
    <row r="13" spans="1:13" ht="16.5" customHeight="1">
      <c r="A13" s="59">
        <f>IF(9&lt;=DAY(DATE(YEAR(설정_코스수당!$K$2),MONTH(설정_코스수당!$K$2)+1,0)),DATE(YEAR(설정_코스수당!$K$2),MONTH(설정_코스수당!$K$2),9),"")</f>
        <v>46182</v>
      </c>
      <c r="B13" s="60">
        <f>COUNTIFS(실시간콜입력!$B:$B,A13,실시간콜입력!$O:$O,"방문완료")</f>
        <v>0</v>
      </c>
      <c r="C13" s="61">
        <f>IF(B13&gt;=설정_코스수당!$A$71,설정_코스수당!$B$71,IF(B13&gt;=설정_코스수당!$A$70,설정_코스수당!$B$70,IF(B13&gt;=설정_코스수당!$A$69,설정_코스수당!$B$69,0)))</f>
        <v>0</v>
      </c>
      <c r="D13" s="62" t="s">
        <v>130</v>
      </c>
      <c r="E13" s="61">
        <f t="shared" si="0"/>
        <v>0</v>
      </c>
      <c r="F13" s="62" t="s">
        <v>130</v>
      </c>
      <c r="G13" s="61">
        <f t="shared" si="1"/>
        <v>0</v>
      </c>
      <c r="H13" s="62" t="s">
        <v>130</v>
      </c>
      <c r="I13" s="61">
        <f t="shared" si="2"/>
        <v>0</v>
      </c>
      <c r="J13" s="62" t="s">
        <v>130</v>
      </c>
      <c r="K13" s="61">
        <f t="shared" si="3"/>
        <v>0</v>
      </c>
      <c r="L13" s="62" t="s">
        <v>130</v>
      </c>
      <c r="M13" s="61">
        <f t="shared" si="4"/>
        <v>0</v>
      </c>
    </row>
    <row r="14" spans="1:13" ht="16.5" customHeight="1">
      <c r="A14" s="59">
        <f>IF(10&lt;=DAY(DATE(YEAR(설정_코스수당!$K$2),MONTH(설정_코스수당!$K$2)+1,0)),DATE(YEAR(설정_코스수당!$K$2),MONTH(설정_코스수당!$K$2),10),"")</f>
        <v>46183</v>
      </c>
      <c r="B14" s="60">
        <f>COUNTIFS(실시간콜입력!$B:$B,A14,실시간콜입력!$O:$O,"방문완료")</f>
        <v>0</v>
      </c>
      <c r="C14" s="61">
        <f>IF(B14&gt;=설정_코스수당!$A$71,설정_코스수당!$B$71,IF(B14&gt;=설정_코스수당!$A$70,설정_코스수당!$B$70,IF(B14&gt;=설정_코스수당!$A$69,설정_코스수당!$B$69,0)))</f>
        <v>0</v>
      </c>
      <c r="D14" s="62" t="s">
        <v>130</v>
      </c>
      <c r="E14" s="61">
        <f t="shared" si="0"/>
        <v>0</v>
      </c>
      <c r="F14" s="62" t="s">
        <v>130</v>
      </c>
      <c r="G14" s="61">
        <f t="shared" si="1"/>
        <v>0</v>
      </c>
      <c r="H14" s="62" t="s">
        <v>130</v>
      </c>
      <c r="I14" s="61">
        <f t="shared" si="2"/>
        <v>0</v>
      </c>
      <c r="J14" s="62" t="s">
        <v>130</v>
      </c>
      <c r="K14" s="61">
        <f t="shared" si="3"/>
        <v>0</v>
      </c>
      <c r="L14" s="62" t="s">
        <v>130</v>
      </c>
      <c r="M14" s="61">
        <f t="shared" si="4"/>
        <v>0</v>
      </c>
    </row>
    <row r="15" spans="1:13" ht="16.5" customHeight="1">
      <c r="A15" s="59">
        <f>IF(11&lt;=DAY(DATE(YEAR(설정_코스수당!$K$2),MONTH(설정_코스수당!$K$2)+1,0)),DATE(YEAR(설정_코스수당!$K$2),MONTH(설정_코스수당!$K$2),11),"")</f>
        <v>46184</v>
      </c>
      <c r="B15" s="60">
        <f>COUNTIFS(실시간콜입력!$B:$B,A15,실시간콜입력!$O:$O,"방문완료")</f>
        <v>0</v>
      </c>
      <c r="C15" s="61">
        <f>IF(B15&gt;=설정_코스수당!$A$71,설정_코스수당!$B$71,IF(B15&gt;=설정_코스수당!$A$70,설정_코스수당!$B$70,IF(B15&gt;=설정_코스수당!$A$69,설정_코스수당!$B$69,0)))</f>
        <v>0</v>
      </c>
      <c r="D15" s="62" t="s">
        <v>130</v>
      </c>
      <c r="E15" s="61">
        <f t="shared" si="0"/>
        <v>0</v>
      </c>
      <c r="F15" s="62" t="s">
        <v>130</v>
      </c>
      <c r="G15" s="61">
        <f t="shared" si="1"/>
        <v>0</v>
      </c>
      <c r="H15" s="62" t="s">
        <v>130</v>
      </c>
      <c r="I15" s="61">
        <f t="shared" si="2"/>
        <v>0</v>
      </c>
      <c r="J15" s="62" t="s">
        <v>130</v>
      </c>
      <c r="K15" s="61">
        <f t="shared" si="3"/>
        <v>0</v>
      </c>
      <c r="L15" s="62" t="s">
        <v>130</v>
      </c>
      <c r="M15" s="61">
        <f t="shared" si="4"/>
        <v>0</v>
      </c>
    </row>
    <row r="16" spans="1:13" ht="16.5" customHeight="1">
      <c r="A16" s="59">
        <f>IF(12&lt;=DAY(DATE(YEAR(설정_코스수당!$K$2),MONTH(설정_코스수당!$K$2)+1,0)),DATE(YEAR(설정_코스수당!$K$2),MONTH(설정_코스수당!$K$2),12),"")</f>
        <v>46185</v>
      </c>
      <c r="B16" s="60">
        <f>COUNTIFS(실시간콜입력!$B:$B,A16,실시간콜입력!$O:$O,"방문완료")</f>
        <v>0</v>
      </c>
      <c r="C16" s="61">
        <f>IF(B16&gt;=설정_코스수당!$A$71,설정_코스수당!$B$71,IF(B16&gt;=설정_코스수당!$A$70,설정_코스수당!$B$70,IF(B16&gt;=설정_코스수당!$A$69,설정_코스수당!$B$69,0)))</f>
        <v>0</v>
      </c>
      <c r="D16" s="62" t="s">
        <v>130</v>
      </c>
      <c r="E16" s="61">
        <f t="shared" si="0"/>
        <v>0</v>
      </c>
      <c r="F16" s="62" t="s">
        <v>130</v>
      </c>
      <c r="G16" s="61">
        <f t="shared" si="1"/>
        <v>0</v>
      </c>
      <c r="H16" s="62" t="s">
        <v>130</v>
      </c>
      <c r="I16" s="61">
        <f t="shared" si="2"/>
        <v>0</v>
      </c>
      <c r="J16" s="62" t="s">
        <v>130</v>
      </c>
      <c r="K16" s="61">
        <f t="shared" si="3"/>
        <v>0</v>
      </c>
      <c r="L16" s="62" t="s">
        <v>130</v>
      </c>
      <c r="M16" s="61">
        <f t="shared" si="4"/>
        <v>0</v>
      </c>
    </row>
    <row r="17" spans="1:13" ht="16.5" customHeight="1">
      <c r="A17" s="59">
        <f>IF(13&lt;=DAY(DATE(YEAR(설정_코스수당!$K$2),MONTH(설정_코스수당!$K$2)+1,0)),DATE(YEAR(설정_코스수당!$K$2),MONTH(설정_코스수당!$K$2),13),"")</f>
        <v>46186</v>
      </c>
      <c r="B17" s="60">
        <f>COUNTIFS(실시간콜입력!$B:$B,A17,실시간콜입력!$O:$O,"방문완료")</f>
        <v>0</v>
      </c>
      <c r="C17" s="61">
        <f>IF(B17&gt;=설정_코스수당!$A$71,설정_코스수당!$B$71,IF(B17&gt;=설정_코스수당!$A$70,설정_코스수당!$B$70,IF(B17&gt;=설정_코스수당!$A$69,설정_코스수당!$B$69,0)))</f>
        <v>0</v>
      </c>
      <c r="D17" s="62" t="s">
        <v>130</v>
      </c>
      <c r="E17" s="61">
        <f t="shared" si="0"/>
        <v>0</v>
      </c>
      <c r="F17" s="62" t="s">
        <v>130</v>
      </c>
      <c r="G17" s="61">
        <f t="shared" si="1"/>
        <v>0</v>
      </c>
      <c r="H17" s="62" t="s">
        <v>130</v>
      </c>
      <c r="I17" s="61">
        <f t="shared" si="2"/>
        <v>0</v>
      </c>
      <c r="J17" s="62" t="s">
        <v>130</v>
      </c>
      <c r="K17" s="61">
        <f t="shared" si="3"/>
        <v>0</v>
      </c>
      <c r="L17" s="62" t="s">
        <v>130</v>
      </c>
      <c r="M17" s="61">
        <f t="shared" si="4"/>
        <v>0</v>
      </c>
    </row>
    <row r="18" spans="1:13" ht="16.5" customHeight="1">
      <c r="A18" s="59">
        <f>IF(14&lt;=DAY(DATE(YEAR(설정_코스수당!$K$2),MONTH(설정_코스수당!$K$2)+1,0)),DATE(YEAR(설정_코스수당!$K$2),MONTH(설정_코스수당!$K$2),14),"")</f>
        <v>46187</v>
      </c>
      <c r="B18" s="60">
        <f>COUNTIFS(실시간콜입력!$B:$B,A18,실시간콜입력!$O:$O,"방문완료")</f>
        <v>0</v>
      </c>
      <c r="C18" s="61">
        <f>IF(B18&gt;=설정_코스수당!$A$71,설정_코스수당!$B$71,IF(B18&gt;=설정_코스수당!$A$70,설정_코스수당!$B$70,IF(B18&gt;=설정_코스수당!$A$69,설정_코스수당!$B$69,0)))</f>
        <v>0</v>
      </c>
      <c r="D18" s="62" t="s">
        <v>130</v>
      </c>
      <c r="E18" s="61">
        <f t="shared" si="0"/>
        <v>0</v>
      </c>
      <c r="F18" s="62" t="s">
        <v>130</v>
      </c>
      <c r="G18" s="61">
        <f t="shared" si="1"/>
        <v>0</v>
      </c>
      <c r="H18" s="62" t="s">
        <v>130</v>
      </c>
      <c r="I18" s="61">
        <f t="shared" si="2"/>
        <v>0</v>
      </c>
      <c r="J18" s="62" t="s">
        <v>130</v>
      </c>
      <c r="K18" s="61">
        <f t="shared" si="3"/>
        <v>0</v>
      </c>
      <c r="L18" s="62" t="s">
        <v>130</v>
      </c>
      <c r="M18" s="61">
        <f t="shared" si="4"/>
        <v>0</v>
      </c>
    </row>
    <row r="19" spans="1:13" ht="16.5" customHeight="1">
      <c r="A19" s="59">
        <f>IF(15&lt;=DAY(DATE(YEAR(설정_코스수당!$K$2),MONTH(설정_코스수당!$K$2)+1,0)),DATE(YEAR(설정_코스수당!$K$2),MONTH(설정_코스수당!$K$2),15),"")</f>
        <v>46188</v>
      </c>
      <c r="B19" s="60">
        <f>COUNTIFS(실시간콜입력!$B:$B,A19,실시간콜입력!$O:$O,"방문완료")</f>
        <v>0</v>
      </c>
      <c r="C19" s="61">
        <f>IF(B19&gt;=설정_코스수당!$A$71,설정_코스수당!$B$71,IF(B19&gt;=설정_코스수당!$A$70,설정_코스수당!$B$70,IF(B19&gt;=설정_코스수당!$A$69,설정_코스수당!$B$69,0)))</f>
        <v>0</v>
      </c>
      <c r="D19" s="62" t="s">
        <v>130</v>
      </c>
      <c r="E19" s="61">
        <f t="shared" si="0"/>
        <v>0</v>
      </c>
      <c r="F19" s="62" t="s">
        <v>130</v>
      </c>
      <c r="G19" s="61">
        <f t="shared" si="1"/>
        <v>0</v>
      </c>
      <c r="H19" s="62" t="s">
        <v>130</v>
      </c>
      <c r="I19" s="61">
        <f t="shared" si="2"/>
        <v>0</v>
      </c>
      <c r="J19" s="62" t="s">
        <v>130</v>
      </c>
      <c r="K19" s="61">
        <f t="shared" si="3"/>
        <v>0</v>
      </c>
      <c r="L19" s="62" t="s">
        <v>130</v>
      </c>
      <c r="M19" s="61">
        <f t="shared" si="4"/>
        <v>0</v>
      </c>
    </row>
    <row r="20" spans="1:13" ht="16.5" customHeight="1">
      <c r="A20" s="59">
        <f>IF(16&lt;=DAY(DATE(YEAR(설정_코스수당!$K$2),MONTH(설정_코스수당!$K$2)+1,0)),DATE(YEAR(설정_코스수당!$K$2),MONTH(설정_코스수당!$K$2),16),"")</f>
        <v>46189</v>
      </c>
      <c r="B20" s="60">
        <f>COUNTIFS(실시간콜입력!$B:$B,A20,실시간콜입력!$O:$O,"방문완료")</f>
        <v>0</v>
      </c>
      <c r="C20" s="61">
        <f>IF(B20&gt;=설정_코스수당!$A$71,설정_코스수당!$B$71,IF(B20&gt;=설정_코스수당!$A$70,설정_코스수당!$B$70,IF(B20&gt;=설정_코스수당!$A$69,설정_코스수당!$B$69,0)))</f>
        <v>0</v>
      </c>
      <c r="D20" s="62" t="s">
        <v>130</v>
      </c>
      <c r="E20" s="61">
        <f t="shared" si="0"/>
        <v>0</v>
      </c>
      <c r="F20" s="62" t="s">
        <v>130</v>
      </c>
      <c r="G20" s="61">
        <f t="shared" si="1"/>
        <v>0</v>
      </c>
      <c r="H20" s="62" t="s">
        <v>130</v>
      </c>
      <c r="I20" s="61">
        <f t="shared" si="2"/>
        <v>0</v>
      </c>
      <c r="J20" s="62" t="s">
        <v>130</v>
      </c>
      <c r="K20" s="61">
        <f t="shared" si="3"/>
        <v>0</v>
      </c>
      <c r="L20" s="62" t="s">
        <v>130</v>
      </c>
      <c r="M20" s="61">
        <f t="shared" si="4"/>
        <v>0</v>
      </c>
    </row>
    <row r="21" spans="1:13" ht="16.5" customHeight="1">
      <c r="A21" s="59">
        <f>IF(17&lt;=DAY(DATE(YEAR(설정_코스수당!$K$2),MONTH(설정_코스수당!$K$2)+1,0)),DATE(YEAR(설정_코스수당!$K$2),MONTH(설정_코스수당!$K$2),17),"")</f>
        <v>46190</v>
      </c>
      <c r="B21" s="60">
        <f>COUNTIFS(실시간콜입력!$B:$B,A21,실시간콜입력!$O:$O,"방문완료")</f>
        <v>0</v>
      </c>
      <c r="C21" s="61">
        <f>IF(B21&gt;=설정_코스수당!$A$71,설정_코스수당!$B$71,IF(B21&gt;=설정_코스수당!$A$70,설정_코스수당!$B$70,IF(B21&gt;=설정_코스수당!$A$69,설정_코스수당!$B$69,0)))</f>
        <v>0</v>
      </c>
      <c r="D21" s="62" t="s">
        <v>130</v>
      </c>
      <c r="E21" s="61">
        <f t="shared" si="0"/>
        <v>0</v>
      </c>
      <c r="F21" s="62" t="s">
        <v>130</v>
      </c>
      <c r="G21" s="61">
        <f t="shared" si="1"/>
        <v>0</v>
      </c>
      <c r="H21" s="62" t="s">
        <v>130</v>
      </c>
      <c r="I21" s="61">
        <f t="shared" si="2"/>
        <v>0</v>
      </c>
      <c r="J21" s="62" t="s">
        <v>130</v>
      </c>
      <c r="K21" s="61">
        <f t="shared" si="3"/>
        <v>0</v>
      </c>
      <c r="L21" s="62" t="s">
        <v>130</v>
      </c>
      <c r="M21" s="61">
        <f t="shared" si="4"/>
        <v>0</v>
      </c>
    </row>
    <row r="22" spans="1:13" ht="16.5" customHeight="1">
      <c r="A22" s="59">
        <f>IF(18&lt;=DAY(DATE(YEAR(설정_코스수당!$K$2),MONTH(설정_코스수당!$K$2)+1,0)),DATE(YEAR(설정_코스수당!$K$2),MONTH(설정_코스수당!$K$2),18),"")</f>
        <v>46191</v>
      </c>
      <c r="B22" s="60">
        <f>COUNTIFS(실시간콜입력!$B:$B,A22,실시간콜입력!$O:$O,"방문완료")</f>
        <v>0</v>
      </c>
      <c r="C22" s="61">
        <f>IF(B22&gt;=설정_코스수당!$A$71,설정_코스수당!$B$71,IF(B22&gt;=설정_코스수당!$A$70,설정_코스수당!$B$70,IF(B22&gt;=설정_코스수당!$A$69,설정_코스수당!$B$69,0)))</f>
        <v>0</v>
      </c>
      <c r="D22" s="62" t="s">
        <v>130</v>
      </c>
      <c r="E22" s="61">
        <f t="shared" si="0"/>
        <v>0</v>
      </c>
      <c r="F22" s="62" t="s">
        <v>130</v>
      </c>
      <c r="G22" s="61">
        <f t="shared" si="1"/>
        <v>0</v>
      </c>
      <c r="H22" s="62" t="s">
        <v>130</v>
      </c>
      <c r="I22" s="61">
        <f t="shared" si="2"/>
        <v>0</v>
      </c>
      <c r="J22" s="62" t="s">
        <v>130</v>
      </c>
      <c r="K22" s="61">
        <f t="shared" si="3"/>
        <v>0</v>
      </c>
      <c r="L22" s="62" t="s">
        <v>130</v>
      </c>
      <c r="M22" s="61">
        <f t="shared" si="4"/>
        <v>0</v>
      </c>
    </row>
    <row r="23" spans="1:13" ht="16.5" customHeight="1">
      <c r="A23" s="59">
        <f>IF(19&lt;=DAY(DATE(YEAR(설정_코스수당!$K$2),MONTH(설정_코스수당!$K$2)+1,0)),DATE(YEAR(설정_코스수당!$K$2),MONTH(설정_코스수당!$K$2),19),"")</f>
        <v>46192</v>
      </c>
      <c r="B23" s="60">
        <f>COUNTIFS(실시간콜입력!$B:$B,A23,실시간콜입력!$O:$O,"방문완료")</f>
        <v>0</v>
      </c>
      <c r="C23" s="61">
        <f>IF(B23&gt;=설정_코스수당!$A$71,설정_코스수당!$B$71,IF(B23&gt;=설정_코스수당!$A$70,설정_코스수당!$B$70,IF(B23&gt;=설정_코스수당!$A$69,설정_코스수당!$B$69,0)))</f>
        <v>0</v>
      </c>
      <c r="D23" s="62" t="s">
        <v>130</v>
      </c>
      <c r="E23" s="61">
        <f t="shared" si="0"/>
        <v>0</v>
      </c>
      <c r="F23" s="62" t="s">
        <v>130</v>
      </c>
      <c r="G23" s="61">
        <f t="shared" si="1"/>
        <v>0</v>
      </c>
      <c r="H23" s="62" t="s">
        <v>130</v>
      </c>
      <c r="I23" s="61">
        <f t="shared" si="2"/>
        <v>0</v>
      </c>
      <c r="J23" s="62" t="s">
        <v>130</v>
      </c>
      <c r="K23" s="61">
        <f t="shared" si="3"/>
        <v>0</v>
      </c>
      <c r="L23" s="62" t="s">
        <v>130</v>
      </c>
      <c r="M23" s="61">
        <f t="shared" si="4"/>
        <v>0</v>
      </c>
    </row>
    <row r="24" spans="1:13" ht="16.5" customHeight="1">
      <c r="A24" s="59">
        <f>IF(20&lt;=DAY(DATE(YEAR(설정_코스수당!$K$2),MONTH(설정_코스수당!$K$2)+1,0)),DATE(YEAR(설정_코스수당!$K$2),MONTH(설정_코스수당!$K$2),20),"")</f>
        <v>46193</v>
      </c>
      <c r="B24" s="60">
        <f>COUNTIFS(실시간콜입력!$B:$B,A24,실시간콜입력!$O:$O,"방문완료")</f>
        <v>0</v>
      </c>
      <c r="C24" s="61">
        <f>IF(B24&gt;=설정_코스수당!$A$71,설정_코스수당!$B$71,IF(B24&gt;=설정_코스수당!$A$70,설정_코스수당!$B$70,IF(B24&gt;=설정_코스수당!$A$69,설정_코스수당!$B$69,0)))</f>
        <v>0</v>
      </c>
      <c r="D24" s="62" t="s">
        <v>130</v>
      </c>
      <c r="E24" s="61">
        <f t="shared" si="0"/>
        <v>0</v>
      </c>
      <c r="F24" s="62" t="s">
        <v>130</v>
      </c>
      <c r="G24" s="61">
        <f t="shared" si="1"/>
        <v>0</v>
      </c>
      <c r="H24" s="62" t="s">
        <v>130</v>
      </c>
      <c r="I24" s="61">
        <f t="shared" si="2"/>
        <v>0</v>
      </c>
      <c r="J24" s="62" t="s">
        <v>130</v>
      </c>
      <c r="K24" s="61">
        <f t="shared" si="3"/>
        <v>0</v>
      </c>
      <c r="L24" s="62" t="s">
        <v>130</v>
      </c>
      <c r="M24" s="61">
        <f t="shared" si="4"/>
        <v>0</v>
      </c>
    </row>
    <row r="25" spans="1:13" ht="16.5" customHeight="1">
      <c r="A25" s="59">
        <f>IF(21&lt;=DAY(DATE(YEAR(설정_코스수당!$K$2),MONTH(설정_코스수당!$K$2)+1,0)),DATE(YEAR(설정_코스수당!$K$2),MONTH(설정_코스수당!$K$2),21),"")</f>
        <v>46194</v>
      </c>
      <c r="B25" s="60">
        <f>COUNTIFS(실시간콜입력!$B:$B,A25,실시간콜입력!$O:$O,"방문완료")</f>
        <v>0</v>
      </c>
      <c r="C25" s="61">
        <f>IF(B25&gt;=설정_코스수당!$A$71,설정_코스수당!$B$71,IF(B25&gt;=설정_코스수당!$A$70,설정_코스수당!$B$70,IF(B25&gt;=설정_코스수당!$A$69,설정_코스수당!$B$69,0)))</f>
        <v>0</v>
      </c>
      <c r="D25" s="62" t="s">
        <v>130</v>
      </c>
      <c r="E25" s="61">
        <f t="shared" si="0"/>
        <v>0</v>
      </c>
      <c r="F25" s="62" t="s">
        <v>130</v>
      </c>
      <c r="G25" s="61">
        <f t="shared" si="1"/>
        <v>0</v>
      </c>
      <c r="H25" s="62" t="s">
        <v>130</v>
      </c>
      <c r="I25" s="61">
        <f t="shared" si="2"/>
        <v>0</v>
      </c>
      <c r="J25" s="62" t="s">
        <v>130</v>
      </c>
      <c r="K25" s="61">
        <f t="shared" si="3"/>
        <v>0</v>
      </c>
      <c r="L25" s="62" t="s">
        <v>130</v>
      </c>
      <c r="M25" s="61">
        <f t="shared" si="4"/>
        <v>0</v>
      </c>
    </row>
    <row r="26" spans="1:13" ht="16.5" customHeight="1">
      <c r="A26" s="59">
        <f>IF(22&lt;=DAY(DATE(YEAR(설정_코스수당!$K$2),MONTH(설정_코스수당!$K$2)+1,0)),DATE(YEAR(설정_코스수당!$K$2),MONTH(설정_코스수당!$K$2),22),"")</f>
        <v>46195</v>
      </c>
      <c r="B26" s="60">
        <f>COUNTIFS(실시간콜입력!$B:$B,A26,실시간콜입력!$O:$O,"방문완료")</f>
        <v>0</v>
      </c>
      <c r="C26" s="61">
        <f>IF(B26&gt;=설정_코스수당!$A$71,설정_코스수당!$B$71,IF(B26&gt;=설정_코스수당!$A$70,설정_코스수당!$B$70,IF(B26&gt;=설정_코스수당!$A$69,설정_코스수당!$B$69,0)))</f>
        <v>0</v>
      </c>
      <c r="D26" s="62" t="s">
        <v>130</v>
      </c>
      <c r="E26" s="61">
        <f t="shared" si="0"/>
        <v>0</v>
      </c>
      <c r="F26" s="62" t="s">
        <v>130</v>
      </c>
      <c r="G26" s="61">
        <f t="shared" si="1"/>
        <v>0</v>
      </c>
      <c r="H26" s="62" t="s">
        <v>130</v>
      </c>
      <c r="I26" s="61">
        <f t="shared" si="2"/>
        <v>0</v>
      </c>
      <c r="J26" s="62" t="s">
        <v>130</v>
      </c>
      <c r="K26" s="61">
        <f t="shared" si="3"/>
        <v>0</v>
      </c>
      <c r="L26" s="62" t="s">
        <v>130</v>
      </c>
      <c r="M26" s="61">
        <f t="shared" si="4"/>
        <v>0</v>
      </c>
    </row>
    <row r="27" spans="1:13" ht="16.5" customHeight="1">
      <c r="A27" s="59">
        <f>IF(23&lt;=DAY(DATE(YEAR(설정_코스수당!$K$2),MONTH(설정_코스수당!$K$2)+1,0)),DATE(YEAR(설정_코스수당!$K$2),MONTH(설정_코스수당!$K$2),23),"")</f>
        <v>46196</v>
      </c>
      <c r="B27" s="60">
        <f>COUNTIFS(실시간콜입력!$B:$B,A27,실시간콜입력!$O:$O,"방문완료")</f>
        <v>0</v>
      </c>
      <c r="C27" s="61">
        <f>IF(B27&gt;=설정_코스수당!$A$71,설정_코스수당!$B$71,IF(B27&gt;=설정_코스수당!$A$70,설정_코스수당!$B$70,IF(B27&gt;=설정_코스수당!$A$69,설정_코스수당!$B$69,0)))</f>
        <v>0</v>
      </c>
      <c r="D27" s="62" t="s">
        <v>130</v>
      </c>
      <c r="E27" s="61">
        <f t="shared" si="0"/>
        <v>0</v>
      </c>
      <c r="F27" s="62" t="s">
        <v>130</v>
      </c>
      <c r="G27" s="61">
        <f t="shared" si="1"/>
        <v>0</v>
      </c>
      <c r="H27" s="62" t="s">
        <v>130</v>
      </c>
      <c r="I27" s="61">
        <f t="shared" si="2"/>
        <v>0</v>
      </c>
      <c r="J27" s="62" t="s">
        <v>130</v>
      </c>
      <c r="K27" s="61">
        <f t="shared" si="3"/>
        <v>0</v>
      </c>
      <c r="L27" s="62" t="s">
        <v>130</v>
      </c>
      <c r="M27" s="61">
        <f t="shared" si="4"/>
        <v>0</v>
      </c>
    </row>
    <row r="28" spans="1:13" ht="16.5" customHeight="1">
      <c r="A28" s="59">
        <f>IF(24&lt;=DAY(DATE(YEAR(설정_코스수당!$K$2),MONTH(설정_코스수당!$K$2)+1,0)),DATE(YEAR(설정_코스수당!$K$2),MONTH(설정_코스수당!$K$2),24),"")</f>
        <v>46197</v>
      </c>
      <c r="B28" s="60">
        <f>COUNTIFS(실시간콜입력!$B:$B,A28,실시간콜입력!$O:$O,"방문완료")</f>
        <v>0</v>
      </c>
      <c r="C28" s="61">
        <f>IF(B28&gt;=설정_코스수당!$A$71,설정_코스수당!$B$71,IF(B28&gt;=설정_코스수당!$A$70,설정_코스수당!$B$70,IF(B28&gt;=설정_코스수당!$A$69,설정_코스수당!$B$69,0)))</f>
        <v>0</v>
      </c>
      <c r="D28" s="62" t="s">
        <v>130</v>
      </c>
      <c r="E28" s="61">
        <f t="shared" si="0"/>
        <v>0</v>
      </c>
      <c r="F28" s="62" t="s">
        <v>130</v>
      </c>
      <c r="G28" s="61">
        <f t="shared" si="1"/>
        <v>0</v>
      </c>
      <c r="H28" s="62" t="s">
        <v>130</v>
      </c>
      <c r="I28" s="61">
        <f t="shared" si="2"/>
        <v>0</v>
      </c>
      <c r="J28" s="62" t="s">
        <v>130</v>
      </c>
      <c r="K28" s="61">
        <f t="shared" si="3"/>
        <v>0</v>
      </c>
      <c r="L28" s="62" t="s">
        <v>130</v>
      </c>
      <c r="M28" s="61">
        <f t="shared" si="4"/>
        <v>0</v>
      </c>
    </row>
    <row r="29" spans="1:13" ht="16.5" customHeight="1">
      <c r="A29" s="59">
        <f>IF(25&lt;=DAY(DATE(YEAR(설정_코스수당!$K$2),MONTH(설정_코스수당!$K$2)+1,0)),DATE(YEAR(설정_코스수당!$K$2),MONTH(설정_코스수당!$K$2),25),"")</f>
        <v>46198</v>
      </c>
      <c r="B29" s="60">
        <f>COUNTIFS(실시간콜입력!$B:$B,A29,실시간콜입력!$O:$O,"방문완료")</f>
        <v>0</v>
      </c>
      <c r="C29" s="61">
        <f>IF(B29&gt;=설정_코스수당!$A$71,설정_코스수당!$B$71,IF(B29&gt;=설정_코스수당!$A$70,설정_코스수당!$B$70,IF(B29&gt;=설정_코스수당!$A$69,설정_코스수당!$B$69,0)))</f>
        <v>0</v>
      </c>
      <c r="D29" s="62" t="s">
        <v>130</v>
      </c>
      <c r="E29" s="61">
        <f t="shared" si="0"/>
        <v>0</v>
      </c>
      <c r="F29" s="62" t="s">
        <v>130</v>
      </c>
      <c r="G29" s="61">
        <f t="shared" si="1"/>
        <v>0</v>
      </c>
      <c r="H29" s="62" t="s">
        <v>130</v>
      </c>
      <c r="I29" s="61">
        <f t="shared" si="2"/>
        <v>0</v>
      </c>
      <c r="J29" s="62" t="s">
        <v>130</v>
      </c>
      <c r="K29" s="61">
        <f t="shared" si="3"/>
        <v>0</v>
      </c>
      <c r="L29" s="62" t="s">
        <v>130</v>
      </c>
      <c r="M29" s="61">
        <f t="shared" si="4"/>
        <v>0</v>
      </c>
    </row>
    <row r="30" spans="1:13" ht="16.5" customHeight="1">
      <c r="A30" s="59">
        <f>IF(26&lt;=DAY(DATE(YEAR(설정_코스수당!$K$2),MONTH(설정_코스수당!$K$2)+1,0)),DATE(YEAR(설정_코스수당!$K$2),MONTH(설정_코스수당!$K$2),26),"")</f>
        <v>46199</v>
      </c>
      <c r="B30" s="60">
        <f>COUNTIFS(실시간콜입력!$B:$B,A30,실시간콜입력!$O:$O,"방문완료")</f>
        <v>0</v>
      </c>
      <c r="C30" s="61">
        <f>IF(B30&gt;=설정_코스수당!$A$71,설정_코스수당!$B$71,IF(B30&gt;=설정_코스수당!$A$70,설정_코스수당!$B$70,IF(B30&gt;=설정_코스수당!$A$69,설정_코스수당!$B$69,0)))</f>
        <v>0</v>
      </c>
      <c r="D30" s="62" t="s">
        <v>130</v>
      </c>
      <c r="E30" s="61">
        <f t="shared" si="0"/>
        <v>0</v>
      </c>
      <c r="F30" s="62" t="s">
        <v>130</v>
      </c>
      <c r="G30" s="61">
        <f t="shared" si="1"/>
        <v>0</v>
      </c>
      <c r="H30" s="62" t="s">
        <v>130</v>
      </c>
      <c r="I30" s="61">
        <f t="shared" si="2"/>
        <v>0</v>
      </c>
      <c r="J30" s="62" t="s">
        <v>130</v>
      </c>
      <c r="K30" s="61">
        <f t="shared" si="3"/>
        <v>0</v>
      </c>
      <c r="L30" s="62" t="s">
        <v>130</v>
      </c>
      <c r="M30" s="61">
        <f t="shared" si="4"/>
        <v>0</v>
      </c>
    </row>
    <row r="31" spans="1:13" ht="16.5" customHeight="1">
      <c r="A31" s="59">
        <f>IF(27&lt;=DAY(DATE(YEAR(설정_코스수당!$K$2),MONTH(설정_코스수당!$K$2)+1,0)),DATE(YEAR(설정_코스수당!$K$2),MONTH(설정_코스수당!$K$2),27),"")</f>
        <v>46200</v>
      </c>
      <c r="B31" s="60">
        <f>COUNTIFS(실시간콜입력!$B:$B,A31,실시간콜입력!$O:$O,"방문완료")</f>
        <v>0</v>
      </c>
      <c r="C31" s="61">
        <f>IF(B31&gt;=설정_코스수당!$A$71,설정_코스수당!$B$71,IF(B31&gt;=설정_코스수당!$A$70,설정_코스수당!$B$70,IF(B31&gt;=설정_코스수당!$A$69,설정_코스수당!$B$69,0)))</f>
        <v>0</v>
      </c>
      <c r="D31" s="62" t="s">
        <v>130</v>
      </c>
      <c r="E31" s="61">
        <f t="shared" si="0"/>
        <v>0</v>
      </c>
      <c r="F31" s="62" t="s">
        <v>130</v>
      </c>
      <c r="G31" s="61">
        <f t="shared" si="1"/>
        <v>0</v>
      </c>
      <c r="H31" s="62" t="s">
        <v>130</v>
      </c>
      <c r="I31" s="61">
        <f t="shared" si="2"/>
        <v>0</v>
      </c>
      <c r="J31" s="62" t="s">
        <v>130</v>
      </c>
      <c r="K31" s="61">
        <f t="shared" si="3"/>
        <v>0</v>
      </c>
      <c r="L31" s="62" t="s">
        <v>130</v>
      </c>
      <c r="M31" s="61">
        <f t="shared" si="4"/>
        <v>0</v>
      </c>
    </row>
    <row r="32" spans="1:13" ht="16.5" customHeight="1">
      <c r="A32" s="59">
        <f>IF(28&lt;=DAY(DATE(YEAR(설정_코스수당!$K$2),MONTH(설정_코스수당!$K$2)+1,0)),DATE(YEAR(설정_코스수당!$K$2),MONTH(설정_코스수당!$K$2),28),"")</f>
        <v>46201</v>
      </c>
      <c r="B32" s="60">
        <f>COUNTIFS(실시간콜입력!$B:$B,A32,실시간콜입력!$O:$O,"방문완료")</f>
        <v>0</v>
      </c>
      <c r="C32" s="61">
        <f>IF(B32&gt;=설정_코스수당!$A$71,설정_코스수당!$B$71,IF(B32&gt;=설정_코스수당!$A$70,설정_코스수당!$B$70,IF(B32&gt;=설정_코스수당!$A$69,설정_코스수당!$B$69,0)))</f>
        <v>0</v>
      </c>
      <c r="D32" s="62" t="s">
        <v>130</v>
      </c>
      <c r="E32" s="61">
        <f t="shared" si="0"/>
        <v>0</v>
      </c>
      <c r="F32" s="62" t="s">
        <v>130</v>
      </c>
      <c r="G32" s="61">
        <f t="shared" si="1"/>
        <v>0</v>
      </c>
      <c r="H32" s="62" t="s">
        <v>130</v>
      </c>
      <c r="I32" s="61">
        <f t="shared" si="2"/>
        <v>0</v>
      </c>
      <c r="J32" s="62" t="s">
        <v>130</v>
      </c>
      <c r="K32" s="61">
        <f t="shared" si="3"/>
        <v>0</v>
      </c>
      <c r="L32" s="62" t="s">
        <v>130</v>
      </c>
      <c r="M32" s="61">
        <f t="shared" si="4"/>
        <v>0</v>
      </c>
    </row>
    <row r="33" spans="1:13" ht="16.5" customHeight="1">
      <c r="A33" s="59">
        <f>IF(29&lt;=DAY(DATE(YEAR(설정_코스수당!$K$2),MONTH(설정_코스수당!$K$2)+1,0)),DATE(YEAR(설정_코스수당!$K$2),MONTH(설정_코스수당!$K$2),29),"")</f>
        <v>46202</v>
      </c>
      <c r="B33" s="60">
        <f>COUNTIFS(실시간콜입력!$B:$B,A33,실시간콜입력!$O:$O,"방문완료")</f>
        <v>0</v>
      </c>
      <c r="C33" s="61">
        <f>IF(B33&gt;=설정_코스수당!$A$71,설정_코스수당!$B$71,IF(B33&gt;=설정_코스수당!$A$70,설정_코스수당!$B$70,IF(B33&gt;=설정_코스수당!$A$69,설정_코스수당!$B$69,0)))</f>
        <v>0</v>
      </c>
      <c r="D33" s="62" t="s">
        <v>130</v>
      </c>
      <c r="E33" s="61">
        <f t="shared" si="0"/>
        <v>0</v>
      </c>
      <c r="F33" s="62" t="s">
        <v>130</v>
      </c>
      <c r="G33" s="61">
        <f t="shared" si="1"/>
        <v>0</v>
      </c>
      <c r="H33" s="62" t="s">
        <v>130</v>
      </c>
      <c r="I33" s="61">
        <f t="shared" si="2"/>
        <v>0</v>
      </c>
      <c r="J33" s="62" t="s">
        <v>130</v>
      </c>
      <c r="K33" s="61">
        <f t="shared" si="3"/>
        <v>0</v>
      </c>
      <c r="L33" s="62" t="s">
        <v>130</v>
      </c>
      <c r="M33" s="61">
        <f t="shared" si="4"/>
        <v>0</v>
      </c>
    </row>
    <row r="34" spans="1:13" ht="16.5" customHeight="1">
      <c r="A34" s="59">
        <f>IF(30&lt;=DAY(DATE(YEAR(설정_코스수당!$K$2),MONTH(설정_코스수당!$K$2)+1,0)),DATE(YEAR(설정_코스수당!$K$2),MONTH(설정_코스수당!$K$2),30),"")</f>
        <v>46203</v>
      </c>
      <c r="B34" s="60">
        <f>COUNTIFS(실시간콜입력!$B:$B,A34,실시간콜입력!$O:$O,"방문완료")</f>
        <v>0</v>
      </c>
      <c r="C34" s="61">
        <f>IF(B34&gt;=설정_코스수당!$A$71,설정_코스수당!$B$71,IF(B34&gt;=설정_코스수당!$A$70,설정_코스수당!$B$70,IF(B34&gt;=설정_코스수당!$A$69,설정_코스수당!$B$69,0)))</f>
        <v>0</v>
      </c>
      <c r="D34" s="62" t="s">
        <v>130</v>
      </c>
      <c r="E34" s="61">
        <f t="shared" si="0"/>
        <v>0</v>
      </c>
      <c r="F34" s="62" t="s">
        <v>130</v>
      </c>
      <c r="G34" s="61">
        <f t="shared" si="1"/>
        <v>0</v>
      </c>
      <c r="H34" s="62" t="s">
        <v>130</v>
      </c>
      <c r="I34" s="61">
        <f t="shared" si="2"/>
        <v>0</v>
      </c>
      <c r="J34" s="62" t="s">
        <v>130</v>
      </c>
      <c r="K34" s="61">
        <f t="shared" si="3"/>
        <v>0</v>
      </c>
      <c r="L34" s="62" t="s">
        <v>130</v>
      </c>
      <c r="M34" s="61">
        <f t="shared" si="4"/>
        <v>0</v>
      </c>
    </row>
    <row r="35" spans="1:13" ht="16.5" customHeight="1">
      <c r="A35" s="59" t="str">
        <f>IF(31&lt;=DAY(DATE(YEAR(설정_코스수당!$K$2),MONTH(설정_코스수당!$K$2)+1,0)),DATE(YEAR(설정_코스수당!$K$2),MONTH(설정_코스수당!$K$2),31),"")</f>
        <v/>
      </c>
      <c r="B35" s="60">
        <f>COUNTIFS(실시간콜입력!$B:$B,A35,실시간콜입력!$O:$O,"방문완료")</f>
        <v>0</v>
      </c>
      <c r="C35" s="61">
        <f>IF(B35&gt;=설정_코스수당!$A$71,설정_코스수당!$B$71,IF(B35&gt;=설정_코스수당!$A$70,설정_코스수당!$B$70,IF(B35&gt;=설정_코스수당!$A$69,설정_코스수당!$B$69,0)))</f>
        <v>0</v>
      </c>
      <c r="D35" s="62" t="s">
        <v>130</v>
      </c>
      <c r="E35" s="61">
        <f t="shared" si="0"/>
        <v>0</v>
      </c>
      <c r="F35" s="62" t="s">
        <v>130</v>
      </c>
      <c r="G35" s="61">
        <f t="shared" si="1"/>
        <v>0</v>
      </c>
      <c r="H35" s="62" t="s">
        <v>130</v>
      </c>
      <c r="I35" s="61">
        <f t="shared" si="2"/>
        <v>0</v>
      </c>
      <c r="J35" s="62" t="s">
        <v>130</v>
      </c>
      <c r="K35" s="61">
        <f t="shared" si="3"/>
        <v>0</v>
      </c>
      <c r="L35" s="62" t="s">
        <v>130</v>
      </c>
      <c r="M35" s="61">
        <f t="shared" si="4"/>
        <v>0</v>
      </c>
    </row>
    <row r="36" spans="1:13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6.5" customHeight="1">
      <c r="A39" s="118" t="s">
        <v>131</v>
      </c>
      <c r="B39" s="115"/>
      <c r="C39" s="115"/>
      <c r="D39" s="115"/>
      <c r="E39" s="115"/>
      <c r="F39" s="115"/>
      <c r="G39" s="115"/>
      <c r="H39" s="115"/>
      <c r="I39" s="1"/>
      <c r="J39" s="1"/>
      <c r="K39" s="1"/>
      <c r="L39" s="1"/>
      <c r="M39" s="1"/>
    </row>
    <row r="40" spans="1:13" ht="16.5" customHeight="1">
      <c r="A40" s="2" t="s">
        <v>132</v>
      </c>
      <c r="B40" s="63">
        <f>SUM(B5:B35)</f>
        <v>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6.5" customHeight="1">
      <c r="A41" s="2" t="s">
        <v>133</v>
      </c>
      <c r="B41" s="61">
        <f>IF(B40&gt;=설정_코스수당!$A$81,설정_코스수당!$B$81,IF(B40&gt;=설정_코스수당!$A$80,설정_코스수당!$B$80,IF(B40&gt;=설정_코스수당!$A$79,설정_코스수당!$B$79,IF(B40&gt;=설정_코스수당!$A$78,설정_코스수당!$B$78,IF(B40&gt;=설정_코스수당!$A$77,설정_코스수당!$B$77,IF(B40&gt;=설정_코스수당!$A$76,설정_코스수당!$B$76,0))))))</f>
        <v>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6.5" customHeight="1">
      <c r="A42" s="2" t="s">
        <v>134</v>
      </c>
      <c r="B42" s="61">
        <f>B41*설정_코스수당!$C$76</f>
        <v>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6.5" customHeight="1">
      <c r="A43" s="2" t="s">
        <v>135</v>
      </c>
      <c r="B43" s="61">
        <f>B41*설정_코스수당!$D$76</f>
        <v>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6.5" customHeight="1">
      <c r="A44" s="2" t="s">
        <v>136</v>
      </c>
      <c r="B44" s="61">
        <f>B41*설정_코스수당!$E$76</f>
        <v>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6.5" customHeight="1">
      <c r="A45" s="2" t="s">
        <v>137</v>
      </c>
      <c r="B45" s="61">
        <f>B43/2</f>
        <v>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6.5" customHeight="1">
      <c r="A46" s="2" t="s">
        <v>138</v>
      </c>
      <c r="B46" s="61">
        <f>B44/2</f>
        <v>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6.5" customHeight="1"/>
    <row r="48" spans="1:13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L2"/>
    <mergeCell ref="A1:E1"/>
    <mergeCell ref="A39:H39"/>
  </mergeCells>
  <phoneticPr fontId="45" type="noConversion"/>
  <dataValidations count="1">
    <dataValidation type="list" allowBlank="1" sqref="D5:D35 F5:F35 H5:H35 J5:J35 L5:L35" xr:uid="{00000000-0002-0000-0400-000000000000}">
      <formula1>"정상,휴무,지각,조퇴,결근"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J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53125" defaultRowHeight="15" customHeight="1" outlineLevelRow="1"/>
  <cols>
    <col min="1" max="1" width="13" customWidth="1"/>
    <col min="2" max="2" width="14" customWidth="1"/>
    <col min="3" max="3" width="12" customWidth="1"/>
    <col min="4" max="4" width="13" customWidth="1"/>
    <col min="5" max="7" width="15" customWidth="1"/>
    <col min="8" max="8" width="20" customWidth="1"/>
    <col min="9" max="10" width="8.7265625" customWidth="1"/>
  </cols>
  <sheetData>
    <row r="1" spans="1:10" ht="27.75" customHeight="1">
      <c r="A1" s="130" t="s">
        <v>139</v>
      </c>
      <c r="B1" s="129"/>
      <c r="C1" s="129"/>
      <c r="D1" s="129"/>
    </row>
    <row r="2" spans="1:10" ht="22.5" customHeight="1">
      <c r="A2" s="149" t="s">
        <v>140</v>
      </c>
      <c r="B2" s="129"/>
      <c r="C2" s="129"/>
      <c r="D2" s="129"/>
      <c r="E2" s="129"/>
      <c r="F2" s="129"/>
      <c r="G2" s="129"/>
      <c r="H2" s="129"/>
      <c r="I2" s="129"/>
      <c r="J2" s="129"/>
    </row>
    <row r="3" spans="1:10" ht="16.5" customHeight="1"/>
    <row r="4" spans="1:10" ht="21.75" customHeight="1" collapsed="1">
      <c r="A4" s="148" t="str">
        <f>IF(1&lt;=DAY(DATE(YEAR(설정_코스수당!$K$2),MONTH(설정_코스수당!$K$2)+1,0)),TEXT(DATE(YEAR(설정_코스수당!$K$2),MONTH(설정_코스수당!$K$2),1),"yyyy-mm-dd")&amp;" 귀케어 정산","")</f>
        <v>2026-06-01 귀케어 정산</v>
      </c>
      <c r="B4" s="124"/>
      <c r="C4" s="124"/>
      <c r="D4" s="124"/>
      <c r="E4" s="124"/>
      <c r="F4" s="124"/>
      <c r="G4" s="124"/>
      <c r="H4" s="124"/>
    </row>
    <row r="5" spans="1:10" ht="19.5" hidden="1" customHeight="1" outlineLevel="1">
      <c r="A5" s="20" t="s">
        <v>42</v>
      </c>
      <c r="B5" s="20" t="s">
        <v>141</v>
      </c>
      <c r="C5" s="20" t="s">
        <v>142</v>
      </c>
      <c r="D5" s="20" t="s">
        <v>143</v>
      </c>
      <c r="E5" s="20" t="s">
        <v>144</v>
      </c>
      <c r="F5" s="20" t="s">
        <v>145</v>
      </c>
      <c r="G5" s="20" t="s">
        <v>146</v>
      </c>
      <c r="H5" s="20" t="s">
        <v>95</v>
      </c>
    </row>
    <row r="6" spans="1:10" ht="19.5" hidden="1" customHeight="1" outlineLevel="1">
      <c r="A6" s="30">
        <f>IF(1&lt;=DAY(DATE(YEAR(설정_코스수당!$K$2),MONTH(설정_코스수당!$K$2)+1,0)),DATE(YEAR(설정_코스수당!$K$2),MONTH(설정_코스수당!$K$2),1),"")</f>
        <v>46174</v>
      </c>
      <c r="B6" s="29" t="s">
        <v>66</v>
      </c>
      <c r="C6" s="29" t="s">
        <v>130</v>
      </c>
      <c r="D6" s="29">
        <f>COUNTIFS(실시간콜입력!$B:$B,A6,실시간콜입력!$E:$E,"B",실시간콜입력!$O:$O,"방문완료")</f>
        <v>0</v>
      </c>
      <c r="E6" s="33">
        <f>SUMIFS(실시간콜입력!$M:$M,실시간콜입력!$B:$B,A6,실시간콜입력!$O:$O,"방문완료")</f>
        <v>0</v>
      </c>
      <c r="F6" s="29">
        <f>COUNTIFS($A:$A,A6,$C:$C,"정상")</f>
        <v>4</v>
      </c>
      <c r="G6" s="33">
        <f>IF(C6="정상",IF(F6&gt;0,E6/F6,0),0)</f>
        <v>0</v>
      </c>
      <c r="H6" s="29"/>
    </row>
    <row r="7" spans="1:10" ht="19.5" hidden="1" customHeight="1" outlineLevel="1">
      <c r="A7" s="24">
        <f>IF(1&lt;=DAY(DATE(YEAR(설정_코스수당!$K$2),MONTH(설정_코스수당!$K$2)+1,0)),DATE(YEAR(설정_코스수당!$K$2),MONTH(설정_코스수당!$K$2),1),"")</f>
        <v>46174</v>
      </c>
      <c r="B7" s="23" t="s">
        <v>147</v>
      </c>
      <c r="C7" s="23" t="s">
        <v>130</v>
      </c>
      <c r="D7" s="23">
        <f>COUNTIFS(실시간콜입력!$B:$B,A7,실시간콜입력!$E:$E,"B",실시간콜입력!$O:$O,"방문완료")</f>
        <v>0</v>
      </c>
      <c r="E7" s="27">
        <f>SUMIFS(실시간콜입력!$M:$M,실시간콜입력!$B:$B,A7,실시간콜입력!$O:$O,"방문완료")</f>
        <v>0</v>
      </c>
      <c r="F7" s="23">
        <f>COUNTIFS($A:$A,A7,$C:$C,"정상")</f>
        <v>4</v>
      </c>
      <c r="G7" s="27">
        <f>IF(C7="정상",IF(F7&gt;0,E7/F7,0),0)</f>
        <v>0</v>
      </c>
      <c r="H7" s="23"/>
    </row>
    <row r="8" spans="1:10" ht="19.5" hidden="1" customHeight="1" outlineLevel="1">
      <c r="A8" s="30">
        <f>IF(1&lt;=DAY(DATE(YEAR(설정_코스수당!$K$2),MONTH(설정_코스수당!$K$2)+1,0)),DATE(YEAR(설정_코스수당!$K$2),MONTH(설정_코스수당!$K$2),1),"")</f>
        <v>46174</v>
      </c>
      <c r="B8" s="29" t="s">
        <v>148</v>
      </c>
      <c r="C8" s="29" t="s">
        <v>130</v>
      </c>
      <c r="D8" s="29">
        <f>COUNTIFS(실시간콜입력!$B:$B,A8,실시간콜입력!$E:$E,"B",실시간콜입력!$O:$O,"방문완료")</f>
        <v>0</v>
      </c>
      <c r="E8" s="33">
        <f>SUMIFS(실시간콜입력!$M:$M,실시간콜입력!$B:$B,A8,실시간콜입력!$O:$O,"방문완료")</f>
        <v>0</v>
      </c>
      <c r="F8" s="29">
        <f>COUNTIFS($A:$A,A8,$C:$C,"정상")</f>
        <v>4</v>
      </c>
      <c r="G8" s="33">
        <f>IF(C8="정상",IF(F8&gt;0,E8/F8,0),0)</f>
        <v>0</v>
      </c>
      <c r="H8" s="29"/>
    </row>
    <row r="9" spans="1:10" ht="19.5" hidden="1" customHeight="1" outlineLevel="1">
      <c r="A9" s="24">
        <f>IF(1&lt;=DAY(DATE(YEAR(설정_코스수당!$K$2),MONTH(설정_코스수당!$K$2)+1,0)),DATE(YEAR(설정_코스수당!$K$2),MONTH(설정_코스수당!$K$2),1),"")</f>
        <v>46174</v>
      </c>
      <c r="B9" s="23" t="s">
        <v>149</v>
      </c>
      <c r="C9" s="23" t="s">
        <v>130</v>
      </c>
      <c r="D9" s="23">
        <f>COUNTIFS(실시간콜입력!$B:$B,A9,실시간콜입력!$E:$E,"B",실시간콜입력!$O:$O,"방문완료")</f>
        <v>0</v>
      </c>
      <c r="E9" s="27">
        <f>SUMIFS(실시간콜입력!$M:$M,실시간콜입력!$B:$B,A9,실시간콜입력!$O:$O,"방문완료")</f>
        <v>0</v>
      </c>
      <c r="F9" s="23">
        <f>COUNTIFS($A:$A,A9,$C:$C,"정상")</f>
        <v>4</v>
      </c>
      <c r="G9" s="27">
        <f>IF(C9="정상",IF(F9&gt;0,E9/F9,0),0)</f>
        <v>0</v>
      </c>
      <c r="H9" s="23"/>
    </row>
    <row r="10" spans="1:10" ht="19.5" hidden="1" customHeight="1" outlineLevel="1">
      <c r="A10" s="29"/>
      <c r="B10" s="29"/>
      <c r="C10" s="29"/>
      <c r="D10" s="29"/>
      <c r="E10" s="29"/>
      <c r="F10" s="29"/>
      <c r="G10" s="29"/>
      <c r="H10" s="29"/>
    </row>
    <row r="11" spans="1:10" ht="21.75" customHeight="1" collapsed="1">
      <c r="A11" s="148" t="str">
        <f>IF(2&lt;=DAY(DATE(YEAR(설정_코스수당!$K$2),MONTH(설정_코스수당!$K$2)+1,0)),TEXT(DATE(YEAR(설정_코스수당!$K$2),MONTH(설정_코스수당!$K$2),2),"yyyy-mm-dd")&amp;" 귀케어 정산","")</f>
        <v>2026-06-02 귀케어 정산</v>
      </c>
      <c r="B11" s="124"/>
      <c r="C11" s="124"/>
      <c r="D11" s="124"/>
      <c r="E11" s="124"/>
      <c r="F11" s="124"/>
      <c r="G11" s="124"/>
      <c r="H11" s="124"/>
    </row>
    <row r="12" spans="1:10" ht="19.5" hidden="1" customHeight="1" outlineLevel="1">
      <c r="A12" s="20" t="s">
        <v>42</v>
      </c>
      <c r="B12" s="20" t="s">
        <v>141</v>
      </c>
      <c r="C12" s="20" t="s">
        <v>142</v>
      </c>
      <c r="D12" s="20" t="s">
        <v>143</v>
      </c>
      <c r="E12" s="20" t="s">
        <v>144</v>
      </c>
      <c r="F12" s="20" t="s">
        <v>145</v>
      </c>
      <c r="G12" s="20" t="s">
        <v>146</v>
      </c>
      <c r="H12" s="20" t="s">
        <v>95</v>
      </c>
    </row>
    <row r="13" spans="1:10" ht="19.5" hidden="1" customHeight="1" outlineLevel="1">
      <c r="A13" s="24">
        <f>IF(2&lt;=DAY(DATE(YEAR(설정_코스수당!$K$2),MONTH(설정_코스수당!$K$2)+1,0)),DATE(YEAR(설정_코스수당!$K$2),MONTH(설정_코스수당!$K$2),2),"")</f>
        <v>46175</v>
      </c>
      <c r="B13" s="23" t="s">
        <v>66</v>
      </c>
      <c r="C13" s="23" t="s">
        <v>130</v>
      </c>
      <c r="D13" s="23">
        <f>COUNTIFS(실시간콜입력!$B:$B,A13,실시간콜입력!$E:$E,"B",실시간콜입력!$O:$O,"방문완료")</f>
        <v>0</v>
      </c>
      <c r="E13" s="27">
        <f>SUMIFS(실시간콜입력!$M:$M,실시간콜입력!$B:$B,A13,실시간콜입력!$O:$O,"방문완료")</f>
        <v>0</v>
      </c>
      <c r="F13" s="23">
        <f>COUNTIFS($A:$A,A13,$C:$C,"정상")</f>
        <v>4</v>
      </c>
      <c r="G13" s="27">
        <f>IF(C13="정상",IF(F13&gt;0,E13/F13,0),0)</f>
        <v>0</v>
      </c>
      <c r="H13" s="23"/>
    </row>
    <row r="14" spans="1:10" ht="19.5" hidden="1" customHeight="1" outlineLevel="1">
      <c r="A14" s="30">
        <f>IF(2&lt;=DAY(DATE(YEAR(설정_코스수당!$K$2),MONTH(설정_코스수당!$K$2)+1,0)),DATE(YEAR(설정_코스수당!$K$2),MONTH(설정_코스수당!$K$2),2),"")</f>
        <v>46175</v>
      </c>
      <c r="B14" s="29" t="s">
        <v>147</v>
      </c>
      <c r="C14" s="29" t="s">
        <v>130</v>
      </c>
      <c r="D14" s="29">
        <f>COUNTIFS(실시간콜입력!$B:$B,A14,실시간콜입력!$E:$E,"B",실시간콜입력!$O:$O,"방문완료")</f>
        <v>0</v>
      </c>
      <c r="E14" s="33">
        <f>SUMIFS(실시간콜입력!$M:$M,실시간콜입력!$B:$B,A14,실시간콜입력!$O:$O,"방문완료")</f>
        <v>0</v>
      </c>
      <c r="F14" s="29">
        <f>COUNTIFS($A:$A,A14,$C:$C,"정상")</f>
        <v>4</v>
      </c>
      <c r="G14" s="33">
        <f>IF(C14="정상",IF(F14&gt;0,E14/F14,0),0)</f>
        <v>0</v>
      </c>
      <c r="H14" s="29"/>
    </row>
    <row r="15" spans="1:10" ht="19.5" hidden="1" customHeight="1" outlineLevel="1">
      <c r="A15" s="24">
        <f>IF(2&lt;=DAY(DATE(YEAR(설정_코스수당!$K$2),MONTH(설정_코스수당!$K$2)+1,0)),DATE(YEAR(설정_코스수당!$K$2),MONTH(설정_코스수당!$K$2),2),"")</f>
        <v>46175</v>
      </c>
      <c r="B15" s="23" t="s">
        <v>148</v>
      </c>
      <c r="C15" s="23" t="s">
        <v>130</v>
      </c>
      <c r="D15" s="23">
        <f>COUNTIFS(실시간콜입력!$B:$B,A15,실시간콜입력!$E:$E,"B",실시간콜입력!$O:$O,"방문완료")</f>
        <v>0</v>
      </c>
      <c r="E15" s="27">
        <f>SUMIFS(실시간콜입력!$M:$M,실시간콜입력!$B:$B,A15,실시간콜입력!$O:$O,"방문완료")</f>
        <v>0</v>
      </c>
      <c r="F15" s="23">
        <f>COUNTIFS($A:$A,A15,$C:$C,"정상")</f>
        <v>4</v>
      </c>
      <c r="G15" s="27">
        <f>IF(C15="정상",IF(F15&gt;0,E15/F15,0),0)</f>
        <v>0</v>
      </c>
      <c r="H15" s="23"/>
    </row>
    <row r="16" spans="1:10" ht="19.5" hidden="1" customHeight="1" outlineLevel="1">
      <c r="A16" s="30">
        <f>IF(2&lt;=DAY(DATE(YEAR(설정_코스수당!$K$2),MONTH(설정_코스수당!$K$2)+1,0)),DATE(YEAR(설정_코스수당!$K$2),MONTH(설정_코스수당!$K$2),2),"")</f>
        <v>46175</v>
      </c>
      <c r="B16" s="29" t="s">
        <v>149</v>
      </c>
      <c r="C16" s="29" t="s">
        <v>130</v>
      </c>
      <c r="D16" s="29">
        <f>COUNTIFS(실시간콜입력!$B:$B,A16,실시간콜입력!$E:$E,"B",실시간콜입력!$O:$O,"방문완료")</f>
        <v>0</v>
      </c>
      <c r="E16" s="33">
        <f>SUMIFS(실시간콜입력!$M:$M,실시간콜입력!$B:$B,A16,실시간콜입력!$O:$O,"방문완료")</f>
        <v>0</v>
      </c>
      <c r="F16" s="29">
        <f>COUNTIFS($A:$A,A16,$C:$C,"정상")</f>
        <v>4</v>
      </c>
      <c r="G16" s="33">
        <f>IF(C16="정상",IF(F16&gt;0,E16/F16,0),0)</f>
        <v>0</v>
      </c>
      <c r="H16" s="29"/>
    </row>
    <row r="17" spans="1:8" ht="19.5" hidden="1" customHeight="1" outlineLevel="1">
      <c r="A17" s="23"/>
      <c r="B17" s="23"/>
      <c r="C17" s="23"/>
      <c r="D17" s="23"/>
      <c r="E17" s="23"/>
      <c r="F17" s="23"/>
      <c r="G17" s="23"/>
      <c r="H17" s="23"/>
    </row>
    <row r="18" spans="1:8" ht="21.75" customHeight="1" collapsed="1">
      <c r="A18" s="148" t="str">
        <f>IF(3&lt;=DAY(DATE(YEAR(설정_코스수당!$K$2),MONTH(설정_코스수당!$K$2)+1,0)),TEXT(DATE(YEAR(설정_코스수당!$K$2),MONTH(설정_코스수당!$K$2),3),"yyyy-mm-dd")&amp;" 귀케어 정산","")</f>
        <v>2026-06-03 귀케어 정산</v>
      </c>
      <c r="B18" s="124"/>
      <c r="C18" s="124"/>
      <c r="D18" s="124"/>
      <c r="E18" s="124"/>
      <c r="F18" s="124"/>
      <c r="G18" s="124"/>
      <c r="H18" s="124"/>
    </row>
    <row r="19" spans="1:8" ht="19.5" hidden="1" customHeight="1" outlineLevel="1">
      <c r="A19" s="20" t="s">
        <v>42</v>
      </c>
      <c r="B19" s="20" t="s">
        <v>141</v>
      </c>
      <c r="C19" s="20" t="s">
        <v>142</v>
      </c>
      <c r="D19" s="20" t="s">
        <v>143</v>
      </c>
      <c r="E19" s="20" t="s">
        <v>144</v>
      </c>
      <c r="F19" s="20" t="s">
        <v>145</v>
      </c>
      <c r="G19" s="20" t="s">
        <v>146</v>
      </c>
      <c r="H19" s="20" t="s">
        <v>95</v>
      </c>
    </row>
    <row r="20" spans="1:8" ht="19.5" hidden="1" customHeight="1" outlineLevel="1">
      <c r="A20" s="30">
        <f>IF(3&lt;=DAY(DATE(YEAR(설정_코스수당!$K$2),MONTH(설정_코스수당!$K$2)+1,0)),DATE(YEAR(설정_코스수당!$K$2),MONTH(설정_코스수당!$K$2),3),"")</f>
        <v>46176</v>
      </c>
      <c r="B20" s="29" t="s">
        <v>66</v>
      </c>
      <c r="C20" s="29" t="s">
        <v>130</v>
      </c>
      <c r="D20" s="29">
        <f>COUNTIFS(실시간콜입력!$B:$B,A20,실시간콜입력!$E:$E,"B",실시간콜입력!$O:$O,"방문완료")</f>
        <v>0</v>
      </c>
      <c r="E20" s="33">
        <f>SUMIFS(실시간콜입력!$M:$M,실시간콜입력!$B:$B,A20,실시간콜입력!$O:$O,"방문완료")</f>
        <v>0</v>
      </c>
      <c r="F20" s="29">
        <f>COUNTIFS($A:$A,A20,$C:$C,"정상")</f>
        <v>4</v>
      </c>
      <c r="G20" s="33">
        <f>IF(C20="정상",IF(F20&gt;0,E20/F20,0),0)</f>
        <v>0</v>
      </c>
      <c r="H20" s="29"/>
    </row>
    <row r="21" spans="1:8" ht="19.5" hidden="1" customHeight="1" outlineLevel="1">
      <c r="A21" s="24">
        <f>IF(3&lt;=DAY(DATE(YEAR(설정_코스수당!$K$2),MONTH(설정_코스수당!$K$2)+1,0)),DATE(YEAR(설정_코스수당!$K$2),MONTH(설정_코스수당!$K$2),3),"")</f>
        <v>46176</v>
      </c>
      <c r="B21" s="23" t="s">
        <v>147</v>
      </c>
      <c r="C21" s="23" t="s">
        <v>130</v>
      </c>
      <c r="D21" s="23">
        <f>COUNTIFS(실시간콜입력!$B:$B,A21,실시간콜입력!$E:$E,"B",실시간콜입력!$O:$O,"방문완료")</f>
        <v>0</v>
      </c>
      <c r="E21" s="27">
        <f>SUMIFS(실시간콜입력!$M:$M,실시간콜입력!$B:$B,A21,실시간콜입력!$O:$O,"방문완료")</f>
        <v>0</v>
      </c>
      <c r="F21" s="23">
        <f>COUNTIFS($A:$A,A21,$C:$C,"정상")</f>
        <v>4</v>
      </c>
      <c r="G21" s="27">
        <f>IF(C21="정상",IF(F21&gt;0,E21/F21,0),0)</f>
        <v>0</v>
      </c>
      <c r="H21" s="23"/>
    </row>
    <row r="22" spans="1:8" ht="19.5" hidden="1" customHeight="1" outlineLevel="1">
      <c r="A22" s="30">
        <f>IF(3&lt;=DAY(DATE(YEAR(설정_코스수당!$K$2),MONTH(설정_코스수당!$K$2)+1,0)),DATE(YEAR(설정_코스수당!$K$2),MONTH(설정_코스수당!$K$2),3),"")</f>
        <v>46176</v>
      </c>
      <c r="B22" s="29" t="s">
        <v>148</v>
      </c>
      <c r="C22" s="29" t="s">
        <v>130</v>
      </c>
      <c r="D22" s="29">
        <f>COUNTIFS(실시간콜입력!$B:$B,A22,실시간콜입력!$E:$E,"B",실시간콜입력!$O:$O,"방문완료")</f>
        <v>0</v>
      </c>
      <c r="E22" s="33">
        <f>SUMIFS(실시간콜입력!$M:$M,실시간콜입력!$B:$B,A22,실시간콜입력!$O:$O,"방문완료")</f>
        <v>0</v>
      </c>
      <c r="F22" s="29">
        <f>COUNTIFS($A:$A,A22,$C:$C,"정상")</f>
        <v>4</v>
      </c>
      <c r="G22" s="33">
        <f>IF(C22="정상",IF(F22&gt;0,E22/F22,0),0)</f>
        <v>0</v>
      </c>
      <c r="H22" s="29"/>
    </row>
    <row r="23" spans="1:8" ht="19.5" hidden="1" customHeight="1" outlineLevel="1">
      <c r="A23" s="24">
        <f>IF(3&lt;=DAY(DATE(YEAR(설정_코스수당!$K$2),MONTH(설정_코스수당!$K$2)+1,0)),DATE(YEAR(설정_코스수당!$K$2),MONTH(설정_코스수당!$K$2),3),"")</f>
        <v>46176</v>
      </c>
      <c r="B23" s="23" t="s">
        <v>149</v>
      </c>
      <c r="C23" s="23" t="s">
        <v>130</v>
      </c>
      <c r="D23" s="23">
        <f>COUNTIFS(실시간콜입력!$B:$B,A23,실시간콜입력!$E:$E,"B",실시간콜입력!$O:$O,"방문완료")</f>
        <v>0</v>
      </c>
      <c r="E23" s="27">
        <f>SUMIFS(실시간콜입력!$M:$M,실시간콜입력!$B:$B,A23,실시간콜입력!$O:$O,"방문완료")</f>
        <v>0</v>
      </c>
      <c r="F23" s="23">
        <f>COUNTIFS($A:$A,A23,$C:$C,"정상")</f>
        <v>4</v>
      </c>
      <c r="G23" s="27">
        <f>IF(C23="정상",IF(F23&gt;0,E23/F23,0),0)</f>
        <v>0</v>
      </c>
      <c r="H23" s="23"/>
    </row>
    <row r="24" spans="1:8" ht="19.5" hidden="1" customHeight="1" outlineLevel="1">
      <c r="A24" s="29"/>
      <c r="B24" s="29"/>
      <c r="C24" s="29"/>
      <c r="D24" s="29"/>
      <c r="E24" s="29"/>
      <c r="F24" s="29"/>
      <c r="G24" s="29"/>
      <c r="H24" s="29"/>
    </row>
    <row r="25" spans="1:8" ht="21.75" customHeight="1" collapsed="1">
      <c r="A25" s="148" t="str">
        <f>IF(4&lt;=DAY(DATE(YEAR(설정_코스수당!$K$2),MONTH(설정_코스수당!$K$2)+1,0)),TEXT(DATE(YEAR(설정_코스수당!$K$2),MONTH(설정_코스수당!$K$2),4),"yyyy-mm-dd")&amp;" 귀케어 정산","")</f>
        <v>2026-06-04 귀케어 정산</v>
      </c>
      <c r="B25" s="124"/>
      <c r="C25" s="124"/>
      <c r="D25" s="124"/>
      <c r="E25" s="124"/>
      <c r="F25" s="124"/>
      <c r="G25" s="124"/>
      <c r="H25" s="124"/>
    </row>
    <row r="26" spans="1:8" ht="19.5" hidden="1" customHeight="1" outlineLevel="1">
      <c r="A26" s="20" t="s">
        <v>42</v>
      </c>
      <c r="B26" s="20" t="s">
        <v>141</v>
      </c>
      <c r="C26" s="20" t="s">
        <v>142</v>
      </c>
      <c r="D26" s="20" t="s">
        <v>143</v>
      </c>
      <c r="E26" s="20" t="s">
        <v>144</v>
      </c>
      <c r="F26" s="20" t="s">
        <v>145</v>
      </c>
      <c r="G26" s="20" t="s">
        <v>146</v>
      </c>
      <c r="H26" s="20" t="s">
        <v>95</v>
      </c>
    </row>
    <row r="27" spans="1:8" ht="19.5" hidden="1" customHeight="1" outlineLevel="1">
      <c r="A27" s="24">
        <f>IF(4&lt;=DAY(DATE(YEAR(설정_코스수당!$K$2),MONTH(설정_코스수당!$K$2)+1,0)),DATE(YEAR(설정_코스수당!$K$2),MONTH(설정_코스수당!$K$2),4),"")</f>
        <v>46177</v>
      </c>
      <c r="B27" s="23" t="s">
        <v>66</v>
      </c>
      <c r="C27" s="23" t="s">
        <v>130</v>
      </c>
      <c r="D27" s="23">
        <f>COUNTIFS(실시간콜입력!$B:$B,A27,실시간콜입력!$E:$E,"B",실시간콜입력!$O:$O,"방문완료")</f>
        <v>0</v>
      </c>
      <c r="E27" s="27">
        <f>SUMIFS(실시간콜입력!$M:$M,실시간콜입력!$B:$B,A27,실시간콜입력!$O:$O,"방문완료")</f>
        <v>0</v>
      </c>
      <c r="F27" s="23">
        <f>COUNTIFS($A:$A,A27,$C:$C,"정상")</f>
        <v>4</v>
      </c>
      <c r="G27" s="27">
        <f>IF(C27="정상",IF(F27&gt;0,E27/F27,0),0)</f>
        <v>0</v>
      </c>
      <c r="H27" s="23"/>
    </row>
    <row r="28" spans="1:8" ht="19.5" hidden="1" customHeight="1" outlineLevel="1">
      <c r="A28" s="30">
        <f>IF(4&lt;=DAY(DATE(YEAR(설정_코스수당!$K$2),MONTH(설정_코스수당!$K$2)+1,0)),DATE(YEAR(설정_코스수당!$K$2),MONTH(설정_코스수당!$K$2),4),"")</f>
        <v>46177</v>
      </c>
      <c r="B28" s="29" t="s">
        <v>147</v>
      </c>
      <c r="C28" s="29" t="s">
        <v>130</v>
      </c>
      <c r="D28" s="29">
        <f>COUNTIFS(실시간콜입력!$B:$B,A28,실시간콜입력!$E:$E,"B",실시간콜입력!$O:$O,"방문완료")</f>
        <v>0</v>
      </c>
      <c r="E28" s="33">
        <f>SUMIFS(실시간콜입력!$M:$M,실시간콜입력!$B:$B,A28,실시간콜입력!$O:$O,"방문완료")</f>
        <v>0</v>
      </c>
      <c r="F28" s="29">
        <f>COUNTIFS($A:$A,A28,$C:$C,"정상")</f>
        <v>4</v>
      </c>
      <c r="G28" s="33">
        <f>IF(C28="정상",IF(F28&gt;0,E28/F28,0),0)</f>
        <v>0</v>
      </c>
      <c r="H28" s="29"/>
    </row>
    <row r="29" spans="1:8" ht="19.5" hidden="1" customHeight="1" outlineLevel="1">
      <c r="A29" s="24">
        <f>IF(4&lt;=DAY(DATE(YEAR(설정_코스수당!$K$2),MONTH(설정_코스수당!$K$2)+1,0)),DATE(YEAR(설정_코스수당!$K$2),MONTH(설정_코스수당!$K$2),4),"")</f>
        <v>46177</v>
      </c>
      <c r="B29" s="23" t="s">
        <v>148</v>
      </c>
      <c r="C29" s="23" t="s">
        <v>130</v>
      </c>
      <c r="D29" s="23">
        <f>COUNTIFS(실시간콜입력!$B:$B,A29,실시간콜입력!$E:$E,"B",실시간콜입력!$O:$O,"방문완료")</f>
        <v>0</v>
      </c>
      <c r="E29" s="27">
        <f>SUMIFS(실시간콜입력!$M:$M,실시간콜입력!$B:$B,A29,실시간콜입력!$O:$O,"방문완료")</f>
        <v>0</v>
      </c>
      <c r="F29" s="23">
        <f>COUNTIFS($A:$A,A29,$C:$C,"정상")</f>
        <v>4</v>
      </c>
      <c r="G29" s="27">
        <f>IF(C29="정상",IF(F29&gt;0,E29/F29,0),0)</f>
        <v>0</v>
      </c>
      <c r="H29" s="23"/>
    </row>
    <row r="30" spans="1:8" ht="19.5" hidden="1" customHeight="1" outlineLevel="1">
      <c r="A30" s="30">
        <f>IF(4&lt;=DAY(DATE(YEAR(설정_코스수당!$K$2),MONTH(설정_코스수당!$K$2)+1,0)),DATE(YEAR(설정_코스수당!$K$2),MONTH(설정_코스수당!$K$2),4),"")</f>
        <v>46177</v>
      </c>
      <c r="B30" s="29" t="s">
        <v>149</v>
      </c>
      <c r="C30" s="29" t="s">
        <v>130</v>
      </c>
      <c r="D30" s="29">
        <f>COUNTIFS(실시간콜입력!$B:$B,A30,실시간콜입력!$E:$E,"B",실시간콜입력!$O:$O,"방문완료")</f>
        <v>0</v>
      </c>
      <c r="E30" s="33">
        <f>SUMIFS(실시간콜입력!$M:$M,실시간콜입력!$B:$B,A30,실시간콜입력!$O:$O,"방문완료")</f>
        <v>0</v>
      </c>
      <c r="F30" s="29">
        <f>COUNTIFS($A:$A,A30,$C:$C,"정상")</f>
        <v>4</v>
      </c>
      <c r="G30" s="33">
        <f>IF(C30="정상",IF(F30&gt;0,E30/F30,0),0)</f>
        <v>0</v>
      </c>
      <c r="H30" s="29"/>
    </row>
    <row r="31" spans="1:8" ht="19.5" hidden="1" customHeight="1" outlineLevel="1">
      <c r="A31" s="23"/>
      <c r="B31" s="23"/>
      <c r="C31" s="23"/>
      <c r="D31" s="23"/>
      <c r="E31" s="23"/>
      <c r="F31" s="23"/>
      <c r="G31" s="23"/>
      <c r="H31" s="23"/>
    </row>
    <row r="32" spans="1:8" ht="21.75" customHeight="1" collapsed="1">
      <c r="A32" s="148" t="str">
        <f>IF(5&lt;=DAY(DATE(YEAR(설정_코스수당!$K$2),MONTH(설정_코스수당!$K$2)+1,0)),TEXT(DATE(YEAR(설정_코스수당!$K$2),MONTH(설정_코스수당!$K$2),5),"yyyy-mm-dd")&amp;" 귀케어 정산","")</f>
        <v>2026-06-05 귀케어 정산</v>
      </c>
      <c r="B32" s="124"/>
      <c r="C32" s="124"/>
      <c r="D32" s="124"/>
      <c r="E32" s="124"/>
      <c r="F32" s="124"/>
      <c r="G32" s="124"/>
      <c r="H32" s="124"/>
    </row>
    <row r="33" spans="1:8" ht="19.5" hidden="1" customHeight="1" outlineLevel="1">
      <c r="A33" s="20" t="s">
        <v>42</v>
      </c>
      <c r="B33" s="20" t="s">
        <v>141</v>
      </c>
      <c r="C33" s="20" t="s">
        <v>142</v>
      </c>
      <c r="D33" s="20" t="s">
        <v>143</v>
      </c>
      <c r="E33" s="20" t="s">
        <v>144</v>
      </c>
      <c r="F33" s="20" t="s">
        <v>145</v>
      </c>
      <c r="G33" s="20" t="s">
        <v>146</v>
      </c>
      <c r="H33" s="20" t="s">
        <v>95</v>
      </c>
    </row>
    <row r="34" spans="1:8" ht="19.5" hidden="1" customHeight="1" outlineLevel="1">
      <c r="A34" s="30">
        <f>IF(5&lt;=DAY(DATE(YEAR(설정_코스수당!$K$2),MONTH(설정_코스수당!$K$2)+1,0)),DATE(YEAR(설정_코스수당!$K$2),MONTH(설정_코스수당!$K$2),5),"")</f>
        <v>46178</v>
      </c>
      <c r="B34" s="29" t="s">
        <v>66</v>
      </c>
      <c r="C34" s="29" t="s">
        <v>130</v>
      </c>
      <c r="D34" s="29">
        <f>COUNTIFS(실시간콜입력!$B:$B,A34,실시간콜입력!$E:$E,"B",실시간콜입력!$O:$O,"방문완료")</f>
        <v>0</v>
      </c>
      <c r="E34" s="33">
        <f>SUMIFS(실시간콜입력!$M:$M,실시간콜입력!$B:$B,A34,실시간콜입력!$O:$O,"방문완료")</f>
        <v>0</v>
      </c>
      <c r="F34" s="29">
        <f>COUNTIFS($A:$A,A34,$C:$C,"정상")</f>
        <v>4</v>
      </c>
      <c r="G34" s="33">
        <f>IF(C34="정상",IF(F34&gt;0,E34/F34,0),0)</f>
        <v>0</v>
      </c>
      <c r="H34" s="29"/>
    </row>
    <row r="35" spans="1:8" ht="19.5" hidden="1" customHeight="1" outlineLevel="1">
      <c r="A35" s="24">
        <f>IF(5&lt;=DAY(DATE(YEAR(설정_코스수당!$K$2),MONTH(설정_코스수당!$K$2)+1,0)),DATE(YEAR(설정_코스수당!$K$2),MONTH(설정_코스수당!$K$2),5),"")</f>
        <v>46178</v>
      </c>
      <c r="B35" s="23" t="s">
        <v>147</v>
      </c>
      <c r="C35" s="23" t="s">
        <v>130</v>
      </c>
      <c r="D35" s="23">
        <f>COUNTIFS(실시간콜입력!$B:$B,A35,실시간콜입력!$E:$E,"B",실시간콜입력!$O:$O,"방문완료")</f>
        <v>0</v>
      </c>
      <c r="E35" s="27">
        <f>SUMIFS(실시간콜입력!$M:$M,실시간콜입력!$B:$B,A35,실시간콜입력!$O:$O,"방문완료")</f>
        <v>0</v>
      </c>
      <c r="F35" s="23">
        <f>COUNTIFS($A:$A,A35,$C:$C,"정상")</f>
        <v>4</v>
      </c>
      <c r="G35" s="27">
        <f>IF(C35="정상",IF(F35&gt;0,E35/F35,0),0)</f>
        <v>0</v>
      </c>
      <c r="H35" s="23"/>
    </row>
    <row r="36" spans="1:8" ht="19.5" hidden="1" customHeight="1" outlineLevel="1">
      <c r="A36" s="30">
        <f>IF(5&lt;=DAY(DATE(YEAR(설정_코스수당!$K$2),MONTH(설정_코스수당!$K$2)+1,0)),DATE(YEAR(설정_코스수당!$K$2),MONTH(설정_코스수당!$K$2),5),"")</f>
        <v>46178</v>
      </c>
      <c r="B36" s="29" t="s">
        <v>148</v>
      </c>
      <c r="C36" s="29" t="s">
        <v>130</v>
      </c>
      <c r="D36" s="29">
        <f>COUNTIFS(실시간콜입력!$B:$B,A36,실시간콜입력!$E:$E,"B",실시간콜입력!$O:$O,"방문완료")</f>
        <v>0</v>
      </c>
      <c r="E36" s="33">
        <f>SUMIFS(실시간콜입력!$M:$M,실시간콜입력!$B:$B,A36,실시간콜입력!$O:$O,"방문완료")</f>
        <v>0</v>
      </c>
      <c r="F36" s="29">
        <f>COUNTIFS($A:$A,A36,$C:$C,"정상")</f>
        <v>4</v>
      </c>
      <c r="G36" s="33">
        <f>IF(C36="정상",IF(F36&gt;0,E36/F36,0),0)</f>
        <v>0</v>
      </c>
      <c r="H36" s="29"/>
    </row>
    <row r="37" spans="1:8" ht="19.5" hidden="1" customHeight="1" outlineLevel="1">
      <c r="A37" s="24">
        <f>IF(5&lt;=DAY(DATE(YEAR(설정_코스수당!$K$2),MONTH(설정_코스수당!$K$2)+1,0)),DATE(YEAR(설정_코스수당!$K$2),MONTH(설정_코스수당!$K$2),5),"")</f>
        <v>46178</v>
      </c>
      <c r="B37" s="23" t="s">
        <v>149</v>
      </c>
      <c r="C37" s="23" t="s">
        <v>130</v>
      </c>
      <c r="D37" s="23">
        <f>COUNTIFS(실시간콜입력!$B:$B,A37,실시간콜입력!$E:$E,"B",실시간콜입력!$O:$O,"방문완료")</f>
        <v>0</v>
      </c>
      <c r="E37" s="27">
        <f>SUMIFS(실시간콜입력!$M:$M,실시간콜입력!$B:$B,A37,실시간콜입력!$O:$O,"방문완료")</f>
        <v>0</v>
      </c>
      <c r="F37" s="23">
        <f>COUNTIFS($A:$A,A37,$C:$C,"정상")</f>
        <v>4</v>
      </c>
      <c r="G37" s="27">
        <f>IF(C37="정상",IF(F37&gt;0,E37/F37,0),0)</f>
        <v>0</v>
      </c>
      <c r="H37" s="23"/>
    </row>
    <row r="38" spans="1:8" ht="19.5" hidden="1" customHeight="1" outlineLevel="1">
      <c r="A38" s="29"/>
      <c r="B38" s="29"/>
      <c r="C38" s="29"/>
      <c r="D38" s="29"/>
      <c r="E38" s="29"/>
      <c r="F38" s="29"/>
      <c r="G38" s="29"/>
      <c r="H38" s="29"/>
    </row>
    <row r="39" spans="1:8" ht="21.75" customHeight="1" collapsed="1">
      <c r="A39" s="148" t="str">
        <f>IF(6&lt;=DAY(DATE(YEAR(설정_코스수당!$K$2),MONTH(설정_코스수당!$K$2)+1,0)),TEXT(DATE(YEAR(설정_코스수당!$K$2),MONTH(설정_코스수당!$K$2),6),"yyyy-mm-dd")&amp;" 귀케어 정산","")</f>
        <v>2026-06-06 귀케어 정산</v>
      </c>
      <c r="B39" s="124"/>
      <c r="C39" s="124"/>
      <c r="D39" s="124"/>
      <c r="E39" s="124"/>
      <c r="F39" s="124"/>
      <c r="G39" s="124"/>
      <c r="H39" s="124"/>
    </row>
    <row r="40" spans="1:8" ht="19.5" hidden="1" customHeight="1" outlineLevel="1">
      <c r="A40" s="20" t="s">
        <v>42</v>
      </c>
      <c r="B40" s="20" t="s">
        <v>141</v>
      </c>
      <c r="C40" s="20" t="s">
        <v>142</v>
      </c>
      <c r="D40" s="20" t="s">
        <v>143</v>
      </c>
      <c r="E40" s="20" t="s">
        <v>144</v>
      </c>
      <c r="F40" s="20" t="s">
        <v>145</v>
      </c>
      <c r="G40" s="20" t="s">
        <v>146</v>
      </c>
      <c r="H40" s="20" t="s">
        <v>95</v>
      </c>
    </row>
    <row r="41" spans="1:8" ht="19.5" hidden="1" customHeight="1" outlineLevel="1">
      <c r="A41" s="24">
        <f>IF(6&lt;=DAY(DATE(YEAR(설정_코스수당!$K$2),MONTH(설정_코스수당!$K$2)+1,0)),DATE(YEAR(설정_코스수당!$K$2),MONTH(설정_코스수당!$K$2),6),"")</f>
        <v>46179</v>
      </c>
      <c r="B41" s="23" t="s">
        <v>66</v>
      </c>
      <c r="C41" s="23" t="s">
        <v>130</v>
      </c>
      <c r="D41" s="23">
        <f>COUNTIFS(실시간콜입력!$B:$B,A41,실시간콜입력!$E:$E,"B",실시간콜입력!$O:$O,"방문완료")</f>
        <v>0</v>
      </c>
      <c r="E41" s="27">
        <f>SUMIFS(실시간콜입력!$M:$M,실시간콜입력!$B:$B,A41,실시간콜입력!$O:$O,"방문완료")</f>
        <v>0</v>
      </c>
      <c r="F41" s="23">
        <f>COUNTIFS($A:$A,A41,$C:$C,"정상")</f>
        <v>4</v>
      </c>
      <c r="G41" s="27">
        <f>IF(C41="정상",IF(F41&gt;0,E41/F41,0),0)</f>
        <v>0</v>
      </c>
      <c r="H41" s="23"/>
    </row>
    <row r="42" spans="1:8" ht="19.5" hidden="1" customHeight="1" outlineLevel="1">
      <c r="A42" s="30">
        <f>IF(6&lt;=DAY(DATE(YEAR(설정_코스수당!$K$2),MONTH(설정_코스수당!$K$2)+1,0)),DATE(YEAR(설정_코스수당!$K$2),MONTH(설정_코스수당!$K$2),6),"")</f>
        <v>46179</v>
      </c>
      <c r="B42" s="29" t="s">
        <v>147</v>
      </c>
      <c r="C42" s="29" t="s">
        <v>130</v>
      </c>
      <c r="D42" s="29">
        <f>COUNTIFS(실시간콜입력!$B:$B,A42,실시간콜입력!$E:$E,"B",실시간콜입력!$O:$O,"방문완료")</f>
        <v>0</v>
      </c>
      <c r="E42" s="33">
        <f>SUMIFS(실시간콜입력!$M:$M,실시간콜입력!$B:$B,A42,실시간콜입력!$O:$O,"방문완료")</f>
        <v>0</v>
      </c>
      <c r="F42" s="29">
        <f>COUNTIFS($A:$A,A42,$C:$C,"정상")</f>
        <v>4</v>
      </c>
      <c r="G42" s="33">
        <f>IF(C42="정상",IF(F42&gt;0,E42/F42,0),0)</f>
        <v>0</v>
      </c>
      <c r="H42" s="29"/>
    </row>
    <row r="43" spans="1:8" ht="19.5" hidden="1" customHeight="1" outlineLevel="1">
      <c r="A43" s="24">
        <f>IF(6&lt;=DAY(DATE(YEAR(설정_코스수당!$K$2),MONTH(설정_코스수당!$K$2)+1,0)),DATE(YEAR(설정_코스수당!$K$2),MONTH(설정_코스수당!$K$2),6),"")</f>
        <v>46179</v>
      </c>
      <c r="B43" s="23" t="s">
        <v>148</v>
      </c>
      <c r="C43" s="23" t="s">
        <v>130</v>
      </c>
      <c r="D43" s="23">
        <f>COUNTIFS(실시간콜입력!$B:$B,A43,실시간콜입력!$E:$E,"B",실시간콜입력!$O:$O,"방문완료")</f>
        <v>0</v>
      </c>
      <c r="E43" s="27">
        <f>SUMIFS(실시간콜입력!$M:$M,실시간콜입력!$B:$B,A43,실시간콜입력!$O:$O,"방문완료")</f>
        <v>0</v>
      </c>
      <c r="F43" s="23">
        <f>COUNTIFS($A:$A,A43,$C:$C,"정상")</f>
        <v>4</v>
      </c>
      <c r="G43" s="27">
        <f>IF(C43="정상",IF(F43&gt;0,E43/F43,0),0)</f>
        <v>0</v>
      </c>
      <c r="H43" s="23"/>
    </row>
    <row r="44" spans="1:8" ht="19.5" hidden="1" customHeight="1" outlineLevel="1">
      <c r="A44" s="30">
        <f>IF(6&lt;=DAY(DATE(YEAR(설정_코스수당!$K$2),MONTH(설정_코스수당!$K$2)+1,0)),DATE(YEAR(설정_코스수당!$K$2),MONTH(설정_코스수당!$K$2),6),"")</f>
        <v>46179</v>
      </c>
      <c r="B44" s="29" t="s">
        <v>149</v>
      </c>
      <c r="C44" s="29" t="s">
        <v>130</v>
      </c>
      <c r="D44" s="29">
        <f>COUNTIFS(실시간콜입력!$B:$B,A44,실시간콜입력!$E:$E,"B",실시간콜입력!$O:$O,"방문완료")</f>
        <v>0</v>
      </c>
      <c r="E44" s="33">
        <f>SUMIFS(실시간콜입력!$M:$M,실시간콜입력!$B:$B,A44,실시간콜입력!$O:$O,"방문완료")</f>
        <v>0</v>
      </c>
      <c r="F44" s="29">
        <f>COUNTIFS($A:$A,A44,$C:$C,"정상")</f>
        <v>4</v>
      </c>
      <c r="G44" s="33">
        <f>IF(C44="정상",IF(F44&gt;0,E44/F44,0),0)</f>
        <v>0</v>
      </c>
      <c r="H44" s="29"/>
    </row>
    <row r="45" spans="1:8" ht="19.5" hidden="1" customHeight="1" outlineLevel="1">
      <c r="A45" s="23"/>
      <c r="B45" s="23"/>
      <c r="C45" s="23"/>
      <c r="D45" s="23"/>
      <c r="E45" s="23"/>
      <c r="F45" s="23"/>
      <c r="G45" s="23"/>
      <c r="H45" s="23"/>
    </row>
    <row r="46" spans="1:8" ht="21.75" customHeight="1" collapsed="1">
      <c r="A46" s="148" t="str">
        <f>IF(7&lt;=DAY(DATE(YEAR(설정_코스수당!$K$2),MONTH(설정_코스수당!$K$2)+1,0)),TEXT(DATE(YEAR(설정_코스수당!$K$2),MONTH(설정_코스수당!$K$2),7),"yyyy-mm-dd")&amp;" 귀케어 정산","")</f>
        <v>2026-06-07 귀케어 정산</v>
      </c>
      <c r="B46" s="124"/>
      <c r="C46" s="124"/>
      <c r="D46" s="124"/>
      <c r="E46" s="124"/>
      <c r="F46" s="124"/>
      <c r="G46" s="124"/>
      <c r="H46" s="124"/>
    </row>
    <row r="47" spans="1:8" ht="19.5" hidden="1" customHeight="1" outlineLevel="1">
      <c r="A47" s="20" t="s">
        <v>42</v>
      </c>
      <c r="B47" s="20" t="s">
        <v>141</v>
      </c>
      <c r="C47" s="20" t="s">
        <v>142</v>
      </c>
      <c r="D47" s="20" t="s">
        <v>143</v>
      </c>
      <c r="E47" s="20" t="s">
        <v>144</v>
      </c>
      <c r="F47" s="20" t="s">
        <v>145</v>
      </c>
      <c r="G47" s="20" t="s">
        <v>146</v>
      </c>
      <c r="H47" s="20" t="s">
        <v>95</v>
      </c>
    </row>
    <row r="48" spans="1:8" ht="19.5" hidden="1" customHeight="1" outlineLevel="1">
      <c r="A48" s="30">
        <f>IF(7&lt;=DAY(DATE(YEAR(설정_코스수당!$K$2),MONTH(설정_코스수당!$K$2)+1,0)),DATE(YEAR(설정_코스수당!$K$2),MONTH(설정_코스수당!$K$2),7),"")</f>
        <v>46180</v>
      </c>
      <c r="B48" s="29" t="s">
        <v>66</v>
      </c>
      <c r="C48" s="29" t="s">
        <v>130</v>
      </c>
      <c r="D48" s="29">
        <f>COUNTIFS(실시간콜입력!$B:$B,A48,실시간콜입력!$E:$E,"B",실시간콜입력!$O:$O,"방문완료")</f>
        <v>0</v>
      </c>
      <c r="E48" s="33">
        <f>SUMIFS(실시간콜입력!$M:$M,실시간콜입력!$B:$B,A48,실시간콜입력!$O:$O,"방문완료")</f>
        <v>0</v>
      </c>
      <c r="F48" s="29">
        <f>COUNTIFS($A:$A,A48,$C:$C,"정상")</f>
        <v>4</v>
      </c>
      <c r="G48" s="33">
        <f>IF(C48="정상",IF(F48&gt;0,E48/F48,0),0)</f>
        <v>0</v>
      </c>
      <c r="H48" s="29"/>
    </row>
    <row r="49" spans="1:8" ht="19.5" hidden="1" customHeight="1" outlineLevel="1">
      <c r="A49" s="24">
        <f>IF(7&lt;=DAY(DATE(YEAR(설정_코스수당!$K$2),MONTH(설정_코스수당!$K$2)+1,0)),DATE(YEAR(설정_코스수당!$K$2),MONTH(설정_코스수당!$K$2),7),"")</f>
        <v>46180</v>
      </c>
      <c r="B49" s="23" t="s">
        <v>147</v>
      </c>
      <c r="C49" s="23" t="s">
        <v>130</v>
      </c>
      <c r="D49" s="23">
        <f>COUNTIFS(실시간콜입력!$B:$B,A49,실시간콜입력!$E:$E,"B",실시간콜입력!$O:$O,"방문완료")</f>
        <v>0</v>
      </c>
      <c r="E49" s="27">
        <f>SUMIFS(실시간콜입력!$M:$M,실시간콜입력!$B:$B,A49,실시간콜입력!$O:$O,"방문완료")</f>
        <v>0</v>
      </c>
      <c r="F49" s="23">
        <f>COUNTIFS($A:$A,A49,$C:$C,"정상")</f>
        <v>4</v>
      </c>
      <c r="G49" s="27">
        <f>IF(C49="정상",IF(F49&gt;0,E49/F49,0),0)</f>
        <v>0</v>
      </c>
      <c r="H49" s="23"/>
    </row>
    <row r="50" spans="1:8" ht="19.5" hidden="1" customHeight="1" outlineLevel="1">
      <c r="A50" s="30">
        <f>IF(7&lt;=DAY(DATE(YEAR(설정_코스수당!$K$2),MONTH(설정_코스수당!$K$2)+1,0)),DATE(YEAR(설정_코스수당!$K$2),MONTH(설정_코스수당!$K$2),7),"")</f>
        <v>46180</v>
      </c>
      <c r="B50" s="29" t="s">
        <v>148</v>
      </c>
      <c r="C50" s="29" t="s">
        <v>130</v>
      </c>
      <c r="D50" s="29">
        <f>COUNTIFS(실시간콜입력!$B:$B,A50,실시간콜입력!$E:$E,"B",실시간콜입력!$O:$O,"방문완료")</f>
        <v>0</v>
      </c>
      <c r="E50" s="33">
        <f>SUMIFS(실시간콜입력!$M:$M,실시간콜입력!$B:$B,A50,실시간콜입력!$O:$O,"방문완료")</f>
        <v>0</v>
      </c>
      <c r="F50" s="29">
        <f>COUNTIFS($A:$A,A50,$C:$C,"정상")</f>
        <v>4</v>
      </c>
      <c r="G50" s="33">
        <f>IF(C50="정상",IF(F50&gt;0,E50/F50,0),0)</f>
        <v>0</v>
      </c>
      <c r="H50" s="29"/>
    </row>
    <row r="51" spans="1:8" ht="19.5" hidden="1" customHeight="1" outlineLevel="1">
      <c r="A51" s="24">
        <f>IF(7&lt;=DAY(DATE(YEAR(설정_코스수당!$K$2),MONTH(설정_코스수당!$K$2)+1,0)),DATE(YEAR(설정_코스수당!$K$2),MONTH(설정_코스수당!$K$2),7),"")</f>
        <v>46180</v>
      </c>
      <c r="B51" s="23" t="s">
        <v>149</v>
      </c>
      <c r="C51" s="23" t="s">
        <v>130</v>
      </c>
      <c r="D51" s="23">
        <f>COUNTIFS(실시간콜입력!$B:$B,A51,실시간콜입력!$E:$E,"B",실시간콜입력!$O:$O,"방문완료")</f>
        <v>0</v>
      </c>
      <c r="E51" s="27">
        <f>SUMIFS(실시간콜입력!$M:$M,실시간콜입력!$B:$B,A51,실시간콜입력!$O:$O,"방문완료")</f>
        <v>0</v>
      </c>
      <c r="F51" s="23">
        <f>COUNTIFS($A:$A,A51,$C:$C,"정상")</f>
        <v>4</v>
      </c>
      <c r="G51" s="27">
        <f>IF(C51="정상",IF(F51&gt;0,E51/F51,0),0)</f>
        <v>0</v>
      </c>
      <c r="H51" s="23"/>
    </row>
    <row r="52" spans="1:8" ht="19.5" hidden="1" customHeight="1" outlineLevel="1">
      <c r="A52" s="29"/>
      <c r="B52" s="29"/>
      <c r="C52" s="29"/>
      <c r="D52" s="29"/>
      <c r="E52" s="29"/>
      <c r="F52" s="29"/>
      <c r="G52" s="29"/>
      <c r="H52" s="29"/>
    </row>
    <row r="53" spans="1:8" ht="21.75" customHeight="1" collapsed="1">
      <c r="A53" s="148" t="str">
        <f>IF(8&lt;=DAY(DATE(YEAR(설정_코스수당!$K$2),MONTH(설정_코스수당!$K$2)+1,0)),TEXT(DATE(YEAR(설정_코스수당!$K$2),MONTH(설정_코스수당!$K$2),8),"yyyy-mm-dd")&amp;" 귀케어 정산","")</f>
        <v>2026-06-08 귀케어 정산</v>
      </c>
      <c r="B53" s="124"/>
      <c r="C53" s="124"/>
      <c r="D53" s="124"/>
      <c r="E53" s="124"/>
      <c r="F53" s="124"/>
      <c r="G53" s="124"/>
      <c r="H53" s="124"/>
    </row>
    <row r="54" spans="1:8" ht="19.5" hidden="1" customHeight="1" outlineLevel="1">
      <c r="A54" s="20" t="s">
        <v>42</v>
      </c>
      <c r="B54" s="20" t="s">
        <v>141</v>
      </c>
      <c r="C54" s="20" t="s">
        <v>142</v>
      </c>
      <c r="D54" s="20" t="s">
        <v>143</v>
      </c>
      <c r="E54" s="20" t="s">
        <v>144</v>
      </c>
      <c r="F54" s="20" t="s">
        <v>145</v>
      </c>
      <c r="G54" s="20" t="s">
        <v>146</v>
      </c>
      <c r="H54" s="20" t="s">
        <v>95</v>
      </c>
    </row>
    <row r="55" spans="1:8" ht="19.5" hidden="1" customHeight="1" outlineLevel="1">
      <c r="A55" s="24">
        <f>IF(8&lt;=DAY(DATE(YEAR(설정_코스수당!$K$2),MONTH(설정_코스수당!$K$2)+1,0)),DATE(YEAR(설정_코스수당!$K$2),MONTH(설정_코스수당!$K$2),8),"")</f>
        <v>46181</v>
      </c>
      <c r="B55" s="23" t="s">
        <v>66</v>
      </c>
      <c r="C55" s="23" t="s">
        <v>130</v>
      </c>
      <c r="D55" s="23">
        <f>COUNTIFS(실시간콜입력!$B:$B,A55,실시간콜입력!$E:$E,"B",실시간콜입력!$O:$O,"방문완료")</f>
        <v>0</v>
      </c>
      <c r="E55" s="27">
        <f>SUMIFS(실시간콜입력!$M:$M,실시간콜입력!$B:$B,A55,실시간콜입력!$O:$O,"방문완료")</f>
        <v>0</v>
      </c>
      <c r="F55" s="23">
        <f>COUNTIFS($A:$A,A55,$C:$C,"정상")</f>
        <v>4</v>
      </c>
      <c r="G55" s="27">
        <f>IF(C55="정상",IF(F55&gt;0,E55/F55,0),0)</f>
        <v>0</v>
      </c>
      <c r="H55" s="23"/>
    </row>
    <row r="56" spans="1:8" ht="19.5" hidden="1" customHeight="1" outlineLevel="1">
      <c r="A56" s="30">
        <f>IF(8&lt;=DAY(DATE(YEAR(설정_코스수당!$K$2),MONTH(설정_코스수당!$K$2)+1,0)),DATE(YEAR(설정_코스수당!$K$2),MONTH(설정_코스수당!$K$2),8),"")</f>
        <v>46181</v>
      </c>
      <c r="B56" s="29" t="s">
        <v>147</v>
      </c>
      <c r="C56" s="29" t="s">
        <v>130</v>
      </c>
      <c r="D56" s="29">
        <f>COUNTIFS(실시간콜입력!$B:$B,A56,실시간콜입력!$E:$E,"B",실시간콜입력!$O:$O,"방문완료")</f>
        <v>0</v>
      </c>
      <c r="E56" s="33">
        <f>SUMIFS(실시간콜입력!$M:$M,실시간콜입력!$B:$B,A56,실시간콜입력!$O:$O,"방문완료")</f>
        <v>0</v>
      </c>
      <c r="F56" s="29">
        <f>COUNTIFS($A:$A,A56,$C:$C,"정상")</f>
        <v>4</v>
      </c>
      <c r="G56" s="33">
        <f>IF(C56="정상",IF(F56&gt;0,E56/F56,0),0)</f>
        <v>0</v>
      </c>
      <c r="H56" s="29"/>
    </row>
    <row r="57" spans="1:8" ht="19.5" hidden="1" customHeight="1" outlineLevel="1">
      <c r="A57" s="24">
        <f>IF(8&lt;=DAY(DATE(YEAR(설정_코스수당!$K$2),MONTH(설정_코스수당!$K$2)+1,0)),DATE(YEAR(설정_코스수당!$K$2),MONTH(설정_코스수당!$K$2),8),"")</f>
        <v>46181</v>
      </c>
      <c r="B57" s="23" t="s">
        <v>148</v>
      </c>
      <c r="C57" s="23" t="s">
        <v>130</v>
      </c>
      <c r="D57" s="23">
        <f>COUNTIFS(실시간콜입력!$B:$B,A57,실시간콜입력!$E:$E,"B",실시간콜입력!$O:$O,"방문완료")</f>
        <v>0</v>
      </c>
      <c r="E57" s="27">
        <f>SUMIFS(실시간콜입력!$M:$M,실시간콜입력!$B:$B,A57,실시간콜입력!$O:$O,"방문완료")</f>
        <v>0</v>
      </c>
      <c r="F57" s="23">
        <f>COUNTIFS($A:$A,A57,$C:$C,"정상")</f>
        <v>4</v>
      </c>
      <c r="G57" s="27">
        <f>IF(C57="정상",IF(F57&gt;0,E57/F57,0),0)</f>
        <v>0</v>
      </c>
      <c r="H57" s="23"/>
    </row>
    <row r="58" spans="1:8" ht="19.5" hidden="1" customHeight="1" outlineLevel="1">
      <c r="A58" s="30">
        <f>IF(8&lt;=DAY(DATE(YEAR(설정_코스수당!$K$2),MONTH(설정_코스수당!$K$2)+1,0)),DATE(YEAR(설정_코스수당!$K$2),MONTH(설정_코스수당!$K$2),8),"")</f>
        <v>46181</v>
      </c>
      <c r="B58" s="29" t="s">
        <v>149</v>
      </c>
      <c r="C58" s="29" t="s">
        <v>130</v>
      </c>
      <c r="D58" s="29">
        <f>COUNTIFS(실시간콜입력!$B:$B,A58,실시간콜입력!$E:$E,"B",실시간콜입력!$O:$O,"방문완료")</f>
        <v>0</v>
      </c>
      <c r="E58" s="33">
        <f>SUMIFS(실시간콜입력!$M:$M,실시간콜입력!$B:$B,A58,실시간콜입력!$O:$O,"방문완료")</f>
        <v>0</v>
      </c>
      <c r="F58" s="29">
        <f>COUNTIFS($A:$A,A58,$C:$C,"정상")</f>
        <v>4</v>
      </c>
      <c r="G58" s="33">
        <f>IF(C58="정상",IF(F58&gt;0,E58/F58,0),0)</f>
        <v>0</v>
      </c>
      <c r="H58" s="29"/>
    </row>
    <row r="59" spans="1:8" ht="19.5" hidden="1" customHeight="1" outlineLevel="1">
      <c r="A59" s="23"/>
      <c r="B59" s="23"/>
      <c r="C59" s="23"/>
      <c r="D59" s="23"/>
      <c r="E59" s="23"/>
      <c r="F59" s="23"/>
      <c r="G59" s="23"/>
      <c r="H59" s="23"/>
    </row>
    <row r="60" spans="1:8" ht="21.75" customHeight="1" collapsed="1">
      <c r="A60" s="148" t="str">
        <f>IF(9&lt;=DAY(DATE(YEAR(설정_코스수당!$K$2),MONTH(설정_코스수당!$K$2)+1,0)),TEXT(DATE(YEAR(설정_코스수당!$K$2),MONTH(설정_코스수당!$K$2),9),"yyyy-mm-dd")&amp;" 귀케어 정산","")</f>
        <v>2026-06-09 귀케어 정산</v>
      </c>
      <c r="B60" s="124"/>
      <c r="C60" s="124"/>
      <c r="D60" s="124"/>
      <c r="E60" s="124"/>
      <c r="F60" s="124"/>
      <c r="G60" s="124"/>
      <c r="H60" s="124"/>
    </row>
    <row r="61" spans="1:8" ht="19.5" hidden="1" customHeight="1" outlineLevel="1">
      <c r="A61" s="20" t="s">
        <v>42</v>
      </c>
      <c r="B61" s="20" t="s">
        <v>141</v>
      </c>
      <c r="C61" s="20" t="s">
        <v>142</v>
      </c>
      <c r="D61" s="20" t="s">
        <v>143</v>
      </c>
      <c r="E61" s="20" t="s">
        <v>144</v>
      </c>
      <c r="F61" s="20" t="s">
        <v>145</v>
      </c>
      <c r="G61" s="20" t="s">
        <v>146</v>
      </c>
      <c r="H61" s="20" t="s">
        <v>95</v>
      </c>
    </row>
    <row r="62" spans="1:8" ht="19.5" hidden="1" customHeight="1" outlineLevel="1">
      <c r="A62" s="30">
        <f>IF(9&lt;=DAY(DATE(YEAR(설정_코스수당!$K$2),MONTH(설정_코스수당!$K$2)+1,0)),DATE(YEAR(설정_코스수당!$K$2),MONTH(설정_코스수당!$K$2),9),"")</f>
        <v>46182</v>
      </c>
      <c r="B62" s="29" t="s">
        <v>66</v>
      </c>
      <c r="C62" s="29" t="s">
        <v>130</v>
      </c>
      <c r="D62" s="29">
        <f>COUNTIFS(실시간콜입력!$B:$B,A62,실시간콜입력!$E:$E,"B",실시간콜입력!$O:$O,"방문완료")</f>
        <v>0</v>
      </c>
      <c r="E62" s="33">
        <f>SUMIFS(실시간콜입력!$M:$M,실시간콜입력!$B:$B,A62,실시간콜입력!$O:$O,"방문완료")</f>
        <v>0</v>
      </c>
      <c r="F62" s="29">
        <f>COUNTIFS($A:$A,A62,$C:$C,"정상")</f>
        <v>4</v>
      </c>
      <c r="G62" s="33">
        <f>IF(C62="정상",IF(F62&gt;0,E62/F62,0),0)</f>
        <v>0</v>
      </c>
      <c r="H62" s="29"/>
    </row>
    <row r="63" spans="1:8" ht="19.5" hidden="1" customHeight="1" outlineLevel="1">
      <c r="A63" s="24">
        <f>IF(9&lt;=DAY(DATE(YEAR(설정_코스수당!$K$2),MONTH(설정_코스수당!$K$2)+1,0)),DATE(YEAR(설정_코스수당!$K$2),MONTH(설정_코스수당!$K$2),9),"")</f>
        <v>46182</v>
      </c>
      <c r="B63" s="23" t="s">
        <v>147</v>
      </c>
      <c r="C63" s="23" t="s">
        <v>130</v>
      </c>
      <c r="D63" s="23">
        <f>COUNTIFS(실시간콜입력!$B:$B,A63,실시간콜입력!$E:$E,"B",실시간콜입력!$O:$O,"방문완료")</f>
        <v>0</v>
      </c>
      <c r="E63" s="27">
        <f>SUMIFS(실시간콜입력!$M:$M,실시간콜입력!$B:$B,A63,실시간콜입력!$O:$O,"방문완료")</f>
        <v>0</v>
      </c>
      <c r="F63" s="23">
        <f>COUNTIFS($A:$A,A63,$C:$C,"정상")</f>
        <v>4</v>
      </c>
      <c r="G63" s="27">
        <f>IF(C63="정상",IF(F63&gt;0,E63/F63,0),0)</f>
        <v>0</v>
      </c>
      <c r="H63" s="23"/>
    </row>
    <row r="64" spans="1:8" ht="19.5" hidden="1" customHeight="1" outlineLevel="1">
      <c r="A64" s="30">
        <f>IF(9&lt;=DAY(DATE(YEAR(설정_코스수당!$K$2),MONTH(설정_코스수당!$K$2)+1,0)),DATE(YEAR(설정_코스수당!$K$2),MONTH(설정_코스수당!$K$2),9),"")</f>
        <v>46182</v>
      </c>
      <c r="B64" s="29" t="s">
        <v>148</v>
      </c>
      <c r="C64" s="29" t="s">
        <v>130</v>
      </c>
      <c r="D64" s="29">
        <f>COUNTIFS(실시간콜입력!$B:$B,A64,실시간콜입력!$E:$E,"B",실시간콜입력!$O:$O,"방문완료")</f>
        <v>0</v>
      </c>
      <c r="E64" s="33">
        <f>SUMIFS(실시간콜입력!$M:$M,실시간콜입력!$B:$B,A64,실시간콜입력!$O:$O,"방문완료")</f>
        <v>0</v>
      </c>
      <c r="F64" s="29">
        <f>COUNTIFS($A:$A,A64,$C:$C,"정상")</f>
        <v>4</v>
      </c>
      <c r="G64" s="33">
        <f>IF(C64="정상",IF(F64&gt;0,E64/F64,0),0)</f>
        <v>0</v>
      </c>
      <c r="H64" s="29"/>
    </row>
    <row r="65" spans="1:8" ht="19.5" hidden="1" customHeight="1" outlineLevel="1">
      <c r="A65" s="24">
        <f>IF(9&lt;=DAY(DATE(YEAR(설정_코스수당!$K$2),MONTH(설정_코스수당!$K$2)+1,0)),DATE(YEAR(설정_코스수당!$K$2),MONTH(설정_코스수당!$K$2),9),"")</f>
        <v>46182</v>
      </c>
      <c r="B65" s="23" t="s">
        <v>149</v>
      </c>
      <c r="C65" s="23" t="s">
        <v>130</v>
      </c>
      <c r="D65" s="23">
        <f>COUNTIFS(실시간콜입력!$B:$B,A65,실시간콜입력!$E:$E,"B",실시간콜입력!$O:$O,"방문완료")</f>
        <v>0</v>
      </c>
      <c r="E65" s="27">
        <f>SUMIFS(실시간콜입력!$M:$M,실시간콜입력!$B:$B,A65,실시간콜입력!$O:$O,"방문완료")</f>
        <v>0</v>
      </c>
      <c r="F65" s="23">
        <f>COUNTIFS($A:$A,A65,$C:$C,"정상")</f>
        <v>4</v>
      </c>
      <c r="G65" s="27">
        <f>IF(C65="정상",IF(F65&gt;0,E65/F65,0),0)</f>
        <v>0</v>
      </c>
      <c r="H65" s="23"/>
    </row>
    <row r="66" spans="1:8" ht="19.5" hidden="1" customHeight="1" outlineLevel="1">
      <c r="A66" s="29"/>
      <c r="B66" s="29"/>
      <c r="C66" s="29"/>
      <c r="D66" s="29"/>
      <c r="E66" s="29"/>
      <c r="F66" s="29"/>
      <c r="G66" s="29"/>
      <c r="H66" s="29"/>
    </row>
    <row r="67" spans="1:8" ht="21.75" customHeight="1" collapsed="1">
      <c r="A67" s="148" t="str">
        <f>IF(10&lt;=DAY(DATE(YEAR(설정_코스수당!$K$2),MONTH(설정_코스수당!$K$2)+1,0)),TEXT(DATE(YEAR(설정_코스수당!$K$2),MONTH(설정_코스수당!$K$2),10),"yyyy-mm-dd")&amp;" 귀케어 정산","")</f>
        <v>2026-06-10 귀케어 정산</v>
      </c>
      <c r="B67" s="124"/>
      <c r="C67" s="124"/>
      <c r="D67" s="124"/>
      <c r="E67" s="124"/>
      <c r="F67" s="124"/>
      <c r="G67" s="124"/>
      <c r="H67" s="124"/>
    </row>
    <row r="68" spans="1:8" ht="19.5" hidden="1" customHeight="1" outlineLevel="1">
      <c r="A68" s="20" t="s">
        <v>42</v>
      </c>
      <c r="B68" s="20" t="s">
        <v>141</v>
      </c>
      <c r="C68" s="20" t="s">
        <v>142</v>
      </c>
      <c r="D68" s="20" t="s">
        <v>143</v>
      </c>
      <c r="E68" s="20" t="s">
        <v>144</v>
      </c>
      <c r="F68" s="20" t="s">
        <v>145</v>
      </c>
      <c r="G68" s="20" t="s">
        <v>146</v>
      </c>
      <c r="H68" s="20" t="s">
        <v>95</v>
      </c>
    </row>
    <row r="69" spans="1:8" ht="19.5" hidden="1" customHeight="1" outlineLevel="1">
      <c r="A69" s="24">
        <f>IF(10&lt;=DAY(DATE(YEAR(설정_코스수당!$K$2),MONTH(설정_코스수당!$K$2)+1,0)),DATE(YEAR(설정_코스수당!$K$2),MONTH(설정_코스수당!$K$2),10),"")</f>
        <v>46183</v>
      </c>
      <c r="B69" s="23" t="s">
        <v>66</v>
      </c>
      <c r="C69" s="23" t="s">
        <v>130</v>
      </c>
      <c r="D69" s="23">
        <f>COUNTIFS(실시간콜입력!$B:$B,A69,실시간콜입력!$E:$E,"B",실시간콜입력!$O:$O,"방문완료")</f>
        <v>0</v>
      </c>
      <c r="E69" s="27">
        <f>SUMIFS(실시간콜입력!$M:$M,실시간콜입력!$B:$B,A69,실시간콜입력!$O:$O,"방문완료")</f>
        <v>0</v>
      </c>
      <c r="F69" s="23">
        <f>COUNTIFS($A:$A,A69,$C:$C,"정상")</f>
        <v>4</v>
      </c>
      <c r="G69" s="27">
        <f>IF(C69="정상",IF(F69&gt;0,E69/F69,0),0)</f>
        <v>0</v>
      </c>
      <c r="H69" s="23"/>
    </row>
    <row r="70" spans="1:8" ht="19.5" hidden="1" customHeight="1" outlineLevel="1">
      <c r="A70" s="30">
        <f>IF(10&lt;=DAY(DATE(YEAR(설정_코스수당!$K$2),MONTH(설정_코스수당!$K$2)+1,0)),DATE(YEAR(설정_코스수당!$K$2),MONTH(설정_코스수당!$K$2),10),"")</f>
        <v>46183</v>
      </c>
      <c r="B70" s="29" t="s">
        <v>147</v>
      </c>
      <c r="C70" s="29" t="s">
        <v>130</v>
      </c>
      <c r="D70" s="29">
        <f>COUNTIFS(실시간콜입력!$B:$B,A70,실시간콜입력!$E:$E,"B",실시간콜입력!$O:$O,"방문완료")</f>
        <v>0</v>
      </c>
      <c r="E70" s="33">
        <f>SUMIFS(실시간콜입력!$M:$M,실시간콜입력!$B:$B,A70,실시간콜입력!$O:$O,"방문완료")</f>
        <v>0</v>
      </c>
      <c r="F70" s="29">
        <f>COUNTIFS($A:$A,A70,$C:$C,"정상")</f>
        <v>4</v>
      </c>
      <c r="G70" s="33">
        <f>IF(C70="정상",IF(F70&gt;0,E70/F70,0),0)</f>
        <v>0</v>
      </c>
      <c r="H70" s="29"/>
    </row>
    <row r="71" spans="1:8" ht="19.5" hidden="1" customHeight="1" outlineLevel="1">
      <c r="A71" s="24">
        <f>IF(10&lt;=DAY(DATE(YEAR(설정_코스수당!$K$2),MONTH(설정_코스수당!$K$2)+1,0)),DATE(YEAR(설정_코스수당!$K$2),MONTH(설정_코스수당!$K$2),10),"")</f>
        <v>46183</v>
      </c>
      <c r="B71" s="23" t="s">
        <v>148</v>
      </c>
      <c r="C71" s="23" t="s">
        <v>130</v>
      </c>
      <c r="D71" s="23">
        <f>COUNTIFS(실시간콜입력!$B:$B,A71,실시간콜입력!$E:$E,"B",실시간콜입력!$O:$O,"방문완료")</f>
        <v>0</v>
      </c>
      <c r="E71" s="27">
        <f>SUMIFS(실시간콜입력!$M:$M,실시간콜입력!$B:$B,A71,실시간콜입력!$O:$O,"방문완료")</f>
        <v>0</v>
      </c>
      <c r="F71" s="23">
        <f>COUNTIFS($A:$A,A71,$C:$C,"정상")</f>
        <v>4</v>
      </c>
      <c r="G71" s="27">
        <f>IF(C71="정상",IF(F71&gt;0,E71/F71,0),0)</f>
        <v>0</v>
      </c>
      <c r="H71" s="23"/>
    </row>
    <row r="72" spans="1:8" ht="19.5" hidden="1" customHeight="1" outlineLevel="1">
      <c r="A72" s="30">
        <f>IF(10&lt;=DAY(DATE(YEAR(설정_코스수당!$K$2),MONTH(설정_코스수당!$K$2)+1,0)),DATE(YEAR(설정_코스수당!$K$2),MONTH(설정_코스수당!$K$2),10),"")</f>
        <v>46183</v>
      </c>
      <c r="B72" s="29" t="s">
        <v>149</v>
      </c>
      <c r="C72" s="29" t="s">
        <v>130</v>
      </c>
      <c r="D72" s="29">
        <f>COUNTIFS(실시간콜입력!$B:$B,A72,실시간콜입력!$E:$E,"B",실시간콜입력!$O:$O,"방문완료")</f>
        <v>0</v>
      </c>
      <c r="E72" s="33">
        <f>SUMIFS(실시간콜입력!$M:$M,실시간콜입력!$B:$B,A72,실시간콜입력!$O:$O,"방문완료")</f>
        <v>0</v>
      </c>
      <c r="F72" s="29">
        <f>COUNTIFS($A:$A,A72,$C:$C,"정상")</f>
        <v>4</v>
      </c>
      <c r="G72" s="33">
        <f>IF(C72="정상",IF(F72&gt;0,E72/F72,0),0)</f>
        <v>0</v>
      </c>
      <c r="H72" s="29"/>
    </row>
    <row r="73" spans="1:8" ht="19.5" hidden="1" customHeight="1" outlineLevel="1">
      <c r="A73" s="23"/>
      <c r="B73" s="23"/>
      <c r="C73" s="23"/>
      <c r="D73" s="23"/>
      <c r="E73" s="23"/>
      <c r="F73" s="23"/>
      <c r="G73" s="23"/>
      <c r="H73" s="23"/>
    </row>
    <row r="74" spans="1:8" ht="21.75" customHeight="1" collapsed="1">
      <c r="A74" s="148" t="str">
        <f>IF(11&lt;=DAY(DATE(YEAR(설정_코스수당!$K$2),MONTH(설정_코스수당!$K$2)+1,0)),TEXT(DATE(YEAR(설정_코스수당!$K$2),MONTH(설정_코스수당!$K$2),11),"yyyy-mm-dd")&amp;" 귀케어 정산","")</f>
        <v>2026-06-11 귀케어 정산</v>
      </c>
      <c r="B74" s="124"/>
      <c r="C74" s="124"/>
      <c r="D74" s="124"/>
      <c r="E74" s="124"/>
      <c r="F74" s="124"/>
      <c r="G74" s="124"/>
      <c r="H74" s="124"/>
    </row>
    <row r="75" spans="1:8" ht="19.5" hidden="1" customHeight="1" outlineLevel="1">
      <c r="A75" s="20" t="s">
        <v>42</v>
      </c>
      <c r="B75" s="20" t="s">
        <v>141</v>
      </c>
      <c r="C75" s="20" t="s">
        <v>142</v>
      </c>
      <c r="D75" s="20" t="s">
        <v>143</v>
      </c>
      <c r="E75" s="20" t="s">
        <v>144</v>
      </c>
      <c r="F75" s="20" t="s">
        <v>145</v>
      </c>
      <c r="G75" s="20" t="s">
        <v>146</v>
      </c>
      <c r="H75" s="20" t="s">
        <v>95</v>
      </c>
    </row>
    <row r="76" spans="1:8" ht="19.5" hidden="1" customHeight="1" outlineLevel="1">
      <c r="A76" s="30">
        <f>IF(11&lt;=DAY(DATE(YEAR(설정_코스수당!$K$2),MONTH(설정_코스수당!$K$2)+1,0)),DATE(YEAR(설정_코스수당!$K$2),MONTH(설정_코스수당!$K$2),11),"")</f>
        <v>46184</v>
      </c>
      <c r="B76" s="29" t="s">
        <v>66</v>
      </c>
      <c r="C76" s="29" t="s">
        <v>130</v>
      </c>
      <c r="D76" s="29">
        <f>COUNTIFS(실시간콜입력!$B:$B,A76,실시간콜입력!$E:$E,"B",실시간콜입력!$O:$O,"방문완료")</f>
        <v>0</v>
      </c>
      <c r="E76" s="33">
        <f>SUMIFS(실시간콜입력!$M:$M,실시간콜입력!$B:$B,A76,실시간콜입력!$O:$O,"방문완료")</f>
        <v>0</v>
      </c>
      <c r="F76" s="29">
        <f>COUNTIFS($A:$A,A76,$C:$C,"정상")</f>
        <v>4</v>
      </c>
      <c r="G76" s="33">
        <f>IF(C76="정상",IF(F76&gt;0,E76/F76,0),0)</f>
        <v>0</v>
      </c>
      <c r="H76" s="29"/>
    </row>
    <row r="77" spans="1:8" ht="19.5" hidden="1" customHeight="1" outlineLevel="1">
      <c r="A77" s="24">
        <f>IF(11&lt;=DAY(DATE(YEAR(설정_코스수당!$K$2),MONTH(설정_코스수당!$K$2)+1,0)),DATE(YEAR(설정_코스수당!$K$2),MONTH(설정_코스수당!$K$2),11),"")</f>
        <v>46184</v>
      </c>
      <c r="B77" s="23" t="s">
        <v>147</v>
      </c>
      <c r="C77" s="23" t="s">
        <v>130</v>
      </c>
      <c r="D77" s="23">
        <f>COUNTIFS(실시간콜입력!$B:$B,A77,실시간콜입력!$E:$E,"B",실시간콜입력!$O:$O,"방문완료")</f>
        <v>0</v>
      </c>
      <c r="E77" s="27">
        <f>SUMIFS(실시간콜입력!$M:$M,실시간콜입력!$B:$B,A77,실시간콜입력!$O:$O,"방문완료")</f>
        <v>0</v>
      </c>
      <c r="F77" s="23">
        <f>COUNTIFS($A:$A,A77,$C:$C,"정상")</f>
        <v>4</v>
      </c>
      <c r="G77" s="27">
        <f>IF(C77="정상",IF(F77&gt;0,E77/F77,0),0)</f>
        <v>0</v>
      </c>
      <c r="H77" s="23"/>
    </row>
    <row r="78" spans="1:8" ht="19.5" hidden="1" customHeight="1" outlineLevel="1">
      <c r="A78" s="30">
        <f>IF(11&lt;=DAY(DATE(YEAR(설정_코스수당!$K$2),MONTH(설정_코스수당!$K$2)+1,0)),DATE(YEAR(설정_코스수당!$K$2),MONTH(설정_코스수당!$K$2),11),"")</f>
        <v>46184</v>
      </c>
      <c r="B78" s="29" t="s">
        <v>148</v>
      </c>
      <c r="C78" s="29" t="s">
        <v>130</v>
      </c>
      <c r="D78" s="29">
        <f>COUNTIFS(실시간콜입력!$B:$B,A78,실시간콜입력!$E:$E,"B",실시간콜입력!$O:$O,"방문완료")</f>
        <v>0</v>
      </c>
      <c r="E78" s="33">
        <f>SUMIFS(실시간콜입력!$M:$M,실시간콜입력!$B:$B,A78,실시간콜입력!$O:$O,"방문완료")</f>
        <v>0</v>
      </c>
      <c r="F78" s="29">
        <f>COUNTIFS($A:$A,A78,$C:$C,"정상")</f>
        <v>4</v>
      </c>
      <c r="G78" s="33">
        <f>IF(C78="정상",IF(F78&gt;0,E78/F78,0),0)</f>
        <v>0</v>
      </c>
      <c r="H78" s="29"/>
    </row>
    <row r="79" spans="1:8" ht="19.5" hidden="1" customHeight="1" outlineLevel="1">
      <c r="A79" s="24">
        <f>IF(11&lt;=DAY(DATE(YEAR(설정_코스수당!$K$2),MONTH(설정_코스수당!$K$2)+1,0)),DATE(YEAR(설정_코스수당!$K$2),MONTH(설정_코스수당!$K$2),11),"")</f>
        <v>46184</v>
      </c>
      <c r="B79" s="23" t="s">
        <v>149</v>
      </c>
      <c r="C79" s="23" t="s">
        <v>130</v>
      </c>
      <c r="D79" s="23">
        <f>COUNTIFS(실시간콜입력!$B:$B,A79,실시간콜입력!$E:$E,"B",실시간콜입력!$O:$O,"방문완료")</f>
        <v>0</v>
      </c>
      <c r="E79" s="27">
        <f>SUMIFS(실시간콜입력!$M:$M,실시간콜입력!$B:$B,A79,실시간콜입력!$O:$O,"방문완료")</f>
        <v>0</v>
      </c>
      <c r="F79" s="23">
        <f>COUNTIFS($A:$A,A79,$C:$C,"정상")</f>
        <v>4</v>
      </c>
      <c r="G79" s="27">
        <f>IF(C79="정상",IF(F79&gt;0,E79/F79,0),0)</f>
        <v>0</v>
      </c>
      <c r="H79" s="23"/>
    </row>
    <row r="80" spans="1:8" ht="19.5" hidden="1" customHeight="1" outlineLevel="1">
      <c r="A80" s="29"/>
      <c r="B80" s="29"/>
      <c r="C80" s="29"/>
      <c r="D80" s="29"/>
      <c r="E80" s="29"/>
      <c r="F80" s="29"/>
      <c r="G80" s="29"/>
      <c r="H80" s="29"/>
    </row>
    <row r="81" spans="1:8" ht="21.75" customHeight="1" collapsed="1">
      <c r="A81" s="148" t="str">
        <f>IF(12&lt;=DAY(DATE(YEAR(설정_코스수당!$K$2),MONTH(설정_코스수당!$K$2)+1,0)),TEXT(DATE(YEAR(설정_코스수당!$K$2),MONTH(설정_코스수당!$K$2),12),"yyyy-mm-dd")&amp;" 귀케어 정산","")</f>
        <v>2026-06-12 귀케어 정산</v>
      </c>
      <c r="B81" s="124"/>
      <c r="C81" s="124"/>
      <c r="D81" s="124"/>
      <c r="E81" s="124"/>
      <c r="F81" s="124"/>
      <c r="G81" s="124"/>
      <c r="H81" s="124"/>
    </row>
    <row r="82" spans="1:8" ht="19.5" hidden="1" customHeight="1" outlineLevel="1">
      <c r="A82" s="20" t="s">
        <v>42</v>
      </c>
      <c r="B82" s="20" t="s">
        <v>141</v>
      </c>
      <c r="C82" s="20" t="s">
        <v>142</v>
      </c>
      <c r="D82" s="20" t="s">
        <v>143</v>
      </c>
      <c r="E82" s="20" t="s">
        <v>144</v>
      </c>
      <c r="F82" s="20" t="s">
        <v>145</v>
      </c>
      <c r="G82" s="20" t="s">
        <v>146</v>
      </c>
      <c r="H82" s="20" t="s">
        <v>95</v>
      </c>
    </row>
    <row r="83" spans="1:8" ht="19.5" hidden="1" customHeight="1" outlineLevel="1">
      <c r="A83" s="24">
        <f>IF(12&lt;=DAY(DATE(YEAR(설정_코스수당!$K$2),MONTH(설정_코스수당!$K$2)+1,0)),DATE(YEAR(설정_코스수당!$K$2),MONTH(설정_코스수당!$K$2),12),"")</f>
        <v>46185</v>
      </c>
      <c r="B83" s="23" t="s">
        <v>66</v>
      </c>
      <c r="C83" s="23" t="s">
        <v>130</v>
      </c>
      <c r="D83" s="23">
        <f>COUNTIFS(실시간콜입력!$B:$B,A83,실시간콜입력!$E:$E,"B",실시간콜입력!$O:$O,"방문완료")</f>
        <v>0</v>
      </c>
      <c r="E83" s="27">
        <f>SUMIFS(실시간콜입력!$M:$M,실시간콜입력!$B:$B,A83,실시간콜입력!$O:$O,"방문완료")</f>
        <v>0</v>
      </c>
      <c r="F83" s="23">
        <f>COUNTIFS($A:$A,A83,$C:$C,"정상")</f>
        <v>4</v>
      </c>
      <c r="G83" s="27">
        <f>IF(C83="정상",IF(F83&gt;0,E83/F83,0),0)</f>
        <v>0</v>
      </c>
      <c r="H83" s="23"/>
    </row>
    <row r="84" spans="1:8" ht="19.5" hidden="1" customHeight="1" outlineLevel="1">
      <c r="A84" s="30">
        <f>IF(12&lt;=DAY(DATE(YEAR(설정_코스수당!$K$2),MONTH(설정_코스수당!$K$2)+1,0)),DATE(YEAR(설정_코스수당!$K$2),MONTH(설정_코스수당!$K$2),12),"")</f>
        <v>46185</v>
      </c>
      <c r="B84" s="29" t="s">
        <v>147</v>
      </c>
      <c r="C84" s="29" t="s">
        <v>130</v>
      </c>
      <c r="D84" s="29">
        <f>COUNTIFS(실시간콜입력!$B:$B,A84,실시간콜입력!$E:$E,"B",실시간콜입력!$O:$O,"방문완료")</f>
        <v>0</v>
      </c>
      <c r="E84" s="33">
        <f>SUMIFS(실시간콜입력!$M:$M,실시간콜입력!$B:$B,A84,실시간콜입력!$O:$O,"방문완료")</f>
        <v>0</v>
      </c>
      <c r="F84" s="29">
        <f>COUNTIFS($A:$A,A84,$C:$C,"정상")</f>
        <v>4</v>
      </c>
      <c r="G84" s="33">
        <f>IF(C84="정상",IF(F84&gt;0,E84/F84,0),0)</f>
        <v>0</v>
      </c>
      <c r="H84" s="29"/>
    </row>
    <row r="85" spans="1:8" ht="19.5" hidden="1" customHeight="1" outlineLevel="1">
      <c r="A85" s="24">
        <f>IF(12&lt;=DAY(DATE(YEAR(설정_코스수당!$K$2),MONTH(설정_코스수당!$K$2)+1,0)),DATE(YEAR(설정_코스수당!$K$2),MONTH(설정_코스수당!$K$2),12),"")</f>
        <v>46185</v>
      </c>
      <c r="B85" s="23" t="s">
        <v>148</v>
      </c>
      <c r="C85" s="23" t="s">
        <v>130</v>
      </c>
      <c r="D85" s="23">
        <f>COUNTIFS(실시간콜입력!$B:$B,A85,실시간콜입력!$E:$E,"B",실시간콜입력!$O:$O,"방문완료")</f>
        <v>0</v>
      </c>
      <c r="E85" s="27">
        <f>SUMIFS(실시간콜입력!$M:$M,실시간콜입력!$B:$B,A85,실시간콜입력!$O:$O,"방문완료")</f>
        <v>0</v>
      </c>
      <c r="F85" s="23">
        <f>COUNTIFS($A:$A,A85,$C:$C,"정상")</f>
        <v>4</v>
      </c>
      <c r="G85" s="27">
        <f>IF(C85="정상",IF(F85&gt;0,E85/F85,0),0)</f>
        <v>0</v>
      </c>
      <c r="H85" s="23"/>
    </row>
    <row r="86" spans="1:8" ht="19.5" hidden="1" customHeight="1" outlineLevel="1">
      <c r="A86" s="30">
        <f>IF(12&lt;=DAY(DATE(YEAR(설정_코스수당!$K$2),MONTH(설정_코스수당!$K$2)+1,0)),DATE(YEAR(설정_코스수당!$K$2),MONTH(설정_코스수당!$K$2),12),"")</f>
        <v>46185</v>
      </c>
      <c r="B86" s="29" t="s">
        <v>149</v>
      </c>
      <c r="C86" s="29" t="s">
        <v>130</v>
      </c>
      <c r="D86" s="29">
        <f>COUNTIFS(실시간콜입력!$B:$B,A86,실시간콜입력!$E:$E,"B",실시간콜입력!$O:$O,"방문완료")</f>
        <v>0</v>
      </c>
      <c r="E86" s="33">
        <f>SUMIFS(실시간콜입력!$M:$M,실시간콜입력!$B:$B,A86,실시간콜입력!$O:$O,"방문완료")</f>
        <v>0</v>
      </c>
      <c r="F86" s="29">
        <f>COUNTIFS($A:$A,A86,$C:$C,"정상")</f>
        <v>4</v>
      </c>
      <c r="G86" s="33">
        <f>IF(C86="정상",IF(F86&gt;0,E86/F86,0),0)</f>
        <v>0</v>
      </c>
      <c r="H86" s="29"/>
    </row>
    <row r="87" spans="1:8" ht="19.5" hidden="1" customHeight="1" outlineLevel="1">
      <c r="A87" s="23"/>
      <c r="B87" s="23"/>
      <c r="C87" s="23"/>
      <c r="D87" s="23"/>
      <c r="E87" s="23"/>
      <c r="F87" s="23"/>
      <c r="G87" s="23"/>
      <c r="H87" s="23"/>
    </row>
    <row r="88" spans="1:8" ht="21.75" customHeight="1" collapsed="1">
      <c r="A88" s="148" t="str">
        <f>IF(13&lt;=DAY(DATE(YEAR(설정_코스수당!$K$2),MONTH(설정_코스수당!$K$2)+1,0)),TEXT(DATE(YEAR(설정_코스수당!$K$2),MONTH(설정_코스수당!$K$2),13),"yyyy-mm-dd")&amp;" 귀케어 정산","")</f>
        <v>2026-06-13 귀케어 정산</v>
      </c>
      <c r="B88" s="124"/>
      <c r="C88" s="124"/>
      <c r="D88" s="124"/>
      <c r="E88" s="124"/>
      <c r="F88" s="124"/>
      <c r="G88" s="124"/>
      <c r="H88" s="124"/>
    </row>
    <row r="89" spans="1:8" ht="19.5" hidden="1" customHeight="1" outlineLevel="1">
      <c r="A89" s="20" t="s">
        <v>42</v>
      </c>
      <c r="B89" s="20" t="s">
        <v>141</v>
      </c>
      <c r="C89" s="20" t="s">
        <v>142</v>
      </c>
      <c r="D89" s="20" t="s">
        <v>143</v>
      </c>
      <c r="E89" s="20" t="s">
        <v>144</v>
      </c>
      <c r="F89" s="20" t="s">
        <v>145</v>
      </c>
      <c r="G89" s="20" t="s">
        <v>146</v>
      </c>
      <c r="H89" s="20" t="s">
        <v>95</v>
      </c>
    </row>
    <row r="90" spans="1:8" ht="19.5" hidden="1" customHeight="1" outlineLevel="1">
      <c r="A90" s="30">
        <f>IF(13&lt;=DAY(DATE(YEAR(설정_코스수당!$K$2),MONTH(설정_코스수당!$K$2)+1,0)),DATE(YEAR(설정_코스수당!$K$2),MONTH(설정_코스수당!$K$2),13),"")</f>
        <v>46186</v>
      </c>
      <c r="B90" s="29" t="s">
        <v>66</v>
      </c>
      <c r="C90" s="29" t="s">
        <v>130</v>
      </c>
      <c r="D90" s="29">
        <f>COUNTIFS(실시간콜입력!$B:$B,A90,실시간콜입력!$E:$E,"B",실시간콜입력!$O:$O,"방문완료")</f>
        <v>0</v>
      </c>
      <c r="E90" s="33">
        <f>SUMIFS(실시간콜입력!$M:$M,실시간콜입력!$B:$B,A90,실시간콜입력!$O:$O,"방문완료")</f>
        <v>0</v>
      </c>
      <c r="F90" s="29">
        <f>COUNTIFS($A:$A,A90,$C:$C,"정상")</f>
        <v>4</v>
      </c>
      <c r="G90" s="33">
        <f>IF(C90="정상",IF(F90&gt;0,E90/F90,0),0)</f>
        <v>0</v>
      </c>
      <c r="H90" s="29"/>
    </row>
    <row r="91" spans="1:8" ht="19.5" hidden="1" customHeight="1" outlineLevel="1">
      <c r="A91" s="24">
        <f>IF(13&lt;=DAY(DATE(YEAR(설정_코스수당!$K$2),MONTH(설정_코스수당!$K$2)+1,0)),DATE(YEAR(설정_코스수당!$K$2),MONTH(설정_코스수당!$K$2),13),"")</f>
        <v>46186</v>
      </c>
      <c r="B91" s="23" t="s">
        <v>147</v>
      </c>
      <c r="C91" s="23" t="s">
        <v>130</v>
      </c>
      <c r="D91" s="23">
        <f>COUNTIFS(실시간콜입력!$B:$B,A91,실시간콜입력!$E:$E,"B",실시간콜입력!$O:$O,"방문완료")</f>
        <v>0</v>
      </c>
      <c r="E91" s="27">
        <f>SUMIFS(실시간콜입력!$M:$M,실시간콜입력!$B:$B,A91,실시간콜입력!$O:$O,"방문완료")</f>
        <v>0</v>
      </c>
      <c r="F91" s="23">
        <f>COUNTIFS($A:$A,A91,$C:$C,"정상")</f>
        <v>4</v>
      </c>
      <c r="G91" s="27">
        <f>IF(C91="정상",IF(F91&gt;0,E91/F91,0),0)</f>
        <v>0</v>
      </c>
      <c r="H91" s="23"/>
    </row>
    <row r="92" spans="1:8" ht="19.5" hidden="1" customHeight="1" outlineLevel="1">
      <c r="A92" s="30">
        <f>IF(13&lt;=DAY(DATE(YEAR(설정_코스수당!$K$2),MONTH(설정_코스수당!$K$2)+1,0)),DATE(YEAR(설정_코스수당!$K$2),MONTH(설정_코스수당!$K$2),13),"")</f>
        <v>46186</v>
      </c>
      <c r="B92" s="29" t="s">
        <v>148</v>
      </c>
      <c r="C92" s="29" t="s">
        <v>130</v>
      </c>
      <c r="D92" s="29">
        <f>COUNTIFS(실시간콜입력!$B:$B,A92,실시간콜입력!$E:$E,"B",실시간콜입력!$O:$O,"방문완료")</f>
        <v>0</v>
      </c>
      <c r="E92" s="33">
        <f>SUMIFS(실시간콜입력!$M:$M,실시간콜입력!$B:$B,A92,실시간콜입력!$O:$O,"방문완료")</f>
        <v>0</v>
      </c>
      <c r="F92" s="29">
        <f>COUNTIFS($A:$A,A92,$C:$C,"정상")</f>
        <v>4</v>
      </c>
      <c r="G92" s="33">
        <f>IF(C92="정상",IF(F92&gt;0,E92/F92,0),0)</f>
        <v>0</v>
      </c>
      <c r="H92" s="29"/>
    </row>
    <row r="93" spans="1:8" ht="19.5" hidden="1" customHeight="1" outlineLevel="1">
      <c r="A93" s="24">
        <f>IF(13&lt;=DAY(DATE(YEAR(설정_코스수당!$K$2),MONTH(설정_코스수당!$K$2)+1,0)),DATE(YEAR(설정_코스수당!$K$2),MONTH(설정_코스수당!$K$2),13),"")</f>
        <v>46186</v>
      </c>
      <c r="B93" s="23" t="s">
        <v>149</v>
      </c>
      <c r="C93" s="23" t="s">
        <v>130</v>
      </c>
      <c r="D93" s="23">
        <f>COUNTIFS(실시간콜입력!$B:$B,A93,실시간콜입력!$E:$E,"B",실시간콜입력!$O:$O,"방문완료")</f>
        <v>0</v>
      </c>
      <c r="E93" s="27">
        <f>SUMIFS(실시간콜입력!$M:$M,실시간콜입력!$B:$B,A93,실시간콜입력!$O:$O,"방문완료")</f>
        <v>0</v>
      </c>
      <c r="F93" s="23">
        <f>COUNTIFS($A:$A,A93,$C:$C,"정상")</f>
        <v>4</v>
      </c>
      <c r="G93" s="27">
        <f>IF(C93="정상",IF(F93&gt;0,E93/F93,0),0)</f>
        <v>0</v>
      </c>
      <c r="H93" s="23"/>
    </row>
    <row r="94" spans="1:8" ht="19.5" hidden="1" customHeight="1" outlineLevel="1">
      <c r="A94" s="29"/>
      <c r="B94" s="29"/>
      <c r="C94" s="29"/>
      <c r="D94" s="29"/>
      <c r="E94" s="29"/>
      <c r="F94" s="29"/>
      <c r="G94" s="29"/>
      <c r="H94" s="29"/>
    </row>
    <row r="95" spans="1:8" ht="21.75" customHeight="1" collapsed="1">
      <c r="A95" s="148" t="str">
        <f>IF(14&lt;=DAY(DATE(YEAR(설정_코스수당!$K$2),MONTH(설정_코스수당!$K$2)+1,0)),TEXT(DATE(YEAR(설정_코스수당!$K$2),MONTH(설정_코스수당!$K$2),14),"yyyy-mm-dd")&amp;" 귀케어 정산","")</f>
        <v>2026-06-14 귀케어 정산</v>
      </c>
      <c r="B95" s="124"/>
      <c r="C95" s="124"/>
      <c r="D95" s="124"/>
      <c r="E95" s="124"/>
      <c r="F95" s="124"/>
      <c r="G95" s="124"/>
      <c r="H95" s="124"/>
    </row>
    <row r="96" spans="1:8" ht="19.5" hidden="1" customHeight="1" outlineLevel="1">
      <c r="A96" s="20" t="s">
        <v>42</v>
      </c>
      <c r="B96" s="20" t="s">
        <v>141</v>
      </c>
      <c r="C96" s="20" t="s">
        <v>142</v>
      </c>
      <c r="D96" s="20" t="s">
        <v>143</v>
      </c>
      <c r="E96" s="20" t="s">
        <v>144</v>
      </c>
      <c r="F96" s="20" t="s">
        <v>145</v>
      </c>
      <c r="G96" s="20" t="s">
        <v>146</v>
      </c>
      <c r="H96" s="20" t="s">
        <v>95</v>
      </c>
    </row>
    <row r="97" spans="1:8" ht="19.5" hidden="1" customHeight="1" outlineLevel="1">
      <c r="A97" s="24">
        <f>IF(14&lt;=DAY(DATE(YEAR(설정_코스수당!$K$2),MONTH(설정_코스수당!$K$2)+1,0)),DATE(YEAR(설정_코스수당!$K$2),MONTH(설정_코스수당!$K$2),14),"")</f>
        <v>46187</v>
      </c>
      <c r="B97" s="23" t="s">
        <v>66</v>
      </c>
      <c r="C97" s="23" t="s">
        <v>130</v>
      </c>
      <c r="D97" s="23">
        <f>COUNTIFS(실시간콜입력!$B:$B,A97,실시간콜입력!$E:$E,"B",실시간콜입력!$O:$O,"방문완료")</f>
        <v>0</v>
      </c>
      <c r="E97" s="27">
        <f>SUMIFS(실시간콜입력!$M:$M,실시간콜입력!$B:$B,A97,실시간콜입력!$O:$O,"방문완료")</f>
        <v>0</v>
      </c>
      <c r="F97" s="23">
        <f>COUNTIFS($A:$A,A97,$C:$C,"정상")</f>
        <v>4</v>
      </c>
      <c r="G97" s="27">
        <f>IF(C97="정상",IF(F97&gt;0,E97/F97,0),0)</f>
        <v>0</v>
      </c>
      <c r="H97" s="23"/>
    </row>
    <row r="98" spans="1:8" ht="19.5" hidden="1" customHeight="1" outlineLevel="1">
      <c r="A98" s="30">
        <f>IF(14&lt;=DAY(DATE(YEAR(설정_코스수당!$K$2),MONTH(설정_코스수당!$K$2)+1,0)),DATE(YEAR(설정_코스수당!$K$2),MONTH(설정_코스수당!$K$2),14),"")</f>
        <v>46187</v>
      </c>
      <c r="B98" s="29" t="s">
        <v>147</v>
      </c>
      <c r="C98" s="29" t="s">
        <v>130</v>
      </c>
      <c r="D98" s="29">
        <f>COUNTIFS(실시간콜입력!$B:$B,A98,실시간콜입력!$E:$E,"B",실시간콜입력!$O:$O,"방문완료")</f>
        <v>0</v>
      </c>
      <c r="E98" s="33">
        <f>SUMIFS(실시간콜입력!$M:$M,실시간콜입력!$B:$B,A98,실시간콜입력!$O:$O,"방문완료")</f>
        <v>0</v>
      </c>
      <c r="F98" s="29">
        <f>COUNTIFS($A:$A,A98,$C:$C,"정상")</f>
        <v>4</v>
      </c>
      <c r="G98" s="33">
        <f>IF(C98="정상",IF(F98&gt;0,E98/F98,0),0)</f>
        <v>0</v>
      </c>
      <c r="H98" s="29"/>
    </row>
    <row r="99" spans="1:8" ht="19.5" hidden="1" customHeight="1" outlineLevel="1">
      <c r="A99" s="24">
        <f>IF(14&lt;=DAY(DATE(YEAR(설정_코스수당!$K$2),MONTH(설정_코스수당!$K$2)+1,0)),DATE(YEAR(설정_코스수당!$K$2),MONTH(설정_코스수당!$K$2),14),"")</f>
        <v>46187</v>
      </c>
      <c r="B99" s="23" t="s">
        <v>148</v>
      </c>
      <c r="C99" s="23" t="s">
        <v>130</v>
      </c>
      <c r="D99" s="23">
        <f>COUNTIFS(실시간콜입력!$B:$B,A99,실시간콜입력!$E:$E,"B",실시간콜입력!$O:$O,"방문완료")</f>
        <v>0</v>
      </c>
      <c r="E99" s="27">
        <f>SUMIFS(실시간콜입력!$M:$M,실시간콜입력!$B:$B,A99,실시간콜입력!$O:$O,"방문완료")</f>
        <v>0</v>
      </c>
      <c r="F99" s="23">
        <f>COUNTIFS($A:$A,A99,$C:$C,"정상")</f>
        <v>4</v>
      </c>
      <c r="G99" s="27">
        <f>IF(C99="정상",IF(F99&gt;0,E99/F99,0),0)</f>
        <v>0</v>
      </c>
      <c r="H99" s="23"/>
    </row>
    <row r="100" spans="1:8" ht="19.5" hidden="1" customHeight="1" outlineLevel="1">
      <c r="A100" s="30">
        <f>IF(14&lt;=DAY(DATE(YEAR(설정_코스수당!$K$2),MONTH(설정_코스수당!$K$2)+1,0)),DATE(YEAR(설정_코스수당!$K$2),MONTH(설정_코스수당!$K$2),14),"")</f>
        <v>46187</v>
      </c>
      <c r="B100" s="29" t="s">
        <v>149</v>
      </c>
      <c r="C100" s="29" t="s">
        <v>130</v>
      </c>
      <c r="D100" s="29">
        <f>COUNTIFS(실시간콜입력!$B:$B,A100,실시간콜입력!$E:$E,"B",실시간콜입력!$O:$O,"방문완료")</f>
        <v>0</v>
      </c>
      <c r="E100" s="33">
        <f>SUMIFS(실시간콜입력!$M:$M,실시간콜입력!$B:$B,A100,실시간콜입력!$O:$O,"방문완료")</f>
        <v>0</v>
      </c>
      <c r="F100" s="29">
        <f>COUNTIFS($A:$A,A100,$C:$C,"정상")</f>
        <v>4</v>
      </c>
      <c r="G100" s="33">
        <f>IF(C100="정상",IF(F100&gt;0,E100/F100,0),0)</f>
        <v>0</v>
      </c>
      <c r="H100" s="29"/>
    </row>
    <row r="101" spans="1:8" ht="19.5" hidden="1" customHeight="1" outlineLevel="1">
      <c r="A101" s="23"/>
      <c r="B101" s="23"/>
      <c r="C101" s="23"/>
      <c r="D101" s="23"/>
      <c r="E101" s="23"/>
      <c r="F101" s="23"/>
      <c r="G101" s="23"/>
      <c r="H101" s="23"/>
    </row>
    <row r="102" spans="1:8" ht="21.75" customHeight="1" collapsed="1">
      <c r="A102" s="148" t="str">
        <f>IF(15&lt;=DAY(DATE(YEAR(설정_코스수당!$K$2),MONTH(설정_코스수당!$K$2)+1,0)),TEXT(DATE(YEAR(설정_코스수당!$K$2),MONTH(설정_코스수당!$K$2),15),"yyyy-mm-dd")&amp;" 귀케어 정산","")</f>
        <v>2026-06-15 귀케어 정산</v>
      </c>
      <c r="B102" s="124"/>
      <c r="C102" s="124"/>
      <c r="D102" s="124"/>
      <c r="E102" s="124"/>
      <c r="F102" s="124"/>
      <c r="G102" s="124"/>
      <c r="H102" s="124"/>
    </row>
    <row r="103" spans="1:8" ht="19.5" hidden="1" customHeight="1" outlineLevel="1">
      <c r="A103" s="20" t="s">
        <v>42</v>
      </c>
      <c r="B103" s="20" t="s">
        <v>141</v>
      </c>
      <c r="C103" s="20" t="s">
        <v>142</v>
      </c>
      <c r="D103" s="20" t="s">
        <v>143</v>
      </c>
      <c r="E103" s="20" t="s">
        <v>144</v>
      </c>
      <c r="F103" s="20" t="s">
        <v>145</v>
      </c>
      <c r="G103" s="20" t="s">
        <v>146</v>
      </c>
      <c r="H103" s="20" t="s">
        <v>95</v>
      </c>
    </row>
    <row r="104" spans="1:8" ht="19.5" hidden="1" customHeight="1" outlineLevel="1">
      <c r="A104" s="30">
        <f>IF(15&lt;=DAY(DATE(YEAR(설정_코스수당!$K$2),MONTH(설정_코스수당!$K$2)+1,0)),DATE(YEAR(설정_코스수당!$K$2),MONTH(설정_코스수당!$K$2),15),"")</f>
        <v>46188</v>
      </c>
      <c r="B104" s="29" t="s">
        <v>66</v>
      </c>
      <c r="C104" s="29" t="s">
        <v>130</v>
      </c>
      <c r="D104" s="29">
        <f>COUNTIFS(실시간콜입력!$B:$B,A104,실시간콜입력!$E:$E,"B",실시간콜입력!$O:$O,"방문완료")</f>
        <v>0</v>
      </c>
      <c r="E104" s="33">
        <f>SUMIFS(실시간콜입력!$M:$M,실시간콜입력!$B:$B,A104,실시간콜입력!$O:$O,"방문완료")</f>
        <v>0</v>
      </c>
      <c r="F104" s="29">
        <f>COUNTIFS($A:$A,A104,$C:$C,"정상")</f>
        <v>4</v>
      </c>
      <c r="G104" s="33">
        <f>IF(C104="정상",IF(F104&gt;0,E104/F104,0),0)</f>
        <v>0</v>
      </c>
      <c r="H104" s="29"/>
    </row>
    <row r="105" spans="1:8" ht="19.5" hidden="1" customHeight="1" outlineLevel="1">
      <c r="A105" s="24">
        <f>IF(15&lt;=DAY(DATE(YEAR(설정_코스수당!$K$2),MONTH(설정_코스수당!$K$2)+1,0)),DATE(YEAR(설정_코스수당!$K$2),MONTH(설정_코스수당!$K$2),15),"")</f>
        <v>46188</v>
      </c>
      <c r="B105" s="23" t="s">
        <v>147</v>
      </c>
      <c r="C105" s="23" t="s">
        <v>130</v>
      </c>
      <c r="D105" s="23">
        <f>COUNTIFS(실시간콜입력!$B:$B,A105,실시간콜입력!$E:$E,"B",실시간콜입력!$O:$O,"방문완료")</f>
        <v>0</v>
      </c>
      <c r="E105" s="27">
        <f>SUMIFS(실시간콜입력!$M:$M,실시간콜입력!$B:$B,A105,실시간콜입력!$O:$O,"방문완료")</f>
        <v>0</v>
      </c>
      <c r="F105" s="23">
        <f>COUNTIFS($A:$A,A105,$C:$C,"정상")</f>
        <v>4</v>
      </c>
      <c r="G105" s="27">
        <f>IF(C105="정상",IF(F105&gt;0,E105/F105,0),0)</f>
        <v>0</v>
      </c>
      <c r="H105" s="23"/>
    </row>
    <row r="106" spans="1:8" ht="19.5" hidden="1" customHeight="1" outlineLevel="1">
      <c r="A106" s="30">
        <f>IF(15&lt;=DAY(DATE(YEAR(설정_코스수당!$K$2),MONTH(설정_코스수당!$K$2)+1,0)),DATE(YEAR(설정_코스수당!$K$2),MONTH(설정_코스수당!$K$2),15),"")</f>
        <v>46188</v>
      </c>
      <c r="B106" s="29" t="s">
        <v>148</v>
      </c>
      <c r="C106" s="29" t="s">
        <v>130</v>
      </c>
      <c r="D106" s="29">
        <f>COUNTIFS(실시간콜입력!$B:$B,A106,실시간콜입력!$E:$E,"B",실시간콜입력!$O:$O,"방문완료")</f>
        <v>0</v>
      </c>
      <c r="E106" s="33">
        <f>SUMIFS(실시간콜입력!$M:$M,실시간콜입력!$B:$B,A106,실시간콜입력!$O:$O,"방문완료")</f>
        <v>0</v>
      </c>
      <c r="F106" s="29">
        <f>COUNTIFS($A:$A,A106,$C:$C,"정상")</f>
        <v>4</v>
      </c>
      <c r="G106" s="33">
        <f>IF(C106="정상",IF(F106&gt;0,E106/F106,0),0)</f>
        <v>0</v>
      </c>
      <c r="H106" s="29"/>
    </row>
    <row r="107" spans="1:8" ht="19.5" hidden="1" customHeight="1" outlineLevel="1">
      <c r="A107" s="24">
        <f>IF(15&lt;=DAY(DATE(YEAR(설정_코스수당!$K$2),MONTH(설정_코스수당!$K$2)+1,0)),DATE(YEAR(설정_코스수당!$K$2),MONTH(설정_코스수당!$K$2),15),"")</f>
        <v>46188</v>
      </c>
      <c r="B107" s="23" t="s">
        <v>149</v>
      </c>
      <c r="C107" s="23" t="s">
        <v>130</v>
      </c>
      <c r="D107" s="23">
        <f>COUNTIFS(실시간콜입력!$B:$B,A107,실시간콜입력!$E:$E,"B",실시간콜입력!$O:$O,"방문완료")</f>
        <v>0</v>
      </c>
      <c r="E107" s="27">
        <f>SUMIFS(실시간콜입력!$M:$M,실시간콜입력!$B:$B,A107,실시간콜입력!$O:$O,"방문완료")</f>
        <v>0</v>
      </c>
      <c r="F107" s="23">
        <f>COUNTIFS($A:$A,A107,$C:$C,"정상")</f>
        <v>4</v>
      </c>
      <c r="G107" s="27">
        <f>IF(C107="정상",IF(F107&gt;0,E107/F107,0),0)</f>
        <v>0</v>
      </c>
      <c r="H107" s="23"/>
    </row>
    <row r="108" spans="1:8" ht="19.5" hidden="1" customHeight="1" outlineLevel="1">
      <c r="A108" s="29"/>
      <c r="B108" s="29"/>
      <c r="C108" s="29"/>
      <c r="D108" s="29"/>
      <c r="E108" s="29"/>
      <c r="F108" s="29"/>
      <c r="G108" s="29"/>
      <c r="H108" s="29"/>
    </row>
    <row r="109" spans="1:8" ht="21.75" customHeight="1" collapsed="1">
      <c r="A109" s="148" t="str">
        <f>IF(16&lt;=DAY(DATE(YEAR(설정_코스수당!$K$2),MONTH(설정_코스수당!$K$2)+1,0)),TEXT(DATE(YEAR(설정_코스수당!$K$2),MONTH(설정_코스수당!$K$2),16),"yyyy-mm-dd")&amp;" 귀케어 정산","")</f>
        <v>2026-06-16 귀케어 정산</v>
      </c>
      <c r="B109" s="124"/>
      <c r="C109" s="124"/>
      <c r="D109" s="124"/>
      <c r="E109" s="124"/>
      <c r="F109" s="124"/>
      <c r="G109" s="124"/>
      <c r="H109" s="124"/>
    </row>
    <row r="110" spans="1:8" ht="19.5" hidden="1" customHeight="1" outlineLevel="1">
      <c r="A110" s="20" t="s">
        <v>42</v>
      </c>
      <c r="B110" s="20" t="s">
        <v>141</v>
      </c>
      <c r="C110" s="20" t="s">
        <v>142</v>
      </c>
      <c r="D110" s="20" t="s">
        <v>143</v>
      </c>
      <c r="E110" s="20" t="s">
        <v>144</v>
      </c>
      <c r="F110" s="20" t="s">
        <v>145</v>
      </c>
      <c r="G110" s="20" t="s">
        <v>146</v>
      </c>
      <c r="H110" s="20" t="s">
        <v>95</v>
      </c>
    </row>
    <row r="111" spans="1:8" ht="19.5" hidden="1" customHeight="1" outlineLevel="1">
      <c r="A111" s="24">
        <f>IF(16&lt;=DAY(DATE(YEAR(설정_코스수당!$K$2),MONTH(설정_코스수당!$K$2)+1,0)),DATE(YEAR(설정_코스수당!$K$2),MONTH(설정_코스수당!$K$2),16),"")</f>
        <v>46189</v>
      </c>
      <c r="B111" s="23" t="s">
        <v>66</v>
      </c>
      <c r="C111" s="23" t="s">
        <v>130</v>
      </c>
      <c r="D111" s="23">
        <f>COUNTIFS(실시간콜입력!$B:$B,A111,실시간콜입력!$E:$E,"B",실시간콜입력!$O:$O,"방문완료")</f>
        <v>0</v>
      </c>
      <c r="E111" s="27">
        <f>SUMIFS(실시간콜입력!$M:$M,실시간콜입력!$B:$B,A111,실시간콜입력!$O:$O,"방문완료")</f>
        <v>0</v>
      </c>
      <c r="F111" s="23">
        <f>COUNTIFS($A:$A,A111,$C:$C,"정상")</f>
        <v>4</v>
      </c>
      <c r="G111" s="27">
        <f>IF(C111="정상",IF(F111&gt;0,E111/F111,0),0)</f>
        <v>0</v>
      </c>
      <c r="H111" s="23"/>
    </row>
    <row r="112" spans="1:8" ht="19.5" hidden="1" customHeight="1" outlineLevel="1">
      <c r="A112" s="30">
        <f>IF(16&lt;=DAY(DATE(YEAR(설정_코스수당!$K$2),MONTH(설정_코스수당!$K$2)+1,0)),DATE(YEAR(설정_코스수당!$K$2),MONTH(설정_코스수당!$K$2),16),"")</f>
        <v>46189</v>
      </c>
      <c r="B112" s="29" t="s">
        <v>147</v>
      </c>
      <c r="C112" s="29" t="s">
        <v>130</v>
      </c>
      <c r="D112" s="29">
        <f>COUNTIFS(실시간콜입력!$B:$B,A112,실시간콜입력!$E:$E,"B",실시간콜입력!$O:$O,"방문완료")</f>
        <v>0</v>
      </c>
      <c r="E112" s="33">
        <f>SUMIFS(실시간콜입력!$M:$M,실시간콜입력!$B:$B,A112,실시간콜입력!$O:$O,"방문완료")</f>
        <v>0</v>
      </c>
      <c r="F112" s="29">
        <f>COUNTIFS($A:$A,A112,$C:$C,"정상")</f>
        <v>4</v>
      </c>
      <c r="G112" s="33">
        <f>IF(C112="정상",IF(F112&gt;0,E112/F112,0),0)</f>
        <v>0</v>
      </c>
      <c r="H112" s="29"/>
    </row>
    <row r="113" spans="1:8" ht="19.5" hidden="1" customHeight="1" outlineLevel="1">
      <c r="A113" s="24">
        <f>IF(16&lt;=DAY(DATE(YEAR(설정_코스수당!$K$2),MONTH(설정_코스수당!$K$2)+1,0)),DATE(YEAR(설정_코스수당!$K$2),MONTH(설정_코스수당!$K$2),16),"")</f>
        <v>46189</v>
      </c>
      <c r="B113" s="23" t="s">
        <v>148</v>
      </c>
      <c r="C113" s="23" t="s">
        <v>130</v>
      </c>
      <c r="D113" s="23">
        <f>COUNTIFS(실시간콜입력!$B:$B,A113,실시간콜입력!$E:$E,"B",실시간콜입력!$O:$O,"방문완료")</f>
        <v>0</v>
      </c>
      <c r="E113" s="27">
        <f>SUMIFS(실시간콜입력!$M:$M,실시간콜입력!$B:$B,A113,실시간콜입력!$O:$O,"방문완료")</f>
        <v>0</v>
      </c>
      <c r="F113" s="23">
        <f>COUNTIFS($A:$A,A113,$C:$C,"정상")</f>
        <v>4</v>
      </c>
      <c r="G113" s="27">
        <f>IF(C113="정상",IF(F113&gt;0,E113/F113,0),0)</f>
        <v>0</v>
      </c>
      <c r="H113" s="23"/>
    </row>
    <row r="114" spans="1:8" ht="19.5" hidden="1" customHeight="1" outlineLevel="1">
      <c r="A114" s="30">
        <f>IF(16&lt;=DAY(DATE(YEAR(설정_코스수당!$K$2),MONTH(설정_코스수당!$K$2)+1,0)),DATE(YEAR(설정_코스수당!$K$2),MONTH(설정_코스수당!$K$2),16),"")</f>
        <v>46189</v>
      </c>
      <c r="B114" s="29" t="s">
        <v>149</v>
      </c>
      <c r="C114" s="29" t="s">
        <v>130</v>
      </c>
      <c r="D114" s="29">
        <f>COUNTIFS(실시간콜입력!$B:$B,A114,실시간콜입력!$E:$E,"B",실시간콜입력!$O:$O,"방문완료")</f>
        <v>0</v>
      </c>
      <c r="E114" s="33">
        <f>SUMIFS(실시간콜입력!$M:$M,실시간콜입력!$B:$B,A114,실시간콜입력!$O:$O,"방문완료")</f>
        <v>0</v>
      </c>
      <c r="F114" s="29">
        <f>COUNTIFS($A:$A,A114,$C:$C,"정상")</f>
        <v>4</v>
      </c>
      <c r="G114" s="33">
        <f>IF(C114="정상",IF(F114&gt;0,E114/F114,0),0)</f>
        <v>0</v>
      </c>
      <c r="H114" s="29"/>
    </row>
    <row r="115" spans="1:8" ht="19.5" hidden="1" customHeight="1" outlineLevel="1">
      <c r="A115" s="23"/>
      <c r="B115" s="23"/>
      <c r="C115" s="23"/>
      <c r="D115" s="23"/>
      <c r="E115" s="23"/>
      <c r="F115" s="23"/>
      <c r="G115" s="23"/>
      <c r="H115" s="23"/>
    </row>
    <row r="116" spans="1:8" ht="21.75" customHeight="1" collapsed="1">
      <c r="A116" s="148" t="str">
        <f>IF(17&lt;=DAY(DATE(YEAR(설정_코스수당!$K$2),MONTH(설정_코스수당!$K$2)+1,0)),TEXT(DATE(YEAR(설정_코스수당!$K$2),MONTH(설정_코스수당!$K$2),17),"yyyy-mm-dd")&amp;" 귀케어 정산","")</f>
        <v>2026-06-17 귀케어 정산</v>
      </c>
      <c r="B116" s="124"/>
      <c r="C116" s="124"/>
      <c r="D116" s="124"/>
      <c r="E116" s="124"/>
      <c r="F116" s="124"/>
      <c r="G116" s="124"/>
      <c r="H116" s="124"/>
    </row>
    <row r="117" spans="1:8" ht="19.5" hidden="1" customHeight="1" outlineLevel="1">
      <c r="A117" s="20" t="s">
        <v>42</v>
      </c>
      <c r="B117" s="20" t="s">
        <v>141</v>
      </c>
      <c r="C117" s="20" t="s">
        <v>142</v>
      </c>
      <c r="D117" s="20" t="s">
        <v>143</v>
      </c>
      <c r="E117" s="20" t="s">
        <v>144</v>
      </c>
      <c r="F117" s="20" t="s">
        <v>145</v>
      </c>
      <c r="G117" s="20" t="s">
        <v>146</v>
      </c>
      <c r="H117" s="20" t="s">
        <v>95</v>
      </c>
    </row>
    <row r="118" spans="1:8" ht="19.5" hidden="1" customHeight="1" outlineLevel="1">
      <c r="A118" s="30">
        <f>IF(17&lt;=DAY(DATE(YEAR(설정_코스수당!$K$2),MONTH(설정_코스수당!$K$2)+1,0)),DATE(YEAR(설정_코스수당!$K$2),MONTH(설정_코스수당!$K$2),17),"")</f>
        <v>46190</v>
      </c>
      <c r="B118" s="29" t="s">
        <v>66</v>
      </c>
      <c r="C118" s="29" t="s">
        <v>130</v>
      </c>
      <c r="D118" s="29">
        <f>COUNTIFS(실시간콜입력!$B:$B,A118,실시간콜입력!$E:$E,"B",실시간콜입력!$O:$O,"방문완료")</f>
        <v>0</v>
      </c>
      <c r="E118" s="33">
        <f>SUMIFS(실시간콜입력!$M:$M,실시간콜입력!$B:$B,A118,실시간콜입력!$O:$O,"방문완료")</f>
        <v>0</v>
      </c>
      <c r="F118" s="29">
        <f>COUNTIFS($A:$A,A118,$C:$C,"정상")</f>
        <v>4</v>
      </c>
      <c r="G118" s="33">
        <f>IF(C118="정상",IF(F118&gt;0,E118/F118,0),0)</f>
        <v>0</v>
      </c>
      <c r="H118" s="29"/>
    </row>
    <row r="119" spans="1:8" ht="19.5" hidden="1" customHeight="1" outlineLevel="1">
      <c r="A119" s="24">
        <f>IF(17&lt;=DAY(DATE(YEAR(설정_코스수당!$K$2),MONTH(설정_코스수당!$K$2)+1,0)),DATE(YEAR(설정_코스수당!$K$2),MONTH(설정_코스수당!$K$2),17),"")</f>
        <v>46190</v>
      </c>
      <c r="B119" s="23" t="s">
        <v>147</v>
      </c>
      <c r="C119" s="23" t="s">
        <v>130</v>
      </c>
      <c r="D119" s="23">
        <f>COUNTIFS(실시간콜입력!$B:$B,A119,실시간콜입력!$E:$E,"B",실시간콜입력!$O:$O,"방문완료")</f>
        <v>0</v>
      </c>
      <c r="E119" s="27">
        <f>SUMIFS(실시간콜입력!$M:$M,실시간콜입력!$B:$B,A119,실시간콜입력!$O:$O,"방문완료")</f>
        <v>0</v>
      </c>
      <c r="F119" s="23">
        <f>COUNTIFS($A:$A,A119,$C:$C,"정상")</f>
        <v>4</v>
      </c>
      <c r="G119" s="27">
        <f>IF(C119="정상",IF(F119&gt;0,E119/F119,0),0)</f>
        <v>0</v>
      </c>
      <c r="H119" s="23"/>
    </row>
    <row r="120" spans="1:8" ht="19.5" hidden="1" customHeight="1" outlineLevel="1">
      <c r="A120" s="30">
        <f>IF(17&lt;=DAY(DATE(YEAR(설정_코스수당!$K$2),MONTH(설정_코스수당!$K$2)+1,0)),DATE(YEAR(설정_코스수당!$K$2),MONTH(설정_코스수당!$K$2),17),"")</f>
        <v>46190</v>
      </c>
      <c r="B120" s="29" t="s">
        <v>148</v>
      </c>
      <c r="C120" s="29" t="s">
        <v>130</v>
      </c>
      <c r="D120" s="29">
        <f>COUNTIFS(실시간콜입력!$B:$B,A120,실시간콜입력!$E:$E,"B",실시간콜입력!$O:$O,"방문완료")</f>
        <v>0</v>
      </c>
      <c r="E120" s="33">
        <f>SUMIFS(실시간콜입력!$M:$M,실시간콜입력!$B:$B,A120,실시간콜입력!$O:$O,"방문완료")</f>
        <v>0</v>
      </c>
      <c r="F120" s="29">
        <f>COUNTIFS($A:$A,A120,$C:$C,"정상")</f>
        <v>4</v>
      </c>
      <c r="G120" s="33">
        <f>IF(C120="정상",IF(F120&gt;0,E120/F120,0),0)</f>
        <v>0</v>
      </c>
      <c r="H120" s="29"/>
    </row>
    <row r="121" spans="1:8" ht="19.5" hidden="1" customHeight="1" outlineLevel="1">
      <c r="A121" s="24">
        <f>IF(17&lt;=DAY(DATE(YEAR(설정_코스수당!$K$2),MONTH(설정_코스수당!$K$2)+1,0)),DATE(YEAR(설정_코스수당!$K$2),MONTH(설정_코스수당!$K$2),17),"")</f>
        <v>46190</v>
      </c>
      <c r="B121" s="23" t="s">
        <v>149</v>
      </c>
      <c r="C121" s="23" t="s">
        <v>130</v>
      </c>
      <c r="D121" s="23">
        <f>COUNTIFS(실시간콜입력!$B:$B,A121,실시간콜입력!$E:$E,"B",실시간콜입력!$O:$O,"방문완료")</f>
        <v>0</v>
      </c>
      <c r="E121" s="27">
        <f>SUMIFS(실시간콜입력!$M:$M,실시간콜입력!$B:$B,A121,실시간콜입력!$O:$O,"방문완료")</f>
        <v>0</v>
      </c>
      <c r="F121" s="23">
        <f>COUNTIFS($A:$A,A121,$C:$C,"정상")</f>
        <v>4</v>
      </c>
      <c r="G121" s="27">
        <f>IF(C121="정상",IF(F121&gt;0,E121/F121,0),0)</f>
        <v>0</v>
      </c>
      <c r="H121" s="23"/>
    </row>
    <row r="122" spans="1:8" ht="19.5" hidden="1" customHeight="1" outlineLevel="1">
      <c r="A122" s="29"/>
      <c r="B122" s="29"/>
      <c r="C122" s="29"/>
      <c r="D122" s="29"/>
      <c r="E122" s="29"/>
      <c r="F122" s="29"/>
      <c r="G122" s="29"/>
      <c r="H122" s="29"/>
    </row>
    <row r="123" spans="1:8" ht="21.75" customHeight="1" collapsed="1">
      <c r="A123" s="148" t="str">
        <f>IF(18&lt;=DAY(DATE(YEAR(설정_코스수당!$K$2),MONTH(설정_코스수당!$K$2)+1,0)),TEXT(DATE(YEAR(설정_코스수당!$K$2),MONTH(설정_코스수당!$K$2),18),"yyyy-mm-dd")&amp;" 귀케어 정산","")</f>
        <v>2026-06-18 귀케어 정산</v>
      </c>
      <c r="B123" s="124"/>
      <c r="C123" s="124"/>
      <c r="D123" s="124"/>
      <c r="E123" s="124"/>
      <c r="F123" s="124"/>
      <c r="G123" s="124"/>
      <c r="H123" s="124"/>
    </row>
    <row r="124" spans="1:8" ht="19.5" hidden="1" customHeight="1" outlineLevel="1">
      <c r="A124" s="20" t="s">
        <v>42</v>
      </c>
      <c r="B124" s="20" t="s">
        <v>141</v>
      </c>
      <c r="C124" s="20" t="s">
        <v>142</v>
      </c>
      <c r="D124" s="20" t="s">
        <v>143</v>
      </c>
      <c r="E124" s="20" t="s">
        <v>144</v>
      </c>
      <c r="F124" s="20" t="s">
        <v>145</v>
      </c>
      <c r="G124" s="20" t="s">
        <v>146</v>
      </c>
      <c r="H124" s="20" t="s">
        <v>95</v>
      </c>
    </row>
    <row r="125" spans="1:8" ht="19.5" hidden="1" customHeight="1" outlineLevel="1">
      <c r="A125" s="24">
        <f>IF(18&lt;=DAY(DATE(YEAR(설정_코스수당!$K$2),MONTH(설정_코스수당!$K$2)+1,0)),DATE(YEAR(설정_코스수당!$K$2),MONTH(설정_코스수당!$K$2),18),"")</f>
        <v>46191</v>
      </c>
      <c r="B125" s="23" t="s">
        <v>66</v>
      </c>
      <c r="C125" s="23" t="s">
        <v>130</v>
      </c>
      <c r="D125" s="23">
        <f>COUNTIFS(실시간콜입력!$B:$B,A125,실시간콜입력!$E:$E,"B",실시간콜입력!$O:$O,"방문완료")</f>
        <v>0</v>
      </c>
      <c r="E125" s="27">
        <f>SUMIFS(실시간콜입력!$M:$M,실시간콜입력!$B:$B,A125,실시간콜입력!$O:$O,"방문완료")</f>
        <v>0</v>
      </c>
      <c r="F125" s="23">
        <f>COUNTIFS($A:$A,A125,$C:$C,"정상")</f>
        <v>4</v>
      </c>
      <c r="G125" s="27">
        <f>IF(C125="정상",IF(F125&gt;0,E125/F125,0),0)</f>
        <v>0</v>
      </c>
      <c r="H125" s="23"/>
    </row>
    <row r="126" spans="1:8" ht="19.5" hidden="1" customHeight="1" outlineLevel="1">
      <c r="A126" s="30">
        <f>IF(18&lt;=DAY(DATE(YEAR(설정_코스수당!$K$2),MONTH(설정_코스수당!$K$2)+1,0)),DATE(YEAR(설정_코스수당!$K$2),MONTH(설정_코스수당!$K$2),18),"")</f>
        <v>46191</v>
      </c>
      <c r="B126" s="29" t="s">
        <v>147</v>
      </c>
      <c r="C126" s="29" t="s">
        <v>130</v>
      </c>
      <c r="D126" s="29">
        <f>COUNTIFS(실시간콜입력!$B:$B,A126,실시간콜입력!$E:$E,"B",실시간콜입력!$O:$O,"방문완료")</f>
        <v>0</v>
      </c>
      <c r="E126" s="33">
        <f>SUMIFS(실시간콜입력!$M:$M,실시간콜입력!$B:$B,A126,실시간콜입력!$O:$O,"방문완료")</f>
        <v>0</v>
      </c>
      <c r="F126" s="29">
        <f>COUNTIFS($A:$A,A126,$C:$C,"정상")</f>
        <v>4</v>
      </c>
      <c r="G126" s="33">
        <f>IF(C126="정상",IF(F126&gt;0,E126/F126,0),0)</f>
        <v>0</v>
      </c>
      <c r="H126" s="29"/>
    </row>
    <row r="127" spans="1:8" ht="19.5" hidden="1" customHeight="1" outlineLevel="1">
      <c r="A127" s="24">
        <f>IF(18&lt;=DAY(DATE(YEAR(설정_코스수당!$K$2),MONTH(설정_코스수당!$K$2)+1,0)),DATE(YEAR(설정_코스수당!$K$2),MONTH(설정_코스수당!$K$2),18),"")</f>
        <v>46191</v>
      </c>
      <c r="B127" s="23" t="s">
        <v>148</v>
      </c>
      <c r="C127" s="23" t="s">
        <v>130</v>
      </c>
      <c r="D127" s="23">
        <f>COUNTIFS(실시간콜입력!$B:$B,A127,실시간콜입력!$E:$E,"B",실시간콜입력!$O:$O,"방문완료")</f>
        <v>0</v>
      </c>
      <c r="E127" s="27">
        <f>SUMIFS(실시간콜입력!$M:$M,실시간콜입력!$B:$B,A127,실시간콜입력!$O:$O,"방문완료")</f>
        <v>0</v>
      </c>
      <c r="F127" s="23">
        <f>COUNTIFS($A:$A,A127,$C:$C,"정상")</f>
        <v>4</v>
      </c>
      <c r="G127" s="27">
        <f>IF(C127="정상",IF(F127&gt;0,E127/F127,0),0)</f>
        <v>0</v>
      </c>
      <c r="H127" s="23"/>
    </row>
    <row r="128" spans="1:8" ht="19.5" hidden="1" customHeight="1" outlineLevel="1">
      <c r="A128" s="30">
        <f>IF(18&lt;=DAY(DATE(YEAR(설정_코스수당!$K$2),MONTH(설정_코스수당!$K$2)+1,0)),DATE(YEAR(설정_코스수당!$K$2),MONTH(설정_코스수당!$K$2),18),"")</f>
        <v>46191</v>
      </c>
      <c r="B128" s="29" t="s">
        <v>149</v>
      </c>
      <c r="C128" s="29" t="s">
        <v>130</v>
      </c>
      <c r="D128" s="29">
        <f>COUNTIFS(실시간콜입력!$B:$B,A128,실시간콜입력!$E:$E,"B",실시간콜입력!$O:$O,"방문완료")</f>
        <v>0</v>
      </c>
      <c r="E128" s="33">
        <f>SUMIFS(실시간콜입력!$M:$M,실시간콜입력!$B:$B,A128,실시간콜입력!$O:$O,"방문완료")</f>
        <v>0</v>
      </c>
      <c r="F128" s="29">
        <f>COUNTIFS($A:$A,A128,$C:$C,"정상")</f>
        <v>4</v>
      </c>
      <c r="G128" s="33">
        <f>IF(C128="정상",IF(F128&gt;0,E128/F128,0),0)</f>
        <v>0</v>
      </c>
      <c r="H128" s="29"/>
    </row>
    <row r="129" spans="1:8" ht="19.5" hidden="1" customHeight="1" outlineLevel="1">
      <c r="A129" s="23"/>
      <c r="B129" s="23"/>
      <c r="C129" s="23"/>
      <c r="D129" s="23"/>
      <c r="E129" s="23"/>
      <c r="F129" s="23"/>
      <c r="G129" s="23"/>
      <c r="H129" s="23"/>
    </row>
    <row r="130" spans="1:8" ht="21.75" customHeight="1" collapsed="1">
      <c r="A130" s="148" t="str">
        <f>IF(19&lt;=DAY(DATE(YEAR(설정_코스수당!$K$2),MONTH(설정_코스수당!$K$2)+1,0)),TEXT(DATE(YEAR(설정_코스수당!$K$2),MONTH(설정_코스수당!$K$2),19),"yyyy-mm-dd")&amp;" 귀케어 정산","")</f>
        <v>2026-06-19 귀케어 정산</v>
      </c>
      <c r="B130" s="124"/>
      <c r="C130" s="124"/>
      <c r="D130" s="124"/>
      <c r="E130" s="124"/>
      <c r="F130" s="124"/>
      <c r="G130" s="124"/>
      <c r="H130" s="124"/>
    </row>
    <row r="131" spans="1:8" ht="19.5" hidden="1" customHeight="1" outlineLevel="1">
      <c r="A131" s="20" t="s">
        <v>42</v>
      </c>
      <c r="B131" s="20" t="s">
        <v>141</v>
      </c>
      <c r="C131" s="20" t="s">
        <v>142</v>
      </c>
      <c r="D131" s="20" t="s">
        <v>143</v>
      </c>
      <c r="E131" s="20" t="s">
        <v>144</v>
      </c>
      <c r="F131" s="20" t="s">
        <v>145</v>
      </c>
      <c r="G131" s="20" t="s">
        <v>146</v>
      </c>
      <c r="H131" s="20" t="s">
        <v>95</v>
      </c>
    </row>
    <row r="132" spans="1:8" ht="19.5" hidden="1" customHeight="1" outlineLevel="1">
      <c r="A132" s="30">
        <f>IF(19&lt;=DAY(DATE(YEAR(설정_코스수당!$K$2),MONTH(설정_코스수당!$K$2)+1,0)),DATE(YEAR(설정_코스수당!$K$2),MONTH(설정_코스수당!$K$2),19),"")</f>
        <v>46192</v>
      </c>
      <c r="B132" s="29" t="s">
        <v>66</v>
      </c>
      <c r="C132" s="29" t="s">
        <v>130</v>
      </c>
      <c r="D132" s="29">
        <f>COUNTIFS(실시간콜입력!$B:$B,A132,실시간콜입력!$E:$E,"B",실시간콜입력!$O:$O,"방문완료")</f>
        <v>0</v>
      </c>
      <c r="E132" s="33">
        <f>SUMIFS(실시간콜입력!$M:$M,실시간콜입력!$B:$B,A132,실시간콜입력!$O:$O,"방문완료")</f>
        <v>0</v>
      </c>
      <c r="F132" s="29">
        <f>COUNTIFS($A:$A,A132,$C:$C,"정상")</f>
        <v>4</v>
      </c>
      <c r="G132" s="33">
        <f>IF(C132="정상",IF(F132&gt;0,E132/F132,0),0)</f>
        <v>0</v>
      </c>
      <c r="H132" s="29"/>
    </row>
    <row r="133" spans="1:8" ht="19.5" hidden="1" customHeight="1" outlineLevel="1">
      <c r="A133" s="24">
        <f>IF(19&lt;=DAY(DATE(YEAR(설정_코스수당!$K$2),MONTH(설정_코스수당!$K$2)+1,0)),DATE(YEAR(설정_코스수당!$K$2),MONTH(설정_코스수당!$K$2),19),"")</f>
        <v>46192</v>
      </c>
      <c r="B133" s="23" t="s">
        <v>147</v>
      </c>
      <c r="C133" s="23" t="s">
        <v>130</v>
      </c>
      <c r="D133" s="23">
        <f>COUNTIFS(실시간콜입력!$B:$B,A133,실시간콜입력!$E:$E,"B",실시간콜입력!$O:$O,"방문완료")</f>
        <v>0</v>
      </c>
      <c r="E133" s="27">
        <f>SUMIFS(실시간콜입력!$M:$M,실시간콜입력!$B:$B,A133,실시간콜입력!$O:$O,"방문완료")</f>
        <v>0</v>
      </c>
      <c r="F133" s="23">
        <f>COUNTIFS($A:$A,A133,$C:$C,"정상")</f>
        <v>4</v>
      </c>
      <c r="G133" s="27">
        <f>IF(C133="정상",IF(F133&gt;0,E133/F133,0),0)</f>
        <v>0</v>
      </c>
      <c r="H133" s="23"/>
    </row>
    <row r="134" spans="1:8" ht="19.5" hidden="1" customHeight="1" outlineLevel="1">
      <c r="A134" s="30">
        <f>IF(19&lt;=DAY(DATE(YEAR(설정_코스수당!$K$2),MONTH(설정_코스수당!$K$2)+1,0)),DATE(YEAR(설정_코스수당!$K$2),MONTH(설정_코스수당!$K$2),19),"")</f>
        <v>46192</v>
      </c>
      <c r="B134" s="29" t="s">
        <v>148</v>
      </c>
      <c r="C134" s="29" t="s">
        <v>130</v>
      </c>
      <c r="D134" s="29">
        <f>COUNTIFS(실시간콜입력!$B:$B,A134,실시간콜입력!$E:$E,"B",실시간콜입력!$O:$O,"방문완료")</f>
        <v>0</v>
      </c>
      <c r="E134" s="33">
        <f>SUMIFS(실시간콜입력!$M:$M,실시간콜입력!$B:$B,A134,실시간콜입력!$O:$O,"방문완료")</f>
        <v>0</v>
      </c>
      <c r="F134" s="29">
        <f>COUNTIFS($A:$A,A134,$C:$C,"정상")</f>
        <v>4</v>
      </c>
      <c r="G134" s="33">
        <f>IF(C134="정상",IF(F134&gt;0,E134/F134,0),0)</f>
        <v>0</v>
      </c>
      <c r="H134" s="29"/>
    </row>
    <row r="135" spans="1:8" ht="19.5" hidden="1" customHeight="1" outlineLevel="1">
      <c r="A135" s="24">
        <f>IF(19&lt;=DAY(DATE(YEAR(설정_코스수당!$K$2),MONTH(설정_코스수당!$K$2)+1,0)),DATE(YEAR(설정_코스수당!$K$2),MONTH(설정_코스수당!$K$2),19),"")</f>
        <v>46192</v>
      </c>
      <c r="B135" s="23" t="s">
        <v>149</v>
      </c>
      <c r="C135" s="23" t="s">
        <v>130</v>
      </c>
      <c r="D135" s="23">
        <f>COUNTIFS(실시간콜입력!$B:$B,A135,실시간콜입력!$E:$E,"B",실시간콜입력!$O:$O,"방문완료")</f>
        <v>0</v>
      </c>
      <c r="E135" s="27">
        <f>SUMIFS(실시간콜입력!$M:$M,실시간콜입력!$B:$B,A135,실시간콜입력!$O:$O,"방문완료")</f>
        <v>0</v>
      </c>
      <c r="F135" s="23">
        <f>COUNTIFS($A:$A,A135,$C:$C,"정상")</f>
        <v>4</v>
      </c>
      <c r="G135" s="27">
        <f>IF(C135="정상",IF(F135&gt;0,E135/F135,0),0)</f>
        <v>0</v>
      </c>
      <c r="H135" s="23"/>
    </row>
    <row r="136" spans="1:8" ht="19.5" hidden="1" customHeight="1" outlineLevel="1">
      <c r="A136" s="29"/>
      <c r="B136" s="29"/>
      <c r="C136" s="29"/>
      <c r="D136" s="29"/>
      <c r="E136" s="29"/>
      <c r="F136" s="29"/>
      <c r="G136" s="29"/>
      <c r="H136" s="29"/>
    </row>
    <row r="137" spans="1:8" ht="21.75" customHeight="1" collapsed="1">
      <c r="A137" s="148" t="str">
        <f>IF(20&lt;=DAY(DATE(YEAR(설정_코스수당!$K$2),MONTH(설정_코스수당!$K$2)+1,0)),TEXT(DATE(YEAR(설정_코스수당!$K$2),MONTH(설정_코스수당!$K$2),20),"yyyy-mm-dd")&amp;" 귀케어 정산","")</f>
        <v>2026-06-20 귀케어 정산</v>
      </c>
      <c r="B137" s="124"/>
      <c r="C137" s="124"/>
      <c r="D137" s="124"/>
      <c r="E137" s="124"/>
      <c r="F137" s="124"/>
      <c r="G137" s="124"/>
      <c r="H137" s="124"/>
    </row>
    <row r="138" spans="1:8" ht="19.5" hidden="1" customHeight="1" outlineLevel="1">
      <c r="A138" s="20" t="s">
        <v>42</v>
      </c>
      <c r="B138" s="20" t="s">
        <v>141</v>
      </c>
      <c r="C138" s="20" t="s">
        <v>142</v>
      </c>
      <c r="D138" s="20" t="s">
        <v>143</v>
      </c>
      <c r="E138" s="20" t="s">
        <v>144</v>
      </c>
      <c r="F138" s="20" t="s">
        <v>145</v>
      </c>
      <c r="G138" s="20" t="s">
        <v>146</v>
      </c>
      <c r="H138" s="20" t="s">
        <v>95</v>
      </c>
    </row>
    <row r="139" spans="1:8" ht="19.5" hidden="1" customHeight="1" outlineLevel="1">
      <c r="A139" s="24">
        <f>IF(20&lt;=DAY(DATE(YEAR(설정_코스수당!$K$2),MONTH(설정_코스수당!$K$2)+1,0)),DATE(YEAR(설정_코스수당!$K$2),MONTH(설정_코스수당!$K$2),20),"")</f>
        <v>46193</v>
      </c>
      <c r="B139" s="23" t="s">
        <v>66</v>
      </c>
      <c r="C139" s="23" t="s">
        <v>130</v>
      </c>
      <c r="D139" s="23">
        <f>COUNTIFS(실시간콜입력!$B:$B,A139,실시간콜입력!$E:$E,"B",실시간콜입력!$O:$O,"방문완료")</f>
        <v>0</v>
      </c>
      <c r="E139" s="27">
        <f>SUMIFS(실시간콜입력!$M:$M,실시간콜입력!$B:$B,A139,실시간콜입력!$O:$O,"방문완료")</f>
        <v>0</v>
      </c>
      <c r="F139" s="23">
        <f>COUNTIFS($A:$A,A139,$C:$C,"정상")</f>
        <v>4</v>
      </c>
      <c r="G139" s="27">
        <f>IF(C139="정상",IF(F139&gt;0,E139/F139,0),0)</f>
        <v>0</v>
      </c>
      <c r="H139" s="23"/>
    </row>
    <row r="140" spans="1:8" ht="19.5" hidden="1" customHeight="1" outlineLevel="1">
      <c r="A140" s="30">
        <f>IF(20&lt;=DAY(DATE(YEAR(설정_코스수당!$K$2),MONTH(설정_코스수당!$K$2)+1,0)),DATE(YEAR(설정_코스수당!$K$2),MONTH(설정_코스수당!$K$2),20),"")</f>
        <v>46193</v>
      </c>
      <c r="B140" s="29" t="s">
        <v>147</v>
      </c>
      <c r="C140" s="29" t="s">
        <v>130</v>
      </c>
      <c r="D140" s="29">
        <f>COUNTIFS(실시간콜입력!$B:$B,A140,실시간콜입력!$E:$E,"B",실시간콜입력!$O:$O,"방문완료")</f>
        <v>0</v>
      </c>
      <c r="E140" s="33">
        <f>SUMIFS(실시간콜입력!$M:$M,실시간콜입력!$B:$B,A140,실시간콜입력!$O:$O,"방문완료")</f>
        <v>0</v>
      </c>
      <c r="F140" s="29">
        <f>COUNTIFS($A:$A,A140,$C:$C,"정상")</f>
        <v>4</v>
      </c>
      <c r="G140" s="33">
        <f>IF(C140="정상",IF(F140&gt;0,E140/F140,0),0)</f>
        <v>0</v>
      </c>
      <c r="H140" s="29"/>
    </row>
    <row r="141" spans="1:8" ht="19.5" hidden="1" customHeight="1" outlineLevel="1">
      <c r="A141" s="24">
        <f>IF(20&lt;=DAY(DATE(YEAR(설정_코스수당!$K$2),MONTH(설정_코스수당!$K$2)+1,0)),DATE(YEAR(설정_코스수당!$K$2),MONTH(설정_코스수당!$K$2),20),"")</f>
        <v>46193</v>
      </c>
      <c r="B141" s="23" t="s">
        <v>148</v>
      </c>
      <c r="C141" s="23" t="s">
        <v>130</v>
      </c>
      <c r="D141" s="23">
        <f>COUNTIFS(실시간콜입력!$B:$B,A141,실시간콜입력!$E:$E,"B",실시간콜입력!$O:$O,"방문완료")</f>
        <v>0</v>
      </c>
      <c r="E141" s="27">
        <f>SUMIFS(실시간콜입력!$M:$M,실시간콜입력!$B:$B,A141,실시간콜입력!$O:$O,"방문완료")</f>
        <v>0</v>
      </c>
      <c r="F141" s="23">
        <f>COUNTIFS($A:$A,A141,$C:$C,"정상")</f>
        <v>4</v>
      </c>
      <c r="G141" s="27">
        <f>IF(C141="정상",IF(F141&gt;0,E141/F141,0),0)</f>
        <v>0</v>
      </c>
      <c r="H141" s="23"/>
    </row>
    <row r="142" spans="1:8" ht="19.5" hidden="1" customHeight="1" outlineLevel="1">
      <c r="A142" s="30">
        <f>IF(20&lt;=DAY(DATE(YEAR(설정_코스수당!$K$2),MONTH(설정_코스수당!$K$2)+1,0)),DATE(YEAR(설정_코스수당!$K$2),MONTH(설정_코스수당!$K$2),20),"")</f>
        <v>46193</v>
      </c>
      <c r="B142" s="29" t="s">
        <v>149</v>
      </c>
      <c r="C142" s="29" t="s">
        <v>130</v>
      </c>
      <c r="D142" s="29">
        <f>COUNTIFS(실시간콜입력!$B:$B,A142,실시간콜입력!$E:$E,"B",실시간콜입력!$O:$O,"방문완료")</f>
        <v>0</v>
      </c>
      <c r="E142" s="33">
        <f>SUMIFS(실시간콜입력!$M:$M,실시간콜입력!$B:$B,A142,실시간콜입력!$O:$O,"방문완료")</f>
        <v>0</v>
      </c>
      <c r="F142" s="29">
        <f>COUNTIFS($A:$A,A142,$C:$C,"정상")</f>
        <v>4</v>
      </c>
      <c r="G142" s="33">
        <f>IF(C142="정상",IF(F142&gt;0,E142/F142,0),0)</f>
        <v>0</v>
      </c>
      <c r="H142" s="29"/>
    </row>
    <row r="143" spans="1:8" ht="19.5" hidden="1" customHeight="1" outlineLevel="1">
      <c r="A143" s="23"/>
      <c r="B143" s="23"/>
      <c r="C143" s="23"/>
      <c r="D143" s="23"/>
      <c r="E143" s="23"/>
      <c r="F143" s="23"/>
      <c r="G143" s="23"/>
      <c r="H143" s="23"/>
    </row>
    <row r="144" spans="1:8" ht="21.75" customHeight="1" collapsed="1">
      <c r="A144" s="148" t="str">
        <f>IF(21&lt;=DAY(DATE(YEAR(설정_코스수당!$K$2),MONTH(설정_코스수당!$K$2)+1,0)),TEXT(DATE(YEAR(설정_코스수당!$K$2),MONTH(설정_코스수당!$K$2),21),"yyyy-mm-dd")&amp;" 귀케어 정산","")</f>
        <v>2026-06-21 귀케어 정산</v>
      </c>
      <c r="B144" s="124"/>
      <c r="C144" s="124"/>
      <c r="D144" s="124"/>
      <c r="E144" s="124"/>
      <c r="F144" s="124"/>
      <c r="G144" s="124"/>
      <c r="H144" s="124"/>
    </row>
    <row r="145" spans="1:8" ht="19.5" hidden="1" customHeight="1" outlineLevel="1">
      <c r="A145" s="20" t="s">
        <v>42</v>
      </c>
      <c r="B145" s="20" t="s">
        <v>141</v>
      </c>
      <c r="C145" s="20" t="s">
        <v>142</v>
      </c>
      <c r="D145" s="20" t="s">
        <v>143</v>
      </c>
      <c r="E145" s="20" t="s">
        <v>144</v>
      </c>
      <c r="F145" s="20" t="s">
        <v>145</v>
      </c>
      <c r="G145" s="20" t="s">
        <v>146</v>
      </c>
      <c r="H145" s="20" t="s">
        <v>95</v>
      </c>
    </row>
    <row r="146" spans="1:8" ht="19.5" hidden="1" customHeight="1" outlineLevel="1">
      <c r="A146" s="30">
        <f>IF(21&lt;=DAY(DATE(YEAR(설정_코스수당!$K$2),MONTH(설정_코스수당!$K$2)+1,0)),DATE(YEAR(설정_코스수당!$K$2),MONTH(설정_코스수당!$K$2),21),"")</f>
        <v>46194</v>
      </c>
      <c r="B146" s="29" t="s">
        <v>66</v>
      </c>
      <c r="C146" s="29" t="s">
        <v>130</v>
      </c>
      <c r="D146" s="29">
        <f>COUNTIFS(실시간콜입력!$B:$B,A146,실시간콜입력!$E:$E,"B",실시간콜입력!$O:$O,"방문완료")</f>
        <v>0</v>
      </c>
      <c r="E146" s="33">
        <f>SUMIFS(실시간콜입력!$M:$M,실시간콜입력!$B:$B,A146,실시간콜입력!$O:$O,"방문완료")</f>
        <v>0</v>
      </c>
      <c r="F146" s="29">
        <f>COUNTIFS($A:$A,A146,$C:$C,"정상")</f>
        <v>4</v>
      </c>
      <c r="G146" s="33">
        <f>IF(C146="정상",IF(F146&gt;0,E146/F146,0),0)</f>
        <v>0</v>
      </c>
      <c r="H146" s="29"/>
    </row>
    <row r="147" spans="1:8" ht="19.5" hidden="1" customHeight="1" outlineLevel="1">
      <c r="A147" s="24">
        <f>IF(21&lt;=DAY(DATE(YEAR(설정_코스수당!$K$2),MONTH(설정_코스수당!$K$2)+1,0)),DATE(YEAR(설정_코스수당!$K$2),MONTH(설정_코스수당!$K$2),21),"")</f>
        <v>46194</v>
      </c>
      <c r="B147" s="23" t="s">
        <v>147</v>
      </c>
      <c r="C147" s="23" t="s">
        <v>130</v>
      </c>
      <c r="D147" s="23">
        <f>COUNTIFS(실시간콜입력!$B:$B,A147,실시간콜입력!$E:$E,"B",실시간콜입력!$O:$O,"방문완료")</f>
        <v>0</v>
      </c>
      <c r="E147" s="27">
        <f>SUMIFS(실시간콜입력!$M:$M,실시간콜입력!$B:$B,A147,실시간콜입력!$O:$O,"방문완료")</f>
        <v>0</v>
      </c>
      <c r="F147" s="23">
        <f>COUNTIFS($A:$A,A147,$C:$C,"정상")</f>
        <v>4</v>
      </c>
      <c r="G147" s="27">
        <f>IF(C147="정상",IF(F147&gt;0,E147/F147,0),0)</f>
        <v>0</v>
      </c>
      <c r="H147" s="23"/>
    </row>
    <row r="148" spans="1:8" ht="19.5" hidden="1" customHeight="1" outlineLevel="1">
      <c r="A148" s="30">
        <f>IF(21&lt;=DAY(DATE(YEAR(설정_코스수당!$K$2),MONTH(설정_코스수당!$K$2)+1,0)),DATE(YEAR(설정_코스수당!$K$2),MONTH(설정_코스수당!$K$2),21),"")</f>
        <v>46194</v>
      </c>
      <c r="B148" s="29" t="s">
        <v>148</v>
      </c>
      <c r="C148" s="29" t="s">
        <v>130</v>
      </c>
      <c r="D148" s="29">
        <f>COUNTIFS(실시간콜입력!$B:$B,A148,실시간콜입력!$E:$E,"B",실시간콜입력!$O:$O,"방문완료")</f>
        <v>0</v>
      </c>
      <c r="E148" s="33">
        <f>SUMIFS(실시간콜입력!$M:$M,실시간콜입력!$B:$B,A148,실시간콜입력!$O:$O,"방문완료")</f>
        <v>0</v>
      </c>
      <c r="F148" s="29">
        <f>COUNTIFS($A:$A,A148,$C:$C,"정상")</f>
        <v>4</v>
      </c>
      <c r="G148" s="33">
        <f>IF(C148="정상",IF(F148&gt;0,E148/F148,0),0)</f>
        <v>0</v>
      </c>
      <c r="H148" s="29"/>
    </row>
    <row r="149" spans="1:8" ht="19.5" hidden="1" customHeight="1" outlineLevel="1">
      <c r="A149" s="24">
        <f>IF(21&lt;=DAY(DATE(YEAR(설정_코스수당!$K$2),MONTH(설정_코스수당!$K$2)+1,0)),DATE(YEAR(설정_코스수당!$K$2),MONTH(설정_코스수당!$K$2),21),"")</f>
        <v>46194</v>
      </c>
      <c r="B149" s="23" t="s">
        <v>149</v>
      </c>
      <c r="C149" s="23" t="s">
        <v>130</v>
      </c>
      <c r="D149" s="23">
        <f>COUNTIFS(실시간콜입력!$B:$B,A149,실시간콜입력!$E:$E,"B",실시간콜입력!$O:$O,"방문완료")</f>
        <v>0</v>
      </c>
      <c r="E149" s="27">
        <f>SUMIFS(실시간콜입력!$M:$M,실시간콜입력!$B:$B,A149,실시간콜입력!$O:$O,"방문완료")</f>
        <v>0</v>
      </c>
      <c r="F149" s="23">
        <f>COUNTIFS($A:$A,A149,$C:$C,"정상")</f>
        <v>4</v>
      </c>
      <c r="G149" s="27">
        <f>IF(C149="정상",IF(F149&gt;0,E149/F149,0),0)</f>
        <v>0</v>
      </c>
      <c r="H149" s="23"/>
    </row>
    <row r="150" spans="1:8" ht="19.5" hidden="1" customHeight="1" outlineLevel="1">
      <c r="A150" s="29"/>
      <c r="B150" s="29"/>
      <c r="C150" s="29"/>
      <c r="D150" s="29"/>
      <c r="E150" s="29"/>
      <c r="F150" s="29"/>
      <c r="G150" s="29"/>
      <c r="H150" s="29"/>
    </row>
    <row r="151" spans="1:8" ht="21.75" customHeight="1" collapsed="1">
      <c r="A151" s="148" t="str">
        <f>IF(22&lt;=DAY(DATE(YEAR(설정_코스수당!$K$2),MONTH(설정_코스수당!$K$2)+1,0)),TEXT(DATE(YEAR(설정_코스수당!$K$2),MONTH(설정_코스수당!$K$2),22),"yyyy-mm-dd")&amp;" 귀케어 정산","")</f>
        <v>2026-06-22 귀케어 정산</v>
      </c>
      <c r="B151" s="124"/>
      <c r="C151" s="124"/>
      <c r="D151" s="124"/>
      <c r="E151" s="124"/>
      <c r="F151" s="124"/>
      <c r="G151" s="124"/>
      <c r="H151" s="124"/>
    </row>
    <row r="152" spans="1:8" ht="19.5" hidden="1" customHeight="1" outlineLevel="1">
      <c r="A152" s="20" t="s">
        <v>42</v>
      </c>
      <c r="B152" s="20" t="s">
        <v>141</v>
      </c>
      <c r="C152" s="20" t="s">
        <v>142</v>
      </c>
      <c r="D152" s="20" t="s">
        <v>143</v>
      </c>
      <c r="E152" s="20" t="s">
        <v>144</v>
      </c>
      <c r="F152" s="20" t="s">
        <v>145</v>
      </c>
      <c r="G152" s="20" t="s">
        <v>146</v>
      </c>
      <c r="H152" s="20" t="s">
        <v>95</v>
      </c>
    </row>
    <row r="153" spans="1:8" ht="19.5" hidden="1" customHeight="1" outlineLevel="1">
      <c r="A153" s="24">
        <f>IF(22&lt;=DAY(DATE(YEAR(설정_코스수당!$K$2),MONTH(설정_코스수당!$K$2)+1,0)),DATE(YEAR(설정_코스수당!$K$2),MONTH(설정_코스수당!$K$2),22),"")</f>
        <v>46195</v>
      </c>
      <c r="B153" s="23" t="s">
        <v>66</v>
      </c>
      <c r="C153" s="23" t="s">
        <v>130</v>
      </c>
      <c r="D153" s="23">
        <f>COUNTIFS(실시간콜입력!$B:$B,A153,실시간콜입력!$E:$E,"B",실시간콜입력!$O:$O,"방문완료")</f>
        <v>0</v>
      </c>
      <c r="E153" s="27">
        <f>SUMIFS(실시간콜입력!$M:$M,실시간콜입력!$B:$B,A153,실시간콜입력!$O:$O,"방문완료")</f>
        <v>0</v>
      </c>
      <c r="F153" s="23">
        <f>COUNTIFS($A:$A,A153,$C:$C,"정상")</f>
        <v>4</v>
      </c>
      <c r="G153" s="27">
        <f>IF(C153="정상",IF(F153&gt;0,E153/F153,0),0)</f>
        <v>0</v>
      </c>
      <c r="H153" s="23"/>
    </row>
    <row r="154" spans="1:8" ht="19.5" hidden="1" customHeight="1" outlineLevel="1">
      <c r="A154" s="30">
        <f>IF(22&lt;=DAY(DATE(YEAR(설정_코스수당!$K$2),MONTH(설정_코스수당!$K$2)+1,0)),DATE(YEAR(설정_코스수당!$K$2),MONTH(설정_코스수당!$K$2),22),"")</f>
        <v>46195</v>
      </c>
      <c r="B154" s="29" t="s">
        <v>147</v>
      </c>
      <c r="C154" s="29" t="s">
        <v>130</v>
      </c>
      <c r="D154" s="29">
        <f>COUNTIFS(실시간콜입력!$B:$B,A154,실시간콜입력!$E:$E,"B",실시간콜입력!$O:$O,"방문완료")</f>
        <v>0</v>
      </c>
      <c r="E154" s="33">
        <f>SUMIFS(실시간콜입력!$M:$M,실시간콜입력!$B:$B,A154,실시간콜입력!$O:$O,"방문완료")</f>
        <v>0</v>
      </c>
      <c r="F154" s="29">
        <f>COUNTIFS($A:$A,A154,$C:$C,"정상")</f>
        <v>4</v>
      </c>
      <c r="G154" s="33">
        <f>IF(C154="정상",IF(F154&gt;0,E154/F154,0),0)</f>
        <v>0</v>
      </c>
      <c r="H154" s="29"/>
    </row>
    <row r="155" spans="1:8" ht="19.5" hidden="1" customHeight="1" outlineLevel="1">
      <c r="A155" s="24">
        <f>IF(22&lt;=DAY(DATE(YEAR(설정_코스수당!$K$2),MONTH(설정_코스수당!$K$2)+1,0)),DATE(YEAR(설정_코스수당!$K$2),MONTH(설정_코스수당!$K$2),22),"")</f>
        <v>46195</v>
      </c>
      <c r="B155" s="23" t="s">
        <v>148</v>
      </c>
      <c r="C155" s="23" t="s">
        <v>130</v>
      </c>
      <c r="D155" s="23">
        <f>COUNTIFS(실시간콜입력!$B:$B,A155,실시간콜입력!$E:$E,"B",실시간콜입력!$O:$O,"방문완료")</f>
        <v>0</v>
      </c>
      <c r="E155" s="27">
        <f>SUMIFS(실시간콜입력!$M:$M,실시간콜입력!$B:$B,A155,실시간콜입력!$O:$O,"방문완료")</f>
        <v>0</v>
      </c>
      <c r="F155" s="23">
        <f>COUNTIFS($A:$A,A155,$C:$C,"정상")</f>
        <v>4</v>
      </c>
      <c r="G155" s="27">
        <f>IF(C155="정상",IF(F155&gt;0,E155/F155,0),0)</f>
        <v>0</v>
      </c>
      <c r="H155" s="23"/>
    </row>
    <row r="156" spans="1:8" ht="19.5" hidden="1" customHeight="1" outlineLevel="1">
      <c r="A156" s="30">
        <f>IF(22&lt;=DAY(DATE(YEAR(설정_코스수당!$K$2),MONTH(설정_코스수당!$K$2)+1,0)),DATE(YEAR(설정_코스수당!$K$2),MONTH(설정_코스수당!$K$2),22),"")</f>
        <v>46195</v>
      </c>
      <c r="B156" s="29" t="s">
        <v>149</v>
      </c>
      <c r="C156" s="29" t="s">
        <v>130</v>
      </c>
      <c r="D156" s="29">
        <f>COUNTIFS(실시간콜입력!$B:$B,A156,실시간콜입력!$E:$E,"B",실시간콜입력!$O:$O,"방문완료")</f>
        <v>0</v>
      </c>
      <c r="E156" s="33">
        <f>SUMIFS(실시간콜입력!$M:$M,실시간콜입력!$B:$B,A156,실시간콜입력!$O:$O,"방문완료")</f>
        <v>0</v>
      </c>
      <c r="F156" s="29">
        <f>COUNTIFS($A:$A,A156,$C:$C,"정상")</f>
        <v>4</v>
      </c>
      <c r="G156" s="33">
        <f>IF(C156="정상",IF(F156&gt;0,E156/F156,0),0)</f>
        <v>0</v>
      </c>
      <c r="H156" s="29"/>
    </row>
    <row r="157" spans="1:8" ht="19.5" hidden="1" customHeight="1" outlineLevel="1">
      <c r="A157" s="23"/>
      <c r="B157" s="23"/>
      <c r="C157" s="23"/>
      <c r="D157" s="23"/>
      <c r="E157" s="23"/>
      <c r="F157" s="23"/>
      <c r="G157" s="23"/>
      <c r="H157" s="23"/>
    </row>
    <row r="158" spans="1:8" ht="21.75" customHeight="1" collapsed="1">
      <c r="A158" s="148" t="str">
        <f>IF(23&lt;=DAY(DATE(YEAR(설정_코스수당!$K$2),MONTH(설정_코스수당!$K$2)+1,0)),TEXT(DATE(YEAR(설정_코스수당!$K$2),MONTH(설정_코스수당!$K$2),23),"yyyy-mm-dd")&amp;" 귀케어 정산","")</f>
        <v>2026-06-23 귀케어 정산</v>
      </c>
      <c r="B158" s="124"/>
      <c r="C158" s="124"/>
      <c r="D158" s="124"/>
      <c r="E158" s="124"/>
      <c r="F158" s="124"/>
      <c r="G158" s="124"/>
      <c r="H158" s="124"/>
    </row>
    <row r="159" spans="1:8" ht="19.5" hidden="1" customHeight="1" outlineLevel="1">
      <c r="A159" s="20" t="s">
        <v>42</v>
      </c>
      <c r="B159" s="20" t="s">
        <v>141</v>
      </c>
      <c r="C159" s="20" t="s">
        <v>142</v>
      </c>
      <c r="D159" s="20" t="s">
        <v>143</v>
      </c>
      <c r="E159" s="20" t="s">
        <v>144</v>
      </c>
      <c r="F159" s="20" t="s">
        <v>145</v>
      </c>
      <c r="G159" s="20" t="s">
        <v>146</v>
      </c>
      <c r="H159" s="20" t="s">
        <v>95</v>
      </c>
    </row>
    <row r="160" spans="1:8" ht="19.5" hidden="1" customHeight="1" outlineLevel="1">
      <c r="A160" s="30">
        <f>IF(23&lt;=DAY(DATE(YEAR(설정_코스수당!$K$2),MONTH(설정_코스수당!$K$2)+1,0)),DATE(YEAR(설정_코스수당!$K$2),MONTH(설정_코스수당!$K$2),23),"")</f>
        <v>46196</v>
      </c>
      <c r="B160" s="29" t="s">
        <v>66</v>
      </c>
      <c r="C160" s="29" t="s">
        <v>130</v>
      </c>
      <c r="D160" s="29">
        <f>COUNTIFS(실시간콜입력!$B:$B,A160,실시간콜입력!$E:$E,"B",실시간콜입력!$O:$O,"방문완료")</f>
        <v>0</v>
      </c>
      <c r="E160" s="33">
        <f>SUMIFS(실시간콜입력!$M:$M,실시간콜입력!$B:$B,A160,실시간콜입력!$O:$O,"방문완료")</f>
        <v>0</v>
      </c>
      <c r="F160" s="29">
        <f>COUNTIFS($A:$A,A160,$C:$C,"정상")</f>
        <v>4</v>
      </c>
      <c r="G160" s="33">
        <f>IF(C160="정상",IF(F160&gt;0,E160/F160,0),0)</f>
        <v>0</v>
      </c>
      <c r="H160" s="29"/>
    </row>
    <row r="161" spans="1:8" ht="19.5" hidden="1" customHeight="1" outlineLevel="1">
      <c r="A161" s="24">
        <f>IF(23&lt;=DAY(DATE(YEAR(설정_코스수당!$K$2),MONTH(설정_코스수당!$K$2)+1,0)),DATE(YEAR(설정_코스수당!$K$2),MONTH(설정_코스수당!$K$2),23),"")</f>
        <v>46196</v>
      </c>
      <c r="B161" s="23" t="s">
        <v>147</v>
      </c>
      <c r="C161" s="23" t="s">
        <v>130</v>
      </c>
      <c r="D161" s="23">
        <f>COUNTIFS(실시간콜입력!$B:$B,A161,실시간콜입력!$E:$E,"B",실시간콜입력!$O:$O,"방문완료")</f>
        <v>0</v>
      </c>
      <c r="E161" s="27">
        <f>SUMIFS(실시간콜입력!$M:$M,실시간콜입력!$B:$B,A161,실시간콜입력!$O:$O,"방문완료")</f>
        <v>0</v>
      </c>
      <c r="F161" s="23">
        <f>COUNTIFS($A:$A,A161,$C:$C,"정상")</f>
        <v>4</v>
      </c>
      <c r="G161" s="27">
        <f>IF(C161="정상",IF(F161&gt;0,E161/F161,0),0)</f>
        <v>0</v>
      </c>
      <c r="H161" s="23"/>
    </row>
    <row r="162" spans="1:8" ht="19.5" hidden="1" customHeight="1" outlineLevel="1">
      <c r="A162" s="30">
        <f>IF(23&lt;=DAY(DATE(YEAR(설정_코스수당!$K$2),MONTH(설정_코스수당!$K$2)+1,0)),DATE(YEAR(설정_코스수당!$K$2),MONTH(설정_코스수당!$K$2),23),"")</f>
        <v>46196</v>
      </c>
      <c r="B162" s="29" t="s">
        <v>148</v>
      </c>
      <c r="C162" s="29" t="s">
        <v>130</v>
      </c>
      <c r="D162" s="29">
        <f>COUNTIFS(실시간콜입력!$B:$B,A162,실시간콜입력!$E:$E,"B",실시간콜입력!$O:$O,"방문완료")</f>
        <v>0</v>
      </c>
      <c r="E162" s="33">
        <f>SUMIFS(실시간콜입력!$M:$M,실시간콜입력!$B:$B,A162,실시간콜입력!$O:$O,"방문완료")</f>
        <v>0</v>
      </c>
      <c r="F162" s="29">
        <f>COUNTIFS($A:$A,A162,$C:$C,"정상")</f>
        <v>4</v>
      </c>
      <c r="G162" s="33">
        <f>IF(C162="정상",IF(F162&gt;0,E162/F162,0),0)</f>
        <v>0</v>
      </c>
      <c r="H162" s="29"/>
    </row>
    <row r="163" spans="1:8" ht="19.5" hidden="1" customHeight="1" outlineLevel="1">
      <c r="A163" s="24">
        <f>IF(23&lt;=DAY(DATE(YEAR(설정_코스수당!$K$2),MONTH(설정_코스수당!$K$2)+1,0)),DATE(YEAR(설정_코스수당!$K$2),MONTH(설정_코스수당!$K$2),23),"")</f>
        <v>46196</v>
      </c>
      <c r="B163" s="23" t="s">
        <v>149</v>
      </c>
      <c r="C163" s="23" t="s">
        <v>130</v>
      </c>
      <c r="D163" s="23">
        <f>COUNTIFS(실시간콜입력!$B:$B,A163,실시간콜입력!$E:$E,"B",실시간콜입력!$O:$O,"방문완료")</f>
        <v>0</v>
      </c>
      <c r="E163" s="27">
        <f>SUMIFS(실시간콜입력!$M:$M,실시간콜입력!$B:$B,A163,실시간콜입력!$O:$O,"방문완료")</f>
        <v>0</v>
      </c>
      <c r="F163" s="23">
        <f>COUNTIFS($A:$A,A163,$C:$C,"정상")</f>
        <v>4</v>
      </c>
      <c r="G163" s="27">
        <f>IF(C163="정상",IF(F163&gt;0,E163/F163,0),0)</f>
        <v>0</v>
      </c>
      <c r="H163" s="23"/>
    </row>
    <row r="164" spans="1:8" ht="19.5" hidden="1" customHeight="1" outlineLevel="1">
      <c r="A164" s="29"/>
      <c r="B164" s="29"/>
      <c r="C164" s="29"/>
      <c r="D164" s="29"/>
      <c r="E164" s="29"/>
      <c r="F164" s="29"/>
      <c r="G164" s="29"/>
      <c r="H164" s="29"/>
    </row>
    <row r="165" spans="1:8" ht="21.75" customHeight="1" collapsed="1">
      <c r="A165" s="148" t="str">
        <f>IF(24&lt;=DAY(DATE(YEAR(설정_코스수당!$K$2),MONTH(설정_코스수당!$K$2)+1,0)),TEXT(DATE(YEAR(설정_코스수당!$K$2),MONTH(설정_코스수당!$K$2),24),"yyyy-mm-dd")&amp;" 귀케어 정산","")</f>
        <v>2026-06-24 귀케어 정산</v>
      </c>
      <c r="B165" s="124"/>
      <c r="C165" s="124"/>
      <c r="D165" s="124"/>
      <c r="E165" s="124"/>
      <c r="F165" s="124"/>
      <c r="G165" s="124"/>
      <c r="H165" s="124"/>
    </row>
    <row r="166" spans="1:8" ht="19.5" hidden="1" customHeight="1" outlineLevel="1">
      <c r="A166" s="20" t="s">
        <v>42</v>
      </c>
      <c r="B166" s="20" t="s">
        <v>141</v>
      </c>
      <c r="C166" s="20" t="s">
        <v>142</v>
      </c>
      <c r="D166" s="20" t="s">
        <v>143</v>
      </c>
      <c r="E166" s="20" t="s">
        <v>144</v>
      </c>
      <c r="F166" s="20" t="s">
        <v>145</v>
      </c>
      <c r="G166" s="20" t="s">
        <v>146</v>
      </c>
      <c r="H166" s="20" t="s">
        <v>95</v>
      </c>
    </row>
    <row r="167" spans="1:8" ht="19.5" hidden="1" customHeight="1" outlineLevel="1">
      <c r="A167" s="24">
        <f>IF(24&lt;=DAY(DATE(YEAR(설정_코스수당!$K$2),MONTH(설정_코스수당!$K$2)+1,0)),DATE(YEAR(설정_코스수당!$K$2),MONTH(설정_코스수당!$K$2),24),"")</f>
        <v>46197</v>
      </c>
      <c r="B167" s="23" t="s">
        <v>66</v>
      </c>
      <c r="C167" s="23" t="s">
        <v>130</v>
      </c>
      <c r="D167" s="23">
        <f>COUNTIFS(실시간콜입력!$B:$B,A167,실시간콜입력!$E:$E,"B",실시간콜입력!$O:$O,"방문완료")</f>
        <v>0</v>
      </c>
      <c r="E167" s="27">
        <f>SUMIFS(실시간콜입력!$M:$M,실시간콜입력!$B:$B,A167,실시간콜입력!$O:$O,"방문완료")</f>
        <v>0</v>
      </c>
      <c r="F167" s="23">
        <f>COUNTIFS($A:$A,A167,$C:$C,"정상")</f>
        <v>4</v>
      </c>
      <c r="G167" s="27">
        <f>IF(C167="정상",IF(F167&gt;0,E167/F167,0),0)</f>
        <v>0</v>
      </c>
      <c r="H167" s="23"/>
    </row>
    <row r="168" spans="1:8" ht="19.5" hidden="1" customHeight="1" outlineLevel="1">
      <c r="A168" s="30">
        <f>IF(24&lt;=DAY(DATE(YEAR(설정_코스수당!$K$2),MONTH(설정_코스수당!$K$2)+1,0)),DATE(YEAR(설정_코스수당!$K$2),MONTH(설정_코스수당!$K$2),24),"")</f>
        <v>46197</v>
      </c>
      <c r="B168" s="29" t="s">
        <v>147</v>
      </c>
      <c r="C168" s="29" t="s">
        <v>130</v>
      </c>
      <c r="D168" s="29">
        <f>COUNTIFS(실시간콜입력!$B:$B,A168,실시간콜입력!$E:$E,"B",실시간콜입력!$O:$O,"방문완료")</f>
        <v>0</v>
      </c>
      <c r="E168" s="33">
        <f>SUMIFS(실시간콜입력!$M:$M,실시간콜입력!$B:$B,A168,실시간콜입력!$O:$O,"방문완료")</f>
        <v>0</v>
      </c>
      <c r="F168" s="29">
        <f>COUNTIFS($A:$A,A168,$C:$C,"정상")</f>
        <v>4</v>
      </c>
      <c r="G168" s="33">
        <f>IF(C168="정상",IF(F168&gt;0,E168/F168,0),0)</f>
        <v>0</v>
      </c>
      <c r="H168" s="29"/>
    </row>
    <row r="169" spans="1:8" ht="19.5" hidden="1" customHeight="1" outlineLevel="1">
      <c r="A169" s="24">
        <f>IF(24&lt;=DAY(DATE(YEAR(설정_코스수당!$K$2),MONTH(설정_코스수당!$K$2)+1,0)),DATE(YEAR(설정_코스수당!$K$2),MONTH(설정_코스수당!$K$2),24),"")</f>
        <v>46197</v>
      </c>
      <c r="B169" s="23" t="s">
        <v>148</v>
      </c>
      <c r="C169" s="23" t="s">
        <v>130</v>
      </c>
      <c r="D169" s="23">
        <f>COUNTIFS(실시간콜입력!$B:$B,A169,실시간콜입력!$E:$E,"B",실시간콜입력!$O:$O,"방문완료")</f>
        <v>0</v>
      </c>
      <c r="E169" s="27">
        <f>SUMIFS(실시간콜입력!$M:$M,실시간콜입력!$B:$B,A169,실시간콜입력!$O:$O,"방문완료")</f>
        <v>0</v>
      </c>
      <c r="F169" s="23">
        <f>COUNTIFS($A:$A,A169,$C:$C,"정상")</f>
        <v>4</v>
      </c>
      <c r="G169" s="27">
        <f>IF(C169="정상",IF(F169&gt;0,E169/F169,0),0)</f>
        <v>0</v>
      </c>
      <c r="H169" s="23"/>
    </row>
    <row r="170" spans="1:8" ht="19.5" hidden="1" customHeight="1" outlineLevel="1">
      <c r="A170" s="30">
        <f>IF(24&lt;=DAY(DATE(YEAR(설정_코스수당!$K$2),MONTH(설정_코스수당!$K$2)+1,0)),DATE(YEAR(설정_코스수당!$K$2),MONTH(설정_코스수당!$K$2),24),"")</f>
        <v>46197</v>
      </c>
      <c r="B170" s="29" t="s">
        <v>149</v>
      </c>
      <c r="C170" s="29" t="s">
        <v>130</v>
      </c>
      <c r="D170" s="29">
        <f>COUNTIFS(실시간콜입력!$B:$B,A170,실시간콜입력!$E:$E,"B",실시간콜입력!$O:$O,"방문완료")</f>
        <v>0</v>
      </c>
      <c r="E170" s="33">
        <f>SUMIFS(실시간콜입력!$M:$M,실시간콜입력!$B:$B,A170,실시간콜입력!$O:$O,"방문완료")</f>
        <v>0</v>
      </c>
      <c r="F170" s="29">
        <f>COUNTIFS($A:$A,A170,$C:$C,"정상")</f>
        <v>4</v>
      </c>
      <c r="G170" s="33">
        <f>IF(C170="정상",IF(F170&gt;0,E170/F170,0),0)</f>
        <v>0</v>
      </c>
      <c r="H170" s="29"/>
    </row>
    <row r="171" spans="1:8" ht="19.5" hidden="1" customHeight="1" outlineLevel="1">
      <c r="A171" s="23"/>
      <c r="B171" s="23"/>
      <c r="C171" s="23"/>
      <c r="D171" s="23"/>
      <c r="E171" s="23"/>
      <c r="F171" s="23"/>
      <c r="G171" s="23"/>
      <c r="H171" s="23"/>
    </row>
    <row r="172" spans="1:8" ht="21.75" customHeight="1" collapsed="1">
      <c r="A172" s="148" t="str">
        <f>IF(25&lt;=DAY(DATE(YEAR(설정_코스수당!$K$2),MONTH(설정_코스수당!$K$2)+1,0)),TEXT(DATE(YEAR(설정_코스수당!$K$2),MONTH(설정_코스수당!$K$2),25),"yyyy-mm-dd")&amp;" 귀케어 정산","")</f>
        <v>2026-06-25 귀케어 정산</v>
      </c>
      <c r="B172" s="124"/>
      <c r="C172" s="124"/>
      <c r="D172" s="124"/>
      <c r="E172" s="124"/>
      <c r="F172" s="124"/>
      <c r="G172" s="124"/>
      <c r="H172" s="124"/>
    </row>
    <row r="173" spans="1:8" ht="19.5" hidden="1" customHeight="1" outlineLevel="1">
      <c r="A173" s="20" t="s">
        <v>42</v>
      </c>
      <c r="B173" s="20" t="s">
        <v>141</v>
      </c>
      <c r="C173" s="20" t="s">
        <v>142</v>
      </c>
      <c r="D173" s="20" t="s">
        <v>143</v>
      </c>
      <c r="E173" s="20" t="s">
        <v>144</v>
      </c>
      <c r="F173" s="20" t="s">
        <v>145</v>
      </c>
      <c r="G173" s="20" t="s">
        <v>146</v>
      </c>
      <c r="H173" s="20" t="s">
        <v>95</v>
      </c>
    </row>
    <row r="174" spans="1:8" ht="19.5" hidden="1" customHeight="1" outlineLevel="1">
      <c r="A174" s="30">
        <f>IF(25&lt;=DAY(DATE(YEAR(설정_코스수당!$K$2),MONTH(설정_코스수당!$K$2)+1,0)),DATE(YEAR(설정_코스수당!$K$2),MONTH(설정_코스수당!$K$2),25),"")</f>
        <v>46198</v>
      </c>
      <c r="B174" s="29" t="s">
        <v>66</v>
      </c>
      <c r="C174" s="29" t="s">
        <v>130</v>
      </c>
      <c r="D174" s="29">
        <f>COUNTIFS(실시간콜입력!$B:$B,A174,실시간콜입력!$E:$E,"B",실시간콜입력!$O:$O,"방문완료")</f>
        <v>0</v>
      </c>
      <c r="E174" s="33">
        <f>SUMIFS(실시간콜입력!$M:$M,실시간콜입력!$B:$B,A174,실시간콜입력!$O:$O,"방문완료")</f>
        <v>0</v>
      </c>
      <c r="F174" s="29">
        <f>COUNTIFS($A:$A,A174,$C:$C,"정상")</f>
        <v>4</v>
      </c>
      <c r="G174" s="33">
        <f>IF(C174="정상",IF(F174&gt;0,E174/F174,0),0)</f>
        <v>0</v>
      </c>
      <c r="H174" s="29"/>
    </row>
    <row r="175" spans="1:8" ht="19.5" hidden="1" customHeight="1" outlineLevel="1">
      <c r="A175" s="24">
        <f>IF(25&lt;=DAY(DATE(YEAR(설정_코스수당!$K$2),MONTH(설정_코스수당!$K$2)+1,0)),DATE(YEAR(설정_코스수당!$K$2),MONTH(설정_코스수당!$K$2),25),"")</f>
        <v>46198</v>
      </c>
      <c r="B175" s="23" t="s">
        <v>147</v>
      </c>
      <c r="C175" s="23" t="s">
        <v>130</v>
      </c>
      <c r="D175" s="23">
        <f>COUNTIFS(실시간콜입력!$B:$B,A175,실시간콜입력!$E:$E,"B",실시간콜입력!$O:$O,"방문완료")</f>
        <v>0</v>
      </c>
      <c r="E175" s="27">
        <f>SUMIFS(실시간콜입력!$M:$M,실시간콜입력!$B:$B,A175,실시간콜입력!$O:$O,"방문완료")</f>
        <v>0</v>
      </c>
      <c r="F175" s="23">
        <f>COUNTIFS($A:$A,A175,$C:$C,"정상")</f>
        <v>4</v>
      </c>
      <c r="G175" s="27">
        <f>IF(C175="정상",IF(F175&gt;0,E175/F175,0),0)</f>
        <v>0</v>
      </c>
      <c r="H175" s="23"/>
    </row>
    <row r="176" spans="1:8" ht="19.5" hidden="1" customHeight="1" outlineLevel="1">
      <c r="A176" s="30">
        <f>IF(25&lt;=DAY(DATE(YEAR(설정_코스수당!$K$2),MONTH(설정_코스수당!$K$2)+1,0)),DATE(YEAR(설정_코스수당!$K$2),MONTH(설정_코스수당!$K$2),25),"")</f>
        <v>46198</v>
      </c>
      <c r="B176" s="29" t="s">
        <v>148</v>
      </c>
      <c r="C176" s="29" t="s">
        <v>130</v>
      </c>
      <c r="D176" s="29">
        <f>COUNTIFS(실시간콜입력!$B:$B,A176,실시간콜입력!$E:$E,"B",실시간콜입력!$O:$O,"방문완료")</f>
        <v>0</v>
      </c>
      <c r="E176" s="33">
        <f>SUMIFS(실시간콜입력!$M:$M,실시간콜입력!$B:$B,A176,실시간콜입력!$O:$O,"방문완료")</f>
        <v>0</v>
      </c>
      <c r="F176" s="29">
        <f>COUNTIFS($A:$A,A176,$C:$C,"정상")</f>
        <v>4</v>
      </c>
      <c r="G176" s="33">
        <f>IF(C176="정상",IF(F176&gt;0,E176/F176,0),0)</f>
        <v>0</v>
      </c>
      <c r="H176" s="29"/>
    </row>
    <row r="177" spans="1:8" ht="19.5" hidden="1" customHeight="1" outlineLevel="1">
      <c r="A177" s="24">
        <f>IF(25&lt;=DAY(DATE(YEAR(설정_코스수당!$K$2),MONTH(설정_코스수당!$K$2)+1,0)),DATE(YEAR(설정_코스수당!$K$2),MONTH(설정_코스수당!$K$2),25),"")</f>
        <v>46198</v>
      </c>
      <c r="B177" s="23" t="s">
        <v>149</v>
      </c>
      <c r="C177" s="23" t="s">
        <v>130</v>
      </c>
      <c r="D177" s="23">
        <f>COUNTIFS(실시간콜입력!$B:$B,A177,실시간콜입력!$E:$E,"B",실시간콜입력!$O:$O,"방문완료")</f>
        <v>0</v>
      </c>
      <c r="E177" s="27">
        <f>SUMIFS(실시간콜입력!$M:$M,실시간콜입력!$B:$B,A177,실시간콜입력!$O:$O,"방문완료")</f>
        <v>0</v>
      </c>
      <c r="F177" s="23">
        <f>COUNTIFS($A:$A,A177,$C:$C,"정상")</f>
        <v>4</v>
      </c>
      <c r="G177" s="27">
        <f>IF(C177="정상",IF(F177&gt;0,E177/F177,0),0)</f>
        <v>0</v>
      </c>
      <c r="H177" s="23"/>
    </row>
    <row r="178" spans="1:8" ht="19.5" hidden="1" customHeight="1" outlineLevel="1">
      <c r="A178" s="29"/>
      <c r="B178" s="29"/>
      <c r="C178" s="29"/>
      <c r="D178" s="29"/>
      <c r="E178" s="29"/>
      <c r="F178" s="29"/>
      <c r="G178" s="29"/>
      <c r="H178" s="29"/>
    </row>
    <row r="179" spans="1:8" ht="21.75" customHeight="1" collapsed="1">
      <c r="A179" s="148" t="str">
        <f>IF(26&lt;=DAY(DATE(YEAR(설정_코스수당!$K$2),MONTH(설정_코스수당!$K$2)+1,0)),TEXT(DATE(YEAR(설정_코스수당!$K$2),MONTH(설정_코스수당!$K$2),26),"yyyy-mm-dd")&amp;" 귀케어 정산","")</f>
        <v>2026-06-26 귀케어 정산</v>
      </c>
      <c r="B179" s="124"/>
      <c r="C179" s="124"/>
      <c r="D179" s="124"/>
      <c r="E179" s="124"/>
      <c r="F179" s="124"/>
      <c r="G179" s="124"/>
      <c r="H179" s="124"/>
    </row>
    <row r="180" spans="1:8" ht="19.5" hidden="1" customHeight="1" outlineLevel="1">
      <c r="A180" s="20" t="s">
        <v>42</v>
      </c>
      <c r="B180" s="20" t="s">
        <v>141</v>
      </c>
      <c r="C180" s="20" t="s">
        <v>142</v>
      </c>
      <c r="D180" s="20" t="s">
        <v>143</v>
      </c>
      <c r="E180" s="20" t="s">
        <v>144</v>
      </c>
      <c r="F180" s="20" t="s">
        <v>145</v>
      </c>
      <c r="G180" s="20" t="s">
        <v>146</v>
      </c>
      <c r="H180" s="20" t="s">
        <v>95</v>
      </c>
    </row>
    <row r="181" spans="1:8" ht="19.5" hidden="1" customHeight="1" outlineLevel="1">
      <c r="A181" s="24">
        <f>IF(26&lt;=DAY(DATE(YEAR(설정_코스수당!$K$2),MONTH(설정_코스수당!$K$2)+1,0)),DATE(YEAR(설정_코스수당!$K$2),MONTH(설정_코스수당!$K$2),26),"")</f>
        <v>46199</v>
      </c>
      <c r="B181" s="23" t="s">
        <v>66</v>
      </c>
      <c r="C181" s="23" t="s">
        <v>130</v>
      </c>
      <c r="D181" s="23">
        <f>COUNTIFS(실시간콜입력!$B:$B,A181,실시간콜입력!$E:$E,"B",실시간콜입력!$O:$O,"방문완료")</f>
        <v>0</v>
      </c>
      <c r="E181" s="27">
        <f>SUMIFS(실시간콜입력!$M:$M,실시간콜입력!$B:$B,A181,실시간콜입력!$O:$O,"방문완료")</f>
        <v>0</v>
      </c>
      <c r="F181" s="23">
        <f>COUNTIFS($A:$A,A181,$C:$C,"정상")</f>
        <v>4</v>
      </c>
      <c r="G181" s="27">
        <f>IF(C181="정상",IF(F181&gt;0,E181/F181,0),0)</f>
        <v>0</v>
      </c>
      <c r="H181" s="23"/>
    </row>
    <row r="182" spans="1:8" ht="19.5" hidden="1" customHeight="1" outlineLevel="1">
      <c r="A182" s="30">
        <f>IF(26&lt;=DAY(DATE(YEAR(설정_코스수당!$K$2),MONTH(설정_코스수당!$K$2)+1,0)),DATE(YEAR(설정_코스수당!$K$2),MONTH(설정_코스수당!$K$2),26),"")</f>
        <v>46199</v>
      </c>
      <c r="B182" s="29" t="s">
        <v>147</v>
      </c>
      <c r="C182" s="29" t="s">
        <v>130</v>
      </c>
      <c r="D182" s="29">
        <f>COUNTIFS(실시간콜입력!$B:$B,A182,실시간콜입력!$E:$E,"B",실시간콜입력!$O:$O,"방문완료")</f>
        <v>0</v>
      </c>
      <c r="E182" s="33">
        <f>SUMIFS(실시간콜입력!$M:$M,실시간콜입력!$B:$B,A182,실시간콜입력!$O:$O,"방문완료")</f>
        <v>0</v>
      </c>
      <c r="F182" s="29">
        <f>COUNTIFS($A:$A,A182,$C:$C,"정상")</f>
        <v>4</v>
      </c>
      <c r="G182" s="33">
        <f>IF(C182="정상",IF(F182&gt;0,E182/F182,0),0)</f>
        <v>0</v>
      </c>
      <c r="H182" s="29"/>
    </row>
    <row r="183" spans="1:8" ht="19.5" hidden="1" customHeight="1" outlineLevel="1">
      <c r="A183" s="24">
        <f>IF(26&lt;=DAY(DATE(YEAR(설정_코스수당!$K$2),MONTH(설정_코스수당!$K$2)+1,0)),DATE(YEAR(설정_코스수당!$K$2),MONTH(설정_코스수당!$K$2),26),"")</f>
        <v>46199</v>
      </c>
      <c r="B183" s="23" t="s">
        <v>148</v>
      </c>
      <c r="C183" s="23" t="s">
        <v>130</v>
      </c>
      <c r="D183" s="23">
        <f>COUNTIFS(실시간콜입력!$B:$B,A183,실시간콜입력!$E:$E,"B",실시간콜입력!$O:$O,"방문완료")</f>
        <v>0</v>
      </c>
      <c r="E183" s="27">
        <f>SUMIFS(실시간콜입력!$M:$M,실시간콜입력!$B:$B,A183,실시간콜입력!$O:$O,"방문완료")</f>
        <v>0</v>
      </c>
      <c r="F183" s="23">
        <f>COUNTIFS($A:$A,A183,$C:$C,"정상")</f>
        <v>4</v>
      </c>
      <c r="G183" s="27">
        <f>IF(C183="정상",IF(F183&gt;0,E183/F183,0),0)</f>
        <v>0</v>
      </c>
      <c r="H183" s="23"/>
    </row>
    <row r="184" spans="1:8" ht="19.5" hidden="1" customHeight="1" outlineLevel="1">
      <c r="A184" s="30">
        <f>IF(26&lt;=DAY(DATE(YEAR(설정_코스수당!$K$2),MONTH(설정_코스수당!$K$2)+1,0)),DATE(YEAR(설정_코스수당!$K$2),MONTH(설정_코스수당!$K$2),26),"")</f>
        <v>46199</v>
      </c>
      <c r="B184" s="29" t="s">
        <v>149</v>
      </c>
      <c r="C184" s="29" t="s">
        <v>130</v>
      </c>
      <c r="D184" s="29">
        <f>COUNTIFS(실시간콜입력!$B:$B,A184,실시간콜입력!$E:$E,"B",실시간콜입력!$O:$O,"방문완료")</f>
        <v>0</v>
      </c>
      <c r="E184" s="33">
        <f>SUMIFS(실시간콜입력!$M:$M,실시간콜입력!$B:$B,A184,실시간콜입력!$O:$O,"방문완료")</f>
        <v>0</v>
      </c>
      <c r="F184" s="29">
        <f>COUNTIFS($A:$A,A184,$C:$C,"정상")</f>
        <v>4</v>
      </c>
      <c r="G184" s="33">
        <f>IF(C184="정상",IF(F184&gt;0,E184/F184,0),0)</f>
        <v>0</v>
      </c>
      <c r="H184" s="29"/>
    </row>
    <row r="185" spans="1:8" ht="19.5" hidden="1" customHeight="1" outlineLevel="1">
      <c r="A185" s="23"/>
      <c r="B185" s="23"/>
      <c r="C185" s="23"/>
      <c r="D185" s="23"/>
      <c r="E185" s="23"/>
      <c r="F185" s="23"/>
      <c r="G185" s="23"/>
      <c r="H185" s="23"/>
    </row>
    <row r="186" spans="1:8" ht="21.75" customHeight="1" collapsed="1">
      <c r="A186" s="148" t="str">
        <f>IF(27&lt;=DAY(DATE(YEAR(설정_코스수당!$K$2),MONTH(설정_코스수당!$K$2)+1,0)),TEXT(DATE(YEAR(설정_코스수당!$K$2),MONTH(설정_코스수당!$K$2),27),"yyyy-mm-dd")&amp;" 귀케어 정산","")</f>
        <v>2026-06-27 귀케어 정산</v>
      </c>
      <c r="B186" s="124"/>
      <c r="C186" s="124"/>
      <c r="D186" s="124"/>
      <c r="E186" s="124"/>
      <c r="F186" s="124"/>
      <c r="G186" s="124"/>
      <c r="H186" s="124"/>
    </row>
    <row r="187" spans="1:8" ht="19.5" hidden="1" customHeight="1" outlineLevel="1">
      <c r="A187" s="20" t="s">
        <v>42</v>
      </c>
      <c r="B187" s="20" t="s">
        <v>141</v>
      </c>
      <c r="C187" s="20" t="s">
        <v>142</v>
      </c>
      <c r="D187" s="20" t="s">
        <v>143</v>
      </c>
      <c r="E187" s="20" t="s">
        <v>144</v>
      </c>
      <c r="F187" s="20" t="s">
        <v>145</v>
      </c>
      <c r="G187" s="20" t="s">
        <v>146</v>
      </c>
      <c r="H187" s="20" t="s">
        <v>95</v>
      </c>
    </row>
    <row r="188" spans="1:8" ht="19.5" hidden="1" customHeight="1" outlineLevel="1">
      <c r="A188" s="30">
        <f>IF(27&lt;=DAY(DATE(YEAR(설정_코스수당!$K$2),MONTH(설정_코스수당!$K$2)+1,0)),DATE(YEAR(설정_코스수당!$K$2),MONTH(설정_코스수당!$K$2),27),"")</f>
        <v>46200</v>
      </c>
      <c r="B188" s="29" t="s">
        <v>66</v>
      </c>
      <c r="C188" s="29" t="s">
        <v>130</v>
      </c>
      <c r="D188" s="29">
        <f>COUNTIFS(실시간콜입력!$B:$B,A188,실시간콜입력!$E:$E,"B",실시간콜입력!$O:$O,"방문완료")</f>
        <v>0</v>
      </c>
      <c r="E188" s="33">
        <f>SUMIFS(실시간콜입력!$M:$M,실시간콜입력!$B:$B,A188,실시간콜입력!$O:$O,"방문완료")</f>
        <v>0</v>
      </c>
      <c r="F188" s="29">
        <f>COUNTIFS($A:$A,A188,$C:$C,"정상")</f>
        <v>4</v>
      </c>
      <c r="G188" s="33">
        <f>IF(C188="정상",IF(F188&gt;0,E188/F188,0),0)</f>
        <v>0</v>
      </c>
      <c r="H188" s="29"/>
    </row>
    <row r="189" spans="1:8" ht="19.5" hidden="1" customHeight="1" outlineLevel="1">
      <c r="A189" s="24">
        <f>IF(27&lt;=DAY(DATE(YEAR(설정_코스수당!$K$2),MONTH(설정_코스수당!$K$2)+1,0)),DATE(YEAR(설정_코스수당!$K$2),MONTH(설정_코스수당!$K$2),27),"")</f>
        <v>46200</v>
      </c>
      <c r="B189" s="23" t="s">
        <v>147</v>
      </c>
      <c r="C189" s="23" t="s">
        <v>130</v>
      </c>
      <c r="D189" s="23">
        <f>COUNTIFS(실시간콜입력!$B:$B,A189,실시간콜입력!$E:$E,"B",실시간콜입력!$O:$O,"방문완료")</f>
        <v>0</v>
      </c>
      <c r="E189" s="27">
        <f>SUMIFS(실시간콜입력!$M:$M,실시간콜입력!$B:$B,A189,실시간콜입력!$O:$O,"방문완료")</f>
        <v>0</v>
      </c>
      <c r="F189" s="23">
        <f>COUNTIFS($A:$A,A189,$C:$C,"정상")</f>
        <v>4</v>
      </c>
      <c r="G189" s="27">
        <f>IF(C189="정상",IF(F189&gt;0,E189/F189,0),0)</f>
        <v>0</v>
      </c>
      <c r="H189" s="23"/>
    </row>
    <row r="190" spans="1:8" ht="19.5" hidden="1" customHeight="1" outlineLevel="1">
      <c r="A190" s="30">
        <f>IF(27&lt;=DAY(DATE(YEAR(설정_코스수당!$K$2),MONTH(설정_코스수당!$K$2)+1,0)),DATE(YEAR(설정_코스수당!$K$2),MONTH(설정_코스수당!$K$2),27),"")</f>
        <v>46200</v>
      </c>
      <c r="B190" s="29" t="s">
        <v>148</v>
      </c>
      <c r="C190" s="29" t="s">
        <v>130</v>
      </c>
      <c r="D190" s="29">
        <f>COUNTIFS(실시간콜입력!$B:$B,A190,실시간콜입력!$E:$E,"B",실시간콜입력!$O:$O,"방문완료")</f>
        <v>0</v>
      </c>
      <c r="E190" s="33">
        <f>SUMIFS(실시간콜입력!$M:$M,실시간콜입력!$B:$B,A190,실시간콜입력!$O:$O,"방문완료")</f>
        <v>0</v>
      </c>
      <c r="F190" s="29">
        <f>COUNTIFS($A:$A,A190,$C:$C,"정상")</f>
        <v>4</v>
      </c>
      <c r="G190" s="33">
        <f>IF(C190="정상",IF(F190&gt;0,E190/F190,0),0)</f>
        <v>0</v>
      </c>
      <c r="H190" s="29"/>
    </row>
    <row r="191" spans="1:8" ht="19.5" hidden="1" customHeight="1" outlineLevel="1">
      <c r="A191" s="24">
        <f>IF(27&lt;=DAY(DATE(YEAR(설정_코스수당!$K$2),MONTH(설정_코스수당!$K$2)+1,0)),DATE(YEAR(설정_코스수당!$K$2),MONTH(설정_코스수당!$K$2),27),"")</f>
        <v>46200</v>
      </c>
      <c r="B191" s="23" t="s">
        <v>149</v>
      </c>
      <c r="C191" s="23" t="s">
        <v>130</v>
      </c>
      <c r="D191" s="23">
        <f>COUNTIFS(실시간콜입력!$B:$B,A191,실시간콜입력!$E:$E,"B",실시간콜입력!$O:$O,"방문완료")</f>
        <v>0</v>
      </c>
      <c r="E191" s="27">
        <f>SUMIFS(실시간콜입력!$M:$M,실시간콜입력!$B:$B,A191,실시간콜입력!$O:$O,"방문완료")</f>
        <v>0</v>
      </c>
      <c r="F191" s="23">
        <f>COUNTIFS($A:$A,A191,$C:$C,"정상")</f>
        <v>4</v>
      </c>
      <c r="G191" s="27">
        <f>IF(C191="정상",IF(F191&gt;0,E191/F191,0),0)</f>
        <v>0</v>
      </c>
      <c r="H191" s="23"/>
    </row>
    <row r="192" spans="1:8" ht="19.5" hidden="1" customHeight="1" outlineLevel="1">
      <c r="A192" s="29"/>
      <c r="B192" s="29"/>
      <c r="C192" s="29"/>
      <c r="D192" s="29"/>
      <c r="E192" s="29"/>
      <c r="F192" s="29"/>
      <c r="G192" s="29"/>
      <c r="H192" s="29"/>
    </row>
    <row r="193" spans="1:8" ht="21.75" customHeight="1" collapsed="1">
      <c r="A193" s="148" t="str">
        <f>IF(28&lt;=DAY(DATE(YEAR(설정_코스수당!$K$2),MONTH(설정_코스수당!$K$2)+1,0)),TEXT(DATE(YEAR(설정_코스수당!$K$2),MONTH(설정_코스수당!$K$2),28),"yyyy-mm-dd")&amp;" 귀케어 정산","")</f>
        <v>2026-06-28 귀케어 정산</v>
      </c>
      <c r="B193" s="124"/>
      <c r="C193" s="124"/>
      <c r="D193" s="124"/>
      <c r="E193" s="124"/>
      <c r="F193" s="124"/>
      <c r="G193" s="124"/>
      <c r="H193" s="124"/>
    </row>
    <row r="194" spans="1:8" ht="19.5" hidden="1" customHeight="1" outlineLevel="1">
      <c r="A194" s="20" t="s">
        <v>42</v>
      </c>
      <c r="B194" s="20" t="s">
        <v>141</v>
      </c>
      <c r="C194" s="20" t="s">
        <v>142</v>
      </c>
      <c r="D194" s="20" t="s">
        <v>143</v>
      </c>
      <c r="E194" s="20" t="s">
        <v>144</v>
      </c>
      <c r="F194" s="20" t="s">
        <v>145</v>
      </c>
      <c r="G194" s="20" t="s">
        <v>146</v>
      </c>
      <c r="H194" s="20" t="s">
        <v>95</v>
      </c>
    </row>
    <row r="195" spans="1:8" ht="19.5" hidden="1" customHeight="1" outlineLevel="1">
      <c r="A195" s="24">
        <f>IF(28&lt;=DAY(DATE(YEAR(설정_코스수당!$K$2),MONTH(설정_코스수당!$K$2)+1,0)),DATE(YEAR(설정_코스수당!$K$2),MONTH(설정_코스수당!$K$2),28),"")</f>
        <v>46201</v>
      </c>
      <c r="B195" s="23" t="s">
        <v>66</v>
      </c>
      <c r="C195" s="23" t="s">
        <v>130</v>
      </c>
      <c r="D195" s="23">
        <f>COUNTIFS(실시간콜입력!$B:$B,A195,실시간콜입력!$E:$E,"B",실시간콜입력!$O:$O,"방문완료")</f>
        <v>0</v>
      </c>
      <c r="E195" s="27">
        <f>SUMIFS(실시간콜입력!$M:$M,실시간콜입력!$B:$B,A195,실시간콜입력!$O:$O,"방문완료")</f>
        <v>0</v>
      </c>
      <c r="F195" s="23">
        <f>COUNTIFS($A:$A,A195,$C:$C,"정상")</f>
        <v>4</v>
      </c>
      <c r="G195" s="27">
        <f>IF(C195="정상",IF(F195&gt;0,E195/F195,0),0)</f>
        <v>0</v>
      </c>
      <c r="H195" s="23"/>
    </row>
    <row r="196" spans="1:8" ht="19.5" hidden="1" customHeight="1" outlineLevel="1">
      <c r="A196" s="30">
        <f>IF(28&lt;=DAY(DATE(YEAR(설정_코스수당!$K$2),MONTH(설정_코스수당!$K$2)+1,0)),DATE(YEAR(설정_코스수당!$K$2),MONTH(설정_코스수당!$K$2),28),"")</f>
        <v>46201</v>
      </c>
      <c r="B196" s="29" t="s">
        <v>147</v>
      </c>
      <c r="C196" s="29" t="s">
        <v>130</v>
      </c>
      <c r="D196" s="29">
        <f>COUNTIFS(실시간콜입력!$B:$B,A196,실시간콜입력!$E:$E,"B",실시간콜입력!$O:$O,"방문완료")</f>
        <v>0</v>
      </c>
      <c r="E196" s="33">
        <f>SUMIFS(실시간콜입력!$M:$M,실시간콜입력!$B:$B,A196,실시간콜입력!$O:$O,"방문완료")</f>
        <v>0</v>
      </c>
      <c r="F196" s="29">
        <f>COUNTIFS($A:$A,A196,$C:$C,"정상")</f>
        <v>4</v>
      </c>
      <c r="G196" s="33">
        <f>IF(C196="정상",IF(F196&gt;0,E196/F196,0),0)</f>
        <v>0</v>
      </c>
      <c r="H196" s="29"/>
    </row>
    <row r="197" spans="1:8" ht="19.5" hidden="1" customHeight="1" outlineLevel="1">
      <c r="A197" s="24">
        <f>IF(28&lt;=DAY(DATE(YEAR(설정_코스수당!$K$2),MONTH(설정_코스수당!$K$2)+1,0)),DATE(YEAR(설정_코스수당!$K$2),MONTH(설정_코스수당!$K$2),28),"")</f>
        <v>46201</v>
      </c>
      <c r="B197" s="23" t="s">
        <v>148</v>
      </c>
      <c r="C197" s="23" t="s">
        <v>130</v>
      </c>
      <c r="D197" s="23">
        <f>COUNTIFS(실시간콜입력!$B:$B,A197,실시간콜입력!$E:$E,"B",실시간콜입력!$O:$O,"방문완료")</f>
        <v>0</v>
      </c>
      <c r="E197" s="27">
        <f>SUMIFS(실시간콜입력!$M:$M,실시간콜입력!$B:$B,A197,실시간콜입력!$O:$O,"방문완료")</f>
        <v>0</v>
      </c>
      <c r="F197" s="23">
        <f>COUNTIFS($A:$A,A197,$C:$C,"정상")</f>
        <v>4</v>
      </c>
      <c r="G197" s="27">
        <f>IF(C197="정상",IF(F197&gt;0,E197/F197,0),0)</f>
        <v>0</v>
      </c>
      <c r="H197" s="23"/>
    </row>
    <row r="198" spans="1:8" ht="19.5" hidden="1" customHeight="1" outlineLevel="1">
      <c r="A198" s="30">
        <f>IF(28&lt;=DAY(DATE(YEAR(설정_코스수당!$K$2),MONTH(설정_코스수당!$K$2)+1,0)),DATE(YEAR(설정_코스수당!$K$2),MONTH(설정_코스수당!$K$2),28),"")</f>
        <v>46201</v>
      </c>
      <c r="B198" s="29" t="s">
        <v>149</v>
      </c>
      <c r="C198" s="29" t="s">
        <v>130</v>
      </c>
      <c r="D198" s="29">
        <f>COUNTIFS(실시간콜입력!$B:$B,A198,실시간콜입력!$E:$E,"B",실시간콜입력!$O:$O,"방문완료")</f>
        <v>0</v>
      </c>
      <c r="E198" s="33">
        <f>SUMIFS(실시간콜입력!$M:$M,실시간콜입력!$B:$B,A198,실시간콜입력!$O:$O,"방문완료")</f>
        <v>0</v>
      </c>
      <c r="F198" s="29">
        <f>COUNTIFS($A:$A,A198,$C:$C,"정상")</f>
        <v>4</v>
      </c>
      <c r="G198" s="33">
        <f>IF(C198="정상",IF(F198&gt;0,E198/F198,0),0)</f>
        <v>0</v>
      </c>
      <c r="H198" s="29"/>
    </row>
    <row r="199" spans="1:8" ht="19.5" hidden="1" customHeight="1" outlineLevel="1">
      <c r="A199" s="23"/>
      <c r="B199" s="23"/>
      <c r="C199" s="23"/>
      <c r="D199" s="23"/>
      <c r="E199" s="23"/>
      <c r="F199" s="23"/>
      <c r="G199" s="23"/>
      <c r="H199" s="23"/>
    </row>
    <row r="200" spans="1:8" ht="21.75" customHeight="1" collapsed="1">
      <c r="A200" s="148" t="str">
        <f>IF(29&lt;=DAY(DATE(YEAR(설정_코스수당!$K$2),MONTH(설정_코스수당!$K$2)+1,0)),TEXT(DATE(YEAR(설정_코스수당!$K$2),MONTH(설정_코스수당!$K$2),29),"yyyy-mm-dd")&amp;" 귀케어 정산","")</f>
        <v>2026-06-29 귀케어 정산</v>
      </c>
      <c r="B200" s="124"/>
      <c r="C200" s="124"/>
      <c r="D200" s="124"/>
      <c r="E200" s="124"/>
      <c r="F200" s="124"/>
      <c r="G200" s="124"/>
      <c r="H200" s="124"/>
    </row>
    <row r="201" spans="1:8" ht="19.5" hidden="1" customHeight="1" outlineLevel="1">
      <c r="A201" s="20" t="s">
        <v>42</v>
      </c>
      <c r="B201" s="20" t="s">
        <v>141</v>
      </c>
      <c r="C201" s="20" t="s">
        <v>142</v>
      </c>
      <c r="D201" s="20" t="s">
        <v>143</v>
      </c>
      <c r="E201" s="20" t="s">
        <v>144</v>
      </c>
      <c r="F201" s="20" t="s">
        <v>145</v>
      </c>
      <c r="G201" s="20" t="s">
        <v>146</v>
      </c>
      <c r="H201" s="20" t="s">
        <v>95</v>
      </c>
    </row>
    <row r="202" spans="1:8" ht="19.5" hidden="1" customHeight="1" outlineLevel="1">
      <c r="A202" s="30">
        <f>IF(29&lt;=DAY(DATE(YEAR(설정_코스수당!$K$2),MONTH(설정_코스수당!$K$2)+1,0)),DATE(YEAR(설정_코스수당!$K$2),MONTH(설정_코스수당!$K$2),29),"")</f>
        <v>46202</v>
      </c>
      <c r="B202" s="29" t="s">
        <v>66</v>
      </c>
      <c r="C202" s="29" t="s">
        <v>130</v>
      </c>
      <c r="D202" s="29">
        <f>COUNTIFS(실시간콜입력!$B:$B,A202,실시간콜입력!$E:$E,"B",실시간콜입력!$O:$O,"방문완료")</f>
        <v>0</v>
      </c>
      <c r="E202" s="33">
        <f>SUMIFS(실시간콜입력!$M:$M,실시간콜입력!$B:$B,A202,실시간콜입력!$O:$O,"방문완료")</f>
        <v>0</v>
      </c>
      <c r="F202" s="29">
        <f>COUNTIFS($A:$A,A202,$C:$C,"정상")</f>
        <v>4</v>
      </c>
      <c r="G202" s="33">
        <f>IF(C202="정상",IF(F202&gt;0,E202/F202,0),0)</f>
        <v>0</v>
      </c>
      <c r="H202" s="29"/>
    </row>
    <row r="203" spans="1:8" ht="19.5" hidden="1" customHeight="1" outlineLevel="1">
      <c r="A203" s="24">
        <f>IF(29&lt;=DAY(DATE(YEAR(설정_코스수당!$K$2),MONTH(설정_코스수당!$K$2)+1,0)),DATE(YEAR(설정_코스수당!$K$2),MONTH(설정_코스수당!$K$2),29),"")</f>
        <v>46202</v>
      </c>
      <c r="B203" s="23" t="s">
        <v>147</v>
      </c>
      <c r="C203" s="23" t="s">
        <v>130</v>
      </c>
      <c r="D203" s="23">
        <f>COUNTIFS(실시간콜입력!$B:$B,A203,실시간콜입력!$E:$E,"B",실시간콜입력!$O:$O,"방문완료")</f>
        <v>0</v>
      </c>
      <c r="E203" s="27">
        <f>SUMIFS(실시간콜입력!$M:$M,실시간콜입력!$B:$B,A203,실시간콜입력!$O:$O,"방문완료")</f>
        <v>0</v>
      </c>
      <c r="F203" s="23">
        <f>COUNTIFS($A:$A,A203,$C:$C,"정상")</f>
        <v>4</v>
      </c>
      <c r="G203" s="27">
        <f>IF(C203="정상",IF(F203&gt;0,E203/F203,0),0)</f>
        <v>0</v>
      </c>
      <c r="H203" s="23"/>
    </row>
    <row r="204" spans="1:8" ht="19.5" hidden="1" customHeight="1" outlineLevel="1">
      <c r="A204" s="30">
        <f>IF(29&lt;=DAY(DATE(YEAR(설정_코스수당!$K$2),MONTH(설정_코스수당!$K$2)+1,0)),DATE(YEAR(설정_코스수당!$K$2),MONTH(설정_코스수당!$K$2),29),"")</f>
        <v>46202</v>
      </c>
      <c r="B204" s="29" t="s">
        <v>148</v>
      </c>
      <c r="C204" s="29" t="s">
        <v>130</v>
      </c>
      <c r="D204" s="29">
        <f>COUNTIFS(실시간콜입력!$B:$B,A204,실시간콜입력!$E:$E,"B",실시간콜입력!$O:$O,"방문완료")</f>
        <v>0</v>
      </c>
      <c r="E204" s="33">
        <f>SUMIFS(실시간콜입력!$M:$M,실시간콜입력!$B:$B,A204,실시간콜입력!$O:$O,"방문완료")</f>
        <v>0</v>
      </c>
      <c r="F204" s="29">
        <f>COUNTIFS($A:$A,A204,$C:$C,"정상")</f>
        <v>4</v>
      </c>
      <c r="G204" s="33">
        <f>IF(C204="정상",IF(F204&gt;0,E204/F204,0),0)</f>
        <v>0</v>
      </c>
      <c r="H204" s="29"/>
    </row>
    <row r="205" spans="1:8" ht="19.5" hidden="1" customHeight="1" outlineLevel="1">
      <c r="A205" s="24">
        <f>IF(29&lt;=DAY(DATE(YEAR(설정_코스수당!$K$2),MONTH(설정_코스수당!$K$2)+1,0)),DATE(YEAR(설정_코스수당!$K$2),MONTH(설정_코스수당!$K$2),29),"")</f>
        <v>46202</v>
      </c>
      <c r="B205" s="23" t="s">
        <v>149</v>
      </c>
      <c r="C205" s="23" t="s">
        <v>130</v>
      </c>
      <c r="D205" s="23">
        <f>COUNTIFS(실시간콜입력!$B:$B,A205,실시간콜입력!$E:$E,"B",실시간콜입력!$O:$O,"방문완료")</f>
        <v>0</v>
      </c>
      <c r="E205" s="27">
        <f>SUMIFS(실시간콜입력!$M:$M,실시간콜입력!$B:$B,A205,실시간콜입력!$O:$O,"방문완료")</f>
        <v>0</v>
      </c>
      <c r="F205" s="23">
        <f>COUNTIFS($A:$A,A205,$C:$C,"정상")</f>
        <v>4</v>
      </c>
      <c r="G205" s="27">
        <f>IF(C205="정상",IF(F205&gt;0,E205/F205,0),0)</f>
        <v>0</v>
      </c>
      <c r="H205" s="23"/>
    </row>
    <row r="206" spans="1:8" ht="19.5" hidden="1" customHeight="1" outlineLevel="1">
      <c r="A206" s="29"/>
      <c r="B206" s="29"/>
      <c r="C206" s="29"/>
      <c r="D206" s="29"/>
      <c r="E206" s="29"/>
      <c r="F206" s="29"/>
      <c r="G206" s="29"/>
      <c r="H206" s="29"/>
    </row>
    <row r="207" spans="1:8" ht="21.75" customHeight="1" collapsed="1">
      <c r="A207" s="148" t="str">
        <f>IF(30&lt;=DAY(DATE(YEAR(설정_코스수당!$K$2),MONTH(설정_코스수당!$K$2)+1,0)),TEXT(DATE(YEAR(설정_코스수당!$K$2),MONTH(설정_코스수당!$K$2),30),"yyyy-mm-dd")&amp;" 귀케어 정산","")</f>
        <v>2026-06-30 귀케어 정산</v>
      </c>
      <c r="B207" s="124"/>
      <c r="C207" s="124"/>
      <c r="D207" s="124"/>
      <c r="E207" s="124"/>
      <c r="F207" s="124"/>
      <c r="G207" s="124"/>
      <c r="H207" s="124"/>
    </row>
    <row r="208" spans="1:8" ht="19.5" hidden="1" customHeight="1" outlineLevel="1">
      <c r="A208" s="20" t="s">
        <v>42</v>
      </c>
      <c r="B208" s="20" t="s">
        <v>141</v>
      </c>
      <c r="C208" s="20" t="s">
        <v>142</v>
      </c>
      <c r="D208" s="20" t="s">
        <v>143</v>
      </c>
      <c r="E208" s="20" t="s">
        <v>144</v>
      </c>
      <c r="F208" s="20" t="s">
        <v>145</v>
      </c>
      <c r="G208" s="20" t="s">
        <v>146</v>
      </c>
      <c r="H208" s="20" t="s">
        <v>95</v>
      </c>
    </row>
    <row r="209" spans="1:8" ht="19.5" hidden="1" customHeight="1" outlineLevel="1">
      <c r="A209" s="24">
        <f>IF(30&lt;=DAY(DATE(YEAR(설정_코스수당!$K$2),MONTH(설정_코스수당!$K$2)+1,0)),DATE(YEAR(설정_코스수당!$K$2),MONTH(설정_코스수당!$K$2),30),"")</f>
        <v>46203</v>
      </c>
      <c r="B209" s="23" t="s">
        <v>66</v>
      </c>
      <c r="C209" s="23" t="s">
        <v>130</v>
      </c>
      <c r="D209" s="23">
        <f>COUNTIFS(실시간콜입력!$B:$B,A209,실시간콜입력!$E:$E,"B",실시간콜입력!$O:$O,"방문완료")</f>
        <v>0</v>
      </c>
      <c r="E209" s="27">
        <f>SUMIFS(실시간콜입력!$M:$M,실시간콜입력!$B:$B,A209,실시간콜입력!$O:$O,"방문완료")</f>
        <v>0</v>
      </c>
      <c r="F209" s="23">
        <f>COUNTIFS($A:$A,A209,$C:$C,"정상")</f>
        <v>4</v>
      </c>
      <c r="G209" s="27">
        <f>IF(C209="정상",IF(F209&gt;0,E209/F209,0),0)</f>
        <v>0</v>
      </c>
      <c r="H209" s="23"/>
    </row>
    <row r="210" spans="1:8" ht="19.5" hidden="1" customHeight="1" outlineLevel="1">
      <c r="A210" s="30">
        <f>IF(30&lt;=DAY(DATE(YEAR(설정_코스수당!$K$2),MONTH(설정_코스수당!$K$2)+1,0)),DATE(YEAR(설정_코스수당!$K$2),MONTH(설정_코스수당!$K$2),30),"")</f>
        <v>46203</v>
      </c>
      <c r="B210" s="29" t="s">
        <v>147</v>
      </c>
      <c r="C210" s="29" t="s">
        <v>130</v>
      </c>
      <c r="D210" s="29">
        <f>COUNTIFS(실시간콜입력!$B:$B,A210,실시간콜입력!$E:$E,"B",실시간콜입력!$O:$O,"방문완료")</f>
        <v>0</v>
      </c>
      <c r="E210" s="33">
        <f>SUMIFS(실시간콜입력!$M:$M,실시간콜입력!$B:$B,A210,실시간콜입력!$O:$O,"방문완료")</f>
        <v>0</v>
      </c>
      <c r="F210" s="29">
        <f>COUNTIFS($A:$A,A210,$C:$C,"정상")</f>
        <v>4</v>
      </c>
      <c r="G210" s="33">
        <f>IF(C210="정상",IF(F210&gt;0,E210/F210,0),0)</f>
        <v>0</v>
      </c>
      <c r="H210" s="29"/>
    </row>
    <row r="211" spans="1:8" ht="19.5" hidden="1" customHeight="1" outlineLevel="1">
      <c r="A211" s="24">
        <f>IF(30&lt;=DAY(DATE(YEAR(설정_코스수당!$K$2),MONTH(설정_코스수당!$K$2)+1,0)),DATE(YEAR(설정_코스수당!$K$2),MONTH(설정_코스수당!$K$2),30),"")</f>
        <v>46203</v>
      </c>
      <c r="B211" s="23" t="s">
        <v>148</v>
      </c>
      <c r="C211" s="23" t="s">
        <v>130</v>
      </c>
      <c r="D211" s="23">
        <f>COUNTIFS(실시간콜입력!$B:$B,A211,실시간콜입력!$E:$E,"B",실시간콜입력!$O:$O,"방문완료")</f>
        <v>0</v>
      </c>
      <c r="E211" s="27">
        <f>SUMIFS(실시간콜입력!$M:$M,실시간콜입력!$B:$B,A211,실시간콜입력!$O:$O,"방문완료")</f>
        <v>0</v>
      </c>
      <c r="F211" s="23">
        <f>COUNTIFS($A:$A,A211,$C:$C,"정상")</f>
        <v>4</v>
      </c>
      <c r="G211" s="27">
        <f>IF(C211="정상",IF(F211&gt;0,E211/F211,0),0)</f>
        <v>0</v>
      </c>
      <c r="H211" s="23"/>
    </row>
    <row r="212" spans="1:8" ht="19.5" hidden="1" customHeight="1" outlineLevel="1">
      <c r="A212" s="30">
        <f>IF(30&lt;=DAY(DATE(YEAR(설정_코스수당!$K$2),MONTH(설정_코스수당!$K$2)+1,0)),DATE(YEAR(설정_코스수당!$K$2),MONTH(설정_코스수당!$K$2),30),"")</f>
        <v>46203</v>
      </c>
      <c r="B212" s="29" t="s">
        <v>149</v>
      </c>
      <c r="C212" s="29" t="s">
        <v>130</v>
      </c>
      <c r="D212" s="29">
        <f>COUNTIFS(실시간콜입력!$B:$B,A212,실시간콜입력!$E:$E,"B",실시간콜입력!$O:$O,"방문완료")</f>
        <v>0</v>
      </c>
      <c r="E212" s="33">
        <f>SUMIFS(실시간콜입력!$M:$M,실시간콜입력!$B:$B,A212,실시간콜입력!$O:$O,"방문완료")</f>
        <v>0</v>
      </c>
      <c r="F212" s="29">
        <f>COUNTIFS($A:$A,A212,$C:$C,"정상")</f>
        <v>4</v>
      </c>
      <c r="G212" s="33">
        <f>IF(C212="정상",IF(F212&gt;0,E212/F212,0),0)</f>
        <v>0</v>
      </c>
      <c r="H212" s="29"/>
    </row>
    <row r="213" spans="1:8" ht="19.5" hidden="1" customHeight="1" outlineLevel="1">
      <c r="A213" s="23"/>
      <c r="B213" s="23"/>
      <c r="C213" s="23"/>
      <c r="D213" s="23"/>
      <c r="E213" s="23"/>
      <c r="F213" s="23"/>
      <c r="G213" s="23"/>
      <c r="H213" s="23"/>
    </row>
    <row r="214" spans="1:8" ht="21.75" customHeight="1" collapsed="1">
      <c r="A214" s="148" t="str">
        <f>IF(31&lt;=DAY(DATE(YEAR(설정_코스수당!$K$2),MONTH(설정_코스수당!$K$2)+1,0)),TEXT(DATE(YEAR(설정_코스수당!$K$2),MONTH(설정_코스수당!$K$2),31),"yyyy-mm-dd")&amp;" 귀케어 정산","")</f>
        <v/>
      </c>
      <c r="B214" s="124"/>
      <c r="C214" s="124"/>
      <c r="D214" s="124"/>
      <c r="E214" s="124"/>
      <c r="F214" s="124"/>
      <c r="G214" s="124"/>
      <c r="H214" s="124"/>
    </row>
    <row r="215" spans="1:8" ht="19.5" hidden="1" customHeight="1" outlineLevel="1">
      <c r="A215" s="20" t="s">
        <v>42</v>
      </c>
      <c r="B215" s="20" t="s">
        <v>141</v>
      </c>
      <c r="C215" s="20" t="s">
        <v>142</v>
      </c>
      <c r="D215" s="20" t="s">
        <v>143</v>
      </c>
      <c r="E215" s="20" t="s">
        <v>144</v>
      </c>
      <c r="F215" s="20" t="s">
        <v>145</v>
      </c>
      <c r="G215" s="20" t="s">
        <v>146</v>
      </c>
      <c r="H215" s="20" t="s">
        <v>95</v>
      </c>
    </row>
    <row r="216" spans="1:8" ht="19.5" hidden="1" customHeight="1" outlineLevel="1">
      <c r="A216" s="30" t="str">
        <f>IF(31&lt;=DAY(DATE(YEAR(설정_코스수당!$K$2),MONTH(설정_코스수당!$K$2)+1,0)),DATE(YEAR(설정_코스수당!$K$2),MONTH(설정_코스수당!$K$2),31),"")</f>
        <v/>
      </c>
      <c r="B216" s="29" t="s">
        <v>66</v>
      </c>
      <c r="C216" s="29" t="s">
        <v>130</v>
      </c>
      <c r="D216" s="29">
        <f>COUNTIFS(실시간콜입력!$B:$B,A216,실시간콜입력!$E:$E,"B",실시간콜입력!$O:$O,"방문완료")</f>
        <v>0</v>
      </c>
      <c r="E216" s="33">
        <f>SUMIFS(실시간콜입력!$M:$M,실시간콜입력!$B:$B,A216,실시간콜입력!$O:$O,"방문완료")</f>
        <v>0</v>
      </c>
      <c r="F216" s="29">
        <f>COUNTIFS($A:$A,A216,$C:$C,"정상")</f>
        <v>4</v>
      </c>
      <c r="G216" s="33">
        <f>IF(C216="정상",IF(F216&gt;0,E216/F216,0),0)</f>
        <v>0</v>
      </c>
      <c r="H216" s="29"/>
    </row>
    <row r="217" spans="1:8" ht="19.5" hidden="1" customHeight="1" outlineLevel="1">
      <c r="A217" s="24" t="str">
        <f>IF(31&lt;=DAY(DATE(YEAR(설정_코스수당!$K$2),MONTH(설정_코스수당!$K$2)+1,0)),DATE(YEAR(설정_코스수당!$K$2),MONTH(설정_코스수당!$K$2),31),"")</f>
        <v/>
      </c>
      <c r="B217" s="23" t="s">
        <v>147</v>
      </c>
      <c r="C217" s="23" t="s">
        <v>130</v>
      </c>
      <c r="D217" s="23">
        <f>COUNTIFS(실시간콜입력!$B:$B,A217,실시간콜입력!$E:$E,"B",실시간콜입력!$O:$O,"방문완료")</f>
        <v>0</v>
      </c>
      <c r="E217" s="27">
        <f>SUMIFS(실시간콜입력!$M:$M,실시간콜입력!$B:$B,A217,실시간콜입력!$O:$O,"방문완료")</f>
        <v>0</v>
      </c>
      <c r="F217" s="23">
        <f>COUNTIFS($A:$A,A217,$C:$C,"정상")</f>
        <v>4</v>
      </c>
      <c r="G217" s="27">
        <f>IF(C217="정상",IF(F217&gt;0,E217/F217,0),0)</f>
        <v>0</v>
      </c>
      <c r="H217" s="23"/>
    </row>
    <row r="218" spans="1:8" ht="19.5" hidden="1" customHeight="1" outlineLevel="1">
      <c r="A218" s="30" t="str">
        <f>IF(31&lt;=DAY(DATE(YEAR(설정_코스수당!$K$2),MONTH(설정_코스수당!$K$2)+1,0)),DATE(YEAR(설정_코스수당!$K$2),MONTH(설정_코스수당!$K$2),31),"")</f>
        <v/>
      </c>
      <c r="B218" s="29" t="s">
        <v>148</v>
      </c>
      <c r="C218" s="29" t="s">
        <v>130</v>
      </c>
      <c r="D218" s="29">
        <f>COUNTIFS(실시간콜입력!$B:$B,A218,실시간콜입력!$E:$E,"B",실시간콜입력!$O:$O,"방문완료")</f>
        <v>0</v>
      </c>
      <c r="E218" s="33">
        <f>SUMIFS(실시간콜입력!$M:$M,실시간콜입력!$B:$B,A218,실시간콜입력!$O:$O,"방문완료")</f>
        <v>0</v>
      </c>
      <c r="F218" s="29">
        <f>COUNTIFS($A:$A,A218,$C:$C,"정상")</f>
        <v>4</v>
      </c>
      <c r="G218" s="33">
        <f>IF(C218="정상",IF(F218&gt;0,E218/F218,0),0)</f>
        <v>0</v>
      </c>
      <c r="H218" s="29"/>
    </row>
    <row r="219" spans="1:8" ht="19.5" hidden="1" customHeight="1" outlineLevel="1">
      <c r="A219" s="24" t="str">
        <f>IF(31&lt;=DAY(DATE(YEAR(설정_코스수당!$K$2),MONTH(설정_코스수당!$K$2)+1,0)),DATE(YEAR(설정_코스수당!$K$2),MONTH(설정_코스수당!$K$2),31),"")</f>
        <v/>
      </c>
      <c r="B219" s="23" t="s">
        <v>149</v>
      </c>
      <c r="C219" s="23" t="s">
        <v>130</v>
      </c>
      <c r="D219" s="23">
        <f>COUNTIFS(실시간콜입력!$B:$B,A219,실시간콜입력!$E:$E,"B",실시간콜입력!$O:$O,"방문완료")</f>
        <v>0</v>
      </c>
      <c r="E219" s="27">
        <f>SUMIFS(실시간콜입력!$M:$M,실시간콜입력!$B:$B,A219,실시간콜입력!$O:$O,"방문완료")</f>
        <v>0</v>
      </c>
      <c r="F219" s="23">
        <f>COUNTIFS($A:$A,A219,$C:$C,"정상")</f>
        <v>4</v>
      </c>
      <c r="G219" s="27">
        <f>IF(C219="정상",IF(F219&gt;0,E219/F219,0),0)</f>
        <v>0</v>
      </c>
      <c r="H219" s="23"/>
    </row>
    <row r="220" spans="1:8" ht="19.5" hidden="1" customHeight="1" outlineLevel="1">
      <c r="A220" s="29"/>
      <c r="B220" s="29"/>
      <c r="C220" s="29"/>
      <c r="D220" s="29"/>
      <c r="E220" s="29"/>
      <c r="F220" s="29"/>
      <c r="G220" s="29"/>
      <c r="H220" s="29"/>
    </row>
    <row r="221" spans="1:8" ht="16.5" customHeight="1"/>
    <row r="222" spans="1:8" ht="16.5" customHeight="1"/>
    <row r="223" spans="1:8" ht="16.5" customHeight="1"/>
    <row r="224" spans="1:8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2:J2"/>
    <mergeCell ref="A214:H214"/>
    <mergeCell ref="A18:H18"/>
    <mergeCell ref="A1:D1"/>
    <mergeCell ref="A179:H179"/>
    <mergeCell ref="A95:H95"/>
    <mergeCell ref="A151:H151"/>
    <mergeCell ref="A116:H116"/>
    <mergeCell ref="A32:H32"/>
    <mergeCell ref="A4:H4"/>
    <mergeCell ref="A144:H144"/>
    <mergeCell ref="A53:H53"/>
    <mergeCell ref="A109:H109"/>
    <mergeCell ref="A200:H200"/>
    <mergeCell ref="A81:H81"/>
    <mergeCell ref="A165:H165"/>
    <mergeCell ref="A102:H102"/>
    <mergeCell ref="A207:H207"/>
    <mergeCell ref="A11:H11"/>
    <mergeCell ref="A123:H123"/>
    <mergeCell ref="A88:H88"/>
    <mergeCell ref="A25:H25"/>
    <mergeCell ref="A172:H172"/>
    <mergeCell ref="A137:H137"/>
    <mergeCell ref="A193:H193"/>
    <mergeCell ref="A46:H46"/>
    <mergeCell ref="A158:H158"/>
    <mergeCell ref="A74:H74"/>
    <mergeCell ref="A67:H67"/>
    <mergeCell ref="A130:H130"/>
    <mergeCell ref="A39:H39"/>
    <mergeCell ref="A186:H186"/>
    <mergeCell ref="A60:H60"/>
  </mergeCells>
  <phoneticPr fontId="45" type="noConversion"/>
  <dataValidations count="1">
    <dataValidation type="list" allowBlank="1" sqref="C6:C10 C12:C17 C19:C24 C26:C31 C33:C38 C40:C45 C47:C52 C54:C59 C61:C66 C68:C73 C75:C80 C82:C87 C89:C94 C96:C101 C103:C108 C110:C115 C117:C122 C124:C129 C131:C136 C138:C143 C145:C150 C152:C157 C159:C163 C167:C170 C174:C177 C181:C184 C188:C191 C195:C198 C202:C205 C209:C212 C216:C219" xr:uid="{00000000-0002-0000-0500-000000000000}">
      <formula1>"정상,휴무,지각,조퇴,결근"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N1616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 outlineLevelRow="1"/>
  <cols>
    <col min="1" max="1" width="13" customWidth="1"/>
    <col min="2" max="2" width="14" customWidth="1"/>
    <col min="3" max="5" width="10" customWidth="1"/>
    <col min="6" max="11" width="9" customWidth="1"/>
    <col min="12" max="12" width="14" customWidth="1"/>
    <col min="13" max="13" width="12" customWidth="1"/>
    <col min="14" max="14" width="18" customWidth="1"/>
  </cols>
  <sheetData>
    <row r="1" spans="1:14" ht="27.75" customHeight="1">
      <c r="A1" s="150" t="s">
        <v>150</v>
      </c>
      <c r="B1" s="129"/>
      <c r="C1" s="129"/>
      <c r="D1" s="129"/>
    </row>
    <row r="2" spans="1:14" ht="22.5" customHeight="1">
      <c r="A2" s="149" t="s">
        <v>151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3" spans="1:14" ht="16.5" customHeight="1"/>
    <row r="4" spans="1:14" ht="16.5" customHeight="1">
      <c r="A4" s="20" t="s">
        <v>42</v>
      </c>
      <c r="B4" s="20" t="s">
        <v>152</v>
      </c>
      <c r="C4" s="20" t="s">
        <v>153</v>
      </c>
      <c r="D4" s="20" t="s">
        <v>154</v>
      </c>
      <c r="E4" s="20" t="s">
        <v>155</v>
      </c>
      <c r="F4" s="20" t="s">
        <v>156</v>
      </c>
      <c r="G4" s="20" t="s">
        <v>157</v>
      </c>
      <c r="H4" s="20" t="s">
        <v>158</v>
      </c>
      <c r="I4" s="20" t="s">
        <v>159</v>
      </c>
      <c r="J4" s="20" t="s">
        <v>160</v>
      </c>
      <c r="K4" s="20" t="s">
        <v>118</v>
      </c>
      <c r="L4" s="20" t="s">
        <v>161</v>
      </c>
      <c r="M4" s="20" t="s">
        <v>162</v>
      </c>
      <c r="N4" s="20" t="s">
        <v>95</v>
      </c>
    </row>
    <row r="5" spans="1:14" ht="21.75" customHeight="1" collapsed="1">
      <c r="A5" s="64">
        <f>IF(1&lt;=DAY(DATE(YEAR(설정_코스수당!$K$2),MONTH(설정_코스수당!$K$2)+1,0)),DATE(YEAR(설정_코스수당!$K$2),MONTH(설정_코스수당!$K$2),1),"")</f>
        <v>46174</v>
      </c>
      <c r="B5" s="65" t="str">
        <f>IF(A5="","","출근 "&amp;COUNTIF(C7:C56,"&lt;&gt;")&amp;"명")</f>
        <v>출근 0명</v>
      </c>
      <c r="C5" s="65" t="str">
        <f>IF(A5="","","만근 "&amp;COUNTIF(M7:M56,"인정")&amp;"명")</f>
        <v>만근 0명</v>
      </c>
      <c r="D5" s="65" t="str">
        <f>IFERROR("평균 "&amp;TEXT(AVERAGEIF(E7:E56,"&gt;0",E7:E56),"0.0")&amp;"h","평균 -")</f>
        <v>평균 -</v>
      </c>
      <c r="E5" s="65" t="s">
        <v>163</v>
      </c>
      <c r="F5" s="65">
        <f t="shared" ref="F5:L5" si="0">SUM(F7:F56)</f>
        <v>0</v>
      </c>
      <c r="G5" s="65">
        <f t="shared" si="0"/>
        <v>0</v>
      </c>
      <c r="H5" s="65">
        <f t="shared" si="0"/>
        <v>0</v>
      </c>
      <c r="I5" s="65">
        <f t="shared" si="0"/>
        <v>0</v>
      </c>
      <c r="J5" s="65">
        <f t="shared" si="0"/>
        <v>0</v>
      </c>
      <c r="K5" s="65">
        <f t="shared" si="0"/>
        <v>0</v>
      </c>
      <c r="L5" s="66">
        <f t="shared" si="0"/>
        <v>0</v>
      </c>
      <c r="M5" s="65">
        <f>COUNTIF(M7:M56,"인정")</f>
        <v>0</v>
      </c>
      <c r="N5" s="65" t="s">
        <v>164</v>
      </c>
    </row>
    <row r="6" spans="1:14" ht="19.5" hidden="1" customHeight="1" outlineLevel="1">
      <c r="A6" s="20" t="s">
        <v>42</v>
      </c>
      <c r="B6" s="20" t="s">
        <v>152</v>
      </c>
      <c r="C6" s="20" t="s">
        <v>153</v>
      </c>
      <c r="D6" s="20" t="s">
        <v>154</v>
      </c>
      <c r="E6" s="20" t="s">
        <v>155</v>
      </c>
      <c r="F6" s="20" t="s">
        <v>156</v>
      </c>
      <c r="G6" s="20" t="s">
        <v>157</v>
      </c>
      <c r="H6" s="20" t="s">
        <v>158</v>
      </c>
      <c r="I6" s="20" t="s">
        <v>159</v>
      </c>
      <c r="J6" s="20" t="s">
        <v>160</v>
      </c>
      <c r="K6" s="20" t="s">
        <v>118</v>
      </c>
      <c r="L6" s="20" t="s">
        <v>161</v>
      </c>
      <c r="M6" s="20" t="s">
        <v>162</v>
      </c>
      <c r="N6" s="20" t="s">
        <v>95</v>
      </c>
    </row>
    <row r="7" spans="1:14" ht="19.5" hidden="1" customHeight="1" outlineLevel="1">
      <c r="A7" s="24">
        <f>IF(1&lt;=DAY(DATE(YEAR(설정_코스수당!$K$2),MONTH(설정_코스수당!$K$2)+1,0)),DATE(YEAR(설정_코스수당!$K$2),MONTH(설정_코스수당!$K$2),1),"")</f>
        <v>46174</v>
      </c>
      <c r="B7" s="23" t="s">
        <v>47</v>
      </c>
      <c r="C7" s="23"/>
      <c r="D7" s="23"/>
      <c r="E7" s="23" t="str">
        <f t="shared" ref="E7:E38" si="1">IF(AND(C7&lt;&gt;"",D7&lt;&gt;""),IF(D7&lt;C7,D7+1-C7,D7-C7)*24,"")</f>
        <v/>
      </c>
      <c r="F7" s="23">
        <f>COUNTIFS(실시간콜입력!$B:$B,$A7,실시간콜입력!$E:$E,"A",실시간콜입력!$G:$G,$B7,실시간콜입력!$O:$O,"방문완료")+COUNTIFS(실시간콜입력!$B:$B,$A7,실시간콜입력!$E:$E,"A",실시간콜입력!$H:$H,$B7,실시간콜입력!$O:$O,"방문완료")</f>
        <v>0</v>
      </c>
      <c r="G7" s="23">
        <f>COUNTIFS(실시간콜입력!$B:$B,$A7,실시간콜입력!$E:$E,"B",실시간콜입력!$G:$G,$B7,실시간콜입력!$O:$O,"방문완료")+COUNTIFS(실시간콜입력!$B:$B,$A7,실시간콜입력!$E:$E,"B",실시간콜입력!$H:$H,$B7,실시간콜입력!$O:$O,"방문완료")</f>
        <v>0</v>
      </c>
      <c r="H7" s="23">
        <f>COUNTIFS(실시간콜입력!$B:$B,$A7,실시간콜입력!$E:$E,"C",실시간콜입력!$G:$G,$B7,실시간콜입력!$O:$O,"방문완료")+COUNTIFS(실시간콜입력!$B:$B,$A7,실시간콜입력!$E:$E,"C",실시간콜입력!$H:$H,$B7,실시간콜입력!$O:$O,"방문완료")</f>
        <v>0</v>
      </c>
      <c r="I7" s="23">
        <f>COUNTIFS(실시간콜입력!$B:$B,$A7,실시간콜입력!$E:$E,"D",실시간콜입력!$G:$G,$B7,실시간콜입력!$O:$O,"방문완료")+COUNTIFS(실시간콜입력!$B:$B,$A7,실시간콜입력!$E:$E,"D",실시간콜입력!$H:$H,$B7,실시간콜입력!$O:$O,"방문완료")</f>
        <v>0</v>
      </c>
      <c r="J7" s="23">
        <f>COUNTIFS(실시간콜입력!$B:$B,$A7,실시간콜입력!$E:$E,"E",실시간콜입력!$G:$G,$B7,실시간콜입력!$O:$O,"방문완료")+COUNTIFS(실시간콜입력!$B:$B,$A7,실시간콜입력!$E:$E,"E",실시간콜입력!$H:$H,$B7,실시간콜입력!$O:$O,"방문완료")</f>
        <v>0</v>
      </c>
      <c r="K7" s="23">
        <f t="shared" ref="K7:K38" si="2">SUM(F7:J7)</f>
        <v>0</v>
      </c>
      <c r="L7" s="27">
        <f>SUMIFS(실시간콜입력!$K:$K,실시간콜입력!$B:$B,$A7,실시간콜입력!$G:$G,$B7,실시간콜입력!$O:$O,"방문완료")+SUMIFS(실시간콜입력!$L:$L,실시간콜입력!$B:$B,$A7,실시간콜입력!$H:$H,$B7,실시간콜입력!$O:$O,"방문완료")</f>
        <v>0</v>
      </c>
      <c r="M7" s="23" t="str">
        <f t="shared" ref="M7:M38" si="3">IF(AND(ISNUMBER(E7),E7&gt;=8),"인정","")</f>
        <v/>
      </c>
      <c r="N7" s="23"/>
    </row>
    <row r="8" spans="1:14" ht="19.5" hidden="1" customHeight="1" outlineLevel="1">
      <c r="A8" s="30">
        <f>IF(1&lt;=DAY(DATE(YEAR(설정_코스수당!$K$2),MONTH(설정_코스수당!$K$2)+1,0)),DATE(YEAR(설정_코스수당!$K$2),MONTH(설정_코스수당!$K$2),1),"")</f>
        <v>46174</v>
      </c>
      <c r="B8" s="29" t="s">
        <v>48</v>
      </c>
      <c r="C8" s="29"/>
      <c r="D8" s="29"/>
      <c r="E8" s="29" t="str">
        <f t="shared" si="1"/>
        <v/>
      </c>
      <c r="F8" s="29">
        <f>COUNTIFS(실시간콜입력!$B:$B,$A8,실시간콜입력!$E:$E,"A",실시간콜입력!$G:$G,$B8,실시간콜입력!$O:$O,"방문완료")+COUNTIFS(실시간콜입력!$B:$B,$A8,실시간콜입력!$E:$E,"A",실시간콜입력!$H:$H,$B8,실시간콜입력!$O:$O,"방문완료")</f>
        <v>0</v>
      </c>
      <c r="G8" s="29">
        <f>COUNTIFS(실시간콜입력!$B:$B,$A8,실시간콜입력!$E:$E,"B",실시간콜입력!$G:$G,$B8,실시간콜입력!$O:$O,"방문완료")+COUNTIFS(실시간콜입력!$B:$B,$A8,실시간콜입력!$E:$E,"B",실시간콜입력!$H:$H,$B8,실시간콜입력!$O:$O,"방문완료")</f>
        <v>0</v>
      </c>
      <c r="H8" s="29">
        <f>COUNTIFS(실시간콜입력!$B:$B,$A8,실시간콜입력!$E:$E,"C",실시간콜입력!$G:$G,$B8,실시간콜입력!$O:$O,"방문완료")+COUNTIFS(실시간콜입력!$B:$B,$A8,실시간콜입력!$E:$E,"C",실시간콜입력!$H:$H,$B8,실시간콜입력!$O:$O,"방문완료")</f>
        <v>0</v>
      </c>
      <c r="I8" s="29">
        <f>COUNTIFS(실시간콜입력!$B:$B,$A8,실시간콜입력!$E:$E,"D",실시간콜입력!$G:$G,$B8,실시간콜입력!$O:$O,"방문완료")+COUNTIFS(실시간콜입력!$B:$B,$A8,실시간콜입력!$E:$E,"D",실시간콜입력!$H:$H,$B8,실시간콜입력!$O:$O,"방문완료")</f>
        <v>0</v>
      </c>
      <c r="J8" s="29">
        <f>COUNTIFS(실시간콜입력!$B:$B,$A8,실시간콜입력!$E:$E,"E",실시간콜입력!$G:$G,$B8,실시간콜입력!$O:$O,"방문완료")+COUNTIFS(실시간콜입력!$B:$B,$A8,실시간콜입력!$E:$E,"E",실시간콜입력!$H:$H,$B8,실시간콜입력!$O:$O,"방문완료")</f>
        <v>0</v>
      </c>
      <c r="K8" s="29">
        <f t="shared" si="2"/>
        <v>0</v>
      </c>
      <c r="L8" s="33">
        <f>SUMIFS(실시간콜입력!$K:$K,실시간콜입력!$B:$B,$A8,실시간콜입력!$G:$G,$B8,실시간콜입력!$O:$O,"방문완료")+SUMIFS(실시간콜입력!$L:$L,실시간콜입력!$B:$B,$A8,실시간콜입력!$H:$H,$B8,실시간콜입력!$O:$O,"방문완료")</f>
        <v>0</v>
      </c>
      <c r="M8" s="29" t="str">
        <f t="shared" si="3"/>
        <v/>
      </c>
      <c r="N8" s="29"/>
    </row>
    <row r="9" spans="1:14" ht="19.5" hidden="1" customHeight="1" outlineLevel="1">
      <c r="A9" s="24">
        <f>IF(1&lt;=DAY(DATE(YEAR(설정_코스수당!$K$2),MONTH(설정_코스수당!$K$2)+1,0)),DATE(YEAR(설정_코스수당!$K$2),MONTH(설정_코스수당!$K$2),1),"")</f>
        <v>46174</v>
      </c>
      <c r="B9" s="23" t="s">
        <v>165</v>
      </c>
      <c r="C9" s="29"/>
      <c r="D9" s="29"/>
      <c r="E9" s="29" t="str">
        <f t="shared" si="1"/>
        <v/>
      </c>
      <c r="F9" s="29">
        <f>COUNTIFS(실시간콜입력!$B:$B,$A9,실시간콜입력!$E:$E,"A",실시간콜입력!$G:$G,$B9,실시간콜입력!$O:$O,"방문완료")+COUNTIFS(실시간콜입력!$B:$B,$A9,실시간콜입력!$E:$E,"A",실시간콜입력!$H:$H,$B9,실시간콜입력!$O:$O,"방문완료")</f>
        <v>0</v>
      </c>
      <c r="G9" s="29">
        <f>COUNTIFS(실시간콜입력!$B:$B,$A9,실시간콜입력!$E:$E,"B",실시간콜입력!$G:$G,$B9,실시간콜입력!$O:$O,"방문완료")+COUNTIFS(실시간콜입력!$B:$B,$A9,실시간콜입력!$E:$E,"B",실시간콜입력!$H:$H,$B9,실시간콜입력!$O:$O,"방문완료")</f>
        <v>0</v>
      </c>
      <c r="H9" s="29">
        <f>COUNTIFS(실시간콜입력!$B:$B,$A9,실시간콜입력!$E:$E,"C",실시간콜입력!$G:$G,$B9,실시간콜입력!$O:$O,"방문완료")+COUNTIFS(실시간콜입력!$B:$B,$A9,실시간콜입력!$E:$E,"C",실시간콜입력!$H:$H,$B9,실시간콜입력!$O:$O,"방문완료")</f>
        <v>0</v>
      </c>
      <c r="I9" s="29">
        <f>COUNTIFS(실시간콜입력!$B:$B,$A9,실시간콜입력!$E:$E,"D",실시간콜입력!$G:$G,$B9,실시간콜입력!$O:$O,"방문완료")+COUNTIFS(실시간콜입력!$B:$B,$A9,실시간콜입력!$E:$E,"D",실시간콜입력!$H:$H,$B9,실시간콜입력!$O:$O,"방문완료")</f>
        <v>0</v>
      </c>
      <c r="J9" s="29">
        <f>COUNTIFS(실시간콜입력!$B:$B,$A9,실시간콜입력!$E:$E,"E",실시간콜입력!$G:$G,$B9,실시간콜입력!$O:$O,"방문완료")+COUNTIFS(실시간콜입력!$B:$B,$A9,실시간콜입력!$E:$E,"E",실시간콜입력!$H:$H,$B9,실시간콜입력!$O:$O,"방문완료")</f>
        <v>0</v>
      </c>
      <c r="K9" s="29">
        <f t="shared" si="2"/>
        <v>0</v>
      </c>
      <c r="L9" s="27">
        <f>SUMIFS(실시간콜입력!$K:$K,실시간콜입력!$B:$B,$A9,실시간콜입력!$G:$G,$B9,실시간콜입력!$O:$O,"방문완료")+SUMIFS(실시간콜입력!$L:$L,실시간콜입력!$B:$B,$A9,실시간콜입력!$H:$H,$B9,실시간콜입력!$O:$O,"방문완료")</f>
        <v>0</v>
      </c>
      <c r="M9" s="29" t="str">
        <f t="shared" si="3"/>
        <v/>
      </c>
      <c r="N9" s="29"/>
    </row>
    <row r="10" spans="1:14" ht="19.5" hidden="1" customHeight="1" outlineLevel="1">
      <c r="A10" s="30">
        <f>IF(1&lt;=DAY(DATE(YEAR(설정_코스수당!$K$2),MONTH(설정_코스수당!$K$2)+1,0)),DATE(YEAR(설정_코스수당!$K$2),MONTH(설정_코스수당!$K$2),1),"")</f>
        <v>46174</v>
      </c>
      <c r="B10" s="29" t="s">
        <v>166</v>
      </c>
      <c r="C10" s="29"/>
      <c r="D10" s="29"/>
      <c r="E10" s="29" t="str">
        <f t="shared" si="1"/>
        <v/>
      </c>
      <c r="F10" s="29">
        <f>COUNTIFS(실시간콜입력!$B:$B,$A10,실시간콜입력!$E:$E,"A",실시간콜입력!$G:$G,$B10,실시간콜입력!$O:$O,"방문완료")+COUNTIFS(실시간콜입력!$B:$B,$A10,실시간콜입력!$E:$E,"A",실시간콜입력!$H:$H,$B10,실시간콜입력!$O:$O,"방문완료")</f>
        <v>0</v>
      </c>
      <c r="G10" s="29">
        <f>COUNTIFS(실시간콜입력!$B:$B,$A10,실시간콜입력!$E:$E,"B",실시간콜입력!$G:$G,$B10,실시간콜입력!$O:$O,"방문완료")+COUNTIFS(실시간콜입력!$B:$B,$A10,실시간콜입력!$E:$E,"B",실시간콜입력!$H:$H,$B10,실시간콜입력!$O:$O,"방문완료")</f>
        <v>0</v>
      </c>
      <c r="H10" s="29">
        <f>COUNTIFS(실시간콜입력!$B:$B,$A10,실시간콜입력!$E:$E,"C",실시간콜입력!$G:$G,$B10,실시간콜입력!$O:$O,"방문완료")+COUNTIFS(실시간콜입력!$B:$B,$A10,실시간콜입력!$E:$E,"C",실시간콜입력!$H:$H,$B10,실시간콜입력!$O:$O,"방문완료")</f>
        <v>0</v>
      </c>
      <c r="I10" s="29">
        <f>COUNTIFS(실시간콜입력!$B:$B,$A10,실시간콜입력!$E:$E,"D",실시간콜입력!$G:$G,$B10,실시간콜입력!$O:$O,"방문완료")+COUNTIFS(실시간콜입력!$B:$B,$A10,실시간콜입력!$E:$E,"D",실시간콜입력!$H:$H,$B10,실시간콜입력!$O:$O,"방문완료")</f>
        <v>0</v>
      </c>
      <c r="J10" s="29">
        <f>COUNTIFS(실시간콜입력!$B:$B,$A10,실시간콜입력!$E:$E,"E",실시간콜입력!$G:$G,$B10,실시간콜입력!$O:$O,"방문완료")+COUNTIFS(실시간콜입력!$B:$B,$A10,실시간콜입력!$E:$E,"E",실시간콜입력!$H:$H,$B10,실시간콜입력!$O:$O,"방문완료")</f>
        <v>0</v>
      </c>
      <c r="K10" s="29">
        <f t="shared" si="2"/>
        <v>0</v>
      </c>
      <c r="L10" s="33">
        <f>SUMIFS(실시간콜입력!$K:$K,실시간콜입력!$B:$B,$A10,실시간콜입력!$G:$G,$B10,실시간콜입력!$O:$O,"방문완료")+SUMIFS(실시간콜입력!$L:$L,실시간콜입력!$B:$B,$A10,실시간콜입력!$H:$H,$B10,실시간콜입력!$O:$O,"방문완료")</f>
        <v>0</v>
      </c>
      <c r="M10" s="29" t="str">
        <f t="shared" si="3"/>
        <v/>
      </c>
      <c r="N10" s="29"/>
    </row>
    <row r="11" spans="1:14" ht="19.5" hidden="1" customHeight="1" outlineLevel="1">
      <c r="A11" s="24">
        <f>IF(1&lt;=DAY(DATE(YEAR(설정_코스수당!$K$2),MONTH(설정_코스수당!$K$2)+1,0)),DATE(YEAR(설정_코스수당!$K$2),MONTH(설정_코스수당!$K$2),1),"")</f>
        <v>46174</v>
      </c>
      <c r="B11" s="23" t="s">
        <v>167</v>
      </c>
      <c r="C11" s="29"/>
      <c r="D11" s="29"/>
      <c r="E11" s="29" t="str">
        <f t="shared" si="1"/>
        <v/>
      </c>
      <c r="F11" s="29">
        <f>COUNTIFS(실시간콜입력!$B:$B,$A11,실시간콜입력!$E:$E,"A",실시간콜입력!$G:$G,$B11,실시간콜입력!$O:$O,"방문완료")+COUNTIFS(실시간콜입력!$B:$B,$A11,실시간콜입력!$E:$E,"A",실시간콜입력!$H:$H,$B11,실시간콜입력!$O:$O,"방문완료")</f>
        <v>0</v>
      </c>
      <c r="G11" s="29">
        <f>COUNTIFS(실시간콜입력!$B:$B,$A11,실시간콜입력!$E:$E,"B",실시간콜입력!$G:$G,$B11,실시간콜입력!$O:$O,"방문완료")+COUNTIFS(실시간콜입력!$B:$B,$A11,실시간콜입력!$E:$E,"B",실시간콜입력!$H:$H,$B11,실시간콜입력!$O:$O,"방문완료")</f>
        <v>0</v>
      </c>
      <c r="H11" s="29">
        <f>COUNTIFS(실시간콜입력!$B:$B,$A11,실시간콜입력!$E:$E,"C",실시간콜입력!$G:$G,$B11,실시간콜입력!$O:$O,"방문완료")+COUNTIFS(실시간콜입력!$B:$B,$A11,실시간콜입력!$E:$E,"C",실시간콜입력!$H:$H,$B11,실시간콜입력!$O:$O,"방문완료")</f>
        <v>0</v>
      </c>
      <c r="I11" s="29">
        <f>COUNTIFS(실시간콜입력!$B:$B,$A11,실시간콜입력!$E:$E,"D",실시간콜입력!$G:$G,$B11,실시간콜입력!$O:$O,"방문완료")+COUNTIFS(실시간콜입력!$B:$B,$A11,실시간콜입력!$E:$E,"D",실시간콜입력!$H:$H,$B11,실시간콜입력!$O:$O,"방문완료")</f>
        <v>0</v>
      </c>
      <c r="J11" s="29">
        <f>COUNTIFS(실시간콜입력!$B:$B,$A11,실시간콜입력!$E:$E,"E",실시간콜입력!$G:$G,$B11,실시간콜입력!$O:$O,"방문완료")+COUNTIFS(실시간콜입력!$B:$B,$A11,실시간콜입력!$E:$E,"E",실시간콜입력!$H:$H,$B11,실시간콜입력!$O:$O,"방문완료")</f>
        <v>0</v>
      </c>
      <c r="K11" s="29">
        <f t="shared" si="2"/>
        <v>0</v>
      </c>
      <c r="L11" s="27">
        <f>SUMIFS(실시간콜입력!$K:$K,실시간콜입력!$B:$B,$A11,실시간콜입력!$G:$G,$B11,실시간콜입력!$O:$O,"방문완료")+SUMIFS(실시간콜입력!$L:$L,실시간콜입력!$B:$B,$A11,실시간콜입력!$H:$H,$B11,실시간콜입력!$O:$O,"방문완료")</f>
        <v>0</v>
      </c>
      <c r="M11" s="29" t="str">
        <f t="shared" si="3"/>
        <v/>
      </c>
      <c r="N11" s="29"/>
    </row>
    <row r="12" spans="1:14" ht="19.5" hidden="1" customHeight="1" outlineLevel="1">
      <c r="A12" s="30">
        <f>IF(1&lt;=DAY(DATE(YEAR(설정_코스수당!$K$2),MONTH(설정_코스수당!$K$2)+1,0)),DATE(YEAR(설정_코스수당!$K$2),MONTH(설정_코스수당!$K$2),1),"")</f>
        <v>46174</v>
      </c>
      <c r="B12" s="29" t="s">
        <v>168</v>
      </c>
      <c r="C12" s="29"/>
      <c r="D12" s="29"/>
      <c r="E12" s="29" t="str">
        <f t="shared" si="1"/>
        <v/>
      </c>
      <c r="F12" s="29">
        <f>COUNTIFS(실시간콜입력!$B:$B,$A12,실시간콜입력!$E:$E,"A",실시간콜입력!$G:$G,$B12,실시간콜입력!$O:$O,"방문완료")+COUNTIFS(실시간콜입력!$B:$B,$A12,실시간콜입력!$E:$E,"A",실시간콜입력!$H:$H,$B12,실시간콜입력!$O:$O,"방문완료")</f>
        <v>0</v>
      </c>
      <c r="G12" s="29">
        <f>COUNTIFS(실시간콜입력!$B:$B,$A12,실시간콜입력!$E:$E,"B",실시간콜입력!$G:$G,$B12,실시간콜입력!$O:$O,"방문완료")+COUNTIFS(실시간콜입력!$B:$B,$A12,실시간콜입력!$E:$E,"B",실시간콜입력!$H:$H,$B12,실시간콜입력!$O:$O,"방문완료")</f>
        <v>0</v>
      </c>
      <c r="H12" s="29">
        <f>COUNTIFS(실시간콜입력!$B:$B,$A12,실시간콜입력!$E:$E,"C",실시간콜입력!$G:$G,$B12,실시간콜입력!$O:$O,"방문완료")+COUNTIFS(실시간콜입력!$B:$B,$A12,실시간콜입력!$E:$E,"C",실시간콜입력!$H:$H,$B12,실시간콜입력!$O:$O,"방문완료")</f>
        <v>0</v>
      </c>
      <c r="I12" s="29">
        <f>COUNTIFS(실시간콜입력!$B:$B,$A12,실시간콜입력!$E:$E,"D",실시간콜입력!$G:$G,$B12,실시간콜입력!$O:$O,"방문완료")+COUNTIFS(실시간콜입력!$B:$B,$A12,실시간콜입력!$E:$E,"D",실시간콜입력!$H:$H,$B12,실시간콜입력!$O:$O,"방문완료")</f>
        <v>0</v>
      </c>
      <c r="J12" s="29">
        <f>COUNTIFS(실시간콜입력!$B:$B,$A12,실시간콜입력!$E:$E,"E",실시간콜입력!$G:$G,$B12,실시간콜입력!$O:$O,"방문완료")+COUNTIFS(실시간콜입력!$B:$B,$A12,실시간콜입력!$E:$E,"E",실시간콜입력!$H:$H,$B12,실시간콜입력!$O:$O,"방문완료")</f>
        <v>0</v>
      </c>
      <c r="K12" s="29">
        <f t="shared" si="2"/>
        <v>0</v>
      </c>
      <c r="L12" s="33">
        <f>SUMIFS(실시간콜입력!$K:$K,실시간콜입력!$B:$B,$A12,실시간콜입력!$G:$G,$B12,실시간콜입력!$O:$O,"방문완료")+SUMIFS(실시간콜입력!$L:$L,실시간콜입력!$B:$B,$A12,실시간콜입력!$H:$H,$B12,실시간콜입력!$O:$O,"방문완료")</f>
        <v>0</v>
      </c>
      <c r="M12" s="29" t="str">
        <f t="shared" si="3"/>
        <v/>
      </c>
      <c r="N12" s="29"/>
    </row>
    <row r="13" spans="1:14" ht="19.5" hidden="1" customHeight="1" outlineLevel="1">
      <c r="A13" s="24">
        <f>IF(1&lt;=DAY(DATE(YEAR(설정_코스수당!$K$2),MONTH(설정_코스수당!$K$2)+1,0)),DATE(YEAR(설정_코스수당!$K$2),MONTH(설정_코스수당!$K$2),1),"")</f>
        <v>46174</v>
      </c>
      <c r="B13" s="23" t="s">
        <v>169</v>
      </c>
      <c r="C13" s="29"/>
      <c r="D13" s="29"/>
      <c r="E13" s="29" t="str">
        <f t="shared" si="1"/>
        <v/>
      </c>
      <c r="F13" s="29">
        <f>COUNTIFS(실시간콜입력!$B:$B,$A13,실시간콜입력!$E:$E,"A",실시간콜입력!$G:$G,$B13,실시간콜입력!$O:$O,"방문완료")+COUNTIFS(실시간콜입력!$B:$B,$A13,실시간콜입력!$E:$E,"A",실시간콜입력!$H:$H,$B13,실시간콜입력!$O:$O,"방문완료")</f>
        <v>0</v>
      </c>
      <c r="G13" s="29">
        <f>COUNTIFS(실시간콜입력!$B:$B,$A13,실시간콜입력!$E:$E,"B",실시간콜입력!$G:$G,$B13,실시간콜입력!$O:$O,"방문완료")+COUNTIFS(실시간콜입력!$B:$B,$A13,실시간콜입력!$E:$E,"B",실시간콜입력!$H:$H,$B13,실시간콜입력!$O:$O,"방문완료")</f>
        <v>0</v>
      </c>
      <c r="H13" s="29">
        <f>COUNTIFS(실시간콜입력!$B:$B,$A13,실시간콜입력!$E:$E,"C",실시간콜입력!$G:$G,$B13,실시간콜입력!$O:$O,"방문완료")+COUNTIFS(실시간콜입력!$B:$B,$A13,실시간콜입력!$E:$E,"C",실시간콜입력!$H:$H,$B13,실시간콜입력!$O:$O,"방문완료")</f>
        <v>0</v>
      </c>
      <c r="I13" s="29">
        <f>COUNTIFS(실시간콜입력!$B:$B,$A13,실시간콜입력!$E:$E,"D",실시간콜입력!$G:$G,$B13,실시간콜입력!$O:$O,"방문완료")+COUNTIFS(실시간콜입력!$B:$B,$A13,실시간콜입력!$E:$E,"D",실시간콜입력!$H:$H,$B13,실시간콜입력!$O:$O,"방문완료")</f>
        <v>0</v>
      </c>
      <c r="J13" s="29">
        <f>COUNTIFS(실시간콜입력!$B:$B,$A13,실시간콜입력!$E:$E,"E",실시간콜입력!$G:$G,$B13,실시간콜입력!$O:$O,"방문완료")+COUNTIFS(실시간콜입력!$B:$B,$A13,실시간콜입력!$E:$E,"E",실시간콜입력!$H:$H,$B13,실시간콜입력!$O:$O,"방문완료")</f>
        <v>0</v>
      </c>
      <c r="K13" s="29">
        <f t="shared" si="2"/>
        <v>0</v>
      </c>
      <c r="L13" s="27">
        <f>SUMIFS(실시간콜입력!$K:$K,실시간콜입력!$B:$B,$A13,실시간콜입력!$G:$G,$B13,실시간콜입력!$O:$O,"방문완료")+SUMIFS(실시간콜입력!$L:$L,실시간콜입력!$B:$B,$A13,실시간콜입력!$H:$H,$B13,실시간콜입력!$O:$O,"방문완료")</f>
        <v>0</v>
      </c>
      <c r="M13" s="29" t="str">
        <f t="shared" si="3"/>
        <v/>
      </c>
      <c r="N13" s="29"/>
    </row>
    <row r="14" spans="1:14" ht="19.5" hidden="1" customHeight="1" outlineLevel="1">
      <c r="A14" s="30">
        <f>IF(1&lt;=DAY(DATE(YEAR(설정_코스수당!$K$2),MONTH(설정_코스수당!$K$2)+1,0)),DATE(YEAR(설정_코스수당!$K$2),MONTH(설정_코스수당!$K$2),1),"")</f>
        <v>46174</v>
      </c>
      <c r="B14" s="29" t="s">
        <v>170</v>
      </c>
      <c r="C14" s="29"/>
      <c r="D14" s="29"/>
      <c r="E14" s="29" t="str">
        <f t="shared" si="1"/>
        <v/>
      </c>
      <c r="F14" s="29">
        <f>COUNTIFS(실시간콜입력!$B:$B,$A14,실시간콜입력!$E:$E,"A",실시간콜입력!$G:$G,$B14,실시간콜입력!$O:$O,"방문완료")+COUNTIFS(실시간콜입력!$B:$B,$A14,실시간콜입력!$E:$E,"A",실시간콜입력!$H:$H,$B14,실시간콜입력!$O:$O,"방문완료")</f>
        <v>0</v>
      </c>
      <c r="G14" s="29">
        <f>COUNTIFS(실시간콜입력!$B:$B,$A14,실시간콜입력!$E:$E,"B",실시간콜입력!$G:$G,$B14,실시간콜입력!$O:$O,"방문완료")+COUNTIFS(실시간콜입력!$B:$B,$A14,실시간콜입력!$E:$E,"B",실시간콜입력!$H:$H,$B14,실시간콜입력!$O:$O,"방문완료")</f>
        <v>0</v>
      </c>
      <c r="H14" s="29">
        <f>COUNTIFS(실시간콜입력!$B:$B,$A14,실시간콜입력!$E:$E,"C",실시간콜입력!$G:$G,$B14,실시간콜입력!$O:$O,"방문완료")+COUNTIFS(실시간콜입력!$B:$B,$A14,실시간콜입력!$E:$E,"C",실시간콜입력!$H:$H,$B14,실시간콜입력!$O:$O,"방문완료")</f>
        <v>0</v>
      </c>
      <c r="I14" s="29">
        <f>COUNTIFS(실시간콜입력!$B:$B,$A14,실시간콜입력!$E:$E,"D",실시간콜입력!$G:$G,$B14,실시간콜입력!$O:$O,"방문완료")+COUNTIFS(실시간콜입력!$B:$B,$A14,실시간콜입력!$E:$E,"D",실시간콜입력!$H:$H,$B14,실시간콜입력!$O:$O,"방문완료")</f>
        <v>0</v>
      </c>
      <c r="J14" s="29">
        <f>COUNTIFS(실시간콜입력!$B:$B,$A14,실시간콜입력!$E:$E,"E",실시간콜입력!$G:$G,$B14,실시간콜입력!$O:$O,"방문완료")+COUNTIFS(실시간콜입력!$B:$B,$A14,실시간콜입력!$E:$E,"E",실시간콜입력!$H:$H,$B14,실시간콜입력!$O:$O,"방문완료")</f>
        <v>0</v>
      </c>
      <c r="K14" s="29">
        <f t="shared" si="2"/>
        <v>0</v>
      </c>
      <c r="L14" s="33">
        <f>SUMIFS(실시간콜입력!$K:$K,실시간콜입력!$B:$B,$A14,실시간콜입력!$G:$G,$B14,실시간콜입력!$O:$O,"방문완료")+SUMIFS(실시간콜입력!$L:$L,실시간콜입력!$B:$B,$A14,실시간콜입력!$H:$H,$B14,실시간콜입력!$O:$O,"방문완료")</f>
        <v>0</v>
      </c>
      <c r="M14" s="29" t="str">
        <f t="shared" si="3"/>
        <v/>
      </c>
      <c r="N14" s="29"/>
    </row>
    <row r="15" spans="1:14" ht="19.5" hidden="1" customHeight="1" outlineLevel="1">
      <c r="A15" s="24">
        <f>IF(1&lt;=DAY(DATE(YEAR(설정_코스수당!$K$2),MONTH(설정_코스수당!$K$2)+1,0)),DATE(YEAR(설정_코스수당!$K$2),MONTH(설정_코스수당!$K$2),1),"")</f>
        <v>46174</v>
      </c>
      <c r="B15" s="23" t="s">
        <v>171</v>
      </c>
      <c r="C15" s="29"/>
      <c r="D15" s="29"/>
      <c r="E15" s="29" t="str">
        <f t="shared" si="1"/>
        <v/>
      </c>
      <c r="F15" s="29">
        <f>COUNTIFS(실시간콜입력!$B:$B,$A15,실시간콜입력!$E:$E,"A",실시간콜입력!$G:$G,$B15,실시간콜입력!$O:$O,"방문완료")+COUNTIFS(실시간콜입력!$B:$B,$A15,실시간콜입력!$E:$E,"A",실시간콜입력!$H:$H,$B15,실시간콜입력!$O:$O,"방문완료")</f>
        <v>0</v>
      </c>
      <c r="G15" s="29">
        <f>COUNTIFS(실시간콜입력!$B:$B,$A15,실시간콜입력!$E:$E,"B",실시간콜입력!$G:$G,$B15,실시간콜입력!$O:$O,"방문완료")+COUNTIFS(실시간콜입력!$B:$B,$A15,실시간콜입력!$E:$E,"B",실시간콜입력!$H:$H,$B15,실시간콜입력!$O:$O,"방문완료")</f>
        <v>0</v>
      </c>
      <c r="H15" s="29">
        <f>COUNTIFS(실시간콜입력!$B:$B,$A15,실시간콜입력!$E:$E,"C",실시간콜입력!$G:$G,$B15,실시간콜입력!$O:$O,"방문완료")+COUNTIFS(실시간콜입력!$B:$B,$A15,실시간콜입력!$E:$E,"C",실시간콜입력!$H:$H,$B15,실시간콜입력!$O:$O,"방문완료")</f>
        <v>0</v>
      </c>
      <c r="I15" s="29">
        <f>COUNTIFS(실시간콜입력!$B:$B,$A15,실시간콜입력!$E:$E,"D",실시간콜입력!$G:$G,$B15,실시간콜입력!$O:$O,"방문완료")+COUNTIFS(실시간콜입력!$B:$B,$A15,실시간콜입력!$E:$E,"D",실시간콜입력!$H:$H,$B15,실시간콜입력!$O:$O,"방문완료")</f>
        <v>0</v>
      </c>
      <c r="J15" s="29">
        <f>COUNTIFS(실시간콜입력!$B:$B,$A15,실시간콜입력!$E:$E,"E",실시간콜입력!$G:$G,$B15,실시간콜입력!$O:$O,"방문완료")+COUNTIFS(실시간콜입력!$B:$B,$A15,실시간콜입력!$E:$E,"E",실시간콜입력!$H:$H,$B15,실시간콜입력!$O:$O,"방문완료")</f>
        <v>0</v>
      </c>
      <c r="K15" s="29">
        <f t="shared" si="2"/>
        <v>0</v>
      </c>
      <c r="L15" s="27">
        <f>SUMIFS(실시간콜입력!$K:$K,실시간콜입력!$B:$B,$A15,실시간콜입력!$G:$G,$B15,실시간콜입력!$O:$O,"방문완료")+SUMIFS(실시간콜입력!$L:$L,실시간콜입력!$B:$B,$A15,실시간콜입력!$H:$H,$B15,실시간콜입력!$O:$O,"방문완료")</f>
        <v>0</v>
      </c>
      <c r="M15" s="29" t="str">
        <f t="shared" si="3"/>
        <v/>
      </c>
      <c r="N15" s="29"/>
    </row>
    <row r="16" spans="1:14" ht="19.5" hidden="1" customHeight="1" outlineLevel="1">
      <c r="A16" s="30">
        <f>IF(1&lt;=DAY(DATE(YEAR(설정_코스수당!$K$2),MONTH(설정_코스수당!$K$2)+1,0)),DATE(YEAR(설정_코스수당!$K$2),MONTH(설정_코스수당!$K$2),1),"")</f>
        <v>46174</v>
      </c>
      <c r="B16" s="29" t="s">
        <v>172</v>
      </c>
      <c r="C16" s="29"/>
      <c r="D16" s="29"/>
      <c r="E16" s="29" t="str">
        <f t="shared" si="1"/>
        <v/>
      </c>
      <c r="F16" s="29">
        <f>COUNTIFS(실시간콜입력!$B:$B,$A16,실시간콜입력!$E:$E,"A",실시간콜입력!$G:$G,$B16,실시간콜입력!$O:$O,"방문완료")+COUNTIFS(실시간콜입력!$B:$B,$A16,실시간콜입력!$E:$E,"A",실시간콜입력!$H:$H,$B16,실시간콜입력!$O:$O,"방문완료")</f>
        <v>0</v>
      </c>
      <c r="G16" s="29">
        <f>COUNTIFS(실시간콜입력!$B:$B,$A16,실시간콜입력!$E:$E,"B",실시간콜입력!$G:$G,$B16,실시간콜입력!$O:$O,"방문완료")+COUNTIFS(실시간콜입력!$B:$B,$A16,실시간콜입력!$E:$E,"B",실시간콜입력!$H:$H,$B16,실시간콜입력!$O:$O,"방문완료")</f>
        <v>0</v>
      </c>
      <c r="H16" s="29">
        <f>COUNTIFS(실시간콜입력!$B:$B,$A16,실시간콜입력!$E:$E,"C",실시간콜입력!$G:$G,$B16,실시간콜입력!$O:$O,"방문완료")+COUNTIFS(실시간콜입력!$B:$B,$A16,실시간콜입력!$E:$E,"C",실시간콜입력!$H:$H,$B16,실시간콜입력!$O:$O,"방문완료")</f>
        <v>0</v>
      </c>
      <c r="I16" s="29">
        <f>COUNTIFS(실시간콜입력!$B:$B,$A16,실시간콜입력!$E:$E,"D",실시간콜입력!$G:$G,$B16,실시간콜입력!$O:$O,"방문완료")+COUNTIFS(실시간콜입력!$B:$B,$A16,실시간콜입력!$E:$E,"D",실시간콜입력!$H:$H,$B16,실시간콜입력!$O:$O,"방문완료")</f>
        <v>0</v>
      </c>
      <c r="J16" s="29">
        <f>COUNTIFS(실시간콜입력!$B:$B,$A16,실시간콜입력!$E:$E,"E",실시간콜입력!$G:$G,$B16,실시간콜입력!$O:$O,"방문완료")+COUNTIFS(실시간콜입력!$B:$B,$A16,실시간콜입력!$E:$E,"E",실시간콜입력!$H:$H,$B16,실시간콜입력!$O:$O,"방문완료")</f>
        <v>0</v>
      </c>
      <c r="K16" s="29">
        <f t="shared" si="2"/>
        <v>0</v>
      </c>
      <c r="L16" s="33">
        <f>SUMIFS(실시간콜입력!$K:$K,실시간콜입력!$B:$B,$A16,실시간콜입력!$G:$G,$B16,실시간콜입력!$O:$O,"방문완료")+SUMIFS(실시간콜입력!$L:$L,실시간콜입력!$B:$B,$A16,실시간콜입력!$H:$H,$B16,실시간콜입력!$O:$O,"방문완료")</f>
        <v>0</v>
      </c>
      <c r="M16" s="29" t="str">
        <f t="shared" si="3"/>
        <v/>
      </c>
      <c r="N16" s="29"/>
    </row>
    <row r="17" spans="1:14" ht="19.5" hidden="1" customHeight="1" outlineLevel="1">
      <c r="A17" s="24">
        <f>IF(1&lt;=DAY(DATE(YEAR(설정_코스수당!$K$2),MONTH(설정_코스수당!$K$2)+1,0)),DATE(YEAR(설정_코스수당!$K$2),MONTH(설정_코스수당!$K$2),1),"")</f>
        <v>46174</v>
      </c>
      <c r="B17" s="23" t="s">
        <v>173</v>
      </c>
      <c r="C17" s="29"/>
      <c r="D17" s="29"/>
      <c r="E17" s="29" t="str">
        <f t="shared" si="1"/>
        <v/>
      </c>
      <c r="F17" s="29">
        <f>COUNTIFS(실시간콜입력!$B:$B,$A17,실시간콜입력!$E:$E,"A",실시간콜입력!$G:$G,$B17,실시간콜입력!$O:$O,"방문완료")+COUNTIFS(실시간콜입력!$B:$B,$A17,실시간콜입력!$E:$E,"A",실시간콜입력!$H:$H,$B17,실시간콜입력!$O:$O,"방문완료")</f>
        <v>0</v>
      </c>
      <c r="G17" s="29">
        <f>COUNTIFS(실시간콜입력!$B:$B,$A17,실시간콜입력!$E:$E,"B",실시간콜입력!$G:$G,$B17,실시간콜입력!$O:$O,"방문완료")+COUNTIFS(실시간콜입력!$B:$B,$A17,실시간콜입력!$E:$E,"B",실시간콜입력!$H:$H,$B17,실시간콜입력!$O:$O,"방문완료")</f>
        <v>0</v>
      </c>
      <c r="H17" s="29">
        <f>COUNTIFS(실시간콜입력!$B:$B,$A17,실시간콜입력!$E:$E,"C",실시간콜입력!$G:$G,$B17,실시간콜입력!$O:$O,"방문완료")+COUNTIFS(실시간콜입력!$B:$B,$A17,실시간콜입력!$E:$E,"C",실시간콜입력!$H:$H,$B17,실시간콜입력!$O:$O,"방문완료")</f>
        <v>0</v>
      </c>
      <c r="I17" s="29">
        <f>COUNTIFS(실시간콜입력!$B:$B,$A17,실시간콜입력!$E:$E,"D",실시간콜입력!$G:$G,$B17,실시간콜입력!$O:$O,"방문완료")+COUNTIFS(실시간콜입력!$B:$B,$A17,실시간콜입력!$E:$E,"D",실시간콜입력!$H:$H,$B17,실시간콜입력!$O:$O,"방문완료")</f>
        <v>0</v>
      </c>
      <c r="J17" s="29">
        <f>COUNTIFS(실시간콜입력!$B:$B,$A17,실시간콜입력!$E:$E,"E",실시간콜입력!$G:$G,$B17,실시간콜입력!$O:$O,"방문완료")+COUNTIFS(실시간콜입력!$B:$B,$A17,실시간콜입력!$E:$E,"E",실시간콜입력!$H:$H,$B17,실시간콜입력!$O:$O,"방문완료")</f>
        <v>0</v>
      </c>
      <c r="K17" s="29">
        <f t="shared" si="2"/>
        <v>0</v>
      </c>
      <c r="L17" s="27">
        <f>SUMIFS(실시간콜입력!$K:$K,실시간콜입력!$B:$B,$A17,실시간콜입력!$G:$G,$B17,실시간콜입력!$O:$O,"방문완료")+SUMIFS(실시간콜입력!$L:$L,실시간콜입력!$B:$B,$A17,실시간콜입력!$H:$H,$B17,실시간콜입력!$O:$O,"방문완료")</f>
        <v>0</v>
      </c>
      <c r="M17" s="29" t="str">
        <f t="shared" si="3"/>
        <v/>
      </c>
      <c r="N17" s="29"/>
    </row>
    <row r="18" spans="1:14" ht="19.5" hidden="1" customHeight="1" outlineLevel="1">
      <c r="A18" s="30">
        <f>IF(1&lt;=DAY(DATE(YEAR(설정_코스수당!$K$2),MONTH(설정_코스수당!$K$2)+1,0)),DATE(YEAR(설정_코스수당!$K$2),MONTH(설정_코스수당!$K$2),1),"")</f>
        <v>46174</v>
      </c>
      <c r="B18" s="29" t="s">
        <v>174</v>
      </c>
      <c r="C18" s="29"/>
      <c r="D18" s="29"/>
      <c r="E18" s="29" t="str">
        <f t="shared" si="1"/>
        <v/>
      </c>
      <c r="F18" s="29">
        <f>COUNTIFS(실시간콜입력!$B:$B,$A18,실시간콜입력!$E:$E,"A",실시간콜입력!$G:$G,$B18,실시간콜입력!$O:$O,"방문완료")+COUNTIFS(실시간콜입력!$B:$B,$A18,실시간콜입력!$E:$E,"A",실시간콜입력!$H:$H,$B18,실시간콜입력!$O:$O,"방문완료")</f>
        <v>0</v>
      </c>
      <c r="G18" s="29">
        <f>COUNTIFS(실시간콜입력!$B:$B,$A18,실시간콜입력!$E:$E,"B",실시간콜입력!$G:$G,$B18,실시간콜입력!$O:$O,"방문완료")+COUNTIFS(실시간콜입력!$B:$B,$A18,실시간콜입력!$E:$E,"B",실시간콜입력!$H:$H,$B18,실시간콜입력!$O:$O,"방문완료")</f>
        <v>0</v>
      </c>
      <c r="H18" s="29">
        <f>COUNTIFS(실시간콜입력!$B:$B,$A18,실시간콜입력!$E:$E,"C",실시간콜입력!$G:$G,$B18,실시간콜입력!$O:$O,"방문완료")+COUNTIFS(실시간콜입력!$B:$B,$A18,실시간콜입력!$E:$E,"C",실시간콜입력!$H:$H,$B18,실시간콜입력!$O:$O,"방문완료")</f>
        <v>0</v>
      </c>
      <c r="I18" s="29">
        <f>COUNTIFS(실시간콜입력!$B:$B,$A18,실시간콜입력!$E:$E,"D",실시간콜입력!$G:$G,$B18,실시간콜입력!$O:$O,"방문완료")+COUNTIFS(실시간콜입력!$B:$B,$A18,실시간콜입력!$E:$E,"D",실시간콜입력!$H:$H,$B18,실시간콜입력!$O:$O,"방문완료")</f>
        <v>0</v>
      </c>
      <c r="J18" s="29">
        <f>COUNTIFS(실시간콜입력!$B:$B,$A18,실시간콜입력!$E:$E,"E",실시간콜입력!$G:$G,$B18,실시간콜입력!$O:$O,"방문완료")+COUNTIFS(실시간콜입력!$B:$B,$A18,실시간콜입력!$E:$E,"E",실시간콜입력!$H:$H,$B18,실시간콜입력!$O:$O,"방문완료")</f>
        <v>0</v>
      </c>
      <c r="K18" s="29">
        <f t="shared" si="2"/>
        <v>0</v>
      </c>
      <c r="L18" s="33">
        <f>SUMIFS(실시간콜입력!$K:$K,실시간콜입력!$B:$B,$A18,실시간콜입력!$G:$G,$B18,실시간콜입력!$O:$O,"방문완료")+SUMIFS(실시간콜입력!$L:$L,실시간콜입력!$B:$B,$A18,실시간콜입력!$H:$H,$B18,실시간콜입력!$O:$O,"방문완료")</f>
        <v>0</v>
      </c>
      <c r="M18" s="29" t="str">
        <f t="shared" si="3"/>
        <v/>
      </c>
      <c r="N18" s="29"/>
    </row>
    <row r="19" spans="1:14" ht="19.5" hidden="1" customHeight="1" outlineLevel="1">
      <c r="A19" s="24">
        <f>IF(1&lt;=DAY(DATE(YEAR(설정_코스수당!$K$2),MONTH(설정_코스수당!$K$2)+1,0)),DATE(YEAR(설정_코스수당!$K$2),MONTH(설정_코스수당!$K$2),1),"")</f>
        <v>46174</v>
      </c>
      <c r="B19" s="23" t="s">
        <v>175</v>
      </c>
      <c r="C19" s="29"/>
      <c r="D19" s="29"/>
      <c r="E19" s="29" t="str">
        <f t="shared" si="1"/>
        <v/>
      </c>
      <c r="F19" s="29">
        <f>COUNTIFS(실시간콜입력!$B:$B,$A19,실시간콜입력!$E:$E,"A",실시간콜입력!$G:$G,$B19,실시간콜입력!$O:$O,"방문완료")+COUNTIFS(실시간콜입력!$B:$B,$A19,실시간콜입력!$E:$E,"A",실시간콜입력!$H:$H,$B19,실시간콜입력!$O:$O,"방문완료")</f>
        <v>0</v>
      </c>
      <c r="G19" s="29">
        <f>COUNTIFS(실시간콜입력!$B:$B,$A19,실시간콜입력!$E:$E,"B",실시간콜입력!$G:$G,$B19,실시간콜입력!$O:$O,"방문완료")+COUNTIFS(실시간콜입력!$B:$B,$A19,실시간콜입력!$E:$E,"B",실시간콜입력!$H:$H,$B19,실시간콜입력!$O:$O,"방문완료")</f>
        <v>0</v>
      </c>
      <c r="H19" s="29">
        <f>COUNTIFS(실시간콜입력!$B:$B,$A19,실시간콜입력!$E:$E,"C",실시간콜입력!$G:$G,$B19,실시간콜입력!$O:$O,"방문완료")+COUNTIFS(실시간콜입력!$B:$B,$A19,실시간콜입력!$E:$E,"C",실시간콜입력!$H:$H,$B19,실시간콜입력!$O:$O,"방문완료")</f>
        <v>0</v>
      </c>
      <c r="I19" s="29">
        <f>COUNTIFS(실시간콜입력!$B:$B,$A19,실시간콜입력!$E:$E,"D",실시간콜입력!$G:$G,$B19,실시간콜입력!$O:$O,"방문완료")+COUNTIFS(실시간콜입력!$B:$B,$A19,실시간콜입력!$E:$E,"D",실시간콜입력!$H:$H,$B19,실시간콜입력!$O:$O,"방문완료")</f>
        <v>0</v>
      </c>
      <c r="J19" s="29">
        <f>COUNTIFS(실시간콜입력!$B:$B,$A19,실시간콜입력!$E:$E,"E",실시간콜입력!$G:$G,$B19,실시간콜입력!$O:$O,"방문완료")+COUNTIFS(실시간콜입력!$B:$B,$A19,실시간콜입력!$E:$E,"E",실시간콜입력!$H:$H,$B19,실시간콜입력!$O:$O,"방문완료")</f>
        <v>0</v>
      </c>
      <c r="K19" s="29">
        <f t="shared" si="2"/>
        <v>0</v>
      </c>
      <c r="L19" s="27">
        <f>SUMIFS(실시간콜입력!$K:$K,실시간콜입력!$B:$B,$A19,실시간콜입력!$G:$G,$B19,실시간콜입력!$O:$O,"방문완료")+SUMIFS(실시간콜입력!$L:$L,실시간콜입력!$B:$B,$A19,실시간콜입력!$H:$H,$B19,실시간콜입력!$O:$O,"방문완료")</f>
        <v>0</v>
      </c>
      <c r="M19" s="29" t="str">
        <f t="shared" si="3"/>
        <v/>
      </c>
      <c r="N19" s="29"/>
    </row>
    <row r="20" spans="1:14" ht="19.5" hidden="1" customHeight="1" outlineLevel="1">
      <c r="A20" s="30">
        <f>IF(1&lt;=DAY(DATE(YEAR(설정_코스수당!$K$2),MONTH(설정_코스수당!$K$2)+1,0)),DATE(YEAR(설정_코스수당!$K$2),MONTH(설정_코스수당!$K$2),1),"")</f>
        <v>46174</v>
      </c>
      <c r="B20" s="29" t="s">
        <v>176</v>
      </c>
      <c r="C20" s="29"/>
      <c r="D20" s="29"/>
      <c r="E20" s="29" t="str">
        <f t="shared" si="1"/>
        <v/>
      </c>
      <c r="F20" s="29">
        <f>COUNTIFS(실시간콜입력!$B:$B,$A20,실시간콜입력!$E:$E,"A",실시간콜입력!$G:$G,$B20,실시간콜입력!$O:$O,"방문완료")+COUNTIFS(실시간콜입력!$B:$B,$A20,실시간콜입력!$E:$E,"A",실시간콜입력!$H:$H,$B20,실시간콜입력!$O:$O,"방문완료")</f>
        <v>0</v>
      </c>
      <c r="G20" s="29">
        <f>COUNTIFS(실시간콜입력!$B:$B,$A20,실시간콜입력!$E:$E,"B",실시간콜입력!$G:$G,$B20,실시간콜입력!$O:$O,"방문완료")+COUNTIFS(실시간콜입력!$B:$B,$A20,실시간콜입력!$E:$E,"B",실시간콜입력!$H:$H,$B20,실시간콜입력!$O:$O,"방문완료")</f>
        <v>0</v>
      </c>
      <c r="H20" s="29">
        <f>COUNTIFS(실시간콜입력!$B:$B,$A20,실시간콜입력!$E:$E,"C",실시간콜입력!$G:$G,$B20,실시간콜입력!$O:$O,"방문완료")+COUNTIFS(실시간콜입력!$B:$B,$A20,실시간콜입력!$E:$E,"C",실시간콜입력!$H:$H,$B20,실시간콜입력!$O:$O,"방문완료")</f>
        <v>0</v>
      </c>
      <c r="I20" s="29">
        <f>COUNTIFS(실시간콜입력!$B:$B,$A20,실시간콜입력!$E:$E,"D",실시간콜입력!$G:$G,$B20,실시간콜입력!$O:$O,"방문완료")+COUNTIFS(실시간콜입력!$B:$B,$A20,실시간콜입력!$E:$E,"D",실시간콜입력!$H:$H,$B20,실시간콜입력!$O:$O,"방문완료")</f>
        <v>0</v>
      </c>
      <c r="J20" s="29">
        <f>COUNTIFS(실시간콜입력!$B:$B,$A20,실시간콜입력!$E:$E,"E",실시간콜입력!$G:$G,$B20,실시간콜입력!$O:$O,"방문완료")+COUNTIFS(실시간콜입력!$B:$B,$A20,실시간콜입력!$E:$E,"E",실시간콜입력!$H:$H,$B20,실시간콜입력!$O:$O,"방문완료")</f>
        <v>0</v>
      </c>
      <c r="K20" s="29">
        <f t="shared" si="2"/>
        <v>0</v>
      </c>
      <c r="L20" s="33">
        <f>SUMIFS(실시간콜입력!$K:$K,실시간콜입력!$B:$B,$A20,실시간콜입력!$G:$G,$B20,실시간콜입력!$O:$O,"방문완료")+SUMIFS(실시간콜입력!$L:$L,실시간콜입력!$B:$B,$A20,실시간콜입력!$H:$H,$B20,실시간콜입력!$O:$O,"방문완료")</f>
        <v>0</v>
      </c>
      <c r="M20" s="29" t="str">
        <f t="shared" si="3"/>
        <v/>
      </c>
      <c r="N20" s="29"/>
    </row>
    <row r="21" spans="1:14" ht="19.5" hidden="1" customHeight="1" outlineLevel="1">
      <c r="A21" s="24">
        <f>IF(1&lt;=DAY(DATE(YEAR(설정_코스수당!$K$2),MONTH(설정_코스수당!$K$2)+1,0)),DATE(YEAR(설정_코스수당!$K$2),MONTH(설정_코스수당!$K$2),1),"")</f>
        <v>46174</v>
      </c>
      <c r="B21" s="23" t="s">
        <v>177</v>
      </c>
      <c r="C21" s="29"/>
      <c r="D21" s="29"/>
      <c r="E21" s="29" t="str">
        <f t="shared" si="1"/>
        <v/>
      </c>
      <c r="F21" s="29">
        <f>COUNTIFS(실시간콜입력!$B:$B,$A21,실시간콜입력!$E:$E,"A",실시간콜입력!$G:$G,$B21,실시간콜입력!$O:$O,"방문완료")+COUNTIFS(실시간콜입력!$B:$B,$A21,실시간콜입력!$E:$E,"A",실시간콜입력!$H:$H,$B21,실시간콜입력!$O:$O,"방문완료")</f>
        <v>0</v>
      </c>
      <c r="G21" s="29">
        <f>COUNTIFS(실시간콜입력!$B:$B,$A21,실시간콜입력!$E:$E,"B",실시간콜입력!$G:$G,$B21,실시간콜입력!$O:$O,"방문완료")+COUNTIFS(실시간콜입력!$B:$B,$A21,실시간콜입력!$E:$E,"B",실시간콜입력!$H:$H,$B21,실시간콜입력!$O:$O,"방문완료")</f>
        <v>0</v>
      </c>
      <c r="H21" s="29">
        <f>COUNTIFS(실시간콜입력!$B:$B,$A21,실시간콜입력!$E:$E,"C",실시간콜입력!$G:$G,$B21,실시간콜입력!$O:$O,"방문완료")+COUNTIFS(실시간콜입력!$B:$B,$A21,실시간콜입력!$E:$E,"C",실시간콜입력!$H:$H,$B21,실시간콜입력!$O:$O,"방문완료")</f>
        <v>0</v>
      </c>
      <c r="I21" s="29">
        <f>COUNTIFS(실시간콜입력!$B:$B,$A21,실시간콜입력!$E:$E,"D",실시간콜입력!$G:$G,$B21,실시간콜입력!$O:$O,"방문완료")+COUNTIFS(실시간콜입력!$B:$B,$A21,실시간콜입력!$E:$E,"D",실시간콜입력!$H:$H,$B21,실시간콜입력!$O:$O,"방문완료")</f>
        <v>0</v>
      </c>
      <c r="J21" s="29">
        <f>COUNTIFS(실시간콜입력!$B:$B,$A21,실시간콜입력!$E:$E,"E",실시간콜입력!$G:$G,$B21,실시간콜입력!$O:$O,"방문완료")+COUNTIFS(실시간콜입력!$B:$B,$A21,실시간콜입력!$E:$E,"E",실시간콜입력!$H:$H,$B21,실시간콜입력!$O:$O,"방문완료")</f>
        <v>0</v>
      </c>
      <c r="K21" s="29">
        <f t="shared" si="2"/>
        <v>0</v>
      </c>
      <c r="L21" s="27">
        <f>SUMIFS(실시간콜입력!$K:$K,실시간콜입력!$B:$B,$A21,실시간콜입력!$G:$G,$B21,실시간콜입력!$O:$O,"방문완료")+SUMIFS(실시간콜입력!$L:$L,실시간콜입력!$B:$B,$A21,실시간콜입력!$H:$H,$B21,실시간콜입력!$O:$O,"방문완료")</f>
        <v>0</v>
      </c>
      <c r="M21" s="29" t="str">
        <f t="shared" si="3"/>
        <v/>
      </c>
      <c r="N21" s="29"/>
    </row>
    <row r="22" spans="1:14" ht="19.5" hidden="1" customHeight="1" outlineLevel="1">
      <c r="A22" s="30">
        <f>IF(1&lt;=DAY(DATE(YEAR(설정_코스수당!$K$2),MONTH(설정_코스수당!$K$2)+1,0)),DATE(YEAR(설정_코스수당!$K$2),MONTH(설정_코스수당!$K$2),1),"")</f>
        <v>46174</v>
      </c>
      <c r="B22" s="29" t="s">
        <v>178</v>
      </c>
      <c r="C22" s="29"/>
      <c r="D22" s="29"/>
      <c r="E22" s="29" t="str">
        <f t="shared" si="1"/>
        <v/>
      </c>
      <c r="F22" s="29">
        <f>COUNTIFS(실시간콜입력!$B:$B,$A22,실시간콜입력!$E:$E,"A",실시간콜입력!$G:$G,$B22,실시간콜입력!$O:$O,"방문완료")+COUNTIFS(실시간콜입력!$B:$B,$A22,실시간콜입력!$E:$E,"A",실시간콜입력!$H:$H,$B22,실시간콜입력!$O:$O,"방문완료")</f>
        <v>0</v>
      </c>
      <c r="G22" s="29">
        <f>COUNTIFS(실시간콜입력!$B:$B,$A22,실시간콜입력!$E:$E,"B",실시간콜입력!$G:$G,$B22,실시간콜입력!$O:$O,"방문완료")+COUNTIFS(실시간콜입력!$B:$B,$A22,실시간콜입력!$E:$E,"B",실시간콜입력!$H:$H,$B22,실시간콜입력!$O:$O,"방문완료")</f>
        <v>0</v>
      </c>
      <c r="H22" s="29">
        <f>COUNTIFS(실시간콜입력!$B:$B,$A22,실시간콜입력!$E:$E,"C",실시간콜입력!$G:$G,$B22,실시간콜입력!$O:$O,"방문완료")+COUNTIFS(실시간콜입력!$B:$B,$A22,실시간콜입력!$E:$E,"C",실시간콜입력!$H:$H,$B22,실시간콜입력!$O:$O,"방문완료")</f>
        <v>0</v>
      </c>
      <c r="I22" s="29">
        <f>COUNTIFS(실시간콜입력!$B:$B,$A22,실시간콜입력!$E:$E,"D",실시간콜입력!$G:$G,$B22,실시간콜입력!$O:$O,"방문완료")+COUNTIFS(실시간콜입력!$B:$B,$A22,실시간콜입력!$E:$E,"D",실시간콜입력!$H:$H,$B22,실시간콜입력!$O:$O,"방문완료")</f>
        <v>0</v>
      </c>
      <c r="J22" s="29">
        <f>COUNTIFS(실시간콜입력!$B:$B,$A22,실시간콜입력!$E:$E,"E",실시간콜입력!$G:$G,$B22,실시간콜입력!$O:$O,"방문완료")+COUNTIFS(실시간콜입력!$B:$B,$A22,실시간콜입력!$E:$E,"E",실시간콜입력!$H:$H,$B22,실시간콜입력!$O:$O,"방문완료")</f>
        <v>0</v>
      </c>
      <c r="K22" s="29">
        <f t="shared" si="2"/>
        <v>0</v>
      </c>
      <c r="L22" s="33">
        <f>SUMIFS(실시간콜입력!$K:$K,실시간콜입력!$B:$B,$A22,실시간콜입력!$G:$G,$B22,실시간콜입력!$O:$O,"방문완료")+SUMIFS(실시간콜입력!$L:$L,실시간콜입력!$B:$B,$A22,실시간콜입력!$H:$H,$B22,실시간콜입력!$O:$O,"방문완료")</f>
        <v>0</v>
      </c>
      <c r="M22" s="29" t="str">
        <f t="shared" si="3"/>
        <v/>
      </c>
      <c r="N22" s="29"/>
    </row>
    <row r="23" spans="1:14" ht="19.5" hidden="1" customHeight="1" outlineLevel="1">
      <c r="A23" s="24">
        <f>IF(1&lt;=DAY(DATE(YEAR(설정_코스수당!$K$2),MONTH(설정_코스수당!$K$2)+1,0)),DATE(YEAR(설정_코스수당!$K$2),MONTH(설정_코스수당!$K$2),1),"")</f>
        <v>46174</v>
      </c>
      <c r="B23" s="23" t="s">
        <v>179</v>
      </c>
      <c r="C23" s="29"/>
      <c r="D23" s="29"/>
      <c r="E23" s="29" t="str">
        <f t="shared" si="1"/>
        <v/>
      </c>
      <c r="F23" s="29">
        <f>COUNTIFS(실시간콜입력!$B:$B,$A23,실시간콜입력!$E:$E,"A",실시간콜입력!$G:$G,$B23,실시간콜입력!$O:$O,"방문완료")+COUNTIFS(실시간콜입력!$B:$B,$A23,실시간콜입력!$E:$E,"A",실시간콜입력!$H:$H,$B23,실시간콜입력!$O:$O,"방문완료")</f>
        <v>0</v>
      </c>
      <c r="G23" s="29">
        <f>COUNTIFS(실시간콜입력!$B:$B,$A23,실시간콜입력!$E:$E,"B",실시간콜입력!$G:$G,$B23,실시간콜입력!$O:$O,"방문완료")+COUNTIFS(실시간콜입력!$B:$B,$A23,실시간콜입력!$E:$E,"B",실시간콜입력!$H:$H,$B23,실시간콜입력!$O:$O,"방문완료")</f>
        <v>0</v>
      </c>
      <c r="H23" s="29">
        <f>COUNTIFS(실시간콜입력!$B:$B,$A23,실시간콜입력!$E:$E,"C",실시간콜입력!$G:$G,$B23,실시간콜입력!$O:$O,"방문완료")+COUNTIFS(실시간콜입력!$B:$B,$A23,실시간콜입력!$E:$E,"C",실시간콜입력!$H:$H,$B23,실시간콜입력!$O:$O,"방문완료")</f>
        <v>0</v>
      </c>
      <c r="I23" s="29">
        <f>COUNTIFS(실시간콜입력!$B:$B,$A23,실시간콜입력!$E:$E,"D",실시간콜입력!$G:$G,$B23,실시간콜입력!$O:$O,"방문완료")+COUNTIFS(실시간콜입력!$B:$B,$A23,실시간콜입력!$E:$E,"D",실시간콜입력!$H:$H,$B23,실시간콜입력!$O:$O,"방문완료")</f>
        <v>0</v>
      </c>
      <c r="J23" s="29">
        <f>COUNTIFS(실시간콜입력!$B:$B,$A23,실시간콜입력!$E:$E,"E",실시간콜입력!$G:$G,$B23,실시간콜입력!$O:$O,"방문완료")+COUNTIFS(실시간콜입력!$B:$B,$A23,실시간콜입력!$E:$E,"E",실시간콜입력!$H:$H,$B23,실시간콜입력!$O:$O,"방문완료")</f>
        <v>0</v>
      </c>
      <c r="K23" s="29">
        <f t="shared" si="2"/>
        <v>0</v>
      </c>
      <c r="L23" s="27">
        <f>SUMIFS(실시간콜입력!$K:$K,실시간콜입력!$B:$B,$A23,실시간콜입력!$G:$G,$B23,실시간콜입력!$O:$O,"방문완료")+SUMIFS(실시간콜입력!$L:$L,실시간콜입력!$B:$B,$A23,실시간콜입력!$H:$H,$B23,실시간콜입력!$O:$O,"방문완료")</f>
        <v>0</v>
      </c>
      <c r="M23" s="29" t="str">
        <f t="shared" si="3"/>
        <v/>
      </c>
      <c r="N23" s="29"/>
    </row>
    <row r="24" spans="1:14" ht="19.5" hidden="1" customHeight="1" outlineLevel="1">
      <c r="A24" s="30">
        <f>IF(1&lt;=DAY(DATE(YEAR(설정_코스수당!$K$2),MONTH(설정_코스수당!$K$2)+1,0)),DATE(YEAR(설정_코스수당!$K$2),MONTH(설정_코스수당!$K$2),1),"")</f>
        <v>46174</v>
      </c>
      <c r="B24" s="29" t="s">
        <v>180</v>
      </c>
      <c r="C24" s="29"/>
      <c r="D24" s="29"/>
      <c r="E24" s="29" t="str">
        <f t="shared" si="1"/>
        <v/>
      </c>
      <c r="F24" s="29">
        <f>COUNTIFS(실시간콜입력!$B:$B,$A24,실시간콜입력!$E:$E,"A",실시간콜입력!$G:$G,$B24,실시간콜입력!$O:$O,"방문완료")+COUNTIFS(실시간콜입력!$B:$B,$A24,실시간콜입력!$E:$E,"A",실시간콜입력!$H:$H,$B24,실시간콜입력!$O:$O,"방문완료")</f>
        <v>0</v>
      </c>
      <c r="G24" s="29">
        <f>COUNTIFS(실시간콜입력!$B:$B,$A24,실시간콜입력!$E:$E,"B",실시간콜입력!$G:$G,$B24,실시간콜입력!$O:$O,"방문완료")+COUNTIFS(실시간콜입력!$B:$B,$A24,실시간콜입력!$E:$E,"B",실시간콜입력!$H:$H,$B24,실시간콜입력!$O:$O,"방문완료")</f>
        <v>0</v>
      </c>
      <c r="H24" s="29">
        <f>COUNTIFS(실시간콜입력!$B:$B,$A24,실시간콜입력!$E:$E,"C",실시간콜입력!$G:$G,$B24,실시간콜입력!$O:$O,"방문완료")+COUNTIFS(실시간콜입력!$B:$B,$A24,실시간콜입력!$E:$E,"C",실시간콜입력!$H:$H,$B24,실시간콜입력!$O:$O,"방문완료")</f>
        <v>0</v>
      </c>
      <c r="I24" s="29">
        <f>COUNTIFS(실시간콜입력!$B:$B,$A24,실시간콜입력!$E:$E,"D",실시간콜입력!$G:$G,$B24,실시간콜입력!$O:$O,"방문완료")+COUNTIFS(실시간콜입력!$B:$B,$A24,실시간콜입력!$E:$E,"D",실시간콜입력!$H:$H,$B24,실시간콜입력!$O:$O,"방문완료")</f>
        <v>0</v>
      </c>
      <c r="J24" s="29">
        <f>COUNTIFS(실시간콜입력!$B:$B,$A24,실시간콜입력!$E:$E,"E",실시간콜입력!$G:$G,$B24,실시간콜입력!$O:$O,"방문완료")+COUNTIFS(실시간콜입력!$B:$B,$A24,실시간콜입력!$E:$E,"E",실시간콜입력!$H:$H,$B24,실시간콜입력!$O:$O,"방문완료")</f>
        <v>0</v>
      </c>
      <c r="K24" s="29">
        <f t="shared" si="2"/>
        <v>0</v>
      </c>
      <c r="L24" s="33">
        <f>SUMIFS(실시간콜입력!$K:$K,실시간콜입력!$B:$B,$A24,실시간콜입력!$G:$G,$B24,실시간콜입력!$O:$O,"방문완료")+SUMIFS(실시간콜입력!$L:$L,실시간콜입력!$B:$B,$A24,실시간콜입력!$H:$H,$B24,실시간콜입력!$O:$O,"방문완료")</f>
        <v>0</v>
      </c>
      <c r="M24" s="29" t="str">
        <f t="shared" si="3"/>
        <v/>
      </c>
      <c r="N24" s="29"/>
    </row>
    <row r="25" spans="1:14" ht="19.5" hidden="1" customHeight="1" outlineLevel="1">
      <c r="A25" s="24">
        <f>IF(1&lt;=DAY(DATE(YEAR(설정_코스수당!$K$2),MONTH(설정_코스수당!$K$2)+1,0)),DATE(YEAR(설정_코스수당!$K$2),MONTH(설정_코스수당!$K$2),1),"")</f>
        <v>46174</v>
      </c>
      <c r="B25" s="23" t="s">
        <v>181</v>
      </c>
      <c r="C25" s="29"/>
      <c r="D25" s="29"/>
      <c r="E25" s="29" t="str">
        <f t="shared" si="1"/>
        <v/>
      </c>
      <c r="F25" s="29">
        <f>COUNTIFS(실시간콜입력!$B:$B,$A25,실시간콜입력!$E:$E,"A",실시간콜입력!$G:$G,$B25,실시간콜입력!$O:$O,"방문완료")+COUNTIFS(실시간콜입력!$B:$B,$A25,실시간콜입력!$E:$E,"A",실시간콜입력!$H:$H,$B25,실시간콜입력!$O:$O,"방문완료")</f>
        <v>0</v>
      </c>
      <c r="G25" s="29">
        <f>COUNTIFS(실시간콜입력!$B:$B,$A25,실시간콜입력!$E:$E,"B",실시간콜입력!$G:$G,$B25,실시간콜입력!$O:$O,"방문완료")+COUNTIFS(실시간콜입력!$B:$B,$A25,실시간콜입력!$E:$E,"B",실시간콜입력!$H:$H,$B25,실시간콜입력!$O:$O,"방문완료")</f>
        <v>0</v>
      </c>
      <c r="H25" s="29">
        <f>COUNTIFS(실시간콜입력!$B:$B,$A25,실시간콜입력!$E:$E,"C",실시간콜입력!$G:$G,$B25,실시간콜입력!$O:$O,"방문완료")+COUNTIFS(실시간콜입력!$B:$B,$A25,실시간콜입력!$E:$E,"C",실시간콜입력!$H:$H,$B25,실시간콜입력!$O:$O,"방문완료")</f>
        <v>0</v>
      </c>
      <c r="I25" s="29">
        <f>COUNTIFS(실시간콜입력!$B:$B,$A25,실시간콜입력!$E:$E,"D",실시간콜입력!$G:$G,$B25,실시간콜입력!$O:$O,"방문완료")+COUNTIFS(실시간콜입력!$B:$B,$A25,실시간콜입력!$E:$E,"D",실시간콜입력!$H:$H,$B25,실시간콜입력!$O:$O,"방문완료")</f>
        <v>0</v>
      </c>
      <c r="J25" s="29">
        <f>COUNTIFS(실시간콜입력!$B:$B,$A25,실시간콜입력!$E:$E,"E",실시간콜입력!$G:$G,$B25,실시간콜입력!$O:$O,"방문완료")+COUNTIFS(실시간콜입력!$B:$B,$A25,실시간콜입력!$E:$E,"E",실시간콜입력!$H:$H,$B25,실시간콜입력!$O:$O,"방문완료")</f>
        <v>0</v>
      </c>
      <c r="K25" s="29">
        <f t="shared" si="2"/>
        <v>0</v>
      </c>
      <c r="L25" s="27">
        <f>SUMIFS(실시간콜입력!$K:$K,실시간콜입력!$B:$B,$A25,실시간콜입력!$G:$G,$B25,실시간콜입력!$O:$O,"방문완료")+SUMIFS(실시간콜입력!$L:$L,실시간콜입력!$B:$B,$A25,실시간콜입력!$H:$H,$B25,실시간콜입력!$O:$O,"방문완료")</f>
        <v>0</v>
      </c>
      <c r="M25" s="29" t="str">
        <f t="shared" si="3"/>
        <v/>
      </c>
      <c r="N25" s="29"/>
    </row>
    <row r="26" spans="1:14" ht="19.5" hidden="1" customHeight="1" outlineLevel="1">
      <c r="A26" s="30">
        <f>IF(1&lt;=DAY(DATE(YEAR(설정_코스수당!$K$2),MONTH(설정_코스수당!$K$2)+1,0)),DATE(YEAR(설정_코스수당!$K$2),MONTH(설정_코스수당!$K$2),1),"")</f>
        <v>46174</v>
      </c>
      <c r="B26" s="29" t="s">
        <v>182</v>
      </c>
      <c r="C26" s="29"/>
      <c r="D26" s="29"/>
      <c r="E26" s="29" t="str">
        <f t="shared" si="1"/>
        <v/>
      </c>
      <c r="F26" s="29">
        <f>COUNTIFS(실시간콜입력!$B:$B,$A26,실시간콜입력!$E:$E,"A",실시간콜입력!$G:$G,$B26,실시간콜입력!$O:$O,"방문완료")+COUNTIFS(실시간콜입력!$B:$B,$A26,실시간콜입력!$E:$E,"A",실시간콜입력!$H:$H,$B26,실시간콜입력!$O:$O,"방문완료")</f>
        <v>0</v>
      </c>
      <c r="G26" s="29">
        <f>COUNTIFS(실시간콜입력!$B:$B,$A26,실시간콜입력!$E:$E,"B",실시간콜입력!$G:$G,$B26,실시간콜입력!$O:$O,"방문완료")+COUNTIFS(실시간콜입력!$B:$B,$A26,실시간콜입력!$E:$E,"B",실시간콜입력!$H:$H,$B26,실시간콜입력!$O:$O,"방문완료")</f>
        <v>0</v>
      </c>
      <c r="H26" s="29">
        <f>COUNTIFS(실시간콜입력!$B:$B,$A26,실시간콜입력!$E:$E,"C",실시간콜입력!$G:$G,$B26,실시간콜입력!$O:$O,"방문완료")+COUNTIFS(실시간콜입력!$B:$B,$A26,실시간콜입력!$E:$E,"C",실시간콜입력!$H:$H,$B26,실시간콜입력!$O:$O,"방문완료")</f>
        <v>0</v>
      </c>
      <c r="I26" s="29">
        <f>COUNTIFS(실시간콜입력!$B:$B,$A26,실시간콜입력!$E:$E,"D",실시간콜입력!$G:$G,$B26,실시간콜입력!$O:$O,"방문완료")+COUNTIFS(실시간콜입력!$B:$B,$A26,실시간콜입력!$E:$E,"D",실시간콜입력!$H:$H,$B26,실시간콜입력!$O:$O,"방문완료")</f>
        <v>0</v>
      </c>
      <c r="J26" s="29">
        <f>COUNTIFS(실시간콜입력!$B:$B,$A26,실시간콜입력!$E:$E,"E",실시간콜입력!$G:$G,$B26,실시간콜입력!$O:$O,"방문완료")+COUNTIFS(실시간콜입력!$B:$B,$A26,실시간콜입력!$E:$E,"E",실시간콜입력!$H:$H,$B26,실시간콜입력!$O:$O,"방문완료")</f>
        <v>0</v>
      </c>
      <c r="K26" s="29">
        <f t="shared" si="2"/>
        <v>0</v>
      </c>
      <c r="L26" s="33">
        <f>SUMIFS(실시간콜입력!$K:$K,실시간콜입력!$B:$B,$A26,실시간콜입력!$G:$G,$B26,실시간콜입력!$O:$O,"방문완료")+SUMIFS(실시간콜입력!$L:$L,실시간콜입력!$B:$B,$A26,실시간콜입력!$H:$H,$B26,실시간콜입력!$O:$O,"방문완료")</f>
        <v>0</v>
      </c>
      <c r="M26" s="29" t="str">
        <f t="shared" si="3"/>
        <v/>
      </c>
      <c r="N26" s="29"/>
    </row>
    <row r="27" spans="1:14" ht="19.5" hidden="1" customHeight="1" outlineLevel="1">
      <c r="A27" s="24">
        <f>IF(1&lt;=DAY(DATE(YEAR(설정_코스수당!$K$2),MONTH(설정_코스수당!$K$2)+1,0)),DATE(YEAR(설정_코스수당!$K$2),MONTH(설정_코스수당!$K$2),1),"")</f>
        <v>46174</v>
      </c>
      <c r="B27" s="23" t="s">
        <v>183</v>
      </c>
      <c r="C27" s="29"/>
      <c r="D27" s="29"/>
      <c r="E27" s="29" t="str">
        <f t="shared" si="1"/>
        <v/>
      </c>
      <c r="F27" s="29">
        <f>COUNTIFS(실시간콜입력!$B:$B,$A27,실시간콜입력!$E:$E,"A",실시간콜입력!$G:$G,$B27,실시간콜입력!$O:$O,"방문완료")+COUNTIFS(실시간콜입력!$B:$B,$A27,실시간콜입력!$E:$E,"A",실시간콜입력!$H:$H,$B27,실시간콜입력!$O:$O,"방문완료")</f>
        <v>0</v>
      </c>
      <c r="G27" s="29">
        <f>COUNTIFS(실시간콜입력!$B:$B,$A27,실시간콜입력!$E:$E,"B",실시간콜입력!$G:$G,$B27,실시간콜입력!$O:$O,"방문완료")+COUNTIFS(실시간콜입력!$B:$B,$A27,실시간콜입력!$E:$E,"B",실시간콜입력!$H:$H,$B27,실시간콜입력!$O:$O,"방문완료")</f>
        <v>0</v>
      </c>
      <c r="H27" s="29">
        <f>COUNTIFS(실시간콜입력!$B:$B,$A27,실시간콜입력!$E:$E,"C",실시간콜입력!$G:$G,$B27,실시간콜입력!$O:$O,"방문완료")+COUNTIFS(실시간콜입력!$B:$B,$A27,실시간콜입력!$E:$E,"C",실시간콜입력!$H:$H,$B27,실시간콜입력!$O:$O,"방문완료")</f>
        <v>0</v>
      </c>
      <c r="I27" s="29">
        <f>COUNTIFS(실시간콜입력!$B:$B,$A27,실시간콜입력!$E:$E,"D",실시간콜입력!$G:$G,$B27,실시간콜입력!$O:$O,"방문완료")+COUNTIFS(실시간콜입력!$B:$B,$A27,실시간콜입력!$E:$E,"D",실시간콜입력!$H:$H,$B27,실시간콜입력!$O:$O,"방문완료")</f>
        <v>0</v>
      </c>
      <c r="J27" s="29">
        <f>COUNTIFS(실시간콜입력!$B:$B,$A27,실시간콜입력!$E:$E,"E",실시간콜입력!$G:$G,$B27,실시간콜입력!$O:$O,"방문완료")+COUNTIFS(실시간콜입력!$B:$B,$A27,실시간콜입력!$E:$E,"E",실시간콜입력!$H:$H,$B27,실시간콜입력!$O:$O,"방문완료")</f>
        <v>0</v>
      </c>
      <c r="K27" s="29">
        <f t="shared" si="2"/>
        <v>0</v>
      </c>
      <c r="L27" s="27">
        <f>SUMIFS(실시간콜입력!$K:$K,실시간콜입력!$B:$B,$A27,실시간콜입력!$G:$G,$B27,실시간콜입력!$O:$O,"방문완료")+SUMIFS(실시간콜입력!$L:$L,실시간콜입력!$B:$B,$A27,실시간콜입력!$H:$H,$B27,실시간콜입력!$O:$O,"방문완료")</f>
        <v>0</v>
      </c>
      <c r="M27" s="29" t="str">
        <f t="shared" si="3"/>
        <v/>
      </c>
      <c r="N27" s="29"/>
    </row>
    <row r="28" spans="1:14" ht="19.5" hidden="1" customHeight="1" outlineLevel="1">
      <c r="A28" s="30">
        <f>IF(1&lt;=DAY(DATE(YEAR(설정_코스수당!$K$2),MONTH(설정_코스수당!$K$2)+1,0)),DATE(YEAR(설정_코스수당!$K$2),MONTH(설정_코스수당!$K$2),1),"")</f>
        <v>46174</v>
      </c>
      <c r="B28" s="29" t="s">
        <v>184</v>
      </c>
      <c r="C28" s="29"/>
      <c r="D28" s="29"/>
      <c r="E28" s="29" t="str">
        <f t="shared" si="1"/>
        <v/>
      </c>
      <c r="F28" s="29">
        <f>COUNTIFS(실시간콜입력!$B:$B,$A28,실시간콜입력!$E:$E,"A",실시간콜입력!$G:$G,$B28,실시간콜입력!$O:$O,"방문완료")+COUNTIFS(실시간콜입력!$B:$B,$A28,실시간콜입력!$E:$E,"A",실시간콜입력!$H:$H,$B28,실시간콜입력!$O:$O,"방문완료")</f>
        <v>0</v>
      </c>
      <c r="G28" s="29">
        <f>COUNTIFS(실시간콜입력!$B:$B,$A28,실시간콜입력!$E:$E,"B",실시간콜입력!$G:$G,$B28,실시간콜입력!$O:$O,"방문완료")+COUNTIFS(실시간콜입력!$B:$B,$A28,실시간콜입력!$E:$E,"B",실시간콜입력!$H:$H,$B28,실시간콜입력!$O:$O,"방문완료")</f>
        <v>0</v>
      </c>
      <c r="H28" s="29">
        <f>COUNTIFS(실시간콜입력!$B:$B,$A28,실시간콜입력!$E:$E,"C",실시간콜입력!$G:$G,$B28,실시간콜입력!$O:$O,"방문완료")+COUNTIFS(실시간콜입력!$B:$B,$A28,실시간콜입력!$E:$E,"C",실시간콜입력!$H:$H,$B28,실시간콜입력!$O:$O,"방문완료")</f>
        <v>0</v>
      </c>
      <c r="I28" s="29">
        <f>COUNTIFS(실시간콜입력!$B:$B,$A28,실시간콜입력!$E:$E,"D",실시간콜입력!$G:$G,$B28,실시간콜입력!$O:$O,"방문완료")+COUNTIFS(실시간콜입력!$B:$B,$A28,실시간콜입력!$E:$E,"D",실시간콜입력!$H:$H,$B28,실시간콜입력!$O:$O,"방문완료")</f>
        <v>0</v>
      </c>
      <c r="J28" s="29">
        <f>COUNTIFS(실시간콜입력!$B:$B,$A28,실시간콜입력!$E:$E,"E",실시간콜입력!$G:$G,$B28,실시간콜입력!$O:$O,"방문완료")+COUNTIFS(실시간콜입력!$B:$B,$A28,실시간콜입력!$E:$E,"E",실시간콜입력!$H:$H,$B28,실시간콜입력!$O:$O,"방문완료")</f>
        <v>0</v>
      </c>
      <c r="K28" s="29">
        <f t="shared" si="2"/>
        <v>0</v>
      </c>
      <c r="L28" s="33">
        <f>SUMIFS(실시간콜입력!$K:$K,실시간콜입력!$B:$B,$A28,실시간콜입력!$G:$G,$B28,실시간콜입력!$O:$O,"방문완료")+SUMIFS(실시간콜입력!$L:$L,실시간콜입력!$B:$B,$A28,실시간콜입력!$H:$H,$B28,실시간콜입력!$O:$O,"방문완료")</f>
        <v>0</v>
      </c>
      <c r="M28" s="29" t="str">
        <f t="shared" si="3"/>
        <v/>
      </c>
      <c r="N28" s="29"/>
    </row>
    <row r="29" spans="1:14" ht="19.5" hidden="1" customHeight="1" outlineLevel="1">
      <c r="A29" s="24">
        <f>IF(1&lt;=DAY(DATE(YEAR(설정_코스수당!$K$2),MONTH(설정_코스수당!$K$2)+1,0)),DATE(YEAR(설정_코스수당!$K$2),MONTH(설정_코스수당!$K$2),1),"")</f>
        <v>46174</v>
      </c>
      <c r="B29" s="23" t="s">
        <v>185</v>
      </c>
      <c r="C29" s="29"/>
      <c r="D29" s="29"/>
      <c r="E29" s="29" t="str">
        <f t="shared" si="1"/>
        <v/>
      </c>
      <c r="F29" s="29">
        <f>COUNTIFS(실시간콜입력!$B:$B,$A29,실시간콜입력!$E:$E,"A",실시간콜입력!$G:$G,$B29,실시간콜입력!$O:$O,"방문완료")+COUNTIFS(실시간콜입력!$B:$B,$A29,실시간콜입력!$E:$E,"A",실시간콜입력!$H:$H,$B29,실시간콜입력!$O:$O,"방문완료")</f>
        <v>0</v>
      </c>
      <c r="G29" s="29">
        <f>COUNTIFS(실시간콜입력!$B:$B,$A29,실시간콜입력!$E:$E,"B",실시간콜입력!$G:$G,$B29,실시간콜입력!$O:$O,"방문완료")+COUNTIFS(실시간콜입력!$B:$B,$A29,실시간콜입력!$E:$E,"B",실시간콜입력!$H:$H,$B29,실시간콜입력!$O:$O,"방문완료")</f>
        <v>0</v>
      </c>
      <c r="H29" s="29">
        <f>COUNTIFS(실시간콜입력!$B:$B,$A29,실시간콜입력!$E:$E,"C",실시간콜입력!$G:$G,$B29,실시간콜입력!$O:$O,"방문완료")+COUNTIFS(실시간콜입력!$B:$B,$A29,실시간콜입력!$E:$E,"C",실시간콜입력!$H:$H,$B29,실시간콜입력!$O:$O,"방문완료")</f>
        <v>0</v>
      </c>
      <c r="I29" s="29">
        <f>COUNTIFS(실시간콜입력!$B:$B,$A29,실시간콜입력!$E:$E,"D",실시간콜입력!$G:$G,$B29,실시간콜입력!$O:$O,"방문완료")+COUNTIFS(실시간콜입력!$B:$B,$A29,실시간콜입력!$E:$E,"D",실시간콜입력!$H:$H,$B29,실시간콜입력!$O:$O,"방문완료")</f>
        <v>0</v>
      </c>
      <c r="J29" s="29">
        <f>COUNTIFS(실시간콜입력!$B:$B,$A29,실시간콜입력!$E:$E,"E",실시간콜입력!$G:$G,$B29,실시간콜입력!$O:$O,"방문완료")+COUNTIFS(실시간콜입력!$B:$B,$A29,실시간콜입력!$E:$E,"E",실시간콜입력!$H:$H,$B29,실시간콜입력!$O:$O,"방문완료")</f>
        <v>0</v>
      </c>
      <c r="K29" s="29">
        <f t="shared" si="2"/>
        <v>0</v>
      </c>
      <c r="L29" s="27">
        <f>SUMIFS(실시간콜입력!$K:$K,실시간콜입력!$B:$B,$A29,실시간콜입력!$G:$G,$B29,실시간콜입력!$O:$O,"방문완료")+SUMIFS(실시간콜입력!$L:$L,실시간콜입력!$B:$B,$A29,실시간콜입력!$H:$H,$B29,실시간콜입력!$O:$O,"방문완료")</f>
        <v>0</v>
      </c>
      <c r="M29" s="29" t="str">
        <f t="shared" si="3"/>
        <v/>
      </c>
      <c r="N29" s="29"/>
    </row>
    <row r="30" spans="1:14" ht="19.5" hidden="1" customHeight="1" outlineLevel="1">
      <c r="A30" s="30">
        <f>IF(1&lt;=DAY(DATE(YEAR(설정_코스수당!$K$2),MONTH(설정_코스수당!$K$2)+1,0)),DATE(YEAR(설정_코스수당!$K$2),MONTH(설정_코스수당!$K$2),1),"")</f>
        <v>46174</v>
      </c>
      <c r="B30" s="29" t="s">
        <v>186</v>
      </c>
      <c r="C30" s="29"/>
      <c r="D30" s="29"/>
      <c r="E30" s="29" t="str">
        <f t="shared" si="1"/>
        <v/>
      </c>
      <c r="F30" s="29">
        <f>COUNTIFS(실시간콜입력!$B:$B,$A30,실시간콜입력!$E:$E,"A",실시간콜입력!$G:$G,$B30,실시간콜입력!$O:$O,"방문완료")+COUNTIFS(실시간콜입력!$B:$B,$A30,실시간콜입력!$E:$E,"A",실시간콜입력!$H:$H,$B30,실시간콜입력!$O:$O,"방문완료")</f>
        <v>0</v>
      </c>
      <c r="G30" s="29">
        <f>COUNTIFS(실시간콜입력!$B:$B,$A30,실시간콜입력!$E:$E,"B",실시간콜입력!$G:$G,$B30,실시간콜입력!$O:$O,"방문완료")+COUNTIFS(실시간콜입력!$B:$B,$A30,실시간콜입력!$E:$E,"B",실시간콜입력!$H:$H,$B30,실시간콜입력!$O:$O,"방문완료")</f>
        <v>0</v>
      </c>
      <c r="H30" s="29">
        <f>COUNTIFS(실시간콜입력!$B:$B,$A30,실시간콜입력!$E:$E,"C",실시간콜입력!$G:$G,$B30,실시간콜입력!$O:$O,"방문완료")+COUNTIFS(실시간콜입력!$B:$B,$A30,실시간콜입력!$E:$E,"C",실시간콜입력!$H:$H,$B30,실시간콜입력!$O:$O,"방문완료")</f>
        <v>0</v>
      </c>
      <c r="I30" s="29">
        <f>COUNTIFS(실시간콜입력!$B:$B,$A30,실시간콜입력!$E:$E,"D",실시간콜입력!$G:$G,$B30,실시간콜입력!$O:$O,"방문완료")+COUNTIFS(실시간콜입력!$B:$B,$A30,실시간콜입력!$E:$E,"D",실시간콜입력!$H:$H,$B30,실시간콜입력!$O:$O,"방문완료")</f>
        <v>0</v>
      </c>
      <c r="J30" s="29">
        <f>COUNTIFS(실시간콜입력!$B:$B,$A30,실시간콜입력!$E:$E,"E",실시간콜입력!$G:$G,$B30,실시간콜입력!$O:$O,"방문완료")+COUNTIFS(실시간콜입력!$B:$B,$A30,실시간콜입력!$E:$E,"E",실시간콜입력!$H:$H,$B30,실시간콜입력!$O:$O,"방문완료")</f>
        <v>0</v>
      </c>
      <c r="K30" s="29">
        <f t="shared" si="2"/>
        <v>0</v>
      </c>
      <c r="L30" s="33">
        <f>SUMIFS(실시간콜입력!$K:$K,실시간콜입력!$B:$B,$A30,실시간콜입력!$G:$G,$B30,실시간콜입력!$O:$O,"방문완료")+SUMIFS(실시간콜입력!$L:$L,실시간콜입력!$B:$B,$A30,실시간콜입력!$H:$H,$B30,실시간콜입력!$O:$O,"방문완료")</f>
        <v>0</v>
      </c>
      <c r="M30" s="29" t="str">
        <f t="shared" si="3"/>
        <v/>
      </c>
      <c r="N30" s="29"/>
    </row>
    <row r="31" spans="1:14" ht="19.5" hidden="1" customHeight="1" outlineLevel="1">
      <c r="A31" s="24">
        <f>IF(1&lt;=DAY(DATE(YEAR(설정_코스수당!$K$2),MONTH(설정_코스수당!$K$2)+1,0)),DATE(YEAR(설정_코스수당!$K$2),MONTH(설정_코스수당!$K$2),1),"")</f>
        <v>46174</v>
      </c>
      <c r="B31" s="23" t="s">
        <v>187</v>
      </c>
      <c r="C31" s="29"/>
      <c r="D31" s="29"/>
      <c r="E31" s="29" t="str">
        <f t="shared" si="1"/>
        <v/>
      </c>
      <c r="F31" s="29">
        <f>COUNTIFS(실시간콜입력!$B:$B,$A31,실시간콜입력!$E:$E,"A",실시간콜입력!$G:$G,$B31,실시간콜입력!$O:$O,"방문완료")+COUNTIFS(실시간콜입력!$B:$B,$A31,실시간콜입력!$E:$E,"A",실시간콜입력!$H:$H,$B31,실시간콜입력!$O:$O,"방문완료")</f>
        <v>0</v>
      </c>
      <c r="G31" s="29">
        <f>COUNTIFS(실시간콜입력!$B:$B,$A31,실시간콜입력!$E:$E,"B",실시간콜입력!$G:$G,$B31,실시간콜입력!$O:$O,"방문완료")+COUNTIFS(실시간콜입력!$B:$B,$A31,실시간콜입력!$E:$E,"B",실시간콜입력!$H:$H,$B31,실시간콜입력!$O:$O,"방문완료")</f>
        <v>0</v>
      </c>
      <c r="H31" s="29">
        <f>COUNTIFS(실시간콜입력!$B:$B,$A31,실시간콜입력!$E:$E,"C",실시간콜입력!$G:$G,$B31,실시간콜입력!$O:$O,"방문완료")+COUNTIFS(실시간콜입력!$B:$B,$A31,실시간콜입력!$E:$E,"C",실시간콜입력!$H:$H,$B31,실시간콜입력!$O:$O,"방문완료")</f>
        <v>0</v>
      </c>
      <c r="I31" s="29">
        <f>COUNTIFS(실시간콜입력!$B:$B,$A31,실시간콜입력!$E:$E,"D",실시간콜입력!$G:$G,$B31,실시간콜입력!$O:$O,"방문완료")+COUNTIFS(실시간콜입력!$B:$B,$A31,실시간콜입력!$E:$E,"D",실시간콜입력!$H:$H,$B31,실시간콜입력!$O:$O,"방문완료")</f>
        <v>0</v>
      </c>
      <c r="J31" s="29">
        <f>COUNTIFS(실시간콜입력!$B:$B,$A31,실시간콜입력!$E:$E,"E",실시간콜입력!$G:$G,$B31,실시간콜입력!$O:$O,"방문완료")+COUNTIFS(실시간콜입력!$B:$B,$A31,실시간콜입력!$E:$E,"E",실시간콜입력!$H:$H,$B31,실시간콜입력!$O:$O,"방문완료")</f>
        <v>0</v>
      </c>
      <c r="K31" s="29">
        <f t="shared" si="2"/>
        <v>0</v>
      </c>
      <c r="L31" s="27">
        <f>SUMIFS(실시간콜입력!$K:$K,실시간콜입력!$B:$B,$A31,실시간콜입력!$G:$G,$B31,실시간콜입력!$O:$O,"방문완료")+SUMIFS(실시간콜입력!$L:$L,실시간콜입력!$B:$B,$A31,실시간콜입력!$H:$H,$B31,실시간콜입력!$O:$O,"방문완료")</f>
        <v>0</v>
      </c>
      <c r="M31" s="29" t="str">
        <f t="shared" si="3"/>
        <v/>
      </c>
      <c r="N31" s="29"/>
    </row>
    <row r="32" spans="1:14" ht="19.5" hidden="1" customHeight="1" outlineLevel="1">
      <c r="A32" s="30">
        <f>IF(1&lt;=DAY(DATE(YEAR(설정_코스수당!$K$2),MONTH(설정_코스수당!$K$2)+1,0)),DATE(YEAR(설정_코스수당!$K$2),MONTH(설정_코스수당!$K$2),1),"")</f>
        <v>46174</v>
      </c>
      <c r="B32" s="29" t="s">
        <v>188</v>
      </c>
      <c r="C32" s="29"/>
      <c r="D32" s="29"/>
      <c r="E32" s="29" t="str">
        <f t="shared" si="1"/>
        <v/>
      </c>
      <c r="F32" s="29">
        <f>COUNTIFS(실시간콜입력!$B:$B,$A32,실시간콜입력!$E:$E,"A",실시간콜입력!$G:$G,$B32,실시간콜입력!$O:$O,"방문완료")+COUNTIFS(실시간콜입력!$B:$B,$A32,실시간콜입력!$E:$E,"A",실시간콜입력!$H:$H,$B32,실시간콜입력!$O:$O,"방문완료")</f>
        <v>0</v>
      </c>
      <c r="G32" s="29">
        <f>COUNTIFS(실시간콜입력!$B:$B,$A32,실시간콜입력!$E:$E,"B",실시간콜입력!$G:$G,$B32,실시간콜입력!$O:$O,"방문완료")+COUNTIFS(실시간콜입력!$B:$B,$A32,실시간콜입력!$E:$E,"B",실시간콜입력!$H:$H,$B32,실시간콜입력!$O:$O,"방문완료")</f>
        <v>0</v>
      </c>
      <c r="H32" s="29">
        <f>COUNTIFS(실시간콜입력!$B:$B,$A32,실시간콜입력!$E:$E,"C",실시간콜입력!$G:$G,$B32,실시간콜입력!$O:$O,"방문완료")+COUNTIFS(실시간콜입력!$B:$B,$A32,실시간콜입력!$E:$E,"C",실시간콜입력!$H:$H,$B32,실시간콜입력!$O:$O,"방문완료")</f>
        <v>0</v>
      </c>
      <c r="I32" s="29">
        <f>COUNTIFS(실시간콜입력!$B:$B,$A32,실시간콜입력!$E:$E,"D",실시간콜입력!$G:$G,$B32,실시간콜입력!$O:$O,"방문완료")+COUNTIFS(실시간콜입력!$B:$B,$A32,실시간콜입력!$E:$E,"D",실시간콜입력!$H:$H,$B32,실시간콜입력!$O:$O,"방문완료")</f>
        <v>0</v>
      </c>
      <c r="J32" s="29">
        <f>COUNTIFS(실시간콜입력!$B:$B,$A32,실시간콜입력!$E:$E,"E",실시간콜입력!$G:$G,$B32,실시간콜입력!$O:$O,"방문완료")+COUNTIFS(실시간콜입력!$B:$B,$A32,실시간콜입력!$E:$E,"E",실시간콜입력!$H:$H,$B32,실시간콜입력!$O:$O,"방문완료")</f>
        <v>0</v>
      </c>
      <c r="K32" s="29">
        <f t="shared" si="2"/>
        <v>0</v>
      </c>
      <c r="L32" s="33">
        <f>SUMIFS(실시간콜입력!$K:$K,실시간콜입력!$B:$B,$A32,실시간콜입력!$G:$G,$B32,실시간콜입력!$O:$O,"방문완료")+SUMIFS(실시간콜입력!$L:$L,실시간콜입력!$B:$B,$A32,실시간콜입력!$H:$H,$B32,실시간콜입력!$O:$O,"방문완료")</f>
        <v>0</v>
      </c>
      <c r="M32" s="29" t="str">
        <f t="shared" si="3"/>
        <v/>
      </c>
      <c r="N32" s="29"/>
    </row>
    <row r="33" spans="1:14" ht="19.5" hidden="1" customHeight="1" outlineLevel="1">
      <c r="A33" s="24">
        <f>IF(1&lt;=DAY(DATE(YEAR(설정_코스수당!$K$2),MONTH(설정_코스수당!$K$2)+1,0)),DATE(YEAR(설정_코스수당!$K$2),MONTH(설정_코스수당!$K$2),1),"")</f>
        <v>46174</v>
      </c>
      <c r="B33" s="23" t="s">
        <v>189</v>
      </c>
      <c r="C33" s="29"/>
      <c r="D33" s="29"/>
      <c r="E33" s="29" t="str">
        <f t="shared" si="1"/>
        <v/>
      </c>
      <c r="F33" s="29">
        <f>COUNTIFS(실시간콜입력!$B:$B,$A33,실시간콜입력!$E:$E,"A",실시간콜입력!$G:$G,$B33,실시간콜입력!$O:$O,"방문완료")+COUNTIFS(실시간콜입력!$B:$B,$A33,실시간콜입력!$E:$E,"A",실시간콜입력!$H:$H,$B33,실시간콜입력!$O:$O,"방문완료")</f>
        <v>0</v>
      </c>
      <c r="G33" s="29">
        <f>COUNTIFS(실시간콜입력!$B:$B,$A33,실시간콜입력!$E:$E,"B",실시간콜입력!$G:$G,$B33,실시간콜입력!$O:$O,"방문완료")+COUNTIFS(실시간콜입력!$B:$B,$A33,실시간콜입력!$E:$E,"B",실시간콜입력!$H:$H,$B33,실시간콜입력!$O:$O,"방문완료")</f>
        <v>0</v>
      </c>
      <c r="H33" s="29">
        <f>COUNTIFS(실시간콜입력!$B:$B,$A33,실시간콜입력!$E:$E,"C",실시간콜입력!$G:$G,$B33,실시간콜입력!$O:$O,"방문완료")+COUNTIFS(실시간콜입력!$B:$B,$A33,실시간콜입력!$E:$E,"C",실시간콜입력!$H:$H,$B33,실시간콜입력!$O:$O,"방문완료")</f>
        <v>0</v>
      </c>
      <c r="I33" s="29">
        <f>COUNTIFS(실시간콜입력!$B:$B,$A33,실시간콜입력!$E:$E,"D",실시간콜입력!$G:$G,$B33,실시간콜입력!$O:$O,"방문완료")+COUNTIFS(실시간콜입력!$B:$B,$A33,실시간콜입력!$E:$E,"D",실시간콜입력!$H:$H,$B33,실시간콜입력!$O:$O,"방문완료")</f>
        <v>0</v>
      </c>
      <c r="J33" s="29">
        <f>COUNTIFS(실시간콜입력!$B:$B,$A33,실시간콜입력!$E:$E,"E",실시간콜입력!$G:$G,$B33,실시간콜입력!$O:$O,"방문완료")+COUNTIFS(실시간콜입력!$B:$B,$A33,실시간콜입력!$E:$E,"E",실시간콜입력!$H:$H,$B33,실시간콜입력!$O:$O,"방문완료")</f>
        <v>0</v>
      </c>
      <c r="K33" s="29">
        <f t="shared" si="2"/>
        <v>0</v>
      </c>
      <c r="L33" s="27">
        <f>SUMIFS(실시간콜입력!$K:$K,실시간콜입력!$B:$B,$A33,실시간콜입력!$G:$G,$B33,실시간콜입력!$O:$O,"방문완료")+SUMIFS(실시간콜입력!$L:$L,실시간콜입력!$B:$B,$A33,실시간콜입력!$H:$H,$B33,실시간콜입력!$O:$O,"방문완료")</f>
        <v>0</v>
      </c>
      <c r="M33" s="29" t="str">
        <f t="shared" si="3"/>
        <v/>
      </c>
      <c r="N33" s="29"/>
    </row>
    <row r="34" spans="1:14" ht="19.5" hidden="1" customHeight="1" outlineLevel="1">
      <c r="A34" s="30">
        <f>IF(1&lt;=DAY(DATE(YEAR(설정_코스수당!$K$2),MONTH(설정_코스수당!$K$2)+1,0)),DATE(YEAR(설정_코스수당!$K$2),MONTH(설정_코스수당!$K$2),1),"")</f>
        <v>46174</v>
      </c>
      <c r="B34" s="29" t="s">
        <v>190</v>
      </c>
      <c r="C34" s="29"/>
      <c r="D34" s="29"/>
      <c r="E34" s="29" t="str">
        <f t="shared" si="1"/>
        <v/>
      </c>
      <c r="F34" s="29">
        <f>COUNTIFS(실시간콜입력!$B:$B,$A34,실시간콜입력!$E:$E,"A",실시간콜입력!$G:$G,$B34,실시간콜입력!$O:$O,"방문완료")+COUNTIFS(실시간콜입력!$B:$B,$A34,실시간콜입력!$E:$E,"A",실시간콜입력!$H:$H,$B34,실시간콜입력!$O:$O,"방문완료")</f>
        <v>0</v>
      </c>
      <c r="G34" s="29">
        <f>COUNTIFS(실시간콜입력!$B:$B,$A34,실시간콜입력!$E:$E,"B",실시간콜입력!$G:$G,$B34,실시간콜입력!$O:$O,"방문완료")+COUNTIFS(실시간콜입력!$B:$B,$A34,실시간콜입력!$E:$E,"B",실시간콜입력!$H:$H,$B34,실시간콜입력!$O:$O,"방문완료")</f>
        <v>0</v>
      </c>
      <c r="H34" s="29">
        <f>COUNTIFS(실시간콜입력!$B:$B,$A34,실시간콜입력!$E:$E,"C",실시간콜입력!$G:$G,$B34,실시간콜입력!$O:$O,"방문완료")+COUNTIFS(실시간콜입력!$B:$B,$A34,실시간콜입력!$E:$E,"C",실시간콜입력!$H:$H,$B34,실시간콜입력!$O:$O,"방문완료")</f>
        <v>0</v>
      </c>
      <c r="I34" s="29">
        <f>COUNTIFS(실시간콜입력!$B:$B,$A34,실시간콜입력!$E:$E,"D",실시간콜입력!$G:$G,$B34,실시간콜입력!$O:$O,"방문완료")+COUNTIFS(실시간콜입력!$B:$B,$A34,실시간콜입력!$E:$E,"D",실시간콜입력!$H:$H,$B34,실시간콜입력!$O:$O,"방문완료")</f>
        <v>0</v>
      </c>
      <c r="J34" s="29">
        <f>COUNTIFS(실시간콜입력!$B:$B,$A34,실시간콜입력!$E:$E,"E",실시간콜입력!$G:$G,$B34,실시간콜입력!$O:$O,"방문완료")+COUNTIFS(실시간콜입력!$B:$B,$A34,실시간콜입력!$E:$E,"E",실시간콜입력!$H:$H,$B34,실시간콜입력!$O:$O,"방문완료")</f>
        <v>0</v>
      </c>
      <c r="K34" s="29">
        <f t="shared" si="2"/>
        <v>0</v>
      </c>
      <c r="L34" s="33">
        <f>SUMIFS(실시간콜입력!$K:$K,실시간콜입력!$B:$B,$A34,실시간콜입력!$G:$G,$B34,실시간콜입력!$O:$O,"방문완료")+SUMIFS(실시간콜입력!$L:$L,실시간콜입력!$B:$B,$A34,실시간콜입력!$H:$H,$B34,실시간콜입력!$O:$O,"방문완료")</f>
        <v>0</v>
      </c>
      <c r="M34" s="29" t="str">
        <f t="shared" si="3"/>
        <v/>
      </c>
      <c r="N34" s="29"/>
    </row>
    <row r="35" spans="1:14" ht="19.5" hidden="1" customHeight="1" outlineLevel="1">
      <c r="A35" s="24">
        <f>IF(1&lt;=DAY(DATE(YEAR(설정_코스수당!$K$2),MONTH(설정_코스수당!$K$2)+1,0)),DATE(YEAR(설정_코스수당!$K$2),MONTH(설정_코스수당!$K$2),1),"")</f>
        <v>46174</v>
      </c>
      <c r="B35" s="23" t="s">
        <v>191</v>
      </c>
      <c r="C35" s="29"/>
      <c r="D35" s="29"/>
      <c r="E35" s="29" t="str">
        <f t="shared" si="1"/>
        <v/>
      </c>
      <c r="F35" s="29">
        <f>COUNTIFS(실시간콜입력!$B:$B,$A35,실시간콜입력!$E:$E,"A",실시간콜입력!$G:$G,$B35,실시간콜입력!$O:$O,"방문완료")+COUNTIFS(실시간콜입력!$B:$B,$A35,실시간콜입력!$E:$E,"A",실시간콜입력!$H:$H,$B35,실시간콜입력!$O:$O,"방문완료")</f>
        <v>0</v>
      </c>
      <c r="G35" s="29">
        <f>COUNTIFS(실시간콜입력!$B:$B,$A35,실시간콜입력!$E:$E,"B",실시간콜입력!$G:$G,$B35,실시간콜입력!$O:$O,"방문완료")+COUNTIFS(실시간콜입력!$B:$B,$A35,실시간콜입력!$E:$E,"B",실시간콜입력!$H:$H,$B35,실시간콜입력!$O:$O,"방문완료")</f>
        <v>0</v>
      </c>
      <c r="H35" s="29">
        <f>COUNTIFS(실시간콜입력!$B:$B,$A35,실시간콜입력!$E:$E,"C",실시간콜입력!$G:$G,$B35,실시간콜입력!$O:$O,"방문완료")+COUNTIFS(실시간콜입력!$B:$B,$A35,실시간콜입력!$E:$E,"C",실시간콜입력!$H:$H,$B35,실시간콜입력!$O:$O,"방문완료")</f>
        <v>0</v>
      </c>
      <c r="I35" s="29">
        <f>COUNTIFS(실시간콜입력!$B:$B,$A35,실시간콜입력!$E:$E,"D",실시간콜입력!$G:$G,$B35,실시간콜입력!$O:$O,"방문완료")+COUNTIFS(실시간콜입력!$B:$B,$A35,실시간콜입력!$E:$E,"D",실시간콜입력!$H:$H,$B35,실시간콜입력!$O:$O,"방문완료")</f>
        <v>0</v>
      </c>
      <c r="J35" s="29">
        <f>COUNTIFS(실시간콜입력!$B:$B,$A35,실시간콜입력!$E:$E,"E",실시간콜입력!$G:$G,$B35,실시간콜입력!$O:$O,"방문완료")+COUNTIFS(실시간콜입력!$B:$B,$A35,실시간콜입력!$E:$E,"E",실시간콜입력!$H:$H,$B35,실시간콜입력!$O:$O,"방문완료")</f>
        <v>0</v>
      </c>
      <c r="K35" s="29">
        <f t="shared" si="2"/>
        <v>0</v>
      </c>
      <c r="L35" s="27">
        <f>SUMIFS(실시간콜입력!$K:$K,실시간콜입력!$B:$B,$A35,실시간콜입력!$G:$G,$B35,실시간콜입력!$O:$O,"방문완료")+SUMIFS(실시간콜입력!$L:$L,실시간콜입력!$B:$B,$A35,실시간콜입력!$H:$H,$B35,실시간콜입력!$O:$O,"방문완료")</f>
        <v>0</v>
      </c>
      <c r="M35" s="29" t="str">
        <f t="shared" si="3"/>
        <v/>
      </c>
      <c r="N35" s="29"/>
    </row>
    <row r="36" spans="1:14" ht="19.5" hidden="1" customHeight="1" outlineLevel="1">
      <c r="A36" s="30">
        <f>IF(1&lt;=DAY(DATE(YEAR(설정_코스수당!$K$2),MONTH(설정_코스수당!$K$2)+1,0)),DATE(YEAR(설정_코스수당!$K$2),MONTH(설정_코스수당!$K$2),1),"")</f>
        <v>46174</v>
      </c>
      <c r="B36" s="29" t="s">
        <v>192</v>
      </c>
      <c r="C36" s="29"/>
      <c r="D36" s="29"/>
      <c r="E36" s="29" t="str">
        <f t="shared" si="1"/>
        <v/>
      </c>
      <c r="F36" s="29">
        <f>COUNTIFS(실시간콜입력!$B:$B,$A36,실시간콜입력!$E:$E,"A",실시간콜입력!$G:$G,$B36,실시간콜입력!$O:$O,"방문완료")+COUNTIFS(실시간콜입력!$B:$B,$A36,실시간콜입력!$E:$E,"A",실시간콜입력!$H:$H,$B36,실시간콜입력!$O:$O,"방문완료")</f>
        <v>0</v>
      </c>
      <c r="G36" s="29">
        <f>COUNTIFS(실시간콜입력!$B:$B,$A36,실시간콜입력!$E:$E,"B",실시간콜입력!$G:$G,$B36,실시간콜입력!$O:$O,"방문완료")+COUNTIFS(실시간콜입력!$B:$B,$A36,실시간콜입력!$E:$E,"B",실시간콜입력!$H:$H,$B36,실시간콜입력!$O:$O,"방문완료")</f>
        <v>0</v>
      </c>
      <c r="H36" s="29">
        <f>COUNTIFS(실시간콜입력!$B:$B,$A36,실시간콜입력!$E:$E,"C",실시간콜입력!$G:$G,$B36,실시간콜입력!$O:$O,"방문완료")+COUNTIFS(실시간콜입력!$B:$B,$A36,실시간콜입력!$E:$E,"C",실시간콜입력!$H:$H,$B36,실시간콜입력!$O:$O,"방문완료")</f>
        <v>0</v>
      </c>
      <c r="I36" s="29">
        <f>COUNTIFS(실시간콜입력!$B:$B,$A36,실시간콜입력!$E:$E,"D",실시간콜입력!$G:$G,$B36,실시간콜입력!$O:$O,"방문완료")+COUNTIFS(실시간콜입력!$B:$B,$A36,실시간콜입력!$E:$E,"D",실시간콜입력!$H:$H,$B36,실시간콜입력!$O:$O,"방문완료")</f>
        <v>0</v>
      </c>
      <c r="J36" s="29">
        <f>COUNTIFS(실시간콜입력!$B:$B,$A36,실시간콜입력!$E:$E,"E",실시간콜입력!$G:$G,$B36,실시간콜입력!$O:$O,"방문완료")+COUNTIFS(실시간콜입력!$B:$B,$A36,실시간콜입력!$E:$E,"E",실시간콜입력!$H:$H,$B36,실시간콜입력!$O:$O,"방문완료")</f>
        <v>0</v>
      </c>
      <c r="K36" s="29">
        <f t="shared" si="2"/>
        <v>0</v>
      </c>
      <c r="L36" s="33">
        <f>SUMIFS(실시간콜입력!$K:$K,실시간콜입력!$B:$B,$A36,실시간콜입력!$G:$G,$B36,실시간콜입력!$O:$O,"방문완료")+SUMIFS(실시간콜입력!$L:$L,실시간콜입력!$B:$B,$A36,실시간콜입력!$H:$H,$B36,실시간콜입력!$O:$O,"방문완료")</f>
        <v>0</v>
      </c>
      <c r="M36" s="29" t="str">
        <f t="shared" si="3"/>
        <v/>
      </c>
      <c r="N36" s="29"/>
    </row>
    <row r="37" spans="1:14" ht="19.5" hidden="1" customHeight="1" outlineLevel="1">
      <c r="A37" s="24">
        <f>IF(1&lt;=DAY(DATE(YEAR(설정_코스수당!$K$2),MONTH(설정_코스수당!$K$2)+1,0)),DATE(YEAR(설정_코스수당!$K$2),MONTH(설정_코스수당!$K$2),1),"")</f>
        <v>46174</v>
      </c>
      <c r="B37" s="23" t="s">
        <v>193</v>
      </c>
      <c r="C37" s="29"/>
      <c r="D37" s="29"/>
      <c r="E37" s="29" t="str">
        <f t="shared" si="1"/>
        <v/>
      </c>
      <c r="F37" s="29">
        <f>COUNTIFS(실시간콜입력!$B:$B,$A37,실시간콜입력!$E:$E,"A",실시간콜입력!$G:$G,$B37,실시간콜입력!$O:$O,"방문완료")+COUNTIFS(실시간콜입력!$B:$B,$A37,실시간콜입력!$E:$E,"A",실시간콜입력!$H:$H,$B37,실시간콜입력!$O:$O,"방문완료")</f>
        <v>0</v>
      </c>
      <c r="G37" s="29">
        <f>COUNTIFS(실시간콜입력!$B:$B,$A37,실시간콜입력!$E:$E,"B",실시간콜입력!$G:$G,$B37,실시간콜입력!$O:$O,"방문완료")+COUNTIFS(실시간콜입력!$B:$B,$A37,실시간콜입력!$E:$E,"B",실시간콜입력!$H:$H,$B37,실시간콜입력!$O:$O,"방문완료")</f>
        <v>0</v>
      </c>
      <c r="H37" s="29">
        <f>COUNTIFS(실시간콜입력!$B:$B,$A37,실시간콜입력!$E:$E,"C",실시간콜입력!$G:$G,$B37,실시간콜입력!$O:$O,"방문완료")+COUNTIFS(실시간콜입력!$B:$B,$A37,실시간콜입력!$E:$E,"C",실시간콜입력!$H:$H,$B37,실시간콜입력!$O:$O,"방문완료")</f>
        <v>0</v>
      </c>
      <c r="I37" s="29">
        <f>COUNTIFS(실시간콜입력!$B:$B,$A37,실시간콜입력!$E:$E,"D",실시간콜입력!$G:$G,$B37,실시간콜입력!$O:$O,"방문완료")+COUNTIFS(실시간콜입력!$B:$B,$A37,실시간콜입력!$E:$E,"D",실시간콜입력!$H:$H,$B37,실시간콜입력!$O:$O,"방문완료")</f>
        <v>0</v>
      </c>
      <c r="J37" s="29">
        <f>COUNTIFS(실시간콜입력!$B:$B,$A37,실시간콜입력!$E:$E,"E",실시간콜입력!$G:$G,$B37,실시간콜입력!$O:$O,"방문완료")+COUNTIFS(실시간콜입력!$B:$B,$A37,실시간콜입력!$E:$E,"E",실시간콜입력!$H:$H,$B37,실시간콜입력!$O:$O,"방문완료")</f>
        <v>0</v>
      </c>
      <c r="K37" s="29">
        <f t="shared" si="2"/>
        <v>0</v>
      </c>
      <c r="L37" s="27">
        <f>SUMIFS(실시간콜입력!$K:$K,실시간콜입력!$B:$B,$A37,실시간콜입력!$G:$G,$B37,실시간콜입력!$O:$O,"방문완료")+SUMIFS(실시간콜입력!$L:$L,실시간콜입력!$B:$B,$A37,실시간콜입력!$H:$H,$B37,실시간콜입력!$O:$O,"방문완료")</f>
        <v>0</v>
      </c>
      <c r="M37" s="29" t="str">
        <f t="shared" si="3"/>
        <v/>
      </c>
      <c r="N37" s="29"/>
    </row>
    <row r="38" spans="1:14" ht="19.5" hidden="1" customHeight="1" outlineLevel="1">
      <c r="A38" s="30">
        <f>IF(1&lt;=DAY(DATE(YEAR(설정_코스수당!$K$2),MONTH(설정_코스수당!$K$2)+1,0)),DATE(YEAR(설정_코스수당!$K$2),MONTH(설정_코스수당!$K$2),1),"")</f>
        <v>46174</v>
      </c>
      <c r="B38" s="29" t="s">
        <v>194</v>
      </c>
      <c r="C38" s="29"/>
      <c r="D38" s="29"/>
      <c r="E38" s="29" t="str">
        <f t="shared" si="1"/>
        <v/>
      </c>
      <c r="F38" s="29">
        <f>COUNTIFS(실시간콜입력!$B:$B,$A38,실시간콜입력!$E:$E,"A",실시간콜입력!$G:$G,$B38,실시간콜입력!$O:$O,"방문완료")+COUNTIFS(실시간콜입력!$B:$B,$A38,실시간콜입력!$E:$E,"A",실시간콜입력!$H:$H,$B38,실시간콜입력!$O:$O,"방문완료")</f>
        <v>0</v>
      </c>
      <c r="G38" s="29">
        <f>COUNTIFS(실시간콜입력!$B:$B,$A38,실시간콜입력!$E:$E,"B",실시간콜입력!$G:$G,$B38,실시간콜입력!$O:$O,"방문완료")+COUNTIFS(실시간콜입력!$B:$B,$A38,실시간콜입력!$E:$E,"B",실시간콜입력!$H:$H,$B38,실시간콜입력!$O:$O,"방문완료")</f>
        <v>0</v>
      </c>
      <c r="H38" s="29">
        <f>COUNTIFS(실시간콜입력!$B:$B,$A38,실시간콜입력!$E:$E,"C",실시간콜입력!$G:$G,$B38,실시간콜입력!$O:$O,"방문완료")+COUNTIFS(실시간콜입력!$B:$B,$A38,실시간콜입력!$E:$E,"C",실시간콜입력!$H:$H,$B38,실시간콜입력!$O:$O,"방문완료")</f>
        <v>0</v>
      </c>
      <c r="I38" s="29">
        <f>COUNTIFS(실시간콜입력!$B:$B,$A38,실시간콜입력!$E:$E,"D",실시간콜입력!$G:$G,$B38,실시간콜입력!$O:$O,"방문완료")+COUNTIFS(실시간콜입력!$B:$B,$A38,실시간콜입력!$E:$E,"D",실시간콜입력!$H:$H,$B38,실시간콜입력!$O:$O,"방문완료")</f>
        <v>0</v>
      </c>
      <c r="J38" s="29">
        <f>COUNTIFS(실시간콜입력!$B:$B,$A38,실시간콜입력!$E:$E,"E",실시간콜입력!$G:$G,$B38,실시간콜입력!$O:$O,"방문완료")+COUNTIFS(실시간콜입력!$B:$B,$A38,실시간콜입력!$E:$E,"E",실시간콜입력!$H:$H,$B38,실시간콜입력!$O:$O,"방문완료")</f>
        <v>0</v>
      </c>
      <c r="K38" s="29">
        <f t="shared" si="2"/>
        <v>0</v>
      </c>
      <c r="L38" s="33">
        <f>SUMIFS(실시간콜입력!$K:$K,실시간콜입력!$B:$B,$A38,실시간콜입력!$G:$G,$B38,실시간콜입력!$O:$O,"방문완료")+SUMIFS(실시간콜입력!$L:$L,실시간콜입력!$B:$B,$A38,실시간콜입력!$H:$H,$B38,실시간콜입력!$O:$O,"방문완료")</f>
        <v>0</v>
      </c>
      <c r="M38" s="29" t="str">
        <f t="shared" si="3"/>
        <v/>
      </c>
      <c r="N38" s="29"/>
    </row>
    <row r="39" spans="1:14" ht="19.5" hidden="1" customHeight="1" outlineLevel="1">
      <c r="A39" s="24">
        <f>IF(1&lt;=DAY(DATE(YEAR(설정_코스수당!$K$2),MONTH(설정_코스수당!$K$2)+1,0)),DATE(YEAR(설정_코스수당!$K$2),MONTH(설정_코스수당!$K$2),1),"")</f>
        <v>46174</v>
      </c>
      <c r="B39" s="23" t="s">
        <v>195</v>
      </c>
      <c r="C39" s="29"/>
      <c r="D39" s="29"/>
      <c r="E39" s="29" t="str">
        <f t="shared" ref="E39:E70" si="4">IF(AND(C39&lt;&gt;"",D39&lt;&gt;""),IF(D39&lt;C39,D39+1-C39,D39-C39)*24,"")</f>
        <v/>
      </c>
      <c r="F39" s="29">
        <f>COUNTIFS(실시간콜입력!$B:$B,$A39,실시간콜입력!$E:$E,"A",실시간콜입력!$G:$G,$B39,실시간콜입력!$O:$O,"방문완료")+COUNTIFS(실시간콜입력!$B:$B,$A39,실시간콜입력!$E:$E,"A",실시간콜입력!$H:$H,$B39,실시간콜입력!$O:$O,"방문완료")</f>
        <v>0</v>
      </c>
      <c r="G39" s="29">
        <f>COUNTIFS(실시간콜입력!$B:$B,$A39,실시간콜입력!$E:$E,"B",실시간콜입력!$G:$G,$B39,실시간콜입력!$O:$O,"방문완료")+COUNTIFS(실시간콜입력!$B:$B,$A39,실시간콜입력!$E:$E,"B",실시간콜입력!$H:$H,$B39,실시간콜입력!$O:$O,"방문완료")</f>
        <v>0</v>
      </c>
      <c r="H39" s="29">
        <f>COUNTIFS(실시간콜입력!$B:$B,$A39,실시간콜입력!$E:$E,"C",실시간콜입력!$G:$G,$B39,실시간콜입력!$O:$O,"방문완료")+COUNTIFS(실시간콜입력!$B:$B,$A39,실시간콜입력!$E:$E,"C",실시간콜입력!$H:$H,$B39,실시간콜입력!$O:$O,"방문완료")</f>
        <v>0</v>
      </c>
      <c r="I39" s="29">
        <f>COUNTIFS(실시간콜입력!$B:$B,$A39,실시간콜입력!$E:$E,"D",실시간콜입력!$G:$G,$B39,실시간콜입력!$O:$O,"방문완료")+COUNTIFS(실시간콜입력!$B:$B,$A39,실시간콜입력!$E:$E,"D",실시간콜입력!$H:$H,$B39,실시간콜입력!$O:$O,"방문완료")</f>
        <v>0</v>
      </c>
      <c r="J39" s="29">
        <f>COUNTIFS(실시간콜입력!$B:$B,$A39,실시간콜입력!$E:$E,"E",실시간콜입력!$G:$G,$B39,실시간콜입력!$O:$O,"방문완료")+COUNTIFS(실시간콜입력!$B:$B,$A39,실시간콜입력!$E:$E,"E",실시간콜입력!$H:$H,$B39,실시간콜입력!$O:$O,"방문완료")</f>
        <v>0</v>
      </c>
      <c r="K39" s="29">
        <f t="shared" ref="K39:K70" si="5">SUM(F39:J39)</f>
        <v>0</v>
      </c>
      <c r="L39" s="27">
        <f>SUMIFS(실시간콜입력!$K:$K,실시간콜입력!$B:$B,$A39,실시간콜입력!$G:$G,$B39,실시간콜입력!$O:$O,"방문완료")+SUMIFS(실시간콜입력!$L:$L,실시간콜입력!$B:$B,$A39,실시간콜입력!$H:$H,$B39,실시간콜입력!$O:$O,"방문완료")</f>
        <v>0</v>
      </c>
      <c r="M39" s="29" t="str">
        <f t="shared" ref="M39:M56" si="6">IF(AND(ISNUMBER(E39),E39&gt;=8),"인정","")</f>
        <v/>
      </c>
      <c r="N39" s="29"/>
    </row>
    <row r="40" spans="1:14" ht="19.5" hidden="1" customHeight="1" outlineLevel="1">
      <c r="A40" s="30">
        <f>IF(1&lt;=DAY(DATE(YEAR(설정_코스수당!$K$2),MONTH(설정_코스수당!$K$2)+1,0)),DATE(YEAR(설정_코스수당!$K$2),MONTH(설정_코스수당!$K$2),1),"")</f>
        <v>46174</v>
      </c>
      <c r="B40" s="29" t="s">
        <v>196</v>
      </c>
      <c r="C40" s="29"/>
      <c r="D40" s="29"/>
      <c r="E40" s="29" t="str">
        <f t="shared" si="4"/>
        <v/>
      </c>
      <c r="F40" s="29">
        <f>COUNTIFS(실시간콜입력!$B:$B,$A40,실시간콜입력!$E:$E,"A",실시간콜입력!$G:$G,$B40,실시간콜입력!$O:$O,"방문완료")+COUNTIFS(실시간콜입력!$B:$B,$A40,실시간콜입력!$E:$E,"A",실시간콜입력!$H:$H,$B40,실시간콜입력!$O:$O,"방문완료")</f>
        <v>0</v>
      </c>
      <c r="G40" s="29">
        <f>COUNTIFS(실시간콜입력!$B:$B,$A40,실시간콜입력!$E:$E,"B",실시간콜입력!$G:$G,$B40,실시간콜입력!$O:$O,"방문완료")+COUNTIFS(실시간콜입력!$B:$B,$A40,실시간콜입력!$E:$E,"B",실시간콜입력!$H:$H,$B40,실시간콜입력!$O:$O,"방문완료")</f>
        <v>0</v>
      </c>
      <c r="H40" s="29">
        <f>COUNTIFS(실시간콜입력!$B:$B,$A40,실시간콜입력!$E:$E,"C",실시간콜입력!$G:$G,$B40,실시간콜입력!$O:$O,"방문완료")+COUNTIFS(실시간콜입력!$B:$B,$A40,실시간콜입력!$E:$E,"C",실시간콜입력!$H:$H,$B40,실시간콜입력!$O:$O,"방문완료")</f>
        <v>0</v>
      </c>
      <c r="I40" s="29">
        <f>COUNTIFS(실시간콜입력!$B:$B,$A40,실시간콜입력!$E:$E,"D",실시간콜입력!$G:$G,$B40,실시간콜입력!$O:$O,"방문완료")+COUNTIFS(실시간콜입력!$B:$B,$A40,실시간콜입력!$E:$E,"D",실시간콜입력!$H:$H,$B40,실시간콜입력!$O:$O,"방문완료")</f>
        <v>0</v>
      </c>
      <c r="J40" s="29">
        <f>COUNTIFS(실시간콜입력!$B:$B,$A40,실시간콜입력!$E:$E,"E",실시간콜입력!$G:$G,$B40,실시간콜입력!$O:$O,"방문완료")+COUNTIFS(실시간콜입력!$B:$B,$A40,실시간콜입력!$E:$E,"E",실시간콜입력!$H:$H,$B40,실시간콜입력!$O:$O,"방문완료")</f>
        <v>0</v>
      </c>
      <c r="K40" s="29">
        <f t="shared" si="5"/>
        <v>0</v>
      </c>
      <c r="L40" s="33">
        <f>SUMIFS(실시간콜입력!$K:$K,실시간콜입력!$B:$B,$A40,실시간콜입력!$G:$G,$B40,실시간콜입력!$O:$O,"방문완료")+SUMIFS(실시간콜입력!$L:$L,실시간콜입력!$B:$B,$A40,실시간콜입력!$H:$H,$B40,실시간콜입력!$O:$O,"방문완료")</f>
        <v>0</v>
      </c>
      <c r="M40" s="29" t="str">
        <f t="shared" si="6"/>
        <v/>
      </c>
      <c r="N40" s="29"/>
    </row>
    <row r="41" spans="1:14" ht="19.5" hidden="1" customHeight="1" outlineLevel="1">
      <c r="A41" s="24">
        <f>IF(1&lt;=DAY(DATE(YEAR(설정_코스수당!$K$2),MONTH(설정_코스수당!$K$2)+1,0)),DATE(YEAR(설정_코스수당!$K$2),MONTH(설정_코스수당!$K$2),1),"")</f>
        <v>46174</v>
      </c>
      <c r="B41" s="23" t="s">
        <v>197</v>
      </c>
      <c r="C41" s="29"/>
      <c r="D41" s="29"/>
      <c r="E41" s="29" t="str">
        <f t="shared" si="4"/>
        <v/>
      </c>
      <c r="F41" s="29">
        <f>COUNTIFS(실시간콜입력!$B:$B,$A41,실시간콜입력!$E:$E,"A",실시간콜입력!$G:$G,$B41,실시간콜입력!$O:$O,"방문완료")+COUNTIFS(실시간콜입력!$B:$B,$A41,실시간콜입력!$E:$E,"A",실시간콜입력!$H:$H,$B41,실시간콜입력!$O:$O,"방문완료")</f>
        <v>0</v>
      </c>
      <c r="G41" s="29">
        <f>COUNTIFS(실시간콜입력!$B:$B,$A41,실시간콜입력!$E:$E,"B",실시간콜입력!$G:$G,$B41,실시간콜입력!$O:$O,"방문완료")+COUNTIFS(실시간콜입력!$B:$B,$A41,실시간콜입력!$E:$E,"B",실시간콜입력!$H:$H,$B41,실시간콜입력!$O:$O,"방문완료")</f>
        <v>0</v>
      </c>
      <c r="H41" s="29">
        <f>COUNTIFS(실시간콜입력!$B:$B,$A41,실시간콜입력!$E:$E,"C",실시간콜입력!$G:$G,$B41,실시간콜입력!$O:$O,"방문완료")+COUNTIFS(실시간콜입력!$B:$B,$A41,실시간콜입력!$E:$E,"C",실시간콜입력!$H:$H,$B41,실시간콜입력!$O:$O,"방문완료")</f>
        <v>0</v>
      </c>
      <c r="I41" s="29">
        <f>COUNTIFS(실시간콜입력!$B:$B,$A41,실시간콜입력!$E:$E,"D",실시간콜입력!$G:$G,$B41,실시간콜입력!$O:$O,"방문완료")+COUNTIFS(실시간콜입력!$B:$B,$A41,실시간콜입력!$E:$E,"D",실시간콜입력!$H:$H,$B41,실시간콜입력!$O:$O,"방문완료")</f>
        <v>0</v>
      </c>
      <c r="J41" s="29">
        <f>COUNTIFS(실시간콜입력!$B:$B,$A41,실시간콜입력!$E:$E,"E",실시간콜입력!$G:$G,$B41,실시간콜입력!$O:$O,"방문완료")+COUNTIFS(실시간콜입력!$B:$B,$A41,실시간콜입력!$E:$E,"E",실시간콜입력!$H:$H,$B41,실시간콜입력!$O:$O,"방문완료")</f>
        <v>0</v>
      </c>
      <c r="K41" s="29">
        <f t="shared" si="5"/>
        <v>0</v>
      </c>
      <c r="L41" s="27">
        <f>SUMIFS(실시간콜입력!$K:$K,실시간콜입력!$B:$B,$A41,실시간콜입력!$G:$G,$B41,실시간콜입력!$O:$O,"방문완료")+SUMIFS(실시간콜입력!$L:$L,실시간콜입력!$B:$B,$A41,실시간콜입력!$H:$H,$B41,실시간콜입력!$O:$O,"방문완료")</f>
        <v>0</v>
      </c>
      <c r="M41" s="29" t="str">
        <f t="shared" si="6"/>
        <v/>
      </c>
      <c r="N41" s="29"/>
    </row>
    <row r="42" spans="1:14" ht="19.5" hidden="1" customHeight="1" outlineLevel="1">
      <c r="A42" s="30">
        <f>IF(1&lt;=DAY(DATE(YEAR(설정_코스수당!$K$2),MONTH(설정_코스수당!$K$2)+1,0)),DATE(YEAR(설정_코스수당!$K$2),MONTH(설정_코스수당!$K$2),1),"")</f>
        <v>46174</v>
      </c>
      <c r="B42" s="29" t="s">
        <v>198</v>
      </c>
      <c r="C42" s="29"/>
      <c r="D42" s="29"/>
      <c r="E42" s="29" t="str">
        <f t="shared" si="4"/>
        <v/>
      </c>
      <c r="F42" s="29">
        <f>COUNTIFS(실시간콜입력!$B:$B,$A42,실시간콜입력!$E:$E,"A",실시간콜입력!$G:$G,$B42,실시간콜입력!$O:$O,"방문완료")+COUNTIFS(실시간콜입력!$B:$B,$A42,실시간콜입력!$E:$E,"A",실시간콜입력!$H:$H,$B42,실시간콜입력!$O:$O,"방문완료")</f>
        <v>0</v>
      </c>
      <c r="G42" s="29">
        <f>COUNTIFS(실시간콜입력!$B:$B,$A42,실시간콜입력!$E:$E,"B",실시간콜입력!$G:$G,$B42,실시간콜입력!$O:$O,"방문완료")+COUNTIFS(실시간콜입력!$B:$B,$A42,실시간콜입력!$E:$E,"B",실시간콜입력!$H:$H,$B42,실시간콜입력!$O:$O,"방문완료")</f>
        <v>0</v>
      </c>
      <c r="H42" s="29">
        <f>COUNTIFS(실시간콜입력!$B:$B,$A42,실시간콜입력!$E:$E,"C",실시간콜입력!$G:$G,$B42,실시간콜입력!$O:$O,"방문완료")+COUNTIFS(실시간콜입력!$B:$B,$A42,실시간콜입력!$E:$E,"C",실시간콜입력!$H:$H,$B42,실시간콜입력!$O:$O,"방문완료")</f>
        <v>0</v>
      </c>
      <c r="I42" s="29">
        <f>COUNTIFS(실시간콜입력!$B:$B,$A42,실시간콜입력!$E:$E,"D",실시간콜입력!$G:$G,$B42,실시간콜입력!$O:$O,"방문완료")+COUNTIFS(실시간콜입력!$B:$B,$A42,실시간콜입력!$E:$E,"D",실시간콜입력!$H:$H,$B42,실시간콜입력!$O:$O,"방문완료")</f>
        <v>0</v>
      </c>
      <c r="J42" s="29">
        <f>COUNTIFS(실시간콜입력!$B:$B,$A42,실시간콜입력!$E:$E,"E",실시간콜입력!$G:$G,$B42,실시간콜입력!$O:$O,"방문완료")+COUNTIFS(실시간콜입력!$B:$B,$A42,실시간콜입력!$E:$E,"E",실시간콜입력!$H:$H,$B42,실시간콜입력!$O:$O,"방문완료")</f>
        <v>0</v>
      </c>
      <c r="K42" s="29">
        <f t="shared" si="5"/>
        <v>0</v>
      </c>
      <c r="L42" s="33">
        <f>SUMIFS(실시간콜입력!$K:$K,실시간콜입력!$B:$B,$A42,실시간콜입력!$G:$G,$B42,실시간콜입력!$O:$O,"방문완료")+SUMIFS(실시간콜입력!$L:$L,실시간콜입력!$B:$B,$A42,실시간콜입력!$H:$H,$B42,실시간콜입력!$O:$O,"방문완료")</f>
        <v>0</v>
      </c>
      <c r="M42" s="29" t="str">
        <f t="shared" si="6"/>
        <v/>
      </c>
      <c r="N42" s="29"/>
    </row>
    <row r="43" spans="1:14" ht="19.5" hidden="1" customHeight="1" outlineLevel="1">
      <c r="A43" s="24">
        <f>IF(1&lt;=DAY(DATE(YEAR(설정_코스수당!$K$2),MONTH(설정_코스수당!$K$2)+1,0)),DATE(YEAR(설정_코스수당!$K$2),MONTH(설정_코스수당!$K$2),1),"")</f>
        <v>46174</v>
      </c>
      <c r="B43" s="23" t="s">
        <v>199</v>
      </c>
      <c r="C43" s="29"/>
      <c r="D43" s="29"/>
      <c r="E43" s="29" t="str">
        <f t="shared" si="4"/>
        <v/>
      </c>
      <c r="F43" s="29">
        <f>COUNTIFS(실시간콜입력!$B:$B,$A43,실시간콜입력!$E:$E,"A",실시간콜입력!$G:$G,$B43,실시간콜입력!$O:$O,"방문완료")+COUNTIFS(실시간콜입력!$B:$B,$A43,실시간콜입력!$E:$E,"A",실시간콜입력!$H:$H,$B43,실시간콜입력!$O:$O,"방문완료")</f>
        <v>0</v>
      </c>
      <c r="G43" s="29">
        <f>COUNTIFS(실시간콜입력!$B:$B,$A43,실시간콜입력!$E:$E,"B",실시간콜입력!$G:$G,$B43,실시간콜입력!$O:$O,"방문완료")+COUNTIFS(실시간콜입력!$B:$B,$A43,실시간콜입력!$E:$E,"B",실시간콜입력!$H:$H,$B43,실시간콜입력!$O:$O,"방문완료")</f>
        <v>0</v>
      </c>
      <c r="H43" s="29">
        <f>COUNTIFS(실시간콜입력!$B:$B,$A43,실시간콜입력!$E:$E,"C",실시간콜입력!$G:$G,$B43,실시간콜입력!$O:$O,"방문완료")+COUNTIFS(실시간콜입력!$B:$B,$A43,실시간콜입력!$E:$E,"C",실시간콜입력!$H:$H,$B43,실시간콜입력!$O:$O,"방문완료")</f>
        <v>0</v>
      </c>
      <c r="I43" s="29">
        <f>COUNTIFS(실시간콜입력!$B:$B,$A43,실시간콜입력!$E:$E,"D",실시간콜입력!$G:$G,$B43,실시간콜입력!$O:$O,"방문완료")+COUNTIFS(실시간콜입력!$B:$B,$A43,실시간콜입력!$E:$E,"D",실시간콜입력!$H:$H,$B43,실시간콜입력!$O:$O,"방문완료")</f>
        <v>0</v>
      </c>
      <c r="J43" s="29">
        <f>COUNTIFS(실시간콜입력!$B:$B,$A43,실시간콜입력!$E:$E,"E",실시간콜입력!$G:$G,$B43,실시간콜입력!$O:$O,"방문완료")+COUNTIFS(실시간콜입력!$B:$B,$A43,실시간콜입력!$E:$E,"E",실시간콜입력!$H:$H,$B43,실시간콜입력!$O:$O,"방문완료")</f>
        <v>0</v>
      </c>
      <c r="K43" s="29">
        <f t="shared" si="5"/>
        <v>0</v>
      </c>
      <c r="L43" s="27">
        <f>SUMIFS(실시간콜입력!$K:$K,실시간콜입력!$B:$B,$A43,실시간콜입력!$G:$G,$B43,실시간콜입력!$O:$O,"방문완료")+SUMIFS(실시간콜입력!$L:$L,실시간콜입력!$B:$B,$A43,실시간콜입력!$H:$H,$B43,실시간콜입력!$O:$O,"방문완료")</f>
        <v>0</v>
      </c>
      <c r="M43" s="29" t="str">
        <f t="shared" si="6"/>
        <v/>
      </c>
      <c r="N43" s="29"/>
    </row>
    <row r="44" spans="1:14" ht="19.5" hidden="1" customHeight="1" outlineLevel="1">
      <c r="A44" s="30">
        <f>IF(1&lt;=DAY(DATE(YEAR(설정_코스수당!$K$2),MONTH(설정_코스수당!$K$2)+1,0)),DATE(YEAR(설정_코스수당!$K$2),MONTH(설정_코스수당!$K$2),1),"")</f>
        <v>46174</v>
      </c>
      <c r="B44" s="29" t="s">
        <v>200</v>
      </c>
      <c r="C44" s="29"/>
      <c r="D44" s="29"/>
      <c r="E44" s="29" t="str">
        <f t="shared" si="4"/>
        <v/>
      </c>
      <c r="F44" s="29">
        <f>COUNTIFS(실시간콜입력!$B:$B,$A44,실시간콜입력!$E:$E,"A",실시간콜입력!$G:$G,$B44,실시간콜입력!$O:$O,"방문완료")+COUNTIFS(실시간콜입력!$B:$B,$A44,실시간콜입력!$E:$E,"A",실시간콜입력!$H:$H,$B44,실시간콜입력!$O:$O,"방문완료")</f>
        <v>0</v>
      </c>
      <c r="G44" s="29">
        <f>COUNTIFS(실시간콜입력!$B:$B,$A44,실시간콜입력!$E:$E,"B",실시간콜입력!$G:$G,$B44,실시간콜입력!$O:$O,"방문완료")+COUNTIFS(실시간콜입력!$B:$B,$A44,실시간콜입력!$E:$E,"B",실시간콜입력!$H:$H,$B44,실시간콜입력!$O:$O,"방문완료")</f>
        <v>0</v>
      </c>
      <c r="H44" s="29">
        <f>COUNTIFS(실시간콜입력!$B:$B,$A44,실시간콜입력!$E:$E,"C",실시간콜입력!$G:$G,$B44,실시간콜입력!$O:$O,"방문완료")+COUNTIFS(실시간콜입력!$B:$B,$A44,실시간콜입력!$E:$E,"C",실시간콜입력!$H:$H,$B44,실시간콜입력!$O:$O,"방문완료")</f>
        <v>0</v>
      </c>
      <c r="I44" s="29">
        <f>COUNTIFS(실시간콜입력!$B:$B,$A44,실시간콜입력!$E:$E,"D",실시간콜입력!$G:$G,$B44,실시간콜입력!$O:$O,"방문완료")+COUNTIFS(실시간콜입력!$B:$B,$A44,실시간콜입력!$E:$E,"D",실시간콜입력!$H:$H,$B44,실시간콜입력!$O:$O,"방문완료")</f>
        <v>0</v>
      </c>
      <c r="J44" s="29">
        <f>COUNTIFS(실시간콜입력!$B:$B,$A44,실시간콜입력!$E:$E,"E",실시간콜입력!$G:$G,$B44,실시간콜입력!$O:$O,"방문완료")+COUNTIFS(실시간콜입력!$B:$B,$A44,실시간콜입력!$E:$E,"E",실시간콜입력!$H:$H,$B44,실시간콜입력!$O:$O,"방문완료")</f>
        <v>0</v>
      </c>
      <c r="K44" s="29">
        <f t="shared" si="5"/>
        <v>0</v>
      </c>
      <c r="L44" s="33">
        <f>SUMIFS(실시간콜입력!$K:$K,실시간콜입력!$B:$B,$A44,실시간콜입력!$G:$G,$B44,실시간콜입력!$O:$O,"방문완료")+SUMIFS(실시간콜입력!$L:$L,실시간콜입력!$B:$B,$A44,실시간콜입력!$H:$H,$B44,실시간콜입력!$O:$O,"방문완료")</f>
        <v>0</v>
      </c>
      <c r="M44" s="29" t="str">
        <f t="shared" si="6"/>
        <v/>
      </c>
      <c r="N44" s="29"/>
    </row>
    <row r="45" spans="1:14" ht="19.5" hidden="1" customHeight="1" outlineLevel="1">
      <c r="A45" s="24">
        <f>IF(1&lt;=DAY(DATE(YEAR(설정_코스수당!$K$2),MONTH(설정_코스수당!$K$2)+1,0)),DATE(YEAR(설정_코스수당!$K$2),MONTH(설정_코스수당!$K$2),1),"")</f>
        <v>46174</v>
      </c>
      <c r="B45" s="23" t="s">
        <v>201</v>
      </c>
      <c r="C45" s="29"/>
      <c r="D45" s="29"/>
      <c r="E45" s="29" t="str">
        <f t="shared" si="4"/>
        <v/>
      </c>
      <c r="F45" s="29">
        <f>COUNTIFS(실시간콜입력!$B:$B,$A45,실시간콜입력!$E:$E,"A",실시간콜입력!$G:$G,$B45,실시간콜입력!$O:$O,"방문완료")+COUNTIFS(실시간콜입력!$B:$B,$A45,실시간콜입력!$E:$E,"A",실시간콜입력!$H:$H,$B45,실시간콜입력!$O:$O,"방문완료")</f>
        <v>0</v>
      </c>
      <c r="G45" s="29">
        <f>COUNTIFS(실시간콜입력!$B:$B,$A45,실시간콜입력!$E:$E,"B",실시간콜입력!$G:$G,$B45,실시간콜입력!$O:$O,"방문완료")+COUNTIFS(실시간콜입력!$B:$B,$A45,실시간콜입력!$E:$E,"B",실시간콜입력!$H:$H,$B45,실시간콜입력!$O:$O,"방문완료")</f>
        <v>0</v>
      </c>
      <c r="H45" s="29">
        <f>COUNTIFS(실시간콜입력!$B:$B,$A45,실시간콜입력!$E:$E,"C",실시간콜입력!$G:$G,$B45,실시간콜입력!$O:$O,"방문완료")+COUNTIFS(실시간콜입력!$B:$B,$A45,실시간콜입력!$E:$E,"C",실시간콜입력!$H:$H,$B45,실시간콜입력!$O:$O,"방문완료")</f>
        <v>0</v>
      </c>
      <c r="I45" s="29">
        <f>COUNTIFS(실시간콜입력!$B:$B,$A45,실시간콜입력!$E:$E,"D",실시간콜입력!$G:$G,$B45,실시간콜입력!$O:$O,"방문완료")+COUNTIFS(실시간콜입력!$B:$B,$A45,실시간콜입력!$E:$E,"D",실시간콜입력!$H:$H,$B45,실시간콜입력!$O:$O,"방문완료")</f>
        <v>0</v>
      </c>
      <c r="J45" s="29">
        <f>COUNTIFS(실시간콜입력!$B:$B,$A45,실시간콜입력!$E:$E,"E",실시간콜입력!$G:$G,$B45,실시간콜입력!$O:$O,"방문완료")+COUNTIFS(실시간콜입력!$B:$B,$A45,실시간콜입력!$E:$E,"E",실시간콜입력!$H:$H,$B45,실시간콜입력!$O:$O,"방문완료")</f>
        <v>0</v>
      </c>
      <c r="K45" s="29">
        <f t="shared" si="5"/>
        <v>0</v>
      </c>
      <c r="L45" s="27">
        <f>SUMIFS(실시간콜입력!$K:$K,실시간콜입력!$B:$B,$A45,실시간콜입력!$G:$G,$B45,실시간콜입력!$O:$O,"방문완료")+SUMIFS(실시간콜입력!$L:$L,실시간콜입력!$B:$B,$A45,실시간콜입력!$H:$H,$B45,실시간콜입력!$O:$O,"방문완료")</f>
        <v>0</v>
      </c>
      <c r="M45" s="29" t="str">
        <f t="shared" si="6"/>
        <v/>
      </c>
      <c r="N45" s="29"/>
    </row>
    <row r="46" spans="1:14" ht="19.5" hidden="1" customHeight="1" outlineLevel="1">
      <c r="A46" s="30">
        <f>IF(1&lt;=DAY(DATE(YEAR(설정_코스수당!$K$2),MONTH(설정_코스수당!$K$2)+1,0)),DATE(YEAR(설정_코스수당!$K$2),MONTH(설정_코스수당!$K$2),1),"")</f>
        <v>46174</v>
      </c>
      <c r="B46" s="29" t="s">
        <v>202</v>
      </c>
      <c r="C46" s="29"/>
      <c r="D46" s="29"/>
      <c r="E46" s="29" t="str">
        <f t="shared" si="4"/>
        <v/>
      </c>
      <c r="F46" s="29">
        <f>COUNTIFS(실시간콜입력!$B:$B,$A46,실시간콜입력!$E:$E,"A",실시간콜입력!$G:$G,$B46,실시간콜입력!$O:$O,"방문완료")+COUNTIFS(실시간콜입력!$B:$B,$A46,실시간콜입력!$E:$E,"A",실시간콜입력!$H:$H,$B46,실시간콜입력!$O:$O,"방문완료")</f>
        <v>0</v>
      </c>
      <c r="G46" s="29">
        <f>COUNTIFS(실시간콜입력!$B:$B,$A46,실시간콜입력!$E:$E,"B",실시간콜입력!$G:$G,$B46,실시간콜입력!$O:$O,"방문완료")+COUNTIFS(실시간콜입력!$B:$B,$A46,실시간콜입력!$E:$E,"B",실시간콜입력!$H:$H,$B46,실시간콜입력!$O:$O,"방문완료")</f>
        <v>0</v>
      </c>
      <c r="H46" s="29">
        <f>COUNTIFS(실시간콜입력!$B:$B,$A46,실시간콜입력!$E:$E,"C",실시간콜입력!$G:$G,$B46,실시간콜입력!$O:$O,"방문완료")+COUNTIFS(실시간콜입력!$B:$B,$A46,실시간콜입력!$E:$E,"C",실시간콜입력!$H:$H,$B46,실시간콜입력!$O:$O,"방문완료")</f>
        <v>0</v>
      </c>
      <c r="I46" s="29">
        <f>COUNTIFS(실시간콜입력!$B:$B,$A46,실시간콜입력!$E:$E,"D",실시간콜입력!$G:$G,$B46,실시간콜입력!$O:$O,"방문완료")+COUNTIFS(실시간콜입력!$B:$B,$A46,실시간콜입력!$E:$E,"D",실시간콜입력!$H:$H,$B46,실시간콜입력!$O:$O,"방문완료")</f>
        <v>0</v>
      </c>
      <c r="J46" s="29">
        <f>COUNTIFS(실시간콜입력!$B:$B,$A46,실시간콜입력!$E:$E,"E",실시간콜입력!$G:$G,$B46,실시간콜입력!$O:$O,"방문완료")+COUNTIFS(실시간콜입력!$B:$B,$A46,실시간콜입력!$E:$E,"E",실시간콜입력!$H:$H,$B46,실시간콜입력!$O:$O,"방문완료")</f>
        <v>0</v>
      </c>
      <c r="K46" s="29">
        <f t="shared" si="5"/>
        <v>0</v>
      </c>
      <c r="L46" s="33">
        <f>SUMIFS(실시간콜입력!$K:$K,실시간콜입력!$B:$B,$A46,실시간콜입력!$G:$G,$B46,실시간콜입력!$O:$O,"방문완료")+SUMIFS(실시간콜입력!$L:$L,실시간콜입력!$B:$B,$A46,실시간콜입력!$H:$H,$B46,실시간콜입력!$O:$O,"방문완료")</f>
        <v>0</v>
      </c>
      <c r="M46" s="29" t="str">
        <f t="shared" si="6"/>
        <v/>
      </c>
      <c r="N46" s="29"/>
    </row>
    <row r="47" spans="1:14" ht="19.5" hidden="1" customHeight="1" outlineLevel="1">
      <c r="A47" s="24">
        <f>IF(1&lt;=DAY(DATE(YEAR(설정_코스수당!$K$2),MONTH(설정_코스수당!$K$2)+1,0)),DATE(YEAR(설정_코스수당!$K$2),MONTH(설정_코스수당!$K$2),1),"")</f>
        <v>46174</v>
      </c>
      <c r="B47" s="23" t="s">
        <v>203</v>
      </c>
      <c r="C47" s="29"/>
      <c r="D47" s="29"/>
      <c r="E47" s="29" t="str">
        <f t="shared" si="4"/>
        <v/>
      </c>
      <c r="F47" s="29">
        <f>COUNTIFS(실시간콜입력!$B:$B,$A47,실시간콜입력!$E:$E,"A",실시간콜입력!$G:$G,$B47,실시간콜입력!$O:$O,"방문완료")+COUNTIFS(실시간콜입력!$B:$B,$A47,실시간콜입력!$E:$E,"A",실시간콜입력!$H:$H,$B47,실시간콜입력!$O:$O,"방문완료")</f>
        <v>0</v>
      </c>
      <c r="G47" s="29">
        <f>COUNTIFS(실시간콜입력!$B:$B,$A47,실시간콜입력!$E:$E,"B",실시간콜입력!$G:$G,$B47,실시간콜입력!$O:$O,"방문완료")+COUNTIFS(실시간콜입력!$B:$B,$A47,실시간콜입력!$E:$E,"B",실시간콜입력!$H:$H,$B47,실시간콜입력!$O:$O,"방문완료")</f>
        <v>0</v>
      </c>
      <c r="H47" s="29">
        <f>COUNTIFS(실시간콜입력!$B:$B,$A47,실시간콜입력!$E:$E,"C",실시간콜입력!$G:$G,$B47,실시간콜입력!$O:$O,"방문완료")+COUNTIFS(실시간콜입력!$B:$B,$A47,실시간콜입력!$E:$E,"C",실시간콜입력!$H:$H,$B47,실시간콜입력!$O:$O,"방문완료")</f>
        <v>0</v>
      </c>
      <c r="I47" s="29">
        <f>COUNTIFS(실시간콜입력!$B:$B,$A47,실시간콜입력!$E:$E,"D",실시간콜입력!$G:$G,$B47,실시간콜입력!$O:$O,"방문완료")+COUNTIFS(실시간콜입력!$B:$B,$A47,실시간콜입력!$E:$E,"D",실시간콜입력!$H:$H,$B47,실시간콜입력!$O:$O,"방문완료")</f>
        <v>0</v>
      </c>
      <c r="J47" s="29">
        <f>COUNTIFS(실시간콜입력!$B:$B,$A47,실시간콜입력!$E:$E,"E",실시간콜입력!$G:$G,$B47,실시간콜입력!$O:$O,"방문완료")+COUNTIFS(실시간콜입력!$B:$B,$A47,실시간콜입력!$E:$E,"E",실시간콜입력!$H:$H,$B47,실시간콜입력!$O:$O,"방문완료")</f>
        <v>0</v>
      </c>
      <c r="K47" s="29">
        <f t="shared" si="5"/>
        <v>0</v>
      </c>
      <c r="L47" s="27">
        <f>SUMIFS(실시간콜입력!$K:$K,실시간콜입력!$B:$B,$A47,실시간콜입력!$G:$G,$B47,실시간콜입력!$O:$O,"방문완료")+SUMIFS(실시간콜입력!$L:$L,실시간콜입력!$B:$B,$A47,실시간콜입력!$H:$H,$B47,실시간콜입력!$O:$O,"방문완료")</f>
        <v>0</v>
      </c>
      <c r="M47" s="29" t="str">
        <f t="shared" si="6"/>
        <v/>
      </c>
      <c r="N47" s="29"/>
    </row>
    <row r="48" spans="1:14" ht="19.5" hidden="1" customHeight="1" outlineLevel="1">
      <c r="A48" s="30">
        <f>IF(1&lt;=DAY(DATE(YEAR(설정_코스수당!$K$2),MONTH(설정_코스수당!$K$2)+1,0)),DATE(YEAR(설정_코스수당!$K$2),MONTH(설정_코스수당!$K$2),1),"")</f>
        <v>46174</v>
      </c>
      <c r="B48" s="29" t="s">
        <v>204</v>
      </c>
      <c r="C48" s="29"/>
      <c r="D48" s="29"/>
      <c r="E48" s="29" t="str">
        <f t="shared" si="4"/>
        <v/>
      </c>
      <c r="F48" s="29">
        <f>COUNTIFS(실시간콜입력!$B:$B,$A48,실시간콜입력!$E:$E,"A",실시간콜입력!$G:$G,$B48,실시간콜입력!$O:$O,"방문완료")+COUNTIFS(실시간콜입력!$B:$B,$A48,실시간콜입력!$E:$E,"A",실시간콜입력!$H:$H,$B48,실시간콜입력!$O:$O,"방문완료")</f>
        <v>0</v>
      </c>
      <c r="G48" s="29">
        <f>COUNTIFS(실시간콜입력!$B:$B,$A48,실시간콜입력!$E:$E,"B",실시간콜입력!$G:$G,$B48,실시간콜입력!$O:$O,"방문완료")+COUNTIFS(실시간콜입력!$B:$B,$A48,실시간콜입력!$E:$E,"B",실시간콜입력!$H:$H,$B48,실시간콜입력!$O:$O,"방문완료")</f>
        <v>0</v>
      </c>
      <c r="H48" s="29">
        <f>COUNTIFS(실시간콜입력!$B:$B,$A48,실시간콜입력!$E:$E,"C",실시간콜입력!$G:$G,$B48,실시간콜입력!$O:$O,"방문완료")+COUNTIFS(실시간콜입력!$B:$B,$A48,실시간콜입력!$E:$E,"C",실시간콜입력!$H:$H,$B48,실시간콜입력!$O:$O,"방문완료")</f>
        <v>0</v>
      </c>
      <c r="I48" s="29">
        <f>COUNTIFS(실시간콜입력!$B:$B,$A48,실시간콜입력!$E:$E,"D",실시간콜입력!$G:$G,$B48,실시간콜입력!$O:$O,"방문완료")+COUNTIFS(실시간콜입력!$B:$B,$A48,실시간콜입력!$E:$E,"D",실시간콜입력!$H:$H,$B48,실시간콜입력!$O:$O,"방문완료")</f>
        <v>0</v>
      </c>
      <c r="J48" s="29">
        <f>COUNTIFS(실시간콜입력!$B:$B,$A48,실시간콜입력!$E:$E,"E",실시간콜입력!$G:$G,$B48,실시간콜입력!$O:$O,"방문완료")+COUNTIFS(실시간콜입력!$B:$B,$A48,실시간콜입력!$E:$E,"E",실시간콜입력!$H:$H,$B48,실시간콜입력!$O:$O,"방문완료")</f>
        <v>0</v>
      </c>
      <c r="K48" s="29">
        <f t="shared" si="5"/>
        <v>0</v>
      </c>
      <c r="L48" s="33">
        <f>SUMIFS(실시간콜입력!$K:$K,실시간콜입력!$B:$B,$A48,실시간콜입력!$G:$G,$B48,실시간콜입력!$O:$O,"방문완료")+SUMIFS(실시간콜입력!$L:$L,실시간콜입력!$B:$B,$A48,실시간콜입력!$H:$H,$B48,실시간콜입력!$O:$O,"방문완료")</f>
        <v>0</v>
      </c>
      <c r="M48" s="29" t="str">
        <f t="shared" si="6"/>
        <v/>
      </c>
      <c r="N48" s="29"/>
    </row>
    <row r="49" spans="1:14" ht="19.5" hidden="1" customHeight="1" outlineLevel="1">
      <c r="A49" s="24">
        <f>IF(1&lt;=DAY(DATE(YEAR(설정_코스수당!$K$2),MONTH(설정_코스수당!$K$2)+1,0)),DATE(YEAR(설정_코스수당!$K$2),MONTH(설정_코스수당!$K$2),1),"")</f>
        <v>46174</v>
      </c>
      <c r="B49" s="23" t="s">
        <v>205</v>
      </c>
      <c r="C49" s="29"/>
      <c r="D49" s="29"/>
      <c r="E49" s="29" t="str">
        <f t="shared" si="4"/>
        <v/>
      </c>
      <c r="F49" s="29">
        <f>COUNTIFS(실시간콜입력!$B:$B,$A49,실시간콜입력!$E:$E,"A",실시간콜입력!$G:$G,$B49,실시간콜입력!$O:$O,"방문완료")+COUNTIFS(실시간콜입력!$B:$B,$A49,실시간콜입력!$E:$E,"A",실시간콜입력!$H:$H,$B49,실시간콜입력!$O:$O,"방문완료")</f>
        <v>0</v>
      </c>
      <c r="G49" s="29">
        <f>COUNTIFS(실시간콜입력!$B:$B,$A49,실시간콜입력!$E:$E,"B",실시간콜입력!$G:$G,$B49,실시간콜입력!$O:$O,"방문완료")+COUNTIFS(실시간콜입력!$B:$B,$A49,실시간콜입력!$E:$E,"B",실시간콜입력!$H:$H,$B49,실시간콜입력!$O:$O,"방문완료")</f>
        <v>0</v>
      </c>
      <c r="H49" s="29">
        <f>COUNTIFS(실시간콜입력!$B:$B,$A49,실시간콜입력!$E:$E,"C",실시간콜입력!$G:$G,$B49,실시간콜입력!$O:$O,"방문완료")+COUNTIFS(실시간콜입력!$B:$B,$A49,실시간콜입력!$E:$E,"C",실시간콜입력!$H:$H,$B49,실시간콜입력!$O:$O,"방문완료")</f>
        <v>0</v>
      </c>
      <c r="I49" s="29">
        <f>COUNTIFS(실시간콜입력!$B:$B,$A49,실시간콜입력!$E:$E,"D",실시간콜입력!$G:$G,$B49,실시간콜입력!$O:$O,"방문완료")+COUNTIFS(실시간콜입력!$B:$B,$A49,실시간콜입력!$E:$E,"D",실시간콜입력!$H:$H,$B49,실시간콜입력!$O:$O,"방문완료")</f>
        <v>0</v>
      </c>
      <c r="J49" s="29">
        <f>COUNTIFS(실시간콜입력!$B:$B,$A49,실시간콜입력!$E:$E,"E",실시간콜입력!$G:$G,$B49,실시간콜입력!$O:$O,"방문완료")+COUNTIFS(실시간콜입력!$B:$B,$A49,실시간콜입력!$E:$E,"E",실시간콜입력!$H:$H,$B49,실시간콜입력!$O:$O,"방문완료")</f>
        <v>0</v>
      </c>
      <c r="K49" s="29">
        <f t="shared" si="5"/>
        <v>0</v>
      </c>
      <c r="L49" s="27">
        <f>SUMIFS(실시간콜입력!$K:$K,실시간콜입력!$B:$B,$A49,실시간콜입력!$G:$G,$B49,실시간콜입력!$O:$O,"방문완료")+SUMIFS(실시간콜입력!$L:$L,실시간콜입력!$B:$B,$A49,실시간콜입력!$H:$H,$B49,실시간콜입력!$O:$O,"방문완료")</f>
        <v>0</v>
      </c>
      <c r="M49" s="29" t="str">
        <f t="shared" si="6"/>
        <v/>
      </c>
      <c r="N49" s="29"/>
    </row>
    <row r="50" spans="1:14" ht="19.5" hidden="1" customHeight="1" outlineLevel="1">
      <c r="A50" s="30">
        <f>IF(1&lt;=DAY(DATE(YEAR(설정_코스수당!$K$2),MONTH(설정_코스수당!$K$2)+1,0)),DATE(YEAR(설정_코스수당!$K$2),MONTH(설정_코스수당!$K$2),1),"")</f>
        <v>46174</v>
      </c>
      <c r="B50" s="29" t="s">
        <v>206</v>
      </c>
      <c r="C50" s="29"/>
      <c r="D50" s="29"/>
      <c r="E50" s="29" t="str">
        <f t="shared" si="4"/>
        <v/>
      </c>
      <c r="F50" s="29">
        <f>COUNTIFS(실시간콜입력!$B:$B,$A50,실시간콜입력!$E:$E,"A",실시간콜입력!$G:$G,$B50,실시간콜입력!$O:$O,"방문완료")+COUNTIFS(실시간콜입력!$B:$B,$A50,실시간콜입력!$E:$E,"A",실시간콜입력!$H:$H,$B50,실시간콜입력!$O:$O,"방문완료")</f>
        <v>0</v>
      </c>
      <c r="G50" s="29">
        <f>COUNTIFS(실시간콜입력!$B:$B,$A50,실시간콜입력!$E:$E,"B",실시간콜입력!$G:$G,$B50,실시간콜입력!$O:$O,"방문완료")+COUNTIFS(실시간콜입력!$B:$B,$A50,실시간콜입력!$E:$E,"B",실시간콜입력!$H:$H,$B50,실시간콜입력!$O:$O,"방문완료")</f>
        <v>0</v>
      </c>
      <c r="H50" s="29">
        <f>COUNTIFS(실시간콜입력!$B:$B,$A50,실시간콜입력!$E:$E,"C",실시간콜입력!$G:$G,$B50,실시간콜입력!$O:$O,"방문완료")+COUNTIFS(실시간콜입력!$B:$B,$A50,실시간콜입력!$E:$E,"C",실시간콜입력!$H:$H,$B50,실시간콜입력!$O:$O,"방문완료")</f>
        <v>0</v>
      </c>
      <c r="I50" s="29">
        <f>COUNTIFS(실시간콜입력!$B:$B,$A50,실시간콜입력!$E:$E,"D",실시간콜입력!$G:$G,$B50,실시간콜입력!$O:$O,"방문완료")+COUNTIFS(실시간콜입력!$B:$B,$A50,실시간콜입력!$E:$E,"D",실시간콜입력!$H:$H,$B50,실시간콜입력!$O:$O,"방문완료")</f>
        <v>0</v>
      </c>
      <c r="J50" s="29">
        <f>COUNTIFS(실시간콜입력!$B:$B,$A50,실시간콜입력!$E:$E,"E",실시간콜입력!$G:$G,$B50,실시간콜입력!$O:$O,"방문완료")+COUNTIFS(실시간콜입력!$B:$B,$A50,실시간콜입력!$E:$E,"E",실시간콜입력!$H:$H,$B50,실시간콜입력!$O:$O,"방문완료")</f>
        <v>0</v>
      </c>
      <c r="K50" s="29">
        <f t="shared" si="5"/>
        <v>0</v>
      </c>
      <c r="L50" s="33">
        <f>SUMIFS(실시간콜입력!$K:$K,실시간콜입력!$B:$B,$A50,실시간콜입력!$G:$G,$B50,실시간콜입력!$O:$O,"방문완료")+SUMIFS(실시간콜입력!$L:$L,실시간콜입력!$B:$B,$A50,실시간콜입력!$H:$H,$B50,실시간콜입력!$O:$O,"방문완료")</f>
        <v>0</v>
      </c>
      <c r="M50" s="29" t="str">
        <f t="shared" si="6"/>
        <v/>
      </c>
      <c r="N50" s="29"/>
    </row>
    <row r="51" spans="1:14" ht="19.5" hidden="1" customHeight="1" outlineLevel="1">
      <c r="A51" s="24">
        <f>IF(1&lt;=DAY(DATE(YEAR(설정_코스수당!$K$2),MONTH(설정_코스수당!$K$2)+1,0)),DATE(YEAR(설정_코스수당!$K$2),MONTH(설정_코스수당!$K$2),1),"")</f>
        <v>46174</v>
      </c>
      <c r="B51" s="23" t="s">
        <v>207</v>
      </c>
      <c r="C51" s="29"/>
      <c r="D51" s="29"/>
      <c r="E51" s="29" t="str">
        <f t="shared" si="4"/>
        <v/>
      </c>
      <c r="F51" s="29">
        <f>COUNTIFS(실시간콜입력!$B:$B,$A51,실시간콜입력!$E:$E,"A",실시간콜입력!$G:$G,$B51,실시간콜입력!$O:$O,"방문완료")+COUNTIFS(실시간콜입력!$B:$B,$A51,실시간콜입력!$E:$E,"A",실시간콜입력!$H:$H,$B51,실시간콜입력!$O:$O,"방문완료")</f>
        <v>0</v>
      </c>
      <c r="G51" s="29">
        <f>COUNTIFS(실시간콜입력!$B:$B,$A51,실시간콜입력!$E:$E,"B",실시간콜입력!$G:$G,$B51,실시간콜입력!$O:$O,"방문완료")+COUNTIFS(실시간콜입력!$B:$B,$A51,실시간콜입력!$E:$E,"B",실시간콜입력!$H:$H,$B51,실시간콜입력!$O:$O,"방문완료")</f>
        <v>0</v>
      </c>
      <c r="H51" s="29">
        <f>COUNTIFS(실시간콜입력!$B:$B,$A51,실시간콜입력!$E:$E,"C",실시간콜입력!$G:$G,$B51,실시간콜입력!$O:$O,"방문완료")+COUNTIFS(실시간콜입력!$B:$B,$A51,실시간콜입력!$E:$E,"C",실시간콜입력!$H:$H,$B51,실시간콜입력!$O:$O,"방문완료")</f>
        <v>0</v>
      </c>
      <c r="I51" s="29">
        <f>COUNTIFS(실시간콜입력!$B:$B,$A51,실시간콜입력!$E:$E,"D",실시간콜입력!$G:$G,$B51,실시간콜입력!$O:$O,"방문완료")+COUNTIFS(실시간콜입력!$B:$B,$A51,실시간콜입력!$E:$E,"D",실시간콜입력!$H:$H,$B51,실시간콜입력!$O:$O,"방문완료")</f>
        <v>0</v>
      </c>
      <c r="J51" s="29">
        <f>COUNTIFS(실시간콜입력!$B:$B,$A51,실시간콜입력!$E:$E,"E",실시간콜입력!$G:$G,$B51,실시간콜입력!$O:$O,"방문완료")+COUNTIFS(실시간콜입력!$B:$B,$A51,실시간콜입력!$E:$E,"E",실시간콜입력!$H:$H,$B51,실시간콜입력!$O:$O,"방문완료")</f>
        <v>0</v>
      </c>
      <c r="K51" s="29">
        <f t="shared" si="5"/>
        <v>0</v>
      </c>
      <c r="L51" s="27">
        <f>SUMIFS(실시간콜입력!$K:$K,실시간콜입력!$B:$B,$A51,실시간콜입력!$G:$G,$B51,실시간콜입력!$O:$O,"방문완료")+SUMIFS(실시간콜입력!$L:$L,실시간콜입력!$B:$B,$A51,실시간콜입력!$H:$H,$B51,실시간콜입력!$O:$O,"방문완료")</f>
        <v>0</v>
      </c>
      <c r="M51" s="29" t="str">
        <f t="shared" si="6"/>
        <v/>
      </c>
      <c r="N51" s="29"/>
    </row>
    <row r="52" spans="1:14" ht="19.5" hidden="1" customHeight="1" outlineLevel="1">
      <c r="A52" s="30">
        <f>IF(1&lt;=DAY(DATE(YEAR(설정_코스수당!$K$2),MONTH(설정_코스수당!$K$2)+1,0)),DATE(YEAR(설정_코스수당!$K$2),MONTH(설정_코스수당!$K$2),1),"")</f>
        <v>46174</v>
      </c>
      <c r="B52" s="29" t="s">
        <v>208</v>
      </c>
      <c r="C52" s="29"/>
      <c r="D52" s="29"/>
      <c r="E52" s="29" t="str">
        <f t="shared" si="4"/>
        <v/>
      </c>
      <c r="F52" s="29">
        <f>COUNTIFS(실시간콜입력!$B:$B,$A52,실시간콜입력!$E:$E,"A",실시간콜입력!$G:$G,$B52,실시간콜입력!$O:$O,"방문완료")+COUNTIFS(실시간콜입력!$B:$B,$A52,실시간콜입력!$E:$E,"A",실시간콜입력!$H:$H,$B52,실시간콜입력!$O:$O,"방문완료")</f>
        <v>0</v>
      </c>
      <c r="G52" s="29">
        <f>COUNTIFS(실시간콜입력!$B:$B,$A52,실시간콜입력!$E:$E,"B",실시간콜입력!$G:$G,$B52,실시간콜입력!$O:$O,"방문완료")+COUNTIFS(실시간콜입력!$B:$B,$A52,실시간콜입력!$E:$E,"B",실시간콜입력!$H:$H,$B52,실시간콜입력!$O:$O,"방문완료")</f>
        <v>0</v>
      </c>
      <c r="H52" s="29">
        <f>COUNTIFS(실시간콜입력!$B:$B,$A52,실시간콜입력!$E:$E,"C",실시간콜입력!$G:$G,$B52,실시간콜입력!$O:$O,"방문완료")+COUNTIFS(실시간콜입력!$B:$B,$A52,실시간콜입력!$E:$E,"C",실시간콜입력!$H:$H,$B52,실시간콜입력!$O:$O,"방문완료")</f>
        <v>0</v>
      </c>
      <c r="I52" s="29">
        <f>COUNTIFS(실시간콜입력!$B:$B,$A52,실시간콜입력!$E:$E,"D",실시간콜입력!$G:$G,$B52,실시간콜입력!$O:$O,"방문완료")+COUNTIFS(실시간콜입력!$B:$B,$A52,실시간콜입력!$E:$E,"D",실시간콜입력!$H:$H,$B52,실시간콜입력!$O:$O,"방문완료")</f>
        <v>0</v>
      </c>
      <c r="J52" s="29">
        <f>COUNTIFS(실시간콜입력!$B:$B,$A52,실시간콜입력!$E:$E,"E",실시간콜입력!$G:$G,$B52,실시간콜입력!$O:$O,"방문완료")+COUNTIFS(실시간콜입력!$B:$B,$A52,실시간콜입력!$E:$E,"E",실시간콜입력!$H:$H,$B52,실시간콜입력!$O:$O,"방문완료")</f>
        <v>0</v>
      </c>
      <c r="K52" s="29">
        <f t="shared" si="5"/>
        <v>0</v>
      </c>
      <c r="L52" s="33">
        <f>SUMIFS(실시간콜입력!$K:$K,실시간콜입력!$B:$B,$A52,실시간콜입력!$G:$G,$B52,실시간콜입력!$O:$O,"방문완료")+SUMIFS(실시간콜입력!$L:$L,실시간콜입력!$B:$B,$A52,실시간콜입력!$H:$H,$B52,실시간콜입력!$O:$O,"방문완료")</f>
        <v>0</v>
      </c>
      <c r="M52" s="29" t="str">
        <f t="shared" si="6"/>
        <v/>
      </c>
      <c r="N52" s="29"/>
    </row>
    <row r="53" spans="1:14" ht="19.5" hidden="1" customHeight="1" outlineLevel="1">
      <c r="A53" s="24">
        <f>IF(1&lt;=DAY(DATE(YEAR(설정_코스수당!$K$2),MONTH(설정_코스수당!$K$2)+1,0)),DATE(YEAR(설정_코스수당!$K$2),MONTH(설정_코스수당!$K$2),1),"")</f>
        <v>46174</v>
      </c>
      <c r="B53" s="23" t="s">
        <v>209</v>
      </c>
      <c r="C53" s="29"/>
      <c r="D53" s="29"/>
      <c r="E53" s="29" t="str">
        <f t="shared" si="4"/>
        <v/>
      </c>
      <c r="F53" s="29">
        <f>COUNTIFS(실시간콜입력!$B:$B,$A53,실시간콜입력!$E:$E,"A",실시간콜입력!$G:$G,$B53,실시간콜입력!$O:$O,"방문완료")+COUNTIFS(실시간콜입력!$B:$B,$A53,실시간콜입력!$E:$E,"A",실시간콜입력!$H:$H,$B53,실시간콜입력!$O:$O,"방문완료")</f>
        <v>0</v>
      </c>
      <c r="G53" s="29">
        <f>COUNTIFS(실시간콜입력!$B:$B,$A53,실시간콜입력!$E:$E,"B",실시간콜입력!$G:$G,$B53,실시간콜입력!$O:$O,"방문완료")+COUNTIFS(실시간콜입력!$B:$B,$A53,실시간콜입력!$E:$E,"B",실시간콜입력!$H:$H,$B53,실시간콜입력!$O:$O,"방문완료")</f>
        <v>0</v>
      </c>
      <c r="H53" s="29">
        <f>COUNTIFS(실시간콜입력!$B:$B,$A53,실시간콜입력!$E:$E,"C",실시간콜입력!$G:$G,$B53,실시간콜입력!$O:$O,"방문완료")+COUNTIFS(실시간콜입력!$B:$B,$A53,실시간콜입력!$E:$E,"C",실시간콜입력!$H:$H,$B53,실시간콜입력!$O:$O,"방문완료")</f>
        <v>0</v>
      </c>
      <c r="I53" s="29">
        <f>COUNTIFS(실시간콜입력!$B:$B,$A53,실시간콜입력!$E:$E,"D",실시간콜입력!$G:$G,$B53,실시간콜입력!$O:$O,"방문완료")+COUNTIFS(실시간콜입력!$B:$B,$A53,실시간콜입력!$E:$E,"D",실시간콜입력!$H:$H,$B53,실시간콜입력!$O:$O,"방문완료")</f>
        <v>0</v>
      </c>
      <c r="J53" s="29">
        <f>COUNTIFS(실시간콜입력!$B:$B,$A53,실시간콜입력!$E:$E,"E",실시간콜입력!$G:$G,$B53,실시간콜입력!$O:$O,"방문완료")+COUNTIFS(실시간콜입력!$B:$B,$A53,실시간콜입력!$E:$E,"E",실시간콜입력!$H:$H,$B53,실시간콜입력!$O:$O,"방문완료")</f>
        <v>0</v>
      </c>
      <c r="K53" s="29">
        <f t="shared" si="5"/>
        <v>0</v>
      </c>
      <c r="L53" s="27">
        <f>SUMIFS(실시간콜입력!$K:$K,실시간콜입력!$B:$B,$A53,실시간콜입력!$G:$G,$B53,실시간콜입력!$O:$O,"방문완료")+SUMIFS(실시간콜입력!$L:$L,실시간콜입력!$B:$B,$A53,실시간콜입력!$H:$H,$B53,실시간콜입력!$O:$O,"방문완료")</f>
        <v>0</v>
      </c>
      <c r="M53" s="29" t="str">
        <f t="shared" si="6"/>
        <v/>
      </c>
      <c r="N53" s="29"/>
    </row>
    <row r="54" spans="1:14" ht="19.5" hidden="1" customHeight="1" outlineLevel="1">
      <c r="A54" s="30">
        <f>IF(1&lt;=DAY(DATE(YEAR(설정_코스수당!$K$2),MONTH(설정_코스수당!$K$2)+1,0)),DATE(YEAR(설정_코스수당!$K$2),MONTH(설정_코스수당!$K$2),1),"")</f>
        <v>46174</v>
      </c>
      <c r="B54" s="29" t="s">
        <v>210</v>
      </c>
      <c r="C54" s="29"/>
      <c r="D54" s="29"/>
      <c r="E54" s="29" t="str">
        <f t="shared" si="4"/>
        <v/>
      </c>
      <c r="F54" s="29">
        <f>COUNTIFS(실시간콜입력!$B:$B,$A54,실시간콜입력!$E:$E,"A",실시간콜입력!$G:$G,$B54,실시간콜입력!$O:$O,"방문완료")+COUNTIFS(실시간콜입력!$B:$B,$A54,실시간콜입력!$E:$E,"A",실시간콜입력!$H:$H,$B54,실시간콜입력!$O:$O,"방문완료")</f>
        <v>0</v>
      </c>
      <c r="G54" s="29">
        <f>COUNTIFS(실시간콜입력!$B:$B,$A54,실시간콜입력!$E:$E,"B",실시간콜입력!$G:$G,$B54,실시간콜입력!$O:$O,"방문완료")+COUNTIFS(실시간콜입력!$B:$B,$A54,실시간콜입력!$E:$E,"B",실시간콜입력!$H:$H,$B54,실시간콜입력!$O:$O,"방문완료")</f>
        <v>0</v>
      </c>
      <c r="H54" s="29">
        <f>COUNTIFS(실시간콜입력!$B:$B,$A54,실시간콜입력!$E:$E,"C",실시간콜입력!$G:$G,$B54,실시간콜입력!$O:$O,"방문완료")+COUNTIFS(실시간콜입력!$B:$B,$A54,실시간콜입력!$E:$E,"C",실시간콜입력!$H:$H,$B54,실시간콜입력!$O:$O,"방문완료")</f>
        <v>0</v>
      </c>
      <c r="I54" s="29">
        <f>COUNTIFS(실시간콜입력!$B:$B,$A54,실시간콜입력!$E:$E,"D",실시간콜입력!$G:$G,$B54,실시간콜입력!$O:$O,"방문완료")+COUNTIFS(실시간콜입력!$B:$B,$A54,실시간콜입력!$E:$E,"D",실시간콜입력!$H:$H,$B54,실시간콜입력!$O:$O,"방문완료")</f>
        <v>0</v>
      </c>
      <c r="J54" s="29">
        <f>COUNTIFS(실시간콜입력!$B:$B,$A54,실시간콜입력!$E:$E,"E",실시간콜입력!$G:$G,$B54,실시간콜입력!$O:$O,"방문완료")+COUNTIFS(실시간콜입력!$B:$B,$A54,실시간콜입력!$E:$E,"E",실시간콜입력!$H:$H,$B54,실시간콜입력!$O:$O,"방문완료")</f>
        <v>0</v>
      </c>
      <c r="K54" s="29">
        <f t="shared" si="5"/>
        <v>0</v>
      </c>
      <c r="L54" s="33">
        <f>SUMIFS(실시간콜입력!$K:$K,실시간콜입력!$B:$B,$A54,실시간콜입력!$G:$G,$B54,실시간콜입력!$O:$O,"방문완료")+SUMIFS(실시간콜입력!$L:$L,실시간콜입력!$B:$B,$A54,실시간콜입력!$H:$H,$B54,실시간콜입력!$O:$O,"방문완료")</f>
        <v>0</v>
      </c>
      <c r="M54" s="29" t="str">
        <f t="shared" si="6"/>
        <v/>
      </c>
      <c r="N54" s="29"/>
    </row>
    <row r="55" spans="1:14" ht="19.5" hidden="1" customHeight="1" outlineLevel="1">
      <c r="A55" s="24">
        <f>IF(1&lt;=DAY(DATE(YEAR(설정_코스수당!$K$2),MONTH(설정_코스수당!$K$2)+1,0)),DATE(YEAR(설정_코스수당!$K$2),MONTH(설정_코스수당!$K$2),1),"")</f>
        <v>46174</v>
      </c>
      <c r="B55" s="23" t="s">
        <v>211</v>
      </c>
      <c r="C55" s="29"/>
      <c r="D55" s="29"/>
      <c r="E55" s="29" t="str">
        <f t="shared" si="4"/>
        <v/>
      </c>
      <c r="F55" s="29">
        <f>COUNTIFS(실시간콜입력!$B:$B,$A55,실시간콜입력!$E:$E,"A",실시간콜입력!$G:$G,$B55,실시간콜입력!$O:$O,"방문완료")+COUNTIFS(실시간콜입력!$B:$B,$A55,실시간콜입력!$E:$E,"A",실시간콜입력!$H:$H,$B55,실시간콜입력!$O:$O,"방문완료")</f>
        <v>0</v>
      </c>
      <c r="G55" s="29">
        <f>COUNTIFS(실시간콜입력!$B:$B,$A55,실시간콜입력!$E:$E,"B",실시간콜입력!$G:$G,$B55,실시간콜입력!$O:$O,"방문완료")+COUNTIFS(실시간콜입력!$B:$B,$A55,실시간콜입력!$E:$E,"B",실시간콜입력!$H:$H,$B55,실시간콜입력!$O:$O,"방문완료")</f>
        <v>0</v>
      </c>
      <c r="H55" s="29">
        <f>COUNTIFS(실시간콜입력!$B:$B,$A55,실시간콜입력!$E:$E,"C",실시간콜입력!$G:$G,$B55,실시간콜입력!$O:$O,"방문완료")+COUNTIFS(실시간콜입력!$B:$B,$A55,실시간콜입력!$E:$E,"C",실시간콜입력!$H:$H,$B55,실시간콜입력!$O:$O,"방문완료")</f>
        <v>0</v>
      </c>
      <c r="I55" s="29">
        <f>COUNTIFS(실시간콜입력!$B:$B,$A55,실시간콜입력!$E:$E,"D",실시간콜입력!$G:$G,$B55,실시간콜입력!$O:$O,"방문완료")+COUNTIFS(실시간콜입력!$B:$B,$A55,실시간콜입력!$E:$E,"D",실시간콜입력!$H:$H,$B55,실시간콜입력!$O:$O,"방문완료")</f>
        <v>0</v>
      </c>
      <c r="J55" s="29">
        <f>COUNTIFS(실시간콜입력!$B:$B,$A55,실시간콜입력!$E:$E,"E",실시간콜입력!$G:$G,$B55,실시간콜입력!$O:$O,"방문완료")+COUNTIFS(실시간콜입력!$B:$B,$A55,실시간콜입력!$E:$E,"E",실시간콜입력!$H:$H,$B55,실시간콜입력!$O:$O,"방문완료")</f>
        <v>0</v>
      </c>
      <c r="K55" s="29">
        <f t="shared" si="5"/>
        <v>0</v>
      </c>
      <c r="L55" s="27">
        <f>SUMIFS(실시간콜입력!$K:$K,실시간콜입력!$B:$B,$A55,실시간콜입력!$G:$G,$B55,실시간콜입력!$O:$O,"방문완료")+SUMIFS(실시간콜입력!$L:$L,실시간콜입력!$B:$B,$A55,실시간콜입력!$H:$H,$B55,실시간콜입력!$O:$O,"방문완료")</f>
        <v>0</v>
      </c>
      <c r="M55" s="29" t="str">
        <f t="shared" si="6"/>
        <v/>
      </c>
      <c r="N55" s="29"/>
    </row>
    <row r="56" spans="1:14" ht="19.5" hidden="1" customHeight="1" outlineLevel="1">
      <c r="A56" s="30">
        <f>IF(1&lt;=DAY(DATE(YEAR(설정_코스수당!$K$2),MONTH(설정_코스수당!$K$2)+1,0)),DATE(YEAR(설정_코스수당!$K$2),MONTH(설정_코스수당!$K$2),1),"")</f>
        <v>46174</v>
      </c>
      <c r="B56" s="29" t="s">
        <v>212</v>
      </c>
      <c r="C56" s="29"/>
      <c r="D56" s="29"/>
      <c r="E56" s="29" t="str">
        <f t="shared" si="4"/>
        <v/>
      </c>
      <c r="F56" s="29">
        <f>COUNTIFS(실시간콜입력!$B:$B,$A56,실시간콜입력!$E:$E,"A",실시간콜입력!$G:$G,$B56,실시간콜입력!$O:$O,"방문완료")+COUNTIFS(실시간콜입력!$B:$B,$A56,실시간콜입력!$E:$E,"A",실시간콜입력!$H:$H,$B56,실시간콜입력!$O:$O,"방문완료")</f>
        <v>0</v>
      </c>
      <c r="G56" s="29">
        <f>COUNTIFS(실시간콜입력!$B:$B,$A56,실시간콜입력!$E:$E,"B",실시간콜입력!$G:$G,$B56,실시간콜입력!$O:$O,"방문완료")+COUNTIFS(실시간콜입력!$B:$B,$A56,실시간콜입력!$E:$E,"B",실시간콜입력!$H:$H,$B56,실시간콜입력!$O:$O,"방문완료")</f>
        <v>0</v>
      </c>
      <c r="H56" s="29">
        <f>COUNTIFS(실시간콜입력!$B:$B,$A56,실시간콜입력!$E:$E,"C",실시간콜입력!$G:$G,$B56,실시간콜입력!$O:$O,"방문완료")+COUNTIFS(실시간콜입력!$B:$B,$A56,실시간콜입력!$E:$E,"C",실시간콜입력!$H:$H,$B56,실시간콜입력!$O:$O,"방문완료")</f>
        <v>0</v>
      </c>
      <c r="I56" s="29">
        <f>COUNTIFS(실시간콜입력!$B:$B,$A56,실시간콜입력!$E:$E,"D",실시간콜입력!$G:$G,$B56,실시간콜입력!$O:$O,"방문완료")+COUNTIFS(실시간콜입력!$B:$B,$A56,실시간콜입력!$E:$E,"D",실시간콜입력!$H:$H,$B56,실시간콜입력!$O:$O,"방문완료")</f>
        <v>0</v>
      </c>
      <c r="J56" s="29">
        <f>COUNTIFS(실시간콜입력!$B:$B,$A56,실시간콜입력!$E:$E,"E",실시간콜입력!$G:$G,$B56,실시간콜입력!$O:$O,"방문완료")+COUNTIFS(실시간콜입력!$B:$B,$A56,실시간콜입력!$E:$E,"E",실시간콜입력!$H:$H,$B56,실시간콜입력!$O:$O,"방문완료")</f>
        <v>0</v>
      </c>
      <c r="K56" s="29">
        <f t="shared" si="5"/>
        <v>0</v>
      </c>
      <c r="L56" s="33">
        <f>SUMIFS(실시간콜입력!$K:$K,실시간콜입력!$B:$B,$A56,실시간콜입력!$G:$G,$B56,실시간콜입력!$O:$O,"방문완료")+SUMIFS(실시간콜입력!$L:$L,실시간콜입력!$B:$B,$A56,실시간콜입력!$H:$H,$B56,실시간콜입력!$O:$O,"방문완료")</f>
        <v>0</v>
      </c>
      <c r="M56" s="29" t="str">
        <f t="shared" si="6"/>
        <v/>
      </c>
      <c r="N56" s="29"/>
    </row>
    <row r="57" spans="1:14" ht="21.75" customHeight="1" collapsed="1">
      <c r="A57" s="64">
        <f>IF(2&lt;=DAY(DATE(YEAR(설정_코스수당!$K$2),MONTH(설정_코스수당!$K$2)+1,0)),DATE(YEAR(설정_코스수당!$K$2),MONTH(설정_코스수당!$K$2),2),"")</f>
        <v>46175</v>
      </c>
      <c r="B57" s="65" t="str">
        <f>IF(A57="","","출근 "&amp;COUNTIF(C59:C108,"&lt;&gt;")&amp;"명")</f>
        <v>출근 0명</v>
      </c>
      <c r="C57" s="65" t="str">
        <f>IF(A57="","","만근 "&amp;COUNTIF(M59:M108,"인정")&amp;"명")</f>
        <v>만근 0명</v>
      </c>
      <c r="D57" s="65" t="str">
        <f>IFERROR("평균 "&amp;TEXT(AVERAGEIF(E59:E108,"&gt;0",E59:E108),"0.0")&amp;"h","평균 -")</f>
        <v>평균 -</v>
      </c>
      <c r="E57" s="65" t="s">
        <v>163</v>
      </c>
      <c r="F57" s="65">
        <f t="shared" ref="F57:L57" si="7">SUM(F59:F108)</f>
        <v>0</v>
      </c>
      <c r="G57" s="65">
        <f t="shared" si="7"/>
        <v>0</v>
      </c>
      <c r="H57" s="65">
        <f t="shared" si="7"/>
        <v>0</v>
      </c>
      <c r="I57" s="65">
        <f t="shared" si="7"/>
        <v>0</v>
      </c>
      <c r="J57" s="65">
        <f t="shared" si="7"/>
        <v>0</v>
      </c>
      <c r="K57" s="65">
        <f t="shared" si="7"/>
        <v>0</v>
      </c>
      <c r="L57" s="66">
        <f t="shared" si="7"/>
        <v>0</v>
      </c>
      <c r="M57" s="65">
        <f>COUNTIF(M59:M108,"인정")</f>
        <v>0</v>
      </c>
      <c r="N57" s="65" t="s">
        <v>164</v>
      </c>
    </row>
    <row r="58" spans="1:14" ht="19.5" hidden="1" customHeight="1" outlineLevel="1">
      <c r="A58" s="20" t="s">
        <v>42</v>
      </c>
      <c r="B58" s="20" t="s">
        <v>152</v>
      </c>
      <c r="C58" s="20" t="s">
        <v>153</v>
      </c>
      <c r="D58" s="20" t="s">
        <v>154</v>
      </c>
      <c r="E58" s="20" t="s">
        <v>155</v>
      </c>
      <c r="F58" s="20" t="s">
        <v>156</v>
      </c>
      <c r="G58" s="20" t="s">
        <v>157</v>
      </c>
      <c r="H58" s="20" t="s">
        <v>158</v>
      </c>
      <c r="I58" s="20" t="s">
        <v>159</v>
      </c>
      <c r="J58" s="20" t="s">
        <v>160</v>
      </c>
      <c r="K58" s="20" t="s">
        <v>118</v>
      </c>
      <c r="L58" s="20" t="s">
        <v>161</v>
      </c>
      <c r="M58" s="20" t="s">
        <v>162</v>
      </c>
      <c r="N58" s="20" t="s">
        <v>95</v>
      </c>
    </row>
    <row r="59" spans="1:14" ht="19.5" hidden="1" customHeight="1" outlineLevel="1">
      <c r="A59" s="24">
        <f>IF(2&lt;=DAY(DATE(YEAR(설정_코스수당!$K$2),MONTH(설정_코스수당!$K$2)+1,0)),DATE(YEAR(설정_코스수당!$K$2),MONTH(설정_코스수당!$K$2),2),"")</f>
        <v>46175</v>
      </c>
      <c r="B59" s="23" t="s">
        <v>47</v>
      </c>
      <c r="C59" s="23"/>
      <c r="D59" s="23"/>
      <c r="E59" s="23" t="str">
        <f t="shared" ref="E59:E90" si="8">IF(AND(C59&lt;&gt;"",D59&lt;&gt;""),IF(D59&lt;C59,D59+1-C59,D59-C59)*24,"")</f>
        <v/>
      </c>
      <c r="F59" s="23">
        <f>COUNTIFS(실시간콜입력!$B:$B,$A59,실시간콜입력!$E:$E,"A",실시간콜입력!$G:$G,$B59,실시간콜입력!$O:$O,"방문완료")+COUNTIFS(실시간콜입력!$B:$B,$A59,실시간콜입력!$E:$E,"A",실시간콜입력!$H:$H,$B59,실시간콜입력!$O:$O,"방문완료")</f>
        <v>0</v>
      </c>
      <c r="G59" s="23">
        <f>COUNTIFS(실시간콜입력!$B:$B,$A59,실시간콜입력!$E:$E,"B",실시간콜입력!$G:$G,$B59,실시간콜입력!$O:$O,"방문완료")+COUNTIFS(실시간콜입력!$B:$B,$A59,실시간콜입력!$E:$E,"B",실시간콜입력!$H:$H,$B59,실시간콜입력!$O:$O,"방문완료")</f>
        <v>0</v>
      </c>
      <c r="H59" s="23">
        <f>COUNTIFS(실시간콜입력!$B:$B,$A59,실시간콜입력!$E:$E,"C",실시간콜입력!$G:$G,$B59,실시간콜입력!$O:$O,"방문완료")+COUNTIFS(실시간콜입력!$B:$B,$A59,실시간콜입력!$E:$E,"C",실시간콜입력!$H:$H,$B59,실시간콜입력!$O:$O,"방문완료")</f>
        <v>0</v>
      </c>
      <c r="I59" s="23">
        <f>COUNTIFS(실시간콜입력!$B:$B,$A59,실시간콜입력!$E:$E,"D",실시간콜입력!$G:$G,$B59,실시간콜입력!$O:$O,"방문완료")+COUNTIFS(실시간콜입력!$B:$B,$A59,실시간콜입력!$E:$E,"D",실시간콜입력!$H:$H,$B59,실시간콜입력!$O:$O,"방문완료")</f>
        <v>0</v>
      </c>
      <c r="J59" s="23">
        <f>COUNTIFS(실시간콜입력!$B:$B,$A59,실시간콜입력!$E:$E,"E",실시간콜입력!$G:$G,$B59,실시간콜입력!$O:$O,"방문완료")+COUNTIFS(실시간콜입력!$B:$B,$A59,실시간콜입력!$E:$E,"E",실시간콜입력!$H:$H,$B59,실시간콜입력!$O:$O,"방문완료")</f>
        <v>0</v>
      </c>
      <c r="K59" s="23">
        <f t="shared" ref="K59:K90" si="9">SUM(F59:J59)</f>
        <v>0</v>
      </c>
      <c r="L59" s="27">
        <f>SUMIFS(실시간콜입력!$K:$K,실시간콜입력!$B:$B,$A59,실시간콜입력!$G:$G,$B59,실시간콜입력!$O:$O,"방문완료")+SUMIFS(실시간콜입력!$L:$L,실시간콜입력!$B:$B,$A59,실시간콜입력!$H:$H,$B59,실시간콜입력!$O:$O,"방문완료")</f>
        <v>0</v>
      </c>
      <c r="M59" s="23" t="str">
        <f t="shared" ref="M59:M90" si="10">IF(AND(ISNUMBER(E59),E59&gt;=8),"인정","")</f>
        <v/>
      </c>
      <c r="N59" s="23"/>
    </row>
    <row r="60" spans="1:14" ht="19.5" hidden="1" customHeight="1" outlineLevel="1">
      <c r="A60" s="30">
        <f>IF(2&lt;=DAY(DATE(YEAR(설정_코스수당!$K$2),MONTH(설정_코스수당!$K$2)+1,0)),DATE(YEAR(설정_코스수당!$K$2),MONTH(설정_코스수당!$K$2),2),"")</f>
        <v>46175</v>
      </c>
      <c r="B60" s="29" t="s">
        <v>48</v>
      </c>
      <c r="C60" s="29"/>
      <c r="D60" s="29"/>
      <c r="E60" s="29" t="str">
        <f t="shared" si="8"/>
        <v/>
      </c>
      <c r="F60" s="29">
        <f>COUNTIFS(실시간콜입력!$B:$B,$A60,실시간콜입력!$E:$E,"A",실시간콜입력!$G:$G,$B60,실시간콜입력!$O:$O,"방문완료")+COUNTIFS(실시간콜입력!$B:$B,$A60,실시간콜입력!$E:$E,"A",실시간콜입력!$H:$H,$B60,실시간콜입력!$O:$O,"방문완료")</f>
        <v>0</v>
      </c>
      <c r="G60" s="29">
        <f>COUNTIFS(실시간콜입력!$B:$B,$A60,실시간콜입력!$E:$E,"B",실시간콜입력!$G:$G,$B60,실시간콜입력!$O:$O,"방문완료")+COUNTIFS(실시간콜입력!$B:$B,$A60,실시간콜입력!$E:$E,"B",실시간콜입력!$H:$H,$B60,실시간콜입력!$O:$O,"방문완료")</f>
        <v>0</v>
      </c>
      <c r="H60" s="29">
        <f>COUNTIFS(실시간콜입력!$B:$B,$A60,실시간콜입력!$E:$E,"C",실시간콜입력!$G:$G,$B60,실시간콜입력!$O:$O,"방문완료")+COUNTIFS(실시간콜입력!$B:$B,$A60,실시간콜입력!$E:$E,"C",실시간콜입력!$H:$H,$B60,실시간콜입력!$O:$O,"방문완료")</f>
        <v>0</v>
      </c>
      <c r="I60" s="29">
        <f>COUNTIFS(실시간콜입력!$B:$B,$A60,실시간콜입력!$E:$E,"D",실시간콜입력!$G:$G,$B60,실시간콜입력!$O:$O,"방문완료")+COUNTIFS(실시간콜입력!$B:$B,$A60,실시간콜입력!$E:$E,"D",실시간콜입력!$H:$H,$B60,실시간콜입력!$O:$O,"방문완료")</f>
        <v>0</v>
      </c>
      <c r="J60" s="29">
        <f>COUNTIFS(실시간콜입력!$B:$B,$A60,실시간콜입력!$E:$E,"E",실시간콜입력!$G:$G,$B60,실시간콜입력!$O:$O,"방문완료")+COUNTIFS(실시간콜입력!$B:$B,$A60,실시간콜입력!$E:$E,"E",실시간콜입력!$H:$H,$B60,실시간콜입력!$O:$O,"방문완료")</f>
        <v>0</v>
      </c>
      <c r="K60" s="29">
        <f t="shared" si="9"/>
        <v>0</v>
      </c>
      <c r="L60" s="33">
        <f>SUMIFS(실시간콜입력!$K:$K,실시간콜입력!$B:$B,$A60,실시간콜입력!$G:$G,$B60,실시간콜입력!$O:$O,"방문완료")+SUMIFS(실시간콜입력!$L:$L,실시간콜입력!$B:$B,$A60,실시간콜입력!$H:$H,$B60,실시간콜입력!$O:$O,"방문완료")</f>
        <v>0</v>
      </c>
      <c r="M60" s="29" t="str">
        <f t="shared" si="10"/>
        <v/>
      </c>
      <c r="N60" s="29"/>
    </row>
    <row r="61" spans="1:14" ht="19.5" hidden="1" customHeight="1" outlineLevel="1">
      <c r="A61" s="24">
        <f>IF(2&lt;=DAY(DATE(YEAR(설정_코스수당!$K$2),MONTH(설정_코스수당!$K$2)+1,0)),DATE(YEAR(설정_코스수당!$K$2),MONTH(설정_코스수당!$K$2),2),"")</f>
        <v>46175</v>
      </c>
      <c r="B61" s="23" t="s">
        <v>165</v>
      </c>
      <c r="C61" s="29"/>
      <c r="D61" s="29"/>
      <c r="E61" s="29" t="str">
        <f t="shared" si="8"/>
        <v/>
      </c>
      <c r="F61" s="29">
        <f>COUNTIFS(실시간콜입력!$B:$B,$A61,실시간콜입력!$E:$E,"A",실시간콜입력!$G:$G,$B61,실시간콜입력!$O:$O,"방문완료")+COUNTIFS(실시간콜입력!$B:$B,$A61,실시간콜입력!$E:$E,"A",실시간콜입력!$H:$H,$B61,실시간콜입력!$O:$O,"방문완료")</f>
        <v>0</v>
      </c>
      <c r="G61" s="29">
        <f>COUNTIFS(실시간콜입력!$B:$B,$A61,실시간콜입력!$E:$E,"B",실시간콜입력!$G:$G,$B61,실시간콜입력!$O:$O,"방문완료")+COUNTIFS(실시간콜입력!$B:$B,$A61,실시간콜입력!$E:$E,"B",실시간콜입력!$H:$H,$B61,실시간콜입력!$O:$O,"방문완료")</f>
        <v>0</v>
      </c>
      <c r="H61" s="29">
        <f>COUNTIFS(실시간콜입력!$B:$B,$A61,실시간콜입력!$E:$E,"C",실시간콜입력!$G:$G,$B61,실시간콜입력!$O:$O,"방문완료")+COUNTIFS(실시간콜입력!$B:$B,$A61,실시간콜입력!$E:$E,"C",실시간콜입력!$H:$H,$B61,실시간콜입력!$O:$O,"방문완료")</f>
        <v>0</v>
      </c>
      <c r="I61" s="29">
        <f>COUNTIFS(실시간콜입력!$B:$B,$A61,실시간콜입력!$E:$E,"D",실시간콜입력!$G:$G,$B61,실시간콜입력!$O:$O,"방문완료")+COUNTIFS(실시간콜입력!$B:$B,$A61,실시간콜입력!$E:$E,"D",실시간콜입력!$H:$H,$B61,실시간콜입력!$O:$O,"방문완료")</f>
        <v>0</v>
      </c>
      <c r="J61" s="29">
        <f>COUNTIFS(실시간콜입력!$B:$B,$A61,실시간콜입력!$E:$E,"E",실시간콜입력!$G:$G,$B61,실시간콜입력!$O:$O,"방문완료")+COUNTIFS(실시간콜입력!$B:$B,$A61,실시간콜입력!$E:$E,"E",실시간콜입력!$H:$H,$B61,실시간콜입력!$O:$O,"방문완료")</f>
        <v>0</v>
      </c>
      <c r="K61" s="29">
        <f t="shared" si="9"/>
        <v>0</v>
      </c>
      <c r="L61" s="27">
        <f>SUMIFS(실시간콜입력!$K:$K,실시간콜입력!$B:$B,$A61,실시간콜입력!$G:$G,$B61,실시간콜입력!$O:$O,"방문완료")+SUMIFS(실시간콜입력!$L:$L,실시간콜입력!$B:$B,$A61,실시간콜입력!$H:$H,$B61,실시간콜입력!$O:$O,"방문완료")</f>
        <v>0</v>
      </c>
      <c r="M61" s="29" t="str">
        <f t="shared" si="10"/>
        <v/>
      </c>
      <c r="N61" s="29"/>
    </row>
    <row r="62" spans="1:14" ht="19.5" hidden="1" customHeight="1" outlineLevel="1">
      <c r="A62" s="30">
        <f>IF(2&lt;=DAY(DATE(YEAR(설정_코스수당!$K$2),MONTH(설정_코스수당!$K$2)+1,0)),DATE(YEAR(설정_코스수당!$K$2),MONTH(설정_코스수당!$K$2),2),"")</f>
        <v>46175</v>
      </c>
      <c r="B62" s="29" t="s">
        <v>166</v>
      </c>
      <c r="C62" s="29"/>
      <c r="D62" s="29"/>
      <c r="E62" s="29" t="str">
        <f t="shared" si="8"/>
        <v/>
      </c>
      <c r="F62" s="29">
        <f>COUNTIFS(실시간콜입력!$B:$B,$A62,실시간콜입력!$E:$E,"A",실시간콜입력!$G:$G,$B62,실시간콜입력!$O:$O,"방문완료")+COUNTIFS(실시간콜입력!$B:$B,$A62,실시간콜입력!$E:$E,"A",실시간콜입력!$H:$H,$B62,실시간콜입력!$O:$O,"방문완료")</f>
        <v>0</v>
      </c>
      <c r="G62" s="29">
        <f>COUNTIFS(실시간콜입력!$B:$B,$A62,실시간콜입력!$E:$E,"B",실시간콜입력!$G:$G,$B62,실시간콜입력!$O:$O,"방문완료")+COUNTIFS(실시간콜입력!$B:$B,$A62,실시간콜입력!$E:$E,"B",실시간콜입력!$H:$H,$B62,실시간콜입력!$O:$O,"방문완료")</f>
        <v>0</v>
      </c>
      <c r="H62" s="29">
        <f>COUNTIFS(실시간콜입력!$B:$B,$A62,실시간콜입력!$E:$E,"C",실시간콜입력!$G:$G,$B62,실시간콜입력!$O:$O,"방문완료")+COUNTIFS(실시간콜입력!$B:$B,$A62,실시간콜입력!$E:$E,"C",실시간콜입력!$H:$H,$B62,실시간콜입력!$O:$O,"방문완료")</f>
        <v>0</v>
      </c>
      <c r="I62" s="29">
        <f>COUNTIFS(실시간콜입력!$B:$B,$A62,실시간콜입력!$E:$E,"D",실시간콜입력!$G:$G,$B62,실시간콜입력!$O:$O,"방문완료")+COUNTIFS(실시간콜입력!$B:$B,$A62,실시간콜입력!$E:$E,"D",실시간콜입력!$H:$H,$B62,실시간콜입력!$O:$O,"방문완료")</f>
        <v>0</v>
      </c>
      <c r="J62" s="29">
        <f>COUNTIFS(실시간콜입력!$B:$B,$A62,실시간콜입력!$E:$E,"E",실시간콜입력!$G:$G,$B62,실시간콜입력!$O:$O,"방문완료")+COUNTIFS(실시간콜입력!$B:$B,$A62,실시간콜입력!$E:$E,"E",실시간콜입력!$H:$H,$B62,실시간콜입력!$O:$O,"방문완료")</f>
        <v>0</v>
      </c>
      <c r="K62" s="29">
        <f t="shared" si="9"/>
        <v>0</v>
      </c>
      <c r="L62" s="33">
        <f>SUMIFS(실시간콜입력!$K:$K,실시간콜입력!$B:$B,$A62,실시간콜입력!$G:$G,$B62,실시간콜입력!$O:$O,"방문완료")+SUMIFS(실시간콜입력!$L:$L,실시간콜입력!$B:$B,$A62,실시간콜입력!$H:$H,$B62,실시간콜입력!$O:$O,"방문완료")</f>
        <v>0</v>
      </c>
      <c r="M62" s="29" t="str">
        <f t="shared" si="10"/>
        <v/>
      </c>
      <c r="N62" s="29"/>
    </row>
    <row r="63" spans="1:14" ht="19.5" hidden="1" customHeight="1" outlineLevel="1">
      <c r="A63" s="24">
        <f>IF(2&lt;=DAY(DATE(YEAR(설정_코스수당!$K$2),MONTH(설정_코스수당!$K$2)+1,0)),DATE(YEAR(설정_코스수당!$K$2),MONTH(설정_코스수당!$K$2),2),"")</f>
        <v>46175</v>
      </c>
      <c r="B63" s="23" t="s">
        <v>167</v>
      </c>
      <c r="C63" s="29"/>
      <c r="D63" s="29"/>
      <c r="E63" s="29" t="str">
        <f t="shared" si="8"/>
        <v/>
      </c>
      <c r="F63" s="29">
        <f>COUNTIFS(실시간콜입력!$B:$B,$A63,실시간콜입력!$E:$E,"A",실시간콜입력!$G:$G,$B63,실시간콜입력!$O:$O,"방문완료")+COUNTIFS(실시간콜입력!$B:$B,$A63,실시간콜입력!$E:$E,"A",실시간콜입력!$H:$H,$B63,실시간콜입력!$O:$O,"방문완료")</f>
        <v>0</v>
      </c>
      <c r="G63" s="29">
        <f>COUNTIFS(실시간콜입력!$B:$B,$A63,실시간콜입력!$E:$E,"B",실시간콜입력!$G:$G,$B63,실시간콜입력!$O:$O,"방문완료")+COUNTIFS(실시간콜입력!$B:$B,$A63,실시간콜입력!$E:$E,"B",실시간콜입력!$H:$H,$B63,실시간콜입력!$O:$O,"방문완료")</f>
        <v>0</v>
      </c>
      <c r="H63" s="29">
        <f>COUNTIFS(실시간콜입력!$B:$B,$A63,실시간콜입력!$E:$E,"C",실시간콜입력!$G:$G,$B63,실시간콜입력!$O:$O,"방문완료")+COUNTIFS(실시간콜입력!$B:$B,$A63,실시간콜입력!$E:$E,"C",실시간콜입력!$H:$H,$B63,실시간콜입력!$O:$O,"방문완료")</f>
        <v>0</v>
      </c>
      <c r="I63" s="29">
        <f>COUNTIFS(실시간콜입력!$B:$B,$A63,실시간콜입력!$E:$E,"D",실시간콜입력!$G:$G,$B63,실시간콜입력!$O:$O,"방문완료")+COUNTIFS(실시간콜입력!$B:$B,$A63,실시간콜입력!$E:$E,"D",실시간콜입력!$H:$H,$B63,실시간콜입력!$O:$O,"방문완료")</f>
        <v>0</v>
      </c>
      <c r="J63" s="29">
        <f>COUNTIFS(실시간콜입력!$B:$B,$A63,실시간콜입력!$E:$E,"E",실시간콜입력!$G:$G,$B63,실시간콜입력!$O:$O,"방문완료")+COUNTIFS(실시간콜입력!$B:$B,$A63,실시간콜입력!$E:$E,"E",실시간콜입력!$H:$H,$B63,실시간콜입력!$O:$O,"방문완료")</f>
        <v>0</v>
      </c>
      <c r="K63" s="29">
        <f t="shared" si="9"/>
        <v>0</v>
      </c>
      <c r="L63" s="27">
        <f>SUMIFS(실시간콜입력!$K:$K,실시간콜입력!$B:$B,$A63,실시간콜입력!$G:$G,$B63,실시간콜입력!$O:$O,"방문완료")+SUMIFS(실시간콜입력!$L:$L,실시간콜입력!$B:$B,$A63,실시간콜입력!$H:$H,$B63,실시간콜입력!$O:$O,"방문완료")</f>
        <v>0</v>
      </c>
      <c r="M63" s="29" t="str">
        <f t="shared" si="10"/>
        <v/>
      </c>
      <c r="N63" s="29"/>
    </row>
    <row r="64" spans="1:14" ht="19.5" hidden="1" customHeight="1" outlineLevel="1">
      <c r="A64" s="30">
        <f>IF(2&lt;=DAY(DATE(YEAR(설정_코스수당!$K$2),MONTH(설정_코스수당!$K$2)+1,0)),DATE(YEAR(설정_코스수당!$K$2),MONTH(설정_코스수당!$K$2),2),"")</f>
        <v>46175</v>
      </c>
      <c r="B64" s="29" t="s">
        <v>168</v>
      </c>
      <c r="C64" s="29"/>
      <c r="D64" s="29"/>
      <c r="E64" s="29" t="str">
        <f t="shared" si="8"/>
        <v/>
      </c>
      <c r="F64" s="29">
        <f>COUNTIFS(실시간콜입력!$B:$B,$A64,실시간콜입력!$E:$E,"A",실시간콜입력!$G:$G,$B64,실시간콜입력!$O:$O,"방문완료")+COUNTIFS(실시간콜입력!$B:$B,$A64,실시간콜입력!$E:$E,"A",실시간콜입력!$H:$H,$B64,실시간콜입력!$O:$O,"방문완료")</f>
        <v>0</v>
      </c>
      <c r="G64" s="29">
        <f>COUNTIFS(실시간콜입력!$B:$B,$A64,실시간콜입력!$E:$E,"B",실시간콜입력!$G:$G,$B64,실시간콜입력!$O:$O,"방문완료")+COUNTIFS(실시간콜입력!$B:$B,$A64,실시간콜입력!$E:$E,"B",실시간콜입력!$H:$H,$B64,실시간콜입력!$O:$O,"방문완료")</f>
        <v>0</v>
      </c>
      <c r="H64" s="29">
        <f>COUNTIFS(실시간콜입력!$B:$B,$A64,실시간콜입력!$E:$E,"C",실시간콜입력!$G:$G,$B64,실시간콜입력!$O:$O,"방문완료")+COUNTIFS(실시간콜입력!$B:$B,$A64,실시간콜입력!$E:$E,"C",실시간콜입력!$H:$H,$B64,실시간콜입력!$O:$O,"방문완료")</f>
        <v>0</v>
      </c>
      <c r="I64" s="29">
        <f>COUNTIFS(실시간콜입력!$B:$B,$A64,실시간콜입력!$E:$E,"D",실시간콜입력!$G:$G,$B64,실시간콜입력!$O:$O,"방문완료")+COUNTIFS(실시간콜입력!$B:$B,$A64,실시간콜입력!$E:$E,"D",실시간콜입력!$H:$H,$B64,실시간콜입력!$O:$O,"방문완료")</f>
        <v>0</v>
      </c>
      <c r="J64" s="29">
        <f>COUNTIFS(실시간콜입력!$B:$B,$A64,실시간콜입력!$E:$E,"E",실시간콜입력!$G:$G,$B64,실시간콜입력!$O:$O,"방문완료")+COUNTIFS(실시간콜입력!$B:$B,$A64,실시간콜입력!$E:$E,"E",실시간콜입력!$H:$H,$B64,실시간콜입력!$O:$O,"방문완료")</f>
        <v>0</v>
      </c>
      <c r="K64" s="29">
        <f t="shared" si="9"/>
        <v>0</v>
      </c>
      <c r="L64" s="33">
        <f>SUMIFS(실시간콜입력!$K:$K,실시간콜입력!$B:$B,$A64,실시간콜입력!$G:$G,$B64,실시간콜입력!$O:$O,"방문완료")+SUMIFS(실시간콜입력!$L:$L,실시간콜입력!$B:$B,$A64,실시간콜입력!$H:$H,$B64,실시간콜입력!$O:$O,"방문완료")</f>
        <v>0</v>
      </c>
      <c r="M64" s="29" t="str">
        <f t="shared" si="10"/>
        <v/>
      </c>
      <c r="N64" s="29"/>
    </row>
    <row r="65" spans="1:14" ht="19.5" hidden="1" customHeight="1" outlineLevel="1">
      <c r="A65" s="24">
        <f>IF(2&lt;=DAY(DATE(YEAR(설정_코스수당!$K$2),MONTH(설정_코스수당!$K$2)+1,0)),DATE(YEAR(설정_코스수당!$K$2),MONTH(설정_코스수당!$K$2),2),"")</f>
        <v>46175</v>
      </c>
      <c r="B65" s="23" t="s">
        <v>169</v>
      </c>
      <c r="C65" s="29"/>
      <c r="D65" s="29"/>
      <c r="E65" s="29" t="str">
        <f t="shared" si="8"/>
        <v/>
      </c>
      <c r="F65" s="29">
        <f>COUNTIFS(실시간콜입력!$B:$B,$A65,실시간콜입력!$E:$E,"A",실시간콜입력!$G:$G,$B65,실시간콜입력!$O:$O,"방문완료")+COUNTIFS(실시간콜입력!$B:$B,$A65,실시간콜입력!$E:$E,"A",실시간콜입력!$H:$H,$B65,실시간콜입력!$O:$O,"방문완료")</f>
        <v>0</v>
      </c>
      <c r="G65" s="29">
        <f>COUNTIFS(실시간콜입력!$B:$B,$A65,실시간콜입력!$E:$E,"B",실시간콜입력!$G:$G,$B65,실시간콜입력!$O:$O,"방문완료")+COUNTIFS(실시간콜입력!$B:$B,$A65,실시간콜입력!$E:$E,"B",실시간콜입력!$H:$H,$B65,실시간콜입력!$O:$O,"방문완료")</f>
        <v>0</v>
      </c>
      <c r="H65" s="29">
        <f>COUNTIFS(실시간콜입력!$B:$B,$A65,실시간콜입력!$E:$E,"C",실시간콜입력!$G:$G,$B65,실시간콜입력!$O:$O,"방문완료")+COUNTIFS(실시간콜입력!$B:$B,$A65,실시간콜입력!$E:$E,"C",실시간콜입력!$H:$H,$B65,실시간콜입력!$O:$O,"방문완료")</f>
        <v>0</v>
      </c>
      <c r="I65" s="29">
        <f>COUNTIFS(실시간콜입력!$B:$B,$A65,실시간콜입력!$E:$E,"D",실시간콜입력!$G:$G,$B65,실시간콜입력!$O:$O,"방문완료")+COUNTIFS(실시간콜입력!$B:$B,$A65,실시간콜입력!$E:$E,"D",실시간콜입력!$H:$H,$B65,실시간콜입력!$O:$O,"방문완료")</f>
        <v>0</v>
      </c>
      <c r="J65" s="29">
        <f>COUNTIFS(실시간콜입력!$B:$B,$A65,실시간콜입력!$E:$E,"E",실시간콜입력!$G:$G,$B65,실시간콜입력!$O:$O,"방문완료")+COUNTIFS(실시간콜입력!$B:$B,$A65,실시간콜입력!$E:$E,"E",실시간콜입력!$H:$H,$B65,실시간콜입력!$O:$O,"방문완료")</f>
        <v>0</v>
      </c>
      <c r="K65" s="29">
        <f t="shared" si="9"/>
        <v>0</v>
      </c>
      <c r="L65" s="27">
        <f>SUMIFS(실시간콜입력!$K:$K,실시간콜입력!$B:$B,$A65,실시간콜입력!$G:$G,$B65,실시간콜입력!$O:$O,"방문완료")+SUMIFS(실시간콜입력!$L:$L,실시간콜입력!$B:$B,$A65,실시간콜입력!$H:$H,$B65,실시간콜입력!$O:$O,"방문완료")</f>
        <v>0</v>
      </c>
      <c r="M65" s="29" t="str">
        <f t="shared" si="10"/>
        <v/>
      </c>
      <c r="N65" s="29"/>
    </row>
    <row r="66" spans="1:14" ht="19.5" hidden="1" customHeight="1" outlineLevel="1">
      <c r="A66" s="30">
        <f>IF(2&lt;=DAY(DATE(YEAR(설정_코스수당!$K$2),MONTH(설정_코스수당!$K$2)+1,0)),DATE(YEAR(설정_코스수당!$K$2),MONTH(설정_코스수당!$K$2),2),"")</f>
        <v>46175</v>
      </c>
      <c r="B66" s="29" t="s">
        <v>170</v>
      </c>
      <c r="C66" s="29"/>
      <c r="D66" s="29"/>
      <c r="E66" s="29" t="str">
        <f t="shared" si="8"/>
        <v/>
      </c>
      <c r="F66" s="29">
        <f>COUNTIFS(실시간콜입력!$B:$B,$A66,실시간콜입력!$E:$E,"A",실시간콜입력!$G:$G,$B66,실시간콜입력!$O:$O,"방문완료")+COUNTIFS(실시간콜입력!$B:$B,$A66,실시간콜입력!$E:$E,"A",실시간콜입력!$H:$H,$B66,실시간콜입력!$O:$O,"방문완료")</f>
        <v>0</v>
      </c>
      <c r="G66" s="29">
        <f>COUNTIFS(실시간콜입력!$B:$B,$A66,실시간콜입력!$E:$E,"B",실시간콜입력!$G:$G,$B66,실시간콜입력!$O:$O,"방문완료")+COUNTIFS(실시간콜입력!$B:$B,$A66,실시간콜입력!$E:$E,"B",실시간콜입력!$H:$H,$B66,실시간콜입력!$O:$O,"방문완료")</f>
        <v>0</v>
      </c>
      <c r="H66" s="29">
        <f>COUNTIFS(실시간콜입력!$B:$B,$A66,실시간콜입력!$E:$E,"C",실시간콜입력!$G:$G,$B66,실시간콜입력!$O:$O,"방문완료")+COUNTIFS(실시간콜입력!$B:$B,$A66,실시간콜입력!$E:$E,"C",실시간콜입력!$H:$H,$B66,실시간콜입력!$O:$O,"방문완료")</f>
        <v>0</v>
      </c>
      <c r="I66" s="29">
        <f>COUNTIFS(실시간콜입력!$B:$B,$A66,실시간콜입력!$E:$E,"D",실시간콜입력!$G:$G,$B66,실시간콜입력!$O:$O,"방문완료")+COUNTIFS(실시간콜입력!$B:$B,$A66,실시간콜입력!$E:$E,"D",실시간콜입력!$H:$H,$B66,실시간콜입력!$O:$O,"방문완료")</f>
        <v>0</v>
      </c>
      <c r="J66" s="29">
        <f>COUNTIFS(실시간콜입력!$B:$B,$A66,실시간콜입력!$E:$E,"E",실시간콜입력!$G:$G,$B66,실시간콜입력!$O:$O,"방문완료")+COUNTIFS(실시간콜입력!$B:$B,$A66,실시간콜입력!$E:$E,"E",실시간콜입력!$H:$H,$B66,실시간콜입력!$O:$O,"방문완료")</f>
        <v>0</v>
      </c>
      <c r="K66" s="29">
        <f t="shared" si="9"/>
        <v>0</v>
      </c>
      <c r="L66" s="33">
        <f>SUMIFS(실시간콜입력!$K:$K,실시간콜입력!$B:$B,$A66,실시간콜입력!$G:$G,$B66,실시간콜입력!$O:$O,"방문완료")+SUMIFS(실시간콜입력!$L:$L,실시간콜입력!$B:$B,$A66,실시간콜입력!$H:$H,$B66,실시간콜입력!$O:$O,"방문완료")</f>
        <v>0</v>
      </c>
      <c r="M66" s="29" t="str">
        <f t="shared" si="10"/>
        <v/>
      </c>
      <c r="N66" s="29"/>
    </row>
    <row r="67" spans="1:14" ht="19.5" hidden="1" customHeight="1" outlineLevel="1">
      <c r="A67" s="24">
        <f>IF(2&lt;=DAY(DATE(YEAR(설정_코스수당!$K$2),MONTH(설정_코스수당!$K$2)+1,0)),DATE(YEAR(설정_코스수당!$K$2),MONTH(설정_코스수당!$K$2),2),"")</f>
        <v>46175</v>
      </c>
      <c r="B67" s="23" t="s">
        <v>171</v>
      </c>
      <c r="C67" s="29"/>
      <c r="D67" s="29"/>
      <c r="E67" s="29" t="str">
        <f t="shared" si="8"/>
        <v/>
      </c>
      <c r="F67" s="29">
        <f>COUNTIFS(실시간콜입력!$B:$B,$A67,실시간콜입력!$E:$E,"A",실시간콜입력!$G:$G,$B67,실시간콜입력!$O:$O,"방문완료")+COUNTIFS(실시간콜입력!$B:$B,$A67,실시간콜입력!$E:$E,"A",실시간콜입력!$H:$H,$B67,실시간콜입력!$O:$O,"방문완료")</f>
        <v>0</v>
      </c>
      <c r="G67" s="29">
        <f>COUNTIFS(실시간콜입력!$B:$B,$A67,실시간콜입력!$E:$E,"B",실시간콜입력!$G:$G,$B67,실시간콜입력!$O:$O,"방문완료")+COUNTIFS(실시간콜입력!$B:$B,$A67,실시간콜입력!$E:$E,"B",실시간콜입력!$H:$H,$B67,실시간콜입력!$O:$O,"방문완료")</f>
        <v>0</v>
      </c>
      <c r="H67" s="29">
        <f>COUNTIFS(실시간콜입력!$B:$B,$A67,실시간콜입력!$E:$E,"C",실시간콜입력!$G:$G,$B67,실시간콜입력!$O:$O,"방문완료")+COUNTIFS(실시간콜입력!$B:$B,$A67,실시간콜입력!$E:$E,"C",실시간콜입력!$H:$H,$B67,실시간콜입력!$O:$O,"방문완료")</f>
        <v>0</v>
      </c>
      <c r="I67" s="29">
        <f>COUNTIFS(실시간콜입력!$B:$B,$A67,실시간콜입력!$E:$E,"D",실시간콜입력!$G:$G,$B67,실시간콜입력!$O:$O,"방문완료")+COUNTIFS(실시간콜입력!$B:$B,$A67,실시간콜입력!$E:$E,"D",실시간콜입력!$H:$H,$B67,실시간콜입력!$O:$O,"방문완료")</f>
        <v>0</v>
      </c>
      <c r="J67" s="29">
        <f>COUNTIFS(실시간콜입력!$B:$B,$A67,실시간콜입력!$E:$E,"E",실시간콜입력!$G:$G,$B67,실시간콜입력!$O:$O,"방문완료")+COUNTIFS(실시간콜입력!$B:$B,$A67,실시간콜입력!$E:$E,"E",실시간콜입력!$H:$H,$B67,실시간콜입력!$O:$O,"방문완료")</f>
        <v>0</v>
      </c>
      <c r="K67" s="29">
        <f t="shared" si="9"/>
        <v>0</v>
      </c>
      <c r="L67" s="27">
        <f>SUMIFS(실시간콜입력!$K:$K,실시간콜입력!$B:$B,$A67,실시간콜입력!$G:$G,$B67,실시간콜입력!$O:$O,"방문완료")+SUMIFS(실시간콜입력!$L:$L,실시간콜입력!$B:$B,$A67,실시간콜입력!$H:$H,$B67,실시간콜입력!$O:$O,"방문완료")</f>
        <v>0</v>
      </c>
      <c r="M67" s="29" t="str">
        <f t="shared" si="10"/>
        <v/>
      </c>
      <c r="N67" s="29"/>
    </row>
    <row r="68" spans="1:14" ht="19.5" hidden="1" customHeight="1" outlineLevel="1">
      <c r="A68" s="30">
        <f>IF(2&lt;=DAY(DATE(YEAR(설정_코스수당!$K$2),MONTH(설정_코스수당!$K$2)+1,0)),DATE(YEAR(설정_코스수당!$K$2),MONTH(설정_코스수당!$K$2),2),"")</f>
        <v>46175</v>
      </c>
      <c r="B68" s="29" t="s">
        <v>172</v>
      </c>
      <c r="C68" s="29"/>
      <c r="D68" s="29"/>
      <c r="E68" s="29" t="str">
        <f t="shared" si="8"/>
        <v/>
      </c>
      <c r="F68" s="29">
        <f>COUNTIFS(실시간콜입력!$B:$B,$A68,실시간콜입력!$E:$E,"A",실시간콜입력!$G:$G,$B68,실시간콜입력!$O:$O,"방문완료")+COUNTIFS(실시간콜입력!$B:$B,$A68,실시간콜입력!$E:$E,"A",실시간콜입력!$H:$H,$B68,실시간콜입력!$O:$O,"방문완료")</f>
        <v>0</v>
      </c>
      <c r="G68" s="29">
        <f>COUNTIFS(실시간콜입력!$B:$B,$A68,실시간콜입력!$E:$E,"B",실시간콜입력!$G:$G,$B68,실시간콜입력!$O:$O,"방문완료")+COUNTIFS(실시간콜입력!$B:$B,$A68,실시간콜입력!$E:$E,"B",실시간콜입력!$H:$H,$B68,실시간콜입력!$O:$O,"방문완료")</f>
        <v>0</v>
      </c>
      <c r="H68" s="29">
        <f>COUNTIFS(실시간콜입력!$B:$B,$A68,실시간콜입력!$E:$E,"C",실시간콜입력!$G:$G,$B68,실시간콜입력!$O:$O,"방문완료")+COUNTIFS(실시간콜입력!$B:$B,$A68,실시간콜입력!$E:$E,"C",실시간콜입력!$H:$H,$B68,실시간콜입력!$O:$O,"방문완료")</f>
        <v>0</v>
      </c>
      <c r="I68" s="29">
        <f>COUNTIFS(실시간콜입력!$B:$B,$A68,실시간콜입력!$E:$E,"D",실시간콜입력!$G:$G,$B68,실시간콜입력!$O:$O,"방문완료")+COUNTIFS(실시간콜입력!$B:$B,$A68,실시간콜입력!$E:$E,"D",실시간콜입력!$H:$H,$B68,실시간콜입력!$O:$O,"방문완료")</f>
        <v>0</v>
      </c>
      <c r="J68" s="29">
        <f>COUNTIFS(실시간콜입력!$B:$B,$A68,실시간콜입력!$E:$E,"E",실시간콜입력!$G:$G,$B68,실시간콜입력!$O:$O,"방문완료")+COUNTIFS(실시간콜입력!$B:$B,$A68,실시간콜입력!$E:$E,"E",실시간콜입력!$H:$H,$B68,실시간콜입력!$O:$O,"방문완료")</f>
        <v>0</v>
      </c>
      <c r="K68" s="29">
        <f t="shared" si="9"/>
        <v>0</v>
      </c>
      <c r="L68" s="33">
        <f>SUMIFS(실시간콜입력!$K:$K,실시간콜입력!$B:$B,$A68,실시간콜입력!$G:$G,$B68,실시간콜입력!$O:$O,"방문완료")+SUMIFS(실시간콜입력!$L:$L,실시간콜입력!$B:$B,$A68,실시간콜입력!$H:$H,$B68,실시간콜입력!$O:$O,"방문완료")</f>
        <v>0</v>
      </c>
      <c r="M68" s="29" t="str">
        <f t="shared" si="10"/>
        <v/>
      </c>
      <c r="N68" s="29"/>
    </row>
    <row r="69" spans="1:14" ht="19.5" hidden="1" customHeight="1" outlineLevel="1">
      <c r="A69" s="24">
        <f>IF(2&lt;=DAY(DATE(YEAR(설정_코스수당!$K$2),MONTH(설정_코스수당!$K$2)+1,0)),DATE(YEAR(설정_코스수당!$K$2),MONTH(설정_코스수당!$K$2),2),"")</f>
        <v>46175</v>
      </c>
      <c r="B69" s="23" t="s">
        <v>173</v>
      </c>
      <c r="C69" s="29"/>
      <c r="D69" s="29"/>
      <c r="E69" s="29" t="str">
        <f t="shared" si="8"/>
        <v/>
      </c>
      <c r="F69" s="29">
        <f>COUNTIFS(실시간콜입력!$B:$B,$A69,실시간콜입력!$E:$E,"A",실시간콜입력!$G:$G,$B69,실시간콜입력!$O:$O,"방문완료")+COUNTIFS(실시간콜입력!$B:$B,$A69,실시간콜입력!$E:$E,"A",실시간콜입력!$H:$H,$B69,실시간콜입력!$O:$O,"방문완료")</f>
        <v>0</v>
      </c>
      <c r="G69" s="29">
        <f>COUNTIFS(실시간콜입력!$B:$B,$A69,실시간콜입력!$E:$E,"B",실시간콜입력!$G:$G,$B69,실시간콜입력!$O:$O,"방문완료")+COUNTIFS(실시간콜입력!$B:$B,$A69,실시간콜입력!$E:$E,"B",실시간콜입력!$H:$H,$B69,실시간콜입력!$O:$O,"방문완료")</f>
        <v>0</v>
      </c>
      <c r="H69" s="29">
        <f>COUNTIFS(실시간콜입력!$B:$B,$A69,실시간콜입력!$E:$E,"C",실시간콜입력!$G:$G,$B69,실시간콜입력!$O:$O,"방문완료")+COUNTIFS(실시간콜입력!$B:$B,$A69,실시간콜입력!$E:$E,"C",실시간콜입력!$H:$H,$B69,실시간콜입력!$O:$O,"방문완료")</f>
        <v>0</v>
      </c>
      <c r="I69" s="29">
        <f>COUNTIFS(실시간콜입력!$B:$B,$A69,실시간콜입력!$E:$E,"D",실시간콜입력!$G:$G,$B69,실시간콜입력!$O:$O,"방문완료")+COUNTIFS(실시간콜입력!$B:$B,$A69,실시간콜입력!$E:$E,"D",실시간콜입력!$H:$H,$B69,실시간콜입력!$O:$O,"방문완료")</f>
        <v>0</v>
      </c>
      <c r="J69" s="29">
        <f>COUNTIFS(실시간콜입력!$B:$B,$A69,실시간콜입력!$E:$E,"E",실시간콜입력!$G:$G,$B69,실시간콜입력!$O:$O,"방문완료")+COUNTIFS(실시간콜입력!$B:$B,$A69,실시간콜입력!$E:$E,"E",실시간콜입력!$H:$H,$B69,실시간콜입력!$O:$O,"방문완료")</f>
        <v>0</v>
      </c>
      <c r="K69" s="29">
        <f t="shared" si="9"/>
        <v>0</v>
      </c>
      <c r="L69" s="27">
        <f>SUMIFS(실시간콜입력!$K:$K,실시간콜입력!$B:$B,$A69,실시간콜입력!$G:$G,$B69,실시간콜입력!$O:$O,"방문완료")+SUMIFS(실시간콜입력!$L:$L,실시간콜입력!$B:$B,$A69,실시간콜입력!$H:$H,$B69,실시간콜입력!$O:$O,"방문완료")</f>
        <v>0</v>
      </c>
      <c r="M69" s="29" t="str">
        <f t="shared" si="10"/>
        <v/>
      </c>
      <c r="N69" s="29"/>
    </row>
    <row r="70" spans="1:14" ht="19.5" hidden="1" customHeight="1" outlineLevel="1">
      <c r="A70" s="30">
        <f>IF(2&lt;=DAY(DATE(YEAR(설정_코스수당!$K$2),MONTH(설정_코스수당!$K$2)+1,0)),DATE(YEAR(설정_코스수당!$K$2),MONTH(설정_코스수당!$K$2),2),"")</f>
        <v>46175</v>
      </c>
      <c r="B70" s="29" t="s">
        <v>174</v>
      </c>
      <c r="C70" s="29"/>
      <c r="D70" s="29"/>
      <c r="E70" s="29" t="str">
        <f t="shared" si="8"/>
        <v/>
      </c>
      <c r="F70" s="29">
        <f>COUNTIFS(실시간콜입력!$B:$B,$A70,실시간콜입력!$E:$E,"A",실시간콜입력!$G:$G,$B70,실시간콜입력!$O:$O,"방문완료")+COUNTIFS(실시간콜입력!$B:$B,$A70,실시간콜입력!$E:$E,"A",실시간콜입력!$H:$H,$B70,실시간콜입력!$O:$O,"방문완료")</f>
        <v>0</v>
      </c>
      <c r="G70" s="29">
        <f>COUNTIFS(실시간콜입력!$B:$B,$A70,실시간콜입력!$E:$E,"B",실시간콜입력!$G:$G,$B70,실시간콜입력!$O:$O,"방문완료")+COUNTIFS(실시간콜입력!$B:$B,$A70,실시간콜입력!$E:$E,"B",실시간콜입력!$H:$H,$B70,실시간콜입력!$O:$O,"방문완료")</f>
        <v>0</v>
      </c>
      <c r="H70" s="29">
        <f>COUNTIFS(실시간콜입력!$B:$B,$A70,실시간콜입력!$E:$E,"C",실시간콜입력!$G:$G,$B70,실시간콜입력!$O:$O,"방문완료")+COUNTIFS(실시간콜입력!$B:$B,$A70,실시간콜입력!$E:$E,"C",실시간콜입력!$H:$H,$B70,실시간콜입력!$O:$O,"방문완료")</f>
        <v>0</v>
      </c>
      <c r="I70" s="29">
        <f>COUNTIFS(실시간콜입력!$B:$B,$A70,실시간콜입력!$E:$E,"D",실시간콜입력!$G:$G,$B70,실시간콜입력!$O:$O,"방문완료")+COUNTIFS(실시간콜입력!$B:$B,$A70,실시간콜입력!$E:$E,"D",실시간콜입력!$H:$H,$B70,실시간콜입력!$O:$O,"방문완료")</f>
        <v>0</v>
      </c>
      <c r="J70" s="29">
        <f>COUNTIFS(실시간콜입력!$B:$B,$A70,실시간콜입력!$E:$E,"E",실시간콜입력!$G:$G,$B70,실시간콜입력!$O:$O,"방문완료")+COUNTIFS(실시간콜입력!$B:$B,$A70,실시간콜입력!$E:$E,"E",실시간콜입력!$H:$H,$B70,실시간콜입력!$O:$O,"방문완료")</f>
        <v>0</v>
      </c>
      <c r="K70" s="29">
        <f t="shared" si="9"/>
        <v>0</v>
      </c>
      <c r="L70" s="33">
        <f>SUMIFS(실시간콜입력!$K:$K,실시간콜입력!$B:$B,$A70,실시간콜입력!$G:$G,$B70,실시간콜입력!$O:$O,"방문완료")+SUMIFS(실시간콜입력!$L:$L,실시간콜입력!$B:$B,$A70,실시간콜입력!$H:$H,$B70,실시간콜입력!$O:$O,"방문완료")</f>
        <v>0</v>
      </c>
      <c r="M70" s="29" t="str">
        <f t="shared" si="10"/>
        <v/>
      </c>
      <c r="N70" s="29"/>
    </row>
    <row r="71" spans="1:14" ht="19.5" hidden="1" customHeight="1" outlineLevel="1">
      <c r="A71" s="24">
        <f>IF(2&lt;=DAY(DATE(YEAR(설정_코스수당!$K$2),MONTH(설정_코스수당!$K$2)+1,0)),DATE(YEAR(설정_코스수당!$K$2),MONTH(설정_코스수당!$K$2),2),"")</f>
        <v>46175</v>
      </c>
      <c r="B71" s="23" t="s">
        <v>175</v>
      </c>
      <c r="C71" s="29"/>
      <c r="D71" s="29"/>
      <c r="E71" s="29" t="str">
        <f t="shared" si="8"/>
        <v/>
      </c>
      <c r="F71" s="29">
        <f>COUNTIFS(실시간콜입력!$B:$B,$A71,실시간콜입력!$E:$E,"A",실시간콜입력!$G:$G,$B71,실시간콜입력!$O:$O,"방문완료")+COUNTIFS(실시간콜입력!$B:$B,$A71,실시간콜입력!$E:$E,"A",실시간콜입력!$H:$H,$B71,실시간콜입력!$O:$O,"방문완료")</f>
        <v>0</v>
      </c>
      <c r="G71" s="29">
        <f>COUNTIFS(실시간콜입력!$B:$B,$A71,실시간콜입력!$E:$E,"B",실시간콜입력!$G:$G,$B71,실시간콜입력!$O:$O,"방문완료")+COUNTIFS(실시간콜입력!$B:$B,$A71,실시간콜입력!$E:$E,"B",실시간콜입력!$H:$H,$B71,실시간콜입력!$O:$O,"방문완료")</f>
        <v>0</v>
      </c>
      <c r="H71" s="29">
        <f>COUNTIFS(실시간콜입력!$B:$B,$A71,실시간콜입력!$E:$E,"C",실시간콜입력!$G:$G,$B71,실시간콜입력!$O:$O,"방문완료")+COUNTIFS(실시간콜입력!$B:$B,$A71,실시간콜입력!$E:$E,"C",실시간콜입력!$H:$H,$B71,실시간콜입력!$O:$O,"방문완료")</f>
        <v>0</v>
      </c>
      <c r="I71" s="29">
        <f>COUNTIFS(실시간콜입력!$B:$B,$A71,실시간콜입력!$E:$E,"D",실시간콜입력!$G:$G,$B71,실시간콜입력!$O:$O,"방문완료")+COUNTIFS(실시간콜입력!$B:$B,$A71,실시간콜입력!$E:$E,"D",실시간콜입력!$H:$H,$B71,실시간콜입력!$O:$O,"방문완료")</f>
        <v>0</v>
      </c>
      <c r="J71" s="29">
        <f>COUNTIFS(실시간콜입력!$B:$B,$A71,실시간콜입력!$E:$E,"E",실시간콜입력!$G:$G,$B71,실시간콜입력!$O:$O,"방문완료")+COUNTIFS(실시간콜입력!$B:$B,$A71,실시간콜입력!$E:$E,"E",실시간콜입력!$H:$H,$B71,실시간콜입력!$O:$O,"방문완료")</f>
        <v>0</v>
      </c>
      <c r="K71" s="29">
        <f t="shared" si="9"/>
        <v>0</v>
      </c>
      <c r="L71" s="27">
        <f>SUMIFS(실시간콜입력!$K:$K,실시간콜입력!$B:$B,$A71,실시간콜입력!$G:$G,$B71,실시간콜입력!$O:$O,"방문완료")+SUMIFS(실시간콜입력!$L:$L,실시간콜입력!$B:$B,$A71,실시간콜입력!$H:$H,$B71,실시간콜입력!$O:$O,"방문완료")</f>
        <v>0</v>
      </c>
      <c r="M71" s="29" t="str">
        <f t="shared" si="10"/>
        <v/>
      </c>
      <c r="N71" s="29"/>
    </row>
    <row r="72" spans="1:14" ht="19.5" hidden="1" customHeight="1" outlineLevel="1">
      <c r="A72" s="30">
        <f>IF(2&lt;=DAY(DATE(YEAR(설정_코스수당!$K$2),MONTH(설정_코스수당!$K$2)+1,0)),DATE(YEAR(설정_코스수당!$K$2),MONTH(설정_코스수당!$K$2),2),"")</f>
        <v>46175</v>
      </c>
      <c r="B72" s="29" t="s">
        <v>176</v>
      </c>
      <c r="C72" s="29"/>
      <c r="D72" s="29"/>
      <c r="E72" s="29" t="str">
        <f t="shared" si="8"/>
        <v/>
      </c>
      <c r="F72" s="29">
        <f>COUNTIFS(실시간콜입력!$B:$B,$A72,실시간콜입력!$E:$E,"A",실시간콜입력!$G:$G,$B72,실시간콜입력!$O:$O,"방문완료")+COUNTIFS(실시간콜입력!$B:$B,$A72,실시간콜입력!$E:$E,"A",실시간콜입력!$H:$H,$B72,실시간콜입력!$O:$O,"방문완료")</f>
        <v>0</v>
      </c>
      <c r="G72" s="29">
        <f>COUNTIFS(실시간콜입력!$B:$B,$A72,실시간콜입력!$E:$E,"B",실시간콜입력!$G:$G,$B72,실시간콜입력!$O:$O,"방문완료")+COUNTIFS(실시간콜입력!$B:$B,$A72,실시간콜입력!$E:$E,"B",실시간콜입력!$H:$H,$B72,실시간콜입력!$O:$O,"방문완료")</f>
        <v>0</v>
      </c>
      <c r="H72" s="29">
        <f>COUNTIFS(실시간콜입력!$B:$B,$A72,실시간콜입력!$E:$E,"C",실시간콜입력!$G:$G,$B72,실시간콜입력!$O:$O,"방문완료")+COUNTIFS(실시간콜입력!$B:$B,$A72,실시간콜입력!$E:$E,"C",실시간콜입력!$H:$H,$B72,실시간콜입력!$O:$O,"방문완료")</f>
        <v>0</v>
      </c>
      <c r="I72" s="29">
        <f>COUNTIFS(실시간콜입력!$B:$B,$A72,실시간콜입력!$E:$E,"D",실시간콜입력!$G:$G,$B72,실시간콜입력!$O:$O,"방문완료")+COUNTIFS(실시간콜입력!$B:$B,$A72,실시간콜입력!$E:$E,"D",실시간콜입력!$H:$H,$B72,실시간콜입력!$O:$O,"방문완료")</f>
        <v>0</v>
      </c>
      <c r="J72" s="29">
        <f>COUNTIFS(실시간콜입력!$B:$B,$A72,실시간콜입력!$E:$E,"E",실시간콜입력!$G:$G,$B72,실시간콜입력!$O:$O,"방문완료")+COUNTIFS(실시간콜입력!$B:$B,$A72,실시간콜입력!$E:$E,"E",실시간콜입력!$H:$H,$B72,실시간콜입력!$O:$O,"방문완료")</f>
        <v>0</v>
      </c>
      <c r="K72" s="29">
        <f t="shared" si="9"/>
        <v>0</v>
      </c>
      <c r="L72" s="33">
        <f>SUMIFS(실시간콜입력!$K:$K,실시간콜입력!$B:$B,$A72,실시간콜입력!$G:$G,$B72,실시간콜입력!$O:$O,"방문완료")+SUMIFS(실시간콜입력!$L:$L,실시간콜입력!$B:$B,$A72,실시간콜입력!$H:$H,$B72,실시간콜입력!$O:$O,"방문완료")</f>
        <v>0</v>
      </c>
      <c r="M72" s="29" t="str">
        <f t="shared" si="10"/>
        <v/>
      </c>
      <c r="N72" s="29"/>
    </row>
    <row r="73" spans="1:14" ht="19.5" hidden="1" customHeight="1" outlineLevel="1">
      <c r="A73" s="24">
        <f>IF(2&lt;=DAY(DATE(YEAR(설정_코스수당!$K$2),MONTH(설정_코스수당!$K$2)+1,0)),DATE(YEAR(설정_코스수당!$K$2),MONTH(설정_코스수당!$K$2),2),"")</f>
        <v>46175</v>
      </c>
      <c r="B73" s="23" t="s">
        <v>177</v>
      </c>
      <c r="C73" s="29"/>
      <c r="D73" s="29"/>
      <c r="E73" s="29" t="str">
        <f t="shared" si="8"/>
        <v/>
      </c>
      <c r="F73" s="29">
        <f>COUNTIFS(실시간콜입력!$B:$B,$A73,실시간콜입력!$E:$E,"A",실시간콜입력!$G:$G,$B73,실시간콜입력!$O:$O,"방문완료")+COUNTIFS(실시간콜입력!$B:$B,$A73,실시간콜입력!$E:$E,"A",실시간콜입력!$H:$H,$B73,실시간콜입력!$O:$O,"방문완료")</f>
        <v>0</v>
      </c>
      <c r="G73" s="29">
        <f>COUNTIFS(실시간콜입력!$B:$B,$A73,실시간콜입력!$E:$E,"B",실시간콜입력!$G:$G,$B73,실시간콜입력!$O:$O,"방문완료")+COUNTIFS(실시간콜입력!$B:$B,$A73,실시간콜입력!$E:$E,"B",실시간콜입력!$H:$H,$B73,실시간콜입력!$O:$O,"방문완료")</f>
        <v>0</v>
      </c>
      <c r="H73" s="29">
        <f>COUNTIFS(실시간콜입력!$B:$B,$A73,실시간콜입력!$E:$E,"C",실시간콜입력!$G:$G,$B73,실시간콜입력!$O:$O,"방문완료")+COUNTIFS(실시간콜입력!$B:$B,$A73,실시간콜입력!$E:$E,"C",실시간콜입력!$H:$H,$B73,실시간콜입력!$O:$O,"방문완료")</f>
        <v>0</v>
      </c>
      <c r="I73" s="29">
        <f>COUNTIFS(실시간콜입력!$B:$B,$A73,실시간콜입력!$E:$E,"D",실시간콜입력!$G:$G,$B73,실시간콜입력!$O:$O,"방문완료")+COUNTIFS(실시간콜입력!$B:$B,$A73,실시간콜입력!$E:$E,"D",실시간콜입력!$H:$H,$B73,실시간콜입력!$O:$O,"방문완료")</f>
        <v>0</v>
      </c>
      <c r="J73" s="29">
        <f>COUNTIFS(실시간콜입력!$B:$B,$A73,실시간콜입력!$E:$E,"E",실시간콜입력!$G:$G,$B73,실시간콜입력!$O:$O,"방문완료")+COUNTIFS(실시간콜입력!$B:$B,$A73,실시간콜입력!$E:$E,"E",실시간콜입력!$H:$H,$B73,실시간콜입력!$O:$O,"방문완료")</f>
        <v>0</v>
      </c>
      <c r="K73" s="29">
        <f t="shared" si="9"/>
        <v>0</v>
      </c>
      <c r="L73" s="27">
        <f>SUMIFS(실시간콜입력!$K:$K,실시간콜입력!$B:$B,$A73,실시간콜입력!$G:$G,$B73,실시간콜입력!$O:$O,"방문완료")+SUMIFS(실시간콜입력!$L:$L,실시간콜입력!$B:$B,$A73,실시간콜입력!$H:$H,$B73,실시간콜입력!$O:$O,"방문완료")</f>
        <v>0</v>
      </c>
      <c r="M73" s="29" t="str">
        <f t="shared" si="10"/>
        <v/>
      </c>
      <c r="N73" s="29"/>
    </row>
    <row r="74" spans="1:14" ht="19.5" hidden="1" customHeight="1" outlineLevel="1">
      <c r="A74" s="30">
        <f>IF(2&lt;=DAY(DATE(YEAR(설정_코스수당!$K$2),MONTH(설정_코스수당!$K$2)+1,0)),DATE(YEAR(설정_코스수당!$K$2),MONTH(설정_코스수당!$K$2),2),"")</f>
        <v>46175</v>
      </c>
      <c r="B74" s="29" t="s">
        <v>178</v>
      </c>
      <c r="C74" s="29"/>
      <c r="D74" s="29"/>
      <c r="E74" s="29" t="str">
        <f t="shared" si="8"/>
        <v/>
      </c>
      <c r="F74" s="29">
        <f>COUNTIFS(실시간콜입력!$B:$B,$A74,실시간콜입력!$E:$E,"A",실시간콜입력!$G:$G,$B74,실시간콜입력!$O:$O,"방문완료")+COUNTIFS(실시간콜입력!$B:$B,$A74,실시간콜입력!$E:$E,"A",실시간콜입력!$H:$H,$B74,실시간콜입력!$O:$O,"방문완료")</f>
        <v>0</v>
      </c>
      <c r="G74" s="29">
        <f>COUNTIFS(실시간콜입력!$B:$B,$A74,실시간콜입력!$E:$E,"B",실시간콜입력!$G:$G,$B74,실시간콜입력!$O:$O,"방문완료")+COUNTIFS(실시간콜입력!$B:$B,$A74,실시간콜입력!$E:$E,"B",실시간콜입력!$H:$H,$B74,실시간콜입력!$O:$O,"방문완료")</f>
        <v>0</v>
      </c>
      <c r="H74" s="29">
        <f>COUNTIFS(실시간콜입력!$B:$B,$A74,실시간콜입력!$E:$E,"C",실시간콜입력!$G:$G,$B74,실시간콜입력!$O:$O,"방문완료")+COUNTIFS(실시간콜입력!$B:$B,$A74,실시간콜입력!$E:$E,"C",실시간콜입력!$H:$H,$B74,실시간콜입력!$O:$O,"방문완료")</f>
        <v>0</v>
      </c>
      <c r="I74" s="29">
        <f>COUNTIFS(실시간콜입력!$B:$B,$A74,실시간콜입력!$E:$E,"D",실시간콜입력!$G:$G,$B74,실시간콜입력!$O:$O,"방문완료")+COUNTIFS(실시간콜입력!$B:$B,$A74,실시간콜입력!$E:$E,"D",실시간콜입력!$H:$H,$B74,실시간콜입력!$O:$O,"방문완료")</f>
        <v>0</v>
      </c>
      <c r="J74" s="29">
        <f>COUNTIFS(실시간콜입력!$B:$B,$A74,실시간콜입력!$E:$E,"E",실시간콜입력!$G:$G,$B74,실시간콜입력!$O:$O,"방문완료")+COUNTIFS(실시간콜입력!$B:$B,$A74,실시간콜입력!$E:$E,"E",실시간콜입력!$H:$H,$B74,실시간콜입력!$O:$O,"방문완료")</f>
        <v>0</v>
      </c>
      <c r="K74" s="29">
        <f t="shared" si="9"/>
        <v>0</v>
      </c>
      <c r="L74" s="33">
        <f>SUMIFS(실시간콜입력!$K:$K,실시간콜입력!$B:$B,$A74,실시간콜입력!$G:$G,$B74,실시간콜입력!$O:$O,"방문완료")+SUMIFS(실시간콜입력!$L:$L,실시간콜입력!$B:$B,$A74,실시간콜입력!$H:$H,$B74,실시간콜입력!$O:$O,"방문완료")</f>
        <v>0</v>
      </c>
      <c r="M74" s="29" t="str">
        <f t="shared" si="10"/>
        <v/>
      </c>
      <c r="N74" s="29"/>
    </row>
    <row r="75" spans="1:14" ht="19.5" hidden="1" customHeight="1" outlineLevel="1">
      <c r="A75" s="24">
        <f>IF(2&lt;=DAY(DATE(YEAR(설정_코스수당!$K$2),MONTH(설정_코스수당!$K$2)+1,0)),DATE(YEAR(설정_코스수당!$K$2),MONTH(설정_코스수당!$K$2),2),"")</f>
        <v>46175</v>
      </c>
      <c r="B75" s="23" t="s">
        <v>179</v>
      </c>
      <c r="C75" s="29"/>
      <c r="D75" s="29"/>
      <c r="E75" s="29" t="str">
        <f t="shared" si="8"/>
        <v/>
      </c>
      <c r="F75" s="29">
        <f>COUNTIFS(실시간콜입력!$B:$B,$A75,실시간콜입력!$E:$E,"A",실시간콜입력!$G:$G,$B75,실시간콜입력!$O:$O,"방문완료")+COUNTIFS(실시간콜입력!$B:$B,$A75,실시간콜입력!$E:$E,"A",실시간콜입력!$H:$H,$B75,실시간콜입력!$O:$O,"방문완료")</f>
        <v>0</v>
      </c>
      <c r="G75" s="29">
        <f>COUNTIFS(실시간콜입력!$B:$B,$A75,실시간콜입력!$E:$E,"B",실시간콜입력!$G:$G,$B75,실시간콜입력!$O:$O,"방문완료")+COUNTIFS(실시간콜입력!$B:$B,$A75,실시간콜입력!$E:$E,"B",실시간콜입력!$H:$H,$B75,실시간콜입력!$O:$O,"방문완료")</f>
        <v>0</v>
      </c>
      <c r="H75" s="29">
        <f>COUNTIFS(실시간콜입력!$B:$B,$A75,실시간콜입력!$E:$E,"C",실시간콜입력!$G:$G,$B75,실시간콜입력!$O:$O,"방문완료")+COUNTIFS(실시간콜입력!$B:$B,$A75,실시간콜입력!$E:$E,"C",실시간콜입력!$H:$H,$B75,실시간콜입력!$O:$O,"방문완료")</f>
        <v>0</v>
      </c>
      <c r="I75" s="29">
        <f>COUNTIFS(실시간콜입력!$B:$B,$A75,실시간콜입력!$E:$E,"D",실시간콜입력!$G:$G,$B75,실시간콜입력!$O:$O,"방문완료")+COUNTIFS(실시간콜입력!$B:$B,$A75,실시간콜입력!$E:$E,"D",실시간콜입력!$H:$H,$B75,실시간콜입력!$O:$O,"방문완료")</f>
        <v>0</v>
      </c>
      <c r="J75" s="29">
        <f>COUNTIFS(실시간콜입력!$B:$B,$A75,실시간콜입력!$E:$E,"E",실시간콜입력!$G:$G,$B75,실시간콜입력!$O:$O,"방문완료")+COUNTIFS(실시간콜입력!$B:$B,$A75,실시간콜입력!$E:$E,"E",실시간콜입력!$H:$H,$B75,실시간콜입력!$O:$O,"방문완료")</f>
        <v>0</v>
      </c>
      <c r="K75" s="29">
        <f t="shared" si="9"/>
        <v>0</v>
      </c>
      <c r="L75" s="27">
        <f>SUMIFS(실시간콜입력!$K:$K,실시간콜입력!$B:$B,$A75,실시간콜입력!$G:$G,$B75,실시간콜입력!$O:$O,"방문완료")+SUMIFS(실시간콜입력!$L:$L,실시간콜입력!$B:$B,$A75,실시간콜입력!$H:$H,$B75,실시간콜입력!$O:$O,"방문완료")</f>
        <v>0</v>
      </c>
      <c r="M75" s="29" t="str">
        <f t="shared" si="10"/>
        <v/>
      </c>
      <c r="N75" s="29"/>
    </row>
    <row r="76" spans="1:14" ht="19.5" hidden="1" customHeight="1" outlineLevel="1">
      <c r="A76" s="30">
        <f>IF(2&lt;=DAY(DATE(YEAR(설정_코스수당!$K$2),MONTH(설정_코스수당!$K$2)+1,0)),DATE(YEAR(설정_코스수당!$K$2),MONTH(설정_코스수당!$K$2),2),"")</f>
        <v>46175</v>
      </c>
      <c r="B76" s="29" t="s">
        <v>180</v>
      </c>
      <c r="C76" s="29"/>
      <c r="D76" s="29"/>
      <c r="E76" s="29" t="str">
        <f t="shared" si="8"/>
        <v/>
      </c>
      <c r="F76" s="29">
        <f>COUNTIFS(실시간콜입력!$B:$B,$A76,실시간콜입력!$E:$E,"A",실시간콜입력!$G:$G,$B76,실시간콜입력!$O:$O,"방문완료")+COUNTIFS(실시간콜입력!$B:$B,$A76,실시간콜입력!$E:$E,"A",실시간콜입력!$H:$H,$B76,실시간콜입력!$O:$O,"방문완료")</f>
        <v>0</v>
      </c>
      <c r="G76" s="29">
        <f>COUNTIFS(실시간콜입력!$B:$B,$A76,실시간콜입력!$E:$E,"B",실시간콜입력!$G:$G,$B76,실시간콜입력!$O:$O,"방문완료")+COUNTIFS(실시간콜입력!$B:$B,$A76,실시간콜입력!$E:$E,"B",실시간콜입력!$H:$H,$B76,실시간콜입력!$O:$O,"방문완료")</f>
        <v>0</v>
      </c>
      <c r="H76" s="29">
        <f>COUNTIFS(실시간콜입력!$B:$B,$A76,실시간콜입력!$E:$E,"C",실시간콜입력!$G:$G,$B76,실시간콜입력!$O:$O,"방문완료")+COUNTIFS(실시간콜입력!$B:$B,$A76,실시간콜입력!$E:$E,"C",실시간콜입력!$H:$H,$B76,실시간콜입력!$O:$O,"방문완료")</f>
        <v>0</v>
      </c>
      <c r="I76" s="29">
        <f>COUNTIFS(실시간콜입력!$B:$B,$A76,실시간콜입력!$E:$E,"D",실시간콜입력!$G:$G,$B76,실시간콜입력!$O:$O,"방문완료")+COUNTIFS(실시간콜입력!$B:$B,$A76,실시간콜입력!$E:$E,"D",실시간콜입력!$H:$H,$B76,실시간콜입력!$O:$O,"방문완료")</f>
        <v>0</v>
      </c>
      <c r="J76" s="29">
        <f>COUNTIFS(실시간콜입력!$B:$B,$A76,실시간콜입력!$E:$E,"E",실시간콜입력!$G:$G,$B76,실시간콜입력!$O:$O,"방문완료")+COUNTIFS(실시간콜입력!$B:$B,$A76,실시간콜입력!$E:$E,"E",실시간콜입력!$H:$H,$B76,실시간콜입력!$O:$O,"방문완료")</f>
        <v>0</v>
      </c>
      <c r="K76" s="29">
        <f t="shared" si="9"/>
        <v>0</v>
      </c>
      <c r="L76" s="33">
        <f>SUMIFS(실시간콜입력!$K:$K,실시간콜입력!$B:$B,$A76,실시간콜입력!$G:$G,$B76,실시간콜입력!$O:$O,"방문완료")+SUMIFS(실시간콜입력!$L:$L,실시간콜입력!$B:$B,$A76,실시간콜입력!$H:$H,$B76,실시간콜입력!$O:$O,"방문완료")</f>
        <v>0</v>
      </c>
      <c r="M76" s="29" t="str">
        <f t="shared" si="10"/>
        <v/>
      </c>
      <c r="N76" s="29"/>
    </row>
    <row r="77" spans="1:14" ht="19.5" hidden="1" customHeight="1" outlineLevel="1">
      <c r="A77" s="24">
        <f>IF(2&lt;=DAY(DATE(YEAR(설정_코스수당!$K$2),MONTH(설정_코스수당!$K$2)+1,0)),DATE(YEAR(설정_코스수당!$K$2),MONTH(설정_코스수당!$K$2),2),"")</f>
        <v>46175</v>
      </c>
      <c r="B77" s="23" t="s">
        <v>181</v>
      </c>
      <c r="C77" s="29"/>
      <c r="D77" s="29"/>
      <c r="E77" s="29" t="str">
        <f t="shared" si="8"/>
        <v/>
      </c>
      <c r="F77" s="29">
        <f>COUNTIFS(실시간콜입력!$B:$B,$A77,실시간콜입력!$E:$E,"A",실시간콜입력!$G:$G,$B77,실시간콜입력!$O:$O,"방문완료")+COUNTIFS(실시간콜입력!$B:$B,$A77,실시간콜입력!$E:$E,"A",실시간콜입력!$H:$H,$B77,실시간콜입력!$O:$O,"방문완료")</f>
        <v>0</v>
      </c>
      <c r="G77" s="29">
        <f>COUNTIFS(실시간콜입력!$B:$B,$A77,실시간콜입력!$E:$E,"B",실시간콜입력!$G:$G,$B77,실시간콜입력!$O:$O,"방문완료")+COUNTIFS(실시간콜입력!$B:$B,$A77,실시간콜입력!$E:$E,"B",실시간콜입력!$H:$H,$B77,실시간콜입력!$O:$O,"방문완료")</f>
        <v>0</v>
      </c>
      <c r="H77" s="29">
        <f>COUNTIFS(실시간콜입력!$B:$B,$A77,실시간콜입력!$E:$E,"C",실시간콜입력!$G:$G,$B77,실시간콜입력!$O:$O,"방문완료")+COUNTIFS(실시간콜입력!$B:$B,$A77,실시간콜입력!$E:$E,"C",실시간콜입력!$H:$H,$B77,실시간콜입력!$O:$O,"방문완료")</f>
        <v>0</v>
      </c>
      <c r="I77" s="29">
        <f>COUNTIFS(실시간콜입력!$B:$B,$A77,실시간콜입력!$E:$E,"D",실시간콜입력!$G:$G,$B77,실시간콜입력!$O:$O,"방문완료")+COUNTIFS(실시간콜입력!$B:$B,$A77,실시간콜입력!$E:$E,"D",실시간콜입력!$H:$H,$B77,실시간콜입력!$O:$O,"방문완료")</f>
        <v>0</v>
      </c>
      <c r="J77" s="29">
        <f>COUNTIFS(실시간콜입력!$B:$B,$A77,실시간콜입력!$E:$E,"E",실시간콜입력!$G:$G,$B77,실시간콜입력!$O:$O,"방문완료")+COUNTIFS(실시간콜입력!$B:$B,$A77,실시간콜입력!$E:$E,"E",실시간콜입력!$H:$H,$B77,실시간콜입력!$O:$O,"방문완료")</f>
        <v>0</v>
      </c>
      <c r="K77" s="29">
        <f t="shared" si="9"/>
        <v>0</v>
      </c>
      <c r="L77" s="27">
        <f>SUMIFS(실시간콜입력!$K:$K,실시간콜입력!$B:$B,$A77,실시간콜입력!$G:$G,$B77,실시간콜입력!$O:$O,"방문완료")+SUMIFS(실시간콜입력!$L:$L,실시간콜입력!$B:$B,$A77,실시간콜입력!$H:$H,$B77,실시간콜입력!$O:$O,"방문완료")</f>
        <v>0</v>
      </c>
      <c r="M77" s="29" t="str">
        <f t="shared" si="10"/>
        <v/>
      </c>
      <c r="N77" s="29"/>
    </row>
    <row r="78" spans="1:14" ht="19.5" hidden="1" customHeight="1" outlineLevel="1">
      <c r="A78" s="30">
        <f>IF(2&lt;=DAY(DATE(YEAR(설정_코스수당!$K$2),MONTH(설정_코스수당!$K$2)+1,0)),DATE(YEAR(설정_코스수당!$K$2),MONTH(설정_코스수당!$K$2),2),"")</f>
        <v>46175</v>
      </c>
      <c r="B78" s="29" t="s">
        <v>182</v>
      </c>
      <c r="C78" s="29"/>
      <c r="D78" s="29"/>
      <c r="E78" s="29" t="str">
        <f t="shared" si="8"/>
        <v/>
      </c>
      <c r="F78" s="29">
        <f>COUNTIFS(실시간콜입력!$B:$B,$A78,실시간콜입력!$E:$E,"A",실시간콜입력!$G:$G,$B78,실시간콜입력!$O:$O,"방문완료")+COUNTIFS(실시간콜입력!$B:$B,$A78,실시간콜입력!$E:$E,"A",실시간콜입력!$H:$H,$B78,실시간콜입력!$O:$O,"방문완료")</f>
        <v>0</v>
      </c>
      <c r="G78" s="29">
        <f>COUNTIFS(실시간콜입력!$B:$B,$A78,실시간콜입력!$E:$E,"B",실시간콜입력!$G:$G,$B78,실시간콜입력!$O:$O,"방문완료")+COUNTIFS(실시간콜입력!$B:$B,$A78,실시간콜입력!$E:$E,"B",실시간콜입력!$H:$H,$B78,실시간콜입력!$O:$O,"방문완료")</f>
        <v>0</v>
      </c>
      <c r="H78" s="29">
        <f>COUNTIFS(실시간콜입력!$B:$B,$A78,실시간콜입력!$E:$E,"C",실시간콜입력!$G:$G,$B78,실시간콜입력!$O:$O,"방문완료")+COUNTIFS(실시간콜입력!$B:$B,$A78,실시간콜입력!$E:$E,"C",실시간콜입력!$H:$H,$B78,실시간콜입력!$O:$O,"방문완료")</f>
        <v>0</v>
      </c>
      <c r="I78" s="29">
        <f>COUNTIFS(실시간콜입력!$B:$B,$A78,실시간콜입력!$E:$E,"D",실시간콜입력!$G:$G,$B78,실시간콜입력!$O:$O,"방문완료")+COUNTIFS(실시간콜입력!$B:$B,$A78,실시간콜입력!$E:$E,"D",실시간콜입력!$H:$H,$B78,실시간콜입력!$O:$O,"방문완료")</f>
        <v>0</v>
      </c>
      <c r="J78" s="29">
        <f>COUNTIFS(실시간콜입력!$B:$B,$A78,실시간콜입력!$E:$E,"E",실시간콜입력!$G:$G,$B78,실시간콜입력!$O:$O,"방문완료")+COUNTIFS(실시간콜입력!$B:$B,$A78,실시간콜입력!$E:$E,"E",실시간콜입력!$H:$H,$B78,실시간콜입력!$O:$O,"방문완료")</f>
        <v>0</v>
      </c>
      <c r="K78" s="29">
        <f t="shared" si="9"/>
        <v>0</v>
      </c>
      <c r="L78" s="33">
        <f>SUMIFS(실시간콜입력!$K:$K,실시간콜입력!$B:$B,$A78,실시간콜입력!$G:$G,$B78,실시간콜입력!$O:$O,"방문완료")+SUMIFS(실시간콜입력!$L:$L,실시간콜입력!$B:$B,$A78,실시간콜입력!$H:$H,$B78,실시간콜입력!$O:$O,"방문완료")</f>
        <v>0</v>
      </c>
      <c r="M78" s="29" t="str">
        <f t="shared" si="10"/>
        <v/>
      </c>
      <c r="N78" s="29"/>
    </row>
    <row r="79" spans="1:14" ht="19.5" hidden="1" customHeight="1" outlineLevel="1">
      <c r="A79" s="24">
        <f>IF(2&lt;=DAY(DATE(YEAR(설정_코스수당!$K$2),MONTH(설정_코스수당!$K$2)+1,0)),DATE(YEAR(설정_코스수당!$K$2),MONTH(설정_코스수당!$K$2),2),"")</f>
        <v>46175</v>
      </c>
      <c r="B79" s="23" t="s">
        <v>183</v>
      </c>
      <c r="C79" s="29"/>
      <c r="D79" s="29"/>
      <c r="E79" s="29" t="str">
        <f t="shared" si="8"/>
        <v/>
      </c>
      <c r="F79" s="29">
        <f>COUNTIFS(실시간콜입력!$B:$B,$A79,실시간콜입력!$E:$E,"A",실시간콜입력!$G:$G,$B79,실시간콜입력!$O:$O,"방문완료")+COUNTIFS(실시간콜입력!$B:$B,$A79,실시간콜입력!$E:$E,"A",실시간콜입력!$H:$H,$B79,실시간콜입력!$O:$O,"방문완료")</f>
        <v>0</v>
      </c>
      <c r="G79" s="29">
        <f>COUNTIFS(실시간콜입력!$B:$B,$A79,실시간콜입력!$E:$E,"B",실시간콜입력!$G:$G,$B79,실시간콜입력!$O:$O,"방문완료")+COUNTIFS(실시간콜입력!$B:$B,$A79,실시간콜입력!$E:$E,"B",실시간콜입력!$H:$H,$B79,실시간콜입력!$O:$O,"방문완료")</f>
        <v>0</v>
      </c>
      <c r="H79" s="29">
        <f>COUNTIFS(실시간콜입력!$B:$B,$A79,실시간콜입력!$E:$E,"C",실시간콜입력!$G:$G,$B79,실시간콜입력!$O:$O,"방문완료")+COUNTIFS(실시간콜입력!$B:$B,$A79,실시간콜입력!$E:$E,"C",실시간콜입력!$H:$H,$B79,실시간콜입력!$O:$O,"방문완료")</f>
        <v>0</v>
      </c>
      <c r="I79" s="29">
        <f>COUNTIFS(실시간콜입력!$B:$B,$A79,실시간콜입력!$E:$E,"D",실시간콜입력!$G:$G,$B79,실시간콜입력!$O:$O,"방문완료")+COUNTIFS(실시간콜입력!$B:$B,$A79,실시간콜입력!$E:$E,"D",실시간콜입력!$H:$H,$B79,실시간콜입력!$O:$O,"방문완료")</f>
        <v>0</v>
      </c>
      <c r="J79" s="29">
        <f>COUNTIFS(실시간콜입력!$B:$B,$A79,실시간콜입력!$E:$E,"E",실시간콜입력!$G:$G,$B79,실시간콜입력!$O:$O,"방문완료")+COUNTIFS(실시간콜입력!$B:$B,$A79,실시간콜입력!$E:$E,"E",실시간콜입력!$H:$H,$B79,실시간콜입력!$O:$O,"방문완료")</f>
        <v>0</v>
      </c>
      <c r="K79" s="29">
        <f t="shared" si="9"/>
        <v>0</v>
      </c>
      <c r="L79" s="27">
        <f>SUMIFS(실시간콜입력!$K:$K,실시간콜입력!$B:$B,$A79,실시간콜입력!$G:$G,$B79,실시간콜입력!$O:$O,"방문완료")+SUMIFS(실시간콜입력!$L:$L,실시간콜입력!$B:$B,$A79,실시간콜입력!$H:$H,$B79,실시간콜입력!$O:$O,"방문완료")</f>
        <v>0</v>
      </c>
      <c r="M79" s="29" t="str">
        <f t="shared" si="10"/>
        <v/>
      </c>
      <c r="N79" s="29"/>
    </row>
    <row r="80" spans="1:14" ht="19.5" hidden="1" customHeight="1" outlineLevel="1">
      <c r="A80" s="30">
        <f>IF(2&lt;=DAY(DATE(YEAR(설정_코스수당!$K$2),MONTH(설정_코스수당!$K$2)+1,0)),DATE(YEAR(설정_코스수당!$K$2),MONTH(설정_코스수당!$K$2),2),"")</f>
        <v>46175</v>
      </c>
      <c r="B80" s="29" t="s">
        <v>184</v>
      </c>
      <c r="C80" s="29"/>
      <c r="D80" s="29"/>
      <c r="E80" s="29" t="str">
        <f t="shared" si="8"/>
        <v/>
      </c>
      <c r="F80" s="29">
        <f>COUNTIFS(실시간콜입력!$B:$B,$A80,실시간콜입력!$E:$E,"A",실시간콜입력!$G:$G,$B80,실시간콜입력!$O:$O,"방문완료")+COUNTIFS(실시간콜입력!$B:$B,$A80,실시간콜입력!$E:$E,"A",실시간콜입력!$H:$H,$B80,실시간콜입력!$O:$O,"방문완료")</f>
        <v>0</v>
      </c>
      <c r="G80" s="29">
        <f>COUNTIFS(실시간콜입력!$B:$B,$A80,실시간콜입력!$E:$E,"B",실시간콜입력!$G:$G,$B80,실시간콜입력!$O:$O,"방문완료")+COUNTIFS(실시간콜입력!$B:$B,$A80,실시간콜입력!$E:$E,"B",실시간콜입력!$H:$H,$B80,실시간콜입력!$O:$O,"방문완료")</f>
        <v>0</v>
      </c>
      <c r="H80" s="29">
        <f>COUNTIFS(실시간콜입력!$B:$B,$A80,실시간콜입력!$E:$E,"C",실시간콜입력!$G:$G,$B80,실시간콜입력!$O:$O,"방문완료")+COUNTIFS(실시간콜입력!$B:$B,$A80,실시간콜입력!$E:$E,"C",실시간콜입력!$H:$H,$B80,실시간콜입력!$O:$O,"방문완료")</f>
        <v>0</v>
      </c>
      <c r="I80" s="29">
        <f>COUNTIFS(실시간콜입력!$B:$B,$A80,실시간콜입력!$E:$E,"D",실시간콜입력!$G:$G,$B80,실시간콜입력!$O:$O,"방문완료")+COUNTIFS(실시간콜입력!$B:$B,$A80,실시간콜입력!$E:$E,"D",실시간콜입력!$H:$H,$B80,실시간콜입력!$O:$O,"방문완료")</f>
        <v>0</v>
      </c>
      <c r="J80" s="29">
        <f>COUNTIFS(실시간콜입력!$B:$B,$A80,실시간콜입력!$E:$E,"E",실시간콜입력!$G:$G,$B80,실시간콜입력!$O:$O,"방문완료")+COUNTIFS(실시간콜입력!$B:$B,$A80,실시간콜입력!$E:$E,"E",실시간콜입력!$H:$H,$B80,실시간콜입력!$O:$O,"방문완료")</f>
        <v>0</v>
      </c>
      <c r="K80" s="29">
        <f t="shared" si="9"/>
        <v>0</v>
      </c>
      <c r="L80" s="33">
        <f>SUMIFS(실시간콜입력!$K:$K,실시간콜입력!$B:$B,$A80,실시간콜입력!$G:$G,$B80,실시간콜입력!$O:$O,"방문완료")+SUMIFS(실시간콜입력!$L:$L,실시간콜입력!$B:$B,$A80,실시간콜입력!$H:$H,$B80,실시간콜입력!$O:$O,"방문완료")</f>
        <v>0</v>
      </c>
      <c r="M80" s="29" t="str">
        <f t="shared" si="10"/>
        <v/>
      </c>
      <c r="N80" s="29"/>
    </row>
    <row r="81" spans="1:14" ht="19.5" hidden="1" customHeight="1" outlineLevel="1">
      <c r="A81" s="24">
        <f>IF(2&lt;=DAY(DATE(YEAR(설정_코스수당!$K$2),MONTH(설정_코스수당!$K$2)+1,0)),DATE(YEAR(설정_코스수당!$K$2),MONTH(설정_코스수당!$K$2),2),"")</f>
        <v>46175</v>
      </c>
      <c r="B81" s="23" t="s">
        <v>185</v>
      </c>
      <c r="C81" s="29"/>
      <c r="D81" s="29"/>
      <c r="E81" s="29" t="str">
        <f t="shared" si="8"/>
        <v/>
      </c>
      <c r="F81" s="29">
        <f>COUNTIFS(실시간콜입력!$B:$B,$A81,실시간콜입력!$E:$E,"A",실시간콜입력!$G:$G,$B81,실시간콜입력!$O:$O,"방문완료")+COUNTIFS(실시간콜입력!$B:$B,$A81,실시간콜입력!$E:$E,"A",실시간콜입력!$H:$H,$B81,실시간콜입력!$O:$O,"방문완료")</f>
        <v>0</v>
      </c>
      <c r="G81" s="29">
        <f>COUNTIFS(실시간콜입력!$B:$B,$A81,실시간콜입력!$E:$E,"B",실시간콜입력!$G:$G,$B81,실시간콜입력!$O:$O,"방문완료")+COUNTIFS(실시간콜입력!$B:$B,$A81,실시간콜입력!$E:$E,"B",실시간콜입력!$H:$H,$B81,실시간콜입력!$O:$O,"방문완료")</f>
        <v>0</v>
      </c>
      <c r="H81" s="29">
        <f>COUNTIFS(실시간콜입력!$B:$B,$A81,실시간콜입력!$E:$E,"C",실시간콜입력!$G:$G,$B81,실시간콜입력!$O:$O,"방문완료")+COUNTIFS(실시간콜입력!$B:$B,$A81,실시간콜입력!$E:$E,"C",실시간콜입력!$H:$H,$B81,실시간콜입력!$O:$O,"방문완료")</f>
        <v>0</v>
      </c>
      <c r="I81" s="29">
        <f>COUNTIFS(실시간콜입력!$B:$B,$A81,실시간콜입력!$E:$E,"D",실시간콜입력!$G:$G,$B81,실시간콜입력!$O:$O,"방문완료")+COUNTIFS(실시간콜입력!$B:$B,$A81,실시간콜입력!$E:$E,"D",실시간콜입력!$H:$H,$B81,실시간콜입력!$O:$O,"방문완료")</f>
        <v>0</v>
      </c>
      <c r="J81" s="29">
        <f>COUNTIFS(실시간콜입력!$B:$B,$A81,실시간콜입력!$E:$E,"E",실시간콜입력!$G:$G,$B81,실시간콜입력!$O:$O,"방문완료")+COUNTIFS(실시간콜입력!$B:$B,$A81,실시간콜입력!$E:$E,"E",실시간콜입력!$H:$H,$B81,실시간콜입력!$O:$O,"방문완료")</f>
        <v>0</v>
      </c>
      <c r="K81" s="29">
        <f t="shared" si="9"/>
        <v>0</v>
      </c>
      <c r="L81" s="27">
        <f>SUMIFS(실시간콜입력!$K:$K,실시간콜입력!$B:$B,$A81,실시간콜입력!$G:$G,$B81,실시간콜입력!$O:$O,"방문완료")+SUMIFS(실시간콜입력!$L:$L,실시간콜입력!$B:$B,$A81,실시간콜입력!$H:$H,$B81,실시간콜입력!$O:$O,"방문완료")</f>
        <v>0</v>
      </c>
      <c r="M81" s="29" t="str">
        <f t="shared" si="10"/>
        <v/>
      </c>
      <c r="N81" s="29"/>
    </row>
    <row r="82" spans="1:14" ht="19.5" hidden="1" customHeight="1" outlineLevel="1">
      <c r="A82" s="30">
        <f>IF(2&lt;=DAY(DATE(YEAR(설정_코스수당!$K$2),MONTH(설정_코스수당!$K$2)+1,0)),DATE(YEAR(설정_코스수당!$K$2),MONTH(설정_코스수당!$K$2),2),"")</f>
        <v>46175</v>
      </c>
      <c r="B82" s="29" t="s">
        <v>186</v>
      </c>
      <c r="C82" s="29"/>
      <c r="D82" s="29"/>
      <c r="E82" s="29" t="str">
        <f t="shared" si="8"/>
        <v/>
      </c>
      <c r="F82" s="29">
        <f>COUNTIFS(실시간콜입력!$B:$B,$A82,실시간콜입력!$E:$E,"A",실시간콜입력!$G:$G,$B82,실시간콜입력!$O:$O,"방문완료")+COUNTIFS(실시간콜입력!$B:$B,$A82,실시간콜입력!$E:$E,"A",실시간콜입력!$H:$H,$B82,실시간콜입력!$O:$O,"방문완료")</f>
        <v>0</v>
      </c>
      <c r="G82" s="29">
        <f>COUNTIFS(실시간콜입력!$B:$B,$A82,실시간콜입력!$E:$E,"B",실시간콜입력!$G:$G,$B82,실시간콜입력!$O:$O,"방문완료")+COUNTIFS(실시간콜입력!$B:$B,$A82,실시간콜입력!$E:$E,"B",실시간콜입력!$H:$H,$B82,실시간콜입력!$O:$O,"방문완료")</f>
        <v>0</v>
      </c>
      <c r="H82" s="29">
        <f>COUNTIFS(실시간콜입력!$B:$B,$A82,실시간콜입력!$E:$E,"C",실시간콜입력!$G:$G,$B82,실시간콜입력!$O:$O,"방문완료")+COUNTIFS(실시간콜입력!$B:$B,$A82,실시간콜입력!$E:$E,"C",실시간콜입력!$H:$H,$B82,실시간콜입력!$O:$O,"방문완료")</f>
        <v>0</v>
      </c>
      <c r="I82" s="29">
        <f>COUNTIFS(실시간콜입력!$B:$B,$A82,실시간콜입력!$E:$E,"D",실시간콜입력!$G:$G,$B82,실시간콜입력!$O:$O,"방문완료")+COUNTIFS(실시간콜입력!$B:$B,$A82,실시간콜입력!$E:$E,"D",실시간콜입력!$H:$H,$B82,실시간콜입력!$O:$O,"방문완료")</f>
        <v>0</v>
      </c>
      <c r="J82" s="29">
        <f>COUNTIFS(실시간콜입력!$B:$B,$A82,실시간콜입력!$E:$E,"E",실시간콜입력!$G:$G,$B82,실시간콜입력!$O:$O,"방문완료")+COUNTIFS(실시간콜입력!$B:$B,$A82,실시간콜입력!$E:$E,"E",실시간콜입력!$H:$H,$B82,실시간콜입력!$O:$O,"방문완료")</f>
        <v>0</v>
      </c>
      <c r="K82" s="29">
        <f t="shared" si="9"/>
        <v>0</v>
      </c>
      <c r="L82" s="33">
        <f>SUMIFS(실시간콜입력!$K:$K,실시간콜입력!$B:$B,$A82,실시간콜입력!$G:$G,$B82,실시간콜입력!$O:$O,"방문완료")+SUMIFS(실시간콜입력!$L:$L,실시간콜입력!$B:$B,$A82,실시간콜입력!$H:$H,$B82,실시간콜입력!$O:$O,"방문완료")</f>
        <v>0</v>
      </c>
      <c r="M82" s="29" t="str">
        <f t="shared" si="10"/>
        <v/>
      </c>
      <c r="N82" s="29"/>
    </row>
    <row r="83" spans="1:14" ht="19.5" hidden="1" customHeight="1" outlineLevel="1">
      <c r="A83" s="24">
        <f>IF(2&lt;=DAY(DATE(YEAR(설정_코스수당!$K$2),MONTH(설정_코스수당!$K$2)+1,0)),DATE(YEAR(설정_코스수당!$K$2),MONTH(설정_코스수당!$K$2),2),"")</f>
        <v>46175</v>
      </c>
      <c r="B83" s="23" t="s">
        <v>187</v>
      </c>
      <c r="C83" s="29"/>
      <c r="D83" s="29"/>
      <c r="E83" s="29" t="str">
        <f t="shared" si="8"/>
        <v/>
      </c>
      <c r="F83" s="29">
        <f>COUNTIFS(실시간콜입력!$B:$B,$A83,실시간콜입력!$E:$E,"A",실시간콜입력!$G:$G,$B83,실시간콜입력!$O:$O,"방문완료")+COUNTIFS(실시간콜입력!$B:$B,$A83,실시간콜입력!$E:$E,"A",실시간콜입력!$H:$H,$B83,실시간콜입력!$O:$O,"방문완료")</f>
        <v>0</v>
      </c>
      <c r="G83" s="29">
        <f>COUNTIFS(실시간콜입력!$B:$B,$A83,실시간콜입력!$E:$E,"B",실시간콜입력!$G:$G,$B83,실시간콜입력!$O:$O,"방문완료")+COUNTIFS(실시간콜입력!$B:$B,$A83,실시간콜입력!$E:$E,"B",실시간콜입력!$H:$H,$B83,실시간콜입력!$O:$O,"방문완료")</f>
        <v>0</v>
      </c>
      <c r="H83" s="29">
        <f>COUNTIFS(실시간콜입력!$B:$B,$A83,실시간콜입력!$E:$E,"C",실시간콜입력!$G:$G,$B83,실시간콜입력!$O:$O,"방문완료")+COUNTIFS(실시간콜입력!$B:$B,$A83,실시간콜입력!$E:$E,"C",실시간콜입력!$H:$H,$B83,실시간콜입력!$O:$O,"방문완료")</f>
        <v>0</v>
      </c>
      <c r="I83" s="29">
        <f>COUNTIFS(실시간콜입력!$B:$B,$A83,실시간콜입력!$E:$E,"D",실시간콜입력!$G:$G,$B83,실시간콜입력!$O:$O,"방문완료")+COUNTIFS(실시간콜입력!$B:$B,$A83,실시간콜입력!$E:$E,"D",실시간콜입력!$H:$H,$B83,실시간콜입력!$O:$O,"방문완료")</f>
        <v>0</v>
      </c>
      <c r="J83" s="29">
        <f>COUNTIFS(실시간콜입력!$B:$B,$A83,실시간콜입력!$E:$E,"E",실시간콜입력!$G:$G,$B83,실시간콜입력!$O:$O,"방문완료")+COUNTIFS(실시간콜입력!$B:$B,$A83,실시간콜입력!$E:$E,"E",실시간콜입력!$H:$H,$B83,실시간콜입력!$O:$O,"방문완료")</f>
        <v>0</v>
      </c>
      <c r="K83" s="29">
        <f t="shared" si="9"/>
        <v>0</v>
      </c>
      <c r="L83" s="27">
        <f>SUMIFS(실시간콜입력!$K:$K,실시간콜입력!$B:$B,$A83,실시간콜입력!$G:$G,$B83,실시간콜입력!$O:$O,"방문완료")+SUMIFS(실시간콜입력!$L:$L,실시간콜입력!$B:$B,$A83,실시간콜입력!$H:$H,$B83,실시간콜입력!$O:$O,"방문완료")</f>
        <v>0</v>
      </c>
      <c r="M83" s="29" t="str">
        <f t="shared" si="10"/>
        <v/>
      </c>
      <c r="N83" s="29"/>
    </row>
    <row r="84" spans="1:14" ht="19.5" hidden="1" customHeight="1" outlineLevel="1">
      <c r="A84" s="30">
        <f>IF(2&lt;=DAY(DATE(YEAR(설정_코스수당!$K$2),MONTH(설정_코스수당!$K$2)+1,0)),DATE(YEAR(설정_코스수당!$K$2),MONTH(설정_코스수당!$K$2),2),"")</f>
        <v>46175</v>
      </c>
      <c r="B84" s="29" t="s">
        <v>188</v>
      </c>
      <c r="C84" s="29"/>
      <c r="D84" s="29"/>
      <c r="E84" s="29" t="str">
        <f t="shared" si="8"/>
        <v/>
      </c>
      <c r="F84" s="29">
        <f>COUNTIFS(실시간콜입력!$B:$B,$A84,실시간콜입력!$E:$E,"A",실시간콜입력!$G:$G,$B84,실시간콜입력!$O:$O,"방문완료")+COUNTIFS(실시간콜입력!$B:$B,$A84,실시간콜입력!$E:$E,"A",실시간콜입력!$H:$H,$B84,실시간콜입력!$O:$O,"방문완료")</f>
        <v>0</v>
      </c>
      <c r="G84" s="29">
        <f>COUNTIFS(실시간콜입력!$B:$B,$A84,실시간콜입력!$E:$E,"B",실시간콜입력!$G:$G,$B84,실시간콜입력!$O:$O,"방문완료")+COUNTIFS(실시간콜입력!$B:$B,$A84,실시간콜입력!$E:$E,"B",실시간콜입력!$H:$H,$B84,실시간콜입력!$O:$O,"방문완료")</f>
        <v>0</v>
      </c>
      <c r="H84" s="29">
        <f>COUNTIFS(실시간콜입력!$B:$B,$A84,실시간콜입력!$E:$E,"C",실시간콜입력!$G:$G,$B84,실시간콜입력!$O:$O,"방문완료")+COUNTIFS(실시간콜입력!$B:$B,$A84,실시간콜입력!$E:$E,"C",실시간콜입력!$H:$H,$B84,실시간콜입력!$O:$O,"방문완료")</f>
        <v>0</v>
      </c>
      <c r="I84" s="29">
        <f>COUNTIFS(실시간콜입력!$B:$B,$A84,실시간콜입력!$E:$E,"D",실시간콜입력!$G:$G,$B84,실시간콜입력!$O:$O,"방문완료")+COUNTIFS(실시간콜입력!$B:$B,$A84,실시간콜입력!$E:$E,"D",실시간콜입력!$H:$H,$B84,실시간콜입력!$O:$O,"방문완료")</f>
        <v>0</v>
      </c>
      <c r="J84" s="29">
        <f>COUNTIFS(실시간콜입력!$B:$B,$A84,실시간콜입력!$E:$E,"E",실시간콜입력!$G:$G,$B84,실시간콜입력!$O:$O,"방문완료")+COUNTIFS(실시간콜입력!$B:$B,$A84,실시간콜입력!$E:$E,"E",실시간콜입력!$H:$H,$B84,실시간콜입력!$O:$O,"방문완료")</f>
        <v>0</v>
      </c>
      <c r="K84" s="29">
        <f t="shared" si="9"/>
        <v>0</v>
      </c>
      <c r="L84" s="33">
        <f>SUMIFS(실시간콜입력!$K:$K,실시간콜입력!$B:$B,$A84,실시간콜입력!$G:$G,$B84,실시간콜입력!$O:$O,"방문완료")+SUMIFS(실시간콜입력!$L:$L,실시간콜입력!$B:$B,$A84,실시간콜입력!$H:$H,$B84,실시간콜입력!$O:$O,"방문완료")</f>
        <v>0</v>
      </c>
      <c r="M84" s="29" t="str">
        <f t="shared" si="10"/>
        <v/>
      </c>
      <c r="N84" s="29"/>
    </row>
    <row r="85" spans="1:14" ht="19.5" hidden="1" customHeight="1" outlineLevel="1">
      <c r="A85" s="24">
        <f>IF(2&lt;=DAY(DATE(YEAR(설정_코스수당!$K$2),MONTH(설정_코스수당!$K$2)+1,0)),DATE(YEAR(설정_코스수당!$K$2),MONTH(설정_코스수당!$K$2),2),"")</f>
        <v>46175</v>
      </c>
      <c r="B85" s="23" t="s">
        <v>189</v>
      </c>
      <c r="C85" s="29"/>
      <c r="D85" s="29"/>
      <c r="E85" s="29" t="str">
        <f t="shared" si="8"/>
        <v/>
      </c>
      <c r="F85" s="29">
        <f>COUNTIFS(실시간콜입력!$B:$B,$A85,실시간콜입력!$E:$E,"A",실시간콜입력!$G:$G,$B85,실시간콜입력!$O:$O,"방문완료")+COUNTIFS(실시간콜입력!$B:$B,$A85,실시간콜입력!$E:$E,"A",실시간콜입력!$H:$H,$B85,실시간콜입력!$O:$O,"방문완료")</f>
        <v>0</v>
      </c>
      <c r="G85" s="29">
        <f>COUNTIFS(실시간콜입력!$B:$B,$A85,실시간콜입력!$E:$E,"B",실시간콜입력!$G:$G,$B85,실시간콜입력!$O:$O,"방문완료")+COUNTIFS(실시간콜입력!$B:$B,$A85,실시간콜입력!$E:$E,"B",실시간콜입력!$H:$H,$B85,실시간콜입력!$O:$O,"방문완료")</f>
        <v>0</v>
      </c>
      <c r="H85" s="29">
        <f>COUNTIFS(실시간콜입력!$B:$B,$A85,실시간콜입력!$E:$E,"C",실시간콜입력!$G:$G,$B85,실시간콜입력!$O:$O,"방문완료")+COUNTIFS(실시간콜입력!$B:$B,$A85,실시간콜입력!$E:$E,"C",실시간콜입력!$H:$H,$B85,실시간콜입력!$O:$O,"방문완료")</f>
        <v>0</v>
      </c>
      <c r="I85" s="29">
        <f>COUNTIFS(실시간콜입력!$B:$B,$A85,실시간콜입력!$E:$E,"D",실시간콜입력!$G:$G,$B85,실시간콜입력!$O:$O,"방문완료")+COUNTIFS(실시간콜입력!$B:$B,$A85,실시간콜입력!$E:$E,"D",실시간콜입력!$H:$H,$B85,실시간콜입력!$O:$O,"방문완료")</f>
        <v>0</v>
      </c>
      <c r="J85" s="29">
        <f>COUNTIFS(실시간콜입력!$B:$B,$A85,실시간콜입력!$E:$E,"E",실시간콜입력!$G:$G,$B85,실시간콜입력!$O:$O,"방문완료")+COUNTIFS(실시간콜입력!$B:$B,$A85,실시간콜입력!$E:$E,"E",실시간콜입력!$H:$H,$B85,실시간콜입력!$O:$O,"방문완료")</f>
        <v>0</v>
      </c>
      <c r="K85" s="29">
        <f t="shared" si="9"/>
        <v>0</v>
      </c>
      <c r="L85" s="27">
        <f>SUMIFS(실시간콜입력!$K:$K,실시간콜입력!$B:$B,$A85,실시간콜입력!$G:$G,$B85,실시간콜입력!$O:$O,"방문완료")+SUMIFS(실시간콜입력!$L:$L,실시간콜입력!$B:$B,$A85,실시간콜입력!$H:$H,$B85,실시간콜입력!$O:$O,"방문완료")</f>
        <v>0</v>
      </c>
      <c r="M85" s="29" t="str">
        <f t="shared" si="10"/>
        <v/>
      </c>
      <c r="N85" s="29"/>
    </row>
    <row r="86" spans="1:14" ht="19.5" hidden="1" customHeight="1" outlineLevel="1">
      <c r="A86" s="30">
        <f>IF(2&lt;=DAY(DATE(YEAR(설정_코스수당!$K$2),MONTH(설정_코스수당!$K$2)+1,0)),DATE(YEAR(설정_코스수당!$K$2),MONTH(설정_코스수당!$K$2),2),"")</f>
        <v>46175</v>
      </c>
      <c r="B86" s="29" t="s">
        <v>190</v>
      </c>
      <c r="C86" s="29"/>
      <c r="D86" s="29"/>
      <c r="E86" s="29" t="str">
        <f t="shared" si="8"/>
        <v/>
      </c>
      <c r="F86" s="29">
        <f>COUNTIFS(실시간콜입력!$B:$B,$A86,실시간콜입력!$E:$E,"A",실시간콜입력!$G:$G,$B86,실시간콜입력!$O:$O,"방문완료")+COUNTIFS(실시간콜입력!$B:$B,$A86,실시간콜입력!$E:$E,"A",실시간콜입력!$H:$H,$B86,실시간콜입력!$O:$O,"방문완료")</f>
        <v>0</v>
      </c>
      <c r="G86" s="29">
        <f>COUNTIFS(실시간콜입력!$B:$B,$A86,실시간콜입력!$E:$E,"B",실시간콜입력!$G:$G,$B86,실시간콜입력!$O:$O,"방문완료")+COUNTIFS(실시간콜입력!$B:$B,$A86,실시간콜입력!$E:$E,"B",실시간콜입력!$H:$H,$B86,실시간콜입력!$O:$O,"방문완료")</f>
        <v>0</v>
      </c>
      <c r="H86" s="29">
        <f>COUNTIFS(실시간콜입력!$B:$B,$A86,실시간콜입력!$E:$E,"C",실시간콜입력!$G:$G,$B86,실시간콜입력!$O:$O,"방문완료")+COUNTIFS(실시간콜입력!$B:$B,$A86,실시간콜입력!$E:$E,"C",실시간콜입력!$H:$H,$B86,실시간콜입력!$O:$O,"방문완료")</f>
        <v>0</v>
      </c>
      <c r="I86" s="29">
        <f>COUNTIFS(실시간콜입력!$B:$B,$A86,실시간콜입력!$E:$E,"D",실시간콜입력!$G:$G,$B86,실시간콜입력!$O:$O,"방문완료")+COUNTIFS(실시간콜입력!$B:$B,$A86,실시간콜입력!$E:$E,"D",실시간콜입력!$H:$H,$B86,실시간콜입력!$O:$O,"방문완료")</f>
        <v>0</v>
      </c>
      <c r="J86" s="29">
        <f>COUNTIFS(실시간콜입력!$B:$B,$A86,실시간콜입력!$E:$E,"E",실시간콜입력!$G:$G,$B86,실시간콜입력!$O:$O,"방문완료")+COUNTIFS(실시간콜입력!$B:$B,$A86,실시간콜입력!$E:$E,"E",실시간콜입력!$H:$H,$B86,실시간콜입력!$O:$O,"방문완료")</f>
        <v>0</v>
      </c>
      <c r="K86" s="29">
        <f t="shared" si="9"/>
        <v>0</v>
      </c>
      <c r="L86" s="33">
        <f>SUMIFS(실시간콜입력!$K:$K,실시간콜입력!$B:$B,$A86,실시간콜입력!$G:$G,$B86,실시간콜입력!$O:$O,"방문완료")+SUMIFS(실시간콜입력!$L:$L,실시간콜입력!$B:$B,$A86,실시간콜입력!$H:$H,$B86,실시간콜입력!$O:$O,"방문완료")</f>
        <v>0</v>
      </c>
      <c r="M86" s="29" t="str">
        <f t="shared" si="10"/>
        <v/>
      </c>
      <c r="N86" s="29"/>
    </row>
    <row r="87" spans="1:14" ht="19.5" hidden="1" customHeight="1" outlineLevel="1">
      <c r="A87" s="24">
        <f>IF(2&lt;=DAY(DATE(YEAR(설정_코스수당!$K$2),MONTH(설정_코스수당!$K$2)+1,0)),DATE(YEAR(설정_코스수당!$K$2),MONTH(설정_코스수당!$K$2),2),"")</f>
        <v>46175</v>
      </c>
      <c r="B87" s="23" t="s">
        <v>191</v>
      </c>
      <c r="C87" s="29"/>
      <c r="D87" s="29"/>
      <c r="E87" s="29" t="str">
        <f t="shared" si="8"/>
        <v/>
      </c>
      <c r="F87" s="29">
        <f>COUNTIFS(실시간콜입력!$B:$B,$A87,실시간콜입력!$E:$E,"A",실시간콜입력!$G:$G,$B87,실시간콜입력!$O:$O,"방문완료")+COUNTIFS(실시간콜입력!$B:$B,$A87,실시간콜입력!$E:$E,"A",실시간콜입력!$H:$H,$B87,실시간콜입력!$O:$O,"방문완료")</f>
        <v>0</v>
      </c>
      <c r="G87" s="29">
        <f>COUNTIFS(실시간콜입력!$B:$B,$A87,실시간콜입력!$E:$E,"B",실시간콜입력!$G:$G,$B87,실시간콜입력!$O:$O,"방문완료")+COUNTIFS(실시간콜입력!$B:$B,$A87,실시간콜입력!$E:$E,"B",실시간콜입력!$H:$H,$B87,실시간콜입력!$O:$O,"방문완료")</f>
        <v>0</v>
      </c>
      <c r="H87" s="29">
        <f>COUNTIFS(실시간콜입력!$B:$B,$A87,실시간콜입력!$E:$E,"C",실시간콜입력!$G:$G,$B87,실시간콜입력!$O:$O,"방문완료")+COUNTIFS(실시간콜입력!$B:$B,$A87,실시간콜입력!$E:$E,"C",실시간콜입력!$H:$H,$B87,실시간콜입력!$O:$O,"방문완료")</f>
        <v>0</v>
      </c>
      <c r="I87" s="29">
        <f>COUNTIFS(실시간콜입력!$B:$B,$A87,실시간콜입력!$E:$E,"D",실시간콜입력!$G:$G,$B87,실시간콜입력!$O:$O,"방문완료")+COUNTIFS(실시간콜입력!$B:$B,$A87,실시간콜입력!$E:$E,"D",실시간콜입력!$H:$H,$B87,실시간콜입력!$O:$O,"방문완료")</f>
        <v>0</v>
      </c>
      <c r="J87" s="29">
        <f>COUNTIFS(실시간콜입력!$B:$B,$A87,실시간콜입력!$E:$E,"E",실시간콜입력!$G:$G,$B87,실시간콜입력!$O:$O,"방문완료")+COUNTIFS(실시간콜입력!$B:$B,$A87,실시간콜입력!$E:$E,"E",실시간콜입력!$H:$H,$B87,실시간콜입력!$O:$O,"방문완료")</f>
        <v>0</v>
      </c>
      <c r="K87" s="29">
        <f t="shared" si="9"/>
        <v>0</v>
      </c>
      <c r="L87" s="27">
        <f>SUMIFS(실시간콜입력!$K:$K,실시간콜입력!$B:$B,$A87,실시간콜입력!$G:$G,$B87,실시간콜입력!$O:$O,"방문완료")+SUMIFS(실시간콜입력!$L:$L,실시간콜입력!$B:$B,$A87,실시간콜입력!$H:$H,$B87,실시간콜입력!$O:$O,"방문완료")</f>
        <v>0</v>
      </c>
      <c r="M87" s="29" t="str">
        <f t="shared" si="10"/>
        <v/>
      </c>
      <c r="N87" s="29"/>
    </row>
    <row r="88" spans="1:14" ht="19.5" hidden="1" customHeight="1" outlineLevel="1">
      <c r="A88" s="30">
        <f>IF(2&lt;=DAY(DATE(YEAR(설정_코스수당!$K$2),MONTH(설정_코스수당!$K$2)+1,0)),DATE(YEAR(설정_코스수당!$K$2),MONTH(설정_코스수당!$K$2),2),"")</f>
        <v>46175</v>
      </c>
      <c r="B88" s="29" t="s">
        <v>192</v>
      </c>
      <c r="C88" s="29"/>
      <c r="D88" s="29"/>
      <c r="E88" s="29" t="str">
        <f t="shared" si="8"/>
        <v/>
      </c>
      <c r="F88" s="29">
        <f>COUNTIFS(실시간콜입력!$B:$B,$A88,실시간콜입력!$E:$E,"A",실시간콜입력!$G:$G,$B88,실시간콜입력!$O:$O,"방문완료")+COUNTIFS(실시간콜입력!$B:$B,$A88,실시간콜입력!$E:$E,"A",실시간콜입력!$H:$H,$B88,실시간콜입력!$O:$O,"방문완료")</f>
        <v>0</v>
      </c>
      <c r="G88" s="29">
        <f>COUNTIFS(실시간콜입력!$B:$B,$A88,실시간콜입력!$E:$E,"B",실시간콜입력!$G:$G,$B88,실시간콜입력!$O:$O,"방문완료")+COUNTIFS(실시간콜입력!$B:$B,$A88,실시간콜입력!$E:$E,"B",실시간콜입력!$H:$H,$B88,실시간콜입력!$O:$O,"방문완료")</f>
        <v>0</v>
      </c>
      <c r="H88" s="29">
        <f>COUNTIFS(실시간콜입력!$B:$B,$A88,실시간콜입력!$E:$E,"C",실시간콜입력!$G:$G,$B88,실시간콜입력!$O:$O,"방문완료")+COUNTIFS(실시간콜입력!$B:$B,$A88,실시간콜입력!$E:$E,"C",실시간콜입력!$H:$H,$B88,실시간콜입력!$O:$O,"방문완료")</f>
        <v>0</v>
      </c>
      <c r="I88" s="29">
        <f>COUNTIFS(실시간콜입력!$B:$B,$A88,실시간콜입력!$E:$E,"D",실시간콜입력!$G:$G,$B88,실시간콜입력!$O:$O,"방문완료")+COUNTIFS(실시간콜입력!$B:$B,$A88,실시간콜입력!$E:$E,"D",실시간콜입력!$H:$H,$B88,실시간콜입력!$O:$O,"방문완료")</f>
        <v>0</v>
      </c>
      <c r="J88" s="29">
        <f>COUNTIFS(실시간콜입력!$B:$B,$A88,실시간콜입력!$E:$E,"E",실시간콜입력!$G:$G,$B88,실시간콜입력!$O:$O,"방문완료")+COUNTIFS(실시간콜입력!$B:$B,$A88,실시간콜입력!$E:$E,"E",실시간콜입력!$H:$H,$B88,실시간콜입력!$O:$O,"방문완료")</f>
        <v>0</v>
      </c>
      <c r="K88" s="29">
        <f t="shared" si="9"/>
        <v>0</v>
      </c>
      <c r="L88" s="33">
        <f>SUMIFS(실시간콜입력!$K:$K,실시간콜입력!$B:$B,$A88,실시간콜입력!$G:$G,$B88,실시간콜입력!$O:$O,"방문완료")+SUMIFS(실시간콜입력!$L:$L,실시간콜입력!$B:$B,$A88,실시간콜입력!$H:$H,$B88,실시간콜입력!$O:$O,"방문완료")</f>
        <v>0</v>
      </c>
      <c r="M88" s="29" t="str">
        <f t="shared" si="10"/>
        <v/>
      </c>
      <c r="N88" s="29"/>
    </row>
    <row r="89" spans="1:14" ht="19.5" hidden="1" customHeight="1" outlineLevel="1">
      <c r="A89" s="24">
        <f>IF(2&lt;=DAY(DATE(YEAR(설정_코스수당!$K$2),MONTH(설정_코스수당!$K$2)+1,0)),DATE(YEAR(설정_코스수당!$K$2),MONTH(설정_코스수당!$K$2),2),"")</f>
        <v>46175</v>
      </c>
      <c r="B89" s="23" t="s">
        <v>193</v>
      </c>
      <c r="C89" s="29"/>
      <c r="D89" s="29"/>
      <c r="E89" s="29" t="str">
        <f t="shared" si="8"/>
        <v/>
      </c>
      <c r="F89" s="29">
        <f>COUNTIFS(실시간콜입력!$B:$B,$A89,실시간콜입력!$E:$E,"A",실시간콜입력!$G:$G,$B89,실시간콜입력!$O:$O,"방문완료")+COUNTIFS(실시간콜입력!$B:$B,$A89,실시간콜입력!$E:$E,"A",실시간콜입력!$H:$H,$B89,실시간콜입력!$O:$O,"방문완료")</f>
        <v>0</v>
      </c>
      <c r="G89" s="29">
        <f>COUNTIFS(실시간콜입력!$B:$B,$A89,실시간콜입력!$E:$E,"B",실시간콜입력!$G:$G,$B89,실시간콜입력!$O:$O,"방문완료")+COUNTIFS(실시간콜입력!$B:$B,$A89,실시간콜입력!$E:$E,"B",실시간콜입력!$H:$H,$B89,실시간콜입력!$O:$O,"방문완료")</f>
        <v>0</v>
      </c>
      <c r="H89" s="29">
        <f>COUNTIFS(실시간콜입력!$B:$B,$A89,실시간콜입력!$E:$E,"C",실시간콜입력!$G:$G,$B89,실시간콜입력!$O:$O,"방문완료")+COUNTIFS(실시간콜입력!$B:$B,$A89,실시간콜입력!$E:$E,"C",실시간콜입력!$H:$H,$B89,실시간콜입력!$O:$O,"방문완료")</f>
        <v>0</v>
      </c>
      <c r="I89" s="29">
        <f>COUNTIFS(실시간콜입력!$B:$B,$A89,실시간콜입력!$E:$E,"D",실시간콜입력!$G:$G,$B89,실시간콜입력!$O:$O,"방문완료")+COUNTIFS(실시간콜입력!$B:$B,$A89,실시간콜입력!$E:$E,"D",실시간콜입력!$H:$H,$B89,실시간콜입력!$O:$O,"방문완료")</f>
        <v>0</v>
      </c>
      <c r="J89" s="29">
        <f>COUNTIFS(실시간콜입력!$B:$B,$A89,실시간콜입력!$E:$E,"E",실시간콜입력!$G:$G,$B89,실시간콜입력!$O:$O,"방문완료")+COUNTIFS(실시간콜입력!$B:$B,$A89,실시간콜입력!$E:$E,"E",실시간콜입력!$H:$H,$B89,실시간콜입력!$O:$O,"방문완료")</f>
        <v>0</v>
      </c>
      <c r="K89" s="29">
        <f t="shared" si="9"/>
        <v>0</v>
      </c>
      <c r="L89" s="27">
        <f>SUMIFS(실시간콜입력!$K:$K,실시간콜입력!$B:$B,$A89,실시간콜입력!$G:$G,$B89,실시간콜입력!$O:$O,"방문완료")+SUMIFS(실시간콜입력!$L:$L,실시간콜입력!$B:$B,$A89,실시간콜입력!$H:$H,$B89,실시간콜입력!$O:$O,"방문완료")</f>
        <v>0</v>
      </c>
      <c r="M89" s="29" t="str">
        <f t="shared" si="10"/>
        <v/>
      </c>
      <c r="N89" s="29"/>
    </row>
    <row r="90" spans="1:14" ht="19.5" hidden="1" customHeight="1" outlineLevel="1">
      <c r="A90" s="30">
        <f>IF(2&lt;=DAY(DATE(YEAR(설정_코스수당!$K$2),MONTH(설정_코스수당!$K$2)+1,0)),DATE(YEAR(설정_코스수당!$K$2),MONTH(설정_코스수당!$K$2),2),"")</f>
        <v>46175</v>
      </c>
      <c r="B90" s="29" t="s">
        <v>194</v>
      </c>
      <c r="C90" s="29"/>
      <c r="D90" s="29"/>
      <c r="E90" s="29" t="str">
        <f t="shared" si="8"/>
        <v/>
      </c>
      <c r="F90" s="29">
        <f>COUNTIFS(실시간콜입력!$B:$B,$A90,실시간콜입력!$E:$E,"A",실시간콜입력!$G:$G,$B90,실시간콜입력!$O:$O,"방문완료")+COUNTIFS(실시간콜입력!$B:$B,$A90,실시간콜입력!$E:$E,"A",실시간콜입력!$H:$H,$B90,실시간콜입력!$O:$O,"방문완료")</f>
        <v>0</v>
      </c>
      <c r="G90" s="29">
        <f>COUNTIFS(실시간콜입력!$B:$B,$A90,실시간콜입력!$E:$E,"B",실시간콜입력!$G:$G,$B90,실시간콜입력!$O:$O,"방문완료")+COUNTIFS(실시간콜입력!$B:$B,$A90,실시간콜입력!$E:$E,"B",실시간콜입력!$H:$H,$B90,실시간콜입력!$O:$O,"방문완료")</f>
        <v>0</v>
      </c>
      <c r="H90" s="29">
        <f>COUNTIFS(실시간콜입력!$B:$B,$A90,실시간콜입력!$E:$E,"C",실시간콜입력!$G:$G,$B90,실시간콜입력!$O:$O,"방문완료")+COUNTIFS(실시간콜입력!$B:$B,$A90,실시간콜입력!$E:$E,"C",실시간콜입력!$H:$H,$B90,실시간콜입력!$O:$O,"방문완료")</f>
        <v>0</v>
      </c>
      <c r="I90" s="29">
        <f>COUNTIFS(실시간콜입력!$B:$B,$A90,실시간콜입력!$E:$E,"D",실시간콜입력!$G:$G,$B90,실시간콜입력!$O:$O,"방문완료")+COUNTIFS(실시간콜입력!$B:$B,$A90,실시간콜입력!$E:$E,"D",실시간콜입력!$H:$H,$B90,실시간콜입력!$O:$O,"방문완료")</f>
        <v>0</v>
      </c>
      <c r="J90" s="29">
        <f>COUNTIFS(실시간콜입력!$B:$B,$A90,실시간콜입력!$E:$E,"E",실시간콜입력!$G:$G,$B90,실시간콜입력!$O:$O,"방문완료")+COUNTIFS(실시간콜입력!$B:$B,$A90,실시간콜입력!$E:$E,"E",실시간콜입력!$H:$H,$B90,실시간콜입력!$O:$O,"방문완료")</f>
        <v>0</v>
      </c>
      <c r="K90" s="29">
        <f t="shared" si="9"/>
        <v>0</v>
      </c>
      <c r="L90" s="33">
        <f>SUMIFS(실시간콜입력!$K:$K,실시간콜입력!$B:$B,$A90,실시간콜입력!$G:$G,$B90,실시간콜입력!$O:$O,"방문완료")+SUMIFS(실시간콜입력!$L:$L,실시간콜입력!$B:$B,$A90,실시간콜입력!$H:$H,$B90,실시간콜입력!$O:$O,"방문완료")</f>
        <v>0</v>
      </c>
      <c r="M90" s="29" t="str">
        <f t="shared" si="10"/>
        <v/>
      </c>
      <c r="N90" s="29"/>
    </row>
    <row r="91" spans="1:14" ht="19.5" hidden="1" customHeight="1" outlineLevel="1">
      <c r="A91" s="24">
        <f>IF(2&lt;=DAY(DATE(YEAR(설정_코스수당!$K$2),MONTH(설정_코스수당!$K$2)+1,0)),DATE(YEAR(설정_코스수당!$K$2),MONTH(설정_코스수당!$K$2),2),"")</f>
        <v>46175</v>
      </c>
      <c r="B91" s="23" t="s">
        <v>195</v>
      </c>
      <c r="C91" s="29"/>
      <c r="D91" s="29"/>
      <c r="E91" s="29" t="str">
        <f t="shared" ref="E91:E122" si="11">IF(AND(C91&lt;&gt;"",D91&lt;&gt;""),IF(D91&lt;C91,D91+1-C91,D91-C91)*24,"")</f>
        <v/>
      </c>
      <c r="F91" s="29">
        <f>COUNTIFS(실시간콜입력!$B:$B,$A91,실시간콜입력!$E:$E,"A",실시간콜입력!$G:$G,$B91,실시간콜입력!$O:$O,"방문완료")+COUNTIFS(실시간콜입력!$B:$B,$A91,실시간콜입력!$E:$E,"A",실시간콜입력!$H:$H,$B91,실시간콜입력!$O:$O,"방문완료")</f>
        <v>0</v>
      </c>
      <c r="G91" s="29">
        <f>COUNTIFS(실시간콜입력!$B:$B,$A91,실시간콜입력!$E:$E,"B",실시간콜입력!$G:$G,$B91,실시간콜입력!$O:$O,"방문완료")+COUNTIFS(실시간콜입력!$B:$B,$A91,실시간콜입력!$E:$E,"B",실시간콜입력!$H:$H,$B91,실시간콜입력!$O:$O,"방문완료")</f>
        <v>0</v>
      </c>
      <c r="H91" s="29">
        <f>COUNTIFS(실시간콜입력!$B:$B,$A91,실시간콜입력!$E:$E,"C",실시간콜입력!$G:$G,$B91,실시간콜입력!$O:$O,"방문완료")+COUNTIFS(실시간콜입력!$B:$B,$A91,실시간콜입력!$E:$E,"C",실시간콜입력!$H:$H,$B91,실시간콜입력!$O:$O,"방문완료")</f>
        <v>0</v>
      </c>
      <c r="I91" s="29">
        <f>COUNTIFS(실시간콜입력!$B:$B,$A91,실시간콜입력!$E:$E,"D",실시간콜입력!$G:$G,$B91,실시간콜입력!$O:$O,"방문완료")+COUNTIFS(실시간콜입력!$B:$B,$A91,실시간콜입력!$E:$E,"D",실시간콜입력!$H:$H,$B91,실시간콜입력!$O:$O,"방문완료")</f>
        <v>0</v>
      </c>
      <c r="J91" s="29">
        <f>COUNTIFS(실시간콜입력!$B:$B,$A91,실시간콜입력!$E:$E,"E",실시간콜입력!$G:$G,$B91,실시간콜입력!$O:$O,"방문완료")+COUNTIFS(실시간콜입력!$B:$B,$A91,실시간콜입력!$E:$E,"E",실시간콜입력!$H:$H,$B91,실시간콜입력!$O:$O,"방문완료")</f>
        <v>0</v>
      </c>
      <c r="K91" s="29">
        <f t="shared" ref="K91:K122" si="12">SUM(F91:J91)</f>
        <v>0</v>
      </c>
      <c r="L91" s="27">
        <f>SUMIFS(실시간콜입력!$K:$K,실시간콜입력!$B:$B,$A91,실시간콜입력!$G:$G,$B91,실시간콜입력!$O:$O,"방문완료")+SUMIFS(실시간콜입력!$L:$L,실시간콜입력!$B:$B,$A91,실시간콜입력!$H:$H,$B91,실시간콜입력!$O:$O,"방문완료")</f>
        <v>0</v>
      </c>
      <c r="M91" s="29" t="str">
        <f t="shared" ref="M91:M108" si="13">IF(AND(ISNUMBER(E91),E91&gt;=8),"인정","")</f>
        <v/>
      </c>
      <c r="N91" s="29"/>
    </row>
    <row r="92" spans="1:14" ht="19.5" hidden="1" customHeight="1" outlineLevel="1">
      <c r="A92" s="30">
        <f>IF(2&lt;=DAY(DATE(YEAR(설정_코스수당!$K$2),MONTH(설정_코스수당!$K$2)+1,0)),DATE(YEAR(설정_코스수당!$K$2),MONTH(설정_코스수당!$K$2),2),"")</f>
        <v>46175</v>
      </c>
      <c r="B92" s="29" t="s">
        <v>196</v>
      </c>
      <c r="C92" s="29"/>
      <c r="D92" s="29"/>
      <c r="E92" s="29" t="str">
        <f t="shared" si="11"/>
        <v/>
      </c>
      <c r="F92" s="29">
        <f>COUNTIFS(실시간콜입력!$B:$B,$A92,실시간콜입력!$E:$E,"A",실시간콜입력!$G:$G,$B92,실시간콜입력!$O:$O,"방문완료")+COUNTIFS(실시간콜입력!$B:$B,$A92,실시간콜입력!$E:$E,"A",실시간콜입력!$H:$H,$B92,실시간콜입력!$O:$O,"방문완료")</f>
        <v>0</v>
      </c>
      <c r="G92" s="29">
        <f>COUNTIFS(실시간콜입력!$B:$B,$A92,실시간콜입력!$E:$E,"B",실시간콜입력!$G:$G,$B92,실시간콜입력!$O:$O,"방문완료")+COUNTIFS(실시간콜입력!$B:$B,$A92,실시간콜입력!$E:$E,"B",실시간콜입력!$H:$H,$B92,실시간콜입력!$O:$O,"방문완료")</f>
        <v>0</v>
      </c>
      <c r="H92" s="29">
        <f>COUNTIFS(실시간콜입력!$B:$B,$A92,실시간콜입력!$E:$E,"C",실시간콜입력!$G:$G,$B92,실시간콜입력!$O:$O,"방문완료")+COUNTIFS(실시간콜입력!$B:$B,$A92,실시간콜입력!$E:$E,"C",실시간콜입력!$H:$H,$B92,실시간콜입력!$O:$O,"방문완료")</f>
        <v>0</v>
      </c>
      <c r="I92" s="29">
        <f>COUNTIFS(실시간콜입력!$B:$B,$A92,실시간콜입력!$E:$E,"D",실시간콜입력!$G:$G,$B92,실시간콜입력!$O:$O,"방문완료")+COUNTIFS(실시간콜입력!$B:$B,$A92,실시간콜입력!$E:$E,"D",실시간콜입력!$H:$H,$B92,실시간콜입력!$O:$O,"방문완료")</f>
        <v>0</v>
      </c>
      <c r="J92" s="29">
        <f>COUNTIFS(실시간콜입력!$B:$B,$A92,실시간콜입력!$E:$E,"E",실시간콜입력!$G:$G,$B92,실시간콜입력!$O:$O,"방문완료")+COUNTIFS(실시간콜입력!$B:$B,$A92,실시간콜입력!$E:$E,"E",실시간콜입력!$H:$H,$B92,실시간콜입력!$O:$O,"방문완료")</f>
        <v>0</v>
      </c>
      <c r="K92" s="29">
        <f t="shared" si="12"/>
        <v>0</v>
      </c>
      <c r="L92" s="33">
        <f>SUMIFS(실시간콜입력!$K:$K,실시간콜입력!$B:$B,$A92,실시간콜입력!$G:$G,$B92,실시간콜입력!$O:$O,"방문완료")+SUMIFS(실시간콜입력!$L:$L,실시간콜입력!$B:$B,$A92,실시간콜입력!$H:$H,$B92,실시간콜입력!$O:$O,"방문완료")</f>
        <v>0</v>
      </c>
      <c r="M92" s="29" t="str">
        <f t="shared" si="13"/>
        <v/>
      </c>
      <c r="N92" s="29"/>
    </row>
    <row r="93" spans="1:14" ht="19.5" hidden="1" customHeight="1" outlineLevel="1">
      <c r="A93" s="24">
        <f>IF(2&lt;=DAY(DATE(YEAR(설정_코스수당!$K$2),MONTH(설정_코스수당!$K$2)+1,0)),DATE(YEAR(설정_코스수당!$K$2),MONTH(설정_코스수당!$K$2),2),"")</f>
        <v>46175</v>
      </c>
      <c r="B93" s="23" t="s">
        <v>197</v>
      </c>
      <c r="C93" s="29"/>
      <c r="D93" s="29"/>
      <c r="E93" s="29" t="str">
        <f t="shared" si="11"/>
        <v/>
      </c>
      <c r="F93" s="29">
        <f>COUNTIFS(실시간콜입력!$B:$B,$A93,실시간콜입력!$E:$E,"A",실시간콜입력!$G:$G,$B93,실시간콜입력!$O:$O,"방문완료")+COUNTIFS(실시간콜입력!$B:$B,$A93,실시간콜입력!$E:$E,"A",실시간콜입력!$H:$H,$B93,실시간콜입력!$O:$O,"방문완료")</f>
        <v>0</v>
      </c>
      <c r="G93" s="29">
        <f>COUNTIFS(실시간콜입력!$B:$B,$A93,실시간콜입력!$E:$E,"B",실시간콜입력!$G:$G,$B93,실시간콜입력!$O:$O,"방문완료")+COUNTIFS(실시간콜입력!$B:$B,$A93,실시간콜입력!$E:$E,"B",실시간콜입력!$H:$H,$B93,실시간콜입력!$O:$O,"방문완료")</f>
        <v>0</v>
      </c>
      <c r="H93" s="29">
        <f>COUNTIFS(실시간콜입력!$B:$B,$A93,실시간콜입력!$E:$E,"C",실시간콜입력!$G:$G,$B93,실시간콜입력!$O:$O,"방문완료")+COUNTIFS(실시간콜입력!$B:$B,$A93,실시간콜입력!$E:$E,"C",실시간콜입력!$H:$H,$B93,실시간콜입력!$O:$O,"방문완료")</f>
        <v>0</v>
      </c>
      <c r="I93" s="29">
        <f>COUNTIFS(실시간콜입력!$B:$B,$A93,실시간콜입력!$E:$E,"D",실시간콜입력!$G:$G,$B93,실시간콜입력!$O:$O,"방문완료")+COUNTIFS(실시간콜입력!$B:$B,$A93,실시간콜입력!$E:$E,"D",실시간콜입력!$H:$H,$B93,실시간콜입력!$O:$O,"방문완료")</f>
        <v>0</v>
      </c>
      <c r="J93" s="29">
        <f>COUNTIFS(실시간콜입력!$B:$B,$A93,실시간콜입력!$E:$E,"E",실시간콜입력!$G:$G,$B93,실시간콜입력!$O:$O,"방문완료")+COUNTIFS(실시간콜입력!$B:$B,$A93,실시간콜입력!$E:$E,"E",실시간콜입력!$H:$H,$B93,실시간콜입력!$O:$O,"방문완료")</f>
        <v>0</v>
      </c>
      <c r="K93" s="29">
        <f t="shared" si="12"/>
        <v>0</v>
      </c>
      <c r="L93" s="27">
        <f>SUMIFS(실시간콜입력!$K:$K,실시간콜입력!$B:$B,$A93,실시간콜입력!$G:$G,$B93,실시간콜입력!$O:$O,"방문완료")+SUMIFS(실시간콜입력!$L:$L,실시간콜입력!$B:$B,$A93,실시간콜입력!$H:$H,$B93,실시간콜입력!$O:$O,"방문완료")</f>
        <v>0</v>
      </c>
      <c r="M93" s="29" t="str">
        <f t="shared" si="13"/>
        <v/>
      </c>
      <c r="N93" s="29"/>
    </row>
    <row r="94" spans="1:14" ht="19.5" hidden="1" customHeight="1" outlineLevel="1">
      <c r="A94" s="30">
        <f>IF(2&lt;=DAY(DATE(YEAR(설정_코스수당!$K$2),MONTH(설정_코스수당!$K$2)+1,0)),DATE(YEAR(설정_코스수당!$K$2),MONTH(설정_코스수당!$K$2),2),"")</f>
        <v>46175</v>
      </c>
      <c r="B94" s="29" t="s">
        <v>198</v>
      </c>
      <c r="C94" s="29"/>
      <c r="D94" s="29"/>
      <c r="E94" s="29" t="str">
        <f t="shared" si="11"/>
        <v/>
      </c>
      <c r="F94" s="29">
        <f>COUNTIFS(실시간콜입력!$B:$B,$A94,실시간콜입력!$E:$E,"A",실시간콜입력!$G:$G,$B94,실시간콜입력!$O:$O,"방문완료")+COUNTIFS(실시간콜입력!$B:$B,$A94,실시간콜입력!$E:$E,"A",실시간콜입력!$H:$H,$B94,실시간콜입력!$O:$O,"방문완료")</f>
        <v>0</v>
      </c>
      <c r="G94" s="29">
        <f>COUNTIFS(실시간콜입력!$B:$B,$A94,실시간콜입력!$E:$E,"B",실시간콜입력!$G:$G,$B94,실시간콜입력!$O:$O,"방문완료")+COUNTIFS(실시간콜입력!$B:$B,$A94,실시간콜입력!$E:$E,"B",실시간콜입력!$H:$H,$B94,실시간콜입력!$O:$O,"방문완료")</f>
        <v>0</v>
      </c>
      <c r="H94" s="29">
        <f>COUNTIFS(실시간콜입력!$B:$B,$A94,실시간콜입력!$E:$E,"C",실시간콜입력!$G:$G,$B94,실시간콜입력!$O:$O,"방문완료")+COUNTIFS(실시간콜입력!$B:$B,$A94,실시간콜입력!$E:$E,"C",실시간콜입력!$H:$H,$B94,실시간콜입력!$O:$O,"방문완료")</f>
        <v>0</v>
      </c>
      <c r="I94" s="29">
        <f>COUNTIFS(실시간콜입력!$B:$B,$A94,실시간콜입력!$E:$E,"D",실시간콜입력!$G:$G,$B94,실시간콜입력!$O:$O,"방문완료")+COUNTIFS(실시간콜입력!$B:$B,$A94,실시간콜입력!$E:$E,"D",실시간콜입력!$H:$H,$B94,실시간콜입력!$O:$O,"방문완료")</f>
        <v>0</v>
      </c>
      <c r="J94" s="29">
        <f>COUNTIFS(실시간콜입력!$B:$B,$A94,실시간콜입력!$E:$E,"E",실시간콜입력!$G:$G,$B94,실시간콜입력!$O:$O,"방문완료")+COUNTIFS(실시간콜입력!$B:$B,$A94,실시간콜입력!$E:$E,"E",실시간콜입력!$H:$H,$B94,실시간콜입력!$O:$O,"방문완료")</f>
        <v>0</v>
      </c>
      <c r="K94" s="29">
        <f t="shared" si="12"/>
        <v>0</v>
      </c>
      <c r="L94" s="33">
        <f>SUMIFS(실시간콜입력!$K:$K,실시간콜입력!$B:$B,$A94,실시간콜입력!$G:$G,$B94,실시간콜입력!$O:$O,"방문완료")+SUMIFS(실시간콜입력!$L:$L,실시간콜입력!$B:$B,$A94,실시간콜입력!$H:$H,$B94,실시간콜입력!$O:$O,"방문완료")</f>
        <v>0</v>
      </c>
      <c r="M94" s="29" t="str">
        <f t="shared" si="13"/>
        <v/>
      </c>
      <c r="N94" s="29"/>
    </row>
    <row r="95" spans="1:14" ht="19.5" hidden="1" customHeight="1" outlineLevel="1">
      <c r="A95" s="24">
        <f>IF(2&lt;=DAY(DATE(YEAR(설정_코스수당!$K$2),MONTH(설정_코스수당!$K$2)+1,0)),DATE(YEAR(설정_코스수당!$K$2),MONTH(설정_코스수당!$K$2),2),"")</f>
        <v>46175</v>
      </c>
      <c r="B95" s="23" t="s">
        <v>199</v>
      </c>
      <c r="C95" s="29"/>
      <c r="D95" s="29"/>
      <c r="E95" s="29" t="str">
        <f t="shared" si="11"/>
        <v/>
      </c>
      <c r="F95" s="29">
        <f>COUNTIFS(실시간콜입력!$B:$B,$A95,실시간콜입력!$E:$E,"A",실시간콜입력!$G:$G,$B95,실시간콜입력!$O:$O,"방문완료")+COUNTIFS(실시간콜입력!$B:$B,$A95,실시간콜입력!$E:$E,"A",실시간콜입력!$H:$H,$B95,실시간콜입력!$O:$O,"방문완료")</f>
        <v>0</v>
      </c>
      <c r="G95" s="29">
        <f>COUNTIFS(실시간콜입력!$B:$B,$A95,실시간콜입력!$E:$E,"B",실시간콜입력!$G:$G,$B95,실시간콜입력!$O:$O,"방문완료")+COUNTIFS(실시간콜입력!$B:$B,$A95,실시간콜입력!$E:$E,"B",실시간콜입력!$H:$H,$B95,실시간콜입력!$O:$O,"방문완료")</f>
        <v>0</v>
      </c>
      <c r="H95" s="29">
        <f>COUNTIFS(실시간콜입력!$B:$B,$A95,실시간콜입력!$E:$E,"C",실시간콜입력!$G:$G,$B95,실시간콜입력!$O:$O,"방문완료")+COUNTIFS(실시간콜입력!$B:$B,$A95,실시간콜입력!$E:$E,"C",실시간콜입력!$H:$H,$B95,실시간콜입력!$O:$O,"방문완료")</f>
        <v>0</v>
      </c>
      <c r="I95" s="29">
        <f>COUNTIFS(실시간콜입력!$B:$B,$A95,실시간콜입력!$E:$E,"D",실시간콜입력!$G:$G,$B95,실시간콜입력!$O:$O,"방문완료")+COUNTIFS(실시간콜입력!$B:$B,$A95,실시간콜입력!$E:$E,"D",실시간콜입력!$H:$H,$B95,실시간콜입력!$O:$O,"방문완료")</f>
        <v>0</v>
      </c>
      <c r="J95" s="29">
        <f>COUNTIFS(실시간콜입력!$B:$B,$A95,실시간콜입력!$E:$E,"E",실시간콜입력!$G:$G,$B95,실시간콜입력!$O:$O,"방문완료")+COUNTIFS(실시간콜입력!$B:$B,$A95,실시간콜입력!$E:$E,"E",실시간콜입력!$H:$H,$B95,실시간콜입력!$O:$O,"방문완료")</f>
        <v>0</v>
      </c>
      <c r="K95" s="29">
        <f t="shared" si="12"/>
        <v>0</v>
      </c>
      <c r="L95" s="27">
        <f>SUMIFS(실시간콜입력!$K:$K,실시간콜입력!$B:$B,$A95,실시간콜입력!$G:$G,$B95,실시간콜입력!$O:$O,"방문완료")+SUMIFS(실시간콜입력!$L:$L,실시간콜입력!$B:$B,$A95,실시간콜입력!$H:$H,$B95,실시간콜입력!$O:$O,"방문완료")</f>
        <v>0</v>
      </c>
      <c r="M95" s="29" t="str">
        <f t="shared" si="13"/>
        <v/>
      </c>
      <c r="N95" s="29"/>
    </row>
    <row r="96" spans="1:14" ht="19.5" hidden="1" customHeight="1" outlineLevel="1">
      <c r="A96" s="30">
        <f>IF(2&lt;=DAY(DATE(YEAR(설정_코스수당!$K$2),MONTH(설정_코스수당!$K$2)+1,0)),DATE(YEAR(설정_코스수당!$K$2),MONTH(설정_코스수당!$K$2),2),"")</f>
        <v>46175</v>
      </c>
      <c r="B96" s="29" t="s">
        <v>200</v>
      </c>
      <c r="C96" s="29"/>
      <c r="D96" s="29"/>
      <c r="E96" s="29" t="str">
        <f t="shared" si="11"/>
        <v/>
      </c>
      <c r="F96" s="29">
        <f>COUNTIFS(실시간콜입력!$B:$B,$A96,실시간콜입력!$E:$E,"A",실시간콜입력!$G:$G,$B96,실시간콜입력!$O:$O,"방문완료")+COUNTIFS(실시간콜입력!$B:$B,$A96,실시간콜입력!$E:$E,"A",실시간콜입력!$H:$H,$B96,실시간콜입력!$O:$O,"방문완료")</f>
        <v>0</v>
      </c>
      <c r="G96" s="29">
        <f>COUNTIFS(실시간콜입력!$B:$B,$A96,실시간콜입력!$E:$E,"B",실시간콜입력!$G:$G,$B96,실시간콜입력!$O:$O,"방문완료")+COUNTIFS(실시간콜입력!$B:$B,$A96,실시간콜입력!$E:$E,"B",실시간콜입력!$H:$H,$B96,실시간콜입력!$O:$O,"방문완료")</f>
        <v>0</v>
      </c>
      <c r="H96" s="29">
        <f>COUNTIFS(실시간콜입력!$B:$B,$A96,실시간콜입력!$E:$E,"C",실시간콜입력!$G:$G,$B96,실시간콜입력!$O:$O,"방문완료")+COUNTIFS(실시간콜입력!$B:$B,$A96,실시간콜입력!$E:$E,"C",실시간콜입력!$H:$H,$B96,실시간콜입력!$O:$O,"방문완료")</f>
        <v>0</v>
      </c>
      <c r="I96" s="29">
        <f>COUNTIFS(실시간콜입력!$B:$B,$A96,실시간콜입력!$E:$E,"D",실시간콜입력!$G:$G,$B96,실시간콜입력!$O:$O,"방문완료")+COUNTIFS(실시간콜입력!$B:$B,$A96,실시간콜입력!$E:$E,"D",실시간콜입력!$H:$H,$B96,실시간콜입력!$O:$O,"방문완료")</f>
        <v>0</v>
      </c>
      <c r="J96" s="29">
        <f>COUNTIFS(실시간콜입력!$B:$B,$A96,실시간콜입력!$E:$E,"E",실시간콜입력!$G:$G,$B96,실시간콜입력!$O:$O,"방문완료")+COUNTIFS(실시간콜입력!$B:$B,$A96,실시간콜입력!$E:$E,"E",실시간콜입력!$H:$H,$B96,실시간콜입력!$O:$O,"방문완료")</f>
        <v>0</v>
      </c>
      <c r="K96" s="29">
        <f t="shared" si="12"/>
        <v>0</v>
      </c>
      <c r="L96" s="33">
        <f>SUMIFS(실시간콜입력!$K:$K,실시간콜입력!$B:$B,$A96,실시간콜입력!$G:$G,$B96,실시간콜입력!$O:$O,"방문완료")+SUMIFS(실시간콜입력!$L:$L,실시간콜입력!$B:$B,$A96,실시간콜입력!$H:$H,$B96,실시간콜입력!$O:$O,"방문완료")</f>
        <v>0</v>
      </c>
      <c r="M96" s="29" t="str">
        <f t="shared" si="13"/>
        <v/>
      </c>
      <c r="N96" s="29"/>
    </row>
    <row r="97" spans="1:14" ht="19.5" hidden="1" customHeight="1" outlineLevel="1">
      <c r="A97" s="24">
        <f>IF(2&lt;=DAY(DATE(YEAR(설정_코스수당!$K$2),MONTH(설정_코스수당!$K$2)+1,0)),DATE(YEAR(설정_코스수당!$K$2),MONTH(설정_코스수당!$K$2),2),"")</f>
        <v>46175</v>
      </c>
      <c r="B97" s="23" t="s">
        <v>201</v>
      </c>
      <c r="C97" s="29"/>
      <c r="D97" s="29"/>
      <c r="E97" s="29" t="str">
        <f t="shared" si="11"/>
        <v/>
      </c>
      <c r="F97" s="29">
        <f>COUNTIFS(실시간콜입력!$B:$B,$A97,실시간콜입력!$E:$E,"A",실시간콜입력!$G:$G,$B97,실시간콜입력!$O:$O,"방문완료")+COUNTIFS(실시간콜입력!$B:$B,$A97,실시간콜입력!$E:$E,"A",실시간콜입력!$H:$H,$B97,실시간콜입력!$O:$O,"방문완료")</f>
        <v>0</v>
      </c>
      <c r="G97" s="29">
        <f>COUNTIFS(실시간콜입력!$B:$B,$A97,실시간콜입력!$E:$E,"B",실시간콜입력!$G:$G,$B97,실시간콜입력!$O:$O,"방문완료")+COUNTIFS(실시간콜입력!$B:$B,$A97,실시간콜입력!$E:$E,"B",실시간콜입력!$H:$H,$B97,실시간콜입력!$O:$O,"방문완료")</f>
        <v>0</v>
      </c>
      <c r="H97" s="29">
        <f>COUNTIFS(실시간콜입력!$B:$B,$A97,실시간콜입력!$E:$E,"C",실시간콜입력!$G:$G,$B97,실시간콜입력!$O:$O,"방문완료")+COUNTIFS(실시간콜입력!$B:$B,$A97,실시간콜입력!$E:$E,"C",실시간콜입력!$H:$H,$B97,실시간콜입력!$O:$O,"방문완료")</f>
        <v>0</v>
      </c>
      <c r="I97" s="29">
        <f>COUNTIFS(실시간콜입력!$B:$B,$A97,실시간콜입력!$E:$E,"D",실시간콜입력!$G:$G,$B97,실시간콜입력!$O:$O,"방문완료")+COUNTIFS(실시간콜입력!$B:$B,$A97,실시간콜입력!$E:$E,"D",실시간콜입력!$H:$H,$B97,실시간콜입력!$O:$O,"방문완료")</f>
        <v>0</v>
      </c>
      <c r="J97" s="29">
        <f>COUNTIFS(실시간콜입력!$B:$B,$A97,실시간콜입력!$E:$E,"E",실시간콜입력!$G:$G,$B97,실시간콜입력!$O:$O,"방문완료")+COUNTIFS(실시간콜입력!$B:$B,$A97,실시간콜입력!$E:$E,"E",실시간콜입력!$H:$H,$B97,실시간콜입력!$O:$O,"방문완료")</f>
        <v>0</v>
      </c>
      <c r="K97" s="29">
        <f t="shared" si="12"/>
        <v>0</v>
      </c>
      <c r="L97" s="27">
        <f>SUMIFS(실시간콜입력!$K:$K,실시간콜입력!$B:$B,$A97,실시간콜입력!$G:$G,$B97,실시간콜입력!$O:$O,"방문완료")+SUMIFS(실시간콜입력!$L:$L,실시간콜입력!$B:$B,$A97,실시간콜입력!$H:$H,$B97,실시간콜입력!$O:$O,"방문완료")</f>
        <v>0</v>
      </c>
      <c r="M97" s="29" t="str">
        <f t="shared" si="13"/>
        <v/>
      </c>
      <c r="N97" s="29"/>
    </row>
    <row r="98" spans="1:14" ht="19.5" hidden="1" customHeight="1" outlineLevel="1">
      <c r="A98" s="30">
        <f>IF(2&lt;=DAY(DATE(YEAR(설정_코스수당!$K$2),MONTH(설정_코스수당!$K$2)+1,0)),DATE(YEAR(설정_코스수당!$K$2),MONTH(설정_코스수당!$K$2),2),"")</f>
        <v>46175</v>
      </c>
      <c r="B98" s="29" t="s">
        <v>202</v>
      </c>
      <c r="C98" s="29"/>
      <c r="D98" s="29"/>
      <c r="E98" s="29" t="str">
        <f t="shared" si="11"/>
        <v/>
      </c>
      <c r="F98" s="29">
        <f>COUNTIFS(실시간콜입력!$B:$B,$A98,실시간콜입력!$E:$E,"A",실시간콜입력!$G:$G,$B98,실시간콜입력!$O:$O,"방문완료")+COUNTIFS(실시간콜입력!$B:$B,$A98,실시간콜입력!$E:$E,"A",실시간콜입력!$H:$H,$B98,실시간콜입력!$O:$O,"방문완료")</f>
        <v>0</v>
      </c>
      <c r="G98" s="29">
        <f>COUNTIFS(실시간콜입력!$B:$B,$A98,실시간콜입력!$E:$E,"B",실시간콜입력!$G:$G,$B98,실시간콜입력!$O:$O,"방문완료")+COUNTIFS(실시간콜입력!$B:$B,$A98,실시간콜입력!$E:$E,"B",실시간콜입력!$H:$H,$B98,실시간콜입력!$O:$O,"방문완료")</f>
        <v>0</v>
      </c>
      <c r="H98" s="29">
        <f>COUNTIFS(실시간콜입력!$B:$B,$A98,실시간콜입력!$E:$E,"C",실시간콜입력!$G:$G,$B98,실시간콜입력!$O:$O,"방문완료")+COUNTIFS(실시간콜입력!$B:$B,$A98,실시간콜입력!$E:$E,"C",실시간콜입력!$H:$H,$B98,실시간콜입력!$O:$O,"방문완료")</f>
        <v>0</v>
      </c>
      <c r="I98" s="29">
        <f>COUNTIFS(실시간콜입력!$B:$B,$A98,실시간콜입력!$E:$E,"D",실시간콜입력!$G:$G,$B98,실시간콜입력!$O:$O,"방문완료")+COUNTIFS(실시간콜입력!$B:$B,$A98,실시간콜입력!$E:$E,"D",실시간콜입력!$H:$H,$B98,실시간콜입력!$O:$O,"방문완료")</f>
        <v>0</v>
      </c>
      <c r="J98" s="29">
        <f>COUNTIFS(실시간콜입력!$B:$B,$A98,실시간콜입력!$E:$E,"E",실시간콜입력!$G:$G,$B98,실시간콜입력!$O:$O,"방문완료")+COUNTIFS(실시간콜입력!$B:$B,$A98,실시간콜입력!$E:$E,"E",실시간콜입력!$H:$H,$B98,실시간콜입력!$O:$O,"방문완료")</f>
        <v>0</v>
      </c>
      <c r="K98" s="29">
        <f t="shared" si="12"/>
        <v>0</v>
      </c>
      <c r="L98" s="33">
        <f>SUMIFS(실시간콜입력!$K:$K,실시간콜입력!$B:$B,$A98,실시간콜입력!$G:$G,$B98,실시간콜입력!$O:$O,"방문완료")+SUMIFS(실시간콜입력!$L:$L,실시간콜입력!$B:$B,$A98,실시간콜입력!$H:$H,$B98,실시간콜입력!$O:$O,"방문완료")</f>
        <v>0</v>
      </c>
      <c r="M98" s="29" t="str">
        <f t="shared" si="13"/>
        <v/>
      </c>
      <c r="N98" s="29"/>
    </row>
    <row r="99" spans="1:14" ht="19.5" hidden="1" customHeight="1" outlineLevel="1">
      <c r="A99" s="24">
        <f>IF(2&lt;=DAY(DATE(YEAR(설정_코스수당!$K$2),MONTH(설정_코스수당!$K$2)+1,0)),DATE(YEAR(설정_코스수당!$K$2),MONTH(설정_코스수당!$K$2),2),"")</f>
        <v>46175</v>
      </c>
      <c r="B99" s="23" t="s">
        <v>203</v>
      </c>
      <c r="C99" s="29"/>
      <c r="D99" s="29"/>
      <c r="E99" s="29" t="str">
        <f t="shared" si="11"/>
        <v/>
      </c>
      <c r="F99" s="29">
        <f>COUNTIFS(실시간콜입력!$B:$B,$A99,실시간콜입력!$E:$E,"A",실시간콜입력!$G:$G,$B99,실시간콜입력!$O:$O,"방문완료")+COUNTIFS(실시간콜입력!$B:$B,$A99,실시간콜입력!$E:$E,"A",실시간콜입력!$H:$H,$B99,실시간콜입력!$O:$O,"방문완료")</f>
        <v>0</v>
      </c>
      <c r="G99" s="29">
        <f>COUNTIFS(실시간콜입력!$B:$B,$A99,실시간콜입력!$E:$E,"B",실시간콜입력!$G:$G,$B99,실시간콜입력!$O:$O,"방문완료")+COUNTIFS(실시간콜입력!$B:$B,$A99,실시간콜입력!$E:$E,"B",실시간콜입력!$H:$H,$B99,실시간콜입력!$O:$O,"방문완료")</f>
        <v>0</v>
      </c>
      <c r="H99" s="29">
        <f>COUNTIFS(실시간콜입력!$B:$B,$A99,실시간콜입력!$E:$E,"C",실시간콜입력!$G:$G,$B99,실시간콜입력!$O:$O,"방문완료")+COUNTIFS(실시간콜입력!$B:$B,$A99,실시간콜입력!$E:$E,"C",실시간콜입력!$H:$H,$B99,실시간콜입력!$O:$O,"방문완료")</f>
        <v>0</v>
      </c>
      <c r="I99" s="29">
        <f>COUNTIFS(실시간콜입력!$B:$B,$A99,실시간콜입력!$E:$E,"D",실시간콜입력!$G:$G,$B99,실시간콜입력!$O:$O,"방문완료")+COUNTIFS(실시간콜입력!$B:$B,$A99,실시간콜입력!$E:$E,"D",실시간콜입력!$H:$H,$B99,실시간콜입력!$O:$O,"방문완료")</f>
        <v>0</v>
      </c>
      <c r="J99" s="29">
        <f>COUNTIFS(실시간콜입력!$B:$B,$A99,실시간콜입력!$E:$E,"E",실시간콜입력!$G:$G,$B99,실시간콜입력!$O:$O,"방문완료")+COUNTIFS(실시간콜입력!$B:$B,$A99,실시간콜입력!$E:$E,"E",실시간콜입력!$H:$H,$B99,실시간콜입력!$O:$O,"방문완료")</f>
        <v>0</v>
      </c>
      <c r="K99" s="29">
        <f t="shared" si="12"/>
        <v>0</v>
      </c>
      <c r="L99" s="27">
        <f>SUMIFS(실시간콜입력!$K:$K,실시간콜입력!$B:$B,$A99,실시간콜입력!$G:$G,$B99,실시간콜입력!$O:$O,"방문완료")+SUMIFS(실시간콜입력!$L:$L,실시간콜입력!$B:$B,$A99,실시간콜입력!$H:$H,$B99,실시간콜입력!$O:$O,"방문완료")</f>
        <v>0</v>
      </c>
      <c r="M99" s="29" t="str">
        <f t="shared" si="13"/>
        <v/>
      </c>
      <c r="N99" s="29"/>
    </row>
    <row r="100" spans="1:14" ht="19.5" hidden="1" customHeight="1" outlineLevel="1">
      <c r="A100" s="30">
        <f>IF(2&lt;=DAY(DATE(YEAR(설정_코스수당!$K$2),MONTH(설정_코스수당!$K$2)+1,0)),DATE(YEAR(설정_코스수당!$K$2),MONTH(설정_코스수당!$K$2),2),"")</f>
        <v>46175</v>
      </c>
      <c r="B100" s="29" t="s">
        <v>204</v>
      </c>
      <c r="C100" s="29"/>
      <c r="D100" s="29"/>
      <c r="E100" s="29" t="str">
        <f t="shared" si="11"/>
        <v/>
      </c>
      <c r="F100" s="29">
        <f>COUNTIFS(실시간콜입력!$B:$B,$A100,실시간콜입력!$E:$E,"A",실시간콜입력!$G:$G,$B100,실시간콜입력!$O:$O,"방문완료")+COUNTIFS(실시간콜입력!$B:$B,$A100,실시간콜입력!$E:$E,"A",실시간콜입력!$H:$H,$B100,실시간콜입력!$O:$O,"방문완료")</f>
        <v>0</v>
      </c>
      <c r="G100" s="29">
        <f>COUNTIFS(실시간콜입력!$B:$B,$A100,실시간콜입력!$E:$E,"B",실시간콜입력!$G:$G,$B100,실시간콜입력!$O:$O,"방문완료")+COUNTIFS(실시간콜입력!$B:$B,$A100,실시간콜입력!$E:$E,"B",실시간콜입력!$H:$H,$B100,실시간콜입력!$O:$O,"방문완료")</f>
        <v>0</v>
      </c>
      <c r="H100" s="29">
        <f>COUNTIFS(실시간콜입력!$B:$B,$A100,실시간콜입력!$E:$E,"C",실시간콜입력!$G:$G,$B100,실시간콜입력!$O:$O,"방문완료")+COUNTIFS(실시간콜입력!$B:$B,$A100,실시간콜입력!$E:$E,"C",실시간콜입력!$H:$H,$B100,실시간콜입력!$O:$O,"방문완료")</f>
        <v>0</v>
      </c>
      <c r="I100" s="29">
        <f>COUNTIFS(실시간콜입력!$B:$B,$A100,실시간콜입력!$E:$E,"D",실시간콜입력!$G:$G,$B100,실시간콜입력!$O:$O,"방문완료")+COUNTIFS(실시간콜입력!$B:$B,$A100,실시간콜입력!$E:$E,"D",실시간콜입력!$H:$H,$B100,실시간콜입력!$O:$O,"방문완료")</f>
        <v>0</v>
      </c>
      <c r="J100" s="29">
        <f>COUNTIFS(실시간콜입력!$B:$B,$A100,실시간콜입력!$E:$E,"E",실시간콜입력!$G:$G,$B100,실시간콜입력!$O:$O,"방문완료")+COUNTIFS(실시간콜입력!$B:$B,$A100,실시간콜입력!$E:$E,"E",실시간콜입력!$H:$H,$B100,실시간콜입력!$O:$O,"방문완료")</f>
        <v>0</v>
      </c>
      <c r="K100" s="29">
        <f t="shared" si="12"/>
        <v>0</v>
      </c>
      <c r="L100" s="33">
        <f>SUMIFS(실시간콜입력!$K:$K,실시간콜입력!$B:$B,$A100,실시간콜입력!$G:$G,$B100,실시간콜입력!$O:$O,"방문완료")+SUMIFS(실시간콜입력!$L:$L,실시간콜입력!$B:$B,$A100,실시간콜입력!$H:$H,$B100,실시간콜입력!$O:$O,"방문완료")</f>
        <v>0</v>
      </c>
      <c r="M100" s="29" t="str">
        <f t="shared" si="13"/>
        <v/>
      </c>
      <c r="N100" s="29"/>
    </row>
    <row r="101" spans="1:14" ht="19.5" hidden="1" customHeight="1" outlineLevel="1">
      <c r="A101" s="24">
        <f>IF(2&lt;=DAY(DATE(YEAR(설정_코스수당!$K$2),MONTH(설정_코스수당!$K$2)+1,0)),DATE(YEAR(설정_코스수당!$K$2),MONTH(설정_코스수당!$K$2),2),"")</f>
        <v>46175</v>
      </c>
      <c r="B101" s="23" t="s">
        <v>205</v>
      </c>
      <c r="C101" s="29"/>
      <c r="D101" s="29"/>
      <c r="E101" s="29" t="str">
        <f t="shared" si="11"/>
        <v/>
      </c>
      <c r="F101" s="29">
        <f>COUNTIFS(실시간콜입력!$B:$B,$A101,실시간콜입력!$E:$E,"A",실시간콜입력!$G:$G,$B101,실시간콜입력!$O:$O,"방문완료")+COUNTIFS(실시간콜입력!$B:$B,$A101,실시간콜입력!$E:$E,"A",실시간콜입력!$H:$H,$B101,실시간콜입력!$O:$O,"방문완료")</f>
        <v>0</v>
      </c>
      <c r="G101" s="29">
        <f>COUNTIFS(실시간콜입력!$B:$B,$A101,실시간콜입력!$E:$E,"B",실시간콜입력!$G:$G,$B101,실시간콜입력!$O:$O,"방문완료")+COUNTIFS(실시간콜입력!$B:$B,$A101,실시간콜입력!$E:$E,"B",실시간콜입력!$H:$H,$B101,실시간콜입력!$O:$O,"방문완료")</f>
        <v>0</v>
      </c>
      <c r="H101" s="29">
        <f>COUNTIFS(실시간콜입력!$B:$B,$A101,실시간콜입력!$E:$E,"C",실시간콜입력!$G:$G,$B101,실시간콜입력!$O:$O,"방문완료")+COUNTIFS(실시간콜입력!$B:$B,$A101,실시간콜입력!$E:$E,"C",실시간콜입력!$H:$H,$B101,실시간콜입력!$O:$O,"방문완료")</f>
        <v>0</v>
      </c>
      <c r="I101" s="29">
        <f>COUNTIFS(실시간콜입력!$B:$B,$A101,실시간콜입력!$E:$E,"D",실시간콜입력!$G:$G,$B101,실시간콜입력!$O:$O,"방문완료")+COUNTIFS(실시간콜입력!$B:$B,$A101,실시간콜입력!$E:$E,"D",실시간콜입력!$H:$H,$B101,실시간콜입력!$O:$O,"방문완료")</f>
        <v>0</v>
      </c>
      <c r="J101" s="29">
        <f>COUNTIFS(실시간콜입력!$B:$B,$A101,실시간콜입력!$E:$E,"E",실시간콜입력!$G:$G,$B101,실시간콜입력!$O:$O,"방문완료")+COUNTIFS(실시간콜입력!$B:$B,$A101,실시간콜입력!$E:$E,"E",실시간콜입력!$H:$H,$B101,실시간콜입력!$O:$O,"방문완료")</f>
        <v>0</v>
      </c>
      <c r="K101" s="29">
        <f t="shared" si="12"/>
        <v>0</v>
      </c>
      <c r="L101" s="27">
        <f>SUMIFS(실시간콜입력!$K:$K,실시간콜입력!$B:$B,$A101,실시간콜입력!$G:$G,$B101,실시간콜입력!$O:$O,"방문완료")+SUMIFS(실시간콜입력!$L:$L,실시간콜입력!$B:$B,$A101,실시간콜입력!$H:$H,$B101,실시간콜입력!$O:$O,"방문완료")</f>
        <v>0</v>
      </c>
      <c r="M101" s="29" t="str">
        <f t="shared" si="13"/>
        <v/>
      </c>
      <c r="N101" s="29"/>
    </row>
    <row r="102" spans="1:14" ht="19.5" hidden="1" customHeight="1" outlineLevel="1">
      <c r="A102" s="30">
        <f>IF(2&lt;=DAY(DATE(YEAR(설정_코스수당!$K$2),MONTH(설정_코스수당!$K$2)+1,0)),DATE(YEAR(설정_코스수당!$K$2),MONTH(설정_코스수당!$K$2),2),"")</f>
        <v>46175</v>
      </c>
      <c r="B102" s="29" t="s">
        <v>206</v>
      </c>
      <c r="C102" s="29"/>
      <c r="D102" s="29"/>
      <c r="E102" s="29" t="str">
        <f t="shared" si="11"/>
        <v/>
      </c>
      <c r="F102" s="29">
        <f>COUNTIFS(실시간콜입력!$B:$B,$A102,실시간콜입력!$E:$E,"A",실시간콜입력!$G:$G,$B102,실시간콜입력!$O:$O,"방문완료")+COUNTIFS(실시간콜입력!$B:$B,$A102,실시간콜입력!$E:$E,"A",실시간콜입력!$H:$H,$B102,실시간콜입력!$O:$O,"방문완료")</f>
        <v>0</v>
      </c>
      <c r="G102" s="29">
        <f>COUNTIFS(실시간콜입력!$B:$B,$A102,실시간콜입력!$E:$E,"B",실시간콜입력!$G:$G,$B102,실시간콜입력!$O:$O,"방문완료")+COUNTIFS(실시간콜입력!$B:$B,$A102,실시간콜입력!$E:$E,"B",실시간콜입력!$H:$H,$B102,실시간콜입력!$O:$O,"방문완료")</f>
        <v>0</v>
      </c>
      <c r="H102" s="29">
        <f>COUNTIFS(실시간콜입력!$B:$B,$A102,실시간콜입력!$E:$E,"C",실시간콜입력!$G:$G,$B102,실시간콜입력!$O:$O,"방문완료")+COUNTIFS(실시간콜입력!$B:$B,$A102,실시간콜입력!$E:$E,"C",실시간콜입력!$H:$H,$B102,실시간콜입력!$O:$O,"방문완료")</f>
        <v>0</v>
      </c>
      <c r="I102" s="29">
        <f>COUNTIFS(실시간콜입력!$B:$B,$A102,실시간콜입력!$E:$E,"D",실시간콜입력!$G:$G,$B102,실시간콜입력!$O:$O,"방문완료")+COUNTIFS(실시간콜입력!$B:$B,$A102,실시간콜입력!$E:$E,"D",실시간콜입력!$H:$H,$B102,실시간콜입력!$O:$O,"방문완료")</f>
        <v>0</v>
      </c>
      <c r="J102" s="29">
        <f>COUNTIFS(실시간콜입력!$B:$B,$A102,실시간콜입력!$E:$E,"E",실시간콜입력!$G:$G,$B102,실시간콜입력!$O:$O,"방문완료")+COUNTIFS(실시간콜입력!$B:$B,$A102,실시간콜입력!$E:$E,"E",실시간콜입력!$H:$H,$B102,실시간콜입력!$O:$O,"방문완료")</f>
        <v>0</v>
      </c>
      <c r="K102" s="29">
        <f t="shared" si="12"/>
        <v>0</v>
      </c>
      <c r="L102" s="33">
        <f>SUMIFS(실시간콜입력!$K:$K,실시간콜입력!$B:$B,$A102,실시간콜입력!$G:$G,$B102,실시간콜입력!$O:$O,"방문완료")+SUMIFS(실시간콜입력!$L:$L,실시간콜입력!$B:$B,$A102,실시간콜입력!$H:$H,$B102,실시간콜입력!$O:$O,"방문완료")</f>
        <v>0</v>
      </c>
      <c r="M102" s="29" t="str">
        <f t="shared" si="13"/>
        <v/>
      </c>
      <c r="N102" s="29"/>
    </row>
    <row r="103" spans="1:14" ht="19.5" hidden="1" customHeight="1" outlineLevel="1">
      <c r="A103" s="24">
        <f>IF(2&lt;=DAY(DATE(YEAR(설정_코스수당!$K$2),MONTH(설정_코스수당!$K$2)+1,0)),DATE(YEAR(설정_코스수당!$K$2),MONTH(설정_코스수당!$K$2),2),"")</f>
        <v>46175</v>
      </c>
      <c r="B103" s="23" t="s">
        <v>207</v>
      </c>
      <c r="C103" s="29"/>
      <c r="D103" s="29"/>
      <c r="E103" s="29" t="str">
        <f t="shared" si="11"/>
        <v/>
      </c>
      <c r="F103" s="29">
        <f>COUNTIFS(실시간콜입력!$B:$B,$A103,실시간콜입력!$E:$E,"A",실시간콜입력!$G:$G,$B103,실시간콜입력!$O:$O,"방문완료")+COUNTIFS(실시간콜입력!$B:$B,$A103,실시간콜입력!$E:$E,"A",실시간콜입력!$H:$H,$B103,실시간콜입력!$O:$O,"방문완료")</f>
        <v>0</v>
      </c>
      <c r="G103" s="29">
        <f>COUNTIFS(실시간콜입력!$B:$B,$A103,실시간콜입력!$E:$E,"B",실시간콜입력!$G:$G,$B103,실시간콜입력!$O:$O,"방문완료")+COUNTIFS(실시간콜입력!$B:$B,$A103,실시간콜입력!$E:$E,"B",실시간콜입력!$H:$H,$B103,실시간콜입력!$O:$O,"방문완료")</f>
        <v>0</v>
      </c>
      <c r="H103" s="29">
        <f>COUNTIFS(실시간콜입력!$B:$B,$A103,실시간콜입력!$E:$E,"C",실시간콜입력!$G:$G,$B103,실시간콜입력!$O:$O,"방문완료")+COUNTIFS(실시간콜입력!$B:$B,$A103,실시간콜입력!$E:$E,"C",실시간콜입력!$H:$H,$B103,실시간콜입력!$O:$O,"방문완료")</f>
        <v>0</v>
      </c>
      <c r="I103" s="29">
        <f>COUNTIFS(실시간콜입력!$B:$B,$A103,실시간콜입력!$E:$E,"D",실시간콜입력!$G:$G,$B103,실시간콜입력!$O:$O,"방문완료")+COUNTIFS(실시간콜입력!$B:$B,$A103,실시간콜입력!$E:$E,"D",실시간콜입력!$H:$H,$B103,실시간콜입력!$O:$O,"방문완료")</f>
        <v>0</v>
      </c>
      <c r="J103" s="29">
        <f>COUNTIFS(실시간콜입력!$B:$B,$A103,실시간콜입력!$E:$E,"E",실시간콜입력!$G:$G,$B103,실시간콜입력!$O:$O,"방문완료")+COUNTIFS(실시간콜입력!$B:$B,$A103,실시간콜입력!$E:$E,"E",실시간콜입력!$H:$H,$B103,실시간콜입력!$O:$O,"방문완료")</f>
        <v>0</v>
      </c>
      <c r="K103" s="29">
        <f t="shared" si="12"/>
        <v>0</v>
      </c>
      <c r="L103" s="27">
        <f>SUMIFS(실시간콜입력!$K:$K,실시간콜입력!$B:$B,$A103,실시간콜입력!$G:$G,$B103,실시간콜입력!$O:$O,"방문완료")+SUMIFS(실시간콜입력!$L:$L,실시간콜입력!$B:$B,$A103,실시간콜입력!$H:$H,$B103,실시간콜입력!$O:$O,"방문완료")</f>
        <v>0</v>
      </c>
      <c r="M103" s="29" t="str">
        <f t="shared" si="13"/>
        <v/>
      </c>
      <c r="N103" s="29"/>
    </row>
    <row r="104" spans="1:14" ht="19.5" hidden="1" customHeight="1" outlineLevel="1">
      <c r="A104" s="30">
        <f>IF(2&lt;=DAY(DATE(YEAR(설정_코스수당!$K$2),MONTH(설정_코스수당!$K$2)+1,0)),DATE(YEAR(설정_코스수당!$K$2),MONTH(설정_코스수당!$K$2),2),"")</f>
        <v>46175</v>
      </c>
      <c r="B104" s="29" t="s">
        <v>208</v>
      </c>
      <c r="C104" s="29"/>
      <c r="D104" s="29"/>
      <c r="E104" s="29" t="str">
        <f t="shared" si="11"/>
        <v/>
      </c>
      <c r="F104" s="29">
        <f>COUNTIFS(실시간콜입력!$B:$B,$A104,실시간콜입력!$E:$E,"A",실시간콜입력!$G:$G,$B104,실시간콜입력!$O:$O,"방문완료")+COUNTIFS(실시간콜입력!$B:$B,$A104,실시간콜입력!$E:$E,"A",실시간콜입력!$H:$H,$B104,실시간콜입력!$O:$O,"방문완료")</f>
        <v>0</v>
      </c>
      <c r="G104" s="29">
        <f>COUNTIFS(실시간콜입력!$B:$B,$A104,실시간콜입력!$E:$E,"B",실시간콜입력!$G:$G,$B104,실시간콜입력!$O:$O,"방문완료")+COUNTIFS(실시간콜입력!$B:$B,$A104,실시간콜입력!$E:$E,"B",실시간콜입력!$H:$H,$B104,실시간콜입력!$O:$O,"방문완료")</f>
        <v>0</v>
      </c>
      <c r="H104" s="29">
        <f>COUNTIFS(실시간콜입력!$B:$B,$A104,실시간콜입력!$E:$E,"C",실시간콜입력!$G:$G,$B104,실시간콜입력!$O:$O,"방문완료")+COUNTIFS(실시간콜입력!$B:$B,$A104,실시간콜입력!$E:$E,"C",실시간콜입력!$H:$H,$B104,실시간콜입력!$O:$O,"방문완료")</f>
        <v>0</v>
      </c>
      <c r="I104" s="29">
        <f>COUNTIFS(실시간콜입력!$B:$B,$A104,실시간콜입력!$E:$E,"D",실시간콜입력!$G:$G,$B104,실시간콜입력!$O:$O,"방문완료")+COUNTIFS(실시간콜입력!$B:$B,$A104,실시간콜입력!$E:$E,"D",실시간콜입력!$H:$H,$B104,실시간콜입력!$O:$O,"방문완료")</f>
        <v>0</v>
      </c>
      <c r="J104" s="29">
        <f>COUNTIFS(실시간콜입력!$B:$B,$A104,실시간콜입력!$E:$E,"E",실시간콜입력!$G:$G,$B104,실시간콜입력!$O:$O,"방문완료")+COUNTIFS(실시간콜입력!$B:$B,$A104,실시간콜입력!$E:$E,"E",실시간콜입력!$H:$H,$B104,실시간콜입력!$O:$O,"방문완료")</f>
        <v>0</v>
      </c>
      <c r="K104" s="29">
        <f t="shared" si="12"/>
        <v>0</v>
      </c>
      <c r="L104" s="33">
        <f>SUMIFS(실시간콜입력!$K:$K,실시간콜입력!$B:$B,$A104,실시간콜입력!$G:$G,$B104,실시간콜입력!$O:$O,"방문완료")+SUMIFS(실시간콜입력!$L:$L,실시간콜입력!$B:$B,$A104,실시간콜입력!$H:$H,$B104,실시간콜입력!$O:$O,"방문완료")</f>
        <v>0</v>
      </c>
      <c r="M104" s="29" t="str">
        <f t="shared" si="13"/>
        <v/>
      </c>
      <c r="N104" s="29"/>
    </row>
    <row r="105" spans="1:14" ht="19.5" hidden="1" customHeight="1" outlineLevel="1">
      <c r="A105" s="24">
        <f>IF(2&lt;=DAY(DATE(YEAR(설정_코스수당!$K$2),MONTH(설정_코스수당!$K$2)+1,0)),DATE(YEAR(설정_코스수당!$K$2),MONTH(설정_코스수당!$K$2),2),"")</f>
        <v>46175</v>
      </c>
      <c r="B105" s="23" t="s">
        <v>209</v>
      </c>
      <c r="C105" s="29"/>
      <c r="D105" s="29"/>
      <c r="E105" s="29" t="str">
        <f t="shared" si="11"/>
        <v/>
      </c>
      <c r="F105" s="29">
        <f>COUNTIFS(실시간콜입력!$B:$B,$A105,실시간콜입력!$E:$E,"A",실시간콜입력!$G:$G,$B105,실시간콜입력!$O:$O,"방문완료")+COUNTIFS(실시간콜입력!$B:$B,$A105,실시간콜입력!$E:$E,"A",실시간콜입력!$H:$H,$B105,실시간콜입력!$O:$O,"방문완료")</f>
        <v>0</v>
      </c>
      <c r="G105" s="29">
        <f>COUNTIFS(실시간콜입력!$B:$B,$A105,실시간콜입력!$E:$E,"B",실시간콜입력!$G:$G,$B105,실시간콜입력!$O:$O,"방문완료")+COUNTIFS(실시간콜입력!$B:$B,$A105,실시간콜입력!$E:$E,"B",실시간콜입력!$H:$H,$B105,실시간콜입력!$O:$O,"방문완료")</f>
        <v>0</v>
      </c>
      <c r="H105" s="29">
        <f>COUNTIFS(실시간콜입력!$B:$B,$A105,실시간콜입력!$E:$E,"C",실시간콜입력!$G:$G,$B105,실시간콜입력!$O:$O,"방문완료")+COUNTIFS(실시간콜입력!$B:$B,$A105,실시간콜입력!$E:$E,"C",실시간콜입력!$H:$H,$B105,실시간콜입력!$O:$O,"방문완료")</f>
        <v>0</v>
      </c>
      <c r="I105" s="29">
        <f>COUNTIFS(실시간콜입력!$B:$B,$A105,실시간콜입력!$E:$E,"D",실시간콜입력!$G:$G,$B105,실시간콜입력!$O:$O,"방문완료")+COUNTIFS(실시간콜입력!$B:$B,$A105,실시간콜입력!$E:$E,"D",실시간콜입력!$H:$H,$B105,실시간콜입력!$O:$O,"방문완료")</f>
        <v>0</v>
      </c>
      <c r="J105" s="29">
        <f>COUNTIFS(실시간콜입력!$B:$B,$A105,실시간콜입력!$E:$E,"E",실시간콜입력!$G:$G,$B105,실시간콜입력!$O:$O,"방문완료")+COUNTIFS(실시간콜입력!$B:$B,$A105,실시간콜입력!$E:$E,"E",실시간콜입력!$H:$H,$B105,실시간콜입력!$O:$O,"방문완료")</f>
        <v>0</v>
      </c>
      <c r="K105" s="29">
        <f t="shared" si="12"/>
        <v>0</v>
      </c>
      <c r="L105" s="27">
        <f>SUMIFS(실시간콜입력!$K:$K,실시간콜입력!$B:$B,$A105,실시간콜입력!$G:$G,$B105,실시간콜입력!$O:$O,"방문완료")+SUMIFS(실시간콜입력!$L:$L,실시간콜입력!$B:$B,$A105,실시간콜입력!$H:$H,$B105,실시간콜입력!$O:$O,"방문완료")</f>
        <v>0</v>
      </c>
      <c r="M105" s="29" t="str">
        <f t="shared" si="13"/>
        <v/>
      </c>
      <c r="N105" s="29"/>
    </row>
    <row r="106" spans="1:14" ht="19.5" hidden="1" customHeight="1" outlineLevel="1">
      <c r="A106" s="30">
        <f>IF(2&lt;=DAY(DATE(YEAR(설정_코스수당!$K$2),MONTH(설정_코스수당!$K$2)+1,0)),DATE(YEAR(설정_코스수당!$K$2),MONTH(설정_코스수당!$K$2),2),"")</f>
        <v>46175</v>
      </c>
      <c r="B106" s="29" t="s">
        <v>210</v>
      </c>
      <c r="C106" s="29"/>
      <c r="D106" s="29"/>
      <c r="E106" s="29" t="str">
        <f t="shared" si="11"/>
        <v/>
      </c>
      <c r="F106" s="29">
        <f>COUNTIFS(실시간콜입력!$B:$B,$A106,실시간콜입력!$E:$E,"A",실시간콜입력!$G:$G,$B106,실시간콜입력!$O:$O,"방문완료")+COUNTIFS(실시간콜입력!$B:$B,$A106,실시간콜입력!$E:$E,"A",실시간콜입력!$H:$H,$B106,실시간콜입력!$O:$O,"방문완료")</f>
        <v>0</v>
      </c>
      <c r="G106" s="29">
        <f>COUNTIFS(실시간콜입력!$B:$B,$A106,실시간콜입력!$E:$E,"B",실시간콜입력!$G:$G,$B106,실시간콜입력!$O:$O,"방문완료")+COUNTIFS(실시간콜입력!$B:$B,$A106,실시간콜입력!$E:$E,"B",실시간콜입력!$H:$H,$B106,실시간콜입력!$O:$O,"방문완료")</f>
        <v>0</v>
      </c>
      <c r="H106" s="29">
        <f>COUNTIFS(실시간콜입력!$B:$B,$A106,실시간콜입력!$E:$E,"C",실시간콜입력!$G:$G,$B106,실시간콜입력!$O:$O,"방문완료")+COUNTIFS(실시간콜입력!$B:$B,$A106,실시간콜입력!$E:$E,"C",실시간콜입력!$H:$H,$B106,실시간콜입력!$O:$O,"방문완료")</f>
        <v>0</v>
      </c>
      <c r="I106" s="29">
        <f>COUNTIFS(실시간콜입력!$B:$B,$A106,실시간콜입력!$E:$E,"D",실시간콜입력!$G:$G,$B106,실시간콜입력!$O:$O,"방문완료")+COUNTIFS(실시간콜입력!$B:$B,$A106,실시간콜입력!$E:$E,"D",실시간콜입력!$H:$H,$B106,실시간콜입력!$O:$O,"방문완료")</f>
        <v>0</v>
      </c>
      <c r="J106" s="29">
        <f>COUNTIFS(실시간콜입력!$B:$B,$A106,실시간콜입력!$E:$E,"E",실시간콜입력!$G:$G,$B106,실시간콜입력!$O:$O,"방문완료")+COUNTIFS(실시간콜입력!$B:$B,$A106,실시간콜입력!$E:$E,"E",실시간콜입력!$H:$H,$B106,실시간콜입력!$O:$O,"방문완료")</f>
        <v>0</v>
      </c>
      <c r="K106" s="29">
        <f t="shared" si="12"/>
        <v>0</v>
      </c>
      <c r="L106" s="33">
        <f>SUMIFS(실시간콜입력!$K:$K,실시간콜입력!$B:$B,$A106,실시간콜입력!$G:$G,$B106,실시간콜입력!$O:$O,"방문완료")+SUMIFS(실시간콜입력!$L:$L,실시간콜입력!$B:$B,$A106,실시간콜입력!$H:$H,$B106,실시간콜입력!$O:$O,"방문완료")</f>
        <v>0</v>
      </c>
      <c r="M106" s="29" t="str">
        <f t="shared" si="13"/>
        <v/>
      </c>
      <c r="N106" s="29"/>
    </row>
    <row r="107" spans="1:14" ht="19.5" hidden="1" customHeight="1" outlineLevel="1">
      <c r="A107" s="24">
        <f>IF(2&lt;=DAY(DATE(YEAR(설정_코스수당!$K$2),MONTH(설정_코스수당!$K$2)+1,0)),DATE(YEAR(설정_코스수당!$K$2),MONTH(설정_코스수당!$K$2),2),"")</f>
        <v>46175</v>
      </c>
      <c r="B107" s="23" t="s">
        <v>211</v>
      </c>
      <c r="C107" s="29"/>
      <c r="D107" s="29"/>
      <c r="E107" s="29" t="str">
        <f t="shared" si="11"/>
        <v/>
      </c>
      <c r="F107" s="29">
        <f>COUNTIFS(실시간콜입력!$B:$B,$A107,실시간콜입력!$E:$E,"A",실시간콜입력!$G:$G,$B107,실시간콜입력!$O:$O,"방문완료")+COUNTIFS(실시간콜입력!$B:$B,$A107,실시간콜입력!$E:$E,"A",실시간콜입력!$H:$H,$B107,실시간콜입력!$O:$O,"방문완료")</f>
        <v>0</v>
      </c>
      <c r="G107" s="29">
        <f>COUNTIFS(실시간콜입력!$B:$B,$A107,실시간콜입력!$E:$E,"B",실시간콜입력!$G:$G,$B107,실시간콜입력!$O:$O,"방문완료")+COUNTIFS(실시간콜입력!$B:$B,$A107,실시간콜입력!$E:$E,"B",실시간콜입력!$H:$H,$B107,실시간콜입력!$O:$O,"방문완료")</f>
        <v>0</v>
      </c>
      <c r="H107" s="29">
        <f>COUNTIFS(실시간콜입력!$B:$B,$A107,실시간콜입력!$E:$E,"C",실시간콜입력!$G:$G,$B107,실시간콜입력!$O:$O,"방문완료")+COUNTIFS(실시간콜입력!$B:$B,$A107,실시간콜입력!$E:$E,"C",실시간콜입력!$H:$H,$B107,실시간콜입력!$O:$O,"방문완료")</f>
        <v>0</v>
      </c>
      <c r="I107" s="29">
        <f>COUNTIFS(실시간콜입력!$B:$B,$A107,실시간콜입력!$E:$E,"D",실시간콜입력!$G:$G,$B107,실시간콜입력!$O:$O,"방문완료")+COUNTIFS(실시간콜입력!$B:$B,$A107,실시간콜입력!$E:$E,"D",실시간콜입력!$H:$H,$B107,실시간콜입력!$O:$O,"방문완료")</f>
        <v>0</v>
      </c>
      <c r="J107" s="29">
        <f>COUNTIFS(실시간콜입력!$B:$B,$A107,실시간콜입력!$E:$E,"E",실시간콜입력!$G:$G,$B107,실시간콜입력!$O:$O,"방문완료")+COUNTIFS(실시간콜입력!$B:$B,$A107,실시간콜입력!$E:$E,"E",실시간콜입력!$H:$H,$B107,실시간콜입력!$O:$O,"방문완료")</f>
        <v>0</v>
      </c>
      <c r="K107" s="29">
        <f t="shared" si="12"/>
        <v>0</v>
      </c>
      <c r="L107" s="27">
        <f>SUMIFS(실시간콜입력!$K:$K,실시간콜입력!$B:$B,$A107,실시간콜입력!$G:$G,$B107,실시간콜입력!$O:$O,"방문완료")+SUMIFS(실시간콜입력!$L:$L,실시간콜입력!$B:$B,$A107,실시간콜입력!$H:$H,$B107,실시간콜입력!$O:$O,"방문완료")</f>
        <v>0</v>
      </c>
      <c r="M107" s="29" t="str">
        <f t="shared" si="13"/>
        <v/>
      </c>
      <c r="N107" s="29"/>
    </row>
    <row r="108" spans="1:14" ht="19.5" hidden="1" customHeight="1" outlineLevel="1">
      <c r="A108" s="30">
        <f>IF(2&lt;=DAY(DATE(YEAR(설정_코스수당!$K$2),MONTH(설정_코스수당!$K$2)+1,0)),DATE(YEAR(설정_코스수당!$K$2),MONTH(설정_코스수당!$K$2),2),"")</f>
        <v>46175</v>
      </c>
      <c r="B108" s="29" t="s">
        <v>212</v>
      </c>
      <c r="C108" s="29"/>
      <c r="D108" s="29"/>
      <c r="E108" s="29" t="str">
        <f t="shared" si="11"/>
        <v/>
      </c>
      <c r="F108" s="29">
        <f>COUNTIFS(실시간콜입력!$B:$B,$A108,실시간콜입력!$E:$E,"A",실시간콜입력!$G:$G,$B108,실시간콜입력!$O:$O,"방문완료")+COUNTIFS(실시간콜입력!$B:$B,$A108,실시간콜입력!$E:$E,"A",실시간콜입력!$H:$H,$B108,실시간콜입력!$O:$O,"방문완료")</f>
        <v>0</v>
      </c>
      <c r="G108" s="29">
        <f>COUNTIFS(실시간콜입력!$B:$B,$A108,실시간콜입력!$E:$E,"B",실시간콜입력!$G:$G,$B108,실시간콜입력!$O:$O,"방문완료")+COUNTIFS(실시간콜입력!$B:$B,$A108,실시간콜입력!$E:$E,"B",실시간콜입력!$H:$H,$B108,실시간콜입력!$O:$O,"방문완료")</f>
        <v>0</v>
      </c>
      <c r="H108" s="29">
        <f>COUNTIFS(실시간콜입력!$B:$B,$A108,실시간콜입력!$E:$E,"C",실시간콜입력!$G:$G,$B108,실시간콜입력!$O:$O,"방문완료")+COUNTIFS(실시간콜입력!$B:$B,$A108,실시간콜입력!$E:$E,"C",실시간콜입력!$H:$H,$B108,실시간콜입력!$O:$O,"방문완료")</f>
        <v>0</v>
      </c>
      <c r="I108" s="29">
        <f>COUNTIFS(실시간콜입력!$B:$B,$A108,실시간콜입력!$E:$E,"D",실시간콜입력!$G:$G,$B108,실시간콜입력!$O:$O,"방문완료")+COUNTIFS(실시간콜입력!$B:$B,$A108,실시간콜입력!$E:$E,"D",실시간콜입력!$H:$H,$B108,실시간콜입력!$O:$O,"방문완료")</f>
        <v>0</v>
      </c>
      <c r="J108" s="29">
        <f>COUNTIFS(실시간콜입력!$B:$B,$A108,실시간콜입력!$E:$E,"E",실시간콜입력!$G:$G,$B108,실시간콜입력!$O:$O,"방문완료")+COUNTIFS(실시간콜입력!$B:$B,$A108,실시간콜입력!$E:$E,"E",실시간콜입력!$H:$H,$B108,실시간콜입력!$O:$O,"방문완료")</f>
        <v>0</v>
      </c>
      <c r="K108" s="29">
        <f t="shared" si="12"/>
        <v>0</v>
      </c>
      <c r="L108" s="33">
        <f>SUMIFS(실시간콜입력!$K:$K,실시간콜입력!$B:$B,$A108,실시간콜입력!$G:$G,$B108,실시간콜입력!$O:$O,"방문완료")+SUMIFS(실시간콜입력!$L:$L,실시간콜입력!$B:$B,$A108,실시간콜입력!$H:$H,$B108,실시간콜입력!$O:$O,"방문완료")</f>
        <v>0</v>
      </c>
      <c r="M108" s="29" t="str">
        <f t="shared" si="13"/>
        <v/>
      </c>
      <c r="N108" s="29"/>
    </row>
    <row r="109" spans="1:14" ht="21.75" customHeight="1" collapsed="1">
      <c r="A109" s="64">
        <f>IF(3&lt;=DAY(DATE(YEAR(설정_코스수당!$K$2),MONTH(설정_코스수당!$K$2)+1,0)),DATE(YEAR(설정_코스수당!$K$2),MONTH(설정_코스수당!$K$2),3),"")</f>
        <v>46176</v>
      </c>
      <c r="B109" s="65" t="str">
        <f>IF(A109="","","출근 "&amp;COUNTIF(C111:C160,"&lt;&gt;")&amp;"명")</f>
        <v>출근 0명</v>
      </c>
      <c r="C109" s="65" t="str">
        <f>IF(A109="","","만근 "&amp;COUNTIF(M111:M160,"인정")&amp;"명")</f>
        <v>만근 0명</v>
      </c>
      <c r="D109" s="65" t="str">
        <f>IFERROR("평균 "&amp;TEXT(AVERAGEIF(E111:E160,"&gt;0",E111:E160),"0.0")&amp;"h","평균 -")</f>
        <v>평균 -</v>
      </c>
      <c r="E109" s="65" t="s">
        <v>163</v>
      </c>
      <c r="F109" s="65">
        <f t="shared" ref="F109:L109" si="14">SUM(F111:F160)</f>
        <v>0</v>
      </c>
      <c r="G109" s="65">
        <f t="shared" si="14"/>
        <v>0</v>
      </c>
      <c r="H109" s="65">
        <f t="shared" si="14"/>
        <v>0</v>
      </c>
      <c r="I109" s="65">
        <f t="shared" si="14"/>
        <v>0</v>
      </c>
      <c r="J109" s="65">
        <f t="shared" si="14"/>
        <v>0</v>
      </c>
      <c r="K109" s="65">
        <f t="shared" si="14"/>
        <v>0</v>
      </c>
      <c r="L109" s="66">
        <f t="shared" si="14"/>
        <v>0</v>
      </c>
      <c r="M109" s="65">
        <f>COUNTIF(M111:M160,"인정")</f>
        <v>0</v>
      </c>
      <c r="N109" s="65" t="s">
        <v>164</v>
      </c>
    </row>
    <row r="110" spans="1:14" ht="19.5" hidden="1" customHeight="1" outlineLevel="1">
      <c r="A110" s="20" t="s">
        <v>42</v>
      </c>
      <c r="B110" s="20" t="s">
        <v>152</v>
      </c>
      <c r="C110" s="20" t="s">
        <v>153</v>
      </c>
      <c r="D110" s="20" t="s">
        <v>154</v>
      </c>
      <c r="E110" s="20" t="s">
        <v>155</v>
      </c>
      <c r="F110" s="20" t="s">
        <v>156</v>
      </c>
      <c r="G110" s="20" t="s">
        <v>157</v>
      </c>
      <c r="H110" s="20" t="s">
        <v>158</v>
      </c>
      <c r="I110" s="20" t="s">
        <v>159</v>
      </c>
      <c r="J110" s="20" t="s">
        <v>160</v>
      </c>
      <c r="K110" s="20" t="s">
        <v>118</v>
      </c>
      <c r="L110" s="20" t="s">
        <v>161</v>
      </c>
      <c r="M110" s="20" t="s">
        <v>162</v>
      </c>
      <c r="N110" s="20" t="s">
        <v>95</v>
      </c>
    </row>
    <row r="111" spans="1:14" ht="19.5" hidden="1" customHeight="1" outlineLevel="1">
      <c r="A111" s="24">
        <f>IF(3&lt;=DAY(DATE(YEAR(설정_코스수당!$K$2),MONTH(설정_코스수당!$K$2)+1,0)),DATE(YEAR(설정_코스수당!$K$2),MONTH(설정_코스수당!$K$2),3),"")</f>
        <v>46176</v>
      </c>
      <c r="B111" s="23" t="s">
        <v>47</v>
      </c>
      <c r="C111" s="23"/>
      <c r="D111" s="23"/>
      <c r="E111" s="23" t="str">
        <f t="shared" ref="E111:E142" si="15">IF(AND(C111&lt;&gt;"",D111&lt;&gt;""),IF(D111&lt;C111,D111+1-C111,D111-C111)*24,"")</f>
        <v/>
      </c>
      <c r="F111" s="23">
        <f>COUNTIFS(실시간콜입력!$B:$B,$A111,실시간콜입력!$E:$E,"A",실시간콜입력!$G:$G,$B111,실시간콜입력!$O:$O,"방문완료")+COUNTIFS(실시간콜입력!$B:$B,$A111,실시간콜입력!$E:$E,"A",실시간콜입력!$H:$H,$B111,실시간콜입력!$O:$O,"방문완료")</f>
        <v>0</v>
      </c>
      <c r="G111" s="23">
        <f>COUNTIFS(실시간콜입력!$B:$B,$A111,실시간콜입력!$E:$E,"B",실시간콜입력!$G:$G,$B111,실시간콜입력!$O:$O,"방문완료")+COUNTIFS(실시간콜입력!$B:$B,$A111,실시간콜입력!$E:$E,"B",실시간콜입력!$H:$H,$B111,실시간콜입력!$O:$O,"방문완료")</f>
        <v>0</v>
      </c>
      <c r="H111" s="23">
        <f>COUNTIFS(실시간콜입력!$B:$B,$A111,실시간콜입력!$E:$E,"C",실시간콜입력!$G:$G,$B111,실시간콜입력!$O:$O,"방문완료")+COUNTIFS(실시간콜입력!$B:$B,$A111,실시간콜입력!$E:$E,"C",실시간콜입력!$H:$H,$B111,실시간콜입력!$O:$O,"방문완료")</f>
        <v>0</v>
      </c>
      <c r="I111" s="23">
        <f>COUNTIFS(실시간콜입력!$B:$B,$A111,실시간콜입력!$E:$E,"D",실시간콜입력!$G:$G,$B111,실시간콜입력!$O:$O,"방문완료")+COUNTIFS(실시간콜입력!$B:$B,$A111,실시간콜입력!$E:$E,"D",실시간콜입력!$H:$H,$B111,실시간콜입력!$O:$O,"방문완료")</f>
        <v>0</v>
      </c>
      <c r="J111" s="23">
        <f>COUNTIFS(실시간콜입력!$B:$B,$A111,실시간콜입력!$E:$E,"E",실시간콜입력!$G:$G,$B111,실시간콜입력!$O:$O,"방문완료")+COUNTIFS(실시간콜입력!$B:$B,$A111,실시간콜입력!$E:$E,"E",실시간콜입력!$H:$H,$B111,실시간콜입력!$O:$O,"방문완료")</f>
        <v>0</v>
      </c>
      <c r="K111" s="23">
        <f t="shared" ref="K111:K142" si="16">SUM(F111:J111)</f>
        <v>0</v>
      </c>
      <c r="L111" s="27">
        <f>SUMIFS(실시간콜입력!$K:$K,실시간콜입력!$B:$B,$A111,실시간콜입력!$G:$G,$B111,실시간콜입력!$O:$O,"방문완료")+SUMIFS(실시간콜입력!$L:$L,실시간콜입력!$B:$B,$A111,실시간콜입력!$H:$H,$B111,실시간콜입력!$O:$O,"방문완료")</f>
        <v>0</v>
      </c>
      <c r="M111" s="23" t="str">
        <f t="shared" ref="M111:M142" si="17">IF(AND(ISNUMBER(E111),E111&gt;=8),"인정","")</f>
        <v/>
      </c>
      <c r="N111" s="23"/>
    </row>
    <row r="112" spans="1:14" ht="19.5" hidden="1" customHeight="1" outlineLevel="1">
      <c r="A112" s="30">
        <f>IF(3&lt;=DAY(DATE(YEAR(설정_코스수당!$K$2),MONTH(설정_코스수당!$K$2)+1,0)),DATE(YEAR(설정_코스수당!$K$2),MONTH(설정_코스수당!$K$2),3),"")</f>
        <v>46176</v>
      </c>
      <c r="B112" s="29" t="s">
        <v>48</v>
      </c>
      <c r="C112" s="29"/>
      <c r="D112" s="29"/>
      <c r="E112" s="29" t="str">
        <f t="shared" si="15"/>
        <v/>
      </c>
      <c r="F112" s="29">
        <f>COUNTIFS(실시간콜입력!$B:$B,$A112,실시간콜입력!$E:$E,"A",실시간콜입력!$G:$G,$B112,실시간콜입력!$O:$O,"방문완료")+COUNTIFS(실시간콜입력!$B:$B,$A112,실시간콜입력!$E:$E,"A",실시간콜입력!$H:$H,$B112,실시간콜입력!$O:$O,"방문완료")</f>
        <v>0</v>
      </c>
      <c r="G112" s="29">
        <f>COUNTIFS(실시간콜입력!$B:$B,$A112,실시간콜입력!$E:$E,"B",실시간콜입력!$G:$G,$B112,실시간콜입력!$O:$O,"방문완료")+COUNTIFS(실시간콜입력!$B:$B,$A112,실시간콜입력!$E:$E,"B",실시간콜입력!$H:$H,$B112,실시간콜입력!$O:$O,"방문완료")</f>
        <v>0</v>
      </c>
      <c r="H112" s="29">
        <f>COUNTIFS(실시간콜입력!$B:$B,$A112,실시간콜입력!$E:$E,"C",실시간콜입력!$G:$G,$B112,실시간콜입력!$O:$O,"방문완료")+COUNTIFS(실시간콜입력!$B:$B,$A112,실시간콜입력!$E:$E,"C",실시간콜입력!$H:$H,$B112,실시간콜입력!$O:$O,"방문완료")</f>
        <v>0</v>
      </c>
      <c r="I112" s="29">
        <f>COUNTIFS(실시간콜입력!$B:$B,$A112,실시간콜입력!$E:$E,"D",실시간콜입력!$G:$G,$B112,실시간콜입력!$O:$O,"방문완료")+COUNTIFS(실시간콜입력!$B:$B,$A112,실시간콜입력!$E:$E,"D",실시간콜입력!$H:$H,$B112,실시간콜입력!$O:$O,"방문완료")</f>
        <v>0</v>
      </c>
      <c r="J112" s="29">
        <f>COUNTIFS(실시간콜입력!$B:$B,$A112,실시간콜입력!$E:$E,"E",실시간콜입력!$G:$G,$B112,실시간콜입력!$O:$O,"방문완료")+COUNTIFS(실시간콜입력!$B:$B,$A112,실시간콜입력!$E:$E,"E",실시간콜입력!$H:$H,$B112,실시간콜입력!$O:$O,"방문완료")</f>
        <v>0</v>
      </c>
      <c r="K112" s="29">
        <f t="shared" si="16"/>
        <v>0</v>
      </c>
      <c r="L112" s="33">
        <f>SUMIFS(실시간콜입력!$K:$K,실시간콜입력!$B:$B,$A112,실시간콜입력!$G:$G,$B112,실시간콜입력!$O:$O,"방문완료")+SUMIFS(실시간콜입력!$L:$L,실시간콜입력!$B:$B,$A112,실시간콜입력!$H:$H,$B112,실시간콜입력!$O:$O,"방문완료")</f>
        <v>0</v>
      </c>
      <c r="M112" s="29" t="str">
        <f t="shared" si="17"/>
        <v/>
      </c>
      <c r="N112" s="29"/>
    </row>
    <row r="113" spans="1:14" ht="19.5" hidden="1" customHeight="1" outlineLevel="1">
      <c r="A113" s="24">
        <f>IF(3&lt;=DAY(DATE(YEAR(설정_코스수당!$K$2),MONTH(설정_코스수당!$K$2)+1,0)),DATE(YEAR(설정_코스수당!$K$2),MONTH(설정_코스수당!$K$2),3),"")</f>
        <v>46176</v>
      </c>
      <c r="B113" s="23" t="s">
        <v>165</v>
      </c>
      <c r="C113" s="29"/>
      <c r="D113" s="29"/>
      <c r="E113" s="29" t="str">
        <f t="shared" si="15"/>
        <v/>
      </c>
      <c r="F113" s="29">
        <f>COUNTIFS(실시간콜입력!$B:$B,$A113,실시간콜입력!$E:$E,"A",실시간콜입력!$G:$G,$B113,실시간콜입력!$O:$O,"방문완료")+COUNTIFS(실시간콜입력!$B:$B,$A113,실시간콜입력!$E:$E,"A",실시간콜입력!$H:$H,$B113,실시간콜입력!$O:$O,"방문완료")</f>
        <v>0</v>
      </c>
      <c r="G113" s="29">
        <f>COUNTIFS(실시간콜입력!$B:$B,$A113,실시간콜입력!$E:$E,"B",실시간콜입력!$G:$G,$B113,실시간콜입력!$O:$O,"방문완료")+COUNTIFS(실시간콜입력!$B:$B,$A113,실시간콜입력!$E:$E,"B",실시간콜입력!$H:$H,$B113,실시간콜입력!$O:$O,"방문완료")</f>
        <v>0</v>
      </c>
      <c r="H113" s="29">
        <f>COUNTIFS(실시간콜입력!$B:$B,$A113,실시간콜입력!$E:$E,"C",실시간콜입력!$G:$G,$B113,실시간콜입력!$O:$O,"방문완료")+COUNTIFS(실시간콜입력!$B:$B,$A113,실시간콜입력!$E:$E,"C",실시간콜입력!$H:$H,$B113,실시간콜입력!$O:$O,"방문완료")</f>
        <v>0</v>
      </c>
      <c r="I113" s="29">
        <f>COUNTIFS(실시간콜입력!$B:$B,$A113,실시간콜입력!$E:$E,"D",실시간콜입력!$G:$G,$B113,실시간콜입력!$O:$O,"방문완료")+COUNTIFS(실시간콜입력!$B:$B,$A113,실시간콜입력!$E:$E,"D",실시간콜입력!$H:$H,$B113,실시간콜입력!$O:$O,"방문완료")</f>
        <v>0</v>
      </c>
      <c r="J113" s="29">
        <f>COUNTIFS(실시간콜입력!$B:$B,$A113,실시간콜입력!$E:$E,"E",실시간콜입력!$G:$G,$B113,실시간콜입력!$O:$O,"방문완료")+COUNTIFS(실시간콜입력!$B:$B,$A113,실시간콜입력!$E:$E,"E",실시간콜입력!$H:$H,$B113,실시간콜입력!$O:$O,"방문완료")</f>
        <v>0</v>
      </c>
      <c r="K113" s="29">
        <f t="shared" si="16"/>
        <v>0</v>
      </c>
      <c r="L113" s="27">
        <f>SUMIFS(실시간콜입력!$K:$K,실시간콜입력!$B:$B,$A113,실시간콜입력!$G:$G,$B113,실시간콜입력!$O:$O,"방문완료")+SUMIFS(실시간콜입력!$L:$L,실시간콜입력!$B:$B,$A113,실시간콜입력!$H:$H,$B113,실시간콜입력!$O:$O,"방문완료")</f>
        <v>0</v>
      </c>
      <c r="M113" s="29" t="str">
        <f t="shared" si="17"/>
        <v/>
      </c>
      <c r="N113" s="29"/>
    </row>
    <row r="114" spans="1:14" ht="19.5" hidden="1" customHeight="1" outlineLevel="1">
      <c r="A114" s="30">
        <f>IF(3&lt;=DAY(DATE(YEAR(설정_코스수당!$K$2),MONTH(설정_코스수당!$K$2)+1,0)),DATE(YEAR(설정_코스수당!$K$2),MONTH(설정_코스수당!$K$2),3),"")</f>
        <v>46176</v>
      </c>
      <c r="B114" s="29" t="s">
        <v>166</v>
      </c>
      <c r="C114" s="29"/>
      <c r="D114" s="29"/>
      <c r="E114" s="29" t="str">
        <f t="shared" si="15"/>
        <v/>
      </c>
      <c r="F114" s="29">
        <f>COUNTIFS(실시간콜입력!$B:$B,$A114,실시간콜입력!$E:$E,"A",실시간콜입력!$G:$G,$B114,실시간콜입력!$O:$O,"방문완료")+COUNTIFS(실시간콜입력!$B:$B,$A114,실시간콜입력!$E:$E,"A",실시간콜입력!$H:$H,$B114,실시간콜입력!$O:$O,"방문완료")</f>
        <v>0</v>
      </c>
      <c r="G114" s="29">
        <f>COUNTIFS(실시간콜입력!$B:$B,$A114,실시간콜입력!$E:$E,"B",실시간콜입력!$G:$G,$B114,실시간콜입력!$O:$O,"방문완료")+COUNTIFS(실시간콜입력!$B:$B,$A114,실시간콜입력!$E:$E,"B",실시간콜입력!$H:$H,$B114,실시간콜입력!$O:$O,"방문완료")</f>
        <v>0</v>
      </c>
      <c r="H114" s="29">
        <f>COUNTIFS(실시간콜입력!$B:$B,$A114,실시간콜입력!$E:$E,"C",실시간콜입력!$G:$G,$B114,실시간콜입력!$O:$O,"방문완료")+COUNTIFS(실시간콜입력!$B:$B,$A114,실시간콜입력!$E:$E,"C",실시간콜입력!$H:$H,$B114,실시간콜입력!$O:$O,"방문완료")</f>
        <v>0</v>
      </c>
      <c r="I114" s="29">
        <f>COUNTIFS(실시간콜입력!$B:$B,$A114,실시간콜입력!$E:$E,"D",실시간콜입력!$G:$G,$B114,실시간콜입력!$O:$O,"방문완료")+COUNTIFS(실시간콜입력!$B:$B,$A114,실시간콜입력!$E:$E,"D",실시간콜입력!$H:$H,$B114,실시간콜입력!$O:$O,"방문완료")</f>
        <v>0</v>
      </c>
      <c r="J114" s="29">
        <f>COUNTIFS(실시간콜입력!$B:$B,$A114,실시간콜입력!$E:$E,"E",실시간콜입력!$G:$G,$B114,실시간콜입력!$O:$O,"방문완료")+COUNTIFS(실시간콜입력!$B:$B,$A114,실시간콜입력!$E:$E,"E",실시간콜입력!$H:$H,$B114,실시간콜입력!$O:$O,"방문완료")</f>
        <v>0</v>
      </c>
      <c r="K114" s="29">
        <f t="shared" si="16"/>
        <v>0</v>
      </c>
      <c r="L114" s="33">
        <f>SUMIFS(실시간콜입력!$K:$K,실시간콜입력!$B:$B,$A114,실시간콜입력!$G:$G,$B114,실시간콜입력!$O:$O,"방문완료")+SUMIFS(실시간콜입력!$L:$L,실시간콜입력!$B:$B,$A114,실시간콜입력!$H:$H,$B114,실시간콜입력!$O:$O,"방문완료")</f>
        <v>0</v>
      </c>
      <c r="M114" s="29" t="str">
        <f t="shared" si="17"/>
        <v/>
      </c>
      <c r="N114" s="29"/>
    </row>
    <row r="115" spans="1:14" ht="19.5" hidden="1" customHeight="1" outlineLevel="1">
      <c r="A115" s="24">
        <f>IF(3&lt;=DAY(DATE(YEAR(설정_코스수당!$K$2),MONTH(설정_코스수당!$K$2)+1,0)),DATE(YEAR(설정_코스수당!$K$2),MONTH(설정_코스수당!$K$2),3),"")</f>
        <v>46176</v>
      </c>
      <c r="B115" s="23" t="s">
        <v>167</v>
      </c>
      <c r="C115" s="29"/>
      <c r="D115" s="29"/>
      <c r="E115" s="29" t="str">
        <f t="shared" si="15"/>
        <v/>
      </c>
      <c r="F115" s="29">
        <f>COUNTIFS(실시간콜입력!$B:$B,$A115,실시간콜입력!$E:$E,"A",실시간콜입력!$G:$G,$B115,실시간콜입력!$O:$O,"방문완료")+COUNTIFS(실시간콜입력!$B:$B,$A115,실시간콜입력!$E:$E,"A",실시간콜입력!$H:$H,$B115,실시간콜입력!$O:$O,"방문완료")</f>
        <v>0</v>
      </c>
      <c r="G115" s="29">
        <f>COUNTIFS(실시간콜입력!$B:$B,$A115,실시간콜입력!$E:$E,"B",실시간콜입력!$G:$G,$B115,실시간콜입력!$O:$O,"방문완료")+COUNTIFS(실시간콜입력!$B:$B,$A115,실시간콜입력!$E:$E,"B",실시간콜입력!$H:$H,$B115,실시간콜입력!$O:$O,"방문완료")</f>
        <v>0</v>
      </c>
      <c r="H115" s="29">
        <f>COUNTIFS(실시간콜입력!$B:$B,$A115,실시간콜입력!$E:$E,"C",실시간콜입력!$G:$G,$B115,실시간콜입력!$O:$O,"방문완료")+COUNTIFS(실시간콜입력!$B:$B,$A115,실시간콜입력!$E:$E,"C",실시간콜입력!$H:$H,$B115,실시간콜입력!$O:$O,"방문완료")</f>
        <v>0</v>
      </c>
      <c r="I115" s="29">
        <f>COUNTIFS(실시간콜입력!$B:$B,$A115,실시간콜입력!$E:$E,"D",실시간콜입력!$G:$G,$B115,실시간콜입력!$O:$O,"방문완료")+COUNTIFS(실시간콜입력!$B:$B,$A115,실시간콜입력!$E:$E,"D",실시간콜입력!$H:$H,$B115,실시간콜입력!$O:$O,"방문완료")</f>
        <v>0</v>
      </c>
      <c r="J115" s="29">
        <f>COUNTIFS(실시간콜입력!$B:$B,$A115,실시간콜입력!$E:$E,"E",실시간콜입력!$G:$G,$B115,실시간콜입력!$O:$O,"방문완료")+COUNTIFS(실시간콜입력!$B:$B,$A115,실시간콜입력!$E:$E,"E",실시간콜입력!$H:$H,$B115,실시간콜입력!$O:$O,"방문완료")</f>
        <v>0</v>
      </c>
      <c r="K115" s="29">
        <f t="shared" si="16"/>
        <v>0</v>
      </c>
      <c r="L115" s="27">
        <f>SUMIFS(실시간콜입력!$K:$K,실시간콜입력!$B:$B,$A115,실시간콜입력!$G:$G,$B115,실시간콜입력!$O:$O,"방문완료")+SUMIFS(실시간콜입력!$L:$L,실시간콜입력!$B:$B,$A115,실시간콜입력!$H:$H,$B115,실시간콜입력!$O:$O,"방문완료")</f>
        <v>0</v>
      </c>
      <c r="M115" s="29" t="str">
        <f t="shared" si="17"/>
        <v/>
      </c>
      <c r="N115" s="29"/>
    </row>
    <row r="116" spans="1:14" ht="19.5" hidden="1" customHeight="1" outlineLevel="1">
      <c r="A116" s="30">
        <f>IF(3&lt;=DAY(DATE(YEAR(설정_코스수당!$K$2),MONTH(설정_코스수당!$K$2)+1,0)),DATE(YEAR(설정_코스수당!$K$2),MONTH(설정_코스수당!$K$2),3),"")</f>
        <v>46176</v>
      </c>
      <c r="B116" s="29" t="s">
        <v>168</v>
      </c>
      <c r="C116" s="29"/>
      <c r="D116" s="29"/>
      <c r="E116" s="29" t="str">
        <f t="shared" si="15"/>
        <v/>
      </c>
      <c r="F116" s="29">
        <f>COUNTIFS(실시간콜입력!$B:$B,$A116,실시간콜입력!$E:$E,"A",실시간콜입력!$G:$G,$B116,실시간콜입력!$O:$O,"방문완료")+COUNTIFS(실시간콜입력!$B:$B,$A116,실시간콜입력!$E:$E,"A",실시간콜입력!$H:$H,$B116,실시간콜입력!$O:$O,"방문완료")</f>
        <v>0</v>
      </c>
      <c r="G116" s="29">
        <f>COUNTIFS(실시간콜입력!$B:$B,$A116,실시간콜입력!$E:$E,"B",실시간콜입력!$G:$G,$B116,실시간콜입력!$O:$O,"방문완료")+COUNTIFS(실시간콜입력!$B:$B,$A116,실시간콜입력!$E:$E,"B",실시간콜입력!$H:$H,$B116,실시간콜입력!$O:$O,"방문완료")</f>
        <v>0</v>
      </c>
      <c r="H116" s="29">
        <f>COUNTIFS(실시간콜입력!$B:$B,$A116,실시간콜입력!$E:$E,"C",실시간콜입력!$G:$G,$B116,실시간콜입력!$O:$O,"방문완료")+COUNTIFS(실시간콜입력!$B:$B,$A116,실시간콜입력!$E:$E,"C",실시간콜입력!$H:$H,$B116,실시간콜입력!$O:$O,"방문완료")</f>
        <v>0</v>
      </c>
      <c r="I116" s="29">
        <f>COUNTIFS(실시간콜입력!$B:$B,$A116,실시간콜입력!$E:$E,"D",실시간콜입력!$G:$G,$B116,실시간콜입력!$O:$O,"방문완료")+COUNTIFS(실시간콜입력!$B:$B,$A116,실시간콜입력!$E:$E,"D",실시간콜입력!$H:$H,$B116,실시간콜입력!$O:$O,"방문완료")</f>
        <v>0</v>
      </c>
      <c r="J116" s="29">
        <f>COUNTIFS(실시간콜입력!$B:$B,$A116,실시간콜입력!$E:$E,"E",실시간콜입력!$G:$G,$B116,실시간콜입력!$O:$O,"방문완료")+COUNTIFS(실시간콜입력!$B:$B,$A116,실시간콜입력!$E:$E,"E",실시간콜입력!$H:$H,$B116,실시간콜입력!$O:$O,"방문완료")</f>
        <v>0</v>
      </c>
      <c r="K116" s="29">
        <f t="shared" si="16"/>
        <v>0</v>
      </c>
      <c r="L116" s="33">
        <f>SUMIFS(실시간콜입력!$K:$K,실시간콜입력!$B:$B,$A116,실시간콜입력!$G:$G,$B116,실시간콜입력!$O:$O,"방문완료")+SUMIFS(실시간콜입력!$L:$L,실시간콜입력!$B:$B,$A116,실시간콜입력!$H:$H,$B116,실시간콜입력!$O:$O,"방문완료")</f>
        <v>0</v>
      </c>
      <c r="M116" s="29" t="str">
        <f t="shared" si="17"/>
        <v/>
      </c>
      <c r="N116" s="29"/>
    </row>
    <row r="117" spans="1:14" ht="19.5" hidden="1" customHeight="1" outlineLevel="1">
      <c r="A117" s="24">
        <f>IF(3&lt;=DAY(DATE(YEAR(설정_코스수당!$K$2),MONTH(설정_코스수당!$K$2)+1,0)),DATE(YEAR(설정_코스수당!$K$2),MONTH(설정_코스수당!$K$2),3),"")</f>
        <v>46176</v>
      </c>
      <c r="B117" s="23" t="s">
        <v>169</v>
      </c>
      <c r="C117" s="29"/>
      <c r="D117" s="29"/>
      <c r="E117" s="29" t="str">
        <f t="shared" si="15"/>
        <v/>
      </c>
      <c r="F117" s="29">
        <f>COUNTIFS(실시간콜입력!$B:$B,$A117,실시간콜입력!$E:$E,"A",실시간콜입력!$G:$G,$B117,실시간콜입력!$O:$O,"방문완료")+COUNTIFS(실시간콜입력!$B:$B,$A117,실시간콜입력!$E:$E,"A",실시간콜입력!$H:$H,$B117,실시간콜입력!$O:$O,"방문완료")</f>
        <v>0</v>
      </c>
      <c r="G117" s="29">
        <f>COUNTIFS(실시간콜입력!$B:$B,$A117,실시간콜입력!$E:$E,"B",실시간콜입력!$G:$G,$B117,실시간콜입력!$O:$O,"방문완료")+COUNTIFS(실시간콜입력!$B:$B,$A117,실시간콜입력!$E:$E,"B",실시간콜입력!$H:$H,$B117,실시간콜입력!$O:$O,"방문완료")</f>
        <v>0</v>
      </c>
      <c r="H117" s="29">
        <f>COUNTIFS(실시간콜입력!$B:$B,$A117,실시간콜입력!$E:$E,"C",실시간콜입력!$G:$G,$B117,실시간콜입력!$O:$O,"방문완료")+COUNTIFS(실시간콜입력!$B:$B,$A117,실시간콜입력!$E:$E,"C",실시간콜입력!$H:$H,$B117,실시간콜입력!$O:$O,"방문완료")</f>
        <v>0</v>
      </c>
      <c r="I117" s="29">
        <f>COUNTIFS(실시간콜입력!$B:$B,$A117,실시간콜입력!$E:$E,"D",실시간콜입력!$G:$G,$B117,실시간콜입력!$O:$O,"방문완료")+COUNTIFS(실시간콜입력!$B:$B,$A117,실시간콜입력!$E:$E,"D",실시간콜입력!$H:$H,$B117,실시간콜입력!$O:$O,"방문완료")</f>
        <v>0</v>
      </c>
      <c r="J117" s="29">
        <f>COUNTIFS(실시간콜입력!$B:$B,$A117,실시간콜입력!$E:$E,"E",실시간콜입력!$G:$G,$B117,실시간콜입력!$O:$O,"방문완료")+COUNTIFS(실시간콜입력!$B:$B,$A117,실시간콜입력!$E:$E,"E",실시간콜입력!$H:$H,$B117,실시간콜입력!$O:$O,"방문완료")</f>
        <v>0</v>
      </c>
      <c r="K117" s="29">
        <f t="shared" si="16"/>
        <v>0</v>
      </c>
      <c r="L117" s="27">
        <f>SUMIFS(실시간콜입력!$K:$K,실시간콜입력!$B:$B,$A117,실시간콜입력!$G:$G,$B117,실시간콜입력!$O:$O,"방문완료")+SUMIFS(실시간콜입력!$L:$L,실시간콜입력!$B:$B,$A117,실시간콜입력!$H:$H,$B117,실시간콜입력!$O:$O,"방문완료")</f>
        <v>0</v>
      </c>
      <c r="M117" s="29" t="str">
        <f t="shared" si="17"/>
        <v/>
      </c>
      <c r="N117" s="29"/>
    </row>
    <row r="118" spans="1:14" ht="19.5" hidden="1" customHeight="1" outlineLevel="1">
      <c r="A118" s="30">
        <f>IF(3&lt;=DAY(DATE(YEAR(설정_코스수당!$K$2),MONTH(설정_코스수당!$K$2)+1,0)),DATE(YEAR(설정_코스수당!$K$2),MONTH(설정_코스수당!$K$2),3),"")</f>
        <v>46176</v>
      </c>
      <c r="B118" s="29" t="s">
        <v>170</v>
      </c>
      <c r="C118" s="29"/>
      <c r="D118" s="29"/>
      <c r="E118" s="29" t="str">
        <f t="shared" si="15"/>
        <v/>
      </c>
      <c r="F118" s="29">
        <f>COUNTIFS(실시간콜입력!$B:$B,$A118,실시간콜입력!$E:$E,"A",실시간콜입력!$G:$G,$B118,실시간콜입력!$O:$O,"방문완료")+COUNTIFS(실시간콜입력!$B:$B,$A118,실시간콜입력!$E:$E,"A",실시간콜입력!$H:$H,$B118,실시간콜입력!$O:$O,"방문완료")</f>
        <v>0</v>
      </c>
      <c r="G118" s="29">
        <f>COUNTIFS(실시간콜입력!$B:$B,$A118,실시간콜입력!$E:$E,"B",실시간콜입력!$G:$G,$B118,실시간콜입력!$O:$O,"방문완료")+COUNTIFS(실시간콜입력!$B:$B,$A118,실시간콜입력!$E:$E,"B",실시간콜입력!$H:$H,$B118,실시간콜입력!$O:$O,"방문완료")</f>
        <v>0</v>
      </c>
      <c r="H118" s="29">
        <f>COUNTIFS(실시간콜입력!$B:$B,$A118,실시간콜입력!$E:$E,"C",실시간콜입력!$G:$G,$B118,실시간콜입력!$O:$O,"방문완료")+COUNTIFS(실시간콜입력!$B:$B,$A118,실시간콜입력!$E:$E,"C",실시간콜입력!$H:$H,$B118,실시간콜입력!$O:$O,"방문완료")</f>
        <v>0</v>
      </c>
      <c r="I118" s="29">
        <f>COUNTIFS(실시간콜입력!$B:$B,$A118,실시간콜입력!$E:$E,"D",실시간콜입력!$G:$G,$B118,실시간콜입력!$O:$O,"방문완료")+COUNTIFS(실시간콜입력!$B:$B,$A118,실시간콜입력!$E:$E,"D",실시간콜입력!$H:$H,$B118,실시간콜입력!$O:$O,"방문완료")</f>
        <v>0</v>
      </c>
      <c r="J118" s="29">
        <f>COUNTIFS(실시간콜입력!$B:$B,$A118,실시간콜입력!$E:$E,"E",실시간콜입력!$G:$G,$B118,실시간콜입력!$O:$O,"방문완료")+COUNTIFS(실시간콜입력!$B:$B,$A118,실시간콜입력!$E:$E,"E",실시간콜입력!$H:$H,$B118,실시간콜입력!$O:$O,"방문완료")</f>
        <v>0</v>
      </c>
      <c r="K118" s="29">
        <f t="shared" si="16"/>
        <v>0</v>
      </c>
      <c r="L118" s="33">
        <f>SUMIFS(실시간콜입력!$K:$K,실시간콜입력!$B:$B,$A118,실시간콜입력!$G:$G,$B118,실시간콜입력!$O:$O,"방문완료")+SUMIFS(실시간콜입력!$L:$L,실시간콜입력!$B:$B,$A118,실시간콜입력!$H:$H,$B118,실시간콜입력!$O:$O,"방문완료")</f>
        <v>0</v>
      </c>
      <c r="M118" s="29" t="str">
        <f t="shared" si="17"/>
        <v/>
      </c>
      <c r="N118" s="29"/>
    </row>
    <row r="119" spans="1:14" ht="19.5" hidden="1" customHeight="1" outlineLevel="1">
      <c r="A119" s="24">
        <f>IF(3&lt;=DAY(DATE(YEAR(설정_코스수당!$K$2),MONTH(설정_코스수당!$K$2)+1,0)),DATE(YEAR(설정_코스수당!$K$2),MONTH(설정_코스수당!$K$2),3),"")</f>
        <v>46176</v>
      </c>
      <c r="B119" s="23" t="s">
        <v>171</v>
      </c>
      <c r="C119" s="29"/>
      <c r="D119" s="29"/>
      <c r="E119" s="29" t="str">
        <f t="shared" si="15"/>
        <v/>
      </c>
      <c r="F119" s="29">
        <f>COUNTIFS(실시간콜입력!$B:$B,$A119,실시간콜입력!$E:$E,"A",실시간콜입력!$G:$G,$B119,실시간콜입력!$O:$O,"방문완료")+COUNTIFS(실시간콜입력!$B:$B,$A119,실시간콜입력!$E:$E,"A",실시간콜입력!$H:$H,$B119,실시간콜입력!$O:$O,"방문완료")</f>
        <v>0</v>
      </c>
      <c r="G119" s="29">
        <f>COUNTIFS(실시간콜입력!$B:$B,$A119,실시간콜입력!$E:$E,"B",실시간콜입력!$G:$G,$B119,실시간콜입력!$O:$O,"방문완료")+COUNTIFS(실시간콜입력!$B:$B,$A119,실시간콜입력!$E:$E,"B",실시간콜입력!$H:$H,$B119,실시간콜입력!$O:$O,"방문완료")</f>
        <v>0</v>
      </c>
      <c r="H119" s="29">
        <f>COUNTIFS(실시간콜입력!$B:$B,$A119,실시간콜입력!$E:$E,"C",실시간콜입력!$G:$G,$B119,실시간콜입력!$O:$O,"방문완료")+COUNTIFS(실시간콜입력!$B:$B,$A119,실시간콜입력!$E:$E,"C",실시간콜입력!$H:$H,$B119,실시간콜입력!$O:$O,"방문완료")</f>
        <v>0</v>
      </c>
      <c r="I119" s="29">
        <f>COUNTIFS(실시간콜입력!$B:$B,$A119,실시간콜입력!$E:$E,"D",실시간콜입력!$G:$G,$B119,실시간콜입력!$O:$O,"방문완료")+COUNTIFS(실시간콜입력!$B:$B,$A119,실시간콜입력!$E:$E,"D",실시간콜입력!$H:$H,$B119,실시간콜입력!$O:$O,"방문완료")</f>
        <v>0</v>
      </c>
      <c r="J119" s="29">
        <f>COUNTIFS(실시간콜입력!$B:$B,$A119,실시간콜입력!$E:$E,"E",실시간콜입력!$G:$G,$B119,실시간콜입력!$O:$O,"방문완료")+COUNTIFS(실시간콜입력!$B:$B,$A119,실시간콜입력!$E:$E,"E",실시간콜입력!$H:$H,$B119,실시간콜입력!$O:$O,"방문완료")</f>
        <v>0</v>
      </c>
      <c r="K119" s="29">
        <f t="shared" si="16"/>
        <v>0</v>
      </c>
      <c r="L119" s="27">
        <f>SUMIFS(실시간콜입력!$K:$K,실시간콜입력!$B:$B,$A119,실시간콜입력!$G:$G,$B119,실시간콜입력!$O:$O,"방문완료")+SUMIFS(실시간콜입력!$L:$L,실시간콜입력!$B:$B,$A119,실시간콜입력!$H:$H,$B119,실시간콜입력!$O:$O,"방문완료")</f>
        <v>0</v>
      </c>
      <c r="M119" s="29" t="str">
        <f t="shared" si="17"/>
        <v/>
      </c>
      <c r="N119" s="29"/>
    </row>
    <row r="120" spans="1:14" ht="19.5" hidden="1" customHeight="1" outlineLevel="1">
      <c r="A120" s="30">
        <f>IF(3&lt;=DAY(DATE(YEAR(설정_코스수당!$K$2),MONTH(설정_코스수당!$K$2)+1,0)),DATE(YEAR(설정_코스수당!$K$2),MONTH(설정_코스수당!$K$2),3),"")</f>
        <v>46176</v>
      </c>
      <c r="B120" s="29" t="s">
        <v>172</v>
      </c>
      <c r="C120" s="29"/>
      <c r="D120" s="29"/>
      <c r="E120" s="29" t="str">
        <f t="shared" si="15"/>
        <v/>
      </c>
      <c r="F120" s="29">
        <f>COUNTIFS(실시간콜입력!$B:$B,$A120,실시간콜입력!$E:$E,"A",실시간콜입력!$G:$G,$B120,실시간콜입력!$O:$O,"방문완료")+COUNTIFS(실시간콜입력!$B:$B,$A120,실시간콜입력!$E:$E,"A",실시간콜입력!$H:$H,$B120,실시간콜입력!$O:$O,"방문완료")</f>
        <v>0</v>
      </c>
      <c r="G120" s="29">
        <f>COUNTIFS(실시간콜입력!$B:$B,$A120,실시간콜입력!$E:$E,"B",실시간콜입력!$G:$G,$B120,실시간콜입력!$O:$O,"방문완료")+COUNTIFS(실시간콜입력!$B:$B,$A120,실시간콜입력!$E:$E,"B",실시간콜입력!$H:$H,$B120,실시간콜입력!$O:$O,"방문완료")</f>
        <v>0</v>
      </c>
      <c r="H120" s="29">
        <f>COUNTIFS(실시간콜입력!$B:$B,$A120,실시간콜입력!$E:$E,"C",실시간콜입력!$G:$G,$B120,실시간콜입력!$O:$O,"방문완료")+COUNTIFS(실시간콜입력!$B:$B,$A120,실시간콜입력!$E:$E,"C",실시간콜입력!$H:$H,$B120,실시간콜입력!$O:$O,"방문완료")</f>
        <v>0</v>
      </c>
      <c r="I120" s="29">
        <f>COUNTIFS(실시간콜입력!$B:$B,$A120,실시간콜입력!$E:$E,"D",실시간콜입력!$G:$G,$B120,실시간콜입력!$O:$O,"방문완료")+COUNTIFS(실시간콜입력!$B:$B,$A120,실시간콜입력!$E:$E,"D",실시간콜입력!$H:$H,$B120,실시간콜입력!$O:$O,"방문완료")</f>
        <v>0</v>
      </c>
      <c r="J120" s="29">
        <f>COUNTIFS(실시간콜입력!$B:$B,$A120,실시간콜입력!$E:$E,"E",실시간콜입력!$G:$G,$B120,실시간콜입력!$O:$O,"방문완료")+COUNTIFS(실시간콜입력!$B:$B,$A120,실시간콜입력!$E:$E,"E",실시간콜입력!$H:$H,$B120,실시간콜입력!$O:$O,"방문완료")</f>
        <v>0</v>
      </c>
      <c r="K120" s="29">
        <f t="shared" si="16"/>
        <v>0</v>
      </c>
      <c r="L120" s="33">
        <f>SUMIFS(실시간콜입력!$K:$K,실시간콜입력!$B:$B,$A120,실시간콜입력!$G:$G,$B120,실시간콜입력!$O:$O,"방문완료")+SUMIFS(실시간콜입력!$L:$L,실시간콜입력!$B:$B,$A120,실시간콜입력!$H:$H,$B120,실시간콜입력!$O:$O,"방문완료")</f>
        <v>0</v>
      </c>
      <c r="M120" s="29" t="str">
        <f t="shared" si="17"/>
        <v/>
      </c>
      <c r="N120" s="29"/>
    </row>
    <row r="121" spans="1:14" ht="19.5" hidden="1" customHeight="1" outlineLevel="1">
      <c r="A121" s="24">
        <f>IF(3&lt;=DAY(DATE(YEAR(설정_코스수당!$K$2),MONTH(설정_코스수당!$K$2)+1,0)),DATE(YEAR(설정_코스수당!$K$2),MONTH(설정_코스수당!$K$2),3),"")</f>
        <v>46176</v>
      </c>
      <c r="B121" s="23" t="s">
        <v>173</v>
      </c>
      <c r="C121" s="29"/>
      <c r="D121" s="29"/>
      <c r="E121" s="29" t="str">
        <f t="shared" si="15"/>
        <v/>
      </c>
      <c r="F121" s="29">
        <f>COUNTIFS(실시간콜입력!$B:$B,$A121,실시간콜입력!$E:$E,"A",실시간콜입력!$G:$G,$B121,실시간콜입력!$O:$O,"방문완료")+COUNTIFS(실시간콜입력!$B:$B,$A121,실시간콜입력!$E:$E,"A",실시간콜입력!$H:$H,$B121,실시간콜입력!$O:$O,"방문완료")</f>
        <v>0</v>
      </c>
      <c r="G121" s="29">
        <f>COUNTIFS(실시간콜입력!$B:$B,$A121,실시간콜입력!$E:$E,"B",실시간콜입력!$G:$G,$B121,실시간콜입력!$O:$O,"방문완료")+COUNTIFS(실시간콜입력!$B:$B,$A121,실시간콜입력!$E:$E,"B",실시간콜입력!$H:$H,$B121,실시간콜입력!$O:$O,"방문완료")</f>
        <v>0</v>
      </c>
      <c r="H121" s="29">
        <f>COUNTIFS(실시간콜입력!$B:$B,$A121,실시간콜입력!$E:$E,"C",실시간콜입력!$G:$G,$B121,실시간콜입력!$O:$O,"방문완료")+COUNTIFS(실시간콜입력!$B:$B,$A121,실시간콜입력!$E:$E,"C",실시간콜입력!$H:$H,$B121,실시간콜입력!$O:$O,"방문완료")</f>
        <v>0</v>
      </c>
      <c r="I121" s="29">
        <f>COUNTIFS(실시간콜입력!$B:$B,$A121,실시간콜입력!$E:$E,"D",실시간콜입력!$G:$G,$B121,실시간콜입력!$O:$O,"방문완료")+COUNTIFS(실시간콜입력!$B:$B,$A121,실시간콜입력!$E:$E,"D",실시간콜입력!$H:$H,$B121,실시간콜입력!$O:$O,"방문완료")</f>
        <v>0</v>
      </c>
      <c r="J121" s="29">
        <f>COUNTIFS(실시간콜입력!$B:$B,$A121,실시간콜입력!$E:$E,"E",실시간콜입력!$G:$G,$B121,실시간콜입력!$O:$O,"방문완료")+COUNTIFS(실시간콜입력!$B:$B,$A121,실시간콜입력!$E:$E,"E",실시간콜입력!$H:$H,$B121,실시간콜입력!$O:$O,"방문완료")</f>
        <v>0</v>
      </c>
      <c r="K121" s="29">
        <f t="shared" si="16"/>
        <v>0</v>
      </c>
      <c r="L121" s="27">
        <f>SUMIFS(실시간콜입력!$K:$K,실시간콜입력!$B:$B,$A121,실시간콜입력!$G:$G,$B121,실시간콜입력!$O:$O,"방문완료")+SUMIFS(실시간콜입력!$L:$L,실시간콜입력!$B:$B,$A121,실시간콜입력!$H:$H,$B121,실시간콜입력!$O:$O,"방문완료")</f>
        <v>0</v>
      </c>
      <c r="M121" s="29" t="str">
        <f t="shared" si="17"/>
        <v/>
      </c>
      <c r="N121" s="29"/>
    </row>
    <row r="122" spans="1:14" ht="19.5" hidden="1" customHeight="1" outlineLevel="1">
      <c r="A122" s="30">
        <f>IF(3&lt;=DAY(DATE(YEAR(설정_코스수당!$K$2),MONTH(설정_코스수당!$K$2)+1,0)),DATE(YEAR(설정_코스수당!$K$2),MONTH(설정_코스수당!$K$2),3),"")</f>
        <v>46176</v>
      </c>
      <c r="B122" s="29" t="s">
        <v>174</v>
      </c>
      <c r="C122" s="29"/>
      <c r="D122" s="29"/>
      <c r="E122" s="29" t="str">
        <f t="shared" si="15"/>
        <v/>
      </c>
      <c r="F122" s="29">
        <f>COUNTIFS(실시간콜입력!$B:$B,$A122,실시간콜입력!$E:$E,"A",실시간콜입력!$G:$G,$B122,실시간콜입력!$O:$O,"방문완료")+COUNTIFS(실시간콜입력!$B:$B,$A122,실시간콜입력!$E:$E,"A",실시간콜입력!$H:$H,$B122,실시간콜입력!$O:$O,"방문완료")</f>
        <v>0</v>
      </c>
      <c r="G122" s="29">
        <f>COUNTIFS(실시간콜입력!$B:$B,$A122,실시간콜입력!$E:$E,"B",실시간콜입력!$G:$G,$B122,실시간콜입력!$O:$O,"방문완료")+COUNTIFS(실시간콜입력!$B:$B,$A122,실시간콜입력!$E:$E,"B",실시간콜입력!$H:$H,$B122,실시간콜입력!$O:$O,"방문완료")</f>
        <v>0</v>
      </c>
      <c r="H122" s="29">
        <f>COUNTIFS(실시간콜입력!$B:$B,$A122,실시간콜입력!$E:$E,"C",실시간콜입력!$G:$G,$B122,실시간콜입력!$O:$O,"방문완료")+COUNTIFS(실시간콜입력!$B:$B,$A122,실시간콜입력!$E:$E,"C",실시간콜입력!$H:$H,$B122,실시간콜입력!$O:$O,"방문완료")</f>
        <v>0</v>
      </c>
      <c r="I122" s="29">
        <f>COUNTIFS(실시간콜입력!$B:$B,$A122,실시간콜입력!$E:$E,"D",실시간콜입력!$G:$G,$B122,실시간콜입력!$O:$O,"방문완료")+COUNTIFS(실시간콜입력!$B:$B,$A122,실시간콜입력!$E:$E,"D",실시간콜입력!$H:$H,$B122,실시간콜입력!$O:$O,"방문완료")</f>
        <v>0</v>
      </c>
      <c r="J122" s="29">
        <f>COUNTIFS(실시간콜입력!$B:$B,$A122,실시간콜입력!$E:$E,"E",실시간콜입력!$G:$G,$B122,실시간콜입력!$O:$O,"방문완료")+COUNTIFS(실시간콜입력!$B:$B,$A122,실시간콜입력!$E:$E,"E",실시간콜입력!$H:$H,$B122,실시간콜입력!$O:$O,"방문완료")</f>
        <v>0</v>
      </c>
      <c r="K122" s="29">
        <f t="shared" si="16"/>
        <v>0</v>
      </c>
      <c r="L122" s="33">
        <f>SUMIFS(실시간콜입력!$K:$K,실시간콜입력!$B:$B,$A122,실시간콜입력!$G:$G,$B122,실시간콜입력!$O:$O,"방문완료")+SUMIFS(실시간콜입력!$L:$L,실시간콜입력!$B:$B,$A122,실시간콜입력!$H:$H,$B122,실시간콜입력!$O:$O,"방문완료")</f>
        <v>0</v>
      </c>
      <c r="M122" s="29" t="str">
        <f t="shared" si="17"/>
        <v/>
      </c>
      <c r="N122" s="29"/>
    </row>
    <row r="123" spans="1:14" ht="19.5" hidden="1" customHeight="1" outlineLevel="1">
      <c r="A123" s="24">
        <f>IF(3&lt;=DAY(DATE(YEAR(설정_코스수당!$K$2),MONTH(설정_코스수당!$K$2)+1,0)),DATE(YEAR(설정_코스수당!$K$2),MONTH(설정_코스수당!$K$2),3),"")</f>
        <v>46176</v>
      </c>
      <c r="B123" s="23" t="s">
        <v>175</v>
      </c>
      <c r="C123" s="29"/>
      <c r="D123" s="29"/>
      <c r="E123" s="29" t="str">
        <f t="shared" si="15"/>
        <v/>
      </c>
      <c r="F123" s="29">
        <f>COUNTIFS(실시간콜입력!$B:$B,$A123,실시간콜입력!$E:$E,"A",실시간콜입력!$G:$G,$B123,실시간콜입력!$O:$O,"방문완료")+COUNTIFS(실시간콜입력!$B:$B,$A123,실시간콜입력!$E:$E,"A",실시간콜입력!$H:$H,$B123,실시간콜입력!$O:$O,"방문완료")</f>
        <v>0</v>
      </c>
      <c r="G123" s="29">
        <f>COUNTIFS(실시간콜입력!$B:$B,$A123,실시간콜입력!$E:$E,"B",실시간콜입력!$G:$G,$B123,실시간콜입력!$O:$O,"방문완료")+COUNTIFS(실시간콜입력!$B:$B,$A123,실시간콜입력!$E:$E,"B",실시간콜입력!$H:$H,$B123,실시간콜입력!$O:$O,"방문완료")</f>
        <v>0</v>
      </c>
      <c r="H123" s="29">
        <f>COUNTIFS(실시간콜입력!$B:$B,$A123,실시간콜입력!$E:$E,"C",실시간콜입력!$G:$G,$B123,실시간콜입력!$O:$O,"방문완료")+COUNTIFS(실시간콜입력!$B:$B,$A123,실시간콜입력!$E:$E,"C",실시간콜입력!$H:$H,$B123,실시간콜입력!$O:$O,"방문완료")</f>
        <v>0</v>
      </c>
      <c r="I123" s="29">
        <f>COUNTIFS(실시간콜입력!$B:$B,$A123,실시간콜입력!$E:$E,"D",실시간콜입력!$G:$G,$B123,실시간콜입력!$O:$O,"방문완료")+COUNTIFS(실시간콜입력!$B:$B,$A123,실시간콜입력!$E:$E,"D",실시간콜입력!$H:$H,$B123,실시간콜입력!$O:$O,"방문완료")</f>
        <v>0</v>
      </c>
      <c r="J123" s="29">
        <f>COUNTIFS(실시간콜입력!$B:$B,$A123,실시간콜입력!$E:$E,"E",실시간콜입력!$G:$G,$B123,실시간콜입력!$O:$O,"방문완료")+COUNTIFS(실시간콜입력!$B:$B,$A123,실시간콜입력!$E:$E,"E",실시간콜입력!$H:$H,$B123,실시간콜입력!$O:$O,"방문완료")</f>
        <v>0</v>
      </c>
      <c r="K123" s="29">
        <f t="shared" si="16"/>
        <v>0</v>
      </c>
      <c r="L123" s="27">
        <f>SUMIFS(실시간콜입력!$K:$K,실시간콜입력!$B:$B,$A123,실시간콜입력!$G:$G,$B123,실시간콜입력!$O:$O,"방문완료")+SUMIFS(실시간콜입력!$L:$L,실시간콜입력!$B:$B,$A123,실시간콜입력!$H:$H,$B123,실시간콜입력!$O:$O,"방문완료")</f>
        <v>0</v>
      </c>
      <c r="M123" s="29" t="str">
        <f t="shared" si="17"/>
        <v/>
      </c>
      <c r="N123" s="29"/>
    </row>
    <row r="124" spans="1:14" ht="19.5" hidden="1" customHeight="1" outlineLevel="1">
      <c r="A124" s="30">
        <f>IF(3&lt;=DAY(DATE(YEAR(설정_코스수당!$K$2),MONTH(설정_코스수당!$K$2)+1,0)),DATE(YEAR(설정_코스수당!$K$2),MONTH(설정_코스수당!$K$2),3),"")</f>
        <v>46176</v>
      </c>
      <c r="B124" s="29" t="s">
        <v>176</v>
      </c>
      <c r="C124" s="29"/>
      <c r="D124" s="29"/>
      <c r="E124" s="29" t="str">
        <f t="shared" si="15"/>
        <v/>
      </c>
      <c r="F124" s="29">
        <f>COUNTIFS(실시간콜입력!$B:$B,$A124,실시간콜입력!$E:$E,"A",실시간콜입력!$G:$G,$B124,실시간콜입력!$O:$O,"방문완료")+COUNTIFS(실시간콜입력!$B:$B,$A124,실시간콜입력!$E:$E,"A",실시간콜입력!$H:$H,$B124,실시간콜입력!$O:$O,"방문완료")</f>
        <v>0</v>
      </c>
      <c r="G124" s="29">
        <f>COUNTIFS(실시간콜입력!$B:$B,$A124,실시간콜입력!$E:$E,"B",실시간콜입력!$G:$G,$B124,실시간콜입력!$O:$O,"방문완료")+COUNTIFS(실시간콜입력!$B:$B,$A124,실시간콜입력!$E:$E,"B",실시간콜입력!$H:$H,$B124,실시간콜입력!$O:$O,"방문완료")</f>
        <v>0</v>
      </c>
      <c r="H124" s="29">
        <f>COUNTIFS(실시간콜입력!$B:$B,$A124,실시간콜입력!$E:$E,"C",실시간콜입력!$G:$G,$B124,실시간콜입력!$O:$O,"방문완료")+COUNTIFS(실시간콜입력!$B:$B,$A124,실시간콜입력!$E:$E,"C",실시간콜입력!$H:$H,$B124,실시간콜입력!$O:$O,"방문완료")</f>
        <v>0</v>
      </c>
      <c r="I124" s="29">
        <f>COUNTIFS(실시간콜입력!$B:$B,$A124,실시간콜입력!$E:$E,"D",실시간콜입력!$G:$G,$B124,실시간콜입력!$O:$O,"방문완료")+COUNTIFS(실시간콜입력!$B:$B,$A124,실시간콜입력!$E:$E,"D",실시간콜입력!$H:$H,$B124,실시간콜입력!$O:$O,"방문완료")</f>
        <v>0</v>
      </c>
      <c r="J124" s="29">
        <f>COUNTIFS(실시간콜입력!$B:$B,$A124,실시간콜입력!$E:$E,"E",실시간콜입력!$G:$G,$B124,실시간콜입력!$O:$O,"방문완료")+COUNTIFS(실시간콜입력!$B:$B,$A124,실시간콜입력!$E:$E,"E",실시간콜입력!$H:$H,$B124,실시간콜입력!$O:$O,"방문완료")</f>
        <v>0</v>
      </c>
      <c r="K124" s="29">
        <f t="shared" si="16"/>
        <v>0</v>
      </c>
      <c r="L124" s="33">
        <f>SUMIFS(실시간콜입력!$K:$K,실시간콜입력!$B:$B,$A124,실시간콜입력!$G:$G,$B124,실시간콜입력!$O:$O,"방문완료")+SUMIFS(실시간콜입력!$L:$L,실시간콜입력!$B:$B,$A124,실시간콜입력!$H:$H,$B124,실시간콜입력!$O:$O,"방문완료")</f>
        <v>0</v>
      </c>
      <c r="M124" s="29" t="str">
        <f t="shared" si="17"/>
        <v/>
      </c>
      <c r="N124" s="29"/>
    </row>
    <row r="125" spans="1:14" ht="19.5" hidden="1" customHeight="1" outlineLevel="1">
      <c r="A125" s="24">
        <f>IF(3&lt;=DAY(DATE(YEAR(설정_코스수당!$K$2),MONTH(설정_코스수당!$K$2)+1,0)),DATE(YEAR(설정_코스수당!$K$2),MONTH(설정_코스수당!$K$2),3),"")</f>
        <v>46176</v>
      </c>
      <c r="B125" s="23" t="s">
        <v>177</v>
      </c>
      <c r="C125" s="29"/>
      <c r="D125" s="29"/>
      <c r="E125" s="29" t="str">
        <f t="shared" si="15"/>
        <v/>
      </c>
      <c r="F125" s="29">
        <f>COUNTIFS(실시간콜입력!$B:$B,$A125,실시간콜입력!$E:$E,"A",실시간콜입력!$G:$G,$B125,실시간콜입력!$O:$O,"방문완료")+COUNTIFS(실시간콜입력!$B:$B,$A125,실시간콜입력!$E:$E,"A",실시간콜입력!$H:$H,$B125,실시간콜입력!$O:$O,"방문완료")</f>
        <v>0</v>
      </c>
      <c r="G125" s="29">
        <f>COUNTIFS(실시간콜입력!$B:$B,$A125,실시간콜입력!$E:$E,"B",실시간콜입력!$G:$G,$B125,실시간콜입력!$O:$O,"방문완료")+COUNTIFS(실시간콜입력!$B:$B,$A125,실시간콜입력!$E:$E,"B",실시간콜입력!$H:$H,$B125,실시간콜입력!$O:$O,"방문완료")</f>
        <v>0</v>
      </c>
      <c r="H125" s="29">
        <f>COUNTIFS(실시간콜입력!$B:$B,$A125,실시간콜입력!$E:$E,"C",실시간콜입력!$G:$G,$B125,실시간콜입력!$O:$O,"방문완료")+COUNTIFS(실시간콜입력!$B:$B,$A125,실시간콜입력!$E:$E,"C",실시간콜입력!$H:$H,$B125,실시간콜입력!$O:$O,"방문완료")</f>
        <v>0</v>
      </c>
      <c r="I125" s="29">
        <f>COUNTIFS(실시간콜입력!$B:$B,$A125,실시간콜입력!$E:$E,"D",실시간콜입력!$G:$G,$B125,실시간콜입력!$O:$O,"방문완료")+COUNTIFS(실시간콜입력!$B:$B,$A125,실시간콜입력!$E:$E,"D",실시간콜입력!$H:$H,$B125,실시간콜입력!$O:$O,"방문완료")</f>
        <v>0</v>
      </c>
      <c r="J125" s="29">
        <f>COUNTIFS(실시간콜입력!$B:$B,$A125,실시간콜입력!$E:$E,"E",실시간콜입력!$G:$G,$B125,실시간콜입력!$O:$O,"방문완료")+COUNTIFS(실시간콜입력!$B:$B,$A125,실시간콜입력!$E:$E,"E",실시간콜입력!$H:$H,$B125,실시간콜입력!$O:$O,"방문완료")</f>
        <v>0</v>
      </c>
      <c r="K125" s="29">
        <f t="shared" si="16"/>
        <v>0</v>
      </c>
      <c r="L125" s="27">
        <f>SUMIFS(실시간콜입력!$K:$K,실시간콜입력!$B:$B,$A125,실시간콜입력!$G:$G,$B125,실시간콜입력!$O:$O,"방문완료")+SUMIFS(실시간콜입력!$L:$L,실시간콜입력!$B:$B,$A125,실시간콜입력!$H:$H,$B125,실시간콜입력!$O:$O,"방문완료")</f>
        <v>0</v>
      </c>
      <c r="M125" s="29" t="str">
        <f t="shared" si="17"/>
        <v/>
      </c>
      <c r="N125" s="29"/>
    </row>
    <row r="126" spans="1:14" ht="19.5" hidden="1" customHeight="1" outlineLevel="1">
      <c r="A126" s="30">
        <f>IF(3&lt;=DAY(DATE(YEAR(설정_코스수당!$K$2),MONTH(설정_코스수당!$K$2)+1,0)),DATE(YEAR(설정_코스수당!$K$2),MONTH(설정_코스수당!$K$2),3),"")</f>
        <v>46176</v>
      </c>
      <c r="B126" s="29" t="s">
        <v>178</v>
      </c>
      <c r="C126" s="29"/>
      <c r="D126" s="29"/>
      <c r="E126" s="29" t="str">
        <f t="shared" si="15"/>
        <v/>
      </c>
      <c r="F126" s="29">
        <f>COUNTIFS(실시간콜입력!$B:$B,$A126,실시간콜입력!$E:$E,"A",실시간콜입력!$G:$G,$B126,실시간콜입력!$O:$O,"방문완료")+COUNTIFS(실시간콜입력!$B:$B,$A126,실시간콜입력!$E:$E,"A",실시간콜입력!$H:$H,$B126,실시간콜입력!$O:$O,"방문완료")</f>
        <v>0</v>
      </c>
      <c r="G126" s="29">
        <f>COUNTIFS(실시간콜입력!$B:$B,$A126,실시간콜입력!$E:$E,"B",실시간콜입력!$G:$G,$B126,실시간콜입력!$O:$O,"방문완료")+COUNTIFS(실시간콜입력!$B:$B,$A126,실시간콜입력!$E:$E,"B",실시간콜입력!$H:$H,$B126,실시간콜입력!$O:$O,"방문완료")</f>
        <v>0</v>
      </c>
      <c r="H126" s="29">
        <f>COUNTIFS(실시간콜입력!$B:$B,$A126,실시간콜입력!$E:$E,"C",실시간콜입력!$G:$G,$B126,실시간콜입력!$O:$O,"방문완료")+COUNTIFS(실시간콜입력!$B:$B,$A126,실시간콜입력!$E:$E,"C",실시간콜입력!$H:$H,$B126,실시간콜입력!$O:$O,"방문완료")</f>
        <v>0</v>
      </c>
      <c r="I126" s="29">
        <f>COUNTIFS(실시간콜입력!$B:$B,$A126,실시간콜입력!$E:$E,"D",실시간콜입력!$G:$G,$B126,실시간콜입력!$O:$O,"방문완료")+COUNTIFS(실시간콜입력!$B:$B,$A126,실시간콜입력!$E:$E,"D",실시간콜입력!$H:$H,$B126,실시간콜입력!$O:$O,"방문완료")</f>
        <v>0</v>
      </c>
      <c r="J126" s="29">
        <f>COUNTIFS(실시간콜입력!$B:$B,$A126,실시간콜입력!$E:$E,"E",실시간콜입력!$G:$G,$B126,실시간콜입력!$O:$O,"방문완료")+COUNTIFS(실시간콜입력!$B:$B,$A126,실시간콜입력!$E:$E,"E",실시간콜입력!$H:$H,$B126,실시간콜입력!$O:$O,"방문완료")</f>
        <v>0</v>
      </c>
      <c r="K126" s="29">
        <f t="shared" si="16"/>
        <v>0</v>
      </c>
      <c r="L126" s="33">
        <f>SUMIFS(실시간콜입력!$K:$K,실시간콜입력!$B:$B,$A126,실시간콜입력!$G:$G,$B126,실시간콜입력!$O:$O,"방문완료")+SUMIFS(실시간콜입력!$L:$L,실시간콜입력!$B:$B,$A126,실시간콜입력!$H:$H,$B126,실시간콜입력!$O:$O,"방문완료")</f>
        <v>0</v>
      </c>
      <c r="M126" s="29" t="str">
        <f t="shared" si="17"/>
        <v/>
      </c>
      <c r="N126" s="29"/>
    </row>
    <row r="127" spans="1:14" ht="19.5" hidden="1" customHeight="1" outlineLevel="1">
      <c r="A127" s="24">
        <f>IF(3&lt;=DAY(DATE(YEAR(설정_코스수당!$K$2),MONTH(설정_코스수당!$K$2)+1,0)),DATE(YEAR(설정_코스수당!$K$2),MONTH(설정_코스수당!$K$2),3),"")</f>
        <v>46176</v>
      </c>
      <c r="B127" s="23" t="s">
        <v>179</v>
      </c>
      <c r="C127" s="29"/>
      <c r="D127" s="29"/>
      <c r="E127" s="29" t="str">
        <f t="shared" si="15"/>
        <v/>
      </c>
      <c r="F127" s="29">
        <f>COUNTIFS(실시간콜입력!$B:$B,$A127,실시간콜입력!$E:$E,"A",실시간콜입력!$G:$G,$B127,실시간콜입력!$O:$O,"방문완료")+COUNTIFS(실시간콜입력!$B:$B,$A127,실시간콜입력!$E:$E,"A",실시간콜입력!$H:$H,$B127,실시간콜입력!$O:$O,"방문완료")</f>
        <v>0</v>
      </c>
      <c r="G127" s="29">
        <f>COUNTIFS(실시간콜입력!$B:$B,$A127,실시간콜입력!$E:$E,"B",실시간콜입력!$G:$G,$B127,실시간콜입력!$O:$O,"방문완료")+COUNTIFS(실시간콜입력!$B:$B,$A127,실시간콜입력!$E:$E,"B",실시간콜입력!$H:$H,$B127,실시간콜입력!$O:$O,"방문완료")</f>
        <v>0</v>
      </c>
      <c r="H127" s="29">
        <f>COUNTIFS(실시간콜입력!$B:$B,$A127,실시간콜입력!$E:$E,"C",실시간콜입력!$G:$G,$B127,실시간콜입력!$O:$O,"방문완료")+COUNTIFS(실시간콜입력!$B:$B,$A127,실시간콜입력!$E:$E,"C",실시간콜입력!$H:$H,$B127,실시간콜입력!$O:$O,"방문완료")</f>
        <v>0</v>
      </c>
      <c r="I127" s="29">
        <f>COUNTIFS(실시간콜입력!$B:$B,$A127,실시간콜입력!$E:$E,"D",실시간콜입력!$G:$G,$B127,실시간콜입력!$O:$O,"방문완료")+COUNTIFS(실시간콜입력!$B:$B,$A127,실시간콜입력!$E:$E,"D",실시간콜입력!$H:$H,$B127,실시간콜입력!$O:$O,"방문완료")</f>
        <v>0</v>
      </c>
      <c r="J127" s="29">
        <f>COUNTIFS(실시간콜입력!$B:$B,$A127,실시간콜입력!$E:$E,"E",실시간콜입력!$G:$G,$B127,실시간콜입력!$O:$O,"방문완료")+COUNTIFS(실시간콜입력!$B:$B,$A127,실시간콜입력!$E:$E,"E",실시간콜입력!$H:$H,$B127,실시간콜입력!$O:$O,"방문완료")</f>
        <v>0</v>
      </c>
      <c r="K127" s="29">
        <f t="shared" si="16"/>
        <v>0</v>
      </c>
      <c r="L127" s="27">
        <f>SUMIFS(실시간콜입력!$K:$K,실시간콜입력!$B:$B,$A127,실시간콜입력!$G:$G,$B127,실시간콜입력!$O:$O,"방문완료")+SUMIFS(실시간콜입력!$L:$L,실시간콜입력!$B:$B,$A127,실시간콜입력!$H:$H,$B127,실시간콜입력!$O:$O,"방문완료")</f>
        <v>0</v>
      </c>
      <c r="M127" s="29" t="str">
        <f t="shared" si="17"/>
        <v/>
      </c>
      <c r="N127" s="29"/>
    </row>
    <row r="128" spans="1:14" ht="19.5" hidden="1" customHeight="1" outlineLevel="1">
      <c r="A128" s="30">
        <f>IF(3&lt;=DAY(DATE(YEAR(설정_코스수당!$K$2),MONTH(설정_코스수당!$K$2)+1,0)),DATE(YEAR(설정_코스수당!$K$2),MONTH(설정_코스수당!$K$2),3),"")</f>
        <v>46176</v>
      </c>
      <c r="B128" s="29" t="s">
        <v>180</v>
      </c>
      <c r="C128" s="29"/>
      <c r="D128" s="29"/>
      <c r="E128" s="29" t="str">
        <f t="shared" si="15"/>
        <v/>
      </c>
      <c r="F128" s="29">
        <f>COUNTIFS(실시간콜입력!$B:$B,$A128,실시간콜입력!$E:$E,"A",실시간콜입력!$G:$G,$B128,실시간콜입력!$O:$O,"방문완료")+COUNTIFS(실시간콜입력!$B:$B,$A128,실시간콜입력!$E:$E,"A",실시간콜입력!$H:$H,$B128,실시간콜입력!$O:$O,"방문완료")</f>
        <v>0</v>
      </c>
      <c r="G128" s="29">
        <f>COUNTIFS(실시간콜입력!$B:$B,$A128,실시간콜입력!$E:$E,"B",실시간콜입력!$G:$G,$B128,실시간콜입력!$O:$O,"방문완료")+COUNTIFS(실시간콜입력!$B:$B,$A128,실시간콜입력!$E:$E,"B",실시간콜입력!$H:$H,$B128,실시간콜입력!$O:$O,"방문완료")</f>
        <v>0</v>
      </c>
      <c r="H128" s="29">
        <f>COUNTIFS(실시간콜입력!$B:$B,$A128,실시간콜입력!$E:$E,"C",실시간콜입력!$G:$G,$B128,실시간콜입력!$O:$O,"방문완료")+COUNTIFS(실시간콜입력!$B:$B,$A128,실시간콜입력!$E:$E,"C",실시간콜입력!$H:$H,$B128,실시간콜입력!$O:$O,"방문완료")</f>
        <v>0</v>
      </c>
      <c r="I128" s="29">
        <f>COUNTIFS(실시간콜입력!$B:$B,$A128,실시간콜입력!$E:$E,"D",실시간콜입력!$G:$G,$B128,실시간콜입력!$O:$O,"방문완료")+COUNTIFS(실시간콜입력!$B:$B,$A128,실시간콜입력!$E:$E,"D",실시간콜입력!$H:$H,$B128,실시간콜입력!$O:$O,"방문완료")</f>
        <v>0</v>
      </c>
      <c r="J128" s="29">
        <f>COUNTIFS(실시간콜입력!$B:$B,$A128,실시간콜입력!$E:$E,"E",실시간콜입력!$G:$G,$B128,실시간콜입력!$O:$O,"방문완료")+COUNTIFS(실시간콜입력!$B:$B,$A128,실시간콜입력!$E:$E,"E",실시간콜입력!$H:$H,$B128,실시간콜입력!$O:$O,"방문완료")</f>
        <v>0</v>
      </c>
      <c r="K128" s="29">
        <f t="shared" si="16"/>
        <v>0</v>
      </c>
      <c r="L128" s="33">
        <f>SUMIFS(실시간콜입력!$K:$K,실시간콜입력!$B:$B,$A128,실시간콜입력!$G:$G,$B128,실시간콜입력!$O:$O,"방문완료")+SUMIFS(실시간콜입력!$L:$L,실시간콜입력!$B:$B,$A128,실시간콜입력!$H:$H,$B128,실시간콜입력!$O:$O,"방문완료")</f>
        <v>0</v>
      </c>
      <c r="M128" s="29" t="str">
        <f t="shared" si="17"/>
        <v/>
      </c>
      <c r="N128" s="29"/>
    </row>
    <row r="129" spans="1:14" ht="19.5" hidden="1" customHeight="1" outlineLevel="1">
      <c r="A129" s="24">
        <f>IF(3&lt;=DAY(DATE(YEAR(설정_코스수당!$K$2),MONTH(설정_코스수당!$K$2)+1,0)),DATE(YEAR(설정_코스수당!$K$2),MONTH(설정_코스수당!$K$2),3),"")</f>
        <v>46176</v>
      </c>
      <c r="B129" s="23" t="s">
        <v>181</v>
      </c>
      <c r="C129" s="29"/>
      <c r="D129" s="29"/>
      <c r="E129" s="29" t="str">
        <f t="shared" si="15"/>
        <v/>
      </c>
      <c r="F129" s="29">
        <f>COUNTIFS(실시간콜입력!$B:$B,$A129,실시간콜입력!$E:$E,"A",실시간콜입력!$G:$G,$B129,실시간콜입력!$O:$O,"방문완료")+COUNTIFS(실시간콜입력!$B:$B,$A129,실시간콜입력!$E:$E,"A",실시간콜입력!$H:$H,$B129,실시간콜입력!$O:$O,"방문완료")</f>
        <v>0</v>
      </c>
      <c r="G129" s="29">
        <f>COUNTIFS(실시간콜입력!$B:$B,$A129,실시간콜입력!$E:$E,"B",실시간콜입력!$G:$G,$B129,실시간콜입력!$O:$O,"방문완료")+COUNTIFS(실시간콜입력!$B:$B,$A129,실시간콜입력!$E:$E,"B",실시간콜입력!$H:$H,$B129,실시간콜입력!$O:$O,"방문완료")</f>
        <v>0</v>
      </c>
      <c r="H129" s="29">
        <f>COUNTIFS(실시간콜입력!$B:$B,$A129,실시간콜입력!$E:$E,"C",실시간콜입력!$G:$G,$B129,실시간콜입력!$O:$O,"방문완료")+COUNTIFS(실시간콜입력!$B:$B,$A129,실시간콜입력!$E:$E,"C",실시간콜입력!$H:$H,$B129,실시간콜입력!$O:$O,"방문완료")</f>
        <v>0</v>
      </c>
      <c r="I129" s="29">
        <f>COUNTIFS(실시간콜입력!$B:$B,$A129,실시간콜입력!$E:$E,"D",실시간콜입력!$G:$G,$B129,실시간콜입력!$O:$O,"방문완료")+COUNTIFS(실시간콜입력!$B:$B,$A129,실시간콜입력!$E:$E,"D",실시간콜입력!$H:$H,$B129,실시간콜입력!$O:$O,"방문완료")</f>
        <v>0</v>
      </c>
      <c r="J129" s="29">
        <f>COUNTIFS(실시간콜입력!$B:$B,$A129,실시간콜입력!$E:$E,"E",실시간콜입력!$G:$G,$B129,실시간콜입력!$O:$O,"방문완료")+COUNTIFS(실시간콜입력!$B:$B,$A129,실시간콜입력!$E:$E,"E",실시간콜입력!$H:$H,$B129,실시간콜입력!$O:$O,"방문완료")</f>
        <v>0</v>
      </c>
      <c r="K129" s="29">
        <f t="shared" si="16"/>
        <v>0</v>
      </c>
      <c r="L129" s="27">
        <f>SUMIFS(실시간콜입력!$K:$K,실시간콜입력!$B:$B,$A129,실시간콜입력!$G:$G,$B129,실시간콜입력!$O:$O,"방문완료")+SUMIFS(실시간콜입력!$L:$L,실시간콜입력!$B:$B,$A129,실시간콜입력!$H:$H,$B129,실시간콜입력!$O:$O,"방문완료")</f>
        <v>0</v>
      </c>
      <c r="M129" s="29" t="str">
        <f t="shared" si="17"/>
        <v/>
      </c>
      <c r="N129" s="29"/>
    </row>
    <row r="130" spans="1:14" ht="19.5" hidden="1" customHeight="1" outlineLevel="1">
      <c r="A130" s="30">
        <f>IF(3&lt;=DAY(DATE(YEAR(설정_코스수당!$K$2),MONTH(설정_코스수당!$K$2)+1,0)),DATE(YEAR(설정_코스수당!$K$2),MONTH(설정_코스수당!$K$2),3),"")</f>
        <v>46176</v>
      </c>
      <c r="B130" s="29" t="s">
        <v>182</v>
      </c>
      <c r="C130" s="29"/>
      <c r="D130" s="29"/>
      <c r="E130" s="29" t="str">
        <f t="shared" si="15"/>
        <v/>
      </c>
      <c r="F130" s="29">
        <f>COUNTIFS(실시간콜입력!$B:$B,$A130,실시간콜입력!$E:$E,"A",실시간콜입력!$G:$G,$B130,실시간콜입력!$O:$O,"방문완료")+COUNTIFS(실시간콜입력!$B:$B,$A130,실시간콜입력!$E:$E,"A",실시간콜입력!$H:$H,$B130,실시간콜입력!$O:$O,"방문완료")</f>
        <v>0</v>
      </c>
      <c r="G130" s="29">
        <f>COUNTIFS(실시간콜입력!$B:$B,$A130,실시간콜입력!$E:$E,"B",실시간콜입력!$G:$G,$B130,실시간콜입력!$O:$O,"방문완료")+COUNTIFS(실시간콜입력!$B:$B,$A130,실시간콜입력!$E:$E,"B",실시간콜입력!$H:$H,$B130,실시간콜입력!$O:$O,"방문완료")</f>
        <v>0</v>
      </c>
      <c r="H130" s="29">
        <f>COUNTIFS(실시간콜입력!$B:$B,$A130,실시간콜입력!$E:$E,"C",실시간콜입력!$G:$G,$B130,실시간콜입력!$O:$O,"방문완료")+COUNTIFS(실시간콜입력!$B:$B,$A130,실시간콜입력!$E:$E,"C",실시간콜입력!$H:$H,$B130,실시간콜입력!$O:$O,"방문완료")</f>
        <v>0</v>
      </c>
      <c r="I130" s="29">
        <f>COUNTIFS(실시간콜입력!$B:$B,$A130,실시간콜입력!$E:$E,"D",실시간콜입력!$G:$G,$B130,실시간콜입력!$O:$O,"방문완료")+COUNTIFS(실시간콜입력!$B:$B,$A130,실시간콜입력!$E:$E,"D",실시간콜입력!$H:$H,$B130,실시간콜입력!$O:$O,"방문완료")</f>
        <v>0</v>
      </c>
      <c r="J130" s="29">
        <f>COUNTIFS(실시간콜입력!$B:$B,$A130,실시간콜입력!$E:$E,"E",실시간콜입력!$G:$G,$B130,실시간콜입력!$O:$O,"방문완료")+COUNTIFS(실시간콜입력!$B:$B,$A130,실시간콜입력!$E:$E,"E",실시간콜입력!$H:$H,$B130,실시간콜입력!$O:$O,"방문완료")</f>
        <v>0</v>
      </c>
      <c r="K130" s="29">
        <f t="shared" si="16"/>
        <v>0</v>
      </c>
      <c r="L130" s="33">
        <f>SUMIFS(실시간콜입력!$K:$K,실시간콜입력!$B:$B,$A130,실시간콜입력!$G:$G,$B130,실시간콜입력!$O:$O,"방문완료")+SUMIFS(실시간콜입력!$L:$L,실시간콜입력!$B:$B,$A130,실시간콜입력!$H:$H,$B130,실시간콜입력!$O:$O,"방문완료")</f>
        <v>0</v>
      </c>
      <c r="M130" s="29" t="str">
        <f t="shared" si="17"/>
        <v/>
      </c>
      <c r="N130" s="29"/>
    </row>
    <row r="131" spans="1:14" ht="19.5" hidden="1" customHeight="1" outlineLevel="1">
      <c r="A131" s="24">
        <f>IF(3&lt;=DAY(DATE(YEAR(설정_코스수당!$K$2),MONTH(설정_코스수당!$K$2)+1,0)),DATE(YEAR(설정_코스수당!$K$2),MONTH(설정_코스수당!$K$2),3),"")</f>
        <v>46176</v>
      </c>
      <c r="B131" s="23" t="s">
        <v>183</v>
      </c>
      <c r="C131" s="29"/>
      <c r="D131" s="29"/>
      <c r="E131" s="29" t="str">
        <f t="shared" si="15"/>
        <v/>
      </c>
      <c r="F131" s="29">
        <f>COUNTIFS(실시간콜입력!$B:$B,$A131,실시간콜입력!$E:$E,"A",실시간콜입력!$G:$G,$B131,실시간콜입력!$O:$O,"방문완료")+COUNTIFS(실시간콜입력!$B:$B,$A131,실시간콜입력!$E:$E,"A",실시간콜입력!$H:$H,$B131,실시간콜입력!$O:$O,"방문완료")</f>
        <v>0</v>
      </c>
      <c r="G131" s="29">
        <f>COUNTIFS(실시간콜입력!$B:$B,$A131,실시간콜입력!$E:$E,"B",실시간콜입력!$G:$G,$B131,실시간콜입력!$O:$O,"방문완료")+COUNTIFS(실시간콜입력!$B:$B,$A131,실시간콜입력!$E:$E,"B",실시간콜입력!$H:$H,$B131,실시간콜입력!$O:$O,"방문완료")</f>
        <v>0</v>
      </c>
      <c r="H131" s="29">
        <f>COUNTIFS(실시간콜입력!$B:$B,$A131,실시간콜입력!$E:$E,"C",실시간콜입력!$G:$G,$B131,실시간콜입력!$O:$O,"방문완료")+COUNTIFS(실시간콜입력!$B:$B,$A131,실시간콜입력!$E:$E,"C",실시간콜입력!$H:$H,$B131,실시간콜입력!$O:$O,"방문완료")</f>
        <v>0</v>
      </c>
      <c r="I131" s="29">
        <f>COUNTIFS(실시간콜입력!$B:$B,$A131,실시간콜입력!$E:$E,"D",실시간콜입력!$G:$G,$B131,실시간콜입력!$O:$O,"방문완료")+COUNTIFS(실시간콜입력!$B:$B,$A131,실시간콜입력!$E:$E,"D",실시간콜입력!$H:$H,$B131,실시간콜입력!$O:$O,"방문완료")</f>
        <v>0</v>
      </c>
      <c r="J131" s="29">
        <f>COUNTIFS(실시간콜입력!$B:$B,$A131,실시간콜입력!$E:$E,"E",실시간콜입력!$G:$G,$B131,실시간콜입력!$O:$O,"방문완료")+COUNTIFS(실시간콜입력!$B:$B,$A131,실시간콜입력!$E:$E,"E",실시간콜입력!$H:$H,$B131,실시간콜입력!$O:$O,"방문완료")</f>
        <v>0</v>
      </c>
      <c r="K131" s="29">
        <f t="shared" si="16"/>
        <v>0</v>
      </c>
      <c r="L131" s="27">
        <f>SUMIFS(실시간콜입력!$K:$K,실시간콜입력!$B:$B,$A131,실시간콜입력!$G:$G,$B131,실시간콜입력!$O:$O,"방문완료")+SUMIFS(실시간콜입력!$L:$L,실시간콜입력!$B:$B,$A131,실시간콜입력!$H:$H,$B131,실시간콜입력!$O:$O,"방문완료")</f>
        <v>0</v>
      </c>
      <c r="M131" s="29" t="str">
        <f t="shared" si="17"/>
        <v/>
      </c>
      <c r="N131" s="29"/>
    </row>
    <row r="132" spans="1:14" ht="19.5" hidden="1" customHeight="1" outlineLevel="1">
      <c r="A132" s="30">
        <f>IF(3&lt;=DAY(DATE(YEAR(설정_코스수당!$K$2),MONTH(설정_코스수당!$K$2)+1,0)),DATE(YEAR(설정_코스수당!$K$2),MONTH(설정_코스수당!$K$2),3),"")</f>
        <v>46176</v>
      </c>
      <c r="B132" s="29" t="s">
        <v>184</v>
      </c>
      <c r="C132" s="29"/>
      <c r="D132" s="29"/>
      <c r="E132" s="29" t="str">
        <f t="shared" si="15"/>
        <v/>
      </c>
      <c r="F132" s="29">
        <f>COUNTIFS(실시간콜입력!$B:$B,$A132,실시간콜입력!$E:$E,"A",실시간콜입력!$G:$G,$B132,실시간콜입력!$O:$O,"방문완료")+COUNTIFS(실시간콜입력!$B:$B,$A132,실시간콜입력!$E:$E,"A",실시간콜입력!$H:$H,$B132,실시간콜입력!$O:$O,"방문완료")</f>
        <v>0</v>
      </c>
      <c r="G132" s="29">
        <f>COUNTIFS(실시간콜입력!$B:$B,$A132,실시간콜입력!$E:$E,"B",실시간콜입력!$G:$G,$B132,실시간콜입력!$O:$O,"방문완료")+COUNTIFS(실시간콜입력!$B:$B,$A132,실시간콜입력!$E:$E,"B",실시간콜입력!$H:$H,$B132,실시간콜입력!$O:$O,"방문완료")</f>
        <v>0</v>
      </c>
      <c r="H132" s="29">
        <f>COUNTIFS(실시간콜입력!$B:$B,$A132,실시간콜입력!$E:$E,"C",실시간콜입력!$G:$G,$B132,실시간콜입력!$O:$O,"방문완료")+COUNTIFS(실시간콜입력!$B:$B,$A132,실시간콜입력!$E:$E,"C",실시간콜입력!$H:$H,$B132,실시간콜입력!$O:$O,"방문완료")</f>
        <v>0</v>
      </c>
      <c r="I132" s="29">
        <f>COUNTIFS(실시간콜입력!$B:$B,$A132,실시간콜입력!$E:$E,"D",실시간콜입력!$G:$G,$B132,실시간콜입력!$O:$O,"방문완료")+COUNTIFS(실시간콜입력!$B:$B,$A132,실시간콜입력!$E:$E,"D",실시간콜입력!$H:$H,$B132,실시간콜입력!$O:$O,"방문완료")</f>
        <v>0</v>
      </c>
      <c r="J132" s="29">
        <f>COUNTIFS(실시간콜입력!$B:$B,$A132,실시간콜입력!$E:$E,"E",실시간콜입력!$G:$G,$B132,실시간콜입력!$O:$O,"방문완료")+COUNTIFS(실시간콜입력!$B:$B,$A132,실시간콜입력!$E:$E,"E",실시간콜입력!$H:$H,$B132,실시간콜입력!$O:$O,"방문완료")</f>
        <v>0</v>
      </c>
      <c r="K132" s="29">
        <f t="shared" si="16"/>
        <v>0</v>
      </c>
      <c r="L132" s="33">
        <f>SUMIFS(실시간콜입력!$K:$K,실시간콜입력!$B:$B,$A132,실시간콜입력!$G:$G,$B132,실시간콜입력!$O:$O,"방문완료")+SUMIFS(실시간콜입력!$L:$L,실시간콜입력!$B:$B,$A132,실시간콜입력!$H:$H,$B132,실시간콜입력!$O:$O,"방문완료")</f>
        <v>0</v>
      </c>
      <c r="M132" s="29" t="str">
        <f t="shared" si="17"/>
        <v/>
      </c>
      <c r="N132" s="29"/>
    </row>
    <row r="133" spans="1:14" ht="19.5" hidden="1" customHeight="1" outlineLevel="1">
      <c r="A133" s="24">
        <f>IF(3&lt;=DAY(DATE(YEAR(설정_코스수당!$K$2),MONTH(설정_코스수당!$K$2)+1,0)),DATE(YEAR(설정_코스수당!$K$2),MONTH(설정_코스수당!$K$2),3),"")</f>
        <v>46176</v>
      </c>
      <c r="B133" s="23" t="s">
        <v>185</v>
      </c>
      <c r="C133" s="29"/>
      <c r="D133" s="29"/>
      <c r="E133" s="29" t="str">
        <f t="shared" si="15"/>
        <v/>
      </c>
      <c r="F133" s="29">
        <f>COUNTIFS(실시간콜입력!$B:$B,$A133,실시간콜입력!$E:$E,"A",실시간콜입력!$G:$G,$B133,실시간콜입력!$O:$O,"방문완료")+COUNTIFS(실시간콜입력!$B:$B,$A133,실시간콜입력!$E:$E,"A",실시간콜입력!$H:$H,$B133,실시간콜입력!$O:$O,"방문완료")</f>
        <v>0</v>
      </c>
      <c r="G133" s="29">
        <f>COUNTIFS(실시간콜입력!$B:$B,$A133,실시간콜입력!$E:$E,"B",실시간콜입력!$G:$G,$B133,실시간콜입력!$O:$O,"방문완료")+COUNTIFS(실시간콜입력!$B:$B,$A133,실시간콜입력!$E:$E,"B",실시간콜입력!$H:$H,$B133,실시간콜입력!$O:$O,"방문완료")</f>
        <v>0</v>
      </c>
      <c r="H133" s="29">
        <f>COUNTIFS(실시간콜입력!$B:$B,$A133,실시간콜입력!$E:$E,"C",실시간콜입력!$G:$G,$B133,실시간콜입력!$O:$O,"방문완료")+COUNTIFS(실시간콜입력!$B:$B,$A133,실시간콜입력!$E:$E,"C",실시간콜입력!$H:$H,$B133,실시간콜입력!$O:$O,"방문완료")</f>
        <v>0</v>
      </c>
      <c r="I133" s="29">
        <f>COUNTIFS(실시간콜입력!$B:$B,$A133,실시간콜입력!$E:$E,"D",실시간콜입력!$G:$G,$B133,실시간콜입력!$O:$O,"방문완료")+COUNTIFS(실시간콜입력!$B:$B,$A133,실시간콜입력!$E:$E,"D",실시간콜입력!$H:$H,$B133,실시간콜입력!$O:$O,"방문완료")</f>
        <v>0</v>
      </c>
      <c r="J133" s="29">
        <f>COUNTIFS(실시간콜입력!$B:$B,$A133,실시간콜입력!$E:$E,"E",실시간콜입력!$G:$G,$B133,실시간콜입력!$O:$O,"방문완료")+COUNTIFS(실시간콜입력!$B:$B,$A133,실시간콜입력!$E:$E,"E",실시간콜입력!$H:$H,$B133,실시간콜입력!$O:$O,"방문완료")</f>
        <v>0</v>
      </c>
      <c r="K133" s="29">
        <f t="shared" si="16"/>
        <v>0</v>
      </c>
      <c r="L133" s="27">
        <f>SUMIFS(실시간콜입력!$K:$K,실시간콜입력!$B:$B,$A133,실시간콜입력!$G:$G,$B133,실시간콜입력!$O:$O,"방문완료")+SUMIFS(실시간콜입력!$L:$L,실시간콜입력!$B:$B,$A133,실시간콜입력!$H:$H,$B133,실시간콜입력!$O:$O,"방문완료")</f>
        <v>0</v>
      </c>
      <c r="M133" s="29" t="str">
        <f t="shared" si="17"/>
        <v/>
      </c>
      <c r="N133" s="29"/>
    </row>
    <row r="134" spans="1:14" ht="19.5" hidden="1" customHeight="1" outlineLevel="1">
      <c r="A134" s="30">
        <f>IF(3&lt;=DAY(DATE(YEAR(설정_코스수당!$K$2),MONTH(설정_코스수당!$K$2)+1,0)),DATE(YEAR(설정_코스수당!$K$2),MONTH(설정_코스수당!$K$2),3),"")</f>
        <v>46176</v>
      </c>
      <c r="B134" s="29" t="s">
        <v>186</v>
      </c>
      <c r="C134" s="29"/>
      <c r="D134" s="29"/>
      <c r="E134" s="29" t="str">
        <f t="shared" si="15"/>
        <v/>
      </c>
      <c r="F134" s="29">
        <f>COUNTIFS(실시간콜입력!$B:$B,$A134,실시간콜입력!$E:$E,"A",실시간콜입력!$G:$G,$B134,실시간콜입력!$O:$O,"방문완료")+COUNTIFS(실시간콜입력!$B:$B,$A134,실시간콜입력!$E:$E,"A",실시간콜입력!$H:$H,$B134,실시간콜입력!$O:$O,"방문완료")</f>
        <v>0</v>
      </c>
      <c r="G134" s="29">
        <f>COUNTIFS(실시간콜입력!$B:$B,$A134,실시간콜입력!$E:$E,"B",실시간콜입력!$G:$G,$B134,실시간콜입력!$O:$O,"방문완료")+COUNTIFS(실시간콜입력!$B:$B,$A134,실시간콜입력!$E:$E,"B",실시간콜입력!$H:$H,$B134,실시간콜입력!$O:$O,"방문완료")</f>
        <v>0</v>
      </c>
      <c r="H134" s="29">
        <f>COUNTIFS(실시간콜입력!$B:$B,$A134,실시간콜입력!$E:$E,"C",실시간콜입력!$G:$G,$B134,실시간콜입력!$O:$O,"방문완료")+COUNTIFS(실시간콜입력!$B:$B,$A134,실시간콜입력!$E:$E,"C",실시간콜입력!$H:$H,$B134,실시간콜입력!$O:$O,"방문완료")</f>
        <v>0</v>
      </c>
      <c r="I134" s="29">
        <f>COUNTIFS(실시간콜입력!$B:$B,$A134,실시간콜입력!$E:$E,"D",실시간콜입력!$G:$G,$B134,실시간콜입력!$O:$O,"방문완료")+COUNTIFS(실시간콜입력!$B:$B,$A134,실시간콜입력!$E:$E,"D",실시간콜입력!$H:$H,$B134,실시간콜입력!$O:$O,"방문완료")</f>
        <v>0</v>
      </c>
      <c r="J134" s="29">
        <f>COUNTIFS(실시간콜입력!$B:$B,$A134,실시간콜입력!$E:$E,"E",실시간콜입력!$G:$G,$B134,실시간콜입력!$O:$O,"방문완료")+COUNTIFS(실시간콜입력!$B:$B,$A134,실시간콜입력!$E:$E,"E",실시간콜입력!$H:$H,$B134,실시간콜입력!$O:$O,"방문완료")</f>
        <v>0</v>
      </c>
      <c r="K134" s="29">
        <f t="shared" si="16"/>
        <v>0</v>
      </c>
      <c r="L134" s="33">
        <f>SUMIFS(실시간콜입력!$K:$K,실시간콜입력!$B:$B,$A134,실시간콜입력!$G:$G,$B134,실시간콜입력!$O:$O,"방문완료")+SUMIFS(실시간콜입력!$L:$L,실시간콜입력!$B:$B,$A134,실시간콜입력!$H:$H,$B134,실시간콜입력!$O:$O,"방문완료")</f>
        <v>0</v>
      </c>
      <c r="M134" s="29" t="str">
        <f t="shared" si="17"/>
        <v/>
      </c>
      <c r="N134" s="29"/>
    </row>
    <row r="135" spans="1:14" ht="19.5" hidden="1" customHeight="1" outlineLevel="1">
      <c r="A135" s="24">
        <f>IF(3&lt;=DAY(DATE(YEAR(설정_코스수당!$K$2),MONTH(설정_코스수당!$K$2)+1,0)),DATE(YEAR(설정_코스수당!$K$2),MONTH(설정_코스수당!$K$2),3),"")</f>
        <v>46176</v>
      </c>
      <c r="B135" s="23" t="s">
        <v>187</v>
      </c>
      <c r="C135" s="29"/>
      <c r="D135" s="29"/>
      <c r="E135" s="29" t="str">
        <f t="shared" si="15"/>
        <v/>
      </c>
      <c r="F135" s="29">
        <f>COUNTIFS(실시간콜입력!$B:$B,$A135,실시간콜입력!$E:$E,"A",실시간콜입력!$G:$G,$B135,실시간콜입력!$O:$O,"방문완료")+COUNTIFS(실시간콜입력!$B:$B,$A135,실시간콜입력!$E:$E,"A",실시간콜입력!$H:$H,$B135,실시간콜입력!$O:$O,"방문완료")</f>
        <v>0</v>
      </c>
      <c r="G135" s="29">
        <f>COUNTIFS(실시간콜입력!$B:$B,$A135,실시간콜입력!$E:$E,"B",실시간콜입력!$G:$G,$B135,실시간콜입력!$O:$O,"방문완료")+COUNTIFS(실시간콜입력!$B:$B,$A135,실시간콜입력!$E:$E,"B",실시간콜입력!$H:$H,$B135,실시간콜입력!$O:$O,"방문완료")</f>
        <v>0</v>
      </c>
      <c r="H135" s="29">
        <f>COUNTIFS(실시간콜입력!$B:$B,$A135,실시간콜입력!$E:$E,"C",실시간콜입력!$G:$G,$B135,실시간콜입력!$O:$O,"방문완료")+COUNTIFS(실시간콜입력!$B:$B,$A135,실시간콜입력!$E:$E,"C",실시간콜입력!$H:$H,$B135,실시간콜입력!$O:$O,"방문완료")</f>
        <v>0</v>
      </c>
      <c r="I135" s="29">
        <f>COUNTIFS(실시간콜입력!$B:$B,$A135,실시간콜입력!$E:$E,"D",실시간콜입력!$G:$G,$B135,실시간콜입력!$O:$O,"방문완료")+COUNTIFS(실시간콜입력!$B:$B,$A135,실시간콜입력!$E:$E,"D",실시간콜입력!$H:$H,$B135,실시간콜입력!$O:$O,"방문완료")</f>
        <v>0</v>
      </c>
      <c r="J135" s="29">
        <f>COUNTIFS(실시간콜입력!$B:$B,$A135,실시간콜입력!$E:$E,"E",실시간콜입력!$G:$G,$B135,실시간콜입력!$O:$O,"방문완료")+COUNTIFS(실시간콜입력!$B:$B,$A135,실시간콜입력!$E:$E,"E",실시간콜입력!$H:$H,$B135,실시간콜입력!$O:$O,"방문완료")</f>
        <v>0</v>
      </c>
      <c r="K135" s="29">
        <f t="shared" si="16"/>
        <v>0</v>
      </c>
      <c r="L135" s="27">
        <f>SUMIFS(실시간콜입력!$K:$K,실시간콜입력!$B:$B,$A135,실시간콜입력!$G:$G,$B135,실시간콜입력!$O:$O,"방문완료")+SUMIFS(실시간콜입력!$L:$L,실시간콜입력!$B:$B,$A135,실시간콜입력!$H:$H,$B135,실시간콜입력!$O:$O,"방문완료")</f>
        <v>0</v>
      </c>
      <c r="M135" s="29" t="str">
        <f t="shared" si="17"/>
        <v/>
      </c>
      <c r="N135" s="29"/>
    </row>
    <row r="136" spans="1:14" ht="19.5" hidden="1" customHeight="1" outlineLevel="1">
      <c r="A136" s="30">
        <f>IF(3&lt;=DAY(DATE(YEAR(설정_코스수당!$K$2),MONTH(설정_코스수당!$K$2)+1,0)),DATE(YEAR(설정_코스수당!$K$2),MONTH(설정_코스수당!$K$2),3),"")</f>
        <v>46176</v>
      </c>
      <c r="B136" s="29" t="s">
        <v>188</v>
      </c>
      <c r="C136" s="29"/>
      <c r="D136" s="29"/>
      <c r="E136" s="29" t="str">
        <f t="shared" si="15"/>
        <v/>
      </c>
      <c r="F136" s="29">
        <f>COUNTIFS(실시간콜입력!$B:$B,$A136,실시간콜입력!$E:$E,"A",실시간콜입력!$G:$G,$B136,실시간콜입력!$O:$O,"방문완료")+COUNTIFS(실시간콜입력!$B:$B,$A136,실시간콜입력!$E:$E,"A",실시간콜입력!$H:$H,$B136,실시간콜입력!$O:$O,"방문완료")</f>
        <v>0</v>
      </c>
      <c r="G136" s="29">
        <f>COUNTIFS(실시간콜입력!$B:$B,$A136,실시간콜입력!$E:$E,"B",실시간콜입력!$G:$G,$B136,실시간콜입력!$O:$O,"방문완료")+COUNTIFS(실시간콜입력!$B:$B,$A136,실시간콜입력!$E:$E,"B",실시간콜입력!$H:$H,$B136,실시간콜입력!$O:$O,"방문완료")</f>
        <v>0</v>
      </c>
      <c r="H136" s="29">
        <f>COUNTIFS(실시간콜입력!$B:$B,$A136,실시간콜입력!$E:$E,"C",실시간콜입력!$G:$G,$B136,실시간콜입력!$O:$O,"방문완료")+COUNTIFS(실시간콜입력!$B:$B,$A136,실시간콜입력!$E:$E,"C",실시간콜입력!$H:$H,$B136,실시간콜입력!$O:$O,"방문완료")</f>
        <v>0</v>
      </c>
      <c r="I136" s="29">
        <f>COUNTIFS(실시간콜입력!$B:$B,$A136,실시간콜입력!$E:$E,"D",실시간콜입력!$G:$G,$B136,실시간콜입력!$O:$O,"방문완료")+COUNTIFS(실시간콜입력!$B:$B,$A136,실시간콜입력!$E:$E,"D",실시간콜입력!$H:$H,$B136,실시간콜입력!$O:$O,"방문완료")</f>
        <v>0</v>
      </c>
      <c r="J136" s="29">
        <f>COUNTIFS(실시간콜입력!$B:$B,$A136,실시간콜입력!$E:$E,"E",실시간콜입력!$G:$G,$B136,실시간콜입력!$O:$O,"방문완료")+COUNTIFS(실시간콜입력!$B:$B,$A136,실시간콜입력!$E:$E,"E",실시간콜입력!$H:$H,$B136,실시간콜입력!$O:$O,"방문완료")</f>
        <v>0</v>
      </c>
      <c r="K136" s="29">
        <f t="shared" si="16"/>
        <v>0</v>
      </c>
      <c r="L136" s="33">
        <f>SUMIFS(실시간콜입력!$K:$K,실시간콜입력!$B:$B,$A136,실시간콜입력!$G:$G,$B136,실시간콜입력!$O:$O,"방문완료")+SUMIFS(실시간콜입력!$L:$L,실시간콜입력!$B:$B,$A136,실시간콜입력!$H:$H,$B136,실시간콜입력!$O:$O,"방문완료")</f>
        <v>0</v>
      </c>
      <c r="M136" s="29" t="str">
        <f t="shared" si="17"/>
        <v/>
      </c>
      <c r="N136" s="29"/>
    </row>
    <row r="137" spans="1:14" ht="19.5" hidden="1" customHeight="1" outlineLevel="1">
      <c r="A137" s="24">
        <f>IF(3&lt;=DAY(DATE(YEAR(설정_코스수당!$K$2),MONTH(설정_코스수당!$K$2)+1,0)),DATE(YEAR(설정_코스수당!$K$2),MONTH(설정_코스수당!$K$2),3),"")</f>
        <v>46176</v>
      </c>
      <c r="B137" s="23" t="s">
        <v>189</v>
      </c>
      <c r="C137" s="29"/>
      <c r="D137" s="29"/>
      <c r="E137" s="29" t="str">
        <f t="shared" si="15"/>
        <v/>
      </c>
      <c r="F137" s="29">
        <f>COUNTIFS(실시간콜입력!$B:$B,$A137,실시간콜입력!$E:$E,"A",실시간콜입력!$G:$G,$B137,실시간콜입력!$O:$O,"방문완료")+COUNTIFS(실시간콜입력!$B:$B,$A137,실시간콜입력!$E:$E,"A",실시간콜입력!$H:$H,$B137,실시간콜입력!$O:$O,"방문완료")</f>
        <v>0</v>
      </c>
      <c r="G137" s="29">
        <f>COUNTIFS(실시간콜입력!$B:$B,$A137,실시간콜입력!$E:$E,"B",실시간콜입력!$G:$G,$B137,실시간콜입력!$O:$O,"방문완료")+COUNTIFS(실시간콜입력!$B:$B,$A137,실시간콜입력!$E:$E,"B",실시간콜입력!$H:$H,$B137,실시간콜입력!$O:$O,"방문완료")</f>
        <v>0</v>
      </c>
      <c r="H137" s="29">
        <f>COUNTIFS(실시간콜입력!$B:$B,$A137,실시간콜입력!$E:$E,"C",실시간콜입력!$G:$G,$B137,실시간콜입력!$O:$O,"방문완료")+COUNTIFS(실시간콜입력!$B:$B,$A137,실시간콜입력!$E:$E,"C",실시간콜입력!$H:$H,$B137,실시간콜입력!$O:$O,"방문완료")</f>
        <v>0</v>
      </c>
      <c r="I137" s="29">
        <f>COUNTIFS(실시간콜입력!$B:$B,$A137,실시간콜입력!$E:$E,"D",실시간콜입력!$G:$G,$B137,실시간콜입력!$O:$O,"방문완료")+COUNTIFS(실시간콜입력!$B:$B,$A137,실시간콜입력!$E:$E,"D",실시간콜입력!$H:$H,$B137,실시간콜입력!$O:$O,"방문완료")</f>
        <v>0</v>
      </c>
      <c r="J137" s="29">
        <f>COUNTIFS(실시간콜입력!$B:$B,$A137,실시간콜입력!$E:$E,"E",실시간콜입력!$G:$G,$B137,실시간콜입력!$O:$O,"방문완료")+COUNTIFS(실시간콜입력!$B:$B,$A137,실시간콜입력!$E:$E,"E",실시간콜입력!$H:$H,$B137,실시간콜입력!$O:$O,"방문완료")</f>
        <v>0</v>
      </c>
      <c r="K137" s="29">
        <f t="shared" si="16"/>
        <v>0</v>
      </c>
      <c r="L137" s="27">
        <f>SUMIFS(실시간콜입력!$K:$K,실시간콜입력!$B:$B,$A137,실시간콜입력!$G:$G,$B137,실시간콜입력!$O:$O,"방문완료")+SUMIFS(실시간콜입력!$L:$L,실시간콜입력!$B:$B,$A137,실시간콜입력!$H:$H,$B137,실시간콜입력!$O:$O,"방문완료")</f>
        <v>0</v>
      </c>
      <c r="M137" s="29" t="str">
        <f t="shared" si="17"/>
        <v/>
      </c>
      <c r="N137" s="29"/>
    </row>
    <row r="138" spans="1:14" ht="19.5" hidden="1" customHeight="1" outlineLevel="1">
      <c r="A138" s="30">
        <f>IF(3&lt;=DAY(DATE(YEAR(설정_코스수당!$K$2),MONTH(설정_코스수당!$K$2)+1,0)),DATE(YEAR(설정_코스수당!$K$2),MONTH(설정_코스수당!$K$2),3),"")</f>
        <v>46176</v>
      </c>
      <c r="B138" s="29" t="s">
        <v>190</v>
      </c>
      <c r="C138" s="29"/>
      <c r="D138" s="29"/>
      <c r="E138" s="29" t="str">
        <f t="shared" si="15"/>
        <v/>
      </c>
      <c r="F138" s="29">
        <f>COUNTIFS(실시간콜입력!$B:$B,$A138,실시간콜입력!$E:$E,"A",실시간콜입력!$G:$G,$B138,실시간콜입력!$O:$O,"방문완료")+COUNTIFS(실시간콜입력!$B:$B,$A138,실시간콜입력!$E:$E,"A",실시간콜입력!$H:$H,$B138,실시간콜입력!$O:$O,"방문완료")</f>
        <v>0</v>
      </c>
      <c r="G138" s="29">
        <f>COUNTIFS(실시간콜입력!$B:$B,$A138,실시간콜입력!$E:$E,"B",실시간콜입력!$G:$G,$B138,실시간콜입력!$O:$O,"방문완료")+COUNTIFS(실시간콜입력!$B:$B,$A138,실시간콜입력!$E:$E,"B",실시간콜입력!$H:$H,$B138,실시간콜입력!$O:$O,"방문완료")</f>
        <v>0</v>
      </c>
      <c r="H138" s="29">
        <f>COUNTIFS(실시간콜입력!$B:$B,$A138,실시간콜입력!$E:$E,"C",실시간콜입력!$G:$G,$B138,실시간콜입력!$O:$O,"방문완료")+COUNTIFS(실시간콜입력!$B:$B,$A138,실시간콜입력!$E:$E,"C",실시간콜입력!$H:$H,$B138,실시간콜입력!$O:$O,"방문완료")</f>
        <v>0</v>
      </c>
      <c r="I138" s="29">
        <f>COUNTIFS(실시간콜입력!$B:$B,$A138,실시간콜입력!$E:$E,"D",실시간콜입력!$G:$G,$B138,실시간콜입력!$O:$O,"방문완료")+COUNTIFS(실시간콜입력!$B:$B,$A138,실시간콜입력!$E:$E,"D",실시간콜입력!$H:$H,$B138,실시간콜입력!$O:$O,"방문완료")</f>
        <v>0</v>
      </c>
      <c r="J138" s="29">
        <f>COUNTIFS(실시간콜입력!$B:$B,$A138,실시간콜입력!$E:$E,"E",실시간콜입력!$G:$G,$B138,실시간콜입력!$O:$O,"방문완료")+COUNTIFS(실시간콜입력!$B:$B,$A138,실시간콜입력!$E:$E,"E",실시간콜입력!$H:$H,$B138,실시간콜입력!$O:$O,"방문완료")</f>
        <v>0</v>
      </c>
      <c r="K138" s="29">
        <f t="shared" si="16"/>
        <v>0</v>
      </c>
      <c r="L138" s="33">
        <f>SUMIFS(실시간콜입력!$K:$K,실시간콜입력!$B:$B,$A138,실시간콜입력!$G:$G,$B138,실시간콜입력!$O:$O,"방문완료")+SUMIFS(실시간콜입력!$L:$L,실시간콜입력!$B:$B,$A138,실시간콜입력!$H:$H,$B138,실시간콜입력!$O:$O,"방문완료")</f>
        <v>0</v>
      </c>
      <c r="M138" s="29" t="str">
        <f t="shared" si="17"/>
        <v/>
      </c>
      <c r="N138" s="29"/>
    </row>
    <row r="139" spans="1:14" ht="19.5" hidden="1" customHeight="1" outlineLevel="1">
      <c r="A139" s="24">
        <f>IF(3&lt;=DAY(DATE(YEAR(설정_코스수당!$K$2),MONTH(설정_코스수당!$K$2)+1,0)),DATE(YEAR(설정_코스수당!$K$2),MONTH(설정_코스수당!$K$2),3),"")</f>
        <v>46176</v>
      </c>
      <c r="B139" s="23" t="s">
        <v>191</v>
      </c>
      <c r="C139" s="29"/>
      <c r="D139" s="29"/>
      <c r="E139" s="29" t="str">
        <f t="shared" si="15"/>
        <v/>
      </c>
      <c r="F139" s="29">
        <f>COUNTIFS(실시간콜입력!$B:$B,$A139,실시간콜입력!$E:$E,"A",실시간콜입력!$G:$G,$B139,실시간콜입력!$O:$O,"방문완료")+COUNTIFS(실시간콜입력!$B:$B,$A139,실시간콜입력!$E:$E,"A",실시간콜입력!$H:$H,$B139,실시간콜입력!$O:$O,"방문완료")</f>
        <v>0</v>
      </c>
      <c r="G139" s="29">
        <f>COUNTIFS(실시간콜입력!$B:$B,$A139,실시간콜입력!$E:$E,"B",실시간콜입력!$G:$G,$B139,실시간콜입력!$O:$O,"방문완료")+COUNTIFS(실시간콜입력!$B:$B,$A139,실시간콜입력!$E:$E,"B",실시간콜입력!$H:$H,$B139,실시간콜입력!$O:$O,"방문완료")</f>
        <v>0</v>
      </c>
      <c r="H139" s="29">
        <f>COUNTIFS(실시간콜입력!$B:$B,$A139,실시간콜입력!$E:$E,"C",실시간콜입력!$G:$G,$B139,실시간콜입력!$O:$O,"방문완료")+COUNTIFS(실시간콜입력!$B:$B,$A139,실시간콜입력!$E:$E,"C",실시간콜입력!$H:$H,$B139,실시간콜입력!$O:$O,"방문완료")</f>
        <v>0</v>
      </c>
      <c r="I139" s="29">
        <f>COUNTIFS(실시간콜입력!$B:$B,$A139,실시간콜입력!$E:$E,"D",실시간콜입력!$G:$G,$B139,실시간콜입력!$O:$O,"방문완료")+COUNTIFS(실시간콜입력!$B:$B,$A139,실시간콜입력!$E:$E,"D",실시간콜입력!$H:$H,$B139,실시간콜입력!$O:$O,"방문완료")</f>
        <v>0</v>
      </c>
      <c r="J139" s="29">
        <f>COUNTIFS(실시간콜입력!$B:$B,$A139,실시간콜입력!$E:$E,"E",실시간콜입력!$G:$G,$B139,실시간콜입력!$O:$O,"방문완료")+COUNTIFS(실시간콜입력!$B:$B,$A139,실시간콜입력!$E:$E,"E",실시간콜입력!$H:$H,$B139,실시간콜입력!$O:$O,"방문완료")</f>
        <v>0</v>
      </c>
      <c r="K139" s="29">
        <f t="shared" si="16"/>
        <v>0</v>
      </c>
      <c r="L139" s="27">
        <f>SUMIFS(실시간콜입력!$K:$K,실시간콜입력!$B:$B,$A139,실시간콜입력!$G:$G,$B139,실시간콜입력!$O:$O,"방문완료")+SUMIFS(실시간콜입력!$L:$L,실시간콜입력!$B:$B,$A139,실시간콜입력!$H:$H,$B139,실시간콜입력!$O:$O,"방문완료")</f>
        <v>0</v>
      </c>
      <c r="M139" s="29" t="str">
        <f t="shared" si="17"/>
        <v/>
      </c>
      <c r="N139" s="29"/>
    </row>
    <row r="140" spans="1:14" ht="19.5" hidden="1" customHeight="1" outlineLevel="1">
      <c r="A140" s="30">
        <f>IF(3&lt;=DAY(DATE(YEAR(설정_코스수당!$K$2),MONTH(설정_코스수당!$K$2)+1,0)),DATE(YEAR(설정_코스수당!$K$2),MONTH(설정_코스수당!$K$2),3),"")</f>
        <v>46176</v>
      </c>
      <c r="B140" s="29" t="s">
        <v>192</v>
      </c>
      <c r="C140" s="29"/>
      <c r="D140" s="29"/>
      <c r="E140" s="29" t="str">
        <f t="shared" si="15"/>
        <v/>
      </c>
      <c r="F140" s="29">
        <f>COUNTIFS(실시간콜입력!$B:$B,$A140,실시간콜입력!$E:$E,"A",실시간콜입력!$G:$G,$B140,실시간콜입력!$O:$O,"방문완료")+COUNTIFS(실시간콜입력!$B:$B,$A140,실시간콜입력!$E:$E,"A",실시간콜입력!$H:$H,$B140,실시간콜입력!$O:$O,"방문완료")</f>
        <v>0</v>
      </c>
      <c r="G140" s="29">
        <f>COUNTIFS(실시간콜입력!$B:$B,$A140,실시간콜입력!$E:$E,"B",실시간콜입력!$G:$G,$B140,실시간콜입력!$O:$O,"방문완료")+COUNTIFS(실시간콜입력!$B:$B,$A140,실시간콜입력!$E:$E,"B",실시간콜입력!$H:$H,$B140,실시간콜입력!$O:$O,"방문완료")</f>
        <v>0</v>
      </c>
      <c r="H140" s="29">
        <f>COUNTIFS(실시간콜입력!$B:$B,$A140,실시간콜입력!$E:$E,"C",실시간콜입력!$G:$G,$B140,실시간콜입력!$O:$O,"방문완료")+COUNTIFS(실시간콜입력!$B:$B,$A140,실시간콜입력!$E:$E,"C",실시간콜입력!$H:$H,$B140,실시간콜입력!$O:$O,"방문완료")</f>
        <v>0</v>
      </c>
      <c r="I140" s="29">
        <f>COUNTIFS(실시간콜입력!$B:$B,$A140,실시간콜입력!$E:$E,"D",실시간콜입력!$G:$G,$B140,실시간콜입력!$O:$O,"방문완료")+COUNTIFS(실시간콜입력!$B:$B,$A140,실시간콜입력!$E:$E,"D",실시간콜입력!$H:$H,$B140,실시간콜입력!$O:$O,"방문완료")</f>
        <v>0</v>
      </c>
      <c r="J140" s="29">
        <f>COUNTIFS(실시간콜입력!$B:$B,$A140,실시간콜입력!$E:$E,"E",실시간콜입력!$G:$G,$B140,실시간콜입력!$O:$O,"방문완료")+COUNTIFS(실시간콜입력!$B:$B,$A140,실시간콜입력!$E:$E,"E",실시간콜입력!$H:$H,$B140,실시간콜입력!$O:$O,"방문완료")</f>
        <v>0</v>
      </c>
      <c r="K140" s="29">
        <f t="shared" si="16"/>
        <v>0</v>
      </c>
      <c r="L140" s="33">
        <f>SUMIFS(실시간콜입력!$K:$K,실시간콜입력!$B:$B,$A140,실시간콜입력!$G:$G,$B140,실시간콜입력!$O:$O,"방문완료")+SUMIFS(실시간콜입력!$L:$L,실시간콜입력!$B:$B,$A140,실시간콜입력!$H:$H,$B140,실시간콜입력!$O:$O,"방문완료")</f>
        <v>0</v>
      </c>
      <c r="M140" s="29" t="str">
        <f t="shared" si="17"/>
        <v/>
      </c>
      <c r="N140" s="29"/>
    </row>
    <row r="141" spans="1:14" ht="19.5" hidden="1" customHeight="1" outlineLevel="1">
      <c r="A141" s="24">
        <f>IF(3&lt;=DAY(DATE(YEAR(설정_코스수당!$K$2),MONTH(설정_코스수당!$K$2)+1,0)),DATE(YEAR(설정_코스수당!$K$2),MONTH(설정_코스수당!$K$2),3),"")</f>
        <v>46176</v>
      </c>
      <c r="B141" s="23" t="s">
        <v>193</v>
      </c>
      <c r="C141" s="29"/>
      <c r="D141" s="29"/>
      <c r="E141" s="29" t="str">
        <f t="shared" si="15"/>
        <v/>
      </c>
      <c r="F141" s="29">
        <f>COUNTIFS(실시간콜입력!$B:$B,$A141,실시간콜입력!$E:$E,"A",실시간콜입력!$G:$G,$B141,실시간콜입력!$O:$O,"방문완료")+COUNTIFS(실시간콜입력!$B:$B,$A141,실시간콜입력!$E:$E,"A",실시간콜입력!$H:$H,$B141,실시간콜입력!$O:$O,"방문완료")</f>
        <v>0</v>
      </c>
      <c r="G141" s="29">
        <f>COUNTIFS(실시간콜입력!$B:$B,$A141,실시간콜입력!$E:$E,"B",실시간콜입력!$G:$G,$B141,실시간콜입력!$O:$O,"방문완료")+COUNTIFS(실시간콜입력!$B:$B,$A141,실시간콜입력!$E:$E,"B",실시간콜입력!$H:$H,$B141,실시간콜입력!$O:$O,"방문완료")</f>
        <v>0</v>
      </c>
      <c r="H141" s="29">
        <f>COUNTIFS(실시간콜입력!$B:$B,$A141,실시간콜입력!$E:$E,"C",실시간콜입력!$G:$G,$B141,실시간콜입력!$O:$O,"방문완료")+COUNTIFS(실시간콜입력!$B:$B,$A141,실시간콜입력!$E:$E,"C",실시간콜입력!$H:$H,$B141,실시간콜입력!$O:$O,"방문완료")</f>
        <v>0</v>
      </c>
      <c r="I141" s="29">
        <f>COUNTIFS(실시간콜입력!$B:$B,$A141,실시간콜입력!$E:$E,"D",실시간콜입력!$G:$G,$B141,실시간콜입력!$O:$O,"방문완료")+COUNTIFS(실시간콜입력!$B:$B,$A141,실시간콜입력!$E:$E,"D",실시간콜입력!$H:$H,$B141,실시간콜입력!$O:$O,"방문완료")</f>
        <v>0</v>
      </c>
      <c r="J141" s="29">
        <f>COUNTIFS(실시간콜입력!$B:$B,$A141,실시간콜입력!$E:$E,"E",실시간콜입력!$G:$G,$B141,실시간콜입력!$O:$O,"방문완료")+COUNTIFS(실시간콜입력!$B:$B,$A141,실시간콜입력!$E:$E,"E",실시간콜입력!$H:$H,$B141,실시간콜입력!$O:$O,"방문완료")</f>
        <v>0</v>
      </c>
      <c r="K141" s="29">
        <f t="shared" si="16"/>
        <v>0</v>
      </c>
      <c r="L141" s="27">
        <f>SUMIFS(실시간콜입력!$K:$K,실시간콜입력!$B:$B,$A141,실시간콜입력!$G:$G,$B141,실시간콜입력!$O:$O,"방문완료")+SUMIFS(실시간콜입력!$L:$L,실시간콜입력!$B:$B,$A141,실시간콜입력!$H:$H,$B141,실시간콜입력!$O:$O,"방문완료")</f>
        <v>0</v>
      </c>
      <c r="M141" s="29" t="str">
        <f t="shared" si="17"/>
        <v/>
      </c>
      <c r="N141" s="29"/>
    </row>
    <row r="142" spans="1:14" ht="19.5" hidden="1" customHeight="1" outlineLevel="1">
      <c r="A142" s="30">
        <f>IF(3&lt;=DAY(DATE(YEAR(설정_코스수당!$K$2),MONTH(설정_코스수당!$K$2)+1,0)),DATE(YEAR(설정_코스수당!$K$2),MONTH(설정_코스수당!$K$2),3),"")</f>
        <v>46176</v>
      </c>
      <c r="B142" s="29" t="s">
        <v>194</v>
      </c>
      <c r="C142" s="29"/>
      <c r="D142" s="29"/>
      <c r="E142" s="29" t="str">
        <f t="shared" si="15"/>
        <v/>
      </c>
      <c r="F142" s="29">
        <f>COUNTIFS(실시간콜입력!$B:$B,$A142,실시간콜입력!$E:$E,"A",실시간콜입력!$G:$G,$B142,실시간콜입력!$O:$O,"방문완료")+COUNTIFS(실시간콜입력!$B:$B,$A142,실시간콜입력!$E:$E,"A",실시간콜입력!$H:$H,$B142,실시간콜입력!$O:$O,"방문완료")</f>
        <v>0</v>
      </c>
      <c r="G142" s="29">
        <f>COUNTIFS(실시간콜입력!$B:$B,$A142,실시간콜입력!$E:$E,"B",실시간콜입력!$G:$G,$B142,실시간콜입력!$O:$O,"방문완료")+COUNTIFS(실시간콜입력!$B:$B,$A142,실시간콜입력!$E:$E,"B",실시간콜입력!$H:$H,$B142,실시간콜입력!$O:$O,"방문완료")</f>
        <v>0</v>
      </c>
      <c r="H142" s="29">
        <f>COUNTIFS(실시간콜입력!$B:$B,$A142,실시간콜입력!$E:$E,"C",실시간콜입력!$G:$G,$B142,실시간콜입력!$O:$O,"방문완료")+COUNTIFS(실시간콜입력!$B:$B,$A142,실시간콜입력!$E:$E,"C",실시간콜입력!$H:$H,$B142,실시간콜입력!$O:$O,"방문완료")</f>
        <v>0</v>
      </c>
      <c r="I142" s="29">
        <f>COUNTIFS(실시간콜입력!$B:$B,$A142,실시간콜입력!$E:$E,"D",실시간콜입력!$G:$G,$B142,실시간콜입력!$O:$O,"방문완료")+COUNTIFS(실시간콜입력!$B:$B,$A142,실시간콜입력!$E:$E,"D",실시간콜입력!$H:$H,$B142,실시간콜입력!$O:$O,"방문완료")</f>
        <v>0</v>
      </c>
      <c r="J142" s="29">
        <f>COUNTIFS(실시간콜입력!$B:$B,$A142,실시간콜입력!$E:$E,"E",실시간콜입력!$G:$G,$B142,실시간콜입력!$O:$O,"방문완료")+COUNTIFS(실시간콜입력!$B:$B,$A142,실시간콜입력!$E:$E,"E",실시간콜입력!$H:$H,$B142,실시간콜입력!$O:$O,"방문완료")</f>
        <v>0</v>
      </c>
      <c r="K142" s="29">
        <f t="shared" si="16"/>
        <v>0</v>
      </c>
      <c r="L142" s="33">
        <f>SUMIFS(실시간콜입력!$K:$K,실시간콜입력!$B:$B,$A142,실시간콜입력!$G:$G,$B142,실시간콜입력!$O:$O,"방문완료")+SUMIFS(실시간콜입력!$L:$L,실시간콜입력!$B:$B,$A142,실시간콜입력!$H:$H,$B142,실시간콜입력!$O:$O,"방문완료")</f>
        <v>0</v>
      </c>
      <c r="M142" s="29" t="str">
        <f t="shared" si="17"/>
        <v/>
      </c>
      <c r="N142" s="29"/>
    </row>
    <row r="143" spans="1:14" ht="19.5" hidden="1" customHeight="1" outlineLevel="1">
      <c r="A143" s="24">
        <f>IF(3&lt;=DAY(DATE(YEAR(설정_코스수당!$K$2),MONTH(설정_코스수당!$K$2)+1,0)),DATE(YEAR(설정_코스수당!$K$2),MONTH(설정_코스수당!$K$2),3),"")</f>
        <v>46176</v>
      </c>
      <c r="B143" s="23" t="s">
        <v>195</v>
      </c>
      <c r="C143" s="29"/>
      <c r="D143" s="29"/>
      <c r="E143" s="29" t="str">
        <f t="shared" ref="E143:E174" si="18">IF(AND(C143&lt;&gt;"",D143&lt;&gt;""),IF(D143&lt;C143,D143+1-C143,D143-C143)*24,"")</f>
        <v/>
      </c>
      <c r="F143" s="29">
        <f>COUNTIFS(실시간콜입력!$B:$B,$A143,실시간콜입력!$E:$E,"A",실시간콜입력!$G:$G,$B143,실시간콜입력!$O:$O,"방문완료")+COUNTIFS(실시간콜입력!$B:$B,$A143,실시간콜입력!$E:$E,"A",실시간콜입력!$H:$H,$B143,실시간콜입력!$O:$O,"방문완료")</f>
        <v>0</v>
      </c>
      <c r="G143" s="29">
        <f>COUNTIFS(실시간콜입력!$B:$B,$A143,실시간콜입력!$E:$E,"B",실시간콜입력!$G:$G,$B143,실시간콜입력!$O:$O,"방문완료")+COUNTIFS(실시간콜입력!$B:$B,$A143,실시간콜입력!$E:$E,"B",실시간콜입력!$H:$H,$B143,실시간콜입력!$O:$O,"방문완료")</f>
        <v>0</v>
      </c>
      <c r="H143" s="29">
        <f>COUNTIFS(실시간콜입력!$B:$B,$A143,실시간콜입력!$E:$E,"C",실시간콜입력!$G:$G,$B143,실시간콜입력!$O:$O,"방문완료")+COUNTIFS(실시간콜입력!$B:$B,$A143,실시간콜입력!$E:$E,"C",실시간콜입력!$H:$H,$B143,실시간콜입력!$O:$O,"방문완료")</f>
        <v>0</v>
      </c>
      <c r="I143" s="29">
        <f>COUNTIFS(실시간콜입력!$B:$B,$A143,실시간콜입력!$E:$E,"D",실시간콜입력!$G:$G,$B143,실시간콜입력!$O:$O,"방문완료")+COUNTIFS(실시간콜입력!$B:$B,$A143,실시간콜입력!$E:$E,"D",실시간콜입력!$H:$H,$B143,실시간콜입력!$O:$O,"방문완료")</f>
        <v>0</v>
      </c>
      <c r="J143" s="29">
        <f>COUNTIFS(실시간콜입력!$B:$B,$A143,실시간콜입력!$E:$E,"E",실시간콜입력!$G:$G,$B143,실시간콜입력!$O:$O,"방문완료")+COUNTIFS(실시간콜입력!$B:$B,$A143,실시간콜입력!$E:$E,"E",실시간콜입력!$H:$H,$B143,실시간콜입력!$O:$O,"방문완료")</f>
        <v>0</v>
      </c>
      <c r="K143" s="29">
        <f t="shared" ref="K143:K174" si="19">SUM(F143:J143)</f>
        <v>0</v>
      </c>
      <c r="L143" s="27">
        <f>SUMIFS(실시간콜입력!$K:$K,실시간콜입력!$B:$B,$A143,실시간콜입력!$G:$G,$B143,실시간콜입력!$O:$O,"방문완료")+SUMIFS(실시간콜입력!$L:$L,실시간콜입력!$B:$B,$A143,실시간콜입력!$H:$H,$B143,실시간콜입력!$O:$O,"방문완료")</f>
        <v>0</v>
      </c>
      <c r="M143" s="29" t="str">
        <f t="shared" ref="M143:M160" si="20">IF(AND(ISNUMBER(E143),E143&gt;=8),"인정","")</f>
        <v/>
      </c>
      <c r="N143" s="29"/>
    </row>
    <row r="144" spans="1:14" ht="19.5" hidden="1" customHeight="1" outlineLevel="1">
      <c r="A144" s="30">
        <f>IF(3&lt;=DAY(DATE(YEAR(설정_코스수당!$K$2),MONTH(설정_코스수당!$K$2)+1,0)),DATE(YEAR(설정_코스수당!$K$2),MONTH(설정_코스수당!$K$2),3),"")</f>
        <v>46176</v>
      </c>
      <c r="B144" s="29" t="s">
        <v>196</v>
      </c>
      <c r="C144" s="29"/>
      <c r="D144" s="29"/>
      <c r="E144" s="29" t="str">
        <f t="shared" si="18"/>
        <v/>
      </c>
      <c r="F144" s="29">
        <f>COUNTIFS(실시간콜입력!$B:$B,$A144,실시간콜입력!$E:$E,"A",실시간콜입력!$G:$G,$B144,실시간콜입력!$O:$O,"방문완료")+COUNTIFS(실시간콜입력!$B:$B,$A144,실시간콜입력!$E:$E,"A",실시간콜입력!$H:$H,$B144,실시간콜입력!$O:$O,"방문완료")</f>
        <v>0</v>
      </c>
      <c r="G144" s="29">
        <f>COUNTIFS(실시간콜입력!$B:$B,$A144,실시간콜입력!$E:$E,"B",실시간콜입력!$G:$G,$B144,실시간콜입력!$O:$O,"방문완료")+COUNTIFS(실시간콜입력!$B:$B,$A144,실시간콜입력!$E:$E,"B",실시간콜입력!$H:$H,$B144,실시간콜입력!$O:$O,"방문완료")</f>
        <v>0</v>
      </c>
      <c r="H144" s="29">
        <f>COUNTIFS(실시간콜입력!$B:$B,$A144,실시간콜입력!$E:$E,"C",실시간콜입력!$G:$G,$B144,실시간콜입력!$O:$O,"방문완료")+COUNTIFS(실시간콜입력!$B:$B,$A144,실시간콜입력!$E:$E,"C",실시간콜입력!$H:$H,$B144,실시간콜입력!$O:$O,"방문완료")</f>
        <v>0</v>
      </c>
      <c r="I144" s="29">
        <f>COUNTIFS(실시간콜입력!$B:$B,$A144,실시간콜입력!$E:$E,"D",실시간콜입력!$G:$G,$B144,실시간콜입력!$O:$O,"방문완료")+COUNTIFS(실시간콜입력!$B:$B,$A144,실시간콜입력!$E:$E,"D",실시간콜입력!$H:$H,$B144,실시간콜입력!$O:$O,"방문완료")</f>
        <v>0</v>
      </c>
      <c r="J144" s="29">
        <f>COUNTIFS(실시간콜입력!$B:$B,$A144,실시간콜입력!$E:$E,"E",실시간콜입력!$G:$G,$B144,실시간콜입력!$O:$O,"방문완료")+COUNTIFS(실시간콜입력!$B:$B,$A144,실시간콜입력!$E:$E,"E",실시간콜입력!$H:$H,$B144,실시간콜입력!$O:$O,"방문완료")</f>
        <v>0</v>
      </c>
      <c r="K144" s="29">
        <f t="shared" si="19"/>
        <v>0</v>
      </c>
      <c r="L144" s="33">
        <f>SUMIFS(실시간콜입력!$K:$K,실시간콜입력!$B:$B,$A144,실시간콜입력!$G:$G,$B144,실시간콜입력!$O:$O,"방문완료")+SUMIFS(실시간콜입력!$L:$L,실시간콜입력!$B:$B,$A144,실시간콜입력!$H:$H,$B144,실시간콜입력!$O:$O,"방문완료")</f>
        <v>0</v>
      </c>
      <c r="M144" s="29" t="str">
        <f t="shared" si="20"/>
        <v/>
      </c>
      <c r="N144" s="29"/>
    </row>
    <row r="145" spans="1:14" ht="19.5" hidden="1" customHeight="1" outlineLevel="1">
      <c r="A145" s="24">
        <f>IF(3&lt;=DAY(DATE(YEAR(설정_코스수당!$K$2),MONTH(설정_코스수당!$K$2)+1,0)),DATE(YEAR(설정_코스수당!$K$2),MONTH(설정_코스수당!$K$2),3),"")</f>
        <v>46176</v>
      </c>
      <c r="B145" s="23" t="s">
        <v>197</v>
      </c>
      <c r="C145" s="29"/>
      <c r="D145" s="29"/>
      <c r="E145" s="29" t="str">
        <f t="shared" si="18"/>
        <v/>
      </c>
      <c r="F145" s="29">
        <f>COUNTIFS(실시간콜입력!$B:$B,$A145,실시간콜입력!$E:$E,"A",실시간콜입력!$G:$G,$B145,실시간콜입력!$O:$O,"방문완료")+COUNTIFS(실시간콜입력!$B:$B,$A145,실시간콜입력!$E:$E,"A",실시간콜입력!$H:$H,$B145,실시간콜입력!$O:$O,"방문완료")</f>
        <v>0</v>
      </c>
      <c r="G145" s="29">
        <f>COUNTIFS(실시간콜입력!$B:$B,$A145,실시간콜입력!$E:$E,"B",실시간콜입력!$G:$G,$B145,실시간콜입력!$O:$O,"방문완료")+COUNTIFS(실시간콜입력!$B:$B,$A145,실시간콜입력!$E:$E,"B",실시간콜입력!$H:$H,$B145,실시간콜입력!$O:$O,"방문완료")</f>
        <v>0</v>
      </c>
      <c r="H145" s="29">
        <f>COUNTIFS(실시간콜입력!$B:$B,$A145,실시간콜입력!$E:$E,"C",실시간콜입력!$G:$G,$B145,실시간콜입력!$O:$O,"방문완료")+COUNTIFS(실시간콜입력!$B:$B,$A145,실시간콜입력!$E:$E,"C",실시간콜입력!$H:$H,$B145,실시간콜입력!$O:$O,"방문완료")</f>
        <v>0</v>
      </c>
      <c r="I145" s="29">
        <f>COUNTIFS(실시간콜입력!$B:$B,$A145,실시간콜입력!$E:$E,"D",실시간콜입력!$G:$G,$B145,실시간콜입력!$O:$O,"방문완료")+COUNTIFS(실시간콜입력!$B:$B,$A145,실시간콜입력!$E:$E,"D",실시간콜입력!$H:$H,$B145,실시간콜입력!$O:$O,"방문완료")</f>
        <v>0</v>
      </c>
      <c r="J145" s="29">
        <f>COUNTIFS(실시간콜입력!$B:$B,$A145,실시간콜입력!$E:$E,"E",실시간콜입력!$G:$G,$B145,실시간콜입력!$O:$O,"방문완료")+COUNTIFS(실시간콜입력!$B:$B,$A145,실시간콜입력!$E:$E,"E",실시간콜입력!$H:$H,$B145,실시간콜입력!$O:$O,"방문완료")</f>
        <v>0</v>
      </c>
      <c r="K145" s="29">
        <f t="shared" si="19"/>
        <v>0</v>
      </c>
      <c r="L145" s="27">
        <f>SUMIFS(실시간콜입력!$K:$K,실시간콜입력!$B:$B,$A145,실시간콜입력!$G:$G,$B145,실시간콜입력!$O:$O,"방문완료")+SUMIFS(실시간콜입력!$L:$L,실시간콜입력!$B:$B,$A145,실시간콜입력!$H:$H,$B145,실시간콜입력!$O:$O,"방문완료")</f>
        <v>0</v>
      </c>
      <c r="M145" s="29" t="str">
        <f t="shared" si="20"/>
        <v/>
      </c>
      <c r="N145" s="29"/>
    </row>
    <row r="146" spans="1:14" ht="19.5" hidden="1" customHeight="1" outlineLevel="1">
      <c r="A146" s="30">
        <f>IF(3&lt;=DAY(DATE(YEAR(설정_코스수당!$K$2),MONTH(설정_코스수당!$K$2)+1,0)),DATE(YEAR(설정_코스수당!$K$2),MONTH(설정_코스수당!$K$2),3),"")</f>
        <v>46176</v>
      </c>
      <c r="B146" s="29" t="s">
        <v>198</v>
      </c>
      <c r="C146" s="29"/>
      <c r="D146" s="29"/>
      <c r="E146" s="29" t="str">
        <f t="shared" si="18"/>
        <v/>
      </c>
      <c r="F146" s="29">
        <f>COUNTIFS(실시간콜입력!$B:$B,$A146,실시간콜입력!$E:$E,"A",실시간콜입력!$G:$G,$B146,실시간콜입력!$O:$O,"방문완료")+COUNTIFS(실시간콜입력!$B:$B,$A146,실시간콜입력!$E:$E,"A",실시간콜입력!$H:$H,$B146,실시간콜입력!$O:$O,"방문완료")</f>
        <v>0</v>
      </c>
      <c r="G146" s="29">
        <f>COUNTIFS(실시간콜입력!$B:$B,$A146,실시간콜입력!$E:$E,"B",실시간콜입력!$G:$G,$B146,실시간콜입력!$O:$O,"방문완료")+COUNTIFS(실시간콜입력!$B:$B,$A146,실시간콜입력!$E:$E,"B",실시간콜입력!$H:$H,$B146,실시간콜입력!$O:$O,"방문완료")</f>
        <v>0</v>
      </c>
      <c r="H146" s="29">
        <f>COUNTIFS(실시간콜입력!$B:$B,$A146,실시간콜입력!$E:$E,"C",실시간콜입력!$G:$G,$B146,실시간콜입력!$O:$O,"방문완료")+COUNTIFS(실시간콜입력!$B:$B,$A146,실시간콜입력!$E:$E,"C",실시간콜입력!$H:$H,$B146,실시간콜입력!$O:$O,"방문완료")</f>
        <v>0</v>
      </c>
      <c r="I146" s="29">
        <f>COUNTIFS(실시간콜입력!$B:$B,$A146,실시간콜입력!$E:$E,"D",실시간콜입력!$G:$G,$B146,실시간콜입력!$O:$O,"방문완료")+COUNTIFS(실시간콜입력!$B:$B,$A146,실시간콜입력!$E:$E,"D",실시간콜입력!$H:$H,$B146,실시간콜입력!$O:$O,"방문완료")</f>
        <v>0</v>
      </c>
      <c r="J146" s="29">
        <f>COUNTIFS(실시간콜입력!$B:$B,$A146,실시간콜입력!$E:$E,"E",실시간콜입력!$G:$G,$B146,실시간콜입력!$O:$O,"방문완료")+COUNTIFS(실시간콜입력!$B:$B,$A146,실시간콜입력!$E:$E,"E",실시간콜입력!$H:$H,$B146,실시간콜입력!$O:$O,"방문완료")</f>
        <v>0</v>
      </c>
      <c r="K146" s="29">
        <f t="shared" si="19"/>
        <v>0</v>
      </c>
      <c r="L146" s="33">
        <f>SUMIFS(실시간콜입력!$K:$K,실시간콜입력!$B:$B,$A146,실시간콜입력!$G:$G,$B146,실시간콜입력!$O:$O,"방문완료")+SUMIFS(실시간콜입력!$L:$L,실시간콜입력!$B:$B,$A146,실시간콜입력!$H:$H,$B146,실시간콜입력!$O:$O,"방문완료")</f>
        <v>0</v>
      </c>
      <c r="M146" s="29" t="str">
        <f t="shared" si="20"/>
        <v/>
      </c>
      <c r="N146" s="29"/>
    </row>
    <row r="147" spans="1:14" ht="19.5" hidden="1" customHeight="1" outlineLevel="1">
      <c r="A147" s="24">
        <f>IF(3&lt;=DAY(DATE(YEAR(설정_코스수당!$K$2),MONTH(설정_코스수당!$K$2)+1,0)),DATE(YEAR(설정_코스수당!$K$2),MONTH(설정_코스수당!$K$2),3),"")</f>
        <v>46176</v>
      </c>
      <c r="B147" s="23" t="s">
        <v>199</v>
      </c>
      <c r="C147" s="29"/>
      <c r="D147" s="29"/>
      <c r="E147" s="29" t="str">
        <f t="shared" si="18"/>
        <v/>
      </c>
      <c r="F147" s="29">
        <f>COUNTIFS(실시간콜입력!$B:$B,$A147,실시간콜입력!$E:$E,"A",실시간콜입력!$G:$G,$B147,실시간콜입력!$O:$O,"방문완료")+COUNTIFS(실시간콜입력!$B:$B,$A147,실시간콜입력!$E:$E,"A",실시간콜입력!$H:$H,$B147,실시간콜입력!$O:$O,"방문완료")</f>
        <v>0</v>
      </c>
      <c r="G147" s="29">
        <f>COUNTIFS(실시간콜입력!$B:$B,$A147,실시간콜입력!$E:$E,"B",실시간콜입력!$G:$G,$B147,실시간콜입력!$O:$O,"방문완료")+COUNTIFS(실시간콜입력!$B:$B,$A147,실시간콜입력!$E:$E,"B",실시간콜입력!$H:$H,$B147,실시간콜입력!$O:$O,"방문완료")</f>
        <v>0</v>
      </c>
      <c r="H147" s="29">
        <f>COUNTIFS(실시간콜입력!$B:$B,$A147,실시간콜입력!$E:$E,"C",실시간콜입력!$G:$G,$B147,실시간콜입력!$O:$O,"방문완료")+COUNTIFS(실시간콜입력!$B:$B,$A147,실시간콜입력!$E:$E,"C",실시간콜입력!$H:$H,$B147,실시간콜입력!$O:$O,"방문완료")</f>
        <v>0</v>
      </c>
      <c r="I147" s="29">
        <f>COUNTIFS(실시간콜입력!$B:$B,$A147,실시간콜입력!$E:$E,"D",실시간콜입력!$G:$G,$B147,실시간콜입력!$O:$O,"방문완료")+COUNTIFS(실시간콜입력!$B:$B,$A147,실시간콜입력!$E:$E,"D",실시간콜입력!$H:$H,$B147,실시간콜입력!$O:$O,"방문완료")</f>
        <v>0</v>
      </c>
      <c r="J147" s="29">
        <f>COUNTIFS(실시간콜입력!$B:$B,$A147,실시간콜입력!$E:$E,"E",실시간콜입력!$G:$G,$B147,실시간콜입력!$O:$O,"방문완료")+COUNTIFS(실시간콜입력!$B:$B,$A147,실시간콜입력!$E:$E,"E",실시간콜입력!$H:$H,$B147,실시간콜입력!$O:$O,"방문완료")</f>
        <v>0</v>
      </c>
      <c r="K147" s="29">
        <f t="shared" si="19"/>
        <v>0</v>
      </c>
      <c r="L147" s="27">
        <f>SUMIFS(실시간콜입력!$K:$K,실시간콜입력!$B:$B,$A147,실시간콜입력!$G:$G,$B147,실시간콜입력!$O:$O,"방문완료")+SUMIFS(실시간콜입력!$L:$L,실시간콜입력!$B:$B,$A147,실시간콜입력!$H:$H,$B147,실시간콜입력!$O:$O,"방문완료")</f>
        <v>0</v>
      </c>
      <c r="M147" s="29" t="str">
        <f t="shared" si="20"/>
        <v/>
      </c>
      <c r="N147" s="29"/>
    </row>
    <row r="148" spans="1:14" ht="19.5" hidden="1" customHeight="1" outlineLevel="1">
      <c r="A148" s="30">
        <f>IF(3&lt;=DAY(DATE(YEAR(설정_코스수당!$K$2),MONTH(설정_코스수당!$K$2)+1,0)),DATE(YEAR(설정_코스수당!$K$2),MONTH(설정_코스수당!$K$2),3),"")</f>
        <v>46176</v>
      </c>
      <c r="B148" s="29" t="s">
        <v>200</v>
      </c>
      <c r="C148" s="29"/>
      <c r="D148" s="29"/>
      <c r="E148" s="29" t="str">
        <f t="shared" si="18"/>
        <v/>
      </c>
      <c r="F148" s="29">
        <f>COUNTIFS(실시간콜입력!$B:$B,$A148,실시간콜입력!$E:$E,"A",실시간콜입력!$G:$G,$B148,실시간콜입력!$O:$O,"방문완료")+COUNTIFS(실시간콜입력!$B:$B,$A148,실시간콜입력!$E:$E,"A",실시간콜입력!$H:$H,$B148,실시간콜입력!$O:$O,"방문완료")</f>
        <v>0</v>
      </c>
      <c r="G148" s="29">
        <f>COUNTIFS(실시간콜입력!$B:$B,$A148,실시간콜입력!$E:$E,"B",실시간콜입력!$G:$G,$B148,실시간콜입력!$O:$O,"방문완료")+COUNTIFS(실시간콜입력!$B:$B,$A148,실시간콜입력!$E:$E,"B",실시간콜입력!$H:$H,$B148,실시간콜입력!$O:$O,"방문완료")</f>
        <v>0</v>
      </c>
      <c r="H148" s="29">
        <f>COUNTIFS(실시간콜입력!$B:$B,$A148,실시간콜입력!$E:$E,"C",실시간콜입력!$G:$G,$B148,실시간콜입력!$O:$O,"방문완료")+COUNTIFS(실시간콜입력!$B:$B,$A148,실시간콜입력!$E:$E,"C",실시간콜입력!$H:$H,$B148,실시간콜입력!$O:$O,"방문완료")</f>
        <v>0</v>
      </c>
      <c r="I148" s="29">
        <f>COUNTIFS(실시간콜입력!$B:$B,$A148,실시간콜입력!$E:$E,"D",실시간콜입력!$G:$G,$B148,실시간콜입력!$O:$O,"방문완료")+COUNTIFS(실시간콜입력!$B:$B,$A148,실시간콜입력!$E:$E,"D",실시간콜입력!$H:$H,$B148,실시간콜입력!$O:$O,"방문완료")</f>
        <v>0</v>
      </c>
      <c r="J148" s="29">
        <f>COUNTIFS(실시간콜입력!$B:$B,$A148,실시간콜입력!$E:$E,"E",실시간콜입력!$G:$G,$B148,실시간콜입력!$O:$O,"방문완료")+COUNTIFS(실시간콜입력!$B:$B,$A148,실시간콜입력!$E:$E,"E",실시간콜입력!$H:$H,$B148,실시간콜입력!$O:$O,"방문완료")</f>
        <v>0</v>
      </c>
      <c r="K148" s="29">
        <f t="shared" si="19"/>
        <v>0</v>
      </c>
      <c r="L148" s="33">
        <f>SUMIFS(실시간콜입력!$K:$K,실시간콜입력!$B:$B,$A148,실시간콜입력!$G:$G,$B148,실시간콜입력!$O:$O,"방문완료")+SUMIFS(실시간콜입력!$L:$L,실시간콜입력!$B:$B,$A148,실시간콜입력!$H:$H,$B148,실시간콜입력!$O:$O,"방문완료")</f>
        <v>0</v>
      </c>
      <c r="M148" s="29" t="str">
        <f t="shared" si="20"/>
        <v/>
      </c>
      <c r="N148" s="29"/>
    </row>
    <row r="149" spans="1:14" ht="19.5" hidden="1" customHeight="1" outlineLevel="1">
      <c r="A149" s="24">
        <f>IF(3&lt;=DAY(DATE(YEAR(설정_코스수당!$K$2),MONTH(설정_코스수당!$K$2)+1,0)),DATE(YEAR(설정_코스수당!$K$2),MONTH(설정_코스수당!$K$2),3),"")</f>
        <v>46176</v>
      </c>
      <c r="B149" s="23" t="s">
        <v>201</v>
      </c>
      <c r="C149" s="29"/>
      <c r="D149" s="29"/>
      <c r="E149" s="29" t="str">
        <f t="shared" si="18"/>
        <v/>
      </c>
      <c r="F149" s="29">
        <f>COUNTIFS(실시간콜입력!$B:$B,$A149,실시간콜입력!$E:$E,"A",실시간콜입력!$G:$G,$B149,실시간콜입력!$O:$O,"방문완료")+COUNTIFS(실시간콜입력!$B:$B,$A149,실시간콜입력!$E:$E,"A",실시간콜입력!$H:$H,$B149,실시간콜입력!$O:$O,"방문완료")</f>
        <v>0</v>
      </c>
      <c r="G149" s="29">
        <f>COUNTIFS(실시간콜입력!$B:$B,$A149,실시간콜입력!$E:$E,"B",실시간콜입력!$G:$G,$B149,실시간콜입력!$O:$O,"방문완료")+COUNTIFS(실시간콜입력!$B:$B,$A149,실시간콜입력!$E:$E,"B",실시간콜입력!$H:$H,$B149,실시간콜입력!$O:$O,"방문완료")</f>
        <v>0</v>
      </c>
      <c r="H149" s="29">
        <f>COUNTIFS(실시간콜입력!$B:$B,$A149,실시간콜입력!$E:$E,"C",실시간콜입력!$G:$G,$B149,실시간콜입력!$O:$O,"방문완료")+COUNTIFS(실시간콜입력!$B:$B,$A149,실시간콜입력!$E:$E,"C",실시간콜입력!$H:$H,$B149,실시간콜입력!$O:$O,"방문완료")</f>
        <v>0</v>
      </c>
      <c r="I149" s="29">
        <f>COUNTIFS(실시간콜입력!$B:$B,$A149,실시간콜입력!$E:$E,"D",실시간콜입력!$G:$G,$B149,실시간콜입력!$O:$O,"방문완료")+COUNTIFS(실시간콜입력!$B:$B,$A149,실시간콜입력!$E:$E,"D",실시간콜입력!$H:$H,$B149,실시간콜입력!$O:$O,"방문완료")</f>
        <v>0</v>
      </c>
      <c r="J149" s="29">
        <f>COUNTIFS(실시간콜입력!$B:$B,$A149,실시간콜입력!$E:$E,"E",실시간콜입력!$G:$G,$B149,실시간콜입력!$O:$O,"방문완료")+COUNTIFS(실시간콜입력!$B:$B,$A149,실시간콜입력!$E:$E,"E",실시간콜입력!$H:$H,$B149,실시간콜입력!$O:$O,"방문완료")</f>
        <v>0</v>
      </c>
      <c r="K149" s="29">
        <f t="shared" si="19"/>
        <v>0</v>
      </c>
      <c r="L149" s="27">
        <f>SUMIFS(실시간콜입력!$K:$K,실시간콜입력!$B:$B,$A149,실시간콜입력!$G:$G,$B149,실시간콜입력!$O:$O,"방문완료")+SUMIFS(실시간콜입력!$L:$L,실시간콜입력!$B:$B,$A149,실시간콜입력!$H:$H,$B149,실시간콜입력!$O:$O,"방문완료")</f>
        <v>0</v>
      </c>
      <c r="M149" s="29" t="str">
        <f t="shared" si="20"/>
        <v/>
      </c>
      <c r="N149" s="29"/>
    </row>
    <row r="150" spans="1:14" ht="19.5" hidden="1" customHeight="1" outlineLevel="1">
      <c r="A150" s="30">
        <f>IF(3&lt;=DAY(DATE(YEAR(설정_코스수당!$K$2),MONTH(설정_코스수당!$K$2)+1,0)),DATE(YEAR(설정_코스수당!$K$2),MONTH(설정_코스수당!$K$2),3),"")</f>
        <v>46176</v>
      </c>
      <c r="B150" s="29" t="s">
        <v>202</v>
      </c>
      <c r="C150" s="29"/>
      <c r="D150" s="29"/>
      <c r="E150" s="29" t="str">
        <f t="shared" si="18"/>
        <v/>
      </c>
      <c r="F150" s="29">
        <f>COUNTIFS(실시간콜입력!$B:$B,$A150,실시간콜입력!$E:$E,"A",실시간콜입력!$G:$G,$B150,실시간콜입력!$O:$O,"방문완료")+COUNTIFS(실시간콜입력!$B:$B,$A150,실시간콜입력!$E:$E,"A",실시간콜입력!$H:$H,$B150,실시간콜입력!$O:$O,"방문완료")</f>
        <v>0</v>
      </c>
      <c r="G150" s="29">
        <f>COUNTIFS(실시간콜입력!$B:$B,$A150,실시간콜입력!$E:$E,"B",실시간콜입력!$G:$G,$B150,실시간콜입력!$O:$O,"방문완료")+COUNTIFS(실시간콜입력!$B:$B,$A150,실시간콜입력!$E:$E,"B",실시간콜입력!$H:$H,$B150,실시간콜입력!$O:$O,"방문완료")</f>
        <v>0</v>
      </c>
      <c r="H150" s="29">
        <f>COUNTIFS(실시간콜입력!$B:$B,$A150,실시간콜입력!$E:$E,"C",실시간콜입력!$G:$G,$B150,실시간콜입력!$O:$O,"방문완료")+COUNTIFS(실시간콜입력!$B:$B,$A150,실시간콜입력!$E:$E,"C",실시간콜입력!$H:$H,$B150,실시간콜입력!$O:$O,"방문완료")</f>
        <v>0</v>
      </c>
      <c r="I150" s="29">
        <f>COUNTIFS(실시간콜입력!$B:$B,$A150,실시간콜입력!$E:$E,"D",실시간콜입력!$G:$G,$B150,실시간콜입력!$O:$O,"방문완료")+COUNTIFS(실시간콜입력!$B:$B,$A150,실시간콜입력!$E:$E,"D",실시간콜입력!$H:$H,$B150,실시간콜입력!$O:$O,"방문완료")</f>
        <v>0</v>
      </c>
      <c r="J150" s="29">
        <f>COUNTIFS(실시간콜입력!$B:$B,$A150,실시간콜입력!$E:$E,"E",실시간콜입력!$G:$G,$B150,실시간콜입력!$O:$O,"방문완료")+COUNTIFS(실시간콜입력!$B:$B,$A150,실시간콜입력!$E:$E,"E",실시간콜입력!$H:$H,$B150,실시간콜입력!$O:$O,"방문완료")</f>
        <v>0</v>
      </c>
      <c r="K150" s="29">
        <f t="shared" si="19"/>
        <v>0</v>
      </c>
      <c r="L150" s="33">
        <f>SUMIFS(실시간콜입력!$K:$K,실시간콜입력!$B:$B,$A150,실시간콜입력!$G:$G,$B150,실시간콜입력!$O:$O,"방문완료")+SUMIFS(실시간콜입력!$L:$L,실시간콜입력!$B:$B,$A150,실시간콜입력!$H:$H,$B150,실시간콜입력!$O:$O,"방문완료")</f>
        <v>0</v>
      </c>
      <c r="M150" s="29" t="str">
        <f t="shared" si="20"/>
        <v/>
      </c>
      <c r="N150" s="29"/>
    </row>
    <row r="151" spans="1:14" ht="19.5" hidden="1" customHeight="1" outlineLevel="1">
      <c r="A151" s="24">
        <f>IF(3&lt;=DAY(DATE(YEAR(설정_코스수당!$K$2),MONTH(설정_코스수당!$K$2)+1,0)),DATE(YEAR(설정_코스수당!$K$2),MONTH(설정_코스수당!$K$2),3),"")</f>
        <v>46176</v>
      </c>
      <c r="B151" s="23" t="s">
        <v>203</v>
      </c>
      <c r="C151" s="29"/>
      <c r="D151" s="29"/>
      <c r="E151" s="29" t="str">
        <f t="shared" si="18"/>
        <v/>
      </c>
      <c r="F151" s="29">
        <f>COUNTIFS(실시간콜입력!$B:$B,$A151,실시간콜입력!$E:$E,"A",실시간콜입력!$G:$G,$B151,실시간콜입력!$O:$O,"방문완료")+COUNTIFS(실시간콜입력!$B:$B,$A151,실시간콜입력!$E:$E,"A",실시간콜입력!$H:$H,$B151,실시간콜입력!$O:$O,"방문완료")</f>
        <v>0</v>
      </c>
      <c r="G151" s="29">
        <f>COUNTIFS(실시간콜입력!$B:$B,$A151,실시간콜입력!$E:$E,"B",실시간콜입력!$G:$G,$B151,실시간콜입력!$O:$O,"방문완료")+COUNTIFS(실시간콜입력!$B:$B,$A151,실시간콜입력!$E:$E,"B",실시간콜입력!$H:$H,$B151,실시간콜입력!$O:$O,"방문완료")</f>
        <v>0</v>
      </c>
      <c r="H151" s="29">
        <f>COUNTIFS(실시간콜입력!$B:$B,$A151,실시간콜입력!$E:$E,"C",실시간콜입력!$G:$G,$B151,실시간콜입력!$O:$O,"방문완료")+COUNTIFS(실시간콜입력!$B:$B,$A151,실시간콜입력!$E:$E,"C",실시간콜입력!$H:$H,$B151,실시간콜입력!$O:$O,"방문완료")</f>
        <v>0</v>
      </c>
      <c r="I151" s="29">
        <f>COUNTIFS(실시간콜입력!$B:$B,$A151,실시간콜입력!$E:$E,"D",실시간콜입력!$G:$G,$B151,실시간콜입력!$O:$O,"방문완료")+COUNTIFS(실시간콜입력!$B:$B,$A151,실시간콜입력!$E:$E,"D",실시간콜입력!$H:$H,$B151,실시간콜입력!$O:$O,"방문완료")</f>
        <v>0</v>
      </c>
      <c r="J151" s="29">
        <f>COUNTIFS(실시간콜입력!$B:$B,$A151,실시간콜입력!$E:$E,"E",실시간콜입력!$G:$G,$B151,실시간콜입력!$O:$O,"방문완료")+COUNTIFS(실시간콜입력!$B:$B,$A151,실시간콜입력!$E:$E,"E",실시간콜입력!$H:$H,$B151,실시간콜입력!$O:$O,"방문완료")</f>
        <v>0</v>
      </c>
      <c r="K151" s="29">
        <f t="shared" si="19"/>
        <v>0</v>
      </c>
      <c r="L151" s="27">
        <f>SUMIFS(실시간콜입력!$K:$K,실시간콜입력!$B:$B,$A151,실시간콜입력!$G:$G,$B151,실시간콜입력!$O:$O,"방문완료")+SUMIFS(실시간콜입력!$L:$L,실시간콜입력!$B:$B,$A151,실시간콜입력!$H:$H,$B151,실시간콜입력!$O:$O,"방문완료")</f>
        <v>0</v>
      </c>
      <c r="M151" s="29" t="str">
        <f t="shared" si="20"/>
        <v/>
      </c>
      <c r="N151" s="29"/>
    </row>
    <row r="152" spans="1:14" ht="19.5" hidden="1" customHeight="1" outlineLevel="1">
      <c r="A152" s="30">
        <f>IF(3&lt;=DAY(DATE(YEAR(설정_코스수당!$K$2),MONTH(설정_코스수당!$K$2)+1,0)),DATE(YEAR(설정_코스수당!$K$2),MONTH(설정_코스수당!$K$2),3),"")</f>
        <v>46176</v>
      </c>
      <c r="B152" s="29" t="s">
        <v>204</v>
      </c>
      <c r="C152" s="29"/>
      <c r="D152" s="29"/>
      <c r="E152" s="29" t="str">
        <f t="shared" si="18"/>
        <v/>
      </c>
      <c r="F152" s="29">
        <f>COUNTIFS(실시간콜입력!$B:$B,$A152,실시간콜입력!$E:$E,"A",실시간콜입력!$G:$G,$B152,실시간콜입력!$O:$O,"방문완료")+COUNTIFS(실시간콜입력!$B:$B,$A152,실시간콜입력!$E:$E,"A",실시간콜입력!$H:$H,$B152,실시간콜입력!$O:$O,"방문완료")</f>
        <v>0</v>
      </c>
      <c r="G152" s="29">
        <f>COUNTIFS(실시간콜입력!$B:$B,$A152,실시간콜입력!$E:$E,"B",실시간콜입력!$G:$G,$B152,실시간콜입력!$O:$O,"방문완료")+COUNTIFS(실시간콜입력!$B:$B,$A152,실시간콜입력!$E:$E,"B",실시간콜입력!$H:$H,$B152,실시간콜입력!$O:$O,"방문완료")</f>
        <v>0</v>
      </c>
      <c r="H152" s="29">
        <f>COUNTIFS(실시간콜입력!$B:$B,$A152,실시간콜입력!$E:$E,"C",실시간콜입력!$G:$G,$B152,실시간콜입력!$O:$O,"방문완료")+COUNTIFS(실시간콜입력!$B:$B,$A152,실시간콜입력!$E:$E,"C",실시간콜입력!$H:$H,$B152,실시간콜입력!$O:$O,"방문완료")</f>
        <v>0</v>
      </c>
      <c r="I152" s="29">
        <f>COUNTIFS(실시간콜입력!$B:$B,$A152,실시간콜입력!$E:$E,"D",실시간콜입력!$G:$G,$B152,실시간콜입력!$O:$O,"방문완료")+COUNTIFS(실시간콜입력!$B:$B,$A152,실시간콜입력!$E:$E,"D",실시간콜입력!$H:$H,$B152,실시간콜입력!$O:$O,"방문완료")</f>
        <v>0</v>
      </c>
      <c r="J152" s="29">
        <f>COUNTIFS(실시간콜입력!$B:$B,$A152,실시간콜입력!$E:$E,"E",실시간콜입력!$G:$G,$B152,실시간콜입력!$O:$O,"방문완료")+COUNTIFS(실시간콜입력!$B:$B,$A152,실시간콜입력!$E:$E,"E",실시간콜입력!$H:$H,$B152,실시간콜입력!$O:$O,"방문완료")</f>
        <v>0</v>
      </c>
      <c r="K152" s="29">
        <f t="shared" si="19"/>
        <v>0</v>
      </c>
      <c r="L152" s="33">
        <f>SUMIFS(실시간콜입력!$K:$K,실시간콜입력!$B:$B,$A152,실시간콜입력!$G:$G,$B152,실시간콜입력!$O:$O,"방문완료")+SUMIFS(실시간콜입력!$L:$L,실시간콜입력!$B:$B,$A152,실시간콜입력!$H:$H,$B152,실시간콜입력!$O:$O,"방문완료")</f>
        <v>0</v>
      </c>
      <c r="M152" s="29" t="str">
        <f t="shared" si="20"/>
        <v/>
      </c>
      <c r="N152" s="29"/>
    </row>
    <row r="153" spans="1:14" ht="19.5" hidden="1" customHeight="1" outlineLevel="1">
      <c r="A153" s="24">
        <f>IF(3&lt;=DAY(DATE(YEAR(설정_코스수당!$K$2),MONTH(설정_코스수당!$K$2)+1,0)),DATE(YEAR(설정_코스수당!$K$2),MONTH(설정_코스수당!$K$2),3),"")</f>
        <v>46176</v>
      </c>
      <c r="B153" s="23" t="s">
        <v>205</v>
      </c>
      <c r="C153" s="29"/>
      <c r="D153" s="29"/>
      <c r="E153" s="29" t="str">
        <f t="shared" si="18"/>
        <v/>
      </c>
      <c r="F153" s="29">
        <f>COUNTIFS(실시간콜입력!$B:$B,$A153,실시간콜입력!$E:$E,"A",실시간콜입력!$G:$G,$B153,실시간콜입력!$O:$O,"방문완료")+COUNTIFS(실시간콜입력!$B:$B,$A153,실시간콜입력!$E:$E,"A",실시간콜입력!$H:$H,$B153,실시간콜입력!$O:$O,"방문완료")</f>
        <v>0</v>
      </c>
      <c r="G153" s="29">
        <f>COUNTIFS(실시간콜입력!$B:$B,$A153,실시간콜입력!$E:$E,"B",실시간콜입력!$G:$G,$B153,실시간콜입력!$O:$O,"방문완료")+COUNTIFS(실시간콜입력!$B:$B,$A153,실시간콜입력!$E:$E,"B",실시간콜입력!$H:$H,$B153,실시간콜입력!$O:$O,"방문완료")</f>
        <v>0</v>
      </c>
      <c r="H153" s="29">
        <f>COUNTIFS(실시간콜입력!$B:$B,$A153,실시간콜입력!$E:$E,"C",실시간콜입력!$G:$G,$B153,실시간콜입력!$O:$O,"방문완료")+COUNTIFS(실시간콜입력!$B:$B,$A153,실시간콜입력!$E:$E,"C",실시간콜입력!$H:$H,$B153,실시간콜입력!$O:$O,"방문완료")</f>
        <v>0</v>
      </c>
      <c r="I153" s="29">
        <f>COUNTIFS(실시간콜입력!$B:$B,$A153,실시간콜입력!$E:$E,"D",실시간콜입력!$G:$G,$B153,실시간콜입력!$O:$O,"방문완료")+COUNTIFS(실시간콜입력!$B:$B,$A153,실시간콜입력!$E:$E,"D",실시간콜입력!$H:$H,$B153,실시간콜입력!$O:$O,"방문완료")</f>
        <v>0</v>
      </c>
      <c r="J153" s="29">
        <f>COUNTIFS(실시간콜입력!$B:$B,$A153,실시간콜입력!$E:$E,"E",실시간콜입력!$G:$G,$B153,실시간콜입력!$O:$O,"방문완료")+COUNTIFS(실시간콜입력!$B:$B,$A153,실시간콜입력!$E:$E,"E",실시간콜입력!$H:$H,$B153,실시간콜입력!$O:$O,"방문완료")</f>
        <v>0</v>
      </c>
      <c r="K153" s="29">
        <f t="shared" si="19"/>
        <v>0</v>
      </c>
      <c r="L153" s="27">
        <f>SUMIFS(실시간콜입력!$K:$K,실시간콜입력!$B:$B,$A153,실시간콜입력!$G:$G,$B153,실시간콜입력!$O:$O,"방문완료")+SUMIFS(실시간콜입력!$L:$L,실시간콜입력!$B:$B,$A153,실시간콜입력!$H:$H,$B153,실시간콜입력!$O:$O,"방문완료")</f>
        <v>0</v>
      </c>
      <c r="M153" s="29" t="str">
        <f t="shared" si="20"/>
        <v/>
      </c>
      <c r="N153" s="29"/>
    </row>
    <row r="154" spans="1:14" ht="19.5" hidden="1" customHeight="1" outlineLevel="1">
      <c r="A154" s="30">
        <f>IF(3&lt;=DAY(DATE(YEAR(설정_코스수당!$K$2),MONTH(설정_코스수당!$K$2)+1,0)),DATE(YEAR(설정_코스수당!$K$2),MONTH(설정_코스수당!$K$2),3),"")</f>
        <v>46176</v>
      </c>
      <c r="B154" s="29" t="s">
        <v>206</v>
      </c>
      <c r="C154" s="29"/>
      <c r="D154" s="29"/>
      <c r="E154" s="29" t="str">
        <f t="shared" si="18"/>
        <v/>
      </c>
      <c r="F154" s="29">
        <f>COUNTIFS(실시간콜입력!$B:$B,$A154,실시간콜입력!$E:$E,"A",실시간콜입력!$G:$G,$B154,실시간콜입력!$O:$O,"방문완료")+COUNTIFS(실시간콜입력!$B:$B,$A154,실시간콜입력!$E:$E,"A",실시간콜입력!$H:$H,$B154,실시간콜입력!$O:$O,"방문완료")</f>
        <v>0</v>
      </c>
      <c r="G154" s="29">
        <f>COUNTIFS(실시간콜입력!$B:$B,$A154,실시간콜입력!$E:$E,"B",실시간콜입력!$G:$G,$B154,실시간콜입력!$O:$O,"방문완료")+COUNTIFS(실시간콜입력!$B:$B,$A154,실시간콜입력!$E:$E,"B",실시간콜입력!$H:$H,$B154,실시간콜입력!$O:$O,"방문완료")</f>
        <v>0</v>
      </c>
      <c r="H154" s="29">
        <f>COUNTIFS(실시간콜입력!$B:$B,$A154,실시간콜입력!$E:$E,"C",실시간콜입력!$G:$G,$B154,실시간콜입력!$O:$O,"방문완료")+COUNTIFS(실시간콜입력!$B:$B,$A154,실시간콜입력!$E:$E,"C",실시간콜입력!$H:$H,$B154,실시간콜입력!$O:$O,"방문완료")</f>
        <v>0</v>
      </c>
      <c r="I154" s="29">
        <f>COUNTIFS(실시간콜입력!$B:$B,$A154,실시간콜입력!$E:$E,"D",실시간콜입력!$G:$G,$B154,실시간콜입력!$O:$O,"방문완료")+COUNTIFS(실시간콜입력!$B:$B,$A154,실시간콜입력!$E:$E,"D",실시간콜입력!$H:$H,$B154,실시간콜입력!$O:$O,"방문완료")</f>
        <v>0</v>
      </c>
      <c r="J154" s="29">
        <f>COUNTIFS(실시간콜입력!$B:$B,$A154,실시간콜입력!$E:$E,"E",실시간콜입력!$G:$G,$B154,실시간콜입력!$O:$O,"방문완료")+COUNTIFS(실시간콜입력!$B:$B,$A154,실시간콜입력!$E:$E,"E",실시간콜입력!$H:$H,$B154,실시간콜입력!$O:$O,"방문완료")</f>
        <v>0</v>
      </c>
      <c r="K154" s="29">
        <f t="shared" si="19"/>
        <v>0</v>
      </c>
      <c r="L154" s="33">
        <f>SUMIFS(실시간콜입력!$K:$K,실시간콜입력!$B:$B,$A154,실시간콜입력!$G:$G,$B154,실시간콜입력!$O:$O,"방문완료")+SUMIFS(실시간콜입력!$L:$L,실시간콜입력!$B:$B,$A154,실시간콜입력!$H:$H,$B154,실시간콜입력!$O:$O,"방문완료")</f>
        <v>0</v>
      </c>
      <c r="M154" s="29" t="str">
        <f t="shared" si="20"/>
        <v/>
      </c>
      <c r="N154" s="29"/>
    </row>
    <row r="155" spans="1:14" ht="19.5" hidden="1" customHeight="1" outlineLevel="1">
      <c r="A155" s="24">
        <f>IF(3&lt;=DAY(DATE(YEAR(설정_코스수당!$K$2),MONTH(설정_코스수당!$K$2)+1,0)),DATE(YEAR(설정_코스수당!$K$2),MONTH(설정_코스수당!$K$2),3),"")</f>
        <v>46176</v>
      </c>
      <c r="B155" s="23" t="s">
        <v>207</v>
      </c>
      <c r="C155" s="29"/>
      <c r="D155" s="29"/>
      <c r="E155" s="29" t="str">
        <f t="shared" si="18"/>
        <v/>
      </c>
      <c r="F155" s="29">
        <f>COUNTIFS(실시간콜입력!$B:$B,$A155,실시간콜입력!$E:$E,"A",실시간콜입력!$G:$G,$B155,실시간콜입력!$O:$O,"방문완료")+COUNTIFS(실시간콜입력!$B:$B,$A155,실시간콜입력!$E:$E,"A",실시간콜입력!$H:$H,$B155,실시간콜입력!$O:$O,"방문완료")</f>
        <v>0</v>
      </c>
      <c r="G155" s="29">
        <f>COUNTIFS(실시간콜입력!$B:$B,$A155,실시간콜입력!$E:$E,"B",실시간콜입력!$G:$G,$B155,실시간콜입력!$O:$O,"방문완료")+COUNTIFS(실시간콜입력!$B:$B,$A155,실시간콜입력!$E:$E,"B",실시간콜입력!$H:$H,$B155,실시간콜입력!$O:$O,"방문완료")</f>
        <v>0</v>
      </c>
      <c r="H155" s="29">
        <f>COUNTIFS(실시간콜입력!$B:$B,$A155,실시간콜입력!$E:$E,"C",실시간콜입력!$G:$G,$B155,실시간콜입력!$O:$O,"방문완료")+COUNTIFS(실시간콜입력!$B:$B,$A155,실시간콜입력!$E:$E,"C",실시간콜입력!$H:$H,$B155,실시간콜입력!$O:$O,"방문완료")</f>
        <v>0</v>
      </c>
      <c r="I155" s="29">
        <f>COUNTIFS(실시간콜입력!$B:$B,$A155,실시간콜입력!$E:$E,"D",실시간콜입력!$G:$G,$B155,실시간콜입력!$O:$O,"방문완료")+COUNTIFS(실시간콜입력!$B:$B,$A155,실시간콜입력!$E:$E,"D",실시간콜입력!$H:$H,$B155,실시간콜입력!$O:$O,"방문완료")</f>
        <v>0</v>
      </c>
      <c r="J155" s="29">
        <f>COUNTIFS(실시간콜입력!$B:$B,$A155,실시간콜입력!$E:$E,"E",실시간콜입력!$G:$G,$B155,실시간콜입력!$O:$O,"방문완료")+COUNTIFS(실시간콜입력!$B:$B,$A155,실시간콜입력!$E:$E,"E",실시간콜입력!$H:$H,$B155,실시간콜입력!$O:$O,"방문완료")</f>
        <v>0</v>
      </c>
      <c r="K155" s="29">
        <f t="shared" si="19"/>
        <v>0</v>
      </c>
      <c r="L155" s="27">
        <f>SUMIFS(실시간콜입력!$K:$K,실시간콜입력!$B:$B,$A155,실시간콜입력!$G:$G,$B155,실시간콜입력!$O:$O,"방문완료")+SUMIFS(실시간콜입력!$L:$L,실시간콜입력!$B:$B,$A155,실시간콜입력!$H:$H,$B155,실시간콜입력!$O:$O,"방문완료")</f>
        <v>0</v>
      </c>
      <c r="M155" s="29" t="str">
        <f t="shared" si="20"/>
        <v/>
      </c>
      <c r="N155" s="29"/>
    </row>
    <row r="156" spans="1:14" ht="19.5" hidden="1" customHeight="1" outlineLevel="1">
      <c r="A156" s="30">
        <f>IF(3&lt;=DAY(DATE(YEAR(설정_코스수당!$K$2),MONTH(설정_코스수당!$K$2)+1,0)),DATE(YEAR(설정_코스수당!$K$2),MONTH(설정_코스수당!$K$2),3),"")</f>
        <v>46176</v>
      </c>
      <c r="B156" s="29" t="s">
        <v>208</v>
      </c>
      <c r="C156" s="29"/>
      <c r="D156" s="29"/>
      <c r="E156" s="29" t="str">
        <f t="shared" si="18"/>
        <v/>
      </c>
      <c r="F156" s="29">
        <f>COUNTIFS(실시간콜입력!$B:$B,$A156,실시간콜입력!$E:$E,"A",실시간콜입력!$G:$G,$B156,실시간콜입력!$O:$O,"방문완료")+COUNTIFS(실시간콜입력!$B:$B,$A156,실시간콜입력!$E:$E,"A",실시간콜입력!$H:$H,$B156,실시간콜입력!$O:$O,"방문완료")</f>
        <v>0</v>
      </c>
      <c r="G156" s="29">
        <f>COUNTIFS(실시간콜입력!$B:$B,$A156,실시간콜입력!$E:$E,"B",실시간콜입력!$G:$G,$B156,실시간콜입력!$O:$O,"방문완료")+COUNTIFS(실시간콜입력!$B:$B,$A156,실시간콜입력!$E:$E,"B",실시간콜입력!$H:$H,$B156,실시간콜입력!$O:$O,"방문완료")</f>
        <v>0</v>
      </c>
      <c r="H156" s="29">
        <f>COUNTIFS(실시간콜입력!$B:$B,$A156,실시간콜입력!$E:$E,"C",실시간콜입력!$G:$G,$B156,실시간콜입력!$O:$O,"방문완료")+COUNTIFS(실시간콜입력!$B:$B,$A156,실시간콜입력!$E:$E,"C",실시간콜입력!$H:$H,$B156,실시간콜입력!$O:$O,"방문완료")</f>
        <v>0</v>
      </c>
      <c r="I156" s="29">
        <f>COUNTIFS(실시간콜입력!$B:$B,$A156,실시간콜입력!$E:$E,"D",실시간콜입력!$G:$G,$B156,실시간콜입력!$O:$O,"방문완료")+COUNTIFS(실시간콜입력!$B:$B,$A156,실시간콜입력!$E:$E,"D",실시간콜입력!$H:$H,$B156,실시간콜입력!$O:$O,"방문완료")</f>
        <v>0</v>
      </c>
      <c r="J156" s="29">
        <f>COUNTIFS(실시간콜입력!$B:$B,$A156,실시간콜입력!$E:$E,"E",실시간콜입력!$G:$G,$B156,실시간콜입력!$O:$O,"방문완료")+COUNTIFS(실시간콜입력!$B:$B,$A156,실시간콜입력!$E:$E,"E",실시간콜입력!$H:$H,$B156,실시간콜입력!$O:$O,"방문완료")</f>
        <v>0</v>
      </c>
      <c r="K156" s="29">
        <f t="shared" si="19"/>
        <v>0</v>
      </c>
      <c r="L156" s="33">
        <f>SUMIFS(실시간콜입력!$K:$K,실시간콜입력!$B:$B,$A156,실시간콜입력!$G:$G,$B156,실시간콜입력!$O:$O,"방문완료")+SUMIFS(실시간콜입력!$L:$L,실시간콜입력!$B:$B,$A156,실시간콜입력!$H:$H,$B156,실시간콜입력!$O:$O,"방문완료")</f>
        <v>0</v>
      </c>
      <c r="M156" s="29" t="str">
        <f t="shared" si="20"/>
        <v/>
      </c>
      <c r="N156" s="29"/>
    </row>
    <row r="157" spans="1:14" ht="19.5" hidden="1" customHeight="1" outlineLevel="1">
      <c r="A157" s="24">
        <f>IF(3&lt;=DAY(DATE(YEAR(설정_코스수당!$K$2),MONTH(설정_코스수당!$K$2)+1,0)),DATE(YEAR(설정_코스수당!$K$2),MONTH(설정_코스수당!$K$2),3),"")</f>
        <v>46176</v>
      </c>
      <c r="B157" s="23" t="s">
        <v>209</v>
      </c>
      <c r="C157" s="29"/>
      <c r="D157" s="29"/>
      <c r="E157" s="29" t="str">
        <f t="shared" si="18"/>
        <v/>
      </c>
      <c r="F157" s="29">
        <f>COUNTIFS(실시간콜입력!$B:$B,$A157,실시간콜입력!$E:$E,"A",실시간콜입력!$G:$G,$B157,실시간콜입력!$O:$O,"방문완료")+COUNTIFS(실시간콜입력!$B:$B,$A157,실시간콜입력!$E:$E,"A",실시간콜입력!$H:$H,$B157,실시간콜입력!$O:$O,"방문완료")</f>
        <v>0</v>
      </c>
      <c r="G157" s="29">
        <f>COUNTIFS(실시간콜입력!$B:$B,$A157,실시간콜입력!$E:$E,"B",실시간콜입력!$G:$G,$B157,실시간콜입력!$O:$O,"방문완료")+COUNTIFS(실시간콜입력!$B:$B,$A157,실시간콜입력!$E:$E,"B",실시간콜입력!$H:$H,$B157,실시간콜입력!$O:$O,"방문완료")</f>
        <v>0</v>
      </c>
      <c r="H157" s="29">
        <f>COUNTIFS(실시간콜입력!$B:$B,$A157,실시간콜입력!$E:$E,"C",실시간콜입력!$G:$G,$B157,실시간콜입력!$O:$O,"방문완료")+COUNTIFS(실시간콜입력!$B:$B,$A157,실시간콜입력!$E:$E,"C",실시간콜입력!$H:$H,$B157,실시간콜입력!$O:$O,"방문완료")</f>
        <v>0</v>
      </c>
      <c r="I157" s="29">
        <f>COUNTIFS(실시간콜입력!$B:$B,$A157,실시간콜입력!$E:$E,"D",실시간콜입력!$G:$G,$B157,실시간콜입력!$O:$O,"방문완료")+COUNTIFS(실시간콜입력!$B:$B,$A157,실시간콜입력!$E:$E,"D",실시간콜입력!$H:$H,$B157,실시간콜입력!$O:$O,"방문완료")</f>
        <v>0</v>
      </c>
      <c r="J157" s="29">
        <f>COUNTIFS(실시간콜입력!$B:$B,$A157,실시간콜입력!$E:$E,"E",실시간콜입력!$G:$G,$B157,실시간콜입력!$O:$O,"방문완료")+COUNTIFS(실시간콜입력!$B:$B,$A157,실시간콜입력!$E:$E,"E",실시간콜입력!$H:$H,$B157,실시간콜입력!$O:$O,"방문완료")</f>
        <v>0</v>
      </c>
      <c r="K157" s="29">
        <f t="shared" si="19"/>
        <v>0</v>
      </c>
      <c r="L157" s="27">
        <f>SUMIFS(실시간콜입력!$K:$K,실시간콜입력!$B:$B,$A157,실시간콜입력!$G:$G,$B157,실시간콜입력!$O:$O,"방문완료")+SUMIFS(실시간콜입력!$L:$L,실시간콜입력!$B:$B,$A157,실시간콜입력!$H:$H,$B157,실시간콜입력!$O:$O,"방문완료")</f>
        <v>0</v>
      </c>
      <c r="M157" s="29" t="str">
        <f t="shared" si="20"/>
        <v/>
      </c>
      <c r="N157" s="29"/>
    </row>
    <row r="158" spans="1:14" ht="19.5" hidden="1" customHeight="1" outlineLevel="1">
      <c r="A158" s="30">
        <f>IF(3&lt;=DAY(DATE(YEAR(설정_코스수당!$K$2),MONTH(설정_코스수당!$K$2)+1,0)),DATE(YEAR(설정_코스수당!$K$2),MONTH(설정_코스수당!$K$2),3),"")</f>
        <v>46176</v>
      </c>
      <c r="B158" s="29" t="s">
        <v>210</v>
      </c>
      <c r="C158" s="29"/>
      <c r="D158" s="29"/>
      <c r="E158" s="29" t="str">
        <f t="shared" si="18"/>
        <v/>
      </c>
      <c r="F158" s="29">
        <f>COUNTIFS(실시간콜입력!$B:$B,$A158,실시간콜입력!$E:$E,"A",실시간콜입력!$G:$G,$B158,실시간콜입력!$O:$O,"방문완료")+COUNTIFS(실시간콜입력!$B:$B,$A158,실시간콜입력!$E:$E,"A",실시간콜입력!$H:$H,$B158,실시간콜입력!$O:$O,"방문완료")</f>
        <v>0</v>
      </c>
      <c r="G158" s="29">
        <f>COUNTIFS(실시간콜입력!$B:$B,$A158,실시간콜입력!$E:$E,"B",실시간콜입력!$G:$G,$B158,실시간콜입력!$O:$O,"방문완료")+COUNTIFS(실시간콜입력!$B:$B,$A158,실시간콜입력!$E:$E,"B",실시간콜입력!$H:$H,$B158,실시간콜입력!$O:$O,"방문완료")</f>
        <v>0</v>
      </c>
      <c r="H158" s="29">
        <f>COUNTIFS(실시간콜입력!$B:$B,$A158,실시간콜입력!$E:$E,"C",실시간콜입력!$G:$G,$B158,실시간콜입력!$O:$O,"방문완료")+COUNTIFS(실시간콜입력!$B:$B,$A158,실시간콜입력!$E:$E,"C",실시간콜입력!$H:$H,$B158,실시간콜입력!$O:$O,"방문완료")</f>
        <v>0</v>
      </c>
      <c r="I158" s="29">
        <f>COUNTIFS(실시간콜입력!$B:$B,$A158,실시간콜입력!$E:$E,"D",실시간콜입력!$G:$G,$B158,실시간콜입력!$O:$O,"방문완료")+COUNTIFS(실시간콜입력!$B:$B,$A158,실시간콜입력!$E:$E,"D",실시간콜입력!$H:$H,$B158,실시간콜입력!$O:$O,"방문완료")</f>
        <v>0</v>
      </c>
      <c r="J158" s="29">
        <f>COUNTIFS(실시간콜입력!$B:$B,$A158,실시간콜입력!$E:$E,"E",실시간콜입력!$G:$G,$B158,실시간콜입력!$O:$O,"방문완료")+COUNTIFS(실시간콜입력!$B:$B,$A158,실시간콜입력!$E:$E,"E",실시간콜입력!$H:$H,$B158,실시간콜입력!$O:$O,"방문완료")</f>
        <v>0</v>
      </c>
      <c r="K158" s="29">
        <f t="shared" si="19"/>
        <v>0</v>
      </c>
      <c r="L158" s="33">
        <f>SUMIFS(실시간콜입력!$K:$K,실시간콜입력!$B:$B,$A158,실시간콜입력!$G:$G,$B158,실시간콜입력!$O:$O,"방문완료")+SUMIFS(실시간콜입력!$L:$L,실시간콜입력!$B:$B,$A158,실시간콜입력!$H:$H,$B158,실시간콜입력!$O:$O,"방문완료")</f>
        <v>0</v>
      </c>
      <c r="M158" s="29" t="str">
        <f t="shared" si="20"/>
        <v/>
      </c>
      <c r="N158" s="29"/>
    </row>
    <row r="159" spans="1:14" ht="19.5" hidden="1" customHeight="1" outlineLevel="1">
      <c r="A159" s="24">
        <f>IF(3&lt;=DAY(DATE(YEAR(설정_코스수당!$K$2),MONTH(설정_코스수당!$K$2)+1,0)),DATE(YEAR(설정_코스수당!$K$2),MONTH(설정_코스수당!$K$2),3),"")</f>
        <v>46176</v>
      </c>
      <c r="B159" s="23" t="s">
        <v>211</v>
      </c>
      <c r="C159" s="29"/>
      <c r="D159" s="29"/>
      <c r="E159" s="29" t="str">
        <f t="shared" si="18"/>
        <v/>
      </c>
      <c r="F159" s="29">
        <f>COUNTIFS(실시간콜입력!$B:$B,$A159,실시간콜입력!$E:$E,"A",실시간콜입력!$G:$G,$B159,실시간콜입력!$O:$O,"방문완료")+COUNTIFS(실시간콜입력!$B:$B,$A159,실시간콜입력!$E:$E,"A",실시간콜입력!$H:$H,$B159,실시간콜입력!$O:$O,"방문완료")</f>
        <v>0</v>
      </c>
      <c r="G159" s="29">
        <f>COUNTIFS(실시간콜입력!$B:$B,$A159,실시간콜입력!$E:$E,"B",실시간콜입력!$G:$G,$B159,실시간콜입력!$O:$O,"방문완료")+COUNTIFS(실시간콜입력!$B:$B,$A159,실시간콜입력!$E:$E,"B",실시간콜입력!$H:$H,$B159,실시간콜입력!$O:$O,"방문완료")</f>
        <v>0</v>
      </c>
      <c r="H159" s="29">
        <f>COUNTIFS(실시간콜입력!$B:$B,$A159,실시간콜입력!$E:$E,"C",실시간콜입력!$G:$G,$B159,실시간콜입력!$O:$O,"방문완료")+COUNTIFS(실시간콜입력!$B:$B,$A159,실시간콜입력!$E:$E,"C",실시간콜입력!$H:$H,$B159,실시간콜입력!$O:$O,"방문완료")</f>
        <v>0</v>
      </c>
      <c r="I159" s="29">
        <f>COUNTIFS(실시간콜입력!$B:$B,$A159,실시간콜입력!$E:$E,"D",실시간콜입력!$G:$G,$B159,실시간콜입력!$O:$O,"방문완료")+COUNTIFS(실시간콜입력!$B:$B,$A159,실시간콜입력!$E:$E,"D",실시간콜입력!$H:$H,$B159,실시간콜입력!$O:$O,"방문완료")</f>
        <v>0</v>
      </c>
      <c r="J159" s="29">
        <f>COUNTIFS(실시간콜입력!$B:$B,$A159,실시간콜입력!$E:$E,"E",실시간콜입력!$G:$G,$B159,실시간콜입력!$O:$O,"방문완료")+COUNTIFS(실시간콜입력!$B:$B,$A159,실시간콜입력!$E:$E,"E",실시간콜입력!$H:$H,$B159,실시간콜입력!$O:$O,"방문완료")</f>
        <v>0</v>
      </c>
      <c r="K159" s="29">
        <f t="shared" si="19"/>
        <v>0</v>
      </c>
      <c r="L159" s="27">
        <f>SUMIFS(실시간콜입력!$K:$K,실시간콜입력!$B:$B,$A159,실시간콜입력!$G:$G,$B159,실시간콜입력!$O:$O,"방문완료")+SUMIFS(실시간콜입력!$L:$L,실시간콜입력!$B:$B,$A159,실시간콜입력!$H:$H,$B159,실시간콜입력!$O:$O,"방문완료")</f>
        <v>0</v>
      </c>
      <c r="M159" s="29" t="str">
        <f t="shared" si="20"/>
        <v/>
      </c>
      <c r="N159" s="29"/>
    </row>
    <row r="160" spans="1:14" ht="19.5" hidden="1" customHeight="1" outlineLevel="1">
      <c r="A160" s="30">
        <f>IF(3&lt;=DAY(DATE(YEAR(설정_코스수당!$K$2),MONTH(설정_코스수당!$K$2)+1,0)),DATE(YEAR(설정_코스수당!$K$2),MONTH(설정_코스수당!$K$2),3),"")</f>
        <v>46176</v>
      </c>
      <c r="B160" s="29" t="s">
        <v>212</v>
      </c>
      <c r="C160" s="29"/>
      <c r="D160" s="29"/>
      <c r="E160" s="29" t="str">
        <f t="shared" si="18"/>
        <v/>
      </c>
      <c r="F160" s="29">
        <f>COUNTIFS(실시간콜입력!$B:$B,$A160,실시간콜입력!$E:$E,"A",실시간콜입력!$G:$G,$B160,실시간콜입력!$O:$O,"방문완료")+COUNTIFS(실시간콜입력!$B:$B,$A160,실시간콜입력!$E:$E,"A",실시간콜입력!$H:$H,$B160,실시간콜입력!$O:$O,"방문완료")</f>
        <v>0</v>
      </c>
      <c r="G160" s="29">
        <f>COUNTIFS(실시간콜입력!$B:$B,$A160,실시간콜입력!$E:$E,"B",실시간콜입력!$G:$G,$B160,실시간콜입력!$O:$O,"방문완료")+COUNTIFS(실시간콜입력!$B:$B,$A160,실시간콜입력!$E:$E,"B",실시간콜입력!$H:$H,$B160,실시간콜입력!$O:$O,"방문완료")</f>
        <v>0</v>
      </c>
      <c r="H160" s="29">
        <f>COUNTIFS(실시간콜입력!$B:$B,$A160,실시간콜입력!$E:$E,"C",실시간콜입력!$G:$G,$B160,실시간콜입력!$O:$O,"방문완료")+COUNTIFS(실시간콜입력!$B:$B,$A160,실시간콜입력!$E:$E,"C",실시간콜입력!$H:$H,$B160,실시간콜입력!$O:$O,"방문완료")</f>
        <v>0</v>
      </c>
      <c r="I160" s="29">
        <f>COUNTIFS(실시간콜입력!$B:$B,$A160,실시간콜입력!$E:$E,"D",실시간콜입력!$G:$G,$B160,실시간콜입력!$O:$O,"방문완료")+COUNTIFS(실시간콜입력!$B:$B,$A160,실시간콜입력!$E:$E,"D",실시간콜입력!$H:$H,$B160,실시간콜입력!$O:$O,"방문완료")</f>
        <v>0</v>
      </c>
      <c r="J160" s="29">
        <f>COUNTIFS(실시간콜입력!$B:$B,$A160,실시간콜입력!$E:$E,"E",실시간콜입력!$G:$G,$B160,실시간콜입력!$O:$O,"방문완료")+COUNTIFS(실시간콜입력!$B:$B,$A160,실시간콜입력!$E:$E,"E",실시간콜입력!$H:$H,$B160,실시간콜입력!$O:$O,"방문완료")</f>
        <v>0</v>
      </c>
      <c r="K160" s="29">
        <f t="shared" si="19"/>
        <v>0</v>
      </c>
      <c r="L160" s="33">
        <f>SUMIFS(실시간콜입력!$K:$K,실시간콜입력!$B:$B,$A160,실시간콜입력!$G:$G,$B160,실시간콜입력!$O:$O,"방문완료")+SUMIFS(실시간콜입력!$L:$L,실시간콜입력!$B:$B,$A160,실시간콜입력!$H:$H,$B160,실시간콜입력!$O:$O,"방문완료")</f>
        <v>0</v>
      </c>
      <c r="M160" s="29" t="str">
        <f t="shared" si="20"/>
        <v/>
      </c>
      <c r="N160" s="29"/>
    </row>
    <row r="161" spans="1:14" ht="21.75" customHeight="1" collapsed="1">
      <c r="A161" s="64">
        <f>IF(4&lt;=DAY(DATE(YEAR(설정_코스수당!$K$2),MONTH(설정_코스수당!$K$2)+1,0)),DATE(YEAR(설정_코스수당!$K$2),MONTH(설정_코스수당!$K$2),4),"")</f>
        <v>46177</v>
      </c>
      <c r="B161" s="65" t="str">
        <f>IF(A161="","","출근 "&amp;COUNTIF(C163:C212,"&lt;&gt;")&amp;"명")</f>
        <v>출근 0명</v>
      </c>
      <c r="C161" s="65" t="str">
        <f>IF(A161="","","만근 "&amp;COUNTIF(M163:M212,"인정")&amp;"명")</f>
        <v>만근 0명</v>
      </c>
      <c r="D161" s="65" t="str">
        <f>IFERROR("평균 "&amp;TEXT(AVERAGEIF(E163:E212,"&gt;0",E163:E212),"0.0")&amp;"h","평균 -")</f>
        <v>평균 -</v>
      </c>
      <c r="E161" s="65" t="s">
        <v>163</v>
      </c>
      <c r="F161" s="65">
        <f t="shared" ref="F161:L161" si="21">SUM(F163:F212)</f>
        <v>0</v>
      </c>
      <c r="G161" s="65">
        <f t="shared" si="21"/>
        <v>0</v>
      </c>
      <c r="H161" s="65">
        <f t="shared" si="21"/>
        <v>0</v>
      </c>
      <c r="I161" s="65">
        <f t="shared" si="21"/>
        <v>0</v>
      </c>
      <c r="J161" s="65">
        <f t="shared" si="21"/>
        <v>0</v>
      </c>
      <c r="K161" s="65">
        <f t="shared" si="21"/>
        <v>0</v>
      </c>
      <c r="L161" s="66">
        <f t="shared" si="21"/>
        <v>0</v>
      </c>
      <c r="M161" s="65">
        <f>COUNTIF(M163:M212,"인정")</f>
        <v>0</v>
      </c>
      <c r="N161" s="65" t="s">
        <v>164</v>
      </c>
    </row>
    <row r="162" spans="1:14" ht="19.5" hidden="1" customHeight="1" outlineLevel="1">
      <c r="A162" s="20" t="s">
        <v>42</v>
      </c>
      <c r="B162" s="20" t="s">
        <v>152</v>
      </c>
      <c r="C162" s="20" t="s">
        <v>153</v>
      </c>
      <c r="D162" s="20" t="s">
        <v>154</v>
      </c>
      <c r="E162" s="20" t="s">
        <v>155</v>
      </c>
      <c r="F162" s="20" t="s">
        <v>156</v>
      </c>
      <c r="G162" s="20" t="s">
        <v>157</v>
      </c>
      <c r="H162" s="20" t="s">
        <v>158</v>
      </c>
      <c r="I162" s="20" t="s">
        <v>159</v>
      </c>
      <c r="J162" s="20" t="s">
        <v>160</v>
      </c>
      <c r="K162" s="20" t="s">
        <v>118</v>
      </c>
      <c r="L162" s="20" t="s">
        <v>161</v>
      </c>
      <c r="M162" s="20" t="s">
        <v>162</v>
      </c>
      <c r="N162" s="20" t="s">
        <v>95</v>
      </c>
    </row>
    <row r="163" spans="1:14" ht="19.5" hidden="1" customHeight="1" outlineLevel="1">
      <c r="A163" s="24">
        <f>IF(4&lt;=DAY(DATE(YEAR(설정_코스수당!$K$2),MONTH(설정_코스수당!$K$2)+1,0)),DATE(YEAR(설정_코스수당!$K$2),MONTH(설정_코스수당!$K$2),4),"")</f>
        <v>46177</v>
      </c>
      <c r="B163" s="23" t="s">
        <v>47</v>
      </c>
      <c r="C163" s="23"/>
      <c r="D163" s="23"/>
      <c r="E163" s="23" t="str">
        <f t="shared" ref="E163:E194" si="22">IF(AND(C163&lt;&gt;"",D163&lt;&gt;""),IF(D163&lt;C163,D163+1-C163,D163-C163)*24,"")</f>
        <v/>
      </c>
      <c r="F163" s="23">
        <f>COUNTIFS(실시간콜입력!$B:$B,$A163,실시간콜입력!$E:$E,"A",실시간콜입력!$G:$G,$B163,실시간콜입력!$O:$O,"방문완료")+COUNTIFS(실시간콜입력!$B:$B,$A163,실시간콜입력!$E:$E,"A",실시간콜입력!$H:$H,$B163,실시간콜입력!$O:$O,"방문완료")</f>
        <v>0</v>
      </c>
      <c r="G163" s="23">
        <f>COUNTIFS(실시간콜입력!$B:$B,$A163,실시간콜입력!$E:$E,"B",실시간콜입력!$G:$G,$B163,실시간콜입력!$O:$O,"방문완료")+COUNTIFS(실시간콜입력!$B:$B,$A163,실시간콜입력!$E:$E,"B",실시간콜입력!$H:$H,$B163,실시간콜입력!$O:$O,"방문완료")</f>
        <v>0</v>
      </c>
      <c r="H163" s="23">
        <f>COUNTIFS(실시간콜입력!$B:$B,$A163,실시간콜입력!$E:$E,"C",실시간콜입력!$G:$G,$B163,실시간콜입력!$O:$O,"방문완료")+COUNTIFS(실시간콜입력!$B:$B,$A163,실시간콜입력!$E:$E,"C",실시간콜입력!$H:$H,$B163,실시간콜입력!$O:$O,"방문완료")</f>
        <v>0</v>
      </c>
      <c r="I163" s="23">
        <f>COUNTIFS(실시간콜입력!$B:$B,$A163,실시간콜입력!$E:$E,"D",실시간콜입력!$G:$G,$B163,실시간콜입력!$O:$O,"방문완료")+COUNTIFS(실시간콜입력!$B:$B,$A163,실시간콜입력!$E:$E,"D",실시간콜입력!$H:$H,$B163,실시간콜입력!$O:$O,"방문완료")</f>
        <v>0</v>
      </c>
      <c r="J163" s="23">
        <f>COUNTIFS(실시간콜입력!$B:$B,$A163,실시간콜입력!$E:$E,"E",실시간콜입력!$G:$G,$B163,실시간콜입력!$O:$O,"방문완료")+COUNTIFS(실시간콜입력!$B:$B,$A163,실시간콜입력!$E:$E,"E",실시간콜입력!$H:$H,$B163,실시간콜입력!$O:$O,"방문완료")</f>
        <v>0</v>
      </c>
      <c r="K163" s="23">
        <f t="shared" ref="K163:K194" si="23">SUM(F163:J163)</f>
        <v>0</v>
      </c>
      <c r="L163" s="27">
        <f>SUMIFS(실시간콜입력!$K:$K,실시간콜입력!$B:$B,$A163,실시간콜입력!$G:$G,$B163,실시간콜입력!$O:$O,"방문완료")+SUMIFS(실시간콜입력!$L:$L,실시간콜입력!$B:$B,$A163,실시간콜입력!$H:$H,$B163,실시간콜입력!$O:$O,"방문완료")</f>
        <v>0</v>
      </c>
      <c r="M163" s="23" t="str">
        <f t="shared" ref="M163:M194" si="24">IF(AND(ISNUMBER(E163),E163&gt;=8),"인정","")</f>
        <v/>
      </c>
      <c r="N163" s="23"/>
    </row>
    <row r="164" spans="1:14" ht="19.5" hidden="1" customHeight="1" outlineLevel="1">
      <c r="A164" s="30">
        <f>IF(4&lt;=DAY(DATE(YEAR(설정_코스수당!$K$2),MONTH(설정_코스수당!$K$2)+1,0)),DATE(YEAR(설정_코스수당!$K$2),MONTH(설정_코스수당!$K$2),4),"")</f>
        <v>46177</v>
      </c>
      <c r="B164" s="29" t="s">
        <v>48</v>
      </c>
      <c r="C164" s="29"/>
      <c r="D164" s="29"/>
      <c r="E164" s="29" t="str">
        <f t="shared" si="22"/>
        <v/>
      </c>
      <c r="F164" s="29">
        <f>COUNTIFS(실시간콜입력!$B:$B,$A164,실시간콜입력!$E:$E,"A",실시간콜입력!$G:$G,$B164,실시간콜입력!$O:$O,"방문완료")+COUNTIFS(실시간콜입력!$B:$B,$A164,실시간콜입력!$E:$E,"A",실시간콜입력!$H:$H,$B164,실시간콜입력!$O:$O,"방문완료")</f>
        <v>0</v>
      </c>
      <c r="G164" s="29">
        <f>COUNTIFS(실시간콜입력!$B:$B,$A164,실시간콜입력!$E:$E,"B",실시간콜입력!$G:$G,$B164,실시간콜입력!$O:$O,"방문완료")+COUNTIFS(실시간콜입력!$B:$B,$A164,실시간콜입력!$E:$E,"B",실시간콜입력!$H:$H,$B164,실시간콜입력!$O:$O,"방문완료")</f>
        <v>0</v>
      </c>
      <c r="H164" s="29">
        <f>COUNTIFS(실시간콜입력!$B:$B,$A164,실시간콜입력!$E:$E,"C",실시간콜입력!$G:$G,$B164,실시간콜입력!$O:$O,"방문완료")+COUNTIFS(실시간콜입력!$B:$B,$A164,실시간콜입력!$E:$E,"C",실시간콜입력!$H:$H,$B164,실시간콜입력!$O:$O,"방문완료")</f>
        <v>0</v>
      </c>
      <c r="I164" s="29">
        <f>COUNTIFS(실시간콜입력!$B:$B,$A164,실시간콜입력!$E:$E,"D",실시간콜입력!$G:$G,$B164,실시간콜입력!$O:$O,"방문완료")+COUNTIFS(실시간콜입력!$B:$B,$A164,실시간콜입력!$E:$E,"D",실시간콜입력!$H:$H,$B164,실시간콜입력!$O:$O,"방문완료")</f>
        <v>0</v>
      </c>
      <c r="J164" s="29">
        <f>COUNTIFS(실시간콜입력!$B:$B,$A164,실시간콜입력!$E:$E,"E",실시간콜입력!$G:$G,$B164,실시간콜입력!$O:$O,"방문완료")+COUNTIFS(실시간콜입력!$B:$B,$A164,실시간콜입력!$E:$E,"E",실시간콜입력!$H:$H,$B164,실시간콜입력!$O:$O,"방문완료")</f>
        <v>0</v>
      </c>
      <c r="K164" s="29">
        <f t="shared" si="23"/>
        <v>0</v>
      </c>
      <c r="L164" s="33">
        <f>SUMIFS(실시간콜입력!$K:$K,실시간콜입력!$B:$B,$A164,실시간콜입력!$G:$G,$B164,실시간콜입력!$O:$O,"방문완료")+SUMIFS(실시간콜입력!$L:$L,실시간콜입력!$B:$B,$A164,실시간콜입력!$H:$H,$B164,실시간콜입력!$O:$O,"방문완료")</f>
        <v>0</v>
      </c>
      <c r="M164" s="29" t="str">
        <f t="shared" si="24"/>
        <v/>
      </c>
      <c r="N164" s="29"/>
    </row>
    <row r="165" spans="1:14" ht="19.5" hidden="1" customHeight="1" outlineLevel="1">
      <c r="A165" s="24">
        <f>IF(4&lt;=DAY(DATE(YEAR(설정_코스수당!$K$2),MONTH(설정_코스수당!$K$2)+1,0)),DATE(YEAR(설정_코스수당!$K$2),MONTH(설정_코스수당!$K$2),4),"")</f>
        <v>46177</v>
      </c>
      <c r="B165" s="23" t="s">
        <v>165</v>
      </c>
      <c r="C165" s="29"/>
      <c r="D165" s="29"/>
      <c r="E165" s="29" t="str">
        <f t="shared" si="22"/>
        <v/>
      </c>
      <c r="F165" s="29">
        <f>COUNTIFS(실시간콜입력!$B:$B,$A165,실시간콜입력!$E:$E,"A",실시간콜입력!$G:$G,$B165,실시간콜입력!$O:$O,"방문완료")+COUNTIFS(실시간콜입력!$B:$B,$A165,실시간콜입력!$E:$E,"A",실시간콜입력!$H:$H,$B165,실시간콜입력!$O:$O,"방문완료")</f>
        <v>0</v>
      </c>
      <c r="G165" s="29">
        <f>COUNTIFS(실시간콜입력!$B:$B,$A165,실시간콜입력!$E:$E,"B",실시간콜입력!$G:$G,$B165,실시간콜입력!$O:$O,"방문완료")+COUNTIFS(실시간콜입력!$B:$B,$A165,실시간콜입력!$E:$E,"B",실시간콜입력!$H:$H,$B165,실시간콜입력!$O:$O,"방문완료")</f>
        <v>0</v>
      </c>
      <c r="H165" s="29">
        <f>COUNTIFS(실시간콜입력!$B:$B,$A165,실시간콜입력!$E:$E,"C",실시간콜입력!$G:$G,$B165,실시간콜입력!$O:$O,"방문완료")+COUNTIFS(실시간콜입력!$B:$B,$A165,실시간콜입력!$E:$E,"C",실시간콜입력!$H:$H,$B165,실시간콜입력!$O:$O,"방문완료")</f>
        <v>0</v>
      </c>
      <c r="I165" s="29">
        <f>COUNTIFS(실시간콜입력!$B:$B,$A165,실시간콜입력!$E:$E,"D",실시간콜입력!$G:$G,$B165,실시간콜입력!$O:$O,"방문완료")+COUNTIFS(실시간콜입력!$B:$B,$A165,실시간콜입력!$E:$E,"D",실시간콜입력!$H:$H,$B165,실시간콜입력!$O:$O,"방문완료")</f>
        <v>0</v>
      </c>
      <c r="J165" s="29">
        <f>COUNTIFS(실시간콜입력!$B:$B,$A165,실시간콜입력!$E:$E,"E",실시간콜입력!$G:$G,$B165,실시간콜입력!$O:$O,"방문완료")+COUNTIFS(실시간콜입력!$B:$B,$A165,실시간콜입력!$E:$E,"E",실시간콜입력!$H:$H,$B165,실시간콜입력!$O:$O,"방문완료")</f>
        <v>0</v>
      </c>
      <c r="K165" s="29">
        <f t="shared" si="23"/>
        <v>0</v>
      </c>
      <c r="L165" s="27">
        <f>SUMIFS(실시간콜입력!$K:$K,실시간콜입력!$B:$B,$A165,실시간콜입력!$G:$G,$B165,실시간콜입력!$O:$O,"방문완료")+SUMIFS(실시간콜입력!$L:$L,실시간콜입력!$B:$B,$A165,실시간콜입력!$H:$H,$B165,실시간콜입력!$O:$O,"방문완료")</f>
        <v>0</v>
      </c>
      <c r="M165" s="29" t="str">
        <f t="shared" si="24"/>
        <v/>
      </c>
      <c r="N165" s="29"/>
    </row>
    <row r="166" spans="1:14" ht="19.5" hidden="1" customHeight="1" outlineLevel="1">
      <c r="A166" s="30">
        <f>IF(4&lt;=DAY(DATE(YEAR(설정_코스수당!$K$2),MONTH(설정_코스수당!$K$2)+1,0)),DATE(YEAR(설정_코스수당!$K$2),MONTH(설정_코스수당!$K$2),4),"")</f>
        <v>46177</v>
      </c>
      <c r="B166" s="29" t="s">
        <v>166</v>
      </c>
      <c r="C166" s="29"/>
      <c r="D166" s="29"/>
      <c r="E166" s="29" t="str">
        <f t="shared" si="22"/>
        <v/>
      </c>
      <c r="F166" s="29">
        <f>COUNTIFS(실시간콜입력!$B:$B,$A166,실시간콜입력!$E:$E,"A",실시간콜입력!$G:$G,$B166,실시간콜입력!$O:$O,"방문완료")+COUNTIFS(실시간콜입력!$B:$B,$A166,실시간콜입력!$E:$E,"A",실시간콜입력!$H:$H,$B166,실시간콜입력!$O:$O,"방문완료")</f>
        <v>0</v>
      </c>
      <c r="G166" s="29">
        <f>COUNTIFS(실시간콜입력!$B:$B,$A166,실시간콜입력!$E:$E,"B",실시간콜입력!$G:$G,$B166,실시간콜입력!$O:$O,"방문완료")+COUNTIFS(실시간콜입력!$B:$B,$A166,실시간콜입력!$E:$E,"B",실시간콜입력!$H:$H,$B166,실시간콜입력!$O:$O,"방문완료")</f>
        <v>0</v>
      </c>
      <c r="H166" s="29">
        <f>COUNTIFS(실시간콜입력!$B:$B,$A166,실시간콜입력!$E:$E,"C",실시간콜입력!$G:$G,$B166,실시간콜입력!$O:$O,"방문완료")+COUNTIFS(실시간콜입력!$B:$B,$A166,실시간콜입력!$E:$E,"C",실시간콜입력!$H:$H,$B166,실시간콜입력!$O:$O,"방문완료")</f>
        <v>0</v>
      </c>
      <c r="I166" s="29">
        <f>COUNTIFS(실시간콜입력!$B:$B,$A166,실시간콜입력!$E:$E,"D",실시간콜입력!$G:$G,$B166,실시간콜입력!$O:$O,"방문완료")+COUNTIFS(실시간콜입력!$B:$B,$A166,실시간콜입력!$E:$E,"D",실시간콜입력!$H:$H,$B166,실시간콜입력!$O:$O,"방문완료")</f>
        <v>0</v>
      </c>
      <c r="J166" s="29">
        <f>COUNTIFS(실시간콜입력!$B:$B,$A166,실시간콜입력!$E:$E,"E",실시간콜입력!$G:$G,$B166,실시간콜입력!$O:$O,"방문완료")+COUNTIFS(실시간콜입력!$B:$B,$A166,실시간콜입력!$E:$E,"E",실시간콜입력!$H:$H,$B166,실시간콜입력!$O:$O,"방문완료")</f>
        <v>0</v>
      </c>
      <c r="K166" s="29">
        <f t="shared" si="23"/>
        <v>0</v>
      </c>
      <c r="L166" s="33">
        <f>SUMIFS(실시간콜입력!$K:$K,실시간콜입력!$B:$B,$A166,실시간콜입력!$G:$G,$B166,실시간콜입력!$O:$O,"방문완료")+SUMIFS(실시간콜입력!$L:$L,실시간콜입력!$B:$B,$A166,실시간콜입력!$H:$H,$B166,실시간콜입력!$O:$O,"방문완료")</f>
        <v>0</v>
      </c>
      <c r="M166" s="29" t="str">
        <f t="shared" si="24"/>
        <v/>
      </c>
      <c r="N166" s="29"/>
    </row>
    <row r="167" spans="1:14" ht="19.5" hidden="1" customHeight="1" outlineLevel="1">
      <c r="A167" s="24">
        <f>IF(4&lt;=DAY(DATE(YEAR(설정_코스수당!$K$2),MONTH(설정_코스수당!$K$2)+1,0)),DATE(YEAR(설정_코스수당!$K$2),MONTH(설정_코스수당!$K$2),4),"")</f>
        <v>46177</v>
      </c>
      <c r="B167" s="23" t="s">
        <v>167</v>
      </c>
      <c r="C167" s="29"/>
      <c r="D167" s="29"/>
      <c r="E167" s="29" t="str">
        <f t="shared" si="22"/>
        <v/>
      </c>
      <c r="F167" s="29">
        <f>COUNTIFS(실시간콜입력!$B:$B,$A167,실시간콜입력!$E:$E,"A",실시간콜입력!$G:$G,$B167,실시간콜입력!$O:$O,"방문완료")+COUNTIFS(실시간콜입력!$B:$B,$A167,실시간콜입력!$E:$E,"A",실시간콜입력!$H:$H,$B167,실시간콜입력!$O:$O,"방문완료")</f>
        <v>0</v>
      </c>
      <c r="G167" s="29">
        <f>COUNTIFS(실시간콜입력!$B:$B,$A167,실시간콜입력!$E:$E,"B",실시간콜입력!$G:$G,$B167,실시간콜입력!$O:$O,"방문완료")+COUNTIFS(실시간콜입력!$B:$B,$A167,실시간콜입력!$E:$E,"B",실시간콜입력!$H:$H,$B167,실시간콜입력!$O:$O,"방문완료")</f>
        <v>0</v>
      </c>
      <c r="H167" s="29">
        <f>COUNTIFS(실시간콜입력!$B:$B,$A167,실시간콜입력!$E:$E,"C",실시간콜입력!$G:$G,$B167,실시간콜입력!$O:$O,"방문완료")+COUNTIFS(실시간콜입력!$B:$B,$A167,실시간콜입력!$E:$E,"C",실시간콜입력!$H:$H,$B167,실시간콜입력!$O:$O,"방문완료")</f>
        <v>0</v>
      </c>
      <c r="I167" s="29">
        <f>COUNTIFS(실시간콜입력!$B:$B,$A167,실시간콜입력!$E:$E,"D",실시간콜입력!$G:$G,$B167,실시간콜입력!$O:$O,"방문완료")+COUNTIFS(실시간콜입력!$B:$B,$A167,실시간콜입력!$E:$E,"D",실시간콜입력!$H:$H,$B167,실시간콜입력!$O:$O,"방문완료")</f>
        <v>0</v>
      </c>
      <c r="J167" s="29">
        <f>COUNTIFS(실시간콜입력!$B:$B,$A167,실시간콜입력!$E:$E,"E",실시간콜입력!$G:$G,$B167,실시간콜입력!$O:$O,"방문완료")+COUNTIFS(실시간콜입력!$B:$B,$A167,실시간콜입력!$E:$E,"E",실시간콜입력!$H:$H,$B167,실시간콜입력!$O:$O,"방문완료")</f>
        <v>0</v>
      </c>
      <c r="K167" s="29">
        <f t="shared" si="23"/>
        <v>0</v>
      </c>
      <c r="L167" s="27">
        <f>SUMIFS(실시간콜입력!$K:$K,실시간콜입력!$B:$B,$A167,실시간콜입력!$G:$G,$B167,실시간콜입력!$O:$O,"방문완료")+SUMIFS(실시간콜입력!$L:$L,실시간콜입력!$B:$B,$A167,실시간콜입력!$H:$H,$B167,실시간콜입력!$O:$O,"방문완료")</f>
        <v>0</v>
      </c>
      <c r="M167" s="29" t="str">
        <f t="shared" si="24"/>
        <v/>
      </c>
      <c r="N167" s="29"/>
    </row>
    <row r="168" spans="1:14" ht="19.5" hidden="1" customHeight="1" outlineLevel="1">
      <c r="A168" s="30">
        <f>IF(4&lt;=DAY(DATE(YEAR(설정_코스수당!$K$2),MONTH(설정_코스수당!$K$2)+1,0)),DATE(YEAR(설정_코스수당!$K$2),MONTH(설정_코스수당!$K$2),4),"")</f>
        <v>46177</v>
      </c>
      <c r="B168" s="29" t="s">
        <v>168</v>
      </c>
      <c r="C168" s="29"/>
      <c r="D168" s="29"/>
      <c r="E168" s="29" t="str">
        <f t="shared" si="22"/>
        <v/>
      </c>
      <c r="F168" s="29">
        <f>COUNTIFS(실시간콜입력!$B:$B,$A168,실시간콜입력!$E:$E,"A",실시간콜입력!$G:$G,$B168,실시간콜입력!$O:$O,"방문완료")+COUNTIFS(실시간콜입력!$B:$B,$A168,실시간콜입력!$E:$E,"A",실시간콜입력!$H:$H,$B168,실시간콜입력!$O:$O,"방문완료")</f>
        <v>0</v>
      </c>
      <c r="G168" s="29">
        <f>COUNTIFS(실시간콜입력!$B:$B,$A168,실시간콜입력!$E:$E,"B",실시간콜입력!$G:$G,$B168,실시간콜입력!$O:$O,"방문완료")+COUNTIFS(실시간콜입력!$B:$B,$A168,실시간콜입력!$E:$E,"B",실시간콜입력!$H:$H,$B168,실시간콜입력!$O:$O,"방문완료")</f>
        <v>0</v>
      </c>
      <c r="H168" s="29">
        <f>COUNTIFS(실시간콜입력!$B:$B,$A168,실시간콜입력!$E:$E,"C",실시간콜입력!$G:$G,$B168,실시간콜입력!$O:$O,"방문완료")+COUNTIFS(실시간콜입력!$B:$B,$A168,실시간콜입력!$E:$E,"C",실시간콜입력!$H:$H,$B168,실시간콜입력!$O:$O,"방문완료")</f>
        <v>0</v>
      </c>
      <c r="I168" s="29">
        <f>COUNTIFS(실시간콜입력!$B:$B,$A168,실시간콜입력!$E:$E,"D",실시간콜입력!$G:$G,$B168,실시간콜입력!$O:$O,"방문완료")+COUNTIFS(실시간콜입력!$B:$B,$A168,실시간콜입력!$E:$E,"D",실시간콜입력!$H:$H,$B168,실시간콜입력!$O:$O,"방문완료")</f>
        <v>0</v>
      </c>
      <c r="J168" s="29">
        <f>COUNTIFS(실시간콜입력!$B:$B,$A168,실시간콜입력!$E:$E,"E",실시간콜입력!$G:$G,$B168,실시간콜입력!$O:$O,"방문완료")+COUNTIFS(실시간콜입력!$B:$B,$A168,실시간콜입력!$E:$E,"E",실시간콜입력!$H:$H,$B168,실시간콜입력!$O:$O,"방문완료")</f>
        <v>0</v>
      </c>
      <c r="K168" s="29">
        <f t="shared" si="23"/>
        <v>0</v>
      </c>
      <c r="L168" s="33">
        <f>SUMIFS(실시간콜입력!$K:$K,실시간콜입력!$B:$B,$A168,실시간콜입력!$G:$G,$B168,실시간콜입력!$O:$O,"방문완료")+SUMIFS(실시간콜입력!$L:$L,실시간콜입력!$B:$B,$A168,실시간콜입력!$H:$H,$B168,실시간콜입력!$O:$O,"방문완료")</f>
        <v>0</v>
      </c>
      <c r="M168" s="29" t="str">
        <f t="shared" si="24"/>
        <v/>
      </c>
      <c r="N168" s="29"/>
    </row>
    <row r="169" spans="1:14" ht="19.5" hidden="1" customHeight="1" outlineLevel="1">
      <c r="A169" s="24">
        <f>IF(4&lt;=DAY(DATE(YEAR(설정_코스수당!$K$2),MONTH(설정_코스수당!$K$2)+1,0)),DATE(YEAR(설정_코스수당!$K$2),MONTH(설정_코스수당!$K$2),4),"")</f>
        <v>46177</v>
      </c>
      <c r="B169" s="23" t="s">
        <v>169</v>
      </c>
      <c r="C169" s="29"/>
      <c r="D169" s="29"/>
      <c r="E169" s="29" t="str">
        <f t="shared" si="22"/>
        <v/>
      </c>
      <c r="F169" s="29">
        <f>COUNTIFS(실시간콜입력!$B:$B,$A169,실시간콜입력!$E:$E,"A",실시간콜입력!$G:$G,$B169,실시간콜입력!$O:$O,"방문완료")+COUNTIFS(실시간콜입력!$B:$B,$A169,실시간콜입력!$E:$E,"A",실시간콜입력!$H:$H,$B169,실시간콜입력!$O:$O,"방문완료")</f>
        <v>0</v>
      </c>
      <c r="G169" s="29">
        <f>COUNTIFS(실시간콜입력!$B:$B,$A169,실시간콜입력!$E:$E,"B",실시간콜입력!$G:$G,$B169,실시간콜입력!$O:$O,"방문완료")+COUNTIFS(실시간콜입력!$B:$B,$A169,실시간콜입력!$E:$E,"B",실시간콜입력!$H:$H,$B169,실시간콜입력!$O:$O,"방문완료")</f>
        <v>0</v>
      </c>
      <c r="H169" s="29">
        <f>COUNTIFS(실시간콜입력!$B:$B,$A169,실시간콜입력!$E:$E,"C",실시간콜입력!$G:$G,$B169,실시간콜입력!$O:$O,"방문완료")+COUNTIFS(실시간콜입력!$B:$B,$A169,실시간콜입력!$E:$E,"C",실시간콜입력!$H:$H,$B169,실시간콜입력!$O:$O,"방문완료")</f>
        <v>0</v>
      </c>
      <c r="I169" s="29">
        <f>COUNTIFS(실시간콜입력!$B:$B,$A169,실시간콜입력!$E:$E,"D",실시간콜입력!$G:$G,$B169,실시간콜입력!$O:$O,"방문완료")+COUNTIFS(실시간콜입력!$B:$B,$A169,실시간콜입력!$E:$E,"D",실시간콜입력!$H:$H,$B169,실시간콜입력!$O:$O,"방문완료")</f>
        <v>0</v>
      </c>
      <c r="J169" s="29">
        <f>COUNTIFS(실시간콜입력!$B:$B,$A169,실시간콜입력!$E:$E,"E",실시간콜입력!$G:$G,$B169,실시간콜입력!$O:$O,"방문완료")+COUNTIFS(실시간콜입력!$B:$B,$A169,실시간콜입력!$E:$E,"E",실시간콜입력!$H:$H,$B169,실시간콜입력!$O:$O,"방문완료")</f>
        <v>0</v>
      </c>
      <c r="K169" s="29">
        <f t="shared" si="23"/>
        <v>0</v>
      </c>
      <c r="L169" s="27">
        <f>SUMIFS(실시간콜입력!$K:$K,실시간콜입력!$B:$B,$A169,실시간콜입력!$G:$G,$B169,실시간콜입력!$O:$O,"방문완료")+SUMIFS(실시간콜입력!$L:$L,실시간콜입력!$B:$B,$A169,실시간콜입력!$H:$H,$B169,실시간콜입력!$O:$O,"방문완료")</f>
        <v>0</v>
      </c>
      <c r="M169" s="29" t="str">
        <f t="shared" si="24"/>
        <v/>
      </c>
      <c r="N169" s="29"/>
    </row>
    <row r="170" spans="1:14" ht="19.5" hidden="1" customHeight="1" outlineLevel="1">
      <c r="A170" s="30">
        <f>IF(4&lt;=DAY(DATE(YEAR(설정_코스수당!$K$2),MONTH(설정_코스수당!$K$2)+1,0)),DATE(YEAR(설정_코스수당!$K$2),MONTH(설정_코스수당!$K$2),4),"")</f>
        <v>46177</v>
      </c>
      <c r="B170" s="29" t="s">
        <v>170</v>
      </c>
      <c r="C170" s="29"/>
      <c r="D170" s="29"/>
      <c r="E170" s="29" t="str">
        <f t="shared" si="22"/>
        <v/>
      </c>
      <c r="F170" s="29">
        <f>COUNTIFS(실시간콜입력!$B:$B,$A170,실시간콜입력!$E:$E,"A",실시간콜입력!$G:$G,$B170,실시간콜입력!$O:$O,"방문완료")+COUNTIFS(실시간콜입력!$B:$B,$A170,실시간콜입력!$E:$E,"A",실시간콜입력!$H:$H,$B170,실시간콜입력!$O:$O,"방문완료")</f>
        <v>0</v>
      </c>
      <c r="G170" s="29">
        <f>COUNTIFS(실시간콜입력!$B:$B,$A170,실시간콜입력!$E:$E,"B",실시간콜입력!$G:$G,$B170,실시간콜입력!$O:$O,"방문완료")+COUNTIFS(실시간콜입력!$B:$B,$A170,실시간콜입력!$E:$E,"B",실시간콜입력!$H:$H,$B170,실시간콜입력!$O:$O,"방문완료")</f>
        <v>0</v>
      </c>
      <c r="H170" s="29">
        <f>COUNTIFS(실시간콜입력!$B:$B,$A170,실시간콜입력!$E:$E,"C",실시간콜입력!$G:$G,$B170,실시간콜입력!$O:$O,"방문완료")+COUNTIFS(실시간콜입력!$B:$B,$A170,실시간콜입력!$E:$E,"C",실시간콜입력!$H:$H,$B170,실시간콜입력!$O:$O,"방문완료")</f>
        <v>0</v>
      </c>
      <c r="I170" s="29">
        <f>COUNTIFS(실시간콜입력!$B:$B,$A170,실시간콜입력!$E:$E,"D",실시간콜입력!$G:$G,$B170,실시간콜입력!$O:$O,"방문완료")+COUNTIFS(실시간콜입력!$B:$B,$A170,실시간콜입력!$E:$E,"D",실시간콜입력!$H:$H,$B170,실시간콜입력!$O:$O,"방문완료")</f>
        <v>0</v>
      </c>
      <c r="J170" s="29">
        <f>COUNTIFS(실시간콜입력!$B:$B,$A170,실시간콜입력!$E:$E,"E",실시간콜입력!$G:$G,$B170,실시간콜입력!$O:$O,"방문완료")+COUNTIFS(실시간콜입력!$B:$B,$A170,실시간콜입력!$E:$E,"E",실시간콜입력!$H:$H,$B170,실시간콜입력!$O:$O,"방문완료")</f>
        <v>0</v>
      </c>
      <c r="K170" s="29">
        <f t="shared" si="23"/>
        <v>0</v>
      </c>
      <c r="L170" s="33">
        <f>SUMIFS(실시간콜입력!$K:$K,실시간콜입력!$B:$B,$A170,실시간콜입력!$G:$G,$B170,실시간콜입력!$O:$O,"방문완료")+SUMIFS(실시간콜입력!$L:$L,실시간콜입력!$B:$B,$A170,실시간콜입력!$H:$H,$B170,실시간콜입력!$O:$O,"방문완료")</f>
        <v>0</v>
      </c>
      <c r="M170" s="29" t="str">
        <f t="shared" si="24"/>
        <v/>
      </c>
      <c r="N170" s="29"/>
    </row>
    <row r="171" spans="1:14" ht="19.5" hidden="1" customHeight="1" outlineLevel="1">
      <c r="A171" s="24">
        <f>IF(4&lt;=DAY(DATE(YEAR(설정_코스수당!$K$2),MONTH(설정_코스수당!$K$2)+1,0)),DATE(YEAR(설정_코스수당!$K$2),MONTH(설정_코스수당!$K$2),4),"")</f>
        <v>46177</v>
      </c>
      <c r="B171" s="23" t="s">
        <v>171</v>
      </c>
      <c r="C171" s="29"/>
      <c r="D171" s="29"/>
      <c r="E171" s="29" t="str">
        <f t="shared" si="22"/>
        <v/>
      </c>
      <c r="F171" s="29">
        <f>COUNTIFS(실시간콜입력!$B:$B,$A171,실시간콜입력!$E:$E,"A",실시간콜입력!$G:$G,$B171,실시간콜입력!$O:$O,"방문완료")+COUNTIFS(실시간콜입력!$B:$B,$A171,실시간콜입력!$E:$E,"A",실시간콜입력!$H:$H,$B171,실시간콜입력!$O:$O,"방문완료")</f>
        <v>0</v>
      </c>
      <c r="G171" s="29">
        <f>COUNTIFS(실시간콜입력!$B:$B,$A171,실시간콜입력!$E:$E,"B",실시간콜입력!$G:$G,$B171,실시간콜입력!$O:$O,"방문완료")+COUNTIFS(실시간콜입력!$B:$B,$A171,실시간콜입력!$E:$E,"B",실시간콜입력!$H:$H,$B171,실시간콜입력!$O:$O,"방문완료")</f>
        <v>0</v>
      </c>
      <c r="H171" s="29">
        <f>COUNTIFS(실시간콜입력!$B:$B,$A171,실시간콜입력!$E:$E,"C",실시간콜입력!$G:$G,$B171,실시간콜입력!$O:$O,"방문완료")+COUNTIFS(실시간콜입력!$B:$B,$A171,실시간콜입력!$E:$E,"C",실시간콜입력!$H:$H,$B171,실시간콜입력!$O:$O,"방문완료")</f>
        <v>0</v>
      </c>
      <c r="I171" s="29">
        <f>COUNTIFS(실시간콜입력!$B:$B,$A171,실시간콜입력!$E:$E,"D",실시간콜입력!$G:$G,$B171,실시간콜입력!$O:$O,"방문완료")+COUNTIFS(실시간콜입력!$B:$B,$A171,실시간콜입력!$E:$E,"D",실시간콜입력!$H:$H,$B171,실시간콜입력!$O:$O,"방문완료")</f>
        <v>0</v>
      </c>
      <c r="J171" s="29">
        <f>COUNTIFS(실시간콜입력!$B:$B,$A171,실시간콜입력!$E:$E,"E",실시간콜입력!$G:$G,$B171,실시간콜입력!$O:$O,"방문완료")+COUNTIFS(실시간콜입력!$B:$B,$A171,실시간콜입력!$E:$E,"E",실시간콜입력!$H:$H,$B171,실시간콜입력!$O:$O,"방문완료")</f>
        <v>0</v>
      </c>
      <c r="K171" s="29">
        <f t="shared" si="23"/>
        <v>0</v>
      </c>
      <c r="L171" s="27">
        <f>SUMIFS(실시간콜입력!$K:$K,실시간콜입력!$B:$B,$A171,실시간콜입력!$G:$G,$B171,실시간콜입력!$O:$O,"방문완료")+SUMIFS(실시간콜입력!$L:$L,실시간콜입력!$B:$B,$A171,실시간콜입력!$H:$H,$B171,실시간콜입력!$O:$O,"방문완료")</f>
        <v>0</v>
      </c>
      <c r="M171" s="29" t="str">
        <f t="shared" si="24"/>
        <v/>
      </c>
      <c r="N171" s="29"/>
    </row>
    <row r="172" spans="1:14" ht="19.5" hidden="1" customHeight="1" outlineLevel="1">
      <c r="A172" s="30">
        <f>IF(4&lt;=DAY(DATE(YEAR(설정_코스수당!$K$2),MONTH(설정_코스수당!$K$2)+1,0)),DATE(YEAR(설정_코스수당!$K$2),MONTH(설정_코스수당!$K$2),4),"")</f>
        <v>46177</v>
      </c>
      <c r="B172" s="29" t="s">
        <v>172</v>
      </c>
      <c r="C172" s="29"/>
      <c r="D172" s="29"/>
      <c r="E172" s="29" t="str">
        <f t="shared" si="22"/>
        <v/>
      </c>
      <c r="F172" s="29">
        <f>COUNTIFS(실시간콜입력!$B:$B,$A172,실시간콜입력!$E:$E,"A",실시간콜입력!$G:$G,$B172,실시간콜입력!$O:$O,"방문완료")+COUNTIFS(실시간콜입력!$B:$B,$A172,실시간콜입력!$E:$E,"A",실시간콜입력!$H:$H,$B172,실시간콜입력!$O:$O,"방문완료")</f>
        <v>0</v>
      </c>
      <c r="G172" s="29">
        <f>COUNTIFS(실시간콜입력!$B:$B,$A172,실시간콜입력!$E:$E,"B",실시간콜입력!$G:$G,$B172,실시간콜입력!$O:$O,"방문완료")+COUNTIFS(실시간콜입력!$B:$B,$A172,실시간콜입력!$E:$E,"B",실시간콜입력!$H:$H,$B172,실시간콜입력!$O:$O,"방문완료")</f>
        <v>0</v>
      </c>
      <c r="H172" s="29">
        <f>COUNTIFS(실시간콜입력!$B:$B,$A172,실시간콜입력!$E:$E,"C",실시간콜입력!$G:$G,$B172,실시간콜입력!$O:$O,"방문완료")+COUNTIFS(실시간콜입력!$B:$B,$A172,실시간콜입력!$E:$E,"C",실시간콜입력!$H:$H,$B172,실시간콜입력!$O:$O,"방문완료")</f>
        <v>0</v>
      </c>
      <c r="I172" s="29">
        <f>COUNTIFS(실시간콜입력!$B:$B,$A172,실시간콜입력!$E:$E,"D",실시간콜입력!$G:$G,$B172,실시간콜입력!$O:$O,"방문완료")+COUNTIFS(실시간콜입력!$B:$B,$A172,실시간콜입력!$E:$E,"D",실시간콜입력!$H:$H,$B172,실시간콜입력!$O:$O,"방문완료")</f>
        <v>0</v>
      </c>
      <c r="J172" s="29">
        <f>COUNTIFS(실시간콜입력!$B:$B,$A172,실시간콜입력!$E:$E,"E",실시간콜입력!$G:$G,$B172,실시간콜입력!$O:$O,"방문완료")+COUNTIFS(실시간콜입력!$B:$B,$A172,실시간콜입력!$E:$E,"E",실시간콜입력!$H:$H,$B172,실시간콜입력!$O:$O,"방문완료")</f>
        <v>0</v>
      </c>
      <c r="K172" s="29">
        <f t="shared" si="23"/>
        <v>0</v>
      </c>
      <c r="L172" s="33">
        <f>SUMIFS(실시간콜입력!$K:$K,실시간콜입력!$B:$B,$A172,실시간콜입력!$G:$G,$B172,실시간콜입력!$O:$O,"방문완료")+SUMIFS(실시간콜입력!$L:$L,실시간콜입력!$B:$B,$A172,실시간콜입력!$H:$H,$B172,실시간콜입력!$O:$O,"방문완료")</f>
        <v>0</v>
      </c>
      <c r="M172" s="29" t="str">
        <f t="shared" si="24"/>
        <v/>
      </c>
      <c r="N172" s="29"/>
    </row>
    <row r="173" spans="1:14" ht="19.5" hidden="1" customHeight="1" outlineLevel="1">
      <c r="A173" s="24">
        <f>IF(4&lt;=DAY(DATE(YEAR(설정_코스수당!$K$2),MONTH(설정_코스수당!$K$2)+1,0)),DATE(YEAR(설정_코스수당!$K$2),MONTH(설정_코스수당!$K$2),4),"")</f>
        <v>46177</v>
      </c>
      <c r="B173" s="23" t="s">
        <v>173</v>
      </c>
      <c r="C173" s="29"/>
      <c r="D173" s="29"/>
      <c r="E173" s="29" t="str">
        <f t="shared" si="22"/>
        <v/>
      </c>
      <c r="F173" s="29">
        <f>COUNTIFS(실시간콜입력!$B:$B,$A173,실시간콜입력!$E:$E,"A",실시간콜입력!$G:$G,$B173,실시간콜입력!$O:$O,"방문완료")+COUNTIFS(실시간콜입력!$B:$B,$A173,실시간콜입력!$E:$E,"A",실시간콜입력!$H:$H,$B173,실시간콜입력!$O:$O,"방문완료")</f>
        <v>0</v>
      </c>
      <c r="G173" s="29">
        <f>COUNTIFS(실시간콜입력!$B:$B,$A173,실시간콜입력!$E:$E,"B",실시간콜입력!$G:$G,$B173,실시간콜입력!$O:$O,"방문완료")+COUNTIFS(실시간콜입력!$B:$B,$A173,실시간콜입력!$E:$E,"B",실시간콜입력!$H:$H,$B173,실시간콜입력!$O:$O,"방문완료")</f>
        <v>0</v>
      </c>
      <c r="H173" s="29">
        <f>COUNTIFS(실시간콜입력!$B:$B,$A173,실시간콜입력!$E:$E,"C",실시간콜입력!$G:$G,$B173,실시간콜입력!$O:$O,"방문완료")+COUNTIFS(실시간콜입력!$B:$B,$A173,실시간콜입력!$E:$E,"C",실시간콜입력!$H:$H,$B173,실시간콜입력!$O:$O,"방문완료")</f>
        <v>0</v>
      </c>
      <c r="I173" s="29">
        <f>COUNTIFS(실시간콜입력!$B:$B,$A173,실시간콜입력!$E:$E,"D",실시간콜입력!$G:$G,$B173,실시간콜입력!$O:$O,"방문완료")+COUNTIFS(실시간콜입력!$B:$B,$A173,실시간콜입력!$E:$E,"D",실시간콜입력!$H:$H,$B173,실시간콜입력!$O:$O,"방문완료")</f>
        <v>0</v>
      </c>
      <c r="J173" s="29">
        <f>COUNTIFS(실시간콜입력!$B:$B,$A173,실시간콜입력!$E:$E,"E",실시간콜입력!$G:$G,$B173,실시간콜입력!$O:$O,"방문완료")+COUNTIFS(실시간콜입력!$B:$B,$A173,실시간콜입력!$E:$E,"E",실시간콜입력!$H:$H,$B173,실시간콜입력!$O:$O,"방문완료")</f>
        <v>0</v>
      </c>
      <c r="K173" s="29">
        <f t="shared" si="23"/>
        <v>0</v>
      </c>
      <c r="L173" s="27">
        <f>SUMIFS(실시간콜입력!$K:$K,실시간콜입력!$B:$B,$A173,실시간콜입력!$G:$G,$B173,실시간콜입력!$O:$O,"방문완료")+SUMIFS(실시간콜입력!$L:$L,실시간콜입력!$B:$B,$A173,실시간콜입력!$H:$H,$B173,실시간콜입력!$O:$O,"방문완료")</f>
        <v>0</v>
      </c>
      <c r="M173" s="29" t="str">
        <f t="shared" si="24"/>
        <v/>
      </c>
      <c r="N173" s="29"/>
    </row>
    <row r="174" spans="1:14" ht="19.5" hidden="1" customHeight="1" outlineLevel="1">
      <c r="A174" s="30">
        <f>IF(4&lt;=DAY(DATE(YEAR(설정_코스수당!$K$2),MONTH(설정_코스수당!$K$2)+1,0)),DATE(YEAR(설정_코스수당!$K$2),MONTH(설정_코스수당!$K$2),4),"")</f>
        <v>46177</v>
      </c>
      <c r="B174" s="29" t="s">
        <v>174</v>
      </c>
      <c r="C174" s="29"/>
      <c r="D174" s="29"/>
      <c r="E174" s="29" t="str">
        <f t="shared" si="22"/>
        <v/>
      </c>
      <c r="F174" s="29">
        <f>COUNTIFS(실시간콜입력!$B:$B,$A174,실시간콜입력!$E:$E,"A",실시간콜입력!$G:$G,$B174,실시간콜입력!$O:$O,"방문완료")+COUNTIFS(실시간콜입력!$B:$B,$A174,실시간콜입력!$E:$E,"A",실시간콜입력!$H:$H,$B174,실시간콜입력!$O:$O,"방문완료")</f>
        <v>0</v>
      </c>
      <c r="G174" s="29">
        <f>COUNTIFS(실시간콜입력!$B:$B,$A174,실시간콜입력!$E:$E,"B",실시간콜입력!$G:$G,$B174,실시간콜입력!$O:$O,"방문완료")+COUNTIFS(실시간콜입력!$B:$B,$A174,실시간콜입력!$E:$E,"B",실시간콜입력!$H:$H,$B174,실시간콜입력!$O:$O,"방문완료")</f>
        <v>0</v>
      </c>
      <c r="H174" s="29">
        <f>COUNTIFS(실시간콜입력!$B:$B,$A174,실시간콜입력!$E:$E,"C",실시간콜입력!$G:$G,$B174,실시간콜입력!$O:$O,"방문완료")+COUNTIFS(실시간콜입력!$B:$B,$A174,실시간콜입력!$E:$E,"C",실시간콜입력!$H:$H,$B174,실시간콜입력!$O:$O,"방문완료")</f>
        <v>0</v>
      </c>
      <c r="I174" s="29">
        <f>COUNTIFS(실시간콜입력!$B:$B,$A174,실시간콜입력!$E:$E,"D",실시간콜입력!$G:$G,$B174,실시간콜입력!$O:$O,"방문완료")+COUNTIFS(실시간콜입력!$B:$B,$A174,실시간콜입력!$E:$E,"D",실시간콜입력!$H:$H,$B174,실시간콜입력!$O:$O,"방문완료")</f>
        <v>0</v>
      </c>
      <c r="J174" s="29">
        <f>COUNTIFS(실시간콜입력!$B:$B,$A174,실시간콜입력!$E:$E,"E",실시간콜입력!$G:$G,$B174,실시간콜입력!$O:$O,"방문완료")+COUNTIFS(실시간콜입력!$B:$B,$A174,실시간콜입력!$E:$E,"E",실시간콜입력!$H:$H,$B174,실시간콜입력!$O:$O,"방문완료")</f>
        <v>0</v>
      </c>
      <c r="K174" s="29">
        <f t="shared" si="23"/>
        <v>0</v>
      </c>
      <c r="L174" s="33">
        <f>SUMIFS(실시간콜입력!$K:$K,실시간콜입력!$B:$B,$A174,실시간콜입력!$G:$G,$B174,실시간콜입력!$O:$O,"방문완료")+SUMIFS(실시간콜입력!$L:$L,실시간콜입력!$B:$B,$A174,실시간콜입력!$H:$H,$B174,실시간콜입력!$O:$O,"방문완료")</f>
        <v>0</v>
      </c>
      <c r="M174" s="29" t="str">
        <f t="shared" si="24"/>
        <v/>
      </c>
      <c r="N174" s="29"/>
    </row>
    <row r="175" spans="1:14" ht="19.5" hidden="1" customHeight="1" outlineLevel="1">
      <c r="A175" s="24">
        <f>IF(4&lt;=DAY(DATE(YEAR(설정_코스수당!$K$2),MONTH(설정_코스수당!$K$2)+1,0)),DATE(YEAR(설정_코스수당!$K$2),MONTH(설정_코스수당!$K$2),4),"")</f>
        <v>46177</v>
      </c>
      <c r="B175" s="23" t="s">
        <v>175</v>
      </c>
      <c r="C175" s="29"/>
      <c r="D175" s="29"/>
      <c r="E175" s="29" t="str">
        <f t="shared" si="22"/>
        <v/>
      </c>
      <c r="F175" s="29">
        <f>COUNTIFS(실시간콜입력!$B:$B,$A175,실시간콜입력!$E:$E,"A",실시간콜입력!$G:$G,$B175,실시간콜입력!$O:$O,"방문완료")+COUNTIFS(실시간콜입력!$B:$B,$A175,실시간콜입력!$E:$E,"A",실시간콜입력!$H:$H,$B175,실시간콜입력!$O:$O,"방문완료")</f>
        <v>0</v>
      </c>
      <c r="G175" s="29">
        <f>COUNTIFS(실시간콜입력!$B:$B,$A175,실시간콜입력!$E:$E,"B",실시간콜입력!$G:$G,$B175,실시간콜입력!$O:$O,"방문완료")+COUNTIFS(실시간콜입력!$B:$B,$A175,실시간콜입력!$E:$E,"B",실시간콜입력!$H:$H,$B175,실시간콜입력!$O:$O,"방문완료")</f>
        <v>0</v>
      </c>
      <c r="H175" s="29">
        <f>COUNTIFS(실시간콜입력!$B:$B,$A175,실시간콜입력!$E:$E,"C",실시간콜입력!$G:$G,$B175,실시간콜입력!$O:$O,"방문완료")+COUNTIFS(실시간콜입력!$B:$B,$A175,실시간콜입력!$E:$E,"C",실시간콜입력!$H:$H,$B175,실시간콜입력!$O:$O,"방문완료")</f>
        <v>0</v>
      </c>
      <c r="I175" s="29">
        <f>COUNTIFS(실시간콜입력!$B:$B,$A175,실시간콜입력!$E:$E,"D",실시간콜입력!$G:$G,$B175,실시간콜입력!$O:$O,"방문완료")+COUNTIFS(실시간콜입력!$B:$B,$A175,실시간콜입력!$E:$E,"D",실시간콜입력!$H:$H,$B175,실시간콜입력!$O:$O,"방문완료")</f>
        <v>0</v>
      </c>
      <c r="J175" s="29">
        <f>COUNTIFS(실시간콜입력!$B:$B,$A175,실시간콜입력!$E:$E,"E",실시간콜입력!$G:$G,$B175,실시간콜입력!$O:$O,"방문완료")+COUNTIFS(실시간콜입력!$B:$B,$A175,실시간콜입력!$E:$E,"E",실시간콜입력!$H:$H,$B175,실시간콜입력!$O:$O,"방문완료")</f>
        <v>0</v>
      </c>
      <c r="K175" s="29">
        <f t="shared" si="23"/>
        <v>0</v>
      </c>
      <c r="L175" s="27">
        <f>SUMIFS(실시간콜입력!$K:$K,실시간콜입력!$B:$B,$A175,실시간콜입력!$G:$G,$B175,실시간콜입력!$O:$O,"방문완료")+SUMIFS(실시간콜입력!$L:$L,실시간콜입력!$B:$B,$A175,실시간콜입력!$H:$H,$B175,실시간콜입력!$O:$O,"방문완료")</f>
        <v>0</v>
      </c>
      <c r="M175" s="29" t="str">
        <f t="shared" si="24"/>
        <v/>
      </c>
      <c r="N175" s="29"/>
    </row>
    <row r="176" spans="1:14" ht="19.5" hidden="1" customHeight="1" outlineLevel="1">
      <c r="A176" s="30">
        <f>IF(4&lt;=DAY(DATE(YEAR(설정_코스수당!$K$2),MONTH(설정_코스수당!$K$2)+1,0)),DATE(YEAR(설정_코스수당!$K$2),MONTH(설정_코스수당!$K$2),4),"")</f>
        <v>46177</v>
      </c>
      <c r="B176" s="29" t="s">
        <v>176</v>
      </c>
      <c r="C176" s="29"/>
      <c r="D176" s="29"/>
      <c r="E176" s="29" t="str">
        <f t="shared" si="22"/>
        <v/>
      </c>
      <c r="F176" s="29">
        <f>COUNTIFS(실시간콜입력!$B:$B,$A176,실시간콜입력!$E:$E,"A",실시간콜입력!$G:$G,$B176,실시간콜입력!$O:$O,"방문완료")+COUNTIFS(실시간콜입력!$B:$B,$A176,실시간콜입력!$E:$E,"A",실시간콜입력!$H:$H,$B176,실시간콜입력!$O:$O,"방문완료")</f>
        <v>0</v>
      </c>
      <c r="G176" s="29">
        <f>COUNTIFS(실시간콜입력!$B:$B,$A176,실시간콜입력!$E:$E,"B",실시간콜입력!$G:$G,$B176,실시간콜입력!$O:$O,"방문완료")+COUNTIFS(실시간콜입력!$B:$B,$A176,실시간콜입력!$E:$E,"B",실시간콜입력!$H:$H,$B176,실시간콜입력!$O:$O,"방문완료")</f>
        <v>0</v>
      </c>
      <c r="H176" s="29">
        <f>COUNTIFS(실시간콜입력!$B:$B,$A176,실시간콜입력!$E:$E,"C",실시간콜입력!$G:$G,$B176,실시간콜입력!$O:$O,"방문완료")+COUNTIFS(실시간콜입력!$B:$B,$A176,실시간콜입력!$E:$E,"C",실시간콜입력!$H:$H,$B176,실시간콜입력!$O:$O,"방문완료")</f>
        <v>0</v>
      </c>
      <c r="I176" s="29">
        <f>COUNTIFS(실시간콜입력!$B:$B,$A176,실시간콜입력!$E:$E,"D",실시간콜입력!$G:$G,$B176,실시간콜입력!$O:$O,"방문완료")+COUNTIFS(실시간콜입력!$B:$B,$A176,실시간콜입력!$E:$E,"D",실시간콜입력!$H:$H,$B176,실시간콜입력!$O:$O,"방문완료")</f>
        <v>0</v>
      </c>
      <c r="J176" s="29">
        <f>COUNTIFS(실시간콜입력!$B:$B,$A176,실시간콜입력!$E:$E,"E",실시간콜입력!$G:$G,$B176,실시간콜입력!$O:$O,"방문완료")+COUNTIFS(실시간콜입력!$B:$B,$A176,실시간콜입력!$E:$E,"E",실시간콜입력!$H:$H,$B176,실시간콜입력!$O:$O,"방문완료")</f>
        <v>0</v>
      </c>
      <c r="K176" s="29">
        <f t="shared" si="23"/>
        <v>0</v>
      </c>
      <c r="L176" s="33">
        <f>SUMIFS(실시간콜입력!$K:$K,실시간콜입력!$B:$B,$A176,실시간콜입력!$G:$G,$B176,실시간콜입력!$O:$O,"방문완료")+SUMIFS(실시간콜입력!$L:$L,실시간콜입력!$B:$B,$A176,실시간콜입력!$H:$H,$B176,실시간콜입력!$O:$O,"방문완료")</f>
        <v>0</v>
      </c>
      <c r="M176" s="29" t="str">
        <f t="shared" si="24"/>
        <v/>
      </c>
      <c r="N176" s="29"/>
    </row>
    <row r="177" spans="1:14" ht="19.5" hidden="1" customHeight="1" outlineLevel="1">
      <c r="A177" s="24">
        <f>IF(4&lt;=DAY(DATE(YEAR(설정_코스수당!$K$2),MONTH(설정_코스수당!$K$2)+1,0)),DATE(YEAR(설정_코스수당!$K$2),MONTH(설정_코스수당!$K$2),4),"")</f>
        <v>46177</v>
      </c>
      <c r="B177" s="23" t="s">
        <v>177</v>
      </c>
      <c r="C177" s="29"/>
      <c r="D177" s="29"/>
      <c r="E177" s="29" t="str">
        <f t="shared" si="22"/>
        <v/>
      </c>
      <c r="F177" s="29">
        <f>COUNTIFS(실시간콜입력!$B:$B,$A177,실시간콜입력!$E:$E,"A",실시간콜입력!$G:$G,$B177,실시간콜입력!$O:$O,"방문완료")+COUNTIFS(실시간콜입력!$B:$B,$A177,실시간콜입력!$E:$E,"A",실시간콜입력!$H:$H,$B177,실시간콜입력!$O:$O,"방문완료")</f>
        <v>0</v>
      </c>
      <c r="G177" s="29">
        <f>COUNTIFS(실시간콜입력!$B:$B,$A177,실시간콜입력!$E:$E,"B",실시간콜입력!$G:$G,$B177,실시간콜입력!$O:$O,"방문완료")+COUNTIFS(실시간콜입력!$B:$B,$A177,실시간콜입력!$E:$E,"B",실시간콜입력!$H:$H,$B177,실시간콜입력!$O:$O,"방문완료")</f>
        <v>0</v>
      </c>
      <c r="H177" s="29">
        <f>COUNTIFS(실시간콜입력!$B:$B,$A177,실시간콜입력!$E:$E,"C",실시간콜입력!$G:$G,$B177,실시간콜입력!$O:$O,"방문완료")+COUNTIFS(실시간콜입력!$B:$B,$A177,실시간콜입력!$E:$E,"C",실시간콜입력!$H:$H,$B177,실시간콜입력!$O:$O,"방문완료")</f>
        <v>0</v>
      </c>
      <c r="I177" s="29">
        <f>COUNTIFS(실시간콜입력!$B:$B,$A177,실시간콜입력!$E:$E,"D",실시간콜입력!$G:$G,$B177,실시간콜입력!$O:$O,"방문완료")+COUNTIFS(실시간콜입력!$B:$B,$A177,실시간콜입력!$E:$E,"D",실시간콜입력!$H:$H,$B177,실시간콜입력!$O:$O,"방문완료")</f>
        <v>0</v>
      </c>
      <c r="J177" s="29">
        <f>COUNTIFS(실시간콜입력!$B:$B,$A177,실시간콜입력!$E:$E,"E",실시간콜입력!$G:$G,$B177,실시간콜입력!$O:$O,"방문완료")+COUNTIFS(실시간콜입력!$B:$B,$A177,실시간콜입력!$E:$E,"E",실시간콜입력!$H:$H,$B177,실시간콜입력!$O:$O,"방문완료")</f>
        <v>0</v>
      </c>
      <c r="K177" s="29">
        <f t="shared" si="23"/>
        <v>0</v>
      </c>
      <c r="L177" s="27">
        <f>SUMIFS(실시간콜입력!$K:$K,실시간콜입력!$B:$B,$A177,실시간콜입력!$G:$G,$B177,실시간콜입력!$O:$O,"방문완료")+SUMIFS(실시간콜입력!$L:$L,실시간콜입력!$B:$B,$A177,실시간콜입력!$H:$H,$B177,실시간콜입력!$O:$O,"방문완료")</f>
        <v>0</v>
      </c>
      <c r="M177" s="29" t="str">
        <f t="shared" si="24"/>
        <v/>
      </c>
      <c r="N177" s="29"/>
    </row>
    <row r="178" spans="1:14" ht="19.5" hidden="1" customHeight="1" outlineLevel="1">
      <c r="A178" s="30">
        <f>IF(4&lt;=DAY(DATE(YEAR(설정_코스수당!$K$2),MONTH(설정_코스수당!$K$2)+1,0)),DATE(YEAR(설정_코스수당!$K$2),MONTH(설정_코스수당!$K$2),4),"")</f>
        <v>46177</v>
      </c>
      <c r="B178" s="29" t="s">
        <v>178</v>
      </c>
      <c r="C178" s="29"/>
      <c r="D178" s="29"/>
      <c r="E178" s="29" t="str">
        <f t="shared" si="22"/>
        <v/>
      </c>
      <c r="F178" s="29">
        <f>COUNTIFS(실시간콜입력!$B:$B,$A178,실시간콜입력!$E:$E,"A",실시간콜입력!$G:$G,$B178,실시간콜입력!$O:$O,"방문완료")+COUNTIFS(실시간콜입력!$B:$B,$A178,실시간콜입력!$E:$E,"A",실시간콜입력!$H:$H,$B178,실시간콜입력!$O:$O,"방문완료")</f>
        <v>0</v>
      </c>
      <c r="G178" s="29">
        <f>COUNTIFS(실시간콜입력!$B:$B,$A178,실시간콜입력!$E:$E,"B",실시간콜입력!$G:$G,$B178,실시간콜입력!$O:$O,"방문완료")+COUNTIFS(실시간콜입력!$B:$B,$A178,실시간콜입력!$E:$E,"B",실시간콜입력!$H:$H,$B178,실시간콜입력!$O:$O,"방문완료")</f>
        <v>0</v>
      </c>
      <c r="H178" s="29">
        <f>COUNTIFS(실시간콜입력!$B:$B,$A178,실시간콜입력!$E:$E,"C",실시간콜입력!$G:$G,$B178,실시간콜입력!$O:$O,"방문완료")+COUNTIFS(실시간콜입력!$B:$B,$A178,실시간콜입력!$E:$E,"C",실시간콜입력!$H:$H,$B178,실시간콜입력!$O:$O,"방문완료")</f>
        <v>0</v>
      </c>
      <c r="I178" s="29">
        <f>COUNTIFS(실시간콜입력!$B:$B,$A178,실시간콜입력!$E:$E,"D",실시간콜입력!$G:$G,$B178,실시간콜입력!$O:$O,"방문완료")+COUNTIFS(실시간콜입력!$B:$B,$A178,실시간콜입력!$E:$E,"D",실시간콜입력!$H:$H,$B178,실시간콜입력!$O:$O,"방문완료")</f>
        <v>0</v>
      </c>
      <c r="J178" s="29">
        <f>COUNTIFS(실시간콜입력!$B:$B,$A178,실시간콜입력!$E:$E,"E",실시간콜입력!$G:$G,$B178,실시간콜입력!$O:$O,"방문완료")+COUNTIFS(실시간콜입력!$B:$B,$A178,실시간콜입력!$E:$E,"E",실시간콜입력!$H:$H,$B178,실시간콜입력!$O:$O,"방문완료")</f>
        <v>0</v>
      </c>
      <c r="K178" s="29">
        <f t="shared" si="23"/>
        <v>0</v>
      </c>
      <c r="L178" s="33">
        <f>SUMIFS(실시간콜입력!$K:$K,실시간콜입력!$B:$B,$A178,실시간콜입력!$G:$G,$B178,실시간콜입력!$O:$O,"방문완료")+SUMIFS(실시간콜입력!$L:$L,실시간콜입력!$B:$B,$A178,실시간콜입력!$H:$H,$B178,실시간콜입력!$O:$O,"방문완료")</f>
        <v>0</v>
      </c>
      <c r="M178" s="29" t="str">
        <f t="shared" si="24"/>
        <v/>
      </c>
      <c r="N178" s="29"/>
    </row>
    <row r="179" spans="1:14" ht="19.5" hidden="1" customHeight="1" outlineLevel="1">
      <c r="A179" s="24">
        <f>IF(4&lt;=DAY(DATE(YEAR(설정_코스수당!$K$2),MONTH(설정_코스수당!$K$2)+1,0)),DATE(YEAR(설정_코스수당!$K$2),MONTH(설정_코스수당!$K$2),4),"")</f>
        <v>46177</v>
      </c>
      <c r="B179" s="23" t="s">
        <v>179</v>
      </c>
      <c r="C179" s="29"/>
      <c r="D179" s="29"/>
      <c r="E179" s="29" t="str">
        <f t="shared" si="22"/>
        <v/>
      </c>
      <c r="F179" s="29">
        <f>COUNTIFS(실시간콜입력!$B:$B,$A179,실시간콜입력!$E:$E,"A",실시간콜입력!$G:$G,$B179,실시간콜입력!$O:$O,"방문완료")+COUNTIFS(실시간콜입력!$B:$B,$A179,실시간콜입력!$E:$E,"A",실시간콜입력!$H:$H,$B179,실시간콜입력!$O:$O,"방문완료")</f>
        <v>0</v>
      </c>
      <c r="G179" s="29">
        <f>COUNTIFS(실시간콜입력!$B:$B,$A179,실시간콜입력!$E:$E,"B",실시간콜입력!$G:$G,$B179,실시간콜입력!$O:$O,"방문완료")+COUNTIFS(실시간콜입력!$B:$B,$A179,실시간콜입력!$E:$E,"B",실시간콜입력!$H:$H,$B179,실시간콜입력!$O:$O,"방문완료")</f>
        <v>0</v>
      </c>
      <c r="H179" s="29">
        <f>COUNTIFS(실시간콜입력!$B:$B,$A179,실시간콜입력!$E:$E,"C",실시간콜입력!$G:$G,$B179,실시간콜입력!$O:$O,"방문완료")+COUNTIFS(실시간콜입력!$B:$B,$A179,실시간콜입력!$E:$E,"C",실시간콜입력!$H:$H,$B179,실시간콜입력!$O:$O,"방문완료")</f>
        <v>0</v>
      </c>
      <c r="I179" s="29">
        <f>COUNTIFS(실시간콜입력!$B:$B,$A179,실시간콜입력!$E:$E,"D",실시간콜입력!$G:$G,$B179,실시간콜입력!$O:$O,"방문완료")+COUNTIFS(실시간콜입력!$B:$B,$A179,실시간콜입력!$E:$E,"D",실시간콜입력!$H:$H,$B179,실시간콜입력!$O:$O,"방문완료")</f>
        <v>0</v>
      </c>
      <c r="J179" s="29">
        <f>COUNTIFS(실시간콜입력!$B:$B,$A179,실시간콜입력!$E:$E,"E",실시간콜입력!$G:$G,$B179,실시간콜입력!$O:$O,"방문완료")+COUNTIFS(실시간콜입력!$B:$B,$A179,실시간콜입력!$E:$E,"E",실시간콜입력!$H:$H,$B179,실시간콜입력!$O:$O,"방문완료")</f>
        <v>0</v>
      </c>
      <c r="K179" s="29">
        <f t="shared" si="23"/>
        <v>0</v>
      </c>
      <c r="L179" s="27">
        <f>SUMIFS(실시간콜입력!$K:$K,실시간콜입력!$B:$B,$A179,실시간콜입력!$G:$G,$B179,실시간콜입력!$O:$O,"방문완료")+SUMIFS(실시간콜입력!$L:$L,실시간콜입력!$B:$B,$A179,실시간콜입력!$H:$H,$B179,실시간콜입력!$O:$O,"방문완료")</f>
        <v>0</v>
      </c>
      <c r="M179" s="29" t="str">
        <f t="shared" si="24"/>
        <v/>
      </c>
      <c r="N179" s="29"/>
    </row>
    <row r="180" spans="1:14" ht="19.5" hidden="1" customHeight="1" outlineLevel="1">
      <c r="A180" s="30">
        <f>IF(4&lt;=DAY(DATE(YEAR(설정_코스수당!$K$2),MONTH(설정_코스수당!$K$2)+1,0)),DATE(YEAR(설정_코스수당!$K$2),MONTH(설정_코스수당!$K$2),4),"")</f>
        <v>46177</v>
      </c>
      <c r="B180" s="29" t="s">
        <v>180</v>
      </c>
      <c r="C180" s="29"/>
      <c r="D180" s="29"/>
      <c r="E180" s="29" t="str">
        <f t="shared" si="22"/>
        <v/>
      </c>
      <c r="F180" s="29">
        <f>COUNTIFS(실시간콜입력!$B:$B,$A180,실시간콜입력!$E:$E,"A",실시간콜입력!$G:$G,$B180,실시간콜입력!$O:$O,"방문완료")+COUNTIFS(실시간콜입력!$B:$B,$A180,실시간콜입력!$E:$E,"A",실시간콜입력!$H:$H,$B180,실시간콜입력!$O:$O,"방문완료")</f>
        <v>0</v>
      </c>
      <c r="G180" s="29">
        <f>COUNTIFS(실시간콜입력!$B:$B,$A180,실시간콜입력!$E:$E,"B",실시간콜입력!$G:$G,$B180,실시간콜입력!$O:$O,"방문완료")+COUNTIFS(실시간콜입력!$B:$B,$A180,실시간콜입력!$E:$E,"B",실시간콜입력!$H:$H,$B180,실시간콜입력!$O:$O,"방문완료")</f>
        <v>0</v>
      </c>
      <c r="H180" s="29">
        <f>COUNTIFS(실시간콜입력!$B:$B,$A180,실시간콜입력!$E:$E,"C",실시간콜입력!$G:$G,$B180,실시간콜입력!$O:$O,"방문완료")+COUNTIFS(실시간콜입력!$B:$B,$A180,실시간콜입력!$E:$E,"C",실시간콜입력!$H:$H,$B180,실시간콜입력!$O:$O,"방문완료")</f>
        <v>0</v>
      </c>
      <c r="I180" s="29">
        <f>COUNTIFS(실시간콜입력!$B:$B,$A180,실시간콜입력!$E:$E,"D",실시간콜입력!$G:$G,$B180,실시간콜입력!$O:$O,"방문완료")+COUNTIFS(실시간콜입력!$B:$B,$A180,실시간콜입력!$E:$E,"D",실시간콜입력!$H:$H,$B180,실시간콜입력!$O:$O,"방문완료")</f>
        <v>0</v>
      </c>
      <c r="J180" s="29">
        <f>COUNTIFS(실시간콜입력!$B:$B,$A180,실시간콜입력!$E:$E,"E",실시간콜입력!$G:$G,$B180,실시간콜입력!$O:$O,"방문완료")+COUNTIFS(실시간콜입력!$B:$B,$A180,실시간콜입력!$E:$E,"E",실시간콜입력!$H:$H,$B180,실시간콜입력!$O:$O,"방문완료")</f>
        <v>0</v>
      </c>
      <c r="K180" s="29">
        <f t="shared" si="23"/>
        <v>0</v>
      </c>
      <c r="L180" s="33">
        <f>SUMIFS(실시간콜입력!$K:$K,실시간콜입력!$B:$B,$A180,실시간콜입력!$G:$G,$B180,실시간콜입력!$O:$O,"방문완료")+SUMIFS(실시간콜입력!$L:$L,실시간콜입력!$B:$B,$A180,실시간콜입력!$H:$H,$B180,실시간콜입력!$O:$O,"방문완료")</f>
        <v>0</v>
      </c>
      <c r="M180" s="29" t="str">
        <f t="shared" si="24"/>
        <v/>
      </c>
      <c r="N180" s="29"/>
    </row>
    <row r="181" spans="1:14" ht="19.5" hidden="1" customHeight="1" outlineLevel="1">
      <c r="A181" s="24">
        <f>IF(4&lt;=DAY(DATE(YEAR(설정_코스수당!$K$2),MONTH(설정_코스수당!$K$2)+1,0)),DATE(YEAR(설정_코스수당!$K$2),MONTH(설정_코스수당!$K$2),4),"")</f>
        <v>46177</v>
      </c>
      <c r="B181" s="23" t="s">
        <v>181</v>
      </c>
      <c r="C181" s="29"/>
      <c r="D181" s="29"/>
      <c r="E181" s="29" t="str">
        <f t="shared" si="22"/>
        <v/>
      </c>
      <c r="F181" s="29">
        <f>COUNTIFS(실시간콜입력!$B:$B,$A181,실시간콜입력!$E:$E,"A",실시간콜입력!$G:$G,$B181,실시간콜입력!$O:$O,"방문완료")+COUNTIFS(실시간콜입력!$B:$B,$A181,실시간콜입력!$E:$E,"A",실시간콜입력!$H:$H,$B181,실시간콜입력!$O:$O,"방문완료")</f>
        <v>0</v>
      </c>
      <c r="G181" s="29">
        <f>COUNTIFS(실시간콜입력!$B:$B,$A181,실시간콜입력!$E:$E,"B",실시간콜입력!$G:$G,$B181,실시간콜입력!$O:$O,"방문완료")+COUNTIFS(실시간콜입력!$B:$B,$A181,실시간콜입력!$E:$E,"B",실시간콜입력!$H:$H,$B181,실시간콜입력!$O:$O,"방문완료")</f>
        <v>0</v>
      </c>
      <c r="H181" s="29">
        <f>COUNTIFS(실시간콜입력!$B:$B,$A181,실시간콜입력!$E:$E,"C",실시간콜입력!$G:$G,$B181,실시간콜입력!$O:$O,"방문완료")+COUNTIFS(실시간콜입력!$B:$B,$A181,실시간콜입력!$E:$E,"C",실시간콜입력!$H:$H,$B181,실시간콜입력!$O:$O,"방문완료")</f>
        <v>0</v>
      </c>
      <c r="I181" s="29">
        <f>COUNTIFS(실시간콜입력!$B:$B,$A181,실시간콜입력!$E:$E,"D",실시간콜입력!$G:$G,$B181,실시간콜입력!$O:$O,"방문완료")+COUNTIFS(실시간콜입력!$B:$B,$A181,실시간콜입력!$E:$E,"D",실시간콜입력!$H:$H,$B181,실시간콜입력!$O:$O,"방문완료")</f>
        <v>0</v>
      </c>
      <c r="J181" s="29">
        <f>COUNTIFS(실시간콜입력!$B:$B,$A181,실시간콜입력!$E:$E,"E",실시간콜입력!$G:$G,$B181,실시간콜입력!$O:$O,"방문완료")+COUNTIFS(실시간콜입력!$B:$B,$A181,실시간콜입력!$E:$E,"E",실시간콜입력!$H:$H,$B181,실시간콜입력!$O:$O,"방문완료")</f>
        <v>0</v>
      </c>
      <c r="K181" s="29">
        <f t="shared" si="23"/>
        <v>0</v>
      </c>
      <c r="L181" s="27">
        <f>SUMIFS(실시간콜입력!$K:$K,실시간콜입력!$B:$B,$A181,실시간콜입력!$G:$G,$B181,실시간콜입력!$O:$O,"방문완료")+SUMIFS(실시간콜입력!$L:$L,실시간콜입력!$B:$B,$A181,실시간콜입력!$H:$H,$B181,실시간콜입력!$O:$O,"방문완료")</f>
        <v>0</v>
      </c>
      <c r="M181" s="29" t="str">
        <f t="shared" si="24"/>
        <v/>
      </c>
      <c r="N181" s="29"/>
    </row>
    <row r="182" spans="1:14" ht="19.5" hidden="1" customHeight="1" outlineLevel="1">
      <c r="A182" s="30">
        <f>IF(4&lt;=DAY(DATE(YEAR(설정_코스수당!$K$2),MONTH(설정_코스수당!$K$2)+1,0)),DATE(YEAR(설정_코스수당!$K$2),MONTH(설정_코스수당!$K$2),4),"")</f>
        <v>46177</v>
      </c>
      <c r="B182" s="29" t="s">
        <v>182</v>
      </c>
      <c r="C182" s="29"/>
      <c r="D182" s="29"/>
      <c r="E182" s="29" t="str">
        <f t="shared" si="22"/>
        <v/>
      </c>
      <c r="F182" s="29">
        <f>COUNTIFS(실시간콜입력!$B:$B,$A182,실시간콜입력!$E:$E,"A",실시간콜입력!$G:$G,$B182,실시간콜입력!$O:$O,"방문완료")+COUNTIFS(실시간콜입력!$B:$B,$A182,실시간콜입력!$E:$E,"A",실시간콜입력!$H:$H,$B182,실시간콜입력!$O:$O,"방문완료")</f>
        <v>0</v>
      </c>
      <c r="G182" s="29">
        <f>COUNTIFS(실시간콜입력!$B:$B,$A182,실시간콜입력!$E:$E,"B",실시간콜입력!$G:$G,$B182,실시간콜입력!$O:$O,"방문완료")+COUNTIFS(실시간콜입력!$B:$B,$A182,실시간콜입력!$E:$E,"B",실시간콜입력!$H:$H,$B182,실시간콜입력!$O:$O,"방문완료")</f>
        <v>0</v>
      </c>
      <c r="H182" s="29">
        <f>COUNTIFS(실시간콜입력!$B:$B,$A182,실시간콜입력!$E:$E,"C",실시간콜입력!$G:$G,$B182,실시간콜입력!$O:$O,"방문완료")+COUNTIFS(실시간콜입력!$B:$B,$A182,실시간콜입력!$E:$E,"C",실시간콜입력!$H:$H,$B182,실시간콜입력!$O:$O,"방문완료")</f>
        <v>0</v>
      </c>
      <c r="I182" s="29">
        <f>COUNTIFS(실시간콜입력!$B:$B,$A182,실시간콜입력!$E:$E,"D",실시간콜입력!$G:$G,$B182,실시간콜입력!$O:$O,"방문완료")+COUNTIFS(실시간콜입력!$B:$B,$A182,실시간콜입력!$E:$E,"D",실시간콜입력!$H:$H,$B182,실시간콜입력!$O:$O,"방문완료")</f>
        <v>0</v>
      </c>
      <c r="J182" s="29">
        <f>COUNTIFS(실시간콜입력!$B:$B,$A182,실시간콜입력!$E:$E,"E",실시간콜입력!$G:$G,$B182,실시간콜입력!$O:$O,"방문완료")+COUNTIFS(실시간콜입력!$B:$B,$A182,실시간콜입력!$E:$E,"E",실시간콜입력!$H:$H,$B182,실시간콜입력!$O:$O,"방문완료")</f>
        <v>0</v>
      </c>
      <c r="K182" s="29">
        <f t="shared" si="23"/>
        <v>0</v>
      </c>
      <c r="L182" s="33">
        <f>SUMIFS(실시간콜입력!$K:$K,실시간콜입력!$B:$B,$A182,실시간콜입력!$G:$G,$B182,실시간콜입력!$O:$O,"방문완료")+SUMIFS(실시간콜입력!$L:$L,실시간콜입력!$B:$B,$A182,실시간콜입력!$H:$H,$B182,실시간콜입력!$O:$O,"방문완료")</f>
        <v>0</v>
      </c>
      <c r="M182" s="29" t="str">
        <f t="shared" si="24"/>
        <v/>
      </c>
      <c r="N182" s="29"/>
    </row>
    <row r="183" spans="1:14" ht="19.5" hidden="1" customHeight="1" outlineLevel="1">
      <c r="A183" s="24">
        <f>IF(4&lt;=DAY(DATE(YEAR(설정_코스수당!$K$2),MONTH(설정_코스수당!$K$2)+1,0)),DATE(YEAR(설정_코스수당!$K$2),MONTH(설정_코스수당!$K$2),4),"")</f>
        <v>46177</v>
      </c>
      <c r="B183" s="23" t="s">
        <v>183</v>
      </c>
      <c r="C183" s="29"/>
      <c r="D183" s="29"/>
      <c r="E183" s="29" t="str">
        <f t="shared" si="22"/>
        <v/>
      </c>
      <c r="F183" s="29">
        <f>COUNTIFS(실시간콜입력!$B:$B,$A183,실시간콜입력!$E:$E,"A",실시간콜입력!$G:$G,$B183,실시간콜입력!$O:$O,"방문완료")+COUNTIFS(실시간콜입력!$B:$B,$A183,실시간콜입력!$E:$E,"A",실시간콜입력!$H:$H,$B183,실시간콜입력!$O:$O,"방문완료")</f>
        <v>0</v>
      </c>
      <c r="G183" s="29">
        <f>COUNTIFS(실시간콜입력!$B:$B,$A183,실시간콜입력!$E:$E,"B",실시간콜입력!$G:$G,$B183,실시간콜입력!$O:$O,"방문완료")+COUNTIFS(실시간콜입력!$B:$B,$A183,실시간콜입력!$E:$E,"B",실시간콜입력!$H:$H,$B183,실시간콜입력!$O:$O,"방문완료")</f>
        <v>0</v>
      </c>
      <c r="H183" s="29">
        <f>COUNTIFS(실시간콜입력!$B:$B,$A183,실시간콜입력!$E:$E,"C",실시간콜입력!$G:$G,$B183,실시간콜입력!$O:$O,"방문완료")+COUNTIFS(실시간콜입력!$B:$B,$A183,실시간콜입력!$E:$E,"C",실시간콜입력!$H:$H,$B183,실시간콜입력!$O:$O,"방문완료")</f>
        <v>0</v>
      </c>
      <c r="I183" s="29">
        <f>COUNTIFS(실시간콜입력!$B:$B,$A183,실시간콜입력!$E:$E,"D",실시간콜입력!$G:$G,$B183,실시간콜입력!$O:$O,"방문완료")+COUNTIFS(실시간콜입력!$B:$B,$A183,실시간콜입력!$E:$E,"D",실시간콜입력!$H:$H,$B183,실시간콜입력!$O:$O,"방문완료")</f>
        <v>0</v>
      </c>
      <c r="J183" s="29">
        <f>COUNTIFS(실시간콜입력!$B:$B,$A183,실시간콜입력!$E:$E,"E",실시간콜입력!$G:$G,$B183,실시간콜입력!$O:$O,"방문완료")+COUNTIFS(실시간콜입력!$B:$B,$A183,실시간콜입력!$E:$E,"E",실시간콜입력!$H:$H,$B183,실시간콜입력!$O:$O,"방문완료")</f>
        <v>0</v>
      </c>
      <c r="K183" s="29">
        <f t="shared" si="23"/>
        <v>0</v>
      </c>
      <c r="L183" s="27">
        <f>SUMIFS(실시간콜입력!$K:$K,실시간콜입력!$B:$B,$A183,실시간콜입력!$G:$G,$B183,실시간콜입력!$O:$O,"방문완료")+SUMIFS(실시간콜입력!$L:$L,실시간콜입력!$B:$B,$A183,실시간콜입력!$H:$H,$B183,실시간콜입력!$O:$O,"방문완료")</f>
        <v>0</v>
      </c>
      <c r="M183" s="29" t="str">
        <f t="shared" si="24"/>
        <v/>
      </c>
      <c r="N183" s="29"/>
    </row>
    <row r="184" spans="1:14" ht="19.5" hidden="1" customHeight="1" outlineLevel="1">
      <c r="A184" s="30">
        <f>IF(4&lt;=DAY(DATE(YEAR(설정_코스수당!$K$2),MONTH(설정_코스수당!$K$2)+1,0)),DATE(YEAR(설정_코스수당!$K$2),MONTH(설정_코스수당!$K$2),4),"")</f>
        <v>46177</v>
      </c>
      <c r="B184" s="29" t="s">
        <v>184</v>
      </c>
      <c r="C184" s="29"/>
      <c r="D184" s="29"/>
      <c r="E184" s="29" t="str">
        <f t="shared" si="22"/>
        <v/>
      </c>
      <c r="F184" s="29">
        <f>COUNTIFS(실시간콜입력!$B:$B,$A184,실시간콜입력!$E:$E,"A",실시간콜입력!$G:$G,$B184,실시간콜입력!$O:$O,"방문완료")+COUNTIFS(실시간콜입력!$B:$B,$A184,실시간콜입력!$E:$E,"A",실시간콜입력!$H:$H,$B184,실시간콜입력!$O:$O,"방문완료")</f>
        <v>0</v>
      </c>
      <c r="G184" s="29">
        <f>COUNTIFS(실시간콜입력!$B:$B,$A184,실시간콜입력!$E:$E,"B",실시간콜입력!$G:$G,$B184,실시간콜입력!$O:$O,"방문완료")+COUNTIFS(실시간콜입력!$B:$B,$A184,실시간콜입력!$E:$E,"B",실시간콜입력!$H:$H,$B184,실시간콜입력!$O:$O,"방문완료")</f>
        <v>0</v>
      </c>
      <c r="H184" s="29">
        <f>COUNTIFS(실시간콜입력!$B:$B,$A184,실시간콜입력!$E:$E,"C",실시간콜입력!$G:$G,$B184,실시간콜입력!$O:$O,"방문완료")+COUNTIFS(실시간콜입력!$B:$B,$A184,실시간콜입력!$E:$E,"C",실시간콜입력!$H:$H,$B184,실시간콜입력!$O:$O,"방문완료")</f>
        <v>0</v>
      </c>
      <c r="I184" s="29">
        <f>COUNTIFS(실시간콜입력!$B:$B,$A184,실시간콜입력!$E:$E,"D",실시간콜입력!$G:$G,$B184,실시간콜입력!$O:$O,"방문완료")+COUNTIFS(실시간콜입력!$B:$B,$A184,실시간콜입력!$E:$E,"D",실시간콜입력!$H:$H,$B184,실시간콜입력!$O:$O,"방문완료")</f>
        <v>0</v>
      </c>
      <c r="J184" s="29">
        <f>COUNTIFS(실시간콜입력!$B:$B,$A184,실시간콜입력!$E:$E,"E",실시간콜입력!$G:$G,$B184,실시간콜입력!$O:$O,"방문완료")+COUNTIFS(실시간콜입력!$B:$B,$A184,실시간콜입력!$E:$E,"E",실시간콜입력!$H:$H,$B184,실시간콜입력!$O:$O,"방문완료")</f>
        <v>0</v>
      </c>
      <c r="K184" s="29">
        <f t="shared" si="23"/>
        <v>0</v>
      </c>
      <c r="L184" s="33">
        <f>SUMIFS(실시간콜입력!$K:$K,실시간콜입력!$B:$B,$A184,실시간콜입력!$G:$G,$B184,실시간콜입력!$O:$O,"방문완료")+SUMIFS(실시간콜입력!$L:$L,실시간콜입력!$B:$B,$A184,실시간콜입력!$H:$H,$B184,실시간콜입력!$O:$O,"방문완료")</f>
        <v>0</v>
      </c>
      <c r="M184" s="29" t="str">
        <f t="shared" si="24"/>
        <v/>
      </c>
      <c r="N184" s="29"/>
    </row>
    <row r="185" spans="1:14" ht="19.5" hidden="1" customHeight="1" outlineLevel="1">
      <c r="A185" s="24">
        <f>IF(4&lt;=DAY(DATE(YEAR(설정_코스수당!$K$2),MONTH(설정_코스수당!$K$2)+1,0)),DATE(YEAR(설정_코스수당!$K$2),MONTH(설정_코스수당!$K$2),4),"")</f>
        <v>46177</v>
      </c>
      <c r="B185" s="23" t="s">
        <v>185</v>
      </c>
      <c r="C185" s="29"/>
      <c r="D185" s="29"/>
      <c r="E185" s="29" t="str">
        <f t="shared" si="22"/>
        <v/>
      </c>
      <c r="F185" s="29">
        <f>COUNTIFS(실시간콜입력!$B:$B,$A185,실시간콜입력!$E:$E,"A",실시간콜입력!$G:$G,$B185,실시간콜입력!$O:$O,"방문완료")+COUNTIFS(실시간콜입력!$B:$B,$A185,실시간콜입력!$E:$E,"A",실시간콜입력!$H:$H,$B185,실시간콜입력!$O:$O,"방문완료")</f>
        <v>0</v>
      </c>
      <c r="G185" s="29">
        <f>COUNTIFS(실시간콜입력!$B:$B,$A185,실시간콜입력!$E:$E,"B",실시간콜입력!$G:$G,$B185,실시간콜입력!$O:$O,"방문완료")+COUNTIFS(실시간콜입력!$B:$B,$A185,실시간콜입력!$E:$E,"B",실시간콜입력!$H:$H,$B185,실시간콜입력!$O:$O,"방문완료")</f>
        <v>0</v>
      </c>
      <c r="H185" s="29">
        <f>COUNTIFS(실시간콜입력!$B:$B,$A185,실시간콜입력!$E:$E,"C",실시간콜입력!$G:$G,$B185,실시간콜입력!$O:$O,"방문완료")+COUNTIFS(실시간콜입력!$B:$B,$A185,실시간콜입력!$E:$E,"C",실시간콜입력!$H:$H,$B185,실시간콜입력!$O:$O,"방문완료")</f>
        <v>0</v>
      </c>
      <c r="I185" s="29">
        <f>COUNTIFS(실시간콜입력!$B:$B,$A185,실시간콜입력!$E:$E,"D",실시간콜입력!$G:$G,$B185,실시간콜입력!$O:$O,"방문완료")+COUNTIFS(실시간콜입력!$B:$B,$A185,실시간콜입력!$E:$E,"D",실시간콜입력!$H:$H,$B185,실시간콜입력!$O:$O,"방문완료")</f>
        <v>0</v>
      </c>
      <c r="J185" s="29">
        <f>COUNTIFS(실시간콜입력!$B:$B,$A185,실시간콜입력!$E:$E,"E",실시간콜입력!$G:$G,$B185,실시간콜입력!$O:$O,"방문완료")+COUNTIFS(실시간콜입력!$B:$B,$A185,실시간콜입력!$E:$E,"E",실시간콜입력!$H:$H,$B185,실시간콜입력!$O:$O,"방문완료")</f>
        <v>0</v>
      </c>
      <c r="K185" s="29">
        <f t="shared" si="23"/>
        <v>0</v>
      </c>
      <c r="L185" s="27">
        <f>SUMIFS(실시간콜입력!$K:$K,실시간콜입력!$B:$B,$A185,실시간콜입력!$G:$G,$B185,실시간콜입력!$O:$O,"방문완료")+SUMIFS(실시간콜입력!$L:$L,실시간콜입력!$B:$B,$A185,실시간콜입력!$H:$H,$B185,실시간콜입력!$O:$O,"방문완료")</f>
        <v>0</v>
      </c>
      <c r="M185" s="29" t="str">
        <f t="shared" si="24"/>
        <v/>
      </c>
      <c r="N185" s="29"/>
    </row>
    <row r="186" spans="1:14" ht="19.5" hidden="1" customHeight="1" outlineLevel="1">
      <c r="A186" s="30">
        <f>IF(4&lt;=DAY(DATE(YEAR(설정_코스수당!$K$2),MONTH(설정_코스수당!$K$2)+1,0)),DATE(YEAR(설정_코스수당!$K$2),MONTH(설정_코스수당!$K$2),4),"")</f>
        <v>46177</v>
      </c>
      <c r="B186" s="29" t="s">
        <v>186</v>
      </c>
      <c r="C186" s="29"/>
      <c r="D186" s="29"/>
      <c r="E186" s="29" t="str">
        <f t="shared" si="22"/>
        <v/>
      </c>
      <c r="F186" s="29">
        <f>COUNTIFS(실시간콜입력!$B:$B,$A186,실시간콜입력!$E:$E,"A",실시간콜입력!$G:$G,$B186,실시간콜입력!$O:$O,"방문완료")+COUNTIFS(실시간콜입력!$B:$B,$A186,실시간콜입력!$E:$E,"A",실시간콜입력!$H:$H,$B186,실시간콜입력!$O:$O,"방문완료")</f>
        <v>0</v>
      </c>
      <c r="G186" s="29">
        <f>COUNTIFS(실시간콜입력!$B:$B,$A186,실시간콜입력!$E:$E,"B",실시간콜입력!$G:$G,$B186,실시간콜입력!$O:$O,"방문완료")+COUNTIFS(실시간콜입력!$B:$B,$A186,실시간콜입력!$E:$E,"B",실시간콜입력!$H:$H,$B186,실시간콜입력!$O:$O,"방문완료")</f>
        <v>0</v>
      </c>
      <c r="H186" s="29">
        <f>COUNTIFS(실시간콜입력!$B:$B,$A186,실시간콜입력!$E:$E,"C",실시간콜입력!$G:$G,$B186,실시간콜입력!$O:$O,"방문완료")+COUNTIFS(실시간콜입력!$B:$B,$A186,실시간콜입력!$E:$E,"C",실시간콜입력!$H:$H,$B186,실시간콜입력!$O:$O,"방문완료")</f>
        <v>0</v>
      </c>
      <c r="I186" s="29">
        <f>COUNTIFS(실시간콜입력!$B:$B,$A186,실시간콜입력!$E:$E,"D",실시간콜입력!$G:$G,$B186,실시간콜입력!$O:$O,"방문완료")+COUNTIFS(실시간콜입력!$B:$B,$A186,실시간콜입력!$E:$E,"D",실시간콜입력!$H:$H,$B186,실시간콜입력!$O:$O,"방문완료")</f>
        <v>0</v>
      </c>
      <c r="J186" s="29">
        <f>COUNTIFS(실시간콜입력!$B:$B,$A186,실시간콜입력!$E:$E,"E",실시간콜입력!$G:$G,$B186,실시간콜입력!$O:$O,"방문완료")+COUNTIFS(실시간콜입력!$B:$B,$A186,실시간콜입력!$E:$E,"E",실시간콜입력!$H:$H,$B186,실시간콜입력!$O:$O,"방문완료")</f>
        <v>0</v>
      </c>
      <c r="K186" s="29">
        <f t="shared" si="23"/>
        <v>0</v>
      </c>
      <c r="L186" s="33">
        <f>SUMIFS(실시간콜입력!$K:$K,실시간콜입력!$B:$B,$A186,실시간콜입력!$G:$G,$B186,실시간콜입력!$O:$O,"방문완료")+SUMIFS(실시간콜입력!$L:$L,실시간콜입력!$B:$B,$A186,실시간콜입력!$H:$H,$B186,실시간콜입력!$O:$O,"방문완료")</f>
        <v>0</v>
      </c>
      <c r="M186" s="29" t="str">
        <f t="shared" si="24"/>
        <v/>
      </c>
      <c r="N186" s="29"/>
    </row>
    <row r="187" spans="1:14" ht="19.5" hidden="1" customHeight="1" outlineLevel="1">
      <c r="A187" s="24">
        <f>IF(4&lt;=DAY(DATE(YEAR(설정_코스수당!$K$2),MONTH(설정_코스수당!$K$2)+1,0)),DATE(YEAR(설정_코스수당!$K$2),MONTH(설정_코스수당!$K$2),4),"")</f>
        <v>46177</v>
      </c>
      <c r="B187" s="23" t="s">
        <v>187</v>
      </c>
      <c r="C187" s="29"/>
      <c r="D187" s="29"/>
      <c r="E187" s="29" t="str">
        <f t="shared" si="22"/>
        <v/>
      </c>
      <c r="F187" s="29">
        <f>COUNTIFS(실시간콜입력!$B:$B,$A187,실시간콜입력!$E:$E,"A",실시간콜입력!$G:$G,$B187,실시간콜입력!$O:$O,"방문완료")+COUNTIFS(실시간콜입력!$B:$B,$A187,실시간콜입력!$E:$E,"A",실시간콜입력!$H:$H,$B187,실시간콜입력!$O:$O,"방문완료")</f>
        <v>0</v>
      </c>
      <c r="G187" s="29">
        <f>COUNTIFS(실시간콜입력!$B:$B,$A187,실시간콜입력!$E:$E,"B",실시간콜입력!$G:$G,$B187,실시간콜입력!$O:$O,"방문완료")+COUNTIFS(실시간콜입력!$B:$B,$A187,실시간콜입력!$E:$E,"B",실시간콜입력!$H:$H,$B187,실시간콜입력!$O:$O,"방문완료")</f>
        <v>0</v>
      </c>
      <c r="H187" s="29">
        <f>COUNTIFS(실시간콜입력!$B:$B,$A187,실시간콜입력!$E:$E,"C",실시간콜입력!$G:$G,$B187,실시간콜입력!$O:$O,"방문완료")+COUNTIFS(실시간콜입력!$B:$B,$A187,실시간콜입력!$E:$E,"C",실시간콜입력!$H:$H,$B187,실시간콜입력!$O:$O,"방문완료")</f>
        <v>0</v>
      </c>
      <c r="I187" s="29">
        <f>COUNTIFS(실시간콜입력!$B:$B,$A187,실시간콜입력!$E:$E,"D",실시간콜입력!$G:$G,$B187,실시간콜입력!$O:$O,"방문완료")+COUNTIFS(실시간콜입력!$B:$B,$A187,실시간콜입력!$E:$E,"D",실시간콜입력!$H:$H,$B187,실시간콜입력!$O:$O,"방문완료")</f>
        <v>0</v>
      </c>
      <c r="J187" s="29">
        <f>COUNTIFS(실시간콜입력!$B:$B,$A187,실시간콜입력!$E:$E,"E",실시간콜입력!$G:$G,$B187,실시간콜입력!$O:$O,"방문완료")+COUNTIFS(실시간콜입력!$B:$B,$A187,실시간콜입력!$E:$E,"E",실시간콜입력!$H:$H,$B187,실시간콜입력!$O:$O,"방문완료")</f>
        <v>0</v>
      </c>
      <c r="K187" s="29">
        <f t="shared" si="23"/>
        <v>0</v>
      </c>
      <c r="L187" s="27">
        <f>SUMIFS(실시간콜입력!$K:$K,실시간콜입력!$B:$B,$A187,실시간콜입력!$G:$G,$B187,실시간콜입력!$O:$O,"방문완료")+SUMIFS(실시간콜입력!$L:$L,실시간콜입력!$B:$B,$A187,실시간콜입력!$H:$H,$B187,실시간콜입력!$O:$O,"방문완료")</f>
        <v>0</v>
      </c>
      <c r="M187" s="29" t="str">
        <f t="shared" si="24"/>
        <v/>
      </c>
      <c r="N187" s="29"/>
    </row>
    <row r="188" spans="1:14" ht="19.5" hidden="1" customHeight="1" outlineLevel="1">
      <c r="A188" s="30">
        <f>IF(4&lt;=DAY(DATE(YEAR(설정_코스수당!$K$2),MONTH(설정_코스수당!$K$2)+1,0)),DATE(YEAR(설정_코스수당!$K$2),MONTH(설정_코스수당!$K$2),4),"")</f>
        <v>46177</v>
      </c>
      <c r="B188" s="29" t="s">
        <v>188</v>
      </c>
      <c r="C188" s="29"/>
      <c r="D188" s="29"/>
      <c r="E188" s="29" t="str">
        <f t="shared" si="22"/>
        <v/>
      </c>
      <c r="F188" s="29">
        <f>COUNTIFS(실시간콜입력!$B:$B,$A188,실시간콜입력!$E:$E,"A",실시간콜입력!$G:$G,$B188,실시간콜입력!$O:$O,"방문완료")+COUNTIFS(실시간콜입력!$B:$B,$A188,실시간콜입력!$E:$E,"A",실시간콜입력!$H:$H,$B188,실시간콜입력!$O:$O,"방문완료")</f>
        <v>0</v>
      </c>
      <c r="G188" s="29">
        <f>COUNTIFS(실시간콜입력!$B:$B,$A188,실시간콜입력!$E:$E,"B",실시간콜입력!$G:$G,$B188,실시간콜입력!$O:$O,"방문완료")+COUNTIFS(실시간콜입력!$B:$B,$A188,실시간콜입력!$E:$E,"B",실시간콜입력!$H:$H,$B188,실시간콜입력!$O:$O,"방문완료")</f>
        <v>0</v>
      </c>
      <c r="H188" s="29">
        <f>COUNTIFS(실시간콜입력!$B:$B,$A188,실시간콜입력!$E:$E,"C",실시간콜입력!$G:$G,$B188,실시간콜입력!$O:$O,"방문완료")+COUNTIFS(실시간콜입력!$B:$B,$A188,실시간콜입력!$E:$E,"C",실시간콜입력!$H:$H,$B188,실시간콜입력!$O:$O,"방문완료")</f>
        <v>0</v>
      </c>
      <c r="I188" s="29">
        <f>COUNTIFS(실시간콜입력!$B:$B,$A188,실시간콜입력!$E:$E,"D",실시간콜입력!$G:$G,$B188,실시간콜입력!$O:$O,"방문완료")+COUNTIFS(실시간콜입력!$B:$B,$A188,실시간콜입력!$E:$E,"D",실시간콜입력!$H:$H,$B188,실시간콜입력!$O:$O,"방문완료")</f>
        <v>0</v>
      </c>
      <c r="J188" s="29">
        <f>COUNTIFS(실시간콜입력!$B:$B,$A188,실시간콜입력!$E:$E,"E",실시간콜입력!$G:$G,$B188,실시간콜입력!$O:$O,"방문완료")+COUNTIFS(실시간콜입력!$B:$B,$A188,실시간콜입력!$E:$E,"E",실시간콜입력!$H:$H,$B188,실시간콜입력!$O:$O,"방문완료")</f>
        <v>0</v>
      </c>
      <c r="K188" s="29">
        <f t="shared" si="23"/>
        <v>0</v>
      </c>
      <c r="L188" s="33">
        <f>SUMIFS(실시간콜입력!$K:$K,실시간콜입력!$B:$B,$A188,실시간콜입력!$G:$G,$B188,실시간콜입력!$O:$O,"방문완료")+SUMIFS(실시간콜입력!$L:$L,실시간콜입력!$B:$B,$A188,실시간콜입력!$H:$H,$B188,실시간콜입력!$O:$O,"방문완료")</f>
        <v>0</v>
      </c>
      <c r="M188" s="29" t="str">
        <f t="shared" si="24"/>
        <v/>
      </c>
      <c r="N188" s="29"/>
    </row>
    <row r="189" spans="1:14" ht="19.5" hidden="1" customHeight="1" outlineLevel="1">
      <c r="A189" s="24">
        <f>IF(4&lt;=DAY(DATE(YEAR(설정_코스수당!$K$2),MONTH(설정_코스수당!$K$2)+1,0)),DATE(YEAR(설정_코스수당!$K$2),MONTH(설정_코스수당!$K$2),4),"")</f>
        <v>46177</v>
      </c>
      <c r="B189" s="23" t="s">
        <v>189</v>
      </c>
      <c r="C189" s="29"/>
      <c r="D189" s="29"/>
      <c r="E189" s="29" t="str">
        <f t="shared" si="22"/>
        <v/>
      </c>
      <c r="F189" s="29">
        <f>COUNTIFS(실시간콜입력!$B:$B,$A189,실시간콜입력!$E:$E,"A",실시간콜입력!$G:$G,$B189,실시간콜입력!$O:$O,"방문완료")+COUNTIFS(실시간콜입력!$B:$B,$A189,실시간콜입력!$E:$E,"A",실시간콜입력!$H:$H,$B189,실시간콜입력!$O:$O,"방문완료")</f>
        <v>0</v>
      </c>
      <c r="G189" s="29">
        <f>COUNTIFS(실시간콜입력!$B:$B,$A189,실시간콜입력!$E:$E,"B",실시간콜입력!$G:$G,$B189,실시간콜입력!$O:$O,"방문완료")+COUNTIFS(실시간콜입력!$B:$B,$A189,실시간콜입력!$E:$E,"B",실시간콜입력!$H:$H,$B189,실시간콜입력!$O:$O,"방문완료")</f>
        <v>0</v>
      </c>
      <c r="H189" s="29">
        <f>COUNTIFS(실시간콜입력!$B:$B,$A189,실시간콜입력!$E:$E,"C",실시간콜입력!$G:$G,$B189,실시간콜입력!$O:$O,"방문완료")+COUNTIFS(실시간콜입력!$B:$B,$A189,실시간콜입력!$E:$E,"C",실시간콜입력!$H:$H,$B189,실시간콜입력!$O:$O,"방문완료")</f>
        <v>0</v>
      </c>
      <c r="I189" s="29">
        <f>COUNTIFS(실시간콜입력!$B:$B,$A189,실시간콜입력!$E:$E,"D",실시간콜입력!$G:$G,$B189,실시간콜입력!$O:$O,"방문완료")+COUNTIFS(실시간콜입력!$B:$B,$A189,실시간콜입력!$E:$E,"D",실시간콜입력!$H:$H,$B189,실시간콜입력!$O:$O,"방문완료")</f>
        <v>0</v>
      </c>
      <c r="J189" s="29">
        <f>COUNTIFS(실시간콜입력!$B:$B,$A189,실시간콜입력!$E:$E,"E",실시간콜입력!$G:$G,$B189,실시간콜입력!$O:$O,"방문완료")+COUNTIFS(실시간콜입력!$B:$B,$A189,실시간콜입력!$E:$E,"E",실시간콜입력!$H:$H,$B189,실시간콜입력!$O:$O,"방문완료")</f>
        <v>0</v>
      </c>
      <c r="K189" s="29">
        <f t="shared" si="23"/>
        <v>0</v>
      </c>
      <c r="L189" s="27">
        <f>SUMIFS(실시간콜입력!$K:$K,실시간콜입력!$B:$B,$A189,실시간콜입력!$G:$G,$B189,실시간콜입력!$O:$O,"방문완료")+SUMIFS(실시간콜입력!$L:$L,실시간콜입력!$B:$B,$A189,실시간콜입력!$H:$H,$B189,실시간콜입력!$O:$O,"방문완료")</f>
        <v>0</v>
      </c>
      <c r="M189" s="29" t="str">
        <f t="shared" si="24"/>
        <v/>
      </c>
      <c r="N189" s="29"/>
    </row>
    <row r="190" spans="1:14" ht="19.5" hidden="1" customHeight="1" outlineLevel="1">
      <c r="A190" s="30">
        <f>IF(4&lt;=DAY(DATE(YEAR(설정_코스수당!$K$2),MONTH(설정_코스수당!$K$2)+1,0)),DATE(YEAR(설정_코스수당!$K$2),MONTH(설정_코스수당!$K$2),4),"")</f>
        <v>46177</v>
      </c>
      <c r="B190" s="29" t="s">
        <v>190</v>
      </c>
      <c r="C190" s="29"/>
      <c r="D190" s="29"/>
      <c r="E190" s="29" t="str">
        <f t="shared" si="22"/>
        <v/>
      </c>
      <c r="F190" s="29">
        <f>COUNTIFS(실시간콜입력!$B:$B,$A190,실시간콜입력!$E:$E,"A",실시간콜입력!$G:$G,$B190,실시간콜입력!$O:$O,"방문완료")+COUNTIFS(실시간콜입력!$B:$B,$A190,실시간콜입력!$E:$E,"A",실시간콜입력!$H:$H,$B190,실시간콜입력!$O:$O,"방문완료")</f>
        <v>0</v>
      </c>
      <c r="G190" s="29">
        <f>COUNTIFS(실시간콜입력!$B:$B,$A190,실시간콜입력!$E:$E,"B",실시간콜입력!$G:$G,$B190,실시간콜입력!$O:$O,"방문완료")+COUNTIFS(실시간콜입력!$B:$B,$A190,실시간콜입력!$E:$E,"B",실시간콜입력!$H:$H,$B190,실시간콜입력!$O:$O,"방문완료")</f>
        <v>0</v>
      </c>
      <c r="H190" s="29">
        <f>COUNTIFS(실시간콜입력!$B:$B,$A190,실시간콜입력!$E:$E,"C",실시간콜입력!$G:$G,$B190,실시간콜입력!$O:$O,"방문완료")+COUNTIFS(실시간콜입력!$B:$B,$A190,실시간콜입력!$E:$E,"C",실시간콜입력!$H:$H,$B190,실시간콜입력!$O:$O,"방문완료")</f>
        <v>0</v>
      </c>
      <c r="I190" s="29">
        <f>COUNTIFS(실시간콜입력!$B:$B,$A190,실시간콜입력!$E:$E,"D",실시간콜입력!$G:$G,$B190,실시간콜입력!$O:$O,"방문완료")+COUNTIFS(실시간콜입력!$B:$B,$A190,실시간콜입력!$E:$E,"D",실시간콜입력!$H:$H,$B190,실시간콜입력!$O:$O,"방문완료")</f>
        <v>0</v>
      </c>
      <c r="J190" s="29">
        <f>COUNTIFS(실시간콜입력!$B:$B,$A190,실시간콜입력!$E:$E,"E",실시간콜입력!$G:$G,$B190,실시간콜입력!$O:$O,"방문완료")+COUNTIFS(실시간콜입력!$B:$B,$A190,실시간콜입력!$E:$E,"E",실시간콜입력!$H:$H,$B190,실시간콜입력!$O:$O,"방문완료")</f>
        <v>0</v>
      </c>
      <c r="K190" s="29">
        <f t="shared" si="23"/>
        <v>0</v>
      </c>
      <c r="L190" s="33">
        <f>SUMIFS(실시간콜입력!$K:$K,실시간콜입력!$B:$B,$A190,실시간콜입력!$G:$G,$B190,실시간콜입력!$O:$O,"방문완료")+SUMIFS(실시간콜입력!$L:$L,실시간콜입력!$B:$B,$A190,실시간콜입력!$H:$H,$B190,실시간콜입력!$O:$O,"방문완료")</f>
        <v>0</v>
      </c>
      <c r="M190" s="29" t="str">
        <f t="shared" si="24"/>
        <v/>
      </c>
      <c r="N190" s="29"/>
    </row>
    <row r="191" spans="1:14" ht="19.5" hidden="1" customHeight="1" outlineLevel="1">
      <c r="A191" s="24">
        <f>IF(4&lt;=DAY(DATE(YEAR(설정_코스수당!$K$2),MONTH(설정_코스수당!$K$2)+1,0)),DATE(YEAR(설정_코스수당!$K$2),MONTH(설정_코스수당!$K$2),4),"")</f>
        <v>46177</v>
      </c>
      <c r="B191" s="23" t="s">
        <v>191</v>
      </c>
      <c r="C191" s="29"/>
      <c r="D191" s="29"/>
      <c r="E191" s="29" t="str">
        <f t="shared" si="22"/>
        <v/>
      </c>
      <c r="F191" s="29">
        <f>COUNTIFS(실시간콜입력!$B:$B,$A191,실시간콜입력!$E:$E,"A",실시간콜입력!$G:$G,$B191,실시간콜입력!$O:$O,"방문완료")+COUNTIFS(실시간콜입력!$B:$B,$A191,실시간콜입력!$E:$E,"A",실시간콜입력!$H:$H,$B191,실시간콜입력!$O:$O,"방문완료")</f>
        <v>0</v>
      </c>
      <c r="G191" s="29">
        <f>COUNTIFS(실시간콜입력!$B:$B,$A191,실시간콜입력!$E:$E,"B",실시간콜입력!$G:$G,$B191,실시간콜입력!$O:$O,"방문완료")+COUNTIFS(실시간콜입력!$B:$B,$A191,실시간콜입력!$E:$E,"B",실시간콜입력!$H:$H,$B191,실시간콜입력!$O:$O,"방문완료")</f>
        <v>0</v>
      </c>
      <c r="H191" s="29">
        <f>COUNTIFS(실시간콜입력!$B:$B,$A191,실시간콜입력!$E:$E,"C",실시간콜입력!$G:$G,$B191,실시간콜입력!$O:$O,"방문완료")+COUNTIFS(실시간콜입력!$B:$B,$A191,실시간콜입력!$E:$E,"C",실시간콜입력!$H:$H,$B191,실시간콜입력!$O:$O,"방문완료")</f>
        <v>0</v>
      </c>
      <c r="I191" s="29">
        <f>COUNTIFS(실시간콜입력!$B:$B,$A191,실시간콜입력!$E:$E,"D",실시간콜입력!$G:$G,$B191,실시간콜입력!$O:$O,"방문완료")+COUNTIFS(실시간콜입력!$B:$B,$A191,실시간콜입력!$E:$E,"D",실시간콜입력!$H:$H,$B191,실시간콜입력!$O:$O,"방문완료")</f>
        <v>0</v>
      </c>
      <c r="J191" s="29">
        <f>COUNTIFS(실시간콜입력!$B:$B,$A191,실시간콜입력!$E:$E,"E",실시간콜입력!$G:$G,$B191,실시간콜입력!$O:$O,"방문완료")+COUNTIFS(실시간콜입력!$B:$B,$A191,실시간콜입력!$E:$E,"E",실시간콜입력!$H:$H,$B191,실시간콜입력!$O:$O,"방문완료")</f>
        <v>0</v>
      </c>
      <c r="K191" s="29">
        <f t="shared" si="23"/>
        <v>0</v>
      </c>
      <c r="L191" s="27">
        <f>SUMIFS(실시간콜입력!$K:$K,실시간콜입력!$B:$B,$A191,실시간콜입력!$G:$G,$B191,실시간콜입력!$O:$O,"방문완료")+SUMIFS(실시간콜입력!$L:$L,실시간콜입력!$B:$B,$A191,실시간콜입력!$H:$H,$B191,실시간콜입력!$O:$O,"방문완료")</f>
        <v>0</v>
      </c>
      <c r="M191" s="29" t="str">
        <f t="shared" si="24"/>
        <v/>
      </c>
      <c r="N191" s="29"/>
    </row>
    <row r="192" spans="1:14" ht="19.5" hidden="1" customHeight="1" outlineLevel="1">
      <c r="A192" s="30">
        <f>IF(4&lt;=DAY(DATE(YEAR(설정_코스수당!$K$2),MONTH(설정_코스수당!$K$2)+1,0)),DATE(YEAR(설정_코스수당!$K$2),MONTH(설정_코스수당!$K$2),4),"")</f>
        <v>46177</v>
      </c>
      <c r="B192" s="29" t="s">
        <v>192</v>
      </c>
      <c r="C192" s="29"/>
      <c r="D192" s="29"/>
      <c r="E192" s="29" t="str">
        <f t="shared" si="22"/>
        <v/>
      </c>
      <c r="F192" s="29">
        <f>COUNTIFS(실시간콜입력!$B:$B,$A192,실시간콜입력!$E:$E,"A",실시간콜입력!$G:$G,$B192,실시간콜입력!$O:$O,"방문완료")+COUNTIFS(실시간콜입력!$B:$B,$A192,실시간콜입력!$E:$E,"A",실시간콜입력!$H:$H,$B192,실시간콜입력!$O:$O,"방문완료")</f>
        <v>0</v>
      </c>
      <c r="G192" s="29">
        <f>COUNTIFS(실시간콜입력!$B:$B,$A192,실시간콜입력!$E:$E,"B",실시간콜입력!$G:$G,$B192,실시간콜입력!$O:$O,"방문완료")+COUNTIFS(실시간콜입력!$B:$B,$A192,실시간콜입력!$E:$E,"B",실시간콜입력!$H:$H,$B192,실시간콜입력!$O:$O,"방문완료")</f>
        <v>0</v>
      </c>
      <c r="H192" s="29">
        <f>COUNTIFS(실시간콜입력!$B:$B,$A192,실시간콜입력!$E:$E,"C",실시간콜입력!$G:$G,$B192,실시간콜입력!$O:$O,"방문완료")+COUNTIFS(실시간콜입력!$B:$B,$A192,실시간콜입력!$E:$E,"C",실시간콜입력!$H:$H,$B192,실시간콜입력!$O:$O,"방문완료")</f>
        <v>0</v>
      </c>
      <c r="I192" s="29">
        <f>COUNTIFS(실시간콜입력!$B:$B,$A192,실시간콜입력!$E:$E,"D",실시간콜입력!$G:$G,$B192,실시간콜입력!$O:$O,"방문완료")+COUNTIFS(실시간콜입력!$B:$B,$A192,실시간콜입력!$E:$E,"D",실시간콜입력!$H:$H,$B192,실시간콜입력!$O:$O,"방문완료")</f>
        <v>0</v>
      </c>
      <c r="J192" s="29">
        <f>COUNTIFS(실시간콜입력!$B:$B,$A192,실시간콜입력!$E:$E,"E",실시간콜입력!$G:$G,$B192,실시간콜입력!$O:$O,"방문완료")+COUNTIFS(실시간콜입력!$B:$B,$A192,실시간콜입력!$E:$E,"E",실시간콜입력!$H:$H,$B192,실시간콜입력!$O:$O,"방문완료")</f>
        <v>0</v>
      </c>
      <c r="K192" s="29">
        <f t="shared" si="23"/>
        <v>0</v>
      </c>
      <c r="L192" s="33">
        <f>SUMIFS(실시간콜입력!$K:$K,실시간콜입력!$B:$B,$A192,실시간콜입력!$G:$G,$B192,실시간콜입력!$O:$O,"방문완료")+SUMIFS(실시간콜입력!$L:$L,실시간콜입력!$B:$B,$A192,실시간콜입력!$H:$H,$B192,실시간콜입력!$O:$O,"방문완료")</f>
        <v>0</v>
      </c>
      <c r="M192" s="29" t="str">
        <f t="shared" si="24"/>
        <v/>
      </c>
      <c r="N192" s="29"/>
    </row>
    <row r="193" spans="1:14" ht="19.5" hidden="1" customHeight="1" outlineLevel="1">
      <c r="A193" s="24">
        <f>IF(4&lt;=DAY(DATE(YEAR(설정_코스수당!$K$2),MONTH(설정_코스수당!$K$2)+1,0)),DATE(YEAR(설정_코스수당!$K$2),MONTH(설정_코스수당!$K$2),4),"")</f>
        <v>46177</v>
      </c>
      <c r="B193" s="23" t="s">
        <v>193</v>
      </c>
      <c r="C193" s="29"/>
      <c r="D193" s="29"/>
      <c r="E193" s="29" t="str">
        <f t="shared" si="22"/>
        <v/>
      </c>
      <c r="F193" s="29">
        <f>COUNTIFS(실시간콜입력!$B:$B,$A193,실시간콜입력!$E:$E,"A",실시간콜입력!$G:$G,$B193,실시간콜입력!$O:$O,"방문완료")+COUNTIFS(실시간콜입력!$B:$B,$A193,실시간콜입력!$E:$E,"A",실시간콜입력!$H:$H,$B193,실시간콜입력!$O:$O,"방문완료")</f>
        <v>0</v>
      </c>
      <c r="G193" s="29">
        <f>COUNTIFS(실시간콜입력!$B:$B,$A193,실시간콜입력!$E:$E,"B",실시간콜입력!$G:$G,$B193,실시간콜입력!$O:$O,"방문완료")+COUNTIFS(실시간콜입력!$B:$B,$A193,실시간콜입력!$E:$E,"B",실시간콜입력!$H:$H,$B193,실시간콜입력!$O:$O,"방문완료")</f>
        <v>0</v>
      </c>
      <c r="H193" s="29">
        <f>COUNTIFS(실시간콜입력!$B:$B,$A193,실시간콜입력!$E:$E,"C",실시간콜입력!$G:$G,$B193,실시간콜입력!$O:$O,"방문완료")+COUNTIFS(실시간콜입력!$B:$B,$A193,실시간콜입력!$E:$E,"C",실시간콜입력!$H:$H,$B193,실시간콜입력!$O:$O,"방문완료")</f>
        <v>0</v>
      </c>
      <c r="I193" s="29">
        <f>COUNTIFS(실시간콜입력!$B:$B,$A193,실시간콜입력!$E:$E,"D",실시간콜입력!$G:$G,$B193,실시간콜입력!$O:$O,"방문완료")+COUNTIFS(실시간콜입력!$B:$B,$A193,실시간콜입력!$E:$E,"D",실시간콜입력!$H:$H,$B193,실시간콜입력!$O:$O,"방문완료")</f>
        <v>0</v>
      </c>
      <c r="J193" s="29">
        <f>COUNTIFS(실시간콜입력!$B:$B,$A193,실시간콜입력!$E:$E,"E",실시간콜입력!$G:$G,$B193,실시간콜입력!$O:$O,"방문완료")+COUNTIFS(실시간콜입력!$B:$B,$A193,실시간콜입력!$E:$E,"E",실시간콜입력!$H:$H,$B193,실시간콜입력!$O:$O,"방문완료")</f>
        <v>0</v>
      </c>
      <c r="K193" s="29">
        <f t="shared" si="23"/>
        <v>0</v>
      </c>
      <c r="L193" s="27">
        <f>SUMIFS(실시간콜입력!$K:$K,실시간콜입력!$B:$B,$A193,실시간콜입력!$G:$G,$B193,실시간콜입력!$O:$O,"방문완료")+SUMIFS(실시간콜입력!$L:$L,실시간콜입력!$B:$B,$A193,실시간콜입력!$H:$H,$B193,실시간콜입력!$O:$O,"방문완료")</f>
        <v>0</v>
      </c>
      <c r="M193" s="29" t="str">
        <f t="shared" si="24"/>
        <v/>
      </c>
      <c r="N193" s="29"/>
    </row>
    <row r="194" spans="1:14" ht="19.5" hidden="1" customHeight="1" outlineLevel="1">
      <c r="A194" s="30">
        <f>IF(4&lt;=DAY(DATE(YEAR(설정_코스수당!$K$2),MONTH(설정_코스수당!$K$2)+1,0)),DATE(YEAR(설정_코스수당!$K$2),MONTH(설정_코스수당!$K$2),4),"")</f>
        <v>46177</v>
      </c>
      <c r="B194" s="29" t="s">
        <v>194</v>
      </c>
      <c r="C194" s="29"/>
      <c r="D194" s="29"/>
      <c r="E194" s="29" t="str">
        <f t="shared" si="22"/>
        <v/>
      </c>
      <c r="F194" s="29">
        <f>COUNTIFS(실시간콜입력!$B:$B,$A194,실시간콜입력!$E:$E,"A",실시간콜입력!$G:$G,$B194,실시간콜입력!$O:$O,"방문완료")+COUNTIFS(실시간콜입력!$B:$B,$A194,실시간콜입력!$E:$E,"A",실시간콜입력!$H:$H,$B194,실시간콜입력!$O:$O,"방문완료")</f>
        <v>0</v>
      </c>
      <c r="G194" s="29">
        <f>COUNTIFS(실시간콜입력!$B:$B,$A194,실시간콜입력!$E:$E,"B",실시간콜입력!$G:$G,$B194,실시간콜입력!$O:$O,"방문완료")+COUNTIFS(실시간콜입력!$B:$B,$A194,실시간콜입력!$E:$E,"B",실시간콜입력!$H:$H,$B194,실시간콜입력!$O:$O,"방문완료")</f>
        <v>0</v>
      </c>
      <c r="H194" s="29">
        <f>COUNTIFS(실시간콜입력!$B:$B,$A194,실시간콜입력!$E:$E,"C",실시간콜입력!$G:$G,$B194,실시간콜입력!$O:$O,"방문완료")+COUNTIFS(실시간콜입력!$B:$B,$A194,실시간콜입력!$E:$E,"C",실시간콜입력!$H:$H,$B194,실시간콜입력!$O:$O,"방문완료")</f>
        <v>0</v>
      </c>
      <c r="I194" s="29">
        <f>COUNTIFS(실시간콜입력!$B:$B,$A194,실시간콜입력!$E:$E,"D",실시간콜입력!$G:$G,$B194,실시간콜입력!$O:$O,"방문완료")+COUNTIFS(실시간콜입력!$B:$B,$A194,실시간콜입력!$E:$E,"D",실시간콜입력!$H:$H,$B194,실시간콜입력!$O:$O,"방문완료")</f>
        <v>0</v>
      </c>
      <c r="J194" s="29">
        <f>COUNTIFS(실시간콜입력!$B:$B,$A194,실시간콜입력!$E:$E,"E",실시간콜입력!$G:$G,$B194,실시간콜입력!$O:$O,"방문완료")+COUNTIFS(실시간콜입력!$B:$B,$A194,실시간콜입력!$E:$E,"E",실시간콜입력!$H:$H,$B194,실시간콜입력!$O:$O,"방문완료")</f>
        <v>0</v>
      </c>
      <c r="K194" s="29">
        <f t="shared" si="23"/>
        <v>0</v>
      </c>
      <c r="L194" s="33">
        <f>SUMIFS(실시간콜입력!$K:$K,실시간콜입력!$B:$B,$A194,실시간콜입력!$G:$G,$B194,실시간콜입력!$O:$O,"방문완료")+SUMIFS(실시간콜입력!$L:$L,실시간콜입력!$B:$B,$A194,실시간콜입력!$H:$H,$B194,실시간콜입력!$O:$O,"방문완료")</f>
        <v>0</v>
      </c>
      <c r="M194" s="29" t="str">
        <f t="shared" si="24"/>
        <v/>
      </c>
      <c r="N194" s="29"/>
    </row>
    <row r="195" spans="1:14" ht="19.5" hidden="1" customHeight="1" outlineLevel="1">
      <c r="A195" s="24">
        <f>IF(4&lt;=DAY(DATE(YEAR(설정_코스수당!$K$2),MONTH(설정_코스수당!$K$2)+1,0)),DATE(YEAR(설정_코스수당!$K$2),MONTH(설정_코스수당!$K$2),4),"")</f>
        <v>46177</v>
      </c>
      <c r="B195" s="23" t="s">
        <v>195</v>
      </c>
      <c r="C195" s="29"/>
      <c r="D195" s="29"/>
      <c r="E195" s="29" t="str">
        <f t="shared" ref="E195:E226" si="25">IF(AND(C195&lt;&gt;"",D195&lt;&gt;""),IF(D195&lt;C195,D195+1-C195,D195-C195)*24,"")</f>
        <v/>
      </c>
      <c r="F195" s="29">
        <f>COUNTIFS(실시간콜입력!$B:$B,$A195,실시간콜입력!$E:$E,"A",실시간콜입력!$G:$G,$B195,실시간콜입력!$O:$O,"방문완료")+COUNTIFS(실시간콜입력!$B:$B,$A195,실시간콜입력!$E:$E,"A",실시간콜입력!$H:$H,$B195,실시간콜입력!$O:$O,"방문완료")</f>
        <v>0</v>
      </c>
      <c r="G195" s="29">
        <f>COUNTIFS(실시간콜입력!$B:$B,$A195,실시간콜입력!$E:$E,"B",실시간콜입력!$G:$G,$B195,실시간콜입력!$O:$O,"방문완료")+COUNTIFS(실시간콜입력!$B:$B,$A195,실시간콜입력!$E:$E,"B",실시간콜입력!$H:$H,$B195,실시간콜입력!$O:$O,"방문완료")</f>
        <v>0</v>
      </c>
      <c r="H195" s="29">
        <f>COUNTIFS(실시간콜입력!$B:$B,$A195,실시간콜입력!$E:$E,"C",실시간콜입력!$G:$G,$B195,실시간콜입력!$O:$O,"방문완료")+COUNTIFS(실시간콜입력!$B:$B,$A195,실시간콜입력!$E:$E,"C",실시간콜입력!$H:$H,$B195,실시간콜입력!$O:$O,"방문완료")</f>
        <v>0</v>
      </c>
      <c r="I195" s="29">
        <f>COUNTIFS(실시간콜입력!$B:$B,$A195,실시간콜입력!$E:$E,"D",실시간콜입력!$G:$G,$B195,실시간콜입력!$O:$O,"방문완료")+COUNTIFS(실시간콜입력!$B:$B,$A195,실시간콜입력!$E:$E,"D",실시간콜입력!$H:$H,$B195,실시간콜입력!$O:$O,"방문완료")</f>
        <v>0</v>
      </c>
      <c r="J195" s="29">
        <f>COUNTIFS(실시간콜입력!$B:$B,$A195,실시간콜입력!$E:$E,"E",실시간콜입력!$G:$G,$B195,실시간콜입력!$O:$O,"방문완료")+COUNTIFS(실시간콜입력!$B:$B,$A195,실시간콜입력!$E:$E,"E",실시간콜입력!$H:$H,$B195,실시간콜입력!$O:$O,"방문완료")</f>
        <v>0</v>
      </c>
      <c r="K195" s="29">
        <f t="shared" ref="K195:K226" si="26">SUM(F195:J195)</f>
        <v>0</v>
      </c>
      <c r="L195" s="27">
        <f>SUMIFS(실시간콜입력!$K:$K,실시간콜입력!$B:$B,$A195,실시간콜입력!$G:$G,$B195,실시간콜입력!$O:$O,"방문완료")+SUMIFS(실시간콜입력!$L:$L,실시간콜입력!$B:$B,$A195,실시간콜입력!$H:$H,$B195,실시간콜입력!$O:$O,"방문완료")</f>
        <v>0</v>
      </c>
      <c r="M195" s="29" t="str">
        <f t="shared" ref="M195:M212" si="27">IF(AND(ISNUMBER(E195),E195&gt;=8),"인정","")</f>
        <v/>
      </c>
      <c r="N195" s="29"/>
    </row>
    <row r="196" spans="1:14" ht="19.5" hidden="1" customHeight="1" outlineLevel="1">
      <c r="A196" s="30">
        <f>IF(4&lt;=DAY(DATE(YEAR(설정_코스수당!$K$2),MONTH(설정_코스수당!$K$2)+1,0)),DATE(YEAR(설정_코스수당!$K$2),MONTH(설정_코스수당!$K$2),4),"")</f>
        <v>46177</v>
      </c>
      <c r="B196" s="29" t="s">
        <v>196</v>
      </c>
      <c r="C196" s="29"/>
      <c r="D196" s="29"/>
      <c r="E196" s="29" t="str">
        <f t="shared" si="25"/>
        <v/>
      </c>
      <c r="F196" s="29">
        <f>COUNTIFS(실시간콜입력!$B:$B,$A196,실시간콜입력!$E:$E,"A",실시간콜입력!$G:$G,$B196,실시간콜입력!$O:$O,"방문완료")+COUNTIFS(실시간콜입력!$B:$B,$A196,실시간콜입력!$E:$E,"A",실시간콜입력!$H:$H,$B196,실시간콜입력!$O:$O,"방문완료")</f>
        <v>0</v>
      </c>
      <c r="G196" s="29">
        <f>COUNTIFS(실시간콜입력!$B:$B,$A196,실시간콜입력!$E:$E,"B",실시간콜입력!$G:$G,$B196,실시간콜입력!$O:$O,"방문완료")+COUNTIFS(실시간콜입력!$B:$B,$A196,실시간콜입력!$E:$E,"B",실시간콜입력!$H:$H,$B196,실시간콜입력!$O:$O,"방문완료")</f>
        <v>0</v>
      </c>
      <c r="H196" s="29">
        <f>COUNTIFS(실시간콜입력!$B:$B,$A196,실시간콜입력!$E:$E,"C",실시간콜입력!$G:$G,$B196,실시간콜입력!$O:$O,"방문완료")+COUNTIFS(실시간콜입력!$B:$B,$A196,실시간콜입력!$E:$E,"C",실시간콜입력!$H:$H,$B196,실시간콜입력!$O:$O,"방문완료")</f>
        <v>0</v>
      </c>
      <c r="I196" s="29">
        <f>COUNTIFS(실시간콜입력!$B:$B,$A196,실시간콜입력!$E:$E,"D",실시간콜입력!$G:$G,$B196,실시간콜입력!$O:$O,"방문완료")+COUNTIFS(실시간콜입력!$B:$B,$A196,실시간콜입력!$E:$E,"D",실시간콜입력!$H:$H,$B196,실시간콜입력!$O:$O,"방문완료")</f>
        <v>0</v>
      </c>
      <c r="J196" s="29">
        <f>COUNTIFS(실시간콜입력!$B:$B,$A196,실시간콜입력!$E:$E,"E",실시간콜입력!$G:$G,$B196,실시간콜입력!$O:$O,"방문완료")+COUNTIFS(실시간콜입력!$B:$B,$A196,실시간콜입력!$E:$E,"E",실시간콜입력!$H:$H,$B196,실시간콜입력!$O:$O,"방문완료")</f>
        <v>0</v>
      </c>
      <c r="K196" s="29">
        <f t="shared" si="26"/>
        <v>0</v>
      </c>
      <c r="L196" s="33">
        <f>SUMIFS(실시간콜입력!$K:$K,실시간콜입력!$B:$B,$A196,실시간콜입력!$G:$G,$B196,실시간콜입력!$O:$O,"방문완료")+SUMIFS(실시간콜입력!$L:$L,실시간콜입력!$B:$B,$A196,실시간콜입력!$H:$H,$B196,실시간콜입력!$O:$O,"방문완료")</f>
        <v>0</v>
      </c>
      <c r="M196" s="29" t="str">
        <f t="shared" si="27"/>
        <v/>
      </c>
      <c r="N196" s="29"/>
    </row>
    <row r="197" spans="1:14" ht="19.5" hidden="1" customHeight="1" outlineLevel="1">
      <c r="A197" s="24">
        <f>IF(4&lt;=DAY(DATE(YEAR(설정_코스수당!$K$2),MONTH(설정_코스수당!$K$2)+1,0)),DATE(YEAR(설정_코스수당!$K$2),MONTH(설정_코스수당!$K$2),4),"")</f>
        <v>46177</v>
      </c>
      <c r="B197" s="23" t="s">
        <v>197</v>
      </c>
      <c r="C197" s="29"/>
      <c r="D197" s="29"/>
      <c r="E197" s="29" t="str">
        <f t="shared" si="25"/>
        <v/>
      </c>
      <c r="F197" s="29">
        <f>COUNTIFS(실시간콜입력!$B:$B,$A197,실시간콜입력!$E:$E,"A",실시간콜입력!$G:$G,$B197,실시간콜입력!$O:$O,"방문완료")+COUNTIFS(실시간콜입력!$B:$B,$A197,실시간콜입력!$E:$E,"A",실시간콜입력!$H:$H,$B197,실시간콜입력!$O:$O,"방문완료")</f>
        <v>0</v>
      </c>
      <c r="G197" s="29">
        <f>COUNTIFS(실시간콜입력!$B:$B,$A197,실시간콜입력!$E:$E,"B",실시간콜입력!$G:$G,$B197,실시간콜입력!$O:$O,"방문완료")+COUNTIFS(실시간콜입력!$B:$B,$A197,실시간콜입력!$E:$E,"B",실시간콜입력!$H:$H,$B197,실시간콜입력!$O:$O,"방문완료")</f>
        <v>0</v>
      </c>
      <c r="H197" s="29">
        <f>COUNTIFS(실시간콜입력!$B:$B,$A197,실시간콜입력!$E:$E,"C",실시간콜입력!$G:$G,$B197,실시간콜입력!$O:$O,"방문완료")+COUNTIFS(실시간콜입력!$B:$B,$A197,실시간콜입력!$E:$E,"C",실시간콜입력!$H:$H,$B197,실시간콜입력!$O:$O,"방문완료")</f>
        <v>0</v>
      </c>
      <c r="I197" s="29">
        <f>COUNTIFS(실시간콜입력!$B:$B,$A197,실시간콜입력!$E:$E,"D",실시간콜입력!$G:$G,$B197,실시간콜입력!$O:$O,"방문완료")+COUNTIFS(실시간콜입력!$B:$B,$A197,실시간콜입력!$E:$E,"D",실시간콜입력!$H:$H,$B197,실시간콜입력!$O:$O,"방문완료")</f>
        <v>0</v>
      </c>
      <c r="J197" s="29">
        <f>COUNTIFS(실시간콜입력!$B:$B,$A197,실시간콜입력!$E:$E,"E",실시간콜입력!$G:$G,$B197,실시간콜입력!$O:$O,"방문완료")+COUNTIFS(실시간콜입력!$B:$B,$A197,실시간콜입력!$E:$E,"E",실시간콜입력!$H:$H,$B197,실시간콜입력!$O:$O,"방문완료")</f>
        <v>0</v>
      </c>
      <c r="K197" s="29">
        <f t="shared" si="26"/>
        <v>0</v>
      </c>
      <c r="L197" s="27">
        <f>SUMIFS(실시간콜입력!$K:$K,실시간콜입력!$B:$B,$A197,실시간콜입력!$G:$G,$B197,실시간콜입력!$O:$O,"방문완료")+SUMIFS(실시간콜입력!$L:$L,실시간콜입력!$B:$B,$A197,실시간콜입력!$H:$H,$B197,실시간콜입력!$O:$O,"방문완료")</f>
        <v>0</v>
      </c>
      <c r="M197" s="29" t="str">
        <f t="shared" si="27"/>
        <v/>
      </c>
      <c r="N197" s="29"/>
    </row>
    <row r="198" spans="1:14" ht="19.5" hidden="1" customHeight="1" outlineLevel="1">
      <c r="A198" s="30">
        <f>IF(4&lt;=DAY(DATE(YEAR(설정_코스수당!$K$2),MONTH(설정_코스수당!$K$2)+1,0)),DATE(YEAR(설정_코스수당!$K$2),MONTH(설정_코스수당!$K$2),4),"")</f>
        <v>46177</v>
      </c>
      <c r="B198" s="29" t="s">
        <v>198</v>
      </c>
      <c r="C198" s="29"/>
      <c r="D198" s="29"/>
      <c r="E198" s="29" t="str">
        <f t="shared" si="25"/>
        <v/>
      </c>
      <c r="F198" s="29">
        <f>COUNTIFS(실시간콜입력!$B:$B,$A198,실시간콜입력!$E:$E,"A",실시간콜입력!$G:$G,$B198,실시간콜입력!$O:$O,"방문완료")+COUNTIFS(실시간콜입력!$B:$B,$A198,실시간콜입력!$E:$E,"A",실시간콜입력!$H:$H,$B198,실시간콜입력!$O:$O,"방문완료")</f>
        <v>0</v>
      </c>
      <c r="G198" s="29">
        <f>COUNTIFS(실시간콜입력!$B:$B,$A198,실시간콜입력!$E:$E,"B",실시간콜입력!$G:$G,$B198,실시간콜입력!$O:$O,"방문완료")+COUNTIFS(실시간콜입력!$B:$B,$A198,실시간콜입력!$E:$E,"B",실시간콜입력!$H:$H,$B198,실시간콜입력!$O:$O,"방문완료")</f>
        <v>0</v>
      </c>
      <c r="H198" s="29">
        <f>COUNTIFS(실시간콜입력!$B:$B,$A198,실시간콜입력!$E:$E,"C",실시간콜입력!$G:$G,$B198,실시간콜입력!$O:$O,"방문완료")+COUNTIFS(실시간콜입력!$B:$B,$A198,실시간콜입력!$E:$E,"C",실시간콜입력!$H:$H,$B198,실시간콜입력!$O:$O,"방문완료")</f>
        <v>0</v>
      </c>
      <c r="I198" s="29">
        <f>COUNTIFS(실시간콜입력!$B:$B,$A198,실시간콜입력!$E:$E,"D",실시간콜입력!$G:$G,$B198,실시간콜입력!$O:$O,"방문완료")+COUNTIFS(실시간콜입력!$B:$B,$A198,실시간콜입력!$E:$E,"D",실시간콜입력!$H:$H,$B198,실시간콜입력!$O:$O,"방문완료")</f>
        <v>0</v>
      </c>
      <c r="J198" s="29">
        <f>COUNTIFS(실시간콜입력!$B:$B,$A198,실시간콜입력!$E:$E,"E",실시간콜입력!$G:$G,$B198,실시간콜입력!$O:$O,"방문완료")+COUNTIFS(실시간콜입력!$B:$B,$A198,실시간콜입력!$E:$E,"E",실시간콜입력!$H:$H,$B198,실시간콜입력!$O:$O,"방문완료")</f>
        <v>0</v>
      </c>
      <c r="K198" s="29">
        <f t="shared" si="26"/>
        <v>0</v>
      </c>
      <c r="L198" s="33">
        <f>SUMIFS(실시간콜입력!$K:$K,실시간콜입력!$B:$B,$A198,실시간콜입력!$G:$G,$B198,실시간콜입력!$O:$O,"방문완료")+SUMIFS(실시간콜입력!$L:$L,실시간콜입력!$B:$B,$A198,실시간콜입력!$H:$H,$B198,실시간콜입력!$O:$O,"방문완료")</f>
        <v>0</v>
      </c>
      <c r="M198" s="29" t="str">
        <f t="shared" si="27"/>
        <v/>
      </c>
      <c r="N198" s="29"/>
    </row>
    <row r="199" spans="1:14" ht="19.5" hidden="1" customHeight="1" outlineLevel="1">
      <c r="A199" s="24">
        <f>IF(4&lt;=DAY(DATE(YEAR(설정_코스수당!$K$2),MONTH(설정_코스수당!$K$2)+1,0)),DATE(YEAR(설정_코스수당!$K$2),MONTH(설정_코스수당!$K$2),4),"")</f>
        <v>46177</v>
      </c>
      <c r="B199" s="23" t="s">
        <v>199</v>
      </c>
      <c r="C199" s="29"/>
      <c r="D199" s="29"/>
      <c r="E199" s="29" t="str">
        <f t="shared" si="25"/>
        <v/>
      </c>
      <c r="F199" s="29">
        <f>COUNTIFS(실시간콜입력!$B:$B,$A199,실시간콜입력!$E:$E,"A",실시간콜입력!$G:$G,$B199,실시간콜입력!$O:$O,"방문완료")+COUNTIFS(실시간콜입력!$B:$B,$A199,실시간콜입력!$E:$E,"A",실시간콜입력!$H:$H,$B199,실시간콜입력!$O:$O,"방문완료")</f>
        <v>0</v>
      </c>
      <c r="G199" s="29">
        <f>COUNTIFS(실시간콜입력!$B:$B,$A199,실시간콜입력!$E:$E,"B",실시간콜입력!$G:$G,$B199,실시간콜입력!$O:$O,"방문완료")+COUNTIFS(실시간콜입력!$B:$B,$A199,실시간콜입력!$E:$E,"B",실시간콜입력!$H:$H,$B199,실시간콜입력!$O:$O,"방문완료")</f>
        <v>0</v>
      </c>
      <c r="H199" s="29">
        <f>COUNTIFS(실시간콜입력!$B:$B,$A199,실시간콜입력!$E:$E,"C",실시간콜입력!$G:$G,$B199,실시간콜입력!$O:$O,"방문완료")+COUNTIFS(실시간콜입력!$B:$B,$A199,실시간콜입력!$E:$E,"C",실시간콜입력!$H:$H,$B199,실시간콜입력!$O:$O,"방문완료")</f>
        <v>0</v>
      </c>
      <c r="I199" s="29">
        <f>COUNTIFS(실시간콜입력!$B:$B,$A199,실시간콜입력!$E:$E,"D",실시간콜입력!$G:$G,$B199,실시간콜입력!$O:$O,"방문완료")+COUNTIFS(실시간콜입력!$B:$B,$A199,실시간콜입력!$E:$E,"D",실시간콜입력!$H:$H,$B199,실시간콜입력!$O:$O,"방문완료")</f>
        <v>0</v>
      </c>
      <c r="J199" s="29">
        <f>COUNTIFS(실시간콜입력!$B:$B,$A199,실시간콜입력!$E:$E,"E",실시간콜입력!$G:$G,$B199,실시간콜입력!$O:$O,"방문완료")+COUNTIFS(실시간콜입력!$B:$B,$A199,실시간콜입력!$E:$E,"E",실시간콜입력!$H:$H,$B199,실시간콜입력!$O:$O,"방문완료")</f>
        <v>0</v>
      </c>
      <c r="K199" s="29">
        <f t="shared" si="26"/>
        <v>0</v>
      </c>
      <c r="L199" s="27">
        <f>SUMIFS(실시간콜입력!$K:$K,실시간콜입력!$B:$B,$A199,실시간콜입력!$G:$G,$B199,실시간콜입력!$O:$O,"방문완료")+SUMIFS(실시간콜입력!$L:$L,실시간콜입력!$B:$B,$A199,실시간콜입력!$H:$H,$B199,실시간콜입력!$O:$O,"방문완료")</f>
        <v>0</v>
      </c>
      <c r="M199" s="29" t="str">
        <f t="shared" si="27"/>
        <v/>
      </c>
      <c r="N199" s="29"/>
    </row>
    <row r="200" spans="1:14" ht="19.5" hidden="1" customHeight="1" outlineLevel="1">
      <c r="A200" s="30">
        <f>IF(4&lt;=DAY(DATE(YEAR(설정_코스수당!$K$2),MONTH(설정_코스수당!$K$2)+1,0)),DATE(YEAR(설정_코스수당!$K$2),MONTH(설정_코스수당!$K$2),4),"")</f>
        <v>46177</v>
      </c>
      <c r="B200" s="29" t="s">
        <v>200</v>
      </c>
      <c r="C200" s="29"/>
      <c r="D200" s="29"/>
      <c r="E200" s="29" t="str">
        <f t="shared" si="25"/>
        <v/>
      </c>
      <c r="F200" s="29">
        <f>COUNTIFS(실시간콜입력!$B:$B,$A200,실시간콜입력!$E:$E,"A",실시간콜입력!$G:$G,$B200,실시간콜입력!$O:$O,"방문완료")+COUNTIFS(실시간콜입력!$B:$B,$A200,실시간콜입력!$E:$E,"A",실시간콜입력!$H:$H,$B200,실시간콜입력!$O:$O,"방문완료")</f>
        <v>0</v>
      </c>
      <c r="G200" s="29">
        <f>COUNTIFS(실시간콜입력!$B:$B,$A200,실시간콜입력!$E:$E,"B",실시간콜입력!$G:$G,$B200,실시간콜입력!$O:$O,"방문완료")+COUNTIFS(실시간콜입력!$B:$B,$A200,실시간콜입력!$E:$E,"B",실시간콜입력!$H:$H,$B200,실시간콜입력!$O:$O,"방문완료")</f>
        <v>0</v>
      </c>
      <c r="H200" s="29">
        <f>COUNTIFS(실시간콜입력!$B:$B,$A200,실시간콜입력!$E:$E,"C",실시간콜입력!$G:$G,$B200,실시간콜입력!$O:$O,"방문완료")+COUNTIFS(실시간콜입력!$B:$B,$A200,실시간콜입력!$E:$E,"C",실시간콜입력!$H:$H,$B200,실시간콜입력!$O:$O,"방문완료")</f>
        <v>0</v>
      </c>
      <c r="I200" s="29">
        <f>COUNTIFS(실시간콜입력!$B:$B,$A200,실시간콜입력!$E:$E,"D",실시간콜입력!$G:$G,$B200,실시간콜입력!$O:$O,"방문완료")+COUNTIFS(실시간콜입력!$B:$B,$A200,실시간콜입력!$E:$E,"D",실시간콜입력!$H:$H,$B200,실시간콜입력!$O:$O,"방문완료")</f>
        <v>0</v>
      </c>
      <c r="J200" s="29">
        <f>COUNTIFS(실시간콜입력!$B:$B,$A200,실시간콜입력!$E:$E,"E",실시간콜입력!$G:$G,$B200,실시간콜입력!$O:$O,"방문완료")+COUNTIFS(실시간콜입력!$B:$B,$A200,실시간콜입력!$E:$E,"E",실시간콜입력!$H:$H,$B200,실시간콜입력!$O:$O,"방문완료")</f>
        <v>0</v>
      </c>
      <c r="K200" s="29">
        <f t="shared" si="26"/>
        <v>0</v>
      </c>
      <c r="L200" s="33">
        <f>SUMIFS(실시간콜입력!$K:$K,실시간콜입력!$B:$B,$A200,실시간콜입력!$G:$G,$B200,실시간콜입력!$O:$O,"방문완료")+SUMIFS(실시간콜입력!$L:$L,실시간콜입력!$B:$B,$A200,실시간콜입력!$H:$H,$B200,실시간콜입력!$O:$O,"방문완료")</f>
        <v>0</v>
      </c>
      <c r="M200" s="29" t="str">
        <f t="shared" si="27"/>
        <v/>
      </c>
      <c r="N200" s="29"/>
    </row>
    <row r="201" spans="1:14" ht="19.5" hidden="1" customHeight="1" outlineLevel="1">
      <c r="A201" s="24">
        <f>IF(4&lt;=DAY(DATE(YEAR(설정_코스수당!$K$2),MONTH(설정_코스수당!$K$2)+1,0)),DATE(YEAR(설정_코스수당!$K$2),MONTH(설정_코스수당!$K$2),4),"")</f>
        <v>46177</v>
      </c>
      <c r="B201" s="23" t="s">
        <v>201</v>
      </c>
      <c r="C201" s="29"/>
      <c r="D201" s="29"/>
      <c r="E201" s="29" t="str">
        <f t="shared" si="25"/>
        <v/>
      </c>
      <c r="F201" s="29">
        <f>COUNTIFS(실시간콜입력!$B:$B,$A201,실시간콜입력!$E:$E,"A",실시간콜입력!$G:$G,$B201,실시간콜입력!$O:$O,"방문완료")+COUNTIFS(실시간콜입력!$B:$B,$A201,실시간콜입력!$E:$E,"A",실시간콜입력!$H:$H,$B201,실시간콜입력!$O:$O,"방문완료")</f>
        <v>0</v>
      </c>
      <c r="G201" s="29">
        <f>COUNTIFS(실시간콜입력!$B:$B,$A201,실시간콜입력!$E:$E,"B",실시간콜입력!$G:$G,$B201,실시간콜입력!$O:$O,"방문완료")+COUNTIFS(실시간콜입력!$B:$B,$A201,실시간콜입력!$E:$E,"B",실시간콜입력!$H:$H,$B201,실시간콜입력!$O:$O,"방문완료")</f>
        <v>0</v>
      </c>
      <c r="H201" s="29">
        <f>COUNTIFS(실시간콜입력!$B:$B,$A201,실시간콜입력!$E:$E,"C",실시간콜입력!$G:$G,$B201,실시간콜입력!$O:$O,"방문완료")+COUNTIFS(실시간콜입력!$B:$B,$A201,실시간콜입력!$E:$E,"C",실시간콜입력!$H:$H,$B201,실시간콜입력!$O:$O,"방문완료")</f>
        <v>0</v>
      </c>
      <c r="I201" s="29">
        <f>COUNTIFS(실시간콜입력!$B:$B,$A201,실시간콜입력!$E:$E,"D",실시간콜입력!$G:$G,$B201,실시간콜입력!$O:$O,"방문완료")+COUNTIFS(실시간콜입력!$B:$B,$A201,실시간콜입력!$E:$E,"D",실시간콜입력!$H:$H,$B201,실시간콜입력!$O:$O,"방문완료")</f>
        <v>0</v>
      </c>
      <c r="J201" s="29">
        <f>COUNTIFS(실시간콜입력!$B:$B,$A201,실시간콜입력!$E:$E,"E",실시간콜입력!$G:$G,$B201,실시간콜입력!$O:$O,"방문완료")+COUNTIFS(실시간콜입력!$B:$B,$A201,실시간콜입력!$E:$E,"E",실시간콜입력!$H:$H,$B201,실시간콜입력!$O:$O,"방문완료")</f>
        <v>0</v>
      </c>
      <c r="K201" s="29">
        <f t="shared" si="26"/>
        <v>0</v>
      </c>
      <c r="L201" s="27">
        <f>SUMIFS(실시간콜입력!$K:$K,실시간콜입력!$B:$B,$A201,실시간콜입력!$G:$G,$B201,실시간콜입력!$O:$O,"방문완료")+SUMIFS(실시간콜입력!$L:$L,실시간콜입력!$B:$B,$A201,실시간콜입력!$H:$H,$B201,실시간콜입력!$O:$O,"방문완료")</f>
        <v>0</v>
      </c>
      <c r="M201" s="29" t="str">
        <f t="shared" si="27"/>
        <v/>
      </c>
      <c r="N201" s="29"/>
    </row>
    <row r="202" spans="1:14" ht="19.5" hidden="1" customHeight="1" outlineLevel="1">
      <c r="A202" s="30">
        <f>IF(4&lt;=DAY(DATE(YEAR(설정_코스수당!$K$2),MONTH(설정_코스수당!$K$2)+1,0)),DATE(YEAR(설정_코스수당!$K$2),MONTH(설정_코스수당!$K$2),4),"")</f>
        <v>46177</v>
      </c>
      <c r="B202" s="29" t="s">
        <v>202</v>
      </c>
      <c r="C202" s="29"/>
      <c r="D202" s="29"/>
      <c r="E202" s="29" t="str">
        <f t="shared" si="25"/>
        <v/>
      </c>
      <c r="F202" s="29">
        <f>COUNTIFS(실시간콜입력!$B:$B,$A202,실시간콜입력!$E:$E,"A",실시간콜입력!$G:$G,$B202,실시간콜입력!$O:$O,"방문완료")+COUNTIFS(실시간콜입력!$B:$B,$A202,실시간콜입력!$E:$E,"A",실시간콜입력!$H:$H,$B202,실시간콜입력!$O:$O,"방문완료")</f>
        <v>0</v>
      </c>
      <c r="G202" s="29">
        <f>COUNTIFS(실시간콜입력!$B:$B,$A202,실시간콜입력!$E:$E,"B",실시간콜입력!$G:$G,$B202,실시간콜입력!$O:$O,"방문완료")+COUNTIFS(실시간콜입력!$B:$B,$A202,실시간콜입력!$E:$E,"B",실시간콜입력!$H:$H,$B202,실시간콜입력!$O:$O,"방문완료")</f>
        <v>0</v>
      </c>
      <c r="H202" s="29">
        <f>COUNTIFS(실시간콜입력!$B:$B,$A202,실시간콜입력!$E:$E,"C",실시간콜입력!$G:$G,$B202,실시간콜입력!$O:$O,"방문완료")+COUNTIFS(실시간콜입력!$B:$B,$A202,실시간콜입력!$E:$E,"C",실시간콜입력!$H:$H,$B202,실시간콜입력!$O:$O,"방문완료")</f>
        <v>0</v>
      </c>
      <c r="I202" s="29">
        <f>COUNTIFS(실시간콜입력!$B:$B,$A202,실시간콜입력!$E:$E,"D",실시간콜입력!$G:$G,$B202,실시간콜입력!$O:$O,"방문완료")+COUNTIFS(실시간콜입력!$B:$B,$A202,실시간콜입력!$E:$E,"D",실시간콜입력!$H:$H,$B202,실시간콜입력!$O:$O,"방문완료")</f>
        <v>0</v>
      </c>
      <c r="J202" s="29">
        <f>COUNTIFS(실시간콜입력!$B:$B,$A202,실시간콜입력!$E:$E,"E",실시간콜입력!$G:$G,$B202,실시간콜입력!$O:$O,"방문완료")+COUNTIFS(실시간콜입력!$B:$B,$A202,실시간콜입력!$E:$E,"E",실시간콜입력!$H:$H,$B202,실시간콜입력!$O:$O,"방문완료")</f>
        <v>0</v>
      </c>
      <c r="K202" s="29">
        <f t="shared" si="26"/>
        <v>0</v>
      </c>
      <c r="L202" s="33">
        <f>SUMIFS(실시간콜입력!$K:$K,실시간콜입력!$B:$B,$A202,실시간콜입력!$G:$G,$B202,실시간콜입력!$O:$O,"방문완료")+SUMIFS(실시간콜입력!$L:$L,실시간콜입력!$B:$B,$A202,실시간콜입력!$H:$H,$B202,실시간콜입력!$O:$O,"방문완료")</f>
        <v>0</v>
      </c>
      <c r="M202" s="29" t="str">
        <f t="shared" si="27"/>
        <v/>
      </c>
      <c r="N202" s="29"/>
    </row>
    <row r="203" spans="1:14" ht="19.5" hidden="1" customHeight="1" outlineLevel="1">
      <c r="A203" s="24">
        <f>IF(4&lt;=DAY(DATE(YEAR(설정_코스수당!$K$2),MONTH(설정_코스수당!$K$2)+1,0)),DATE(YEAR(설정_코스수당!$K$2),MONTH(설정_코스수당!$K$2),4),"")</f>
        <v>46177</v>
      </c>
      <c r="B203" s="23" t="s">
        <v>203</v>
      </c>
      <c r="C203" s="29"/>
      <c r="D203" s="29"/>
      <c r="E203" s="29" t="str">
        <f t="shared" si="25"/>
        <v/>
      </c>
      <c r="F203" s="29">
        <f>COUNTIFS(실시간콜입력!$B:$B,$A203,실시간콜입력!$E:$E,"A",실시간콜입력!$G:$G,$B203,실시간콜입력!$O:$O,"방문완료")+COUNTIFS(실시간콜입력!$B:$B,$A203,실시간콜입력!$E:$E,"A",실시간콜입력!$H:$H,$B203,실시간콜입력!$O:$O,"방문완료")</f>
        <v>0</v>
      </c>
      <c r="G203" s="29">
        <f>COUNTIFS(실시간콜입력!$B:$B,$A203,실시간콜입력!$E:$E,"B",실시간콜입력!$G:$G,$B203,실시간콜입력!$O:$O,"방문완료")+COUNTIFS(실시간콜입력!$B:$B,$A203,실시간콜입력!$E:$E,"B",실시간콜입력!$H:$H,$B203,실시간콜입력!$O:$O,"방문완료")</f>
        <v>0</v>
      </c>
      <c r="H203" s="29">
        <f>COUNTIFS(실시간콜입력!$B:$B,$A203,실시간콜입력!$E:$E,"C",실시간콜입력!$G:$G,$B203,실시간콜입력!$O:$O,"방문완료")+COUNTIFS(실시간콜입력!$B:$B,$A203,실시간콜입력!$E:$E,"C",실시간콜입력!$H:$H,$B203,실시간콜입력!$O:$O,"방문완료")</f>
        <v>0</v>
      </c>
      <c r="I203" s="29">
        <f>COUNTIFS(실시간콜입력!$B:$B,$A203,실시간콜입력!$E:$E,"D",실시간콜입력!$G:$G,$B203,실시간콜입력!$O:$O,"방문완료")+COUNTIFS(실시간콜입력!$B:$B,$A203,실시간콜입력!$E:$E,"D",실시간콜입력!$H:$H,$B203,실시간콜입력!$O:$O,"방문완료")</f>
        <v>0</v>
      </c>
      <c r="J203" s="29">
        <f>COUNTIFS(실시간콜입력!$B:$B,$A203,실시간콜입력!$E:$E,"E",실시간콜입력!$G:$G,$B203,실시간콜입력!$O:$O,"방문완료")+COUNTIFS(실시간콜입력!$B:$B,$A203,실시간콜입력!$E:$E,"E",실시간콜입력!$H:$H,$B203,실시간콜입력!$O:$O,"방문완료")</f>
        <v>0</v>
      </c>
      <c r="K203" s="29">
        <f t="shared" si="26"/>
        <v>0</v>
      </c>
      <c r="L203" s="27">
        <f>SUMIFS(실시간콜입력!$K:$K,실시간콜입력!$B:$B,$A203,실시간콜입력!$G:$G,$B203,실시간콜입력!$O:$O,"방문완료")+SUMIFS(실시간콜입력!$L:$L,실시간콜입력!$B:$B,$A203,실시간콜입력!$H:$H,$B203,실시간콜입력!$O:$O,"방문완료")</f>
        <v>0</v>
      </c>
      <c r="M203" s="29" t="str">
        <f t="shared" si="27"/>
        <v/>
      </c>
      <c r="N203" s="29"/>
    </row>
    <row r="204" spans="1:14" ht="19.5" hidden="1" customHeight="1" outlineLevel="1">
      <c r="A204" s="30">
        <f>IF(4&lt;=DAY(DATE(YEAR(설정_코스수당!$K$2),MONTH(설정_코스수당!$K$2)+1,0)),DATE(YEAR(설정_코스수당!$K$2),MONTH(설정_코스수당!$K$2),4),"")</f>
        <v>46177</v>
      </c>
      <c r="B204" s="29" t="s">
        <v>204</v>
      </c>
      <c r="C204" s="29"/>
      <c r="D204" s="29"/>
      <c r="E204" s="29" t="str">
        <f t="shared" si="25"/>
        <v/>
      </c>
      <c r="F204" s="29">
        <f>COUNTIFS(실시간콜입력!$B:$B,$A204,실시간콜입력!$E:$E,"A",실시간콜입력!$G:$G,$B204,실시간콜입력!$O:$O,"방문완료")+COUNTIFS(실시간콜입력!$B:$B,$A204,실시간콜입력!$E:$E,"A",실시간콜입력!$H:$H,$B204,실시간콜입력!$O:$O,"방문완료")</f>
        <v>0</v>
      </c>
      <c r="G204" s="29">
        <f>COUNTIFS(실시간콜입력!$B:$B,$A204,실시간콜입력!$E:$E,"B",실시간콜입력!$G:$G,$B204,실시간콜입력!$O:$O,"방문완료")+COUNTIFS(실시간콜입력!$B:$B,$A204,실시간콜입력!$E:$E,"B",실시간콜입력!$H:$H,$B204,실시간콜입력!$O:$O,"방문완료")</f>
        <v>0</v>
      </c>
      <c r="H204" s="29">
        <f>COUNTIFS(실시간콜입력!$B:$B,$A204,실시간콜입력!$E:$E,"C",실시간콜입력!$G:$G,$B204,실시간콜입력!$O:$O,"방문완료")+COUNTIFS(실시간콜입력!$B:$B,$A204,실시간콜입력!$E:$E,"C",실시간콜입력!$H:$H,$B204,실시간콜입력!$O:$O,"방문완료")</f>
        <v>0</v>
      </c>
      <c r="I204" s="29">
        <f>COUNTIFS(실시간콜입력!$B:$B,$A204,실시간콜입력!$E:$E,"D",실시간콜입력!$G:$G,$B204,실시간콜입력!$O:$O,"방문완료")+COUNTIFS(실시간콜입력!$B:$B,$A204,실시간콜입력!$E:$E,"D",실시간콜입력!$H:$H,$B204,실시간콜입력!$O:$O,"방문완료")</f>
        <v>0</v>
      </c>
      <c r="J204" s="29">
        <f>COUNTIFS(실시간콜입력!$B:$B,$A204,실시간콜입력!$E:$E,"E",실시간콜입력!$G:$G,$B204,실시간콜입력!$O:$O,"방문완료")+COUNTIFS(실시간콜입력!$B:$B,$A204,실시간콜입력!$E:$E,"E",실시간콜입력!$H:$H,$B204,실시간콜입력!$O:$O,"방문완료")</f>
        <v>0</v>
      </c>
      <c r="K204" s="29">
        <f t="shared" si="26"/>
        <v>0</v>
      </c>
      <c r="L204" s="33">
        <f>SUMIFS(실시간콜입력!$K:$K,실시간콜입력!$B:$B,$A204,실시간콜입력!$G:$G,$B204,실시간콜입력!$O:$O,"방문완료")+SUMIFS(실시간콜입력!$L:$L,실시간콜입력!$B:$B,$A204,실시간콜입력!$H:$H,$B204,실시간콜입력!$O:$O,"방문완료")</f>
        <v>0</v>
      </c>
      <c r="M204" s="29" t="str">
        <f t="shared" si="27"/>
        <v/>
      </c>
      <c r="N204" s="29"/>
    </row>
    <row r="205" spans="1:14" ht="19.5" hidden="1" customHeight="1" outlineLevel="1">
      <c r="A205" s="24">
        <f>IF(4&lt;=DAY(DATE(YEAR(설정_코스수당!$K$2),MONTH(설정_코스수당!$K$2)+1,0)),DATE(YEAR(설정_코스수당!$K$2),MONTH(설정_코스수당!$K$2),4),"")</f>
        <v>46177</v>
      </c>
      <c r="B205" s="23" t="s">
        <v>205</v>
      </c>
      <c r="C205" s="29"/>
      <c r="D205" s="29"/>
      <c r="E205" s="29" t="str">
        <f t="shared" si="25"/>
        <v/>
      </c>
      <c r="F205" s="29">
        <f>COUNTIFS(실시간콜입력!$B:$B,$A205,실시간콜입력!$E:$E,"A",실시간콜입력!$G:$G,$B205,실시간콜입력!$O:$O,"방문완료")+COUNTIFS(실시간콜입력!$B:$B,$A205,실시간콜입력!$E:$E,"A",실시간콜입력!$H:$H,$B205,실시간콜입력!$O:$O,"방문완료")</f>
        <v>0</v>
      </c>
      <c r="G205" s="29">
        <f>COUNTIFS(실시간콜입력!$B:$B,$A205,실시간콜입력!$E:$E,"B",실시간콜입력!$G:$G,$B205,실시간콜입력!$O:$O,"방문완료")+COUNTIFS(실시간콜입력!$B:$B,$A205,실시간콜입력!$E:$E,"B",실시간콜입력!$H:$H,$B205,실시간콜입력!$O:$O,"방문완료")</f>
        <v>0</v>
      </c>
      <c r="H205" s="29">
        <f>COUNTIFS(실시간콜입력!$B:$B,$A205,실시간콜입력!$E:$E,"C",실시간콜입력!$G:$G,$B205,실시간콜입력!$O:$O,"방문완료")+COUNTIFS(실시간콜입력!$B:$B,$A205,실시간콜입력!$E:$E,"C",실시간콜입력!$H:$H,$B205,실시간콜입력!$O:$O,"방문완료")</f>
        <v>0</v>
      </c>
      <c r="I205" s="29">
        <f>COUNTIFS(실시간콜입력!$B:$B,$A205,실시간콜입력!$E:$E,"D",실시간콜입력!$G:$G,$B205,실시간콜입력!$O:$O,"방문완료")+COUNTIFS(실시간콜입력!$B:$B,$A205,실시간콜입력!$E:$E,"D",실시간콜입력!$H:$H,$B205,실시간콜입력!$O:$O,"방문완료")</f>
        <v>0</v>
      </c>
      <c r="J205" s="29">
        <f>COUNTIFS(실시간콜입력!$B:$B,$A205,실시간콜입력!$E:$E,"E",실시간콜입력!$G:$G,$B205,실시간콜입력!$O:$O,"방문완료")+COUNTIFS(실시간콜입력!$B:$B,$A205,실시간콜입력!$E:$E,"E",실시간콜입력!$H:$H,$B205,실시간콜입력!$O:$O,"방문완료")</f>
        <v>0</v>
      </c>
      <c r="K205" s="29">
        <f t="shared" si="26"/>
        <v>0</v>
      </c>
      <c r="L205" s="27">
        <f>SUMIFS(실시간콜입력!$K:$K,실시간콜입력!$B:$B,$A205,실시간콜입력!$G:$G,$B205,실시간콜입력!$O:$O,"방문완료")+SUMIFS(실시간콜입력!$L:$L,실시간콜입력!$B:$B,$A205,실시간콜입력!$H:$H,$B205,실시간콜입력!$O:$O,"방문완료")</f>
        <v>0</v>
      </c>
      <c r="M205" s="29" t="str">
        <f t="shared" si="27"/>
        <v/>
      </c>
      <c r="N205" s="29"/>
    </row>
    <row r="206" spans="1:14" ht="19.5" hidden="1" customHeight="1" outlineLevel="1">
      <c r="A206" s="30">
        <f>IF(4&lt;=DAY(DATE(YEAR(설정_코스수당!$K$2),MONTH(설정_코스수당!$K$2)+1,0)),DATE(YEAR(설정_코스수당!$K$2),MONTH(설정_코스수당!$K$2),4),"")</f>
        <v>46177</v>
      </c>
      <c r="B206" s="29" t="s">
        <v>206</v>
      </c>
      <c r="C206" s="29"/>
      <c r="D206" s="29"/>
      <c r="E206" s="29" t="str">
        <f t="shared" si="25"/>
        <v/>
      </c>
      <c r="F206" s="29">
        <f>COUNTIFS(실시간콜입력!$B:$B,$A206,실시간콜입력!$E:$E,"A",실시간콜입력!$G:$G,$B206,실시간콜입력!$O:$O,"방문완료")+COUNTIFS(실시간콜입력!$B:$B,$A206,실시간콜입력!$E:$E,"A",실시간콜입력!$H:$H,$B206,실시간콜입력!$O:$O,"방문완료")</f>
        <v>0</v>
      </c>
      <c r="G206" s="29">
        <f>COUNTIFS(실시간콜입력!$B:$B,$A206,실시간콜입력!$E:$E,"B",실시간콜입력!$G:$G,$B206,실시간콜입력!$O:$O,"방문완료")+COUNTIFS(실시간콜입력!$B:$B,$A206,실시간콜입력!$E:$E,"B",실시간콜입력!$H:$H,$B206,실시간콜입력!$O:$O,"방문완료")</f>
        <v>0</v>
      </c>
      <c r="H206" s="29">
        <f>COUNTIFS(실시간콜입력!$B:$B,$A206,실시간콜입력!$E:$E,"C",실시간콜입력!$G:$G,$B206,실시간콜입력!$O:$O,"방문완료")+COUNTIFS(실시간콜입력!$B:$B,$A206,실시간콜입력!$E:$E,"C",실시간콜입력!$H:$H,$B206,실시간콜입력!$O:$O,"방문완료")</f>
        <v>0</v>
      </c>
      <c r="I206" s="29">
        <f>COUNTIFS(실시간콜입력!$B:$B,$A206,실시간콜입력!$E:$E,"D",실시간콜입력!$G:$G,$B206,실시간콜입력!$O:$O,"방문완료")+COUNTIFS(실시간콜입력!$B:$B,$A206,실시간콜입력!$E:$E,"D",실시간콜입력!$H:$H,$B206,실시간콜입력!$O:$O,"방문완료")</f>
        <v>0</v>
      </c>
      <c r="J206" s="29">
        <f>COUNTIFS(실시간콜입력!$B:$B,$A206,실시간콜입력!$E:$E,"E",실시간콜입력!$G:$G,$B206,실시간콜입력!$O:$O,"방문완료")+COUNTIFS(실시간콜입력!$B:$B,$A206,실시간콜입력!$E:$E,"E",실시간콜입력!$H:$H,$B206,실시간콜입력!$O:$O,"방문완료")</f>
        <v>0</v>
      </c>
      <c r="K206" s="29">
        <f t="shared" si="26"/>
        <v>0</v>
      </c>
      <c r="L206" s="33">
        <f>SUMIFS(실시간콜입력!$K:$K,실시간콜입력!$B:$B,$A206,실시간콜입력!$G:$G,$B206,실시간콜입력!$O:$O,"방문완료")+SUMIFS(실시간콜입력!$L:$L,실시간콜입력!$B:$B,$A206,실시간콜입력!$H:$H,$B206,실시간콜입력!$O:$O,"방문완료")</f>
        <v>0</v>
      </c>
      <c r="M206" s="29" t="str">
        <f t="shared" si="27"/>
        <v/>
      </c>
      <c r="N206" s="29"/>
    </row>
    <row r="207" spans="1:14" ht="19.5" hidden="1" customHeight="1" outlineLevel="1">
      <c r="A207" s="24">
        <f>IF(4&lt;=DAY(DATE(YEAR(설정_코스수당!$K$2),MONTH(설정_코스수당!$K$2)+1,0)),DATE(YEAR(설정_코스수당!$K$2),MONTH(설정_코스수당!$K$2),4),"")</f>
        <v>46177</v>
      </c>
      <c r="B207" s="23" t="s">
        <v>207</v>
      </c>
      <c r="C207" s="29"/>
      <c r="D207" s="29"/>
      <c r="E207" s="29" t="str">
        <f t="shared" si="25"/>
        <v/>
      </c>
      <c r="F207" s="29">
        <f>COUNTIFS(실시간콜입력!$B:$B,$A207,실시간콜입력!$E:$E,"A",실시간콜입력!$G:$G,$B207,실시간콜입력!$O:$O,"방문완료")+COUNTIFS(실시간콜입력!$B:$B,$A207,실시간콜입력!$E:$E,"A",실시간콜입력!$H:$H,$B207,실시간콜입력!$O:$O,"방문완료")</f>
        <v>0</v>
      </c>
      <c r="G207" s="29">
        <f>COUNTIFS(실시간콜입력!$B:$B,$A207,실시간콜입력!$E:$E,"B",실시간콜입력!$G:$G,$B207,실시간콜입력!$O:$O,"방문완료")+COUNTIFS(실시간콜입력!$B:$B,$A207,실시간콜입력!$E:$E,"B",실시간콜입력!$H:$H,$B207,실시간콜입력!$O:$O,"방문완료")</f>
        <v>0</v>
      </c>
      <c r="H207" s="29">
        <f>COUNTIFS(실시간콜입력!$B:$B,$A207,실시간콜입력!$E:$E,"C",실시간콜입력!$G:$G,$B207,실시간콜입력!$O:$O,"방문완료")+COUNTIFS(실시간콜입력!$B:$B,$A207,실시간콜입력!$E:$E,"C",실시간콜입력!$H:$H,$B207,실시간콜입력!$O:$O,"방문완료")</f>
        <v>0</v>
      </c>
      <c r="I207" s="29">
        <f>COUNTIFS(실시간콜입력!$B:$B,$A207,실시간콜입력!$E:$E,"D",실시간콜입력!$G:$G,$B207,실시간콜입력!$O:$O,"방문완료")+COUNTIFS(실시간콜입력!$B:$B,$A207,실시간콜입력!$E:$E,"D",실시간콜입력!$H:$H,$B207,실시간콜입력!$O:$O,"방문완료")</f>
        <v>0</v>
      </c>
      <c r="J207" s="29">
        <f>COUNTIFS(실시간콜입력!$B:$B,$A207,실시간콜입력!$E:$E,"E",실시간콜입력!$G:$G,$B207,실시간콜입력!$O:$O,"방문완료")+COUNTIFS(실시간콜입력!$B:$B,$A207,실시간콜입력!$E:$E,"E",실시간콜입력!$H:$H,$B207,실시간콜입력!$O:$O,"방문완료")</f>
        <v>0</v>
      </c>
      <c r="K207" s="29">
        <f t="shared" si="26"/>
        <v>0</v>
      </c>
      <c r="L207" s="27">
        <f>SUMIFS(실시간콜입력!$K:$K,실시간콜입력!$B:$B,$A207,실시간콜입력!$G:$G,$B207,실시간콜입력!$O:$O,"방문완료")+SUMIFS(실시간콜입력!$L:$L,실시간콜입력!$B:$B,$A207,실시간콜입력!$H:$H,$B207,실시간콜입력!$O:$O,"방문완료")</f>
        <v>0</v>
      </c>
      <c r="M207" s="29" t="str">
        <f t="shared" si="27"/>
        <v/>
      </c>
      <c r="N207" s="29"/>
    </row>
    <row r="208" spans="1:14" ht="19.5" hidden="1" customHeight="1" outlineLevel="1">
      <c r="A208" s="30">
        <f>IF(4&lt;=DAY(DATE(YEAR(설정_코스수당!$K$2),MONTH(설정_코스수당!$K$2)+1,0)),DATE(YEAR(설정_코스수당!$K$2),MONTH(설정_코스수당!$K$2),4),"")</f>
        <v>46177</v>
      </c>
      <c r="B208" s="29" t="s">
        <v>208</v>
      </c>
      <c r="C208" s="29"/>
      <c r="D208" s="29"/>
      <c r="E208" s="29" t="str">
        <f t="shared" si="25"/>
        <v/>
      </c>
      <c r="F208" s="29">
        <f>COUNTIFS(실시간콜입력!$B:$B,$A208,실시간콜입력!$E:$E,"A",실시간콜입력!$G:$G,$B208,실시간콜입력!$O:$O,"방문완료")+COUNTIFS(실시간콜입력!$B:$B,$A208,실시간콜입력!$E:$E,"A",실시간콜입력!$H:$H,$B208,실시간콜입력!$O:$O,"방문완료")</f>
        <v>0</v>
      </c>
      <c r="G208" s="29">
        <f>COUNTIFS(실시간콜입력!$B:$B,$A208,실시간콜입력!$E:$E,"B",실시간콜입력!$G:$G,$B208,실시간콜입력!$O:$O,"방문완료")+COUNTIFS(실시간콜입력!$B:$B,$A208,실시간콜입력!$E:$E,"B",실시간콜입력!$H:$H,$B208,실시간콜입력!$O:$O,"방문완료")</f>
        <v>0</v>
      </c>
      <c r="H208" s="29">
        <f>COUNTIFS(실시간콜입력!$B:$B,$A208,실시간콜입력!$E:$E,"C",실시간콜입력!$G:$G,$B208,실시간콜입력!$O:$O,"방문완료")+COUNTIFS(실시간콜입력!$B:$B,$A208,실시간콜입력!$E:$E,"C",실시간콜입력!$H:$H,$B208,실시간콜입력!$O:$O,"방문완료")</f>
        <v>0</v>
      </c>
      <c r="I208" s="29">
        <f>COUNTIFS(실시간콜입력!$B:$B,$A208,실시간콜입력!$E:$E,"D",실시간콜입력!$G:$G,$B208,실시간콜입력!$O:$O,"방문완료")+COUNTIFS(실시간콜입력!$B:$B,$A208,실시간콜입력!$E:$E,"D",실시간콜입력!$H:$H,$B208,실시간콜입력!$O:$O,"방문완료")</f>
        <v>0</v>
      </c>
      <c r="J208" s="29">
        <f>COUNTIFS(실시간콜입력!$B:$B,$A208,실시간콜입력!$E:$E,"E",실시간콜입력!$G:$G,$B208,실시간콜입력!$O:$O,"방문완료")+COUNTIFS(실시간콜입력!$B:$B,$A208,실시간콜입력!$E:$E,"E",실시간콜입력!$H:$H,$B208,실시간콜입력!$O:$O,"방문완료")</f>
        <v>0</v>
      </c>
      <c r="K208" s="29">
        <f t="shared" si="26"/>
        <v>0</v>
      </c>
      <c r="L208" s="33">
        <f>SUMIFS(실시간콜입력!$K:$K,실시간콜입력!$B:$B,$A208,실시간콜입력!$G:$G,$B208,실시간콜입력!$O:$O,"방문완료")+SUMIFS(실시간콜입력!$L:$L,실시간콜입력!$B:$B,$A208,실시간콜입력!$H:$H,$B208,실시간콜입력!$O:$O,"방문완료")</f>
        <v>0</v>
      </c>
      <c r="M208" s="29" t="str">
        <f t="shared" si="27"/>
        <v/>
      </c>
      <c r="N208" s="29"/>
    </row>
    <row r="209" spans="1:14" ht="19.5" hidden="1" customHeight="1" outlineLevel="1">
      <c r="A209" s="24">
        <f>IF(4&lt;=DAY(DATE(YEAR(설정_코스수당!$K$2),MONTH(설정_코스수당!$K$2)+1,0)),DATE(YEAR(설정_코스수당!$K$2),MONTH(설정_코스수당!$K$2),4),"")</f>
        <v>46177</v>
      </c>
      <c r="B209" s="23" t="s">
        <v>209</v>
      </c>
      <c r="C209" s="29"/>
      <c r="D209" s="29"/>
      <c r="E209" s="29" t="str">
        <f t="shared" si="25"/>
        <v/>
      </c>
      <c r="F209" s="29">
        <f>COUNTIFS(실시간콜입력!$B:$B,$A209,실시간콜입력!$E:$E,"A",실시간콜입력!$G:$G,$B209,실시간콜입력!$O:$O,"방문완료")+COUNTIFS(실시간콜입력!$B:$B,$A209,실시간콜입력!$E:$E,"A",실시간콜입력!$H:$H,$B209,실시간콜입력!$O:$O,"방문완료")</f>
        <v>0</v>
      </c>
      <c r="G209" s="29">
        <f>COUNTIFS(실시간콜입력!$B:$B,$A209,실시간콜입력!$E:$E,"B",실시간콜입력!$G:$G,$B209,실시간콜입력!$O:$O,"방문완료")+COUNTIFS(실시간콜입력!$B:$B,$A209,실시간콜입력!$E:$E,"B",실시간콜입력!$H:$H,$B209,실시간콜입력!$O:$O,"방문완료")</f>
        <v>0</v>
      </c>
      <c r="H209" s="29">
        <f>COUNTIFS(실시간콜입력!$B:$B,$A209,실시간콜입력!$E:$E,"C",실시간콜입력!$G:$G,$B209,실시간콜입력!$O:$O,"방문완료")+COUNTIFS(실시간콜입력!$B:$B,$A209,실시간콜입력!$E:$E,"C",실시간콜입력!$H:$H,$B209,실시간콜입력!$O:$O,"방문완료")</f>
        <v>0</v>
      </c>
      <c r="I209" s="29">
        <f>COUNTIFS(실시간콜입력!$B:$B,$A209,실시간콜입력!$E:$E,"D",실시간콜입력!$G:$G,$B209,실시간콜입력!$O:$O,"방문완료")+COUNTIFS(실시간콜입력!$B:$B,$A209,실시간콜입력!$E:$E,"D",실시간콜입력!$H:$H,$B209,실시간콜입력!$O:$O,"방문완료")</f>
        <v>0</v>
      </c>
      <c r="J209" s="29">
        <f>COUNTIFS(실시간콜입력!$B:$B,$A209,실시간콜입력!$E:$E,"E",실시간콜입력!$G:$G,$B209,실시간콜입력!$O:$O,"방문완료")+COUNTIFS(실시간콜입력!$B:$B,$A209,실시간콜입력!$E:$E,"E",실시간콜입력!$H:$H,$B209,실시간콜입력!$O:$O,"방문완료")</f>
        <v>0</v>
      </c>
      <c r="K209" s="29">
        <f t="shared" si="26"/>
        <v>0</v>
      </c>
      <c r="L209" s="27">
        <f>SUMIFS(실시간콜입력!$K:$K,실시간콜입력!$B:$B,$A209,실시간콜입력!$G:$G,$B209,실시간콜입력!$O:$O,"방문완료")+SUMIFS(실시간콜입력!$L:$L,실시간콜입력!$B:$B,$A209,실시간콜입력!$H:$H,$B209,실시간콜입력!$O:$O,"방문완료")</f>
        <v>0</v>
      </c>
      <c r="M209" s="29" t="str">
        <f t="shared" si="27"/>
        <v/>
      </c>
      <c r="N209" s="29"/>
    </row>
    <row r="210" spans="1:14" ht="19.5" hidden="1" customHeight="1" outlineLevel="1">
      <c r="A210" s="30">
        <f>IF(4&lt;=DAY(DATE(YEAR(설정_코스수당!$K$2),MONTH(설정_코스수당!$K$2)+1,0)),DATE(YEAR(설정_코스수당!$K$2),MONTH(설정_코스수당!$K$2),4),"")</f>
        <v>46177</v>
      </c>
      <c r="B210" s="29" t="s">
        <v>210</v>
      </c>
      <c r="C210" s="29"/>
      <c r="D210" s="29"/>
      <c r="E210" s="29" t="str">
        <f t="shared" si="25"/>
        <v/>
      </c>
      <c r="F210" s="29">
        <f>COUNTIFS(실시간콜입력!$B:$B,$A210,실시간콜입력!$E:$E,"A",실시간콜입력!$G:$G,$B210,실시간콜입력!$O:$O,"방문완료")+COUNTIFS(실시간콜입력!$B:$B,$A210,실시간콜입력!$E:$E,"A",실시간콜입력!$H:$H,$B210,실시간콜입력!$O:$O,"방문완료")</f>
        <v>0</v>
      </c>
      <c r="G210" s="29">
        <f>COUNTIFS(실시간콜입력!$B:$B,$A210,실시간콜입력!$E:$E,"B",실시간콜입력!$G:$G,$B210,실시간콜입력!$O:$O,"방문완료")+COUNTIFS(실시간콜입력!$B:$B,$A210,실시간콜입력!$E:$E,"B",실시간콜입력!$H:$H,$B210,실시간콜입력!$O:$O,"방문완료")</f>
        <v>0</v>
      </c>
      <c r="H210" s="29">
        <f>COUNTIFS(실시간콜입력!$B:$B,$A210,실시간콜입력!$E:$E,"C",실시간콜입력!$G:$G,$B210,실시간콜입력!$O:$O,"방문완료")+COUNTIFS(실시간콜입력!$B:$B,$A210,실시간콜입력!$E:$E,"C",실시간콜입력!$H:$H,$B210,실시간콜입력!$O:$O,"방문완료")</f>
        <v>0</v>
      </c>
      <c r="I210" s="29">
        <f>COUNTIFS(실시간콜입력!$B:$B,$A210,실시간콜입력!$E:$E,"D",실시간콜입력!$G:$G,$B210,실시간콜입력!$O:$O,"방문완료")+COUNTIFS(실시간콜입력!$B:$B,$A210,실시간콜입력!$E:$E,"D",실시간콜입력!$H:$H,$B210,실시간콜입력!$O:$O,"방문완료")</f>
        <v>0</v>
      </c>
      <c r="J210" s="29">
        <f>COUNTIFS(실시간콜입력!$B:$B,$A210,실시간콜입력!$E:$E,"E",실시간콜입력!$G:$G,$B210,실시간콜입력!$O:$O,"방문완료")+COUNTIFS(실시간콜입력!$B:$B,$A210,실시간콜입력!$E:$E,"E",실시간콜입력!$H:$H,$B210,실시간콜입력!$O:$O,"방문완료")</f>
        <v>0</v>
      </c>
      <c r="K210" s="29">
        <f t="shared" si="26"/>
        <v>0</v>
      </c>
      <c r="L210" s="33">
        <f>SUMIFS(실시간콜입력!$K:$K,실시간콜입력!$B:$B,$A210,실시간콜입력!$G:$G,$B210,실시간콜입력!$O:$O,"방문완료")+SUMIFS(실시간콜입력!$L:$L,실시간콜입력!$B:$B,$A210,실시간콜입력!$H:$H,$B210,실시간콜입력!$O:$O,"방문완료")</f>
        <v>0</v>
      </c>
      <c r="M210" s="29" t="str">
        <f t="shared" si="27"/>
        <v/>
      </c>
      <c r="N210" s="29"/>
    </row>
    <row r="211" spans="1:14" ht="19.5" hidden="1" customHeight="1" outlineLevel="1">
      <c r="A211" s="24">
        <f>IF(4&lt;=DAY(DATE(YEAR(설정_코스수당!$K$2),MONTH(설정_코스수당!$K$2)+1,0)),DATE(YEAR(설정_코스수당!$K$2),MONTH(설정_코스수당!$K$2),4),"")</f>
        <v>46177</v>
      </c>
      <c r="B211" s="23" t="s">
        <v>211</v>
      </c>
      <c r="C211" s="29"/>
      <c r="D211" s="29"/>
      <c r="E211" s="29" t="str">
        <f t="shared" si="25"/>
        <v/>
      </c>
      <c r="F211" s="29">
        <f>COUNTIFS(실시간콜입력!$B:$B,$A211,실시간콜입력!$E:$E,"A",실시간콜입력!$G:$G,$B211,실시간콜입력!$O:$O,"방문완료")+COUNTIFS(실시간콜입력!$B:$B,$A211,실시간콜입력!$E:$E,"A",실시간콜입력!$H:$H,$B211,실시간콜입력!$O:$O,"방문완료")</f>
        <v>0</v>
      </c>
      <c r="G211" s="29">
        <f>COUNTIFS(실시간콜입력!$B:$B,$A211,실시간콜입력!$E:$E,"B",실시간콜입력!$G:$G,$B211,실시간콜입력!$O:$O,"방문완료")+COUNTIFS(실시간콜입력!$B:$B,$A211,실시간콜입력!$E:$E,"B",실시간콜입력!$H:$H,$B211,실시간콜입력!$O:$O,"방문완료")</f>
        <v>0</v>
      </c>
      <c r="H211" s="29">
        <f>COUNTIFS(실시간콜입력!$B:$B,$A211,실시간콜입력!$E:$E,"C",실시간콜입력!$G:$G,$B211,실시간콜입력!$O:$O,"방문완료")+COUNTIFS(실시간콜입력!$B:$B,$A211,실시간콜입력!$E:$E,"C",실시간콜입력!$H:$H,$B211,실시간콜입력!$O:$O,"방문완료")</f>
        <v>0</v>
      </c>
      <c r="I211" s="29">
        <f>COUNTIFS(실시간콜입력!$B:$B,$A211,실시간콜입력!$E:$E,"D",실시간콜입력!$G:$G,$B211,실시간콜입력!$O:$O,"방문완료")+COUNTIFS(실시간콜입력!$B:$B,$A211,실시간콜입력!$E:$E,"D",실시간콜입력!$H:$H,$B211,실시간콜입력!$O:$O,"방문완료")</f>
        <v>0</v>
      </c>
      <c r="J211" s="29">
        <f>COUNTIFS(실시간콜입력!$B:$B,$A211,실시간콜입력!$E:$E,"E",실시간콜입력!$G:$G,$B211,실시간콜입력!$O:$O,"방문완료")+COUNTIFS(실시간콜입력!$B:$B,$A211,실시간콜입력!$E:$E,"E",실시간콜입력!$H:$H,$B211,실시간콜입력!$O:$O,"방문완료")</f>
        <v>0</v>
      </c>
      <c r="K211" s="29">
        <f t="shared" si="26"/>
        <v>0</v>
      </c>
      <c r="L211" s="27">
        <f>SUMIFS(실시간콜입력!$K:$K,실시간콜입력!$B:$B,$A211,실시간콜입력!$G:$G,$B211,실시간콜입력!$O:$O,"방문완료")+SUMIFS(실시간콜입력!$L:$L,실시간콜입력!$B:$B,$A211,실시간콜입력!$H:$H,$B211,실시간콜입력!$O:$O,"방문완료")</f>
        <v>0</v>
      </c>
      <c r="M211" s="29" t="str">
        <f t="shared" si="27"/>
        <v/>
      </c>
      <c r="N211" s="29"/>
    </row>
    <row r="212" spans="1:14" ht="19.5" hidden="1" customHeight="1" outlineLevel="1">
      <c r="A212" s="30">
        <f>IF(4&lt;=DAY(DATE(YEAR(설정_코스수당!$K$2),MONTH(설정_코스수당!$K$2)+1,0)),DATE(YEAR(설정_코스수당!$K$2),MONTH(설정_코스수당!$K$2),4),"")</f>
        <v>46177</v>
      </c>
      <c r="B212" s="29" t="s">
        <v>212</v>
      </c>
      <c r="C212" s="29"/>
      <c r="D212" s="29"/>
      <c r="E212" s="29" t="str">
        <f t="shared" si="25"/>
        <v/>
      </c>
      <c r="F212" s="29">
        <f>COUNTIFS(실시간콜입력!$B:$B,$A212,실시간콜입력!$E:$E,"A",실시간콜입력!$G:$G,$B212,실시간콜입력!$O:$O,"방문완료")+COUNTIFS(실시간콜입력!$B:$B,$A212,실시간콜입력!$E:$E,"A",실시간콜입력!$H:$H,$B212,실시간콜입력!$O:$O,"방문완료")</f>
        <v>0</v>
      </c>
      <c r="G212" s="29">
        <f>COUNTIFS(실시간콜입력!$B:$B,$A212,실시간콜입력!$E:$E,"B",실시간콜입력!$G:$G,$B212,실시간콜입력!$O:$O,"방문완료")+COUNTIFS(실시간콜입력!$B:$B,$A212,실시간콜입력!$E:$E,"B",실시간콜입력!$H:$H,$B212,실시간콜입력!$O:$O,"방문완료")</f>
        <v>0</v>
      </c>
      <c r="H212" s="29">
        <f>COUNTIFS(실시간콜입력!$B:$B,$A212,실시간콜입력!$E:$E,"C",실시간콜입력!$G:$G,$B212,실시간콜입력!$O:$O,"방문완료")+COUNTIFS(실시간콜입력!$B:$B,$A212,실시간콜입력!$E:$E,"C",실시간콜입력!$H:$H,$B212,실시간콜입력!$O:$O,"방문완료")</f>
        <v>0</v>
      </c>
      <c r="I212" s="29">
        <f>COUNTIFS(실시간콜입력!$B:$B,$A212,실시간콜입력!$E:$E,"D",실시간콜입력!$G:$G,$B212,실시간콜입력!$O:$O,"방문완료")+COUNTIFS(실시간콜입력!$B:$B,$A212,실시간콜입력!$E:$E,"D",실시간콜입력!$H:$H,$B212,실시간콜입력!$O:$O,"방문완료")</f>
        <v>0</v>
      </c>
      <c r="J212" s="29">
        <f>COUNTIFS(실시간콜입력!$B:$B,$A212,실시간콜입력!$E:$E,"E",실시간콜입력!$G:$G,$B212,실시간콜입력!$O:$O,"방문완료")+COUNTIFS(실시간콜입력!$B:$B,$A212,실시간콜입력!$E:$E,"E",실시간콜입력!$H:$H,$B212,실시간콜입력!$O:$O,"방문완료")</f>
        <v>0</v>
      </c>
      <c r="K212" s="29">
        <f t="shared" si="26"/>
        <v>0</v>
      </c>
      <c r="L212" s="33">
        <f>SUMIFS(실시간콜입력!$K:$K,실시간콜입력!$B:$B,$A212,실시간콜입력!$G:$G,$B212,실시간콜입력!$O:$O,"방문완료")+SUMIFS(실시간콜입력!$L:$L,실시간콜입력!$B:$B,$A212,실시간콜입력!$H:$H,$B212,실시간콜입력!$O:$O,"방문완료")</f>
        <v>0</v>
      </c>
      <c r="M212" s="29" t="str">
        <f t="shared" si="27"/>
        <v/>
      </c>
      <c r="N212" s="29"/>
    </row>
    <row r="213" spans="1:14" ht="21.75" customHeight="1" collapsed="1">
      <c r="A213" s="64">
        <f>IF(5&lt;=DAY(DATE(YEAR(설정_코스수당!$K$2),MONTH(설정_코스수당!$K$2)+1,0)),DATE(YEAR(설정_코스수당!$K$2),MONTH(설정_코스수당!$K$2),5),"")</f>
        <v>46178</v>
      </c>
      <c r="B213" s="65" t="str">
        <f>IF(A213="","","출근 "&amp;COUNTIF(C215:C264,"&lt;&gt;")&amp;"명")</f>
        <v>출근 0명</v>
      </c>
      <c r="C213" s="65" t="str">
        <f>IF(A213="","","만근 "&amp;COUNTIF(M215:M264,"인정")&amp;"명")</f>
        <v>만근 0명</v>
      </c>
      <c r="D213" s="65" t="str">
        <f>IFERROR("평균 "&amp;TEXT(AVERAGEIF(E215:E264,"&gt;0",E215:E264),"0.0")&amp;"h","평균 -")</f>
        <v>평균 -</v>
      </c>
      <c r="E213" s="65" t="s">
        <v>163</v>
      </c>
      <c r="F213" s="65">
        <f t="shared" ref="F213:L213" si="28">SUM(F215:F264)</f>
        <v>0</v>
      </c>
      <c r="G213" s="65">
        <f t="shared" si="28"/>
        <v>0</v>
      </c>
      <c r="H213" s="65">
        <f t="shared" si="28"/>
        <v>0</v>
      </c>
      <c r="I213" s="65">
        <f t="shared" si="28"/>
        <v>0</v>
      </c>
      <c r="J213" s="65">
        <f t="shared" si="28"/>
        <v>0</v>
      </c>
      <c r="K213" s="65">
        <f t="shared" si="28"/>
        <v>0</v>
      </c>
      <c r="L213" s="66">
        <f t="shared" si="28"/>
        <v>0</v>
      </c>
      <c r="M213" s="65">
        <f>COUNTIF(M215:M264,"인정")</f>
        <v>0</v>
      </c>
      <c r="N213" s="65" t="s">
        <v>164</v>
      </c>
    </row>
    <row r="214" spans="1:14" ht="19.5" hidden="1" customHeight="1" outlineLevel="1">
      <c r="A214" s="20" t="s">
        <v>42</v>
      </c>
      <c r="B214" s="20" t="s">
        <v>152</v>
      </c>
      <c r="C214" s="20" t="s">
        <v>153</v>
      </c>
      <c r="D214" s="20" t="s">
        <v>154</v>
      </c>
      <c r="E214" s="20" t="s">
        <v>155</v>
      </c>
      <c r="F214" s="20" t="s">
        <v>156</v>
      </c>
      <c r="G214" s="20" t="s">
        <v>157</v>
      </c>
      <c r="H214" s="20" t="s">
        <v>158</v>
      </c>
      <c r="I214" s="20" t="s">
        <v>159</v>
      </c>
      <c r="J214" s="20" t="s">
        <v>160</v>
      </c>
      <c r="K214" s="20" t="s">
        <v>118</v>
      </c>
      <c r="L214" s="20" t="s">
        <v>161</v>
      </c>
      <c r="M214" s="20" t="s">
        <v>162</v>
      </c>
      <c r="N214" s="20" t="s">
        <v>95</v>
      </c>
    </row>
    <row r="215" spans="1:14" ht="19.5" hidden="1" customHeight="1" outlineLevel="1">
      <c r="A215" s="24">
        <f>IF(5&lt;=DAY(DATE(YEAR(설정_코스수당!$K$2),MONTH(설정_코스수당!$K$2)+1,0)),DATE(YEAR(설정_코스수당!$K$2),MONTH(설정_코스수당!$K$2),5),"")</f>
        <v>46178</v>
      </c>
      <c r="B215" s="23" t="s">
        <v>47</v>
      </c>
      <c r="C215" s="23"/>
      <c r="D215" s="23"/>
      <c r="E215" s="23" t="str">
        <f t="shared" ref="E215:E246" si="29">IF(AND(C215&lt;&gt;"",D215&lt;&gt;""),IF(D215&lt;C215,D215+1-C215,D215-C215)*24,"")</f>
        <v/>
      </c>
      <c r="F215" s="23">
        <f>COUNTIFS(실시간콜입력!$B:$B,$A215,실시간콜입력!$E:$E,"A",실시간콜입력!$G:$G,$B215,실시간콜입력!$O:$O,"방문완료")+COUNTIFS(실시간콜입력!$B:$B,$A215,실시간콜입력!$E:$E,"A",실시간콜입력!$H:$H,$B215,실시간콜입력!$O:$O,"방문완료")</f>
        <v>0</v>
      </c>
      <c r="G215" s="23">
        <f>COUNTIFS(실시간콜입력!$B:$B,$A215,실시간콜입력!$E:$E,"B",실시간콜입력!$G:$G,$B215,실시간콜입력!$O:$O,"방문완료")+COUNTIFS(실시간콜입력!$B:$B,$A215,실시간콜입력!$E:$E,"B",실시간콜입력!$H:$H,$B215,실시간콜입력!$O:$O,"방문완료")</f>
        <v>0</v>
      </c>
      <c r="H215" s="23">
        <f>COUNTIFS(실시간콜입력!$B:$B,$A215,실시간콜입력!$E:$E,"C",실시간콜입력!$G:$G,$B215,실시간콜입력!$O:$O,"방문완료")+COUNTIFS(실시간콜입력!$B:$B,$A215,실시간콜입력!$E:$E,"C",실시간콜입력!$H:$H,$B215,실시간콜입력!$O:$O,"방문완료")</f>
        <v>0</v>
      </c>
      <c r="I215" s="23">
        <f>COUNTIFS(실시간콜입력!$B:$B,$A215,실시간콜입력!$E:$E,"D",실시간콜입력!$G:$G,$B215,실시간콜입력!$O:$O,"방문완료")+COUNTIFS(실시간콜입력!$B:$B,$A215,실시간콜입력!$E:$E,"D",실시간콜입력!$H:$H,$B215,실시간콜입력!$O:$O,"방문완료")</f>
        <v>0</v>
      </c>
      <c r="J215" s="23">
        <f>COUNTIFS(실시간콜입력!$B:$B,$A215,실시간콜입력!$E:$E,"E",실시간콜입력!$G:$G,$B215,실시간콜입력!$O:$O,"방문완료")+COUNTIFS(실시간콜입력!$B:$B,$A215,실시간콜입력!$E:$E,"E",실시간콜입력!$H:$H,$B215,실시간콜입력!$O:$O,"방문완료")</f>
        <v>0</v>
      </c>
      <c r="K215" s="23">
        <f t="shared" ref="K215:K246" si="30">SUM(F215:J215)</f>
        <v>0</v>
      </c>
      <c r="L215" s="27">
        <f>SUMIFS(실시간콜입력!$K:$K,실시간콜입력!$B:$B,$A215,실시간콜입력!$G:$G,$B215,실시간콜입력!$O:$O,"방문완료")+SUMIFS(실시간콜입력!$L:$L,실시간콜입력!$B:$B,$A215,실시간콜입력!$H:$H,$B215,실시간콜입력!$O:$O,"방문완료")</f>
        <v>0</v>
      </c>
      <c r="M215" s="23" t="str">
        <f t="shared" ref="M215:M246" si="31">IF(AND(ISNUMBER(E215),E215&gt;=8),"인정","")</f>
        <v/>
      </c>
      <c r="N215" s="23"/>
    </row>
    <row r="216" spans="1:14" ht="19.5" hidden="1" customHeight="1" outlineLevel="1">
      <c r="A216" s="30">
        <f>IF(5&lt;=DAY(DATE(YEAR(설정_코스수당!$K$2),MONTH(설정_코스수당!$K$2)+1,0)),DATE(YEAR(설정_코스수당!$K$2),MONTH(설정_코스수당!$K$2),5),"")</f>
        <v>46178</v>
      </c>
      <c r="B216" s="29" t="s">
        <v>48</v>
      </c>
      <c r="C216" s="29"/>
      <c r="D216" s="29"/>
      <c r="E216" s="29" t="str">
        <f t="shared" si="29"/>
        <v/>
      </c>
      <c r="F216" s="29">
        <f>COUNTIFS(실시간콜입력!$B:$B,$A216,실시간콜입력!$E:$E,"A",실시간콜입력!$G:$G,$B216,실시간콜입력!$O:$O,"방문완료")+COUNTIFS(실시간콜입력!$B:$B,$A216,실시간콜입력!$E:$E,"A",실시간콜입력!$H:$H,$B216,실시간콜입력!$O:$O,"방문완료")</f>
        <v>0</v>
      </c>
      <c r="G216" s="29">
        <f>COUNTIFS(실시간콜입력!$B:$B,$A216,실시간콜입력!$E:$E,"B",실시간콜입력!$G:$G,$B216,실시간콜입력!$O:$O,"방문완료")+COUNTIFS(실시간콜입력!$B:$B,$A216,실시간콜입력!$E:$E,"B",실시간콜입력!$H:$H,$B216,실시간콜입력!$O:$O,"방문완료")</f>
        <v>0</v>
      </c>
      <c r="H216" s="29">
        <f>COUNTIFS(실시간콜입력!$B:$B,$A216,실시간콜입력!$E:$E,"C",실시간콜입력!$G:$G,$B216,실시간콜입력!$O:$O,"방문완료")+COUNTIFS(실시간콜입력!$B:$B,$A216,실시간콜입력!$E:$E,"C",실시간콜입력!$H:$H,$B216,실시간콜입력!$O:$O,"방문완료")</f>
        <v>0</v>
      </c>
      <c r="I216" s="29">
        <f>COUNTIFS(실시간콜입력!$B:$B,$A216,실시간콜입력!$E:$E,"D",실시간콜입력!$G:$G,$B216,실시간콜입력!$O:$O,"방문완료")+COUNTIFS(실시간콜입력!$B:$B,$A216,실시간콜입력!$E:$E,"D",실시간콜입력!$H:$H,$B216,실시간콜입력!$O:$O,"방문완료")</f>
        <v>0</v>
      </c>
      <c r="J216" s="29">
        <f>COUNTIFS(실시간콜입력!$B:$B,$A216,실시간콜입력!$E:$E,"E",실시간콜입력!$G:$G,$B216,실시간콜입력!$O:$O,"방문완료")+COUNTIFS(실시간콜입력!$B:$B,$A216,실시간콜입력!$E:$E,"E",실시간콜입력!$H:$H,$B216,실시간콜입력!$O:$O,"방문완료")</f>
        <v>0</v>
      </c>
      <c r="K216" s="29">
        <f t="shared" si="30"/>
        <v>0</v>
      </c>
      <c r="L216" s="33">
        <f>SUMIFS(실시간콜입력!$K:$K,실시간콜입력!$B:$B,$A216,실시간콜입력!$G:$G,$B216,실시간콜입력!$O:$O,"방문완료")+SUMIFS(실시간콜입력!$L:$L,실시간콜입력!$B:$B,$A216,실시간콜입력!$H:$H,$B216,실시간콜입력!$O:$O,"방문완료")</f>
        <v>0</v>
      </c>
      <c r="M216" s="29" t="str">
        <f t="shared" si="31"/>
        <v/>
      </c>
      <c r="N216" s="29"/>
    </row>
    <row r="217" spans="1:14" ht="19.5" hidden="1" customHeight="1" outlineLevel="1">
      <c r="A217" s="24">
        <f>IF(5&lt;=DAY(DATE(YEAR(설정_코스수당!$K$2),MONTH(설정_코스수당!$K$2)+1,0)),DATE(YEAR(설정_코스수당!$K$2),MONTH(설정_코스수당!$K$2),5),"")</f>
        <v>46178</v>
      </c>
      <c r="B217" s="23" t="s">
        <v>165</v>
      </c>
      <c r="C217" s="29"/>
      <c r="D217" s="29"/>
      <c r="E217" s="29" t="str">
        <f t="shared" si="29"/>
        <v/>
      </c>
      <c r="F217" s="29">
        <f>COUNTIFS(실시간콜입력!$B:$B,$A217,실시간콜입력!$E:$E,"A",실시간콜입력!$G:$G,$B217,실시간콜입력!$O:$O,"방문완료")+COUNTIFS(실시간콜입력!$B:$B,$A217,실시간콜입력!$E:$E,"A",실시간콜입력!$H:$H,$B217,실시간콜입력!$O:$O,"방문완료")</f>
        <v>0</v>
      </c>
      <c r="G217" s="29">
        <f>COUNTIFS(실시간콜입력!$B:$B,$A217,실시간콜입력!$E:$E,"B",실시간콜입력!$G:$G,$B217,실시간콜입력!$O:$O,"방문완료")+COUNTIFS(실시간콜입력!$B:$B,$A217,실시간콜입력!$E:$E,"B",실시간콜입력!$H:$H,$B217,실시간콜입력!$O:$O,"방문완료")</f>
        <v>0</v>
      </c>
      <c r="H217" s="29">
        <f>COUNTIFS(실시간콜입력!$B:$B,$A217,실시간콜입력!$E:$E,"C",실시간콜입력!$G:$G,$B217,실시간콜입력!$O:$O,"방문완료")+COUNTIFS(실시간콜입력!$B:$B,$A217,실시간콜입력!$E:$E,"C",실시간콜입력!$H:$H,$B217,실시간콜입력!$O:$O,"방문완료")</f>
        <v>0</v>
      </c>
      <c r="I217" s="29">
        <f>COUNTIFS(실시간콜입력!$B:$B,$A217,실시간콜입력!$E:$E,"D",실시간콜입력!$G:$G,$B217,실시간콜입력!$O:$O,"방문완료")+COUNTIFS(실시간콜입력!$B:$B,$A217,실시간콜입력!$E:$E,"D",실시간콜입력!$H:$H,$B217,실시간콜입력!$O:$O,"방문완료")</f>
        <v>0</v>
      </c>
      <c r="J217" s="29">
        <f>COUNTIFS(실시간콜입력!$B:$B,$A217,실시간콜입력!$E:$E,"E",실시간콜입력!$G:$G,$B217,실시간콜입력!$O:$O,"방문완료")+COUNTIFS(실시간콜입력!$B:$B,$A217,실시간콜입력!$E:$E,"E",실시간콜입력!$H:$H,$B217,실시간콜입력!$O:$O,"방문완료")</f>
        <v>0</v>
      </c>
      <c r="K217" s="29">
        <f t="shared" si="30"/>
        <v>0</v>
      </c>
      <c r="L217" s="27">
        <f>SUMIFS(실시간콜입력!$K:$K,실시간콜입력!$B:$B,$A217,실시간콜입력!$G:$G,$B217,실시간콜입력!$O:$O,"방문완료")+SUMIFS(실시간콜입력!$L:$L,실시간콜입력!$B:$B,$A217,실시간콜입력!$H:$H,$B217,실시간콜입력!$O:$O,"방문완료")</f>
        <v>0</v>
      </c>
      <c r="M217" s="29" t="str">
        <f t="shared" si="31"/>
        <v/>
      </c>
      <c r="N217" s="29"/>
    </row>
    <row r="218" spans="1:14" ht="19.5" hidden="1" customHeight="1" outlineLevel="1">
      <c r="A218" s="30">
        <f>IF(5&lt;=DAY(DATE(YEAR(설정_코스수당!$K$2),MONTH(설정_코스수당!$K$2)+1,0)),DATE(YEAR(설정_코스수당!$K$2),MONTH(설정_코스수당!$K$2),5),"")</f>
        <v>46178</v>
      </c>
      <c r="B218" s="29" t="s">
        <v>166</v>
      </c>
      <c r="C218" s="29"/>
      <c r="D218" s="29"/>
      <c r="E218" s="29" t="str">
        <f t="shared" si="29"/>
        <v/>
      </c>
      <c r="F218" s="29">
        <f>COUNTIFS(실시간콜입력!$B:$B,$A218,실시간콜입력!$E:$E,"A",실시간콜입력!$G:$G,$B218,실시간콜입력!$O:$O,"방문완료")+COUNTIFS(실시간콜입력!$B:$B,$A218,실시간콜입력!$E:$E,"A",실시간콜입력!$H:$H,$B218,실시간콜입력!$O:$O,"방문완료")</f>
        <v>0</v>
      </c>
      <c r="G218" s="29">
        <f>COUNTIFS(실시간콜입력!$B:$B,$A218,실시간콜입력!$E:$E,"B",실시간콜입력!$G:$G,$B218,실시간콜입력!$O:$O,"방문완료")+COUNTIFS(실시간콜입력!$B:$B,$A218,실시간콜입력!$E:$E,"B",실시간콜입력!$H:$H,$B218,실시간콜입력!$O:$O,"방문완료")</f>
        <v>0</v>
      </c>
      <c r="H218" s="29">
        <f>COUNTIFS(실시간콜입력!$B:$B,$A218,실시간콜입력!$E:$E,"C",실시간콜입력!$G:$G,$B218,실시간콜입력!$O:$O,"방문완료")+COUNTIFS(실시간콜입력!$B:$B,$A218,실시간콜입력!$E:$E,"C",실시간콜입력!$H:$H,$B218,실시간콜입력!$O:$O,"방문완료")</f>
        <v>0</v>
      </c>
      <c r="I218" s="29">
        <f>COUNTIFS(실시간콜입력!$B:$B,$A218,실시간콜입력!$E:$E,"D",실시간콜입력!$G:$G,$B218,실시간콜입력!$O:$O,"방문완료")+COUNTIFS(실시간콜입력!$B:$B,$A218,실시간콜입력!$E:$E,"D",실시간콜입력!$H:$H,$B218,실시간콜입력!$O:$O,"방문완료")</f>
        <v>0</v>
      </c>
      <c r="J218" s="29">
        <f>COUNTIFS(실시간콜입력!$B:$B,$A218,실시간콜입력!$E:$E,"E",실시간콜입력!$G:$G,$B218,실시간콜입력!$O:$O,"방문완료")+COUNTIFS(실시간콜입력!$B:$B,$A218,실시간콜입력!$E:$E,"E",실시간콜입력!$H:$H,$B218,실시간콜입력!$O:$O,"방문완료")</f>
        <v>0</v>
      </c>
      <c r="K218" s="29">
        <f t="shared" si="30"/>
        <v>0</v>
      </c>
      <c r="L218" s="33">
        <f>SUMIFS(실시간콜입력!$K:$K,실시간콜입력!$B:$B,$A218,실시간콜입력!$G:$G,$B218,실시간콜입력!$O:$O,"방문완료")+SUMIFS(실시간콜입력!$L:$L,실시간콜입력!$B:$B,$A218,실시간콜입력!$H:$H,$B218,실시간콜입력!$O:$O,"방문완료")</f>
        <v>0</v>
      </c>
      <c r="M218" s="29" t="str">
        <f t="shared" si="31"/>
        <v/>
      </c>
      <c r="N218" s="29"/>
    </row>
    <row r="219" spans="1:14" ht="19.5" hidden="1" customHeight="1" outlineLevel="1">
      <c r="A219" s="24">
        <f>IF(5&lt;=DAY(DATE(YEAR(설정_코스수당!$K$2),MONTH(설정_코스수당!$K$2)+1,0)),DATE(YEAR(설정_코스수당!$K$2),MONTH(설정_코스수당!$K$2),5),"")</f>
        <v>46178</v>
      </c>
      <c r="B219" s="23" t="s">
        <v>167</v>
      </c>
      <c r="C219" s="29"/>
      <c r="D219" s="29"/>
      <c r="E219" s="29" t="str">
        <f t="shared" si="29"/>
        <v/>
      </c>
      <c r="F219" s="29">
        <f>COUNTIFS(실시간콜입력!$B:$B,$A219,실시간콜입력!$E:$E,"A",실시간콜입력!$G:$G,$B219,실시간콜입력!$O:$O,"방문완료")+COUNTIFS(실시간콜입력!$B:$B,$A219,실시간콜입력!$E:$E,"A",실시간콜입력!$H:$H,$B219,실시간콜입력!$O:$O,"방문완료")</f>
        <v>0</v>
      </c>
      <c r="G219" s="29">
        <f>COUNTIFS(실시간콜입력!$B:$B,$A219,실시간콜입력!$E:$E,"B",실시간콜입력!$G:$G,$B219,실시간콜입력!$O:$O,"방문완료")+COUNTIFS(실시간콜입력!$B:$B,$A219,실시간콜입력!$E:$E,"B",실시간콜입력!$H:$H,$B219,실시간콜입력!$O:$O,"방문완료")</f>
        <v>0</v>
      </c>
      <c r="H219" s="29">
        <f>COUNTIFS(실시간콜입력!$B:$B,$A219,실시간콜입력!$E:$E,"C",실시간콜입력!$G:$G,$B219,실시간콜입력!$O:$O,"방문완료")+COUNTIFS(실시간콜입력!$B:$B,$A219,실시간콜입력!$E:$E,"C",실시간콜입력!$H:$H,$B219,실시간콜입력!$O:$O,"방문완료")</f>
        <v>0</v>
      </c>
      <c r="I219" s="29">
        <f>COUNTIFS(실시간콜입력!$B:$B,$A219,실시간콜입력!$E:$E,"D",실시간콜입력!$G:$G,$B219,실시간콜입력!$O:$O,"방문완료")+COUNTIFS(실시간콜입력!$B:$B,$A219,실시간콜입력!$E:$E,"D",실시간콜입력!$H:$H,$B219,실시간콜입력!$O:$O,"방문완료")</f>
        <v>0</v>
      </c>
      <c r="J219" s="29">
        <f>COUNTIFS(실시간콜입력!$B:$B,$A219,실시간콜입력!$E:$E,"E",실시간콜입력!$G:$G,$B219,실시간콜입력!$O:$O,"방문완료")+COUNTIFS(실시간콜입력!$B:$B,$A219,실시간콜입력!$E:$E,"E",실시간콜입력!$H:$H,$B219,실시간콜입력!$O:$O,"방문완료")</f>
        <v>0</v>
      </c>
      <c r="K219" s="29">
        <f t="shared" si="30"/>
        <v>0</v>
      </c>
      <c r="L219" s="27">
        <f>SUMIFS(실시간콜입력!$K:$K,실시간콜입력!$B:$B,$A219,실시간콜입력!$G:$G,$B219,실시간콜입력!$O:$O,"방문완료")+SUMIFS(실시간콜입력!$L:$L,실시간콜입력!$B:$B,$A219,실시간콜입력!$H:$H,$B219,실시간콜입력!$O:$O,"방문완료")</f>
        <v>0</v>
      </c>
      <c r="M219" s="29" t="str">
        <f t="shared" si="31"/>
        <v/>
      </c>
      <c r="N219" s="29"/>
    </row>
    <row r="220" spans="1:14" ht="19.5" hidden="1" customHeight="1" outlineLevel="1">
      <c r="A220" s="30">
        <f>IF(5&lt;=DAY(DATE(YEAR(설정_코스수당!$K$2),MONTH(설정_코스수당!$K$2)+1,0)),DATE(YEAR(설정_코스수당!$K$2),MONTH(설정_코스수당!$K$2),5),"")</f>
        <v>46178</v>
      </c>
      <c r="B220" s="29" t="s">
        <v>168</v>
      </c>
      <c r="C220" s="29"/>
      <c r="D220" s="29"/>
      <c r="E220" s="29" t="str">
        <f t="shared" si="29"/>
        <v/>
      </c>
      <c r="F220" s="29">
        <f>COUNTIFS(실시간콜입력!$B:$B,$A220,실시간콜입력!$E:$E,"A",실시간콜입력!$G:$G,$B220,실시간콜입력!$O:$O,"방문완료")+COUNTIFS(실시간콜입력!$B:$B,$A220,실시간콜입력!$E:$E,"A",실시간콜입력!$H:$H,$B220,실시간콜입력!$O:$O,"방문완료")</f>
        <v>0</v>
      </c>
      <c r="G220" s="29">
        <f>COUNTIFS(실시간콜입력!$B:$B,$A220,실시간콜입력!$E:$E,"B",실시간콜입력!$G:$G,$B220,실시간콜입력!$O:$O,"방문완료")+COUNTIFS(실시간콜입력!$B:$B,$A220,실시간콜입력!$E:$E,"B",실시간콜입력!$H:$H,$B220,실시간콜입력!$O:$O,"방문완료")</f>
        <v>0</v>
      </c>
      <c r="H220" s="29">
        <f>COUNTIFS(실시간콜입력!$B:$B,$A220,실시간콜입력!$E:$E,"C",실시간콜입력!$G:$G,$B220,실시간콜입력!$O:$O,"방문완료")+COUNTIFS(실시간콜입력!$B:$B,$A220,실시간콜입력!$E:$E,"C",실시간콜입력!$H:$H,$B220,실시간콜입력!$O:$O,"방문완료")</f>
        <v>0</v>
      </c>
      <c r="I220" s="29">
        <f>COUNTIFS(실시간콜입력!$B:$B,$A220,실시간콜입력!$E:$E,"D",실시간콜입력!$G:$G,$B220,실시간콜입력!$O:$O,"방문완료")+COUNTIFS(실시간콜입력!$B:$B,$A220,실시간콜입력!$E:$E,"D",실시간콜입력!$H:$H,$B220,실시간콜입력!$O:$O,"방문완료")</f>
        <v>0</v>
      </c>
      <c r="J220" s="29">
        <f>COUNTIFS(실시간콜입력!$B:$B,$A220,실시간콜입력!$E:$E,"E",실시간콜입력!$G:$G,$B220,실시간콜입력!$O:$O,"방문완료")+COUNTIFS(실시간콜입력!$B:$B,$A220,실시간콜입력!$E:$E,"E",실시간콜입력!$H:$H,$B220,실시간콜입력!$O:$O,"방문완료")</f>
        <v>0</v>
      </c>
      <c r="K220" s="29">
        <f t="shared" si="30"/>
        <v>0</v>
      </c>
      <c r="L220" s="33">
        <f>SUMIFS(실시간콜입력!$K:$K,실시간콜입력!$B:$B,$A220,실시간콜입력!$G:$G,$B220,실시간콜입력!$O:$O,"방문완료")+SUMIFS(실시간콜입력!$L:$L,실시간콜입력!$B:$B,$A220,실시간콜입력!$H:$H,$B220,실시간콜입력!$O:$O,"방문완료")</f>
        <v>0</v>
      </c>
      <c r="M220" s="29" t="str">
        <f t="shared" si="31"/>
        <v/>
      </c>
      <c r="N220" s="29"/>
    </row>
    <row r="221" spans="1:14" ht="19.5" hidden="1" customHeight="1" outlineLevel="1">
      <c r="A221" s="24">
        <f>IF(5&lt;=DAY(DATE(YEAR(설정_코스수당!$K$2),MONTH(설정_코스수당!$K$2)+1,0)),DATE(YEAR(설정_코스수당!$K$2),MONTH(설정_코스수당!$K$2),5),"")</f>
        <v>46178</v>
      </c>
      <c r="B221" s="23" t="s">
        <v>169</v>
      </c>
      <c r="C221" s="29"/>
      <c r="D221" s="29"/>
      <c r="E221" s="29" t="str">
        <f t="shared" si="29"/>
        <v/>
      </c>
      <c r="F221" s="29">
        <f>COUNTIFS(실시간콜입력!$B:$B,$A221,실시간콜입력!$E:$E,"A",실시간콜입력!$G:$G,$B221,실시간콜입력!$O:$O,"방문완료")+COUNTIFS(실시간콜입력!$B:$B,$A221,실시간콜입력!$E:$E,"A",실시간콜입력!$H:$H,$B221,실시간콜입력!$O:$O,"방문완료")</f>
        <v>0</v>
      </c>
      <c r="G221" s="29">
        <f>COUNTIFS(실시간콜입력!$B:$B,$A221,실시간콜입력!$E:$E,"B",실시간콜입력!$G:$G,$B221,실시간콜입력!$O:$O,"방문완료")+COUNTIFS(실시간콜입력!$B:$B,$A221,실시간콜입력!$E:$E,"B",실시간콜입력!$H:$H,$B221,실시간콜입력!$O:$O,"방문완료")</f>
        <v>0</v>
      </c>
      <c r="H221" s="29">
        <f>COUNTIFS(실시간콜입력!$B:$B,$A221,실시간콜입력!$E:$E,"C",실시간콜입력!$G:$G,$B221,실시간콜입력!$O:$O,"방문완료")+COUNTIFS(실시간콜입력!$B:$B,$A221,실시간콜입력!$E:$E,"C",실시간콜입력!$H:$H,$B221,실시간콜입력!$O:$O,"방문완료")</f>
        <v>0</v>
      </c>
      <c r="I221" s="29">
        <f>COUNTIFS(실시간콜입력!$B:$B,$A221,실시간콜입력!$E:$E,"D",실시간콜입력!$G:$G,$B221,실시간콜입력!$O:$O,"방문완료")+COUNTIFS(실시간콜입력!$B:$B,$A221,실시간콜입력!$E:$E,"D",실시간콜입력!$H:$H,$B221,실시간콜입력!$O:$O,"방문완료")</f>
        <v>0</v>
      </c>
      <c r="J221" s="29">
        <f>COUNTIFS(실시간콜입력!$B:$B,$A221,실시간콜입력!$E:$E,"E",실시간콜입력!$G:$G,$B221,실시간콜입력!$O:$O,"방문완료")+COUNTIFS(실시간콜입력!$B:$B,$A221,실시간콜입력!$E:$E,"E",실시간콜입력!$H:$H,$B221,실시간콜입력!$O:$O,"방문완료")</f>
        <v>0</v>
      </c>
      <c r="K221" s="29">
        <f t="shared" si="30"/>
        <v>0</v>
      </c>
      <c r="L221" s="27">
        <f>SUMIFS(실시간콜입력!$K:$K,실시간콜입력!$B:$B,$A221,실시간콜입력!$G:$G,$B221,실시간콜입력!$O:$O,"방문완료")+SUMIFS(실시간콜입력!$L:$L,실시간콜입력!$B:$B,$A221,실시간콜입력!$H:$H,$B221,실시간콜입력!$O:$O,"방문완료")</f>
        <v>0</v>
      </c>
      <c r="M221" s="29" t="str">
        <f t="shared" si="31"/>
        <v/>
      </c>
      <c r="N221" s="29"/>
    </row>
    <row r="222" spans="1:14" ht="19.5" hidden="1" customHeight="1" outlineLevel="1">
      <c r="A222" s="30">
        <f>IF(5&lt;=DAY(DATE(YEAR(설정_코스수당!$K$2),MONTH(설정_코스수당!$K$2)+1,0)),DATE(YEAR(설정_코스수당!$K$2),MONTH(설정_코스수당!$K$2),5),"")</f>
        <v>46178</v>
      </c>
      <c r="B222" s="29" t="s">
        <v>170</v>
      </c>
      <c r="C222" s="29"/>
      <c r="D222" s="29"/>
      <c r="E222" s="29" t="str">
        <f t="shared" si="29"/>
        <v/>
      </c>
      <c r="F222" s="29">
        <f>COUNTIFS(실시간콜입력!$B:$B,$A222,실시간콜입력!$E:$E,"A",실시간콜입력!$G:$G,$B222,실시간콜입력!$O:$O,"방문완료")+COUNTIFS(실시간콜입력!$B:$B,$A222,실시간콜입력!$E:$E,"A",실시간콜입력!$H:$H,$B222,실시간콜입력!$O:$O,"방문완료")</f>
        <v>0</v>
      </c>
      <c r="G222" s="29">
        <f>COUNTIFS(실시간콜입력!$B:$B,$A222,실시간콜입력!$E:$E,"B",실시간콜입력!$G:$G,$B222,실시간콜입력!$O:$O,"방문완료")+COUNTIFS(실시간콜입력!$B:$B,$A222,실시간콜입력!$E:$E,"B",실시간콜입력!$H:$H,$B222,실시간콜입력!$O:$O,"방문완료")</f>
        <v>0</v>
      </c>
      <c r="H222" s="29">
        <f>COUNTIFS(실시간콜입력!$B:$B,$A222,실시간콜입력!$E:$E,"C",실시간콜입력!$G:$G,$B222,실시간콜입력!$O:$O,"방문완료")+COUNTIFS(실시간콜입력!$B:$B,$A222,실시간콜입력!$E:$E,"C",실시간콜입력!$H:$H,$B222,실시간콜입력!$O:$O,"방문완료")</f>
        <v>0</v>
      </c>
      <c r="I222" s="29">
        <f>COUNTIFS(실시간콜입력!$B:$B,$A222,실시간콜입력!$E:$E,"D",실시간콜입력!$G:$G,$B222,실시간콜입력!$O:$O,"방문완료")+COUNTIFS(실시간콜입력!$B:$B,$A222,실시간콜입력!$E:$E,"D",실시간콜입력!$H:$H,$B222,실시간콜입력!$O:$O,"방문완료")</f>
        <v>0</v>
      </c>
      <c r="J222" s="29">
        <f>COUNTIFS(실시간콜입력!$B:$B,$A222,실시간콜입력!$E:$E,"E",실시간콜입력!$G:$G,$B222,실시간콜입력!$O:$O,"방문완료")+COUNTIFS(실시간콜입력!$B:$B,$A222,실시간콜입력!$E:$E,"E",실시간콜입력!$H:$H,$B222,실시간콜입력!$O:$O,"방문완료")</f>
        <v>0</v>
      </c>
      <c r="K222" s="29">
        <f t="shared" si="30"/>
        <v>0</v>
      </c>
      <c r="L222" s="33">
        <f>SUMIFS(실시간콜입력!$K:$K,실시간콜입력!$B:$B,$A222,실시간콜입력!$G:$G,$B222,실시간콜입력!$O:$O,"방문완료")+SUMIFS(실시간콜입력!$L:$L,실시간콜입력!$B:$B,$A222,실시간콜입력!$H:$H,$B222,실시간콜입력!$O:$O,"방문완료")</f>
        <v>0</v>
      </c>
      <c r="M222" s="29" t="str">
        <f t="shared" si="31"/>
        <v/>
      </c>
      <c r="N222" s="29"/>
    </row>
    <row r="223" spans="1:14" ht="19.5" hidden="1" customHeight="1" outlineLevel="1">
      <c r="A223" s="24">
        <f>IF(5&lt;=DAY(DATE(YEAR(설정_코스수당!$K$2),MONTH(설정_코스수당!$K$2)+1,0)),DATE(YEAR(설정_코스수당!$K$2),MONTH(설정_코스수당!$K$2),5),"")</f>
        <v>46178</v>
      </c>
      <c r="B223" s="23" t="s">
        <v>171</v>
      </c>
      <c r="C223" s="29"/>
      <c r="D223" s="29"/>
      <c r="E223" s="29" t="str">
        <f t="shared" si="29"/>
        <v/>
      </c>
      <c r="F223" s="29">
        <f>COUNTIFS(실시간콜입력!$B:$B,$A223,실시간콜입력!$E:$E,"A",실시간콜입력!$G:$G,$B223,실시간콜입력!$O:$O,"방문완료")+COUNTIFS(실시간콜입력!$B:$B,$A223,실시간콜입력!$E:$E,"A",실시간콜입력!$H:$H,$B223,실시간콜입력!$O:$O,"방문완료")</f>
        <v>0</v>
      </c>
      <c r="G223" s="29">
        <f>COUNTIFS(실시간콜입력!$B:$B,$A223,실시간콜입력!$E:$E,"B",실시간콜입력!$G:$G,$B223,실시간콜입력!$O:$O,"방문완료")+COUNTIFS(실시간콜입력!$B:$B,$A223,실시간콜입력!$E:$E,"B",실시간콜입력!$H:$H,$B223,실시간콜입력!$O:$O,"방문완료")</f>
        <v>0</v>
      </c>
      <c r="H223" s="29">
        <f>COUNTIFS(실시간콜입력!$B:$B,$A223,실시간콜입력!$E:$E,"C",실시간콜입력!$G:$G,$B223,실시간콜입력!$O:$O,"방문완료")+COUNTIFS(실시간콜입력!$B:$B,$A223,실시간콜입력!$E:$E,"C",실시간콜입력!$H:$H,$B223,실시간콜입력!$O:$O,"방문완료")</f>
        <v>0</v>
      </c>
      <c r="I223" s="29">
        <f>COUNTIFS(실시간콜입력!$B:$B,$A223,실시간콜입력!$E:$E,"D",실시간콜입력!$G:$G,$B223,실시간콜입력!$O:$O,"방문완료")+COUNTIFS(실시간콜입력!$B:$B,$A223,실시간콜입력!$E:$E,"D",실시간콜입력!$H:$H,$B223,실시간콜입력!$O:$O,"방문완료")</f>
        <v>0</v>
      </c>
      <c r="J223" s="29">
        <f>COUNTIFS(실시간콜입력!$B:$B,$A223,실시간콜입력!$E:$E,"E",실시간콜입력!$G:$G,$B223,실시간콜입력!$O:$O,"방문완료")+COUNTIFS(실시간콜입력!$B:$B,$A223,실시간콜입력!$E:$E,"E",실시간콜입력!$H:$H,$B223,실시간콜입력!$O:$O,"방문완료")</f>
        <v>0</v>
      </c>
      <c r="K223" s="29">
        <f t="shared" si="30"/>
        <v>0</v>
      </c>
      <c r="L223" s="27">
        <f>SUMIFS(실시간콜입력!$K:$K,실시간콜입력!$B:$B,$A223,실시간콜입력!$G:$G,$B223,실시간콜입력!$O:$O,"방문완료")+SUMIFS(실시간콜입력!$L:$L,실시간콜입력!$B:$B,$A223,실시간콜입력!$H:$H,$B223,실시간콜입력!$O:$O,"방문완료")</f>
        <v>0</v>
      </c>
      <c r="M223" s="29" t="str">
        <f t="shared" si="31"/>
        <v/>
      </c>
      <c r="N223" s="29"/>
    </row>
    <row r="224" spans="1:14" ht="19.5" hidden="1" customHeight="1" outlineLevel="1">
      <c r="A224" s="30">
        <f>IF(5&lt;=DAY(DATE(YEAR(설정_코스수당!$K$2),MONTH(설정_코스수당!$K$2)+1,0)),DATE(YEAR(설정_코스수당!$K$2),MONTH(설정_코스수당!$K$2),5),"")</f>
        <v>46178</v>
      </c>
      <c r="B224" s="29" t="s">
        <v>172</v>
      </c>
      <c r="C224" s="29"/>
      <c r="D224" s="29"/>
      <c r="E224" s="29" t="str">
        <f t="shared" si="29"/>
        <v/>
      </c>
      <c r="F224" s="29">
        <f>COUNTIFS(실시간콜입력!$B:$B,$A224,실시간콜입력!$E:$E,"A",실시간콜입력!$G:$G,$B224,실시간콜입력!$O:$O,"방문완료")+COUNTIFS(실시간콜입력!$B:$B,$A224,실시간콜입력!$E:$E,"A",실시간콜입력!$H:$H,$B224,실시간콜입력!$O:$O,"방문완료")</f>
        <v>0</v>
      </c>
      <c r="G224" s="29">
        <f>COUNTIFS(실시간콜입력!$B:$B,$A224,실시간콜입력!$E:$E,"B",실시간콜입력!$G:$G,$B224,실시간콜입력!$O:$O,"방문완료")+COUNTIFS(실시간콜입력!$B:$B,$A224,실시간콜입력!$E:$E,"B",실시간콜입력!$H:$H,$B224,실시간콜입력!$O:$O,"방문완료")</f>
        <v>0</v>
      </c>
      <c r="H224" s="29">
        <f>COUNTIFS(실시간콜입력!$B:$B,$A224,실시간콜입력!$E:$E,"C",실시간콜입력!$G:$G,$B224,실시간콜입력!$O:$O,"방문완료")+COUNTIFS(실시간콜입력!$B:$B,$A224,실시간콜입력!$E:$E,"C",실시간콜입력!$H:$H,$B224,실시간콜입력!$O:$O,"방문완료")</f>
        <v>0</v>
      </c>
      <c r="I224" s="29">
        <f>COUNTIFS(실시간콜입력!$B:$B,$A224,실시간콜입력!$E:$E,"D",실시간콜입력!$G:$G,$B224,실시간콜입력!$O:$O,"방문완료")+COUNTIFS(실시간콜입력!$B:$B,$A224,실시간콜입력!$E:$E,"D",실시간콜입력!$H:$H,$B224,실시간콜입력!$O:$O,"방문완료")</f>
        <v>0</v>
      </c>
      <c r="J224" s="29">
        <f>COUNTIFS(실시간콜입력!$B:$B,$A224,실시간콜입력!$E:$E,"E",실시간콜입력!$G:$G,$B224,실시간콜입력!$O:$O,"방문완료")+COUNTIFS(실시간콜입력!$B:$B,$A224,실시간콜입력!$E:$E,"E",실시간콜입력!$H:$H,$B224,실시간콜입력!$O:$O,"방문완료")</f>
        <v>0</v>
      </c>
      <c r="K224" s="29">
        <f t="shared" si="30"/>
        <v>0</v>
      </c>
      <c r="L224" s="33">
        <f>SUMIFS(실시간콜입력!$K:$K,실시간콜입력!$B:$B,$A224,실시간콜입력!$G:$G,$B224,실시간콜입력!$O:$O,"방문완료")+SUMIFS(실시간콜입력!$L:$L,실시간콜입력!$B:$B,$A224,실시간콜입력!$H:$H,$B224,실시간콜입력!$O:$O,"방문완료")</f>
        <v>0</v>
      </c>
      <c r="M224" s="29" t="str">
        <f t="shared" si="31"/>
        <v/>
      </c>
      <c r="N224" s="29"/>
    </row>
    <row r="225" spans="1:14" ht="19.5" hidden="1" customHeight="1" outlineLevel="1">
      <c r="A225" s="24">
        <f>IF(5&lt;=DAY(DATE(YEAR(설정_코스수당!$K$2),MONTH(설정_코스수당!$K$2)+1,0)),DATE(YEAR(설정_코스수당!$K$2),MONTH(설정_코스수당!$K$2),5),"")</f>
        <v>46178</v>
      </c>
      <c r="B225" s="23" t="s">
        <v>173</v>
      </c>
      <c r="C225" s="29"/>
      <c r="D225" s="29"/>
      <c r="E225" s="29" t="str">
        <f t="shared" si="29"/>
        <v/>
      </c>
      <c r="F225" s="29">
        <f>COUNTIFS(실시간콜입력!$B:$B,$A225,실시간콜입력!$E:$E,"A",실시간콜입력!$G:$G,$B225,실시간콜입력!$O:$O,"방문완료")+COUNTIFS(실시간콜입력!$B:$B,$A225,실시간콜입력!$E:$E,"A",실시간콜입력!$H:$H,$B225,실시간콜입력!$O:$O,"방문완료")</f>
        <v>0</v>
      </c>
      <c r="G225" s="29">
        <f>COUNTIFS(실시간콜입력!$B:$B,$A225,실시간콜입력!$E:$E,"B",실시간콜입력!$G:$G,$B225,실시간콜입력!$O:$O,"방문완료")+COUNTIFS(실시간콜입력!$B:$B,$A225,실시간콜입력!$E:$E,"B",실시간콜입력!$H:$H,$B225,실시간콜입력!$O:$O,"방문완료")</f>
        <v>0</v>
      </c>
      <c r="H225" s="29">
        <f>COUNTIFS(실시간콜입력!$B:$B,$A225,실시간콜입력!$E:$E,"C",실시간콜입력!$G:$G,$B225,실시간콜입력!$O:$O,"방문완료")+COUNTIFS(실시간콜입력!$B:$B,$A225,실시간콜입력!$E:$E,"C",실시간콜입력!$H:$H,$B225,실시간콜입력!$O:$O,"방문완료")</f>
        <v>0</v>
      </c>
      <c r="I225" s="29">
        <f>COUNTIFS(실시간콜입력!$B:$B,$A225,실시간콜입력!$E:$E,"D",실시간콜입력!$G:$G,$B225,실시간콜입력!$O:$O,"방문완료")+COUNTIFS(실시간콜입력!$B:$B,$A225,실시간콜입력!$E:$E,"D",실시간콜입력!$H:$H,$B225,실시간콜입력!$O:$O,"방문완료")</f>
        <v>0</v>
      </c>
      <c r="J225" s="29">
        <f>COUNTIFS(실시간콜입력!$B:$B,$A225,실시간콜입력!$E:$E,"E",실시간콜입력!$G:$G,$B225,실시간콜입력!$O:$O,"방문완료")+COUNTIFS(실시간콜입력!$B:$B,$A225,실시간콜입력!$E:$E,"E",실시간콜입력!$H:$H,$B225,실시간콜입력!$O:$O,"방문완료")</f>
        <v>0</v>
      </c>
      <c r="K225" s="29">
        <f t="shared" si="30"/>
        <v>0</v>
      </c>
      <c r="L225" s="27">
        <f>SUMIFS(실시간콜입력!$K:$K,실시간콜입력!$B:$B,$A225,실시간콜입력!$G:$G,$B225,실시간콜입력!$O:$O,"방문완료")+SUMIFS(실시간콜입력!$L:$L,실시간콜입력!$B:$B,$A225,실시간콜입력!$H:$H,$B225,실시간콜입력!$O:$O,"방문완료")</f>
        <v>0</v>
      </c>
      <c r="M225" s="29" t="str">
        <f t="shared" si="31"/>
        <v/>
      </c>
      <c r="N225" s="29"/>
    </row>
    <row r="226" spans="1:14" ht="19.5" hidden="1" customHeight="1" outlineLevel="1">
      <c r="A226" s="30">
        <f>IF(5&lt;=DAY(DATE(YEAR(설정_코스수당!$K$2),MONTH(설정_코스수당!$K$2)+1,0)),DATE(YEAR(설정_코스수당!$K$2),MONTH(설정_코스수당!$K$2),5),"")</f>
        <v>46178</v>
      </c>
      <c r="B226" s="29" t="s">
        <v>174</v>
      </c>
      <c r="C226" s="29"/>
      <c r="D226" s="29"/>
      <c r="E226" s="29" t="str">
        <f t="shared" si="29"/>
        <v/>
      </c>
      <c r="F226" s="29">
        <f>COUNTIFS(실시간콜입력!$B:$B,$A226,실시간콜입력!$E:$E,"A",실시간콜입력!$G:$G,$B226,실시간콜입력!$O:$O,"방문완료")+COUNTIFS(실시간콜입력!$B:$B,$A226,실시간콜입력!$E:$E,"A",실시간콜입력!$H:$H,$B226,실시간콜입력!$O:$O,"방문완료")</f>
        <v>0</v>
      </c>
      <c r="G226" s="29">
        <f>COUNTIFS(실시간콜입력!$B:$B,$A226,실시간콜입력!$E:$E,"B",실시간콜입력!$G:$G,$B226,실시간콜입력!$O:$O,"방문완료")+COUNTIFS(실시간콜입력!$B:$B,$A226,실시간콜입력!$E:$E,"B",실시간콜입력!$H:$H,$B226,실시간콜입력!$O:$O,"방문완료")</f>
        <v>0</v>
      </c>
      <c r="H226" s="29">
        <f>COUNTIFS(실시간콜입력!$B:$B,$A226,실시간콜입력!$E:$E,"C",실시간콜입력!$G:$G,$B226,실시간콜입력!$O:$O,"방문완료")+COUNTIFS(실시간콜입력!$B:$B,$A226,실시간콜입력!$E:$E,"C",실시간콜입력!$H:$H,$B226,실시간콜입력!$O:$O,"방문완료")</f>
        <v>0</v>
      </c>
      <c r="I226" s="29">
        <f>COUNTIFS(실시간콜입력!$B:$B,$A226,실시간콜입력!$E:$E,"D",실시간콜입력!$G:$G,$B226,실시간콜입력!$O:$O,"방문완료")+COUNTIFS(실시간콜입력!$B:$B,$A226,실시간콜입력!$E:$E,"D",실시간콜입력!$H:$H,$B226,실시간콜입력!$O:$O,"방문완료")</f>
        <v>0</v>
      </c>
      <c r="J226" s="29">
        <f>COUNTIFS(실시간콜입력!$B:$B,$A226,실시간콜입력!$E:$E,"E",실시간콜입력!$G:$G,$B226,실시간콜입력!$O:$O,"방문완료")+COUNTIFS(실시간콜입력!$B:$B,$A226,실시간콜입력!$E:$E,"E",실시간콜입력!$H:$H,$B226,실시간콜입력!$O:$O,"방문완료")</f>
        <v>0</v>
      </c>
      <c r="K226" s="29">
        <f t="shared" si="30"/>
        <v>0</v>
      </c>
      <c r="L226" s="33">
        <f>SUMIFS(실시간콜입력!$K:$K,실시간콜입력!$B:$B,$A226,실시간콜입력!$G:$G,$B226,실시간콜입력!$O:$O,"방문완료")+SUMIFS(실시간콜입력!$L:$L,실시간콜입력!$B:$B,$A226,실시간콜입력!$H:$H,$B226,실시간콜입력!$O:$O,"방문완료")</f>
        <v>0</v>
      </c>
      <c r="M226" s="29" t="str">
        <f t="shared" si="31"/>
        <v/>
      </c>
      <c r="N226" s="29"/>
    </row>
    <row r="227" spans="1:14" ht="19.5" hidden="1" customHeight="1" outlineLevel="1">
      <c r="A227" s="24">
        <f>IF(5&lt;=DAY(DATE(YEAR(설정_코스수당!$K$2),MONTH(설정_코스수당!$K$2)+1,0)),DATE(YEAR(설정_코스수당!$K$2),MONTH(설정_코스수당!$K$2),5),"")</f>
        <v>46178</v>
      </c>
      <c r="B227" s="23" t="s">
        <v>175</v>
      </c>
      <c r="C227" s="29"/>
      <c r="D227" s="29"/>
      <c r="E227" s="29" t="str">
        <f t="shared" si="29"/>
        <v/>
      </c>
      <c r="F227" s="29">
        <f>COUNTIFS(실시간콜입력!$B:$B,$A227,실시간콜입력!$E:$E,"A",실시간콜입력!$G:$G,$B227,실시간콜입력!$O:$O,"방문완료")+COUNTIFS(실시간콜입력!$B:$B,$A227,실시간콜입력!$E:$E,"A",실시간콜입력!$H:$H,$B227,실시간콜입력!$O:$O,"방문완료")</f>
        <v>0</v>
      </c>
      <c r="G227" s="29">
        <f>COUNTIFS(실시간콜입력!$B:$B,$A227,실시간콜입력!$E:$E,"B",실시간콜입력!$G:$G,$B227,실시간콜입력!$O:$O,"방문완료")+COUNTIFS(실시간콜입력!$B:$B,$A227,실시간콜입력!$E:$E,"B",실시간콜입력!$H:$H,$B227,실시간콜입력!$O:$O,"방문완료")</f>
        <v>0</v>
      </c>
      <c r="H227" s="29">
        <f>COUNTIFS(실시간콜입력!$B:$B,$A227,실시간콜입력!$E:$E,"C",실시간콜입력!$G:$G,$B227,실시간콜입력!$O:$O,"방문완료")+COUNTIFS(실시간콜입력!$B:$B,$A227,실시간콜입력!$E:$E,"C",실시간콜입력!$H:$H,$B227,실시간콜입력!$O:$O,"방문완료")</f>
        <v>0</v>
      </c>
      <c r="I227" s="29">
        <f>COUNTIFS(실시간콜입력!$B:$B,$A227,실시간콜입력!$E:$E,"D",실시간콜입력!$G:$G,$B227,실시간콜입력!$O:$O,"방문완료")+COUNTIFS(실시간콜입력!$B:$B,$A227,실시간콜입력!$E:$E,"D",실시간콜입력!$H:$H,$B227,실시간콜입력!$O:$O,"방문완료")</f>
        <v>0</v>
      </c>
      <c r="J227" s="29">
        <f>COUNTIFS(실시간콜입력!$B:$B,$A227,실시간콜입력!$E:$E,"E",실시간콜입력!$G:$G,$B227,실시간콜입력!$O:$O,"방문완료")+COUNTIFS(실시간콜입력!$B:$B,$A227,실시간콜입력!$E:$E,"E",실시간콜입력!$H:$H,$B227,실시간콜입력!$O:$O,"방문완료")</f>
        <v>0</v>
      </c>
      <c r="K227" s="29">
        <f t="shared" si="30"/>
        <v>0</v>
      </c>
      <c r="L227" s="27">
        <f>SUMIFS(실시간콜입력!$K:$K,실시간콜입력!$B:$B,$A227,실시간콜입력!$G:$G,$B227,실시간콜입력!$O:$O,"방문완료")+SUMIFS(실시간콜입력!$L:$L,실시간콜입력!$B:$B,$A227,실시간콜입력!$H:$H,$B227,실시간콜입력!$O:$O,"방문완료")</f>
        <v>0</v>
      </c>
      <c r="M227" s="29" t="str">
        <f t="shared" si="31"/>
        <v/>
      </c>
      <c r="N227" s="29"/>
    </row>
    <row r="228" spans="1:14" ht="19.5" hidden="1" customHeight="1" outlineLevel="1">
      <c r="A228" s="30">
        <f>IF(5&lt;=DAY(DATE(YEAR(설정_코스수당!$K$2),MONTH(설정_코스수당!$K$2)+1,0)),DATE(YEAR(설정_코스수당!$K$2),MONTH(설정_코스수당!$K$2),5),"")</f>
        <v>46178</v>
      </c>
      <c r="B228" s="29" t="s">
        <v>176</v>
      </c>
      <c r="C228" s="29"/>
      <c r="D228" s="29"/>
      <c r="E228" s="29" t="str">
        <f t="shared" si="29"/>
        <v/>
      </c>
      <c r="F228" s="29">
        <f>COUNTIFS(실시간콜입력!$B:$B,$A228,실시간콜입력!$E:$E,"A",실시간콜입력!$G:$G,$B228,실시간콜입력!$O:$O,"방문완료")+COUNTIFS(실시간콜입력!$B:$B,$A228,실시간콜입력!$E:$E,"A",실시간콜입력!$H:$H,$B228,실시간콜입력!$O:$O,"방문완료")</f>
        <v>0</v>
      </c>
      <c r="G228" s="29">
        <f>COUNTIFS(실시간콜입력!$B:$B,$A228,실시간콜입력!$E:$E,"B",실시간콜입력!$G:$G,$B228,실시간콜입력!$O:$O,"방문완료")+COUNTIFS(실시간콜입력!$B:$B,$A228,실시간콜입력!$E:$E,"B",실시간콜입력!$H:$H,$B228,실시간콜입력!$O:$O,"방문완료")</f>
        <v>0</v>
      </c>
      <c r="H228" s="29">
        <f>COUNTIFS(실시간콜입력!$B:$B,$A228,실시간콜입력!$E:$E,"C",실시간콜입력!$G:$G,$B228,실시간콜입력!$O:$O,"방문완료")+COUNTIFS(실시간콜입력!$B:$B,$A228,실시간콜입력!$E:$E,"C",실시간콜입력!$H:$H,$B228,실시간콜입력!$O:$O,"방문완료")</f>
        <v>0</v>
      </c>
      <c r="I228" s="29">
        <f>COUNTIFS(실시간콜입력!$B:$B,$A228,실시간콜입력!$E:$E,"D",실시간콜입력!$G:$G,$B228,실시간콜입력!$O:$O,"방문완료")+COUNTIFS(실시간콜입력!$B:$B,$A228,실시간콜입력!$E:$E,"D",실시간콜입력!$H:$H,$B228,실시간콜입력!$O:$O,"방문완료")</f>
        <v>0</v>
      </c>
      <c r="J228" s="29">
        <f>COUNTIFS(실시간콜입력!$B:$B,$A228,실시간콜입력!$E:$E,"E",실시간콜입력!$G:$G,$B228,실시간콜입력!$O:$O,"방문완료")+COUNTIFS(실시간콜입력!$B:$B,$A228,실시간콜입력!$E:$E,"E",실시간콜입력!$H:$H,$B228,실시간콜입력!$O:$O,"방문완료")</f>
        <v>0</v>
      </c>
      <c r="K228" s="29">
        <f t="shared" si="30"/>
        <v>0</v>
      </c>
      <c r="L228" s="33">
        <f>SUMIFS(실시간콜입력!$K:$K,실시간콜입력!$B:$B,$A228,실시간콜입력!$G:$G,$B228,실시간콜입력!$O:$O,"방문완료")+SUMIFS(실시간콜입력!$L:$L,실시간콜입력!$B:$B,$A228,실시간콜입력!$H:$H,$B228,실시간콜입력!$O:$O,"방문완료")</f>
        <v>0</v>
      </c>
      <c r="M228" s="29" t="str">
        <f t="shared" si="31"/>
        <v/>
      </c>
      <c r="N228" s="29"/>
    </row>
    <row r="229" spans="1:14" ht="19.5" hidden="1" customHeight="1" outlineLevel="1">
      <c r="A229" s="24">
        <f>IF(5&lt;=DAY(DATE(YEAR(설정_코스수당!$K$2),MONTH(설정_코스수당!$K$2)+1,0)),DATE(YEAR(설정_코스수당!$K$2),MONTH(설정_코스수당!$K$2),5),"")</f>
        <v>46178</v>
      </c>
      <c r="B229" s="23" t="s">
        <v>177</v>
      </c>
      <c r="C229" s="29"/>
      <c r="D229" s="29"/>
      <c r="E229" s="29" t="str">
        <f t="shared" si="29"/>
        <v/>
      </c>
      <c r="F229" s="29">
        <f>COUNTIFS(실시간콜입력!$B:$B,$A229,실시간콜입력!$E:$E,"A",실시간콜입력!$G:$G,$B229,실시간콜입력!$O:$O,"방문완료")+COUNTIFS(실시간콜입력!$B:$B,$A229,실시간콜입력!$E:$E,"A",실시간콜입력!$H:$H,$B229,실시간콜입력!$O:$O,"방문완료")</f>
        <v>0</v>
      </c>
      <c r="G229" s="29">
        <f>COUNTIFS(실시간콜입력!$B:$B,$A229,실시간콜입력!$E:$E,"B",실시간콜입력!$G:$G,$B229,실시간콜입력!$O:$O,"방문완료")+COUNTIFS(실시간콜입력!$B:$B,$A229,실시간콜입력!$E:$E,"B",실시간콜입력!$H:$H,$B229,실시간콜입력!$O:$O,"방문완료")</f>
        <v>0</v>
      </c>
      <c r="H229" s="29">
        <f>COUNTIFS(실시간콜입력!$B:$B,$A229,실시간콜입력!$E:$E,"C",실시간콜입력!$G:$G,$B229,실시간콜입력!$O:$O,"방문완료")+COUNTIFS(실시간콜입력!$B:$B,$A229,실시간콜입력!$E:$E,"C",실시간콜입력!$H:$H,$B229,실시간콜입력!$O:$O,"방문완료")</f>
        <v>0</v>
      </c>
      <c r="I229" s="29">
        <f>COUNTIFS(실시간콜입력!$B:$B,$A229,실시간콜입력!$E:$E,"D",실시간콜입력!$G:$G,$B229,실시간콜입력!$O:$O,"방문완료")+COUNTIFS(실시간콜입력!$B:$B,$A229,실시간콜입력!$E:$E,"D",실시간콜입력!$H:$H,$B229,실시간콜입력!$O:$O,"방문완료")</f>
        <v>0</v>
      </c>
      <c r="J229" s="29">
        <f>COUNTIFS(실시간콜입력!$B:$B,$A229,실시간콜입력!$E:$E,"E",실시간콜입력!$G:$G,$B229,실시간콜입력!$O:$O,"방문완료")+COUNTIFS(실시간콜입력!$B:$B,$A229,실시간콜입력!$E:$E,"E",실시간콜입력!$H:$H,$B229,실시간콜입력!$O:$O,"방문완료")</f>
        <v>0</v>
      </c>
      <c r="K229" s="29">
        <f t="shared" si="30"/>
        <v>0</v>
      </c>
      <c r="L229" s="27">
        <f>SUMIFS(실시간콜입력!$K:$K,실시간콜입력!$B:$B,$A229,실시간콜입력!$G:$G,$B229,실시간콜입력!$O:$O,"방문완료")+SUMIFS(실시간콜입력!$L:$L,실시간콜입력!$B:$B,$A229,실시간콜입력!$H:$H,$B229,실시간콜입력!$O:$O,"방문완료")</f>
        <v>0</v>
      </c>
      <c r="M229" s="29" t="str">
        <f t="shared" si="31"/>
        <v/>
      </c>
      <c r="N229" s="29"/>
    </row>
    <row r="230" spans="1:14" ht="19.5" hidden="1" customHeight="1" outlineLevel="1">
      <c r="A230" s="30">
        <f>IF(5&lt;=DAY(DATE(YEAR(설정_코스수당!$K$2),MONTH(설정_코스수당!$K$2)+1,0)),DATE(YEAR(설정_코스수당!$K$2),MONTH(설정_코스수당!$K$2),5),"")</f>
        <v>46178</v>
      </c>
      <c r="B230" s="29" t="s">
        <v>178</v>
      </c>
      <c r="C230" s="29"/>
      <c r="D230" s="29"/>
      <c r="E230" s="29" t="str">
        <f t="shared" si="29"/>
        <v/>
      </c>
      <c r="F230" s="29">
        <f>COUNTIFS(실시간콜입력!$B:$B,$A230,실시간콜입력!$E:$E,"A",실시간콜입력!$G:$G,$B230,실시간콜입력!$O:$O,"방문완료")+COUNTIFS(실시간콜입력!$B:$B,$A230,실시간콜입력!$E:$E,"A",실시간콜입력!$H:$H,$B230,실시간콜입력!$O:$O,"방문완료")</f>
        <v>0</v>
      </c>
      <c r="G230" s="29">
        <f>COUNTIFS(실시간콜입력!$B:$B,$A230,실시간콜입력!$E:$E,"B",실시간콜입력!$G:$G,$B230,실시간콜입력!$O:$O,"방문완료")+COUNTIFS(실시간콜입력!$B:$B,$A230,실시간콜입력!$E:$E,"B",실시간콜입력!$H:$H,$B230,실시간콜입력!$O:$O,"방문완료")</f>
        <v>0</v>
      </c>
      <c r="H230" s="29">
        <f>COUNTIFS(실시간콜입력!$B:$B,$A230,실시간콜입력!$E:$E,"C",실시간콜입력!$G:$G,$B230,실시간콜입력!$O:$O,"방문완료")+COUNTIFS(실시간콜입력!$B:$B,$A230,실시간콜입력!$E:$E,"C",실시간콜입력!$H:$H,$B230,실시간콜입력!$O:$O,"방문완료")</f>
        <v>0</v>
      </c>
      <c r="I230" s="29">
        <f>COUNTIFS(실시간콜입력!$B:$B,$A230,실시간콜입력!$E:$E,"D",실시간콜입력!$G:$G,$B230,실시간콜입력!$O:$O,"방문완료")+COUNTIFS(실시간콜입력!$B:$B,$A230,실시간콜입력!$E:$E,"D",실시간콜입력!$H:$H,$B230,실시간콜입력!$O:$O,"방문완료")</f>
        <v>0</v>
      </c>
      <c r="J230" s="29">
        <f>COUNTIFS(실시간콜입력!$B:$B,$A230,실시간콜입력!$E:$E,"E",실시간콜입력!$G:$G,$B230,실시간콜입력!$O:$O,"방문완료")+COUNTIFS(실시간콜입력!$B:$B,$A230,실시간콜입력!$E:$E,"E",실시간콜입력!$H:$H,$B230,실시간콜입력!$O:$O,"방문완료")</f>
        <v>0</v>
      </c>
      <c r="K230" s="29">
        <f t="shared" si="30"/>
        <v>0</v>
      </c>
      <c r="L230" s="33">
        <f>SUMIFS(실시간콜입력!$K:$K,실시간콜입력!$B:$B,$A230,실시간콜입력!$G:$G,$B230,실시간콜입력!$O:$O,"방문완료")+SUMIFS(실시간콜입력!$L:$L,실시간콜입력!$B:$B,$A230,실시간콜입력!$H:$H,$B230,실시간콜입력!$O:$O,"방문완료")</f>
        <v>0</v>
      </c>
      <c r="M230" s="29" t="str">
        <f t="shared" si="31"/>
        <v/>
      </c>
      <c r="N230" s="29"/>
    </row>
    <row r="231" spans="1:14" ht="19.5" hidden="1" customHeight="1" outlineLevel="1">
      <c r="A231" s="24">
        <f>IF(5&lt;=DAY(DATE(YEAR(설정_코스수당!$K$2),MONTH(설정_코스수당!$K$2)+1,0)),DATE(YEAR(설정_코스수당!$K$2),MONTH(설정_코스수당!$K$2),5),"")</f>
        <v>46178</v>
      </c>
      <c r="B231" s="23" t="s">
        <v>179</v>
      </c>
      <c r="C231" s="29"/>
      <c r="D231" s="29"/>
      <c r="E231" s="29" t="str">
        <f t="shared" si="29"/>
        <v/>
      </c>
      <c r="F231" s="29">
        <f>COUNTIFS(실시간콜입력!$B:$B,$A231,실시간콜입력!$E:$E,"A",실시간콜입력!$G:$G,$B231,실시간콜입력!$O:$O,"방문완료")+COUNTIFS(실시간콜입력!$B:$B,$A231,실시간콜입력!$E:$E,"A",실시간콜입력!$H:$H,$B231,실시간콜입력!$O:$O,"방문완료")</f>
        <v>0</v>
      </c>
      <c r="G231" s="29">
        <f>COUNTIFS(실시간콜입력!$B:$B,$A231,실시간콜입력!$E:$E,"B",실시간콜입력!$G:$G,$B231,실시간콜입력!$O:$O,"방문완료")+COUNTIFS(실시간콜입력!$B:$B,$A231,실시간콜입력!$E:$E,"B",실시간콜입력!$H:$H,$B231,실시간콜입력!$O:$O,"방문완료")</f>
        <v>0</v>
      </c>
      <c r="H231" s="29">
        <f>COUNTIFS(실시간콜입력!$B:$B,$A231,실시간콜입력!$E:$E,"C",실시간콜입력!$G:$G,$B231,실시간콜입력!$O:$O,"방문완료")+COUNTIFS(실시간콜입력!$B:$B,$A231,실시간콜입력!$E:$E,"C",실시간콜입력!$H:$H,$B231,실시간콜입력!$O:$O,"방문완료")</f>
        <v>0</v>
      </c>
      <c r="I231" s="29">
        <f>COUNTIFS(실시간콜입력!$B:$B,$A231,실시간콜입력!$E:$E,"D",실시간콜입력!$G:$G,$B231,실시간콜입력!$O:$O,"방문완료")+COUNTIFS(실시간콜입력!$B:$B,$A231,실시간콜입력!$E:$E,"D",실시간콜입력!$H:$H,$B231,실시간콜입력!$O:$O,"방문완료")</f>
        <v>0</v>
      </c>
      <c r="J231" s="29">
        <f>COUNTIFS(실시간콜입력!$B:$B,$A231,실시간콜입력!$E:$E,"E",실시간콜입력!$G:$G,$B231,실시간콜입력!$O:$O,"방문완료")+COUNTIFS(실시간콜입력!$B:$B,$A231,실시간콜입력!$E:$E,"E",실시간콜입력!$H:$H,$B231,실시간콜입력!$O:$O,"방문완료")</f>
        <v>0</v>
      </c>
      <c r="K231" s="29">
        <f t="shared" si="30"/>
        <v>0</v>
      </c>
      <c r="L231" s="27">
        <f>SUMIFS(실시간콜입력!$K:$K,실시간콜입력!$B:$B,$A231,실시간콜입력!$G:$G,$B231,실시간콜입력!$O:$O,"방문완료")+SUMIFS(실시간콜입력!$L:$L,실시간콜입력!$B:$B,$A231,실시간콜입력!$H:$H,$B231,실시간콜입력!$O:$O,"방문완료")</f>
        <v>0</v>
      </c>
      <c r="M231" s="29" t="str">
        <f t="shared" si="31"/>
        <v/>
      </c>
      <c r="N231" s="29"/>
    </row>
    <row r="232" spans="1:14" ht="19.5" hidden="1" customHeight="1" outlineLevel="1">
      <c r="A232" s="30">
        <f>IF(5&lt;=DAY(DATE(YEAR(설정_코스수당!$K$2),MONTH(설정_코스수당!$K$2)+1,0)),DATE(YEAR(설정_코스수당!$K$2),MONTH(설정_코스수당!$K$2),5),"")</f>
        <v>46178</v>
      </c>
      <c r="B232" s="29" t="s">
        <v>180</v>
      </c>
      <c r="C232" s="29"/>
      <c r="D232" s="29"/>
      <c r="E232" s="29" t="str">
        <f t="shared" si="29"/>
        <v/>
      </c>
      <c r="F232" s="29">
        <f>COUNTIFS(실시간콜입력!$B:$B,$A232,실시간콜입력!$E:$E,"A",실시간콜입력!$G:$G,$B232,실시간콜입력!$O:$O,"방문완료")+COUNTIFS(실시간콜입력!$B:$B,$A232,실시간콜입력!$E:$E,"A",실시간콜입력!$H:$H,$B232,실시간콜입력!$O:$O,"방문완료")</f>
        <v>0</v>
      </c>
      <c r="G232" s="29">
        <f>COUNTIFS(실시간콜입력!$B:$B,$A232,실시간콜입력!$E:$E,"B",실시간콜입력!$G:$G,$B232,실시간콜입력!$O:$O,"방문완료")+COUNTIFS(실시간콜입력!$B:$B,$A232,실시간콜입력!$E:$E,"B",실시간콜입력!$H:$H,$B232,실시간콜입력!$O:$O,"방문완료")</f>
        <v>0</v>
      </c>
      <c r="H232" s="29">
        <f>COUNTIFS(실시간콜입력!$B:$B,$A232,실시간콜입력!$E:$E,"C",실시간콜입력!$G:$G,$B232,실시간콜입력!$O:$O,"방문완료")+COUNTIFS(실시간콜입력!$B:$B,$A232,실시간콜입력!$E:$E,"C",실시간콜입력!$H:$H,$B232,실시간콜입력!$O:$O,"방문완료")</f>
        <v>0</v>
      </c>
      <c r="I232" s="29">
        <f>COUNTIFS(실시간콜입력!$B:$B,$A232,실시간콜입력!$E:$E,"D",실시간콜입력!$G:$G,$B232,실시간콜입력!$O:$O,"방문완료")+COUNTIFS(실시간콜입력!$B:$B,$A232,실시간콜입력!$E:$E,"D",실시간콜입력!$H:$H,$B232,실시간콜입력!$O:$O,"방문완료")</f>
        <v>0</v>
      </c>
      <c r="J232" s="29">
        <f>COUNTIFS(실시간콜입력!$B:$B,$A232,실시간콜입력!$E:$E,"E",실시간콜입력!$G:$G,$B232,실시간콜입력!$O:$O,"방문완료")+COUNTIFS(실시간콜입력!$B:$B,$A232,실시간콜입력!$E:$E,"E",실시간콜입력!$H:$H,$B232,실시간콜입력!$O:$O,"방문완료")</f>
        <v>0</v>
      </c>
      <c r="K232" s="29">
        <f t="shared" si="30"/>
        <v>0</v>
      </c>
      <c r="L232" s="33">
        <f>SUMIFS(실시간콜입력!$K:$K,실시간콜입력!$B:$B,$A232,실시간콜입력!$G:$G,$B232,실시간콜입력!$O:$O,"방문완료")+SUMIFS(실시간콜입력!$L:$L,실시간콜입력!$B:$B,$A232,실시간콜입력!$H:$H,$B232,실시간콜입력!$O:$O,"방문완료")</f>
        <v>0</v>
      </c>
      <c r="M232" s="29" t="str">
        <f t="shared" si="31"/>
        <v/>
      </c>
      <c r="N232" s="29"/>
    </row>
    <row r="233" spans="1:14" ht="19.5" hidden="1" customHeight="1" outlineLevel="1">
      <c r="A233" s="24">
        <f>IF(5&lt;=DAY(DATE(YEAR(설정_코스수당!$K$2),MONTH(설정_코스수당!$K$2)+1,0)),DATE(YEAR(설정_코스수당!$K$2),MONTH(설정_코스수당!$K$2),5),"")</f>
        <v>46178</v>
      </c>
      <c r="B233" s="23" t="s">
        <v>181</v>
      </c>
      <c r="C233" s="29"/>
      <c r="D233" s="29"/>
      <c r="E233" s="29" t="str">
        <f t="shared" si="29"/>
        <v/>
      </c>
      <c r="F233" s="29">
        <f>COUNTIFS(실시간콜입력!$B:$B,$A233,실시간콜입력!$E:$E,"A",실시간콜입력!$G:$G,$B233,실시간콜입력!$O:$O,"방문완료")+COUNTIFS(실시간콜입력!$B:$B,$A233,실시간콜입력!$E:$E,"A",실시간콜입력!$H:$H,$B233,실시간콜입력!$O:$O,"방문완료")</f>
        <v>0</v>
      </c>
      <c r="G233" s="29">
        <f>COUNTIFS(실시간콜입력!$B:$B,$A233,실시간콜입력!$E:$E,"B",실시간콜입력!$G:$G,$B233,실시간콜입력!$O:$O,"방문완료")+COUNTIFS(실시간콜입력!$B:$B,$A233,실시간콜입력!$E:$E,"B",실시간콜입력!$H:$H,$B233,실시간콜입력!$O:$O,"방문완료")</f>
        <v>0</v>
      </c>
      <c r="H233" s="29">
        <f>COUNTIFS(실시간콜입력!$B:$B,$A233,실시간콜입력!$E:$E,"C",실시간콜입력!$G:$G,$B233,실시간콜입력!$O:$O,"방문완료")+COUNTIFS(실시간콜입력!$B:$B,$A233,실시간콜입력!$E:$E,"C",실시간콜입력!$H:$H,$B233,실시간콜입력!$O:$O,"방문완료")</f>
        <v>0</v>
      </c>
      <c r="I233" s="29">
        <f>COUNTIFS(실시간콜입력!$B:$B,$A233,실시간콜입력!$E:$E,"D",실시간콜입력!$G:$G,$B233,실시간콜입력!$O:$O,"방문완료")+COUNTIFS(실시간콜입력!$B:$B,$A233,실시간콜입력!$E:$E,"D",실시간콜입력!$H:$H,$B233,실시간콜입력!$O:$O,"방문완료")</f>
        <v>0</v>
      </c>
      <c r="J233" s="29">
        <f>COUNTIFS(실시간콜입력!$B:$B,$A233,실시간콜입력!$E:$E,"E",실시간콜입력!$G:$G,$B233,실시간콜입력!$O:$O,"방문완료")+COUNTIFS(실시간콜입력!$B:$B,$A233,실시간콜입력!$E:$E,"E",실시간콜입력!$H:$H,$B233,실시간콜입력!$O:$O,"방문완료")</f>
        <v>0</v>
      </c>
      <c r="K233" s="29">
        <f t="shared" si="30"/>
        <v>0</v>
      </c>
      <c r="L233" s="27">
        <f>SUMIFS(실시간콜입력!$K:$K,실시간콜입력!$B:$B,$A233,실시간콜입력!$G:$G,$B233,실시간콜입력!$O:$O,"방문완료")+SUMIFS(실시간콜입력!$L:$L,실시간콜입력!$B:$B,$A233,실시간콜입력!$H:$H,$B233,실시간콜입력!$O:$O,"방문완료")</f>
        <v>0</v>
      </c>
      <c r="M233" s="29" t="str">
        <f t="shared" si="31"/>
        <v/>
      </c>
      <c r="N233" s="29"/>
    </row>
    <row r="234" spans="1:14" ht="19.5" hidden="1" customHeight="1" outlineLevel="1">
      <c r="A234" s="30">
        <f>IF(5&lt;=DAY(DATE(YEAR(설정_코스수당!$K$2),MONTH(설정_코스수당!$K$2)+1,0)),DATE(YEAR(설정_코스수당!$K$2),MONTH(설정_코스수당!$K$2),5),"")</f>
        <v>46178</v>
      </c>
      <c r="B234" s="29" t="s">
        <v>182</v>
      </c>
      <c r="C234" s="29"/>
      <c r="D234" s="29"/>
      <c r="E234" s="29" t="str">
        <f t="shared" si="29"/>
        <v/>
      </c>
      <c r="F234" s="29">
        <f>COUNTIFS(실시간콜입력!$B:$B,$A234,실시간콜입력!$E:$E,"A",실시간콜입력!$G:$G,$B234,실시간콜입력!$O:$O,"방문완료")+COUNTIFS(실시간콜입력!$B:$B,$A234,실시간콜입력!$E:$E,"A",실시간콜입력!$H:$H,$B234,실시간콜입력!$O:$O,"방문완료")</f>
        <v>0</v>
      </c>
      <c r="G234" s="29">
        <f>COUNTIFS(실시간콜입력!$B:$B,$A234,실시간콜입력!$E:$E,"B",실시간콜입력!$G:$G,$B234,실시간콜입력!$O:$O,"방문완료")+COUNTIFS(실시간콜입력!$B:$B,$A234,실시간콜입력!$E:$E,"B",실시간콜입력!$H:$H,$B234,실시간콜입력!$O:$O,"방문완료")</f>
        <v>0</v>
      </c>
      <c r="H234" s="29">
        <f>COUNTIFS(실시간콜입력!$B:$B,$A234,실시간콜입력!$E:$E,"C",실시간콜입력!$G:$G,$B234,실시간콜입력!$O:$O,"방문완료")+COUNTIFS(실시간콜입력!$B:$B,$A234,실시간콜입력!$E:$E,"C",실시간콜입력!$H:$H,$B234,실시간콜입력!$O:$O,"방문완료")</f>
        <v>0</v>
      </c>
      <c r="I234" s="29">
        <f>COUNTIFS(실시간콜입력!$B:$B,$A234,실시간콜입력!$E:$E,"D",실시간콜입력!$G:$G,$B234,실시간콜입력!$O:$O,"방문완료")+COUNTIFS(실시간콜입력!$B:$B,$A234,실시간콜입력!$E:$E,"D",실시간콜입력!$H:$H,$B234,실시간콜입력!$O:$O,"방문완료")</f>
        <v>0</v>
      </c>
      <c r="J234" s="29">
        <f>COUNTIFS(실시간콜입력!$B:$B,$A234,실시간콜입력!$E:$E,"E",실시간콜입력!$G:$G,$B234,실시간콜입력!$O:$O,"방문완료")+COUNTIFS(실시간콜입력!$B:$B,$A234,실시간콜입력!$E:$E,"E",실시간콜입력!$H:$H,$B234,실시간콜입력!$O:$O,"방문완료")</f>
        <v>0</v>
      </c>
      <c r="K234" s="29">
        <f t="shared" si="30"/>
        <v>0</v>
      </c>
      <c r="L234" s="33">
        <f>SUMIFS(실시간콜입력!$K:$K,실시간콜입력!$B:$B,$A234,실시간콜입력!$G:$G,$B234,실시간콜입력!$O:$O,"방문완료")+SUMIFS(실시간콜입력!$L:$L,실시간콜입력!$B:$B,$A234,실시간콜입력!$H:$H,$B234,실시간콜입력!$O:$O,"방문완료")</f>
        <v>0</v>
      </c>
      <c r="M234" s="29" t="str">
        <f t="shared" si="31"/>
        <v/>
      </c>
      <c r="N234" s="29"/>
    </row>
    <row r="235" spans="1:14" ht="19.5" hidden="1" customHeight="1" outlineLevel="1">
      <c r="A235" s="24">
        <f>IF(5&lt;=DAY(DATE(YEAR(설정_코스수당!$K$2),MONTH(설정_코스수당!$K$2)+1,0)),DATE(YEAR(설정_코스수당!$K$2),MONTH(설정_코스수당!$K$2),5),"")</f>
        <v>46178</v>
      </c>
      <c r="B235" s="23" t="s">
        <v>183</v>
      </c>
      <c r="C235" s="29"/>
      <c r="D235" s="29"/>
      <c r="E235" s="29" t="str">
        <f t="shared" si="29"/>
        <v/>
      </c>
      <c r="F235" s="29">
        <f>COUNTIFS(실시간콜입력!$B:$B,$A235,실시간콜입력!$E:$E,"A",실시간콜입력!$G:$G,$B235,실시간콜입력!$O:$O,"방문완료")+COUNTIFS(실시간콜입력!$B:$B,$A235,실시간콜입력!$E:$E,"A",실시간콜입력!$H:$H,$B235,실시간콜입력!$O:$O,"방문완료")</f>
        <v>0</v>
      </c>
      <c r="G235" s="29">
        <f>COUNTIFS(실시간콜입력!$B:$B,$A235,실시간콜입력!$E:$E,"B",실시간콜입력!$G:$G,$B235,실시간콜입력!$O:$O,"방문완료")+COUNTIFS(실시간콜입력!$B:$B,$A235,실시간콜입력!$E:$E,"B",실시간콜입력!$H:$H,$B235,실시간콜입력!$O:$O,"방문완료")</f>
        <v>0</v>
      </c>
      <c r="H235" s="29">
        <f>COUNTIFS(실시간콜입력!$B:$B,$A235,실시간콜입력!$E:$E,"C",실시간콜입력!$G:$G,$B235,실시간콜입력!$O:$O,"방문완료")+COUNTIFS(실시간콜입력!$B:$B,$A235,실시간콜입력!$E:$E,"C",실시간콜입력!$H:$H,$B235,실시간콜입력!$O:$O,"방문완료")</f>
        <v>0</v>
      </c>
      <c r="I235" s="29">
        <f>COUNTIFS(실시간콜입력!$B:$B,$A235,실시간콜입력!$E:$E,"D",실시간콜입력!$G:$G,$B235,실시간콜입력!$O:$O,"방문완료")+COUNTIFS(실시간콜입력!$B:$B,$A235,실시간콜입력!$E:$E,"D",실시간콜입력!$H:$H,$B235,실시간콜입력!$O:$O,"방문완료")</f>
        <v>0</v>
      </c>
      <c r="J235" s="29">
        <f>COUNTIFS(실시간콜입력!$B:$B,$A235,실시간콜입력!$E:$E,"E",실시간콜입력!$G:$G,$B235,실시간콜입력!$O:$O,"방문완료")+COUNTIFS(실시간콜입력!$B:$B,$A235,실시간콜입력!$E:$E,"E",실시간콜입력!$H:$H,$B235,실시간콜입력!$O:$O,"방문완료")</f>
        <v>0</v>
      </c>
      <c r="K235" s="29">
        <f t="shared" si="30"/>
        <v>0</v>
      </c>
      <c r="L235" s="27">
        <f>SUMIFS(실시간콜입력!$K:$K,실시간콜입력!$B:$B,$A235,실시간콜입력!$G:$G,$B235,실시간콜입력!$O:$O,"방문완료")+SUMIFS(실시간콜입력!$L:$L,실시간콜입력!$B:$B,$A235,실시간콜입력!$H:$H,$B235,실시간콜입력!$O:$O,"방문완료")</f>
        <v>0</v>
      </c>
      <c r="M235" s="29" t="str">
        <f t="shared" si="31"/>
        <v/>
      </c>
      <c r="N235" s="29"/>
    </row>
    <row r="236" spans="1:14" ht="19.5" hidden="1" customHeight="1" outlineLevel="1">
      <c r="A236" s="30">
        <f>IF(5&lt;=DAY(DATE(YEAR(설정_코스수당!$K$2),MONTH(설정_코스수당!$K$2)+1,0)),DATE(YEAR(설정_코스수당!$K$2),MONTH(설정_코스수당!$K$2),5),"")</f>
        <v>46178</v>
      </c>
      <c r="B236" s="29" t="s">
        <v>184</v>
      </c>
      <c r="C236" s="29"/>
      <c r="D236" s="29"/>
      <c r="E236" s="29" t="str">
        <f t="shared" si="29"/>
        <v/>
      </c>
      <c r="F236" s="29">
        <f>COUNTIFS(실시간콜입력!$B:$B,$A236,실시간콜입력!$E:$E,"A",실시간콜입력!$G:$G,$B236,실시간콜입력!$O:$O,"방문완료")+COUNTIFS(실시간콜입력!$B:$B,$A236,실시간콜입력!$E:$E,"A",실시간콜입력!$H:$H,$B236,실시간콜입력!$O:$O,"방문완료")</f>
        <v>0</v>
      </c>
      <c r="G236" s="29">
        <f>COUNTIFS(실시간콜입력!$B:$B,$A236,실시간콜입력!$E:$E,"B",실시간콜입력!$G:$G,$B236,실시간콜입력!$O:$O,"방문완료")+COUNTIFS(실시간콜입력!$B:$B,$A236,실시간콜입력!$E:$E,"B",실시간콜입력!$H:$H,$B236,실시간콜입력!$O:$O,"방문완료")</f>
        <v>0</v>
      </c>
      <c r="H236" s="29">
        <f>COUNTIFS(실시간콜입력!$B:$B,$A236,실시간콜입력!$E:$E,"C",실시간콜입력!$G:$G,$B236,실시간콜입력!$O:$O,"방문완료")+COUNTIFS(실시간콜입력!$B:$B,$A236,실시간콜입력!$E:$E,"C",실시간콜입력!$H:$H,$B236,실시간콜입력!$O:$O,"방문완료")</f>
        <v>0</v>
      </c>
      <c r="I236" s="29">
        <f>COUNTIFS(실시간콜입력!$B:$B,$A236,실시간콜입력!$E:$E,"D",실시간콜입력!$G:$G,$B236,실시간콜입력!$O:$O,"방문완료")+COUNTIFS(실시간콜입력!$B:$B,$A236,실시간콜입력!$E:$E,"D",실시간콜입력!$H:$H,$B236,실시간콜입력!$O:$O,"방문완료")</f>
        <v>0</v>
      </c>
      <c r="J236" s="29">
        <f>COUNTIFS(실시간콜입력!$B:$B,$A236,실시간콜입력!$E:$E,"E",실시간콜입력!$G:$G,$B236,실시간콜입력!$O:$O,"방문완료")+COUNTIFS(실시간콜입력!$B:$B,$A236,실시간콜입력!$E:$E,"E",실시간콜입력!$H:$H,$B236,실시간콜입력!$O:$O,"방문완료")</f>
        <v>0</v>
      </c>
      <c r="K236" s="29">
        <f t="shared" si="30"/>
        <v>0</v>
      </c>
      <c r="L236" s="33">
        <f>SUMIFS(실시간콜입력!$K:$K,실시간콜입력!$B:$B,$A236,실시간콜입력!$G:$G,$B236,실시간콜입력!$O:$O,"방문완료")+SUMIFS(실시간콜입력!$L:$L,실시간콜입력!$B:$B,$A236,실시간콜입력!$H:$H,$B236,실시간콜입력!$O:$O,"방문완료")</f>
        <v>0</v>
      </c>
      <c r="M236" s="29" t="str">
        <f t="shared" si="31"/>
        <v/>
      </c>
      <c r="N236" s="29"/>
    </row>
    <row r="237" spans="1:14" ht="19.5" hidden="1" customHeight="1" outlineLevel="1">
      <c r="A237" s="24">
        <f>IF(5&lt;=DAY(DATE(YEAR(설정_코스수당!$K$2),MONTH(설정_코스수당!$K$2)+1,0)),DATE(YEAR(설정_코스수당!$K$2),MONTH(설정_코스수당!$K$2),5),"")</f>
        <v>46178</v>
      </c>
      <c r="B237" s="23" t="s">
        <v>185</v>
      </c>
      <c r="C237" s="29"/>
      <c r="D237" s="29"/>
      <c r="E237" s="29" t="str">
        <f t="shared" si="29"/>
        <v/>
      </c>
      <c r="F237" s="29">
        <f>COUNTIFS(실시간콜입력!$B:$B,$A237,실시간콜입력!$E:$E,"A",실시간콜입력!$G:$G,$B237,실시간콜입력!$O:$O,"방문완료")+COUNTIFS(실시간콜입력!$B:$B,$A237,실시간콜입력!$E:$E,"A",실시간콜입력!$H:$H,$B237,실시간콜입력!$O:$O,"방문완료")</f>
        <v>0</v>
      </c>
      <c r="G237" s="29">
        <f>COUNTIFS(실시간콜입력!$B:$B,$A237,실시간콜입력!$E:$E,"B",실시간콜입력!$G:$G,$B237,실시간콜입력!$O:$O,"방문완료")+COUNTIFS(실시간콜입력!$B:$B,$A237,실시간콜입력!$E:$E,"B",실시간콜입력!$H:$H,$B237,실시간콜입력!$O:$O,"방문완료")</f>
        <v>0</v>
      </c>
      <c r="H237" s="29">
        <f>COUNTIFS(실시간콜입력!$B:$B,$A237,실시간콜입력!$E:$E,"C",실시간콜입력!$G:$G,$B237,실시간콜입력!$O:$O,"방문완료")+COUNTIFS(실시간콜입력!$B:$B,$A237,실시간콜입력!$E:$E,"C",실시간콜입력!$H:$H,$B237,실시간콜입력!$O:$O,"방문완료")</f>
        <v>0</v>
      </c>
      <c r="I237" s="29">
        <f>COUNTIFS(실시간콜입력!$B:$B,$A237,실시간콜입력!$E:$E,"D",실시간콜입력!$G:$G,$B237,실시간콜입력!$O:$O,"방문완료")+COUNTIFS(실시간콜입력!$B:$B,$A237,실시간콜입력!$E:$E,"D",실시간콜입력!$H:$H,$B237,실시간콜입력!$O:$O,"방문완료")</f>
        <v>0</v>
      </c>
      <c r="J237" s="29">
        <f>COUNTIFS(실시간콜입력!$B:$B,$A237,실시간콜입력!$E:$E,"E",실시간콜입력!$G:$G,$B237,실시간콜입력!$O:$O,"방문완료")+COUNTIFS(실시간콜입력!$B:$B,$A237,실시간콜입력!$E:$E,"E",실시간콜입력!$H:$H,$B237,실시간콜입력!$O:$O,"방문완료")</f>
        <v>0</v>
      </c>
      <c r="K237" s="29">
        <f t="shared" si="30"/>
        <v>0</v>
      </c>
      <c r="L237" s="27">
        <f>SUMIFS(실시간콜입력!$K:$K,실시간콜입력!$B:$B,$A237,실시간콜입력!$G:$G,$B237,실시간콜입력!$O:$O,"방문완료")+SUMIFS(실시간콜입력!$L:$L,실시간콜입력!$B:$B,$A237,실시간콜입력!$H:$H,$B237,실시간콜입력!$O:$O,"방문완료")</f>
        <v>0</v>
      </c>
      <c r="M237" s="29" t="str">
        <f t="shared" si="31"/>
        <v/>
      </c>
      <c r="N237" s="29"/>
    </row>
    <row r="238" spans="1:14" ht="19.5" hidden="1" customHeight="1" outlineLevel="1">
      <c r="A238" s="30">
        <f>IF(5&lt;=DAY(DATE(YEAR(설정_코스수당!$K$2),MONTH(설정_코스수당!$K$2)+1,0)),DATE(YEAR(설정_코스수당!$K$2),MONTH(설정_코스수당!$K$2),5),"")</f>
        <v>46178</v>
      </c>
      <c r="B238" s="29" t="s">
        <v>186</v>
      </c>
      <c r="C238" s="29"/>
      <c r="D238" s="29"/>
      <c r="E238" s="29" t="str">
        <f t="shared" si="29"/>
        <v/>
      </c>
      <c r="F238" s="29">
        <f>COUNTIFS(실시간콜입력!$B:$B,$A238,실시간콜입력!$E:$E,"A",실시간콜입력!$G:$G,$B238,실시간콜입력!$O:$O,"방문완료")+COUNTIFS(실시간콜입력!$B:$B,$A238,실시간콜입력!$E:$E,"A",실시간콜입력!$H:$H,$B238,실시간콜입력!$O:$O,"방문완료")</f>
        <v>0</v>
      </c>
      <c r="G238" s="29">
        <f>COUNTIFS(실시간콜입력!$B:$B,$A238,실시간콜입력!$E:$E,"B",실시간콜입력!$G:$G,$B238,실시간콜입력!$O:$O,"방문완료")+COUNTIFS(실시간콜입력!$B:$B,$A238,실시간콜입력!$E:$E,"B",실시간콜입력!$H:$H,$B238,실시간콜입력!$O:$O,"방문완료")</f>
        <v>0</v>
      </c>
      <c r="H238" s="29">
        <f>COUNTIFS(실시간콜입력!$B:$B,$A238,실시간콜입력!$E:$E,"C",실시간콜입력!$G:$G,$B238,실시간콜입력!$O:$O,"방문완료")+COUNTIFS(실시간콜입력!$B:$B,$A238,실시간콜입력!$E:$E,"C",실시간콜입력!$H:$H,$B238,실시간콜입력!$O:$O,"방문완료")</f>
        <v>0</v>
      </c>
      <c r="I238" s="29">
        <f>COUNTIFS(실시간콜입력!$B:$B,$A238,실시간콜입력!$E:$E,"D",실시간콜입력!$G:$G,$B238,실시간콜입력!$O:$O,"방문완료")+COUNTIFS(실시간콜입력!$B:$B,$A238,실시간콜입력!$E:$E,"D",실시간콜입력!$H:$H,$B238,실시간콜입력!$O:$O,"방문완료")</f>
        <v>0</v>
      </c>
      <c r="J238" s="29">
        <f>COUNTIFS(실시간콜입력!$B:$B,$A238,실시간콜입력!$E:$E,"E",실시간콜입력!$G:$G,$B238,실시간콜입력!$O:$O,"방문완료")+COUNTIFS(실시간콜입력!$B:$B,$A238,실시간콜입력!$E:$E,"E",실시간콜입력!$H:$H,$B238,실시간콜입력!$O:$O,"방문완료")</f>
        <v>0</v>
      </c>
      <c r="K238" s="29">
        <f t="shared" si="30"/>
        <v>0</v>
      </c>
      <c r="L238" s="33">
        <f>SUMIFS(실시간콜입력!$K:$K,실시간콜입력!$B:$B,$A238,실시간콜입력!$G:$G,$B238,실시간콜입력!$O:$O,"방문완료")+SUMIFS(실시간콜입력!$L:$L,실시간콜입력!$B:$B,$A238,실시간콜입력!$H:$H,$B238,실시간콜입력!$O:$O,"방문완료")</f>
        <v>0</v>
      </c>
      <c r="M238" s="29" t="str">
        <f t="shared" si="31"/>
        <v/>
      </c>
      <c r="N238" s="29"/>
    </row>
    <row r="239" spans="1:14" ht="19.5" hidden="1" customHeight="1" outlineLevel="1">
      <c r="A239" s="24">
        <f>IF(5&lt;=DAY(DATE(YEAR(설정_코스수당!$K$2),MONTH(설정_코스수당!$K$2)+1,0)),DATE(YEAR(설정_코스수당!$K$2),MONTH(설정_코스수당!$K$2),5),"")</f>
        <v>46178</v>
      </c>
      <c r="B239" s="23" t="s">
        <v>187</v>
      </c>
      <c r="C239" s="29"/>
      <c r="D239" s="29"/>
      <c r="E239" s="29" t="str">
        <f t="shared" si="29"/>
        <v/>
      </c>
      <c r="F239" s="29">
        <f>COUNTIFS(실시간콜입력!$B:$B,$A239,실시간콜입력!$E:$E,"A",실시간콜입력!$G:$G,$B239,실시간콜입력!$O:$O,"방문완료")+COUNTIFS(실시간콜입력!$B:$B,$A239,실시간콜입력!$E:$E,"A",실시간콜입력!$H:$H,$B239,실시간콜입력!$O:$O,"방문완료")</f>
        <v>0</v>
      </c>
      <c r="G239" s="29">
        <f>COUNTIFS(실시간콜입력!$B:$B,$A239,실시간콜입력!$E:$E,"B",실시간콜입력!$G:$G,$B239,실시간콜입력!$O:$O,"방문완료")+COUNTIFS(실시간콜입력!$B:$B,$A239,실시간콜입력!$E:$E,"B",실시간콜입력!$H:$H,$B239,실시간콜입력!$O:$O,"방문완료")</f>
        <v>0</v>
      </c>
      <c r="H239" s="29">
        <f>COUNTIFS(실시간콜입력!$B:$B,$A239,실시간콜입력!$E:$E,"C",실시간콜입력!$G:$G,$B239,실시간콜입력!$O:$O,"방문완료")+COUNTIFS(실시간콜입력!$B:$B,$A239,실시간콜입력!$E:$E,"C",실시간콜입력!$H:$H,$B239,실시간콜입력!$O:$O,"방문완료")</f>
        <v>0</v>
      </c>
      <c r="I239" s="29">
        <f>COUNTIFS(실시간콜입력!$B:$B,$A239,실시간콜입력!$E:$E,"D",실시간콜입력!$G:$G,$B239,실시간콜입력!$O:$O,"방문완료")+COUNTIFS(실시간콜입력!$B:$B,$A239,실시간콜입력!$E:$E,"D",실시간콜입력!$H:$H,$B239,실시간콜입력!$O:$O,"방문완료")</f>
        <v>0</v>
      </c>
      <c r="J239" s="29">
        <f>COUNTIFS(실시간콜입력!$B:$B,$A239,실시간콜입력!$E:$E,"E",실시간콜입력!$G:$G,$B239,실시간콜입력!$O:$O,"방문완료")+COUNTIFS(실시간콜입력!$B:$B,$A239,실시간콜입력!$E:$E,"E",실시간콜입력!$H:$H,$B239,실시간콜입력!$O:$O,"방문완료")</f>
        <v>0</v>
      </c>
      <c r="K239" s="29">
        <f t="shared" si="30"/>
        <v>0</v>
      </c>
      <c r="L239" s="27">
        <f>SUMIFS(실시간콜입력!$K:$K,실시간콜입력!$B:$B,$A239,실시간콜입력!$G:$G,$B239,실시간콜입력!$O:$O,"방문완료")+SUMIFS(실시간콜입력!$L:$L,실시간콜입력!$B:$B,$A239,실시간콜입력!$H:$H,$B239,실시간콜입력!$O:$O,"방문완료")</f>
        <v>0</v>
      </c>
      <c r="M239" s="29" t="str">
        <f t="shared" si="31"/>
        <v/>
      </c>
      <c r="N239" s="29"/>
    </row>
    <row r="240" spans="1:14" ht="19.5" hidden="1" customHeight="1" outlineLevel="1">
      <c r="A240" s="30">
        <f>IF(5&lt;=DAY(DATE(YEAR(설정_코스수당!$K$2),MONTH(설정_코스수당!$K$2)+1,0)),DATE(YEAR(설정_코스수당!$K$2),MONTH(설정_코스수당!$K$2),5),"")</f>
        <v>46178</v>
      </c>
      <c r="B240" s="29" t="s">
        <v>188</v>
      </c>
      <c r="C240" s="29"/>
      <c r="D240" s="29"/>
      <c r="E240" s="29" t="str">
        <f t="shared" si="29"/>
        <v/>
      </c>
      <c r="F240" s="29">
        <f>COUNTIFS(실시간콜입력!$B:$B,$A240,실시간콜입력!$E:$E,"A",실시간콜입력!$G:$G,$B240,실시간콜입력!$O:$O,"방문완료")+COUNTIFS(실시간콜입력!$B:$B,$A240,실시간콜입력!$E:$E,"A",실시간콜입력!$H:$H,$B240,실시간콜입력!$O:$O,"방문완료")</f>
        <v>0</v>
      </c>
      <c r="G240" s="29">
        <f>COUNTIFS(실시간콜입력!$B:$B,$A240,실시간콜입력!$E:$E,"B",실시간콜입력!$G:$G,$B240,실시간콜입력!$O:$O,"방문완료")+COUNTIFS(실시간콜입력!$B:$B,$A240,실시간콜입력!$E:$E,"B",실시간콜입력!$H:$H,$B240,실시간콜입력!$O:$O,"방문완료")</f>
        <v>0</v>
      </c>
      <c r="H240" s="29">
        <f>COUNTIFS(실시간콜입력!$B:$B,$A240,실시간콜입력!$E:$E,"C",실시간콜입력!$G:$G,$B240,실시간콜입력!$O:$O,"방문완료")+COUNTIFS(실시간콜입력!$B:$B,$A240,실시간콜입력!$E:$E,"C",실시간콜입력!$H:$H,$B240,실시간콜입력!$O:$O,"방문완료")</f>
        <v>0</v>
      </c>
      <c r="I240" s="29">
        <f>COUNTIFS(실시간콜입력!$B:$B,$A240,실시간콜입력!$E:$E,"D",실시간콜입력!$G:$G,$B240,실시간콜입력!$O:$O,"방문완료")+COUNTIFS(실시간콜입력!$B:$B,$A240,실시간콜입력!$E:$E,"D",실시간콜입력!$H:$H,$B240,실시간콜입력!$O:$O,"방문완료")</f>
        <v>0</v>
      </c>
      <c r="J240" s="29">
        <f>COUNTIFS(실시간콜입력!$B:$B,$A240,실시간콜입력!$E:$E,"E",실시간콜입력!$G:$G,$B240,실시간콜입력!$O:$O,"방문완료")+COUNTIFS(실시간콜입력!$B:$B,$A240,실시간콜입력!$E:$E,"E",실시간콜입력!$H:$H,$B240,실시간콜입력!$O:$O,"방문완료")</f>
        <v>0</v>
      </c>
      <c r="K240" s="29">
        <f t="shared" si="30"/>
        <v>0</v>
      </c>
      <c r="L240" s="33">
        <f>SUMIFS(실시간콜입력!$K:$K,실시간콜입력!$B:$B,$A240,실시간콜입력!$G:$G,$B240,실시간콜입력!$O:$O,"방문완료")+SUMIFS(실시간콜입력!$L:$L,실시간콜입력!$B:$B,$A240,실시간콜입력!$H:$H,$B240,실시간콜입력!$O:$O,"방문완료")</f>
        <v>0</v>
      </c>
      <c r="M240" s="29" t="str">
        <f t="shared" si="31"/>
        <v/>
      </c>
      <c r="N240" s="29"/>
    </row>
    <row r="241" spans="1:14" ht="19.5" hidden="1" customHeight="1" outlineLevel="1">
      <c r="A241" s="24">
        <f>IF(5&lt;=DAY(DATE(YEAR(설정_코스수당!$K$2),MONTH(설정_코스수당!$K$2)+1,0)),DATE(YEAR(설정_코스수당!$K$2),MONTH(설정_코스수당!$K$2),5),"")</f>
        <v>46178</v>
      </c>
      <c r="B241" s="23" t="s">
        <v>189</v>
      </c>
      <c r="C241" s="29"/>
      <c r="D241" s="29"/>
      <c r="E241" s="29" t="str">
        <f t="shared" si="29"/>
        <v/>
      </c>
      <c r="F241" s="29">
        <f>COUNTIFS(실시간콜입력!$B:$B,$A241,실시간콜입력!$E:$E,"A",실시간콜입력!$G:$G,$B241,실시간콜입력!$O:$O,"방문완료")+COUNTIFS(실시간콜입력!$B:$B,$A241,실시간콜입력!$E:$E,"A",실시간콜입력!$H:$H,$B241,실시간콜입력!$O:$O,"방문완료")</f>
        <v>0</v>
      </c>
      <c r="G241" s="29">
        <f>COUNTIFS(실시간콜입력!$B:$B,$A241,실시간콜입력!$E:$E,"B",실시간콜입력!$G:$G,$B241,실시간콜입력!$O:$O,"방문완료")+COUNTIFS(실시간콜입력!$B:$B,$A241,실시간콜입력!$E:$E,"B",실시간콜입력!$H:$H,$B241,실시간콜입력!$O:$O,"방문완료")</f>
        <v>0</v>
      </c>
      <c r="H241" s="29">
        <f>COUNTIFS(실시간콜입력!$B:$B,$A241,실시간콜입력!$E:$E,"C",실시간콜입력!$G:$G,$B241,실시간콜입력!$O:$O,"방문완료")+COUNTIFS(실시간콜입력!$B:$B,$A241,실시간콜입력!$E:$E,"C",실시간콜입력!$H:$H,$B241,실시간콜입력!$O:$O,"방문완료")</f>
        <v>0</v>
      </c>
      <c r="I241" s="29">
        <f>COUNTIFS(실시간콜입력!$B:$B,$A241,실시간콜입력!$E:$E,"D",실시간콜입력!$G:$G,$B241,실시간콜입력!$O:$O,"방문완료")+COUNTIFS(실시간콜입력!$B:$B,$A241,실시간콜입력!$E:$E,"D",실시간콜입력!$H:$H,$B241,실시간콜입력!$O:$O,"방문완료")</f>
        <v>0</v>
      </c>
      <c r="J241" s="29">
        <f>COUNTIFS(실시간콜입력!$B:$B,$A241,실시간콜입력!$E:$E,"E",실시간콜입력!$G:$G,$B241,실시간콜입력!$O:$O,"방문완료")+COUNTIFS(실시간콜입력!$B:$B,$A241,실시간콜입력!$E:$E,"E",실시간콜입력!$H:$H,$B241,실시간콜입력!$O:$O,"방문완료")</f>
        <v>0</v>
      </c>
      <c r="K241" s="29">
        <f t="shared" si="30"/>
        <v>0</v>
      </c>
      <c r="L241" s="27">
        <f>SUMIFS(실시간콜입력!$K:$K,실시간콜입력!$B:$B,$A241,실시간콜입력!$G:$G,$B241,실시간콜입력!$O:$O,"방문완료")+SUMIFS(실시간콜입력!$L:$L,실시간콜입력!$B:$B,$A241,실시간콜입력!$H:$H,$B241,실시간콜입력!$O:$O,"방문완료")</f>
        <v>0</v>
      </c>
      <c r="M241" s="29" t="str">
        <f t="shared" si="31"/>
        <v/>
      </c>
      <c r="N241" s="29"/>
    </row>
    <row r="242" spans="1:14" ht="19.5" hidden="1" customHeight="1" outlineLevel="1">
      <c r="A242" s="30">
        <f>IF(5&lt;=DAY(DATE(YEAR(설정_코스수당!$K$2),MONTH(설정_코스수당!$K$2)+1,0)),DATE(YEAR(설정_코스수당!$K$2),MONTH(설정_코스수당!$K$2),5),"")</f>
        <v>46178</v>
      </c>
      <c r="B242" s="29" t="s">
        <v>190</v>
      </c>
      <c r="C242" s="29"/>
      <c r="D242" s="29"/>
      <c r="E242" s="29" t="str">
        <f t="shared" si="29"/>
        <v/>
      </c>
      <c r="F242" s="29">
        <f>COUNTIFS(실시간콜입력!$B:$B,$A242,실시간콜입력!$E:$E,"A",실시간콜입력!$G:$G,$B242,실시간콜입력!$O:$O,"방문완료")+COUNTIFS(실시간콜입력!$B:$B,$A242,실시간콜입력!$E:$E,"A",실시간콜입력!$H:$H,$B242,실시간콜입력!$O:$O,"방문완료")</f>
        <v>0</v>
      </c>
      <c r="G242" s="29">
        <f>COUNTIFS(실시간콜입력!$B:$B,$A242,실시간콜입력!$E:$E,"B",실시간콜입력!$G:$G,$B242,실시간콜입력!$O:$O,"방문완료")+COUNTIFS(실시간콜입력!$B:$B,$A242,실시간콜입력!$E:$E,"B",실시간콜입력!$H:$H,$B242,실시간콜입력!$O:$O,"방문완료")</f>
        <v>0</v>
      </c>
      <c r="H242" s="29">
        <f>COUNTIFS(실시간콜입력!$B:$B,$A242,실시간콜입력!$E:$E,"C",실시간콜입력!$G:$G,$B242,실시간콜입력!$O:$O,"방문완료")+COUNTIFS(실시간콜입력!$B:$B,$A242,실시간콜입력!$E:$E,"C",실시간콜입력!$H:$H,$B242,실시간콜입력!$O:$O,"방문완료")</f>
        <v>0</v>
      </c>
      <c r="I242" s="29">
        <f>COUNTIFS(실시간콜입력!$B:$B,$A242,실시간콜입력!$E:$E,"D",실시간콜입력!$G:$G,$B242,실시간콜입력!$O:$O,"방문완료")+COUNTIFS(실시간콜입력!$B:$B,$A242,실시간콜입력!$E:$E,"D",실시간콜입력!$H:$H,$B242,실시간콜입력!$O:$O,"방문완료")</f>
        <v>0</v>
      </c>
      <c r="J242" s="29">
        <f>COUNTIFS(실시간콜입력!$B:$B,$A242,실시간콜입력!$E:$E,"E",실시간콜입력!$G:$G,$B242,실시간콜입력!$O:$O,"방문완료")+COUNTIFS(실시간콜입력!$B:$B,$A242,실시간콜입력!$E:$E,"E",실시간콜입력!$H:$H,$B242,실시간콜입력!$O:$O,"방문완료")</f>
        <v>0</v>
      </c>
      <c r="K242" s="29">
        <f t="shared" si="30"/>
        <v>0</v>
      </c>
      <c r="L242" s="33">
        <f>SUMIFS(실시간콜입력!$K:$K,실시간콜입력!$B:$B,$A242,실시간콜입력!$G:$G,$B242,실시간콜입력!$O:$O,"방문완료")+SUMIFS(실시간콜입력!$L:$L,실시간콜입력!$B:$B,$A242,실시간콜입력!$H:$H,$B242,실시간콜입력!$O:$O,"방문완료")</f>
        <v>0</v>
      </c>
      <c r="M242" s="29" t="str">
        <f t="shared" si="31"/>
        <v/>
      </c>
      <c r="N242" s="29"/>
    </row>
    <row r="243" spans="1:14" ht="19.5" hidden="1" customHeight="1" outlineLevel="1">
      <c r="A243" s="24">
        <f>IF(5&lt;=DAY(DATE(YEAR(설정_코스수당!$K$2),MONTH(설정_코스수당!$K$2)+1,0)),DATE(YEAR(설정_코스수당!$K$2),MONTH(설정_코스수당!$K$2),5),"")</f>
        <v>46178</v>
      </c>
      <c r="B243" s="23" t="s">
        <v>191</v>
      </c>
      <c r="C243" s="29"/>
      <c r="D243" s="29"/>
      <c r="E243" s="29" t="str">
        <f t="shared" si="29"/>
        <v/>
      </c>
      <c r="F243" s="29">
        <f>COUNTIFS(실시간콜입력!$B:$B,$A243,실시간콜입력!$E:$E,"A",실시간콜입력!$G:$G,$B243,실시간콜입력!$O:$O,"방문완료")+COUNTIFS(실시간콜입력!$B:$B,$A243,실시간콜입력!$E:$E,"A",실시간콜입력!$H:$H,$B243,실시간콜입력!$O:$O,"방문완료")</f>
        <v>0</v>
      </c>
      <c r="G243" s="29">
        <f>COUNTIFS(실시간콜입력!$B:$B,$A243,실시간콜입력!$E:$E,"B",실시간콜입력!$G:$G,$B243,실시간콜입력!$O:$O,"방문완료")+COUNTIFS(실시간콜입력!$B:$B,$A243,실시간콜입력!$E:$E,"B",실시간콜입력!$H:$H,$B243,실시간콜입력!$O:$O,"방문완료")</f>
        <v>0</v>
      </c>
      <c r="H243" s="29">
        <f>COUNTIFS(실시간콜입력!$B:$B,$A243,실시간콜입력!$E:$E,"C",실시간콜입력!$G:$G,$B243,실시간콜입력!$O:$O,"방문완료")+COUNTIFS(실시간콜입력!$B:$B,$A243,실시간콜입력!$E:$E,"C",실시간콜입력!$H:$H,$B243,실시간콜입력!$O:$O,"방문완료")</f>
        <v>0</v>
      </c>
      <c r="I243" s="29">
        <f>COUNTIFS(실시간콜입력!$B:$B,$A243,실시간콜입력!$E:$E,"D",실시간콜입력!$G:$G,$B243,실시간콜입력!$O:$O,"방문완료")+COUNTIFS(실시간콜입력!$B:$B,$A243,실시간콜입력!$E:$E,"D",실시간콜입력!$H:$H,$B243,실시간콜입력!$O:$O,"방문완료")</f>
        <v>0</v>
      </c>
      <c r="J243" s="29">
        <f>COUNTIFS(실시간콜입력!$B:$B,$A243,실시간콜입력!$E:$E,"E",실시간콜입력!$G:$G,$B243,실시간콜입력!$O:$O,"방문완료")+COUNTIFS(실시간콜입력!$B:$B,$A243,실시간콜입력!$E:$E,"E",실시간콜입력!$H:$H,$B243,실시간콜입력!$O:$O,"방문완료")</f>
        <v>0</v>
      </c>
      <c r="K243" s="29">
        <f t="shared" si="30"/>
        <v>0</v>
      </c>
      <c r="L243" s="27">
        <f>SUMIFS(실시간콜입력!$K:$K,실시간콜입력!$B:$B,$A243,실시간콜입력!$G:$G,$B243,실시간콜입력!$O:$O,"방문완료")+SUMIFS(실시간콜입력!$L:$L,실시간콜입력!$B:$B,$A243,실시간콜입력!$H:$H,$B243,실시간콜입력!$O:$O,"방문완료")</f>
        <v>0</v>
      </c>
      <c r="M243" s="29" t="str">
        <f t="shared" si="31"/>
        <v/>
      </c>
      <c r="N243" s="29"/>
    </row>
    <row r="244" spans="1:14" ht="19.5" hidden="1" customHeight="1" outlineLevel="1">
      <c r="A244" s="30">
        <f>IF(5&lt;=DAY(DATE(YEAR(설정_코스수당!$K$2),MONTH(설정_코스수당!$K$2)+1,0)),DATE(YEAR(설정_코스수당!$K$2),MONTH(설정_코스수당!$K$2),5),"")</f>
        <v>46178</v>
      </c>
      <c r="B244" s="29" t="s">
        <v>192</v>
      </c>
      <c r="C244" s="29"/>
      <c r="D244" s="29"/>
      <c r="E244" s="29" t="str">
        <f t="shared" si="29"/>
        <v/>
      </c>
      <c r="F244" s="29">
        <f>COUNTIFS(실시간콜입력!$B:$B,$A244,실시간콜입력!$E:$E,"A",실시간콜입력!$G:$G,$B244,실시간콜입력!$O:$O,"방문완료")+COUNTIFS(실시간콜입력!$B:$B,$A244,실시간콜입력!$E:$E,"A",실시간콜입력!$H:$H,$B244,실시간콜입력!$O:$O,"방문완료")</f>
        <v>0</v>
      </c>
      <c r="G244" s="29">
        <f>COUNTIFS(실시간콜입력!$B:$B,$A244,실시간콜입력!$E:$E,"B",실시간콜입력!$G:$G,$B244,실시간콜입력!$O:$O,"방문완료")+COUNTIFS(실시간콜입력!$B:$B,$A244,실시간콜입력!$E:$E,"B",실시간콜입력!$H:$H,$B244,실시간콜입력!$O:$O,"방문완료")</f>
        <v>0</v>
      </c>
      <c r="H244" s="29">
        <f>COUNTIFS(실시간콜입력!$B:$B,$A244,실시간콜입력!$E:$E,"C",실시간콜입력!$G:$G,$B244,실시간콜입력!$O:$O,"방문완료")+COUNTIFS(실시간콜입력!$B:$B,$A244,실시간콜입력!$E:$E,"C",실시간콜입력!$H:$H,$B244,실시간콜입력!$O:$O,"방문완료")</f>
        <v>0</v>
      </c>
      <c r="I244" s="29">
        <f>COUNTIFS(실시간콜입력!$B:$B,$A244,실시간콜입력!$E:$E,"D",실시간콜입력!$G:$G,$B244,실시간콜입력!$O:$O,"방문완료")+COUNTIFS(실시간콜입력!$B:$B,$A244,실시간콜입력!$E:$E,"D",실시간콜입력!$H:$H,$B244,실시간콜입력!$O:$O,"방문완료")</f>
        <v>0</v>
      </c>
      <c r="J244" s="29">
        <f>COUNTIFS(실시간콜입력!$B:$B,$A244,실시간콜입력!$E:$E,"E",실시간콜입력!$G:$G,$B244,실시간콜입력!$O:$O,"방문완료")+COUNTIFS(실시간콜입력!$B:$B,$A244,실시간콜입력!$E:$E,"E",실시간콜입력!$H:$H,$B244,실시간콜입력!$O:$O,"방문완료")</f>
        <v>0</v>
      </c>
      <c r="K244" s="29">
        <f t="shared" si="30"/>
        <v>0</v>
      </c>
      <c r="L244" s="33">
        <f>SUMIFS(실시간콜입력!$K:$K,실시간콜입력!$B:$B,$A244,실시간콜입력!$G:$G,$B244,실시간콜입력!$O:$O,"방문완료")+SUMIFS(실시간콜입력!$L:$L,실시간콜입력!$B:$B,$A244,실시간콜입력!$H:$H,$B244,실시간콜입력!$O:$O,"방문완료")</f>
        <v>0</v>
      </c>
      <c r="M244" s="29" t="str">
        <f t="shared" si="31"/>
        <v/>
      </c>
      <c r="N244" s="29"/>
    </row>
    <row r="245" spans="1:14" ht="19.5" hidden="1" customHeight="1" outlineLevel="1">
      <c r="A245" s="24">
        <f>IF(5&lt;=DAY(DATE(YEAR(설정_코스수당!$K$2),MONTH(설정_코스수당!$K$2)+1,0)),DATE(YEAR(설정_코스수당!$K$2),MONTH(설정_코스수당!$K$2),5),"")</f>
        <v>46178</v>
      </c>
      <c r="B245" s="23" t="s">
        <v>193</v>
      </c>
      <c r="C245" s="29"/>
      <c r="D245" s="29"/>
      <c r="E245" s="29" t="str">
        <f t="shared" si="29"/>
        <v/>
      </c>
      <c r="F245" s="29">
        <f>COUNTIFS(실시간콜입력!$B:$B,$A245,실시간콜입력!$E:$E,"A",실시간콜입력!$G:$G,$B245,실시간콜입력!$O:$O,"방문완료")+COUNTIFS(실시간콜입력!$B:$B,$A245,실시간콜입력!$E:$E,"A",실시간콜입력!$H:$H,$B245,실시간콜입력!$O:$O,"방문완료")</f>
        <v>0</v>
      </c>
      <c r="G245" s="29">
        <f>COUNTIFS(실시간콜입력!$B:$B,$A245,실시간콜입력!$E:$E,"B",실시간콜입력!$G:$G,$B245,실시간콜입력!$O:$O,"방문완료")+COUNTIFS(실시간콜입력!$B:$B,$A245,실시간콜입력!$E:$E,"B",실시간콜입력!$H:$H,$B245,실시간콜입력!$O:$O,"방문완료")</f>
        <v>0</v>
      </c>
      <c r="H245" s="29">
        <f>COUNTIFS(실시간콜입력!$B:$B,$A245,실시간콜입력!$E:$E,"C",실시간콜입력!$G:$G,$B245,실시간콜입력!$O:$O,"방문완료")+COUNTIFS(실시간콜입력!$B:$B,$A245,실시간콜입력!$E:$E,"C",실시간콜입력!$H:$H,$B245,실시간콜입력!$O:$O,"방문완료")</f>
        <v>0</v>
      </c>
      <c r="I245" s="29">
        <f>COUNTIFS(실시간콜입력!$B:$B,$A245,실시간콜입력!$E:$E,"D",실시간콜입력!$G:$G,$B245,실시간콜입력!$O:$O,"방문완료")+COUNTIFS(실시간콜입력!$B:$B,$A245,실시간콜입력!$E:$E,"D",실시간콜입력!$H:$H,$B245,실시간콜입력!$O:$O,"방문완료")</f>
        <v>0</v>
      </c>
      <c r="J245" s="29">
        <f>COUNTIFS(실시간콜입력!$B:$B,$A245,실시간콜입력!$E:$E,"E",실시간콜입력!$G:$G,$B245,실시간콜입력!$O:$O,"방문완료")+COUNTIFS(실시간콜입력!$B:$B,$A245,실시간콜입력!$E:$E,"E",실시간콜입력!$H:$H,$B245,실시간콜입력!$O:$O,"방문완료")</f>
        <v>0</v>
      </c>
      <c r="K245" s="29">
        <f t="shared" si="30"/>
        <v>0</v>
      </c>
      <c r="L245" s="27">
        <f>SUMIFS(실시간콜입력!$K:$K,실시간콜입력!$B:$B,$A245,실시간콜입력!$G:$G,$B245,실시간콜입력!$O:$O,"방문완료")+SUMIFS(실시간콜입력!$L:$L,실시간콜입력!$B:$B,$A245,실시간콜입력!$H:$H,$B245,실시간콜입력!$O:$O,"방문완료")</f>
        <v>0</v>
      </c>
      <c r="M245" s="29" t="str">
        <f t="shared" si="31"/>
        <v/>
      </c>
      <c r="N245" s="29"/>
    </row>
    <row r="246" spans="1:14" ht="19.5" hidden="1" customHeight="1" outlineLevel="1">
      <c r="A246" s="30">
        <f>IF(5&lt;=DAY(DATE(YEAR(설정_코스수당!$K$2),MONTH(설정_코스수당!$K$2)+1,0)),DATE(YEAR(설정_코스수당!$K$2),MONTH(설정_코스수당!$K$2),5),"")</f>
        <v>46178</v>
      </c>
      <c r="B246" s="29" t="s">
        <v>194</v>
      </c>
      <c r="C246" s="29"/>
      <c r="D246" s="29"/>
      <c r="E246" s="29" t="str">
        <f t="shared" si="29"/>
        <v/>
      </c>
      <c r="F246" s="29">
        <f>COUNTIFS(실시간콜입력!$B:$B,$A246,실시간콜입력!$E:$E,"A",실시간콜입력!$G:$G,$B246,실시간콜입력!$O:$O,"방문완료")+COUNTIFS(실시간콜입력!$B:$B,$A246,실시간콜입력!$E:$E,"A",실시간콜입력!$H:$H,$B246,실시간콜입력!$O:$O,"방문완료")</f>
        <v>0</v>
      </c>
      <c r="G246" s="29">
        <f>COUNTIFS(실시간콜입력!$B:$B,$A246,실시간콜입력!$E:$E,"B",실시간콜입력!$G:$G,$B246,실시간콜입력!$O:$O,"방문완료")+COUNTIFS(실시간콜입력!$B:$B,$A246,실시간콜입력!$E:$E,"B",실시간콜입력!$H:$H,$B246,실시간콜입력!$O:$O,"방문완료")</f>
        <v>0</v>
      </c>
      <c r="H246" s="29">
        <f>COUNTIFS(실시간콜입력!$B:$B,$A246,실시간콜입력!$E:$E,"C",실시간콜입력!$G:$G,$B246,실시간콜입력!$O:$O,"방문완료")+COUNTIFS(실시간콜입력!$B:$B,$A246,실시간콜입력!$E:$E,"C",실시간콜입력!$H:$H,$B246,실시간콜입력!$O:$O,"방문완료")</f>
        <v>0</v>
      </c>
      <c r="I246" s="29">
        <f>COUNTIFS(실시간콜입력!$B:$B,$A246,실시간콜입력!$E:$E,"D",실시간콜입력!$G:$G,$B246,실시간콜입력!$O:$O,"방문완료")+COUNTIFS(실시간콜입력!$B:$B,$A246,실시간콜입력!$E:$E,"D",실시간콜입력!$H:$H,$B246,실시간콜입력!$O:$O,"방문완료")</f>
        <v>0</v>
      </c>
      <c r="J246" s="29">
        <f>COUNTIFS(실시간콜입력!$B:$B,$A246,실시간콜입력!$E:$E,"E",실시간콜입력!$G:$G,$B246,실시간콜입력!$O:$O,"방문완료")+COUNTIFS(실시간콜입력!$B:$B,$A246,실시간콜입력!$E:$E,"E",실시간콜입력!$H:$H,$B246,실시간콜입력!$O:$O,"방문완료")</f>
        <v>0</v>
      </c>
      <c r="K246" s="29">
        <f t="shared" si="30"/>
        <v>0</v>
      </c>
      <c r="L246" s="33">
        <f>SUMIFS(실시간콜입력!$K:$K,실시간콜입력!$B:$B,$A246,실시간콜입력!$G:$G,$B246,실시간콜입력!$O:$O,"방문완료")+SUMIFS(실시간콜입력!$L:$L,실시간콜입력!$B:$B,$A246,실시간콜입력!$H:$H,$B246,실시간콜입력!$O:$O,"방문완료")</f>
        <v>0</v>
      </c>
      <c r="M246" s="29" t="str">
        <f t="shared" si="31"/>
        <v/>
      </c>
      <c r="N246" s="29"/>
    </row>
    <row r="247" spans="1:14" ht="19.5" hidden="1" customHeight="1" outlineLevel="1">
      <c r="A247" s="24">
        <f>IF(5&lt;=DAY(DATE(YEAR(설정_코스수당!$K$2),MONTH(설정_코스수당!$K$2)+1,0)),DATE(YEAR(설정_코스수당!$K$2),MONTH(설정_코스수당!$K$2),5),"")</f>
        <v>46178</v>
      </c>
      <c r="B247" s="23" t="s">
        <v>195</v>
      </c>
      <c r="C247" s="29"/>
      <c r="D247" s="29"/>
      <c r="E247" s="29" t="str">
        <f t="shared" ref="E247:E278" si="32">IF(AND(C247&lt;&gt;"",D247&lt;&gt;""),IF(D247&lt;C247,D247+1-C247,D247-C247)*24,"")</f>
        <v/>
      </c>
      <c r="F247" s="29">
        <f>COUNTIFS(실시간콜입력!$B:$B,$A247,실시간콜입력!$E:$E,"A",실시간콜입력!$G:$G,$B247,실시간콜입력!$O:$O,"방문완료")+COUNTIFS(실시간콜입력!$B:$B,$A247,실시간콜입력!$E:$E,"A",실시간콜입력!$H:$H,$B247,실시간콜입력!$O:$O,"방문완료")</f>
        <v>0</v>
      </c>
      <c r="G247" s="29">
        <f>COUNTIFS(실시간콜입력!$B:$B,$A247,실시간콜입력!$E:$E,"B",실시간콜입력!$G:$G,$B247,실시간콜입력!$O:$O,"방문완료")+COUNTIFS(실시간콜입력!$B:$B,$A247,실시간콜입력!$E:$E,"B",실시간콜입력!$H:$H,$B247,실시간콜입력!$O:$O,"방문완료")</f>
        <v>0</v>
      </c>
      <c r="H247" s="29">
        <f>COUNTIFS(실시간콜입력!$B:$B,$A247,실시간콜입력!$E:$E,"C",실시간콜입력!$G:$G,$B247,실시간콜입력!$O:$O,"방문완료")+COUNTIFS(실시간콜입력!$B:$B,$A247,실시간콜입력!$E:$E,"C",실시간콜입력!$H:$H,$B247,실시간콜입력!$O:$O,"방문완료")</f>
        <v>0</v>
      </c>
      <c r="I247" s="29">
        <f>COUNTIFS(실시간콜입력!$B:$B,$A247,실시간콜입력!$E:$E,"D",실시간콜입력!$G:$G,$B247,실시간콜입력!$O:$O,"방문완료")+COUNTIFS(실시간콜입력!$B:$B,$A247,실시간콜입력!$E:$E,"D",실시간콜입력!$H:$H,$B247,실시간콜입력!$O:$O,"방문완료")</f>
        <v>0</v>
      </c>
      <c r="J247" s="29">
        <f>COUNTIFS(실시간콜입력!$B:$B,$A247,실시간콜입력!$E:$E,"E",실시간콜입력!$G:$G,$B247,실시간콜입력!$O:$O,"방문완료")+COUNTIFS(실시간콜입력!$B:$B,$A247,실시간콜입력!$E:$E,"E",실시간콜입력!$H:$H,$B247,실시간콜입력!$O:$O,"방문완료")</f>
        <v>0</v>
      </c>
      <c r="K247" s="29">
        <f t="shared" ref="K247:K278" si="33">SUM(F247:J247)</f>
        <v>0</v>
      </c>
      <c r="L247" s="27">
        <f>SUMIFS(실시간콜입력!$K:$K,실시간콜입력!$B:$B,$A247,실시간콜입력!$G:$G,$B247,실시간콜입력!$O:$O,"방문완료")+SUMIFS(실시간콜입력!$L:$L,실시간콜입력!$B:$B,$A247,실시간콜입력!$H:$H,$B247,실시간콜입력!$O:$O,"방문완료")</f>
        <v>0</v>
      </c>
      <c r="M247" s="29" t="str">
        <f t="shared" ref="M247:M264" si="34">IF(AND(ISNUMBER(E247),E247&gt;=8),"인정","")</f>
        <v/>
      </c>
      <c r="N247" s="29"/>
    </row>
    <row r="248" spans="1:14" ht="19.5" hidden="1" customHeight="1" outlineLevel="1">
      <c r="A248" s="30">
        <f>IF(5&lt;=DAY(DATE(YEAR(설정_코스수당!$K$2),MONTH(설정_코스수당!$K$2)+1,0)),DATE(YEAR(설정_코스수당!$K$2),MONTH(설정_코스수당!$K$2),5),"")</f>
        <v>46178</v>
      </c>
      <c r="B248" s="29" t="s">
        <v>196</v>
      </c>
      <c r="C248" s="29"/>
      <c r="D248" s="29"/>
      <c r="E248" s="29" t="str">
        <f t="shared" si="32"/>
        <v/>
      </c>
      <c r="F248" s="29">
        <f>COUNTIFS(실시간콜입력!$B:$B,$A248,실시간콜입력!$E:$E,"A",실시간콜입력!$G:$G,$B248,실시간콜입력!$O:$O,"방문완료")+COUNTIFS(실시간콜입력!$B:$B,$A248,실시간콜입력!$E:$E,"A",실시간콜입력!$H:$H,$B248,실시간콜입력!$O:$O,"방문완료")</f>
        <v>0</v>
      </c>
      <c r="G248" s="29">
        <f>COUNTIFS(실시간콜입력!$B:$B,$A248,실시간콜입력!$E:$E,"B",실시간콜입력!$G:$G,$B248,실시간콜입력!$O:$O,"방문완료")+COUNTIFS(실시간콜입력!$B:$B,$A248,실시간콜입력!$E:$E,"B",실시간콜입력!$H:$H,$B248,실시간콜입력!$O:$O,"방문완료")</f>
        <v>0</v>
      </c>
      <c r="H248" s="29">
        <f>COUNTIFS(실시간콜입력!$B:$B,$A248,실시간콜입력!$E:$E,"C",실시간콜입력!$G:$G,$B248,실시간콜입력!$O:$O,"방문완료")+COUNTIFS(실시간콜입력!$B:$B,$A248,실시간콜입력!$E:$E,"C",실시간콜입력!$H:$H,$B248,실시간콜입력!$O:$O,"방문완료")</f>
        <v>0</v>
      </c>
      <c r="I248" s="29">
        <f>COUNTIFS(실시간콜입력!$B:$B,$A248,실시간콜입력!$E:$E,"D",실시간콜입력!$G:$G,$B248,실시간콜입력!$O:$O,"방문완료")+COUNTIFS(실시간콜입력!$B:$B,$A248,실시간콜입력!$E:$E,"D",실시간콜입력!$H:$H,$B248,실시간콜입력!$O:$O,"방문완료")</f>
        <v>0</v>
      </c>
      <c r="J248" s="29">
        <f>COUNTIFS(실시간콜입력!$B:$B,$A248,실시간콜입력!$E:$E,"E",실시간콜입력!$G:$G,$B248,실시간콜입력!$O:$O,"방문완료")+COUNTIFS(실시간콜입력!$B:$B,$A248,실시간콜입력!$E:$E,"E",실시간콜입력!$H:$H,$B248,실시간콜입력!$O:$O,"방문완료")</f>
        <v>0</v>
      </c>
      <c r="K248" s="29">
        <f t="shared" si="33"/>
        <v>0</v>
      </c>
      <c r="L248" s="33">
        <f>SUMIFS(실시간콜입력!$K:$K,실시간콜입력!$B:$B,$A248,실시간콜입력!$G:$G,$B248,실시간콜입력!$O:$O,"방문완료")+SUMIFS(실시간콜입력!$L:$L,실시간콜입력!$B:$B,$A248,실시간콜입력!$H:$H,$B248,실시간콜입력!$O:$O,"방문완료")</f>
        <v>0</v>
      </c>
      <c r="M248" s="29" t="str">
        <f t="shared" si="34"/>
        <v/>
      </c>
      <c r="N248" s="29"/>
    </row>
    <row r="249" spans="1:14" ht="19.5" hidden="1" customHeight="1" outlineLevel="1">
      <c r="A249" s="24">
        <f>IF(5&lt;=DAY(DATE(YEAR(설정_코스수당!$K$2),MONTH(설정_코스수당!$K$2)+1,0)),DATE(YEAR(설정_코스수당!$K$2),MONTH(설정_코스수당!$K$2),5),"")</f>
        <v>46178</v>
      </c>
      <c r="B249" s="23" t="s">
        <v>197</v>
      </c>
      <c r="C249" s="29"/>
      <c r="D249" s="29"/>
      <c r="E249" s="29" t="str">
        <f t="shared" si="32"/>
        <v/>
      </c>
      <c r="F249" s="29">
        <f>COUNTIFS(실시간콜입력!$B:$B,$A249,실시간콜입력!$E:$E,"A",실시간콜입력!$G:$G,$B249,실시간콜입력!$O:$O,"방문완료")+COUNTIFS(실시간콜입력!$B:$B,$A249,실시간콜입력!$E:$E,"A",실시간콜입력!$H:$H,$B249,실시간콜입력!$O:$O,"방문완료")</f>
        <v>0</v>
      </c>
      <c r="G249" s="29">
        <f>COUNTIFS(실시간콜입력!$B:$B,$A249,실시간콜입력!$E:$E,"B",실시간콜입력!$G:$G,$B249,실시간콜입력!$O:$O,"방문완료")+COUNTIFS(실시간콜입력!$B:$B,$A249,실시간콜입력!$E:$E,"B",실시간콜입력!$H:$H,$B249,실시간콜입력!$O:$O,"방문완료")</f>
        <v>0</v>
      </c>
      <c r="H249" s="29">
        <f>COUNTIFS(실시간콜입력!$B:$B,$A249,실시간콜입력!$E:$E,"C",실시간콜입력!$G:$G,$B249,실시간콜입력!$O:$O,"방문완료")+COUNTIFS(실시간콜입력!$B:$B,$A249,실시간콜입력!$E:$E,"C",실시간콜입력!$H:$H,$B249,실시간콜입력!$O:$O,"방문완료")</f>
        <v>0</v>
      </c>
      <c r="I249" s="29">
        <f>COUNTIFS(실시간콜입력!$B:$B,$A249,실시간콜입력!$E:$E,"D",실시간콜입력!$G:$G,$B249,실시간콜입력!$O:$O,"방문완료")+COUNTIFS(실시간콜입력!$B:$B,$A249,실시간콜입력!$E:$E,"D",실시간콜입력!$H:$H,$B249,실시간콜입력!$O:$O,"방문완료")</f>
        <v>0</v>
      </c>
      <c r="J249" s="29">
        <f>COUNTIFS(실시간콜입력!$B:$B,$A249,실시간콜입력!$E:$E,"E",실시간콜입력!$G:$G,$B249,실시간콜입력!$O:$O,"방문완료")+COUNTIFS(실시간콜입력!$B:$B,$A249,실시간콜입력!$E:$E,"E",실시간콜입력!$H:$H,$B249,실시간콜입력!$O:$O,"방문완료")</f>
        <v>0</v>
      </c>
      <c r="K249" s="29">
        <f t="shared" si="33"/>
        <v>0</v>
      </c>
      <c r="L249" s="27">
        <f>SUMIFS(실시간콜입력!$K:$K,실시간콜입력!$B:$B,$A249,실시간콜입력!$G:$G,$B249,실시간콜입력!$O:$O,"방문완료")+SUMIFS(실시간콜입력!$L:$L,실시간콜입력!$B:$B,$A249,실시간콜입력!$H:$H,$B249,실시간콜입력!$O:$O,"방문완료")</f>
        <v>0</v>
      </c>
      <c r="M249" s="29" t="str">
        <f t="shared" si="34"/>
        <v/>
      </c>
      <c r="N249" s="29"/>
    </row>
    <row r="250" spans="1:14" ht="19.5" hidden="1" customHeight="1" outlineLevel="1">
      <c r="A250" s="30">
        <f>IF(5&lt;=DAY(DATE(YEAR(설정_코스수당!$K$2),MONTH(설정_코스수당!$K$2)+1,0)),DATE(YEAR(설정_코스수당!$K$2),MONTH(설정_코스수당!$K$2),5),"")</f>
        <v>46178</v>
      </c>
      <c r="B250" s="29" t="s">
        <v>198</v>
      </c>
      <c r="C250" s="29"/>
      <c r="D250" s="29"/>
      <c r="E250" s="29" t="str">
        <f t="shared" si="32"/>
        <v/>
      </c>
      <c r="F250" s="29">
        <f>COUNTIFS(실시간콜입력!$B:$B,$A250,실시간콜입력!$E:$E,"A",실시간콜입력!$G:$G,$B250,실시간콜입력!$O:$O,"방문완료")+COUNTIFS(실시간콜입력!$B:$B,$A250,실시간콜입력!$E:$E,"A",실시간콜입력!$H:$H,$B250,실시간콜입력!$O:$O,"방문완료")</f>
        <v>0</v>
      </c>
      <c r="G250" s="29">
        <f>COUNTIFS(실시간콜입력!$B:$B,$A250,실시간콜입력!$E:$E,"B",실시간콜입력!$G:$G,$B250,실시간콜입력!$O:$O,"방문완료")+COUNTIFS(실시간콜입력!$B:$B,$A250,실시간콜입력!$E:$E,"B",실시간콜입력!$H:$H,$B250,실시간콜입력!$O:$O,"방문완료")</f>
        <v>0</v>
      </c>
      <c r="H250" s="29">
        <f>COUNTIFS(실시간콜입력!$B:$B,$A250,실시간콜입력!$E:$E,"C",실시간콜입력!$G:$G,$B250,실시간콜입력!$O:$O,"방문완료")+COUNTIFS(실시간콜입력!$B:$B,$A250,실시간콜입력!$E:$E,"C",실시간콜입력!$H:$H,$B250,실시간콜입력!$O:$O,"방문완료")</f>
        <v>0</v>
      </c>
      <c r="I250" s="29">
        <f>COUNTIFS(실시간콜입력!$B:$B,$A250,실시간콜입력!$E:$E,"D",실시간콜입력!$G:$G,$B250,실시간콜입력!$O:$O,"방문완료")+COUNTIFS(실시간콜입력!$B:$B,$A250,실시간콜입력!$E:$E,"D",실시간콜입력!$H:$H,$B250,실시간콜입력!$O:$O,"방문완료")</f>
        <v>0</v>
      </c>
      <c r="J250" s="29">
        <f>COUNTIFS(실시간콜입력!$B:$B,$A250,실시간콜입력!$E:$E,"E",실시간콜입력!$G:$G,$B250,실시간콜입력!$O:$O,"방문완료")+COUNTIFS(실시간콜입력!$B:$B,$A250,실시간콜입력!$E:$E,"E",실시간콜입력!$H:$H,$B250,실시간콜입력!$O:$O,"방문완료")</f>
        <v>0</v>
      </c>
      <c r="K250" s="29">
        <f t="shared" si="33"/>
        <v>0</v>
      </c>
      <c r="L250" s="33">
        <f>SUMIFS(실시간콜입력!$K:$K,실시간콜입력!$B:$B,$A250,실시간콜입력!$G:$G,$B250,실시간콜입력!$O:$O,"방문완료")+SUMIFS(실시간콜입력!$L:$L,실시간콜입력!$B:$B,$A250,실시간콜입력!$H:$H,$B250,실시간콜입력!$O:$O,"방문완료")</f>
        <v>0</v>
      </c>
      <c r="M250" s="29" t="str">
        <f t="shared" si="34"/>
        <v/>
      </c>
      <c r="N250" s="29"/>
    </row>
    <row r="251" spans="1:14" ht="19.5" hidden="1" customHeight="1" outlineLevel="1">
      <c r="A251" s="24">
        <f>IF(5&lt;=DAY(DATE(YEAR(설정_코스수당!$K$2),MONTH(설정_코스수당!$K$2)+1,0)),DATE(YEAR(설정_코스수당!$K$2),MONTH(설정_코스수당!$K$2),5),"")</f>
        <v>46178</v>
      </c>
      <c r="B251" s="23" t="s">
        <v>199</v>
      </c>
      <c r="C251" s="29"/>
      <c r="D251" s="29"/>
      <c r="E251" s="29" t="str">
        <f t="shared" si="32"/>
        <v/>
      </c>
      <c r="F251" s="29">
        <f>COUNTIFS(실시간콜입력!$B:$B,$A251,실시간콜입력!$E:$E,"A",실시간콜입력!$G:$G,$B251,실시간콜입력!$O:$O,"방문완료")+COUNTIFS(실시간콜입력!$B:$B,$A251,실시간콜입력!$E:$E,"A",실시간콜입력!$H:$H,$B251,실시간콜입력!$O:$O,"방문완료")</f>
        <v>0</v>
      </c>
      <c r="G251" s="29">
        <f>COUNTIFS(실시간콜입력!$B:$B,$A251,실시간콜입력!$E:$E,"B",실시간콜입력!$G:$G,$B251,실시간콜입력!$O:$O,"방문완료")+COUNTIFS(실시간콜입력!$B:$B,$A251,실시간콜입력!$E:$E,"B",실시간콜입력!$H:$H,$B251,실시간콜입력!$O:$O,"방문완료")</f>
        <v>0</v>
      </c>
      <c r="H251" s="29">
        <f>COUNTIFS(실시간콜입력!$B:$B,$A251,실시간콜입력!$E:$E,"C",실시간콜입력!$G:$G,$B251,실시간콜입력!$O:$O,"방문완료")+COUNTIFS(실시간콜입력!$B:$B,$A251,실시간콜입력!$E:$E,"C",실시간콜입력!$H:$H,$B251,실시간콜입력!$O:$O,"방문완료")</f>
        <v>0</v>
      </c>
      <c r="I251" s="29">
        <f>COUNTIFS(실시간콜입력!$B:$B,$A251,실시간콜입력!$E:$E,"D",실시간콜입력!$G:$G,$B251,실시간콜입력!$O:$O,"방문완료")+COUNTIFS(실시간콜입력!$B:$B,$A251,실시간콜입력!$E:$E,"D",실시간콜입력!$H:$H,$B251,실시간콜입력!$O:$O,"방문완료")</f>
        <v>0</v>
      </c>
      <c r="J251" s="29">
        <f>COUNTIFS(실시간콜입력!$B:$B,$A251,실시간콜입력!$E:$E,"E",실시간콜입력!$G:$G,$B251,실시간콜입력!$O:$O,"방문완료")+COUNTIFS(실시간콜입력!$B:$B,$A251,실시간콜입력!$E:$E,"E",실시간콜입력!$H:$H,$B251,실시간콜입력!$O:$O,"방문완료")</f>
        <v>0</v>
      </c>
      <c r="K251" s="29">
        <f t="shared" si="33"/>
        <v>0</v>
      </c>
      <c r="L251" s="27">
        <f>SUMIFS(실시간콜입력!$K:$K,실시간콜입력!$B:$B,$A251,실시간콜입력!$G:$G,$B251,실시간콜입력!$O:$O,"방문완료")+SUMIFS(실시간콜입력!$L:$L,실시간콜입력!$B:$B,$A251,실시간콜입력!$H:$H,$B251,실시간콜입력!$O:$O,"방문완료")</f>
        <v>0</v>
      </c>
      <c r="M251" s="29" t="str">
        <f t="shared" si="34"/>
        <v/>
      </c>
      <c r="N251" s="29"/>
    </row>
    <row r="252" spans="1:14" ht="19.5" hidden="1" customHeight="1" outlineLevel="1">
      <c r="A252" s="30">
        <f>IF(5&lt;=DAY(DATE(YEAR(설정_코스수당!$K$2),MONTH(설정_코스수당!$K$2)+1,0)),DATE(YEAR(설정_코스수당!$K$2),MONTH(설정_코스수당!$K$2),5),"")</f>
        <v>46178</v>
      </c>
      <c r="B252" s="29" t="s">
        <v>200</v>
      </c>
      <c r="C252" s="29"/>
      <c r="D252" s="29"/>
      <c r="E252" s="29" t="str">
        <f t="shared" si="32"/>
        <v/>
      </c>
      <c r="F252" s="29">
        <f>COUNTIFS(실시간콜입력!$B:$B,$A252,실시간콜입력!$E:$E,"A",실시간콜입력!$G:$G,$B252,실시간콜입력!$O:$O,"방문완료")+COUNTIFS(실시간콜입력!$B:$B,$A252,실시간콜입력!$E:$E,"A",실시간콜입력!$H:$H,$B252,실시간콜입력!$O:$O,"방문완료")</f>
        <v>0</v>
      </c>
      <c r="G252" s="29">
        <f>COUNTIFS(실시간콜입력!$B:$B,$A252,실시간콜입력!$E:$E,"B",실시간콜입력!$G:$G,$B252,실시간콜입력!$O:$O,"방문완료")+COUNTIFS(실시간콜입력!$B:$B,$A252,실시간콜입력!$E:$E,"B",실시간콜입력!$H:$H,$B252,실시간콜입력!$O:$O,"방문완료")</f>
        <v>0</v>
      </c>
      <c r="H252" s="29">
        <f>COUNTIFS(실시간콜입력!$B:$B,$A252,실시간콜입력!$E:$E,"C",실시간콜입력!$G:$G,$B252,실시간콜입력!$O:$O,"방문완료")+COUNTIFS(실시간콜입력!$B:$B,$A252,실시간콜입력!$E:$E,"C",실시간콜입력!$H:$H,$B252,실시간콜입력!$O:$O,"방문완료")</f>
        <v>0</v>
      </c>
      <c r="I252" s="29">
        <f>COUNTIFS(실시간콜입력!$B:$B,$A252,실시간콜입력!$E:$E,"D",실시간콜입력!$G:$G,$B252,실시간콜입력!$O:$O,"방문완료")+COUNTIFS(실시간콜입력!$B:$B,$A252,실시간콜입력!$E:$E,"D",실시간콜입력!$H:$H,$B252,실시간콜입력!$O:$O,"방문완료")</f>
        <v>0</v>
      </c>
      <c r="J252" s="29">
        <f>COUNTIFS(실시간콜입력!$B:$B,$A252,실시간콜입력!$E:$E,"E",실시간콜입력!$G:$G,$B252,실시간콜입력!$O:$O,"방문완료")+COUNTIFS(실시간콜입력!$B:$B,$A252,실시간콜입력!$E:$E,"E",실시간콜입력!$H:$H,$B252,실시간콜입력!$O:$O,"방문완료")</f>
        <v>0</v>
      </c>
      <c r="K252" s="29">
        <f t="shared" si="33"/>
        <v>0</v>
      </c>
      <c r="L252" s="33">
        <f>SUMIFS(실시간콜입력!$K:$K,실시간콜입력!$B:$B,$A252,실시간콜입력!$G:$G,$B252,실시간콜입력!$O:$O,"방문완료")+SUMIFS(실시간콜입력!$L:$L,실시간콜입력!$B:$B,$A252,실시간콜입력!$H:$H,$B252,실시간콜입력!$O:$O,"방문완료")</f>
        <v>0</v>
      </c>
      <c r="M252" s="29" t="str">
        <f t="shared" si="34"/>
        <v/>
      </c>
      <c r="N252" s="29"/>
    </row>
    <row r="253" spans="1:14" ht="19.5" hidden="1" customHeight="1" outlineLevel="1">
      <c r="A253" s="24">
        <f>IF(5&lt;=DAY(DATE(YEAR(설정_코스수당!$K$2),MONTH(설정_코스수당!$K$2)+1,0)),DATE(YEAR(설정_코스수당!$K$2),MONTH(설정_코스수당!$K$2),5),"")</f>
        <v>46178</v>
      </c>
      <c r="B253" s="23" t="s">
        <v>201</v>
      </c>
      <c r="C253" s="29"/>
      <c r="D253" s="29"/>
      <c r="E253" s="29" t="str">
        <f t="shared" si="32"/>
        <v/>
      </c>
      <c r="F253" s="29">
        <f>COUNTIFS(실시간콜입력!$B:$B,$A253,실시간콜입력!$E:$E,"A",실시간콜입력!$G:$G,$B253,실시간콜입력!$O:$O,"방문완료")+COUNTIFS(실시간콜입력!$B:$B,$A253,실시간콜입력!$E:$E,"A",실시간콜입력!$H:$H,$B253,실시간콜입력!$O:$O,"방문완료")</f>
        <v>0</v>
      </c>
      <c r="G253" s="29">
        <f>COUNTIFS(실시간콜입력!$B:$B,$A253,실시간콜입력!$E:$E,"B",실시간콜입력!$G:$G,$B253,실시간콜입력!$O:$O,"방문완료")+COUNTIFS(실시간콜입력!$B:$B,$A253,실시간콜입력!$E:$E,"B",실시간콜입력!$H:$H,$B253,실시간콜입력!$O:$O,"방문완료")</f>
        <v>0</v>
      </c>
      <c r="H253" s="29">
        <f>COUNTIFS(실시간콜입력!$B:$B,$A253,실시간콜입력!$E:$E,"C",실시간콜입력!$G:$G,$B253,실시간콜입력!$O:$O,"방문완료")+COUNTIFS(실시간콜입력!$B:$B,$A253,실시간콜입력!$E:$E,"C",실시간콜입력!$H:$H,$B253,실시간콜입력!$O:$O,"방문완료")</f>
        <v>0</v>
      </c>
      <c r="I253" s="29">
        <f>COUNTIFS(실시간콜입력!$B:$B,$A253,실시간콜입력!$E:$E,"D",실시간콜입력!$G:$G,$B253,실시간콜입력!$O:$O,"방문완료")+COUNTIFS(실시간콜입력!$B:$B,$A253,실시간콜입력!$E:$E,"D",실시간콜입력!$H:$H,$B253,실시간콜입력!$O:$O,"방문완료")</f>
        <v>0</v>
      </c>
      <c r="J253" s="29">
        <f>COUNTIFS(실시간콜입력!$B:$B,$A253,실시간콜입력!$E:$E,"E",실시간콜입력!$G:$G,$B253,실시간콜입력!$O:$O,"방문완료")+COUNTIFS(실시간콜입력!$B:$B,$A253,실시간콜입력!$E:$E,"E",실시간콜입력!$H:$H,$B253,실시간콜입력!$O:$O,"방문완료")</f>
        <v>0</v>
      </c>
      <c r="K253" s="29">
        <f t="shared" si="33"/>
        <v>0</v>
      </c>
      <c r="L253" s="27">
        <f>SUMIFS(실시간콜입력!$K:$K,실시간콜입력!$B:$B,$A253,실시간콜입력!$G:$G,$B253,실시간콜입력!$O:$O,"방문완료")+SUMIFS(실시간콜입력!$L:$L,실시간콜입력!$B:$B,$A253,실시간콜입력!$H:$H,$B253,실시간콜입력!$O:$O,"방문완료")</f>
        <v>0</v>
      </c>
      <c r="M253" s="29" t="str">
        <f t="shared" si="34"/>
        <v/>
      </c>
      <c r="N253" s="29"/>
    </row>
    <row r="254" spans="1:14" ht="19.5" hidden="1" customHeight="1" outlineLevel="1">
      <c r="A254" s="30">
        <f>IF(5&lt;=DAY(DATE(YEAR(설정_코스수당!$K$2),MONTH(설정_코스수당!$K$2)+1,0)),DATE(YEAR(설정_코스수당!$K$2),MONTH(설정_코스수당!$K$2),5),"")</f>
        <v>46178</v>
      </c>
      <c r="B254" s="29" t="s">
        <v>202</v>
      </c>
      <c r="C254" s="29"/>
      <c r="D254" s="29"/>
      <c r="E254" s="29" t="str">
        <f t="shared" si="32"/>
        <v/>
      </c>
      <c r="F254" s="29">
        <f>COUNTIFS(실시간콜입력!$B:$B,$A254,실시간콜입력!$E:$E,"A",실시간콜입력!$G:$G,$B254,실시간콜입력!$O:$O,"방문완료")+COUNTIFS(실시간콜입력!$B:$B,$A254,실시간콜입력!$E:$E,"A",실시간콜입력!$H:$H,$B254,실시간콜입력!$O:$O,"방문완료")</f>
        <v>0</v>
      </c>
      <c r="G254" s="29">
        <f>COUNTIFS(실시간콜입력!$B:$B,$A254,실시간콜입력!$E:$E,"B",실시간콜입력!$G:$G,$B254,실시간콜입력!$O:$O,"방문완료")+COUNTIFS(실시간콜입력!$B:$B,$A254,실시간콜입력!$E:$E,"B",실시간콜입력!$H:$H,$B254,실시간콜입력!$O:$O,"방문완료")</f>
        <v>0</v>
      </c>
      <c r="H254" s="29">
        <f>COUNTIFS(실시간콜입력!$B:$B,$A254,실시간콜입력!$E:$E,"C",실시간콜입력!$G:$G,$B254,실시간콜입력!$O:$O,"방문완료")+COUNTIFS(실시간콜입력!$B:$B,$A254,실시간콜입력!$E:$E,"C",실시간콜입력!$H:$H,$B254,실시간콜입력!$O:$O,"방문완료")</f>
        <v>0</v>
      </c>
      <c r="I254" s="29">
        <f>COUNTIFS(실시간콜입력!$B:$B,$A254,실시간콜입력!$E:$E,"D",실시간콜입력!$G:$G,$B254,실시간콜입력!$O:$O,"방문완료")+COUNTIFS(실시간콜입력!$B:$B,$A254,실시간콜입력!$E:$E,"D",실시간콜입력!$H:$H,$B254,실시간콜입력!$O:$O,"방문완료")</f>
        <v>0</v>
      </c>
      <c r="J254" s="29">
        <f>COUNTIFS(실시간콜입력!$B:$B,$A254,실시간콜입력!$E:$E,"E",실시간콜입력!$G:$G,$B254,실시간콜입력!$O:$O,"방문완료")+COUNTIFS(실시간콜입력!$B:$B,$A254,실시간콜입력!$E:$E,"E",실시간콜입력!$H:$H,$B254,실시간콜입력!$O:$O,"방문완료")</f>
        <v>0</v>
      </c>
      <c r="K254" s="29">
        <f t="shared" si="33"/>
        <v>0</v>
      </c>
      <c r="L254" s="33">
        <f>SUMIFS(실시간콜입력!$K:$K,실시간콜입력!$B:$B,$A254,실시간콜입력!$G:$G,$B254,실시간콜입력!$O:$O,"방문완료")+SUMIFS(실시간콜입력!$L:$L,실시간콜입력!$B:$B,$A254,실시간콜입력!$H:$H,$B254,실시간콜입력!$O:$O,"방문완료")</f>
        <v>0</v>
      </c>
      <c r="M254" s="29" t="str">
        <f t="shared" si="34"/>
        <v/>
      </c>
      <c r="N254" s="29"/>
    </row>
    <row r="255" spans="1:14" ht="19.5" hidden="1" customHeight="1" outlineLevel="1">
      <c r="A255" s="24">
        <f>IF(5&lt;=DAY(DATE(YEAR(설정_코스수당!$K$2),MONTH(설정_코스수당!$K$2)+1,0)),DATE(YEAR(설정_코스수당!$K$2),MONTH(설정_코스수당!$K$2),5),"")</f>
        <v>46178</v>
      </c>
      <c r="B255" s="23" t="s">
        <v>203</v>
      </c>
      <c r="C255" s="29"/>
      <c r="D255" s="29"/>
      <c r="E255" s="29" t="str">
        <f t="shared" si="32"/>
        <v/>
      </c>
      <c r="F255" s="29">
        <f>COUNTIFS(실시간콜입력!$B:$B,$A255,실시간콜입력!$E:$E,"A",실시간콜입력!$G:$G,$B255,실시간콜입력!$O:$O,"방문완료")+COUNTIFS(실시간콜입력!$B:$B,$A255,실시간콜입력!$E:$E,"A",실시간콜입력!$H:$H,$B255,실시간콜입력!$O:$O,"방문완료")</f>
        <v>0</v>
      </c>
      <c r="G255" s="29">
        <f>COUNTIFS(실시간콜입력!$B:$B,$A255,실시간콜입력!$E:$E,"B",실시간콜입력!$G:$G,$B255,실시간콜입력!$O:$O,"방문완료")+COUNTIFS(실시간콜입력!$B:$B,$A255,실시간콜입력!$E:$E,"B",실시간콜입력!$H:$H,$B255,실시간콜입력!$O:$O,"방문완료")</f>
        <v>0</v>
      </c>
      <c r="H255" s="29">
        <f>COUNTIFS(실시간콜입력!$B:$B,$A255,실시간콜입력!$E:$E,"C",실시간콜입력!$G:$G,$B255,실시간콜입력!$O:$O,"방문완료")+COUNTIFS(실시간콜입력!$B:$B,$A255,실시간콜입력!$E:$E,"C",실시간콜입력!$H:$H,$B255,실시간콜입력!$O:$O,"방문완료")</f>
        <v>0</v>
      </c>
      <c r="I255" s="29">
        <f>COUNTIFS(실시간콜입력!$B:$B,$A255,실시간콜입력!$E:$E,"D",실시간콜입력!$G:$G,$B255,실시간콜입력!$O:$O,"방문완료")+COUNTIFS(실시간콜입력!$B:$B,$A255,실시간콜입력!$E:$E,"D",실시간콜입력!$H:$H,$B255,실시간콜입력!$O:$O,"방문완료")</f>
        <v>0</v>
      </c>
      <c r="J255" s="29">
        <f>COUNTIFS(실시간콜입력!$B:$B,$A255,실시간콜입력!$E:$E,"E",실시간콜입력!$G:$G,$B255,실시간콜입력!$O:$O,"방문완료")+COUNTIFS(실시간콜입력!$B:$B,$A255,실시간콜입력!$E:$E,"E",실시간콜입력!$H:$H,$B255,실시간콜입력!$O:$O,"방문완료")</f>
        <v>0</v>
      </c>
      <c r="K255" s="29">
        <f t="shared" si="33"/>
        <v>0</v>
      </c>
      <c r="L255" s="27">
        <f>SUMIFS(실시간콜입력!$K:$K,실시간콜입력!$B:$B,$A255,실시간콜입력!$G:$G,$B255,실시간콜입력!$O:$O,"방문완료")+SUMIFS(실시간콜입력!$L:$L,실시간콜입력!$B:$B,$A255,실시간콜입력!$H:$H,$B255,실시간콜입력!$O:$O,"방문완료")</f>
        <v>0</v>
      </c>
      <c r="M255" s="29" t="str">
        <f t="shared" si="34"/>
        <v/>
      </c>
      <c r="N255" s="29"/>
    </row>
    <row r="256" spans="1:14" ht="19.5" hidden="1" customHeight="1" outlineLevel="1">
      <c r="A256" s="30">
        <f>IF(5&lt;=DAY(DATE(YEAR(설정_코스수당!$K$2),MONTH(설정_코스수당!$K$2)+1,0)),DATE(YEAR(설정_코스수당!$K$2),MONTH(설정_코스수당!$K$2),5),"")</f>
        <v>46178</v>
      </c>
      <c r="B256" s="29" t="s">
        <v>204</v>
      </c>
      <c r="C256" s="29"/>
      <c r="D256" s="29"/>
      <c r="E256" s="29" t="str">
        <f t="shared" si="32"/>
        <v/>
      </c>
      <c r="F256" s="29">
        <f>COUNTIFS(실시간콜입력!$B:$B,$A256,실시간콜입력!$E:$E,"A",실시간콜입력!$G:$G,$B256,실시간콜입력!$O:$O,"방문완료")+COUNTIFS(실시간콜입력!$B:$B,$A256,실시간콜입력!$E:$E,"A",실시간콜입력!$H:$H,$B256,실시간콜입력!$O:$O,"방문완료")</f>
        <v>0</v>
      </c>
      <c r="G256" s="29">
        <f>COUNTIFS(실시간콜입력!$B:$B,$A256,실시간콜입력!$E:$E,"B",실시간콜입력!$G:$G,$B256,실시간콜입력!$O:$O,"방문완료")+COUNTIFS(실시간콜입력!$B:$B,$A256,실시간콜입력!$E:$E,"B",실시간콜입력!$H:$H,$B256,실시간콜입력!$O:$O,"방문완료")</f>
        <v>0</v>
      </c>
      <c r="H256" s="29">
        <f>COUNTIFS(실시간콜입력!$B:$B,$A256,실시간콜입력!$E:$E,"C",실시간콜입력!$G:$G,$B256,실시간콜입력!$O:$O,"방문완료")+COUNTIFS(실시간콜입력!$B:$B,$A256,실시간콜입력!$E:$E,"C",실시간콜입력!$H:$H,$B256,실시간콜입력!$O:$O,"방문완료")</f>
        <v>0</v>
      </c>
      <c r="I256" s="29">
        <f>COUNTIFS(실시간콜입력!$B:$B,$A256,실시간콜입력!$E:$E,"D",실시간콜입력!$G:$G,$B256,실시간콜입력!$O:$O,"방문완료")+COUNTIFS(실시간콜입력!$B:$B,$A256,실시간콜입력!$E:$E,"D",실시간콜입력!$H:$H,$B256,실시간콜입력!$O:$O,"방문완료")</f>
        <v>0</v>
      </c>
      <c r="J256" s="29">
        <f>COUNTIFS(실시간콜입력!$B:$B,$A256,실시간콜입력!$E:$E,"E",실시간콜입력!$G:$G,$B256,실시간콜입력!$O:$O,"방문완료")+COUNTIFS(실시간콜입력!$B:$B,$A256,실시간콜입력!$E:$E,"E",실시간콜입력!$H:$H,$B256,실시간콜입력!$O:$O,"방문완료")</f>
        <v>0</v>
      </c>
      <c r="K256" s="29">
        <f t="shared" si="33"/>
        <v>0</v>
      </c>
      <c r="L256" s="33">
        <f>SUMIFS(실시간콜입력!$K:$K,실시간콜입력!$B:$B,$A256,실시간콜입력!$G:$G,$B256,실시간콜입력!$O:$O,"방문완료")+SUMIFS(실시간콜입력!$L:$L,실시간콜입력!$B:$B,$A256,실시간콜입력!$H:$H,$B256,실시간콜입력!$O:$O,"방문완료")</f>
        <v>0</v>
      </c>
      <c r="M256" s="29" t="str">
        <f t="shared" si="34"/>
        <v/>
      </c>
      <c r="N256" s="29"/>
    </row>
    <row r="257" spans="1:14" ht="19.5" hidden="1" customHeight="1" outlineLevel="1">
      <c r="A257" s="24">
        <f>IF(5&lt;=DAY(DATE(YEAR(설정_코스수당!$K$2),MONTH(설정_코스수당!$K$2)+1,0)),DATE(YEAR(설정_코스수당!$K$2),MONTH(설정_코스수당!$K$2),5),"")</f>
        <v>46178</v>
      </c>
      <c r="B257" s="23" t="s">
        <v>205</v>
      </c>
      <c r="C257" s="29"/>
      <c r="D257" s="29"/>
      <c r="E257" s="29" t="str">
        <f t="shared" si="32"/>
        <v/>
      </c>
      <c r="F257" s="29">
        <f>COUNTIFS(실시간콜입력!$B:$B,$A257,실시간콜입력!$E:$E,"A",실시간콜입력!$G:$G,$B257,실시간콜입력!$O:$O,"방문완료")+COUNTIFS(실시간콜입력!$B:$B,$A257,실시간콜입력!$E:$E,"A",실시간콜입력!$H:$H,$B257,실시간콜입력!$O:$O,"방문완료")</f>
        <v>0</v>
      </c>
      <c r="G257" s="29">
        <f>COUNTIFS(실시간콜입력!$B:$B,$A257,실시간콜입력!$E:$E,"B",실시간콜입력!$G:$G,$B257,실시간콜입력!$O:$O,"방문완료")+COUNTIFS(실시간콜입력!$B:$B,$A257,실시간콜입력!$E:$E,"B",실시간콜입력!$H:$H,$B257,실시간콜입력!$O:$O,"방문완료")</f>
        <v>0</v>
      </c>
      <c r="H257" s="29">
        <f>COUNTIFS(실시간콜입력!$B:$B,$A257,실시간콜입력!$E:$E,"C",실시간콜입력!$G:$G,$B257,실시간콜입력!$O:$O,"방문완료")+COUNTIFS(실시간콜입력!$B:$B,$A257,실시간콜입력!$E:$E,"C",실시간콜입력!$H:$H,$B257,실시간콜입력!$O:$O,"방문완료")</f>
        <v>0</v>
      </c>
      <c r="I257" s="29">
        <f>COUNTIFS(실시간콜입력!$B:$B,$A257,실시간콜입력!$E:$E,"D",실시간콜입력!$G:$G,$B257,실시간콜입력!$O:$O,"방문완료")+COUNTIFS(실시간콜입력!$B:$B,$A257,실시간콜입력!$E:$E,"D",실시간콜입력!$H:$H,$B257,실시간콜입력!$O:$O,"방문완료")</f>
        <v>0</v>
      </c>
      <c r="J257" s="29">
        <f>COUNTIFS(실시간콜입력!$B:$B,$A257,실시간콜입력!$E:$E,"E",실시간콜입력!$G:$G,$B257,실시간콜입력!$O:$O,"방문완료")+COUNTIFS(실시간콜입력!$B:$B,$A257,실시간콜입력!$E:$E,"E",실시간콜입력!$H:$H,$B257,실시간콜입력!$O:$O,"방문완료")</f>
        <v>0</v>
      </c>
      <c r="K257" s="29">
        <f t="shared" si="33"/>
        <v>0</v>
      </c>
      <c r="L257" s="27">
        <f>SUMIFS(실시간콜입력!$K:$K,실시간콜입력!$B:$B,$A257,실시간콜입력!$G:$G,$B257,실시간콜입력!$O:$O,"방문완료")+SUMIFS(실시간콜입력!$L:$L,실시간콜입력!$B:$B,$A257,실시간콜입력!$H:$H,$B257,실시간콜입력!$O:$O,"방문완료")</f>
        <v>0</v>
      </c>
      <c r="M257" s="29" t="str">
        <f t="shared" si="34"/>
        <v/>
      </c>
      <c r="N257" s="29"/>
    </row>
    <row r="258" spans="1:14" ht="19.5" hidden="1" customHeight="1" outlineLevel="1">
      <c r="A258" s="30">
        <f>IF(5&lt;=DAY(DATE(YEAR(설정_코스수당!$K$2),MONTH(설정_코스수당!$K$2)+1,0)),DATE(YEAR(설정_코스수당!$K$2),MONTH(설정_코스수당!$K$2),5),"")</f>
        <v>46178</v>
      </c>
      <c r="B258" s="29" t="s">
        <v>206</v>
      </c>
      <c r="C258" s="29"/>
      <c r="D258" s="29"/>
      <c r="E258" s="29" t="str">
        <f t="shared" si="32"/>
        <v/>
      </c>
      <c r="F258" s="29">
        <f>COUNTIFS(실시간콜입력!$B:$B,$A258,실시간콜입력!$E:$E,"A",실시간콜입력!$G:$G,$B258,실시간콜입력!$O:$O,"방문완료")+COUNTIFS(실시간콜입력!$B:$B,$A258,실시간콜입력!$E:$E,"A",실시간콜입력!$H:$H,$B258,실시간콜입력!$O:$O,"방문완료")</f>
        <v>0</v>
      </c>
      <c r="G258" s="29">
        <f>COUNTIFS(실시간콜입력!$B:$B,$A258,실시간콜입력!$E:$E,"B",실시간콜입력!$G:$G,$B258,실시간콜입력!$O:$O,"방문완료")+COUNTIFS(실시간콜입력!$B:$B,$A258,실시간콜입력!$E:$E,"B",실시간콜입력!$H:$H,$B258,실시간콜입력!$O:$O,"방문완료")</f>
        <v>0</v>
      </c>
      <c r="H258" s="29">
        <f>COUNTIFS(실시간콜입력!$B:$B,$A258,실시간콜입력!$E:$E,"C",실시간콜입력!$G:$G,$B258,실시간콜입력!$O:$O,"방문완료")+COUNTIFS(실시간콜입력!$B:$B,$A258,실시간콜입력!$E:$E,"C",실시간콜입력!$H:$H,$B258,실시간콜입력!$O:$O,"방문완료")</f>
        <v>0</v>
      </c>
      <c r="I258" s="29">
        <f>COUNTIFS(실시간콜입력!$B:$B,$A258,실시간콜입력!$E:$E,"D",실시간콜입력!$G:$G,$B258,실시간콜입력!$O:$O,"방문완료")+COUNTIFS(실시간콜입력!$B:$B,$A258,실시간콜입력!$E:$E,"D",실시간콜입력!$H:$H,$B258,실시간콜입력!$O:$O,"방문완료")</f>
        <v>0</v>
      </c>
      <c r="J258" s="29">
        <f>COUNTIFS(실시간콜입력!$B:$B,$A258,실시간콜입력!$E:$E,"E",실시간콜입력!$G:$G,$B258,실시간콜입력!$O:$O,"방문완료")+COUNTIFS(실시간콜입력!$B:$B,$A258,실시간콜입력!$E:$E,"E",실시간콜입력!$H:$H,$B258,실시간콜입력!$O:$O,"방문완료")</f>
        <v>0</v>
      </c>
      <c r="K258" s="29">
        <f t="shared" si="33"/>
        <v>0</v>
      </c>
      <c r="L258" s="33">
        <f>SUMIFS(실시간콜입력!$K:$K,실시간콜입력!$B:$B,$A258,실시간콜입력!$G:$G,$B258,실시간콜입력!$O:$O,"방문완료")+SUMIFS(실시간콜입력!$L:$L,실시간콜입력!$B:$B,$A258,실시간콜입력!$H:$H,$B258,실시간콜입력!$O:$O,"방문완료")</f>
        <v>0</v>
      </c>
      <c r="M258" s="29" t="str">
        <f t="shared" si="34"/>
        <v/>
      </c>
      <c r="N258" s="29"/>
    </row>
    <row r="259" spans="1:14" ht="19.5" hidden="1" customHeight="1" outlineLevel="1">
      <c r="A259" s="24">
        <f>IF(5&lt;=DAY(DATE(YEAR(설정_코스수당!$K$2),MONTH(설정_코스수당!$K$2)+1,0)),DATE(YEAR(설정_코스수당!$K$2),MONTH(설정_코스수당!$K$2),5),"")</f>
        <v>46178</v>
      </c>
      <c r="B259" s="23" t="s">
        <v>207</v>
      </c>
      <c r="C259" s="29"/>
      <c r="D259" s="29"/>
      <c r="E259" s="29" t="str">
        <f t="shared" si="32"/>
        <v/>
      </c>
      <c r="F259" s="29">
        <f>COUNTIFS(실시간콜입력!$B:$B,$A259,실시간콜입력!$E:$E,"A",실시간콜입력!$G:$G,$B259,실시간콜입력!$O:$O,"방문완료")+COUNTIFS(실시간콜입력!$B:$B,$A259,실시간콜입력!$E:$E,"A",실시간콜입력!$H:$H,$B259,실시간콜입력!$O:$O,"방문완료")</f>
        <v>0</v>
      </c>
      <c r="G259" s="29">
        <f>COUNTIFS(실시간콜입력!$B:$B,$A259,실시간콜입력!$E:$E,"B",실시간콜입력!$G:$G,$B259,실시간콜입력!$O:$O,"방문완료")+COUNTIFS(실시간콜입력!$B:$B,$A259,실시간콜입력!$E:$E,"B",실시간콜입력!$H:$H,$B259,실시간콜입력!$O:$O,"방문완료")</f>
        <v>0</v>
      </c>
      <c r="H259" s="29">
        <f>COUNTIFS(실시간콜입력!$B:$B,$A259,실시간콜입력!$E:$E,"C",실시간콜입력!$G:$G,$B259,실시간콜입력!$O:$O,"방문완료")+COUNTIFS(실시간콜입력!$B:$B,$A259,실시간콜입력!$E:$E,"C",실시간콜입력!$H:$H,$B259,실시간콜입력!$O:$O,"방문완료")</f>
        <v>0</v>
      </c>
      <c r="I259" s="29">
        <f>COUNTIFS(실시간콜입력!$B:$B,$A259,실시간콜입력!$E:$E,"D",실시간콜입력!$G:$G,$B259,실시간콜입력!$O:$O,"방문완료")+COUNTIFS(실시간콜입력!$B:$B,$A259,실시간콜입력!$E:$E,"D",실시간콜입력!$H:$H,$B259,실시간콜입력!$O:$O,"방문완료")</f>
        <v>0</v>
      </c>
      <c r="J259" s="29">
        <f>COUNTIFS(실시간콜입력!$B:$B,$A259,실시간콜입력!$E:$E,"E",실시간콜입력!$G:$G,$B259,실시간콜입력!$O:$O,"방문완료")+COUNTIFS(실시간콜입력!$B:$B,$A259,실시간콜입력!$E:$E,"E",실시간콜입력!$H:$H,$B259,실시간콜입력!$O:$O,"방문완료")</f>
        <v>0</v>
      </c>
      <c r="K259" s="29">
        <f t="shared" si="33"/>
        <v>0</v>
      </c>
      <c r="L259" s="27">
        <f>SUMIFS(실시간콜입력!$K:$K,실시간콜입력!$B:$B,$A259,실시간콜입력!$G:$G,$B259,실시간콜입력!$O:$O,"방문완료")+SUMIFS(실시간콜입력!$L:$L,실시간콜입력!$B:$B,$A259,실시간콜입력!$H:$H,$B259,실시간콜입력!$O:$O,"방문완료")</f>
        <v>0</v>
      </c>
      <c r="M259" s="29" t="str">
        <f t="shared" si="34"/>
        <v/>
      </c>
      <c r="N259" s="29"/>
    </row>
    <row r="260" spans="1:14" ht="19.5" hidden="1" customHeight="1" outlineLevel="1">
      <c r="A260" s="30">
        <f>IF(5&lt;=DAY(DATE(YEAR(설정_코스수당!$K$2),MONTH(설정_코스수당!$K$2)+1,0)),DATE(YEAR(설정_코스수당!$K$2),MONTH(설정_코스수당!$K$2),5),"")</f>
        <v>46178</v>
      </c>
      <c r="B260" s="29" t="s">
        <v>208</v>
      </c>
      <c r="C260" s="29"/>
      <c r="D260" s="29"/>
      <c r="E260" s="29" t="str">
        <f t="shared" si="32"/>
        <v/>
      </c>
      <c r="F260" s="29">
        <f>COUNTIFS(실시간콜입력!$B:$B,$A260,실시간콜입력!$E:$E,"A",실시간콜입력!$G:$G,$B260,실시간콜입력!$O:$O,"방문완료")+COUNTIFS(실시간콜입력!$B:$B,$A260,실시간콜입력!$E:$E,"A",실시간콜입력!$H:$H,$B260,실시간콜입력!$O:$O,"방문완료")</f>
        <v>0</v>
      </c>
      <c r="G260" s="29">
        <f>COUNTIFS(실시간콜입력!$B:$B,$A260,실시간콜입력!$E:$E,"B",실시간콜입력!$G:$G,$B260,실시간콜입력!$O:$O,"방문완료")+COUNTIFS(실시간콜입력!$B:$B,$A260,실시간콜입력!$E:$E,"B",실시간콜입력!$H:$H,$B260,실시간콜입력!$O:$O,"방문완료")</f>
        <v>0</v>
      </c>
      <c r="H260" s="29">
        <f>COUNTIFS(실시간콜입력!$B:$B,$A260,실시간콜입력!$E:$E,"C",실시간콜입력!$G:$G,$B260,실시간콜입력!$O:$O,"방문완료")+COUNTIFS(실시간콜입력!$B:$B,$A260,실시간콜입력!$E:$E,"C",실시간콜입력!$H:$H,$B260,실시간콜입력!$O:$O,"방문완료")</f>
        <v>0</v>
      </c>
      <c r="I260" s="29">
        <f>COUNTIFS(실시간콜입력!$B:$B,$A260,실시간콜입력!$E:$E,"D",실시간콜입력!$G:$G,$B260,실시간콜입력!$O:$O,"방문완료")+COUNTIFS(실시간콜입력!$B:$B,$A260,실시간콜입력!$E:$E,"D",실시간콜입력!$H:$H,$B260,실시간콜입력!$O:$O,"방문완료")</f>
        <v>0</v>
      </c>
      <c r="J260" s="29">
        <f>COUNTIFS(실시간콜입력!$B:$B,$A260,실시간콜입력!$E:$E,"E",실시간콜입력!$G:$G,$B260,실시간콜입력!$O:$O,"방문완료")+COUNTIFS(실시간콜입력!$B:$B,$A260,실시간콜입력!$E:$E,"E",실시간콜입력!$H:$H,$B260,실시간콜입력!$O:$O,"방문완료")</f>
        <v>0</v>
      </c>
      <c r="K260" s="29">
        <f t="shared" si="33"/>
        <v>0</v>
      </c>
      <c r="L260" s="33">
        <f>SUMIFS(실시간콜입력!$K:$K,실시간콜입력!$B:$B,$A260,실시간콜입력!$G:$G,$B260,실시간콜입력!$O:$O,"방문완료")+SUMIFS(실시간콜입력!$L:$L,실시간콜입력!$B:$B,$A260,실시간콜입력!$H:$H,$B260,실시간콜입력!$O:$O,"방문완료")</f>
        <v>0</v>
      </c>
      <c r="M260" s="29" t="str">
        <f t="shared" si="34"/>
        <v/>
      </c>
      <c r="N260" s="29"/>
    </row>
    <row r="261" spans="1:14" ht="19.5" hidden="1" customHeight="1" outlineLevel="1">
      <c r="A261" s="24">
        <f>IF(5&lt;=DAY(DATE(YEAR(설정_코스수당!$K$2),MONTH(설정_코스수당!$K$2)+1,0)),DATE(YEAR(설정_코스수당!$K$2),MONTH(설정_코스수당!$K$2),5),"")</f>
        <v>46178</v>
      </c>
      <c r="B261" s="23" t="s">
        <v>209</v>
      </c>
      <c r="C261" s="29"/>
      <c r="D261" s="29"/>
      <c r="E261" s="29" t="str">
        <f t="shared" si="32"/>
        <v/>
      </c>
      <c r="F261" s="29">
        <f>COUNTIFS(실시간콜입력!$B:$B,$A261,실시간콜입력!$E:$E,"A",실시간콜입력!$G:$G,$B261,실시간콜입력!$O:$O,"방문완료")+COUNTIFS(실시간콜입력!$B:$B,$A261,실시간콜입력!$E:$E,"A",실시간콜입력!$H:$H,$B261,실시간콜입력!$O:$O,"방문완료")</f>
        <v>0</v>
      </c>
      <c r="G261" s="29">
        <f>COUNTIFS(실시간콜입력!$B:$B,$A261,실시간콜입력!$E:$E,"B",실시간콜입력!$G:$G,$B261,실시간콜입력!$O:$O,"방문완료")+COUNTIFS(실시간콜입력!$B:$B,$A261,실시간콜입력!$E:$E,"B",실시간콜입력!$H:$H,$B261,실시간콜입력!$O:$O,"방문완료")</f>
        <v>0</v>
      </c>
      <c r="H261" s="29">
        <f>COUNTIFS(실시간콜입력!$B:$B,$A261,실시간콜입력!$E:$E,"C",실시간콜입력!$G:$G,$B261,실시간콜입력!$O:$O,"방문완료")+COUNTIFS(실시간콜입력!$B:$B,$A261,실시간콜입력!$E:$E,"C",실시간콜입력!$H:$H,$B261,실시간콜입력!$O:$O,"방문완료")</f>
        <v>0</v>
      </c>
      <c r="I261" s="29">
        <f>COUNTIFS(실시간콜입력!$B:$B,$A261,실시간콜입력!$E:$E,"D",실시간콜입력!$G:$G,$B261,실시간콜입력!$O:$O,"방문완료")+COUNTIFS(실시간콜입력!$B:$B,$A261,실시간콜입력!$E:$E,"D",실시간콜입력!$H:$H,$B261,실시간콜입력!$O:$O,"방문완료")</f>
        <v>0</v>
      </c>
      <c r="J261" s="29">
        <f>COUNTIFS(실시간콜입력!$B:$B,$A261,실시간콜입력!$E:$E,"E",실시간콜입력!$G:$G,$B261,실시간콜입력!$O:$O,"방문완료")+COUNTIFS(실시간콜입력!$B:$B,$A261,실시간콜입력!$E:$E,"E",실시간콜입력!$H:$H,$B261,실시간콜입력!$O:$O,"방문완료")</f>
        <v>0</v>
      </c>
      <c r="K261" s="29">
        <f t="shared" si="33"/>
        <v>0</v>
      </c>
      <c r="L261" s="27">
        <f>SUMIFS(실시간콜입력!$K:$K,실시간콜입력!$B:$B,$A261,실시간콜입력!$G:$G,$B261,실시간콜입력!$O:$O,"방문완료")+SUMIFS(실시간콜입력!$L:$L,실시간콜입력!$B:$B,$A261,실시간콜입력!$H:$H,$B261,실시간콜입력!$O:$O,"방문완료")</f>
        <v>0</v>
      </c>
      <c r="M261" s="29" t="str">
        <f t="shared" si="34"/>
        <v/>
      </c>
      <c r="N261" s="29"/>
    </row>
    <row r="262" spans="1:14" ht="19.5" hidden="1" customHeight="1" outlineLevel="1">
      <c r="A262" s="30">
        <f>IF(5&lt;=DAY(DATE(YEAR(설정_코스수당!$K$2),MONTH(설정_코스수당!$K$2)+1,0)),DATE(YEAR(설정_코스수당!$K$2),MONTH(설정_코스수당!$K$2),5),"")</f>
        <v>46178</v>
      </c>
      <c r="B262" s="29" t="s">
        <v>210</v>
      </c>
      <c r="C262" s="29"/>
      <c r="D262" s="29"/>
      <c r="E262" s="29" t="str">
        <f t="shared" si="32"/>
        <v/>
      </c>
      <c r="F262" s="29">
        <f>COUNTIFS(실시간콜입력!$B:$B,$A262,실시간콜입력!$E:$E,"A",실시간콜입력!$G:$G,$B262,실시간콜입력!$O:$O,"방문완료")+COUNTIFS(실시간콜입력!$B:$B,$A262,실시간콜입력!$E:$E,"A",실시간콜입력!$H:$H,$B262,실시간콜입력!$O:$O,"방문완료")</f>
        <v>0</v>
      </c>
      <c r="G262" s="29">
        <f>COUNTIFS(실시간콜입력!$B:$B,$A262,실시간콜입력!$E:$E,"B",실시간콜입력!$G:$G,$B262,실시간콜입력!$O:$O,"방문완료")+COUNTIFS(실시간콜입력!$B:$B,$A262,실시간콜입력!$E:$E,"B",실시간콜입력!$H:$H,$B262,실시간콜입력!$O:$O,"방문완료")</f>
        <v>0</v>
      </c>
      <c r="H262" s="29">
        <f>COUNTIFS(실시간콜입력!$B:$B,$A262,실시간콜입력!$E:$E,"C",실시간콜입력!$G:$G,$B262,실시간콜입력!$O:$O,"방문완료")+COUNTIFS(실시간콜입력!$B:$B,$A262,실시간콜입력!$E:$E,"C",실시간콜입력!$H:$H,$B262,실시간콜입력!$O:$O,"방문완료")</f>
        <v>0</v>
      </c>
      <c r="I262" s="29">
        <f>COUNTIFS(실시간콜입력!$B:$B,$A262,실시간콜입력!$E:$E,"D",실시간콜입력!$G:$G,$B262,실시간콜입력!$O:$O,"방문완료")+COUNTIFS(실시간콜입력!$B:$B,$A262,실시간콜입력!$E:$E,"D",실시간콜입력!$H:$H,$B262,실시간콜입력!$O:$O,"방문완료")</f>
        <v>0</v>
      </c>
      <c r="J262" s="29">
        <f>COUNTIFS(실시간콜입력!$B:$B,$A262,실시간콜입력!$E:$E,"E",실시간콜입력!$G:$G,$B262,실시간콜입력!$O:$O,"방문완료")+COUNTIFS(실시간콜입력!$B:$B,$A262,실시간콜입력!$E:$E,"E",실시간콜입력!$H:$H,$B262,실시간콜입력!$O:$O,"방문완료")</f>
        <v>0</v>
      </c>
      <c r="K262" s="29">
        <f t="shared" si="33"/>
        <v>0</v>
      </c>
      <c r="L262" s="33">
        <f>SUMIFS(실시간콜입력!$K:$K,실시간콜입력!$B:$B,$A262,실시간콜입력!$G:$G,$B262,실시간콜입력!$O:$O,"방문완료")+SUMIFS(실시간콜입력!$L:$L,실시간콜입력!$B:$B,$A262,실시간콜입력!$H:$H,$B262,실시간콜입력!$O:$O,"방문완료")</f>
        <v>0</v>
      </c>
      <c r="M262" s="29" t="str">
        <f t="shared" si="34"/>
        <v/>
      </c>
      <c r="N262" s="29"/>
    </row>
    <row r="263" spans="1:14" ht="19.5" hidden="1" customHeight="1" outlineLevel="1">
      <c r="A263" s="24">
        <f>IF(5&lt;=DAY(DATE(YEAR(설정_코스수당!$K$2),MONTH(설정_코스수당!$K$2)+1,0)),DATE(YEAR(설정_코스수당!$K$2),MONTH(설정_코스수당!$K$2),5),"")</f>
        <v>46178</v>
      </c>
      <c r="B263" s="23" t="s">
        <v>211</v>
      </c>
      <c r="C263" s="29"/>
      <c r="D263" s="29"/>
      <c r="E263" s="29" t="str">
        <f t="shared" si="32"/>
        <v/>
      </c>
      <c r="F263" s="29">
        <f>COUNTIFS(실시간콜입력!$B:$B,$A263,실시간콜입력!$E:$E,"A",실시간콜입력!$G:$G,$B263,실시간콜입력!$O:$O,"방문완료")+COUNTIFS(실시간콜입력!$B:$B,$A263,실시간콜입력!$E:$E,"A",실시간콜입력!$H:$H,$B263,실시간콜입력!$O:$O,"방문완료")</f>
        <v>0</v>
      </c>
      <c r="G263" s="29">
        <f>COUNTIFS(실시간콜입력!$B:$B,$A263,실시간콜입력!$E:$E,"B",실시간콜입력!$G:$G,$B263,실시간콜입력!$O:$O,"방문완료")+COUNTIFS(실시간콜입력!$B:$B,$A263,실시간콜입력!$E:$E,"B",실시간콜입력!$H:$H,$B263,실시간콜입력!$O:$O,"방문완료")</f>
        <v>0</v>
      </c>
      <c r="H263" s="29">
        <f>COUNTIFS(실시간콜입력!$B:$B,$A263,실시간콜입력!$E:$E,"C",실시간콜입력!$G:$G,$B263,실시간콜입력!$O:$O,"방문완료")+COUNTIFS(실시간콜입력!$B:$B,$A263,실시간콜입력!$E:$E,"C",실시간콜입력!$H:$H,$B263,실시간콜입력!$O:$O,"방문완료")</f>
        <v>0</v>
      </c>
      <c r="I263" s="29">
        <f>COUNTIFS(실시간콜입력!$B:$B,$A263,실시간콜입력!$E:$E,"D",실시간콜입력!$G:$G,$B263,실시간콜입력!$O:$O,"방문완료")+COUNTIFS(실시간콜입력!$B:$B,$A263,실시간콜입력!$E:$E,"D",실시간콜입력!$H:$H,$B263,실시간콜입력!$O:$O,"방문완료")</f>
        <v>0</v>
      </c>
      <c r="J263" s="29">
        <f>COUNTIFS(실시간콜입력!$B:$B,$A263,실시간콜입력!$E:$E,"E",실시간콜입력!$G:$G,$B263,실시간콜입력!$O:$O,"방문완료")+COUNTIFS(실시간콜입력!$B:$B,$A263,실시간콜입력!$E:$E,"E",실시간콜입력!$H:$H,$B263,실시간콜입력!$O:$O,"방문완료")</f>
        <v>0</v>
      </c>
      <c r="K263" s="29">
        <f t="shared" si="33"/>
        <v>0</v>
      </c>
      <c r="L263" s="27">
        <f>SUMIFS(실시간콜입력!$K:$K,실시간콜입력!$B:$B,$A263,실시간콜입력!$G:$G,$B263,실시간콜입력!$O:$O,"방문완료")+SUMIFS(실시간콜입력!$L:$L,실시간콜입력!$B:$B,$A263,실시간콜입력!$H:$H,$B263,실시간콜입력!$O:$O,"방문완료")</f>
        <v>0</v>
      </c>
      <c r="M263" s="29" t="str">
        <f t="shared" si="34"/>
        <v/>
      </c>
      <c r="N263" s="29"/>
    </row>
    <row r="264" spans="1:14" ht="19.5" hidden="1" customHeight="1" outlineLevel="1">
      <c r="A264" s="30">
        <f>IF(5&lt;=DAY(DATE(YEAR(설정_코스수당!$K$2),MONTH(설정_코스수당!$K$2)+1,0)),DATE(YEAR(설정_코스수당!$K$2),MONTH(설정_코스수당!$K$2),5),"")</f>
        <v>46178</v>
      </c>
      <c r="B264" s="29" t="s">
        <v>212</v>
      </c>
      <c r="C264" s="29"/>
      <c r="D264" s="29"/>
      <c r="E264" s="29" t="str">
        <f t="shared" si="32"/>
        <v/>
      </c>
      <c r="F264" s="29">
        <f>COUNTIFS(실시간콜입력!$B:$B,$A264,실시간콜입력!$E:$E,"A",실시간콜입력!$G:$G,$B264,실시간콜입력!$O:$O,"방문완료")+COUNTIFS(실시간콜입력!$B:$B,$A264,실시간콜입력!$E:$E,"A",실시간콜입력!$H:$H,$B264,실시간콜입력!$O:$O,"방문완료")</f>
        <v>0</v>
      </c>
      <c r="G264" s="29">
        <f>COUNTIFS(실시간콜입력!$B:$B,$A264,실시간콜입력!$E:$E,"B",실시간콜입력!$G:$G,$B264,실시간콜입력!$O:$O,"방문완료")+COUNTIFS(실시간콜입력!$B:$B,$A264,실시간콜입력!$E:$E,"B",실시간콜입력!$H:$H,$B264,실시간콜입력!$O:$O,"방문완료")</f>
        <v>0</v>
      </c>
      <c r="H264" s="29">
        <f>COUNTIFS(실시간콜입력!$B:$B,$A264,실시간콜입력!$E:$E,"C",실시간콜입력!$G:$G,$B264,실시간콜입력!$O:$O,"방문완료")+COUNTIFS(실시간콜입력!$B:$B,$A264,실시간콜입력!$E:$E,"C",실시간콜입력!$H:$H,$B264,실시간콜입력!$O:$O,"방문완료")</f>
        <v>0</v>
      </c>
      <c r="I264" s="29">
        <f>COUNTIFS(실시간콜입력!$B:$B,$A264,실시간콜입력!$E:$E,"D",실시간콜입력!$G:$G,$B264,실시간콜입력!$O:$O,"방문완료")+COUNTIFS(실시간콜입력!$B:$B,$A264,실시간콜입력!$E:$E,"D",실시간콜입력!$H:$H,$B264,실시간콜입력!$O:$O,"방문완료")</f>
        <v>0</v>
      </c>
      <c r="J264" s="29">
        <f>COUNTIFS(실시간콜입력!$B:$B,$A264,실시간콜입력!$E:$E,"E",실시간콜입력!$G:$G,$B264,실시간콜입력!$O:$O,"방문완료")+COUNTIFS(실시간콜입력!$B:$B,$A264,실시간콜입력!$E:$E,"E",실시간콜입력!$H:$H,$B264,실시간콜입력!$O:$O,"방문완료")</f>
        <v>0</v>
      </c>
      <c r="K264" s="29">
        <f t="shared" si="33"/>
        <v>0</v>
      </c>
      <c r="L264" s="33">
        <f>SUMIFS(실시간콜입력!$K:$K,실시간콜입력!$B:$B,$A264,실시간콜입력!$G:$G,$B264,실시간콜입력!$O:$O,"방문완료")+SUMIFS(실시간콜입력!$L:$L,실시간콜입력!$B:$B,$A264,실시간콜입력!$H:$H,$B264,실시간콜입력!$O:$O,"방문완료")</f>
        <v>0</v>
      </c>
      <c r="M264" s="29" t="str">
        <f t="shared" si="34"/>
        <v/>
      </c>
      <c r="N264" s="29"/>
    </row>
    <row r="265" spans="1:14" ht="21.75" customHeight="1" collapsed="1">
      <c r="A265" s="64">
        <f>IF(6&lt;=DAY(DATE(YEAR(설정_코스수당!$K$2),MONTH(설정_코스수당!$K$2)+1,0)),DATE(YEAR(설정_코스수당!$K$2),MONTH(설정_코스수당!$K$2),6),"")</f>
        <v>46179</v>
      </c>
      <c r="B265" s="65" t="str">
        <f>IF(A265="","","출근 "&amp;COUNTIF(C267:C316,"&lt;&gt;")&amp;"명")</f>
        <v>출근 0명</v>
      </c>
      <c r="C265" s="65" t="str">
        <f>IF(A265="","","만근 "&amp;COUNTIF(M267:M316,"인정")&amp;"명")</f>
        <v>만근 0명</v>
      </c>
      <c r="D265" s="65" t="str">
        <f>IFERROR("평균 "&amp;TEXT(AVERAGEIF(E267:E316,"&gt;0",E267:E316),"0.0")&amp;"h","평균 -")</f>
        <v>평균 -</v>
      </c>
      <c r="E265" s="65" t="s">
        <v>163</v>
      </c>
      <c r="F265" s="65">
        <f t="shared" ref="F265:L265" si="35">SUM(F267:F316)</f>
        <v>0</v>
      </c>
      <c r="G265" s="65">
        <f t="shared" si="35"/>
        <v>0</v>
      </c>
      <c r="H265" s="65">
        <f t="shared" si="35"/>
        <v>0</v>
      </c>
      <c r="I265" s="65">
        <f t="shared" si="35"/>
        <v>0</v>
      </c>
      <c r="J265" s="65">
        <f t="shared" si="35"/>
        <v>0</v>
      </c>
      <c r="K265" s="65">
        <f t="shared" si="35"/>
        <v>0</v>
      </c>
      <c r="L265" s="66">
        <f t="shared" si="35"/>
        <v>0</v>
      </c>
      <c r="M265" s="65">
        <f>COUNTIF(M267:M316,"인정")</f>
        <v>0</v>
      </c>
      <c r="N265" s="65" t="s">
        <v>164</v>
      </c>
    </row>
    <row r="266" spans="1:14" ht="19.5" hidden="1" customHeight="1" outlineLevel="1">
      <c r="A266" s="20" t="s">
        <v>42</v>
      </c>
      <c r="B266" s="20" t="s">
        <v>152</v>
      </c>
      <c r="C266" s="20" t="s">
        <v>153</v>
      </c>
      <c r="D266" s="20" t="s">
        <v>154</v>
      </c>
      <c r="E266" s="20" t="s">
        <v>155</v>
      </c>
      <c r="F266" s="20" t="s">
        <v>156</v>
      </c>
      <c r="G266" s="20" t="s">
        <v>157</v>
      </c>
      <c r="H266" s="20" t="s">
        <v>158</v>
      </c>
      <c r="I266" s="20" t="s">
        <v>159</v>
      </c>
      <c r="J266" s="20" t="s">
        <v>160</v>
      </c>
      <c r="K266" s="20" t="s">
        <v>118</v>
      </c>
      <c r="L266" s="20" t="s">
        <v>161</v>
      </c>
      <c r="M266" s="20" t="s">
        <v>162</v>
      </c>
      <c r="N266" s="20" t="s">
        <v>95</v>
      </c>
    </row>
    <row r="267" spans="1:14" ht="19.5" hidden="1" customHeight="1" outlineLevel="1">
      <c r="A267" s="24">
        <f>IF(6&lt;=DAY(DATE(YEAR(설정_코스수당!$K$2),MONTH(설정_코스수당!$K$2)+1,0)),DATE(YEAR(설정_코스수당!$K$2),MONTH(설정_코스수당!$K$2),6),"")</f>
        <v>46179</v>
      </c>
      <c r="B267" s="23" t="s">
        <v>47</v>
      </c>
      <c r="C267" s="23"/>
      <c r="D267" s="23"/>
      <c r="E267" s="23" t="str">
        <f t="shared" ref="E267:E298" si="36">IF(AND(C267&lt;&gt;"",D267&lt;&gt;""),IF(D267&lt;C267,D267+1-C267,D267-C267)*24,"")</f>
        <v/>
      </c>
      <c r="F267" s="23">
        <f>COUNTIFS(실시간콜입력!$B:$B,$A267,실시간콜입력!$E:$E,"A",실시간콜입력!$G:$G,$B267,실시간콜입력!$O:$O,"방문완료")+COUNTIFS(실시간콜입력!$B:$B,$A267,실시간콜입력!$E:$E,"A",실시간콜입력!$H:$H,$B267,실시간콜입력!$O:$O,"방문완료")</f>
        <v>0</v>
      </c>
      <c r="G267" s="23">
        <f>COUNTIFS(실시간콜입력!$B:$B,$A267,실시간콜입력!$E:$E,"B",실시간콜입력!$G:$G,$B267,실시간콜입력!$O:$O,"방문완료")+COUNTIFS(실시간콜입력!$B:$B,$A267,실시간콜입력!$E:$E,"B",실시간콜입력!$H:$H,$B267,실시간콜입력!$O:$O,"방문완료")</f>
        <v>0</v>
      </c>
      <c r="H267" s="23">
        <f>COUNTIFS(실시간콜입력!$B:$B,$A267,실시간콜입력!$E:$E,"C",실시간콜입력!$G:$G,$B267,실시간콜입력!$O:$O,"방문완료")+COUNTIFS(실시간콜입력!$B:$B,$A267,실시간콜입력!$E:$E,"C",실시간콜입력!$H:$H,$B267,실시간콜입력!$O:$O,"방문완료")</f>
        <v>0</v>
      </c>
      <c r="I267" s="23">
        <f>COUNTIFS(실시간콜입력!$B:$B,$A267,실시간콜입력!$E:$E,"D",실시간콜입력!$G:$G,$B267,실시간콜입력!$O:$O,"방문완료")+COUNTIFS(실시간콜입력!$B:$B,$A267,실시간콜입력!$E:$E,"D",실시간콜입력!$H:$H,$B267,실시간콜입력!$O:$O,"방문완료")</f>
        <v>0</v>
      </c>
      <c r="J267" s="23">
        <f>COUNTIFS(실시간콜입력!$B:$B,$A267,실시간콜입력!$E:$E,"E",실시간콜입력!$G:$G,$B267,실시간콜입력!$O:$O,"방문완료")+COUNTIFS(실시간콜입력!$B:$B,$A267,실시간콜입력!$E:$E,"E",실시간콜입력!$H:$H,$B267,실시간콜입력!$O:$O,"방문완료")</f>
        <v>0</v>
      </c>
      <c r="K267" s="23">
        <f t="shared" ref="K267:K298" si="37">SUM(F267:J267)</f>
        <v>0</v>
      </c>
      <c r="L267" s="27">
        <f>SUMIFS(실시간콜입력!$K:$K,실시간콜입력!$B:$B,$A267,실시간콜입력!$G:$G,$B267,실시간콜입력!$O:$O,"방문완료")+SUMIFS(실시간콜입력!$L:$L,실시간콜입력!$B:$B,$A267,실시간콜입력!$H:$H,$B267,실시간콜입력!$O:$O,"방문완료")</f>
        <v>0</v>
      </c>
      <c r="M267" s="23" t="str">
        <f t="shared" ref="M267:M298" si="38">IF(AND(ISNUMBER(E267),E267&gt;=8),"인정","")</f>
        <v/>
      </c>
      <c r="N267" s="23"/>
    </row>
    <row r="268" spans="1:14" ht="19.5" hidden="1" customHeight="1" outlineLevel="1">
      <c r="A268" s="30">
        <f>IF(6&lt;=DAY(DATE(YEAR(설정_코스수당!$K$2),MONTH(설정_코스수당!$K$2)+1,0)),DATE(YEAR(설정_코스수당!$K$2),MONTH(설정_코스수당!$K$2),6),"")</f>
        <v>46179</v>
      </c>
      <c r="B268" s="29" t="s">
        <v>48</v>
      </c>
      <c r="C268" s="29"/>
      <c r="D268" s="29"/>
      <c r="E268" s="29" t="str">
        <f t="shared" si="36"/>
        <v/>
      </c>
      <c r="F268" s="29">
        <f>COUNTIFS(실시간콜입력!$B:$B,$A268,실시간콜입력!$E:$E,"A",실시간콜입력!$G:$G,$B268,실시간콜입력!$O:$O,"방문완료")+COUNTIFS(실시간콜입력!$B:$B,$A268,실시간콜입력!$E:$E,"A",실시간콜입력!$H:$H,$B268,실시간콜입력!$O:$O,"방문완료")</f>
        <v>0</v>
      </c>
      <c r="G268" s="29">
        <f>COUNTIFS(실시간콜입력!$B:$B,$A268,실시간콜입력!$E:$E,"B",실시간콜입력!$G:$G,$B268,실시간콜입력!$O:$O,"방문완료")+COUNTIFS(실시간콜입력!$B:$B,$A268,실시간콜입력!$E:$E,"B",실시간콜입력!$H:$H,$B268,실시간콜입력!$O:$O,"방문완료")</f>
        <v>0</v>
      </c>
      <c r="H268" s="29">
        <f>COUNTIFS(실시간콜입력!$B:$B,$A268,실시간콜입력!$E:$E,"C",실시간콜입력!$G:$G,$B268,실시간콜입력!$O:$O,"방문완료")+COUNTIFS(실시간콜입력!$B:$B,$A268,실시간콜입력!$E:$E,"C",실시간콜입력!$H:$H,$B268,실시간콜입력!$O:$O,"방문완료")</f>
        <v>0</v>
      </c>
      <c r="I268" s="29">
        <f>COUNTIFS(실시간콜입력!$B:$B,$A268,실시간콜입력!$E:$E,"D",실시간콜입력!$G:$G,$B268,실시간콜입력!$O:$O,"방문완료")+COUNTIFS(실시간콜입력!$B:$B,$A268,실시간콜입력!$E:$E,"D",실시간콜입력!$H:$H,$B268,실시간콜입력!$O:$O,"방문완료")</f>
        <v>0</v>
      </c>
      <c r="J268" s="29">
        <f>COUNTIFS(실시간콜입력!$B:$B,$A268,실시간콜입력!$E:$E,"E",실시간콜입력!$G:$G,$B268,실시간콜입력!$O:$O,"방문완료")+COUNTIFS(실시간콜입력!$B:$B,$A268,실시간콜입력!$E:$E,"E",실시간콜입력!$H:$H,$B268,실시간콜입력!$O:$O,"방문완료")</f>
        <v>0</v>
      </c>
      <c r="K268" s="29">
        <f t="shared" si="37"/>
        <v>0</v>
      </c>
      <c r="L268" s="33">
        <f>SUMIFS(실시간콜입력!$K:$K,실시간콜입력!$B:$B,$A268,실시간콜입력!$G:$G,$B268,실시간콜입력!$O:$O,"방문완료")+SUMIFS(실시간콜입력!$L:$L,실시간콜입력!$B:$B,$A268,실시간콜입력!$H:$H,$B268,실시간콜입력!$O:$O,"방문완료")</f>
        <v>0</v>
      </c>
      <c r="M268" s="29" t="str">
        <f t="shared" si="38"/>
        <v/>
      </c>
      <c r="N268" s="29"/>
    </row>
    <row r="269" spans="1:14" ht="19.5" hidden="1" customHeight="1" outlineLevel="1">
      <c r="A269" s="24">
        <f>IF(6&lt;=DAY(DATE(YEAR(설정_코스수당!$K$2),MONTH(설정_코스수당!$K$2)+1,0)),DATE(YEAR(설정_코스수당!$K$2),MONTH(설정_코스수당!$K$2),6),"")</f>
        <v>46179</v>
      </c>
      <c r="B269" s="23" t="s">
        <v>165</v>
      </c>
      <c r="C269" s="29"/>
      <c r="D269" s="29"/>
      <c r="E269" s="29" t="str">
        <f t="shared" si="36"/>
        <v/>
      </c>
      <c r="F269" s="29">
        <f>COUNTIFS(실시간콜입력!$B:$B,$A269,실시간콜입력!$E:$E,"A",실시간콜입력!$G:$G,$B269,실시간콜입력!$O:$O,"방문완료")+COUNTIFS(실시간콜입력!$B:$B,$A269,실시간콜입력!$E:$E,"A",실시간콜입력!$H:$H,$B269,실시간콜입력!$O:$O,"방문완료")</f>
        <v>0</v>
      </c>
      <c r="G269" s="29">
        <f>COUNTIFS(실시간콜입력!$B:$B,$A269,실시간콜입력!$E:$E,"B",실시간콜입력!$G:$G,$B269,실시간콜입력!$O:$O,"방문완료")+COUNTIFS(실시간콜입력!$B:$B,$A269,실시간콜입력!$E:$E,"B",실시간콜입력!$H:$H,$B269,실시간콜입력!$O:$O,"방문완료")</f>
        <v>0</v>
      </c>
      <c r="H269" s="29">
        <f>COUNTIFS(실시간콜입력!$B:$B,$A269,실시간콜입력!$E:$E,"C",실시간콜입력!$G:$G,$B269,실시간콜입력!$O:$O,"방문완료")+COUNTIFS(실시간콜입력!$B:$B,$A269,실시간콜입력!$E:$E,"C",실시간콜입력!$H:$H,$B269,실시간콜입력!$O:$O,"방문완료")</f>
        <v>0</v>
      </c>
      <c r="I269" s="29">
        <f>COUNTIFS(실시간콜입력!$B:$B,$A269,실시간콜입력!$E:$E,"D",실시간콜입력!$G:$G,$B269,실시간콜입력!$O:$O,"방문완료")+COUNTIFS(실시간콜입력!$B:$B,$A269,실시간콜입력!$E:$E,"D",실시간콜입력!$H:$H,$B269,실시간콜입력!$O:$O,"방문완료")</f>
        <v>0</v>
      </c>
      <c r="J269" s="29">
        <f>COUNTIFS(실시간콜입력!$B:$B,$A269,실시간콜입력!$E:$E,"E",실시간콜입력!$G:$G,$B269,실시간콜입력!$O:$O,"방문완료")+COUNTIFS(실시간콜입력!$B:$B,$A269,실시간콜입력!$E:$E,"E",실시간콜입력!$H:$H,$B269,실시간콜입력!$O:$O,"방문완료")</f>
        <v>0</v>
      </c>
      <c r="K269" s="29">
        <f t="shared" si="37"/>
        <v>0</v>
      </c>
      <c r="L269" s="27">
        <f>SUMIFS(실시간콜입력!$K:$K,실시간콜입력!$B:$B,$A269,실시간콜입력!$G:$G,$B269,실시간콜입력!$O:$O,"방문완료")+SUMIFS(실시간콜입력!$L:$L,실시간콜입력!$B:$B,$A269,실시간콜입력!$H:$H,$B269,실시간콜입력!$O:$O,"방문완료")</f>
        <v>0</v>
      </c>
      <c r="M269" s="29" t="str">
        <f t="shared" si="38"/>
        <v/>
      </c>
      <c r="N269" s="29"/>
    </row>
    <row r="270" spans="1:14" ht="19.5" hidden="1" customHeight="1" outlineLevel="1">
      <c r="A270" s="30">
        <f>IF(6&lt;=DAY(DATE(YEAR(설정_코스수당!$K$2),MONTH(설정_코스수당!$K$2)+1,0)),DATE(YEAR(설정_코스수당!$K$2),MONTH(설정_코스수당!$K$2),6),"")</f>
        <v>46179</v>
      </c>
      <c r="B270" s="29" t="s">
        <v>166</v>
      </c>
      <c r="C270" s="29"/>
      <c r="D270" s="29"/>
      <c r="E270" s="29" t="str">
        <f t="shared" si="36"/>
        <v/>
      </c>
      <c r="F270" s="29">
        <f>COUNTIFS(실시간콜입력!$B:$B,$A270,실시간콜입력!$E:$E,"A",실시간콜입력!$G:$G,$B270,실시간콜입력!$O:$O,"방문완료")+COUNTIFS(실시간콜입력!$B:$B,$A270,실시간콜입력!$E:$E,"A",실시간콜입력!$H:$H,$B270,실시간콜입력!$O:$O,"방문완료")</f>
        <v>0</v>
      </c>
      <c r="G270" s="29">
        <f>COUNTIFS(실시간콜입력!$B:$B,$A270,실시간콜입력!$E:$E,"B",실시간콜입력!$G:$G,$B270,실시간콜입력!$O:$O,"방문완료")+COUNTIFS(실시간콜입력!$B:$B,$A270,실시간콜입력!$E:$E,"B",실시간콜입력!$H:$H,$B270,실시간콜입력!$O:$O,"방문완료")</f>
        <v>0</v>
      </c>
      <c r="H270" s="29">
        <f>COUNTIFS(실시간콜입력!$B:$B,$A270,실시간콜입력!$E:$E,"C",실시간콜입력!$G:$G,$B270,실시간콜입력!$O:$O,"방문완료")+COUNTIFS(실시간콜입력!$B:$B,$A270,실시간콜입력!$E:$E,"C",실시간콜입력!$H:$H,$B270,실시간콜입력!$O:$O,"방문완료")</f>
        <v>0</v>
      </c>
      <c r="I270" s="29">
        <f>COUNTIFS(실시간콜입력!$B:$B,$A270,실시간콜입력!$E:$E,"D",실시간콜입력!$G:$G,$B270,실시간콜입력!$O:$O,"방문완료")+COUNTIFS(실시간콜입력!$B:$B,$A270,실시간콜입력!$E:$E,"D",실시간콜입력!$H:$H,$B270,실시간콜입력!$O:$O,"방문완료")</f>
        <v>0</v>
      </c>
      <c r="J270" s="29">
        <f>COUNTIFS(실시간콜입력!$B:$B,$A270,실시간콜입력!$E:$E,"E",실시간콜입력!$G:$G,$B270,실시간콜입력!$O:$O,"방문완료")+COUNTIFS(실시간콜입력!$B:$B,$A270,실시간콜입력!$E:$E,"E",실시간콜입력!$H:$H,$B270,실시간콜입력!$O:$O,"방문완료")</f>
        <v>0</v>
      </c>
      <c r="K270" s="29">
        <f t="shared" si="37"/>
        <v>0</v>
      </c>
      <c r="L270" s="33">
        <f>SUMIFS(실시간콜입력!$K:$K,실시간콜입력!$B:$B,$A270,실시간콜입력!$G:$G,$B270,실시간콜입력!$O:$O,"방문완료")+SUMIFS(실시간콜입력!$L:$L,실시간콜입력!$B:$B,$A270,실시간콜입력!$H:$H,$B270,실시간콜입력!$O:$O,"방문완료")</f>
        <v>0</v>
      </c>
      <c r="M270" s="29" t="str">
        <f t="shared" si="38"/>
        <v/>
      </c>
      <c r="N270" s="29"/>
    </row>
    <row r="271" spans="1:14" ht="19.5" hidden="1" customHeight="1" outlineLevel="1">
      <c r="A271" s="24">
        <f>IF(6&lt;=DAY(DATE(YEAR(설정_코스수당!$K$2),MONTH(설정_코스수당!$K$2)+1,0)),DATE(YEAR(설정_코스수당!$K$2),MONTH(설정_코스수당!$K$2),6),"")</f>
        <v>46179</v>
      </c>
      <c r="B271" s="23" t="s">
        <v>167</v>
      </c>
      <c r="C271" s="29"/>
      <c r="D271" s="29"/>
      <c r="E271" s="29" t="str">
        <f t="shared" si="36"/>
        <v/>
      </c>
      <c r="F271" s="29">
        <f>COUNTIFS(실시간콜입력!$B:$B,$A271,실시간콜입력!$E:$E,"A",실시간콜입력!$G:$G,$B271,실시간콜입력!$O:$O,"방문완료")+COUNTIFS(실시간콜입력!$B:$B,$A271,실시간콜입력!$E:$E,"A",실시간콜입력!$H:$H,$B271,실시간콜입력!$O:$O,"방문완료")</f>
        <v>0</v>
      </c>
      <c r="G271" s="29">
        <f>COUNTIFS(실시간콜입력!$B:$B,$A271,실시간콜입력!$E:$E,"B",실시간콜입력!$G:$G,$B271,실시간콜입력!$O:$O,"방문완료")+COUNTIFS(실시간콜입력!$B:$B,$A271,실시간콜입력!$E:$E,"B",실시간콜입력!$H:$H,$B271,실시간콜입력!$O:$O,"방문완료")</f>
        <v>0</v>
      </c>
      <c r="H271" s="29">
        <f>COUNTIFS(실시간콜입력!$B:$B,$A271,실시간콜입력!$E:$E,"C",실시간콜입력!$G:$G,$B271,실시간콜입력!$O:$O,"방문완료")+COUNTIFS(실시간콜입력!$B:$B,$A271,실시간콜입력!$E:$E,"C",실시간콜입력!$H:$H,$B271,실시간콜입력!$O:$O,"방문완료")</f>
        <v>0</v>
      </c>
      <c r="I271" s="29">
        <f>COUNTIFS(실시간콜입력!$B:$B,$A271,실시간콜입력!$E:$E,"D",실시간콜입력!$G:$G,$B271,실시간콜입력!$O:$O,"방문완료")+COUNTIFS(실시간콜입력!$B:$B,$A271,실시간콜입력!$E:$E,"D",실시간콜입력!$H:$H,$B271,실시간콜입력!$O:$O,"방문완료")</f>
        <v>0</v>
      </c>
      <c r="J271" s="29">
        <f>COUNTIFS(실시간콜입력!$B:$B,$A271,실시간콜입력!$E:$E,"E",실시간콜입력!$G:$G,$B271,실시간콜입력!$O:$O,"방문완료")+COUNTIFS(실시간콜입력!$B:$B,$A271,실시간콜입력!$E:$E,"E",실시간콜입력!$H:$H,$B271,실시간콜입력!$O:$O,"방문완료")</f>
        <v>0</v>
      </c>
      <c r="K271" s="29">
        <f t="shared" si="37"/>
        <v>0</v>
      </c>
      <c r="L271" s="27">
        <f>SUMIFS(실시간콜입력!$K:$K,실시간콜입력!$B:$B,$A271,실시간콜입력!$G:$G,$B271,실시간콜입력!$O:$O,"방문완료")+SUMIFS(실시간콜입력!$L:$L,실시간콜입력!$B:$B,$A271,실시간콜입력!$H:$H,$B271,실시간콜입력!$O:$O,"방문완료")</f>
        <v>0</v>
      </c>
      <c r="M271" s="29" t="str">
        <f t="shared" si="38"/>
        <v/>
      </c>
      <c r="N271" s="29"/>
    </row>
    <row r="272" spans="1:14" ht="19.5" hidden="1" customHeight="1" outlineLevel="1">
      <c r="A272" s="30">
        <f>IF(6&lt;=DAY(DATE(YEAR(설정_코스수당!$K$2),MONTH(설정_코스수당!$K$2)+1,0)),DATE(YEAR(설정_코스수당!$K$2),MONTH(설정_코스수당!$K$2),6),"")</f>
        <v>46179</v>
      </c>
      <c r="B272" s="29" t="s">
        <v>168</v>
      </c>
      <c r="C272" s="29"/>
      <c r="D272" s="29"/>
      <c r="E272" s="29" t="str">
        <f t="shared" si="36"/>
        <v/>
      </c>
      <c r="F272" s="29">
        <f>COUNTIFS(실시간콜입력!$B:$B,$A272,실시간콜입력!$E:$E,"A",실시간콜입력!$G:$G,$B272,실시간콜입력!$O:$O,"방문완료")+COUNTIFS(실시간콜입력!$B:$B,$A272,실시간콜입력!$E:$E,"A",실시간콜입력!$H:$H,$B272,실시간콜입력!$O:$O,"방문완료")</f>
        <v>0</v>
      </c>
      <c r="G272" s="29">
        <f>COUNTIFS(실시간콜입력!$B:$B,$A272,실시간콜입력!$E:$E,"B",실시간콜입력!$G:$G,$B272,실시간콜입력!$O:$O,"방문완료")+COUNTIFS(실시간콜입력!$B:$B,$A272,실시간콜입력!$E:$E,"B",실시간콜입력!$H:$H,$B272,실시간콜입력!$O:$O,"방문완료")</f>
        <v>0</v>
      </c>
      <c r="H272" s="29">
        <f>COUNTIFS(실시간콜입력!$B:$B,$A272,실시간콜입력!$E:$E,"C",실시간콜입력!$G:$G,$B272,실시간콜입력!$O:$O,"방문완료")+COUNTIFS(실시간콜입력!$B:$B,$A272,실시간콜입력!$E:$E,"C",실시간콜입력!$H:$H,$B272,실시간콜입력!$O:$O,"방문완료")</f>
        <v>0</v>
      </c>
      <c r="I272" s="29">
        <f>COUNTIFS(실시간콜입력!$B:$B,$A272,실시간콜입력!$E:$E,"D",실시간콜입력!$G:$G,$B272,실시간콜입력!$O:$O,"방문완료")+COUNTIFS(실시간콜입력!$B:$B,$A272,실시간콜입력!$E:$E,"D",실시간콜입력!$H:$H,$B272,실시간콜입력!$O:$O,"방문완료")</f>
        <v>0</v>
      </c>
      <c r="J272" s="29">
        <f>COUNTIFS(실시간콜입력!$B:$B,$A272,실시간콜입력!$E:$E,"E",실시간콜입력!$G:$G,$B272,실시간콜입력!$O:$O,"방문완료")+COUNTIFS(실시간콜입력!$B:$B,$A272,실시간콜입력!$E:$E,"E",실시간콜입력!$H:$H,$B272,실시간콜입력!$O:$O,"방문완료")</f>
        <v>0</v>
      </c>
      <c r="K272" s="29">
        <f t="shared" si="37"/>
        <v>0</v>
      </c>
      <c r="L272" s="33">
        <f>SUMIFS(실시간콜입력!$K:$K,실시간콜입력!$B:$B,$A272,실시간콜입력!$G:$G,$B272,실시간콜입력!$O:$O,"방문완료")+SUMIFS(실시간콜입력!$L:$L,실시간콜입력!$B:$B,$A272,실시간콜입력!$H:$H,$B272,실시간콜입력!$O:$O,"방문완료")</f>
        <v>0</v>
      </c>
      <c r="M272" s="29" t="str">
        <f t="shared" si="38"/>
        <v/>
      </c>
      <c r="N272" s="29"/>
    </row>
    <row r="273" spans="1:14" ht="19.5" hidden="1" customHeight="1" outlineLevel="1">
      <c r="A273" s="24">
        <f>IF(6&lt;=DAY(DATE(YEAR(설정_코스수당!$K$2),MONTH(설정_코스수당!$K$2)+1,0)),DATE(YEAR(설정_코스수당!$K$2),MONTH(설정_코스수당!$K$2),6),"")</f>
        <v>46179</v>
      </c>
      <c r="B273" s="23" t="s">
        <v>169</v>
      </c>
      <c r="C273" s="29"/>
      <c r="D273" s="29"/>
      <c r="E273" s="29" t="str">
        <f t="shared" si="36"/>
        <v/>
      </c>
      <c r="F273" s="29">
        <f>COUNTIFS(실시간콜입력!$B:$B,$A273,실시간콜입력!$E:$E,"A",실시간콜입력!$G:$G,$B273,실시간콜입력!$O:$O,"방문완료")+COUNTIFS(실시간콜입력!$B:$B,$A273,실시간콜입력!$E:$E,"A",실시간콜입력!$H:$H,$B273,실시간콜입력!$O:$O,"방문완료")</f>
        <v>0</v>
      </c>
      <c r="G273" s="29">
        <f>COUNTIFS(실시간콜입력!$B:$B,$A273,실시간콜입력!$E:$E,"B",실시간콜입력!$G:$G,$B273,실시간콜입력!$O:$O,"방문완료")+COUNTIFS(실시간콜입력!$B:$B,$A273,실시간콜입력!$E:$E,"B",실시간콜입력!$H:$H,$B273,실시간콜입력!$O:$O,"방문완료")</f>
        <v>0</v>
      </c>
      <c r="H273" s="29">
        <f>COUNTIFS(실시간콜입력!$B:$B,$A273,실시간콜입력!$E:$E,"C",실시간콜입력!$G:$G,$B273,실시간콜입력!$O:$O,"방문완료")+COUNTIFS(실시간콜입력!$B:$B,$A273,실시간콜입력!$E:$E,"C",실시간콜입력!$H:$H,$B273,실시간콜입력!$O:$O,"방문완료")</f>
        <v>0</v>
      </c>
      <c r="I273" s="29">
        <f>COUNTIFS(실시간콜입력!$B:$B,$A273,실시간콜입력!$E:$E,"D",실시간콜입력!$G:$G,$B273,실시간콜입력!$O:$O,"방문완료")+COUNTIFS(실시간콜입력!$B:$B,$A273,실시간콜입력!$E:$E,"D",실시간콜입력!$H:$H,$B273,실시간콜입력!$O:$O,"방문완료")</f>
        <v>0</v>
      </c>
      <c r="J273" s="29">
        <f>COUNTIFS(실시간콜입력!$B:$B,$A273,실시간콜입력!$E:$E,"E",실시간콜입력!$G:$G,$B273,실시간콜입력!$O:$O,"방문완료")+COUNTIFS(실시간콜입력!$B:$B,$A273,실시간콜입력!$E:$E,"E",실시간콜입력!$H:$H,$B273,실시간콜입력!$O:$O,"방문완료")</f>
        <v>0</v>
      </c>
      <c r="K273" s="29">
        <f t="shared" si="37"/>
        <v>0</v>
      </c>
      <c r="L273" s="27">
        <f>SUMIFS(실시간콜입력!$K:$K,실시간콜입력!$B:$B,$A273,실시간콜입력!$G:$G,$B273,실시간콜입력!$O:$O,"방문완료")+SUMIFS(실시간콜입력!$L:$L,실시간콜입력!$B:$B,$A273,실시간콜입력!$H:$H,$B273,실시간콜입력!$O:$O,"방문완료")</f>
        <v>0</v>
      </c>
      <c r="M273" s="29" t="str">
        <f t="shared" si="38"/>
        <v/>
      </c>
      <c r="N273" s="29"/>
    </row>
    <row r="274" spans="1:14" ht="19.5" hidden="1" customHeight="1" outlineLevel="1">
      <c r="A274" s="30">
        <f>IF(6&lt;=DAY(DATE(YEAR(설정_코스수당!$K$2),MONTH(설정_코스수당!$K$2)+1,0)),DATE(YEAR(설정_코스수당!$K$2),MONTH(설정_코스수당!$K$2),6),"")</f>
        <v>46179</v>
      </c>
      <c r="B274" s="29" t="s">
        <v>170</v>
      </c>
      <c r="C274" s="29"/>
      <c r="D274" s="29"/>
      <c r="E274" s="29" t="str">
        <f t="shared" si="36"/>
        <v/>
      </c>
      <c r="F274" s="29">
        <f>COUNTIFS(실시간콜입력!$B:$B,$A274,실시간콜입력!$E:$E,"A",실시간콜입력!$G:$G,$B274,실시간콜입력!$O:$O,"방문완료")+COUNTIFS(실시간콜입력!$B:$B,$A274,실시간콜입력!$E:$E,"A",실시간콜입력!$H:$H,$B274,실시간콜입력!$O:$O,"방문완료")</f>
        <v>0</v>
      </c>
      <c r="G274" s="29">
        <f>COUNTIFS(실시간콜입력!$B:$B,$A274,실시간콜입력!$E:$E,"B",실시간콜입력!$G:$G,$B274,실시간콜입력!$O:$O,"방문완료")+COUNTIFS(실시간콜입력!$B:$B,$A274,실시간콜입력!$E:$E,"B",실시간콜입력!$H:$H,$B274,실시간콜입력!$O:$O,"방문완료")</f>
        <v>0</v>
      </c>
      <c r="H274" s="29">
        <f>COUNTIFS(실시간콜입력!$B:$B,$A274,실시간콜입력!$E:$E,"C",실시간콜입력!$G:$G,$B274,실시간콜입력!$O:$O,"방문완료")+COUNTIFS(실시간콜입력!$B:$B,$A274,실시간콜입력!$E:$E,"C",실시간콜입력!$H:$H,$B274,실시간콜입력!$O:$O,"방문완료")</f>
        <v>0</v>
      </c>
      <c r="I274" s="29">
        <f>COUNTIFS(실시간콜입력!$B:$B,$A274,실시간콜입력!$E:$E,"D",실시간콜입력!$G:$G,$B274,실시간콜입력!$O:$O,"방문완료")+COUNTIFS(실시간콜입력!$B:$B,$A274,실시간콜입력!$E:$E,"D",실시간콜입력!$H:$H,$B274,실시간콜입력!$O:$O,"방문완료")</f>
        <v>0</v>
      </c>
      <c r="J274" s="29">
        <f>COUNTIFS(실시간콜입력!$B:$B,$A274,실시간콜입력!$E:$E,"E",실시간콜입력!$G:$G,$B274,실시간콜입력!$O:$O,"방문완료")+COUNTIFS(실시간콜입력!$B:$B,$A274,실시간콜입력!$E:$E,"E",실시간콜입력!$H:$H,$B274,실시간콜입력!$O:$O,"방문완료")</f>
        <v>0</v>
      </c>
      <c r="K274" s="29">
        <f t="shared" si="37"/>
        <v>0</v>
      </c>
      <c r="L274" s="33">
        <f>SUMIFS(실시간콜입력!$K:$K,실시간콜입력!$B:$B,$A274,실시간콜입력!$G:$G,$B274,실시간콜입력!$O:$O,"방문완료")+SUMIFS(실시간콜입력!$L:$L,실시간콜입력!$B:$B,$A274,실시간콜입력!$H:$H,$B274,실시간콜입력!$O:$O,"방문완료")</f>
        <v>0</v>
      </c>
      <c r="M274" s="29" t="str">
        <f t="shared" si="38"/>
        <v/>
      </c>
      <c r="N274" s="29"/>
    </row>
    <row r="275" spans="1:14" ht="19.5" hidden="1" customHeight="1" outlineLevel="1">
      <c r="A275" s="24">
        <f>IF(6&lt;=DAY(DATE(YEAR(설정_코스수당!$K$2),MONTH(설정_코스수당!$K$2)+1,0)),DATE(YEAR(설정_코스수당!$K$2),MONTH(설정_코스수당!$K$2),6),"")</f>
        <v>46179</v>
      </c>
      <c r="B275" s="23" t="s">
        <v>171</v>
      </c>
      <c r="C275" s="29"/>
      <c r="D275" s="29"/>
      <c r="E275" s="29" t="str">
        <f t="shared" si="36"/>
        <v/>
      </c>
      <c r="F275" s="29">
        <f>COUNTIFS(실시간콜입력!$B:$B,$A275,실시간콜입력!$E:$E,"A",실시간콜입력!$G:$G,$B275,실시간콜입력!$O:$O,"방문완료")+COUNTIFS(실시간콜입력!$B:$B,$A275,실시간콜입력!$E:$E,"A",실시간콜입력!$H:$H,$B275,실시간콜입력!$O:$O,"방문완료")</f>
        <v>0</v>
      </c>
      <c r="G275" s="29">
        <f>COUNTIFS(실시간콜입력!$B:$B,$A275,실시간콜입력!$E:$E,"B",실시간콜입력!$G:$G,$B275,실시간콜입력!$O:$O,"방문완료")+COUNTIFS(실시간콜입력!$B:$B,$A275,실시간콜입력!$E:$E,"B",실시간콜입력!$H:$H,$B275,실시간콜입력!$O:$O,"방문완료")</f>
        <v>0</v>
      </c>
      <c r="H275" s="29">
        <f>COUNTIFS(실시간콜입력!$B:$B,$A275,실시간콜입력!$E:$E,"C",실시간콜입력!$G:$G,$B275,실시간콜입력!$O:$O,"방문완료")+COUNTIFS(실시간콜입력!$B:$B,$A275,실시간콜입력!$E:$E,"C",실시간콜입력!$H:$H,$B275,실시간콜입력!$O:$O,"방문완료")</f>
        <v>0</v>
      </c>
      <c r="I275" s="29">
        <f>COUNTIFS(실시간콜입력!$B:$B,$A275,실시간콜입력!$E:$E,"D",실시간콜입력!$G:$G,$B275,실시간콜입력!$O:$O,"방문완료")+COUNTIFS(실시간콜입력!$B:$B,$A275,실시간콜입력!$E:$E,"D",실시간콜입력!$H:$H,$B275,실시간콜입력!$O:$O,"방문완료")</f>
        <v>0</v>
      </c>
      <c r="J275" s="29">
        <f>COUNTIFS(실시간콜입력!$B:$B,$A275,실시간콜입력!$E:$E,"E",실시간콜입력!$G:$G,$B275,실시간콜입력!$O:$O,"방문완료")+COUNTIFS(실시간콜입력!$B:$B,$A275,실시간콜입력!$E:$E,"E",실시간콜입력!$H:$H,$B275,실시간콜입력!$O:$O,"방문완료")</f>
        <v>0</v>
      </c>
      <c r="K275" s="29">
        <f t="shared" si="37"/>
        <v>0</v>
      </c>
      <c r="L275" s="27">
        <f>SUMIFS(실시간콜입력!$K:$K,실시간콜입력!$B:$B,$A275,실시간콜입력!$G:$G,$B275,실시간콜입력!$O:$O,"방문완료")+SUMIFS(실시간콜입력!$L:$L,실시간콜입력!$B:$B,$A275,실시간콜입력!$H:$H,$B275,실시간콜입력!$O:$O,"방문완료")</f>
        <v>0</v>
      </c>
      <c r="M275" s="29" t="str">
        <f t="shared" si="38"/>
        <v/>
      </c>
      <c r="N275" s="29"/>
    </row>
    <row r="276" spans="1:14" ht="19.5" hidden="1" customHeight="1" outlineLevel="1">
      <c r="A276" s="30">
        <f>IF(6&lt;=DAY(DATE(YEAR(설정_코스수당!$K$2),MONTH(설정_코스수당!$K$2)+1,0)),DATE(YEAR(설정_코스수당!$K$2),MONTH(설정_코스수당!$K$2),6),"")</f>
        <v>46179</v>
      </c>
      <c r="B276" s="29" t="s">
        <v>172</v>
      </c>
      <c r="C276" s="29"/>
      <c r="D276" s="29"/>
      <c r="E276" s="29" t="str">
        <f t="shared" si="36"/>
        <v/>
      </c>
      <c r="F276" s="29">
        <f>COUNTIFS(실시간콜입력!$B:$B,$A276,실시간콜입력!$E:$E,"A",실시간콜입력!$G:$G,$B276,실시간콜입력!$O:$O,"방문완료")+COUNTIFS(실시간콜입력!$B:$B,$A276,실시간콜입력!$E:$E,"A",실시간콜입력!$H:$H,$B276,실시간콜입력!$O:$O,"방문완료")</f>
        <v>0</v>
      </c>
      <c r="G276" s="29">
        <f>COUNTIFS(실시간콜입력!$B:$B,$A276,실시간콜입력!$E:$E,"B",실시간콜입력!$G:$G,$B276,실시간콜입력!$O:$O,"방문완료")+COUNTIFS(실시간콜입력!$B:$B,$A276,실시간콜입력!$E:$E,"B",실시간콜입력!$H:$H,$B276,실시간콜입력!$O:$O,"방문완료")</f>
        <v>0</v>
      </c>
      <c r="H276" s="29">
        <f>COUNTIFS(실시간콜입력!$B:$B,$A276,실시간콜입력!$E:$E,"C",실시간콜입력!$G:$G,$B276,실시간콜입력!$O:$O,"방문완료")+COUNTIFS(실시간콜입력!$B:$B,$A276,실시간콜입력!$E:$E,"C",실시간콜입력!$H:$H,$B276,실시간콜입력!$O:$O,"방문완료")</f>
        <v>0</v>
      </c>
      <c r="I276" s="29">
        <f>COUNTIFS(실시간콜입력!$B:$B,$A276,실시간콜입력!$E:$E,"D",실시간콜입력!$G:$G,$B276,실시간콜입력!$O:$O,"방문완료")+COUNTIFS(실시간콜입력!$B:$B,$A276,실시간콜입력!$E:$E,"D",실시간콜입력!$H:$H,$B276,실시간콜입력!$O:$O,"방문완료")</f>
        <v>0</v>
      </c>
      <c r="J276" s="29">
        <f>COUNTIFS(실시간콜입력!$B:$B,$A276,실시간콜입력!$E:$E,"E",실시간콜입력!$G:$G,$B276,실시간콜입력!$O:$O,"방문완료")+COUNTIFS(실시간콜입력!$B:$B,$A276,실시간콜입력!$E:$E,"E",실시간콜입력!$H:$H,$B276,실시간콜입력!$O:$O,"방문완료")</f>
        <v>0</v>
      </c>
      <c r="K276" s="29">
        <f t="shared" si="37"/>
        <v>0</v>
      </c>
      <c r="L276" s="33">
        <f>SUMIFS(실시간콜입력!$K:$K,실시간콜입력!$B:$B,$A276,실시간콜입력!$G:$G,$B276,실시간콜입력!$O:$O,"방문완료")+SUMIFS(실시간콜입력!$L:$L,실시간콜입력!$B:$B,$A276,실시간콜입력!$H:$H,$B276,실시간콜입력!$O:$O,"방문완료")</f>
        <v>0</v>
      </c>
      <c r="M276" s="29" t="str">
        <f t="shared" si="38"/>
        <v/>
      </c>
      <c r="N276" s="29"/>
    </row>
    <row r="277" spans="1:14" ht="19.5" hidden="1" customHeight="1" outlineLevel="1">
      <c r="A277" s="24">
        <f>IF(6&lt;=DAY(DATE(YEAR(설정_코스수당!$K$2),MONTH(설정_코스수당!$K$2)+1,0)),DATE(YEAR(설정_코스수당!$K$2),MONTH(설정_코스수당!$K$2),6),"")</f>
        <v>46179</v>
      </c>
      <c r="B277" s="23" t="s">
        <v>173</v>
      </c>
      <c r="C277" s="29"/>
      <c r="D277" s="29"/>
      <c r="E277" s="29" t="str">
        <f t="shared" si="36"/>
        <v/>
      </c>
      <c r="F277" s="29">
        <f>COUNTIFS(실시간콜입력!$B:$B,$A277,실시간콜입력!$E:$E,"A",실시간콜입력!$G:$G,$B277,실시간콜입력!$O:$O,"방문완료")+COUNTIFS(실시간콜입력!$B:$B,$A277,실시간콜입력!$E:$E,"A",실시간콜입력!$H:$H,$B277,실시간콜입력!$O:$O,"방문완료")</f>
        <v>0</v>
      </c>
      <c r="G277" s="29">
        <f>COUNTIFS(실시간콜입력!$B:$B,$A277,실시간콜입력!$E:$E,"B",실시간콜입력!$G:$G,$B277,실시간콜입력!$O:$O,"방문완료")+COUNTIFS(실시간콜입력!$B:$B,$A277,실시간콜입력!$E:$E,"B",실시간콜입력!$H:$H,$B277,실시간콜입력!$O:$O,"방문완료")</f>
        <v>0</v>
      </c>
      <c r="H277" s="29">
        <f>COUNTIFS(실시간콜입력!$B:$B,$A277,실시간콜입력!$E:$E,"C",실시간콜입력!$G:$G,$B277,실시간콜입력!$O:$O,"방문완료")+COUNTIFS(실시간콜입력!$B:$B,$A277,실시간콜입력!$E:$E,"C",실시간콜입력!$H:$H,$B277,실시간콜입력!$O:$O,"방문완료")</f>
        <v>0</v>
      </c>
      <c r="I277" s="29">
        <f>COUNTIFS(실시간콜입력!$B:$B,$A277,실시간콜입력!$E:$E,"D",실시간콜입력!$G:$G,$B277,실시간콜입력!$O:$O,"방문완료")+COUNTIFS(실시간콜입력!$B:$B,$A277,실시간콜입력!$E:$E,"D",실시간콜입력!$H:$H,$B277,실시간콜입력!$O:$O,"방문완료")</f>
        <v>0</v>
      </c>
      <c r="J277" s="29">
        <f>COUNTIFS(실시간콜입력!$B:$B,$A277,실시간콜입력!$E:$E,"E",실시간콜입력!$G:$G,$B277,실시간콜입력!$O:$O,"방문완료")+COUNTIFS(실시간콜입력!$B:$B,$A277,실시간콜입력!$E:$E,"E",실시간콜입력!$H:$H,$B277,실시간콜입력!$O:$O,"방문완료")</f>
        <v>0</v>
      </c>
      <c r="K277" s="29">
        <f t="shared" si="37"/>
        <v>0</v>
      </c>
      <c r="L277" s="27">
        <f>SUMIFS(실시간콜입력!$K:$K,실시간콜입력!$B:$B,$A277,실시간콜입력!$G:$G,$B277,실시간콜입력!$O:$O,"방문완료")+SUMIFS(실시간콜입력!$L:$L,실시간콜입력!$B:$B,$A277,실시간콜입력!$H:$H,$B277,실시간콜입력!$O:$O,"방문완료")</f>
        <v>0</v>
      </c>
      <c r="M277" s="29" t="str">
        <f t="shared" si="38"/>
        <v/>
      </c>
      <c r="N277" s="29"/>
    </row>
    <row r="278" spans="1:14" ht="19.5" hidden="1" customHeight="1" outlineLevel="1">
      <c r="A278" s="30">
        <f>IF(6&lt;=DAY(DATE(YEAR(설정_코스수당!$K$2),MONTH(설정_코스수당!$K$2)+1,0)),DATE(YEAR(설정_코스수당!$K$2),MONTH(설정_코스수당!$K$2),6),"")</f>
        <v>46179</v>
      </c>
      <c r="B278" s="29" t="s">
        <v>174</v>
      </c>
      <c r="C278" s="29"/>
      <c r="D278" s="29"/>
      <c r="E278" s="29" t="str">
        <f t="shared" si="36"/>
        <v/>
      </c>
      <c r="F278" s="29">
        <f>COUNTIFS(실시간콜입력!$B:$B,$A278,실시간콜입력!$E:$E,"A",실시간콜입력!$G:$G,$B278,실시간콜입력!$O:$O,"방문완료")+COUNTIFS(실시간콜입력!$B:$B,$A278,실시간콜입력!$E:$E,"A",실시간콜입력!$H:$H,$B278,실시간콜입력!$O:$O,"방문완료")</f>
        <v>0</v>
      </c>
      <c r="G278" s="29">
        <f>COUNTIFS(실시간콜입력!$B:$B,$A278,실시간콜입력!$E:$E,"B",실시간콜입력!$G:$G,$B278,실시간콜입력!$O:$O,"방문완료")+COUNTIFS(실시간콜입력!$B:$B,$A278,실시간콜입력!$E:$E,"B",실시간콜입력!$H:$H,$B278,실시간콜입력!$O:$O,"방문완료")</f>
        <v>0</v>
      </c>
      <c r="H278" s="29">
        <f>COUNTIFS(실시간콜입력!$B:$B,$A278,실시간콜입력!$E:$E,"C",실시간콜입력!$G:$G,$B278,실시간콜입력!$O:$O,"방문완료")+COUNTIFS(실시간콜입력!$B:$B,$A278,실시간콜입력!$E:$E,"C",실시간콜입력!$H:$H,$B278,실시간콜입력!$O:$O,"방문완료")</f>
        <v>0</v>
      </c>
      <c r="I278" s="29">
        <f>COUNTIFS(실시간콜입력!$B:$B,$A278,실시간콜입력!$E:$E,"D",실시간콜입력!$G:$G,$B278,실시간콜입력!$O:$O,"방문완료")+COUNTIFS(실시간콜입력!$B:$B,$A278,실시간콜입력!$E:$E,"D",실시간콜입력!$H:$H,$B278,실시간콜입력!$O:$O,"방문완료")</f>
        <v>0</v>
      </c>
      <c r="J278" s="29">
        <f>COUNTIFS(실시간콜입력!$B:$B,$A278,실시간콜입력!$E:$E,"E",실시간콜입력!$G:$G,$B278,실시간콜입력!$O:$O,"방문완료")+COUNTIFS(실시간콜입력!$B:$B,$A278,실시간콜입력!$E:$E,"E",실시간콜입력!$H:$H,$B278,실시간콜입력!$O:$O,"방문완료")</f>
        <v>0</v>
      </c>
      <c r="K278" s="29">
        <f t="shared" si="37"/>
        <v>0</v>
      </c>
      <c r="L278" s="33">
        <f>SUMIFS(실시간콜입력!$K:$K,실시간콜입력!$B:$B,$A278,실시간콜입력!$G:$G,$B278,실시간콜입력!$O:$O,"방문완료")+SUMIFS(실시간콜입력!$L:$L,실시간콜입력!$B:$B,$A278,실시간콜입력!$H:$H,$B278,실시간콜입력!$O:$O,"방문완료")</f>
        <v>0</v>
      </c>
      <c r="M278" s="29" t="str">
        <f t="shared" si="38"/>
        <v/>
      </c>
      <c r="N278" s="29"/>
    </row>
    <row r="279" spans="1:14" ht="19.5" hidden="1" customHeight="1" outlineLevel="1">
      <c r="A279" s="24">
        <f>IF(6&lt;=DAY(DATE(YEAR(설정_코스수당!$K$2),MONTH(설정_코스수당!$K$2)+1,0)),DATE(YEAR(설정_코스수당!$K$2),MONTH(설정_코스수당!$K$2),6),"")</f>
        <v>46179</v>
      </c>
      <c r="B279" s="23" t="s">
        <v>175</v>
      </c>
      <c r="C279" s="29"/>
      <c r="D279" s="29"/>
      <c r="E279" s="29" t="str">
        <f t="shared" si="36"/>
        <v/>
      </c>
      <c r="F279" s="29">
        <f>COUNTIFS(실시간콜입력!$B:$B,$A279,실시간콜입력!$E:$E,"A",실시간콜입력!$G:$G,$B279,실시간콜입력!$O:$O,"방문완료")+COUNTIFS(실시간콜입력!$B:$B,$A279,실시간콜입력!$E:$E,"A",실시간콜입력!$H:$H,$B279,실시간콜입력!$O:$O,"방문완료")</f>
        <v>0</v>
      </c>
      <c r="G279" s="29">
        <f>COUNTIFS(실시간콜입력!$B:$B,$A279,실시간콜입력!$E:$E,"B",실시간콜입력!$G:$G,$B279,실시간콜입력!$O:$O,"방문완료")+COUNTIFS(실시간콜입력!$B:$B,$A279,실시간콜입력!$E:$E,"B",실시간콜입력!$H:$H,$B279,실시간콜입력!$O:$O,"방문완료")</f>
        <v>0</v>
      </c>
      <c r="H279" s="29">
        <f>COUNTIFS(실시간콜입력!$B:$B,$A279,실시간콜입력!$E:$E,"C",실시간콜입력!$G:$G,$B279,실시간콜입력!$O:$O,"방문완료")+COUNTIFS(실시간콜입력!$B:$B,$A279,실시간콜입력!$E:$E,"C",실시간콜입력!$H:$H,$B279,실시간콜입력!$O:$O,"방문완료")</f>
        <v>0</v>
      </c>
      <c r="I279" s="29">
        <f>COUNTIFS(실시간콜입력!$B:$B,$A279,실시간콜입력!$E:$E,"D",실시간콜입력!$G:$G,$B279,실시간콜입력!$O:$O,"방문완료")+COUNTIFS(실시간콜입력!$B:$B,$A279,실시간콜입력!$E:$E,"D",실시간콜입력!$H:$H,$B279,실시간콜입력!$O:$O,"방문완료")</f>
        <v>0</v>
      </c>
      <c r="J279" s="29">
        <f>COUNTIFS(실시간콜입력!$B:$B,$A279,실시간콜입력!$E:$E,"E",실시간콜입력!$G:$G,$B279,실시간콜입력!$O:$O,"방문완료")+COUNTIFS(실시간콜입력!$B:$B,$A279,실시간콜입력!$E:$E,"E",실시간콜입력!$H:$H,$B279,실시간콜입력!$O:$O,"방문완료")</f>
        <v>0</v>
      </c>
      <c r="K279" s="29">
        <f t="shared" si="37"/>
        <v>0</v>
      </c>
      <c r="L279" s="27">
        <f>SUMIFS(실시간콜입력!$K:$K,실시간콜입력!$B:$B,$A279,실시간콜입력!$G:$G,$B279,실시간콜입력!$O:$O,"방문완료")+SUMIFS(실시간콜입력!$L:$L,실시간콜입력!$B:$B,$A279,실시간콜입력!$H:$H,$B279,실시간콜입력!$O:$O,"방문완료")</f>
        <v>0</v>
      </c>
      <c r="M279" s="29" t="str">
        <f t="shared" si="38"/>
        <v/>
      </c>
      <c r="N279" s="29"/>
    </row>
    <row r="280" spans="1:14" ht="19.5" hidden="1" customHeight="1" outlineLevel="1">
      <c r="A280" s="30">
        <f>IF(6&lt;=DAY(DATE(YEAR(설정_코스수당!$K$2),MONTH(설정_코스수당!$K$2)+1,0)),DATE(YEAR(설정_코스수당!$K$2),MONTH(설정_코스수당!$K$2),6),"")</f>
        <v>46179</v>
      </c>
      <c r="B280" s="29" t="s">
        <v>176</v>
      </c>
      <c r="C280" s="29"/>
      <c r="D280" s="29"/>
      <c r="E280" s="29" t="str">
        <f t="shared" si="36"/>
        <v/>
      </c>
      <c r="F280" s="29">
        <f>COUNTIFS(실시간콜입력!$B:$B,$A280,실시간콜입력!$E:$E,"A",실시간콜입력!$G:$G,$B280,실시간콜입력!$O:$O,"방문완료")+COUNTIFS(실시간콜입력!$B:$B,$A280,실시간콜입력!$E:$E,"A",실시간콜입력!$H:$H,$B280,실시간콜입력!$O:$O,"방문완료")</f>
        <v>0</v>
      </c>
      <c r="G280" s="29">
        <f>COUNTIFS(실시간콜입력!$B:$B,$A280,실시간콜입력!$E:$E,"B",실시간콜입력!$G:$G,$B280,실시간콜입력!$O:$O,"방문완료")+COUNTIFS(실시간콜입력!$B:$B,$A280,실시간콜입력!$E:$E,"B",실시간콜입력!$H:$H,$B280,실시간콜입력!$O:$O,"방문완료")</f>
        <v>0</v>
      </c>
      <c r="H280" s="29">
        <f>COUNTIFS(실시간콜입력!$B:$B,$A280,실시간콜입력!$E:$E,"C",실시간콜입력!$G:$G,$B280,실시간콜입력!$O:$O,"방문완료")+COUNTIFS(실시간콜입력!$B:$B,$A280,실시간콜입력!$E:$E,"C",실시간콜입력!$H:$H,$B280,실시간콜입력!$O:$O,"방문완료")</f>
        <v>0</v>
      </c>
      <c r="I280" s="29">
        <f>COUNTIFS(실시간콜입력!$B:$B,$A280,실시간콜입력!$E:$E,"D",실시간콜입력!$G:$G,$B280,실시간콜입력!$O:$O,"방문완료")+COUNTIFS(실시간콜입력!$B:$B,$A280,실시간콜입력!$E:$E,"D",실시간콜입력!$H:$H,$B280,실시간콜입력!$O:$O,"방문완료")</f>
        <v>0</v>
      </c>
      <c r="J280" s="29">
        <f>COUNTIFS(실시간콜입력!$B:$B,$A280,실시간콜입력!$E:$E,"E",실시간콜입력!$G:$G,$B280,실시간콜입력!$O:$O,"방문완료")+COUNTIFS(실시간콜입력!$B:$B,$A280,실시간콜입력!$E:$E,"E",실시간콜입력!$H:$H,$B280,실시간콜입력!$O:$O,"방문완료")</f>
        <v>0</v>
      </c>
      <c r="K280" s="29">
        <f t="shared" si="37"/>
        <v>0</v>
      </c>
      <c r="L280" s="33">
        <f>SUMIFS(실시간콜입력!$K:$K,실시간콜입력!$B:$B,$A280,실시간콜입력!$G:$G,$B280,실시간콜입력!$O:$O,"방문완료")+SUMIFS(실시간콜입력!$L:$L,실시간콜입력!$B:$B,$A280,실시간콜입력!$H:$H,$B280,실시간콜입력!$O:$O,"방문완료")</f>
        <v>0</v>
      </c>
      <c r="M280" s="29" t="str">
        <f t="shared" si="38"/>
        <v/>
      </c>
      <c r="N280" s="29"/>
    </row>
    <row r="281" spans="1:14" ht="19.5" hidden="1" customHeight="1" outlineLevel="1">
      <c r="A281" s="24">
        <f>IF(6&lt;=DAY(DATE(YEAR(설정_코스수당!$K$2),MONTH(설정_코스수당!$K$2)+1,0)),DATE(YEAR(설정_코스수당!$K$2),MONTH(설정_코스수당!$K$2),6),"")</f>
        <v>46179</v>
      </c>
      <c r="B281" s="23" t="s">
        <v>177</v>
      </c>
      <c r="C281" s="29"/>
      <c r="D281" s="29"/>
      <c r="E281" s="29" t="str">
        <f t="shared" si="36"/>
        <v/>
      </c>
      <c r="F281" s="29">
        <f>COUNTIFS(실시간콜입력!$B:$B,$A281,실시간콜입력!$E:$E,"A",실시간콜입력!$G:$G,$B281,실시간콜입력!$O:$O,"방문완료")+COUNTIFS(실시간콜입력!$B:$B,$A281,실시간콜입력!$E:$E,"A",실시간콜입력!$H:$H,$B281,실시간콜입력!$O:$O,"방문완료")</f>
        <v>0</v>
      </c>
      <c r="G281" s="29">
        <f>COUNTIFS(실시간콜입력!$B:$B,$A281,실시간콜입력!$E:$E,"B",실시간콜입력!$G:$G,$B281,실시간콜입력!$O:$O,"방문완료")+COUNTIFS(실시간콜입력!$B:$B,$A281,실시간콜입력!$E:$E,"B",실시간콜입력!$H:$H,$B281,실시간콜입력!$O:$O,"방문완료")</f>
        <v>0</v>
      </c>
      <c r="H281" s="29">
        <f>COUNTIFS(실시간콜입력!$B:$B,$A281,실시간콜입력!$E:$E,"C",실시간콜입력!$G:$G,$B281,실시간콜입력!$O:$O,"방문완료")+COUNTIFS(실시간콜입력!$B:$B,$A281,실시간콜입력!$E:$E,"C",실시간콜입력!$H:$H,$B281,실시간콜입력!$O:$O,"방문완료")</f>
        <v>0</v>
      </c>
      <c r="I281" s="29">
        <f>COUNTIFS(실시간콜입력!$B:$B,$A281,실시간콜입력!$E:$E,"D",실시간콜입력!$G:$G,$B281,실시간콜입력!$O:$O,"방문완료")+COUNTIFS(실시간콜입력!$B:$B,$A281,실시간콜입력!$E:$E,"D",실시간콜입력!$H:$H,$B281,실시간콜입력!$O:$O,"방문완료")</f>
        <v>0</v>
      </c>
      <c r="J281" s="29">
        <f>COUNTIFS(실시간콜입력!$B:$B,$A281,실시간콜입력!$E:$E,"E",실시간콜입력!$G:$G,$B281,실시간콜입력!$O:$O,"방문완료")+COUNTIFS(실시간콜입력!$B:$B,$A281,실시간콜입력!$E:$E,"E",실시간콜입력!$H:$H,$B281,실시간콜입력!$O:$O,"방문완료")</f>
        <v>0</v>
      </c>
      <c r="K281" s="29">
        <f t="shared" si="37"/>
        <v>0</v>
      </c>
      <c r="L281" s="27">
        <f>SUMIFS(실시간콜입력!$K:$K,실시간콜입력!$B:$B,$A281,실시간콜입력!$G:$G,$B281,실시간콜입력!$O:$O,"방문완료")+SUMIFS(실시간콜입력!$L:$L,실시간콜입력!$B:$B,$A281,실시간콜입력!$H:$H,$B281,실시간콜입력!$O:$O,"방문완료")</f>
        <v>0</v>
      </c>
      <c r="M281" s="29" t="str">
        <f t="shared" si="38"/>
        <v/>
      </c>
      <c r="N281" s="29"/>
    </row>
    <row r="282" spans="1:14" ht="19.5" hidden="1" customHeight="1" outlineLevel="1">
      <c r="A282" s="30">
        <f>IF(6&lt;=DAY(DATE(YEAR(설정_코스수당!$K$2),MONTH(설정_코스수당!$K$2)+1,0)),DATE(YEAR(설정_코스수당!$K$2),MONTH(설정_코스수당!$K$2),6),"")</f>
        <v>46179</v>
      </c>
      <c r="B282" s="29" t="s">
        <v>178</v>
      </c>
      <c r="C282" s="29"/>
      <c r="D282" s="29"/>
      <c r="E282" s="29" t="str">
        <f t="shared" si="36"/>
        <v/>
      </c>
      <c r="F282" s="29">
        <f>COUNTIFS(실시간콜입력!$B:$B,$A282,실시간콜입력!$E:$E,"A",실시간콜입력!$G:$G,$B282,실시간콜입력!$O:$O,"방문완료")+COUNTIFS(실시간콜입력!$B:$B,$A282,실시간콜입력!$E:$E,"A",실시간콜입력!$H:$H,$B282,실시간콜입력!$O:$O,"방문완료")</f>
        <v>0</v>
      </c>
      <c r="G282" s="29">
        <f>COUNTIFS(실시간콜입력!$B:$B,$A282,실시간콜입력!$E:$E,"B",실시간콜입력!$G:$G,$B282,실시간콜입력!$O:$O,"방문완료")+COUNTIFS(실시간콜입력!$B:$B,$A282,실시간콜입력!$E:$E,"B",실시간콜입력!$H:$H,$B282,실시간콜입력!$O:$O,"방문완료")</f>
        <v>0</v>
      </c>
      <c r="H282" s="29">
        <f>COUNTIFS(실시간콜입력!$B:$B,$A282,실시간콜입력!$E:$E,"C",실시간콜입력!$G:$G,$B282,실시간콜입력!$O:$O,"방문완료")+COUNTIFS(실시간콜입력!$B:$B,$A282,실시간콜입력!$E:$E,"C",실시간콜입력!$H:$H,$B282,실시간콜입력!$O:$O,"방문완료")</f>
        <v>0</v>
      </c>
      <c r="I282" s="29">
        <f>COUNTIFS(실시간콜입력!$B:$B,$A282,실시간콜입력!$E:$E,"D",실시간콜입력!$G:$G,$B282,실시간콜입력!$O:$O,"방문완료")+COUNTIFS(실시간콜입력!$B:$B,$A282,실시간콜입력!$E:$E,"D",실시간콜입력!$H:$H,$B282,실시간콜입력!$O:$O,"방문완료")</f>
        <v>0</v>
      </c>
      <c r="J282" s="29">
        <f>COUNTIFS(실시간콜입력!$B:$B,$A282,실시간콜입력!$E:$E,"E",실시간콜입력!$G:$G,$B282,실시간콜입력!$O:$O,"방문완료")+COUNTIFS(실시간콜입력!$B:$B,$A282,실시간콜입력!$E:$E,"E",실시간콜입력!$H:$H,$B282,실시간콜입력!$O:$O,"방문완료")</f>
        <v>0</v>
      </c>
      <c r="K282" s="29">
        <f t="shared" si="37"/>
        <v>0</v>
      </c>
      <c r="L282" s="33">
        <f>SUMIFS(실시간콜입력!$K:$K,실시간콜입력!$B:$B,$A282,실시간콜입력!$G:$G,$B282,실시간콜입력!$O:$O,"방문완료")+SUMIFS(실시간콜입력!$L:$L,실시간콜입력!$B:$B,$A282,실시간콜입력!$H:$H,$B282,실시간콜입력!$O:$O,"방문완료")</f>
        <v>0</v>
      </c>
      <c r="M282" s="29" t="str">
        <f t="shared" si="38"/>
        <v/>
      </c>
      <c r="N282" s="29"/>
    </row>
    <row r="283" spans="1:14" ht="19.5" hidden="1" customHeight="1" outlineLevel="1">
      <c r="A283" s="24">
        <f>IF(6&lt;=DAY(DATE(YEAR(설정_코스수당!$K$2),MONTH(설정_코스수당!$K$2)+1,0)),DATE(YEAR(설정_코스수당!$K$2),MONTH(설정_코스수당!$K$2),6),"")</f>
        <v>46179</v>
      </c>
      <c r="B283" s="23" t="s">
        <v>179</v>
      </c>
      <c r="C283" s="29"/>
      <c r="D283" s="29"/>
      <c r="E283" s="29" t="str">
        <f t="shared" si="36"/>
        <v/>
      </c>
      <c r="F283" s="29">
        <f>COUNTIFS(실시간콜입력!$B:$B,$A283,실시간콜입력!$E:$E,"A",실시간콜입력!$G:$G,$B283,실시간콜입력!$O:$O,"방문완료")+COUNTIFS(실시간콜입력!$B:$B,$A283,실시간콜입력!$E:$E,"A",실시간콜입력!$H:$H,$B283,실시간콜입력!$O:$O,"방문완료")</f>
        <v>0</v>
      </c>
      <c r="G283" s="29">
        <f>COUNTIFS(실시간콜입력!$B:$B,$A283,실시간콜입력!$E:$E,"B",실시간콜입력!$G:$G,$B283,실시간콜입력!$O:$O,"방문완료")+COUNTIFS(실시간콜입력!$B:$B,$A283,실시간콜입력!$E:$E,"B",실시간콜입력!$H:$H,$B283,실시간콜입력!$O:$O,"방문완료")</f>
        <v>0</v>
      </c>
      <c r="H283" s="29">
        <f>COUNTIFS(실시간콜입력!$B:$B,$A283,실시간콜입력!$E:$E,"C",실시간콜입력!$G:$G,$B283,실시간콜입력!$O:$O,"방문완료")+COUNTIFS(실시간콜입력!$B:$B,$A283,실시간콜입력!$E:$E,"C",실시간콜입력!$H:$H,$B283,실시간콜입력!$O:$O,"방문완료")</f>
        <v>0</v>
      </c>
      <c r="I283" s="29">
        <f>COUNTIFS(실시간콜입력!$B:$B,$A283,실시간콜입력!$E:$E,"D",실시간콜입력!$G:$G,$B283,실시간콜입력!$O:$O,"방문완료")+COUNTIFS(실시간콜입력!$B:$B,$A283,실시간콜입력!$E:$E,"D",실시간콜입력!$H:$H,$B283,실시간콜입력!$O:$O,"방문완료")</f>
        <v>0</v>
      </c>
      <c r="J283" s="29">
        <f>COUNTIFS(실시간콜입력!$B:$B,$A283,실시간콜입력!$E:$E,"E",실시간콜입력!$G:$G,$B283,실시간콜입력!$O:$O,"방문완료")+COUNTIFS(실시간콜입력!$B:$B,$A283,실시간콜입력!$E:$E,"E",실시간콜입력!$H:$H,$B283,실시간콜입력!$O:$O,"방문완료")</f>
        <v>0</v>
      </c>
      <c r="K283" s="29">
        <f t="shared" si="37"/>
        <v>0</v>
      </c>
      <c r="L283" s="27">
        <f>SUMIFS(실시간콜입력!$K:$K,실시간콜입력!$B:$B,$A283,실시간콜입력!$G:$G,$B283,실시간콜입력!$O:$O,"방문완료")+SUMIFS(실시간콜입력!$L:$L,실시간콜입력!$B:$B,$A283,실시간콜입력!$H:$H,$B283,실시간콜입력!$O:$O,"방문완료")</f>
        <v>0</v>
      </c>
      <c r="M283" s="29" t="str">
        <f t="shared" si="38"/>
        <v/>
      </c>
      <c r="N283" s="29"/>
    </row>
    <row r="284" spans="1:14" ht="19.5" hidden="1" customHeight="1" outlineLevel="1">
      <c r="A284" s="30">
        <f>IF(6&lt;=DAY(DATE(YEAR(설정_코스수당!$K$2),MONTH(설정_코스수당!$K$2)+1,0)),DATE(YEAR(설정_코스수당!$K$2),MONTH(설정_코스수당!$K$2),6),"")</f>
        <v>46179</v>
      </c>
      <c r="B284" s="29" t="s">
        <v>180</v>
      </c>
      <c r="C284" s="29"/>
      <c r="D284" s="29"/>
      <c r="E284" s="29" t="str">
        <f t="shared" si="36"/>
        <v/>
      </c>
      <c r="F284" s="29">
        <f>COUNTIFS(실시간콜입력!$B:$B,$A284,실시간콜입력!$E:$E,"A",실시간콜입력!$G:$G,$B284,실시간콜입력!$O:$O,"방문완료")+COUNTIFS(실시간콜입력!$B:$B,$A284,실시간콜입력!$E:$E,"A",실시간콜입력!$H:$H,$B284,실시간콜입력!$O:$O,"방문완료")</f>
        <v>0</v>
      </c>
      <c r="G284" s="29">
        <f>COUNTIFS(실시간콜입력!$B:$B,$A284,실시간콜입력!$E:$E,"B",실시간콜입력!$G:$G,$B284,실시간콜입력!$O:$O,"방문완료")+COUNTIFS(실시간콜입력!$B:$B,$A284,실시간콜입력!$E:$E,"B",실시간콜입력!$H:$H,$B284,실시간콜입력!$O:$O,"방문완료")</f>
        <v>0</v>
      </c>
      <c r="H284" s="29">
        <f>COUNTIFS(실시간콜입력!$B:$B,$A284,실시간콜입력!$E:$E,"C",실시간콜입력!$G:$G,$B284,실시간콜입력!$O:$O,"방문완료")+COUNTIFS(실시간콜입력!$B:$B,$A284,실시간콜입력!$E:$E,"C",실시간콜입력!$H:$H,$B284,실시간콜입력!$O:$O,"방문완료")</f>
        <v>0</v>
      </c>
      <c r="I284" s="29">
        <f>COUNTIFS(실시간콜입력!$B:$B,$A284,실시간콜입력!$E:$E,"D",실시간콜입력!$G:$G,$B284,실시간콜입력!$O:$O,"방문완료")+COUNTIFS(실시간콜입력!$B:$B,$A284,실시간콜입력!$E:$E,"D",실시간콜입력!$H:$H,$B284,실시간콜입력!$O:$O,"방문완료")</f>
        <v>0</v>
      </c>
      <c r="J284" s="29">
        <f>COUNTIFS(실시간콜입력!$B:$B,$A284,실시간콜입력!$E:$E,"E",실시간콜입력!$G:$G,$B284,실시간콜입력!$O:$O,"방문완료")+COUNTIFS(실시간콜입력!$B:$B,$A284,실시간콜입력!$E:$E,"E",실시간콜입력!$H:$H,$B284,실시간콜입력!$O:$O,"방문완료")</f>
        <v>0</v>
      </c>
      <c r="K284" s="29">
        <f t="shared" si="37"/>
        <v>0</v>
      </c>
      <c r="L284" s="33">
        <f>SUMIFS(실시간콜입력!$K:$K,실시간콜입력!$B:$B,$A284,실시간콜입력!$G:$G,$B284,실시간콜입력!$O:$O,"방문완료")+SUMIFS(실시간콜입력!$L:$L,실시간콜입력!$B:$B,$A284,실시간콜입력!$H:$H,$B284,실시간콜입력!$O:$O,"방문완료")</f>
        <v>0</v>
      </c>
      <c r="M284" s="29" t="str">
        <f t="shared" si="38"/>
        <v/>
      </c>
      <c r="N284" s="29"/>
    </row>
    <row r="285" spans="1:14" ht="19.5" hidden="1" customHeight="1" outlineLevel="1">
      <c r="A285" s="24">
        <f>IF(6&lt;=DAY(DATE(YEAR(설정_코스수당!$K$2),MONTH(설정_코스수당!$K$2)+1,0)),DATE(YEAR(설정_코스수당!$K$2),MONTH(설정_코스수당!$K$2),6),"")</f>
        <v>46179</v>
      </c>
      <c r="B285" s="23" t="s">
        <v>181</v>
      </c>
      <c r="C285" s="29"/>
      <c r="D285" s="29"/>
      <c r="E285" s="29" t="str">
        <f t="shared" si="36"/>
        <v/>
      </c>
      <c r="F285" s="29">
        <f>COUNTIFS(실시간콜입력!$B:$B,$A285,실시간콜입력!$E:$E,"A",실시간콜입력!$G:$G,$B285,실시간콜입력!$O:$O,"방문완료")+COUNTIFS(실시간콜입력!$B:$B,$A285,실시간콜입력!$E:$E,"A",실시간콜입력!$H:$H,$B285,실시간콜입력!$O:$O,"방문완료")</f>
        <v>0</v>
      </c>
      <c r="G285" s="29">
        <f>COUNTIFS(실시간콜입력!$B:$B,$A285,실시간콜입력!$E:$E,"B",실시간콜입력!$G:$G,$B285,실시간콜입력!$O:$O,"방문완료")+COUNTIFS(실시간콜입력!$B:$B,$A285,실시간콜입력!$E:$E,"B",실시간콜입력!$H:$H,$B285,실시간콜입력!$O:$O,"방문완료")</f>
        <v>0</v>
      </c>
      <c r="H285" s="29">
        <f>COUNTIFS(실시간콜입력!$B:$B,$A285,실시간콜입력!$E:$E,"C",실시간콜입력!$G:$G,$B285,실시간콜입력!$O:$O,"방문완료")+COUNTIFS(실시간콜입력!$B:$B,$A285,실시간콜입력!$E:$E,"C",실시간콜입력!$H:$H,$B285,실시간콜입력!$O:$O,"방문완료")</f>
        <v>0</v>
      </c>
      <c r="I285" s="29">
        <f>COUNTIFS(실시간콜입력!$B:$B,$A285,실시간콜입력!$E:$E,"D",실시간콜입력!$G:$G,$B285,실시간콜입력!$O:$O,"방문완료")+COUNTIFS(실시간콜입력!$B:$B,$A285,실시간콜입력!$E:$E,"D",실시간콜입력!$H:$H,$B285,실시간콜입력!$O:$O,"방문완료")</f>
        <v>0</v>
      </c>
      <c r="J285" s="29">
        <f>COUNTIFS(실시간콜입력!$B:$B,$A285,실시간콜입력!$E:$E,"E",실시간콜입력!$G:$G,$B285,실시간콜입력!$O:$O,"방문완료")+COUNTIFS(실시간콜입력!$B:$B,$A285,실시간콜입력!$E:$E,"E",실시간콜입력!$H:$H,$B285,실시간콜입력!$O:$O,"방문완료")</f>
        <v>0</v>
      </c>
      <c r="K285" s="29">
        <f t="shared" si="37"/>
        <v>0</v>
      </c>
      <c r="L285" s="27">
        <f>SUMIFS(실시간콜입력!$K:$K,실시간콜입력!$B:$B,$A285,실시간콜입력!$G:$G,$B285,실시간콜입력!$O:$O,"방문완료")+SUMIFS(실시간콜입력!$L:$L,실시간콜입력!$B:$B,$A285,실시간콜입력!$H:$H,$B285,실시간콜입력!$O:$O,"방문완료")</f>
        <v>0</v>
      </c>
      <c r="M285" s="29" t="str">
        <f t="shared" si="38"/>
        <v/>
      </c>
      <c r="N285" s="29"/>
    </row>
    <row r="286" spans="1:14" ht="19.5" hidden="1" customHeight="1" outlineLevel="1">
      <c r="A286" s="30">
        <f>IF(6&lt;=DAY(DATE(YEAR(설정_코스수당!$K$2),MONTH(설정_코스수당!$K$2)+1,0)),DATE(YEAR(설정_코스수당!$K$2),MONTH(설정_코스수당!$K$2),6),"")</f>
        <v>46179</v>
      </c>
      <c r="B286" s="29" t="s">
        <v>182</v>
      </c>
      <c r="C286" s="29"/>
      <c r="D286" s="29"/>
      <c r="E286" s="29" t="str">
        <f t="shared" si="36"/>
        <v/>
      </c>
      <c r="F286" s="29">
        <f>COUNTIFS(실시간콜입력!$B:$B,$A286,실시간콜입력!$E:$E,"A",실시간콜입력!$G:$G,$B286,실시간콜입력!$O:$O,"방문완료")+COUNTIFS(실시간콜입력!$B:$B,$A286,실시간콜입력!$E:$E,"A",실시간콜입력!$H:$H,$B286,실시간콜입력!$O:$O,"방문완료")</f>
        <v>0</v>
      </c>
      <c r="G286" s="29">
        <f>COUNTIFS(실시간콜입력!$B:$B,$A286,실시간콜입력!$E:$E,"B",실시간콜입력!$G:$G,$B286,실시간콜입력!$O:$O,"방문완료")+COUNTIFS(실시간콜입력!$B:$B,$A286,실시간콜입력!$E:$E,"B",실시간콜입력!$H:$H,$B286,실시간콜입력!$O:$O,"방문완료")</f>
        <v>0</v>
      </c>
      <c r="H286" s="29">
        <f>COUNTIFS(실시간콜입력!$B:$B,$A286,실시간콜입력!$E:$E,"C",실시간콜입력!$G:$G,$B286,실시간콜입력!$O:$O,"방문완료")+COUNTIFS(실시간콜입력!$B:$B,$A286,실시간콜입력!$E:$E,"C",실시간콜입력!$H:$H,$B286,실시간콜입력!$O:$O,"방문완료")</f>
        <v>0</v>
      </c>
      <c r="I286" s="29">
        <f>COUNTIFS(실시간콜입력!$B:$B,$A286,실시간콜입력!$E:$E,"D",실시간콜입력!$G:$G,$B286,실시간콜입력!$O:$O,"방문완료")+COUNTIFS(실시간콜입력!$B:$B,$A286,실시간콜입력!$E:$E,"D",실시간콜입력!$H:$H,$B286,실시간콜입력!$O:$O,"방문완료")</f>
        <v>0</v>
      </c>
      <c r="J286" s="29">
        <f>COUNTIFS(실시간콜입력!$B:$B,$A286,실시간콜입력!$E:$E,"E",실시간콜입력!$G:$G,$B286,실시간콜입력!$O:$O,"방문완료")+COUNTIFS(실시간콜입력!$B:$B,$A286,실시간콜입력!$E:$E,"E",실시간콜입력!$H:$H,$B286,실시간콜입력!$O:$O,"방문완료")</f>
        <v>0</v>
      </c>
      <c r="K286" s="29">
        <f t="shared" si="37"/>
        <v>0</v>
      </c>
      <c r="L286" s="33">
        <f>SUMIFS(실시간콜입력!$K:$K,실시간콜입력!$B:$B,$A286,실시간콜입력!$G:$G,$B286,실시간콜입력!$O:$O,"방문완료")+SUMIFS(실시간콜입력!$L:$L,실시간콜입력!$B:$B,$A286,실시간콜입력!$H:$H,$B286,실시간콜입력!$O:$O,"방문완료")</f>
        <v>0</v>
      </c>
      <c r="M286" s="29" t="str">
        <f t="shared" si="38"/>
        <v/>
      </c>
      <c r="N286" s="29"/>
    </row>
    <row r="287" spans="1:14" ht="19.5" hidden="1" customHeight="1" outlineLevel="1">
      <c r="A287" s="24">
        <f>IF(6&lt;=DAY(DATE(YEAR(설정_코스수당!$K$2),MONTH(설정_코스수당!$K$2)+1,0)),DATE(YEAR(설정_코스수당!$K$2),MONTH(설정_코스수당!$K$2),6),"")</f>
        <v>46179</v>
      </c>
      <c r="B287" s="23" t="s">
        <v>183</v>
      </c>
      <c r="C287" s="29"/>
      <c r="D287" s="29"/>
      <c r="E287" s="29" t="str">
        <f t="shared" si="36"/>
        <v/>
      </c>
      <c r="F287" s="29">
        <f>COUNTIFS(실시간콜입력!$B:$B,$A287,실시간콜입력!$E:$E,"A",실시간콜입력!$G:$G,$B287,실시간콜입력!$O:$O,"방문완료")+COUNTIFS(실시간콜입력!$B:$B,$A287,실시간콜입력!$E:$E,"A",실시간콜입력!$H:$H,$B287,실시간콜입력!$O:$O,"방문완료")</f>
        <v>0</v>
      </c>
      <c r="G287" s="29">
        <f>COUNTIFS(실시간콜입력!$B:$B,$A287,실시간콜입력!$E:$E,"B",실시간콜입력!$G:$G,$B287,실시간콜입력!$O:$O,"방문완료")+COUNTIFS(실시간콜입력!$B:$B,$A287,실시간콜입력!$E:$E,"B",실시간콜입력!$H:$H,$B287,실시간콜입력!$O:$O,"방문완료")</f>
        <v>0</v>
      </c>
      <c r="H287" s="29">
        <f>COUNTIFS(실시간콜입력!$B:$B,$A287,실시간콜입력!$E:$E,"C",실시간콜입력!$G:$G,$B287,실시간콜입력!$O:$O,"방문완료")+COUNTIFS(실시간콜입력!$B:$B,$A287,실시간콜입력!$E:$E,"C",실시간콜입력!$H:$H,$B287,실시간콜입력!$O:$O,"방문완료")</f>
        <v>0</v>
      </c>
      <c r="I287" s="29">
        <f>COUNTIFS(실시간콜입력!$B:$B,$A287,실시간콜입력!$E:$E,"D",실시간콜입력!$G:$G,$B287,실시간콜입력!$O:$O,"방문완료")+COUNTIFS(실시간콜입력!$B:$B,$A287,실시간콜입력!$E:$E,"D",실시간콜입력!$H:$H,$B287,실시간콜입력!$O:$O,"방문완료")</f>
        <v>0</v>
      </c>
      <c r="J287" s="29">
        <f>COUNTIFS(실시간콜입력!$B:$B,$A287,실시간콜입력!$E:$E,"E",실시간콜입력!$G:$G,$B287,실시간콜입력!$O:$O,"방문완료")+COUNTIFS(실시간콜입력!$B:$B,$A287,실시간콜입력!$E:$E,"E",실시간콜입력!$H:$H,$B287,실시간콜입력!$O:$O,"방문완료")</f>
        <v>0</v>
      </c>
      <c r="K287" s="29">
        <f t="shared" si="37"/>
        <v>0</v>
      </c>
      <c r="L287" s="27">
        <f>SUMIFS(실시간콜입력!$K:$K,실시간콜입력!$B:$B,$A287,실시간콜입력!$G:$G,$B287,실시간콜입력!$O:$O,"방문완료")+SUMIFS(실시간콜입력!$L:$L,실시간콜입력!$B:$B,$A287,실시간콜입력!$H:$H,$B287,실시간콜입력!$O:$O,"방문완료")</f>
        <v>0</v>
      </c>
      <c r="M287" s="29" t="str">
        <f t="shared" si="38"/>
        <v/>
      </c>
      <c r="N287" s="29"/>
    </row>
    <row r="288" spans="1:14" ht="19.5" hidden="1" customHeight="1" outlineLevel="1">
      <c r="A288" s="30">
        <f>IF(6&lt;=DAY(DATE(YEAR(설정_코스수당!$K$2),MONTH(설정_코스수당!$K$2)+1,0)),DATE(YEAR(설정_코스수당!$K$2),MONTH(설정_코스수당!$K$2),6),"")</f>
        <v>46179</v>
      </c>
      <c r="B288" s="29" t="s">
        <v>184</v>
      </c>
      <c r="C288" s="29"/>
      <c r="D288" s="29"/>
      <c r="E288" s="29" t="str">
        <f t="shared" si="36"/>
        <v/>
      </c>
      <c r="F288" s="29">
        <f>COUNTIFS(실시간콜입력!$B:$B,$A288,실시간콜입력!$E:$E,"A",실시간콜입력!$G:$G,$B288,실시간콜입력!$O:$O,"방문완료")+COUNTIFS(실시간콜입력!$B:$B,$A288,실시간콜입력!$E:$E,"A",실시간콜입력!$H:$H,$B288,실시간콜입력!$O:$O,"방문완료")</f>
        <v>0</v>
      </c>
      <c r="G288" s="29">
        <f>COUNTIFS(실시간콜입력!$B:$B,$A288,실시간콜입력!$E:$E,"B",실시간콜입력!$G:$G,$B288,실시간콜입력!$O:$O,"방문완료")+COUNTIFS(실시간콜입력!$B:$B,$A288,실시간콜입력!$E:$E,"B",실시간콜입력!$H:$H,$B288,실시간콜입력!$O:$O,"방문완료")</f>
        <v>0</v>
      </c>
      <c r="H288" s="29">
        <f>COUNTIFS(실시간콜입력!$B:$B,$A288,실시간콜입력!$E:$E,"C",실시간콜입력!$G:$G,$B288,실시간콜입력!$O:$O,"방문완료")+COUNTIFS(실시간콜입력!$B:$B,$A288,실시간콜입력!$E:$E,"C",실시간콜입력!$H:$H,$B288,실시간콜입력!$O:$O,"방문완료")</f>
        <v>0</v>
      </c>
      <c r="I288" s="29">
        <f>COUNTIFS(실시간콜입력!$B:$B,$A288,실시간콜입력!$E:$E,"D",실시간콜입력!$G:$G,$B288,실시간콜입력!$O:$O,"방문완료")+COUNTIFS(실시간콜입력!$B:$B,$A288,실시간콜입력!$E:$E,"D",실시간콜입력!$H:$H,$B288,실시간콜입력!$O:$O,"방문완료")</f>
        <v>0</v>
      </c>
      <c r="J288" s="29">
        <f>COUNTIFS(실시간콜입력!$B:$B,$A288,실시간콜입력!$E:$E,"E",실시간콜입력!$G:$G,$B288,실시간콜입력!$O:$O,"방문완료")+COUNTIFS(실시간콜입력!$B:$B,$A288,실시간콜입력!$E:$E,"E",실시간콜입력!$H:$H,$B288,실시간콜입력!$O:$O,"방문완료")</f>
        <v>0</v>
      </c>
      <c r="K288" s="29">
        <f t="shared" si="37"/>
        <v>0</v>
      </c>
      <c r="L288" s="33">
        <f>SUMIFS(실시간콜입력!$K:$K,실시간콜입력!$B:$B,$A288,실시간콜입력!$G:$G,$B288,실시간콜입력!$O:$O,"방문완료")+SUMIFS(실시간콜입력!$L:$L,실시간콜입력!$B:$B,$A288,실시간콜입력!$H:$H,$B288,실시간콜입력!$O:$O,"방문완료")</f>
        <v>0</v>
      </c>
      <c r="M288" s="29" t="str">
        <f t="shared" si="38"/>
        <v/>
      </c>
      <c r="N288" s="29"/>
    </row>
    <row r="289" spans="1:14" ht="19.5" hidden="1" customHeight="1" outlineLevel="1">
      <c r="A289" s="24">
        <f>IF(6&lt;=DAY(DATE(YEAR(설정_코스수당!$K$2),MONTH(설정_코스수당!$K$2)+1,0)),DATE(YEAR(설정_코스수당!$K$2),MONTH(설정_코스수당!$K$2),6),"")</f>
        <v>46179</v>
      </c>
      <c r="B289" s="23" t="s">
        <v>185</v>
      </c>
      <c r="C289" s="29"/>
      <c r="D289" s="29"/>
      <c r="E289" s="29" t="str">
        <f t="shared" si="36"/>
        <v/>
      </c>
      <c r="F289" s="29">
        <f>COUNTIFS(실시간콜입력!$B:$B,$A289,실시간콜입력!$E:$E,"A",실시간콜입력!$G:$G,$B289,실시간콜입력!$O:$O,"방문완료")+COUNTIFS(실시간콜입력!$B:$B,$A289,실시간콜입력!$E:$E,"A",실시간콜입력!$H:$H,$B289,실시간콜입력!$O:$O,"방문완료")</f>
        <v>0</v>
      </c>
      <c r="G289" s="29">
        <f>COUNTIFS(실시간콜입력!$B:$B,$A289,실시간콜입력!$E:$E,"B",실시간콜입력!$G:$G,$B289,실시간콜입력!$O:$O,"방문완료")+COUNTIFS(실시간콜입력!$B:$B,$A289,실시간콜입력!$E:$E,"B",실시간콜입력!$H:$H,$B289,실시간콜입력!$O:$O,"방문완료")</f>
        <v>0</v>
      </c>
      <c r="H289" s="29">
        <f>COUNTIFS(실시간콜입력!$B:$B,$A289,실시간콜입력!$E:$E,"C",실시간콜입력!$G:$G,$B289,실시간콜입력!$O:$O,"방문완료")+COUNTIFS(실시간콜입력!$B:$B,$A289,실시간콜입력!$E:$E,"C",실시간콜입력!$H:$H,$B289,실시간콜입력!$O:$O,"방문완료")</f>
        <v>0</v>
      </c>
      <c r="I289" s="29">
        <f>COUNTIFS(실시간콜입력!$B:$B,$A289,실시간콜입력!$E:$E,"D",실시간콜입력!$G:$G,$B289,실시간콜입력!$O:$O,"방문완료")+COUNTIFS(실시간콜입력!$B:$B,$A289,실시간콜입력!$E:$E,"D",실시간콜입력!$H:$H,$B289,실시간콜입력!$O:$O,"방문완료")</f>
        <v>0</v>
      </c>
      <c r="J289" s="29">
        <f>COUNTIFS(실시간콜입력!$B:$B,$A289,실시간콜입력!$E:$E,"E",실시간콜입력!$G:$G,$B289,실시간콜입력!$O:$O,"방문완료")+COUNTIFS(실시간콜입력!$B:$B,$A289,실시간콜입력!$E:$E,"E",실시간콜입력!$H:$H,$B289,실시간콜입력!$O:$O,"방문완료")</f>
        <v>0</v>
      </c>
      <c r="K289" s="29">
        <f t="shared" si="37"/>
        <v>0</v>
      </c>
      <c r="L289" s="27">
        <f>SUMIFS(실시간콜입력!$K:$K,실시간콜입력!$B:$B,$A289,실시간콜입력!$G:$G,$B289,실시간콜입력!$O:$O,"방문완료")+SUMIFS(실시간콜입력!$L:$L,실시간콜입력!$B:$B,$A289,실시간콜입력!$H:$H,$B289,실시간콜입력!$O:$O,"방문완료")</f>
        <v>0</v>
      </c>
      <c r="M289" s="29" t="str">
        <f t="shared" si="38"/>
        <v/>
      </c>
      <c r="N289" s="29"/>
    </row>
    <row r="290" spans="1:14" ht="19.5" hidden="1" customHeight="1" outlineLevel="1">
      <c r="A290" s="30">
        <f>IF(6&lt;=DAY(DATE(YEAR(설정_코스수당!$K$2),MONTH(설정_코스수당!$K$2)+1,0)),DATE(YEAR(설정_코스수당!$K$2),MONTH(설정_코스수당!$K$2),6),"")</f>
        <v>46179</v>
      </c>
      <c r="B290" s="29" t="s">
        <v>186</v>
      </c>
      <c r="C290" s="29"/>
      <c r="D290" s="29"/>
      <c r="E290" s="29" t="str">
        <f t="shared" si="36"/>
        <v/>
      </c>
      <c r="F290" s="29">
        <f>COUNTIFS(실시간콜입력!$B:$B,$A290,실시간콜입력!$E:$E,"A",실시간콜입력!$G:$G,$B290,실시간콜입력!$O:$O,"방문완료")+COUNTIFS(실시간콜입력!$B:$B,$A290,실시간콜입력!$E:$E,"A",실시간콜입력!$H:$H,$B290,실시간콜입력!$O:$O,"방문완료")</f>
        <v>0</v>
      </c>
      <c r="G290" s="29">
        <f>COUNTIFS(실시간콜입력!$B:$B,$A290,실시간콜입력!$E:$E,"B",실시간콜입력!$G:$G,$B290,실시간콜입력!$O:$O,"방문완료")+COUNTIFS(실시간콜입력!$B:$B,$A290,실시간콜입력!$E:$E,"B",실시간콜입력!$H:$H,$B290,실시간콜입력!$O:$O,"방문완료")</f>
        <v>0</v>
      </c>
      <c r="H290" s="29">
        <f>COUNTIFS(실시간콜입력!$B:$B,$A290,실시간콜입력!$E:$E,"C",실시간콜입력!$G:$G,$B290,실시간콜입력!$O:$O,"방문완료")+COUNTIFS(실시간콜입력!$B:$B,$A290,실시간콜입력!$E:$E,"C",실시간콜입력!$H:$H,$B290,실시간콜입력!$O:$O,"방문완료")</f>
        <v>0</v>
      </c>
      <c r="I290" s="29">
        <f>COUNTIFS(실시간콜입력!$B:$B,$A290,실시간콜입력!$E:$E,"D",실시간콜입력!$G:$G,$B290,실시간콜입력!$O:$O,"방문완료")+COUNTIFS(실시간콜입력!$B:$B,$A290,실시간콜입력!$E:$E,"D",실시간콜입력!$H:$H,$B290,실시간콜입력!$O:$O,"방문완료")</f>
        <v>0</v>
      </c>
      <c r="J290" s="29">
        <f>COUNTIFS(실시간콜입력!$B:$B,$A290,실시간콜입력!$E:$E,"E",실시간콜입력!$G:$G,$B290,실시간콜입력!$O:$O,"방문완료")+COUNTIFS(실시간콜입력!$B:$B,$A290,실시간콜입력!$E:$E,"E",실시간콜입력!$H:$H,$B290,실시간콜입력!$O:$O,"방문완료")</f>
        <v>0</v>
      </c>
      <c r="K290" s="29">
        <f t="shared" si="37"/>
        <v>0</v>
      </c>
      <c r="L290" s="33">
        <f>SUMIFS(실시간콜입력!$K:$K,실시간콜입력!$B:$B,$A290,실시간콜입력!$G:$G,$B290,실시간콜입력!$O:$O,"방문완료")+SUMIFS(실시간콜입력!$L:$L,실시간콜입력!$B:$B,$A290,실시간콜입력!$H:$H,$B290,실시간콜입력!$O:$O,"방문완료")</f>
        <v>0</v>
      </c>
      <c r="M290" s="29" t="str">
        <f t="shared" si="38"/>
        <v/>
      </c>
      <c r="N290" s="29"/>
    </row>
    <row r="291" spans="1:14" ht="19.5" hidden="1" customHeight="1" outlineLevel="1">
      <c r="A291" s="24">
        <f>IF(6&lt;=DAY(DATE(YEAR(설정_코스수당!$K$2),MONTH(설정_코스수당!$K$2)+1,0)),DATE(YEAR(설정_코스수당!$K$2),MONTH(설정_코스수당!$K$2),6),"")</f>
        <v>46179</v>
      </c>
      <c r="B291" s="23" t="s">
        <v>187</v>
      </c>
      <c r="C291" s="29"/>
      <c r="D291" s="29"/>
      <c r="E291" s="29" t="str">
        <f t="shared" si="36"/>
        <v/>
      </c>
      <c r="F291" s="29">
        <f>COUNTIFS(실시간콜입력!$B:$B,$A291,실시간콜입력!$E:$E,"A",실시간콜입력!$G:$G,$B291,실시간콜입력!$O:$O,"방문완료")+COUNTIFS(실시간콜입력!$B:$B,$A291,실시간콜입력!$E:$E,"A",실시간콜입력!$H:$H,$B291,실시간콜입력!$O:$O,"방문완료")</f>
        <v>0</v>
      </c>
      <c r="G291" s="29">
        <f>COUNTIFS(실시간콜입력!$B:$B,$A291,실시간콜입력!$E:$E,"B",실시간콜입력!$G:$G,$B291,실시간콜입력!$O:$O,"방문완료")+COUNTIFS(실시간콜입력!$B:$B,$A291,실시간콜입력!$E:$E,"B",실시간콜입력!$H:$H,$B291,실시간콜입력!$O:$O,"방문완료")</f>
        <v>0</v>
      </c>
      <c r="H291" s="29">
        <f>COUNTIFS(실시간콜입력!$B:$B,$A291,실시간콜입력!$E:$E,"C",실시간콜입력!$G:$G,$B291,실시간콜입력!$O:$O,"방문완료")+COUNTIFS(실시간콜입력!$B:$B,$A291,실시간콜입력!$E:$E,"C",실시간콜입력!$H:$H,$B291,실시간콜입력!$O:$O,"방문완료")</f>
        <v>0</v>
      </c>
      <c r="I291" s="29">
        <f>COUNTIFS(실시간콜입력!$B:$B,$A291,실시간콜입력!$E:$E,"D",실시간콜입력!$G:$G,$B291,실시간콜입력!$O:$O,"방문완료")+COUNTIFS(실시간콜입력!$B:$B,$A291,실시간콜입력!$E:$E,"D",실시간콜입력!$H:$H,$B291,실시간콜입력!$O:$O,"방문완료")</f>
        <v>0</v>
      </c>
      <c r="J291" s="29">
        <f>COUNTIFS(실시간콜입력!$B:$B,$A291,실시간콜입력!$E:$E,"E",실시간콜입력!$G:$G,$B291,실시간콜입력!$O:$O,"방문완료")+COUNTIFS(실시간콜입력!$B:$B,$A291,실시간콜입력!$E:$E,"E",실시간콜입력!$H:$H,$B291,실시간콜입력!$O:$O,"방문완료")</f>
        <v>0</v>
      </c>
      <c r="K291" s="29">
        <f t="shared" si="37"/>
        <v>0</v>
      </c>
      <c r="L291" s="27">
        <f>SUMIFS(실시간콜입력!$K:$K,실시간콜입력!$B:$B,$A291,실시간콜입력!$G:$G,$B291,실시간콜입력!$O:$O,"방문완료")+SUMIFS(실시간콜입력!$L:$L,실시간콜입력!$B:$B,$A291,실시간콜입력!$H:$H,$B291,실시간콜입력!$O:$O,"방문완료")</f>
        <v>0</v>
      </c>
      <c r="M291" s="29" t="str">
        <f t="shared" si="38"/>
        <v/>
      </c>
      <c r="N291" s="29"/>
    </row>
    <row r="292" spans="1:14" ht="19.5" hidden="1" customHeight="1" outlineLevel="1">
      <c r="A292" s="30">
        <f>IF(6&lt;=DAY(DATE(YEAR(설정_코스수당!$K$2),MONTH(설정_코스수당!$K$2)+1,0)),DATE(YEAR(설정_코스수당!$K$2),MONTH(설정_코스수당!$K$2),6),"")</f>
        <v>46179</v>
      </c>
      <c r="B292" s="29" t="s">
        <v>188</v>
      </c>
      <c r="C292" s="29"/>
      <c r="D292" s="29"/>
      <c r="E292" s="29" t="str">
        <f t="shared" si="36"/>
        <v/>
      </c>
      <c r="F292" s="29">
        <f>COUNTIFS(실시간콜입력!$B:$B,$A292,실시간콜입력!$E:$E,"A",실시간콜입력!$G:$G,$B292,실시간콜입력!$O:$O,"방문완료")+COUNTIFS(실시간콜입력!$B:$B,$A292,실시간콜입력!$E:$E,"A",실시간콜입력!$H:$H,$B292,실시간콜입력!$O:$O,"방문완료")</f>
        <v>0</v>
      </c>
      <c r="G292" s="29">
        <f>COUNTIFS(실시간콜입력!$B:$B,$A292,실시간콜입력!$E:$E,"B",실시간콜입력!$G:$G,$B292,실시간콜입력!$O:$O,"방문완료")+COUNTIFS(실시간콜입력!$B:$B,$A292,실시간콜입력!$E:$E,"B",실시간콜입력!$H:$H,$B292,실시간콜입력!$O:$O,"방문완료")</f>
        <v>0</v>
      </c>
      <c r="H292" s="29">
        <f>COUNTIFS(실시간콜입력!$B:$B,$A292,실시간콜입력!$E:$E,"C",실시간콜입력!$G:$G,$B292,실시간콜입력!$O:$O,"방문완료")+COUNTIFS(실시간콜입력!$B:$B,$A292,실시간콜입력!$E:$E,"C",실시간콜입력!$H:$H,$B292,실시간콜입력!$O:$O,"방문완료")</f>
        <v>0</v>
      </c>
      <c r="I292" s="29">
        <f>COUNTIFS(실시간콜입력!$B:$B,$A292,실시간콜입력!$E:$E,"D",실시간콜입력!$G:$G,$B292,실시간콜입력!$O:$O,"방문완료")+COUNTIFS(실시간콜입력!$B:$B,$A292,실시간콜입력!$E:$E,"D",실시간콜입력!$H:$H,$B292,실시간콜입력!$O:$O,"방문완료")</f>
        <v>0</v>
      </c>
      <c r="J292" s="29">
        <f>COUNTIFS(실시간콜입력!$B:$B,$A292,실시간콜입력!$E:$E,"E",실시간콜입력!$G:$G,$B292,실시간콜입력!$O:$O,"방문완료")+COUNTIFS(실시간콜입력!$B:$B,$A292,실시간콜입력!$E:$E,"E",실시간콜입력!$H:$H,$B292,실시간콜입력!$O:$O,"방문완료")</f>
        <v>0</v>
      </c>
      <c r="K292" s="29">
        <f t="shared" si="37"/>
        <v>0</v>
      </c>
      <c r="L292" s="33">
        <f>SUMIFS(실시간콜입력!$K:$K,실시간콜입력!$B:$B,$A292,실시간콜입력!$G:$G,$B292,실시간콜입력!$O:$O,"방문완료")+SUMIFS(실시간콜입력!$L:$L,실시간콜입력!$B:$B,$A292,실시간콜입력!$H:$H,$B292,실시간콜입력!$O:$O,"방문완료")</f>
        <v>0</v>
      </c>
      <c r="M292" s="29" t="str">
        <f t="shared" si="38"/>
        <v/>
      </c>
      <c r="N292" s="29"/>
    </row>
    <row r="293" spans="1:14" ht="19.5" hidden="1" customHeight="1" outlineLevel="1">
      <c r="A293" s="24">
        <f>IF(6&lt;=DAY(DATE(YEAR(설정_코스수당!$K$2),MONTH(설정_코스수당!$K$2)+1,0)),DATE(YEAR(설정_코스수당!$K$2),MONTH(설정_코스수당!$K$2),6),"")</f>
        <v>46179</v>
      </c>
      <c r="B293" s="23" t="s">
        <v>189</v>
      </c>
      <c r="C293" s="29"/>
      <c r="D293" s="29"/>
      <c r="E293" s="29" t="str">
        <f t="shared" si="36"/>
        <v/>
      </c>
      <c r="F293" s="29">
        <f>COUNTIFS(실시간콜입력!$B:$B,$A293,실시간콜입력!$E:$E,"A",실시간콜입력!$G:$G,$B293,실시간콜입력!$O:$O,"방문완료")+COUNTIFS(실시간콜입력!$B:$B,$A293,실시간콜입력!$E:$E,"A",실시간콜입력!$H:$H,$B293,실시간콜입력!$O:$O,"방문완료")</f>
        <v>0</v>
      </c>
      <c r="G293" s="29">
        <f>COUNTIFS(실시간콜입력!$B:$B,$A293,실시간콜입력!$E:$E,"B",실시간콜입력!$G:$G,$B293,실시간콜입력!$O:$O,"방문완료")+COUNTIFS(실시간콜입력!$B:$B,$A293,실시간콜입력!$E:$E,"B",실시간콜입력!$H:$H,$B293,실시간콜입력!$O:$O,"방문완료")</f>
        <v>0</v>
      </c>
      <c r="H293" s="29">
        <f>COUNTIFS(실시간콜입력!$B:$B,$A293,실시간콜입력!$E:$E,"C",실시간콜입력!$G:$G,$B293,실시간콜입력!$O:$O,"방문완료")+COUNTIFS(실시간콜입력!$B:$B,$A293,실시간콜입력!$E:$E,"C",실시간콜입력!$H:$H,$B293,실시간콜입력!$O:$O,"방문완료")</f>
        <v>0</v>
      </c>
      <c r="I293" s="29">
        <f>COUNTIFS(실시간콜입력!$B:$B,$A293,실시간콜입력!$E:$E,"D",실시간콜입력!$G:$G,$B293,실시간콜입력!$O:$O,"방문완료")+COUNTIFS(실시간콜입력!$B:$B,$A293,실시간콜입력!$E:$E,"D",실시간콜입력!$H:$H,$B293,실시간콜입력!$O:$O,"방문완료")</f>
        <v>0</v>
      </c>
      <c r="J293" s="29">
        <f>COUNTIFS(실시간콜입력!$B:$B,$A293,실시간콜입력!$E:$E,"E",실시간콜입력!$G:$G,$B293,실시간콜입력!$O:$O,"방문완료")+COUNTIFS(실시간콜입력!$B:$B,$A293,실시간콜입력!$E:$E,"E",실시간콜입력!$H:$H,$B293,실시간콜입력!$O:$O,"방문완료")</f>
        <v>0</v>
      </c>
      <c r="K293" s="29">
        <f t="shared" si="37"/>
        <v>0</v>
      </c>
      <c r="L293" s="27">
        <f>SUMIFS(실시간콜입력!$K:$K,실시간콜입력!$B:$B,$A293,실시간콜입력!$G:$G,$B293,실시간콜입력!$O:$O,"방문완료")+SUMIFS(실시간콜입력!$L:$L,실시간콜입력!$B:$B,$A293,실시간콜입력!$H:$H,$B293,실시간콜입력!$O:$O,"방문완료")</f>
        <v>0</v>
      </c>
      <c r="M293" s="29" t="str">
        <f t="shared" si="38"/>
        <v/>
      </c>
      <c r="N293" s="29"/>
    </row>
    <row r="294" spans="1:14" ht="19.5" hidden="1" customHeight="1" outlineLevel="1">
      <c r="A294" s="30">
        <f>IF(6&lt;=DAY(DATE(YEAR(설정_코스수당!$K$2),MONTH(설정_코스수당!$K$2)+1,0)),DATE(YEAR(설정_코스수당!$K$2),MONTH(설정_코스수당!$K$2),6),"")</f>
        <v>46179</v>
      </c>
      <c r="B294" s="29" t="s">
        <v>190</v>
      </c>
      <c r="C294" s="29"/>
      <c r="D294" s="29"/>
      <c r="E294" s="29" t="str">
        <f t="shared" si="36"/>
        <v/>
      </c>
      <c r="F294" s="29">
        <f>COUNTIFS(실시간콜입력!$B:$B,$A294,실시간콜입력!$E:$E,"A",실시간콜입력!$G:$G,$B294,실시간콜입력!$O:$O,"방문완료")+COUNTIFS(실시간콜입력!$B:$B,$A294,실시간콜입력!$E:$E,"A",실시간콜입력!$H:$H,$B294,실시간콜입력!$O:$O,"방문완료")</f>
        <v>0</v>
      </c>
      <c r="G294" s="29">
        <f>COUNTIFS(실시간콜입력!$B:$B,$A294,실시간콜입력!$E:$E,"B",실시간콜입력!$G:$G,$B294,실시간콜입력!$O:$O,"방문완료")+COUNTIFS(실시간콜입력!$B:$B,$A294,실시간콜입력!$E:$E,"B",실시간콜입력!$H:$H,$B294,실시간콜입력!$O:$O,"방문완료")</f>
        <v>0</v>
      </c>
      <c r="H294" s="29">
        <f>COUNTIFS(실시간콜입력!$B:$B,$A294,실시간콜입력!$E:$E,"C",실시간콜입력!$G:$G,$B294,실시간콜입력!$O:$O,"방문완료")+COUNTIFS(실시간콜입력!$B:$B,$A294,실시간콜입력!$E:$E,"C",실시간콜입력!$H:$H,$B294,실시간콜입력!$O:$O,"방문완료")</f>
        <v>0</v>
      </c>
      <c r="I294" s="29">
        <f>COUNTIFS(실시간콜입력!$B:$B,$A294,실시간콜입력!$E:$E,"D",실시간콜입력!$G:$G,$B294,실시간콜입력!$O:$O,"방문완료")+COUNTIFS(실시간콜입력!$B:$B,$A294,실시간콜입력!$E:$E,"D",실시간콜입력!$H:$H,$B294,실시간콜입력!$O:$O,"방문완료")</f>
        <v>0</v>
      </c>
      <c r="J294" s="29">
        <f>COUNTIFS(실시간콜입력!$B:$B,$A294,실시간콜입력!$E:$E,"E",실시간콜입력!$G:$G,$B294,실시간콜입력!$O:$O,"방문완료")+COUNTIFS(실시간콜입력!$B:$B,$A294,실시간콜입력!$E:$E,"E",실시간콜입력!$H:$H,$B294,실시간콜입력!$O:$O,"방문완료")</f>
        <v>0</v>
      </c>
      <c r="K294" s="29">
        <f t="shared" si="37"/>
        <v>0</v>
      </c>
      <c r="L294" s="33">
        <f>SUMIFS(실시간콜입력!$K:$K,실시간콜입력!$B:$B,$A294,실시간콜입력!$G:$G,$B294,실시간콜입력!$O:$O,"방문완료")+SUMIFS(실시간콜입력!$L:$L,실시간콜입력!$B:$B,$A294,실시간콜입력!$H:$H,$B294,실시간콜입력!$O:$O,"방문완료")</f>
        <v>0</v>
      </c>
      <c r="M294" s="29" t="str">
        <f t="shared" si="38"/>
        <v/>
      </c>
      <c r="N294" s="29"/>
    </row>
    <row r="295" spans="1:14" ht="19.5" hidden="1" customHeight="1" outlineLevel="1">
      <c r="A295" s="24">
        <f>IF(6&lt;=DAY(DATE(YEAR(설정_코스수당!$K$2),MONTH(설정_코스수당!$K$2)+1,0)),DATE(YEAR(설정_코스수당!$K$2),MONTH(설정_코스수당!$K$2),6),"")</f>
        <v>46179</v>
      </c>
      <c r="B295" s="23" t="s">
        <v>191</v>
      </c>
      <c r="C295" s="29"/>
      <c r="D295" s="29"/>
      <c r="E295" s="29" t="str">
        <f t="shared" si="36"/>
        <v/>
      </c>
      <c r="F295" s="29">
        <f>COUNTIFS(실시간콜입력!$B:$B,$A295,실시간콜입력!$E:$E,"A",실시간콜입력!$G:$G,$B295,실시간콜입력!$O:$O,"방문완료")+COUNTIFS(실시간콜입력!$B:$B,$A295,실시간콜입력!$E:$E,"A",실시간콜입력!$H:$H,$B295,실시간콜입력!$O:$O,"방문완료")</f>
        <v>0</v>
      </c>
      <c r="G295" s="29">
        <f>COUNTIFS(실시간콜입력!$B:$B,$A295,실시간콜입력!$E:$E,"B",실시간콜입력!$G:$G,$B295,실시간콜입력!$O:$O,"방문완료")+COUNTIFS(실시간콜입력!$B:$B,$A295,실시간콜입력!$E:$E,"B",실시간콜입력!$H:$H,$B295,실시간콜입력!$O:$O,"방문완료")</f>
        <v>0</v>
      </c>
      <c r="H295" s="29">
        <f>COUNTIFS(실시간콜입력!$B:$B,$A295,실시간콜입력!$E:$E,"C",실시간콜입력!$G:$G,$B295,실시간콜입력!$O:$O,"방문완료")+COUNTIFS(실시간콜입력!$B:$B,$A295,실시간콜입력!$E:$E,"C",실시간콜입력!$H:$H,$B295,실시간콜입력!$O:$O,"방문완료")</f>
        <v>0</v>
      </c>
      <c r="I295" s="29">
        <f>COUNTIFS(실시간콜입력!$B:$B,$A295,실시간콜입력!$E:$E,"D",실시간콜입력!$G:$G,$B295,실시간콜입력!$O:$O,"방문완료")+COUNTIFS(실시간콜입력!$B:$B,$A295,실시간콜입력!$E:$E,"D",실시간콜입력!$H:$H,$B295,실시간콜입력!$O:$O,"방문완료")</f>
        <v>0</v>
      </c>
      <c r="J295" s="29">
        <f>COUNTIFS(실시간콜입력!$B:$B,$A295,실시간콜입력!$E:$E,"E",실시간콜입력!$G:$G,$B295,실시간콜입력!$O:$O,"방문완료")+COUNTIFS(실시간콜입력!$B:$B,$A295,실시간콜입력!$E:$E,"E",실시간콜입력!$H:$H,$B295,실시간콜입력!$O:$O,"방문완료")</f>
        <v>0</v>
      </c>
      <c r="K295" s="29">
        <f t="shared" si="37"/>
        <v>0</v>
      </c>
      <c r="L295" s="27">
        <f>SUMIFS(실시간콜입력!$K:$K,실시간콜입력!$B:$B,$A295,실시간콜입력!$G:$G,$B295,실시간콜입력!$O:$O,"방문완료")+SUMIFS(실시간콜입력!$L:$L,실시간콜입력!$B:$B,$A295,실시간콜입력!$H:$H,$B295,실시간콜입력!$O:$O,"방문완료")</f>
        <v>0</v>
      </c>
      <c r="M295" s="29" t="str">
        <f t="shared" si="38"/>
        <v/>
      </c>
      <c r="N295" s="29"/>
    </row>
    <row r="296" spans="1:14" ht="19.5" hidden="1" customHeight="1" outlineLevel="1">
      <c r="A296" s="30">
        <f>IF(6&lt;=DAY(DATE(YEAR(설정_코스수당!$K$2),MONTH(설정_코스수당!$K$2)+1,0)),DATE(YEAR(설정_코스수당!$K$2),MONTH(설정_코스수당!$K$2),6),"")</f>
        <v>46179</v>
      </c>
      <c r="B296" s="29" t="s">
        <v>192</v>
      </c>
      <c r="C296" s="29"/>
      <c r="D296" s="29"/>
      <c r="E296" s="29" t="str">
        <f t="shared" si="36"/>
        <v/>
      </c>
      <c r="F296" s="29">
        <f>COUNTIFS(실시간콜입력!$B:$B,$A296,실시간콜입력!$E:$E,"A",실시간콜입력!$G:$G,$B296,실시간콜입력!$O:$O,"방문완료")+COUNTIFS(실시간콜입력!$B:$B,$A296,실시간콜입력!$E:$E,"A",실시간콜입력!$H:$H,$B296,실시간콜입력!$O:$O,"방문완료")</f>
        <v>0</v>
      </c>
      <c r="G296" s="29">
        <f>COUNTIFS(실시간콜입력!$B:$B,$A296,실시간콜입력!$E:$E,"B",실시간콜입력!$G:$G,$B296,실시간콜입력!$O:$O,"방문완료")+COUNTIFS(실시간콜입력!$B:$B,$A296,실시간콜입력!$E:$E,"B",실시간콜입력!$H:$H,$B296,실시간콜입력!$O:$O,"방문완료")</f>
        <v>0</v>
      </c>
      <c r="H296" s="29">
        <f>COUNTIFS(실시간콜입력!$B:$B,$A296,실시간콜입력!$E:$E,"C",실시간콜입력!$G:$G,$B296,실시간콜입력!$O:$O,"방문완료")+COUNTIFS(실시간콜입력!$B:$B,$A296,실시간콜입력!$E:$E,"C",실시간콜입력!$H:$H,$B296,실시간콜입력!$O:$O,"방문완료")</f>
        <v>0</v>
      </c>
      <c r="I296" s="29">
        <f>COUNTIFS(실시간콜입력!$B:$B,$A296,실시간콜입력!$E:$E,"D",실시간콜입력!$G:$G,$B296,실시간콜입력!$O:$O,"방문완료")+COUNTIFS(실시간콜입력!$B:$B,$A296,실시간콜입력!$E:$E,"D",실시간콜입력!$H:$H,$B296,실시간콜입력!$O:$O,"방문완료")</f>
        <v>0</v>
      </c>
      <c r="J296" s="29">
        <f>COUNTIFS(실시간콜입력!$B:$B,$A296,실시간콜입력!$E:$E,"E",실시간콜입력!$G:$G,$B296,실시간콜입력!$O:$O,"방문완료")+COUNTIFS(실시간콜입력!$B:$B,$A296,실시간콜입력!$E:$E,"E",실시간콜입력!$H:$H,$B296,실시간콜입력!$O:$O,"방문완료")</f>
        <v>0</v>
      </c>
      <c r="K296" s="29">
        <f t="shared" si="37"/>
        <v>0</v>
      </c>
      <c r="L296" s="33">
        <f>SUMIFS(실시간콜입력!$K:$K,실시간콜입력!$B:$B,$A296,실시간콜입력!$G:$G,$B296,실시간콜입력!$O:$O,"방문완료")+SUMIFS(실시간콜입력!$L:$L,실시간콜입력!$B:$B,$A296,실시간콜입력!$H:$H,$B296,실시간콜입력!$O:$O,"방문완료")</f>
        <v>0</v>
      </c>
      <c r="M296" s="29" t="str">
        <f t="shared" si="38"/>
        <v/>
      </c>
      <c r="N296" s="29"/>
    </row>
    <row r="297" spans="1:14" ht="19.5" hidden="1" customHeight="1" outlineLevel="1">
      <c r="A297" s="24">
        <f>IF(6&lt;=DAY(DATE(YEAR(설정_코스수당!$K$2),MONTH(설정_코스수당!$K$2)+1,0)),DATE(YEAR(설정_코스수당!$K$2),MONTH(설정_코스수당!$K$2),6),"")</f>
        <v>46179</v>
      </c>
      <c r="B297" s="23" t="s">
        <v>193</v>
      </c>
      <c r="C297" s="29"/>
      <c r="D297" s="29"/>
      <c r="E297" s="29" t="str">
        <f t="shared" si="36"/>
        <v/>
      </c>
      <c r="F297" s="29">
        <f>COUNTIFS(실시간콜입력!$B:$B,$A297,실시간콜입력!$E:$E,"A",실시간콜입력!$G:$G,$B297,실시간콜입력!$O:$O,"방문완료")+COUNTIFS(실시간콜입력!$B:$B,$A297,실시간콜입력!$E:$E,"A",실시간콜입력!$H:$H,$B297,실시간콜입력!$O:$O,"방문완료")</f>
        <v>0</v>
      </c>
      <c r="G297" s="29">
        <f>COUNTIFS(실시간콜입력!$B:$B,$A297,실시간콜입력!$E:$E,"B",실시간콜입력!$G:$G,$B297,실시간콜입력!$O:$O,"방문완료")+COUNTIFS(실시간콜입력!$B:$B,$A297,실시간콜입력!$E:$E,"B",실시간콜입력!$H:$H,$B297,실시간콜입력!$O:$O,"방문완료")</f>
        <v>0</v>
      </c>
      <c r="H297" s="29">
        <f>COUNTIFS(실시간콜입력!$B:$B,$A297,실시간콜입력!$E:$E,"C",실시간콜입력!$G:$G,$B297,실시간콜입력!$O:$O,"방문완료")+COUNTIFS(실시간콜입력!$B:$B,$A297,실시간콜입력!$E:$E,"C",실시간콜입력!$H:$H,$B297,실시간콜입력!$O:$O,"방문완료")</f>
        <v>0</v>
      </c>
      <c r="I297" s="29">
        <f>COUNTIFS(실시간콜입력!$B:$B,$A297,실시간콜입력!$E:$E,"D",실시간콜입력!$G:$G,$B297,실시간콜입력!$O:$O,"방문완료")+COUNTIFS(실시간콜입력!$B:$B,$A297,실시간콜입력!$E:$E,"D",실시간콜입력!$H:$H,$B297,실시간콜입력!$O:$O,"방문완료")</f>
        <v>0</v>
      </c>
      <c r="J297" s="29">
        <f>COUNTIFS(실시간콜입력!$B:$B,$A297,실시간콜입력!$E:$E,"E",실시간콜입력!$G:$G,$B297,실시간콜입력!$O:$O,"방문완료")+COUNTIFS(실시간콜입력!$B:$B,$A297,실시간콜입력!$E:$E,"E",실시간콜입력!$H:$H,$B297,실시간콜입력!$O:$O,"방문완료")</f>
        <v>0</v>
      </c>
      <c r="K297" s="29">
        <f t="shared" si="37"/>
        <v>0</v>
      </c>
      <c r="L297" s="27">
        <f>SUMIFS(실시간콜입력!$K:$K,실시간콜입력!$B:$B,$A297,실시간콜입력!$G:$G,$B297,실시간콜입력!$O:$O,"방문완료")+SUMIFS(실시간콜입력!$L:$L,실시간콜입력!$B:$B,$A297,실시간콜입력!$H:$H,$B297,실시간콜입력!$O:$O,"방문완료")</f>
        <v>0</v>
      </c>
      <c r="M297" s="29" t="str">
        <f t="shared" si="38"/>
        <v/>
      </c>
      <c r="N297" s="29"/>
    </row>
    <row r="298" spans="1:14" ht="19.5" hidden="1" customHeight="1" outlineLevel="1">
      <c r="A298" s="30">
        <f>IF(6&lt;=DAY(DATE(YEAR(설정_코스수당!$K$2),MONTH(설정_코스수당!$K$2)+1,0)),DATE(YEAR(설정_코스수당!$K$2),MONTH(설정_코스수당!$K$2),6),"")</f>
        <v>46179</v>
      </c>
      <c r="B298" s="29" t="s">
        <v>194</v>
      </c>
      <c r="C298" s="29"/>
      <c r="D298" s="29"/>
      <c r="E298" s="29" t="str">
        <f t="shared" si="36"/>
        <v/>
      </c>
      <c r="F298" s="29">
        <f>COUNTIFS(실시간콜입력!$B:$B,$A298,실시간콜입력!$E:$E,"A",실시간콜입력!$G:$G,$B298,실시간콜입력!$O:$O,"방문완료")+COUNTIFS(실시간콜입력!$B:$B,$A298,실시간콜입력!$E:$E,"A",실시간콜입력!$H:$H,$B298,실시간콜입력!$O:$O,"방문완료")</f>
        <v>0</v>
      </c>
      <c r="G298" s="29">
        <f>COUNTIFS(실시간콜입력!$B:$B,$A298,실시간콜입력!$E:$E,"B",실시간콜입력!$G:$G,$B298,실시간콜입력!$O:$O,"방문완료")+COUNTIFS(실시간콜입력!$B:$B,$A298,실시간콜입력!$E:$E,"B",실시간콜입력!$H:$H,$B298,실시간콜입력!$O:$O,"방문완료")</f>
        <v>0</v>
      </c>
      <c r="H298" s="29">
        <f>COUNTIFS(실시간콜입력!$B:$B,$A298,실시간콜입력!$E:$E,"C",실시간콜입력!$G:$G,$B298,실시간콜입력!$O:$O,"방문완료")+COUNTIFS(실시간콜입력!$B:$B,$A298,실시간콜입력!$E:$E,"C",실시간콜입력!$H:$H,$B298,실시간콜입력!$O:$O,"방문완료")</f>
        <v>0</v>
      </c>
      <c r="I298" s="29">
        <f>COUNTIFS(실시간콜입력!$B:$B,$A298,실시간콜입력!$E:$E,"D",실시간콜입력!$G:$G,$B298,실시간콜입력!$O:$O,"방문완료")+COUNTIFS(실시간콜입력!$B:$B,$A298,실시간콜입력!$E:$E,"D",실시간콜입력!$H:$H,$B298,실시간콜입력!$O:$O,"방문완료")</f>
        <v>0</v>
      </c>
      <c r="J298" s="29">
        <f>COUNTIFS(실시간콜입력!$B:$B,$A298,실시간콜입력!$E:$E,"E",실시간콜입력!$G:$G,$B298,실시간콜입력!$O:$O,"방문완료")+COUNTIFS(실시간콜입력!$B:$B,$A298,실시간콜입력!$E:$E,"E",실시간콜입력!$H:$H,$B298,실시간콜입력!$O:$O,"방문완료")</f>
        <v>0</v>
      </c>
      <c r="K298" s="29">
        <f t="shared" si="37"/>
        <v>0</v>
      </c>
      <c r="L298" s="33">
        <f>SUMIFS(실시간콜입력!$K:$K,실시간콜입력!$B:$B,$A298,실시간콜입력!$G:$G,$B298,실시간콜입력!$O:$O,"방문완료")+SUMIFS(실시간콜입력!$L:$L,실시간콜입력!$B:$B,$A298,실시간콜입력!$H:$H,$B298,실시간콜입력!$O:$O,"방문완료")</f>
        <v>0</v>
      </c>
      <c r="M298" s="29" t="str">
        <f t="shared" si="38"/>
        <v/>
      </c>
      <c r="N298" s="29"/>
    </row>
    <row r="299" spans="1:14" ht="19.5" hidden="1" customHeight="1" outlineLevel="1">
      <c r="A299" s="24">
        <f>IF(6&lt;=DAY(DATE(YEAR(설정_코스수당!$K$2),MONTH(설정_코스수당!$K$2)+1,0)),DATE(YEAR(설정_코스수당!$K$2),MONTH(설정_코스수당!$K$2),6),"")</f>
        <v>46179</v>
      </c>
      <c r="B299" s="23" t="s">
        <v>195</v>
      </c>
      <c r="C299" s="29"/>
      <c r="D299" s="29"/>
      <c r="E299" s="29" t="str">
        <f t="shared" ref="E299:E330" si="39">IF(AND(C299&lt;&gt;"",D299&lt;&gt;""),IF(D299&lt;C299,D299+1-C299,D299-C299)*24,"")</f>
        <v/>
      </c>
      <c r="F299" s="29">
        <f>COUNTIFS(실시간콜입력!$B:$B,$A299,실시간콜입력!$E:$E,"A",실시간콜입력!$G:$G,$B299,실시간콜입력!$O:$O,"방문완료")+COUNTIFS(실시간콜입력!$B:$B,$A299,실시간콜입력!$E:$E,"A",실시간콜입력!$H:$H,$B299,실시간콜입력!$O:$O,"방문완료")</f>
        <v>0</v>
      </c>
      <c r="G299" s="29">
        <f>COUNTIFS(실시간콜입력!$B:$B,$A299,실시간콜입력!$E:$E,"B",실시간콜입력!$G:$G,$B299,실시간콜입력!$O:$O,"방문완료")+COUNTIFS(실시간콜입력!$B:$B,$A299,실시간콜입력!$E:$E,"B",실시간콜입력!$H:$H,$B299,실시간콜입력!$O:$O,"방문완료")</f>
        <v>0</v>
      </c>
      <c r="H299" s="29">
        <f>COUNTIFS(실시간콜입력!$B:$B,$A299,실시간콜입력!$E:$E,"C",실시간콜입력!$G:$G,$B299,실시간콜입력!$O:$O,"방문완료")+COUNTIFS(실시간콜입력!$B:$B,$A299,실시간콜입력!$E:$E,"C",실시간콜입력!$H:$H,$B299,실시간콜입력!$O:$O,"방문완료")</f>
        <v>0</v>
      </c>
      <c r="I299" s="29">
        <f>COUNTIFS(실시간콜입력!$B:$B,$A299,실시간콜입력!$E:$E,"D",실시간콜입력!$G:$G,$B299,실시간콜입력!$O:$O,"방문완료")+COUNTIFS(실시간콜입력!$B:$B,$A299,실시간콜입력!$E:$E,"D",실시간콜입력!$H:$H,$B299,실시간콜입력!$O:$O,"방문완료")</f>
        <v>0</v>
      </c>
      <c r="J299" s="29">
        <f>COUNTIFS(실시간콜입력!$B:$B,$A299,실시간콜입력!$E:$E,"E",실시간콜입력!$G:$G,$B299,실시간콜입력!$O:$O,"방문완료")+COUNTIFS(실시간콜입력!$B:$B,$A299,실시간콜입력!$E:$E,"E",실시간콜입력!$H:$H,$B299,실시간콜입력!$O:$O,"방문완료")</f>
        <v>0</v>
      </c>
      <c r="K299" s="29">
        <f t="shared" ref="K299:K330" si="40">SUM(F299:J299)</f>
        <v>0</v>
      </c>
      <c r="L299" s="27">
        <f>SUMIFS(실시간콜입력!$K:$K,실시간콜입력!$B:$B,$A299,실시간콜입력!$G:$G,$B299,실시간콜입력!$O:$O,"방문완료")+SUMIFS(실시간콜입력!$L:$L,실시간콜입력!$B:$B,$A299,실시간콜입력!$H:$H,$B299,실시간콜입력!$O:$O,"방문완료")</f>
        <v>0</v>
      </c>
      <c r="M299" s="29" t="str">
        <f t="shared" ref="M299:M316" si="41">IF(AND(ISNUMBER(E299),E299&gt;=8),"인정","")</f>
        <v/>
      </c>
      <c r="N299" s="29"/>
    </row>
    <row r="300" spans="1:14" ht="19.5" hidden="1" customHeight="1" outlineLevel="1">
      <c r="A300" s="30">
        <f>IF(6&lt;=DAY(DATE(YEAR(설정_코스수당!$K$2),MONTH(설정_코스수당!$K$2)+1,0)),DATE(YEAR(설정_코스수당!$K$2),MONTH(설정_코스수당!$K$2),6),"")</f>
        <v>46179</v>
      </c>
      <c r="B300" s="29" t="s">
        <v>196</v>
      </c>
      <c r="C300" s="29"/>
      <c r="D300" s="29"/>
      <c r="E300" s="29" t="str">
        <f t="shared" si="39"/>
        <v/>
      </c>
      <c r="F300" s="29">
        <f>COUNTIFS(실시간콜입력!$B:$B,$A300,실시간콜입력!$E:$E,"A",실시간콜입력!$G:$G,$B300,실시간콜입력!$O:$O,"방문완료")+COUNTIFS(실시간콜입력!$B:$B,$A300,실시간콜입력!$E:$E,"A",실시간콜입력!$H:$H,$B300,실시간콜입력!$O:$O,"방문완료")</f>
        <v>0</v>
      </c>
      <c r="G300" s="29">
        <f>COUNTIFS(실시간콜입력!$B:$B,$A300,실시간콜입력!$E:$E,"B",실시간콜입력!$G:$G,$B300,실시간콜입력!$O:$O,"방문완료")+COUNTIFS(실시간콜입력!$B:$B,$A300,실시간콜입력!$E:$E,"B",실시간콜입력!$H:$H,$B300,실시간콜입력!$O:$O,"방문완료")</f>
        <v>0</v>
      </c>
      <c r="H300" s="29">
        <f>COUNTIFS(실시간콜입력!$B:$B,$A300,실시간콜입력!$E:$E,"C",실시간콜입력!$G:$G,$B300,실시간콜입력!$O:$O,"방문완료")+COUNTIFS(실시간콜입력!$B:$B,$A300,실시간콜입력!$E:$E,"C",실시간콜입력!$H:$H,$B300,실시간콜입력!$O:$O,"방문완료")</f>
        <v>0</v>
      </c>
      <c r="I300" s="29">
        <f>COUNTIFS(실시간콜입력!$B:$B,$A300,실시간콜입력!$E:$E,"D",실시간콜입력!$G:$G,$B300,실시간콜입력!$O:$O,"방문완료")+COUNTIFS(실시간콜입력!$B:$B,$A300,실시간콜입력!$E:$E,"D",실시간콜입력!$H:$H,$B300,실시간콜입력!$O:$O,"방문완료")</f>
        <v>0</v>
      </c>
      <c r="J300" s="29">
        <f>COUNTIFS(실시간콜입력!$B:$B,$A300,실시간콜입력!$E:$E,"E",실시간콜입력!$G:$G,$B300,실시간콜입력!$O:$O,"방문완료")+COUNTIFS(실시간콜입력!$B:$B,$A300,실시간콜입력!$E:$E,"E",실시간콜입력!$H:$H,$B300,실시간콜입력!$O:$O,"방문완료")</f>
        <v>0</v>
      </c>
      <c r="K300" s="29">
        <f t="shared" si="40"/>
        <v>0</v>
      </c>
      <c r="L300" s="33">
        <f>SUMIFS(실시간콜입력!$K:$K,실시간콜입력!$B:$B,$A300,실시간콜입력!$G:$G,$B300,실시간콜입력!$O:$O,"방문완료")+SUMIFS(실시간콜입력!$L:$L,실시간콜입력!$B:$B,$A300,실시간콜입력!$H:$H,$B300,실시간콜입력!$O:$O,"방문완료")</f>
        <v>0</v>
      </c>
      <c r="M300" s="29" t="str">
        <f t="shared" si="41"/>
        <v/>
      </c>
      <c r="N300" s="29"/>
    </row>
    <row r="301" spans="1:14" ht="19.5" hidden="1" customHeight="1" outlineLevel="1">
      <c r="A301" s="24">
        <f>IF(6&lt;=DAY(DATE(YEAR(설정_코스수당!$K$2),MONTH(설정_코스수당!$K$2)+1,0)),DATE(YEAR(설정_코스수당!$K$2),MONTH(설정_코스수당!$K$2),6),"")</f>
        <v>46179</v>
      </c>
      <c r="B301" s="23" t="s">
        <v>197</v>
      </c>
      <c r="C301" s="29"/>
      <c r="D301" s="29"/>
      <c r="E301" s="29" t="str">
        <f t="shared" si="39"/>
        <v/>
      </c>
      <c r="F301" s="29">
        <f>COUNTIFS(실시간콜입력!$B:$B,$A301,실시간콜입력!$E:$E,"A",실시간콜입력!$G:$G,$B301,실시간콜입력!$O:$O,"방문완료")+COUNTIFS(실시간콜입력!$B:$B,$A301,실시간콜입력!$E:$E,"A",실시간콜입력!$H:$H,$B301,실시간콜입력!$O:$O,"방문완료")</f>
        <v>0</v>
      </c>
      <c r="G301" s="29">
        <f>COUNTIFS(실시간콜입력!$B:$B,$A301,실시간콜입력!$E:$E,"B",실시간콜입력!$G:$G,$B301,실시간콜입력!$O:$O,"방문완료")+COUNTIFS(실시간콜입력!$B:$B,$A301,실시간콜입력!$E:$E,"B",실시간콜입력!$H:$H,$B301,실시간콜입력!$O:$O,"방문완료")</f>
        <v>0</v>
      </c>
      <c r="H301" s="29">
        <f>COUNTIFS(실시간콜입력!$B:$B,$A301,실시간콜입력!$E:$E,"C",실시간콜입력!$G:$G,$B301,실시간콜입력!$O:$O,"방문완료")+COUNTIFS(실시간콜입력!$B:$B,$A301,실시간콜입력!$E:$E,"C",실시간콜입력!$H:$H,$B301,실시간콜입력!$O:$O,"방문완료")</f>
        <v>0</v>
      </c>
      <c r="I301" s="29">
        <f>COUNTIFS(실시간콜입력!$B:$B,$A301,실시간콜입력!$E:$E,"D",실시간콜입력!$G:$G,$B301,실시간콜입력!$O:$O,"방문완료")+COUNTIFS(실시간콜입력!$B:$B,$A301,실시간콜입력!$E:$E,"D",실시간콜입력!$H:$H,$B301,실시간콜입력!$O:$O,"방문완료")</f>
        <v>0</v>
      </c>
      <c r="J301" s="29">
        <f>COUNTIFS(실시간콜입력!$B:$B,$A301,실시간콜입력!$E:$E,"E",실시간콜입력!$G:$G,$B301,실시간콜입력!$O:$O,"방문완료")+COUNTIFS(실시간콜입력!$B:$B,$A301,실시간콜입력!$E:$E,"E",실시간콜입력!$H:$H,$B301,실시간콜입력!$O:$O,"방문완료")</f>
        <v>0</v>
      </c>
      <c r="K301" s="29">
        <f t="shared" si="40"/>
        <v>0</v>
      </c>
      <c r="L301" s="27">
        <f>SUMIFS(실시간콜입력!$K:$K,실시간콜입력!$B:$B,$A301,실시간콜입력!$G:$G,$B301,실시간콜입력!$O:$O,"방문완료")+SUMIFS(실시간콜입력!$L:$L,실시간콜입력!$B:$B,$A301,실시간콜입력!$H:$H,$B301,실시간콜입력!$O:$O,"방문완료")</f>
        <v>0</v>
      </c>
      <c r="M301" s="29" t="str">
        <f t="shared" si="41"/>
        <v/>
      </c>
      <c r="N301" s="29"/>
    </row>
    <row r="302" spans="1:14" ht="19.5" hidden="1" customHeight="1" outlineLevel="1">
      <c r="A302" s="30">
        <f>IF(6&lt;=DAY(DATE(YEAR(설정_코스수당!$K$2),MONTH(설정_코스수당!$K$2)+1,0)),DATE(YEAR(설정_코스수당!$K$2),MONTH(설정_코스수당!$K$2),6),"")</f>
        <v>46179</v>
      </c>
      <c r="B302" s="29" t="s">
        <v>198</v>
      </c>
      <c r="C302" s="29"/>
      <c r="D302" s="29"/>
      <c r="E302" s="29" t="str">
        <f t="shared" si="39"/>
        <v/>
      </c>
      <c r="F302" s="29">
        <f>COUNTIFS(실시간콜입력!$B:$B,$A302,실시간콜입력!$E:$E,"A",실시간콜입력!$G:$G,$B302,실시간콜입력!$O:$O,"방문완료")+COUNTIFS(실시간콜입력!$B:$B,$A302,실시간콜입력!$E:$E,"A",실시간콜입력!$H:$H,$B302,실시간콜입력!$O:$O,"방문완료")</f>
        <v>0</v>
      </c>
      <c r="G302" s="29">
        <f>COUNTIFS(실시간콜입력!$B:$B,$A302,실시간콜입력!$E:$E,"B",실시간콜입력!$G:$G,$B302,실시간콜입력!$O:$O,"방문완료")+COUNTIFS(실시간콜입력!$B:$B,$A302,실시간콜입력!$E:$E,"B",실시간콜입력!$H:$H,$B302,실시간콜입력!$O:$O,"방문완료")</f>
        <v>0</v>
      </c>
      <c r="H302" s="29">
        <f>COUNTIFS(실시간콜입력!$B:$B,$A302,실시간콜입력!$E:$E,"C",실시간콜입력!$G:$G,$B302,실시간콜입력!$O:$O,"방문완료")+COUNTIFS(실시간콜입력!$B:$B,$A302,실시간콜입력!$E:$E,"C",실시간콜입력!$H:$H,$B302,실시간콜입력!$O:$O,"방문완료")</f>
        <v>0</v>
      </c>
      <c r="I302" s="29">
        <f>COUNTIFS(실시간콜입력!$B:$B,$A302,실시간콜입력!$E:$E,"D",실시간콜입력!$G:$G,$B302,실시간콜입력!$O:$O,"방문완료")+COUNTIFS(실시간콜입력!$B:$B,$A302,실시간콜입력!$E:$E,"D",실시간콜입력!$H:$H,$B302,실시간콜입력!$O:$O,"방문완료")</f>
        <v>0</v>
      </c>
      <c r="J302" s="29">
        <f>COUNTIFS(실시간콜입력!$B:$B,$A302,실시간콜입력!$E:$E,"E",실시간콜입력!$G:$G,$B302,실시간콜입력!$O:$O,"방문완료")+COUNTIFS(실시간콜입력!$B:$B,$A302,실시간콜입력!$E:$E,"E",실시간콜입력!$H:$H,$B302,실시간콜입력!$O:$O,"방문완료")</f>
        <v>0</v>
      </c>
      <c r="K302" s="29">
        <f t="shared" si="40"/>
        <v>0</v>
      </c>
      <c r="L302" s="33">
        <f>SUMIFS(실시간콜입력!$K:$K,실시간콜입력!$B:$B,$A302,실시간콜입력!$G:$G,$B302,실시간콜입력!$O:$O,"방문완료")+SUMIFS(실시간콜입력!$L:$L,실시간콜입력!$B:$B,$A302,실시간콜입력!$H:$H,$B302,실시간콜입력!$O:$O,"방문완료")</f>
        <v>0</v>
      </c>
      <c r="M302" s="29" t="str">
        <f t="shared" si="41"/>
        <v/>
      </c>
      <c r="N302" s="29"/>
    </row>
    <row r="303" spans="1:14" ht="19.5" hidden="1" customHeight="1" outlineLevel="1">
      <c r="A303" s="24">
        <f>IF(6&lt;=DAY(DATE(YEAR(설정_코스수당!$K$2),MONTH(설정_코스수당!$K$2)+1,0)),DATE(YEAR(설정_코스수당!$K$2),MONTH(설정_코스수당!$K$2),6),"")</f>
        <v>46179</v>
      </c>
      <c r="B303" s="23" t="s">
        <v>199</v>
      </c>
      <c r="C303" s="29"/>
      <c r="D303" s="29"/>
      <c r="E303" s="29" t="str">
        <f t="shared" si="39"/>
        <v/>
      </c>
      <c r="F303" s="29">
        <f>COUNTIFS(실시간콜입력!$B:$B,$A303,실시간콜입력!$E:$E,"A",실시간콜입력!$G:$G,$B303,실시간콜입력!$O:$O,"방문완료")+COUNTIFS(실시간콜입력!$B:$B,$A303,실시간콜입력!$E:$E,"A",실시간콜입력!$H:$H,$B303,실시간콜입력!$O:$O,"방문완료")</f>
        <v>0</v>
      </c>
      <c r="G303" s="29">
        <f>COUNTIFS(실시간콜입력!$B:$B,$A303,실시간콜입력!$E:$E,"B",실시간콜입력!$G:$G,$B303,실시간콜입력!$O:$O,"방문완료")+COUNTIFS(실시간콜입력!$B:$B,$A303,실시간콜입력!$E:$E,"B",실시간콜입력!$H:$H,$B303,실시간콜입력!$O:$O,"방문완료")</f>
        <v>0</v>
      </c>
      <c r="H303" s="29">
        <f>COUNTIFS(실시간콜입력!$B:$B,$A303,실시간콜입력!$E:$E,"C",실시간콜입력!$G:$G,$B303,실시간콜입력!$O:$O,"방문완료")+COUNTIFS(실시간콜입력!$B:$B,$A303,실시간콜입력!$E:$E,"C",실시간콜입력!$H:$H,$B303,실시간콜입력!$O:$O,"방문완료")</f>
        <v>0</v>
      </c>
      <c r="I303" s="29">
        <f>COUNTIFS(실시간콜입력!$B:$B,$A303,실시간콜입력!$E:$E,"D",실시간콜입력!$G:$G,$B303,실시간콜입력!$O:$O,"방문완료")+COUNTIFS(실시간콜입력!$B:$B,$A303,실시간콜입력!$E:$E,"D",실시간콜입력!$H:$H,$B303,실시간콜입력!$O:$O,"방문완료")</f>
        <v>0</v>
      </c>
      <c r="J303" s="29">
        <f>COUNTIFS(실시간콜입력!$B:$B,$A303,실시간콜입력!$E:$E,"E",실시간콜입력!$G:$G,$B303,실시간콜입력!$O:$O,"방문완료")+COUNTIFS(실시간콜입력!$B:$B,$A303,실시간콜입력!$E:$E,"E",실시간콜입력!$H:$H,$B303,실시간콜입력!$O:$O,"방문완료")</f>
        <v>0</v>
      </c>
      <c r="K303" s="29">
        <f t="shared" si="40"/>
        <v>0</v>
      </c>
      <c r="L303" s="27">
        <f>SUMIFS(실시간콜입력!$K:$K,실시간콜입력!$B:$B,$A303,실시간콜입력!$G:$G,$B303,실시간콜입력!$O:$O,"방문완료")+SUMIFS(실시간콜입력!$L:$L,실시간콜입력!$B:$B,$A303,실시간콜입력!$H:$H,$B303,실시간콜입력!$O:$O,"방문완료")</f>
        <v>0</v>
      </c>
      <c r="M303" s="29" t="str">
        <f t="shared" si="41"/>
        <v/>
      </c>
      <c r="N303" s="29"/>
    </row>
    <row r="304" spans="1:14" ht="19.5" hidden="1" customHeight="1" outlineLevel="1">
      <c r="A304" s="30">
        <f>IF(6&lt;=DAY(DATE(YEAR(설정_코스수당!$K$2),MONTH(설정_코스수당!$K$2)+1,0)),DATE(YEAR(설정_코스수당!$K$2),MONTH(설정_코스수당!$K$2),6),"")</f>
        <v>46179</v>
      </c>
      <c r="B304" s="29" t="s">
        <v>200</v>
      </c>
      <c r="C304" s="29"/>
      <c r="D304" s="29"/>
      <c r="E304" s="29" t="str">
        <f t="shared" si="39"/>
        <v/>
      </c>
      <c r="F304" s="29">
        <f>COUNTIFS(실시간콜입력!$B:$B,$A304,실시간콜입력!$E:$E,"A",실시간콜입력!$G:$G,$B304,실시간콜입력!$O:$O,"방문완료")+COUNTIFS(실시간콜입력!$B:$B,$A304,실시간콜입력!$E:$E,"A",실시간콜입력!$H:$H,$B304,실시간콜입력!$O:$O,"방문완료")</f>
        <v>0</v>
      </c>
      <c r="G304" s="29">
        <f>COUNTIFS(실시간콜입력!$B:$B,$A304,실시간콜입력!$E:$E,"B",실시간콜입력!$G:$G,$B304,실시간콜입력!$O:$O,"방문완료")+COUNTIFS(실시간콜입력!$B:$B,$A304,실시간콜입력!$E:$E,"B",실시간콜입력!$H:$H,$B304,실시간콜입력!$O:$O,"방문완료")</f>
        <v>0</v>
      </c>
      <c r="H304" s="29">
        <f>COUNTIFS(실시간콜입력!$B:$B,$A304,실시간콜입력!$E:$E,"C",실시간콜입력!$G:$G,$B304,실시간콜입력!$O:$O,"방문완료")+COUNTIFS(실시간콜입력!$B:$B,$A304,실시간콜입력!$E:$E,"C",실시간콜입력!$H:$H,$B304,실시간콜입력!$O:$O,"방문완료")</f>
        <v>0</v>
      </c>
      <c r="I304" s="29">
        <f>COUNTIFS(실시간콜입력!$B:$B,$A304,실시간콜입력!$E:$E,"D",실시간콜입력!$G:$G,$B304,실시간콜입력!$O:$O,"방문완료")+COUNTIFS(실시간콜입력!$B:$B,$A304,실시간콜입력!$E:$E,"D",실시간콜입력!$H:$H,$B304,실시간콜입력!$O:$O,"방문완료")</f>
        <v>0</v>
      </c>
      <c r="J304" s="29">
        <f>COUNTIFS(실시간콜입력!$B:$B,$A304,실시간콜입력!$E:$E,"E",실시간콜입력!$G:$G,$B304,실시간콜입력!$O:$O,"방문완료")+COUNTIFS(실시간콜입력!$B:$B,$A304,실시간콜입력!$E:$E,"E",실시간콜입력!$H:$H,$B304,실시간콜입력!$O:$O,"방문완료")</f>
        <v>0</v>
      </c>
      <c r="K304" s="29">
        <f t="shared" si="40"/>
        <v>0</v>
      </c>
      <c r="L304" s="33">
        <f>SUMIFS(실시간콜입력!$K:$K,실시간콜입력!$B:$B,$A304,실시간콜입력!$G:$G,$B304,실시간콜입력!$O:$O,"방문완료")+SUMIFS(실시간콜입력!$L:$L,실시간콜입력!$B:$B,$A304,실시간콜입력!$H:$H,$B304,실시간콜입력!$O:$O,"방문완료")</f>
        <v>0</v>
      </c>
      <c r="M304" s="29" t="str">
        <f t="shared" si="41"/>
        <v/>
      </c>
      <c r="N304" s="29"/>
    </row>
    <row r="305" spans="1:14" ht="19.5" hidden="1" customHeight="1" outlineLevel="1">
      <c r="A305" s="24">
        <f>IF(6&lt;=DAY(DATE(YEAR(설정_코스수당!$K$2),MONTH(설정_코스수당!$K$2)+1,0)),DATE(YEAR(설정_코스수당!$K$2),MONTH(설정_코스수당!$K$2),6),"")</f>
        <v>46179</v>
      </c>
      <c r="B305" s="23" t="s">
        <v>201</v>
      </c>
      <c r="C305" s="29"/>
      <c r="D305" s="29"/>
      <c r="E305" s="29" t="str">
        <f t="shared" si="39"/>
        <v/>
      </c>
      <c r="F305" s="29">
        <f>COUNTIFS(실시간콜입력!$B:$B,$A305,실시간콜입력!$E:$E,"A",실시간콜입력!$G:$G,$B305,실시간콜입력!$O:$O,"방문완료")+COUNTIFS(실시간콜입력!$B:$B,$A305,실시간콜입력!$E:$E,"A",실시간콜입력!$H:$H,$B305,실시간콜입력!$O:$O,"방문완료")</f>
        <v>0</v>
      </c>
      <c r="G305" s="29">
        <f>COUNTIFS(실시간콜입력!$B:$B,$A305,실시간콜입력!$E:$E,"B",실시간콜입력!$G:$G,$B305,실시간콜입력!$O:$O,"방문완료")+COUNTIFS(실시간콜입력!$B:$B,$A305,실시간콜입력!$E:$E,"B",실시간콜입력!$H:$H,$B305,실시간콜입력!$O:$O,"방문완료")</f>
        <v>0</v>
      </c>
      <c r="H305" s="29">
        <f>COUNTIFS(실시간콜입력!$B:$B,$A305,실시간콜입력!$E:$E,"C",실시간콜입력!$G:$G,$B305,실시간콜입력!$O:$O,"방문완료")+COUNTIFS(실시간콜입력!$B:$B,$A305,실시간콜입력!$E:$E,"C",실시간콜입력!$H:$H,$B305,실시간콜입력!$O:$O,"방문완료")</f>
        <v>0</v>
      </c>
      <c r="I305" s="29">
        <f>COUNTIFS(실시간콜입력!$B:$B,$A305,실시간콜입력!$E:$E,"D",실시간콜입력!$G:$G,$B305,실시간콜입력!$O:$O,"방문완료")+COUNTIFS(실시간콜입력!$B:$B,$A305,실시간콜입력!$E:$E,"D",실시간콜입력!$H:$H,$B305,실시간콜입력!$O:$O,"방문완료")</f>
        <v>0</v>
      </c>
      <c r="J305" s="29">
        <f>COUNTIFS(실시간콜입력!$B:$B,$A305,실시간콜입력!$E:$E,"E",실시간콜입력!$G:$G,$B305,실시간콜입력!$O:$O,"방문완료")+COUNTIFS(실시간콜입력!$B:$B,$A305,실시간콜입력!$E:$E,"E",실시간콜입력!$H:$H,$B305,실시간콜입력!$O:$O,"방문완료")</f>
        <v>0</v>
      </c>
      <c r="K305" s="29">
        <f t="shared" si="40"/>
        <v>0</v>
      </c>
      <c r="L305" s="27">
        <f>SUMIFS(실시간콜입력!$K:$K,실시간콜입력!$B:$B,$A305,실시간콜입력!$G:$G,$B305,실시간콜입력!$O:$O,"방문완료")+SUMIFS(실시간콜입력!$L:$L,실시간콜입력!$B:$B,$A305,실시간콜입력!$H:$H,$B305,실시간콜입력!$O:$O,"방문완료")</f>
        <v>0</v>
      </c>
      <c r="M305" s="29" t="str">
        <f t="shared" si="41"/>
        <v/>
      </c>
      <c r="N305" s="29"/>
    </row>
    <row r="306" spans="1:14" ht="19.5" hidden="1" customHeight="1" outlineLevel="1">
      <c r="A306" s="30">
        <f>IF(6&lt;=DAY(DATE(YEAR(설정_코스수당!$K$2),MONTH(설정_코스수당!$K$2)+1,0)),DATE(YEAR(설정_코스수당!$K$2),MONTH(설정_코스수당!$K$2),6),"")</f>
        <v>46179</v>
      </c>
      <c r="B306" s="29" t="s">
        <v>202</v>
      </c>
      <c r="C306" s="29"/>
      <c r="D306" s="29"/>
      <c r="E306" s="29" t="str">
        <f t="shared" si="39"/>
        <v/>
      </c>
      <c r="F306" s="29">
        <f>COUNTIFS(실시간콜입력!$B:$B,$A306,실시간콜입력!$E:$E,"A",실시간콜입력!$G:$G,$B306,실시간콜입력!$O:$O,"방문완료")+COUNTIFS(실시간콜입력!$B:$B,$A306,실시간콜입력!$E:$E,"A",실시간콜입력!$H:$H,$B306,실시간콜입력!$O:$O,"방문완료")</f>
        <v>0</v>
      </c>
      <c r="G306" s="29">
        <f>COUNTIFS(실시간콜입력!$B:$B,$A306,실시간콜입력!$E:$E,"B",실시간콜입력!$G:$G,$B306,실시간콜입력!$O:$O,"방문완료")+COUNTIFS(실시간콜입력!$B:$B,$A306,실시간콜입력!$E:$E,"B",실시간콜입력!$H:$H,$B306,실시간콜입력!$O:$O,"방문완료")</f>
        <v>0</v>
      </c>
      <c r="H306" s="29">
        <f>COUNTIFS(실시간콜입력!$B:$B,$A306,실시간콜입력!$E:$E,"C",실시간콜입력!$G:$G,$B306,실시간콜입력!$O:$O,"방문완료")+COUNTIFS(실시간콜입력!$B:$B,$A306,실시간콜입력!$E:$E,"C",실시간콜입력!$H:$H,$B306,실시간콜입력!$O:$O,"방문완료")</f>
        <v>0</v>
      </c>
      <c r="I306" s="29">
        <f>COUNTIFS(실시간콜입력!$B:$B,$A306,실시간콜입력!$E:$E,"D",실시간콜입력!$G:$G,$B306,실시간콜입력!$O:$O,"방문완료")+COUNTIFS(실시간콜입력!$B:$B,$A306,실시간콜입력!$E:$E,"D",실시간콜입력!$H:$H,$B306,실시간콜입력!$O:$O,"방문완료")</f>
        <v>0</v>
      </c>
      <c r="J306" s="29">
        <f>COUNTIFS(실시간콜입력!$B:$B,$A306,실시간콜입력!$E:$E,"E",실시간콜입력!$G:$G,$B306,실시간콜입력!$O:$O,"방문완료")+COUNTIFS(실시간콜입력!$B:$B,$A306,실시간콜입력!$E:$E,"E",실시간콜입력!$H:$H,$B306,실시간콜입력!$O:$O,"방문완료")</f>
        <v>0</v>
      </c>
      <c r="K306" s="29">
        <f t="shared" si="40"/>
        <v>0</v>
      </c>
      <c r="L306" s="33">
        <f>SUMIFS(실시간콜입력!$K:$K,실시간콜입력!$B:$B,$A306,실시간콜입력!$G:$G,$B306,실시간콜입력!$O:$O,"방문완료")+SUMIFS(실시간콜입력!$L:$L,실시간콜입력!$B:$B,$A306,실시간콜입력!$H:$H,$B306,실시간콜입력!$O:$O,"방문완료")</f>
        <v>0</v>
      </c>
      <c r="M306" s="29" t="str">
        <f t="shared" si="41"/>
        <v/>
      </c>
      <c r="N306" s="29"/>
    </row>
    <row r="307" spans="1:14" ht="19.5" hidden="1" customHeight="1" outlineLevel="1">
      <c r="A307" s="24">
        <f>IF(6&lt;=DAY(DATE(YEAR(설정_코스수당!$K$2),MONTH(설정_코스수당!$K$2)+1,0)),DATE(YEAR(설정_코스수당!$K$2),MONTH(설정_코스수당!$K$2),6),"")</f>
        <v>46179</v>
      </c>
      <c r="B307" s="23" t="s">
        <v>203</v>
      </c>
      <c r="C307" s="29"/>
      <c r="D307" s="29"/>
      <c r="E307" s="29" t="str">
        <f t="shared" si="39"/>
        <v/>
      </c>
      <c r="F307" s="29">
        <f>COUNTIFS(실시간콜입력!$B:$B,$A307,실시간콜입력!$E:$E,"A",실시간콜입력!$G:$G,$B307,실시간콜입력!$O:$O,"방문완료")+COUNTIFS(실시간콜입력!$B:$B,$A307,실시간콜입력!$E:$E,"A",실시간콜입력!$H:$H,$B307,실시간콜입력!$O:$O,"방문완료")</f>
        <v>0</v>
      </c>
      <c r="G307" s="29">
        <f>COUNTIFS(실시간콜입력!$B:$B,$A307,실시간콜입력!$E:$E,"B",실시간콜입력!$G:$G,$B307,실시간콜입력!$O:$O,"방문완료")+COUNTIFS(실시간콜입력!$B:$B,$A307,실시간콜입력!$E:$E,"B",실시간콜입력!$H:$H,$B307,실시간콜입력!$O:$O,"방문완료")</f>
        <v>0</v>
      </c>
      <c r="H307" s="29">
        <f>COUNTIFS(실시간콜입력!$B:$B,$A307,실시간콜입력!$E:$E,"C",실시간콜입력!$G:$G,$B307,실시간콜입력!$O:$O,"방문완료")+COUNTIFS(실시간콜입력!$B:$B,$A307,실시간콜입력!$E:$E,"C",실시간콜입력!$H:$H,$B307,실시간콜입력!$O:$O,"방문완료")</f>
        <v>0</v>
      </c>
      <c r="I307" s="29">
        <f>COUNTIFS(실시간콜입력!$B:$B,$A307,실시간콜입력!$E:$E,"D",실시간콜입력!$G:$G,$B307,실시간콜입력!$O:$O,"방문완료")+COUNTIFS(실시간콜입력!$B:$B,$A307,실시간콜입력!$E:$E,"D",실시간콜입력!$H:$H,$B307,실시간콜입력!$O:$O,"방문완료")</f>
        <v>0</v>
      </c>
      <c r="J307" s="29">
        <f>COUNTIFS(실시간콜입력!$B:$B,$A307,실시간콜입력!$E:$E,"E",실시간콜입력!$G:$G,$B307,실시간콜입력!$O:$O,"방문완료")+COUNTIFS(실시간콜입력!$B:$B,$A307,실시간콜입력!$E:$E,"E",실시간콜입력!$H:$H,$B307,실시간콜입력!$O:$O,"방문완료")</f>
        <v>0</v>
      </c>
      <c r="K307" s="29">
        <f t="shared" si="40"/>
        <v>0</v>
      </c>
      <c r="L307" s="27">
        <f>SUMIFS(실시간콜입력!$K:$K,실시간콜입력!$B:$B,$A307,실시간콜입력!$G:$G,$B307,실시간콜입력!$O:$O,"방문완료")+SUMIFS(실시간콜입력!$L:$L,실시간콜입력!$B:$B,$A307,실시간콜입력!$H:$H,$B307,실시간콜입력!$O:$O,"방문완료")</f>
        <v>0</v>
      </c>
      <c r="M307" s="29" t="str">
        <f t="shared" si="41"/>
        <v/>
      </c>
      <c r="N307" s="29"/>
    </row>
    <row r="308" spans="1:14" ht="19.5" hidden="1" customHeight="1" outlineLevel="1">
      <c r="A308" s="30">
        <f>IF(6&lt;=DAY(DATE(YEAR(설정_코스수당!$K$2),MONTH(설정_코스수당!$K$2)+1,0)),DATE(YEAR(설정_코스수당!$K$2),MONTH(설정_코스수당!$K$2),6),"")</f>
        <v>46179</v>
      </c>
      <c r="B308" s="29" t="s">
        <v>204</v>
      </c>
      <c r="C308" s="29"/>
      <c r="D308" s="29"/>
      <c r="E308" s="29" t="str">
        <f t="shared" si="39"/>
        <v/>
      </c>
      <c r="F308" s="29">
        <f>COUNTIFS(실시간콜입력!$B:$B,$A308,실시간콜입력!$E:$E,"A",실시간콜입력!$G:$G,$B308,실시간콜입력!$O:$O,"방문완료")+COUNTIFS(실시간콜입력!$B:$B,$A308,실시간콜입력!$E:$E,"A",실시간콜입력!$H:$H,$B308,실시간콜입력!$O:$O,"방문완료")</f>
        <v>0</v>
      </c>
      <c r="G308" s="29">
        <f>COUNTIFS(실시간콜입력!$B:$B,$A308,실시간콜입력!$E:$E,"B",실시간콜입력!$G:$G,$B308,실시간콜입력!$O:$O,"방문완료")+COUNTIFS(실시간콜입력!$B:$B,$A308,실시간콜입력!$E:$E,"B",실시간콜입력!$H:$H,$B308,실시간콜입력!$O:$O,"방문완료")</f>
        <v>0</v>
      </c>
      <c r="H308" s="29">
        <f>COUNTIFS(실시간콜입력!$B:$B,$A308,실시간콜입력!$E:$E,"C",실시간콜입력!$G:$G,$B308,실시간콜입력!$O:$O,"방문완료")+COUNTIFS(실시간콜입력!$B:$B,$A308,실시간콜입력!$E:$E,"C",실시간콜입력!$H:$H,$B308,실시간콜입력!$O:$O,"방문완료")</f>
        <v>0</v>
      </c>
      <c r="I308" s="29">
        <f>COUNTIFS(실시간콜입력!$B:$B,$A308,실시간콜입력!$E:$E,"D",실시간콜입력!$G:$G,$B308,실시간콜입력!$O:$O,"방문완료")+COUNTIFS(실시간콜입력!$B:$B,$A308,실시간콜입력!$E:$E,"D",실시간콜입력!$H:$H,$B308,실시간콜입력!$O:$O,"방문완료")</f>
        <v>0</v>
      </c>
      <c r="J308" s="29">
        <f>COUNTIFS(실시간콜입력!$B:$B,$A308,실시간콜입력!$E:$E,"E",실시간콜입력!$G:$G,$B308,실시간콜입력!$O:$O,"방문완료")+COUNTIFS(실시간콜입력!$B:$B,$A308,실시간콜입력!$E:$E,"E",실시간콜입력!$H:$H,$B308,실시간콜입력!$O:$O,"방문완료")</f>
        <v>0</v>
      </c>
      <c r="K308" s="29">
        <f t="shared" si="40"/>
        <v>0</v>
      </c>
      <c r="L308" s="33">
        <f>SUMIFS(실시간콜입력!$K:$K,실시간콜입력!$B:$B,$A308,실시간콜입력!$G:$G,$B308,실시간콜입력!$O:$O,"방문완료")+SUMIFS(실시간콜입력!$L:$L,실시간콜입력!$B:$B,$A308,실시간콜입력!$H:$H,$B308,실시간콜입력!$O:$O,"방문완료")</f>
        <v>0</v>
      </c>
      <c r="M308" s="29" t="str">
        <f t="shared" si="41"/>
        <v/>
      </c>
      <c r="N308" s="29"/>
    </row>
    <row r="309" spans="1:14" ht="19.5" hidden="1" customHeight="1" outlineLevel="1">
      <c r="A309" s="24">
        <f>IF(6&lt;=DAY(DATE(YEAR(설정_코스수당!$K$2),MONTH(설정_코스수당!$K$2)+1,0)),DATE(YEAR(설정_코스수당!$K$2),MONTH(설정_코스수당!$K$2),6),"")</f>
        <v>46179</v>
      </c>
      <c r="B309" s="23" t="s">
        <v>205</v>
      </c>
      <c r="C309" s="29"/>
      <c r="D309" s="29"/>
      <c r="E309" s="29" t="str">
        <f t="shared" si="39"/>
        <v/>
      </c>
      <c r="F309" s="29">
        <f>COUNTIFS(실시간콜입력!$B:$B,$A309,실시간콜입력!$E:$E,"A",실시간콜입력!$G:$G,$B309,실시간콜입력!$O:$O,"방문완료")+COUNTIFS(실시간콜입력!$B:$B,$A309,실시간콜입력!$E:$E,"A",실시간콜입력!$H:$H,$B309,실시간콜입력!$O:$O,"방문완료")</f>
        <v>0</v>
      </c>
      <c r="G309" s="29">
        <f>COUNTIFS(실시간콜입력!$B:$B,$A309,실시간콜입력!$E:$E,"B",실시간콜입력!$G:$G,$B309,실시간콜입력!$O:$O,"방문완료")+COUNTIFS(실시간콜입력!$B:$B,$A309,실시간콜입력!$E:$E,"B",실시간콜입력!$H:$H,$B309,실시간콜입력!$O:$O,"방문완료")</f>
        <v>0</v>
      </c>
      <c r="H309" s="29">
        <f>COUNTIFS(실시간콜입력!$B:$B,$A309,실시간콜입력!$E:$E,"C",실시간콜입력!$G:$G,$B309,실시간콜입력!$O:$O,"방문완료")+COUNTIFS(실시간콜입력!$B:$B,$A309,실시간콜입력!$E:$E,"C",실시간콜입력!$H:$H,$B309,실시간콜입력!$O:$O,"방문완료")</f>
        <v>0</v>
      </c>
      <c r="I309" s="29">
        <f>COUNTIFS(실시간콜입력!$B:$B,$A309,실시간콜입력!$E:$E,"D",실시간콜입력!$G:$G,$B309,실시간콜입력!$O:$O,"방문완료")+COUNTIFS(실시간콜입력!$B:$B,$A309,실시간콜입력!$E:$E,"D",실시간콜입력!$H:$H,$B309,실시간콜입력!$O:$O,"방문완료")</f>
        <v>0</v>
      </c>
      <c r="J309" s="29">
        <f>COUNTIFS(실시간콜입력!$B:$B,$A309,실시간콜입력!$E:$E,"E",실시간콜입력!$G:$G,$B309,실시간콜입력!$O:$O,"방문완료")+COUNTIFS(실시간콜입력!$B:$B,$A309,실시간콜입력!$E:$E,"E",실시간콜입력!$H:$H,$B309,실시간콜입력!$O:$O,"방문완료")</f>
        <v>0</v>
      </c>
      <c r="K309" s="29">
        <f t="shared" si="40"/>
        <v>0</v>
      </c>
      <c r="L309" s="27">
        <f>SUMIFS(실시간콜입력!$K:$K,실시간콜입력!$B:$B,$A309,실시간콜입력!$G:$G,$B309,실시간콜입력!$O:$O,"방문완료")+SUMIFS(실시간콜입력!$L:$L,실시간콜입력!$B:$B,$A309,실시간콜입력!$H:$H,$B309,실시간콜입력!$O:$O,"방문완료")</f>
        <v>0</v>
      </c>
      <c r="M309" s="29" t="str">
        <f t="shared" si="41"/>
        <v/>
      </c>
      <c r="N309" s="29"/>
    </row>
    <row r="310" spans="1:14" ht="19.5" hidden="1" customHeight="1" outlineLevel="1">
      <c r="A310" s="30">
        <f>IF(6&lt;=DAY(DATE(YEAR(설정_코스수당!$K$2),MONTH(설정_코스수당!$K$2)+1,0)),DATE(YEAR(설정_코스수당!$K$2),MONTH(설정_코스수당!$K$2),6),"")</f>
        <v>46179</v>
      </c>
      <c r="B310" s="29" t="s">
        <v>206</v>
      </c>
      <c r="C310" s="29"/>
      <c r="D310" s="29"/>
      <c r="E310" s="29" t="str">
        <f t="shared" si="39"/>
        <v/>
      </c>
      <c r="F310" s="29">
        <f>COUNTIFS(실시간콜입력!$B:$B,$A310,실시간콜입력!$E:$E,"A",실시간콜입력!$G:$G,$B310,실시간콜입력!$O:$O,"방문완료")+COUNTIFS(실시간콜입력!$B:$B,$A310,실시간콜입력!$E:$E,"A",실시간콜입력!$H:$H,$B310,실시간콜입력!$O:$O,"방문완료")</f>
        <v>0</v>
      </c>
      <c r="G310" s="29">
        <f>COUNTIFS(실시간콜입력!$B:$B,$A310,실시간콜입력!$E:$E,"B",실시간콜입력!$G:$G,$B310,실시간콜입력!$O:$O,"방문완료")+COUNTIFS(실시간콜입력!$B:$B,$A310,실시간콜입력!$E:$E,"B",실시간콜입력!$H:$H,$B310,실시간콜입력!$O:$O,"방문완료")</f>
        <v>0</v>
      </c>
      <c r="H310" s="29">
        <f>COUNTIFS(실시간콜입력!$B:$B,$A310,실시간콜입력!$E:$E,"C",실시간콜입력!$G:$G,$B310,실시간콜입력!$O:$O,"방문완료")+COUNTIFS(실시간콜입력!$B:$B,$A310,실시간콜입력!$E:$E,"C",실시간콜입력!$H:$H,$B310,실시간콜입력!$O:$O,"방문완료")</f>
        <v>0</v>
      </c>
      <c r="I310" s="29">
        <f>COUNTIFS(실시간콜입력!$B:$B,$A310,실시간콜입력!$E:$E,"D",실시간콜입력!$G:$G,$B310,실시간콜입력!$O:$O,"방문완료")+COUNTIFS(실시간콜입력!$B:$B,$A310,실시간콜입력!$E:$E,"D",실시간콜입력!$H:$H,$B310,실시간콜입력!$O:$O,"방문완료")</f>
        <v>0</v>
      </c>
      <c r="J310" s="29">
        <f>COUNTIFS(실시간콜입력!$B:$B,$A310,실시간콜입력!$E:$E,"E",실시간콜입력!$G:$G,$B310,실시간콜입력!$O:$O,"방문완료")+COUNTIFS(실시간콜입력!$B:$B,$A310,실시간콜입력!$E:$E,"E",실시간콜입력!$H:$H,$B310,실시간콜입력!$O:$O,"방문완료")</f>
        <v>0</v>
      </c>
      <c r="K310" s="29">
        <f t="shared" si="40"/>
        <v>0</v>
      </c>
      <c r="L310" s="33">
        <f>SUMIFS(실시간콜입력!$K:$K,실시간콜입력!$B:$B,$A310,실시간콜입력!$G:$G,$B310,실시간콜입력!$O:$O,"방문완료")+SUMIFS(실시간콜입력!$L:$L,실시간콜입력!$B:$B,$A310,실시간콜입력!$H:$H,$B310,실시간콜입력!$O:$O,"방문완료")</f>
        <v>0</v>
      </c>
      <c r="M310" s="29" t="str">
        <f t="shared" si="41"/>
        <v/>
      </c>
      <c r="N310" s="29"/>
    </row>
    <row r="311" spans="1:14" ht="19.5" hidden="1" customHeight="1" outlineLevel="1">
      <c r="A311" s="24">
        <f>IF(6&lt;=DAY(DATE(YEAR(설정_코스수당!$K$2),MONTH(설정_코스수당!$K$2)+1,0)),DATE(YEAR(설정_코스수당!$K$2),MONTH(설정_코스수당!$K$2),6),"")</f>
        <v>46179</v>
      </c>
      <c r="B311" s="23" t="s">
        <v>207</v>
      </c>
      <c r="C311" s="29"/>
      <c r="D311" s="29"/>
      <c r="E311" s="29" t="str">
        <f t="shared" si="39"/>
        <v/>
      </c>
      <c r="F311" s="29">
        <f>COUNTIFS(실시간콜입력!$B:$B,$A311,실시간콜입력!$E:$E,"A",실시간콜입력!$G:$G,$B311,실시간콜입력!$O:$O,"방문완료")+COUNTIFS(실시간콜입력!$B:$B,$A311,실시간콜입력!$E:$E,"A",실시간콜입력!$H:$H,$B311,실시간콜입력!$O:$O,"방문완료")</f>
        <v>0</v>
      </c>
      <c r="G311" s="29">
        <f>COUNTIFS(실시간콜입력!$B:$B,$A311,실시간콜입력!$E:$E,"B",실시간콜입력!$G:$G,$B311,실시간콜입력!$O:$O,"방문완료")+COUNTIFS(실시간콜입력!$B:$B,$A311,실시간콜입력!$E:$E,"B",실시간콜입력!$H:$H,$B311,실시간콜입력!$O:$O,"방문완료")</f>
        <v>0</v>
      </c>
      <c r="H311" s="29">
        <f>COUNTIFS(실시간콜입력!$B:$B,$A311,실시간콜입력!$E:$E,"C",실시간콜입력!$G:$G,$B311,실시간콜입력!$O:$O,"방문완료")+COUNTIFS(실시간콜입력!$B:$B,$A311,실시간콜입력!$E:$E,"C",실시간콜입력!$H:$H,$B311,실시간콜입력!$O:$O,"방문완료")</f>
        <v>0</v>
      </c>
      <c r="I311" s="29">
        <f>COUNTIFS(실시간콜입력!$B:$B,$A311,실시간콜입력!$E:$E,"D",실시간콜입력!$G:$G,$B311,실시간콜입력!$O:$O,"방문완료")+COUNTIFS(실시간콜입력!$B:$B,$A311,실시간콜입력!$E:$E,"D",실시간콜입력!$H:$H,$B311,실시간콜입력!$O:$O,"방문완료")</f>
        <v>0</v>
      </c>
      <c r="J311" s="29">
        <f>COUNTIFS(실시간콜입력!$B:$B,$A311,실시간콜입력!$E:$E,"E",실시간콜입력!$G:$G,$B311,실시간콜입력!$O:$O,"방문완료")+COUNTIFS(실시간콜입력!$B:$B,$A311,실시간콜입력!$E:$E,"E",실시간콜입력!$H:$H,$B311,실시간콜입력!$O:$O,"방문완료")</f>
        <v>0</v>
      </c>
      <c r="K311" s="29">
        <f t="shared" si="40"/>
        <v>0</v>
      </c>
      <c r="L311" s="27">
        <f>SUMIFS(실시간콜입력!$K:$K,실시간콜입력!$B:$B,$A311,실시간콜입력!$G:$G,$B311,실시간콜입력!$O:$O,"방문완료")+SUMIFS(실시간콜입력!$L:$L,실시간콜입력!$B:$B,$A311,실시간콜입력!$H:$H,$B311,실시간콜입력!$O:$O,"방문완료")</f>
        <v>0</v>
      </c>
      <c r="M311" s="29" t="str">
        <f t="shared" si="41"/>
        <v/>
      </c>
      <c r="N311" s="29"/>
    </row>
    <row r="312" spans="1:14" ht="19.5" hidden="1" customHeight="1" outlineLevel="1">
      <c r="A312" s="30">
        <f>IF(6&lt;=DAY(DATE(YEAR(설정_코스수당!$K$2),MONTH(설정_코스수당!$K$2)+1,0)),DATE(YEAR(설정_코스수당!$K$2),MONTH(설정_코스수당!$K$2),6),"")</f>
        <v>46179</v>
      </c>
      <c r="B312" s="29" t="s">
        <v>208</v>
      </c>
      <c r="C312" s="29"/>
      <c r="D312" s="29"/>
      <c r="E312" s="29" t="str">
        <f t="shared" si="39"/>
        <v/>
      </c>
      <c r="F312" s="29">
        <f>COUNTIFS(실시간콜입력!$B:$B,$A312,실시간콜입력!$E:$E,"A",실시간콜입력!$G:$G,$B312,실시간콜입력!$O:$O,"방문완료")+COUNTIFS(실시간콜입력!$B:$B,$A312,실시간콜입력!$E:$E,"A",실시간콜입력!$H:$H,$B312,실시간콜입력!$O:$O,"방문완료")</f>
        <v>0</v>
      </c>
      <c r="G312" s="29">
        <f>COUNTIFS(실시간콜입력!$B:$B,$A312,실시간콜입력!$E:$E,"B",실시간콜입력!$G:$G,$B312,실시간콜입력!$O:$O,"방문완료")+COUNTIFS(실시간콜입력!$B:$B,$A312,실시간콜입력!$E:$E,"B",실시간콜입력!$H:$H,$B312,실시간콜입력!$O:$O,"방문완료")</f>
        <v>0</v>
      </c>
      <c r="H312" s="29">
        <f>COUNTIFS(실시간콜입력!$B:$B,$A312,실시간콜입력!$E:$E,"C",실시간콜입력!$G:$G,$B312,실시간콜입력!$O:$O,"방문완료")+COUNTIFS(실시간콜입력!$B:$B,$A312,실시간콜입력!$E:$E,"C",실시간콜입력!$H:$H,$B312,실시간콜입력!$O:$O,"방문완료")</f>
        <v>0</v>
      </c>
      <c r="I312" s="29">
        <f>COUNTIFS(실시간콜입력!$B:$B,$A312,실시간콜입력!$E:$E,"D",실시간콜입력!$G:$G,$B312,실시간콜입력!$O:$O,"방문완료")+COUNTIFS(실시간콜입력!$B:$B,$A312,실시간콜입력!$E:$E,"D",실시간콜입력!$H:$H,$B312,실시간콜입력!$O:$O,"방문완료")</f>
        <v>0</v>
      </c>
      <c r="J312" s="29">
        <f>COUNTIFS(실시간콜입력!$B:$B,$A312,실시간콜입력!$E:$E,"E",실시간콜입력!$G:$G,$B312,실시간콜입력!$O:$O,"방문완료")+COUNTIFS(실시간콜입력!$B:$B,$A312,실시간콜입력!$E:$E,"E",실시간콜입력!$H:$H,$B312,실시간콜입력!$O:$O,"방문완료")</f>
        <v>0</v>
      </c>
      <c r="K312" s="29">
        <f t="shared" si="40"/>
        <v>0</v>
      </c>
      <c r="L312" s="33">
        <f>SUMIFS(실시간콜입력!$K:$K,실시간콜입력!$B:$B,$A312,실시간콜입력!$G:$G,$B312,실시간콜입력!$O:$O,"방문완료")+SUMIFS(실시간콜입력!$L:$L,실시간콜입력!$B:$B,$A312,실시간콜입력!$H:$H,$B312,실시간콜입력!$O:$O,"방문완료")</f>
        <v>0</v>
      </c>
      <c r="M312" s="29" t="str">
        <f t="shared" si="41"/>
        <v/>
      </c>
      <c r="N312" s="29"/>
    </row>
    <row r="313" spans="1:14" ht="19.5" hidden="1" customHeight="1" outlineLevel="1">
      <c r="A313" s="24">
        <f>IF(6&lt;=DAY(DATE(YEAR(설정_코스수당!$K$2),MONTH(설정_코스수당!$K$2)+1,0)),DATE(YEAR(설정_코스수당!$K$2),MONTH(설정_코스수당!$K$2),6),"")</f>
        <v>46179</v>
      </c>
      <c r="B313" s="23" t="s">
        <v>209</v>
      </c>
      <c r="C313" s="29"/>
      <c r="D313" s="29"/>
      <c r="E313" s="29" t="str">
        <f t="shared" si="39"/>
        <v/>
      </c>
      <c r="F313" s="29">
        <f>COUNTIFS(실시간콜입력!$B:$B,$A313,실시간콜입력!$E:$E,"A",실시간콜입력!$G:$G,$B313,실시간콜입력!$O:$O,"방문완료")+COUNTIFS(실시간콜입력!$B:$B,$A313,실시간콜입력!$E:$E,"A",실시간콜입력!$H:$H,$B313,실시간콜입력!$O:$O,"방문완료")</f>
        <v>0</v>
      </c>
      <c r="G313" s="29">
        <f>COUNTIFS(실시간콜입력!$B:$B,$A313,실시간콜입력!$E:$E,"B",실시간콜입력!$G:$G,$B313,실시간콜입력!$O:$O,"방문완료")+COUNTIFS(실시간콜입력!$B:$B,$A313,실시간콜입력!$E:$E,"B",실시간콜입력!$H:$H,$B313,실시간콜입력!$O:$O,"방문완료")</f>
        <v>0</v>
      </c>
      <c r="H313" s="29">
        <f>COUNTIFS(실시간콜입력!$B:$B,$A313,실시간콜입력!$E:$E,"C",실시간콜입력!$G:$G,$B313,실시간콜입력!$O:$O,"방문완료")+COUNTIFS(실시간콜입력!$B:$B,$A313,실시간콜입력!$E:$E,"C",실시간콜입력!$H:$H,$B313,실시간콜입력!$O:$O,"방문완료")</f>
        <v>0</v>
      </c>
      <c r="I313" s="29">
        <f>COUNTIFS(실시간콜입력!$B:$B,$A313,실시간콜입력!$E:$E,"D",실시간콜입력!$G:$G,$B313,실시간콜입력!$O:$O,"방문완료")+COUNTIFS(실시간콜입력!$B:$B,$A313,실시간콜입력!$E:$E,"D",실시간콜입력!$H:$H,$B313,실시간콜입력!$O:$O,"방문완료")</f>
        <v>0</v>
      </c>
      <c r="J313" s="29">
        <f>COUNTIFS(실시간콜입력!$B:$B,$A313,실시간콜입력!$E:$E,"E",실시간콜입력!$G:$G,$B313,실시간콜입력!$O:$O,"방문완료")+COUNTIFS(실시간콜입력!$B:$B,$A313,실시간콜입력!$E:$E,"E",실시간콜입력!$H:$H,$B313,실시간콜입력!$O:$O,"방문완료")</f>
        <v>0</v>
      </c>
      <c r="K313" s="29">
        <f t="shared" si="40"/>
        <v>0</v>
      </c>
      <c r="L313" s="27">
        <f>SUMIFS(실시간콜입력!$K:$K,실시간콜입력!$B:$B,$A313,실시간콜입력!$G:$G,$B313,실시간콜입력!$O:$O,"방문완료")+SUMIFS(실시간콜입력!$L:$L,실시간콜입력!$B:$B,$A313,실시간콜입력!$H:$H,$B313,실시간콜입력!$O:$O,"방문완료")</f>
        <v>0</v>
      </c>
      <c r="M313" s="29" t="str">
        <f t="shared" si="41"/>
        <v/>
      </c>
      <c r="N313" s="29"/>
    </row>
    <row r="314" spans="1:14" ht="19.5" hidden="1" customHeight="1" outlineLevel="1">
      <c r="A314" s="30">
        <f>IF(6&lt;=DAY(DATE(YEAR(설정_코스수당!$K$2),MONTH(설정_코스수당!$K$2)+1,0)),DATE(YEAR(설정_코스수당!$K$2),MONTH(설정_코스수당!$K$2),6),"")</f>
        <v>46179</v>
      </c>
      <c r="B314" s="29" t="s">
        <v>210</v>
      </c>
      <c r="C314" s="29"/>
      <c r="D314" s="29"/>
      <c r="E314" s="29" t="str">
        <f t="shared" si="39"/>
        <v/>
      </c>
      <c r="F314" s="29">
        <f>COUNTIFS(실시간콜입력!$B:$B,$A314,실시간콜입력!$E:$E,"A",실시간콜입력!$G:$G,$B314,실시간콜입력!$O:$O,"방문완료")+COUNTIFS(실시간콜입력!$B:$B,$A314,실시간콜입력!$E:$E,"A",실시간콜입력!$H:$H,$B314,실시간콜입력!$O:$O,"방문완료")</f>
        <v>0</v>
      </c>
      <c r="G314" s="29">
        <f>COUNTIFS(실시간콜입력!$B:$B,$A314,실시간콜입력!$E:$E,"B",실시간콜입력!$G:$G,$B314,실시간콜입력!$O:$O,"방문완료")+COUNTIFS(실시간콜입력!$B:$B,$A314,실시간콜입력!$E:$E,"B",실시간콜입력!$H:$H,$B314,실시간콜입력!$O:$O,"방문완료")</f>
        <v>0</v>
      </c>
      <c r="H314" s="29">
        <f>COUNTIFS(실시간콜입력!$B:$B,$A314,실시간콜입력!$E:$E,"C",실시간콜입력!$G:$G,$B314,실시간콜입력!$O:$O,"방문완료")+COUNTIFS(실시간콜입력!$B:$B,$A314,실시간콜입력!$E:$E,"C",실시간콜입력!$H:$H,$B314,실시간콜입력!$O:$O,"방문완료")</f>
        <v>0</v>
      </c>
      <c r="I314" s="29">
        <f>COUNTIFS(실시간콜입력!$B:$B,$A314,실시간콜입력!$E:$E,"D",실시간콜입력!$G:$G,$B314,실시간콜입력!$O:$O,"방문완료")+COUNTIFS(실시간콜입력!$B:$B,$A314,실시간콜입력!$E:$E,"D",실시간콜입력!$H:$H,$B314,실시간콜입력!$O:$O,"방문완료")</f>
        <v>0</v>
      </c>
      <c r="J314" s="29">
        <f>COUNTIFS(실시간콜입력!$B:$B,$A314,실시간콜입력!$E:$E,"E",실시간콜입력!$G:$G,$B314,실시간콜입력!$O:$O,"방문완료")+COUNTIFS(실시간콜입력!$B:$B,$A314,실시간콜입력!$E:$E,"E",실시간콜입력!$H:$H,$B314,실시간콜입력!$O:$O,"방문완료")</f>
        <v>0</v>
      </c>
      <c r="K314" s="29">
        <f t="shared" si="40"/>
        <v>0</v>
      </c>
      <c r="L314" s="33">
        <f>SUMIFS(실시간콜입력!$K:$K,실시간콜입력!$B:$B,$A314,실시간콜입력!$G:$G,$B314,실시간콜입력!$O:$O,"방문완료")+SUMIFS(실시간콜입력!$L:$L,실시간콜입력!$B:$B,$A314,실시간콜입력!$H:$H,$B314,실시간콜입력!$O:$O,"방문완료")</f>
        <v>0</v>
      </c>
      <c r="M314" s="29" t="str">
        <f t="shared" si="41"/>
        <v/>
      </c>
      <c r="N314" s="29"/>
    </row>
    <row r="315" spans="1:14" ht="19.5" hidden="1" customHeight="1" outlineLevel="1">
      <c r="A315" s="24">
        <f>IF(6&lt;=DAY(DATE(YEAR(설정_코스수당!$K$2),MONTH(설정_코스수당!$K$2)+1,0)),DATE(YEAR(설정_코스수당!$K$2),MONTH(설정_코스수당!$K$2),6),"")</f>
        <v>46179</v>
      </c>
      <c r="B315" s="23" t="s">
        <v>211</v>
      </c>
      <c r="C315" s="29"/>
      <c r="D315" s="29"/>
      <c r="E315" s="29" t="str">
        <f t="shared" si="39"/>
        <v/>
      </c>
      <c r="F315" s="29">
        <f>COUNTIFS(실시간콜입력!$B:$B,$A315,실시간콜입력!$E:$E,"A",실시간콜입력!$G:$G,$B315,실시간콜입력!$O:$O,"방문완료")+COUNTIFS(실시간콜입력!$B:$B,$A315,실시간콜입력!$E:$E,"A",실시간콜입력!$H:$H,$B315,실시간콜입력!$O:$O,"방문완료")</f>
        <v>0</v>
      </c>
      <c r="G315" s="29">
        <f>COUNTIFS(실시간콜입력!$B:$B,$A315,실시간콜입력!$E:$E,"B",실시간콜입력!$G:$G,$B315,실시간콜입력!$O:$O,"방문완료")+COUNTIFS(실시간콜입력!$B:$B,$A315,실시간콜입력!$E:$E,"B",실시간콜입력!$H:$H,$B315,실시간콜입력!$O:$O,"방문완료")</f>
        <v>0</v>
      </c>
      <c r="H315" s="29">
        <f>COUNTIFS(실시간콜입력!$B:$B,$A315,실시간콜입력!$E:$E,"C",실시간콜입력!$G:$G,$B315,실시간콜입력!$O:$O,"방문완료")+COUNTIFS(실시간콜입력!$B:$B,$A315,실시간콜입력!$E:$E,"C",실시간콜입력!$H:$H,$B315,실시간콜입력!$O:$O,"방문완료")</f>
        <v>0</v>
      </c>
      <c r="I315" s="29">
        <f>COUNTIFS(실시간콜입력!$B:$B,$A315,실시간콜입력!$E:$E,"D",실시간콜입력!$G:$G,$B315,실시간콜입력!$O:$O,"방문완료")+COUNTIFS(실시간콜입력!$B:$B,$A315,실시간콜입력!$E:$E,"D",실시간콜입력!$H:$H,$B315,실시간콜입력!$O:$O,"방문완료")</f>
        <v>0</v>
      </c>
      <c r="J315" s="29">
        <f>COUNTIFS(실시간콜입력!$B:$B,$A315,실시간콜입력!$E:$E,"E",실시간콜입력!$G:$G,$B315,실시간콜입력!$O:$O,"방문완료")+COUNTIFS(실시간콜입력!$B:$B,$A315,실시간콜입력!$E:$E,"E",실시간콜입력!$H:$H,$B315,실시간콜입력!$O:$O,"방문완료")</f>
        <v>0</v>
      </c>
      <c r="K315" s="29">
        <f t="shared" si="40"/>
        <v>0</v>
      </c>
      <c r="L315" s="27">
        <f>SUMIFS(실시간콜입력!$K:$K,실시간콜입력!$B:$B,$A315,실시간콜입력!$G:$G,$B315,실시간콜입력!$O:$O,"방문완료")+SUMIFS(실시간콜입력!$L:$L,실시간콜입력!$B:$B,$A315,실시간콜입력!$H:$H,$B315,실시간콜입력!$O:$O,"방문완료")</f>
        <v>0</v>
      </c>
      <c r="M315" s="29" t="str">
        <f t="shared" si="41"/>
        <v/>
      </c>
      <c r="N315" s="29"/>
    </row>
    <row r="316" spans="1:14" ht="19.5" hidden="1" customHeight="1" outlineLevel="1">
      <c r="A316" s="30">
        <f>IF(6&lt;=DAY(DATE(YEAR(설정_코스수당!$K$2),MONTH(설정_코스수당!$K$2)+1,0)),DATE(YEAR(설정_코스수당!$K$2),MONTH(설정_코스수당!$K$2),6),"")</f>
        <v>46179</v>
      </c>
      <c r="B316" s="29" t="s">
        <v>212</v>
      </c>
      <c r="C316" s="29"/>
      <c r="D316" s="29"/>
      <c r="E316" s="29" t="str">
        <f t="shared" si="39"/>
        <v/>
      </c>
      <c r="F316" s="29">
        <f>COUNTIFS(실시간콜입력!$B:$B,$A316,실시간콜입력!$E:$E,"A",실시간콜입력!$G:$G,$B316,실시간콜입력!$O:$O,"방문완료")+COUNTIFS(실시간콜입력!$B:$B,$A316,실시간콜입력!$E:$E,"A",실시간콜입력!$H:$H,$B316,실시간콜입력!$O:$O,"방문완료")</f>
        <v>0</v>
      </c>
      <c r="G316" s="29">
        <f>COUNTIFS(실시간콜입력!$B:$B,$A316,실시간콜입력!$E:$E,"B",실시간콜입력!$G:$G,$B316,실시간콜입력!$O:$O,"방문완료")+COUNTIFS(실시간콜입력!$B:$B,$A316,실시간콜입력!$E:$E,"B",실시간콜입력!$H:$H,$B316,실시간콜입력!$O:$O,"방문완료")</f>
        <v>0</v>
      </c>
      <c r="H316" s="29">
        <f>COUNTIFS(실시간콜입력!$B:$B,$A316,실시간콜입력!$E:$E,"C",실시간콜입력!$G:$G,$B316,실시간콜입력!$O:$O,"방문완료")+COUNTIFS(실시간콜입력!$B:$B,$A316,실시간콜입력!$E:$E,"C",실시간콜입력!$H:$H,$B316,실시간콜입력!$O:$O,"방문완료")</f>
        <v>0</v>
      </c>
      <c r="I316" s="29">
        <f>COUNTIFS(실시간콜입력!$B:$B,$A316,실시간콜입력!$E:$E,"D",실시간콜입력!$G:$G,$B316,실시간콜입력!$O:$O,"방문완료")+COUNTIFS(실시간콜입력!$B:$B,$A316,실시간콜입력!$E:$E,"D",실시간콜입력!$H:$H,$B316,실시간콜입력!$O:$O,"방문완료")</f>
        <v>0</v>
      </c>
      <c r="J316" s="29">
        <f>COUNTIFS(실시간콜입력!$B:$B,$A316,실시간콜입력!$E:$E,"E",실시간콜입력!$G:$G,$B316,실시간콜입력!$O:$O,"방문완료")+COUNTIFS(실시간콜입력!$B:$B,$A316,실시간콜입력!$E:$E,"E",실시간콜입력!$H:$H,$B316,실시간콜입력!$O:$O,"방문완료")</f>
        <v>0</v>
      </c>
      <c r="K316" s="29">
        <f t="shared" si="40"/>
        <v>0</v>
      </c>
      <c r="L316" s="33">
        <f>SUMIFS(실시간콜입력!$K:$K,실시간콜입력!$B:$B,$A316,실시간콜입력!$G:$G,$B316,실시간콜입력!$O:$O,"방문완료")+SUMIFS(실시간콜입력!$L:$L,실시간콜입력!$B:$B,$A316,실시간콜입력!$H:$H,$B316,실시간콜입력!$O:$O,"방문완료")</f>
        <v>0</v>
      </c>
      <c r="M316" s="29" t="str">
        <f t="shared" si="41"/>
        <v/>
      </c>
      <c r="N316" s="29"/>
    </row>
    <row r="317" spans="1:14" ht="21.75" customHeight="1" collapsed="1">
      <c r="A317" s="64">
        <f>IF(7&lt;=DAY(DATE(YEAR(설정_코스수당!$K$2),MONTH(설정_코스수당!$K$2)+1,0)),DATE(YEAR(설정_코스수당!$K$2),MONTH(설정_코스수당!$K$2),7),"")</f>
        <v>46180</v>
      </c>
      <c r="B317" s="65" t="str">
        <f>IF(A317="","","출근 "&amp;COUNTIF(C319:C368,"&lt;&gt;")&amp;"명")</f>
        <v>출근 0명</v>
      </c>
      <c r="C317" s="65" t="str">
        <f>IF(A317="","","만근 "&amp;COUNTIF(M319:M368,"인정")&amp;"명")</f>
        <v>만근 0명</v>
      </c>
      <c r="D317" s="65" t="str">
        <f>IFERROR("평균 "&amp;TEXT(AVERAGEIF(E319:E368,"&gt;0",E319:E368),"0.0")&amp;"h","평균 -")</f>
        <v>평균 -</v>
      </c>
      <c r="E317" s="65" t="s">
        <v>163</v>
      </c>
      <c r="F317" s="65">
        <f t="shared" ref="F317:L317" si="42">SUM(F319:F368)</f>
        <v>0</v>
      </c>
      <c r="G317" s="65">
        <f t="shared" si="42"/>
        <v>0</v>
      </c>
      <c r="H317" s="65">
        <f t="shared" si="42"/>
        <v>0</v>
      </c>
      <c r="I317" s="65">
        <f t="shared" si="42"/>
        <v>0</v>
      </c>
      <c r="J317" s="65">
        <f t="shared" si="42"/>
        <v>0</v>
      </c>
      <c r="K317" s="65">
        <f t="shared" si="42"/>
        <v>0</v>
      </c>
      <c r="L317" s="66">
        <f t="shared" si="42"/>
        <v>0</v>
      </c>
      <c r="M317" s="65">
        <f>COUNTIF(M319:M368,"인정")</f>
        <v>0</v>
      </c>
      <c r="N317" s="65" t="s">
        <v>164</v>
      </c>
    </row>
    <row r="318" spans="1:14" ht="19.5" hidden="1" customHeight="1" outlineLevel="1">
      <c r="A318" s="20" t="s">
        <v>42</v>
      </c>
      <c r="B318" s="20" t="s">
        <v>152</v>
      </c>
      <c r="C318" s="20" t="s">
        <v>153</v>
      </c>
      <c r="D318" s="20" t="s">
        <v>154</v>
      </c>
      <c r="E318" s="20" t="s">
        <v>155</v>
      </c>
      <c r="F318" s="20" t="s">
        <v>156</v>
      </c>
      <c r="G318" s="20" t="s">
        <v>157</v>
      </c>
      <c r="H318" s="20" t="s">
        <v>158</v>
      </c>
      <c r="I318" s="20" t="s">
        <v>159</v>
      </c>
      <c r="J318" s="20" t="s">
        <v>160</v>
      </c>
      <c r="K318" s="20" t="s">
        <v>118</v>
      </c>
      <c r="L318" s="20" t="s">
        <v>161</v>
      </c>
      <c r="M318" s="20" t="s">
        <v>162</v>
      </c>
      <c r="N318" s="20" t="s">
        <v>95</v>
      </c>
    </row>
    <row r="319" spans="1:14" ht="19.5" hidden="1" customHeight="1" outlineLevel="1">
      <c r="A319" s="24">
        <f>IF(7&lt;=DAY(DATE(YEAR(설정_코스수당!$K$2),MONTH(설정_코스수당!$K$2)+1,0)),DATE(YEAR(설정_코스수당!$K$2),MONTH(설정_코스수당!$K$2),7),"")</f>
        <v>46180</v>
      </c>
      <c r="B319" s="23" t="s">
        <v>47</v>
      </c>
      <c r="C319" s="23"/>
      <c r="D319" s="23"/>
      <c r="E319" s="23" t="str">
        <f t="shared" ref="E319:E350" si="43">IF(AND(C319&lt;&gt;"",D319&lt;&gt;""),IF(D319&lt;C319,D319+1-C319,D319-C319)*24,"")</f>
        <v/>
      </c>
      <c r="F319" s="23">
        <f>COUNTIFS(실시간콜입력!$B:$B,$A319,실시간콜입력!$E:$E,"A",실시간콜입력!$G:$G,$B319,실시간콜입력!$O:$O,"방문완료")+COUNTIFS(실시간콜입력!$B:$B,$A319,실시간콜입력!$E:$E,"A",실시간콜입력!$H:$H,$B319,실시간콜입력!$O:$O,"방문완료")</f>
        <v>0</v>
      </c>
      <c r="G319" s="23">
        <f>COUNTIFS(실시간콜입력!$B:$B,$A319,실시간콜입력!$E:$E,"B",실시간콜입력!$G:$G,$B319,실시간콜입력!$O:$O,"방문완료")+COUNTIFS(실시간콜입력!$B:$B,$A319,실시간콜입력!$E:$E,"B",실시간콜입력!$H:$H,$B319,실시간콜입력!$O:$O,"방문완료")</f>
        <v>0</v>
      </c>
      <c r="H319" s="23">
        <f>COUNTIFS(실시간콜입력!$B:$B,$A319,실시간콜입력!$E:$E,"C",실시간콜입력!$G:$G,$B319,실시간콜입력!$O:$O,"방문완료")+COUNTIFS(실시간콜입력!$B:$B,$A319,실시간콜입력!$E:$E,"C",실시간콜입력!$H:$H,$B319,실시간콜입력!$O:$O,"방문완료")</f>
        <v>0</v>
      </c>
      <c r="I319" s="23">
        <f>COUNTIFS(실시간콜입력!$B:$B,$A319,실시간콜입력!$E:$E,"D",실시간콜입력!$G:$G,$B319,실시간콜입력!$O:$O,"방문완료")+COUNTIFS(실시간콜입력!$B:$B,$A319,실시간콜입력!$E:$E,"D",실시간콜입력!$H:$H,$B319,실시간콜입력!$O:$O,"방문완료")</f>
        <v>0</v>
      </c>
      <c r="J319" s="23">
        <f>COUNTIFS(실시간콜입력!$B:$B,$A319,실시간콜입력!$E:$E,"E",실시간콜입력!$G:$G,$B319,실시간콜입력!$O:$O,"방문완료")+COUNTIFS(실시간콜입력!$B:$B,$A319,실시간콜입력!$E:$E,"E",실시간콜입력!$H:$H,$B319,실시간콜입력!$O:$O,"방문완료")</f>
        <v>0</v>
      </c>
      <c r="K319" s="23">
        <f t="shared" ref="K319:K350" si="44">SUM(F319:J319)</f>
        <v>0</v>
      </c>
      <c r="L319" s="27">
        <f>SUMIFS(실시간콜입력!$K:$K,실시간콜입력!$B:$B,$A319,실시간콜입력!$G:$G,$B319,실시간콜입력!$O:$O,"방문완료")+SUMIFS(실시간콜입력!$L:$L,실시간콜입력!$B:$B,$A319,실시간콜입력!$H:$H,$B319,실시간콜입력!$O:$O,"방문완료")</f>
        <v>0</v>
      </c>
      <c r="M319" s="23" t="str">
        <f t="shared" ref="M319:M350" si="45">IF(AND(ISNUMBER(E319),E319&gt;=8),"인정","")</f>
        <v/>
      </c>
      <c r="N319" s="23"/>
    </row>
    <row r="320" spans="1:14" ht="19.5" hidden="1" customHeight="1" outlineLevel="1">
      <c r="A320" s="30">
        <f>IF(7&lt;=DAY(DATE(YEAR(설정_코스수당!$K$2),MONTH(설정_코스수당!$K$2)+1,0)),DATE(YEAR(설정_코스수당!$K$2),MONTH(설정_코스수당!$K$2),7),"")</f>
        <v>46180</v>
      </c>
      <c r="B320" s="29" t="s">
        <v>48</v>
      </c>
      <c r="C320" s="29"/>
      <c r="D320" s="29"/>
      <c r="E320" s="29" t="str">
        <f t="shared" si="43"/>
        <v/>
      </c>
      <c r="F320" s="29">
        <f>COUNTIFS(실시간콜입력!$B:$B,$A320,실시간콜입력!$E:$E,"A",실시간콜입력!$G:$G,$B320,실시간콜입력!$O:$O,"방문완료")+COUNTIFS(실시간콜입력!$B:$B,$A320,실시간콜입력!$E:$E,"A",실시간콜입력!$H:$H,$B320,실시간콜입력!$O:$O,"방문완료")</f>
        <v>0</v>
      </c>
      <c r="G320" s="29">
        <f>COUNTIFS(실시간콜입력!$B:$B,$A320,실시간콜입력!$E:$E,"B",실시간콜입력!$G:$G,$B320,실시간콜입력!$O:$O,"방문완료")+COUNTIFS(실시간콜입력!$B:$B,$A320,실시간콜입력!$E:$E,"B",실시간콜입력!$H:$H,$B320,실시간콜입력!$O:$O,"방문완료")</f>
        <v>0</v>
      </c>
      <c r="H320" s="29">
        <f>COUNTIFS(실시간콜입력!$B:$B,$A320,실시간콜입력!$E:$E,"C",실시간콜입력!$G:$G,$B320,실시간콜입력!$O:$O,"방문완료")+COUNTIFS(실시간콜입력!$B:$B,$A320,실시간콜입력!$E:$E,"C",실시간콜입력!$H:$H,$B320,실시간콜입력!$O:$O,"방문완료")</f>
        <v>0</v>
      </c>
      <c r="I320" s="29">
        <f>COUNTIFS(실시간콜입력!$B:$B,$A320,실시간콜입력!$E:$E,"D",실시간콜입력!$G:$G,$B320,실시간콜입력!$O:$O,"방문완료")+COUNTIFS(실시간콜입력!$B:$B,$A320,실시간콜입력!$E:$E,"D",실시간콜입력!$H:$H,$B320,실시간콜입력!$O:$O,"방문완료")</f>
        <v>0</v>
      </c>
      <c r="J320" s="29">
        <f>COUNTIFS(실시간콜입력!$B:$B,$A320,실시간콜입력!$E:$E,"E",실시간콜입력!$G:$G,$B320,실시간콜입력!$O:$O,"방문완료")+COUNTIFS(실시간콜입력!$B:$B,$A320,실시간콜입력!$E:$E,"E",실시간콜입력!$H:$H,$B320,실시간콜입력!$O:$O,"방문완료")</f>
        <v>0</v>
      </c>
      <c r="K320" s="29">
        <f t="shared" si="44"/>
        <v>0</v>
      </c>
      <c r="L320" s="33">
        <f>SUMIFS(실시간콜입력!$K:$K,실시간콜입력!$B:$B,$A320,실시간콜입력!$G:$G,$B320,실시간콜입력!$O:$O,"방문완료")+SUMIFS(실시간콜입력!$L:$L,실시간콜입력!$B:$B,$A320,실시간콜입력!$H:$H,$B320,실시간콜입력!$O:$O,"방문완료")</f>
        <v>0</v>
      </c>
      <c r="M320" s="29" t="str">
        <f t="shared" si="45"/>
        <v/>
      </c>
      <c r="N320" s="29"/>
    </row>
    <row r="321" spans="1:14" ht="19.5" hidden="1" customHeight="1" outlineLevel="1">
      <c r="A321" s="24">
        <f>IF(7&lt;=DAY(DATE(YEAR(설정_코스수당!$K$2),MONTH(설정_코스수당!$K$2)+1,0)),DATE(YEAR(설정_코스수당!$K$2),MONTH(설정_코스수당!$K$2),7),"")</f>
        <v>46180</v>
      </c>
      <c r="B321" s="23" t="s">
        <v>165</v>
      </c>
      <c r="C321" s="29"/>
      <c r="D321" s="29"/>
      <c r="E321" s="29" t="str">
        <f t="shared" si="43"/>
        <v/>
      </c>
      <c r="F321" s="29">
        <f>COUNTIFS(실시간콜입력!$B:$B,$A321,실시간콜입력!$E:$E,"A",실시간콜입력!$G:$G,$B321,실시간콜입력!$O:$O,"방문완료")+COUNTIFS(실시간콜입력!$B:$B,$A321,실시간콜입력!$E:$E,"A",실시간콜입력!$H:$H,$B321,실시간콜입력!$O:$O,"방문완료")</f>
        <v>0</v>
      </c>
      <c r="G321" s="29">
        <f>COUNTIFS(실시간콜입력!$B:$B,$A321,실시간콜입력!$E:$E,"B",실시간콜입력!$G:$G,$B321,실시간콜입력!$O:$O,"방문완료")+COUNTIFS(실시간콜입력!$B:$B,$A321,실시간콜입력!$E:$E,"B",실시간콜입력!$H:$H,$B321,실시간콜입력!$O:$O,"방문완료")</f>
        <v>0</v>
      </c>
      <c r="H321" s="29">
        <f>COUNTIFS(실시간콜입력!$B:$B,$A321,실시간콜입력!$E:$E,"C",실시간콜입력!$G:$G,$B321,실시간콜입력!$O:$O,"방문완료")+COUNTIFS(실시간콜입력!$B:$B,$A321,실시간콜입력!$E:$E,"C",실시간콜입력!$H:$H,$B321,실시간콜입력!$O:$O,"방문완료")</f>
        <v>0</v>
      </c>
      <c r="I321" s="29">
        <f>COUNTIFS(실시간콜입력!$B:$B,$A321,실시간콜입력!$E:$E,"D",실시간콜입력!$G:$G,$B321,실시간콜입력!$O:$O,"방문완료")+COUNTIFS(실시간콜입력!$B:$B,$A321,실시간콜입력!$E:$E,"D",실시간콜입력!$H:$H,$B321,실시간콜입력!$O:$O,"방문완료")</f>
        <v>0</v>
      </c>
      <c r="J321" s="29">
        <f>COUNTIFS(실시간콜입력!$B:$B,$A321,실시간콜입력!$E:$E,"E",실시간콜입력!$G:$G,$B321,실시간콜입력!$O:$O,"방문완료")+COUNTIFS(실시간콜입력!$B:$B,$A321,실시간콜입력!$E:$E,"E",실시간콜입력!$H:$H,$B321,실시간콜입력!$O:$O,"방문완료")</f>
        <v>0</v>
      </c>
      <c r="K321" s="29">
        <f t="shared" si="44"/>
        <v>0</v>
      </c>
      <c r="L321" s="27">
        <f>SUMIFS(실시간콜입력!$K:$K,실시간콜입력!$B:$B,$A321,실시간콜입력!$G:$G,$B321,실시간콜입력!$O:$O,"방문완료")+SUMIFS(실시간콜입력!$L:$L,실시간콜입력!$B:$B,$A321,실시간콜입력!$H:$H,$B321,실시간콜입력!$O:$O,"방문완료")</f>
        <v>0</v>
      </c>
      <c r="M321" s="29" t="str">
        <f t="shared" si="45"/>
        <v/>
      </c>
      <c r="N321" s="29"/>
    </row>
    <row r="322" spans="1:14" ht="19.5" hidden="1" customHeight="1" outlineLevel="1">
      <c r="A322" s="30">
        <f>IF(7&lt;=DAY(DATE(YEAR(설정_코스수당!$K$2),MONTH(설정_코스수당!$K$2)+1,0)),DATE(YEAR(설정_코스수당!$K$2),MONTH(설정_코스수당!$K$2),7),"")</f>
        <v>46180</v>
      </c>
      <c r="B322" s="29" t="s">
        <v>166</v>
      </c>
      <c r="C322" s="29"/>
      <c r="D322" s="29"/>
      <c r="E322" s="29" t="str">
        <f t="shared" si="43"/>
        <v/>
      </c>
      <c r="F322" s="29">
        <f>COUNTIFS(실시간콜입력!$B:$B,$A322,실시간콜입력!$E:$E,"A",실시간콜입력!$G:$G,$B322,실시간콜입력!$O:$O,"방문완료")+COUNTIFS(실시간콜입력!$B:$B,$A322,실시간콜입력!$E:$E,"A",실시간콜입력!$H:$H,$B322,실시간콜입력!$O:$O,"방문완료")</f>
        <v>0</v>
      </c>
      <c r="G322" s="29">
        <f>COUNTIFS(실시간콜입력!$B:$B,$A322,실시간콜입력!$E:$E,"B",실시간콜입력!$G:$G,$B322,실시간콜입력!$O:$O,"방문완료")+COUNTIFS(실시간콜입력!$B:$B,$A322,실시간콜입력!$E:$E,"B",실시간콜입력!$H:$H,$B322,실시간콜입력!$O:$O,"방문완료")</f>
        <v>0</v>
      </c>
      <c r="H322" s="29">
        <f>COUNTIFS(실시간콜입력!$B:$B,$A322,실시간콜입력!$E:$E,"C",실시간콜입력!$G:$G,$B322,실시간콜입력!$O:$O,"방문완료")+COUNTIFS(실시간콜입력!$B:$B,$A322,실시간콜입력!$E:$E,"C",실시간콜입력!$H:$H,$B322,실시간콜입력!$O:$O,"방문완료")</f>
        <v>0</v>
      </c>
      <c r="I322" s="29">
        <f>COUNTIFS(실시간콜입력!$B:$B,$A322,실시간콜입력!$E:$E,"D",실시간콜입력!$G:$G,$B322,실시간콜입력!$O:$O,"방문완료")+COUNTIFS(실시간콜입력!$B:$B,$A322,실시간콜입력!$E:$E,"D",실시간콜입력!$H:$H,$B322,실시간콜입력!$O:$O,"방문완료")</f>
        <v>0</v>
      </c>
      <c r="J322" s="29">
        <f>COUNTIFS(실시간콜입력!$B:$B,$A322,실시간콜입력!$E:$E,"E",실시간콜입력!$G:$G,$B322,실시간콜입력!$O:$O,"방문완료")+COUNTIFS(실시간콜입력!$B:$B,$A322,실시간콜입력!$E:$E,"E",실시간콜입력!$H:$H,$B322,실시간콜입력!$O:$O,"방문완료")</f>
        <v>0</v>
      </c>
      <c r="K322" s="29">
        <f t="shared" si="44"/>
        <v>0</v>
      </c>
      <c r="L322" s="33">
        <f>SUMIFS(실시간콜입력!$K:$K,실시간콜입력!$B:$B,$A322,실시간콜입력!$G:$G,$B322,실시간콜입력!$O:$O,"방문완료")+SUMIFS(실시간콜입력!$L:$L,실시간콜입력!$B:$B,$A322,실시간콜입력!$H:$H,$B322,실시간콜입력!$O:$O,"방문완료")</f>
        <v>0</v>
      </c>
      <c r="M322" s="29" t="str">
        <f t="shared" si="45"/>
        <v/>
      </c>
      <c r="N322" s="29"/>
    </row>
    <row r="323" spans="1:14" ht="19.5" hidden="1" customHeight="1" outlineLevel="1">
      <c r="A323" s="24">
        <f>IF(7&lt;=DAY(DATE(YEAR(설정_코스수당!$K$2),MONTH(설정_코스수당!$K$2)+1,0)),DATE(YEAR(설정_코스수당!$K$2),MONTH(설정_코스수당!$K$2),7),"")</f>
        <v>46180</v>
      </c>
      <c r="B323" s="23" t="s">
        <v>167</v>
      </c>
      <c r="C323" s="29"/>
      <c r="D323" s="29"/>
      <c r="E323" s="29" t="str">
        <f t="shared" si="43"/>
        <v/>
      </c>
      <c r="F323" s="29">
        <f>COUNTIFS(실시간콜입력!$B:$B,$A323,실시간콜입력!$E:$E,"A",실시간콜입력!$G:$G,$B323,실시간콜입력!$O:$O,"방문완료")+COUNTIFS(실시간콜입력!$B:$B,$A323,실시간콜입력!$E:$E,"A",실시간콜입력!$H:$H,$B323,실시간콜입력!$O:$O,"방문완료")</f>
        <v>0</v>
      </c>
      <c r="G323" s="29">
        <f>COUNTIFS(실시간콜입력!$B:$B,$A323,실시간콜입력!$E:$E,"B",실시간콜입력!$G:$G,$B323,실시간콜입력!$O:$O,"방문완료")+COUNTIFS(실시간콜입력!$B:$B,$A323,실시간콜입력!$E:$E,"B",실시간콜입력!$H:$H,$B323,실시간콜입력!$O:$O,"방문완료")</f>
        <v>0</v>
      </c>
      <c r="H323" s="29">
        <f>COUNTIFS(실시간콜입력!$B:$B,$A323,실시간콜입력!$E:$E,"C",실시간콜입력!$G:$G,$B323,실시간콜입력!$O:$O,"방문완료")+COUNTIFS(실시간콜입력!$B:$B,$A323,실시간콜입력!$E:$E,"C",실시간콜입력!$H:$H,$B323,실시간콜입력!$O:$O,"방문완료")</f>
        <v>0</v>
      </c>
      <c r="I323" s="29">
        <f>COUNTIFS(실시간콜입력!$B:$B,$A323,실시간콜입력!$E:$E,"D",실시간콜입력!$G:$G,$B323,실시간콜입력!$O:$O,"방문완료")+COUNTIFS(실시간콜입력!$B:$B,$A323,실시간콜입력!$E:$E,"D",실시간콜입력!$H:$H,$B323,실시간콜입력!$O:$O,"방문완료")</f>
        <v>0</v>
      </c>
      <c r="J323" s="29">
        <f>COUNTIFS(실시간콜입력!$B:$B,$A323,실시간콜입력!$E:$E,"E",실시간콜입력!$G:$G,$B323,실시간콜입력!$O:$O,"방문완료")+COUNTIFS(실시간콜입력!$B:$B,$A323,실시간콜입력!$E:$E,"E",실시간콜입력!$H:$H,$B323,실시간콜입력!$O:$O,"방문완료")</f>
        <v>0</v>
      </c>
      <c r="K323" s="29">
        <f t="shared" si="44"/>
        <v>0</v>
      </c>
      <c r="L323" s="27">
        <f>SUMIFS(실시간콜입력!$K:$K,실시간콜입력!$B:$B,$A323,실시간콜입력!$G:$G,$B323,실시간콜입력!$O:$O,"방문완료")+SUMIFS(실시간콜입력!$L:$L,실시간콜입력!$B:$B,$A323,실시간콜입력!$H:$H,$B323,실시간콜입력!$O:$O,"방문완료")</f>
        <v>0</v>
      </c>
      <c r="M323" s="29" t="str">
        <f t="shared" si="45"/>
        <v/>
      </c>
      <c r="N323" s="29"/>
    </row>
    <row r="324" spans="1:14" ht="19.5" hidden="1" customHeight="1" outlineLevel="1">
      <c r="A324" s="30">
        <f>IF(7&lt;=DAY(DATE(YEAR(설정_코스수당!$K$2),MONTH(설정_코스수당!$K$2)+1,0)),DATE(YEAR(설정_코스수당!$K$2),MONTH(설정_코스수당!$K$2),7),"")</f>
        <v>46180</v>
      </c>
      <c r="B324" s="29" t="s">
        <v>168</v>
      </c>
      <c r="C324" s="29"/>
      <c r="D324" s="29"/>
      <c r="E324" s="29" t="str">
        <f t="shared" si="43"/>
        <v/>
      </c>
      <c r="F324" s="29">
        <f>COUNTIFS(실시간콜입력!$B:$B,$A324,실시간콜입력!$E:$E,"A",실시간콜입력!$G:$G,$B324,실시간콜입력!$O:$O,"방문완료")+COUNTIFS(실시간콜입력!$B:$B,$A324,실시간콜입력!$E:$E,"A",실시간콜입력!$H:$H,$B324,실시간콜입력!$O:$O,"방문완료")</f>
        <v>0</v>
      </c>
      <c r="G324" s="29">
        <f>COUNTIFS(실시간콜입력!$B:$B,$A324,실시간콜입력!$E:$E,"B",실시간콜입력!$G:$G,$B324,실시간콜입력!$O:$O,"방문완료")+COUNTIFS(실시간콜입력!$B:$B,$A324,실시간콜입력!$E:$E,"B",실시간콜입력!$H:$H,$B324,실시간콜입력!$O:$O,"방문완료")</f>
        <v>0</v>
      </c>
      <c r="H324" s="29">
        <f>COUNTIFS(실시간콜입력!$B:$B,$A324,실시간콜입력!$E:$E,"C",실시간콜입력!$G:$G,$B324,실시간콜입력!$O:$O,"방문완료")+COUNTIFS(실시간콜입력!$B:$B,$A324,실시간콜입력!$E:$E,"C",실시간콜입력!$H:$H,$B324,실시간콜입력!$O:$O,"방문완료")</f>
        <v>0</v>
      </c>
      <c r="I324" s="29">
        <f>COUNTIFS(실시간콜입력!$B:$B,$A324,실시간콜입력!$E:$E,"D",실시간콜입력!$G:$G,$B324,실시간콜입력!$O:$O,"방문완료")+COUNTIFS(실시간콜입력!$B:$B,$A324,실시간콜입력!$E:$E,"D",실시간콜입력!$H:$H,$B324,실시간콜입력!$O:$O,"방문완료")</f>
        <v>0</v>
      </c>
      <c r="J324" s="29">
        <f>COUNTIFS(실시간콜입력!$B:$B,$A324,실시간콜입력!$E:$E,"E",실시간콜입력!$G:$G,$B324,실시간콜입력!$O:$O,"방문완료")+COUNTIFS(실시간콜입력!$B:$B,$A324,실시간콜입력!$E:$E,"E",실시간콜입력!$H:$H,$B324,실시간콜입력!$O:$O,"방문완료")</f>
        <v>0</v>
      </c>
      <c r="K324" s="29">
        <f t="shared" si="44"/>
        <v>0</v>
      </c>
      <c r="L324" s="33">
        <f>SUMIFS(실시간콜입력!$K:$K,실시간콜입력!$B:$B,$A324,실시간콜입력!$G:$G,$B324,실시간콜입력!$O:$O,"방문완료")+SUMIFS(실시간콜입력!$L:$L,실시간콜입력!$B:$B,$A324,실시간콜입력!$H:$H,$B324,실시간콜입력!$O:$O,"방문완료")</f>
        <v>0</v>
      </c>
      <c r="M324" s="29" t="str">
        <f t="shared" si="45"/>
        <v/>
      </c>
      <c r="N324" s="29"/>
    </row>
    <row r="325" spans="1:14" ht="19.5" hidden="1" customHeight="1" outlineLevel="1">
      <c r="A325" s="24">
        <f>IF(7&lt;=DAY(DATE(YEAR(설정_코스수당!$K$2),MONTH(설정_코스수당!$K$2)+1,0)),DATE(YEAR(설정_코스수당!$K$2),MONTH(설정_코스수당!$K$2),7),"")</f>
        <v>46180</v>
      </c>
      <c r="B325" s="23" t="s">
        <v>169</v>
      </c>
      <c r="C325" s="29"/>
      <c r="D325" s="29"/>
      <c r="E325" s="29" t="str">
        <f t="shared" si="43"/>
        <v/>
      </c>
      <c r="F325" s="29">
        <f>COUNTIFS(실시간콜입력!$B:$B,$A325,실시간콜입력!$E:$E,"A",실시간콜입력!$G:$G,$B325,실시간콜입력!$O:$O,"방문완료")+COUNTIFS(실시간콜입력!$B:$B,$A325,실시간콜입력!$E:$E,"A",실시간콜입력!$H:$H,$B325,실시간콜입력!$O:$O,"방문완료")</f>
        <v>0</v>
      </c>
      <c r="G325" s="29">
        <f>COUNTIFS(실시간콜입력!$B:$B,$A325,실시간콜입력!$E:$E,"B",실시간콜입력!$G:$G,$B325,실시간콜입력!$O:$O,"방문완료")+COUNTIFS(실시간콜입력!$B:$B,$A325,실시간콜입력!$E:$E,"B",실시간콜입력!$H:$H,$B325,실시간콜입력!$O:$O,"방문완료")</f>
        <v>0</v>
      </c>
      <c r="H325" s="29">
        <f>COUNTIFS(실시간콜입력!$B:$B,$A325,실시간콜입력!$E:$E,"C",실시간콜입력!$G:$G,$B325,실시간콜입력!$O:$O,"방문완료")+COUNTIFS(실시간콜입력!$B:$B,$A325,실시간콜입력!$E:$E,"C",실시간콜입력!$H:$H,$B325,실시간콜입력!$O:$O,"방문완료")</f>
        <v>0</v>
      </c>
      <c r="I325" s="29">
        <f>COUNTIFS(실시간콜입력!$B:$B,$A325,실시간콜입력!$E:$E,"D",실시간콜입력!$G:$G,$B325,실시간콜입력!$O:$O,"방문완료")+COUNTIFS(실시간콜입력!$B:$B,$A325,실시간콜입력!$E:$E,"D",실시간콜입력!$H:$H,$B325,실시간콜입력!$O:$O,"방문완료")</f>
        <v>0</v>
      </c>
      <c r="J325" s="29">
        <f>COUNTIFS(실시간콜입력!$B:$B,$A325,실시간콜입력!$E:$E,"E",실시간콜입력!$G:$G,$B325,실시간콜입력!$O:$O,"방문완료")+COUNTIFS(실시간콜입력!$B:$B,$A325,실시간콜입력!$E:$E,"E",실시간콜입력!$H:$H,$B325,실시간콜입력!$O:$O,"방문완료")</f>
        <v>0</v>
      </c>
      <c r="K325" s="29">
        <f t="shared" si="44"/>
        <v>0</v>
      </c>
      <c r="L325" s="27">
        <f>SUMIFS(실시간콜입력!$K:$K,실시간콜입력!$B:$B,$A325,실시간콜입력!$G:$G,$B325,실시간콜입력!$O:$O,"방문완료")+SUMIFS(실시간콜입력!$L:$L,실시간콜입력!$B:$B,$A325,실시간콜입력!$H:$H,$B325,실시간콜입력!$O:$O,"방문완료")</f>
        <v>0</v>
      </c>
      <c r="M325" s="29" t="str">
        <f t="shared" si="45"/>
        <v/>
      </c>
      <c r="N325" s="29"/>
    </row>
    <row r="326" spans="1:14" ht="19.5" hidden="1" customHeight="1" outlineLevel="1">
      <c r="A326" s="30">
        <f>IF(7&lt;=DAY(DATE(YEAR(설정_코스수당!$K$2),MONTH(설정_코스수당!$K$2)+1,0)),DATE(YEAR(설정_코스수당!$K$2),MONTH(설정_코스수당!$K$2),7),"")</f>
        <v>46180</v>
      </c>
      <c r="B326" s="29" t="s">
        <v>170</v>
      </c>
      <c r="C326" s="29"/>
      <c r="D326" s="29"/>
      <c r="E326" s="29" t="str">
        <f t="shared" si="43"/>
        <v/>
      </c>
      <c r="F326" s="29">
        <f>COUNTIFS(실시간콜입력!$B:$B,$A326,실시간콜입력!$E:$E,"A",실시간콜입력!$G:$G,$B326,실시간콜입력!$O:$O,"방문완료")+COUNTIFS(실시간콜입력!$B:$B,$A326,실시간콜입력!$E:$E,"A",실시간콜입력!$H:$H,$B326,실시간콜입력!$O:$O,"방문완료")</f>
        <v>0</v>
      </c>
      <c r="G326" s="29">
        <f>COUNTIFS(실시간콜입력!$B:$B,$A326,실시간콜입력!$E:$E,"B",실시간콜입력!$G:$G,$B326,실시간콜입력!$O:$O,"방문완료")+COUNTIFS(실시간콜입력!$B:$B,$A326,실시간콜입력!$E:$E,"B",실시간콜입력!$H:$H,$B326,실시간콜입력!$O:$O,"방문완료")</f>
        <v>0</v>
      </c>
      <c r="H326" s="29">
        <f>COUNTIFS(실시간콜입력!$B:$B,$A326,실시간콜입력!$E:$E,"C",실시간콜입력!$G:$G,$B326,실시간콜입력!$O:$O,"방문완료")+COUNTIFS(실시간콜입력!$B:$B,$A326,실시간콜입력!$E:$E,"C",실시간콜입력!$H:$H,$B326,실시간콜입력!$O:$O,"방문완료")</f>
        <v>0</v>
      </c>
      <c r="I326" s="29">
        <f>COUNTIFS(실시간콜입력!$B:$B,$A326,실시간콜입력!$E:$E,"D",실시간콜입력!$G:$G,$B326,실시간콜입력!$O:$O,"방문완료")+COUNTIFS(실시간콜입력!$B:$B,$A326,실시간콜입력!$E:$E,"D",실시간콜입력!$H:$H,$B326,실시간콜입력!$O:$O,"방문완료")</f>
        <v>0</v>
      </c>
      <c r="J326" s="29">
        <f>COUNTIFS(실시간콜입력!$B:$B,$A326,실시간콜입력!$E:$E,"E",실시간콜입력!$G:$G,$B326,실시간콜입력!$O:$O,"방문완료")+COUNTIFS(실시간콜입력!$B:$B,$A326,실시간콜입력!$E:$E,"E",실시간콜입력!$H:$H,$B326,실시간콜입력!$O:$O,"방문완료")</f>
        <v>0</v>
      </c>
      <c r="K326" s="29">
        <f t="shared" si="44"/>
        <v>0</v>
      </c>
      <c r="L326" s="33">
        <f>SUMIFS(실시간콜입력!$K:$K,실시간콜입력!$B:$B,$A326,실시간콜입력!$G:$G,$B326,실시간콜입력!$O:$O,"방문완료")+SUMIFS(실시간콜입력!$L:$L,실시간콜입력!$B:$B,$A326,실시간콜입력!$H:$H,$B326,실시간콜입력!$O:$O,"방문완료")</f>
        <v>0</v>
      </c>
      <c r="M326" s="29" t="str">
        <f t="shared" si="45"/>
        <v/>
      </c>
      <c r="N326" s="29"/>
    </row>
    <row r="327" spans="1:14" ht="19.5" hidden="1" customHeight="1" outlineLevel="1">
      <c r="A327" s="24">
        <f>IF(7&lt;=DAY(DATE(YEAR(설정_코스수당!$K$2),MONTH(설정_코스수당!$K$2)+1,0)),DATE(YEAR(설정_코스수당!$K$2),MONTH(설정_코스수당!$K$2),7),"")</f>
        <v>46180</v>
      </c>
      <c r="B327" s="23" t="s">
        <v>171</v>
      </c>
      <c r="C327" s="29"/>
      <c r="D327" s="29"/>
      <c r="E327" s="29" t="str">
        <f t="shared" si="43"/>
        <v/>
      </c>
      <c r="F327" s="29">
        <f>COUNTIFS(실시간콜입력!$B:$B,$A327,실시간콜입력!$E:$E,"A",실시간콜입력!$G:$G,$B327,실시간콜입력!$O:$O,"방문완료")+COUNTIFS(실시간콜입력!$B:$B,$A327,실시간콜입력!$E:$E,"A",실시간콜입력!$H:$H,$B327,실시간콜입력!$O:$O,"방문완료")</f>
        <v>0</v>
      </c>
      <c r="G327" s="29">
        <f>COUNTIFS(실시간콜입력!$B:$B,$A327,실시간콜입력!$E:$E,"B",실시간콜입력!$G:$G,$B327,실시간콜입력!$O:$O,"방문완료")+COUNTIFS(실시간콜입력!$B:$B,$A327,실시간콜입력!$E:$E,"B",실시간콜입력!$H:$H,$B327,실시간콜입력!$O:$O,"방문완료")</f>
        <v>0</v>
      </c>
      <c r="H327" s="29">
        <f>COUNTIFS(실시간콜입력!$B:$B,$A327,실시간콜입력!$E:$E,"C",실시간콜입력!$G:$G,$B327,실시간콜입력!$O:$O,"방문완료")+COUNTIFS(실시간콜입력!$B:$B,$A327,실시간콜입력!$E:$E,"C",실시간콜입력!$H:$H,$B327,실시간콜입력!$O:$O,"방문완료")</f>
        <v>0</v>
      </c>
      <c r="I327" s="29">
        <f>COUNTIFS(실시간콜입력!$B:$B,$A327,실시간콜입력!$E:$E,"D",실시간콜입력!$G:$G,$B327,실시간콜입력!$O:$O,"방문완료")+COUNTIFS(실시간콜입력!$B:$B,$A327,실시간콜입력!$E:$E,"D",실시간콜입력!$H:$H,$B327,실시간콜입력!$O:$O,"방문완료")</f>
        <v>0</v>
      </c>
      <c r="J327" s="29">
        <f>COUNTIFS(실시간콜입력!$B:$B,$A327,실시간콜입력!$E:$E,"E",실시간콜입력!$G:$G,$B327,실시간콜입력!$O:$O,"방문완료")+COUNTIFS(실시간콜입력!$B:$B,$A327,실시간콜입력!$E:$E,"E",실시간콜입력!$H:$H,$B327,실시간콜입력!$O:$O,"방문완료")</f>
        <v>0</v>
      </c>
      <c r="K327" s="29">
        <f t="shared" si="44"/>
        <v>0</v>
      </c>
      <c r="L327" s="27">
        <f>SUMIFS(실시간콜입력!$K:$K,실시간콜입력!$B:$B,$A327,실시간콜입력!$G:$G,$B327,실시간콜입력!$O:$O,"방문완료")+SUMIFS(실시간콜입력!$L:$L,실시간콜입력!$B:$B,$A327,실시간콜입력!$H:$H,$B327,실시간콜입력!$O:$O,"방문완료")</f>
        <v>0</v>
      </c>
      <c r="M327" s="29" t="str">
        <f t="shared" si="45"/>
        <v/>
      </c>
      <c r="N327" s="29"/>
    </row>
    <row r="328" spans="1:14" ht="19.5" hidden="1" customHeight="1" outlineLevel="1">
      <c r="A328" s="30">
        <f>IF(7&lt;=DAY(DATE(YEAR(설정_코스수당!$K$2),MONTH(설정_코스수당!$K$2)+1,0)),DATE(YEAR(설정_코스수당!$K$2),MONTH(설정_코스수당!$K$2),7),"")</f>
        <v>46180</v>
      </c>
      <c r="B328" s="29" t="s">
        <v>172</v>
      </c>
      <c r="C328" s="29"/>
      <c r="D328" s="29"/>
      <c r="E328" s="29" t="str">
        <f t="shared" si="43"/>
        <v/>
      </c>
      <c r="F328" s="29">
        <f>COUNTIFS(실시간콜입력!$B:$B,$A328,실시간콜입력!$E:$E,"A",실시간콜입력!$G:$G,$B328,실시간콜입력!$O:$O,"방문완료")+COUNTIFS(실시간콜입력!$B:$B,$A328,실시간콜입력!$E:$E,"A",실시간콜입력!$H:$H,$B328,실시간콜입력!$O:$O,"방문완료")</f>
        <v>0</v>
      </c>
      <c r="G328" s="29">
        <f>COUNTIFS(실시간콜입력!$B:$B,$A328,실시간콜입력!$E:$E,"B",실시간콜입력!$G:$G,$B328,실시간콜입력!$O:$O,"방문완료")+COUNTIFS(실시간콜입력!$B:$B,$A328,실시간콜입력!$E:$E,"B",실시간콜입력!$H:$H,$B328,실시간콜입력!$O:$O,"방문완료")</f>
        <v>0</v>
      </c>
      <c r="H328" s="29">
        <f>COUNTIFS(실시간콜입력!$B:$B,$A328,실시간콜입력!$E:$E,"C",실시간콜입력!$G:$G,$B328,실시간콜입력!$O:$O,"방문완료")+COUNTIFS(실시간콜입력!$B:$B,$A328,실시간콜입력!$E:$E,"C",실시간콜입력!$H:$H,$B328,실시간콜입력!$O:$O,"방문완료")</f>
        <v>0</v>
      </c>
      <c r="I328" s="29">
        <f>COUNTIFS(실시간콜입력!$B:$B,$A328,실시간콜입력!$E:$E,"D",실시간콜입력!$G:$G,$B328,실시간콜입력!$O:$O,"방문완료")+COUNTIFS(실시간콜입력!$B:$B,$A328,실시간콜입력!$E:$E,"D",실시간콜입력!$H:$H,$B328,실시간콜입력!$O:$O,"방문완료")</f>
        <v>0</v>
      </c>
      <c r="J328" s="29">
        <f>COUNTIFS(실시간콜입력!$B:$B,$A328,실시간콜입력!$E:$E,"E",실시간콜입력!$G:$G,$B328,실시간콜입력!$O:$O,"방문완료")+COUNTIFS(실시간콜입력!$B:$B,$A328,실시간콜입력!$E:$E,"E",실시간콜입력!$H:$H,$B328,실시간콜입력!$O:$O,"방문완료")</f>
        <v>0</v>
      </c>
      <c r="K328" s="29">
        <f t="shared" si="44"/>
        <v>0</v>
      </c>
      <c r="L328" s="33">
        <f>SUMIFS(실시간콜입력!$K:$K,실시간콜입력!$B:$B,$A328,실시간콜입력!$G:$G,$B328,실시간콜입력!$O:$O,"방문완료")+SUMIFS(실시간콜입력!$L:$L,실시간콜입력!$B:$B,$A328,실시간콜입력!$H:$H,$B328,실시간콜입력!$O:$O,"방문완료")</f>
        <v>0</v>
      </c>
      <c r="M328" s="29" t="str">
        <f t="shared" si="45"/>
        <v/>
      </c>
      <c r="N328" s="29"/>
    </row>
    <row r="329" spans="1:14" ht="19.5" hidden="1" customHeight="1" outlineLevel="1">
      <c r="A329" s="24">
        <f>IF(7&lt;=DAY(DATE(YEAR(설정_코스수당!$K$2),MONTH(설정_코스수당!$K$2)+1,0)),DATE(YEAR(설정_코스수당!$K$2),MONTH(설정_코스수당!$K$2),7),"")</f>
        <v>46180</v>
      </c>
      <c r="B329" s="23" t="s">
        <v>173</v>
      </c>
      <c r="C329" s="29"/>
      <c r="D329" s="29"/>
      <c r="E329" s="29" t="str">
        <f t="shared" si="43"/>
        <v/>
      </c>
      <c r="F329" s="29">
        <f>COUNTIFS(실시간콜입력!$B:$B,$A329,실시간콜입력!$E:$E,"A",실시간콜입력!$G:$G,$B329,실시간콜입력!$O:$O,"방문완료")+COUNTIFS(실시간콜입력!$B:$B,$A329,실시간콜입력!$E:$E,"A",실시간콜입력!$H:$H,$B329,실시간콜입력!$O:$O,"방문완료")</f>
        <v>0</v>
      </c>
      <c r="G329" s="29">
        <f>COUNTIFS(실시간콜입력!$B:$B,$A329,실시간콜입력!$E:$E,"B",실시간콜입력!$G:$G,$B329,실시간콜입력!$O:$O,"방문완료")+COUNTIFS(실시간콜입력!$B:$B,$A329,실시간콜입력!$E:$E,"B",실시간콜입력!$H:$H,$B329,실시간콜입력!$O:$O,"방문완료")</f>
        <v>0</v>
      </c>
      <c r="H329" s="29">
        <f>COUNTIFS(실시간콜입력!$B:$B,$A329,실시간콜입력!$E:$E,"C",실시간콜입력!$G:$G,$B329,실시간콜입력!$O:$O,"방문완료")+COUNTIFS(실시간콜입력!$B:$B,$A329,실시간콜입력!$E:$E,"C",실시간콜입력!$H:$H,$B329,실시간콜입력!$O:$O,"방문완료")</f>
        <v>0</v>
      </c>
      <c r="I329" s="29">
        <f>COUNTIFS(실시간콜입력!$B:$B,$A329,실시간콜입력!$E:$E,"D",실시간콜입력!$G:$G,$B329,실시간콜입력!$O:$O,"방문완료")+COUNTIFS(실시간콜입력!$B:$B,$A329,실시간콜입력!$E:$E,"D",실시간콜입력!$H:$H,$B329,실시간콜입력!$O:$O,"방문완료")</f>
        <v>0</v>
      </c>
      <c r="J329" s="29">
        <f>COUNTIFS(실시간콜입력!$B:$B,$A329,실시간콜입력!$E:$E,"E",실시간콜입력!$G:$G,$B329,실시간콜입력!$O:$O,"방문완료")+COUNTIFS(실시간콜입력!$B:$B,$A329,실시간콜입력!$E:$E,"E",실시간콜입력!$H:$H,$B329,실시간콜입력!$O:$O,"방문완료")</f>
        <v>0</v>
      </c>
      <c r="K329" s="29">
        <f t="shared" si="44"/>
        <v>0</v>
      </c>
      <c r="L329" s="27">
        <f>SUMIFS(실시간콜입력!$K:$K,실시간콜입력!$B:$B,$A329,실시간콜입력!$G:$G,$B329,실시간콜입력!$O:$O,"방문완료")+SUMIFS(실시간콜입력!$L:$L,실시간콜입력!$B:$B,$A329,실시간콜입력!$H:$H,$B329,실시간콜입력!$O:$O,"방문완료")</f>
        <v>0</v>
      </c>
      <c r="M329" s="29" t="str">
        <f t="shared" si="45"/>
        <v/>
      </c>
      <c r="N329" s="29"/>
    </row>
    <row r="330" spans="1:14" ht="19.5" hidden="1" customHeight="1" outlineLevel="1">
      <c r="A330" s="30">
        <f>IF(7&lt;=DAY(DATE(YEAR(설정_코스수당!$K$2),MONTH(설정_코스수당!$K$2)+1,0)),DATE(YEAR(설정_코스수당!$K$2),MONTH(설정_코스수당!$K$2),7),"")</f>
        <v>46180</v>
      </c>
      <c r="B330" s="29" t="s">
        <v>174</v>
      </c>
      <c r="C330" s="29"/>
      <c r="D330" s="29"/>
      <c r="E330" s="29" t="str">
        <f t="shared" si="43"/>
        <v/>
      </c>
      <c r="F330" s="29">
        <f>COUNTIFS(실시간콜입력!$B:$B,$A330,실시간콜입력!$E:$E,"A",실시간콜입력!$G:$G,$B330,실시간콜입력!$O:$O,"방문완료")+COUNTIFS(실시간콜입력!$B:$B,$A330,실시간콜입력!$E:$E,"A",실시간콜입력!$H:$H,$B330,실시간콜입력!$O:$O,"방문완료")</f>
        <v>0</v>
      </c>
      <c r="G330" s="29">
        <f>COUNTIFS(실시간콜입력!$B:$B,$A330,실시간콜입력!$E:$E,"B",실시간콜입력!$G:$G,$B330,실시간콜입력!$O:$O,"방문완료")+COUNTIFS(실시간콜입력!$B:$B,$A330,실시간콜입력!$E:$E,"B",실시간콜입력!$H:$H,$B330,실시간콜입력!$O:$O,"방문완료")</f>
        <v>0</v>
      </c>
      <c r="H330" s="29">
        <f>COUNTIFS(실시간콜입력!$B:$B,$A330,실시간콜입력!$E:$E,"C",실시간콜입력!$G:$G,$B330,실시간콜입력!$O:$O,"방문완료")+COUNTIFS(실시간콜입력!$B:$B,$A330,실시간콜입력!$E:$E,"C",실시간콜입력!$H:$H,$B330,실시간콜입력!$O:$O,"방문완료")</f>
        <v>0</v>
      </c>
      <c r="I330" s="29">
        <f>COUNTIFS(실시간콜입력!$B:$B,$A330,실시간콜입력!$E:$E,"D",실시간콜입력!$G:$G,$B330,실시간콜입력!$O:$O,"방문완료")+COUNTIFS(실시간콜입력!$B:$B,$A330,실시간콜입력!$E:$E,"D",실시간콜입력!$H:$H,$B330,실시간콜입력!$O:$O,"방문완료")</f>
        <v>0</v>
      </c>
      <c r="J330" s="29">
        <f>COUNTIFS(실시간콜입력!$B:$B,$A330,실시간콜입력!$E:$E,"E",실시간콜입력!$G:$G,$B330,실시간콜입력!$O:$O,"방문완료")+COUNTIFS(실시간콜입력!$B:$B,$A330,실시간콜입력!$E:$E,"E",실시간콜입력!$H:$H,$B330,실시간콜입력!$O:$O,"방문완료")</f>
        <v>0</v>
      </c>
      <c r="K330" s="29">
        <f t="shared" si="44"/>
        <v>0</v>
      </c>
      <c r="L330" s="33">
        <f>SUMIFS(실시간콜입력!$K:$K,실시간콜입력!$B:$B,$A330,실시간콜입력!$G:$G,$B330,실시간콜입력!$O:$O,"방문완료")+SUMIFS(실시간콜입력!$L:$L,실시간콜입력!$B:$B,$A330,실시간콜입력!$H:$H,$B330,실시간콜입력!$O:$O,"방문완료")</f>
        <v>0</v>
      </c>
      <c r="M330" s="29" t="str">
        <f t="shared" si="45"/>
        <v/>
      </c>
      <c r="N330" s="29"/>
    </row>
    <row r="331" spans="1:14" ht="19.5" hidden="1" customHeight="1" outlineLevel="1">
      <c r="A331" s="24">
        <f>IF(7&lt;=DAY(DATE(YEAR(설정_코스수당!$K$2),MONTH(설정_코스수당!$K$2)+1,0)),DATE(YEAR(설정_코스수당!$K$2),MONTH(설정_코스수당!$K$2),7),"")</f>
        <v>46180</v>
      </c>
      <c r="B331" s="23" t="s">
        <v>175</v>
      </c>
      <c r="C331" s="29"/>
      <c r="D331" s="29"/>
      <c r="E331" s="29" t="str">
        <f t="shared" si="43"/>
        <v/>
      </c>
      <c r="F331" s="29">
        <f>COUNTIFS(실시간콜입력!$B:$B,$A331,실시간콜입력!$E:$E,"A",실시간콜입력!$G:$G,$B331,실시간콜입력!$O:$O,"방문완료")+COUNTIFS(실시간콜입력!$B:$B,$A331,실시간콜입력!$E:$E,"A",실시간콜입력!$H:$H,$B331,실시간콜입력!$O:$O,"방문완료")</f>
        <v>0</v>
      </c>
      <c r="G331" s="29">
        <f>COUNTIFS(실시간콜입력!$B:$B,$A331,실시간콜입력!$E:$E,"B",실시간콜입력!$G:$G,$B331,실시간콜입력!$O:$O,"방문완료")+COUNTIFS(실시간콜입력!$B:$B,$A331,실시간콜입력!$E:$E,"B",실시간콜입력!$H:$H,$B331,실시간콜입력!$O:$O,"방문완료")</f>
        <v>0</v>
      </c>
      <c r="H331" s="29">
        <f>COUNTIFS(실시간콜입력!$B:$B,$A331,실시간콜입력!$E:$E,"C",실시간콜입력!$G:$G,$B331,실시간콜입력!$O:$O,"방문완료")+COUNTIFS(실시간콜입력!$B:$B,$A331,실시간콜입력!$E:$E,"C",실시간콜입력!$H:$H,$B331,실시간콜입력!$O:$O,"방문완료")</f>
        <v>0</v>
      </c>
      <c r="I331" s="29">
        <f>COUNTIFS(실시간콜입력!$B:$B,$A331,실시간콜입력!$E:$E,"D",실시간콜입력!$G:$G,$B331,실시간콜입력!$O:$O,"방문완료")+COUNTIFS(실시간콜입력!$B:$B,$A331,실시간콜입력!$E:$E,"D",실시간콜입력!$H:$H,$B331,실시간콜입력!$O:$O,"방문완료")</f>
        <v>0</v>
      </c>
      <c r="J331" s="29">
        <f>COUNTIFS(실시간콜입력!$B:$B,$A331,실시간콜입력!$E:$E,"E",실시간콜입력!$G:$G,$B331,실시간콜입력!$O:$O,"방문완료")+COUNTIFS(실시간콜입력!$B:$B,$A331,실시간콜입력!$E:$E,"E",실시간콜입력!$H:$H,$B331,실시간콜입력!$O:$O,"방문완료")</f>
        <v>0</v>
      </c>
      <c r="K331" s="29">
        <f t="shared" si="44"/>
        <v>0</v>
      </c>
      <c r="L331" s="27">
        <f>SUMIFS(실시간콜입력!$K:$K,실시간콜입력!$B:$B,$A331,실시간콜입력!$G:$G,$B331,실시간콜입력!$O:$O,"방문완료")+SUMIFS(실시간콜입력!$L:$L,실시간콜입력!$B:$B,$A331,실시간콜입력!$H:$H,$B331,실시간콜입력!$O:$O,"방문완료")</f>
        <v>0</v>
      </c>
      <c r="M331" s="29" t="str">
        <f t="shared" si="45"/>
        <v/>
      </c>
      <c r="N331" s="29"/>
    </row>
    <row r="332" spans="1:14" ht="19.5" hidden="1" customHeight="1" outlineLevel="1">
      <c r="A332" s="30">
        <f>IF(7&lt;=DAY(DATE(YEAR(설정_코스수당!$K$2),MONTH(설정_코스수당!$K$2)+1,0)),DATE(YEAR(설정_코스수당!$K$2),MONTH(설정_코스수당!$K$2),7),"")</f>
        <v>46180</v>
      </c>
      <c r="B332" s="29" t="s">
        <v>176</v>
      </c>
      <c r="C332" s="29"/>
      <c r="D332" s="29"/>
      <c r="E332" s="29" t="str">
        <f t="shared" si="43"/>
        <v/>
      </c>
      <c r="F332" s="29">
        <f>COUNTIFS(실시간콜입력!$B:$B,$A332,실시간콜입력!$E:$E,"A",실시간콜입력!$G:$G,$B332,실시간콜입력!$O:$O,"방문완료")+COUNTIFS(실시간콜입력!$B:$B,$A332,실시간콜입력!$E:$E,"A",실시간콜입력!$H:$H,$B332,실시간콜입력!$O:$O,"방문완료")</f>
        <v>0</v>
      </c>
      <c r="G332" s="29">
        <f>COUNTIFS(실시간콜입력!$B:$B,$A332,실시간콜입력!$E:$E,"B",실시간콜입력!$G:$G,$B332,실시간콜입력!$O:$O,"방문완료")+COUNTIFS(실시간콜입력!$B:$B,$A332,실시간콜입력!$E:$E,"B",실시간콜입력!$H:$H,$B332,실시간콜입력!$O:$O,"방문완료")</f>
        <v>0</v>
      </c>
      <c r="H332" s="29">
        <f>COUNTIFS(실시간콜입력!$B:$B,$A332,실시간콜입력!$E:$E,"C",실시간콜입력!$G:$G,$B332,실시간콜입력!$O:$O,"방문완료")+COUNTIFS(실시간콜입력!$B:$B,$A332,실시간콜입력!$E:$E,"C",실시간콜입력!$H:$H,$B332,실시간콜입력!$O:$O,"방문완료")</f>
        <v>0</v>
      </c>
      <c r="I332" s="29">
        <f>COUNTIFS(실시간콜입력!$B:$B,$A332,실시간콜입력!$E:$E,"D",실시간콜입력!$G:$G,$B332,실시간콜입력!$O:$O,"방문완료")+COUNTIFS(실시간콜입력!$B:$B,$A332,실시간콜입력!$E:$E,"D",실시간콜입력!$H:$H,$B332,실시간콜입력!$O:$O,"방문완료")</f>
        <v>0</v>
      </c>
      <c r="J332" s="29">
        <f>COUNTIFS(실시간콜입력!$B:$B,$A332,실시간콜입력!$E:$E,"E",실시간콜입력!$G:$G,$B332,실시간콜입력!$O:$O,"방문완료")+COUNTIFS(실시간콜입력!$B:$B,$A332,실시간콜입력!$E:$E,"E",실시간콜입력!$H:$H,$B332,실시간콜입력!$O:$O,"방문완료")</f>
        <v>0</v>
      </c>
      <c r="K332" s="29">
        <f t="shared" si="44"/>
        <v>0</v>
      </c>
      <c r="L332" s="33">
        <f>SUMIFS(실시간콜입력!$K:$K,실시간콜입력!$B:$B,$A332,실시간콜입력!$G:$G,$B332,실시간콜입력!$O:$O,"방문완료")+SUMIFS(실시간콜입력!$L:$L,실시간콜입력!$B:$B,$A332,실시간콜입력!$H:$H,$B332,실시간콜입력!$O:$O,"방문완료")</f>
        <v>0</v>
      </c>
      <c r="M332" s="29" t="str">
        <f t="shared" si="45"/>
        <v/>
      </c>
      <c r="N332" s="29"/>
    </row>
    <row r="333" spans="1:14" ht="19.5" hidden="1" customHeight="1" outlineLevel="1">
      <c r="A333" s="24">
        <f>IF(7&lt;=DAY(DATE(YEAR(설정_코스수당!$K$2),MONTH(설정_코스수당!$K$2)+1,0)),DATE(YEAR(설정_코스수당!$K$2),MONTH(설정_코스수당!$K$2),7),"")</f>
        <v>46180</v>
      </c>
      <c r="B333" s="23" t="s">
        <v>177</v>
      </c>
      <c r="C333" s="29"/>
      <c r="D333" s="29"/>
      <c r="E333" s="29" t="str">
        <f t="shared" si="43"/>
        <v/>
      </c>
      <c r="F333" s="29">
        <f>COUNTIFS(실시간콜입력!$B:$B,$A333,실시간콜입력!$E:$E,"A",실시간콜입력!$G:$G,$B333,실시간콜입력!$O:$O,"방문완료")+COUNTIFS(실시간콜입력!$B:$B,$A333,실시간콜입력!$E:$E,"A",실시간콜입력!$H:$H,$B333,실시간콜입력!$O:$O,"방문완료")</f>
        <v>0</v>
      </c>
      <c r="G333" s="29">
        <f>COUNTIFS(실시간콜입력!$B:$B,$A333,실시간콜입력!$E:$E,"B",실시간콜입력!$G:$G,$B333,실시간콜입력!$O:$O,"방문완료")+COUNTIFS(실시간콜입력!$B:$B,$A333,실시간콜입력!$E:$E,"B",실시간콜입력!$H:$H,$B333,실시간콜입력!$O:$O,"방문완료")</f>
        <v>0</v>
      </c>
      <c r="H333" s="29">
        <f>COUNTIFS(실시간콜입력!$B:$B,$A333,실시간콜입력!$E:$E,"C",실시간콜입력!$G:$G,$B333,실시간콜입력!$O:$O,"방문완료")+COUNTIFS(실시간콜입력!$B:$B,$A333,실시간콜입력!$E:$E,"C",실시간콜입력!$H:$H,$B333,실시간콜입력!$O:$O,"방문완료")</f>
        <v>0</v>
      </c>
      <c r="I333" s="29">
        <f>COUNTIFS(실시간콜입력!$B:$B,$A333,실시간콜입력!$E:$E,"D",실시간콜입력!$G:$G,$B333,실시간콜입력!$O:$O,"방문완료")+COUNTIFS(실시간콜입력!$B:$B,$A333,실시간콜입력!$E:$E,"D",실시간콜입력!$H:$H,$B333,실시간콜입력!$O:$O,"방문완료")</f>
        <v>0</v>
      </c>
      <c r="J333" s="29">
        <f>COUNTIFS(실시간콜입력!$B:$B,$A333,실시간콜입력!$E:$E,"E",실시간콜입력!$G:$G,$B333,실시간콜입력!$O:$O,"방문완료")+COUNTIFS(실시간콜입력!$B:$B,$A333,실시간콜입력!$E:$E,"E",실시간콜입력!$H:$H,$B333,실시간콜입력!$O:$O,"방문완료")</f>
        <v>0</v>
      </c>
      <c r="K333" s="29">
        <f t="shared" si="44"/>
        <v>0</v>
      </c>
      <c r="L333" s="27">
        <f>SUMIFS(실시간콜입력!$K:$K,실시간콜입력!$B:$B,$A333,실시간콜입력!$G:$G,$B333,실시간콜입력!$O:$O,"방문완료")+SUMIFS(실시간콜입력!$L:$L,실시간콜입력!$B:$B,$A333,실시간콜입력!$H:$H,$B333,실시간콜입력!$O:$O,"방문완료")</f>
        <v>0</v>
      </c>
      <c r="M333" s="29" t="str">
        <f t="shared" si="45"/>
        <v/>
      </c>
      <c r="N333" s="29"/>
    </row>
    <row r="334" spans="1:14" ht="19.5" hidden="1" customHeight="1" outlineLevel="1">
      <c r="A334" s="30">
        <f>IF(7&lt;=DAY(DATE(YEAR(설정_코스수당!$K$2),MONTH(설정_코스수당!$K$2)+1,0)),DATE(YEAR(설정_코스수당!$K$2),MONTH(설정_코스수당!$K$2),7),"")</f>
        <v>46180</v>
      </c>
      <c r="B334" s="29" t="s">
        <v>178</v>
      </c>
      <c r="C334" s="29"/>
      <c r="D334" s="29"/>
      <c r="E334" s="29" t="str">
        <f t="shared" si="43"/>
        <v/>
      </c>
      <c r="F334" s="29">
        <f>COUNTIFS(실시간콜입력!$B:$B,$A334,실시간콜입력!$E:$E,"A",실시간콜입력!$G:$G,$B334,실시간콜입력!$O:$O,"방문완료")+COUNTIFS(실시간콜입력!$B:$B,$A334,실시간콜입력!$E:$E,"A",실시간콜입력!$H:$H,$B334,실시간콜입력!$O:$O,"방문완료")</f>
        <v>0</v>
      </c>
      <c r="G334" s="29">
        <f>COUNTIFS(실시간콜입력!$B:$B,$A334,실시간콜입력!$E:$E,"B",실시간콜입력!$G:$G,$B334,실시간콜입력!$O:$O,"방문완료")+COUNTIFS(실시간콜입력!$B:$B,$A334,실시간콜입력!$E:$E,"B",실시간콜입력!$H:$H,$B334,실시간콜입력!$O:$O,"방문완료")</f>
        <v>0</v>
      </c>
      <c r="H334" s="29">
        <f>COUNTIFS(실시간콜입력!$B:$B,$A334,실시간콜입력!$E:$E,"C",실시간콜입력!$G:$G,$B334,실시간콜입력!$O:$O,"방문완료")+COUNTIFS(실시간콜입력!$B:$B,$A334,실시간콜입력!$E:$E,"C",실시간콜입력!$H:$H,$B334,실시간콜입력!$O:$O,"방문완료")</f>
        <v>0</v>
      </c>
      <c r="I334" s="29">
        <f>COUNTIFS(실시간콜입력!$B:$B,$A334,실시간콜입력!$E:$E,"D",실시간콜입력!$G:$G,$B334,실시간콜입력!$O:$O,"방문완료")+COUNTIFS(실시간콜입력!$B:$B,$A334,실시간콜입력!$E:$E,"D",실시간콜입력!$H:$H,$B334,실시간콜입력!$O:$O,"방문완료")</f>
        <v>0</v>
      </c>
      <c r="J334" s="29">
        <f>COUNTIFS(실시간콜입력!$B:$B,$A334,실시간콜입력!$E:$E,"E",실시간콜입력!$G:$G,$B334,실시간콜입력!$O:$O,"방문완료")+COUNTIFS(실시간콜입력!$B:$B,$A334,실시간콜입력!$E:$E,"E",실시간콜입력!$H:$H,$B334,실시간콜입력!$O:$O,"방문완료")</f>
        <v>0</v>
      </c>
      <c r="K334" s="29">
        <f t="shared" si="44"/>
        <v>0</v>
      </c>
      <c r="L334" s="33">
        <f>SUMIFS(실시간콜입력!$K:$K,실시간콜입력!$B:$B,$A334,실시간콜입력!$G:$G,$B334,실시간콜입력!$O:$O,"방문완료")+SUMIFS(실시간콜입력!$L:$L,실시간콜입력!$B:$B,$A334,실시간콜입력!$H:$H,$B334,실시간콜입력!$O:$O,"방문완료")</f>
        <v>0</v>
      </c>
      <c r="M334" s="29" t="str">
        <f t="shared" si="45"/>
        <v/>
      </c>
      <c r="N334" s="29"/>
    </row>
    <row r="335" spans="1:14" ht="19.5" hidden="1" customHeight="1" outlineLevel="1">
      <c r="A335" s="24">
        <f>IF(7&lt;=DAY(DATE(YEAR(설정_코스수당!$K$2),MONTH(설정_코스수당!$K$2)+1,0)),DATE(YEAR(설정_코스수당!$K$2),MONTH(설정_코스수당!$K$2),7),"")</f>
        <v>46180</v>
      </c>
      <c r="B335" s="23" t="s">
        <v>179</v>
      </c>
      <c r="C335" s="29"/>
      <c r="D335" s="29"/>
      <c r="E335" s="29" t="str">
        <f t="shared" si="43"/>
        <v/>
      </c>
      <c r="F335" s="29">
        <f>COUNTIFS(실시간콜입력!$B:$B,$A335,실시간콜입력!$E:$E,"A",실시간콜입력!$G:$G,$B335,실시간콜입력!$O:$O,"방문완료")+COUNTIFS(실시간콜입력!$B:$B,$A335,실시간콜입력!$E:$E,"A",실시간콜입력!$H:$H,$B335,실시간콜입력!$O:$O,"방문완료")</f>
        <v>0</v>
      </c>
      <c r="G335" s="29">
        <f>COUNTIFS(실시간콜입력!$B:$B,$A335,실시간콜입력!$E:$E,"B",실시간콜입력!$G:$G,$B335,실시간콜입력!$O:$O,"방문완료")+COUNTIFS(실시간콜입력!$B:$B,$A335,실시간콜입력!$E:$E,"B",실시간콜입력!$H:$H,$B335,실시간콜입력!$O:$O,"방문완료")</f>
        <v>0</v>
      </c>
      <c r="H335" s="29">
        <f>COUNTIFS(실시간콜입력!$B:$B,$A335,실시간콜입력!$E:$E,"C",실시간콜입력!$G:$G,$B335,실시간콜입력!$O:$O,"방문완료")+COUNTIFS(실시간콜입력!$B:$B,$A335,실시간콜입력!$E:$E,"C",실시간콜입력!$H:$H,$B335,실시간콜입력!$O:$O,"방문완료")</f>
        <v>0</v>
      </c>
      <c r="I335" s="29">
        <f>COUNTIFS(실시간콜입력!$B:$B,$A335,실시간콜입력!$E:$E,"D",실시간콜입력!$G:$G,$B335,실시간콜입력!$O:$O,"방문완료")+COUNTIFS(실시간콜입력!$B:$B,$A335,실시간콜입력!$E:$E,"D",실시간콜입력!$H:$H,$B335,실시간콜입력!$O:$O,"방문완료")</f>
        <v>0</v>
      </c>
      <c r="J335" s="29">
        <f>COUNTIFS(실시간콜입력!$B:$B,$A335,실시간콜입력!$E:$E,"E",실시간콜입력!$G:$G,$B335,실시간콜입력!$O:$O,"방문완료")+COUNTIFS(실시간콜입력!$B:$B,$A335,실시간콜입력!$E:$E,"E",실시간콜입력!$H:$H,$B335,실시간콜입력!$O:$O,"방문완료")</f>
        <v>0</v>
      </c>
      <c r="K335" s="29">
        <f t="shared" si="44"/>
        <v>0</v>
      </c>
      <c r="L335" s="27">
        <f>SUMIFS(실시간콜입력!$K:$K,실시간콜입력!$B:$B,$A335,실시간콜입력!$G:$G,$B335,실시간콜입력!$O:$O,"방문완료")+SUMIFS(실시간콜입력!$L:$L,실시간콜입력!$B:$B,$A335,실시간콜입력!$H:$H,$B335,실시간콜입력!$O:$O,"방문완료")</f>
        <v>0</v>
      </c>
      <c r="M335" s="29" t="str">
        <f t="shared" si="45"/>
        <v/>
      </c>
      <c r="N335" s="29"/>
    </row>
    <row r="336" spans="1:14" ht="19.5" hidden="1" customHeight="1" outlineLevel="1">
      <c r="A336" s="30">
        <f>IF(7&lt;=DAY(DATE(YEAR(설정_코스수당!$K$2),MONTH(설정_코스수당!$K$2)+1,0)),DATE(YEAR(설정_코스수당!$K$2),MONTH(설정_코스수당!$K$2),7),"")</f>
        <v>46180</v>
      </c>
      <c r="B336" s="29" t="s">
        <v>180</v>
      </c>
      <c r="C336" s="29"/>
      <c r="D336" s="29"/>
      <c r="E336" s="29" t="str">
        <f t="shared" si="43"/>
        <v/>
      </c>
      <c r="F336" s="29">
        <f>COUNTIFS(실시간콜입력!$B:$B,$A336,실시간콜입력!$E:$E,"A",실시간콜입력!$G:$G,$B336,실시간콜입력!$O:$O,"방문완료")+COUNTIFS(실시간콜입력!$B:$B,$A336,실시간콜입력!$E:$E,"A",실시간콜입력!$H:$H,$B336,실시간콜입력!$O:$O,"방문완료")</f>
        <v>0</v>
      </c>
      <c r="G336" s="29">
        <f>COUNTIFS(실시간콜입력!$B:$B,$A336,실시간콜입력!$E:$E,"B",실시간콜입력!$G:$G,$B336,실시간콜입력!$O:$O,"방문완료")+COUNTIFS(실시간콜입력!$B:$B,$A336,실시간콜입력!$E:$E,"B",실시간콜입력!$H:$H,$B336,실시간콜입력!$O:$O,"방문완료")</f>
        <v>0</v>
      </c>
      <c r="H336" s="29">
        <f>COUNTIFS(실시간콜입력!$B:$B,$A336,실시간콜입력!$E:$E,"C",실시간콜입력!$G:$G,$B336,실시간콜입력!$O:$O,"방문완료")+COUNTIFS(실시간콜입력!$B:$B,$A336,실시간콜입력!$E:$E,"C",실시간콜입력!$H:$H,$B336,실시간콜입력!$O:$O,"방문완료")</f>
        <v>0</v>
      </c>
      <c r="I336" s="29">
        <f>COUNTIFS(실시간콜입력!$B:$B,$A336,실시간콜입력!$E:$E,"D",실시간콜입력!$G:$G,$B336,실시간콜입력!$O:$O,"방문완료")+COUNTIFS(실시간콜입력!$B:$B,$A336,실시간콜입력!$E:$E,"D",실시간콜입력!$H:$H,$B336,실시간콜입력!$O:$O,"방문완료")</f>
        <v>0</v>
      </c>
      <c r="J336" s="29">
        <f>COUNTIFS(실시간콜입력!$B:$B,$A336,실시간콜입력!$E:$E,"E",실시간콜입력!$G:$G,$B336,실시간콜입력!$O:$O,"방문완료")+COUNTIFS(실시간콜입력!$B:$B,$A336,실시간콜입력!$E:$E,"E",실시간콜입력!$H:$H,$B336,실시간콜입력!$O:$O,"방문완료")</f>
        <v>0</v>
      </c>
      <c r="K336" s="29">
        <f t="shared" si="44"/>
        <v>0</v>
      </c>
      <c r="L336" s="33">
        <f>SUMIFS(실시간콜입력!$K:$K,실시간콜입력!$B:$B,$A336,실시간콜입력!$G:$G,$B336,실시간콜입력!$O:$O,"방문완료")+SUMIFS(실시간콜입력!$L:$L,실시간콜입력!$B:$B,$A336,실시간콜입력!$H:$H,$B336,실시간콜입력!$O:$O,"방문완료")</f>
        <v>0</v>
      </c>
      <c r="M336" s="29" t="str">
        <f t="shared" si="45"/>
        <v/>
      </c>
      <c r="N336" s="29"/>
    </row>
    <row r="337" spans="1:14" ht="19.5" hidden="1" customHeight="1" outlineLevel="1">
      <c r="A337" s="24">
        <f>IF(7&lt;=DAY(DATE(YEAR(설정_코스수당!$K$2),MONTH(설정_코스수당!$K$2)+1,0)),DATE(YEAR(설정_코스수당!$K$2),MONTH(설정_코스수당!$K$2),7),"")</f>
        <v>46180</v>
      </c>
      <c r="B337" s="23" t="s">
        <v>181</v>
      </c>
      <c r="C337" s="29"/>
      <c r="D337" s="29"/>
      <c r="E337" s="29" t="str">
        <f t="shared" si="43"/>
        <v/>
      </c>
      <c r="F337" s="29">
        <f>COUNTIFS(실시간콜입력!$B:$B,$A337,실시간콜입력!$E:$E,"A",실시간콜입력!$G:$G,$B337,실시간콜입력!$O:$O,"방문완료")+COUNTIFS(실시간콜입력!$B:$B,$A337,실시간콜입력!$E:$E,"A",실시간콜입력!$H:$H,$B337,실시간콜입력!$O:$O,"방문완료")</f>
        <v>0</v>
      </c>
      <c r="G337" s="29">
        <f>COUNTIFS(실시간콜입력!$B:$B,$A337,실시간콜입력!$E:$E,"B",실시간콜입력!$G:$G,$B337,실시간콜입력!$O:$O,"방문완료")+COUNTIFS(실시간콜입력!$B:$B,$A337,실시간콜입력!$E:$E,"B",실시간콜입력!$H:$H,$B337,실시간콜입력!$O:$O,"방문완료")</f>
        <v>0</v>
      </c>
      <c r="H337" s="29">
        <f>COUNTIFS(실시간콜입력!$B:$B,$A337,실시간콜입력!$E:$E,"C",실시간콜입력!$G:$G,$B337,실시간콜입력!$O:$O,"방문완료")+COUNTIFS(실시간콜입력!$B:$B,$A337,실시간콜입력!$E:$E,"C",실시간콜입력!$H:$H,$B337,실시간콜입력!$O:$O,"방문완료")</f>
        <v>0</v>
      </c>
      <c r="I337" s="29">
        <f>COUNTIFS(실시간콜입력!$B:$B,$A337,실시간콜입력!$E:$E,"D",실시간콜입력!$G:$G,$B337,실시간콜입력!$O:$O,"방문완료")+COUNTIFS(실시간콜입력!$B:$B,$A337,실시간콜입력!$E:$E,"D",실시간콜입력!$H:$H,$B337,실시간콜입력!$O:$O,"방문완료")</f>
        <v>0</v>
      </c>
      <c r="J337" s="29">
        <f>COUNTIFS(실시간콜입력!$B:$B,$A337,실시간콜입력!$E:$E,"E",실시간콜입력!$G:$G,$B337,실시간콜입력!$O:$O,"방문완료")+COUNTIFS(실시간콜입력!$B:$B,$A337,실시간콜입력!$E:$E,"E",실시간콜입력!$H:$H,$B337,실시간콜입력!$O:$O,"방문완료")</f>
        <v>0</v>
      </c>
      <c r="K337" s="29">
        <f t="shared" si="44"/>
        <v>0</v>
      </c>
      <c r="L337" s="27">
        <f>SUMIFS(실시간콜입력!$K:$K,실시간콜입력!$B:$B,$A337,실시간콜입력!$G:$G,$B337,실시간콜입력!$O:$O,"방문완료")+SUMIFS(실시간콜입력!$L:$L,실시간콜입력!$B:$B,$A337,실시간콜입력!$H:$H,$B337,실시간콜입력!$O:$O,"방문완료")</f>
        <v>0</v>
      </c>
      <c r="M337" s="29" t="str">
        <f t="shared" si="45"/>
        <v/>
      </c>
      <c r="N337" s="29"/>
    </row>
    <row r="338" spans="1:14" ht="19.5" hidden="1" customHeight="1" outlineLevel="1">
      <c r="A338" s="30">
        <f>IF(7&lt;=DAY(DATE(YEAR(설정_코스수당!$K$2),MONTH(설정_코스수당!$K$2)+1,0)),DATE(YEAR(설정_코스수당!$K$2),MONTH(설정_코스수당!$K$2),7),"")</f>
        <v>46180</v>
      </c>
      <c r="B338" s="29" t="s">
        <v>182</v>
      </c>
      <c r="C338" s="29"/>
      <c r="D338" s="29"/>
      <c r="E338" s="29" t="str">
        <f t="shared" si="43"/>
        <v/>
      </c>
      <c r="F338" s="29">
        <f>COUNTIFS(실시간콜입력!$B:$B,$A338,실시간콜입력!$E:$E,"A",실시간콜입력!$G:$G,$B338,실시간콜입력!$O:$O,"방문완료")+COUNTIFS(실시간콜입력!$B:$B,$A338,실시간콜입력!$E:$E,"A",실시간콜입력!$H:$H,$B338,실시간콜입력!$O:$O,"방문완료")</f>
        <v>0</v>
      </c>
      <c r="G338" s="29">
        <f>COUNTIFS(실시간콜입력!$B:$B,$A338,실시간콜입력!$E:$E,"B",실시간콜입력!$G:$G,$B338,실시간콜입력!$O:$O,"방문완료")+COUNTIFS(실시간콜입력!$B:$B,$A338,실시간콜입력!$E:$E,"B",실시간콜입력!$H:$H,$B338,실시간콜입력!$O:$O,"방문완료")</f>
        <v>0</v>
      </c>
      <c r="H338" s="29">
        <f>COUNTIFS(실시간콜입력!$B:$B,$A338,실시간콜입력!$E:$E,"C",실시간콜입력!$G:$G,$B338,실시간콜입력!$O:$O,"방문완료")+COUNTIFS(실시간콜입력!$B:$B,$A338,실시간콜입력!$E:$E,"C",실시간콜입력!$H:$H,$B338,실시간콜입력!$O:$O,"방문완료")</f>
        <v>0</v>
      </c>
      <c r="I338" s="29">
        <f>COUNTIFS(실시간콜입력!$B:$B,$A338,실시간콜입력!$E:$E,"D",실시간콜입력!$G:$G,$B338,실시간콜입력!$O:$O,"방문완료")+COUNTIFS(실시간콜입력!$B:$B,$A338,실시간콜입력!$E:$E,"D",실시간콜입력!$H:$H,$B338,실시간콜입력!$O:$O,"방문완료")</f>
        <v>0</v>
      </c>
      <c r="J338" s="29">
        <f>COUNTIFS(실시간콜입력!$B:$B,$A338,실시간콜입력!$E:$E,"E",실시간콜입력!$G:$G,$B338,실시간콜입력!$O:$O,"방문완료")+COUNTIFS(실시간콜입력!$B:$B,$A338,실시간콜입력!$E:$E,"E",실시간콜입력!$H:$H,$B338,실시간콜입력!$O:$O,"방문완료")</f>
        <v>0</v>
      </c>
      <c r="K338" s="29">
        <f t="shared" si="44"/>
        <v>0</v>
      </c>
      <c r="L338" s="33">
        <f>SUMIFS(실시간콜입력!$K:$K,실시간콜입력!$B:$B,$A338,실시간콜입력!$G:$G,$B338,실시간콜입력!$O:$O,"방문완료")+SUMIFS(실시간콜입력!$L:$L,실시간콜입력!$B:$B,$A338,실시간콜입력!$H:$H,$B338,실시간콜입력!$O:$O,"방문완료")</f>
        <v>0</v>
      </c>
      <c r="M338" s="29" t="str">
        <f t="shared" si="45"/>
        <v/>
      </c>
      <c r="N338" s="29"/>
    </row>
    <row r="339" spans="1:14" ht="19.5" hidden="1" customHeight="1" outlineLevel="1">
      <c r="A339" s="24">
        <f>IF(7&lt;=DAY(DATE(YEAR(설정_코스수당!$K$2),MONTH(설정_코스수당!$K$2)+1,0)),DATE(YEAR(설정_코스수당!$K$2),MONTH(설정_코스수당!$K$2),7),"")</f>
        <v>46180</v>
      </c>
      <c r="B339" s="23" t="s">
        <v>183</v>
      </c>
      <c r="C339" s="29"/>
      <c r="D339" s="29"/>
      <c r="E339" s="29" t="str">
        <f t="shared" si="43"/>
        <v/>
      </c>
      <c r="F339" s="29">
        <f>COUNTIFS(실시간콜입력!$B:$B,$A339,실시간콜입력!$E:$E,"A",실시간콜입력!$G:$G,$B339,실시간콜입력!$O:$O,"방문완료")+COUNTIFS(실시간콜입력!$B:$B,$A339,실시간콜입력!$E:$E,"A",실시간콜입력!$H:$H,$B339,실시간콜입력!$O:$O,"방문완료")</f>
        <v>0</v>
      </c>
      <c r="G339" s="29">
        <f>COUNTIFS(실시간콜입력!$B:$B,$A339,실시간콜입력!$E:$E,"B",실시간콜입력!$G:$G,$B339,실시간콜입력!$O:$O,"방문완료")+COUNTIFS(실시간콜입력!$B:$B,$A339,실시간콜입력!$E:$E,"B",실시간콜입력!$H:$H,$B339,실시간콜입력!$O:$O,"방문완료")</f>
        <v>0</v>
      </c>
      <c r="H339" s="29">
        <f>COUNTIFS(실시간콜입력!$B:$B,$A339,실시간콜입력!$E:$E,"C",실시간콜입력!$G:$G,$B339,실시간콜입력!$O:$O,"방문완료")+COUNTIFS(실시간콜입력!$B:$B,$A339,실시간콜입력!$E:$E,"C",실시간콜입력!$H:$H,$B339,실시간콜입력!$O:$O,"방문완료")</f>
        <v>0</v>
      </c>
      <c r="I339" s="29">
        <f>COUNTIFS(실시간콜입력!$B:$B,$A339,실시간콜입력!$E:$E,"D",실시간콜입력!$G:$G,$B339,실시간콜입력!$O:$O,"방문완료")+COUNTIFS(실시간콜입력!$B:$B,$A339,실시간콜입력!$E:$E,"D",실시간콜입력!$H:$H,$B339,실시간콜입력!$O:$O,"방문완료")</f>
        <v>0</v>
      </c>
      <c r="J339" s="29">
        <f>COUNTIFS(실시간콜입력!$B:$B,$A339,실시간콜입력!$E:$E,"E",실시간콜입력!$G:$G,$B339,실시간콜입력!$O:$O,"방문완료")+COUNTIFS(실시간콜입력!$B:$B,$A339,실시간콜입력!$E:$E,"E",실시간콜입력!$H:$H,$B339,실시간콜입력!$O:$O,"방문완료")</f>
        <v>0</v>
      </c>
      <c r="K339" s="29">
        <f t="shared" si="44"/>
        <v>0</v>
      </c>
      <c r="L339" s="27">
        <f>SUMIFS(실시간콜입력!$K:$K,실시간콜입력!$B:$B,$A339,실시간콜입력!$G:$G,$B339,실시간콜입력!$O:$O,"방문완료")+SUMIFS(실시간콜입력!$L:$L,실시간콜입력!$B:$B,$A339,실시간콜입력!$H:$H,$B339,실시간콜입력!$O:$O,"방문완료")</f>
        <v>0</v>
      </c>
      <c r="M339" s="29" t="str">
        <f t="shared" si="45"/>
        <v/>
      </c>
      <c r="N339" s="29"/>
    </row>
    <row r="340" spans="1:14" ht="19.5" hidden="1" customHeight="1" outlineLevel="1">
      <c r="A340" s="30">
        <f>IF(7&lt;=DAY(DATE(YEAR(설정_코스수당!$K$2),MONTH(설정_코스수당!$K$2)+1,0)),DATE(YEAR(설정_코스수당!$K$2),MONTH(설정_코스수당!$K$2),7),"")</f>
        <v>46180</v>
      </c>
      <c r="B340" s="29" t="s">
        <v>184</v>
      </c>
      <c r="C340" s="29"/>
      <c r="D340" s="29"/>
      <c r="E340" s="29" t="str">
        <f t="shared" si="43"/>
        <v/>
      </c>
      <c r="F340" s="29">
        <f>COUNTIFS(실시간콜입력!$B:$B,$A340,실시간콜입력!$E:$E,"A",실시간콜입력!$G:$G,$B340,실시간콜입력!$O:$O,"방문완료")+COUNTIFS(실시간콜입력!$B:$B,$A340,실시간콜입력!$E:$E,"A",실시간콜입력!$H:$H,$B340,실시간콜입력!$O:$O,"방문완료")</f>
        <v>0</v>
      </c>
      <c r="G340" s="29">
        <f>COUNTIFS(실시간콜입력!$B:$B,$A340,실시간콜입력!$E:$E,"B",실시간콜입력!$G:$G,$B340,실시간콜입력!$O:$O,"방문완료")+COUNTIFS(실시간콜입력!$B:$B,$A340,실시간콜입력!$E:$E,"B",실시간콜입력!$H:$H,$B340,실시간콜입력!$O:$O,"방문완료")</f>
        <v>0</v>
      </c>
      <c r="H340" s="29">
        <f>COUNTIFS(실시간콜입력!$B:$B,$A340,실시간콜입력!$E:$E,"C",실시간콜입력!$G:$G,$B340,실시간콜입력!$O:$O,"방문완료")+COUNTIFS(실시간콜입력!$B:$B,$A340,실시간콜입력!$E:$E,"C",실시간콜입력!$H:$H,$B340,실시간콜입력!$O:$O,"방문완료")</f>
        <v>0</v>
      </c>
      <c r="I340" s="29">
        <f>COUNTIFS(실시간콜입력!$B:$B,$A340,실시간콜입력!$E:$E,"D",실시간콜입력!$G:$G,$B340,실시간콜입력!$O:$O,"방문완료")+COUNTIFS(실시간콜입력!$B:$B,$A340,실시간콜입력!$E:$E,"D",실시간콜입력!$H:$H,$B340,실시간콜입력!$O:$O,"방문완료")</f>
        <v>0</v>
      </c>
      <c r="J340" s="29">
        <f>COUNTIFS(실시간콜입력!$B:$B,$A340,실시간콜입력!$E:$E,"E",실시간콜입력!$G:$G,$B340,실시간콜입력!$O:$O,"방문완료")+COUNTIFS(실시간콜입력!$B:$B,$A340,실시간콜입력!$E:$E,"E",실시간콜입력!$H:$H,$B340,실시간콜입력!$O:$O,"방문완료")</f>
        <v>0</v>
      </c>
      <c r="K340" s="29">
        <f t="shared" si="44"/>
        <v>0</v>
      </c>
      <c r="L340" s="33">
        <f>SUMIFS(실시간콜입력!$K:$K,실시간콜입력!$B:$B,$A340,실시간콜입력!$G:$G,$B340,실시간콜입력!$O:$O,"방문완료")+SUMIFS(실시간콜입력!$L:$L,실시간콜입력!$B:$B,$A340,실시간콜입력!$H:$H,$B340,실시간콜입력!$O:$O,"방문완료")</f>
        <v>0</v>
      </c>
      <c r="M340" s="29" t="str">
        <f t="shared" si="45"/>
        <v/>
      </c>
      <c r="N340" s="29"/>
    </row>
    <row r="341" spans="1:14" ht="19.5" hidden="1" customHeight="1" outlineLevel="1">
      <c r="A341" s="24">
        <f>IF(7&lt;=DAY(DATE(YEAR(설정_코스수당!$K$2),MONTH(설정_코스수당!$K$2)+1,0)),DATE(YEAR(설정_코스수당!$K$2),MONTH(설정_코스수당!$K$2),7),"")</f>
        <v>46180</v>
      </c>
      <c r="B341" s="23" t="s">
        <v>185</v>
      </c>
      <c r="C341" s="29"/>
      <c r="D341" s="29"/>
      <c r="E341" s="29" t="str">
        <f t="shared" si="43"/>
        <v/>
      </c>
      <c r="F341" s="29">
        <f>COUNTIFS(실시간콜입력!$B:$B,$A341,실시간콜입력!$E:$E,"A",실시간콜입력!$G:$G,$B341,실시간콜입력!$O:$O,"방문완료")+COUNTIFS(실시간콜입력!$B:$B,$A341,실시간콜입력!$E:$E,"A",실시간콜입력!$H:$H,$B341,실시간콜입력!$O:$O,"방문완료")</f>
        <v>0</v>
      </c>
      <c r="G341" s="29">
        <f>COUNTIFS(실시간콜입력!$B:$B,$A341,실시간콜입력!$E:$E,"B",실시간콜입력!$G:$G,$B341,실시간콜입력!$O:$O,"방문완료")+COUNTIFS(실시간콜입력!$B:$B,$A341,실시간콜입력!$E:$E,"B",실시간콜입력!$H:$H,$B341,실시간콜입력!$O:$O,"방문완료")</f>
        <v>0</v>
      </c>
      <c r="H341" s="29">
        <f>COUNTIFS(실시간콜입력!$B:$B,$A341,실시간콜입력!$E:$E,"C",실시간콜입력!$G:$G,$B341,실시간콜입력!$O:$O,"방문완료")+COUNTIFS(실시간콜입력!$B:$B,$A341,실시간콜입력!$E:$E,"C",실시간콜입력!$H:$H,$B341,실시간콜입력!$O:$O,"방문완료")</f>
        <v>0</v>
      </c>
      <c r="I341" s="29">
        <f>COUNTIFS(실시간콜입력!$B:$B,$A341,실시간콜입력!$E:$E,"D",실시간콜입력!$G:$G,$B341,실시간콜입력!$O:$O,"방문완료")+COUNTIFS(실시간콜입력!$B:$B,$A341,실시간콜입력!$E:$E,"D",실시간콜입력!$H:$H,$B341,실시간콜입력!$O:$O,"방문완료")</f>
        <v>0</v>
      </c>
      <c r="J341" s="29">
        <f>COUNTIFS(실시간콜입력!$B:$B,$A341,실시간콜입력!$E:$E,"E",실시간콜입력!$G:$G,$B341,실시간콜입력!$O:$O,"방문완료")+COUNTIFS(실시간콜입력!$B:$B,$A341,실시간콜입력!$E:$E,"E",실시간콜입력!$H:$H,$B341,실시간콜입력!$O:$O,"방문완료")</f>
        <v>0</v>
      </c>
      <c r="K341" s="29">
        <f t="shared" si="44"/>
        <v>0</v>
      </c>
      <c r="L341" s="27">
        <f>SUMIFS(실시간콜입력!$K:$K,실시간콜입력!$B:$B,$A341,실시간콜입력!$G:$G,$B341,실시간콜입력!$O:$O,"방문완료")+SUMIFS(실시간콜입력!$L:$L,실시간콜입력!$B:$B,$A341,실시간콜입력!$H:$H,$B341,실시간콜입력!$O:$O,"방문완료")</f>
        <v>0</v>
      </c>
      <c r="M341" s="29" t="str">
        <f t="shared" si="45"/>
        <v/>
      </c>
      <c r="N341" s="29"/>
    </row>
    <row r="342" spans="1:14" ht="19.5" hidden="1" customHeight="1" outlineLevel="1">
      <c r="A342" s="30">
        <f>IF(7&lt;=DAY(DATE(YEAR(설정_코스수당!$K$2),MONTH(설정_코스수당!$K$2)+1,0)),DATE(YEAR(설정_코스수당!$K$2),MONTH(설정_코스수당!$K$2),7),"")</f>
        <v>46180</v>
      </c>
      <c r="B342" s="29" t="s">
        <v>186</v>
      </c>
      <c r="C342" s="29"/>
      <c r="D342" s="29"/>
      <c r="E342" s="29" t="str">
        <f t="shared" si="43"/>
        <v/>
      </c>
      <c r="F342" s="29">
        <f>COUNTIFS(실시간콜입력!$B:$B,$A342,실시간콜입력!$E:$E,"A",실시간콜입력!$G:$G,$B342,실시간콜입력!$O:$O,"방문완료")+COUNTIFS(실시간콜입력!$B:$B,$A342,실시간콜입력!$E:$E,"A",실시간콜입력!$H:$H,$B342,실시간콜입력!$O:$O,"방문완료")</f>
        <v>0</v>
      </c>
      <c r="G342" s="29">
        <f>COUNTIFS(실시간콜입력!$B:$B,$A342,실시간콜입력!$E:$E,"B",실시간콜입력!$G:$G,$B342,실시간콜입력!$O:$O,"방문완료")+COUNTIFS(실시간콜입력!$B:$B,$A342,실시간콜입력!$E:$E,"B",실시간콜입력!$H:$H,$B342,실시간콜입력!$O:$O,"방문완료")</f>
        <v>0</v>
      </c>
      <c r="H342" s="29">
        <f>COUNTIFS(실시간콜입력!$B:$B,$A342,실시간콜입력!$E:$E,"C",실시간콜입력!$G:$G,$B342,실시간콜입력!$O:$O,"방문완료")+COUNTIFS(실시간콜입력!$B:$B,$A342,실시간콜입력!$E:$E,"C",실시간콜입력!$H:$H,$B342,실시간콜입력!$O:$O,"방문완료")</f>
        <v>0</v>
      </c>
      <c r="I342" s="29">
        <f>COUNTIFS(실시간콜입력!$B:$B,$A342,실시간콜입력!$E:$E,"D",실시간콜입력!$G:$G,$B342,실시간콜입력!$O:$O,"방문완료")+COUNTIFS(실시간콜입력!$B:$B,$A342,실시간콜입력!$E:$E,"D",실시간콜입력!$H:$H,$B342,실시간콜입력!$O:$O,"방문완료")</f>
        <v>0</v>
      </c>
      <c r="J342" s="29">
        <f>COUNTIFS(실시간콜입력!$B:$B,$A342,실시간콜입력!$E:$E,"E",실시간콜입력!$G:$G,$B342,실시간콜입력!$O:$O,"방문완료")+COUNTIFS(실시간콜입력!$B:$B,$A342,실시간콜입력!$E:$E,"E",실시간콜입력!$H:$H,$B342,실시간콜입력!$O:$O,"방문완료")</f>
        <v>0</v>
      </c>
      <c r="K342" s="29">
        <f t="shared" si="44"/>
        <v>0</v>
      </c>
      <c r="L342" s="33">
        <f>SUMIFS(실시간콜입력!$K:$K,실시간콜입력!$B:$B,$A342,실시간콜입력!$G:$G,$B342,실시간콜입력!$O:$O,"방문완료")+SUMIFS(실시간콜입력!$L:$L,실시간콜입력!$B:$B,$A342,실시간콜입력!$H:$H,$B342,실시간콜입력!$O:$O,"방문완료")</f>
        <v>0</v>
      </c>
      <c r="M342" s="29" t="str">
        <f t="shared" si="45"/>
        <v/>
      </c>
      <c r="N342" s="29"/>
    </row>
    <row r="343" spans="1:14" ht="19.5" hidden="1" customHeight="1" outlineLevel="1">
      <c r="A343" s="24">
        <f>IF(7&lt;=DAY(DATE(YEAR(설정_코스수당!$K$2),MONTH(설정_코스수당!$K$2)+1,0)),DATE(YEAR(설정_코스수당!$K$2),MONTH(설정_코스수당!$K$2),7),"")</f>
        <v>46180</v>
      </c>
      <c r="B343" s="23" t="s">
        <v>187</v>
      </c>
      <c r="C343" s="29"/>
      <c r="D343" s="29"/>
      <c r="E343" s="29" t="str">
        <f t="shared" si="43"/>
        <v/>
      </c>
      <c r="F343" s="29">
        <f>COUNTIFS(실시간콜입력!$B:$B,$A343,실시간콜입력!$E:$E,"A",실시간콜입력!$G:$G,$B343,실시간콜입력!$O:$O,"방문완료")+COUNTIFS(실시간콜입력!$B:$B,$A343,실시간콜입력!$E:$E,"A",실시간콜입력!$H:$H,$B343,실시간콜입력!$O:$O,"방문완료")</f>
        <v>0</v>
      </c>
      <c r="G343" s="29">
        <f>COUNTIFS(실시간콜입력!$B:$B,$A343,실시간콜입력!$E:$E,"B",실시간콜입력!$G:$G,$B343,실시간콜입력!$O:$O,"방문완료")+COUNTIFS(실시간콜입력!$B:$B,$A343,실시간콜입력!$E:$E,"B",실시간콜입력!$H:$H,$B343,실시간콜입력!$O:$O,"방문완료")</f>
        <v>0</v>
      </c>
      <c r="H343" s="29">
        <f>COUNTIFS(실시간콜입력!$B:$B,$A343,실시간콜입력!$E:$E,"C",실시간콜입력!$G:$G,$B343,실시간콜입력!$O:$O,"방문완료")+COUNTIFS(실시간콜입력!$B:$B,$A343,실시간콜입력!$E:$E,"C",실시간콜입력!$H:$H,$B343,실시간콜입력!$O:$O,"방문완료")</f>
        <v>0</v>
      </c>
      <c r="I343" s="29">
        <f>COUNTIFS(실시간콜입력!$B:$B,$A343,실시간콜입력!$E:$E,"D",실시간콜입력!$G:$G,$B343,실시간콜입력!$O:$O,"방문완료")+COUNTIFS(실시간콜입력!$B:$B,$A343,실시간콜입력!$E:$E,"D",실시간콜입력!$H:$H,$B343,실시간콜입력!$O:$O,"방문완료")</f>
        <v>0</v>
      </c>
      <c r="J343" s="29">
        <f>COUNTIFS(실시간콜입력!$B:$B,$A343,실시간콜입력!$E:$E,"E",실시간콜입력!$G:$G,$B343,실시간콜입력!$O:$O,"방문완료")+COUNTIFS(실시간콜입력!$B:$B,$A343,실시간콜입력!$E:$E,"E",실시간콜입력!$H:$H,$B343,실시간콜입력!$O:$O,"방문완료")</f>
        <v>0</v>
      </c>
      <c r="K343" s="29">
        <f t="shared" si="44"/>
        <v>0</v>
      </c>
      <c r="L343" s="27">
        <f>SUMIFS(실시간콜입력!$K:$K,실시간콜입력!$B:$B,$A343,실시간콜입력!$G:$G,$B343,실시간콜입력!$O:$O,"방문완료")+SUMIFS(실시간콜입력!$L:$L,실시간콜입력!$B:$B,$A343,실시간콜입력!$H:$H,$B343,실시간콜입력!$O:$O,"방문완료")</f>
        <v>0</v>
      </c>
      <c r="M343" s="29" t="str">
        <f t="shared" si="45"/>
        <v/>
      </c>
      <c r="N343" s="29"/>
    </row>
    <row r="344" spans="1:14" ht="19.5" hidden="1" customHeight="1" outlineLevel="1">
      <c r="A344" s="30">
        <f>IF(7&lt;=DAY(DATE(YEAR(설정_코스수당!$K$2),MONTH(설정_코스수당!$K$2)+1,0)),DATE(YEAR(설정_코스수당!$K$2),MONTH(설정_코스수당!$K$2),7),"")</f>
        <v>46180</v>
      </c>
      <c r="B344" s="29" t="s">
        <v>188</v>
      </c>
      <c r="C344" s="29"/>
      <c r="D344" s="29"/>
      <c r="E344" s="29" t="str">
        <f t="shared" si="43"/>
        <v/>
      </c>
      <c r="F344" s="29">
        <f>COUNTIFS(실시간콜입력!$B:$B,$A344,실시간콜입력!$E:$E,"A",실시간콜입력!$G:$G,$B344,실시간콜입력!$O:$O,"방문완료")+COUNTIFS(실시간콜입력!$B:$B,$A344,실시간콜입력!$E:$E,"A",실시간콜입력!$H:$H,$B344,실시간콜입력!$O:$O,"방문완료")</f>
        <v>0</v>
      </c>
      <c r="G344" s="29">
        <f>COUNTIFS(실시간콜입력!$B:$B,$A344,실시간콜입력!$E:$E,"B",실시간콜입력!$G:$G,$B344,실시간콜입력!$O:$O,"방문완료")+COUNTIFS(실시간콜입력!$B:$B,$A344,실시간콜입력!$E:$E,"B",실시간콜입력!$H:$H,$B344,실시간콜입력!$O:$O,"방문완료")</f>
        <v>0</v>
      </c>
      <c r="H344" s="29">
        <f>COUNTIFS(실시간콜입력!$B:$B,$A344,실시간콜입력!$E:$E,"C",실시간콜입력!$G:$G,$B344,실시간콜입력!$O:$O,"방문완료")+COUNTIFS(실시간콜입력!$B:$B,$A344,실시간콜입력!$E:$E,"C",실시간콜입력!$H:$H,$B344,실시간콜입력!$O:$O,"방문완료")</f>
        <v>0</v>
      </c>
      <c r="I344" s="29">
        <f>COUNTIFS(실시간콜입력!$B:$B,$A344,실시간콜입력!$E:$E,"D",실시간콜입력!$G:$G,$B344,실시간콜입력!$O:$O,"방문완료")+COUNTIFS(실시간콜입력!$B:$B,$A344,실시간콜입력!$E:$E,"D",실시간콜입력!$H:$H,$B344,실시간콜입력!$O:$O,"방문완료")</f>
        <v>0</v>
      </c>
      <c r="J344" s="29">
        <f>COUNTIFS(실시간콜입력!$B:$B,$A344,실시간콜입력!$E:$E,"E",실시간콜입력!$G:$G,$B344,실시간콜입력!$O:$O,"방문완료")+COUNTIFS(실시간콜입력!$B:$B,$A344,실시간콜입력!$E:$E,"E",실시간콜입력!$H:$H,$B344,실시간콜입력!$O:$O,"방문완료")</f>
        <v>0</v>
      </c>
      <c r="K344" s="29">
        <f t="shared" si="44"/>
        <v>0</v>
      </c>
      <c r="L344" s="33">
        <f>SUMIFS(실시간콜입력!$K:$K,실시간콜입력!$B:$B,$A344,실시간콜입력!$G:$G,$B344,실시간콜입력!$O:$O,"방문완료")+SUMIFS(실시간콜입력!$L:$L,실시간콜입력!$B:$B,$A344,실시간콜입력!$H:$H,$B344,실시간콜입력!$O:$O,"방문완료")</f>
        <v>0</v>
      </c>
      <c r="M344" s="29" t="str">
        <f t="shared" si="45"/>
        <v/>
      </c>
      <c r="N344" s="29"/>
    </row>
    <row r="345" spans="1:14" ht="19.5" hidden="1" customHeight="1" outlineLevel="1">
      <c r="A345" s="24">
        <f>IF(7&lt;=DAY(DATE(YEAR(설정_코스수당!$K$2),MONTH(설정_코스수당!$K$2)+1,0)),DATE(YEAR(설정_코스수당!$K$2),MONTH(설정_코스수당!$K$2),7),"")</f>
        <v>46180</v>
      </c>
      <c r="B345" s="23" t="s">
        <v>189</v>
      </c>
      <c r="C345" s="29"/>
      <c r="D345" s="29"/>
      <c r="E345" s="29" t="str">
        <f t="shared" si="43"/>
        <v/>
      </c>
      <c r="F345" s="29">
        <f>COUNTIFS(실시간콜입력!$B:$B,$A345,실시간콜입력!$E:$E,"A",실시간콜입력!$G:$G,$B345,실시간콜입력!$O:$O,"방문완료")+COUNTIFS(실시간콜입력!$B:$B,$A345,실시간콜입력!$E:$E,"A",실시간콜입력!$H:$H,$B345,실시간콜입력!$O:$O,"방문완료")</f>
        <v>0</v>
      </c>
      <c r="G345" s="29">
        <f>COUNTIFS(실시간콜입력!$B:$B,$A345,실시간콜입력!$E:$E,"B",실시간콜입력!$G:$G,$B345,실시간콜입력!$O:$O,"방문완료")+COUNTIFS(실시간콜입력!$B:$B,$A345,실시간콜입력!$E:$E,"B",실시간콜입력!$H:$H,$B345,실시간콜입력!$O:$O,"방문완료")</f>
        <v>0</v>
      </c>
      <c r="H345" s="29">
        <f>COUNTIFS(실시간콜입력!$B:$B,$A345,실시간콜입력!$E:$E,"C",실시간콜입력!$G:$G,$B345,실시간콜입력!$O:$O,"방문완료")+COUNTIFS(실시간콜입력!$B:$B,$A345,실시간콜입력!$E:$E,"C",실시간콜입력!$H:$H,$B345,실시간콜입력!$O:$O,"방문완료")</f>
        <v>0</v>
      </c>
      <c r="I345" s="29">
        <f>COUNTIFS(실시간콜입력!$B:$B,$A345,실시간콜입력!$E:$E,"D",실시간콜입력!$G:$G,$B345,실시간콜입력!$O:$O,"방문완료")+COUNTIFS(실시간콜입력!$B:$B,$A345,실시간콜입력!$E:$E,"D",실시간콜입력!$H:$H,$B345,실시간콜입력!$O:$O,"방문완료")</f>
        <v>0</v>
      </c>
      <c r="J345" s="29">
        <f>COUNTIFS(실시간콜입력!$B:$B,$A345,실시간콜입력!$E:$E,"E",실시간콜입력!$G:$G,$B345,실시간콜입력!$O:$O,"방문완료")+COUNTIFS(실시간콜입력!$B:$B,$A345,실시간콜입력!$E:$E,"E",실시간콜입력!$H:$H,$B345,실시간콜입력!$O:$O,"방문완료")</f>
        <v>0</v>
      </c>
      <c r="K345" s="29">
        <f t="shared" si="44"/>
        <v>0</v>
      </c>
      <c r="L345" s="27">
        <f>SUMIFS(실시간콜입력!$K:$K,실시간콜입력!$B:$B,$A345,실시간콜입력!$G:$G,$B345,실시간콜입력!$O:$O,"방문완료")+SUMIFS(실시간콜입력!$L:$L,실시간콜입력!$B:$B,$A345,실시간콜입력!$H:$H,$B345,실시간콜입력!$O:$O,"방문완료")</f>
        <v>0</v>
      </c>
      <c r="M345" s="29" t="str">
        <f t="shared" si="45"/>
        <v/>
      </c>
      <c r="N345" s="29"/>
    </row>
    <row r="346" spans="1:14" ht="19.5" hidden="1" customHeight="1" outlineLevel="1">
      <c r="A346" s="30">
        <f>IF(7&lt;=DAY(DATE(YEAR(설정_코스수당!$K$2),MONTH(설정_코스수당!$K$2)+1,0)),DATE(YEAR(설정_코스수당!$K$2),MONTH(설정_코스수당!$K$2),7),"")</f>
        <v>46180</v>
      </c>
      <c r="B346" s="29" t="s">
        <v>190</v>
      </c>
      <c r="C346" s="29"/>
      <c r="D346" s="29"/>
      <c r="E346" s="29" t="str">
        <f t="shared" si="43"/>
        <v/>
      </c>
      <c r="F346" s="29">
        <f>COUNTIFS(실시간콜입력!$B:$B,$A346,실시간콜입력!$E:$E,"A",실시간콜입력!$G:$G,$B346,실시간콜입력!$O:$O,"방문완료")+COUNTIFS(실시간콜입력!$B:$B,$A346,실시간콜입력!$E:$E,"A",실시간콜입력!$H:$H,$B346,실시간콜입력!$O:$O,"방문완료")</f>
        <v>0</v>
      </c>
      <c r="G346" s="29">
        <f>COUNTIFS(실시간콜입력!$B:$B,$A346,실시간콜입력!$E:$E,"B",실시간콜입력!$G:$G,$B346,실시간콜입력!$O:$O,"방문완료")+COUNTIFS(실시간콜입력!$B:$B,$A346,실시간콜입력!$E:$E,"B",실시간콜입력!$H:$H,$B346,실시간콜입력!$O:$O,"방문완료")</f>
        <v>0</v>
      </c>
      <c r="H346" s="29">
        <f>COUNTIFS(실시간콜입력!$B:$B,$A346,실시간콜입력!$E:$E,"C",실시간콜입력!$G:$G,$B346,실시간콜입력!$O:$O,"방문완료")+COUNTIFS(실시간콜입력!$B:$B,$A346,실시간콜입력!$E:$E,"C",실시간콜입력!$H:$H,$B346,실시간콜입력!$O:$O,"방문완료")</f>
        <v>0</v>
      </c>
      <c r="I346" s="29">
        <f>COUNTIFS(실시간콜입력!$B:$B,$A346,실시간콜입력!$E:$E,"D",실시간콜입력!$G:$G,$B346,실시간콜입력!$O:$O,"방문완료")+COUNTIFS(실시간콜입력!$B:$B,$A346,실시간콜입력!$E:$E,"D",실시간콜입력!$H:$H,$B346,실시간콜입력!$O:$O,"방문완료")</f>
        <v>0</v>
      </c>
      <c r="J346" s="29">
        <f>COUNTIFS(실시간콜입력!$B:$B,$A346,실시간콜입력!$E:$E,"E",실시간콜입력!$G:$G,$B346,실시간콜입력!$O:$O,"방문완료")+COUNTIFS(실시간콜입력!$B:$B,$A346,실시간콜입력!$E:$E,"E",실시간콜입력!$H:$H,$B346,실시간콜입력!$O:$O,"방문완료")</f>
        <v>0</v>
      </c>
      <c r="K346" s="29">
        <f t="shared" si="44"/>
        <v>0</v>
      </c>
      <c r="L346" s="33">
        <f>SUMIFS(실시간콜입력!$K:$K,실시간콜입력!$B:$B,$A346,실시간콜입력!$G:$G,$B346,실시간콜입력!$O:$O,"방문완료")+SUMIFS(실시간콜입력!$L:$L,실시간콜입력!$B:$B,$A346,실시간콜입력!$H:$H,$B346,실시간콜입력!$O:$O,"방문완료")</f>
        <v>0</v>
      </c>
      <c r="M346" s="29" t="str">
        <f t="shared" si="45"/>
        <v/>
      </c>
      <c r="N346" s="29"/>
    </row>
    <row r="347" spans="1:14" ht="19.5" hidden="1" customHeight="1" outlineLevel="1">
      <c r="A347" s="24">
        <f>IF(7&lt;=DAY(DATE(YEAR(설정_코스수당!$K$2),MONTH(설정_코스수당!$K$2)+1,0)),DATE(YEAR(설정_코스수당!$K$2),MONTH(설정_코스수당!$K$2),7),"")</f>
        <v>46180</v>
      </c>
      <c r="B347" s="23" t="s">
        <v>191</v>
      </c>
      <c r="C347" s="29"/>
      <c r="D347" s="29"/>
      <c r="E347" s="29" t="str">
        <f t="shared" si="43"/>
        <v/>
      </c>
      <c r="F347" s="29">
        <f>COUNTIFS(실시간콜입력!$B:$B,$A347,실시간콜입력!$E:$E,"A",실시간콜입력!$G:$G,$B347,실시간콜입력!$O:$O,"방문완료")+COUNTIFS(실시간콜입력!$B:$B,$A347,실시간콜입력!$E:$E,"A",실시간콜입력!$H:$H,$B347,실시간콜입력!$O:$O,"방문완료")</f>
        <v>0</v>
      </c>
      <c r="G347" s="29">
        <f>COUNTIFS(실시간콜입력!$B:$B,$A347,실시간콜입력!$E:$E,"B",실시간콜입력!$G:$G,$B347,실시간콜입력!$O:$O,"방문완료")+COUNTIFS(실시간콜입력!$B:$B,$A347,실시간콜입력!$E:$E,"B",실시간콜입력!$H:$H,$B347,실시간콜입력!$O:$O,"방문완료")</f>
        <v>0</v>
      </c>
      <c r="H347" s="29">
        <f>COUNTIFS(실시간콜입력!$B:$B,$A347,실시간콜입력!$E:$E,"C",실시간콜입력!$G:$G,$B347,실시간콜입력!$O:$O,"방문완료")+COUNTIFS(실시간콜입력!$B:$B,$A347,실시간콜입력!$E:$E,"C",실시간콜입력!$H:$H,$B347,실시간콜입력!$O:$O,"방문완료")</f>
        <v>0</v>
      </c>
      <c r="I347" s="29">
        <f>COUNTIFS(실시간콜입력!$B:$B,$A347,실시간콜입력!$E:$E,"D",실시간콜입력!$G:$G,$B347,실시간콜입력!$O:$O,"방문완료")+COUNTIFS(실시간콜입력!$B:$B,$A347,실시간콜입력!$E:$E,"D",실시간콜입력!$H:$H,$B347,실시간콜입력!$O:$O,"방문완료")</f>
        <v>0</v>
      </c>
      <c r="J347" s="29">
        <f>COUNTIFS(실시간콜입력!$B:$B,$A347,실시간콜입력!$E:$E,"E",실시간콜입력!$G:$G,$B347,실시간콜입력!$O:$O,"방문완료")+COUNTIFS(실시간콜입력!$B:$B,$A347,실시간콜입력!$E:$E,"E",실시간콜입력!$H:$H,$B347,실시간콜입력!$O:$O,"방문완료")</f>
        <v>0</v>
      </c>
      <c r="K347" s="29">
        <f t="shared" si="44"/>
        <v>0</v>
      </c>
      <c r="L347" s="27">
        <f>SUMIFS(실시간콜입력!$K:$K,실시간콜입력!$B:$B,$A347,실시간콜입력!$G:$G,$B347,실시간콜입력!$O:$O,"방문완료")+SUMIFS(실시간콜입력!$L:$L,실시간콜입력!$B:$B,$A347,실시간콜입력!$H:$H,$B347,실시간콜입력!$O:$O,"방문완료")</f>
        <v>0</v>
      </c>
      <c r="M347" s="29" t="str">
        <f t="shared" si="45"/>
        <v/>
      </c>
      <c r="N347" s="29"/>
    </row>
    <row r="348" spans="1:14" ht="19.5" hidden="1" customHeight="1" outlineLevel="1">
      <c r="A348" s="30">
        <f>IF(7&lt;=DAY(DATE(YEAR(설정_코스수당!$K$2),MONTH(설정_코스수당!$K$2)+1,0)),DATE(YEAR(설정_코스수당!$K$2),MONTH(설정_코스수당!$K$2),7),"")</f>
        <v>46180</v>
      </c>
      <c r="B348" s="29" t="s">
        <v>192</v>
      </c>
      <c r="C348" s="29"/>
      <c r="D348" s="29"/>
      <c r="E348" s="29" t="str">
        <f t="shared" si="43"/>
        <v/>
      </c>
      <c r="F348" s="29">
        <f>COUNTIFS(실시간콜입력!$B:$B,$A348,실시간콜입력!$E:$E,"A",실시간콜입력!$G:$G,$B348,실시간콜입력!$O:$O,"방문완료")+COUNTIFS(실시간콜입력!$B:$B,$A348,실시간콜입력!$E:$E,"A",실시간콜입력!$H:$H,$B348,실시간콜입력!$O:$O,"방문완료")</f>
        <v>0</v>
      </c>
      <c r="G348" s="29">
        <f>COUNTIFS(실시간콜입력!$B:$B,$A348,실시간콜입력!$E:$E,"B",실시간콜입력!$G:$G,$B348,실시간콜입력!$O:$O,"방문완료")+COUNTIFS(실시간콜입력!$B:$B,$A348,실시간콜입력!$E:$E,"B",실시간콜입력!$H:$H,$B348,실시간콜입력!$O:$O,"방문완료")</f>
        <v>0</v>
      </c>
      <c r="H348" s="29">
        <f>COUNTIFS(실시간콜입력!$B:$B,$A348,실시간콜입력!$E:$E,"C",실시간콜입력!$G:$G,$B348,실시간콜입력!$O:$O,"방문완료")+COUNTIFS(실시간콜입력!$B:$B,$A348,실시간콜입력!$E:$E,"C",실시간콜입력!$H:$H,$B348,실시간콜입력!$O:$O,"방문완료")</f>
        <v>0</v>
      </c>
      <c r="I348" s="29">
        <f>COUNTIFS(실시간콜입력!$B:$B,$A348,실시간콜입력!$E:$E,"D",실시간콜입력!$G:$G,$B348,실시간콜입력!$O:$O,"방문완료")+COUNTIFS(실시간콜입력!$B:$B,$A348,실시간콜입력!$E:$E,"D",실시간콜입력!$H:$H,$B348,실시간콜입력!$O:$O,"방문완료")</f>
        <v>0</v>
      </c>
      <c r="J348" s="29">
        <f>COUNTIFS(실시간콜입력!$B:$B,$A348,실시간콜입력!$E:$E,"E",실시간콜입력!$G:$G,$B348,실시간콜입력!$O:$O,"방문완료")+COUNTIFS(실시간콜입력!$B:$B,$A348,실시간콜입력!$E:$E,"E",실시간콜입력!$H:$H,$B348,실시간콜입력!$O:$O,"방문완료")</f>
        <v>0</v>
      </c>
      <c r="K348" s="29">
        <f t="shared" si="44"/>
        <v>0</v>
      </c>
      <c r="L348" s="33">
        <f>SUMIFS(실시간콜입력!$K:$K,실시간콜입력!$B:$B,$A348,실시간콜입력!$G:$G,$B348,실시간콜입력!$O:$O,"방문완료")+SUMIFS(실시간콜입력!$L:$L,실시간콜입력!$B:$B,$A348,실시간콜입력!$H:$H,$B348,실시간콜입력!$O:$O,"방문완료")</f>
        <v>0</v>
      </c>
      <c r="M348" s="29" t="str">
        <f t="shared" si="45"/>
        <v/>
      </c>
      <c r="N348" s="29"/>
    </row>
    <row r="349" spans="1:14" ht="19.5" hidden="1" customHeight="1" outlineLevel="1">
      <c r="A349" s="24">
        <f>IF(7&lt;=DAY(DATE(YEAR(설정_코스수당!$K$2),MONTH(설정_코스수당!$K$2)+1,0)),DATE(YEAR(설정_코스수당!$K$2),MONTH(설정_코스수당!$K$2),7),"")</f>
        <v>46180</v>
      </c>
      <c r="B349" s="23" t="s">
        <v>193</v>
      </c>
      <c r="C349" s="29"/>
      <c r="D349" s="29"/>
      <c r="E349" s="29" t="str">
        <f t="shared" si="43"/>
        <v/>
      </c>
      <c r="F349" s="29">
        <f>COUNTIFS(실시간콜입력!$B:$B,$A349,실시간콜입력!$E:$E,"A",실시간콜입력!$G:$G,$B349,실시간콜입력!$O:$O,"방문완료")+COUNTIFS(실시간콜입력!$B:$B,$A349,실시간콜입력!$E:$E,"A",실시간콜입력!$H:$H,$B349,실시간콜입력!$O:$O,"방문완료")</f>
        <v>0</v>
      </c>
      <c r="G349" s="29">
        <f>COUNTIFS(실시간콜입력!$B:$B,$A349,실시간콜입력!$E:$E,"B",실시간콜입력!$G:$G,$B349,실시간콜입력!$O:$O,"방문완료")+COUNTIFS(실시간콜입력!$B:$B,$A349,실시간콜입력!$E:$E,"B",실시간콜입력!$H:$H,$B349,실시간콜입력!$O:$O,"방문완료")</f>
        <v>0</v>
      </c>
      <c r="H349" s="29">
        <f>COUNTIFS(실시간콜입력!$B:$B,$A349,실시간콜입력!$E:$E,"C",실시간콜입력!$G:$G,$B349,실시간콜입력!$O:$O,"방문완료")+COUNTIFS(실시간콜입력!$B:$B,$A349,실시간콜입력!$E:$E,"C",실시간콜입력!$H:$H,$B349,실시간콜입력!$O:$O,"방문완료")</f>
        <v>0</v>
      </c>
      <c r="I349" s="29">
        <f>COUNTIFS(실시간콜입력!$B:$B,$A349,실시간콜입력!$E:$E,"D",실시간콜입력!$G:$G,$B349,실시간콜입력!$O:$O,"방문완료")+COUNTIFS(실시간콜입력!$B:$B,$A349,실시간콜입력!$E:$E,"D",실시간콜입력!$H:$H,$B349,실시간콜입력!$O:$O,"방문완료")</f>
        <v>0</v>
      </c>
      <c r="J349" s="29">
        <f>COUNTIFS(실시간콜입력!$B:$B,$A349,실시간콜입력!$E:$E,"E",실시간콜입력!$G:$G,$B349,실시간콜입력!$O:$O,"방문완료")+COUNTIFS(실시간콜입력!$B:$B,$A349,실시간콜입력!$E:$E,"E",실시간콜입력!$H:$H,$B349,실시간콜입력!$O:$O,"방문완료")</f>
        <v>0</v>
      </c>
      <c r="K349" s="29">
        <f t="shared" si="44"/>
        <v>0</v>
      </c>
      <c r="L349" s="27">
        <f>SUMIFS(실시간콜입력!$K:$K,실시간콜입력!$B:$B,$A349,실시간콜입력!$G:$G,$B349,실시간콜입력!$O:$O,"방문완료")+SUMIFS(실시간콜입력!$L:$L,실시간콜입력!$B:$B,$A349,실시간콜입력!$H:$H,$B349,실시간콜입력!$O:$O,"방문완료")</f>
        <v>0</v>
      </c>
      <c r="M349" s="29" t="str">
        <f t="shared" si="45"/>
        <v/>
      </c>
      <c r="N349" s="29"/>
    </row>
    <row r="350" spans="1:14" ht="19.5" hidden="1" customHeight="1" outlineLevel="1">
      <c r="A350" s="30">
        <f>IF(7&lt;=DAY(DATE(YEAR(설정_코스수당!$K$2),MONTH(설정_코스수당!$K$2)+1,0)),DATE(YEAR(설정_코스수당!$K$2),MONTH(설정_코스수당!$K$2),7),"")</f>
        <v>46180</v>
      </c>
      <c r="B350" s="29" t="s">
        <v>194</v>
      </c>
      <c r="C350" s="29"/>
      <c r="D350" s="29"/>
      <c r="E350" s="29" t="str">
        <f t="shared" si="43"/>
        <v/>
      </c>
      <c r="F350" s="29">
        <f>COUNTIFS(실시간콜입력!$B:$B,$A350,실시간콜입력!$E:$E,"A",실시간콜입력!$G:$G,$B350,실시간콜입력!$O:$O,"방문완료")+COUNTIFS(실시간콜입력!$B:$B,$A350,실시간콜입력!$E:$E,"A",실시간콜입력!$H:$H,$B350,실시간콜입력!$O:$O,"방문완료")</f>
        <v>0</v>
      </c>
      <c r="G350" s="29">
        <f>COUNTIFS(실시간콜입력!$B:$B,$A350,실시간콜입력!$E:$E,"B",실시간콜입력!$G:$G,$B350,실시간콜입력!$O:$O,"방문완료")+COUNTIFS(실시간콜입력!$B:$B,$A350,실시간콜입력!$E:$E,"B",실시간콜입력!$H:$H,$B350,실시간콜입력!$O:$O,"방문완료")</f>
        <v>0</v>
      </c>
      <c r="H350" s="29">
        <f>COUNTIFS(실시간콜입력!$B:$B,$A350,실시간콜입력!$E:$E,"C",실시간콜입력!$G:$G,$B350,실시간콜입력!$O:$O,"방문완료")+COUNTIFS(실시간콜입력!$B:$B,$A350,실시간콜입력!$E:$E,"C",실시간콜입력!$H:$H,$B350,실시간콜입력!$O:$O,"방문완료")</f>
        <v>0</v>
      </c>
      <c r="I350" s="29">
        <f>COUNTIFS(실시간콜입력!$B:$B,$A350,실시간콜입력!$E:$E,"D",실시간콜입력!$G:$G,$B350,실시간콜입력!$O:$O,"방문완료")+COUNTIFS(실시간콜입력!$B:$B,$A350,실시간콜입력!$E:$E,"D",실시간콜입력!$H:$H,$B350,실시간콜입력!$O:$O,"방문완료")</f>
        <v>0</v>
      </c>
      <c r="J350" s="29">
        <f>COUNTIFS(실시간콜입력!$B:$B,$A350,실시간콜입력!$E:$E,"E",실시간콜입력!$G:$G,$B350,실시간콜입력!$O:$O,"방문완료")+COUNTIFS(실시간콜입력!$B:$B,$A350,실시간콜입력!$E:$E,"E",실시간콜입력!$H:$H,$B350,실시간콜입력!$O:$O,"방문완료")</f>
        <v>0</v>
      </c>
      <c r="K350" s="29">
        <f t="shared" si="44"/>
        <v>0</v>
      </c>
      <c r="L350" s="33">
        <f>SUMIFS(실시간콜입력!$K:$K,실시간콜입력!$B:$B,$A350,실시간콜입력!$G:$G,$B350,실시간콜입력!$O:$O,"방문완료")+SUMIFS(실시간콜입력!$L:$L,실시간콜입력!$B:$B,$A350,실시간콜입력!$H:$H,$B350,실시간콜입력!$O:$O,"방문완료")</f>
        <v>0</v>
      </c>
      <c r="M350" s="29" t="str">
        <f t="shared" si="45"/>
        <v/>
      </c>
      <c r="N350" s="29"/>
    </row>
    <row r="351" spans="1:14" ht="19.5" hidden="1" customHeight="1" outlineLevel="1">
      <c r="A351" s="24">
        <f>IF(7&lt;=DAY(DATE(YEAR(설정_코스수당!$K$2),MONTH(설정_코스수당!$K$2)+1,0)),DATE(YEAR(설정_코스수당!$K$2),MONTH(설정_코스수당!$K$2),7),"")</f>
        <v>46180</v>
      </c>
      <c r="B351" s="23" t="s">
        <v>195</v>
      </c>
      <c r="C351" s="29"/>
      <c r="D351" s="29"/>
      <c r="E351" s="29" t="str">
        <f t="shared" ref="E351:E382" si="46">IF(AND(C351&lt;&gt;"",D351&lt;&gt;""),IF(D351&lt;C351,D351+1-C351,D351-C351)*24,"")</f>
        <v/>
      </c>
      <c r="F351" s="29">
        <f>COUNTIFS(실시간콜입력!$B:$B,$A351,실시간콜입력!$E:$E,"A",실시간콜입력!$G:$G,$B351,실시간콜입력!$O:$O,"방문완료")+COUNTIFS(실시간콜입력!$B:$B,$A351,실시간콜입력!$E:$E,"A",실시간콜입력!$H:$H,$B351,실시간콜입력!$O:$O,"방문완료")</f>
        <v>0</v>
      </c>
      <c r="G351" s="29">
        <f>COUNTIFS(실시간콜입력!$B:$B,$A351,실시간콜입력!$E:$E,"B",실시간콜입력!$G:$G,$B351,실시간콜입력!$O:$O,"방문완료")+COUNTIFS(실시간콜입력!$B:$B,$A351,실시간콜입력!$E:$E,"B",실시간콜입력!$H:$H,$B351,실시간콜입력!$O:$O,"방문완료")</f>
        <v>0</v>
      </c>
      <c r="H351" s="29">
        <f>COUNTIFS(실시간콜입력!$B:$B,$A351,실시간콜입력!$E:$E,"C",실시간콜입력!$G:$G,$B351,실시간콜입력!$O:$O,"방문완료")+COUNTIFS(실시간콜입력!$B:$B,$A351,실시간콜입력!$E:$E,"C",실시간콜입력!$H:$H,$B351,실시간콜입력!$O:$O,"방문완료")</f>
        <v>0</v>
      </c>
      <c r="I351" s="29">
        <f>COUNTIFS(실시간콜입력!$B:$B,$A351,실시간콜입력!$E:$E,"D",실시간콜입력!$G:$G,$B351,실시간콜입력!$O:$O,"방문완료")+COUNTIFS(실시간콜입력!$B:$B,$A351,실시간콜입력!$E:$E,"D",실시간콜입력!$H:$H,$B351,실시간콜입력!$O:$O,"방문완료")</f>
        <v>0</v>
      </c>
      <c r="J351" s="29">
        <f>COUNTIFS(실시간콜입력!$B:$B,$A351,실시간콜입력!$E:$E,"E",실시간콜입력!$G:$G,$B351,실시간콜입력!$O:$O,"방문완료")+COUNTIFS(실시간콜입력!$B:$B,$A351,실시간콜입력!$E:$E,"E",실시간콜입력!$H:$H,$B351,실시간콜입력!$O:$O,"방문완료")</f>
        <v>0</v>
      </c>
      <c r="K351" s="29">
        <f t="shared" ref="K351:K382" si="47">SUM(F351:J351)</f>
        <v>0</v>
      </c>
      <c r="L351" s="27">
        <f>SUMIFS(실시간콜입력!$K:$K,실시간콜입력!$B:$B,$A351,실시간콜입력!$G:$G,$B351,실시간콜입력!$O:$O,"방문완료")+SUMIFS(실시간콜입력!$L:$L,실시간콜입력!$B:$B,$A351,실시간콜입력!$H:$H,$B351,실시간콜입력!$O:$O,"방문완료")</f>
        <v>0</v>
      </c>
      <c r="M351" s="29" t="str">
        <f t="shared" ref="M351:M368" si="48">IF(AND(ISNUMBER(E351),E351&gt;=8),"인정","")</f>
        <v/>
      </c>
      <c r="N351" s="29"/>
    </row>
    <row r="352" spans="1:14" ht="19.5" hidden="1" customHeight="1" outlineLevel="1">
      <c r="A352" s="30">
        <f>IF(7&lt;=DAY(DATE(YEAR(설정_코스수당!$K$2),MONTH(설정_코스수당!$K$2)+1,0)),DATE(YEAR(설정_코스수당!$K$2),MONTH(설정_코스수당!$K$2),7),"")</f>
        <v>46180</v>
      </c>
      <c r="B352" s="29" t="s">
        <v>196</v>
      </c>
      <c r="C352" s="29"/>
      <c r="D352" s="29"/>
      <c r="E352" s="29" t="str">
        <f t="shared" si="46"/>
        <v/>
      </c>
      <c r="F352" s="29">
        <f>COUNTIFS(실시간콜입력!$B:$B,$A352,실시간콜입력!$E:$E,"A",실시간콜입력!$G:$G,$B352,실시간콜입력!$O:$O,"방문완료")+COUNTIFS(실시간콜입력!$B:$B,$A352,실시간콜입력!$E:$E,"A",실시간콜입력!$H:$H,$B352,실시간콜입력!$O:$O,"방문완료")</f>
        <v>0</v>
      </c>
      <c r="G352" s="29">
        <f>COUNTIFS(실시간콜입력!$B:$B,$A352,실시간콜입력!$E:$E,"B",실시간콜입력!$G:$G,$B352,실시간콜입력!$O:$O,"방문완료")+COUNTIFS(실시간콜입력!$B:$B,$A352,실시간콜입력!$E:$E,"B",실시간콜입력!$H:$H,$B352,실시간콜입력!$O:$O,"방문완료")</f>
        <v>0</v>
      </c>
      <c r="H352" s="29">
        <f>COUNTIFS(실시간콜입력!$B:$B,$A352,실시간콜입력!$E:$E,"C",실시간콜입력!$G:$G,$B352,실시간콜입력!$O:$O,"방문완료")+COUNTIFS(실시간콜입력!$B:$B,$A352,실시간콜입력!$E:$E,"C",실시간콜입력!$H:$H,$B352,실시간콜입력!$O:$O,"방문완료")</f>
        <v>0</v>
      </c>
      <c r="I352" s="29">
        <f>COUNTIFS(실시간콜입력!$B:$B,$A352,실시간콜입력!$E:$E,"D",실시간콜입력!$G:$G,$B352,실시간콜입력!$O:$O,"방문완료")+COUNTIFS(실시간콜입력!$B:$B,$A352,실시간콜입력!$E:$E,"D",실시간콜입력!$H:$H,$B352,실시간콜입력!$O:$O,"방문완료")</f>
        <v>0</v>
      </c>
      <c r="J352" s="29">
        <f>COUNTIFS(실시간콜입력!$B:$B,$A352,실시간콜입력!$E:$E,"E",실시간콜입력!$G:$G,$B352,실시간콜입력!$O:$O,"방문완료")+COUNTIFS(실시간콜입력!$B:$B,$A352,실시간콜입력!$E:$E,"E",실시간콜입력!$H:$H,$B352,실시간콜입력!$O:$O,"방문완료")</f>
        <v>0</v>
      </c>
      <c r="K352" s="29">
        <f t="shared" si="47"/>
        <v>0</v>
      </c>
      <c r="L352" s="33">
        <f>SUMIFS(실시간콜입력!$K:$K,실시간콜입력!$B:$B,$A352,실시간콜입력!$G:$G,$B352,실시간콜입력!$O:$O,"방문완료")+SUMIFS(실시간콜입력!$L:$L,실시간콜입력!$B:$B,$A352,실시간콜입력!$H:$H,$B352,실시간콜입력!$O:$O,"방문완료")</f>
        <v>0</v>
      </c>
      <c r="M352" s="29" t="str">
        <f t="shared" si="48"/>
        <v/>
      </c>
      <c r="N352" s="29"/>
    </row>
    <row r="353" spans="1:14" ht="19.5" hidden="1" customHeight="1" outlineLevel="1">
      <c r="A353" s="24">
        <f>IF(7&lt;=DAY(DATE(YEAR(설정_코스수당!$K$2),MONTH(설정_코스수당!$K$2)+1,0)),DATE(YEAR(설정_코스수당!$K$2),MONTH(설정_코스수당!$K$2),7),"")</f>
        <v>46180</v>
      </c>
      <c r="B353" s="23" t="s">
        <v>197</v>
      </c>
      <c r="C353" s="29"/>
      <c r="D353" s="29"/>
      <c r="E353" s="29" t="str">
        <f t="shared" si="46"/>
        <v/>
      </c>
      <c r="F353" s="29">
        <f>COUNTIFS(실시간콜입력!$B:$B,$A353,실시간콜입력!$E:$E,"A",실시간콜입력!$G:$G,$B353,실시간콜입력!$O:$O,"방문완료")+COUNTIFS(실시간콜입력!$B:$B,$A353,실시간콜입력!$E:$E,"A",실시간콜입력!$H:$H,$B353,실시간콜입력!$O:$O,"방문완료")</f>
        <v>0</v>
      </c>
      <c r="G353" s="29">
        <f>COUNTIFS(실시간콜입력!$B:$B,$A353,실시간콜입력!$E:$E,"B",실시간콜입력!$G:$G,$B353,실시간콜입력!$O:$O,"방문완료")+COUNTIFS(실시간콜입력!$B:$B,$A353,실시간콜입력!$E:$E,"B",실시간콜입력!$H:$H,$B353,실시간콜입력!$O:$O,"방문완료")</f>
        <v>0</v>
      </c>
      <c r="H353" s="29">
        <f>COUNTIFS(실시간콜입력!$B:$B,$A353,실시간콜입력!$E:$E,"C",실시간콜입력!$G:$G,$B353,실시간콜입력!$O:$O,"방문완료")+COUNTIFS(실시간콜입력!$B:$B,$A353,실시간콜입력!$E:$E,"C",실시간콜입력!$H:$H,$B353,실시간콜입력!$O:$O,"방문완료")</f>
        <v>0</v>
      </c>
      <c r="I353" s="29">
        <f>COUNTIFS(실시간콜입력!$B:$B,$A353,실시간콜입력!$E:$E,"D",실시간콜입력!$G:$G,$B353,실시간콜입력!$O:$O,"방문완료")+COUNTIFS(실시간콜입력!$B:$B,$A353,실시간콜입력!$E:$E,"D",실시간콜입력!$H:$H,$B353,실시간콜입력!$O:$O,"방문완료")</f>
        <v>0</v>
      </c>
      <c r="J353" s="29">
        <f>COUNTIFS(실시간콜입력!$B:$B,$A353,실시간콜입력!$E:$E,"E",실시간콜입력!$G:$G,$B353,실시간콜입력!$O:$O,"방문완료")+COUNTIFS(실시간콜입력!$B:$B,$A353,실시간콜입력!$E:$E,"E",실시간콜입력!$H:$H,$B353,실시간콜입력!$O:$O,"방문완료")</f>
        <v>0</v>
      </c>
      <c r="K353" s="29">
        <f t="shared" si="47"/>
        <v>0</v>
      </c>
      <c r="L353" s="27">
        <f>SUMIFS(실시간콜입력!$K:$K,실시간콜입력!$B:$B,$A353,실시간콜입력!$G:$G,$B353,실시간콜입력!$O:$O,"방문완료")+SUMIFS(실시간콜입력!$L:$L,실시간콜입력!$B:$B,$A353,실시간콜입력!$H:$H,$B353,실시간콜입력!$O:$O,"방문완료")</f>
        <v>0</v>
      </c>
      <c r="M353" s="29" t="str">
        <f t="shared" si="48"/>
        <v/>
      </c>
      <c r="N353" s="29"/>
    </row>
    <row r="354" spans="1:14" ht="19.5" hidden="1" customHeight="1" outlineLevel="1">
      <c r="A354" s="30">
        <f>IF(7&lt;=DAY(DATE(YEAR(설정_코스수당!$K$2),MONTH(설정_코스수당!$K$2)+1,0)),DATE(YEAR(설정_코스수당!$K$2),MONTH(설정_코스수당!$K$2),7),"")</f>
        <v>46180</v>
      </c>
      <c r="B354" s="29" t="s">
        <v>198</v>
      </c>
      <c r="C354" s="29"/>
      <c r="D354" s="29"/>
      <c r="E354" s="29" t="str">
        <f t="shared" si="46"/>
        <v/>
      </c>
      <c r="F354" s="29">
        <f>COUNTIFS(실시간콜입력!$B:$B,$A354,실시간콜입력!$E:$E,"A",실시간콜입력!$G:$G,$B354,실시간콜입력!$O:$O,"방문완료")+COUNTIFS(실시간콜입력!$B:$B,$A354,실시간콜입력!$E:$E,"A",실시간콜입력!$H:$H,$B354,실시간콜입력!$O:$O,"방문완료")</f>
        <v>0</v>
      </c>
      <c r="G354" s="29">
        <f>COUNTIFS(실시간콜입력!$B:$B,$A354,실시간콜입력!$E:$E,"B",실시간콜입력!$G:$G,$B354,실시간콜입력!$O:$O,"방문완료")+COUNTIFS(실시간콜입력!$B:$B,$A354,실시간콜입력!$E:$E,"B",실시간콜입력!$H:$H,$B354,실시간콜입력!$O:$O,"방문완료")</f>
        <v>0</v>
      </c>
      <c r="H354" s="29">
        <f>COUNTIFS(실시간콜입력!$B:$B,$A354,실시간콜입력!$E:$E,"C",실시간콜입력!$G:$G,$B354,실시간콜입력!$O:$O,"방문완료")+COUNTIFS(실시간콜입력!$B:$B,$A354,실시간콜입력!$E:$E,"C",실시간콜입력!$H:$H,$B354,실시간콜입력!$O:$O,"방문완료")</f>
        <v>0</v>
      </c>
      <c r="I354" s="29">
        <f>COUNTIFS(실시간콜입력!$B:$B,$A354,실시간콜입력!$E:$E,"D",실시간콜입력!$G:$G,$B354,실시간콜입력!$O:$O,"방문완료")+COUNTIFS(실시간콜입력!$B:$B,$A354,실시간콜입력!$E:$E,"D",실시간콜입력!$H:$H,$B354,실시간콜입력!$O:$O,"방문완료")</f>
        <v>0</v>
      </c>
      <c r="J354" s="29">
        <f>COUNTIFS(실시간콜입력!$B:$B,$A354,실시간콜입력!$E:$E,"E",실시간콜입력!$G:$G,$B354,실시간콜입력!$O:$O,"방문완료")+COUNTIFS(실시간콜입력!$B:$B,$A354,실시간콜입력!$E:$E,"E",실시간콜입력!$H:$H,$B354,실시간콜입력!$O:$O,"방문완료")</f>
        <v>0</v>
      </c>
      <c r="K354" s="29">
        <f t="shared" si="47"/>
        <v>0</v>
      </c>
      <c r="L354" s="33">
        <f>SUMIFS(실시간콜입력!$K:$K,실시간콜입력!$B:$B,$A354,실시간콜입력!$G:$G,$B354,실시간콜입력!$O:$O,"방문완료")+SUMIFS(실시간콜입력!$L:$L,실시간콜입력!$B:$B,$A354,실시간콜입력!$H:$H,$B354,실시간콜입력!$O:$O,"방문완료")</f>
        <v>0</v>
      </c>
      <c r="M354" s="29" t="str">
        <f t="shared" si="48"/>
        <v/>
      </c>
      <c r="N354" s="29"/>
    </row>
    <row r="355" spans="1:14" ht="19.5" hidden="1" customHeight="1" outlineLevel="1">
      <c r="A355" s="24">
        <f>IF(7&lt;=DAY(DATE(YEAR(설정_코스수당!$K$2),MONTH(설정_코스수당!$K$2)+1,0)),DATE(YEAR(설정_코스수당!$K$2),MONTH(설정_코스수당!$K$2),7),"")</f>
        <v>46180</v>
      </c>
      <c r="B355" s="23" t="s">
        <v>199</v>
      </c>
      <c r="C355" s="29"/>
      <c r="D355" s="29"/>
      <c r="E355" s="29" t="str">
        <f t="shared" si="46"/>
        <v/>
      </c>
      <c r="F355" s="29">
        <f>COUNTIFS(실시간콜입력!$B:$B,$A355,실시간콜입력!$E:$E,"A",실시간콜입력!$G:$G,$B355,실시간콜입력!$O:$O,"방문완료")+COUNTIFS(실시간콜입력!$B:$B,$A355,실시간콜입력!$E:$E,"A",실시간콜입력!$H:$H,$B355,실시간콜입력!$O:$O,"방문완료")</f>
        <v>0</v>
      </c>
      <c r="G355" s="29">
        <f>COUNTIFS(실시간콜입력!$B:$B,$A355,실시간콜입력!$E:$E,"B",실시간콜입력!$G:$G,$B355,실시간콜입력!$O:$O,"방문완료")+COUNTIFS(실시간콜입력!$B:$B,$A355,실시간콜입력!$E:$E,"B",실시간콜입력!$H:$H,$B355,실시간콜입력!$O:$O,"방문완료")</f>
        <v>0</v>
      </c>
      <c r="H355" s="29">
        <f>COUNTIFS(실시간콜입력!$B:$B,$A355,실시간콜입력!$E:$E,"C",실시간콜입력!$G:$G,$B355,실시간콜입력!$O:$O,"방문완료")+COUNTIFS(실시간콜입력!$B:$B,$A355,실시간콜입력!$E:$E,"C",실시간콜입력!$H:$H,$B355,실시간콜입력!$O:$O,"방문완료")</f>
        <v>0</v>
      </c>
      <c r="I355" s="29">
        <f>COUNTIFS(실시간콜입력!$B:$B,$A355,실시간콜입력!$E:$E,"D",실시간콜입력!$G:$G,$B355,실시간콜입력!$O:$O,"방문완료")+COUNTIFS(실시간콜입력!$B:$B,$A355,실시간콜입력!$E:$E,"D",실시간콜입력!$H:$H,$B355,실시간콜입력!$O:$O,"방문완료")</f>
        <v>0</v>
      </c>
      <c r="J355" s="29">
        <f>COUNTIFS(실시간콜입력!$B:$B,$A355,실시간콜입력!$E:$E,"E",실시간콜입력!$G:$G,$B355,실시간콜입력!$O:$O,"방문완료")+COUNTIFS(실시간콜입력!$B:$B,$A355,실시간콜입력!$E:$E,"E",실시간콜입력!$H:$H,$B355,실시간콜입력!$O:$O,"방문완료")</f>
        <v>0</v>
      </c>
      <c r="K355" s="29">
        <f t="shared" si="47"/>
        <v>0</v>
      </c>
      <c r="L355" s="27">
        <f>SUMIFS(실시간콜입력!$K:$K,실시간콜입력!$B:$B,$A355,실시간콜입력!$G:$G,$B355,실시간콜입력!$O:$O,"방문완료")+SUMIFS(실시간콜입력!$L:$L,실시간콜입력!$B:$B,$A355,실시간콜입력!$H:$H,$B355,실시간콜입력!$O:$O,"방문완료")</f>
        <v>0</v>
      </c>
      <c r="M355" s="29" t="str">
        <f t="shared" si="48"/>
        <v/>
      </c>
      <c r="N355" s="29"/>
    </row>
    <row r="356" spans="1:14" ht="19.5" hidden="1" customHeight="1" outlineLevel="1">
      <c r="A356" s="30">
        <f>IF(7&lt;=DAY(DATE(YEAR(설정_코스수당!$K$2),MONTH(설정_코스수당!$K$2)+1,0)),DATE(YEAR(설정_코스수당!$K$2),MONTH(설정_코스수당!$K$2),7),"")</f>
        <v>46180</v>
      </c>
      <c r="B356" s="29" t="s">
        <v>200</v>
      </c>
      <c r="C356" s="29"/>
      <c r="D356" s="29"/>
      <c r="E356" s="29" t="str">
        <f t="shared" si="46"/>
        <v/>
      </c>
      <c r="F356" s="29">
        <f>COUNTIFS(실시간콜입력!$B:$B,$A356,실시간콜입력!$E:$E,"A",실시간콜입력!$G:$G,$B356,실시간콜입력!$O:$O,"방문완료")+COUNTIFS(실시간콜입력!$B:$B,$A356,실시간콜입력!$E:$E,"A",실시간콜입력!$H:$H,$B356,실시간콜입력!$O:$O,"방문완료")</f>
        <v>0</v>
      </c>
      <c r="G356" s="29">
        <f>COUNTIFS(실시간콜입력!$B:$B,$A356,실시간콜입력!$E:$E,"B",실시간콜입력!$G:$G,$B356,실시간콜입력!$O:$O,"방문완료")+COUNTIFS(실시간콜입력!$B:$B,$A356,실시간콜입력!$E:$E,"B",실시간콜입력!$H:$H,$B356,실시간콜입력!$O:$O,"방문완료")</f>
        <v>0</v>
      </c>
      <c r="H356" s="29">
        <f>COUNTIFS(실시간콜입력!$B:$B,$A356,실시간콜입력!$E:$E,"C",실시간콜입력!$G:$G,$B356,실시간콜입력!$O:$O,"방문완료")+COUNTIFS(실시간콜입력!$B:$B,$A356,실시간콜입력!$E:$E,"C",실시간콜입력!$H:$H,$B356,실시간콜입력!$O:$O,"방문완료")</f>
        <v>0</v>
      </c>
      <c r="I356" s="29">
        <f>COUNTIFS(실시간콜입력!$B:$B,$A356,실시간콜입력!$E:$E,"D",실시간콜입력!$G:$G,$B356,실시간콜입력!$O:$O,"방문완료")+COUNTIFS(실시간콜입력!$B:$B,$A356,실시간콜입력!$E:$E,"D",실시간콜입력!$H:$H,$B356,실시간콜입력!$O:$O,"방문완료")</f>
        <v>0</v>
      </c>
      <c r="J356" s="29">
        <f>COUNTIFS(실시간콜입력!$B:$B,$A356,실시간콜입력!$E:$E,"E",실시간콜입력!$G:$G,$B356,실시간콜입력!$O:$O,"방문완료")+COUNTIFS(실시간콜입력!$B:$B,$A356,실시간콜입력!$E:$E,"E",실시간콜입력!$H:$H,$B356,실시간콜입력!$O:$O,"방문완료")</f>
        <v>0</v>
      </c>
      <c r="K356" s="29">
        <f t="shared" si="47"/>
        <v>0</v>
      </c>
      <c r="L356" s="33">
        <f>SUMIFS(실시간콜입력!$K:$K,실시간콜입력!$B:$B,$A356,실시간콜입력!$G:$G,$B356,실시간콜입력!$O:$O,"방문완료")+SUMIFS(실시간콜입력!$L:$L,실시간콜입력!$B:$B,$A356,실시간콜입력!$H:$H,$B356,실시간콜입력!$O:$O,"방문완료")</f>
        <v>0</v>
      </c>
      <c r="M356" s="29" t="str">
        <f t="shared" si="48"/>
        <v/>
      </c>
      <c r="N356" s="29"/>
    </row>
    <row r="357" spans="1:14" ht="19.5" hidden="1" customHeight="1" outlineLevel="1">
      <c r="A357" s="24">
        <f>IF(7&lt;=DAY(DATE(YEAR(설정_코스수당!$K$2),MONTH(설정_코스수당!$K$2)+1,0)),DATE(YEAR(설정_코스수당!$K$2),MONTH(설정_코스수당!$K$2),7),"")</f>
        <v>46180</v>
      </c>
      <c r="B357" s="23" t="s">
        <v>201</v>
      </c>
      <c r="C357" s="29"/>
      <c r="D357" s="29"/>
      <c r="E357" s="29" t="str">
        <f t="shared" si="46"/>
        <v/>
      </c>
      <c r="F357" s="29">
        <f>COUNTIFS(실시간콜입력!$B:$B,$A357,실시간콜입력!$E:$E,"A",실시간콜입력!$G:$G,$B357,실시간콜입력!$O:$O,"방문완료")+COUNTIFS(실시간콜입력!$B:$B,$A357,실시간콜입력!$E:$E,"A",실시간콜입력!$H:$H,$B357,실시간콜입력!$O:$O,"방문완료")</f>
        <v>0</v>
      </c>
      <c r="G357" s="29">
        <f>COUNTIFS(실시간콜입력!$B:$B,$A357,실시간콜입력!$E:$E,"B",실시간콜입력!$G:$G,$B357,실시간콜입력!$O:$O,"방문완료")+COUNTIFS(실시간콜입력!$B:$B,$A357,실시간콜입력!$E:$E,"B",실시간콜입력!$H:$H,$B357,실시간콜입력!$O:$O,"방문완료")</f>
        <v>0</v>
      </c>
      <c r="H357" s="29">
        <f>COUNTIFS(실시간콜입력!$B:$B,$A357,실시간콜입력!$E:$E,"C",실시간콜입력!$G:$G,$B357,실시간콜입력!$O:$O,"방문완료")+COUNTIFS(실시간콜입력!$B:$B,$A357,실시간콜입력!$E:$E,"C",실시간콜입력!$H:$H,$B357,실시간콜입력!$O:$O,"방문완료")</f>
        <v>0</v>
      </c>
      <c r="I357" s="29">
        <f>COUNTIFS(실시간콜입력!$B:$B,$A357,실시간콜입력!$E:$E,"D",실시간콜입력!$G:$G,$B357,실시간콜입력!$O:$O,"방문완료")+COUNTIFS(실시간콜입력!$B:$B,$A357,실시간콜입력!$E:$E,"D",실시간콜입력!$H:$H,$B357,실시간콜입력!$O:$O,"방문완료")</f>
        <v>0</v>
      </c>
      <c r="J357" s="29">
        <f>COUNTIFS(실시간콜입력!$B:$B,$A357,실시간콜입력!$E:$E,"E",실시간콜입력!$G:$G,$B357,실시간콜입력!$O:$O,"방문완료")+COUNTIFS(실시간콜입력!$B:$B,$A357,실시간콜입력!$E:$E,"E",실시간콜입력!$H:$H,$B357,실시간콜입력!$O:$O,"방문완료")</f>
        <v>0</v>
      </c>
      <c r="K357" s="29">
        <f t="shared" si="47"/>
        <v>0</v>
      </c>
      <c r="L357" s="27">
        <f>SUMIFS(실시간콜입력!$K:$K,실시간콜입력!$B:$B,$A357,실시간콜입력!$G:$G,$B357,실시간콜입력!$O:$O,"방문완료")+SUMIFS(실시간콜입력!$L:$L,실시간콜입력!$B:$B,$A357,실시간콜입력!$H:$H,$B357,실시간콜입력!$O:$O,"방문완료")</f>
        <v>0</v>
      </c>
      <c r="M357" s="29" t="str">
        <f t="shared" si="48"/>
        <v/>
      </c>
      <c r="N357" s="29"/>
    </row>
    <row r="358" spans="1:14" ht="19.5" hidden="1" customHeight="1" outlineLevel="1">
      <c r="A358" s="30">
        <f>IF(7&lt;=DAY(DATE(YEAR(설정_코스수당!$K$2),MONTH(설정_코스수당!$K$2)+1,0)),DATE(YEAR(설정_코스수당!$K$2),MONTH(설정_코스수당!$K$2),7),"")</f>
        <v>46180</v>
      </c>
      <c r="B358" s="29" t="s">
        <v>202</v>
      </c>
      <c r="C358" s="29"/>
      <c r="D358" s="29"/>
      <c r="E358" s="29" t="str">
        <f t="shared" si="46"/>
        <v/>
      </c>
      <c r="F358" s="29">
        <f>COUNTIFS(실시간콜입력!$B:$B,$A358,실시간콜입력!$E:$E,"A",실시간콜입력!$G:$G,$B358,실시간콜입력!$O:$O,"방문완료")+COUNTIFS(실시간콜입력!$B:$B,$A358,실시간콜입력!$E:$E,"A",실시간콜입력!$H:$H,$B358,실시간콜입력!$O:$O,"방문완료")</f>
        <v>0</v>
      </c>
      <c r="G358" s="29">
        <f>COUNTIFS(실시간콜입력!$B:$B,$A358,실시간콜입력!$E:$E,"B",실시간콜입력!$G:$G,$B358,실시간콜입력!$O:$O,"방문완료")+COUNTIFS(실시간콜입력!$B:$B,$A358,실시간콜입력!$E:$E,"B",실시간콜입력!$H:$H,$B358,실시간콜입력!$O:$O,"방문완료")</f>
        <v>0</v>
      </c>
      <c r="H358" s="29">
        <f>COUNTIFS(실시간콜입력!$B:$B,$A358,실시간콜입력!$E:$E,"C",실시간콜입력!$G:$G,$B358,실시간콜입력!$O:$O,"방문완료")+COUNTIFS(실시간콜입력!$B:$B,$A358,실시간콜입력!$E:$E,"C",실시간콜입력!$H:$H,$B358,실시간콜입력!$O:$O,"방문완료")</f>
        <v>0</v>
      </c>
      <c r="I358" s="29">
        <f>COUNTIFS(실시간콜입력!$B:$B,$A358,실시간콜입력!$E:$E,"D",실시간콜입력!$G:$G,$B358,실시간콜입력!$O:$O,"방문완료")+COUNTIFS(실시간콜입력!$B:$B,$A358,실시간콜입력!$E:$E,"D",실시간콜입력!$H:$H,$B358,실시간콜입력!$O:$O,"방문완료")</f>
        <v>0</v>
      </c>
      <c r="J358" s="29">
        <f>COUNTIFS(실시간콜입력!$B:$B,$A358,실시간콜입력!$E:$E,"E",실시간콜입력!$G:$G,$B358,실시간콜입력!$O:$O,"방문완료")+COUNTIFS(실시간콜입력!$B:$B,$A358,실시간콜입력!$E:$E,"E",실시간콜입력!$H:$H,$B358,실시간콜입력!$O:$O,"방문완료")</f>
        <v>0</v>
      </c>
      <c r="K358" s="29">
        <f t="shared" si="47"/>
        <v>0</v>
      </c>
      <c r="L358" s="33">
        <f>SUMIFS(실시간콜입력!$K:$K,실시간콜입력!$B:$B,$A358,실시간콜입력!$G:$G,$B358,실시간콜입력!$O:$O,"방문완료")+SUMIFS(실시간콜입력!$L:$L,실시간콜입력!$B:$B,$A358,실시간콜입력!$H:$H,$B358,실시간콜입력!$O:$O,"방문완료")</f>
        <v>0</v>
      </c>
      <c r="M358" s="29" t="str">
        <f t="shared" si="48"/>
        <v/>
      </c>
      <c r="N358" s="29"/>
    </row>
    <row r="359" spans="1:14" ht="19.5" hidden="1" customHeight="1" outlineLevel="1">
      <c r="A359" s="24">
        <f>IF(7&lt;=DAY(DATE(YEAR(설정_코스수당!$K$2),MONTH(설정_코스수당!$K$2)+1,0)),DATE(YEAR(설정_코스수당!$K$2),MONTH(설정_코스수당!$K$2),7),"")</f>
        <v>46180</v>
      </c>
      <c r="B359" s="23" t="s">
        <v>203</v>
      </c>
      <c r="C359" s="29"/>
      <c r="D359" s="29"/>
      <c r="E359" s="29" t="str">
        <f t="shared" si="46"/>
        <v/>
      </c>
      <c r="F359" s="29">
        <f>COUNTIFS(실시간콜입력!$B:$B,$A359,실시간콜입력!$E:$E,"A",실시간콜입력!$G:$G,$B359,실시간콜입력!$O:$O,"방문완료")+COUNTIFS(실시간콜입력!$B:$B,$A359,실시간콜입력!$E:$E,"A",실시간콜입력!$H:$H,$B359,실시간콜입력!$O:$O,"방문완료")</f>
        <v>0</v>
      </c>
      <c r="G359" s="29">
        <f>COUNTIFS(실시간콜입력!$B:$B,$A359,실시간콜입력!$E:$E,"B",실시간콜입력!$G:$G,$B359,실시간콜입력!$O:$O,"방문완료")+COUNTIFS(실시간콜입력!$B:$B,$A359,실시간콜입력!$E:$E,"B",실시간콜입력!$H:$H,$B359,실시간콜입력!$O:$O,"방문완료")</f>
        <v>0</v>
      </c>
      <c r="H359" s="29">
        <f>COUNTIFS(실시간콜입력!$B:$B,$A359,실시간콜입력!$E:$E,"C",실시간콜입력!$G:$G,$B359,실시간콜입력!$O:$O,"방문완료")+COUNTIFS(실시간콜입력!$B:$B,$A359,실시간콜입력!$E:$E,"C",실시간콜입력!$H:$H,$B359,실시간콜입력!$O:$O,"방문완료")</f>
        <v>0</v>
      </c>
      <c r="I359" s="29">
        <f>COUNTIFS(실시간콜입력!$B:$B,$A359,실시간콜입력!$E:$E,"D",실시간콜입력!$G:$G,$B359,실시간콜입력!$O:$O,"방문완료")+COUNTIFS(실시간콜입력!$B:$B,$A359,실시간콜입력!$E:$E,"D",실시간콜입력!$H:$H,$B359,실시간콜입력!$O:$O,"방문완료")</f>
        <v>0</v>
      </c>
      <c r="J359" s="29">
        <f>COUNTIFS(실시간콜입력!$B:$B,$A359,실시간콜입력!$E:$E,"E",실시간콜입력!$G:$G,$B359,실시간콜입력!$O:$O,"방문완료")+COUNTIFS(실시간콜입력!$B:$B,$A359,실시간콜입력!$E:$E,"E",실시간콜입력!$H:$H,$B359,실시간콜입력!$O:$O,"방문완료")</f>
        <v>0</v>
      </c>
      <c r="K359" s="29">
        <f t="shared" si="47"/>
        <v>0</v>
      </c>
      <c r="L359" s="27">
        <f>SUMIFS(실시간콜입력!$K:$K,실시간콜입력!$B:$B,$A359,실시간콜입력!$G:$G,$B359,실시간콜입력!$O:$O,"방문완료")+SUMIFS(실시간콜입력!$L:$L,실시간콜입력!$B:$B,$A359,실시간콜입력!$H:$H,$B359,실시간콜입력!$O:$O,"방문완료")</f>
        <v>0</v>
      </c>
      <c r="M359" s="29" t="str">
        <f t="shared" si="48"/>
        <v/>
      </c>
      <c r="N359" s="29"/>
    </row>
    <row r="360" spans="1:14" ht="19.5" hidden="1" customHeight="1" outlineLevel="1">
      <c r="A360" s="30">
        <f>IF(7&lt;=DAY(DATE(YEAR(설정_코스수당!$K$2),MONTH(설정_코스수당!$K$2)+1,0)),DATE(YEAR(설정_코스수당!$K$2),MONTH(설정_코스수당!$K$2),7),"")</f>
        <v>46180</v>
      </c>
      <c r="B360" s="29" t="s">
        <v>204</v>
      </c>
      <c r="C360" s="29"/>
      <c r="D360" s="29"/>
      <c r="E360" s="29" t="str">
        <f t="shared" si="46"/>
        <v/>
      </c>
      <c r="F360" s="29">
        <f>COUNTIFS(실시간콜입력!$B:$B,$A360,실시간콜입력!$E:$E,"A",실시간콜입력!$G:$G,$B360,실시간콜입력!$O:$O,"방문완료")+COUNTIFS(실시간콜입력!$B:$B,$A360,실시간콜입력!$E:$E,"A",실시간콜입력!$H:$H,$B360,실시간콜입력!$O:$O,"방문완료")</f>
        <v>0</v>
      </c>
      <c r="G360" s="29">
        <f>COUNTIFS(실시간콜입력!$B:$B,$A360,실시간콜입력!$E:$E,"B",실시간콜입력!$G:$G,$B360,실시간콜입력!$O:$O,"방문완료")+COUNTIFS(실시간콜입력!$B:$B,$A360,실시간콜입력!$E:$E,"B",실시간콜입력!$H:$H,$B360,실시간콜입력!$O:$O,"방문완료")</f>
        <v>0</v>
      </c>
      <c r="H360" s="29">
        <f>COUNTIFS(실시간콜입력!$B:$B,$A360,실시간콜입력!$E:$E,"C",실시간콜입력!$G:$G,$B360,실시간콜입력!$O:$O,"방문완료")+COUNTIFS(실시간콜입력!$B:$B,$A360,실시간콜입력!$E:$E,"C",실시간콜입력!$H:$H,$B360,실시간콜입력!$O:$O,"방문완료")</f>
        <v>0</v>
      </c>
      <c r="I360" s="29">
        <f>COUNTIFS(실시간콜입력!$B:$B,$A360,실시간콜입력!$E:$E,"D",실시간콜입력!$G:$G,$B360,실시간콜입력!$O:$O,"방문완료")+COUNTIFS(실시간콜입력!$B:$B,$A360,실시간콜입력!$E:$E,"D",실시간콜입력!$H:$H,$B360,실시간콜입력!$O:$O,"방문완료")</f>
        <v>0</v>
      </c>
      <c r="J360" s="29">
        <f>COUNTIFS(실시간콜입력!$B:$B,$A360,실시간콜입력!$E:$E,"E",실시간콜입력!$G:$G,$B360,실시간콜입력!$O:$O,"방문완료")+COUNTIFS(실시간콜입력!$B:$B,$A360,실시간콜입력!$E:$E,"E",실시간콜입력!$H:$H,$B360,실시간콜입력!$O:$O,"방문완료")</f>
        <v>0</v>
      </c>
      <c r="K360" s="29">
        <f t="shared" si="47"/>
        <v>0</v>
      </c>
      <c r="L360" s="33">
        <f>SUMIFS(실시간콜입력!$K:$K,실시간콜입력!$B:$B,$A360,실시간콜입력!$G:$G,$B360,실시간콜입력!$O:$O,"방문완료")+SUMIFS(실시간콜입력!$L:$L,실시간콜입력!$B:$B,$A360,실시간콜입력!$H:$H,$B360,실시간콜입력!$O:$O,"방문완료")</f>
        <v>0</v>
      </c>
      <c r="M360" s="29" t="str">
        <f t="shared" si="48"/>
        <v/>
      </c>
      <c r="N360" s="29"/>
    </row>
    <row r="361" spans="1:14" ht="19.5" hidden="1" customHeight="1" outlineLevel="1">
      <c r="A361" s="24">
        <f>IF(7&lt;=DAY(DATE(YEAR(설정_코스수당!$K$2),MONTH(설정_코스수당!$K$2)+1,0)),DATE(YEAR(설정_코스수당!$K$2),MONTH(설정_코스수당!$K$2),7),"")</f>
        <v>46180</v>
      </c>
      <c r="B361" s="23" t="s">
        <v>205</v>
      </c>
      <c r="C361" s="29"/>
      <c r="D361" s="29"/>
      <c r="E361" s="29" t="str">
        <f t="shared" si="46"/>
        <v/>
      </c>
      <c r="F361" s="29">
        <f>COUNTIFS(실시간콜입력!$B:$B,$A361,실시간콜입력!$E:$E,"A",실시간콜입력!$G:$G,$B361,실시간콜입력!$O:$O,"방문완료")+COUNTIFS(실시간콜입력!$B:$B,$A361,실시간콜입력!$E:$E,"A",실시간콜입력!$H:$H,$B361,실시간콜입력!$O:$O,"방문완료")</f>
        <v>0</v>
      </c>
      <c r="G361" s="29">
        <f>COUNTIFS(실시간콜입력!$B:$B,$A361,실시간콜입력!$E:$E,"B",실시간콜입력!$G:$G,$B361,실시간콜입력!$O:$O,"방문완료")+COUNTIFS(실시간콜입력!$B:$B,$A361,실시간콜입력!$E:$E,"B",실시간콜입력!$H:$H,$B361,실시간콜입력!$O:$O,"방문완료")</f>
        <v>0</v>
      </c>
      <c r="H361" s="29">
        <f>COUNTIFS(실시간콜입력!$B:$B,$A361,실시간콜입력!$E:$E,"C",실시간콜입력!$G:$G,$B361,실시간콜입력!$O:$O,"방문완료")+COUNTIFS(실시간콜입력!$B:$B,$A361,실시간콜입력!$E:$E,"C",실시간콜입력!$H:$H,$B361,실시간콜입력!$O:$O,"방문완료")</f>
        <v>0</v>
      </c>
      <c r="I361" s="29">
        <f>COUNTIFS(실시간콜입력!$B:$B,$A361,실시간콜입력!$E:$E,"D",실시간콜입력!$G:$G,$B361,실시간콜입력!$O:$O,"방문완료")+COUNTIFS(실시간콜입력!$B:$B,$A361,실시간콜입력!$E:$E,"D",실시간콜입력!$H:$H,$B361,실시간콜입력!$O:$O,"방문완료")</f>
        <v>0</v>
      </c>
      <c r="J361" s="29">
        <f>COUNTIFS(실시간콜입력!$B:$B,$A361,실시간콜입력!$E:$E,"E",실시간콜입력!$G:$G,$B361,실시간콜입력!$O:$O,"방문완료")+COUNTIFS(실시간콜입력!$B:$B,$A361,실시간콜입력!$E:$E,"E",실시간콜입력!$H:$H,$B361,실시간콜입력!$O:$O,"방문완료")</f>
        <v>0</v>
      </c>
      <c r="K361" s="29">
        <f t="shared" si="47"/>
        <v>0</v>
      </c>
      <c r="L361" s="27">
        <f>SUMIFS(실시간콜입력!$K:$K,실시간콜입력!$B:$B,$A361,실시간콜입력!$G:$G,$B361,실시간콜입력!$O:$O,"방문완료")+SUMIFS(실시간콜입력!$L:$L,실시간콜입력!$B:$B,$A361,실시간콜입력!$H:$H,$B361,실시간콜입력!$O:$O,"방문완료")</f>
        <v>0</v>
      </c>
      <c r="M361" s="29" t="str">
        <f t="shared" si="48"/>
        <v/>
      </c>
      <c r="N361" s="29"/>
    </row>
    <row r="362" spans="1:14" ht="19.5" hidden="1" customHeight="1" outlineLevel="1">
      <c r="A362" s="30">
        <f>IF(7&lt;=DAY(DATE(YEAR(설정_코스수당!$K$2),MONTH(설정_코스수당!$K$2)+1,0)),DATE(YEAR(설정_코스수당!$K$2),MONTH(설정_코스수당!$K$2),7),"")</f>
        <v>46180</v>
      </c>
      <c r="B362" s="29" t="s">
        <v>206</v>
      </c>
      <c r="C362" s="29"/>
      <c r="D362" s="29"/>
      <c r="E362" s="29" t="str">
        <f t="shared" si="46"/>
        <v/>
      </c>
      <c r="F362" s="29">
        <f>COUNTIFS(실시간콜입력!$B:$B,$A362,실시간콜입력!$E:$E,"A",실시간콜입력!$G:$G,$B362,실시간콜입력!$O:$O,"방문완료")+COUNTIFS(실시간콜입력!$B:$B,$A362,실시간콜입력!$E:$E,"A",실시간콜입력!$H:$H,$B362,실시간콜입력!$O:$O,"방문완료")</f>
        <v>0</v>
      </c>
      <c r="G362" s="29">
        <f>COUNTIFS(실시간콜입력!$B:$B,$A362,실시간콜입력!$E:$E,"B",실시간콜입력!$G:$G,$B362,실시간콜입력!$O:$O,"방문완료")+COUNTIFS(실시간콜입력!$B:$B,$A362,실시간콜입력!$E:$E,"B",실시간콜입력!$H:$H,$B362,실시간콜입력!$O:$O,"방문완료")</f>
        <v>0</v>
      </c>
      <c r="H362" s="29">
        <f>COUNTIFS(실시간콜입력!$B:$B,$A362,실시간콜입력!$E:$E,"C",실시간콜입력!$G:$G,$B362,실시간콜입력!$O:$O,"방문완료")+COUNTIFS(실시간콜입력!$B:$B,$A362,실시간콜입력!$E:$E,"C",실시간콜입력!$H:$H,$B362,실시간콜입력!$O:$O,"방문완료")</f>
        <v>0</v>
      </c>
      <c r="I362" s="29">
        <f>COUNTIFS(실시간콜입력!$B:$B,$A362,실시간콜입력!$E:$E,"D",실시간콜입력!$G:$G,$B362,실시간콜입력!$O:$O,"방문완료")+COUNTIFS(실시간콜입력!$B:$B,$A362,실시간콜입력!$E:$E,"D",실시간콜입력!$H:$H,$B362,실시간콜입력!$O:$O,"방문완료")</f>
        <v>0</v>
      </c>
      <c r="J362" s="29">
        <f>COUNTIFS(실시간콜입력!$B:$B,$A362,실시간콜입력!$E:$E,"E",실시간콜입력!$G:$G,$B362,실시간콜입력!$O:$O,"방문완료")+COUNTIFS(실시간콜입력!$B:$B,$A362,실시간콜입력!$E:$E,"E",실시간콜입력!$H:$H,$B362,실시간콜입력!$O:$O,"방문완료")</f>
        <v>0</v>
      </c>
      <c r="K362" s="29">
        <f t="shared" si="47"/>
        <v>0</v>
      </c>
      <c r="L362" s="33">
        <f>SUMIFS(실시간콜입력!$K:$K,실시간콜입력!$B:$B,$A362,실시간콜입력!$G:$G,$B362,실시간콜입력!$O:$O,"방문완료")+SUMIFS(실시간콜입력!$L:$L,실시간콜입력!$B:$B,$A362,실시간콜입력!$H:$H,$B362,실시간콜입력!$O:$O,"방문완료")</f>
        <v>0</v>
      </c>
      <c r="M362" s="29" t="str">
        <f t="shared" si="48"/>
        <v/>
      </c>
      <c r="N362" s="29"/>
    </row>
    <row r="363" spans="1:14" ht="19.5" hidden="1" customHeight="1" outlineLevel="1">
      <c r="A363" s="24">
        <f>IF(7&lt;=DAY(DATE(YEAR(설정_코스수당!$K$2),MONTH(설정_코스수당!$K$2)+1,0)),DATE(YEAR(설정_코스수당!$K$2),MONTH(설정_코스수당!$K$2),7),"")</f>
        <v>46180</v>
      </c>
      <c r="B363" s="23" t="s">
        <v>207</v>
      </c>
      <c r="C363" s="29"/>
      <c r="D363" s="29"/>
      <c r="E363" s="29" t="str">
        <f t="shared" si="46"/>
        <v/>
      </c>
      <c r="F363" s="29">
        <f>COUNTIFS(실시간콜입력!$B:$B,$A363,실시간콜입력!$E:$E,"A",실시간콜입력!$G:$G,$B363,실시간콜입력!$O:$O,"방문완료")+COUNTIFS(실시간콜입력!$B:$B,$A363,실시간콜입력!$E:$E,"A",실시간콜입력!$H:$H,$B363,실시간콜입력!$O:$O,"방문완료")</f>
        <v>0</v>
      </c>
      <c r="G363" s="29">
        <f>COUNTIFS(실시간콜입력!$B:$B,$A363,실시간콜입력!$E:$E,"B",실시간콜입력!$G:$G,$B363,실시간콜입력!$O:$O,"방문완료")+COUNTIFS(실시간콜입력!$B:$B,$A363,실시간콜입력!$E:$E,"B",실시간콜입력!$H:$H,$B363,실시간콜입력!$O:$O,"방문완료")</f>
        <v>0</v>
      </c>
      <c r="H363" s="29">
        <f>COUNTIFS(실시간콜입력!$B:$B,$A363,실시간콜입력!$E:$E,"C",실시간콜입력!$G:$G,$B363,실시간콜입력!$O:$O,"방문완료")+COUNTIFS(실시간콜입력!$B:$B,$A363,실시간콜입력!$E:$E,"C",실시간콜입력!$H:$H,$B363,실시간콜입력!$O:$O,"방문완료")</f>
        <v>0</v>
      </c>
      <c r="I363" s="29">
        <f>COUNTIFS(실시간콜입력!$B:$B,$A363,실시간콜입력!$E:$E,"D",실시간콜입력!$G:$G,$B363,실시간콜입력!$O:$O,"방문완료")+COUNTIFS(실시간콜입력!$B:$B,$A363,실시간콜입력!$E:$E,"D",실시간콜입력!$H:$H,$B363,실시간콜입력!$O:$O,"방문완료")</f>
        <v>0</v>
      </c>
      <c r="J363" s="29">
        <f>COUNTIFS(실시간콜입력!$B:$B,$A363,실시간콜입력!$E:$E,"E",실시간콜입력!$G:$G,$B363,실시간콜입력!$O:$O,"방문완료")+COUNTIFS(실시간콜입력!$B:$B,$A363,실시간콜입력!$E:$E,"E",실시간콜입력!$H:$H,$B363,실시간콜입력!$O:$O,"방문완료")</f>
        <v>0</v>
      </c>
      <c r="K363" s="29">
        <f t="shared" si="47"/>
        <v>0</v>
      </c>
      <c r="L363" s="27">
        <f>SUMIFS(실시간콜입력!$K:$K,실시간콜입력!$B:$B,$A363,실시간콜입력!$G:$G,$B363,실시간콜입력!$O:$O,"방문완료")+SUMIFS(실시간콜입력!$L:$L,실시간콜입력!$B:$B,$A363,실시간콜입력!$H:$H,$B363,실시간콜입력!$O:$O,"방문완료")</f>
        <v>0</v>
      </c>
      <c r="M363" s="29" t="str">
        <f t="shared" si="48"/>
        <v/>
      </c>
      <c r="N363" s="29"/>
    </row>
    <row r="364" spans="1:14" ht="19.5" hidden="1" customHeight="1" outlineLevel="1">
      <c r="A364" s="30">
        <f>IF(7&lt;=DAY(DATE(YEAR(설정_코스수당!$K$2),MONTH(설정_코스수당!$K$2)+1,0)),DATE(YEAR(설정_코스수당!$K$2),MONTH(설정_코스수당!$K$2),7),"")</f>
        <v>46180</v>
      </c>
      <c r="B364" s="29" t="s">
        <v>208</v>
      </c>
      <c r="C364" s="29"/>
      <c r="D364" s="29"/>
      <c r="E364" s="29" t="str">
        <f t="shared" si="46"/>
        <v/>
      </c>
      <c r="F364" s="29">
        <f>COUNTIFS(실시간콜입력!$B:$B,$A364,실시간콜입력!$E:$E,"A",실시간콜입력!$G:$G,$B364,실시간콜입력!$O:$O,"방문완료")+COUNTIFS(실시간콜입력!$B:$B,$A364,실시간콜입력!$E:$E,"A",실시간콜입력!$H:$H,$B364,실시간콜입력!$O:$O,"방문완료")</f>
        <v>0</v>
      </c>
      <c r="G364" s="29">
        <f>COUNTIFS(실시간콜입력!$B:$B,$A364,실시간콜입력!$E:$E,"B",실시간콜입력!$G:$G,$B364,실시간콜입력!$O:$O,"방문완료")+COUNTIFS(실시간콜입력!$B:$B,$A364,실시간콜입력!$E:$E,"B",실시간콜입력!$H:$H,$B364,실시간콜입력!$O:$O,"방문완료")</f>
        <v>0</v>
      </c>
      <c r="H364" s="29">
        <f>COUNTIFS(실시간콜입력!$B:$B,$A364,실시간콜입력!$E:$E,"C",실시간콜입력!$G:$G,$B364,실시간콜입력!$O:$O,"방문완료")+COUNTIFS(실시간콜입력!$B:$B,$A364,실시간콜입력!$E:$E,"C",실시간콜입력!$H:$H,$B364,실시간콜입력!$O:$O,"방문완료")</f>
        <v>0</v>
      </c>
      <c r="I364" s="29">
        <f>COUNTIFS(실시간콜입력!$B:$B,$A364,실시간콜입력!$E:$E,"D",실시간콜입력!$G:$G,$B364,실시간콜입력!$O:$O,"방문완료")+COUNTIFS(실시간콜입력!$B:$B,$A364,실시간콜입력!$E:$E,"D",실시간콜입력!$H:$H,$B364,실시간콜입력!$O:$O,"방문완료")</f>
        <v>0</v>
      </c>
      <c r="J364" s="29">
        <f>COUNTIFS(실시간콜입력!$B:$B,$A364,실시간콜입력!$E:$E,"E",실시간콜입력!$G:$G,$B364,실시간콜입력!$O:$O,"방문완료")+COUNTIFS(실시간콜입력!$B:$B,$A364,실시간콜입력!$E:$E,"E",실시간콜입력!$H:$H,$B364,실시간콜입력!$O:$O,"방문완료")</f>
        <v>0</v>
      </c>
      <c r="K364" s="29">
        <f t="shared" si="47"/>
        <v>0</v>
      </c>
      <c r="L364" s="33">
        <f>SUMIFS(실시간콜입력!$K:$K,실시간콜입력!$B:$B,$A364,실시간콜입력!$G:$G,$B364,실시간콜입력!$O:$O,"방문완료")+SUMIFS(실시간콜입력!$L:$L,실시간콜입력!$B:$B,$A364,실시간콜입력!$H:$H,$B364,실시간콜입력!$O:$O,"방문완료")</f>
        <v>0</v>
      </c>
      <c r="M364" s="29" t="str">
        <f t="shared" si="48"/>
        <v/>
      </c>
      <c r="N364" s="29"/>
    </row>
    <row r="365" spans="1:14" ht="19.5" hidden="1" customHeight="1" outlineLevel="1">
      <c r="A365" s="24">
        <f>IF(7&lt;=DAY(DATE(YEAR(설정_코스수당!$K$2),MONTH(설정_코스수당!$K$2)+1,0)),DATE(YEAR(설정_코스수당!$K$2),MONTH(설정_코스수당!$K$2),7),"")</f>
        <v>46180</v>
      </c>
      <c r="B365" s="23" t="s">
        <v>209</v>
      </c>
      <c r="C365" s="29"/>
      <c r="D365" s="29"/>
      <c r="E365" s="29" t="str">
        <f t="shared" si="46"/>
        <v/>
      </c>
      <c r="F365" s="29">
        <f>COUNTIFS(실시간콜입력!$B:$B,$A365,실시간콜입력!$E:$E,"A",실시간콜입력!$G:$G,$B365,실시간콜입력!$O:$O,"방문완료")+COUNTIFS(실시간콜입력!$B:$B,$A365,실시간콜입력!$E:$E,"A",실시간콜입력!$H:$H,$B365,실시간콜입력!$O:$O,"방문완료")</f>
        <v>0</v>
      </c>
      <c r="G365" s="29">
        <f>COUNTIFS(실시간콜입력!$B:$B,$A365,실시간콜입력!$E:$E,"B",실시간콜입력!$G:$G,$B365,실시간콜입력!$O:$O,"방문완료")+COUNTIFS(실시간콜입력!$B:$B,$A365,실시간콜입력!$E:$E,"B",실시간콜입력!$H:$H,$B365,실시간콜입력!$O:$O,"방문완료")</f>
        <v>0</v>
      </c>
      <c r="H365" s="29">
        <f>COUNTIFS(실시간콜입력!$B:$B,$A365,실시간콜입력!$E:$E,"C",실시간콜입력!$G:$G,$B365,실시간콜입력!$O:$O,"방문완료")+COUNTIFS(실시간콜입력!$B:$B,$A365,실시간콜입력!$E:$E,"C",실시간콜입력!$H:$H,$B365,실시간콜입력!$O:$O,"방문완료")</f>
        <v>0</v>
      </c>
      <c r="I365" s="29">
        <f>COUNTIFS(실시간콜입력!$B:$B,$A365,실시간콜입력!$E:$E,"D",실시간콜입력!$G:$G,$B365,실시간콜입력!$O:$O,"방문완료")+COUNTIFS(실시간콜입력!$B:$B,$A365,실시간콜입력!$E:$E,"D",실시간콜입력!$H:$H,$B365,실시간콜입력!$O:$O,"방문완료")</f>
        <v>0</v>
      </c>
      <c r="J365" s="29">
        <f>COUNTIFS(실시간콜입력!$B:$B,$A365,실시간콜입력!$E:$E,"E",실시간콜입력!$G:$G,$B365,실시간콜입력!$O:$O,"방문완료")+COUNTIFS(실시간콜입력!$B:$B,$A365,실시간콜입력!$E:$E,"E",실시간콜입력!$H:$H,$B365,실시간콜입력!$O:$O,"방문완료")</f>
        <v>0</v>
      </c>
      <c r="K365" s="29">
        <f t="shared" si="47"/>
        <v>0</v>
      </c>
      <c r="L365" s="27">
        <f>SUMIFS(실시간콜입력!$K:$K,실시간콜입력!$B:$B,$A365,실시간콜입력!$G:$G,$B365,실시간콜입력!$O:$O,"방문완료")+SUMIFS(실시간콜입력!$L:$L,실시간콜입력!$B:$B,$A365,실시간콜입력!$H:$H,$B365,실시간콜입력!$O:$O,"방문완료")</f>
        <v>0</v>
      </c>
      <c r="M365" s="29" t="str">
        <f t="shared" si="48"/>
        <v/>
      </c>
      <c r="N365" s="29"/>
    </row>
    <row r="366" spans="1:14" ht="19.5" hidden="1" customHeight="1" outlineLevel="1">
      <c r="A366" s="30">
        <f>IF(7&lt;=DAY(DATE(YEAR(설정_코스수당!$K$2),MONTH(설정_코스수당!$K$2)+1,0)),DATE(YEAR(설정_코스수당!$K$2),MONTH(설정_코스수당!$K$2),7),"")</f>
        <v>46180</v>
      </c>
      <c r="B366" s="29" t="s">
        <v>210</v>
      </c>
      <c r="C366" s="29"/>
      <c r="D366" s="29"/>
      <c r="E366" s="29" t="str">
        <f t="shared" si="46"/>
        <v/>
      </c>
      <c r="F366" s="29">
        <f>COUNTIFS(실시간콜입력!$B:$B,$A366,실시간콜입력!$E:$E,"A",실시간콜입력!$G:$G,$B366,실시간콜입력!$O:$O,"방문완료")+COUNTIFS(실시간콜입력!$B:$B,$A366,실시간콜입력!$E:$E,"A",실시간콜입력!$H:$H,$B366,실시간콜입력!$O:$O,"방문완료")</f>
        <v>0</v>
      </c>
      <c r="G366" s="29">
        <f>COUNTIFS(실시간콜입력!$B:$B,$A366,실시간콜입력!$E:$E,"B",실시간콜입력!$G:$G,$B366,실시간콜입력!$O:$O,"방문완료")+COUNTIFS(실시간콜입력!$B:$B,$A366,실시간콜입력!$E:$E,"B",실시간콜입력!$H:$H,$B366,실시간콜입력!$O:$O,"방문완료")</f>
        <v>0</v>
      </c>
      <c r="H366" s="29">
        <f>COUNTIFS(실시간콜입력!$B:$B,$A366,실시간콜입력!$E:$E,"C",실시간콜입력!$G:$G,$B366,실시간콜입력!$O:$O,"방문완료")+COUNTIFS(실시간콜입력!$B:$B,$A366,실시간콜입력!$E:$E,"C",실시간콜입력!$H:$H,$B366,실시간콜입력!$O:$O,"방문완료")</f>
        <v>0</v>
      </c>
      <c r="I366" s="29">
        <f>COUNTIFS(실시간콜입력!$B:$B,$A366,실시간콜입력!$E:$E,"D",실시간콜입력!$G:$G,$B366,실시간콜입력!$O:$O,"방문완료")+COUNTIFS(실시간콜입력!$B:$B,$A366,실시간콜입력!$E:$E,"D",실시간콜입력!$H:$H,$B366,실시간콜입력!$O:$O,"방문완료")</f>
        <v>0</v>
      </c>
      <c r="J366" s="29">
        <f>COUNTIFS(실시간콜입력!$B:$B,$A366,실시간콜입력!$E:$E,"E",실시간콜입력!$G:$G,$B366,실시간콜입력!$O:$O,"방문완료")+COUNTIFS(실시간콜입력!$B:$B,$A366,실시간콜입력!$E:$E,"E",실시간콜입력!$H:$H,$B366,실시간콜입력!$O:$O,"방문완료")</f>
        <v>0</v>
      </c>
      <c r="K366" s="29">
        <f t="shared" si="47"/>
        <v>0</v>
      </c>
      <c r="L366" s="33">
        <f>SUMIFS(실시간콜입력!$K:$K,실시간콜입력!$B:$B,$A366,실시간콜입력!$G:$G,$B366,실시간콜입력!$O:$O,"방문완료")+SUMIFS(실시간콜입력!$L:$L,실시간콜입력!$B:$B,$A366,실시간콜입력!$H:$H,$B366,실시간콜입력!$O:$O,"방문완료")</f>
        <v>0</v>
      </c>
      <c r="M366" s="29" t="str">
        <f t="shared" si="48"/>
        <v/>
      </c>
      <c r="N366" s="29"/>
    </row>
    <row r="367" spans="1:14" ht="19.5" hidden="1" customHeight="1" outlineLevel="1">
      <c r="A367" s="24">
        <f>IF(7&lt;=DAY(DATE(YEAR(설정_코스수당!$K$2),MONTH(설정_코스수당!$K$2)+1,0)),DATE(YEAR(설정_코스수당!$K$2),MONTH(설정_코스수당!$K$2),7),"")</f>
        <v>46180</v>
      </c>
      <c r="B367" s="23" t="s">
        <v>211</v>
      </c>
      <c r="C367" s="29"/>
      <c r="D367" s="29"/>
      <c r="E367" s="29" t="str">
        <f t="shared" si="46"/>
        <v/>
      </c>
      <c r="F367" s="29">
        <f>COUNTIFS(실시간콜입력!$B:$B,$A367,실시간콜입력!$E:$E,"A",실시간콜입력!$G:$G,$B367,실시간콜입력!$O:$O,"방문완료")+COUNTIFS(실시간콜입력!$B:$B,$A367,실시간콜입력!$E:$E,"A",실시간콜입력!$H:$H,$B367,실시간콜입력!$O:$O,"방문완료")</f>
        <v>0</v>
      </c>
      <c r="G367" s="29">
        <f>COUNTIFS(실시간콜입력!$B:$B,$A367,실시간콜입력!$E:$E,"B",실시간콜입력!$G:$G,$B367,실시간콜입력!$O:$O,"방문완료")+COUNTIFS(실시간콜입력!$B:$B,$A367,실시간콜입력!$E:$E,"B",실시간콜입력!$H:$H,$B367,실시간콜입력!$O:$O,"방문완료")</f>
        <v>0</v>
      </c>
      <c r="H367" s="29">
        <f>COUNTIFS(실시간콜입력!$B:$B,$A367,실시간콜입력!$E:$E,"C",실시간콜입력!$G:$G,$B367,실시간콜입력!$O:$O,"방문완료")+COUNTIFS(실시간콜입력!$B:$B,$A367,실시간콜입력!$E:$E,"C",실시간콜입력!$H:$H,$B367,실시간콜입력!$O:$O,"방문완료")</f>
        <v>0</v>
      </c>
      <c r="I367" s="29">
        <f>COUNTIFS(실시간콜입력!$B:$B,$A367,실시간콜입력!$E:$E,"D",실시간콜입력!$G:$G,$B367,실시간콜입력!$O:$O,"방문완료")+COUNTIFS(실시간콜입력!$B:$B,$A367,실시간콜입력!$E:$E,"D",실시간콜입력!$H:$H,$B367,실시간콜입력!$O:$O,"방문완료")</f>
        <v>0</v>
      </c>
      <c r="J367" s="29">
        <f>COUNTIFS(실시간콜입력!$B:$B,$A367,실시간콜입력!$E:$E,"E",실시간콜입력!$G:$G,$B367,실시간콜입력!$O:$O,"방문완료")+COUNTIFS(실시간콜입력!$B:$B,$A367,실시간콜입력!$E:$E,"E",실시간콜입력!$H:$H,$B367,실시간콜입력!$O:$O,"방문완료")</f>
        <v>0</v>
      </c>
      <c r="K367" s="29">
        <f t="shared" si="47"/>
        <v>0</v>
      </c>
      <c r="L367" s="27">
        <f>SUMIFS(실시간콜입력!$K:$K,실시간콜입력!$B:$B,$A367,실시간콜입력!$G:$G,$B367,실시간콜입력!$O:$O,"방문완료")+SUMIFS(실시간콜입력!$L:$L,실시간콜입력!$B:$B,$A367,실시간콜입력!$H:$H,$B367,실시간콜입력!$O:$O,"방문완료")</f>
        <v>0</v>
      </c>
      <c r="M367" s="29" t="str">
        <f t="shared" si="48"/>
        <v/>
      </c>
      <c r="N367" s="29"/>
    </row>
    <row r="368" spans="1:14" ht="19.5" hidden="1" customHeight="1" outlineLevel="1">
      <c r="A368" s="30">
        <f>IF(7&lt;=DAY(DATE(YEAR(설정_코스수당!$K$2),MONTH(설정_코스수당!$K$2)+1,0)),DATE(YEAR(설정_코스수당!$K$2),MONTH(설정_코스수당!$K$2),7),"")</f>
        <v>46180</v>
      </c>
      <c r="B368" s="29" t="s">
        <v>212</v>
      </c>
      <c r="C368" s="29"/>
      <c r="D368" s="29"/>
      <c r="E368" s="29" t="str">
        <f t="shared" si="46"/>
        <v/>
      </c>
      <c r="F368" s="29">
        <f>COUNTIFS(실시간콜입력!$B:$B,$A368,실시간콜입력!$E:$E,"A",실시간콜입력!$G:$G,$B368,실시간콜입력!$O:$O,"방문완료")+COUNTIFS(실시간콜입력!$B:$B,$A368,실시간콜입력!$E:$E,"A",실시간콜입력!$H:$H,$B368,실시간콜입력!$O:$O,"방문완료")</f>
        <v>0</v>
      </c>
      <c r="G368" s="29">
        <f>COUNTIFS(실시간콜입력!$B:$B,$A368,실시간콜입력!$E:$E,"B",실시간콜입력!$G:$G,$B368,실시간콜입력!$O:$O,"방문완료")+COUNTIFS(실시간콜입력!$B:$B,$A368,실시간콜입력!$E:$E,"B",실시간콜입력!$H:$H,$B368,실시간콜입력!$O:$O,"방문완료")</f>
        <v>0</v>
      </c>
      <c r="H368" s="29">
        <f>COUNTIFS(실시간콜입력!$B:$B,$A368,실시간콜입력!$E:$E,"C",실시간콜입력!$G:$G,$B368,실시간콜입력!$O:$O,"방문완료")+COUNTIFS(실시간콜입력!$B:$B,$A368,실시간콜입력!$E:$E,"C",실시간콜입력!$H:$H,$B368,실시간콜입력!$O:$O,"방문완료")</f>
        <v>0</v>
      </c>
      <c r="I368" s="29">
        <f>COUNTIFS(실시간콜입력!$B:$B,$A368,실시간콜입력!$E:$E,"D",실시간콜입력!$G:$G,$B368,실시간콜입력!$O:$O,"방문완료")+COUNTIFS(실시간콜입력!$B:$B,$A368,실시간콜입력!$E:$E,"D",실시간콜입력!$H:$H,$B368,실시간콜입력!$O:$O,"방문완료")</f>
        <v>0</v>
      </c>
      <c r="J368" s="29">
        <f>COUNTIFS(실시간콜입력!$B:$B,$A368,실시간콜입력!$E:$E,"E",실시간콜입력!$G:$G,$B368,실시간콜입력!$O:$O,"방문완료")+COUNTIFS(실시간콜입력!$B:$B,$A368,실시간콜입력!$E:$E,"E",실시간콜입력!$H:$H,$B368,실시간콜입력!$O:$O,"방문완료")</f>
        <v>0</v>
      </c>
      <c r="K368" s="29">
        <f t="shared" si="47"/>
        <v>0</v>
      </c>
      <c r="L368" s="33">
        <f>SUMIFS(실시간콜입력!$K:$K,실시간콜입력!$B:$B,$A368,실시간콜입력!$G:$G,$B368,실시간콜입력!$O:$O,"방문완료")+SUMIFS(실시간콜입력!$L:$L,실시간콜입력!$B:$B,$A368,실시간콜입력!$H:$H,$B368,실시간콜입력!$O:$O,"방문완료")</f>
        <v>0</v>
      </c>
      <c r="M368" s="29" t="str">
        <f t="shared" si="48"/>
        <v/>
      </c>
      <c r="N368" s="29"/>
    </row>
    <row r="369" spans="1:14" ht="21.75" customHeight="1" collapsed="1">
      <c r="A369" s="64">
        <f>IF(8&lt;=DAY(DATE(YEAR(설정_코스수당!$K$2),MONTH(설정_코스수당!$K$2)+1,0)),DATE(YEAR(설정_코스수당!$K$2),MONTH(설정_코스수당!$K$2),8),"")</f>
        <v>46181</v>
      </c>
      <c r="B369" s="65" t="str">
        <f>IF(A369="","","출근 "&amp;COUNTIF(C371:C420,"&lt;&gt;")&amp;"명")</f>
        <v>출근 0명</v>
      </c>
      <c r="C369" s="65" t="str">
        <f>IF(A369="","","만근 "&amp;COUNTIF(M371:M420,"인정")&amp;"명")</f>
        <v>만근 0명</v>
      </c>
      <c r="D369" s="65" t="str">
        <f>IFERROR("평균 "&amp;TEXT(AVERAGEIF(E371:E420,"&gt;0",E371:E420),"0.0")&amp;"h","평균 -")</f>
        <v>평균 -</v>
      </c>
      <c r="E369" s="65" t="s">
        <v>163</v>
      </c>
      <c r="F369" s="65">
        <f t="shared" ref="F369:L369" si="49">SUM(F371:F420)</f>
        <v>0</v>
      </c>
      <c r="G369" s="65">
        <f t="shared" si="49"/>
        <v>0</v>
      </c>
      <c r="H369" s="65">
        <f t="shared" si="49"/>
        <v>0</v>
      </c>
      <c r="I369" s="65">
        <f t="shared" si="49"/>
        <v>0</v>
      </c>
      <c r="J369" s="65">
        <f t="shared" si="49"/>
        <v>0</v>
      </c>
      <c r="K369" s="65">
        <f t="shared" si="49"/>
        <v>0</v>
      </c>
      <c r="L369" s="66">
        <f t="shared" si="49"/>
        <v>0</v>
      </c>
      <c r="M369" s="65">
        <f>COUNTIF(M371:M420,"인정")</f>
        <v>0</v>
      </c>
      <c r="N369" s="65" t="s">
        <v>164</v>
      </c>
    </row>
    <row r="370" spans="1:14" ht="19.5" hidden="1" customHeight="1" outlineLevel="1">
      <c r="A370" s="20" t="s">
        <v>42</v>
      </c>
      <c r="B370" s="20" t="s">
        <v>152</v>
      </c>
      <c r="C370" s="20" t="s">
        <v>153</v>
      </c>
      <c r="D370" s="20" t="s">
        <v>154</v>
      </c>
      <c r="E370" s="20" t="s">
        <v>155</v>
      </c>
      <c r="F370" s="20" t="s">
        <v>156</v>
      </c>
      <c r="G370" s="20" t="s">
        <v>157</v>
      </c>
      <c r="H370" s="20" t="s">
        <v>158</v>
      </c>
      <c r="I370" s="20" t="s">
        <v>159</v>
      </c>
      <c r="J370" s="20" t="s">
        <v>160</v>
      </c>
      <c r="K370" s="20" t="s">
        <v>118</v>
      </c>
      <c r="L370" s="20" t="s">
        <v>161</v>
      </c>
      <c r="M370" s="20" t="s">
        <v>162</v>
      </c>
      <c r="N370" s="20" t="s">
        <v>95</v>
      </c>
    </row>
    <row r="371" spans="1:14" ht="19.5" hidden="1" customHeight="1" outlineLevel="1">
      <c r="A371" s="24">
        <f>IF(8&lt;=DAY(DATE(YEAR(설정_코스수당!$K$2),MONTH(설정_코스수당!$K$2)+1,0)),DATE(YEAR(설정_코스수당!$K$2),MONTH(설정_코스수당!$K$2),8),"")</f>
        <v>46181</v>
      </c>
      <c r="B371" s="23" t="s">
        <v>47</v>
      </c>
      <c r="C371" s="23"/>
      <c r="D371" s="23"/>
      <c r="E371" s="23" t="str">
        <f t="shared" ref="E371:E402" si="50">IF(AND(C371&lt;&gt;"",D371&lt;&gt;""),IF(D371&lt;C371,D371+1-C371,D371-C371)*24,"")</f>
        <v/>
      </c>
      <c r="F371" s="23">
        <f>COUNTIFS(실시간콜입력!$B:$B,$A371,실시간콜입력!$E:$E,"A",실시간콜입력!$G:$G,$B371,실시간콜입력!$O:$O,"방문완료")+COUNTIFS(실시간콜입력!$B:$B,$A371,실시간콜입력!$E:$E,"A",실시간콜입력!$H:$H,$B371,실시간콜입력!$O:$O,"방문완료")</f>
        <v>0</v>
      </c>
      <c r="G371" s="23">
        <f>COUNTIFS(실시간콜입력!$B:$B,$A371,실시간콜입력!$E:$E,"B",실시간콜입력!$G:$G,$B371,실시간콜입력!$O:$O,"방문완료")+COUNTIFS(실시간콜입력!$B:$B,$A371,실시간콜입력!$E:$E,"B",실시간콜입력!$H:$H,$B371,실시간콜입력!$O:$O,"방문완료")</f>
        <v>0</v>
      </c>
      <c r="H371" s="23">
        <f>COUNTIFS(실시간콜입력!$B:$B,$A371,실시간콜입력!$E:$E,"C",실시간콜입력!$G:$G,$B371,실시간콜입력!$O:$O,"방문완료")+COUNTIFS(실시간콜입력!$B:$B,$A371,실시간콜입력!$E:$E,"C",실시간콜입력!$H:$H,$B371,실시간콜입력!$O:$O,"방문완료")</f>
        <v>0</v>
      </c>
      <c r="I371" s="23">
        <f>COUNTIFS(실시간콜입력!$B:$B,$A371,실시간콜입력!$E:$E,"D",실시간콜입력!$G:$G,$B371,실시간콜입력!$O:$O,"방문완료")+COUNTIFS(실시간콜입력!$B:$B,$A371,실시간콜입력!$E:$E,"D",실시간콜입력!$H:$H,$B371,실시간콜입력!$O:$O,"방문완료")</f>
        <v>0</v>
      </c>
      <c r="J371" s="23">
        <f>COUNTIFS(실시간콜입력!$B:$B,$A371,실시간콜입력!$E:$E,"E",실시간콜입력!$G:$G,$B371,실시간콜입력!$O:$O,"방문완료")+COUNTIFS(실시간콜입력!$B:$B,$A371,실시간콜입력!$E:$E,"E",실시간콜입력!$H:$H,$B371,실시간콜입력!$O:$O,"방문완료")</f>
        <v>0</v>
      </c>
      <c r="K371" s="23">
        <f t="shared" ref="K371:K402" si="51">SUM(F371:J371)</f>
        <v>0</v>
      </c>
      <c r="L371" s="27">
        <f>SUMIFS(실시간콜입력!$K:$K,실시간콜입력!$B:$B,$A371,실시간콜입력!$G:$G,$B371,실시간콜입력!$O:$O,"방문완료")+SUMIFS(실시간콜입력!$L:$L,실시간콜입력!$B:$B,$A371,실시간콜입력!$H:$H,$B371,실시간콜입력!$O:$O,"방문완료")</f>
        <v>0</v>
      </c>
      <c r="M371" s="23" t="str">
        <f t="shared" ref="M371:M402" si="52">IF(AND(ISNUMBER(E371),E371&gt;=8),"인정","")</f>
        <v/>
      </c>
      <c r="N371" s="23"/>
    </row>
    <row r="372" spans="1:14" ht="19.5" hidden="1" customHeight="1" outlineLevel="1">
      <c r="A372" s="30">
        <f>IF(8&lt;=DAY(DATE(YEAR(설정_코스수당!$K$2),MONTH(설정_코스수당!$K$2)+1,0)),DATE(YEAR(설정_코스수당!$K$2),MONTH(설정_코스수당!$K$2),8),"")</f>
        <v>46181</v>
      </c>
      <c r="B372" s="29" t="s">
        <v>48</v>
      </c>
      <c r="C372" s="29"/>
      <c r="D372" s="29"/>
      <c r="E372" s="29" t="str">
        <f t="shared" si="50"/>
        <v/>
      </c>
      <c r="F372" s="29">
        <f>COUNTIFS(실시간콜입력!$B:$B,$A372,실시간콜입력!$E:$E,"A",실시간콜입력!$G:$G,$B372,실시간콜입력!$O:$O,"방문완료")+COUNTIFS(실시간콜입력!$B:$B,$A372,실시간콜입력!$E:$E,"A",실시간콜입력!$H:$H,$B372,실시간콜입력!$O:$O,"방문완료")</f>
        <v>0</v>
      </c>
      <c r="G372" s="29">
        <f>COUNTIFS(실시간콜입력!$B:$B,$A372,실시간콜입력!$E:$E,"B",실시간콜입력!$G:$G,$B372,실시간콜입력!$O:$O,"방문완료")+COUNTIFS(실시간콜입력!$B:$B,$A372,실시간콜입력!$E:$E,"B",실시간콜입력!$H:$H,$B372,실시간콜입력!$O:$O,"방문완료")</f>
        <v>0</v>
      </c>
      <c r="H372" s="29">
        <f>COUNTIFS(실시간콜입력!$B:$B,$A372,실시간콜입력!$E:$E,"C",실시간콜입력!$G:$G,$B372,실시간콜입력!$O:$O,"방문완료")+COUNTIFS(실시간콜입력!$B:$B,$A372,실시간콜입력!$E:$E,"C",실시간콜입력!$H:$H,$B372,실시간콜입력!$O:$O,"방문완료")</f>
        <v>0</v>
      </c>
      <c r="I372" s="29">
        <f>COUNTIFS(실시간콜입력!$B:$B,$A372,실시간콜입력!$E:$E,"D",실시간콜입력!$G:$G,$B372,실시간콜입력!$O:$O,"방문완료")+COUNTIFS(실시간콜입력!$B:$B,$A372,실시간콜입력!$E:$E,"D",실시간콜입력!$H:$H,$B372,실시간콜입력!$O:$O,"방문완료")</f>
        <v>0</v>
      </c>
      <c r="J372" s="29">
        <f>COUNTIFS(실시간콜입력!$B:$B,$A372,실시간콜입력!$E:$E,"E",실시간콜입력!$G:$G,$B372,실시간콜입력!$O:$O,"방문완료")+COUNTIFS(실시간콜입력!$B:$B,$A372,실시간콜입력!$E:$E,"E",실시간콜입력!$H:$H,$B372,실시간콜입력!$O:$O,"방문완료")</f>
        <v>0</v>
      </c>
      <c r="K372" s="29">
        <f t="shared" si="51"/>
        <v>0</v>
      </c>
      <c r="L372" s="33">
        <f>SUMIFS(실시간콜입력!$K:$K,실시간콜입력!$B:$B,$A372,실시간콜입력!$G:$G,$B372,실시간콜입력!$O:$O,"방문완료")+SUMIFS(실시간콜입력!$L:$L,실시간콜입력!$B:$B,$A372,실시간콜입력!$H:$H,$B372,실시간콜입력!$O:$O,"방문완료")</f>
        <v>0</v>
      </c>
      <c r="M372" s="29" t="str">
        <f t="shared" si="52"/>
        <v/>
      </c>
      <c r="N372" s="29"/>
    </row>
    <row r="373" spans="1:14" ht="19.5" hidden="1" customHeight="1" outlineLevel="1">
      <c r="A373" s="24">
        <f>IF(8&lt;=DAY(DATE(YEAR(설정_코스수당!$K$2),MONTH(설정_코스수당!$K$2)+1,0)),DATE(YEAR(설정_코스수당!$K$2),MONTH(설정_코스수당!$K$2),8),"")</f>
        <v>46181</v>
      </c>
      <c r="B373" s="23" t="s">
        <v>165</v>
      </c>
      <c r="C373" s="29"/>
      <c r="D373" s="29"/>
      <c r="E373" s="29" t="str">
        <f t="shared" si="50"/>
        <v/>
      </c>
      <c r="F373" s="29">
        <f>COUNTIFS(실시간콜입력!$B:$B,$A373,실시간콜입력!$E:$E,"A",실시간콜입력!$G:$G,$B373,실시간콜입력!$O:$O,"방문완료")+COUNTIFS(실시간콜입력!$B:$B,$A373,실시간콜입력!$E:$E,"A",실시간콜입력!$H:$H,$B373,실시간콜입력!$O:$O,"방문완료")</f>
        <v>0</v>
      </c>
      <c r="G373" s="29">
        <f>COUNTIFS(실시간콜입력!$B:$B,$A373,실시간콜입력!$E:$E,"B",실시간콜입력!$G:$G,$B373,실시간콜입력!$O:$O,"방문완료")+COUNTIFS(실시간콜입력!$B:$B,$A373,실시간콜입력!$E:$E,"B",실시간콜입력!$H:$H,$B373,실시간콜입력!$O:$O,"방문완료")</f>
        <v>0</v>
      </c>
      <c r="H373" s="29">
        <f>COUNTIFS(실시간콜입력!$B:$B,$A373,실시간콜입력!$E:$E,"C",실시간콜입력!$G:$G,$B373,실시간콜입력!$O:$O,"방문완료")+COUNTIFS(실시간콜입력!$B:$B,$A373,실시간콜입력!$E:$E,"C",실시간콜입력!$H:$H,$B373,실시간콜입력!$O:$O,"방문완료")</f>
        <v>0</v>
      </c>
      <c r="I373" s="29">
        <f>COUNTIFS(실시간콜입력!$B:$B,$A373,실시간콜입력!$E:$E,"D",실시간콜입력!$G:$G,$B373,실시간콜입력!$O:$O,"방문완료")+COUNTIFS(실시간콜입력!$B:$B,$A373,실시간콜입력!$E:$E,"D",실시간콜입력!$H:$H,$B373,실시간콜입력!$O:$O,"방문완료")</f>
        <v>0</v>
      </c>
      <c r="J373" s="29">
        <f>COUNTIFS(실시간콜입력!$B:$B,$A373,실시간콜입력!$E:$E,"E",실시간콜입력!$G:$G,$B373,실시간콜입력!$O:$O,"방문완료")+COUNTIFS(실시간콜입력!$B:$B,$A373,실시간콜입력!$E:$E,"E",실시간콜입력!$H:$H,$B373,실시간콜입력!$O:$O,"방문완료")</f>
        <v>0</v>
      </c>
      <c r="K373" s="29">
        <f t="shared" si="51"/>
        <v>0</v>
      </c>
      <c r="L373" s="27">
        <f>SUMIFS(실시간콜입력!$K:$K,실시간콜입력!$B:$B,$A373,실시간콜입력!$G:$G,$B373,실시간콜입력!$O:$O,"방문완료")+SUMIFS(실시간콜입력!$L:$L,실시간콜입력!$B:$B,$A373,실시간콜입력!$H:$H,$B373,실시간콜입력!$O:$O,"방문완료")</f>
        <v>0</v>
      </c>
      <c r="M373" s="29" t="str">
        <f t="shared" si="52"/>
        <v/>
      </c>
      <c r="N373" s="29"/>
    </row>
    <row r="374" spans="1:14" ht="19.5" hidden="1" customHeight="1" outlineLevel="1">
      <c r="A374" s="30">
        <f>IF(8&lt;=DAY(DATE(YEAR(설정_코스수당!$K$2),MONTH(설정_코스수당!$K$2)+1,0)),DATE(YEAR(설정_코스수당!$K$2),MONTH(설정_코스수당!$K$2),8),"")</f>
        <v>46181</v>
      </c>
      <c r="B374" s="29" t="s">
        <v>166</v>
      </c>
      <c r="C374" s="29"/>
      <c r="D374" s="29"/>
      <c r="E374" s="29" t="str">
        <f t="shared" si="50"/>
        <v/>
      </c>
      <c r="F374" s="29">
        <f>COUNTIFS(실시간콜입력!$B:$B,$A374,실시간콜입력!$E:$E,"A",실시간콜입력!$G:$G,$B374,실시간콜입력!$O:$O,"방문완료")+COUNTIFS(실시간콜입력!$B:$B,$A374,실시간콜입력!$E:$E,"A",실시간콜입력!$H:$H,$B374,실시간콜입력!$O:$O,"방문완료")</f>
        <v>0</v>
      </c>
      <c r="G374" s="29">
        <f>COUNTIFS(실시간콜입력!$B:$B,$A374,실시간콜입력!$E:$E,"B",실시간콜입력!$G:$G,$B374,실시간콜입력!$O:$O,"방문완료")+COUNTIFS(실시간콜입력!$B:$B,$A374,실시간콜입력!$E:$E,"B",실시간콜입력!$H:$H,$B374,실시간콜입력!$O:$O,"방문완료")</f>
        <v>0</v>
      </c>
      <c r="H374" s="29">
        <f>COUNTIFS(실시간콜입력!$B:$B,$A374,실시간콜입력!$E:$E,"C",실시간콜입력!$G:$G,$B374,실시간콜입력!$O:$O,"방문완료")+COUNTIFS(실시간콜입력!$B:$B,$A374,실시간콜입력!$E:$E,"C",실시간콜입력!$H:$H,$B374,실시간콜입력!$O:$O,"방문완료")</f>
        <v>0</v>
      </c>
      <c r="I374" s="29">
        <f>COUNTIFS(실시간콜입력!$B:$B,$A374,실시간콜입력!$E:$E,"D",실시간콜입력!$G:$G,$B374,실시간콜입력!$O:$O,"방문완료")+COUNTIFS(실시간콜입력!$B:$B,$A374,실시간콜입력!$E:$E,"D",실시간콜입력!$H:$H,$B374,실시간콜입력!$O:$O,"방문완료")</f>
        <v>0</v>
      </c>
      <c r="J374" s="29">
        <f>COUNTIFS(실시간콜입력!$B:$B,$A374,실시간콜입력!$E:$E,"E",실시간콜입력!$G:$G,$B374,실시간콜입력!$O:$O,"방문완료")+COUNTIFS(실시간콜입력!$B:$B,$A374,실시간콜입력!$E:$E,"E",실시간콜입력!$H:$H,$B374,실시간콜입력!$O:$O,"방문완료")</f>
        <v>0</v>
      </c>
      <c r="K374" s="29">
        <f t="shared" si="51"/>
        <v>0</v>
      </c>
      <c r="L374" s="33">
        <f>SUMIFS(실시간콜입력!$K:$K,실시간콜입력!$B:$B,$A374,실시간콜입력!$G:$G,$B374,실시간콜입력!$O:$O,"방문완료")+SUMIFS(실시간콜입력!$L:$L,실시간콜입력!$B:$B,$A374,실시간콜입력!$H:$H,$B374,실시간콜입력!$O:$O,"방문완료")</f>
        <v>0</v>
      </c>
      <c r="M374" s="29" t="str">
        <f t="shared" si="52"/>
        <v/>
      </c>
      <c r="N374" s="29"/>
    </row>
    <row r="375" spans="1:14" ht="19.5" hidden="1" customHeight="1" outlineLevel="1">
      <c r="A375" s="24">
        <f>IF(8&lt;=DAY(DATE(YEAR(설정_코스수당!$K$2),MONTH(설정_코스수당!$K$2)+1,0)),DATE(YEAR(설정_코스수당!$K$2),MONTH(설정_코스수당!$K$2),8),"")</f>
        <v>46181</v>
      </c>
      <c r="B375" s="23" t="s">
        <v>167</v>
      </c>
      <c r="C375" s="29"/>
      <c r="D375" s="29"/>
      <c r="E375" s="29" t="str">
        <f t="shared" si="50"/>
        <v/>
      </c>
      <c r="F375" s="29">
        <f>COUNTIFS(실시간콜입력!$B:$B,$A375,실시간콜입력!$E:$E,"A",실시간콜입력!$G:$G,$B375,실시간콜입력!$O:$O,"방문완료")+COUNTIFS(실시간콜입력!$B:$B,$A375,실시간콜입력!$E:$E,"A",실시간콜입력!$H:$H,$B375,실시간콜입력!$O:$O,"방문완료")</f>
        <v>0</v>
      </c>
      <c r="G375" s="29">
        <f>COUNTIFS(실시간콜입력!$B:$B,$A375,실시간콜입력!$E:$E,"B",실시간콜입력!$G:$G,$B375,실시간콜입력!$O:$O,"방문완료")+COUNTIFS(실시간콜입력!$B:$B,$A375,실시간콜입력!$E:$E,"B",실시간콜입력!$H:$H,$B375,실시간콜입력!$O:$O,"방문완료")</f>
        <v>0</v>
      </c>
      <c r="H375" s="29">
        <f>COUNTIFS(실시간콜입력!$B:$B,$A375,실시간콜입력!$E:$E,"C",실시간콜입력!$G:$G,$B375,실시간콜입력!$O:$O,"방문완료")+COUNTIFS(실시간콜입력!$B:$B,$A375,실시간콜입력!$E:$E,"C",실시간콜입력!$H:$H,$B375,실시간콜입력!$O:$O,"방문완료")</f>
        <v>0</v>
      </c>
      <c r="I375" s="29">
        <f>COUNTIFS(실시간콜입력!$B:$B,$A375,실시간콜입력!$E:$E,"D",실시간콜입력!$G:$G,$B375,실시간콜입력!$O:$O,"방문완료")+COUNTIFS(실시간콜입력!$B:$B,$A375,실시간콜입력!$E:$E,"D",실시간콜입력!$H:$H,$B375,실시간콜입력!$O:$O,"방문완료")</f>
        <v>0</v>
      </c>
      <c r="J375" s="29">
        <f>COUNTIFS(실시간콜입력!$B:$B,$A375,실시간콜입력!$E:$E,"E",실시간콜입력!$G:$G,$B375,실시간콜입력!$O:$O,"방문완료")+COUNTIFS(실시간콜입력!$B:$B,$A375,실시간콜입력!$E:$E,"E",실시간콜입력!$H:$H,$B375,실시간콜입력!$O:$O,"방문완료")</f>
        <v>0</v>
      </c>
      <c r="K375" s="29">
        <f t="shared" si="51"/>
        <v>0</v>
      </c>
      <c r="L375" s="27">
        <f>SUMIFS(실시간콜입력!$K:$K,실시간콜입력!$B:$B,$A375,실시간콜입력!$G:$G,$B375,실시간콜입력!$O:$O,"방문완료")+SUMIFS(실시간콜입력!$L:$L,실시간콜입력!$B:$B,$A375,실시간콜입력!$H:$H,$B375,실시간콜입력!$O:$O,"방문완료")</f>
        <v>0</v>
      </c>
      <c r="M375" s="29" t="str">
        <f t="shared" si="52"/>
        <v/>
      </c>
      <c r="N375" s="29"/>
    </row>
    <row r="376" spans="1:14" ht="19.5" hidden="1" customHeight="1" outlineLevel="1">
      <c r="A376" s="30">
        <f>IF(8&lt;=DAY(DATE(YEAR(설정_코스수당!$K$2),MONTH(설정_코스수당!$K$2)+1,0)),DATE(YEAR(설정_코스수당!$K$2),MONTH(설정_코스수당!$K$2),8),"")</f>
        <v>46181</v>
      </c>
      <c r="B376" s="29" t="s">
        <v>168</v>
      </c>
      <c r="C376" s="29"/>
      <c r="D376" s="29"/>
      <c r="E376" s="29" t="str">
        <f t="shared" si="50"/>
        <v/>
      </c>
      <c r="F376" s="29">
        <f>COUNTIFS(실시간콜입력!$B:$B,$A376,실시간콜입력!$E:$E,"A",실시간콜입력!$G:$G,$B376,실시간콜입력!$O:$O,"방문완료")+COUNTIFS(실시간콜입력!$B:$B,$A376,실시간콜입력!$E:$E,"A",실시간콜입력!$H:$H,$B376,실시간콜입력!$O:$O,"방문완료")</f>
        <v>0</v>
      </c>
      <c r="G376" s="29">
        <f>COUNTIFS(실시간콜입력!$B:$B,$A376,실시간콜입력!$E:$E,"B",실시간콜입력!$G:$G,$B376,실시간콜입력!$O:$O,"방문완료")+COUNTIFS(실시간콜입력!$B:$B,$A376,실시간콜입력!$E:$E,"B",실시간콜입력!$H:$H,$B376,실시간콜입력!$O:$O,"방문완료")</f>
        <v>0</v>
      </c>
      <c r="H376" s="29">
        <f>COUNTIFS(실시간콜입력!$B:$B,$A376,실시간콜입력!$E:$E,"C",실시간콜입력!$G:$G,$B376,실시간콜입력!$O:$O,"방문완료")+COUNTIFS(실시간콜입력!$B:$B,$A376,실시간콜입력!$E:$E,"C",실시간콜입력!$H:$H,$B376,실시간콜입력!$O:$O,"방문완료")</f>
        <v>0</v>
      </c>
      <c r="I376" s="29">
        <f>COUNTIFS(실시간콜입력!$B:$B,$A376,실시간콜입력!$E:$E,"D",실시간콜입력!$G:$G,$B376,실시간콜입력!$O:$O,"방문완료")+COUNTIFS(실시간콜입력!$B:$B,$A376,실시간콜입력!$E:$E,"D",실시간콜입력!$H:$H,$B376,실시간콜입력!$O:$O,"방문완료")</f>
        <v>0</v>
      </c>
      <c r="J376" s="29">
        <f>COUNTIFS(실시간콜입력!$B:$B,$A376,실시간콜입력!$E:$E,"E",실시간콜입력!$G:$G,$B376,실시간콜입력!$O:$O,"방문완료")+COUNTIFS(실시간콜입력!$B:$B,$A376,실시간콜입력!$E:$E,"E",실시간콜입력!$H:$H,$B376,실시간콜입력!$O:$O,"방문완료")</f>
        <v>0</v>
      </c>
      <c r="K376" s="29">
        <f t="shared" si="51"/>
        <v>0</v>
      </c>
      <c r="L376" s="33">
        <f>SUMIFS(실시간콜입력!$K:$K,실시간콜입력!$B:$B,$A376,실시간콜입력!$G:$G,$B376,실시간콜입력!$O:$O,"방문완료")+SUMIFS(실시간콜입력!$L:$L,실시간콜입력!$B:$B,$A376,실시간콜입력!$H:$H,$B376,실시간콜입력!$O:$O,"방문완료")</f>
        <v>0</v>
      </c>
      <c r="M376" s="29" t="str">
        <f t="shared" si="52"/>
        <v/>
      </c>
      <c r="N376" s="29"/>
    </row>
    <row r="377" spans="1:14" ht="19.5" hidden="1" customHeight="1" outlineLevel="1">
      <c r="A377" s="24">
        <f>IF(8&lt;=DAY(DATE(YEAR(설정_코스수당!$K$2),MONTH(설정_코스수당!$K$2)+1,0)),DATE(YEAR(설정_코스수당!$K$2),MONTH(설정_코스수당!$K$2),8),"")</f>
        <v>46181</v>
      </c>
      <c r="B377" s="23" t="s">
        <v>169</v>
      </c>
      <c r="C377" s="29"/>
      <c r="D377" s="29"/>
      <c r="E377" s="29" t="str">
        <f t="shared" si="50"/>
        <v/>
      </c>
      <c r="F377" s="29">
        <f>COUNTIFS(실시간콜입력!$B:$B,$A377,실시간콜입력!$E:$E,"A",실시간콜입력!$G:$G,$B377,실시간콜입력!$O:$O,"방문완료")+COUNTIFS(실시간콜입력!$B:$B,$A377,실시간콜입력!$E:$E,"A",실시간콜입력!$H:$H,$B377,실시간콜입력!$O:$O,"방문완료")</f>
        <v>0</v>
      </c>
      <c r="G377" s="29">
        <f>COUNTIFS(실시간콜입력!$B:$B,$A377,실시간콜입력!$E:$E,"B",실시간콜입력!$G:$G,$B377,실시간콜입력!$O:$O,"방문완료")+COUNTIFS(실시간콜입력!$B:$B,$A377,실시간콜입력!$E:$E,"B",실시간콜입력!$H:$H,$B377,실시간콜입력!$O:$O,"방문완료")</f>
        <v>0</v>
      </c>
      <c r="H377" s="29">
        <f>COUNTIFS(실시간콜입력!$B:$B,$A377,실시간콜입력!$E:$E,"C",실시간콜입력!$G:$G,$B377,실시간콜입력!$O:$O,"방문완료")+COUNTIFS(실시간콜입력!$B:$B,$A377,실시간콜입력!$E:$E,"C",실시간콜입력!$H:$H,$B377,실시간콜입력!$O:$O,"방문완료")</f>
        <v>0</v>
      </c>
      <c r="I377" s="29">
        <f>COUNTIFS(실시간콜입력!$B:$B,$A377,실시간콜입력!$E:$E,"D",실시간콜입력!$G:$G,$B377,실시간콜입력!$O:$O,"방문완료")+COUNTIFS(실시간콜입력!$B:$B,$A377,실시간콜입력!$E:$E,"D",실시간콜입력!$H:$H,$B377,실시간콜입력!$O:$O,"방문완료")</f>
        <v>0</v>
      </c>
      <c r="J377" s="29">
        <f>COUNTIFS(실시간콜입력!$B:$B,$A377,실시간콜입력!$E:$E,"E",실시간콜입력!$G:$G,$B377,실시간콜입력!$O:$O,"방문완료")+COUNTIFS(실시간콜입력!$B:$B,$A377,실시간콜입력!$E:$E,"E",실시간콜입력!$H:$H,$B377,실시간콜입력!$O:$O,"방문완료")</f>
        <v>0</v>
      </c>
      <c r="K377" s="29">
        <f t="shared" si="51"/>
        <v>0</v>
      </c>
      <c r="L377" s="27">
        <f>SUMIFS(실시간콜입력!$K:$K,실시간콜입력!$B:$B,$A377,실시간콜입력!$G:$G,$B377,실시간콜입력!$O:$O,"방문완료")+SUMIFS(실시간콜입력!$L:$L,실시간콜입력!$B:$B,$A377,실시간콜입력!$H:$H,$B377,실시간콜입력!$O:$O,"방문완료")</f>
        <v>0</v>
      </c>
      <c r="M377" s="29" t="str">
        <f t="shared" si="52"/>
        <v/>
      </c>
      <c r="N377" s="29"/>
    </row>
    <row r="378" spans="1:14" ht="19.5" hidden="1" customHeight="1" outlineLevel="1">
      <c r="A378" s="30">
        <f>IF(8&lt;=DAY(DATE(YEAR(설정_코스수당!$K$2),MONTH(설정_코스수당!$K$2)+1,0)),DATE(YEAR(설정_코스수당!$K$2),MONTH(설정_코스수당!$K$2),8),"")</f>
        <v>46181</v>
      </c>
      <c r="B378" s="29" t="s">
        <v>170</v>
      </c>
      <c r="C378" s="29"/>
      <c r="D378" s="29"/>
      <c r="E378" s="29" t="str">
        <f t="shared" si="50"/>
        <v/>
      </c>
      <c r="F378" s="29">
        <f>COUNTIFS(실시간콜입력!$B:$B,$A378,실시간콜입력!$E:$E,"A",실시간콜입력!$G:$G,$B378,실시간콜입력!$O:$O,"방문완료")+COUNTIFS(실시간콜입력!$B:$B,$A378,실시간콜입력!$E:$E,"A",실시간콜입력!$H:$H,$B378,실시간콜입력!$O:$O,"방문완료")</f>
        <v>0</v>
      </c>
      <c r="G378" s="29">
        <f>COUNTIFS(실시간콜입력!$B:$B,$A378,실시간콜입력!$E:$E,"B",실시간콜입력!$G:$G,$B378,실시간콜입력!$O:$O,"방문완료")+COUNTIFS(실시간콜입력!$B:$B,$A378,실시간콜입력!$E:$E,"B",실시간콜입력!$H:$H,$B378,실시간콜입력!$O:$O,"방문완료")</f>
        <v>0</v>
      </c>
      <c r="H378" s="29">
        <f>COUNTIFS(실시간콜입력!$B:$B,$A378,실시간콜입력!$E:$E,"C",실시간콜입력!$G:$G,$B378,실시간콜입력!$O:$O,"방문완료")+COUNTIFS(실시간콜입력!$B:$B,$A378,실시간콜입력!$E:$E,"C",실시간콜입력!$H:$H,$B378,실시간콜입력!$O:$O,"방문완료")</f>
        <v>0</v>
      </c>
      <c r="I378" s="29">
        <f>COUNTIFS(실시간콜입력!$B:$B,$A378,실시간콜입력!$E:$E,"D",실시간콜입력!$G:$G,$B378,실시간콜입력!$O:$O,"방문완료")+COUNTIFS(실시간콜입력!$B:$B,$A378,실시간콜입력!$E:$E,"D",실시간콜입력!$H:$H,$B378,실시간콜입력!$O:$O,"방문완료")</f>
        <v>0</v>
      </c>
      <c r="J378" s="29">
        <f>COUNTIFS(실시간콜입력!$B:$B,$A378,실시간콜입력!$E:$E,"E",실시간콜입력!$G:$G,$B378,실시간콜입력!$O:$O,"방문완료")+COUNTIFS(실시간콜입력!$B:$B,$A378,실시간콜입력!$E:$E,"E",실시간콜입력!$H:$H,$B378,실시간콜입력!$O:$O,"방문완료")</f>
        <v>0</v>
      </c>
      <c r="K378" s="29">
        <f t="shared" si="51"/>
        <v>0</v>
      </c>
      <c r="L378" s="33">
        <f>SUMIFS(실시간콜입력!$K:$K,실시간콜입력!$B:$B,$A378,실시간콜입력!$G:$G,$B378,실시간콜입력!$O:$O,"방문완료")+SUMIFS(실시간콜입력!$L:$L,실시간콜입력!$B:$B,$A378,실시간콜입력!$H:$H,$B378,실시간콜입력!$O:$O,"방문완료")</f>
        <v>0</v>
      </c>
      <c r="M378" s="29" t="str">
        <f t="shared" si="52"/>
        <v/>
      </c>
      <c r="N378" s="29"/>
    </row>
    <row r="379" spans="1:14" ht="19.5" hidden="1" customHeight="1" outlineLevel="1">
      <c r="A379" s="24">
        <f>IF(8&lt;=DAY(DATE(YEAR(설정_코스수당!$K$2),MONTH(설정_코스수당!$K$2)+1,0)),DATE(YEAR(설정_코스수당!$K$2),MONTH(설정_코스수당!$K$2),8),"")</f>
        <v>46181</v>
      </c>
      <c r="B379" s="23" t="s">
        <v>171</v>
      </c>
      <c r="C379" s="29"/>
      <c r="D379" s="29"/>
      <c r="E379" s="29" t="str">
        <f t="shared" si="50"/>
        <v/>
      </c>
      <c r="F379" s="29">
        <f>COUNTIFS(실시간콜입력!$B:$B,$A379,실시간콜입력!$E:$E,"A",실시간콜입력!$G:$G,$B379,실시간콜입력!$O:$O,"방문완료")+COUNTIFS(실시간콜입력!$B:$B,$A379,실시간콜입력!$E:$E,"A",실시간콜입력!$H:$H,$B379,실시간콜입력!$O:$O,"방문완료")</f>
        <v>0</v>
      </c>
      <c r="G379" s="29">
        <f>COUNTIFS(실시간콜입력!$B:$B,$A379,실시간콜입력!$E:$E,"B",실시간콜입력!$G:$G,$B379,실시간콜입력!$O:$O,"방문완료")+COUNTIFS(실시간콜입력!$B:$B,$A379,실시간콜입력!$E:$E,"B",실시간콜입력!$H:$H,$B379,실시간콜입력!$O:$O,"방문완료")</f>
        <v>0</v>
      </c>
      <c r="H379" s="29">
        <f>COUNTIFS(실시간콜입력!$B:$B,$A379,실시간콜입력!$E:$E,"C",실시간콜입력!$G:$G,$B379,실시간콜입력!$O:$O,"방문완료")+COUNTIFS(실시간콜입력!$B:$B,$A379,실시간콜입력!$E:$E,"C",실시간콜입력!$H:$H,$B379,실시간콜입력!$O:$O,"방문완료")</f>
        <v>0</v>
      </c>
      <c r="I379" s="29">
        <f>COUNTIFS(실시간콜입력!$B:$B,$A379,실시간콜입력!$E:$E,"D",실시간콜입력!$G:$G,$B379,실시간콜입력!$O:$O,"방문완료")+COUNTIFS(실시간콜입력!$B:$B,$A379,실시간콜입력!$E:$E,"D",실시간콜입력!$H:$H,$B379,실시간콜입력!$O:$O,"방문완료")</f>
        <v>0</v>
      </c>
      <c r="J379" s="29">
        <f>COUNTIFS(실시간콜입력!$B:$B,$A379,실시간콜입력!$E:$E,"E",실시간콜입력!$G:$G,$B379,실시간콜입력!$O:$O,"방문완료")+COUNTIFS(실시간콜입력!$B:$B,$A379,실시간콜입력!$E:$E,"E",실시간콜입력!$H:$H,$B379,실시간콜입력!$O:$O,"방문완료")</f>
        <v>0</v>
      </c>
      <c r="K379" s="29">
        <f t="shared" si="51"/>
        <v>0</v>
      </c>
      <c r="L379" s="27">
        <f>SUMIFS(실시간콜입력!$K:$K,실시간콜입력!$B:$B,$A379,실시간콜입력!$G:$G,$B379,실시간콜입력!$O:$O,"방문완료")+SUMIFS(실시간콜입력!$L:$L,실시간콜입력!$B:$B,$A379,실시간콜입력!$H:$H,$B379,실시간콜입력!$O:$O,"방문완료")</f>
        <v>0</v>
      </c>
      <c r="M379" s="29" t="str">
        <f t="shared" si="52"/>
        <v/>
      </c>
      <c r="N379" s="29"/>
    </row>
    <row r="380" spans="1:14" ht="19.5" hidden="1" customHeight="1" outlineLevel="1">
      <c r="A380" s="30">
        <f>IF(8&lt;=DAY(DATE(YEAR(설정_코스수당!$K$2),MONTH(설정_코스수당!$K$2)+1,0)),DATE(YEAR(설정_코스수당!$K$2),MONTH(설정_코스수당!$K$2),8),"")</f>
        <v>46181</v>
      </c>
      <c r="B380" s="29" t="s">
        <v>172</v>
      </c>
      <c r="C380" s="29"/>
      <c r="D380" s="29"/>
      <c r="E380" s="29" t="str">
        <f t="shared" si="50"/>
        <v/>
      </c>
      <c r="F380" s="29">
        <f>COUNTIFS(실시간콜입력!$B:$B,$A380,실시간콜입력!$E:$E,"A",실시간콜입력!$G:$G,$B380,실시간콜입력!$O:$O,"방문완료")+COUNTIFS(실시간콜입력!$B:$B,$A380,실시간콜입력!$E:$E,"A",실시간콜입력!$H:$H,$B380,실시간콜입력!$O:$O,"방문완료")</f>
        <v>0</v>
      </c>
      <c r="G380" s="29">
        <f>COUNTIFS(실시간콜입력!$B:$B,$A380,실시간콜입력!$E:$E,"B",실시간콜입력!$G:$G,$B380,실시간콜입력!$O:$O,"방문완료")+COUNTIFS(실시간콜입력!$B:$B,$A380,실시간콜입력!$E:$E,"B",실시간콜입력!$H:$H,$B380,실시간콜입력!$O:$O,"방문완료")</f>
        <v>0</v>
      </c>
      <c r="H380" s="29">
        <f>COUNTIFS(실시간콜입력!$B:$B,$A380,실시간콜입력!$E:$E,"C",실시간콜입력!$G:$G,$B380,실시간콜입력!$O:$O,"방문완료")+COUNTIFS(실시간콜입력!$B:$B,$A380,실시간콜입력!$E:$E,"C",실시간콜입력!$H:$H,$B380,실시간콜입력!$O:$O,"방문완료")</f>
        <v>0</v>
      </c>
      <c r="I380" s="29">
        <f>COUNTIFS(실시간콜입력!$B:$B,$A380,실시간콜입력!$E:$E,"D",실시간콜입력!$G:$G,$B380,실시간콜입력!$O:$O,"방문완료")+COUNTIFS(실시간콜입력!$B:$B,$A380,실시간콜입력!$E:$E,"D",실시간콜입력!$H:$H,$B380,실시간콜입력!$O:$O,"방문완료")</f>
        <v>0</v>
      </c>
      <c r="J380" s="29">
        <f>COUNTIFS(실시간콜입력!$B:$B,$A380,실시간콜입력!$E:$E,"E",실시간콜입력!$G:$G,$B380,실시간콜입력!$O:$O,"방문완료")+COUNTIFS(실시간콜입력!$B:$B,$A380,실시간콜입력!$E:$E,"E",실시간콜입력!$H:$H,$B380,실시간콜입력!$O:$O,"방문완료")</f>
        <v>0</v>
      </c>
      <c r="K380" s="29">
        <f t="shared" si="51"/>
        <v>0</v>
      </c>
      <c r="L380" s="33">
        <f>SUMIFS(실시간콜입력!$K:$K,실시간콜입력!$B:$B,$A380,실시간콜입력!$G:$G,$B380,실시간콜입력!$O:$O,"방문완료")+SUMIFS(실시간콜입력!$L:$L,실시간콜입력!$B:$B,$A380,실시간콜입력!$H:$H,$B380,실시간콜입력!$O:$O,"방문완료")</f>
        <v>0</v>
      </c>
      <c r="M380" s="29" t="str">
        <f t="shared" si="52"/>
        <v/>
      </c>
      <c r="N380" s="29"/>
    </row>
    <row r="381" spans="1:14" ht="19.5" hidden="1" customHeight="1" outlineLevel="1">
      <c r="A381" s="24">
        <f>IF(8&lt;=DAY(DATE(YEAR(설정_코스수당!$K$2),MONTH(설정_코스수당!$K$2)+1,0)),DATE(YEAR(설정_코스수당!$K$2),MONTH(설정_코스수당!$K$2),8),"")</f>
        <v>46181</v>
      </c>
      <c r="B381" s="23" t="s">
        <v>173</v>
      </c>
      <c r="C381" s="29"/>
      <c r="D381" s="29"/>
      <c r="E381" s="29" t="str">
        <f t="shared" si="50"/>
        <v/>
      </c>
      <c r="F381" s="29">
        <f>COUNTIFS(실시간콜입력!$B:$B,$A381,실시간콜입력!$E:$E,"A",실시간콜입력!$G:$G,$B381,실시간콜입력!$O:$O,"방문완료")+COUNTIFS(실시간콜입력!$B:$B,$A381,실시간콜입력!$E:$E,"A",실시간콜입력!$H:$H,$B381,실시간콜입력!$O:$O,"방문완료")</f>
        <v>0</v>
      </c>
      <c r="G381" s="29">
        <f>COUNTIFS(실시간콜입력!$B:$B,$A381,실시간콜입력!$E:$E,"B",실시간콜입력!$G:$G,$B381,실시간콜입력!$O:$O,"방문완료")+COUNTIFS(실시간콜입력!$B:$B,$A381,실시간콜입력!$E:$E,"B",실시간콜입력!$H:$H,$B381,실시간콜입력!$O:$O,"방문완료")</f>
        <v>0</v>
      </c>
      <c r="H381" s="29">
        <f>COUNTIFS(실시간콜입력!$B:$B,$A381,실시간콜입력!$E:$E,"C",실시간콜입력!$G:$G,$B381,실시간콜입력!$O:$O,"방문완료")+COUNTIFS(실시간콜입력!$B:$B,$A381,실시간콜입력!$E:$E,"C",실시간콜입력!$H:$H,$B381,실시간콜입력!$O:$O,"방문완료")</f>
        <v>0</v>
      </c>
      <c r="I381" s="29">
        <f>COUNTIFS(실시간콜입력!$B:$B,$A381,실시간콜입력!$E:$E,"D",실시간콜입력!$G:$G,$B381,실시간콜입력!$O:$O,"방문완료")+COUNTIFS(실시간콜입력!$B:$B,$A381,실시간콜입력!$E:$E,"D",실시간콜입력!$H:$H,$B381,실시간콜입력!$O:$O,"방문완료")</f>
        <v>0</v>
      </c>
      <c r="J381" s="29">
        <f>COUNTIFS(실시간콜입력!$B:$B,$A381,실시간콜입력!$E:$E,"E",실시간콜입력!$G:$G,$B381,실시간콜입력!$O:$O,"방문완료")+COUNTIFS(실시간콜입력!$B:$B,$A381,실시간콜입력!$E:$E,"E",실시간콜입력!$H:$H,$B381,실시간콜입력!$O:$O,"방문완료")</f>
        <v>0</v>
      </c>
      <c r="K381" s="29">
        <f t="shared" si="51"/>
        <v>0</v>
      </c>
      <c r="L381" s="27">
        <f>SUMIFS(실시간콜입력!$K:$K,실시간콜입력!$B:$B,$A381,실시간콜입력!$G:$G,$B381,실시간콜입력!$O:$O,"방문완료")+SUMIFS(실시간콜입력!$L:$L,실시간콜입력!$B:$B,$A381,실시간콜입력!$H:$H,$B381,실시간콜입력!$O:$O,"방문완료")</f>
        <v>0</v>
      </c>
      <c r="M381" s="29" t="str">
        <f t="shared" si="52"/>
        <v/>
      </c>
      <c r="N381" s="29"/>
    </row>
    <row r="382" spans="1:14" ht="19.5" hidden="1" customHeight="1" outlineLevel="1">
      <c r="A382" s="30">
        <f>IF(8&lt;=DAY(DATE(YEAR(설정_코스수당!$K$2),MONTH(설정_코스수당!$K$2)+1,0)),DATE(YEAR(설정_코스수당!$K$2),MONTH(설정_코스수당!$K$2),8),"")</f>
        <v>46181</v>
      </c>
      <c r="B382" s="29" t="s">
        <v>174</v>
      </c>
      <c r="C382" s="29"/>
      <c r="D382" s="29"/>
      <c r="E382" s="29" t="str">
        <f t="shared" si="50"/>
        <v/>
      </c>
      <c r="F382" s="29">
        <f>COUNTIFS(실시간콜입력!$B:$B,$A382,실시간콜입력!$E:$E,"A",실시간콜입력!$G:$G,$B382,실시간콜입력!$O:$O,"방문완료")+COUNTIFS(실시간콜입력!$B:$B,$A382,실시간콜입력!$E:$E,"A",실시간콜입력!$H:$H,$B382,실시간콜입력!$O:$O,"방문완료")</f>
        <v>0</v>
      </c>
      <c r="G382" s="29">
        <f>COUNTIFS(실시간콜입력!$B:$B,$A382,실시간콜입력!$E:$E,"B",실시간콜입력!$G:$G,$B382,실시간콜입력!$O:$O,"방문완료")+COUNTIFS(실시간콜입력!$B:$B,$A382,실시간콜입력!$E:$E,"B",실시간콜입력!$H:$H,$B382,실시간콜입력!$O:$O,"방문완료")</f>
        <v>0</v>
      </c>
      <c r="H382" s="29">
        <f>COUNTIFS(실시간콜입력!$B:$B,$A382,실시간콜입력!$E:$E,"C",실시간콜입력!$G:$G,$B382,실시간콜입력!$O:$O,"방문완료")+COUNTIFS(실시간콜입력!$B:$B,$A382,실시간콜입력!$E:$E,"C",실시간콜입력!$H:$H,$B382,실시간콜입력!$O:$O,"방문완료")</f>
        <v>0</v>
      </c>
      <c r="I382" s="29">
        <f>COUNTIFS(실시간콜입력!$B:$B,$A382,실시간콜입력!$E:$E,"D",실시간콜입력!$G:$G,$B382,실시간콜입력!$O:$O,"방문완료")+COUNTIFS(실시간콜입력!$B:$B,$A382,실시간콜입력!$E:$E,"D",실시간콜입력!$H:$H,$B382,실시간콜입력!$O:$O,"방문완료")</f>
        <v>0</v>
      </c>
      <c r="J382" s="29">
        <f>COUNTIFS(실시간콜입력!$B:$B,$A382,실시간콜입력!$E:$E,"E",실시간콜입력!$G:$G,$B382,실시간콜입력!$O:$O,"방문완료")+COUNTIFS(실시간콜입력!$B:$B,$A382,실시간콜입력!$E:$E,"E",실시간콜입력!$H:$H,$B382,실시간콜입력!$O:$O,"방문완료")</f>
        <v>0</v>
      </c>
      <c r="K382" s="29">
        <f t="shared" si="51"/>
        <v>0</v>
      </c>
      <c r="L382" s="33">
        <f>SUMIFS(실시간콜입력!$K:$K,실시간콜입력!$B:$B,$A382,실시간콜입력!$G:$G,$B382,실시간콜입력!$O:$O,"방문완료")+SUMIFS(실시간콜입력!$L:$L,실시간콜입력!$B:$B,$A382,실시간콜입력!$H:$H,$B382,실시간콜입력!$O:$O,"방문완료")</f>
        <v>0</v>
      </c>
      <c r="M382" s="29" t="str">
        <f t="shared" si="52"/>
        <v/>
      </c>
      <c r="N382" s="29"/>
    </row>
    <row r="383" spans="1:14" ht="19.5" hidden="1" customHeight="1" outlineLevel="1">
      <c r="A383" s="24">
        <f>IF(8&lt;=DAY(DATE(YEAR(설정_코스수당!$K$2),MONTH(설정_코스수당!$K$2)+1,0)),DATE(YEAR(설정_코스수당!$K$2),MONTH(설정_코스수당!$K$2),8),"")</f>
        <v>46181</v>
      </c>
      <c r="B383" s="23" t="s">
        <v>175</v>
      </c>
      <c r="C383" s="29"/>
      <c r="D383" s="29"/>
      <c r="E383" s="29" t="str">
        <f t="shared" si="50"/>
        <v/>
      </c>
      <c r="F383" s="29">
        <f>COUNTIFS(실시간콜입력!$B:$B,$A383,실시간콜입력!$E:$E,"A",실시간콜입력!$G:$G,$B383,실시간콜입력!$O:$O,"방문완료")+COUNTIFS(실시간콜입력!$B:$B,$A383,실시간콜입력!$E:$E,"A",실시간콜입력!$H:$H,$B383,실시간콜입력!$O:$O,"방문완료")</f>
        <v>0</v>
      </c>
      <c r="G383" s="29">
        <f>COUNTIFS(실시간콜입력!$B:$B,$A383,실시간콜입력!$E:$E,"B",실시간콜입력!$G:$G,$B383,실시간콜입력!$O:$O,"방문완료")+COUNTIFS(실시간콜입력!$B:$B,$A383,실시간콜입력!$E:$E,"B",실시간콜입력!$H:$H,$B383,실시간콜입력!$O:$O,"방문완료")</f>
        <v>0</v>
      </c>
      <c r="H383" s="29">
        <f>COUNTIFS(실시간콜입력!$B:$B,$A383,실시간콜입력!$E:$E,"C",실시간콜입력!$G:$G,$B383,실시간콜입력!$O:$O,"방문완료")+COUNTIFS(실시간콜입력!$B:$B,$A383,실시간콜입력!$E:$E,"C",실시간콜입력!$H:$H,$B383,실시간콜입력!$O:$O,"방문완료")</f>
        <v>0</v>
      </c>
      <c r="I383" s="29">
        <f>COUNTIFS(실시간콜입력!$B:$B,$A383,실시간콜입력!$E:$E,"D",실시간콜입력!$G:$G,$B383,실시간콜입력!$O:$O,"방문완료")+COUNTIFS(실시간콜입력!$B:$B,$A383,실시간콜입력!$E:$E,"D",실시간콜입력!$H:$H,$B383,실시간콜입력!$O:$O,"방문완료")</f>
        <v>0</v>
      </c>
      <c r="J383" s="29">
        <f>COUNTIFS(실시간콜입력!$B:$B,$A383,실시간콜입력!$E:$E,"E",실시간콜입력!$G:$G,$B383,실시간콜입력!$O:$O,"방문완료")+COUNTIFS(실시간콜입력!$B:$B,$A383,실시간콜입력!$E:$E,"E",실시간콜입력!$H:$H,$B383,실시간콜입력!$O:$O,"방문완료")</f>
        <v>0</v>
      </c>
      <c r="K383" s="29">
        <f t="shared" si="51"/>
        <v>0</v>
      </c>
      <c r="L383" s="27">
        <f>SUMIFS(실시간콜입력!$K:$K,실시간콜입력!$B:$B,$A383,실시간콜입력!$G:$G,$B383,실시간콜입력!$O:$O,"방문완료")+SUMIFS(실시간콜입력!$L:$L,실시간콜입력!$B:$B,$A383,실시간콜입력!$H:$H,$B383,실시간콜입력!$O:$O,"방문완료")</f>
        <v>0</v>
      </c>
      <c r="M383" s="29" t="str">
        <f t="shared" si="52"/>
        <v/>
      </c>
      <c r="N383" s="29"/>
    </row>
    <row r="384" spans="1:14" ht="19.5" hidden="1" customHeight="1" outlineLevel="1">
      <c r="A384" s="30">
        <f>IF(8&lt;=DAY(DATE(YEAR(설정_코스수당!$K$2),MONTH(설정_코스수당!$K$2)+1,0)),DATE(YEAR(설정_코스수당!$K$2),MONTH(설정_코스수당!$K$2),8),"")</f>
        <v>46181</v>
      </c>
      <c r="B384" s="29" t="s">
        <v>176</v>
      </c>
      <c r="C384" s="29"/>
      <c r="D384" s="29"/>
      <c r="E384" s="29" t="str">
        <f t="shared" si="50"/>
        <v/>
      </c>
      <c r="F384" s="29">
        <f>COUNTIFS(실시간콜입력!$B:$B,$A384,실시간콜입력!$E:$E,"A",실시간콜입력!$G:$G,$B384,실시간콜입력!$O:$O,"방문완료")+COUNTIFS(실시간콜입력!$B:$B,$A384,실시간콜입력!$E:$E,"A",실시간콜입력!$H:$H,$B384,실시간콜입력!$O:$O,"방문완료")</f>
        <v>0</v>
      </c>
      <c r="G384" s="29">
        <f>COUNTIFS(실시간콜입력!$B:$B,$A384,실시간콜입력!$E:$E,"B",실시간콜입력!$G:$G,$B384,실시간콜입력!$O:$O,"방문완료")+COUNTIFS(실시간콜입력!$B:$B,$A384,실시간콜입력!$E:$E,"B",실시간콜입력!$H:$H,$B384,실시간콜입력!$O:$O,"방문완료")</f>
        <v>0</v>
      </c>
      <c r="H384" s="29">
        <f>COUNTIFS(실시간콜입력!$B:$B,$A384,실시간콜입력!$E:$E,"C",실시간콜입력!$G:$G,$B384,실시간콜입력!$O:$O,"방문완료")+COUNTIFS(실시간콜입력!$B:$B,$A384,실시간콜입력!$E:$E,"C",실시간콜입력!$H:$H,$B384,실시간콜입력!$O:$O,"방문완료")</f>
        <v>0</v>
      </c>
      <c r="I384" s="29">
        <f>COUNTIFS(실시간콜입력!$B:$B,$A384,실시간콜입력!$E:$E,"D",실시간콜입력!$G:$G,$B384,실시간콜입력!$O:$O,"방문완료")+COUNTIFS(실시간콜입력!$B:$B,$A384,실시간콜입력!$E:$E,"D",실시간콜입력!$H:$H,$B384,실시간콜입력!$O:$O,"방문완료")</f>
        <v>0</v>
      </c>
      <c r="J384" s="29">
        <f>COUNTIFS(실시간콜입력!$B:$B,$A384,실시간콜입력!$E:$E,"E",실시간콜입력!$G:$G,$B384,실시간콜입력!$O:$O,"방문완료")+COUNTIFS(실시간콜입력!$B:$B,$A384,실시간콜입력!$E:$E,"E",실시간콜입력!$H:$H,$B384,실시간콜입력!$O:$O,"방문완료")</f>
        <v>0</v>
      </c>
      <c r="K384" s="29">
        <f t="shared" si="51"/>
        <v>0</v>
      </c>
      <c r="L384" s="33">
        <f>SUMIFS(실시간콜입력!$K:$K,실시간콜입력!$B:$B,$A384,실시간콜입력!$G:$G,$B384,실시간콜입력!$O:$O,"방문완료")+SUMIFS(실시간콜입력!$L:$L,실시간콜입력!$B:$B,$A384,실시간콜입력!$H:$H,$B384,실시간콜입력!$O:$O,"방문완료")</f>
        <v>0</v>
      </c>
      <c r="M384" s="29" t="str">
        <f t="shared" si="52"/>
        <v/>
      </c>
      <c r="N384" s="29"/>
    </row>
    <row r="385" spans="1:14" ht="19.5" hidden="1" customHeight="1" outlineLevel="1">
      <c r="A385" s="24">
        <f>IF(8&lt;=DAY(DATE(YEAR(설정_코스수당!$K$2),MONTH(설정_코스수당!$K$2)+1,0)),DATE(YEAR(설정_코스수당!$K$2),MONTH(설정_코스수당!$K$2),8),"")</f>
        <v>46181</v>
      </c>
      <c r="B385" s="23" t="s">
        <v>177</v>
      </c>
      <c r="C385" s="29"/>
      <c r="D385" s="29"/>
      <c r="E385" s="29" t="str">
        <f t="shared" si="50"/>
        <v/>
      </c>
      <c r="F385" s="29">
        <f>COUNTIFS(실시간콜입력!$B:$B,$A385,실시간콜입력!$E:$E,"A",실시간콜입력!$G:$G,$B385,실시간콜입력!$O:$O,"방문완료")+COUNTIFS(실시간콜입력!$B:$B,$A385,실시간콜입력!$E:$E,"A",실시간콜입력!$H:$H,$B385,실시간콜입력!$O:$O,"방문완료")</f>
        <v>0</v>
      </c>
      <c r="G385" s="29">
        <f>COUNTIFS(실시간콜입력!$B:$B,$A385,실시간콜입력!$E:$E,"B",실시간콜입력!$G:$G,$B385,실시간콜입력!$O:$O,"방문완료")+COUNTIFS(실시간콜입력!$B:$B,$A385,실시간콜입력!$E:$E,"B",실시간콜입력!$H:$H,$B385,실시간콜입력!$O:$O,"방문완료")</f>
        <v>0</v>
      </c>
      <c r="H385" s="29">
        <f>COUNTIFS(실시간콜입력!$B:$B,$A385,실시간콜입력!$E:$E,"C",실시간콜입력!$G:$G,$B385,실시간콜입력!$O:$O,"방문완료")+COUNTIFS(실시간콜입력!$B:$B,$A385,실시간콜입력!$E:$E,"C",실시간콜입력!$H:$H,$B385,실시간콜입력!$O:$O,"방문완료")</f>
        <v>0</v>
      </c>
      <c r="I385" s="29">
        <f>COUNTIFS(실시간콜입력!$B:$B,$A385,실시간콜입력!$E:$E,"D",실시간콜입력!$G:$G,$B385,실시간콜입력!$O:$O,"방문완료")+COUNTIFS(실시간콜입력!$B:$B,$A385,실시간콜입력!$E:$E,"D",실시간콜입력!$H:$H,$B385,실시간콜입력!$O:$O,"방문완료")</f>
        <v>0</v>
      </c>
      <c r="J385" s="29">
        <f>COUNTIFS(실시간콜입력!$B:$B,$A385,실시간콜입력!$E:$E,"E",실시간콜입력!$G:$G,$B385,실시간콜입력!$O:$O,"방문완료")+COUNTIFS(실시간콜입력!$B:$B,$A385,실시간콜입력!$E:$E,"E",실시간콜입력!$H:$H,$B385,실시간콜입력!$O:$O,"방문완료")</f>
        <v>0</v>
      </c>
      <c r="K385" s="29">
        <f t="shared" si="51"/>
        <v>0</v>
      </c>
      <c r="L385" s="27">
        <f>SUMIFS(실시간콜입력!$K:$K,실시간콜입력!$B:$B,$A385,실시간콜입력!$G:$G,$B385,실시간콜입력!$O:$O,"방문완료")+SUMIFS(실시간콜입력!$L:$L,실시간콜입력!$B:$B,$A385,실시간콜입력!$H:$H,$B385,실시간콜입력!$O:$O,"방문완료")</f>
        <v>0</v>
      </c>
      <c r="M385" s="29" t="str">
        <f t="shared" si="52"/>
        <v/>
      </c>
      <c r="N385" s="29"/>
    </row>
    <row r="386" spans="1:14" ht="19.5" hidden="1" customHeight="1" outlineLevel="1">
      <c r="A386" s="30">
        <f>IF(8&lt;=DAY(DATE(YEAR(설정_코스수당!$K$2),MONTH(설정_코스수당!$K$2)+1,0)),DATE(YEAR(설정_코스수당!$K$2),MONTH(설정_코스수당!$K$2),8),"")</f>
        <v>46181</v>
      </c>
      <c r="B386" s="29" t="s">
        <v>178</v>
      </c>
      <c r="C386" s="29"/>
      <c r="D386" s="29"/>
      <c r="E386" s="29" t="str">
        <f t="shared" si="50"/>
        <v/>
      </c>
      <c r="F386" s="29">
        <f>COUNTIFS(실시간콜입력!$B:$B,$A386,실시간콜입력!$E:$E,"A",실시간콜입력!$G:$G,$B386,실시간콜입력!$O:$O,"방문완료")+COUNTIFS(실시간콜입력!$B:$B,$A386,실시간콜입력!$E:$E,"A",실시간콜입력!$H:$H,$B386,실시간콜입력!$O:$O,"방문완료")</f>
        <v>0</v>
      </c>
      <c r="G386" s="29">
        <f>COUNTIFS(실시간콜입력!$B:$B,$A386,실시간콜입력!$E:$E,"B",실시간콜입력!$G:$G,$B386,실시간콜입력!$O:$O,"방문완료")+COUNTIFS(실시간콜입력!$B:$B,$A386,실시간콜입력!$E:$E,"B",실시간콜입력!$H:$H,$B386,실시간콜입력!$O:$O,"방문완료")</f>
        <v>0</v>
      </c>
      <c r="H386" s="29">
        <f>COUNTIFS(실시간콜입력!$B:$B,$A386,실시간콜입력!$E:$E,"C",실시간콜입력!$G:$G,$B386,실시간콜입력!$O:$O,"방문완료")+COUNTIFS(실시간콜입력!$B:$B,$A386,실시간콜입력!$E:$E,"C",실시간콜입력!$H:$H,$B386,실시간콜입력!$O:$O,"방문완료")</f>
        <v>0</v>
      </c>
      <c r="I386" s="29">
        <f>COUNTIFS(실시간콜입력!$B:$B,$A386,실시간콜입력!$E:$E,"D",실시간콜입력!$G:$G,$B386,실시간콜입력!$O:$O,"방문완료")+COUNTIFS(실시간콜입력!$B:$B,$A386,실시간콜입력!$E:$E,"D",실시간콜입력!$H:$H,$B386,실시간콜입력!$O:$O,"방문완료")</f>
        <v>0</v>
      </c>
      <c r="J386" s="29">
        <f>COUNTIFS(실시간콜입력!$B:$B,$A386,실시간콜입력!$E:$E,"E",실시간콜입력!$G:$G,$B386,실시간콜입력!$O:$O,"방문완료")+COUNTIFS(실시간콜입력!$B:$B,$A386,실시간콜입력!$E:$E,"E",실시간콜입력!$H:$H,$B386,실시간콜입력!$O:$O,"방문완료")</f>
        <v>0</v>
      </c>
      <c r="K386" s="29">
        <f t="shared" si="51"/>
        <v>0</v>
      </c>
      <c r="L386" s="33">
        <f>SUMIFS(실시간콜입력!$K:$K,실시간콜입력!$B:$B,$A386,실시간콜입력!$G:$G,$B386,실시간콜입력!$O:$O,"방문완료")+SUMIFS(실시간콜입력!$L:$L,실시간콜입력!$B:$B,$A386,실시간콜입력!$H:$H,$B386,실시간콜입력!$O:$O,"방문완료")</f>
        <v>0</v>
      </c>
      <c r="M386" s="29" t="str">
        <f t="shared" si="52"/>
        <v/>
      </c>
      <c r="N386" s="29"/>
    </row>
    <row r="387" spans="1:14" ht="19.5" hidden="1" customHeight="1" outlineLevel="1">
      <c r="A387" s="24">
        <f>IF(8&lt;=DAY(DATE(YEAR(설정_코스수당!$K$2),MONTH(설정_코스수당!$K$2)+1,0)),DATE(YEAR(설정_코스수당!$K$2),MONTH(설정_코스수당!$K$2),8),"")</f>
        <v>46181</v>
      </c>
      <c r="B387" s="23" t="s">
        <v>179</v>
      </c>
      <c r="C387" s="29"/>
      <c r="D387" s="29"/>
      <c r="E387" s="29" t="str">
        <f t="shared" si="50"/>
        <v/>
      </c>
      <c r="F387" s="29">
        <f>COUNTIFS(실시간콜입력!$B:$B,$A387,실시간콜입력!$E:$E,"A",실시간콜입력!$G:$G,$B387,실시간콜입력!$O:$O,"방문완료")+COUNTIFS(실시간콜입력!$B:$B,$A387,실시간콜입력!$E:$E,"A",실시간콜입력!$H:$H,$B387,실시간콜입력!$O:$O,"방문완료")</f>
        <v>0</v>
      </c>
      <c r="G387" s="29">
        <f>COUNTIFS(실시간콜입력!$B:$B,$A387,실시간콜입력!$E:$E,"B",실시간콜입력!$G:$G,$B387,실시간콜입력!$O:$O,"방문완료")+COUNTIFS(실시간콜입력!$B:$B,$A387,실시간콜입력!$E:$E,"B",실시간콜입력!$H:$H,$B387,실시간콜입력!$O:$O,"방문완료")</f>
        <v>0</v>
      </c>
      <c r="H387" s="29">
        <f>COUNTIFS(실시간콜입력!$B:$B,$A387,실시간콜입력!$E:$E,"C",실시간콜입력!$G:$G,$B387,실시간콜입력!$O:$O,"방문완료")+COUNTIFS(실시간콜입력!$B:$B,$A387,실시간콜입력!$E:$E,"C",실시간콜입력!$H:$H,$B387,실시간콜입력!$O:$O,"방문완료")</f>
        <v>0</v>
      </c>
      <c r="I387" s="29">
        <f>COUNTIFS(실시간콜입력!$B:$B,$A387,실시간콜입력!$E:$E,"D",실시간콜입력!$G:$G,$B387,실시간콜입력!$O:$O,"방문완료")+COUNTIFS(실시간콜입력!$B:$B,$A387,실시간콜입력!$E:$E,"D",실시간콜입력!$H:$H,$B387,실시간콜입력!$O:$O,"방문완료")</f>
        <v>0</v>
      </c>
      <c r="J387" s="29">
        <f>COUNTIFS(실시간콜입력!$B:$B,$A387,실시간콜입력!$E:$E,"E",실시간콜입력!$G:$G,$B387,실시간콜입력!$O:$O,"방문완료")+COUNTIFS(실시간콜입력!$B:$B,$A387,실시간콜입력!$E:$E,"E",실시간콜입력!$H:$H,$B387,실시간콜입력!$O:$O,"방문완료")</f>
        <v>0</v>
      </c>
      <c r="K387" s="29">
        <f t="shared" si="51"/>
        <v>0</v>
      </c>
      <c r="L387" s="27">
        <f>SUMIFS(실시간콜입력!$K:$K,실시간콜입력!$B:$B,$A387,실시간콜입력!$G:$G,$B387,실시간콜입력!$O:$O,"방문완료")+SUMIFS(실시간콜입력!$L:$L,실시간콜입력!$B:$B,$A387,실시간콜입력!$H:$H,$B387,실시간콜입력!$O:$O,"방문완료")</f>
        <v>0</v>
      </c>
      <c r="M387" s="29" t="str">
        <f t="shared" si="52"/>
        <v/>
      </c>
      <c r="N387" s="29"/>
    </row>
    <row r="388" spans="1:14" ht="19.5" hidden="1" customHeight="1" outlineLevel="1">
      <c r="A388" s="30">
        <f>IF(8&lt;=DAY(DATE(YEAR(설정_코스수당!$K$2),MONTH(설정_코스수당!$K$2)+1,0)),DATE(YEAR(설정_코스수당!$K$2),MONTH(설정_코스수당!$K$2),8),"")</f>
        <v>46181</v>
      </c>
      <c r="B388" s="29" t="s">
        <v>180</v>
      </c>
      <c r="C388" s="29"/>
      <c r="D388" s="29"/>
      <c r="E388" s="29" t="str">
        <f t="shared" si="50"/>
        <v/>
      </c>
      <c r="F388" s="29">
        <f>COUNTIFS(실시간콜입력!$B:$B,$A388,실시간콜입력!$E:$E,"A",실시간콜입력!$G:$G,$B388,실시간콜입력!$O:$O,"방문완료")+COUNTIFS(실시간콜입력!$B:$B,$A388,실시간콜입력!$E:$E,"A",실시간콜입력!$H:$H,$B388,실시간콜입력!$O:$O,"방문완료")</f>
        <v>0</v>
      </c>
      <c r="G388" s="29">
        <f>COUNTIFS(실시간콜입력!$B:$B,$A388,실시간콜입력!$E:$E,"B",실시간콜입력!$G:$G,$B388,실시간콜입력!$O:$O,"방문완료")+COUNTIFS(실시간콜입력!$B:$B,$A388,실시간콜입력!$E:$E,"B",실시간콜입력!$H:$H,$B388,실시간콜입력!$O:$O,"방문완료")</f>
        <v>0</v>
      </c>
      <c r="H388" s="29">
        <f>COUNTIFS(실시간콜입력!$B:$B,$A388,실시간콜입력!$E:$E,"C",실시간콜입력!$G:$G,$B388,실시간콜입력!$O:$O,"방문완료")+COUNTIFS(실시간콜입력!$B:$B,$A388,실시간콜입력!$E:$E,"C",실시간콜입력!$H:$H,$B388,실시간콜입력!$O:$O,"방문완료")</f>
        <v>0</v>
      </c>
      <c r="I388" s="29">
        <f>COUNTIFS(실시간콜입력!$B:$B,$A388,실시간콜입력!$E:$E,"D",실시간콜입력!$G:$G,$B388,실시간콜입력!$O:$O,"방문완료")+COUNTIFS(실시간콜입력!$B:$B,$A388,실시간콜입력!$E:$E,"D",실시간콜입력!$H:$H,$B388,실시간콜입력!$O:$O,"방문완료")</f>
        <v>0</v>
      </c>
      <c r="J388" s="29">
        <f>COUNTIFS(실시간콜입력!$B:$B,$A388,실시간콜입력!$E:$E,"E",실시간콜입력!$G:$G,$B388,실시간콜입력!$O:$O,"방문완료")+COUNTIFS(실시간콜입력!$B:$B,$A388,실시간콜입력!$E:$E,"E",실시간콜입력!$H:$H,$B388,실시간콜입력!$O:$O,"방문완료")</f>
        <v>0</v>
      </c>
      <c r="K388" s="29">
        <f t="shared" si="51"/>
        <v>0</v>
      </c>
      <c r="L388" s="33">
        <f>SUMIFS(실시간콜입력!$K:$K,실시간콜입력!$B:$B,$A388,실시간콜입력!$G:$G,$B388,실시간콜입력!$O:$O,"방문완료")+SUMIFS(실시간콜입력!$L:$L,실시간콜입력!$B:$B,$A388,실시간콜입력!$H:$H,$B388,실시간콜입력!$O:$O,"방문완료")</f>
        <v>0</v>
      </c>
      <c r="M388" s="29" t="str">
        <f t="shared" si="52"/>
        <v/>
      </c>
      <c r="N388" s="29"/>
    </row>
    <row r="389" spans="1:14" ht="19.5" hidden="1" customHeight="1" outlineLevel="1">
      <c r="A389" s="24">
        <f>IF(8&lt;=DAY(DATE(YEAR(설정_코스수당!$K$2),MONTH(설정_코스수당!$K$2)+1,0)),DATE(YEAR(설정_코스수당!$K$2),MONTH(설정_코스수당!$K$2),8),"")</f>
        <v>46181</v>
      </c>
      <c r="B389" s="23" t="s">
        <v>181</v>
      </c>
      <c r="C389" s="29"/>
      <c r="D389" s="29"/>
      <c r="E389" s="29" t="str">
        <f t="shared" si="50"/>
        <v/>
      </c>
      <c r="F389" s="29">
        <f>COUNTIFS(실시간콜입력!$B:$B,$A389,실시간콜입력!$E:$E,"A",실시간콜입력!$G:$G,$B389,실시간콜입력!$O:$O,"방문완료")+COUNTIFS(실시간콜입력!$B:$B,$A389,실시간콜입력!$E:$E,"A",실시간콜입력!$H:$H,$B389,실시간콜입력!$O:$O,"방문완료")</f>
        <v>0</v>
      </c>
      <c r="G389" s="29">
        <f>COUNTIFS(실시간콜입력!$B:$B,$A389,실시간콜입력!$E:$E,"B",실시간콜입력!$G:$G,$B389,실시간콜입력!$O:$O,"방문완료")+COUNTIFS(실시간콜입력!$B:$B,$A389,실시간콜입력!$E:$E,"B",실시간콜입력!$H:$H,$B389,실시간콜입력!$O:$O,"방문완료")</f>
        <v>0</v>
      </c>
      <c r="H389" s="29">
        <f>COUNTIFS(실시간콜입력!$B:$B,$A389,실시간콜입력!$E:$E,"C",실시간콜입력!$G:$G,$B389,실시간콜입력!$O:$O,"방문완료")+COUNTIFS(실시간콜입력!$B:$B,$A389,실시간콜입력!$E:$E,"C",실시간콜입력!$H:$H,$B389,실시간콜입력!$O:$O,"방문완료")</f>
        <v>0</v>
      </c>
      <c r="I389" s="29">
        <f>COUNTIFS(실시간콜입력!$B:$B,$A389,실시간콜입력!$E:$E,"D",실시간콜입력!$G:$G,$B389,실시간콜입력!$O:$O,"방문완료")+COUNTIFS(실시간콜입력!$B:$B,$A389,실시간콜입력!$E:$E,"D",실시간콜입력!$H:$H,$B389,실시간콜입력!$O:$O,"방문완료")</f>
        <v>0</v>
      </c>
      <c r="J389" s="29">
        <f>COUNTIFS(실시간콜입력!$B:$B,$A389,실시간콜입력!$E:$E,"E",실시간콜입력!$G:$G,$B389,실시간콜입력!$O:$O,"방문완료")+COUNTIFS(실시간콜입력!$B:$B,$A389,실시간콜입력!$E:$E,"E",실시간콜입력!$H:$H,$B389,실시간콜입력!$O:$O,"방문완료")</f>
        <v>0</v>
      </c>
      <c r="K389" s="29">
        <f t="shared" si="51"/>
        <v>0</v>
      </c>
      <c r="L389" s="27">
        <f>SUMIFS(실시간콜입력!$K:$K,실시간콜입력!$B:$B,$A389,실시간콜입력!$G:$G,$B389,실시간콜입력!$O:$O,"방문완료")+SUMIFS(실시간콜입력!$L:$L,실시간콜입력!$B:$B,$A389,실시간콜입력!$H:$H,$B389,실시간콜입력!$O:$O,"방문완료")</f>
        <v>0</v>
      </c>
      <c r="M389" s="29" t="str">
        <f t="shared" si="52"/>
        <v/>
      </c>
      <c r="N389" s="29"/>
    </row>
    <row r="390" spans="1:14" ht="19.5" hidden="1" customHeight="1" outlineLevel="1">
      <c r="A390" s="30">
        <f>IF(8&lt;=DAY(DATE(YEAR(설정_코스수당!$K$2),MONTH(설정_코스수당!$K$2)+1,0)),DATE(YEAR(설정_코스수당!$K$2),MONTH(설정_코스수당!$K$2),8),"")</f>
        <v>46181</v>
      </c>
      <c r="B390" s="29" t="s">
        <v>182</v>
      </c>
      <c r="C390" s="29"/>
      <c r="D390" s="29"/>
      <c r="E390" s="29" t="str">
        <f t="shared" si="50"/>
        <v/>
      </c>
      <c r="F390" s="29">
        <f>COUNTIFS(실시간콜입력!$B:$B,$A390,실시간콜입력!$E:$E,"A",실시간콜입력!$G:$G,$B390,실시간콜입력!$O:$O,"방문완료")+COUNTIFS(실시간콜입력!$B:$B,$A390,실시간콜입력!$E:$E,"A",실시간콜입력!$H:$H,$B390,실시간콜입력!$O:$O,"방문완료")</f>
        <v>0</v>
      </c>
      <c r="G390" s="29">
        <f>COUNTIFS(실시간콜입력!$B:$B,$A390,실시간콜입력!$E:$E,"B",실시간콜입력!$G:$G,$B390,실시간콜입력!$O:$O,"방문완료")+COUNTIFS(실시간콜입력!$B:$B,$A390,실시간콜입력!$E:$E,"B",실시간콜입력!$H:$H,$B390,실시간콜입력!$O:$O,"방문완료")</f>
        <v>0</v>
      </c>
      <c r="H390" s="29">
        <f>COUNTIFS(실시간콜입력!$B:$B,$A390,실시간콜입력!$E:$E,"C",실시간콜입력!$G:$G,$B390,실시간콜입력!$O:$O,"방문완료")+COUNTIFS(실시간콜입력!$B:$B,$A390,실시간콜입력!$E:$E,"C",실시간콜입력!$H:$H,$B390,실시간콜입력!$O:$O,"방문완료")</f>
        <v>0</v>
      </c>
      <c r="I390" s="29">
        <f>COUNTIFS(실시간콜입력!$B:$B,$A390,실시간콜입력!$E:$E,"D",실시간콜입력!$G:$G,$B390,실시간콜입력!$O:$O,"방문완료")+COUNTIFS(실시간콜입력!$B:$B,$A390,실시간콜입력!$E:$E,"D",실시간콜입력!$H:$H,$B390,실시간콜입력!$O:$O,"방문완료")</f>
        <v>0</v>
      </c>
      <c r="J390" s="29">
        <f>COUNTIFS(실시간콜입력!$B:$B,$A390,실시간콜입력!$E:$E,"E",실시간콜입력!$G:$G,$B390,실시간콜입력!$O:$O,"방문완료")+COUNTIFS(실시간콜입력!$B:$B,$A390,실시간콜입력!$E:$E,"E",실시간콜입력!$H:$H,$B390,실시간콜입력!$O:$O,"방문완료")</f>
        <v>0</v>
      </c>
      <c r="K390" s="29">
        <f t="shared" si="51"/>
        <v>0</v>
      </c>
      <c r="L390" s="33">
        <f>SUMIFS(실시간콜입력!$K:$K,실시간콜입력!$B:$B,$A390,실시간콜입력!$G:$G,$B390,실시간콜입력!$O:$O,"방문완료")+SUMIFS(실시간콜입력!$L:$L,실시간콜입력!$B:$B,$A390,실시간콜입력!$H:$H,$B390,실시간콜입력!$O:$O,"방문완료")</f>
        <v>0</v>
      </c>
      <c r="M390" s="29" t="str">
        <f t="shared" si="52"/>
        <v/>
      </c>
      <c r="N390" s="29"/>
    </row>
    <row r="391" spans="1:14" ht="19.5" hidden="1" customHeight="1" outlineLevel="1">
      <c r="A391" s="24">
        <f>IF(8&lt;=DAY(DATE(YEAR(설정_코스수당!$K$2),MONTH(설정_코스수당!$K$2)+1,0)),DATE(YEAR(설정_코스수당!$K$2),MONTH(설정_코스수당!$K$2),8),"")</f>
        <v>46181</v>
      </c>
      <c r="B391" s="23" t="s">
        <v>183</v>
      </c>
      <c r="C391" s="29"/>
      <c r="D391" s="29"/>
      <c r="E391" s="29" t="str">
        <f t="shared" si="50"/>
        <v/>
      </c>
      <c r="F391" s="29">
        <f>COUNTIFS(실시간콜입력!$B:$B,$A391,실시간콜입력!$E:$E,"A",실시간콜입력!$G:$G,$B391,실시간콜입력!$O:$O,"방문완료")+COUNTIFS(실시간콜입력!$B:$B,$A391,실시간콜입력!$E:$E,"A",실시간콜입력!$H:$H,$B391,실시간콜입력!$O:$O,"방문완료")</f>
        <v>0</v>
      </c>
      <c r="G391" s="29">
        <f>COUNTIFS(실시간콜입력!$B:$B,$A391,실시간콜입력!$E:$E,"B",실시간콜입력!$G:$G,$B391,실시간콜입력!$O:$O,"방문완료")+COUNTIFS(실시간콜입력!$B:$B,$A391,실시간콜입력!$E:$E,"B",실시간콜입력!$H:$H,$B391,실시간콜입력!$O:$O,"방문완료")</f>
        <v>0</v>
      </c>
      <c r="H391" s="29">
        <f>COUNTIFS(실시간콜입력!$B:$B,$A391,실시간콜입력!$E:$E,"C",실시간콜입력!$G:$G,$B391,실시간콜입력!$O:$O,"방문완료")+COUNTIFS(실시간콜입력!$B:$B,$A391,실시간콜입력!$E:$E,"C",실시간콜입력!$H:$H,$B391,실시간콜입력!$O:$O,"방문완료")</f>
        <v>0</v>
      </c>
      <c r="I391" s="29">
        <f>COUNTIFS(실시간콜입력!$B:$B,$A391,실시간콜입력!$E:$E,"D",실시간콜입력!$G:$G,$B391,실시간콜입력!$O:$O,"방문완료")+COUNTIFS(실시간콜입력!$B:$B,$A391,실시간콜입력!$E:$E,"D",실시간콜입력!$H:$H,$B391,실시간콜입력!$O:$O,"방문완료")</f>
        <v>0</v>
      </c>
      <c r="J391" s="29">
        <f>COUNTIFS(실시간콜입력!$B:$B,$A391,실시간콜입력!$E:$E,"E",실시간콜입력!$G:$G,$B391,실시간콜입력!$O:$O,"방문완료")+COUNTIFS(실시간콜입력!$B:$B,$A391,실시간콜입력!$E:$E,"E",실시간콜입력!$H:$H,$B391,실시간콜입력!$O:$O,"방문완료")</f>
        <v>0</v>
      </c>
      <c r="K391" s="29">
        <f t="shared" si="51"/>
        <v>0</v>
      </c>
      <c r="L391" s="27">
        <f>SUMIFS(실시간콜입력!$K:$K,실시간콜입력!$B:$B,$A391,실시간콜입력!$G:$G,$B391,실시간콜입력!$O:$O,"방문완료")+SUMIFS(실시간콜입력!$L:$L,실시간콜입력!$B:$B,$A391,실시간콜입력!$H:$H,$B391,실시간콜입력!$O:$O,"방문완료")</f>
        <v>0</v>
      </c>
      <c r="M391" s="29" t="str">
        <f t="shared" si="52"/>
        <v/>
      </c>
      <c r="N391" s="29"/>
    </row>
    <row r="392" spans="1:14" ht="19.5" hidden="1" customHeight="1" outlineLevel="1">
      <c r="A392" s="30">
        <f>IF(8&lt;=DAY(DATE(YEAR(설정_코스수당!$K$2),MONTH(설정_코스수당!$K$2)+1,0)),DATE(YEAR(설정_코스수당!$K$2),MONTH(설정_코스수당!$K$2),8),"")</f>
        <v>46181</v>
      </c>
      <c r="B392" s="29" t="s">
        <v>184</v>
      </c>
      <c r="C392" s="29"/>
      <c r="D392" s="29"/>
      <c r="E392" s="29" t="str">
        <f t="shared" si="50"/>
        <v/>
      </c>
      <c r="F392" s="29">
        <f>COUNTIFS(실시간콜입력!$B:$B,$A392,실시간콜입력!$E:$E,"A",실시간콜입력!$G:$G,$B392,실시간콜입력!$O:$O,"방문완료")+COUNTIFS(실시간콜입력!$B:$B,$A392,실시간콜입력!$E:$E,"A",실시간콜입력!$H:$H,$B392,실시간콜입력!$O:$O,"방문완료")</f>
        <v>0</v>
      </c>
      <c r="G392" s="29">
        <f>COUNTIFS(실시간콜입력!$B:$B,$A392,실시간콜입력!$E:$E,"B",실시간콜입력!$G:$G,$B392,실시간콜입력!$O:$O,"방문완료")+COUNTIFS(실시간콜입력!$B:$B,$A392,실시간콜입력!$E:$E,"B",실시간콜입력!$H:$H,$B392,실시간콜입력!$O:$O,"방문완료")</f>
        <v>0</v>
      </c>
      <c r="H392" s="29">
        <f>COUNTIFS(실시간콜입력!$B:$B,$A392,실시간콜입력!$E:$E,"C",실시간콜입력!$G:$G,$B392,실시간콜입력!$O:$O,"방문완료")+COUNTIFS(실시간콜입력!$B:$B,$A392,실시간콜입력!$E:$E,"C",실시간콜입력!$H:$H,$B392,실시간콜입력!$O:$O,"방문완료")</f>
        <v>0</v>
      </c>
      <c r="I392" s="29">
        <f>COUNTIFS(실시간콜입력!$B:$B,$A392,실시간콜입력!$E:$E,"D",실시간콜입력!$G:$G,$B392,실시간콜입력!$O:$O,"방문완료")+COUNTIFS(실시간콜입력!$B:$B,$A392,실시간콜입력!$E:$E,"D",실시간콜입력!$H:$H,$B392,실시간콜입력!$O:$O,"방문완료")</f>
        <v>0</v>
      </c>
      <c r="J392" s="29">
        <f>COUNTIFS(실시간콜입력!$B:$B,$A392,실시간콜입력!$E:$E,"E",실시간콜입력!$G:$G,$B392,실시간콜입력!$O:$O,"방문완료")+COUNTIFS(실시간콜입력!$B:$B,$A392,실시간콜입력!$E:$E,"E",실시간콜입력!$H:$H,$B392,실시간콜입력!$O:$O,"방문완료")</f>
        <v>0</v>
      </c>
      <c r="K392" s="29">
        <f t="shared" si="51"/>
        <v>0</v>
      </c>
      <c r="L392" s="33">
        <f>SUMIFS(실시간콜입력!$K:$K,실시간콜입력!$B:$B,$A392,실시간콜입력!$G:$G,$B392,실시간콜입력!$O:$O,"방문완료")+SUMIFS(실시간콜입력!$L:$L,실시간콜입력!$B:$B,$A392,실시간콜입력!$H:$H,$B392,실시간콜입력!$O:$O,"방문완료")</f>
        <v>0</v>
      </c>
      <c r="M392" s="29" t="str">
        <f t="shared" si="52"/>
        <v/>
      </c>
      <c r="N392" s="29"/>
    </row>
    <row r="393" spans="1:14" ht="19.5" hidden="1" customHeight="1" outlineLevel="1">
      <c r="A393" s="24">
        <f>IF(8&lt;=DAY(DATE(YEAR(설정_코스수당!$K$2),MONTH(설정_코스수당!$K$2)+1,0)),DATE(YEAR(설정_코스수당!$K$2),MONTH(설정_코스수당!$K$2),8),"")</f>
        <v>46181</v>
      </c>
      <c r="B393" s="23" t="s">
        <v>185</v>
      </c>
      <c r="C393" s="29"/>
      <c r="D393" s="29"/>
      <c r="E393" s="29" t="str">
        <f t="shared" si="50"/>
        <v/>
      </c>
      <c r="F393" s="29">
        <f>COUNTIFS(실시간콜입력!$B:$B,$A393,실시간콜입력!$E:$E,"A",실시간콜입력!$G:$G,$B393,실시간콜입력!$O:$O,"방문완료")+COUNTIFS(실시간콜입력!$B:$B,$A393,실시간콜입력!$E:$E,"A",실시간콜입력!$H:$H,$B393,실시간콜입력!$O:$O,"방문완료")</f>
        <v>0</v>
      </c>
      <c r="G393" s="29">
        <f>COUNTIFS(실시간콜입력!$B:$B,$A393,실시간콜입력!$E:$E,"B",실시간콜입력!$G:$G,$B393,실시간콜입력!$O:$O,"방문완료")+COUNTIFS(실시간콜입력!$B:$B,$A393,실시간콜입력!$E:$E,"B",실시간콜입력!$H:$H,$B393,실시간콜입력!$O:$O,"방문완료")</f>
        <v>0</v>
      </c>
      <c r="H393" s="29">
        <f>COUNTIFS(실시간콜입력!$B:$B,$A393,실시간콜입력!$E:$E,"C",실시간콜입력!$G:$G,$B393,실시간콜입력!$O:$O,"방문완료")+COUNTIFS(실시간콜입력!$B:$B,$A393,실시간콜입력!$E:$E,"C",실시간콜입력!$H:$H,$B393,실시간콜입력!$O:$O,"방문완료")</f>
        <v>0</v>
      </c>
      <c r="I393" s="29">
        <f>COUNTIFS(실시간콜입력!$B:$B,$A393,실시간콜입력!$E:$E,"D",실시간콜입력!$G:$G,$B393,실시간콜입력!$O:$O,"방문완료")+COUNTIFS(실시간콜입력!$B:$B,$A393,실시간콜입력!$E:$E,"D",실시간콜입력!$H:$H,$B393,실시간콜입력!$O:$O,"방문완료")</f>
        <v>0</v>
      </c>
      <c r="J393" s="29">
        <f>COUNTIFS(실시간콜입력!$B:$B,$A393,실시간콜입력!$E:$E,"E",실시간콜입력!$G:$G,$B393,실시간콜입력!$O:$O,"방문완료")+COUNTIFS(실시간콜입력!$B:$B,$A393,실시간콜입력!$E:$E,"E",실시간콜입력!$H:$H,$B393,실시간콜입력!$O:$O,"방문완료")</f>
        <v>0</v>
      </c>
      <c r="K393" s="29">
        <f t="shared" si="51"/>
        <v>0</v>
      </c>
      <c r="L393" s="27">
        <f>SUMIFS(실시간콜입력!$K:$K,실시간콜입력!$B:$B,$A393,실시간콜입력!$G:$G,$B393,실시간콜입력!$O:$O,"방문완료")+SUMIFS(실시간콜입력!$L:$L,실시간콜입력!$B:$B,$A393,실시간콜입력!$H:$H,$B393,실시간콜입력!$O:$O,"방문완료")</f>
        <v>0</v>
      </c>
      <c r="M393" s="29" t="str">
        <f t="shared" si="52"/>
        <v/>
      </c>
      <c r="N393" s="29"/>
    </row>
    <row r="394" spans="1:14" ht="19.5" hidden="1" customHeight="1" outlineLevel="1">
      <c r="A394" s="30">
        <f>IF(8&lt;=DAY(DATE(YEAR(설정_코스수당!$K$2),MONTH(설정_코스수당!$K$2)+1,0)),DATE(YEAR(설정_코스수당!$K$2),MONTH(설정_코스수당!$K$2),8),"")</f>
        <v>46181</v>
      </c>
      <c r="B394" s="29" t="s">
        <v>186</v>
      </c>
      <c r="C394" s="29"/>
      <c r="D394" s="29"/>
      <c r="E394" s="29" t="str">
        <f t="shared" si="50"/>
        <v/>
      </c>
      <c r="F394" s="29">
        <f>COUNTIFS(실시간콜입력!$B:$B,$A394,실시간콜입력!$E:$E,"A",실시간콜입력!$G:$G,$B394,실시간콜입력!$O:$O,"방문완료")+COUNTIFS(실시간콜입력!$B:$B,$A394,실시간콜입력!$E:$E,"A",실시간콜입력!$H:$H,$B394,실시간콜입력!$O:$O,"방문완료")</f>
        <v>0</v>
      </c>
      <c r="G394" s="29">
        <f>COUNTIFS(실시간콜입력!$B:$B,$A394,실시간콜입력!$E:$E,"B",실시간콜입력!$G:$G,$B394,실시간콜입력!$O:$O,"방문완료")+COUNTIFS(실시간콜입력!$B:$B,$A394,실시간콜입력!$E:$E,"B",실시간콜입력!$H:$H,$B394,실시간콜입력!$O:$O,"방문완료")</f>
        <v>0</v>
      </c>
      <c r="H394" s="29">
        <f>COUNTIFS(실시간콜입력!$B:$B,$A394,실시간콜입력!$E:$E,"C",실시간콜입력!$G:$G,$B394,실시간콜입력!$O:$O,"방문완료")+COUNTIFS(실시간콜입력!$B:$B,$A394,실시간콜입력!$E:$E,"C",실시간콜입력!$H:$H,$B394,실시간콜입력!$O:$O,"방문완료")</f>
        <v>0</v>
      </c>
      <c r="I394" s="29">
        <f>COUNTIFS(실시간콜입력!$B:$B,$A394,실시간콜입력!$E:$E,"D",실시간콜입력!$G:$G,$B394,실시간콜입력!$O:$O,"방문완료")+COUNTIFS(실시간콜입력!$B:$B,$A394,실시간콜입력!$E:$E,"D",실시간콜입력!$H:$H,$B394,실시간콜입력!$O:$O,"방문완료")</f>
        <v>0</v>
      </c>
      <c r="J394" s="29">
        <f>COUNTIFS(실시간콜입력!$B:$B,$A394,실시간콜입력!$E:$E,"E",실시간콜입력!$G:$G,$B394,실시간콜입력!$O:$O,"방문완료")+COUNTIFS(실시간콜입력!$B:$B,$A394,실시간콜입력!$E:$E,"E",실시간콜입력!$H:$H,$B394,실시간콜입력!$O:$O,"방문완료")</f>
        <v>0</v>
      </c>
      <c r="K394" s="29">
        <f t="shared" si="51"/>
        <v>0</v>
      </c>
      <c r="L394" s="33">
        <f>SUMIFS(실시간콜입력!$K:$K,실시간콜입력!$B:$B,$A394,실시간콜입력!$G:$G,$B394,실시간콜입력!$O:$O,"방문완료")+SUMIFS(실시간콜입력!$L:$L,실시간콜입력!$B:$B,$A394,실시간콜입력!$H:$H,$B394,실시간콜입력!$O:$O,"방문완료")</f>
        <v>0</v>
      </c>
      <c r="M394" s="29" t="str">
        <f t="shared" si="52"/>
        <v/>
      </c>
      <c r="N394" s="29"/>
    </row>
    <row r="395" spans="1:14" ht="19.5" hidden="1" customHeight="1" outlineLevel="1">
      <c r="A395" s="24">
        <f>IF(8&lt;=DAY(DATE(YEAR(설정_코스수당!$K$2),MONTH(설정_코스수당!$K$2)+1,0)),DATE(YEAR(설정_코스수당!$K$2),MONTH(설정_코스수당!$K$2),8),"")</f>
        <v>46181</v>
      </c>
      <c r="B395" s="23" t="s">
        <v>187</v>
      </c>
      <c r="C395" s="29"/>
      <c r="D395" s="29"/>
      <c r="E395" s="29" t="str">
        <f t="shared" si="50"/>
        <v/>
      </c>
      <c r="F395" s="29">
        <f>COUNTIFS(실시간콜입력!$B:$B,$A395,실시간콜입력!$E:$E,"A",실시간콜입력!$G:$G,$B395,실시간콜입력!$O:$O,"방문완료")+COUNTIFS(실시간콜입력!$B:$B,$A395,실시간콜입력!$E:$E,"A",실시간콜입력!$H:$H,$B395,실시간콜입력!$O:$O,"방문완료")</f>
        <v>0</v>
      </c>
      <c r="G395" s="29">
        <f>COUNTIFS(실시간콜입력!$B:$B,$A395,실시간콜입력!$E:$E,"B",실시간콜입력!$G:$G,$B395,실시간콜입력!$O:$O,"방문완료")+COUNTIFS(실시간콜입력!$B:$B,$A395,실시간콜입력!$E:$E,"B",실시간콜입력!$H:$H,$B395,실시간콜입력!$O:$O,"방문완료")</f>
        <v>0</v>
      </c>
      <c r="H395" s="29">
        <f>COUNTIFS(실시간콜입력!$B:$B,$A395,실시간콜입력!$E:$E,"C",실시간콜입력!$G:$G,$B395,실시간콜입력!$O:$O,"방문완료")+COUNTIFS(실시간콜입력!$B:$B,$A395,실시간콜입력!$E:$E,"C",실시간콜입력!$H:$H,$B395,실시간콜입력!$O:$O,"방문완료")</f>
        <v>0</v>
      </c>
      <c r="I395" s="29">
        <f>COUNTIFS(실시간콜입력!$B:$B,$A395,실시간콜입력!$E:$E,"D",실시간콜입력!$G:$G,$B395,실시간콜입력!$O:$O,"방문완료")+COUNTIFS(실시간콜입력!$B:$B,$A395,실시간콜입력!$E:$E,"D",실시간콜입력!$H:$H,$B395,실시간콜입력!$O:$O,"방문완료")</f>
        <v>0</v>
      </c>
      <c r="J395" s="29">
        <f>COUNTIFS(실시간콜입력!$B:$B,$A395,실시간콜입력!$E:$E,"E",실시간콜입력!$G:$G,$B395,실시간콜입력!$O:$O,"방문완료")+COUNTIFS(실시간콜입력!$B:$B,$A395,실시간콜입력!$E:$E,"E",실시간콜입력!$H:$H,$B395,실시간콜입력!$O:$O,"방문완료")</f>
        <v>0</v>
      </c>
      <c r="K395" s="29">
        <f t="shared" si="51"/>
        <v>0</v>
      </c>
      <c r="L395" s="27">
        <f>SUMIFS(실시간콜입력!$K:$K,실시간콜입력!$B:$B,$A395,실시간콜입력!$G:$G,$B395,실시간콜입력!$O:$O,"방문완료")+SUMIFS(실시간콜입력!$L:$L,실시간콜입력!$B:$B,$A395,실시간콜입력!$H:$H,$B395,실시간콜입력!$O:$O,"방문완료")</f>
        <v>0</v>
      </c>
      <c r="M395" s="29" t="str">
        <f t="shared" si="52"/>
        <v/>
      </c>
      <c r="N395" s="29"/>
    </row>
    <row r="396" spans="1:14" ht="19.5" hidden="1" customHeight="1" outlineLevel="1">
      <c r="A396" s="30">
        <f>IF(8&lt;=DAY(DATE(YEAR(설정_코스수당!$K$2),MONTH(설정_코스수당!$K$2)+1,0)),DATE(YEAR(설정_코스수당!$K$2),MONTH(설정_코스수당!$K$2),8),"")</f>
        <v>46181</v>
      </c>
      <c r="B396" s="29" t="s">
        <v>188</v>
      </c>
      <c r="C396" s="29"/>
      <c r="D396" s="29"/>
      <c r="E396" s="29" t="str">
        <f t="shared" si="50"/>
        <v/>
      </c>
      <c r="F396" s="29">
        <f>COUNTIFS(실시간콜입력!$B:$B,$A396,실시간콜입력!$E:$E,"A",실시간콜입력!$G:$G,$B396,실시간콜입력!$O:$O,"방문완료")+COUNTIFS(실시간콜입력!$B:$B,$A396,실시간콜입력!$E:$E,"A",실시간콜입력!$H:$H,$B396,실시간콜입력!$O:$O,"방문완료")</f>
        <v>0</v>
      </c>
      <c r="G396" s="29">
        <f>COUNTIFS(실시간콜입력!$B:$B,$A396,실시간콜입력!$E:$E,"B",실시간콜입력!$G:$G,$B396,실시간콜입력!$O:$O,"방문완료")+COUNTIFS(실시간콜입력!$B:$B,$A396,실시간콜입력!$E:$E,"B",실시간콜입력!$H:$H,$B396,실시간콜입력!$O:$O,"방문완료")</f>
        <v>0</v>
      </c>
      <c r="H396" s="29">
        <f>COUNTIFS(실시간콜입력!$B:$B,$A396,실시간콜입력!$E:$E,"C",실시간콜입력!$G:$G,$B396,실시간콜입력!$O:$O,"방문완료")+COUNTIFS(실시간콜입력!$B:$B,$A396,실시간콜입력!$E:$E,"C",실시간콜입력!$H:$H,$B396,실시간콜입력!$O:$O,"방문완료")</f>
        <v>0</v>
      </c>
      <c r="I396" s="29">
        <f>COUNTIFS(실시간콜입력!$B:$B,$A396,실시간콜입력!$E:$E,"D",실시간콜입력!$G:$G,$B396,실시간콜입력!$O:$O,"방문완료")+COUNTIFS(실시간콜입력!$B:$B,$A396,실시간콜입력!$E:$E,"D",실시간콜입력!$H:$H,$B396,실시간콜입력!$O:$O,"방문완료")</f>
        <v>0</v>
      </c>
      <c r="J396" s="29">
        <f>COUNTIFS(실시간콜입력!$B:$B,$A396,실시간콜입력!$E:$E,"E",실시간콜입력!$G:$G,$B396,실시간콜입력!$O:$O,"방문완료")+COUNTIFS(실시간콜입력!$B:$B,$A396,실시간콜입력!$E:$E,"E",실시간콜입력!$H:$H,$B396,실시간콜입력!$O:$O,"방문완료")</f>
        <v>0</v>
      </c>
      <c r="K396" s="29">
        <f t="shared" si="51"/>
        <v>0</v>
      </c>
      <c r="L396" s="33">
        <f>SUMIFS(실시간콜입력!$K:$K,실시간콜입력!$B:$B,$A396,실시간콜입력!$G:$G,$B396,실시간콜입력!$O:$O,"방문완료")+SUMIFS(실시간콜입력!$L:$L,실시간콜입력!$B:$B,$A396,실시간콜입력!$H:$H,$B396,실시간콜입력!$O:$O,"방문완료")</f>
        <v>0</v>
      </c>
      <c r="M396" s="29" t="str">
        <f t="shared" si="52"/>
        <v/>
      </c>
      <c r="N396" s="29"/>
    </row>
    <row r="397" spans="1:14" ht="19.5" hidden="1" customHeight="1" outlineLevel="1">
      <c r="A397" s="24">
        <f>IF(8&lt;=DAY(DATE(YEAR(설정_코스수당!$K$2),MONTH(설정_코스수당!$K$2)+1,0)),DATE(YEAR(설정_코스수당!$K$2),MONTH(설정_코스수당!$K$2),8),"")</f>
        <v>46181</v>
      </c>
      <c r="B397" s="23" t="s">
        <v>189</v>
      </c>
      <c r="C397" s="29"/>
      <c r="D397" s="29"/>
      <c r="E397" s="29" t="str">
        <f t="shared" si="50"/>
        <v/>
      </c>
      <c r="F397" s="29">
        <f>COUNTIFS(실시간콜입력!$B:$B,$A397,실시간콜입력!$E:$E,"A",실시간콜입력!$G:$G,$B397,실시간콜입력!$O:$O,"방문완료")+COUNTIFS(실시간콜입력!$B:$B,$A397,실시간콜입력!$E:$E,"A",실시간콜입력!$H:$H,$B397,실시간콜입력!$O:$O,"방문완료")</f>
        <v>0</v>
      </c>
      <c r="G397" s="29">
        <f>COUNTIFS(실시간콜입력!$B:$B,$A397,실시간콜입력!$E:$E,"B",실시간콜입력!$G:$G,$B397,실시간콜입력!$O:$O,"방문완료")+COUNTIFS(실시간콜입력!$B:$B,$A397,실시간콜입력!$E:$E,"B",실시간콜입력!$H:$H,$B397,실시간콜입력!$O:$O,"방문완료")</f>
        <v>0</v>
      </c>
      <c r="H397" s="29">
        <f>COUNTIFS(실시간콜입력!$B:$B,$A397,실시간콜입력!$E:$E,"C",실시간콜입력!$G:$G,$B397,실시간콜입력!$O:$O,"방문완료")+COUNTIFS(실시간콜입력!$B:$B,$A397,실시간콜입력!$E:$E,"C",실시간콜입력!$H:$H,$B397,실시간콜입력!$O:$O,"방문완료")</f>
        <v>0</v>
      </c>
      <c r="I397" s="29">
        <f>COUNTIFS(실시간콜입력!$B:$B,$A397,실시간콜입력!$E:$E,"D",실시간콜입력!$G:$G,$B397,실시간콜입력!$O:$O,"방문완료")+COUNTIFS(실시간콜입력!$B:$B,$A397,실시간콜입력!$E:$E,"D",실시간콜입력!$H:$H,$B397,실시간콜입력!$O:$O,"방문완료")</f>
        <v>0</v>
      </c>
      <c r="J397" s="29">
        <f>COUNTIFS(실시간콜입력!$B:$B,$A397,실시간콜입력!$E:$E,"E",실시간콜입력!$G:$G,$B397,실시간콜입력!$O:$O,"방문완료")+COUNTIFS(실시간콜입력!$B:$B,$A397,실시간콜입력!$E:$E,"E",실시간콜입력!$H:$H,$B397,실시간콜입력!$O:$O,"방문완료")</f>
        <v>0</v>
      </c>
      <c r="K397" s="29">
        <f t="shared" si="51"/>
        <v>0</v>
      </c>
      <c r="L397" s="27">
        <f>SUMIFS(실시간콜입력!$K:$K,실시간콜입력!$B:$B,$A397,실시간콜입력!$G:$G,$B397,실시간콜입력!$O:$O,"방문완료")+SUMIFS(실시간콜입력!$L:$L,실시간콜입력!$B:$B,$A397,실시간콜입력!$H:$H,$B397,실시간콜입력!$O:$O,"방문완료")</f>
        <v>0</v>
      </c>
      <c r="M397" s="29" t="str">
        <f t="shared" si="52"/>
        <v/>
      </c>
      <c r="N397" s="29"/>
    </row>
    <row r="398" spans="1:14" ht="19.5" hidden="1" customHeight="1" outlineLevel="1">
      <c r="A398" s="30">
        <f>IF(8&lt;=DAY(DATE(YEAR(설정_코스수당!$K$2),MONTH(설정_코스수당!$K$2)+1,0)),DATE(YEAR(설정_코스수당!$K$2),MONTH(설정_코스수당!$K$2),8),"")</f>
        <v>46181</v>
      </c>
      <c r="B398" s="29" t="s">
        <v>190</v>
      </c>
      <c r="C398" s="29"/>
      <c r="D398" s="29"/>
      <c r="E398" s="29" t="str">
        <f t="shared" si="50"/>
        <v/>
      </c>
      <c r="F398" s="29">
        <f>COUNTIFS(실시간콜입력!$B:$B,$A398,실시간콜입력!$E:$E,"A",실시간콜입력!$G:$G,$B398,실시간콜입력!$O:$O,"방문완료")+COUNTIFS(실시간콜입력!$B:$B,$A398,실시간콜입력!$E:$E,"A",실시간콜입력!$H:$H,$B398,실시간콜입력!$O:$O,"방문완료")</f>
        <v>0</v>
      </c>
      <c r="G398" s="29">
        <f>COUNTIFS(실시간콜입력!$B:$B,$A398,실시간콜입력!$E:$E,"B",실시간콜입력!$G:$G,$B398,실시간콜입력!$O:$O,"방문완료")+COUNTIFS(실시간콜입력!$B:$B,$A398,실시간콜입력!$E:$E,"B",실시간콜입력!$H:$H,$B398,실시간콜입력!$O:$O,"방문완료")</f>
        <v>0</v>
      </c>
      <c r="H398" s="29">
        <f>COUNTIFS(실시간콜입력!$B:$B,$A398,실시간콜입력!$E:$E,"C",실시간콜입력!$G:$G,$B398,실시간콜입력!$O:$O,"방문완료")+COUNTIFS(실시간콜입력!$B:$B,$A398,실시간콜입력!$E:$E,"C",실시간콜입력!$H:$H,$B398,실시간콜입력!$O:$O,"방문완료")</f>
        <v>0</v>
      </c>
      <c r="I398" s="29">
        <f>COUNTIFS(실시간콜입력!$B:$B,$A398,실시간콜입력!$E:$E,"D",실시간콜입력!$G:$G,$B398,실시간콜입력!$O:$O,"방문완료")+COUNTIFS(실시간콜입력!$B:$B,$A398,실시간콜입력!$E:$E,"D",실시간콜입력!$H:$H,$B398,실시간콜입력!$O:$O,"방문완료")</f>
        <v>0</v>
      </c>
      <c r="J398" s="29">
        <f>COUNTIFS(실시간콜입력!$B:$B,$A398,실시간콜입력!$E:$E,"E",실시간콜입력!$G:$G,$B398,실시간콜입력!$O:$O,"방문완료")+COUNTIFS(실시간콜입력!$B:$B,$A398,실시간콜입력!$E:$E,"E",실시간콜입력!$H:$H,$B398,실시간콜입력!$O:$O,"방문완료")</f>
        <v>0</v>
      </c>
      <c r="K398" s="29">
        <f t="shared" si="51"/>
        <v>0</v>
      </c>
      <c r="L398" s="33">
        <f>SUMIFS(실시간콜입력!$K:$K,실시간콜입력!$B:$B,$A398,실시간콜입력!$G:$G,$B398,실시간콜입력!$O:$O,"방문완료")+SUMIFS(실시간콜입력!$L:$L,실시간콜입력!$B:$B,$A398,실시간콜입력!$H:$H,$B398,실시간콜입력!$O:$O,"방문완료")</f>
        <v>0</v>
      </c>
      <c r="M398" s="29" t="str">
        <f t="shared" si="52"/>
        <v/>
      </c>
      <c r="N398" s="29"/>
    </row>
    <row r="399" spans="1:14" ht="19.5" hidden="1" customHeight="1" outlineLevel="1">
      <c r="A399" s="24">
        <f>IF(8&lt;=DAY(DATE(YEAR(설정_코스수당!$K$2),MONTH(설정_코스수당!$K$2)+1,0)),DATE(YEAR(설정_코스수당!$K$2),MONTH(설정_코스수당!$K$2),8),"")</f>
        <v>46181</v>
      </c>
      <c r="B399" s="23" t="s">
        <v>191</v>
      </c>
      <c r="C399" s="29"/>
      <c r="D399" s="29"/>
      <c r="E399" s="29" t="str">
        <f t="shared" si="50"/>
        <v/>
      </c>
      <c r="F399" s="29">
        <f>COUNTIFS(실시간콜입력!$B:$B,$A399,실시간콜입력!$E:$E,"A",실시간콜입력!$G:$G,$B399,실시간콜입력!$O:$O,"방문완료")+COUNTIFS(실시간콜입력!$B:$B,$A399,실시간콜입력!$E:$E,"A",실시간콜입력!$H:$H,$B399,실시간콜입력!$O:$O,"방문완료")</f>
        <v>0</v>
      </c>
      <c r="G399" s="29">
        <f>COUNTIFS(실시간콜입력!$B:$B,$A399,실시간콜입력!$E:$E,"B",실시간콜입력!$G:$G,$B399,실시간콜입력!$O:$O,"방문완료")+COUNTIFS(실시간콜입력!$B:$B,$A399,실시간콜입력!$E:$E,"B",실시간콜입력!$H:$H,$B399,실시간콜입력!$O:$O,"방문완료")</f>
        <v>0</v>
      </c>
      <c r="H399" s="29">
        <f>COUNTIFS(실시간콜입력!$B:$B,$A399,실시간콜입력!$E:$E,"C",실시간콜입력!$G:$G,$B399,실시간콜입력!$O:$O,"방문완료")+COUNTIFS(실시간콜입력!$B:$B,$A399,실시간콜입력!$E:$E,"C",실시간콜입력!$H:$H,$B399,실시간콜입력!$O:$O,"방문완료")</f>
        <v>0</v>
      </c>
      <c r="I399" s="29">
        <f>COUNTIFS(실시간콜입력!$B:$B,$A399,실시간콜입력!$E:$E,"D",실시간콜입력!$G:$G,$B399,실시간콜입력!$O:$O,"방문완료")+COUNTIFS(실시간콜입력!$B:$B,$A399,실시간콜입력!$E:$E,"D",실시간콜입력!$H:$H,$B399,실시간콜입력!$O:$O,"방문완료")</f>
        <v>0</v>
      </c>
      <c r="J399" s="29">
        <f>COUNTIFS(실시간콜입력!$B:$B,$A399,실시간콜입력!$E:$E,"E",실시간콜입력!$G:$G,$B399,실시간콜입력!$O:$O,"방문완료")+COUNTIFS(실시간콜입력!$B:$B,$A399,실시간콜입력!$E:$E,"E",실시간콜입력!$H:$H,$B399,실시간콜입력!$O:$O,"방문완료")</f>
        <v>0</v>
      </c>
      <c r="K399" s="29">
        <f t="shared" si="51"/>
        <v>0</v>
      </c>
      <c r="L399" s="27">
        <f>SUMIFS(실시간콜입력!$K:$K,실시간콜입력!$B:$B,$A399,실시간콜입력!$G:$G,$B399,실시간콜입력!$O:$O,"방문완료")+SUMIFS(실시간콜입력!$L:$L,실시간콜입력!$B:$B,$A399,실시간콜입력!$H:$H,$B399,실시간콜입력!$O:$O,"방문완료")</f>
        <v>0</v>
      </c>
      <c r="M399" s="29" t="str">
        <f t="shared" si="52"/>
        <v/>
      </c>
      <c r="N399" s="29"/>
    </row>
    <row r="400" spans="1:14" ht="19.5" hidden="1" customHeight="1" outlineLevel="1">
      <c r="A400" s="30">
        <f>IF(8&lt;=DAY(DATE(YEAR(설정_코스수당!$K$2),MONTH(설정_코스수당!$K$2)+1,0)),DATE(YEAR(설정_코스수당!$K$2),MONTH(설정_코스수당!$K$2),8),"")</f>
        <v>46181</v>
      </c>
      <c r="B400" s="29" t="s">
        <v>192</v>
      </c>
      <c r="C400" s="29"/>
      <c r="D400" s="29"/>
      <c r="E400" s="29" t="str">
        <f t="shared" si="50"/>
        <v/>
      </c>
      <c r="F400" s="29">
        <f>COUNTIFS(실시간콜입력!$B:$B,$A400,실시간콜입력!$E:$E,"A",실시간콜입력!$G:$G,$B400,실시간콜입력!$O:$O,"방문완료")+COUNTIFS(실시간콜입력!$B:$B,$A400,실시간콜입력!$E:$E,"A",실시간콜입력!$H:$H,$B400,실시간콜입력!$O:$O,"방문완료")</f>
        <v>0</v>
      </c>
      <c r="G400" s="29">
        <f>COUNTIFS(실시간콜입력!$B:$B,$A400,실시간콜입력!$E:$E,"B",실시간콜입력!$G:$G,$B400,실시간콜입력!$O:$O,"방문완료")+COUNTIFS(실시간콜입력!$B:$B,$A400,실시간콜입력!$E:$E,"B",실시간콜입력!$H:$H,$B400,실시간콜입력!$O:$O,"방문완료")</f>
        <v>0</v>
      </c>
      <c r="H400" s="29">
        <f>COUNTIFS(실시간콜입력!$B:$B,$A400,실시간콜입력!$E:$E,"C",실시간콜입력!$G:$G,$B400,실시간콜입력!$O:$O,"방문완료")+COUNTIFS(실시간콜입력!$B:$B,$A400,실시간콜입력!$E:$E,"C",실시간콜입력!$H:$H,$B400,실시간콜입력!$O:$O,"방문완료")</f>
        <v>0</v>
      </c>
      <c r="I400" s="29">
        <f>COUNTIFS(실시간콜입력!$B:$B,$A400,실시간콜입력!$E:$E,"D",실시간콜입력!$G:$G,$B400,실시간콜입력!$O:$O,"방문완료")+COUNTIFS(실시간콜입력!$B:$B,$A400,실시간콜입력!$E:$E,"D",실시간콜입력!$H:$H,$B400,실시간콜입력!$O:$O,"방문완료")</f>
        <v>0</v>
      </c>
      <c r="J400" s="29">
        <f>COUNTIFS(실시간콜입력!$B:$B,$A400,실시간콜입력!$E:$E,"E",실시간콜입력!$G:$G,$B400,실시간콜입력!$O:$O,"방문완료")+COUNTIFS(실시간콜입력!$B:$B,$A400,실시간콜입력!$E:$E,"E",실시간콜입력!$H:$H,$B400,실시간콜입력!$O:$O,"방문완료")</f>
        <v>0</v>
      </c>
      <c r="K400" s="29">
        <f t="shared" si="51"/>
        <v>0</v>
      </c>
      <c r="L400" s="33">
        <f>SUMIFS(실시간콜입력!$K:$K,실시간콜입력!$B:$B,$A400,실시간콜입력!$G:$G,$B400,실시간콜입력!$O:$O,"방문완료")+SUMIFS(실시간콜입력!$L:$L,실시간콜입력!$B:$B,$A400,실시간콜입력!$H:$H,$B400,실시간콜입력!$O:$O,"방문완료")</f>
        <v>0</v>
      </c>
      <c r="M400" s="29" t="str">
        <f t="shared" si="52"/>
        <v/>
      </c>
      <c r="N400" s="29"/>
    </row>
    <row r="401" spans="1:14" ht="19.5" hidden="1" customHeight="1" outlineLevel="1">
      <c r="A401" s="24">
        <f>IF(8&lt;=DAY(DATE(YEAR(설정_코스수당!$K$2),MONTH(설정_코스수당!$K$2)+1,0)),DATE(YEAR(설정_코스수당!$K$2),MONTH(설정_코스수당!$K$2),8),"")</f>
        <v>46181</v>
      </c>
      <c r="B401" s="23" t="s">
        <v>193</v>
      </c>
      <c r="C401" s="29"/>
      <c r="D401" s="29"/>
      <c r="E401" s="29" t="str">
        <f t="shared" si="50"/>
        <v/>
      </c>
      <c r="F401" s="29">
        <f>COUNTIFS(실시간콜입력!$B:$B,$A401,실시간콜입력!$E:$E,"A",실시간콜입력!$G:$G,$B401,실시간콜입력!$O:$O,"방문완료")+COUNTIFS(실시간콜입력!$B:$B,$A401,실시간콜입력!$E:$E,"A",실시간콜입력!$H:$H,$B401,실시간콜입력!$O:$O,"방문완료")</f>
        <v>0</v>
      </c>
      <c r="G401" s="29">
        <f>COUNTIFS(실시간콜입력!$B:$B,$A401,실시간콜입력!$E:$E,"B",실시간콜입력!$G:$G,$B401,실시간콜입력!$O:$O,"방문완료")+COUNTIFS(실시간콜입력!$B:$B,$A401,실시간콜입력!$E:$E,"B",실시간콜입력!$H:$H,$B401,실시간콜입력!$O:$O,"방문완료")</f>
        <v>0</v>
      </c>
      <c r="H401" s="29">
        <f>COUNTIFS(실시간콜입력!$B:$B,$A401,실시간콜입력!$E:$E,"C",실시간콜입력!$G:$G,$B401,실시간콜입력!$O:$O,"방문완료")+COUNTIFS(실시간콜입력!$B:$B,$A401,실시간콜입력!$E:$E,"C",실시간콜입력!$H:$H,$B401,실시간콜입력!$O:$O,"방문완료")</f>
        <v>0</v>
      </c>
      <c r="I401" s="29">
        <f>COUNTIFS(실시간콜입력!$B:$B,$A401,실시간콜입력!$E:$E,"D",실시간콜입력!$G:$G,$B401,실시간콜입력!$O:$O,"방문완료")+COUNTIFS(실시간콜입력!$B:$B,$A401,실시간콜입력!$E:$E,"D",실시간콜입력!$H:$H,$B401,실시간콜입력!$O:$O,"방문완료")</f>
        <v>0</v>
      </c>
      <c r="J401" s="29">
        <f>COUNTIFS(실시간콜입력!$B:$B,$A401,실시간콜입력!$E:$E,"E",실시간콜입력!$G:$G,$B401,실시간콜입력!$O:$O,"방문완료")+COUNTIFS(실시간콜입력!$B:$B,$A401,실시간콜입력!$E:$E,"E",실시간콜입력!$H:$H,$B401,실시간콜입력!$O:$O,"방문완료")</f>
        <v>0</v>
      </c>
      <c r="K401" s="29">
        <f t="shared" si="51"/>
        <v>0</v>
      </c>
      <c r="L401" s="27">
        <f>SUMIFS(실시간콜입력!$K:$K,실시간콜입력!$B:$B,$A401,실시간콜입력!$G:$G,$B401,실시간콜입력!$O:$O,"방문완료")+SUMIFS(실시간콜입력!$L:$L,실시간콜입력!$B:$B,$A401,실시간콜입력!$H:$H,$B401,실시간콜입력!$O:$O,"방문완료")</f>
        <v>0</v>
      </c>
      <c r="M401" s="29" t="str">
        <f t="shared" si="52"/>
        <v/>
      </c>
      <c r="N401" s="29"/>
    </row>
    <row r="402" spans="1:14" ht="19.5" hidden="1" customHeight="1" outlineLevel="1">
      <c r="A402" s="30">
        <f>IF(8&lt;=DAY(DATE(YEAR(설정_코스수당!$K$2),MONTH(설정_코스수당!$K$2)+1,0)),DATE(YEAR(설정_코스수당!$K$2),MONTH(설정_코스수당!$K$2),8),"")</f>
        <v>46181</v>
      </c>
      <c r="B402" s="29" t="s">
        <v>194</v>
      </c>
      <c r="C402" s="29"/>
      <c r="D402" s="29"/>
      <c r="E402" s="29" t="str">
        <f t="shared" si="50"/>
        <v/>
      </c>
      <c r="F402" s="29">
        <f>COUNTIFS(실시간콜입력!$B:$B,$A402,실시간콜입력!$E:$E,"A",실시간콜입력!$G:$G,$B402,실시간콜입력!$O:$O,"방문완료")+COUNTIFS(실시간콜입력!$B:$B,$A402,실시간콜입력!$E:$E,"A",실시간콜입력!$H:$H,$B402,실시간콜입력!$O:$O,"방문완료")</f>
        <v>0</v>
      </c>
      <c r="G402" s="29">
        <f>COUNTIFS(실시간콜입력!$B:$B,$A402,실시간콜입력!$E:$E,"B",실시간콜입력!$G:$G,$B402,실시간콜입력!$O:$O,"방문완료")+COUNTIFS(실시간콜입력!$B:$B,$A402,실시간콜입력!$E:$E,"B",실시간콜입력!$H:$H,$B402,실시간콜입력!$O:$O,"방문완료")</f>
        <v>0</v>
      </c>
      <c r="H402" s="29">
        <f>COUNTIFS(실시간콜입력!$B:$B,$A402,실시간콜입력!$E:$E,"C",실시간콜입력!$G:$G,$B402,실시간콜입력!$O:$O,"방문완료")+COUNTIFS(실시간콜입력!$B:$B,$A402,실시간콜입력!$E:$E,"C",실시간콜입력!$H:$H,$B402,실시간콜입력!$O:$O,"방문완료")</f>
        <v>0</v>
      </c>
      <c r="I402" s="29">
        <f>COUNTIFS(실시간콜입력!$B:$B,$A402,실시간콜입력!$E:$E,"D",실시간콜입력!$G:$G,$B402,실시간콜입력!$O:$O,"방문완료")+COUNTIFS(실시간콜입력!$B:$B,$A402,실시간콜입력!$E:$E,"D",실시간콜입력!$H:$H,$B402,실시간콜입력!$O:$O,"방문완료")</f>
        <v>0</v>
      </c>
      <c r="J402" s="29">
        <f>COUNTIFS(실시간콜입력!$B:$B,$A402,실시간콜입력!$E:$E,"E",실시간콜입력!$G:$G,$B402,실시간콜입력!$O:$O,"방문완료")+COUNTIFS(실시간콜입력!$B:$B,$A402,실시간콜입력!$E:$E,"E",실시간콜입력!$H:$H,$B402,실시간콜입력!$O:$O,"방문완료")</f>
        <v>0</v>
      </c>
      <c r="K402" s="29">
        <f t="shared" si="51"/>
        <v>0</v>
      </c>
      <c r="L402" s="33">
        <f>SUMIFS(실시간콜입력!$K:$K,실시간콜입력!$B:$B,$A402,실시간콜입력!$G:$G,$B402,실시간콜입력!$O:$O,"방문완료")+SUMIFS(실시간콜입력!$L:$L,실시간콜입력!$B:$B,$A402,실시간콜입력!$H:$H,$B402,실시간콜입력!$O:$O,"방문완료")</f>
        <v>0</v>
      </c>
      <c r="M402" s="29" t="str">
        <f t="shared" si="52"/>
        <v/>
      </c>
      <c r="N402" s="29"/>
    </row>
    <row r="403" spans="1:14" ht="19.5" hidden="1" customHeight="1" outlineLevel="1">
      <c r="A403" s="24">
        <f>IF(8&lt;=DAY(DATE(YEAR(설정_코스수당!$K$2),MONTH(설정_코스수당!$K$2)+1,0)),DATE(YEAR(설정_코스수당!$K$2),MONTH(설정_코스수당!$K$2),8),"")</f>
        <v>46181</v>
      </c>
      <c r="B403" s="23" t="s">
        <v>195</v>
      </c>
      <c r="C403" s="29"/>
      <c r="D403" s="29"/>
      <c r="E403" s="29" t="str">
        <f t="shared" ref="E403:E434" si="53">IF(AND(C403&lt;&gt;"",D403&lt;&gt;""),IF(D403&lt;C403,D403+1-C403,D403-C403)*24,"")</f>
        <v/>
      </c>
      <c r="F403" s="29">
        <f>COUNTIFS(실시간콜입력!$B:$B,$A403,실시간콜입력!$E:$E,"A",실시간콜입력!$G:$G,$B403,실시간콜입력!$O:$O,"방문완료")+COUNTIFS(실시간콜입력!$B:$B,$A403,실시간콜입력!$E:$E,"A",실시간콜입력!$H:$H,$B403,실시간콜입력!$O:$O,"방문완료")</f>
        <v>0</v>
      </c>
      <c r="G403" s="29">
        <f>COUNTIFS(실시간콜입력!$B:$B,$A403,실시간콜입력!$E:$E,"B",실시간콜입력!$G:$G,$B403,실시간콜입력!$O:$O,"방문완료")+COUNTIFS(실시간콜입력!$B:$B,$A403,실시간콜입력!$E:$E,"B",실시간콜입력!$H:$H,$B403,실시간콜입력!$O:$O,"방문완료")</f>
        <v>0</v>
      </c>
      <c r="H403" s="29">
        <f>COUNTIFS(실시간콜입력!$B:$B,$A403,실시간콜입력!$E:$E,"C",실시간콜입력!$G:$G,$B403,실시간콜입력!$O:$O,"방문완료")+COUNTIFS(실시간콜입력!$B:$B,$A403,실시간콜입력!$E:$E,"C",실시간콜입력!$H:$H,$B403,실시간콜입력!$O:$O,"방문완료")</f>
        <v>0</v>
      </c>
      <c r="I403" s="29">
        <f>COUNTIFS(실시간콜입력!$B:$B,$A403,실시간콜입력!$E:$E,"D",실시간콜입력!$G:$G,$B403,실시간콜입력!$O:$O,"방문완료")+COUNTIFS(실시간콜입력!$B:$B,$A403,실시간콜입력!$E:$E,"D",실시간콜입력!$H:$H,$B403,실시간콜입력!$O:$O,"방문완료")</f>
        <v>0</v>
      </c>
      <c r="J403" s="29">
        <f>COUNTIFS(실시간콜입력!$B:$B,$A403,실시간콜입력!$E:$E,"E",실시간콜입력!$G:$G,$B403,실시간콜입력!$O:$O,"방문완료")+COUNTIFS(실시간콜입력!$B:$B,$A403,실시간콜입력!$E:$E,"E",실시간콜입력!$H:$H,$B403,실시간콜입력!$O:$O,"방문완료")</f>
        <v>0</v>
      </c>
      <c r="K403" s="29">
        <f t="shared" ref="K403:K434" si="54">SUM(F403:J403)</f>
        <v>0</v>
      </c>
      <c r="L403" s="27">
        <f>SUMIFS(실시간콜입력!$K:$K,실시간콜입력!$B:$B,$A403,실시간콜입력!$G:$G,$B403,실시간콜입력!$O:$O,"방문완료")+SUMIFS(실시간콜입력!$L:$L,실시간콜입력!$B:$B,$A403,실시간콜입력!$H:$H,$B403,실시간콜입력!$O:$O,"방문완료")</f>
        <v>0</v>
      </c>
      <c r="M403" s="29" t="str">
        <f t="shared" ref="M403:M420" si="55">IF(AND(ISNUMBER(E403),E403&gt;=8),"인정","")</f>
        <v/>
      </c>
      <c r="N403" s="29"/>
    </row>
    <row r="404" spans="1:14" ht="19.5" hidden="1" customHeight="1" outlineLevel="1">
      <c r="A404" s="30">
        <f>IF(8&lt;=DAY(DATE(YEAR(설정_코스수당!$K$2),MONTH(설정_코스수당!$K$2)+1,0)),DATE(YEAR(설정_코스수당!$K$2),MONTH(설정_코스수당!$K$2),8),"")</f>
        <v>46181</v>
      </c>
      <c r="B404" s="29" t="s">
        <v>196</v>
      </c>
      <c r="C404" s="29"/>
      <c r="D404" s="29"/>
      <c r="E404" s="29" t="str">
        <f t="shared" si="53"/>
        <v/>
      </c>
      <c r="F404" s="29">
        <f>COUNTIFS(실시간콜입력!$B:$B,$A404,실시간콜입력!$E:$E,"A",실시간콜입력!$G:$G,$B404,실시간콜입력!$O:$O,"방문완료")+COUNTIFS(실시간콜입력!$B:$B,$A404,실시간콜입력!$E:$E,"A",실시간콜입력!$H:$H,$B404,실시간콜입력!$O:$O,"방문완료")</f>
        <v>0</v>
      </c>
      <c r="G404" s="29">
        <f>COUNTIFS(실시간콜입력!$B:$B,$A404,실시간콜입력!$E:$E,"B",실시간콜입력!$G:$G,$B404,실시간콜입력!$O:$O,"방문완료")+COUNTIFS(실시간콜입력!$B:$B,$A404,실시간콜입력!$E:$E,"B",실시간콜입력!$H:$H,$B404,실시간콜입력!$O:$O,"방문완료")</f>
        <v>0</v>
      </c>
      <c r="H404" s="29">
        <f>COUNTIFS(실시간콜입력!$B:$B,$A404,실시간콜입력!$E:$E,"C",실시간콜입력!$G:$G,$B404,실시간콜입력!$O:$O,"방문완료")+COUNTIFS(실시간콜입력!$B:$B,$A404,실시간콜입력!$E:$E,"C",실시간콜입력!$H:$H,$B404,실시간콜입력!$O:$O,"방문완료")</f>
        <v>0</v>
      </c>
      <c r="I404" s="29">
        <f>COUNTIFS(실시간콜입력!$B:$B,$A404,실시간콜입력!$E:$E,"D",실시간콜입력!$G:$G,$B404,실시간콜입력!$O:$O,"방문완료")+COUNTIFS(실시간콜입력!$B:$B,$A404,실시간콜입력!$E:$E,"D",실시간콜입력!$H:$H,$B404,실시간콜입력!$O:$O,"방문완료")</f>
        <v>0</v>
      </c>
      <c r="J404" s="29">
        <f>COUNTIFS(실시간콜입력!$B:$B,$A404,실시간콜입력!$E:$E,"E",실시간콜입력!$G:$G,$B404,실시간콜입력!$O:$O,"방문완료")+COUNTIFS(실시간콜입력!$B:$B,$A404,실시간콜입력!$E:$E,"E",실시간콜입력!$H:$H,$B404,실시간콜입력!$O:$O,"방문완료")</f>
        <v>0</v>
      </c>
      <c r="K404" s="29">
        <f t="shared" si="54"/>
        <v>0</v>
      </c>
      <c r="L404" s="33">
        <f>SUMIFS(실시간콜입력!$K:$K,실시간콜입력!$B:$B,$A404,실시간콜입력!$G:$G,$B404,실시간콜입력!$O:$O,"방문완료")+SUMIFS(실시간콜입력!$L:$L,실시간콜입력!$B:$B,$A404,실시간콜입력!$H:$H,$B404,실시간콜입력!$O:$O,"방문완료")</f>
        <v>0</v>
      </c>
      <c r="M404" s="29" t="str">
        <f t="shared" si="55"/>
        <v/>
      </c>
      <c r="N404" s="29"/>
    </row>
    <row r="405" spans="1:14" ht="19.5" hidden="1" customHeight="1" outlineLevel="1">
      <c r="A405" s="24">
        <f>IF(8&lt;=DAY(DATE(YEAR(설정_코스수당!$K$2),MONTH(설정_코스수당!$K$2)+1,0)),DATE(YEAR(설정_코스수당!$K$2),MONTH(설정_코스수당!$K$2),8),"")</f>
        <v>46181</v>
      </c>
      <c r="B405" s="23" t="s">
        <v>197</v>
      </c>
      <c r="C405" s="29"/>
      <c r="D405" s="29"/>
      <c r="E405" s="29" t="str">
        <f t="shared" si="53"/>
        <v/>
      </c>
      <c r="F405" s="29">
        <f>COUNTIFS(실시간콜입력!$B:$B,$A405,실시간콜입력!$E:$E,"A",실시간콜입력!$G:$G,$B405,실시간콜입력!$O:$O,"방문완료")+COUNTIFS(실시간콜입력!$B:$B,$A405,실시간콜입력!$E:$E,"A",실시간콜입력!$H:$H,$B405,실시간콜입력!$O:$O,"방문완료")</f>
        <v>0</v>
      </c>
      <c r="G405" s="29">
        <f>COUNTIFS(실시간콜입력!$B:$B,$A405,실시간콜입력!$E:$E,"B",실시간콜입력!$G:$G,$B405,실시간콜입력!$O:$O,"방문완료")+COUNTIFS(실시간콜입력!$B:$B,$A405,실시간콜입력!$E:$E,"B",실시간콜입력!$H:$H,$B405,실시간콜입력!$O:$O,"방문완료")</f>
        <v>0</v>
      </c>
      <c r="H405" s="29">
        <f>COUNTIFS(실시간콜입력!$B:$B,$A405,실시간콜입력!$E:$E,"C",실시간콜입력!$G:$G,$B405,실시간콜입력!$O:$O,"방문완료")+COUNTIFS(실시간콜입력!$B:$B,$A405,실시간콜입력!$E:$E,"C",실시간콜입력!$H:$H,$B405,실시간콜입력!$O:$O,"방문완료")</f>
        <v>0</v>
      </c>
      <c r="I405" s="29">
        <f>COUNTIFS(실시간콜입력!$B:$B,$A405,실시간콜입력!$E:$E,"D",실시간콜입력!$G:$G,$B405,실시간콜입력!$O:$O,"방문완료")+COUNTIFS(실시간콜입력!$B:$B,$A405,실시간콜입력!$E:$E,"D",실시간콜입력!$H:$H,$B405,실시간콜입력!$O:$O,"방문완료")</f>
        <v>0</v>
      </c>
      <c r="J405" s="29">
        <f>COUNTIFS(실시간콜입력!$B:$B,$A405,실시간콜입력!$E:$E,"E",실시간콜입력!$G:$G,$B405,실시간콜입력!$O:$O,"방문완료")+COUNTIFS(실시간콜입력!$B:$B,$A405,실시간콜입력!$E:$E,"E",실시간콜입력!$H:$H,$B405,실시간콜입력!$O:$O,"방문완료")</f>
        <v>0</v>
      </c>
      <c r="K405" s="29">
        <f t="shared" si="54"/>
        <v>0</v>
      </c>
      <c r="L405" s="27">
        <f>SUMIFS(실시간콜입력!$K:$K,실시간콜입력!$B:$B,$A405,실시간콜입력!$G:$G,$B405,실시간콜입력!$O:$O,"방문완료")+SUMIFS(실시간콜입력!$L:$L,실시간콜입력!$B:$B,$A405,실시간콜입력!$H:$H,$B405,실시간콜입력!$O:$O,"방문완료")</f>
        <v>0</v>
      </c>
      <c r="M405" s="29" t="str">
        <f t="shared" si="55"/>
        <v/>
      </c>
      <c r="N405" s="29"/>
    </row>
    <row r="406" spans="1:14" ht="19.5" hidden="1" customHeight="1" outlineLevel="1">
      <c r="A406" s="30">
        <f>IF(8&lt;=DAY(DATE(YEAR(설정_코스수당!$K$2),MONTH(설정_코스수당!$K$2)+1,0)),DATE(YEAR(설정_코스수당!$K$2),MONTH(설정_코스수당!$K$2),8),"")</f>
        <v>46181</v>
      </c>
      <c r="B406" s="29" t="s">
        <v>198</v>
      </c>
      <c r="C406" s="29"/>
      <c r="D406" s="29"/>
      <c r="E406" s="29" t="str">
        <f t="shared" si="53"/>
        <v/>
      </c>
      <c r="F406" s="29">
        <f>COUNTIFS(실시간콜입력!$B:$B,$A406,실시간콜입력!$E:$E,"A",실시간콜입력!$G:$G,$B406,실시간콜입력!$O:$O,"방문완료")+COUNTIFS(실시간콜입력!$B:$B,$A406,실시간콜입력!$E:$E,"A",실시간콜입력!$H:$H,$B406,실시간콜입력!$O:$O,"방문완료")</f>
        <v>0</v>
      </c>
      <c r="G406" s="29">
        <f>COUNTIFS(실시간콜입력!$B:$B,$A406,실시간콜입력!$E:$E,"B",실시간콜입력!$G:$G,$B406,실시간콜입력!$O:$O,"방문완료")+COUNTIFS(실시간콜입력!$B:$B,$A406,실시간콜입력!$E:$E,"B",실시간콜입력!$H:$H,$B406,실시간콜입력!$O:$O,"방문완료")</f>
        <v>0</v>
      </c>
      <c r="H406" s="29">
        <f>COUNTIFS(실시간콜입력!$B:$B,$A406,실시간콜입력!$E:$E,"C",실시간콜입력!$G:$G,$B406,실시간콜입력!$O:$O,"방문완료")+COUNTIFS(실시간콜입력!$B:$B,$A406,실시간콜입력!$E:$E,"C",실시간콜입력!$H:$H,$B406,실시간콜입력!$O:$O,"방문완료")</f>
        <v>0</v>
      </c>
      <c r="I406" s="29">
        <f>COUNTIFS(실시간콜입력!$B:$B,$A406,실시간콜입력!$E:$E,"D",실시간콜입력!$G:$G,$B406,실시간콜입력!$O:$O,"방문완료")+COUNTIFS(실시간콜입력!$B:$B,$A406,실시간콜입력!$E:$E,"D",실시간콜입력!$H:$H,$B406,실시간콜입력!$O:$O,"방문완료")</f>
        <v>0</v>
      </c>
      <c r="J406" s="29">
        <f>COUNTIFS(실시간콜입력!$B:$B,$A406,실시간콜입력!$E:$E,"E",실시간콜입력!$G:$G,$B406,실시간콜입력!$O:$O,"방문완료")+COUNTIFS(실시간콜입력!$B:$B,$A406,실시간콜입력!$E:$E,"E",실시간콜입력!$H:$H,$B406,실시간콜입력!$O:$O,"방문완료")</f>
        <v>0</v>
      </c>
      <c r="K406" s="29">
        <f t="shared" si="54"/>
        <v>0</v>
      </c>
      <c r="L406" s="33">
        <f>SUMIFS(실시간콜입력!$K:$K,실시간콜입력!$B:$B,$A406,실시간콜입력!$G:$G,$B406,실시간콜입력!$O:$O,"방문완료")+SUMIFS(실시간콜입력!$L:$L,실시간콜입력!$B:$B,$A406,실시간콜입력!$H:$H,$B406,실시간콜입력!$O:$O,"방문완료")</f>
        <v>0</v>
      </c>
      <c r="M406" s="29" t="str">
        <f t="shared" si="55"/>
        <v/>
      </c>
      <c r="N406" s="29"/>
    </row>
    <row r="407" spans="1:14" ht="19.5" hidden="1" customHeight="1" outlineLevel="1">
      <c r="A407" s="24">
        <f>IF(8&lt;=DAY(DATE(YEAR(설정_코스수당!$K$2),MONTH(설정_코스수당!$K$2)+1,0)),DATE(YEAR(설정_코스수당!$K$2),MONTH(설정_코스수당!$K$2),8),"")</f>
        <v>46181</v>
      </c>
      <c r="B407" s="23" t="s">
        <v>199</v>
      </c>
      <c r="C407" s="29"/>
      <c r="D407" s="29"/>
      <c r="E407" s="29" t="str">
        <f t="shared" si="53"/>
        <v/>
      </c>
      <c r="F407" s="29">
        <f>COUNTIFS(실시간콜입력!$B:$B,$A407,실시간콜입력!$E:$E,"A",실시간콜입력!$G:$G,$B407,실시간콜입력!$O:$O,"방문완료")+COUNTIFS(실시간콜입력!$B:$B,$A407,실시간콜입력!$E:$E,"A",실시간콜입력!$H:$H,$B407,실시간콜입력!$O:$O,"방문완료")</f>
        <v>0</v>
      </c>
      <c r="G407" s="29">
        <f>COUNTIFS(실시간콜입력!$B:$B,$A407,실시간콜입력!$E:$E,"B",실시간콜입력!$G:$G,$B407,실시간콜입력!$O:$O,"방문완료")+COUNTIFS(실시간콜입력!$B:$B,$A407,실시간콜입력!$E:$E,"B",실시간콜입력!$H:$H,$B407,실시간콜입력!$O:$O,"방문완료")</f>
        <v>0</v>
      </c>
      <c r="H407" s="29">
        <f>COUNTIFS(실시간콜입력!$B:$B,$A407,실시간콜입력!$E:$E,"C",실시간콜입력!$G:$G,$B407,실시간콜입력!$O:$O,"방문완료")+COUNTIFS(실시간콜입력!$B:$B,$A407,실시간콜입력!$E:$E,"C",실시간콜입력!$H:$H,$B407,실시간콜입력!$O:$O,"방문완료")</f>
        <v>0</v>
      </c>
      <c r="I407" s="29">
        <f>COUNTIFS(실시간콜입력!$B:$B,$A407,실시간콜입력!$E:$E,"D",실시간콜입력!$G:$G,$B407,실시간콜입력!$O:$O,"방문완료")+COUNTIFS(실시간콜입력!$B:$B,$A407,실시간콜입력!$E:$E,"D",실시간콜입력!$H:$H,$B407,실시간콜입력!$O:$O,"방문완료")</f>
        <v>0</v>
      </c>
      <c r="J407" s="29">
        <f>COUNTIFS(실시간콜입력!$B:$B,$A407,실시간콜입력!$E:$E,"E",실시간콜입력!$G:$G,$B407,실시간콜입력!$O:$O,"방문완료")+COUNTIFS(실시간콜입력!$B:$B,$A407,실시간콜입력!$E:$E,"E",실시간콜입력!$H:$H,$B407,실시간콜입력!$O:$O,"방문완료")</f>
        <v>0</v>
      </c>
      <c r="K407" s="29">
        <f t="shared" si="54"/>
        <v>0</v>
      </c>
      <c r="L407" s="27">
        <f>SUMIFS(실시간콜입력!$K:$K,실시간콜입력!$B:$B,$A407,실시간콜입력!$G:$G,$B407,실시간콜입력!$O:$O,"방문완료")+SUMIFS(실시간콜입력!$L:$L,실시간콜입력!$B:$B,$A407,실시간콜입력!$H:$H,$B407,실시간콜입력!$O:$O,"방문완료")</f>
        <v>0</v>
      </c>
      <c r="M407" s="29" t="str">
        <f t="shared" si="55"/>
        <v/>
      </c>
      <c r="N407" s="29"/>
    </row>
    <row r="408" spans="1:14" ht="19.5" hidden="1" customHeight="1" outlineLevel="1">
      <c r="A408" s="30">
        <f>IF(8&lt;=DAY(DATE(YEAR(설정_코스수당!$K$2),MONTH(설정_코스수당!$K$2)+1,0)),DATE(YEAR(설정_코스수당!$K$2),MONTH(설정_코스수당!$K$2),8),"")</f>
        <v>46181</v>
      </c>
      <c r="B408" s="29" t="s">
        <v>200</v>
      </c>
      <c r="C408" s="29"/>
      <c r="D408" s="29"/>
      <c r="E408" s="29" t="str">
        <f t="shared" si="53"/>
        <v/>
      </c>
      <c r="F408" s="29">
        <f>COUNTIFS(실시간콜입력!$B:$B,$A408,실시간콜입력!$E:$E,"A",실시간콜입력!$G:$G,$B408,실시간콜입력!$O:$O,"방문완료")+COUNTIFS(실시간콜입력!$B:$B,$A408,실시간콜입력!$E:$E,"A",실시간콜입력!$H:$H,$B408,실시간콜입력!$O:$O,"방문완료")</f>
        <v>0</v>
      </c>
      <c r="G408" s="29">
        <f>COUNTIFS(실시간콜입력!$B:$B,$A408,실시간콜입력!$E:$E,"B",실시간콜입력!$G:$G,$B408,실시간콜입력!$O:$O,"방문완료")+COUNTIFS(실시간콜입력!$B:$B,$A408,실시간콜입력!$E:$E,"B",실시간콜입력!$H:$H,$B408,실시간콜입력!$O:$O,"방문완료")</f>
        <v>0</v>
      </c>
      <c r="H408" s="29">
        <f>COUNTIFS(실시간콜입력!$B:$B,$A408,실시간콜입력!$E:$E,"C",실시간콜입력!$G:$G,$B408,실시간콜입력!$O:$O,"방문완료")+COUNTIFS(실시간콜입력!$B:$B,$A408,실시간콜입력!$E:$E,"C",실시간콜입력!$H:$H,$B408,실시간콜입력!$O:$O,"방문완료")</f>
        <v>0</v>
      </c>
      <c r="I408" s="29">
        <f>COUNTIFS(실시간콜입력!$B:$B,$A408,실시간콜입력!$E:$E,"D",실시간콜입력!$G:$G,$B408,실시간콜입력!$O:$O,"방문완료")+COUNTIFS(실시간콜입력!$B:$B,$A408,실시간콜입력!$E:$E,"D",실시간콜입력!$H:$H,$B408,실시간콜입력!$O:$O,"방문완료")</f>
        <v>0</v>
      </c>
      <c r="J408" s="29">
        <f>COUNTIFS(실시간콜입력!$B:$B,$A408,실시간콜입력!$E:$E,"E",실시간콜입력!$G:$G,$B408,실시간콜입력!$O:$O,"방문완료")+COUNTIFS(실시간콜입력!$B:$B,$A408,실시간콜입력!$E:$E,"E",실시간콜입력!$H:$H,$B408,실시간콜입력!$O:$O,"방문완료")</f>
        <v>0</v>
      </c>
      <c r="K408" s="29">
        <f t="shared" si="54"/>
        <v>0</v>
      </c>
      <c r="L408" s="33">
        <f>SUMIFS(실시간콜입력!$K:$K,실시간콜입력!$B:$B,$A408,실시간콜입력!$G:$G,$B408,실시간콜입력!$O:$O,"방문완료")+SUMIFS(실시간콜입력!$L:$L,실시간콜입력!$B:$B,$A408,실시간콜입력!$H:$H,$B408,실시간콜입력!$O:$O,"방문완료")</f>
        <v>0</v>
      </c>
      <c r="M408" s="29" t="str">
        <f t="shared" si="55"/>
        <v/>
      </c>
      <c r="N408" s="29"/>
    </row>
    <row r="409" spans="1:14" ht="19.5" hidden="1" customHeight="1" outlineLevel="1">
      <c r="A409" s="24">
        <f>IF(8&lt;=DAY(DATE(YEAR(설정_코스수당!$K$2),MONTH(설정_코스수당!$K$2)+1,0)),DATE(YEAR(설정_코스수당!$K$2),MONTH(설정_코스수당!$K$2),8),"")</f>
        <v>46181</v>
      </c>
      <c r="B409" s="23" t="s">
        <v>201</v>
      </c>
      <c r="C409" s="29"/>
      <c r="D409" s="29"/>
      <c r="E409" s="29" t="str">
        <f t="shared" si="53"/>
        <v/>
      </c>
      <c r="F409" s="29">
        <f>COUNTIFS(실시간콜입력!$B:$B,$A409,실시간콜입력!$E:$E,"A",실시간콜입력!$G:$G,$B409,실시간콜입력!$O:$O,"방문완료")+COUNTIFS(실시간콜입력!$B:$B,$A409,실시간콜입력!$E:$E,"A",실시간콜입력!$H:$H,$B409,실시간콜입력!$O:$O,"방문완료")</f>
        <v>0</v>
      </c>
      <c r="G409" s="29">
        <f>COUNTIFS(실시간콜입력!$B:$B,$A409,실시간콜입력!$E:$E,"B",실시간콜입력!$G:$G,$B409,실시간콜입력!$O:$O,"방문완료")+COUNTIFS(실시간콜입력!$B:$B,$A409,실시간콜입력!$E:$E,"B",실시간콜입력!$H:$H,$B409,실시간콜입력!$O:$O,"방문완료")</f>
        <v>0</v>
      </c>
      <c r="H409" s="29">
        <f>COUNTIFS(실시간콜입력!$B:$B,$A409,실시간콜입력!$E:$E,"C",실시간콜입력!$G:$G,$B409,실시간콜입력!$O:$O,"방문완료")+COUNTIFS(실시간콜입력!$B:$B,$A409,실시간콜입력!$E:$E,"C",실시간콜입력!$H:$H,$B409,실시간콜입력!$O:$O,"방문완료")</f>
        <v>0</v>
      </c>
      <c r="I409" s="29">
        <f>COUNTIFS(실시간콜입력!$B:$B,$A409,실시간콜입력!$E:$E,"D",실시간콜입력!$G:$G,$B409,실시간콜입력!$O:$O,"방문완료")+COUNTIFS(실시간콜입력!$B:$B,$A409,실시간콜입력!$E:$E,"D",실시간콜입력!$H:$H,$B409,실시간콜입력!$O:$O,"방문완료")</f>
        <v>0</v>
      </c>
      <c r="J409" s="29">
        <f>COUNTIFS(실시간콜입력!$B:$B,$A409,실시간콜입력!$E:$E,"E",실시간콜입력!$G:$G,$B409,실시간콜입력!$O:$O,"방문완료")+COUNTIFS(실시간콜입력!$B:$B,$A409,실시간콜입력!$E:$E,"E",실시간콜입력!$H:$H,$B409,실시간콜입력!$O:$O,"방문완료")</f>
        <v>0</v>
      </c>
      <c r="K409" s="29">
        <f t="shared" si="54"/>
        <v>0</v>
      </c>
      <c r="L409" s="27">
        <f>SUMIFS(실시간콜입력!$K:$K,실시간콜입력!$B:$B,$A409,실시간콜입력!$G:$G,$B409,실시간콜입력!$O:$O,"방문완료")+SUMIFS(실시간콜입력!$L:$L,실시간콜입력!$B:$B,$A409,실시간콜입력!$H:$H,$B409,실시간콜입력!$O:$O,"방문완료")</f>
        <v>0</v>
      </c>
      <c r="M409" s="29" t="str">
        <f t="shared" si="55"/>
        <v/>
      </c>
      <c r="N409" s="29"/>
    </row>
    <row r="410" spans="1:14" ht="19.5" hidden="1" customHeight="1" outlineLevel="1">
      <c r="A410" s="30">
        <f>IF(8&lt;=DAY(DATE(YEAR(설정_코스수당!$K$2),MONTH(설정_코스수당!$K$2)+1,0)),DATE(YEAR(설정_코스수당!$K$2),MONTH(설정_코스수당!$K$2),8),"")</f>
        <v>46181</v>
      </c>
      <c r="B410" s="29" t="s">
        <v>202</v>
      </c>
      <c r="C410" s="29"/>
      <c r="D410" s="29"/>
      <c r="E410" s="29" t="str">
        <f t="shared" si="53"/>
        <v/>
      </c>
      <c r="F410" s="29">
        <f>COUNTIFS(실시간콜입력!$B:$B,$A410,실시간콜입력!$E:$E,"A",실시간콜입력!$G:$G,$B410,실시간콜입력!$O:$O,"방문완료")+COUNTIFS(실시간콜입력!$B:$B,$A410,실시간콜입력!$E:$E,"A",실시간콜입력!$H:$H,$B410,실시간콜입력!$O:$O,"방문완료")</f>
        <v>0</v>
      </c>
      <c r="G410" s="29">
        <f>COUNTIFS(실시간콜입력!$B:$B,$A410,실시간콜입력!$E:$E,"B",실시간콜입력!$G:$G,$B410,실시간콜입력!$O:$O,"방문완료")+COUNTIFS(실시간콜입력!$B:$B,$A410,실시간콜입력!$E:$E,"B",실시간콜입력!$H:$H,$B410,실시간콜입력!$O:$O,"방문완료")</f>
        <v>0</v>
      </c>
      <c r="H410" s="29">
        <f>COUNTIFS(실시간콜입력!$B:$B,$A410,실시간콜입력!$E:$E,"C",실시간콜입력!$G:$G,$B410,실시간콜입력!$O:$O,"방문완료")+COUNTIFS(실시간콜입력!$B:$B,$A410,실시간콜입력!$E:$E,"C",실시간콜입력!$H:$H,$B410,실시간콜입력!$O:$O,"방문완료")</f>
        <v>0</v>
      </c>
      <c r="I410" s="29">
        <f>COUNTIFS(실시간콜입력!$B:$B,$A410,실시간콜입력!$E:$E,"D",실시간콜입력!$G:$G,$B410,실시간콜입력!$O:$O,"방문완료")+COUNTIFS(실시간콜입력!$B:$B,$A410,실시간콜입력!$E:$E,"D",실시간콜입력!$H:$H,$B410,실시간콜입력!$O:$O,"방문완료")</f>
        <v>0</v>
      </c>
      <c r="J410" s="29">
        <f>COUNTIFS(실시간콜입력!$B:$B,$A410,실시간콜입력!$E:$E,"E",실시간콜입력!$G:$G,$B410,실시간콜입력!$O:$O,"방문완료")+COUNTIFS(실시간콜입력!$B:$B,$A410,실시간콜입력!$E:$E,"E",실시간콜입력!$H:$H,$B410,실시간콜입력!$O:$O,"방문완료")</f>
        <v>0</v>
      </c>
      <c r="K410" s="29">
        <f t="shared" si="54"/>
        <v>0</v>
      </c>
      <c r="L410" s="33">
        <f>SUMIFS(실시간콜입력!$K:$K,실시간콜입력!$B:$B,$A410,실시간콜입력!$G:$G,$B410,실시간콜입력!$O:$O,"방문완료")+SUMIFS(실시간콜입력!$L:$L,실시간콜입력!$B:$B,$A410,실시간콜입력!$H:$H,$B410,실시간콜입력!$O:$O,"방문완료")</f>
        <v>0</v>
      </c>
      <c r="M410" s="29" t="str">
        <f t="shared" si="55"/>
        <v/>
      </c>
      <c r="N410" s="29"/>
    </row>
    <row r="411" spans="1:14" ht="19.5" hidden="1" customHeight="1" outlineLevel="1">
      <c r="A411" s="24">
        <f>IF(8&lt;=DAY(DATE(YEAR(설정_코스수당!$K$2),MONTH(설정_코스수당!$K$2)+1,0)),DATE(YEAR(설정_코스수당!$K$2),MONTH(설정_코스수당!$K$2),8),"")</f>
        <v>46181</v>
      </c>
      <c r="B411" s="23" t="s">
        <v>203</v>
      </c>
      <c r="C411" s="29"/>
      <c r="D411" s="29"/>
      <c r="E411" s="29" t="str">
        <f t="shared" si="53"/>
        <v/>
      </c>
      <c r="F411" s="29">
        <f>COUNTIFS(실시간콜입력!$B:$B,$A411,실시간콜입력!$E:$E,"A",실시간콜입력!$G:$G,$B411,실시간콜입력!$O:$O,"방문완료")+COUNTIFS(실시간콜입력!$B:$B,$A411,실시간콜입력!$E:$E,"A",실시간콜입력!$H:$H,$B411,실시간콜입력!$O:$O,"방문완료")</f>
        <v>0</v>
      </c>
      <c r="G411" s="29">
        <f>COUNTIFS(실시간콜입력!$B:$B,$A411,실시간콜입력!$E:$E,"B",실시간콜입력!$G:$G,$B411,실시간콜입력!$O:$O,"방문완료")+COUNTIFS(실시간콜입력!$B:$B,$A411,실시간콜입력!$E:$E,"B",실시간콜입력!$H:$H,$B411,실시간콜입력!$O:$O,"방문완료")</f>
        <v>0</v>
      </c>
      <c r="H411" s="29">
        <f>COUNTIFS(실시간콜입력!$B:$B,$A411,실시간콜입력!$E:$E,"C",실시간콜입력!$G:$G,$B411,실시간콜입력!$O:$O,"방문완료")+COUNTIFS(실시간콜입력!$B:$B,$A411,실시간콜입력!$E:$E,"C",실시간콜입력!$H:$H,$B411,실시간콜입력!$O:$O,"방문완료")</f>
        <v>0</v>
      </c>
      <c r="I411" s="29">
        <f>COUNTIFS(실시간콜입력!$B:$B,$A411,실시간콜입력!$E:$E,"D",실시간콜입력!$G:$G,$B411,실시간콜입력!$O:$O,"방문완료")+COUNTIFS(실시간콜입력!$B:$B,$A411,실시간콜입력!$E:$E,"D",실시간콜입력!$H:$H,$B411,실시간콜입력!$O:$O,"방문완료")</f>
        <v>0</v>
      </c>
      <c r="J411" s="29">
        <f>COUNTIFS(실시간콜입력!$B:$B,$A411,실시간콜입력!$E:$E,"E",실시간콜입력!$G:$G,$B411,실시간콜입력!$O:$O,"방문완료")+COUNTIFS(실시간콜입력!$B:$B,$A411,실시간콜입력!$E:$E,"E",실시간콜입력!$H:$H,$B411,실시간콜입력!$O:$O,"방문완료")</f>
        <v>0</v>
      </c>
      <c r="K411" s="29">
        <f t="shared" si="54"/>
        <v>0</v>
      </c>
      <c r="L411" s="27">
        <f>SUMIFS(실시간콜입력!$K:$K,실시간콜입력!$B:$B,$A411,실시간콜입력!$G:$G,$B411,실시간콜입력!$O:$O,"방문완료")+SUMIFS(실시간콜입력!$L:$L,실시간콜입력!$B:$B,$A411,실시간콜입력!$H:$H,$B411,실시간콜입력!$O:$O,"방문완료")</f>
        <v>0</v>
      </c>
      <c r="M411" s="29" t="str">
        <f t="shared" si="55"/>
        <v/>
      </c>
      <c r="N411" s="29"/>
    </row>
    <row r="412" spans="1:14" ht="19.5" hidden="1" customHeight="1" outlineLevel="1">
      <c r="A412" s="30">
        <f>IF(8&lt;=DAY(DATE(YEAR(설정_코스수당!$K$2),MONTH(설정_코스수당!$K$2)+1,0)),DATE(YEAR(설정_코스수당!$K$2),MONTH(설정_코스수당!$K$2),8),"")</f>
        <v>46181</v>
      </c>
      <c r="B412" s="29" t="s">
        <v>204</v>
      </c>
      <c r="C412" s="29"/>
      <c r="D412" s="29"/>
      <c r="E412" s="29" t="str">
        <f t="shared" si="53"/>
        <v/>
      </c>
      <c r="F412" s="29">
        <f>COUNTIFS(실시간콜입력!$B:$B,$A412,실시간콜입력!$E:$E,"A",실시간콜입력!$G:$G,$B412,실시간콜입력!$O:$O,"방문완료")+COUNTIFS(실시간콜입력!$B:$B,$A412,실시간콜입력!$E:$E,"A",실시간콜입력!$H:$H,$B412,실시간콜입력!$O:$O,"방문완료")</f>
        <v>0</v>
      </c>
      <c r="G412" s="29">
        <f>COUNTIFS(실시간콜입력!$B:$B,$A412,실시간콜입력!$E:$E,"B",실시간콜입력!$G:$G,$B412,실시간콜입력!$O:$O,"방문완료")+COUNTIFS(실시간콜입력!$B:$B,$A412,실시간콜입력!$E:$E,"B",실시간콜입력!$H:$H,$B412,실시간콜입력!$O:$O,"방문완료")</f>
        <v>0</v>
      </c>
      <c r="H412" s="29">
        <f>COUNTIFS(실시간콜입력!$B:$B,$A412,실시간콜입력!$E:$E,"C",실시간콜입력!$G:$G,$B412,실시간콜입력!$O:$O,"방문완료")+COUNTIFS(실시간콜입력!$B:$B,$A412,실시간콜입력!$E:$E,"C",실시간콜입력!$H:$H,$B412,실시간콜입력!$O:$O,"방문완료")</f>
        <v>0</v>
      </c>
      <c r="I412" s="29">
        <f>COUNTIFS(실시간콜입력!$B:$B,$A412,실시간콜입력!$E:$E,"D",실시간콜입력!$G:$G,$B412,실시간콜입력!$O:$O,"방문완료")+COUNTIFS(실시간콜입력!$B:$B,$A412,실시간콜입력!$E:$E,"D",실시간콜입력!$H:$H,$B412,실시간콜입력!$O:$O,"방문완료")</f>
        <v>0</v>
      </c>
      <c r="J412" s="29">
        <f>COUNTIFS(실시간콜입력!$B:$B,$A412,실시간콜입력!$E:$E,"E",실시간콜입력!$G:$G,$B412,실시간콜입력!$O:$O,"방문완료")+COUNTIFS(실시간콜입력!$B:$B,$A412,실시간콜입력!$E:$E,"E",실시간콜입력!$H:$H,$B412,실시간콜입력!$O:$O,"방문완료")</f>
        <v>0</v>
      </c>
      <c r="K412" s="29">
        <f t="shared" si="54"/>
        <v>0</v>
      </c>
      <c r="L412" s="33">
        <f>SUMIFS(실시간콜입력!$K:$K,실시간콜입력!$B:$B,$A412,실시간콜입력!$G:$G,$B412,실시간콜입력!$O:$O,"방문완료")+SUMIFS(실시간콜입력!$L:$L,실시간콜입력!$B:$B,$A412,실시간콜입력!$H:$H,$B412,실시간콜입력!$O:$O,"방문완료")</f>
        <v>0</v>
      </c>
      <c r="M412" s="29" t="str">
        <f t="shared" si="55"/>
        <v/>
      </c>
      <c r="N412" s="29"/>
    </row>
    <row r="413" spans="1:14" ht="19.5" hidden="1" customHeight="1" outlineLevel="1">
      <c r="A413" s="24">
        <f>IF(8&lt;=DAY(DATE(YEAR(설정_코스수당!$K$2),MONTH(설정_코스수당!$K$2)+1,0)),DATE(YEAR(설정_코스수당!$K$2),MONTH(설정_코스수당!$K$2),8),"")</f>
        <v>46181</v>
      </c>
      <c r="B413" s="23" t="s">
        <v>205</v>
      </c>
      <c r="C413" s="29"/>
      <c r="D413" s="29"/>
      <c r="E413" s="29" t="str">
        <f t="shared" si="53"/>
        <v/>
      </c>
      <c r="F413" s="29">
        <f>COUNTIFS(실시간콜입력!$B:$B,$A413,실시간콜입력!$E:$E,"A",실시간콜입력!$G:$G,$B413,실시간콜입력!$O:$O,"방문완료")+COUNTIFS(실시간콜입력!$B:$B,$A413,실시간콜입력!$E:$E,"A",실시간콜입력!$H:$H,$B413,실시간콜입력!$O:$O,"방문완료")</f>
        <v>0</v>
      </c>
      <c r="G413" s="29">
        <f>COUNTIFS(실시간콜입력!$B:$B,$A413,실시간콜입력!$E:$E,"B",실시간콜입력!$G:$G,$B413,실시간콜입력!$O:$O,"방문완료")+COUNTIFS(실시간콜입력!$B:$B,$A413,실시간콜입력!$E:$E,"B",실시간콜입력!$H:$H,$B413,실시간콜입력!$O:$O,"방문완료")</f>
        <v>0</v>
      </c>
      <c r="H413" s="29">
        <f>COUNTIFS(실시간콜입력!$B:$B,$A413,실시간콜입력!$E:$E,"C",실시간콜입력!$G:$G,$B413,실시간콜입력!$O:$O,"방문완료")+COUNTIFS(실시간콜입력!$B:$B,$A413,실시간콜입력!$E:$E,"C",실시간콜입력!$H:$H,$B413,실시간콜입력!$O:$O,"방문완료")</f>
        <v>0</v>
      </c>
      <c r="I413" s="29">
        <f>COUNTIFS(실시간콜입력!$B:$B,$A413,실시간콜입력!$E:$E,"D",실시간콜입력!$G:$G,$B413,실시간콜입력!$O:$O,"방문완료")+COUNTIFS(실시간콜입력!$B:$B,$A413,실시간콜입력!$E:$E,"D",실시간콜입력!$H:$H,$B413,실시간콜입력!$O:$O,"방문완료")</f>
        <v>0</v>
      </c>
      <c r="J413" s="29">
        <f>COUNTIFS(실시간콜입력!$B:$B,$A413,실시간콜입력!$E:$E,"E",실시간콜입력!$G:$G,$B413,실시간콜입력!$O:$O,"방문완료")+COUNTIFS(실시간콜입력!$B:$B,$A413,실시간콜입력!$E:$E,"E",실시간콜입력!$H:$H,$B413,실시간콜입력!$O:$O,"방문완료")</f>
        <v>0</v>
      </c>
      <c r="K413" s="29">
        <f t="shared" si="54"/>
        <v>0</v>
      </c>
      <c r="L413" s="27">
        <f>SUMIFS(실시간콜입력!$K:$K,실시간콜입력!$B:$B,$A413,실시간콜입력!$G:$G,$B413,실시간콜입력!$O:$O,"방문완료")+SUMIFS(실시간콜입력!$L:$L,실시간콜입력!$B:$B,$A413,실시간콜입력!$H:$H,$B413,실시간콜입력!$O:$O,"방문완료")</f>
        <v>0</v>
      </c>
      <c r="M413" s="29" t="str">
        <f t="shared" si="55"/>
        <v/>
      </c>
      <c r="N413" s="29"/>
    </row>
    <row r="414" spans="1:14" ht="19.5" hidden="1" customHeight="1" outlineLevel="1">
      <c r="A414" s="30">
        <f>IF(8&lt;=DAY(DATE(YEAR(설정_코스수당!$K$2),MONTH(설정_코스수당!$K$2)+1,0)),DATE(YEAR(설정_코스수당!$K$2),MONTH(설정_코스수당!$K$2),8),"")</f>
        <v>46181</v>
      </c>
      <c r="B414" s="29" t="s">
        <v>206</v>
      </c>
      <c r="C414" s="29"/>
      <c r="D414" s="29"/>
      <c r="E414" s="29" t="str">
        <f t="shared" si="53"/>
        <v/>
      </c>
      <c r="F414" s="29">
        <f>COUNTIFS(실시간콜입력!$B:$B,$A414,실시간콜입력!$E:$E,"A",실시간콜입력!$G:$G,$B414,실시간콜입력!$O:$O,"방문완료")+COUNTIFS(실시간콜입력!$B:$B,$A414,실시간콜입력!$E:$E,"A",실시간콜입력!$H:$H,$B414,실시간콜입력!$O:$O,"방문완료")</f>
        <v>0</v>
      </c>
      <c r="G414" s="29">
        <f>COUNTIFS(실시간콜입력!$B:$B,$A414,실시간콜입력!$E:$E,"B",실시간콜입력!$G:$G,$B414,실시간콜입력!$O:$O,"방문완료")+COUNTIFS(실시간콜입력!$B:$B,$A414,실시간콜입력!$E:$E,"B",실시간콜입력!$H:$H,$B414,실시간콜입력!$O:$O,"방문완료")</f>
        <v>0</v>
      </c>
      <c r="H414" s="29">
        <f>COUNTIFS(실시간콜입력!$B:$B,$A414,실시간콜입력!$E:$E,"C",실시간콜입력!$G:$G,$B414,실시간콜입력!$O:$O,"방문완료")+COUNTIFS(실시간콜입력!$B:$B,$A414,실시간콜입력!$E:$E,"C",실시간콜입력!$H:$H,$B414,실시간콜입력!$O:$O,"방문완료")</f>
        <v>0</v>
      </c>
      <c r="I414" s="29">
        <f>COUNTIFS(실시간콜입력!$B:$B,$A414,실시간콜입력!$E:$E,"D",실시간콜입력!$G:$G,$B414,실시간콜입력!$O:$O,"방문완료")+COUNTIFS(실시간콜입력!$B:$B,$A414,실시간콜입력!$E:$E,"D",실시간콜입력!$H:$H,$B414,실시간콜입력!$O:$O,"방문완료")</f>
        <v>0</v>
      </c>
      <c r="J414" s="29">
        <f>COUNTIFS(실시간콜입력!$B:$B,$A414,실시간콜입력!$E:$E,"E",실시간콜입력!$G:$G,$B414,실시간콜입력!$O:$O,"방문완료")+COUNTIFS(실시간콜입력!$B:$B,$A414,실시간콜입력!$E:$E,"E",실시간콜입력!$H:$H,$B414,실시간콜입력!$O:$O,"방문완료")</f>
        <v>0</v>
      </c>
      <c r="K414" s="29">
        <f t="shared" si="54"/>
        <v>0</v>
      </c>
      <c r="L414" s="33">
        <f>SUMIFS(실시간콜입력!$K:$K,실시간콜입력!$B:$B,$A414,실시간콜입력!$G:$G,$B414,실시간콜입력!$O:$O,"방문완료")+SUMIFS(실시간콜입력!$L:$L,실시간콜입력!$B:$B,$A414,실시간콜입력!$H:$H,$B414,실시간콜입력!$O:$O,"방문완료")</f>
        <v>0</v>
      </c>
      <c r="M414" s="29" t="str">
        <f t="shared" si="55"/>
        <v/>
      </c>
      <c r="N414" s="29"/>
    </row>
    <row r="415" spans="1:14" ht="19.5" hidden="1" customHeight="1" outlineLevel="1">
      <c r="A415" s="24">
        <f>IF(8&lt;=DAY(DATE(YEAR(설정_코스수당!$K$2),MONTH(설정_코스수당!$K$2)+1,0)),DATE(YEAR(설정_코스수당!$K$2),MONTH(설정_코스수당!$K$2),8),"")</f>
        <v>46181</v>
      </c>
      <c r="B415" s="23" t="s">
        <v>207</v>
      </c>
      <c r="C415" s="29"/>
      <c r="D415" s="29"/>
      <c r="E415" s="29" t="str">
        <f t="shared" si="53"/>
        <v/>
      </c>
      <c r="F415" s="29">
        <f>COUNTIFS(실시간콜입력!$B:$B,$A415,실시간콜입력!$E:$E,"A",실시간콜입력!$G:$G,$B415,실시간콜입력!$O:$O,"방문완료")+COUNTIFS(실시간콜입력!$B:$B,$A415,실시간콜입력!$E:$E,"A",실시간콜입력!$H:$H,$B415,실시간콜입력!$O:$O,"방문완료")</f>
        <v>0</v>
      </c>
      <c r="G415" s="29">
        <f>COUNTIFS(실시간콜입력!$B:$B,$A415,실시간콜입력!$E:$E,"B",실시간콜입력!$G:$G,$B415,실시간콜입력!$O:$O,"방문완료")+COUNTIFS(실시간콜입력!$B:$B,$A415,실시간콜입력!$E:$E,"B",실시간콜입력!$H:$H,$B415,실시간콜입력!$O:$O,"방문완료")</f>
        <v>0</v>
      </c>
      <c r="H415" s="29">
        <f>COUNTIFS(실시간콜입력!$B:$B,$A415,실시간콜입력!$E:$E,"C",실시간콜입력!$G:$G,$B415,실시간콜입력!$O:$O,"방문완료")+COUNTIFS(실시간콜입력!$B:$B,$A415,실시간콜입력!$E:$E,"C",실시간콜입력!$H:$H,$B415,실시간콜입력!$O:$O,"방문완료")</f>
        <v>0</v>
      </c>
      <c r="I415" s="29">
        <f>COUNTIFS(실시간콜입력!$B:$B,$A415,실시간콜입력!$E:$E,"D",실시간콜입력!$G:$G,$B415,실시간콜입력!$O:$O,"방문완료")+COUNTIFS(실시간콜입력!$B:$B,$A415,실시간콜입력!$E:$E,"D",실시간콜입력!$H:$H,$B415,실시간콜입력!$O:$O,"방문완료")</f>
        <v>0</v>
      </c>
      <c r="J415" s="29">
        <f>COUNTIFS(실시간콜입력!$B:$B,$A415,실시간콜입력!$E:$E,"E",실시간콜입력!$G:$G,$B415,실시간콜입력!$O:$O,"방문완료")+COUNTIFS(실시간콜입력!$B:$B,$A415,실시간콜입력!$E:$E,"E",실시간콜입력!$H:$H,$B415,실시간콜입력!$O:$O,"방문완료")</f>
        <v>0</v>
      </c>
      <c r="K415" s="29">
        <f t="shared" si="54"/>
        <v>0</v>
      </c>
      <c r="L415" s="27">
        <f>SUMIFS(실시간콜입력!$K:$K,실시간콜입력!$B:$B,$A415,실시간콜입력!$G:$G,$B415,실시간콜입력!$O:$O,"방문완료")+SUMIFS(실시간콜입력!$L:$L,실시간콜입력!$B:$B,$A415,실시간콜입력!$H:$H,$B415,실시간콜입력!$O:$O,"방문완료")</f>
        <v>0</v>
      </c>
      <c r="M415" s="29" t="str">
        <f t="shared" si="55"/>
        <v/>
      </c>
      <c r="N415" s="29"/>
    </row>
    <row r="416" spans="1:14" ht="19.5" hidden="1" customHeight="1" outlineLevel="1">
      <c r="A416" s="30">
        <f>IF(8&lt;=DAY(DATE(YEAR(설정_코스수당!$K$2),MONTH(설정_코스수당!$K$2)+1,0)),DATE(YEAR(설정_코스수당!$K$2),MONTH(설정_코스수당!$K$2),8),"")</f>
        <v>46181</v>
      </c>
      <c r="B416" s="29" t="s">
        <v>208</v>
      </c>
      <c r="C416" s="29"/>
      <c r="D416" s="29"/>
      <c r="E416" s="29" t="str">
        <f t="shared" si="53"/>
        <v/>
      </c>
      <c r="F416" s="29">
        <f>COUNTIFS(실시간콜입력!$B:$B,$A416,실시간콜입력!$E:$E,"A",실시간콜입력!$G:$G,$B416,실시간콜입력!$O:$O,"방문완료")+COUNTIFS(실시간콜입력!$B:$B,$A416,실시간콜입력!$E:$E,"A",실시간콜입력!$H:$H,$B416,실시간콜입력!$O:$O,"방문완료")</f>
        <v>0</v>
      </c>
      <c r="G416" s="29">
        <f>COUNTIFS(실시간콜입력!$B:$B,$A416,실시간콜입력!$E:$E,"B",실시간콜입력!$G:$G,$B416,실시간콜입력!$O:$O,"방문완료")+COUNTIFS(실시간콜입력!$B:$B,$A416,실시간콜입력!$E:$E,"B",실시간콜입력!$H:$H,$B416,실시간콜입력!$O:$O,"방문완료")</f>
        <v>0</v>
      </c>
      <c r="H416" s="29">
        <f>COUNTIFS(실시간콜입력!$B:$B,$A416,실시간콜입력!$E:$E,"C",실시간콜입력!$G:$G,$B416,실시간콜입력!$O:$O,"방문완료")+COUNTIFS(실시간콜입력!$B:$B,$A416,실시간콜입력!$E:$E,"C",실시간콜입력!$H:$H,$B416,실시간콜입력!$O:$O,"방문완료")</f>
        <v>0</v>
      </c>
      <c r="I416" s="29">
        <f>COUNTIFS(실시간콜입력!$B:$B,$A416,실시간콜입력!$E:$E,"D",실시간콜입력!$G:$G,$B416,실시간콜입력!$O:$O,"방문완료")+COUNTIFS(실시간콜입력!$B:$B,$A416,실시간콜입력!$E:$E,"D",실시간콜입력!$H:$H,$B416,실시간콜입력!$O:$O,"방문완료")</f>
        <v>0</v>
      </c>
      <c r="J416" s="29">
        <f>COUNTIFS(실시간콜입력!$B:$B,$A416,실시간콜입력!$E:$E,"E",실시간콜입력!$G:$G,$B416,실시간콜입력!$O:$O,"방문완료")+COUNTIFS(실시간콜입력!$B:$B,$A416,실시간콜입력!$E:$E,"E",실시간콜입력!$H:$H,$B416,실시간콜입력!$O:$O,"방문완료")</f>
        <v>0</v>
      </c>
      <c r="K416" s="29">
        <f t="shared" si="54"/>
        <v>0</v>
      </c>
      <c r="L416" s="33">
        <f>SUMIFS(실시간콜입력!$K:$K,실시간콜입력!$B:$B,$A416,실시간콜입력!$G:$G,$B416,실시간콜입력!$O:$O,"방문완료")+SUMIFS(실시간콜입력!$L:$L,실시간콜입력!$B:$B,$A416,실시간콜입력!$H:$H,$B416,실시간콜입력!$O:$O,"방문완료")</f>
        <v>0</v>
      </c>
      <c r="M416" s="29" t="str">
        <f t="shared" si="55"/>
        <v/>
      </c>
      <c r="N416" s="29"/>
    </row>
    <row r="417" spans="1:14" ht="19.5" hidden="1" customHeight="1" outlineLevel="1">
      <c r="A417" s="24">
        <f>IF(8&lt;=DAY(DATE(YEAR(설정_코스수당!$K$2),MONTH(설정_코스수당!$K$2)+1,0)),DATE(YEAR(설정_코스수당!$K$2),MONTH(설정_코스수당!$K$2),8),"")</f>
        <v>46181</v>
      </c>
      <c r="B417" s="23" t="s">
        <v>209</v>
      </c>
      <c r="C417" s="29"/>
      <c r="D417" s="29"/>
      <c r="E417" s="29" t="str">
        <f t="shared" si="53"/>
        <v/>
      </c>
      <c r="F417" s="29">
        <f>COUNTIFS(실시간콜입력!$B:$B,$A417,실시간콜입력!$E:$E,"A",실시간콜입력!$G:$G,$B417,실시간콜입력!$O:$O,"방문완료")+COUNTIFS(실시간콜입력!$B:$B,$A417,실시간콜입력!$E:$E,"A",실시간콜입력!$H:$H,$B417,실시간콜입력!$O:$O,"방문완료")</f>
        <v>0</v>
      </c>
      <c r="G417" s="29">
        <f>COUNTIFS(실시간콜입력!$B:$B,$A417,실시간콜입력!$E:$E,"B",실시간콜입력!$G:$G,$B417,실시간콜입력!$O:$O,"방문완료")+COUNTIFS(실시간콜입력!$B:$B,$A417,실시간콜입력!$E:$E,"B",실시간콜입력!$H:$H,$B417,실시간콜입력!$O:$O,"방문완료")</f>
        <v>0</v>
      </c>
      <c r="H417" s="29">
        <f>COUNTIFS(실시간콜입력!$B:$B,$A417,실시간콜입력!$E:$E,"C",실시간콜입력!$G:$G,$B417,실시간콜입력!$O:$O,"방문완료")+COUNTIFS(실시간콜입력!$B:$B,$A417,실시간콜입력!$E:$E,"C",실시간콜입력!$H:$H,$B417,실시간콜입력!$O:$O,"방문완료")</f>
        <v>0</v>
      </c>
      <c r="I417" s="29">
        <f>COUNTIFS(실시간콜입력!$B:$B,$A417,실시간콜입력!$E:$E,"D",실시간콜입력!$G:$G,$B417,실시간콜입력!$O:$O,"방문완료")+COUNTIFS(실시간콜입력!$B:$B,$A417,실시간콜입력!$E:$E,"D",실시간콜입력!$H:$H,$B417,실시간콜입력!$O:$O,"방문완료")</f>
        <v>0</v>
      </c>
      <c r="J417" s="29">
        <f>COUNTIFS(실시간콜입력!$B:$B,$A417,실시간콜입력!$E:$E,"E",실시간콜입력!$G:$G,$B417,실시간콜입력!$O:$O,"방문완료")+COUNTIFS(실시간콜입력!$B:$B,$A417,실시간콜입력!$E:$E,"E",실시간콜입력!$H:$H,$B417,실시간콜입력!$O:$O,"방문완료")</f>
        <v>0</v>
      </c>
      <c r="K417" s="29">
        <f t="shared" si="54"/>
        <v>0</v>
      </c>
      <c r="L417" s="27">
        <f>SUMIFS(실시간콜입력!$K:$K,실시간콜입력!$B:$B,$A417,실시간콜입력!$G:$G,$B417,실시간콜입력!$O:$O,"방문완료")+SUMIFS(실시간콜입력!$L:$L,실시간콜입력!$B:$B,$A417,실시간콜입력!$H:$H,$B417,실시간콜입력!$O:$O,"방문완료")</f>
        <v>0</v>
      </c>
      <c r="M417" s="29" t="str">
        <f t="shared" si="55"/>
        <v/>
      </c>
      <c r="N417" s="29"/>
    </row>
    <row r="418" spans="1:14" ht="19.5" hidden="1" customHeight="1" outlineLevel="1">
      <c r="A418" s="30">
        <f>IF(8&lt;=DAY(DATE(YEAR(설정_코스수당!$K$2),MONTH(설정_코스수당!$K$2)+1,0)),DATE(YEAR(설정_코스수당!$K$2),MONTH(설정_코스수당!$K$2),8),"")</f>
        <v>46181</v>
      </c>
      <c r="B418" s="29" t="s">
        <v>210</v>
      </c>
      <c r="C418" s="29"/>
      <c r="D418" s="29"/>
      <c r="E418" s="29" t="str">
        <f t="shared" si="53"/>
        <v/>
      </c>
      <c r="F418" s="29">
        <f>COUNTIFS(실시간콜입력!$B:$B,$A418,실시간콜입력!$E:$E,"A",실시간콜입력!$G:$G,$B418,실시간콜입력!$O:$O,"방문완료")+COUNTIFS(실시간콜입력!$B:$B,$A418,실시간콜입력!$E:$E,"A",실시간콜입력!$H:$H,$B418,실시간콜입력!$O:$O,"방문완료")</f>
        <v>0</v>
      </c>
      <c r="G418" s="29">
        <f>COUNTIFS(실시간콜입력!$B:$B,$A418,실시간콜입력!$E:$E,"B",실시간콜입력!$G:$G,$B418,실시간콜입력!$O:$O,"방문완료")+COUNTIFS(실시간콜입력!$B:$B,$A418,실시간콜입력!$E:$E,"B",실시간콜입력!$H:$H,$B418,실시간콜입력!$O:$O,"방문완료")</f>
        <v>0</v>
      </c>
      <c r="H418" s="29">
        <f>COUNTIFS(실시간콜입력!$B:$B,$A418,실시간콜입력!$E:$E,"C",실시간콜입력!$G:$G,$B418,실시간콜입력!$O:$O,"방문완료")+COUNTIFS(실시간콜입력!$B:$B,$A418,실시간콜입력!$E:$E,"C",실시간콜입력!$H:$H,$B418,실시간콜입력!$O:$O,"방문완료")</f>
        <v>0</v>
      </c>
      <c r="I418" s="29">
        <f>COUNTIFS(실시간콜입력!$B:$B,$A418,실시간콜입력!$E:$E,"D",실시간콜입력!$G:$G,$B418,실시간콜입력!$O:$O,"방문완료")+COUNTIFS(실시간콜입력!$B:$B,$A418,실시간콜입력!$E:$E,"D",실시간콜입력!$H:$H,$B418,실시간콜입력!$O:$O,"방문완료")</f>
        <v>0</v>
      </c>
      <c r="J418" s="29">
        <f>COUNTIFS(실시간콜입력!$B:$B,$A418,실시간콜입력!$E:$E,"E",실시간콜입력!$G:$G,$B418,실시간콜입력!$O:$O,"방문완료")+COUNTIFS(실시간콜입력!$B:$B,$A418,실시간콜입력!$E:$E,"E",실시간콜입력!$H:$H,$B418,실시간콜입력!$O:$O,"방문완료")</f>
        <v>0</v>
      </c>
      <c r="K418" s="29">
        <f t="shared" si="54"/>
        <v>0</v>
      </c>
      <c r="L418" s="33">
        <f>SUMIFS(실시간콜입력!$K:$K,실시간콜입력!$B:$B,$A418,실시간콜입력!$G:$G,$B418,실시간콜입력!$O:$O,"방문완료")+SUMIFS(실시간콜입력!$L:$L,실시간콜입력!$B:$B,$A418,실시간콜입력!$H:$H,$B418,실시간콜입력!$O:$O,"방문완료")</f>
        <v>0</v>
      </c>
      <c r="M418" s="29" t="str">
        <f t="shared" si="55"/>
        <v/>
      </c>
      <c r="N418" s="29"/>
    </row>
    <row r="419" spans="1:14" ht="19.5" hidden="1" customHeight="1" outlineLevel="1">
      <c r="A419" s="24">
        <f>IF(8&lt;=DAY(DATE(YEAR(설정_코스수당!$K$2),MONTH(설정_코스수당!$K$2)+1,0)),DATE(YEAR(설정_코스수당!$K$2),MONTH(설정_코스수당!$K$2),8),"")</f>
        <v>46181</v>
      </c>
      <c r="B419" s="23" t="s">
        <v>211</v>
      </c>
      <c r="C419" s="29"/>
      <c r="D419" s="29"/>
      <c r="E419" s="29" t="str">
        <f t="shared" si="53"/>
        <v/>
      </c>
      <c r="F419" s="29">
        <f>COUNTIFS(실시간콜입력!$B:$B,$A419,실시간콜입력!$E:$E,"A",실시간콜입력!$G:$G,$B419,실시간콜입력!$O:$O,"방문완료")+COUNTIFS(실시간콜입력!$B:$B,$A419,실시간콜입력!$E:$E,"A",실시간콜입력!$H:$H,$B419,실시간콜입력!$O:$O,"방문완료")</f>
        <v>0</v>
      </c>
      <c r="G419" s="29">
        <f>COUNTIFS(실시간콜입력!$B:$B,$A419,실시간콜입력!$E:$E,"B",실시간콜입력!$G:$G,$B419,실시간콜입력!$O:$O,"방문완료")+COUNTIFS(실시간콜입력!$B:$B,$A419,실시간콜입력!$E:$E,"B",실시간콜입력!$H:$H,$B419,실시간콜입력!$O:$O,"방문완료")</f>
        <v>0</v>
      </c>
      <c r="H419" s="29">
        <f>COUNTIFS(실시간콜입력!$B:$B,$A419,실시간콜입력!$E:$E,"C",실시간콜입력!$G:$G,$B419,실시간콜입력!$O:$O,"방문완료")+COUNTIFS(실시간콜입력!$B:$B,$A419,실시간콜입력!$E:$E,"C",실시간콜입력!$H:$H,$B419,실시간콜입력!$O:$O,"방문완료")</f>
        <v>0</v>
      </c>
      <c r="I419" s="29">
        <f>COUNTIFS(실시간콜입력!$B:$B,$A419,실시간콜입력!$E:$E,"D",실시간콜입력!$G:$G,$B419,실시간콜입력!$O:$O,"방문완료")+COUNTIFS(실시간콜입력!$B:$B,$A419,실시간콜입력!$E:$E,"D",실시간콜입력!$H:$H,$B419,실시간콜입력!$O:$O,"방문완료")</f>
        <v>0</v>
      </c>
      <c r="J419" s="29">
        <f>COUNTIFS(실시간콜입력!$B:$B,$A419,실시간콜입력!$E:$E,"E",실시간콜입력!$G:$G,$B419,실시간콜입력!$O:$O,"방문완료")+COUNTIFS(실시간콜입력!$B:$B,$A419,실시간콜입력!$E:$E,"E",실시간콜입력!$H:$H,$B419,실시간콜입력!$O:$O,"방문완료")</f>
        <v>0</v>
      </c>
      <c r="K419" s="29">
        <f t="shared" si="54"/>
        <v>0</v>
      </c>
      <c r="L419" s="27">
        <f>SUMIFS(실시간콜입력!$K:$K,실시간콜입력!$B:$B,$A419,실시간콜입력!$G:$G,$B419,실시간콜입력!$O:$O,"방문완료")+SUMIFS(실시간콜입력!$L:$L,실시간콜입력!$B:$B,$A419,실시간콜입력!$H:$H,$B419,실시간콜입력!$O:$O,"방문완료")</f>
        <v>0</v>
      </c>
      <c r="M419" s="29" t="str">
        <f t="shared" si="55"/>
        <v/>
      </c>
      <c r="N419" s="29"/>
    </row>
    <row r="420" spans="1:14" ht="19.5" hidden="1" customHeight="1" outlineLevel="1">
      <c r="A420" s="30">
        <f>IF(8&lt;=DAY(DATE(YEAR(설정_코스수당!$K$2),MONTH(설정_코스수당!$K$2)+1,0)),DATE(YEAR(설정_코스수당!$K$2),MONTH(설정_코스수당!$K$2),8),"")</f>
        <v>46181</v>
      </c>
      <c r="B420" s="29" t="s">
        <v>212</v>
      </c>
      <c r="C420" s="29"/>
      <c r="D420" s="29"/>
      <c r="E420" s="29" t="str">
        <f t="shared" si="53"/>
        <v/>
      </c>
      <c r="F420" s="29">
        <f>COUNTIFS(실시간콜입력!$B:$B,$A420,실시간콜입력!$E:$E,"A",실시간콜입력!$G:$G,$B420,실시간콜입력!$O:$O,"방문완료")+COUNTIFS(실시간콜입력!$B:$B,$A420,실시간콜입력!$E:$E,"A",실시간콜입력!$H:$H,$B420,실시간콜입력!$O:$O,"방문완료")</f>
        <v>0</v>
      </c>
      <c r="G420" s="29">
        <f>COUNTIFS(실시간콜입력!$B:$B,$A420,실시간콜입력!$E:$E,"B",실시간콜입력!$G:$G,$B420,실시간콜입력!$O:$O,"방문완료")+COUNTIFS(실시간콜입력!$B:$B,$A420,실시간콜입력!$E:$E,"B",실시간콜입력!$H:$H,$B420,실시간콜입력!$O:$O,"방문완료")</f>
        <v>0</v>
      </c>
      <c r="H420" s="29">
        <f>COUNTIFS(실시간콜입력!$B:$B,$A420,실시간콜입력!$E:$E,"C",실시간콜입력!$G:$G,$B420,실시간콜입력!$O:$O,"방문완료")+COUNTIFS(실시간콜입력!$B:$B,$A420,실시간콜입력!$E:$E,"C",실시간콜입력!$H:$H,$B420,실시간콜입력!$O:$O,"방문완료")</f>
        <v>0</v>
      </c>
      <c r="I420" s="29">
        <f>COUNTIFS(실시간콜입력!$B:$B,$A420,실시간콜입력!$E:$E,"D",실시간콜입력!$G:$G,$B420,실시간콜입력!$O:$O,"방문완료")+COUNTIFS(실시간콜입력!$B:$B,$A420,실시간콜입력!$E:$E,"D",실시간콜입력!$H:$H,$B420,실시간콜입력!$O:$O,"방문완료")</f>
        <v>0</v>
      </c>
      <c r="J420" s="29">
        <f>COUNTIFS(실시간콜입력!$B:$B,$A420,실시간콜입력!$E:$E,"E",실시간콜입력!$G:$G,$B420,실시간콜입력!$O:$O,"방문완료")+COUNTIFS(실시간콜입력!$B:$B,$A420,실시간콜입력!$E:$E,"E",실시간콜입력!$H:$H,$B420,실시간콜입력!$O:$O,"방문완료")</f>
        <v>0</v>
      </c>
      <c r="K420" s="29">
        <f t="shared" si="54"/>
        <v>0</v>
      </c>
      <c r="L420" s="33">
        <f>SUMIFS(실시간콜입력!$K:$K,실시간콜입력!$B:$B,$A420,실시간콜입력!$G:$G,$B420,실시간콜입력!$O:$O,"방문완료")+SUMIFS(실시간콜입력!$L:$L,실시간콜입력!$B:$B,$A420,실시간콜입력!$H:$H,$B420,실시간콜입력!$O:$O,"방문완료")</f>
        <v>0</v>
      </c>
      <c r="M420" s="29" t="str">
        <f t="shared" si="55"/>
        <v/>
      </c>
      <c r="N420" s="29"/>
    </row>
    <row r="421" spans="1:14" ht="21.75" customHeight="1" collapsed="1">
      <c r="A421" s="64">
        <f>IF(9&lt;=DAY(DATE(YEAR(설정_코스수당!$K$2),MONTH(설정_코스수당!$K$2)+1,0)),DATE(YEAR(설정_코스수당!$K$2),MONTH(설정_코스수당!$K$2),9),"")</f>
        <v>46182</v>
      </c>
      <c r="B421" s="65" t="str">
        <f>IF(A421="","","출근 "&amp;COUNTIF(C423:C472,"&lt;&gt;")&amp;"명")</f>
        <v>출근 0명</v>
      </c>
      <c r="C421" s="65" t="str">
        <f>IF(A421="","","만근 "&amp;COUNTIF(M423:M472,"인정")&amp;"명")</f>
        <v>만근 0명</v>
      </c>
      <c r="D421" s="65" t="str">
        <f>IFERROR("평균 "&amp;TEXT(AVERAGEIF(E423:E472,"&gt;0",E423:E472),"0.0")&amp;"h","평균 -")</f>
        <v>평균 -</v>
      </c>
      <c r="E421" s="65" t="s">
        <v>163</v>
      </c>
      <c r="F421" s="65">
        <f t="shared" ref="F421:L421" si="56">SUM(F423:F472)</f>
        <v>0</v>
      </c>
      <c r="G421" s="65">
        <f t="shared" si="56"/>
        <v>0</v>
      </c>
      <c r="H421" s="65">
        <f t="shared" si="56"/>
        <v>0</v>
      </c>
      <c r="I421" s="65">
        <f t="shared" si="56"/>
        <v>0</v>
      </c>
      <c r="J421" s="65">
        <f t="shared" si="56"/>
        <v>0</v>
      </c>
      <c r="K421" s="65">
        <f t="shared" si="56"/>
        <v>0</v>
      </c>
      <c r="L421" s="66">
        <f t="shared" si="56"/>
        <v>0</v>
      </c>
      <c r="M421" s="65">
        <f>COUNTIF(M423:M472,"인정")</f>
        <v>0</v>
      </c>
      <c r="N421" s="65" t="s">
        <v>164</v>
      </c>
    </row>
    <row r="422" spans="1:14" ht="19.5" hidden="1" customHeight="1" outlineLevel="1">
      <c r="A422" s="20" t="s">
        <v>42</v>
      </c>
      <c r="B422" s="20" t="s">
        <v>152</v>
      </c>
      <c r="C422" s="20" t="s">
        <v>153</v>
      </c>
      <c r="D422" s="20" t="s">
        <v>154</v>
      </c>
      <c r="E422" s="20" t="s">
        <v>155</v>
      </c>
      <c r="F422" s="20" t="s">
        <v>156</v>
      </c>
      <c r="G422" s="20" t="s">
        <v>157</v>
      </c>
      <c r="H422" s="20" t="s">
        <v>158</v>
      </c>
      <c r="I422" s="20" t="s">
        <v>159</v>
      </c>
      <c r="J422" s="20" t="s">
        <v>160</v>
      </c>
      <c r="K422" s="20" t="s">
        <v>118</v>
      </c>
      <c r="L422" s="20" t="s">
        <v>161</v>
      </c>
      <c r="M422" s="20" t="s">
        <v>162</v>
      </c>
      <c r="N422" s="20" t="s">
        <v>95</v>
      </c>
    </row>
    <row r="423" spans="1:14" ht="19.5" hidden="1" customHeight="1" outlineLevel="1">
      <c r="A423" s="24">
        <f>IF(9&lt;=DAY(DATE(YEAR(설정_코스수당!$K$2),MONTH(설정_코스수당!$K$2)+1,0)),DATE(YEAR(설정_코스수당!$K$2),MONTH(설정_코스수당!$K$2),9),"")</f>
        <v>46182</v>
      </c>
      <c r="B423" s="23" t="s">
        <v>47</v>
      </c>
      <c r="C423" s="23"/>
      <c r="D423" s="23"/>
      <c r="E423" s="23" t="str">
        <f t="shared" ref="E423:E454" si="57">IF(AND(C423&lt;&gt;"",D423&lt;&gt;""),IF(D423&lt;C423,D423+1-C423,D423-C423)*24,"")</f>
        <v/>
      </c>
      <c r="F423" s="23">
        <f>COUNTIFS(실시간콜입력!$B:$B,$A423,실시간콜입력!$E:$E,"A",실시간콜입력!$G:$G,$B423,실시간콜입력!$O:$O,"방문완료")+COUNTIFS(실시간콜입력!$B:$B,$A423,실시간콜입력!$E:$E,"A",실시간콜입력!$H:$H,$B423,실시간콜입력!$O:$O,"방문완료")</f>
        <v>0</v>
      </c>
      <c r="G423" s="23">
        <f>COUNTIFS(실시간콜입력!$B:$B,$A423,실시간콜입력!$E:$E,"B",실시간콜입력!$G:$G,$B423,실시간콜입력!$O:$O,"방문완료")+COUNTIFS(실시간콜입력!$B:$B,$A423,실시간콜입력!$E:$E,"B",실시간콜입력!$H:$H,$B423,실시간콜입력!$O:$O,"방문완료")</f>
        <v>0</v>
      </c>
      <c r="H423" s="23">
        <f>COUNTIFS(실시간콜입력!$B:$B,$A423,실시간콜입력!$E:$E,"C",실시간콜입력!$G:$G,$B423,실시간콜입력!$O:$O,"방문완료")+COUNTIFS(실시간콜입력!$B:$B,$A423,실시간콜입력!$E:$E,"C",실시간콜입력!$H:$H,$B423,실시간콜입력!$O:$O,"방문완료")</f>
        <v>0</v>
      </c>
      <c r="I423" s="23">
        <f>COUNTIFS(실시간콜입력!$B:$B,$A423,실시간콜입력!$E:$E,"D",실시간콜입력!$G:$G,$B423,실시간콜입력!$O:$O,"방문완료")+COUNTIFS(실시간콜입력!$B:$B,$A423,실시간콜입력!$E:$E,"D",실시간콜입력!$H:$H,$B423,실시간콜입력!$O:$O,"방문완료")</f>
        <v>0</v>
      </c>
      <c r="J423" s="23">
        <f>COUNTIFS(실시간콜입력!$B:$B,$A423,실시간콜입력!$E:$E,"E",실시간콜입력!$G:$G,$B423,실시간콜입력!$O:$O,"방문완료")+COUNTIFS(실시간콜입력!$B:$B,$A423,실시간콜입력!$E:$E,"E",실시간콜입력!$H:$H,$B423,실시간콜입력!$O:$O,"방문완료")</f>
        <v>0</v>
      </c>
      <c r="K423" s="23">
        <f t="shared" ref="K423:K454" si="58">SUM(F423:J423)</f>
        <v>0</v>
      </c>
      <c r="L423" s="27">
        <f>SUMIFS(실시간콜입력!$K:$K,실시간콜입력!$B:$B,$A423,실시간콜입력!$G:$G,$B423,실시간콜입력!$O:$O,"방문완료")+SUMIFS(실시간콜입력!$L:$L,실시간콜입력!$B:$B,$A423,실시간콜입력!$H:$H,$B423,실시간콜입력!$O:$O,"방문완료")</f>
        <v>0</v>
      </c>
      <c r="M423" s="23" t="str">
        <f t="shared" ref="M423:M454" si="59">IF(AND(ISNUMBER(E423),E423&gt;=8),"인정","")</f>
        <v/>
      </c>
      <c r="N423" s="23"/>
    </row>
    <row r="424" spans="1:14" ht="19.5" hidden="1" customHeight="1" outlineLevel="1">
      <c r="A424" s="30">
        <f>IF(9&lt;=DAY(DATE(YEAR(설정_코스수당!$K$2),MONTH(설정_코스수당!$K$2)+1,0)),DATE(YEAR(설정_코스수당!$K$2),MONTH(설정_코스수당!$K$2),9),"")</f>
        <v>46182</v>
      </c>
      <c r="B424" s="29" t="s">
        <v>48</v>
      </c>
      <c r="C424" s="29"/>
      <c r="D424" s="29"/>
      <c r="E424" s="29" t="str">
        <f t="shared" si="57"/>
        <v/>
      </c>
      <c r="F424" s="29">
        <f>COUNTIFS(실시간콜입력!$B:$B,$A424,실시간콜입력!$E:$E,"A",실시간콜입력!$G:$G,$B424,실시간콜입력!$O:$O,"방문완료")+COUNTIFS(실시간콜입력!$B:$B,$A424,실시간콜입력!$E:$E,"A",실시간콜입력!$H:$H,$B424,실시간콜입력!$O:$O,"방문완료")</f>
        <v>0</v>
      </c>
      <c r="G424" s="29">
        <f>COUNTIFS(실시간콜입력!$B:$B,$A424,실시간콜입력!$E:$E,"B",실시간콜입력!$G:$G,$B424,실시간콜입력!$O:$O,"방문완료")+COUNTIFS(실시간콜입력!$B:$B,$A424,실시간콜입력!$E:$E,"B",실시간콜입력!$H:$H,$B424,실시간콜입력!$O:$O,"방문완료")</f>
        <v>0</v>
      </c>
      <c r="H424" s="29">
        <f>COUNTIFS(실시간콜입력!$B:$B,$A424,실시간콜입력!$E:$E,"C",실시간콜입력!$G:$G,$B424,실시간콜입력!$O:$O,"방문완료")+COUNTIFS(실시간콜입력!$B:$B,$A424,실시간콜입력!$E:$E,"C",실시간콜입력!$H:$H,$B424,실시간콜입력!$O:$O,"방문완료")</f>
        <v>0</v>
      </c>
      <c r="I424" s="29">
        <f>COUNTIFS(실시간콜입력!$B:$B,$A424,실시간콜입력!$E:$E,"D",실시간콜입력!$G:$G,$B424,실시간콜입력!$O:$O,"방문완료")+COUNTIFS(실시간콜입력!$B:$B,$A424,실시간콜입력!$E:$E,"D",실시간콜입력!$H:$H,$B424,실시간콜입력!$O:$O,"방문완료")</f>
        <v>0</v>
      </c>
      <c r="J424" s="29">
        <f>COUNTIFS(실시간콜입력!$B:$B,$A424,실시간콜입력!$E:$E,"E",실시간콜입력!$G:$G,$B424,실시간콜입력!$O:$O,"방문완료")+COUNTIFS(실시간콜입력!$B:$B,$A424,실시간콜입력!$E:$E,"E",실시간콜입력!$H:$H,$B424,실시간콜입력!$O:$O,"방문완료")</f>
        <v>0</v>
      </c>
      <c r="K424" s="29">
        <f t="shared" si="58"/>
        <v>0</v>
      </c>
      <c r="L424" s="33">
        <f>SUMIFS(실시간콜입력!$K:$K,실시간콜입력!$B:$B,$A424,실시간콜입력!$G:$G,$B424,실시간콜입력!$O:$O,"방문완료")+SUMIFS(실시간콜입력!$L:$L,실시간콜입력!$B:$B,$A424,실시간콜입력!$H:$H,$B424,실시간콜입력!$O:$O,"방문완료")</f>
        <v>0</v>
      </c>
      <c r="M424" s="29" t="str">
        <f t="shared" si="59"/>
        <v/>
      </c>
      <c r="N424" s="29"/>
    </row>
    <row r="425" spans="1:14" ht="19.5" hidden="1" customHeight="1" outlineLevel="1">
      <c r="A425" s="24">
        <f>IF(9&lt;=DAY(DATE(YEAR(설정_코스수당!$K$2),MONTH(설정_코스수당!$K$2)+1,0)),DATE(YEAR(설정_코스수당!$K$2),MONTH(설정_코스수당!$K$2),9),"")</f>
        <v>46182</v>
      </c>
      <c r="B425" s="23" t="s">
        <v>165</v>
      </c>
      <c r="C425" s="29"/>
      <c r="D425" s="29"/>
      <c r="E425" s="29" t="str">
        <f t="shared" si="57"/>
        <v/>
      </c>
      <c r="F425" s="29">
        <f>COUNTIFS(실시간콜입력!$B:$B,$A425,실시간콜입력!$E:$E,"A",실시간콜입력!$G:$G,$B425,실시간콜입력!$O:$O,"방문완료")+COUNTIFS(실시간콜입력!$B:$B,$A425,실시간콜입력!$E:$E,"A",실시간콜입력!$H:$H,$B425,실시간콜입력!$O:$O,"방문완료")</f>
        <v>0</v>
      </c>
      <c r="G425" s="29">
        <f>COUNTIFS(실시간콜입력!$B:$B,$A425,실시간콜입력!$E:$E,"B",실시간콜입력!$G:$G,$B425,실시간콜입력!$O:$O,"방문완료")+COUNTIFS(실시간콜입력!$B:$B,$A425,실시간콜입력!$E:$E,"B",실시간콜입력!$H:$H,$B425,실시간콜입력!$O:$O,"방문완료")</f>
        <v>0</v>
      </c>
      <c r="H425" s="29">
        <f>COUNTIFS(실시간콜입력!$B:$B,$A425,실시간콜입력!$E:$E,"C",실시간콜입력!$G:$G,$B425,실시간콜입력!$O:$O,"방문완료")+COUNTIFS(실시간콜입력!$B:$B,$A425,실시간콜입력!$E:$E,"C",실시간콜입력!$H:$H,$B425,실시간콜입력!$O:$O,"방문완료")</f>
        <v>0</v>
      </c>
      <c r="I425" s="29">
        <f>COUNTIFS(실시간콜입력!$B:$B,$A425,실시간콜입력!$E:$E,"D",실시간콜입력!$G:$G,$B425,실시간콜입력!$O:$O,"방문완료")+COUNTIFS(실시간콜입력!$B:$B,$A425,실시간콜입력!$E:$E,"D",실시간콜입력!$H:$H,$B425,실시간콜입력!$O:$O,"방문완료")</f>
        <v>0</v>
      </c>
      <c r="J425" s="29">
        <f>COUNTIFS(실시간콜입력!$B:$B,$A425,실시간콜입력!$E:$E,"E",실시간콜입력!$G:$G,$B425,실시간콜입력!$O:$O,"방문완료")+COUNTIFS(실시간콜입력!$B:$B,$A425,실시간콜입력!$E:$E,"E",실시간콜입력!$H:$H,$B425,실시간콜입력!$O:$O,"방문완료")</f>
        <v>0</v>
      </c>
      <c r="K425" s="29">
        <f t="shared" si="58"/>
        <v>0</v>
      </c>
      <c r="L425" s="27">
        <f>SUMIFS(실시간콜입력!$K:$K,실시간콜입력!$B:$B,$A425,실시간콜입력!$G:$G,$B425,실시간콜입력!$O:$O,"방문완료")+SUMIFS(실시간콜입력!$L:$L,실시간콜입력!$B:$B,$A425,실시간콜입력!$H:$H,$B425,실시간콜입력!$O:$O,"방문완료")</f>
        <v>0</v>
      </c>
      <c r="M425" s="29" t="str">
        <f t="shared" si="59"/>
        <v/>
      </c>
      <c r="N425" s="29"/>
    </row>
    <row r="426" spans="1:14" ht="19.5" hidden="1" customHeight="1" outlineLevel="1">
      <c r="A426" s="30">
        <f>IF(9&lt;=DAY(DATE(YEAR(설정_코스수당!$K$2),MONTH(설정_코스수당!$K$2)+1,0)),DATE(YEAR(설정_코스수당!$K$2),MONTH(설정_코스수당!$K$2),9),"")</f>
        <v>46182</v>
      </c>
      <c r="B426" s="29" t="s">
        <v>166</v>
      </c>
      <c r="C426" s="29"/>
      <c r="D426" s="29"/>
      <c r="E426" s="29" t="str">
        <f t="shared" si="57"/>
        <v/>
      </c>
      <c r="F426" s="29">
        <f>COUNTIFS(실시간콜입력!$B:$B,$A426,실시간콜입력!$E:$E,"A",실시간콜입력!$G:$G,$B426,실시간콜입력!$O:$O,"방문완료")+COUNTIFS(실시간콜입력!$B:$B,$A426,실시간콜입력!$E:$E,"A",실시간콜입력!$H:$H,$B426,실시간콜입력!$O:$O,"방문완료")</f>
        <v>0</v>
      </c>
      <c r="G426" s="29">
        <f>COUNTIFS(실시간콜입력!$B:$B,$A426,실시간콜입력!$E:$E,"B",실시간콜입력!$G:$G,$B426,실시간콜입력!$O:$O,"방문완료")+COUNTIFS(실시간콜입력!$B:$B,$A426,실시간콜입력!$E:$E,"B",실시간콜입력!$H:$H,$B426,실시간콜입력!$O:$O,"방문완료")</f>
        <v>0</v>
      </c>
      <c r="H426" s="29">
        <f>COUNTIFS(실시간콜입력!$B:$B,$A426,실시간콜입력!$E:$E,"C",실시간콜입력!$G:$G,$B426,실시간콜입력!$O:$O,"방문완료")+COUNTIFS(실시간콜입력!$B:$B,$A426,실시간콜입력!$E:$E,"C",실시간콜입력!$H:$H,$B426,실시간콜입력!$O:$O,"방문완료")</f>
        <v>0</v>
      </c>
      <c r="I426" s="29">
        <f>COUNTIFS(실시간콜입력!$B:$B,$A426,실시간콜입력!$E:$E,"D",실시간콜입력!$G:$G,$B426,실시간콜입력!$O:$O,"방문완료")+COUNTIFS(실시간콜입력!$B:$B,$A426,실시간콜입력!$E:$E,"D",실시간콜입력!$H:$H,$B426,실시간콜입력!$O:$O,"방문완료")</f>
        <v>0</v>
      </c>
      <c r="J426" s="29">
        <f>COUNTIFS(실시간콜입력!$B:$B,$A426,실시간콜입력!$E:$E,"E",실시간콜입력!$G:$G,$B426,실시간콜입력!$O:$O,"방문완료")+COUNTIFS(실시간콜입력!$B:$B,$A426,실시간콜입력!$E:$E,"E",실시간콜입력!$H:$H,$B426,실시간콜입력!$O:$O,"방문완료")</f>
        <v>0</v>
      </c>
      <c r="K426" s="29">
        <f t="shared" si="58"/>
        <v>0</v>
      </c>
      <c r="L426" s="33">
        <f>SUMIFS(실시간콜입력!$K:$K,실시간콜입력!$B:$B,$A426,실시간콜입력!$G:$G,$B426,실시간콜입력!$O:$O,"방문완료")+SUMIFS(실시간콜입력!$L:$L,실시간콜입력!$B:$B,$A426,실시간콜입력!$H:$H,$B426,실시간콜입력!$O:$O,"방문완료")</f>
        <v>0</v>
      </c>
      <c r="M426" s="29" t="str">
        <f t="shared" si="59"/>
        <v/>
      </c>
      <c r="N426" s="29"/>
    </row>
    <row r="427" spans="1:14" ht="19.5" hidden="1" customHeight="1" outlineLevel="1">
      <c r="A427" s="24">
        <f>IF(9&lt;=DAY(DATE(YEAR(설정_코스수당!$K$2),MONTH(설정_코스수당!$K$2)+1,0)),DATE(YEAR(설정_코스수당!$K$2),MONTH(설정_코스수당!$K$2),9),"")</f>
        <v>46182</v>
      </c>
      <c r="B427" s="23" t="s">
        <v>167</v>
      </c>
      <c r="C427" s="29"/>
      <c r="D427" s="29"/>
      <c r="E427" s="29" t="str">
        <f t="shared" si="57"/>
        <v/>
      </c>
      <c r="F427" s="29">
        <f>COUNTIFS(실시간콜입력!$B:$B,$A427,실시간콜입력!$E:$E,"A",실시간콜입력!$G:$G,$B427,실시간콜입력!$O:$O,"방문완료")+COUNTIFS(실시간콜입력!$B:$B,$A427,실시간콜입력!$E:$E,"A",실시간콜입력!$H:$H,$B427,실시간콜입력!$O:$O,"방문완료")</f>
        <v>0</v>
      </c>
      <c r="G427" s="29">
        <f>COUNTIFS(실시간콜입력!$B:$B,$A427,실시간콜입력!$E:$E,"B",실시간콜입력!$G:$G,$B427,실시간콜입력!$O:$O,"방문완료")+COUNTIFS(실시간콜입력!$B:$B,$A427,실시간콜입력!$E:$E,"B",실시간콜입력!$H:$H,$B427,실시간콜입력!$O:$O,"방문완료")</f>
        <v>0</v>
      </c>
      <c r="H427" s="29">
        <f>COUNTIFS(실시간콜입력!$B:$B,$A427,실시간콜입력!$E:$E,"C",실시간콜입력!$G:$G,$B427,실시간콜입력!$O:$O,"방문완료")+COUNTIFS(실시간콜입력!$B:$B,$A427,실시간콜입력!$E:$E,"C",실시간콜입력!$H:$H,$B427,실시간콜입력!$O:$O,"방문완료")</f>
        <v>0</v>
      </c>
      <c r="I427" s="29">
        <f>COUNTIFS(실시간콜입력!$B:$B,$A427,실시간콜입력!$E:$E,"D",실시간콜입력!$G:$G,$B427,실시간콜입력!$O:$O,"방문완료")+COUNTIFS(실시간콜입력!$B:$B,$A427,실시간콜입력!$E:$E,"D",실시간콜입력!$H:$H,$B427,실시간콜입력!$O:$O,"방문완료")</f>
        <v>0</v>
      </c>
      <c r="J427" s="29">
        <f>COUNTIFS(실시간콜입력!$B:$B,$A427,실시간콜입력!$E:$E,"E",실시간콜입력!$G:$G,$B427,실시간콜입력!$O:$O,"방문완료")+COUNTIFS(실시간콜입력!$B:$B,$A427,실시간콜입력!$E:$E,"E",실시간콜입력!$H:$H,$B427,실시간콜입력!$O:$O,"방문완료")</f>
        <v>0</v>
      </c>
      <c r="K427" s="29">
        <f t="shared" si="58"/>
        <v>0</v>
      </c>
      <c r="L427" s="27">
        <f>SUMIFS(실시간콜입력!$K:$K,실시간콜입력!$B:$B,$A427,실시간콜입력!$G:$G,$B427,실시간콜입력!$O:$O,"방문완료")+SUMIFS(실시간콜입력!$L:$L,실시간콜입력!$B:$B,$A427,실시간콜입력!$H:$H,$B427,실시간콜입력!$O:$O,"방문완료")</f>
        <v>0</v>
      </c>
      <c r="M427" s="29" t="str">
        <f t="shared" si="59"/>
        <v/>
      </c>
      <c r="N427" s="29"/>
    </row>
    <row r="428" spans="1:14" ht="19.5" hidden="1" customHeight="1" outlineLevel="1">
      <c r="A428" s="30">
        <f>IF(9&lt;=DAY(DATE(YEAR(설정_코스수당!$K$2),MONTH(설정_코스수당!$K$2)+1,0)),DATE(YEAR(설정_코스수당!$K$2),MONTH(설정_코스수당!$K$2),9),"")</f>
        <v>46182</v>
      </c>
      <c r="B428" s="29" t="s">
        <v>168</v>
      </c>
      <c r="C428" s="29"/>
      <c r="D428" s="29"/>
      <c r="E428" s="29" t="str">
        <f t="shared" si="57"/>
        <v/>
      </c>
      <c r="F428" s="29">
        <f>COUNTIFS(실시간콜입력!$B:$B,$A428,실시간콜입력!$E:$E,"A",실시간콜입력!$G:$G,$B428,실시간콜입력!$O:$O,"방문완료")+COUNTIFS(실시간콜입력!$B:$B,$A428,실시간콜입력!$E:$E,"A",실시간콜입력!$H:$H,$B428,실시간콜입력!$O:$O,"방문완료")</f>
        <v>0</v>
      </c>
      <c r="G428" s="29">
        <f>COUNTIFS(실시간콜입력!$B:$B,$A428,실시간콜입력!$E:$E,"B",실시간콜입력!$G:$G,$B428,실시간콜입력!$O:$O,"방문완료")+COUNTIFS(실시간콜입력!$B:$B,$A428,실시간콜입력!$E:$E,"B",실시간콜입력!$H:$H,$B428,실시간콜입력!$O:$O,"방문완료")</f>
        <v>0</v>
      </c>
      <c r="H428" s="29">
        <f>COUNTIFS(실시간콜입력!$B:$B,$A428,실시간콜입력!$E:$E,"C",실시간콜입력!$G:$G,$B428,실시간콜입력!$O:$O,"방문완료")+COUNTIFS(실시간콜입력!$B:$B,$A428,실시간콜입력!$E:$E,"C",실시간콜입력!$H:$H,$B428,실시간콜입력!$O:$O,"방문완료")</f>
        <v>0</v>
      </c>
      <c r="I428" s="29">
        <f>COUNTIFS(실시간콜입력!$B:$B,$A428,실시간콜입력!$E:$E,"D",실시간콜입력!$G:$G,$B428,실시간콜입력!$O:$O,"방문완료")+COUNTIFS(실시간콜입력!$B:$B,$A428,실시간콜입력!$E:$E,"D",실시간콜입력!$H:$H,$B428,실시간콜입력!$O:$O,"방문완료")</f>
        <v>0</v>
      </c>
      <c r="J428" s="29">
        <f>COUNTIFS(실시간콜입력!$B:$B,$A428,실시간콜입력!$E:$E,"E",실시간콜입력!$G:$G,$B428,실시간콜입력!$O:$O,"방문완료")+COUNTIFS(실시간콜입력!$B:$B,$A428,실시간콜입력!$E:$E,"E",실시간콜입력!$H:$H,$B428,실시간콜입력!$O:$O,"방문완료")</f>
        <v>0</v>
      </c>
      <c r="K428" s="29">
        <f t="shared" si="58"/>
        <v>0</v>
      </c>
      <c r="L428" s="33">
        <f>SUMIFS(실시간콜입력!$K:$K,실시간콜입력!$B:$B,$A428,실시간콜입력!$G:$G,$B428,실시간콜입력!$O:$O,"방문완료")+SUMIFS(실시간콜입력!$L:$L,실시간콜입력!$B:$B,$A428,실시간콜입력!$H:$H,$B428,실시간콜입력!$O:$O,"방문완료")</f>
        <v>0</v>
      </c>
      <c r="M428" s="29" t="str">
        <f t="shared" si="59"/>
        <v/>
      </c>
      <c r="N428" s="29"/>
    </row>
    <row r="429" spans="1:14" ht="19.5" hidden="1" customHeight="1" outlineLevel="1">
      <c r="A429" s="24">
        <f>IF(9&lt;=DAY(DATE(YEAR(설정_코스수당!$K$2),MONTH(설정_코스수당!$K$2)+1,0)),DATE(YEAR(설정_코스수당!$K$2),MONTH(설정_코스수당!$K$2),9),"")</f>
        <v>46182</v>
      </c>
      <c r="B429" s="23" t="s">
        <v>169</v>
      </c>
      <c r="C429" s="29"/>
      <c r="D429" s="29"/>
      <c r="E429" s="29" t="str">
        <f t="shared" si="57"/>
        <v/>
      </c>
      <c r="F429" s="29">
        <f>COUNTIFS(실시간콜입력!$B:$B,$A429,실시간콜입력!$E:$E,"A",실시간콜입력!$G:$G,$B429,실시간콜입력!$O:$O,"방문완료")+COUNTIFS(실시간콜입력!$B:$B,$A429,실시간콜입력!$E:$E,"A",실시간콜입력!$H:$H,$B429,실시간콜입력!$O:$O,"방문완료")</f>
        <v>0</v>
      </c>
      <c r="G429" s="29">
        <f>COUNTIFS(실시간콜입력!$B:$B,$A429,실시간콜입력!$E:$E,"B",실시간콜입력!$G:$G,$B429,실시간콜입력!$O:$O,"방문완료")+COUNTIFS(실시간콜입력!$B:$B,$A429,실시간콜입력!$E:$E,"B",실시간콜입력!$H:$H,$B429,실시간콜입력!$O:$O,"방문완료")</f>
        <v>0</v>
      </c>
      <c r="H429" s="29">
        <f>COUNTIFS(실시간콜입력!$B:$B,$A429,실시간콜입력!$E:$E,"C",실시간콜입력!$G:$G,$B429,실시간콜입력!$O:$O,"방문완료")+COUNTIFS(실시간콜입력!$B:$B,$A429,실시간콜입력!$E:$E,"C",실시간콜입력!$H:$H,$B429,실시간콜입력!$O:$O,"방문완료")</f>
        <v>0</v>
      </c>
      <c r="I429" s="29">
        <f>COUNTIFS(실시간콜입력!$B:$B,$A429,실시간콜입력!$E:$E,"D",실시간콜입력!$G:$G,$B429,실시간콜입력!$O:$O,"방문완료")+COUNTIFS(실시간콜입력!$B:$B,$A429,실시간콜입력!$E:$E,"D",실시간콜입력!$H:$H,$B429,실시간콜입력!$O:$O,"방문완료")</f>
        <v>0</v>
      </c>
      <c r="J429" s="29">
        <f>COUNTIFS(실시간콜입력!$B:$B,$A429,실시간콜입력!$E:$E,"E",실시간콜입력!$G:$G,$B429,실시간콜입력!$O:$O,"방문완료")+COUNTIFS(실시간콜입력!$B:$B,$A429,실시간콜입력!$E:$E,"E",실시간콜입력!$H:$H,$B429,실시간콜입력!$O:$O,"방문완료")</f>
        <v>0</v>
      </c>
      <c r="K429" s="29">
        <f t="shared" si="58"/>
        <v>0</v>
      </c>
      <c r="L429" s="27">
        <f>SUMIFS(실시간콜입력!$K:$K,실시간콜입력!$B:$B,$A429,실시간콜입력!$G:$G,$B429,실시간콜입력!$O:$O,"방문완료")+SUMIFS(실시간콜입력!$L:$L,실시간콜입력!$B:$B,$A429,실시간콜입력!$H:$H,$B429,실시간콜입력!$O:$O,"방문완료")</f>
        <v>0</v>
      </c>
      <c r="M429" s="29" t="str">
        <f t="shared" si="59"/>
        <v/>
      </c>
      <c r="N429" s="29"/>
    </row>
    <row r="430" spans="1:14" ht="19.5" hidden="1" customHeight="1" outlineLevel="1">
      <c r="A430" s="30">
        <f>IF(9&lt;=DAY(DATE(YEAR(설정_코스수당!$K$2),MONTH(설정_코스수당!$K$2)+1,0)),DATE(YEAR(설정_코스수당!$K$2),MONTH(설정_코스수당!$K$2),9),"")</f>
        <v>46182</v>
      </c>
      <c r="B430" s="29" t="s">
        <v>170</v>
      </c>
      <c r="C430" s="29"/>
      <c r="D430" s="29"/>
      <c r="E430" s="29" t="str">
        <f t="shared" si="57"/>
        <v/>
      </c>
      <c r="F430" s="29">
        <f>COUNTIFS(실시간콜입력!$B:$B,$A430,실시간콜입력!$E:$E,"A",실시간콜입력!$G:$G,$B430,실시간콜입력!$O:$O,"방문완료")+COUNTIFS(실시간콜입력!$B:$B,$A430,실시간콜입력!$E:$E,"A",실시간콜입력!$H:$H,$B430,실시간콜입력!$O:$O,"방문완료")</f>
        <v>0</v>
      </c>
      <c r="G430" s="29">
        <f>COUNTIFS(실시간콜입력!$B:$B,$A430,실시간콜입력!$E:$E,"B",실시간콜입력!$G:$G,$B430,실시간콜입력!$O:$O,"방문완료")+COUNTIFS(실시간콜입력!$B:$B,$A430,실시간콜입력!$E:$E,"B",실시간콜입력!$H:$H,$B430,실시간콜입력!$O:$O,"방문완료")</f>
        <v>0</v>
      </c>
      <c r="H430" s="29">
        <f>COUNTIFS(실시간콜입력!$B:$B,$A430,실시간콜입력!$E:$E,"C",실시간콜입력!$G:$G,$B430,실시간콜입력!$O:$O,"방문완료")+COUNTIFS(실시간콜입력!$B:$B,$A430,실시간콜입력!$E:$E,"C",실시간콜입력!$H:$H,$B430,실시간콜입력!$O:$O,"방문완료")</f>
        <v>0</v>
      </c>
      <c r="I430" s="29">
        <f>COUNTIFS(실시간콜입력!$B:$B,$A430,실시간콜입력!$E:$E,"D",실시간콜입력!$G:$G,$B430,실시간콜입력!$O:$O,"방문완료")+COUNTIFS(실시간콜입력!$B:$B,$A430,실시간콜입력!$E:$E,"D",실시간콜입력!$H:$H,$B430,실시간콜입력!$O:$O,"방문완료")</f>
        <v>0</v>
      </c>
      <c r="J430" s="29">
        <f>COUNTIFS(실시간콜입력!$B:$B,$A430,실시간콜입력!$E:$E,"E",실시간콜입력!$G:$G,$B430,실시간콜입력!$O:$O,"방문완료")+COUNTIFS(실시간콜입력!$B:$B,$A430,실시간콜입력!$E:$E,"E",실시간콜입력!$H:$H,$B430,실시간콜입력!$O:$O,"방문완료")</f>
        <v>0</v>
      </c>
      <c r="K430" s="29">
        <f t="shared" si="58"/>
        <v>0</v>
      </c>
      <c r="L430" s="33">
        <f>SUMIFS(실시간콜입력!$K:$K,실시간콜입력!$B:$B,$A430,실시간콜입력!$G:$G,$B430,실시간콜입력!$O:$O,"방문완료")+SUMIFS(실시간콜입력!$L:$L,실시간콜입력!$B:$B,$A430,실시간콜입력!$H:$H,$B430,실시간콜입력!$O:$O,"방문완료")</f>
        <v>0</v>
      </c>
      <c r="M430" s="29" t="str">
        <f t="shared" si="59"/>
        <v/>
      </c>
      <c r="N430" s="29"/>
    </row>
    <row r="431" spans="1:14" ht="19.5" hidden="1" customHeight="1" outlineLevel="1">
      <c r="A431" s="24">
        <f>IF(9&lt;=DAY(DATE(YEAR(설정_코스수당!$K$2),MONTH(설정_코스수당!$K$2)+1,0)),DATE(YEAR(설정_코스수당!$K$2),MONTH(설정_코스수당!$K$2),9),"")</f>
        <v>46182</v>
      </c>
      <c r="B431" s="23" t="s">
        <v>171</v>
      </c>
      <c r="C431" s="29"/>
      <c r="D431" s="29"/>
      <c r="E431" s="29" t="str">
        <f t="shared" si="57"/>
        <v/>
      </c>
      <c r="F431" s="29">
        <f>COUNTIFS(실시간콜입력!$B:$B,$A431,실시간콜입력!$E:$E,"A",실시간콜입력!$G:$G,$B431,실시간콜입력!$O:$O,"방문완료")+COUNTIFS(실시간콜입력!$B:$B,$A431,실시간콜입력!$E:$E,"A",실시간콜입력!$H:$H,$B431,실시간콜입력!$O:$O,"방문완료")</f>
        <v>0</v>
      </c>
      <c r="G431" s="29">
        <f>COUNTIFS(실시간콜입력!$B:$B,$A431,실시간콜입력!$E:$E,"B",실시간콜입력!$G:$G,$B431,실시간콜입력!$O:$O,"방문완료")+COUNTIFS(실시간콜입력!$B:$B,$A431,실시간콜입력!$E:$E,"B",실시간콜입력!$H:$H,$B431,실시간콜입력!$O:$O,"방문완료")</f>
        <v>0</v>
      </c>
      <c r="H431" s="29">
        <f>COUNTIFS(실시간콜입력!$B:$B,$A431,실시간콜입력!$E:$E,"C",실시간콜입력!$G:$G,$B431,실시간콜입력!$O:$O,"방문완료")+COUNTIFS(실시간콜입력!$B:$B,$A431,실시간콜입력!$E:$E,"C",실시간콜입력!$H:$H,$B431,실시간콜입력!$O:$O,"방문완료")</f>
        <v>0</v>
      </c>
      <c r="I431" s="29">
        <f>COUNTIFS(실시간콜입력!$B:$B,$A431,실시간콜입력!$E:$E,"D",실시간콜입력!$G:$G,$B431,실시간콜입력!$O:$O,"방문완료")+COUNTIFS(실시간콜입력!$B:$B,$A431,실시간콜입력!$E:$E,"D",실시간콜입력!$H:$H,$B431,실시간콜입력!$O:$O,"방문완료")</f>
        <v>0</v>
      </c>
      <c r="J431" s="29">
        <f>COUNTIFS(실시간콜입력!$B:$B,$A431,실시간콜입력!$E:$E,"E",실시간콜입력!$G:$G,$B431,실시간콜입력!$O:$O,"방문완료")+COUNTIFS(실시간콜입력!$B:$B,$A431,실시간콜입력!$E:$E,"E",실시간콜입력!$H:$H,$B431,실시간콜입력!$O:$O,"방문완료")</f>
        <v>0</v>
      </c>
      <c r="K431" s="29">
        <f t="shared" si="58"/>
        <v>0</v>
      </c>
      <c r="L431" s="27">
        <f>SUMIFS(실시간콜입력!$K:$K,실시간콜입력!$B:$B,$A431,실시간콜입력!$G:$G,$B431,실시간콜입력!$O:$O,"방문완료")+SUMIFS(실시간콜입력!$L:$L,실시간콜입력!$B:$B,$A431,실시간콜입력!$H:$H,$B431,실시간콜입력!$O:$O,"방문완료")</f>
        <v>0</v>
      </c>
      <c r="M431" s="29" t="str">
        <f t="shared" si="59"/>
        <v/>
      </c>
      <c r="N431" s="29"/>
    </row>
    <row r="432" spans="1:14" ht="19.5" hidden="1" customHeight="1" outlineLevel="1">
      <c r="A432" s="30">
        <f>IF(9&lt;=DAY(DATE(YEAR(설정_코스수당!$K$2),MONTH(설정_코스수당!$K$2)+1,0)),DATE(YEAR(설정_코스수당!$K$2),MONTH(설정_코스수당!$K$2),9),"")</f>
        <v>46182</v>
      </c>
      <c r="B432" s="29" t="s">
        <v>172</v>
      </c>
      <c r="C432" s="29"/>
      <c r="D432" s="29"/>
      <c r="E432" s="29" t="str">
        <f t="shared" si="57"/>
        <v/>
      </c>
      <c r="F432" s="29">
        <f>COUNTIFS(실시간콜입력!$B:$B,$A432,실시간콜입력!$E:$E,"A",실시간콜입력!$G:$G,$B432,실시간콜입력!$O:$O,"방문완료")+COUNTIFS(실시간콜입력!$B:$B,$A432,실시간콜입력!$E:$E,"A",실시간콜입력!$H:$H,$B432,실시간콜입력!$O:$O,"방문완료")</f>
        <v>0</v>
      </c>
      <c r="G432" s="29">
        <f>COUNTIFS(실시간콜입력!$B:$B,$A432,실시간콜입력!$E:$E,"B",실시간콜입력!$G:$G,$B432,실시간콜입력!$O:$O,"방문완료")+COUNTIFS(실시간콜입력!$B:$B,$A432,실시간콜입력!$E:$E,"B",실시간콜입력!$H:$H,$B432,실시간콜입력!$O:$O,"방문완료")</f>
        <v>0</v>
      </c>
      <c r="H432" s="29">
        <f>COUNTIFS(실시간콜입력!$B:$B,$A432,실시간콜입력!$E:$E,"C",실시간콜입력!$G:$G,$B432,실시간콜입력!$O:$O,"방문완료")+COUNTIFS(실시간콜입력!$B:$B,$A432,실시간콜입력!$E:$E,"C",실시간콜입력!$H:$H,$B432,실시간콜입력!$O:$O,"방문완료")</f>
        <v>0</v>
      </c>
      <c r="I432" s="29">
        <f>COUNTIFS(실시간콜입력!$B:$B,$A432,실시간콜입력!$E:$E,"D",실시간콜입력!$G:$G,$B432,실시간콜입력!$O:$O,"방문완료")+COUNTIFS(실시간콜입력!$B:$B,$A432,실시간콜입력!$E:$E,"D",실시간콜입력!$H:$H,$B432,실시간콜입력!$O:$O,"방문완료")</f>
        <v>0</v>
      </c>
      <c r="J432" s="29">
        <f>COUNTIFS(실시간콜입력!$B:$B,$A432,실시간콜입력!$E:$E,"E",실시간콜입력!$G:$G,$B432,실시간콜입력!$O:$O,"방문완료")+COUNTIFS(실시간콜입력!$B:$B,$A432,실시간콜입력!$E:$E,"E",실시간콜입력!$H:$H,$B432,실시간콜입력!$O:$O,"방문완료")</f>
        <v>0</v>
      </c>
      <c r="K432" s="29">
        <f t="shared" si="58"/>
        <v>0</v>
      </c>
      <c r="L432" s="33">
        <f>SUMIFS(실시간콜입력!$K:$K,실시간콜입력!$B:$B,$A432,실시간콜입력!$G:$G,$B432,실시간콜입력!$O:$O,"방문완료")+SUMIFS(실시간콜입력!$L:$L,실시간콜입력!$B:$B,$A432,실시간콜입력!$H:$H,$B432,실시간콜입력!$O:$O,"방문완료")</f>
        <v>0</v>
      </c>
      <c r="M432" s="29" t="str">
        <f t="shared" si="59"/>
        <v/>
      </c>
      <c r="N432" s="29"/>
    </row>
    <row r="433" spans="1:14" ht="19.5" hidden="1" customHeight="1" outlineLevel="1">
      <c r="A433" s="24">
        <f>IF(9&lt;=DAY(DATE(YEAR(설정_코스수당!$K$2),MONTH(설정_코스수당!$K$2)+1,0)),DATE(YEAR(설정_코스수당!$K$2),MONTH(설정_코스수당!$K$2),9),"")</f>
        <v>46182</v>
      </c>
      <c r="B433" s="23" t="s">
        <v>173</v>
      </c>
      <c r="C433" s="29"/>
      <c r="D433" s="29"/>
      <c r="E433" s="29" t="str">
        <f t="shared" si="57"/>
        <v/>
      </c>
      <c r="F433" s="29">
        <f>COUNTIFS(실시간콜입력!$B:$B,$A433,실시간콜입력!$E:$E,"A",실시간콜입력!$G:$G,$B433,실시간콜입력!$O:$O,"방문완료")+COUNTIFS(실시간콜입력!$B:$B,$A433,실시간콜입력!$E:$E,"A",실시간콜입력!$H:$H,$B433,실시간콜입력!$O:$O,"방문완료")</f>
        <v>0</v>
      </c>
      <c r="G433" s="29">
        <f>COUNTIFS(실시간콜입력!$B:$B,$A433,실시간콜입력!$E:$E,"B",실시간콜입력!$G:$G,$B433,실시간콜입력!$O:$O,"방문완료")+COUNTIFS(실시간콜입력!$B:$B,$A433,실시간콜입력!$E:$E,"B",실시간콜입력!$H:$H,$B433,실시간콜입력!$O:$O,"방문완료")</f>
        <v>0</v>
      </c>
      <c r="H433" s="29">
        <f>COUNTIFS(실시간콜입력!$B:$B,$A433,실시간콜입력!$E:$E,"C",실시간콜입력!$G:$G,$B433,실시간콜입력!$O:$O,"방문완료")+COUNTIFS(실시간콜입력!$B:$B,$A433,실시간콜입력!$E:$E,"C",실시간콜입력!$H:$H,$B433,실시간콜입력!$O:$O,"방문완료")</f>
        <v>0</v>
      </c>
      <c r="I433" s="29">
        <f>COUNTIFS(실시간콜입력!$B:$B,$A433,실시간콜입력!$E:$E,"D",실시간콜입력!$G:$G,$B433,실시간콜입력!$O:$O,"방문완료")+COUNTIFS(실시간콜입력!$B:$B,$A433,실시간콜입력!$E:$E,"D",실시간콜입력!$H:$H,$B433,실시간콜입력!$O:$O,"방문완료")</f>
        <v>0</v>
      </c>
      <c r="J433" s="29">
        <f>COUNTIFS(실시간콜입력!$B:$B,$A433,실시간콜입력!$E:$E,"E",실시간콜입력!$G:$G,$B433,실시간콜입력!$O:$O,"방문완료")+COUNTIFS(실시간콜입력!$B:$B,$A433,실시간콜입력!$E:$E,"E",실시간콜입력!$H:$H,$B433,실시간콜입력!$O:$O,"방문완료")</f>
        <v>0</v>
      </c>
      <c r="K433" s="29">
        <f t="shared" si="58"/>
        <v>0</v>
      </c>
      <c r="L433" s="27">
        <f>SUMIFS(실시간콜입력!$K:$K,실시간콜입력!$B:$B,$A433,실시간콜입력!$G:$G,$B433,실시간콜입력!$O:$O,"방문완료")+SUMIFS(실시간콜입력!$L:$L,실시간콜입력!$B:$B,$A433,실시간콜입력!$H:$H,$B433,실시간콜입력!$O:$O,"방문완료")</f>
        <v>0</v>
      </c>
      <c r="M433" s="29" t="str">
        <f t="shared" si="59"/>
        <v/>
      </c>
      <c r="N433" s="29"/>
    </row>
    <row r="434" spans="1:14" ht="19.5" hidden="1" customHeight="1" outlineLevel="1">
      <c r="A434" s="30">
        <f>IF(9&lt;=DAY(DATE(YEAR(설정_코스수당!$K$2),MONTH(설정_코스수당!$K$2)+1,0)),DATE(YEAR(설정_코스수당!$K$2),MONTH(설정_코스수당!$K$2),9),"")</f>
        <v>46182</v>
      </c>
      <c r="B434" s="29" t="s">
        <v>174</v>
      </c>
      <c r="C434" s="29"/>
      <c r="D434" s="29"/>
      <c r="E434" s="29" t="str">
        <f t="shared" si="57"/>
        <v/>
      </c>
      <c r="F434" s="29">
        <f>COUNTIFS(실시간콜입력!$B:$B,$A434,실시간콜입력!$E:$E,"A",실시간콜입력!$G:$G,$B434,실시간콜입력!$O:$O,"방문완료")+COUNTIFS(실시간콜입력!$B:$B,$A434,실시간콜입력!$E:$E,"A",실시간콜입력!$H:$H,$B434,실시간콜입력!$O:$O,"방문완료")</f>
        <v>0</v>
      </c>
      <c r="G434" s="29">
        <f>COUNTIFS(실시간콜입력!$B:$B,$A434,실시간콜입력!$E:$E,"B",실시간콜입력!$G:$G,$B434,실시간콜입력!$O:$O,"방문완료")+COUNTIFS(실시간콜입력!$B:$B,$A434,실시간콜입력!$E:$E,"B",실시간콜입력!$H:$H,$B434,실시간콜입력!$O:$O,"방문완료")</f>
        <v>0</v>
      </c>
      <c r="H434" s="29">
        <f>COUNTIFS(실시간콜입력!$B:$B,$A434,실시간콜입력!$E:$E,"C",실시간콜입력!$G:$G,$B434,실시간콜입력!$O:$O,"방문완료")+COUNTIFS(실시간콜입력!$B:$B,$A434,실시간콜입력!$E:$E,"C",실시간콜입력!$H:$H,$B434,실시간콜입력!$O:$O,"방문완료")</f>
        <v>0</v>
      </c>
      <c r="I434" s="29">
        <f>COUNTIFS(실시간콜입력!$B:$B,$A434,실시간콜입력!$E:$E,"D",실시간콜입력!$G:$G,$B434,실시간콜입력!$O:$O,"방문완료")+COUNTIFS(실시간콜입력!$B:$B,$A434,실시간콜입력!$E:$E,"D",실시간콜입력!$H:$H,$B434,실시간콜입력!$O:$O,"방문완료")</f>
        <v>0</v>
      </c>
      <c r="J434" s="29">
        <f>COUNTIFS(실시간콜입력!$B:$B,$A434,실시간콜입력!$E:$E,"E",실시간콜입력!$G:$G,$B434,실시간콜입력!$O:$O,"방문완료")+COUNTIFS(실시간콜입력!$B:$B,$A434,실시간콜입력!$E:$E,"E",실시간콜입력!$H:$H,$B434,실시간콜입력!$O:$O,"방문완료")</f>
        <v>0</v>
      </c>
      <c r="K434" s="29">
        <f t="shared" si="58"/>
        <v>0</v>
      </c>
      <c r="L434" s="33">
        <f>SUMIFS(실시간콜입력!$K:$K,실시간콜입력!$B:$B,$A434,실시간콜입력!$G:$G,$B434,실시간콜입력!$O:$O,"방문완료")+SUMIFS(실시간콜입력!$L:$L,실시간콜입력!$B:$B,$A434,실시간콜입력!$H:$H,$B434,실시간콜입력!$O:$O,"방문완료")</f>
        <v>0</v>
      </c>
      <c r="M434" s="29" t="str">
        <f t="shared" si="59"/>
        <v/>
      </c>
      <c r="N434" s="29"/>
    </row>
    <row r="435" spans="1:14" ht="19.5" hidden="1" customHeight="1" outlineLevel="1">
      <c r="A435" s="24">
        <f>IF(9&lt;=DAY(DATE(YEAR(설정_코스수당!$K$2),MONTH(설정_코스수당!$K$2)+1,0)),DATE(YEAR(설정_코스수당!$K$2),MONTH(설정_코스수당!$K$2),9),"")</f>
        <v>46182</v>
      </c>
      <c r="B435" s="23" t="s">
        <v>175</v>
      </c>
      <c r="C435" s="29"/>
      <c r="D435" s="29"/>
      <c r="E435" s="29" t="str">
        <f t="shared" si="57"/>
        <v/>
      </c>
      <c r="F435" s="29">
        <f>COUNTIFS(실시간콜입력!$B:$B,$A435,실시간콜입력!$E:$E,"A",실시간콜입력!$G:$G,$B435,실시간콜입력!$O:$O,"방문완료")+COUNTIFS(실시간콜입력!$B:$B,$A435,실시간콜입력!$E:$E,"A",실시간콜입력!$H:$H,$B435,실시간콜입력!$O:$O,"방문완료")</f>
        <v>0</v>
      </c>
      <c r="G435" s="29">
        <f>COUNTIFS(실시간콜입력!$B:$B,$A435,실시간콜입력!$E:$E,"B",실시간콜입력!$G:$G,$B435,실시간콜입력!$O:$O,"방문완료")+COUNTIFS(실시간콜입력!$B:$B,$A435,실시간콜입력!$E:$E,"B",실시간콜입력!$H:$H,$B435,실시간콜입력!$O:$O,"방문완료")</f>
        <v>0</v>
      </c>
      <c r="H435" s="29">
        <f>COUNTIFS(실시간콜입력!$B:$B,$A435,실시간콜입력!$E:$E,"C",실시간콜입력!$G:$G,$B435,실시간콜입력!$O:$O,"방문완료")+COUNTIFS(실시간콜입력!$B:$B,$A435,실시간콜입력!$E:$E,"C",실시간콜입력!$H:$H,$B435,실시간콜입력!$O:$O,"방문완료")</f>
        <v>0</v>
      </c>
      <c r="I435" s="29">
        <f>COUNTIFS(실시간콜입력!$B:$B,$A435,실시간콜입력!$E:$E,"D",실시간콜입력!$G:$G,$B435,실시간콜입력!$O:$O,"방문완료")+COUNTIFS(실시간콜입력!$B:$B,$A435,실시간콜입력!$E:$E,"D",실시간콜입력!$H:$H,$B435,실시간콜입력!$O:$O,"방문완료")</f>
        <v>0</v>
      </c>
      <c r="J435" s="29">
        <f>COUNTIFS(실시간콜입력!$B:$B,$A435,실시간콜입력!$E:$E,"E",실시간콜입력!$G:$G,$B435,실시간콜입력!$O:$O,"방문완료")+COUNTIFS(실시간콜입력!$B:$B,$A435,실시간콜입력!$E:$E,"E",실시간콜입력!$H:$H,$B435,실시간콜입력!$O:$O,"방문완료")</f>
        <v>0</v>
      </c>
      <c r="K435" s="29">
        <f t="shared" si="58"/>
        <v>0</v>
      </c>
      <c r="L435" s="27">
        <f>SUMIFS(실시간콜입력!$K:$K,실시간콜입력!$B:$B,$A435,실시간콜입력!$G:$G,$B435,실시간콜입력!$O:$O,"방문완료")+SUMIFS(실시간콜입력!$L:$L,실시간콜입력!$B:$B,$A435,실시간콜입력!$H:$H,$B435,실시간콜입력!$O:$O,"방문완료")</f>
        <v>0</v>
      </c>
      <c r="M435" s="29" t="str">
        <f t="shared" si="59"/>
        <v/>
      </c>
      <c r="N435" s="29"/>
    </row>
    <row r="436" spans="1:14" ht="19.5" hidden="1" customHeight="1" outlineLevel="1">
      <c r="A436" s="30">
        <f>IF(9&lt;=DAY(DATE(YEAR(설정_코스수당!$K$2),MONTH(설정_코스수당!$K$2)+1,0)),DATE(YEAR(설정_코스수당!$K$2),MONTH(설정_코스수당!$K$2),9),"")</f>
        <v>46182</v>
      </c>
      <c r="B436" s="29" t="s">
        <v>176</v>
      </c>
      <c r="C436" s="29"/>
      <c r="D436" s="29"/>
      <c r="E436" s="29" t="str">
        <f t="shared" si="57"/>
        <v/>
      </c>
      <c r="F436" s="29">
        <f>COUNTIFS(실시간콜입력!$B:$B,$A436,실시간콜입력!$E:$E,"A",실시간콜입력!$G:$G,$B436,실시간콜입력!$O:$O,"방문완료")+COUNTIFS(실시간콜입력!$B:$B,$A436,실시간콜입력!$E:$E,"A",실시간콜입력!$H:$H,$B436,실시간콜입력!$O:$O,"방문완료")</f>
        <v>0</v>
      </c>
      <c r="G436" s="29">
        <f>COUNTIFS(실시간콜입력!$B:$B,$A436,실시간콜입력!$E:$E,"B",실시간콜입력!$G:$G,$B436,실시간콜입력!$O:$O,"방문완료")+COUNTIFS(실시간콜입력!$B:$B,$A436,실시간콜입력!$E:$E,"B",실시간콜입력!$H:$H,$B436,실시간콜입력!$O:$O,"방문완료")</f>
        <v>0</v>
      </c>
      <c r="H436" s="29">
        <f>COUNTIFS(실시간콜입력!$B:$B,$A436,실시간콜입력!$E:$E,"C",실시간콜입력!$G:$G,$B436,실시간콜입력!$O:$O,"방문완료")+COUNTIFS(실시간콜입력!$B:$B,$A436,실시간콜입력!$E:$E,"C",실시간콜입력!$H:$H,$B436,실시간콜입력!$O:$O,"방문완료")</f>
        <v>0</v>
      </c>
      <c r="I436" s="29">
        <f>COUNTIFS(실시간콜입력!$B:$B,$A436,실시간콜입력!$E:$E,"D",실시간콜입력!$G:$G,$B436,실시간콜입력!$O:$O,"방문완료")+COUNTIFS(실시간콜입력!$B:$B,$A436,실시간콜입력!$E:$E,"D",실시간콜입력!$H:$H,$B436,실시간콜입력!$O:$O,"방문완료")</f>
        <v>0</v>
      </c>
      <c r="J436" s="29">
        <f>COUNTIFS(실시간콜입력!$B:$B,$A436,실시간콜입력!$E:$E,"E",실시간콜입력!$G:$G,$B436,실시간콜입력!$O:$O,"방문완료")+COUNTIFS(실시간콜입력!$B:$B,$A436,실시간콜입력!$E:$E,"E",실시간콜입력!$H:$H,$B436,실시간콜입력!$O:$O,"방문완료")</f>
        <v>0</v>
      </c>
      <c r="K436" s="29">
        <f t="shared" si="58"/>
        <v>0</v>
      </c>
      <c r="L436" s="33">
        <f>SUMIFS(실시간콜입력!$K:$K,실시간콜입력!$B:$B,$A436,실시간콜입력!$G:$G,$B436,실시간콜입력!$O:$O,"방문완료")+SUMIFS(실시간콜입력!$L:$L,실시간콜입력!$B:$B,$A436,실시간콜입력!$H:$H,$B436,실시간콜입력!$O:$O,"방문완료")</f>
        <v>0</v>
      </c>
      <c r="M436" s="29" t="str">
        <f t="shared" si="59"/>
        <v/>
      </c>
      <c r="N436" s="29"/>
    </row>
    <row r="437" spans="1:14" ht="19.5" hidden="1" customHeight="1" outlineLevel="1">
      <c r="A437" s="24">
        <f>IF(9&lt;=DAY(DATE(YEAR(설정_코스수당!$K$2),MONTH(설정_코스수당!$K$2)+1,0)),DATE(YEAR(설정_코스수당!$K$2),MONTH(설정_코스수당!$K$2),9),"")</f>
        <v>46182</v>
      </c>
      <c r="B437" s="23" t="s">
        <v>177</v>
      </c>
      <c r="C437" s="29"/>
      <c r="D437" s="29"/>
      <c r="E437" s="29" t="str">
        <f t="shared" si="57"/>
        <v/>
      </c>
      <c r="F437" s="29">
        <f>COUNTIFS(실시간콜입력!$B:$B,$A437,실시간콜입력!$E:$E,"A",실시간콜입력!$G:$G,$B437,실시간콜입력!$O:$O,"방문완료")+COUNTIFS(실시간콜입력!$B:$B,$A437,실시간콜입력!$E:$E,"A",실시간콜입력!$H:$H,$B437,실시간콜입력!$O:$O,"방문완료")</f>
        <v>0</v>
      </c>
      <c r="G437" s="29">
        <f>COUNTIFS(실시간콜입력!$B:$B,$A437,실시간콜입력!$E:$E,"B",실시간콜입력!$G:$G,$B437,실시간콜입력!$O:$O,"방문완료")+COUNTIFS(실시간콜입력!$B:$B,$A437,실시간콜입력!$E:$E,"B",실시간콜입력!$H:$H,$B437,실시간콜입력!$O:$O,"방문완료")</f>
        <v>0</v>
      </c>
      <c r="H437" s="29">
        <f>COUNTIFS(실시간콜입력!$B:$B,$A437,실시간콜입력!$E:$E,"C",실시간콜입력!$G:$G,$B437,실시간콜입력!$O:$O,"방문완료")+COUNTIFS(실시간콜입력!$B:$B,$A437,실시간콜입력!$E:$E,"C",실시간콜입력!$H:$H,$B437,실시간콜입력!$O:$O,"방문완료")</f>
        <v>0</v>
      </c>
      <c r="I437" s="29">
        <f>COUNTIFS(실시간콜입력!$B:$B,$A437,실시간콜입력!$E:$E,"D",실시간콜입력!$G:$G,$B437,실시간콜입력!$O:$O,"방문완료")+COUNTIFS(실시간콜입력!$B:$B,$A437,실시간콜입력!$E:$E,"D",실시간콜입력!$H:$H,$B437,실시간콜입력!$O:$O,"방문완료")</f>
        <v>0</v>
      </c>
      <c r="J437" s="29">
        <f>COUNTIFS(실시간콜입력!$B:$B,$A437,실시간콜입력!$E:$E,"E",실시간콜입력!$G:$G,$B437,실시간콜입력!$O:$O,"방문완료")+COUNTIFS(실시간콜입력!$B:$B,$A437,실시간콜입력!$E:$E,"E",실시간콜입력!$H:$H,$B437,실시간콜입력!$O:$O,"방문완료")</f>
        <v>0</v>
      </c>
      <c r="K437" s="29">
        <f t="shared" si="58"/>
        <v>0</v>
      </c>
      <c r="L437" s="27">
        <f>SUMIFS(실시간콜입력!$K:$K,실시간콜입력!$B:$B,$A437,실시간콜입력!$G:$G,$B437,실시간콜입력!$O:$O,"방문완료")+SUMIFS(실시간콜입력!$L:$L,실시간콜입력!$B:$B,$A437,실시간콜입력!$H:$H,$B437,실시간콜입력!$O:$O,"방문완료")</f>
        <v>0</v>
      </c>
      <c r="M437" s="29" t="str">
        <f t="shared" si="59"/>
        <v/>
      </c>
      <c r="N437" s="29"/>
    </row>
    <row r="438" spans="1:14" ht="19.5" hidden="1" customHeight="1" outlineLevel="1">
      <c r="A438" s="30">
        <f>IF(9&lt;=DAY(DATE(YEAR(설정_코스수당!$K$2),MONTH(설정_코스수당!$K$2)+1,0)),DATE(YEAR(설정_코스수당!$K$2),MONTH(설정_코스수당!$K$2),9),"")</f>
        <v>46182</v>
      </c>
      <c r="B438" s="29" t="s">
        <v>178</v>
      </c>
      <c r="C438" s="29"/>
      <c r="D438" s="29"/>
      <c r="E438" s="29" t="str">
        <f t="shared" si="57"/>
        <v/>
      </c>
      <c r="F438" s="29">
        <f>COUNTIFS(실시간콜입력!$B:$B,$A438,실시간콜입력!$E:$E,"A",실시간콜입력!$G:$G,$B438,실시간콜입력!$O:$O,"방문완료")+COUNTIFS(실시간콜입력!$B:$B,$A438,실시간콜입력!$E:$E,"A",실시간콜입력!$H:$H,$B438,실시간콜입력!$O:$O,"방문완료")</f>
        <v>0</v>
      </c>
      <c r="G438" s="29">
        <f>COUNTIFS(실시간콜입력!$B:$B,$A438,실시간콜입력!$E:$E,"B",실시간콜입력!$G:$G,$B438,실시간콜입력!$O:$O,"방문완료")+COUNTIFS(실시간콜입력!$B:$B,$A438,실시간콜입력!$E:$E,"B",실시간콜입력!$H:$H,$B438,실시간콜입력!$O:$O,"방문완료")</f>
        <v>0</v>
      </c>
      <c r="H438" s="29">
        <f>COUNTIFS(실시간콜입력!$B:$B,$A438,실시간콜입력!$E:$E,"C",실시간콜입력!$G:$G,$B438,실시간콜입력!$O:$O,"방문완료")+COUNTIFS(실시간콜입력!$B:$B,$A438,실시간콜입력!$E:$E,"C",실시간콜입력!$H:$H,$B438,실시간콜입력!$O:$O,"방문완료")</f>
        <v>0</v>
      </c>
      <c r="I438" s="29">
        <f>COUNTIFS(실시간콜입력!$B:$B,$A438,실시간콜입력!$E:$E,"D",실시간콜입력!$G:$G,$B438,실시간콜입력!$O:$O,"방문완료")+COUNTIFS(실시간콜입력!$B:$B,$A438,실시간콜입력!$E:$E,"D",실시간콜입력!$H:$H,$B438,실시간콜입력!$O:$O,"방문완료")</f>
        <v>0</v>
      </c>
      <c r="J438" s="29">
        <f>COUNTIFS(실시간콜입력!$B:$B,$A438,실시간콜입력!$E:$E,"E",실시간콜입력!$G:$G,$B438,실시간콜입력!$O:$O,"방문완료")+COUNTIFS(실시간콜입력!$B:$B,$A438,실시간콜입력!$E:$E,"E",실시간콜입력!$H:$H,$B438,실시간콜입력!$O:$O,"방문완료")</f>
        <v>0</v>
      </c>
      <c r="K438" s="29">
        <f t="shared" si="58"/>
        <v>0</v>
      </c>
      <c r="L438" s="33">
        <f>SUMIFS(실시간콜입력!$K:$K,실시간콜입력!$B:$B,$A438,실시간콜입력!$G:$G,$B438,실시간콜입력!$O:$O,"방문완료")+SUMIFS(실시간콜입력!$L:$L,실시간콜입력!$B:$B,$A438,실시간콜입력!$H:$H,$B438,실시간콜입력!$O:$O,"방문완료")</f>
        <v>0</v>
      </c>
      <c r="M438" s="29" t="str">
        <f t="shared" si="59"/>
        <v/>
      </c>
      <c r="N438" s="29"/>
    </row>
    <row r="439" spans="1:14" ht="19.5" hidden="1" customHeight="1" outlineLevel="1">
      <c r="A439" s="24">
        <f>IF(9&lt;=DAY(DATE(YEAR(설정_코스수당!$K$2),MONTH(설정_코스수당!$K$2)+1,0)),DATE(YEAR(설정_코스수당!$K$2),MONTH(설정_코스수당!$K$2),9),"")</f>
        <v>46182</v>
      </c>
      <c r="B439" s="23" t="s">
        <v>179</v>
      </c>
      <c r="C439" s="29"/>
      <c r="D439" s="29"/>
      <c r="E439" s="29" t="str">
        <f t="shared" si="57"/>
        <v/>
      </c>
      <c r="F439" s="29">
        <f>COUNTIFS(실시간콜입력!$B:$B,$A439,실시간콜입력!$E:$E,"A",실시간콜입력!$G:$G,$B439,실시간콜입력!$O:$O,"방문완료")+COUNTIFS(실시간콜입력!$B:$B,$A439,실시간콜입력!$E:$E,"A",실시간콜입력!$H:$H,$B439,실시간콜입력!$O:$O,"방문완료")</f>
        <v>0</v>
      </c>
      <c r="G439" s="29">
        <f>COUNTIFS(실시간콜입력!$B:$B,$A439,실시간콜입력!$E:$E,"B",실시간콜입력!$G:$G,$B439,실시간콜입력!$O:$O,"방문완료")+COUNTIFS(실시간콜입력!$B:$B,$A439,실시간콜입력!$E:$E,"B",실시간콜입력!$H:$H,$B439,실시간콜입력!$O:$O,"방문완료")</f>
        <v>0</v>
      </c>
      <c r="H439" s="29">
        <f>COUNTIFS(실시간콜입력!$B:$B,$A439,실시간콜입력!$E:$E,"C",실시간콜입력!$G:$G,$B439,실시간콜입력!$O:$O,"방문완료")+COUNTIFS(실시간콜입력!$B:$B,$A439,실시간콜입력!$E:$E,"C",실시간콜입력!$H:$H,$B439,실시간콜입력!$O:$O,"방문완료")</f>
        <v>0</v>
      </c>
      <c r="I439" s="29">
        <f>COUNTIFS(실시간콜입력!$B:$B,$A439,실시간콜입력!$E:$E,"D",실시간콜입력!$G:$G,$B439,실시간콜입력!$O:$O,"방문완료")+COUNTIFS(실시간콜입력!$B:$B,$A439,실시간콜입력!$E:$E,"D",실시간콜입력!$H:$H,$B439,실시간콜입력!$O:$O,"방문완료")</f>
        <v>0</v>
      </c>
      <c r="J439" s="29">
        <f>COUNTIFS(실시간콜입력!$B:$B,$A439,실시간콜입력!$E:$E,"E",실시간콜입력!$G:$G,$B439,실시간콜입력!$O:$O,"방문완료")+COUNTIFS(실시간콜입력!$B:$B,$A439,실시간콜입력!$E:$E,"E",실시간콜입력!$H:$H,$B439,실시간콜입력!$O:$O,"방문완료")</f>
        <v>0</v>
      </c>
      <c r="K439" s="29">
        <f t="shared" si="58"/>
        <v>0</v>
      </c>
      <c r="L439" s="27">
        <f>SUMIFS(실시간콜입력!$K:$K,실시간콜입력!$B:$B,$A439,실시간콜입력!$G:$G,$B439,실시간콜입력!$O:$O,"방문완료")+SUMIFS(실시간콜입력!$L:$L,실시간콜입력!$B:$B,$A439,실시간콜입력!$H:$H,$B439,실시간콜입력!$O:$O,"방문완료")</f>
        <v>0</v>
      </c>
      <c r="M439" s="29" t="str">
        <f t="shared" si="59"/>
        <v/>
      </c>
      <c r="N439" s="29"/>
    </row>
    <row r="440" spans="1:14" ht="19.5" hidden="1" customHeight="1" outlineLevel="1">
      <c r="A440" s="30">
        <f>IF(9&lt;=DAY(DATE(YEAR(설정_코스수당!$K$2),MONTH(설정_코스수당!$K$2)+1,0)),DATE(YEAR(설정_코스수당!$K$2),MONTH(설정_코스수당!$K$2),9),"")</f>
        <v>46182</v>
      </c>
      <c r="B440" s="29" t="s">
        <v>180</v>
      </c>
      <c r="C440" s="29"/>
      <c r="D440" s="29"/>
      <c r="E440" s="29" t="str">
        <f t="shared" si="57"/>
        <v/>
      </c>
      <c r="F440" s="29">
        <f>COUNTIFS(실시간콜입력!$B:$B,$A440,실시간콜입력!$E:$E,"A",실시간콜입력!$G:$G,$B440,실시간콜입력!$O:$O,"방문완료")+COUNTIFS(실시간콜입력!$B:$B,$A440,실시간콜입력!$E:$E,"A",실시간콜입력!$H:$H,$B440,실시간콜입력!$O:$O,"방문완료")</f>
        <v>0</v>
      </c>
      <c r="G440" s="29">
        <f>COUNTIFS(실시간콜입력!$B:$B,$A440,실시간콜입력!$E:$E,"B",실시간콜입력!$G:$G,$B440,실시간콜입력!$O:$O,"방문완료")+COUNTIFS(실시간콜입력!$B:$B,$A440,실시간콜입력!$E:$E,"B",실시간콜입력!$H:$H,$B440,실시간콜입력!$O:$O,"방문완료")</f>
        <v>0</v>
      </c>
      <c r="H440" s="29">
        <f>COUNTIFS(실시간콜입력!$B:$B,$A440,실시간콜입력!$E:$E,"C",실시간콜입력!$G:$G,$B440,실시간콜입력!$O:$O,"방문완료")+COUNTIFS(실시간콜입력!$B:$B,$A440,실시간콜입력!$E:$E,"C",실시간콜입력!$H:$H,$B440,실시간콜입력!$O:$O,"방문완료")</f>
        <v>0</v>
      </c>
      <c r="I440" s="29">
        <f>COUNTIFS(실시간콜입력!$B:$B,$A440,실시간콜입력!$E:$E,"D",실시간콜입력!$G:$G,$B440,실시간콜입력!$O:$O,"방문완료")+COUNTIFS(실시간콜입력!$B:$B,$A440,실시간콜입력!$E:$E,"D",실시간콜입력!$H:$H,$B440,실시간콜입력!$O:$O,"방문완료")</f>
        <v>0</v>
      </c>
      <c r="J440" s="29">
        <f>COUNTIFS(실시간콜입력!$B:$B,$A440,실시간콜입력!$E:$E,"E",실시간콜입력!$G:$G,$B440,실시간콜입력!$O:$O,"방문완료")+COUNTIFS(실시간콜입력!$B:$B,$A440,실시간콜입력!$E:$E,"E",실시간콜입력!$H:$H,$B440,실시간콜입력!$O:$O,"방문완료")</f>
        <v>0</v>
      </c>
      <c r="K440" s="29">
        <f t="shared" si="58"/>
        <v>0</v>
      </c>
      <c r="L440" s="33">
        <f>SUMIFS(실시간콜입력!$K:$K,실시간콜입력!$B:$B,$A440,실시간콜입력!$G:$G,$B440,실시간콜입력!$O:$O,"방문완료")+SUMIFS(실시간콜입력!$L:$L,실시간콜입력!$B:$B,$A440,실시간콜입력!$H:$H,$B440,실시간콜입력!$O:$O,"방문완료")</f>
        <v>0</v>
      </c>
      <c r="M440" s="29" t="str">
        <f t="shared" si="59"/>
        <v/>
      </c>
      <c r="N440" s="29"/>
    </row>
    <row r="441" spans="1:14" ht="19.5" hidden="1" customHeight="1" outlineLevel="1">
      <c r="A441" s="24">
        <f>IF(9&lt;=DAY(DATE(YEAR(설정_코스수당!$K$2),MONTH(설정_코스수당!$K$2)+1,0)),DATE(YEAR(설정_코스수당!$K$2),MONTH(설정_코스수당!$K$2),9),"")</f>
        <v>46182</v>
      </c>
      <c r="B441" s="23" t="s">
        <v>181</v>
      </c>
      <c r="C441" s="29"/>
      <c r="D441" s="29"/>
      <c r="E441" s="29" t="str">
        <f t="shared" si="57"/>
        <v/>
      </c>
      <c r="F441" s="29">
        <f>COUNTIFS(실시간콜입력!$B:$B,$A441,실시간콜입력!$E:$E,"A",실시간콜입력!$G:$G,$B441,실시간콜입력!$O:$O,"방문완료")+COUNTIFS(실시간콜입력!$B:$B,$A441,실시간콜입력!$E:$E,"A",실시간콜입력!$H:$H,$B441,실시간콜입력!$O:$O,"방문완료")</f>
        <v>0</v>
      </c>
      <c r="G441" s="29">
        <f>COUNTIFS(실시간콜입력!$B:$B,$A441,실시간콜입력!$E:$E,"B",실시간콜입력!$G:$G,$B441,실시간콜입력!$O:$O,"방문완료")+COUNTIFS(실시간콜입력!$B:$B,$A441,실시간콜입력!$E:$E,"B",실시간콜입력!$H:$H,$B441,실시간콜입력!$O:$O,"방문완료")</f>
        <v>0</v>
      </c>
      <c r="H441" s="29">
        <f>COUNTIFS(실시간콜입력!$B:$B,$A441,실시간콜입력!$E:$E,"C",실시간콜입력!$G:$G,$B441,실시간콜입력!$O:$O,"방문완료")+COUNTIFS(실시간콜입력!$B:$B,$A441,실시간콜입력!$E:$E,"C",실시간콜입력!$H:$H,$B441,실시간콜입력!$O:$O,"방문완료")</f>
        <v>0</v>
      </c>
      <c r="I441" s="29">
        <f>COUNTIFS(실시간콜입력!$B:$B,$A441,실시간콜입력!$E:$E,"D",실시간콜입력!$G:$G,$B441,실시간콜입력!$O:$O,"방문완료")+COUNTIFS(실시간콜입력!$B:$B,$A441,실시간콜입력!$E:$E,"D",실시간콜입력!$H:$H,$B441,실시간콜입력!$O:$O,"방문완료")</f>
        <v>0</v>
      </c>
      <c r="J441" s="29">
        <f>COUNTIFS(실시간콜입력!$B:$B,$A441,실시간콜입력!$E:$E,"E",실시간콜입력!$G:$G,$B441,실시간콜입력!$O:$O,"방문완료")+COUNTIFS(실시간콜입력!$B:$B,$A441,실시간콜입력!$E:$E,"E",실시간콜입력!$H:$H,$B441,실시간콜입력!$O:$O,"방문완료")</f>
        <v>0</v>
      </c>
      <c r="K441" s="29">
        <f t="shared" si="58"/>
        <v>0</v>
      </c>
      <c r="L441" s="27">
        <f>SUMIFS(실시간콜입력!$K:$K,실시간콜입력!$B:$B,$A441,실시간콜입력!$G:$G,$B441,실시간콜입력!$O:$O,"방문완료")+SUMIFS(실시간콜입력!$L:$L,실시간콜입력!$B:$B,$A441,실시간콜입력!$H:$H,$B441,실시간콜입력!$O:$O,"방문완료")</f>
        <v>0</v>
      </c>
      <c r="M441" s="29" t="str">
        <f t="shared" si="59"/>
        <v/>
      </c>
      <c r="N441" s="29"/>
    </row>
    <row r="442" spans="1:14" ht="19.5" hidden="1" customHeight="1" outlineLevel="1">
      <c r="A442" s="30">
        <f>IF(9&lt;=DAY(DATE(YEAR(설정_코스수당!$K$2),MONTH(설정_코스수당!$K$2)+1,0)),DATE(YEAR(설정_코스수당!$K$2),MONTH(설정_코스수당!$K$2),9),"")</f>
        <v>46182</v>
      </c>
      <c r="B442" s="29" t="s">
        <v>182</v>
      </c>
      <c r="C442" s="29"/>
      <c r="D442" s="29"/>
      <c r="E442" s="29" t="str">
        <f t="shared" si="57"/>
        <v/>
      </c>
      <c r="F442" s="29">
        <f>COUNTIFS(실시간콜입력!$B:$B,$A442,실시간콜입력!$E:$E,"A",실시간콜입력!$G:$G,$B442,실시간콜입력!$O:$O,"방문완료")+COUNTIFS(실시간콜입력!$B:$B,$A442,실시간콜입력!$E:$E,"A",실시간콜입력!$H:$H,$B442,실시간콜입력!$O:$O,"방문완료")</f>
        <v>0</v>
      </c>
      <c r="G442" s="29">
        <f>COUNTIFS(실시간콜입력!$B:$B,$A442,실시간콜입력!$E:$E,"B",실시간콜입력!$G:$G,$B442,실시간콜입력!$O:$O,"방문완료")+COUNTIFS(실시간콜입력!$B:$B,$A442,실시간콜입력!$E:$E,"B",실시간콜입력!$H:$H,$B442,실시간콜입력!$O:$O,"방문완료")</f>
        <v>0</v>
      </c>
      <c r="H442" s="29">
        <f>COUNTIFS(실시간콜입력!$B:$B,$A442,실시간콜입력!$E:$E,"C",실시간콜입력!$G:$G,$B442,실시간콜입력!$O:$O,"방문완료")+COUNTIFS(실시간콜입력!$B:$B,$A442,실시간콜입력!$E:$E,"C",실시간콜입력!$H:$H,$B442,실시간콜입력!$O:$O,"방문완료")</f>
        <v>0</v>
      </c>
      <c r="I442" s="29">
        <f>COUNTIFS(실시간콜입력!$B:$B,$A442,실시간콜입력!$E:$E,"D",실시간콜입력!$G:$G,$B442,실시간콜입력!$O:$O,"방문완료")+COUNTIFS(실시간콜입력!$B:$B,$A442,실시간콜입력!$E:$E,"D",실시간콜입력!$H:$H,$B442,실시간콜입력!$O:$O,"방문완료")</f>
        <v>0</v>
      </c>
      <c r="J442" s="29">
        <f>COUNTIFS(실시간콜입력!$B:$B,$A442,실시간콜입력!$E:$E,"E",실시간콜입력!$G:$G,$B442,실시간콜입력!$O:$O,"방문완료")+COUNTIFS(실시간콜입력!$B:$B,$A442,실시간콜입력!$E:$E,"E",실시간콜입력!$H:$H,$B442,실시간콜입력!$O:$O,"방문완료")</f>
        <v>0</v>
      </c>
      <c r="K442" s="29">
        <f t="shared" si="58"/>
        <v>0</v>
      </c>
      <c r="L442" s="33">
        <f>SUMIFS(실시간콜입력!$K:$K,실시간콜입력!$B:$B,$A442,실시간콜입력!$G:$G,$B442,실시간콜입력!$O:$O,"방문완료")+SUMIFS(실시간콜입력!$L:$L,실시간콜입력!$B:$B,$A442,실시간콜입력!$H:$H,$B442,실시간콜입력!$O:$O,"방문완료")</f>
        <v>0</v>
      </c>
      <c r="M442" s="29" t="str">
        <f t="shared" si="59"/>
        <v/>
      </c>
      <c r="N442" s="29"/>
    </row>
    <row r="443" spans="1:14" ht="19.5" hidden="1" customHeight="1" outlineLevel="1">
      <c r="A443" s="24">
        <f>IF(9&lt;=DAY(DATE(YEAR(설정_코스수당!$K$2),MONTH(설정_코스수당!$K$2)+1,0)),DATE(YEAR(설정_코스수당!$K$2),MONTH(설정_코스수당!$K$2),9),"")</f>
        <v>46182</v>
      </c>
      <c r="B443" s="23" t="s">
        <v>183</v>
      </c>
      <c r="C443" s="29"/>
      <c r="D443" s="29"/>
      <c r="E443" s="29" t="str">
        <f t="shared" si="57"/>
        <v/>
      </c>
      <c r="F443" s="29">
        <f>COUNTIFS(실시간콜입력!$B:$B,$A443,실시간콜입력!$E:$E,"A",실시간콜입력!$G:$G,$B443,실시간콜입력!$O:$O,"방문완료")+COUNTIFS(실시간콜입력!$B:$B,$A443,실시간콜입력!$E:$E,"A",실시간콜입력!$H:$H,$B443,실시간콜입력!$O:$O,"방문완료")</f>
        <v>0</v>
      </c>
      <c r="G443" s="29">
        <f>COUNTIFS(실시간콜입력!$B:$B,$A443,실시간콜입력!$E:$E,"B",실시간콜입력!$G:$G,$B443,실시간콜입력!$O:$O,"방문완료")+COUNTIFS(실시간콜입력!$B:$B,$A443,실시간콜입력!$E:$E,"B",실시간콜입력!$H:$H,$B443,실시간콜입력!$O:$O,"방문완료")</f>
        <v>0</v>
      </c>
      <c r="H443" s="29">
        <f>COUNTIFS(실시간콜입력!$B:$B,$A443,실시간콜입력!$E:$E,"C",실시간콜입력!$G:$G,$B443,실시간콜입력!$O:$O,"방문완료")+COUNTIFS(실시간콜입력!$B:$B,$A443,실시간콜입력!$E:$E,"C",실시간콜입력!$H:$H,$B443,실시간콜입력!$O:$O,"방문완료")</f>
        <v>0</v>
      </c>
      <c r="I443" s="29">
        <f>COUNTIFS(실시간콜입력!$B:$B,$A443,실시간콜입력!$E:$E,"D",실시간콜입력!$G:$G,$B443,실시간콜입력!$O:$O,"방문완료")+COUNTIFS(실시간콜입력!$B:$B,$A443,실시간콜입력!$E:$E,"D",실시간콜입력!$H:$H,$B443,실시간콜입력!$O:$O,"방문완료")</f>
        <v>0</v>
      </c>
      <c r="J443" s="29">
        <f>COUNTIFS(실시간콜입력!$B:$B,$A443,실시간콜입력!$E:$E,"E",실시간콜입력!$G:$G,$B443,실시간콜입력!$O:$O,"방문완료")+COUNTIFS(실시간콜입력!$B:$B,$A443,실시간콜입력!$E:$E,"E",실시간콜입력!$H:$H,$B443,실시간콜입력!$O:$O,"방문완료")</f>
        <v>0</v>
      </c>
      <c r="K443" s="29">
        <f t="shared" si="58"/>
        <v>0</v>
      </c>
      <c r="L443" s="27">
        <f>SUMIFS(실시간콜입력!$K:$K,실시간콜입력!$B:$B,$A443,실시간콜입력!$G:$G,$B443,실시간콜입력!$O:$O,"방문완료")+SUMIFS(실시간콜입력!$L:$L,실시간콜입력!$B:$B,$A443,실시간콜입력!$H:$H,$B443,실시간콜입력!$O:$O,"방문완료")</f>
        <v>0</v>
      </c>
      <c r="M443" s="29" t="str">
        <f t="shared" si="59"/>
        <v/>
      </c>
      <c r="N443" s="29"/>
    </row>
    <row r="444" spans="1:14" ht="19.5" hidden="1" customHeight="1" outlineLevel="1">
      <c r="A444" s="30">
        <f>IF(9&lt;=DAY(DATE(YEAR(설정_코스수당!$K$2),MONTH(설정_코스수당!$K$2)+1,0)),DATE(YEAR(설정_코스수당!$K$2),MONTH(설정_코스수당!$K$2),9),"")</f>
        <v>46182</v>
      </c>
      <c r="B444" s="29" t="s">
        <v>184</v>
      </c>
      <c r="C444" s="29"/>
      <c r="D444" s="29"/>
      <c r="E444" s="29" t="str">
        <f t="shared" si="57"/>
        <v/>
      </c>
      <c r="F444" s="29">
        <f>COUNTIFS(실시간콜입력!$B:$B,$A444,실시간콜입력!$E:$E,"A",실시간콜입력!$G:$G,$B444,실시간콜입력!$O:$O,"방문완료")+COUNTIFS(실시간콜입력!$B:$B,$A444,실시간콜입력!$E:$E,"A",실시간콜입력!$H:$H,$B444,실시간콜입력!$O:$O,"방문완료")</f>
        <v>0</v>
      </c>
      <c r="G444" s="29">
        <f>COUNTIFS(실시간콜입력!$B:$B,$A444,실시간콜입력!$E:$E,"B",실시간콜입력!$G:$G,$B444,실시간콜입력!$O:$O,"방문완료")+COUNTIFS(실시간콜입력!$B:$B,$A444,실시간콜입력!$E:$E,"B",실시간콜입력!$H:$H,$B444,실시간콜입력!$O:$O,"방문완료")</f>
        <v>0</v>
      </c>
      <c r="H444" s="29">
        <f>COUNTIFS(실시간콜입력!$B:$B,$A444,실시간콜입력!$E:$E,"C",실시간콜입력!$G:$G,$B444,실시간콜입력!$O:$O,"방문완료")+COUNTIFS(실시간콜입력!$B:$B,$A444,실시간콜입력!$E:$E,"C",실시간콜입력!$H:$H,$B444,실시간콜입력!$O:$O,"방문완료")</f>
        <v>0</v>
      </c>
      <c r="I444" s="29">
        <f>COUNTIFS(실시간콜입력!$B:$B,$A444,실시간콜입력!$E:$E,"D",실시간콜입력!$G:$G,$B444,실시간콜입력!$O:$O,"방문완료")+COUNTIFS(실시간콜입력!$B:$B,$A444,실시간콜입력!$E:$E,"D",실시간콜입력!$H:$H,$B444,실시간콜입력!$O:$O,"방문완료")</f>
        <v>0</v>
      </c>
      <c r="J444" s="29">
        <f>COUNTIFS(실시간콜입력!$B:$B,$A444,실시간콜입력!$E:$E,"E",실시간콜입력!$G:$G,$B444,실시간콜입력!$O:$O,"방문완료")+COUNTIFS(실시간콜입력!$B:$B,$A444,실시간콜입력!$E:$E,"E",실시간콜입력!$H:$H,$B444,실시간콜입력!$O:$O,"방문완료")</f>
        <v>0</v>
      </c>
      <c r="K444" s="29">
        <f t="shared" si="58"/>
        <v>0</v>
      </c>
      <c r="L444" s="33">
        <f>SUMIFS(실시간콜입력!$K:$K,실시간콜입력!$B:$B,$A444,실시간콜입력!$G:$G,$B444,실시간콜입력!$O:$O,"방문완료")+SUMIFS(실시간콜입력!$L:$L,실시간콜입력!$B:$B,$A444,실시간콜입력!$H:$H,$B444,실시간콜입력!$O:$O,"방문완료")</f>
        <v>0</v>
      </c>
      <c r="M444" s="29" t="str">
        <f t="shared" si="59"/>
        <v/>
      </c>
      <c r="N444" s="29"/>
    </row>
    <row r="445" spans="1:14" ht="19.5" hidden="1" customHeight="1" outlineLevel="1">
      <c r="A445" s="24">
        <f>IF(9&lt;=DAY(DATE(YEAR(설정_코스수당!$K$2),MONTH(설정_코스수당!$K$2)+1,0)),DATE(YEAR(설정_코스수당!$K$2),MONTH(설정_코스수당!$K$2),9),"")</f>
        <v>46182</v>
      </c>
      <c r="B445" s="23" t="s">
        <v>185</v>
      </c>
      <c r="C445" s="29"/>
      <c r="D445" s="29"/>
      <c r="E445" s="29" t="str">
        <f t="shared" si="57"/>
        <v/>
      </c>
      <c r="F445" s="29">
        <f>COUNTIFS(실시간콜입력!$B:$B,$A445,실시간콜입력!$E:$E,"A",실시간콜입력!$G:$G,$B445,실시간콜입력!$O:$O,"방문완료")+COUNTIFS(실시간콜입력!$B:$B,$A445,실시간콜입력!$E:$E,"A",실시간콜입력!$H:$H,$B445,실시간콜입력!$O:$O,"방문완료")</f>
        <v>0</v>
      </c>
      <c r="G445" s="29">
        <f>COUNTIFS(실시간콜입력!$B:$B,$A445,실시간콜입력!$E:$E,"B",실시간콜입력!$G:$G,$B445,실시간콜입력!$O:$O,"방문완료")+COUNTIFS(실시간콜입력!$B:$B,$A445,실시간콜입력!$E:$E,"B",실시간콜입력!$H:$H,$B445,실시간콜입력!$O:$O,"방문완료")</f>
        <v>0</v>
      </c>
      <c r="H445" s="29">
        <f>COUNTIFS(실시간콜입력!$B:$B,$A445,실시간콜입력!$E:$E,"C",실시간콜입력!$G:$G,$B445,실시간콜입력!$O:$O,"방문완료")+COUNTIFS(실시간콜입력!$B:$B,$A445,실시간콜입력!$E:$E,"C",실시간콜입력!$H:$H,$B445,실시간콜입력!$O:$O,"방문완료")</f>
        <v>0</v>
      </c>
      <c r="I445" s="29">
        <f>COUNTIFS(실시간콜입력!$B:$B,$A445,실시간콜입력!$E:$E,"D",실시간콜입력!$G:$G,$B445,실시간콜입력!$O:$O,"방문완료")+COUNTIFS(실시간콜입력!$B:$B,$A445,실시간콜입력!$E:$E,"D",실시간콜입력!$H:$H,$B445,실시간콜입력!$O:$O,"방문완료")</f>
        <v>0</v>
      </c>
      <c r="J445" s="29">
        <f>COUNTIFS(실시간콜입력!$B:$B,$A445,실시간콜입력!$E:$E,"E",실시간콜입력!$G:$G,$B445,실시간콜입력!$O:$O,"방문완료")+COUNTIFS(실시간콜입력!$B:$B,$A445,실시간콜입력!$E:$E,"E",실시간콜입력!$H:$H,$B445,실시간콜입력!$O:$O,"방문완료")</f>
        <v>0</v>
      </c>
      <c r="K445" s="29">
        <f t="shared" si="58"/>
        <v>0</v>
      </c>
      <c r="L445" s="27">
        <f>SUMIFS(실시간콜입력!$K:$K,실시간콜입력!$B:$B,$A445,실시간콜입력!$G:$G,$B445,실시간콜입력!$O:$O,"방문완료")+SUMIFS(실시간콜입력!$L:$L,실시간콜입력!$B:$B,$A445,실시간콜입력!$H:$H,$B445,실시간콜입력!$O:$O,"방문완료")</f>
        <v>0</v>
      </c>
      <c r="M445" s="29" t="str">
        <f t="shared" si="59"/>
        <v/>
      </c>
      <c r="N445" s="29"/>
    </row>
    <row r="446" spans="1:14" ht="19.5" hidden="1" customHeight="1" outlineLevel="1">
      <c r="A446" s="30">
        <f>IF(9&lt;=DAY(DATE(YEAR(설정_코스수당!$K$2),MONTH(설정_코스수당!$K$2)+1,0)),DATE(YEAR(설정_코스수당!$K$2),MONTH(설정_코스수당!$K$2),9),"")</f>
        <v>46182</v>
      </c>
      <c r="B446" s="29" t="s">
        <v>186</v>
      </c>
      <c r="C446" s="29"/>
      <c r="D446" s="29"/>
      <c r="E446" s="29" t="str">
        <f t="shared" si="57"/>
        <v/>
      </c>
      <c r="F446" s="29">
        <f>COUNTIFS(실시간콜입력!$B:$B,$A446,실시간콜입력!$E:$E,"A",실시간콜입력!$G:$G,$B446,실시간콜입력!$O:$O,"방문완료")+COUNTIFS(실시간콜입력!$B:$B,$A446,실시간콜입력!$E:$E,"A",실시간콜입력!$H:$H,$B446,실시간콜입력!$O:$O,"방문완료")</f>
        <v>0</v>
      </c>
      <c r="G446" s="29">
        <f>COUNTIFS(실시간콜입력!$B:$B,$A446,실시간콜입력!$E:$E,"B",실시간콜입력!$G:$G,$B446,실시간콜입력!$O:$O,"방문완료")+COUNTIFS(실시간콜입력!$B:$B,$A446,실시간콜입력!$E:$E,"B",실시간콜입력!$H:$H,$B446,실시간콜입력!$O:$O,"방문완료")</f>
        <v>0</v>
      </c>
      <c r="H446" s="29">
        <f>COUNTIFS(실시간콜입력!$B:$B,$A446,실시간콜입력!$E:$E,"C",실시간콜입력!$G:$G,$B446,실시간콜입력!$O:$O,"방문완료")+COUNTIFS(실시간콜입력!$B:$B,$A446,실시간콜입력!$E:$E,"C",실시간콜입력!$H:$H,$B446,실시간콜입력!$O:$O,"방문완료")</f>
        <v>0</v>
      </c>
      <c r="I446" s="29">
        <f>COUNTIFS(실시간콜입력!$B:$B,$A446,실시간콜입력!$E:$E,"D",실시간콜입력!$G:$G,$B446,실시간콜입력!$O:$O,"방문완료")+COUNTIFS(실시간콜입력!$B:$B,$A446,실시간콜입력!$E:$E,"D",실시간콜입력!$H:$H,$B446,실시간콜입력!$O:$O,"방문완료")</f>
        <v>0</v>
      </c>
      <c r="J446" s="29">
        <f>COUNTIFS(실시간콜입력!$B:$B,$A446,실시간콜입력!$E:$E,"E",실시간콜입력!$G:$G,$B446,실시간콜입력!$O:$O,"방문완료")+COUNTIFS(실시간콜입력!$B:$B,$A446,실시간콜입력!$E:$E,"E",실시간콜입력!$H:$H,$B446,실시간콜입력!$O:$O,"방문완료")</f>
        <v>0</v>
      </c>
      <c r="K446" s="29">
        <f t="shared" si="58"/>
        <v>0</v>
      </c>
      <c r="L446" s="33">
        <f>SUMIFS(실시간콜입력!$K:$K,실시간콜입력!$B:$B,$A446,실시간콜입력!$G:$G,$B446,실시간콜입력!$O:$O,"방문완료")+SUMIFS(실시간콜입력!$L:$L,실시간콜입력!$B:$B,$A446,실시간콜입력!$H:$H,$B446,실시간콜입력!$O:$O,"방문완료")</f>
        <v>0</v>
      </c>
      <c r="M446" s="29" t="str">
        <f t="shared" si="59"/>
        <v/>
      </c>
      <c r="N446" s="29"/>
    </row>
    <row r="447" spans="1:14" ht="19.5" hidden="1" customHeight="1" outlineLevel="1">
      <c r="A447" s="24">
        <f>IF(9&lt;=DAY(DATE(YEAR(설정_코스수당!$K$2),MONTH(설정_코스수당!$K$2)+1,0)),DATE(YEAR(설정_코스수당!$K$2),MONTH(설정_코스수당!$K$2),9),"")</f>
        <v>46182</v>
      </c>
      <c r="B447" s="23" t="s">
        <v>187</v>
      </c>
      <c r="C447" s="29"/>
      <c r="D447" s="29"/>
      <c r="E447" s="29" t="str">
        <f t="shared" si="57"/>
        <v/>
      </c>
      <c r="F447" s="29">
        <f>COUNTIFS(실시간콜입력!$B:$B,$A447,실시간콜입력!$E:$E,"A",실시간콜입력!$G:$G,$B447,실시간콜입력!$O:$O,"방문완료")+COUNTIFS(실시간콜입력!$B:$B,$A447,실시간콜입력!$E:$E,"A",실시간콜입력!$H:$H,$B447,실시간콜입력!$O:$O,"방문완료")</f>
        <v>0</v>
      </c>
      <c r="G447" s="29">
        <f>COUNTIFS(실시간콜입력!$B:$B,$A447,실시간콜입력!$E:$E,"B",실시간콜입력!$G:$G,$B447,실시간콜입력!$O:$O,"방문완료")+COUNTIFS(실시간콜입력!$B:$B,$A447,실시간콜입력!$E:$E,"B",실시간콜입력!$H:$H,$B447,실시간콜입력!$O:$O,"방문완료")</f>
        <v>0</v>
      </c>
      <c r="H447" s="29">
        <f>COUNTIFS(실시간콜입력!$B:$B,$A447,실시간콜입력!$E:$E,"C",실시간콜입력!$G:$G,$B447,실시간콜입력!$O:$O,"방문완료")+COUNTIFS(실시간콜입력!$B:$B,$A447,실시간콜입력!$E:$E,"C",실시간콜입력!$H:$H,$B447,실시간콜입력!$O:$O,"방문완료")</f>
        <v>0</v>
      </c>
      <c r="I447" s="29">
        <f>COUNTIFS(실시간콜입력!$B:$B,$A447,실시간콜입력!$E:$E,"D",실시간콜입력!$G:$G,$B447,실시간콜입력!$O:$O,"방문완료")+COUNTIFS(실시간콜입력!$B:$B,$A447,실시간콜입력!$E:$E,"D",실시간콜입력!$H:$H,$B447,실시간콜입력!$O:$O,"방문완료")</f>
        <v>0</v>
      </c>
      <c r="J447" s="29">
        <f>COUNTIFS(실시간콜입력!$B:$B,$A447,실시간콜입력!$E:$E,"E",실시간콜입력!$G:$G,$B447,실시간콜입력!$O:$O,"방문완료")+COUNTIFS(실시간콜입력!$B:$B,$A447,실시간콜입력!$E:$E,"E",실시간콜입력!$H:$H,$B447,실시간콜입력!$O:$O,"방문완료")</f>
        <v>0</v>
      </c>
      <c r="K447" s="29">
        <f t="shared" si="58"/>
        <v>0</v>
      </c>
      <c r="L447" s="27">
        <f>SUMIFS(실시간콜입력!$K:$K,실시간콜입력!$B:$B,$A447,실시간콜입력!$G:$G,$B447,실시간콜입력!$O:$O,"방문완료")+SUMIFS(실시간콜입력!$L:$L,실시간콜입력!$B:$B,$A447,실시간콜입력!$H:$H,$B447,실시간콜입력!$O:$O,"방문완료")</f>
        <v>0</v>
      </c>
      <c r="M447" s="29" t="str">
        <f t="shared" si="59"/>
        <v/>
      </c>
      <c r="N447" s="29"/>
    </row>
    <row r="448" spans="1:14" ht="19.5" hidden="1" customHeight="1" outlineLevel="1">
      <c r="A448" s="30">
        <f>IF(9&lt;=DAY(DATE(YEAR(설정_코스수당!$K$2),MONTH(설정_코스수당!$K$2)+1,0)),DATE(YEAR(설정_코스수당!$K$2),MONTH(설정_코스수당!$K$2),9),"")</f>
        <v>46182</v>
      </c>
      <c r="B448" s="29" t="s">
        <v>188</v>
      </c>
      <c r="C448" s="29"/>
      <c r="D448" s="29"/>
      <c r="E448" s="29" t="str">
        <f t="shared" si="57"/>
        <v/>
      </c>
      <c r="F448" s="29">
        <f>COUNTIFS(실시간콜입력!$B:$B,$A448,실시간콜입력!$E:$E,"A",실시간콜입력!$G:$G,$B448,실시간콜입력!$O:$O,"방문완료")+COUNTIFS(실시간콜입력!$B:$B,$A448,실시간콜입력!$E:$E,"A",실시간콜입력!$H:$H,$B448,실시간콜입력!$O:$O,"방문완료")</f>
        <v>0</v>
      </c>
      <c r="G448" s="29">
        <f>COUNTIFS(실시간콜입력!$B:$B,$A448,실시간콜입력!$E:$E,"B",실시간콜입력!$G:$G,$B448,실시간콜입력!$O:$O,"방문완료")+COUNTIFS(실시간콜입력!$B:$B,$A448,실시간콜입력!$E:$E,"B",실시간콜입력!$H:$H,$B448,실시간콜입력!$O:$O,"방문완료")</f>
        <v>0</v>
      </c>
      <c r="H448" s="29">
        <f>COUNTIFS(실시간콜입력!$B:$B,$A448,실시간콜입력!$E:$E,"C",실시간콜입력!$G:$G,$B448,실시간콜입력!$O:$O,"방문완료")+COUNTIFS(실시간콜입력!$B:$B,$A448,실시간콜입력!$E:$E,"C",실시간콜입력!$H:$H,$B448,실시간콜입력!$O:$O,"방문완료")</f>
        <v>0</v>
      </c>
      <c r="I448" s="29">
        <f>COUNTIFS(실시간콜입력!$B:$B,$A448,실시간콜입력!$E:$E,"D",실시간콜입력!$G:$G,$B448,실시간콜입력!$O:$O,"방문완료")+COUNTIFS(실시간콜입력!$B:$B,$A448,실시간콜입력!$E:$E,"D",실시간콜입력!$H:$H,$B448,실시간콜입력!$O:$O,"방문완료")</f>
        <v>0</v>
      </c>
      <c r="J448" s="29">
        <f>COUNTIFS(실시간콜입력!$B:$B,$A448,실시간콜입력!$E:$E,"E",실시간콜입력!$G:$G,$B448,실시간콜입력!$O:$O,"방문완료")+COUNTIFS(실시간콜입력!$B:$B,$A448,실시간콜입력!$E:$E,"E",실시간콜입력!$H:$H,$B448,실시간콜입력!$O:$O,"방문완료")</f>
        <v>0</v>
      </c>
      <c r="K448" s="29">
        <f t="shared" si="58"/>
        <v>0</v>
      </c>
      <c r="L448" s="33">
        <f>SUMIFS(실시간콜입력!$K:$K,실시간콜입력!$B:$B,$A448,실시간콜입력!$G:$G,$B448,실시간콜입력!$O:$O,"방문완료")+SUMIFS(실시간콜입력!$L:$L,실시간콜입력!$B:$B,$A448,실시간콜입력!$H:$H,$B448,실시간콜입력!$O:$O,"방문완료")</f>
        <v>0</v>
      </c>
      <c r="M448" s="29" t="str">
        <f t="shared" si="59"/>
        <v/>
      </c>
      <c r="N448" s="29"/>
    </row>
    <row r="449" spans="1:14" ht="19.5" hidden="1" customHeight="1" outlineLevel="1">
      <c r="A449" s="24">
        <f>IF(9&lt;=DAY(DATE(YEAR(설정_코스수당!$K$2),MONTH(설정_코스수당!$K$2)+1,0)),DATE(YEAR(설정_코스수당!$K$2),MONTH(설정_코스수당!$K$2),9),"")</f>
        <v>46182</v>
      </c>
      <c r="B449" s="23" t="s">
        <v>189</v>
      </c>
      <c r="C449" s="29"/>
      <c r="D449" s="29"/>
      <c r="E449" s="29" t="str">
        <f t="shared" si="57"/>
        <v/>
      </c>
      <c r="F449" s="29">
        <f>COUNTIFS(실시간콜입력!$B:$B,$A449,실시간콜입력!$E:$E,"A",실시간콜입력!$G:$G,$B449,실시간콜입력!$O:$O,"방문완료")+COUNTIFS(실시간콜입력!$B:$B,$A449,실시간콜입력!$E:$E,"A",실시간콜입력!$H:$H,$B449,실시간콜입력!$O:$O,"방문완료")</f>
        <v>0</v>
      </c>
      <c r="G449" s="29">
        <f>COUNTIFS(실시간콜입력!$B:$B,$A449,실시간콜입력!$E:$E,"B",실시간콜입력!$G:$G,$B449,실시간콜입력!$O:$O,"방문완료")+COUNTIFS(실시간콜입력!$B:$B,$A449,실시간콜입력!$E:$E,"B",실시간콜입력!$H:$H,$B449,실시간콜입력!$O:$O,"방문완료")</f>
        <v>0</v>
      </c>
      <c r="H449" s="29">
        <f>COUNTIFS(실시간콜입력!$B:$B,$A449,실시간콜입력!$E:$E,"C",실시간콜입력!$G:$G,$B449,실시간콜입력!$O:$O,"방문완료")+COUNTIFS(실시간콜입력!$B:$B,$A449,실시간콜입력!$E:$E,"C",실시간콜입력!$H:$H,$B449,실시간콜입력!$O:$O,"방문완료")</f>
        <v>0</v>
      </c>
      <c r="I449" s="29">
        <f>COUNTIFS(실시간콜입력!$B:$B,$A449,실시간콜입력!$E:$E,"D",실시간콜입력!$G:$G,$B449,실시간콜입력!$O:$O,"방문완료")+COUNTIFS(실시간콜입력!$B:$B,$A449,실시간콜입력!$E:$E,"D",실시간콜입력!$H:$H,$B449,실시간콜입력!$O:$O,"방문완료")</f>
        <v>0</v>
      </c>
      <c r="J449" s="29">
        <f>COUNTIFS(실시간콜입력!$B:$B,$A449,실시간콜입력!$E:$E,"E",실시간콜입력!$G:$G,$B449,실시간콜입력!$O:$O,"방문완료")+COUNTIFS(실시간콜입력!$B:$B,$A449,실시간콜입력!$E:$E,"E",실시간콜입력!$H:$H,$B449,실시간콜입력!$O:$O,"방문완료")</f>
        <v>0</v>
      </c>
      <c r="K449" s="29">
        <f t="shared" si="58"/>
        <v>0</v>
      </c>
      <c r="L449" s="27">
        <f>SUMIFS(실시간콜입력!$K:$K,실시간콜입력!$B:$B,$A449,실시간콜입력!$G:$G,$B449,실시간콜입력!$O:$O,"방문완료")+SUMIFS(실시간콜입력!$L:$L,실시간콜입력!$B:$B,$A449,실시간콜입력!$H:$H,$B449,실시간콜입력!$O:$O,"방문완료")</f>
        <v>0</v>
      </c>
      <c r="M449" s="29" t="str">
        <f t="shared" si="59"/>
        <v/>
      </c>
      <c r="N449" s="29"/>
    </row>
    <row r="450" spans="1:14" ht="19.5" hidden="1" customHeight="1" outlineLevel="1">
      <c r="A450" s="30">
        <f>IF(9&lt;=DAY(DATE(YEAR(설정_코스수당!$K$2),MONTH(설정_코스수당!$K$2)+1,0)),DATE(YEAR(설정_코스수당!$K$2),MONTH(설정_코스수당!$K$2),9),"")</f>
        <v>46182</v>
      </c>
      <c r="B450" s="29" t="s">
        <v>190</v>
      </c>
      <c r="C450" s="29"/>
      <c r="D450" s="29"/>
      <c r="E450" s="29" t="str">
        <f t="shared" si="57"/>
        <v/>
      </c>
      <c r="F450" s="29">
        <f>COUNTIFS(실시간콜입력!$B:$B,$A450,실시간콜입력!$E:$E,"A",실시간콜입력!$G:$G,$B450,실시간콜입력!$O:$O,"방문완료")+COUNTIFS(실시간콜입력!$B:$B,$A450,실시간콜입력!$E:$E,"A",실시간콜입력!$H:$H,$B450,실시간콜입력!$O:$O,"방문완료")</f>
        <v>0</v>
      </c>
      <c r="G450" s="29">
        <f>COUNTIFS(실시간콜입력!$B:$B,$A450,실시간콜입력!$E:$E,"B",실시간콜입력!$G:$G,$B450,실시간콜입력!$O:$O,"방문완료")+COUNTIFS(실시간콜입력!$B:$B,$A450,실시간콜입력!$E:$E,"B",실시간콜입력!$H:$H,$B450,실시간콜입력!$O:$O,"방문완료")</f>
        <v>0</v>
      </c>
      <c r="H450" s="29">
        <f>COUNTIFS(실시간콜입력!$B:$B,$A450,실시간콜입력!$E:$E,"C",실시간콜입력!$G:$G,$B450,실시간콜입력!$O:$O,"방문완료")+COUNTIFS(실시간콜입력!$B:$B,$A450,실시간콜입력!$E:$E,"C",실시간콜입력!$H:$H,$B450,실시간콜입력!$O:$O,"방문완료")</f>
        <v>0</v>
      </c>
      <c r="I450" s="29">
        <f>COUNTIFS(실시간콜입력!$B:$B,$A450,실시간콜입력!$E:$E,"D",실시간콜입력!$G:$G,$B450,실시간콜입력!$O:$O,"방문완료")+COUNTIFS(실시간콜입력!$B:$B,$A450,실시간콜입력!$E:$E,"D",실시간콜입력!$H:$H,$B450,실시간콜입력!$O:$O,"방문완료")</f>
        <v>0</v>
      </c>
      <c r="J450" s="29">
        <f>COUNTIFS(실시간콜입력!$B:$B,$A450,실시간콜입력!$E:$E,"E",실시간콜입력!$G:$G,$B450,실시간콜입력!$O:$O,"방문완료")+COUNTIFS(실시간콜입력!$B:$B,$A450,실시간콜입력!$E:$E,"E",실시간콜입력!$H:$H,$B450,실시간콜입력!$O:$O,"방문완료")</f>
        <v>0</v>
      </c>
      <c r="K450" s="29">
        <f t="shared" si="58"/>
        <v>0</v>
      </c>
      <c r="L450" s="33">
        <f>SUMIFS(실시간콜입력!$K:$K,실시간콜입력!$B:$B,$A450,실시간콜입력!$G:$G,$B450,실시간콜입력!$O:$O,"방문완료")+SUMIFS(실시간콜입력!$L:$L,실시간콜입력!$B:$B,$A450,실시간콜입력!$H:$H,$B450,실시간콜입력!$O:$O,"방문완료")</f>
        <v>0</v>
      </c>
      <c r="M450" s="29" t="str">
        <f t="shared" si="59"/>
        <v/>
      </c>
      <c r="N450" s="29"/>
    </row>
    <row r="451" spans="1:14" ht="19.5" hidden="1" customHeight="1" outlineLevel="1">
      <c r="A451" s="24">
        <f>IF(9&lt;=DAY(DATE(YEAR(설정_코스수당!$K$2),MONTH(설정_코스수당!$K$2)+1,0)),DATE(YEAR(설정_코스수당!$K$2),MONTH(설정_코스수당!$K$2),9),"")</f>
        <v>46182</v>
      </c>
      <c r="B451" s="23" t="s">
        <v>191</v>
      </c>
      <c r="C451" s="29"/>
      <c r="D451" s="29"/>
      <c r="E451" s="29" t="str">
        <f t="shared" si="57"/>
        <v/>
      </c>
      <c r="F451" s="29">
        <f>COUNTIFS(실시간콜입력!$B:$B,$A451,실시간콜입력!$E:$E,"A",실시간콜입력!$G:$G,$B451,실시간콜입력!$O:$O,"방문완료")+COUNTIFS(실시간콜입력!$B:$B,$A451,실시간콜입력!$E:$E,"A",실시간콜입력!$H:$H,$B451,실시간콜입력!$O:$O,"방문완료")</f>
        <v>0</v>
      </c>
      <c r="G451" s="29">
        <f>COUNTIFS(실시간콜입력!$B:$B,$A451,실시간콜입력!$E:$E,"B",실시간콜입력!$G:$G,$B451,실시간콜입력!$O:$O,"방문완료")+COUNTIFS(실시간콜입력!$B:$B,$A451,실시간콜입력!$E:$E,"B",실시간콜입력!$H:$H,$B451,실시간콜입력!$O:$O,"방문완료")</f>
        <v>0</v>
      </c>
      <c r="H451" s="29">
        <f>COUNTIFS(실시간콜입력!$B:$B,$A451,실시간콜입력!$E:$E,"C",실시간콜입력!$G:$G,$B451,실시간콜입력!$O:$O,"방문완료")+COUNTIFS(실시간콜입력!$B:$B,$A451,실시간콜입력!$E:$E,"C",실시간콜입력!$H:$H,$B451,실시간콜입력!$O:$O,"방문완료")</f>
        <v>0</v>
      </c>
      <c r="I451" s="29">
        <f>COUNTIFS(실시간콜입력!$B:$B,$A451,실시간콜입력!$E:$E,"D",실시간콜입력!$G:$G,$B451,실시간콜입력!$O:$O,"방문완료")+COUNTIFS(실시간콜입력!$B:$B,$A451,실시간콜입력!$E:$E,"D",실시간콜입력!$H:$H,$B451,실시간콜입력!$O:$O,"방문완료")</f>
        <v>0</v>
      </c>
      <c r="J451" s="29">
        <f>COUNTIFS(실시간콜입력!$B:$B,$A451,실시간콜입력!$E:$E,"E",실시간콜입력!$G:$G,$B451,실시간콜입력!$O:$O,"방문완료")+COUNTIFS(실시간콜입력!$B:$B,$A451,실시간콜입력!$E:$E,"E",실시간콜입력!$H:$H,$B451,실시간콜입력!$O:$O,"방문완료")</f>
        <v>0</v>
      </c>
      <c r="K451" s="29">
        <f t="shared" si="58"/>
        <v>0</v>
      </c>
      <c r="L451" s="27">
        <f>SUMIFS(실시간콜입력!$K:$K,실시간콜입력!$B:$B,$A451,실시간콜입력!$G:$G,$B451,실시간콜입력!$O:$O,"방문완료")+SUMIFS(실시간콜입력!$L:$L,실시간콜입력!$B:$B,$A451,실시간콜입력!$H:$H,$B451,실시간콜입력!$O:$O,"방문완료")</f>
        <v>0</v>
      </c>
      <c r="M451" s="29" t="str">
        <f t="shared" si="59"/>
        <v/>
      </c>
      <c r="N451" s="29"/>
    </row>
    <row r="452" spans="1:14" ht="19.5" hidden="1" customHeight="1" outlineLevel="1">
      <c r="A452" s="30">
        <f>IF(9&lt;=DAY(DATE(YEAR(설정_코스수당!$K$2),MONTH(설정_코스수당!$K$2)+1,0)),DATE(YEAR(설정_코스수당!$K$2),MONTH(설정_코스수당!$K$2),9),"")</f>
        <v>46182</v>
      </c>
      <c r="B452" s="29" t="s">
        <v>192</v>
      </c>
      <c r="C452" s="29"/>
      <c r="D452" s="29"/>
      <c r="E452" s="29" t="str">
        <f t="shared" si="57"/>
        <v/>
      </c>
      <c r="F452" s="29">
        <f>COUNTIFS(실시간콜입력!$B:$B,$A452,실시간콜입력!$E:$E,"A",실시간콜입력!$G:$G,$B452,실시간콜입력!$O:$O,"방문완료")+COUNTIFS(실시간콜입력!$B:$B,$A452,실시간콜입력!$E:$E,"A",실시간콜입력!$H:$H,$B452,실시간콜입력!$O:$O,"방문완료")</f>
        <v>0</v>
      </c>
      <c r="G452" s="29">
        <f>COUNTIFS(실시간콜입력!$B:$B,$A452,실시간콜입력!$E:$E,"B",실시간콜입력!$G:$G,$B452,실시간콜입력!$O:$O,"방문완료")+COUNTIFS(실시간콜입력!$B:$B,$A452,실시간콜입력!$E:$E,"B",실시간콜입력!$H:$H,$B452,실시간콜입력!$O:$O,"방문완료")</f>
        <v>0</v>
      </c>
      <c r="H452" s="29">
        <f>COUNTIFS(실시간콜입력!$B:$B,$A452,실시간콜입력!$E:$E,"C",실시간콜입력!$G:$G,$B452,실시간콜입력!$O:$O,"방문완료")+COUNTIFS(실시간콜입력!$B:$B,$A452,실시간콜입력!$E:$E,"C",실시간콜입력!$H:$H,$B452,실시간콜입력!$O:$O,"방문완료")</f>
        <v>0</v>
      </c>
      <c r="I452" s="29">
        <f>COUNTIFS(실시간콜입력!$B:$B,$A452,실시간콜입력!$E:$E,"D",실시간콜입력!$G:$G,$B452,실시간콜입력!$O:$O,"방문완료")+COUNTIFS(실시간콜입력!$B:$B,$A452,실시간콜입력!$E:$E,"D",실시간콜입력!$H:$H,$B452,실시간콜입력!$O:$O,"방문완료")</f>
        <v>0</v>
      </c>
      <c r="J452" s="29">
        <f>COUNTIFS(실시간콜입력!$B:$B,$A452,실시간콜입력!$E:$E,"E",실시간콜입력!$G:$G,$B452,실시간콜입력!$O:$O,"방문완료")+COUNTIFS(실시간콜입력!$B:$B,$A452,실시간콜입력!$E:$E,"E",실시간콜입력!$H:$H,$B452,실시간콜입력!$O:$O,"방문완료")</f>
        <v>0</v>
      </c>
      <c r="K452" s="29">
        <f t="shared" si="58"/>
        <v>0</v>
      </c>
      <c r="L452" s="33">
        <f>SUMIFS(실시간콜입력!$K:$K,실시간콜입력!$B:$B,$A452,실시간콜입력!$G:$G,$B452,실시간콜입력!$O:$O,"방문완료")+SUMIFS(실시간콜입력!$L:$L,실시간콜입력!$B:$B,$A452,실시간콜입력!$H:$H,$B452,실시간콜입력!$O:$O,"방문완료")</f>
        <v>0</v>
      </c>
      <c r="M452" s="29" t="str">
        <f t="shared" si="59"/>
        <v/>
      </c>
      <c r="N452" s="29"/>
    </row>
    <row r="453" spans="1:14" ht="19.5" hidden="1" customHeight="1" outlineLevel="1">
      <c r="A453" s="24">
        <f>IF(9&lt;=DAY(DATE(YEAR(설정_코스수당!$K$2),MONTH(설정_코스수당!$K$2)+1,0)),DATE(YEAR(설정_코스수당!$K$2),MONTH(설정_코스수당!$K$2),9),"")</f>
        <v>46182</v>
      </c>
      <c r="B453" s="23" t="s">
        <v>193</v>
      </c>
      <c r="C453" s="29"/>
      <c r="D453" s="29"/>
      <c r="E453" s="29" t="str">
        <f t="shared" si="57"/>
        <v/>
      </c>
      <c r="F453" s="29">
        <f>COUNTIFS(실시간콜입력!$B:$B,$A453,실시간콜입력!$E:$E,"A",실시간콜입력!$G:$G,$B453,실시간콜입력!$O:$O,"방문완료")+COUNTIFS(실시간콜입력!$B:$B,$A453,실시간콜입력!$E:$E,"A",실시간콜입력!$H:$H,$B453,실시간콜입력!$O:$O,"방문완료")</f>
        <v>0</v>
      </c>
      <c r="G453" s="29">
        <f>COUNTIFS(실시간콜입력!$B:$B,$A453,실시간콜입력!$E:$E,"B",실시간콜입력!$G:$G,$B453,실시간콜입력!$O:$O,"방문완료")+COUNTIFS(실시간콜입력!$B:$B,$A453,실시간콜입력!$E:$E,"B",실시간콜입력!$H:$H,$B453,실시간콜입력!$O:$O,"방문완료")</f>
        <v>0</v>
      </c>
      <c r="H453" s="29">
        <f>COUNTIFS(실시간콜입력!$B:$B,$A453,실시간콜입력!$E:$E,"C",실시간콜입력!$G:$G,$B453,실시간콜입력!$O:$O,"방문완료")+COUNTIFS(실시간콜입력!$B:$B,$A453,실시간콜입력!$E:$E,"C",실시간콜입력!$H:$H,$B453,실시간콜입력!$O:$O,"방문완료")</f>
        <v>0</v>
      </c>
      <c r="I453" s="29">
        <f>COUNTIFS(실시간콜입력!$B:$B,$A453,실시간콜입력!$E:$E,"D",실시간콜입력!$G:$G,$B453,실시간콜입력!$O:$O,"방문완료")+COUNTIFS(실시간콜입력!$B:$B,$A453,실시간콜입력!$E:$E,"D",실시간콜입력!$H:$H,$B453,실시간콜입력!$O:$O,"방문완료")</f>
        <v>0</v>
      </c>
      <c r="J453" s="29">
        <f>COUNTIFS(실시간콜입력!$B:$B,$A453,실시간콜입력!$E:$E,"E",실시간콜입력!$G:$G,$B453,실시간콜입력!$O:$O,"방문완료")+COUNTIFS(실시간콜입력!$B:$B,$A453,실시간콜입력!$E:$E,"E",실시간콜입력!$H:$H,$B453,실시간콜입력!$O:$O,"방문완료")</f>
        <v>0</v>
      </c>
      <c r="K453" s="29">
        <f t="shared" si="58"/>
        <v>0</v>
      </c>
      <c r="L453" s="27">
        <f>SUMIFS(실시간콜입력!$K:$K,실시간콜입력!$B:$B,$A453,실시간콜입력!$G:$G,$B453,실시간콜입력!$O:$O,"방문완료")+SUMIFS(실시간콜입력!$L:$L,실시간콜입력!$B:$B,$A453,실시간콜입력!$H:$H,$B453,실시간콜입력!$O:$O,"방문완료")</f>
        <v>0</v>
      </c>
      <c r="M453" s="29" t="str">
        <f t="shared" si="59"/>
        <v/>
      </c>
      <c r="N453" s="29"/>
    </row>
    <row r="454" spans="1:14" ht="19.5" hidden="1" customHeight="1" outlineLevel="1">
      <c r="A454" s="30">
        <f>IF(9&lt;=DAY(DATE(YEAR(설정_코스수당!$K$2),MONTH(설정_코스수당!$K$2)+1,0)),DATE(YEAR(설정_코스수당!$K$2),MONTH(설정_코스수당!$K$2),9),"")</f>
        <v>46182</v>
      </c>
      <c r="B454" s="29" t="s">
        <v>194</v>
      </c>
      <c r="C454" s="29"/>
      <c r="D454" s="29"/>
      <c r="E454" s="29" t="str">
        <f t="shared" si="57"/>
        <v/>
      </c>
      <c r="F454" s="29">
        <f>COUNTIFS(실시간콜입력!$B:$B,$A454,실시간콜입력!$E:$E,"A",실시간콜입력!$G:$G,$B454,실시간콜입력!$O:$O,"방문완료")+COUNTIFS(실시간콜입력!$B:$B,$A454,실시간콜입력!$E:$E,"A",실시간콜입력!$H:$H,$B454,실시간콜입력!$O:$O,"방문완료")</f>
        <v>0</v>
      </c>
      <c r="G454" s="29">
        <f>COUNTIFS(실시간콜입력!$B:$B,$A454,실시간콜입력!$E:$E,"B",실시간콜입력!$G:$G,$B454,실시간콜입력!$O:$O,"방문완료")+COUNTIFS(실시간콜입력!$B:$B,$A454,실시간콜입력!$E:$E,"B",실시간콜입력!$H:$H,$B454,실시간콜입력!$O:$O,"방문완료")</f>
        <v>0</v>
      </c>
      <c r="H454" s="29">
        <f>COUNTIFS(실시간콜입력!$B:$B,$A454,실시간콜입력!$E:$E,"C",실시간콜입력!$G:$G,$B454,실시간콜입력!$O:$O,"방문완료")+COUNTIFS(실시간콜입력!$B:$B,$A454,실시간콜입력!$E:$E,"C",실시간콜입력!$H:$H,$B454,실시간콜입력!$O:$O,"방문완료")</f>
        <v>0</v>
      </c>
      <c r="I454" s="29">
        <f>COUNTIFS(실시간콜입력!$B:$B,$A454,실시간콜입력!$E:$E,"D",실시간콜입력!$G:$G,$B454,실시간콜입력!$O:$O,"방문완료")+COUNTIFS(실시간콜입력!$B:$B,$A454,실시간콜입력!$E:$E,"D",실시간콜입력!$H:$H,$B454,실시간콜입력!$O:$O,"방문완료")</f>
        <v>0</v>
      </c>
      <c r="J454" s="29">
        <f>COUNTIFS(실시간콜입력!$B:$B,$A454,실시간콜입력!$E:$E,"E",실시간콜입력!$G:$G,$B454,실시간콜입력!$O:$O,"방문완료")+COUNTIFS(실시간콜입력!$B:$B,$A454,실시간콜입력!$E:$E,"E",실시간콜입력!$H:$H,$B454,실시간콜입력!$O:$O,"방문완료")</f>
        <v>0</v>
      </c>
      <c r="K454" s="29">
        <f t="shared" si="58"/>
        <v>0</v>
      </c>
      <c r="L454" s="33">
        <f>SUMIFS(실시간콜입력!$K:$K,실시간콜입력!$B:$B,$A454,실시간콜입력!$G:$G,$B454,실시간콜입력!$O:$O,"방문완료")+SUMIFS(실시간콜입력!$L:$L,실시간콜입력!$B:$B,$A454,실시간콜입력!$H:$H,$B454,실시간콜입력!$O:$O,"방문완료")</f>
        <v>0</v>
      </c>
      <c r="M454" s="29" t="str">
        <f t="shared" si="59"/>
        <v/>
      </c>
      <c r="N454" s="29"/>
    </row>
    <row r="455" spans="1:14" ht="19.5" hidden="1" customHeight="1" outlineLevel="1">
      <c r="A455" s="24">
        <f>IF(9&lt;=DAY(DATE(YEAR(설정_코스수당!$K$2),MONTH(설정_코스수당!$K$2)+1,0)),DATE(YEAR(설정_코스수당!$K$2),MONTH(설정_코스수당!$K$2),9),"")</f>
        <v>46182</v>
      </c>
      <c r="B455" s="23" t="s">
        <v>195</v>
      </c>
      <c r="C455" s="29"/>
      <c r="D455" s="29"/>
      <c r="E455" s="29" t="str">
        <f t="shared" ref="E455:E486" si="60">IF(AND(C455&lt;&gt;"",D455&lt;&gt;""),IF(D455&lt;C455,D455+1-C455,D455-C455)*24,"")</f>
        <v/>
      </c>
      <c r="F455" s="29">
        <f>COUNTIFS(실시간콜입력!$B:$B,$A455,실시간콜입력!$E:$E,"A",실시간콜입력!$G:$G,$B455,실시간콜입력!$O:$O,"방문완료")+COUNTIFS(실시간콜입력!$B:$B,$A455,실시간콜입력!$E:$E,"A",실시간콜입력!$H:$H,$B455,실시간콜입력!$O:$O,"방문완료")</f>
        <v>0</v>
      </c>
      <c r="G455" s="29">
        <f>COUNTIFS(실시간콜입력!$B:$B,$A455,실시간콜입력!$E:$E,"B",실시간콜입력!$G:$G,$B455,실시간콜입력!$O:$O,"방문완료")+COUNTIFS(실시간콜입력!$B:$B,$A455,실시간콜입력!$E:$E,"B",실시간콜입력!$H:$H,$B455,실시간콜입력!$O:$O,"방문완료")</f>
        <v>0</v>
      </c>
      <c r="H455" s="29">
        <f>COUNTIFS(실시간콜입력!$B:$B,$A455,실시간콜입력!$E:$E,"C",실시간콜입력!$G:$G,$B455,실시간콜입력!$O:$O,"방문완료")+COUNTIFS(실시간콜입력!$B:$B,$A455,실시간콜입력!$E:$E,"C",실시간콜입력!$H:$H,$B455,실시간콜입력!$O:$O,"방문완료")</f>
        <v>0</v>
      </c>
      <c r="I455" s="29">
        <f>COUNTIFS(실시간콜입력!$B:$B,$A455,실시간콜입력!$E:$E,"D",실시간콜입력!$G:$G,$B455,실시간콜입력!$O:$O,"방문완료")+COUNTIFS(실시간콜입력!$B:$B,$A455,실시간콜입력!$E:$E,"D",실시간콜입력!$H:$H,$B455,실시간콜입력!$O:$O,"방문완료")</f>
        <v>0</v>
      </c>
      <c r="J455" s="29">
        <f>COUNTIFS(실시간콜입력!$B:$B,$A455,실시간콜입력!$E:$E,"E",실시간콜입력!$G:$G,$B455,실시간콜입력!$O:$O,"방문완료")+COUNTIFS(실시간콜입력!$B:$B,$A455,실시간콜입력!$E:$E,"E",실시간콜입력!$H:$H,$B455,실시간콜입력!$O:$O,"방문완료")</f>
        <v>0</v>
      </c>
      <c r="K455" s="29">
        <f t="shared" ref="K455:K486" si="61">SUM(F455:J455)</f>
        <v>0</v>
      </c>
      <c r="L455" s="27">
        <f>SUMIFS(실시간콜입력!$K:$K,실시간콜입력!$B:$B,$A455,실시간콜입력!$G:$G,$B455,실시간콜입력!$O:$O,"방문완료")+SUMIFS(실시간콜입력!$L:$L,실시간콜입력!$B:$B,$A455,실시간콜입력!$H:$H,$B455,실시간콜입력!$O:$O,"방문완료")</f>
        <v>0</v>
      </c>
      <c r="M455" s="29" t="str">
        <f t="shared" ref="M455:M472" si="62">IF(AND(ISNUMBER(E455),E455&gt;=8),"인정","")</f>
        <v/>
      </c>
      <c r="N455" s="29"/>
    </row>
    <row r="456" spans="1:14" ht="19.5" hidden="1" customHeight="1" outlineLevel="1">
      <c r="A456" s="30">
        <f>IF(9&lt;=DAY(DATE(YEAR(설정_코스수당!$K$2),MONTH(설정_코스수당!$K$2)+1,0)),DATE(YEAR(설정_코스수당!$K$2),MONTH(설정_코스수당!$K$2),9),"")</f>
        <v>46182</v>
      </c>
      <c r="B456" s="29" t="s">
        <v>196</v>
      </c>
      <c r="C456" s="29"/>
      <c r="D456" s="29"/>
      <c r="E456" s="29" t="str">
        <f t="shared" si="60"/>
        <v/>
      </c>
      <c r="F456" s="29">
        <f>COUNTIFS(실시간콜입력!$B:$B,$A456,실시간콜입력!$E:$E,"A",실시간콜입력!$G:$G,$B456,실시간콜입력!$O:$O,"방문완료")+COUNTIFS(실시간콜입력!$B:$B,$A456,실시간콜입력!$E:$E,"A",실시간콜입력!$H:$H,$B456,실시간콜입력!$O:$O,"방문완료")</f>
        <v>0</v>
      </c>
      <c r="G456" s="29">
        <f>COUNTIFS(실시간콜입력!$B:$B,$A456,실시간콜입력!$E:$E,"B",실시간콜입력!$G:$G,$B456,실시간콜입력!$O:$O,"방문완료")+COUNTIFS(실시간콜입력!$B:$B,$A456,실시간콜입력!$E:$E,"B",실시간콜입력!$H:$H,$B456,실시간콜입력!$O:$O,"방문완료")</f>
        <v>0</v>
      </c>
      <c r="H456" s="29">
        <f>COUNTIFS(실시간콜입력!$B:$B,$A456,실시간콜입력!$E:$E,"C",실시간콜입력!$G:$G,$B456,실시간콜입력!$O:$O,"방문완료")+COUNTIFS(실시간콜입력!$B:$B,$A456,실시간콜입력!$E:$E,"C",실시간콜입력!$H:$H,$B456,실시간콜입력!$O:$O,"방문완료")</f>
        <v>0</v>
      </c>
      <c r="I456" s="29">
        <f>COUNTIFS(실시간콜입력!$B:$B,$A456,실시간콜입력!$E:$E,"D",실시간콜입력!$G:$G,$B456,실시간콜입력!$O:$O,"방문완료")+COUNTIFS(실시간콜입력!$B:$B,$A456,실시간콜입력!$E:$E,"D",실시간콜입력!$H:$H,$B456,실시간콜입력!$O:$O,"방문완료")</f>
        <v>0</v>
      </c>
      <c r="J456" s="29">
        <f>COUNTIFS(실시간콜입력!$B:$B,$A456,실시간콜입력!$E:$E,"E",실시간콜입력!$G:$G,$B456,실시간콜입력!$O:$O,"방문완료")+COUNTIFS(실시간콜입력!$B:$B,$A456,실시간콜입력!$E:$E,"E",실시간콜입력!$H:$H,$B456,실시간콜입력!$O:$O,"방문완료")</f>
        <v>0</v>
      </c>
      <c r="K456" s="29">
        <f t="shared" si="61"/>
        <v>0</v>
      </c>
      <c r="L456" s="33">
        <f>SUMIFS(실시간콜입력!$K:$K,실시간콜입력!$B:$B,$A456,실시간콜입력!$G:$G,$B456,실시간콜입력!$O:$O,"방문완료")+SUMIFS(실시간콜입력!$L:$L,실시간콜입력!$B:$B,$A456,실시간콜입력!$H:$H,$B456,실시간콜입력!$O:$O,"방문완료")</f>
        <v>0</v>
      </c>
      <c r="M456" s="29" t="str">
        <f t="shared" si="62"/>
        <v/>
      </c>
      <c r="N456" s="29"/>
    </row>
    <row r="457" spans="1:14" ht="19.5" hidden="1" customHeight="1" outlineLevel="1">
      <c r="A457" s="24">
        <f>IF(9&lt;=DAY(DATE(YEAR(설정_코스수당!$K$2),MONTH(설정_코스수당!$K$2)+1,0)),DATE(YEAR(설정_코스수당!$K$2),MONTH(설정_코스수당!$K$2),9),"")</f>
        <v>46182</v>
      </c>
      <c r="B457" s="23" t="s">
        <v>197</v>
      </c>
      <c r="C457" s="29"/>
      <c r="D457" s="29"/>
      <c r="E457" s="29" t="str">
        <f t="shared" si="60"/>
        <v/>
      </c>
      <c r="F457" s="29">
        <f>COUNTIFS(실시간콜입력!$B:$B,$A457,실시간콜입력!$E:$E,"A",실시간콜입력!$G:$G,$B457,실시간콜입력!$O:$O,"방문완료")+COUNTIFS(실시간콜입력!$B:$B,$A457,실시간콜입력!$E:$E,"A",실시간콜입력!$H:$H,$B457,실시간콜입력!$O:$O,"방문완료")</f>
        <v>0</v>
      </c>
      <c r="G457" s="29">
        <f>COUNTIFS(실시간콜입력!$B:$B,$A457,실시간콜입력!$E:$E,"B",실시간콜입력!$G:$G,$B457,실시간콜입력!$O:$O,"방문완료")+COUNTIFS(실시간콜입력!$B:$B,$A457,실시간콜입력!$E:$E,"B",실시간콜입력!$H:$H,$B457,실시간콜입력!$O:$O,"방문완료")</f>
        <v>0</v>
      </c>
      <c r="H457" s="29">
        <f>COUNTIFS(실시간콜입력!$B:$B,$A457,실시간콜입력!$E:$E,"C",실시간콜입력!$G:$G,$B457,실시간콜입력!$O:$O,"방문완료")+COUNTIFS(실시간콜입력!$B:$B,$A457,실시간콜입력!$E:$E,"C",실시간콜입력!$H:$H,$B457,실시간콜입력!$O:$O,"방문완료")</f>
        <v>0</v>
      </c>
      <c r="I457" s="29">
        <f>COUNTIFS(실시간콜입력!$B:$B,$A457,실시간콜입력!$E:$E,"D",실시간콜입력!$G:$G,$B457,실시간콜입력!$O:$O,"방문완료")+COUNTIFS(실시간콜입력!$B:$B,$A457,실시간콜입력!$E:$E,"D",실시간콜입력!$H:$H,$B457,실시간콜입력!$O:$O,"방문완료")</f>
        <v>0</v>
      </c>
      <c r="J457" s="29">
        <f>COUNTIFS(실시간콜입력!$B:$B,$A457,실시간콜입력!$E:$E,"E",실시간콜입력!$G:$G,$B457,실시간콜입력!$O:$O,"방문완료")+COUNTIFS(실시간콜입력!$B:$B,$A457,실시간콜입력!$E:$E,"E",실시간콜입력!$H:$H,$B457,실시간콜입력!$O:$O,"방문완료")</f>
        <v>0</v>
      </c>
      <c r="K457" s="29">
        <f t="shared" si="61"/>
        <v>0</v>
      </c>
      <c r="L457" s="27">
        <f>SUMIFS(실시간콜입력!$K:$K,실시간콜입력!$B:$B,$A457,실시간콜입력!$G:$G,$B457,실시간콜입력!$O:$O,"방문완료")+SUMIFS(실시간콜입력!$L:$L,실시간콜입력!$B:$B,$A457,실시간콜입력!$H:$H,$B457,실시간콜입력!$O:$O,"방문완료")</f>
        <v>0</v>
      </c>
      <c r="M457" s="29" t="str">
        <f t="shared" si="62"/>
        <v/>
      </c>
      <c r="N457" s="29"/>
    </row>
    <row r="458" spans="1:14" ht="19.5" hidden="1" customHeight="1" outlineLevel="1">
      <c r="A458" s="30">
        <f>IF(9&lt;=DAY(DATE(YEAR(설정_코스수당!$K$2),MONTH(설정_코스수당!$K$2)+1,0)),DATE(YEAR(설정_코스수당!$K$2),MONTH(설정_코스수당!$K$2),9),"")</f>
        <v>46182</v>
      </c>
      <c r="B458" s="29" t="s">
        <v>198</v>
      </c>
      <c r="C458" s="29"/>
      <c r="D458" s="29"/>
      <c r="E458" s="29" t="str">
        <f t="shared" si="60"/>
        <v/>
      </c>
      <c r="F458" s="29">
        <f>COUNTIFS(실시간콜입력!$B:$B,$A458,실시간콜입력!$E:$E,"A",실시간콜입력!$G:$G,$B458,실시간콜입력!$O:$O,"방문완료")+COUNTIFS(실시간콜입력!$B:$B,$A458,실시간콜입력!$E:$E,"A",실시간콜입력!$H:$H,$B458,실시간콜입력!$O:$O,"방문완료")</f>
        <v>0</v>
      </c>
      <c r="G458" s="29">
        <f>COUNTIFS(실시간콜입력!$B:$B,$A458,실시간콜입력!$E:$E,"B",실시간콜입력!$G:$G,$B458,실시간콜입력!$O:$O,"방문완료")+COUNTIFS(실시간콜입력!$B:$B,$A458,실시간콜입력!$E:$E,"B",실시간콜입력!$H:$H,$B458,실시간콜입력!$O:$O,"방문완료")</f>
        <v>0</v>
      </c>
      <c r="H458" s="29">
        <f>COUNTIFS(실시간콜입력!$B:$B,$A458,실시간콜입력!$E:$E,"C",실시간콜입력!$G:$G,$B458,실시간콜입력!$O:$O,"방문완료")+COUNTIFS(실시간콜입력!$B:$B,$A458,실시간콜입력!$E:$E,"C",실시간콜입력!$H:$H,$B458,실시간콜입력!$O:$O,"방문완료")</f>
        <v>0</v>
      </c>
      <c r="I458" s="29">
        <f>COUNTIFS(실시간콜입력!$B:$B,$A458,실시간콜입력!$E:$E,"D",실시간콜입력!$G:$G,$B458,실시간콜입력!$O:$O,"방문완료")+COUNTIFS(실시간콜입력!$B:$B,$A458,실시간콜입력!$E:$E,"D",실시간콜입력!$H:$H,$B458,실시간콜입력!$O:$O,"방문완료")</f>
        <v>0</v>
      </c>
      <c r="J458" s="29">
        <f>COUNTIFS(실시간콜입력!$B:$B,$A458,실시간콜입력!$E:$E,"E",실시간콜입력!$G:$G,$B458,실시간콜입력!$O:$O,"방문완료")+COUNTIFS(실시간콜입력!$B:$B,$A458,실시간콜입력!$E:$E,"E",실시간콜입력!$H:$H,$B458,실시간콜입력!$O:$O,"방문완료")</f>
        <v>0</v>
      </c>
      <c r="K458" s="29">
        <f t="shared" si="61"/>
        <v>0</v>
      </c>
      <c r="L458" s="33">
        <f>SUMIFS(실시간콜입력!$K:$K,실시간콜입력!$B:$B,$A458,실시간콜입력!$G:$G,$B458,실시간콜입력!$O:$O,"방문완료")+SUMIFS(실시간콜입력!$L:$L,실시간콜입력!$B:$B,$A458,실시간콜입력!$H:$H,$B458,실시간콜입력!$O:$O,"방문완료")</f>
        <v>0</v>
      </c>
      <c r="M458" s="29" t="str">
        <f t="shared" si="62"/>
        <v/>
      </c>
      <c r="N458" s="29"/>
    </row>
    <row r="459" spans="1:14" ht="19.5" hidden="1" customHeight="1" outlineLevel="1">
      <c r="A459" s="24">
        <f>IF(9&lt;=DAY(DATE(YEAR(설정_코스수당!$K$2),MONTH(설정_코스수당!$K$2)+1,0)),DATE(YEAR(설정_코스수당!$K$2),MONTH(설정_코스수당!$K$2),9),"")</f>
        <v>46182</v>
      </c>
      <c r="B459" s="23" t="s">
        <v>199</v>
      </c>
      <c r="C459" s="29"/>
      <c r="D459" s="29"/>
      <c r="E459" s="29" t="str">
        <f t="shared" si="60"/>
        <v/>
      </c>
      <c r="F459" s="29">
        <f>COUNTIFS(실시간콜입력!$B:$B,$A459,실시간콜입력!$E:$E,"A",실시간콜입력!$G:$G,$B459,실시간콜입력!$O:$O,"방문완료")+COUNTIFS(실시간콜입력!$B:$B,$A459,실시간콜입력!$E:$E,"A",실시간콜입력!$H:$H,$B459,실시간콜입력!$O:$O,"방문완료")</f>
        <v>0</v>
      </c>
      <c r="G459" s="29">
        <f>COUNTIFS(실시간콜입력!$B:$B,$A459,실시간콜입력!$E:$E,"B",실시간콜입력!$G:$G,$B459,실시간콜입력!$O:$O,"방문완료")+COUNTIFS(실시간콜입력!$B:$B,$A459,실시간콜입력!$E:$E,"B",실시간콜입력!$H:$H,$B459,실시간콜입력!$O:$O,"방문완료")</f>
        <v>0</v>
      </c>
      <c r="H459" s="29">
        <f>COUNTIFS(실시간콜입력!$B:$B,$A459,실시간콜입력!$E:$E,"C",실시간콜입력!$G:$G,$B459,실시간콜입력!$O:$O,"방문완료")+COUNTIFS(실시간콜입력!$B:$B,$A459,실시간콜입력!$E:$E,"C",실시간콜입력!$H:$H,$B459,실시간콜입력!$O:$O,"방문완료")</f>
        <v>0</v>
      </c>
      <c r="I459" s="29">
        <f>COUNTIFS(실시간콜입력!$B:$B,$A459,실시간콜입력!$E:$E,"D",실시간콜입력!$G:$G,$B459,실시간콜입력!$O:$O,"방문완료")+COUNTIFS(실시간콜입력!$B:$B,$A459,실시간콜입력!$E:$E,"D",실시간콜입력!$H:$H,$B459,실시간콜입력!$O:$O,"방문완료")</f>
        <v>0</v>
      </c>
      <c r="J459" s="29">
        <f>COUNTIFS(실시간콜입력!$B:$B,$A459,실시간콜입력!$E:$E,"E",실시간콜입력!$G:$G,$B459,실시간콜입력!$O:$O,"방문완료")+COUNTIFS(실시간콜입력!$B:$B,$A459,실시간콜입력!$E:$E,"E",실시간콜입력!$H:$H,$B459,실시간콜입력!$O:$O,"방문완료")</f>
        <v>0</v>
      </c>
      <c r="K459" s="29">
        <f t="shared" si="61"/>
        <v>0</v>
      </c>
      <c r="L459" s="27">
        <f>SUMIFS(실시간콜입력!$K:$K,실시간콜입력!$B:$B,$A459,실시간콜입력!$G:$G,$B459,실시간콜입력!$O:$O,"방문완료")+SUMIFS(실시간콜입력!$L:$L,실시간콜입력!$B:$B,$A459,실시간콜입력!$H:$H,$B459,실시간콜입력!$O:$O,"방문완료")</f>
        <v>0</v>
      </c>
      <c r="M459" s="29" t="str">
        <f t="shared" si="62"/>
        <v/>
      </c>
      <c r="N459" s="29"/>
    </row>
    <row r="460" spans="1:14" ht="19.5" hidden="1" customHeight="1" outlineLevel="1">
      <c r="A460" s="30">
        <f>IF(9&lt;=DAY(DATE(YEAR(설정_코스수당!$K$2),MONTH(설정_코스수당!$K$2)+1,0)),DATE(YEAR(설정_코스수당!$K$2),MONTH(설정_코스수당!$K$2),9),"")</f>
        <v>46182</v>
      </c>
      <c r="B460" s="29" t="s">
        <v>200</v>
      </c>
      <c r="C460" s="29"/>
      <c r="D460" s="29"/>
      <c r="E460" s="29" t="str">
        <f t="shared" si="60"/>
        <v/>
      </c>
      <c r="F460" s="29">
        <f>COUNTIFS(실시간콜입력!$B:$B,$A460,실시간콜입력!$E:$E,"A",실시간콜입력!$G:$G,$B460,실시간콜입력!$O:$O,"방문완료")+COUNTIFS(실시간콜입력!$B:$B,$A460,실시간콜입력!$E:$E,"A",실시간콜입력!$H:$H,$B460,실시간콜입력!$O:$O,"방문완료")</f>
        <v>0</v>
      </c>
      <c r="G460" s="29">
        <f>COUNTIFS(실시간콜입력!$B:$B,$A460,실시간콜입력!$E:$E,"B",실시간콜입력!$G:$G,$B460,실시간콜입력!$O:$O,"방문완료")+COUNTIFS(실시간콜입력!$B:$B,$A460,실시간콜입력!$E:$E,"B",실시간콜입력!$H:$H,$B460,실시간콜입력!$O:$O,"방문완료")</f>
        <v>0</v>
      </c>
      <c r="H460" s="29">
        <f>COUNTIFS(실시간콜입력!$B:$B,$A460,실시간콜입력!$E:$E,"C",실시간콜입력!$G:$G,$B460,실시간콜입력!$O:$O,"방문완료")+COUNTIFS(실시간콜입력!$B:$B,$A460,실시간콜입력!$E:$E,"C",실시간콜입력!$H:$H,$B460,실시간콜입력!$O:$O,"방문완료")</f>
        <v>0</v>
      </c>
      <c r="I460" s="29">
        <f>COUNTIFS(실시간콜입력!$B:$B,$A460,실시간콜입력!$E:$E,"D",실시간콜입력!$G:$G,$B460,실시간콜입력!$O:$O,"방문완료")+COUNTIFS(실시간콜입력!$B:$B,$A460,실시간콜입력!$E:$E,"D",실시간콜입력!$H:$H,$B460,실시간콜입력!$O:$O,"방문완료")</f>
        <v>0</v>
      </c>
      <c r="J460" s="29">
        <f>COUNTIFS(실시간콜입력!$B:$B,$A460,실시간콜입력!$E:$E,"E",실시간콜입력!$G:$G,$B460,실시간콜입력!$O:$O,"방문완료")+COUNTIFS(실시간콜입력!$B:$B,$A460,실시간콜입력!$E:$E,"E",실시간콜입력!$H:$H,$B460,실시간콜입력!$O:$O,"방문완료")</f>
        <v>0</v>
      </c>
      <c r="K460" s="29">
        <f t="shared" si="61"/>
        <v>0</v>
      </c>
      <c r="L460" s="33">
        <f>SUMIFS(실시간콜입력!$K:$K,실시간콜입력!$B:$B,$A460,실시간콜입력!$G:$G,$B460,실시간콜입력!$O:$O,"방문완료")+SUMIFS(실시간콜입력!$L:$L,실시간콜입력!$B:$B,$A460,실시간콜입력!$H:$H,$B460,실시간콜입력!$O:$O,"방문완료")</f>
        <v>0</v>
      </c>
      <c r="M460" s="29" t="str">
        <f t="shared" si="62"/>
        <v/>
      </c>
      <c r="N460" s="29"/>
    </row>
    <row r="461" spans="1:14" ht="19.5" hidden="1" customHeight="1" outlineLevel="1">
      <c r="A461" s="24">
        <f>IF(9&lt;=DAY(DATE(YEAR(설정_코스수당!$K$2),MONTH(설정_코스수당!$K$2)+1,0)),DATE(YEAR(설정_코스수당!$K$2),MONTH(설정_코스수당!$K$2),9),"")</f>
        <v>46182</v>
      </c>
      <c r="B461" s="23" t="s">
        <v>201</v>
      </c>
      <c r="C461" s="29"/>
      <c r="D461" s="29"/>
      <c r="E461" s="29" t="str">
        <f t="shared" si="60"/>
        <v/>
      </c>
      <c r="F461" s="29">
        <f>COUNTIFS(실시간콜입력!$B:$B,$A461,실시간콜입력!$E:$E,"A",실시간콜입력!$G:$G,$B461,실시간콜입력!$O:$O,"방문완료")+COUNTIFS(실시간콜입력!$B:$B,$A461,실시간콜입력!$E:$E,"A",실시간콜입력!$H:$H,$B461,실시간콜입력!$O:$O,"방문완료")</f>
        <v>0</v>
      </c>
      <c r="G461" s="29">
        <f>COUNTIFS(실시간콜입력!$B:$B,$A461,실시간콜입력!$E:$E,"B",실시간콜입력!$G:$G,$B461,실시간콜입력!$O:$O,"방문완료")+COUNTIFS(실시간콜입력!$B:$B,$A461,실시간콜입력!$E:$E,"B",실시간콜입력!$H:$H,$B461,실시간콜입력!$O:$O,"방문완료")</f>
        <v>0</v>
      </c>
      <c r="H461" s="29">
        <f>COUNTIFS(실시간콜입력!$B:$B,$A461,실시간콜입력!$E:$E,"C",실시간콜입력!$G:$G,$B461,실시간콜입력!$O:$O,"방문완료")+COUNTIFS(실시간콜입력!$B:$B,$A461,실시간콜입력!$E:$E,"C",실시간콜입력!$H:$H,$B461,실시간콜입력!$O:$O,"방문완료")</f>
        <v>0</v>
      </c>
      <c r="I461" s="29">
        <f>COUNTIFS(실시간콜입력!$B:$B,$A461,실시간콜입력!$E:$E,"D",실시간콜입력!$G:$G,$B461,실시간콜입력!$O:$O,"방문완료")+COUNTIFS(실시간콜입력!$B:$B,$A461,실시간콜입력!$E:$E,"D",실시간콜입력!$H:$H,$B461,실시간콜입력!$O:$O,"방문완료")</f>
        <v>0</v>
      </c>
      <c r="J461" s="29">
        <f>COUNTIFS(실시간콜입력!$B:$B,$A461,실시간콜입력!$E:$E,"E",실시간콜입력!$G:$G,$B461,실시간콜입력!$O:$O,"방문완료")+COUNTIFS(실시간콜입력!$B:$B,$A461,실시간콜입력!$E:$E,"E",실시간콜입력!$H:$H,$B461,실시간콜입력!$O:$O,"방문완료")</f>
        <v>0</v>
      </c>
      <c r="K461" s="29">
        <f t="shared" si="61"/>
        <v>0</v>
      </c>
      <c r="L461" s="27">
        <f>SUMIFS(실시간콜입력!$K:$K,실시간콜입력!$B:$B,$A461,실시간콜입력!$G:$G,$B461,실시간콜입력!$O:$O,"방문완료")+SUMIFS(실시간콜입력!$L:$L,실시간콜입력!$B:$B,$A461,실시간콜입력!$H:$H,$B461,실시간콜입력!$O:$O,"방문완료")</f>
        <v>0</v>
      </c>
      <c r="M461" s="29" t="str">
        <f t="shared" si="62"/>
        <v/>
      </c>
      <c r="N461" s="29"/>
    </row>
    <row r="462" spans="1:14" ht="19.5" hidden="1" customHeight="1" outlineLevel="1">
      <c r="A462" s="30">
        <f>IF(9&lt;=DAY(DATE(YEAR(설정_코스수당!$K$2),MONTH(설정_코스수당!$K$2)+1,0)),DATE(YEAR(설정_코스수당!$K$2),MONTH(설정_코스수당!$K$2),9),"")</f>
        <v>46182</v>
      </c>
      <c r="B462" s="29" t="s">
        <v>202</v>
      </c>
      <c r="C462" s="29"/>
      <c r="D462" s="29"/>
      <c r="E462" s="29" t="str">
        <f t="shared" si="60"/>
        <v/>
      </c>
      <c r="F462" s="29">
        <f>COUNTIFS(실시간콜입력!$B:$B,$A462,실시간콜입력!$E:$E,"A",실시간콜입력!$G:$G,$B462,실시간콜입력!$O:$O,"방문완료")+COUNTIFS(실시간콜입력!$B:$B,$A462,실시간콜입력!$E:$E,"A",실시간콜입력!$H:$H,$B462,실시간콜입력!$O:$O,"방문완료")</f>
        <v>0</v>
      </c>
      <c r="G462" s="29">
        <f>COUNTIFS(실시간콜입력!$B:$B,$A462,실시간콜입력!$E:$E,"B",실시간콜입력!$G:$G,$B462,실시간콜입력!$O:$O,"방문완료")+COUNTIFS(실시간콜입력!$B:$B,$A462,실시간콜입력!$E:$E,"B",실시간콜입력!$H:$H,$B462,실시간콜입력!$O:$O,"방문완료")</f>
        <v>0</v>
      </c>
      <c r="H462" s="29">
        <f>COUNTIFS(실시간콜입력!$B:$B,$A462,실시간콜입력!$E:$E,"C",실시간콜입력!$G:$G,$B462,실시간콜입력!$O:$O,"방문완료")+COUNTIFS(실시간콜입력!$B:$B,$A462,실시간콜입력!$E:$E,"C",실시간콜입력!$H:$H,$B462,실시간콜입력!$O:$O,"방문완료")</f>
        <v>0</v>
      </c>
      <c r="I462" s="29">
        <f>COUNTIFS(실시간콜입력!$B:$B,$A462,실시간콜입력!$E:$E,"D",실시간콜입력!$G:$G,$B462,실시간콜입력!$O:$O,"방문완료")+COUNTIFS(실시간콜입력!$B:$B,$A462,실시간콜입력!$E:$E,"D",실시간콜입력!$H:$H,$B462,실시간콜입력!$O:$O,"방문완료")</f>
        <v>0</v>
      </c>
      <c r="J462" s="29">
        <f>COUNTIFS(실시간콜입력!$B:$B,$A462,실시간콜입력!$E:$E,"E",실시간콜입력!$G:$G,$B462,실시간콜입력!$O:$O,"방문완료")+COUNTIFS(실시간콜입력!$B:$B,$A462,실시간콜입력!$E:$E,"E",실시간콜입력!$H:$H,$B462,실시간콜입력!$O:$O,"방문완료")</f>
        <v>0</v>
      </c>
      <c r="K462" s="29">
        <f t="shared" si="61"/>
        <v>0</v>
      </c>
      <c r="L462" s="33">
        <f>SUMIFS(실시간콜입력!$K:$K,실시간콜입력!$B:$B,$A462,실시간콜입력!$G:$G,$B462,실시간콜입력!$O:$O,"방문완료")+SUMIFS(실시간콜입력!$L:$L,실시간콜입력!$B:$B,$A462,실시간콜입력!$H:$H,$B462,실시간콜입력!$O:$O,"방문완료")</f>
        <v>0</v>
      </c>
      <c r="M462" s="29" t="str">
        <f t="shared" si="62"/>
        <v/>
      </c>
      <c r="N462" s="29"/>
    </row>
    <row r="463" spans="1:14" ht="19.5" hidden="1" customHeight="1" outlineLevel="1">
      <c r="A463" s="24">
        <f>IF(9&lt;=DAY(DATE(YEAR(설정_코스수당!$K$2),MONTH(설정_코스수당!$K$2)+1,0)),DATE(YEAR(설정_코스수당!$K$2),MONTH(설정_코스수당!$K$2),9),"")</f>
        <v>46182</v>
      </c>
      <c r="B463" s="23" t="s">
        <v>203</v>
      </c>
      <c r="C463" s="29"/>
      <c r="D463" s="29"/>
      <c r="E463" s="29" t="str">
        <f t="shared" si="60"/>
        <v/>
      </c>
      <c r="F463" s="29">
        <f>COUNTIFS(실시간콜입력!$B:$B,$A463,실시간콜입력!$E:$E,"A",실시간콜입력!$G:$G,$B463,실시간콜입력!$O:$O,"방문완료")+COUNTIFS(실시간콜입력!$B:$B,$A463,실시간콜입력!$E:$E,"A",실시간콜입력!$H:$H,$B463,실시간콜입력!$O:$O,"방문완료")</f>
        <v>0</v>
      </c>
      <c r="G463" s="29">
        <f>COUNTIFS(실시간콜입력!$B:$B,$A463,실시간콜입력!$E:$E,"B",실시간콜입력!$G:$G,$B463,실시간콜입력!$O:$O,"방문완료")+COUNTIFS(실시간콜입력!$B:$B,$A463,실시간콜입력!$E:$E,"B",실시간콜입력!$H:$H,$B463,실시간콜입력!$O:$O,"방문완료")</f>
        <v>0</v>
      </c>
      <c r="H463" s="29">
        <f>COUNTIFS(실시간콜입력!$B:$B,$A463,실시간콜입력!$E:$E,"C",실시간콜입력!$G:$G,$B463,실시간콜입력!$O:$O,"방문완료")+COUNTIFS(실시간콜입력!$B:$B,$A463,실시간콜입력!$E:$E,"C",실시간콜입력!$H:$H,$B463,실시간콜입력!$O:$O,"방문완료")</f>
        <v>0</v>
      </c>
      <c r="I463" s="29">
        <f>COUNTIFS(실시간콜입력!$B:$B,$A463,실시간콜입력!$E:$E,"D",실시간콜입력!$G:$G,$B463,실시간콜입력!$O:$O,"방문완료")+COUNTIFS(실시간콜입력!$B:$B,$A463,실시간콜입력!$E:$E,"D",실시간콜입력!$H:$H,$B463,실시간콜입력!$O:$O,"방문완료")</f>
        <v>0</v>
      </c>
      <c r="J463" s="29">
        <f>COUNTIFS(실시간콜입력!$B:$B,$A463,실시간콜입력!$E:$E,"E",실시간콜입력!$G:$G,$B463,실시간콜입력!$O:$O,"방문완료")+COUNTIFS(실시간콜입력!$B:$B,$A463,실시간콜입력!$E:$E,"E",실시간콜입력!$H:$H,$B463,실시간콜입력!$O:$O,"방문완료")</f>
        <v>0</v>
      </c>
      <c r="K463" s="29">
        <f t="shared" si="61"/>
        <v>0</v>
      </c>
      <c r="L463" s="27">
        <f>SUMIFS(실시간콜입력!$K:$K,실시간콜입력!$B:$B,$A463,실시간콜입력!$G:$G,$B463,실시간콜입력!$O:$O,"방문완료")+SUMIFS(실시간콜입력!$L:$L,실시간콜입력!$B:$B,$A463,실시간콜입력!$H:$H,$B463,실시간콜입력!$O:$O,"방문완료")</f>
        <v>0</v>
      </c>
      <c r="M463" s="29" t="str">
        <f t="shared" si="62"/>
        <v/>
      </c>
      <c r="N463" s="29"/>
    </row>
    <row r="464" spans="1:14" ht="19.5" hidden="1" customHeight="1" outlineLevel="1">
      <c r="A464" s="30">
        <f>IF(9&lt;=DAY(DATE(YEAR(설정_코스수당!$K$2),MONTH(설정_코스수당!$K$2)+1,0)),DATE(YEAR(설정_코스수당!$K$2),MONTH(설정_코스수당!$K$2),9),"")</f>
        <v>46182</v>
      </c>
      <c r="B464" s="29" t="s">
        <v>204</v>
      </c>
      <c r="C464" s="29"/>
      <c r="D464" s="29"/>
      <c r="E464" s="29" t="str">
        <f t="shared" si="60"/>
        <v/>
      </c>
      <c r="F464" s="29">
        <f>COUNTIFS(실시간콜입력!$B:$B,$A464,실시간콜입력!$E:$E,"A",실시간콜입력!$G:$G,$B464,실시간콜입력!$O:$O,"방문완료")+COUNTIFS(실시간콜입력!$B:$B,$A464,실시간콜입력!$E:$E,"A",실시간콜입력!$H:$H,$B464,실시간콜입력!$O:$O,"방문완료")</f>
        <v>0</v>
      </c>
      <c r="G464" s="29">
        <f>COUNTIFS(실시간콜입력!$B:$B,$A464,실시간콜입력!$E:$E,"B",실시간콜입력!$G:$G,$B464,실시간콜입력!$O:$O,"방문완료")+COUNTIFS(실시간콜입력!$B:$B,$A464,실시간콜입력!$E:$E,"B",실시간콜입력!$H:$H,$B464,실시간콜입력!$O:$O,"방문완료")</f>
        <v>0</v>
      </c>
      <c r="H464" s="29">
        <f>COUNTIFS(실시간콜입력!$B:$B,$A464,실시간콜입력!$E:$E,"C",실시간콜입력!$G:$G,$B464,실시간콜입력!$O:$O,"방문완료")+COUNTIFS(실시간콜입력!$B:$B,$A464,실시간콜입력!$E:$E,"C",실시간콜입력!$H:$H,$B464,실시간콜입력!$O:$O,"방문완료")</f>
        <v>0</v>
      </c>
      <c r="I464" s="29">
        <f>COUNTIFS(실시간콜입력!$B:$B,$A464,실시간콜입력!$E:$E,"D",실시간콜입력!$G:$G,$B464,실시간콜입력!$O:$O,"방문완료")+COUNTIFS(실시간콜입력!$B:$B,$A464,실시간콜입력!$E:$E,"D",실시간콜입력!$H:$H,$B464,실시간콜입력!$O:$O,"방문완료")</f>
        <v>0</v>
      </c>
      <c r="J464" s="29">
        <f>COUNTIFS(실시간콜입력!$B:$B,$A464,실시간콜입력!$E:$E,"E",실시간콜입력!$G:$G,$B464,실시간콜입력!$O:$O,"방문완료")+COUNTIFS(실시간콜입력!$B:$B,$A464,실시간콜입력!$E:$E,"E",실시간콜입력!$H:$H,$B464,실시간콜입력!$O:$O,"방문완료")</f>
        <v>0</v>
      </c>
      <c r="K464" s="29">
        <f t="shared" si="61"/>
        <v>0</v>
      </c>
      <c r="L464" s="33">
        <f>SUMIFS(실시간콜입력!$K:$K,실시간콜입력!$B:$B,$A464,실시간콜입력!$G:$G,$B464,실시간콜입력!$O:$O,"방문완료")+SUMIFS(실시간콜입력!$L:$L,실시간콜입력!$B:$B,$A464,실시간콜입력!$H:$H,$B464,실시간콜입력!$O:$O,"방문완료")</f>
        <v>0</v>
      </c>
      <c r="M464" s="29" t="str">
        <f t="shared" si="62"/>
        <v/>
      </c>
      <c r="N464" s="29"/>
    </row>
    <row r="465" spans="1:14" ht="19.5" hidden="1" customHeight="1" outlineLevel="1">
      <c r="A465" s="24">
        <f>IF(9&lt;=DAY(DATE(YEAR(설정_코스수당!$K$2),MONTH(설정_코스수당!$K$2)+1,0)),DATE(YEAR(설정_코스수당!$K$2),MONTH(설정_코스수당!$K$2),9),"")</f>
        <v>46182</v>
      </c>
      <c r="B465" s="23" t="s">
        <v>205</v>
      </c>
      <c r="C465" s="29"/>
      <c r="D465" s="29"/>
      <c r="E465" s="29" t="str">
        <f t="shared" si="60"/>
        <v/>
      </c>
      <c r="F465" s="29">
        <f>COUNTIFS(실시간콜입력!$B:$B,$A465,실시간콜입력!$E:$E,"A",실시간콜입력!$G:$G,$B465,실시간콜입력!$O:$O,"방문완료")+COUNTIFS(실시간콜입력!$B:$B,$A465,실시간콜입력!$E:$E,"A",실시간콜입력!$H:$H,$B465,실시간콜입력!$O:$O,"방문완료")</f>
        <v>0</v>
      </c>
      <c r="G465" s="29">
        <f>COUNTIFS(실시간콜입력!$B:$B,$A465,실시간콜입력!$E:$E,"B",실시간콜입력!$G:$G,$B465,실시간콜입력!$O:$O,"방문완료")+COUNTIFS(실시간콜입력!$B:$B,$A465,실시간콜입력!$E:$E,"B",실시간콜입력!$H:$H,$B465,실시간콜입력!$O:$O,"방문완료")</f>
        <v>0</v>
      </c>
      <c r="H465" s="29">
        <f>COUNTIFS(실시간콜입력!$B:$B,$A465,실시간콜입력!$E:$E,"C",실시간콜입력!$G:$G,$B465,실시간콜입력!$O:$O,"방문완료")+COUNTIFS(실시간콜입력!$B:$B,$A465,실시간콜입력!$E:$E,"C",실시간콜입력!$H:$H,$B465,실시간콜입력!$O:$O,"방문완료")</f>
        <v>0</v>
      </c>
      <c r="I465" s="29">
        <f>COUNTIFS(실시간콜입력!$B:$B,$A465,실시간콜입력!$E:$E,"D",실시간콜입력!$G:$G,$B465,실시간콜입력!$O:$O,"방문완료")+COUNTIFS(실시간콜입력!$B:$B,$A465,실시간콜입력!$E:$E,"D",실시간콜입력!$H:$H,$B465,실시간콜입력!$O:$O,"방문완료")</f>
        <v>0</v>
      </c>
      <c r="J465" s="29">
        <f>COUNTIFS(실시간콜입력!$B:$B,$A465,실시간콜입력!$E:$E,"E",실시간콜입력!$G:$G,$B465,실시간콜입력!$O:$O,"방문완료")+COUNTIFS(실시간콜입력!$B:$B,$A465,실시간콜입력!$E:$E,"E",실시간콜입력!$H:$H,$B465,실시간콜입력!$O:$O,"방문완료")</f>
        <v>0</v>
      </c>
      <c r="K465" s="29">
        <f t="shared" si="61"/>
        <v>0</v>
      </c>
      <c r="L465" s="27">
        <f>SUMIFS(실시간콜입력!$K:$K,실시간콜입력!$B:$B,$A465,실시간콜입력!$G:$G,$B465,실시간콜입력!$O:$O,"방문완료")+SUMIFS(실시간콜입력!$L:$L,실시간콜입력!$B:$B,$A465,실시간콜입력!$H:$H,$B465,실시간콜입력!$O:$O,"방문완료")</f>
        <v>0</v>
      </c>
      <c r="M465" s="29" t="str">
        <f t="shared" si="62"/>
        <v/>
      </c>
      <c r="N465" s="29"/>
    </row>
    <row r="466" spans="1:14" ht="19.5" hidden="1" customHeight="1" outlineLevel="1">
      <c r="A466" s="30">
        <f>IF(9&lt;=DAY(DATE(YEAR(설정_코스수당!$K$2),MONTH(설정_코스수당!$K$2)+1,0)),DATE(YEAR(설정_코스수당!$K$2),MONTH(설정_코스수당!$K$2),9),"")</f>
        <v>46182</v>
      </c>
      <c r="B466" s="29" t="s">
        <v>206</v>
      </c>
      <c r="C466" s="29"/>
      <c r="D466" s="29"/>
      <c r="E466" s="29" t="str">
        <f t="shared" si="60"/>
        <v/>
      </c>
      <c r="F466" s="29">
        <f>COUNTIFS(실시간콜입력!$B:$B,$A466,실시간콜입력!$E:$E,"A",실시간콜입력!$G:$G,$B466,실시간콜입력!$O:$O,"방문완료")+COUNTIFS(실시간콜입력!$B:$B,$A466,실시간콜입력!$E:$E,"A",실시간콜입력!$H:$H,$B466,실시간콜입력!$O:$O,"방문완료")</f>
        <v>0</v>
      </c>
      <c r="G466" s="29">
        <f>COUNTIFS(실시간콜입력!$B:$B,$A466,실시간콜입력!$E:$E,"B",실시간콜입력!$G:$G,$B466,실시간콜입력!$O:$O,"방문완료")+COUNTIFS(실시간콜입력!$B:$B,$A466,실시간콜입력!$E:$E,"B",실시간콜입력!$H:$H,$B466,실시간콜입력!$O:$O,"방문완료")</f>
        <v>0</v>
      </c>
      <c r="H466" s="29">
        <f>COUNTIFS(실시간콜입력!$B:$B,$A466,실시간콜입력!$E:$E,"C",실시간콜입력!$G:$G,$B466,실시간콜입력!$O:$O,"방문완료")+COUNTIFS(실시간콜입력!$B:$B,$A466,실시간콜입력!$E:$E,"C",실시간콜입력!$H:$H,$B466,실시간콜입력!$O:$O,"방문완료")</f>
        <v>0</v>
      </c>
      <c r="I466" s="29">
        <f>COUNTIFS(실시간콜입력!$B:$B,$A466,실시간콜입력!$E:$E,"D",실시간콜입력!$G:$G,$B466,실시간콜입력!$O:$O,"방문완료")+COUNTIFS(실시간콜입력!$B:$B,$A466,실시간콜입력!$E:$E,"D",실시간콜입력!$H:$H,$B466,실시간콜입력!$O:$O,"방문완료")</f>
        <v>0</v>
      </c>
      <c r="J466" s="29">
        <f>COUNTIFS(실시간콜입력!$B:$B,$A466,실시간콜입력!$E:$E,"E",실시간콜입력!$G:$G,$B466,실시간콜입력!$O:$O,"방문완료")+COUNTIFS(실시간콜입력!$B:$B,$A466,실시간콜입력!$E:$E,"E",실시간콜입력!$H:$H,$B466,실시간콜입력!$O:$O,"방문완료")</f>
        <v>0</v>
      </c>
      <c r="K466" s="29">
        <f t="shared" si="61"/>
        <v>0</v>
      </c>
      <c r="L466" s="33">
        <f>SUMIFS(실시간콜입력!$K:$K,실시간콜입력!$B:$B,$A466,실시간콜입력!$G:$G,$B466,실시간콜입력!$O:$O,"방문완료")+SUMIFS(실시간콜입력!$L:$L,실시간콜입력!$B:$B,$A466,실시간콜입력!$H:$H,$B466,실시간콜입력!$O:$O,"방문완료")</f>
        <v>0</v>
      </c>
      <c r="M466" s="29" t="str">
        <f t="shared" si="62"/>
        <v/>
      </c>
      <c r="N466" s="29"/>
    </row>
    <row r="467" spans="1:14" ht="19.5" hidden="1" customHeight="1" outlineLevel="1">
      <c r="A467" s="24">
        <f>IF(9&lt;=DAY(DATE(YEAR(설정_코스수당!$K$2),MONTH(설정_코스수당!$K$2)+1,0)),DATE(YEAR(설정_코스수당!$K$2),MONTH(설정_코스수당!$K$2),9),"")</f>
        <v>46182</v>
      </c>
      <c r="B467" s="23" t="s">
        <v>207</v>
      </c>
      <c r="C467" s="29"/>
      <c r="D467" s="29"/>
      <c r="E467" s="29" t="str">
        <f t="shared" si="60"/>
        <v/>
      </c>
      <c r="F467" s="29">
        <f>COUNTIFS(실시간콜입력!$B:$B,$A467,실시간콜입력!$E:$E,"A",실시간콜입력!$G:$G,$B467,실시간콜입력!$O:$O,"방문완료")+COUNTIFS(실시간콜입력!$B:$B,$A467,실시간콜입력!$E:$E,"A",실시간콜입력!$H:$H,$B467,실시간콜입력!$O:$O,"방문완료")</f>
        <v>0</v>
      </c>
      <c r="G467" s="29">
        <f>COUNTIFS(실시간콜입력!$B:$B,$A467,실시간콜입력!$E:$E,"B",실시간콜입력!$G:$G,$B467,실시간콜입력!$O:$O,"방문완료")+COUNTIFS(실시간콜입력!$B:$B,$A467,실시간콜입력!$E:$E,"B",실시간콜입력!$H:$H,$B467,실시간콜입력!$O:$O,"방문완료")</f>
        <v>0</v>
      </c>
      <c r="H467" s="29">
        <f>COUNTIFS(실시간콜입력!$B:$B,$A467,실시간콜입력!$E:$E,"C",실시간콜입력!$G:$G,$B467,실시간콜입력!$O:$O,"방문완료")+COUNTIFS(실시간콜입력!$B:$B,$A467,실시간콜입력!$E:$E,"C",실시간콜입력!$H:$H,$B467,실시간콜입력!$O:$O,"방문완료")</f>
        <v>0</v>
      </c>
      <c r="I467" s="29">
        <f>COUNTIFS(실시간콜입력!$B:$B,$A467,실시간콜입력!$E:$E,"D",실시간콜입력!$G:$G,$B467,실시간콜입력!$O:$O,"방문완료")+COUNTIFS(실시간콜입력!$B:$B,$A467,실시간콜입력!$E:$E,"D",실시간콜입력!$H:$H,$B467,실시간콜입력!$O:$O,"방문완료")</f>
        <v>0</v>
      </c>
      <c r="J467" s="29">
        <f>COUNTIFS(실시간콜입력!$B:$B,$A467,실시간콜입력!$E:$E,"E",실시간콜입력!$G:$G,$B467,실시간콜입력!$O:$O,"방문완료")+COUNTIFS(실시간콜입력!$B:$B,$A467,실시간콜입력!$E:$E,"E",실시간콜입력!$H:$H,$B467,실시간콜입력!$O:$O,"방문완료")</f>
        <v>0</v>
      </c>
      <c r="K467" s="29">
        <f t="shared" si="61"/>
        <v>0</v>
      </c>
      <c r="L467" s="27">
        <f>SUMIFS(실시간콜입력!$K:$K,실시간콜입력!$B:$B,$A467,실시간콜입력!$G:$G,$B467,실시간콜입력!$O:$O,"방문완료")+SUMIFS(실시간콜입력!$L:$L,실시간콜입력!$B:$B,$A467,실시간콜입력!$H:$H,$B467,실시간콜입력!$O:$O,"방문완료")</f>
        <v>0</v>
      </c>
      <c r="M467" s="29" t="str">
        <f t="shared" si="62"/>
        <v/>
      </c>
      <c r="N467" s="29"/>
    </row>
    <row r="468" spans="1:14" ht="19.5" hidden="1" customHeight="1" outlineLevel="1">
      <c r="A468" s="30">
        <f>IF(9&lt;=DAY(DATE(YEAR(설정_코스수당!$K$2),MONTH(설정_코스수당!$K$2)+1,0)),DATE(YEAR(설정_코스수당!$K$2),MONTH(설정_코스수당!$K$2),9),"")</f>
        <v>46182</v>
      </c>
      <c r="B468" s="29" t="s">
        <v>208</v>
      </c>
      <c r="C468" s="29"/>
      <c r="D468" s="29"/>
      <c r="E468" s="29" t="str">
        <f t="shared" si="60"/>
        <v/>
      </c>
      <c r="F468" s="29">
        <f>COUNTIFS(실시간콜입력!$B:$B,$A468,실시간콜입력!$E:$E,"A",실시간콜입력!$G:$G,$B468,실시간콜입력!$O:$O,"방문완료")+COUNTIFS(실시간콜입력!$B:$B,$A468,실시간콜입력!$E:$E,"A",실시간콜입력!$H:$H,$B468,실시간콜입력!$O:$O,"방문완료")</f>
        <v>0</v>
      </c>
      <c r="G468" s="29">
        <f>COUNTIFS(실시간콜입력!$B:$B,$A468,실시간콜입력!$E:$E,"B",실시간콜입력!$G:$G,$B468,실시간콜입력!$O:$O,"방문완료")+COUNTIFS(실시간콜입력!$B:$B,$A468,실시간콜입력!$E:$E,"B",실시간콜입력!$H:$H,$B468,실시간콜입력!$O:$O,"방문완료")</f>
        <v>0</v>
      </c>
      <c r="H468" s="29">
        <f>COUNTIFS(실시간콜입력!$B:$B,$A468,실시간콜입력!$E:$E,"C",실시간콜입력!$G:$G,$B468,실시간콜입력!$O:$O,"방문완료")+COUNTIFS(실시간콜입력!$B:$B,$A468,실시간콜입력!$E:$E,"C",실시간콜입력!$H:$H,$B468,실시간콜입력!$O:$O,"방문완료")</f>
        <v>0</v>
      </c>
      <c r="I468" s="29">
        <f>COUNTIFS(실시간콜입력!$B:$B,$A468,실시간콜입력!$E:$E,"D",실시간콜입력!$G:$G,$B468,실시간콜입력!$O:$O,"방문완료")+COUNTIFS(실시간콜입력!$B:$B,$A468,실시간콜입력!$E:$E,"D",실시간콜입력!$H:$H,$B468,실시간콜입력!$O:$O,"방문완료")</f>
        <v>0</v>
      </c>
      <c r="J468" s="29">
        <f>COUNTIFS(실시간콜입력!$B:$B,$A468,실시간콜입력!$E:$E,"E",실시간콜입력!$G:$G,$B468,실시간콜입력!$O:$O,"방문완료")+COUNTIFS(실시간콜입력!$B:$B,$A468,실시간콜입력!$E:$E,"E",실시간콜입력!$H:$H,$B468,실시간콜입력!$O:$O,"방문완료")</f>
        <v>0</v>
      </c>
      <c r="K468" s="29">
        <f t="shared" si="61"/>
        <v>0</v>
      </c>
      <c r="L468" s="33">
        <f>SUMIFS(실시간콜입력!$K:$K,실시간콜입력!$B:$B,$A468,실시간콜입력!$G:$G,$B468,실시간콜입력!$O:$O,"방문완료")+SUMIFS(실시간콜입력!$L:$L,실시간콜입력!$B:$B,$A468,실시간콜입력!$H:$H,$B468,실시간콜입력!$O:$O,"방문완료")</f>
        <v>0</v>
      </c>
      <c r="M468" s="29" t="str">
        <f t="shared" si="62"/>
        <v/>
      </c>
      <c r="N468" s="29"/>
    </row>
    <row r="469" spans="1:14" ht="19.5" hidden="1" customHeight="1" outlineLevel="1">
      <c r="A469" s="24">
        <f>IF(9&lt;=DAY(DATE(YEAR(설정_코스수당!$K$2),MONTH(설정_코스수당!$K$2)+1,0)),DATE(YEAR(설정_코스수당!$K$2),MONTH(설정_코스수당!$K$2),9),"")</f>
        <v>46182</v>
      </c>
      <c r="B469" s="23" t="s">
        <v>209</v>
      </c>
      <c r="C469" s="29"/>
      <c r="D469" s="29"/>
      <c r="E469" s="29" t="str">
        <f t="shared" si="60"/>
        <v/>
      </c>
      <c r="F469" s="29">
        <f>COUNTIFS(실시간콜입력!$B:$B,$A469,실시간콜입력!$E:$E,"A",실시간콜입력!$G:$G,$B469,실시간콜입력!$O:$O,"방문완료")+COUNTIFS(실시간콜입력!$B:$B,$A469,실시간콜입력!$E:$E,"A",실시간콜입력!$H:$H,$B469,실시간콜입력!$O:$O,"방문완료")</f>
        <v>0</v>
      </c>
      <c r="G469" s="29">
        <f>COUNTIFS(실시간콜입력!$B:$B,$A469,실시간콜입력!$E:$E,"B",실시간콜입력!$G:$G,$B469,실시간콜입력!$O:$O,"방문완료")+COUNTIFS(실시간콜입력!$B:$B,$A469,실시간콜입력!$E:$E,"B",실시간콜입력!$H:$H,$B469,실시간콜입력!$O:$O,"방문완료")</f>
        <v>0</v>
      </c>
      <c r="H469" s="29">
        <f>COUNTIFS(실시간콜입력!$B:$B,$A469,실시간콜입력!$E:$E,"C",실시간콜입력!$G:$G,$B469,실시간콜입력!$O:$O,"방문완료")+COUNTIFS(실시간콜입력!$B:$B,$A469,실시간콜입력!$E:$E,"C",실시간콜입력!$H:$H,$B469,실시간콜입력!$O:$O,"방문완료")</f>
        <v>0</v>
      </c>
      <c r="I469" s="29">
        <f>COUNTIFS(실시간콜입력!$B:$B,$A469,실시간콜입력!$E:$E,"D",실시간콜입력!$G:$G,$B469,실시간콜입력!$O:$O,"방문완료")+COUNTIFS(실시간콜입력!$B:$B,$A469,실시간콜입력!$E:$E,"D",실시간콜입력!$H:$H,$B469,실시간콜입력!$O:$O,"방문완료")</f>
        <v>0</v>
      </c>
      <c r="J469" s="29">
        <f>COUNTIFS(실시간콜입력!$B:$B,$A469,실시간콜입력!$E:$E,"E",실시간콜입력!$G:$G,$B469,실시간콜입력!$O:$O,"방문완료")+COUNTIFS(실시간콜입력!$B:$B,$A469,실시간콜입력!$E:$E,"E",실시간콜입력!$H:$H,$B469,실시간콜입력!$O:$O,"방문완료")</f>
        <v>0</v>
      </c>
      <c r="K469" s="29">
        <f t="shared" si="61"/>
        <v>0</v>
      </c>
      <c r="L469" s="27">
        <f>SUMIFS(실시간콜입력!$K:$K,실시간콜입력!$B:$B,$A469,실시간콜입력!$G:$G,$B469,실시간콜입력!$O:$O,"방문완료")+SUMIFS(실시간콜입력!$L:$L,실시간콜입력!$B:$B,$A469,실시간콜입력!$H:$H,$B469,실시간콜입력!$O:$O,"방문완료")</f>
        <v>0</v>
      </c>
      <c r="M469" s="29" t="str">
        <f t="shared" si="62"/>
        <v/>
      </c>
      <c r="N469" s="29"/>
    </row>
    <row r="470" spans="1:14" ht="19.5" hidden="1" customHeight="1" outlineLevel="1">
      <c r="A470" s="30">
        <f>IF(9&lt;=DAY(DATE(YEAR(설정_코스수당!$K$2),MONTH(설정_코스수당!$K$2)+1,0)),DATE(YEAR(설정_코스수당!$K$2),MONTH(설정_코스수당!$K$2),9),"")</f>
        <v>46182</v>
      </c>
      <c r="B470" s="29" t="s">
        <v>210</v>
      </c>
      <c r="C470" s="29"/>
      <c r="D470" s="29"/>
      <c r="E470" s="29" t="str">
        <f t="shared" si="60"/>
        <v/>
      </c>
      <c r="F470" s="29">
        <f>COUNTIFS(실시간콜입력!$B:$B,$A470,실시간콜입력!$E:$E,"A",실시간콜입력!$G:$G,$B470,실시간콜입력!$O:$O,"방문완료")+COUNTIFS(실시간콜입력!$B:$B,$A470,실시간콜입력!$E:$E,"A",실시간콜입력!$H:$H,$B470,실시간콜입력!$O:$O,"방문완료")</f>
        <v>0</v>
      </c>
      <c r="G470" s="29">
        <f>COUNTIFS(실시간콜입력!$B:$B,$A470,실시간콜입력!$E:$E,"B",실시간콜입력!$G:$G,$B470,실시간콜입력!$O:$O,"방문완료")+COUNTIFS(실시간콜입력!$B:$B,$A470,실시간콜입력!$E:$E,"B",실시간콜입력!$H:$H,$B470,실시간콜입력!$O:$O,"방문완료")</f>
        <v>0</v>
      </c>
      <c r="H470" s="29">
        <f>COUNTIFS(실시간콜입력!$B:$B,$A470,실시간콜입력!$E:$E,"C",실시간콜입력!$G:$G,$B470,실시간콜입력!$O:$O,"방문완료")+COUNTIFS(실시간콜입력!$B:$B,$A470,실시간콜입력!$E:$E,"C",실시간콜입력!$H:$H,$B470,실시간콜입력!$O:$O,"방문완료")</f>
        <v>0</v>
      </c>
      <c r="I470" s="29">
        <f>COUNTIFS(실시간콜입력!$B:$B,$A470,실시간콜입력!$E:$E,"D",실시간콜입력!$G:$G,$B470,실시간콜입력!$O:$O,"방문완료")+COUNTIFS(실시간콜입력!$B:$B,$A470,실시간콜입력!$E:$E,"D",실시간콜입력!$H:$H,$B470,실시간콜입력!$O:$O,"방문완료")</f>
        <v>0</v>
      </c>
      <c r="J470" s="29">
        <f>COUNTIFS(실시간콜입력!$B:$B,$A470,실시간콜입력!$E:$E,"E",실시간콜입력!$G:$G,$B470,실시간콜입력!$O:$O,"방문완료")+COUNTIFS(실시간콜입력!$B:$B,$A470,실시간콜입력!$E:$E,"E",실시간콜입력!$H:$H,$B470,실시간콜입력!$O:$O,"방문완료")</f>
        <v>0</v>
      </c>
      <c r="K470" s="29">
        <f t="shared" si="61"/>
        <v>0</v>
      </c>
      <c r="L470" s="33">
        <f>SUMIFS(실시간콜입력!$K:$K,실시간콜입력!$B:$B,$A470,실시간콜입력!$G:$G,$B470,실시간콜입력!$O:$O,"방문완료")+SUMIFS(실시간콜입력!$L:$L,실시간콜입력!$B:$B,$A470,실시간콜입력!$H:$H,$B470,실시간콜입력!$O:$O,"방문완료")</f>
        <v>0</v>
      </c>
      <c r="M470" s="29" t="str">
        <f t="shared" si="62"/>
        <v/>
      </c>
      <c r="N470" s="29"/>
    </row>
    <row r="471" spans="1:14" ht="19.5" hidden="1" customHeight="1" outlineLevel="1">
      <c r="A471" s="24">
        <f>IF(9&lt;=DAY(DATE(YEAR(설정_코스수당!$K$2),MONTH(설정_코스수당!$K$2)+1,0)),DATE(YEAR(설정_코스수당!$K$2),MONTH(설정_코스수당!$K$2),9),"")</f>
        <v>46182</v>
      </c>
      <c r="B471" s="23" t="s">
        <v>211</v>
      </c>
      <c r="C471" s="29"/>
      <c r="D471" s="29"/>
      <c r="E471" s="29" t="str">
        <f t="shared" si="60"/>
        <v/>
      </c>
      <c r="F471" s="29">
        <f>COUNTIFS(실시간콜입력!$B:$B,$A471,실시간콜입력!$E:$E,"A",실시간콜입력!$G:$G,$B471,실시간콜입력!$O:$O,"방문완료")+COUNTIFS(실시간콜입력!$B:$B,$A471,실시간콜입력!$E:$E,"A",실시간콜입력!$H:$H,$B471,실시간콜입력!$O:$O,"방문완료")</f>
        <v>0</v>
      </c>
      <c r="G471" s="29">
        <f>COUNTIFS(실시간콜입력!$B:$B,$A471,실시간콜입력!$E:$E,"B",실시간콜입력!$G:$G,$B471,실시간콜입력!$O:$O,"방문완료")+COUNTIFS(실시간콜입력!$B:$B,$A471,실시간콜입력!$E:$E,"B",실시간콜입력!$H:$H,$B471,실시간콜입력!$O:$O,"방문완료")</f>
        <v>0</v>
      </c>
      <c r="H471" s="29">
        <f>COUNTIFS(실시간콜입력!$B:$B,$A471,실시간콜입력!$E:$E,"C",실시간콜입력!$G:$G,$B471,실시간콜입력!$O:$O,"방문완료")+COUNTIFS(실시간콜입력!$B:$B,$A471,실시간콜입력!$E:$E,"C",실시간콜입력!$H:$H,$B471,실시간콜입력!$O:$O,"방문완료")</f>
        <v>0</v>
      </c>
      <c r="I471" s="29">
        <f>COUNTIFS(실시간콜입력!$B:$B,$A471,실시간콜입력!$E:$E,"D",실시간콜입력!$G:$G,$B471,실시간콜입력!$O:$O,"방문완료")+COUNTIFS(실시간콜입력!$B:$B,$A471,실시간콜입력!$E:$E,"D",실시간콜입력!$H:$H,$B471,실시간콜입력!$O:$O,"방문완료")</f>
        <v>0</v>
      </c>
      <c r="J471" s="29">
        <f>COUNTIFS(실시간콜입력!$B:$B,$A471,실시간콜입력!$E:$E,"E",실시간콜입력!$G:$G,$B471,실시간콜입력!$O:$O,"방문완료")+COUNTIFS(실시간콜입력!$B:$B,$A471,실시간콜입력!$E:$E,"E",실시간콜입력!$H:$H,$B471,실시간콜입력!$O:$O,"방문완료")</f>
        <v>0</v>
      </c>
      <c r="K471" s="29">
        <f t="shared" si="61"/>
        <v>0</v>
      </c>
      <c r="L471" s="27">
        <f>SUMIFS(실시간콜입력!$K:$K,실시간콜입력!$B:$B,$A471,실시간콜입력!$G:$G,$B471,실시간콜입력!$O:$O,"방문완료")+SUMIFS(실시간콜입력!$L:$L,실시간콜입력!$B:$B,$A471,실시간콜입력!$H:$H,$B471,실시간콜입력!$O:$O,"방문완료")</f>
        <v>0</v>
      </c>
      <c r="M471" s="29" t="str">
        <f t="shared" si="62"/>
        <v/>
      </c>
      <c r="N471" s="29"/>
    </row>
    <row r="472" spans="1:14" ht="19.5" hidden="1" customHeight="1" outlineLevel="1">
      <c r="A472" s="30">
        <f>IF(9&lt;=DAY(DATE(YEAR(설정_코스수당!$K$2),MONTH(설정_코스수당!$K$2)+1,0)),DATE(YEAR(설정_코스수당!$K$2),MONTH(설정_코스수당!$K$2),9),"")</f>
        <v>46182</v>
      </c>
      <c r="B472" s="29" t="s">
        <v>212</v>
      </c>
      <c r="C472" s="29"/>
      <c r="D472" s="29"/>
      <c r="E472" s="29" t="str">
        <f t="shared" si="60"/>
        <v/>
      </c>
      <c r="F472" s="29">
        <f>COUNTIFS(실시간콜입력!$B:$B,$A472,실시간콜입력!$E:$E,"A",실시간콜입력!$G:$G,$B472,실시간콜입력!$O:$O,"방문완료")+COUNTIFS(실시간콜입력!$B:$B,$A472,실시간콜입력!$E:$E,"A",실시간콜입력!$H:$H,$B472,실시간콜입력!$O:$O,"방문완료")</f>
        <v>0</v>
      </c>
      <c r="G472" s="29">
        <f>COUNTIFS(실시간콜입력!$B:$B,$A472,실시간콜입력!$E:$E,"B",실시간콜입력!$G:$G,$B472,실시간콜입력!$O:$O,"방문완료")+COUNTIFS(실시간콜입력!$B:$B,$A472,실시간콜입력!$E:$E,"B",실시간콜입력!$H:$H,$B472,실시간콜입력!$O:$O,"방문완료")</f>
        <v>0</v>
      </c>
      <c r="H472" s="29">
        <f>COUNTIFS(실시간콜입력!$B:$B,$A472,실시간콜입력!$E:$E,"C",실시간콜입력!$G:$G,$B472,실시간콜입력!$O:$O,"방문완료")+COUNTIFS(실시간콜입력!$B:$B,$A472,실시간콜입력!$E:$E,"C",실시간콜입력!$H:$H,$B472,실시간콜입력!$O:$O,"방문완료")</f>
        <v>0</v>
      </c>
      <c r="I472" s="29">
        <f>COUNTIFS(실시간콜입력!$B:$B,$A472,실시간콜입력!$E:$E,"D",실시간콜입력!$G:$G,$B472,실시간콜입력!$O:$O,"방문완료")+COUNTIFS(실시간콜입력!$B:$B,$A472,실시간콜입력!$E:$E,"D",실시간콜입력!$H:$H,$B472,실시간콜입력!$O:$O,"방문완료")</f>
        <v>0</v>
      </c>
      <c r="J472" s="29">
        <f>COUNTIFS(실시간콜입력!$B:$B,$A472,실시간콜입력!$E:$E,"E",실시간콜입력!$G:$G,$B472,실시간콜입력!$O:$O,"방문완료")+COUNTIFS(실시간콜입력!$B:$B,$A472,실시간콜입력!$E:$E,"E",실시간콜입력!$H:$H,$B472,실시간콜입력!$O:$O,"방문완료")</f>
        <v>0</v>
      </c>
      <c r="K472" s="29">
        <f t="shared" si="61"/>
        <v>0</v>
      </c>
      <c r="L472" s="33">
        <f>SUMIFS(실시간콜입력!$K:$K,실시간콜입력!$B:$B,$A472,실시간콜입력!$G:$G,$B472,실시간콜입력!$O:$O,"방문완료")+SUMIFS(실시간콜입력!$L:$L,실시간콜입력!$B:$B,$A472,실시간콜입력!$H:$H,$B472,실시간콜입력!$O:$O,"방문완료")</f>
        <v>0</v>
      </c>
      <c r="M472" s="29" t="str">
        <f t="shared" si="62"/>
        <v/>
      </c>
      <c r="N472" s="29"/>
    </row>
    <row r="473" spans="1:14" ht="21.75" customHeight="1" collapsed="1">
      <c r="A473" s="64">
        <f>IF(10&lt;=DAY(DATE(YEAR(설정_코스수당!$K$2),MONTH(설정_코스수당!$K$2)+1,0)),DATE(YEAR(설정_코스수당!$K$2),MONTH(설정_코스수당!$K$2),10),"")</f>
        <v>46183</v>
      </c>
      <c r="B473" s="65" t="str">
        <f>IF(A473="","","출근 "&amp;COUNTIF(C475:C524,"&lt;&gt;")&amp;"명")</f>
        <v>출근 0명</v>
      </c>
      <c r="C473" s="65" t="str">
        <f>IF(A473="","","만근 "&amp;COUNTIF(M475:M524,"인정")&amp;"명")</f>
        <v>만근 0명</v>
      </c>
      <c r="D473" s="65" t="str">
        <f>IFERROR("평균 "&amp;TEXT(AVERAGEIF(E475:E524,"&gt;0",E475:E524),"0.0")&amp;"h","평균 -")</f>
        <v>평균 -</v>
      </c>
      <c r="E473" s="65" t="s">
        <v>163</v>
      </c>
      <c r="F473" s="65">
        <f t="shared" ref="F473:L473" si="63">SUM(F475:F524)</f>
        <v>0</v>
      </c>
      <c r="G473" s="65">
        <f t="shared" si="63"/>
        <v>0</v>
      </c>
      <c r="H473" s="65">
        <f t="shared" si="63"/>
        <v>0</v>
      </c>
      <c r="I473" s="65">
        <f t="shared" si="63"/>
        <v>0</v>
      </c>
      <c r="J473" s="65">
        <f t="shared" si="63"/>
        <v>0</v>
      </c>
      <c r="K473" s="65">
        <f t="shared" si="63"/>
        <v>0</v>
      </c>
      <c r="L473" s="66">
        <f t="shared" si="63"/>
        <v>0</v>
      </c>
      <c r="M473" s="65">
        <f>COUNTIF(M475:M524,"인정")</f>
        <v>0</v>
      </c>
      <c r="N473" s="65" t="s">
        <v>164</v>
      </c>
    </row>
    <row r="474" spans="1:14" ht="19.5" hidden="1" customHeight="1" outlineLevel="1">
      <c r="A474" s="20" t="s">
        <v>42</v>
      </c>
      <c r="B474" s="20" t="s">
        <v>152</v>
      </c>
      <c r="C474" s="20" t="s">
        <v>153</v>
      </c>
      <c r="D474" s="20" t="s">
        <v>154</v>
      </c>
      <c r="E474" s="20" t="s">
        <v>155</v>
      </c>
      <c r="F474" s="20" t="s">
        <v>156</v>
      </c>
      <c r="G474" s="20" t="s">
        <v>157</v>
      </c>
      <c r="H474" s="20" t="s">
        <v>158</v>
      </c>
      <c r="I474" s="20" t="s">
        <v>159</v>
      </c>
      <c r="J474" s="20" t="s">
        <v>160</v>
      </c>
      <c r="K474" s="20" t="s">
        <v>118</v>
      </c>
      <c r="L474" s="20" t="s">
        <v>161</v>
      </c>
      <c r="M474" s="20" t="s">
        <v>162</v>
      </c>
      <c r="N474" s="20" t="s">
        <v>95</v>
      </c>
    </row>
    <row r="475" spans="1:14" ht="19.5" hidden="1" customHeight="1" outlineLevel="1">
      <c r="A475" s="24">
        <f>IF(10&lt;=DAY(DATE(YEAR(설정_코스수당!$K$2),MONTH(설정_코스수당!$K$2)+1,0)),DATE(YEAR(설정_코스수당!$K$2),MONTH(설정_코스수당!$K$2),10),"")</f>
        <v>46183</v>
      </c>
      <c r="B475" s="23" t="s">
        <v>47</v>
      </c>
      <c r="C475" s="23"/>
      <c r="D475" s="23"/>
      <c r="E475" s="23" t="str">
        <f t="shared" ref="E475:E506" si="64">IF(AND(C475&lt;&gt;"",D475&lt;&gt;""),IF(D475&lt;C475,D475+1-C475,D475-C475)*24,"")</f>
        <v/>
      </c>
      <c r="F475" s="23">
        <f>COUNTIFS(실시간콜입력!$B:$B,$A475,실시간콜입력!$E:$E,"A",실시간콜입력!$G:$G,$B475,실시간콜입력!$O:$O,"방문완료")+COUNTIFS(실시간콜입력!$B:$B,$A475,실시간콜입력!$E:$E,"A",실시간콜입력!$H:$H,$B475,실시간콜입력!$O:$O,"방문완료")</f>
        <v>0</v>
      </c>
      <c r="G475" s="23">
        <f>COUNTIFS(실시간콜입력!$B:$B,$A475,실시간콜입력!$E:$E,"B",실시간콜입력!$G:$G,$B475,실시간콜입력!$O:$O,"방문완료")+COUNTIFS(실시간콜입력!$B:$B,$A475,실시간콜입력!$E:$E,"B",실시간콜입력!$H:$H,$B475,실시간콜입력!$O:$O,"방문완료")</f>
        <v>0</v>
      </c>
      <c r="H475" s="23">
        <f>COUNTIFS(실시간콜입력!$B:$B,$A475,실시간콜입력!$E:$E,"C",실시간콜입력!$G:$G,$B475,실시간콜입력!$O:$O,"방문완료")+COUNTIFS(실시간콜입력!$B:$B,$A475,실시간콜입력!$E:$E,"C",실시간콜입력!$H:$H,$B475,실시간콜입력!$O:$O,"방문완료")</f>
        <v>0</v>
      </c>
      <c r="I475" s="23">
        <f>COUNTIFS(실시간콜입력!$B:$B,$A475,실시간콜입력!$E:$E,"D",실시간콜입력!$G:$G,$B475,실시간콜입력!$O:$O,"방문완료")+COUNTIFS(실시간콜입력!$B:$B,$A475,실시간콜입력!$E:$E,"D",실시간콜입력!$H:$H,$B475,실시간콜입력!$O:$O,"방문완료")</f>
        <v>0</v>
      </c>
      <c r="J475" s="23">
        <f>COUNTIFS(실시간콜입력!$B:$B,$A475,실시간콜입력!$E:$E,"E",실시간콜입력!$G:$G,$B475,실시간콜입력!$O:$O,"방문완료")+COUNTIFS(실시간콜입력!$B:$B,$A475,실시간콜입력!$E:$E,"E",실시간콜입력!$H:$H,$B475,실시간콜입력!$O:$O,"방문완료")</f>
        <v>0</v>
      </c>
      <c r="K475" s="23">
        <f t="shared" ref="K475:K506" si="65">SUM(F475:J475)</f>
        <v>0</v>
      </c>
      <c r="L475" s="27">
        <f>SUMIFS(실시간콜입력!$K:$K,실시간콜입력!$B:$B,$A475,실시간콜입력!$G:$G,$B475,실시간콜입력!$O:$O,"방문완료")+SUMIFS(실시간콜입력!$L:$L,실시간콜입력!$B:$B,$A475,실시간콜입력!$H:$H,$B475,실시간콜입력!$O:$O,"방문완료")</f>
        <v>0</v>
      </c>
      <c r="M475" s="23" t="str">
        <f t="shared" ref="M475:M506" si="66">IF(AND(ISNUMBER(E475),E475&gt;=8),"인정","")</f>
        <v/>
      </c>
      <c r="N475" s="23"/>
    </row>
    <row r="476" spans="1:14" ht="19.5" hidden="1" customHeight="1" outlineLevel="1">
      <c r="A476" s="30">
        <f>IF(10&lt;=DAY(DATE(YEAR(설정_코스수당!$K$2),MONTH(설정_코스수당!$K$2)+1,0)),DATE(YEAR(설정_코스수당!$K$2),MONTH(설정_코스수당!$K$2),10),"")</f>
        <v>46183</v>
      </c>
      <c r="B476" s="29" t="s">
        <v>48</v>
      </c>
      <c r="C476" s="29"/>
      <c r="D476" s="29"/>
      <c r="E476" s="29" t="str">
        <f t="shared" si="64"/>
        <v/>
      </c>
      <c r="F476" s="29">
        <f>COUNTIFS(실시간콜입력!$B:$B,$A476,실시간콜입력!$E:$E,"A",실시간콜입력!$G:$G,$B476,실시간콜입력!$O:$O,"방문완료")+COUNTIFS(실시간콜입력!$B:$B,$A476,실시간콜입력!$E:$E,"A",실시간콜입력!$H:$H,$B476,실시간콜입력!$O:$O,"방문완료")</f>
        <v>0</v>
      </c>
      <c r="G476" s="29">
        <f>COUNTIFS(실시간콜입력!$B:$B,$A476,실시간콜입력!$E:$E,"B",실시간콜입력!$G:$G,$B476,실시간콜입력!$O:$O,"방문완료")+COUNTIFS(실시간콜입력!$B:$B,$A476,실시간콜입력!$E:$E,"B",실시간콜입력!$H:$H,$B476,실시간콜입력!$O:$O,"방문완료")</f>
        <v>0</v>
      </c>
      <c r="H476" s="29">
        <f>COUNTIFS(실시간콜입력!$B:$B,$A476,실시간콜입력!$E:$E,"C",실시간콜입력!$G:$G,$B476,실시간콜입력!$O:$O,"방문완료")+COUNTIFS(실시간콜입력!$B:$B,$A476,실시간콜입력!$E:$E,"C",실시간콜입력!$H:$H,$B476,실시간콜입력!$O:$O,"방문완료")</f>
        <v>0</v>
      </c>
      <c r="I476" s="29">
        <f>COUNTIFS(실시간콜입력!$B:$B,$A476,실시간콜입력!$E:$E,"D",실시간콜입력!$G:$G,$B476,실시간콜입력!$O:$O,"방문완료")+COUNTIFS(실시간콜입력!$B:$B,$A476,실시간콜입력!$E:$E,"D",실시간콜입력!$H:$H,$B476,실시간콜입력!$O:$O,"방문완료")</f>
        <v>0</v>
      </c>
      <c r="J476" s="29">
        <f>COUNTIFS(실시간콜입력!$B:$B,$A476,실시간콜입력!$E:$E,"E",실시간콜입력!$G:$G,$B476,실시간콜입력!$O:$O,"방문완료")+COUNTIFS(실시간콜입력!$B:$B,$A476,실시간콜입력!$E:$E,"E",실시간콜입력!$H:$H,$B476,실시간콜입력!$O:$O,"방문완료")</f>
        <v>0</v>
      </c>
      <c r="K476" s="29">
        <f t="shared" si="65"/>
        <v>0</v>
      </c>
      <c r="L476" s="33">
        <f>SUMIFS(실시간콜입력!$K:$K,실시간콜입력!$B:$B,$A476,실시간콜입력!$G:$G,$B476,실시간콜입력!$O:$O,"방문완료")+SUMIFS(실시간콜입력!$L:$L,실시간콜입력!$B:$B,$A476,실시간콜입력!$H:$H,$B476,실시간콜입력!$O:$O,"방문완료")</f>
        <v>0</v>
      </c>
      <c r="M476" s="29" t="str">
        <f t="shared" si="66"/>
        <v/>
      </c>
      <c r="N476" s="29"/>
    </row>
    <row r="477" spans="1:14" ht="19.5" hidden="1" customHeight="1" outlineLevel="1">
      <c r="A477" s="24">
        <f>IF(10&lt;=DAY(DATE(YEAR(설정_코스수당!$K$2),MONTH(설정_코스수당!$K$2)+1,0)),DATE(YEAR(설정_코스수당!$K$2),MONTH(설정_코스수당!$K$2),10),"")</f>
        <v>46183</v>
      </c>
      <c r="B477" s="23" t="s">
        <v>165</v>
      </c>
      <c r="C477" s="29"/>
      <c r="D477" s="29"/>
      <c r="E477" s="29" t="str">
        <f t="shared" si="64"/>
        <v/>
      </c>
      <c r="F477" s="29">
        <f>COUNTIFS(실시간콜입력!$B:$B,$A477,실시간콜입력!$E:$E,"A",실시간콜입력!$G:$G,$B477,실시간콜입력!$O:$O,"방문완료")+COUNTIFS(실시간콜입력!$B:$B,$A477,실시간콜입력!$E:$E,"A",실시간콜입력!$H:$H,$B477,실시간콜입력!$O:$O,"방문완료")</f>
        <v>0</v>
      </c>
      <c r="G477" s="29">
        <f>COUNTIFS(실시간콜입력!$B:$B,$A477,실시간콜입력!$E:$E,"B",실시간콜입력!$G:$G,$B477,실시간콜입력!$O:$O,"방문완료")+COUNTIFS(실시간콜입력!$B:$B,$A477,실시간콜입력!$E:$E,"B",실시간콜입력!$H:$H,$B477,실시간콜입력!$O:$O,"방문완료")</f>
        <v>0</v>
      </c>
      <c r="H477" s="29">
        <f>COUNTIFS(실시간콜입력!$B:$B,$A477,실시간콜입력!$E:$E,"C",실시간콜입력!$G:$G,$B477,실시간콜입력!$O:$O,"방문완료")+COUNTIFS(실시간콜입력!$B:$B,$A477,실시간콜입력!$E:$E,"C",실시간콜입력!$H:$H,$B477,실시간콜입력!$O:$O,"방문완료")</f>
        <v>0</v>
      </c>
      <c r="I477" s="29">
        <f>COUNTIFS(실시간콜입력!$B:$B,$A477,실시간콜입력!$E:$E,"D",실시간콜입력!$G:$G,$B477,실시간콜입력!$O:$O,"방문완료")+COUNTIFS(실시간콜입력!$B:$B,$A477,실시간콜입력!$E:$E,"D",실시간콜입력!$H:$H,$B477,실시간콜입력!$O:$O,"방문완료")</f>
        <v>0</v>
      </c>
      <c r="J477" s="29">
        <f>COUNTIFS(실시간콜입력!$B:$B,$A477,실시간콜입력!$E:$E,"E",실시간콜입력!$G:$G,$B477,실시간콜입력!$O:$O,"방문완료")+COUNTIFS(실시간콜입력!$B:$B,$A477,실시간콜입력!$E:$E,"E",실시간콜입력!$H:$H,$B477,실시간콜입력!$O:$O,"방문완료")</f>
        <v>0</v>
      </c>
      <c r="K477" s="29">
        <f t="shared" si="65"/>
        <v>0</v>
      </c>
      <c r="L477" s="27">
        <f>SUMIFS(실시간콜입력!$K:$K,실시간콜입력!$B:$B,$A477,실시간콜입력!$G:$G,$B477,실시간콜입력!$O:$O,"방문완료")+SUMIFS(실시간콜입력!$L:$L,실시간콜입력!$B:$B,$A477,실시간콜입력!$H:$H,$B477,실시간콜입력!$O:$O,"방문완료")</f>
        <v>0</v>
      </c>
      <c r="M477" s="29" t="str">
        <f t="shared" si="66"/>
        <v/>
      </c>
      <c r="N477" s="29"/>
    </row>
    <row r="478" spans="1:14" ht="19.5" hidden="1" customHeight="1" outlineLevel="1">
      <c r="A478" s="30">
        <f>IF(10&lt;=DAY(DATE(YEAR(설정_코스수당!$K$2),MONTH(설정_코스수당!$K$2)+1,0)),DATE(YEAR(설정_코스수당!$K$2),MONTH(설정_코스수당!$K$2),10),"")</f>
        <v>46183</v>
      </c>
      <c r="B478" s="29" t="s">
        <v>166</v>
      </c>
      <c r="C478" s="29"/>
      <c r="D478" s="29"/>
      <c r="E478" s="29" t="str">
        <f t="shared" si="64"/>
        <v/>
      </c>
      <c r="F478" s="29">
        <f>COUNTIFS(실시간콜입력!$B:$B,$A478,실시간콜입력!$E:$E,"A",실시간콜입력!$G:$G,$B478,실시간콜입력!$O:$O,"방문완료")+COUNTIFS(실시간콜입력!$B:$B,$A478,실시간콜입력!$E:$E,"A",실시간콜입력!$H:$H,$B478,실시간콜입력!$O:$O,"방문완료")</f>
        <v>0</v>
      </c>
      <c r="G478" s="29">
        <f>COUNTIFS(실시간콜입력!$B:$B,$A478,실시간콜입력!$E:$E,"B",실시간콜입력!$G:$G,$B478,실시간콜입력!$O:$O,"방문완료")+COUNTIFS(실시간콜입력!$B:$B,$A478,실시간콜입력!$E:$E,"B",실시간콜입력!$H:$H,$B478,실시간콜입력!$O:$O,"방문완료")</f>
        <v>0</v>
      </c>
      <c r="H478" s="29">
        <f>COUNTIFS(실시간콜입력!$B:$B,$A478,실시간콜입력!$E:$E,"C",실시간콜입력!$G:$G,$B478,실시간콜입력!$O:$O,"방문완료")+COUNTIFS(실시간콜입력!$B:$B,$A478,실시간콜입력!$E:$E,"C",실시간콜입력!$H:$H,$B478,실시간콜입력!$O:$O,"방문완료")</f>
        <v>0</v>
      </c>
      <c r="I478" s="29">
        <f>COUNTIFS(실시간콜입력!$B:$B,$A478,실시간콜입력!$E:$E,"D",실시간콜입력!$G:$G,$B478,실시간콜입력!$O:$O,"방문완료")+COUNTIFS(실시간콜입력!$B:$B,$A478,실시간콜입력!$E:$E,"D",실시간콜입력!$H:$H,$B478,실시간콜입력!$O:$O,"방문완료")</f>
        <v>0</v>
      </c>
      <c r="J478" s="29">
        <f>COUNTIFS(실시간콜입력!$B:$B,$A478,실시간콜입력!$E:$E,"E",실시간콜입력!$G:$G,$B478,실시간콜입력!$O:$O,"방문완료")+COUNTIFS(실시간콜입력!$B:$B,$A478,실시간콜입력!$E:$E,"E",실시간콜입력!$H:$H,$B478,실시간콜입력!$O:$O,"방문완료")</f>
        <v>0</v>
      </c>
      <c r="K478" s="29">
        <f t="shared" si="65"/>
        <v>0</v>
      </c>
      <c r="L478" s="33">
        <f>SUMIFS(실시간콜입력!$K:$K,실시간콜입력!$B:$B,$A478,실시간콜입력!$G:$G,$B478,실시간콜입력!$O:$O,"방문완료")+SUMIFS(실시간콜입력!$L:$L,실시간콜입력!$B:$B,$A478,실시간콜입력!$H:$H,$B478,실시간콜입력!$O:$O,"방문완료")</f>
        <v>0</v>
      </c>
      <c r="M478" s="29" t="str">
        <f t="shared" si="66"/>
        <v/>
      </c>
      <c r="N478" s="29"/>
    </row>
    <row r="479" spans="1:14" ht="19.5" hidden="1" customHeight="1" outlineLevel="1">
      <c r="A479" s="24">
        <f>IF(10&lt;=DAY(DATE(YEAR(설정_코스수당!$K$2),MONTH(설정_코스수당!$K$2)+1,0)),DATE(YEAR(설정_코스수당!$K$2),MONTH(설정_코스수당!$K$2),10),"")</f>
        <v>46183</v>
      </c>
      <c r="B479" s="23" t="s">
        <v>167</v>
      </c>
      <c r="C479" s="29"/>
      <c r="D479" s="29"/>
      <c r="E479" s="29" t="str">
        <f t="shared" si="64"/>
        <v/>
      </c>
      <c r="F479" s="29">
        <f>COUNTIFS(실시간콜입력!$B:$B,$A479,실시간콜입력!$E:$E,"A",실시간콜입력!$G:$G,$B479,실시간콜입력!$O:$O,"방문완료")+COUNTIFS(실시간콜입력!$B:$B,$A479,실시간콜입력!$E:$E,"A",실시간콜입력!$H:$H,$B479,실시간콜입력!$O:$O,"방문완료")</f>
        <v>0</v>
      </c>
      <c r="G479" s="29">
        <f>COUNTIFS(실시간콜입력!$B:$B,$A479,실시간콜입력!$E:$E,"B",실시간콜입력!$G:$G,$B479,실시간콜입력!$O:$O,"방문완료")+COUNTIFS(실시간콜입력!$B:$B,$A479,실시간콜입력!$E:$E,"B",실시간콜입력!$H:$H,$B479,실시간콜입력!$O:$O,"방문완료")</f>
        <v>0</v>
      </c>
      <c r="H479" s="29">
        <f>COUNTIFS(실시간콜입력!$B:$B,$A479,실시간콜입력!$E:$E,"C",실시간콜입력!$G:$G,$B479,실시간콜입력!$O:$O,"방문완료")+COUNTIFS(실시간콜입력!$B:$B,$A479,실시간콜입력!$E:$E,"C",실시간콜입력!$H:$H,$B479,실시간콜입력!$O:$O,"방문완료")</f>
        <v>0</v>
      </c>
      <c r="I479" s="29">
        <f>COUNTIFS(실시간콜입력!$B:$B,$A479,실시간콜입력!$E:$E,"D",실시간콜입력!$G:$G,$B479,실시간콜입력!$O:$O,"방문완료")+COUNTIFS(실시간콜입력!$B:$B,$A479,실시간콜입력!$E:$E,"D",실시간콜입력!$H:$H,$B479,실시간콜입력!$O:$O,"방문완료")</f>
        <v>0</v>
      </c>
      <c r="J479" s="29">
        <f>COUNTIFS(실시간콜입력!$B:$B,$A479,실시간콜입력!$E:$E,"E",실시간콜입력!$G:$G,$B479,실시간콜입력!$O:$O,"방문완료")+COUNTIFS(실시간콜입력!$B:$B,$A479,실시간콜입력!$E:$E,"E",실시간콜입력!$H:$H,$B479,실시간콜입력!$O:$O,"방문완료")</f>
        <v>0</v>
      </c>
      <c r="K479" s="29">
        <f t="shared" si="65"/>
        <v>0</v>
      </c>
      <c r="L479" s="27">
        <f>SUMIFS(실시간콜입력!$K:$K,실시간콜입력!$B:$B,$A479,실시간콜입력!$G:$G,$B479,실시간콜입력!$O:$O,"방문완료")+SUMIFS(실시간콜입력!$L:$L,실시간콜입력!$B:$B,$A479,실시간콜입력!$H:$H,$B479,실시간콜입력!$O:$O,"방문완료")</f>
        <v>0</v>
      </c>
      <c r="M479" s="29" t="str">
        <f t="shared" si="66"/>
        <v/>
      </c>
      <c r="N479" s="29"/>
    </row>
    <row r="480" spans="1:14" ht="19.5" hidden="1" customHeight="1" outlineLevel="1">
      <c r="A480" s="30">
        <f>IF(10&lt;=DAY(DATE(YEAR(설정_코스수당!$K$2),MONTH(설정_코스수당!$K$2)+1,0)),DATE(YEAR(설정_코스수당!$K$2),MONTH(설정_코스수당!$K$2),10),"")</f>
        <v>46183</v>
      </c>
      <c r="B480" s="29" t="s">
        <v>168</v>
      </c>
      <c r="C480" s="29"/>
      <c r="D480" s="29"/>
      <c r="E480" s="29" t="str">
        <f t="shared" si="64"/>
        <v/>
      </c>
      <c r="F480" s="29">
        <f>COUNTIFS(실시간콜입력!$B:$B,$A480,실시간콜입력!$E:$E,"A",실시간콜입력!$G:$G,$B480,실시간콜입력!$O:$O,"방문완료")+COUNTIFS(실시간콜입력!$B:$B,$A480,실시간콜입력!$E:$E,"A",실시간콜입력!$H:$H,$B480,실시간콜입력!$O:$O,"방문완료")</f>
        <v>0</v>
      </c>
      <c r="G480" s="29">
        <f>COUNTIFS(실시간콜입력!$B:$B,$A480,실시간콜입력!$E:$E,"B",실시간콜입력!$G:$G,$B480,실시간콜입력!$O:$O,"방문완료")+COUNTIFS(실시간콜입력!$B:$B,$A480,실시간콜입력!$E:$E,"B",실시간콜입력!$H:$H,$B480,실시간콜입력!$O:$O,"방문완료")</f>
        <v>0</v>
      </c>
      <c r="H480" s="29">
        <f>COUNTIFS(실시간콜입력!$B:$B,$A480,실시간콜입력!$E:$E,"C",실시간콜입력!$G:$G,$B480,실시간콜입력!$O:$O,"방문완료")+COUNTIFS(실시간콜입력!$B:$B,$A480,실시간콜입력!$E:$E,"C",실시간콜입력!$H:$H,$B480,실시간콜입력!$O:$O,"방문완료")</f>
        <v>0</v>
      </c>
      <c r="I480" s="29">
        <f>COUNTIFS(실시간콜입력!$B:$B,$A480,실시간콜입력!$E:$E,"D",실시간콜입력!$G:$G,$B480,실시간콜입력!$O:$O,"방문완료")+COUNTIFS(실시간콜입력!$B:$B,$A480,실시간콜입력!$E:$E,"D",실시간콜입력!$H:$H,$B480,실시간콜입력!$O:$O,"방문완료")</f>
        <v>0</v>
      </c>
      <c r="J480" s="29">
        <f>COUNTIFS(실시간콜입력!$B:$B,$A480,실시간콜입력!$E:$E,"E",실시간콜입력!$G:$G,$B480,실시간콜입력!$O:$O,"방문완료")+COUNTIFS(실시간콜입력!$B:$B,$A480,실시간콜입력!$E:$E,"E",실시간콜입력!$H:$H,$B480,실시간콜입력!$O:$O,"방문완료")</f>
        <v>0</v>
      </c>
      <c r="K480" s="29">
        <f t="shared" si="65"/>
        <v>0</v>
      </c>
      <c r="L480" s="33">
        <f>SUMIFS(실시간콜입력!$K:$K,실시간콜입력!$B:$B,$A480,실시간콜입력!$G:$G,$B480,실시간콜입력!$O:$O,"방문완료")+SUMIFS(실시간콜입력!$L:$L,실시간콜입력!$B:$B,$A480,실시간콜입력!$H:$H,$B480,실시간콜입력!$O:$O,"방문완료")</f>
        <v>0</v>
      </c>
      <c r="M480" s="29" t="str">
        <f t="shared" si="66"/>
        <v/>
      </c>
      <c r="N480" s="29"/>
    </row>
    <row r="481" spans="1:14" ht="19.5" hidden="1" customHeight="1" outlineLevel="1">
      <c r="A481" s="24">
        <f>IF(10&lt;=DAY(DATE(YEAR(설정_코스수당!$K$2),MONTH(설정_코스수당!$K$2)+1,0)),DATE(YEAR(설정_코스수당!$K$2),MONTH(설정_코스수당!$K$2),10),"")</f>
        <v>46183</v>
      </c>
      <c r="B481" s="23" t="s">
        <v>169</v>
      </c>
      <c r="C481" s="29"/>
      <c r="D481" s="29"/>
      <c r="E481" s="29" t="str">
        <f t="shared" si="64"/>
        <v/>
      </c>
      <c r="F481" s="29">
        <f>COUNTIFS(실시간콜입력!$B:$B,$A481,실시간콜입력!$E:$E,"A",실시간콜입력!$G:$G,$B481,실시간콜입력!$O:$O,"방문완료")+COUNTIFS(실시간콜입력!$B:$B,$A481,실시간콜입력!$E:$E,"A",실시간콜입력!$H:$H,$B481,실시간콜입력!$O:$O,"방문완료")</f>
        <v>0</v>
      </c>
      <c r="G481" s="29">
        <f>COUNTIFS(실시간콜입력!$B:$B,$A481,실시간콜입력!$E:$E,"B",실시간콜입력!$G:$G,$B481,실시간콜입력!$O:$O,"방문완료")+COUNTIFS(실시간콜입력!$B:$B,$A481,실시간콜입력!$E:$E,"B",실시간콜입력!$H:$H,$B481,실시간콜입력!$O:$O,"방문완료")</f>
        <v>0</v>
      </c>
      <c r="H481" s="29">
        <f>COUNTIFS(실시간콜입력!$B:$B,$A481,실시간콜입력!$E:$E,"C",실시간콜입력!$G:$G,$B481,실시간콜입력!$O:$O,"방문완료")+COUNTIFS(실시간콜입력!$B:$B,$A481,실시간콜입력!$E:$E,"C",실시간콜입력!$H:$H,$B481,실시간콜입력!$O:$O,"방문완료")</f>
        <v>0</v>
      </c>
      <c r="I481" s="29">
        <f>COUNTIFS(실시간콜입력!$B:$B,$A481,실시간콜입력!$E:$E,"D",실시간콜입력!$G:$G,$B481,실시간콜입력!$O:$O,"방문완료")+COUNTIFS(실시간콜입력!$B:$B,$A481,실시간콜입력!$E:$E,"D",실시간콜입력!$H:$H,$B481,실시간콜입력!$O:$O,"방문완료")</f>
        <v>0</v>
      </c>
      <c r="J481" s="29">
        <f>COUNTIFS(실시간콜입력!$B:$B,$A481,실시간콜입력!$E:$E,"E",실시간콜입력!$G:$G,$B481,실시간콜입력!$O:$O,"방문완료")+COUNTIFS(실시간콜입력!$B:$B,$A481,실시간콜입력!$E:$E,"E",실시간콜입력!$H:$H,$B481,실시간콜입력!$O:$O,"방문완료")</f>
        <v>0</v>
      </c>
      <c r="K481" s="29">
        <f t="shared" si="65"/>
        <v>0</v>
      </c>
      <c r="L481" s="27">
        <f>SUMIFS(실시간콜입력!$K:$K,실시간콜입력!$B:$B,$A481,실시간콜입력!$G:$G,$B481,실시간콜입력!$O:$O,"방문완료")+SUMIFS(실시간콜입력!$L:$L,실시간콜입력!$B:$B,$A481,실시간콜입력!$H:$H,$B481,실시간콜입력!$O:$O,"방문완료")</f>
        <v>0</v>
      </c>
      <c r="M481" s="29" t="str">
        <f t="shared" si="66"/>
        <v/>
      </c>
      <c r="N481" s="29"/>
    </row>
    <row r="482" spans="1:14" ht="19.5" hidden="1" customHeight="1" outlineLevel="1">
      <c r="A482" s="30">
        <f>IF(10&lt;=DAY(DATE(YEAR(설정_코스수당!$K$2),MONTH(설정_코스수당!$K$2)+1,0)),DATE(YEAR(설정_코스수당!$K$2),MONTH(설정_코스수당!$K$2),10),"")</f>
        <v>46183</v>
      </c>
      <c r="B482" s="29" t="s">
        <v>170</v>
      </c>
      <c r="C482" s="29"/>
      <c r="D482" s="29"/>
      <c r="E482" s="29" t="str">
        <f t="shared" si="64"/>
        <v/>
      </c>
      <c r="F482" s="29">
        <f>COUNTIFS(실시간콜입력!$B:$B,$A482,실시간콜입력!$E:$E,"A",실시간콜입력!$G:$G,$B482,실시간콜입력!$O:$O,"방문완료")+COUNTIFS(실시간콜입력!$B:$B,$A482,실시간콜입력!$E:$E,"A",실시간콜입력!$H:$H,$B482,실시간콜입력!$O:$O,"방문완료")</f>
        <v>0</v>
      </c>
      <c r="G482" s="29">
        <f>COUNTIFS(실시간콜입력!$B:$B,$A482,실시간콜입력!$E:$E,"B",실시간콜입력!$G:$G,$B482,실시간콜입력!$O:$O,"방문완료")+COUNTIFS(실시간콜입력!$B:$B,$A482,실시간콜입력!$E:$E,"B",실시간콜입력!$H:$H,$B482,실시간콜입력!$O:$O,"방문완료")</f>
        <v>0</v>
      </c>
      <c r="H482" s="29">
        <f>COUNTIFS(실시간콜입력!$B:$B,$A482,실시간콜입력!$E:$E,"C",실시간콜입력!$G:$G,$B482,실시간콜입력!$O:$O,"방문완료")+COUNTIFS(실시간콜입력!$B:$B,$A482,실시간콜입력!$E:$E,"C",실시간콜입력!$H:$H,$B482,실시간콜입력!$O:$O,"방문완료")</f>
        <v>0</v>
      </c>
      <c r="I482" s="29">
        <f>COUNTIFS(실시간콜입력!$B:$B,$A482,실시간콜입력!$E:$E,"D",실시간콜입력!$G:$G,$B482,실시간콜입력!$O:$O,"방문완료")+COUNTIFS(실시간콜입력!$B:$B,$A482,실시간콜입력!$E:$E,"D",실시간콜입력!$H:$H,$B482,실시간콜입력!$O:$O,"방문완료")</f>
        <v>0</v>
      </c>
      <c r="J482" s="29">
        <f>COUNTIFS(실시간콜입력!$B:$B,$A482,실시간콜입력!$E:$E,"E",실시간콜입력!$G:$G,$B482,실시간콜입력!$O:$O,"방문완료")+COUNTIFS(실시간콜입력!$B:$B,$A482,실시간콜입력!$E:$E,"E",실시간콜입력!$H:$H,$B482,실시간콜입력!$O:$O,"방문완료")</f>
        <v>0</v>
      </c>
      <c r="K482" s="29">
        <f t="shared" si="65"/>
        <v>0</v>
      </c>
      <c r="L482" s="33">
        <f>SUMIFS(실시간콜입력!$K:$K,실시간콜입력!$B:$B,$A482,실시간콜입력!$G:$G,$B482,실시간콜입력!$O:$O,"방문완료")+SUMIFS(실시간콜입력!$L:$L,실시간콜입력!$B:$B,$A482,실시간콜입력!$H:$H,$B482,실시간콜입력!$O:$O,"방문완료")</f>
        <v>0</v>
      </c>
      <c r="M482" s="29" t="str">
        <f t="shared" si="66"/>
        <v/>
      </c>
      <c r="N482" s="29"/>
    </row>
    <row r="483" spans="1:14" ht="19.5" hidden="1" customHeight="1" outlineLevel="1">
      <c r="A483" s="24">
        <f>IF(10&lt;=DAY(DATE(YEAR(설정_코스수당!$K$2),MONTH(설정_코스수당!$K$2)+1,0)),DATE(YEAR(설정_코스수당!$K$2),MONTH(설정_코스수당!$K$2),10),"")</f>
        <v>46183</v>
      </c>
      <c r="B483" s="23" t="s">
        <v>171</v>
      </c>
      <c r="C483" s="29"/>
      <c r="D483" s="29"/>
      <c r="E483" s="29" t="str">
        <f t="shared" si="64"/>
        <v/>
      </c>
      <c r="F483" s="29">
        <f>COUNTIFS(실시간콜입력!$B:$B,$A483,실시간콜입력!$E:$E,"A",실시간콜입력!$G:$G,$B483,실시간콜입력!$O:$O,"방문완료")+COUNTIFS(실시간콜입력!$B:$B,$A483,실시간콜입력!$E:$E,"A",실시간콜입력!$H:$H,$B483,실시간콜입력!$O:$O,"방문완료")</f>
        <v>0</v>
      </c>
      <c r="G483" s="29">
        <f>COUNTIFS(실시간콜입력!$B:$B,$A483,실시간콜입력!$E:$E,"B",실시간콜입력!$G:$G,$B483,실시간콜입력!$O:$O,"방문완료")+COUNTIFS(실시간콜입력!$B:$B,$A483,실시간콜입력!$E:$E,"B",실시간콜입력!$H:$H,$B483,실시간콜입력!$O:$O,"방문완료")</f>
        <v>0</v>
      </c>
      <c r="H483" s="29">
        <f>COUNTIFS(실시간콜입력!$B:$B,$A483,실시간콜입력!$E:$E,"C",실시간콜입력!$G:$G,$B483,실시간콜입력!$O:$O,"방문완료")+COUNTIFS(실시간콜입력!$B:$B,$A483,실시간콜입력!$E:$E,"C",실시간콜입력!$H:$H,$B483,실시간콜입력!$O:$O,"방문완료")</f>
        <v>0</v>
      </c>
      <c r="I483" s="29">
        <f>COUNTIFS(실시간콜입력!$B:$B,$A483,실시간콜입력!$E:$E,"D",실시간콜입력!$G:$G,$B483,실시간콜입력!$O:$O,"방문완료")+COUNTIFS(실시간콜입력!$B:$B,$A483,실시간콜입력!$E:$E,"D",실시간콜입력!$H:$H,$B483,실시간콜입력!$O:$O,"방문완료")</f>
        <v>0</v>
      </c>
      <c r="J483" s="29">
        <f>COUNTIFS(실시간콜입력!$B:$B,$A483,실시간콜입력!$E:$E,"E",실시간콜입력!$G:$G,$B483,실시간콜입력!$O:$O,"방문완료")+COUNTIFS(실시간콜입력!$B:$B,$A483,실시간콜입력!$E:$E,"E",실시간콜입력!$H:$H,$B483,실시간콜입력!$O:$O,"방문완료")</f>
        <v>0</v>
      </c>
      <c r="K483" s="29">
        <f t="shared" si="65"/>
        <v>0</v>
      </c>
      <c r="L483" s="27">
        <f>SUMIFS(실시간콜입력!$K:$K,실시간콜입력!$B:$B,$A483,실시간콜입력!$G:$G,$B483,실시간콜입력!$O:$O,"방문완료")+SUMIFS(실시간콜입력!$L:$L,실시간콜입력!$B:$B,$A483,실시간콜입력!$H:$H,$B483,실시간콜입력!$O:$O,"방문완료")</f>
        <v>0</v>
      </c>
      <c r="M483" s="29" t="str">
        <f t="shared" si="66"/>
        <v/>
      </c>
      <c r="N483" s="29"/>
    </row>
    <row r="484" spans="1:14" ht="19.5" hidden="1" customHeight="1" outlineLevel="1">
      <c r="A484" s="30">
        <f>IF(10&lt;=DAY(DATE(YEAR(설정_코스수당!$K$2),MONTH(설정_코스수당!$K$2)+1,0)),DATE(YEAR(설정_코스수당!$K$2),MONTH(설정_코스수당!$K$2),10),"")</f>
        <v>46183</v>
      </c>
      <c r="B484" s="29" t="s">
        <v>172</v>
      </c>
      <c r="C484" s="29"/>
      <c r="D484" s="29"/>
      <c r="E484" s="29" t="str">
        <f t="shared" si="64"/>
        <v/>
      </c>
      <c r="F484" s="29">
        <f>COUNTIFS(실시간콜입력!$B:$B,$A484,실시간콜입력!$E:$E,"A",실시간콜입력!$G:$G,$B484,실시간콜입력!$O:$O,"방문완료")+COUNTIFS(실시간콜입력!$B:$B,$A484,실시간콜입력!$E:$E,"A",실시간콜입력!$H:$H,$B484,실시간콜입력!$O:$O,"방문완료")</f>
        <v>0</v>
      </c>
      <c r="G484" s="29">
        <f>COUNTIFS(실시간콜입력!$B:$B,$A484,실시간콜입력!$E:$E,"B",실시간콜입력!$G:$G,$B484,실시간콜입력!$O:$O,"방문완료")+COUNTIFS(실시간콜입력!$B:$B,$A484,실시간콜입력!$E:$E,"B",실시간콜입력!$H:$H,$B484,실시간콜입력!$O:$O,"방문완료")</f>
        <v>0</v>
      </c>
      <c r="H484" s="29">
        <f>COUNTIFS(실시간콜입력!$B:$B,$A484,실시간콜입력!$E:$E,"C",실시간콜입력!$G:$G,$B484,실시간콜입력!$O:$O,"방문완료")+COUNTIFS(실시간콜입력!$B:$B,$A484,실시간콜입력!$E:$E,"C",실시간콜입력!$H:$H,$B484,실시간콜입력!$O:$O,"방문완료")</f>
        <v>0</v>
      </c>
      <c r="I484" s="29">
        <f>COUNTIFS(실시간콜입력!$B:$B,$A484,실시간콜입력!$E:$E,"D",실시간콜입력!$G:$G,$B484,실시간콜입력!$O:$O,"방문완료")+COUNTIFS(실시간콜입력!$B:$B,$A484,실시간콜입력!$E:$E,"D",실시간콜입력!$H:$H,$B484,실시간콜입력!$O:$O,"방문완료")</f>
        <v>0</v>
      </c>
      <c r="J484" s="29">
        <f>COUNTIFS(실시간콜입력!$B:$B,$A484,실시간콜입력!$E:$E,"E",실시간콜입력!$G:$G,$B484,실시간콜입력!$O:$O,"방문완료")+COUNTIFS(실시간콜입력!$B:$B,$A484,실시간콜입력!$E:$E,"E",실시간콜입력!$H:$H,$B484,실시간콜입력!$O:$O,"방문완료")</f>
        <v>0</v>
      </c>
      <c r="K484" s="29">
        <f t="shared" si="65"/>
        <v>0</v>
      </c>
      <c r="L484" s="33">
        <f>SUMIFS(실시간콜입력!$K:$K,실시간콜입력!$B:$B,$A484,실시간콜입력!$G:$G,$B484,실시간콜입력!$O:$O,"방문완료")+SUMIFS(실시간콜입력!$L:$L,실시간콜입력!$B:$B,$A484,실시간콜입력!$H:$H,$B484,실시간콜입력!$O:$O,"방문완료")</f>
        <v>0</v>
      </c>
      <c r="M484" s="29" t="str">
        <f t="shared" si="66"/>
        <v/>
      </c>
      <c r="N484" s="29"/>
    </row>
    <row r="485" spans="1:14" ht="19.5" hidden="1" customHeight="1" outlineLevel="1">
      <c r="A485" s="24">
        <f>IF(10&lt;=DAY(DATE(YEAR(설정_코스수당!$K$2),MONTH(설정_코스수당!$K$2)+1,0)),DATE(YEAR(설정_코스수당!$K$2),MONTH(설정_코스수당!$K$2),10),"")</f>
        <v>46183</v>
      </c>
      <c r="B485" s="23" t="s">
        <v>173</v>
      </c>
      <c r="C485" s="29"/>
      <c r="D485" s="29"/>
      <c r="E485" s="29" t="str">
        <f t="shared" si="64"/>
        <v/>
      </c>
      <c r="F485" s="29">
        <f>COUNTIFS(실시간콜입력!$B:$B,$A485,실시간콜입력!$E:$E,"A",실시간콜입력!$G:$G,$B485,실시간콜입력!$O:$O,"방문완료")+COUNTIFS(실시간콜입력!$B:$B,$A485,실시간콜입력!$E:$E,"A",실시간콜입력!$H:$H,$B485,실시간콜입력!$O:$O,"방문완료")</f>
        <v>0</v>
      </c>
      <c r="G485" s="29">
        <f>COUNTIFS(실시간콜입력!$B:$B,$A485,실시간콜입력!$E:$E,"B",실시간콜입력!$G:$G,$B485,실시간콜입력!$O:$O,"방문완료")+COUNTIFS(실시간콜입력!$B:$B,$A485,실시간콜입력!$E:$E,"B",실시간콜입력!$H:$H,$B485,실시간콜입력!$O:$O,"방문완료")</f>
        <v>0</v>
      </c>
      <c r="H485" s="29">
        <f>COUNTIFS(실시간콜입력!$B:$B,$A485,실시간콜입력!$E:$E,"C",실시간콜입력!$G:$G,$B485,실시간콜입력!$O:$O,"방문완료")+COUNTIFS(실시간콜입력!$B:$B,$A485,실시간콜입력!$E:$E,"C",실시간콜입력!$H:$H,$B485,실시간콜입력!$O:$O,"방문완료")</f>
        <v>0</v>
      </c>
      <c r="I485" s="29">
        <f>COUNTIFS(실시간콜입력!$B:$B,$A485,실시간콜입력!$E:$E,"D",실시간콜입력!$G:$G,$B485,실시간콜입력!$O:$O,"방문완료")+COUNTIFS(실시간콜입력!$B:$B,$A485,실시간콜입력!$E:$E,"D",실시간콜입력!$H:$H,$B485,실시간콜입력!$O:$O,"방문완료")</f>
        <v>0</v>
      </c>
      <c r="J485" s="29">
        <f>COUNTIFS(실시간콜입력!$B:$B,$A485,실시간콜입력!$E:$E,"E",실시간콜입력!$G:$G,$B485,실시간콜입력!$O:$O,"방문완료")+COUNTIFS(실시간콜입력!$B:$B,$A485,실시간콜입력!$E:$E,"E",실시간콜입력!$H:$H,$B485,실시간콜입력!$O:$O,"방문완료")</f>
        <v>0</v>
      </c>
      <c r="K485" s="29">
        <f t="shared" si="65"/>
        <v>0</v>
      </c>
      <c r="L485" s="27">
        <f>SUMIFS(실시간콜입력!$K:$K,실시간콜입력!$B:$B,$A485,실시간콜입력!$G:$G,$B485,실시간콜입력!$O:$O,"방문완료")+SUMIFS(실시간콜입력!$L:$L,실시간콜입력!$B:$B,$A485,실시간콜입력!$H:$H,$B485,실시간콜입력!$O:$O,"방문완료")</f>
        <v>0</v>
      </c>
      <c r="M485" s="29" t="str">
        <f t="shared" si="66"/>
        <v/>
      </c>
      <c r="N485" s="29"/>
    </row>
    <row r="486" spans="1:14" ht="19.5" hidden="1" customHeight="1" outlineLevel="1">
      <c r="A486" s="30">
        <f>IF(10&lt;=DAY(DATE(YEAR(설정_코스수당!$K$2),MONTH(설정_코스수당!$K$2)+1,0)),DATE(YEAR(설정_코스수당!$K$2),MONTH(설정_코스수당!$K$2),10),"")</f>
        <v>46183</v>
      </c>
      <c r="B486" s="29" t="s">
        <v>174</v>
      </c>
      <c r="C486" s="29"/>
      <c r="D486" s="29"/>
      <c r="E486" s="29" t="str">
        <f t="shared" si="64"/>
        <v/>
      </c>
      <c r="F486" s="29">
        <f>COUNTIFS(실시간콜입력!$B:$B,$A486,실시간콜입력!$E:$E,"A",실시간콜입력!$G:$G,$B486,실시간콜입력!$O:$O,"방문완료")+COUNTIFS(실시간콜입력!$B:$B,$A486,실시간콜입력!$E:$E,"A",실시간콜입력!$H:$H,$B486,실시간콜입력!$O:$O,"방문완료")</f>
        <v>0</v>
      </c>
      <c r="G486" s="29">
        <f>COUNTIFS(실시간콜입력!$B:$B,$A486,실시간콜입력!$E:$E,"B",실시간콜입력!$G:$G,$B486,실시간콜입력!$O:$O,"방문완료")+COUNTIFS(실시간콜입력!$B:$B,$A486,실시간콜입력!$E:$E,"B",실시간콜입력!$H:$H,$B486,실시간콜입력!$O:$O,"방문완료")</f>
        <v>0</v>
      </c>
      <c r="H486" s="29">
        <f>COUNTIFS(실시간콜입력!$B:$B,$A486,실시간콜입력!$E:$E,"C",실시간콜입력!$G:$G,$B486,실시간콜입력!$O:$O,"방문완료")+COUNTIFS(실시간콜입력!$B:$B,$A486,실시간콜입력!$E:$E,"C",실시간콜입력!$H:$H,$B486,실시간콜입력!$O:$O,"방문완료")</f>
        <v>0</v>
      </c>
      <c r="I486" s="29">
        <f>COUNTIFS(실시간콜입력!$B:$B,$A486,실시간콜입력!$E:$E,"D",실시간콜입력!$G:$G,$B486,실시간콜입력!$O:$O,"방문완료")+COUNTIFS(실시간콜입력!$B:$B,$A486,실시간콜입력!$E:$E,"D",실시간콜입력!$H:$H,$B486,실시간콜입력!$O:$O,"방문완료")</f>
        <v>0</v>
      </c>
      <c r="J486" s="29">
        <f>COUNTIFS(실시간콜입력!$B:$B,$A486,실시간콜입력!$E:$E,"E",실시간콜입력!$G:$G,$B486,실시간콜입력!$O:$O,"방문완료")+COUNTIFS(실시간콜입력!$B:$B,$A486,실시간콜입력!$E:$E,"E",실시간콜입력!$H:$H,$B486,실시간콜입력!$O:$O,"방문완료")</f>
        <v>0</v>
      </c>
      <c r="K486" s="29">
        <f t="shared" si="65"/>
        <v>0</v>
      </c>
      <c r="L486" s="33">
        <f>SUMIFS(실시간콜입력!$K:$K,실시간콜입력!$B:$B,$A486,실시간콜입력!$G:$G,$B486,실시간콜입력!$O:$O,"방문완료")+SUMIFS(실시간콜입력!$L:$L,실시간콜입력!$B:$B,$A486,실시간콜입력!$H:$H,$B486,실시간콜입력!$O:$O,"방문완료")</f>
        <v>0</v>
      </c>
      <c r="M486" s="29" t="str">
        <f t="shared" si="66"/>
        <v/>
      </c>
      <c r="N486" s="29"/>
    </row>
    <row r="487" spans="1:14" ht="19.5" hidden="1" customHeight="1" outlineLevel="1">
      <c r="A487" s="24">
        <f>IF(10&lt;=DAY(DATE(YEAR(설정_코스수당!$K$2),MONTH(설정_코스수당!$K$2)+1,0)),DATE(YEAR(설정_코스수당!$K$2),MONTH(설정_코스수당!$K$2),10),"")</f>
        <v>46183</v>
      </c>
      <c r="B487" s="23" t="s">
        <v>175</v>
      </c>
      <c r="C487" s="29"/>
      <c r="D487" s="29"/>
      <c r="E487" s="29" t="str">
        <f t="shared" si="64"/>
        <v/>
      </c>
      <c r="F487" s="29">
        <f>COUNTIFS(실시간콜입력!$B:$B,$A487,실시간콜입력!$E:$E,"A",실시간콜입력!$G:$G,$B487,실시간콜입력!$O:$O,"방문완료")+COUNTIFS(실시간콜입력!$B:$B,$A487,실시간콜입력!$E:$E,"A",실시간콜입력!$H:$H,$B487,실시간콜입력!$O:$O,"방문완료")</f>
        <v>0</v>
      </c>
      <c r="G487" s="29">
        <f>COUNTIFS(실시간콜입력!$B:$B,$A487,실시간콜입력!$E:$E,"B",실시간콜입력!$G:$G,$B487,실시간콜입력!$O:$O,"방문완료")+COUNTIFS(실시간콜입력!$B:$B,$A487,실시간콜입력!$E:$E,"B",실시간콜입력!$H:$H,$B487,실시간콜입력!$O:$O,"방문완료")</f>
        <v>0</v>
      </c>
      <c r="H487" s="29">
        <f>COUNTIFS(실시간콜입력!$B:$B,$A487,실시간콜입력!$E:$E,"C",실시간콜입력!$G:$G,$B487,실시간콜입력!$O:$O,"방문완료")+COUNTIFS(실시간콜입력!$B:$B,$A487,실시간콜입력!$E:$E,"C",실시간콜입력!$H:$H,$B487,실시간콜입력!$O:$O,"방문완료")</f>
        <v>0</v>
      </c>
      <c r="I487" s="29">
        <f>COUNTIFS(실시간콜입력!$B:$B,$A487,실시간콜입력!$E:$E,"D",실시간콜입력!$G:$G,$B487,실시간콜입력!$O:$O,"방문완료")+COUNTIFS(실시간콜입력!$B:$B,$A487,실시간콜입력!$E:$E,"D",실시간콜입력!$H:$H,$B487,실시간콜입력!$O:$O,"방문완료")</f>
        <v>0</v>
      </c>
      <c r="J487" s="29">
        <f>COUNTIFS(실시간콜입력!$B:$B,$A487,실시간콜입력!$E:$E,"E",실시간콜입력!$G:$G,$B487,실시간콜입력!$O:$O,"방문완료")+COUNTIFS(실시간콜입력!$B:$B,$A487,실시간콜입력!$E:$E,"E",실시간콜입력!$H:$H,$B487,실시간콜입력!$O:$O,"방문완료")</f>
        <v>0</v>
      </c>
      <c r="K487" s="29">
        <f t="shared" si="65"/>
        <v>0</v>
      </c>
      <c r="L487" s="27">
        <f>SUMIFS(실시간콜입력!$K:$K,실시간콜입력!$B:$B,$A487,실시간콜입력!$G:$G,$B487,실시간콜입력!$O:$O,"방문완료")+SUMIFS(실시간콜입력!$L:$L,실시간콜입력!$B:$B,$A487,실시간콜입력!$H:$H,$B487,실시간콜입력!$O:$O,"방문완료")</f>
        <v>0</v>
      </c>
      <c r="M487" s="29" t="str">
        <f t="shared" si="66"/>
        <v/>
      </c>
      <c r="N487" s="29"/>
    </row>
    <row r="488" spans="1:14" ht="19.5" hidden="1" customHeight="1" outlineLevel="1">
      <c r="A488" s="30">
        <f>IF(10&lt;=DAY(DATE(YEAR(설정_코스수당!$K$2),MONTH(설정_코스수당!$K$2)+1,0)),DATE(YEAR(설정_코스수당!$K$2),MONTH(설정_코스수당!$K$2),10),"")</f>
        <v>46183</v>
      </c>
      <c r="B488" s="29" t="s">
        <v>176</v>
      </c>
      <c r="C488" s="29"/>
      <c r="D488" s="29"/>
      <c r="E488" s="29" t="str">
        <f t="shared" si="64"/>
        <v/>
      </c>
      <c r="F488" s="29">
        <f>COUNTIFS(실시간콜입력!$B:$B,$A488,실시간콜입력!$E:$E,"A",실시간콜입력!$G:$G,$B488,실시간콜입력!$O:$O,"방문완료")+COUNTIFS(실시간콜입력!$B:$B,$A488,실시간콜입력!$E:$E,"A",실시간콜입력!$H:$H,$B488,실시간콜입력!$O:$O,"방문완료")</f>
        <v>0</v>
      </c>
      <c r="G488" s="29">
        <f>COUNTIFS(실시간콜입력!$B:$B,$A488,실시간콜입력!$E:$E,"B",실시간콜입력!$G:$G,$B488,실시간콜입력!$O:$O,"방문완료")+COUNTIFS(실시간콜입력!$B:$B,$A488,실시간콜입력!$E:$E,"B",실시간콜입력!$H:$H,$B488,실시간콜입력!$O:$O,"방문완료")</f>
        <v>0</v>
      </c>
      <c r="H488" s="29">
        <f>COUNTIFS(실시간콜입력!$B:$B,$A488,실시간콜입력!$E:$E,"C",실시간콜입력!$G:$G,$B488,실시간콜입력!$O:$O,"방문완료")+COUNTIFS(실시간콜입력!$B:$B,$A488,실시간콜입력!$E:$E,"C",실시간콜입력!$H:$H,$B488,실시간콜입력!$O:$O,"방문완료")</f>
        <v>0</v>
      </c>
      <c r="I488" s="29">
        <f>COUNTIFS(실시간콜입력!$B:$B,$A488,실시간콜입력!$E:$E,"D",실시간콜입력!$G:$G,$B488,실시간콜입력!$O:$O,"방문완료")+COUNTIFS(실시간콜입력!$B:$B,$A488,실시간콜입력!$E:$E,"D",실시간콜입력!$H:$H,$B488,실시간콜입력!$O:$O,"방문완료")</f>
        <v>0</v>
      </c>
      <c r="J488" s="29">
        <f>COUNTIFS(실시간콜입력!$B:$B,$A488,실시간콜입력!$E:$E,"E",실시간콜입력!$G:$G,$B488,실시간콜입력!$O:$O,"방문완료")+COUNTIFS(실시간콜입력!$B:$B,$A488,실시간콜입력!$E:$E,"E",실시간콜입력!$H:$H,$B488,실시간콜입력!$O:$O,"방문완료")</f>
        <v>0</v>
      </c>
      <c r="K488" s="29">
        <f t="shared" si="65"/>
        <v>0</v>
      </c>
      <c r="L488" s="33">
        <f>SUMIFS(실시간콜입력!$K:$K,실시간콜입력!$B:$B,$A488,실시간콜입력!$G:$G,$B488,실시간콜입력!$O:$O,"방문완료")+SUMIFS(실시간콜입력!$L:$L,실시간콜입력!$B:$B,$A488,실시간콜입력!$H:$H,$B488,실시간콜입력!$O:$O,"방문완료")</f>
        <v>0</v>
      </c>
      <c r="M488" s="29" t="str">
        <f t="shared" si="66"/>
        <v/>
      </c>
      <c r="N488" s="29"/>
    </row>
    <row r="489" spans="1:14" ht="19.5" hidden="1" customHeight="1" outlineLevel="1">
      <c r="A489" s="24">
        <f>IF(10&lt;=DAY(DATE(YEAR(설정_코스수당!$K$2),MONTH(설정_코스수당!$K$2)+1,0)),DATE(YEAR(설정_코스수당!$K$2),MONTH(설정_코스수당!$K$2),10),"")</f>
        <v>46183</v>
      </c>
      <c r="B489" s="23" t="s">
        <v>177</v>
      </c>
      <c r="C489" s="29"/>
      <c r="D489" s="29"/>
      <c r="E489" s="29" t="str">
        <f t="shared" si="64"/>
        <v/>
      </c>
      <c r="F489" s="29">
        <f>COUNTIFS(실시간콜입력!$B:$B,$A489,실시간콜입력!$E:$E,"A",실시간콜입력!$G:$G,$B489,실시간콜입력!$O:$O,"방문완료")+COUNTIFS(실시간콜입력!$B:$B,$A489,실시간콜입력!$E:$E,"A",실시간콜입력!$H:$H,$B489,실시간콜입력!$O:$O,"방문완료")</f>
        <v>0</v>
      </c>
      <c r="G489" s="29">
        <f>COUNTIFS(실시간콜입력!$B:$B,$A489,실시간콜입력!$E:$E,"B",실시간콜입력!$G:$G,$B489,실시간콜입력!$O:$O,"방문완료")+COUNTIFS(실시간콜입력!$B:$B,$A489,실시간콜입력!$E:$E,"B",실시간콜입력!$H:$H,$B489,실시간콜입력!$O:$O,"방문완료")</f>
        <v>0</v>
      </c>
      <c r="H489" s="29">
        <f>COUNTIFS(실시간콜입력!$B:$B,$A489,실시간콜입력!$E:$E,"C",실시간콜입력!$G:$G,$B489,실시간콜입력!$O:$O,"방문완료")+COUNTIFS(실시간콜입력!$B:$B,$A489,실시간콜입력!$E:$E,"C",실시간콜입력!$H:$H,$B489,실시간콜입력!$O:$O,"방문완료")</f>
        <v>0</v>
      </c>
      <c r="I489" s="29">
        <f>COUNTIFS(실시간콜입력!$B:$B,$A489,실시간콜입력!$E:$E,"D",실시간콜입력!$G:$G,$B489,실시간콜입력!$O:$O,"방문완료")+COUNTIFS(실시간콜입력!$B:$B,$A489,실시간콜입력!$E:$E,"D",실시간콜입력!$H:$H,$B489,실시간콜입력!$O:$O,"방문완료")</f>
        <v>0</v>
      </c>
      <c r="J489" s="29">
        <f>COUNTIFS(실시간콜입력!$B:$B,$A489,실시간콜입력!$E:$E,"E",실시간콜입력!$G:$G,$B489,실시간콜입력!$O:$O,"방문완료")+COUNTIFS(실시간콜입력!$B:$B,$A489,실시간콜입력!$E:$E,"E",실시간콜입력!$H:$H,$B489,실시간콜입력!$O:$O,"방문완료")</f>
        <v>0</v>
      </c>
      <c r="K489" s="29">
        <f t="shared" si="65"/>
        <v>0</v>
      </c>
      <c r="L489" s="27">
        <f>SUMIFS(실시간콜입력!$K:$K,실시간콜입력!$B:$B,$A489,실시간콜입력!$G:$G,$B489,실시간콜입력!$O:$O,"방문완료")+SUMIFS(실시간콜입력!$L:$L,실시간콜입력!$B:$B,$A489,실시간콜입력!$H:$H,$B489,실시간콜입력!$O:$O,"방문완료")</f>
        <v>0</v>
      </c>
      <c r="M489" s="29" t="str">
        <f t="shared" si="66"/>
        <v/>
      </c>
      <c r="N489" s="29"/>
    </row>
    <row r="490" spans="1:14" ht="19.5" hidden="1" customHeight="1" outlineLevel="1">
      <c r="A490" s="30">
        <f>IF(10&lt;=DAY(DATE(YEAR(설정_코스수당!$K$2),MONTH(설정_코스수당!$K$2)+1,0)),DATE(YEAR(설정_코스수당!$K$2),MONTH(설정_코스수당!$K$2),10),"")</f>
        <v>46183</v>
      </c>
      <c r="B490" s="29" t="s">
        <v>178</v>
      </c>
      <c r="C490" s="29"/>
      <c r="D490" s="29"/>
      <c r="E490" s="29" t="str">
        <f t="shared" si="64"/>
        <v/>
      </c>
      <c r="F490" s="29">
        <f>COUNTIFS(실시간콜입력!$B:$B,$A490,실시간콜입력!$E:$E,"A",실시간콜입력!$G:$G,$B490,실시간콜입력!$O:$O,"방문완료")+COUNTIFS(실시간콜입력!$B:$B,$A490,실시간콜입력!$E:$E,"A",실시간콜입력!$H:$H,$B490,실시간콜입력!$O:$O,"방문완료")</f>
        <v>0</v>
      </c>
      <c r="G490" s="29">
        <f>COUNTIFS(실시간콜입력!$B:$B,$A490,실시간콜입력!$E:$E,"B",실시간콜입력!$G:$G,$B490,실시간콜입력!$O:$O,"방문완료")+COUNTIFS(실시간콜입력!$B:$B,$A490,실시간콜입력!$E:$E,"B",실시간콜입력!$H:$H,$B490,실시간콜입력!$O:$O,"방문완료")</f>
        <v>0</v>
      </c>
      <c r="H490" s="29">
        <f>COUNTIFS(실시간콜입력!$B:$B,$A490,실시간콜입력!$E:$E,"C",실시간콜입력!$G:$G,$B490,실시간콜입력!$O:$O,"방문완료")+COUNTIFS(실시간콜입력!$B:$B,$A490,실시간콜입력!$E:$E,"C",실시간콜입력!$H:$H,$B490,실시간콜입력!$O:$O,"방문완료")</f>
        <v>0</v>
      </c>
      <c r="I490" s="29">
        <f>COUNTIFS(실시간콜입력!$B:$B,$A490,실시간콜입력!$E:$E,"D",실시간콜입력!$G:$G,$B490,실시간콜입력!$O:$O,"방문완료")+COUNTIFS(실시간콜입력!$B:$B,$A490,실시간콜입력!$E:$E,"D",실시간콜입력!$H:$H,$B490,실시간콜입력!$O:$O,"방문완료")</f>
        <v>0</v>
      </c>
      <c r="J490" s="29">
        <f>COUNTIFS(실시간콜입력!$B:$B,$A490,실시간콜입력!$E:$E,"E",실시간콜입력!$G:$G,$B490,실시간콜입력!$O:$O,"방문완료")+COUNTIFS(실시간콜입력!$B:$B,$A490,실시간콜입력!$E:$E,"E",실시간콜입력!$H:$H,$B490,실시간콜입력!$O:$O,"방문완료")</f>
        <v>0</v>
      </c>
      <c r="K490" s="29">
        <f t="shared" si="65"/>
        <v>0</v>
      </c>
      <c r="L490" s="33">
        <f>SUMIFS(실시간콜입력!$K:$K,실시간콜입력!$B:$B,$A490,실시간콜입력!$G:$G,$B490,실시간콜입력!$O:$O,"방문완료")+SUMIFS(실시간콜입력!$L:$L,실시간콜입력!$B:$B,$A490,실시간콜입력!$H:$H,$B490,실시간콜입력!$O:$O,"방문완료")</f>
        <v>0</v>
      </c>
      <c r="M490" s="29" t="str">
        <f t="shared" si="66"/>
        <v/>
      </c>
      <c r="N490" s="29"/>
    </row>
    <row r="491" spans="1:14" ht="19.5" hidden="1" customHeight="1" outlineLevel="1">
      <c r="A491" s="24">
        <f>IF(10&lt;=DAY(DATE(YEAR(설정_코스수당!$K$2),MONTH(설정_코스수당!$K$2)+1,0)),DATE(YEAR(설정_코스수당!$K$2),MONTH(설정_코스수당!$K$2),10),"")</f>
        <v>46183</v>
      </c>
      <c r="B491" s="23" t="s">
        <v>179</v>
      </c>
      <c r="C491" s="29"/>
      <c r="D491" s="29"/>
      <c r="E491" s="29" t="str">
        <f t="shared" si="64"/>
        <v/>
      </c>
      <c r="F491" s="29">
        <f>COUNTIFS(실시간콜입력!$B:$B,$A491,실시간콜입력!$E:$E,"A",실시간콜입력!$G:$G,$B491,실시간콜입력!$O:$O,"방문완료")+COUNTIFS(실시간콜입력!$B:$B,$A491,실시간콜입력!$E:$E,"A",실시간콜입력!$H:$H,$B491,실시간콜입력!$O:$O,"방문완료")</f>
        <v>0</v>
      </c>
      <c r="G491" s="29">
        <f>COUNTIFS(실시간콜입력!$B:$B,$A491,실시간콜입력!$E:$E,"B",실시간콜입력!$G:$G,$B491,실시간콜입력!$O:$O,"방문완료")+COUNTIFS(실시간콜입력!$B:$B,$A491,실시간콜입력!$E:$E,"B",실시간콜입력!$H:$H,$B491,실시간콜입력!$O:$O,"방문완료")</f>
        <v>0</v>
      </c>
      <c r="H491" s="29">
        <f>COUNTIFS(실시간콜입력!$B:$B,$A491,실시간콜입력!$E:$E,"C",실시간콜입력!$G:$G,$B491,실시간콜입력!$O:$O,"방문완료")+COUNTIFS(실시간콜입력!$B:$B,$A491,실시간콜입력!$E:$E,"C",실시간콜입력!$H:$H,$B491,실시간콜입력!$O:$O,"방문완료")</f>
        <v>0</v>
      </c>
      <c r="I491" s="29">
        <f>COUNTIFS(실시간콜입력!$B:$B,$A491,실시간콜입력!$E:$E,"D",실시간콜입력!$G:$G,$B491,실시간콜입력!$O:$O,"방문완료")+COUNTIFS(실시간콜입력!$B:$B,$A491,실시간콜입력!$E:$E,"D",실시간콜입력!$H:$H,$B491,실시간콜입력!$O:$O,"방문완료")</f>
        <v>0</v>
      </c>
      <c r="J491" s="29">
        <f>COUNTIFS(실시간콜입력!$B:$B,$A491,실시간콜입력!$E:$E,"E",실시간콜입력!$G:$G,$B491,실시간콜입력!$O:$O,"방문완료")+COUNTIFS(실시간콜입력!$B:$B,$A491,실시간콜입력!$E:$E,"E",실시간콜입력!$H:$H,$B491,실시간콜입력!$O:$O,"방문완료")</f>
        <v>0</v>
      </c>
      <c r="K491" s="29">
        <f t="shared" si="65"/>
        <v>0</v>
      </c>
      <c r="L491" s="27">
        <f>SUMIFS(실시간콜입력!$K:$K,실시간콜입력!$B:$B,$A491,실시간콜입력!$G:$G,$B491,실시간콜입력!$O:$O,"방문완료")+SUMIFS(실시간콜입력!$L:$L,실시간콜입력!$B:$B,$A491,실시간콜입력!$H:$H,$B491,실시간콜입력!$O:$O,"방문완료")</f>
        <v>0</v>
      </c>
      <c r="M491" s="29" t="str">
        <f t="shared" si="66"/>
        <v/>
      </c>
      <c r="N491" s="29"/>
    </row>
    <row r="492" spans="1:14" ht="19.5" hidden="1" customHeight="1" outlineLevel="1">
      <c r="A492" s="30">
        <f>IF(10&lt;=DAY(DATE(YEAR(설정_코스수당!$K$2),MONTH(설정_코스수당!$K$2)+1,0)),DATE(YEAR(설정_코스수당!$K$2),MONTH(설정_코스수당!$K$2),10),"")</f>
        <v>46183</v>
      </c>
      <c r="B492" s="29" t="s">
        <v>180</v>
      </c>
      <c r="C492" s="29"/>
      <c r="D492" s="29"/>
      <c r="E492" s="29" t="str">
        <f t="shared" si="64"/>
        <v/>
      </c>
      <c r="F492" s="29">
        <f>COUNTIFS(실시간콜입력!$B:$B,$A492,실시간콜입력!$E:$E,"A",실시간콜입력!$G:$G,$B492,실시간콜입력!$O:$O,"방문완료")+COUNTIFS(실시간콜입력!$B:$B,$A492,실시간콜입력!$E:$E,"A",실시간콜입력!$H:$H,$B492,실시간콜입력!$O:$O,"방문완료")</f>
        <v>0</v>
      </c>
      <c r="G492" s="29">
        <f>COUNTIFS(실시간콜입력!$B:$B,$A492,실시간콜입력!$E:$E,"B",실시간콜입력!$G:$G,$B492,실시간콜입력!$O:$O,"방문완료")+COUNTIFS(실시간콜입력!$B:$B,$A492,실시간콜입력!$E:$E,"B",실시간콜입력!$H:$H,$B492,실시간콜입력!$O:$O,"방문완료")</f>
        <v>0</v>
      </c>
      <c r="H492" s="29">
        <f>COUNTIFS(실시간콜입력!$B:$B,$A492,실시간콜입력!$E:$E,"C",실시간콜입력!$G:$G,$B492,실시간콜입력!$O:$O,"방문완료")+COUNTIFS(실시간콜입력!$B:$B,$A492,실시간콜입력!$E:$E,"C",실시간콜입력!$H:$H,$B492,실시간콜입력!$O:$O,"방문완료")</f>
        <v>0</v>
      </c>
      <c r="I492" s="29">
        <f>COUNTIFS(실시간콜입력!$B:$B,$A492,실시간콜입력!$E:$E,"D",실시간콜입력!$G:$G,$B492,실시간콜입력!$O:$O,"방문완료")+COUNTIFS(실시간콜입력!$B:$B,$A492,실시간콜입력!$E:$E,"D",실시간콜입력!$H:$H,$B492,실시간콜입력!$O:$O,"방문완료")</f>
        <v>0</v>
      </c>
      <c r="J492" s="29">
        <f>COUNTIFS(실시간콜입력!$B:$B,$A492,실시간콜입력!$E:$E,"E",실시간콜입력!$G:$G,$B492,실시간콜입력!$O:$O,"방문완료")+COUNTIFS(실시간콜입력!$B:$B,$A492,실시간콜입력!$E:$E,"E",실시간콜입력!$H:$H,$B492,실시간콜입력!$O:$O,"방문완료")</f>
        <v>0</v>
      </c>
      <c r="K492" s="29">
        <f t="shared" si="65"/>
        <v>0</v>
      </c>
      <c r="L492" s="33">
        <f>SUMIFS(실시간콜입력!$K:$K,실시간콜입력!$B:$B,$A492,실시간콜입력!$G:$G,$B492,실시간콜입력!$O:$O,"방문완료")+SUMIFS(실시간콜입력!$L:$L,실시간콜입력!$B:$B,$A492,실시간콜입력!$H:$H,$B492,실시간콜입력!$O:$O,"방문완료")</f>
        <v>0</v>
      </c>
      <c r="M492" s="29" t="str">
        <f t="shared" si="66"/>
        <v/>
      </c>
      <c r="N492" s="29"/>
    </row>
    <row r="493" spans="1:14" ht="19.5" hidden="1" customHeight="1" outlineLevel="1">
      <c r="A493" s="24">
        <f>IF(10&lt;=DAY(DATE(YEAR(설정_코스수당!$K$2),MONTH(설정_코스수당!$K$2)+1,0)),DATE(YEAR(설정_코스수당!$K$2),MONTH(설정_코스수당!$K$2),10),"")</f>
        <v>46183</v>
      </c>
      <c r="B493" s="23" t="s">
        <v>181</v>
      </c>
      <c r="C493" s="29"/>
      <c r="D493" s="29"/>
      <c r="E493" s="29" t="str">
        <f t="shared" si="64"/>
        <v/>
      </c>
      <c r="F493" s="29">
        <f>COUNTIFS(실시간콜입력!$B:$B,$A493,실시간콜입력!$E:$E,"A",실시간콜입력!$G:$G,$B493,실시간콜입력!$O:$O,"방문완료")+COUNTIFS(실시간콜입력!$B:$B,$A493,실시간콜입력!$E:$E,"A",실시간콜입력!$H:$H,$B493,실시간콜입력!$O:$O,"방문완료")</f>
        <v>0</v>
      </c>
      <c r="G493" s="29">
        <f>COUNTIFS(실시간콜입력!$B:$B,$A493,실시간콜입력!$E:$E,"B",실시간콜입력!$G:$G,$B493,실시간콜입력!$O:$O,"방문완료")+COUNTIFS(실시간콜입력!$B:$B,$A493,실시간콜입력!$E:$E,"B",실시간콜입력!$H:$H,$B493,실시간콜입력!$O:$O,"방문완료")</f>
        <v>0</v>
      </c>
      <c r="H493" s="29">
        <f>COUNTIFS(실시간콜입력!$B:$B,$A493,실시간콜입력!$E:$E,"C",실시간콜입력!$G:$G,$B493,실시간콜입력!$O:$O,"방문완료")+COUNTIFS(실시간콜입력!$B:$B,$A493,실시간콜입력!$E:$E,"C",실시간콜입력!$H:$H,$B493,실시간콜입력!$O:$O,"방문완료")</f>
        <v>0</v>
      </c>
      <c r="I493" s="29">
        <f>COUNTIFS(실시간콜입력!$B:$B,$A493,실시간콜입력!$E:$E,"D",실시간콜입력!$G:$G,$B493,실시간콜입력!$O:$O,"방문완료")+COUNTIFS(실시간콜입력!$B:$B,$A493,실시간콜입력!$E:$E,"D",실시간콜입력!$H:$H,$B493,실시간콜입력!$O:$O,"방문완료")</f>
        <v>0</v>
      </c>
      <c r="J493" s="29">
        <f>COUNTIFS(실시간콜입력!$B:$B,$A493,실시간콜입력!$E:$E,"E",실시간콜입력!$G:$G,$B493,실시간콜입력!$O:$O,"방문완료")+COUNTIFS(실시간콜입력!$B:$B,$A493,실시간콜입력!$E:$E,"E",실시간콜입력!$H:$H,$B493,실시간콜입력!$O:$O,"방문완료")</f>
        <v>0</v>
      </c>
      <c r="K493" s="29">
        <f t="shared" si="65"/>
        <v>0</v>
      </c>
      <c r="L493" s="27">
        <f>SUMIFS(실시간콜입력!$K:$K,실시간콜입력!$B:$B,$A493,실시간콜입력!$G:$G,$B493,실시간콜입력!$O:$O,"방문완료")+SUMIFS(실시간콜입력!$L:$L,실시간콜입력!$B:$B,$A493,실시간콜입력!$H:$H,$B493,실시간콜입력!$O:$O,"방문완료")</f>
        <v>0</v>
      </c>
      <c r="M493" s="29" t="str">
        <f t="shared" si="66"/>
        <v/>
      </c>
      <c r="N493" s="29"/>
    </row>
    <row r="494" spans="1:14" ht="19.5" hidden="1" customHeight="1" outlineLevel="1">
      <c r="A494" s="30">
        <f>IF(10&lt;=DAY(DATE(YEAR(설정_코스수당!$K$2),MONTH(설정_코스수당!$K$2)+1,0)),DATE(YEAR(설정_코스수당!$K$2),MONTH(설정_코스수당!$K$2),10),"")</f>
        <v>46183</v>
      </c>
      <c r="B494" s="29" t="s">
        <v>182</v>
      </c>
      <c r="C494" s="29"/>
      <c r="D494" s="29"/>
      <c r="E494" s="29" t="str">
        <f t="shared" si="64"/>
        <v/>
      </c>
      <c r="F494" s="29">
        <f>COUNTIFS(실시간콜입력!$B:$B,$A494,실시간콜입력!$E:$E,"A",실시간콜입력!$G:$G,$B494,실시간콜입력!$O:$O,"방문완료")+COUNTIFS(실시간콜입력!$B:$B,$A494,실시간콜입력!$E:$E,"A",실시간콜입력!$H:$H,$B494,실시간콜입력!$O:$O,"방문완료")</f>
        <v>0</v>
      </c>
      <c r="G494" s="29">
        <f>COUNTIFS(실시간콜입력!$B:$B,$A494,실시간콜입력!$E:$E,"B",실시간콜입력!$G:$G,$B494,실시간콜입력!$O:$O,"방문완료")+COUNTIFS(실시간콜입력!$B:$B,$A494,실시간콜입력!$E:$E,"B",실시간콜입력!$H:$H,$B494,실시간콜입력!$O:$O,"방문완료")</f>
        <v>0</v>
      </c>
      <c r="H494" s="29">
        <f>COUNTIFS(실시간콜입력!$B:$B,$A494,실시간콜입력!$E:$E,"C",실시간콜입력!$G:$G,$B494,실시간콜입력!$O:$O,"방문완료")+COUNTIFS(실시간콜입력!$B:$B,$A494,실시간콜입력!$E:$E,"C",실시간콜입력!$H:$H,$B494,실시간콜입력!$O:$O,"방문완료")</f>
        <v>0</v>
      </c>
      <c r="I494" s="29">
        <f>COUNTIFS(실시간콜입력!$B:$B,$A494,실시간콜입력!$E:$E,"D",실시간콜입력!$G:$G,$B494,실시간콜입력!$O:$O,"방문완료")+COUNTIFS(실시간콜입력!$B:$B,$A494,실시간콜입력!$E:$E,"D",실시간콜입력!$H:$H,$B494,실시간콜입력!$O:$O,"방문완료")</f>
        <v>0</v>
      </c>
      <c r="J494" s="29">
        <f>COUNTIFS(실시간콜입력!$B:$B,$A494,실시간콜입력!$E:$E,"E",실시간콜입력!$G:$G,$B494,실시간콜입력!$O:$O,"방문완료")+COUNTIFS(실시간콜입력!$B:$B,$A494,실시간콜입력!$E:$E,"E",실시간콜입력!$H:$H,$B494,실시간콜입력!$O:$O,"방문완료")</f>
        <v>0</v>
      </c>
      <c r="K494" s="29">
        <f t="shared" si="65"/>
        <v>0</v>
      </c>
      <c r="L494" s="33">
        <f>SUMIFS(실시간콜입력!$K:$K,실시간콜입력!$B:$B,$A494,실시간콜입력!$G:$G,$B494,실시간콜입력!$O:$O,"방문완료")+SUMIFS(실시간콜입력!$L:$L,실시간콜입력!$B:$B,$A494,실시간콜입력!$H:$H,$B494,실시간콜입력!$O:$O,"방문완료")</f>
        <v>0</v>
      </c>
      <c r="M494" s="29" t="str">
        <f t="shared" si="66"/>
        <v/>
      </c>
      <c r="N494" s="29"/>
    </row>
    <row r="495" spans="1:14" ht="19.5" hidden="1" customHeight="1" outlineLevel="1">
      <c r="A495" s="24">
        <f>IF(10&lt;=DAY(DATE(YEAR(설정_코스수당!$K$2),MONTH(설정_코스수당!$K$2)+1,0)),DATE(YEAR(설정_코스수당!$K$2),MONTH(설정_코스수당!$K$2),10),"")</f>
        <v>46183</v>
      </c>
      <c r="B495" s="23" t="s">
        <v>183</v>
      </c>
      <c r="C495" s="29"/>
      <c r="D495" s="29"/>
      <c r="E495" s="29" t="str">
        <f t="shared" si="64"/>
        <v/>
      </c>
      <c r="F495" s="29">
        <f>COUNTIFS(실시간콜입력!$B:$B,$A495,실시간콜입력!$E:$E,"A",실시간콜입력!$G:$G,$B495,실시간콜입력!$O:$O,"방문완료")+COUNTIFS(실시간콜입력!$B:$B,$A495,실시간콜입력!$E:$E,"A",실시간콜입력!$H:$H,$B495,실시간콜입력!$O:$O,"방문완료")</f>
        <v>0</v>
      </c>
      <c r="G495" s="29">
        <f>COUNTIFS(실시간콜입력!$B:$B,$A495,실시간콜입력!$E:$E,"B",실시간콜입력!$G:$G,$B495,실시간콜입력!$O:$O,"방문완료")+COUNTIFS(실시간콜입력!$B:$B,$A495,실시간콜입력!$E:$E,"B",실시간콜입력!$H:$H,$B495,실시간콜입력!$O:$O,"방문완료")</f>
        <v>0</v>
      </c>
      <c r="H495" s="29">
        <f>COUNTIFS(실시간콜입력!$B:$B,$A495,실시간콜입력!$E:$E,"C",실시간콜입력!$G:$G,$B495,실시간콜입력!$O:$O,"방문완료")+COUNTIFS(실시간콜입력!$B:$B,$A495,실시간콜입력!$E:$E,"C",실시간콜입력!$H:$H,$B495,실시간콜입력!$O:$O,"방문완료")</f>
        <v>0</v>
      </c>
      <c r="I495" s="29">
        <f>COUNTIFS(실시간콜입력!$B:$B,$A495,실시간콜입력!$E:$E,"D",실시간콜입력!$G:$G,$B495,실시간콜입력!$O:$O,"방문완료")+COUNTIFS(실시간콜입력!$B:$B,$A495,실시간콜입력!$E:$E,"D",실시간콜입력!$H:$H,$B495,실시간콜입력!$O:$O,"방문완료")</f>
        <v>0</v>
      </c>
      <c r="J495" s="29">
        <f>COUNTIFS(실시간콜입력!$B:$B,$A495,실시간콜입력!$E:$E,"E",실시간콜입력!$G:$G,$B495,실시간콜입력!$O:$O,"방문완료")+COUNTIFS(실시간콜입력!$B:$B,$A495,실시간콜입력!$E:$E,"E",실시간콜입력!$H:$H,$B495,실시간콜입력!$O:$O,"방문완료")</f>
        <v>0</v>
      </c>
      <c r="K495" s="29">
        <f t="shared" si="65"/>
        <v>0</v>
      </c>
      <c r="L495" s="27">
        <f>SUMIFS(실시간콜입력!$K:$K,실시간콜입력!$B:$B,$A495,실시간콜입력!$G:$G,$B495,실시간콜입력!$O:$O,"방문완료")+SUMIFS(실시간콜입력!$L:$L,실시간콜입력!$B:$B,$A495,실시간콜입력!$H:$H,$B495,실시간콜입력!$O:$O,"방문완료")</f>
        <v>0</v>
      </c>
      <c r="M495" s="29" t="str">
        <f t="shared" si="66"/>
        <v/>
      </c>
      <c r="N495" s="29"/>
    </row>
    <row r="496" spans="1:14" ht="19.5" hidden="1" customHeight="1" outlineLevel="1">
      <c r="A496" s="30">
        <f>IF(10&lt;=DAY(DATE(YEAR(설정_코스수당!$K$2),MONTH(설정_코스수당!$K$2)+1,0)),DATE(YEAR(설정_코스수당!$K$2),MONTH(설정_코스수당!$K$2),10),"")</f>
        <v>46183</v>
      </c>
      <c r="B496" s="29" t="s">
        <v>184</v>
      </c>
      <c r="C496" s="29"/>
      <c r="D496" s="29"/>
      <c r="E496" s="29" t="str">
        <f t="shared" si="64"/>
        <v/>
      </c>
      <c r="F496" s="29">
        <f>COUNTIFS(실시간콜입력!$B:$B,$A496,실시간콜입력!$E:$E,"A",실시간콜입력!$G:$G,$B496,실시간콜입력!$O:$O,"방문완료")+COUNTIFS(실시간콜입력!$B:$B,$A496,실시간콜입력!$E:$E,"A",실시간콜입력!$H:$H,$B496,실시간콜입력!$O:$O,"방문완료")</f>
        <v>0</v>
      </c>
      <c r="G496" s="29">
        <f>COUNTIFS(실시간콜입력!$B:$B,$A496,실시간콜입력!$E:$E,"B",실시간콜입력!$G:$G,$B496,실시간콜입력!$O:$O,"방문완료")+COUNTIFS(실시간콜입력!$B:$B,$A496,실시간콜입력!$E:$E,"B",실시간콜입력!$H:$H,$B496,실시간콜입력!$O:$O,"방문완료")</f>
        <v>0</v>
      </c>
      <c r="H496" s="29">
        <f>COUNTIFS(실시간콜입력!$B:$B,$A496,실시간콜입력!$E:$E,"C",실시간콜입력!$G:$G,$B496,실시간콜입력!$O:$O,"방문완료")+COUNTIFS(실시간콜입력!$B:$B,$A496,실시간콜입력!$E:$E,"C",실시간콜입력!$H:$H,$B496,실시간콜입력!$O:$O,"방문완료")</f>
        <v>0</v>
      </c>
      <c r="I496" s="29">
        <f>COUNTIFS(실시간콜입력!$B:$B,$A496,실시간콜입력!$E:$E,"D",실시간콜입력!$G:$G,$B496,실시간콜입력!$O:$O,"방문완료")+COUNTIFS(실시간콜입력!$B:$B,$A496,실시간콜입력!$E:$E,"D",실시간콜입력!$H:$H,$B496,실시간콜입력!$O:$O,"방문완료")</f>
        <v>0</v>
      </c>
      <c r="J496" s="29">
        <f>COUNTIFS(실시간콜입력!$B:$B,$A496,실시간콜입력!$E:$E,"E",실시간콜입력!$G:$G,$B496,실시간콜입력!$O:$O,"방문완료")+COUNTIFS(실시간콜입력!$B:$B,$A496,실시간콜입력!$E:$E,"E",실시간콜입력!$H:$H,$B496,실시간콜입력!$O:$O,"방문완료")</f>
        <v>0</v>
      </c>
      <c r="K496" s="29">
        <f t="shared" si="65"/>
        <v>0</v>
      </c>
      <c r="L496" s="33">
        <f>SUMIFS(실시간콜입력!$K:$K,실시간콜입력!$B:$B,$A496,실시간콜입력!$G:$G,$B496,실시간콜입력!$O:$O,"방문완료")+SUMIFS(실시간콜입력!$L:$L,실시간콜입력!$B:$B,$A496,실시간콜입력!$H:$H,$B496,실시간콜입력!$O:$O,"방문완료")</f>
        <v>0</v>
      </c>
      <c r="M496" s="29" t="str">
        <f t="shared" si="66"/>
        <v/>
      </c>
      <c r="N496" s="29"/>
    </row>
    <row r="497" spans="1:14" ht="19.5" hidden="1" customHeight="1" outlineLevel="1">
      <c r="A497" s="24">
        <f>IF(10&lt;=DAY(DATE(YEAR(설정_코스수당!$K$2),MONTH(설정_코스수당!$K$2)+1,0)),DATE(YEAR(설정_코스수당!$K$2),MONTH(설정_코스수당!$K$2),10),"")</f>
        <v>46183</v>
      </c>
      <c r="B497" s="23" t="s">
        <v>185</v>
      </c>
      <c r="C497" s="29"/>
      <c r="D497" s="29"/>
      <c r="E497" s="29" t="str">
        <f t="shared" si="64"/>
        <v/>
      </c>
      <c r="F497" s="29">
        <f>COUNTIFS(실시간콜입력!$B:$B,$A497,실시간콜입력!$E:$E,"A",실시간콜입력!$G:$G,$B497,실시간콜입력!$O:$O,"방문완료")+COUNTIFS(실시간콜입력!$B:$B,$A497,실시간콜입력!$E:$E,"A",실시간콜입력!$H:$H,$B497,실시간콜입력!$O:$O,"방문완료")</f>
        <v>0</v>
      </c>
      <c r="G497" s="29">
        <f>COUNTIFS(실시간콜입력!$B:$B,$A497,실시간콜입력!$E:$E,"B",실시간콜입력!$G:$G,$B497,실시간콜입력!$O:$O,"방문완료")+COUNTIFS(실시간콜입력!$B:$B,$A497,실시간콜입력!$E:$E,"B",실시간콜입력!$H:$H,$B497,실시간콜입력!$O:$O,"방문완료")</f>
        <v>0</v>
      </c>
      <c r="H497" s="29">
        <f>COUNTIFS(실시간콜입력!$B:$B,$A497,실시간콜입력!$E:$E,"C",실시간콜입력!$G:$G,$B497,실시간콜입력!$O:$O,"방문완료")+COUNTIFS(실시간콜입력!$B:$B,$A497,실시간콜입력!$E:$E,"C",실시간콜입력!$H:$H,$B497,실시간콜입력!$O:$O,"방문완료")</f>
        <v>0</v>
      </c>
      <c r="I497" s="29">
        <f>COUNTIFS(실시간콜입력!$B:$B,$A497,실시간콜입력!$E:$E,"D",실시간콜입력!$G:$G,$B497,실시간콜입력!$O:$O,"방문완료")+COUNTIFS(실시간콜입력!$B:$B,$A497,실시간콜입력!$E:$E,"D",실시간콜입력!$H:$H,$B497,실시간콜입력!$O:$O,"방문완료")</f>
        <v>0</v>
      </c>
      <c r="J497" s="29">
        <f>COUNTIFS(실시간콜입력!$B:$B,$A497,실시간콜입력!$E:$E,"E",실시간콜입력!$G:$G,$B497,실시간콜입력!$O:$O,"방문완료")+COUNTIFS(실시간콜입력!$B:$B,$A497,실시간콜입력!$E:$E,"E",실시간콜입력!$H:$H,$B497,실시간콜입력!$O:$O,"방문완료")</f>
        <v>0</v>
      </c>
      <c r="K497" s="29">
        <f t="shared" si="65"/>
        <v>0</v>
      </c>
      <c r="L497" s="27">
        <f>SUMIFS(실시간콜입력!$K:$K,실시간콜입력!$B:$B,$A497,실시간콜입력!$G:$G,$B497,실시간콜입력!$O:$O,"방문완료")+SUMIFS(실시간콜입력!$L:$L,실시간콜입력!$B:$B,$A497,실시간콜입력!$H:$H,$B497,실시간콜입력!$O:$O,"방문완료")</f>
        <v>0</v>
      </c>
      <c r="M497" s="29" t="str">
        <f t="shared" si="66"/>
        <v/>
      </c>
      <c r="N497" s="29"/>
    </row>
    <row r="498" spans="1:14" ht="19.5" hidden="1" customHeight="1" outlineLevel="1">
      <c r="A498" s="30">
        <f>IF(10&lt;=DAY(DATE(YEAR(설정_코스수당!$K$2),MONTH(설정_코스수당!$K$2)+1,0)),DATE(YEAR(설정_코스수당!$K$2),MONTH(설정_코스수당!$K$2),10),"")</f>
        <v>46183</v>
      </c>
      <c r="B498" s="29" t="s">
        <v>186</v>
      </c>
      <c r="C498" s="29"/>
      <c r="D498" s="29"/>
      <c r="E498" s="29" t="str">
        <f t="shared" si="64"/>
        <v/>
      </c>
      <c r="F498" s="29">
        <f>COUNTIFS(실시간콜입력!$B:$B,$A498,실시간콜입력!$E:$E,"A",실시간콜입력!$G:$G,$B498,실시간콜입력!$O:$O,"방문완료")+COUNTIFS(실시간콜입력!$B:$B,$A498,실시간콜입력!$E:$E,"A",실시간콜입력!$H:$H,$B498,실시간콜입력!$O:$O,"방문완료")</f>
        <v>0</v>
      </c>
      <c r="G498" s="29">
        <f>COUNTIFS(실시간콜입력!$B:$B,$A498,실시간콜입력!$E:$E,"B",실시간콜입력!$G:$G,$B498,실시간콜입력!$O:$O,"방문완료")+COUNTIFS(실시간콜입력!$B:$B,$A498,실시간콜입력!$E:$E,"B",실시간콜입력!$H:$H,$B498,실시간콜입력!$O:$O,"방문완료")</f>
        <v>0</v>
      </c>
      <c r="H498" s="29">
        <f>COUNTIFS(실시간콜입력!$B:$B,$A498,실시간콜입력!$E:$E,"C",실시간콜입력!$G:$G,$B498,실시간콜입력!$O:$O,"방문완료")+COUNTIFS(실시간콜입력!$B:$B,$A498,실시간콜입력!$E:$E,"C",실시간콜입력!$H:$H,$B498,실시간콜입력!$O:$O,"방문완료")</f>
        <v>0</v>
      </c>
      <c r="I498" s="29">
        <f>COUNTIFS(실시간콜입력!$B:$B,$A498,실시간콜입력!$E:$E,"D",실시간콜입력!$G:$G,$B498,실시간콜입력!$O:$O,"방문완료")+COUNTIFS(실시간콜입력!$B:$B,$A498,실시간콜입력!$E:$E,"D",실시간콜입력!$H:$H,$B498,실시간콜입력!$O:$O,"방문완료")</f>
        <v>0</v>
      </c>
      <c r="J498" s="29">
        <f>COUNTIFS(실시간콜입력!$B:$B,$A498,실시간콜입력!$E:$E,"E",실시간콜입력!$G:$G,$B498,실시간콜입력!$O:$O,"방문완료")+COUNTIFS(실시간콜입력!$B:$B,$A498,실시간콜입력!$E:$E,"E",실시간콜입력!$H:$H,$B498,실시간콜입력!$O:$O,"방문완료")</f>
        <v>0</v>
      </c>
      <c r="K498" s="29">
        <f t="shared" si="65"/>
        <v>0</v>
      </c>
      <c r="L498" s="33">
        <f>SUMIFS(실시간콜입력!$K:$K,실시간콜입력!$B:$B,$A498,실시간콜입력!$G:$G,$B498,실시간콜입력!$O:$O,"방문완료")+SUMIFS(실시간콜입력!$L:$L,실시간콜입력!$B:$B,$A498,실시간콜입력!$H:$H,$B498,실시간콜입력!$O:$O,"방문완료")</f>
        <v>0</v>
      </c>
      <c r="M498" s="29" t="str">
        <f t="shared" si="66"/>
        <v/>
      </c>
      <c r="N498" s="29"/>
    </row>
    <row r="499" spans="1:14" ht="19.5" hidden="1" customHeight="1" outlineLevel="1">
      <c r="A499" s="24">
        <f>IF(10&lt;=DAY(DATE(YEAR(설정_코스수당!$K$2),MONTH(설정_코스수당!$K$2)+1,0)),DATE(YEAR(설정_코스수당!$K$2),MONTH(설정_코스수당!$K$2),10),"")</f>
        <v>46183</v>
      </c>
      <c r="B499" s="23" t="s">
        <v>187</v>
      </c>
      <c r="C499" s="29"/>
      <c r="D499" s="29"/>
      <c r="E499" s="29" t="str">
        <f t="shared" si="64"/>
        <v/>
      </c>
      <c r="F499" s="29">
        <f>COUNTIFS(실시간콜입력!$B:$B,$A499,실시간콜입력!$E:$E,"A",실시간콜입력!$G:$G,$B499,실시간콜입력!$O:$O,"방문완료")+COUNTIFS(실시간콜입력!$B:$B,$A499,실시간콜입력!$E:$E,"A",실시간콜입력!$H:$H,$B499,실시간콜입력!$O:$O,"방문완료")</f>
        <v>0</v>
      </c>
      <c r="G499" s="29">
        <f>COUNTIFS(실시간콜입력!$B:$B,$A499,실시간콜입력!$E:$E,"B",실시간콜입력!$G:$G,$B499,실시간콜입력!$O:$O,"방문완료")+COUNTIFS(실시간콜입력!$B:$B,$A499,실시간콜입력!$E:$E,"B",실시간콜입력!$H:$H,$B499,실시간콜입력!$O:$O,"방문완료")</f>
        <v>0</v>
      </c>
      <c r="H499" s="29">
        <f>COUNTIFS(실시간콜입력!$B:$B,$A499,실시간콜입력!$E:$E,"C",실시간콜입력!$G:$G,$B499,실시간콜입력!$O:$O,"방문완료")+COUNTIFS(실시간콜입력!$B:$B,$A499,실시간콜입력!$E:$E,"C",실시간콜입력!$H:$H,$B499,실시간콜입력!$O:$O,"방문완료")</f>
        <v>0</v>
      </c>
      <c r="I499" s="29">
        <f>COUNTIFS(실시간콜입력!$B:$B,$A499,실시간콜입력!$E:$E,"D",실시간콜입력!$G:$G,$B499,실시간콜입력!$O:$O,"방문완료")+COUNTIFS(실시간콜입력!$B:$B,$A499,실시간콜입력!$E:$E,"D",실시간콜입력!$H:$H,$B499,실시간콜입력!$O:$O,"방문완료")</f>
        <v>0</v>
      </c>
      <c r="J499" s="29">
        <f>COUNTIFS(실시간콜입력!$B:$B,$A499,실시간콜입력!$E:$E,"E",실시간콜입력!$G:$G,$B499,실시간콜입력!$O:$O,"방문완료")+COUNTIFS(실시간콜입력!$B:$B,$A499,실시간콜입력!$E:$E,"E",실시간콜입력!$H:$H,$B499,실시간콜입력!$O:$O,"방문완료")</f>
        <v>0</v>
      </c>
      <c r="K499" s="29">
        <f t="shared" si="65"/>
        <v>0</v>
      </c>
      <c r="L499" s="27">
        <f>SUMIFS(실시간콜입력!$K:$K,실시간콜입력!$B:$B,$A499,실시간콜입력!$G:$G,$B499,실시간콜입력!$O:$O,"방문완료")+SUMIFS(실시간콜입력!$L:$L,실시간콜입력!$B:$B,$A499,실시간콜입력!$H:$H,$B499,실시간콜입력!$O:$O,"방문완료")</f>
        <v>0</v>
      </c>
      <c r="M499" s="29" t="str">
        <f t="shared" si="66"/>
        <v/>
      </c>
      <c r="N499" s="29"/>
    </row>
    <row r="500" spans="1:14" ht="19.5" hidden="1" customHeight="1" outlineLevel="1">
      <c r="A500" s="30">
        <f>IF(10&lt;=DAY(DATE(YEAR(설정_코스수당!$K$2),MONTH(설정_코스수당!$K$2)+1,0)),DATE(YEAR(설정_코스수당!$K$2),MONTH(설정_코스수당!$K$2),10),"")</f>
        <v>46183</v>
      </c>
      <c r="B500" s="29" t="s">
        <v>188</v>
      </c>
      <c r="C500" s="29"/>
      <c r="D500" s="29"/>
      <c r="E500" s="29" t="str">
        <f t="shared" si="64"/>
        <v/>
      </c>
      <c r="F500" s="29">
        <f>COUNTIFS(실시간콜입력!$B:$B,$A500,실시간콜입력!$E:$E,"A",실시간콜입력!$G:$G,$B500,실시간콜입력!$O:$O,"방문완료")+COUNTIFS(실시간콜입력!$B:$B,$A500,실시간콜입력!$E:$E,"A",실시간콜입력!$H:$H,$B500,실시간콜입력!$O:$O,"방문완료")</f>
        <v>0</v>
      </c>
      <c r="G500" s="29">
        <f>COUNTIFS(실시간콜입력!$B:$B,$A500,실시간콜입력!$E:$E,"B",실시간콜입력!$G:$G,$B500,실시간콜입력!$O:$O,"방문완료")+COUNTIFS(실시간콜입력!$B:$B,$A500,실시간콜입력!$E:$E,"B",실시간콜입력!$H:$H,$B500,실시간콜입력!$O:$O,"방문완료")</f>
        <v>0</v>
      </c>
      <c r="H500" s="29">
        <f>COUNTIFS(실시간콜입력!$B:$B,$A500,실시간콜입력!$E:$E,"C",실시간콜입력!$G:$G,$B500,실시간콜입력!$O:$O,"방문완료")+COUNTIFS(실시간콜입력!$B:$B,$A500,실시간콜입력!$E:$E,"C",실시간콜입력!$H:$H,$B500,실시간콜입력!$O:$O,"방문완료")</f>
        <v>0</v>
      </c>
      <c r="I500" s="29">
        <f>COUNTIFS(실시간콜입력!$B:$B,$A500,실시간콜입력!$E:$E,"D",실시간콜입력!$G:$G,$B500,실시간콜입력!$O:$O,"방문완료")+COUNTIFS(실시간콜입력!$B:$B,$A500,실시간콜입력!$E:$E,"D",실시간콜입력!$H:$H,$B500,실시간콜입력!$O:$O,"방문완료")</f>
        <v>0</v>
      </c>
      <c r="J500" s="29">
        <f>COUNTIFS(실시간콜입력!$B:$B,$A500,실시간콜입력!$E:$E,"E",실시간콜입력!$G:$G,$B500,실시간콜입력!$O:$O,"방문완료")+COUNTIFS(실시간콜입력!$B:$B,$A500,실시간콜입력!$E:$E,"E",실시간콜입력!$H:$H,$B500,실시간콜입력!$O:$O,"방문완료")</f>
        <v>0</v>
      </c>
      <c r="K500" s="29">
        <f t="shared" si="65"/>
        <v>0</v>
      </c>
      <c r="L500" s="33">
        <f>SUMIFS(실시간콜입력!$K:$K,실시간콜입력!$B:$B,$A500,실시간콜입력!$G:$G,$B500,실시간콜입력!$O:$O,"방문완료")+SUMIFS(실시간콜입력!$L:$L,실시간콜입력!$B:$B,$A500,실시간콜입력!$H:$H,$B500,실시간콜입력!$O:$O,"방문완료")</f>
        <v>0</v>
      </c>
      <c r="M500" s="29" t="str">
        <f t="shared" si="66"/>
        <v/>
      </c>
      <c r="N500" s="29"/>
    </row>
    <row r="501" spans="1:14" ht="19.5" hidden="1" customHeight="1" outlineLevel="1">
      <c r="A501" s="24">
        <f>IF(10&lt;=DAY(DATE(YEAR(설정_코스수당!$K$2),MONTH(설정_코스수당!$K$2)+1,0)),DATE(YEAR(설정_코스수당!$K$2),MONTH(설정_코스수당!$K$2),10),"")</f>
        <v>46183</v>
      </c>
      <c r="B501" s="23" t="s">
        <v>189</v>
      </c>
      <c r="C501" s="29"/>
      <c r="D501" s="29"/>
      <c r="E501" s="29" t="str">
        <f t="shared" si="64"/>
        <v/>
      </c>
      <c r="F501" s="29">
        <f>COUNTIFS(실시간콜입력!$B:$B,$A501,실시간콜입력!$E:$E,"A",실시간콜입력!$G:$G,$B501,실시간콜입력!$O:$O,"방문완료")+COUNTIFS(실시간콜입력!$B:$B,$A501,실시간콜입력!$E:$E,"A",실시간콜입력!$H:$H,$B501,실시간콜입력!$O:$O,"방문완료")</f>
        <v>0</v>
      </c>
      <c r="G501" s="29">
        <f>COUNTIFS(실시간콜입력!$B:$B,$A501,실시간콜입력!$E:$E,"B",실시간콜입력!$G:$G,$B501,실시간콜입력!$O:$O,"방문완료")+COUNTIFS(실시간콜입력!$B:$B,$A501,실시간콜입력!$E:$E,"B",실시간콜입력!$H:$H,$B501,실시간콜입력!$O:$O,"방문완료")</f>
        <v>0</v>
      </c>
      <c r="H501" s="29">
        <f>COUNTIFS(실시간콜입력!$B:$B,$A501,실시간콜입력!$E:$E,"C",실시간콜입력!$G:$G,$B501,실시간콜입력!$O:$O,"방문완료")+COUNTIFS(실시간콜입력!$B:$B,$A501,실시간콜입력!$E:$E,"C",실시간콜입력!$H:$H,$B501,실시간콜입력!$O:$O,"방문완료")</f>
        <v>0</v>
      </c>
      <c r="I501" s="29">
        <f>COUNTIFS(실시간콜입력!$B:$B,$A501,실시간콜입력!$E:$E,"D",실시간콜입력!$G:$G,$B501,실시간콜입력!$O:$O,"방문완료")+COUNTIFS(실시간콜입력!$B:$B,$A501,실시간콜입력!$E:$E,"D",실시간콜입력!$H:$H,$B501,실시간콜입력!$O:$O,"방문완료")</f>
        <v>0</v>
      </c>
      <c r="J501" s="29">
        <f>COUNTIFS(실시간콜입력!$B:$B,$A501,실시간콜입력!$E:$E,"E",실시간콜입력!$G:$G,$B501,실시간콜입력!$O:$O,"방문완료")+COUNTIFS(실시간콜입력!$B:$B,$A501,실시간콜입력!$E:$E,"E",실시간콜입력!$H:$H,$B501,실시간콜입력!$O:$O,"방문완료")</f>
        <v>0</v>
      </c>
      <c r="K501" s="29">
        <f t="shared" si="65"/>
        <v>0</v>
      </c>
      <c r="L501" s="27">
        <f>SUMIFS(실시간콜입력!$K:$K,실시간콜입력!$B:$B,$A501,실시간콜입력!$G:$G,$B501,실시간콜입력!$O:$O,"방문완료")+SUMIFS(실시간콜입력!$L:$L,실시간콜입력!$B:$B,$A501,실시간콜입력!$H:$H,$B501,실시간콜입력!$O:$O,"방문완료")</f>
        <v>0</v>
      </c>
      <c r="M501" s="29" t="str">
        <f t="shared" si="66"/>
        <v/>
      </c>
      <c r="N501" s="29"/>
    </row>
    <row r="502" spans="1:14" ht="19.5" hidden="1" customHeight="1" outlineLevel="1">
      <c r="A502" s="30">
        <f>IF(10&lt;=DAY(DATE(YEAR(설정_코스수당!$K$2),MONTH(설정_코스수당!$K$2)+1,0)),DATE(YEAR(설정_코스수당!$K$2),MONTH(설정_코스수당!$K$2),10),"")</f>
        <v>46183</v>
      </c>
      <c r="B502" s="29" t="s">
        <v>190</v>
      </c>
      <c r="C502" s="29"/>
      <c r="D502" s="29"/>
      <c r="E502" s="29" t="str">
        <f t="shared" si="64"/>
        <v/>
      </c>
      <c r="F502" s="29">
        <f>COUNTIFS(실시간콜입력!$B:$B,$A502,실시간콜입력!$E:$E,"A",실시간콜입력!$G:$G,$B502,실시간콜입력!$O:$O,"방문완료")+COUNTIFS(실시간콜입력!$B:$B,$A502,실시간콜입력!$E:$E,"A",실시간콜입력!$H:$H,$B502,실시간콜입력!$O:$O,"방문완료")</f>
        <v>0</v>
      </c>
      <c r="G502" s="29">
        <f>COUNTIFS(실시간콜입력!$B:$B,$A502,실시간콜입력!$E:$E,"B",실시간콜입력!$G:$G,$B502,실시간콜입력!$O:$O,"방문완료")+COUNTIFS(실시간콜입력!$B:$B,$A502,실시간콜입력!$E:$E,"B",실시간콜입력!$H:$H,$B502,실시간콜입력!$O:$O,"방문완료")</f>
        <v>0</v>
      </c>
      <c r="H502" s="29">
        <f>COUNTIFS(실시간콜입력!$B:$B,$A502,실시간콜입력!$E:$E,"C",실시간콜입력!$G:$G,$B502,실시간콜입력!$O:$O,"방문완료")+COUNTIFS(실시간콜입력!$B:$B,$A502,실시간콜입력!$E:$E,"C",실시간콜입력!$H:$H,$B502,실시간콜입력!$O:$O,"방문완료")</f>
        <v>0</v>
      </c>
      <c r="I502" s="29">
        <f>COUNTIFS(실시간콜입력!$B:$B,$A502,실시간콜입력!$E:$E,"D",실시간콜입력!$G:$G,$B502,실시간콜입력!$O:$O,"방문완료")+COUNTIFS(실시간콜입력!$B:$B,$A502,실시간콜입력!$E:$E,"D",실시간콜입력!$H:$H,$B502,실시간콜입력!$O:$O,"방문완료")</f>
        <v>0</v>
      </c>
      <c r="J502" s="29">
        <f>COUNTIFS(실시간콜입력!$B:$B,$A502,실시간콜입력!$E:$E,"E",실시간콜입력!$G:$G,$B502,실시간콜입력!$O:$O,"방문완료")+COUNTIFS(실시간콜입력!$B:$B,$A502,실시간콜입력!$E:$E,"E",실시간콜입력!$H:$H,$B502,실시간콜입력!$O:$O,"방문완료")</f>
        <v>0</v>
      </c>
      <c r="K502" s="29">
        <f t="shared" si="65"/>
        <v>0</v>
      </c>
      <c r="L502" s="33">
        <f>SUMIFS(실시간콜입력!$K:$K,실시간콜입력!$B:$B,$A502,실시간콜입력!$G:$G,$B502,실시간콜입력!$O:$O,"방문완료")+SUMIFS(실시간콜입력!$L:$L,실시간콜입력!$B:$B,$A502,실시간콜입력!$H:$H,$B502,실시간콜입력!$O:$O,"방문완료")</f>
        <v>0</v>
      </c>
      <c r="M502" s="29" t="str">
        <f t="shared" si="66"/>
        <v/>
      </c>
      <c r="N502" s="29"/>
    </row>
    <row r="503" spans="1:14" ht="19.5" hidden="1" customHeight="1" outlineLevel="1">
      <c r="A503" s="24">
        <f>IF(10&lt;=DAY(DATE(YEAR(설정_코스수당!$K$2),MONTH(설정_코스수당!$K$2)+1,0)),DATE(YEAR(설정_코스수당!$K$2),MONTH(설정_코스수당!$K$2),10),"")</f>
        <v>46183</v>
      </c>
      <c r="B503" s="23" t="s">
        <v>191</v>
      </c>
      <c r="C503" s="29"/>
      <c r="D503" s="29"/>
      <c r="E503" s="29" t="str">
        <f t="shared" si="64"/>
        <v/>
      </c>
      <c r="F503" s="29">
        <f>COUNTIFS(실시간콜입력!$B:$B,$A503,실시간콜입력!$E:$E,"A",실시간콜입력!$G:$G,$B503,실시간콜입력!$O:$O,"방문완료")+COUNTIFS(실시간콜입력!$B:$B,$A503,실시간콜입력!$E:$E,"A",실시간콜입력!$H:$H,$B503,실시간콜입력!$O:$O,"방문완료")</f>
        <v>0</v>
      </c>
      <c r="G503" s="29">
        <f>COUNTIFS(실시간콜입력!$B:$B,$A503,실시간콜입력!$E:$E,"B",실시간콜입력!$G:$G,$B503,실시간콜입력!$O:$O,"방문완료")+COUNTIFS(실시간콜입력!$B:$B,$A503,실시간콜입력!$E:$E,"B",실시간콜입력!$H:$H,$B503,실시간콜입력!$O:$O,"방문완료")</f>
        <v>0</v>
      </c>
      <c r="H503" s="29">
        <f>COUNTIFS(실시간콜입력!$B:$B,$A503,실시간콜입력!$E:$E,"C",실시간콜입력!$G:$G,$B503,실시간콜입력!$O:$O,"방문완료")+COUNTIFS(실시간콜입력!$B:$B,$A503,실시간콜입력!$E:$E,"C",실시간콜입력!$H:$H,$B503,실시간콜입력!$O:$O,"방문완료")</f>
        <v>0</v>
      </c>
      <c r="I503" s="29">
        <f>COUNTIFS(실시간콜입력!$B:$B,$A503,실시간콜입력!$E:$E,"D",실시간콜입력!$G:$G,$B503,실시간콜입력!$O:$O,"방문완료")+COUNTIFS(실시간콜입력!$B:$B,$A503,실시간콜입력!$E:$E,"D",실시간콜입력!$H:$H,$B503,실시간콜입력!$O:$O,"방문완료")</f>
        <v>0</v>
      </c>
      <c r="J503" s="29">
        <f>COUNTIFS(실시간콜입력!$B:$B,$A503,실시간콜입력!$E:$E,"E",실시간콜입력!$G:$G,$B503,실시간콜입력!$O:$O,"방문완료")+COUNTIFS(실시간콜입력!$B:$B,$A503,실시간콜입력!$E:$E,"E",실시간콜입력!$H:$H,$B503,실시간콜입력!$O:$O,"방문완료")</f>
        <v>0</v>
      </c>
      <c r="K503" s="29">
        <f t="shared" si="65"/>
        <v>0</v>
      </c>
      <c r="L503" s="27">
        <f>SUMIFS(실시간콜입력!$K:$K,실시간콜입력!$B:$B,$A503,실시간콜입력!$G:$G,$B503,실시간콜입력!$O:$O,"방문완료")+SUMIFS(실시간콜입력!$L:$L,실시간콜입력!$B:$B,$A503,실시간콜입력!$H:$H,$B503,실시간콜입력!$O:$O,"방문완료")</f>
        <v>0</v>
      </c>
      <c r="M503" s="29" t="str">
        <f t="shared" si="66"/>
        <v/>
      </c>
      <c r="N503" s="29"/>
    </row>
    <row r="504" spans="1:14" ht="19.5" hidden="1" customHeight="1" outlineLevel="1">
      <c r="A504" s="30">
        <f>IF(10&lt;=DAY(DATE(YEAR(설정_코스수당!$K$2),MONTH(설정_코스수당!$K$2)+1,0)),DATE(YEAR(설정_코스수당!$K$2),MONTH(설정_코스수당!$K$2),10),"")</f>
        <v>46183</v>
      </c>
      <c r="B504" s="29" t="s">
        <v>192</v>
      </c>
      <c r="C504" s="29"/>
      <c r="D504" s="29"/>
      <c r="E504" s="29" t="str">
        <f t="shared" si="64"/>
        <v/>
      </c>
      <c r="F504" s="29">
        <f>COUNTIFS(실시간콜입력!$B:$B,$A504,실시간콜입력!$E:$E,"A",실시간콜입력!$G:$G,$B504,실시간콜입력!$O:$O,"방문완료")+COUNTIFS(실시간콜입력!$B:$B,$A504,실시간콜입력!$E:$E,"A",실시간콜입력!$H:$H,$B504,실시간콜입력!$O:$O,"방문완료")</f>
        <v>0</v>
      </c>
      <c r="G504" s="29">
        <f>COUNTIFS(실시간콜입력!$B:$B,$A504,실시간콜입력!$E:$E,"B",실시간콜입력!$G:$G,$B504,실시간콜입력!$O:$O,"방문완료")+COUNTIFS(실시간콜입력!$B:$B,$A504,실시간콜입력!$E:$E,"B",실시간콜입력!$H:$H,$B504,실시간콜입력!$O:$O,"방문완료")</f>
        <v>0</v>
      </c>
      <c r="H504" s="29">
        <f>COUNTIFS(실시간콜입력!$B:$B,$A504,실시간콜입력!$E:$E,"C",실시간콜입력!$G:$G,$B504,실시간콜입력!$O:$O,"방문완료")+COUNTIFS(실시간콜입력!$B:$B,$A504,실시간콜입력!$E:$E,"C",실시간콜입력!$H:$H,$B504,실시간콜입력!$O:$O,"방문완료")</f>
        <v>0</v>
      </c>
      <c r="I504" s="29">
        <f>COUNTIFS(실시간콜입력!$B:$B,$A504,실시간콜입력!$E:$E,"D",실시간콜입력!$G:$G,$B504,실시간콜입력!$O:$O,"방문완료")+COUNTIFS(실시간콜입력!$B:$B,$A504,실시간콜입력!$E:$E,"D",실시간콜입력!$H:$H,$B504,실시간콜입력!$O:$O,"방문완료")</f>
        <v>0</v>
      </c>
      <c r="J504" s="29">
        <f>COUNTIFS(실시간콜입력!$B:$B,$A504,실시간콜입력!$E:$E,"E",실시간콜입력!$G:$G,$B504,실시간콜입력!$O:$O,"방문완료")+COUNTIFS(실시간콜입력!$B:$B,$A504,실시간콜입력!$E:$E,"E",실시간콜입력!$H:$H,$B504,실시간콜입력!$O:$O,"방문완료")</f>
        <v>0</v>
      </c>
      <c r="K504" s="29">
        <f t="shared" si="65"/>
        <v>0</v>
      </c>
      <c r="L504" s="33">
        <f>SUMIFS(실시간콜입력!$K:$K,실시간콜입력!$B:$B,$A504,실시간콜입력!$G:$G,$B504,실시간콜입력!$O:$O,"방문완료")+SUMIFS(실시간콜입력!$L:$L,실시간콜입력!$B:$B,$A504,실시간콜입력!$H:$H,$B504,실시간콜입력!$O:$O,"방문완료")</f>
        <v>0</v>
      </c>
      <c r="M504" s="29" t="str">
        <f t="shared" si="66"/>
        <v/>
      </c>
      <c r="N504" s="29"/>
    </row>
    <row r="505" spans="1:14" ht="19.5" hidden="1" customHeight="1" outlineLevel="1">
      <c r="A505" s="24">
        <f>IF(10&lt;=DAY(DATE(YEAR(설정_코스수당!$K$2),MONTH(설정_코스수당!$K$2)+1,0)),DATE(YEAR(설정_코스수당!$K$2),MONTH(설정_코스수당!$K$2),10),"")</f>
        <v>46183</v>
      </c>
      <c r="B505" s="23" t="s">
        <v>193</v>
      </c>
      <c r="C505" s="29"/>
      <c r="D505" s="29"/>
      <c r="E505" s="29" t="str">
        <f t="shared" si="64"/>
        <v/>
      </c>
      <c r="F505" s="29">
        <f>COUNTIFS(실시간콜입력!$B:$B,$A505,실시간콜입력!$E:$E,"A",실시간콜입력!$G:$G,$B505,실시간콜입력!$O:$O,"방문완료")+COUNTIFS(실시간콜입력!$B:$B,$A505,실시간콜입력!$E:$E,"A",실시간콜입력!$H:$H,$B505,실시간콜입력!$O:$O,"방문완료")</f>
        <v>0</v>
      </c>
      <c r="G505" s="29">
        <f>COUNTIFS(실시간콜입력!$B:$B,$A505,실시간콜입력!$E:$E,"B",실시간콜입력!$G:$G,$B505,실시간콜입력!$O:$O,"방문완료")+COUNTIFS(실시간콜입력!$B:$B,$A505,실시간콜입력!$E:$E,"B",실시간콜입력!$H:$H,$B505,실시간콜입력!$O:$O,"방문완료")</f>
        <v>0</v>
      </c>
      <c r="H505" s="29">
        <f>COUNTIFS(실시간콜입력!$B:$B,$A505,실시간콜입력!$E:$E,"C",실시간콜입력!$G:$G,$B505,실시간콜입력!$O:$O,"방문완료")+COUNTIFS(실시간콜입력!$B:$B,$A505,실시간콜입력!$E:$E,"C",실시간콜입력!$H:$H,$B505,실시간콜입력!$O:$O,"방문완료")</f>
        <v>0</v>
      </c>
      <c r="I505" s="29">
        <f>COUNTIFS(실시간콜입력!$B:$B,$A505,실시간콜입력!$E:$E,"D",실시간콜입력!$G:$G,$B505,실시간콜입력!$O:$O,"방문완료")+COUNTIFS(실시간콜입력!$B:$B,$A505,실시간콜입력!$E:$E,"D",실시간콜입력!$H:$H,$B505,실시간콜입력!$O:$O,"방문완료")</f>
        <v>0</v>
      </c>
      <c r="J505" s="29">
        <f>COUNTIFS(실시간콜입력!$B:$B,$A505,실시간콜입력!$E:$E,"E",실시간콜입력!$G:$G,$B505,실시간콜입력!$O:$O,"방문완료")+COUNTIFS(실시간콜입력!$B:$B,$A505,실시간콜입력!$E:$E,"E",실시간콜입력!$H:$H,$B505,실시간콜입력!$O:$O,"방문완료")</f>
        <v>0</v>
      </c>
      <c r="K505" s="29">
        <f t="shared" si="65"/>
        <v>0</v>
      </c>
      <c r="L505" s="27">
        <f>SUMIFS(실시간콜입력!$K:$K,실시간콜입력!$B:$B,$A505,실시간콜입력!$G:$G,$B505,실시간콜입력!$O:$O,"방문완료")+SUMIFS(실시간콜입력!$L:$L,실시간콜입력!$B:$B,$A505,실시간콜입력!$H:$H,$B505,실시간콜입력!$O:$O,"방문완료")</f>
        <v>0</v>
      </c>
      <c r="M505" s="29" t="str">
        <f t="shared" si="66"/>
        <v/>
      </c>
      <c r="N505" s="29"/>
    </row>
    <row r="506" spans="1:14" ht="19.5" hidden="1" customHeight="1" outlineLevel="1">
      <c r="A506" s="30">
        <f>IF(10&lt;=DAY(DATE(YEAR(설정_코스수당!$K$2),MONTH(설정_코스수당!$K$2)+1,0)),DATE(YEAR(설정_코스수당!$K$2),MONTH(설정_코스수당!$K$2),10),"")</f>
        <v>46183</v>
      </c>
      <c r="B506" s="29" t="s">
        <v>194</v>
      </c>
      <c r="C506" s="29"/>
      <c r="D506" s="29"/>
      <c r="E506" s="29" t="str">
        <f t="shared" si="64"/>
        <v/>
      </c>
      <c r="F506" s="29">
        <f>COUNTIFS(실시간콜입력!$B:$B,$A506,실시간콜입력!$E:$E,"A",실시간콜입력!$G:$G,$B506,실시간콜입력!$O:$O,"방문완료")+COUNTIFS(실시간콜입력!$B:$B,$A506,실시간콜입력!$E:$E,"A",실시간콜입력!$H:$H,$B506,실시간콜입력!$O:$O,"방문완료")</f>
        <v>0</v>
      </c>
      <c r="G506" s="29">
        <f>COUNTIFS(실시간콜입력!$B:$B,$A506,실시간콜입력!$E:$E,"B",실시간콜입력!$G:$G,$B506,실시간콜입력!$O:$O,"방문완료")+COUNTIFS(실시간콜입력!$B:$B,$A506,실시간콜입력!$E:$E,"B",실시간콜입력!$H:$H,$B506,실시간콜입력!$O:$O,"방문완료")</f>
        <v>0</v>
      </c>
      <c r="H506" s="29">
        <f>COUNTIFS(실시간콜입력!$B:$B,$A506,실시간콜입력!$E:$E,"C",실시간콜입력!$G:$G,$B506,실시간콜입력!$O:$O,"방문완료")+COUNTIFS(실시간콜입력!$B:$B,$A506,실시간콜입력!$E:$E,"C",실시간콜입력!$H:$H,$B506,실시간콜입력!$O:$O,"방문완료")</f>
        <v>0</v>
      </c>
      <c r="I506" s="29">
        <f>COUNTIFS(실시간콜입력!$B:$B,$A506,실시간콜입력!$E:$E,"D",실시간콜입력!$G:$G,$B506,실시간콜입력!$O:$O,"방문완료")+COUNTIFS(실시간콜입력!$B:$B,$A506,실시간콜입력!$E:$E,"D",실시간콜입력!$H:$H,$B506,실시간콜입력!$O:$O,"방문완료")</f>
        <v>0</v>
      </c>
      <c r="J506" s="29">
        <f>COUNTIFS(실시간콜입력!$B:$B,$A506,실시간콜입력!$E:$E,"E",실시간콜입력!$G:$G,$B506,실시간콜입력!$O:$O,"방문완료")+COUNTIFS(실시간콜입력!$B:$B,$A506,실시간콜입력!$E:$E,"E",실시간콜입력!$H:$H,$B506,실시간콜입력!$O:$O,"방문완료")</f>
        <v>0</v>
      </c>
      <c r="K506" s="29">
        <f t="shared" si="65"/>
        <v>0</v>
      </c>
      <c r="L506" s="33">
        <f>SUMIFS(실시간콜입력!$K:$K,실시간콜입력!$B:$B,$A506,실시간콜입력!$G:$G,$B506,실시간콜입력!$O:$O,"방문완료")+SUMIFS(실시간콜입력!$L:$L,실시간콜입력!$B:$B,$A506,실시간콜입력!$H:$H,$B506,실시간콜입력!$O:$O,"방문완료")</f>
        <v>0</v>
      </c>
      <c r="M506" s="29" t="str">
        <f t="shared" si="66"/>
        <v/>
      </c>
      <c r="N506" s="29"/>
    </row>
    <row r="507" spans="1:14" ht="19.5" hidden="1" customHeight="1" outlineLevel="1">
      <c r="A507" s="24">
        <f>IF(10&lt;=DAY(DATE(YEAR(설정_코스수당!$K$2),MONTH(설정_코스수당!$K$2)+1,0)),DATE(YEAR(설정_코스수당!$K$2),MONTH(설정_코스수당!$K$2),10),"")</f>
        <v>46183</v>
      </c>
      <c r="B507" s="23" t="s">
        <v>195</v>
      </c>
      <c r="C507" s="29"/>
      <c r="D507" s="29"/>
      <c r="E507" s="29" t="str">
        <f t="shared" ref="E507:E538" si="67">IF(AND(C507&lt;&gt;"",D507&lt;&gt;""),IF(D507&lt;C507,D507+1-C507,D507-C507)*24,"")</f>
        <v/>
      </c>
      <c r="F507" s="29">
        <f>COUNTIFS(실시간콜입력!$B:$B,$A507,실시간콜입력!$E:$E,"A",실시간콜입력!$G:$G,$B507,실시간콜입력!$O:$O,"방문완료")+COUNTIFS(실시간콜입력!$B:$B,$A507,실시간콜입력!$E:$E,"A",실시간콜입력!$H:$H,$B507,실시간콜입력!$O:$O,"방문완료")</f>
        <v>0</v>
      </c>
      <c r="G507" s="29">
        <f>COUNTIFS(실시간콜입력!$B:$B,$A507,실시간콜입력!$E:$E,"B",실시간콜입력!$G:$G,$B507,실시간콜입력!$O:$O,"방문완료")+COUNTIFS(실시간콜입력!$B:$B,$A507,실시간콜입력!$E:$E,"B",실시간콜입력!$H:$H,$B507,실시간콜입력!$O:$O,"방문완료")</f>
        <v>0</v>
      </c>
      <c r="H507" s="29">
        <f>COUNTIFS(실시간콜입력!$B:$B,$A507,실시간콜입력!$E:$E,"C",실시간콜입력!$G:$G,$B507,실시간콜입력!$O:$O,"방문완료")+COUNTIFS(실시간콜입력!$B:$B,$A507,실시간콜입력!$E:$E,"C",실시간콜입력!$H:$H,$B507,실시간콜입력!$O:$O,"방문완료")</f>
        <v>0</v>
      </c>
      <c r="I507" s="29">
        <f>COUNTIFS(실시간콜입력!$B:$B,$A507,실시간콜입력!$E:$E,"D",실시간콜입력!$G:$G,$B507,실시간콜입력!$O:$O,"방문완료")+COUNTIFS(실시간콜입력!$B:$B,$A507,실시간콜입력!$E:$E,"D",실시간콜입력!$H:$H,$B507,실시간콜입력!$O:$O,"방문완료")</f>
        <v>0</v>
      </c>
      <c r="J507" s="29">
        <f>COUNTIFS(실시간콜입력!$B:$B,$A507,실시간콜입력!$E:$E,"E",실시간콜입력!$G:$G,$B507,실시간콜입력!$O:$O,"방문완료")+COUNTIFS(실시간콜입력!$B:$B,$A507,실시간콜입력!$E:$E,"E",실시간콜입력!$H:$H,$B507,실시간콜입력!$O:$O,"방문완료")</f>
        <v>0</v>
      </c>
      <c r="K507" s="29">
        <f t="shared" ref="K507:K538" si="68">SUM(F507:J507)</f>
        <v>0</v>
      </c>
      <c r="L507" s="27">
        <f>SUMIFS(실시간콜입력!$K:$K,실시간콜입력!$B:$B,$A507,실시간콜입력!$G:$G,$B507,실시간콜입력!$O:$O,"방문완료")+SUMIFS(실시간콜입력!$L:$L,실시간콜입력!$B:$B,$A507,실시간콜입력!$H:$H,$B507,실시간콜입력!$O:$O,"방문완료")</f>
        <v>0</v>
      </c>
      <c r="M507" s="29" t="str">
        <f t="shared" ref="M507:M524" si="69">IF(AND(ISNUMBER(E507),E507&gt;=8),"인정","")</f>
        <v/>
      </c>
      <c r="N507" s="29"/>
    </row>
    <row r="508" spans="1:14" ht="19.5" hidden="1" customHeight="1" outlineLevel="1">
      <c r="A508" s="30">
        <f>IF(10&lt;=DAY(DATE(YEAR(설정_코스수당!$K$2),MONTH(설정_코스수당!$K$2)+1,0)),DATE(YEAR(설정_코스수당!$K$2),MONTH(설정_코스수당!$K$2),10),"")</f>
        <v>46183</v>
      </c>
      <c r="B508" s="29" t="s">
        <v>196</v>
      </c>
      <c r="C508" s="29"/>
      <c r="D508" s="29"/>
      <c r="E508" s="29" t="str">
        <f t="shared" si="67"/>
        <v/>
      </c>
      <c r="F508" s="29">
        <f>COUNTIFS(실시간콜입력!$B:$B,$A508,실시간콜입력!$E:$E,"A",실시간콜입력!$G:$G,$B508,실시간콜입력!$O:$O,"방문완료")+COUNTIFS(실시간콜입력!$B:$B,$A508,실시간콜입력!$E:$E,"A",실시간콜입력!$H:$H,$B508,실시간콜입력!$O:$O,"방문완료")</f>
        <v>0</v>
      </c>
      <c r="G508" s="29">
        <f>COUNTIFS(실시간콜입력!$B:$B,$A508,실시간콜입력!$E:$E,"B",실시간콜입력!$G:$G,$B508,실시간콜입력!$O:$O,"방문완료")+COUNTIFS(실시간콜입력!$B:$B,$A508,실시간콜입력!$E:$E,"B",실시간콜입력!$H:$H,$B508,실시간콜입력!$O:$O,"방문완료")</f>
        <v>0</v>
      </c>
      <c r="H508" s="29">
        <f>COUNTIFS(실시간콜입력!$B:$B,$A508,실시간콜입력!$E:$E,"C",실시간콜입력!$G:$G,$B508,실시간콜입력!$O:$O,"방문완료")+COUNTIFS(실시간콜입력!$B:$B,$A508,실시간콜입력!$E:$E,"C",실시간콜입력!$H:$H,$B508,실시간콜입력!$O:$O,"방문완료")</f>
        <v>0</v>
      </c>
      <c r="I508" s="29">
        <f>COUNTIFS(실시간콜입력!$B:$B,$A508,실시간콜입력!$E:$E,"D",실시간콜입력!$G:$G,$B508,실시간콜입력!$O:$O,"방문완료")+COUNTIFS(실시간콜입력!$B:$B,$A508,실시간콜입력!$E:$E,"D",실시간콜입력!$H:$H,$B508,실시간콜입력!$O:$O,"방문완료")</f>
        <v>0</v>
      </c>
      <c r="J508" s="29">
        <f>COUNTIFS(실시간콜입력!$B:$B,$A508,실시간콜입력!$E:$E,"E",실시간콜입력!$G:$G,$B508,실시간콜입력!$O:$O,"방문완료")+COUNTIFS(실시간콜입력!$B:$B,$A508,실시간콜입력!$E:$E,"E",실시간콜입력!$H:$H,$B508,실시간콜입력!$O:$O,"방문완료")</f>
        <v>0</v>
      </c>
      <c r="K508" s="29">
        <f t="shared" si="68"/>
        <v>0</v>
      </c>
      <c r="L508" s="33">
        <f>SUMIFS(실시간콜입력!$K:$K,실시간콜입력!$B:$B,$A508,실시간콜입력!$G:$G,$B508,실시간콜입력!$O:$O,"방문완료")+SUMIFS(실시간콜입력!$L:$L,실시간콜입력!$B:$B,$A508,실시간콜입력!$H:$H,$B508,실시간콜입력!$O:$O,"방문완료")</f>
        <v>0</v>
      </c>
      <c r="M508" s="29" t="str">
        <f t="shared" si="69"/>
        <v/>
      </c>
      <c r="N508" s="29"/>
    </row>
    <row r="509" spans="1:14" ht="19.5" hidden="1" customHeight="1" outlineLevel="1">
      <c r="A509" s="24">
        <f>IF(10&lt;=DAY(DATE(YEAR(설정_코스수당!$K$2),MONTH(설정_코스수당!$K$2)+1,0)),DATE(YEAR(설정_코스수당!$K$2),MONTH(설정_코스수당!$K$2),10),"")</f>
        <v>46183</v>
      </c>
      <c r="B509" s="23" t="s">
        <v>197</v>
      </c>
      <c r="C509" s="29"/>
      <c r="D509" s="29"/>
      <c r="E509" s="29" t="str">
        <f t="shared" si="67"/>
        <v/>
      </c>
      <c r="F509" s="29">
        <f>COUNTIFS(실시간콜입력!$B:$B,$A509,실시간콜입력!$E:$E,"A",실시간콜입력!$G:$G,$B509,실시간콜입력!$O:$O,"방문완료")+COUNTIFS(실시간콜입력!$B:$B,$A509,실시간콜입력!$E:$E,"A",실시간콜입력!$H:$H,$B509,실시간콜입력!$O:$O,"방문완료")</f>
        <v>0</v>
      </c>
      <c r="G509" s="29">
        <f>COUNTIFS(실시간콜입력!$B:$B,$A509,실시간콜입력!$E:$E,"B",실시간콜입력!$G:$G,$B509,실시간콜입력!$O:$O,"방문완료")+COUNTIFS(실시간콜입력!$B:$B,$A509,실시간콜입력!$E:$E,"B",실시간콜입력!$H:$H,$B509,실시간콜입력!$O:$O,"방문완료")</f>
        <v>0</v>
      </c>
      <c r="H509" s="29">
        <f>COUNTIFS(실시간콜입력!$B:$B,$A509,실시간콜입력!$E:$E,"C",실시간콜입력!$G:$G,$B509,실시간콜입력!$O:$O,"방문완료")+COUNTIFS(실시간콜입력!$B:$B,$A509,실시간콜입력!$E:$E,"C",실시간콜입력!$H:$H,$B509,실시간콜입력!$O:$O,"방문완료")</f>
        <v>0</v>
      </c>
      <c r="I509" s="29">
        <f>COUNTIFS(실시간콜입력!$B:$B,$A509,실시간콜입력!$E:$E,"D",실시간콜입력!$G:$G,$B509,실시간콜입력!$O:$O,"방문완료")+COUNTIFS(실시간콜입력!$B:$B,$A509,실시간콜입력!$E:$E,"D",실시간콜입력!$H:$H,$B509,실시간콜입력!$O:$O,"방문완료")</f>
        <v>0</v>
      </c>
      <c r="J509" s="29">
        <f>COUNTIFS(실시간콜입력!$B:$B,$A509,실시간콜입력!$E:$E,"E",실시간콜입력!$G:$G,$B509,실시간콜입력!$O:$O,"방문완료")+COUNTIFS(실시간콜입력!$B:$B,$A509,실시간콜입력!$E:$E,"E",실시간콜입력!$H:$H,$B509,실시간콜입력!$O:$O,"방문완료")</f>
        <v>0</v>
      </c>
      <c r="K509" s="29">
        <f t="shared" si="68"/>
        <v>0</v>
      </c>
      <c r="L509" s="27">
        <f>SUMIFS(실시간콜입력!$K:$K,실시간콜입력!$B:$B,$A509,실시간콜입력!$G:$G,$B509,실시간콜입력!$O:$O,"방문완료")+SUMIFS(실시간콜입력!$L:$L,실시간콜입력!$B:$B,$A509,실시간콜입력!$H:$H,$B509,실시간콜입력!$O:$O,"방문완료")</f>
        <v>0</v>
      </c>
      <c r="M509" s="29" t="str">
        <f t="shared" si="69"/>
        <v/>
      </c>
      <c r="N509" s="29"/>
    </row>
    <row r="510" spans="1:14" ht="19.5" hidden="1" customHeight="1" outlineLevel="1">
      <c r="A510" s="30">
        <f>IF(10&lt;=DAY(DATE(YEAR(설정_코스수당!$K$2),MONTH(설정_코스수당!$K$2)+1,0)),DATE(YEAR(설정_코스수당!$K$2),MONTH(설정_코스수당!$K$2),10),"")</f>
        <v>46183</v>
      </c>
      <c r="B510" s="29" t="s">
        <v>198</v>
      </c>
      <c r="C510" s="29"/>
      <c r="D510" s="29"/>
      <c r="E510" s="29" t="str">
        <f t="shared" si="67"/>
        <v/>
      </c>
      <c r="F510" s="29">
        <f>COUNTIFS(실시간콜입력!$B:$B,$A510,실시간콜입력!$E:$E,"A",실시간콜입력!$G:$G,$B510,실시간콜입력!$O:$O,"방문완료")+COUNTIFS(실시간콜입력!$B:$B,$A510,실시간콜입력!$E:$E,"A",실시간콜입력!$H:$H,$B510,실시간콜입력!$O:$O,"방문완료")</f>
        <v>0</v>
      </c>
      <c r="G510" s="29">
        <f>COUNTIFS(실시간콜입력!$B:$B,$A510,실시간콜입력!$E:$E,"B",실시간콜입력!$G:$G,$B510,실시간콜입력!$O:$O,"방문완료")+COUNTIFS(실시간콜입력!$B:$B,$A510,실시간콜입력!$E:$E,"B",실시간콜입력!$H:$H,$B510,실시간콜입력!$O:$O,"방문완료")</f>
        <v>0</v>
      </c>
      <c r="H510" s="29">
        <f>COUNTIFS(실시간콜입력!$B:$B,$A510,실시간콜입력!$E:$E,"C",실시간콜입력!$G:$G,$B510,실시간콜입력!$O:$O,"방문완료")+COUNTIFS(실시간콜입력!$B:$B,$A510,실시간콜입력!$E:$E,"C",실시간콜입력!$H:$H,$B510,실시간콜입력!$O:$O,"방문완료")</f>
        <v>0</v>
      </c>
      <c r="I510" s="29">
        <f>COUNTIFS(실시간콜입력!$B:$B,$A510,실시간콜입력!$E:$E,"D",실시간콜입력!$G:$G,$B510,실시간콜입력!$O:$O,"방문완료")+COUNTIFS(실시간콜입력!$B:$B,$A510,실시간콜입력!$E:$E,"D",실시간콜입력!$H:$H,$B510,실시간콜입력!$O:$O,"방문완료")</f>
        <v>0</v>
      </c>
      <c r="J510" s="29">
        <f>COUNTIFS(실시간콜입력!$B:$B,$A510,실시간콜입력!$E:$E,"E",실시간콜입력!$G:$G,$B510,실시간콜입력!$O:$O,"방문완료")+COUNTIFS(실시간콜입력!$B:$B,$A510,실시간콜입력!$E:$E,"E",실시간콜입력!$H:$H,$B510,실시간콜입력!$O:$O,"방문완료")</f>
        <v>0</v>
      </c>
      <c r="K510" s="29">
        <f t="shared" si="68"/>
        <v>0</v>
      </c>
      <c r="L510" s="33">
        <f>SUMIFS(실시간콜입력!$K:$K,실시간콜입력!$B:$B,$A510,실시간콜입력!$G:$G,$B510,실시간콜입력!$O:$O,"방문완료")+SUMIFS(실시간콜입력!$L:$L,실시간콜입력!$B:$B,$A510,실시간콜입력!$H:$H,$B510,실시간콜입력!$O:$O,"방문완료")</f>
        <v>0</v>
      </c>
      <c r="M510" s="29" t="str">
        <f t="shared" si="69"/>
        <v/>
      </c>
      <c r="N510" s="29"/>
    </row>
    <row r="511" spans="1:14" ht="19.5" hidden="1" customHeight="1" outlineLevel="1">
      <c r="A511" s="24">
        <f>IF(10&lt;=DAY(DATE(YEAR(설정_코스수당!$K$2),MONTH(설정_코스수당!$K$2)+1,0)),DATE(YEAR(설정_코스수당!$K$2),MONTH(설정_코스수당!$K$2),10),"")</f>
        <v>46183</v>
      </c>
      <c r="B511" s="23" t="s">
        <v>199</v>
      </c>
      <c r="C511" s="29"/>
      <c r="D511" s="29"/>
      <c r="E511" s="29" t="str">
        <f t="shared" si="67"/>
        <v/>
      </c>
      <c r="F511" s="29">
        <f>COUNTIFS(실시간콜입력!$B:$B,$A511,실시간콜입력!$E:$E,"A",실시간콜입력!$G:$G,$B511,실시간콜입력!$O:$O,"방문완료")+COUNTIFS(실시간콜입력!$B:$B,$A511,실시간콜입력!$E:$E,"A",실시간콜입력!$H:$H,$B511,실시간콜입력!$O:$O,"방문완료")</f>
        <v>0</v>
      </c>
      <c r="G511" s="29">
        <f>COUNTIFS(실시간콜입력!$B:$B,$A511,실시간콜입력!$E:$E,"B",실시간콜입력!$G:$G,$B511,실시간콜입력!$O:$O,"방문완료")+COUNTIFS(실시간콜입력!$B:$B,$A511,실시간콜입력!$E:$E,"B",실시간콜입력!$H:$H,$B511,실시간콜입력!$O:$O,"방문완료")</f>
        <v>0</v>
      </c>
      <c r="H511" s="29">
        <f>COUNTIFS(실시간콜입력!$B:$B,$A511,실시간콜입력!$E:$E,"C",실시간콜입력!$G:$G,$B511,실시간콜입력!$O:$O,"방문완료")+COUNTIFS(실시간콜입력!$B:$B,$A511,실시간콜입력!$E:$E,"C",실시간콜입력!$H:$H,$B511,실시간콜입력!$O:$O,"방문완료")</f>
        <v>0</v>
      </c>
      <c r="I511" s="29">
        <f>COUNTIFS(실시간콜입력!$B:$B,$A511,실시간콜입력!$E:$E,"D",실시간콜입력!$G:$G,$B511,실시간콜입력!$O:$O,"방문완료")+COUNTIFS(실시간콜입력!$B:$B,$A511,실시간콜입력!$E:$E,"D",실시간콜입력!$H:$H,$B511,실시간콜입력!$O:$O,"방문완료")</f>
        <v>0</v>
      </c>
      <c r="J511" s="29">
        <f>COUNTIFS(실시간콜입력!$B:$B,$A511,실시간콜입력!$E:$E,"E",실시간콜입력!$G:$G,$B511,실시간콜입력!$O:$O,"방문완료")+COUNTIFS(실시간콜입력!$B:$B,$A511,실시간콜입력!$E:$E,"E",실시간콜입력!$H:$H,$B511,실시간콜입력!$O:$O,"방문완료")</f>
        <v>0</v>
      </c>
      <c r="K511" s="29">
        <f t="shared" si="68"/>
        <v>0</v>
      </c>
      <c r="L511" s="27">
        <f>SUMIFS(실시간콜입력!$K:$K,실시간콜입력!$B:$B,$A511,실시간콜입력!$G:$G,$B511,실시간콜입력!$O:$O,"방문완료")+SUMIFS(실시간콜입력!$L:$L,실시간콜입력!$B:$B,$A511,실시간콜입력!$H:$H,$B511,실시간콜입력!$O:$O,"방문완료")</f>
        <v>0</v>
      </c>
      <c r="M511" s="29" t="str">
        <f t="shared" si="69"/>
        <v/>
      </c>
      <c r="N511" s="29"/>
    </row>
    <row r="512" spans="1:14" ht="19.5" hidden="1" customHeight="1" outlineLevel="1">
      <c r="A512" s="30">
        <f>IF(10&lt;=DAY(DATE(YEAR(설정_코스수당!$K$2),MONTH(설정_코스수당!$K$2)+1,0)),DATE(YEAR(설정_코스수당!$K$2),MONTH(설정_코스수당!$K$2),10),"")</f>
        <v>46183</v>
      </c>
      <c r="B512" s="29" t="s">
        <v>200</v>
      </c>
      <c r="C512" s="29"/>
      <c r="D512" s="29"/>
      <c r="E512" s="29" t="str">
        <f t="shared" si="67"/>
        <v/>
      </c>
      <c r="F512" s="29">
        <f>COUNTIFS(실시간콜입력!$B:$B,$A512,실시간콜입력!$E:$E,"A",실시간콜입력!$G:$G,$B512,실시간콜입력!$O:$O,"방문완료")+COUNTIFS(실시간콜입력!$B:$B,$A512,실시간콜입력!$E:$E,"A",실시간콜입력!$H:$H,$B512,실시간콜입력!$O:$O,"방문완료")</f>
        <v>0</v>
      </c>
      <c r="G512" s="29">
        <f>COUNTIFS(실시간콜입력!$B:$B,$A512,실시간콜입력!$E:$E,"B",실시간콜입력!$G:$G,$B512,실시간콜입력!$O:$O,"방문완료")+COUNTIFS(실시간콜입력!$B:$B,$A512,실시간콜입력!$E:$E,"B",실시간콜입력!$H:$H,$B512,실시간콜입력!$O:$O,"방문완료")</f>
        <v>0</v>
      </c>
      <c r="H512" s="29">
        <f>COUNTIFS(실시간콜입력!$B:$B,$A512,실시간콜입력!$E:$E,"C",실시간콜입력!$G:$G,$B512,실시간콜입력!$O:$O,"방문완료")+COUNTIFS(실시간콜입력!$B:$B,$A512,실시간콜입력!$E:$E,"C",실시간콜입력!$H:$H,$B512,실시간콜입력!$O:$O,"방문완료")</f>
        <v>0</v>
      </c>
      <c r="I512" s="29">
        <f>COUNTIFS(실시간콜입력!$B:$B,$A512,실시간콜입력!$E:$E,"D",실시간콜입력!$G:$G,$B512,실시간콜입력!$O:$O,"방문완료")+COUNTIFS(실시간콜입력!$B:$B,$A512,실시간콜입력!$E:$E,"D",실시간콜입력!$H:$H,$B512,실시간콜입력!$O:$O,"방문완료")</f>
        <v>0</v>
      </c>
      <c r="J512" s="29">
        <f>COUNTIFS(실시간콜입력!$B:$B,$A512,실시간콜입력!$E:$E,"E",실시간콜입력!$G:$G,$B512,실시간콜입력!$O:$O,"방문완료")+COUNTIFS(실시간콜입력!$B:$B,$A512,실시간콜입력!$E:$E,"E",실시간콜입력!$H:$H,$B512,실시간콜입력!$O:$O,"방문완료")</f>
        <v>0</v>
      </c>
      <c r="K512" s="29">
        <f t="shared" si="68"/>
        <v>0</v>
      </c>
      <c r="L512" s="33">
        <f>SUMIFS(실시간콜입력!$K:$K,실시간콜입력!$B:$B,$A512,실시간콜입력!$G:$G,$B512,실시간콜입력!$O:$O,"방문완료")+SUMIFS(실시간콜입력!$L:$L,실시간콜입력!$B:$B,$A512,실시간콜입력!$H:$H,$B512,실시간콜입력!$O:$O,"방문완료")</f>
        <v>0</v>
      </c>
      <c r="M512" s="29" t="str">
        <f t="shared" si="69"/>
        <v/>
      </c>
      <c r="N512" s="29"/>
    </row>
    <row r="513" spans="1:14" ht="19.5" hidden="1" customHeight="1" outlineLevel="1">
      <c r="A513" s="24">
        <f>IF(10&lt;=DAY(DATE(YEAR(설정_코스수당!$K$2),MONTH(설정_코스수당!$K$2)+1,0)),DATE(YEAR(설정_코스수당!$K$2),MONTH(설정_코스수당!$K$2),10),"")</f>
        <v>46183</v>
      </c>
      <c r="B513" s="23" t="s">
        <v>201</v>
      </c>
      <c r="C513" s="29"/>
      <c r="D513" s="29"/>
      <c r="E513" s="29" t="str">
        <f t="shared" si="67"/>
        <v/>
      </c>
      <c r="F513" s="29">
        <f>COUNTIFS(실시간콜입력!$B:$B,$A513,실시간콜입력!$E:$E,"A",실시간콜입력!$G:$G,$B513,실시간콜입력!$O:$O,"방문완료")+COUNTIFS(실시간콜입력!$B:$B,$A513,실시간콜입력!$E:$E,"A",실시간콜입력!$H:$H,$B513,실시간콜입력!$O:$O,"방문완료")</f>
        <v>0</v>
      </c>
      <c r="G513" s="29">
        <f>COUNTIFS(실시간콜입력!$B:$B,$A513,실시간콜입력!$E:$E,"B",실시간콜입력!$G:$G,$B513,실시간콜입력!$O:$O,"방문완료")+COUNTIFS(실시간콜입력!$B:$B,$A513,실시간콜입력!$E:$E,"B",실시간콜입력!$H:$H,$B513,실시간콜입력!$O:$O,"방문완료")</f>
        <v>0</v>
      </c>
      <c r="H513" s="29">
        <f>COUNTIFS(실시간콜입력!$B:$B,$A513,실시간콜입력!$E:$E,"C",실시간콜입력!$G:$G,$B513,실시간콜입력!$O:$O,"방문완료")+COUNTIFS(실시간콜입력!$B:$B,$A513,실시간콜입력!$E:$E,"C",실시간콜입력!$H:$H,$B513,실시간콜입력!$O:$O,"방문완료")</f>
        <v>0</v>
      </c>
      <c r="I513" s="29">
        <f>COUNTIFS(실시간콜입력!$B:$B,$A513,실시간콜입력!$E:$E,"D",실시간콜입력!$G:$G,$B513,실시간콜입력!$O:$O,"방문완료")+COUNTIFS(실시간콜입력!$B:$B,$A513,실시간콜입력!$E:$E,"D",실시간콜입력!$H:$H,$B513,실시간콜입력!$O:$O,"방문완료")</f>
        <v>0</v>
      </c>
      <c r="J513" s="29">
        <f>COUNTIFS(실시간콜입력!$B:$B,$A513,실시간콜입력!$E:$E,"E",실시간콜입력!$G:$G,$B513,실시간콜입력!$O:$O,"방문완료")+COUNTIFS(실시간콜입력!$B:$B,$A513,실시간콜입력!$E:$E,"E",실시간콜입력!$H:$H,$B513,실시간콜입력!$O:$O,"방문완료")</f>
        <v>0</v>
      </c>
      <c r="K513" s="29">
        <f t="shared" si="68"/>
        <v>0</v>
      </c>
      <c r="L513" s="27">
        <f>SUMIFS(실시간콜입력!$K:$K,실시간콜입력!$B:$B,$A513,실시간콜입력!$G:$G,$B513,실시간콜입력!$O:$O,"방문완료")+SUMIFS(실시간콜입력!$L:$L,실시간콜입력!$B:$B,$A513,실시간콜입력!$H:$H,$B513,실시간콜입력!$O:$O,"방문완료")</f>
        <v>0</v>
      </c>
      <c r="M513" s="29" t="str">
        <f t="shared" si="69"/>
        <v/>
      </c>
      <c r="N513" s="29"/>
    </row>
    <row r="514" spans="1:14" ht="19.5" hidden="1" customHeight="1" outlineLevel="1">
      <c r="A514" s="30">
        <f>IF(10&lt;=DAY(DATE(YEAR(설정_코스수당!$K$2),MONTH(설정_코스수당!$K$2)+1,0)),DATE(YEAR(설정_코스수당!$K$2),MONTH(설정_코스수당!$K$2),10),"")</f>
        <v>46183</v>
      </c>
      <c r="B514" s="29" t="s">
        <v>202</v>
      </c>
      <c r="C514" s="29"/>
      <c r="D514" s="29"/>
      <c r="E514" s="29" t="str">
        <f t="shared" si="67"/>
        <v/>
      </c>
      <c r="F514" s="29">
        <f>COUNTIFS(실시간콜입력!$B:$B,$A514,실시간콜입력!$E:$E,"A",실시간콜입력!$G:$G,$B514,실시간콜입력!$O:$O,"방문완료")+COUNTIFS(실시간콜입력!$B:$B,$A514,실시간콜입력!$E:$E,"A",실시간콜입력!$H:$H,$B514,실시간콜입력!$O:$O,"방문완료")</f>
        <v>0</v>
      </c>
      <c r="G514" s="29">
        <f>COUNTIFS(실시간콜입력!$B:$B,$A514,실시간콜입력!$E:$E,"B",실시간콜입력!$G:$G,$B514,실시간콜입력!$O:$O,"방문완료")+COUNTIFS(실시간콜입력!$B:$B,$A514,실시간콜입력!$E:$E,"B",실시간콜입력!$H:$H,$B514,실시간콜입력!$O:$O,"방문완료")</f>
        <v>0</v>
      </c>
      <c r="H514" s="29">
        <f>COUNTIFS(실시간콜입력!$B:$B,$A514,실시간콜입력!$E:$E,"C",실시간콜입력!$G:$G,$B514,실시간콜입력!$O:$O,"방문완료")+COUNTIFS(실시간콜입력!$B:$B,$A514,실시간콜입력!$E:$E,"C",실시간콜입력!$H:$H,$B514,실시간콜입력!$O:$O,"방문완료")</f>
        <v>0</v>
      </c>
      <c r="I514" s="29">
        <f>COUNTIFS(실시간콜입력!$B:$B,$A514,실시간콜입력!$E:$E,"D",실시간콜입력!$G:$G,$B514,실시간콜입력!$O:$O,"방문완료")+COUNTIFS(실시간콜입력!$B:$B,$A514,실시간콜입력!$E:$E,"D",실시간콜입력!$H:$H,$B514,실시간콜입력!$O:$O,"방문완료")</f>
        <v>0</v>
      </c>
      <c r="J514" s="29">
        <f>COUNTIFS(실시간콜입력!$B:$B,$A514,실시간콜입력!$E:$E,"E",실시간콜입력!$G:$G,$B514,실시간콜입력!$O:$O,"방문완료")+COUNTIFS(실시간콜입력!$B:$B,$A514,실시간콜입력!$E:$E,"E",실시간콜입력!$H:$H,$B514,실시간콜입력!$O:$O,"방문완료")</f>
        <v>0</v>
      </c>
      <c r="K514" s="29">
        <f t="shared" si="68"/>
        <v>0</v>
      </c>
      <c r="L514" s="33">
        <f>SUMIFS(실시간콜입력!$K:$K,실시간콜입력!$B:$B,$A514,실시간콜입력!$G:$G,$B514,실시간콜입력!$O:$O,"방문완료")+SUMIFS(실시간콜입력!$L:$L,실시간콜입력!$B:$B,$A514,실시간콜입력!$H:$H,$B514,실시간콜입력!$O:$O,"방문완료")</f>
        <v>0</v>
      </c>
      <c r="M514" s="29" t="str">
        <f t="shared" si="69"/>
        <v/>
      </c>
      <c r="N514" s="29"/>
    </row>
    <row r="515" spans="1:14" ht="19.5" hidden="1" customHeight="1" outlineLevel="1">
      <c r="A515" s="24">
        <f>IF(10&lt;=DAY(DATE(YEAR(설정_코스수당!$K$2),MONTH(설정_코스수당!$K$2)+1,0)),DATE(YEAR(설정_코스수당!$K$2),MONTH(설정_코스수당!$K$2),10),"")</f>
        <v>46183</v>
      </c>
      <c r="B515" s="23" t="s">
        <v>203</v>
      </c>
      <c r="C515" s="29"/>
      <c r="D515" s="29"/>
      <c r="E515" s="29" t="str">
        <f t="shared" si="67"/>
        <v/>
      </c>
      <c r="F515" s="29">
        <f>COUNTIFS(실시간콜입력!$B:$B,$A515,실시간콜입력!$E:$E,"A",실시간콜입력!$G:$G,$B515,실시간콜입력!$O:$O,"방문완료")+COUNTIFS(실시간콜입력!$B:$B,$A515,실시간콜입력!$E:$E,"A",실시간콜입력!$H:$H,$B515,실시간콜입력!$O:$O,"방문완료")</f>
        <v>0</v>
      </c>
      <c r="G515" s="29">
        <f>COUNTIFS(실시간콜입력!$B:$B,$A515,실시간콜입력!$E:$E,"B",실시간콜입력!$G:$G,$B515,실시간콜입력!$O:$O,"방문완료")+COUNTIFS(실시간콜입력!$B:$B,$A515,실시간콜입력!$E:$E,"B",실시간콜입력!$H:$H,$B515,실시간콜입력!$O:$O,"방문완료")</f>
        <v>0</v>
      </c>
      <c r="H515" s="29">
        <f>COUNTIFS(실시간콜입력!$B:$B,$A515,실시간콜입력!$E:$E,"C",실시간콜입력!$G:$G,$B515,실시간콜입력!$O:$O,"방문완료")+COUNTIFS(실시간콜입력!$B:$B,$A515,실시간콜입력!$E:$E,"C",실시간콜입력!$H:$H,$B515,실시간콜입력!$O:$O,"방문완료")</f>
        <v>0</v>
      </c>
      <c r="I515" s="29">
        <f>COUNTIFS(실시간콜입력!$B:$B,$A515,실시간콜입력!$E:$E,"D",실시간콜입력!$G:$G,$B515,실시간콜입력!$O:$O,"방문완료")+COUNTIFS(실시간콜입력!$B:$B,$A515,실시간콜입력!$E:$E,"D",실시간콜입력!$H:$H,$B515,실시간콜입력!$O:$O,"방문완료")</f>
        <v>0</v>
      </c>
      <c r="J515" s="29">
        <f>COUNTIFS(실시간콜입력!$B:$B,$A515,실시간콜입력!$E:$E,"E",실시간콜입력!$G:$G,$B515,실시간콜입력!$O:$O,"방문완료")+COUNTIFS(실시간콜입력!$B:$B,$A515,실시간콜입력!$E:$E,"E",실시간콜입력!$H:$H,$B515,실시간콜입력!$O:$O,"방문완료")</f>
        <v>0</v>
      </c>
      <c r="K515" s="29">
        <f t="shared" si="68"/>
        <v>0</v>
      </c>
      <c r="L515" s="27">
        <f>SUMIFS(실시간콜입력!$K:$K,실시간콜입력!$B:$B,$A515,실시간콜입력!$G:$G,$B515,실시간콜입력!$O:$O,"방문완료")+SUMIFS(실시간콜입력!$L:$L,실시간콜입력!$B:$B,$A515,실시간콜입력!$H:$H,$B515,실시간콜입력!$O:$O,"방문완료")</f>
        <v>0</v>
      </c>
      <c r="M515" s="29" t="str">
        <f t="shared" si="69"/>
        <v/>
      </c>
      <c r="N515" s="29"/>
    </row>
    <row r="516" spans="1:14" ht="19.5" hidden="1" customHeight="1" outlineLevel="1">
      <c r="A516" s="30">
        <f>IF(10&lt;=DAY(DATE(YEAR(설정_코스수당!$K$2),MONTH(설정_코스수당!$K$2)+1,0)),DATE(YEAR(설정_코스수당!$K$2),MONTH(설정_코스수당!$K$2),10),"")</f>
        <v>46183</v>
      </c>
      <c r="B516" s="29" t="s">
        <v>204</v>
      </c>
      <c r="C516" s="29"/>
      <c r="D516" s="29"/>
      <c r="E516" s="29" t="str">
        <f t="shared" si="67"/>
        <v/>
      </c>
      <c r="F516" s="29">
        <f>COUNTIFS(실시간콜입력!$B:$B,$A516,실시간콜입력!$E:$E,"A",실시간콜입력!$G:$G,$B516,실시간콜입력!$O:$O,"방문완료")+COUNTIFS(실시간콜입력!$B:$B,$A516,실시간콜입력!$E:$E,"A",실시간콜입력!$H:$H,$B516,실시간콜입력!$O:$O,"방문완료")</f>
        <v>0</v>
      </c>
      <c r="G516" s="29">
        <f>COUNTIFS(실시간콜입력!$B:$B,$A516,실시간콜입력!$E:$E,"B",실시간콜입력!$G:$G,$B516,실시간콜입력!$O:$O,"방문완료")+COUNTIFS(실시간콜입력!$B:$B,$A516,실시간콜입력!$E:$E,"B",실시간콜입력!$H:$H,$B516,실시간콜입력!$O:$O,"방문완료")</f>
        <v>0</v>
      </c>
      <c r="H516" s="29">
        <f>COUNTIFS(실시간콜입력!$B:$B,$A516,실시간콜입력!$E:$E,"C",실시간콜입력!$G:$G,$B516,실시간콜입력!$O:$O,"방문완료")+COUNTIFS(실시간콜입력!$B:$B,$A516,실시간콜입력!$E:$E,"C",실시간콜입력!$H:$H,$B516,실시간콜입력!$O:$O,"방문완료")</f>
        <v>0</v>
      </c>
      <c r="I516" s="29">
        <f>COUNTIFS(실시간콜입력!$B:$B,$A516,실시간콜입력!$E:$E,"D",실시간콜입력!$G:$G,$B516,실시간콜입력!$O:$O,"방문완료")+COUNTIFS(실시간콜입력!$B:$B,$A516,실시간콜입력!$E:$E,"D",실시간콜입력!$H:$H,$B516,실시간콜입력!$O:$O,"방문완료")</f>
        <v>0</v>
      </c>
      <c r="J516" s="29">
        <f>COUNTIFS(실시간콜입력!$B:$B,$A516,실시간콜입력!$E:$E,"E",실시간콜입력!$G:$G,$B516,실시간콜입력!$O:$O,"방문완료")+COUNTIFS(실시간콜입력!$B:$B,$A516,실시간콜입력!$E:$E,"E",실시간콜입력!$H:$H,$B516,실시간콜입력!$O:$O,"방문완료")</f>
        <v>0</v>
      </c>
      <c r="K516" s="29">
        <f t="shared" si="68"/>
        <v>0</v>
      </c>
      <c r="L516" s="33">
        <f>SUMIFS(실시간콜입력!$K:$K,실시간콜입력!$B:$B,$A516,실시간콜입력!$G:$G,$B516,실시간콜입력!$O:$O,"방문완료")+SUMIFS(실시간콜입력!$L:$L,실시간콜입력!$B:$B,$A516,실시간콜입력!$H:$H,$B516,실시간콜입력!$O:$O,"방문완료")</f>
        <v>0</v>
      </c>
      <c r="M516" s="29" t="str">
        <f t="shared" si="69"/>
        <v/>
      </c>
      <c r="N516" s="29"/>
    </row>
    <row r="517" spans="1:14" ht="19.5" hidden="1" customHeight="1" outlineLevel="1">
      <c r="A517" s="24">
        <f>IF(10&lt;=DAY(DATE(YEAR(설정_코스수당!$K$2),MONTH(설정_코스수당!$K$2)+1,0)),DATE(YEAR(설정_코스수당!$K$2),MONTH(설정_코스수당!$K$2),10),"")</f>
        <v>46183</v>
      </c>
      <c r="B517" s="23" t="s">
        <v>205</v>
      </c>
      <c r="C517" s="29"/>
      <c r="D517" s="29"/>
      <c r="E517" s="29" t="str">
        <f t="shared" si="67"/>
        <v/>
      </c>
      <c r="F517" s="29">
        <f>COUNTIFS(실시간콜입력!$B:$B,$A517,실시간콜입력!$E:$E,"A",실시간콜입력!$G:$G,$B517,실시간콜입력!$O:$O,"방문완료")+COUNTIFS(실시간콜입력!$B:$B,$A517,실시간콜입력!$E:$E,"A",실시간콜입력!$H:$H,$B517,실시간콜입력!$O:$O,"방문완료")</f>
        <v>0</v>
      </c>
      <c r="G517" s="29">
        <f>COUNTIFS(실시간콜입력!$B:$B,$A517,실시간콜입력!$E:$E,"B",실시간콜입력!$G:$G,$B517,실시간콜입력!$O:$O,"방문완료")+COUNTIFS(실시간콜입력!$B:$B,$A517,실시간콜입력!$E:$E,"B",실시간콜입력!$H:$H,$B517,실시간콜입력!$O:$O,"방문완료")</f>
        <v>0</v>
      </c>
      <c r="H517" s="29">
        <f>COUNTIFS(실시간콜입력!$B:$B,$A517,실시간콜입력!$E:$E,"C",실시간콜입력!$G:$G,$B517,실시간콜입력!$O:$O,"방문완료")+COUNTIFS(실시간콜입력!$B:$B,$A517,실시간콜입력!$E:$E,"C",실시간콜입력!$H:$H,$B517,실시간콜입력!$O:$O,"방문완료")</f>
        <v>0</v>
      </c>
      <c r="I517" s="29">
        <f>COUNTIFS(실시간콜입력!$B:$B,$A517,실시간콜입력!$E:$E,"D",실시간콜입력!$G:$G,$B517,실시간콜입력!$O:$O,"방문완료")+COUNTIFS(실시간콜입력!$B:$B,$A517,실시간콜입력!$E:$E,"D",실시간콜입력!$H:$H,$B517,실시간콜입력!$O:$O,"방문완료")</f>
        <v>0</v>
      </c>
      <c r="J517" s="29">
        <f>COUNTIFS(실시간콜입력!$B:$B,$A517,실시간콜입력!$E:$E,"E",실시간콜입력!$G:$G,$B517,실시간콜입력!$O:$O,"방문완료")+COUNTIFS(실시간콜입력!$B:$B,$A517,실시간콜입력!$E:$E,"E",실시간콜입력!$H:$H,$B517,실시간콜입력!$O:$O,"방문완료")</f>
        <v>0</v>
      </c>
      <c r="K517" s="29">
        <f t="shared" si="68"/>
        <v>0</v>
      </c>
      <c r="L517" s="27">
        <f>SUMIFS(실시간콜입력!$K:$K,실시간콜입력!$B:$B,$A517,실시간콜입력!$G:$G,$B517,실시간콜입력!$O:$O,"방문완료")+SUMIFS(실시간콜입력!$L:$L,실시간콜입력!$B:$B,$A517,실시간콜입력!$H:$H,$B517,실시간콜입력!$O:$O,"방문완료")</f>
        <v>0</v>
      </c>
      <c r="M517" s="29" t="str">
        <f t="shared" si="69"/>
        <v/>
      </c>
      <c r="N517" s="29"/>
    </row>
    <row r="518" spans="1:14" ht="19.5" hidden="1" customHeight="1" outlineLevel="1">
      <c r="A518" s="30">
        <f>IF(10&lt;=DAY(DATE(YEAR(설정_코스수당!$K$2),MONTH(설정_코스수당!$K$2)+1,0)),DATE(YEAR(설정_코스수당!$K$2),MONTH(설정_코스수당!$K$2),10),"")</f>
        <v>46183</v>
      </c>
      <c r="B518" s="29" t="s">
        <v>206</v>
      </c>
      <c r="C518" s="29"/>
      <c r="D518" s="29"/>
      <c r="E518" s="29" t="str">
        <f t="shared" si="67"/>
        <v/>
      </c>
      <c r="F518" s="29">
        <f>COUNTIFS(실시간콜입력!$B:$B,$A518,실시간콜입력!$E:$E,"A",실시간콜입력!$G:$G,$B518,실시간콜입력!$O:$O,"방문완료")+COUNTIFS(실시간콜입력!$B:$B,$A518,실시간콜입력!$E:$E,"A",실시간콜입력!$H:$H,$B518,실시간콜입력!$O:$O,"방문완료")</f>
        <v>0</v>
      </c>
      <c r="G518" s="29">
        <f>COUNTIFS(실시간콜입력!$B:$B,$A518,실시간콜입력!$E:$E,"B",실시간콜입력!$G:$G,$B518,실시간콜입력!$O:$O,"방문완료")+COUNTIFS(실시간콜입력!$B:$B,$A518,실시간콜입력!$E:$E,"B",실시간콜입력!$H:$H,$B518,실시간콜입력!$O:$O,"방문완료")</f>
        <v>0</v>
      </c>
      <c r="H518" s="29">
        <f>COUNTIFS(실시간콜입력!$B:$B,$A518,실시간콜입력!$E:$E,"C",실시간콜입력!$G:$G,$B518,실시간콜입력!$O:$O,"방문완료")+COUNTIFS(실시간콜입력!$B:$B,$A518,실시간콜입력!$E:$E,"C",실시간콜입력!$H:$H,$B518,실시간콜입력!$O:$O,"방문완료")</f>
        <v>0</v>
      </c>
      <c r="I518" s="29">
        <f>COUNTIFS(실시간콜입력!$B:$B,$A518,실시간콜입력!$E:$E,"D",실시간콜입력!$G:$G,$B518,실시간콜입력!$O:$O,"방문완료")+COUNTIFS(실시간콜입력!$B:$B,$A518,실시간콜입력!$E:$E,"D",실시간콜입력!$H:$H,$B518,실시간콜입력!$O:$O,"방문완료")</f>
        <v>0</v>
      </c>
      <c r="J518" s="29">
        <f>COUNTIFS(실시간콜입력!$B:$B,$A518,실시간콜입력!$E:$E,"E",실시간콜입력!$G:$G,$B518,실시간콜입력!$O:$O,"방문완료")+COUNTIFS(실시간콜입력!$B:$B,$A518,실시간콜입력!$E:$E,"E",실시간콜입력!$H:$H,$B518,실시간콜입력!$O:$O,"방문완료")</f>
        <v>0</v>
      </c>
      <c r="K518" s="29">
        <f t="shared" si="68"/>
        <v>0</v>
      </c>
      <c r="L518" s="33">
        <f>SUMIFS(실시간콜입력!$K:$K,실시간콜입력!$B:$B,$A518,실시간콜입력!$G:$G,$B518,실시간콜입력!$O:$O,"방문완료")+SUMIFS(실시간콜입력!$L:$L,실시간콜입력!$B:$B,$A518,실시간콜입력!$H:$H,$B518,실시간콜입력!$O:$O,"방문완료")</f>
        <v>0</v>
      </c>
      <c r="M518" s="29" t="str">
        <f t="shared" si="69"/>
        <v/>
      </c>
      <c r="N518" s="29"/>
    </row>
    <row r="519" spans="1:14" ht="19.5" hidden="1" customHeight="1" outlineLevel="1">
      <c r="A519" s="24">
        <f>IF(10&lt;=DAY(DATE(YEAR(설정_코스수당!$K$2),MONTH(설정_코스수당!$K$2)+1,0)),DATE(YEAR(설정_코스수당!$K$2),MONTH(설정_코스수당!$K$2),10),"")</f>
        <v>46183</v>
      </c>
      <c r="B519" s="23" t="s">
        <v>207</v>
      </c>
      <c r="C519" s="29"/>
      <c r="D519" s="29"/>
      <c r="E519" s="29" t="str">
        <f t="shared" si="67"/>
        <v/>
      </c>
      <c r="F519" s="29">
        <f>COUNTIFS(실시간콜입력!$B:$B,$A519,실시간콜입력!$E:$E,"A",실시간콜입력!$G:$G,$B519,실시간콜입력!$O:$O,"방문완료")+COUNTIFS(실시간콜입력!$B:$B,$A519,실시간콜입력!$E:$E,"A",실시간콜입력!$H:$H,$B519,실시간콜입력!$O:$O,"방문완료")</f>
        <v>0</v>
      </c>
      <c r="G519" s="29">
        <f>COUNTIFS(실시간콜입력!$B:$B,$A519,실시간콜입력!$E:$E,"B",실시간콜입력!$G:$G,$B519,실시간콜입력!$O:$O,"방문완료")+COUNTIFS(실시간콜입력!$B:$B,$A519,실시간콜입력!$E:$E,"B",실시간콜입력!$H:$H,$B519,실시간콜입력!$O:$O,"방문완료")</f>
        <v>0</v>
      </c>
      <c r="H519" s="29">
        <f>COUNTIFS(실시간콜입력!$B:$B,$A519,실시간콜입력!$E:$E,"C",실시간콜입력!$G:$G,$B519,실시간콜입력!$O:$O,"방문완료")+COUNTIFS(실시간콜입력!$B:$B,$A519,실시간콜입력!$E:$E,"C",실시간콜입력!$H:$H,$B519,실시간콜입력!$O:$O,"방문완료")</f>
        <v>0</v>
      </c>
      <c r="I519" s="29">
        <f>COUNTIFS(실시간콜입력!$B:$B,$A519,실시간콜입력!$E:$E,"D",실시간콜입력!$G:$G,$B519,실시간콜입력!$O:$O,"방문완료")+COUNTIFS(실시간콜입력!$B:$B,$A519,실시간콜입력!$E:$E,"D",실시간콜입력!$H:$H,$B519,실시간콜입력!$O:$O,"방문완료")</f>
        <v>0</v>
      </c>
      <c r="J519" s="29">
        <f>COUNTIFS(실시간콜입력!$B:$B,$A519,실시간콜입력!$E:$E,"E",실시간콜입력!$G:$G,$B519,실시간콜입력!$O:$O,"방문완료")+COUNTIFS(실시간콜입력!$B:$B,$A519,실시간콜입력!$E:$E,"E",실시간콜입력!$H:$H,$B519,실시간콜입력!$O:$O,"방문완료")</f>
        <v>0</v>
      </c>
      <c r="K519" s="29">
        <f t="shared" si="68"/>
        <v>0</v>
      </c>
      <c r="L519" s="27">
        <f>SUMIFS(실시간콜입력!$K:$K,실시간콜입력!$B:$B,$A519,실시간콜입력!$G:$G,$B519,실시간콜입력!$O:$O,"방문완료")+SUMIFS(실시간콜입력!$L:$L,실시간콜입력!$B:$B,$A519,실시간콜입력!$H:$H,$B519,실시간콜입력!$O:$O,"방문완료")</f>
        <v>0</v>
      </c>
      <c r="M519" s="29" t="str">
        <f t="shared" si="69"/>
        <v/>
      </c>
      <c r="N519" s="29"/>
    </row>
    <row r="520" spans="1:14" ht="19.5" hidden="1" customHeight="1" outlineLevel="1">
      <c r="A520" s="30">
        <f>IF(10&lt;=DAY(DATE(YEAR(설정_코스수당!$K$2),MONTH(설정_코스수당!$K$2)+1,0)),DATE(YEAR(설정_코스수당!$K$2),MONTH(설정_코스수당!$K$2),10),"")</f>
        <v>46183</v>
      </c>
      <c r="B520" s="29" t="s">
        <v>208</v>
      </c>
      <c r="C520" s="29"/>
      <c r="D520" s="29"/>
      <c r="E520" s="29" t="str">
        <f t="shared" si="67"/>
        <v/>
      </c>
      <c r="F520" s="29">
        <f>COUNTIFS(실시간콜입력!$B:$B,$A520,실시간콜입력!$E:$E,"A",실시간콜입력!$G:$G,$B520,실시간콜입력!$O:$O,"방문완료")+COUNTIFS(실시간콜입력!$B:$B,$A520,실시간콜입력!$E:$E,"A",실시간콜입력!$H:$H,$B520,실시간콜입력!$O:$O,"방문완료")</f>
        <v>0</v>
      </c>
      <c r="G520" s="29">
        <f>COUNTIFS(실시간콜입력!$B:$B,$A520,실시간콜입력!$E:$E,"B",실시간콜입력!$G:$G,$B520,실시간콜입력!$O:$O,"방문완료")+COUNTIFS(실시간콜입력!$B:$B,$A520,실시간콜입력!$E:$E,"B",실시간콜입력!$H:$H,$B520,실시간콜입력!$O:$O,"방문완료")</f>
        <v>0</v>
      </c>
      <c r="H520" s="29">
        <f>COUNTIFS(실시간콜입력!$B:$B,$A520,실시간콜입력!$E:$E,"C",실시간콜입력!$G:$G,$B520,실시간콜입력!$O:$O,"방문완료")+COUNTIFS(실시간콜입력!$B:$B,$A520,실시간콜입력!$E:$E,"C",실시간콜입력!$H:$H,$B520,실시간콜입력!$O:$O,"방문완료")</f>
        <v>0</v>
      </c>
      <c r="I520" s="29">
        <f>COUNTIFS(실시간콜입력!$B:$B,$A520,실시간콜입력!$E:$E,"D",실시간콜입력!$G:$G,$B520,실시간콜입력!$O:$O,"방문완료")+COUNTIFS(실시간콜입력!$B:$B,$A520,실시간콜입력!$E:$E,"D",실시간콜입력!$H:$H,$B520,실시간콜입력!$O:$O,"방문완료")</f>
        <v>0</v>
      </c>
      <c r="J520" s="29">
        <f>COUNTIFS(실시간콜입력!$B:$B,$A520,실시간콜입력!$E:$E,"E",실시간콜입력!$G:$G,$B520,실시간콜입력!$O:$O,"방문완료")+COUNTIFS(실시간콜입력!$B:$B,$A520,실시간콜입력!$E:$E,"E",실시간콜입력!$H:$H,$B520,실시간콜입력!$O:$O,"방문완료")</f>
        <v>0</v>
      </c>
      <c r="K520" s="29">
        <f t="shared" si="68"/>
        <v>0</v>
      </c>
      <c r="L520" s="33">
        <f>SUMIFS(실시간콜입력!$K:$K,실시간콜입력!$B:$B,$A520,실시간콜입력!$G:$G,$B520,실시간콜입력!$O:$O,"방문완료")+SUMIFS(실시간콜입력!$L:$L,실시간콜입력!$B:$B,$A520,실시간콜입력!$H:$H,$B520,실시간콜입력!$O:$O,"방문완료")</f>
        <v>0</v>
      </c>
      <c r="M520" s="29" t="str">
        <f t="shared" si="69"/>
        <v/>
      </c>
      <c r="N520" s="29"/>
    </row>
    <row r="521" spans="1:14" ht="19.5" hidden="1" customHeight="1" outlineLevel="1">
      <c r="A521" s="24">
        <f>IF(10&lt;=DAY(DATE(YEAR(설정_코스수당!$K$2),MONTH(설정_코스수당!$K$2)+1,0)),DATE(YEAR(설정_코스수당!$K$2),MONTH(설정_코스수당!$K$2),10),"")</f>
        <v>46183</v>
      </c>
      <c r="B521" s="23" t="s">
        <v>209</v>
      </c>
      <c r="C521" s="29"/>
      <c r="D521" s="29"/>
      <c r="E521" s="29" t="str">
        <f t="shared" si="67"/>
        <v/>
      </c>
      <c r="F521" s="29">
        <f>COUNTIFS(실시간콜입력!$B:$B,$A521,실시간콜입력!$E:$E,"A",실시간콜입력!$G:$G,$B521,실시간콜입력!$O:$O,"방문완료")+COUNTIFS(실시간콜입력!$B:$B,$A521,실시간콜입력!$E:$E,"A",실시간콜입력!$H:$H,$B521,실시간콜입력!$O:$O,"방문완료")</f>
        <v>0</v>
      </c>
      <c r="G521" s="29">
        <f>COUNTIFS(실시간콜입력!$B:$B,$A521,실시간콜입력!$E:$E,"B",실시간콜입력!$G:$G,$B521,실시간콜입력!$O:$O,"방문완료")+COUNTIFS(실시간콜입력!$B:$B,$A521,실시간콜입력!$E:$E,"B",실시간콜입력!$H:$H,$B521,실시간콜입력!$O:$O,"방문완료")</f>
        <v>0</v>
      </c>
      <c r="H521" s="29">
        <f>COUNTIFS(실시간콜입력!$B:$B,$A521,실시간콜입력!$E:$E,"C",실시간콜입력!$G:$G,$B521,실시간콜입력!$O:$O,"방문완료")+COUNTIFS(실시간콜입력!$B:$B,$A521,실시간콜입력!$E:$E,"C",실시간콜입력!$H:$H,$B521,실시간콜입력!$O:$O,"방문완료")</f>
        <v>0</v>
      </c>
      <c r="I521" s="29">
        <f>COUNTIFS(실시간콜입력!$B:$B,$A521,실시간콜입력!$E:$E,"D",실시간콜입력!$G:$G,$B521,실시간콜입력!$O:$O,"방문완료")+COUNTIFS(실시간콜입력!$B:$B,$A521,실시간콜입력!$E:$E,"D",실시간콜입력!$H:$H,$B521,실시간콜입력!$O:$O,"방문완료")</f>
        <v>0</v>
      </c>
      <c r="J521" s="29">
        <f>COUNTIFS(실시간콜입력!$B:$B,$A521,실시간콜입력!$E:$E,"E",실시간콜입력!$G:$G,$B521,실시간콜입력!$O:$O,"방문완료")+COUNTIFS(실시간콜입력!$B:$B,$A521,실시간콜입력!$E:$E,"E",실시간콜입력!$H:$H,$B521,실시간콜입력!$O:$O,"방문완료")</f>
        <v>0</v>
      </c>
      <c r="K521" s="29">
        <f t="shared" si="68"/>
        <v>0</v>
      </c>
      <c r="L521" s="27">
        <f>SUMIFS(실시간콜입력!$K:$K,실시간콜입력!$B:$B,$A521,실시간콜입력!$G:$G,$B521,실시간콜입력!$O:$O,"방문완료")+SUMIFS(실시간콜입력!$L:$L,실시간콜입력!$B:$B,$A521,실시간콜입력!$H:$H,$B521,실시간콜입력!$O:$O,"방문완료")</f>
        <v>0</v>
      </c>
      <c r="M521" s="29" t="str">
        <f t="shared" si="69"/>
        <v/>
      </c>
      <c r="N521" s="29"/>
    </row>
    <row r="522" spans="1:14" ht="19.5" hidden="1" customHeight="1" outlineLevel="1">
      <c r="A522" s="30">
        <f>IF(10&lt;=DAY(DATE(YEAR(설정_코스수당!$K$2),MONTH(설정_코스수당!$K$2)+1,0)),DATE(YEAR(설정_코스수당!$K$2),MONTH(설정_코스수당!$K$2),10),"")</f>
        <v>46183</v>
      </c>
      <c r="B522" s="29" t="s">
        <v>210</v>
      </c>
      <c r="C522" s="29"/>
      <c r="D522" s="29"/>
      <c r="E522" s="29" t="str">
        <f t="shared" si="67"/>
        <v/>
      </c>
      <c r="F522" s="29">
        <f>COUNTIFS(실시간콜입력!$B:$B,$A522,실시간콜입력!$E:$E,"A",실시간콜입력!$G:$G,$B522,실시간콜입력!$O:$O,"방문완료")+COUNTIFS(실시간콜입력!$B:$B,$A522,실시간콜입력!$E:$E,"A",실시간콜입력!$H:$H,$B522,실시간콜입력!$O:$O,"방문완료")</f>
        <v>0</v>
      </c>
      <c r="G522" s="29">
        <f>COUNTIFS(실시간콜입력!$B:$B,$A522,실시간콜입력!$E:$E,"B",실시간콜입력!$G:$G,$B522,실시간콜입력!$O:$O,"방문완료")+COUNTIFS(실시간콜입력!$B:$B,$A522,실시간콜입력!$E:$E,"B",실시간콜입력!$H:$H,$B522,실시간콜입력!$O:$O,"방문완료")</f>
        <v>0</v>
      </c>
      <c r="H522" s="29">
        <f>COUNTIFS(실시간콜입력!$B:$B,$A522,실시간콜입력!$E:$E,"C",실시간콜입력!$G:$G,$B522,실시간콜입력!$O:$O,"방문완료")+COUNTIFS(실시간콜입력!$B:$B,$A522,실시간콜입력!$E:$E,"C",실시간콜입력!$H:$H,$B522,실시간콜입력!$O:$O,"방문완료")</f>
        <v>0</v>
      </c>
      <c r="I522" s="29">
        <f>COUNTIFS(실시간콜입력!$B:$B,$A522,실시간콜입력!$E:$E,"D",실시간콜입력!$G:$G,$B522,실시간콜입력!$O:$O,"방문완료")+COUNTIFS(실시간콜입력!$B:$B,$A522,실시간콜입력!$E:$E,"D",실시간콜입력!$H:$H,$B522,실시간콜입력!$O:$O,"방문완료")</f>
        <v>0</v>
      </c>
      <c r="J522" s="29">
        <f>COUNTIFS(실시간콜입력!$B:$B,$A522,실시간콜입력!$E:$E,"E",실시간콜입력!$G:$G,$B522,실시간콜입력!$O:$O,"방문완료")+COUNTIFS(실시간콜입력!$B:$B,$A522,실시간콜입력!$E:$E,"E",실시간콜입력!$H:$H,$B522,실시간콜입력!$O:$O,"방문완료")</f>
        <v>0</v>
      </c>
      <c r="K522" s="29">
        <f t="shared" si="68"/>
        <v>0</v>
      </c>
      <c r="L522" s="33">
        <f>SUMIFS(실시간콜입력!$K:$K,실시간콜입력!$B:$B,$A522,실시간콜입력!$G:$G,$B522,실시간콜입력!$O:$O,"방문완료")+SUMIFS(실시간콜입력!$L:$L,실시간콜입력!$B:$B,$A522,실시간콜입력!$H:$H,$B522,실시간콜입력!$O:$O,"방문완료")</f>
        <v>0</v>
      </c>
      <c r="M522" s="29" t="str">
        <f t="shared" si="69"/>
        <v/>
      </c>
      <c r="N522" s="29"/>
    </row>
    <row r="523" spans="1:14" ht="19.5" hidden="1" customHeight="1" outlineLevel="1">
      <c r="A523" s="24">
        <f>IF(10&lt;=DAY(DATE(YEAR(설정_코스수당!$K$2),MONTH(설정_코스수당!$K$2)+1,0)),DATE(YEAR(설정_코스수당!$K$2),MONTH(설정_코스수당!$K$2),10),"")</f>
        <v>46183</v>
      </c>
      <c r="B523" s="23" t="s">
        <v>211</v>
      </c>
      <c r="C523" s="29"/>
      <c r="D523" s="29"/>
      <c r="E523" s="29" t="str">
        <f t="shared" si="67"/>
        <v/>
      </c>
      <c r="F523" s="29">
        <f>COUNTIFS(실시간콜입력!$B:$B,$A523,실시간콜입력!$E:$E,"A",실시간콜입력!$G:$G,$B523,실시간콜입력!$O:$O,"방문완료")+COUNTIFS(실시간콜입력!$B:$B,$A523,실시간콜입력!$E:$E,"A",실시간콜입력!$H:$H,$B523,실시간콜입력!$O:$O,"방문완료")</f>
        <v>0</v>
      </c>
      <c r="G523" s="29">
        <f>COUNTIFS(실시간콜입력!$B:$B,$A523,실시간콜입력!$E:$E,"B",실시간콜입력!$G:$G,$B523,실시간콜입력!$O:$O,"방문완료")+COUNTIFS(실시간콜입력!$B:$B,$A523,실시간콜입력!$E:$E,"B",실시간콜입력!$H:$H,$B523,실시간콜입력!$O:$O,"방문완료")</f>
        <v>0</v>
      </c>
      <c r="H523" s="29">
        <f>COUNTIFS(실시간콜입력!$B:$B,$A523,실시간콜입력!$E:$E,"C",실시간콜입력!$G:$G,$B523,실시간콜입력!$O:$O,"방문완료")+COUNTIFS(실시간콜입력!$B:$B,$A523,실시간콜입력!$E:$E,"C",실시간콜입력!$H:$H,$B523,실시간콜입력!$O:$O,"방문완료")</f>
        <v>0</v>
      </c>
      <c r="I523" s="29">
        <f>COUNTIFS(실시간콜입력!$B:$B,$A523,실시간콜입력!$E:$E,"D",실시간콜입력!$G:$G,$B523,실시간콜입력!$O:$O,"방문완료")+COUNTIFS(실시간콜입력!$B:$B,$A523,실시간콜입력!$E:$E,"D",실시간콜입력!$H:$H,$B523,실시간콜입력!$O:$O,"방문완료")</f>
        <v>0</v>
      </c>
      <c r="J523" s="29">
        <f>COUNTIFS(실시간콜입력!$B:$B,$A523,실시간콜입력!$E:$E,"E",실시간콜입력!$G:$G,$B523,실시간콜입력!$O:$O,"방문완료")+COUNTIFS(실시간콜입력!$B:$B,$A523,실시간콜입력!$E:$E,"E",실시간콜입력!$H:$H,$B523,실시간콜입력!$O:$O,"방문완료")</f>
        <v>0</v>
      </c>
      <c r="K523" s="29">
        <f t="shared" si="68"/>
        <v>0</v>
      </c>
      <c r="L523" s="27">
        <f>SUMIFS(실시간콜입력!$K:$K,실시간콜입력!$B:$B,$A523,실시간콜입력!$G:$G,$B523,실시간콜입력!$O:$O,"방문완료")+SUMIFS(실시간콜입력!$L:$L,실시간콜입력!$B:$B,$A523,실시간콜입력!$H:$H,$B523,실시간콜입력!$O:$O,"방문완료")</f>
        <v>0</v>
      </c>
      <c r="M523" s="29" t="str">
        <f t="shared" si="69"/>
        <v/>
      </c>
      <c r="N523" s="29"/>
    </row>
    <row r="524" spans="1:14" ht="19.5" hidden="1" customHeight="1" outlineLevel="1">
      <c r="A524" s="30">
        <f>IF(10&lt;=DAY(DATE(YEAR(설정_코스수당!$K$2),MONTH(설정_코스수당!$K$2)+1,0)),DATE(YEAR(설정_코스수당!$K$2),MONTH(설정_코스수당!$K$2),10),"")</f>
        <v>46183</v>
      </c>
      <c r="B524" s="29" t="s">
        <v>212</v>
      </c>
      <c r="C524" s="29"/>
      <c r="D524" s="29"/>
      <c r="E524" s="29" t="str">
        <f t="shared" si="67"/>
        <v/>
      </c>
      <c r="F524" s="29">
        <f>COUNTIFS(실시간콜입력!$B:$B,$A524,실시간콜입력!$E:$E,"A",실시간콜입력!$G:$G,$B524,실시간콜입력!$O:$O,"방문완료")+COUNTIFS(실시간콜입력!$B:$B,$A524,실시간콜입력!$E:$E,"A",실시간콜입력!$H:$H,$B524,실시간콜입력!$O:$O,"방문완료")</f>
        <v>0</v>
      </c>
      <c r="G524" s="29">
        <f>COUNTIFS(실시간콜입력!$B:$B,$A524,실시간콜입력!$E:$E,"B",실시간콜입력!$G:$G,$B524,실시간콜입력!$O:$O,"방문완료")+COUNTIFS(실시간콜입력!$B:$B,$A524,실시간콜입력!$E:$E,"B",실시간콜입력!$H:$H,$B524,실시간콜입력!$O:$O,"방문완료")</f>
        <v>0</v>
      </c>
      <c r="H524" s="29">
        <f>COUNTIFS(실시간콜입력!$B:$B,$A524,실시간콜입력!$E:$E,"C",실시간콜입력!$G:$G,$B524,실시간콜입력!$O:$O,"방문완료")+COUNTIFS(실시간콜입력!$B:$B,$A524,실시간콜입력!$E:$E,"C",실시간콜입력!$H:$H,$B524,실시간콜입력!$O:$O,"방문완료")</f>
        <v>0</v>
      </c>
      <c r="I524" s="29">
        <f>COUNTIFS(실시간콜입력!$B:$B,$A524,실시간콜입력!$E:$E,"D",실시간콜입력!$G:$G,$B524,실시간콜입력!$O:$O,"방문완료")+COUNTIFS(실시간콜입력!$B:$B,$A524,실시간콜입력!$E:$E,"D",실시간콜입력!$H:$H,$B524,실시간콜입력!$O:$O,"방문완료")</f>
        <v>0</v>
      </c>
      <c r="J524" s="29">
        <f>COUNTIFS(실시간콜입력!$B:$B,$A524,실시간콜입력!$E:$E,"E",실시간콜입력!$G:$G,$B524,실시간콜입력!$O:$O,"방문완료")+COUNTIFS(실시간콜입력!$B:$B,$A524,실시간콜입력!$E:$E,"E",실시간콜입력!$H:$H,$B524,실시간콜입력!$O:$O,"방문완료")</f>
        <v>0</v>
      </c>
      <c r="K524" s="29">
        <f t="shared" si="68"/>
        <v>0</v>
      </c>
      <c r="L524" s="33">
        <f>SUMIFS(실시간콜입력!$K:$K,실시간콜입력!$B:$B,$A524,실시간콜입력!$G:$G,$B524,실시간콜입력!$O:$O,"방문완료")+SUMIFS(실시간콜입력!$L:$L,실시간콜입력!$B:$B,$A524,실시간콜입력!$H:$H,$B524,실시간콜입력!$O:$O,"방문완료")</f>
        <v>0</v>
      </c>
      <c r="M524" s="29" t="str">
        <f t="shared" si="69"/>
        <v/>
      </c>
      <c r="N524" s="29"/>
    </row>
    <row r="525" spans="1:14" ht="21.75" customHeight="1" collapsed="1">
      <c r="A525" s="64">
        <f>IF(11&lt;=DAY(DATE(YEAR(설정_코스수당!$K$2),MONTH(설정_코스수당!$K$2)+1,0)),DATE(YEAR(설정_코스수당!$K$2),MONTH(설정_코스수당!$K$2),11),"")</f>
        <v>46184</v>
      </c>
      <c r="B525" s="65" t="str">
        <f>IF(A525="","","출근 "&amp;COUNTIF(C527:C576,"&lt;&gt;")&amp;"명")</f>
        <v>출근 0명</v>
      </c>
      <c r="C525" s="65" t="str">
        <f>IF(A525="","","만근 "&amp;COUNTIF(M527:M576,"인정")&amp;"명")</f>
        <v>만근 0명</v>
      </c>
      <c r="D525" s="65" t="str">
        <f>IFERROR("평균 "&amp;TEXT(AVERAGEIF(E527:E576,"&gt;0",E527:E576),"0.0")&amp;"h","평균 -")</f>
        <v>평균 -</v>
      </c>
      <c r="E525" s="65" t="s">
        <v>163</v>
      </c>
      <c r="F525" s="65">
        <f t="shared" ref="F525:L525" si="70">SUM(F527:F576)</f>
        <v>0</v>
      </c>
      <c r="G525" s="65">
        <f t="shared" si="70"/>
        <v>0</v>
      </c>
      <c r="H525" s="65">
        <f t="shared" si="70"/>
        <v>0</v>
      </c>
      <c r="I525" s="65">
        <f t="shared" si="70"/>
        <v>0</v>
      </c>
      <c r="J525" s="65">
        <f t="shared" si="70"/>
        <v>0</v>
      </c>
      <c r="K525" s="65">
        <f t="shared" si="70"/>
        <v>0</v>
      </c>
      <c r="L525" s="66">
        <f t="shared" si="70"/>
        <v>0</v>
      </c>
      <c r="M525" s="65">
        <f>COUNTIF(M527:M576,"인정")</f>
        <v>0</v>
      </c>
      <c r="N525" s="65" t="s">
        <v>164</v>
      </c>
    </row>
    <row r="526" spans="1:14" ht="19.5" hidden="1" customHeight="1" outlineLevel="1">
      <c r="A526" s="20" t="s">
        <v>42</v>
      </c>
      <c r="B526" s="20" t="s">
        <v>152</v>
      </c>
      <c r="C526" s="20" t="s">
        <v>153</v>
      </c>
      <c r="D526" s="20" t="s">
        <v>154</v>
      </c>
      <c r="E526" s="20" t="s">
        <v>155</v>
      </c>
      <c r="F526" s="20" t="s">
        <v>156</v>
      </c>
      <c r="G526" s="20" t="s">
        <v>157</v>
      </c>
      <c r="H526" s="20" t="s">
        <v>158</v>
      </c>
      <c r="I526" s="20" t="s">
        <v>159</v>
      </c>
      <c r="J526" s="20" t="s">
        <v>160</v>
      </c>
      <c r="K526" s="20" t="s">
        <v>118</v>
      </c>
      <c r="L526" s="20" t="s">
        <v>161</v>
      </c>
      <c r="M526" s="20" t="s">
        <v>162</v>
      </c>
      <c r="N526" s="20" t="s">
        <v>95</v>
      </c>
    </row>
    <row r="527" spans="1:14" ht="19.5" hidden="1" customHeight="1" outlineLevel="1">
      <c r="A527" s="24">
        <f>IF(11&lt;=DAY(DATE(YEAR(설정_코스수당!$K$2),MONTH(설정_코스수당!$K$2)+1,0)),DATE(YEAR(설정_코스수당!$K$2),MONTH(설정_코스수당!$K$2),11),"")</f>
        <v>46184</v>
      </c>
      <c r="B527" s="23" t="s">
        <v>47</v>
      </c>
      <c r="C527" s="23"/>
      <c r="D527" s="23"/>
      <c r="E527" s="23" t="str">
        <f t="shared" ref="E527:E558" si="71">IF(AND(C527&lt;&gt;"",D527&lt;&gt;""),IF(D527&lt;C527,D527+1-C527,D527-C527)*24,"")</f>
        <v/>
      </c>
      <c r="F527" s="23">
        <f>COUNTIFS(실시간콜입력!$B:$B,$A527,실시간콜입력!$E:$E,"A",실시간콜입력!$G:$G,$B527,실시간콜입력!$O:$O,"방문완료")+COUNTIFS(실시간콜입력!$B:$B,$A527,실시간콜입력!$E:$E,"A",실시간콜입력!$H:$H,$B527,실시간콜입력!$O:$O,"방문완료")</f>
        <v>0</v>
      </c>
      <c r="G527" s="23">
        <f>COUNTIFS(실시간콜입력!$B:$B,$A527,실시간콜입력!$E:$E,"B",실시간콜입력!$G:$G,$B527,실시간콜입력!$O:$O,"방문완료")+COUNTIFS(실시간콜입력!$B:$B,$A527,실시간콜입력!$E:$E,"B",실시간콜입력!$H:$H,$B527,실시간콜입력!$O:$O,"방문완료")</f>
        <v>0</v>
      </c>
      <c r="H527" s="23">
        <f>COUNTIFS(실시간콜입력!$B:$B,$A527,실시간콜입력!$E:$E,"C",실시간콜입력!$G:$G,$B527,실시간콜입력!$O:$O,"방문완료")+COUNTIFS(실시간콜입력!$B:$B,$A527,실시간콜입력!$E:$E,"C",실시간콜입력!$H:$H,$B527,실시간콜입력!$O:$O,"방문완료")</f>
        <v>0</v>
      </c>
      <c r="I527" s="23">
        <f>COUNTIFS(실시간콜입력!$B:$B,$A527,실시간콜입력!$E:$E,"D",실시간콜입력!$G:$G,$B527,실시간콜입력!$O:$O,"방문완료")+COUNTIFS(실시간콜입력!$B:$B,$A527,실시간콜입력!$E:$E,"D",실시간콜입력!$H:$H,$B527,실시간콜입력!$O:$O,"방문완료")</f>
        <v>0</v>
      </c>
      <c r="J527" s="23">
        <f>COUNTIFS(실시간콜입력!$B:$B,$A527,실시간콜입력!$E:$E,"E",실시간콜입력!$G:$G,$B527,실시간콜입력!$O:$O,"방문완료")+COUNTIFS(실시간콜입력!$B:$B,$A527,실시간콜입력!$E:$E,"E",실시간콜입력!$H:$H,$B527,실시간콜입력!$O:$O,"방문완료")</f>
        <v>0</v>
      </c>
      <c r="K527" s="23">
        <f t="shared" ref="K527:K558" si="72">SUM(F527:J527)</f>
        <v>0</v>
      </c>
      <c r="L527" s="27">
        <f>SUMIFS(실시간콜입력!$K:$K,실시간콜입력!$B:$B,$A527,실시간콜입력!$G:$G,$B527,실시간콜입력!$O:$O,"방문완료")+SUMIFS(실시간콜입력!$L:$L,실시간콜입력!$B:$B,$A527,실시간콜입력!$H:$H,$B527,실시간콜입력!$O:$O,"방문완료")</f>
        <v>0</v>
      </c>
      <c r="M527" s="23" t="str">
        <f t="shared" ref="M527:M558" si="73">IF(AND(ISNUMBER(E527),E527&gt;=8),"인정","")</f>
        <v/>
      </c>
      <c r="N527" s="23"/>
    </row>
    <row r="528" spans="1:14" ht="19.5" hidden="1" customHeight="1" outlineLevel="1">
      <c r="A528" s="30">
        <f>IF(11&lt;=DAY(DATE(YEAR(설정_코스수당!$K$2),MONTH(설정_코스수당!$K$2)+1,0)),DATE(YEAR(설정_코스수당!$K$2),MONTH(설정_코스수당!$K$2),11),"")</f>
        <v>46184</v>
      </c>
      <c r="B528" s="29" t="s">
        <v>48</v>
      </c>
      <c r="C528" s="29"/>
      <c r="D528" s="29"/>
      <c r="E528" s="29" t="str">
        <f t="shared" si="71"/>
        <v/>
      </c>
      <c r="F528" s="29">
        <f>COUNTIFS(실시간콜입력!$B:$B,$A528,실시간콜입력!$E:$E,"A",실시간콜입력!$G:$G,$B528,실시간콜입력!$O:$O,"방문완료")+COUNTIFS(실시간콜입력!$B:$B,$A528,실시간콜입력!$E:$E,"A",실시간콜입력!$H:$H,$B528,실시간콜입력!$O:$O,"방문완료")</f>
        <v>0</v>
      </c>
      <c r="G528" s="29">
        <f>COUNTIFS(실시간콜입력!$B:$B,$A528,실시간콜입력!$E:$E,"B",실시간콜입력!$G:$G,$B528,실시간콜입력!$O:$O,"방문완료")+COUNTIFS(실시간콜입력!$B:$B,$A528,실시간콜입력!$E:$E,"B",실시간콜입력!$H:$H,$B528,실시간콜입력!$O:$O,"방문완료")</f>
        <v>0</v>
      </c>
      <c r="H528" s="29">
        <f>COUNTIFS(실시간콜입력!$B:$B,$A528,실시간콜입력!$E:$E,"C",실시간콜입력!$G:$G,$B528,실시간콜입력!$O:$O,"방문완료")+COUNTIFS(실시간콜입력!$B:$B,$A528,실시간콜입력!$E:$E,"C",실시간콜입력!$H:$H,$B528,실시간콜입력!$O:$O,"방문완료")</f>
        <v>0</v>
      </c>
      <c r="I528" s="29">
        <f>COUNTIFS(실시간콜입력!$B:$B,$A528,실시간콜입력!$E:$E,"D",실시간콜입력!$G:$G,$B528,실시간콜입력!$O:$O,"방문완료")+COUNTIFS(실시간콜입력!$B:$B,$A528,실시간콜입력!$E:$E,"D",실시간콜입력!$H:$H,$B528,실시간콜입력!$O:$O,"방문완료")</f>
        <v>0</v>
      </c>
      <c r="J528" s="29">
        <f>COUNTIFS(실시간콜입력!$B:$B,$A528,실시간콜입력!$E:$E,"E",실시간콜입력!$G:$G,$B528,실시간콜입력!$O:$O,"방문완료")+COUNTIFS(실시간콜입력!$B:$B,$A528,실시간콜입력!$E:$E,"E",실시간콜입력!$H:$H,$B528,실시간콜입력!$O:$O,"방문완료")</f>
        <v>0</v>
      </c>
      <c r="K528" s="29">
        <f t="shared" si="72"/>
        <v>0</v>
      </c>
      <c r="L528" s="33">
        <f>SUMIFS(실시간콜입력!$K:$K,실시간콜입력!$B:$B,$A528,실시간콜입력!$G:$G,$B528,실시간콜입력!$O:$O,"방문완료")+SUMIFS(실시간콜입력!$L:$L,실시간콜입력!$B:$B,$A528,실시간콜입력!$H:$H,$B528,실시간콜입력!$O:$O,"방문완료")</f>
        <v>0</v>
      </c>
      <c r="M528" s="29" t="str">
        <f t="shared" si="73"/>
        <v/>
      </c>
      <c r="N528" s="29"/>
    </row>
    <row r="529" spans="1:14" ht="19.5" hidden="1" customHeight="1" outlineLevel="1">
      <c r="A529" s="24">
        <f>IF(11&lt;=DAY(DATE(YEAR(설정_코스수당!$K$2),MONTH(설정_코스수당!$K$2)+1,0)),DATE(YEAR(설정_코스수당!$K$2),MONTH(설정_코스수당!$K$2),11),"")</f>
        <v>46184</v>
      </c>
      <c r="B529" s="23" t="s">
        <v>165</v>
      </c>
      <c r="C529" s="29"/>
      <c r="D529" s="29"/>
      <c r="E529" s="29" t="str">
        <f t="shared" si="71"/>
        <v/>
      </c>
      <c r="F529" s="29">
        <f>COUNTIFS(실시간콜입력!$B:$B,$A529,실시간콜입력!$E:$E,"A",실시간콜입력!$G:$G,$B529,실시간콜입력!$O:$O,"방문완료")+COUNTIFS(실시간콜입력!$B:$B,$A529,실시간콜입력!$E:$E,"A",실시간콜입력!$H:$H,$B529,실시간콜입력!$O:$O,"방문완료")</f>
        <v>0</v>
      </c>
      <c r="G529" s="29">
        <f>COUNTIFS(실시간콜입력!$B:$B,$A529,실시간콜입력!$E:$E,"B",실시간콜입력!$G:$G,$B529,실시간콜입력!$O:$O,"방문완료")+COUNTIFS(실시간콜입력!$B:$B,$A529,실시간콜입력!$E:$E,"B",실시간콜입력!$H:$H,$B529,실시간콜입력!$O:$O,"방문완료")</f>
        <v>0</v>
      </c>
      <c r="H529" s="29">
        <f>COUNTIFS(실시간콜입력!$B:$B,$A529,실시간콜입력!$E:$E,"C",실시간콜입력!$G:$G,$B529,실시간콜입력!$O:$O,"방문완료")+COUNTIFS(실시간콜입력!$B:$B,$A529,실시간콜입력!$E:$E,"C",실시간콜입력!$H:$H,$B529,실시간콜입력!$O:$O,"방문완료")</f>
        <v>0</v>
      </c>
      <c r="I529" s="29">
        <f>COUNTIFS(실시간콜입력!$B:$B,$A529,실시간콜입력!$E:$E,"D",실시간콜입력!$G:$G,$B529,실시간콜입력!$O:$O,"방문완료")+COUNTIFS(실시간콜입력!$B:$B,$A529,실시간콜입력!$E:$E,"D",실시간콜입력!$H:$H,$B529,실시간콜입력!$O:$O,"방문완료")</f>
        <v>0</v>
      </c>
      <c r="J529" s="29">
        <f>COUNTIFS(실시간콜입력!$B:$B,$A529,실시간콜입력!$E:$E,"E",실시간콜입력!$G:$G,$B529,실시간콜입력!$O:$O,"방문완료")+COUNTIFS(실시간콜입력!$B:$B,$A529,실시간콜입력!$E:$E,"E",실시간콜입력!$H:$H,$B529,실시간콜입력!$O:$O,"방문완료")</f>
        <v>0</v>
      </c>
      <c r="K529" s="29">
        <f t="shared" si="72"/>
        <v>0</v>
      </c>
      <c r="L529" s="27">
        <f>SUMIFS(실시간콜입력!$K:$K,실시간콜입력!$B:$B,$A529,실시간콜입력!$G:$G,$B529,실시간콜입력!$O:$O,"방문완료")+SUMIFS(실시간콜입력!$L:$L,실시간콜입력!$B:$B,$A529,실시간콜입력!$H:$H,$B529,실시간콜입력!$O:$O,"방문완료")</f>
        <v>0</v>
      </c>
      <c r="M529" s="29" t="str">
        <f t="shared" si="73"/>
        <v/>
      </c>
      <c r="N529" s="29"/>
    </row>
    <row r="530" spans="1:14" ht="19.5" hidden="1" customHeight="1" outlineLevel="1">
      <c r="A530" s="30">
        <f>IF(11&lt;=DAY(DATE(YEAR(설정_코스수당!$K$2),MONTH(설정_코스수당!$K$2)+1,0)),DATE(YEAR(설정_코스수당!$K$2),MONTH(설정_코스수당!$K$2),11),"")</f>
        <v>46184</v>
      </c>
      <c r="B530" s="29" t="s">
        <v>166</v>
      </c>
      <c r="C530" s="29"/>
      <c r="D530" s="29"/>
      <c r="E530" s="29" t="str">
        <f t="shared" si="71"/>
        <v/>
      </c>
      <c r="F530" s="29">
        <f>COUNTIFS(실시간콜입력!$B:$B,$A530,실시간콜입력!$E:$E,"A",실시간콜입력!$G:$G,$B530,실시간콜입력!$O:$O,"방문완료")+COUNTIFS(실시간콜입력!$B:$B,$A530,실시간콜입력!$E:$E,"A",실시간콜입력!$H:$H,$B530,실시간콜입력!$O:$O,"방문완료")</f>
        <v>0</v>
      </c>
      <c r="G530" s="29">
        <f>COUNTIFS(실시간콜입력!$B:$B,$A530,실시간콜입력!$E:$E,"B",실시간콜입력!$G:$G,$B530,실시간콜입력!$O:$O,"방문완료")+COUNTIFS(실시간콜입력!$B:$B,$A530,실시간콜입력!$E:$E,"B",실시간콜입력!$H:$H,$B530,실시간콜입력!$O:$O,"방문완료")</f>
        <v>0</v>
      </c>
      <c r="H530" s="29">
        <f>COUNTIFS(실시간콜입력!$B:$B,$A530,실시간콜입력!$E:$E,"C",실시간콜입력!$G:$G,$B530,실시간콜입력!$O:$O,"방문완료")+COUNTIFS(실시간콜입력!$B:$B,$A530,실시간콜입력!$E:$E,"C",실시간콜입력!$H:$H,$B530,실시간콜입력!$O:$O,"방문완료")</f>
        <v>0</v>
      </c>
      <c r="I530" s="29">
        <f>COUNTIFS(실시간콜입력!$B:$B,$A530,실시간콜입력!$E:$E,"D",실시간콜입력!$G:$G,$B530,실시간콜입력!$O:$O,"방문완료")+COUNTIFS(실시간콜입력!$B:$B,$A530,실시간콜입력!$E:$E,"D",실시간콜입력!$H:$H,$B530,실시간콜입력!$O:$O,"방문완료")</f>
        <v>0</v>
      </c>
      <c r="J530" s="29">
        <f>COUNTIFS(실시간콜입력!$B:$B,$A530,실시간콜입력!$E:$E,"E",실시간콜입력!$G:$G,$B530,실시간콜입력!$O:$O,"방문완료")+COUNTIFS(실시간콜입력!$B:$B,$A530,실시간콜입력!$E:$E,"E",실시간콜입력!$H:$H,$B530,실시간콜입력!$O:$O,"방문완료")</f>
        <v>0</v>
      </c>
      <c r="K530" s="29">
        <f t="shared" si="72"/>
        <v>0</v>
      </c>
      <c r="L530" s="33">
        <f>SUMIFS(실시간콜입력!$K:$K,실시간콜입력!$B:$B,$A530,실시간콜입력!$G:$G,$B530,실시간콜입력!$O:$O,"방문완료")+SUMIFS(실시간콜입력!$L:$L,실시간콜입력!$B:$B,$A530,실시간콜입력!$H:$H,$B530,실시간콜입력!$O:$O,"방문완료")</f>
        <v>0</v>
      </c>
      <c r="M530" s="29" t="str">
        <f t="shared" si="73"/>
        <v/>
      </c>
      <c r="N530" s="29"/>
    </row>
    <row r="531" spans="1:14" ht="19.5" hidden="1" customHeight="1" outlineLevel="1">
      <c r="A531" s="24">
        <f>IF(11&lt;=DAY(DATE(YEAR(설정_코스수당!$K$2),MONTH(설정_코스수당!$K$2)+1,0)),DATE(YEAR(설정_코스수당!$K$2),MONTH(설정_코스수당!$K$2),11),"")</f>
        <v>46184</v>
      </c>
      <c r="B531" s="23" t="s">
        <v>167</v>
      </c>
      <c r="C531" s="29"/>
      <c r="D531" s="29"/>
      <c r="E531" s="29" t="str">
        <f t="shared" si="71"/>
        <v/>
      </c>
      <c r="F531" s="29">
        <f>COUNTIFS(실시간콜입력!$B:$B,$A531,실시간콜입력!$E:$E,"A",실시간콜입력!$G:$G,$B531,실시간콜입력!$O:$O,"방문완료")+COUNTIFS(실시간콜입력!$B:$B,$A531,실시간콜입력!$E:$E,"A",실시간콜입력!$H:$H,$B531,실시간콜입력!$O:$O,"방문완료")</f>
        <v>0</v>
      </c>
      <c r="G531" s="29">
        <f>COUNTIFS(실시간콜입력!$B:$B,$A531,실시간콜입력!$E:$E,"B",실시간콜입력!$G:$G,$B531,실시간콜입력!$O:$O,"방문완료")+COUNTIFS(실시간콜입력!$B:$B,$A531,실시간콜입력!$E:$E,"B",실시간콜입력!$H:$H,$B531,실시간콜입력!$O:$O,"방문완료")</f>
        <v>0</v>
      </c>
      <c r="H531" s="29">
        <f>COUNTIFS(실시간콜입력!$B:$B,$A531,실시간콜입력!$E:$E,"C",실시간콜입력!$G:$G,$B531,실시간콜입력!$O:$O,"방문완료")+COUNTIFS(실시간콜입력!$B:$B,$A531,실시간콜입력!$E:$E,"C",실시간콜입력!$H:$H,$B531,실시간콜입력!$O:$O,"방문완료")</f>
        <v>0</v>
      </c>
      <c r="I531" s="29">
        <f>COUNTIFS(실시간콜입력!$B:$B,$A531,실시간콜입력!$E:$E,"D",실시간콜입력!$G:$G,$B531,실시간콜입력!$O:$O,"방문완료")+COUNTIFS(실시간콜입력!$B:$B,$A531,실시간콜입력!$E:$E,"D",실시간콜입력!$H:$H,$B531,실시간콜입력!$O:$O,"방문완료")</f>
        <v>0</v>
      </c>
      <c r="J531" s="29">
        <f>COUNTIFS(실시간콜입력!$B:$B,$A531,실시간콜입력!$E:$E,"E",실시간콜입력!$G:$G,$B531,실시간콜입력!$O:$O,"방문완료")+COUNTIFS(실시간콜입력!$B:$B,$A531,실시간콜입력!$E:$E,"E",실시간콜입력!$H:$H,$B531,실시간콜입력!$O:$O,"방문완료")</f>
        <v>0</v>
      </c>
      <c r="K531" s="29">
        <f t="shared" si="72"/>
        <v>0</v>
      </c>
      <c r="L531" s="27">
        <f>SUMIFS(실시간콜입력!$K:$K,실시간콜입력!$B:$B,$A531,실시간콜입력!$G:$G,$B531,실시간콜입력!$O:$O,"방문완료")+SUMIFS(실시간콜입력!$L:$L,실시간콜입력!$B:$B,$A531,실시간콜입력!$H:$H,$B531,실시간콜입력!$O:$O,"방문완료")</f>
        <v>0</v>
      </c>
      <c r="M531" s="29" t="str">
        <f t="shared" si="73"/>
        <v/>
      </c>
      <c r="N531" s="29"/>
    </row>
    <row r="532" spans="1:14" ht="19.5" hidden="1" customHeight="1" outlineLevel="1">
      <c r="A532" s="30">
        <f>IF(11&lt;=DAY(DATE(YEAR(설정_코스수당!$K$2),MONTH(설정_코스수당!$K$2)+1,0)),DATE(YEAR(설정_코스수당!$K$2),MONTH(설정_코스수당!$K$2),11),"")</f>
        <v>46184</v>
      </c>
      <c r="B532" s="29" t="s">
        <v>168</v>
      </c>
      <c r="C532" s="29"/>
      <c r="D532" s="29"/>
      <c r="E532" s="29" t="str">
        <f t="shared" si="71"/>
        <v/>
      </c>
      <c r="F532" s="29">
        <f>COUNTIFS(실시간콜입력!$B:$B,$A532,실시간콜입력!$E:$E,"A",실시간콜입력!$G:$G,$B532,실시간콜입력!$O:$O,"방문완료")+COUNTIFS(실시간콜입력!$B:$B,$A532,실시간콜입력!$E:$E,"A",실시간콜입력!$H:$H,$B532,실시간콜입력!$O:$O,"방문완료")</f>
        <v>0</v>
      </c>
      <c r="G532" s="29">
        <f>COUNTIFS(실시간콜입력!$B:$B,$A532,실시간콜입력!$E:$E,"B",실시간콜입력!$G:$G,$B532,실시간콜입력!$O:$O,"방문완료")+COUNTIFS(실시간콜입력!$B:$B,$A532,실시간콜입력!$E:$E,"B",실시간콜입력!$H:$H,$B532,실시간콜입력!$O:$O,"방문완료")</f>
        <v>0</v>
      </c>
      <c r="H532" s="29">
        <f>COUNTIFS(실시간콜입력!$B:$B,$A532,실시간콜입력!$E:$E,"C",실시간콜입력!$G:$G,$B532,실시간콜입력!$O:$O,"방문완료")+COUNTIFS(실시간콜입력!$B:$B,$A532,실시간콜입력!$E:$E,"C",실시간콜입력!$H:$H,$B532,실시간콜입력!$O:$O,"방문완료")</f>
        <v>0</v>
      </c>
      <c r="I532" s="29">
        <f>COUNTIFS(실시간콜입력!$B:$B,$A532,실시간콜입력!$E:$E,"D",실시간콜입력!$G:$G,$B532,실시간콜입력!$O:$O,"방문완료")+COUNTIFS(실시간콜입력!$B:$B,$A532,실시간콜입력!$E:$E,"D",실시간콜입력!$H:$H,$B532,실시간콜입력!$O:$O,"방문완료")</f>
        <v>0</v>
      </c>
      <c r="J532" s="29">
        <f>COUNTIFS(실시간콜입력!$B:$B,$A532,실시간콜입력!$E:$E,"E",실시간콜입력!$G:$G,$B532,실시간콜입력!$O:$O,"방문완료")+COUNTIFS(실시간콜입력!$B:$B,$A532,실시간콜입력!$E:$E,"E",실시간콜입력!$H:$H,$B532,실시간콜입력!$O:$O,"방문완료")</f>
        <v>0</v>
      </c>
      <c r="K532" s="29">
        <f t="shared" si="72"/>
        <v>0</v>
      </c>
      <c r="L532" s="33">
        <f>SUMIFS(실시간콜입력!$K:$K,실시간콜입력!$B:$B,$A532,실시간콜입력!$G:$G,$B532,실시간콜입력!$O:$O,"방문완료")+SUMIFS(실시간콜입력!$L:$L,실시간콜입력!$B:$B,$A532,실시간콜입력!$H:$H,$B532,실시간콜입력!$O:$O,"방문완료")</f>
        <v>0</v>
      </c>
      <c r="M532" s="29" t="str">
        <f t="shared" si="73"/>
        <v/>
      </c>
      <c r="N532" s="29"/>
    </row>
    <row r="533" spans="1:14" ht="19.5" hidden="1" customHeight="1" outlineLevel="1">
      <c r="A533" s="24">
        <f>IF(11&lt;=DAY(DATE(YEAR(설정_코스수당!$K$2),MONTH(설정_코스수당!$K$2)+1,0)),DATE(YEAR(설정_코스수당!$K$2),MONTH(설정_코스수당!$K$2),11),"")</f>
        <v>46184</v>
      </c>
      <c r="B533" s="23" t="s">
        <v>169</v>
      </c>
      <c r="C533" s="29"/>
      <c r="D533" s="29"/>
      <c r="E533" s="29" t="str">
        <f t="shared" si="71"/>
        <v/>
      </c>
      <c r="F533" s="29">
        <f>COUNTIFS(실시간콜입력!$B:$B,$A533,실시간콜입력!$E:$E,"A",실시간콜입력!$G:$G,$B533,실시간콜입력!$O:$O,"방문완료")+COUNTIFS(실시간콜입력!$B:$B,$A533,실시간콜입력!$E:$E,"A",실시간콜입력!$H:$H,$B533,실시간콜입력!$O:$O,"방문완료")</f>
        <v>0</v>
      </c>
      <c r="G533" s="29">
        <f>COUNTIFS(실시간콜입력!$B:$B,$A533,실시간콜입력!$E:$E,"B",실시간콜입력!$G:$G,$B533,실시간콜입력!$O:$O,"방문완료")+COUNTIFS(실시간콜입력!$B:$B,$A533,실시간콜입력!$E:$E,"B",실시간콜입력!$H:$H,$B533,실시간콜입력!$O:$O,"방문완료")</f>
        <v>0</v>
      </c>
      <c r="H533" s="29">
        <f>COUNTIFS(실시간콜입력!$B:$B,$A533,실시간콜입력!$E:$E,"C",실시간콜입력!$G:$G,$B533,실시간콜입력!$O:$O,"방문완료")+COUNTIFS(실시간콜입력!$B:$B,$A533,실시간콜입력!$E:$E,"C",실시간콜입력!$H:$H,$B533,실시간콜입력!$O:$O,"방문완료")</f>
        <v>0</v>
      </c>
      <c r="I533" s="29">
        <f>COUNTIFS(실시간콜입력!$B:$B,$A533,실시간콜입력!$E:$E,"D",실시간콜입력!$G:$G,$B533,실시간콜입력!$O:$O,"방문완료")+COUNTIFS(실시간콜입력!$B:$B,$A533,실시간콜입력!$E:$E,"D",실시간콜입력!$H:$H,$B533,실시간콜입력!$O:$O,"방문완료")</f>
        <v>0</v>
      </c>
      <c r="J533" s="29">
        <f>COUNTIFS(실시간콜입력!$B:$B,$A533,실시간콜입력!$E:$E,"E",실시간콜입력!$G:$G,$B533,실시간콜입력!$O:$O,"방문완료")+COUNTIFS(실시간콜입력!$B:$B,$A533,실시간콜입력!$E:$E,"E",실시간콜입력!$H:$H,$B533,실시간콜입력!$O:$O,"방문완료")</f>
        <v>0</v>
      </c>
      <c r="K533" s="29">
        <f t="shared" si="72"/>
        <v>0</v>
      </c>
      <c r="L533" s="27">
        <f>SUMIFS(실시간콜입력!$K:$K,실시간콜입력!$B:$B,$A533,실시간콜입력!$G:$G,$B533,실시간콜입력!$O:$O,"방문완료")+SUMIFS(실시간콜입력!$L:$L,실시간콜입력!$B:$B,$A533,실시간콜입력!$H:$H,$B533,실시간콜입력!$O:$O,"방문완료")</f>
        <v>0</v>
      </c>
      <c r="M533" s="29" t="str">
        <f t="shared" si="73"/>
        <v/>
      </c>
      <c r="N533" s="29"/>
    </row>
    <row r="534" spans="1:14" ht="19.5" hidden="1" customHeight="1" outlineLevel="1">
      <c r="A534" s="30">
        <f>IF(11&lt;=DAY(DATE(YEAR(설정_코스수당!$K$2),MONTH(설정_코스수당!$K$2)+1,0)),DATE(YEAR(설정_코스수당!$K$2),MONTH(설정_코스수당!$K$2),11),"")</f>
        <v>46184</v>
      </c>
      <c r="B534" s="29" t="s">
        <v>170</v>
      </c>
      <c r="C534" s="29"/>
      <c r="D534" s="29"/>
      <c r="E534" s="29" t="str">
        <f t="shared" si="71"/>
        <v/>
      </c>
      <c r="F534" s="29">
        <f>COUNTIFS(실시간콜입력!$B:$B,$A534,실시간콜입력!$E:$E,"A",실시간콜입력!$G:$G,$B534,실시간콜입력!$O:$O,"방문완료")+COUNTIFS(실시간콜입력!$B:$B,$A534,실시간콜입력!$E:$E,"A",실시간콜입력!$H:$H,$B534,실시간콜입력!$O:$O,"방문완료")</f>
        <v>0</v>
      </c>
      <c r="G534" s="29">
        <f>COUNTIFS(실시간콜입력!$B:$B,$A534,실시간콜입력!$E:$E,"B",실시간콜입력!$G:$G,$B534,실시간콜입력!$O:$O,"방문완료")+COUNTIFS(실시간콜입력!$B:$B,$A534,실시간콜입력!$E:$E,"B",실시간콜입력!$H:$H,$B534,실시간콜입력!$O:$O,"방문완료")</f>
        <v>0</v>
      </c>
      <c r="H534" s="29">
        <f>COUNTIFS(실시간콜입력!$B:$B,$A534,실시간콜입력!$E:$E,"C",실시간콜입력!$G:$G,$B534,실시간콜입력!$O:$O,"방문완료")+COUNTIFS(실시간콜입력!$B:$B,$A534,실시간콜입력!$E:$E,"C",실시간콜입력!$H:$H,$B534,실시간콜입력!$O:$O,"방문완료")</f>
        <v>0</v>
      </c>
      <c r="I534" s="29">
        <f>COUNTIFS(실시간콜입력!$B:$B,$A534,실시간콜입력!$E:$E,"D",실시간콜입력!$G:$G,$B534,실시간콜입력!$O:$O,"방문완료")+COUNTIFS(실시간콜입력!$B:$B,$A534,실시간콜입력!$E:$E,"D",실시간콜입력!$H:$H,$B534,실시간콜입력!$O:$O,"방문완료")</f>
        <v>0</v>
      </c>
      <c r="J534" s="29">
        <f>COUNTIFS(실시간콜입력!$B:$B,$A534,실시간콜입력!$E:$E,"E",실시간콜입력!$G:$G,$B534,실시간콜입력!$O:$O,"방문완료")+COUNTIFS(실시간콜입력!$B:$B,$A534,실시간콜입력!$E:$E,"E",실시간콜입력!$H:$H,$B534,실시간콜입력!$O:$O,"방문완료")</f>
        <v>0</v>
      </c>
      <c r="K534" s="29">
        <f t="shared" si="72"/>
        <v>0</v>
      </c>
      <c r="L534" s="33">
        <f>SUMIFS(실시간콜입력!$K:$K,실시간콜입력!$B:$B,$A534,실시간콜입력!$G:$G,$B534,실시간콜입력!$O:$O,"방문완료")+SUMIFS(실시간콜입력!$L:$L,실시간콜입력!$B:$B,$A534,실시간콜입력!$H:$H,$B534,실시간콜입력!$O:$O,"방문완료")</f>
        <v>0</v>
      </c>
      <c r="M534" s="29" t="str">
        <f t="shared" si="73"/>
        <v/>
      </c>
      <c r="N534" s="29"/>
    </row>
    <row r="535" spans="1:14" ht="19.5" hidden="1" customHeight="1" outlineLevel="1">
      <c r="A535" s="24">
        <f>IF(11&lt;=DAY(DATE(YEAR(설정_코스수당!$K$2),MONTH(설정_코스수당!$K$2)+1,0)),DATE(YEAR(설정_코스수당!$K$2),MONTH(설정_코스수당!$K$2),11),"")</f>
        <v>46184</v>
      </c>
      <c r="B535" s="23" t="s">
        <v>171</v>
      </c>
      <c r="C535" s="29"/>
      <c r="D535" s="29"/>
      <c r="E535" s="29" t="str">
        <f t="shared" si="71"/>
        <v/>
      </c>
      <c r="F535" s="29">
        <f>COUNTIFS(실시간콜입력!$B:$B,$A535,실시간콜입력!$E:$E,"A",실시간콜입력!$G:$G,$B535,실시간콜입력!$O:$O,"방문완료")+COUNTIFS(실시간콜입력!$B:$B,$A535,실시간콜입력!$E:$E,"A",실시간콜입력!$H:$H,$B535,실시간콜입력!$O:$O,"방문완료")</f>
        <v>0</v>
      </c>
      <c r="G535" s="29">
        <f>COUNTIFS(실시간콜입력!$B:$B,$A535,실시간콜입력!$E:$E,"B",실시간콜입력!$G:$G,$B535,실시간콜입력!$O:$O,"방문완료")+COUNTIFS(실시간콜입력!$B:$B,$A535,실시간콜입력!$E:$E,"B",실시간콜입력!$H:$H,$B535,실시간콜입력!$O:$O,"방문완료")</f>
        <v>0</v>
      </c>
      <c r="H535" s="29">
        <f>COUNTIFS(실시간콜입력!$B:$B,$A535,실시간콜입력!$E:$E,"C",실시간콜입력!$G:$G,$B535,실시간콜입력!$O:$O,"방문완료")+COUNTIFS(실시간콜입력!$B:$B,$A535,실시간콜입력!$E:$E,"C",실시간콜입력!$H:$H,$B535,실시간콜입력!$O:$O,"방문완료")</f>
        <v>0</v>
      </c>
      <c r="I535" s="29">
        <f>COUNTIFS(실시간콜입력!$B:$B,$A535,실시간콜입력!$E:$E,"D",실시간콜입력!$G:$G,$B535,실시간콜입력!$O:$O,"방문완료")+COUNTIFS(실시간콜입력!$B:$B,$A535,실시간콜입력!$E:$E,"D",실시간콜입력!$H:$H,$B535,실시간콜입력!$O:$O,"방문완료")</f>
        <v>0</v>
      </c>
      <c r="J535" s="29">
        <f>COUNTIFS(실시간콜입력!$B:$B,$A535,실시간콜입력!$E:$E,"E",실시간콜입력!$G:$G,$B535,실시간콜입력!$O:$O,"방문완료")+COUNTIFS(실시간콜입력!$B:$B,$A535,실시간콜입력!$E:$E,"E",실시간콜입력!$H:$H,$B535,실시간콜입력!$O:$O,"방문완료")</f>
        <v>0</v>
      </c>
      <c r="K535" s="29">
        <f t="shared" si="72"/>
        <v>0</v>
      </c>
      <c r="L535" s="27">
        <f>SUMIFS(실시간콜입력!$K:$K,실시간콜입력!$B:$B,$A535,실시간콜입력!$G:$G,$B535,실시간콜입력!$O:$O,"방문완료")+SUMIFS(실시간콜입력!$L:$L,실시간콜입력!$B:$B,$A535,실시간콜입력!$H:$H,$B535,실시간콜입력!$O:$O,"방문완료")</f>
        <v>0</v>
      </c>
      <c r="M535" s="29" t="str">
        <f t="shared" si="73"/>
        <v/>
      </c>
      <c r="N535" s="29"/>
    </row>
    <row r="536" spans="1:14" ht="19.5" hidden="1" customHeight="1" outlineLevel="1">
      <c r="A536" s="30">
        <f>IF(11&lt;=DAY(DATE(YEAR(설정_코스수당!$K$2),MONTH(설정_코스수당!$K$2)+1,0)),DATE(YEAR(설정_코스수당!$K$2),MONTH(설정_코스수당!$K$2),11),"")</f>
        <v>46184</v>
      </c>
      <c r="B536" s="29" t="s">
        <v>172</v>
      </c>
      <c r="C536" s="29"/>
      <c r="D536" s="29"/>
      <c r="E536" s="29" t="str">
        <f t="shared" si="71"/>
        <v/>
      </c>
      <c r="F536" s="29">
        <f>COUNTIFS(실시간콜입력!$B:$B,$A536,실시간콜입력!$E:$E,"A",실시간콜입력!$G:$G,$B536,실시간콜입력!$O:$O,"방문완료")+COUNTIFS(실시간콜입력!$B:$B,$A536,실시간콜입력!$E:$E,"A",실시간콜입력!$H:$H,$B536,실시간콜입력!$O:$O,"방문완료")</f>
        <v>0</v>
      </c>
      <c r="G536" s="29">
        <f>COUNTIFS(실시간콜입력!$B:$B,$A536,실시간콜입력!$E:$E,"B",실시간콜입력!$G:$G,$B536,실시간콜입력!$O:$O,"방문완료")+COUNTIFS(실시간콜입력!$B:$B,$A536,실시간콜입력!$E:$E,"B",실시간콜입력!$H:$H,$B536,실시간콜입력!$O:$O,"방문완료")</f>
        <v>0</v>
      </c>
      <c r="H536" s="29">
        <f>COUNTIFS(실시간콜입력!$B:$B,$A536,실시간콜입력!$E:$E,"C",실시간콜입력!$G:$G,$B536,실시간콜입력!$O:$O,"방문완료")+COUNTIFS(실시간콜입력!$B:$B,$A536,실시간콜입력!$E:$E,"C",실시간콜입력!$H:$H,$B536,실시간콜입력!$O:$O,"방문완료")</f>
        <v>0</v>
      </c>
      <c r="I536" s="29">
        <f>COUNTIFS(실시간콜입력!$B:$B,$A536,실시간콜입력!$E:$E,"D",실시간콜입력!$G:$G,$B536,실시간콜입력!$O:$O,"방문완료")+COUNTIFS(실시간콜입력!$B:$B,$A536,실시간콜입력!$E:$E,"D",실시간콜입력!$H:$H,$B536,실시간콜입력!$O:$O,"방문완료")</f>
        <v>0</v>
      </c>
      <c r="J536" s="29">
        <f>COUNTIFS(실시간콜입력!$B:$B,$A536,실시간콜입력!$E:$E,"E",실시간콜입력!$G:$G,$B536,실시간콜입력!$O:$O,"방문완료")+COUNTIFS(실시간콜입력!$B:$B,$A536,실시간콜입력!$E:$E,"E",실시간콜입력!$H:$H,$B536,실시간콜입력!$O:$O,"방문완료")</f>
        <v>0</v>
      </c>
      <c r="K536" s="29">
        <f t="shared" si="72"/>
        <v>0</v>
      </c>
      <c r="L536" s="33">
        <f>SUMIFS(실시간콜입력!$K:$K,실시간콜입력!$B:$B,$A536,실시간콜입력!$G:$G,$B536,실시간콜입력!$O:$O,"방문완료")+SUMIFS(실시간콜입력!$L:$L,실시간콜입력!$B:$B,$A536,실시간콜입력!$H:$H,$B536,실시간콜입력!$O:$O,"방문완료")</f>
        <v>0</v>
      </c>
      <c r="M536" s="29" t="str">
        <f t="shared" si="73"/>
        <v/>
      </c>
      <c r="N536" s="29"/>
    </row>
    <row r="537" spans="1:14" ht="19.5" hidden="1" customHeight="1" outlineLevel="1">
      <c r="A537" s="24">
        <f>IF(11&lt;=DAY(DATE(YEAR(설정_코스수당!$K$2),MONTH(설정_코스수당!$K$2)+1,0)),DATE(YEAR(설정_코스수당!$K$2),MONTH(설정_코스수당!$K$2),11),"")</f>
        <v>46184</v>
      </c>
      <c r="B537" s="23" t="s">
        <v>173</v>
      </c>
      <c r="C537" s="29"/>
      <c r="D537" s="29"/>
      <c r="E537" s="29" t="str">
        <f t="shared" si="71"/>
        <v/>
      </c>
      <c r="F537" s="29">
        <f>COUNTIFS(실시간콜입력!$B:$B,$A537,실시간콜입력!$E:$E,"A",실시간콜입력!$G:$G,$B537,실시간콜입력!$O:$O,"방문완료")+COUNTIFS(실시간콜입력!$B:$B,$A537,실시간콜입력!$E:$E,"A",실시간콜입력!$H:$H,$B537,실시간콜입력!$O:$O,"방문완료")</f>
        <v>0</v>
      </c>
      <c r="G537" s="29">
        <f>COUNTIFS(실시간콜입력!$B:$B,$A537,실시간콜입력!$E:$E,"B",실시간콜입력!$G:$G,$B537,실시간콜입력!$O:$O,"방문완료")+COUNTIFS(실시간콜입력!$B:$B,$A537,실시간콜입력!$E:$E,"B",실시간콜입력!$H:$H,$B537,실시간콜입력!$O:$O,"방문완료")</f>
        <v>0</v>
      </c>
      <c r="H537" s="29">
        <f>COUNTIFS(실시간콜입력!$B:$B,$A537,실시간콜입력!$E:$E,"C",실시간콜입력!$G:$G,$B537,실시간콜입력!$O:$O,"방문완료")+COUNTIFS(실시간콜입력!$B:$B,$A537,실시간콜입력!$E:$E,"C",실시간콜입력!$H:$H,$B537,실시간콜입력!$O:$O,"방문완료")</f>
        <v>0</v>
      </c>
      <c r="I537" s="29">
        <f>COUNTIFS(실시간콜입력!$B:$B,$A537,실시간콜입력!$E:$E,"D",실시간콜입력!$G:$G,$B537,실시간콜입력!$O:$O,"방문완료")+COUNTIFS(실시간콜입력!$B:$B,$A537,실시간콜입력!$E:$E,"D",실시간콜입력!$H:$H,$B537,실시간콜입력!$O:$O,"방문완료")</f>
        <v>0</v>
      </c>
      <c r="J537" s="29">
        <f>COUNTIFS(실시간콜입력!$B:$B,$A537,실시간콜입력!$E:$E,"E",실시간콜입력!$G:$G,$B537,실시간콜입력!$O:$O,"방문완료")+COUNTIFS(실시간콜입력!$B:$B,$A537,실시간콜입력!$E:$E,"E",실시간콜입력!$H:$H,$B537,실시간콜입력!$O:$O,"방문완료")</f>
        <v>0</v>
      </c>
      <c r="K537" s="29">
        <f t="shared" si="72"/>
        <v>0</v>
      </c>
      <c r="L537" s="27">
        <f>SUMIFS(실시간콜입력!$K:$K,실시간콜입력!$B:$B,$A537,실시간콜입력!$G:$G,$B537,실시간콜입력!$O:$O,"방문완료")+SUMIFS(실시간콜입력!$L:$L,실시간콜입력!$B:$B,$A537,실시간콜입력!$H:$H,$B537,실시간콜입력!$O:$O,"방문완료")</f>
        <v>0</v>
      </c>
      <c r="M537" s="29" t="str">
        <f t="shared" si="73"/>
        <v/>
      </c>
      <c r="N537" s="29"/>
    </row>
    <row r="538" spans="1:14" ht="19.5" hidden="1" customHeight="1" outlineLevel="1">
      <c r="A538" s="30">
        <f>IF(11&lt;=DAY(DATE(YEAR(설정_코스수당!$K$2),MONTH(설정_코스수당!$K$2)+1,0)),DATE(YEAR(설정_코스수당!$K$2),MONTH(설정_코스수당!$K$2),11),"")</f>
        <v>46184</v>
      </c>
      <c r="B538" s="29" t="s">
        <v>174</v>
      </c>
      <c r="C538" s="29"/>
      <c r="D538" s="29"/>
      <c r="E538" s="29" t="str">
        <f t="shared" si="71"/>
        <v/>
      </c>
      <c r="F538" s="29">
        <f>COUNTIFS(실시간콜입력!$B:$B,$A538,실시간콜입력!$E:$E,"A",실시간콜입력!$G:$G,$B538,실시간콜입력!$O:$O,"방문완료")+COUNTIFS(실시간콜입력!$B:$B,$A538,실시간콜입력!$E:$E,"A",실시간콜입력!$H:$H,$B538,실시간콜입력!$O:$O,"방문완료")</f>
        <v>0</v>
      </c>
      <c r="G538" s="29">
        <f>COUNTIFS(실시간콜입력!$B:$B,$A538,실시간콜입력!$E:$E,"B",실시간콜입력!$G:$G,$B538,실시간콜입력!$O:$O,"방문완료")+COUNTIFS(실시간콜입력!$B:$B,$A538,실시간콜입력!$E:$E,"B",실시간콜입력!$H:$H,$B538,실시간콜입력!$O:$O,"방문완료")</f>
        <v>0</v>
      </c>
      <c r="H538" s="29">
        <f>COUNTIFS(실시간콜입력!$B:$B,$A538,실시간콜입력!$E:$E,"C",실시간콜입력!$G:$G,$B538,실시간콜입력!$O:$O,"방문완료")+COUNTIFS(실시간콜입력!$B:$B,$A538,실시간콜입력!$E:$E,"C",실시간콜입력!$H:$H,$B538,실시간콜입력!$O:$O,"방문완료")</f>
        <v>0</v>
      </c>
      <c r="I538" s="29">
        <f>COUNTIFS(실시간콜입력!$B:$B,$A538,실시간콜입력!$E:$E,"D",실시간콜입력!$G:$G,$B538,실시간콜입력!$O:$O,"방문완료")+COUNTIFS(실시간콜입력!$B:$B,$A538,실시간콜입력!$E:$E,"D",실시간콜입력!$H:$H,$B538,실시간콜입력!$O:$O,"방문완료")</f>
        <v>0</v>
      </c>
      <c r="J538" s="29">
        <f>COUNTIFS(실시간콜입력!$B:$B,$A538,실시간콜입력!$E:$E,"E",실시간콜입력!$G:$G,$B538,실시간콜입력!$O:$O,"방문완료")+COUNTIFS(실시간콜입력!$B:$B,$A538,실시간콜입력!$E:$E,"E",실시간콜입력!$H:$H,$B538,실시간콜입력!$O:$O,"방문완료")</f>
        <v>0</v>
      </c>
      <c r="K538" s="29">
        <f t="shared" si="72"/>
        <v>0</v>
      </c>
      <c r="L538" s="33">
        <f>SUMIFS(실시간콜입력!$K:$K,실시간콜입력!$B:$B,$A538,실시간콜입력!$G:$G,$B538,실시간콜입력!$O:$O,"방문완료")+SUMIFS(실시간콜입력!$L:$L,실시간콜입력!$B:$B,$A538,실시간콜입력!$H:$H,$B538,실시간콜입력!$O:$O,"방문완료")</f>
        <v>0</v>
      </c>
      <c r="M538" s="29" t="str">
        <f t="shared" si="73"/>
        <v/>
      </c>
      <c r="N538" s="29"/>
    </row>
    <row r="539" spans="1:14" ht="19.5" hidden="1" customHeight="1" outlineLevel="1">
      <c r="A539" s="24">
        <f>IF(11&lt;=DAY(DATE(YEAR(설정_코스수당!$K$2),MONTH(설정_코스수당!$K$2)+1,0)),DATE(YEAR(설정_코스수당!$K$2),MONTH(설정_코스수당!$K$2),11),"")</f>
        <v>46184</v>
      </c>
      <c r="B539" s="23" t="s">
        <v>175</v>
      </c>
      <c r="C539" s="29"/>
      <c r="D539" s="29"/>
      <c r="E539" s="29" t="str">
        <f t="shared" si="71"/>
        <v/>
      </c>
      <c r="F539" s="29">
        <f>COUNTIFS(실시간콜입력!$B:$B,$A539,실시간콜입력!$E:$E,"A",실시간콜입력!$G:$G,$B539,실시간콜입력!$O:$O,"방문완료")+COUNTIFS(실시간콜입력!$B:$B,$A539,실시간콜입력!$E:$E,"A",실시간콜입력!$H:$H,$B539,실시간콜입력!$O:$O,"방문완료")</f>
        <v>0</v>
      </c>
      <c r="G539" s="29">
        <f>COUNTIFS(실시간콜입력!$B:$B,$A539,실시간콜입력!$E:$E,"B",실시간콜입력!$G:$G,$B539,실시간콜입력!$O:$O,"방문완료")+COUNTIFS(실시간콜입력!$B:$B,$A539,실시간콜입력!$E:$E,"B",실시간콜입력!$H:$H,$B539,실시간콜입력!$O:$O,"방문완료")</f>
        <v>0</v>
      </c>
      <c r="H539" s="29">
        <f>COUNTIFS(실시간콜입력!$B:$B,$A539,실시간콜입력!$E:$E,"C",실시간콜입력!$G:$G,$B539,실시간콜입력!$O:$O,"방문완료")+COUNTIFS(실시간콜입력!$B:$B,$A539,실시간콜입력!$E:$E,"C",실시간콜입력!$H:$H,$B539,실시간콜입력!$O:$O,"방문완료")</f>
        <v>0</v>
      </c>
      <c r="I539" s="29">
        <f>COUNTIFS(실시간콜입력!$B:$B,$A539,실시간콜입력!$E:$E,"D",실시간콜입력!$G:$G,$B539,실시간콜입력!$O:$O,"방문완료")+COUNTIFS(실시간콜입력!$B:$B,$A539,실시간콜입력!$E:$E,"D",실시간콜입력!$H:$H,$B539,실시간콜입력!$O:$O,"방문완료")</f>
        <v>0</v>
      </c>
      <c r="J539" s="29">
        <f>COUNTIFS(실시간콜입력!$B:$B,$A539,실시간콜입력!$E:$E,"E",실시간콜입력!$G:$G,$B539,실시간콜입력!$O:$O,"방문완료")+COUNTIFS(실시간콜입력!$B:$B,$A539,실시간콜입력!$E:$E,"E",실시간콜입력!$H:$H,$B539,실시간콜입력!$O:$O,"방문완료")</f>
        <v>0</v>
      </c>
      <c r="K539" s="29">
        <f t="shared" si="72"/>
        <v>0</v>
      </c>
      <c r="L539" s="27">
        <f>SUMIFS(실시간콜입력!$K:$K,실시간콜입력!$B:$B,$A539,실시간콜입력!$G:$G,$B539,실시간콜입력!$O:$O,"방문완료")+SUMIFS(실시간콜입력!$L:$L,실시간콜입력!$B:$B,$A539,실시간콜입력!$H:$H,$B539,실시간콜입력!$O:$O,"방문완료")</f>
        <v>0</v>
      </c>
      <c r="M539" s="29" t="str">
        <f t="shared" si="73"/>
        <v/>
      </c>
      <c r="N539" s="29"/>
    </row>
    <row r="540" spans="1:14" ht="19.5" hidden="1" customHeight="1" outlineLevel="1">
      <c r="A540" s="30">
        <f>IF(11&lt;=DAY(DATE(YEAR(설정_코스수당!$K$2),MONTH(설정_코스수당!$K$2)+1,0)),DATE(YEAR(설정_코스수당!$K$2),MONTH(설정_코스수당!$K$2),11),"")</f>
        <v>46184</v>
      </c>
      <c r="B540" s="29" t="s">
        <v>176</v>
      </c>
      <c r="C540" s="29"/>
      <c r="D540" s="29"/>
      <c r="E540" s="29" t="str">
        <f t="shared" si="71"/>
        <v/>
      </c>
      <c r="F540" s="29">
        <f>COUNTIFS(실시간콜입력!$B:$B,$A540,실시간콜입력!$E:$E,"A",실시간콜입력!$G:$G,$B540,실시간콜입력!$O:$O,"방문완료")+COUNTIFS(실시간콜입력!$B:$B,$A540,실시간콜입력!$E:$E,"A",실시간콜입력!$H:$H,$B540,실시간콜입력!$O:$O,"방문완료")</f>
        <v>0</v>
      </c>
      <c r="G540" s="29">
        <f>COUNTIFS(실시간콜입력!$B:$B,$A540,실시간콜입력!$E:$E,"B",실시간콜입력!$G:$G,$B540,실시간콜입력!$O:$O,"방문완료")+COUNTIFS(실시간콜입력!$B:$B,$A540,실시간콜입력!$E:$E,"B",실시간콜입력!$H:$H,$B540,실시간콜입력!$O:$O,"방문완료")</f>
        <v>0</v>
      </c>
      <c r="H540" s="29">
        <f>COUNTIFS(실시간콜입력!$B:$B,$A540,실시간콜입력!$E:$E,"C",실시간콜입력!$G:$G,$B540,실시간콜입력!$O:$O,"방문완료")+COUNTIFS(실시간콜입력!$B:$B,$A540,실시간콜입력!$E:$E,"C",실시간콜입력!$H:$H,$B540,실시간콜입력!$O:$O,"방문완료")</f>
        <v>0</v>
      </c>
      <c r="I540" s="29">
        <f>COUNTIFS(실시간콜입력!$B:$B,$A540,실시간콜입력!$E:$E,"D",실시간콜입력!$G:$G,$B540,실시간콜입력!$O:$O,"방문완료")+COUNTIFS(실시간콜입력!$B:$B,$A540,실시간콜입력!$E:$E,"D",실시간콜입력!$H:$H,$B540,실시간콜입력!$O:$O,"방문완료")</f>
        <v>0</v>
      </c>
      <c r="J540" s="29">
        <f>COUNTIFS(실시간콜입력!$B:$B,$A540,실시간콜입력!$E:$E,"E",실시간콜입력!$G:$G,$B540,실시간콜입력!$O:$O,"방문완료")+COUNTIFS(실시간콜입력!$B:$B,$A540,실시간콜입력!$E:$E,"E",실시간콜입력!$H:$H,$B540,실시간콜입력!$O:$O,"방문완료")</f>
        <v>0</v>
      </c>
      <c r="K540" s="29">
        <f t="shared" si="72"/>
        <v>0</v>
      </c>
      <c r="L540" s="33">
        <f>SUMIFS(실시간콜입력!$K:$K,실시간콜입력!$B:$B,$A540,실시간콜입력!$G:$G,$B540,실시간콜입력!$O:$O,"방문완료")+SUMIFS(실시간콜입력!$L:$L,실시간콜입력!$B:$B,$A540,실시간콜입력!$H:$H,$B540,실시간콜입력!$O:$O,"방문완료")</f>
        <v>0</v>
      </c>
      <c r="M540" s="29" t="str">
        <f t="shared" si="73"/>
        <v/>
      </c>
      <c r="N540" s="29"/>
    </row>
    <row r="541" spans="1:14" ht="19.5" hidden="1" customHeight="1" outlineLevel="1">
      <c r="A541" s="24">
        <f>IF(11&lt;=DAY(DATE(YEAR(설정_코스수당!$K$2),MONTH(설정_코스수당!$K$2)+1,0)),DATE(YEAR(설정_코스수당!$K$2),MONTH(설정_코스수당!$K$2),11),"")</f>
        <v>46184</v>
      </c>
      <c r="B541" s="23" t="s">
        <v>177</v>
      </c>
      <c r="C541" s="29"/>
      <c r="D541" s="29"/>
      <c r="E541" s="29" t="str">
        <f t="shared" si="71"/>
        <v/>
      </c>
      <c r="F541" s="29">
        <f>COUNTIFS(실시간콜입력!$B:$B,$A541,실시간콜입력!$E:$E,"A",실시간콜입력!$G:$G,$B541,실시간콜입력!$O:$O,"방문완료")+COUNTIFS(실시간콜입력!$B:$B,$A541,실시간콜입력!$E:$E,"A",실시간콜입력!$H:$H,$B541,실시간콜입력!$O:$O,"방문완료")</f>
        <v>0</v>
      </c>
      <c r="G541" s="29">
        <f>COUNTIFS(실시간콜입력!$B:$B,$A541,실시간콜입력!$E:$E,"B",실시간콜입력!$G:$G,$B541,실시간콜입력!$O:$O,"방문완료")+COUNTIFS(실시간콜입력!$B:$B,$A541,실시간콜입력!$E:$E,"B",실시간콜입력!$H:$H,$B541,실시간콜입력!$O:$O,"방문완료")</f>
        <v>0</v>
      </c>
      <c r="H541" s="29">
        <f>COUNTIFS(실시간콜입력!$B:$B,$A541,실시간콜입력!$E:$E,"C",실시간콜입력!$G:$G,$B541,실시간콜입력!$O:$O,"방문완료")+COUNTIFS(실시간콜입력!$B:$B,$A541,실시간콜입력!$E:$E,"C",실시간콜입력!$H:$H,$B541,실시간콜입력!$O:$O,"방문완료")</f>
        <v>0</v>
      </c>
      <c r="I541" s="29">
        <f>COUNTIFS(실시간콜입력!$B:$B,$A541,실시간콜입력!$E:$E,"D",실시간콜입력!$G:$G,$B541,실시간콜입력!$O:$O,"방문완료")+COUNTIFS(실시간콜입력!$B:$B,$A541,실시간콜입력!$E:$E,"D",실시간콜입력!$H:$H,$B541,실시간콜입력!$O:$O,"방문완료")</f>
        <v>0</v>
      </c>
      <c r="J541" s="29">
        <f>COUNTIFS(실시간콜입력!$B:$B,$A541,실시간콜입력!$E:$E,"E",실시간콜입력!$G:$G,$B541,실시간콜입력!$O:$O,"방문완료")+COUNTIFS(실시간콜입력!$B:$B,$A541,실시간콜입력!$E:$E,"E",실시간콜입력!$H:$H,$B541,실시간콜입력!$O:$O,"방문완료")</f>
        <v>0</v>
      </c>
      <c r="K541" s="29">
        <f t="shared" si="72"/>
        <v>0</v>
      </c>
      <c r="L541" s="27">
        <f>SUMIFS(실시간콜입력!$K:$K,실시간콜입력!$B:$B,$A541,실시간콜입력!$G:$G,$B541,실시간콜입력!$O:$O,"방문완료")+SUMIFS(실시간콜입력!$L:$L,실시간콜입력!$B:$B,$A541,실시간콜입력!$H:$H,$B541,실시간콜입력!$O:$O,"방문완료")</f>
        <v>0</v>
      </c>
      <c r="M541" s="29" t="str">
        <f t="shared" si="73"/>
        <v/>
      </c>
      <c r="N541" s="29"/>
    </row>
    <row r="542" spans="1:14" ht="19.5" hidden="1" customHeight="1" outlineLevel="1">
      <c r="A542" s="30">
        <f>IF(11&lt;=DAY(DATE(YEAR(설정_코스수당!$K$2),MONTH(설정_코스수당!$K$2)+1,0)),DATE(YEAR(설정_코스수당!$K$2),MONTH(설정_코스수당!$K$2),11),"")</f>
        <v>46184</v>
      </c>
      <c r="B542" s="29" t="s">
        <v>178</v>
      </c>
      <c r="C542" s="29"/>
      <c r="D542" s="29"/>
      <c r="E542" s="29" t="str">
        <f t="shared" si="71"/>
        <v/>
      </c>
      <c r="F542" s="29">
        <f>COUNTIFS(실시간콜입력!$B:$B,$A542,실시간콜입력!$E:$E,"A",실시간콜입력!$G:$G,$B542,실시간콜입력!$O:$O,"방문완료")+COUNTIFS(실시간콜입력!$B:$B,$A542,실시간콜입력!$E:$E,"A",실시간콜입력!$H:$H,$B542,실시간콜입력!$O:$O,"방문완료")</f>
        <v>0</v>
      </c>
      <c r="G542" s="29">
        <f>COUNTIFS(실시간콜입력!$B:$B,$A542,실시간콜입력!$E:$E,"B",실시간콜입력!$G:$G,$B542,실시간콜입력!$O:$O,"방문완료")+COUNTIFS(실시간콜입력!$B:$B,$A542,실시간콜입력!$E:$E,"B",실시간콜입력!$H:$H,$B542,실시간콜입력!$O:$O,"방문완료")</f>
        <v>0</v>
      </c>
      <c r="H542" s="29">
        <f>COUNTIFS(실시간콜입력!$B:$B,$A542,실시간콜입력!$E:$E,"C",실시간콜입력!$G:$G,$B542,실시간콜입력!$O:$O,"방문완료")+COUNTIFS(실시간콜입력!$B:$B,$A542,실시간콜입력!$E:$E,"C",실시간콜입력!$H:$H,$B542,실시간콜입력!$O:$O,"방문완료")</f>
        <v>0</v>
      </c>
      <c r="I542" s="29">
        <f>COUNTIFS(실시간콜입력!$B:$B,$A542,실시간콜입력!$E:$E,"D",실시간콜입력!$G:$G,$B542,실시간콜입력!$O:$O,"방문완료")+COUNTIFS(실시간콜입력!$B:$B,$A542,실시간콜입력!$E:$E,"D",실시간콜입력!$H:$H,$B542,실시간콜입력!$O:$O,"방문완료")</f>
        <v>0</v>
      </c>
      <c r="J542" s="29">
        <f>COUNTIFS(실시간콜입력!$B:$B,$A542,실시간콜입력!$E:$E,"E",실시간콜입력!$G:$G,$B542,실시간콜입력!$O:$O,"방문완료")+COUNTIFS(실시간콜입력!$B:$B,$A542,실시간콜입력!$E:$E,"E",실시간콜입력!$H:$H,$B542,실시간콜입력!$O:$O,"방문완료")</f>
        <v>0</v>
      </c>
      <c r="K542" s="29">
        <f t="shared" si="72"/>
        <v>0</v>
      </c>
      <c r="L542" s="33">
        <f>SUMIFS(실시간콜입력!$K:$K,실시간콜입력!$B:$B,$A542,실시간콜입력!$G:$G,$B542,실시간콜입력!$O:$O,"방문완료")+SUMIFS(실시간콜입력!$L:$L,실시간콜입력!$B:$B,$A542,실시간콜입력!$H:$H,$B542,실시간콜입력!$O:$O,"방문완료")</f>
        <v>0</v>
      </c>
      <c r="M542" s="29" t="str">
        <f t="shared" si="73"/>
        <v/>
      </c>
      <c r="N542" s="29"/>
    </row>
    <row r="543" spans="1:14" ht="19.5" hidden="1" customHeight="1" outlineLevel="1">
      <c r="A543" s="24">
        <f>IF(11&lt;=DAY(DATE(YEAR(설정_코스수당!$K$2),MONTH(설정_코스수당!$K$2)+1,0)),DATE(YEAR(설정_코스수당!$K$2),MONTH(설정_코스수당!$K$2),11),"")</f>
        <v>46184</v>
      </c>
      <c r="B543" s="23" t="s">
        <v>179</v>
      </c>
      <c r="C543" s="29"/>
      <c r="D543" s="29"/>
      <c r="E543" s="29" t="str">
        <f t="shared" si="71"/>
        <v/>
      </c>
      <c r="F543" s="29">
        <f>COUNTIFS(실시간콜입력!$B:$B,$A543,실시간콜입력!$E:$E,"A",실시간콜입력!$G:$G,$B543,실시간콜입력!$O:$O,"방문완료")+COUNTIFS(실시간콜입력!$B:$B,$A543,실시간콜입력!$E:$E,"A",실시간콜입력!$H:$H,$B543,실시간콜입력!$O:$O,"방문완료")</f>
        <v>0</v>
      </c>
      <c r="G543" s="29">
        <f>COUNTIFS(실시간콜입력!$B:$B,$A543,실시간콜입력!$E:$E,"B",실시간콜입력!$G:$G,$B543,실시간콜입력!$O:$O,"방문완료")+COUNTIFS(실시간콜입력!$B:$B,$A543,실시간콜입력!$E:$E,"B",실시간콜입력!$H:$H,$B543,실시간콜입력!$O:$O,"방문완료")</f>
        <v>0</v>
      </c>
      <c r="H543" s="29">
        <f>COUNTIFS(실시간콜입력!$B:$B,$A543,실시간콜입력!$E:$E,"C",실시간콜입력!$G:$G,$B543,실시간콜입력!$O:$O,"방문완료")+COUNTIFS(실시간콜입력!$B:$B,$A543,실시간콜입력!$E:$E,"C",실시간콜입력!$H:$H,$B543,실시간콜입력!$O:$O,"방문완료")</f>
        <v>0</v>
      </c>
      <c r="I543" s="29">
        <f>COUNTIFS(실시간콜입력!$B:$B,$A543,실시간콜입력!$E:$E,"D",실시간콜입력!$G:$G,$B543,실시간콜입력!$O:$O,"방문완료")+COUNTIFS(실시간콜입력!$B:$B,$A543,실시간콜입력!$E:$E,"D",실시간콜입력!$H:$H,$B543,실시간콜입력!$O:$O,"방문완료")</f>
        <v>0</v>
      </c>
      <c r="J543" s="29">
        <f>COUNTIFS(실시간콜입력!$B:$B,$A543,실시간콜입력!$E:$E,"E",실시간콜입력!$G:$G,$B543,실시간콜입력!$O:$O,"방문완료")+COUNTIFS(실시간콜입력!$B:$B,$A543,실시간콜입력!$E:$E,"E",실시간콜입력!$H:$H,$B543,실시간콜입력!$O:$O,"방문완료")</f>
        <v>0</v>
      </c>
      <c r="K543" s="29">
        <f t="shared" si="72"/>
        <v>0</v>
      </c>
      <c r="L543" s="27">
        <f>SUMIFS(실시간콜입력!$K:$K,실시간콜입력!$B:$B,$A543,실시간콜입력!$G:$G,$B543,실시간콜입력!$O:$O,"방문완료")+SUMIFS(실시간콜입력!$L:$L,실시간콜입력!$B:$B,$A543,실시간콜입력!$H:$H,$B543,실시간콜입력!$O:$O,"방문완료")</f>
        <v>0</v>
      </c>
      <c r="M543" s="29" t="str">
        <f t="shared" si="73"/>
        <v/>
      </c>
      <c r="N543" s="29"/>
    </row>
    <row r="544" spans="1:14" ht="19.5" hidden="1" customHeight="1" outlineLevel="1">
      <c r="A544" s="30">
        <f>IF(11&lt;=DAY(DATE(YEAR(설정_코스수당!$K$2),MONTH(설정_코스수당!$K$2)+1,0)),DATE(YEAR(설정_코스수당!$K$2),MONTH(설정_코스수당!$K$2),11),"")</f>
        <v>46184</v>
      </c>
      <c r="B544" s="29" t="s">
        <v>180</v>
      </c>
      <c r="C544" s="29"/>
      <c r="D544" s="29"/>
      <c r="E544" s="29" t="str">
        <f t="shared" si="71"/>
        <v/>
      </c>
      <c r="F544" s="29">
        <f>COUNTIFS(실시간콜입력!$B:$B,$A544,실시간콜입력!$E:$E,"A",실시간콜입력!$G:$G,$B544,실시간콜입력!$O:$O,"방문완료")+COUNTIFS(실시간콜입력!$B:$B,$A544,실시간콜입력!$E:$E,"A",실시간콜입력!$H:$H,$B544,실시간콜입력!$O:$O,"방문완료")</f>
        <v>0</v>
      </c>
      <c r="G544" s="29">
        <f>COUNTIFS(실시간콜입력!$B:$B,$A544,실시간콜입력!$E:$E,"B",실시간콜입력!$G:$G,$B544,실시간콜입력!$O:$O,"방문완료")+COUNTIFS(실시간콜입력!$B:$B,$A544,실시간콜입력!$E:$E,"B",실시간콜입력!$H:$H,$B544,실시간콜입력!$O:$O,"방문완료")</f>
        <v>0</v>
      </c>
      <c r="H544" s="29">
        <f>COUNTIFS(실시간콜입력!$B:$B,$A544,실시간콜입력!$E:$E,"C",실시간콜입력!$G:$G,$B544,실시간콜입력!$O:$O,"방문완료")+COUNTIFS(실시간콜입력!$B:$B,$A544,실시간콜입력!$E:$E,"C",실시간콜입력!$H:$H,$B544,실시간콜입력!$O:$O,"방문완료")</f>
        <v>0</v>
      </c>
      <c r="I544" s="29">
        <f>COUNTIFS(실시간콜입력!$B:$B,$A544,실시간콜입력!$E:$E,"D",실시간콜입력!$G:$G,$B544,실시간콜입력!$O:$O,"방문완료")+COUNTIFS(실시간콜입력!$B:$B,$A544,실시간콜입력!$E:$E,"D",실시간콜입력!$H:$H,$B544,실시간콜입력!$O:$O,"방문완료")</f>
        <v>0</v>
      </c>
      <c r="J544" s="29">
        <f>COUNTIFS(실시간콜입력!$B:$B,$A544,실시간콜입력!$E:$E,"E",실시간콜입력!$G:$G,$B544,실시간콜입력!$O:$O,"방문완료")+COUNTIFS(실시간콜입력!$B:$B,$A544,실시간콜입력!$E:$E,"E",실시간콜입력!$H:$H,$B544,실시간콜입력!$O:$O,"방문완료")</f>
        <v>0</v>
      </c>
      <c r="K544" s="29">
        <f t="shared" si="72"/>
        <v>0</v>
      </c>
      <c r="L544" s="33">
        <f>SUMIFS(실시간콜입력!$K:$K,실시간콜입력!$B:$B,$A544,실시간콜입력!$G:$G,$B544,실시간콜입력!$O:$O,"방문완료")+SUMIFS(실시간콜입력!$L:$L,실시간콜입력!$B:$B,$A544,실시간콜입력!$H:$H,$B544,실시간콜입력!$O:$O,"방문완료")</f>
        <v>0</v>
      </c>
      <c r="M544" s="29" t="str">
        <f t="shared" si="73"/>
        <v/>
      </c>
      <c r="N544" s="29"/>
    </row>
    <row r="545" spans="1:14" ht="19.5" hidden="1" customHeight="1" outlineLevel="1">
      <c r="A545" s="24">
        <f>IF(11&lt;=DAY(DATE(YEAR(설정_코스수당!$K$2),MONTH(설정_코스수당!$K$2)+1,0)),DATE(YEAR(설정_코스수당!$K$2),MONTH(설정_코스수당!$K$2),11),"")</f>
        <v>46184</v>
      </c>
      <c r="B545" s="23" t="s">
        <v>181</v>
      </c>
      <c r="C545" s="29"/>
      <c r="D545" s="29"/>
      <c r="E545" s="29" t="str">
        <f t="shared" si="71"/>
        <v/>
      </c>
      <c r="F545" s="29">
        <f>COUNTIFS(실시간콜입력!$B:$B,$A545,실시간콜입력!$E:$E,"A",실시간콜입력!$G:$G,$B545,실시간콜입력!$O:$O,"방문완료")+COUNTIFS(실시간콜입력!$B:$B,$A545,실시간콜입력!$E:$E,"A",실시간콜입력!$H:$H,$B545,실시간콜입력!$O:$O,"방문완료")</f>
        <v>0</v>
      </c>
      <c r="G545" s="29">
        <f>COUNTIFS(실시간콜입력!$B:$B,$A545,실시간콜입력!$E:$E,"B",실시간콜입력!$G:$G,$B545,실시간콜입력!$O:$O,"방문완료")+COUNTIFS(실시간콜입력!$B:$B,$A545,실시간콜입력!$E:$E,"B",실시간콜입력!$H:$H,$B545,실시간콜입력!$O:$O,"방문완료")</f>
        <v>0</v>
      </c>
      <c r="H545" s="29">
        <f>COUNTIFS(실시간콜입력!$B:$B,$A545,실시간콜입력!$E:$E,"C",실시간콜입력!$G:$G,$B545,실시간콜입력!$O:$O,"방문완료")+COUNTIFS(실시간콜입력!$B:$B,$A545,실시간콜입력!$E:$E,"C",실시간콜입력!$H:$H,$B545,실시간콜입력!$O:$O,"방문완료")</f>
        <v>0</v>
      </c>
      <c r="I545" s="29">
        <f>COUNTIFS(실시간콜입력!$B:$B,$A545,실시간콜입력!$E:$E,"D",실시간콜입력!$G:$G,$B545,실시간콜입력!$O:$O,"방문완료")+COUNTIFS(실시간콜입력!$B:$B,$A545,실시간콜입력!$E:$E,"D",실시간콜입력!$H:$H,$B545,실시간콜입력!$O:$O,"방문완료")</f>
        <v>0</v>
      </c>
      <c r="J545" s="29">
        <f>COUNTIFS(실시간콜입력!$B:$B,$A545,실시간콜입력!$E:$E,"E",실시간콜입력!$G:$G,$B545,실시간콜입력!$O:$O,"방문완료")+COUNTIFS(실시간콜입력!$B:$B,$A545,실시간콜입력!$E:$E,"E",실시간콜입력!$H:$H,$B545,실시간콜입력!$O:$O,"방문완료")</f>
        <v>0</v>
      </c>
      <c r="K545" s="29">
        <f t="shared" si="72"/>
        <v>0</v>
      </c>
      <c r="L545" s="27">
        <f>SUMIFS(실시간콜입력!$K:$K,실시간콜입력!$B:$B,$A545,실시간콜입력!$G:$G,$B545,실시간콜입력!$O:$O,"방문완료")+SUMIFS(실시간콜입력!$L:$L,실시간콜입력!$B:$B,$A545,실시간콜입력!$H:$H,$B545,실시간콜입력!$O:$O,"방문완료")</f>
        <v>0</v>
      </c>
      <c r="M545" s="29" t="str">
        <f t="shared" si="73"/>
        <v/>
      </c>
      <c r="N545" s="29"/>
    </row>
    <row r="546" spans="1:14" ht="19.5" hidden="1" customHeight="1" outlineLevel="1">
      <c r="A546" s="30">
        <f>IF(11&lt;=DAY(DATE(YEAR(설정_코스수당!$K$2),MONTH(설정_코스수당!$K$2)+1,0)),DATE(YEAR(설정_코스수당!$K$2),MONTH(설정_코스수당!$K$2),11),"")</f>
        <v>46184</v>
      </c>
      <c r="B546" s="29" t="s">
        <v>182</v>
      </c>
      <c r="C546" s="29"/>
      <c r="D546" s="29"/>
      <c r="E546" s="29" t="str">
        <f t="shared" si="71"/>
        <v/>
      </c>
      <c r="F546" s="29">
        <f>COUNTIFS(실시간콜입력!$B:$B,$A546,실시간콜입력!$E:$E,"A",실시간콜입력!$G:$G,$B546,실시간콜입력!$O:$O,"방문완료")+COUNTIFS(실시간콜입력!$B:$B,$A546,실시간콜입력!$E:$E,"A",실시간콜입력!$H:$H,$B546,실시간콜입력!$O:$O,"방문완료")</f>
        <v>0</v>
      </c>
      <c r="G546" s="29">
        <f>COUNTIFS(실시간콜입력!$B:$B,$A546,실시간콜입력!$E:$E,"B",실시간콜입력!$G:$G,$B546,실시간콜입력!$O:$O,"방문완료")+COUNTIFS(실시간콜입력!$B:$B,$A546,실시간콜입력!$E:$E,"B",실시간콜입력!$H:$H,$B546,실시간콜입력!$O:$O,"방문완료")</f>
        <v>0</v>
      </c>
      <c r="H546" s="29">
        <f>COUNTIFS(실시간콜입력!$B:$B,$A546,실시간콜입력!$E:$E,"C",실시간콜입력!$G:$G,$B546,실시간콜입력!$O:$O,"방문완료")+COUNTIFS(실시간콜입력!$B:$B,$A546,실시간콜입력!$E:$E,"C",실시간콜입력!$H:$H,$B546,실시간콜입력!$O:$O,"방문완료")</f>
        <v>0</v>
      </c>
      <c r="I546" s="29">
        <f>COUNTIFS(실시간콜입력!$B:$B,$A546,실시간콜입력!$E:$E,"D",실시간콜입력!$G:$G,$B546,실시간콜입력!$O:$O,"방문완료")+COUNTIFS(실시간콜입력!$B:$B,$A546,실시간콜입력!$E:$E,"D",실시간콜입력!$H:$H,$B546,실시간콜입력!$O:$O,"방문완료")</f>
        <v>0</v>
      </c>
      <c r="J546" s="29">
        <f>COUNTIFS(실시간콜입력!$B:$B,$A546,실시간콜입력!$E:$E,"E",실시간콜입력!$G:$G,$B546,실시간콜입력!$O:$O,"방문완료")+COUNTIFS(실시간콜입력!$B:$B,$A546,실시간콜입력!$E:$E,"E",실시간콜입력!$H:$H,$B546,실시간콜입력!$O:$O,"방문완료")</f>
        <v>0</v>
      </c>
      <c r="K546" s="29">
        <f t="shared" si="72"/>
        <v>0</v>
      </c>
      <c r="L546" s="33">
        <f>SUMIFS(실시간콜입력!$K:$K,실시간콜입력!$B:$B,$A546,실시간콜입력!$G:$G,$B546,실시간콜입력!$O:$O,"방문완료")+SUMIFS(실시간콜입력!$L:$L,실시간콜입력!$B:$B,$A546,실시간콜입력!$H:$H,$B546,실시간콜입력!$O:$O,"방문완료")</f>
        <v>0</v>
      </c>
      <c r="M546" s="29" t="str">
        <f t="shared" si="73"/>
        <v/>
      </c>
      <c r="N546" s="29"/>
    </row>
    <row r="547" spans="1:14" ht="19.5" hidden="1" customHeight="1" outlineLevel="1">
      <c r="A547" s="24">
        <f>IF(11&lt;=DAY(DATE(YEAR(설정_코스수당!$K$2),MONTH(설정_코스수당!$K$2)+1,0)),DATE(YEAR(설정_코스수당!$K$2),MONTH(설정_코스수당!$K$2),11),"")</f>
        <v>46184</v>
      </c>
      <c r="B547" s="23" t="s">
        <v>183</v>
      </c>
      <c r="C547" s="29"/>
      <c r="D547" s="29"/>
      <c r="E547" s="29" t="str">
        <f t="shared" si="71"/>
        <v/>
      </c>
      <c r="F547" s="29">
        <f>COUNTIFS(실시간콜입력!$B:$B,$A547,실시간콜입력!$E:$E,"A",실시간콜입력!$G:$G,$B547,실시간콜입력!$O:$O,"방문완료")+COUNTIFS(실시간콜입력!$B:$B,$A547,실시간콜입력!$E:$E,"A",실시간콜입력!$H:$H,$B547,실시간콜입력!$O:$O,"방문완료")</f>
        <v>0</v>
      </c>
      <c r="G547" s="29">
        <f>COUNTIFS(실시간콜입력!$B:$B,$A547,실시간콜입력!$E:$E,"B",실시간콜입력!$G:$G,$B547,실시간콜입력!$O:$O,"방문완료")+COUNTIFS(실시간콜입력!$B:$B,$A547,실시간콜입력!$E:$E,"B",실시간콜입력!$H:$H,$B547,실시간콜입력!$O:$O,"방문완료")</f>
        <v>0</v>
      </c>
      <c r="H547" s="29">
        <f>COUNTIFS(실시간콜입력!$B:$B,$A547,실시간콜입력!$E:$E,"C",실시간콜입력!$G:$G,$B547,실시간콜입력!$O:$O,"방문완료")+COUNTIFS(실시간콜입력!$B:$B,$A547,실시간콜입력!$E:$E,"C",실시간콜입력!$H:$H,$B547,실시간콜입력!$O:$O,"방문완료")</f>
        <v>0</v>
      </c>
      <c r="I547" s="29">
        <f>COUNTIFS(실시간콜입력!$B:$B,$A547,실시간콜입력!$E:$E,"D",실시간콜입력!$G:$G,$B547,실시간콜입력!$O:$O,"방문완료")+COUNTIFS(실시간콜입력!$B:$B,$A547,실시간콜입력!$E:$E,"D",실시간콜입력!$H:$H,$B547,실시간콜입력!$O:$O,"방문완료")</f>
        <v>0</v>
      </c>
      <c r="J547" s="29">
        <f>COUNTIFS(실시간콜입력!$B:$B,$A547,실시간콜입력!$E:$E,"E",실시간콜입력!$G:$G,$B547,실시간콜입력!$O:$O,"방문완료")+COUNTIFS(실시간콜입력!$B:$B,$A547,실시간콜입력!$E:$E,"E",실시간콜입력!$H:$H,$B547,실시간콜입력!$O:$O,"방문완료")</f>
        <v>0</v>
      </c>
      <c r="K547" s="29">
        <f t="shared" si="72"/>
        <v>0</v>
      </c>
      <c r="L547" s="27">
        <f>SUMIFS(실시간콜입력!$K:$K,실시간콜입력!$B:$B,$A547,실시간콜입력!$G:$G,$B547,실시간콜입력!$O:$O,"방문완료")+SUMIFS(실시간콜입력!$L:$L,실시간콜입력!$B:$B,$A547,실시간콜입력!$H:$H,$B547,실시간콜입력!$O:$O,"방문완료")</f>
        <v>0</v>
      </c>
      <c r="M547" s="29" t="str">
        <f t="shared" si="73"/>
        <v/>
      </c>
      <c r="N547" s="29"/>
    </row>
    <row r="548" spans="1:14" ht="19.5" hidden="1" customHeight="1" outlineLevel="1">
      <c r="A548" s="30">
        <f>IF(11&lt;=DAY(DATE(YEAR(설정_코스수당!$K$2),MONTH(설정_코스수당!$K$2)+1,0)),DATE(YEAR(설정_코스수당!$K$2),MONTH(설정_코스수당!$K$2),11),"")</f>
        <v>46184</v>
      </c>
      <c r="B548" s="29" t="s">
        <v>184</v>
      </c>
      <c r="C548" s="29"/>
      <c r="D548" s="29"/>
      <c r="E548" s="29" t="str">
        <f t="shared" si="71"/>
        <v/>
      </c>
      <c r="F548" s="29">
        <f>COUNTIFS(실시간콜입력!$B:$B,$A548,실시간콜입력!$E:$E,"A",실시간콜입력!$G:$G,$B548,실시간콜입력!$O:$O,"방문완료")+COUNTIFS(실시간콜입력!$B:$B,$A548,실시간콜입력!$E:$E,"A",실시간콜입력!$H:$H,$B548,실시간콜입력!$O:$O,"방문완료")</f>
        <v>0</v>
      </c>
      <c r="G548" s="29">
        <f>COUNTIFS(실시간콜입력!$B:$B,$A548,실시간콜입력!$E:$E,"B",실시간콜입력!$G:$G,$B548,실시간콜입력!$O:$O,"방문완료")+COUNTIFS(실시간콜입력!$B:$B,$A548,실시간콜입력!$E:$E,"B",실시간콜입력!$H:$H,$B548,실시간콜입력!$O:$O,"방문완료")</f>
        <v>0</v>
      </c>
      <c r="H548" s="29">
        <f>COUNTIFS(실시간콜입력!$B:$B,$A548,실시간콜입력!$E:$E,"C",실시간콜입력!$G:$G,$B548,실시간콜입력!$O:$O,"방문완료")+COUNTIFS(실시간콜입력!$B:$B,$A548,실시간콜입력!$E:$E,"C",실시간콜입력!$H:$H,$B548,실시간콜입력!$O:$O,"방문완료")</f>
        <v>0</v>
      </c>
      <c r="I548" s="29">
        <f>COUNTIFS(실시간콜입력!$B:$B,$A548,실시간콜입력!$E:$E,"D",실시간콜입력!$G:$G,$B548,실시간콜입력!$O:$O,"방문완료")+COUNTIFS(실시간콜입력!$B:$B,$A548,실시간콜입력!$E:$E,"D",실시간콜입력!$H:$H,$B548,실시간콜입력!$O:$O,"방문완료")</f>
        <v>0</v>
      </c>
      <c r="J548" s="29">
        <f>COUNTIFS(실시간콜입력!$B:$B,$A548,실시간콜입력!$E:$E,"E",실시간콜입력!$G:$G,$B548,실시간콜입력!$O:$O,"방문완료")+COUNTIFS(실시간콜입력!$B:$B,$A548,실시간콜입력!$E:$E,"E",실시간콜입력!$H:$H,$B548,실시간콜입력!$O:$O,"방문완료")</f>
        <v>0</v>
      </c>
      <c r="K548" s="29">
        <f t="shared" si="72"/>
        <v>0</v>
      </c>
      <c r="L548" s="33">
        <f>SUMIFS(실시간콜입력!$K:$K,실시간콜입력!$B:$B,$A548,실시간콜입력!$G:$G,$B548,실시간콜입력!$O:$O,"방문완료")+SUMIFS(실시간콜입력!$L:$L,실시간콜입력!$B:$B,$A548,실시간콜입력!$H:$H,$B548,실시간콜입력!$O:$O,"방문완료")</f>
        <v>0</v>
      </c>
      <c r="M548" s="29" t="str">
        <f t="shared" si="73"/>
        <v/>
      </c>
      <c r="N548" s="29"/>
    </row>
    <row r="549" spans="1:14" ht="19.5" hidden="1" customHeight="1" outlineLevel="1">
      <c r="A549" s="24">
        <f>IF(11&lt;=DAY(DATE(YEAR(설정_코스수당!$K$2),MONTH(설정_코스수당!$K$2)+1,0)),DATE(YEAR(설정_코스수당!$K$2),MONTH(설정_코스수당!$K$2),11),"")</f>
        <v>46184</v>
      </c>
      <c r="B549" s="23" t="s">
        <v>185</v>
      </c>
      <c r="C549" s="29"/>
      <c r="D549" s="29"/>
      <c r="E549" s="29" t="str">
        <f t="shared" si="71"/>
        <v/>
      </c>
      <c r="F549" s="29">
        <f>COUNTIFS(실시간콜입력!$B:$B,$A549,실시간콜입력!$E:$E,"A",실시간콜입력!$G:$G,$B549,실시간콜입력!$O:$O,"방문완료")+COUNTIFS(실시간콜입력!$B:$B,$A549,실시간콜입력!$E:$E,"A",실시간콜입력!$H:$H,$B549,실시간콜입력!$O:$O,"방문완료")</f>
        <v>0</v>
      </c>
      <c r="G549" s="29">
        <f>COUNTIFS(실시간콜입력!$B:$B,$A549,실시간콜입력!$E:$E,"B",실시간콜입력!$G:$G,$B549,실시간콜입력!$O:$O,"방문완료")+COUNTIFS(실시간콜입력!$B:$B,$A549,실시간콜입력!$E:$E,"B",실시간콜입력!$H:$H,$B549,실시간콜입력!$O:$O,"방문완료")</f>
        <v>0</v>
      </c>
      <c r="H549" s="29">
        <f>COUNTIFS(실시간콜입력!$B:$B,$A549,실시간콜입력!$E:$E,"C",실시간콜입력!$G:$G,$B549,실시간콜입력!$O:$O,"방문완료")+COUNTIFS(실시간콜입력!$B:$B,$A549,실시간콜입력!$E:$E,"C",실시간콜입력!$H:$H,$B549,실시간콜입력!$O:$O,"방문완료")</f>
        <v>0</v>
      </c>
      <c r="I549" s="29">
        <f>COUNTIFS(실시간콜입력!$B:$B,$A549,실시간콜입력!$E:$E,"D",실시간콜입력!$G:$G,$B549,실시간콜입력!$O:$O,"방문완료")+COUNTIFS(실시간콜입력!$B:$B,$A549,실시간콜입력!$E:$E,"D",실시간콜입력!$H:$H,$B549,실시간콜입력!$O:$O,"방문완료")</f>
        <v>0</v>
      </c>
      <c r="J549" s="29">
        <f>COUNTIFS(실시간콜입력!$B:$B,$A549,실시간콜입력!$E:$E,"E",실시간콜입력!$G:$G,$B549,실시간콜입력!$O:$O,"방문완료")+COUNTIFS(실시간콜입력!$B:$B,$A549,실시간콜입력!$E:$E,"E",실시간콜입력!$H:$H,$B549,실시간콜입력!$O:$O,"방문완료")</f>
        <v>0</v>
      </c>
      <c r="K549" s="29">
        <f t="shared" si="72"/>
        <v>0</v>
      </c>
      <c r="L549" s="27">
        <f>SUMIFS(실시간콜입력!$K:$K,실시간콜입력!$B:$B,$A549,실시간콜입력!$G:$G,$B549,실시간콜입력!$O:$O,"방문완료")+SUMIFS(실시간콜입력!$L:$L,실시간콜입력!$B:$B,$A549,실시간콜입력!$H:$H,$B549,실시간콜입력!$O:$O,"방문완료")</f>
        <v>0</v>
      </c>
      <c r="M549" s="29" t="str">
        <f t="shared" si="73"/>
        <v/>
      </c>
      <c r="N549" s="29"/>
    </row>
    <row r="550" spans="1:14" ht="19.5" hidden="1" customHeight="1" outlineLevel="1">
      <c r="A550" s="30">
        <f>IF(11&lt;=DAY(DATE(YEAR(설정_코스수당!$K$2),MONTH(설정_코스수당!$K$2)+1,0)),DATE(YEAR(설정_코스수당!$K$2),MONTH(설정_코스수당!$K$2),11),"")</f>
        <v>46184</v>
      </c>
      <c r="B550" s="29" t="s">
        <v>186</v>
      </c>
      <c r="C550" s="29"/>
      <c r="D550" s="29"/>
      <c r="E550" s="29" t="str">
        <f t="shared" si="71"/>
        <v/>
      </c>
      <c r="F550" s="29">
        <f>COUNTIFS(실시간콜입력!$B:$B,$A550,실시간콜입력!$E:$E,"A",실시간콜입력!$G:$G,$B550,실시간콜입력!$O:$O,"방문완료")+COUNTIFS(실시간콜입력!$B:$B,$A550,실시간콜입력!$E:$E,"A",실시간콜입력!$H:$H,$B550,실시간콜입력!$O:$O,"방문완료")</f>
        <v>0</v>
      </c>
      <c r="G550" s="29">
        <f>COUNTIFS(실시간콜입력!$B:$B,$A550,실시간콜입력!$E:$E,"B",실시간콜입력!$G:$G,$B550,실시간콜입력!$O:$O,"방문완료")+COUNTIFS(실시간콜입력!$B:$B,$A550,실시간콜입력!$E:$E,"B",실시간콜입력!$H:$H,$B550,실시간콜입력!$O:$O,"방문완료")</f>
        <v>0</v>
      </c>
      <c r="H550" s="29">
        <f>COUNTIFS(실시간콜입력!$B:$B,$A550,실시간콜입력!$E:$E,"C",실시간콜입력!$G:$G,$B550,실시간콜입력!$O:$O,"방문완료")+COUNTIFS(실시간콜입력!$B:$B,$A550,실시간콜입력!$E:$E,"C",실시간콜입력!$H:$H,$B550,실시간콜입력!$O:$O,"방문완료")</f>
        <v>0</v>
      </c>
      <c r="I550" s="29">
        <f>COUNTIFS(실시간콜입력!$B:$B,$A550,실시간콜입력!$E:$E,"D",실시간콜입력!$G:$G,$B550,실시간콜입력!$O:$O,"방문완료")+COUNTIFS(실시간콜입력!$B:$B,$A550,실시간콜입력!$E:$E,"D",실시간콜입력!$H:$H,$B550,실시간콜입력!$O:$O,"방문완료")</f>
        <v>0</v>
      </c>
      <c r="J550" s="29">
        <f>COUNTIFS(실시간콜입력!$B:$B,$A550,실시간콜입력!$E:$E,"E",실시간콜입력!$G:$G,$B550,실시간콜입력!$O:$O,"방문완료")+COUNTIFS(실시간콜입력!$B:$B,$A550,실시간콜입력!$E:$E,"E",실시간콜입력!$H:$H,$B550,실시간콜입력!$O:$O,"방문완료")</f>
        <v>0</v>
      </c>
      <c r="K550" s="29">
        <f t="shared" si="72"/>
        <v>0</v>
      </c>
      <c r="L550" s="33">
        <f>SUMIFS(실시간콜입력!$K:$K,실시간콜입력!$B:$B,$A550,실시간콜입력!$G:$G,$B550,실시간콜입력!$O:$O,"방문완료")+SUMIFS(실시간콜입력!$L:$L,실시간콜입력!$B:$B,$A550,실시간콜입력!$H:$H,$B550,실시간콜입력!$O:$O,"방문완료")</f>
        <v>0</v>
      </c>
      <c r="M550" s="29" t="str">
        <f t="shared" si="73"/>
        <v/>
      </c>
      <c r="N550" s="29"/>
    </row>
    <row r="551" spans="1:14" ht="19.5" hidden="1" customHeight="1" outlineLevel="1">
      <c r="A551" s="24">
        <f>IF(11&lt;=DAY(DATE(YEAR(설정_코스수당!$K$2),MONTH(설정_코스수당!$K$2)+1,0)),DATE(YEAR(설정_코스수당!$K$2),MONTH(설정_코스수당!$K$2),11),"")</f>
        <v>46184</v>
      </c>
      <c r="B551" s="23" t="s">
        <v>187</v>
      </c>
      <c r="C551" s="29"/>
      <c r="D551" s="29"/>
      <c r="E551" s="29" t="str">
        <f t="shared" si="71"/>
        <v/>
      </c>
      <c r="F551" s="29">
        <f>COUNTIFS(실시간콜입력!$B:$B,$A551,실시간콜입력!$E:$E,"A",실시간콜입력!$G:$G,$B551,실시간콜입력!$O:$O,"방문완료")+COUNTIFS(실시간콜입력!$B:$B,$A551,실시간콜입력!$E:$E,"A",실시간콜입력!$H:$H,$B551,실시간콜입력!$O:$O,"방문완료")</f>
        <v>0</v>
      </c>
      <c r="G551" s="29">
        <f>COUNTIFS(실시간콜입력!$B:$B,$A551,실시간콜입력!$E:$E,"B",실시간콜입력!$G:$G,$B551,실시간콜입력!$O:$O,"방문완료")+COUNTIFS(실시간콜입력!$B:$B,$A551,실시간콜입력!$E:$E,"B",실시간콜입력!$H:$H,$B551,실시간콜입력!$O:$O,"방문완료")</f>
        <v>0</v>
      </c>
      <c r="H551" s="29">
        <f>COUNTIFS(실시간콜입력!$B:$B,$A551,실시간콜입력!$E:$E,"C",실시간콜입력!$G:$G,$B551,실시간콜입력!$O:$O,"방문완료")+COUNTIFS(실시간콜입력!$B:$B,$A551,실시간콜입력!$E:$E,"C",실시간콜입력!$H:$H,$B551,실시간콜입력!$O:$O,"방문완료")</f>
        <v>0</v>
      </c>
      <c r="I551" s="29">
        <f>COUNTIFS(실시간콜입력!$B:$B,$A551,실시간콜입력!$E:$E,"D",실시간콜입력!$G:$G,$B551,실시간콜입력!$O:$O,"방문완료")+COUNTIFS(실시간콜입력!$B:$B,$A551,실시간콜입력!$E:$E,"D",실시간콜입력!$H:$H,$B551,실시간콜입력!$O:$O,"방문완료")</f>
        <v>0</v>
      </c>
      <c r="J551" s="29">
        <f>COUNTIFS(실시간콜입력!$B:$B,$A551,실시간콜입력!$E:$E,"E",실시간콜입력!$G:$G,$B551,실시간콜입력!$O:$O,"방문완료")+COUNTIFS(실시간콜입력!$B:$B,$A551,실시간콜입력!$E:$E,"E",실시간콜입력!$H:$H,$B551,실시간콜입력!$O:$O,"방문완료")</f>
        <v>0</v>
      </c>
      <c r="K551" s="29">
        <f t="shared" si="72"/>
        <v>0</v>
      </c>
      <c r="L551" s="27">
        <f>SUMIFS(실시간콜입력!$K:$K,실시간콜입력!$B:$B,$A551,실시간콜입력!$G:$G,$B551,실시간콜입력!$O:$O,"방문완료")+SUMIFS(실시간콜입력!$L:$L,실시간콜입력!$B:$B,$A551,실시간콜입력!$H:$H,$B551,실시간콜입력!$O:$O,"방문완료")</f>
        <v>0</v>
      </c>
      <c r="M551" s="29" t="str">
        <f t="shared" si="73"/>
        <v/>
      </c>
      <c r="N551" s="29"/>
    </row>
    <row r="552" spans="1:14" ht="19.5" hidden="1" customHeight="1" outlineLevel="1">
      <c r="A552" s="30">
        <f>IF(11&lt;=DAY(DATE(YEAR(설정_코스수당!$K$2),MONTH(설정_코스수당!$K$2)+1,0)),DATE(YEAR(설정_코스수당!$K$2),MONTH(설정_코스수당!$K$2),11),"")</f>
        <v>46184</v>
      </c>
      <c r="B552" s="29" t="s">
        <v>188</v>
      </c>
      <c r="C552" s="29"/>
      <c r="D552" s="29"/>
      <c r="E552" s="29" t="str">
        <f t="shared" si="71"/>
        <v/>
      </c>
      <c r="F552" s="29">
        <f>COUNTIFS(실시간콜입력!$B:$B,$A552,실시간콜입력!$E:$E,"A",실시간콜입력!$G:$G,$B552,실시간콜입력!$O:$O,"방문완료")+COUNTIFS(실시간콜입력!$B:$B,$A552,실시간콜입력!$E:$E,"A",실시간콜입력!$H:$H,$B552,실시간콜입력!$O:$O,"방문완료")</f>
        <v>0</v>
      </c>
      <c r="G552" s="29">
        <f>COUNTIFS(실시간콜입력!$B:$B,$A552,실시간콜입력!$E:$E,"B",실시간콜입력!$G:$G,$B552,실시간콜입력!$O:$O,"방문완료")+COUNTIFS(실시간콜입력!$B:$B,$A552,실시간콜입력!$E:$E,"B",실시간콜입력!$H:$H,$B552,실시간콜입력!$O:$O,"방문완료")</f>
        <v>0</v>
      </c>
      <c r="H552" s="29">
        <f>COUNTIFS(실시간콜입력!$B:$B,$A552,실시간콜입력!$E:$E,"C",실시간콜입력!$G:$G,$B552,실시간콜입력!$O:$O,"방문완료")+COUNTIFS(실시간콜입력!$B:$B,$A552,실시간콜입력!$E:$E,"C",실시간콜입력!$H:$H,$B552,실시간콜입력!$O:$O,"방문완료")</f>
        <v>0</v>
      </c>
      <c r="I552" s="29">
        <f>COUNTIFS(실시간콜입력!$B:$B,$A552,실시간콜입력!$E:$E,"D",실시간콜입력!$G:$G,$B552,실시간콜입력!$O:$O,"방문완료")+COUNTIFS(실시간콜입력!$B:$B,$A552,실시간콜입력!$E:$E,"D",실시간콜입력!$H:$H,$B552,실시간콜입력!$O:$O,"방문완료")</f>
        <v>0</v>
      </c>
      <c r="J552" s="29">
        <f>COUNTIFS(실시간콜입력!$B:$B,$A552,실시간콜입력!$E:$E,"E",실시간콜입력!$G:$G,$B552,실시간콜입력!$O:$O,"방문완료")+COUNTIFS(실시간콜입력!$B:$B,$A552,실시간콜입력!$E:$E,"E",실시간콜입력!$H:$H,$B552,실시간콜입력!$O:$O,"방문완료")</f>
        <v>0</v>
      </c>
      <c r="K552" s="29">
        <f t="shared" si="72"/>
        <v>0</v>
      </c>
      <c r="L552" s="33">
        <f>SUMIFS(실시간콜입력!$K:$K,실시간콜입력!$B:$B,$A552,실시간콜입력!$G:$G,$B552,실시간콜입력!$O:$O,"방문완료")+SUMIFS(실시간콜입력!$L:$L,실시간콜입력!$B:$B,$A552,실시간콜입력!$H:$H,$B552,실시간콜입력!$O:$O,"방문완료")</f>
        <v>0</v>
      </c>
      <c r="M552" s="29" t="str">
        <f t="shared" si="73"/>
        <v/>
      </c>
      <c r="N552" s="29"/>
    </row>
    <row r="553" spans="1:14" ht="19.5" hidden="1" customHeight="1" outlineLevel="1">
      <c r="A553" s="24">
        <f>IF(11&lt;=DAY(DATE(YEAR(설정_코스수당!$K$2),MONTH(설정_코스수당!$K$2)+1,0)),DATE(YEAR(설정_코스수당!$K$2),MONTH(설정_코스수당!$K$2),11),"")</f>
        <v>46184</v>
      </c>
      <c r="B553" s="23" t="s">
        <v>189</v>
      </c>
      <c r="C553" s="29"/>
      <c r="D553" s="29"/>
      <c r="E553" s="29" t="str">
        <f t="shared" si="71"/>
        <v/>
      </c>
      <c r="F553" s="29">
        <f>COUNTIFS(실시간콜입력!$B:$B,$A553,실시간콜입력!$E:$E,"A",실시간콜입력!$G:$G,$B553,실시간콜입력!$O:$O,"방문완료")+COUNTIFS(실시간콜입력!$B:$B,$A553,실시간콜입력!$E:$E,"A",실시간콜입력!$H:$H,$B553,실시간콜입력!$O:$O,"방문완료")</f>
        <v>0</v>
      </c>
      <c r="G553" s="29">
        <f>COUNTIFS(실시간콜입력!$B:$B,$A553,실시간콜입력!$E:$E,"B",실시간콜입력!$G:$G,$B553,실시간콜입력!$O:$O,"방문완료")+COUNTIFS(실시간콜입력!$B:$B,$A553,실시간콜입력!$E:$E,"B",실시간콜입력!$H:$H,$B553,실시간콜입력!$O:$O,"방문완료")</f>
        <v>0</v>
      </c>
      <c r="H553" s="29">
        <f>COUNTIFS(실시간콜입력!$B:$B,$A553,실시간콜입력!$E:$E,"C",실시간콜입력!$G:$G,$B553,실시간콜입력!$O:$O,"방문완료")+COUNTIFS(실시간콜입력!$B:$B,$A553,실시간콜입력!$E:$E,"C",실시간콜입력!$H:$H,$B553,실시간콜입력!$O:$O,"방문완료")</f>
        <v>0</v>
      </c>
      <c r="I553" s="29">
        <f>COUNTIFS(실시간콜입력!$B:$B,$A553,실시간콜입력!$E:$E,"D",실시간콜입력!$G:$G,$B553,실시간콜입력!$O:$O,"방문완료")+COUNTIFS(실시간콜입력!$B:$B,$A553,실시간콜입력!$E:$E,"D",실시간콜입력!$H:$H,$B553,실시간콜입력!$O:$O,"방문완료")</f>
        <v>0</v>
      </c>
      <c r="J553" s="29">
        <f>COUNTIFS(실시간콜입력!$B:$B,$A553,실시간콜입력!$E:$E,"E",실시간콜입력!$G:$G,$B553,실시간콜입력!$O:$O,"방문완료")+COUNTIFS(실시간콜입력!$B:$B,$A553,실시간콜입력!$E:$E,"E",실시간콜입력!$H:$H,$B553,실시간콜입력!$O:$O,"방문완료")</f>
        <v>0</v>
      </c>
      <c r="K553" s="29">
        <f t="shared" si="72"/>
        <v>0</v>
      </c>
      <c r="L553" s="27">
        <f>SUMIFS(실시간콜입력!$K:$K,실시간콜입력!$B:$B,$A553,실시간콜입력!$G:$G,$B553,실시간콜입력!$O:$O,"방문완료")+SUMIFS(실시간콜입력!$L:$L,실시간콜입력!$B:$B,$A553,실시간콜입력!$H:$H,$B553,실시간콜입력!$O:$O,"방문완료")</f>
        <v>0</v>
      </c>
      <c r="M553" s="29" t="str">
        <f t="shared" si="73"/>
        <v/>
      </c>
      <c r="N553" s="29"/>
    </row>
    <row r="554" spans="1:14" ht="19.5" hidden="1" customHeight="1" outlineLevel="1">
      <c r="A554" s="30">
        <f>IF(11&lt;=DAY(DATE(YEAR(설정_코스수당!$K$2),MONTH(설정_코스수당!$K$2)+1,0)),DATE(YEAR(설정_코스수당!$K$2),MONTH(설정_코스수당!$K$2),11),"")</f>
        <v>46184</v>
      </c>
      <c r="B554" s="29" t="s">
        <v>190</v>
      </c>
      <c r="C554" s="29"/>
      <c r="D554" s="29"/>
      <c r="E554" s="29" t="str">
        <f t="shared" si="71"/>
        <v/>
      </c>
      <c r="F554" s="29">
        <f>COUNTIFS(실시간콜입력!$B:$B,$A554,실시간콜입력!$E:$E,"A",실시간콜입력!$G:$G,$B554,실시간콜입력!$O:$O,"방문완료")+COUNTIFS(실시간콜입력!$B:$B,$A554,실시간콜입력!$E:$E,"A",실시간콜입력!$H:$H,$B554,실시간콜입력!$O:$O,"방문완료")</f>
        <v>0</v>
      </c>
      <c r="G554" s="29">
        <f>COUNTIFS(실시간콜입력!$B:$B,$A554,실시간콜입력!$E:$E,"B",실시간콜입력!$G:$G,$B554,실시간콜입력!$O:$O,"방문완료")+COUNTIFS(실시간콜입력!$B:$B,$A554,실시간콜입력!$E:$E,"B",실시간콜입력!$H:$H,$B554,실시간콜입력!$O:$O,"방문완료")</f>
        <v>0</v>
      </c>
      <c r="H554" s="29">
        <f>COUNTIFS(실시간콜입력!$B:$B,$A554,실시간콜입력!$E:$E,"C",실시간콜입력!$G:$G,$B554,실시간콜입력!$O:$O,"방문완료")+COUNTIFS(실시간콜입력!$B:$B,$A554,실시간콜입력!$E:$E,"C",실시간콜입력!$H:$H,$B554,실시간콜입력!$O:$O,"방문완료")</f>
        <v>0</v>
      </c>
      <c r="I554" s="29">
        <f>COUNTIFS(실시간콜입력!$B:$B,$A554,실시간콜입력!$E:$E,"D",실시간콜입력!$G:$G,$B554,실시간콜입력!$O:$O,"방문완료")+COUNTIFS(실시간콜입력!$B:$B,$A554,실시간콜입력!$E:$E,"D",실시간콜입력!$H:$H,$B554,실시간콜입력!$O:$O,"방문완료")</f>
        <v>0</v>
      </c>
      <c r="J554" s="29">
        <f>COUNTIFS(실시간콜입력!$B:$B,$A554,실시간콜입력!$E:$E,"E",실시간콜입력!$G:$G,$B554,실시간콜입력!$O:$O,"방문완료")+COUNTIFS(실시간콜입력!$B:$B,$A554,실시간콜입력!$E:$E,"E",실시간콜입력!$H:$H,$B554,실시간콜입력!$O:$O,"방문완료")</f>
        <v>0</v>
      </c>
      <c r="K554" s="29">
        <f t="shared" si="72"/>
        <v>0</v>
      </c>
      <c r="L554" s="33">
        <f>SUMIFS(실시간콜입력!$K:$K,실시간콜입력!$B:$B,$A554,실시간콜입력!$G:$G,$B554,실시간콜입력!$O:$O,"방문완료")+SUMIFS(실시간콜입력!$L:$L,실시간콜입력!$B:$B,$A554,실시간콜입력!$H:$H,$B554,실시간콜입력!$O:$O,"방문완료")</f>
        <v>0</v>
      </c>
      <c r="M554" s="29" t="str">
        <f t="shared" si="73"/>
        <v/>
      </c>
      <c r="N554" s="29"/>
    </row>
    <row r="555" spans="1:14" ht="19.5" hidden="1" customHeight="1" outlineLevel="1">
      <c r="A555" s="24">
        <f>IF(11&lt;=DAY(DATE(YEAR(설정_코스수당!$K$2),MONTH(설정_코스수당!$K$2)+1,0)),DATE(YEAR(설정_코스수당!$K$2),MONTH(설정_코스수당!$K$2),11),"")</f>
        <v>46184</v>
      </c>
      <c r="B555" s="23" t="s">
        <v>191</v>
      </c>
      <c r="C555" s="29"/>
      <c r="D555" s="29"/>
      <c r="E555" s="29" t="str">
        <f t="shared" si="71"/>
        <v/>
      </c>
      <c r="F555" s="29">
        <f>COUNTIFS(실시간콜입력!$B:$B,$A555,실시간콜입력!$E:$E,"A",실시간콜입력!$G:$G,$B555,실시간콜입력!$O:$O,"방문완료")+COUNTIFS(실시간콜입력!$B:$B,$A555,실시간콜입력!$E:$E,"A",실시간콜입력!$H:$H,$B555,실시간콜입력!$O:$O,"방문완료")</f>
        <v>0</v>
      </c>
      <c r="G555" s="29">
        <f>COUNTIFS(실시간콜입력!$B:$B,$A555,실시간콜입력!$E:$E,"B",실시간콜입력!$G:$G,$B555,실시간콜입력!$O:$O,"방문완료")+COUNTIFS(실시간콜입력!$B:$B,$A555,실시간콜입력!$E:$E,"B",실시간콜입력!$H:$H,$B555,실시간콜입력!$O:$O,"방문완료")</f>
        <v>0</v>
      </c>
      <c r="H555" s="29">
        <f>COUNTIFS(실시간콜입력!$B:$B,$A555,실시간콜입력!$E:$E,"C",실시간콜입력!$G:$G,$B555,실시간콜입력!$O:$O,"방문완료")+COUNTIFS(실시간콜입력!$B:$B,$A555,실시간콜입력!$E:$E,"C",실시간콜입력!$H:$H,$B555,실시간콜입력!$O:$O,"방문완료")</f>
        <v>0</v>
      </c>
      <c r="I555" s="29">
        <f>COUNTIFS(실시간콜입력!$B:$B,$A555,실시간콜입력!$E:$E,"D",실시간콜입력!$G:$G,$B555,실시간콜입력!$O:$O,"방문완료")+COUNTIFS(실시간콜입력!$B:$B,$A555,실시간콜입력!$E:$E,"D",실시간콜입력!$H:$H,$B555,실시간콜입력!$O:$O,"방문완료")</f>
        <v>0</v>
      </c>
      <c r="J555" s="29">
        <f>COUNTIFS(실시간콜입력!$B:$B,$A555,실시간콜입력!$E:$E,"E",실시간콜입력!$G:$G,$B555,실시간콜입력!$O:$O,"방문완료")+COUNTIFS(실시간콜입력!$B:$B,$A555,실시간콜입력!$E:$E,"E",실시간콜입력!$H:$H,$B555,실시간콜입력!$O:$O,"방문완료")</f>
        <v>0</v>
      </c>
      <c r="K555" s="29">
        <f t="shared" si="72"/>
        <v>0</v>
      </c>
      <c r="L555" s="27">
        <f>SUMIFS(실시간콜입력!$K:$K,실시간콜입력!$B:$B,$A555,실시간콜입력!$G:$G,$B555,실시간콜입력!$O:$O,"방문완료")+SUMIFS(실시간콜입력!$L:$L,실시간콜입력!$B:$B,$A555,실시간콜입력!$H:$H,$B555,실시간콜입력!$O:$O,"방문완료")</f>
        <v>0</v>
      </c>
      <c r="M555" s="29" t="str">
        <f t="shared" si="73"/>
        <v/>
      </c>
      <c r="N555" s="29"/>
    </row>
    <row r="556" spans="1:14" ht="19.5" hidden="1" customHeight="1" outlineLevel="1">
      <c r="A556" s="30">
        <f>IF(11&lt;=DAY(DATE(YEAR(설정_코스수당!$K$2),MONTH(설정_코스수당!$K$2)+1,0)),DATE(YEAR(설정_코스수당!$K$2),MONTH(설정_코스수당!$K$2),11),"")</f>
        <v>46184</v>
      </c>
      <c r="B556" s="29" t="s">
        <v>192</v>
      </c>
      <c r="C556" s="29"/>
      <c r="D556" s="29"/>
      <c r="E556" s="29" t="str">
        <f t="shared" si="71"/>
        <v/>
      </c>
      <c r="F556" s="29">
        <f>COUNTIFS(실시간콜입력!$B:$B,$A556,실시간콜입력!$E:$E,"A",실시간콜입력!$G:$G,$B556,실시간콜입력!$O:$O,"방문완료")+COUNTIFS(실시간콜입력!$B:$B,$A556,실시간콜입력!$E:$E,"A",실시간콜입력!$H:$H,$B556,실시간콜입력!$O:$O,"방문완료")</f>
        <v>0</v>
      </c>
      <c r="G556" s="29">
        <f>COUNTIFS(실시간콜입력!$B:$B,$A556,실시간콜입력!$E:$E,"B",실시간콜입력!$G:$G,$B556,실시간콜입력!$O:$O,"방문완료")+COUNTIFS(실시간콜입력!$B:$B,$A556,실시간콜입력!$E:$E,"B",실시간콜입력!$H:$H,$B556,실시간콜입력!$O:$O,"방문완료")</f>
        <v>0</v>
      </c>
      <c r="H556" s="29">
        <f>COUNTIFS(실시간콜입력!$B:$B,$A556,실시간콜입력!$E:$E,"C",실시간콜입력!$G:$G,$B556,실시간콜입력!$O:$O,"방문완료")+COUNTIFS(실시간콜입력!$B:$B,$A556,실시간콜입력!$E:$E,"C",실시간콜입력!$H:$H,$B556,실시간콜입력!$O:$O,"방문완료")</f>
        <v>0</v>
      </c>
      <c r="I556" s="29">
        <f>COUNTIFS(실시간콜입력!$B:$B,$A556,실시간콜입력!$E:$E,"D",실시간콜입력!$G:$G,$B556,실시간콜입력!$O:$O,"방문완료")+COUNTIFS(실시간콜입력!$B:$B,$A556,실시간콜입력!$E:$E,"D",실시간콜입력!$H:$H,$B556,실시간콜입력!$O:$O,"방문완료")</f>
        <v>0</v>
      </c>
      <c r="J556" s="29">
        <f>COUNTIFS(실시간콜입력!$B:$B,$A556,실시간콜입력!$E:$E,"E",실시간콜입력!$G:$G,$B556,실시간콜입력!$O:$O,"방문완료")+COUNTIFS(실시간콜입력!$B:$B,$A556,실시간콜입력!$E:$E,"E",실시간콜입력!$H:$H,$B556,실시간콜입력!$O:$O,"방문완료")</f>
        <v>0</v>
      </c>
      <c r="K556" s="29">
        <f t="shared" si="72"/>
        <v>0</v>
      </c>
      <c r="L556" s="33">
        <f>SUMIFS(실시간콜입력!$K:$K,실시간콜입력!$B:$B,$A556,실시간콜입력!$G:$G,$B556,실시간콜입력!$O:$O,"방문완료")+SUMIFS(실시간콜입력!$L:$L,실시간콜입력!$B:$B,$A556,실시간콜입력!$H:$H,$B556,실시간콜입력!$O:$O,"방문완료")</f>
        <v>0</v>
      </c>
      <c r="M556" s="29" t="str">
        <f t="shared" si="73"/>
        <v/>
      </c>
      <c r="N556" s="29"/>
    </row>
    <row r="557" spans="1:14" ht="19.5" hidden="1" customHeight="1" outlineLevel="1">
      <c r="A557" s="24">
        <f>IF(11&lt;=DAY(DATE(YEAR(설정_코스수당!$K$2),MONTH(설정_코스수당!$K$2)+1,0)),DATE(YEAR(설정_코스수당!$K$2),MONTH(설정_코스수당!$K$2),11),"")</f>
        <v>46184</v>
      </c>
      <c r="B557" s="23" t="s">
        <v>193</v>
      </c>
      <c r="C557" s="29"/>
      <c r="D557" s="29"/>
      <c r="E557" s="29" t="str">
        <f t="shared" si="71"/>
        <v/>
      </c>
      <c r="F557" s="29">
        <f>COUNTIFS(실시간콜입력!$B:$B,$A557,실시간콜입력!$E:$E,"A",실시간콜입력!$G:$G,$B557,실시간콜입력!$O:$O,"방문완료")+COUNTIFS(실시간콜입력!$B:$B,$A557,실시간콜입력!$E:$E,"A",실시간콜입력!$H:$H,$B557,실시간콜입력!$O:$O,"방문완료")</f>
        <v>0</v>
      </c>
      <c r="G557" s="29">
        <f>COUNTIFS(실시간콜입력!$B:$B,$A557,실시간콜입력!$E:$E,"B",실시간콜입력!$G:$G,$B557,실시간콜입력!$O:$O,"방문완료")+COUNTIFS(실시간콜입력!$B:$B,$A557,실시간콜입력!$E:$E,"B",실시간콜입력!$H:$H,$B557,실시간콜입력!$O:$O,"방문완료")</f>
        <v>0</v>
      </c>
      <c r="H557" s="29">
        <f>COUNTIFS(실시간콜입력!$B:$B,$A557,실시간콜입력!$E:$E,"C",실시간콜입력!$G:$G,$B557,실시간콜입력!$O:$O,"방문완료")+COUNTIFS(실시간콜입력!$B:$B,$A557,실시간콜입력!$E:$E,"C",실시간콜입력!$H:$H,$B557,실시간콜입력!$O:$O,"방문완료")</f>
        <v>0</v>
      </c>
      <c r="I557" s="29">
        <f>COUNTIFS(실시간콜입력!$B:$B,$A557,실시간콜입력!$E:$E,"D",실시간콜입력!$G:$G,$B557,실시간콜입력!$O:$O,"방문완료")+COUNTIFS(실시간콜입력!$B:$B,$A557,실시간콜입력!$E:$E,"D",실시간콜입력!$H:$H,$B557,실시간콜입력!$O:$O,"방문완료")</f>
        <v>0</v>
      </c>
      <c r="J557" s="29">
        <f>COUNTIFS(실시간콜입력!$B:$B,$A557,실시간콜입력!$E:$E,"E",실시간콜입력!$G:$G,$B557,실시간콜입력!$O:$O,"방문완료")+COUNTIFS(실시간콜입력!$B:$B,$A557,실시간콜입력!$E:$E,"E",실시간콜입력!$H:$H,$B557,실시간콜입력!$O:$O,"방문완료")</f>
        <v>0</v>
      </c>
      <c r="K557" s="29">
        <f t="shared" si="72"/>
        <v>0</v>
      </c>
      <c r="L557" s="27">
        <f>SUMIFS(실시간콜입력!$K:$K,실시간콜입력!$B:$B,$A557,실시간콜입력!$G:$G,$B557,실시간콜입력!$O:$O,"방문완료")+SUMIFS(실시간콜입력!$L:$L,실시간콜입력!$B:$B,$A557,실시간콜입력!$H:$H,$B557,실시간콜입력!$O:$O,"방문완료")</f>
        <v>0</v>
      </c>
      <c r="M557" s="29" t="str">
        <f t="shared" si="73"/>
        <v/>
      </c>
      <c r="N557" s="29"/>
    </row>
    <row r="558" spans="1:14" ht="19.5" hidden="1" customHeight="1" outlineLevel="1">
      <c r="A558" s="30">
        <f>IF(11&lt;=DAY(DATE(YEAR(설정_코스수당!$K$2),MONTH(설정_코스수당!$K$2)+1,0)),DATE(YEAR(설정_코스수당!$K$2),MONTH(설정_코스수당!$K$2),11),"")</f>
        <v>46184</v>
      </c>
      <c r="B558" s="29" t="s">
        <v>194</v>
      </c>
      <c r="C558" s="29"/>
      <c r="D558" s="29"/>
      <c r="E558" s="29" t="str">
        <f t="shared" si="71"/>
        <v/>
      </c>
      <c r="F558" s="29">
        <f>COUNTIFS(실시간콜입력!$B:$B,$A558,실시간콜입력!$E:$E,"A",실시간콜입력!$G:$G,$B558,실시간콜입력!$O:$O,"방문완료")+COUNTIFS(실시간콜입력!$B:$B,$A558,실시간콜입력!$E:$E,"A",실시간콜입력!$H:$H,$B558,실시간콜입력!$O:$O,"방문완료")</f>
        <v>0</v>
      </c>
      <c r="G558" s="29">
        <f>COUNTIFS(실시간콜입력!$B:$B,$A558,실시간콜입력!$E:$E,"B",실시간콜입력!$G:$G,$B558,실시간콜입력!$O:$O,"방문완료")+COUNTIFS(실시간콜입력!$B:$B,$A558,실시간콜입력!$E:$E,"B",실시간콜입력!$H:$H,$B558,실시간콜입력!$O:$O,"방문완료")</f>
        <v>0</v>
      </c>
      <c r="H558" s="29">
        <f>COUNTIFS(실시간콜입력!$B:$B,$A558,실시간콜입력!$E:$E,"C",실시간콜입력!$G:$G,$B558,실시간콜입력!$O:$O,"방문완료")+COUNTIFS(실시간콜입력!$B:$B,$A558,실시간콜입력!$E:$E,"C",실시간콜입력!$H:$H,$B558,실시간콜입력!$O:$O,"방문완료")</f>
        <v>0</v>
      </c>
      <c r="I558" s="29">
        <f>COUNTIFS(실시간콜입력!$B:$B,$A558,실시간콜입력!$E:$E,"D",실시간콜입력!$G:$G,$B558,실시간콜입력!$O:$O,"방문완료")+COUNTIFS(실시간콜입력!$B:$B,$A558,실시간콜입력!$E:$E,"D",실시간콜입력!$H:$H,$B558,실시간콜입력!$O:$O,"방문완료")</f>
        <v>0</v>
      </c>
      <c r="J558" s="29">
        <f>COUNTIFS(실시간콜입력!$B:$B,$A558,실시간콜입력!$E:$E,"E",실시간콜입력!$G:$G,$B558,실시간콜입력!$O:$O,"방문완료")+COUNTIFS(실시간콜입력!$B:$B,$A558,실시간콜입력!$E:$E,"E",실시간콜입력!$H:$H,$B558,실시간콜입력!$O:$O,"방문완료")</f>
        <v>0</v>
      </c>
      <c r="K558" s="29">
        <f t="shared" si="72"/>
        <v>0</v>
      </c>
      <c r="L558" s="33">
        <f>SUMIFS(실시간콜입력!$K:$K,실시간콜입력!$B:$B,$A558,실시간콜입력!$G:$G,$B558,실시간콜입력!$O:$O,"방문완료")+SUMIFS(실시간콜입력!$L:$L,실시간콜입력!$B:$B,$A558,실시간콜입력!$H:$H,$B558,실시간콜입력!$O:$O,"방문완료")</f>
        <v>0</v>
      </c>
      <c r="M558" s="29" t="str">
        <f t="shared" si="73"/>
        <v/>
      </c>
      <c r="N558" s="29"/>
    </row>
    <row r="559" spans="1:14" ht="19.5" hidden="1" customHeight="1" outlineLevel="1">
      <c r="A559" s="24">
        <f>IF(11&lt;=DAY(DATE(YEAR(설정_코스수당!$K$2),MONTH(설정_코스수당!$K$2)+1,0)),DATE(YEAR(설정_코스수당!$K$2),MONTH(설정_코스수당!$K$2),11),"")</f>
        <v>46184</v>
      </c>
      <c r="B559" s="23" t="s">
        <v>195</v>
      </c>
      <c r="C559" s="29"/>
      <c r="D559" s="29"/>
      <c r="E559" s="29" t="str">
        <f t="shared" ref="E559:E590" si="74">IF(AND(C559&lt;&gt;"",D559&lt;&gt;""),IF(D559&lt;C559,D559+1-C559,D559-C559)*24,"")</f>
        <v/>
      </c>
      <c r="F559" s="29">
        <f>COUNTIFS(실시간콜입력!$B:$B,$A559,실시간콜입력!$E:$E,"A",실시간콜입력!$G:$G,$B559,실시간콜입력!$O:$O,"방문완료")+COUNTIFS(실시간콜입력!$B:$B,$A559,실시간콜입력!$E:$E,"A",실시간콜입력!$H:$H,$B559,실시간콜입력!$O:$O,"방문완료")</f>
        <v>0</v>
      </c>
      <c r="G559" s="29">
        <f>COUNTIFS(실시간콜입력!$B:$B,$A559,실시간콜입력!$E:$E,"B",실시간콜입력!$G:$G,$B559,실시간콜입력!$O:$O,"방문완료")+COUNTIFS(실시간콜입력!$B:$B,$A559,실시간콜입력!$E:$E,"B",실시간콜입력!$H:$H,$B559,실시간콜입력!$O:$O,"방문완료")</f>
        <v>0</v>
      </c>
      <c r="H559" s="29">
        <f>COUNTIFS(실시간콜입력!$B:$B,$A559,실시간콜입력!$E:$E,"C",실시간콜입력!$G:$G,$B559,실시간콜입력!$O:$O,"방문완료")+COUNTIFS(실시간콜입력!$B:$B,$A559,실시간콜입력!$E:$E,"C",실시간콜입력!$H:$H,$B559,실시간콜입력!$O:$O,"방문완료")</f>
        <v>0</v>
      </c>
      <c r="I559" s="29">
        <f>COUNTIFS(실시간콜입력!$B:$B,$A559,실시간콜입력!$E:$E,"D",실시간콜입력!$G:$G,$B559,실시간콜입력!$O:$O,"방문완료")+COUNTIFS(실시간콜입력!$B:$B,$A559,실시간콜입력!$E:$E,"D",실시간콜입력!$H:$H,$B559,실시간콜입력!$O:$O,"방문완료")</f>
        <v>0</v>
      </c>
      <c r="J559" s="29">
        <f>COUNTIFS(실시간콜입력!$B:$B,$A559,실시간콜입력!$E:$E,"E",실시간콜입력!$G:$G,$B559,실시간콜입력!$O:$O,"방문완료")+COUNTIFS(실시간콜입력!$B:$B,$A559,실시간콜입력!$E:$E,"E",실시간콜입력!$H:$H,$B559,실시간콜입력!$O:$O,"방문완료")</f>
        <v>0</v>
      </c>
      <c r="K559" s="29">
        <f t="shared" ref="K559:K590" si="75">SUM(F559:J559)</f>
        <v>0</v>
      </c>
      <c r="L559" s="27">
        <f>SUMIFS(실시간콜입력!$K:$K,실시간콜입력!$B:$B,$A559,실시간콜입력!$G:$G,$B559,실시간콜입력!$O:$O,"방문완료")+SUMIFS(실시간콜입력!$L:$L,실시간콜입력!$B:$B,$A559,실시간콜입력!$H:$H,$B559,실시간콜입력!$O:$O,"방문완료")</f>
        <v>0</v>
      </c>
      <c r="M559" s="29" t="str">
        <f t="shared" ref="M559:M576" si="76">IF(AND(ISNUMBER(E559),E559&gt;=8),"인정","")</f>
        <v/>
      </c>
      <c r="N559" s="29"/>
    </row>
    <row r="560" spans="1:14" ht="19.5" hidden="1" customHeight="1" outlineLevel="1">
      <c r="A560" s="30">
        <f>IF(11&lt;=DAY(DATE(YEAR(설정_코스수당!$K$2),MONTH(설정_코스수당!$K$2)+1,0)),DATE(YEAR(설정_코스수당!$K$2),MONTH(설정_코스수당!$K$2),11),"")</f>
        <v>46184</v>
      </c>
      <c r="B560" s="29" t="s">
        <v>196</v>
      </c>
      <c r="C560" s="29"/>
      <c r="D560" s="29"/>
      <c r="E560" s="29" t="str">
        <f t="shared" si="74"/>
        <v/>
      </c>
      <c r="F560" s="29">
        <f>COUNTIFS(실시간콜입력!$B:$B,$A560,실시간콜입력!$E:$E,"A",실시간콜입력!$G:$G,$B560,실시간콜입력!$O:$O,"방문완료")+COUNTIFS(실시간콜입력!$B:$B,$A560,실시간콜입력!$E:$E,"A",실시간콜입력!$H:$H,$B560,실시간콜입력!$O:$O,"방문완료")</f>
        <v>0</v>
      </c>
      <c r="G560" s="29">
        <f>COUNTIFS(실시간콜입력!$B:$B,$A560,실시간콜입력!$E:$E,"B",실시간콜입력!$G:$G,$B560,실시간콜입력!$O:$O,"방문완료")+COUNTIFS(실시간콜입력!$B:$B,$A560,실시간콜입력!$E:$E,"B",실시간콜입력!$H:$H,$B560,실시간콜입력!$O:$O,"방문완료")</f>
        <v>0</v>
      </c>
      <c r="H560" s="29">
        <f>COUNTIFS(실시간콜입력!$B:$B,$A560,실시간콜입력!$E:$E,"C",실시간콜입력!$G:$G,$B560,실시간콜입력!$O:$O,"방문완료")+COUNTIFS(실시간콜입력!$B:$B,$A560,실시간콜입력!$E:$E,"C",실시간콜입력!$H:$H,$B560,실시간콜입력!$O:$O,"방문완료")</f>
        <v>0</v>
      </c>
      <c r="I560" s="29">
        <f>COUNTIFS(실시간콜입력!$B:$B,$A560,실시간콜입력!$E:$E,"D",실시간콜입력!$G:$G,$B560,실시간콜입력!$O:$O,"방문완료")+COUNTIFS(실시간콜입력!$B:$B,$A560,실시간콜입력!$E:$E,"D",실시간콜입력!$H:$H,$B560,실시간콜입력!$O:$O,"방문완료")</f>
        <v>0</v>
      </c>
      <c r="J560" s="29">
        <f>COUNTIFS(실시간콜입력!$B:$B,$A560,실시간콜입력!$E:$E,"E",실시간콜입력!$G:$G,$B560,실시간콜입력!$O:$O,"방문완료")+COUNTIFS(실시간콜입력!$B:$B,$A560,실시간콜입력!$E:$E,"E",실시간콜입력!$H:$H,$B560,실시간콜입력!$O:$O,"방문완료")</f>
        <v>0</v>
      </c>
      <c r="K560" s="29">
        <f t="shared" si="75"/>
        <v>0</v>
      </c>
      <c r="L560" s="33">
        <f>SUMIFS(실시간콜입력!$K:$K,실시간콜입력!$B:$B,$A560,실시간콜입력!$G:$G,$B560,실시간콜입력!$O:$O,"방문완료")+SUMIFS(실시간콜입력!$L:$L,실시간콜입력!$B:$B,$A560,실시간콜입력!$H:$H,$B560,실시간콜입력!$O:$O,"방문완료")</f>
        <v>0</v>
      </c>
      <c r="M560" s="29" t="str">
        <f t="shared" si="76"/>
        <v/>
      </c>
      <c r="N560" s="29"/>
    </row>
    <row r="561" spans="1:14" ht="19.5" hidden="1" customHeight="1" outlineLevel="1">
      <c r="A561" s="24">
        <f>IF(11&lt;=DAY(DATE(YEAR(설정_코스수당!$K$2),MONTH(설정_코스수당!$K$2)+1,0)),DATE(YEAR(설정_코스수당!$K$2),MONTH(설정_코스수당!$K$2),11),"")</f>
        <v>46184</v>
      </c>
      <c r="B561" s="23" t="s">
        <v>197</v>
      </c>
      <c r="C561" s="29"/>
      <c r="D561" s="29"/>
      <c r="E561" s="29" t="str">
        <f t="shared" si="74"/>
        <v/>
      </c>
      <c r="F561" s="29">
        <f>COUNTIFS(실시간콜입력!$B:$B,$A561,실시간콜입력!$E:$E,"A",실시간콜입력!$G:$G,$B561,실시간콜입력!$O:$O,"방문완료")+COUNTIFS(실시간콜입력!$B:$B,$A561,실시간콜입력!$E:$E,"A",실시간콜입력!$H:$H,$B561,실시간콜입력!$O:$O,"방문완료")</f>
        <v>0</v>
      </c>
      <c r="G561" s="29">
        <f>COUNTIFS(실시간콜입력!$B:$B,$A561,실시간콜입력!$E:$E,"B",실시간콜입력!$G:$G,$B561,실시간콜입력!$O:$O,"방문완료")+COUNTIFS(실시간콜입력!$B:$B,$A561,실시간콜입력!$E:$E,"B",실시간콜입력!$H:$H,$B561,실시간콜입력!$O:$O,"방문완료")</f>
        <v>0</v>
      </c>
      <c r="H561" s="29">
        <f>COUNTIFS(실시간콜입력!$B:$B,$A561,실시간콜입력!$E:$E,"C",실시간콜입력!$G:$G,$B561,실시간콜입력!$O:$O,"방문완료")+COUNTIFS(실시간콜입력!$B:$B,$A561,실시간콜입력!$E:$E,"C",실시간콜입력!$H:$H,$B561,실시간콜입력!$O:$O,"방문완료")</f>
        <v>0</v>
      </c>
      <c r="I561" s="29">
        <f>COUNTIFS(실시간콜입력!$B:$B,$A561,실시간콜입력!$E:$E,"D",실시간콜입력!$G:$G,$B561,실시간콜입력!$O:$O,"방문완료")+COUNTIFS(실시간콜입력!$B:$B,$A561,실시간콜입력!$E:$E,"D",실시간콜입력!$H:$H,$B561,실시간콜입력!$O:$O,"방문완료")</f>
        <v>0</v>
      </c>
      <c r="J561" s="29">
        <f>COUNTIFS(실시간콜입력!$B:$B,$A561,실시간콜입력!$E:$E,"E",실시간콜입력!$G:$G,$B561,실시간콜입력!$O:$O,"방문완료")+COUNTIFS(실시간콜입력!$B:$B,$A561,실시간콜입력!$E:$E,"E",실시간콜입력!$H:$H,$B561,실시간콜입력!$O:$O,"방문완료")</f>
        <v>0</v>
      </c>
      <c r="K561" s="29">
        <f t="shared" si="75"/>
        <v>0</v>
      </c>
      <c r="L561" s="27">
        <f>SUMIFS(실시간콜입력!$K:$K,실시간콜입력!$B:$B,$A561,실시간콜입력!$G:$G,$B561,실시간콜입력!$O:$O,"방문완료")+SUMIFS(실시간콜입력!$L:$L,실시간콜입력!$B:$B,$A561,실시간콜입력!$H:$H,$B561,실시간콜입력!$O:$O,"방문완료")</f>
        <v>0</v>
      </c>
      <c r="M561" s="29" t="str">
        <f t="shared" si="76"/>
        <v/>
      </c>
      <c r="N561" s="29"/>
    </row>
    <row r="562" spans="1:14" ht="19.5" hidden="1" customHeight="1" outlineLevel="1">
      <c r="A562" s="30">
        <f>IF(11&lt;=DAY(DATE(YEAR(설정_코스수당!$K$2),MONTH(설정_코스수당!$K$2)+1,0)),DATE(YEAR(설정_코스수당!$K$2),MONTH(설정_코스수당!$K$2),11),"")</f>
        <v>46184</v>
      </c>
      <c r="B562" s="29" t="s">
        <v>198</v>
      </c>
      <c r="C562" s="29"/>
      <c r="D562" s="29"/>
      <c r="E562" s="29" t="str">
        <f t="shared" si="74"/>
        <v/>
      </c>
      <c r="F562" s="29">
        <f>COUNTIFS(실시간콜입력!$B:$B,$A562,실시간콜입력!$E:$E,"A",실시간콜입력!$G:$G,$B562,실시간콜입력!$O:$O,"방문완료")+COUNTIFS(실시간콜입력!$B:$B,$A562,실시간콜입력!$E:$E,"A",실시간콜입력!$H:$H,$B562,실시간콜입력!$O:$O,"방문완료")</f>
        <v>0</v>
      </c>
      <c r="G562" s="29">
        <f>COUNTIFS(실시간콜입력!$B:$B,$A562,실시간콜입력!$E:$E,"B",실시간콜입력!$G:$G,$B562,실시간콜입력!$O:$O,"방문완료")+COUNTIFS(실시간콜입력!$B:$B,$A562,실시간콜입력!$E:$E,"B",실시간콜입력!$H:$H,$B562,실시간콜입력!$O:$O,"방문완료")</f>
        <v>0</v>
      </c>
      <c r="H562" s="29">
        <f>COUNTIFS(실시간콜입력!$B:$B,$A562,실시간콜입력!$E:$E,"C",실시간콜입력!$G:$G,$B562,실시간콜입력!$O:$O,"방문완료")+COUNTIFS(실시간콜입력!$B:$B,$A562,실시간콜입력!$E:$E,"C",실시간콜입력!$H:$H,$B562,실시간콜입력!$O:$O,"방문완료")</f>
        <v>0</v>
      </c>
      <c r="I562" s="29">
        <f>COUNTIFS(실시간콜입력!$B:$B,$A562,실시간콜입력!$E:$E,"D",실시간콜입력!$G:$G,$B562,실시간콜입력!$O:$O,"방문완료")+COUNTIFS(실시간콜입력!$B:$B,$A562,실시간콜입력!$E:$E,"D",실시간콜입력!$H:$H,$B562,실시간콜입력!$O:$O,"방문완료")</f>
        <v>0</v>
      </c>
      <c r="J562" s="29">
        <f>COUNTIFS(실시간콜입력!$B:$B,$A562,실시간콜입력!$E:$E,"E",실시간콜입력!$G:$G,$B562,실시간콜입력!$O:$O,"방문완료")+COUNTIFS(실시간콜입력!$B:$B,$A562,실시간콜입력!$E:$E,"E",실시간콜입력!$H:$H,$B562,실시간콜입력!$O:$O,"방문완료")</f>
        <v>0</v>
      </c>
      <c r="K562" s="29">
        <f t="shared" si="75"/>
        <v>0</v>
      </c>
      <c r="L562" s="33">
        <f>SUMIFS(실시간콜입력!$K:$K,실시간콜입력!$B:$B,$A562,실시간콜입력!$G:$G,$B562,실시간콜입력!$O:$O,"방문완료")+SUMIFS(실시간콜입력!$L:$L,실시간콜입력!$B:$B,$A562,실시간콜입력!$H:$H,$B562,실시간콜입력!$O:$O,"방문완료")</f>
        <v>0</v>
      </c>
      <c r="M562" s="29" t="str">
        <f t="shared" si="76"/>
        <v/>
      </c>
      <c r="N562" s="29"/>
    </row>
    <row r="563" spans="1:14" ht="19.5" hidden="1" customHeight="1" outlineLevel="1">
      <c r="A563" s="24">
        <f>IF(11&lt;=DAY(DATE(YEAR(설정_코스수당!$K$2),MONTH(설정_코스수당!$K$2)+1,0)),DATE(YEAR(설정_코스수당!$K$2),MONTH(설정_코스수당!$K$2),11),"")</f>
        <v>46184</v>
      </c>
      <c r="B563" s="23" t="s">
        <v>199</v>
      </c>
      <c r="C563" s="29"/>
      <c r="D563" s="29"/>
      <c r="E563" s="29" t="str">
        <f t="shared" si="74"/>
        <v/>
      </c>
      <c r="F563" s="29">
        <f>COUNTIFS(실시간콜입력!$B:$B,$A563,실시간콜입력!$E:$E,"A",실시간콜입력!$G:$G,$B563,실시간콜입력!$O:$O,"방문완료")+COUNTIFS(실시간콜입력!$B:$B,$A563,실시간콜입력!$E:$E,"A",실시간콜입력!$H:$H,$B563,실시간콜입력!$O:$O,"방문완료")</f>
        <v>0</v>
      </c>
      <c r="G563" s="29">
        <f>COUNTIFS(실시간콜입력!$B:$B,$A563,실시간콜입력!$E:$E,"B",실시간콜입력!$G:$G,$B563,실시간콜입력!$O:$O,"방문완료")+COUNTIFS(실시간콜입력!$B:$B,$A563,실시간콜입력!$E:$E,"B",실시간콜입력!$H:$H,$B563,실시간콜입력!$O:$O,"방문완료")</f>
        <v>0</v>
      </c>
      <c r="H563" s="29">
        <f>COUNTIFS(실시간콜입력!$B:$B,$A563,실시간콜입력!$E:$E,"C",실시간콜입력!$G:$G,$B563,실시간콜입력!$O:$O,"방문완료")+COUNTIFS(실시간콜입력!$B:$B,$A563,실시간콜입력!$E:$E,"C",실시간콜입력!$H:$H,$B563,실시간콜입력!$O:$O,"방문완료")</f>
        <v>0</v>
      </c>
      <c r="I563" s="29">
        <f>COUNTIFS(실시간콜입력!$B:$B,$A563,실시간콜입력!$E:$E,"D",실시간콜입력!$G:$G,$B563,실시간콜입력!$O:$O,"방문완료")+COUNTIFS(실시간콜입력!$B:$B,$A563,실시간콜입력!$E:$E,"D",실시간콜입력!$H:$H,$B563,실시간콜입력!$O:$O,"방문완료")</f>
        <v>0</v>
      </c>
      <c r="J563" s="29">
        <f>COUNTIFS(실시간콜입력!$B:$B,$A563,실시간콜입력!$E:$E,"E",실시간콜입력!$G:$G,$B563,실시간콜입력!$O:$O,"방문완료")+COUNTIFS(실시간콜입력!$B:$B,$A563,실시간콜입력!$E:$E,"E",실시간콜입력!$H:$H,$B563,실시간콜입력!$O:$O,"방문완료")</f>
        <v>0</v>
      </c>
      <c r="K563" s="29">
        <f t="shared" si="75"/>
        <v>0</v>
      </c>
      <c r="L563" s="27">
        <f>SUMIFS(실시간콜입력!$K:$K,실시간콜입력!$B:$B,$A563,실시간콜입력!$G:$G,$B563,실시간콜입력!$O:$O,"방문완료")+SUMIFS(실시간콜입력!$L:$L,실시간콜입력!$B:$B,$A563,실시간콜입력!$H:$H,$B563,실시간콜입력!$O:$O,"방문완료")</f>
        <v>0</v>
      </c>
      <c r="M563" s="29" t="str">
        <f t="shared" si="76"/>
        <v/>
      </c>
      <c r="N563" s="29"/>
    </row>
    <row r="564" spans="1:14" ht="19.5" hidden="1" customHeight="1" outlineLevel="1">
      <c r="A564" s="30">
        <f>IF(11&lt;=DAY(DATE(YEAR(설정_코스수당!$K$2),MONTH(설정_코스수당!$K$2)+1,0)),DATE(YEAR(설정_코스수당!$K$2),MONTH(설정_코스수당!$K$2),11),"")</f>
        <v>46184</v>
      </c>
      <c r="B564" s="29" t="s">
        <v>200</v>
      </c>
      <c r="C564" s="29"/>
      <c r="D564" s="29"/>
      <c r="E564" s="29" t="str">
        <f t="shared" si="74"/>
        <v/>
      </c>
      <c r="F564" s="29">
        <f>COUNTIFS(실시간콜입력!$B:$B,$A564,실시간콜입력!$E:$E,"A",실시간콜입력!$G:$G,$B564,실시간콜입력!$O:$O,"방문완료")+COUNTIFS(실시간콜입력!$B:$B,$A564,실시간콜입력!$E:$E,"A",실시간콜입력!$H:$H,$B564,실시간콜입력!$O:$O,"방문완료")</f>
        <v>0</v>
      </c>
      <c r="G564" s="29">
        <f>COUNTIFS(실시간콜입력!$B:$B,$A564,실시간콜입력!$E:$E,"B",실시간콜입력!$G:$G,$B564,실시간콜입력!$O:$O,"방문완료")+COUNTIFS(실시간콜입력!$B:$B,$A564,실시간콜입력!$E:$E,"B",실시간콜입력!$H:$H,$B564,실시간콜입력!$O:$O,"방문완료")</f>
        <v>0</v>
      </c>
      <c r="H564" s="29">
        <f>COUNTIFS(실시간콜입력!$B:$B,$A564,실시간콜입력!$E:$E,"C",실시간콜입력!$G:$G,$B564,실시간콜입력!$O:$O,"방문완료")+COUNTIFS(실시간콜입력!$B:$B,$A564,실시간콜입력!$E:$E,"C",실시간콜입력!$H:$H,$B564,실시간콜입력!$O:$O,"방문완료")</f>
        <v>0</v>
      </c>
      <c r="I564" s="29">
        <f>COUNTIFS(실시간콜입력!$B:$B,$A564,실시간콜입력!$E:$E,"D",실시간콜입력!$G:$G,$B564,실시간콜입력!$O:$O,"방문완료")+COUNTIFS(실시간콜입력!$B:$B,$A564,실시간콜입력!$E:$E,"D",실시간콜입력!$H:$H,$B564,실시간콜입력!$O:$O,"방문완료")</f>
        <v>0</v>
      </c>
      <c r="J564" s="29">
        <f>COUNTIFS(실시간콜입력!$B:$B,$A564,실시간콜입력!$E:$E,"E",실시간콜입력!$G:$G,$B564,실시간콜입력!$O:$O,"방문완료")+COUNTIFS(실시간콜입력!$B:$B,$A564,실시간콜입력!$E:$E,"E",실시간콜입력!$H:$H,$B564,실시간콜입력!$O:$O,"방문완료")</f>
        <v>0</v>
      </c>
      <c r="K564" s="29">
        <f t="shared" si="75"/>
        <v>0</v>
      </c>
      <c r="L564" s="33">
        <f>SUMIFS(실시간콜입력!$K:$K,실시간콜입력!$B:$B,$A564,실시간콜입력!$G:$G,$B564,실시간콜입력!$O:$O,"방문완료")+SUMIFS(실시간콜입력!$L:$L,실시간콜입력!$B:$B,$A564,실시간콜입력!$H:$H,$B564,실시간콜입력!$O:$O,"방문완료")</f>
        <v>0</v>
      </c>
      <c r="M564" s="29" t="str">
        <f t="shared" si="76"/>
        <v/>
      </c>
      <c r="N564" s="29"/>
    </row>
    <row r="565" spans="1:14" ht="19.5" hidden="1" customHeight="1" outlineLevel="1">
      <c r="A565" s="24">
        <f>IF(11&lt;=DAY(DATE(YEAR(설정_코스수당!$K$2),MONTH(설정_코스수당!$K$2)+1,0)),DATE(YEAR(설정_코스수당!$K$2),MONTH(설정_코스수당!$K$2),11),"")</f>
        <v>46184</v>
      </c>
      <c r="B565" s="23" t="s">
        <v>201</v>
      </c>
      <c r="C565" s="29"/>
      <c r="D565" s="29"/>
      <c r="E565" s="29" t="str">
        <f t="shared" si="74"/>
        <v/>
      </c>
      <c r="F565" s="29">
        <f>COUNTIFS(실시간콜입력!$B:$B,$A565,실시간콜입력!$E:$E,"A",실시간콜입력!$G:$G,$B565,실시간콜입력!$O:$O,"방문완료")+COUNTIFS(실시간콜입력!$B:$B,$A565,실시간콜입력!$E:$E,"A",실시간콜입력!$H:$H,$B565,실시간콜입력!$O:$O,"방문완료")</f>
        <v>0</v>
      </c>
      <c r="G565" s="29">
        <f>COUNTIFS(실시간콜입력!$B:$B,$A565,실시간콜입력!$E:$E,"B",실시간콜입력!$G:$G,$B565,실시간콜입력!$O:$O,"방문완료")+COUNTIFS(실시간콜입력!$B:$B,$A565,실시간콜입력!$E:$E,"B",실시간콜입력!$H:$H,$B565,실시간콜입력!$O:$O,"방문완료")</f>
        <v>0</v>
      </c>
      <c r="H565" s="29">
        <f>COUNTIFS(실시간콜입력!$B:$B,$A565,실시간콜입력!$E:$E,"C",실시간콜입력!$G:$G,$B565,실시간콜입력!$O:$O,"방문완료")+COUNTIFS(실시간콜입력!$B:$B,$A565,실시간콜입력!$E:$E,"C",실시간콜입력!$H:$H,$B565,실시간콜입력!$O:$O,"방문완료")</f>
        <v>0</v>
      </c>
      <c r="I565" s="29">
        <f>COUNTIFS(실시간콜입력!$B:$B,$A565,실시간콜입력!$E:$E,"D",실시간콜입력!$G:$G,$B565,실시간콜입력!$O:$O,"방문완료")+COUNTIFS(실시간콜입력!$B:$B,$A565,실시간콜입력!$E:$E,"D",실시간콜입력!$H:$H,$B565,실시간콜입력!$O:$O,"방문완료")</f>
        <v>0</v>
      </c>
      <c r="J565" s="29">
        <f>COUNTIFS(실시간콜입력!$B:$B,$A565,실시간콜입력!$E:$E,"E",실시간콜입력!$G:$G,$B565,실시간콜입력!$O:$O,"방문완료")+COUNTIFS(실시간콜입력!$B:$B,$A565,실시간콜입력!$E:$E,"E",실시간콜입력!$H:$H,$B565,실시간콜입력!$O:$O,"방문완료")</f>
        <v>0</v>
      </c>
      <c r="K565" s="29">
        <f t="shared" si="75"/>
        <v>0</v>
      </c>
      <c r="L565" s="27">
        <f>SUMIFS(실시간콜입력!$K:$K,실시간콜입력!$B:$B,$A565,실시간콜입력!$G:$G,$B565,실시간콜입력!$O:$O,"방문완료")+SUMIFS(실시간콜입력!$L:$L,실시간콜입력!$B:$B,$A565,실시간콜입력!$H:$H,$B565,실시간콜입력!$O:$O,"방문완료")</f>
        <v>0</v>
      </c>
      <c r="M565" s="29" t="str">
        <f t="shared" si="76"/>
        <v/>
      </c>
      <c r="N565" s="29"/>
    </row>
    <row r="566" spans="1:14" ht="19.5" hidden="1" customHeight="1" outlineLevel="1">
      <c r="A566" s="30">
        <f>IF(11&lt;=DAY(DATE(YEAR(설정_코스수당!$K$2),MONTH(설정_코스수당!$K$2)+1,0)),DATE(YEAR(설정_코스수당!$K$2),MONTH(설정_코스수당!$K$2),11),"")</f>
        <v>46184</v>
      </c>
      <c r="B566" s="29" t="s">
        <v>202</v>
      </c>
      <c r="C566" s="29"/>
      <c r="D566" s="29"/>
      <c r="E566" s="29" t="str">
        <f t="shared" si="74"/>
        <v/>
      </c>
      <c r="F566" s="29">
        <f>COUNTIFS(실시간콜입력!$B:$B,$A566,실시간콜입력!$E:$E,"A",실시간콜입력!$G:$G,$B566,실시간콜입력!$O:$O,"방문완료")+COUNTIFS(실시간콜입력!$B:$B,$A566,실시간콜입력!$E:$E,"A",실시간콜입력!$H:$H,$B566,실시간콜입력!$O:$O,"방문완료")</f>
        <v>0</v>
      </c>
      <c r="G566" s="29">
        <f>COUNTIFS(실시간콜입력!$B:$B,$A566,실시간콜입력!$E:$E,"B",실시간콜입력!$G:$G,$B566,실시간콜입력!$O:$O,"방문완료")+COUNTIFS(실시간콜입력!$B:$B,$A566,실시간콜입력!$E:$E,"B",실시간콜입력!$H:$H,$B566,실시간콜입력!$O:$O,"방문완료")</f>
        <v>0</v>
      </c>
      <c r="H566" s="29">
        <f>COUNTIFS(실시간콜입력!$B:$B,$A566,실시간콜입력!$E:$E,"C",실시간콜입력!$G:$G,$B566,실시간콜입력!$O:$O,"방문완료")+COUNTIFS(실시간콜입력!$B:$B,$A566,실시간콜입력!$E:$E,"C",실시간콜입력!$H:$H,$B566,실시간콜입력!$O:$O,"방문완료")</f>
        <v>0</v>
      </c>
      <c r="I566" s="29">
        <f>COUNTIFS(실시간콜입력!$B:$B,$A566,실시간콜입력!$E:$E,"D",실시간콜입력!$G:$G,$B566,실시간콜입력!$O:$O,"방문완료")+COUNTIFS(실시간콜입력!$B:$B,$A566,실시간콜입력!$E:$E,"D",실시간콜입력!$H:$H,$B566,실시간콜입력!$O:$O,"방문완료")</f>
        <v>0</v>
      </c>
      <c r="J566" s="29">
        <f>COUNTIFS(실시간콜입력!$B:$B,$A566,실시간콜입력!$E:$E,"E",실시간콜입력!$G:$G,$B566,실시간콜입력!$O:$O,"방문완료")+COUNTIFS(실시간콜입력!$B:$B,$A566,실시간콜입력!$E:$E,"E",실시간콜입력!$H:$H,$B566,실시간콜입력!$O:$O,"방문완료")</f>
        <v>0</v>
      </c>
      <c r="K566" s="29">
        <f t="shared" si="75"/>
        <v>0</v>
      </c>
      <c r="L566" s="33">
        <f>SUMIFS(실시간콜입력!$K:$K,실시간콜입력!$B:$B,$A566,실시간콜입력!$G:$G,$B566,실시간콜입력!$O:$O,"방문완료")+SUMIFS(실시간콜입력!$L:$L,실시간콜입력!$B:$B,$A566,실시간콜입력!$H:$H,$B566,실시간콜입력!$O:$O,"방문완료")</f>
        <v>0</v>
      </c>
      <c r="M566" s="29" t="str">
        <f t="shared" si="76"/>
        <v/>
      </c>
      <c r="N566" s="29"/>
    </row>
    <row r="567" spans="1:14" ht="19.5" hidden="1" customHeight="1" outlineLevel="1">
      <c r="A567" s="24">
        <f>IF(11&lt;=DAY(DATE(YEAR(설정_코스수당!$K$2),MONTH(설정_코스수당!$K$2)+1,0)),DATE(YEAR(설정_코스수당!$K$2),MONTH(설정_코스수당!$K$2),11),"")</f>
        <v>46184</v>
      </c>
      <c r="B567" s="23" t="s">
        <v>203</v>
      </c>
      <c r="C567" s="29"/>
      <c r="D567" s="29"/>
      <c r="E567" s="29" t="str">
        <f t="shared" si="74"/>
        <v/>
      </c>
      <c r="F567" s="29">
        <f>COUNTIFS(실시간콜입력!$B:$B,$A567,실시간콜입력!$E:$E,"A",실시간콜입력!$G:$G,$B567,실시간콜입력!$O:$O,"방문완료")+COUNTIFS(실시간콜입력!$B:$B,$A567,실시간콜입력!$E:$E,"A",실시간콜입력!$H:$H,$B567,실시간콜입력!$O:$O,"방문완료")</f>
        <v>0</v>
      </c>
      <c r="G567" s="29">
        <f>COUNTIFS(실시간콜입력!$B:$B,$A567,실시간콜입력!$E:$E,"B",실시간콜입력!$G:$G,$B567,실시간콜입력!$O:$O,"방문완료")+COUNTIFS(실시간콜입력!$B:$B,$A567,실시간콜입력!$E:$E,"B",실시간콜입력!$H:$H,$B567,실시간콜입력!$O:$O,"방문완료")</f>
        <v>0</v>
      </c>
      <c r="H567" s="29">
        <f>COUNTIFS(실시간콜입력!$B:$B,$A567,실시간콜입력!$E:$E,"C",실시간콜입력!$G:$G,$B567,실시간콜입력!$O:$O,"방문완료")+COUNTIFS(실시간콜입력!$B:$B,$A567,실시간콜입력!$E:$E,"C",실시간콜입력!$H:$H,$B567,실시간콜입력!$O:$O,"방문완료")</f>
        <v>0</v>
      </c>
      <c r="I567" s="29">
        <f>COUNTIFS(실시간콜입력!$B:$B,$A567,실시간콜입력!$E:$E,"D",실시간콜입력!$G:$G,$B567,실시간콜입력!$O:$O,"방문완료")+COUNTIFS(실시간콜입력!$B:$B,$A567,실시간콜입력!$E:$E,"D",실시간콜입력!$H:$H,$B567,실시간콜입력!$O:$O,"방문완료")</f>
        <v>0</v>
      </c>
      <c r="J567" s="29">
        <f>COUNTIFS(실시간콜입력!$B:$B,$A567,실시간콜입력!$E:$E,"E",실시간콜입력!$G:$G,$B567,실시간콜입력!$O:$O,"방문완료")+COUNTIFS(실시간콜입력!$B:$B,$A567,실시간콜입력!$E:$E,"E",실시간콜입력!$H:$H,$B567,실시간콜입력!$O:$O,"방문완료")</f>
        <v>0</v>
      </c>
      <c r="K567" s="29">
        <f t="shared" si="75"/>
        <v>0</v>
      </c>
      <c r="L567" s="27">
        <f>SUMIFS(실시간콜입력!$K:$K,실시간콜입력!$B:$B,$A567,실시간콜입력!$G:$G,$B567,실시간콜입력!$O:$O,"방문완료")+SUMIFS(실시간콜입력!$L:$L,실시간콜입력!$B:$B,$A567,실시간콜입력!$H:$H,$B567,실시간콜입력!$O:$O,"방문완료")</f>
        <v>0</v>
      </c>
      <c r="M567" s="29" t="str">
        <f t="shared" si="76"/>
        <v/>
      </c>
      <c r="N567" s="29"/>
    </row>
    <row r="568" spans="1:14" ht="19.5" hidden="1" customHeight="1" outlineLevel="1">
      <c r="A568" s="30">
        <f>IF(11&lt;=DAY(DATE(YEAR(설정_코스수당!$K$2),MONTH(설정_코스수당!$K$2)+1,0)),DATE(YEAR(설정_코스수당!$K$2),MONTH(설정_코스수당!$K$2),11),"")</f>
        <v>46184</v>
      </c>
      <c r="B568" s="29" t="s">
        <v>204</v>
      </c>
      <c r="C568" s="29"/>
      <c r="D568" s="29"/>
      <c r="E568" s="29" t="str">
        <f t="shared" si="74"/>
        <v/>
      </c>
      <c r="F568" s="29">
        <f>COUNTIFS(실시간콜입력!$B:$B,$A568,실시간콜입력!$E:$E,"A",실시간콜입력!$G:$G,$B568,실시간콜입력!$O:$O,"방문완료")+COUNTIFS(실시간콜입력!$B:$B,$A568,실시간콜입력!$E:$E,"A",실시간콜입력!$H:$H,$B568,실시간콜입력!$O:$O,"방문완료")</f>
        <v>0</v>
      </c>
      <c r="G568" s="29">
        <f>COUNTIFS(실시간콜입력!$B:$B,$A568,실시간콜입력!$E:$E,"B",실시간콜입력!$G:$G,$B568,실시간콜입력!$O:$O,"방문완료")+COUNTIFS(실시간콜입력!$B:$B,$A568,실시간콜입력!$E:$E,"B",실시간콜입력!$H:$H,$B568,실시간콜입력!$O:$O,"방문완료")</f>
        <v>0</v>
      </c>
      <c r="H568" s="29">
        <f>COUNTIFS(실시간콜입력!$B:$B,$A568,실시간콜입력!$E:$E,"C",실시간콜입력!$G:$G,$B568,실시간콜입력!$O:$O,"방문완료")+COUNTIFS(실시간콜입력!$B:$B,$A568,실시간콜입력!$E:$E,"C",실시간콜입력!$H:$H,$B568,실시간콜입력!$O:$O,"방문완료")</f>
        <v>0</v>
      </c>
      <c r="I568" s="29">
        <f>COUNTIFS(실시간콜입력!$B:$B,$A568,실시간콜입력!$E:$E,"D",실시간콜입력!$G:$G,$B568,실시간콜입력!$O:$O,"방문완료")+COUNTIFS(실시간콜입력!$B:$B,$A568,실시간콜입력!$E:$E,"D",실시간콜입력!$H:$H,$B568,실시간콜입력!$O:$O,"방문완료")</f>
        <v>0</v>
      </c>
      <c r="J568" s="29">
        <f>COUNTIFS(실시간콜입력!$B:$B,$A568,실시간콜입력!$E:$E,"E",실시간콜입력!$G:$G,$B568,실시간콜입력!$O:$O,"방문완료")+COUNTIFS(실시간콜입력!$B:$B,$A568,실시간콜입력!$E:$E,"E",실시간콜입력!$H:$H,$B568,실시간콜입력!$O:$O,"방문완료")</f>
        <v>0</v>
      </c>
      <c r="K568" s="29">
        <f t="shared" si="75"/>
        <v>0</v>
      </c>
      <c r="L568" s="33">
        <f>SUMIFS(실시간콜입력!$K:$K,실시간콜입력!$B:$B,$A568,실시간콜입력!$G:$G,$B568,실시간콜입력!$O:$O,"방문완료")+SUMIFS(실시간콜입력!$L:$L,실시간콜입력!$B:$B,$A568,실시간콜입력!$H:$H,$B568,실시간콜입력!$O:$O,"방문완료")</f>
        <v>0</v>
      </c>
      <c r="M568" s="29" t="str">
        <f t="shared" si="76"/>
        <v/>
      </c>
      <c r="N568" s="29"/>
    </row>
    <row r="569" spans="1:14" ht="19.5" hidden="1" customHeight="1" outlineLevel="1">
      <c r="A569" s="24">
        <f>IF(11&lt;=DAY(DATE(YEAR(설정_코스수당!$K$2),MONTH(설정_코스수당!$K$2)+1,0)),DATE(YEAR(설정_코스수당!$K$2),MONTH(설정_코스수당!$K$2),11),"")</f>
        <v>46184</v>
      </c>
      <c r="B569" s="23" t="s">
        <v>205</v>
      </c>
      <c r="C569" s="29"/>
      <c r="D569" s="29"/>
      <c r="E569" s="29" t="str">
        <f t="shared" si="74"/>
        <v/>
      </c>
      <c r="F569" s="29">
        <f>COUNTIFS(실시간콜입력!$B:$B,$A569,실시간콜입력!$E:$E,"A",실시간콜입력!$G:$G,$B569,실시간콜입력!$O:$O,"방문완료")+COUNTIFS(실시간콜입력!$B:$B,$A569,실시간콜입력!$E:$E,"A",실시간콜입력!$H:$H,$B569,실시간콜입력!$O:$O,"방문완료")</f>
        <v>0</v>
      </c>
      <c r="G569" s="29">
        <f>COUNTIFS(실시간콜입력!$B:$B,$A569,실시간콜입력!$E:$E,"B",실시간콜입력!$G:$G,$B569,실시간콜입력!$O:$O,"방문완료")+COUNTIFS(실시간콜입력!$B:$B,$A569,실시간콜입력!$E:$E,"B",실시간콜입력!$H:$H,$B569,실시간콜입력!$O:$O,"방문완료")</f>
        <v>0</v>
      </c>
      <c r="H569" s="29">
        <f>COUNTIFS(실시간콜입력!$B:$B,$A569,실시간콜입력!$E:$E,"C",실시간콜입력!$G:$G,$B569,실시간콜입력!$O:$O,"방문완료")+COUNTIFS(실시간콜입력!$B:$B,$A569,실시간콜입력!$E:$E,"C",실시간콜입력!$H:$H,$B569,실시간콜입력!$O:$O,"방문완료")</f>
        <v>0</v>
      </c>
      <c r="I569" s="29">
        <f>COUNTIFS(실시간콜입력!$B:$B,$A569,실시간콜입력!$E:$E,"D",실시간콜입력!$G:$G,$B569,실시간콜입력!$O:$O,"방문완료")+COUNTIFS(실시간콜입력!$B:$B,$A569,실시간콜입력!$E:$E,"D",실시간콜입력!$H:$H,$B569,실시간콜입력!$O:$O,"방문완료")</f>
        <v>0</v>
      </c>
      <c r="J569" s="29">
        <f>COUNTIFS(실시간콜입력!$B:$B,$A569,실시간콜입력!$E:$E,"E",실시간콜입력!$G:$G,$B569,실시간콜입력!$O:$O,"방문완료")+COUNTIFS(실시간콜입력!$B:$B,$A569,실시간콜입력!$E:$E,"E",실시간콜입력!$H:$H,$B569,실시간콜입력!$O:$O,"방문완료")</f>
        <v>0</v>
      </c>
      <c r="K569" s="29">
        <f t="shared" si="75"/>
        <v>0</v>
      </c>
      <c r="L569" s="27">
        <f>SUMIFS(실시간콜입력!$K:$K,실시간콜입력!$B:$B,$A569,실시간콜입력!$G:$G,$B569,실시간콜입력!$O:$O,"방문완료")+SUMIFS(실시간콜입력!$L:$L,실시간콜입력!$B:$B,$A569,실시간콜입력!$H:$H,$B569,실시간콜입력!$O:$O,"방문완료")</f>
        <v>0</v>
      </c>
      <c r="M569" s="29" t="str">
        <f t="shared" si="76"/>
        <v/>
      </c>
      <c r="N569" s="29"/>
    </row>
    <row r="570" spans="1:14" ht="19.5" hidden="1" customHeight="1" outlineLevel="1">
      <c r="A570" s="30">
        <f>IF(11&lt;=DAY(DATE(YEAR(설정_코스수당!$K$2),MONTH(설정_코스수당!$K$2)+1,0)),DATE(YEAR(설정_코스수당!$K$2),MONTH(설정_코스수당!$K$2),11),"")</f>
        <v>46184</v>
      </c>
      <c r="B570" s="29" t="s">
        <v>206</v>
      </c>
      <c r="C570" s="29"/>
      <c r="D570" s="29"/>
      <c r="E570" s="29" t="str">
        <f t="shared" si="74"/>
        <v/>
      </c>
      <c r="F570" s="29">
        <f>COUNTIFS(실시간콜입력!$B:$B,$A570,실시간콜입력!$E:$E,"A",실시간콜입력!$G:$G,$B570,실시간콜입력!$O:$O,"방문완료")+COUNTIFS(실시간콜입력!$B:$B,$A570,실시간콜입력!$E:$E,"A",실시간콜입력!$H:$H,$B570,실시간콜입력!$O:$O,"방문완료")</f>
        <v>0</v>
      </c>
      <c r="G570" s="29">
        <f>COUNTIFS(실시간콜입력!$B:$B,$A570,실시간콜입력!$E:$E,"B",실시간콜입력!$G:$G,$B570,실시간콜입력!$O:$O,"방문완료")+COUNTIFS(실시간콜입력!$B:$B,$A570,실시간콜입력!$E:$E,"B",실시간콜입력!$H:$H,$B570,실시간콜입력!$O:$O,"방문완료")</f>
        <v>0</v>
      </c>
      <c r="H570" s="29">
        <f>COUNTIFS(실시간콜입력!$B:$B,$A570,실시간콜입력!$E:$E,"C",실시간콜입력!$G:$G,$B570,실시간콜입력!$O:$O,"방문완료")+COUNTIFS(실시간콜입력!$B:$B,$A570,실시간콜입력!$E:$E,"C",실시간콜입력!$H:$H,$B570,실시간콜입력!$O:$O,"방문완료")</f>
        <v>0</v>
      </c>
      <c r="I570" s="29">
        <f>COUNTIFS(실시간콜입력!$B:$B,$A570,실시간콜입력!$E:$E,"D",실시간콜입력!$G:$G,$B570,실시간콜입력!$O:$O,"방문완료")+COUNTIFS(실시간콜입력!$B:$B,$A570,실시간콜입력!$E:$E,"D",실시간콜입력!$H:$H,$B570,실시간콜입력!$O:$O,"방문완료")</f>
        <v>0</v>
      </c>
      <c r="J570" s="29">
        <f>COUNTIFS(실시간콜입력!$B:$B,$A570,실시간콜입력!$E:$E,"E",실시간콜입력!$G:$G,$B570,실시간콜입력!$O:$O,"방문완료")+COUNTIFS(실시간콜입력!$B:$B,$A570,실시간콜입력!$E:$E,"E",실시간콜입력!$H:$H,$B570,실시간콜입력!$O:$O,"방문완료")</f>
        <v>0</v>
      </c>
      <c r="K570" s="29">
        <f t="shared" si="75"/>
        <v>0</v>
      </c>
      <c r="L570" s="33">
        <f>SUMIFS(실시간콜입력!$K:$K,실시간콜입력!$B:$B,$A570,실시간콜입력!$G:$G,$B570,실시간콜입력!$O:$O,"방문완료")+SUMIFS(실시간콜입력!$L:$L,실시간콜입력!$B:$B,$A570,실시간콜입력!$H:$H,$B570,실시간콜입력!$O:$O,"방문완료")</f>
        <v>0</v>
      </c>
      <c r="M570" s="29" t="str">
        <f t="shared" si="76"/>
        <v/>
      </c>
      <c r="N570" s="29"/>
    </row>
    <row r="571" spans="1:14" ht="19.5" hidden="1" customHeight="1" outlineLevel="1">
      <c r="A571" s="24">
        <f>IF(11&lt;=DAY(DATE(YEAR(설정_코스수당!$K$2),MONTH(설정_코스수당!$K$2)+1,0)),DATE(YEAR(설정_코스수당!$K$2),MONTH(설정_코스수당!$K$2),11),"")</f>
        <v>46184</v>
      </c>
      <c r="B571" s="23" t="s">
        <v>207</v>
      </c>
      <c r="C571" s="29"/>
      <c r="D571" s="29"/>
      <c r="E571" s="29" t="str">
        <f t="shared" si="74"/>
        <v/>
      </c>
      <c r="F571" s="29">
        <f>COUNTIFS(실시간콜입력!$B:$B,$A571,실시간콜입력!$E:$E,"A",실시간콜입력!$G:$G,$B571,실시간콜입력!$O:$O,"방문완료")+COUNTIFS(실시간콜입력!$B:$B,$A571,실시간콜입력!$E:$E,"A",실시간콜입력!$H:$H,$B571,실시간콜입력!$O:$O,"방문완료")</f>
        <v>0</v>
      </c>
      <c r="G571" s="29">
        <f>COUNTIFS(실시간콜입력!$B:$B,$A571,실시간콜입력!$E:$E,"B",실시간콜입력!$G:$G,$B571,실시간콜입력!$O:$O,"방문완료")+COUNTIFS(실시간콜입력!$B:$B,$A571,실시간콜입력!$E:$E,"B",실시간콜입력!$H:$H,$B571,실시간콜입력!$O:$O,"방문완료")</f>
        <v>0</v>
      </c>
      <c r="H571" s="29">
        <f>COUNTIFS(실시간콜입력!$B:$B,$A571,실시간콜입력!$E:$E,"C",실시간콜입력!$G:$G,$B571,실시간콜입력!$O:$O,"방문완료")+COUNTIFS(실시간콜입력!$B:$B,$A571,실시간콜입력!$E:$E,"C",실시간콜입력!$H:$H,$B571,실시간콜입력!$O:$O,"방문완료")</f>
        <v>0</v>
      </c>
      <c r="I571" s="29">
        <f>COUNTIFS(실시간콜입력!$B:$B,$A571,실시간콜입력!$E:$E,"D",실시간콜입력!$G:$G,$B571,실시간콜입력!$O:$O,"방문완료")+COUNTIFS(실시간콜입력!$B:$B,$A571,실시간콜입력!$E:$E,"D",실시간콜입력!$H:$H,$B571,실시간콜입력!$O:$O,"방문완료")</f>
        <v>0</v>
      </c>
      <c r="J571" s="29">
        <f>COUNTIFS(실시간콜입력!$B:$B,$A571,실시간콜입력!$E:$E,"E",실시간콜입력!$G:$G,$B571,실시간콜입력!$O:$O,"방문완료")+COUNTIFS(실시간콜입력!$B:$B,$A571,실시간콜입력!$E:$E,"E",실시간콜입력!$H:$H,$B571,실시간콜입력!$O:$O,"방문완료")</f>
        <v>0</v>
      </c>
      <c r="K571" s="29">
        <f t="shared" si="75"/>
        <v>0</v>
      </c>
      <c r="L571" s="27">
        <f>SUMIFS(실시간콜입력!$K:$K,실시간콜입력!$B:$B,$A571,실시간콜입력!$G:$G,$B571,실시간콜입력!$O:$O,"방문완료")+SUMIFS(실시간콜입력!$L:$L,실시간콜입력!$B:$B,$A571,실시간콜입력!$H:$H,$B571,실시간콜입력!$O:$O,"방문완료")</f>
        <v>0</v>
      </c>
      <c r="M571" s="29" t="str">
        <f t="shared" si="76"/>
        <v/>
      </c>
      <c r="N571" s="29"/>
    </row>
    <row r="572" spans="1:14" ht="19.5" hidden="1" customHeight="1" outlineLevel="1">
      <c r="A572" s="30">
        <f>IF(11&lt;=DAY(DATE(YEAR(설정_코스수당!$K$2),MONTH(설정_코스수당!$K$2)+1,0)),DATE(YEAR(설정_코스수당!$K$2),MONTH(설정_코스수당!$K$2),11),"")</f>
        <v>46184</v>
      </c>
      <c r="B572" s="29" t="s">
        <v>208</v>
      </c>
      <c r="C572" s="29"/>
      <c r="D572" s="29"/>
      <c r="E572" s="29" t="str">
        <f t="shared" si="74"/>
        <v/>
      </c>
      <c r="F572" s="29">
        <f>COUNTIFS(실시간콜입력!$B:$B,$A572,실시간콜입력!$E:$E,"A",실시간콜입력!$G:$G,$B572,실시간콜입력!$O:$O,"방문완료")+COUNTIFS(실시간콜입력!$B:$B,$A572,실시간콜입력!$E:$E,"A",실시간콜입력!$H:$H,$B572,실시간콜입력!$O:$O,"방문완료")</f>
        <v>0</v>
      </c>
      <c r="G572" s="29">
        <f>COUNTIFS(실시간콜입력!$B:$B,$A572,실시간콜입력!$E:$E,"B",실시간콜입력!$G:$G,$B572,실시간콜입력!$O:$O,"방문완료")+COUNTIFS(실시간콜입력!$B:$B,$A572,실시간콜입력!$E:$E,"B",실시간콜입력!$H:$H,$B572,실시간콜입력!$O:$O,"방문완료")</f>
        <v>0</v>
      </c>
      <c r="H572" s="29">
        <f>COUNTIFS(실시간콜입력!$B:$B,$A572,실시간콜입력!$E:$E,"C",실시간콜입력!$G:$G,$B572,실시간콜입력!$O:$O,"방문완료")+COUNTIFS(실시간콜입력!$B:$B,$A572,실시간콜입력!$E:$E,"C",실시간콜입력!$H:$H,$B572,실시간콜입력!$O:$O,"방문완료")</f>
        <v>0</v>
      </c>
      <c r="I572" s="29">
        <f>COUNTIFS(실시간콜입력!$B:$B,$A572,실시간콜입력!$E:$E,"D",실시간콜입력!$G:$G,$B572,실시간콜입력!$O:$O,"방문완료")+COUNTIFS(실시간콜입력!$B:$B,$A572,실시간콜입력!$E:$E,"D",실시간콜입력!$H:$H,$B572,실시간콜입력!$O:$O,"방문완료")</f>
        <v>0</v>
      </c>
      <c r="J572" s="29">
        <f>COUNTIFS(실시간콜입력!$B:$B,$A572,실시간콜입력!$E:$E,"E",실시간콜입력!$G:$G,$B572,실시간콜입력!$O:$O,"방문완료")+COUNTIFS(실시간콜입력!$B:$B,$A572,실시간콜입력!$E:$E,"E",실시간콜입력!$H:$H,$B572,실시간콜입력!$O:$O,"방문완료")</f>
        <v>0</v>
      </c>
      <c r="K572" s="29">
        <f t="shared" si="75"/>
        <v>0</v>
      </c>
      <c r="L572" s="33">
        <f>SUMIFS(실시간콜입력!$K:$K,실시간콜입력!$B:$B,$A572,실시간콜입력!$G:$G,$B572,실시간콜입력!$O:$O,"방문완료")+SUMIFS(실시간콜입력!$L:$L,실시간콜입력!$B:$B,$A572,실시간콜입력!$H:$H,$B572,실시간콜입력!$O:$O,"방문완료")</f>
        <v>0</v>
      </c>
      <c r="M572" s="29" t="str">
        <f t="shared" si="76"/>
        <v/>
      </c>
      <c r="N572" s="29"/>
    </row>
    <row r="573" spans="1:14" ht="19.5" hidden="1" customHeight="1" outlineLevel="1">
      <c r="A573" s="24">
        <f>IF(11&lt;=DAY(DATE(YEAR(설정_코스수당!$K$2),MONTH(설정_코스수당!$K$2)+1,0)),DATE(YEAR(설정_코스수당!$K$2),MONTH(설정_코스수당!$K$2),11),"")</f>
        <v>46184</v>
      </c>
      <c r="B573" s="23" t="s">
        <v>209</v>
      </c>
      <c r="C573" s="29"/>
      <c r="D573" s="29"/>
      <c r="E573" s="29" t="str">
        <f t="shared" si="74"/>
        <v/>
      </c>
      <c r="F573" s="29">
        <f>COUNTIFS(실시간콜입력!$B:$B,$A573,실시간콜입력!$E:$E,"A",실시간콜입력!$G:$G,$B573,실시간콜입력!$O:$O,"방문완료")+COUNTIFS(실시간콜입력!$B:$B,$A573,실시간콜입력!$E:$E,"A",실시간콜입력!$H:$H,$B573,실시간콜입력!$O:$O,"방문완료")</f>
        <v>0</v>
      </c>
      <c r="G573" s="29">
        <f>COUNTIFS(실시간콜입력!$B:$B,$A573,실시간콜입력!$E:$E,"B",실시간콜입력!$G:$G,$B573,실시간콜입력!$O:$O,"방문완료")+COUNTIFS(실시간콜입력!$B:$B,$A573,실시간콜입력!$E:$E,"B",실시간콜입력!$H:$H,$B573,실시간콜입력!$O:$O,"방문완료")</f>
        <v>0</v>
      </c>
      <c r="H573" s="29">
        <f>COUNTIFS(실시간콜입력!$B:$B,$A573,실시간콜입력!$E:$E,"C",실시간콜입력!$G:$G,$B573,실시간콜입력!$O:$O,"방문완료")+COUNTIFS(실시간콜입력!$B:$B,$A573,실시간콜입력!$E:$E,"C",실시간콜입력!$H:$H,$B573,실시간콜입력!$O:$O,"방문완료")</f>
        <v>0</v>
      </c>
      <c r="I573" s="29">
        <f>COUNTIFS(실시간콜입력!$B:$B,$A573,실시간콜입력!$E:$E,"D",실시간콜입력!$G:$G,$B573,실시간콜입력!$O:$O,"방문완료")+COUNTIFS(실시간콜입력!$B:$B,$A573,실시간콜입력!$E:$E,"D",실시간콜입력!$H:$H,$B573,실시간콜입력!$O:$O,"방문완료")</f>
        <v>0</v>
      </c>
      <c r="J573" s="29">
        <f>COUNTIFS(실시간콜입력!$B:$B,$A573,실시간콜입력!$E:$E,"E",실시간콜입력!$G:$G,$B573,실시간콜입력!$O:$O,"방문완료")+COUNTIFS(실시간콜입력!$B:$B,$A573,실시간콜입력!$E:$E,"E",실시간콜입력!$H:$H,$B573,실시간콜입력!$O:$O,"방문완료")</f>
        <v>0</v>
      </c>
      <c r="K573" s="29">
        <f t="shared" si="75"/>
        <v>0</v>
      </c>
      <c r="L573" s="27">
        <f>SUMIFS(실시간콜입력!$K:$K,실시간콜입력!$B:$B,$A573,실시간콜입력!$G:$G,$B573,실시간콜입력!$O:$O,"방문완료")+SUMIFS(실시간콜입력!$L:$L,실시간콜입력!$B:$B,$A573,실시간콜입력!$H:$H,$B573,실시간콜입력!$O:$O,"방문완료")</f>
        <v>0</v>
      </c>
      <c r="M573" s="29" t="str">
        <f t="shared" si="76"/>
        <v/>
      </c>
      <c r="N573" s="29"/>
    </row>
    <row r="574" spans="1:14" ht="19.5" hidden="1" customHeight="1" outlineLevel="1">
      <c r="A574" s="30">
        <f>IF(11&lt;=DAY(DATE(YEAR(설정_코스수당!$K$2),MONTH(설정_코스수당!$K$2)+1,0)),DATE(YEAR(설정_코스수당!$K$2),MONTH(설정_코스수당!$K$2),11),"")</f>
        <v>46184</v>
      </c>
      <c r="B574" s="29" t="s">
        <v>210</v>
      </c>
      <c r="C574" s="29"/>
      <c r="D574" s="29"/>
      <c r="E574" s="29" t="str">
        <f t="shared" si="74"/>
        <v/>
      </c>
      <c r="F574" s="29">
        <f>COUNTIFS(실시간콜입력!$B:$B,$A574,실시간콜입력!$E:$E,"A",실시간콜입력!$G:$G,$B574,실시간콜입력!$O:$O,"방문완료")+COUNTIFS(실시간콜입력!$B:$B,$A574,실시간콜입력!$E:$E,"A",실시간콜입력!$H:$H,$B574,실시간콜입력!$O:$O,"방문완료")</f>
        <v>0</v>
      </c>
      <c r="G574" s="29">
        <f>COUNTIFS(실시간콜입력!$B:$B,$A574,실시간콜입력!$E:$E,"B",실시간콜입력!$G:$G,$B574,실시간콜입력!$O:$O,"방문완료")+COUNTIFS(실시간콜입력!$B:$B,$A574,실시간콜입력!$E:$E,"B",실시간콜입력!$H:$H,$B574,실시간콜입력!$O:$O,"방문완료")</f>
        <v>0</v>
      </c>
      <c r="H574" s="29">
        <f>COUNTIFS(실시간콜입력!$B:$B,$A574,실시간콜입력!$E:$E,"C",실시간콜입력!$G:$G,$B574,실시간콜입력!$O:$O,"방문완료")+COUNTIFS(실시간콜입력!$B:$B,$A574,실시간콜입력!$E:$E,"C",실시간콜입력!$H:$H,$B574,실시간콜입력!$O:$O,"방문완료")</f>
        <v>0</v>
      </c>
      <c r="I574" s="29">
        <f>COUNTIFS(실시간콜입력!$B:$B,$A574,실시간콜입력!$E:$E,"D",실시간콜입력!$G:$G,$B574,실시간콜입력!$O:$O,"방문완료")+COUNTIFS(실시간콜입력!$B:$B,$A574,실시간콜입력!$E:$E,"D",실시간콜입력!$H:$H,$B574,실시간콜입력!$O:$O,"방문완료")</f>
        <v>0</v>
      </c>
      <c r="J574" s="29">
        <f>COUNTIFS(실시간콜입력!$B:$B,$A574,실시간콜입력!$E:$E,"E",실시간콜입력!$G:$G,$B574,실시간콜입력!$O:$O,"방문완료")+COUNTIFS(실시간콜입력!$B:$B,$A574,실시간콜입력!$E:$E,"E",실시간콜입력!$H:$H,$B574,실시간콜입력!$O:$O,"방문완료")</f>
        <v>0</v>
      </c>
      <c r="K574" s="29">
        <f t="shared" si="75"/>
        <v>0</v>
      </c>
      <c r="L574" s="33">
        <f>SUMIFS(실시간콜입력!$K:$K,실시간콜입력!$B:$B,$A574,실시간콜입력!$G:$G,$B574,실시간콜입력!$O:$O,"방문완료")+SUMIFS(실시간콜입력!$L:$L,실시간콜입력!$B:$B,$A574,실시간콜입력!$H:$H,$B574,실시간콜입력!$O:$O,"방문완료")</f>
        <v>0</v>
      </c>
      <c r="M574" s="29" t="str">
        <f t="shared" si="76"/>
        <v/>
      </c>
      <c r="N574" s="29"/>
    </row>
    <row r="575" spans="1:14" ht="19.5" hidden="1" customHeight="1" outlineLevel="1">
      <c r="A575" s="24">
        <f>IF(11&lt;=DAY(DATE(YEAR(설정_코스수당!$K$2),MONTH(설정_코스수당!$K$2)+1,0)),DATE(YEAR(설정_코스수당!$K$2),MONTH(설정_코스수당!$K$2),11),"")</f>
        <v>46184</v>
      </c>
      <c r="B575" s="23" t="s">
        <v>211</v>
      </c>
      <c r="C575" s="29"/>
      <c r="D575" s="29"/>
      <c r="E575" s="29" t="str">
        <f t="shared" si="74"/>
        <v/>
      </c>
      <c r="F575" s="29">
        <f>COUNTIFS(실시간콜입력!$B:$B,$A575,실시간콜입력!$E:$E,"A",실시간콜입력!$G:$G,$B575,실시간콜입력!$O:$O,"방문완료")+COUNTIFS(실시간콜입력!$B:$B,$A575,실시간콜입력!$E:$E,"A",실시간콜입력!$H:$H,$B575,실시간콜입력!$O:$O,"방문완료")</f>
        <v>0</v>
      </c>
      <c r="G575" s="29">
        <f>COUNTIFS(실시간콜입력!$B:$B,$A575,실시간콜입력!$E:$E,"B",실시간콜입력!$G:$G,$B575,실시간콜입력!$O:$O,"방문완료")+COUNTIFS(실시간콜입력!$B:$B,$A575,실시간콜입력!$E:$E,"B",실시간콜입력!$H:$H,$B575,실시간콜입력!$O:$O,"방문완료")</f>
        <v>0</v>
      </c>
      <c r="H575" s="29">
        <f>COUNTIFS(실시간콜입력!$B:$B,$A575,실시간콜입력!$E:$E,"C",실시간콜입력!$G:$G,$B575,실시간콜입력!$O:$O,"방문완료")+COUNTIFS(실시간콜입력!$B:$B,$A575,실시간콜입력!$E:$E,"C",실시간콜입력!$H:$H,$B575,실시간콜입력!$O:$O,"방문완료")</f>
        <v>0</v>
      </c>
      <c r="I575" s="29">
        <f>COUNTIFS(실시간콜입력!$B:$B,$A575,실시간콜입력!$E:$E,"D",실시간콜입력!$G:$G,$B575,실시간콜입력!$O:$O,"방문완료")+COUNTIFS(실시간콜입력!$B:$B,$A575,실시간콜입력!$E:$E,"D",실시간콜입력!$H:$H,$B575,실시간콜입력!$O:$O,"방문완료")</f>
        <v>0</v>
      </c>
      <c r="J575" s="29">
        <f>COUNTIFS(실시간콜입력!$B:$B,$A575,실시간콜입력!$E:$E,"E",실시간콜입력!$G:$G,$B575,실시간콜입력!$O:$O,"방문완료")+COUNTIFS(실시간콜입력!$B:$B,$A575,실시간콜입력!$E:$E,"E",실시간콜입력!$H:$H,$B575,실시간콜입력!$O:$O,"방문완료")</f>
        <v>0</v>
      </c>
      <c r="K575" s="29">
        <f t="shared" si="75"/>
        <v>0</v>
      </c>
      <c r="L575" s="27">
        <f>SUMIFS(실시간콜입력!$K:$K,실시간콜입력!$B:$B,$A575,실시간콜입력!$G:$G,$B575,실시간콜입력!$O:$O,"방문완료")+SUMIFS(실시간콜입력!$L:$L,실시간콜입력!$B:$B,$A575,실시간콜입력!$H:$H,$B575,실시간콜입력!$O:$O,"방문완료")</f>
        <v>0</v>
      </c>
      <c r="M575" s="29" t="str">
        <f t="shared" si="76"/>
        <v/>
      </c>
      <c r="N575" s="29"/>
    </row>
    <row r="576" spans="1:14" ht="19.5" hidden="1" customHeight="1" outlineLevel="1">
      <c r="A576" s="30">
        <f>IF(11&lt;=DAY(DATE(YEAR(설정_코스수당!$K$2),MONTH(설정_코스수당!$K$2)+1,0)),DATE(YEAR(설정_코스수당!$K$2),MONTH(설정_코스수당!$K$2),11),"")</f>
        <v>46184</v>
      </c>
      <c r="B576" s="29" t="s">
        <v>212</v>
      </c>
      <c r="C576" s="29"/>
      <c r="D576" s="29"/>
      <c r="E576" s="29" t="str">
        <f t="shared" si="74"/>
        <v/>
      </c>
      <c r="F576" s="29">
        <f>COUNTIFS(실시간콜입력!$B:$B,$A576,실시간콜입력!$E:$E,"A",실시간콜입력!$G:$G,$B576,실시간콜입력!$O:$O,"방문완료")+COUNTIFS(실시간콜입력!$B:$B,$A576,실시간콜입력!$E:$E,"A",실시간콜입력!$H:$H,$B576,실시간콜입력!$O:$O,"방문완료")</f>
        <v>0</v>
      </c>
      <c r="G576" s="29">
        <f>COUNTIFS(실시간콜입력!$B:$B,$A576,실시간콜입력!$E:$E,"B",실시간콜입력!$G:$G,$B576,실시간콜입력!$O:$O,"방문완료")+COUNTIFS(실시간콜입력!$B:$B,$A576,실시간콜입력!$E:$E,"B",실시간콜입력!$H:$H,$B576,실시간콜입력!$O:$O,"방문완료")</f>
        <v>0</v>
      </c>
      <c r="H576" s="29">
        <f>COUNTIFS(실시간콜입력!$B:$B,$A576,실시간콜입력!$E:$E,"C",실시간콜입력!$G:$G,$B576,실시간콜입력!$O:$O,"방문완료")+COUNTIFS(실시간콜입력!$B:$B,$A576,실시간콜입력!$E:$E,"C",실시간콜입력!$H:$H,$B576,실시간콜입력!$O:$O,"방문완료")</f>
        <v>0</v>
      </c>
      <c r="I576" s="29">
        <f>COUNTIFS(실시간콜입력!$B:$B,$A576,실시간콜입력!$E:$E,"D",실시간콜입력!$G:$G,$B576,실시간콜입력!$O:$O,"방문완료")+COUNTIFS(실시간콜입력!$B:$B,$A576,실시간콜입력!$E:$E,"D",실시간콜입력!$H:$H,$B576,실시간콜입력!$O:$O,"방문완료")</f>
        <v>0</v>
      </c>
      <c r="J576" s="29">
        <f>COUNTIFS(실시간콜입력!$B:$B,$A576,실시간콜입력!$E:$E,"E",실시간콜입력!$G:$G,$B576,실시간콜입력!$O:$O,"방문완료")+COUNTIFS(실시간콜입력!$B:$B,$A576,실시간콜입력!$E:$E,"E",실시간콜입력!$H:$H,$B576,실시간콜입력!$O:$O,"방문완료")</f>
        <v>0</v>
      </c>
      <c r="K576" s="29">
        <f t="shared" si="75"/>
        <v>0</v>
      </c>
      <c r="L576" s="33">
        <f>SUMIFS(실시간콜입력!$K:$K,실시간콜입력!$B:$B,$A576,실시간콜입력!$G:$G,$B576,실시간콜입력!$O:$O,"방문완료")+SUMIFS(실시간콜입력!$L:$L,실시간콜입력!$B:$B,$A576,실시간콜입력!$H:$H,$B576,실시간콜입력!$O:$O,"방문완료")</f>
        <v>0</v>
      </c>
      <c r="M576" s="29" t="str">
        <f t="shared" si="76"/>
        <v/>
      </c>
      <c r="N576" s="29"/>
    </row>
    <row r="577" spans="1:14" ht="21.75" customHeight="1" collapsed="1">
      <c r="A577" s="64">
        <f>IF(12&lt;=DAY(DATE(YEAR(설정_코스수당!$K$2),MONTH(설정_코스수당!$K$2)+1,0)),DATE(YEAR(설정_코스수당!$K$2),MONTH(설정_코스수당!$K$2),12),"")</f>
        <v>46185</v>
      </c>
      <c r="B577" s="65" t="str">
        <f>IF(A577="","","출근 "&amp;COUNTIF(C579:C628,"&lt;&gt;")&amp;"명")</f>
        <v>출근 0명</v>
      </c>
      <c r="C577" s="65" t="str">
        <f>IF(A577="","","만근 "&amp;COUNTIF(M579:M628,"인정")&amp;"명")</f>
        <v>만근 0명</v>
      </c>
      <c r="D577" s="65" t="str">
        <f>IFERROR("평균 "&amp;TEXT(AVERAGEIF(E579:E628,"&gt;0",E579:E628),"0.0")&amp;"h","평균 -")</f>
        <v>평균 -</v>
      </c>
      <c r="E577" s="65" t="s">
        <v>163</v>
      </c>
      <c r="F577" s="65">
        <f t="shared" ref="F577:L577" si="77">SUM(F579:F628)</f>
        <v>0</v>
      </c>
      <c r="G577" s="65">
        <f t="shared" si="77"/>
        <v>0</v>
      </c>
      <c r="H577" s="65">
        <f t="shared" si="77"/>
        <v>0</v>
      </c>
      <c r="I577" s="65">
        <f t="shared" si="77"/>
        <v>0</v>
      </c>
      <c r="J577" s="65">
        <f t="shared" si="77"/>
        <v>0</v>
      </c>
      <c r="K577" s="65">
        <f t="shared" si="77"/>
        <v>0</v>
      </c>
      <c r="L577" s="66">
        <f t="shared" si="77"/>
        <v>0</v>
      </c>
      <c r="M577" s="65">
        <f>COUNTIF(M579:M628,"인정")</f>
        <v>0</v>
      </c>
      <c r="N577" s="65" t="s">
        <v>164</v>
      </c>
    </row>
    <row r="578" spans="1:14" ht="19.5" hidden="1" customHeight="1" outlineLevel="1">
      <c r="A578" s="20" t="s">
        <v>42</v>
      </c>
      <c r="B578" s="20" t="s">
        <v>152</v>
      </c>
      <c r="C578" s="20" t="s">
        <v>153</v>
      </c>
      <c r="D578" s="20" t="s">
        <v>154</v>
      </c>
      <c r="E578" s="20" t="s">
        <v>155</v>
      </c>
      <c r="F578" s="20" t="s">
        <v>156</v>
      </c>
      <c r="G578" s="20" t="s">
        <v>157</v>
      </c>
      <c r="H578" s="20" t="s">
        <v>158</v>
      </c>
      <c r="I578" s="20" t="s">
        <v>159</v>
      </c>
      <c r="J578" s="20" t="s">
        <v>160</v>
      </c>
      <c r="K578" s="20" t="s">
        <v>118</v>
      </c>
      <c r="L578" s="20" t="s">
        <v>161</v>
      </c>
      <c r="M578" s="20" t="s">
        <v>162</v>
      </c>
      <c r="N578" s="20" t="s">
        <v>95</v>
      </c>
    </row>
    <row r="579" spans="1:14" ht="19.5" hidden="1" customHeight="1" outlineLevel="1">
      <c r="A579" s="24">
        <f>IF(12&lt;=DAY(DATE(YEAR(설정_코스수당!$K$2),MONTH(설정_코스수당!$K$2)+1,0)),DATE(YEAR(설정_코스수당!$K$2),MONTH(설정_코스수당!$K$2),12),"")</f>
        <v>46185</v>
      </c>
      <c r="B579" s="23" t="s">
        <v>47</v>
      </c>
      <c r="C579" s="23"/>
      <c r="D579" s="23"/>
      <c r="E579" s="23" t="str">
        <f t="shared" ref="E579:E610" si="78">IF(AND(C579&lt;&gt;"",D579&lt;&gt;""),IF(D579&lt;C579,D579+1-C579,D579-C579)*24,"")</f>
        <v/>
      </c>
      <c r="F579" s="23">
        <f>COUNTIFS(실시간콜입력!$B:$B,$A579,실시간콜입력!$E:$E,"A",실시간콜입력!$G:$G,$B579,실시간콜입력!$O:$O,"방문완료")+COUNTIFS(실시간콜입력!$B:$B,$A579,실시간콜입력!$E:$E,"A",실시간콜입력!$H:$H,$B579,실시간콜입력!$O:$O,"방문완료")</f>
        <v>0</v>
      </c>
      <c r="G579" s="23">
        <f>COUNTIFS(실시간콜입력!$B:$B,$A579,실시간콜입력!$E:$E,"B",실시간콜입력!$G:$G,$B579,실시간콜입력!$O:$O,"방문완료")+COUNTIFS(실시간콜입력!$B:$B,$A579,실시간콜입력!$E:$E,"B",실시간콜입력!$H:$H,$B579,실시간콜입력!$O:$O,"방문완료")</f>
        <v>0</v>
      </c>
      <c r="H579" s="23">
        <f>COUNTIFS(실시간콜입력!$B:$B,$A579,실시간콜입력!$E:$E,"C",실시간콜입력!$G:$G,$B579,실시간콜입력!$O:$O,"방문완료")+COUNTIFS(실시간콜입력!$B:$B,$A579,실시간콜입력!$E:$E,"C",실시간콜입력!$H:$H,$B579,실시간콜입력!$O:$O,"방문완료")</f>
        <v>0</v>
      </c>
      <c r="I579" s="23">
        <f>COUNTIFS(실시간콜입력!$B:$B,$A579,실시간콜입력!$E:$E,"D",실시간콜입력!$G:$G,$B579,실시간콜입력!$O:$O,"방문완료")+COUNTIFS(실시간콜입력!$B:$B,$A579,실시간콜입력!$E:$E,"D",실시간콜입력!$H:$H,$B579,실시간콜입력!$O:$O,"방문완료")</f>
        <v>0</v>
      </c>
      <c r="J579" s="23">
        <f>COUNTIFS(실시간콜입력!$B:$B,$A579,실시간콜입력!$E:$E,"E",실시간콜입력!$G:$G,$B579,실시간콜입력!$O:$O,"방문완료")+COUNTIFS(실시간콜입력!$B:$B,$A579,실시간콜입력!$E:$E,"E",실시간콜입력!$H:$H,$B579,실시간콜입력!$O:$O,"방문완료")</f>
        <v>0</v>
      </c>
      <c r="K579" s="23">
        <f t="shared" ref="K579:K610" si="79">SUM(F579:J579)</f>
        <v>0</v>
      </c>
      <c r="L579" s="27">
        <f>SUMIFS(실시간콜입력!$K:$K,실시간콜입력!$B:$B,$A579,실시간콜입력!$G:$G,$B579,실시간콜입력!$O:$O,"방문완료")+SUMIFS(실시간콜입력!$L:$L,실시간콜입력!$B:$B,$A579,실시간콜입력!$H:$H,$B579,실시간콜입력!$O:$O,"방문완료")</f>
        <v>0</v>
      </c>
      <c r="M579" s="23" t="str">
        <f t="shared" ref="M579:M610" si="80">IF(AND(ISNUMBER(E579),E579&gt;=8),"인정","")</f>
        <v/>
      </c>
      <c r="N579" s="23"/>
    </row>
    <row r="580" spans="1:14" ht="19.5" hidden="1" customHeight="1" outlineLevel="1">
      <c r="A580" s="30">
        <f>IF(12&lt;=DAY(DATE(YEAR(설정_코스수당!$K$2),MONTH(설정_코스수당!$K$2)+1,0)),DATE(YEAR(설정_코스수당!$K$2),MONTH(설정_코스수당!$K$2),12),"")</f>
        <v>46185</v>
      </c>
      <c r="B580" s="29" t="s">
        <v>48</v>
      </c>
      <c r="C580" s="29"/>
      <c r="D580" s="29"/>
      <c r="E580" s="29" t="str">
        <f t="shared" si="78"/>
        <v/>
      </c>
      <c r="F580" s="29">
        <f>COUNTIFS(실시간콜입력!$B:$B,$A580,실시간콜입력!$E:$E,"A",실시간콜입력!$G:$G,$B580,실시간콜입력!$O:$O,"방문완료")+COUNTIFS(실시간콜입력!$B:$B,$A580,실시간콜입력!$E:$E,"A",실시간콜입력!$H:$H,$B580,실시간콜입력!$O:$O,"방문완료")</f>
        <v>0</v>
      </c>
      <c r="G580" s="29">
        <f>COUNTIFS(실시간콜입력!$B:$B,$A580,실시간콜입력!$E:$E,"B",실시간콜입력!$G:$G,$B580,실시간콜입력!$O:$O,"방문완료")+COUNTIFS(실시간콜입력!$B:$B,$A580,실시간콜입력!$E:$E,"B",실시간콜입력!$H:$H,$B580,실시간콜입력!$O:$O,"방문완료")</f>
        <v>0</v>
      </c>
      <c r="H580" s="29">
        <f>COUNTIFS(실시간콜입력!$B:$B,$A580,실시간콜입력!$E:$E,"C",실시간콜입력!$G:$G,$B580,실시간콜입력!$O:$O,"방문완료")+COUNTIFS(실시간콜입력!$B:$B,$A580,실시간콜입력!$E:$E,"C",실시간콜입력!$H:$H,$B580,실시간콜입력!$O:$O,"방문완료")</f>
        <v>0</v>
      </c>
      <c r="I580" s="29">
        <f>COUNTIFS(실시간콜입력!$B:$B,$A580,실시간콜입력!$E:$E,"D",실시간콜입력!$G:$G,$B580,실시간콜입력!$O:$O,"방문완료")+COUNTIFS(실시간콜입력!$B:$B,$A580,실시간콜입력!$E:$E,"D",실시간콜입력!$H:$H,$B580,실시간콜입력!$O:$O,"방문완료")</f>
        <v>0</v>
      </c>
      <c r="J580" s="29">
        <f>COUNTIFS(실시간콜입력!$B:$B,$A580,실시간콜입력!$E:$E,"E",실시간콜입력!$G:$G,$B580,실시간콜입력!$O:$O,"방문완료")+COUNTIFS(실시간콜입력!$B:$B,$A580,실시간콜입력!$E:$E,"E",실시간콜입력!$H:$H,$B580,실시간콜입력!$O:$O,"방문완료")</f>
        <v>0</v>
      </c>
      <c r="K580" s="29">
        <f t="shared" si="79"/>
        <v>0</v>
      </c>
      <c r="L580" s="33">
        <f>SUMIFS(실시간콜입력!$K:$K,실시간콜입력!$B:$B,$A580,실시간콜입력!$G:$G,$B580,실시간콜입력!$O:$O,"방문완료")+SUMIFS(실시간콜입력!$L:$L,실시간콜입력!$B:$B,$A580,실시간콜입력!$H:$H,$B580,실시간콜입력!$O:$O,"방문완료")</f>
        <v>0</v>
      </c>
      <c r="M580" s="29" t="str">
        <f t="shared" si="80"/>
        <v/>
      </c>
      <c r="N580" s="29"/>
    </row>
    <row r="581" spans="1:14" ht="19.5" hidden="1" customHeight="1" outlineLevel="1">
      <c r="A581" s="24">
        <f>IF(12&lt;=DAY(DATE(YEAR(설정_코스수당!$K$2),MONTH(설정_코스수당!$K$2)+1,0)),DATE(YEAR(설정_코스수당!$K$2),MONTH(설정_코스수당!$K$2),12),"")</f>
        <v>46185</v>
      </c>
      <c r="B581" s="23" t="s">
        <v>165</v>
      </c>
      <c r="C581" s="29"/>
      <c r="D581" s="29"/>
      <c r="E581" s="29" t="str">
        <f t="shared" si="78"/>
        <v/>
      </c>
      <c r="F581" s="29">
        <f>COUNTIFS(실시간콜입력!$B:$B,$A581,실시간콜입력!$E:$E,"A",실시간콜입력!$G:$G,$B581,실시간콜입력!$O:$O,"방문완료")+COUNTIFS(실시간콜입력!$B:$B,$A581,실시간콜입력!$E:$E,"A",실시간콜입력!$H:$H,$B581,실시간콜입력!$O:$O,"방문완료")</f>
        <v>0</v>
      </c>
      <c r="G581" s="29">
        <f>COUNTIFS(실시간콜입력!$B:$B,$A581,실시간콜입력!$E:$E,"B",실시간콜입력!$G:$G,$B581,실시간콜입력!$O:$O,"방문완료")+COUNTIFS(실시간콜입력!$B:$B,$A581,실시간콜입력!$E:$E,"B",실시간콜입력!$H:$H,$B581,실시간콜입력!$O:$O,"방문완료")</f>
        <v>0</v>
      </c>
      <c r="H581" s="29">
        <f>COUNTIFS(실시간콜입력!$B:$B,$A581,실시간콜입력!$E:$E,"C",실시간콜입력!$G:$G,$B581,실시간콜입력!$O:$O,"방문완료")+COUNTIFS(실시간콜입력!$B:$B,$A581,실시간콜입력!$E:$E,"C",실시간콜입력!$H:$H,$B581,실시간콜입력!$O:$O,"방문완료")</f>
        <v>0</v>
      </c>
      <c r="I581" s="29">
        <f>COUNTIFS(실시간콜입력!$B:$B,$A581,실시간콜입력!$E:$E,"D",실시간콜입력!$G:$G,$B581,실시간콜입력!$O:$O,"방문완료")+COUNTIFS(실시간콜입력!$B:$B,$A581,실시간콜입력!$E:$E,"D",실시간콜입력!$H:$H,$B581,실시간콜입력!$O:$O,"방문완료")</f>
        <v>0</v>
      </c>
      <c r="J581" s="29">
        <f>COUNTIFS(실시간콜입력!$B:$B,$A581,실시간콜입력!$E:$E,"E",실시간콜입력!$G:$G,$B581,실시간콜입력!$O:$O,"방문완료")+COUNTIFS(실시간콜입력!$B:$B,$A581,실시간콜입력!$E:$E,"E",실시간콜입력!$H:$H,$B581,실시간콜입력!$O:$O,"방문완료")</f>
        <v>0</v>
      </c>
      <c r="K581" s="29">
        <f t="shared" si="79"/>
        <v>0</v>
      </c>
      <c r="L581" s="27">
        <f>SUMIFS(실시간콜입력!$K:$K,실시간콜입력!$B:$B,$A581,실시간콜입력!$G:$G,$B581,실시간콜입력!$O:$O,"방문완료")+SUMIFS(실시간콜입력!$L:$L,실시간콜입력!$B:$B,$A581,실시간콜입력!$H:$H,$B581,실시간콜입력!$O:$O,"방문완료")</f>
        <v>0</v>
      </c>
      <c r="M581" s="29" t="str">
        <f t="shared" si="80"/>
        <v/>
      </c>
      <c r="N581" s="29"/>
    </row>
    <row r="582" spans="1:14" ht="19.5" hidden="1" customHeight="1" outlineLevel="1">
      <c r="A582" s="30">
        <f>IF(12&lt;=DAY(DATE(YEAR(설정_코스수당!$K$2),MONTH(설정_코스수당!$K$2)+1,0)),DATE(YEAR(설정_코스수당!$K$2),MONTH(설정_코스수당!$K$2),12),"")</f>
        <v>46185</v>
      </c>
      <c r="B582" s="29" t="s">
        <v>166</v>
      </c>
      <c r="C582" s="29"/>
      <c r="D582" s="29"/>
      <c r="E582" s="29" t="str">
        <f t="shared" si="78"/>
        <v/>
      </c>
      <c r="F582" s="29">
        <f>COUNTIFS(실시간콜입력!$B:$B,$A582,실시간콜입력!$E:$E,"A",실시간콜입력!$G:$G,$B582,실시간콜입력!$O:$O,"방문완료")+COUNTIFS(실시간콜입력!$B:$B,$A582,실시간콜입력!$E:$E,"A",실시간콜입력!$H:$H,$B582,실시간콜입력!$O:$O,"방문완료")</f>
        <v>0</v>
      </c>
      <c r="G582" s="29">
        <f>COUNTIFS(실시간콜입력!$B:$B,$A582,실시간콜입력!$E:$E,"B",실시간콜입력!$G:$G,$B582,실시간콜입력!$O:$O,"방문완료")+COUNTIFS(실시간콜입력!$B:$B,$A582,실시간콜입력!$E:$E,"B",실시간콜입력!$H:$H,$B582,실시간콜입력!$O:$O,"방문완료")</f>
        <v>0</v>
      </c>
      <c r="H582" s="29">
        <f>COUNTIFS(실시간콜입력!$B:$B,$A582,실시간콜입력!$E:$E,"C",실시간콜입력!$G:$G,$B582,실시간콜입력!$O:$O,"방문완료")+COUNTIFS(실시간콜입력!$B:$B,$A582,실시간콜입력!$E:$E,"C",실시간콜입력!$H:$H,$B582,실시간콜입력!$O:$O,"방문완료")</f>
        <v>0</v>
      </c>
      <c r="I582" s="29">
        <f>COUNTIFS(실시간콜입력!$B:$B,$A582,실시간콜입력!$E:$E,"D",실시간콜입력!$G:$G,$B582,실시간콜입력!$O:$O,"방문완료")+COUNTIFS(실시간콜입력!$B:$B,$A582,실시간콜입력!$E:$E,"D",실시간콜입력!$H:$H,$B582,실시간콜입력!$O:$O,"방문완료")</f>
        <v>0</v>
      </c>
      <c r="J582" s="29">
        <f>COUNTIFS(실시간콜입력!$B:$B,$A582,실시간콜입력!$E:$E,"E",실시간콜입력!$G:$G,$B582,실시간콜입력!$O:$O,"방문완료")+COUNTIFS(실시간콜입력!$B:$B,$A582,실시간콜입력!$E:$E,"E",실시간콜입력!$H:$H,$B582,실시간콜입력!$O:$O,"방문완료")</f>
        <v>0</v>
      </c>
      <c r="K582" s="29">
        <f t="shared" si="79"/>
        <v>0</v>
      </c>
      <c r="L582" s="33">
        <f>SUMIFS(실시간콜입력!$K:$K,실시간콜입력!$B:$B,$A582,실시간콜입력!$G:$G,$B582,실시간콜입력!$O:$O,"방문완료")+SUMIFS(실시간콜입력!$L:$L,실시간콜입력!$B:$B,$A582,실시간콜입력!$H:$H,$B582,실시간콜입력!$O:$O,"방문완료")</f>
        <v>0</v>
      </c>
      <c r="M582" s="29" t="str">
        <f t="shared" si="80"/>
        <v/>
      </c>
      <c r="N582" s="29"/>
    </row>
    <row r="583" spans="1:14" ht="19.5" hidden="1" customHeight="1" outlineLevel="1">
      <c r="A583" s="24">
        <f>IF(12&lt;=DAY(DATE(YEAR(설정_코스수당!$K$2),MONTH(설정_코스수당!$K$2)+1,0)),DATE(YEAR(설정_코스수당!$K$2),MONTH(설정_코스수당!$K$2),12),"")</f>
        <v>46185</v>
      </c>
      <c r="B583" s="23" t="s">
        <v>167</v>
      </c>
      <c r="C583" s="29"/>
      <c r="D583" s="29"/>
      <c r="E583" s="29" t="str">
        <f t="shared" si="78"/>
        <v/>
      </c>
      <c r="F583" s="29">
        <f>COUNTIFS(실시간콜입력!$B:$B,$A583,실시간콜입력!$E:$E,"A",실시간콜입력!$G:$G,$B583,실시간콜입력!$O:$O,"방문완료")+COUNTIFS(실시간콜입력!$B:$B,$A583,실시간콜입력!$E:$E,"A",실시간콜입력!$H:$H,$B583,실시간콜입력!$O:$O,"방문완료")</f>
        <v>0</v>
      </c>
      <c r="G583" s="29">
        <f>COUNTIFS(실시간콜입력!$B:$B,$A583,실시간콜입력!$E:$E,"B",실시간콜입력!$G:$G,$B583,실시간콜입력!$O:$O,"방문완료")+COUNTIFS(실시간콜입력!$B:$B,$A583,실시간콜입력!$E:$E,"B",실시간콜입력!$H:$H,$B583,실시간콜입력!$O:$O,"방문완료")</f>
        <v>0</v>
      </c>
      <c r="H583" s="29">
        <f>COUNTIFS(실시간콜입력!$B:$B,$A583,실시간콜입력!$E:$E,"C",실시간콜입력!$G:$G,$B583,실시간콜입력!$O:$O,"방문완료")+COUNTIFS(실시간콜입력!$B:$B,$A583,실시간콜입력!$E:$E,"C",실시간콜입력!$H:$H,$B583,실시간콜입력!$O:$O,"방문완료")</f>
        <v>0</v>
      </c>
      <c r="I583" s="29">
        <f>COUNTIFS(실시간콜입력!$B:$B,$A583,실시간콜입력!$E:$E,"D",실시간콜입력!$G:$G,$B583,실시간콜입력!$O:$O,"방문완료")+COUNTIFS(실시간콜입력!$B:$B,$A583,실시간콜입력!$E:$E,"D",실시간콜입력!$H:$H,$B583,실시간콜입력!$O:$O,"방문완료")</f>
        <v>0</v>
      </c>
      <c r="J583" s="29">
        <f>COUNTIFS(실시간콜입력!$B:$B,$A583,실시간콜입력!$E:$E,"E",실시간콜입력!$G:$G,$B583,실시간콜입력!$O:$O,"방문완료")+COUNTIFS(실시간콜입력!$B:$B,$A583,실시간콜입력!$E:$E,"E",실시간콜입력!$H:$H,$B583,실시간콜입력!$O:$O,"방문완료")</f>
        <v>0</v>
      </c>
      <c r="K583" s="29">
        <f t="shared" si="79"/>
        <v>0</v>
      </c>
      <c r="L583" s="27">
        <f>SUMIFS(실시간콜입력!$K:$K,실시간콜입력!$B:$B,$A583,실시간콜입력!$G:$G,$B583,실시간콜입력!$O:$O,"방문완료")+SUMIFS(실시간콜입력!$L:$L,실시간콜입력!$B:$B,$A583,실시간콜입력!$H:$H,$B583,실시간콜입력!$O:$O,"방문완료")</f>
        <v>0</v>
      </c>
      <c r="M583" s="29" t="str">
        <f t="shared" si="80"/>
        <v/>
      </c>
      <c r="N583" s="29"/>
    </row>
    <row r="584" spans="1:14" ht="19.5" hidden="1" customHeight="1" outlineLevel="1">
      <c r="A584" s="30">
        <f>IF(12&lt;=DAY(DATE(YEAR(설정_코스수당!$K$2),MONTH(설정_코스수당!$K$2)+1,0)),DATE(YEAR(설정_코스수당!$K$2),MONTH(설정_코스수당!$K$2),12),"")</f>
        <v>46185</v>
      </c>
      <c r="B584" s="29" t="s">
        <v>168</v>
      </c>
      <c r="C584" s="29"/>
      <c r="D584" s="29"/>
      <c r="E584" s="29" t="str">
        <f t="shared" si="78"/>
        <v/>
      </c>
      <c r="F584" s="29">
        <f>COUNTIFS(실시간콜입력!$B:$B,$A584,실시간콜입력!$E:$E,"A",실시간콜입력!$G:$G,$B584,실시간콜입력!$O:$O,"방문완료")+COUNTIFS(실시간콜입력!$B:$B,$A584,실시간콜입력!$E:$E,"A",실시간콜입력!$H:$H,$B584,실시간콜입력!$O:$O,"방문완료")</f>
        <v>0</v>
      </c>
      <c r="G584" s="29">
        <f>COUNTIFS(실시간콜입력!$B:$B,$A584,실시간콜입력!$E:$E,"B",실시간콜입력!$G:$G,$B584,실시간콜입력!$O:$O,"방문완료")+COUNTIFS(실시간콜입력!$B:$B,$A584,실시간콜입력!$E:$E,"B",실시간콜입력!$H:$H,$B584,실시간콜입력!$O:$O,"방문완료")</f>
        <v>0</v>
      </c>
      <c r="H584" s="29">
        <f>COUNTIFS(실시간콜입력!$B:$B,$A584,실시간콜입력!$E:$E,"C",실시간콜입력!$G:$G,$B584,실시간콜입력!$O:$O,"방문완료")+COUNTIFS(실시간콜입력!$B:$B,$A584,실시간콜입력!$E:$E,"C",실시간콜입력!$H:$H,$B584,실시간콜입력!$O:$O,"방문완료")</f>
        <v>0</v>
      </c>
      <c r="I584" s="29">
        <f>COUNTIFS(실시간콜입력!$B:$B,$A584,실시간콜입력!$E:$E,"D",실시간콜입력!$G:$G,$B584,실시간콜입력!$O:$O,"방문완료")+COUNTIFS(실시간콜입력!$B:$B,$A584,실시간콜입력!$E:$E,"D",실시간콜입력!$H:$H,$B584,실시간콜입력!$O:$O,"방문완료")</f>
        <v>0</v>
      </c>
      <c r="J584" s="29">
        <f>COUNTIFS(실시간콜입력!$B:$B,$A584,실시간콜입력!$E:$E,"E",실시간콜입력!$G:$G,$B584,실시간콜입력!$O:$O,"방문완료")+COUNTIFS(실시간콜입력!$B:$B,$A584,실시간콜입력!$E:$E,"E",실시간콜입력!$H:$H,$B584,실시간콜입력!$O:$O,"방문완료")</f>
        <v>0</v>
      </c>
      <c r="K584" s="29">
        <f t="shared" si="79"/>
        <v>0</v>
      </c>
      <c r="L584" s="33">
        <f>SUMIFS(실시간콜입력!$K:$K,실시간콜입력!$B:$B,$A584,실시간콜입력!$G:$G,$B584,실시간콜입력!$O:$O,"방문완료")+SUMIFS(실시간콜입력!$L:$L,실시간콜입력!$B:$B,$A584,실시간콜입력!$H:$H,$B584,실시간콜입력!$O:$O,"방문완료")</f>
        <v>0</v>
      </c>
      <c r="M584" s="29" t="str">
        <f t="shared" si="80"/>
        <v/>
      </c>
      <c r="N584" s="29"/>
    </row>
    <row r="585" spans="1:14" ht="19.5" hidden="1" customHeight="1" outlineLevel="1">
      <c r="A585" s="24">
        <f>IF(12&lt;=DAY(DATE(YEAR(설정_코스수당!$K$2),MONTH(설정_코스수당!$K$2)+1,0)),DATE(YEAR(설정_코스수당!$K$2),MONTH(설정_코스수당!$K$2),12),"")</f>
        <v>46185</v>
      </c>
      <c r="B585" s="23" t="s">
        <v>169</v>
      </c>
      <c r="C585" s="29"/>
      <c r="D585" s="29"/>
      <c r="E585" s="29" t="str">
        <f t="shared" si="78"/>
        <v/>
      </c>
      <c r="F585" s="29">
        <f>COUNTIFS(실시간콜입력!$B:$B,$A585,실시간콜입력!$E:$E,"A",실시간콜입력!$G:$G,$B585,실시간콜입력!$O:$O,"방문완료")+COUNTIFS(실시간콜입력!$B:$B,$A585,실시간콜입력!$E:$E,"A",실시간콜입력!$H:$H,$B585,실시간콜입력!$O:$O,"방문완료")</f>
        <v>0</v>
      </c>
      <c r="G585" s="29">
        <f>COUNTIFS(실시간콜입력!$B:$B,$A585,실시간콜입력!$E:$E,"B",실시간콜입력!$G:$G,$B585,실시간콜입력!$O:$O,"방문완료")+COUNTIFS(실시간콜입력!$B:$B,$A585,실시간콜입력!$E:$E,"B",실시간콜입력!$H:$H,$B585,실시간콜입력!$O:$O,"방문완료")</f>
        <v>0</v>
      </c>
      <c r="H585" s="29">
        <f>COUNTIFS(실시간콜입력!$B:$B,$A585,실시간콜입력!$E:$E,"C",실시간콜입력!$G:$G,$B585,실시간콜입력!$O:$O,"방문완료")+COUNTIFS(실시간콜입력!$B:$B,$A585,실시간콜입력!$E:$E,"C",실시간콜입력!$H:$H,$B585,실시간콜입력!$O:$O,"방문완료")</f>
        <v>0</v>
      </c>
      <c r="I585" s="29">
        <f>COUNTIFS(실시간콜입력!$B:$B,$A585,실시간콜입력!$E:$E,"D",실시간콜입력!$G:$G,$B585,실시간콜입력!$O:$O,"방문완료")+COUNTIFS(실시간콜입력!$B:$B,$A585,실시간콜입력!$E:$E,"D",실시간콜입력!$H:$H,$B585,실시간콜입력!$O:$O,"방문완료")</f>
        <v>0</v>
      </c>
      <c r="J585" s="29">
        <f>COUNTIFS(실시간콜입력!$B:$B,$A585,실시간콜입력!$E:$E,"E",실시간콜입력!$G:$G,$B585,실시간콜입력!$O:$O,"방문완료")+COUNTIFS(실시간콜입력!$B:$B,$A585,실시간콜입력!$E:$E,"E",실시간콜입력!$H:$H,$B585,실시간콜입력!$O:$O,"방문완료")</f>
        <v>0</v>
      </c>
      <c r="K585" s="29">
        <f t="shared" si="79"/>
        <v>0</v>
      </c>
      <c r="L585" s="27">
        <f>SUMIFS(실시간콜입력!$K:$K,실시간콜입력!$B:$B,$A585,실시간콜입력!$G:$G,$B585,실시간콜입력!$O:$O,"방문완료")+SUMIFS(실시간콜입력!$L:$L,실시간콜입력!$B:$B,$A585,실시간콜입력!$H:$H,$B585,실시간콜입력!$O:$O,"방문완료")</f>
        <v>0</v>
      </c>
      <c r="M585" s="29" t="str">
        <f t="shared" si="80"/>
        <v/>
      </c>
      <c r="N585" s="29"/>
    </row>
    <row r="586" spans="1:14" ht="19.5" hidden="1" customHeight="1" outlineLevel="1">
      <c r="A586" s="30">
        <f>IF(12&lt;=DAY(DATE(YEAR(설정_코스수당!$K$2),MONTH(설정_코스수당!$K$2)+1,0)),DATE(YEAR(설정_코스수당!$K$2),MONTH(설정_코스수당!$K$2),12),"")</f>
        <v>46185</v>
      </c>
      <c r="B586" s="29" t="s">
        <v>170</v>
      </c>
      <c r="C586" s="29"/>
      <c r="D586" s="29"/>
      <c r="E586" s="29" t="str">
        <f t="shared" si="78"/>
        <v/>
      </c>
      <c r="F586" s="29">
        <f>COUNTIFS(실시간콜입력!$B:$B,$A586,실시간콜입력!$E:$E,"A",실시간콜입력!$G:$G,$B586,실시간콜입력!$O:$O,"방문완료")+COUNTIFS(실시간콜입력!$B:$B,$A586,실시간콜입력!$E:$E,"A",실시간콜입력!$H:$H,$B586,실시간콜입력!$O:$O,"방문완료")</f>
        <v>0</v>
      </c>
      <c r="G586" s="29">
        <f>COUNTIFS(실시간콜입력!$B:$B,$A586,실시간콜입력!$E:$E,"B",실시간콜입력!$G:$G,$B586,실시간콜입력!$O:$O,"방문완료")+COUNTIFS(실시간콜입력!$B:$B,$A586,실시간콜입력!$E:$E,"B",실시간콜입력!$H:$H,$B586,실시간콜입력!$O:$O,"방문완료")</f>
        <v>0</v>
      </c>
      <c r="H586" s="29">
        <f>COUNTIFS(실시간콜입력!$B:$B,$A586,실시간콜입력!$E:$E,"C",실시간콜입력!$G:$G,$B586,실시간콜입력!$O:$O,"방문완료")+COUNTIFS(실시간콜입력!$B:$B,$A586,실시간콜입력!$E:$E,"C",실시간콜입력!$H:$H,$B586,실시간콜입력!$O:$O,"방문완료")</f>
        <v>0</v>
      </c>
      <c r="I586" s="29">
        <f>COUNTIFS(실시간콜입력!$B:$B,$A586,실시간콜입력!$E:$E,"D",실시간콜입력!$G:$G,$B586,실시간콜입력!$O:$O,"방문완료")+COUNTIFS(실시간콜입력!$B:$B,$A586,실시간콜입력!$E:$E,"D",실시간콜입력!$H:$H,$B586,실시간콜입력!$O:$O,"방문완료")</f>
        <v>0</v>
      </c>
      <c r="J586" s="29">
        <f>COUNTIFS(실시간콜입력!$B:$B,$A586,실시간콜입력!$E:$E,"E",실시간콜입력!$G:$G,$B586,실시간콜입력!$O:$O,"방문완료")+COUNTIFS(실시간콜입력!$B:$B,$A586,실시간콜입력!$E:$E,"E",실시간콜입력!$H:$H,$B586,실시간콜입력!$O:$O,"방문완료")</f>
        <v>0</v>
      </c>
      <c r="K586" s="29">
        <f t="shared" si="79"/>
        <v>0</v>
      </c>
      <c r="L586" s="33">
        <f>SUMIFS(실시간콜입력!$K:$K,실시간콜입력!$B:$B,$A586,실시간콜입력!$G:$G,$B586,실시간콜입력!$O:$O,"방문완료")+SUMIFS(실시간콜입력!$L:$L,실시간콜입력!$B:$B,$A586,실시간콜입력!$H:$H,$B586,실시간콜입력!$O:$O,"방문완료")</f>
        <v>0</v>
      </c>
      <c r="M586" s="29" t="str">
        <f t="shared" si="80"/>
        <v/>
      </c>
      <c r="N586" s="29"/>
    </row>
    <row r="587" spans="1:14" ht="19.5" hidden="1" customHeight="1" outlineLevel="1">
      <c r="A587" s="24">
        <f>IF(12&lt;=DAY(DATE(YEAR(설정_코스수당!$K$2),MONTH(설정_코스수당!$K$2)+1,0)),DATE(YEAR(설정_코스수당!$K$2),MONTH(설정_코스수당!$K$2),12),"")</f>
        <v>46185</v>
      </c>
      <c r="B587" s="23" t="s">
        <v>171</v>
      </c>
      <c r="C587" s="29"/>
      <c r="D587" s="29"/>
      <c r="E587" s="29" t="str">
        <f t="shared" si="78"/>
        <v/>
      </c>
      <c r="F587" s="29">
        <f>COUNTIFS(실시간콜입력!$B:$B,$A587,실시간콜입력!$E:$E,"A",실시간콜입력!$G:$G,$B587,실시간콜입력!$O:$O,"방문완료")+COUNTIFS(실시간콜입력!$B:$B,$A587,실시간콜입력!$E:$E,"A",실시간콜입력!$H:$H,$B587,실시간콜입력!$O:$O,"방문완료")</f>
        <v>0</v>
      </c>
      <c r="G587" s="29">
        <f>COUNTIFS(실시간콜입력!$B:$B,$A587,실시간콜입력!$E:$E,"B",실시간콜입력!$G:$G,$B587,실시간콜입력!$O:$O,"방문완료")+COUNTIFS(실시간콜입력!$B:$B,$A587,실시간콜입력!$E:$E,"B",실시간콜입력!$H:$H,$B587,실시간콜입력!$O:$O,"방문완료")</f>
        <v>0</v>
      </c>
      <c r="H587" s="29">
        <f>COUNTIFS(실시간콜입력!$B:$B,$A587,실시간콜입력!$E:$E,"C",실시간콜입력!$G:$G,$B587,실시간콜입력!$O:$O,"방문완료")+COUNTIFS(실시간콜입력!$B:$B,$A587,실시간콜입력!$E:$E,"C",실시간콜입력!$H:$H,$B587,실시간콜입력!$O:$O,"방문완료")</f>
        <v>0</v>
      </c>
      <c r="I587" s="29">
        <f>COUNTIFS(실시간콜입력!$B:$B,$A587,실시간콜입력!$E:$E,"D",실시간콜입력!$G:$G,$B587,실시간콜입력!$O:$O,"방문완료")+COUNTIFS(실시간콜입력!$B:$B,$A587,실시간콜입력!$E:$E,"D",실시간콜입력!$H:$H,$B587,실시간콜입력!$O:$O,"방문완료")</f>
        <v>0</v>
      </c>
      <c r="J587" s="29">
        <f>COUNTIFS(실시간콜입력!$B:$B,$A587,실시간콜입력!$E:$E,"E",실시간콜입력!$G:$G,$B587,실시간콜입력!$O:$O,"방문완료")+COUNTIFS(실시간콜입력!$B:$B,$A587,실시간콜입력!$E:$E,"E",실시간콜입력!$H:$H,$B587,실시간콜입력!$O:$O,"방문완료")</f>
        <v>0</v>
      </c>
      <c r="K587" s="29">
        <f t="shared" si="79"/>
        <v>0</v>
      </c>
      <c r="L587" s="27">
        <f>SUMIFS(실시간콜입력!$K:$K,실시간콜입력!$B:$B,$A587,실시간콜입력!$G:$G,$B587,실시간콜입력!$O:$O,"방문완료")+SUMIFS(실시간콜입력!$L:$L,실시간콜입력!$B:$B,$A587,실시간콜입력!$H:$H,$B587,실시간콜입력!$O:$O,"방문완료")</f>
        <v>0</v>
      </c>
      <c r="M587" s="29" t="str">
        <f t="shared" si="80"/>
        <v/>
      </c>
      <c r="N587" s="29"/>
    </row>
    <row r="588" spans="1:14" ht="19.5" hidden="1" customHeight="1" outlineLevel="1">
      <c r="A588" s="30">
        <f>IF(12&lt;=DAY(DATE(YEAR(설정_코스수당!$K$2),MONTH(설정_코스수당!$K$2)+1,0)),DATE(YEAR(설정_코스수당!$K$2),MONTH(설정_코스수당!$K$2),12),"")</f>
        <v>46185</v>
      </c>
      <c r="B588" s="29" t="s">
        <v>172</v>
      </c>
      <c r="C588" s="29"/>
      <c r="D588" s="29"/>
      <c r="E588" s="29" t="str">
        <f t="shared" si="78"/>
        <v/>
      </c>
      <c r="F588" s="29">
        <f>COUNTIFS(실시간콜입력!$B:$B,$A588,실시간콜입력!$E:$E,"A",실시간콜입력!$G:$G,$B588,실시간콜입력!$O:$O,"방문완료")+COUNTIFS(실시간콜입력!$B:$B,$A588,실시간콜입력!$E:$E,"A",실시간콜입력!$H:$H,$B588,실시간콜입력!$O:$O,"방문완료")</f>
        <v>0</v>
      </c>
      <c r="G588" s="29">
        <f>COUNTIFS(실시간콜입력!$B:$B,$A588,실시간콜입력!$E:$E,"B",실시간콜입력!$G:$G,$B588,실시간콜입력!$O:$O,"방문완료")+COUNTIFS(실시간콜입력!$B:$B,$A588,실시간콜입력!$E:$E,"B",실시간콜입력!$H:$H,$B588,실시간콜입력!$O:$O,"방문완료")</f>
        <v>0</v>
      </c>
      <c r="H588" s="29">
        <f>COUNTIFS(실시간콜입력!$B:$B,$A588,실시간콜입력!$E:$E,"C",실시간콜입력!$G:$G,$B588,실시간콜입력!$O:$O,"방문완료")+COUNTIFS(실시간콜입력!$B:$B,$A588,실시간콜입력!$E:$E,"C",실시간콜입력!$H:$H,$B588,실시간콜입력!$O:$O,"방문완료")</f>
        <v>0</v>
      </c>
      <c r="I588" s="29">
        <f>COUNTIFS(실시간콜입력!$B:$B,$A588,실시간콜입력!$E:$E,"D",실시간콜입력!$G:$G,$B588,실시간콜입력!$O:$O,"방문완료")+COUNTIFS(실시간콜입력!$B:$B,$A588,실시간콜입력!$E:$E,"D",실시간콜입력!$H:$H,$B588,실시간콜입력!$O:$O,"방문완료")</f>
        <v>0</v>
      </c>
      <c r="J588" s="29">
        <f>COUNTIFS(실시간콜입력!$B:$B,$A588,실시간콜입력!$E:$E,"E",실시간콜입력!$G:$G,$B588,실시간콜입력!$O:$O,"방문완료")+COUNTIFS(실시간콜입력!$B:$B,$A588,실시간콜입력!$E:$E,"E",실시간콜입력!$H:$H,$B588,실시간콜입력!$O:$O,"방문완료")</f>
        <v>0</v>
      </c>
      <c r="K588" s="29">
        <f t="shared" si="79"/>
        <v>0</v>
      </c>
      <c r="L588" s="33">
        <f>SUMIFS(실시간콜입력!$K:$K,실시간콜입력!$B:$B,$A588,실시간콜입력!$G:$G,$B588,실시간콜입력!$O:$O,"방문완료")+SUMIFS(실시간콜입력!$L:$L,실시간콜입력!$B:$B,$A588,실시간콜입력!$H:$H,$B588,실시간콜입력!$O:$O,"방문완료")</f>
        <v>0</v>
      </c>
      <c r="M588" s="29" t="str">
        <f t="shared" si="80"/>
        <v/>
      </c>
      <c r="N588" s="29"/>
    </row>
    <row r="589" spans="1:14" ht="19.5" hidden="1" customHeight="1" outlineLevel="1">
      <c r="A589" s="24">
        <f>IF(12&lt;=DAY(DATE(YEAR(설정_코스수당!$K$2),MONTH(설정_코스수당!$K$2)+1,0)),DATE(YEAR(설정_코스수당!$K$2),MONTH(설정_코스수당!$K$2),12),"")</f>
        <v>46185</v>
      </c>
      <c r="B589" s="23" t="s">
        <v>173</v>
      </c>
      <c r="C589" s="29"/>
      <c r="D589" s="29"/>
      <c r="E589" s="29" t="str">
        <f t="shared" si="78"/>
        <v/>
      </c>
      <c r="F589" s="29">
        <f>COUNTIFS(실시간콜입력!$B:$B,$A589,실시간콜입력!$E:$E,"A",실시간콜입력!$G:$G,$B589,실시간콜입력!$O:$O,"방문완료")+COUNTIFS(실시간콜입력!$B:$B,$A589,실시간콜입력!$E:$E,"A",실시간콜입력!$H:$H,$B589,실시간콜입력!$O:$O,"방문완료")</f>
        <v>0</v>
      </c>
      <c r="G589" s="29">
        <f>COUNTIFS(실시간콜입력!$B:$B,$A589,실시간콜입력!$E:$E,"B",실시간콜입력!$G:$G,$B589,실시간콜입력!$O:$O,"방문완료")+COUNTIFS(실시간콜입력!$B:$B,$A589,실시간콜입력!$E:$E,"B",실시간콜입력!$H:$H,$B589,실시간콜입력!$O:$O,"방문완료")</f>
        <v>0</v>
      </c>
      <c r="H589" s="29">
        <f>COUNTIFS(실시간콜입력!$B:$B,$A589,실시간콜입력!$E:$E,"C",실시간콜입력!$G:$G,$B589,실시간콜입력!$O:$O,"방문완료")+COUNTIFS(실시간콜입력!$B:$B,$A589,실시간콜입력!$E:$E,"C",실시간콜입력!$H:$H,$B589,실시간콜입력!$O:$O,"방문완료")</f>
        <v>0</v>
      </c>
      <c r="I589" s="29">
        <f>COUNTIFS(실시간콜입력!$B:$B,$A589,실시간콜입력!$E:$E,"D",실시간콜입력!$G:$G,$B589,실시간콜입력!$O:$O,"방문완료")+COUNTIFS(실시간콜입력!$B:$B,$A589,실시간콜입력!$E:$E,"D",실시간콜입력!$H:$H,$B589,실시간콜입력!$O:$O,"방문완료")</f>
        <v>0</v>
      </c>
      <c r="J589" s="29">
        <f>COUNTIFS(실시간콜입력!$B:$B,$A589,실시간콜입력!$E:$E,"E",실시간콜입력!$G:$G,$B589,실시간콜입력!$O:$O,"방문완료")+COUNTIFS(실시간콜입력!$B:$B,$A589,실시간콜입력!$E:$E,"E",실시간콜입력!$H:$H,$B589,실시간콜입력!$O:$O,"방문완료")</f>
        <v>0</v>
      </c>
      <c r="K589" s="29">
        <f t="shared" si="79"/>
        <v>0</v>
      </c>
      <c r="L589" s="27">
        <f>SUMIFS(실시간콜입력!$K:$K,실시간콜입력!$B:$B,$A589,실시간콜입력!$G:$G,$B589,실시간콜입력!$O:$O,"방문완료")+SUMIFS(실시간콜입력!$L:$L,실시간콜입력!$B:$B,$A589,실시간콜입력!$H:$H,$B589,실시간콜입력!$O:$O,"방문완료")</f>
        <v>0</v>
      </c>
      <c r="M589" s="29" t="str">
        <f t="shared" si="80"/>
        <v/>
      </c>
      <c r="N589" s="29"/>
    </row>
    <row r="590" spans="1:14" ht="19.5" hidden="1" customHeight="1" outlineLevel="1">
      <c r="A590" s="30">
        <f>IF(12&lt;=DAY(DATE(YEAR(설정_코스수당!$K$2),MONTH(설정_코스수당!$K$2)+1,0)),DATE(YEAR(설정_코스수당!$K$2),MONTH(설정_코스수당!$K$2),12),"")</f>
        <v>46185</v>
      </c>
      <c r="B590" s="29" t="s">
        <v>174</v>
      </c>
      <c r="C590" s="29"/>
      <c r="D590" s="29"/>
      <c r="E590" s="29" t="str">
        <f t="shared" si="78"/>
        <v/>
      </c>
      <c r="F590" s="29">
        <f>COUNTIFS(실시간콜입력!$B:$B,$A590,실시간콜입력!$E:$E,"A",실시간콜입력!$G:$G,$B590,실시간콜입력!$O:$O,"방문완료")+COUNTIFS(실시간콜입력!$B:$B,$A590,실시간콜입력!$E:$E,"A",실시간콜입력!$H:$H,$B590,실시간콜입력!$O:$O,"방문완료")</f>
        <v>0</v>
      </c>
      <c r="G590" s="29">
        <f>COUNTIFS(실시간콜입력!$B:$B,$A590,실시간콜입력!$E:$E,"B",실시간콜입력!$G:$G,$B590,실시간콜입력!$O:$O,"방문완료")+COUNTIFS(실시간콜입력!$B:$B,$A590,실시간콜입력!$E:$E,"B",실시간콜입력!$H:$H,$B590,실시간콜입력!$O:$O,"방문완료")</f>
        <v>0</v>
      </c>
      <c r="H590" s="29">
        <f>COUNTIFS(실시간콜입력!$B:$B,$A590,실시간콜입력!$E:$E,"C",실시간콜입력!$G:$G,$B590,실시간콜입력!$O:$O,"방문완료")+COUNTIFS(실시간콜입력!$B:$B,$A590,실시간콜입력!$E:$E,"C",실시간콜입력!$H:$H,$B590,실시간콜입력!$O:$O,"방문완료")</f>
        <v>0</v>
      </c>
      <c r="I590" s="29">
        <f>COUNTIFS(실시간콜입력!$B:$B,$A590,실시간콜입력!$E:$E,"D",실시간콜입력!$G:$G,$B590,실시간콜입력!$O:$O,"방문완료")+COUNTIFS(실시간콜입력!$B:$B,$A590,실시간콜입력!$E:$E,"D",실시간콜입력!$H:$H,$B590,실시간콜입력!$O:$O,"방문완료")</f>
        <v>0</v>
      </c>
      <c r="J590" s="29">
        <f>COUNTIFS(실시간콜입력!$B:$B,$A590,실시간콜입력!$E:$E,"E",실시간콜입력!$G:$G,$B590,실시간콜입력!$O:$O,"방문완료")+COUNTIFS(실시간콜입력!$B:$B,$A590,실시간콜입력!$E:$E,"E",실시간콜입력!$H:$H,$B590,실시간콜입력!$O:$O,"방문완료")</f>
        <v>0</v>
      </c>
      <c r="K590" s="29">
        <f t="shared" si="79"/>
        <v>0</v>
      </c>
      <c r="L590" s="33">
        <f>SUMIFS(실시간콜입력!$K:$K,실시간콜입력!$B:$B,$A590,실시간콜입력!$G:$G,$B590,실시간콜입력!$O:$O,"방문완료")+SUMIFS(실시간콜입력!$L:$L,실시간콜입력!$B:$B,$A590,실시간콜입력!$H:$H,$B590,실시간콜입력!$O:$O,"방문완료")</f>
        <v>0</v>
      </c>
      <c r="M590" s="29" t="str">
        <f t="shared" si="80"/>
        <v/>
      </c>
      <c r="N590" s="29"/>
    </row>
    <row r="591" spans="1:14" ht="19.5" hidden="1" customHeight="1" outlineLevel="1">
      <c r="A591" s="24">
        <f>IF(12&lt;=DAY(DATE(YEAR(설정_코스수당!$K$2),MONTH(설정_코스수당!$K$2)+1,0)),DATE(YEAR(설정_코스수당!$K$2),MONTH(설정_코스수당!$K$2),12),"")</f>
        <v>46185</v>
      </c>
      <c r="B591" s="23" t="s">
        <v>175</v>
      </c>
      <c r="C591" s="29"/>
      <c r="D591" s="29"/>
      <c r="E591" s="29" t="str">
        <f t="shared" si="78"/>
        <v/>
      </c>
      <c r="F591" s="29">
        <f>COUNTIFS(실시간콜입력!$B:$B,$A591,실시간콜입력!$E:$E,"A",실시간콜입력!$G:$G,$B591,실시간콜입력!$O:$O,"방문완료")+COUNTIFS(실시간콜입력!$B:$B,$A591,실시간콜입력!$E:$E,"A",실시간콜입력!$H:$H,$B591,실시간콜입력!$O:$O,"방문완료")</f>
        <v>0</v>
      </c>
      <c r="G591" s="29">
        <f>COUNTIFS(실시간콜입력!$B:$B,$A591,실시간콜입력!$E:$E,"B",실시간콜입력!$G:$G,$B591,실시간콜입력!$O:$O,"방문완료")+COUNTIFS(실시간콜입력!$B:$B,$A591,실시간콜입력!$E:$E,"B",실시간콜입력!$H:$H,$B591,실시간콜입력!$O:$O,"방문완료")</f>
        <v>0</v>
      </c>
      <c r="H591" s="29">
        <f>COUNTIFS(실시간콜입력!$B:$B,$A591,실시간콜입력!$E:$E,"C",실시간콜입력!$G:$G,$B591,실시간콜입력!$O:$O,"방문완료")+COUNTIFS(실시간콜입력!$B:$B,$A591,실시간콜입력!$E:$E,"C",실시간콜입력!$H:$H,$B591,실시간콜입력!$O:$O,"방문완료")</f>
        <v>0</v>
      </c>
      <c r="I591" s="29">
        <f>COUNTIFS(실시간콜입력!$B:$B,$A591,실시간콜입력!$E:$E,"D",실시간콜입력!$G:$G,$B591,실시간콜입력!$O:$O,"방문완료")+COUNTIFS(실시간콜입력!$B:$B,$A591,실시간콜입력!$E:$E,"D",실시간콜입력!$H:$H,$B591,실시간콜입력!$O:$O,"방문완료")</f>
        <v>0</v>
      </c>
      <c r="J591" s="29">
        <f>COUNTIFS(실시간콜입력!$B:$B,$A591,실시간콜입력!$E:$E,"E",실시간콜입력!$G:$G,$B591,실시간콜입력!$O:$O,"방문완료")+COUNTIFS(실시간콜입력!$B:$B,$A591,실시간콜입력!$E:$E,"E",실시간콜입력!$H:$H,$B591,실시간콜입력!$O:$O,"방문완료")</f>
        <v>0</v>
      </c>
      <c r="K591" s="29">
        <f t="shared" si="79"/>
        <v>0</v>
      </c>
      <c r="L591" s="27">
        <f>SUMIFS(실시간콜입력!$K:$K,실시간콜입력!$B:$B,$A591,실시간콜입력!$G:$G,$B591,실시간콜입력!$O:$O,"방문완료")+SUMIFS(실시간콜입력!$L:$L,실시간콜입력!$B:$B,$A591,실시간콜입력!$H:$H,$B591,실시간콜입력!$O:$O,"방문완료")</f>
        <v>0</v>
      </c>
      <c r="M591" s="29" t="str">
        <f t="shared" si="80"/>
        <v/>
      </c>
      <c r="N591" s="29"/>
    </row>
    <row r="592" spans="1:14" ht="19.5" hidden="1" customHeight="1" outlineLevel="1">
      <c r="A592" s="30">
        <f>IF(12&lt;=DAY(DATE(YEAR(설정_코스수당!$K$2),MONTH(설정_코스수당!$K$2)+1,0)),DATE(YEAR(설정_코스수당!$K$2),MONTH(설정_코스수당!$K$2),12),"")</f>
        <v>46185</v>
      </c>
      <c r="B592" s="29" t="s">
        <v>176</v>
      </c>
      <c r="C592" s="29"/>
      <c r="D592" s="29"/>
      <c r="E592" s="29" t="str">
        <f t="shared" si="78"/>
        <v/>
      </c>
      <c r="F592" s="29">
        <f>COUNTIFS(실시간콜입력!$B:$B,$A592,실시간콜입력!$E:$E,"A",실시간콜입력!$G:$G,$B592,실시간콜입력!$O:$O,"방문완료")+COUNTIFS(실시간콜입력!$B:$B,$A592,실시간콜입력!$E:$E,"A",실시간콜입력!$H:$H,$B592,실시간콜입력!$O:$O,"방문완료")</f>
        <v>0</v>
      </c>
      <c r="G592" s="29">
        <f>COUNTIFS(실시간콜입력!$B:$B,$A592,실시간콜입력!$E:$E,"B",실시간콜입력!$G:$G,$B592,실시간콜입력!$O:$O,"방문완료")+COUNTIFS(실시간콜입력!$B:$B,$A592,실시간콜입력!$E:$E,"B",실시간콜입력!$H:$H,$B592,실시간콜입력!$O:$O,"방문완료")</f>
        <v>0</v>
      </c>
      <c r="H592" s="29">
        <f>COUNTIFS(실시간콜입력!$B:$B,$A592,실시간콜입력!$E:$E,"C",실시간콜입력!$G:$G,$B592,실시간콜입력!$O:$O,"방문완료")+COUNTIFS(실시간콜입력!$B:$B,$A592,실시간콜입력!$E:$E,"C",실시간콜입력!$H:$H,$B592,실시간콜입력!$O:$O,"방문완료")</f>
        <v>0</v>
      </c>
      <c r="I592" s="29">
        <f>COUNTIFS(실시간콜입력!$B:$B,$A592,실시간콜입력!$E:$E,"D",실시간콜입력!$G:$G,$B592,실시간콜입력!$O:$O,"방문완료")+COUNTIFS(실시간콜입력!$B:$B,$A592,실시간콜입력!$E:$E,"D",실시간콜입력!$H:$H,$B592,실시간콜입력!$O:$O,"방문완료")</f>
        <v>0</v>
      </c>
      <c r="J592" s="29">
        <f>COUNTIFS(실시간콜입력!$B:$B,$A592,실시간콜입력!$E:$E,"E",실시간콜입력!$G:$G,$B592,실시간콜입력!$O:$O,"방문완료")+COUNTIFS(실시간콜입력!$B:$B,$A592,실시간콜입력!$E:$E,"E",실시간콜입력!$H:$H,$B592,실시간콜입력!$O:$O,"방문완료")</f>
        <v>0</v>
      </c>
      <c r="K592" s="29">
        <f t="shared" si="79"/>
        <v>0</v>
      </c>
      <c r="L592" s="33">
        <f>SUMIFS(실시간콜입력!$K:$K,실시간콜입력!$B:$B,$A592,실시간콜입력!$G:$G,$B592,실시간콜입력!$O:$O,"방문완료")+SUMIFS(실시간콜입력!$L:$L,실시간콜입력!$B:$B,$A592,실시간콜입력!$H:$H,$B592,실시간콜입력!$O:$O,"방문완료")</f>
        <v>0</v>
      </c>
      <c r="M592" s="29" t="str">
        <f t="shared" si="80"/>
        <v/>
      </c>
      <c r="N592" s="29"/>
    </row>
    <row r="593" spans="1:14" ht="19.5" hidden="1" customHeight="1" outlineLevel="1">
      <c r="A593" s="24">
        <f>IF(12&lt;=DAY(DATE(YEAR(설정_코스수당!$K$2),MONTH(설정_코스수당!$K$2)+1,0)),DATE(YEAR(설정_코스수당!$K$2),MONTH(설정_코스수당!$K$2),12),"")</f>
        <v>46185</v>
      </c>
      <c r="B593" s="23" t="s">
        <v>177</v>
      </c>
      <c r="C593" s="29"/>
      <c r="D593" s="29"/>
      <c r="E593" s="29" t="str">
        <f t="shared" si="78"/>
        <v/>
      </c>
      <c r="F593" s="29">
        <f>COUNTIFS(실시간콜입력!$B:$B,$A593,실시간콜입력!$E:$E,"A",실시간콜입력!$G:$G,$B593,실시간콜입력!$O:$O,"방문완료")+COUNTIFS(실시간콜입력!$B:$B,$A593,실시간콜입력!$E:$E,"A",실시간콜입력!$H:$H,$B593,실시간콜입력!$O:$O,"방문완료")</f>
        <v>0</v>
      </c>
      <c r="G593" s="29">
        <f>COUNTIFS(실시간콜입력!$B:$B,$A593,실시간콜입력!$E:$E,"B",실시간콜입력!$G:$G,$B593,실시간콜입력!$O:$O,"방문완료")+COUNTIFS(실시간콜입력!$B:$B,$A593,실시간콜입력!$E:$E,"B",실시간콜입력!$H:$H,$B593,실시간콜입력!$O:$O,"방문완료")</f>
        <v>0</v>
      </c>
      <c r="H593" s="29">
        <f>COUNTIFS(실시간콜입력!$B:$B,$A593,실시간콜입력!$E:$E,"C",실시간콜입력!$G:$G,$B593,실시간콜입력!$O:$O,"방문완료")+COUNTIFS(실시간콜입력!$B:$B,$A593,실시간콜입력!$E:$E,"C",실시간콜입력!$H:$H,$B593,실시간콜입력!$O:$O,"방문완료")</f>
        <v>0</v>
      </c>
      <c r="I593" s="29">
        <f>COUNTIFS(실시간콜입력!$B:$B,$A593,실시간콜입력!$E:$E,"D",실시간콜입력!$G:$G,$B593,실시간콜입력!$O:$O,"방문완료")+COUNTIFS(실시간콜입력!$B:$B,$A593,실시간콜입력!$E:$E,"D",실시간콜입력!$H:$H,$B593,실시간콜입력!$O:$O,"방문완료")</f>
        <v>0</v>
      </c>
      <c r="J593" s="29">
        <f>COUNTIFS(실시간콜입력!$B:$B,$A593,실시간콜입력!$E:$E,"E",실시간콜입력!$G:$G,$B593,실시간콜입력!$O:$O,"방문완료")+COUNTIFS(실시간콜입력!$B:$B,$A593,실시간콜입력!$E:$E,"E",실시간콜입력!$H:$H,$B593,실시간콜입력!$O:$O,"방문완료")</f>
        <v>0</v>
      </c>
      <c r="K593" s="29">
        <f t="shared" si="79"/>
        <v>0</v>
      </c>
      <c r="L593" s="27">
        <f>SUMIFS(실시간콜입력!$K:$K,실시간콜입력!$B:$B,$A593,실시간콜입력!$G:$G,$B593,실시간콜입력!$O:$O,"방문완료")+SUMIFS(실시간콜입력!$L:$L,실시간콜입력!$B:$B,$A593,실시간콜입력!$H:$H,$B593,실시간콜입력!$O:$O,"방문완료")</f>
        <v>0</v>
      </c>
      <c r="M593" s="29" t="str">
        <f t="shared" si="80"/>
        <v/>
      </c>
      <c r="N593" s="29"/>
    </row>
    <row r="594" spans="1:14" ht="19.5" hidden="1" customHeight="1" outlineLevel="1">
      <c r="A594" s="30">
        <f>IF(12&lt;=DAY(DATE(YEAR(설정_코스수당!$K$2),MONTH(설정_코스수당!$K$2)+1,0)),DATE(YEAR(설정_코스수당!$K$2),MONTH(설정_코스수당!$K$2),12),"")</f>
        <v>46185</v>
      </c>
      <c r="B594" s="29" t="s">
        <v>178</v>
      </c>
      <c r="C594" s="29"/>
      <c r="D594" s="29"/>
      <c r="E594" s="29" t="str">
        <f t="shared" si="78"/>
        <v/>
      </c>
      <c r="F594" s="29">
        <f>COUNTIFS(실시간콜입력!$B:$B,$A594,실시간콜입력!$E:$E,"A",실시간콜입력!$G:$G,$B594,실시간콜입력!$O:$O,"방문완료")+COUNTIFS(실시간콜입력!$B:$B,$A594,실시간콜입력!$E:$E,"A",실시간콜입력!$H:$H,$B594,실시간콜입력!$O:$O,"방문완료")</f>
        <v>0</v>
      </c>
      <c r="G594" s="29">
        <f>COUNTIFS(실시간콜입력!$B:$B,$A594,실시간콜입력!$E:$E,"B",실시간콜입력!$G:$G,$B594,실시간콜입력!$O:$O,"방문완료")+COUNTIFS(실시간콜입력!$B:$B,$A594,실시간콜입력!$E:$E,"B",실시간콜입력!$H:$H,$B594,실시간콜입력!$O:$O,"방문완료")</f>
        <v>0</v>
      </c>
      <c r="H594" s="29">
        <f>COUNTIFS(실시간콜입력!$B:$B,$A594,실시간콜입력!$E:$E,"C",실시간콜입력!$G:$G,$B594,실시간콜입력!$O:$O,"방문완료")+COUNTIFS(실시간콜입력!$B:$B,$A594,실시간콜입력!$E:$E,"C",실시간콜입력!$H:$H,$B594,실시간콜입력!$O:$O,"방문완료")</f>
        <v>0</v>
      </c>
      <c r="I594" s="29">
        <f>COUNTIFS(실시간콜입력!$B:$B,$A594,실시간콜입력!$E:$E,"D",실시간콜입력!$G:$G,$B594,실시간콜입력!$O:$O,"방문완료")+COUNTIFS(실시간콜입력!$B:$B,$A594,실시간콜입력!$E:$E,"D",실시간콜입력!$H:$H,$B594,실시간콜입력!$O:$O,"방문완료")</f>
        <v>0</v>
      </c>
      <c r="J594" s="29">
        <f>COUNTIFS(실시간콜입력!$B:$B,$A594,실시간콜입력!$E:$E,"E",실시간콜입력!$G:$G,$B594,실시간콜입력!$O:$O,"방문완료")+COUNTIFS(실시간콜입력!$B:$B,$A594,실시간콜입력!$E:$E,"E",실시간콜입력!$H:$H,$B594,실시간콜입력!$O:$O,"방문완료")</f>
        <v>0</v>
      </c>
      <c r="K594" s="29">
        <f t="shared" si="79"/>
        <v>0</v>
      </c>
      <c r="L594" s="33">
        <f>SUMIFS(실시간콜입력!$K:$K,실시간콜입력!$B:$B,$A594,실시간콜입력!$G:$G,$B594,실시간콜입력!$O:$O,"방문완료")+SUMIFS(실시간콜입력!$L:$L,실시간콜입력!$B:$B,$A594,실시간콜입력!$H:$H,$B594,실시간콜입력!$O:$O,"방문완료")</f>
        <v>0</v>
      </c>
      <c r="M594" s="29" t="str">
        <f t="shared" si="80"/>
        <v/>
      </c>
      <c r="N594" s="29"/>
    </row>
    <row r="595" spans="1:14" ht="19.5" hidden="1" customHeight="1" outlineLevel="1">
      <c r="A595" s="24">
        <f>IF(12&lt;=DAY(DATE(YEAR(설정_코스수당!$K$2),MONTH(설정_코스수당!$K$2)+1,0)),DATE(YEAR(설정_코스수당!$K$2),MONTH(설정_코스수당!$K$2),12),"")</f>
        <v>46185</v>
      </c>
      <c r="B595" s="23" t="s">
        <v>179</v>
      </c>
      <c r="C595" s="29"/>
      <c r="D595" s="29"/>
      <c r="E595" s="29" t="str">
        <f t="shared" si="78"/>
        <v/>
      </c>
      <c r="F595" s="29">
        <f>COUNTIFS(실시간콜입력!$B:$B,$A595,실시간콜입력!$E:$E,"A",실시간콜입력!$G:$G,$B595,실시간콜입력!$O:$O,"방문완료")+COUNTIFS(실시간콜입력!$B:$B,$A595,실시간콜입력!$E:$E,"A",실시간콜입력!$H:$H,$B595,실시간콜입력!$O:$O,"방문완료")</f>
        <v>0</v>
      </c>
      <c r="G595" s="29">
        <f>COUNTIFS(실시간콜입력!$B:$B,$A595,실시간콜입력!$E:$E,"B",실시간콜입력!$G:$G,$B595,실시간콜입력!$O:$O,"방문완료")+COUNTIFS(실시간콜입력!$B:$B,$A595,실시간콜입력!$E:$E,"B",실시간콜입력!$H:$H,$B595,실시간콜입력!$O:$O,"방문완료")</f>
        <v>0</v>
      </c>
      <c r="H595" s="29">
        <f>COUNTIFS(실시간콜입력!$B:$B,$A595,실시간콜입력!$E:$E,"C",실시간콜입력!$G:$G,$B595,실시간콜입력!$O:$O,"방문완료")+COUNTIFS(실시간콜입력!$B:$B,$A595,실시간콜입력!$E:$E,"C",실시간콜입력!$H:$H,$B595,실시간콜입력!$O:$O,"방문완료")</f>
        <v>0</v>
      </c>
      <c r="I595" s="29">
        <f>COUNTIFS(실시간콜입력!$B:$B,$A595,실시간콜입력!$E:$E,"D",실시간콜입력!$G:$G,$B595,실시간콜입력!$O:$O,"방문완료")+COUNTIFS(실시간콜입력!$B:$B,$A595,실시간콜입력!$E:$E,"D",실시간콜입력!$H:$H,$B595,실시간콜입력!$O:$O,"방문완료")</f>
        <v>0</v>
      </c>
      <c r="J595" s="29">
        <f>COUNTIFS(실시간콜입력!$B:$B,$A595,실시간콜입력!$E:$E,"E",실시간콜입력!$G:$G,$B595,실시간콜입력!$O:$O,"방문완료")+COUNTIFS(실시간콜입력!$B:$B,$A595,실시간콜입력!$E:$E,"E",실시간콜입력!$H:$H,$B595,실시간콜입력!$O:$O,"방문완료")</f>
        <v>0</v>
      </c>
      <c r="K595" s="29">
        <f t="shared" si="79"/>
        <v>0</v>
      </c>
      <c r="L595" s="27">
        <f>SUMIFS(실시간콜입력!$K:$K,실시간콜입력!$B:$B,$A595,실시간콜입력!$G:$G,$B595,실시간콜입력!$O:$O,"방문완료")+SUMIFS(실시간콜입력!$L:$L,실시간콜입력!$B:$B,$A595,실시간콜입력!$H:$H,$B595,실시간콜입력!$O:$O,"방문완료")</f>
        <v>0</v>
      </c>
      <c r="M595" s="29" t="str">
        <f t="shared" si="80"/>
        <v/>
      </c>
      <c r="N595" s="29"/>
    </row>
    <row r="596" spans="1:14" ht="19.5" hidden="1" customHeight="1" outlineLevel="1">
      <c r="A596" s="30">
        <f>IF(12&lt;=DAY(DATE(YEAR(설정_코스수당!$K$2),MONTH(설정_코스수당!$K$2)+1,0)),DATE(YEAR(설정_코스수당!$K$2),MONTH(설정_코스수당!$K$2),12),"")</f>
        <v>46185</v>
      </c>
      <c r="B596" s="29" t="s">
        <v>180</v>
      </c>
      <c r="C596" s="29"/>
      <c r="D596" s="29"/>
      <c r="E596" s="29" t="str">
        <f t="shared" si="78"/>
        <v/>
      </c>
      <c r="F596" s="29">
        <f>COUNTIFS(실시간콜입력!$B:$B,$A596,실시간콜입력!$E:$E,"A",실시간콜입력!$G:$G,$B596,실시간콜입력!$O:$O,"방문완료")+COUNTIFS(실시간콜입력!$B:$B,$A596,실시간콜입력!$E:$E,"A",실시간콜입력!$H:$H,$B596,실시간콜입력!$O:$O,"방문완료")</f>
        <v>0</v>
      </c>
      <c r="G596" s="29">
        <f>COUNTIFS(실시간콜입력!$B:$B,$A596,실시간콜입력!$E:$E,"B",실시간콜입력!$G:$G,$B596,실시간콜입력!$O:$O,"방문완료")+COUNTIFS(실시간콜입력!$B:$B,$A596,실시간콜입력!$E:$E,"B",실시간콜입력!$H:$H,$B596,실시간콜입력!$O:$O,"방문완료")</f>
        <v>0</v>
      </c>
      <c r="H596" s="29">
        <f>COUNTIFS(실시간콜입력!$B:$B,$A596,실시간콜입력!$E:$E,"C",실시간콜입력!$G:$G,$B596,실시간콜입력!$O:$O,"방문완료")+COUNTIFS(실시간콜입력!$B:$B,$A596,실시간콜입력!$E:$E,"C",실시간콜입력!$H:$H,$B596,실시간콜입력!$O:$O,"방문완료")</f>
        <v>0</v>
      </c>
      <c r="I596" s="29">
        <f>COUNTIFS(실시간콜입력!$B:$B,$A596,실시간콜입력!$E:$E,"D",실시간콜입력!$G:$G,$B596,실시간콜입력!$O:$O,"방문완료")+COUNTIFS(실시간콜입력!$B:$B,$A596,실시간콜입력!$E:$E,"D",실시간콜입력!$H:$H,$B596,실시간콜입력!$O:$O,"방문완료")</f>
        <v>0</v>
      </c>
      <c r="J596" s="29">
        <f>COUNTIFS(실시간콜입력!$B:$B,$A596,실시간콜입력!$E:$E,"E",실시간콜입력!$G:$G,$B596,실시간콜입력!$O:$O,"방문완료")+COUNTIFS(실시간콜입력!$B:$B,$A596,실시간콜입력!$E:$E,"E",실시간콜입력!$H:$H,$B596,실시간콜입력!$O:$O,"방문완료")</f>
        <v>0</v>
      </c>
      <c r="K596" s="29">
        <f t="shared" si="79"/>
        <v>0</v>
      </c>
      <c r="L596" s="33">
        <f>SUMIFS(실시간콜입력!$K:$K,실시간콜입력!$B:$B,$A596,실시간콜입력!$G:$G,$B596,실시간콜입력!$O:$O,"방문완료")+SUMIFS(실시간콜입력!$L:$L,실시간콜입력!$B:$B,$A596,실시간콜입력!$H:$H,$B596,실시간콜입력!$O:$O,"방문완료")</f>
        <v>0</v>
      </c>
      <c r="M596" s="29" t="str">
        <f t="shared" si="80"/>
        <v/>
      </c>
      <c r="N596" s="29"/>
    </row>
    <row r="597" spans="1:14" ht="19.5" hidden="1" customHeight="1" outlineLevel="1">
      <c r="A597" s="24">
        <f>IF(12&lt;=DAY(DATE(YEAR(설정_코스수당!$K$2),MONTH(설정_코스수당!$K$2)+1,0)),DATE(YEAR(설정_코스수당!$K$2),MONTH(설정_코스수당!$K$2),12),"")</f>
        <v>46185</v>
      </c>
      <c r="B597" s="23" t="s">
        <v>181</v>
      </c>
      <c r="C597" s="29"/>
      <c r="D597" s="29"/>
      <c r="E597" s="29" t="str">
        <f t="shared" si="78"/>
        <v/>
      </c>
      <c r="F597" s="29">
        <f>COUNTIFS(실시간콜입력!$B:$B,$A597,실시간콜입력!$E:$E,"A",실시간콜입력!$G:$G,$B597,실시간콜입력!$O:$O,"방문완료")+COUNTIFS(실시간콜입력!$B:$B,$A597,실시간콜입력!$E:$E,"A",실시간콜입력!$H:$H,$B597,실시간콜입력!$O:$O,"방문완료")</f>
        <v>0</v>
      </c>
      <c r="G597" s="29">
        <f>COUNTIFS(실시간콜입력!$B:$B,$A597,실시간콜입력!$E:$E,"B",실시간콜입력!$G:$G,$B597,실시간콜입력!$O:$O,"방문완료")+COUNTIFS(실시간콜입력!$B:$B,$A597,실시간콜입력!$E:$E,"B",실시간콜입력!$H:$H,$B597,실시간콜입력!$O:$O,"방문완료")</f>
        <v>0</v>
      </c>
      <c r="H597" s="29">
        <f>COUNTIFS(실시간콜입력!$B:$B,$A597,실시간콜입력!$E:$E,"C",실시간콜입력!$G:$G,$B597,실시간콜입력!$O:$O,"방문완료")+COUNTIFS(실시간콜입력!$B:$B,$A597,실시간콜입력!$E:$E,"C",실시간콜입력!$H:$H,$B597,실시간콜입력!$O:$O,"방문완료")</f>
        <v>0</v>
      </c>
      <c r="I597" s="29">
        <f>COUNTIFS(실시간콜입력!$B:$B,$A597,실시간콜입력!$E:$E,"D",실시간콜입력!$G:$G,$B597,실시간콜입력!$O:$O,"방문완료")+COUNTIFS(실시간콜입력!$B:$B,$A597,실시간콜입력!$E:$E,"D",실시간콜입력!$H:$H,$B597,실시간콜입력!$O:$O,"방문완료")</f>
        <v>0</v>
      </c>
      <c r="J597" s="29">
        <f>COUNTIFS(실시간콜입력!$B:$B,$A597,실시간콜입력!$E:$E,"E",실시간콜입력!$G:$G,$B597,실시간콜입력!$O:$O,"방문완료")+COUNTIFS(실시간콜입력!$B:$B,$A597,실시간콜입력!$E:$E,"E",실시간콜입력!$H:$H,$B597,실시간콜입력!$O:$O,"방문완료")</f>
        <v>0</v>
      </c>
      <c r="K597" s="29">
        <f t="shared" si="79"/>
        <v>0</v>
      </c>
      <c r="L597" s="27">
        <f>SUMIFS(실시간콜입력!$K:$K,실시간콜입력!$B:$B,$A597,실시간콜입력!$G:$G,$B597,실시간콜입력!$O:$O,"방문완료")+SUMIFS(실시간콜입력!$L:$L,실시간콜입력!$B:$B,$A597,실시간콜입력!$H:$H,$B597,실시간콜입력!$O:$O,"방문완료")</f>
        <v>0</v>
      </c>
      <c r="M597" s="29" t="str">
        <f t="shared" si="80"/>
        <v/>
      </c>
      <c r="N597" s="29"/>
    </row>
    <row r="598" spans="1:14" ht="19.5" hidden="1" customHeight="1" outlineLevel="1">
      <c r="A598" s="30">
        <f>IF(12&lt;=DAY(DATE(YEAR(설정_코스수당!$K$2),MONTH(설정_코스수당!$K$2)+1,0)),DATE(YEAR(설정_코스수당!$K$2),MONTH(설정_코스수당!$K$2),12),"")</f>
        <v>46185</v>
      </c>
      <c r="B598" s="29" t="s">
        <v>182</v>
      </c>
      <c r="C598" s="29"/>
      <c r="D598" s="29"/>
      <c r="E598" s="29" t="str">
        <f t="shared" si="78"/>
        <v/>
      </c>
      <c r="F598" s="29">
        <f>COUNTIFS(실시간콜입력!$B:$B,$A598,실시간콜입력!$E:$E,"A",실시간콜입력!$G:$G,$B598,실시간콜입력!$O:$O,"방문완료")+COUNTIFS(실시간콜입력!$B:$B,$A598,실시간콜입력!$E:$E,"A",실시간콜입력!$H:$H,$B598,실시간콜입력!$O:$O,"방문완료")</f>
        <v>0</v>
      </c>
      <c r="G598" s="29">
        <f>COUNTIFS(실시간콜입력!$B:$B,$A598,실시간콜입력!$E:$E,"B",실시간콜입력!$G:$G,$B598,실시간콜입력!$O:$O,"방문완료")+COUNTIFS(실시간콜입력!$B:$B,$A598,실시간콜입력!$E:$E,"B",실시간콜입력!$H:$H,$B598,실시간콜입력!$O:$O,"방문완료")</f>
        <v>0</v>
      </c>
      <c r="H598" s="29">
        <f>COUNTIFS(실시간콜입력!$B:$B,$A598,실시간콜입력!$E:$E,"C",실시간콜입력!$G:$G,$B598,실시간콜입력!$O:$O,"방문완료")+COUNTIFS(실시간콜입력!$B:$B,$A598,실시간콜입력!$E:$E,"C",실시간콜입력!$H:$H,$B598,실시간콜입력!$O:$O,"방문완료")</f>
        <v>0</v>
      </c>
      <c r="I598" s="29">
        <f>COUNTIFS(실시간콜입력!$B:$B,$A598,실시간콜입력!$E:$E,"D",실시간콜입력!$G:$G,$B598,실시간콜입력!$O:$O,"방문완료")+COUNTIFS(실시간콜입력!$B:$B,$A598,실시간콜입력!$E:$E,"D",실시간콜입력!$H:$H,$B598,실시간콜입력!$O:$O,"방문완료")</f>
        <v>0</v>
      </c>
      <c r="J598" s="29">
        <f>COUNTIFS(실시간콜입력!$B:$B,$A598,실시간콜입력!$E:$E,"E",실시간콜입력!$G:$G,$B598,실시간콜입력!$O:$O,"방문완료")+COUNTIFS(실시간콜입력!$B:$B,$A598,실시간콜입력!$E:$E,"E",실시간콜입력!$H:$H,$B598,실시간콜입력!$O:$O,"방문완료")</f>
        <v>0</v>
      </c>
      <c r="K598" s="29">
        <f t="shared" si="79"/>
        <v>0</v>
      </c>
      <c r="L598" s="33">
        <f>SUMIFS(실시간콜입력!$K:$K,실시간콜입력!$B:$B,$A598,실시간콜입력!$G:$G,$B598,실시간콜입력!$O:$O,"방문완료")+SUMIFS(실시간콜입력!$L:$L,실시간콜입력!$B:$B,$A598,실시간콜입력!$H:$H,$B598,실시간콜입력!$O:$O,"방문완료")</f>
        <v>0</v>
      </c>
      <c r="M598" s="29" t="str">
        <f t="shared" si="80"/>
        <v/>
      </c>
      <c r="N598" s="29"/>
    </row>
    <row r="599" spans="1:14" ht="19.5" hidden="1" customHeight="1" outlineLevel="1">
      <c r="A599" s="24">
        <f>IF(12&lt;=DAY(DATE(YEAR(설정_코스수당!$K$2),MONTH(설정_코스수당!$K$2)+1,0)),DATE(YEAR(설정_코스수당!$K$2),MONTH(설정_코스수당!$K$2),12),"")</f>
        <v>46185</v>
      </c>
      <c r="B599" s="23" t="s">
        <v>183</v>
      </c>
      <c r="C599" s="29"/>
      <c r="D599" s="29"/>
      <c r="E599" s="29" t="str">
        <f t="shared" si="78"/>
        <v/>
      </c>
      <c r="F599" s="29">
        <f>COUNTIFS(실시간콜입력!$B:$B,$A599,실시간콜입력!$E:$E,"A",실시간콜입력!$G:$G,$B599,실시간콜입력!$O:$O,"방문완료")+COUNTIFS(실시간콜입력!$B:$B,$A599,실시간콜입력!$E:$E,"A",실시간콜입력!$H:$H,$B599,실시간콜입력!$O:$O,"방문완료")</f>
        <v>0</v>
      </c>
      <c r="G599" s="29">
        <f>COUNTIFS(실시간콜입력!$B:$B,$A599,실시간콜입력!$E:$E,"B",실시간콜입력!$G:$G,$B599,실시간콜입력!$O:$O,"방문완료")+COUNTIFS(실시간콜입력!$B:$B,$A599,실시간콜입력!$E:$E,"B",실시간콜입력!$H:$H,$B599,실시간콜입력!$O:$O,"방문완료")</f>
        <v>0</v>
      </c>
      <c r="H599" s="29">
        <f>COUNTIFS(실시간콜입력!$B:$B,$A599,실시간콜입력!$E:$E,"C",실시간콜입력!$G:$G,$B599,실시간콜입력!$O:$O,"방문완료")+COUNTIFS(실시간콜입력!$B:$B,$A599,실시간콜입력!$E:$E,"C",실시간콜입력!$H:$H,$B599,실시간콜입력!$O:$O,"방문완료")</f>
        <v>0</v>
      </c>
      <c r="I599" s="29">
        <f>COUNTIFS(실시간콜입력!$B:$B,$A599,실시간콜입력!$E:$E,"D",실시간콜입력!$G:$G,$B599,실시간콜입력!$O:$O,"방문완료")+COUNTIFS(실시간콜입력!$B:$B,$A599,실시간콜입력!$E:$E,"D",실시간콜입력!$H:$H,$B599,실시간콜입력!$O:$O,"방문완료")</f>
        <v>0</v>
      </c>
      <c r="J599" s="29">
        <f>COUNTIFS(실시간콜입력!$B:$B,$A599,실시간콜입력!$E:$E,"E",실시간콜입력!$G:$G,$B599,실시간콜입력!$O:$O,"방문완료")+COUNTIFS(실시간콜입력!$B:$B,$A599,실시간콜입력!$E:$E,"E",실시간콜입력!$H:$H,$B599,실시간콜입력!$O:$O,"방문완료")</f>
        <v>0</v>
      </c>
      <c r="K599" s="29">
        <f t="shared" si="79"/>
        <v>0</v>
      </c>
      <c r="L599" s="27">
        <f>SUMIFS(실시간콜입력!$K:$K,실시간콜입력!$B:$B,$A599,실시간콜입력!$G:$G,$B599,실시간콜입력!$O:$O,"방문완료")+SUMIFS(실시간콜입력!$L:$L,실시간콜입력!$B:$B,$A599,실시간콜입력!$H:$H,$B599,실시간콜입력!$O:$O,"방문완료")</f>
        <v>0</v>
      </c>
      <c r="M599" s="29" t="str">
        <f t="shared" si="80"/>
        <v/>
      </c>
      <c r="N599" s="29"/>
    </row>
    <row r="600" spans="1:14" ht="19.5" hidden="1" customHeight="1" outlineLevel="1">
      <c r="A600" s="30">
        <f>IF(12&lt;=DAY(DATE(YEAR(설정_코스수당!$K$2),MONTH(설정_코스수당!$K$2)+1,0)),DATE(YEAR(설정_코스수당!$K$2),MONTH(설정_코스수당!$K$2),12),"")</f>
        <v>46185</v>
      </c>
      <c r="B600" s="29" t="s">
        <v>184</v>
      </c>
      <c r="C600" s="29"/>
      <c r="D600" s="29"/>
      <c r="E600" s="29" t="str">
        <f t="shared" si="78"/>
        <v/>
      </c>
      <c r="F600" s="29">
        <f>COUNTIFS(실시간콜입력!$B:$B,$A600,실시간콜입력!$E:$E,"A",실시간콜입력!$G:$G,$B600,실시간콜입력!$O:$O,"방문완료")+COUNTIFS(실시간콜입력!$B:$B,$A600,실시간콜입력!$E:$E,"A",실시간콜입력!$H:$H,$B600,실시간콜입력!$O:$O,"방문완료")</f>
        <v>0</v>
      </c>
      <c r="G600" s="29">
        <f>COUNTIFS(실시간콜입력!$B:$B,$A600,실시간콜입력!$E:$E,"B",실시간콜입력!$G:$G,$B600,실시간콜입력!$O:$O,"방문완료")+COUNTIFS(실시간콜입력!$B:$B,$A600,실시간콜입력!$E:$E,"B",실시간콜입력!$H:$H,$B600,실시간콜입력!$O:$O,"방문완료")</f>
        <v>0</v>
      </c>
      <c r="H600" s="29">
        <f>COUNTIFS(실시간콜입력!$B:$B,$A600,실시간콜입력!$E:$E,"C",실시간콜입력!$G:$G,$B600,실시간콜입력!$O:$O,"방문완료")+COUNTIFS(실시간콜입력!$B:$B,$A600,실시간콜입력!$E:$E,"C",실시간콜입력!$H:$H,$B600,실시간콜입력!$O:$O,"방문완료")</f>
        <v>0</v>
      </c>
      <c r="I600" s="29">
        <f>COUNTIFS(실시간콜입력!$B:$B,$A600,실시간콜입력!$E:$E,"D",실시간콜입력!$G:$G,$B600,실시간콜입력!$O:$O,"방문완료")+COUNTIFS(실시간콜입력!$B:$B,$A600,실시간콜입력!$E:$E,"D",실시간콜입력!$H:$H,$B600,실시간콜입력!$O:$O,"방문완료")</f>
        <v>0</v>
      </c>
      <c r="J600" s="29">
        <f>COUNTIFS(실시간콜입력!$B:$B,$A600,실시간콜입력!$E:$E,"E",실시간콜입력!$G:$G,$B600,실시간콜입력!$O:$O,"방문완료")+COUNTIFS(실시간콜입력!$B:$B,$A600,실시간콜입력!$E:$E,"E",실시간콜입력!$H:$H,$B600,실시간콜입력!$O:$O,"방문완료")</f>
        <v>0</v>
      </c>
      <c r="K600" s="29">
        <f t="shared" si="79"/>
        <v>0</v>
      </c>
      <c r="L600" s="33">
        <f>SUMIFS(실시간콜입력!$K:$K,실시간콜입력!$B:$B,$A600,실시간콜입력!$G:$G,$B600,실시간콜입력!$O:$O,"방문완료")+SUMIFS(실시간콜입력!$L:$L,실시간콜입력!$B:$B,$A600,실시간콜입력!$H:$H,$B600,실시간콜입력!$O:$O,"방문완료")</f>
        <v>0</v>
      </c>
      <c r="M600" s="29" t="str">
        <f t="shared" si="80"/>
        <v/>
      </c>
      <c r="N600" s="29"/>
    </row>
    <row r="601" spans="1:14" ht="19.5" hidden="1" customHeight="1" outlineLevel="1">
      <c r="A601" s="24">
        <f>IF(12&lt;=DAY(DATE(YEAR(설정_코스수당!$K$2),MONTH(설정_코스수당!$K$2)+1,0)),DATE(YEAR(설정_코스수당!$K$2),MONTH(설정_코스수당!$K$2),12),"")</f>
        <v>46185</v>
      </c>
      <c r="B601" s="23" t="s">
        <v>185</v>
      </c>
      <c r="C601" s="29"/>
      <c r="D601" s="29"/>
      <c r="E601" s="29" t="str">
        <f t="shared" si="78"/>
        <v/>
      </c>
      <c r="F601" s="29">
        <f>COUNTIFS(실시간콜입력!$B:$B,$A601,실시간콜입력!$E:$E,"A",실시간콜입력!$G:$G,$B601,실시간콜입력!$O:$O,"방문완료")+COUNTIFS(실시간콜입력!$B:$B,$A601,실시간콜입력!$E:$E,"A",실시간콜입력!$H:$H,$B601,실시간콜입력!$O:$O,"방문완료")</f>
        <v>0</v>
      </c>
      <c r="G601" s="29">
        <f>COUNTIFS(실시간콜입력!$B:$B,$A601,실시간콜입력!$E:$E,"B",실시간콜입력!$G:$G,$B601,실시간콜입력!$O:$O,"방문완료")+COUNTIFS(실시간콜입력!$B:$B,$A601,실시간콜입력!$E:$E,"B",실시간콜입력!$H:$H,$B601,실시간콜입력!$O:$O,"방문완료")</f>
        <v>0</v>
      </c>
      <c r="H601" s="29">
        <f>COUNTIFS(실시간콜입력!$B:$B,$A601,실시간콜입력!$E:$E,"C",실시간콜입력!$G:$G,$B601,실시간콜입력!$O:$O,"방문완료")+COUNTIFS(실시간콜입력!$B:$B,$A601,실시간콜입력!$E:$E,"C",실시간콜입력!$H:$H,$B601,실시간콜입력!$O:$O,"방문완료")</f>
        <v>0</v>
      </c>
      <c r="I601" s="29">
        <f>COUNTIFS(실시간콜입력!$B:$B,$A601,실시간콜입력!$E:$E,"D",실시간콜입력!$G:$G,$B601,실시간콜입력!$O:$O,"방문완료")+COUNTIFS(실시간콜입력!$B:$B,$A601,실시간콜입력!$E:$E,"D",실시간콜입력!$H:$H,$B601,실시간콜입력!$O:$O,"방문완료")</f>
        <v>0</v>
      </c>
      <c r="J601" s="29">
        <f>COUNTIFS(실시간콜입력!$B:$B,$A601,실시간콜입력!$E:$E,"E",실시간콜입력!$G:$G,$B601,실시간콜입력!$O:$O,"방문완료")+COUNTIFS(실시간콜입력!$B:$B,$A601,실시간콜입력!$E:$E,"E",실시간콜입력!$H:$H,$B601,실시간콜입력!$O:$O,"방문완료")</f>
        <v>0</v>
      </c>
      <c r="K601" s="29">
        <f t="shared" si="79"/>
        <v>0</v>
      </c>
      <c r="L601" s="27">
        <f>SUMIFS(실시간콜입력!$K:$K,실시간콜입력!$B:$B,$A601,실시간콜입력!$G:$G,$B601,실시간콜입력!$O:$O,"방문완료")+SUMIFS(실시간콜입력!$L:$L,실시간콜입력!$B:$B,$A601,실시간콜입력!$H:$H,$B601,실시간콜입력!$O:$O,"방문완료")</f>
        <v>0</v>
      </c>
      <c r="M601" s="29" t="str">
        <f t="shared" si="80"/>
        <v/>
      </c>
      <c r="N601" s="29"/>
    </row>
    <row r="602" spans="1:14" ht="19.5" hidden="1" customHeight="1" outlineLevel="1">
      <c r="A602" s="30">
        <f>IF(12&lt;=DAY(DATE(YEAR(설정_코스수당!$K$2),MONTH(설정_코스수당!$K$2)+1,0)),DATE(YEAR(설정_코스수당!$K$2),MONTH(설정_코스수당!$K$2),12),"")</f>
        <v>46185</v>
      </c>
      <c r="B602" s="29" t="s">
        <v>186</v>
      </c>
      <c r="C602" s="29"/>
      <c r="D602" s="29"/>
      <c r="E602" s="29" t="str">
        <f t="shared" si="78"/>
        <v/>
      </c>
      <c r="F602" s="29">
        <f>COUNTIFS(실시간콜입력!$B:$B,$A602,실시간콜입력!$E:$E,"A",실시간콜입력!$G:$G,$B602,실시간콜입력!$O:$O,"방문완료")+COUNTIFS(실시간콜입력!$B:$B,$A602,실시간콜입력!$E:$E,"A",실시간콜입력!$H:$H,$B602,실시간콜입력!$O:$O,"방문완료")</f>
        <v>0</v>
      </c>
      <c r="G602" s="29">
        <f>COUNTIFS(실시간콜입력!$B:$B,$A602,실시간콜입력!$E:$E,"B",실시간콜입력!$G:$G,$B602,실시간콜입력!$O:$O,"방문완료")+COUNTIFS(실시간콜입력!$B:$B,$A602,실시간콜입력!$E:$E,"B",실시간콜입력!$H:$H,$B602,실시간콜입력!$O:$O,"방문완료")</f>
        <v>0</v>
      </c>
      <c r="H602" s="29">
        <f>COUNTIFS(실시간콜입력!$B:$B,$A602,실시간콜입력!$E:$E,"C",실시간콜입력!$G:$G,$B602,실시간콜입력!$O:$O,"방문완료")+COUNTIFS(실시간콜입력!$B:$B,$A602,실시간콜입력!$E:$E,"C",실시간콜입력!$H:$H,$B602,실시간콜입력!$O:$O,"방문완료")</f>
        <v>0</v>
      </c>
      <c r="I602" s="29">
        <f>COUNTIFS(실시간콜입력!$B:$B,$A602,실시간콜입력!$E:$E,"D",실시간콜입력!$G:$G,$B602,실시간콜입력!$O:$O,"방문완료")+COUNTIFS(실시간콜입력!$B:$B,$A602,실시간콜입력!$E:$E,"D",실시간콜입력!$H:$H,$B602,실시간콜입력!$O:$O,"방문완료")</f>
        <v>0</v>
      </c>
      <c r="J602" s="29">
        <f>COUNTIFS(실시간콜입력!$B:$B,$A602,실시간콜입력!$E:$E,"E",실시간콜입력!$G:$G,$B602,실시간콜입력!$O:$O,"방문완료")+COUNTIFS(실시간콜입력!$B:$B,$A602,실시간콜입력!$E:$E,"E",실시간콜입력!$H:$H,$B602,실시간콜입력!$O:$O,"방문완료")</f>
        <v>0</v>
      </c>
      <c r="K602" s="29">
        <f t="shared" si="79"/>
        <v>0</v>
      </c>
      <c r="L602" s="33">
        <f>SUMIFS(실시간콜입력!$K:$K,실시간콜입력!$B:$B,$A602,실시간콜입력!$G:$G,$B602,실시간콜입력!$O:$O,"방문완료")+SUMIFS(실시간콜입력!$L:$L,실시간콜입력!$B:$B,$A602,실시간콜입력!$H:$H,$B602,실시간콜입력!$O:$O,"방문완료")</f>
        <v>0</v>
      </c>
      <c r="M602" s="29" t="str">
        <f t="shared" si="80"/>
        <v/>
      </c>
      <c r="N602" s="29"/>
    </row>
    <row r="603" spans="1:14" ht="19.5" hidden="1" customHeight="1" outlineLevel="1">
      <c r="A603" s="24">
        <f>IF(12&lt;=DAY(DATE(YEAR(설정_코스수당!$K$2),MONTH(설정_코스수당!$K$2)+1,0)),DATE(YEAR(설정_코스수당!$K$2),MONTH(설정_코스수당!$K$2),12),"")</f>
        <v>46185</v>
      </c>
      <c r="B603" s="23" t="s">
        <v>187</v>
      </c>
      <c r="C603" s="29"/>
      <c r="D603" s="29"/>
      <c r="E603" s="29" t="str">
        <f t="shared" si="78"/>
        <v/>
      </c>
      <c r="F603" s="29">
        <f>COUNTIFS(실시간콜입력!$B:$B,$A603,실시간콜입력!$E:$E,"A",실시간콜입력!$G:$G,$B603,실시간콜입력!$O:$O,"방문완료")+COUNTIFS(실시간콜입력!$B:$B,$A603,실시간콜입력!$E:$E,"A",실시간콜입력!$H:$H,$B603,실시간콜입력!$O:$O,"방문완료")</f>
        <v>0</v>
      </c>
      <c r="G603" s="29">
        <f>COUNTIFS(실시간콜입력!$B:$B,$A603,실시간콜입력!$E:$E,"B",실시간콜입력!$G:$G,$B603,실시간콜입력!$O:$O,"방문완료")+COUNTIFS(실시간콜입력!$B:$B,$A603,실시간콜입력!$E:$E,"B",실시간콜입력!$H:$H,$B603,실시간콜입력!$O:$O,"방문완료")</f>
        <v>0</v>
      </c>
      <c r="H603" s="29">
        <f>COUNTIFS(실시간콜입력!$B:$B,$A603,실시간콜입력!$E:$E,"C",실시간콜입력!$G:$G,$B603,실시간콜입력!$O:$O,"방문완료")+COUNTIFS(실시간콜입력!$B:$B,$A603,실시간콜입력!$E:$E,"C",실시간콜입력!$H:$H,$B603,실시간콜입력!$O:$O,"방문완료")</f>
        <v>0</v>
      </c>
      <c r="I603" s="29">
        <f>COUNTIFS(실시간콜입력!$B:$B,$A603,실시간콜입력!$E:$E,"D",실시간콜입력!$G:$G,$B603,실시간콜입력!$O:$O,"방문완료")+COUNTIFS(실시간콜입력!$B:$B,$A603,실시간콜입력!$E:$E,"D",실시간콜입력!$H:$H,$B603,실시간콜입력!$O:$O,"방문완료")</f>
        <v>0</v>
      </c>
      <c r="J603" s="29">
        <f>COUNTIFS(실시간콜입력!$B:$B,$A603,실시간콜입력!$E:$E,"E",실시간콜입력!$G:$G,$B603,실시간콜입력!$O:$O,"방문완료")+COUNTIFS(실시간콜입력!$B:$B,$A603,실시간콜입력!$E:$E,"E",실시간콜입력!$H:$H,$B603,실시간콜입력!$O:$O,"방문완료")</f>
        <v>0</v>
      </c>
      <c r="K603" s="29">
        <f t="shared" si="79"/>
        <v>0</v>
      </c>
      <c r="L603" s="27">
        <f>SUMIFS(실시간콜입력!$K:$K,실시간콜입력!$B:$B,$A603,실시간콜입력!$G:$G,$B603,실시간콜입력!$O:$O,"방문완료")+SUMIFS(실시간콜입력!$L:$L,실시간콜입력!$B:$B,$A603,실시간콜입력!$H:$H,$B603,실시간콜입력!$O:$O,"방문완료")</f>
        <v>0</v>
      </c>
      <c r="M603" s="29" t="str">
        <f t="shared" si="80"/>
        <v/>
      </c>
      <c r="N603" s="29"/>
    </row>
    <row r="604" spans="1:14" ht="19.5" hidden="1" customHeight="1" outlineLevel="1">
      <c r="A604" s="30">
        <f>IF(12&lt;=DAY(DATE(YEAR(설정_코스수당!$K$2),MONTH(설정_코스수당!$K$2)+1,0)),DATE(YEAR(설정_코스수당!$K$2),MONTH(설정_코스수당!$K$2),12),"")</f>
        <v>46185</v>
      </c>
      <c r="B604" s="29" t="s">
        <v>188</v>
      </c>
      <c r="C604" s="29"/>
      <c r="D604" s="29"/>
      <c r="E604" s="29" t="str">
        <f t="shared" si="78"/>
        <v/>
      </c>
      <c r="F604" s="29">
        <f>COUNTIFS(실시간콜입력!$B:$B,$A604,실시간콜입력!$E:$E,"A",실시간콜입력!$G:$G,$B604,실시간콜입력!$O:$O,"방문완료")+COUNTIFS(실시간콜입력!$B:$B,$A604,실시간콜입력!$E:$E,"A",실시간콜입력!$H:$H,$B604,실시간콜입력!$O:$O,"방문완료")</f>
        <v>0</v>
      </c>
      <c r="G604" s="29">
        <f>COUNTIFS(실시간콜입력!$B:$B,$A604,실시간콜입력!$E:$E,"B",실시간콜입력!$G:$G,$B604,실시간콜입력!$O:$O,"방문완료")+COUNTIFS(실시간콜입력!$B:$B,$A604,실시간콜입력!$E:$E,"B",실시간콜입력!$H:$H,$B604,실시간콜입력!$O:$O,"방문완료")</f>
        <v>0</v>
      </c>
      <c r="H604" s="29">
        <f>COUNTIFS(실시간콜입력!$B:$B,$A604,실시간콜입력!$E:$E,"C",실시간콜입력!$G:$G,$B604,실시간콜입력!$O:$O,"방문완료")+COUNTIFS(실시간콜입력!$B:$B,$A604,실시간콜입력!$E:$E,"C",실시간콜입력!$H:$H,$B604,실시간콜입력!$O:$O,"방문완료")</f>
        <v>0</v>
      </c>
      <c r="I604" s="29">
        <f>COUNTIFS(실시간콜입력!$B:$B,$A604,실시간콜입력!$E:$E,"D",실시간콜입력!$G:$G,$B604,실시간콜입력!$O:$O,"방문완료")+COUNTIFS(실시간콜입력!$B:$B,$A604,실시간콜입력!$E:$E,"D",실시간콜입력!$H:$H,$B604,실시간콜입력!$O:$O,"방문완료")</f>
        <v>0</v>
      </c>
      <c r="J604" s="29">
        <f>COUNTIFS(실시간콜입력!$B:$B,$A604,실시간콜입력!$E:$E,"E",실시간콜입력!$G:$G,$B604,실시간콜입력!$O:$O,"방문완료")+COUNTIFS(실시간콜입력!$B:$B,$A604,실시간콜입력!$E:$E,"E",실시간콜입력!$H:$H,$B604,실시간콜입력!$O:$O,"방문완료")</f>
        <v>0</v>
      </c>
      <c r="K604" s="29">
        <f t="shared" si="79"/>
        <v>0</v>
      </c>
      <c r="L604" s="33">
        <f>SUMIFS(실시간콜입력!$K:$K,실시간콜입력!$B:$B,$A604,실시간콜입력!$G:$G,$B604,실시간콜입력!$O:$O,"방문완료")+SUMIFS(실시간콜입력!$L:$L,실시간콜입력!$B:$B,$A604,실시간콜입력!$H:$H,$B604,실시간콜입력!$O:$O,"방문완료")</f>
        <v>0</v>
      </c>
      <c r="M604" s="29" t="str">
        <f t="shared" si="80"/>
        <v/>
      </c>
      <c r="N604" s="29"/>
    </row>
    <row r="605" spans="1:14" ht="19.5" hidden="1" customHeight="1" outlineLevel="1">
      <c r="A605" s="24">
        <f>IF(12&lt;=DAY(DATE(YEAR(설정_코스수당!$K$2),MONTH(설정_코스수당!$K$2)+1,0)),DATE(YEAR(설정_코스수당!$K$2),MONTH(설정_코스수당!$K$2),12),"")</f>
        <v>46185</v>
      </c>
      <c r="B605" s="23" t="s">
        <v>189</v>
      </c>
      <c r="C605" s="29"/>
      <c r="D605" s="29"/>
      <c r="E605" s="29" t="str">
        <f t="shared" si="78"/>
        <v/>
      </c>
      <c r="F605" s="29">
        <f>COUNTIFS(실시간콜입력!$B:$B,$A605,실시간콜입력!$E:$E,"A",실시간콜입력!$G:$G,$B605,실시간콜입력!$O:$O,"방문완료")+COUNTIFS(실시간콜입력!$B:$B,$A605,실시간콜입력!$E:$E,"A",실시간콜입력!$H:$H,$B605,실시간콜입력!$O:$O,"방문완료")</f>
        <v>0</v>
      </c>
      <c r="G605" s="29">
        <f>COUNTIFS(실시간콜입력!$B:$B,$A605,실시간콜입력!$E:$E,"B",실시간콜입력!$G:$G,$B605,실시간콜입력!$O:$O,"방문완료")+COUNTIFS(실시간콜입력!$B:$B,$A605,실시간콜입력!$E:$E,"B",실시간콜입력!$H:$H,$B605,실시간콜입력!$O:$O,"방문완료")</f>
        <v>0</v>
      </c>
      <c r="H605" s="29">
        <f>COUNTIFS(실시간콜입력!$B:$B,$A605,실시간콜입력!$E:$E,"C",실시간콜입력!$G:$G,$B605,실시간콜입력!$O:$O,"방문완료")+COUNTIFS(실시간콜입력!$B:$B,$A605,실시간콜입력!$E:$E,"C",실시간콜입력!$H:$H,$B605,실시간콜입력!$O:$O,"방문완료")</f>
        <v>0</v>
      </c>
      <c r="I605" s="29">
        <f>COUNTIFS(실시간콜입력!$B:$B,$A605,실시간콜입력!$E:$E,"D",실시간콜입력!$G:$G,$B605,실시간콜입력!$O:$O,"방문완료")+COUNTIFS(실시간콜입력!$B:$B,$A605,실시간콜입력!$E:$E,"D",실시간콜입력!$H:$H,$B605,실시간콜입력!$O:$O,"방문완료")</f>
        <v>0</v>
      </c>
      <c r="J605" s="29">
        <f>COUNTIFS(실시간콜입력!$B:$B,$A605,실시간콜입력!$E:$E,"E",실시간콜입력!$G:$G,$B605,실시간콜입력!$O:$O,"방문완료")+COUNTIFS(실시간콜입력!$B:$B,$A605,실시간콜입력!$E:$E,"E",실시간콜입력!$H:$H,$B605,실시간콜입력!$O:$O,"방문완료")</f>
        <v>0</v>
      </c>
      <c r="K605" s="29">
        <f t="shared" si="79"/>
        <v>0</v>
      </c>
      <c r="L605" s="27">
        <f>SUMIFS(실시간콜입력!$K:$K,실시간콜입력!$B:$B,$A605,실시간콜입력!$G:$G,$B605,실시간콜입력!$O:$O,"방문완료")+SUMIFS(실시간콜입력!$L:$L,실시간콜입력!$B:$B,$A605,실시간콜입력!$H:$H,$B605,실시간콜입력!$O:$O,"방문완료")</f>
        <v>0</v>
      </c>
      <c r="M605" s="29" t="str">
        <f t="shared" si="80"/>
        <v/>
      </c>
      <c r="N605" s="29"/>
    </row>
    <row r="606" spans="1:14" ht="19.5" hidden="1" customHeight="1" outlineLevel="1">
      <c r="A606" s="30">
        <f>IF(12&lt;=DAY(DATE(YEAR(설정_코스수당!$K$2),MONTH(설정_코스수당!$K$2)+1,0)),DATE(YEAR(설정_코스수당!$K$2),MONTH(설정_코스수당!$K$2),12),"")</f>
        <v>46185</v>
      </c>
      <c r="B606" s="29" t="s">
        <v>190</v>
      </c>
      <c r="C606" s="29"/>
      <c r="D606" s="29"/>
      <c r="E606" s="29" t="str">
        <f t="shared" si="78"/>
        <v/>
      </c>
      <c r="F606" s="29">
        <f>COUNTIFS(실시간콜입력!$B:$B,$A606,실시간콜입력!$E:$E,"A",실시간콜입력!$G:$G,$B606,실시간콜입력!$O:$O,"방문완료")+COUNTIFS(실시간콜입력!$B:$B,$A606,실시간콜입력!$E:$E,"A",실시간콜입력!$H:$H,$B606,실시간콜입력!$O:$O,"방문완료")</f>
        <v>0</v>
      </c>
      <c r="G606" s="29">
        <f>COUNTIFS(실시간콜입력!$B:$B,$A606,실시간콜입력!$E:$E,"B",실시간콜입력!$G:$G,$B606,실시간콜입력!$O:$O,"방문완료")+COUNTIFS(실시간콜입력!$B:$B,$A606,실시간콜입력!$E:$E,"B",실시간콜입력!$H:$H,$B606,실시간콜입력!$O:$O,"방문완료")</f>
        <v>0</v>
      </c>
      <c r="H606" s="29">
        <f>COUNTIFS(실시간콜입력!$B:$B,$A606,실시간콜입력!$E:$E,"C",실시간콜입력!$G:$G,$B606,실시간콜입력!$O:$O,"방문완료")+COUNTIFS(실시간콜입력!$B:$B,$A606,실시간콜입력!$E:$E,"C",실시간콜입력!$H:$H,$B606,실시간콜입력!$O:$O,"방문완료")</f>
        <v>0</v>
      </c>
      <c r="I606" s="29">
        <f>COUNTIFS(실시간콜입력!$B:$B,$A606,실시간콜입력!$E:$E,"D",실시간콜입력!$G:$G,$B606,실시간콜입력!$O:$O,"방문완료")+COUNTIFS(실시간콜입력!$B:$B,$A606,실시간콜입력!$E:$E,"D",실시간콜입력!$H:$H,$B606,실시간콜입력!$O:$O,"방문완료")</f>
        <v>0</v>
      </c>
      <c r="J606" s="29">
        <f>COUNTIFS(실시간콜입력!$B:$B,$A606,실시간콜입력!$E:$E,"E",실시간콜입력!$G:$G,$B606,실시간콜입력!$O:$O,"방문완료")+COUNTIFS(실시간콜입력!$B:$B,$A606,실시간콜입력!$E:$E,"E",실시간콜입력!$H:$H,$B606,실시간콜입력!$O:$O,"방문완료")</f>
        <v>0</v>
      </c>
      <c r="K606" s="29">
        <f t="shared" si="79"/>
        <v>0</v>
      </c>
      <c r="L606" s="33">
        <f>SUMIFS(실시간콜입력!$K:$K,실시간콜입력!$B:$B,$A606,실시간콜입력!$G:$G,$B606,실시간콜입력!$O:$O,"방문완료")+SUMIFS(실시간콜입력!$L:$L,실시간콜입력!$B:$B,$A606,실시간콜입력!$H:$H,$B606,실시간콜입력!$O:$O,"방문완료")</f>
        <v>0</v>
      </c>
      <c r="M606" s="29" t="str">
        <f t="shared" si="80"/>
        <v/>
      </c>
      <c r="N606" s="29"/>
    </row>
    <row r="607" spans="1:14" ht="19.5" hidden="1" customHeight="1" outlineLevel="1">
      <c r="A607" s="24">
        <f>IF(12&lt;=DAY(DATE(YEAR(설정_코스수당!$K$2),MONTH(설정_코스수당!$K$2)+1,0)),DATE(YEAR(설정_코스수당!$K$2),MONTH(설정_코스수당!$K$2),12),"")</f>
        <v>46185</v>
      </c>
      <c r="B607" s="23" t="s">
        <v>191</v>
      </c>
      <c r="C607" s="29"/>
      <c r="D607" s="29"/>
      <c r="E607" s="29" t="str">
        <f t="shared" si="78"/>
        <v/>
      </c>
      <c r="F607" s="29">
        <f>COUNTIFS(실시간콜입력!$B:$B,$A607,실시간콜입력!$E:$E,"A",실시간콜입력!$G:$G,$B607,실시간콜입력!$O:$O,"방문완료")+COUNTIFS(실시간콜입력!$B:$B,$A607,실시간콜입력!$E:$E,"A",실시간콜입력!$H:$H,$B607,실시간콜입력!$O:$O,"방문완료")</f>
        <v>0</v>
      </c>
      <c r="G607" s="29">
        <f>COUNTIFS(실시간콜입력!$B:$B,$A607,실시간콜입력!$E:$E,"B",실시간콜입력!$G:$G,$B607,실시간콜입력!$O:$O,"방문완료")+COUNTIFS(실시간콜입력!$B:$B,$A607,실시간콜입력!$E:$E,"B",실시간콜입력!$H:$H,$B607,실시간콜입력!$O:$O,"방문완료")</f>
        <v>0</v>
      </c>
      <c r="H607" s="29">
        <f>COUNTIFS(실시간콜입력!$B:$B,$A607,실시간콜입력!$E:$E,"C",실시간콜입력!$G:$G,$B607,실시간콜입력!$O:$O,"방문완료")+COUNTIFS(실시간콜입력!$B:$B,$A607,실시간콜입력!$E:$E,"C",실시간콜입력!$H:$H,$B607,실시간콜입력!$O:$O,"방문완료")</f>
        <v>0</v>
      </c>
      <c r="I607" s="29">
        <f>COUNTIFS(실시간콜입력!$B:$B,$A607,실시간콜입력!$E:$E,"D",실시간콜입력!$G:$G,$B607,실시간콜입력!$O:$O,"방문완료")+COUNTIFS(실시간콜입력!$B:$B,$A607,실시간콜입력!$E:$E,"D",실시간콜입력!$H:$H,$B607,실시간콜입력!$O:$O,"방문완료")</f>
        <v>0</v>
      </c>
      <c r="J607" s="29">
        <f>COUNTIFS(실시간콜입력!$B:$B,$A607,실시간콜입력!$E:$E,"E",실시간콜입력!$G:$G,$B607,실시간콜입력!$O:$O,"방문완료")+COUNTIFS(실시간콜입력!$B:$B,$A607,실시간콜입력!$E:$E,"E",실시간콜입력!$H:$H,$B607,실시간콜입력!$O:$O,"방문완료")</f>
        <v>0</v>
      </c>
      <c r="K607" s="29">
        <f t="shared" si="79"/>
        <v>0</v>
      </c>
      <c r="L607" s="27">
        <f>SUMIFS(실시간콜입력!$K:$K,실시간콜입력!$B:$B,$A607,실시간콜입력!$G:$G,$B607,실시간콜입력!$O:$O,"방문완료")+SUMIFS(실시간콜입력!$L:$L,실시간콜입력!$B:$B,$A607,실시간콜입력!$H:$H,$B607,실시간콜입력!$O:$O,"방문완료")</f>
        <v>0</v>
      </c>
      <c r="M607" s="29" t="str">
        <f t="shared" si="80"/>
        <v/>
      </c>
      <c r="N607" s="29"/>
    </row>
    <row r="608" spans="1:14" ht="19.5" hidden="1" customHeight="1" outlineLevel="1">
      <c r="A608" s="30">
        <f>IF(12&lt;=DAY(DATE(YEAR(설정_코스수당!$K$2),MONTH(설정_코스수당!$K$2)+1,0)),DATE(YEAR(설정_코스수당!$K$2),MONTH(설정_코스수당!$K$2),12),"")</f>
        <v>46185</v>
      </c>
      <c r="B608" s="29" t="s">
        <v>192</v>
      </c>
      <c r="C608" s="29"/>
      <c r="D608" s="29"/>
      <c r="E608" s="29" t="str">
        <f t="shared" si="78"/>
        <v/>
      </c>
      <c r="F608" s="29">
        <f>COUNTIFS(실시간콜입력!$B:$B,$A608,실시간콜입력!$E:$E,"A",실시간콜입력!$G:$G,$B608,실시간콜입력!$O:$O,"방문완료")+COUNTIFS(실시간콜입력!$B:$B,$A608,실시간콜입력!$E:$E,"A",실시간콜입력!$H:$H,$B608,실시간콜입력!$O:$O,"방문완료")</f>
        <v>0</v>
      </c>
      <c r="G608" s="29">
        <f>COUNTIFS(실시간콜입력!$B:$B,$A608,실시간콜입력!$E:$E,"B",실시간콜입력!$G:$G,$B608,실시간콜입력!$O:$O,"방문완료")+COUNTIFS(실시간콜입력!$B:$B,$A608,실시간콜입력!$E:$E,"B",실시간콜입력!$H:$H,$B608,실시간콜입력!$O:$O,"방문완료")</f>
        <v>0</v>
      </c>
      <c r="H608" s="29">
        <f>COUNTIFS(실시간콜입력!$B:$B,$A608,실시간콜입력!$E:$E,"C",실시간콜입력!$G:$G,$B608,실시간콜입력!$O:$O,"방문완료")+COUNTIFS(실시간콜입력!$B:$B,$A608,실시간콜입력!$E:$E,"C",실시간콜입력!$H:$H,$B608,실시간콜입력!$O:$O,"방문완료")</f>
        <v>0</v>
      </c>
      <c r="I608" s="29">
        <f>COUNTIFS(실시간콜입력!$B:$B,$A608,실시간콜입력!$E:$E,"D",실시간콜입력!$G:$G,$B608,실시간콜입력!$O:$O,"방문완료")+COUNTIFS(실시간콜입력!$B:$B,$A608,실시간콜입력!$E:$E,"D",실시간콜입력!$H:$H,$B608,실시간콜입력!$O:$O,"방문완료")</f>
        <v>0</v>
      </c>
      <c r="J608" s="29">
        <f>COUNTIFS(실시간콜입력!$B:$B,$A608,실시간콜입력!$E:$E,"E",실시간콜입력!$G:$G,$B608,실시간콜입력!$O:$O,"방문완료")+COUNTIFS(실시간콜입력!$B:$B,$A608,실시간콜입력!$E:$E,"E",실시간콜입력!$H:$H,$B608,실시간콜입력!$O:$O,"방문완료")</f>
        <v>0</v>
      </c>
      <c r="K608" s="29">
        <f t="shared" si="79"/>
        <v>0</v>
      </c>
      <c r="L608" s="33">
        <f>SUMIFS(실시간콜입력!$K:$K,실시간콜입력!$B:$B,$A608,실시간콜입력!$G:$G,$B608,실시간콜입력!$O:$O,"방문완료")+SUMIFS(실시간콜입력!$L:$L,실시간콜입력!$B:$B,$A608,실시간콜입력!$H:$H,$B608,실시간콜입력!$O:$O,"방문완료")</f>
        <v>0</v>
      </c>
      <c r="M608" s="29" t="str">
        <f t="shared" si="80"/>
        <v/>
      </c>
      <c r="N608" s="29"/>
    </row>
    <row r="609" spans="1:14" ht="19.5" hidden="1" customHeight="1" outlineLevel="1">
      <c r="A609" s="24">
        <f>IF(12&lt;=DAY(DATE(YEAR(설정_코스수당!$K$2),MONTH(설정_코스수당!$K$2)+1,0)),DATE(YEAR(설정_코스수당!$K$2),MONTH(설정_코스수당!$K$2),12),"")</f>
        <v>46185</v>
      </c>
      <c r="B609" s="23" t="s">
        <v>193</v>
      </c>
      <c r="C609" s="29"/>
      <c r="D609" s="29"/>
      <c r="E609" s="29" t="str">
        <f t="shared" si="78"/>
        <v/>
      </c>
      <c r="F609" s="29">
        <f>COUNTIFS(실시간콜입력!$B:$B,$A609,실시간콜입력!$E:$E,"A",실시간콜입력!$G:$G,$B609,실시간콜입력!$O:$O,"방문완료")+COUNTIFS(실시간콜입력!$B:$B,$A609,실시간콜입력!$E:$E,"A",실시간콜입력!$H:$H,$B609,실시간콜입력!$O:$O,"방문완료")</f>
        <v>0</v>
      </c>
      <c r="G609" s="29">
        <f>COUNTIFS(실시간콜입력!$B:$B,$A609,실시간콜입력!$E:$E,"B",실시간콜입력!$G:$G,$B609,실시간콜입력!$O:$O,"방문완료")+COUNTIFS(실시간콜입력!$B:$B,$A609,실시간콜입력!$E:$E,"B",실시간콜입력!$H:$H,$B609,실시간콜입력!$O:$O,"방문완료")</f>
        <v>0</v>
      </c>
      <c r="H609" s="29">
        <f>COUNTIFS(실시간콜입력!$B:$B,$A609,실시간콜입력!$E:$E,"C",실시간콜입력!$G:$G,$B609,실시간콜입력!$O:$O,"방문완료")+COUNTIFS(실시간콜입력!$B:$B,$A609,실시간콜입력!$E:$E,"C",실시간콜입력!$H:$H,$B609,실시간콜입력!$O:$O,"방문완료")</f>
        <v>0</v>
      </c>
      <c r="I609" s="29">
        <f>COUNTIFS(실시간콜입력!$B:$B,$A609,실시간콜입력!$E:$E,"D",실시간콜입력!$G:$G,$B609,실시간콜입력!$O:$O,"방문완료")+COUNTIFS(실시간콜입력!$B:$B,$A609,실시간콜입력!$E:$E,"D",실시간콜입력!$H:$H,$B609,실시간콜입력!$O:$O,"방문완료")</f>
        <v>0</v>
      </c>
      <c r="J609" s="29">
        <f>COUNTIFS(실시간콜입력!$B:$B,$A609,실시간콜입력!$E:$E,"E",실시간콜입력!$G:$G,$B609,실시간콜입력!$O:$O,"방문완료")+COUNTIFS(실시간콜입력!$B:$B,$A609,실시간콜입력!$E:$E,"E",실시간콜입력!$H:$H,$B609,실시간콜입력!$O:$O,"방문완료")</f>
        <v>0</v>
      </c>
      <c r="K609" s="29">
        <f t="shared" si="79"/>
        <v>0</v>
      </c>
      <c r="L609" s="27">
        <f>SUMIFS(실시간콜입력!$K:$K,실시간콜입력!$B:$B,$A609,실시간콜입력!$G:$G,$B609,실시간콜입력!$O:$O,"방문완료")+SUMIFS(실시간콜입력!$L:$L,실시간콜입력!$B:$B,$A609,실시간콜입력!$H:$H,$B609,실시간콜입력!$O:$O,"방문완료")</f>
        <v>0</v>
      </c>
      <c r="M609" s="29" t="str">
        <f t="shared" si="80"/>
        <v/>
      </c>
      <c r="N609" s="29"/>
    </row>
    <row r="610" spans="1:14" ht="19.5" hidden="1" customHeight="1" outlineLevel="1">
      <c r="A610" s="30">
        <f>IF(12&lt;=DAY(DATE(YEAR(설정_코스수당!$K$2),MONTH(설정_코스수당!$K$2)+1,0)),DATE(YEAR(설정_코스수당!$K$2),MONTH(설정_코스수당!$K$2),12),"")</f>
        <v>46185</v>
      </c>
      <c r="B610" s="29" t="s">
        <v>194</v>
      </c>
      <c r="C610" s="29"/>
      <c r="D610" s="29"/>
      <c r="E610" s="29" t="str">
        <f t="shared" si="78"/>
        <v/>
      </c>
      <c r="F610" s="29">
        <f>COUNTIFS(실시간콜입력!$B:$B,$A610,실시간콜입력!$E:$E,"A",실시간콜입력!$G:$G,$B610,실시간콜입력!$O:$O,"방문완료")+COUNTIFS(실시간콜입력!$B:$B,$A610,실시간콜입력!$E:$E,"A",실시간콜입력!$H:$H,$B610,실시간콜입력!$O:$O,"방문완료")</f>
        <v>0</v>
      </c>
      <c r="G610" s="29">
        <f>COUNTIFS(실시간콜입력!$B:$B,$A610,실시간콜입력!$E:$E,"B",실시간콜입력!$G:$G,$B610,실시간콜입력!$O:$O,"방문완료")+COUNTIFS(실시간콜입력!$B:$B,$A610,실시간콜입력!$E:$E,"B",실시간콜입력!$H:$H,$B610,실시간콜입력!$O:$O,"방문완료")</f>
        <v>0</v>
      </c>
      <c r="H610" s="29">
        <f>COUNTIFS(실시간콜입력!$B:$B,$A610,실시간콜입력!$E:$E,"C",실시간콜입력!$G:$G,$B610,실시간콜입력!$O:$O,"방문완료")+COUNTIFS(실시간콜입력!$B:$B,$A610,실시간콜입력!$E:$E,"C",실시간콜입력!$H:$H,$B610,실시간콜입력!$O:$O,"방문완료")</f>
        <v>0</v>
      </c>
      <c r="I610" s="29">
        <f>COUNTIFS(실시간콜입력!$B:$B,$A610,실시간콜입력!$E:$E,"D",실시간콜입력!$G:$G,$B610,실시간콜입력!$O:$O,"방문완료")+COUNTIFS(실시간콜입력!$B:$B,$A610,실시간콜입력!$E:$E,"D",실시간콜입력!$H:$H,$B610,실시간콜입력!$O:$O,"방문완료")</f>
        <v>0</v>
      </c>
      <c r="J610" s="29">
        <f>COUNTIFS(실시간콜입력!$B:$B,$A610,실시간콜입력!$E:$E,"E",실시간콜입력!$G:$G,$B610,실시간콜입력!$O:$O,"방문완료")+COUNTIFS(실시간콜입력!$B:$B,$A610,실시간콜입력!$E:$E,"E",실시간콜입력!$H:$H,$B610,실시간콜입력!$O:$O,"방문완료")</f>
        <v>0</v>
      </c>
      <c r="K610" s="29">
        <f t="shared" si="79"/>
        <v>0</v>
      </c>
      <c r="L610" s="33">
        <f>SUMIFS(실시간콜입력!$K:$K,실시간콜입력!$B:$B,$A610,실시간콜입력!$G:$G,$B610,실시간콜입력!$O:$O,"방문완료")+SUMIFS(실시간콜입력!$L:$L,실시간콜입력!$B:$B,$A610,실시간콜입력!$H:$H,$B610,실시간콜입력!$O:$O,"방문완료")</f>
        <v>0</v>
      </c>
      <c r="M610" s="29" t="str">
        <f t="shared" si="80"/>
        <v/>
      </c>
      <c r="N610" s="29"/>
    </row>
    <row r="611" spans="1:14" ht="19.5" hidden="1" customHeight="1" outlineLevel="1">
      <c r="A611" s="24">
        <f>IF(12&lt;=DAY(DATE(YEAR(설정_코스수당!$K$2),MONTH(설정_코스수당!$K$2)+1,0)),DATE(YEAR(설정_코스수당!$K$2),MONTH(설정_코스수당!$K$2),12),"")</f>
        <v>46185</v>
      </c>
      <c r="B611" s="23" t="s">
        <v>195</v>
      </c>
      <c r="C611" s="29"/>
      <c r="D611" s="29"/>
      <c r="E611" s="29" t="str">
        <f t="shared" ref="E611:E642" si="81">IF(AND(C611&lt;&gt;"",D611&lt;&gt;""),IF(D611&lt;C611,D611+1-C611,D611-C611)*24,"")</f>
        <v/>
      </c>
      <c r="F611" s="29">
        <f>COUNTIFS(실시간콜입력!$B:$B,$A611,실시간콜입력!$E:$E,"A",실시간콜입력!$G:$G,$B611,실시간콜입력!$O:$O,"방문완료")+COUNTIFS(실시간콜입력!$B:$B,$A611,실시간콜입력!$E:$E,"A",실시간콜입력!$H:$H,$B611,실시간콜입력!$O:$O,"방문완료")</f>
        <v>0</v>
      </c>
      <c r="G611" s="29">
        <f>COUNTIFS(실시간콜입력!$B:$B,$A611,실시간콜입력!$E:$E,"B",실시간콜입력!$G:$G,$B611,실시간콜입력!$O:$O,"방문완료")+COUNTIFS(실시간콜입력!$B:$B,$A611,실시간콜입력!$E:$E,"B",실시간콜입력!$H:$H,$B611,실시간콜입력!$O:$O,"방문완료")</f>
        <v>0</v>
      </c>
      <c r="H611" s="29">
        <f>COUNTIFS(실시간콜입력!$B:$B,$A611,실시간콜입력!$E:$E,"C",실시간콜입력!$G:$G,$B611,실시간콜입력!$O:$O,"방문완료")+COUNTIFS(실시간콜입력!$B:$B,$A611,실시간콜입력!$E:$E,"C",실시간콜입력!$H:$H,$B611,실시간콜입력!$O:$O,"방문완료")</f>
        <v>0</v>
      </c>
      <c r="I611" s="29">
        <f>COUNTIFS(실시간콜입력!$B:$B,$A611,실시간콜입력!$E:$E,"D",실시간콜입력!$G:$G,$B611,실시간콜입력!$O:$O,"방문완료")+COUNTIFS(실시간콜입력!$B:$B,$A611,실시간콜입력!$E:$E,"D",실시간콜입력!$H:$H,$B611,실시간콜입력!$O:$O,"방문완료")</f>
        <v>0</v>
      </c>
      <c r="J611" s="29">
        <f>COUNTIFS(실시간콜입력!$B:$B,$A611,실시간콜입력!$E:$E,"E",실시간콜입력!$G:$G,$B611,실시간콜입력!$O:$O,"방문완료")+COUNTIFS(실시간콜입력!$B:$B,$A611,실시간콜입력!$E:$E,"E",실시간콜입력!$H:$H,$B611,실시간콜입력!$O:$O,"방문완료")</f>
        <v>0</v>
      </c>
      <c r="K611" s="29">
        <f t="shared" ref="K611:K642" si="82">SUM(F611:J611)</f>
        <v>0</v>
      </c>
      <c r="L611" s="27">
        <f>SUMIFS(실시간콜입력!$K:$K,실시간콜입력!$B:$B,$A611,실시간콜입력!$G:$G,$B611,실시간콜입력!$O:$O,"방문완료")+SUMIFS(실시간콜입력!$L:$L,실시간콜입력!$B:$B,$A611,실시간콜입력!$H:$H,$B611,실시간콜입력!$O:$O,"방문완료")</f>
        <v>0</v>
      </c>
      <c r="M611" s="29" t="str">
        <f t="shared" ref="M611:M628" si="83">IF(AND(ISNUMBER(E611),E611&gt;=8),"인정","")</f>
        <v/>
      </c>
      <c r="N611" s="29"/>
    </row>
    <row r="612" spans="1:14" ht="19.5" hidden="1" customHeight="1" outlineLevel="1">
      <c r="A612" s="30">
        <f>IF(12&lt;=DAY(DATE(YEAR(설정_코스수당!$K$2),MONTH(설정_코스수당!$K$2)+1,0)),DATE(YEAR(설정_코스수당!$K$2),MONTH(설정_코스수당!$K$2),12),"")</f>
        <v>46185</v>
      </c>
      <c r="B612" s="29" t="s">
        <v>196</v>
      </c>
      <c r="C612" s="29"/>
      <c r="D612" s="29"/>
      <c r="E612" s="29" t="str">
        <f t="shared" si="81"/>
        <v/>
      </c>
      <c r="F612" s="29">
        <f>COUNTIFS(실시간콜입력!$B:$B,$A612,실시간콜입력!$E:$E,"A",실시간콜입력!$G:$G,$B612,실시간콜입력!$O:$O,"방문완료")+COUNTIFS(실시간콜입력!$B:$B,$A612,실시간콜입력!$E:$E,"A",실시간콜입력!$H:$H,$B612,실시간콜입력!$O:$O,"방문완료")</f>
        <v>0</v>
      </c>
      <c r="G612" s="29">
        <f>COUNTIFS(실시간콜입력!$B:$B,$A612,실시간콜입력!$E:$E,"B",실시간콜입력!$G:$G,$B612,실시간콜입력!$O:$O,"방문완료")+COUNTIFS(실시간콜입력!$B:$B,$A612,실시간콜입력!$E:$E,"B",실시간콜입력!$H:$H,$B612,실시간콜입력!$O:$O,"방문완료")</f>
        <v>0</v>
      </c>
      <c r="H612" s="29">
        <f>COUNTIFS(실시간콜입력!$B:$B,$A612,실시간콜입력!$E:$E,"C",실시간콜입력!$G:$G,$B612,실시간콜입력!$O:$O,"방문완료")+COUNTIFS(실시간콜입력!$B:$B,$A612,실시간콜입력!$E:$E,"C",실시간콜입력!$H:$H,$B612,실시간콜입력!$O:$O,"방문완료")</f>
        <v>0</v>
      </c>
      <c r="I612" s="29">
        <f>COUNTIFS(실시간콜입력!$B:$B,$A612,실시간콜입력!$E:$E,"D",실시간콜입력!$G:$G,$B612,실시간콜입력!$O:$O,"방문완료")+COUNTIFS(실시간콜입력!$B:$B,$A612,실시간콜입력!$E:$E,"D",실시간콜입력!$H:$H,$B612,실시간콜입력!$O:$O,"방문완료")</f>
        <v>0</v>
      </c>
      <c r="J612" s="29">
        <f>COUNTIFS(실시간콜입력!$B:$B,$A612,실시간콜입력!$E:$E,"E",실시간콜입력!$G:$G,$B612,실시간콜입력!$O:$O,"방문완료")+COUNTIFS(실시간콜입력!$B:$B,$A612,실시간콜입력!$E:$E,"E",실시간콜입력!$H:$H,$B612,실시간콜입력!$O:$O,"방문완료")</f>
        <v>0</v>
      </c>
      <c r="K612" s="29">
        <f t="shared" si="82"/>
        <v>0</v>
      </c>
      <c r="L612" s="33">
        <f>SUMIFS(실시간콜입력!$K:$K,실시간콜입력!$B:$B,$A612,실시간콜입력!$G:$G,$B612,실시간콜입력!$O:$O,"방문완료")+SUMIFS(실시간콜입력!$L:$L,실시간콜입력!$B:$B,$A612,실시간콜입력!$H:$H,$B612,실시간콜입력!$O:$O,"방문완료")</f>
        <v>0</v>
      </c>
      <c r="M612" s="29" t="str">
        <f t="shared" si="83"/>
        <v/>
      </c>
      <c r="N612" s="29"/>
    </row>
    <row r="613" spans="1:14" ht="19.5" hidden="1" customHeight="1" outlineLevel="1">
      <c r="A613" s="24">
        <f>IF(12&lt;=DAY(DATE(YEAR(설정_코스수당!$K$2),MONTH(설정_코스수당!$K$2)+1,0)),DATE(YEAR(설정_코스수당!$K$2),MONTH(설정_코스수당!$K$2),12),"")</f>
        <v>46185</v>
      </c>
      <c r="B613" s="23" t="s">
        <v>197</v>
      </c>
      <c r="C613" s="29"/>
      <c r="D613" s="29"/>
      <c r="E613" s="29" t="str">
        <f t="shared" si="81"/>
        <v/>
      </c>
      <c r="F613" s="29">
        <f>COUNTIFS(실시간콜입력!$B:$B,$A613,실시간콜입력!$E:$E,"A",실시간콜입력!$G:$G,$B613,실시간콜입력!$O:$O,"방문완료")+COUNTIFS(실시간콜입력!$B:$B,$A613,실시간콜입력!$E:$E,"A",실시간콜입력!$H:$H,$B613,실시간콜입력!$O:$O,"방문완료")</f>
        <v>0</v>
      </c>
      <c r="G613" s="29">
        <f>COUNTIFS(실시간콜입력!$B:$B,$A613,실시간콜입력!$E:$E,"B",실시간콜입력!$G:$G,$B613,실시간콜입력!$O:$O,"방문완료")+COUNTIFS(실시간콜입력!$B:$B,$A613,실시간콜입력!$E:$E,"B",실시간콜입력!$H:$H,$B613,실시간콜입력!$O:$O,"방문완료")</f>
        <v>0</v>
      </c>
      <c r="H613" s="29">
        <f>COUNTIFS(실시간콜입력!$B:$B,$A613,실시간콜입력!$E:$E,"C",실시간콜입력!$G:$G,$B613,실시간콜입력!$O:$O,"방문완료")+COUNTIFS(실시간콜입력!$B:$B,$A613,실시간콜입력!$E:$E,"C",실시간콜입력!$H:$H,$B613,실시간콜입력!$O:$O,"방문완료")</f>
        <v>0</v>
      </c>
      <c r="I613" s="29">
        <f>COUNTIFS(실시간콜입력!$B:$B,$A613,실시간콜입력!$E:$E,"D",실시간콜입력!$G:$G,$B613,실시간콜입력!$O:$O,"방문완료")+COUNTIFS(실시간콜입력!$B:$B,$A613,실시간콜입력!$E:$E,"D",실시간콜입력!$H:$H,$B613,실시간콜입력!$O:$O,"방문완료")</f>
        <v>0</v>
      </c>
      <c r="J613" s="29">
        <f>COUNTIFS(실시간콜입력!$B:$B,$A613,실시간콜입력!$E:$E,"E",실시간콜입력!$G:$G,$B613,실시간콜입력!$O:$O,"방문완료")+COUNTIFS(실시간콜입력!$B:$B,$A613,실시간콜입력!$E:$E,"E",실시간콜입력!$H:$H,$B613,실시간콜입력!$O:$O,"방문완료")</f>
        <v>0</v>
      </c>
      <c r="K613" s="29">
        <f t="shared" si="82"/>
        <v>0</v>
      </c>
      <c r="L613" s="27">
        <f>SUMIFS(실시간콜입력!$K:$K,실시간콜입력!$B:$B,$A613,실시간콜입력!$G:$G,$B613,실시간콜입력!$O:$O,"방문완료")+SUMIFS(실시간콜입력!$L:$L,실시간콜입력!$B:$B,$A613,실시간콜입력!$H:$H,$B613,실시간콜입력!$O:$O,"방문완료")</f>
        <v>0</v>
      </c>
      <c r="M613" s="29" t="str">
        <f t="shared" si="83"/>
        <v/>
      </c>
      <c r="N613" s="29"/>
    </row>
    <row r="614" spans="1:14" ht="19.5" hidden="1" customHeight="1" outlineLevel="1">
      <c r="A614" s="30">
        <f>IF(12&lt;=DAY(DATE(YEAR(설정_코스수당!$K$2),MONTH(설정_코스수당!$K$2)+1,0)),DATE(YEAR(설정_코스수당!$K$2),MONTH(설정_코스수당!$K$2),12),"")</f>
        <v>46185</v>
      </c>
      <c r="B614" s="29" t="s">
        <v>198</v>
      </c>
      <c r="C614" s="29"/>
      <c r="D614" s="29"/>
      <c r="E614" s="29" t="str">
        <f t="shared" si="81"/>
        <v/>
      </c>
      <c r="F614" s="29">
        <f>COUNTIFS(실시간콜입력!$B:$B,$A614,실시간콜입력!$E:$E,"A",실시간콜입력!$G:$G,$B614,실시간콜입력!$O:$O,"방문완료")+COUNTIFS(실시간콜입력!$B:$B,$A614,실시간콜입력!$E:$E,"A",실시간콜입력!$H:$H,$B614,실시간콜입력!$O:$O,"방문완료")</f>
        <v>0</v>
      </c>
      <c r="G614" s="29">
        <f>COUNTIFS(실시간콜입력!$B:$B,$A614,실시간콜입력!$E:$E,"B",실시간콜입력!$G:$G,$B614,실시간콜입력!$O:$O,"방문완료")+COUNTIFS(실시간콜입력!$B:$B,$A614,실시간콜입력!$E:$E,"B",실시간콜입력!$H:$H,$B614,실시간콜입력!$O:$O,"방문완료")</f>
        <v>0</v>
      </c>
      <c r="H614" s="29">
        <f>COUNTIFS(실시간콜입력!$B:$B,$A614,실시간콜입력!$E:$E,"C",실시간콜입력!$G:$G,$B614,실시간콜입력!$O:$O,"방문완료")+COUNTIFS(실시간콜입력!$B:$B,$A614,실시간콜입력!$E:$E,"C",실시간콜입력!$H:$H,$B614,실시간콜입력!$O:$O,"방문완료")</f>
        <v>0</v>
      </c>
      <c r="I614" s="29">
        <f>COUNTIFS(실시간콜입력!$B:$B,$A614,실시간콜입력!$E:$E,"D",실시간콜입력!$G:$G,$B614,실시간콜입력!$O:$O,"방문완료")+COUNTIFS(실시간콜입력!$B:$B,$A614,실시간콜입력!$E:$E,"D",실시간콜입력!$H:$H,$B614,실시간콜입력!$O:$O,"방문완료")</f>
        <v>0</v>
      </c>
      <c r="J614" s="29">
        <f>COUNTIFS(실시간콜입력!$B:$B,$A614,실시간콜입력!$E:$E,"E",실시간콜입력!$G:$G,$B614,실시간콜입력!$O:$O,"방문완료")+COUNTIFS(실시간콜입력!$B:$B,$A614,실시간콜입력!$E:$E,"E",실시간콜입력!$H:$H,$B614,실시간콜입력!$O:$O,"방문완료")</f>
        <v>0</v>
      </c>
      <c r="K614" s="29">
        <f t="shared" si="82"/>
        <v>0</v>
      </c>
      <c r="L614" s="33">
        <f>SUMIFS(실시간콜입력!$K:$K,실시간콜입력!$B:$B,$A614,실시간콜입력!$G:$G,$B614,실시간콜입력!$O:$O,"방문완료")+SUMIFS(실시간콜입력!$L:$L,실시간콜입력!$B:$B,$A614,실시간콜입력!$H:$H,$B614,실시간콜입력!$O:$O,"방문완료")</f>
        <v>0</v>
      </c>
      <c r="M614" s="29" t="str">
        <f t="shared" si="83"/>
        <v/>
      </c>
      <c r="N614" s="29"/>
    </row>
    <row r="615" spans="1:14" ht="19.5" hidden="1" customHeight="1" outlineLevel="1">
      <c r="A615" s="24">
        <f>IF(12&lt;=DAY(DATE(YEAR(설정_코스수당!$K$2),MONTH(설정_코스수당!$K$2)+1,0)),DATE(YEAR(설정_코스수당!$K$2),MONTH(설정_코스수당!$K$2),12),"")</f>
        <v>46185</v>
      </c>
      <c r="B615" s="23" t="s">
        <v>199</v>
      </c>
      <c r="C615" s="29"/>
      <c r="D615" s="29"/>
      <c r="E615" s="29" t="str">
        <f t="shared" si="81"/>
        <v/>
      </c>
      <c r="F615" s="29">
        <f>COUNTIFS(실시간콜입력!$B:$B,$A615,실시간콜입력!$E:$E,"A",실시간콜입력!$G:$G,$B615,실시간콜입력!$O:$O,"방문완료")+COUNTIFS(실시간콜입력!$B:$B,$A615,실시간콜입력!$E:$E,"A",실시간콜입력!$H:$H,$B615,실시간콜입력!$O:$O,"방문완료")</f>
        <v>0</v>
      </c>
      <c r="G615" s="29">
        <f>COUNTIFS(실시간콜입력!$B:$B,$A615,실시간콜입력!$E:$E,"B",실시간콜입력!$G:$G,$B615,실시간콜입력!$O:$O,"방문완료")+COUNTIFS(실시간콜입력!$B:$B,$A615,실시간콜입력!$E:$E,"B",실시간콜입력!$H:$H,$B615,실시간콜입력!$O:$O,"방문완료")</f>
        <v>0</v>
      </c>
      <c r="H615" s="29">
        <f>COUNTIFS(실시간콜입력!$B:$B,$A615,실시간콜입력!$E:$E,"C",실시간콜입력!$G:$G,$B615,실시간콜입력!$O:$O,"방문완료")+COUNTIFS(실시간콜입력!$B:$B,$A615,실시간콜입력!$E:$E,"C",실시간콜입력!$H:$H,$B615,실시간콜입력!$O:$O,"방문완료")</f>
        <v>0</v>
      </c>
      <c r="I615" s="29">
        <f>COUNTIFS(실시간콜입력!$B:$B,$A615,실시간콜입력!$E:$E,"D",실시간콜입력!$G:$G,$B615,실시간콜입력!$O:$O,"방문완료")+COUNTIFS(실시간콜입력!$B:$B,$A615,실시간콜입력!$E:$E,"D",실시간콜입력!$H:$H,$B615,실시간콜입력!$O:$O,"방문완료")</f>
        <v>0</v>
      </c>
      <c r="J615" s="29">
        <f>COUNTIFS(실시간콜입력!$B:$B,$A615,실시간콜입력!$E:$E,"E",실시간콜입력!$G:$G,$B615,실시간콜입력!$O:$O,"방문완료")+COUNTIFS(실시간콜입력!$B:$B,$A615,실시간콜입력!$E:$E,"E",실시간콜입력!$H:$H,$B615,실시간콜입력!$O:$O,"방문완료")</f>
        <v>0</v>
      </c>
      <c r="K615" s="29">
        <f t="shared" si="82"/>
        <v>0</v>
      </c>
      <c r="L615" s="27">
        <f>SUMIFS(실시간콜입력!$K:$K,실시간콜입력!$B:$B,$A615,실시간콜입력!$G:$G,$B615,실시간콜입력!$O:$O,"방문완료")+SUMIFS(실시간콜입력!$L:$L,실시간콜입력!$B:$B,$A615,실시간콜입력!$H:$H,$B615,실시간콜입력!$O:$O,"방문완료")</f>
        <v>0</v>
      </c>
      <c r="M615" s="29" t="str">
        <f t="shared" si="83"/>
        <v/>
      </c>
      <c r="N615" s="29"/>
    </row>
    <row r="616" spans="1:14" ht="19.5" hidden="1" customHeight="1" outlineLevel="1">
      <c r="A616" s="30">
        <f>IF(12&lt;=DAY(DATE(YEAR(설정_코스수당!$K$2),MONTH(설정_코스수당!$K$2)+1,0)),DATE(YEAR(설정_코스수당!$K$2),MONTH(설정_코스수당!$K$2),12),"")</f>
        <v>46185</v>
      </c>
      <c r="B616" s="29" t="s">
        <v>200</v>
      </c>
      <c r="C616" s="29"/>
      <c r="D616" s="29"/>
      <c r="E616" s="29" t="str">
        <f t="shared" si="81"/>
        <v/>
      </c>
      <c r="F616" s="29">
        <f>COUNTIFS(실시간콜입력!$B:$B,$A616,실시간콜입력!$E:$E,"A",실시간콜입력!$G:$G,$B616,실시간콜입력!$O:$O,"방문완료")+COUNTIFS(실시간콜입력!$B:$B,$A616,실시간콜입력!$E:$E,"A",실시간콜입력!$H:$H,$B616,실시간콜입력!$O:$O,"방문완료")</f>
        <v>0</v>
      </c>
      <c r="G616" s="29">
        <f>COUNTIFS(실시간콜입력!$B:$B,$A616,실시간콜입력!$E:$E,"B",실시간콜입력!$G:$G,$B616,실시간콜입력!$O:$O,"방문완료")+COUNTIFS(실시간콜입력!$B:$B,$A616,실시간콜입력!$E:$E,"B",실시간콜입력!$H:$H,$B616,실시간콜입력!$O:$O,"방문완료")</f>
        <v>0</v>
      </c>
      <c r="H616" s="29">
        <f>COUNTIFS(실시간콜입력!$B:$B,$A616,실시간콜입력!$E:$E,"C",실시간콜입력!$G:$G,$B616,실시간콜입력!$O:$O,"방문완료")+COUNTIFS(실시간콜입력!$B:$B,$A616,실시간콜입력!$E:$E,"C",실시간콜입력!$H:$H,$B616,실시간콜입력!$O:$O,"방문완료")</f>
        <v>0</v>
      </c>
      <c r="I616" s="29">
        <f>COUNTIFS(실시간콜입력!$B:$B,$A616,실시간콜입력!$E:$E,"D",실시간콜입력!$G:$G,$B616,실시간콜입력!$O:$O,"방문완료")+COUNTIFS(실시간콜입력!$B:$B,$A616,실시간콜입력!$E:$E,"D",실시간콜입력!$H:$H,$B616,실시간콜입력!$O:$O,"방문완료")</f>
        <v>0</v>
      </c>
      <c r="J616" s="29">
        <f>COUNTIFS(실시간콜입력!$B:$B,$A616,실시간콜입력!$E:$E,"E",실시간콜입력!$G:$G,$B616,실시간콜입력!$O:$O,"방문완료")+COUNTIFS(실시간콜입력!$B:$B,$A616,실시간콜입력!$E:$E,"E",실시간콜입력!$H:$H,$B616,실시간콜입력!$O:$O,"방문완료")</f>
        <v>0</v>
      </c>
      <c r="K616" s="29">
        <f t="shared" si="82"/>
        <v>0</v>
      </c>
      <c r="L616" s="33">
        <f>SUMIFS(실시간콜입력!$K:$K,실시간콜입력!$B:$B,$A616,실시간콜입력!$G:$G,$B616,실시간콜입력!$O:$O,"방문완료")+SUMIFS(실시간콜입력!$L:$L,실시간콜입력!$B:$B,$A616,실시간콜입력!$H:$H,$B616,실시간콜입력!$O:$O,"방문완료")</f>
        <v>0</v>
      </c>
      <c r="M616" s="29" t="str">
        <f t="shared" si="83"/>
        <v/>
      </c>
      <c r="N616" s="29"/>
    </row>
    <row r="617" spans="1:14" ht="19.5" hidden="1" customHeight="1" outlineLevel="1">
      <c r="A617" s="24">
        <f>IF(12&lt;=DAY(DATE(YEAR(설정_코스수당!$K$2),MONTH(설정_코스수당!$K$2)+1,0)),DATE(YEAR(설정_코스수당!$K$2),MONTH(설정_코스수당!$K$2),12),"")</f>
        <v>46185</v>
      </c>
      <c r="B617" s="23" t="s">
        <v>201</v>
      </c>
      <c r="C617" s="29"/>
      <c r="D617" s="29"/>
      <c r="E617" s="29" t="str">
        <f t="shared" si="81"/>
        <v/>
      </c>
      <c r="F617" s="29">
        <f>COUNTIFS(실시간콜입력!$B:$B,$A617,실시간콜입력!$E:$E,"A",실시간콜입력!$G:$G,$B617,실시간콜입력!$O:$O,"방문완료")+COUNTIFS(실시간콜입력!$B:$B,$A617,실시간콜입력!$E:$E,"A",실시간콜입력!$H:$H,$B617,실시간콜입력!$O:$O,"방문완료")</f>
        <v>0</v>
      </c>
      <c r="G617" s="29">
        <f>COUNTIFS(실시간콜입력!$B:$B,$A617,실시간콜입력!$E:$E,"B",실시간콜입력!$G:$G,$B617,실시간콜입력!$O:$O,"방문완료")+COUNTIFS(실시간콜입력!$B:$B,$A617,실시간콜입력!$E:$E,"B",실시간콜입력!$H:$H,$B617,실시간콜입력!$O:$O,"방문완료")</f>
        <v>0</v>
      </c>
      <c r="H617" s="29">
        <f>COUNTIFS(실시간콜입력!$B:$B,$A617,실시간콜입력!$E:$E,"C",실시간콜입력!$G:$G,$B617,실시간콜입력!$O:$O,"방문완료")+COUNTIFS(실시간콜입력!$B:$B,$A617,실시간콜입력!$E:$E,"C",실시간콜입력!$H:$H,$B617,실시간콜입력!$O:$O,"방문완료")</f>
        <v>0</v>
      </c>
      <c r="I617" s="29">
        <f>COUNTIFS(실시간콜입력!$B:$B,$A617,실시간콜입력!$E:$E,"D",실시간콜입력!$G:$G,$B617,실시간콜입력!$O:$O,"방문완료")+COUNTIFS(실시간콜입력!$B:$B,$A617,실시간콜입력!$E:$E,"D",실시간콜입력!$H:$H,$B617,실시간콜입력!$O:$O,"방문완료")</f>
        <v>0</v>
      </c>
      <c r="J617" s="29">
        <f>COUNTIFS(실시간콜입력!$B:$B,$A617,실시간콜입력!$E:$E,"E",실시간콜입력!$G:$G,$B617,실시간콜입력!$O:$O,"방문완료")+COUNTIFS(실시간콜입력!$B:$B,$A617,실시간콜입력!$E:$E,"E",실시간콜입력!$H:$H,$B617,실시간콜입력!$O:$O,"방문완료")</f>
        <v>0</v>
      </c>
      <c r="K617" s="29">
        <f t="shared" si="82"/>
        <v>0</v>
      </c>
      <c r="L617" s="27">
        <f>SUMIFS(실시간콜입력!$K:$K,실시간콜입력!$B:$B,$A617,실시간콜입력!$G:$G,$B617,실시간콜입력!$O:$O,"방문완료")+SUMIFS(실시간콜입력!$L:$L,실시간콜입력!$B:$B,$A617,실시간콜입력!$H:$H,$B617,실시간콜입력!$O:$O,"방문완료")</f>
        <v>0</v>
      </c>
      <c r="M617" s="29" t="str">
        <f t="shared" si="83"/>
        <v/>
      </c>
      <c r="N617" s="29"/>
    </row>
    <row r="618" spans="1:14" ht="19.5" hidden="1" customHeight="1" outlineLevel="1">
      <c r="A618" s="30">
        <f>IF(12&lt;=DAY(DATE(YEAR(설정_코스수당!$K$2),MONTH(설정_코스수당!$K$2)+1,0)),DATE(YEAR(설정_코스수당!$K$2),MONTH(설정_코스수당!$K$2),12),"")</f>
        <v>46185</v>
      </c>
      <c r="B618" s="29" t="s">
        <v>202</v>
      </c>
      <c r="C618" s="29"/>
      <c r="D618" s="29"/>
      <c r="E618" s="29" t="str">
        <f t="shared" si="81"/>
        <v/>
      </c>
      <c r="F618" s="29">
        <f>COUNTIFS(실시간콜입력!$B:$B,$A618,실시간콜입력!$E:$E,"A",실시간콜입력!$G:$G,$B618,실시간콜입력!$O:$O,"방문완료")+COUNTIFS(실시간콜입력!$B:$B,$A618,실시간콜입력!$E:$E,"A",실시간콜입력!$H:$H,$B618,실시간콜입력!$O:$O,"방문완료")</f>
        <v>0</v>
      </c>
      <c r="G618" s="29">
        <f>COUNTIFS(실시간콜입력!$B:$B,$A618,실시간콜입력!$E:$E,"B",실시간콜입력!$G:$G,$B618,실시간콜입력!$O:$O,"방문완료")+COUNTIFS(실시간콜입력!$B:$B,$A618,실시간콜입력!$E:$E,"B",실시간콜입력!$H:$H,$B618,실시간콜입력!$O:$O,"방문완료")</f>
        <v>0</v>
      </c>
      <c r="H618" s="29">
        <f>COUNTIFS(실시간콜입력!$B:$B,$A618,실시간콜입력!$E:$E,"C",실시간콜입력!$G:$G,$B618,실시간콜입력!$O:$O,"방문완료")+COUNTIFS(실시간콜입력!$B:$B,$A618,실시간콜입력!$E:$E,"C",실시간콜입력!$H:$H,$B618,실시간콜입력!$O:$O,"방문완료")</f>
        <v>0</v>
      </c>
      <c r="I618" s="29">
        <f>COUNTIFS(실시간콜입력!$B:$B,$A618,실시간콜입력!$E:$E,"D",실시간콜입력!$G:$G,$B618,실시간콜입력!$O:$O,"방문완료")+COUNTIFS(실시간콜입력!$B:$B,$A618,실시간콜입력!$E:$E,"D",실시간콜입력!$H:$H,$B618,실시간콜입력!$O:$O,"방문완료")</f>
        <v>0</v>
      </c>
      <c r="J618" s="29">
        <f>COUNTIFS(실시간콜입력!$B:$B,$A618,실시간콜입력!$E:$E,"E",실시간콜입력!$G:$G,$B618,실시간콜입력!$O:$O,"방문완료")+COUNTIFS(실시간콜입력!$B:$B,$A618,실시간콜입력!$E:$E,"E",실시간콜입력!$H:$H,$B618,실시간콜입력!$O:$O,"방문완료")</f>
        <v>0</v>
      </c>
      <c r="K618" s="29">
        <f t="shared" si="82"/>
        <v>0</v>
      </c>
      <c r="L618" s="33">
        <f>SUMIFS(실시간콜입력!$K:$K,실시간콜입력!$B:$B,$A618,실시간콜입력!$G:$G,$B618,실시간콜입력!$O:$O,"방문완료")+SUMIFS(실시간콜입력!$L:$L,실시간콜입력!$B:$B,$A618,실시간콜입력!$H:$H,$B618,실시간콜입력!$O:$O,"방문완료")</f>
        <v>0</v>
      </c>
      <c r="M618" s="29" t="str">
        <f t="shared" si="83"/>
        <v/>
      </c>
      <c r="N618" s="29"/>
    </row>
    <row r="619" spans="1:14" ht="19.5" hidden="1" customHeight="1" outlineLevel="1">
      <c r="A619" s="24">
        <f>IF(12&lt;=DAY(DATE(YEAR(설정_코스수당!$K$2),MONTH(설정_코스수당!$K$2)+1,0)),DATE(YEAR(설정_코스수당!$K$2),MONTH(설정_코스수당!$K$2),12),"")</f>
        <v>46185</v>
      </c>
      <c r="B619" s="23" t="s">
        <v>203</v>
      </c>
      <c r="C619" s="29"/>
      <c r="D619" s="29"/>
      <c r="E619" s="29" t="str">
        <f t="shared" si="81"/>
        <v/>
      </c>
      <c r="F619" s="29">
        <f>COUNTIFS(실시간콜입력!$B:$B,$A619,실시간콜입력!$E:$E,"A",실시간콜입력!$G:$G,$B619,실시간콜입력!$O:$O,"방문완료")+COUNTIFS(실시간콜입력!$B:$B,$A619,실시간콜입력!$E:$E,"A",실시간콜입력!$H:$H,$B619,실시간콜입력!$O:$O,"방문완료")</f>
        <v>0</v>
      </c>
      <c r="G619" s="29">
        <f>COUNTIFS(실시간콜입력!$B:$B,$A619,실시간콜입력!$E:$E,"B",실시간콜입력!$G:$G,$B619,실시간콜입력!$O:$O,"방문완료")+COUNTIFS(실시간콜입력!$B:$B,$A619,실시간콜입력!$E:$E,"B",실시간콜입력!$H:$H,$B619,실시간콜입력!$O:$O,"방문완료")</f>
        <v>0</v>
      </c>
      <c r="H619" s="29">
        <f>COUNTIFS(실시간콜입력!$B:$B,$A619,실시간콜입력!$E:$E,"C",실시간콜입력!$G:$G,$B619,실시간콜입력!$O:$O,"방문완료")+COUNTIFS(실시간콜입력!$B:$B,$A619,실시간콜입력!$E:$E,"C",실시간콜입력!$H:$H,$B619,실시간콜입력!$O:$O,"방문완료")</f>
        <v>0</v>
      </c>
      <c r="I619" s="29">
        <f>COUNTIFS(실시간콜입력!$B:$B,$A619,실시간콜입력!$E:$E,"D",실시간콜입력!$G:$G,$B619,실시간콜입력!$O:$O,"방문완료")+COUNTIFS(실시간콜입력!$B:$B,$A619,실시간콜입력!$E:$E,"D",실시간콜입력!$H:$H,$B619,실시간콜입력!$O:$O,"방문완료")</f>
        <v>0</v>
      </c>
      <c r="J619" s="29">
        <f>COUNTIFS(실시간콜입력!$B:$B,$A619,실시간콜입력!$E:$E,"E",실시간콜입력!$G:$G,$B619,실시간콜입력!$O:$O,"방문완료")+COUNTIFS(실시간콜입력!$B:$B,$A619,실시간콜입력!$E:$E,"E",실시간콜입력!$H:$H,$B619,실시간콜입력!$O:$O,"방문완료")</f>
        <v>0</v>
      </c>
      <c r="K619" s="29">
        <f t="shared" si="82"/>
        <v>0</v>
      </c>
      <c r="L619" s="27">
        <f>SUMIFS(실시간콜입력!$K:$K,실시간콜입력!$B:$B,$A619,실시간콜입력!$G:$G,$B619,실시간콜입력!$O:$O,"방문완료")+SUMIFS(실시간콜입력!$L:$L,실시간콜입력!$B:$B,$A619,실시간콜입력!$H:$H,$B619,실시간콜입력!$O:$O,"방문완료")</f>
        <v>0</v>
      </c>
      <c r="M619" s="29" t="str">
        <f t="shared" si="83"/>
        <v/>
      </c>
      <c r="N619" s="29"/>
    </row>
    <row r="620" spans="1:14" ht="19.5" hidden="1" customHeight="1" outlineLevel="1">
      <c r="A620" s="30">
        <f>IF(12&lt;=DAY(DATE(YEAR(설정_코스수당!$K$2),MONTH(설정_코스수당!$K$2)+1,0)),DATE(YEAR(설정_코스수당!$K$2),MONTH(설정_코스수당!$K$2),12),"")</f>
        <v>46185</v>
      </c>
      <c r="B620" s="29" t="s">
        <v>204</v>
      </c>
      <c r="C620" s="29"/>
      <c r="D620" s="29"/>
      <c r="E620" s="29" t="str">
        <f t="shared" si="81"/>
        <v/>
      </c>
      <c r="F620" s="29">
        <f>COUNTIFS(실시간콜입력!$B:$B,$A620,실시간콜입력!$E:$E,"A",실시간콜입력!$G:$G,$B620,실시간콜입력!$O:$O,"방문완료")+COUNTIFS(실시간콜입력!$B:$B,$A620,실시간콜입력!$E:$E,"A",실시간콜입력!$H:$H,$B620,실시간콜입력!$O:$O,"방문완료")</f>
        <v>0</v>
      </c>
      <c r="G620" s="29">
        <f>COUNTIFS(실시간콜입력!$B:$B,$A620,실시간콜입력!$E:$E,"B",실시간콜입력!$G:$G,$B620,실시간콜입력!$O:$O,"방문완료")+COUNTIFS(실시간콜입력!$B:$B,$A620,실시간콜입력!$E:$E,"B",실시간콜입력!$H:$H,$B620,실시간콜입력!$O:$O,"방문완료")</f>
        <v>0</v>
      </c>
      <c r="H620" s="29">
        <f>COUNTIFS(실시간콜입력!$B:$B,$A620,실시간콜입력!$E:$E,"C",실시간콜입력!$G:$G,$B620,실시간콜입력!$O:$O,"방문완료")+COUNTIFS(실시간콜입력!$B:$B,$A620,실시간콜입력!$E:$E,"C",실시간콜입력!$H:$H,$B620,실시간콜입력!$O:$O,"방문완료")</f>
        <v>0</v>
      </c>
      <c r="I620" s="29">
        <f>COUNTIFS(실시간콜입력!$B:$B,$A620,실시간콜입력!$E:$E,"D",실시간콜입력!$G:$G,$B620,실시간콜입력!$O:$O,"방문완료")+COUNTIFS(실시간콜입력!$B:$B,$A620,실시간콜입력!$E:$E,"D",실시간콜입력!$H:$H,$B620,실시간콜입력!$O:$O,"방문완료")</f>
        <v>0</v>
      </c>
      <c r="J620" s="29">
        <f>COUNTIFS(실시간콜입력!$B:$B,$A620,실시간콜입력!$E:$E,"E",실시간콜입력!$G:$G,$B620,실시간콜입력!$O:$O,"방문완료")+COUNTIFS(실시간콜입력!$B:$B,$A620,실시간콜입력!$E:$E,"E",실시간콜입력!$H:$H,$B620,실시간콜입력!$O:$O,"방문완료")</f>
        <v>0</v>
      </c>
      <c r="K620" s="29">
        <f t="shared" si="82"/>
        <v>0</v>
      </c>
      <c r="L620" s="33">
        <f>SUMIFS(실시간콜입력!$K:$K,실시간콜입력!$B:$B,$A620,실시간콜입력!$G:$G,$B620,실시간콜입력!$O:$O,"방문완료")+SUMIFS(실시간콜입력!$L:$L,실시간콜입력!$B:$B,$A620,실시간콜입력!$H:$H,$B620,실시간콜입력!$O:$O,"방문완료")</f>
        <v>0</v>
      </c>
      <c r="M620" s="29" t="str">
        <f t="shared" si="83"/>
        <v/>
      </c>
      <c r="N620" s="29"/>
    </row>
    <row r="621" spans="1:14" ht="19.5" hidden="1" customHeight="1" outlineLevel="1">
      <c r="A621" s="24">
        <f>IF(12&lt;=DAY(DATE(YEAR(설정_코스수당!$K$2),MONTH(설정_코스수당!$K$2)+1,0)),DATE(YEAR(설정_코스수당!$K$2),MONTH(설정_코스수당!$K$2),12),"")</f>
        <v>46185</v>
      </c>
      <c r="B621" s="23" t="s">
        <v>205</v>
      </c>
      <c r="C621" s="29"/>
      <c r="D621" s="29"/>
      <c r="E621" s="29" t="str">
        <f t="shared" si="81"/>
        <v/>
      </c>
      <c r="F621" s="29">
        <f>COUNTIFS(실시간콜입력!$B:$B,$A621,실시간콜입력!$E:$E,"A",실시간콜입력!$G:$G,$B621,실시간콜입력!$O:$O,"방문완료")+COUNTIFS(실시간콜입력!$B:$B,$A621,실시간콜입력!$E:$E,"A",실시간콜입력!$H:$H,$B621,실시간콜입력!$O:$O,"방문완료")</f>
        <v>0</v>
      </c>
      <c r="G621" s="29">
        <f>COUNTIFS(실시간콜입력!$B:$B,$A621,실시간콜입력!$E:$E,"B",실시간콜입력!$G:$G,$B621,실시간콜입력!$O:$O,"방문완료")+COUNTIFS(실시간콜입력!$B:$B,$A621,실시간콜입력!$E:$E,"B",실시간콜입력!$H:$H,$B621,실시간콜입력!$O:$O,"방문완료")</f>
        <v>0</v>
      </c>
      <c r="H621" s="29">
        <f>COUNTIFS(실시간콜입력!$B:$B,$A621,실시간콜입력!$E:$E,"C",실시간콜입력!$G:$G,$B621,실시간콜입력!$O:$O,"방문완료")+COUNTIFS(실시간콜입력!$B:$B,$A621,실시간콜입력!$E:$E,"C",실시간콜입력!$H:$H,$B621,실시간콜입력!$O:$O,"방문완료")</f>
        <v>0</v>
      </c>
      <c r="I621" s="29">
        <f>COUNTIFS(실시간콜입력!$B:$B,$A621,실시간콜입력!$E:$E,"D",실시간콜입력!$G:$G,$B621,실시간콜입력!$O:$O,"방문완료")+COUNTIFS(실시간콜입력!$B:$B,$A621,실시간콜입력!$E:$E,"D",실시간콜입력!$H:$H,$B621,실시간콜입력!$O:$O,"방문완료")</f>
        <v>0</v>
      </c>
      <c r="J621" s="29">
        <f>COUNTIFS(실시간콜입력!$B:$B,$A621,실시간콜입력!$E:$E,"E",실시간콜입력!$G:$G,$B621,실시간콜입력!$O:$O,"방문완료")+COUNTIFS(실시간콜입력!$B:$B,$A621,실시간콜입력!$E:$E,"E",실시간콜입력!$H:$H,$B621,실시간콜입력!$O:$O,"방문완료")</f>
        <v>0</v>
      </c>
      <c r="K621" s="29">
        <f t="shared" si="82"/>
        <v>0</v>
      </c>
      <c r="L621" s="27">
        <f>SUMIFS(실시간콜입력!$K:$K,실시간콜입력!$B:$B,$A621,실시간콜입력!$G:$G,$B621,실시간콜입력!$O:$O,"방문완료")+SUMIFS(실시간콜입력!$L:$L,실시간콜입력!$B:$B,$A621,실시간콜입력!$H:$H,$B621,실시간콜입력!$O:$O,"방문완료")</f>
        <v>0</v>
      </c>
      <c r="M621" s="29" t="str">
        <f t="shared" si="83"/>
        <v/>
      </c>
      <c r="N621" s="29"/>
    </row>
    <row r="622" spans="1:14" ht="19.5" hidden="1" customHeight="1" outlineLevel="1">
      <c r="A622" s="30">
        <f>IF(12&lt;=DAY(DATE(YEAR(설정_코스수당!$K$2),MONTH(설정_코스수당!$K$2)+1,0)),DATE(YEAR(설정_코스수당!$K$2),MONTH(설정_코스수당!$K$2),12),"")</f>
        <v>46185</v>
      </c>
      <c r="B622" s="29" t="s">
        <v>206</v>
      </c>
      <c r="C622" s="29"/>
      <c r="D622" s="29"/>
      <c r="E622" s="29" t="str">
        <f t="shared" si="81"/>
        <v/>
      </c>
      <c r="F622" s="29">
        <f>COUNTIFS(실시간콜입력!$B:$B,$A622,실시간콜입력!$E:$E,"A",실시간콜입력!$G:$G,$B622,실시간콜입력!$O:$O,"방문완료")+COUNTIFS(실시간콜입력!$B:$B,$A622,실시간콜입력!$E:$E,"A",실시간콜입력!$H:$H,$B622,실시간콜입력!$O:$O,"방문완료")</f>
        <v>0</v>
      </c>
      <c r="G622" s="29">
        <f>COUNTIFS(실시간콜입력!$B:$B,$A622,실시간콜입력!$E:$E,"B",실시간콜입력!$G:$G,$B622,실시간콜입력!$O:$O,"방문완료")+COUNTIFS(실시간콜입력!$B:$B,$A622,실시간콜입력!$E:$E,"B",실시간콜입력!$H:$H,$B622,실시간콜입력!$O:$O,"방문완료")</f>
        <v>0</v>
      </c>
      <c r="H622" s="29">
        <f>COUNTIFS(실시간콜입력!$B:$B,$A622,실시간콜입력!$E:$E,"C",실시간콜입력!$G:$G,$B622,실시간콜입력!$O:$O,"방문완료")+COUNTIFS(실시간콜입력!$B:$B,$A622,실시간콜입력!$E:$E,"C",실시간콜입력!$H:$H,$B622,실시간콜입력!$O:$O,"방문완료")</f>
        <v>0</v>
      </c>
      <c r="I622" s="29">
        <f>COUNTIFS(실시간콜입력!$B:$B,$A622,실시간콜입력!$E:$E,"D",실시간콜입력!$G:$G,$B622,실시간콜입력!$O:$O,"방문완료")+COUNTIFS(실시간콜입력!$B:$B,$A622,실시간콜입력!$E:$E,"D",실시간콜입력!$H:$H,$B622,실시간콜입력!$O:$O,"방문완료")</f>
        <v>0</v>
      </c>
      <c r="J622" s="29">
        <f>COUNTIFS(실시간콜입력!$B:$B,$A622,실시간콜입력!$E:$E,"E",실시간콜입력!$G:$G,$B622,실시간콜입력!$O:$O,"방문완료")+COUNTIFS(실시간콜입력!$B:$B,$A622,실시간콜입력!$E:$E,"E",실시간콜입력!$H:$H,$B622,실시간콜입력!$O:$O,"방문완료")</f>
        <v>0</v>
      </c>
      <c r="K622" s="29">
        <f t="shared" si="82"/>
        <v>0</v>
      </c>
      <c r="L622" s="33">
        <f>SUMIFS(실시간콜입력!$K:$K,실시간콜입력!$B:$B,$A622,실시간콜입력!$G:$G,$B622,실시간콜입력!$O:$O,"방문완료")+SUMIFS(실시간콜입력!$L:$L,실시간콜입력!$B:$B,$A622,실시간콜입력!$H:$H,$B622,실시간콜입력!$O:$O,"방문완료")</f>
        <v>0</v>
      </c>
      <c r="M622" s="29" t="str">
        <f t="shared" si="83"/>
        <v/>
      </c>
      <c r="N622" s="29"/>
    </row>
    <row r="623" spans="1:14" ht="19.5" hidden="1" customHeight="1" outlineLevel="1">
      <c r="A623" s="24">
        <f>IF(12&lt;=DAY(DATE(YEAR(설정_코스수당!$K$2),MONTH(설정_코스수당!$K$2)+1,0)),DATE(YEAR(설정_코스수당!$K$2),MONTH(설정_코스수당!$K$2),12),"")</f>
        <v>46185</v>
      </c>
      <c r="B623" s="23" t="s">
        <v>207</v>
      </c>
      <c r="C623" s="29"/>
      <c r="D623" s="29"/>
      <c r="E623" s="29" t="str">
        <f t="shared" si="81"/>
        <v/>
      </c>
      <c r="F623" s="29">
        <f>COUNTIFS(실시간콜입력!$B:$B,$A623,실시간콜입력!$E:$E,"A",실시간콜입력!$G:$G,$B623,실시간콜입력!$O:$O,"방문완료")+COUNTIFS(실시간콜입력!$B:$B,$A623,실시간콜입력!$E:$E,"A",실시간콜입력!$H:$H,$B623,실시간콜입력!$O:$O,"방문완료")</f>
        <v>0</v>
      </c>
      <c r="G623" s="29">
        <f>COUNTIFS(실시간콜입력!$B:$B,$A623,실시간콜입력!$E:$E,"B",실시간콜입력!$G:$G,$B623,실시간콜입력!$O:$O,"방문완료")+COUNTIFS(실시간콜입력!$B:$B,$A623,실시간콜입력!$E:$E,"B",실시간콜입력!$H:$H,$B623,실시간콜입력!$O:$O,"방문완료")</f>
        <v>0</v>
      </c>
      <c r="H623" s="29">
        <f>COUNTIFS(실시간콜입력!$B:$B,$A623,실시간콜입력!$E:$E,"C",실시간콜입력!$G:$G,$B623,실시간콜입력!$O:$O,"방문완료")+COUNTIFS(실시간콜입력!$B:$B,$A623,실시간콜입력!$E:$E,"C",실시간콜입력!$H:$H,$B623,실시간콜입력!$O:$O,"방문완료")</f>
        <v>0</v>
      </c>
      <c r="I623" s="29">
        <f>COUNTIFS(실시간콜입력!$B:$B,$A623,실시간콜입력!$E:$E,"D",실시간콜입력!$G:$G,$B623,실시간콜입력!$O:$O,"방문완료")+COUNTIFS(실시간콜입력!$B:$B,$A623,실시간콜입력!$E:$E,"D",실시간콜입력!$H:$H,$B623,실시간콜입력!$O:$O,"방문완료")</f>
        <v>0</v>
      </c>
      <c r="J623" s="29">
        <f>COUNTIFS(실시간콜입력!$B:$B,$A623,실시간콜입력!$E:$E,"E",실시간콜입력!$G:$G,$B623,실시간콜입력!$O:$O,"방문완료")+COUNTIFS(실시간콜입력!$B:$B,$A623,실시간콜입력!$E:$E,"E",실시간콜입력!$H:$H,$B623,실시간콜입력!$O:$O,"방문완료")</f>
        <v>0</v>
      </c>
      <c r="K623" s="29">
        <f t="shared" si="82"/>
        <v>0</v>
      </c>
      <c r="L623" s="27">
        <f>SUMIFS(실시간콜입력!$K:$K,실시간콜입력!$B:$B,$A623,실시간콜입력!$G:$G,$B623,실시간콜입력!$O:$O,"방문완료")+SUMIFS(실시간콜입력!$L:$L,실시간콜입력!$B:$B,$A623,실시간콜입력!$H:$H,$B623,실시간콜입력!$O:$O,"방문완료")</f>
        <v>0</v>
      </c>
      <c r="M623" s="29" t="str">
        <f t="shared" si="83"/>
        <v/>
      </c>
      <c r="N623" s="29"/>
    </row>
    <row r="624" spans="1:14" ht="19.5" hidden="1" customHeight="1" outlineLevel="1">
      <c r="A624" s="30">
        <f>IF(12&lt;=DAY(DATE(YEAR(설정_코스수당!$K$2),MONTH(설정_코스수당!$K$2)+1,0)),DATE(YEAR(설정_코스수당!$K$2),MONTH(설정_코스수당!$K$2),12),"")</f>
        <v>46185</v>
      </c>
      <c r="B624" s="29" t="s">
        <v>208</v>
      </c>
      <c r="C624" s="29"/>
      <c r="D624" s="29"/>
      <c r="E624" s="29" t="str">
        <f t="shared" si="81"/>
        <v/>
      </c>
      <c r="F624" s="29">
        <f>COUNTIFS(실시간콜입력!$B:$B,$A624,실시간콜입력!$E:$E,"A",실시간콜입력!$G:$G,$B624,실시간콜입력!$O:$O,"방문완료")+COUNTIFS(실시간콜입력!$B:$B,$A624,실시간콜입력!$E:$E,"A",실시간콜입력!$H:$H,$B624,실시간콜입력!$O:$O,"방문완료")</f>
        <v>0</v>
      </c>
      <c r="G624" s="29">
        <f>COUNTIFS(실시간콜입력!$B:$B,$A624,실시간콜입력!$E:$E,"B",실시간콜입력!$G:$G,$B624,실시간콜입력!$O:$O,"방문완료")+COUNTIFS(실시간콜입력!$B:$B,$A624,실시간콜입력!$E:$E,"B",실시간콜입력!$H:$H,$B624,실시간콜입력!$O:$O,"방문완료")</f>
        <v>0</v>
      </c>
      <c r="H624" s="29">
        <f>COUNTIFS(실시간콜입력!$B:$B,$A624,실시간콜입력!$E:$E,"C",실시간콜입력!$G:$G,$B624,실시간콜입력!$O:$O,"방문완료")+COUNTIFS(실시간콜입력!$B:$B,$A624,실시간콜입력!$E:$E,"C",실시간콜입력!$H:$H,$B624,실시간콜입력!$O:$O,"방문완료")</f>
        <v>0</v>
      </c>
      <c r="I624" s="29">
        <f>COUNTIFS(실시간콜입력!$B:$B,$A624,실시간콜입력!$E:$E,"D",실시간콜입력!$G:$G,$B624,실시간콜입력!$O:$O,"방문완료")+COUNTIFS(실시간콜입력!$B:$B,$A624,실시간콜입력!$E:$E,"D",실시간콜입력!$H:$H,$B624,실시간콜입력!$O:$O,"방문완료")</f>
        <v>0</v>
      </c>
      <c r="J624" s="29">
        <f>COUNTIFS(실시간콜입력!$B:$B,$A624,실시간콜입력!$E:$E,"E",실시간콜입력!$G:$G,$B624,실시간콜입력!$O:$O,"방문완료")+COUNTIFS(실시간콜입력!$B:$B,$A624,실시간콜입력!$E:$E,"E",실시간콜입력!$H:$H,$B624,실시간콜입력!$O:$O,"방문완료")</f>
        <v>0</v>
      </c>
      <c r="K624" s="29">
        <f t="shared" si="82"/>
        <v>0</v>
      </c>
      <c r="L624" s="33">
        <f>SUMIFS(실시간콜입력!$K:$K,실시간콜입력!$B:$B,$A624,실시간콜입력!$G:$G,$B624,실시간콜입력!$O:$O,"방문완료")+SUMIFS(실시간콜입력!$L:$L,실시간콜입력!$B:$B,$A624,실시간콜입력!$H:$H,$B624,실시간콜입력!$O:$O,"방문완료")</f>
        <v>0</v>
      </c>
      <c r="M624" s="29" t="str">
        <f t="shared" si="83"/>
        <v/>
      </c>
      <c r="N624" s="29"/>
    </row>
    <row r="625" spans="1:14" ht="19.5" hidden="1" customHeight="1" outlineLevel="1">
      <c r="A625" s="24">
        <f>IF(12&lt;=DAY(DATE(YEAR(설정_코스수당!$K$2),MONTH(설정_코스수당!$K$2)+1,0)),DATE(YEAR(설정_코스수당!$K$2),MONTH(설정_코스수당!$K$2),12),"")</f>
        <v>46185</v>
      </c>
      <c r="B625" s="23" t="s">
        <v>209</v>
      </c>
      <c r="C625" s="29"/>
      <c r="D625" s="29"/>
      <c r="E625" s="29" t="str">
        <f t="shared" si="81"/>
        <v/>
      </c>
      <c r="F625" s="29">
        <f>COUNTIFS(실시간콜입력!$B:$B,$A625,실시간콜입력!$E:$E,"A",실시간콜입력!$G:$G,$B625,실시간콜입력!$O:$O,"방문완료")+COUNTIFS(실시간콜입력!$B:$B,$A625,실시간콜입력!$E:$E,"A",실시간콜입력!$H:$H,$B625,실시간콜입력!$O:$O,"방문완료")</f>
        <v>0</v>
      </c>
      <c r="G625" s="29">
        <f>COUNTIFS(실시간콜입력!$B:$B,$A625,실시간콜입력!$E:$E,"B",실시간콜입력!$G:$G,$B625,실시간콜입력!$O:$O,"방문완료")+COUNTIFS(실시간콜입력!$B:$B,$A625,실시간콜입력!$E:$E,"B",실시간콜입력!$H:$H,$B625,실시간콜입력!$O:$O,"방문완료")</f>
        <v>0</v>
      </c>
      <c r="H625" s="29">
        <f>COUNTIFS(실시간콜입력!$B:$B,$A625,실시간콜입력!$E:$E,"C",실시간콜입력!$G:$G,$B625,실시간콜입력!$O:$O,"방문완료")+COUNTIFS(실시간콜입력!$B:$B,$A625,실시간콜입력!$E:$E,"C",실시간콜입력!$H:$H,$B625,실시간콜입력!$O:$O,"방문완료")</f>
        <v>0</v>
      </c>
      <c r="I625" s="29">
        <f>COUNTIFS(실시간콜입력!$B:$B,$A625,실시간콜입력!$E:$E,"D",실시간콜입력!$G:$G,$B625,실시간콜입력!$O:$O,"방문완료")+COUNTIFS(실시간콜입력!$B:$B,$A625,실시간콜입력!$E:$E,"D",실시간콜입력!$H:$H,$B625,실시간콜입력!$O:$O,"방문완료")</f>
        <v>0</v>
      </c>
      <c r="J625" s="29">
        <f>COUNTIFS(실시간콜입력!$B:$B,$A625,실시간콜입력!$E:$E,"E",실시간콜입력!$G:$G,$B625,실시간콜입력!$O:$O,"방문완료")+COUNTIFS(실시간콜입력!$B:$B,$A625,실시간콜입력!$E:$E,"E",실시간콜입력!$H:$H,$B625,실시간콜입력!$O:$O,"방문완료")</f>
        <v>0</v>
      </c>
      <c r="K625" s="29">
        <f t="shared" si="82"/>
        <v>0</v>
      </c>
      <c r="L625" s="27">
        <f>SUMIFS(실시간콜입력!$K:$K,실시간콜입력!$B:$B,$A625,실시간콜입력!$G:$G,$B625,실시간콜입력!$O:$O,"방문완료")+SUMIFS(실시간콜입력!$L:$L,실시간콜입력!$B:$B,$A625,실시간콜입력!$H:$H,$B625,실시간콜입력!$O:$O,"방문완료")</f>
        <v>0</v>
      </c>
      <c r="M625" s="29" t="str">
        <f t="shared" si="83"/>
        <v/>
      </c>
      <c r="N625" s="29"/>
    </row>
    <row r="626" spans="1:14" ht="19.5" hidden="1" customHeight="1" outlineLevel="1">
      <c r="A626" s="30">
        <f>IF(12&lt;=DAY(DATE(YEAR(설정_코스수당!$K$2),MONTH(설정_코스수당!$K$2)+1,0)),DATE(YEAR(설정_코스수당!$K$2),MONTH(설정_코스수당!$K$2),12),"")</f>
        <v>46185</v>
      </c>
      <c r="B626" s="29" t="s">
        <v>210</v>
      </c>
      <c r="C626" s="29"/>
      <c r="D626" s="29"/>
      <c r="E626" s="29" t="str">
        <f t="shared" si="81"/>
        <v/>
      </c>
      <c r="F626" s="29">
        <f>COUNTIFS(실시간콜입력!$B:$B,$A626,실시간콜입력!$E:$E,"A",실시간콜입력!$G:$G,$B626,실시간콜입력!$O:$O,"방문완료")+COUNTIFS(실시간콜입력!$B:$B,$A626,실시간콜입력!$E:$E,"A",실시간콜입력!$H:$H,$B626,실시간콜입력!$O:$O,"방문완료")</f>
        <v>0</v>
      </c>
      <c r="G626" s="29">
        <f>COUNTIFS(실시간콜입력!$B:$B,$A626,실시간콜입력!$E:$E,"B",실시간콜입력!$G:$G,$B626,실시간콜입력!$O:$O,"방문완료")+COUNTIFS(실시간콜입력!$B:$B,$A626,실시간콜입력!$E:$E,"B",실시간콜입력!$H:$H,$B626,실시간콜입력!$O:$O,"방문완료")</f>
        <v>0</v>
      </c>
      <c r="H626" s="29">
        <f>COUNTIFS(실시간콜입력!$B:$B,$A626,실시간콜입력!$E:$E,"C",실시간콜입력!$G:$G,$B626,실시간콜입력!$O:$O,"방문완료")+COUNTIFS(실시간콜입력!$B:$B,$A626,실시간콜입력!$E:$E,"C",실시간콜입력!$H:$H,$B626,실시간콜입력!$O:$O,"방문완료")</f>
        <v>0</v>
      </c>
      <c r="I626" s="29">
        <f>COUNTIFS(실시간콜입력!$B:$B,$A626,실시간콜입력!$E:$E,"D",실시간콜입력!$G:$G,$B626,실시간콜입력!$O:$O,"방문완료")+COUNTIFS(실시간콜입력!$B:$B,$A626,실시간콜입력!$E:$E,"D",실시간콜입력!$H:$H,$B626,실시간콜입력!$O:$O,"방문완료")</f>
        <v>0</v>
      </c>
      <c r="J626" s="29">
        <f>COUNTIFS(실시간콜입력!$B:$B,$A626,실시간콜입력!$E:$E,"E",실시간콜입력!$G:$G,$B626,실시간콜입력!$O:$O,"방문완료")+COUNTIFS(실시간콜입력!$B:$B,$A626,실시간콜입력!$E:$E,"E",실시간콜입력!$H:$H,$B626,실시간콜입력!$O:$O,"방문완료")</f>
        <v>0</v>
      </c>
      <c r="K626" s="29">
        <f t="shared" si="82"/>
        <v>0</v>
      </c>
      <c r="L626" s="33">
        <f>SUMIFS(실시간콜입력!$K:$K,실시간콜입력!$B:$B,$A626,실시간콜입력!$G:$G,$B626,실시간콜입력!$O:$O,"방문완료")+SUMIFS(실시간콜입력!$L:$L,실시간콜입력!$B:$B,$A626,실시간콜입력!$H:$H,$B626,실시간콜입력!$O:$O,"방문완료")</f>
        <v>0</v>
      </c>
      <c r="M626" s="29" t="str">
        <f t="shared" si="83"/>
        <v/>
      </c>
      <c r="N626" s="29"/>
    </row>
    <row r="627" spans="1:14" ht="19.5" hidden="1" customHeight="1" outlineLevel="1">
      <c r="A627" s="24">
        <f>IF(12&lt;=DAY(DATE(YEAR(설정_코스수당!$K$2),MONTH(설정_코스수당!$K$2)+1,0)),DATE(YEAR(설정_코스수당!$K$2),MONTH(설정_코스수당!$K$2),12),"")</f>
        <v>46185</v>
      </c>
      <c r="B627" s="23" t="s">
        <v>211</v>
      </c>
      <c r="C627" s="29"/>
      <c r="D627" s="29"/>
      <c r="E627" s="29" t="str">
        <f t="shared" si="81"/>
        <v/>
      </c>
      <c r="F627" s="29">
        <f>COUNTIFS(실시간콜입력!$B:$B,$A627,실시간콜입력!$E:$E,"A",실시간콜입력!$G:$G,$B627,실시간콜입력!$O:$O,"방문완료")+COUNTIFS(실시간콜입력!$B:$B,$A627,실시간콜입력!$E:$E,"A",실시간콜입력!$H:$H,$B627,실시간콜입력!$O:$O,"방문완료")</f>
        <v>0</v>
      </c>
      <c r="G627" s="29">
        <f>COUNTIFS(실시간콜입력!$B:$B,$A627,실시간콜입력!$E:$E,"B",실시간콜입력!$G:$G,$B627,실시간콜입력!$O:$O,"방문완료")+COUNTIFS(실시간콜입력!$B:$B,$A627,실시간콜입력!$E:$E,"B",실시간콜입력!$H:$H,$B627,실시간콜입력!$O:$O,"방문완료")</f>
        <v>0</v>
      </c>
      <c r="H627" s="29">
        <f>COUNTIFS(실시간콜입력!$B:$B,$A627,실시간콜입력!$E:$E,"C",실시간콜입력!$G:$G,$B627,실시간콜입력!$O:$O,"방문완료")+COUNTIFS(실시간콜입력!$B:$B,$A627,실시간콜입력!$E:$E,"C",실시간콜입력!$H:$H,$B627,실시간콜입력!$O:$O,"방문완료")</f>
        <v>0</v>
      </c>
      <c r="I627" s="29">
        <f>COUNTIFS(실시간콜입력!$B:$B,$A627,실시간콜입력!$E:$E,"D",실시간콜입력!$G:$G,$B627,실시간콜입력!$O:$O,"방문완료")+COUNTIFS(실시간콜입력!$B:$B,$A627,실시간콜입력!$E:$E,"D",실시간콜입력!$H:$H,$B627,실시간콜입력!$O:$O,"방문완료")</f>
        <v>0</v>
      </c>
      <c r="J627" s="29">
        <f>COUNTIFS(실시간콜입력!$B:$B,$A627,실시간콜입력!$E:$E,"E",실시간콜입력!$G:$G,$B627,실시간콜입력!$O:$O,"방문완료")+COUNTIFS(실시간콜입력!$B:$B,$A627,실시간콜입력!$E:$E,"E",실시간콜입력!$H:$H,$B627,실시간콜입력!$O:$O,"방문완료")</f>
        <v>0</v>
      </c>
      <c r="K627" s="29">
        <f t="shared" si="82"/>
        <v>0</v>
      </c>
      <c r="L627" s="27">
        <f>SUMIFS(실시간콜입력!$K:$K,실시간콜입력!$B:$B,$A627,실시간콜입력!$G:$G,$B627,실시간콜입력!$O:$O,"방문완료")+SUMIFS(실시간콜입력!$L:$L,실시간콜입력!$B:$B,$A627,실시간콜입력!$H:$H,$B627,실시간콜입력!$O:$O,"방문완료")</f>
        <v>0</v>
      </c>
      <c r="M627" s="29" t="str">
        <f t="shared" si="83"/>
        <v/>
      </c>
      <c r="N627" s="29"/>
    </row>
    <row r="628" spans="1:14" ht="19.5" hidden="1" customHeight="1" outlineLevel="1">
      <c r="A628" s="30">
        <f>IF(12&lt;=DAY(DATE(YEAR(설정_코스수당!$K$2),MONTH(설정_코스수당!$K$2)+1,0)),DATE(YEAR(설정_코스수당!$K$2),MONTH(설정_코스수당!$K$2),12),"")</f>
        <v>46185</v>
      </c>
      <c r="B628" s="29" t="s">
        <v>212</v>
      </c>
      <c r="C628" s="29"/>
      <c r="D628" s="29"/>
      <c r="E628" s="29" t="str">
        <f t="shared" si="81"/>
        <v/>
      </c>
      <c r="F628" s="29">
        <f>COUNTIFS(실시간콜입력!$B:$B,$A628,실시간콜입력!$E:$E,"A",실시간콜입력!$G:$G,$B628,실시간콜입력!$O:$O,"방문완료")+COUNTIFS(실시간콜입력!$B:$B,$A628,실시간콜입력!$E:$E,"A",실시간콜입력!$H:$H,$B628,실시간콜입력!$O:$O,"방문완료")</f>
        <v>0</v>
      </c>
      <c r="G628" s="29">
        <f>COUNTIFS(실시간콜입력!$B:$B,$A628,실시간콜입력!$E:$E,"B",실시간콜입력!$G:$G,$B628,실시간콜입력!$O:$O,"방문완료")+COUNTIFS(실시간콜입력!$B:$B,$A628,실시간콜입력!$E:$E,"B",실시간콜입력!$H:$H,$B628,실시간콜입력!$O:$O,"방문완료")</f>
        <v>0</v>
      </c>
      <c r="H628" s="29">
        <f>COUNTIFS(실시간콜입력!$B:$B,$A628,실시간콜입력!$E:$E,"C",실시간콜입력!$G:$G,$B628,실시간콜입력!$O:$O,"방문완료")+COUNTIFS(실시간콜입력!$B:$B,$A628,실시간콜입력!$E:$E,"C",실시간콜입력!$H:$H,$B628,실시간콜입력!$O:$O,"방문완료")</f>
        <v>0</v>
      </c>
      <c r="I628" s="29">
        <f>COUNTIFS(실시간콜입력!$B:$B,$A628,실시간콜입력!$E:$E,"D",실시간콜입력!$G:$G,$B628,실시간콜입력!$O:$O,"방문완료")+COUNTIFS(실시간콜입력!$B:$B,$A628,실시간콜입력!$E:$E,"D",실시간콜입력!$H:$H,$B628,실시간콜입력!$O:$O,"방문완료")</f>
        <v>0</v>
      </c>
      <c r="J628" s="29">
        <f>COUNTIFS(실시간콜입력!$B:$B,$A628,실시간콜입력!$E:$E,"E",실시간콜입력!$G:$G,$B628,실시간콜입력!$O:$O,"방문완료")+COUNTIFS(실시간콜입력!$B:$B,$A628,실시간콜입력!$E:$E,"E",실시간콜입력!$H:$H,$B628,실시간콜입력!$O:$O,"방문완료")</f>
        <v>0</v>
      </c>
      <c r="K628" s="29">
        <f t="shared" si="82"/>
        <v>0</v>
      </c>
      <c r="L628" s="33">
        <f>SUMIFS(실시간콜입력!$K:$K,실시간콜입력!$B:$B,$A628,실시간콜입력!$G:$G,$B628,실시간콜입력!$O:$O,"방문완료")+SUMIFS(실시간콜입력!$L:$L,실시간콜입력!$B:$B,$A628,실시간콜입력!$H:$H,$B628,실시간콜입력!$O:$O,"방문완료")</f>
        <v>0</v>
      </c>
      <c r="M628" s="29" t="str">
        <f t="shared" si="83"/>
        <v/>
      </c>
      <c r="N628" s="29"/>
    </row>
    <row r="629" spans="1:14" ht="21.75" customHeight="1" collapsed="1">
      <c r="A629" s="64">
        <f>IF(13&lt;=DAY(DATE(YEAR(설정_코스수당!$K$2),MONTH(설정_코스수당!$K$2)+1,0)),DATE(YEAR(설정_코스수당!$K$2),MONTH(설정_코스수당!$K$2),13),"")</f>
        <v>46186</v>
      </c>
      <c r="B629" s="65" t="str">
        <f>IF(A629="","","출근 "&amp;COUNTIF(C631:C680,"&lt;&gt;")&amp;"명")</f>
        <v>출근 0명</v>
      </c>
      <c r="C629" s="65" t="str">
        <f>IF(A629="","","만근 "&amp;COUNTIF(M631:M680,"인정")&amp;"명")</f>
        <v>만근 0명</v>
      </c>
      <c r="D629" s="65" t="str">
        <f>IFERROR("평균 "&amp;TEXT(AVERAGEIF(E631:E680,"&gt;0",E631:E680),"0.0")&amp;"h","평균 -")</f>
        <v>평균 -</v>
      </c>
      <c r="E629" s="65" t="s">
        <v>163</v>
      </c>
      <c r="F629" s="65">
        <f t="shared" ref="F629:L629" si="84">SUM(F631:F680)</f>
        <v>0</v>
      </c>
      <c r="G629" s="65">
        <f t="shared" si="84"/>
        <v>0</v>
      </c>
      <c r="H629" s="65">
        <f t="shared" si="84"/>
        <v>0</v>
      </c>
      <c r="I629" s="65">
        <f t="shared" si="84"/>
        <v>0</v>
      </c>
      <c r="J629" s="65">
        <f t="shared" si="84"/>
        <v>0</v>
      </c>
      <c r="K629" s="65">
        <f t="shared" si="84"/>
        <v>0</v>
      </c>
      <c r="L629" s="66">
        <f t="shared" si="84"/>
        <v>0</v>
      </c>
      <c r="M629" s="65">
        <f>COUNTIF(M631:M680,"인정")</f>
        <v>0</v>
      </c>
      <c r="N629" s="65" t="s">
        <v>164</v>
      </c>
    </row>
    <row r="630" spans="1:14" ht="19.5" hidden="1" customHeight="1" outlineLevel="1">
      <c r="A630" s="20" t="s">
        <v>42</v>
      </c>
      <c r="B630" s="20" t="s">
        <v>152</v>
      </c>
      <c r="C630" s="20" t="s">
        <v>153</v>
      </c>
      <c r="D630" s="20" t="s">
        <v>154</v>
      </c>
      <c r="E630" s="20" t="s">
        <v>155</v>
      </c>
      <c r="F630" s="20" t="s">
        <v>156</v>
      </c>
      <c r="G630" s="20" t="s">
        <v>157</v>
      </c>
      <c r="H630" s="20" t="s">
        <v>158</v>
      </c>
      <c r="I630" s="20" t="s">
        <v>159</v>
      </c>
      <c r="J630" s="20" t="s">
        <v>160</v>
      </c>
      <c r="K630" s="20" t="s">
        <v>118</v>
      </c>
      <c r="L630" s="20" t="s">
        <v>161</v>
      </c>
      <c r="M630" s="20" t="s">
        <v>162</v>
      </c>
      <c r="N630" s="20" t="s">
        <v>95</v>
      </c>
    </row>
    <row r="631" spans="1:14" ht="19.5" hidden="1" customHeight="1" outlineLevel="1">
      <c r="A631" s="24">
        <f>IF(13&lt;=DAY(DATE(YEAR(설정_코스수당!$K$2),MONTH(설정_코스수당!$K$2)+1,0)),DATE(YEAR(설정_코스수당!$K$2),MONTH(설정_코스수당!$K$2),13),"")</f>
        <v>46186</v>
      </c>
      <c r="B631" s="23" t="s">
        <v>47</v>
      </c>
      <c r="C631" s="23"/>
      <c r="D631" s="23"/>
      <c r="E631" s="23" t="str">
        <f t="shared" ref="E631:E662" si="85">IF(AND(C631&lt;&gt;"",D631&lt;&gt;""),IF(D631&lt;C631,D631+1-C631,D631-C631)*24,"")</f>
        <v/>
      </c>
      <c r="F631" s="23">
        <f>COUNTIFS(실시간콜입력!$B:$B,$A631,실시간콜입력!$E:$E,"A",실시간콜입력!$G:$G,$B631,실시간콜입력!$O:$O,"방문완료")+COUNTIFS(실시간콜입력!$B:$B,$A631,실시간콜입력!$E:$E,"A",실시간콜입력!$H:$H,$B631,실시간콜입력!$O:$O,"방문완료")</f>
        <v>0</v>
      </c>
      <c r="G631" s="23">
        <f>COUNTIFS(실시간콜입력!$B:$B,$A631,실시간콜입력!$E:$E,"B",실시간콜입력!$G:$G,$B631,실시간콜입력!$O:$O,"방문완료")+COUNTIFS(실시간콜입력!$B:$B,$A631,실시간콜입력!$E:$E,"B",실시간콜입력!$H:$H,$B631,실시간콜입력!$O:$O,"방문완료")</f>
        <v>0</v>
      </c>
      <c r="H631" s="23">
        <f>COUNTIFS(실시간콜입력!$B:$B,$A631,실시간콜입력!$E:$E,"C",실시간콜입력!$G:$G,$B631,실시간콜입력!$O:$O,"방문완료")+COUNTIFS(실시간콜입력!$B:$B,$A631,실시간콜입력!$E:$E,"C",실시간콜입력!$H:$H,$B631,실시간콜입력!$O:$O,"방문완료")</f>
        <v>0</v>
      </c>
      <c r="I631" s="23">
        <f>COUNTIFS(실시간콜입력!$B:$B,$A631,실시간콜입력!$E:$E,"D",실시간콜입력!$G:$G,$B631,실시간콜입력!$O:$O,"방문완료")+COUNTIFS(실시간콜입력!$B:$B,$A631,실시간콜입력!$E:$E,"D",실시간콜입력!$H:$H,$B631,실시간콜입력!$O:$O,"방문완료")</f>
        <v>0</v>
      </c>
      <c r="J631" s="23">
        <f>COUNTIFS(실시간콜입력!$B:$B,$A631,실시간콜입력!$E:$E,"E",실시간콜입력!$G:$G,$B631,실시간콜입력!$O:$O,"방문완료")+COUNTIFS(실시간콜입력!$B:$B,$A631,실시간콜입력!$E:$E,"E",실시간콜입력!$H:$H,$B631,실시간콜입력!$O:$O,"방문완료")</f>
        <v>0</v>
      </c>
      <c r="K631" s="23">
        <f t="shared" ref="K631:K662" si="86">SUM(F631:J631)</f>
        <v>0</v>
      </c>
      <c r="L631" s="27">
        <f>SUMIFS(실시간콜입력!$K:$K,실시간콜입력!$B:$B,$A631,실시간콜입력!$G:$G,$B631,실시간콜입력!$O:$O,"방문완료")+SUMIFS(실시간콜입력!$L:$L,실시간콜입력!$B:$B,$A631,실시간콜입력!$H:$H,$B631,실시간콜입력!$O:$O,"방문완료")</f>
        <v>0</v>
      </c>
      <c r="M631" s="23" t="str">
        <f t="shared" ref="M631:M662" si="87">IF(AND(ISNUMBER(E631),E631&gt;=8),"인정","")</f>
        <v/>
      </c>
      <c r="N631" s="23"/>
    </row>
    <row r="632" spans="1:14" ht="19.5" hidden="1" customHeight="1" outlineLevel="1">
      <c r="A632" s="30">
        <f>IF(13&lt;=DAY(DATE(YEAR(설정_코스수당!$K$2),MONTH(설정_코스수당!$K$2)+1,0)),DATE(YEAR(설정_코스수당!$K$2),MONTH(설정_코스수당!$K$2),13),"")</f>
        <v>46186</v>
      </c>
      <c r="B632" s="29" t="s">
        <v>48</v>
      </c>
      <c r="C632" s="29"/>
      <c r="D632" s="29"/>
      <c r="E632" s="29" t="str">
        <f t="shared" si="85"/>
        <v/>
      </c>
      <c r="F632" s="29">
        <f>COUNTIFS(실시간콜입력!$B:$B,$A632,실시간콜입력!$E:$E,"A",실시간콜입력!$G:$G,$B632,실시간콜입력!$O:$O,"방문완료")+COUNTIFS(실시간콜입력!$B:$B,$A632,실시간콜입력!$E:$E,"A",실시간콜입력!$H:$H,$B632,실시간콜입력!$O:$O,"방문완료")</f>
        <v>0</v>
      </c>
      <c r="G632" s="29">
        <f>COUNTIFS(실시간콜입력!$B:$B,$A632,실시간콜입력!$E:$E,"B",실시간콜입력!$G:$G,$B632,실시간콜입력!$O:$O,"방문완료")+COUNTIFS(실시간콜입력!$B:$B,$A632,실시간콜입력!$E:$E,"B",실시간콜입력!$H:$H,$B632,실시간콜입력!$O:$O,"방문완료")</f>
        <v>0</v>
      </c>
      <c r="H632" s="29">
        <f>COUNTIFS(실시간콜입력!$B:$B,$A632,실시간콜입력!$E:$E,"C",실시간콜입력!$G:$G,$B632,실시간콜입력!$O:$O,"방문완료")+COUNTIFS(실시간콜입력!$B:$B,$A632,실시간콜입력!$E:$E,"C",실시간콜입력!$H:$H,$B632,실시간콜입력!$O:$O,"방문완료")</f>
        <v>0</v>
      </c>
      <c r="I632" s="29">
        <f>COUNTIFS(실시간콜입력!$B:$B,$A632,실시간콜입력!$E:$E,"D",실시간콜입력!$G:$G,$B632,실시간콜입력!$O:$O,"방문완료")+COUNTIFS(실시간콜입력!$B:$B,$A632,실시간콜입력!$E:$E,"D",실시간콜입력!$H:$H,$B632,실시간콜입력!$O:$O,"방문완료")</f>
        <v>0</v>
      </c>
      <c r="J632" s="29">
        <f>COUNTIFS(실시간콜입력!$B:$B,$A632,실시간콜입력!$E:$E,"E",실시간콜입력!$G:$G,$B632,실시간콜입력!$O:$O,"방문완료")+COUNTIFS(실시간콜입력!$B:$B,$A632,실시간콜입력!$E:$E,"E",실시간콜입력!$H:$H,$B632,실시간콜입력!$O:$O,"방문완료")</f>
        <v>0</v>
      </c>
      <c r="K632" s="29">
        <f t="shared" si="86"/>
        <v>0</v>
      </c>
      <c r="L632" s="33">
        <f>SUMIFS(실시간콜입력!$K:$K,실시간콜입력!$B:$B,$A632,실시간콜입력!$G:$G,$B632,실시간콜입력!$O:$O,"방문완료")+SUMIFS(실시간콜입력!$L:$L,실시간콜입력!$B:$B,$A632,실시간콜입력!$H:$H,$B632,실시간콜입력!$O:$O,"방문완료")</f>
        <v>0</v>
      </c>
      <c r="M632" s="29" t="str">
        <f t="shared" si="87"/>
        <v/>
      </c>
      <c r="N632" s="29"/>
    </row>
    <row r="633" spans="1:14" ht="19.5" hidden="1" customHeight="1" outlineLevel="1">
      <c r="A633" s="24">
        <f>IF(13&lt;=DAY(DATE(YEAR(설정_코스수당!$K$2),MONTH(설정_코스수당!$K$2)+1,0)),DATE(YEAR(설정_코스수당!$K$2),MONTH(설정_코스수당!$K$2),13),"")</f>
        <v>46186</v>
      </c>
      <c r="B633" s="23" t="s">
        <v>165</v>
      </c>
      <c r="C633" s="29"/>
      <c r="D633" s="29"/>
      <c r="E633" s="29" t="str">
        <f t="shared" si="85"/>
        <v/>
      </c>
      <c r="F633" s="29">
        <f>COUNTIFS(실시간콜입력!$B:$B,$A633,실시간콜입력!$E:$E,"A",실시간콜입력!$G:$G,$B633,실시간콜입력!$O:$O,"방문완료")+COUNTIFS(실시간콜입력!$B:$B,$A633,실시간콜입력!$E:$E,"A",실시간콜입력!$H:$H,$B633,실시간콜입력!$O:$O,"방문완료")</f>
        <v>0</v>
      </c>
      <c r="G633" s="29">
        <f>COUNTIFS(실시간콜입력!$B:$B,$A633,실시간콜입력!$E:$E,"B",실시간콜입력!$G:$G,$B633,실시간콜입력!$O:$O,"방문완료")+COUNTIFS(실시간콜입력!$B:$B,$A633,실시간콜입력!$E:$E,"B",실시간콜입력!$H:$H,$B633,실시간콜입력!$O:$O,"방문완료")</f>
        <v>0</v>
      </c>
      <c r="H633" s="29">
        <f>COUNTIFS(실시간콜입력!$B:$B,$A633,실시간콜입력!$E:$E,"C",실시간콜입력!$G:$G,$B633,실시간콜입력!$O:$O,"방문완료")+COUNTIFS(실시간콜입력!$B:$B,$A633,실시간콜입력!$E:$E,"C",실시간콜입력!$H:$H,$B633,실시간콜입력!$O:$O,"방문완료")</f>
        <v>0</v>
      </c>
      <c r="I633" s="29">
        <f>COUNTIFS(실시간콜입력!$B:$B,$A633,실시간콜입력!$E:$E,"D",실시간콜입력!$G:$G,$B633,실시간콜입력!$O:$O,"방문완료")+COUNTIFS(실시간콜입력!$B:$B,$A633,실시간콜입력!$E:$E,"D",실시간콜입력!$H:$H,$B633,실시간콜입력!$O:$O,"방문완료")</f>
        <v>0</v>
      </c>
      <c r="J633" s="29">
        <f>COUNTIFS(실시간콜입력!$B:$B,$A633,실시간콜입력!$E:$E,"E",실시간콜입력!$G:$G,$B633,실시간콜입력!$O:$O,"방문완료")+COUNTIFS(실시간콜입력!$B:$B,$A633,실시간콜입력!$E:$E,"E",실시간콜입력!$H:$H,$B633,실시간콜입력!$O:$O,"방문완료")</f>
        <v>0</v>
      </c>
      <c r="K633" s="29">
        <f t="shared" si="86"/>
        <v>0</v>
      </c>
      <c r="L633" s="27">
        <f>SUMIFS(실시간콜입력!$K:$K,실시간콜입력!$B:$B,$A633,실시간콜입력!$G:$G,$B633,실시간콜입력!$O:$O,"방문완료")+SUMIFS(실시간콜입력!$L:$L,실시간콜입력!$B:$B,$A633,실시간콜입력!$H:$H,$B633,실시간콜입력!$O:$O,"방문완료")</f>
        <v>0</v>
      </c>
      <c r="M633" s="29" t="str">
        <f t="shared" si="87"/>
        <v/>
      </c>
      <c r="N633" s="29"/>
    </row>
    <row r="634" spans="1:14" ht="19.5" hidden="1" customHeight="1" outlineLevel="1">
      <c r="A634" s="30">
        <f>IF(13&lt;=DAY(DATE(YEAR(설정_코스수당!$K$2),MONTH(설정_코스수당!$K$2)+1,0)),DATE(YEAR(설정_코스수당!$K$2),MONTH(설정_코스수당!$K$2),13),"")</f>
        <v>46186</v>
      </c>
      <c r="B634" s="29" t="s">
        <v>166</v>
      </c>
      <c r="C634" s="29"/>
      <c r="D634" s="29"/>
      <c r="E634" s="29" t="str">
        <f t="shared" si="85"/>
        <v/>
      </c>
      <c r="F634" s="29">
        <f>COUNTIFS(실시간콜입력!$B:$B,$A634,실시간콜입력!$E:$E,"A",실시간콜입력!$G:$G,$B634,실시간콜입력!$O:$O,"방문완료")+COUNTIFS(실시간콜입력!$B:$B,$A634,실시간콜입력!$E:$E,"A",실시간콜입력!$H:$H,$B634,실시간콜입력!$O:$O,"방문완료")</f>
        <v>0</v>
      </c>
      <c r="G634" s="29">
        <f>COUNTIFS(실시간콜입력!$B:$B,$A634,실시간콜입력!$E:$E,"B",실시간콜입력!$G:$G,$B634,실시간콜입력!$O:$O,"방문완료")+COUNTIFS(실시간콜입력!$B:$B,$A634,실시간콜입력!$E:$E,"B",실시간콜입력!$H:$H,$B634,실시간콜입력!$O:$O,"방문완료")</f>
        <v>0</v>
      </c>
      <c r="H634" s="29">
        <f>COUNTIFS(실시간콜입력!$B:$B,$A634,실시간콜입력!$E:$E,"C",실시간콜입력!$G:$G,$B634,실시간콜입력!$O:$O,"방문완료")+COUNTIFS(실시간콜입력!$B:$B,$A634,실시간콜입력!$E:$E,"C",실시간콜입력!$H:$H,$B634,실시간콜입력!$O:$O,"방문완료")</f>
        <v>0</v>
      </c>
      <c r="I634" s="29">
        <f>COUNTIFS(실시간콜입력!$B:$B,$A634,실시간콜입력!$E:$E,"D",실시간콜입력!$G:$G,$B634,실시간콜입력!$O:$O,"방문완료")+COUNTIFS(실시간콜입력!$B:$B,$A634,실시간콜입력!$E:$E,"D",실시간콜입력!$H:$H,$B634,실시간콜입력!$O:$O,"방문완료")</f>
        <v>0</v>
      </c>
      <c r="J634" s="29">
        <f>COUNTIFS(실시간콜입력!$B:$B,$A634,실시간콜입력!$E:$E,"E",실시간콜입력!$G:$G,$B634,실시간콜입력!$O:$O,"방문완료")+COUNTIFS(실시간콜입력!$B:$B,$A634,실시간콜입력!$E:$E,"E",실시간콜입력!$H:$H,$B634,실시간콜입력!$O:$O,"방문완료")</f>
        <v>0</v>
      </c>
      <c r="K634" s="29">
        <f t="shared" si="86"/>
        <v>0</v>
      </c>
      <c r="L634" s="33">
        <f>SUMIFS(실시간콜입력!$K:$K,실시간콜입력!$B:$B,$A634,실시간콜입력!$G:$G,$B634,실시간콜입력!$O:$O,"방문완료")+SUMIFS(실시간콜입력!$L:$L,실시간콜입력!$B:$B,$A634,실시간콜입력!$H:$H,$B634,실시간콜입력!$O:$O,"방문완료")</f>
        <v>0</v>
      </c>
      <c r="M634" s="29" t="str">
        <f t="shared" si="87"/>
        <v/>
      </c>
      <c r="N634" s="29"/>
    </row>
    <row r="635" spans="1:14" ht="19.5" hidden="1" customHeight="1" outlineLevel="1">
      <c r="A635" s="24">
        <f>IF(13&lt;=DAY(DATE(YEAR(설정_코스수당!$K$2),MONTH(설정_코스수당!$K$2)+1,0)),DATE(YEAR(설정_코스수당!$K$2),MONTH(설정_코스수당!$K$2),13),"")</f>
        <v>46186</v>
      </c>
      <c r="B635" s="23" t="s">
        <v>167</v>
      </c>
      <c r="C635" s="29"/>
      <c r="D635" s="29"/>
      <c r="E635" s="29" t="str">
        <f t="shared" si="85"/>
        <v/>
      </c>
      <c r="F635" s="29">
        <f>COUNTIFS(실시간콜입력!$B:$B,$A635,실시간콜입력!$E:$E,"A",실시간콜입력!$G:$G,$B635,실시간콜입력!$O:$O,"방문완료")+COUNTIFS(실시간콜입력!$B:$B,$A635,실시간콜입력!$E:$E,"A",실시간콜입력!$H:$H,$B635,실시간콜입력!$O:$O,"방문완료")</f>
        <v>0</v>
      </c>
      <c r="G635" s="29">
        <f>COUNTIFS(실시간콜입력!$B:$B,$A635,실시간콜입력!$E:$E,"B",실시간콜입력!$G:$G,$B635,실시간콜입력!$O:$O,"방문완료")+COUNTIFS(실시간콜입력!$B:$B,$A635,실시간콜입력!$E:$E,"B",실시간콜입력!$H:$H,$B635,실시간콜입력!$O:$O,"방문완료")</f>
        <v>0</v>
      </c>
      <c r="H635" s="29">
        <f>COUNTIFS(실시간콜입력!$B:$B,$A635,실시간콜입력!$E:$E,"C",실시간콜입력!$G:$G,$B635,실시간콜입력!$O:$O,"방문완료")+COUNTIFS(실시간콜입력!$B:$B,$A635,실시간콜입력!$E:$E,"C",실시간콜입력!$H:$H,$B635,실시간콜입력!$O:$O,"방문완료")</f>
        <v>0</v>
      </c>
      <c r="I635" s="29">
        <f>COUNTIFS(실시간콜입력!$B:$B,$A635,실시간콜입력!$E:$E,"D",실시간콜입력!$G:$G,$B635,실시간콜입력!$O:$O,"방문완료")+COUNTIFS(실시간콜입력!$B:$B,$A635,실시간콜입력!$E:$E,"D",실시간콜입력!$H:$H,$B635,실시간콜입력!$O:$O,"방문완료")</f>
        <v>0</v>
      </c>
      <c r="J635" s="29">
        <f>COUNTIFS(실시간콜입력!$B:$B,$A635,실시간콜입력!$E:$E,"E",실시간콜입력!$G:$G,$B635,실시간콜입력!$O:$O,"방문완료")+COUNTIFS(실시간콜입력!$B:$B,$A635,실시간콜입력!$E:$E,"E",실시간콜입력!$H:$H,$B635,실시간콜입력!$O:$O,"방문완료")</f>
        <v>0</v>
      </c>
      <c r="K635" s="29">
        <f t="shared" si="86"/>
        <v>0</v>
      </c>
      <c r="L635" s="27">
        <f>SUMIFS(실시간콜입력!$K:$K,실시간콜입력!$B:$B,$A635,실시간콜입력!$G:$G,$B635,실시간콜입력!$O:$O,"방문완료")+SUMIFS(실시간콜입력!$L:$L,실시간콜입력!$B:$B,$A635,실시간콜입력!$H:$H,$B635,실시간콜입력!$O:$O,"방문완료")</f>
        <v>0</v>
      </c>
      <c r="M635" s="29" t="str">
        <f t="shared" si="87"/>
        <v/>
      </c>
      <c r="N635" s="29"/>
    </row>
    <row r="636" spans="1:14" ht="19.5" hidden="1" customHeight="1" outlineLevel="1">
      <c r="A636" s="30">
        <f>IF(13&lt;=DAY(DATE(YEAR(설정_코스수당!$K$2),MONTH(설정_코스수당!$K$2)+1,0)),DATE(YEAR(설정_코스수당!$K$2),MONTH(설정_코스수당!$K$2),13),"")</f>
        <v>46186</v>
      </c>
      <c r="B636" s="29" t="s">
        <v>168</v>
      </c>
      <c r="C636" s="29"/>
      <c r="D636" s="29"/>
      <c r="E636" s="29" t="str">
        <f t="shared" si="85"/>
        <v/>
      </c>
      <c r="F636" s="29">
        <f>COUNTIFS(실시간콜입력!$B:$B,$A636,실시간콜입력!$E:$E,"A",실시간콜입력!$G:$G,$B636,실시간콜입력!$O:$O,"방문완료")+COUNTIFS(실시간콜입력!$B:$B,$A636,실시간콜입력!$E:$E,"A",실시간콜입력!$H:$H,$B636,실시간콜입력!$O:$O,"방문완료")</f>
        <v>0</v>
      </c>
      <c r="G636" s="29">
        <f>COUNTIFS(실시간콜입력!$B:$B,$A636,실시간콜입력!$E:$E,"B",실시간콜입력!$G:$G,$B636,실시간콜입력!$O:$O,"방문완료")+COUNTIFS(실시간콜입력!$B:$B,$A636,실시간콜입력!$E:$E,"B",실시간콜입력!$H:$H,$B636,실시간콜입력!$O:$O,"방문완료")</f>
        <v>0</v>
      </c>
      <c r="H636" s="29">
        <f>COUNTIFS(실시간콜입력!$B:$B,$A636,실시간콜입력!$E:$E,"C",실시간콜입력!$G:$G,$B636,실시간콜입력!$O:$O,"방문완료")+COUNTIFS(실시간콜입력!$B:$B,$A636,실시간콜입력!$E:$E,"C",실시간콜입력!$H:$H,$B636,실시간콜입력!$O:$O,"방문완료")</f>
        <v>0</v>
      </c>
      <c r="I636" s="29">
        <f>COUNTIFS(실시간콜입력!$B:$B,$A636,실시간콜입력!$E:$E,"D",실시간콜입력!$G:$G,$B636,실시간콜입력!$O:$O,"방문완료")+COUNTIFS(실시간콜입력!$B:$B,$A636,실시간콜입력!$E:$E,"D",실시간콜입력!$H:$H,$B636,실시간콜입력!$O:$O,"방문완료")</f>
        <v>0</v>
      </c>
      <c r="J636" s="29">
        <f>COUNTIFS(실시간콜입력!$B:$B,$A636,실시간콜입력!$E:$E,"E",실시간콜입력!$G:$G,$B636,실시간콜입력!$O:$O,"방문완료")+COUNTIFS(실시간콜입력!$B:$B,$A636,실시간콜입력!$E:$E,"E",실시간콜입력!$H:$H,$B636,실시간콜입력!$O:$O,"방문완료")</f>
        <v>0</v>
      </c>
      <c r="K636" s="29">
        <f t="shared" si="86"/>
        <v>0</v>
      </c>
      <c r="L636" s="33">
        <f>SUMIFS(실시간콜입력!$K:$K,실시간콜입력!$B:$B,$A636,실시간콜입력!$G:$G,$B636,실시간콜입력!$O:$O,"방문완료")+SUMIFS(실시간콜입력!$L:$L,실시간콜입력!$B:$B,$A636,실시간콜입력!$H:$H,$B636,실시간콜입력!$O:$O,"방문완료")</f>
        <v>0</v>
      </c>
      <c r="M636" s="29" t="str">
        <f t="shared" si="87"/>
        <v/>
      </c>
      <c r="N636" s="29"/>
    </row>
    <row r="637" spans="1:14" ht="19.5" hidden="1" customHeight="1" outlineLevel="1">
      <c r="A637" s="24">
        <f>IF(13&lt;=DAY(DATE(YEAR(설정_코스수당!$K$2),MONTH(설정_코스수당!$K$2)+1,0)),DATE(YEAR(설정_코스수당!$K$2),MONTH(설정_코스수당!$K$2),13),"")</f>
        <v>46186</v>
      </c>
      <c r="B637" s="23" t="s">
        <v>169</v>
      </c>
      <c r="C637" s="29"/>
      <c r="D637" s="29"/>
      <c r="E637" s="29" t="str">
        <f t="shared" si="85"/>
        <v/>
      </c>
      <c r="F637" s="29">
        <f>COUNTIFS(실시간콜입력!$B:$B,$A637,실시간콜입력!$E:$E,"A",실시간콜입력!$G:$G,$B637,실시간콜입력!$O:$O,"방문완료")+COUNTIFS(실시간콜입력!$B:$B,$A637,실시간콜입력!$E:$E,"A",실시간콜입력!$H:$H,$B637,실시간콜입력!$O:$O,"방문완료")</f>
        <v>0</v>
      </c>
      <c r="G637" s="29">
        <f>COUNTIFS(실시간콜입력!$B:$B,$A637,실시간콜입력!$E:$E,"B",실시간콜입력!$G:$G,$B637,실시간콜입력!$O:$O,"방문완료")+COUNTIFS(실시간콜입력!$B:$B,$A637,실시간콜입력!$E:$E,"B",실시간콜입력!$H:$H,$B637,실시간콜입력!$O:$O,"방문완료")</f>
        <v>0</v>
      </c>
      <c r="H637" s="29">
        <f>COUNTIFS(실시간콜입력!$B:$B,$A637,실시간콜입력!$E:$E,"C",실시간콜입력!$G:$G,$B637,실시간콜입력!$O:$O,"방문완료")+COUNTIFS(실시간콜입력!$B:$B,$A637,실시간콜입력!$E:$E,"C",실시간콜입력!$H:$H,$B637,실시간콜입력!$O:$O,"방문완료")</f>
        <v>0</v>
      </c>
      <c r="I637" s="29">
        <f>COUNTIFS(실시간콜입력!$B:$B,$A637,실시간콜입력!$E:$E,"D",실시간콜입력!$G:$G,$B637,실시간콜입력!$O:$O,"방문완료")+COUNTIFS(실시간콜입력!$B:$B,$A637,실시간콜입력!$E:$E,"D",실시간콜입력!$H:$H,$B637,실시간콜입력!$O:$O,"방문완료")</f>
        <v>0</v>
      </c>
      <c r="J637" s="29">
        <f>COUNTIFS(실시간콜입력!$B:$B,$A637,실시간콜입력!$E:$E,"E",실시간콜입력!$G:$G,$B637,실시간콜입력!$O:$O,"방문완료")+COUNTIFS(실시간콜입력!$B:$B,$A637,실시간콜입력!$E:$E,"E",실시간콜입력!$H:$H,$B637,실시간콜입력!$O:$O,"방문완료")</f>
        <v>0</v>
      </c>
      <c r="K637" s="29">
        <f t="shared" si="86"/>
        <v>0</v>
      </c>
      <c r="L637" s="27">
        <f>SUMIFS(실시간콜입력!$K:$K,실시간콜입력!$B:$B,$A637,실시간콜입력!$G:$G,$B637,실시간콜입력!$O:$O,"방문완료")+SUMIFS(실시간콜입력!$L:$L,실시간콜입력!$B:$B,$A637,실시간콜입력!$H:$H,$B637,실시간콜입력!$O:$O,"방문완료")</f>
        <v>0</v>
      </c>
      <c r="M637" s="29" t="str">
        <f t="shared" si="87"/>
        <v/>
      </c>
      <c r="N637" s="29"/>
    </row>
    <row r="638" spans="1:14" ht="19.5" hidden="1" customHeight="1" outlineLevel="1">
      <c r="A638" s="30">
        <f>IF(13&lt;=DAY(DATE(YEAR(설정_코스수당!$K$2),MONTH(설정_코스수당!$K$2)+1,0)),DATE(YEAR(설정_코스수당!$K$2),MONTH(설정_코스수당!$K$2),13),"")</f>
        <v>46186</v>
      </c>
      <c r="B638" s="29" t="s">
        <v>170</v>
      </c>
      <c r="C638" s="29"/>
      <c r="D638" s="29"/>
      <c r="E638" s="29" t="str">
        <f t="shared" si="85"/>
        <v/>
      </c>
      <c r="F638" s="29">
        <f>COUNTIFS(실시간콜입력!$B:$B,$A638,실시간콜입력!$E:$E,"A",실시간콜입력!$G:$G,$B638,실시간콜입력!$O:$O,"방문완료")+COUNTIFS(실시간콜입력!$B:$B,$A638,실시간콜입력!$E:$E,"A",실시간콜입력!$H:$H,$B638,실시간콜입력!$O:$O,"방문완료")</f>
        <v>0</v>
      </c>
      <c r="G638" s="29">
        <f>COUNTIFS(실시간콜입력!$B:$B,$A638,실시간콜입력!$E:$E,"B",실시간콜입력!$G:$G,$B638,실시간콜입력!$O:$O,"방문완료")+COUNTIFS(실시간콜입력!$B:$B,$A638,실시간콜입력!$E:$E,"B",실시간콜입력!$H:$H,$B638,실시간콜입력!$O:$O,"방문완료")</f>
        <v>0</v>
      </c>
      <c r="H638" s="29">
        <f>COUNTIFS(실시간콜입력!$B:$B,$A638,실시간콜입력!$E:$E,"C",실시간콜입력!$G:$G,$B638,실시간콜입력!$O:$O,"방문완료")+COUNTIFS(실시간콜입력!$B:$B,$A638,실시간콜입력!$E:$E,"C",실시간콜입력!$H:$H,$B638,실시간콜입력!$O:$O,"방문완료")</f>
        <v>0</v>
      </c>
      <c r="I638" s="29">
        <f>COUNTIFS(실시간콜입력!$B:$B,$A638,실시간콜입력!$E:$E,"D",실시간콜입력!$G:$G,$B638,실시간콜입력!$O:$O,"방문완료")+COUNTIFS(실시간콜입력!$B:$B,$A638,실시간콜입력!$E:$E,"D",실시간콜입력!$H:$H,$B638,실시간콜입력!$O:$O,"방문완료")</f>
        <v>0</v>
      </c>
      <c r="J638" s="29">
        <f>COUNTIFS(실시간콜입력!$B:$B,$A638,실시간콜입력!$E:$E,"E",실시간콜입력!$G:$G,$B638,실시간콜입력!$O:$O,"방문완료")+COUNTIFS(실시간콜입력!$B:$B,$A638,실시간콜입력!$E:$E,"E",실시간콜입력!$H:$H,$B638,실시간콜입력!$O:$O,"방문완료")</f>
        <v>0</v>
      </c>
      <c r="K638" s="29">
        <f t="shared" si="86"/>
        <v>0</v>
      </c>
      <c r="L638" s="33">
        <f>SUMIFS(실시간콜입력!$K:$K,실시간콜입력!$B:$B,$A638,실시간콜입력!$G:$G,$B638,실시간콜입력!$O:$O,"방문완료")+SUMIFS(실시간콜입력!$L:$L,실시간콜입력!$B:$B,$A638,실시간콜입력!$H:$H,$B638,실시간콜입력!$O:$O,"방문완료")</f>
        <v>0</v>
      </c>
      <c r="M638" s="29" t="str">
        <f t="shared" si="87"/>
        <v/>
      </c>
      <c r="N638" s="29"/>
    </row>
    <row r="639" spans="1:14" ht="19.5" hidden="1" customHeight="1" outlineLevel="1">
      <c r="A639" s="24">
        <f>IF(13&lt;=DAY(DATE(YEAR(설정_코스수당!$K$2),MONTH(설정_코스수당!$K$2)+1,0)),DATE(YEAR(설정_코스수당!$K$2),MONTH(설정_코스수당!$K$2),13),"")</f>
        <v>46186</v>
      </c>
      <c r="B639" s="23" t="s">
        <v>171</v>
      </c>
      <c r="C639" s="29"/>
      <c r="D639" s="29"/>
      <c r="E639" s="29" t="str">
        <f t="shared" si="85"/>
        <v/>
      </c>
      <c r="F639" s="29">
        <f>COUNTIFS(실시간콜입력!$B:$B,$A639,실시간콜입력!$E:$E,"A",실시간콜입력!$G:$G,$B639,실시간콜입력!$O:$O,"방문완료")+COUNTIFS(실시간콜입력!$B:$B,$A639,실시간콜입력!$E:$E,"A",실시간콜입력!$H:$H,$B639,실시간콜입력!$O:$O,"방문완료")</f>
        <v>0</v>
      </c>
      <c r="G639" s="29">
        <f>COUNTIFS(실시간콜입력!$B:$B,$A639,실시간콜입력!$E:$E,"B",실시간콜입력!$G:$G,$B639,실시간콜입력!$O:$O,"방문완료")+COUNTIFS(실시간콜입력!$B:$B,$A639,실시간콜입력!$E:$E,"B",실시간콜입력!$H:$H,$B639,실시간콜입력!$O:$O,"방문완료")</f>
        <v>0</v>
      </c>
      <c r="H639" s="29">
        <f>COUNTIFS(실시간콜입력!$B:$B,$A639,실시간콜입력!$E:$E,"C",실시간콜입력!$G:$G,$B639,실시간콜입력!$O:$O,"방문완료")+COUNTIFS(실시간콜입력!$B:$B,$A639,실시간콜입력!$E:$E,"C",실시간콜입력!$H:$H,$B639,실시간콜입력!$O:$O,"방문완료")</f>
        <v>0</v>
      </c>
      <c r="I639" s="29">
        <f>COUNTIFS(실시간콜입력!$B:$B,$A639,실시간콜입력!$E:$E,"D",실시간콜입력!$G:$G,$B639,실시간콜입력!$O:$O,"방문완료")+COUNTIFS(실시간콜입력!$B:$B,$A639,실시간콜입력!$E:$E,"D",실시간콜입력!$H:$H,$B639,실시간콜입력!$O:$O,"방문완료")</f>
        <v>0</v>
      </c>
      <c r="J639" s="29">
        <f>COUNTIFS(실시간콜입력!$B:$B,$A639,실시간콜입력!$E:$E,"E",실시간콜입력!$G:$G,$B639,실시간콜입력!$O:$O,"방문완료")+COUNTIFS(실시간콜입력!$B:$B,$A639,실시간콜입력!$E:$E,"E",실시간콜입력!$H:$H,$B639,실시간콜입력!$O:$O,"방문완료")</f>
        <v>0</v>
      </c>
      <c r="K639" s="29">
        <f t="shared" si="86"/>
        <v>0</v>
      </c>
      <c r="L639" s="27">
        <f>SUMIFS(실시간콜입력!$K:$K,실시간콜입력!$B:$B,$A639,실시간콜입력!$G:$G,$B639,실시간콜입력!$O:$O,"방문완료")+SUMIFS(실시간콜입력!$L:$L,실시간콜입력!$B:$B,$A639,실시간콜입력!$H:$H,$B639,실시간콜입력!$O:$O,"방문완료")</f>
        <v>0</v>
      </c>
      <c r="M639" s="29" t="str">
        <f t="shared" si="87"/>
        <v/>
      </c>
      <c r="N639" s="29"/>
    </row>
    <row r="640" spans="1:14" ht="19.5" hidden="1" customHeight="1" outlineLevel="1">
      <c r="A640" s="30">
        <f>IF(13&lt;=DAY(DATE(YEAR(설정_코스수당!$K$2),MONTH(설정_코스수당!$K$2)+1,0)),DATE(YEAR(설정_코스수당!$K$2),MONTH(설정_코스수당!$K$2),13),"")</f>
        <v>46186</v>
      </c>
      <c r="B640" s="29" t="s">
        <v>172</v>
      </c>
      <c r="C640" s="29"/>
      <c r="D640" s="29"/>
      <c r="E640" s="29" t="str">
        <f t="shared" si="85"/>
        <v/>
      </c>
      <c r="F640" s="29">
        <f>COUNTIFS(실시간콜입력!$B:$B,$A640,실시간콜입력!$E:$E,"A",실시간콜입력!$G:$G,$B640,실시간콜입력!$O:$O,"방문완료")+COUNTIFS(실시간콜입력!$B:$B,$A640,실시간콜입력!$E:$E,"A",실시간콜입력!$H:$H,$B640,실시간콜입력!$O:$O,"방문완료")</f>
        <v>0</v>
      </c>
      <c r="G640" s="29">
        <f>COUNTIFS(실시간콜입력!$B:$B,$A640,실시간콜입력!$E:$E,"B",실시간콜입력!$G:$G,$B640,실시간콜입력!$O:$O,"방문완료")+COUNTIFS(실시간콜입력!$B:$B,$A640,실시간콜입력!$E:$E,"B",실시간콜입력!$H:$H,$B640,실시간콜입력!$O:$O,"방문완료")</f>
        <v>0</v>
      </c>
      <c r="H640" s="29">
        <f>COUNTIFS(실시간콜입력!$B:$B,$A640,실시간콜입력!$E:$E,"C",실시간콜입력!$G:$G,$B640,실시간콜입력!$O:$O,"방문완료")+COUNTIFS(실시간콜입력!$B:$B,$A640,실시간콜입력!$E:$E,"C",실시간콜입력!$H:$H,$B640,실시간콜입력!$O:$O,"방문완료")</f>
        <v>0</v>
      </c>
      <c r="I640" s="29">
        <f>COUNTIFS(실시간콜입력!$B:$B,$A640,실시간콜입력!$E:$E,"D",실시간콜입력!$G:$G,$B640,실시간콜입력!$O:$O,"방문완료")+COUNTIFS(실시간콜입력!$B:$B,$A640,실시간콜입력!$E:$E,"D",실시간콜입력!$H:$H,$B640,실시간콜입력!$O:$O,"방문완료")</f>
        <v>0</v>
      </c>
      <c r="J640" s="29">
        <f>COUNTIFS(실시간콜입력!$B:$B,$A640,실시간콜입력!$E:$E,"E",실시간콜입력!$G:$G,$B640,실시간콜입력!$O:$O,"방문완료")+COUNTIFS(실시간콜입력!$B:$B,$A640,실시간콜입력!$E:$E,"E",실시간콜입력!$H:$H,$B640,실시간콜입력!$O:$O,"방문완료")</f>
        <v>0</v>
      </c>
      <c r="K640" s="29">
        <f t="shared" si="86"/>
        <v>0</v>
      </c>
      <c r="L640" s="33">
        <f>SUMIFS(실시간콜입력!$K:$K,실시간콜입력!$B:$B,$A640,실시간콜입력!$G:$G,$B640,실시간콜입력!$O:$O,"방문완료")+SUMIFS(실시간콜입력!$L:$L,실시간콜입력!$B:$B,$A640,실시간콜입력!$H:$H,$B640,실시간콜입력!$O:$O,"방문완료")</f>
        <v>0</v>
      </c>
      <c r="M640" s="29" t="str">
        <f t="shared" si="87"/>
        <v/>
      </c>
      <c r="N640" s="29"/>
    </row>
    <row r="641" spans="1:14" ht="19.5" hidden="1" customHeight="1" outlineLevel="1">
      <c r="A641" s="24">
        <f>IF(13&lt;=DAY(DATE(YEAR(설정_코스수당!$K$2),MONTH(설정_코스수당!$K$2)+1,0)),DATE(YEAR(설정_코스수당!$K$2),MONTH(설정_코스수당!$K$2),13),"")</f>
        <v>46186</v>
      </c>
      <c r="B641" s="23" t="s">
        <v>173</v>
      </c>
      <c r="C641" s="29"/>
      <c r="D641" s="29"/>
      <c r="E641" s="29" t="str">
        <f t="shared" si="85"/>
        <v/>
      </c>
      <c r="F641" s="29">
        <f>COUNTIFS(실시간콜입력!$B:$B,$A641,실시간콜입력!$E:$E,"A",실시간콜입력!$G:$G,$B641,실시간콜입력!$O:$O,"방문완료")+COUNTIFS(실시간콜입력!$B:$B,$A641,실시간콜입력!$E:$E,"A",실시간콜입력!$H:$H,$B641,실시간콜입력!$O:$O,"방문완료")</f>
        <v>0</v>
      </c>
      <c r="G641" s="29">
        <f>COUNTIFS(실시간콜입력!$B:$B,$A641,실시간콜입력!$E:$E,"B",실시간콜입력!$G:$G,$B641,실시간콜입력!$O:$O,"방문완료")+COUNTIFS(실시간콜입력!$B:$B,$A641,실시간콜입력!$E:$E,"B",실시간콜입력!$H:$H,$B641,실시간콜입력!$O:$O,"방문완료")</f>
        <v>0</v>
      </c>
      <c r="H641" s="29">
        <f>COUNTIFS(실시간콜입력!$B:$B,$A641,실시간콜입력!$E:$E,"C",실시간콜입력!$G:$G,$B641,실시간콜입력!$O:$O,"방문완료")+COUNTIFS(실시간콜입력!$B:$B,$A641,실시간콜입력!$E:$E,"C",실시간콜입력!$H:$H,$B641,실시간콜입력!$O:$O,"방문완료")</f>
        <v>0</v>
      </c>
      <c r="I641" s="29">
        <f>COUNTIFS(실시간콜입력!$B:$B,$A641,실시간콜입력!$E:$E,"D",실시간콜입력!$G:$G,$B641,실시간콜입력!$O:$O,"방문완료")+COUNTIFS(실시간콜입력!$B:$B,$A641,실시간콜입력!$E:$E,"D",실시간콜입력!$H:$H,$B641,실시간콜입력!$O:$O,"방문완료")</f>
        <v>0</v>
      </c>
      <c r="J641" s="29">
        <f>COUNTIFS(실시간콜입력!$B:$B,$A641,실시간콜입력!$E:$E,"E",실시간콜입력!$G:$G,$B641,실시간콜입력!$O:$O,"방문완료")+COUNTIFS(실시간콜입력!$B:$B,$A641,실시간콜입력!$E:$E,"E",실시간콜입력!$H:$H,$B641,실시간콜입력!$O:$O,"방문완료")</f>
        <v>0</v>
      </c>
      <c r="K641" s="29">
        <f t="shared" si="86"/>
        <v>0</v>
      </c>
      <c r="L641" s="27">
        <f>SUMIFS(실시간콜입력!$K:$K,실시간콜입력!$B:$B,$A641,실시간콜입력!$G:$G,$B641,실시간콜입력!$O:$O,"방문완료")+SUMIFS(실시간콜입력!$L:$L,실시간콜입력!$B:$B,$A641,실시간콜입력!$H:$H,$B641,실시간콜입력!$O:$O,"방문완료")</f>
        <v>0</v>
      </c>
      <c r="M641" s="29" t="str">
        <f t="shared" si="87"/>
        <v/>
      </c>
      <c r="N641" s="29"/>
    </row>
    <row r="642" spans="1:14" ht="19.5" hidden="1" customHeight="1" outlineLevel="1">
      <c r="A642" s="30">
        <f>IF(13&lt;=DAY(DATE(YEAR(설정_코스수당!$K$2),MONTH(설정_코스수당!$K$2)+1,0)),DATE(YEAR(설정_코스수당!$K$2),MONTH(설정_코스수당!$K$2),13),"")</f>
        <v>46186</v>
      </c>
      <c r="B642" s="29" t="s">
        <v>174</v>
      </c>
      <c r="C642" s="29"/>
      <c r="D642" s="29"/>
      <c r="E642" s="29" t="str">
        <f t="shared" si="85"/>
        <v/>
      </c>
      <c r="F642" s="29">
        <f>COUNTIFS(실시간콜입력!$B:$B,$A642,실시간콜입력!$E:$E,"A",실시간콜입력!$G:$G,$B642,실시간콜입력!$O:$O,"방문완료")+COUNTIFS(실시간콜입력!$B:$B,$A642,실시간콜입력!$E:$E,"A",실시간콜입력!$H:$H,$B642,실시간콜입력!$O:$O,"방문완료")</f>
        <v>0</v>
      </c>
      <c r="G642" s="29">
        <f>COUNTIFS(실시간콜입력!$B:$B,$A642,실시간콜입력!$E:$E,"B",실시간콜입력!$G:$G,$B642,실시간콜입력!$O:$O,"방문완료")+COUNTIFS(실시간콜입력!$B:$B,$A642,실시간콜입력!$E:$E,"B",실시간콜입력!$H:$H,$B642,실시간콜입력!$O:$O,"방문완료")</f>
        <v>0</v>
      </c>
      <c r="H642" s="29">
        <f>COUNTIFS(실시간콜입력!$B:$B,$A642,실시간콜입력!$E:$E,"C",실시간콜입력!$G:$G,$B642,실시간콜입력!$O:$O,"방문완료")+COUNTIFS(실시간콜입력!$B:$B,$A642,실시간콜입력!$E:$E,"C",실시간콜입력!$H:$H,$B642,실시간콜입력!$O:$O,"방문완료")</f>
        <v>0</v>
      </c>
      <c r="I642" s="29">
        <f>COUNTIFS(실시간콜입력!$B:$B,$A642,실시간콜입력!$E:$E,"D",실시간콜입력!$G:$G,$B642,실시간콜입력!$O:$O,"방문완료")+COUNTIFS(실시간콜입력!$B:$B,$A642,실시간콜입력!$E:$E,"D",실시간콜입력!$H:$H,$B642,실시간콜입력!$O:$O,"방문완료")</f>
        <v>0</v>
      </c>
      <c r="J642" s="29">
        <f>COUNTIFS(실시간콜입력!$B:$B,$A642,실시간콜입력!$E:$E,"E",실시간콜입력!$G:$G,$B642,실시간콜입력!$O:$O,"방문완료")+COUNTIFS(실시간콜입력!$B:$B,$A642,실시간콜입력!$E:$E,"E",실시간콜입력!$H:$H,$B642,실시간콜입력!$O:$O,"방문완료")</f>
        <v>0</v>
      </c>
      <c r="K642" s="29">
        <f t="shared" si="86"/>
        <v>0</v>
      </c>
      <c r="L642" s="33">
        <f>SUMIFS(실시간콜입력!$K:$K,실시간콜입력!$B:$B,$A642,실시간콜입력!$G:$G,$B642,실시간콜입력!$O:$O,"방문완료")+SUMIFS(실시간콜입력!$L:$L,실시간콜입력!$B:$B,$A642,실시간콜입력!$H:$H,$B642,실시간콜입력!$O:$O,"방문완료")</f>
        <v>0</v>
      </c>
      <c r="M642" s="29" t="str">
        <f t="shared" si="87"/>
        <v/>
      </c>
      <c r="N642" s="29"/>
    </row>
    <row r="643" spans="1:14" ht="19.5" hidden="1" customHeight="1" outlineLevel="1">
      <c r="A643" s="24">
        <f>IF(13&lt;=DAY(DATE(YEAR(설정_코스수당!$K$2),MONTH(설정_코스수당!$K$2)+1,0)),DATE(YEAR(설정_코스수당!$K$2),MONTH(설정_코스수당!$K$2),13),"")</f>
        <v>46186</v>
      </c>
      <c r="B643" s="23" t="s">
        <v>175</v>
      </c>
      <c r="C643" s="29"/>
      <c r="D643" s="29"/>
      <c r="E643" s="29" t="str">
        <f t="shared" si="85"/>
        <v/>
      </c>
      <c r="F643" s="29">
        <f>COUNTIFS(실시간콜입력!$B:$B,$A643,실시간콜입력!$E:$E,"A",실시간콜입력!$G:$G,$B643,실시간콜입력!$O:$O,"방문완료")+COUNTIFS(실시간콜입력!$B:$B,$A643,실시간콜입력!$E:$E,"A",실시간콜입력!$H:$H,$B643,실시간콜입력!$O:$O,"방문완료")</f>
        <v>0</v>
      </c>
      <c r="G643" s="29">
        <f>COUNTIFS(실시간콜입력!$B:$B,$A643,실시간콜입력!$E:$E,"B",실시간콜입력!$G:$G,$B643,실시간콜입력!$O:$O,"방문완료")+COUNTIFS(실시간콜입력!$B:$B,$A643,실시간콜입력!$E:$E,"B",실시간콜입력!$H:$H,$B643,실시간콜입력!$O:$O,"방문완료")</f>
        <v>0</v>
      </c>
      <c r="H643" s="29">
        <f>COUNTIFS(실시간콜입력!$B:$B,$A643,실시간콜입력!$E:$E,"C",실시간콜입력!$G:$G,$B643,실시간콜입력!$O:$O,"방문완료")+COUNTIFS(실시간콜입력!$B:$B,$A643,실시간콜입력!$E:$E,"C",실시간콜입력!$H:$H,$B643,실시간콜입력!$O:$O,"방문완료")</f>
        <v>0</v>
      </c>
      <c r="I643" s="29">
        <f>COUNTIFS(실시간콜입력!$B:$B,$A643,실시간콜입력!$E:$E,"D",실시간콜입력!$G:$G,$B643,실시간콜입력!$O:$O,"방문완료")+COUNTIFS(실시간콜입력!$B:$B,$A643,실시간콜입력!$E:$E,"D",실시간콜입력!$H:$H,$B643,실시간콜입력!$O:$O,"방문완료")</f>
        <v>0</v>
      </c>
      <c r="J643" s="29">
        <f>COUNTIFS(실시간콜입력!$B:$B,$A643,실시간콜입력!$E:$E,"E",실시간콜입력!$G:$G,$B643,실시간콜입력!$O:$O,"방문완료")+COUNTIFS(실시간콜입력!$B:$B,$A643,실시간콜입력!$E:$E,"E",실시간콜입력!$H:$H,$B643,실시간콜입력!$O:$O,"방문완료")</f>
        <v>0</v>
      </c>
      <c r="K643" s="29">
        <f t="shared" si="86"/>
        <v>0</v>
      </c>
      <c r="L643" s="27">
        <f>SUMIFS(실시간콜입력!$K:$K,실시간콜입력!$B:$B,$A643,실시간콜입력!$G:$G,$B643,실시간콜입력!$O:$O,"방문완료")+SUMIFS(실시간콜입력!$L:$L,실시간콜입력!$B:$B,$A643,실시간콜입력!$H:$H,$B643,실시간콜입력!$O:$O,"방문완료")</f>
        <v>0</v>
      </c>
      <c r="M643" s="29" t="str">
        <f t="shared" si="87"/>
        <v/>
      </c>
      <c r="N643" s="29"/>
    </row>
    <row r="644" spans="1:14" ht="19.5" hidden="1" customHeight="1" outlineLevel="1">
      <c r="A644" s="30">
        <f>IF(13&lt;=DAY(DATE(YEAR(설정_코스수당!$K$2),MONTH(설정_코스수당!$K$2)+1,0)),DATE(YEAR(설정_코스수당!$K$2),MONTH(설정_코스수당!$K$2),13),"")</f>
        <v>46186</v>
      </c>
      <c r="B644" s="29" t="s">
        <v>176</v>
      </c>
      <c r="C644" s="29"/>
      <c r="D644" s="29"/>
      <c r="E644" s="29" t="str">
        <f t="shared" si="85"/>
        <v/>
      </c>
      <c r="F644" s="29">
        <f>COUNTIFS(실시간콜입력!$B:$B,$A644,실시간콜입력!$E:$E,"A",실시간콜입력!$G:$G,$B644,실시간콜입력!$O:$O,"방문완료")+COUNTIFS(실시간콜입력!$B:$B,$A644,실시간콜입력!$E:$E,"A",실시간콜입력!$H:$H,$B644,실시간콜입력!$O:$O,"방문완료")</f>
        <v>0</v>
      </c>
      <c r="G644" s="29">
        <f>COUNTIFS(실시간콜입력!$B:$B,$A644,실시간콜입력!$E:$E,"B",실시간콜입력!$G:$G,$B644,실시간콜입력!$O:$O,"방문완료")+COUNTIFS(실시간콜입력!$B:$B,$A644,실시간콜입력!$E:$E,"B",실시간콜입력!$H:$H,$B644,실시간콜입력!$O:$O,"방문완료")</f>
        <v>0</v>
      </c>
      <c r="H644" s="29">
        <f>COUNTIFS(실시간콜입력!$B:$B,$A644,실시간콜입력!$E:$E,"C",실시간콜입력!$G:$G,$B644,실시간콜입력!$O:$O,"방문완료")+COUNTIFS(실시간콜입력!$B:$B,$A644,실시간콜입력!$E:$E,"C",실시간콜입력!$H:$H,$B644,실시간콜입력!$O:$O,"방문완료")</f>
        <v>0</v>
      </c>
      <c r="I644" s="29">
        <f>COUNTIFS(실시간콜입력!$B:$B,$A644,실시간콜입력!$E:$E,"D",실시간콜입력!$G:$G,$B644,실시간콜입력!$O:$O,"방문완료")+COUNTIFS(실시간콜입력!$B:$B,$A644,실시간콜입력!$E:$E,"D",실시간콜입력!$H:$H,$B644,실시간콜입력!$O:$O,"방문완료")</f>
        <v>0</v>
      </c>
      <c r="J644" s="29">
        <f>COUNTIFS(실시간콜입력!$B:$B,$A644,실시간콜입력!$E:$E,"E",실시간콜입력!$G:$G,$B644,실시간콜입력!$O:$O,"방문완료")+COUNTIFS(실시간콜입력!$B:$B,$A644,실시간콜입력!$E:$E,"E",실시간콜입력!$H:$H,$B644,실시간콜입력!$O:$O,"방문완료")</f>
        <v>0</v>
      </c>
      <c r="K644" s="29">
        <f t="shared" si="86"/>
        <v>0</v>
      </c>
      <c r="L644" s="33">
        <f>SUMIFS(실시간콜입력!$K:$K,실시간콜입력!$B:$B,$A644,실시간콜입력!$G:$G,$B644,실시간콜입력!$O:$O,"방문완료")+SUMIFS(실시간콜입력!$L:$L,실시간콜입력!$B:$B,$A644,실시간콜입력!$H:$H,$B644,실시간콜입력!$O:$O,"방문완료")</f>
        <v>0</v>
      </c>
      <c r="M644" s="29" t="str">
        <f t="shared" si="87"/>
        <v/>
      </c>
      <c r="N644" s="29"/>
    </row>
    <row r="645" spans="1:14" ht="19.5" hidden="1" customHeight="1" outlineLevel="1">
      <c r="A645" s="24">
        <f>IF(13&lt;=DAY(DATE(YEAR(설정_코스수당!$K$2),MONTH(설정_코스수당!$K$2)+1,0)),DATE(YEAR(설정_코스수당!$K$2),MONTH(설정_코스수당!$K$2),13),"")</f>
        <v>46186</v>
      </c>
      <c r="B645" s="23" t="s">
        <v>177</v>
      </c>
      <c r="C645" s="29"/>
      <c r="D645" s="29"/>
      <c r="E645" s="29" t="str">
        <f t="shared" si="85"/>
        <v/>
      </c>
      <c r="F645" s="29">
        <f>COUNTIFS(실시간콜입력!$B:$B,$A645,실시간콜입력!$E:$E,"A",실시간콜입력!$G:$G,$B645,실시간콜입력!$O:$O,"방문완료")+COUNTIFS(실시간콜입력!$B:$B,$A645,실시간콜입력!$E:$E,"A",실시간콜입력!$H:$H,$B645,실시간콜입력!$O:$O,"방문완료")</f>
        <v>0</v>
      </c>
      <c r="G645" s="29">
        <f>COUNTIFS(실시간콜입력!$B:$B,$A645,실시간콜입력!$E:$E,"B",실시간콜입력!$G:$G,$B645,실시간콜입력!$O:$O,"방문완료")+COUNTIFS(실시간콜입력!$B:$B,$A645,실시간콜입력!$E:$E,"B",실시간콜입력!$H:$H,$B645,실시간콜입력!$O:$O,"방문완료")</f>
        <v>0</v>
      </c>
      <c r="H645" s="29">
        <f>COUNTIFS(실시간콜입력!$B:$B,$A645,실시간콜입력!$E:$E,"C",실시간콜입력!$G:$G,$B645,실시간콜입력!$O:$O,"방문완료")+COUNTIFS(실시간콜입력!$B:$B,$A645,실시간콜입력!$E:$E,"C",실시간콜입력!$H:$H,$B645,실시간콜입력!$O:$O,"방문완료")</f>
        <v>0</v>
      </c>
      <c r="I645" s="29">
        <f>COUNTIFS(실시간콜입력!$B:$B,$A645,실시간콜입력!$E:$E,"D",실시간콜입력!$G:$G,$B645,실시간콜입력!$O:$O,"방문완료")+COUNTIFS(실시간콜입력!$B:$B,$A645,실시간콜입력!$E:$E,"D",실시간콜입력!$H:$H,$B645,실시간콜입력!$O:$O,"방문완료")</f>
        <v>0</v>
      </c>
      <c r="J645" s="29">
        <f>COUNTIFS(실시간콜입력!$B:$B,$A645,실시간콜입력!$E:$E,"E",실시간콜입력!$G:$G,$B645,실시간콜입력!$O:$O,"방문완료")+COUNTIFS(실시간콜입력!$B:$B,$A645,실시간콜입력!$E:$E,"E",실시간콜입력!$H:$H,$B645,실시간콜입력!$O:$O,"방문완료")</f>
        <v>0</v>
      </c>
      <c r="K645" s="29">
        <f t="shared" si="86"/>
        <v>0</v>
      </c>
      <c r="L645" s="27">
        <f>SUMIFS(실시간콜입력!$K:$K,실시간콜입력!$B:$B,$A645,실시간콜입력!$G:$G,$B645,실시간콜입력!$O:$O,"방문완료")+SUMIFS(실시간콜입력!$L:$L,실시간콜입력!$B:$B,$A645,실시간콜입력!$H:$H,$B645,실시간콜입력!$O:$O,"방문완료")</f>
        <v>0</v>
      </c>
      <c r="M645" s="29" t="str">
        <f t="shared" si="87"/>
        <v/>
      </c>
      <c r="N645" s="29"/>
    </row>
    <row r="646" spans="1:14" ht="19.5" hidden="1" customHeight="1" outlineLevel="1">
      <c r="A646" s="30">
        <f>IF(13&lt;=DAY(DATE(YEAR(설정_코스수당!$K$2),MONTH(설정_코스수당!$K$2)+1,0)),DATE(YEAR(설정_코스수당!$K$2),MONTH(설정_코스수당!$K$2),13),"")</f>
        <v>46186</v>
      </c>
      <c r="B646" s="29" t="s">
        <v>178</v>
      </c>
      <c r="C646" s="29"/>
      <c r="D646" s="29"/>
      <c r="E646" s="29" t="str">
        <f t="shared" si="85"/>
        <v/>
      </c>
      <c r="F646" s="29">
        <f>COUNTIFS(실시간콜입력!$B:$B,$A646,실시간콜입력!$E:$E,"A",실시간콜입력!$G:$G,$B646,실시간콜입력!$O:$O,"방문완료")+COUNTIFS(실시간콜입력!$B:$B,$A646,실시간콜입력!$E:$E,"A",실시간콜입력!$H:$H,$B646,실시간콜입력!$O:$O,"방문완료")</f>
        <v>0</v>
      </c>
      <c r="G646" s="29">
        <f>COUNTIFS(실시간콜입력!$B:$B,$A646,실시간콜입력!$E:$E,"B",실시간콜입력!$G:$G,$B646,실시간콜입력!$O:$O,"방문완료")+COUNTIFS(실시간콜입력!$B:$B,$A646,실시간콜입력!$E:$E,"B",실시간콜입력!$H:$H,$B646,실시간콜입력!$O:$O,"방문완료")</f>
        <v>0</v>
      </c>
      <c r="H646" s="29">
        <f>COUNTIFS(실시간콜입력!$B:$B,$A646,실시간콜입력!$E:$E,"C",실시간콜입력!$G:$G,$B646,실시간콜입력!$O:$O,"방문완료")+COUNTIFS(실시간콜입력!$B:$B,$A646,실시간콜입력!$E:$E,"C",실시간콜입력!$H:$H,$B646,실시간콜입력!$O:$O,"방문완료")</f>
        <v>0</v>
      </c>
      <c r="I646" s="29">
        <f>COUNTIFS(실시간콜입력!$B:$B,$A646,실시간콜입력!$E:$E,"D",실시간콜입력!$G:$G,$B646,실시간콜입력!$O:$O,"방문완료")+COUNTIFS(실시간콜입력!$B:$B,$A646,실시간콜입력!$E:$E,"D",실시간콜입력!$H:$H,$B646,실시간콜입력!$O:$O,"방문완료")</f>
        <v>0</v>
      </c>
      <c r="J646" s="29">
        <f>COUNTIFS(실시간콜입력!$B:$B,$A646,실시간콜입력!$E:$E,"E",실시간콜입력!$G:$G,$B646,실시간콜입력!$O:$O,"방문완료")+COUNTIFS(실시간콜입력!$B:$B,$A646,실시간콜입력!$E:$E,"E",실시간콜입력!$H:$H,$B646,실시간콜입력!$O:$O,"방문완료")</f>
        <v>0</v>
      </c>
      <c r="K646" s="29">
        <f t="shared" si="86"/>
        <v>0</v>
      </c>
      <c r="L646" s="33">
        <f>SUMIFS(실시간콜입력!$K:$K,실시간콜입력!$B:$B,$A646,실시간콜입력!$G:$G,$B646,실시간콜입력!$O:$O,"방문완료")+SUMIFS(실시간콜입력!$L:$L,실시간콜입력!$B:$B,$A646,실시간콜입력!$H:$H,$B646,실시간콜입력!$O:$O,"방문완료")</f>
        <v>0</v>
      </c>
      <c r="M646" s="29" t="str">
        <f t="shared" si="87"/>
        <v/>
      </c>
      <c r="N646" s="29"/>
    </row>
    <row r="647" spans="1:14" ht="19.5" hidden="1" customHeight="1" outlineLevel="1">
      <c r="A647" s="24">
        <f>IF(13&lt;=DAY(DATE(YEAR(설정_코스수당!$K$2),MONTH(설정_코스수당!$K$2)+1,0)),DATE(YEAR(설정_코스수당!$K$2),MONTH(설정_코스수당!$K$2),13),"")</f>
        <v>46186</v>
      </c>
      <c r="B647" s="23" t="s">
        <v>179</v>
      </c>
      <c r="C647" s="29"/>
      <c r="D647" s="29"/>
      <c r="E647" s="29" t="str">
        <f t="shared" si="85"/>
        <v/>
      </c>
      <c r="F647" s="29">
        <f>COUNTIFS(실시간콜입력!$B:$B,$A647,실시간콜입력!$E:$E,"A",실시간콜입력!$G:$G,$B647,실시간콜입력!$O:$O,"방문완료")+COUNTIFS(실시간콜입력!$B:$B,$A647,실시간콜입력!$E:$E,"A",실시간콜입력!$H:$H,$B647,실시간콜입력!$O:$O,"방문완료")</f>
        <v>0</v>
      </c>
      <c r="G647" s="29">
        <f>COUNTIFS(실시간콜입력!$B:$B,$A647,실시간콜입력!$E:$E,"B",실시간콜입력!$G:$G,$B647,실시간콜입력!$O:$O,"방문완료")+COUNTIFS(실시간콜입력!$B:$B,$A647,실시간콜입력!$E:$E,"B",실시간콜입력!$H:$H,$B647,실시간콜입력!$O:$O,"방문완료")</f>
        <v>0</v>
      </c>
      <c r="H647" s="29">
        <f>COUNTIFS(실시간콜입력!$B:$B,$A647,실시간콜입력!$E:$E,"C",실시간콜입력!$G:$G,$B647,실시간콜입력!$O:$O,"방문완료")+COUNTIFS(실시간콜입력!$B:$B,$A647,실시간콜입력!$E:$E,"C",실시간콜입력!$H:$H,$B647,실시간콜입력!$O:$O,"방문완료")</f>
        <v>0</v>
      </c>
      <c r="I647" s="29">
        <f>COUNTIFS(실시간콜입력!$B:$B,$A647,실시간콜입력!$E:$E,"D",실시간콜입력!$G:$G,$B647,실시간콜입력!$O:$O,"방문완료")+COUNTIFS(실시간콜입력!$B:$B,$A647,실시간콜입력!$E:$E,"D",실시간콜입력!$H:$H,$B647,실시간콜입력!$O:$O,"방문완료")</f>
        <v>0</v>
      </c>
      <c r="J647" s="29">
        <f>COUNTIFS(실시간콜입력!$B:$B,$A647,실시간콜입력!$E:$E,"E",실시간콜입력!$G:$G,$B647,실시간콜입력!$O:$O,"방문완료")+COUNTIFS(실시간콜입력!$B:$B,$A647,실시간콜입력!$E:$E,"E",실시간콜입력!$H:$H,$B647,실시간콜입력!$O:$O,"방문완료")</f>
        <v>0</v>
      </c>
      <c r="K647" s="29">
        <f t="shared" si="86"/>
        <v>0</v>
      </c>
      <c r="L647" s="27">
        <f>SUMIFS(실시간콜입력!$K:$K,실시간콜입력!$B:$B,$A647,실시간콜입력!$G:$G,$B647,실시간콜입력!$O:$O,"방문완료")+SUMIFS(실시간콜입력!$L:$L,실시간콜입력!$B:$B,$A647,실시간콜입력!$H:$H,$B647,실시간콜입력!$O:$O,"방문완료")</f>
        <v>0</v>
      </c>
      <c r="M647" s="29" t="str">
        <f t="shared" si="87"/>
        <v/>
      </c>
      <c r="N647" s="29"/>
    </row>
    <row r="648" spans="1:14" ht="19.5" hidden="1" customHeight="1" outlineLevel="1">
      <c r="A648" s="30">
        <f>IF(13&lt;=DAY(DATE(YEAR(설정_코스수당!$K$2),MONTH(설정_코스수당!$K$2)+1,0)),DATE(YEAR(설정_코스수당!$K$2),MONTH(설정_코스수당!$K$2),13),"")</f>
        <v>46186</v>
      </c>
      <c r="B648" s="29" t="s">
        <v>180</v>
      </c>
      <c r="C648" s="29"/>
      <c r="D648" s="29"/>
      <c r="E648" s="29" t="str">
        <f t="shared" si="85"/>
        <v/>
      </c>
      <c r="F648" s="29">
        <f>COUNTIFS(실시간콜입력!$B:$B,$A648,실시간콜입력!$E:$E,"A",실시간콜입력!$G:$G,$B648,실시간콜입력!$O:$O,"방문완료")+COUNTIFS(실시간콜입력!$B:$B,$A648,실시간콜입력!$E:$E,"A",실시간콜입력!$H:$H,$B648,실시간콜입력!$O:$O,"방문완료")</f>
        <v>0</v>
      </c>
      <c r="G648" s="29">
        <f>COUNTIFS(실시간콜입력!$B:$B,$A648,실시간콜입력!$E:$E,"B",실시간콜입력!$G:$G,$B648,실시간콜입력!$O:$O,"방문완료")+COUNTIFS(실시간콜입력!$B:$B,$A648,실시간콜입력!$E:$E,"B",실시간콜입력!$H:$H,$B648,실시간콜입력!$O:$O,"방문완료")</f>
        <v>0</v>
      </c>
      <c r="H648" s="29">
        <f>COUNTIFS(실시간콜입력!$B:$B,$A648,실시간콜입력!$E:$E,"C",실시간콜입력!$G:$G,$B648,실시간콜입력!$O:$O,"방문완료")+COUNTIFS(실시간콜입력!$B:$B,$A648,실시간콜입력!$E:$E,"C",실시간콜입력!$H:$H,$B648,실시간콜입력!$O:$O,"방문완료")</f>
        <v>0</v>
      </c>
      <c r="I648" s="29">
        <f>COUNTIFS(실시간콜입력!$B:$B,$A648,실시간콜입력!$E:$E,"D",실시간콜입력!$G:$G,$B648,실시간콜입력!$O:$O,"방문완료")+COUNTIFS(실시간콜입력!$B:$B,$A648,실시간콜입력!$E:$E,"D",실시간콜입력!$H:$H,$B648,실시간콜입력!$O:$O,"방문완료")</f>
        <v>0</v>
      </c>
      <c r="J648" s="29">
        <f>COUNTIFS(실시간콜입력!$B:$B,$A648,실시간콜입력!$E:$E,"E",실시간콜입력!$G:$G,$B648,실시간콜입력!$O:$O,"방문완료")+COUNTIFS(실시간콜입력!$B:$B,$A648,실시간콜입력!$E:$E,"E",실시간콜입력!$H:$H,$B648,실시간콜입력!$O:$O,"방문완료")</f>
        <v>0</v>
      </c>
      <c r="K648" s="29">
        <f t="shared" si="86"/>
        <v>0</v>
      </c>
      <c r="L648" s="33">
        <f>SUMIFS(실시간콜입력!$K:$K,실시간콜입력!$B:$B,$A648,실시간콜입력!$G:$G,$B648,실시간콜입력!$O:$O,"방문완료")+SUMIFS(실시간콜입력!$L:$L,실시간콜입력!$B:$B,$A648,실시간콜입력!$H:$H,$B648,실시간콜입력!$O:$O,"방문완료")</f>
        <v>0</v>
      </c>
      <c r="M648" s="29" t="str">
        <f t="shared" si="87"/>
        <v/>
      </c>
      <c r="N648" s="29"/>
    </row>
    <row r="649" spans="1:14" ht="19.5" hidden="1" customHeight="1" outlineLevel="1">
      <c r="A649" s="24">
        <f>IF(13&lt;=DAY(DATE(YEAR(설정_코스수당!$K$2),MONTH(설정_코스수당!$K$2)+1,0)),DATE(YEAR(설정_코스수당!$K$2),MONTH(설정_코스수당!$K$2),13),"")</f>
        <v>46186</v>
      </c>
      <c r="B649" s="23" t="s">
        <v>181</v>
      </c>
      <c r="C649" s="29"/>
      <c r="D649" s="29"/>
      <c r="E649" s="29" t="str">
        <f t="shared" si="85"/>
        <v/>
      </c>
      <c r="F649" s="29">
        <f>COUNTIFS(실시간콜입력!$B:$B,$A649,실시간콜입력!$E:$E,"A",실시간콜입력!$G:$G,$B649,실시간콜입력!$O:$O,"방문완료")+COUNTIFS(실시간콜입력!$B:$B,$A649,실시간콜입력!$E:$E,"A",실시간콜입력!$H:$H,$B649,실시간콜입력!$O:$O,"방문완료")</f>
        <v>0</v>
      </c>
      <c r="G649" s="29">
        <f>COUNTIFS(실시간콜입력!$B:$B,$A649,실시간콜입력!$E:$E,"B",실시간콜입력!$G:$G,$B649,실시간콜입력!$O:$O,"방문완료")+COUNTIFS(실시간콜입력!$B:$B,$A649,실시간콜입력!$E:$E,"B",실시간콜입력!$H:$H,$B649,실시간콜입력!$O:$O,"방문완료")</f>
        <v>0</v>
      </c>
      <c r="H649" s="29">
        <f>COUNTIFS(실시간콜입력!$B:$B,$A649,실시간콜입력!$E:$E,"C",실시간콜입력!$G:$G,$B649,실시간콜입력!$O:$O,"방문완료")+COUNTIFS(실시간콜입력!$B:$B,$A649,실시간콜입력!$E:$E,"C",실시간콜입력!$H:$H,$B649,실시간콜입력!$O:$O,"방문완료")</f>
        <v>0</v>
      </c>
      <c r="I649" s="29">
        <f>COUNTIFS(실시간콜입력!$B:$B,$A649,실시간콜입력!$E:$E,"D",실시간콜입력!$G:$G,$B649,실시간콜입력!$O:$O,"방문완료")+COUNTIFS(실시간콜입력!$B:$B,$A649,실시간콜입력!$E:$E,"D",실시간콜입력!$H:$H,$B649,실시간콜입력!$O:$O,"방문완료")</f>
        <v>0</v>
      </c>
      <c r="J649" s="29">
        <f>COUNTIFS(실시간콜입력!$B:$B,$A649,실시간콜입력!$E:$E,"E",실시간콜입력!$G:$G,$B649,실시간콜입력!$O:$O,"방문완료")+COUNTIFS(실시간콜입력!$B:$B,$A649,실시간콜입력!$E:$E,"E",실시간콜입력!$H:$H,$B649,실시간콜입력!$O:$O,"방문완료")</f>
        <v>0</v>
      </c>
      <c r="K649" s="29">
        <f t="shared" si="86"/>
        <v>0</v>
      </c>
      <c r="L649" s="27">
        <f>SUMIFS(실시간콜입력!$K:$K,실시간콜입력!$B:$B,$A649,실시간콜입력!$G:$G,$B649,실시간콜입력!$O:$O,"방문완료")+SUMIFS(실시간콜입력!$L:$L,실시간콜입력!$B:$B,$A649,실시간콜입력!$H:$H,$B649,실시간콜입력!$O:$O,"방문완료")</f>
        <v>0</v>
      </c>
      <c r="M649" s="29" t="str">
        <f t="shared" si="87"/>
        <v/>
      </c>
      <c r="N649" s="29"/>
    </row>
    <row r="650" spans="1:14" ht="19.5" hidden="1" customHeight="1" outlineLevel="1">
      <c r="A650" s="30">
        <f>IF(13&lt;=DAY(DATE(YEAR(설정_코스수당!$K$2),MONTH(설정_코스수당!$K$2)+1,0)),DATE(YEAR(설정_코스수당!$K$2),MONTH(설정_코스수당!$K$2),13),"")</f>
        <v>46186</v>
      </c>
      <c r="B650" s="29" t="s">
        <v>182</v>
      </c>
      <c r="C650" s="29"/>
      <c r="D650" s="29"/>
      <c r="E650" s="29" t="str">
        <f t="shared" si="85"/>
        <v/>
      </c>
      <c r="F650" s="29">
        <f>COUNTIFS(실시간콜입력!$B:$B,$A650,실시간콜입력!$E:$E,"A",실시간콜입력!$G:$G,$B650,실시간콜입력!$O:$O,"방문완료")+COUNTIFS(실시간콜입력!$B:$B,$A650,실시간콜입력!$E:$E,"A",실시간콜입력!$H:$H,$B650,실시간콜입력!$O:$O,"방문완료")</f>
        <v>0</v>
      </c>
      <c r="G650" s="29">
        <f>COUNTIFS(실시간콜입력!$B:$B,$A650,실시간콜입력!$E:$E,"B",실시간콜입력!$G:$G,$B650,실시간콜입력!$O:$O,"방문완료")+COUNTIFS(실시간콜입력!$B:$B,$A650,실시간콜입력!$E:$E,"B",실시간콜입력!$H:$H,$B650,실시간콜입력!$O:$O,"방문완료")</f>
        <v>0</v>
      </c>
      <c r="H650" s="29">
        <f>COUNTIFS(실시간콜입력!$B:$B,$A650,실시간콜입력!$E:$E,"C",실시간콜입력!$G:$G,$B650,실시간콜입력!$O:$O,"방문완료")+COUNTIFS(실시간콜입력!$B:$B,$A650,실시간콜입력!$E:$E,"C",실시간콜입력!$H:$H,$B650,실시간콜입력!$O:$O,"방문완료")</f>
        <v>0</v>
      </c>
      <c r="I650" s="29">
        <f>COUNTIFS(실시간콜입력!$B:$B,$A650,실시간콜입력!$E:$E,"D",실시간콜입력!$G:$G,$B650,실시간콜입력!$O:$O,"방문완료")+COUNTIFS(실시간콜입력!$B:$B,$A650,실시간콜입력!$E:$E,"D",실시간콜입력!$H:$H,$B650,실시간콜입력!$O:$O,"방문완료")</f>
        <v>0</v>
      </c>
      <c r="J650" s="29">
        <f>COUNTIFS(실시간콜입력!$B:$B,$A650,실시간콜입력!$E:$E,"E",실시간콜입력!$G:$G,$B650,실시간콜입력!$O:$O,"방문완료")+COUNTIFS(실시간콜입력!$B:$B,$A650,실시간콜입력!$E:$E,"E",실시간콜입력!$H:$H,$B650,실시간콜입력!$O:$O,"방문완료")</f>
        <v>0</v>
      </c>
      <c r="K650" s="29">
        <f t="shared" si="86"/>
        <v>0</v>
      </c>
      <c r="L650" s="33">
        <f>SUMIFS(실시간콜입력!$K:$K,실시간콜입력!$B:$B,$A650,실시간콜입력!$G:$G,$B650,실시간콜입력!$O:$O,"방문완료")+SUMIFS(실시간콜입력!$L:$L,실시간콜입력!$B:$B,$A650,실시간콜입력!$H:$H,$B650,실시간콜입력!$O:$O,"방문완료")</f>
        <v>0</v>
      </c>
      <c r="M650" s="29" t="str">
        <f t="shared" si="87"/>
        <v/>
      </c>
      <c r="N650" s="29"/>
    </row>
    <row r="651" spans="1:14" ht="19.5" hidden="1" customHeight="1" outlineLevel="1">
      <c r="A651" s="24">
        <f>IF(13&lt;=DAY(DATE(YEAR(설정_코스수당!$K$2),MONTH(설정_코스수당!$K$2)+1,0)),DATE(YEAR(설정_코스수당!$K$2),MONTH(설정_코스수당!$K$2),13),"")</f>
        <v>46186</v>
      </c>
      <c r="B651" s="23" t="s">
        <v>183</v>
      </c>
      <c r="C651" s="29"/>
      <c r="D651" s="29"/>
      <c r="E651" s="29" t="str">
        <f t="shared" si="85"/>
        <v/>
      </c>
      <c r="F651" s="29">
        <f>COUNTIFS(실시간콜입력!$B:$B,$A651,실시간콜입력!$E:$E,"A",실시간콜입력!$G:$G,$B651,실시간콜입력!$O:$O,"방문완료")+COUNTIFS(실시간콜입력!$B:$B,$A651,실시간콜입력!$E:$E,"A",실시간콜입력!$H:$H,$B651,실시간콜입력!$O:$O,"방문완료")</f>
        <v>0</v>
      </c>
      <c r="G651" s="29">
        <f>COUNTIFS(실시간콜입력!$B:$B,$A651,실시간콜입력!$E:$E,"B",실시간콜입력!$G:$G,$B651,실시간콜입력!$O:$O,"방문완료")+COUNTIFS(실시간콜입력!$B:$B,$A651,실시간콜입력!$E:$E,"B",실시간콜입력!$H:$H,$B651,실시간콜입력!$O:$O,"방문완료")</f>
        <v>0</v>
      </c>
      <c r="H651" s="29">
        <f>COUNTIFS(실시간콜입력!$B:$B,$A651,실시간콜입력!$E:$E,"C",실시간콜입력!$G:$G,$B651,실시간콜입력!$O:$O,"방문완료")+COUNTIFS(실시간콜입력!$B:$B,$A651,실시간콜입력!$E:$E,"C",실시간콜입력!$H:$H,$B651,실시간콜입력!$O:$O,"방문완료")</f>
        <v>0</v>
      </c>
      <c r="I651" s="29">
        <f>COUNTIFS(실시간콜입력!$B:$B,$A651,실시간콜입력!$E:$E,"D",실시간콜입력!$G:$G,$B651,실시간콜입력!$O:$O,"방문완료")+COUNTIFS(실시간콜입력!$B:$B,$A651,실시간콜입력!$E:$E,"D",실시간콜입력!$H:$H,$B651,실시간콜입력!$O:$O,"방문완료")</f>
        <v>0</v>
      </c>
      <c r="J651" s="29">
        <f>COUNTIFS(실시간콜입력!$B:$B,$A651,실시간콜입력!$E:$E,"E",실시간콜입력!$G:$G,$B651,실시간콜입력!$O:$O,"방문완료")+COUNTIFS(실시간콜입력!$B:$B,$A651,실시간콜입력!$E:$E,"E",실시간콜입력!$H:$H,$B651,실시간콜입력!$O:$O,"방문완료")</f>
        <v>0</v>
      </c>
      <c r="K651" s="29">
        <f t="shared" si="86"/>
        <v>0</v>
      </c>
      <c r="L651" s="27">
        <f>SUMIFS(실시간콜입력!$K:$K,실시간콜입력!$B:$B,$A651,실시간콜입력!$G:$G,$B651,실시간콜입력!$O:$O,"방문완료")+SUMIFS(실시간콜입력!$L:$L,실시간콜입력!$B:$B,$A651,실시간콜입력!$H:$H,$B651,실시간콜입력!$O:$O,"방문완료")</f>
        <v>0</v>
      </c>
      <c r="M651" s="29" t="str">
        <f t="shared" si="87"/>
        <v/>
      </c>
      <c r="N651" s="29"/>
    </row>
    <row r="652" spans="1:14" ht="19.5" hidden="1" customHeight="1" outlineLevel="1">
      <c r="A652" s="30">
        <f>IF(13&lt;=DAY(DATE(YEAR(설정_코스수당!$K$2),MONTH(설정_코스수당!$K$2)+1,0)),DATE(YEAR(설정_코스수당!$K$2),MONTH(설정_코스수당!$K$2),13),"")</f>
        <v>46186</v>
      </c>
      <c r="B652" s="29" t="s">
        <v>184</v>
      </c>
      <c r="C652" s="29"/>
      <c r="D652" s="29"/>
      <c r="E652" s="29" t="str">
        <f t="shared" si="85"/>
        <v/>
      </c>
      <c r="F652" s="29">
        <f>COUNTIFS(실시간콜입력!$B:$B,$A652,실시간콜입력!$E:$E,"A",실시간콜입력!$G:$G,$B652,실시간콜입력!$O:$O,"방문완료")+COUNTIFS(실시간콜입력!$B:$B,$A652,실시간콜입력!$E:$E,"A",실시간콜입력!$H:$H,$B652,실시간콜입력!$O:$O,"방문완료")</f>
        <v>0</v>
      </c>
      <c r="G652" s="29">
        <f>COUNTIFS(실시간콜입력!$B:$B,$A652,실시간콜입력!$E:$E,"B",실시간콜입력!$G:$G,$B652,실시간콜입력!$O:$O,"방문완료")+COUNTIFS(실시간콜입력!$B:$B,$A652,실시간콜입력!$E:$E,"B",실시간콜입력!$H:$H,$B652,실시간콜입력!$O:$O,"방문완료")</f>
        <v>0</v>
      </c>
      <c r="H652" s="29">
        <f>COUNTIFS(실시간콜입력!$B:$B,$A652,실시간콜입력!$E:$E,"C",실시간콜입력!$G:$G,$B652,실시간콜입력!$O:$O,"방문완료")+COUNTIFS(실시간콜입력!$B:$B,$A652,실시간콜입력!$E:$E,"C",실시간콜입력!$H:$H,$B652,실시간콜입력!$O:$O,"방문완료")</f>
        <v>0</v>
      </c>
      <c r="I652" s="29">
        <f>COUNTIFS(실시간콜입력!$B:$B,$A652,실시간콜입력!$E:$E,"D",실시간콜입력!$G:$G,$B652,실시간콜입력!$O:$O,"방문완료")+COUNTIFS(실시간콜입력!$B:$B,$A652,실시간콜입력!$E:$E,"D",실시간콜입력!$H:$H,$B652,실시간콜입력!$O:$O,"방문완료")</f>
        <v>0</v>
      </c>
      <c r="J652" s="29">
        <f>COUNTIFS(실시간콜입력!$B:$B,$A652,실시간콜입력!$E:$E,"E",실시간콜입력!$G:$G,$B652,실시간콜입력!$O:$O,"방문완료")+COUNTIFS(실시간콜입력!$B:$B,$A652,실시간콜입력!$E:$E,"E",실시간콜입력!$H:$H,$B652,실시간콜입력!$O:$O,"방문완료")</f>
        <v>0</v>
      </c>
      <c r="K652" s="29">
        <f t="shared" si="86"/>
        <v>0</v>
      </c>
      <c r="L652" s="33">
        <f>SUMIFS(실시간콜입력!$K:$K,실시간콜입력!$B:$B,$A652,실시간콜입력!$G:$G,$B652,실시간콜입력!$O:$O,"방문완료")+SUMIFS(실시간콜입력!$L:$L,실시간콜입력!$B:$B,$A652,실시간콜입력!$H:$H,$B652,실시간콜입력!$O:$O,"방문완료")</f>
        <v>0</v>
      </c>
      <c r="M652" s="29" t="str">
        <f t="shared" si="87"/>
        <v/>
      </c>
      <c r="N652" s="29"/>
    </row>
    <row r="653" spans="1:14" ht="19.5" hidden="1" customHeight="1" outlineLevel="1">
      <c r="A653" s="24">
        <f>IF(13&lt;=DAY(DATE(YEAR(설정_코스수당!$K$2),MONTH(설정_코스수당!$K$2)+1,0)),DATE(YEAR(설정_코스수당!$K$2),MONTH(설정_코스수당!$K$2),13),"")</f>
        <v>46186</v>
      </c>
      <c r="B653" s="23" t="s">
        <v>185</v>
      </c>
      <c r="C653" s="29"/>
      <c r="D653" s="29"/>
      <c r="E653" s="29" t="str">
        <f t="shared" si="85"/>
        <v/>
      </c>
      <c r="F653" s="29">
        <f>COUNTIFS(실시간콜입력!$B:$B,$A653,실시간콜입력!$E:$E,"A",실시간콜입력!$G:$G,$B653,실시간콜입력!$O:$O,"방문완료")+COUNTIFS(실시간콜입력!$B:$B,$A653,실시간콜입력!$E:$E,"A",실시간콜입력!$H:$H,$B653,실시간콜입력!$O:$O,"방문완료")</f>
        <v>0</v>
      </c>
      <c r="G653" s="29">
        <f>COUNTIFS(실시간콜입력!$B:$B,$A653,실시간콜입력!$E:$E,"B",실시간콜입력!$G:$G,$B653,실시간콜입력!$O:$O,"방문완료")+COUNTIFS(실시간콜입력!$B:$B,$A653,실시간콜입력!$E:$E,"B",실시간콜입력!$H:$H,$B653,실시간콜입력!$O:$O,"방문완료")</f>
        <v>0</v>
      </c>
      <c r="H653" s="29">
        <f>COUNTIFS(실시간콜입력!$B:$B,$A653,실시간콜입력!$E:$E,"C",실시간콜입력!$G:$G,$B653,실시간콜입력!$O:$O,"방문완료")+COUNTIFS(실시간콜입력!$B:$B,$A653,실시간콜입력!$E:$E,"C",실시간콜입력!$H:$H,$B653,실시간콜입력!$O:$O,"방문완료")</f>
        <v>0</v>
      </c>
      <c r="I653" s="29">
        <f>COUNTIFS(실시간콜입력!$B:$B,$A653,실시간콜입력!$E:$E,"D",실시간콜입력!$G:$G,$B653,실시간콜입력!$O:$O,"방문완료")+COUNTIFS(실시간콜입력!$B:$B,$A653,실시간콜입력!$E:$E,"D",실시간콜입력!$H:$H,$B653,실시간콜입력!$O:$O,"방문완료")</f>
        <v>0</v>
      </c>
      <c r="J653" s="29">
        <f>COUNTIFS(실시간콜입력!$B:$B,$A653,실시간콜입력!$E:$E,"E",실시간콜입력!$G:$G,$B653,실시간콜입력!$O:$O,"방문완료")+COUNTIFS(실시간콜입력!$B:$B,$A653,실시간콜입력!$E:$E,"E",실시간콜입력!$H:$H,$B653,실시간콜입력!$O:$O,"방문완료")</f>
        <v>0</v>
      </c>
      <c r="K653" s="29">
        <f t="shared" si="86"/>
        <v>0</v>
      </c>
      <c r="L653" s="27">
        <f>SUMIFS(실시간콜입력!$K:$K,실시간콜입력!$B:$B,$A653,실시간콜입력!$G:$G,$B653,실시간콜입력!$O:$O,"방문완료")+SUMIFS(실시간콜입력!$L:$L,실시간콜입력!$B:$B,$A653,실시간콜입력!$H:$H,$B653,실시간콜입력!$O:$O,"방문완료")</f>
        <v>0</v>
      </c>
      <c r="M653" s="29" t="str">
        <f t="shared" si="87"/>
        <v/>
      </c>
      <c r="N653" s="29"/>
    </row>
    <row r="654" spans="1:14" ht="19.5" hidden="1" customHeight="1" outlineLevel="1">
      <c r="A654" s="30">
        <f>IF(13&lt;=DAY(DATE(YEAR(설정_코스수당!$K$2),MONTH(설정_코스수당!$K$2)+1,0)),DATE(YEAR(설정_코스수당!$K$2),MONTH(설정_코스수당!$K$2),13),"")</f>
        <v>46186</v>
      </c>
      <c r="B654" s="29" t="s">
        <v>186</v>
      </c>
      <c r="C654" s="29"/>
      <c r="D654" s="29"/>
      <c r="E654" s="29" t="str">
        <f t="shared" si="85"/>
        <v/>
      </c>
      <c r="F654" s="29">
        <f>COUNTIFS(실시간콜입력!$B:$B,$A654,실시간콜입력!$E:$E,"A",실시간콜입력!$G:$G,$B654,실시간콜입력!$O:$O,"방문완료")+COUNTIFS(실시간콜입력!$B:$B,$A654,실시간콜입력!$E:$E,"A",실시간콜입력!$H:$H,$B654,실시간콜입력!$O:$O,"방문완료")</f>
        <v>0</v>
      </c>
      <c r="G654" s="29">
        <f>COUNTIFS(실시간콜입력!$B:$B,$A654,실시간콜입력!$E:$E,"B",실시간콜입력!$G:$G,$B654,실시간콜입력!$O:$O,"방문완료")+COUNTIFS(실시간콜입력!$B:$B,$A654,실시간콜입력!$E:$E,"B",실시간콜입력!$H:$H,$B654,실시간콜입력!$O:$O,"방문완료")</f>
        <v>0</v>
      </c>
      <c r="H654" s="29">
        <f>COUNTIFS(실시간콜입력!$B:$B,$A654,실시간콜입력!$E:$E,"C",실시간콜입력!$G:$G,$B654,실시간콜입력!$O:$O,"방문완료")+COUNTIFS(실시간콜입력!$B:$B,$A654,실시간콜입력!$E:$E,"C",실시간콜입력!$H:$H,$B654,실시간콜입력!$O:$O,"방문완료")</f>
        <v>0</v>
      </c>
      <c r="I654" s="29">
        <f>COUNTIFS(실시간콜입력!$B:$B,$A654,실시간콜입력!$E:$E,"D",실시간콜입력!$G:$G,$B654,실시간콜입력!$O:$O,"방문완료")+COUNTIFS(실시간콜입력!$B:$B,$A654,실시간콜입력!$E:$E,"D",실시간콜입력!$H:$H,$B654,실시간콜입력!$O:$O,"방문완료")</f>
        <v>0</v>
      </c>
      <c r="J654" s="29">
        <f>COUNTIFS(실시간콜입력!$B:$B,$A654,실시간콜입력!$E:$E,"E",실시간콜입력!$G:$G,$B654,실시간콜입력!$O:$O,"방문완료")+COUNTIFS(실시간콜입력!$B:$B,$A654,실시간콜입력!$E:$E,"E",실시간콜입력!$H:$H,$B654,실시간콜입력!$O:$O,"방문완료")</f>
        <v>0</v>
      </c>
      <c r="K654" s="29">
        <f t="shared" si="86"/>
        <v>0</v>
      </c>
      <c r="L654" s="33">
        <f>SUMIFS(실시간콜입력!$K:$K,실시간콜입력!$B:$B,$A654,실시간콜입력!$G:$G,$B654,실시간콜입력!$O:$O,"방문완료")+SUMIFS(실시간콜입력!$L:$L,실시간콜입력!$B:$B,$A654,실시간콜입력!$H:$H,$B654,실시간콜입력!$O:$O,"방문완료")</f>
        <v>0</v>
      </c>
      <c r="M654" s="29" t="str">
        <f t="shared" si="87"/>
        <v/>
      </c>
      <c r="N654" s="29"/>
    </row>
    <row r="655" spans="1:14" ht="19.5" hidden="1" customHeight="1" outlineLevel="1">
      <c r="A655" s="24">
        <f>IF(13&lt;=DAY(DATE(YEAR(설정_코스수당!$K$2),MONTH(설정_코스수당!$K$2)+1,0)),DATE(YEAR(설정_코스수당!$K$2),MONTH(설정_코스수당!$K$2),13),"")</f>
        <v>46186</v>
      </c>
      <c r="B655" s="23" t="s">
        <v>187</v>
      </c>
      <c r="C655" s="29"/>
      <c r="D655" s="29"/>
      <c r="E655" s="29" t="str">
        <f t="shared" si="85"/>
        <v/>
      </c>
      <c r="F655" s="29">
        <f>COUNTIFS(실시간콜입력!$B:$B,$A655,실시간콜입력!$E:$E,"A",실시간콜입력!$G:$G,$B655,실시간콜입력!$O:$O,"방문완료")+COUNTIFS(실시간콜입력!$B:$B,$A655,실시간콜입력!$E:$E,"A",실시간콜입력!$H:$H,$B655,실시간콜입력!$O:$O,"방문완료")</f>
        <v>0</v>
      </c>
      <c r="G655" s="29">
        <f>COUNTIFS(실시간콜입력!$B:$B,$A655,실시간콜입력!$E:$E,"B",실시간콜입력!$G:$G,$B655,실시간콜입력!$O:$O,"방문완료")+COUNTIFS(실시간콜입력!$B:$B,$A655,실시간콜입력!$E:$E,"B",실시간콜입력!$H:$H,$B655,실시간콜입력!$O:$O,"방문완료")</f>
        <v>0</v>
      </c>
      <c r="H655" s="29">
        <f>COUNTIFS(실시간콜입력!$B:$B,$A655,실시간콜입력!$E:$E,"C",실시간콜입력!$G:$G,$B655,실시간콜입력!$O:$O,"방문완료")+COUNTIFS(실시간콜입력!$B:$B,$A655,실시간콜입력!$E:$E,"C",실시간콜입력!$H:$H,$B655,실시간콜입력!$O:$O,"방문완료")</f>
        <v>0</v>
      </c>
      <c r="I655" s="29">
        <f>COUNTIFS(실시간콜입력!$B:$B,$A655,실시간콜입력!$E:$E,"D",실시간콜입력!$G:$G,$B655,실시간콜입력!$O:$O,"방문완료")+COUNTIFS(실시간콜입력!$B:$B,$A655,실시간콜입력!$E:$E,"D",실시간콜입력!$H:$H,$B655,실시간콜입력!$O:$O,"방문완료")</f>
        <v>0</v>
      </c>
      <c r="J655" s="29">
        <f>COUNTIFS(실시간콜입력!$B:$B,$A655,실시간콜입력!$E:$E,"E",실시간콜입력!$G:$G,$B655,실시간콜입력!$O:$O,"방문완료")+COUNTIFS(실시간콜입력!$B:$B,$A655,실시간콜입력!$E:$E,"E",실시간콜입력!$H:$H,$B655,실시간콜입력!$O:$O,"방문완료")</f>
        <v>0</v>
      </c>
      <c r="K655" s="29">
        <f t="shared" si="86"/>
        <v>0</v>
      </c>
      <c r="L655" s="27">
        <f>SUMIFS(실시간콜입력!$K:$K,실시간콜입력!$B:$B,$A655,실시간콜입력!$G:$G,$B655,실시간콜입력!$O:$O,"방문완료")+SUMIFS(실시간콜입력!$L:$L,실시간콜입력!$B:$B,$A655,실시간콜입력!$H:$H,$B655,실시간콜입력!$O:$O,"방문완료")</f>
        <v>0</v>
      </c>
      <c r="M655" s="29" t="str">
        <f t="shared" si="87"/>
        <v/>
      </c>
      <c r="N655" s="29"/>
    </row>
    <row r="656" spans="1:14" ht="19.5" hidden="1" customHeight="1" outlineLevel="1">
      <c r="A656" s="30">
        <f>IF(13&lt;=DAY(DATE(YEAR(설정_코스수당!$K$2),MONTH(설정_코스수당!$K$2)+1,0)),DATE(YEAR(설정_코스수당!$K$2),MONTH(설정_코스수당!$K$2),13),"")</f>
        <v>46186</v>
      </c>
      <c r="B656" s="29" t="s">
        <v>188</v>
      </c>
      <c r="C656" s="29"/>
      <c r="D656" s="29"/>
      <c r="E656" s="29" t="str">
        <f t="shared" si="85"/>
        <v/>
      </c>
      <c r="F656" s="29">
        <f>COUNTIFS(실시간콜입력!$B:$B,$A656,실시간콜입력!$E:$E,"A",실시간콜입력!$G:$G,$B656,실시간콜입력!$O:$O,"방문완료")+COUNTIFS(실시간콜입력!$B:$B,$A656,실시간콜입력!$E:$E,"A",실시간콜입력!$H:$H,$B656,실시간콜입력!$O:$O,"방문완료")</f>
        <v>0</v>
      </c>
      <c r="G656" s="29">
        <f>COUNTIFS(실시간콜입력!$B:$B,$A656,실시간콜입력!$E:$E,"B",실시간콜입력!$G:$G,$B656,실시간콜입력!$O:$O,"방문완료")+COUNTIFS(실시간콜입력!$B:$B,$A656,실시간콜입력!$E:$E,"B",실시간콜입력!$H:$H,$B656,실시간콜입력!$O:$O,"방문완료")</f>
        <v>0</v>
      </c>
      <c r="H656" s="29">
        <f>COUNTIFS(실시간콜입력!$B:$B,$A656,실시간콜입력!$E:$E,"C",실시간콜입력!$G:$G,$B656,실시간콜입력!$O:$O,"방문완료")+COUNTIFS(실시간콜입력!$B:$B,$A656,실시간콜입력!$E:$E,"C",실시간콜입력!$H:$H,$B656,실시간콜입력!$O:$O,"방문완료")</f>
        <v>0</v>
      </c>
      <c r="I656" s="29">
        <f>COUNTIFS(실시간콜입력!$B:$B,$A656,실시간콜입력!$E:$E,"D",실시간콜입력!$G:$G,$B656,실시간콜입력!$O:$O,"방문완료")+COUNTIFS(실시간콜입력!$B:$B,$A656,실시간콜입력!$E:$E,"D",실시간콜입력!$H:$H,$B656,실시간콜입력!$O:$O,"방문완료")</f>
        <v>0</v>
      </c>
      <c r="J656" s="29">
        <f>COUNTIFS(실시간콜입력!$B:$B,$A656,실시간콜입력!$E:$E,"E",실시간콜입력!$G:$G,$B656,실시간콜입력!$O:$O,"방문완료")+COUNTIFS(실시간콜입력!$B:$B,$A656,실시간콜입력!$E:$E,"E",실시간콜입력!$H:$H,$B656,실시간콜입력!$O:$O,"방문완료")</f>
        <v>0</v>
      </c>
      <c r="K656" s="29">
        <f t="shared" si="86"/>
        <v>0</v>
      </c>
      <c r="L656" s="33">
        <f>SUMIFS(실시간콜입력!$K:$K,실시간콜입력!$B:$B,$A656,실시간콜입력!$G:$G,$B656,실시간콜입력!$O:$O,"방문완료")+SUMIFS(실시간콜입력!$L:$L,실시간콜입력!$B:$B,$A656,실시간콜입력!$H:$H,$B656,실시간콜입력!$O:$O,"방문완료")</f>
        <v>0</v>
      </c>
      <c r="M656" s="29" t="str">
        <f t="shared" si="87"/>
        <v/>
      </c>
      <c r="N656" s="29"/>
    </row>
    <row r="657" spans="1:14" ht="19.5" hidden="1" customHeight="1" outlineLevel="1">
      <c r="A657" s="24">
        <f>IF(13&lt;=DAY(DATE(YEAR(설정_코스수당!$K$2),MONTH(설정_코스수당!$K$2)+1,0)),DATE(YEAR(설정_코스수당!$K$2),MONTH(설정_코스수당!$K$2),13),"")</f>
        <v>46186</v>
      </c>
      <c r="B657" s="23" t="s">
        <v>189</v>
      </c>
      <c r="C657" s="29"/>
      <c r="D657" s="29"/>
      <c r="E657" s="29" t="str">
        <f t="shared" si="85"/>
        <v/>
      </c>
      <c r="F657" s="29">
        <f>COUNTIFS(실시간콜입력!$B:$B,$A657,실시간콜입력!$E:$E,"A",실시간콜입력!$G:$G,$B657,실시간콜입력!$O:$O,"방문완료")+COUNTIFS(실시간콜입력!$B:$B,$A657,실시간콜입력!$E:$E,"A",실시간콜입력!$H:$H,$B657,실시간콜입력!$O:$O,"방문완료")</f>
        <v>0</v>
      </c>
      <c r="G657" s="29">
        <f>COUNTIFS(실시간콜입력!$B:$B,$A657,실시간콜입력!$E:$E,"B",실시간콜입력!$G:$G,$B657,실시간콜입력!$O:$O,"방문완료")+COUNTIFS(실시간콜입력!$B:$B,$A657,실시간콜입력!$E:$E,"B",실시간콜입력!$H:$H,$B657,실시간콜입력!$O:$O,"방문완료")</f>
        <v>0</v>
      </c>
      <c r="H657" s="29">
        <f>COUNTIFS(실시간콜입력!$B:$B,$A657,실시간콜입력!$E:$E,"C",실시간콜입력!$G:$G,$B657,실시간콜입력!$O:$O,"방문완료")+COUNTIFS(실시간콜입력!$B:$B,$A657,실시간콜입력!$E:$E,"C",실시간콜입력!$H:$H,$B657,실시간콜입력!$O:$O,"방문완료")</f>
        <v>0</v>
      </c>
      <c r="I657" s="29">
        <f>COUNTIFS(실시간콜입력!$B:$B,$A657,실시간콜입력!$E:$E,"D",실시간콜입력!$G:$G,$B657,실시간콜입력!$O:$O,"방문완료")+COUNTIFS(실시간콜입력!$B:$B,$A657,실시간콜입력!$E:$E,"D",실시간콜입력!$H:$H,$B657,실시간콜입력!$O:$O,"방문완료")</f>
        <v>0</v>
      </c>
      <c r="J657" s="29">
        <f>COUNTIFS(실시간콜입력!$B:$B,$A657,실시간콜입력!$E:$E,"E",실시간콜입력!$G:$G,$B657,실시간콜입력!$O:$O,"방문완료")+COUNTIFS(실시간콜입력!$B:$B,$A657,실시간콜입력!$E:$E,"E",실시간콜입력!$H:$H,$B657,실시간콜입력!$O:$O,"방문완료")</f>
        <v>0</v>
      </c>
      <c r="K657" s="29">
        <f t="shared" si="86"/>
        <v>0</v>
      </c>
      <c r="L657" s="27">
        <f>SUMIFS(실시간콜입력!$K:$K,실시간콜입력!$B:$B,$A657,실시간콜입력!$G:$G,$B657,실시간콜입력!$O:$O,"방문완료")+SUMIFS(실시간콜입력!$L:$L,실시간콜입력!$B:$B,$A657,실시간콜입력!$H:$H,$B657,실시간콜입력!$O:$O,"방문완료")</f>
        <v>0</v>
      </c>
      <c r="M657" s="29" t="str">
        <f t="shared" si="87"/>
        <v/>
      </c>
      <c r="N657" s="29"/>
    </row>
    <row r="658" spans="1:14" ht="19.5" hidden="1" customHeight="1" outlineLevel="1">
      <c r="A658" s="30">
        <f>IF(13&lt;=DAY(DATE(YEAR(설정_코스수당!$K$2),MONTH(설정_코스수당!$K$2)+1,0)),DATE(YEAR(설정_코스수당!$K$2),MONTH(설정_코스수당!$K$2),13),"")</f>
        <v>46186</v>
      </c>
      <c r="B658" s="29" t="s">
        <v>190</v>
      </c>
      <c r="C658" s="29"/>
      <c r="D658" s="29"/>
      <c r="E658" s="29" t="str">
        <f t="shared" si="85"/>
        <v/>
      </c>
      <c r="F658" s="29">
        <f>COUNTIFS(실시간콜입력!$B:$B,$A658,실시간콜입력!$E:$E,"A",실시간콜입력!$G:$G,$B658,실시간콜입력!$O:$O,"방문완료")+COUNTIFS(실시간콜입력!$B:$B,$A658,실시간콜입력!$E:$E,"A",실시간콜입력!$H:$H,$B658,실시간콜입력!$O:$O,"방문완료")</f>
        <v>0</v>
      </c>
      <c r="G658" s="29">
        <f>COUNTIFS(실시간콜입력!$B:$B,$A658,실시간콜입력!$E:$E,"B",실시간콜입력!$G:$G,$B658,실시간콜입력!$O:$O,"방문완료")+COUNTIFS(실시간콜입력!$B:$B,$A658,실시간콜입력!$E:$E,"B",실시간콜입력!$H:$H,$B658,실시간콜입력!$O:$O,"방문완료")</f>
        <v>0</v>
      </c>
      <c r="H658" s="29">
        <f>COUNTIFS(실시간콜입력!$B:$B,$A658,실시간콜입력!$E:$E,"C",실시간콜입력!$G:$G,$B658,실시간콜입력!$O:$O,"방문완료")+COUNTIFS(실시간콜입력!$B:$B,$A658,실시간콜입력!$E:$E,"C",실시간콜입력!$H:$H,$B658,실시간콜입력!$O:$O,"방문완료")</f>
        <v>0</v>
      </c>
      <c r="I658" s="29">
        <f>COUNTIFS(실시간콜입력!$B:$B,$A658,실시간콜입력!$E:$E,"D",실시간콜입력!$G:$G,$B658,실시간콜입력!$O:$O,"방문완료")+COUNTIFS(실시간콜입력!$B:$B,$A658,실시간콜입력!$E:$E,"D",실시간콜입력!$H:$H,$B658,실시간콜입력!$O:$O,"방문완료")</f>
        <v>0</v>
      </c>
      <c r="J658" s="29">
        <f>COUNTIFS(실시간콜입력!$B:$B,$A658,실시간콜입력!$E:$E,"E",실시간콜입력!$G:$G,$B658,실시간콜입력!$O:$O,"방문완료")+COUNTIFS(실시간콜입력!$B:$B,$A658,실시간콜입력!$E:$E,"E",실시간콜입력!$H:$H,$B658,실시간콜입력!$O:$O,"방문완료")</f>
        <v>0</v>
      </c>
      <c r="K658" s="29">
        <f t="shared" si="86"/>
        <v>0</v>
      </c>
      <c r="L658" s="33">
        <f>SUMIFS(실시간콜입력!$K:$K,실시간콜입력!$B:$B,$A658,실시간콜입력!$G:$G,$B658,실시간콜입력!$O:$O,"방문완료")+SUMIFS(실시간콜입력!$L:$L,실시간콜입력!$B:$B,$A658,실시간콜입력!$H:$H,$B658,실시간콜입력!$O:$O,"방문완료")</f>
        <v>0</v>
      </c>
      <c r="M658" s="29" t="str">
        <f t="shared" si="87"/>
        <v/>
      </c>
      <c r="N658" s="29"/>
    </row>
    <row r="659" spans="1:14" ht="19.5" hidden="1" customHeight="1" outlineLevel="1">
      <c r="A659" s="24">
        <f>IF(13&lt;=DAY(DATE(YEAR(설정_코스수당!$K$2),MONTH(설정_코스수당!$K$2)+1,0)),DATE(YEAR(설정_코스수당!$K$2),MONTH(설정_코스수당!$K$2),13),"")</f>
        <v>46186</v>
      </c>
      <c r="B659" s="23" t="s">
        <v>191</v>
      </c>
      <c r="C659" s="29"/>
      <c r="D659" s="29"/>
      <c r="E659" s="29" t="str">
        <f t="shared" si="85"/>
        <v/>
      </c>
      <c r="F659" s="29">
        <f>COUNTIFS(실시간콜입력!$B:$B,$A659,실시간콜입력!$E:$E,"A",실시간콜입력!$G:$G,$B659,실시간콜입력!$O:$O,"방문완료")+COUNTIFS(실시간콜입력!$B:$B,$A659,실시간콜입력!$E:$E,"A",실시간콜입력!$H:$H,$B659,실시간콜입력!$O:$O,"방문완료")</f>
        <v>0</v>
      </c>
      <c r="G659" s="29">
        <f>COUNTIFS(실시간콜입력!$B:$B,$A659,실시간콜입력!$E:$E,"B",실시간콜입력!$G:$G,$B659,실시간콜입력!$O:$O,"방문완료")+COUNTIFS(실시간콜입력!$B:$B,$A659,실시간콜입력!$E:$E,"B",실시간콜입력!$H:$H,$B659,실시간콜입력!$O:$O,"방문완료")</f>
        <v>0</v>
      </c>
      <c r="H659" s="29">
        <f>COUNTIFS(실시간콜입력!$B:$B,$A659,실시간콜입력!$E:$E,"C",실시간콜입력!$G:$G,$B659,실시간콜입력!$O:$O,"방문완료")+COUNTIFS(실시간콜입력!$B:$B,$A659,실시간콜입력!$E:$E,"C",실시간콜입력!$H:$H,$B659,실시간콜입력!$O:$O,"방문완료")</f>
        <v>0</v>
      </c>
      <c r="I659" s="29">
        <f>COUNTIFS(실시간콜입력!$B:$B,$A659,실시간콜입력!$E:$E,"D",실시간콜입력!$G:$G,$B659,실시간콜입력!$O:$O,"방문완료")+COUNTIFS(실시간콜입력!$B:$B,$A659,실시간콜입력!$E:$E,"D",실시간콜입력!$H:$H,$B659,실시간콜입력!$O:$O,"방문완료")</f>
        <v>0</v>
      </c>
      <c r="J659" s="29">
        <f>COUNTIFS(실시간콜입력!$B:$B,$A659,실시간콜입력!$E:$E,"E",실시간콜입력!$G:$G,$B659,실시간콜입력!$O:$O,"방문완료")+COUNTIFS(실시간콜입력!$B:$B,$A659,실시간콜입력!$E:$E,"E",실시간콜입력!$H:$H,$B659,실시간콜입력!$O:$O,"방문완료")</f>
        <v>0</v>
      </c>
      <c r="K659" s="29">
        <f t="shared" si="86"/>
        <v>0</v>
      </c>
      <c r="L659" s="27">
        <f>SUMIFS(실시간콜입력!$K:$K,실시간콜입력!$B:$B,$A659,실시간콜입력!$G:$G,$B659,실시간콜입력!$O:$O,"방문완료")+SUMIFS(실시간콜입력!$L:$L,실시간콜입력!$B:$B,$A659,실시간콜입력!$H:$H,$B659,실시간콜입력!$O:$O,"방문완료")</f>
        <v>0</v>
      </c>
      <c r="M659" s="29" t="str">
        <f t="shared" si="87"/>
        <v/>
      </c>
      <c r="N659" s="29"/>
    </row>
    <row r="660" spans="1:14" ht="19.5" hidden="1" customHeight="1" outlineLevel="1">
      <c r="A660" s="30">
        <f>IF(13&lt;=DAY(DATE(YEAR(설정_코스수당!$K$2),MONTH(설정_코스수당!$K$2)+1,0)),DATE(YEAR(설정_코스수당!$K$2),MONTH(설정_코스수당!$K$2),13),"")</f>
        <v>46186</v>
      </c>
      <c r="B660" s="29" t="s">
        <v>192</v>
      </c>
      <c r="C660" s="29"/>
      <c r="D660" s="29"/>
      <c r="E660" s="29" t="str">
        <f t="shared" si="85"/>
        <v/>
      </c>
      <c r="F660" s="29">
        <f>COUNTIFS(실시간콜입력!$B:$B,$A660,실시간콜입력!$E:$E,"A",실시간콜입력!$G:$G,$B660,실시간콜입력!$O:$O,"방문완료")+COUNTIFS(실시간콜입력!$B:$B,$A660,실시간콜입력!$E:$E,"A",실시간콜입력!$H:$H,$B660,실시간콜입력!$O:$O,"방문완료")</f>
        <v>0</v>
      </c>
      <c r="G660" s="29">
        <f>COUNTIFS(실시간콜입력!$B:$B,$A660,실시간콜입력!$E:$E,"B",실시간콜입력!$G:$G,$B660,실시간콜입력!$O:$O,"방문완료")+COUNTIFS(실시간콜입력!$B:$B,$A660,실시간콜입력!$E:$E,"B",실시간콜입력!$H:$H,$B660,실시간콜입력!$O:$O,"방문완료")</f>
        <v>0</v>
      </c>
      <c r="H660" s="29">
        <f>COUNTIFS(실시간콜입력!$B:$B,$A660,실시간콜입력!$E:$E,"C",실시간콜입력!$G:$G,$B660,실시간콜입력!$O:$O,"방문완료")+COUNTIFS(실시간콜입력!$B:$B,$A660,실시간콜입력!$E:$E,"C",실시간콜입력!$H:$H,$B660,실시간콜입력!$O:$O,"방문완료")</f>
        <v>0</v>
      </c>
      <c r="I660" s="29">
        <f>COUNTIFS(실시간콜입력!$B:$B,$A660,실시간콜입력!$E:$E,"D",실시간콜입력!$G:$G,$B660,실시간콜입력!$O:$O,"방문완료")+COUNTIFS(실시간콜입력!$B:$B,$A660,실시간콜입력!$E:$E,"D",실시간콜입력!$H:$H,$B660,실시간콜입력!$O:$O,"방문완료")</f>
        <v>0</v>
      </c>
      <c r="J660" s="29">
        <f>COUNTIFS(실시간콜입력!$B:$B,$A660,실시간콜입력!$E:$E,"E",실시간콜입력!$G:$G,$B660,실시간콜입력!$O:$O,"방문완료")+COUNTIFS(실시간콜입력!$B:$B,$A660,실시간콜입력!$E:$E,"E",실시간콜입력!$H:$H,$B660,실시간콜입력!$O:$O,"방문완료")</f>
        <v>0</v>
      </c>
      <c r="K660" s="29">
        <f t="shared" si="86"/>
        <v>0</v>
      </c>
      <c r="L660" s="33">
        <f>SUMIFS(실시간콜입력!$K:$K,실시간콜입력!$B:$B,$A660,실시간콜입력!$G:$G,$B660,실시간콜입력!$O:$O,"방문완료")+SUMIFS(실시간콜입력!$L:$L,실시간콜입력!$B:$B,$A660,실시간콜입력!$H:$H,$B660,실시간콜입력!$O:$O,"방문완료")</f>
        <v>0</v>
      </c>
      <c r="M660" s="29" t="str">
        <f t="shared" si="87"/>
        <v/>
      </c>
      <c r="N660" s="29"/>
    </row>
    <row r="661" spans="1:14" ht="19.5" hidden="1" customHeight="1" outlineLevel="1">
      <c r="A661" s="24">
        <f>IF(13&lt;=DAY(DATE(YEAR(설정_코스수당!$K$2),MONTH(설정_코스수당!$K$2)+1,0)),DATE(YEAR(설정_코스수당!$K$2),MONTH(설정_코스수당!$K$2),13),"")</f>
        <v>46186</v>
      </c>
      <c r="B661" s="23" t="s">
        <v>193</v>
      </c>
      <c r="C661" s="29"/>
      <c r="D661" s="29"/>
      <c r="E661" s="29" t="str">
        <f t="shared" si="85"/>
        <v/>
      </c>
      <c r="F661" s="29">
        <f>COUNTIFS(실시간콜입력!$B:$B,$A661,실시간콜입력!$E:$E,"A",실시간콜입력!$G:$G,$B661,실시간콜입력!$O:$O,"방문완료")+COUNTIFS(실시간콜입력!$B:$B,$A661,실시간콜입력!$E:$E,"A",실시간콜입력!$H:$H,$B661,실시간콜입력!$O:$O,"방문완료")</f>
        <v>0</v>
      </c>
      <c r="G661" s="29">
        <f>COUNTIFS(실시간콜입력!$B:$B,$A661,실시간콜입력!$E:$E,"B",실시간콜입력!$G:$G,$B661,실시간콜입력!$O:$O,"방문완료")+COUNTIFS(실시간콜입력!$B:$B,$A661,실시간콜입력!$E:$E,"B",실시간콜입력!$H:$H,$B661,실시간콜입력!$O:$O,"방문완료")</f>
        <v>0</v>
      </c>
      <c r="H661" s="29">
        <f>COUNTIFS(실시간콜입력!$B:$B,$A661,실시간콜입력!$E:$E,"C",실시간콜입력!$G:$G,$B661,실시간콜입력!$O:$O,"방문완료")+COUNTIFS(실시간콜입력!$B:$B,$A661,실시간콜입력!$E:$E,"C",실시간콜입력!$H:$H,$B661,실시간콜입력!$O:$O,"방문완료")</f>
        <v>0</v>
      </c>
      <c r="I661" s="29">
        <f>COUNTIFS(실시간콜입력!$B:$B,$A661,실시간콜입력!$E:$E,"D",실시간콜입력!$G:$G,$B661,실시간콜입력!$O:$O,"방문완료")+COUNTIFS(실시간콜입력!$B:$B,$A661,실시간콜입력!$E:$E,"D",실시간콜입력!$H:$H,$B661,실시간콜입력!$O:$O,"방문완료")</f>
        <v>0</v>
      </c>
      <c r="J661" s="29">
        <f>COUNTIFS(실시간콜입력!$B:$B,$A661,실시간콜입력!$E:$E,"E",실시간콜입력!$G:$G,$B661,실시간콜입력!$O:$O,"방문완료")+COUNTIFS(실시간콜입력!$B:$B,$A661,실시간콜입력!$E:$E,"E",실시간콜입력!$H:$H,$B661,실시간콜입력!$O:$O,"방문완료")</f>
        <v>0</v>
      </c>
      <c r="K661" s="29">
        <f t="shared" si="86"/>
        <v>0</v>
      </c>
      <c r="L661" s="27">
        <f>SUMIFS(실시간콜입력!$K:$K,실시간콜입력!$B:$B,$A661,실시간콜입력!$G:$G,$B661,실시간콜입력!$O:$O,"방문완료")+SUMIFS(실시간콜입력!$L:$L,실시간콜입력!$B:$B,$A661,실시간콜입력!$H:$H,$B661,실시간콜입력!$O:$O,"방문완료")</f>
        <v>0</v>
      </c>
      <c r="M661" s="29" t="str">
        <f t="shared" si="87"/>
        <v/>
      </c>
      <c r="N661" s="29"/>
    </row>
    <row r="662" spans="1:14" ht="19.5" hidden="1" customHeight="1" outlineLevel="1">
      <c r="A662" s="30">
        <f>IF(13&lt;=DAY(DATE(YEAR(설정_코스수당!$K$2),MONTH(설정_코스수당!$K$2)+1,0)),DATE(YEAR(설정_코스수당!$K$2),MONTH(설정_코스수당!$K$2),13),"")</f>
        <v>46186</v>
      </c>
      <c r="B662" s="29" t="s">
        <v>194</v>
      </c>
      <c r="C662" s="29"/>
      <c r="D662" s="29"/>
      <c r="E662" s="29" t="str">
        <f t="shared" si="85"/>
        <v/>
      </c>
      <c r="F662" s="29">
        <f>COUNTIFS(실시간콜입력!$B:$B,$A662,실시간콜입력!$E:$E,"A",실시간콜입력!$G:$G,$B662,실시간콜입력!$O:$O,"방문완료")+COUNTIFS(실시간콜입력!$B:$B,$A662,실시간콜입력!$E:$E,"A",실시간콜입력!$H:$H,$B662,실시간콜입력!$O:$O,"방문완료")</f>
        <v>0</v>
      </c>
      <c r="G662" s="29">
        <f>COUNTIFS(실시간콜입력!$B:$B,$A662,실시간콜입력!$E:$E,"B",실시간콜입력!$G:$G,$B662,실시간콜입력!$O:$O,"방문완료")+COUNTIFS(실시간콜입력!$B:$B,$A662,실시간콜입력!$E:$E,"B",실시간콜입력!$H:$H,$B662,실시간콜입력!$O:$O,"방문완료")</f>
        <v>0</v>
      </c>
      <c r="H662" s="29">
        <f>COUNTIFS(실시간콜입력!$B:$B,$A662,실시간콜입력!$E:$E,"C",실시간콜입력!$G:$G,$B662,실시간콜입력!$O:$O,"방문완료")+COUNTIFS(실시간콜입력!$B:$B,$A662,실시간콜입력!$E:$E,"C",실시간콜입력!$H:$H,$B662,실시간콜입력!$O:$O,"방문완료")</f>
        <v>0</v>
      </c>
      <c r="I662" s="29">
        <f>COUNTIFS(실시간콜입력!$B:$B,$A662,실시간콜입력!$E:$E,"D",실시간콜입력!$G:$G,$B662,실시간콜입력!$O:$O,"방문완료")+COUNTIFS(실시간콜입력!$B:$B,$A662,실시간콜입력!$E:$E,"D",실시간콜입력!$H:$H,$B662,실시간콜입력!$O:$O,"방문완료")</f>
        <v>0</v>
      </c>
      <c r="J662" s="29">
        <f>COUNTIFS(실시간콜입력!$B:$B,$A662,실시간콜입력!$E:$E,"E",실시간콜입력!$G:$G,$B662,실시간콜입력!$O:$O,"방문완료")+COUNTIFS(실시간콜입력!$B:$B,$A662,실시간콜입력!$E:$E,"E",실시간콜입력!$H:$H,$B662,실시간콜입력!$O:$O,"방문완료")</f>
        <v>0</v>
      </c>
      <c r="K662" s="29">
        <f t="shared" si="86"/>
        <v>0</v>
      </c>
      <c r="L662" s="33">
        <f>SUMIFS(실시간콜입력!$K:$K,실시간콜입력!$B:$B,$A662,실시간콜입력!$G:$G,$B662,실시간콜입력!$O:$O,"방문완료")+SUMIFS(실시간콜입력!$L:$L,실시간콜입력!$B:$B,$A662,실시간콜입력!$H:$H,$B662,실시간콜입력!$O:$O,"방문완료")</f>
        <v>0</v>
      </c>
      <c r="M662" s="29" t="str">
        <f t="shared" si="87"/>
        <v/>
      </c>
      <c r="N662" s="29"/>
    </row>
    <row r="663" spans="1:14" ht="19.5" hidden="1" customHeight="1" outlineLevel="1">
      <c r="A663" s="24">
        <f>IF(13&lt;=DAY(DATE(YEAR(설정_코스수당!$K$2),MONTH(설정_코스수당!$K$2)+1,0)),DATE(YEAR(설정_코스수당!$K$2),MONTH(설정_코스수당!$K$2),13),"")</f>
        <v>46186</v>
      </c>
      <c r="B663" s="23" t="s">
        <v>195</v>
      </c>
      <c r="C663" s="29"/>
      <c r="D663" s="29"/>
      <c r="E663" s="29" t="str">
        <f t="shared" ref="E663:E694" si="88">IF(AND(C663&lt;&gt;"",D663&lt;&gt;""),IF(D663&lt;C663,D663+1-C663,D663-C663)*24,"")</f>
        <v/>
      </c>
      <c r="F663" s="29">
        <f>COUNTIFS(실시간콜입력!$B:$B,$A663,실시간콜입력!$E:$E,"A",실시간콜입력!$G:$G,$B663,실시간콜입력!$O:$O,"방문완료")+COUNTIFS(실시간콜입력!$B:$B,$A663,실시간콜입력!$E:$E,"A",실시간콜입력!$H:$H,$B663,실시간콜입력!$O:$O,"방문완료")</f>
        <v>0</v>
      </c>
      <c r="G663" s="29">
        <f>COUNTIFS(실시간콜입력!$B:$B,$A663,실시간콜입력!$E:$E,"B",실시간콜입력!$G:$G,$B663,실시간콜입력!$O:$O,"방문완료")+COUNTIFS(실시간콜입력!$B:$B,$A663,실시간콜입력!$E:$E,"B",실시간콜입력!$H:$H,$B663,실시간콜입력!$O:$O,"방문완료")</f>
        <v>0</v>
      </c>
      <c r="H663" s="29">
        <f>COUNTIFS(실시간콜입력!$B:$B,$A663,실시간콜입력!$E:$E,"C",실시간콜입력!$G:$G,$B663,실시간콜입력!$O:$O,"방문완료")+COUNTIFS(실시간콜입력!$B:$B,$A663,실시간콜입력!$E:$E,"C",실시간콜입력!$H:$H,$B663,실시간콜입력!$O:$O,"방문완료")</f>
        <v>0</v>
      </c>
      <c r="I663" s="29">
        <f>COUNTIFS(실시간콜입력!$B:$B,$A663,실시간콜입력!$E:$E,"D",실시간콜입력!$G:$G,$B663,실시간콜입력!$O:$O,"방문완료")+COUNTIFS(실시간콜입력!$B:$B,$A663,실시간콜입력!$E:$E,"D",실시간콜입력!$H:$H,$B663,실시간콜입력!$O:$O,"방문완료")</f>
        <v>0</v>
      </c>
      <c r="J663" s="29">
        <f>COUNTIFS(실시간콜입력!$B:$B,$A663,실시간콜입력!$E:$E,"E",실시간콜입력!$G:$G,$B663,실시간콜입력!$O:$O,"방문완료")+COUNTIFS(실시간콜입력!$B:$B,$A663,실시간콜입력!$E:$E,"E",실시간콜입력!$H:$H,$B663,실시간콜입력!$O:$O,"방문완료")</f>
        <v>0</v>
      </c>
      <c r="K663" s="29">
        <f t="shared" ref="K663:K694" si="89">SUM(F663:J663)</f>
        <v>0</v>
      </c>
      <c r="L663" s="27">
        <f>SUMIFS(실시간콜입력!$K:$K,실시간콜입력!$B:$B,$A663,실시간콜입력!$G:$G,$B663,실시간콜입력!$O:$O,"방문완료")+SUMIFS(실시간콜입력!$L:$L,실시간콜입력!$B:$B,$A663,실시간콜입력!$H:$H,$B663,실시간콜입력!$O:$O,"방문완료")</f>
        <v>0</v>
      </c>
      <c r="M663" s="29" t="str">
        <f t="shared" ref="M663:M680" si="90">IF(AND(ISNUMBER(E663),E663&gt;=8),"인정","")</f>
        <v/>
      </c>
      <c r="N663" s="29"/>
    </row>
    <row r="664" spans="1:14" ht="19.5" hidden="1" customHeight="1" outlineLevel="1">
      <c r="A664" s="30">
        <f>IF(13&lt;=DAY(DATE(YEAR(설정_코스수당!$K$2),MONTH(설정_코스수당!$K$2)+1,0)),DATE(YEAR(설정_코스수당!$K$2),MONTH(설정_코스수당!$K$2),13),"")</f>
        <v>46186</v>
      </c>
      <c r="B664" s="29" t="s">
        <v>196</v>
      </c>
      <c r="C664" s="29"/>
      <c r="D664" s="29"/>
      <c r="E664" s="29" t="str">
        <f t="shared" si="88"/>
        <v/>
      </c>
      <c r="F664" s="29">
        <f>COUNTIFS(실시간콜입력!$B:$B,$A664,실시간콜입력!$E:$E,"A",실시간콜입력!$G:$G,$B664,실시간콜입력!$O:$O,"방문완료")+COUNTIFS(실시간콜입력!$B:$B,$A664,실시간콜입력!$E:$E,"A",실시간콜입력!$H:$H,$B664,실시간콜입력!$O:$O,"방문완료")</f>
        <v>0</v>
      </c>
      <c r="G664" s="29">
        <f>COUNTIFS(실시간콜입력!$B:$B,$A664,실시간콜입력!$E:$E,"B",실시간콜입력!$G:$G,$B664,실시간콜입력!$O:$O,"방문완료")+COUNTIFS(실시간콜입력!$B:$B,$A664,실시간콜입력!$E:$E,"B",실시간콜입력!$H:$H,$B664,실시간콜입력!$O:$O,"방문완료")</f>
        <v>0</v>
      </c>
      <c r="H664" s="29">
        <f>COUNTIFS(실시간콜입력!$B:$B,$A664,실시간콜입력!$E:$E,"C",실시간콜입력!$G:$G,$B664,실시간콜입력!$O:$O,"방문완료")+COUNTIFS(실시간콜입력!$B:$B,$A664,실시간콜입력!$E:$E,"C",실시간콜입력!$H:$H,$B664,실시간콜입력!$O:$O,"방문완료")</f>
        <v>0</v>
      </c>
      <c r="I664" s="29">
        <f>COUNTIFS(실시간콜입력!$B:$B,$A664,실시간콜입력!$E:$E,"D",실시간콜입력!$G:$G,$B664,실시간콜입력!$O:$O,"방문완료")+COUNTIFS(실시간콜입력!$B:$B,$A664,실시간콜입력!$E:$E,"D",실시간콜입력!$H:$H,$B664,실시간콜입력!$O:$O,"방문완료")</f>
        <v>0</v>
      </c>
      <c r="J664" s="29">
        <f>COUNTIFS(실시간콜입력!$B:$B,$A664,실시간콜입력!$E:$E,"E",실시간콜입력!$G:$G,$B664,실시간콜입력!$O:$O,"방문완료")+COUNTIFS(실시간콜입력!$B:$B,$A664,실시간콜입력!$E:$E,"E",실시간콜입력!$H:$H,$B664,실시간콜입력!$O:$O,"방문완료")</f>
        <v>0</v>
      </c>
      <c r="K664" s="29">
        <f t="shared" si="89"/>
        <v>0</v>
      </c>
      <c r="L664" s="33">
        <f>SUMIFS(실시간콜입력!$K:$K,실시간콜입력!$B:$B,$A664,실시간콜입력!$G:$G,$B664,실시간콜입력!$O:$O,"방문완료")+SUMIFS(실시간콜입력!$L:$L,실시간콜입력!$B:$B,$A664,실시간콜입력!$H:$H,$B664,실시간콜입력!$O:$O,"방문완료")</f>
        <v>0</v>
      </c>
      <c r="M664" s="29" t="str">
        <f t="shared" si="90"/>
        <v/>
      </c>
      <c r="N664" s="29"/>
    </row>
    <row r="665" spans="1:14" ht="19.5" hidden="1" customHeight="1" outlineLevel="1">
      <c r="A665" s="24">
        <f>IF(13&lt;=DAY(DATE(YEAR(설정_코스수당!$K$2),MONTH(설정_코스수당!$K$2)+1,0)),DATE(YEAR(설정_코스수당!$K$2),MONTH(설정_코스수당!$K$2),13),"")</f>
        <v>46186</v>
      </c>
      <c r="B665" s="23" t="s">
        <v>197</v>
      </c>
      <c r="C665" s="29"/>
      <c r="D665" s="29"/>
      <c r="E665" s="29" t="str">
        <f t="shared" si="88"/>
        <v/>
      </c>
      <c r="F665" s="29">
        <f>COUNTIFS(실시간콜입력!$B:$B,$A665,실시간콜입력!$E:$E,"A",실시간콜입력!$G:$G,$B665,실시간콜입력!$O:$O,"방문완료")+COUNTIFS(실시간콜입력!$B:$B,$A665,실시간콜입력!$E:$E,"A",실시간콜입력!$H:$H,$B665,실시간콜입력!$O:$O,"방문완료")</f>
        <v>0</v>
      </c>
      <c r="G665" s="29">
        <f>COUNTIFS(실시간콜입력!$B:$B,$A665,실시간콜입력!$E:$E,"B",실시간콜입력!$G:$G,$B665,실시간콜입력!$O:$O,"방문완료")+COUNTIFS(실시간콜입력!$B:$B,$A665,실시간콜입력!$E:$E,"B",실시간콜입력!$H:$H,$B665,실시간콜입력!$O:$O,"방문완료")</f>
        <v>0</v>
      </c>
      <c r="H665" s="29">
        <f>COUNTIFS(실시간콜입력!$B:$B,$A665,실시간콜입력!$E:$E,"C",실시간콜입력!$G:$G,$B665,실시간콜입력!$O:$O,"방문완료")+COUNTIFS(실시간콜입력!$B:$B,$A665,실시간콜입력!$E:$E,"C",실시간콜입력!$H:$H,$B665,실시간콜입력!$O:$O,"방문완료")</f>
        <v>0</v>
      </c>
      <c r="I665" s="29">
        <f>COUNTIFS(실시간콜입력!$B:$B,$A665,실시간콜입력!$E:$E,"D",실시간콜입력!$G:$G,$B665,실시간콜입력!$O:$O,"방문완료")+COUNTIFS(실시간콜입력!$B:$B,$A665,실시간콜입력!$E:$E,"D",실시간콜입력!$H:$H,$B665,실시간콜입력!$O:$O,"방문완료")</f>
        <v>0</v>
      </c>
      <c r="J665" s="29">
        <f>COUNTIFS(실시간콜입력!$B:$B,$A665,실시간콜입력!$E:$E,"E",실시간콜입력!$G:$G,$B665,실시간콜입력!$O:$O,"방문완료")+COUNTIFS(실시간콜입력!$B:$B,$A665,실시간콜입력!$E:$E,"E",실시간콜입력!$H:$H,$B665,실시간콜입력!$O:$O,"방문완료")</f>
        <v>0</v>
      </c>
      <c r="K665" s="29">
        <f t="shared" si="89"/>
        <v>0</v>
      </c>
      <c r="L665" s="27">
        <f>SUMIFS(실시간콜입력!$K:$K,실시간콜입력!$B:$B,$A665,실시간콜입력!$G:$G,$B665,실시간콜입력!$O:$O,"방문완료")+SUMIFS(실시간콜입력!$L:$L,실시간콜입력!$B:$B,$A665,실시간콜입력!$H:$H,$B665,실시간콜입력!$O:$O,"방문완료")</f>
        <v>0</v>
      </c>
      <c r="M665" s="29" t="str">
        <f t="shared" si="90"/>
        <v/>
      </c>
      <c r="N665" s="29"/>
    </row>
    <row r="666" spans="1:14" ht="19.5" hidden="1" customHeight="1" outlineLevel="1">
      <c r="A666" s="30">
        <f>IF(13&lt;=DAY(DATE(YEAR(설정_코스수당!$K$2),MONTH(설정_코스수당!$K$2)+1,0)),DATE(YEAR(설정_코스수당!$K$2),MONTH(설정_코스수당!$K$2),13),"")</f>
        <v>46186</v>
      </c>
      <c r="B666" s="29" t="s">
        <v>198</v>
      </c>
      <c r="C666" s="29"/>
      <c r="D666" s="29"/>
      <c r="E666" s="29" t="str">
        <f t="shared" si="88"/>
        <v/>
      </c>
      <c r="F666" s="29">
        <f>COUNTIFS(실시간콜입력!$B:$B,$A666,실시간콜입력!$E:$E,"A",실시간콜입력!$G:$G,$B666,실시간콜입력!$O:$O,"방문완료")+COUNTIFS(실시간콜입력!$B:$B,$A666,실시간콜입력!$E:$E,"A",실시간콜입력!$H:$H,$B666,실시간콜입력!$O:$O,"방문완료")</f>
        <v>0</v>
      </c>
      <c r="G666" s="29">
        <f>COUNTIFS(실시간콜입력!$B:$B,$A666,실시간콜입력!$E:$E,"B",실시간콜입력!$G:$G,$B666,실시간콜입력!$O:$O,"방문완료")+COUNTIFS(실시간콜입력!$B:$B,$A666,실시간콜입력!$E:$E,"B",실시간콜입력!$H:$H,$B666,실시간콜입력!$O:$O,"방문완료")</f>
        <v>0</v>
      </c>
      <c r="H666" s="29">
        <f>COUNTIFS(실시간콜입력!$B:$B,$A666,실시간콜입력!$E:$E,"C",실시간콜입력!$G:$G,$B666,실시간콜입력!$O:$O,"방문완료")+COUNTIFS(실시간콜입력!$B:$B,$A666,실시간콜입력!$E:$E,"C",실시간콜입력!$H:$H,$B666,실시간콜입력!$O:$O,"방문완료")</f>
        <v>0</v>
      </c>
      <c r="I666" s="29">
        <f>COUNTIFS(실시간콜입력!$B:$B,$A666,실시간콜입력!$E:$E,"D",실시간콜입력!$G:$G,$B666,실시간콜입력!$O:$O,"방문완료")+COUNTIFS(실시간콜입력!$B:$B,$A666,실시간콜입력!$E:$E,"D",실시간콜입력!$H:$H,$B666,실시간콜입력!$O:$O,"방문완료")</f>
        <v>0</v>
      </c>
      <c r="J666" s="29">
        <f>COUNTIFS(실시간콜입력!$B:$B,$A666,실시간콜입력!$E:$E,"E",실시간콜입력!$G:$G,$B666,실시간콜입력!$O:$O,"방문완료")+COUNTIFS(실시간콜입력!$B:$B,$A666,실시간콜입력!$E:$E,"E",실시간콜입력!$H:$H,$B666,실시간콜입력!$O:$O,"방문완료")</f>
        <v>0</v>
      </c>
      <c r="K666" s="29">
        <f t="shared" si="89"/>
        <v>0</v>
      </c>
      <c r="L666" s="33">
        <f>SUMIFS(실시간콜입력!$K:$K,실시간콜입력!$B:$B,$A666,실시간콜입력!$G:$G,$B666,실시간콜입력!$O:$O,"방문완료")+SUMIFS(실시간콜입력!$L:$L,실시간콜입력!$B:$B,$A666,실시간콜입력!$H:$H,$B666,실시간콜입력!$O:$O,"방문완료")</f>
        <v>0</v>
      </c>
      <c r="M666" s="29" t="str">
        <f t="shared" si="90"/>
        <v/>
      </c>
      <c r="N666" s="29"/>
    </row>
    <row r="667" spans="1:14" ht="19.5" hidden="1" customHeight="1" outlineLevel="1">
      <c r="A667" s="24">
        <f>IF(13&lt;=DAY(DATE(YEAR(설정_코스수당!$K$2),MONTH(설정_코스수당!$K$2)+1,0)),DATE(YEAR(설정_코스수당!$K$2),MONTH(설정_코스수당!$K$2),13),"")</f>
        <v>46186</v>
      </c>
      <c r="B667" s="23" t="s">
        <v>199</v>
      </c>
      <c r="C667" s="29"/>
      <c r="D667" s="29"/>
      <c r="E667" s="29" t="str">
        <f t="shared" si="88"/>
        <v/>
      </c>
      <c r="F667" s="29">
        <f>COUNTIFS(실시간콜입력!$B:$B,$A667,실시간콜입력!$E:$E,"A",실시간콜입력!$G:$G,$B667,실시간콜입력!$O:$O,"방문완료")+COUNTIFS(실시간콜입력!$B:$B,$A667,실시간콜입력!$E:$E,"A",실시간콜입력!$H:$H,$B667,실시간콜입력!$O:$O,"방문완료")</f>
        <v>0</v>
      </c>
      <c r="G667" s="29">
        <f>COUNTIFS(실시간콜입력!$B:$B,$A667,실시간콜입력!$E:$E,"B",실시간콜입력!$G:$G,$B667,실시간콜입력!$O:$O,"방문완료")+COUNTIFS(실시간콜입력!$B:$B,$A667,실시간콜입력!$E:$E,"B",실시간콜입력!$H:$H,$B667,실시간콜입력!$O:$O,"방문완료")</f>
        <v>0</v>
      </c>
      <c r="H667" s="29">
        <f>COUNTIFS(실시간콜입력!$B:$B,$A667,실시간콜입력!$E:$E,"C",실시간콜입력!$G:$G,$B667,실시간콜입력!$O:$O,"방문완료")+COUNTIFS(실시간콜입력!$B:$B,$A667,실시간콜입력!$E:$E,"C",실시간콜입력!$H:$H,$B667,실시간콜입력!$O:$O,"방문완료")</f>
        <v>0</v>
      </c>
      <c r="I667" s="29">
        <f>COUNTIFS(실시간콜입력!$B:$B,$A667,실시간콜입력!$E:$E,"D",실시간콜입력!$G:$G,$B667,실시간콜입력!$O:$O,"방문완료")+COUNTIFS(실시간콜입력!$B:$B,$A667,실시간콜입력!$E:$E,"D",실시간콜입력!$H:$H,$B667,실시간콜입력!$O:$O,"방문완료")</f>
        <v>0</v>
      </c>
      <c r="J667" s="29">
        <f>COUNTIFS(실시간콜입력!$B:$B,$A667,실시간콜입력!$E:$E,"E",실시간콜입력!$G:$G,$B667,실시간콜입력!$O:$O,"방문완료")+COUNTIFS(실시간콜입력!$B:$B,$A667,실시간콜입력!$E:$E,"E",실시간콜입력!$H:$H,$B667,실시간콜입력!$O:$O,"방문완료")</f>
        <v>0</v>
      </c>
      <c r="K667" s="29">
        <f t="shared" si="89"/>
        <v>0</v>
      </c>
      <c r="L667" s="27">
        <f>SUMIFS(실시간콜입력!$K:$K,실시간콜입력!$B:$B,$A667,실시간콜입력!$G:$G,$B667,실시간콜입력!$O:$O,"방문완료")+SUMIFS(실시간콜입력!$L:$L,실시간콜입력!$B:$B,$A667,실시간콜입력!$H:$H,$B667,실시간콜입력!$O:$O,"방문완료")</f>
        <v>0</v>
      </c>
      <c r="M667" s="29" t="str">
        <f t="shared" si="90"/>
        <v/>
      </c>
      <c r="N667" s="29"/>
    </row>
    <row r="668" spans="1:14" ht="19.5" hidden="1" customHeight="1" outlineLevel="1">
      <c r="A668" s="30">
        <f>IF(13&lt;=DAY(DATE(YEAR(설정_코스수당!$K$2),MONTH(설정_코스수당!$K$2)+1,0)),DATE(YEAR(설정_코스수당!$K$2),MONTH(설정_코스수당!$K$2),13),"")</f>
        <v>46186</v>
      </c>
      <c r="B668" s="29" t="s">
        <v>200</v>
      </c>
      <c r="C668" s="29"/>
      <c r="D668" s="29"/>
      <c r="E668" s="29" t="str">
        <f t="shared" si="88"/>
        <v/>
      </c>
      <c r="F668" s="29">
        <f>COUNTIFS(실시간콜입력!$B:$B,$A668,실시간콜입력!$E:$E,"A",실시간콜입력!$G:$G,$B668,실시간콜입력!$O:$O,"방문완료")+COUNTIFS(실시간콜입력!$B:$B,$A668,실시간콜입력!$E:$E,"A",실시간콜입력!$H:$H,$B668,실시간콜입력!$O:$O,"방문완료")</f>
        <v>0</v>
      </c>
      <c r="G668" s="29">
        <f>COUNTIFS(실시간콜입력!$B:$B,$A668,실시간콜입력!$E:$E,"B",실시간콜입력!$G:$G,$B668,실시간콜입력!$O:$O,"방문완료")+COUNTIFS(실시간콜입력!$B:$B,$A668,실시간콜입력!$E:$E,"B",실시간콜입력!$H:$H,$B668,실시간콜입력!$O:$O,"방문완료")</f>
        <v>0</v>
      </c>
      <c r="H668" s="29">
        <f>COUNTIFS(실시간콜입력!$B:$B,$A668,실시간콜입력!$E:$E,"C",실시간콜입력!$G:$G,$B668,실시간콜입력!$O:$O,"방문완료")+COUNTIFS(실시간콜입력!$B:$B,$A668,실시간콜입력!$E:$E,"C",실시간콜입력!$H:$H,$B668,실시간콜입력!$O:$O,"방문완료")</f>
        <v>0</v>
      </c>
      <c r="I668" s="29">
        <f>COUNTIFS(실시간콜입력!$B:$B,$A668,실시간콜입력!$E:$E,"D",실시간콜입력!$G:$G,$B668,실시간콜입력!$O:$O,"방문완료")+COUNTIFS(실시간콜입력!$B:$B,$A668,실시간콜입력!$E:$E,"D",실시간콜입력!$H:$H,$B668,실시간콜입력!$O:$O,"방문완료")</f>
        <v>0</v>
      </c>
      <c r="J668" s="29">
        <f>COUNTIFS(실시간콜입력!$B:$B,$A668,실시간콜입력!$E:$E,"E",실시간콜입력!$G:$G,$B668,실시간콜입력!$O:$O,"방문완료")+COUNTIFS(실시간콜입력!$B:$B,$A668,실시간콜입력!$E:$E,"E",실시간콜입력!$H:$H,$B668,실시간콜입력!$O:$O,"방문완료")</f>
        <v>0</v>
      </c>
      <c r="K668" s="29">
        <f t="shared" si="89"/>
        <v>0</v>
      </c>
      <c r="L668" s="33">
        <f>SUMIFS(실시간콜입력!$K:$K,실시간콜입력!$B:$B,$A668,실시간콜입력!$G:$G,$B668,실시간콜입력!$O:$O,"방문완료")+SUMIFS(실시간콜입력!$L:$L,실시간콜입력!$B:$B,$A668,실시간콜입력!$H:$H,$B668,실시간콜입력!$O:$O,"방문완료")</f>
        <v>0</v>
      </c>
      <c r="M668" s="29" t="str">
        <f t="shared" si="90"/>
        <v/>
      </c>
      <c r="N668" s="29"/>
    </row>
    <row r="669" spans="1:14" ht="19.5" hidden="1" customHeight="1" outlineLevel="1">
      <c r="A669" s="24">
        <f>IF(13&lt;=DAY(DATE(YEAR(설정_코스수당!$K$2),MONTH(설정_코스수당!$K$2)+1,0)),DATE(YEAR(설정_코스수당!$K$2),MONTH(설정_코스수당!$K$2),13),"")</f>
        <v>46186</v>
      </c>
      <c r="B669" s="23" t="s">
        <v>201</v>
      </c>
      <c r="C669" s="29"/>
      <c r="D669" s="29"/>
      <c r="E669" s="29" t="str">
        <f t="shared" si="88"/>
        <v/>
      </c>
      <c r="F669" s="29">
        <f>COUNTIFS(실시간콜입력!$B:$B,$A669,실시간콜입력!$E:$E,"A",실시간콜입력!$G:$G,$B669,실시간콜입력!$O:$O,"방문완료")+COUNTIFS(실시간콜입력!$B:$B,$A669,실시간콜입력!$E:$E,"A",실시간콜입력!$H:$H,$B669,실시간콜입력!$O:$O,"방문완료")</f>
        <v>0</v>
      </c>
      <c r="G669" s="29">
        <f>COUNTIFS(실시간콜입력!$B:$B,$A669,실시간콜입력!$E:$E,"B",실시간콜입력!$G:$G,$B669,실시간콜입력!$O:$O,"방문완료")+COUNTIFS(실시간콜입력!$B:$B,$A669,실시간콜입력!$E:$E,"B",실시간콜입력!$H:$H,$B669,실시간콜입력!$O:$O,"방문완료")</f>
        <v>0</v>
      </c>
      <c r="H669" s="29">
        <f>COUNTIFS(실시간콜입력!$B:$B,$A669,실시간콜입력!$E:$E,"C",실시간콜입력!$G:$G,$B669,실시간콜입력!$O:$O,"방문완료")+COUNTIFS(실시간콜입력!$B:$B,$A669,실시간콜입력!$E:$E,"C",실시간콜입력!$H:$H,$B669,실시간콜입력!$O:$O,"방문완료")</f>
        <v>0</v>
      </c>
      <c r="I669" s="29">
        <f>COUNTIFS(실시간콜입력!$B:$B,$A669,실시간콜입력!$E:$E,"D",실시간콜입력!$G:$G,$B669,실시간콜입력!$O:$O,"방문완료")+COUNTIFS(실시간콜입력!$B:$B,$A669,실시간콜입력!$E:$E,"D",실시간콜입력!$H:$H,$B669,실시간콜입력!$O:$O,"방문완료")</f>
        <v>0</v>
      </c>
      <c r="J669" s="29">
        <f>COUNTIFS(실시간콜입력!$B:$B,$A669,실시간콜입력!$E:$E,"E",실시간콜입력!$G:$G,$B669,실시간콜입력!$O:$O,"방문완료")+COUNTIFS(실시간콜입력!$B:$B,$A669,실시간콜입력!$E:$E,"E",실시간콜입력!$H:$H,$B669,실시간콜입력!$O:$O,"방문완료")</f>
        <v>0</v>
      </c>
      <c r="K669" s="29">
        <f t="shared" si="89"/>
        <v>0</v>
      </c>
      <c r="L669" s="27">
        <f>SUMIFS(실시간콜입력!$K:$K,실시간콜입력!$B:$B,$A669,실시간콜입력!$G:$G,$B669,실시간콜입력!$O:$O,"방문완료")+SUMIFS(실시간콜입력!$L:$L,실시간콜입력!$B:$B,$A669,실시간콜입력!$H:$H,$B669,실시간콜입력!$O:$O,"방문완료")</f>
        <v>0</v>
      </c>
      <c r="M669" s="29" t="str">
        <f t="shared" si="90"/>
        <v/>
      </c>
      <c r="N669" s="29"/>
    </row>
    <row r="670" spans="1:14" ht="19.5" hidden="1" customHeight="1" outlineLevel="1">
      <c r="A670" s="30">
        <f>IF(13&lt;=DAY(DATE(YEAR(설정_코스수당!$K$2),MONTH(설정_코스수당!$K$2)+1,0)),DATE(YEAR(설정_코스수당!$K$2),MONTH(설정_코스수당!$K$2),13),"")</f>
        <v>46186</v>
      </c>
      <c r="B670" s="29" t="s">
        <v>202</v>
      </c>
      <c r="C670" s="29"/>
      <c r="D670" s="29"/>
      <c r="E670" s="29" t="str">
        <f t="shared" si="88"/>
        <v/>
      </c>
      <c r="F670" s="29">
        <f>COUNTIFS(실시간콜입력!$B:$B,$A670,실시간콜입력!$E:$E,"A",실시간콜입력!$G:$G,$B670,실시간콜입력!$O:$O,"방문완료")+COUNTIFS(실시간콜입력!$B:$B,$A670,실시간콜입력!$E:$E,"A",실시간콜입력!$H:$H,$B670,실시간콜입력!$O:$O,"방문완료")</f>
        <v>0</v>
      </c>
      <c r="G670" s="29">
        <f>COUNTIFS(실시간콜입력!$B:$B,$A670,실시간콜입력!$E:$E,"B",실시간콜입력!$G:$G,$B670,실시간콜입력!$O:$O,"방문완료")+COUNTIFS(실시간콜입력!$B:$B,$A670,실시간콜입력!$E:$E,"B",실시간콜입력!$H:$H,$B670,실시간콜입력!$O:$O,"방문완료")</f>
        <v>0</v>
      </c>
      <c r="H670" s="29">
        <f>COUNTIFS(실시간콜입력!$B:$B,$A670,실시간콜입력!$E:$E,"C",실시간콜입력!$G:$G,$B670,실시간콜입력!$O:$O,"방문완료")+COUNTIFS(실시간콜입력!$B:$B,$A670,실시간콜입력!$E:$E,"C",실시간콜입력!$H:$H,$B670,실시간콜입력!$O:$O,"방문완료")</f>
        <v>0</v>
      </c>
      <c r="I670" s="29">
        <f>COUNTIFS(실시간콜입력!$B:$B,$A670,실시간콜입력!$E:$E,"D",실시간콜입력!$G:$G,$B670,실시간콜입력!$O:$O,"방문완료")+COUNTIFS(실시간콜입력!$B:$B,$A670,실시간콜입력!$E:$E,"D",실시간콜입력!$H:$H,$B670,실시간콜입력!$O:$O,"방문완료")</f>
        <v>0</v>
      </c>
      <c r="J670" s="29">
        <f>COUNTIFS(실시간콜입력!$B:$B,$A670,실시간콜입력!$E:$E,"E",실시간콜입력!$G:$G,$B670,실시간콜입력!$O:$O,"방문완료")+COUNTIFS(실시간콜입력!$B:$B,$A670,실시간콜입력!$E:$E,"E",실시간콜입력!$H:$H,$B670,실시간콜입력!$O:$O,"방문완료")</f>
        <v>0</v>
      </c>
      <c r="K670" s="29">
        <f t="shared" si="89"/>
        <v>0</v>
      </c>
      <c r="L670" s="33">
        <f>SUMIFS(실시간콜입력!$K:$K,실시간콜입력!$B:$B,$A670,실시간콜입력!$G:$G,$B670,실시간콜입력!$O:$O,"방문완료")+SUMIFS(실시간콜입력!$L:$L,실시간콜입력!$B:$B,$A670,실시간콜입력!$H:$H,$B670,실시간콜입력!$O:$O,"방문완료")</f>
        <v>0</v>
      </c>
      <c r="M670" s="29" t="str">
        <f t="shared" si="90"/>
        <v/>
      </c>
      <c r="N670" s="29"/>
    </row>
    <row r="671" spans="1:14" ht="19.5" hidden="1" customHeight="1" outlineLevel="1">
      <c r="A671" s="24">
        <f>IF(13&lt;=DAY(DATE(YEAR(설정_코스수당!$K$2),MONTH(설정_코스수당!$K$2)+1,0)),DATE(YEAR(설정_코스수당!$K$2),MONTH(설정_코스수당!$K$2),13),"")</f>
        <v>46186</v>
      </c>
      <c r="B671" s="23" t="s">
        <v>203</v>
      </c>
      <c r="C671" s="29"/>
      <c r="D671" s="29"/>
      <c r="E671" s="29" t="str">
        <f t="shared" si="88"/>
        <v/>
      </c>
      <c r="F671" s="29">
        <f>COUNTIFS(실시간콜입력!$B:$B,$A671,실시간콜입력!$E:$E,"A",실시간콜입력!$G:$G,$B671,실시간콜입력!$O:$O,"방문완료")+COUNTIFS(실시간콜입력!$B:$B,$A671,실시간콜입력!$E:$E,"A",실시간콜입력!$H:$H,$B671,실시간콜입력!$O:$O,"방문완료")</f>
        <v>0</v>
      </c>
      <c r="G671" s="29">
        <f>COUNTIFS(실시간콜입력!$B:$B,$A671,실시간콜입력!$E:$E,"B",실시간콜입력!$G:$G,$B671,실시간콜입력!$O:$O,"방문완료")+COUNTIFS(실시간콜입력!$B:$B,$A671,실시간콜입력!$E:$E,"B",실시간콜입력!$H:$H,$B671,실시간콜입력!$O:$O,"방문완료")</f>
        <v>0</v>
      </c>
      <c r="H671" s="29">
        <f>COUNTIFS(실시간콜입력!$B:$B,$A671,실시간콜입력!$E:$E,"C",실시간콜입력!$G:$G,$B671,실시간콜입력!$O:$O,"방문완료")+COUNTIFS(실시간콜입력!$B:$B,$A671,실시간콜입력!$E:$E,"C",실시간콜입력!$H:$H,$B671,실시간콜입력!$O:$O,"방문완료")</f>
        <v>0</v>
      </c>
      <c r="I671" s="29">
        <f>COUNTIFS(실시간콜입력!$B:$B,$A671,실시간콜입력!$E:$E,"D",실시간콜입력!$G:$G,$B671,실시간콜입력!$O:$O,"방문완료")+COUNTIFS(실시간콜입력!$B:$B,$A671,실시간콜입력!$E:$E,"D",실시간콜입력!$H:$H,$B671,실시간콜입력!$O:$O,"방문완료")</f>
        <v>0</v>
      </c>
      <c r="J671" s="29">
        <f>COUNTIFS(실시간콜입력!$B:$B,$A671,실시간콜입력!$E:$E,"E",실시간콜입력!$G:$G,$B671,실시간콜입력!$O:$O,"방문완료")+COUNTIFS(실시간콜입력!$B:$B,$A671,실시간콜입력!$E:$E,"E",실시간콜입력!$H:$H,$B671,실시간콜입력!$O:$O,"방문완료")</f>
        <v>0</v>
      </c>
      <c r="K671" s="29">
        <f t="shared" si="89"/>
        <v>0</v>
      </c>
      <c r="L671" s="27">
        <f>SUMIFS(실시간콜입력!$K:$K,실시간콜입력!$B:$B,$A671,실시간콜입력!$G:$G,$B671,실시간콜입력!$O:$O,"방문완료")+SUMIFS(실시간콜입력!$L:$L,실시간콜입력!$B:$B,$A671,실시간콜입력!$H:$H,$B671,실시간콜입력!$O:$O,"방문완료")</f>
        <v>0</v>
      </c>
      <c r="M671" s="29" t="str">
        <f t="shared" si="90"/>
        <v/>
      </c>
      <c r="N671" s="29"/>
    </row>
    <row r="672" spans="1:14" ht="19.5" hidden="1" customHeight="1" outlineLevel="1">
      <c r="A672" s="30">
        <f>IF(13&lt;=DAY(DATE(YEAR(설정_코스수당!$K$2),MONTH(설정_코스수당!$K$2)+1,0)),DATE(YEAR(설정_코스수당!$K$2),MONTH(설정_코스수당!$K$2),13),"")</f>
        <v>46186</v>
      </c>
      <c r="B672" s="29" t="s">
        <v>204</v>
      </c>
      <c r="C672" s="29"/>
      <c r="D672" s="29"/>
      <c r="E672" s="29" t="str">
        <f t="shared" si="88"/>
        <v/>
      </c>
      <c r="F672" s="29">
        <f>COUNTIFS(실시간콜입력!$B:$B,$A672,실시간콜입력!$E:$E,"A",실시간콜입력!$G:$G,$B672,실시간콜입력!$O:$O,"방문완료")+COUNTIFS(실시간콜입력!$B:$B,$A672,실시간콜입력!$E:$E,"A",실시간콜입력!$H:$H,$B672,실시간콜입력!$O:$O,"방문완료")</f>
        <v>0</v>
      </c>
      <c r="G672" s="29">
        <f>COUNTIFS(실시간콜입력!$B:$B,$A672,실시간콜입력!$E:$E,"B",실시간콜입력!$G:$G,$B672,실시간콜입력!$O:$O,"방문완료")+COUNTIFS(실시간콜입력!$B:$B,$A672,실시간콜입력!$E:$E,"B",실시간콜입력!$H:$H,$B672,실시간콜입력!$O:$O,"방문완료")</f>
        <v>0</v>
      </c>
      <c r="H672" s="29">
        <f>COUNTIFS(실시간콜입력!$B:$B,$A672,실시간콜입력!$E:$E,"C",실시간콜입력!$G:$G,$B672,실시간콜입력!$O:$O,"방문완료")+COUNTIFS(실시간콜입력!$B:$B,$A672,실시간콜입력!$E:$E,"C",실시간콜입력!$H:$H,$B672,실시간콜입력!$O:$O,"방문완료")</f>
        <v>0</v>
      </c>
      <c r="I672" s="29">
        <f>COUNTIFS(실시간콜입력!$B:$B,$A672,실시간콜입력!$E:$E,"D",실시간콜입력!$G:$G,$B672,실시간콜입력!$O:$O,"방문완료")+COUNTIFS(실시간콜입력!$B:$B,$A672,실시간콜입력!$E:$E,"D",실시간콜입력!$H:$H,$B672,실시간콜입력!$O:$O,"방문완료")</f>
        <v>0</v>
      </c>
      <c r="J672" s="29">
        <f>COUNTIFS(실시간콜입력!$B:$B,$A672,실시간콜입력!$E:$E,"E",실시간콜입력!$G:$G,$B672,실시간콜입력!$O:$O,"방문완료")+COUNTIFS(실시간콜입력!$B:$B,$A672,실시간콜입력!$E:$E,"E",실시간콜입력!$H:$H,$B672,실시간콜입력!$O:$O,"방문완료")</f>
        <v>0</v>
      </c>
      <c r="K672" s="29">
        <f t="shared" si="89"/>
        <v>0</v>
      </c>
      <c r="L672" s="33">
        <f>SUMIFS(실시간콜입력!$K:$K,실시간콜입력!$B:$B,$A672,실시간콜입력!$G:$G,$B672,실시간콜입력!$O:$O,"방문완료")+SUMIFS(실시간콜입력!$L:$L,실시간콜입력!$B:$B,$A672,실시간콜입력!$H:$H,$B672,실시간콜입력!$O:$O,"방문완료")</f>
        <v>0</v>
      </c>
      <c r="M672" s="29" t="str">
        <f t="shared" si="90"/>
        <v/>
      </c>
      <c r="N672" s="29"/>
    </row>
    <row r="673" spans="1:14" ht="19.5" hidden="1" customHeight="1" outlineLevel="1">
      <c r="A673" s="24">
        <f>IF(13&lt;=DAY(DATE(YEAR(설정_코스수당!$K$2),MONTH(설정_코스수당!$K$2)+1,0)),DATE(YEAR(설정_코스수당!$K$2),MONTH(설정_코스수당!$K$2),13),"")</f>
        <v>46186</v>
      </c>
      <c r="B673" s="23" t="s">
        <v>205</v>
      </c>
      <c r="C673" s="29"/>
      <c r="D673" s="29"/>
      <c r="E673" s="29" t="str">
        <f t="shared" si="88"/>
        <v/>
      </c>
      <c r="F673" s="29">
        <f>COUNTIFS(실시간콜입력!$B:$B,$A673,실시간콜입력!$E:$E,"A",실시간콜입력!$G:$G,$B673,실시간콜입력!$O:$O,"방문완료")+COUNTIFS(실시간콜입력!$B:$B,$A673,실시간콜입력!$E:$E,"A",실시간콜입력!$H:$H,$B673,실시간콜입력!$O:$O,"방문완료")</f>
        <v>0</v>
      </c>
      <c r="G673" s="29">
        <f>COUNTIFS(실시간콜입력!$B:$B,$A673,실시간콜입력!$E:$E,"B",실시간콜입력!$G:$G,$B673,실시간콜입력!$O:$O,"방문완료")+COUNTIFS(실시간콜입력!$B:$B,$A673,실시간콜입력!$E:$E,"B",실시간콜입력!$H:$H,$B673,실시간콜입력!$O:$O,"방문완료")</f>
        <v>0</v>
      </c>
      <c r="H673" s="29">
        <f>COUNTIFS(실시간콜입력!$B:$B,$A673,실시간콜입력!$E:$E,"C",실시간콜입력!$G:$G,$B673,실시간콜입력!$O:$O,"방문완료")+COUNTIFS(실시간콜입력!$B:$B,$A673,실시간콜입력!$E:$E,"C",실시간콜입력!$H:$H,$B673,실시간콜입력!$O:$O,"방문완료")</f>
        <v>0</v>
      </c>
      <c r="I673" s="29">
        <f>COUNTIFS(실시간콜입력!$B:$B,$A673,실시간콜입력!$E:$E,"D",실시간콜입력!$G:$G,$B673,실시간콜입력!$O:$O,"방문완료")+COUNTIFS(실시간콜입력!$B:$B,$A673,실시간콜입력!$E:$E,"D",실시간콜입력!$H:$H,$B673,실시간콜입력!$O:$O,"방문완료")</f>
        <v>0</v>
      </c>
      <c r="J673" s="29">
        <f>COUNTIFS(실시간콜입력!$B:$B,$A673,실시간콜입력!$E:$E,"E",실시간콜입력!$G:$G,$B673,실시간콜입력!$O:$O,"방문완료")+COUNTIFS(실시간콜입력!$B:$B,$A673,실시간콜입력!$E:$E,"E",실시간콜입력!$H:$H,$B673,실시간콜입력!$O:$O,"방문완료")</f>
        <v>0</v>
      </c>
      <c r="K673" s="29">
        <f t="shared" si="89"/>
        <v>0</v>
      </c>
      <c r="L673" s="27">
        <f>SUMIFS(실시간콜입력!$K:$K,실시간콜입력!$B:$B,$A673,실시간콜입력!$G:$G,$B673,실시간콜입력!$O:$O,"방문완료")+SUMIFS(실시간콜입력!$L:$L,실시간콜입력!$B:$B,$A673,실시간콜입력!$H:$H,$B673,실시간콜입력!$O:$O,"방문완료")</f>
        <v>0</v>
      </c>
      <c r="M673" s="29" t="str">
        <f t="shared" si="90"/>
        <v/>
      </c>
      <c r="N673" s="29"/>
    </row>
    <row r="674" spans="1:14" ht="19.5" hidden="1" customHeight="1" outlineLevel="1">
      <c r="A674" s="30">
        <f>IF(13&lt;=DAY(DATE(YEAR(설정_코스수당!$K$2),MONTH(설정_코스수당!$K$2)+1,0)),DATE(YEAR(설정_코스수당!$K$2),MONTH(설정_코스수당!$K$2),13),"")</f>
        <v>46186</v>
      </c>
      <c r="B674" s="29" t="s">
        <v>206</v>
      </c>
      <c r="C674" s="29"/>
      <c r="D674" s="29"/>
      <c r="E674" s="29" t="str">
        <f t="shared" si="88"/>
        <v/>
      </c>
      <c r="F674" s="29">
        <f>COUNTIFS(실시간콜입력!$B:$B,$A674,실시간콜입력!$E:$E,"A",실시간콜입력!$G:$G,$B674,실시간콜입력!$O:$O,"방문완료")+COUNTIFS(실시간콜입력!$B:$B,$A674,실시간콜입력!$E:$E,"A",실시간콜입력!$H:$H,$B674,실시간콜입력!$O:$O,"방문완료")</f>
        <v>0</v>
      </c>
      <c r="G674" s="29">
        <f>COUNTIFS(실시간콜입력!$B:$B,$A674,실시간콜입력!$E:$E,"B",실시간콜입력!$G:$G,$B674,실시간콜입력!$O:$O,"방문완료")+COUNTIFS(실시간콜입력!$B:$B,$A674,실시간콜입력!$E:$E,"B",실시간콜입력!$H:$H,$B674,실시간콜입력!$O:$O,"방문완료")</f>
        <v>0</v>
      </c>
      <c r="H674" s="29">
        <f>COUNTIFS(실시간콜입력!$B:$B,$A674,실시간콜입력!$E:$E,"C",실시간콜입력!$G:$G,$B674,실시간콜입력!$O:$O,"방문완료")+COUNTIFS(실시간콜입력!$B:$B,$A674,실시간콜입력!$E:$E,"C",실시간콜입력!$H:$H,$B674,실시간콜입력!$O:$O,"방문완료")</f>
        <v>0</v>
      </c>
      <c r="I674" s="29">
        <f>COUNTIFS(실시간콜입력!$B:$B,$A674,실시간콜입력!$E:$E,"D",실시간콜입력!$G:$G,$B674,실시간콜입력!$O:$O,"방문완료")+COUNTIFS(실시간콜입력!$B:$B,$A674,실시간콜입력!$E:$E,"D",실시간콜입력!$H:$H,$B674,실시간콜입력!$O:$O,"방문완료")</f>
        <v>0</v>
      </c>
      <c r="J674" s="29">
        <f>COUNTIFS(실시간콜입력!$B:$B,$A674,실시간콜입력!$E:$E,"E",실시간콜입력!$G:$G,$B674,실시간콜입력!$O:$O,"방문완료")+COUNTIFS(실시간콜입력!$B:$B,$A674,실시간콜입력!$E:$E,"E",실시간콜입력!$H:$H,$B674,실시간콜입력!$O:$O,"방문완료")</f>
        <v>0</v>
      </c>
      <c r="K674" s="29">
        <f t="shared" si="89"/>
        <v>0</v>
      </c>
      <c r="L674" s="33">
        <f>SUMIFS(실시간콜입력!$K:$K,실시간콜입력!$B:$B,$A674,실시간콜입력!$G:$G,$B674,실시간콜입력!$O:$O,"방문완료")+SUMIFS(실시간콜입력!$L:$L,실시간콜입력!$B:$B,$A674,실시간콜입력!$H:$H,$B674,실시간콜입력!$O:$O,"방문완료")</f>
        <v>0</v>
      </c>
      <c r="M674" s="29" t="str">
        <f t="shared" si="90"/>
        <v/>
      </c>
      <c r="N674" s="29"/>
    </row>
    <row r="675" spans="1:14" ht="19.5" hidden="1" customHeight="1" outlineLevel="1">
      <c r="A675" s="24">
        <f>IF(13&lt;=DAY(DATE(YEAR(설정_코스수당!$K$2),MONTH(설정_코스수당!$K$2)+1,0)),DATE(YEAR(설정_코스수당!$K$2),MONTH(설정_코스수당!$K$2),13),"")</f>
        <v>46186</v>
      </c>
      <c r="B675" s="23" t="s">
        <v>207</v>
      </c>
      <c r="C675" s="29"/>
      <c r="D675" s="29"/>
      <c r="E675" s="29" t="str">
        <f t="shared" si="88"/>
        <v/>
      </c>
      <c r="F675" s="29">
        <f>COUNTIFS(실시간콜입력!$B:$B,$A675,실시간콜입력!$E:$E,"A",실시간콜입력!$G:$G,$B675,실시간콜입력!$O:$O,"방문완료")+COUNTIFS(실시간콜입력!$B:$B,$A675,실시간콜입력!$E:$E,"A",실시간콜입력!$H:$H,$B675,실시간콜입력!$O:$O,"방문완료")</f>
        <v>0</v>
      </c>
      <c r="G675" s="29">
        <f>COUNTIFS(실시간콜입력!$B:$B,$A675,실시간콜입력!$E:$E,"B",실시간콜입력!$G:$G,$B675,실시간콜입력!$O:$O,"방문완료")+COUNTIFS(실시간콜입력!$B:$B,$A675,실시간콜입력!$E:$E,"B",실시간콜입력!$H:$H,$B675,실시간콜입력!$O:$O,"방문완료")</f>
        <v>0</v>
      </c>
      <c r="H675" s="29">
        <f>COUNTIFS(실시간콜입력!$B:$B,$A675,실시간콜입력!$E:$E,"C",실시간콜입력!$G:$G,$B675,실시간콜입력!$O:$O,"방문완료")+COUNTIFS(실시간콜입력!$B:$B,$A675,실시간콜입력!$E:$E,"C",실시간콜입력!$H:$H,$B675,실시간콜입력!$O:$O,"방문완료")</f>
        <v>0</v>
      </c>
      <c r="I675" s="29">
        <f>COUNTIFS(실시간콜입력!$B:$B,$A675,실시간콜입력!$E:$E,"D",실시간콜입력!$G:$G,$B675,실시간콜입력!$O:$O,"방문완료")+COUNTIFS(실시간콜입력!$B:$B,$A675,실시간콜입력!$E:$E,"D",실시간콜입력!$H:$H,$B675,실시간콜입력!$O:$O,"방문완료")</f>
        <v>0</v>
      </c>
      <c r="J675" s="29">
        <f>COUNTIFS(실시간콜입력!$B:$B,$A675,실시간콜입력!$E:$E,"E",실시간콜입력!$G:$G,$B675,실시간콜입력!$O:$O,"방문완료")+COUNTIFS(실시간콜입력!$B:$B,$A675,실시간콜입력!$E:$E,"E",실시간콜입력!$H:$H,$B675,실시간콜입력!$O:$O,"방문완료")</f>
        <v>0</v>
      </c>
      <c r="K675" s="29">
        <f t="shared" si="89"/>
        <v>0</v>
      </c>
      <c r="L675" s="27">
        <f>SUMIFS(실시간콜입력!$K:$K,실시간콜입력!$B:$B,$A675,실시간콜입력!$G:$G,$B675,실시간콜입력!$O:$O,"방문완료")+SUMIFS(실시간콜입력!$L:$L,실시간콜입력!$B:$B,$A675,실시간콜입력!$H:$H,$B675,실시간콜입력!$O:$O,"방문완료")</f>
        <v>0</v>
      </c>
      <c r="M675" s="29" t="str">
        <f t="shared" si="90"/>
        <v/>
      </c>
      <c r="N675" s="29"/>
    </row>
    <row r="676" spans="1:14" ht="19.5" hidden="1" customHeight="1" outlineLevel="1">
      <c r="A676" s="30">
        <f>IF(13&lt;=DAY(DATE(YEAR(설정_코스수당!$K$2),MONTH(설정_코스수당!$K$2)+1,0)),DATE(YEAR(설정_코스수당!$K$2),MONTH(설정_코스수당!$K$2),13),"")</f>
        <v>46186</v>
      </c>
      <c r="B676" s="29" t="s">
        <v>208</v>
      </c>
      <c r="C676" s="29"/>
      <c r="D676" s="29"/>
      <c r="E676" s="29" t="str">
        <f t="shared" si="88"/>
        <v/>
      </c>
      <c r="F676" s="29">
        <f>COUNTIFS(실시간콜입력!$B:$B,$A676,실시간콜입력!$E:$E,"A",실시간콜입력!$G:$G,$B676,실시간콜입력!$O:$O,"방문완료")+COUNTIFS(실시간콜입력!$B:$B,$A676,실시간콜입력!$E:$E,"A",실시간콜입력!$H:$H,$B676,실시간콜입력!$O:$O,"방문완료")</f>
        <v>0</v>
      </c>
      <c r="G676" s="29">
        <f>COUNTIFS(실시간콜입력!$B:$B,$A676,실시간콜입력!$E:$E,"B",실시간콜입력!$G:$G,$B676,실시간콜입력!$O:$O,"방문완료")+COUNTIFS(실시간콜입력!$B:$B,$A676,실시간콜입력!$E:$E,"B",실시간콜입력!$H:$H,$B676,실시간콜입력!$O:$O,"방문완료")</f>
        <v>0</v>
      </c>
      <c r="H676" s="29">
        <f>COUNTIFS(실시간콜입력!$B:$B,$A676,실시간콜입력!$E:$E,"C",실시간콜입력!$G:$G,$B676,실시간콜입력!$O:$O,"방문완료")+COUNTIFS(실시간콜입력!$B:$B,$A676,실시간콜입력!$E:$E,"C",실시간콜입력!$H:$H,$B676,실시간콜입력!$O:$O,"방문완료")</f>
        <v>0</v>
      </c>
      <c r="I676" s="29">
        <f>COUNTIFS(실시간콜입력!$B:$B,$A676,실시간콜입력!$E:$E,"D",실시간콜입력!$G:$G,$B676,실시간콜입력!$O:$O,"방문완료")+COUNTIFS(실시간콜입력!$B:$B,$A676,실시간콜입력!$E:$E,"D",실시간콜입력!$H:$H,$B676,실시간콜입력!$O:$O,"방문완료")</f>
        <v>0</v>
      </c>
      <c r="J676" s="29">
        <f>COUNTIFS(실시간콜입력!$B:$B,$A676,실시간콜입력!$E:$E,"E",실시간콜입력!$G:$G,$B676,실시간콜입력!$O:$O,"방문완료")+COUNTIFS(실시간콜입력!$B:$B,$A676,실시간콜입력!$E:$E,"E",실시간콜입력!$H:$H,$B676,실시간콜입력!$O:$O,"방문완료")</f>
        <v>0</v>
      </c>
      <c r="K676" s="29">
        <f t="shared" si="89"/>
        <v>0</v>
      </c>
      <c r="L676" s="33">
        <f>SUMIFS(실시간콜입력!$K:$K,실시간콜입력!$B:$B,$A676,실시간콜입력!$G:$G,$B676,실시간콜입력!$O:$O,"방문완료")+SUMIFS(실시간콜입력!$L:$L,실시간콜입력!$B:$B,$A676,실시간콜입력!$H:$H,$B676,실시간콜입력!$O:$O,"방문완료")</f>
        <v>0</v>
      </c>
      <c r="M676" s="29" t="str">
        <f t="shared" si="90"/>
        <v/>
      </c>
      <c r="N676" s="29"/>
    </row>
    <row r="677" spans="1:14" ht="19.5" hidden="1" customHeight="1" outlineLevel="1">
      <c r="A677" s="24">
        <f>IF(13&lt;=DAY(DATE(YEAR(설정_코스수당!$K$2),MONTH(설정_코스수당!$K$2)+1,0)),DATE(YEAR(설정_코스수당!$K$2),MONTH(설정_코스수당!$K$2),13),"")</f>
        <v>46186</v>
      </c>
      <c r="B677" s="23" t="s">
        <v>209</v>
      </c>
      <c r="C677" s="29"/>
      <c r="D677" s="29"/>
      <c r="E677" s="29" t="str">
        <f t="shared" si="88"/>
        <v/>
      </c>
      <c r="F677" s="29">
        <f>COUNTIFS(실시간콜입력!$B:$B,$A677,실시간콜입력!$E:$E,"A",실시간콜입력!$G:$G,$B677,실시간콜입력!$O:$O,"방문완료")+COUNTIFS(실시간콜입력!$B:$B,$A677,실시간콜입력!$E:$E,"A",실시간콜입력!$H:$H,$B677,실시간콜입력!$O:$O,"방문완료")</f>
        <v>0</v>
      </c>
      <c r="G677" s="29">
        <f>COUNTIFS(실시간콜입력!$B:$B,$A677,실시간콜입력!$E:$E,"B",실시간콜입력!$G:$G,$B677,실시간콜입력!$O:$O,"방문완료")+COUNTIFS(실시간콜입력!$B:$B,$A677,실시간콜입력!$E:$E,"B",실시간콜입력!$H:$H,$B677,실시간콜입력!$O:$O,"방문완료")</f>
        <v>0</v>
      </c>
      <c r="H677" s="29">
        <f>COUNTIFS(실시간콜입력!$B:$B,$A677,실시간콜입력!$E:$E,"C",실시간콜입력!$G:$G,$B677,실시간콜입력!$O:$O,"방문완료")+COUNTIFS(실시간콜입력!$B:$B,$A677,실시간콜입력!$E:$E,"C",실시간콜입력!$H:$H,$B677,실시간콜입력!$O:$O,"방문완료")</f>
        <v>0</v>
      </c>
      <c r="I677" s="29">
        <f>COUNTIFS(실시간콜입력!$B:$B,$A677,실시간콜입력!$E:$E,"D",실시간콜입력!$G:$G,$B677,실시간콜입력!$O:$O,"방문완료")+COUNTIFS(실시간콜입력!$B:$B,$A677,실시간콜입력!$E:$E,"D",실시간콜입력!$H:$H,$B677,실시간콜입력!$O:$O,"방문완료")</f>
        <v>0</v>
      </c>
      <c r="J677" s="29">
        <f>COUNTIFS(실시간콜입력!$B:$B,$A677,실시간콜입력!$E:$E,"E",실시간콜입력!$G:$G,$B677,실시간콜입력!$O:$O,"방문완료")+COUNTIFS(실시간콜입력!$B:$B,$A677,실시간콜입력!$E:$E,"E",실시간콜입력!$H:$H,$B677,실시간콜입력!$O:$O,"방문완료")</f>
        <v>0</v>
      </c>
      <c r="K677" s="29">
        <f t="shared" si="89"/>
        <v>0</v>
      </c>
      <c r="L677" s="27">
        <f>SUMIFS(실시간콜입력!$K:$K,실시간콜입력!$B:$B,$A677,실시간콜입력!$G:$G,$B677,실시간콜입력!$O:$O,"방문완료")+SUMIFS(실시간콜입력!$L:$L,실시간콜입력!$B:$B,$A677,실시간콜입력!$H:$H,$B677,실시간콜입력!$O:$O,"방문완료")</f>
        <v>0</v>
      </c>
      <c r="M677" s="29" t="str">
        <f t="shared" si="90"/>
        <v/>
      </c>
      <c r="N677" s="29"/>
    </row>
    <row r="678" spans="1:14" ht="19.5" hidden="1" customHeight="1" outlineLevel="1">
      <c r="A678" s="30">
        <f>IF(13&lt;=DAY(DATE(YEAR(설정_코스수당!$K$2),MONTH(설정_코스수당!$K$2)+1,0)),DATE(YEAR(설정_코스수당!$K$2),MONTH(설정_코스수당!$K$2),13),"")</f>
        <v>46186</v>
      </c>
      <c r="B678" s="29" t="s">
        <v>210</v>
      </c>
      <c r="C678" s="29"/>
      <c r="D678" s="29"/>
      <c r="E678" s="29" t="str">
        <f t="shared" si="88"/>
        <v/>
      </c>
      <c r="F678" s="29">
        <f>COUNTIFS(실시간콜입력!$B:$B,$A678,실시간콜입력!$E:$E,"A",실시간콜입력!$G:$G,$B678,실시간콜입력!$O:$O,"방문완료")+COUNTIFS(실시간콜입력!$B:$B,$A678,실시간콜입력!$E:$E,"A",실시간콜입력!$H:$H,$B678,실시간콜입력!$O:$O,"방문완료")</f>
        <v>0</v>
      </c>
      <c r="G678" s="29">
        <f>COUNTIFS(실시간콜입력!$B:$B,$A678,실시간콜입력!$E:$E,"B",실시간콜입력!$G:$G,$B678,실시간콜입력!$O:$O,"방문완료")+COUNTIFS(실시간콜입력!$B:$B,$A678,실시간콜입력!$E:$E,"B",실시간콜입력!$H:$H,$B678,실시간콜입력!$O:$O,"방문완료")</f>
        <v>0</v>
      </c>
      <c r="H678" s="29">
        <f>COUNTIFS(실시간콜입력!$B:$B,$A678,실시간콜입력!$E:$E,"C",실시간콜입력!$G:$G,$B678,실시간콜입력!$O:$O,"방문완료")+COUNTIFS(실시간콜입력!$B:$B,$A678,실시간콜입력!$E:$E,"C",실시간콜입력!$H:$H,$B678,실시간콜입력!$O:$O,"방문완료")</f>
        <v>0</v>
      </c>
      <c r="I678" s="29">
        <f>COUNTIFS(실시간콜입력!$B:$B,$A678,실시간콜입력!$E:$E,"D",실시간콜입력!$G:$G,$B678,실시간콜입력!$O:$O,"방문완료")+COUNTIFS(실시간콜입력!$B:$B,$A678,실시간콜입력!$E:$E,"D",실시간콜입력!$H:$H,$B678,실시간콜입력!$O:$O,"방문완료")</f>
        <v>0</v>
      </c>
      <c r="J678" s="29">
        <f>COUNTIFS(실시간콜입력!$B:$B,$A678,실시간콜입력!$E:$E,"E",실시간콜입력!$G:$G,$B678,실시간콜입력!$O:$O,"방문완료")+COUNTIFS(실시간콜입력!$B:$B,$A678,실시간콜입력!$E:$E,"E",실시간콜입력!$H:$H,$B678,실시간콜입력!$O:$O,"방문완료")</f>
        <v>0</v>
      </c>
      <c r="K678" s="29">
        <f t="shared" si="89"/>
        <v>0</v>
      </c>
      <c r="L678" s="33">
        <f>SUMIFS(실시간콜입력!$K:$K,실시간콜입력!$B:$B,$A678,실시간콜입력!$G:$G,$B678,실시간콜입력!$O:$O,"방문완료")+SUMIFS(실시간콜입력!$L:$L,실시간콜입력!$B:$B,$A678,실시간콜입력!$H:$H,$B678,실시간콜입력!$O:$O,"방문완료")</f>
        <v>0</v>
      </c>
      <c r="M678" s="29" t="str">
        <f t="shared" si="90"/>
        <v/>
      </c>
      <c r="N678" s="29"/>
    </row>
    <row r="679" spans="1:14" ht="19.5" hidden="1" customHeight="1" outlineLevel="1">
      <c r="A679" s="24">
        <f>IF(13&lt;=DAY(DATE(YEAR(설정_코스수당!$K$2),MONTH(설정_코스수당!$K$2)+1,0)),DATE(YEAR(설정_코스수당!$K$2),MONTH(설정_코스수당!$K$2),13),"")</f>
        <v>46186</v>
      </c>
      <c r="B679" s="23" t="s">
        <v>211</v>
      </c>
      <c r="C679" s="29"/>
      <c r="D679" s="29"/>
      <c r="E679" s="29" t="str">
        <f t="shared" si="88"/>
        <v/>
      </c>
      <c r="F679" s="29">
        <f>COUNTIFS(실시간콜입력!$B:$B,$A679,실시간콜입력!$E:$E,"A",실시간콜입력!$G:$G,$B679,실시간콜입력!$O:$O,"방문완료")+COUNTIFS(실시간콜입력!$B:$B,$A679,실시간콜입력!$E:$E,"A",실시간콜입력!$H:$H,$B679,실시간콜입력!$O:$O,"방문완료")</f>
        <v>0</v>
      </c>
      <c r="G679" s="29">
        <f>COUNTIFS(실시간콜입력!$B:$B,$A679,실시간콜입력!$E:$E,"B",실시간콜입력!$G:$G,$B679,실시간콜입력!$O:$O,"방문완료")+COUNTIFS(실시간콜입력!$B:$B,$A679,실시간콜입력!$E:$E,"B",실시간콜입력!$H:$H,$B679,실시간콜입력!$O:$O,"방문완료")</f>
        <v>0</v>
      </c>
      <c r="H679" s="29">
        <f>COUNTIFS(실시간콜입력!$B:$B,$A679,실시간콜입력!$E:$E,"C",실시간콜입력!$G:$G,$B679,실시간콜입력!$O:$O,"방문완료")+COUNTIFS(실시간콜입력!$B:$B,$A679,실시간콜입력!$E:$E,"C",실시간콜입력!$H:$H,$B679,실시간콜입력!$O:$O,"방문완료")</f>
        <v>0</v>
      </c>
      <c r="I679" s="29">
        <f>COUNTIFS(실시간콜입력!$B:$B,$A679,실시간콜입력!$E:$E,"D",실시간콜입력!$G:$G,$B679,실시간콜입력!$O:$O,"방문완료")+COUNTIFS(실시간콜입력!$B:$B,$A679,실시간콜입력!$E:$E,"D",실시간콜입력!$H:$H,$B679,실시간콜입력!$O:$O,"방문완료")</f>
        <v>0</v>
      </c>
      <c r="J679" s="29">
        <f>COUNTIFS(실시간콜입력!$B:$B,$A679,실시간콜입력!$E:$E,"E",실시간콜입력!$G:$G,$B679,실시간콜입력!$O:$O,"방문완료")+COUNTIFS(실시간콜입력!$B:$B,$A679,실시간콜입력!$E:$E,"E",실시간콜입력!$H:$H,$B679,실시간콜입력!$O:$O,"방문완료")</f>
        <v>0</v>
      </c>
      <c r="K679" s="29">
        <f t="shared" si="89"/>
        <v>0</v>
      </c>
      <c r="L679" s="27">
        <f>SUMIFS(실시간콜입력!$K:$K,실시간콜입력!$B:$B,$A679,실시간콜입력!$G:$G,$B679,실시간콜입력!$O:$O,"방문완료")+SUMIFS(실시간콜입력!$L:$L,실시간콜입력!$B:$B,$A679,실시간콜입력!$H:$H,$B679,실시간콜입력!$O:$O,"방문완료")</f>
        <v>0</v>
      </c>
      <c r="M679" s="29" t="str">
        <f t="shared" si="90"/>
        <v/>
      </c>
      <c r="N679" s="29"/>
    </row>
    <row r="680" spans="1:14" ht="19.5" hidden="1" customHeight="1" outlineLevel="1">
      <c r="A680" s="30">
        <f>IF(13&lt;=DAY(DATE(YEAR(설정_코스수당!$K$2),MONTH(설정_코스수당!$K$2)+1,0)),DATE(YEAR(설정_코스수당!$K$2),MONTH(설정_코스수당!$K$2),13),"")</f>
        <v>46186</v>
      </c>
      <c r="B680" s="29" t="s">
        <v>212</v>
      </c>
      <c r="C680" s="29"/>
      <c r="D680" s="29"/>
      <c r="E680" s="29" t="str">
        <f t="shared" si="88"/>
        <v/>
      </c>
      <c r="F680" s="29">
        <f>COUNTIFS(실시간콜입력!$B:$B,$A680,실시간콜입력!$E:$E,"A",실시간콜입력!$G:$G,$B680,실시간콜입력!$O:$O,"방문완료")+COUNTIFS(실시간콜입력!$B:$B,$A680,실시간콜입력!$E:$E,"A",실시간콜입력!$H:$H,$B680,실시간콜입력!$O:$O,"방문완료")</f>
        <v>0</v>
      </c>
      <c r="G680" s="29">
        <f>COUNTIFS(실시간콜입력!$B:$B,$A680,실시간콜입력!$E:$E,"B",실시간콜입력!$G:$G,$B680,실시간콜입력!$O:$O,"방문완료")+COUNTIFS(실시간콜입력!$B:$B,$A680,실시간콜입력!$E:$E,"B",실시간콜입력!$H:$H,$B680,실시간콜입력!$O:$O,"방문완료")</f>
        <v>0</v>
      </c>
      <c r="H680" s="29">
        <f>COUNTIFS(실시간콜입력!$B:$B,$A680,실시간콜입력!$E:$E,"C",실시간콜입력!$G:$G,$B680,실시간콜입력!$O:$O,"방문완료")+COUNTIFS(실시간콜입력!$B:$B,$A680,실시간콜입력!$E:$E,"C",실시간콜입력!$H:$H,$B680,실시간콜입력!$O:$O,"방문완료")</f>
        <v>0</v>
      </c>
      <c r="I680" s="29">
        <f>COUNTIFS(실시간콜입력!$B:$B,$A680,실시간콜입력!$E:$E,"D",실시간콜입력!$G:$G,$B680,실시간콜입력!$O:$O,"방문완료")+COUNTIFS(실시간콜입력!$B:$B,$A680,실시간콜입력!$E:$E,"D",실시간콜입력!$H:$H,$B680,실시간콜입력!$O:$O,"방문완료")</f>
        <v>0</v>
      </c>
      <c r="J680" s="29">
        <f>COUNTIFS(실시간콜입력!$B:$B,$A680,실시간콜입력!$E:$E,"E",실시간콜입력!$G:$G,$B680,실시간콜입력!$O:$O,"방문완료")+COUNTIFS(실시간콜입력!$B:$B,$A680,실시간콜입력!$E:$E,"E",실시간콜입력!$H:$H,$B680,실시간콜입력!$O:$O,"방문완료")</f>
        <v>0</v>
      </c>
      <c r="K680" s="29">
        <f t="shared" si="89"/>
        <v>0</v>
      </c>
      <c r="L680" s="33">
        <f>SUMIFS(실시간콜입력!$K:$K,실시간콜입력!$B:$B,$A680,실시간콜입력!$G:$G,$B680,실시간콜입력!$O:$O,"방문완료")+SUMIFS(실시간콜입력!$L:$L,실시간콜입력!$B:$B,$A680,실시간콜입력!$H:$H,$B680,실시간콜입력!$O:$O,"방문완료")</f>
        <v>0</v>
      </c>
      <c r="M680" s="29" t="str">
        <f t="shared" si="90"/>
        <v/>
      </c>
      <c r="N680" s="29"/>
    </row>
    <row r="681" spans="1:14" ht="21.75" customHeight="1" collapsed="1">
      <c r="A681" s="64">
        <f>IF(14&lt;=DAY(DATE(YEAR(설정_코스수당!$K$2),MONTH(설정_코스수당!$K$2)+1,0)),DATE(YEAR(설정_코스수당!$K$2),MONTH(설정_코스수당!$K$2),14),"")</f>
        <v>46187</v>
      </c>
      <c r="B681" s="65" t="str">
        <f>IF(A681="","","출근 "&amp;COUNTIF(C683:C732,"&lt;&gt;")&amp;"명")</f>
        <v>출근 0명</v>
      </c>
      <c r="C681" s="65" t="str">
        <f>IF(A681="","","만근 "&amp;COUNTIF(M683:M732,"인정")&amp;"명")</f>
        <v>만근 0명</v>
      </c>
      <c r="D681" s="65" t="str">
        <f>IFERROR("평균 "&amp;TEXT(AVERAGEIF(E683:E732,"&gt;0",E683:E732),"0.0")&amp;"h","평균 -")</f>
        <v>평균 -</v>
      </c>
      <c r="E681" s="65" t="s">
        <v>163</v>
      </c>
      <c r="F681" s="65">
        <f t="shared" ref="F681:L681" si="91">SUM(F683:F732)</f>
        <v>0</v>
      </c>
      <c r="G681" s="65">
        <f t="shared" si="91"/>
        <v>0</v>
      </c>
      <c r="H681" s="65">
        <f t="shared" si="91"/>
        <v>0</v>
      </c>
      <c r="I681" s="65">
        <f t="shared" si="91"/>
        <v>0</v>
      </c>
      <c r="J681" s="65">
        <f t="shared" si="91"/>
        <v>0</v>
      </c>
      <c r="K681" s="65">
        <f t="shared" si="91"/>
        <v>0</v>
      </c>
      <c r="L681" s="66">
        <f t="shared" si="91"/>
        <v>0</v>
      </c>
      <c r="M681" s="65">
        <f>COUNTIF(M683:M732,"인정")</f>
        <v>0</v>
      </c>
      <c r="N681" s="65" t="s">
        <v>164</v>
      </c>
    </row>
    <row r="682" spans="1:14" ht="19.5" hidden="1" customHeight="1" outlineLevel="1">
      <c r="A682" s="20" t="s">
        <v>42</v>
      </c>
      <c r="B682" s="20" t="s">
        <v>152</v>
      </c>
      <c r="C682" s="20" t="s">
        <v>153</v>
      </c>
      <c r="D682" s="20" t="s">
        <v>154</v>
      </c>
      <c r="E682" s="20" t="s">
        <v>155</v>
      </c>
      <c r="F682" s="20" t="s">
        <v>156</v>
      </c>
      <c r="G682" s="20" t="s">
        <v>157</v>
      </c>
      <c r="H682" s="20" t="s">
        <v>158</v>
      </c>
      <c r="I682" s="20" t="s">
        <v>159</v>
      </c>
      <c r="J682" s="20" t="s">
        <v>160</v>
      </c>
      <c r="K682" s="20" t="s">
        <v>118</v>
      </c>
      <c r="L682" s="20" t="s">
        <v>161</v>
      </c>
      <c r="M682" s="20" t="s">
        <v>162</v>
      </c>
      <c r="N682" s="20" t="s">
        <v>95</v>
      </c>
    </row>
    <row r="683" spans="1:14" ht="19.5" hidden="1" customHeight="1" outlineLevel="1">
      <c r="A683" s="24">
        <f>IF(14&lt;=DAY(DATE(YEAR(설정_코스수당!$K$2),MONTH(설정_코스수당!$K$2)+1,0)),DATE(YEAR(설정_코스수당!$K$2),MONTH(설정_코스수당!$K$2),14),"")</f>
        <v>46187</v>
      </c>
      <c r="B683" s="23" t="s">
        <v>47</v>
      </c>
      <c r="C683" s="23"/>
      <c r="D683" s="23"/>
      <c r="E683" s="23" t="str">
        <f t="shared" ref="E683:E714" si="92">IF(AND(C683&lt;&gt;"",D683&lt;&gt;""),IF(D683&lt;C683,D683+1-C683,D683-C683)*24,"")</f>
        <v/>
      </c>
      <c r="F683" s="23">
        <f>COUNTIFS(실시간콜입력!$B:$B,$A683,실시간콜입력!$E:$E,"A",실시간콜입력!$G:$G,$B683,실시간콜입력!$O:$O,"방문완료")+COUNTIFS(실시간콜입력!$B:$B,$A683,실시간콜입력!$E:$E,"A",실시간콜입력!$H:$H,$B683,실시간콜입력!$O:$O,"방문완료")</f>
        <v>0</v>
      </c>
      <c r="G683" s="23">
        <f>COUNTIFS(실시간콜입력!$B:$B,$A683,실시간콜입력!$E:$E,"B",실시간콜입력!$G:$G,$B683,실시간콜입력!$O:$O,"방문완료")+COUNTIFS(실시간콜입력!$B:$B,$A683,실시간콜입력!$E:$E,"B",실시간콜입력!$H:$H,$B683,실시간콜입력!$O:$O,"방문완료")</f>
        <v>0</v>
      </c>
      <c r="H683" s="23">
        <f>COUNTIFS(실시간콜입력!$B:$B,$A683,실시간콜입력!$E:$E,"C",실시간콜입력!$G:$G,$B683,실시간콜입력!$O:$O,"방문완료")+COUNTIFS(실시간콜입력!$B:$B,$A683,실시간콜입력!$E:$E,"C",실시간콜입력!$H:$H,$B683,실시간콜입력!$O:$O,"방문완료")</f>
        <v>0</v>
      </c>
      <c r="I683" s="23">
        <f>COUNTIFS(실시간콜입력!$B:$B,$A683,실시간콜입력!$E:$E,"D",실시간콜입력!$G:$G,$B683,실시간콜입력!$O:$O,"방문완료")+COUNTIFS(실시간콜입력!$B:$B,$A683,실시간콜입력!$E:$E,"D",실시간콜입력!$H:$H,$B683,실시간콜입력!$O:$O,"방문완료")</f>
        <v>0</v>
      </c>
      <c r="J683" s="23">
        <f>COUNTIFS(실시간콜입력!$B:$B,$A683,실시간콜입력!$E:$E,"E",실시간콜입력!$G:$G,$B683,실시간콜입력!$O:$O,"방문완료")+COUNTIFS(실시간콜입력!$B:$B,$A683,실시간콜입력!$E:$E,"E",실시간콜입력!$H:$H,$B683,실시간콜입력!$O:$O,"방문완료")</f>
        <v>0</v>
      </c>
      <c r="K683" s="23">
        <f t="shared" ref="K683:K714" si="93">SUM(F683:J683)</f>
        <v>0</v>
      </c>
      <c r="L683" s="27">
        <f>SUMIFS(실시간콜입력!$K:$K,실시간콜입력!$B:$B,$A683,실시간콜입력!$G:$G,$B683,실시간콜입력!$O:$O,"방문완료")+SUMIFS(실시간콜입력!$L:$L,실시간콜입력!$B:$B,$A683,실시간콜입력!$H:$H,$B683,실시간콜입력!$O:$O,"방문완료")</f>
        <v>0</v>
      </c>
      <c r="M683" s="23" t="str">
        <f t="shared" ref="M683:M714" si="94">IF(AND(ISNUMBER(E683),E683&gt;=8),"인정","")</f>
        <v/>
      </c>
      <c r="N683" s="23"/>
    </row>
    <row r="684" spans="1:14" ht="19.5" hidden="1" customHeight="1" outlineLevel="1">
      <c r="A684" s="30">
        <f>IF(14&lt;=DAY(DATE(YEAR(설정_코스수당!$K$2),MONTH(설정_코스수당!$K$2)+1,0)),DATE(YEAR(설정_코스수당!$K$2),MONTH(설정_코스수당!$K$2),14),"")</f>
        <v>46187</v>
      </c>
      <c r="B684" s="29" t="s">
        <v>48</v>
      </c>
      <c r="C684" s="29"/>
      <c r="D684" s="29"/>
      <c r="E684" s="29" t="str">
        <f t="shared" si="92"/>
        <v/>
      </c>
      <c r="F684" s="29">
        <f>COUNTIFS(실시간콜입력!$B:$B,$A684,실시간콜입력!$E:$E,"A",실시간콜입력!$G:$G,$B684,실시간콜입력!$O:$O,"방문완료")+COUNTIFS(실시간콜입력!$B:$B,$A684,실시간콜입력!$E:$E,"A",실시간콜입력!$H:$H,$B684,실시간콜입력!$O:$O,"방문완료")</f>
        <v>0</v>
      </c>
      <c r="G684" s="29">
        <f>COUNTIFS(실시간콜입력!$B:$B,$A684,실시간콜입력!$E:$E,"B",실시간콜입력!$G:$G,$B684,실시간콜입력!$O:$O,"방문완료")+COUNTIFS(실시간콜입력!$B:$B,$A684,실시간콜입력!$E:$E,"B",실시간콜입력!$H:$H,$B684,실시간콜입력!$O:$O,"방문완료")</f>
        <v>0</v>
      </c>
      <c r="H684" s="29">
        <f>COUNTIFS(실시간콜입력!$B:$B,$A684,실시간콜입력!$E:$E,"C",실시간콜입력!$G:$G,$B684,실시간콜입력!$O:$O,"방문완료")+COUNTIFS(실시간콜입력!$B:$B,$A684,실시간콜입력!$E:$E,"C",실시간콜입력!$H:$H,$B684,실시간콜입력!$O:$O,"방문완료")</f>
        <v>0</v>
      </c>
      <c r="I684" s="29">
        <f>COUNTIFS(실시간콜입력!$B:$B,$A684,실시간콜입력!$E:$E,"D",실시간콜입력!$G:$G,$B684,실시간콜입력!$O:$O,"방문완료")+COUNTIFS(실시간콜입력!$B:$B,$A684,실시간콜입력!$E:$E,"D",실시간콜입력!$H:$H,$B684,실시간콜입력!$O:$O,"방문완료")</f>
        <v>0</v>
      </c>
      <c r="J684" s="29">
        <f>COUNTIFS(실시간콜입력!$B:$B,$A684,실시간콜입력!$E:$E,"E",실시간콜입력!$G:$G,$B684,실시간콜입력!$O:$O,"방문완료")+COUNTIFS(실시간콜입력!$B:$B,$A684,실시간콜입력!$E:$E,"E",실시간콜입력!$H:$H,$B684,실시간콜입력!$O:$O,"방문완료")</f>
        <v>0</v>
      </c>
      <c r="K684" s="29">
        <f t="shared" si="93"/>
        <v>0</v>
      </c>
      <c r="L684" s="33">
        <f>SUMIFS(실시간콜입력!$K:$K,실시간콜입력!$B:$B,$A684,실시간콜입력!$G:$G,$B684,실시간콜입력!$O:$O,"방문완료")+SUMIFS(실시간콜입력!$L:$L,실시간콜입력!$B:$B,$A684,실시간콜입력!$H:$H,$B684,실시간콜입력!$O:$O,"방문완료")</f>
        <v>0</v>
      </c>
      <c r="M684" s="29" t="str">
        <f t="shared" si="94"/>
        <v/>
      </c>
      <c r="N684" s="29"/>
    </row>
    <row r="685" spans="1:14" ht="19.5" hidden="1" customHeight="1" outlineLevel="1">
      <c r="A685" s="24">
        <f>IF(14&lt;=DAY(DATE(YEAR(설정_코스수당!$K$2),MONTH(설정_코스수당!$K$2)+1,0)),DATE(YEAR(설정_코스수당!$K$2),MONTH(설정_코스수당!$K$2),14),"")</f>
        <v>46187</v>
      </c>
      <c r="B685" s="23" t="s">
        <v>165</v>
      </c>
      <c r="C685" s="29"/>
      <c r="D685" s="29"/>
      <c r="E685" s="29" t="str">
        <f t="shared" si="92"/>
        <v/>
      </c>
      <c r="F685" s="29">
        <f>COUNTIFS(실시간콜입력!$B:$B,$A685,실시간콜입력!$E:$E,"A",실시간콜입력!$G:$G,$B685,실시간콜입력!$O:$O,"방문완료")+COUNTIFS(실시간콜입력!$B:$B,$A685,실시간콜입력!$E:$E,"A",실시간콜입력!$H:$H,$B685,실시간콜입력!$O:$O,"방문완료")</f>
        <v>0</v>
      </c>
      <c r="G685" s="29">
        <f>COUNTIFS(실시간콜입력!$B:$B,$A685,실시간콜입력!$E:$E,"B",실시간콜입력!$G:$G,$B685,실시간콜입력!$O:$O,"방문완료")+COUNTIFS(실시간콜입력!$B:$B,$A685,실시간콜입력!$E:$E,"B",실시간콜입력!$H:$H,$B685,실시간콜입력!$O:$O,"방문완료")</f>
        <v>0</v>
      </c>
      <c r="H685" s="29">
        <f>COUNTIFS(실시간콜입력!$B:$B,$A685,실시간콜입력!$E:$E,"C",실시간콜입력!$G:$G,$B685,실시간콜입력!$O:$O,"방문완료")+COUNTIFS(실시간콜입력!$B:$B,$A685,실시간콜입력!$E:$E,"C",실시간콜입력!$H:$H,$B685,실시간콜입력!$O:$O,"방문완료")</f>
        <v>0</v>
      </c>
      <c r="I685" s="29">
        <f>COUNTIFS(실시간콜입력!$B:$B,$A685,실시간콜입력!$E:$E,"D",실시간콜입력!$G:$G,$B685,실시간콜입력!$O:$O,"방문완료")+COUNTIFS(실시간콜입력!$B:$B,$A685,실시간콜입력!$E:$E,"D",실시간콜입력!$H:$H,$B685,실시간콜입력!$O:$O,"방문완료")</f>
        <v>0</v>
      </c>
      <c r="J685" s="29">
        <f>COUNTIFS(실시간콜입력!$B:$B,$A685,실시간콜입력!$E:$E,"E",실시간콜입력!$G:$G,$B685,실시간콜입력!$O:$O,"방문완료")+COUNTIFS(실시간콜입력!$B:$B,$A685,실시간콜입력!$E:$E,"E",실시간콜입력!$H:$H,$B685,실시간콜입력!$O:$O,"방문완료")</f>
        <v>0</v>
      </c>
      <c r="K685" s="29">
        <f t="shared" si="93"/>
        <v>0</v>
      </c>
      <c r="L685" s="27">
        <f>SUMIFS(실시간콜입력!$K:$K,실시간콜입력!$B:$B,$A685,실시간콜입력!$G:$G,$B685,실시간콜입력!$O:$O,"방문완료")+SUMIFS(실시간콜입력!$L:$L,실시간콜입력!$B:$B,$A685,실시간콜입력!$H:$H,$B685,실시간콜입력!$O:$O,"방문완료")</f>
        <v>0</v>
      </c>
      <c r="M685" s="29" t="str">
        <f t="shared" si="94"/>
        <v/>
      </c>
      <c r="N685" s="29"/>
    </row>
    <row r="686" spans="1:14" ht="19.5" hidden="1" customHeight="1" outlineLevel="1">
      <c r="A686" s="30">
        <f>IF(14&lt;=DAY(DATE(YEAR(설정_코스수당!$K$2),MONTH(설정_코스수당!$K$2)+1,0)),DATE(YEAR(설정_코스수당!$K$2),MONTH(설정_코스수당!$K$2),14),"")</f>
        <v>46187</v>
      </c>
      <c r="B686" s="29" t="s">
        <v>166</v>
      </c>
      <c r="C686" s="29"/>
      <c r="D686" s="29"/>
      <c r="E686" s="29" t="str">
        <f t="shared" si="92"/>
        <v/>
      </c>
      <c r="F686" s="29">
        <f>COUNTIFS(실시간콜입력!$B:$B,$A686,실시간콜입력!$E:$E,"A",실시간콜입력!$G:$G,$B686,실시간콜입력!$O:$O,"방문완료")+COUNTIFS(실시간콜입력!$B:$B,$A686,실시간콜입력!$E:$E,"A",실시간콜입력!$H:$H,$B686,실시간콜입력!$O:$O,"방문완료")</f>
        <v>0</v>
      </c>
      <c r="G686" s="29">
        <f>COUNTIFS(실시간콜입력!$B:$B,$A686,실시간콜입력!$E:$E,"B",실시간콜입력!$G:$G,$B686,실시간콜입력!$O:$O,"방문완료")+COUNTIFS(실시간콜입력!$B:$B,$A686,실시간콜입력!$E:$E,"B",실시간콜입력!$H:$H,$B686,실시간콜입력!$O:$O,"방문완료")</f>
        <v>0</v>
      </c>
      <c r="H686" s="29">
        <f>COUNTIFS(실시간콜입력!$B:$B,$A686,실시간콜입력!$E:$E,"C",실시간콜입력!$G:$G,$B686,실시간콜입력!$O:$O,"방문완료")+COUNTIFS(실시간콜입력!$B:$B,$A686,실시간콜입력!$E:$E,"C",실시간콜입력!$H:$H,$B686,실시간콜입력!$O:$O,"방문완료")</f>
        <v>0</v>
      </c>
      <c r="I686" s="29">
        <f>COUNTIFS(실시간콜입력!$B:$B,$A686,실시간콜입력!$E:$E,"D",실시간콜입력!$G:$G,$B686,실시간콜입력!$O:$O,"방문완료")+COUNTIFS(실시간콜입력!$B:$B,$A686,실시간콜입력!$E:$E,"D",실시간콜입력!$H:$H,$B686,실시간콜입력!$O:$O,"방문완료")</f>
        <v>0</v>
      </c>
      <c r="J686" s="29">
        <f>COUNTIFS(실시간콜입력!$B:$B,$A686,실시간콜입력!$E:$E,"E",실시간콜입력!$G:$G,$B686,실시간콜입력!$O:$O,"방문완료")+COUNTIFS(실시간콜입력!$B:$B,$A686,실시간콜입력!$E:$E,"E",실시간콜입력!$H:$H,$B686,실시간콜입력!$O:$O,"방문완료")</f>
        <v>0</v>
      </c>
      <c r="K686" s="29">
        <f t="shared" si="93"/>
        <v>0</v>
      </c>
      <c r="L686" s="33">
        <f>SUMIFS(실시간콜입력!$K:$K,실시간콜입력!$B:$B,$A686,실시간콜입력!$G:$G,$B686,실시간콜입력!$O:$O,"방문완료")+SUMIFS(실시간콜입력!$L:$L,실시간콜입력!$B:$B,$A686,실시간콜입력!$H:$H,$B686,실시간콜입력!$O:$O,"방문완료")</f>
        <v>0</v>
      </c>
      <c r="M686" s="29" t="str">
        <f t="shared" si="94"/>
        <v/>
      </c>
      <c r="N686" s="29"/>
    </row>
    <row r="687" spans="1:14" ht="19.5" hidden="1" customHeight="1" outlineLevel="1">
      <c r="A687" s="24">
        <f>IF(14&lt;=DAY(DATE(YEAR(설정_코스수당!$K$2),MONTH(설정_코스수당!$K$2)+1,0)),DATE(YEAR(설정_코스수당!$K$2),MONTH(설정_코스수당!$K$2),14),"")</f>
        <v>46187</v>
      </c>
      <c r="B687" s="23" t="s">
        <v>167</v>
      </c>
      <c r="C687" s="29"/>
      <c r="D687" s="29"/>
      <c r="E687" s="29" t="str">
        <f t="shared" si="92"/>
        <v/>
      </c>
      <c r="F687" s="29">
        <f>COUNTIFS(실시간콜입력!$B:$B,$A687,실시간콜입력!$E:$E,"A",실시간콜입력!$G:$G,$B687,실시간콜입력!$O:$O,"방문완료")+COUNTIFS(실시간콜입력!$B:$B,$A687,실시간콜입력!$E:$E,"A",실시간콜입력!$H:$H,$B687,실시간콜입력!$O:$O,"방문완료")</f>
        <v>0</v>
      </c>
      <c r="G687" s="29">
        <f>COUNTIFS(실시간콜입력!$B:$B,$A687,실시간콜입력!$E:$E,"B",실시간콜입력!$G:$G,$B687,실시간콜입력!$O:$O,"방문완료")+COUNTIFS(실시간콜입력!$B:$B,$A687,실시간콜입력!$E:$E,"B",실시간콜입력!$H:$H,$B687,실시간콜입력!$O:$O,"방문완료")</f>
        <v>0</v>
      </c>
      <c r="H687" s="29">
        <f>COUNTIFS(실시간콜입력!$B:$B,$A687,실시간콜입력!$E:$E,"C",실시간콜입력!$G:$G,$B687,실시간콜입력!$O:$O,"방문완료")+COUNTIFS(실시간콜입력!$B:$B,$A687,실시간콜입력!$E:$E,"C",실시간콜입력!$H:$H,$B687,실시간콜입력!$O:$O,"방문완료")</f>
        <v>0</v>
      </c>
      <c r="I687" s="29">
        <f>COUNTIFS(실시간콜입력!$B:$B,$A687,실시간콜입력!$E:$E,"D",실시간콜입력!$G:$G,$B687,실시간콜입력!$O:$O,"방문완료")+COUNTIFS(실시간콜입력!$B:$B,$A687,실시간콜입력!$E:$E,"D",실시간콜입력!$H:$H,$B687,실시간콜입력!$O:$O,"방문완료")</f>
        <v>0</v>
      </c>
      <c r="J687" s="29">
        <f>COUNTIFS(실시간콜입력!$B:$B,$A687,실시간콜입력!$E:$E,"E",실시간콜입력!$G:$G,$B687,실시간콜입력!$O:$O,"방문완료")+COUNTIFS(실시간콜입력!$B:$B,$A687,실시간콜입력!$E:$E,"E",실시간콜입력!$H:$H,$B687,실시간콜입력!$O:$O,"방문완료")</f>
        <v>0</v>
      </c>
      <c r="K687" s="29">
        <f t="shared" si="93"/>
        <v>0</v>
      </c>
      <c r="L687" s="27">
        <f>SUMIFS(실시간콜입력!$K:$K,실시간콜입력!$B:$B,$A687,실시간콜입력!$G:$G,$B687,실시간콜입력!$O:$O,"방문완료")+SUMIFS(실시간콜입력!$L:$L,실시간콜입력!$B:$B,$A687,실시간콜입력!$H:$H,$B687,실시간콜입력!$O:$O,"방문완료")</f>
        <v>0</v>
      </c>
      <c r="M687" s="29" t="str">
        <f t="shared" si="94"/>
        <v/>
      </c>
      <c r="N687" s="29"/>
    </row>
    <row r="688" spans="1:14" ht="19.5" hidden="1" customHeight="1" outlineLevel="1">
      <c r="A688" s="30">
        <f>IF(14&lt;=DAY(DATE(YEAR(설정_코스수당!$K$2),MONTH(설정_코스수당!$K$2)+1,0)),DATE(YEAR(설정_코스수당!$K$2),MONTH(설정_코스수당!$K$2),14),"")</f>
        <v>46187</v>
      </c>
      <c r="B688" s="29" t="s">
        <v>168</v>
      </c>
      <c r="C688" s="29"/>
      <c r="D688" s="29"/>
      <c r="E688" s="29" t="str">
        <f t="shared" si="92"/>
        <v/>
      </c>
      <c r="F688" s="29">
        <f>COUNTIFS(실시간콜입력!$B:$B,$A688,실시간콜입력!$E:$E,"A",실시간콜입력!$G:$G,$B688,실시간콜입력!$O:$O,"방문완료")+COUNTIFS(실시간콜입력!$B:$B,$A688,실시간콜입력!$E:$E,"A",실시간콜입력!$H:$H,$B688,실시간콜입력!$O:$O,"방문완료")</f>
        <v>0</v>
      </c>
      <c r="G688" s="29">
        <f>COUNTIFS(실시간콜입력!$B:$B,$A688,실시간콜입력!$E:$E,"B",실시간콜입력!$G:$G,$B688,실시간콜입력!$O:$O,"방문완료")+COUNTIFS(실시간콜입력!$B:$B,$A688,실시간콜입력!$E:$E,"B",실시간콜입력!$H:$H,$B688,실시간콜입력!$O:$O,"방문완료")</f>
        <v>0</v>
      </c>
      <c r="H688" s="29">
        <f>COUNTIFS(실시간콜입력!$B:$B,$A688,실시간콜입력!$E:$E,"C",실시간콜입력!$G:$G,$B688,실시간콜입력!$O:$O,"방문완료")+COUNTIFS(실시간콜입력!$B:$B,$A688,실시간콜입력!$E:$E,"C",실시간콜입력!$H:$H,$B688,실시간콜입력!$O:$O,"방문완료")</f>
        <v>0</v>
      </c>
      <c r="I688" s="29">
        <f>COUNTIFS(실시간콜입력!$B:$B,$A688,실시간콜입력!$E:$E,"D",실시간콜입력!$G:$G,$B688,실시간콜입력!$O:$O,"방문완료")+COUNTIFS(실시간콜입력!$B:$B,$A688,실시간콜입력!$E:$E,"D",실시간콜입력!$H:$H,$B688,실시간콜입력!$O:$O,"방문완료")</f>
        <v>0</v>
      </c>
      <c r="J688" s="29">
        <f>COUNTIFS(실시간콜입력!$B:$B,$A688,실시간콜입력!$E:$E,"E",실시간콜입력!$G:$G,$B688,실시간콜입력!$O:$O,"방문완료")+COUNTIFS(실시간콜입력!$B:$B,$A688,실시간콜입력!$E:$E,"E",실시간콜입력!$H:$H,$B688,실시간콜입력!$O:$O,"방문완료")</f>
        <v>0</v>
      </c>
      <c r="K688" s="29">
        <f t="shared" si="93"/>
        <v>0</v>
      </c>
      <c r="L688" s="33">
        <f>SUMIFS(실시간콜입력!$K:$K,실시간콜입력!$B:$B,$A688,실시간콜입력!$G:$G,$B688,실시간콜입력!$O:$O,"방문완료")+SUMIFS(실시간콜입력!$L:$L,실시간콜입력!$B:$B,$A688,실시간콜입력!$H:$H,$B688,실시간콜입력!$O:$O,"방문완료")</f>
        <v>0</v>
      </c>
      <c r="M688" s="29" t="str">
        <f t="shared" si="94"/>
        <v/>
      </c>
      <c r="N688" s="29"/>
    </row>
    <row r="689" spans="1:14" ht="19.5" hidden="1" customHeight="1" outlineLevel="1">
      <c r="A689" s="24">
        <f>IF(14&lt;=DAY(DATE(YEAR(설정_코스수당!$K$2),MONTH(설정_코스수당!$K$2)+1,0)),DATE(YEAR(설정_코스수당!$K$2),MONTH(설정_코스수당!$K$2),14),"")</f>
        <v>46187</v>
      </c>
      <c r="B689" s="23" t="s">
        <v>169</v>
      </c>
      <c r="C689" s="29"/>
      <c r="D689" s="29"/>
      <c r="E689" s="29" t="str">
        <f t="shared" si="92"/>
        <v/>
      </c>
      <c r="F689" s="29">
        <f>COUNTIFS(실시간콜입력!$B:$B,$A689,실시간콜입력!$E:$E,"A",실시간콜입력!$G:$G,$B689,실시간콜입력!$O:$O,"방문완료")+COUNTIFS(실시간콜입력!$B:$B,$A689,실시간콜입력!$E:$E,"A",실시간콜입력!$H:$H,$B689,실시간콜입력!$O:$O,"방문완료")</f>
        <v>0</v>
      </c>
      <c r="G689" s="29">
        <f>COUNTIFS(실시간콜입력!$B:$B,$A689,실시간콜입력!$E:$E,"B",실시간콜입력!$G:$G,$B689,실시간콜입력!$O:$O,"방문완료")+COUNTIFS(실시간콜입력!$B:$B,$A689,실시간콜입력!$E:$E,"B",실시간콜입력!$H:$H,$B689,실시간콜입력!$O:$O,"방문완료")</f>
        <v>0</v>
      </c>
      <c r="H689" s="29">
        <f>COUNTIFS(실시간콜입력!$B:$B,$A689,실시간콜입력!$E:$E,"C",실시간콜입력!$G:$G,$B689,실시간콜입력!$O:$O,"방문완료")+COUNTIFS(실시간콜입력!$B:$B,$A689,실시간콜입력!$E:$E,"C",실시간콜입력!$H:$H,$B689,실시간콜입력!$O:$O,"방문완료")</f>
        <v>0</v>
      </c>
      <c r="I689" s="29">
        <f>COUNTIFS(실시간콜입력!$B:$B,$A689,실시간콜입력!$E:$E,"D",실시간콜입력!$G:$G,$B689,실시간콜입력!$O:$O,"방문완료")+COUNTIFS(실시간콜입력!$B:$B,$A689,실시간콜입력!$E:$E,"D",실시간콜입력!$H:$H,$B689,실시간콜입력!$O:$O,"방문완료")</f>
        <v>0</v>
      </c>
      <c r="J689" s="29">
        <f>COUNTIFS(실시간콜입력!$B:$B,$A689,실시간콜입력!$E:$E,"E",실시간콜입력!$G:$G,$B689,실시간콜입력!$O:$O,"방문완료")+COUNTIFS(실시간콜입력!$B:$B,$A689,실시간콜입력!$E:$E,"E",실시간콜입력!$H:$H,$B689,실시간콜입력!$O:$O,"방문완료")</f>
        <v>0</v>
      </c>
      <c r="K689" s="29">
        <f t="shared" si="93"/>
        <v>0</v>
      </c>
      <c r="L689" s="27">
        <f>SUMIFS(실시간콜입력!$K:$K,실시간콜입력!$B:$B,$A689,실시간콜입력!$G:$G,$B689,실시간콜입력!$O:$O,"방문완료")+SUMIFS(실시간콜입력!$L:$L,실시간콜입력!$B:$B,$A689,실시간콜입력!$H:$H,$B689,실시간콜입력!$O:$O,"방문완료")</f>
        <v>0</v>
      </c>
      <c r="M689" s="29" t="str">
        <f t="shared" si="94"/>
        <v/>
      </c>
      <c r="N689" s="29"/>
    </row>
    <row r="690" spans="1:14" ht="19.5" hidden="1" customHeight="1" outlineLevel="1">
      <c r="A690" s="30">
        <f>IF(14&lt;=DAY(DATE(YEAR(설정_코스수당!$K$2),MONTH(설정_코스수당!$K$2)+1,0)),DATE(YEAR(설정_코스수당!$K$2),MONTH(설정_코스수당!$K$2),14),"")</f>
        <v>46187</v>
      </c>
      <c r="B690" s="29" t="s">
        <v>170</v>
      </c>
      <c r="C690" s="29"/>
      <c r="D690" s="29"/>
      <c r="E690" s="29" t="str">
        <f t="shared" si="92"/>
        <v/>
      </c>
      <c r="F690" s="29">
        <f>COUNTIFS(실시간콜입력!$B:$B,$A690,실시간콜입력!$E:$E,"A",실시간콜입력!$G:$G,$B690,실시간콜입력!$O:$O,"방문완료")+COUNTIFS(실시간콜입력!$B:$B,$A690,실시간콜입력!$E:$E,"A",실시간콜입력!$H:$H,$B690,실시간콜입력!$O:$O,"방문완료")</f>
        <v>0</v>
      </c>
      <c r="G690" s="29">
        <f>COUNTIFS(실시간콜입력!$B:$B,$A690,실시간콜입력!$E:$E,"B",실시간콜입력!$G:$G,$B690,실시간콜입력!$O:$O,"방문완료")+COUNTIFS(실시간콜입력!$B:$B,$A690,실시간콜입력!$E:$E,"B",실시간콜입력!$H:$H,$B690,실시간콜입력!$O:$O,"방문완료")</f>
        <v>0</v>
      </c>
      <c r="H690" s="29">
        <f>COUNTIFS(실시간콜입력!$B:$B,$A690,실시간콜입력!$E:$E,"C",실시간콜입력!$G:$G,$B690,실시간콜입력!$O:$O,"방문완료")+COUNTIFS(실시간콜입력!$B:$B,$A690,실시간콜입력!$E:$E,"C",실시간콜입력!$H:$H,$B690,실시간콜입력!$O:$O,"방문완료")</f>
        <v>0</v>
      </c>
      <c r="I690" s="29">
        <f>COUNTIFS(실시간콜입력!$B:$B,$A690,실시간콜입력!$E:$E,"D",실시간콜입력!$G:$G,$B690,실시간콜입력!$O:$O,"방문완료")+COUNTIFS(실시간콜입력!$B:$B,$A690,실시간콜입력!$E:$E,"D",실시간콜입력!$H:$H,$B690,실시간콜입력!$O:$O,"방문완료")</f>
        <v>0</v>
      </c>
      <c r="J690" s="29">
        <f>COUNTIFS(실시간콜입력!$B:$B,$A690,실시간콜입력!$E:$E,"E",실시간콜입력!$G:$G,$B690,실시간콜입력!$O:$O,"방문완료")+COUNTIFS(실시간콜입력!$B:$B,$A690,실시간콜입력!$E:$E,"E",실시간콜입력!$H:$H,$B690,실시간콜입력!$O:$O,"방문완료")</f>
        <v>0</v>
      </c>
      <c r="K690" s="29">
        <f t="shared" si="93"/>
        <v>0</v>
      </c>
      <c r="L690" s="33">
        <f>SUMIFS(실시간콜입력!$K:$K,실시간콜입력!$B:$B,$A690,실시간콜입력!$G:$G,$B690,실시간콜입력!$O:$O,"방문완료")+SUMIFS(실시간콜입력!$L:$L,실시간콜입력!$B:$B,$A690,실시간콜입력!$H:$H,$B690,실시간콜입력!$O:$O,"방문완료")</f>
        <v>0</v>
      </c>
      <c r="M690" s="29" t="str">
        <f t="shared" si="94"/>
        <v/>
      </c>
      <c r="N690" s="29"/>
    </row>
    <row r="691" spans="1:14" ht="19.5" hidden="1" customHeight="1" outlineLevel="1">
      <c r="A691" s="24">
        <f>IF(14&lt;=DAY(DATE(YEAR(설정_코스수당!$K$2),MONTH(설정_코스수당!$K$2)+1,0)),DATE(YEAR(설정_코스수당!$K$2),MONTH(설정_코스수당!$K$2),14),"")</f>
        <v>46187</v>
      </c>
      <c r="B691" s="23" t="s">
        <v>171</v>
      </c>
      <c r="C691" s="29"/>
      <c r="D691" s="29"/>
      <c r="E691" s="29" t="str">
        <f t="shared" si="92"/>
        <v/>
      </c>
      <c r="F691" s="29">
        <f>COUNTIFS(실시간콜입력!$B:$B,$A691,실시간콜입력!$E:$E,"A",실시간콜입력!$G:$G,$B691,실시간콜입력!$O:$O,"방문완료")+COUNTIFS(실시간콜입력!$B:$B,$A691,실시간콜입력!$E:$E,"A",실시간콜입력!$H:$H,$B691,실시간콜입력!$O:$O,"방문완료")</f>
        <v>0</v>
      </c>
      <c r="G691" s="29">
        <f>COUNTIFS(실시간콜입력!$B:$B,$A691,실시간콜입력!$E:$E,"B",실시간콜입력!$G:$G,$B691,실시간콜입력!$O:$O,"방문완료")+COUNTIFS(실시간콜입력!$B:$B,$A691,실시간콜입력!$E:$E,"B",실시간콜입력!$H:$H,$B691,실시간콜입력!$O:$O,"방문완료")</f>
        <v>0</v>
      </c>
      <c r="H691" s="29">
        <f>COUNTIFS(실시간콜입력!$B:$B,$A691,실시간콜입력!$E:$E,"C",실시간콜입력!$G:$G,$B691,실시간콜입력!$O:$O,"방문완료")+COUNTIFS(실시간콜입력!$B:$B,$A691,실시간콜입력!$E:$E,"C",실시간콜입력!$H:$H,$B691,실시간콜입력!$O:$O,"방문완료")</f>
        <v>0</v>
      </c>
      <c r="I691" s="29">
        <f>COUNTIFS(실시간콜입력!$B:$B,$A691,실시간콜입력!$E:$E,"D",실시간콜입력!$G:$G,$B691,실시간콜입력!$O:$O,"방문완료")+COUNTIFS(실시간콜입력!$B:$B,$A691,실시간콜입력!$E:$E,"D",실시간콜입력!$H:$H,$B691,실시간콜입력!$O:$O,"방문완료")</f>
        <v>0</v>
      </c>
      <c r="J691" s="29">
        <f>COUNTIFS(실시간콜입력!$B:$B,$A691,실시간콜입력!$E:$E,"E",실시간콜입력!$G:$G,$B691,실시간콜입력!$O:$O,"방문완료")+COUNTIFS(실시간콜입력!$B:$B,$A691,실시간콜입력!$E:$E,"E",실시간콜입력!$H:$H,$B691,실시간콜입력!$O:$O,"방문완료")</f>
        <v>0</v>
      </c>
      <c r="K691" s="29">
        <f t="shared" si="93"/>
        <v>0</v>
      </c>
      <c r="L691" s="27">
        <f>SUMIFS(실시간콜입력!$K:$K,실시간콜입력!$B:$B,$A691,실시간콜입력!$G:$G,$B691,실시간콜입력!$O:$O,"방문완료")+SUMIFS(실시간콜입력!$L:$L,실시간콜입력!$B:$B,$A691,실시간콜입력!$H:$H,$B691,실시간콜입력!$O:$O,"방문완료")</f>
        <v>0</v>
      </c>
      <c r="M691" s="29" t="str">
        <f t="shared" si="94"/>
        <v/>
      </c>
      <c r="N691" s="29"/>
    </row>
    <row r="692" spans="1:14" ht="19.5" hidden="1" customHeight="1" outlineLevel="1">
      <c r="A692" s="30">
        <f>IF(14&lt;=DAY(DATE(YEAR(설정_코스수당!$K$2),MONTH(설정_코스수당!$K$2)+1,0)),DATE(YEAR(설정_코스수당!$K$2),MONTH(설정_코스수당!$K$2),14),"")</f>
        <v>46187</v>
      </c>
      <c r="B692" s="29" t="s">
        <v>172</v>
      </c>
      <c r="C692" s="29"/>
      <c r="D692" s="29"/>
      <c r="E692" s="29" t="str">
        <f t="shared" si="92"/>
        <v/>
      </c>
      <c r="F692" s="29">
        <f>COUNTIFS(실시간콜입력!$B:$B,$A692,실시간콜입력!$E:$E,"A",실시간콜입력!$G:$G,$B692,실시간콜입력!$O:$O,"방문완료")+COUNTIFS(실시간콜입력!$B:$B,$A692,실시간콜입력!$E:$E,"A",실시간콜입력!$H:$H,$B692,실시간콜입력!$O:$O,"방문완료")</f>
        <v>0</v>
      </c>
      <c r="G692" s="29">
        <f>COUNTIFS(실시간콜입력!$B:$B,$A692,실시간콜입력!$E:$E,"B",실시간콜입력!$G:$G,$B692,실시간콜입력!$O:$O,"방문완료")+COUNTIFS(실시간콜입력!$B:$B,$A692,실시간콜입력!$E:$E,"B",실시간콜입력!$H:$H,$B692,실시간콜입력!$O:$O,"방문완료")</f>
        <v>0</v>
      </c>
      <c r="H692" s="29">
        <f>COUNTIFS(실시간콜입력!$B:$B,$A692,실시간콜입력!$E:$E,"C",실시간콜입력!$G:$G,$B692,실시간콜입력!$O:$O,"방문완료")+COUNTIFS(실시간콜입력!$B:$B,$A692,실시간콜입력!$E:$E,"C",실시간콜입력!$H:$H,$B692,실시간콜입력!$O:$O,"방문완료")</f>
        <v>0</v>
      </c>
      <c r="I692" s="29">
        <f>COUNTIFS(실시간콜입력!$B:$B,$A692,실시간콜입력!$E:$E,"D",실시간콜입력!$G:$G,$B692,실시간콜입력!$O:$O,"방문완료")+COUNTIFS(실시간콜입력!$B:$B,$A692,실시간콜입력!$E:$E,"D",실시간콜입력!$H:$H,$B692,실시간콜입력!$O:$O,"방문완료")</f>
        <v>0</v>
      </c>
      <c r="J692" s="29">
        <f>COUNTIFS(실시간콜입력!$B:$B,$A692,실시간콜입력!$E:$E,"E",실시간콜입력!$G:$G,$B692,실시간콜입력!$O:$O,"방문완료")+COUNTIFS(실시간콜입력!$B:$B,$A692,실시간콜입력!$E:$E,"E",실시간콜입력!$H:$H,$B692,실시간콜입력!$O:$O,"방문완료")</f>
        <v>0</v>
      </c>
      <c r="K692" s="29">
        <f t="shared" si="93"/>
        <v>0</v>
      </c>
      <c r="L692" s="33">
        <f>SUMIFS(실시간콜입력!$K:$K,실시간콜입력!$B:$B,$A692,실시간콜입력!$G:$G,$B692,실시간콜입력!$O:$O,"방문완료")+SUMIFS(실시간콜입력!$L:$L,실시간콜입력!$B:$B,$A692,실시간콜입력!$H:$H,$B692,실시간콜입력!$O:$O,"방문완료")</f>
        <v>0</v>
      </c>
      <c r="M692" s="29" t="str">
        <f t="shared" si="94"/>
        <v/>
      </c>
      <c r="N692" s="29"/>
    </row>
    <row r="693" spans="1:14" ht="19.5" hidden="1" customHeight="1" outlineLevel="1">
      <c r="A693" s="24">
        <f>IF(14&lt;=DAY(DATE(YEAR(설정_코스수당!$K$2),MONTH(설정_코스수당!$K$2)+1,0)),DATE(YEAR(설정_코스수당!$K$2),MONTH(설정_코스수당!$K$2),14),"")</f>
        <v>46187</v>
      </c>
      <c r="B693" s="23" t="s">
        <v>173</v>
      </c>
      <c r="C693" s="29"/>
      <c r="D693" s="29"/>
      <c r="E693" s="29" t="str">
        <f t="shared" si="92"/>
        <v/>
      </c>
      <c r="F693" s="29">
        <f>COUNTIFS(실시간콜입력!$B:$B,$A693,실시간콜입력!$E:$E,"A",실시간콜입력!$G:$G,$B693,실시간콜입력!$O:$O,"방문완료")+COUNTIFS(실시간콜입력!$B:$B,$A693,실시간콜입력!$E:$E,"A",실시간콜입력!$H:$H,$B693,실시간콜입력!$O:$O,"방문완료")</f>
        <v>0</v>
      </c>
      <c r="G693" s="29">
        <f>COUNTIFS(실시간콜입력!$B:$B,$A693,실시간콜입력!$E:$E,"B",실시간콜입력!$G:$G,$B693,실시간콜입력!$O:$O,"방문완료")+COUNTIFS(실시간콜입력!$B:$B,$A693,실시간콜입력!$E:$E,"B",실시간콜입력!$H:$H,$B693,실시간콜입력!$O:$O,"방문완료")</f>
        <v>0</v>
      </c>
      <c r="H693" s="29">
        <f>COUNTIFS(실시간콜입력!$B:$B,$A693,실시간콜입력!$E:$E,"C",실시간콜입력!$G:$G,$B693,실시간콜입력!$O:$O,"방문완료")+COUNTIFS(실시간콜입력!$B:$B,$A693,실시간콜입력!$E:$E,"C",실시간콜입력!$H:$H,$B693,실시간콜입력!$O:$O,"방문완료")</f>
        <v>0</v>
      </c>
      <c r="I693" s="29">
        <f>COUNTIFS(실시간콜입력!$B:$B,$A693,실시간콜입력!$E:$E,"D",실시간콜입력!$G:$G,$B693,실시간콜입력!$O:$O,"방문완료")+COUNTIFS(실시간콜입력!$B:$B,$A693,실시간콜입력!$E:$E,"D",실시간콜입력!$H:$H,$B693,실시간콜입력!$O:$O,"방문완료")</f>
        <v>0</v>
      </c>
      <c r="J693" s="29">
        <f>COUNTIFS(실시간콜입력!$B:$B,$A693,실시간콜입력!$E:$E,"E",실시간콜입력!$G:$G,$B693,실시간콜입력!$O:$O,"방문완료")+COUNTIFS(실시간콜입력!$B:$B,$A693,실시간콜입력!$E:$E,"E",실시간콜입력!$H:$H,$B693,실시간콜입력!$O:$O,"방문완료")</f>
        <v>0</v>
      </c>
      <c r="K693" s="29">
        <f t="shared" si="93"/>
        <v>0</v>
      </c>
      <c r="L693" s="27">
        <f>SUMIFS(실시간콜입력!$K:$K,실시간콜입력!$B:$B,$A693,실시간콜입력!$G:$G,$B693,실시간콜입력!$O:$O,"방문완료")+SUMIFS(실시간콜입력!$L:$L,실시간콜입력!$B:$B,$A693,실시간콜입력!$H:$H,$B693,실시간콜입력!$O:$O,"방문완료")</f>
        <v>0</v>
      </c>
      <c r="M693" s="29" t="str">
        <f t="shared" si="94"/>
        <v/>
      </c>
      <c r="N693" s="29"/>
    </row>
    <row r="694" spans="1:14" ht="19.5" hidden="1" customHeight="1" outlineLevel="1">
      <c r="A694" s="30">
        <f>IF(14&lt;=DAY(DATE(YEAR(설정_코스수당!$K$2),MONTH(설정_코스수당!$K$2)+1,0)),DATE(YEAR(설정_코스수당!$K$2),MONTH(설정_코스수당!$K$2),14),"")</f>
        <v>46187</v>
      </c>
      <c r="B694" s="29" t="s">
        <v>174</v>
      </c>
      <c r="C694" s="29"/>
      <c r="D694" s="29"/>
      <c r="E694" s="29" t="str">
        <f t="shared" si="92"/>
        <v/>
      </c>
      <c r="F694" s="29">
        <f>COUNTIFS(실시간콜입력!$B:$B,$A694,실시간콜입력!$E:$E,"A",실시간콜입력!$G:$G,$B694,실시간콜입력!$O:$O,"방문완료")+COUNTIFS(실시간콜입력!$B:$B,$A694,실시간콜입력!$E:$E,"A",실시간콜입력!$H:$H,$B694,실시간콜입력!$O:$O,"방문완료")</f>
        <v>0</v>
      </c>
      <c r="G694" s="29">
        <f>COUNTIFS(실시간콜입력!$B:$B,$A694,실시간콜입력!$E:$E,"B",실시간콜입력!$G:$G,$B694,실시간콜입력!$O:$O,"방문완료")+COUNTIFS(실시간콜입력!$B:$B,$A694,실시간콜입력!$E:$E,"B",실시간콜입력!$H:$H,$B694,실시간콜입력!$O:$O,"방문완료")</f>
        <v>0</v>
      </c>
      <c r="H694" s="29">
        <f>COUNTIFS(실시간콜입력!$B:$B,$A694,실시간콜입력!$E:$E,"C",실시간콜입력!$G:$G,$B694,실시간콜입력!$O:$O,"방문완료")+COUNTIFS(실시간콜입력!$B:$B,$A694,실시간콜입력!$E:$E,"C",실시간콜입력!$H:$H,$B694,실시간콜입력!$O:$O,"방문완료")</f>
        <v>0</v>
      </c>
      <c r="I694" s="29">
        <f>COUNTIFS(실시간콜입력!$B:$B,$A694,실시간콜입력!$E:$E,"D",실시간콜입력!$G:$G,$B694,실시간콜입력!$O:$O,"방문완료")+COUNTIFS(실시간콜입력!$B:$B,$A694,실시간콜입력!$E:$E,"D",실시간콜입력!$H:$H,$B694,실시간콜입력!$O:$O,"방문완료")</f>
        <v>0</v>
      </c>
      <c r="J694" s="29">
        <f>COUNTIFS(실시간콜입력!$B:$B,$A694,실시간콜입력!$E:$E,"E",실시간콜입력!$G:$G,$B694,실시간콜입력!$O:$O,"방문완료")+COUNTIFS(실시간콜입력!$B:$B,$A694,실시간콜입력!$E:$E,"E",실시간콜입력!$H:$H,$B694,실시간콜입력!$O:$O,"방문완료")</f>
        <v>0</v>
      </c>
      <c r="K694" s="29">
        <f t="shared" si="93"/>
        <v>0</v>
      </c>
      <c r="L694" s="33">
        <f>SUMIFS(실시간콜입력!$K:$K,실시간콜입력!$B:$B,$A694,실시간콜입력!$G:$G,$B694,실시간콜입력!$O:$O,"방문완료")+SUMIFS(실시간콜입력!$L:$L,실시간콜입력!$B:$B,$A694,실시간콜입력!$H:$H,$B694,실시간콜입력!$O:$O,"방문완료")</f>
        <v>0</v>
      </c>
      <c r="M694" s="29" t="str">
        <f t="shared" si="94"/>
        <v/>
      </c>
      <c r="N694" s="29"/>
    </row>
    <row r="695" spans="1:14" ht="19.5" hidden="1" customHeight="1" outlineLevel="1">
      <c r="A695" s="24">
        <f>IF(14&lt;=DAY(DATE(YEAR(설정_코스수당!$K$2),MONTH(설정_코스수당!$K$2)+1,0)),DATE(YEAR(설정_코스수당!$K$2),MONTH(설정_코스수당!$K$2),14),"")</f>
        <v>46187</v>
      </c>
      <c r="B695" s="23" t="s">
        <v>175</v>
      </c>
      <c r="C695" s="29"/>
      <c r="D695" s="29"/>
      <c r="E695" s="29" t="str">
        <f t="shared" si="92"/>
        <v/>
      </c>
      <c r="F695" s="29">
        <f>COUNTIFS(실시간콜입력!$B:$B,$A695,실시간콜입력!$E:$E,"A",실시간콜입력!$G:$G,$B695,실시간콜입력!$O:$O,"방문완료")+COUNTIFS(실시간콜입력!$B:$B,$A695,실시간콜입력!$E:$E,"A",실시간콜입력!$H:$H,$B695,실시간콜입력!$O:$O,"방문완료")</f>
        <v>0</v>
      </c>
      <c r="G695" s="29">
        <f>COUNTIFS(실시간콜입력!$B:$B,$A695,실시간콜입력!$E:$E,"B",실시간콜입력!$G:$G,$B695,실시간콜입력!$O:$O,"방문완료")+COUNTIFS(실시간콜입력!$B:$B,$A695,실시간콜입력!$E:$E,"B",실시간콜입력!$H:$H,$B695,실시간콜입력!$O:$O,"방문완료")</f>
        <v>0</v>
      </c>
      <c r="H695" s="29">
        <f>COUNTIFS(실시간콜입력!$B:$B,$A695,실시간콜입력!$E:$E,"C",실시간콜입력!$G:$G,$B695,실시간콜입력!$O:$O,"방문완료")+COUNTIFS(실시간콜입력!$B:$B,$A695,실시간콜입력!$E:$E,"C",실시간콜입력!$H:$H,$B695,실시간콜입력!$O:$O,"방문완료")</f>
        <v>0</v>
      </c>
      <c r="I695" s="29">
        <f>COUNTIFS(실시간콜입력!$B:$B,$A695,실시간콜입력!$E:$E,"D",실시간콜입력!$G:$G,$B695,실시간콜입력!$O:$O,"방문완료")+COUNTIFS(실시간콜입력!$B:$B,$A695,실시간콜입력!$E:$E,"D",실시간콜입력!$H:$H,$B695,실시간콜입력!$O:$O,"방문완료")</f>
        <v>0</v>
      </c>
      <c r="J695" s="29">
        <f>COUNTIFS(실시간콜입력!$B:$B,$A695,실시간콜입력!$E:$E,"E",실시간콜입력!$G:$G,$B695,실시간콜입력!$O:$O,"방문완료")+COUNTIFS(실시간콜입력!$B:$B,$A695,실시간콜입력!$E:$E,"E",실시간콜입력!$H:$H,$B695,실시간콜입력!$O:$O,"방문완료")</f>
        <v>0</v>
      </c>
      <c r="K695" s="29">
        <f t="shared" si="93"/>
        <v>0</v>
      </c>
      <c r="L695" s="27">
        <f>SUMIFS(실시간콜입력!$K:$K,실시간콜입력!$B:$B,$A695,실시간콜입력!$G:$G,$B695,실시간콜입력!$O:$O,"방문완료")+SUMIFS(실시간콜입력!$L:$L,실시간콜입력!$B:$B,$A695,실시간콜입력!$H:$H,$B695,실시간콜입력!$O:$O,"방문완료")</f>
        <v>0</v>
      </c>
      <c r="M695" s="29" t="str">
        <f t="shared" si="94"/>
        <v/>
      </c>
      <c r="N695" s="29"/>
    </row>
    <row r="696" spans="1:14" ht="19.5" hidden="1" customHeight="1" outlineLevel="1">
      <c r="A696" s="30">
        <f>IF(14&lt;=DAY(DATE(YEAR(설정_코스수당!$K$2),MONTH(설정_코스수당!$K$2)+1,0)),DATE(YEAR(설정_코스수당!$K$2),MONTH(설정_코스수당!$K$2),14),"")</f>
        <v>46187</v>
      </c>
      <c r="B696" s="29" t="s">
        <v>176</v>
      </c>
      <c r="C696" s="29"/>
      <c r="D696" s="29"/>
      <c r="E696" s="29" t="str">
        <f t="shared" si="92"/>
        <v/>
      </c>
      <c r="F696" s="29">
        <f>COUNTIFS(실시간콜입력!$B:$B,$A696,실시간콜입력!$E:$E,"A",실시간콜입력!$G:$G,$B696,실시간콜입력!$O:$O,"방문완료")+COUNTIFS(실시간콜입력!$B:$B,$A696,실시간콜입력!$E:$E,"A",실시간콜입력!$H:$H,$B696,실시간콜입력!$O:$O,"방문완료")</f>
        <v>0</v>
      </c>
      <c r="G696" s="29">
        <f>COUNTIFS(실시간콜입력!$B:$B,$A696,실시간콜입력!$E:$E,"B",실시간콜입력!$G:$G,$B696,실시간콜입력!$O:$O,"방문완료")+COUNTIFS(실시간콜입력!$B:$B,$A696,실시간콜입력!$E:$E,"B",실시간콜입력!$H:$H,$B696,실시간콜입력!$O:$O,"방문완료")</f>
        <v>0</v>
      </c>
      <c r="H696" s="29">
        <f>COUNTIFS(실시간콜입력!$B:$B,$A696,실시간콜입력!$E:$E,"C",실시간콜입력!$G:$G,$B696,실시간콜입력!$O:$O,"방문완료")+COUNTIFS(실시간콜입력!$B:$B,$A696,실시간콜입력!$E:$E,"C",실시간콜입력!$H:$H,$B696,실시간콜입력!$O:$O,"방문완료")</f>
        <v>0</v>
      </c>
      <c r="I696" s="29">
        <f>COUNTIFS(실시간콜입력!$B:$B,$A696,실시간콜입력!$E:$E,"D",실시간콜입력!$G:$G,$B696,실시간콜입력!$O:$O,"방문완료")+COUNTIFS(실시간콜입력!$B:$B,$A696,실시간콜입력!$E:$E,"D",실시간콜입력!$H:$H,$B696,실시간콜입력!$O:$O,"방문완료")</f>
        <v>0</v>
      </c>
      <c r="J696" s="29">
        <f>COUNTIFS(실시간콜입력!$B:$B,$A696,실시간콜입력!$E:$E,"E",실시간콜입력!$G:$G,$B696,실시간콜입력!$O:$O,"방문완료")+COUNTIFS(실시간콜입력!$B:$B,$A696,실시간콜입력!$E:$E,"E",실시간콜입력!$H:$H,$B696,실시간콜입력!$O:$O,"방문완료")</f>
        <v>0</v>
      </c>
      <c r="K696" s="29">
        <f t="shared" si="93"/>
        <v>0</v>
      </c>
      <c r="L696" s="33">
        <f>SUMIFS(실시간콜입력!$K:$K,실시간콜입력!$B:$B,$A696,실시간콜입력!$G:$G,$B696,실시간콜입력!$O:$O,"방문완료")+SUMIFS(실시간콜입력!$L:$L,실시간콜입력!$B:$B,$A696,실시간콜입력!$H:$H,$B696,실시간콜입력!$O:$O,"방문완료")</f>
        <v>0</v>
      </c>
      <c r="M696" s="29" t="str">
        <f t="shared" si="94"/>
        <v/>
      </c>
      <c r="N696" s="29"/>
    </row>
    <row r="697" spans="1:14" ht="19.5" hidden="1" customHeight="1" outlineLevel="1">
      <c r="A697" s="24">
        <f>IF(14&lt;=DAY(DATE(YEAR(설정_코스수당!$K$2),MONTH(설정_코스수당!$K$2)+1,0)),DATE(YEAR(설정_코스수당!$K$2),MONTH(설정_코스수당!$K$2),14),"")</f>
        <v>46187</v>
      </c>
      <c r="B697" s="23" t="s">
        <v>177</v>
      </c>
      <c r="C697" s="29"/>
      <c r="D697" s="29"/>
      <c r="E697" s="29" t="str">
        <f t="shared" si="92"/>
        <v/>
      </c>
      <c r="F697" s="29">
        <f>COUNTIFS(실시간콜입력!$B:$B,$A697,실시간콜입력!$E:$E,"A",실시간콜입력!$G:$G,$B697,실시간콜입력!$O:$O,"방문완료")+COUNTIFS(실시간콜입력!$B:$B,$A697,실시간콜입력!$E:$E,"A",실시간콜입력!$H:$H,$B697,실시간콜입력!$O:$O,"방문완료")</f>
        <v>0</v>
      </c>
      <c r="G697" s="29">
        <f>COUNTIFS(실시간콜입력!$B:$B,$A697,실시간콜입력!$E:$E,"B",실시간콜입력!$G:$G,$B697,실시간콜입력!$O:$O,"방문완료")+COUNTIFS(실시간콜입력!$B:$B,$A697,실시간콜입력!$E:$E,"B",실시간콜입력!$H:$H,$B697,실시간콜입력!$O:$O,"방문완료")</f>
        <v>0</v>
      </c>
      <c r="H697" s="29">
        <f>COUNTIFS(실시간콜입력!$B:$B,$A697,실시간콜입력!$E:$E,"C",실시간콜입력!$G:$G,$B697,실시간콜입력!$O:$O,"방문완료")+COUNTIFS(실시간콜입력!$B:$B,$A697,실시간콜입력!$E:$E,"C",실시간콜입력!$H:$H,$B697,실시간콜입력!$O:$O,"방문완료")</f>
        <v>0</v>
      </c>
      <c r="I697" s="29">
        <f>COUNTIFS(실시간콜입력!$B:$B,$A697,실시간콜입력!$E:$E,"D",실시간콜입력!$G:$G,$B697,실시간콜입력!$O:$O,"방문완료")+COUNTIFS(실시간콜입력!$B:$B,$A697,실시간콜입력!$E:$E,"D",실시간콜입력!$H:$H,$B697,실시간콜입력!$O:$O,"방문완료")</f>
        <v>0</v>
      </c>
      <c r="J697" s="29">
        <f>COUNTIFS(실시간콜입력!$B:$B,$A697,실시간콜입력!$E:$E,"E",실시간콜입력!$G:$G,$B697,실시간콜입력!$O:$O,"방문완료")+COUNTIFS(실시간콜입력!$B:$B,$A697,실시간콜입력!$E:$E,"E",실시간콜입력!$H:$H,$B697,실시간콜입력!$O:$O,"방문완료")</f>
        <v>0</v>
      </c>
      <c r="K697" s="29">
        <f t="shared" si="93"/>
        <v>0</v>
      </c>
      <c r="L697" s="27">
        <f>SUMIFS(실시간콜입력!$K:$K,실시간콜입력!$B:$B,$A697,실시간콜입력!$G:$G,$B697,실시간콜입력!$O:$O,"방문완료")+SUMIFS(실시간콜입력!$L:$L,실시간콜입력!$B:$B,$A697,실시간콜입력!$H:$H,$B697,실시간콜입력!$O:$O,"방문완료")</f>
        <v>0</v>
      </c>
      <c r="M697" s="29" t="str">
        <f t="shared" si="94"/>
        <v/>
      </c>
      <c r="N697" s="29"/>
    </row>
    <row r="698" spans="1:14" ht="19.5" hidden="1" customHeight="1" outlineLevel="1">
      <c r="A698" s="30">
        <f>IF(14&lt;=DAY(DATE(YEAR(설정_코스수당!$K$2),MONTH(설정_코스수당!$K$2)+1,0)),DATE(YEAR(설정_코스수당!$K$2),MONTH(설정_코스수당!$K$2),14),"")</f>
        <v>46187</v>
      </c>
      <c r="B698" s="29" t="s">
        <v>178</v>
      </c>
      <c r="C698" s="29"/>
      <c r="D698" s="29"/>
      <c r="E698" s="29" t="str">
        <f t="shared" si="92"/>
        <v/>
      </c>
      <c r="F698" s="29">
        <f>COUNTIFS(실시간콜입력!$B:$B,$A698,실시간콜입력!$E:$E,"A",실시간콜입력!$G:$G,$B698,실시간콜입력!$O:$O,"방문완료")+COUNTIFS(실시간콜입력!$B:$B,$A698,실시간콜입력!$E:$E,"A",실시간콜입력!$H:$H,$B698,실시간콜입력!$O:$O,"방문완료")</f>
        <v>0</v>
      </c>
      <c r="G698" s="29">
        <f>COUNTIFS(실시간콜입력!$B:$B,$A698,실시간콜입력!$E:$E,"B",실시간콜입력!$G:$G,$B698,실시간콜입력!$O:$O,"방문완료")+COUNTIFS(실시간콜입력!$B:$B,$A698,실시간콜입력!$E:$E,"B",실시간콜입력!$H:$H,$B698,실시간콜입력!$O:$O,"방문완료")</f>
        <v>0</v>
      </c>
      <c r="H698" s="29">
        <f>COUNTIFS(실시간콜입력!$B:$B,$A698,실시간콜입력!$E:$E,"C",실시간콜입력!$G:$G,$B698,실시간콜입력!$O:$O,"방문완료")+COUNTIFS(실시간콜입력!$B:$B,$A698,실시간콜입력!$E:$E,"C",실시간콜입력!$H:$H,$B698,실시간콜입력!$O:$O,"방문완료")</f>
        <v>0</v>
      </c>
      <c r="I698" s="29">
        <f>COUNTIFS(실시간콜입력!$B:$B,$A698,실시간콜입력!$E:$E,"D",실시간콜입력!$G:$G,$B698,실시간콜입력!$O:$O,"방문완료")+COUNTIFS(실시간콜입력!$B:$B,$A698,실시간콜입력!$E:$E,"D",실시간콜입력!$H:$H,$B698,실시간콜입력!$O:$O,"방문완료")</f>
        <v>0</v>
      </c>
      <c r="J698" s="29">
        <f>COUNTIFS(실시간콜입력!$B:$B,$A698,실시간콜입력!$E:$E,"E",실시간콜입력!$G:$G,$B698,실시간콜입력!$O:$O,"방문완료")+COUNTIFS(실시간콜입력!$B:$B,$A698,실시간콜입력!$E:$E,"E",실시간콜입력!$H:$H,$B698,실시간콜입력!$O:$O,"방문완료")</f>
        <v>0</v>
      </c>
      <c r="K698" s="29">
        <f t="shared" si="93"/>
        <v>0</v>
      </c>
      <c r="L698" s="33">
        <f>SUMIFS(실시간콜입력!$K:$K,실시간콜입력!$B:$B,$A698,실시간콜입력!$G:$G,$B698,실시간콜입력!$O:$O,"방문완료")+SUMIFS(실시간콜입력!$L:$L,실시간콜입력!$B:$B,$A698,실시간콜입력!$H:$H,$B698,실시간콜입력!$O:$O,"방문완료")</f>
        <v>0</v>
      </c>
      <c r="M698" s="29" t="str">
        <f t="shared" si="94"/>
        <v/>
      </c>
      <c r="N698" s="29"/>
    </row>
    <row r="699" spans="1:14" ht="19.5" hidden="1" customHeight="1" outlineLevel="1">
      <c r="A699" s="24">
        <f>IF(14&lt;=DAY(DATE(YEAR(설정_코스수당!$K$2),MONTH(설정_코스수당!$K$2)+1,0)),DATE(YEAR(설정_코스수당!$K$2),MONTH(설정_코스수당!$K$2),14),"")</f>
        <v>46187</v>
      </c>
      <c r="B699" s="23" t="s">
        <v>179</v>
      </c>
      <c r="C699" s="29"/>
      <c r="D699" s="29"/>
      <c r="E699" s="29" t="str">
        <f t="shared" si="92"/>
        <v/>
      </c>
      <c r="F699" s="29">
        <f>COUNTIFS(실시간콜입력!$B:$B,$A699,실시간콜입력!$E:$E,"A",실시간콜입력!$G:$G,$B699,실시간콜입력!$O:$O,"방문완료")+COUNTIFS(실시간콜입력!$B:$B,$A699,실시간콜입력!$E:$E,"A",실시간콜입력!$H:$H,$B699,실시간콜입력!$O:$O,"방문완료")</f>
        <v>0</v>
      </c>
      <c r="G699" s="29">
        <f>COUNTIFS(실시간콜입력!$B:$B,$A699,실시간콜입력!$E:$E,"B",실시간콜입력!$G:$G,$B699,실시간콜입력!$O:$O,"방문완료")+COUNTIFS(실시간콜입력!$B:$B,$A699,실시간콜입력!$E:$E,"B",실시간콜입력!$H:$H,$B699,실시간콜입력!$O:$O,"방문완료")</f>
        <v>0</v>
      </c>
      <c r="H699" s="29">
        <f>COUNTIFS(실시간콜입력!$B:$B,$A699,실시간콜입력!$E:$E,"C",실시간콜입력!$G:$G,$B699,실시간콜입력!$O:$O,"방문완료")+COUNTIFS(실시간콜입력!$B:$B,$A699,실시간콜입력!$E:$E,"C",실시간콜입력!$H:$H,$B699,실시간콜입력!$O:$O,"방문완료")</f>
        <v>0</v>
      </c>
      <c r="I699" s="29">
        <f>COUNTIFS(실시간콜입력!$B:$B,$A699,실시간콜입력!$E:$E,"D",실시간콜입력!$G:$G,$B699,실시간콜입력!$O:$O,"방문완료")+COUNTIFS(실시간콜입력!$B:$B,$A699,실시간콜입력!$E:$E,"D",실시간콜입력!$H:$H,$B699,실시간콜입력!$O:$O,"방문완료")</f>
        <v>0</v>
      </c>
      <c r="J699" s="29">
        <f>COUNTIFS(실시간콜입력!$B:$B,$A699,실시간콜입력!$E:$E,"E",실시간콜입력!$G:$G,$B699,실시간콜입력!$O:$O,"방문완료")+COUNTIFS(실시간콜입력!$B:$B,$A699,실시간콜입력!$E:$E,"E",실시간콜입력!$H:$H,$B699,실시간콜입력!$O:$O,"방문완료")</f>
        <v>0</v>
      </c>
      <c r="K699" s="29">
        <f t="shared" si="93"/>
        <v>0</v>
      </c>
      <c r="L699" s="27">
        <f>SUMIFS(실시간콜입력!$K:$K,실시간콜입력!$B:$B,$A699,실시간콜입력!$G:$G,$B699,실시간콜입력!$O:$O,"방문완료")+SUMIFS(실시간콜입력!$L:$L,실시간콜입력!$B:$B,$A699,실시간콜입력!$H:$H,$B699,실시간콜입력!$O:$O,"방문완료")</f>
        <v>0</v>
      </c>
      <c r="M699" s="29" t="str">
        <f t="shared" si="94"/>
        <v/>
      </c>
      <c r="N699" s="29"/>
    </row>
    <row r="700" spans="1:14" ht="19.5" hidden="1" customHeight="1" outlineLevel="1">
      <c r="A700" s="30">
        <f>IF(14&lt;=DAY(DATE(YEAR(설정_코스수당!$K$2),MONTH(설정_코스수당!$K$2)+1,0)),DATE(YEAR(설정_코스수당!$K$2),MONTH(설정_코스수당!$K$2),14),"")</f>
        <v>46187</v>
      </c>
      <c r="B700" s="29" t="s">
        <v>180</v>
      </c>
      <c r="C700" s="29"/>
      <c r="D700" s="29"/>
      <c r="E700" s="29" t="str">
        <f t="shared" si="92"/>
        <v/>
      </c>
      <c r="F700" s="29">
        <f>COUNTIFS(실시간콜입력!$B:$B,$A700,실시간콜입력!$E:$E,"A",실시간콜입력!$G:$G,$B700,실시간콜입력!$O:$O,"방문완료")+COUNTIFS(실시간콜입력!$B:$B,$A700,실시간콜입력!$E:$E,"A",실시간콜입력!$H:$H,$B700,실시간콜입력!$O:$O,"방문완료")</f>
        <v>0</v>
      </c>
      <c r="G700" s="29">
        <f>COUNTIFS(실시간콜입력!$B:$B,$A700,실시간콜입력!$E:$E,"B",실시간콜입력!$G:$G,$B700,실시간콜입력!$O:$O,"방문완료")+COUNTIFS(실시간콜입력!$B:$B,$A700,실시간콜입력!$E:$E,"B",실시간콜입력!$H:$H,$B700,실시간콜입력!$O:$O,"방문완료")</f>
        <v>0</v>
      </c>
      <c r="H700" s="29">
        <f>COUNTIFS(실시간콜입력!$B:$B,$A700,실시간콜입력!$E:$E,"C",실시간콜입력!$G:$G,$B700,실시간콜입력!$O:$O,"방문완료")+COUNTIFS(실시간콜입력!$B:$B,$A700,실시간콜입력!$E:$E,"C",실시간콜입력!$H:$H,$B700,실시간콜입력!$O:$O,"방문완료")</f>
        <v>0</v>
      </c>
      <c r="I700" s="29">
        <f>COUNTIFS(실시간콜입력!$B:$B,$A700,실시간콜입력!$E:$E,"D",실시간콜입력!$G:$G,$B700,실시간콜입력!$O:$O,"방문완료")+COUNTIFS(실시간콜입력!$B:$B,$A700,실시간콜입력!$E:$E,"D",실시간콜입력!$H:$H,$B700,실시간콜입력!$O:$O,"방문완료")</f>
        <v>0</v>
      </c>
      <c r="J700" s="29">
        <f>COUNTIFS(실시간콜입력!$B:$B,$A700,실시간콜입력!$E:$E,"E",실시간콜입력!$G:$G,$B700,실시간콜입력!$O:$O,"방문완료")+COUNTIFS(실시간콜입력!$B:$B,$A700,실시간콜입력!$E:$E,"E",실시간콜입력!$H:$H,$B700,실시간콜입력!$O:$O,"방문완료")</f>
        <v>0</v>
      </c>
      <c r="K700" s="29">
        <f t="shared" si="93"/>
        <v>0</v>
      </c>
      <c r="L700" s="33">
        <f>SUMIFS(실시간콜입력!$K:$K,실시간콜입력!$B:$B,$A700,실시간콜입력!$G:$G,$B700,실시간콜입력!$O:$O,"방문완료")+SUMIFS(실시간콜입력!$L:$L,실시간콜입력!$B:$B,$A700,실시간콜입력!$H:$H,$B700,실시간콜입력!$O:$O,"방문완료")</f>
        <v>0</v>
      </c>
      <c r="M700" s="29" t="str">
        <f t="shared" si="94"/>
        <v/>
      </c>
      <c r="N700" s="29"/>
    </row>
    <row r="701" spans="1:14" ht="19.5" hidden="1" customHeight="1" outlineLevel="1">
      <c r="A701" s="24">
        <f>IF(14&lt;=DAY(DATE(YEAR(설정_코스수당!$K$2),MONTH(설정_코스수당!$K$2)+1,0)),DATE(YEAR(설정_코스수당!$K$2),MONTH(설정_코스수당!$K$2),14),"")</f>
        <v>46187</v>
      </c>
      <c r="B701" s="23" t="s">
        <v>181</v>
      </c>
      <c r="C701" s="29"/>
      <c r="D701" s="29"/>
      <c r="E701" s="29" t="str">
        <f t="shared" si="92"/>
        <v/>
      </c>
      <c r="F701" s="29">
        <f>COUNTIFS(실시간콜입력!$B:$B,$A701,실시간콜입력!$E:$E,"A",실시간콜입력!$G:$G,$B701,실시간콜입력!$O:$O,"방문완료")+COUNTIFS(실시간콜입력!$B:$B,$A701,실시간콜입력!$E:$E,"A",실시간콜입력!$H:$H,$B701,실시간콜입력!$O:$O,"방문완료")</f>
        <v>0</v>
      </c>
      <c r="G701" s="29">
        <f>COUNTIFS(실시간콜입력!$B:$B,$A701,실시간콜입력!$E:$E,"B",실시간콜입력!$G:$G,$B701,실시간콜입력!$O:$O,"방문완료")+COUNTIFS(실시간콜입력!$B:$B,$A701,실시간콜입력!$E:$E,"B",실시간콜입력!$H:$H,$B701,실시간콜입력!$O:$O,"방문완료")</f>
        <v>0</v>
      </c>
      <c r="H701" s="29">
        <f>COUNTIFS(실시간콜입력!$B:$B,$A701,실시간콜입력!$E:$E,"C",실시간콜입력!$G:$G,$B701,실시간콜입력!$O:$O,"방문완료")+COUNTIFS(실시간콜입력!$B:$B,$A701,실시간콜입력!$E:$E,"C",실시간콜입력!$H:$H,$B701,실시간콜입력!$O:$O,"방문완료")</f>
        <v>0</v>
      </c>
      <c r="I701" s="29">
        <f>COUNTIFS(실시간콜입력!$B:$B,$A701,실시간콜입력!$E:$E,"D",실시간콜입력!$G:$G,$B701,실시간콜입력!$O:$O,"방문완료")+COUNTIFS(실시간콜입력!$B:$B,$A701,실시간콜입력!$E:$E,"D",실시간콜입력!$H:$H,$B701,실시간콜입력!$O:$O,"방문완료")</f>
        <v>0</v>
      </c>
      <c r="J701" s="29">
        <f>COUNTIFS(실시간콜입력!$B:$B,$A701,실시간콜입력!$E:$E,"E",실시간콜입력!$G:$G,$B701,실시간콜입력!$O:$O,"방문완료")+COUNTIFS(실시간콜입력!$B:$B,$A701,실시간콜입력!$E:$E,"E",실시간콜입력!$H:$H,$B701,실시간콜입력!$O:$O,"방문완료")</f>
        <v>0</v>
      </c>
      <c r="K701" s="29">
        <f t="shared" si="93"/>
        <v>0</v>
      </c>
      <c r="L701" s="27">
        <f>SUMIFS(실시간콜입력!$K:$K,실시간콜입력!$B:$B,$A701,실시간콜입력!$G:$G,$B701,실시간콜입력!$O:$O,"방문완료")+SUMIFS(실시간콜입력!$L:$L,실시간콜입력!$B:$B,$A701,실시간콜입력!$H:$H,$B701,실시간콜입력!$O:$O,"방문완료")</f>
        <v>0</v>
      </c>
      <c r="M701" s="29" t="str">
        <f t="shared" si="94"/>
        <v/>
      </c>
      <c r="N701" s="29"/>
    </row>
    <row r="702" spans="1:14" ht="19.5" hidden="1" customHeight="1" outlineLevel="1">
      <c r="A702" s="30">
        <f>IF(14&lt;=DAY(DATE(YEAR(설정_코스수당!$K$2),MONTH(설정_코스수당!$K$2)+1,0)),DATE(YEAR(설정_코스수당!$K$2),MONTH(설정_코스수당!$K$2),14),"")</f>
        <v>46187</v>
      </c>
      <c r="B702" s="29" t="s">
        <v>182</v>
      </c>
      <c r="C702" s="29"/>
      <c r="D702" s="29"/>
      <c r="E702" s="29" t="str">
        <f t="shared" si="92"/>
        <v/>
      </c>
      <c r="F702" s="29">
        <f>COUNTIFS(실시간콜입력!$B:$B,$A702,실시간콜입력!$E:$E,"A",실시간콜입력!$G:$G,$B702,실시간콜입력!$O:$O,"방문완료")+COUNTIFS(실시간콜입력!$B:$B,$A702,실시간콜입력!$E:$E,"A",실시간콜입력!$H:$H,$B702,실시간콜입력!$O:$O,"방문완료")</f>
        <v>0</v>
      </c>
      <c r="G702" s="29">
        <f>COUNTIFS(실시간콜입력!$B:$B,$A702,실시간콜입력!$E:$E,"B",실시간콜입력!$G:$G,$B702,실시간콜입력!$O:$O,"방문완료")+COUNTIFS(실시간콜입력!$B:$B,$A702,실시간콜입력!$E:$E,"B",실시간콜입력!$H:$H,$B702,실시간콜입력!$O:$O,"방문완료")</f>
        <v>0</v>
      </c>
      <c r="H702" s="29">
        <f>COUNTIFS(실시간콜입력!$B:$B,$A702,실시간콜입력!$E:$E,"C",실시간콜입력!$G:$G,$B702,실시간콜입력!$O:$O,"방문완료")+COUNTIFS(실시간콜입력!$B:$B,$A702,실시간콜입력!$E:$E,"C",실시간콜입력!$H:$H,$B702,실시간콜입력!$O:$O,"방문완료")</f>
        <v>0</v>
      </c>
      <c r="I702" s="29">
        <f>COUNTIFS(실시간콜입력!$B:$B,$A702,실시간콜입력!$E:$E,"D",실시간콜입력!$G:$G,$B702,실시간콜입력!$O:$O,"방문완료")+COUNTIFS(실시간콜입력!$B:$B,$A702,실시간콜입력!$E:$E,"D",실시간콜입력!$H:$H,$B702,실시간콜입력!$O:$O,"방문완료")</f>
        <v>0</v>
      </c>
      <c r="J702" s="29">
        <f>COUNTIFS(실시간콜입력!$B:$B,$A702,실시간콜입력!$E:$E,"E",실시간콜입력!$G:$G,$B702,실시간콜입력!$O:$O,"방문완료")+COUNTIFS(실시간콜입력!$B:$B,$A702,실시간콜입력!$E:$E,"E",실시간콜입력!$H:$H,$B702,실시간콜입력!$O:$O,"방문완료")</f>
        <v>0</v>
      </c>
      <c r="K702" s="29">
        <f t="shared" si="93"/>
        <v>0</v>
      </c>
      <c r="L702" s="33">
        <f>SUMIFS(실시간콜입력!$K:$K,실시간콜입력!$B:$B,$A702,실시간콜입력!$G:$G,$B702,실시간콜입력!$O:$O,"방문완료")+SUMIFS(실시간콜입력!$L:$L,실시간콜입력!$B:$B,$A702,실시간콜입력!$H:$H,$B702,실시간콜입력!$O:$O,"방문완료")</f>
        <v>0</v>
      </c>
      <c r="M702" s="29" t="str">
        <f t="shared" si="94"/>
        <v/>
      </c>
      <c r="N702" s="29"/>
    </row>
    <row r="703" spans="1:14" ht="19.5" hidden="1" customHeight="1" outlineLevel="1">
      <c r="A703" s="24">
        <f>IF(14&lt;=DAY(DATE(YEAR(설정_코스수당!$K$2),MONTH(설정_코스수당!$K$2)+1,0)),DATE(YEAR(설정_코스수당!$K$2),MONTH(설정_코스수당!$K$2),14),"")</f>
        <v>46187</v>
      </c>
      <c r="B703" s="23" t="s">
        <v>183</v>
      </c>
      <c r="C703" s="29"/>
      <c r="D703" s="29"/>
      <c r="E703" s="29" t="str">
        <f t="shared" si="92"/>
        <v/>
      </c>
      <c r="F703" s="29">
        <f>COUNTIFS(실시간콜입력!$B:$B,$A703,실시간콜입력!$E:$E,"A",실시간콜입력!$G:$G,$B703,실시간콜입력!$O:$O,"방문완료")+COUNTIFS(실시간콜입력!$B:$B,$A703,실시간콜입력!$E:$E,"A",실시간콜입력!$H:$H,$B703,실시간콜입력!$O:$O,"방문완료")</f>
        <v>0</v>
      </c>
      <c r="G703" s="29">
        <f>COUNTIFS(실시간콜입력!$B:$B,$A703,실시간콜입력!$E:$E,"B",실시간콜입력!$G:$G,$B703,실시간콜입력!$O:$O,"방문완료")+COUNTIFS(실시간콜입력!$B:$B,$A703,실시간콜입력!$E:$E,"B",실시간콜입력!$H:$H,$B703,실시간콜입력!$O:$O,"방문완료")</f>
        <v>0</v>
      </c>
      <c r="H703" s="29">
        <f>COUNTIFS(실시간콜입력!$B:$B,$A703,실시간콜입력!$E:$E,"C",실시간콜입력!$G:$G,$B703,실시간콜입력!$O:$O,"방문완료")+COUNTIFS(실시간콜입력!$B:$B,$A703,실시간콜입력!$E:$E,"C",실시간콜입력!$H:$H,$B703,실시간콜입력!$O:$O,"방문완료")</f>
        <v>0</v>
      </c>
      <c r="I703" s="29">
        <f>COUNTIFS(실시간콜입력!$B:$B,$A703,실시간콜입력!$E:$E,"D",실시간콜입력!$G:$G,$B703,실시간콜입력!$O:$O,"방문완료")+COUNTIFS(실시간콜입력!$B:$B,$A703,실시간콜입력!$E:$E,"D",실시간콜입력!$H:$H,$B703,실시간콜입력!$O:$O,"방문완료")</f>
        <v>0</v>
      </c>
      <c r="J703" s="29">
        <f>COUNTIFS(실시간콜입력!$B:$B,$A703,실시간콜입력!$E:$E,"E",실시간콜입력!$G:$G,$B703,실시간콜입력!$O:$O,"방문완료")+COUNTIFS(실시간콜입력!$B:$B,$A703,실시간콜입력!$E:$E,"E",실시간콜입력!$H:$H,$B703,실시간콜입력!$O:$O,"방문완료")</f>
        <v>0</v>
      </c>
      <c r="K703" s="29">
        <f t="shared" si="93"/>
        <v>0</v>
      </c>
      <c r="L703" s="27">
        <f>SUMIFS(실시간콜입력!$K:$K,실시간콜입력!$B:$B,$A703,실시간콜입력!$G:$G,$B703,실시간콜입력!$O:$O,"방문완료")+SUMIFS(실시간콜입력!$L:$L,실시간콜입력!$B:$B,$A703,실시간콜입력!$H:$H,$B703,실시간콜입력!$O:$O,"방문완료")</f>
        <v>0</v>
      </c>
      <c r="M703" s="29" t="str">
        <f t="shared" si="94"/>
        <v/>
      </c>
      <c r="N703" s="29"/>
    </row>
    <row r="704" spans="1:14" ht="19.5" hidden="1" customHeight="1" outlineLevel="1">
      <c r="A704" s="30">
        <f>IF(14&lt;=DAY(DATE(YEAR(설정_코스수당!$K$2),MONTH(설정_코스수당!$K$2)+1,0)),DATE(YEAR(설정_코스수당!$K$2),MONTH(설정_코스수당!$K$2),14),"")</f>
        <v>46187</v>
      </c>
      <c r="B704" s="29" t="s">
        <v>184</v>
      </c>
      <c r="C704" s="29"/>
      <c r="D704" s="29"/>
      <c r="E704" s="29" t="str">
        <f t="shared" si="92"/>
        <v/>
      </c>
      <c r="F704" s="29">
        <f>COUNTIFS(실시간콜입력!$B:$B,$A704,실시간콜입력!$E:$E,"A",실시간콜입력!$G:$G,$B704,실시간콜입력!$O:$O,"방문완료")+COUNTIFS(실시간콜입력!$B:$B,$A704,실시간콜입력!$E:$E,"A",실시간콜입력!$H:$H,$B704,실시간콜입력!$O:$O,"방문완료")</f>
        <v>0</v>
      </c>
      <c r="G704" s="29">
        <f>COUNTIFS(실시간콜입력!$B:$B,$A704,실시간콜입력!$E:$E,"B",실시간콜입력!$G:$G,$B704,실시간콜입력!$O:$O,"방문완료")+COUNTIFS(실시간콜입력!$B:$B,$A704,실시간콜입력!$E:$E,"B",실시간콜입력!$H:$H,$B704,실시간콜입력!$O:$O,"방문완료")</f>
        <v>0</v>
      </c>
      <c r="H704" s="29">
        <f>COUNTIFS(실시간콜입력!$B:$B,$A704,실시간콜입력!$E:$E,"C",실시간콜입력!$G:$G,$B704,실시간콜입력!$O:$O,"방문완료")+COUNTIFS(실시간콜입력!$B:$B,$A704,실시간콜입력!$E:$E,"C",실시간콜입력!$H:$H,$B704,실시간콜입력!$O:$O,"방문완료")</f>
        <v>0</v>
      </c>
      <c r="I704" s="29">
        <f>COUNTIFS(실시간콜입력!$B:$B,$A704,실시간콜입력!$E:$E,"D",실시간콜입력!$G:$G,$B704,실시간콜입력!$O:$O,"방문완료")+COUNTIFS(실시간콜입력!$B:$B,$A704,실시간콜입력!$E:$E,"D",실시간콜입력!$H:$H,$B704,실시간콜입력!$O:$O,"방문완료")</f>
        <v>0</v>
      </c>
      <c r="J704" s="29">
        <f>COUNTIFS(실시간콜입력!$B:$B,$A704,실시간콜입력!$E:$E,"E",실시간콜입력!$G:$G,$B704,실시간콜입력!$O:$O,"방문완료")+COUNTIFS(실시간콜입력!$B:$B,$A704,실시간콜입력!$E:$E,"E",실시간콜입력!$H:$H,$B704,실시간콜입력!$O:$O,"방문완료")</f>
        <v>0</v>
      </c>
      <c r="K704" s="29">
        <f t="shared" si="93"/>
        <v>0</v>
      </c>
      <c r="L704" s="33">
        <f>SUMIFS(실시간콜입력!$K:$K,실시간콜입력!$B:$B,$A704,실시간콜입력!$G:$G,$B704,실시간콜입력!$O:$O,"방문완료")+SUMIFS(실시간콜입력!$L:$L,실시간콜입력!$B:$B,$A704,실시간콜입력!$H:$H,$B704,실시간콜입력!$O:$O,"방문완료")</f>
        <v>0</v>
      </c>
      <c r="M704" s="29" t="str">
        <f t="shared" si="94"/>
        <v/>
      </c>
      <c r="N704" s="29"/>
    </row>
    <row r="705" spans="1:14" ht="19.5" hidden="1" customHeight="1" outlineLevel="1">
      <c r="A705" s="24">
        <f>IF(14&lt;=DAY(DATE(YEAR(설정_코스수당!$K$2),MONTH(설정_코스수당!$K$2)+1,0)),DATE(YEAR(설정_코스수당!$K$2),MONTH(설정_코스수당!$K$2),14),"")</f>
        <v>46187</v>
      </c>
      <c r="B705" s="23" t="s">
        <v>185</v>
      </c>
      <c r="C705" s="29"/>
      <c r="D705" s="29"/>
      <c r="E705" s="29" t="str">
        <f t="shared" si="92"/>
        <v/>
      </c>
      <c r="F705" s="29">
        <f>COUNTIFS(실시간콜입력!$B:$B,$A705,실시간콜입력!$E:$E,"A",실시간콜입력!$G:$G,$B705,실시간콜입력!$O:$O,"방문완료")+COUNTIFS(실시간콜입력!$B:$B,$A705,실시간콜입력!$E:$E,"A",실시간콜입력!$H:$H,$B705,실시간콜입력!$O:$O,"방문완료")</f>
        <v>0</v>
      </c>
      <c r="G705" s="29">
        <f>COUNTIFS(실시간콜입력!$B:$B,$A705,실시간콜입력!$E:$E,"B",실시간콜입력!$G:$G,$B705,실시간콜입력!$O:$O,"방문완료")+COUNTIFS(실시간콜입력!$B:$B,$A705,실시간콜입력!$E:$E,"B",실시간콜입력!$H:$H,$B705,실시간콜입력!$O:$O,"방문완료")</f>
        <v>0</v>
      </c>
      <c r="H705" s="29">
        <f>COUNTIFS(실시간콜입력!$B:$B,$A705,실시간콜입력!$E:$E,"C",실시간콜입력!$G:$G,$B705,실시간콜입력!$O:$O,"방문완료")+COUNTIFS(실시간콜입력!$B:$B,$A705,실시간콜입력!$E:$E,"C",실시간콜입력!$H:$H,$B705,실시간콜입력!$O:$O,"방문완료")</f>
        <v>0</v>
      </c>
      <c r="I705" s="29">
        <f>COUNTIFS(실시간콜입력!$B:$B,$A705,실시간콜입력!$E:$E,"D",실시간콜입력!$G:$G,$B705,실시간콜입력!$O:$O,"방문완료")+COUNTIFS(실시간콜입력!$B:$B,$A705,실시간콜입력!$E:$E,"D",실시간콜입력!$H:$H,$B705,실시간콜입력!$O:$O,"방문완료")</f>
        <v>0</v>
      </c>
      <c r="J705" s="29">
        <f>COUNTIFS(실시간콜입력!$B:$B,$A705,실시간콜입력!$E:$E,"E",실시간콜입력!$G:$G,$B705,실시간콜입력!$O:$O,"방문완료")+COUNTIFS(실시간콜입력!$B:$B,$A705,실시간콜입력!$E:$E,"E",실시간콜입력!$H:$H,$B705,실시간콜입력!$O:$O,"방문완료")</f>
        <v>0</v>
      </c>
      <c r="K705" s="29">
        <f t="shared" si="93"/>
        <v>0</v>
      </c>
      <c r="L705" s="27">
        <f>SUMIFS(실시간콜입력!$K:$K,실시간콜입력!$B:$B,$A705,실시간콜입력!$G:$G,$B705,실시간콜입력!$O:$O,"방문완료")+SUMIFS(실시간콜입력!$L:$L,실시간콜입력!$B:$B,$A705,실시간콜입력!$H:$H,$B705,실시간콜입력!$O:$O,"방문완료")</f>
        <v>0</v>
      </c>
      <c r="M705" s="29" t="str">
        <f t="shared" si="94"/>
        <v/>
      </c>
      <c r="N705" s="29"/>
    </row>
    <row r="706" spans="1:14" ht="19.5" hidden="1" customHeight="1" outlineLevel="1">
      <c r="A706" s="30">
        <f>IF(14&lt;=DAY(DATE(YEAR(설정_코스수당!$K$2),MONTH(설정_코스수당!$K$2)+1,0)),DATE(YEAR(설정_코스수당!$K$2),MONTH(설정_코스수당!$K$2),14),"")</f>
        <v>46187</v>
      </c>
      <c r="B706" s="29" t="s">
        <v>186</v>
      </c>
      <c r="C706" s="29"/>
      <c r="D706" s="29"/>
      <c r="E706" s="29" t="str">
        <f t="shared" si="92"/>
        <v/>
      </c>
      <c r="F706" s="29">
        <f>COUNTIFS(실시간콜입력!$B:$B,$A706,실시간콜입력!$E:$E,"A",실시간콜입력!$G:$G,$B706,실시간콜입력!$O:$O,"방문완료")+COUNTIFS(실시간콜입력!$B:$B,$A706,실시간콜입력!$E:$E,"A",실시간콜입력!$H:$H,$B706,실시간콜입력!$O:$O,"방문완료")</f>
        <v>0</v>
      </c>
      <c r="G706" s="29">
        <f>COUNTIFS(실시간콜입력!$B:$B,$A706,실시간콜입력!$E:$E,"B",실시간콜입력!$G:$G,$B706,실시간콜입력!$O:$O,"방문완료")+COUNTIFS(실시간콜입력!$B:$B,$A706,실시간콜입력!$E:$E,"B",실시간콜입력!$H:$H,$B706,실시간콜입력!$O:$O,"방문완료")</f>
        <v>0</v>
      </c>
      <c r="H706" s="29">
        <f>COUNTIFS(실시간콜입력!$B:$B,$A706,실시간콜입력!$E:$E,"C",실시간콜입력!$G:$G,$B706,실시간콜입력!$O:$O,"방문완료")+COUNTIFS(실시간콜입력!$B:$B,$A706,실시간콜입력!$E:$E,"C",실시간콜입력!$H:$H,$B706,실시간콜입력!$O:$O,"방문완료")</f>
        <v>0</v>
      </c>
      <c r="I706" s="29">
        <f>COUNTIFS(실시간콜입력!$B:$B,$A706,실시간콜입력!$E:$E,"D",실시간콜입력!$G:$G,$B706,실시간콜입력!$O:$O,"방문완료")+COUNTIFS(실시간콜입력!$B:$B,$A706,실시간콜입력!$E:$E,"D",실시간콜입력!$H:$H,$B706,실시간콜입력!$O:$O,"방문완료")</f>
        <v>0</v>
      </c>
      <c r="J706" s="29">
        <f>COUNTIFS(실시간콜입력!$B:$B,$A706,실시간콜입력!$E:$E,"E",실시간콜입력!$G:$G,$B706,실시간콜입력!$O:$O,"방문완료")+COUNTIFS(실시간콜입력!$B:$B,$A706,실시간콜입력!$E:$E,"E",실시간콜입력!$H:$H,$B706,실시간콜입력!$O:$O,"방문완료")</f>
        <v>0</v>
      </c>
      <c r="K706" s="29">
        <f t="shared" si="93"/>
        <v>0</v>
      </c>
      <c r="L706" s="33">
        <f>SUMIFS(실시간콜입력!$K:$K,실시간콜입력!$B:$B,$A706,실시간콜입력!$G:$G,$B706,실시간콜입력!$O:$O,"방문완료")+SUMIFS(실시간콜입력!$L:$L,실시간콜입력!$B:$B,$A706,실시간콜입력!$H:$H,$B706,실시간콜입력!$O:$O,"방문완료")</f>
        <v>0</v>
      </c>
      <c r="M706" s="29" t="str">
        <f t="shared" si="94"/>
        <v/>
      </c>
      <c r="N706" s="29"/>
    </row>
    <row r="707" spans="1:14" ht="19.5" hidden="1" customHeight="1" outlineLevel="1">
      <c r="A707" s="24">
        <f>IF(14&lt;=DAY(DATE(YEAR(설정_코스수당!$K$2),MONTH(설정_코스수당!$K$2)+1,0)),DATE(YEAR(설정_코스수당!$K$2),MONTH(설정_코스수당!$K$2),14),"")</f>
        <v>46187</v>
      </c>
      <c r="B707" s="23" t="s">
        <v>187</v>
      </c>
      <c r="C707" s="29"/>
      <c r="D707" s="29"/>
      <c r="E707" s="29" t="str">
        <f t="shared" si="92"/>
        <v/>
      </c>
      <c r="F707" s="29">
        <f>COUNTIFS(실시간콜입력!$B:$B,$A707,실시간콜입력!$E:$E,"A",실시간콜입력!$G:$G,$B707,실시간콜입력!$O:$O,"방문완료")+COUNTIFS(실시간콜입력!$B:$B,$A707,실시간콜입력!$E:$E,"A",실시간콜입력!$H:$H,$B707,실시간콜입력!$O:$O,"방문완료")</f>
        <v>0</v>
      </c>
      <c r="G707" s="29">
        <f>COUNTIFS(실시간콜입력!$B:$B,$A707,실시간콜입력!$E:$E,"B",실시간콜입력!$G:$G,$B707,실시간콜입력!$O:$O,"방문완료")+COUNTIFS(실시간콜입력!$B:$B,$A707,실시간콜입력!$E:$E,"B",실시간콜입력!$H:$H,$B707,실시간콜입력!$O:$O,"방문완료")</f>
        <v>0</v>
      </c>
      <c r="H707" s="29">
        <f>COUNTIFS(실시간콜입력!$B:$B,$A707,실시간콜입력!$E:$E,"C",실시간콜입력!$G:$G,$B707,실시간콜입력!$O:$O,"방문완료")+COUNTIFS(실시간콜입력!$B:$B,$A707,실시간콜입력!$E:$E,"C",실시간콜입력!$H:$H,$B707,실시간콜입력!$O:$O,"방문완료")</f>
        <v>0</v>
      </c>
      <c r="I707" s="29">
        <f>COUNTIFS(실시간콜입력!$B:$B,$A707,실시간콜입력!$E:$E,"D",실시간콜입력!$G:$G,$B707,실시간콜입력!$O:$O,"방문완료")+COUNTIFS(실시간콜입력!$B:$B,$A707,실시간콜입력!$E:$E,"D",실시간콜입력!$H:$H,$B707,실시간콜입력!$O:$O,"방문완료")</f>
        <v>0</v>
      </c>
      <c r="J707" s="29">
        <f>COUNTIFS(실시간콜입력!$B:$B,$A707,실시간콜입력!$E:$E,"E",실시간콜입력!$G:$G,$B707,실시간콜입력!$O:$O,"방문완료")+COUNTIFS(실시간콜입력!$B:$B,$A707,실시간콜입력!$E:$E,"E",실시간콜입력!$H:$H,$B707,실시간콜입력!$O:$O,"방문완료")</f>
        <v>0</v>
      </c>
      <c r="K707" s="29">
        <f t="shared" si="93"/>
        <v>0</v>
      </c>
      <c r="L707" s="27">
        <f>SUMIFS(실시간콜입력!$K:$K,실시간콜입력!$B:$B,$A707,실시간콜입력!$G:$G,$B707,실시간콜입력!$O:$O,"방문완료")+SUMIFS(실시간콜입력!$L:$L,실시간콜입력!$B:$B,$A707,실시간콜입력!$H:$H,$B707,실시간콜입력!$O:$O,"방문완료")</f>
        <v>0</v>
      </c>
      <c r="M707" s="29" t="str">
        <f t="shared" si="94"/>
        <v/>
      </c>
      <c r="N707" s="29"/>
    </row>
    <row r="708" spans="1:14" ht="19.5" hidden="1" customHeight="1" outlineLevel="1">
      <c r="A708" s="30">
        <f>IF(14&lt;=DAY(DATE(YEAR(설정_코스수당!$K$2),MONTH(설정_코스수당!$K$2)+1,0)),DATE(YEAR(설정_코스수당!$K$2),MONTH(설정_코스수당!$K$2),14),"")</f>
        <v>46187</v>
      </c>
      <c r="B708" s="29" t="s">
        <v>188</v>
      </c>
      <c r="C708" s="29"/>
      <c r="D708" s="29"/>
      <c r="E708" s="29" t="str">
        <f t="shared" si="92"/>
        <v/>
      </c>
      <c r="F708" s="29">
        <f>COUNTIFS(실시간콜입력!$B:$B,$A708,실시간콜입력!$E:$E,"A",실시간콜입력!$G:$G,$B708,실시간콜입력!$O:$O,"방문완료")+COUNTIFS(실시간콜입력!$B:$B,$A708,실시간콜입력!$E:$E,"A",실시간콜입력!$H:$H,$B708,실시간콜입력!$O:$O,"방문완료")</f>
        <v>0</v>
      </c>
      <c r="G708" s="29">
        <f>COUNTIFS(실시간콜입력!$B:$B,$A708,실시간콜입력!$E:$E,"B",실시간콜입력!$G:$G,$B708,실시간콜입력!$O:$O,"방문완료")+COUNTIFS(실시간콜입력!$B:$B,$A708,실시간콜입력!$E:$E,"B",실시간콜입력!$H:$H,$B708,실시간콜입력!$O:$O,"방문완료")</f>
        <v>0</v>
      </c>
      <c r="H708" s="29">
        <f>COUNTIFS(실시간콜입력!$B:$B,$A708,실시간콜입력!$E:$E,"C",실시간콜입력!$G:$G,$B708,실시간콜입력!$O:$O,"방문완료")+COUNTIFS(실시간콜입력!$B:$B,$A708,실시간콜입력!$E:$E,"C",실시간콜입력!$H:$H,$B708,실시간콜입력!$O:$O,"방문완료")</f>
        <v>0</v>
      </c>
      <c r="I708" s="29">
        <f>COUNTIFS(실시간콜입력!$B:$B,$A708,실시간콜입력!$E:$E,"D",실시간콜입력!$G:$G,$B708,실시간콜입력!$O:$O,"방문완료")+COUNTIFS(실시간콜입력!$B:$B,$A708,실시간콜입력!$E:$E,"D",실시간콜입력!$H:$H,$B708,실시간콜입력!$O:$O,"방문완료")</f>
        <v>0</v>
      </c>
      <c r="J708" s="29">
        <f>COUNTIFS(실시간콜입력!$B:$B,$A708,실시간콜입력!$E:$E,"E",실시간콜입력!$G:$G,$B708,실시간콜입력!$O:$O,"방문완료")+COUNTIFS(실시간콜입력!$B:$B,$A708,실시간콜입력!$E:$E,"E",실시간콜입력!$H:$H,$B708,실시간콜입력!$O:$O,"방문완료")</f>
        <v>0</v>
      </c>
      <c r="K708" s="29">
        <f t="shared" si="93"/>
        <v>0</v>
      </c>
      <c r="L708" s="33">
        <f>SUMIFS(실시간콜입력!$K:$K,실시간콜입력!$B:$B,$A708,실시간콜입력!$G:$G,$B708,실시간콜입력!$O:$O,"방문완료")+SUMIFS(실시간콜입력!$L:$L,실시간콜입력!$B:$B,$A708,실시간콜입력!$H:$H,$B708,실시간콜입력!$O:$O,"방문완료")</f>
        <v>0</v>
      </c>
      <c r="M708" s="29" t="str">
        <f t="shared" si="94"/>
        <v/>
      </c>
      <c r="N708" s="29"/>
    </row>
    <row r="709" spans="1:14" ht="19.5" hidden="1" customHeight="1" outlineLevel="1">
      <c r="A709" s="24">
        <f>IF(14&lt;=DAY(DATE(YEAR(설정_코스수당!$K$2),MONTH(설정_코스수당!$K$2)+1,0)),DATE(YEAR(설정_코스수당!$K$2),MONTH(설정_코스수당!$K$2),14),"")</f>
        <v>46187</v>
      </c>
      <c r="B709" s="23" t="s">
        <v>189</v>
      </c>
      <c r="C709" s="29"/>
      <c r="D709" s="29"/>
      <c r="E709" s="29" t="str">
        <f t="shared" si="92"/>
        <v/>
      </c>
      <c r="F709" s="29">
        <f>COUNTIFS(실시간콜입력!$B:$B,$A709,실시간콜입력!$E:$E,"A",실시간콜입력!$G:$G,$B709,실시간콜입력!$O:$O,"방문완료")+COUNTIFS(실시간콜입력!$B:$B,$A709,실시간콜입력!$E:$E,"A",실시간콜입력!$H:$H,$B709,실시간콜입력!$O:$O,"방문완료")</f>
        <v>0</v>
      </c>
      <c r="G709" s="29">
        <f>COUNTIFS(실시간콜입력!$B:$B,$A709,실시간콜입력!$E:$E,"B",실시간콜입력!$G:$G,$B709,실시간콜입력!$O:$O,"방문완료")+COUNTIFS(실시간콜입력!$B:$B,$A709,실시간콜입력!$E:$E,"B",실시간콜입력!$H:$H,$B709,실시간콜입력!$O:$O,"방문완료")</f>
        <v>0</v>
      </c>
      <c r="H709" s="29">
        <f>COUNTIFS(실시간콜입력!$B:$B,$A709,실시간콜입력!$E:$E,"C",실시간콜입력!$G:$G,$B709,실시간콜입력!$O:$O,"방문완료")+COUNTIFS(실시간콜입력!$B:$B,$A709,실시간콜입력!$E:$E,"C",실시간콜입력!$H:$H,$B709,실시간콜입력!$O:$O,"방문완료")</f>
        <v>0</v>
      </c>
      <c r="I709" s="29">
        <f>COUNTIFS(실시간콜입력!$B:$B,$A709,실시간콜입력!$E:$E,"D",실시간콜입력!$G:$G,$B709,실시간콜입력!$O:$O,"방문완료")+COUNTIFS(실시간콜입력!$B:$B,$A709,실시간콜입력!$E:$E,"D",실시간콜입력!$H:$H,$B709,실시간콜입력!$O:$O,"방문완료")</f>
        <v>0</v>
      </c>
      <c r="J709" s="29">
        <f>COUNTIFS(실시간콜입력!$B:$B,$A709,실시간콜입력!$E:$E,"E",실시간콜입력!$G:$G,$B709,실시간콜입력!$O:$O,"방문완료")+COUNTIFS(실시간콜입력!$B:$B,$A709,실시간콜입력!$E:$E,"E",실시간콜입력!$H:$H,$B709,실시간콜입력!$O:$O,"방문완료")</f>
        <v>0</v>
      </c>
      <c r="K709" s="29">
        <f t="shared" si="93"/>
        <v>0</v>
      </c>
      <c r="L709" s="27">
        <f>SUMIFS(실시간콜입력!$K:$K,실시간콜입력!$B:$B,$A709,실시간콜입력!$G:$G,$B709,실시간콜입력!$O:$O,"방문완료")+SUMIFS(실시간콜입력!$L:$L,실시간콜입력!$B:$B,$A709,실시간콜입력!$H:$H,$B709,실시간콜입력!$O:$O,"방문완료")</f>
        <v>0</v>
      </c>
      <c r="M709" s="29" t="str">
        <f t="shared" si="94"/>
        <v/>
      </c>
      <c r="N709" s="29"/>
    </row>
    <row r="710" spans="1:14" ht="19.5" hidden="1" customHeight="1" outlineLevel="1">
      <c r="A710" s="30">
        <f>IF(14&lt;=DAY(DATE(YEAR(설정_코스수당!$K$2),MONTH(설정_코스수당!$K$2)+1,0)),DATE(YEAR(설정_코스수당!$K$2),MONTH(설정_코스수당!$K$2),14),"")</f>
        <v>46187</v>
      </c>
      <c r="B710" s="29" t="s">
        <v>190</v>
      </c>
      <c r="C710" s="29"/>
      <c r="D710" s="29"/>
      <c r="E710" s="29" t="str">
        <f t="shared" si="92"/>
        <v/>
      </c>
      <c r="F710" s="29">
        <f>COUNTIFS(실시간콜입력!$B:$B,$A710,실시간콜입력!$E:$E,"A",실시간콜입력!$G:$G,$B710,실시간콜입력!$O:$O,"방문완료")+COUNTIFS(실시간콜입력!$B:$B,$A710,실시간콜입력!$E:$E,"A",실시간콜입력!$H:$H,$B710,실시간콜입력!$O:$O,"방문완료")</f>
        <v>0</v>
      </c>
      <c r="G710" s="29">
        <f>COUNTIFS(실시간콜입력!$B:$B,$A710,실시간콜입력!$E:$E,"B",실시간콜입력!$G:$G,$B710,실시간콜입력!$O:$O,"방문완료")+COUNTIFS(실시간콜입력!$B:$B,$A710,실시간콜입력!$E:$E,"B",실시간콜입력!$H:$H,$B710,실시간콜입력!$O:$O,"방문완료")</f>
        <v>0</v>
      </c>
      <c r="H710" s="29">
        <f>COUNTIFS(실시간콜입력!$B:$B,$A710,실시간콜입력!$E:$E,"C",실시간콜입력!$G:$G,$B710,실시간콜입력!$O:$O,"방문완료")+COUNTIFS(실시간콜입력!$B:$B,$A710,실시간콜입력!$E:$E,"C",실시간콜입력!$H:$H,$B710,실시간콜입력!$O:$O,"방문완료")</f>
        <v>0</v>
      </c>
      <c r="I710" s="29">
        <f>COUNTIFS(실시간콜입력!$B:$B,$A710,실시간콜입력!$E:$E,"D",실시간콜입력!$G:$G,$B710,실시간콜입력!$O:$O,"방문완료")+COUNTIFS(실시간콜입력!$B:$B,$A710,실시간콜입력!$E:$E,"D",실시간콜입력!$H:$H,$B710,실시간콜입력!$O:$O,"방문완료")</f>
        <v>0</v>
      </c>
      <c r="J710" s="29">
        <f>COUNTIFS(실시간콜입력!$B:$B,$A710,실시간콜입력!$E:$E,"E",실시간콜입력!$G:$G,$B710,실시간콜입력!$O:$O,"방문완료")+COUNTIFS(실시간콜입력!$B:$B,$A710,실시간콜입력!$E:$E,"E",실시간콜입력!$H:$H,$B710,실시간콜입력!$O:$O,"방문완료")</f>
        <v>0</v>
      </c>
      <c r="K710" s="29">
        <f t="shared" si="93"/>
        <v>0</v>
      </c>
      <c r="L710" s="33">
        <f>SUMIFS(실시간콜입력!$K:$K,실시간콜입력!$B:$B,$A710,실시간콜입력!$G:$G,$B710,실시간콜입력!$O:$O,"방문완료")+SUMIFS(실시간콜입력!$L:$L,실시간콜입력!$B:$B,$A710,실시간콜입력!$H:$H,$B710,실시간콜입력!$O:$O,"방문완료")</f>
        <v>0</v>
      </c>
      <c r="M710" s="29" t="str">
        <f t="shared" si="94"/>
        <v/>
      </c>
      <c r="N710" s="29"/>
    </row>
    <row r="711" spans="1:14" ht="19.5" hidden="1" customHeight="1" outlineLevel="1">
      <c r="A711" s="24">
        <f>IF(14&lt;=DAY(DATE(YEAR(설정_코스수당!$K$2),MONTH(설정_코스수당!$K$2)+1,0)),DATE(YEAR(설정_코스수당!$K$2),MONTH(설정_코스수당!$K$2),14),"")</f>
        <v>46187</v>
      </c>
      <c r="B711" s="23" t="s">
        <v>191</v>
      </c>
      <c r="C711" s="29"/>
      <c r="D711" s="29"/>
      <c r="E711" s="29" t="str">
        <f t="shared" si="92"/>
        <v/>
      </c>
      <c r="F711" s="29">
        <f>COUNTIFS(실시간콜입력!$B:$B,$A711,실시간콜입력!$E:$E,"A",실시간콜입력!$G:$G,$B711,실시간콜입력!$O:$O,"방문완료")+COUNTIFS(실시간콜입력!$B:$B,$A711,실시간콜입력!$E:$E,"A",실시간콜입력!$H:$H,$B711,실시간콜입력!$O:$O,"방문완료")</f>
        <v>0</v>
      </c>
      <c r="G711" s="29">
        <f>COUNTIFS(실시간콜입력!$B:$B,$A711,실시간콜입력!$E:$E,"B",실시간콜입력!$G:$G,$B711,실시간콜입력!$O:$O,"방문완료")+COUNTIFS(실시간콜입력!$B:$B,$A711,실시간콜입력!$E:$E,"B",실시간콜입력!$H:$H,$B711,실시간콜입력!$O:$O,"방문완료")</f>
        <v>0</v>
      </c>
      <c r="H711" s="29">
        <f>COUNTIFS(실시간콜입력!$B:$B,$A711,실시간콜입력!$E:$E,"C",실시간콜입력!$G:$G,$B711,실시간콜입력!$O:$O,"방문완료")+COUNTIFS(실시간콜입력!$B:$B,$A711,실시간콜입력!$E:$E,"C",실시간콜입력!$H:$H,$B711,실시간콜입력!$O:$O,"방문완료")</f>
        <v>0</v>
      </c>
      <c r="I711" s="29">
        <f>COUNTIFS(실시간콜입력!$B:$B,$A711,실시간콜입력!$E:$E,"D",실시간콜입력!$G:$G,$B711,실시간콜입력!$O:$O,"방문완료")+COUNTIFS(실시간콜입력!$B:$B,$A711,실시간콜입력!$E:$E,"D",실시간콜입력!$H:$H,$B711,실시간콜입력!$O:$O,"방문완료")</f>
        <v>0</v>
      </c>
      <c r="J711" s="29">
        <f>COUNTIFS(실시간콜입력!$B:$B,$A711,실시간콜입력!$E:$E,"E",실시간콜입력!$G:$G,$B711,실시간콜입력!$O:$O,"방문완료")+COUNTIFS(실시간콜입력!$B:$B,$A711,실시간콜입력!$E:$E,"E",실시간콜입력!$H:$H,$B711,실시간콜입력!$O:$O,"방문완료")</f>
        <v>0</v>
      </c>
      <c r="K711" s="29">
        <f t="shared" si="93"/>
        <v>0</v>
      </c>
      <c r="L711" s="27">
        <f>SUMIFS(실시간콜입력!$K:$K,실시간콜입력!$B:$B,$A711,실시간콜입력!$G:$G,$B711,실시간콜입력!$O:$O,"방문완료")+SUMIFS(실시간콜입력!$L:$L,실시간콜입력!$B:$B,$A711,실시간콜입력!$H:$H,$B711,실시간콜입력!$O:$O,"방문완료")</f>
        <v>0</v>
      </c>
      <c r="M711" s="29" t="str">
        <f t="shared" si="94"/>
        <v/>
      </c>
      <c r="N711" s="29"/>
    </row>
    <row r="712" spans="1:14" ht="19.5" hidden="1" customHeight="1" outlineLevel="1">
      <c r="A712" s="30">
        <f>IF(14&lt;=DAY(DATE(YEAR(설정_코스수당!$K$2),MONTH(설정_코스수당!$K$2)+1,0)),DATE(YEAR(설정_코스수당!$K$2),MONTH(설정_코스수당!$K$2),14),"")</f>
        <v>46187</v>
      </c>
      <c r="B712" s="29" t="s">
        <v>192</v>
      </c>
      <c r="C712" s="29"/>
      <c r="D712" s="29"/>
      <c r="E712" s="29" t="str">
        <f t="shared" si="92"/>
        <v/>
      </c>
      <c r="F712" s="29">
        <f>COUNTIFS(실시간콜입력!$B:$B,$A712,실시간콜입력!$E:$E,"A",실시간콜입력!$G:$G,$B712,실시간콜입력!$O:$O,"방문완료")+COUNTIFS(실시간콜입력!$B:$B,$A712,실시간콜입력!$E:$E,"A",실시간콜입력!$H:$H,$B712,실시간콜입력!$O:$O,"방문완료")</f>
        <v>0</v>
      </c>
      <c r="G712" s="29">
        <f>COUNTIFS(실시간콜입력!$B:$B,$A712,실시간콜입력!$E:$E,"B",실시간콜입력!$G:$G,$B712,실시간콜입력!$O:$O,"방문완료")+COUNTIFS(실시간콜입력!$B:$B,$A712,실시간콜입력!$E:$E,"B",실시간콜입력!$H:$H,$B712,실시간콜입력!$O:$O,"방문완료")</f>
        <v>0</v>
      </c>
      <c r="H712" s="29">
        <f>COUNTIFS(실시간콜입력!$B:$B,$A712,실시간콜입력!$E:$E,"C",실시간콜입력!$G:$G,$B712,실시간콜입력!$O:$O,"방문완료")+COUNTIFS(실시간콜입력!$B:$B,$A712,실시간콜입력!$E:$E,"C",실시간콜입력!$H:$H,$B712,실시간콜입력!$O:$O,"방문완료")</f>
        <v>0</v>
      </c>
      <c r="I712" s="29">
        <f>COUNTIFS(실시간콜입력!$B:$B,$A712,실시간콜입력!$E:$E,"D",실시간콜입력!$G:$G,$B712,실시간콜입력!$O:$O,"방문완료")+COUNTIFS(실시간콜입력!$B:$B,$A712,실시간콜입력!$E:$E,"D",실시간콜입력!$H:$H,$B712,실시간콜입력!$O:$O,"방문완료")</f>
        <v>0</v>
      </c>
      <c r="J712" s="29">
        <f>COUNTIFS(실시간콜입력!$B:$B,$A712,실시간콜입력!$E:$E,"E",실시간콜입력!$G:$G,$B712,실시간콜입력!$O:$O,"방문완료")+COUNTIFS(실시간콜입력!$B:$B,$A712,실시간콜입력!$E:$E,"E",실시간콜입력!$H:$H,$B712,실시간콜입력!$O:$O,"방문완료")</f>
        <v>0</v>
      </c>
      <c r="K712" s="29">
        <f t="shared" si="93"/>
        <v>0</v>
      </c>
      <c r="L712" s="33">
        <f>SUMIFS(실시간콜입력!$K:$K,실시간콜입력!$B:$B,$A712,실시간콜입력!$G:$G,$B712,실시간콜입력!$O:$O,"방문완료")+SUMIFS(실시간콜입력!$L:$L,실시간콜입력!$B:$B,$A712,실시간콜입력!$H:$H,$B712,실시간콜입력!$O:$O,"방문완료")</f>
        <v>0</v>
      </c>
      <c r="M712" s="29" t="str">
        <f t="shared" si="94"/>
        <v/>
      </c>
      <c r="N712" s="29"/>
    </row>
    <row r="713" spans="1:14" ht="19.5" hidden="1" customHeight="1" outlineLevel="1">
      <c r="A713" s="24">
        <f>IF(14&lt;=DAY(DATE(YEAR(설정_코스수당!$K$2),MONTH(설정_코스수당!$K$2)+1,0)),DATE(YEAR(설정_코스수당!$K$2),MONTH(설정_코스수당!$K$2),14),"")</f>
        <v>46187</v>
      </c>
      <c r="B713" s="23" t="s">
        <v>193</v>
      </c>
      <c r="C713" s="29"/>
      <c r="D713" s="29"/>
      <c r="E713" s="29" t="str">
        <f t="shared" si="92"/>
        <v/>
      </c>
      <c r="F713" s="29">
        <f>COUNTIFS(실시간콜입력!$B:$B,$A713,실시간콜입력!$E:$E,"A",실시간콜입력!$G:$G,$B713,실시간콜입력!$O:$O,"방문완료")+COUNTIFS(실시간콜입력!$B:$B,$A713,실시간콜입력!$E:$E,"A",실시간콜입력!$H:$H,$B713,실시간콜입력!$O:$O,"방문완료")</f>
        <v>0</v>
      </c>
      <c r="G713" s="29">
        <f>COUNTIFS(실시간콜입력!$B:$B,$A713,실시간콜입력!$E:$E,"B",실시간콜입력!$G:$G,$B713,실시간콜입력!$O:$O,"방문완료")+COUNTIFS(실시간콜입력!$B:$B,$A713,실시간콜입력!$E:$E,"B",실시간콜입력!$H:$H,$B713,실시간콜입력!$O:$O,"방문완료")</f>
        <v>0</v>
      </c>
      <c r="H713" s="29">
        <f>COUNTIFS(실시간콜입력!$B:$B,$A713,실시간콜입력!$E:$E,"C",실시간콜입력!$G:$G,$B713,실시간콜입력!$O:$O,"방문완료")+COUNTIFS(실시간콜입력!$B:$B,$A713,실시간콜입력!$E:$E,"C",실시간콜입력!$H:$H,$B713,실시간콜입력!$O:$O,"방문완료")</f>
        <v>0</v>
      </c>
      <c r="I713" s="29">
        <f>COUNTIFS(실시간콜입력!$B:$B,$A713,실시간콜입력!$E:$E,"D",실시간콜입력!$G:$G,$B713,실시간콜입력!$O:$O,"방문완료")+COUNTIFS(실시간콜입력!$B:$B,$A713,실시간콜입력!$E:$E,"D",실시간콜입력!$H:$H,$B713,실시간콜입력!$O:$O,"방문완료")</f>
        <v>0</v>
      </c>
      <c r="J713" s="29">
        <f>COUNTIFS(실시간콜입력!$B:$B,$A713,실시간콜입력!$E:$E,"E",실시간콜입력!$G:$G,$B713,실시간콜입력!$O:$O,"방문완료")+COUNTIFS(실시간콜입력!$B:$B,$A713,실시간콜입력!$E:$E,"E",실시간콜입력!$H:$H,$B713,실시간콜입력!$O:$O,"방문완료")</f>
        <v>0</v>
      </c>
      <c r="K713" s="29">
        <f t="shared" si="93"/>
        <v>0</v>
      </c>
      <c r="L713" s="27">
        <f>SUMIFS(실시간콜입력!$K:$K,실시간콜입력!$B:$B,$A713,실시간콜입력!$G:$G,$B713,실시간콜입력!$O:$O,"방문완료")+SUMIFS(실시간콜입력!$L:$L,실시간콜입력!$B:$B,$A713,실시간콜입력!$H:$H,$B713,실시간콜입력!$O:$O,"방문완료")</f>
        <v>0</v>
      </c>
      <c r="M713" s="29" t="str">
        <f t="shared" si="94"/>
        <v/>
      </c>
      <c r="N713" s="29"/>
    </row>
    <row r="714" spans="1:14" ht="19.5" hidden="1" customHeight="1" outlineLevel="1">
      <c r="A714" s="30">
        <f>IF(14&lt;=DAY(DATE(YEAR(설정_코스수당!$K$2),MONTH(설정_코스수당!$K$2)+1,0)),DATE(YEAR(설정_코스수당!$K$2),MONTH(설정_코스수당!$K$2),14),"")</f>
        <v>46187</v>
      </c>
      <c r="B714" s="29" t="s">
        <v>194</v>
      </c>
      <c r="C714" s="29"/>
      <c r="D714" s="29"/>
      <c r="E714" s="29" t="str">
        <f t="shared" si="92"/>
        <v/>
      </c>
      <c r="F714" s="29">
        <f>COUNTIFS(실시간콜입력!$B:$B,$A714,실시간콜입력!$E:$E,"A",실시간콜입력!$G:$G,$B714,실시간콜입력!$O:$O,"방문완료")+COUNTIFS(실시간콜입력!$B:$B,$A714,실시간콜입력!$E:$E,"A",실시간콜입력!$H:$H,$B714,실시간콜입력!$O:$O,"방문완료")</f>
        <v>0</v>
      </c>
      <c r="G714" s="29">
        <f>COUNTIFS(실시간콜입력!$B:$B,$A714,실시간콜입력!$E:$E,"B",실시간콜입력!$G:$G,$B714,실시간콜입력!$O:$O,"방문완료")+COUNTIFS(실시간콜입력!$B:$B,$A714,실시간콜입력!$E:$E,"B",실시간콜입력!$H:$H,$B714,실시간콜입력!$O:$O,"방문완료")</f>
        <v>0</v>
      </c>
      <c r="H714" s="29">
        <f>COUNTIFS(실시간콜입력!$B:$B,$A714,실시간콜입력!$E:$E,"C",실시간콜입력!$G:$G,$B714,실시간콜입력!$O:$O,"방문완료")+COUNTIFS(실시간콜입력!$B:$B,$A714,실시간콜입력!$E:$E,"C",실시간콜입력!$H:$H,$B714,실시간콜입력!$O:$O,"방문완료")</f>
        <v>0</v>
      </c>
      <c r="I714" s="29">
        <f>COUNTIFS(실시간콜입력!$B:$B,$A714,실시간콜입력!$E:$E,"D",실시간콜입력!$G:$G,$B714,실시간콜입력!$O:$O,"방문완료")+COUNTIFS(실시간콜입력!$B:$B,$A714,실시간콜입력!$E:$E,"D",실시간콜입력!$H:$H,$B714,실시간콜입력!$O:$O,"방문완료")</f>
        <v>0</v>
      </c>
      <c r="J714" s="29">
        <f>COUNTIFS(실시간콜입력!$B:$B,$A714,실시간콜입력!$E:$E,"E",실시간콜입력!$G:$G,$B714,실시간콜입력!$O:$O,"방문완료")+COUNTIFS(실시간콜입력!$B:$B,$A714,실시간콜입력!$E:$E,"E",실시간콜입력!$H:$H,$B714,실시간콜입력!$O:$O,"방문완료")</f>
        <v>0</v>
      </c>
      <c r="K714" s="29">
        <f t="shared" si="93"/>
        <v>0</v>
      </c>
      <c r="L714" s="33">
        <f>SUMIFS(실시간콜입력!$K:$K,실시간콜입력!$B:$B,$A714,실시간콜입력!$G:$G,$B714,실시간콜입력!$O:$O,"방문완료")+SUMIFS(실시간콜입력!$L:$L,실시간콜입력!$B:$B,$A714,실시간콜입력!$H:$H,$B714,실시간콜입력!$O:$O,"방문완료")</f>
        <v>0</v>
      </c>
      <c r="M714" s="29" t="str">
        <f t="shared" si="94"/>
        <v/>
      </c>
      <c r="N714" s="29"/>
    </row>
    <row r="715" spans="1:14" ht="19.5" hidden="1" customHeight="1" outlineLevel="1">
      <c r="A715" s="24">
        <f>IF(14&lt;=DAY(DATE(YEAR(설정_코스수당!$K$2),MONTH(설정_코스수당!$K$2)+1,0)),DATE(YEAR(설정_코스수당!$K$2),MONTH(설정_코스수당!$K$2),14),"")</f>
        <v>46187</v>
      </c>
      <c r="B715" s="23" t="s">
        <v>195</v>
      </c>
      <c r="C715" s="29"/>
      <c r="D715" s="29"/>
      <c r="E715" s="29" t="str">
        <f t="shared" ref="E715:E746" si="95">IF(AND(C715&lt;&gt;"",D715&lt;&gt;""),IF(D715&lt;C715,D715+1-C715,D715-C715)*24,"")</f>
        <v/>
      </c>
      <c r="F715" s="29">
        <f>COUNTIFS(실시간콜입력!$B:$B,$A715,실시간콜입력!$E:$E,"A",실시간콜입력!$G:$G,$B715,실시간콜입력!$O:$O,"방문완료")+COUNTIFS(실시간콜입력!$B:$B,$A715,실시간콜입력!$E:$E,"A",실시간콜입력!$H:$H,$B715,실시간콜입력!$O:$O,"방문완료")</f>
        <v>0</v>
      </c>
      <c r="G715" s="29">
        <f>COUNTIFS(실시간콜입력!$B:$B,$A715,실시간콜입력!$E:$E,"B",실시간콜입력!$G:$G,$B715,실시간콜입력!$O:$O,"방문완료")+COUNTIFS(실시간콜입력!$B:$B,$A715,실시간콜입력!$E:$E,"B",실시간콜입력!$H:$H,$B715,실시간콜입력!$O:$O,"방문완료")</f>
        <v>0</v>
      </c>
      <c r="H715" s="29">
        <f>COUNTIFS(실시간콜입력!$B:$B,$A715,실시간콜입력!$E:$E,"C",실시간콜입력!$G:$G,$B715,실시간콜입력!$O:$O,"방문완료")+COUNTIFS(실시간콜입력!$B:$B,$A715,실시간콜입력!$E:$E,"C",실시간콜입력!$H:$H,$B715,실시간콜입력!$O:$O,"방문완료")</f>
        <v>0</v>
      </c>
      <c r="I715" s="29">
        <f>COUNTIFS(실시간콜입력!$B:$B,$A715,실시간콜입력!$E:$E,"D",실시간콜입력!$G:$G,$B715,실시간콜입력!$O:$O,"방문완료")+COUNTIFS(실시간콜입력!$B:$B,$A715,실시간콜입력!$E:$E,"D",실시간콜입력!$H:$H,$B715,실시간콜입력!$O:$O,"방문완료")</f>
        <v>0</v>
      </c>
      <c r="J715" s="29">
        <f>COUNTIFS(실시간콜입력!$B:$B,$A715,실시간콜입력!$E:$E,"E",실시간콜입력!$G:$G,$B715,실시간콜입력!$O:$O,"방문완료")+COUNTIFS(실시간콜입력!$B:$B,$A715,실시간콜입력!$E:$E,"E",실시간콜입력!$H:$H,$B715,실시간콜입력!$O:$O,"방문완료")</f>
        <v>0</v>
      </c>
      <c r="K715" s="29">
        <f t="shared" ref="K715:K746" si="96">SUM(F715:J715)</f>
        <v>0</v>
      </c>
      <c r="L715" s="27">
        <f>SUMIFS(실시간콜입력!$K:$K,실시간콜입력!$B:$B,$A715,실시간콜입력!$G:$G,$B715,실시간콜입력!$O:$O,"방문완료")+SUMIFS(실시간콜입력!$L:$L,실시간콜입력!$B:$B,$A715,실시간콜입력!$H:$H,$B715,실시간콜입력!$O:$O,"방문완료")</f>
        <v>0</v>
      </c>
      <c r="M715" s="29" t="str">
        <f t="shared" ref="M715:M732" si="97">IF(AND(ISNUMBER(E715),E715&gt;=8),"인정","")</f>
        <v/>
      </c>
      <c r="N715" s="29"/>
    </row>
    <row r="716" spans="1:14" ht="19.5" hidden="1" customHeight="1" outlineLevel="1">
      <c r="A716" s="30">
        <f>IF(14&lt;=DAY(DATE(YEAR(설정_코스수당!$K$2),MONTH(설정_코스수당!$K$2)+1,0)),DATE(YEAR(설정_코스수당!$K$2),MONTH(설정_코스수당!$K$2),14),"")</f>
        <v>46187</v>
      </c>
      <c r="B716" s="29" t="s">
        <v>196</v>
      </c>
      <c r="C716" s="29"/>
      <c r="D716" s="29"/>
      <c r="E716" s="29" t="str">
        <f t="shared" si="95"/>
        <v/>
      </c>
      <c r="F716" s="29">
        <f>COUNTIFS(실시간콜입력!$B:$B,$A716,실시간콜입력!$E:$E,"A",실시간콜입력!$G:$G,$B716,실시간콜입력!$O:$O,"방문완료")+COUNTIFS(실시간콜입력!$B:$B,$A716,실시간콜입력!$E:$E,"A",실시간콜입력!$H:$H,$B716,실시간콜입력!$O:$O,"방문완료")</f>
        <v>0</v>
      </c>
      <c r="G716" s="29">
        <f>COUNTIFS(실시간콜입력!$B:$B,$A716,실시간콜입력!$E:$E,"B",실시간콜입력!$G:$G,$B716,실시간콜입력!$O:$O,"방문완료")+COUNTIFS(실시간콜입력!$B:$B,$A716,실시간콜입력!$E:$E,"B",실시간콜입력!$H:$H,$B716,실시간콜입력!$O:$O,"방문완료")</f>
        <v>0</v>
      </c>
      <c r="H716" s="29">
        <f>COUNTIFS(실시간콜입력!$B:$B,$A716,실시간콜입력!$E:$E,"C",실시간콜입력!$G:$G,$B716,실시간콜입력!$O:$O,"방문완료")+COUNTIFS(실시간콜입력!$B:$B,$A716,실시간콜입력!$E:$E,"C",실시간콜입력!$H:$H,$B716,실시간콜입력!$O:$O,"방문완료")</f>
        <v>0</v>
      </c>
      <c r="I716" s="29">
        <f>COUNTIFS(실시간콜입력!$B:$B,$A716,실시간콜입력!$E:$E,"D",실시간콜입력!$G:$G,$B716,실시간콜입력!$O:$O,"방문완료")+COUNTIFS(실시간콜입력!$B:$B,$A716,실시간콜입력!$E:$E,"D",실시간콜입력!$H:$H,$B716,실시간콜입력!$O:$O,"방문완료")</f>
        <v>0</v>
      </c>
      <c r="J716" s="29">
        <f>COUNTIFS(실시간콜입력!$B:$B,$A716,실시간콜입력!$E:$E,"E",실시간콜입력!$G:$G,$B716,실시간콜입력!$O:$O,"방문완료")+COUNTIFS(실시간콜입력!$B:$B,$A716,실시간콜입력!$E:$E,"E",실시간콜입력!$H:$H,$B716,실시간콜입력!$O:$O,"방문완료")</f>
        <v>0</v>
      </c>
      <c r="K716" s="29">
        <f t="shared" si="96"/>
        <v>0</v>
      </c>
      <c r="L716" s="33">
        <f>SUMIFS(실시간콜입력!$K:$K,실시간콜입력!$B:$B,$A716,실시간콜입력!$G:$G,$B716,실시간콜입력!$O:$O,"방문완료")+SUMIFS(실시간콜입력!$L:$L,실시간콜입력!$B:$B,$A716,실시간콜입력!$H:$H,$B716,실시간콜입력!$O:$O,"방문완료")</f>
        <v>0</v>
      </c>
      <c r="M716" s="29" t="str">
        <f t="shared" si="97"/>
        <v/>
      </c>
      <c r="N716" s="29"/>
    </row>
    <row r="717" spans="1:14" ht="19.5" hidden="1" customHeight="1" outlineLevel="1">
      <c r="A717" s="24">
        <f>IF(14&lt;=DAY(DATE(YEAR(설정_코스수당!$K$2),MONTH(설정_코스수당!$K$2)+1,0)),DATE(YEAR(설정_코스수당!$K$2),MONTH(설정_코스수당!$K$2),14),"")</f>
        <v>46187</v>
      </c>
      <c r="B717" s="23" t="s">
        <v>197</v>
      </c>
      <c r="C717" s="29"/>
      <c r="D717" s="29"/>
      <c r="E717" s="29" t="str">
        <f t="shared" si="95"/>
        <v/>
      </c>
      <c r="F717" s="29">
        <f>COUNTIFS(실시간콜입력!$B:$B,$A717,실시간콜입력!$E:$E,"A",실시간콜입력!$G:$G,$B717,실시간콜입력!$O:$O,"방문완료")+COUNTIFS(실시간콜입력!$B:$B,$A717,실시간콜입력!$E:$E,"A",실시간콜입력!$H:$H,$B717,실시간콜입력!$O:$O,"방문완료")</f>
        <v>0</v>
      </c>
      <c r="G717" s="29">
        <f>COUNTIFS(실시간콜입력!$B:$B,$A717,실시간콜입력!$E:$E,"B",실시간콜입력!$G:$G,$B717,실시간콜입력!$O:$O,"방문완료")+COUNTIFS(실시간콜입력!$B:$B,$A717,실시간콜입력!$E:$E,"B",실시간콜입력!$H:$H,$B717,실시간콜입력!$O:$O,"방문완료")</f>
        <v>0</v>
      </c>
      <c r="H717" s="29">
        <f>COUNTIFS(실시간콜입력!$B:$B,$A717,실시간콜입력!$E:$E,"C",실시간콜입력!$G:$G,$B717,실시간콜입력!$O:$O,"방문완료")+COUNTIFS(실시간콜입력!$B:$B,$A717,실시간콜입력!$E:$E,"C",실시간콜입력!$H:$H,$B717,실시간콜입력!$O:$O,"방문완료")</f>
        <v>0</v>
      </c>
      <c r="I717" s="29">
        <f>COUNTIFS(실시간콜입력!$B:$B,$A717,실시간콜입력!$E:$E,"D",실시간콜입력!$G:$G,$B717,실시간콜입력!$O:$O,"방문완료")+COUNTIFS(실시간콜입력!$B:$B,$A717,실시간콜입력!$E:$E,"D",실시간콜입력!$H:$H,$B717,실시간콜입력!$O:$O,"방문완료")</f>
        <v>0</v>
      </c>
      <c r="J717" s="29">
        <f>COUNTIFS(실시간콜입력!$B:$B,$A717,실시간콜입력!$E:$E,"E",실시간콜입력!$G:$G,$B717,실시간콜입력!$O:$O,"방문완료")+COUNTIFS(실시간콜입력!$B:$B,$A717,실시간콜입력!$E:$E,"E",실시간콜입력!$H:$H,$B717,실시간콜입력!$O:$O,"방문완료")</f>
        <v>0</v>
      </c>
      <c r="K717" s="29">
        <f t="shared" si="96"/>
        <v>0</v>
      </c>
      <c r="L717" s="27">
        <f>SUMIFS(실시간콜입력!$K:$K,실시간콜입력!$B:$B,$A717,실시간콜입력!$G:$G,$B717,실시간콜입력!$O:$O,"방문완료")+SUMIFS(실시간콜입력!$L:$L,실시간콜입력!$B:$B,$A717,실시간콜입력!$H:$H,$B717,실시간콜입력!$O:$O,"방문완료")</f>
        <v>0</v>
      </c>
      <c r="M717" s="29" t="str">
        <f t="shared" si="97"/>
        <v/>
      </c>
      <c r="N717" s="29"/>
    </row>
    <row r="718" spans="1:14" ht="19.5" hidden="1" customHeight="1" outlineLevel="1">
      <c r="A718" s="30">
        <f>IF(14&lt;=DAY(DATE(YEAR(설정_코스수당!$K$2),MONTH(설정_코스수당!$K$2)+1,0)),DATE(YEAR(설정_코스수당!$K$2),MONTH(설정_코스수당!$K$2),14),"")</f>
        <v>46187</v>
      </c>
      <c r="B718" s="29" t="s">
        <v>198</v>
      </c>
      <c r="C718" s="29"/>
      <c r="D718" s="29"/>
      <c r="E718" s="29" t="str">
        <f t="shared" si="95"/>
        <v/>
      </c>
      <c r="F718" s="29">
        <f>COUNTIFS(실시간콜입력!$B:$B,$A718,실시간콜입력!$E:$E,"A",실시간콜입력!$G:$G,$B718,실시간콜입력!$O:$O,"방문완료")+COUNTIFS(실시간콜입력!$B:$B,$A718,실시간콜입력!$E:$E,"A",실시간콜입력!$H:$H,$B718,실시간콜입력!$O:$O,"방문완료")</f>
        <v>0</v>
      </c>
      <c r="G718" s="29">
        <f>COUNTIFS(실시간콜입력!$B:$B,$A718,실시간콜입력!$E:$E,"B",실시간콜입력!$G:$G,$B718,실시간콜입력!$O:$O,"방문완료")+COUNTIFS(실시간콜입력!$B:$B,$A718,실시간콜입력!$E:$E,"B",실시간콜입력!$H:$H,$B718,실시간콜입력!$O:$O,"방문완료")</f>
        <v>0</v>
      </c>
      <c r="H718" s="29">
        <f>COUNTIFS(실시간콜입력!$B:$B,$A718,실시간콜입력!$E:$E,"C",실시간콜입력!$G:$G,$B718,실시간콜입력!$O:$O,"방문완료")+COUNTIFS(실시간콜입력!$B:$B,$A718,실시간콜입력!$E:$E,"C",실시간콜입력!$H:$H,$B718,실시간콜입력!$O:$O,"방문완료")</f>
        <v>0</v>
      </c>
      <c r="I718" s="29">
        <f>COUNTIFS(실시간콜입력!$B:$B,$A718,실시간콜입력!$E:$E,"D",실시간콜입력!$G:$G,$B718,실시간콜입력!$O:$O,"방문완료")+COUNTIFS(실시간콜입력!$B:$B,$A718,실시간콜입력!$E:$E,"D",실시간콜입력!$H:$H,$B718,실시간콜입력!$O:$O,"방문완료")</f>
        <v>0</v>
      </c>
      <c r="J718" s="29">
        <f>COUNTIFS(실시간콜입력!$B:$B,$A718,실시간콜입력!$E:$E,"E",실시간콜입력!$G:$G,$B718,실시간콜입력!$O:$O,"방문완료")+COUNTIFS(실시간콜입력!$B:$B,$A718,실시간콜입력!$E:$E,"E",실시간콜입력!$H:$H,$B718,실시간콜입력!$O:$O,"방문완료")</f>
        <v>0</v>
      </c>
      <c r="K718" s="29">
        <f t="shared" si="96"/>
        <v>0</v>
      </c>
      <c r="L718" s="33">
        <f>SUMIFS(실시간콜입력!$K:$K,실시간콜입력!$B:$B,$A718,실시간콜입력!$G:$G,$B718,실시간콜입력!$O:$O,"방문완료")+SUMIFS(실시간콜입력!$L:$L,실시간콜입력!$B:$B,$A718,실시간콜입력!$H:$H,$B718,실시간콜입력!$O:$O,"방문완료")</f>
        <v>0</v>
      </c>
      <c r="M718" s="29" t="str">
        <f t="shared" si="97"/>
        <v/>
      </c>
      <c r="N718" s="29"/>
    </row>
    <row r="719" spans="1:14" ht="19.5" hidden="1" customHeight="1" outlineLevel="1">
      <c r="A719" s="24">
        <f>IF(14&lt;=DAY(DATE(YEAR(설정_코스수당!$K$2),MONTH(설정_코스수당!$K$2)+1,0)),DATE(YEAR(설정_코스수당!$K$2),MONTH(설정_코스수당!$K$2),14),"")</f>
        <v>46187</v>
      </c>
      <c r="B719" s="23" t="s">
        <v>199</v>
      </c>
      <c r="C719" s="29"/>
      <c r="D719" s="29"/>
      <c r="E719" s="29" t="str">
        <f t="shared" si="95"/>
        <v/>
      </c>
      <c r="F719" s="29">
        <f>COUNTIFS(실시간콜입력!$B:$B,$A719,실시간콜입력!$E:$E,"A",실시간콜입력!$G:$G,$B719,실시간콜입력!$O:$O,"방문완료")+COUNTIFS(실시간콜입력!$B:$B,$A719,실시간콜입력!$E:$E,"A",실시간콜입력!$H:$H,$B719,실시간콜입력!$O:$O,"방문완료")</f>
        <v>0</v>
      </c>
      <c r="G719" s="29">
        <f>COUNTIFS(실시간콜입력!$B:$B,$A719,실시간콜입력!$E:$E,"B",실시간콜입력!$G:$G,$B719,실시간콜입력!$O:$O,"방문완료")+COUNTIFS(실시간콜입력!$B:$B,$A719,실시간콜입력!$E:$E,"B",실시간콜입력!$H:$H,$B719,실시간콜입력!$O:$O,"방문완료")</f>
        <v>0</v>
      </c>
      <c r="H719" s="29">
        <f>COUNTIFS(실시간콜입력!$B:$B,$A719,실시간콜입력!$E:$E,"C",실시간콜입력!$G:$G,$B719,실시간콜입력!$O:$O,"방문완료")+COUNTIFS(실시간콜입력!$B:$B,$A719,실시간콜입력!$E:$E,"C",실시간콜입력!$H:$H,$B719,실시간콜입력!$O:$O,"방문완료")</f>
        <v>0</v>
      </c>
      <c r="I719" s="29">
        <f>COUNTIFS(실시간콜입력!$B:$B,$A719,실시간콜입력!$E:$E,"D",실시간콜입력!$G:$G,$B719,실시간콜입력!$O:$O,"방문완료")+COUNTIFS(실시간콜입력!$B:$B,$A719,실시간콜입력!$E:$E,"D",실시간콜입력!$H:$H,$B719,실시간콜입력!$O:$O,"방문완료")</f>
        <v>0</v>
      </c>
      <c r="J719" s="29">
        <f>COUNTIFS(실시간콜입력!$B:$B,$A719,실시간콜입력!$E:$E,"E",실시간콜입력!$G:$G,$B719,실시간콜입력!$O:$O,"방문완료")+COUNTIFS(실시간콜입력!$B:$B,$A719,실시간콜입력!$E:$E,"E",실시간콜입력!$H:$H,$B719,실시간콜입력!$O:$O,"방문완료")</f>
        <v>0</v>
      </c>
      <c r="K719" s="29">
        <f t="shared" si="96"/>
        <v>0</v>
      </c>
      <c r="L719" s="27">
        <f>SUMIFS(실시간콜입력!$K:$K,실시간콜입력!$B:$B,$A719,실시간콜입력!$G:$G,$B719,실시간콜입력!$O:$O,"방문완료")+SUMIFS(실시간콜입력!$L:$L,실시간콜입력!$B:$B,$A719,실시간콜입력!$H:$H,$B719,실시간콜입력!$O:$O,"방문완료")</f>
        <v>0</v>
      </c>
      <c r="M719" s="29" t="str">
        <f t="shared" si="97"/>
        <v/>
      </c>
      <c r="N719" s="29"/>
    </row>
    <row r="720" spans="1:14" ht="19.5" hidden="1" customHeight="1" outlineLevel="1">
      <c r="A720" s="30">
        <f>IF(14&lt;=DAY(DATE(YEAR(설정_코스수당!$K$2),MONTH(설정_코스수당!$K$2)+1,0)),DATE(YEAR(설정_코스수당!$K$2),MONTH(설정_코스수당!$K$2),14),"")</f>
        <v>46187</v>
      </c>
      <c r="B720" s="29" t="s">
        <v>200</v>
      </c>
      <c r="C720" s="29"/>
      <c r="D720" s="29"/>
      <c r="E720" s="29" t="str">
        <f t="shared" si="95"/>
        <v/>
      </c>
      <c r="F720" s="29">
        <f>COUNTIFS(실시간콜입력!$B:$B,$A720,실시간콜입력!$E:$E,"A",실시간콜입력!$G:$G,$B720,실시간콜입력!$O:$O,"방문완료")+COUNTIFS(실시간콜입력!$B:$B,$A720,실시간콜입력!$E:$E,"A",실시간콜입력!$H:$H,$B720,실시간콜입력!$O:$O,"방문완료")</f>
        <v>0</v>
      </c>
      <c r="G720" s="29">
        <f>COUNTIFS(실시간콜입력!$B:$B,$A720,실시간콜입력!$E:$E,"B",실시간콜입력!$G:$G,$B720,실시간콜입력!$O:$O,"방문완료")+COUNTIFS(실시간콜입력!$B:$B,$A720,실시간콜입력!$E:$E,"B",실시간콜입력!$H:$H,$B720,실시간콜입력!$O:$O,"방문완료")</f>
        <v>0</v>
      </c>
      <c r="H720" s="29">
        <f>COUNTIFS(실시간콜입력!$B:$B,$A720,실시간콜입력!$E:$E,"C",실시간콜입력!$G:$G,$B720,실시간콜입력!$O:$O,"방문완료")+COUNTIFS(실시간콜입력!$B:$B,$A720,실시간콜입력!$E:$E,"C",실시간콜입력!$H:$H,$B720,실시간콜입력!$O:$O,"방문완료")</f>
        <v>0</v>
      </c>
      <c r="I720" s="29">
        <f>COUNTIFS(실시간콜입력!$B:$B,$A720,실시간콜입력!$E:$E,"D",실시간콜입력!$G:$G,$B720,실시간콜입력!$O:$O,"방문완료")+COUNTIFS(실시간콜입력!$B:$B,$A720,실시간콜입력!$E:$E,"D",실시간콜입력!$H:$H,$B720,실시간콜입력!$O:$O,"방문완료")</f>
        <v>0</v>
      </c>
      <c r="J720" s="29">
        <f>COUNTIFS(실시간콜입력!$B:$B,$A720,실시간콜입력!$E:$E,"E",실시간콜입력!$G:$G,$B720,실시간콜입력!$O:$O,"방문완료")+COUNTIFS(실시간콜입력!$B:$B,$A720,실시간콜입력!$E:$E,"E",실시간콜입력!$H:$H,$B720,실시간콜입력!$O:$O,"방문완료")</f>
        <v>0</v>
      </c>
      <c r="K720" s="29">
        <f t="shared" si="96"/>
        <v>0</v>
      </c>
      <c r="L720" s="33">
        <f>SUMIFS(실시간콜입력!$K:$K,실시간콜입력!$B:$B,$A720,실시간콜입력!$G:$G,$B720,실시간콜입력!$O:$O,"방문완료")+SUMIFS(실시간콜입력!$L:$L,실시간콜입력!$B:$B,$A720,실시간콜입력!$H:$H,$B720,실시간콜입력!$O:$O,"방문완료")</f>
        <v>0</v>
      </c>
      <c r="M720" s="29" t="str">
        <f t="shared" si="97"/>
        <v/>
      </c>
      <c r="N720" s="29"/>
    </row>
    <row r="721" spans="1:14" ht="19.5" hidden="1" customHeight="1" outlineLevel="1">
      <c r="A721" s="24">
        <f>IF(14&lt;=DAY(DATE(YEAR(설정_코스수당!$K$2),MONTH(설정_코스수당!$K$2)+1,0)),DATE(YEAR(설정_코스수당!$K$2),MONTH(설정_코스수당!$K$2),14),"")</f>
        <v>46187</v>
      </c>
      <c r="B721" s="23" t="s">
        <v>201</v>
      </c>
      <c r="C721" s="29"/>
      <c r="D721" s="29"/>
      <c r="E721" s="29" t="str">
        <f t="shared" si="95"/>
        <v/>
      </c>
      <c r="F721" s="29">
        <f>COUNTIFS(실시간콜입력!$B:$B,$A721,실시간콜입력!$E:$E,"A",실시간콜입력!$G:$G,$B721,실시간콜입력!$O:$O,"방문완료")+COUNTIFS(실시간콜입력!$B:$B,$A721,실시간콜입력!$E:$E,"A",실시간콜입력!$H:$H,$B721,실시간콜입력!$O:$O,"방문완료")</f>
        <v>0</v>
      </c>
      <c r="G721" s="29">
        <f>COUNTIFS(실시간콜입력!$B:$B,$A721,실시간콜입력!$E:$E,"B",실시간콜입력!$G:$G,$B721,실시간콜입력!$O:$O,"방문완료")+COUNTIFS(실시간콜입력!$B:$B,$A721,실시간콜입력!$E:$E,"B",실시간콜입력!$H:$H,$B721,실시간콜입력!$O:$O,"방문완료")</f>
        <v>0</v>
      </c>
      <c r="H721" s="29">
        <f>COUNTIFS(실시간콜입력!$B:$B,$A721,실시간콜입력!$E:$E,"C",실시간콜입력!$G:$G,$B721,실시간콜입력!$O:$O,"방문완료")+COUNTIFS(실시간콜입력!$B:$B,$A721,실시간콜입력!$E:$E,"C",실시간콜입력!$H:$H,$B721,실시간콜입력!$O:$O,"방문완료")</f>
        <v>0</v>
      </c>
      <c r="I721" s="29">
        <f>COUNTIFS(실시간콜입력!$B:$B,$A721,실시간콜입력!$E:$E,"D",실시간콜입력!$G:$G,$B721,실시간콜입력!$O:$O,"방문완료")+COUNTIFS(실시간콜입력!$B:$B,$A721,실시간콜입력!$E:$E,"D",실시간콜입력!$H:$H,$B721,실시간콜입력!$O:$O,"방문완료")</f>
        <v>0</v>
      </c>
      <c r="J721" s="29">
        <f>COUNTIFS(실시간콜입력!$B:$B,$A721,실시간콜입력!$E:$E,"E",실시간콜입력!$G:$G,$B721,실시간콜입력!$O:$O,"방문완료")+COUNTIFS(실시간콜입력!$B:$B,$A721,실시간콜입력!$E:$E,"E",실시간콜입력!$H:$H,$B721,실시간콜입력!$O:$O,"방문완료")</f>
        <v>0</v>
      </c>
      <c r="K721" s="29">
        <f t="shared" si="96"/>
        <v>0</v>
      </c>
      <c r="L721" s="27">
        <f>SUMIFS(실시간콜입력!$K:$K,실시간콜입력!$B:$B,$A721,실시간콜입력!$G:$G,$B721,실시간콜입력!$O:$O,"방문완료")+SUMIFS(실시간콜입력!$L:$L,실시간콜입력!$B:$B,$A721,실시간콜입력!$H:$H,$B721,실시간콜입력!$O:$O,"방문완료")</f>
        <v>0</v>
      </c>
      <c r="M721" s="29" t="str">
        <f t="shared" si="97"/>
        <v/>
      </c>
      <c r="N721" s="29"/>
    </row>
    <row r="722" spans="1:14" ht="19.5" hidden="1" customHeight="1" outlineLevel="1">
      <c r="A722" s="30">
        <f>IF(14&lt;=DAY(DATE(YEAR(설정_코스수당!$K$2),MONTH(설정_코스수당!$K$2)+1,0)),DATE(YEAR(설정_코스수당!$K$2),MONTH(설정_코스수당!$K$2),14),"")</f>
        <v>46187</v>
      </c>
      <c r="B722" s="29" t="s">
        <v>202</v>
      </c>
      <c r="C722" s="29"/>
      <c r="D722" s="29"/>
      <c r="E722" s="29" t="str">
        <f t="shared" si="95"/>
        <v/>
      </c>
      <c r="F722" s="29">
        <f>COUNTIFS(실시간콜입력!$B:$B,$A722,실시간콜입력!$E:$E,"A",실시간콜입력!$G:$G,$B722,실시간콜입력!$O:$O,"방문완료")+COUNTIFS(실시간콜입력!$B:$B,$A722,실시간콜입력!$E:$E,"A",실시간콜입력!$H:$H,$B722,실시간콜입력!$O:$O,"방문완료")</f>
        <v>0</v>
      </c>
      <c r="G722" s="29">
        <f>COUNTIFS(실시간콜입력!$B:$B,$A722,실시간콜입력!$E:$E,"B",실시간콜입력!$G:$G,$B722,실시간콜입력!$O:$O,"방문완료")+COUNTIFS(실시간콜입력!$B:$B,$A722,실시간콜입력!$E:$E,"B",실시간콜입력!$H:$H,$B722,실시간콜입력!$O:$O,"방문완료")</f>
        <v>0</v>
      </c>
      <c r="H722" s="29">
        <f>COUNTIFS(실시간콜입력!$B:$B,$A722,실시간콜입력!$E:$E,"C",실시간콜입력!$G:$G,$B722,실시간콜입력!$O:$O,"방문완료")+COUNTIFS(실시간콜입력!$B:$B,$A722,실시간콜입력!$E:$E,"C",실시간콜입력!$H:$H,$B722,실시간콜입력!$O:$O,"방문완료")</f>
        <v>0</v>
      </c>
      <c r="I722" s="29">
        <f>COUNTIFS(실시간콜입력!$B:$B,$A722,실시간콜입력!$E:$E,"D",실시간콜입력!$G:$G,$B722,실시간콜입력!$O:$O,"방문완료")+COUNTIFS(실시간콜입력!$B:$B,$A722,실시간콜입력!$E:$E,"D",실시간콜입력!$H:$H,$B722,실시간콜입력!$O:$O,"방문완료")</f>
        <v>0</v>
      </c>
      <c r="J722" s="29">
        <f>COUNTIFS(실시간콜입력!$B:$B,$A722,실시간콜입력!$E:$E,"E",실시간콜입력!$G:$G,$B722,실시간콜입력!$O:$O,"방문완료")+COUNTIFS(실시간콜입력!$B:$B,$A722,실시간콜입력!$E:$E,"E",실시간콜입력!$H:$H,$B722,실시간콜입력!$O:$O,"방문완료")</f>
        <v>0</v>
      </c>
      <c r="K722" s="29">
        <f t="shared" si="96"/>
        <v>0</v>
      </c>
      <c r="L722" s="33">
        <f>SUMIFS(실시간콜입력!$K:$K,실시간콜입력!$B:$B,$A722,실시간콜입력!$G:$G,$B722,실시간콜입력!$O:$O,"방문완료")+SUMIFS(실시간콜입력!$L:$L,실시간콜입력!$B:$B,$A722,실시간콜입력!$H:$H,$B722,실시간콜입력!$O:$O,"방문완료")</f>
        <v>0</v>
      </c>
      <c r="M722" s="29" t="str">
        <f t="shared" si="97"/>
        <v/>
      </c>
      <c r="N722" s="29"/>
    </row>
    <row r="723" spans="1:14" ht="19.5" hidden="1" customHeight="1" outlineLevel="1">
      <c r="A723" s="24">
        <f>IF(14&lt;=DAY(DATE(YEAR(설정_코스수당!$K$2),MONTH(설정_코스수당!$K$2)+1,0)),DATE(YEAR(설정_코스수당!$K$2),MONTH(설정_코스수당!$K$2),14),"")</f>
        <v>46187</v>
      </c>
      <c r="B723" s="23" t="s">
        <v>203</v>
      </c>
      <c r="C723" s="29"/>
      <c r="D723" s="29"/>
      <c r="E723" s="29" t="str">
        <f t="shared" si="95"/>
        <v/>
      </c>
      <c r="F723" s="29">
        <f>COUNTIFS(실시간콜입력!$B:$B,$A723,실시간콜입력!$E:$E,"A",실시간콜입력!$G:$G,$B723,실시간콜입력!$O:$O,"방문완료")+COUNTIFS(실시간콜입력!$B:$B,$A723,실시간콜입력!$E:$E,"A",실시간콜입력!$H:$H,$B723,실시간콜입력!$O:$O,"방문완료")</f>
        <v>0</v>
      </c>
      <c r="G723" s="29">
        <f>COUNTIFS(실시간콜입력!$B:$B,$A723,실시간콜입력!$E:$E,"B",실시간콜입력!$G:$G,$B723,실시간콜입력!$O:$O,"방문완료")+COUNTIFS(실시간콜입력!$B:$B,$A723,실시간콜입력!$E:$E,"B",실시간콜입력!$H:$H,$B723,실시간콜입력!$O:$O,"방문완료")</f>
        <v>0</v>
      </c>
      <c r="H723" s="29">
        <f>COUNTIFS(실시간콜입력!$B:$B,$A723,실시간콜입력!$E:$E,"C",실시간콜입력!$G:$G,$B723,실시간콜입력!$O:$O,"방문완료")+COUNTIFS(실시간콜입력!$B:$B,$A723,실시간콜입력!$E:$E,"C",실시간콜입력!$H:$H,$B723,실시간콜입력!$O:$O,"방문완료")</f>
        <v>0</v>
      </c>
      <c r="I723" s="29">
        <f>COUNTIFS(실시간콜입력!$B:$B,$A723,실시간콜입력!$E:$E,"D",실시간콜입력!$G:$G,$B723,실시간콜입력!$O:$O,"방문완료")+COUNTIFS(실시간콜입력!$B:$B,$A723,실시간콜입력!$E:$E,"D",실시간콜입력!$H:$H,$B723,실시간콜입력!$O:$O,"방문완료")</f>
        <v>0</v>
      </c>
      <c r="J723" s="29">
        <f>COUNTIFS(실시간콜입력!$B:$B,$A723,실시간콜입력!$E:$E,"E",실시간콜입력!$G:$G,$B723,실시간콜입력!$O:$O,"방문완료")+COUNTIFS(실시간콜입력!$B:$B,$A723,실시간콜입력!$E:$E,"E",실시간콜입력!$H:$H,$B723,실시간콜입력!$O:$O,"방문완료")</f>
        <v>0</v>
      </c>
      <c r="K723" s="29">
        <f t="shared" si="96"/>
        <v>0</v>
      </c>
      <c r="L723" s="27">
        <f>SUMIFS(실시간콜입력!$K:$K,실시간콜입력!$B:$B,$A723,실시간콜입력!$G:$G,$B723,실시간콜입력!$O:$O,"방문완료")+SUMIFS(실시간콜입력!$L:$L,실시간콜입력!$B:$B,$A723,실시간콜입력!$H:$H,$B723,실시간콜입력!$O:$O,"방문완료")</f>
        <v>0</v>
      </c>
      <c r="M723" s="29" t="str">
        <f t="shared" si="97"/>
        <v/>
      </c>
      <c r="N723" s="29"/>
    </row>
    <row r="724" spans="1:14" ht="19.5" hidden="1" customHeight="1" outlineLevel="1">
      <c r="A724" s="30">
        <f>IF(14&lt;=DAY(DATE(YEAR(설정_코스수당!$K$2),MONTH(설정_코스수당!$K$2)+1,0)),DATE(YEAR(설정_코스수당!$K$2),MONTH(설정_코스수당!$K$2),14),"")</f>
        <v>46187</v>
      </c>
      <c r="B724" s="29" t="s">
        <v>204</v>
      </c>
      <c r="C724" s="29"/>
      <c r="D724" s="29"/>
      <c r="E724" s="29" t="str">
        <f t="shared" si="95"/>
        <v/>
      </c>
      <c r="F724" s="29">
        <f>COUNTIFS(실시간콜입력!$B:$B,$A724,실시간콜입력!$E:$E,"A",실시간콜입력!$G:$G,$B724,실시간콜입력!$O:$O,"방문완료")+COUNTIFS(실시간콜입력!$B:$B,$A724,실시간콜입력!$E:$E,"A",실시간콜입력!$H:$H,$B724,실시간콜입력!$O:$O,"방문완료")</f>
        <v>0</v>
      </c>
      <c r="G724" s="29">
        <f>COUNTIFS(실시간콜입력!$B:$B,$A724,실시간콜입력!$E:$E,"B",실시간콜입력!$G:$G,$B724,실시간콜입력!$O:$O,"방문완료")+COUNTIFS(실시간콜입력!$B:$B,$A724,실시간콜입력!$E:$E,"B",실시간콜입력!$H:$H,$B724,실시간콜입력!$O:$O,"방문완료")</f>
        <v>0</v>
      </c>
      <c r="H724" s="29">
        <f>COUNTIFS(실시간콜입력!$B:$B,$A724,실시간콜입력!$E:$E,"C",실시간콜입력!$G:$G,$B724,실시간콜입력!$O:$O,"방문완료")+COUNTIFS(실시간콜입력!$B:$B,$A724,실시간콜입력!$E:$E,"C",실시간콜입력!$H:$H,$B724,실시간콜입력!$O:$O,"방문완료")</f>
        <v>0</v>
      </c>
      <c r="I724" s="29">
        <f>COUNTIFS(실시간콜입력!$B:$B,$A724,실시간콜입력!$E:$E,"D",실시간콜입력!$G:$G,$B724,실시간콜입력!$O:$O,"방문완료")+COUNTIFS(실시간콜입력!$B:$B,$A724,실시간콜입력!$E:$E,"D",실시간콜입력!$H:$H,$B724,실시간콜입력!$O:$O,"방문완료")</f>
        <v>0</v>
      </c>
      <c r="J724" s="29">
        <f>COUNTIFS(실시간콜입력!$B:$B,$A724,실시간콜입력!$E:$E,"E",실시간콜입력!$G:$G,$B724,실시간콜입력!$O:$O,"방문완료")+COUNTIFS(실시간콜입력!$B:$B,$A724,실시간콜입력!$E:$E,"E",실시간콜입력!$H:$H,$B724,실시간콜입력!$O:$O,"방문완료")</f>
        <v>0</v>
      </c>
      <c r="K724" s="29">
        <f t="shared" si="96"/>
        <v>0</v>
      </c>
      <c r="L724" s="33">
        <f>SUMIFS(실시간콜입력!$K:$K,실시간콜입력!$B:$B,$A724,실시간콜입력!$G:$G,$B724,실시간콜입력!$O:$O,"방문완료")+SUMIFS(실시간콜입력!$L:$L,실시간콜입력!$B:$B,$A724,실시간콜입력!$H:$H,$B724,실시간콜입력!$O:$O,"방문완료")</f>
        <v>0</v>
      </c>
      <c r="M724" s="29" t="str">
        <f t="shared" si="97"/>
        <v/>
      </c>
      <c r="N724" s="29"/>
    </row>
    <row r="725" spans="1:14" ht="19.5" hidden="1" customHeight="1" outlineLevel="1">
      <c r="A725" s="24">
        <f>IF(14&lt;=DAY(DATE(YEAR(설정_코스수당!$K$2),MONTH(설정_코스수당!$K$2)+1,0)),DATE(YEAR(설정_코스수당!$K$2),MONTH(설정_코스수당!$K$2),14),"")</f>
        <v>46187</v>
      </c>
      <c r="B725" s="23" t="s">
        <v>205</v>
      </c>
      <c r="C725" s="29"/>
      <c r="D725" s="29"/>
      <c r="E725" s="29" t="str">
        <f t="shared" si="95"/>
        <v/>
      </c>
      <c r="F725" s="29">
        <f>COUNTIFS(실시간콜입력!$B:$B,$A725,실시간콜입력!$E:$E,"A",실시간콜입력!$G:$G,$B725,실시간콜입력!$O:$O,"방문완료")+COUNTIFS(실시간콜입력!$B:$B,$A725,실시간콜입력!$E:$E,"A",실시간콜입력!$H:$H,$B725,실시간콜입력!$O:$O,"방문완료")</f>
        <v>0</v>
      </c>
      <c r="G725" s="29">
        <f>COUNTIFS(실시간콜입력!$B:$B,$A725,실시간콜입력!$E:$E,"B",실시간콜입력!$G:$G,$B725,실시간콜입력!$O:$O,"방문완료")+COUNTIFS(실시간콜입력!$B:$B,$A725,실시간콜입력!$E:$E,"B",실시간콜입력!$H:$H,$B725,실시간콜입력!$O:$O,"방문완료")</f>
        <v>0</v>
      </c>
      <c r="H725" s="29">
        <f>COUNTIFS(실시간콜입력!$B:$B,$A725,실시간콜입력!$E:$E,"C",실시간콜입력!$G:$G,$B725,실시간콜입력!$O:$O,"방문완료")+COUNTIFS(실시간콜입력!$B:$B,$A725,실시간콜입력!$E:$E,"C",실시간콜입력!$H:$H,$B725,실시간콜입력!$O:$O,"방문완료")</f>
        <v>0</v>
      </c>
      <c r="I725" s="29">
        <f>COUNTIFS(실시간콜입력!$B:$B,$A725,실시간콜입력!$E:$E,"D",실시간콜입력!$G:$G,$B725,실시간콜입력!$O:$O,"방문완료")+COUNTIFS(실시간콜입력!$B:$B,$A725,실시간콜입력!$E:$E,"D",실시간콜입력!$H:$H,$B725,실시간콜입력!$O:$O,"방문완료")</f>
        <v>0</v>
      </c>
      <c r="J725" s="29">
        <f>COUNTIFS(실시간콜입력!$B:$B,$A725,실시간콜입력!$E:$E,"E",실시간콜입력!$G:$G,$B725,실시간콜입력!$O:$O,"방문완료")+COUNTIFS(실시간콜입력!$B:$B,$A725,실시간콜입력!$E:$E,"E",실시간콜입력!$H:$H,$B725,실시간콜입력!$O:$O,"방문완료")</f>
        <v>0</v>
      </c>
      <c r="K725" s="29">
        <f t="shared" si="96"/>
        <v>0</v>
      </c>
      <c r="L725" s="27">
        <f>SUMIFS(실시간콜입력!$K:$K,실시간콜입력!$B:$B,$A725,실시간콜입력!$G:$G,$B725,실시간콜입력!$O:$O,"방문완료")+SUMIFS(실시간콜입력!$L:$L,실시간콜입력!$B:$B,$A725,실시간콜입력!$H:$H,$B725,실시간콜입력!$O:$O,"방문완료")</f>
        <v>0</v>
      </c>
      <c r="M725" s="29" t="str">
        <f t="shared" si="97"/>
        <v/>
      </c>
      <c r="N725" s="29"/>
    </row>
    <row r="726" spans="1:14" ht="19.5" hidden="1" customHeight="1" outlineLevel="1">
      <c r="A726" s="30">
        <f>IF(14&lt;=DAY(DATE(YEAR(설정_코스수당!$K$2),MONTH(설정_코스수당!$K$2)+1,0)),DATE(YEAR(설정_코스수당!$K$2),MONTH(설정_코스수당!$K$2),14),"")</f>
        <v>46187</v>
      </c>
      <c r="B726" s="29" t="s">
        <v>206</v>
      </c>
      <c r="C726" s="29"/>
      <c r="D726" s="29"/>
      <c r="E726" s="29" t="str">
        <f t="shared" si="95"/>
        <v/>
      </c>
      <c r="F726" s="29">
        <f>COUNTIFS(실시간콜입력!$B:$B,$A726,실시간콜입력!$E:$E,"A",실시간콜입력!$G:$G,$B726,실시간콜입력!$O:$O,"방문완료")+COUNTIFS(실시간콜입력!$B:$B,$A726,실시간콜입력!$E:$E,"A",실시간콜입력!$H:$H,$B726,실시간콜입력!$O:$O,"방문완료")</f>
        <v>0</v>
      </c>
      <c r="G726" s="29">
        <f>COUNTIFS(실시간콜입력!$B:$B,$A726,실시간콜입력!$E:$E,"B",실시간콜입력!$G:$G,$B726,실시간콜입력!$O:$O,"방문완료")+COUNTIFS(실시간콜입력!$B:$B,$A726,실시간콜입력!$E:$E,"B",실시간콜입력!$H:$H,$B726,실시간콜입력!$O:$O,"방문완료")</f>
        <v>0</v>
      </c>
      <c r="H726" s="29">
        <f>COUNTIFS(실시간콜입력!$B:$B,$A726,실시간콜입력!$E:$E,"C",실시간콜입력!$G:$G,$B726,실시간콜입력!$O:$O,"방문완료")+COUNTIFS(실시간콜입력!$B:$B,$A726,실시간콜입력!$E:$E,"C",실시간콜입력!$H:$H,$B726,실시간콜입력!$O:$O,"방문완료")</f>
        <v>0</v>
      </c>
      <c r="I726" s="29">
        <f>COUNTIFS(실시간콜입력!$B:$B,$A726,실시간콜입력!$E:$E,"D",실시간콜입력!$G:$G,$B726,실시간콜입력!$O:$O,"방문완료")+COUNTIFS(실시간콜입력!$B:$B,$A726,실시간콜입력!$E:$E,"D",실시간콜입력!$H:$H,$B726,실시간콜입력!$O:$O,"방문완료")</f>
        <v>0</v>
      </c>
      <c r="J726" s="29">
        <f>COUNTIFS(실시간콜입력!$B:$B,$A726,실시간콜입력!$E:$E,"E",실시간콜입력!$G:$G,$B726,실시간콜입력!$O:$O,"방문완료")+COUNTIFS(실시간콜입력!$B:$B,$A726,실시간콜입력!$E:$E,"E",실시간콜입력!$H:$H,$B726,실시간콜입력!$O:$O,"방문완료")</f>
        <v>0</v>
      </c>
      <c r="K726" s="29">
        <f t="shared" si="96"/>
        <v>0</v>
      </c>
      <c r="L726" s="33">
        <f>SUMIFS(실시간콜입력!$K:$K,실시간콜입력!$B:$B,$A726,실시간콜입력!$G:$G,$B726,실시간콜입력!$O:$O,"방문완료")+SUMIFS(실시간콜입력!$L:$L,실시간콜입력!$B:$B,$A726,실시간콜입력!$H:$H,$B726,실시간콜입력!$O:$O,"방문완료")</f>
        <v>0</v>
      </c>
      <c r="M726" s="29" t="str">
        <f t="shared" si="97"/>
        <v/>
      </c>
      <c r="N726" s="29"/>
    </row>
    <row r="727" spans="1:14" ht="19.5" hidden="1" customHeight="1" outlineLevel="1">
      <c r="A727" s="24">
        <f>IF(14&lt;=DAY(DATE(YEAR(설정_코스수당!$K$2),MONTH(설정_코스수당!$K$2)+1,0)),DATE(YEAR(설정_코스수당!$K$2),MONTH(설정_코스수당!$K$2),14),"")</f>
        <v>46187</v>
      </c>
      <c r="B727" s="23" t="s">
        <v>207</v>
      </c>
      <c r="C727" s="29"/>
      <c r="D727" s="29"/>
      <c r="E727" s="29" t="str">
        <f t="shared" si="95"/>
        <v/>
      </c>
      <c r="F727" s="29">
        <f>COUNTIFS(실시간콜입력!$B:$B,$A727,실시간콜입력!$E:$E,"A",실시간콜입력!$G:$G,$B727,실시간콜입력!$O:$O,"방문완료")+COUNTIFS(실시간콜입력!$B:$B,$A727,실시간콜입력!$E:$E,"A",실시간콜입력!$H:$H,$B727,실시간콜입력!$O:$O,"방문완료")</f>
        <v>0</v>
      </c>
      <c r="G727" s="29">
        <f>COUNTIFS(실시간콜입력!$B:$B,$A727,실시간콜입력!$E:$E,"B",실시간콜입력!$G:$G,$B727,실시간콜입력!$O:$O,"방문완료")+COUNTIFS(실시간콜입력!$B:$B,$A727,실시간콜입력!$E:$E,"B",실시간콜입력!$H:$H,$B727,실시간콜입력!$O:$O,"방문완료")</f>
        <v>0</v>
      </c>
      <c r="H727" s="29">
        <f>COUNTIFS(실시간콜입력!$B:$B,$A727,실시간콜입력!$E:$E,"C",실시간콜입력!$G:$G,$B727,실시간콜입력!$O:$O,"방문완료")+COUNTIFS(실시간콜입력!$B:$B,$A727,실시간콜입력!$E:$E,"C",실시간콜입력!$H:$H,$B727,실시간콜입력!$O:$O,"방문완료")</f>
        <v>0</v>
      </c>
      <c r="I727" s="29">
        <f>COUNTIFS(실시간콜입력!$B:$B,$A727,실시간콜입력!$E:$E,"D",실시간콜입력!$G:$G,$B727,실시간콜입력!$O:$O,"방문완료")+COUNTIFS(실시간콜입력!$B:$B,$A727,실시간콜입력!$E:$E,"D",실시간콜입력!$H:$H,$B727,실시간콜입력!$O:$O,"방문완료")</f>
        <v>0</v>
      </c>
      <c r="J727" s="29">
        <f>COUNTIFS(실시간콜입력!$B:$B,$A727,실시간콜입력!$E:$E,"E",실시간콜입력!$G:$G,$B727,실시간콜입력!$O:$O,"방문완료")+COUNTIFS(실시간콜입력!$B:$B,$A727,실시간콜입력!$E:$E,"E",실시간콜입력!$H:$H,$B727,실시간콜입력!$O:$O,"방문완료")</f>
        <v>0</v>
      </c>
      <c r="K727" s="29">
        <f t="shared" si="96"/>
        <v>0</v>
      </c>
      <c r="L727" s="27">
        <f>SUMIFS(실시간콜입력!$K:$K,실시간콜입력!$B:$B,$A727,실시간콜입력!$G:$G,$B727,실시간콜입력!$O:$O,"방문완료")+SUMIFS(실시간콜입력!$L:$L,실시간콜입력!$B:$B,$A727,실시간콜입력!$H:$H,$B727,실시간콜입력!$O:$O,"방문완료")</f>
        <v>0</v>
      </c>
      <c r="M727" s="29" t="str">
        <f t="shared" si="97"/>
        <v/>
      </c>
      <c r="N727" s="29"/>
    </row>
    <row r="728" spans="1:14" ht="19.5" hidden="1" customHeight="1" outlineLevel="1">
      <c r="A728" s="30">
        <f>IF(14&lt;=DAY(DATE(YEAR(설정_코스수당!$K$2),MONTH(설정_코스수당!$K$2)+1,0)),DATE(YEAR(설정_코스수당!$K$2),MONTH(설정_코스수당!$K$2),14),"")</f>
        <v>46187</v>
      </c>
      <c r="B728" s="29" t="s">
        <v>208</v>
      </c>
      <c r="C728" s="29"/>
      <c r="D728" s="29"/>
      <c r="E728" s="29" t="str">
        <f t="shared" si="95"/>
        <v/>
      </c>
      <c r="F728" s="29">
        <f>COUNTIFS(실시간콜입력!$B:$B,$A728,실시간콜입력!$E:$E,"A",실시간콜입력!$G:$G,$B728,실시간콜입력!$O:$O,"방문완료")+COUNTIFS(실시간콜입력!$B:$B,$A728,실시간콜입력!$E:$E,"A",실시간콜입력!$H:$H,$B728,실시간콜입력!$O:$O,"방문완료")</f>
        <v>0</v>
      </c>
      <c r="G728" s="29">
        <f>COUNTIFS(실시간콜입력!$B:$B,$A728,실시간콜입력!$E:$E,"B",실시간콜입력!$G:$G,$B728,실시간콜입력!$O:$O,"방문완료")+COUNTIFS(실시간콜입력!$B:$B,$A728,실시간콜입력!$E:$E,"B",실시간콜입력!$H:$H,$B728,실시간콜입력!$O:$O,"방문완료")</f>
        <v>0</v>
      </c>
      <c r="H728" s="29">
        <f>COUNTIFS(실시간콜입력!$B:$B,$A728,실시간콜입력!$E:$E,"C",실시간콜입력!$G:$G,$B728,실시간콜입력!$O:$O,"방문완료")+COUNTIFS(실시간콜입력!$B:$B,$A728,실시간콜입력!$E:$E,"C",실시간콜입력!$H:$H,$B728,실시간콜입력!$O:$O,"방문완료")</f>
        <v>0</v>
      </c>
      <c r="I728" s="29">
        <f>COUNTIFS(실시간콜입력!$B:$B,$A728,실시간콜입력!$E:$E,"D",실시간콜입력!$G:$G,$B728,실시간콜입력!$O:$O,"방문완료")+COUNTIFS(실시간콜입력!$B:$B,$A728,실시간콜입력!$E:$E,"D",실시간콜입력!$H:$H,$B728,실시간콜입력!$O:$O,"방문완료")</f>
        <v>0</v>
      </c>
      <c r="J728" s="29">
        <f>COUNTIFS(실시간콜입력!$B:$B,$A728,실시간콜입력!$E:$E,"E",실시간콜입력!$G:$G,$B728,실시간콜입력!$O:$O,"방문완료")+COUNTIFS(실시간콜입력!$B:$B,$A728,실시간콜입력!$E:$E,"E",실시간콜입력!$H:$H,$B728,실시간콜입력!$O:$O,"방문완료")</f>
        <v>0</v>
      </c>
      <c r="K728" s="29">
        <f t="shared" si="96"/>
        <v>0</v>
      </c>
      <c r="L728" s="33">
        <f>SUMIFS(실시간콜입력!$K:$K,실시간콜입력!$B:$B,$A728,실시간콜입력!$G:$G,$B728,실시간콜입력!$O:$O,"방문완료")+SUMIFS(실시간콜입력!$L:$L,실시간콜입력!$B:$B,$A728,실시간콜입력!$H:$H,$B728,실시간콜입력!$O:$O,"방문완료")</f>
        <v>0</v>
      </c>
      <c r="M728" s="29" t="str">
        <f t="shared" si="97"/>
        <v/>
      </c>
      <c r="N728" s="29"/>
    </row>
    <row r="729" spans="1:14" ht="19.5" hidden="1" customHeight="1" outlineLevel="1">
      <c r="A729" s="24">
        <f>IF(14&lt;=DAY(DATE(YEAR(설정_코스수당!$K$2),MONTH(설정_코스수당!$K$2)+1,0)),DATE(YEAR(설정_코스수당!$K$2),MONTH(설정_코스수당!$K$2),14),"")</f>
        <v>46187</v>
      </c>
      <c r="B729" s="23" t="s">
        <v>209</v>
      </c>
      <c r="C729" s="29"/>
      <c r="D729" s="29"/>
      <c r="E729" s="29" t="str">
        <f t="shared" si="95"/>
        <v/>
      </c>
      <c r="F729" s="29">
        <f>COUNTIFS(실시간콜입력!$B:$B,$A729,실시간콜입력!$E:$E,"A",실시간콜입력!$G:$G,$B729,실시간콜입력!$O:$O,"방문완료")+COUNTIFS(실시간콜입력!$B:$B,$A729,실시간콜입력!$E:$E,"A",실시간콜입력!$H:$H,$B729,실시간콜입력!$O:$O,"방문완료")</f>
        <v>0</v>
      </c>
      <c r="G729" s="29">
        <f>COUNTIFS(실시간콜입력!$B:$B,$A729,실시간콜입력!$E:$E,"B",실시간콜입력!$G:$G,$B729,실시간콜입력!$O:$O,"방문완료")+COUNTIFS(실시간콜입력!$B:$B,$A729,실시간콜입력!$E:$E,"B",실시간콜입력!$H:$H,$B729,실시간콜입력!$O:$O,"방문완료")</f>
        <v>0</v>
      </c>
      <c r="H729" s="29">
        <f>COUNTIFS(실시간콜입력!$B:$B,$A729,실시간콜입력!$E:$E,"C",실시간콜입력!$G:$G,$B729,실시간콜입력!$O:$O,"방문완료")+COUNTIFS(실시간콜입력!$B:$B,$A729,실시간콜입력!$E:$E,"C",실시간콜입력!$H:$H,$B729,실시간콜입력!$O:$O,"방문완료")</f>
        <v>0</v>
      </c>
      <c r="I729" s="29">
        <f>COUNTIFS(실시간콜입력!$B:$B,$A729,실시간콜입력!$E:$E,"D",실시간콜입력!$G:$G,$B729,실시간콜입력!$O:$O,"방문완료")+COUNTIFS(실시간콜입력!$B:$B,$A729,실시간콜입력!$E:$E,"D",실시간콜입력!$H:$H,$B729,실시간콜입력!$O:$O,"방문완료")</f>
        <v>0</v>
      </c>
      <c r="J729" s="29">
        <f>COUNTIFS(실시간콜입력!$B:$B,$A729,실시간콜입력!$E:$E,"E",실시간콜입력!$G:$G,$B729,실시간콜입력!$O:$O,"방문완료")+COUNTIFS(실시간콜입력!$B:$B,$A729,실시간콜입력!$E:$E,"E",실시간콜입력!$H:$H,$B729,실시간콜입력!$O:$O,"방문완료")</f>
        <v>0</v>
      </c>
      <c r="K729" s="29">
        <f t="shared" si="96"/>
        <v>0</v>
      </c>
      <c r="L729" s="27">
        <f>SUMIFS(실시간콜입력!$K:$K,실시간콜입력!$B:$B,$A729,실시간콜입력!$G:$G,$B729,실시간콜입력!$O:$O,"방문완료")+SUMIFS(실시간콜입력!$L:$L,실시간콜입력!$B:$B,$A729,실시간콜입력!$H:$H,$B729,실시간콜입력!$O:$O,"방문완료")</f>
        <v>0</v>
      </c>
      <c r="M729" s="29" t="str">
        <f t="shared" si="97"/>
        <v/>
      </c>
      <c r="N729" s="29"/>
    </row>
    <row r="730" spans="1:14" ht="19.5" hidden="1" customHeight="1" outlineLevel="1">
      <c r="A730" s="30">
        <f>IF(14&lt;=DAY(DATE(YEAR(설정_코스수당!$K$2),MONTH(설정_코스수당!$K$2)+1,0)),DATE(YEAR(설정_코스수당!$K$2),MONTH(설정_코스수당!$K$2),14),"")</f>
        <v>46187</v>
      </c>
      <c r="B730" s="29" t="s">
        <v>210</v>
      </c>
      <c r="C730" s="29"/>
      <c r="D730" s="29"/>
      <c r="E730" s="29" t="str">
        <f t="shared" si="95"/>
        <v/>
      </c>
      <c r="F730" s="29">
        <f>COUNTIFS(실시간콜입력!$B:$B,$A730,실시간콜입력!$E:$E,"A",실시간콜입력!$G:$G,$B730,실시간콜입력!$O:$O,"방문완료")+COUNTIFS(실시간콜입력!$B:$B,$A730,실시간콜입력!$E:$E,"A",실시간콜입력!$H:$H,$B730,실시간콜입력!$O:$O,"방문완료")</f>
        <v>0</v>
      </c>
      <c r="G730" s="29">
        <f>COUNTIFS(실시간콜입력!$B:$B,$A730,실시간콜입력!$E:$E,"B",실시간콜입력!$G:$G,$B730,실시간콜입력!$O:$O,"방문완료")+COUNTIFS(실시간콜입력!$B:$B,$A730,실시간콜입력!$E:$E,"B",실시간콜입력!$H:$H,$B730,실시간콜입력!$O:$O,"방문완료")</f>
        <v>0</v>
      </c>
      <c r="H730" s="29">
        <f>COUNTIFS(실시간콜입력!$B:$B,$A730,실시간콜입력!$E:$E,"C",실시간콜입력!$G:$G,$B730,실시간콜입력!$O:$O,"방문완료")+COUNTIFS(실시간콜입력!$B:$B,$A730,실시간콜입력!$E:$E,"C",실시간콜입력!$H:$H,$B730,실시간콜입력!$O:$O,"방문완료")</f>
        <v>0</v>
      </c>
      <c r="I730" s="29">
        <f>COUNTIFS(실시간콜입력!$B:$B,$A730,실시간콜입력!$E:$E,"D",실시간콜입력!$G:$G,$B730,실시간콜입력!$O:$O,"방문완료")+COUNTIFS(실시간콜입력!$B:$B,$A730,실시간콜입력!$E:$E,"D",실시간콜입력!$H:$H,$B730,실시간콜입력!$O:$O,"방문완료")</f>
        <v>0</v>
      </c>
      <c r="J730" s="29">
        <f>COUNTIFS(실시간콜입력!$B:$B,$A730,실시간콜입력!$E:$E,"E",실시간콜입력!$G:$G,$B730,실시간콜입력!$O:$O,"방문완료")+COUNTIFS(실시간콜입력!$B:$B,$A730,실시간콜입력!$E:$E,"E",실시간콜입력!$H:$H,$B730,실시간콜입력!$O:$O,"방문완료")</f>
        <v>0</v>
      </c>
      <c r="K730" s="29">
        <f t="shared" si="96"/>
        <v>0</v>
      </c>
      <c r="L730" s="33">
        <f>SUMIFS(실시간콜입력!$K:$K,실시간콜입력!$B:$B,$A730,실시간콜입력!$G:$G,$B730,실시간콜입력!$O:$O,"방문완료")+SUMIFS(실시간콜입력!$L:$L,실시간콜입력!$B:$B,$A730,실시간콜입력!$H:$H,$B730,실시간콜입력!$O:$O,"방문완료")</f>
        <v>0</v>
      </c>
      <c r="M730" s="29" t="str">
        <f t="shared" si="97"/>
        <v/>
      </c>
      <c r="N730" s="29"/>
    </row>
    <row r="731" spans="1:14" ht="19.5" hidden="1" customHeight="1" outlineLevel="1">
      <c r="A731" s="24">
        <f>IF(14&lt;=DAY(DATE(YEAR(설정_코스수당!$K$2),MONTH(설정_코스수당!$K$2)+1,0)),DATE(YEAR(설정_코스수당!$K$2),MONTH(설정_코스수당!$K$2),14),"")</f>
        <v>46187</v>
      </c>
      <c r="B731" s="23" t="s">
        <v>211</v>
      </c>
      <c r="C731" s="29"/>
      <c r="D731" s="29"/>
      <c r="E731" s="29" t="str">
        <f t="shared" si="95"/>
        <v/>
      </c>
      <c r="F731" s="29">
        <f>COUNTIFS(실시간콜입력!$B:$B,$A731,실시간콜입력!$E:$E,"A",실시간콜입력!$G:$G,$B731,실시간콜입력!$O:$O,"방문완료")+COUNTIFS(실시간콜입력!$B:$B,$A731,실시간콜입력!$E:$E,"A",실시간콜입력!$H:$H,$B731,실시간콜입력!$O:$O,"방문완료")</f>
        <v>0</v>
      </c>
      <c r="G731" s="29">
        <f>COUNTIFS(실시간콜입력!$B:$B,$A731,실시간콜입력!$E:$E,"B",실시간콜입력!$G:$G,$B731,실시간콜입력!$O:$O,"방문완료")+COUNTIFS(실시간콜입력!$B:$B,$A731,실시간콜입력!$E:$E,"B",실시간콜입력!$H:$H,$B731,실시간콜입력!$O:$O,"방문완료")</f>
        <v>0</v>
      </c>
      <c r="H731" s="29">
        <f>COUNTIFS(실시간콜입력!$B:$B,$A731,실시간콜입력!$E:$E,"C",실시간콜입력!$G:$G,$B731,실시간콜입력!$O:$O,"방문완료")+COUNTIFS(실시간콜입력!$B:$B,$A731,실시간콜입력!$E:$E,"C",실시간콜입력!$H:$H,$B731,실시간콜입력!$O:$O,"방문완료")</f>
        <v>0</v>
      </c>
      <c r="I731" s="29">
        <f>COUNTIFS(실시간콜입력!$B:$B,$A731,실시간콜입력!$E:$E,"D",실시간콜입력!$G:$G,$B731,실시간콜입력!$O:$O,"방문완료")+COUNTIFS(실시간콜입력!$B:$B,$A731,실시간콜입력!$E:$E,"D",실시간콜입력!$H:$H,$B731,실시간콜입력!$O:$O,"방문완료")</f>
        <v>0</v>
      </c>
      <c r="J731" s="29">
        <f>COUNTIFS(실시간콜입력!$B:$B,$A731,실시간콜입력!$E:$E,"E",실시간콜입력!$G:$G,$B731,실시간콜입력!$O:$O,"방문완료")+COUNTIFS(실시간콜입력!$B:$B,$A731,실시간콜입력!$E:$E,"E",실시간콜입력!$H:$H,$B731,실시간콜입력!$O:$O,"방문완료")</f>
        <v>0</v>
      </c>
      <c r="K731" s="29">
        <f t="shared" si="96"/>
        <v>0</v>
      </c>
      <c r="L731" s="27">
        <f>SUMIFS(실시간콜입력!$K:$K,실시간콜입력!$B:$B,$A731,실시간콜입력!$G:$G,$B731,실시간콜입력!$O:$O,"방문완료")+SUMIFS(실시간콜입력!$L:$L,실시간콜입력!$B:$B,$A731,실시간콜입력!$H:$H,$B731,실시간콜입력!$O:$O,"방문완료")</f>
        <v>0</v>
      </c>
      <c r="M731" s="29" t="str">
        <f t="shared" si="97"/>
        <v/>
      </c>
      <c r="N731" s="29"/>
    </row>
    <row r="732" spans="1:14" ht="19.5" hidden="1" customHeight="1" outlineLevel="1">
      <c r="A732" s="30">
        <f>IF(14&lt;=DAY(DATE(YEAR(설정_코스수당!$K$2),MONTH(설정_코스수당!$K$2)+1,0)),DATE(YEAR(설정_코스수당!$K$2),MONTH(설정_코스수당!$K$2),14),"")</f>
        <v>46187</v>
      </c>
      <c r="B732" s="29" t="s">
        <v>212</v>
      </c>
      <c r="C732" s="29"/>
      <c r="D732" s="29"/>
      <c r="E732" s="29" t="str">
        <f t="shared" si="95"/>
        <v/>
      </c>
      <c r="F732" s="29">
        <f>COUNTIFS(실시간콜입력!$B:$B,$A732,실시간콜입력!$E:$E,"A",실시간콜입력!$G:$G,$B732,실시간콜입력!$O:$O,"방문완료")+COUNTIFS(실시간콜입력!$B:$B,$A732,실시간콜입력!$E:$E,"A",실시간콜입력!$H:$H,$B732,실시간콜입력!$O:$O,"방문완료")</f>
        <v>0</v>
      </c>
      <c r="G732" s="29">
        <f>COUNTIFS(실시간콜입력!$B:$B,$A732,실시간콜입력!$E:$E,"B",실시간콜입력!$G:$G,$B732,실시간콜입력!$O:$O,"방문완료")+COUNTIFS(실시간콜입력!$B:$B,$A732,실시간콜입력!$E:$E,"B",실시간콜입력!$H:$H,$B732,실시간콜입력!$O:$O,"방문완료")</f>
        <v>0</v>
      </c>
      <c r="H732" s="29">
        <f>COUNTIFS(실시간콜입력!$B:$B,$A732,실시간콜입력!$E:$E,"C",실시간콜입력!$G:$G,$B732,실시간콜입력!$O:$O,"방문완료")+COUNTIFS(실시간콜입력!$B:$B,$A732,실시간콜입력!$E:$E,"C",실시간콜입력!$H:$H,$B732,실시간콜입력!$O:$O,"방문완료")</f>
        <v>0</v>
      </c>
      <c r="I732" s="29">
        <f>COUNTIFS(실시간콜입력!$B:$B,$A732,실시간콜입력!$E:$E,"D",실시간콜입력!$G:$G,$B732,실시간콜입력!$O:$O,"방문완료")+COUNTIFS(실시간콜입력!$B:$B,$A732,실시간콜입력!$E:$E,"D",실시간콜입력!$H:$H,$B732,실시간콜입력!$O:$O,"방문완료")</f>
        <v>0</v>
      </c>
      <c r="J732" s="29">
        <f>COUNTIFS(실시간콜입력!$B:$B,$A732,실시간콜입력!$E:$E,"E",실시간콜입력!$G:$G,$B732,실시간콜입력!$O:$O,"방문완료")+COUNTIFS(실시간콜입력!$B:$B,$A732,실시간콜입력!$E:$E,"E",실시간콜입력!$H:$H,$B732,실시간콜입력!$O:$O,"방문완료")</f>
        <v>0</v>
      </c>
      <c r="K732" s="29">
        <f t="shared" si="96"/>
        <v>0</v>
      </c>
      <c r="L732" s="33">
        <f>SUMIFS(실시간콜입력!$K:$K,실시간콜입력!$B:$B,$A732,실시간콜입력!$G:$G,$B732,실시간콜입력!$O:$O,"방문완료")+SUMIFS(실시간콜입력!$L:$L,실시간콜입력!$B:$B,$A732,실시간콜입력!$H:$H,$B732,실시간콜입력!$O:$O,"방문완료")</f>
        <v>0</v>
      </c>
      <c r="M732" s="29" t="str">
        <f t="shared" si="97"/>
        <v/>
      </c>
      <c r="N732" s="29"/>
    </row>
    <row r="733" spans="1:14" ht="21.75" customHeight="1" collapsed="1">
      <c r="A733" s="64">
        <f>IF(15&lt;=DAY(DATE(YEAR(설정_코스수당!$K$2),MONTH(설정_코스수당!$K$2)+1,0)),DATE(YEAR(설정_코스수당!$K$2),MONTH(설정_코스수당!$K$2),15),"")</f>
        <v>46188</v>
      </c>
      <c r="B733" s="65" t="str">
        <f>IF(A733="","","출근 "&amp;COUNTIF(C735:C784,"&lt;&gt;")&amp;"명")</f>
        <v>출근 0명</v>
      </c>
      <c r="C733" s="65" t="str">
        <f>IF(A733="","","만근 "&amp;COUNTIF(M735:M784,"인정")&amp;"명")</f>
        <v>만근 0명</v>
      </c>
      <c r="D733" s="65" t="str">
        <f>IFERROR("평균 "&amp;TEXT(AVERAGEIF(E735:E784,"&gt;0",E735:E784),"0.0")&amp;"h","평균 -")</f>
        <v>평균 -</v>
      </c>
      <c r="E733" s="65" t="s">
        <v>163</v>
      </c>
      <c r="F733" s="65">
        <f t="shared" ref="F733:L733" si="98">SUM(F735:F784)</f>
        <v>0</v>
      </c>
      <c r="G733" s="65">
        <f t="shared" si="98"/>
        <v>0</v>
      </c>
      <c r="H733" s="65">
        <f t="shared" si="98"/>
        <v>0</v>
      </c>
      <c r="I733" s="65">
        <f t="shared" si="98"/>
        <v>0</v>
      </c>
      <c r="J733" s="65">
        <f t="shared" si="98"/>
        <v>0</v>
      </c>
      <c r="K733" s="65">
        <f t="shared" si="98"/>
        <v>0</v>
      </c>
      <c r="L733" s="66">
        <f t="shared" si="98"/>
        <v>0</v>
      </c>
      <c r="M733" s="65">
        <f>COUNTIF(M735:M784,"인정")</f>
        <v>0</v>
      </c>
      <c r="N733" s="65" t="s">
        <v>164</v>
      </c>
    </row>
    <row r="734" spans="1:14" ht="19.5" hidden="1" customHeight="1" outlineLevel="1">
      <c r="A734" s="20" t="s">
        <v>42</v>
      </c>
      <c r="B734" s="20" t="s">
        <v>152</v>
      </c>
      <c r="C734" s="20" t="s">
        <v>153</v>
      </c>
      <c r="D734" s="20" t="s">
        <v>154</v>
      </c>
      <c r="E734" s="20" t="s">
        <v>155</v>
      </c>
      <c r="F734" s="20" t="s">
        <v>156</v>
      </c>
      <c r="G734" s="20" t="s">
        <v>157</v>
      </c>
      <c r="H734" s="20" t="s">
        <v>158</v>
      </c>
      <c r="I734" s="20" t="s">
        <v>159</v>
      </c>
      <c r="J734" s="20" t="s">
        <v>160</v>
      </c>
      <c r="K734" s="20" t="s">
        <v>118</v>
      </c>
      <c r="L734" s="20" t="s">
        <v>161</v>
      </c>
      <c r="M734" s="20" t="s">
        <v>162</v>
      </c>
      <c r="N734" s="20" t="s">
        <v>95</v>
      </c>
    </row>
    <row r="735" spans="1:14" ht="19.5" hidden="1" customHeight="1" outlineLevel="1">
      <c r="A735" s="24">
        <f>IF(15&lt;=DAY(DATE(YEAR(설정_코스수당!$K$2),MONTH(설정_코스수당!$K$2)+1,0)),DATE(YEAR(설정_코스수당!$K$2),MONTH(설정_코스수당!$K$2),15),"")</f>
        <v>46188</v>
      </c>
      <c r="B735" s="23" t="s">
        <v>47</v>
      </c>
      <c r="C735" s="23"/>
      <c r="D735" s="23"/>
      <c r="E735" s="23" t="str">
        <f t="shared" ref="E735:E766" si="99">IF(AND(C735&lt;&gt;"",D735&lt;&gt;""),IF(D735&lt;C735,D735+1-C735,D735-C735)*24,"")</f>
        <v/>
      </c>
      <c r="F735" s="23">
        <f>COUNTIFS(실시간콜입력!$B:$B,$A735,실시간콜입력!$E:$E,"A",실시간콜입력!$G:$G,$B735,실시간콜입력!$O:$O,"방문완료")+COUNTIFS(실시간콜입력!$B:$B,$A735,실시간콜입력!$E:$E,"A",실시간콜입력!$H:$H,$B735,실시간콜입력!$O:$O,"방문완료")</f>
        <v>0</v>
      </c>
      <c r="G735" s="23">
        <f>COUNTIFS(실시간콜입력!$B:$B,$A735,실시간콜입력!$E:$E,"B",실시간콜입력!$G:$G,$B735,실시간콜입력!$O:$O,"방문완료")+COUNTIFS(실시간콜입력!$B:$B,$A735,실시간콜입력!$E:$E,"B",실시간콜입력!$H:$H,$B735,실시간콜입력!$O:$O,"방문완료")</f>
        <v>0</v>
      </c>
      <c r="H735" s="23">
        <f>COUNTIFS(실시간콜입력!$B:$B,$A735,실시간콜입력!$E:$E,"C",실시간콜입력!$G:$G,$B735,실시간콜입력!$O:$O,"방문완료")+COUNTIFS(실시간콜입력!$B:$B,$A735,실시간콜입력!$E:$E,"C",실시간콜입력!$H:$H,$B735,실시간콜입력!$O:$O,"방문완료")</f>
        <v>0</v>
      </c>
      <c r="I735" s="23">
        <f>COUNTIFS(실시간콜입력!$B:$B,$A735,실시간콜입력!$E:$E,"D",실시간콜입력!$G:$G,$B735,실시간콜입력!$O:$O,"방문완료")+COUNTIFS(실시간콜입력!$B:$B,$A735,실시간콜입력!$E:$E,"D",실시간콜입력!$H:$H,$B735,실시간콜입력!$O:$O,"방문완료")</f>
        <v>0</v>
      </c>
      <c r="J735" s="23">
        <f>COUNTIFS(실시간콜입력!$B:$B,$A735,실시간콜입력!$E:$E,"E",실시간콜입력!$G:$G,$B735,실시간콜입력!$O:$O,"방문완료")+COUNTIFS(실시간콜입력!$B:$B,$A735,실시간콜입력!$E:$E,"E",실시간콜입력!$H:$H,$B735,실시간콜입력!$O:$O,"방문완료")</f>
        <v>0</v>
      </c>
      <c r="K735" s="23">
        <f t="shared" ref="K735:K766" si="100">SUM(F735:J735)</f>
        <v>0</v>
      </c>
      <c r="L735" s="27">
        <f>SUMIFS(실시간콜입력!$K:$K,실시간콜입력!$B:$B,$A735,실시간콜입력!$G:$G,$B735,실시간콜입력!$O:$O,"방문완료")+SUMIFS(실시간콜입력!$L:$L,실시간콜입력!$B:$B,$A735,실시간콜입력!$H:$H,$B735,실시간콜입력!$O:$O,"방문완료")</f>
        <v>0</v>
      </c>
      <c r="M735" s="23" t="str">
        <f t="shared" ref="M735:M766" si="101">IF(AND(ISNUMBER(E735),E735&gt;=8),"인정","")</f>
        <v/>
      </c>
      <c r="N735" s="23"/>
    </row>
    <row r="736" spans="1:14" ht="19.5" hidden="1" customHeight="1" outlineLevel="1">
      <c r="A736" s="30">
        <f>IF(15&lt;=DAY(DATE(YEAR(설정_코스수당!$K$2),MONTH(설정_코스수당!$K$2)+1,0)),DATE(YEAR(설정_코스수당!$K$2),MONTH(설정_코스수당!$K$2),15),"")</f>
        <v>46188</v>
      </c>
      <c r="B736" s="29" t="s">
        <v>48</v>
      </c>
      <c r="C736" s="29"/>
      <c r="D736" s="29"/>
      <c r="E736" s="29" t="str">
        <f t="shared" si="99"/>
        <v/>
      </c>
      <c r="F736" s="29">
        <f>COUNTIFS(실시간콜입력!$B:$B,$A736,실시간콜입력!$E:$E,"A",실시간콜입력!$G:$G,$B736,실시간콜입력!$O:$O,"방문완료")+COUNTIFS(실시간콜입력!$B:$B,$A736,실시간콜입력!$E:$E,"A",실시간콜입력!$H:$H,$B736,실시간콜입력!$O:$O,"방문완료")</f>
        <v>0</v>
      </c>
      <c r="G736" s="29">
        <f>COUNTIFS(실시간콜입력!$B:$B,$A736,실시간콜입력!$E:$E,"B",실시간콜입력!$G:$G,$B736,실시간콜입력!$O:$O,"방문완료")+COUNTIFS(실시간콜입력!$B:$B,$A736,실시간콜입력!$E:$E,"B",실시간콜입력!$H:$H,$B736,실시간콜입력!$O:$O,"방문완료")</f>
        <v>0</v>
      </c>
      <c r="H736" s="29">
        <f>COUNTIFS(실시간콜입력!$B:$B,$A736,실시간콜입력!$E:$E,"C",실시간콜입력!$G:$G,$B736,실시간콜입력!$O:$O,"방문완료")+COUNTIFS(실시간콜입력!$B:$B,$A736,실시간콜입력!$E:$E,"C",실시간콜입력!$H:$H,$B736,실시간콜입력!$O:$O,"방문완료")</f>
        <v>0</v>
      </c>
      <c r="I736" s="29">
        <f>COUNTIFS(실시간콜입력!$B:$B,$A736,실시간콜입력!$E:$E,"D",실시간콜입력!$G:$G,$B736,실시간콜입력!$O:$O,"방문완료")+COUNTIFS(실시간콜입력!$B:$B,$A736,실시간콜입력!$E:$E,"D",실시간콜입력!$H:$H,$B736,실시간콜입력!$O:$O,"방문완료")</f>
        <v>0</v>
      </c>
      <c r="J736" s="29">
        <f>COUNTIFS(실시간콜입력!$B:$B,$A736,실시간콜입력!$E:$E,"E",실시간콜입력!$G:$G,$B736,실시간콜입력!$O:$O,"방문완료")+COUNTIFS(실시간콜입력!$B:$B,$A736,실시간콜입력!$E:$E,"E",실시간콜입력!$H:$H,$B736,실시간콜입력!$O:$O,"방문완료")</f>
        <v>0</v>
      </c>
      <c r="K736" s="29">
        <f t="shared" si="100"/>
        <v>0</v>
      </c>
      <c r="L736" s="33">
        <f>SUMIFS(실시간콜입력!$K:$K,실시간콜입력!$B:$B,$A736,실시간콜입력!$G:$G,$B736,실시간콜입력!$O:$O,"방문완료")+SUMIFS(실시간콜입력!$L:$L,실시간콜입력!$B:$B,$A736,실시간콜입력!$H:$H,$B736,실시간콜입력!$O:$O,"방문완료")</f>
        <v>0</v>
      </c>
      <c r="M736" s="29" t="str">
        <f t="shared" si="101"/>
        <v/>
      </c>
      <c r="N736" s="29"/>
    </row>
    <row r="737" spans="1:14" ht="19.5" hidden="1" customHeight="1" outlineLevel="1">
      <c r="A737" s="24">
        <f>IF(15&lt;=DAY(DATE(YEAR(설정_코스수당!$K$2),MONTH(설정_코스수당!$K$2)+1,0)),DATE(YEAR(설정_코스수당!$K$2),MONTH(설정_코스수당!$K$2),15),"")</f>
        <v>46188</v>
      </c>
      <c r="B737" s="23" t="s">
        <v>165</v>
      </c>
      <c r="C737" s="29"/>
      <c r="D737" s="29"/>
      <c r="E737" s="29" t="str">
        <f t="shared" si="99"/>
        <v/>
      </c>
      <c r="F737" s="29">
        <f>COUNTIFS(실시간콜입력!$B:$B,$A737,실시간콜입력!$E:$E,"A",실시간콜입력!$G:$G,$B737,실시간콜입력!$O:$O,"방문완료")+COUNTIFS(실시간콜입력!$B:$B,$A737,실시간콜입력!$E:$E,"A",실시간콜입력!$H:$H,$B737,실시간콜입력!$O:$O,"방문완료")</f>
        <v>0</v>
      </c>
      <c r="G737" s="29">
        <f>COUNTIFS(실시간콜입력!$B:$B,$A737,실시간콜입력!$E:$E,"B",실시간콜입력!$G:$G,$B737,실시간콜입력!$O:$O,"방문완료")+COUNTIFS(실시간콜입력!$B:$B,$A737,실시간콜입력!$E:$E,"B",실시간콜입력!$H:$H,$B737,실시간콜입력!$O:$O,"방문완료")</f>
        <v>0</v>
      </c>
      <c r="H737" s="29">
        <f>COUNTIFS(실시간콜입력!$B:$B,$A737,실시간콜입력!$E:$E,"C",실시간콜입력!$G:$G,$B737,실시간콜입력!$O:$O,"방문완료")+COUNTIFS(실시간콜입력!$B:$B,$A737,실시간콜입력!$E:$E,"C",실시간콜입력!$H:$H,$B737,실시간콜입력!$O:$O,"방문완료")</f>
        <v>0</v>
      </c>
      <c r="I737" s="29">
        <f>COUNTIFS(실시간콜입력!$B:$B,$A737,실시간콜입력!$E:$E,"D",실시간콜입력!$G:$G,$B737,실시간콜입력!$O:$O,"방문완료")+COUNTIFS(실시간콜입력!$B:$B,$A737,실시간콜입력!$E:$E,"D",실시간콜입력!$H:$H,$B737,실시간콜입력!$O:$O,"방문완료")</f>
        <v>0</v>
      </c>
      <c r="J737" s="29">
        <f>COUNTIFS(실시간콜입력!$B:$B,$A737,실시간콜입력!$E:$E,"E",실시간콜입력!$G:$G,$B737,실시간콜입력!$O:$O,"방문완료")+COUNTIFS(실시간콜입력!$B:$B,$A737,실시간콜입력!$E:$E,"E",실시간콜입력!$H:$H,$B737,실시간콜입력!$O:$O,"방문완료")</f>
        <v>0</v>
      </c>
      <c r="K737" s="29">
        <f t="shared" si="100"/>
        <v>0</v>
      </c>
      <c r="L737" s="27">
        <f>SUMIFS(실시간콜입력!$K:$K,실시간콜입력!$B:$B,$A737,실시간콜입력!$G:$G,$B737,실시간콜입력!$O:$O,"방문완료")+SUMIFS(실시간콜입력!$L:$L,실시간콜입력!$B:$B,$A737,실시간콜입력!$H:$H,$B737,실시간콜입력!$O:$O,"방문완료")</f>
        <v>0</v>
      </c>
      <c r="M737" s="29" t="str">
        <f t="shared" si="101"/>
        <v/>
      </c>
      <c r="N737" s="29"/>
    </row>
    <row r="738" spans="1:14" ht="19.5" hidden="1" customHeight="1" outlineLevel="1">
      <c r="A738" s="30">
        <f>IF(15&lt;=DAY(DATE(YEAR(설정_코스수당!$K$2),MONTH(설정_코스수당!$K$2)+1,0)),DATE(YEAR(설정_코스수당!$K$2),MONTH(설정_코스수당!$K$2),15),"")</f>
        <v>46188</v>
      </c>
      <c r="B738" s="29" t="s">
        <v>166</v>
      </c>
      <c r="C738" s="29"/>
      <c r="D738" s="29"/>
      <c r="E738" s="29" t="str">
        <f t="shared" si="99"/>
        <v/>
      </c>
      <c r="F738" s="29">
        <f>COUNTIFS(실시간콜입력!$B:$B,$A738,실시간콜입력!$E:$E,"A",실시간콜입력!$G:$G,$B738,실시간콜입력!$O:$O,"방문완료")+COUNTIFS(실시간콜입력!$B:$B,$A738,실시간콜입력!$E:$E,"A",실시간콜입력!$H:$H,$B738,실시간콜입력!$O:$O,"방문완료")</f>
        <v>0</v>
      </c>
      <c r="G738" s="29">
        <f>COUNTIFS(실시간콜입력!$B:$B,$A738,실시간콜입력!$E:$E,"B",실시간콜입력!$G:$G,$B738,실시간콜입력!$O:$O,"방문완료")+COUNTIFS(실시간콜입력!$B:$B,$A738,실시간콜입력!$E:$E,"B",실시간콜입력!$H:$H,$B738,실시간콜입력!$O:$O,"방문완료")</f>
        <v>0</v>
      </c>
      <c r="H738" s="29">
        <f>COUNTIFS(실시간콜입력!$B:$B,$A738,실시간콜입력!$E:$E,"C",실시간콜입력!$G:$G,$B738,실시간콜입력!$O:$O,"방문완료")+COUNTIFS(실시간콜입력!$B:$B,$A738,실시간콜입력!$E:$E,"C",실시간콜입력!$H:$H,$B738,실시간콜입력!$O:$O,"방문완료")</f>
        <v>0</v>
      </c>
      <c r="I738" s="29">
        <f>COUNTIFS(실시간콜입력!$B:$B,$A738,실시간콜입력!$E:$E,"D",실시간콜입력!$G:$G,$B738,실시간콜입력!$O:$O,"방문완료")+COUNTIFS(실시간콜입력!$B:$B,$A738,실시간콜입력!$E:$E,"D",실시간콜입력!$H:$H,$B738,실시간콜입력!$O:$O,"방문완료")</f>
        <v>0</v>
      </c>
      <c r="J738" s="29">
        <f>COUNTIFS(실시간콜입력!$B:$B,$A738,실시간콜입력!$E:$E,"E",실시간콜입력!$G:$G,$B738,실시간콜입력!$O:$O,"방문완료")+COUNTIFS(실시간콜입력!$B:$B,$A738,실시간콜입력!$E:$E,"E",실시간콜입력!$H:$H,$B738,실시간콜입력!$O:$O,"방문완료")</f>
        <v>0</v>
      </c>
      <c r="K738" s="29">
        <f t="shared" si="100"/>
        <v>0</v>
      </c>
      <c r="L738" s="33">
        <f>SUMIFS(실시간콜입력!$K:$K,실시간콜입력!$B:$B,$A738,실시간콜입력!$G:$G,$B738,실시간콜입력!$O:$O,"방문완료")+SUMIFS(실시간콜입력!$L:$L,실시간콜입력!$B:$B,$A738,실시간콜입력!$H:$H,$B738,실시간콜입력!$O:$O,"방문완료")</f>
        <v>0</v>
      </c>
      <c r="M738" s="29" t="str">
        <f t="shared" si="101"/>
        <v/>
      </c>
      <c r="N738" s="29"/>
    </row>
    <row r="739" spans="1:14" ht="19.5" hidden="1" customHeight="1" outlineLevel="1">
      <c r="A739" s="24">
        <f>IF(15&lt;=DAY(DATE(YEAR(설정_코스수당!$K$2),MONTH(설정_코스수당!$K$2)+1,0)),DATE(YEAR(설정_코스수당!$K$2),MONTH(설정_코스수당!$K$2),15),"")</f>
        <v>46188</v>
      </c>
      <c r="B739" s="23" t="s">
        <v>167</v>
      </c>
      <c r="C739" s="29"/>
      <c r="D739" s="29"/>
      <c r="E739" s="29" t="str">
        <f t="shared" si="99"/>
        <v/>
      </c>
      <c r="F739" s="29">
        <f>COUNTIFS(실시간콜입력!$B:$B,$A739,실시간콜입력!$E:$E,"A",실시간콜입력!$G:$G,$B739,실시간콜입력!$O:$O,"방문완료")+COUNTIFS(실시간콜입력!$B:$B,$A739,실시간콜입력!$E:$E,"A",실시간콜입력!$H:$H,$B739,실시간콜입력!$O:$O,"방문완료")</f>
        <v>0</v>
      </c>
      <c r="G739" s="29">
        <f>COUNTIFS(실시간콜입력!$B:$B,$A739,실시간콜입력!$E:$E,"B",실시간콜입력!$G:$G,$B739,실시간콜입력!$O:$O,"방문완료")+COUNTIFS(실시간콜입력!$B:$B,$A739,실시간콜입력!$E:$E,"B",실시간콜입력!$H:$H,$B739,실시간콜입력!$O:$O,"방문완료")</f>
        <v>0</v>
      </c>
      <c r="H739" s="29">
        <f>COUNTIFS(실시간콜입력!$B:$B,$A739,실시간콜입력!$E:$E,"C",실시간콜입력!$G:$G,$B739,실시간콜입력!$O:$O,"방문완료")+COUNTIFS(실시간콜입력!$B:$B,$A739,실시간콜입력!$E:$E,"C",실시간콜입력!$H:$H,$B739,실시간콜입력!$O:$O,"방문완료")</f>
        <v>0</v>
      </c>
      <c r="I739" s="29">
        <f>COUNTIFS(실시간콜입력!$B:$B,$A739,실시간콜입력!$E:$E,"D",실시간콜입력!$G:$G,$B739,실시간콜입력!$O:$O,"방문완료")+COUNTIFS(실시간콜입력!$B:$B,$A739,실시간콜입력!$E:$E,"D",실시간콜입력!$H:$H,$B739,실시간콜입력!$O:$O,"방문완료")</f>
        <v>0</v>
      </c>
      <c r="J739" s="29">
        <f>COUNTIFS(실시간콜입력!$B:$B,$A739,실시간콜입력!$E:$E,"E",실시간콜입력!$G:$G,$B739,실시간콜입력!$O:$O,"방문완료")+COUNTIFS(실시간콜입력!$B:$B,$A739,실시간콜입력!$E:$E,"E",실시간콜입력!$H:$H,$B739,실시간콜입력!$O:$O,"방문완료")</f>
        <v>0</v>
      </c>
      <c r="K739" s="29">
        <f t="shared" si="100"/>
        <v>0</v>
      </c>
      <c r="L739" s="27">
        <f>SUMIFS(실시간콜입력!$K:$K,실시간콜입력!$B:$B,$A739,실시간콜입력!$G:$G,$B739,실시간콜입력!$O:$O,"방문완료")+SUMIFS(실시간콜입력!$L:$L,실시간콜입력!$B:$B,$A739,실시간콜입력!$H:$H,$B739,실시간콜입력!$O:$O,"방문완료")</f>
        <v>0</v>
      </c>
      <c r="M739" s="29" t="str">
        <f t="shared" si="101"/>
        <v/>
      </c>
      <c r="N739" s="29"/>
    </row>
    <row r="740" spans="1:14" ht="19.5" hidden="1" customHeight="1" outlineLevel="1">
      <c r="A740" s="30">
        <f>IF(15&lt;=DAY(DATE(YEAR(설정_코스수당!$K$2),MONTH(설정_코스수당!$K$2)+1,0)),DATE(YEAR(설정_코스수당!$K$2),MONTH(설정_코스수당!$K$2),15),"")</f>
        <v>46188</v>
      </c>
      <c r="B740" s="29" t="s">
        <v>168</v>
      </c>
      <c r="C740" s="29"/>
      <c r="D740" s="29"/>
      <c r="E740" s="29" t="str">
        <f t="shared" si="99"/>
        <v/>
      </c>
      <c r="F740" s="29">
        <f>COUNTIFS(실시간콜입력!$B:$B,$A740,실시간콜입력!$E:$E,"A",실시간콜입력!$G:$G,$B740,실시간콜입력!$O:$O,"방문완료")+COUNTIFS(실시간콜입력!$B:$B,$A740,실시간콜입력!$E:$E,"A",실시간콜입력!$H:$H,$B740,실시간콜입력!$O:$O,"방문완료")</f>
        <v>0</v>
      </c>
      <c r="G740" s="29">
        <f>COUNTIFS(실시간콜입력!$B:$B,$A740,실시간콜입력!$E:$E,"B",실시간콜입력!$G:$G,$B740,실시간콜입력!$O:$O,"방문완료")+COUNTIFS(실시간콜입력!$B:$B,$A740,실시간콜입력!$E:$E,"B",실시간콜입력!$H:$H,$B740,실시간콜입력!$O:$O,"방문완료")</f>
        <v>0</v>
      </c>
      <c r="H740" s="29">
        <f>COUNTIFS(실시간콜입력!$B:$B,$A740,실시간콜입력!$E:$E,"C",실시간콜입력!$G:$G,$B740,실시간콜입력!$O:$O,"방문완료")+COUNTIFS(실시간콜입력!$B:$B,$A740,실시간콜입력!$E:$E,"C",실시간콜입력!$H:$H,$B740,실시간콜입력!$O:$O,"방문완료")</f>
        <v>0</v>
      </c>
      <c r="I740" s="29">
        <f>COUNTIFS(실시간콜입력!$B:$B,$A740,실시간콜입력!$E:$E,"D",실시간콜입력!$G:$G,$B740,실시간콜입력!$O:$O,"방문완료")+COUNTIFS(실시간콜입력!$B:$B,$A740,실시간콜입력!$E:$E,"D",실시간콜입력!$H:$H,$B740,실시간콜입력!$O:$O,"방문완료")</f>
        <v>0</v>
      </c>
      <c r="J740" s="29">
        <f>COUNTIFS(실시간콜입력!$B:$B,$A740,실시간콜입력!$E:$E,"E",실시간콜입력!$G:$G,$B740,실시간콜입력!$O:$O,"방문완료")+COUNTIFS(실시간콜입력!$B:$B,$A740,실시간콜입력!$E:$E,"E",실시간콜입력!$H:$H,$B740,실시간콜입력!$O:$O,"방문완료")</f>
        <v>0</v>
      </c>
      <c r="K740" s="29">
        <f t="shared" si="100"/>
        <v>0</v>
      </c>
      <c r="L740" s="33">
        <f>SUMIFS(실시간콜입력!$K:$K,실시간콜입력!$B:$B,$A740,실시간콜입력!$G:$G,$B740,실시간콜입력!$O:$O,"방문완료")+SUMIFS(실시간콜입력!$L:$L,실시간콜입력!$B:$B,$A740,실시간콜입력!$H:$H,$B740,실시간콜입력!$O:$O,"방문완료")</f>
        <v>0</v>
      </c>
      <c r="M740" s="29" t="str">
        <f t="shared" si="101"/>
        <v/>
      </c>
      <c r="N740" s="29"/>
    </row>
    <row r="741" spans="1:14" ht="19.5" hidden="1" customHeight="1" outlineLevel="1">
      <c r="A741" s="24">
        <f>IF(15&lt;=DAY(DATE(YEAR(설정_코스수당!$K$2),MONTH(설정_코스수당!$K$2)+1,0)),DATE(YEAR(설정_코스수당!$K$2),MONTH(설정_코스수당!$K$2),15),"")</f>
        <v>46188</v>
      </c>
      <c r="B741" s="23" t="s">
        <v>169</v>
      </c>
      <c r="C741" s="29"/>
      <c r="D741" s="29"/>
      <c r="E741" s="29" t="str">
        <f t="shared" si="99"/>
        <v/>
      </c>
      <c r="F741" s="29">
        <f>COUNTIFS(실시간콜입력!$B:$B,$A741,실시간콜입력!$E:$E,"A",실시간콜입력!$G:$G,$B741,실시간콜입력!$O:$O,"방문완료")+COUNTIFS(실시간콜입력!$B:$B,$A741,실시간콜입력!$E:$E,"A",실시간콜입력!$H:$H,$B741,실시간콜입력!$O:$O,"방문완료")</f>
        <v>0</v>
      </c>
      <c r="G741" s="29">
        <f>COUNTIFS(실시간콜입력!$B:$B,$A741,실시간콜입력!$E:$E,"B",실시간콜입력!$G:$G,$B741,실시간콜입력!$O:$O,"방문완료")+COUNTIFS(실시간콜입력!$B:$B,$A741,실시간콜입력!$E:$E,"B",실시간콜입력!$H:$H,$B741,실시간콜입력!$O:$O,"방문완료")</f>
        <v>0</v>
      </c>
      <c r="H741" s="29">
        <f>COUNTIFS(실시간콜입력!$B:$B,$A741,실시간콜입력!$E:$E,"C",실시간콜입력!$G:$G,$B741,실시간콜입력!$O:$O,"방문완료")+COUNTIFS(실시간콜입력!$B:$B,$A741,실시간콜입력!$E:$E,"C",실시간콜입력!$H:$H,$B741,실시간콜입력!$O:$O,"방문완료")</f>
        <v>0</v>
      </c>
      <c r="I741" s="29">
        <f>COUNTIFS(실시간콜입력!$B:$B,$A741,실시간콜입력!$E:$E,"D",실시간콜입력!$G:$G,$B741,실시간콜입력!$O:$O,"방문완료")+COUNTIFS(실시간콜입력!$B:$B,$A741,실시간콜입력!$E:$E,"D",실시간콜입력!$H:$H,$B741,실시간콜입력!$O:$O,"방문완료")</f>
        <v>0</v>
      </c>
      <c r="J741" s="29">
        <f>COUNTIFS(실시간콜입력!$B:$B,$A741,실시간콜입력!$E:$E,"E",실시간콜입력!$G:$G,$B741,실시간콜입력!$O:$O,"방문완료")+COUNTIFS(실시간콜입력!$B:$B,$A741,실시간콜입력!$E:$E,"E",실시간콜입력!$H:$H,$B741,실시간콜입력!$O:$O,"방문완료")</f>
        <v>0</v>
      </c>
      <c r="K741" s="29">
        <f t="shared" si="100"/>
        <v>0</v>
      </c>
      <c r="L741" s="27">
        <f>SUMIFS(실시간콜입력!$K:$K,실시간콜입력!$B:$B,$A741,실시간콜입력!$G:$G,$B741,실시간콜입력!$O:$O,"방문완료")+SUMIFS(실시간콜입력!$L:$L,실시간콜입력!$B:$B,$A741,실시간콜입력!$H:$H,$B741,실시간콜입력!$O:$O,"방문완료")</f>
        <v>0</v>
      </c>
      <c r="M741" s="29" t="str">
        <f t="shared" si="101"/>
        <v/>
      </c>
      <c r="N741" s="29"/>
    </row>
    <row r="742" spans="1:14" ht="19.5" hidden="1" customHeight="1" outlineLevel="1">
      <c r="A742" s="30">
        <f>IF(15&lt;=DAY(DATE(YEAR(설정_코스수당!$K$2),MONTH(설정_코스수당!$K$2)+1,0)),DATE(YEAR(설정_코스수당!$K$2),MONTH(설정_코스수당!$K$2),15),"")</f>
        <v>46188</v>
      </c>
      <c r="B742" s="29" t="s">
        <v>170</v>
      </c>
      <c r="C742" s="29"/>
      <c r="D742" s="29"/>
      <c r="E742" s="29" t="str">
        <f t="shared" si="99"/>
        <v/>
      </c>
      <c r="F742" s="29">
        <f>COUNTIFS(실시간콜입력!$B:$B,$A742,실시간콜입력!$E:$E,"A",실시간콜입력!$G:$G,$B742,실시간콜입력!$O:$O,"방문완료")+COUNTIFS(실시간콜입력!$B:$B,$A742,실시간콜입력!$E:$E,"A",실시간콜입력!$H:$H,$B742,실시간콜입력!$O:$O,"방문완료")</f>
        <v>0</v>
      </c>
      <c r="G742" s="29">
        <f>COUNTIFS(실시간콜입력!$B:$B,$A742,실시간콜입력!$E:$E,"B",실시간콜입력!$G:$G,$B742,실시간콜입력!$O:$O,"방문완료")+COUNTIFS(실시간콜입력!$B:$B,$A742,실시간콜입력!$E:$E,"B",실시간콜입력!$H:$H,$B742,실시간콜입력!$O:$O,"방문완료")</f>
        <v>0</v>
      </c>
      <c r="H742" s="29">
        <f>COUNTIFS(실시간콜입력!$B:$B,$A742,실시간콜입력!$E:$E,"C",실시간콜입력!$G:$G,$B742,실시간콜입력!$O:$O,"방문완료")+COUNTIFS(실시간콜입력!$B:$B,$A742,실시간콜입력!$E:$E,"C",실시간콜입력!$H:$H,$B742,실시간콜입력!$O:$O,"방문완료")</f>
        <v>0</v>
      </c>
      <c r="I742" s="29">
        <f>COUNTIFS(실시간콜입력!$B:$B,$A742,실시간콜입력!$E:$E,"D",실시간콜입력!$G:$G,$B742,실시간콜입력!$O:$O,"방문완료")+COUNTIFS(실시간콜입력!$B:$B,$A742,실시간콜입력!$E:$E,"D",실시간콜입력!$H:$H,$B742,실시간콜입력!$O:$O,"방문완료")</f>
        <v>0</v>
      </c>
      <c r="J742" s="29">
        <f>COUNTIFS(실시간콜입력!$B:$B,$A742,실시간콜입력!$E:$E,"E",실시간콜입력!$G:$G,$B742,실시간콜입력!$O:$O,"방문완료")+COUNTIFS(실시간콜입력!$B:$B,$A742,실시간콜입력!$E:$E,"E",실시간콜입력!$H:$H,$B742,실시간콜입력!$O:$O,"방문완료")</f>
        <v>0</v>
      </c>
      <c r="K742" s="29">
        <f t="shared" si="100"/>
        <v>0</v>
      </c>
      <c r="L742" s="33">
        <f>SUMIFS(실시간콜입력!$K:$K,실시간콜입력!$B:$B,$A742,실시간콜입력!$G:$G,$B742,실시간콜입력!$O:$O,"방문완료")+SUMIFS(실시간콜입력!$L:$L,실시간콜입력!$B:$B,$A742,실시간콜입력!$H:$H,$B742,실시간콜입력!$O:$O,"방문완료")</f>
        <v>0</v>
      </c>
      <c r="M742" s="29" t="str">
        <f t="shared" si="101"/>
        <v/>
      </c>
      <c r="N742" s="29"/>
    </row>
    <row r="743" spans="1:14" ht="19.5" hidden="1" customHeight="1" outlineLevel="1">
      <c r="A743" s="24">
        <f>IF(15&lt;=DAY(DATE(YEAR(설정_코스수당!$K$2),MONTH(설정_코스수당!$K$2)+1,0)),DATE(YEAR(설정_코스수당!$K$2),MONTH(설정_코스수당!$K$2),15),"")</f>
        <v>46188</v>
      </c>
      <c r="B743" s="23" t="s">
        <v>171</v>
      </c>
      <c r="C743" s="29"/>
      <c r="D743" s="29"/>
      <c r="E743" s="29" t="str">
        <f t="shared" si="99"/>
        <v/>
      </c>
      <c r="F743" s="29">
        <f>COUNTIFS(실시간콜입력!$B:$B,$A743,실시간콜입력!$E:$E,"A",실시간콜입력!$G:$G,$B743,실시간콜입력!$O:$O,"방문완료")+COUNTIFS(실시간콜입력!$B:$B,$A743,실시간콜입력!$E:$E,"A",실시간콜입력!$H:$H,$B743,실시간콜입력!$O:$O,"방문완료")</f>
        <v>0</v>
      </c>
      <c r="G743" s="29">
        <f>COUNTIFS(실시간콜입력!$B:$B,$A743,실시간콜입력!$E:$E,"B",실시간콜입력!$G:$G,$B743,실시간콜입력!$O:$O,"방문완료")+COUNTIFS(실시간콜입력!$B:$B,$A743,실시간콜입력!$E:$E,"B",실시간콜입력!$H:$H,$B743,실시간콜입력!$O:$O,"방문완료")</f>
        <v>0</v>
      </c>
      <c r="H743" s="29">
        <f>COUNTIFS(실시간콜입력!$B:$B,$A743,실시간콜입력!$E:$E,"C",실시간콜입력!$G:$G,$B743,실시간콜입력!$O:$O,"방문완료")+COUNTIFS(실시간콜입력!$B:$B,$A743,실시간콜입력!$E:$E,"C",실시간콜입력!$H:$H,$B743,실시간콜입력!$O:$O,"방문완료")</f>
        <v>0</v>
      </c>
      <c r="I743" s="29">
        <f>COUNTIFS(실시간콜입력!$B:$B,$A743,실시간콜입력!$E:$E,"D",실시간콜입력!$G:$G,$B743,실시간콜입력!$O:$O,"방문완료")+COUNTIFS(실시간콜입력!$B:$B,$A743,실시간콜입력!$E:$E,"D",실시간콜입력!$H:$H,$B743,실시간콜입력!$O:$O,"방문완료")</f>
        <v>0</v>
      </c>
      <c r="J743" s="29">
        <f>COUNTIFS(실시간콜입력!$B:$B,$A743,실시간콜입력!$E:$E,"E",실시간콜입력!$G:$G,$B743,실시간콜입력!$O:$O,"방문완료")+COUNTIFS(실시간콜입력!$B:$B,$A743,실시간콜입력!$E:$E,"E",실시간콜입력!$H:$H,$B743,실시간콜입력!$O:$O,"방문완료")</f>
        <v>0</v>
      </c>
      <c r="K743" s="29">
        <f t="shared" si="100"/>
        <v>0</v>
      </c>
      <c r="L743" s="27">
        <f>SUMIFS(실시간콜입력!$K:$K,실시간콜입력!$B:$B,$A743,실시간콜입력!$G:$G,$B743,실시간콜입력!$O:$O,"방문완료")+SUMIFS(실시간콜입력!$L:$L,실시간콜입력!$B:$B,$A743,실시간콜입력!$H:$H,$B743,실시간콜입력!$O:$O,"방문완료")</f>
        <v>0</v>
      </c>
      <c r="M743" s="29" t="str">
        <f t="shared" si="101"/>
        <v/>
      </c>
      <c r="N743" s="29"/>
    </row>
    <row r="744" spans="1:14" ht="19.5" hidden="1" customHeight="1" outlineLevel="1">
      <c r="A744" s="30">
        <f>IF(15&lt;=DAY(DATE(YEAR(설정_코스수당!$K$2),MONTH(설정_코스수당!$K$2)+1,0)),DATE(YEAR(설정_코스수당!$K$2),MONTH(설정_코스수당!$K$2),15),"")</f>
        <v>46188</v>
      </c>
      <c r="B744" s="29" t="s">
        <v>172</v>
      </c>
      <c r="C744" s="29"/>
      <c r="D744" s="29"/>
      <c r="E744" s="29" t="str">
        <f t="shared" si="99"/>
        <v/>
      </c>
      <c r="F744" s="29">
        <f>COUNTIFS(실시간콜입력!$B:$B,$A744,실시간콜입력!$E:$E,"A",실시간콜입력!$G:$G,$B744,실시간콜입력!$O:$O,"방문완료")+COUNTIFS(실시간콜입력!$B:$B,$A744,실시간콜입력!$E:$E,"A",실시간콜입력!$H:$H,$B744,실시간콜입력!$O:$O,"방문완료")</f>
        <v>0</v>
      </c>
      <c r="G744" s="29">
        <f>COUNTIFS(실시간콜입력!$B:$B,$A744,실시간콜입력!$E:$E,"B",실시간콜입력!$G:$G,$B744,실시간콜입력!$O:$O,"방문완료")+COUNTIFS(실시간콜입력!$B:$B,$A744,실시간콜입력!$E:$E,"B",실시간콜입력!$H:$H,$B744,실시간콜입력!$O:$O,"방문완료")</f>
        <v>0</v>
      </c>
      <c r="H744" s="29">
        <f>COUNTIFS(실시간콜입력!$B:$B,$A744,실시간콜입력!$E:$E,"C",실시간콜입력!$G:$G,$B744,실시간콜입력!$O:$O,"방문완료")+COUNTIFS(실시간콜입력!$B:$B,$A744,실시간콜입력!$E:$E,"C",실시간콜입력!$H:$H,$B744,실시간콜입력!$O:$O,"방문완료")</f>
        <v>0</v>
      </c>
      <c r="I744" s="29">
        <f>COUNTIFS(실시간콜입력!$B:$B,$A744,실시간콜입력!$E:$E,"D",실시간콜입력!$G:$G,$B744,실시간콜입력!$O:$O,"방문완료")+COUNTIFS(실시간콜입력!$B:$B,$A744,실시간콜입력!$E:$E,"D",실시간콜입력!$H:$H,$B744,실시간콜입력!$O:$O,"방문완료")</f>
        <v>0</v>
      </c>
      <c r="J744" s="29">
        <f>COUNTIFS(실시간콜입력!$B:$B,$A744,실시간콜입력!$E:$E,"E",실시간콜입력!$G:$G,$B744,실시간콜입력!$O:$O,"방문완료")+COUNTIFS(실시간콜입력!$B:$B,$A744,실시간콜입력!$E:$E,"E",실시간콜입력!$H:$H,$B744,실시간콜입력!$O:$O,"방문완료")</f>
        <v>0</v>
      </c>
      <c r="K744" s="29">
        <f t="shared" si="100"/>
        <v>0</v>
      </c>
      <c r="L744" s="33">
        <f>SUMIFS(실시간콜입력!$K:$K,실시간콜입력!$B:$B,$A744,실시간콜입력!$G:$G,$B744,실시간콜입력!$O:$O,"방문완료")+SUMIFS(실시간콜입력!$L:$L,실시간콜입력!$B:$B,$A744,실시간콜입력!$H:$H,$B744,실시간콜입력!$O:$O,"방문완료")</f>
        <v>0</v>
      </c>
      <c r="M744" s="29" t="str">
        <f t="shared" si="101"/>
        <v/>
      </c>
      <c r="N744" s="29"/>
    </row>
    <row r="745" spans="1:14" ht="19.5" hidden="1" customHeight="1" outlineLevel="1">
      <c r="A745" s="24">
        <f>IF(15&lt;=DAY(DATE(YEAR(설정_코스수당!$K$2),MONTH(설정_코스수당!$K$2)+1,0)),DATE(YEAR(설정_코스수당!$K$2),MONTH(설정_코스수당!$K$2),15),"")</f>
        <v>46188</v>
      </c>
      <c r="B745" s="23" t="s">
        <v>173</v>
      </c>
      <c r="C745" s="29"/>
      <c r="D745" s="29"/>
      <c r="E745" s="29" t="str">
        <f t="shared" si="99"/>
        <v/>
      </c>
      <c r="F745" s="29">
        <f>COUNTIFS(실시간콜입력!$B:$B,$A745,실시간콜입력!$E:$E,"A",실시간콜입력!$G:$G,$B745,실시간콜입력!$O:$O,"방문완료")+COUNTIFS(실시간콜입력!$B:$B,$A745,실시간콜입력!$E:$E,"A",실시간콜입력!$H:$H,$B745,실시간콜입력!$O:$O,"방문완료")</f>
        <v>0</v>
      </c>
      <c r="G745" s="29">
        <f>COUNTIFS(실시간콜입력!$B:$B,$A745,실시간콜입력!$E:$E,"B",실시간콜입력!$G:$G,$B745,실시간콜입력!$O:$O,"방문완료")+COUNTIFS(실시간콜입력!$B:$B,$A745,실시간콜입력!$E:$E,"B",실시간콜입력!$H:$H,$B745,실시간콜입력!$O:$O,"방문완료")</f>
        <v>0</v>
      </c>
      <c r="H745" s="29">
        <f>COUNTIFS(실시간콜입력!$B:$B,$A745,실시간콜입력!$E:$E,"C",실시간콜입력!$G:$G,$B745,실시간콜입력!$O:$O,"방문완료")+COUNTIFS(실시간콜입력!$B:$B,$A745,실시간콜입력!$E:$E,"C",실시간콜입력!$H:$H,$B745,실시간콜입력!$O:$O,"방문완료")</f>
        <v>0</v>
      </c>
      <c r="I745" s="29">
        <f>COUNTIFS(실시간콜입력!$B:$B,$A745,실시간콜입력!$E:$E,"D",실시간콜입력!$G:$G,$B745,실시간콜입력!$O:$O,"방문완료")+COUNTIFS(실시간콜입력!$B:$B,$A745,실시간콜입력!$E:$E,"D",실시간콜입력!$H:$H,$B745,실시간콜입력!$O:$O,"방문완료")</f>
        <v>0</v>
      </c>
      <c r="J745" s="29">
        <f>COUNTIFS(실시간콜입력!$B:$B,$A745,실시간콜입력!$E:$E,"E",실시간콜입력!$G:$G,$B745,실시간콜입력!$O:$O,"방문완료")+COUNTIFS(실시간콜입력!$B:$B,$A745,실시간콜입력!$E:$E,"E",실시간콜입력!$H:$H,$B745,실시간콜입력!$O:$O,"방문완료")</f>
        <v>0</v>
      </c>
      <c r="K745" s="29">
        <f t="shared" si="100"/>
        <v>0</v>
      </c>
      <c r="L745" s="27">
        <f>SUMIFS(실시간콜입력!$K:$K,실시간콜입력!$B:$B,$A745,실시간콜입력!$G:$G,$B745,실시간콜입력!$O:$O,"방문완료")+SUMIFS(실시간콜입력!$L:$L,실시간콜입력!$B:$B,$A745,실시간콜입력!$H:$H,$B745,실시간콜입력!$O:$O,"방문완료")</f>
        <v>0</v>
      </c>
      <c r="M745" s="29" t="str">
        <f t="shared" si="101"/>
        <v/>
      </c>
      <c r="N745" s="29"/>
    </row>
    <row r="746" spans="1:14" ht="19.5" hidden="1" customHeight="1" outlineLevel="1">
      <c r="A746" s="30">
        <f>IF(15&lt;=DAY(DATE(YEAR(설정_코스수당!$K$2),MONTH(설정_코스수당!$K$2)+1,0)),DATE(YEAR(설정_코스수당!$K$2),MONTH(설정_코스수당!$K$2),15),"")</f>
        <v>46188</v>
      </c>
      <c r="B746" s="29" t="s">
        <v>174</v>
      </c>
      <c r="C746" s="29"/>
      <c r="D746" s="29"/>
      <c r="E746" s="29" t="str">
        <f t="shared" si="99"/>
        <v/>
      </c>
      <c r="F746" s="29">
        <f>COUNTIFS(실시간콜입력!$B:$B,$A746,실시간콜입력!$E:$E,"A",실시간콜입력!$G:$G,$B746,실시간콜입력!$O:$O,"방문완료")+COUNTIFS(실시간콜입력!$B:$B,$A746,실시간콜입력!$E:$E,"A",실시간콜입력!$H:$H,$B746,실시간콜입력!$O:$O,"방문완료")</f>
        <v>0</v>
      </c>
      <c r="G746" s="29">
        <f>COUNTIFS(실시간콜입력!$B:$B,$A746,실시간콜입력!$E:$E,"B",실시간콜입력!$G:$G,$B746,실시간콜입력!$O:$O,"방문완료")+COUNTIFS(실시간콜입력!$B:$B,$A746,실시간콜입력!$E:$E,"B",실시간콜입력!$H:$H,$B746,실시간콜입력!$O:$O,"방문완료")</f>
        <v>0</v>
      </c>
      <c r="H746" s="29">
        <f>COUNTIFS(실시간콜입력!$B:$B,$A746,실시간콜입력!$E:$E,"C",실시간콜입력!$G:$G,$B746,실시간콜입력!$O:$O,"방문완료")+COUNTIFS(실시간콜입력!$B:$B,$A746,실시간콜입력!$E:$E,"C",실시간콜입력!$H:$H,$B746,실시간콜입력!$O:$O,"방문완료")</f>
        <v>0</v>
      </c>
      <c r="I746" s="29">
        <f>COUNTIFS(실시간콜입력!$B:$B,$A746,실시간콜입력!$E:$E,"D",실시간콜입력!$G:$G,$B746,실시간콜입력!$O:$O,"방문완료")+COUNTIFS(실시간콜입력!$B:$B,$A746,실시간콜입력!$E:$E,"D",실시간콜입력!$H:$H,$B746,실시간콜입력!$O:$O,"방문완료")</f>
        <v>0</v>
      </c>
      <c r="J746" s="29">
        <f>COUNTIFS(실시간콜입력!$B:$B,$A746,실시간콜입력!$E:$E,"E",실시간콜입력!$G:$G,$B746,실시간콜입력!$O:$O,"방문완료")+COUNTIFS(실시간콜입력!$B:$B,$A746,실시간콜입력!$E:$E,"E",실시간콜입력!$H:$H,$B746,실시간콜입력!$O:$O,"방문완료")</f>
        <v>0</v>
      </c>
      <c r="K746" s="29">
        <f t="shared" si="100"/>
        <v>0</v>
      </c>
      <c r="L746" s="33">
        <f>SUMIFS(실시간콜입력!$K:$K,실시간콜입력!$B:$B,$A746,실시간콜입력!$G:$G,$B746,실시간콜입력!$O:$O,"방문완료")+SUMIFS(실시간콜입력!$L:$L,실시간콜입력!$B:$B,$A746,실시간콜입력!$H:$H,$B746,실시간콜입력!$O:$O,"방문완료")</f>
        <v>0</v>
      </c>
      <c r="M746" s="29" t="str">
        <f t="shared" si="101"/>
        <v/>
      </c>
      <c r="N746" s="29"/>
    </row>
    <row r="747" spans="1:14" ht="19.5" hidden="1" customHeight="1" outlineLevel="1">
      <c r="A747" s="24">
        <f>IF(15&lt;=DAY(DATE(YEAR(설정_코스수당!$K$2),MONTH(설정_코스수당!$K$2)+1,0)),DATE(YEAR(설정_코스수당!$K$2),MONTH(설정_코스수당!$K$2),15),"")</f>
        <v>46188</v>
      </c>
      <c r="B747" s="23" t="s">
        <v>175</v>
      </c>
      <c r="C747" s="29"/>
      <c r="D747" s="29"/>
      <c r="E747" s="29" t="str">
        <f t="shared" si="99"/>
        <v/>
      </c>
      <c r="F747" s="29">
        <f>COUNTIFS(실시간콜입력!$B:$B,$A747,실시간콜입력!$E:$E,"A",실시간콜입력!$G:$G,$B747,실시간콜입력!$O:$O,"방문완료")+COUNTIFS(실시간콜입력!$B:$B,$A747,실시간콜입력!$E:$E,"A",실시간콜입력!$H:$H,$B747,실시간콜입력!$O:$O,"방문완료")</f>
        <v>0</v>
      </c>
      <c r="G747" s="29">
        <f>COUNTIFS(실시간콜입력!$B:$B,$A747,실시간콜입력!$E:$E,"B",실시간콜입력!$G:$G,$B747,실시간콜입력!$O:$O,"방문완료")+COUNTIFS(실시간콜입력!$B:$B,$A747,실시간콜입력!$E:$E,"B",실시간콜입력!$H:$H,$B747,실시간콜입력!$O:$O,"방문완료")</f>
        <v>0</v>
      </c>
      <c r="H747" s="29">
        <f>COUNTIFS(실시간콜입력!$B:$B,$A747,실시간콜입력!$E:$E,"C",실시간콜입력!$G:$G,$B747,실시간콜입력!$O:$O,"방문완료")+COUNTIFS(실시간콜입력!$B:$B,$A747,실시간콜입력!$E:$E,"C",실시간콜입력!$H:$H,$B747,실시간콜입력!$O:$O,"방문완료")</f>
        <v>0</v>
      </c>
      <c r="I747" s="29">
        <f>COUNTIFS(실시간콜입력!$B:$B,$A747,실시간콜입력!$E:$E,"D",실시간콜입력!$G:$G,$B747,실시간콜입력!$O:$O,"방문완료")+COUNTIFS(실시간콜입력!$B:$B,$A747,실시간콜입력!$E:$E,"D",실시간콜입력!$H:$H,$B747,실시간콜입력!$O:$O,"방문완료")</f>
        <v>0</v>
      </c>
      <c r="J747" s="29">
        <f>COUNTIFS(실시간콜입력!$B:$B,$A747,실시간콜입력!$E:$E,"E",실시간콜입력!$G:$G,$B747,실시간콜입력!$O:$O,"방문완료")+COUNTIFS(실시간콜입력!$B:$B,$A747,실시간콜입력!$E:$E,"E",실시간콜입력!$H:$H,$B747,실시간콜입력!$O:$O,"방문완료")</f>
        <v>0</v>
      </c>
      <c r="K747" s="29">
        <f t="shared" si="100"/>
        <v>0</v>
      </c>
      <c r="L747" s="27">
        <f>SUMIFS(실시간콜입력!$K:$K,실시간콜입력!$B:$B,$A747,실시간콜입력!$G:$G,$B747,실시간콜입력!$O:$O,"방문완료")+SUMIFS(실시간콜입력!$L:$L,실시간콜입력!$B:$B,$A747,실시간콜입력!$H:$H,$B747,실시간콜입력!$O:$O,"방문완료")</f>
        <v>0</v>
      </c>
      <c r="M747" s="29" t="str">
        <f t="shared" si="101"/>
        <v/>
      </c>
      <c r="N747" s="29"/>
    </row>
    <row r="748" spans="1:14" ht="19.5" hidden="1" customHeight="1" outlineLevel="1">
      <c r="A748" s="30">
        <f>IF(15&lt;=DAY(DATE(YEAR(설정_코스수당!$K$2),MONTH(설정_코스수당!$K$2)+1,0)),DATE(YEAR(설정_코스수당!$K$2),MONTH(설정_코스수당!$K$2),15),"")</f>
        <v>46188</v>
      </c>
      <c r="B748" s="29" t="s">
        <v>176</v>
      </c>
      <c r="C748" s="29"/>
      <c r="D748" s="29"/>
      <c r="E748" s="29" t="str">
        <f t="shared" si="99"/>
        <v/>
      </c>
      <c r="F748" s="29">
        <f>COUNTIFS(실시간콜입력!$B:$B,$A748,실시간콜입력!$E:$E,"A",실시간콜입력!$G:$G,$B748,실시간콜입력!$O:$O,"방문완료")+COUNTIFS(실시간콜입력!$B:$B,$A748,실시간콜입력!$E:$E,"A",실시간콜입력!$H:$H,$B748,실시간콜입력!$O:$O,"방문완료")</f>
        <v>0</v>
      </c>
      <c r="G748" s="29">
        <f>COUNTIFS(실시간콜입력!$B:$B,$A748,실시간콜입력!$E:$E,"B",실시간콜입력!$G:$G,$B748,실시간콜입력!$O:$O,"방문완료")+COUNTIFS(실시간콜입력!$B:$B,$A748,실시간콜입력!$E:$E,"B",실시간콜입력!$H:$H,$B748,실시간콜입력!$O:$O,"방문완료")</f>
        <v>0</v>
      </c>
      <c r="H748" s="29">
        <f>COUNTIFS(실시간콜입력!$B:$B,$A748,실시간콜입력!$E:$E,"C",실시간콜입력!$G:$G,$B748,실시간콜입력!$O:$O,"방문완료")+COUNTIFS(실시간콜입력!$B:$B,$A748,실시간콜입력!$E:$E,"C",실시간콜입력!$H:$H,$B748,실시간콜입력!$O:$O,"방문완료")</f>
        <v>0</v>
      </c>
      <c r="I748" s="29">
        <f>COUNTIFS(실시간콜입력!$B:$B,$A748,실시간콜입력!$E:$E,"D",실시간콜입력!$G:$G,$B748,실시간콜입력!$O:$O,"방문완료")+COUNTIFS(실시간콜입력!$B:$B,$A748,실시간콜입력!$E:$E,"D",실시간콜입력!$H:$H,$B748,실시간콜입력!$O:$O,"방문완료")</f>
        <v>0</v>
      </c>
      <c r="J748" s="29">
        <f>COUNTIFS(실시간콜입력!$B:$B,$A748,실시간콜입력!$E:$E,"E",실시간콜입력!$G:$G,$B748,실시간콜입력!$O:$O,"방문완료")+COUNTIFS(실시간콜입력!$B:$B,$A748,실시간콜입력!$E:$E,"E",실시간콜입력!$H:$H,$B748,실시간콜입력!$O:$O,"방문완료")</f>
        <v>0</v>
      </c>
      <c r="K748" s="29">
        <f t="shared" si="100"/>
        <v>0</v>
      </c>
      <c r="L748" s="33">
        <f>SUMIFS(실시간콜입력!$K:$K,실시간콜입력!$B:$B,$A748,실시간콜입력!$G:$G,$B748,실시간콜입력!$O:$O,"방문완료")+SUMIFS(실시간콜입력!$L:$L,실시간콜입력!$B:$B,$A748,실시간콜입력!$H:$H,$B748,실시간콜입력!$O:$O,"방문완료")</f>
        <v>0</v>
      </c>
      <c r="M748" s="29" t="str">
        <f t="shared" si="101"/>
        <v/>
      </c>
      <c r="N748" s="29"/>
    </row>
    <row r="749" spans="1:14" ht="19.5" hidden="1" customHeight="1" outlineLevel="1">
      <c r="A749" s="24">
        <f>IF(15&lt;=DAY(DATE(YEAR(설정_코스수당!$K$2),MONTH(설정_코스수당!$K$2)+1,0)),DATE(YEAR(설정_코스수당!$K$2),MONTH(설정_코스수당!$K$2),15),"")</f>
        <v>46188</v>
      </c>
      <c r="B749" s="23" t="s">
        <v>177</v>
      </c>
      <c r="C749" s="29"/>
      <c r="D749" s="29"/>
      <c r="E749" s="29" t="str">
        <f t="shared" si="99"/>
        <v/>
      </c>
      <c r="F749" s="29">
        <f>COUNTIFS(실시간콜입력!$B:$B,$A749,실시간콜입력!$E:$E,"A",실시간콜입력!$G:$G,$B749,실시간콜입력!$O:$O,"방문완료")+COUNTIFS(실시간콜입력!$B:$B,$A749,실시간콜입력!$E:$E,"A",실시간콜입력!$H:$H,$B749,실시간콜입력!$O:$O,"방문완료")</f>
        <v>0</v>
      </c>
      <c r="G749" s="29">
        <f>COUNTIFS(실시간콜입력!$B:$B,$A749,실시간콜입력!$E:$E,"B",실시간콜입력!$G:$G,$B749,실시간콜입력!$O:$O,"방문완료")+COUNTIFS(실시간콜입력!$B:$B,$A749,실시간콜입력!$E:$E,"B",실시간콜입력!$H:$H,$B749,실시간콜입력!$O:$O,"방문완료")</f>
        <v>0</v>
      </c>
      <c r="H749" s="29">
        <f>COUNTIFS(실시간콜입력!$B:$B,$A749,실시간콜입력!$E:$E,"C",실시간콜입력!$G:$G,$B749,실시간콜입력!$O:$O,"방문완료")+COUNTIFS(실시간콜입력!$B:$B,$A749,실시간콜입력!$E:$E,"C",실시간콜입력!$H:$H,$B749,실시간콜입력!$O:$O,"방문완료")</f>
        <v>0</v>
      </c>
      <c r="I749" s="29">
        <f>COUNTIFS(실시간콜입력!$B:$B,$A749,실시간콜입력!$E:$E,"D",실시간콜입력!$G:$G,$B749,실시간콜입력!$O:$O,"방문완료")+COUNTIFS(실시간콜입력!$B:$B,$A749,실시간콜입력!$E:$E,"D",실시간콜입력!$H:$H,$B749,실시간콜입력!$O:$O,"방문완료")</f>
        <v>0</v>
      </c>
      <c r="J749" s="29">
        <f>COUNTIFS(실시간콜입력!$B:$B,$A749,실시간콜입력!$E:$E,"E",실시간콜입력!$G:$G,$B749,실시간콜입력!$O:$O,"방문완료")+COUNTIFS(실시간콜입력!$B:$B,$A749,실시간콜입력!$E:$E,"E",실시간콜입력!$H:$H,$B749,실시간콜입력!$O:$O,"방문완료")</f>
        <v>0</v>
      </c>
      <c r="K749" s="29">
        <f t="shared" si="100"/>
        <v>0</v>
      </c>
      <c r="L749" s="27">
        <f>SUMIFS(실시간콜입력!$K:$K,실시간콜입력!$B:$B,$A749,실시간콜입력!$G:$G,$B749,실시간콜입력!$O:$O,"방문완료")+SUMIFS(실시간콜입력!$L:$L,실시간콜입력!$B:$B,$A749,실시간콜입력!$H:$H,$B749,실시간콜입력!$O:$O,"방문완료")</f>
        <v>0</v>
      </c>
      <c r="M749" s="29" t="str">
        <f t="shared" si="101"/>
        <v/>
      </c>
      <c r="N749" s="29"/>
    </row>
    <row r="750" spans="1:14" ht="19.5" hidden="1" customHeight="1" outlineLevel="1">
      <c r="A750" s="30">
        <f>IF(15&lt;=DAY(DATE(YEAR(설정_코스수당!$K$2),MONTH(설정_코스수당!$K$2)+1,0)),DATE(YEAR(설정_코스수당!$K$2),MONTH(설정_코스수당!$K$2),15),"")</f>
        <v>46188</v>
      </c>
      <c r="B750" s="29" t="s">
        <v>178</v>
      </c>
      <c r="C750" s="29"/>
      <c r="D750" s="29"/>
      <c r="E750" s="29" t="str">
        <f t="shared" si="99"/>
        <v/>
      </c>
      <c r="F750" s="29">
        <f>COUNTIFS(실시간콜입력!$B:$B,$A750,실시간콜입력!$E:$E,"A",실시간콜입력!$G:$G,$B750,실시간콜입력!$O:$O,"방문완료")+COUNTIFS(실시간콜입력!$B:$B,$A750,실시간콜입력!$E:$E,"A",실시간콜입력!$H:$H,$B750,실시간콜입력!$O:$O,"방문완료")</f>
        <v>0</v>
      </c>
      <c r="G750" s="29">
        <f>COUNTIFS(실시간콜입력!$B:$B,$A750,실시간콜입력!$E:$E,"B",실시간콜입력!$G:$G,$B750,실시간콜입력!$O:$O,"방문완료")+COUNTIFS(실시간콜입력!$B:$B,$A750,실시간콜입력!$E:$E,"B",실시간콜입력!$H:$H,$B750,실시간콜입력!$O:$O,"방문완료")</f>
        <v>0</v>
      </c>
      <c r="H750" s="29">
        <f>COUNTIFS(실시간콜입력!$B:$B,$A750,실시간콜입력!$E:$E,"C",실시간콜입력!$G:$G,$B750,실시간콜입력!$O:$O,"방문완료")+COUNTIFS(실시간콜입력!$B:$B,$A750,실시간콜입력!$E:$E,"C",실시간콜입력!$H:$H,$B750,실시간콜입력!$O:$O,"방문완료")</f>
        <v>0</v>
      </c>
      <c r="I750" s="29">
        <f>COUNTIFS(실시간콜입력!$B:$B,$A750,실시간콜입력!$E:$E,"D",실시간콜입력!$G:$G,$B750,실시간콜입력!$O:$O,"방문완료")+COUNTIFS(실시간콜입력!$B:$B,$A750,실시간콜입력!$E:$E,"D",실시간콜입력!$H:$H,$B750,실시간콜입력!$O:$O,"방문완료")</f>
        <v>0</v>
      </c>
      <c r="J750" s="29">
        <f>COUNTIFS(실시간콜입력!$B:$B,$A750,실시간콜입력!$E:$E,"E",실시간콜입력!$G:$G,$B750,실시간콜입력!$O:$O,"방문완료")+COUNTIFS(실시간콜입력!$B:$B,$A750,실시간콜입력!$E:$E,"E",실시간콜입력!$H:$H,$B750,실시간콜입력!$O:$O,"방문완료")</f>
        <v>0</v>
      </c>
      <c r="K750" s="29">
        <f t="shared" si="100"/>
        <v>0</v>
      </c>
      <c r="L750" s="33">
        <f>SUMIFS(실시간콜입력!$K:$K,실시간콜입력!$B:$B,$A750,실시간콜입력!$G:$G,$B750,실시간콜입력!$O:$O,"방문완료")+SUMIFS(실시간콜입력!$L:$L,실시간콜입력!$B:$B,$A750,실시간콜입력!$H:$H,$B750,실시간콜입력!$O:$O,"방문완료")</f>
        <v>0</v>
      </c>
      <c r="M750" s="29" t="str">
        <f t="shared" si="101"/>
        <v/>
      </c>
      <c r="N750" s="29"/>
    </row>
    <row r="751" spans="1:14" ht="19.5" hidden="1" customHeight="1" outlineLevel="1">
      <c r="A751" s="24">
        <f>IF(15&lt;=DAY(DATE(YEAR(설정_코스수당!$K$2),MONTH(설정_코스수당!$K$2)+1,0)),DATE(YEAR(설정_코스수당!$K$2),MONTH(설정_코스수당!$K$2),15),"")</f>
        <v>46188</v>
      </c>
      <c r="B751" s="23" t="s">
        <v>179</v>
      </c>
      <c r="C751" s="29"/>
      <c r="D751" s="29"/>
      <c r="E751" s="29" t="str">
        <f t="shared" si="99"/>
        <v/>
      </c>
      <c r="F751" s="29">
        <f>COUNTIFS(실시간콜입력!$B:$B,$A751,실시간콜입력!$E:$E,"A",실시간콜입력!$G:$G,$B751,실시간콜입력!$O:$O,"방문완료")+COUNTIFS(실시간콜입력!$B:$B,$A751,실시간콜입력!$E:$E,"A",실시간콜입력!$H:$H,$B751,실시간콜입력!$O:$O,"방문완료")</f>
        <v>0</v>
      </c>
      <c r="G751" s="29">
        <f>COUNTIFS(실시간콜입력!$B:$B,$A751,실시간콜입력!$E:$E,"B",실시간콜입력!$G:$G,$B751,실시간콜입력!$O:$O,"방문완료")+COUNTIFS(실시간콜입력!$B:$B,$A751,실시간콜입력!$E:$E,"B",실시간콜입력!$H:$H,$B751,실시간콜입력!$O:$O,"방문완료")</f>
        <v>0</v>
      </c>
      <c r="H751" s="29">
        <f>COUNTIFS(실시간콜입력!$B:$B,$A751,실시간콜입력!$E:$E,"C",실시간콜입력!$G:$G,$B751,실시간콜입력!$O:$O,"방문완료")+COUNTIFS(실시간콜입력!$B:$B,$A751,실시간콜입력!$E:$E,"C",실시간콜입력!$H:$H,$B751,실시간콜입력!$O:$O,"방문완료")</f>
        <v>0</v>
      </c>
      <c r="I751" s="29">
        <f>COUNTIFS(실시간콜입력!$B:$B,$A751,실시간콜입력!$E:$E,"D",실시간콜입력!$G:$G,$B751,실시간콜입력!$O:$O,"방문완료")+COUNTIFS(실시간콜입력!$B:$B,$A751,실시간콜입력!$E:$E,"D",실시간콜입력!$H:$H,$B751,실시간콜입력!$O:$O,"방문완료")</f>
        <v>0</v>
      </c>
      <c r="J751" s="29">
        <f>COUNTIFS(실시간콜입력!$B:$B,$A751,실시간콜입력!$E:$E,"E",실시간콜입력!$G:$G,$B751,실시간콜입력!$O:$O,"방문완료")+COUNTIFS(실시간콜입력!$B:$B,$A751,실시간콜입력!$E:$E,"E",실시간콜입력!$H:$H,$B751,실시간콜입력!$O:$O,"방문완료")</f>
        <v>0</v>
      </c>
      <c r="K751" s="29">
        <f t="shared" si="100"/>
        <v>0</v>
      </c>
      <c r="L751" s="27">
        <f>SUMIFS(실시간콜입력!$K:$K,실시간콜입력!$B:$B,$A751,실시간콜입력!$G:$G,$B751,실시간콜입력!$O:$O,"방문완료")+SUMIFS(실시간콜입력!$L:$L,실시간콜입력!$B:$B,$A751,실시간콜입력!$H:$H,$B751,실시간콜입력!$O:$O,"방문완료")</f>
        <v>0</v>
      </c>
      <c r="M751" s="29" t="str">
        <f t="shared" si="101"/>
        <v/>
      </c>
      <c r="N751" s="29"/>
    </row>
    <row r="752" spans="1:14" ht="19.5" hidden="1" customHeight="1" outlineLevel="1">
      <c r="A752" s="30">
        <f>IF(15&lt;=DAY(DATE(YEAR(설정_코스수당!$K$2),MONTH(설정_코스수당!$K$2)+1,0)),DATE(YEAR(설정_코스수당!$K$2),MONTH(설정_코스수당!$K$2),15),"")</f>
        <v>46188</v>
      </c>
      <c r="B752" s="29" t="s">
        <v>180</v>
      </c>
      <c r="C752" s="29"/>
      <c r="D752" s="29"/>
      <c r="E752" s="29" t="str">
        <f t="shared" si="99"/>
        <v/>
      </c>
      <c r="F752" s="29">
        <f>COUNTIFS(실시간콜입력!$B:$B,$A752,실시간콜입력!$E:$E,"A",실시간콜입력!$G:$G,$B752,실시간콜입력!$O:$O,"방문완료")+COUNTIFS(실시간콜입력!$B:$B,$A752,실시간콜입력!$E:$E,"A",실시간콜입력!$H:$H,$B752,실시간콜입력!$O:$O,"방문완료")</f>
        <v>0</v>
      </c>
      <c r="G752" s="29">
        <f>COUNTIFS(실시간콜입력!$B:$B,$A752,실시간콜입력!$E:$E,"B",실시간콜입력!$G:$G,$B752,실시간콜입력!$O:$O,"방문완료")+COUNTIFS(실시간콜입력!$B:$B,$A752,실시간콜입력!$E:$E,"B",실시간콜입력!$H:$H,$B752,실시간콜입력!$O:$O,"방문완료")</f>
        <v>0</v>
      </c>
      <c r="H752" s="29">
        <f>COUNTIFS(실시간콜입력!$B:$B,$A752,실시간콜입력!$E:$E,"C",실시간콜입력!$G:$G,$B752,실시간콜입력!$O:$O,"방문완료")+COUNTIFS(실시간콜입력!$B:$B,$A752,실시간콜입력!$E:$E,"C",실시간콜입력!$H:$H,$B752,실시간콜입력!$O:$O,"방문완료")</f>
        <v>0</v>
      </c>
      <c r="I752" s="29">
        <f>COUNTIFS(실시간콜입력!$B:$B,$A752,실시간콜입력!$E:$E,"D",실시간콜입력!$G:$G,$B752,실시간콜입력!$O:$O,"방문완료")+COUNTIFS(실시간콜입력!$B:$B,$A752,실시간콜입력!$E:$E,"D",실시간콜입력!$H:$H,$B752,실시간콜입력!$O:$O,"방문완료")</f>
        <v>0</v>
      </c>
      <c r="J752" s="29">
        <f>COUNTIFS(실시간콜입력!$B:$B,$A752,실시간콜입력!$E:$E,"E",실시간콜입력!$G:$G,$B752,실시간콜입력!$O:$O,"방문완료")+COUNTIFS(실시간콜입력!$B:$B,$A752,실시간콜입력!$E:$E,"E",실시간콜입력!$H:$H,$B752,실시간콜입력!$O:$O,"방문완료")</f>
        <v>0</v>
      </c>
      <c r="K752" s="29">
        <f t="shared" si="100"/>
        <v>0</v>
      </c>
      <c r="L752" s="33">
        <f>SUMIFS(실시간콜입력!$K:$K,실시간콜입력!$B:$B,$A752,실시간콜입력!$G:$G,$B752,실시간콜입력!$O:$O,"방문완료")+SUMIFS(실시간콜입력!$L:$L,실시간콜입력!$B:$B,$A752,실시간콜입력!$H:$H,$B752,실시간콜입력!$O:$O,"방문완료")</f>
        <v>0</v>
      </c>
      <c r="M752" s="29" t="str">
        <f t="shared" si="101"/>
        <v/>
      </c>
      <c r="N752" s="29"/>
    </row>
    <row r="753" spans="1:14" ht="19.5" hidden="1" customHeight="1" outlineLevel="1">
      <c r="A753" s="24">
        <f>IF(15&lt;=DAY(DATE(YEAR(설정_코스수당!$K$2),MONTH(설정_코스수당!$K$2)+1,0)),DATE(YEAR(설정_코스수당!$K$2),MONTH(설정_코스수당!$K$2),15),"")</f>
        <v>46188</v>
      </c>
      <c r="B753" s="23" t="s">
        <v>181</v>
      </c>
      <c r="C753" s="29"/>
      <c r="D753" s="29"/>
      <c r="E753" s="29" t="str">
        <f t="shared" si="99"/>
        <v/>
      </c>
      <c r="F753" s="29">
        <f>COUNTIFS(실시간콜입력!$B:$B,$A753,실시간콜입력!$E:$E,"A",실시간콜입력!$G:$G,$B753,실시간콜입력!$O:$O,"방문완료")+COUNTIFS(실시간콜입력!$B:$B,$A753,실시간콜입력!$E:$E,"A",실시간콜입력!$H:$H,$B753,실시간콜입력!$O:$O,"방문완료")</f>
        <v>0</v>
      </c>
      <c r="G753" s="29">
        <f>COUNTIFS(실시간콜입력!$B:$B,$A753,실시간콜입력!$E:$E,"B",실시간콜입력!$G:$G,$B753,실시간콜입력!$O:$O,"방문완료")+COUNTIFS(실시간콜입력!$B:$B,$A753,실시간콜입력!$E:$E,"B",실시간콜입력!$H:$H,$B753,실시간콜입력!$O:$O,"방문완료")</f>
        <v>0</v>
      </c>
      <c r="H753" s="29">
        <f>COUNTIFS(실시간콜입력!$B:$B,$A753,실시간콜입력!$E:$E,"C",실시간콜입력!$G:$G,$B753,실시간콜입력!$O:$O,"방문완료")+COUNTIFS(실시간콜입력!$B:$B,$A753,실시간콜입력!$E:$E,"C",실시간콜입력!$H:$H,$B753,실시간콜입력!$O:$O,"방문완료")</f>
        <v>0</v>
      </c>
      <c r="I753" s="29">
        <f>COUNTIFS(실시간콜입력!$B:$B,$A753,실시간콜입력!$E:$E,"D",실시간콜입력!$G:$G,$B753,실시간콜입력!$O:$O,"방문완료")+COUNTIFS(실시간콜입력!$B:$B,$A753,실시간콜입력!$E:$E,"D",실시간콜입력!$H:$H,$B753,실시간콜입력!$O:$O,"방문완료")</f>
        <v>0</v>
      </c>
      <c r="J753" s="29">
        <f>COUNTIFS(실시간콜입력!$B:$B,$A753,실시간콜입력!$E:$E,"E",실시간콜입력!$G:$G,$B753,실시간콜입력!$O:$O,"방문완료")+COUNTIFS(실시간콜입력!$B:$B,$A753,실시간콜입력!$E:$E,"E",실시간콜입력!$H:$H,$B753,실시간콜입력!$O:$O,"방문완료")</f>
        <v>0</v>
      </c>
      <c r="K753" s="29">
        <f t="shared" si="100"/>
        <v>0</v>
      </c>
      <c r="L753" s="27">
        <f>SUMIFS(실시간콜입력!$K:$K,실시간콜입력!$B:$B,$A753,실시간콜입력!$G:$G,$B753,실시간콜입력!$O:$O,"방문완료")+SUMIFS(실시간콜입력!$L:$L,실시간콜입력!$B:$B,$A753,실시간콜입력!$H:$H,$B753,실시간콜입력!$O:$O,"방문완료")</f>
        <v>0</v>
      </c>
      <c r="M753" s="29" t="str">
        <f t="shared" si="101"/>
        <v/>
      </c>
      <c r="N753" s="29"/>
    </row>
    <row r="754" spans="1:14" ht="19.5" hidden="1" customHeight="1" outlineLevel="1">
      <c r="A754" s="30">
        <f>IF(15&lt;=DAY(DATE(YEAR(설정_코스수당!$K$2),MONTH(설정_코스수당!$K$2)+1,0)),DATE(YEAR(설정_코스수당!$K$2),MONTH(설정_코스수당!$K$2),15),"")</f>
        <v>46188</v>
      </c>
      <c r="B754" s="29" t="s">
        <v>182</v>
      </c>
      <c r="C754" s="29"/>
      <c r="D754" s="29"/>
      <c r="E754" s="29" t="str">
        <f t="shared" si="99"/>
        <v/>
      </c>
      <c r="F754" s="29">
        <f>COUNTIFS(실시간콜입력!$B:$B,$A754,실시간콜입력!$E:$E,"A",실시간콜입력!$G:$G,$B754,실시간콜입력!$O:$O,"방문완료")+COUNTIFS(실시간콜입력!$B:$B,$A754,실시간콜입력!$E:$E,"A",실시간콜입력!$H:$H,$B754,실시간콜입력!$O:$O,"방문완료")</f>
        <v>0</v>
      </c>
      <c r="G754" s="29">
        <f>COUNTIFS(실시간콜입력!$B:$B,$A754,실시간콜입력!$E:$E,"B",실시간콜입력!$G:$G,$B754,실시간콜입력!$O:$O,"방문완료")+COUNTIFS(실시간콜입력!$B:$B,$A754,실시간콜입력!$E:$E,"B",실시간콜입력!$H:$H,$B754,실시간콜입력!$O:$O,"방문완료")</f>
        <v>0</v>
      </c>
      <c r="H754" s="29">
        <f>COUNTIFS(실시간콜입력!$B:$B,$A754,실시간콜입력!$E:$E,"C",실시간콜입력!$G:$G,$B754,실시간콜입력!$O:$O,"방문완료")+COUNTIFS(실시간콜입력!$B:$B,$A754,실시간콜입력!$E:$E,"C",실시간콜입력!$H:$H,$B754,실시간콜입력!$O:$O,"방문완료")</f>
        <v>0</v>
      </c>
      <c r="I754" s="29">
        <f>COUNTIFS(실시간콜입력!$B:$B,$A754,실시간콜입력!$E:$E,"D",실시간콜입력!$G:$G,$B754,실시간콜입력!$O:$O,"방문완료")+COUNTIFS(실시간콜입력!$B:$B,$A754,실시간콜입력!$E:$E,"D",실시간콜입력!$H:$H,$B754,실시간콜입력!$O:$O,"방문완료")</f>
        <v>0</v>
      </c>
      <c r="J754" s="29">
        <f>COUNTIFS(실시간콜입력!$B:$B,$A754,실시간콜입력!$E:$E,"E",실시간콜입력!$G:$G,$B754,실시간콜입력!$O:$O,"방문완료")+COUNTIFS(실시간콜입력!$B:$B,$A754,실시간콜입력!$E:$E,"E",실시간콜입력!$H:$H,$B754,실시간콜입력!$O:$O,"방문완료")</f>
        <v>0</v>
      </c>
      <c r="K754" s="29">
        <f t="shared" si="100"/>
        <v>0</v>
      </c>
      <c r="L754" s="33">
        <f>SUMIFS(실시간콜입력!$K:$K,실시간콜입력!$B:$B,$A754,실시간콜입력!$G:$G,$B754,실시간콜입력!$O:$O,"방문완료")+SUMIFS(실시간콜입력!$L:$L,실시간콜입력!$B:$B,$A754,실시간콜입력!$H:$H,$B754,실시간콜입력!$O:$O,"방문완료")</f>
        <v>0</v>
      </c>
      <c r="M754" s="29" t="str">
        <f t="shared" si="101"/>
        <v/>
      </c>
      <c r="N754" s="29"/>
    </row>
    <row r="755" spans="1:14" ht="19.5" hidden="1" customHeight="1" outlineLevel="1">
      <c r="A755" s="24">
        <f>IF(15&lt;=DAY(DATE(YEAR(설정_코스수당!$K$2),MONTH(설정_코스수당!$K$2)+1,0)),DATE(YEAR(설정_코스수당!$K$2),MONTH(설정_코스수당!$K$2),15),"")</f>
        <v>46188</v>
      </c>
      <c r="B755" s="23" t="s">
        <v>183</v>
      </c>
      <c r="C755" s="29"/>
      <c r="D755" s="29"/>
      <c r="E755" s="29" t="str">
        <f t="shared" si="99"/>
        <v/>
      </c>
      <c r="F755" s="29">
        <f>COUNTIFS(실시간콜입력!$B:$B,$A755,실시간콜입력!$E:$E,"A",실시간콜입력!$G:$G,$B755,실시간콜입력!$O:$O,"방문완료")+COUNTIFS(실시간콜입력!$B:$B,$A755,실시간콜입력!$E:$E,"A",실시간콜입력!$H:$H,$B755,실시간콜입력!$O:$O,"방문완료")</f>
        <v>0</v>
      </c>
      <c r="G755" s="29">
        <f>COUNTIFS(실시간콜입력!$B:$B,$A755,실시간콜입력!$E:$E,"B",실시간콜입력!$G:$G,$B755,실시간콜입력!$O:$O,"방문완료")+COUNTIFS(실시간콜입력!$B:$B,$A755,실시간콜입력!$E:$E,"B",실시간콜입력!$H:$H,$B755,실시간콜입력!$O:$O,"방문완료")</f>
        <v>0</v>
      </c>
      <c r="H755" s="29">
        <f>COUNTIFS(실시간콜입력!$B:$B,$A755,실시간콜입력!$E:$E,"C",실시간콜입력!$G:$G,$B755,실시간콜입력!$O:$O,"방문완료")+COUNTIFS(실시간콜입력!$B:$B,$A755,실시간콜입력!$E:$E,"C",실시간콜입력!$H:$H,$B755,실시간콜입력!$O:$O,"방문완료")</f>
        <v>0</v>
      </c>
      <c r="I755" s="29">
        <f>COUNTIFS(실시간콜입력!$B:$B,$A755,실시간콜입력!$E:$E,"D",실시간콜입력!$G:$G,$B755,실시간콜입력!$O:$O,"방문완료")+COUNTIFS(실시간콜입력!$B:$B,$A755,실시간콜입력!$E:$E,"D",실시간콜입력!$H:$H,$B755,실시간콜입력!$O:$O,"방문완료")</f>
        <v>0</v>
      </c>
      <c r="J755" s="29">
        <f>COUNTIFS(실시간콜입력!$B:$B,$A755,실시간콜입력!$E:$E,"E",실시간콜입력!$G:$G,$B755,실시간콜입력!$O:$O,"방문완료")+COUNTIFS(실시간콜입력!$B:$B,$A755,실시간콜입력!$E:$E,"E",실시간콜입력!$H:$H,$B755,실시간콜입력!$O:$O,"방문완료")</f>
        <v>0</v>
      </c>
      <c r="K755" s="29">
        <f t="shared" si="100"/>
        <v>0</v>
      </c>
      <c r="L755" s="27">
        <f>SUMIFS(실시간콜입력!$K:$K,실시간콜입력!$B:$B,$A755,실시간콜입력!$G:$G,$B755,실시간콜입력!$O:$O,"방문완료")+SUMIFS(실시간콜입력!$L:$L,실시간콜입력!$B:$B,$A755,실시간콜입력!$H:$H,$B755,실시간콜입력!$O:$O,"방문완료")</f>
        <v>0</v>
      </c>
      <c r="M755" s="29" t="str">
        <f t="shared" si="101"/>
        <v/>
      </c>
      <c r="N755" s="29"/>
    </row>
    <row r="756" spans="1:14" ht="19.5" hidden="1" customHeight="1" outlineLevel="1">
      <c r="A756" s="30">
        <f>IF(15&lt;=DAY(DATE(YEAR(설정_코스수당!$K$2),MONTH(설정_코스수당!$K$2)+1,0)),DATE(YEAR(설정_코스수당!$K$2),MONTH(설정_코스수당!$K$2),15),"")</f>
        <v>46188</v>
      </c>
      <c r="B756" s="29" t="s">
        <v>184</v>
      </c>
      <c r="C756" s="29"/>
      <c r="D756" s="29"/>
      <c r="E756" s="29" t="str">
        <f t="shared" si="99"/>
        <v/>
      </c>
      <c r="F756" s="29">
        <f>COUNTIFS(실시간콜입력!$B:$B,$A756,실시간콜입력!$E:$E,"A",실시간콜입력!$G:$G,$B756,실시간콜입력!$O:$O,"방문완료")+COUNTIFS(실시간콜입력!$B:$B,$A756,실시간콜입력!$E:$E,"A",실시간콜입력!$H:$H,$B756,실시간콜입력!$O:$O,"방문완료")</f>
        <v>0</v>
      </c>
      <c r="G756" s="29">
        <f>COUNTIFS(실시간콜입력!$B:$B,$A756,실시간콜입력!$E:$E,"B",실시간콜입력!$G:$G,$B756,실시간콜입력!$O:$O,"방문완료")+COUNTIFS(실시간콜입력!$B:$B,$A756,실시간콜입력!$E:$E,"B",실시간콜입력!$H:$H,$B756,실시간콜입력!$O:$O,"방문완료")</f>
        <v>0</v>
      </c>
      <c r="H756" s="29">
        <f>COUNTIFS(실시간콜입력!$B:$B,$A756,실시간콜입력!$E:$E,"C",실시간콜입력!$G:$G,$B756,실시간콜입력!$O:$O,"방문완료")+COUNTIFS(실시간콜입력!$B:$B,$A756,실시간콜입력!$E:$E,"C",실시간콜입력!$H:$H,$B756,실시간콜입력!$O:$O,"방문완료")</f>
        <v>0</v>
      </c>
      <c r="I756" s="29">
        <f>COUNTIFS(실시간콜입력!$B:$B,$A756,실시간콜입력!$E:$E,"D",실시간콜입력!$G:$G,$B756,실시간콜입력!$O:$O,"방문완료")+COUNTIFS(실시간콜입력!$B:$B,$A756,실시간콜입력!$E:$E,"D",실시간콜입력!$H:$H,$B756,실시간콜입력!$O:$O,"방문완료")</f>
        <v>0</v>
      </c>
      <c r="J756" s="29">
        <f>COUNTIFS(실시간콜입력!$B:$B,$A756,실시간콜입력!$E:$E,"E",실시간콜입력!$G:$G,$B756,실시간콜입력!$O:$O,"방문완료")+COUNTIFS(실시간콜입력!$B:$B,$A756,실시간콜입력!$E:$E,"E",실시간콜입력!$H:$H,$B756,실시간콜입력!$O:$O,"방문완료")</f>
        <v>0</v>
      </c>
      <c r="K756" s="29">
        <f t="shared" si="100"/>
        <v>0</v>
      </c>
      <c r="L756" s="33">
        <f>SUMIFS(실시간콜입력!$K:$K,실시간콜입력!$B:$B,$A756,실시간콜입력!$G:$G,$B756,실시간콜입력!$O:$O,"방문완료")+SUMIFS(실시간콜입력!$L:$L,실시간콜입력!$B:$B,$A756,실시간콜입력!$H:$H,$B756,실시간콜입력!$O:$O,"방문완료")</f>
        <v>0</v>
      </c>
      <c r="M756" s="29" t="str">
        <f t="shared" si="101"/>
        <v/>
      </c>
      <c r="N756" s="29"/>
    </row>
    <row r="757" spans="1:14" ht="19.5" hidden="1" customHeight="1" outlineLevel="1">
      <c r="A757" s="24">
        <f>IF(15&lt;=DAY(DATE(YEAR(설정_코스수당!$K$2),MONTH(설정_코스수당!$K$2)+1,0)),DATE(YEAR(설정_코스수당!$K$2),MONTH(설정_코스수당!$K$2),15),"")</f>
        <v>46188</v>
      </c>
      <c r="B757" s="23" t="s">
        <v>185</v>
      </c>
      <c r="C757" s="29"/>
      <c r="D757" s="29"/>
      <c r="E757" s="29" t="str">
        <f t="shared" si="99"/>
        <v/>
      </c>
      <c r="F757" s="29">
        <f>COUNTIFS(실시간콜입력!$B:$B,$A757,실시간콜입력!$E:$E,"A",실시간콜입력!$G:$G,$B757,실시간콜입력!$O:$O,"방문완료")+COUNTIFS(실시간콜입력!$B:$B,$A757,실시간콜입력!$E:$E,"A",실시간콜입력!$H:$H,$B757,실시간콜입력!$O:$O,"방문완료")</f>
        <v>0</v>
      </c>
      <c r="G757" s="29">
        <f>COUNTIFS(실시간콜입력!$B:$B,$A757,실시간콜입력!$E:$E,"B",실시간콜입력!$G:$G,$B757,실시간콜입력!$O:$O,"방문완료")+COUNTIFS(실시간콜입력!$B:$B,$A757,실시간콜입력!$E:$E,"B",실시간콜입력!$H:$H,$B757,실시간콜입력!$O:$O,"방문완료")</f>
        <v>0</v>
      </c>
      <c r="H757" s="29">
        <f>COUNTIFS(실시간콜입력!$B:$B,$A757,실시간콜입력!$E:$E,"C",실시간콜입력!$G:$G,$B757,실시간콜입력!$O:$O,"방문완료")+COUNTIFS(실시간콜입력!$B:$B,$A757,실시간콜입력!$E:$E,"C",실시간콜입력!$H:$H,$B757,실시간콜입력!$O:$O,"방문완료")</f>
        <v>0</v>
      </c>
      <c r="I757" s="29">
        <f>COUNTIFS(실시간콜입력!$B:$B,$A757,실시간콜입력!$E:$E,"D",실시간콜입력!$G:$G,$B757,실시간콜입력!$O:$O,"방문완료")+COUNTIFS(실시간콜입력!$B:$B,$A757,실시간콜입력!$E:$E,"D",실시간콜입력!$H:$H,$B757,실시간콜입력!$O:$O,"방문완료")</f>
        <v>0</v>
      </c>
      <c r="J757" s="29">
        <f>COUNTIFS(실시간콜입력!$B:$B,$A757,실시간콜입력!$E:$E,"E",실시간콜입력!$G:$G,$B757,실시간콜입력!$O:$O,"방문완료")+COUNTIFS(실시간콜입력!$B:$B,$A757,실시간콜입력!$E:$E,"E",실시간콜입력!$H:$H,$B757,실시간콜입력!$O:$O,"방문완료")</f>
        <v>0</v>
      </c>
      <c r="K757" s="29">
        <f t="shared" si="100"/>
        <v>0</v>
      </c>
      <c r="L757" s="27">
        <f>SUMIFS(실시간콜입력!$K:$K,실시간콜입력!$B:$B,$A757,실시간콜입력!$G:$G,$B757,실시간콜입력!$O:$O,"방문완료")+SUMIFS(실시간콜입력!$L:$L,실시간콜입력!$B:$B,$A757,실시간콜입력!$H:$H,$B757,실시간콜입력!$O:$O,"방문완료")</f>
        <v>0</v>
      </c>
      <c r="M757" s="29" t="str">
        <f t="shared" si="101"/>
        <v/>
      </c>
      <c r="N757" s="29"/>
    </row>
    <row r="758" spans="1:14" ht="19.5" hidden="1" customHeight="1" outlineLevel="1">
      <c r="A758" s="30">
        <f>IF(15&lt;=DAY(DATE(YEAR(설정_코스수당!$K$2),MONTH(설정_코스수당!$K$2)+1,0)),DATE(YEAR(설정_코스수당!$K$2),MONTH(설정_코스수당!$K$2),15),"")</f>
        <v>46188</v>
      </c>
      <c r="B758" s="29" t="s">
        <v>186</v>
      </c>
      <c r="C758" s="29"/>
      <c r="D758" s="29"/>
      <c r="E758" s="29" t="str">
        <f t="shared" si="99"/>
        <v/>
      </c>
      <c r="F758" s="29">
        <f>COUNTIFS(실시간콜입력!$B:$B,$A758,실시간콜입력!$E:$E,"A",실시간콜입력!$G:$G,$B758,실시간콜입력!$O:$O,"방문완료")+COUNTIFS(실시간콜입력!$B:$B,$A758,실시간콜입력!$E:$E,"A",실시간콜입력!$H:$H,$B758,실시간콜입력!$O:$O,"방문완료")</f>
        <v>0</v>
      </c>
      <c r="G758" s="29">
        <f>COUNTIFS(실시간콜입력!$B:$B,$A758,실시간콜입력!$E:$E,"B",실시간콜입력!$G:$G,$B758,실시간콜입력!$O:$O,"방문완료")+COUNTIFS(실시간콜입력!$B:$B,$A758,실시간콜입력!$E:$E,"B",실시간콜입력!$H:$H,$B758,실시간콜입력!$O:$O,"방문완료")</f>
        <v>0</v>
      </c>
      <c r="H758" s="29">
        <f>COUNTIFS(실시간콜입력!$B:$B,$A758,실시간콜입력!$E:$E,"C",실시간콜입력!$G:$G,$B758,실시간콜입력!$O:$O,"방문완료")+COUNTIFS(실시간콜입력!$B:$B,$A758,실시간콜입력!$E:$E,"C",실시간콜입력!$H:$H,$B758,실시간콜입력!$O:$O,"방문완료")</f>
        <v>0</v>
      </c>
      <c r="I758" s="29">
        <f>COUNTIFS(실시간콜입력!$B:$B,$A758,실시간콜입력!$E:$E,"D",실시간콜입력!$G:$G,$B758,실시간콜입력!$O:$O,"방문완료")+COUNTIFS(실시간콜입력!$B:$B,$A758,실시간콜입력!$E:$E,"D",실시간콜입력!$H:$H,$B758,실시간콜입력!$O:$O,"방문완료")</f>
        <v>0</v>
      </c>
      <c r="J758" s="29">
        <f>COUNTIFS(실시간콜입력!$B:$B,$A758,실시간콜입력!$E:$E,"E",실시간콜입력!$G:$G,$B758,실시간콜입력!$O:$O,"방문완료")+COUNTIFS(실시간콜입력!$B:$B,$A758,실시간콜입력!$E:$E,"E",실시간콜입력!$H:$H,$B758,실시간콜입력!$O:$O,"방문완료")</f>
        <v>0</v>
      </c>
      <c r="K758" s="29">
        <f t="shared" si="100"/>
        <v>0</v>
      </c>
      <c r="L758" s="33">
        <f>SUMIFS(실시간콜입력!$K:$K,실시간콜입력!$B:$B,$A758,실시간콜입력!$G:$G,$B758,실시간콜입력!$O:$O,"방문완료")+SUMIFS(실시간콜입력!$L:$L,실시간콜입력!$B:$B,$A758,실시간콜입력!$H:$H,$B758,실시간콜입력!$O:$O,"방문완료")</f>
        <v>0</v>
      </c>
      <c r="M758" s="29" t="str">
        <f t="shared" si="101"/>
        <v/>
      </c>
      <c r="N758" s="29"/>
    </row>
    <row r="759" spans="1:14" ht="19.5" hidden="1" customHeight="1" outlineLevel="1">
      <c r="A759" s="24">
        <f>IF(15&lt;=DAY(DATE(YEAR(설정_코스수당!$K$2),MONTH(설정_코스수당!$K$2)+1,0)),DATE(YEAR(설정_코스수당!$K$2),MONTH(설정_코스수당!$K$2),15),"")</f>
        <v>46188</v>
      </c>
      <c r="B759" s="23" t="s">
        <v>187</v>
      </c>
      <c r="C759" s="29"/>
      <c r="D759" s="29"/>
      <c r="E759" s="29" t="str">
        <f t="shared" si="99"/>
        <v/>
      </c>
      <c r="F759" s="29">
        <f>COUNTIFS(실시간콜입력!$B:$B,$A759,실시간콜입력!$E:$E,"A",실시간콜입력!$G:$G,$B759,실시간콜입력!$O:$O,"방문완료")+COUNTIFS(실시간콜입력!$B:$B,$A759,실시간콜입력!$E:$E,"A",실시간콜입력!$H:$H,$B759,실시간콜입력!$O:$O,"방문완료")</f>
        <v>0</v>
      </c>
      <c r="G759" s="29">
        <f>COUNTIFS(실시간콜입력!$B:$B,$A759,실시간콜입력!$E:$E,"B",실시간콜입력!$G:$G,$B759,실시간콜입력!$O:$O,"방문완료")+COUNTIFS(실시간콜입력!$B:$B,$A759,실시간콜입력!$E:$E,"B",실시간콜입력!$H:$H,$B759,실시간콜입력!$O:$O,"방문완료")</f>
        <v>0</v>
      </c>
      <c r="H759" s="29">
        <f>COUNTIFS(실시간콜입력!$B:$B,$A759,실시간콜입력!$E:$E,"C",실시간콜입력!$G:$G,$B759,실시간콜입력!$O:$O,"방문완료")+COUNTIFS(실시간콜입력!$B:$B,$A759,실시간콜입력!$E:$E,"C",실시간콜입력!$H:$H,$B759,실시간콜입력!$O:$O,"방문완료")</f>
        <v>0</v>
      </c>
      <c r="I759" s="29">
        <f>COUNTIFS(실시간콜입력!$B:$B,$A759,실시간콜입력!$E:$E,"D",실시간콜입력!$G:$G,$B759,실시간콜입력!$O:$O,"방문완료")+COUNTIFS(실시간콜입력!$B:$B,$A759,실시간콜입력!$E:$E,"D",실시간콜입력!$H:$H,$B759,실시간콜입력!$O:$O,"방문완료")</f>
        <v>0</v>
      </c>
      <c r="J759" s="29">
        <f>COUNTIFS(실시간콜입력!$B:$B,$A759,실시간콜입력!$E:$E,"E",실시간콜입력!$G:$G,$B759,실시간콜입력!$O:$O,"방문완료")+COUNTIFS(실시간콜입력!$B:$B,$A759,실시간콜입력!$E:$E,"E",실시간콜입력!$H:$H,$B759,실시간콜입력!$O:$O,"방문완료")</f>
        <v>0</v>
      </c>
      <c r="K759" s="29">
        <f t="shared" si="100"/>
        <v>0</v>
      </c>
      <c r="L759" s="27">
        <f>SUMIFS(실시간콜입력!$K:$K,실시간콜입력!$B:$B,$A759,실시간콜입력!$G:$G,$B759,실시간콜입력!$O:$O,"방문완료")+SUMIFS(실시간콜입력!$L:$L,실시간콜입력!$B:$B,$A759,실시간콜입력!$H:$H,$B759,실시간콜입력!$O:$O,"방문완료")</f>
        <v>0</v>
      </c>
      <c r="M759" s="29" t="str">
        <f t="shared" si="101"/>
        <v/>
      </c>
      <c r="N759" s="29"/>
    </row>
    <row r="760" spans="1:14" ht="19.5" hidden="1" customHeight="1" outlineLevel="1">
      <c r="A760" s="30">
        <f>IF(15&lt;=DAY(DATE(YEAR(설정_코스수당!$K$2),MONTH(설정_코스수당!$K$2)+1,0)),DATE(YEAR(설정_코스수당!$K$2),MONTH(설정_코스수당!$K$2),15),"")</f>
        <v>46188</v>
      </c>
      <c r="B760" s="29" t="s">
        <v>188</v>
      </c>
      <c r="C760" s="29"/>
      <c r="D760" s="29"/>
      <c r="E760" s="29" t="str">
        <f t="shared" si="99"/>
        <v/>
      </c>
      <c r="F760" s="29">
        <f>COUNTIFS(실시간콜입력!$B:$B,$A760,실시간콜입력!$E:$E,"A",실시간콜입력!$G:$G,$B760,실시간콜입력!$O:$O,"방문완료")+COUNTIFS(실시간콜입력!$B:$B,$A760,실시간콜입력!$E:$E,"A",실시간콜입력!$H:$H,$B760,실시간콜입력!$O:$O,"방문완료")</f>
        <v>0</v>
      </c>
      <c r="G760" s="29">
        <f>COUNTIFS(실시간콜입력!$B:$B,$A760,실시간콜입력!$E:$E,"B",실시간콜입력!$G:$G,$B760,실시간콜입력!$O:$O,"방문완료")+COUNTIFS(실시간콜입력!$B:$B,$A760,실시간콜입력!$E:$E,"B",실시간콜입력!$H:$H,$B760,실시간콜입력!$O:$O,"방문완료")</f>
        <v>0</v>
      </c>
      <c r="H760" s="29">
        <f>COUNTIFS(실시간콜입력!$B:$B,$A760,실시간콜입력!$E:$E,"C",실시간콜입력!$G:$G,$B760,실시간콜입력!$O:$O,"방문완료")+COUNTIFS(실시간콜입력!$B:$B,$A760,실시간콜입력!$E:$E,"C",실시간콜입력!$H:$H,$B760,실시간콜입력!$O:$O,"방문완료")</f>
        <v>0</v>
      </c>
      <c r="I760" s="29">
        <f>COUNTIFS(실시간콜입력!$B:$B,$A760,실시간콜입력!$E:$E,"D",실시간콜입력!$G:$G,$B760,실시간콜입력!$O:$O,"방문완료")+COUNTIFS(실시간콜입력!$B:$B,$A760,실시간콜입력!$E:$E,"D",실시간콜입력!$H:$H,$B760,실시간콜입력!$O:$O,"방문완료")</f>
        <v>0</v>
      </c>
      <c r="J760" s="29">
        <f>COUNTIFS(실시간콜입력!$B:$B,$A760,실시간콜입력!$E:$E,"E",실시간콜입력!$G:$G,$B760,실시간콜입력!$O:$O,"방문완료")+COUNTIFS(실시간콜입력!$B:$B,$A760,실시간콜입력!$E:$E,"E",실시간콜입력!$H:$H,$B760,실시간콜입력!$O:$O,"방문완료")</f>
        <v>0</v>
      </c>
      <c r="K760" s="29">
        <f t="shared" si="100"/>
        <v>0</v>
      </c>
      <c r="L760" s="33">
        <f>SUMIFS(실시간콜입력!$K:$K,실시간콜입력!$B:$B,$A760,실시간콜입력!$G:$G,$B760,실시간콜입력!$O:$O,"방문완료")+SUMIFS(실시간콜입력!$L:$L,실시간콜입력!$B:$B,$A760,실시간콜입력!$H:$H,$B760,실시간콜입력!$O:$O,"방문완료")</f>
        <v>0</v>
      </c>
      <c r="M760" s="29" t="str">
        <f t="shared" si="101"/>
        <v/>
      </c>
      <c r="N760" s="29"/>
    </row>
    <row r="761" spans="1:14" ht="19.5" hidden="1" customHeight="1" outlineLevel="1">
      <c r="A761" s="24">
        <f>IF(15&lt;=DAY(DATE(YEAR(설정_코스수당!$K$2),MONTH(설정_코스수당!$K$2)+1,0)),DATE(YEAR(설정_코스수당!$K$2),MONTH(설정_코스수당!$K$2),15),"")</f>
        <v>46188</v>
      </c>
      <c r="B761" s="23" t="s">
        <v>189</v>
      </c>
      <c r="C761" s="29"/>
      <c r="D761" s="29"/>
      <c r="E761" s="29" t="str">
        <f t="shared" si="99"/>
        <v/>
      </c>
      <c r="F761" s="29">
        <f>COUNTIFS(실시간콜입력!$B:$B,$A761,실시간콜입력!$E:$E,"A",실시간콜입력!$G:$G,$B761,실시간콜입력!$O:$O,"방문완료")+COUNTIFS(실시간콜입력!$B:$B,$A761,실시간콜입력!$E:$E,"A",실시간콜입력!$H:$H,$B761,실시간콜입력!$O:$O,"방문완료")</f>
        <v>0</v>
      </c>
      <c r="G761" s="29">
        <f>COUNTIFS(실시간콜입력!$B:$B,$A761,실시간콜입력!$E:$E,"B",실시간콜입력!$G:$G,$B761,실시간콜입력!$O:$O,"방문완료")+COUNTIFS(실시간콜입력!$B:$B,$A761,실시간콜입력!$E:$E,"B",실시간콜입력!$H:$H,$B761,실시간콜입력!$O:$O,"방문완료")</f>
        <v>0</v>
      </c>
      <c r="H761" s="29">
        <f>COUNTIFS(실시간콜입력!$B:$B,$A761,실시간콜입력!$E:$E,"C",실시간콜입력!$G:$G,$B761,실시간콜입력!$O:$O,"방문완료")+COUNTIFS(실시간콜입력!$B:$B,$A761,실시간콜입력!$E:$E,"C",실시간콜입력!$H:$H,$B761,실시간콜입력!$O:$O,"방문완료")</f>
        <v>0</v>
      </c>
      <c r="I761" s="29">
        <f>COUNTIFS(실시간콜입력!$B:$B,$A761,실시간콜입력!$E:$E,"D",실시간콜입력!$G:$G,$B761,실시간콜입력!$O:$O,"방문완료")+COUNTIFS(실시간콜입력!$B:$B,$A761,실시간콜입력!$E:$E,"D",실시간콜입력!$H:$H,$B761,실시간콜입력!$O:$O,"방문완료")</f>
        <v>0</v>
      </c>
      <c r="J761" s="29">
        <f>COUNTIFS(실시간콜입력!$B:$B,$A761,실시간콜입력!$E:$E,"E",실시간콜입력!$G:$G,$B761,실시간콜입력!$O:$O,"방문완료")+COUNTIFS(실시간콜입력!$B:$B,$A761,실시간콜입력!$E:$E,"E",실시간콜입력!$H:$H,$B761,실시간콜입력!$O:$O,"방문완료")</f>
        <v>0</v>
      </c>
      <c r="K761" s="29">
        <f t="shared" si="100"/>
        <v>0</v>
      </c>
      <c r="L761" s="27">
        <f>SUMIFS(실시간콜입력!$K:$K,실시간콜입력!$B:$B,$A761,실시간콜입력!$G:$G,$B761,실시간콜입력!$O:$O,"방문완료")+SUMIFS(실시간콜입력!$L:$L,실시간콜입력!$B:$B,$A761,실시간콜입력!$H:$H,$B761,실시간콜입력!$O:$O,"방문완료")</f>
        <v>0</v>
      </c>
      <c r="M761" s="29" t="str">
        <f t="shared" si="101"/>
        <v/>
      </c>
      <c r="N761" s="29"/>
    </row>
    <row r="762" spans="1:14" ht="19.5" hidden="1" customHeight="1" outlineLevel="1">
      <c r="A762" s="30">
        <f>IF(15&lt;=DAY(DATE(YEAR(설정_코스수당!$K$2),MONTH(설정_코스수당!$K$2)+1,0)),DATE(YEAR(설정_코스수당!$K$2),MONTH(설정_코스수당!$K$2),15),"")</f>
        <v>46188</v>
      </c>
      <c r="B762" s="29" t="s">
        <v>190</v>
      </c>
      <c r="C762" s="29"/>
      <c r="D762" s="29"/>
      <c r="E762" s="29" t="str">
        <f t="shared" si="99"/>
        <v/>
      </c>
      <c r="F762" s="29">
        <f>COUNTIFS(실시간콜입력!$B:$B,$A762,실시간콜입력!$E:$E,"A",실시간콜입력!$G:$G,$B762,실시간콜입력!$O:$O,"방문완료")+COUNTIFS(실시간콜입력!$B:$B,$A762,실시간콜입력!$E:$E,"A",실시간콜입력!$H:$H,$B762,실시간콜입력!$O:$O,"방문완료")</f>
        <v>0</v>
      </c>
      <c r="G762" s="29">
        <f>COUNTIFS(실시간콜입력!$B:$B,$A762,실시간콜입력!$E:$E,"B",실시간콜입력!$G:$G,$B762,실시간콜입력!$O:$O,"방문완료")+COUNTIFS(실시간콜입력!$B:$B,$A762,실시간콜입력!$E:$E,"B",실시간콜입력!$H:$H,$B762,실시간콜입력!$O:$O,"방문완료")</f>
        <v>0</v>
      </c>
      <c r="H762" s="29">
        <f>COUNTIFS(실시간콜입력!$B:$B,$A762,실시간콜입력!$E:$E,"C",실시간콜입력!$G:$G,$B762,실시간콜입력!$O:$O,"방문완료")+COUNTIFS(실시간콜입력!$B:$B,$A762,실시간콜입력!$E:$E,"C",실시간콜입력!$H:$H,$B762,실시간콜입력!$O:$O,"방문완료")</f>
        <v>0</v>
      </c>
      <c r="I762" s="29">
        <f>COUNTIFS(실시간콜입력!$B:$B,$A762,실시간콜입력!$E:$E,"D",실시간콜입력!$G:$G,$B762,실시간콜입력!$O:$O,"방문완료")+COUNTIFS(실시간콜입력!$B:$B,$A762,실시간콜입력!$E:$E,"D",실시간콜입력!$H:$H,$B762,실시간콜입력!$O:$O,"방문완료")</f>
        <v>0</v>
      </c>
      <c r="J762" s="29">
        <f>COUNTIFS(실시간콜입력!$B:$B,$A762,실시간콜입력!$E:$E,"E",실시간콜입력!$G:$G,$B762,실시간콜입력!$O:$O,"방문완료")+COUNTIFS(실시간콜입력!$B:$B,$A762,실시간콜입력!$E:$E,"E",실시간콜입력!$H:$H,$B762,실시간콜입력!$O:$O,"방문완료")</f>
        <v>0</v>
      </c>
      <c r="K762" s="29">
        <f t="shared" si="100"/>
        <v>0</v>
      </c>
      <c r="L762" s="33">
        <f>SUMIFS(실시간콜입력!$K:$K,실시간콜입력!$B:$B,$A762,실시간콜입력!$G:$G,$B762,실시간콜입력!$O:$O,"방문완료")+SUMIFS(실시간콜입력!$L:$L,실시간콜입력!$B:$B,$A762,실시간콜입력!$H:$H,$B762,실시간콜입력!$O:$O,"방문완료")</f>
        <v>0</v>
      </c>
      <c r="M762" s="29" t="str">
        <f t="shared" si="101"/>
        <v/>
      </c>
      <c r="N762" s="29"/>
    </row>
    <row r="763" spans="1:14" ht="19.5" hidden="1" customHeight="1" outlineLevel="1">
      <c r="A763" s="24">
        <f>IF(15&lt;=DAY(DATE(YEAR(설정_코스수당!$K$2),MONTH(설정_코스수당!$K$2)+1,0)),DATE(YEAR(설정_코스수당!$K$2),MONTH(설정_코스수당!$K$2),15),"")</f>
        <v>46188</v>
      </c>
      <c r="B763" s="23" t="s">
        <v>191</v>
      </c>
      <c r="C763" s="29"/>
      <c r="D763" s="29"/>
      <c r="E763" s="29" t="str">
        <f t="shared" si="99"/>
        <v/>
      </c>
      <c r="F763" s="29">
        <f>COUNTIFS(실시간콜입력!$B:$B,$A763,실시간콜입력!$E:$E,"A",실시간콜입력!$G:$G,$B763,실시간콜입력!$O:$O,"방문완료")+COUNTIFS(실시간콜입력!$B:$B,$A763,실시간콜입력!$E:$E,"A",실시간콜입력!$H:$H,$B763,실시간콜입력!$O:$O,"방문완료")</f>
        <v>0</v>
      </c>
      <c r="G763" s="29">
        <f>COUNTIFS(실시간콜입력!$B:$B,$A763,실시간콜입력!$E:$E,"B",실시간콜입력!$G:$G,$B763,실시간콜입력!$O:$O,"방문완료")+COUNTIFS(실시간콜입력!$B:$B,$A763,실시간콜입력!$E:$E,"B",실시간콜입력!$H:$H,$B763,실시간콜입력!$O:$O,"방문완료")</f>
        <v>0</v>
      </c>
      <c r="H763" s="29">
        <f>COUNTIFS(실시간콜입력!$B:$B,$A763,실시간콜입력!$E:$E,"C",실시간콜입력!$G:$G,$B763,실시간콜입력!$O:$O,"방문완료")+COUNTIFS(실시간콜입력!$B:$B,$A763,실시간콜입력!$E:$E,"C",실시간콜입력!$H:$H,$B763,실시간콜입력!$O:$O,"방문완료")</f>
        <v>0</v>
      </c>
      <c r="I763" s="29">
        <f>COUNTIFS(실시간콜입력!$B:$B,$A763,실시간콜입력!$E:$E,"D",실시간콜입력!$G:$G,$B763,실시간콜입력!$O:$O,"방문완료")+COUNTIFS(실시간콜입력!$B:$B,$A763,실시간콜입력!$E:$E,"D",실시간콜입력!$H:$H,$B763,실시간콜입력!$O:$O,"방문완료")</f>
        <v>0</v>
      </c>
      <c r="J763" s="29">
        <f>COUNTIFS(실시간콜입력!$B:$B,$A763,실시간콜입력!$E:$E,"E",실시간콜입력!$G:$G,$B763,실시간콜입력!$O:$O,"방문완료")+COUNTIFS(실시간콜입력!$B:$B,$A763,실시간콜입력!$E:$E,"E",실시간콜입력!$H:$H,$B763,실시간콜입력!$O:$O,"방문완료")</f>
        <v>0</v>
      </c>
      <c r="K763" s="29">
        <f t="shared" si="100"/>
        <v>0</v>
      </c>
      <c r="L763" s="27">
        <f>SUMIFS(실시간콜입력!$K:$K,실시간콜입력!$B:$B,$A763,실시간콜입력!$G:$G,$B763,실시간콜입력!$O:$O,"방문완료")+SUMIFS(실시간콜입력!$L:$L,실시간콜입력!$B:$B,$A763,실시간콜입력!$H:$H,$B763,실시간콜입력!$O:$O,"방문완료")</f>
        <v>0</v>
      </c>
      <c r="M763" s="29" t="str">
        <f t="shared" si="101"/>
        <v/>
      </c>
      <c r="N763" s="29"/>
    </row>
    <row r="764" spans="1:14" ht="19.5" hidden="1" customHeight="1" outlineLevel="1">
      <c r="A764" s="30">
        <f>IF(15&lt;=DAY(DATE(YEAR(설정_코스수당!$K$2),MONTH(설정_코스수당!$K$2)+1,0)),DATE(YEAR(설정_코스수당!$K$2),MONTH(설정_코스수당!$K$2),15),"")</f>
        <v>46188</v>
      </c>
      <c r="B764" s="29" t="s">
        <v>192</v>
      </c>
      <c r="C764" s="29"/>
      <c r="D764" s="29"/>
      <c r="E764" s="29" t="str">
        <f t="shared" si="99"/>
        <v/>
      </c>
      <c r="F764" s="29">
        <f>COUNTIFS(실시간콜입력!$B:$B,$A764,실시간콜입력!$E:$E,"A",실시간콜입력!$G:$G,$B764,실시간콜입력!$O:$O,"방문완료")+COUNTIFS(실시간콜입력!$B:$B,$A764,실시간콜입력!$E:$E,"A",실시간콜입력!$H:$H,$B764,실시간콜입력!$O:$O,"방문완료")</f>
        <v>0</v>
      </c>
      <c r="G764" s="29">
        <f>COUNTIFS(실시간콜입력!$B:$B,$A764,실시간콜입력!$E:$E,"B",실시간콜입력!$G:$G,$B764,실시간콜입력!$O:$O,"방문완료")+COUNTIFS(실시간콜입력!$B:$B,$A764,실시간콜입력!$E:$E,"B",실시간콜입력!$H:$H,$B764,실시간콜입력!$O:$O,"방문완료")</f>
        <v>0</v>
      </c>
      <c r="H764" s="29">
        <f>COUNTIFS(실시간콜입력!$B:$B,$A764,실시간콜입력!$E:$E,"C",실시간콜입력!$G:$G,$B764,실시간콜입력!$O:$O,"방문완료")+COUNTIFS(실시간콜입력!$B:$B,$A764,실시간콜입력!$E:$E,"C",실시간콜입력!$H:$H,$B764,실시간콜입력!$O:$O,"방문완료")</f>
        <v>0</v>
      </c>
      <c r="I764" s="29">
        <f>COUNTIFS(실시간콜입력!$B:$B,$A764,실시간콜입력!$E:$E,"D",실시간콜입력!$G:$G,$B764,실시간콜입력!$O:$O,"방문완료")+COUNTIFS(실시간콜입력!$B:$B,$A764,실시간콜입력!$E:$E,"D",실시간콜입력!$H:$H,$B764,실시간콜입력!$O:$O,"방문완료")</f>
        <v>0</v>
      </c>
      <c r="J764" s="29">
        <f>COUNTIFS(실시간콜입력!$B:$B,$A764,실시간콜입력!$E:$E,"E",실시간콜입력!$G:$G,$B764,실시간콜입력!$O:$O,"방문완료")+COUNTIFS(실시간콜입력!$B:$B,$A764,실시간콜입력!$E:$E,"E",실시간콜입력!$H:$H,$B764,실시간콜입력!$O:$O,"방문완료")</f>
        <v>0</v>
      </c>
      <c r="K764" s="29">
        <f t="shared" si="100"/>
        <v>0</v>
      </c>
      <c r="L764" s="33">
        <f>SUMIFS(실시간콜입력!$K:$K,실시간콜입력!$B:$B,$A764,실시간콜입력!$G:$G,$B764,실시간콜입력!$O:$O,"방문완료")+SUMIFS(실시간콜입력!$L:$L,실시간콜입력!$B:$B,$A764,실시간콜입력!$H:$H,$B764,실시간콜입력!$O:$O,"방문완료")</f>
        <v>0</v>
      </c>
      <c r="M764" s="29" t="str">
        <f t="shared" si="101"/>
        <v/>
      </c>
      <c r="N764" s="29"/>
    </row>
    <row r="765" spans="1:14" ht="19.5" hidden="1" customHeight="1" outlineLevel="1">
      <c r="A765" s="24">
        <f>IF(15&lt;=DAY(DATE(YEAR(설정_코스수당!$K$2),MONTH(설정_코스수당!$K$2)+1,0)),DATE(YEAR(설정_코스수당!$K$2),MONTH(설정_코스수당!$K$2),15),"")</f>
        <v>46188</v>
      </c>
      <c r="B765" s="23" t="s">
        <v>193</v>
      </c>
      <c r="C765" s="29"/>
      <c r="D765" s="29"/>
      <c r="E765" s="29" t="str">
        <f t="shared" si="99"/>
        <v/>
      </c>
      <c r="F765" s="29">
        <f>COUNTIFS(실시간콜입력!$B:$B,$A765,실시간콜입력!$E:$E,"A",실시간콜입력!$G:$G,$B765,실시간콜입력!$O:$O,"방문완료")+COUNTIFS(실시간콜입력!$B:$B,$A765,실시간콜입력!$E:$E,"A",실시간콜입력!$H:$H,$B765,실시간콜입력!$O:$O,"방문완료")</f>
        <v>0</v>
      </c>
      <c r="G765" s="29">
        <f>COUNTIFS(실시간콜입력!$B:$B,$A765,실시간콜입력!$E:$E,"B",실시간콜입력!$G:$G,$B765,실시간콜입력!$O:$O,"방문완료")+COUNTIFS(실시간콜입력!$B:$B,$A765,실시간콜입력!$E:$E,"B",실시간콜입력!$H:$H,$B765,실시간콜입력!$O:$O,"방문완료")</f>
        <v>0</v>
      </c>
      <c r="H765" s="29">
        <f>COUNTIFS(실시간콜입력!$B:$B,$A765,실시간콜입력!$E:$E,"C",실시간콜입력!$G:$G,$B765,실시간콜입력!$O:$O,"방문완료")+COUNTIFS(실시간콜입력!$B:$B,$A765,실시간콜입력!$E:$E,"C",실시간콜입력!$H:$H,$B765,실시간콜입력!$O:$O,"방문완료")</f>
        <v>0</v>
      </c>
      <c r="I765" s="29">
        <f>COUNTIFS(실시간콜입력!$B:$B,$A765,실시간콜입력!$E:$E,"D",실시간콜입력!$G:$G,$B765,실시간콜입력!$O:$O,"방문완료")+COUNTIFS(실시간콜입력!$B:$B,$A765,실시간콜입력!$E:$E,"D",실시간콜입력!$H:$H,$B765,실시간콜입력!$O:$O,"방문완료")</f>
        <v>0</v>
      </c>
      <c r="J765" s="29">
        <f>COUNTIFS(실시간콜입력!$B:$B,$A765,실시간콜입력!$E:$E,"E",실시간콜입력!$G:$G,$B765,실시간콜입력!$O:$O,"방문완료")+COUNTIFS(실시간콜입력!$B:$B,$A765,실시간콜입력!$E:$E,"E",실시간콜입력!$H:$H,$B765,실시간콜입력!$O:$O,"방문완료")</f>
        <v>0</v>
      </c>
      <c r="K765" s="29">
        <f t="shared" si="100"/>
        <v>0</v>
      </c>
      <c r="L765" s="27">
        <f>SUMIFS(실시간콜입력!$K:$K,실시간콜입력!$B:$B,$A765,실시간콜입력!$G:$G,$B765,실시간콜입력!$O:$O,"방문완료")+SUMIFS(실시간콜입력!$L:$L,실시간콜입력!$B:$B,$A765,실시간콜입력!$H:$H,$B765,실시간콜입력!$O:$O,"방문완료")</f>
        <v>0</v>
      </c>
      <c r="M765" s="29" t="str">
        <f t="shared" si="101"/>
        <v/>
      </c>
      <c r="N765" s="29"/>
    </row>
    <row r="766" spans="1:14" ht="19.5" hidden="1" customHeight="1" outlineLevel="1">
      <c r="A766" s="30">
        <f>IF(15&lt;=DAY(DATE(YEAR(설정_코스수당!$K$2),MONTH(설정_코스수당!$K$2)+1,0)),DATE(YEAR(설정_코스수당!$K$2),MONTH(설정_코스수당!$K$2),15),"")</f>
        <v>46188</v>
      </c>
      <c r="B766" s="29" t="s">
        <v>194</v>
      </c>
      <c r="C766" s="29"/>
      <c r="D766" s="29"/>
      <c r="E766" s="29" t="str">
        <f t="shared" si="99"/>
        <v/>
      </c>
      <c r="F766" s="29">
        <f>COUNTIFS(실시간콜입력!$B:$B,$A766,실시간콜입력!$E:$E,"A",실시간콜입력!$G:$G,$B766,실시간콜입력!$O:$O,"방문완료")+COUNTIFS(실시간콜입력!$B:$B,$A766,실시간콜입력!$E:$E,"A",실시간콜입력!$H:$H,$B766,실시간콜입력!$O:$O,"방문완료")</f>
        <v>0</v>
      </c>
      <c r="G766" s="29">
        <f>COUNTIFS(실시간콜입력!$B:$B,$A766,실시간콜입력!$E:$E,"B",실시간콜입력!$G:$G,$B766,실시간콜입력!$O:$O,"방문완료")+COUNTIFS(실시간콜입력!$B:$B,$A766,실시간콜입력!$E:$E,"B",실시간콜입력!$H:$H,$B766,실시간콜입력!$O:$O,"방문완료")</f>
        <v>0</v>
      </c>
      <c r="H766" s="29">
        <f>COUNTIFS(실시간콜입력!$B:$B,$A766,실시간콜입력!$E:$E,"C",실시간콜입력!$G:$G,$B766,실시간콜입력!$O:$O,"방문완료")+COUNTIFS(실시간콜입력!$B:$B,$A766,실시간콜입력!$E:$E,"C",실시간콜입력!$H:$H,$B766,실시간콜입력!$O:$O,"방문완료")</f>
        <v>0</v>
      </c>
      <c r="I766" s="29">
        <f>COUNTIFS(실시간콜입력!$B:$B,$A766,실시간콜입력!$E:$E,"D",실시간콜입력!$G:$G,$B766,실시간콜입력!$O:$O,"방문완료")+COUNTIFS(실시간콜입력!$B:$B,$A766,실시간콜입력!$E:$E,"D",실시간콜입력!$H:$H,$B766,실시간콜입력!$O:$O,"방문완료")</f>
        <v>0</v>
      </c>
      <c r="J766" s="29">
        <f>COUNTIFS(실시간콜입력!$B:$B,$A766,실시간콜입력!$E:$E,"E",실시간콜입력!$G:$G,$B766,실시간콜입력!$O:$O,"방문완료")+COUNTIFS(실시간콜입력!$B:$B,$A766,실시간콜입력!$E:$E,"E",실시간콜입력!$H:$H,$B766,실시간콜입력!$O:$O,"방문완료")</f>
        <v>0</v>
      </c>
      <c r="K766" s="29">
        <f t="shared" si="100"/>
        <v>0</v>
      </c>
      <c r="L766" s="33">
        <f>SUMIFS(실시간콜입력!$K:$K,실시간콜입력!$B:$B,$A766,실시간콜입력!$G:$G,$B766,실시간콜입력!$O:$O,"방문완료")+SUMIFS(실시간콜입력!$L:$L,실시간콜입력!$B:$B,$A766,실시간콜입력!$H:$H,$B766,실시간콜입력!$O:$O,"방문완료")</f>
        <v>0</v>
      </c>
      <c r="M766" s="29" t="str">
        <f t="shared" si="101"/>
        <v/>
      </c>
      <c r="N766" s="29"/>
    </row>
    <row r="767" spans="1:14" ht="19.5" hidden="1" customHeight="1" outlineLevel="1">
      <c r="A767" s="24">
        <f>IF(15&lt;=DAY(DATE(YEAR(설정_코스수당!$K$2),MONTH(설정_코스수당!$K$2)+1,0)),DATE(YEAR(설정_코스수당!$K$2),MONTH(설정_코스수당!$K$2),15),"")</f>
        <v>46188</v>
      </c>
      <c r="B767" s="23" t="s">
        <v>195</v>
      </c>
      <c r="C767" s="29"/>
      <c r="D767" s="29"/>
      <c r="E767" s="29" t="str">
        <f t="shared" ref="E767:E798" si="102">IF(AND(C767&lt;&gt;"",D767&lt;&gt;""),IF(D767&lt;C767,D767+1-C767,D767-C767)*24,"")</f>
        <v/>
      </c>
      <c r="F767" s="29">
        <f>COUNTIFS(실시간콜입력!$B:$B,$A767,실시간콜입력!$E:$E,"A",실시간콜입력!$G:$G,$B767,실시간콜입력!$O:$O,"방문완료")+COUNTIFS(실시간콜입력!$B:$B,$A767,실시간콜입력!$E:$E,"A",실시간콜입력!$H:$H,$B767,실시간콜입력!$O:$O,"방문완료")</f>
        <v>0</v>
      </c>
      <c r="G767" s="29">
        <f>COUNTIFS(실시간콜입력!$B:$B,$A767,실시간콜입력!$E:$E,"B",실시간콜입력!$G:$G,$B767,실시간콜입력!$O:$O,"방문완료")+COUNTIFS(실시간콜입력!$B:$B,$A767,실시간콜입력!$E:$E,"B",실시간콜입력!$H:$H,$B767,실시간콜입력!$O:$O,"방문완료")</f>
        <v>0</v>
      </c>
      <c r="H767" s="29">
        <f>COUNTIFS(실시간콜입력!$B:$B,$A767,실시간콜입력!$E:$E,"C",실시간콜입력!$G:$G,$B767,실시간콜입력!$O:$O,"방문완료")+COUNTIFS(실시간콜입력!$B:$B,$A767,실시간콜입력!$E:$E,"C",실시간콜입력!$H:$H,$B767,실시간콜입력!$O:$O,"방문완료")</f>
        <v>0</v>
      </c>
      <c r="I767" s="29">
        <f>COUNTIFS(실시간콜입력!$B:$B,$A767,실시간콜입력!$E:$E,"D",실시간콜입력!$G:$G,$B767,실시간콜입력!$O:$O,"방문완료")+COUNTIFS(실시간콜입력!$B:$B,$A767,실시간콜입력!$E:$E,"D",실시간콜입력!$H:$H,$B767,실시간콜입력!$O:$O,"방문완료")</f>
        <v>0</v>
      </c>
      <c r="J767" s="29">
        <f>COUNTIFS(실시간콜입력!$B:$B,$A767,실시간콜입력!$E:$E,"E",실시간콜입력!$G:$G,$B767,실시간콜입력!$O:$O,"방문완료")+COUNTIFS(실시간콜입력!$B:$B,$A767,실시간콜입력!$E:$E,"E",실시간콜입력!$H:$H,$B767,실시간콜입력!$O:$O,"방문완료")</f>
        <v>0</v>
      </c>
      <c r="K767" s="29">
        <f t="shared" ref="K767:K798" si="103">SUM(F767:J767)</f>
        <v>0</v>
      </c>
      <c r="L767" s="27">
        <f>SUMIFS(실시간콜입력!$K:$K,실시간콜입력!$B:$B,$A767,실시간콜입력!$G:$G,$B767,실시간콜입력!$O:$O,"방문완료")+SUMIFS(실시간콜입력!$L:$L,실시간콜입력!$B:$B,$A767,실시간콜입력!$H:$H,$B767,실시간콜입력!$O:$O,"방문완료")</f>
        <v>0</v>
      </c>
      <c r="M767" s="29" t="str">
        <f t="shared" ref="M767:M784" si="104">IF(AND(ISNUMBER(E767),E767&gt;=8),"인정","")</f>
        <v/>
      </c>
      <c r="N767" s="29"/>
    </row>
    <row r="768" spans="1:14" ht="19.5" hidden="1" customHeight="1" outlineLevel="1">
      <c r="A768" s="30">
        <f>IF(15&lt;=DAY(DATE(YEAR(설정_코스수당!$K$2),MONTH(설정_코스수당!$K$2)+1,0)),DATE(YEAR(설정_코스수당!$K$2),MONTH(설정_코스수당!$K$2),15),"")</f>
        <v>46188</v>
      </c>
      <c r="B768" s="29" t="s">
        <v>196</v>
      </c>
      <c r="C768" s="29"/>
      <c r="D768" s="29"/>
      <c r="E768" s="29" t="str">
        <f t="shared" si="102"/>
        <v/>
      </c>
      <c r="F768" s="29">
        <f>COUNTIFS(실시간콜입력!$B:$B,$A768,실시간콜입력!$E:$E,"A",실시간콜입력!$G:$G,$B768,실시간콜입력!$O:$O,"방문완료")+COUNTIFS(실시간콜입력!$B:$B,$A768,실시간콜입력!$E:$E,"A",실시간콜입력!$H:$H,$B768,실시간콜입력!$O:$O,"방문완료")</f>
        <v>0</v>
      </c>
      <c r="G768" s="29">
        <f>COUNTIFS(실시간콜입력!$B:$B,$A768,실시간콜입력!$E:$E,"B",실시간콜입력!$G:$G,$B768,실시간콜입력!$O:$O,"방문완료")+COUNTIFS(실시간콜입력!$B:$B,$A768,실시간콜입력!$E:$E,"B",실시간콜입력!$H:$H,$B768,실시간콜입력!$O:$O,"방문완료")</f>
        <v>0</v>
      </c>
      <c r="H768" s="29">
        <f>COUNTIFS(실시간콜입력!$B:$B,$A768,실시간콜입력!$E:$E,"C",실시간콜입력!$G:$G,$B768,실시간콜입력!$O:$O,"방문완료")+COUNTIFS(실시간콜입력!$B:$B,$A768,실시간콜입력!$E:$E,"C",실시간콜입력!$H:$H,$B768,실시간콜입력!$O:$O,"방문완료")</f>
        <v>0</v>
      </c>
      <c r="I768" s="29">
        <f>COUNTIFS(실시간콜입력!$B:$B,$A768,실시간콜입력!$E:$E,"D",실시간콜입력!$G:$G,$B768,실시간콜입력!$O:$O,"방문완료")+COUNTIFS(실시간콜입력!$B:$B,$A768,실시간콜입력!$E:$E,"D",실시간콜입력!$H:$H,$B768,실시간콜입력!$O:$O,"방문완료")</f>
        <v>0</v>
      </c>
      <c r="J768" s="29">
        <f>COUNTIFS(실시간콜입력!$B:$B,$A768,실시간콜입력!$E:$E,"E",실시간콜입력!$G:$G,$B768,실시간콜입력!$O:$O,"방문완료")+COUNTIFS(실시간콜입력!$B:$B,$A768,실시간콜입력!$E:$E,"E",실시간콜입력!$H:$H,$B768,실시간콜입력!$O:$O,"방문완료")</f>
        <v>0</v>
      </c>
      <c r="K768" s="29">
        <f t="shared" si="103"/>
        <v>0</v>
      </c>
      <c r="L768" s="33">
        <f>SUMIFS(실시간콜입력!$K:$K,실시간콜입력!$B:$B,$A768,실시간콜입력!$G:$G,$B768,실시간콜입력!$O:$O,"방문완료")+SUMIFS(실시간콜입력!$L:$L,실시간콜입력!$B:$B,$A768,실시간콜입력!$H:$H,$B768,실시간콜입력!$O:$O,"방문완료")</f>
        <v>0</v>
      </c>
      <c r="M768" s="29" t="str">
        <f t="shared" si="104"/>
        <v/>
      </c>
      <c r="N768" s="29"/>
    </row>
    <row r="769" spans="1:14" ht="19.5" hidden="1" customHeight="1" outlineLevel="1">
      <c r="A769" s="24">
        <f>IF(15&lt;=DAY(DATE(YEAR(설정_코스수당!$K$2),MONTH(설정_코스수당!$K$2)+1,0)),DATE(YEAR(설정_코스수당!$K$2),MONTH(설정_코스수당!$K$2),15),"")</f>
        <v>46188</v>
      </c>
      <c r="B769" s="23" t="s">
        <v>197</v>
      </c>
      <c r="C769" s="29"/>
      <c r="D769" s="29"/>
      <c r="E769" s="29" t="str">
        <f t="shared" si="102"/>
        <v/>
      </c>
      <c r="F769" s="29">
        <f>COUNTIFS(실시간콜입력!$B:$B,$A769,실시간콜입력!$E:$E,"A",실시간콜입력!$G:$G,$B769,실시간콜입력!$O:$O,"방문완료")+COUNTIFS(실시간콜입력!$B:$B,$A769,실시간콜입력!$E:$E,"A",실시간콜입력!$H:$H,$B769,실시간콜입력!$O:$O,"방문완료")</f>
        <v>0</v>
      </c>
      <c r="G769" s="29">
        <f>COUNTIFS(실시간콜입력!$B:$B,$A769,실시간콜입력!$E:$E,"B",실시간콜입력!$G:$G,$B769,실시간콜입력!$O:$O,"방문완료")+COUNTIFS(실시간콜입력!$B:$B,$A769,실시간콜입력!$E:$E,"B",실시간콜입력!$H:$H,$B769,실시간콜입력!$O:$O,"방문완료")</f>
        <v>0</v>
      </c>
      <c r="H769" s="29">
        <f>COUNTIFS(실시간콜입력!$B:$B,$A769,실시간콜입력!$E:$E,"C",실시간콜입력!$G:$G,$B769,실시간콜입력!$O:$O,"방문완료")+COUNTIFS(실시간콜입력!$B:$B,$A769,실시간콜입력!$E:$E,"C",실시간콜입력!$H:$H,$B769,실시간콜입력!$O:$O,"방문완료")</f>
        <v>0</v>
      </c>
      <c r="I769" s="29">
        <f>COUNTIFS(실시간콜입력!$B:$B,$A769,실시간콜입력!$E:$E,"D",실시간콜입력!$G:$G,$B769,실시간콜입력!$O:$O,"방문완료")+COUNTIFS(실시간콜입력!$B:$B,$A769,실시간콜입력!$E:$E,"D",실시간콜입력!$H:$H,$B769,실시간콜입력!$O:$O,"방문완료")</f>
        <v>0</v>
      </c>
      <c r="J769" s="29">
        <f>COUNTIFS(실시간콜입력!$B:$B,$A769,실시간콜입력!$E:$E,"E",실시간콜입력!$G:$G,$B769,실시간콜입력!$O:$O,"방문완료")+COUNTIFS(실시간콜입력!$B:$B,$A769,실시간콜입력!$E:$E,"E",실시간콜입력!$H:$H,$B769,실시간콜입력!$O:$O,"방문완료")</f>
        <v>0</v>
      </c>
      <c r="K769" s="29">
        <f t="shared" si="103"/>
        <v>0</v>
      </c>
      <c r="L769" s="27">
        <f>SUMIFS(실시간콜입력!$K:$K,실시간콜입력!$B:$B,$A769,실시간콜입력!$G:$G,$B769,실시간콜입력!$O:$O,"방문완료")+SUMIFS(실시간콜입력!$L:$L,실시간콜입력!$B:$B,$A769,실시간콜입력!$H:$H,$B769,실시간콜입력!$O:$O,"방문완료")</f>
        <v>0</v>
      </c>
      <c r="M769" s="29" t="str">
        <f t="shared" si="104"/>
        <v/>
      </c>
      <c r="N769" s="29"/>
    </row>
    <row r="770" spans="1:14" ht="19.5" hidden="1" customHeight="1" outlineLevel="1">
      <c r="A770" s="30">
        <f>IF(15&lt;=DAY(DATE(YEAR(설정_코스수당!$K$2),MONTH(설정_코스수당!$K$2)+1,0)),DATE(YEAR(설정_코스수당!$K$2),MONTH(설정_코스수당!$K$2),15),"")</f>
        <v>46188</v>
      </c>
      <c r="B770" s="29" t="s">
        <v>198</v>
      </c>
      <c r="C770" s="29"/>
      <c r="D770" s="29"/>
      <c r="E770" s="29" t="str">
        <f t="shared" si="102"/>
        <v/>
      </c>
      <c r="F770" s="29">
        <f>COUNTIFS(실시간콜입력!$B:$B,$A770,실시간콜입력!$E:$E,"A",실시간콜입력!$G:$G,$B770,실시간콜입력!$O:$O,"방문완료")+COUNTIFS(실시간콜입력!$B:$B,$A770,실시간콜입력!$E:$E,"A",실시간콜입력!$H:$H,$B770,실시간콜입력!$O:$O,"방문완료")</f>
        <v>0</v>
      </c>
      <c r="G770" s="29">
        <f>COUNTIFS(실시간콜입력!$B:$B,$A770,실시간콜입력!$E:$E,"B",실시간콜입력!$G:$G,$B770,실시간콜입력!$O:$O,"방문완료")+COUNTIFS(실시간콜입력!$B:$B,$A770,실시간콜입력!$E:$E,"B",실시간콜입력!$H:$H,$B770,실시간콜입력!$O:$O,"방문완료")</f>
        <v>0</v>
      </c>
      <c r="H770" s="29">
        <f>COUNTIFS(실시간콜입력!$B:$B,$A770,실시간콜입력!$E:$E,"C",실시간콜입력!$G:$G,$B770,실시간콜입력!$O:$O,"방문완료")+COUNTIFS(실시간콜입력!$B:$B,$A770,실시간콜입력!$E:$E,"C",실시간콜입력!$H:$H,$B770,실시간콜입력!$O:$O,"방문완료")</f>
        <v>0</v>
      </c>
      <c r="I770" s="29">
        <f>COUNTIFS(실시간콜입력!$B:$B,$A770,실시간콜입력!$E:$E,"D",실시간콜입력!$G:$G,$B770,실시간콜입력!$O:$O,"방문완료")+COUNTIFS(실시간콜입력!$B:$B,$A770,실시간콜입력!$E:$E,"D",실시간콜입력!$H:$H,$B770,실시간콜입력!$O:$O,"방문완료")</f>
        <v>0</v>
      </c>
      <c r="J770" s="29">
        <f>COUNTIFS(실시간콜입력!$B:$B,$A770,실시간콜입력!$E:$E,"E",실시간콜입력!$G:$G,$B770,실시간콜입력!$O:$O,"방문완료")+COUNTIFS(실시간콜입력!$B:$B,$A770,실시간콜입력!$E:$E,"E",실시간콜입력!$H:$H,$B770,실시간콜입력!$O:$O,"방문완료")</f>
        <v>0</v>
      </c>
      <c r="K770" s="29">
        <f t="shared" si="103"/>
        <v>0</v>
      </c>
      <c r="L770" s="33">
        <f>SUMIFS(실시간콜입력!$K:$K,실시간콜입력!$B:$B,$A770,실시간콜입력!$G:$G,$B770,실시간콜입력!$O:$O,"방문완료")+SUMIFS(실시간콜입력!$L:$L,실시간콜입력!$B:$B,$A770,실시간콜입력!$H:$H,$B770,실시간콜입력!$O:$O,"방문완료")</f>
        <v>0</v>
      </c>
      <c r="M770" s="29" t="str">
        <f t="shared" si="104"/>
        <v/>
      </c>
      <c r="N770" s="29"/>
    </row>
    <row r="771" spans="1:14" ht="19.5" hidden="1" customHeight="1" outlineLevel="1">
      <c r="A771" s="24">
        <f>IF(15&lt;=DAY(DATE(YEAR(설정_코스수당!$K$2),MONTH(설정_코스수당!$K$2)+1,0)),DATE(YEAR(설정_코스수당!$K$2),MONTH(설정_코스수당!$K$2),15),"")</f>
        <v>46188</v>
      </c>
      <c r="B771" s="23" t="s">
        <v>199</v>
      </c>
      <c r="C771" s="29"/>
      <c r="D771" s="29"/>
      <c r="E771" s="29" t="str">
        <f t="shared" si="102"/>
        <v/>
      </c>
      <c r="F771" s="29">
        <f>COUNTIFS(실시간콜입력!$B:$B,$A771,실시간콜입력!$E:$E,"A",실시간콜입력!$G:$G,$B771,실시간콜입력!$O:$O,"방문완료")+COUNTIFS(실시간콜입력!$B:$B,$A771,실시간콜입력!$E:$E,"A",실시간콜입력!$H:$H,$B771,실시간콜입력!$O:$O,"방문완료")</f>
        <v>0</v>
      </c>
      <c r="G771" s="29">
        <f>COUNTIFS(실시간콜입력!$B:$B,$A771,실시간콜입력!$E:$E,"B",실시간콜입력!$G:$G,$B771,실시간콜입력!$O:$O,"방문완료")+COUNTIFS(실시간콜입력!$B:$B,$A771,실시간콜입력!$E:$E,"B",실시간콜입력!$H:$H,$B771,실시간콜입력!$O:$O,"방문완료")</f>
        <v>0</v>
      </c>
      <c r="H771" s="29">
        <f>COUNTIFS(실시간콜입력!$B:$B,$A771,실시간콜입력!$E:$E,"C",실시간콜입력!$G:$G,$B771,실시간콜입력!$O:$O,"방문완료")+COUNTIFS(실시간콜입력!$B:$B,$A771,실시간콜입력!$E:$E,"C",실시간콜입력!$H:$H,$B771,실시간콜입력!$O:$O,"방문완료")</f>
        <v>0</v>
      </c>
      <c r="I771" s="29">
        <f>COUNTIFS(실시간콜입력!$B:$B,$A771,실시간콜입력!$E:$E,"D",실시간콜입력!$G:$G,$B771,실시간콜입력!$O:$O,"방문완료")+COUNTIFS(실시간콜입력!$B:$B,$A771,실시간콜입력!$E:$E,"D",실시간콜입력!$H:$H,$B771,실시간콜입력!$O:$O,"방문완료")</f>
        <v>0</v>
      </c>
      <c r="J771" s="29">
        <f>COUNTIFS(실시간콜입력!$B:$B,$A771,실시간콜입력!$E:$E,"E",실시간콜입력!$G:$G,$B771,실시간콜입력!$O:$O,"방문완료")+COUNTIFS(실시간콜입력!$B:$B,$A771,실시간콜입력!$E:$E,"E",실시간콜입력!$H:$H,$B771,실시간콜입력!$O:$O,"방문완료")</f>
        <v>0</v>
      </c>
      <c r="K771" s="29">
        <f t="shared" si="103"/>
        <v>0</v>
      </c>
      <c r="L771" s="27">
        <f>SUMIFS(실시간콜입력!$K:$K,실시간콜입력!$B:$B,$A771,실시간콜입력!$G:$G,$B771,실시간콜입력!$O:$O,"방문완료")+SUMIFS(실시간콜입력!$L:$L,실시간콜입력!$B:$B,$A771,실시간콜입력!$H:$H,$B771,실시간콜입력!$O:$O,"방문완료")</f>
        <v>0</v>
      </c>
      <c r="M771" s="29" t="str">
        <f t="shared" si="104"/>
        <v/>
      </c>
      <c r="N771" s="29"/>
    </row>
    <row r="772" spans="1:14" ht="19.5" hidden="1" customHeight="1" outlineLevel="1">
      <c r="A772" s="30">
        <f>IF(15&lt;=DAY(DATE(YEAR(설정_코스수당!$K$2),MONTH(설정_코스수당!$K$2)+1,0)),DATE(YEAR(설정_코스수당!$K$2),MONTH(설정_코스수당!$K$2),15),"")</f>
        <v>46188</v>
      </c>
      <c r="B772" s="29" t="s">
        <v>200</v>
      </c>
      <c r="C772" s="29"/>
      <c r="D772" s="29"/>
      <c r="E772" s="29" t="str">
        <f t="shared" si="102"/>
        <v/>
      </c>
      <c r="F772" s="29">
        <f>COUNTIFS(실시간콜입력!$B:$B,$A772,실시간콜입력!$E:$E,"A",실시간콜입력!$G:$G,$B772,실시간콜입력!$O:$O,"방문완료")+COUNTIFS(실시간콜입력!$B:$B,$A772,실시간콜입력!$E:$E,"A",실시간콜입력!$H:$H,$B772,실시간콜입력!$O:$O,"방문완료")</f>
        <v>0</v>
      </c>
      <c r="G772" s="29">
        <f>COUNTIFS(실시간콜입력!$B:$B,$A772,실시간콜입력!$E:$E,"B",실시간콜입력!$G:$G,$B772,실시간콜입력!$O:$O,"방문완료")+COUNTIFS(실시간콜입력!$B:$B,$A772,실시간콜입력!$E:$E,"B",실시간콜입력!$H:$H,$B772,실시간콜입력!$O:$O,"방문완료")</f>
        <v>0</v>
      </c>
      <c r="H772" s="29">
        <f>COUNTIFS(실시간콜입력!$B:$B,$A772,실시간콜입력!$E:$E,"C",실시간콜입력!$G:$G,$B772,실시간콜입력!$O:$O,"방문완료")+COUNTIFS(실시간콜입력!$B:$B,$A772,실시간콜입력!$E:$E,"C",실시간콜입력!$H:$H,$B772,실시간콜입력!$O:$O,"방문완료")</f>
        <v>0</v>
      </c>
      <c r="I772" s="29">
        <f>COUNTIFS(실시간콜입력!$B:$B,$A772,실시간콜입력!$E:$E,"D",실시간콜입력!$G:$G,$B772,실시간콜입력!$O:$O,"방문완료")+COUNTIFS(실시간콜입력!$B:$B,$A772,실시간콜입력!$E:$E,"D",실시간콜입력!$H:$H,$B772,실시간콜입력!$O:$O,"방문완료")</f>
        <v>0</v>
      </c>
      <c r="J772" s="29">
        <f>COUNTIFS(실시간콜입력!$B:$B,$A772,실시간콜입력!$E:$E,"E",실시간콜입력!$G:$G,$B772,실시간콜입력!$O:$O,"방문완료")+COUNTIFS(실시간콜입력!$B:$B,$A772,실시간콜입력!$E:$E,"E",실시간콜입력!$H:$H,$B772,실시간콜입력!$O:$O,"방문완료")</f>
        <v>0</v>
      </c>
      <c r="K772" s="29">
        <f t="shared" si="103"/>
        <v>0</v>
      </c>
      <c r="L772" s="33">
        <f>SUMIFS(실시간콜입력!$K:$K,실시간콜입력!$B:$B,$A772,실시간콜입력!$G:$G,$B772,실시간콜입력!$O:$O,"방문완료")+SUMIFS(실시간콜입력!$L:$L,실시간콜입력!$B:$B,$A772,실시간콜입력!$H:$H,$B772,실시간콜입력!$O:$O,"방문완료")</f>
        <v>0</v>
      </c>
      <c r="M772" s="29" t="str">
        <f t="shared" si="104"/>
        <v/>
      </c>
      <c r="N772" s="29"/>
    </row>
    <row r="773" spans="1:14" ht="19.5" hidden="1" customHeight="1" outlineLevel="1">
      <c r="A773" s="24">
        <f>IF(15&lt;=DAY(DATE(YEAR(설정_코스수당!$K$2),MONTH(설정_코스수당!$K$2)+1,0)),DATE(YEAR(설정_코스수당!$K$2),MONTH(설정_코스수당!$K$2),15),"")</f>
        <v>46188</v>
      </c>
      <c r="B773" s="23" t="s">
        <v>201</v>
      </c>
      <c r="C773" s="29"/>
      <c r="D773" s="29"/>
      <c r="E773" s="29" t="str">
        <f t="shared" si="102"/>
        <v/>
      </c>
      <c r="F773" s="29">
        <f>COUNTIFS(실시간콜입력!$B:$B,$A773,실시간콜입력!$E:$E,"A",실시간콜입력!$G:$G,$B773,실시간콜입력!$O:$O,"방문완료")+COUNTIFS(실시간콜입력!$B:$B,$A773,실시간콜입력!$E:$E,"A",실시간콜입력!$H:$H,$B773,실시간콜입력!$O:$O,"방문완료")</f>
        <v>0</v>
      </c>
      <c r="G773" s="29">
        <f>COUNTIFS(실시간콜입력!$B:$B,$A773,실시간콜입력!$E:$E,"B",실시간콜입력!$G:$G,$B773,실시간콜입력!$O:$O,"방문완료")+COUNTIFS(실시간콜입력!$B:$B,$A773,실시간콜입력!$E:$E,"B",실시간콜입력!$H:$H,$B773,실시간콜입력!$O:$O,"방문완료")</f>
        <v>0</v>
      </c>
      <c r="H773" s="29">
        <f>COUNTIFS(실시간콜입력!$B:$B,$A773,실시간콜입력!$E:$E,"C",실시간콜입력!$G:$G,$B773,실시간콜입력!$O:$O,"방문완료")+COUNTIFS(실시간콜입력!$B:$B,$A773,실시간콜입력!$E:$E,"C",실시간콜입력!$H:$H,$B773,실시간콜입력!$O:$O,"방문완료")</f>
        <v>0</v>
      </c>
      <c r="I773" s="29">
        <f>COUNTIFS(실시간콜입력!$B:$B,$A773,실시간콜입력!$E:$E,"D",실시간콜입력!$G:$G,$B773,실시간콜입력!$O:$O,"방문완료")+COUNTIFS(실시간콜입력!$B:$B,$A773,실시간콜입력!$E:$E,"D",실시간콜입력!$H:$H,$B773,실시간콜입력!$O:$O,"방문완료")</f>
        <v>0</v>
      </c>
      <c r="J773" s="29">
        <f>COUNTIFS(실시간콜입력!$B:$B,$A773,실시간콜입력!$E:$E,"E",실시간콜입력!$G:$G,$B773,실시간콜입력!$O:$O,"방문완료")+COUNTIFS(실시간콜입력!$B:$B,$A773,실시간콜입력!$E:$E,"E",실시간콜입력!$H:$H,$B773,실시간콜입력!$O:$O,"방문완료")</f>
        <v>0</v>
      </c>
      <c r="K773" s="29">
        <f t="shared" si="103"/>
        <v>0</v>
      </c>
      <c r="L773" s="27">
        <f>SUMIFS(실시간콜입력!$K:$K,실시간콜입력!$B:$B,$A773,실시간콜입력!$G:$G,$B773,실시간콜입력!$O:$O,"방문완료")+SUMIFS(실시간콜입력!$L:$L,실시간콜입력!$B:$B,$A773,실시간콜입력!$H:$H,$B773,실시간콜입력!$O:$O,"방문완료")</f>
        <v>0</v>
      </c>
      <c r="M773" s="29" t="str">
        <f t="shared" si="104"/>
        <v/>
      </c>
      <c r="N773" s="29"/>
    </row>
    <row r="774" spans="1:14" ht="19.5" hidden="1" customHeight="1" outlineLevel="1">
      <c r="A774" s="30">
        <f>IF(15&lt;=DAY(DATE(YEAR(설정_코스수당!$K$2),MONTH(설정_코스수당!$K$2)+1,0)),DATE(YEAR(설정_코스수당!$K$2),MONTH(설정_코스수당!$K$2),15),"")</f>
        <v>46188</v>
      </c>
      <c r="B774" s="29" t="s">
        <v>202</v>
      </c>
      <c r="C774" s="29"/>
      <c r="D774" s="29"/>
      <c r="E774" s="29" t="str">
        <f t="shared" si="102"/>
        <v/>
      </c>
      <c r="F774" s="29">
        <f>COUNTIFS(실시간콜입력!$B:$B,$A774,실시간콜입력!$E:$E,"A",실시간콜입력!$G:$G,$B774,실시간콜입력!$O:$O,"방문완료")+COUNTIFS(실시간콜입력!$B:$B,$A774,실시간콜입력!$E:$E,"A",실시간콜입력!$H:$H,$B774,실시간콜입력!$O:$O,"방문완료")</f>
        <v>0</v>
      </c>
      <c r="G774" s="29">
        <f>COUNTIFS(실시간콜입력!$B:$B,$A774,실시간콜입력!$E:$E,"B",실시간콜입력!$G:$G,$B774,실시간콜입력!$O:$O,"방문완료")+COUNTIFS(실시간콜입력!$B:$B,$A774,실시간콜입력!$E:$E,"B",실시간콜입력!$H:$H,$B774,실시간콜입력!$O:$O,"방문완료")</f>
        <v>0</v>
      </c>
      <c r="H774" s="29">
        <f>COUNTIFS(실시간콜입력!$B:$B,$A774,실시간콜입력!$E:$E,"C",실시간콜입력!$G:$G,$B774,실시간콜입력!$O:$O,"방문완료")+COUNTIFS(실시간콜입력!$B:$B,$A774,실시간콜입력!$E:$E,"C",실시간콜입력!$H:$H,$B774,실시간콜입력!$O:$O,"방문완료")</f>
        <v>0</v>
      </c>
      <c r="I774" s="29">
        <f>COUNTIFS(실시간콜입력!$B:$B,$A774,실시간콜입력!$E:$E,"D",실시간콜입력!$G:$G,$B774,실시간콜입력!$O:$O,"방문완료")+COUNTIFS(실시간콜입력!$B:$B,$A774,실시간콜입력!$E:$E,"D",실시간콜입력!$H:$H,$B774,실시간콜입력!$O:$O,"방문완료")</f>
        <v>0</v>
      </c>
      <c r="J774" s="29">
        <f>COUNTIFS(실시간콜입력!$B:$B,$A774,실시간콜입력!$E:$E,"E",실시간콜입력!$G:$G,$B774,실시간콜입력!$O:$O,"방문완료")+COUNTIFS(실시간콜입력!$B:$B,$A774,실시간콜입력!$E:$E,"E",실시간콜입력!$H:$H,$B774,실시간콜입력!$O:$O,"방문완료")</f>
        <v>0</v>
      </c>
      <c r="K774" s="29">
        <f t="shared" si="103"/>
        <v>0</v>
      </c>
      <c r="L774" s="33">
        <f>SUMIFS(실시간콜입력!$K:$K,실시간콜입력!$B:$B,$A774,실시간콜입력!$G:$G,$B774,실시간콜입력!$O:$O,"방문완료")+SUMIFS(실시간콜입력!$L:$L,실시간콜입력!$B:$B,$A774,실시간콜입력!$H:$H,$B774,실시간콜입력!$O:$O,"방문완료")</f>
        <v>0</v>
      </c>
      <c r="M774" s="29" t="str">
        <f t="shared" si="104"/>
        <v/>
      </c>
      <c r="N774" s="29"/>
    </row>
    <row r="775" spans="1:14" ht="19.5" hidden="1" customHeight="1" outlineLevel="1">
      <c r="A775" s="24">
        <f>IF(15&lt;=DAY(DATE(YEAR(설정_코스수당!$K$2),MONTH(설정_코스수당!$K$2)+1,0)),DATE(YEAR(설정_코스수당!$K$2),MONTH(설정_코스수당!$K$2),15),"")</f>
        <v>46188</v>
      </c>
      <c r="B775" s="23" t="s">
        <v>203</v>
      </c>
      <c r="C775" s="29"/>
      <c r="D775" s="29"/>
      <c r="E775" s="29" t="str">
        <f t="shared" si="102"/>
        <v/>
      </c>
      <c r="F775" s="29">
        <f>COUNTIFS(실시간콜입력!$B:$B,$A775,실시간콜입력!$E:$E,"A",실시간콜입력!$G:$G,$B775,실시간콜입력!$O:$O,"방문완료")+COUNTIFS(실시간콜입력!$B:$B,$A775,실시간콜입력!$E:$E,"A",실시간콜입력!$H:$H,$B775,실시간콜입력!$O:$O,"방문완료")</f>
        <v>0</v>
      </c>
      <c r="G775" s="29">
        <f>COUNTIFS(실시간콜입력!$B:$B,$A775,실시간콜입력!$E:$E,"B",실시간콜입력!$G:$G,$B775,실시간콜입력!$O:$O,"방문완료")+COUNTIFS(실시간콜입력!$B:$B,$A775,실시간콜입력!$E:$E,"B",실시간콜입력!$H:$H,$B775,실시간콜입력!$O:$O,"방문완료")</f>
        <v>0</v>
      </c>
      <c r="H775" s="29">
        <f>COUNTIFS(실시간콜입력!$B:$B,$A775,실시간콜입력!$E:$E,"C",실시간콜입력!$G:$G,$B775,실시간콜입력!$O:$O,"방문완료")+COUNTIFS(실시간콜입력!$B:$B,$A775,실시간콜입력!$E:$E,"C",실시간콜입력!$H:$H,$B775,실시간콜입력!$O:$O,"방문완료")</f>
        <v>0</v>
      </c>
      <c r="I775" s="29">
        <f>COUNTIFS(실시간콜입력!$B:$B,$A775,실시간콜입력!$E:$E,"D",실시간콜입력!$G:$G,$B775,실시간콜입력!$O:$O,"방문완료")+COUNTIFS(실시간콜입력!$B:$B,$A775,실시간콜입력!$E:$E,"D",실시간콜입력!$H:$H,$B775,실시간콜입력!$O:$O,"방문완료")</f>
        <v>0</v>
      </c>
      <c r="J775" s="29">
        <f>COUNTIFS(실시간콜입력!$B:$B,$A775,실시간콜입력!$E:$E,"E",실시간콜입력!$G:$G,$B775,실시간콜입력!$O:$O,"방문완료")+COUNTIFS(실시간콜입력!$B:$B,$A775,실시간콜입력!$E:$E,"E",실시간콜입력!$H:$H,$B775,실시간콜입력!$O:$O,"방문완료")</f>
        <v>0</v>
      </c>
      <c r="K775" s="29">
        <f t="shared" si="103"/>
        <v>0</v>
      </c>
      <c r="L775" s="27">
        <f>SUMIFS(실시간콜입력!$K:$K,실시간콜입력!$B:$B,$A775,실시간콜입력!$G:$G,$B775,실시간콜입력!$O:$O,"방문완료")+SUMIFS(실시간콜입력!$L:$L,실시간콜입력!$B:$B,$A775,실시간콜입력!$H:$H,$B775,실시간콜입력!$O:$O,"방문완료")</f>
        <v>0</v>
      </c>
      <c r="M775" s="29" t="str">
        <f t="shared" si="104"/>
        <v/>
      </c>
      <c r="N775" s="29"/>
    </row>
    <row r="776" spans="1:14" ht="19.5" hidden="1" customHeight="1" outlineLevel="1">
      <c r="A776" s="30">
        <f>IF(15&lt;=DAY(DATE(YEAR(설정_코스수당!$K$2),MONTH(설정_코스수당!$K$2)+1,0)),DATE(YEAR(설정_코스수당!$K$2),MONTH(설정_코스수당!$K$2),15),"")</f>
        <v>46188</v>
      </c>
      <c r="B776" s="29" t="s">
        <v>204</v>
      </c>
      <c r="C776" s="29"/>
      <c r="D776" s="29"/>
      <c r="E776" s="29" t="str">
        <f t="shared" si="102"/>
        <v/>
      </c>
      <c r="F776" s="29">
        <f>COUNTIFS(실시간콜입력!$B:$B,$A776,실시간콜입력!$E:$E,"A",실시간콜입력!$G:$G,$B776,실시간콜입력!$O:$O,"방문완료")+COUNTIFS(실시간콜입력!$B:$B,$A776,실시간콜입력!$E:$E,"A",실시간콜입력!$H:$H,$B776,실시간콜입력!$O:$O,"방문완료")</f>
        <v>0</v>
      </c>
      <c r="G776" s="29">
        <f>COUNTIFS(실시간콜입력!$B:$B,$A776,실시간콜입력!$E:$E,"B",실시간콜입력!$G:$G,$B776,실시간콜입력!$O:$O,"방문완료")+COUNTIFS(실시간콜입력!$B:$B,$A776,실시간콜입력!$E:$E,"B",실시간콜입력!$H:$H,$B776,실시간콜입력!$O:$O,"방문완료")</f>
        <v>0</v>
      </c>
      <c r="H776" s="29">
        <f>COUNTIFS(실시간콜입력!$B:$B,$A776,실시간콜입력!$E:$E,"C",실시간콜입력!$G:$G,$B776,실시간콜입력!$O:$O,"방문완료")+COUNTIFS(실시간콜입력!$B:$B,$A776,실시간콜입력!$E:$E,"C",실시간콜입력!$H:$H,$B776,실시간콜입력!$O:$O,"방문완료")</f>
        <v>0</v>
      </c>
      <c r="I776" s="29">
        <f>COUNTIFS(실시간콜입력!$B:$B,$A776,실시간콜입력!$E:$E,"D",실시간콜입력!$G:$G,$B776,실시간콜입력!$O:$O,"방문완료")+COUNTIFS(실시간콜입력!$B:$B,$A776,실시간콜입력!$E:$E,"D",실시간콜입력!$H:$H,$B776,실시간콜입력!$O:$O,"방문완료")</f>
        <v>0</v>
      </c>
      <c r="J776" s="29">
        <f>COUNTIFS(실시간콜입력!$B:$B,$A776,실시간콜입력!$E:$E,"E",실시간콜입력!$G:$G,$B776,실시간콜입력!$O:$O,"방문완료")+COUNTIFS(실시간콜입력!$B:$B,$A776,실시간콜입력!$E:$E,"E",실시간콜입력!$H:$H,$B776,실시간콜입력!$O:$O,"방문완료")</f>
        <v>0</v>
      </c>
      <c r="K776" s="29">
        <f t="shared" si="103"/>
        <v>0</v>
      </c>
      <c r="L776" s="33">
        <f>SUMIFS(실시간콜입력!$K:$K,실시간콜입력!$B:$B,$A776,실시간콜입력!$G:$G,$B776,실시간콜입력!$O:$O,"방문완료")+SUMIFS(실시간콜입력!$L:$L,실시간콜입력!$B:$B,$A776,실시간콜입력!$H:$H,$B776,실시간콜입력!$O:$O,"방문완료")</f>
        <v>0</v>
      </c>
      <c r="M776" s="29" t="str">
        <f t="shared" si="104"/>
        <v/>
      </c>
      <c r="N776" s="29"/>
    </row>
    <row r="777" spans="1:14" ht="19.5" hidden="1" customHeight="1" outlineLevel="1">
      <c r="A777" s="24">
        <f>IF(15&lt;=DAY(DATE(YEAR(설정_코스수당!$K$2),MONTH(설정_코스수당!$K$2)+1,0)),DATE(YEAR(설정_코스수당!$K$2),MONTH(설정_코스수당!$K$2),15),"")</f>
        <v>46188</v>
      </c>
      <c r="B777" s="23" t="s">
        <v>205</v>
      </c>
      <c r="C777" s="29"/>
      <c r="D777" s="29"/>
      <c r="E777" s="29" t="str">
        <f t="shared" si="102"/>
        <v/>
      </c>
      <c r="F777" s="29">
        <f>COUNTIFS(실시간콜입력!$B:$B,$A777,실시간콜입력!$E:$E,"A",실시간콜입력!$G:$G,$B777,실시간콜입력!$O:$O,"방문완료")+COUNTIFS(실시간콜입력!$B:$B,$A777,실시간콜입력!$E:$E,"A",실시간콜입력!$H:$H,$B777,실시간콜입력!$O:$O,"방문완료")</f>
        <v>0</v>
      </c>
      <c r="G777" s="29">
        <f>COUNTIFS(실시간콜입력!$B:$B,$A777,실시간콜입력!$E:$E,"B",실시간콜입력!$G:$G,$B777,실시간콜입력!$O:$O,"방문완료")+COUNTIFS(실시간콜입력!$B:$B,$A777,실시간콜입력!$E:$E,"B",실시간콜입력!$H:$H,$B777,실시간콜입력!$O:$O,"방문완료")</f>
        <v>0</v>
      </c>
      <c r="H777" s="29">
        <f>COUNTIFS(실시간콜입력!$B:$B,$A777,실시간콜입력!$E:$E,"C",실시간콜입력!$G:$G,$B777,실시간콜입력!$O:$O,"방문완료")+COUNTIFS(실시간콜입력!$B:$B,$A777,실시간콜입력!$E:$E,"C",실시간콜입력!$H:$H,$B777,실시간콜입력!$O:$O,"방문완료")</f>
        <v>0</v>
      </c>
      <c r="I777" s="29">
        <f>COUNTIFS(실시간콜입력!$B:$B,$A777,실시간콜입력!$E:$E,"D",실시간콜입력!$G:$G,$B777,실시간콜입력!$O:$O,"방문완료")+COUNTIFS(실시간콜입력!$B:$B,$A777,실시간콜입력!$E:$E,"D",실시간콜입력!$H:$H,$B777,실시간콜입력!$O:$O,"방문완료")</f>
        <v>0</v>
      </c>
      <c r="J777" s="29">
        <f>COUNTIFS(실시간콜입력!$B:$B,$A777,실시간콜입력!$E:$E,"E",실시간콜입력!$G:$G,$B777,실시간콜입력!$O:$O,"방문완료")+COUNTIFS(실시간콜입력!$B:$B,$A777,실시간콜입력!$E:$E,"E",실시간콜입력!$H:$H,$B777,실시간콜입력!$O:$O,"방문완료")</f>
        <v>0</v>
      </c>
      <c r="K777" s="29">
        <f t="shared" si="103"/>
        <v>0</v>
      </c>
      <c r="L777" s="27">
        <f>SUMIFS(실시간콜입력!$K:$K,실시간콜입력!$B:$B,$A777,실시간콜입력!$G:$G,$B777,실시간콜입력!$O:$O,"방문완료")+SUMIFS(실시간콜입력!$L:$L,실시간콜입력!$B:$B,$A777,실시간콜입력!$H:$H,$B777,실시간콜입력!$O:$O,"방문완료")</f>
        <v>0</v>
      </c>
      <c r="M777" s="29" t="str">
        <f t="shared" si="104"/>
        <v/>
      </c>
      <c r="N777" s="29"/>
    </row>
    <row r="778" spans="1:14" ht="19.5" hidden="1" customHeight="1" outlineLevel="1">
      <c r="A778" s="30">
        <f>IF(15&lt;=DAY(DATE(YEAR(설정_코스수당!$K$2),MONTH(설정_코스수당!$K$2)+1,0)),DATE(YEAR(설정_코스수당!$K$2),MONTH(설정_코스수당!$K$2),15),"")</f>
        <v>46188</v>
      </c>
      <c r="B778" s="29" t="s">
        <v>206</v>
      </c>
      <c r="C778" s="29"/>
      <c r="D778" s="29"/>
      <c r="E778" s="29" t="str">
        <f t="shared" si="102"/>
        <v/>
      </c>
      <c r="F778" s="29">
        <f>COUNTIFS(실시간콜입력!$B:$B,$A778,실시간콜입력!$E:$E,"A",실시간콜입력!$G:$G,$B778,실시간콜입력!$O:$O,"방문완료")+COUNTIFS(실시간콜입력!$B:$B,$A778,실시간콜입력!$E:$E,"A",실시간콜입력!$H:$H,$B778,실시간콜입력!$O:$O,"방문완료")</f>
        <v>0</v>
      </c>
      <c r="G778" s="29">
        <f>COUNTIFS(실시간콜입력!$B:$B,$A778,실시간콜입력!$E:$E,"B",실시간콜입력!$G:$G,$B778,실시간콜입력!$O:$O,"방문완료")+COUNTIFS(실시간콜입력!$B:$B,$A778,실시간콜입력!$E:$E,"B",실시간콜입력!$H:$H,$B778,실시간콜입력!$O:$O,"방문완료")</f>
        <v>0</v>
      </c>
      <c r="H778" s="29">
        <f>COUNTIFS(실시간콜입력!$B:$B,$A778,실시간콜입력!$E:$E,"C",실시간콜입력!$G:$G,$B778,실시간콜입력!$O:$O,"방문완료")+COUNTIFS(실시간콜입력!$B:$B,$A778,실시간콜입력!$E:$E,"C",실시간콜입력!$H:$H,$B778,실시간콜입력!$O:$O,"방문완료")</f>
        <v>0</v>
      </c>
      <c r="I778" s="29">
        <f>COUNTIFS(실시간콜입력!$B:$B,$A778,실시간콜입력!$E:$E,"D",실시간콜입력!$G:$G,$B778,실시간콜입력!$O:$O,"방문완료")+COUNTIFS(실시간콜입력!$B:$B,$A778,실시간콜입력!$E:$E,"D",실시간콜입력!$H:$H,$B778,실시간콜입력!$O:$O,"방문완료")</f>
        <v>0</v>
      </c>
      <c r="J778" s="29">
        <f>COUNTIFS(실시간콜입력!$B:$B,$A778,실시간콜입력!$E:$E,"E",실시간콜입력!$G:$G,$B778,실시간콜입력!$O:$O,"방문완료")+COUNTIFS(실시간콜입력!$B:$B,$A778,실시간콜입력!$E:$E,"E",실시간콜입력!$H:$H,$B778,실시간콜입력!$O:$O,"방문완료")</f>
        <v>0</v>
      </c>
      <c r="K778" s="29">
        <f t="shared" si="103"/>
        <v>0</v>
      </c>
      <c r="L778" s="33">
        <f>SUMIFS(실시간콜입력!$K:$K,실시간콜입력!$B:$B,$A778,실시간콜입력!$G:$G,$B778,실시간콜입력!$O:$O,"방문완료")+SUMIFS(실시간콜입력!$L:$L,실시간콜입력!$B:$B,$A778,실시간콜입력!$H:$H,$B778,실시간콜입력!$O:$O,"방문완료")</f>
        <v>0</v>
      </c>
      <c r="M778" s="29" t="str">
        <f t="shared" si="104"/>
        <v/>
      </c>
      <c r="N778" s="29"/>
    </row>
    <row r="779" spans="1:14" ht="19.5" hidden="1" customHeight="1" outlineLevel="1">
      <c r="A779" s="24">
        <f>IF(15&lt;=DAY(DATE(YEAR(설정_코스수당!$K$2),MONTH(설정_코스수당!$K$2)+1,0)),DATE(YEAR(설정_코스수당!$K$2),MONTH(설정_코스수당!$K$2),15),"")</f>
        <v>46188</v>
      </c>
      <c r="B779" s="23" t="s">
        <v>207</v>
      </c>
      <c r="C779" s="29"/>
      <c r="D779" s="29"/>
      <c r="E779" s="29" t="str">
        <f t="shared" si="102"/>
        <v/>
      </c>
      <c r="F779" s="29">
        <f>COUNTIFS(실시간콜입력!$B:$B,$A779,실시간콜입력!$E:$E,"A",실시간콜입력!$G:$G,$B779,실시간콜입력!$O:$O,"방문완료")+COUNTIFS(실시간콜입력!$B:$B,$A779,실시간콜입력!$E:$E,"A",실시간콜입력!$H:$H,$B779,실시간콜입력!$O:$O,"방문완료")</f>
        <v>0</v>
      </c>
      <c r="G779" s="29">
        <f>COUNTIFS(실시간콜입력!$B:$B,$A779,실시간콜입력!$E:$E,"B",실시간콜입력!$G:$G,$B779,실시간콜입력!$O:$O,"방문완료")+COUNTIFS(실시간콜입력!$B:$B,$A779,실시간콜입력!$E:$E,"B",실시간콜입력!$H:$H,$B779,실시간콜입력!$O:$O,"방문완료")</f>
        <v>0</v>
      </c>
      <c r="H779" s="29">
        <f>COUNTIFS(실시간콜입력!$B:$B,$A779,실시간콜입력!$E:$E,"C",실시간콜입력!$G:$G,$B779,실시간콜입력!$O:$O,"방문완료")+COUNTIFS(실시간콜입력!$B:$B,$A779,실시간콜입력!$E:$E,"C",실시간콜입력!$H:$H,$B779,실시간콜입력!$O:$O,"방문완료")</f>
        <v>0</v>
      </c>
      <c r="I779" s="29">
        <f>COUNTIFS(실시간콜입력!$B:$B,$A779,실시간콜입력!$E:$E,"D",실시간콜입력!$G:$G,$B779,실시간콜입력!$O:$O,"방문완료")+COUNTIFS(실시간콜입력!$B:$B,$A779,실시간콜입력!$E:$E,"D",실시간콜입력!$H:$H,$B779,실시간콜입력!$O:$O,"방문완료")</f>
        <v>0</v>
      </c>
      <c r="J779" s="29">
        <f>COUNTIFS(실시간콜입력!$B:$B,$A779,실시간콜입력!$E:$E,"E",실시간콜입력!$G:$G,$B779,실시간콜입력!$O:$O,"방문완료")+COUNTIFS(실시간콜입력!$B:$B,$A779,실시간콜입력!$E:$E,"E",실시간콜입력!$H:$H,$B779,실시간콜입력!$O:$O,"방문완료")</f>
        <v>0</v>
      </c>
      <c r="K779" s="29">
        <f t="shared" si="103"/>
        <v>0</v>
      </c>
      <c r="L779" s="27">
        <f>SUMIFS(실시간콜입력!$K:$K,실시간콜입력!$B:$B,$A779,실시간콜입력!$G:$G,$B779,실시간콜입력!$O:$O,"방문완료")+SUMIFS(실시간콜입력!$L:$L,실시간콜입력!$B:$B,$A779,실시간콜입력!$H:$H,$B779,실시간콜입력!$O:$O,"방문완료")</f>
        <v>0</v>
      </c>
      <c r="M779" s="29" t="str">
        <f t="shared" si="104"/>
        <v/>
      </c>
      <c r="N779" s="29"/>
    </row>
    <row r="780" spans="1:14" ht="19.5" hidden="1" customHeight="1" outlineLevel="1">
      <c r="A780" s="30">
        <f>IF(15&lt;=DAY(DATE(YEAR(설정_코스수당!$K$2),MONTH(설정_코스수당!$K$2)+1,0)),DATE(YEAR(설정_코스수당!$K$2),MONTH(설정_코스수당!$K$2),15),"")</f>
        <v>46188</v>
      </c>
      <c r="B780" s="29" t="s">
        <v>208</v>
      </c>
      <c r="C780" s="29"/>
      <c r="D780" s="29"/>
      <c r="E780" s="29" t="str">
        <f t="shared" si="102"/>
        <v/>
      </c>
      <c r="F780" s="29">
        <f>COUNTIFS(실시간콜입력!$B:$B,$A780,실시간콜입력!$E:$E,"A",실시간콜입력!$G:$G,$B780,실시간콜입력!$O:$O,"방문완료")+COUNTIFS(실시간콜입력!$B:$B,$A780,실시간콜입력!$E:$E,"A",실시간콜입력!$H:$H,$B780,실시간콜입력!$O:$O,"방문완료")</f>
        <v>0</v>
      </c>
      <c r="G780" s="29">
        <f>COUNTIFS(실시간콜입력!$B:$B,$A780,실시간콜입력!$E:$E,"B",실시간콜입력!$G:$G,$B780,실시간콜입력!$O:$O,"방문완료")+COUNTIFS(실시간콜입력!$B:$B,$A780,실시간콜입력!$E:$E,"B",실시간콜입력!$H:$H,$B780,실시간콜입력!$O:$O,"방문완료")</f>
        <v>0</v>
      </c>
      <c r="H780" s="29">
        <f>COUNTIFS(실시간콜입력!$B:$B,$A780,실시간콜입력!$E:$E,"C",실시간콜입력!$G:$G,$B780,실시간콜입력!$O:$O,"방문완료")+COUNTIFS(실시간콜입력!$B:$B,$A780,실시간콜입력!$E:$E,"C",실시간콜입력!$H:$H,$B780,실시간콜입력!$O:$O,"방문완료")</f>
        <v>0</v>
      </c>
      <c r="I780" s="29">
        <f>COUNTIFS(실시간콜입력!$B:$B,$A780,실시간콜입력!$E:$E,"D",실시간콜입력!$G:$G,$B780,실시간콜입력!$O:$O,"방문완료")+COUNTIFS(실시간콜입력!$B:$B,$A780,실시간콜입력!$E:$E,"D",실시간콜입력!$H:$H,$B780,실시간콜입력!$O:$O,"방문완료")</f>
        <v>0</v>
      </c>
      <c r="J780" s="29">
        <f>COUNTIFS(실시간콜입력!$B:$B,$A780,실시간콜입력!$E:$E,"E",실시간콜입력!$G:$G,$B780,실시간콜입력!$O:$O,"방문완료")+COUNTIFS(실시간콜입력!$B:$B,$A780,실시간콜입력!$E:$E,"E",실시간콜입력!$H:$H,$B780,실시간콜입력!$O:$O,"방문완료")</f>
        <v>0</v>
      </c>
      <c r="K780" s="29">
        <f t="shared" si="103"/>
        <v>0</v>
      </c>
      <c r="L780" s="33">
        <f>SUMIFS(실시간콜입력!$K:$K,실시간콜입력!$B:$B,$A780,실시간콜입력!$G:$G,$B780,실시간콜입력!$O:$O,"방문완료")+SUMIFS(실시간콜입력!$L:$L,실시간콜입력!$B:$B,$A780,실시간콜입력!$H:$H,$B780,실시간콜입력!$O:$O,"방문완료")</f>
        <v>0</v>
      </c>
      <c r="M780" s="29" t="str">
        <f t="shared" si="104"/>
        <v/>
      </c>
      <c r="N780" s="29"/>
    </row>
    <row r="781" spans="1:14" ht="19.5" hidden="1" customHeight="1" outlineLevel="1">
      <c r="A781" s="24">
        <f>IF(15&lt;=DAY(DATE(YEAR(설정_코스수당!$K$2),MONTH(설정_코스수당!$K$2)+1,0)),DATE(YEAR(설정_코스수당!$K$2),MONTH(설정_코스수당!$K$2),15),"")</f>
        <v>46188</v>
      </c>
      <c r="B781" s="23" t="s">
        <v>209</v>
      </c>
      <c r="C781" s="29"/>
      <c r="D781" s="29"/>
      <c r="E781" s="29" t="str">
        <f t="shared" si="102"/>
        <v/>
      </c>
      <c r="F781" s="29">
        <f>COUNTIFS(실시간콜입력!$B:$B,$A781,실시간콜입력!$E:$E,"A",실시간콜입력!$G:$G,$B781,실시간콜입력!$O:$O,"방문완료")+COUNTIFS(실시간콜입력!$B:$B,$A781,실시간콜입력!$E:$E,"A",실시간콜입력!$H:$H,$B781,실시간콜입력!$O:$O,"방문완료")</f>
        <v>0</v>
      </c>
      <c r="G781" s="29">
        <f>COUNTIFS(실시간콜입력!$B:$B,$A781,실시간콜입력!$E:$E,"B",실시간콜입력!$G:$G,$B781,실시간콜입력!$O:$O,"방문완료")+COUNTIFS(실시간콜입력!$B:$B,$A781,실시간콜입력!$E:$E,"B",실시간콜입력!$H:$H,$B781,실시간콜입력!$O:$O,"방문완료")</f>
        <v>0</v>
      </c>
      <c r="H781" s="29">
        <f>COUNTIFS(실시간콜입력!$B:$B,$A781,실시간콜입력!$E:$E,"C",실시간콜입력!$G:$G,$B781,실시간콜입력!$O:$O,"방문완료")+COUNTIFS(실시간콜입력!$B:$B,$A781,실시간콜입력!$E:$E,"C",실시간콜입력!$H:$H,$B781,실시간콜입력!$O:$O,"방문완료")</f>
        <v>0</v>
      </c>
      <c r="I781" s="29">
        <f>COUNTIFS(실시간콜입력!$B:$B,$A781,실시간콜입력!$E:$E,"D",실시간콜입력!$G:$G,$B781,실시간콜입력!$O:$O,"방문완료")+COUNTIFS(실시간콜입력!$B:$B,$A781,실시간콜입력!$E:$E,"D",실시간콜입력!$H:$H,$B781,실시간콜입력!$O:$O,"방문완료")</f>
        <v>0</v>
      </c>
      <c r="J781" s="29">
        <f>COUNTIFS(실시간콜입력!$B:$B,$A781,실시간콜입력!$E:$E,"E",실시간콜입력!$G:$G,$B781,실시간콜입력!$O:$O,"방문완료")+COUNTIFS(실시간콜입력!$B:$B,$A781,실시간콜입력!$E:$E,"E",실시간콜입력!$H:$H,$B781,실시간콜입력!$O:$O,"방문완료")</f>
        <v>0</v>
      </c>
      <c r="K781" s="29">
        <f t="shared" si="103"/>
        <v>0</v>
      </c>
      <c r="L781" s="27">
        <f>SUMIFS(실시간콜입력!$K:$K,실시간콜입력!$B:$B,$A781,실시간콜입력!$G:$G,$B781,실시간콜입력!$O:$O,"방문완료")+SUMIFS(실시간콜입력!$L:$L,실시간콜입력!$B:$B,$A781,실시간콜입력!$H:$H,$B781,실시간콜입력!$O:$O,"방문완료")</f>
        <v>0</v>
      </c>
      <c r="M781" s="29" t="str">
        <f t="shared" si="104"/>
        <v/>
      </c>
      <c r="N781" s="29"/>
    </row>
    <row r="782" spans="1:14" ht="19.5" hidden="1" customHeight="1" outlineLevel="1">
      <c r="A782" s="30">
        <f>IF(15&lt;=DAY(DATE(YEAR(설정_코스수당!$K$2),MONTH(설정_코스수당!$K$2)+1,0)),DATE(YEAR(설정_코스수당!$K$2),MONTH(설정_코스수당!$K$2),15),"")</f>
        <v>46188</v>
      </c>
      <c r="B782" s="29" t="s">
        <v>210</v>
      </c>
      <c r="C782" s="29"/>
      <c r="D782" s="29"/>
      <c r="E782" s="29" t="str">
        <f t="shared" si="102"/>
        <v/>
      </c>
      <c r="F782" s="29">
        <f>COUNTIFS(실시간콜입력!$B:$B,$A782,실시간콜입력!$E:$E,"A",실시간콜입력!$G:$G,$B782,실시간콜입력!$O:$O,"방문완료")+COUNTIFS(실시간콜입력!$B:$B,$A782,실시간콜입력!$E:$E,"A",실시간콜입력!$H:$H,$B782,실시간콜입력!$O:$O,"방문완료")</f>
        <v>0</v>
      </c>
      <c r="G782" s="29">
        <f>COUNTIFS(실시간콜입력!$B:$B,$A782,실시간콜입력!$E:$E,"B",실시간콜입력!$G:$G,$B782,실시간콜입력!$O:$O,"방문완료")+COUNTIFS(실시간콜입력!$B:$B,$A782,실시간콜입력!$E:$E,"B",실시간콜입력!$H:$H,$B782,실시간콜입력!$O:$O,"방문완료")</f>
        <v>0</v>
      </c>
      <c r="H782" s="29">
        <f>COUNTIFS(실시간콜입력!$B:$B,$A782,실시간콜입력!$E:$E,"C",실시간콜입력!$G:$G,$B782,실시간콜입력!$O:$O,"방문완료")+COUNTIFS(실시간콜입력!$B:$B,$A782,실시간콜입력!$E:$E,"C",실시간콜입력!$H:$H,$B782,실시간콜입력!$O:$O,"방문완료")</f>
        <v>0</v>
      </c>
      <c r="I782" s="29">
        <f>COUNTIFS(실시간콜입력!$B:$B,$A782,실시간콜입력!$E:$E,"D",실시간콜입력!$G:$G,$B782,실시간콜입력!$O:$O,"방문완료")+COUNTIFS(실시간콜입력!$B:$B,$A782,실시간콜입력!$E:$E,"D",실시간콜입력!$H:$H,$B782,실시간콜입력!$O:$O,"방문완료")</f>
        <v>0</v>
      </c>
      <c r="J782" s="29">
        <f>COUNTIFS(실시간콜입력!$B:$B,$A782,실시간콜입력!$E:$E,"E",실시간콜입력!$G:$G,$B782,실시간콜입력!$O:$O,"방문완료")+COUNTIFS(실시간콜입력!$B:$B,$A782,실시간콜입력!$E:$E,"E",실시간콜입력!$H:$H,$B782,실시간콜입력!$O:$O,"방문완료")</f>
        <v>0</v>
      </c>
      <c r="K782" s="29">
        <f t="shared" si="103"/>
        <v>0</v>
      </c>
      <c r="L782" s="33">
        <f>SUMIFS(실시간콜입력!$K:$K,실시간콜입력!$B:$B,$A782,실시간콜입력!$G:$G,$B782,실시간콜입력!$O:$O,"방문완료")+SUMIFS(실시간콜입력!$L:$L,실시간콜입력!$B:$B,$A782,실시간콜입력!$H:$H,$B782,실시간콜입력!$O:$O,"방문완료")</f>
        <v>0</v>
      </c>
      <c r="M782" s="29" t="str">
        <f t="shared" si="104"/>
        <v/>
      </c>
      <c r="N782" s="29"/>
    </row>
    <row r="783" spans="1:14" ht="19.5" hidden="1" customHeight="1" outlineLevel="1">
      <c r="A783" s="24">
        <f>IF(15&lt;=DAY(DATE(YEAR(설정_코스수당!$K$2),MONTH(설정_코스수당!$K$2)+1,0)),DATE(YEAR(설정_코스수당!$K$2),MONTH(설정_코스수당!$K$2),15),"")</f>
        <v>46188</v>
      </c>
      <c r="B783" s="23" t="s">
        <v>211</v>
      </c>
      <c r="C783" s="29"/>
      <c r="D783" s="29"/>
      <c r="E783" s="29" t="str">
        <f t="shared" si="102"/>
        <v/>
      </c>
      <c r="F783" s="29">
        <f>COUNTIFS(실시간콜입력!$B:$B,$A783,실시간콜입력!$E:$E,"A",실시간콜입력!$G:$G,$B783,실시간콜입력!$O:$O,"방문완료")+COUNTIFS(실시간콜입력!$B:$B,$A783,실시간콜입력!$E:$E,"A",실시간콜입력!$H:$H,$B783,실시간콜입력!$O:$O,"방문완료")</f>
        <v>0</v>
      </c>
      <c r="G783" s="29">
        <f>COUNTIFS(실시간콜입력!$B:$B,$A783,실시간콜입력!$E:$E,"B",실시간콜입력!$G:$G,$B783,실시간콜입력!$O:$O,"방문완료")+COUNTIFS(실시간콜입력!$B:$B,$A783,실시간콜입력!$E:$E,"B",실시간콜입력!$H:$H,$B783,실시간콜입력!$O:$O,"방문완료")</f>
        <v>0</v>
      </c>
      <c r="H783" s="29">
        <f>COUNTIFS(실시간콜입력!$B:$B,$A783,실시간콜입력!$E:$E,"C",실시간콜입력!$G:$G,$B783,실시간콜입력!$O:$O,"방문완료")+COUNTIFS(실시간콜입력!$B:$B,$A783,실시간콜입력!$E:$E,"C",실시간콜입력!$H:$H,$B783,실시간콜입력!$O:$O,"방문완료")</f>
        <v>0</v>
      </c>
      <c r="I783" s="29">
        <f>COUNTIFS(실시간콜입력!$B:$B,$A783,실시간콜입력!$E:$E,"D",실시간콜입력!$G:$G,$B783,실시간콜입력!$O:$O,"방문완료")+COUNTIFS(실시간콜입력!$B:$B,$A783,실시간콜입력!$E:$E,"D",실시간콜입력!$H:$H,$B783,실시간콜입력!$O:$O,"방문완료")</f>
        <v>0</v>
      </c>
      <c r="J783" s="29">
        <f>COUNTIFS(실시간콜입력!$B:$B,$A783,실시간콜입력!$E:$E,"E",실시간콜입력!$G:$G,$B783,실시간콜입력!$O:$O,"방문완료")+COUNTIFS(실시간콜입력!$B:$B,$A783,실시간콜입력!$E:$E,"E",실시간콜입력!$H:$H,$B783,실시간콜입력!$O:$O,"방문완료")</f>
        <v>0</v>
      </c>
      <c r="K783" s="29">
        <f t="shared" si="103"/>
        <v>0</v>
      </c>
      <c r="L783" s="27">
        <f>SUMIFS(실시간콜입력!$K:$K,실시간콜입력!$B:$B,$A783,실시간콜입력!$G:$G,$B783,실시간콜입력!$O:$O,"방문완료")+SUMIFS(실시간콜입력!$L:$L,실시간콜입력!$B:$B,$A783,실시간콜입력!$H:$H,$B783,실시간콜입력!$O:$O,"방문완료")</f>
        <v>0</v>
      </c>
      <c r="M783" s="29" t="str">
        <f t="shared" si="104"/>
        <v/>
      </c>
      <c r="N783" s="29"/>
    </row>
    <row r="784" spans="1:14" ht="19.5" hidden="1" customHeight="1" outlineLevel="1">
      <c r="A784" s="30">
        <f>IF(15&lt;=DAY(DATE(YEAR(설정_코스수당!$K$2),MONTH(설정_코스수당!$K$2)+1,0)),DATE(YEAR(설정_코스수당!$K$2),MONTH(설정_코스수당!$K$2),15),"")</f>
        <v>46188</v>
      </c>
      <c r="B784" s="29" t="s">
        <v>212</v>
      </c>
      <c r="C784" s="29"/>
      <c r="D784" s="29"/>
      <c r="E784" s="29" t="str">
        <f t="shared" si="102"/>
        <v/>
      </c>
      <c r="F784" s="29">
        <f>COUNTIFS(실시간콜입력!$B:$B,$A784,실시간콜입력!$E:$E,"A",실시간콜입력!$G:$G,$B784,실시간콜입력!$O:$O,"방문완료")+COUNTIFS(실시간콜입력!$B:$B,$A784,실시간콜입력!$E:$E,"A",실시간콜입력!$H:$H,$B784,실시간콜입력!$O:$O,"방문완료")</f>
        <v>0</v>
      </c>
      <c r="G784" s="29">
        <f>COUNTIFS(실시간콜입력!$B:$B,$A784,실시간콜입력!$E:$E,"B",실시간콜입력!$G:$G,$B784,실시간콜입력!$O:$O,"방문완료")+COUNTIFS(실시간콜입력!$B:$B,$A784,실시간콜입력!$E:$E,"B",실시간콜입력!$H:$H,$B784,실시간콜입력!$O:$O,"방문완료")</f>
        <v>0</v>
      </c>
      <c r="H784" s="29">
        <f>COUNTIFS(실시간콜입력!$B:$B,$A784,실시간콜입력!$E:$E,"C",실시간콜입력!$G:$G,$B784,실시간콜입력!$O:$O,"방문완료")+COUNTIFS(실시간콜입력!$B:$B,$A784,실시간콜입력!$E:$E,"C",실시간콜입력!$H:$H,$B784,실시간콜입력!$O:$O,"방문완료")</f>
        <v>0</v>
      </c>
      <c r="I784" s="29">
        <f>COUNTIFS(실시간콜입력!$B:$B,$A784,실시간콜입력!$E:$E,"D",실시간콜입력!$G:$G,$B784,실시간콜입력!$O:$O,"방문완료")+COUNTIFS(실시간콜입력!$B:$B,$A784,실시간콜입력!$E:$E,"D",실시간콜입력!$H:$H,$B784,실시간콜입력!$O:$O,"방문완료")</f>
        <v>0</v>
      </c>
      <c r="J784" s="29">
        <f>COUNTIFS(실시간콜입력!$B:$B,$A784,실시간콜입력!$E:$E,"E",실시간콜입력!$G:$G,$B784,실시간콜입력!$O:$O,"방문완료")+COUNTIFS(실시간콜입력!$B:$B,$A784,실시간콜입력!$E:$E,"E",실시간콜입력!$H:$H,$B784,실시간콜입력!$O:$O,"방문완료")</f>
        <v>0</v>
      </c>
      <c r="K784" s="29">
        <f t="shared" si="103"/>
        <v>0</v>
      </c>
      <c r="L784" s="33">
        <f>SUMIFS(실시간콜입력!$K:$K,실시간콜입력!$B:$B,$A784,실시간콜입력!$G:$G,$B784,실시간콜입력!$O:$O,"방문완료")+SUMIFS(실시간콜입력!$L:$L,실시간콜입력!$B:$B,$A784,실시간콜입력!$H:$H,$B784,실시간콜입력!$O:$O,"방문완료")</f>
        <v>0</v>
      </c>
      <c r="M784" s="29" t="str">
        <f t="shared" si="104"/>
        <v/>
      </c>
      <c r="N784" s="29"/>
    </row>
    <row r="785" spans="1:14" ht="21.75" customHeight="1" collapsed="1">
      <c r="A785" s="64">
        <f>IF(16&lt;=DAY(DATE(YEAR(설정_코스수당!$K$2),MONTH(설정_코스수당!$K$2)+1,0)),DATE(YEAR(설정_코스수당!$K$2),MONTH(설정_코스수당!$K$2),16),"")</f>
        <v>46189</v>
      </c>
      <c r="B785" s="65" t="str">
        <f>IF(A785="","","출근 "&amp;COUNTIF(C787:C836,"&lt;&gt;")&amp;"명")</f>
        <v>출근 0명</v>
      </c>
      <c r="C785" s="65" t="str">
        <f>IF(A785="","","만근 "&amp;COUNTIF(M787:M836,"인정")&amp;"명")</f>
        <v>만근 0명</v>
      </c>
      <c r="D785" s="65" t="str">
        <f>IFERROR("평균 "&amp;TEXT(AVERAGEIF(E787:E836,"&gt;0",E787:E836),"0.0")&amp;"h","평균 -")</f>
        <v>평균 -</v>
      </c>
      <c r="E785" s="65" t="s">
        <v>163</v>
      </c>
      <c r="F785" s="65">
        <f t="shared" ref="F785:L785" si="105">SUM(F787:F836)</f>
        <v>0</v>
      </c>
      <c r="G785" s="65">
        <f t="shared" si="105"/>
        <v>0</v>
      </c>
      <c r="H785" s="65">
        <f t="shared" si="105"/>
        <v>0</v>
      </c>
      <c r="I785" s="65">
        <f t="shared" si="105"/>
        <v>0</v>
      </c>
      <c r="J785" s="65">
        <f t="shared" si="105"/>
        <v>0</v>
      </c>
      <c r="K785" s="65">
        <f t="shared" si="105"/>
        <v>0</v>
      </c>
      <c r="L785" s="66">
        <f t="shared" si="105"/>
        <v>0</v>
      </c>
      <c r="M785" s="65">
        <f>COUNTIF(M787:M836,"인정")</f>
        <v>0</v>
      </c>
      <c r="N785" s="65" t="s">
        <v>164</v>
      </c>
    </row>
    <row r="786" spans="1:14" ht="19.5" hidden="1" customHeight="1" outlineLevel="1">
      <c r="A786" s="20" t="s">
        <v>42</v>
      </c>
      <c r="B786" s="20" t="s">
        <v>152</v>
      </c>
      <c r="C786" s="20" t="s">
        <v>153</v>
      </c>
      <c r="D786" s="20" t="s">
        <v>154</v>
      </c>
      <c r="E786" s="20" t="s">
        <v>155</v>
      </c>
      <c r="F786" s="20" t="s">
        <v>156</v>
      </c>
      <c r="G786" s="20" t="s">
        <v>157</v>
      </c>
      <c r="H786" s="20" t="s">
        <v>158</v>
      </c>
      <c r="I786" s="20" t="s">
        <v>159</v>
      </c>
      <c r="J786" s="20" t="s">
        <v>160</v>
      </c>
      <c r="K786" s="20" t="s">
        <v>118</v>
      </c>
      <c r="L786" s="20" t="s">
        <v>161</v>
      </c>
      <c r="M786" s="20" t="s">
        <v>162</v>
      </c>
      <c r="N786" s="20" t="s">
        <v>95</v>
      </c>
    </row>
    <row r="787" spans="1:14" ht="19.5" hidden="1" customHeight="1" outlineLevel="1">
      <c r="A787" s="24">
        <f>IF(16&lt;=DAY(DATE(YEAR(설정_코스수당!$K$2),MONTH(설정_코스수당!$K$2)+1,0)),DATE(YEAR(설정_코스수당!$K$2),MONTH(설정_코스수당!$K$2),16),"")</f>
        <v>46189</v>
      </c>
      <c r="B787" s="23" t="s">
        <v>47</v>
      </c>
      <c r="C787" s="23"/>
      <c r="D787" s="23"/>
      <c r="E787" s="23" t="str">
        <f t="shared" ref="E787:E818" si="106">IF(AND(C787&lt;&gt;"",D787&lt;&gt;""),IF(D787&lt;C787,D787+1-C787,D787-C787)*24,"")</f>
        <v/>
      </c>
      <c r="F787" s="23">
        <f>COUNTIFS(실시간콜입력!$B:$B,$A787,실시간콜입력!$E:$E,"A",실시간콜입력!$G:$G,$B787,실시간콜입력!$O:$O,"방문완료")+COUNTIFS(실시간콜입력!$B:$B,$A787,실시간콜입력!$E:$E,"A",실시간콜입력!$H:$H,$B787,실시간콜입력!$O:$O,"방문완료")</f>
        <v>0</v>
      </c>
      <c r="G787" s="23">
        <f>COUNTIFS(실시간콜입력!$B:$B,$A787,실시간콜입력!$E:$E,"B",실시간콜입력!$G:$G,$B787,실시간콜입력!$O:$O,"방문완료")+COUNTIFS(실시간콜입력!$B:$B,$A787,실시간콜입력!$E:$E,"B",실시간콜입력!$H:$H,$B787,실시간콜입력!$O:$O,"방문완료")</f>
        <v>0</v>
      </c>
      <c r="H787" s="23">
        <f>COUNTIFS(실시간콜입력!$B:$B,$A787,실시간콜입력!$E:$E,"C",실시간콜입력!$G:$G,$B787,실시간콜입력!$O:$O,"방문완료")+COUNTIFS(실시간콜입력!$B:$B,$A787,실시간콜입력!$E:$E,"C",실시간콜입력!$H:$H,$B787,실시간콜입력!$O:$O,"방문완료")</f>
        <v>0</v>
      </c>
      <c r="I787" s="23">
        <f>COUNTIFS(실시간콜입력!$B:$B,$A787,실시간콜입력!$E:$E,"D",실시간콜입력!$G:$G,$B787,실시간콜입력!$O:$O,"방문완료")+COUNTIFS(실시간콜입력!$B:$B,$A787,실시간콜입력!$E:$E,"D",실시간콜입력!$H:$H,$B787,실시간콜입력!$O:$O,"방문완료")</f>
        <v>0</v>
      </c>
      <c r="J787" s="23">
        <f>COUNTIFS(실시간콜입력!$B:$B,$A787,실시간콜입력!$E:$E,"E",실시간콜입력!$G:$G,$B787,실시간콜입력!$O:$O,"방문완료")+COUNTIFS(실시간콜입력!$B:$B,$A787,실시간콜입력!$E:$E,"E",실시간콜입력!$H:$H,$B787,실시간콜입력!$O:$O,"방문완료")</f>
        <v>0</v>
      </c>
      <c r="K787" s="23">
        <f t="shared" ref="K787:K818" si="107">SUM(F787:J787)</f>
        <v>0</v>
      </c>
      <c r="L787" s="27">
        <f>SUMIFS(실시간콜입력!$K:$K,실시간콜입력!$B:$B,$A787,실시간콜입력!$G:$G,$B787,실시간콜입력!$O:$O,"방문완료")+SUMIFS(실시간콜입력!$L:$L,실시간콜입력!$B:$B,$A787,실시간콜입력!$H:$H,$B787,실시간콜입력!$O:$O,"방문완료")</f>
        <v>0</v>
      </c>
      <c r="M787" s="23" t="str">
        <f t="shared" ref="M787:M818" si="108">IF(AND(ISNUMBER(E787),E787&gt;=8),"인정","")</f>
        <v/>
      </c>
      <c r="N787" s="23"/>
    </row>
    <row r="788" spans="1:14" ht="19.5" hidden="1" customHeight="1" outlineLevel="1">
      <c r="A788" s="30">
        <f>IF(16&lt;=DAY(DATE(YEAR(설정_코스수당!$K$2),MONTH(설정_코스수당!$K$2)+1,0)),DATE(YEAR(설정_코스수당!$K$2),MONTH(설정_코스수당!$K$2),16),"")</f>
        <v>46189</v>
      </c>
      <c r="B788" s="29" t="s">
        <v>48</v>
      </c>
      <c r="C788" s="29"/>
      <c r="D788" s="29"/>
      <c r="E788" s="29" t="str">
        <f t="shared" si="106"/>
        <v/>
      </c>
      <c r="F788" s="29">
        <f>COUNTIFS(실시간콜입력!$B:$B,$A788,실시간콜입력!$E:$E,"A",실시간콜입력!$G:$G,$B788,실시간콜입력!$O:$O,"방문완료")+COUNTIFS(실시간콜입력!$B:$B,$A788,실시간콜입력!$E:$E,"A",실시간콜입력!$H:$H,$B788,실시간콜입력!$O:$O,"방문완료")</f>
        <v>0</v>
      </c>
      <c r="G788" s="29">
        <f>COUNTIFS(실시간콜입력!$B:$B,$A788,실시간콜입력!$E:$E,"B",실시간콜입력!$G:$G,$B788,실시간콜입력!$O:$O,"방문완료")+COUNTIFS(실시간콜입력!$B:$B,$A788,실시간콜입력!$E:$E,"B",실시간콜입력!$H:$H,$B788,실시간콜입력!$O:$O,"방문완료")</f>
        <v>0</v>
      </c>
      <c r="H788" s="29">
        <f>COUNTIFS(실시간콜입력!$B:$B,$A788,실시간콜입력!$E:$E,"C",실시간콜입력!$G:$G,$B788,실시간콜입력!$O:$O,"방문완료")+COUNTIFS(실시간콜입력!$B:$B,$A788,실시간콜입력!$E:$E,"C",실시간콜입력!$H:$H,$B788,실시간콜입력!$O:$O,"방문완료")</f>
        <v>0</v>
      </c>
      <c r="I788" s="29">
        <f>COUNTIFS(실시간콜입력!$B:$B,$A788,실시간콜입력!$E:$E,"D",실시간콜입력!$G:$G,$B788,실시간콜입력!$O:$O,"방문완료")+COUNTIFS(실시간콜입력!$B:$B,$A788,실시간콜입력!$E:$E,"D",실시간콜입력!$H:$H,$B788,실시간콜입력!$O:$O,"방문완료")</f>
        <v>0</v>
      </c>
      <c r="J788" s="29">
        <f>COUNTIFS(실시간콜입력!$B:$B,$A788,실시간콜입력!$E:$E,"E",실시간콜입력!$G:$G,$B788,실시간콜입력!$O:$O,"방문완료")+COUNTIFS(실시간콜입력!$B:$B,$A788,실시간콜입력!$E:$E,"E",실시간콜입력!$H:$H,$B788,실시간콜입력!$O:$O,"방문완료")</f>
        <v>0</v>
      </c>
      <c r="K788" s="29">
        <f t="shared" si="107"/>
        <v>0</v>
      </c>
      <c r="L788" s="33">
        <f>SUMIFS(실시간콜입력!$K:$K,실시간콜입력!$B:$B,$A788,실시간콜입력!$G:$G,$B788,실시간콜입력!$O:$O,"방문완료")+SUMIFS(실시간콜입력!$L:$L,실시간콜입력!$B:$B,$A788,실시간콜입력!$H:$H,$B788,실시간콜입력!$O:$O,"방문완료")</f>
        <v>0</v>
      </c>
      <c r="M788" s="29" t="str">
        <f t="shared" si="108"/>
        <v/>
      </c>
      <c r="N788" s="29"/>
    </row>
    <row r="789" spans="1:14" ht="19.5" hidden="1" customHeight="1" outlineLevel="1">
      <c r="A789" s="24">
        <f>IF(16&lt;=DAY(DATE(YEAR(설정_코스수당!$K$2),MONTH(설정_코스수당!$K$2)+1,0)),DATE(YEAR(설정_코스수당!$K$2),MONTH(설정_코스수당!$K$2),16),"")</f>
        <v>46189</v>
      </c>
      <c r="B789" s="23" t="s">
        <v>165</v>
      </c>
      <c r="C789" s="29"/>
      <c r="D789" s="29"/>
      <c r="E789" s="29" t="str">
        <f t="shared" si="106"/>
        <v/>
      </c>
      <c r="F789" s="29">
        <f>COUNTIFS(실시간콜입력!$B:$B,$A789,실시간콜입력!$E:$E,"A",실시간콜입력!$G:$G,$B789,실시간콜입력!$O:$O,"방문완료")+COUNTIFS(실시간콜입력!$B:$B,$A789,실시간콜입력!$E:$E,"A",실시간콜입력!$H:$H,$B789,실시간콜입력!$O:$O,"방문완료")</f>
        <v>0</v>
      </c>
      <c r="G789" s="29">
        <f>COUNTIFS(실시간콜입력!$B:$B,$A789,실시간콜입력!$E:$E,"B",실시간콜입력!$G:$G,$B789,실시간콜입력!$O:$O,"방문완료")+COUNTIFS(실시간콜입력!$B:$B,$A789,실시간콜입력!$E:$E,"B",실시간콜입력!$H:$H,$B789,실시간콜입력!$O:$O,"방문완료")</f>
        <v>0</v>
      </c>
      <c r="H789" s="29">
        <f>COUNTIFS(실시간콜입력!$B:$B,$A789,실시간콜입력!$E:$E,"C",실시간콜입력!$G:$G,$B789,실시간콜입력!$O:$O,"방문완료")+COUNTIFS(실시간콜입력!$B:$B,$A789,실시간콜입력!$E:$E,"C",실시간콜입력!$H:$H,$B789,실시간콜입력!$O:$O,"방문완료")</f>
        <v>0</v>
      </c>
      <c r="I789" s="29">
        <f>COUNTIFS(실시간콜입력!$B:$B,$A789,실시간콜입력!$E:$E,"D",실시간콜입력!$G:$G,$B789,실시간콜입력!$O:$O,"방문완료")+COUNTIFS(실시간콜입력!$B:$B,$A789,실시간콜입력!$E:$E,"D",실시간콜입력!$H:$H,$B789,실시간콜입력!$O:$O,"방문완료")</f>
        <v>0</v>
      </c>
      <c r="J789" s="29">
        <f>COUNTIFS(실시간콜입력!$B:$B,$A789,실시간콜입력!$E:$E,"E",실시간콜입력!$G:$G,$B789,실시간콜입력!$O:$O,"방문완료")+COUNTIFS(실시간콜입력!$B:$B,$A789,실시간콜입력!$E:$E,"E",실시간콜입력!$H:$H,$B789,실시간콜입력!$O:$O,"방문완료")</f>
        <v>0</v>
      </c>
      <c r="K789" s="29">
        <f t="shared" si="107"/>
        <v>0</v>
      </c>
      <c r="L789" s="27">
        <f>SUMIFS(실시간콜입력!$K:$K,실시간콜입력!$B:$B,$A789,실시간콜입력!$G:$G,$B789,실시간콜입력!$O:$O,"방문완료")+SUMIFS(실시간콜입력!$L:$L,실시간콜입력!$B:$B,$A789,실시간콜입력!$H:$H,$B789,실시간콜입력!$O:$O,"방문완료")</f>
        <v>0</v>
      </c>
      <c r="M789" s="29" t="str">
        <f t="shared" si="108"/>
        <v/>
      </c>
      <c r="N789" s="29"/>
    </row>
    <row r="790" spans="1:14" ht="19.5" hidden="1" customHeight="1" outlineLevel="1">
      <c r="A790" s="30">
        <f>IF(16&lt;=DAY(DATE(YEAR(설정_코스수당!$K$2),MONTH(설정_코스수당!$K$2)+1,0)),DATE(YEAR(설정_코스수당!$K$2),MONTH(설정_코스수당!$K$2),16),"")</f>
        <v>46189</v>
      </c>
      <c r="B790" s="29" t="s">
        <v>166</v>
      </c>
      <c r="C790" s="29"/>
      <c r="D790" s="29"/>
      <c r="E790" s="29" t="str">
        <f t="shared" si="106"/>
        <v/>
      </c>
      <c r="F790" s="29">
        <f>COUNTIFS(실시간콜입력!$B:$B,$A790,실시간콜입력!$E:$E,"A",실시간콜입력!$G:$G,$B790,실시간콜입력!$O:$O,"방문완료")+COUNTIFS(실시간콜입력!$B:$B,$A790,실시간콜입력!$E:$E,"A",실시간콜입력!$H:$H,$B790,실시간콜입력!$O:$O,"방문완료")</f>
        <v>0</v>
      </c>
      <c r="G790" s="29">
        <f>COUNTIFS(실시간콜입력!$B:$B,$A790,실시간콜입력!$E:$E,"B",실시간콜입력!$G:$G,$B790,실시간콜입력!$O:$O,"방문완료")+COUNTIFS(실시간콜입력!$B:$B,$A790,실시간콜입력!$E:$E,"B",실시간콜입력!$H:$H,$B790,실시간콜입력!$O:$O,"방문완료")</f>
        <v>0</v>
      </c>
      <c r="H790" s="29">
        <f>COUNTIFS(실시간콜입력!$B:$B,$A790,실시간콜입력!$E:$E,"C",실시간콜입력!$G:$G,$B790,실시간콜입력!$O:$O,"방문완료")+COUNTIFS(실시간콜입력!$B:$B,$A790,실시간콜입력!$E:$E,"C",실시간콜입력!$H:$H,$B790,실시간콜입력!$O:$O,"방문완료")</f>
        <v>0</v>
      </c>
      <c r="I790" s="29">
        <f>COUNTIFS(실시간콜입력!$B:$B,$A790,실시간콜입력!$E:$E,"D",실시간콜입력!$G:$G,$B790,실시간콜입력!$O:$O,"방문완료")+COUNTIFS(실시간콜입력!$B:$B,$A790,실시간콜입력!$E:$E,"D",실시간콜입력!$H:$H,$B790,실시간콜입력!$O:$O,"방문완료")</f>
        <v>0</v>
      </c>
      <c r="J790" s="29">
        <f>COUNTIFS(실시간콜입력!$B:$B,$A790,실시간콜입력!$E:$E,"E",실시간콜입력!$G:$G,$B790,실시간콜입력!$O:$O,"방문완료")+COUNTIFS(실시간콜입력!$B:$B,$A790,실시간콜입력!$E:$E,"E",실시간콜입력!$H:$H,$B790,실시간콜입력!$O:$O,"방문완료")</f>
        <v>0</v>
      </c>
      <c r="K790" s="29">
        <f t="shared" si="107"/>
        <v>0</v>
      </c>
      <c r="L790" s="33">
        <f>SUMIFS(실시간콜입력!$K:$K,실시간콜입력!$B:$B,$A790,실시간콜입력!$G:$G,$B790,실시간콜입력!$O:$O,"방문완료")+SUMIFS(실시간콜입력!$L:$L,실시간콜입력!$B:$B,$A790,실시간콜입력!$H:$H,$B790,실시간콜입력!$O:$O,"방문완료")</f>
        <v>0</v>
      </c>
      <c r="M790" s="29" t="str">
        <f t="shared" si="108"/>
        <v/>
      </c>
      <c r="N790" s="29"/>
    </row>
    <row r="791" spans="1:14" ht="19.5" hidden="1" customHeight="1" outlineLevel="1">
      <c r="A791" s="24">
        <f>IF(16&lt;=DAY(DATE(YEAR(설정_코스수당!$K$2),MONTH(설정_코스수당!$K$2)+1,0)),DATE(YEAR(설정_코스수당!$K$2),MONTH(설정_코스수당!$K$2),16),"")</f>
        <v>46189</v>
      </c>
      <c r="B791" s="23" t="s">
        <v>167</v>
      </c>
      <c r="C791" s="29"/>
      <c r="D791" s="29"/>
      <c r="E791" s="29" t="str">
        <f t="shared" si="106"/>
        <v/>
      </c>
      <c r="F791" s="29">
        <f>COUNTIFS(실시간콜입력!$B:$B,$A791,실시간콜입력!$E:$E,"A",실시간콜입력!$G:$G,$B791,실시간콜입력!$O:$O,"방문완료")+COUNTIFS(실시간콜입력!$B:$B,$A791,실시간콜입력!$E:$E,"A",실시간콜입력!$H:$H,$B791,실시간콜입력!$O:$O,"방문완료")</f>
        <v>0</v>
      </c>
      <c r="G791" s="29">
        <f>COUNTIFS(실시간콜입력!$B:$B,$A791,실시간콜입력!$E:$E,"B",실시간콜입력!$G:$G,$B791,실시간콜입력!$O:$O,"방문완료")+COUNTIFS(실시간콜입력!$B:$B,$A791,실시간콜입력!$E:$E,"B",실시간콜입력!$H:$H,$B791,실시간콜입력!$O:$O,"방문완료")</f>
        <v>0</v>
      </c>
      <c r="H791" s="29">
        <f>COUNTIFS(실시간콜입력!$B:$B,$A791,실시간콜입력!$E:$E,"C",실시간콜입력!$G:$G,$B791,실시간콜입력!$O:$O,"방문완료")+COUNTIFS(실시간콜입력!$B:$B,$A791,실시간콜입력!$E:$E,"C",실시간콜입력!$H:$H,$B791,실시간콜입력!$O:$O,"방문완료")</f>
        <v>0</v>
      </c>
      <c r="I791" s="29">
        <f>COUNTIFS(실시간콜입력!$B:$B,$A791,실시간콜입력!$E:$E,"D",실시간콜입력!$G:$G,$B791,실시간콜입력!$O:$O,"방문완료")+COUNTIFS(실시간콜입력!$B:$B,$A791,실시간콜입력!$E:$E,"D",실시간콜입력!$H:$H,$B791,실시간콜입력!$O:$O,"방문완료")</f>
        <v>0</v>
      </c>
      <c r="J791" s="29">
        <f>COUNTIFS(실시간콜입력!$B:$B,$A791,실시간콜입력!$E:$E,"E",실시간콜입력!$G:$G,$B791,실시간콜입력!$O:$O,"방문완료")+COUNTIFS(실시간콜입력!$B:$B,$A791,실시간콜입력!$E:$E,"E",실시간콜입력!$H:$H,$B791,실시간콜입력!$O:$O,"방문완료")</f>
        <v>0</v>
      </c>
      <c r="K791" s="29">
        <f t="shared" si="107"/>
        <v>0</v>
      </c>
      <c r="L791" s="27">
        <f>SUMIFS(실시간콜입력!$K:$K,실시간콜입력!$B:$B,$A791,실시간콜입력!$G:$G,$B791,실시간콜입력!$O:$O,"방문완료")+SUMIFS(실시간콜입력!$L:$L,실시간콜입력!$B:$B,$A791,실시간콜입력!$H:$H,$B791,실시간콜입력!$O:$O,"방문완료")</f>
        <v>0</v>
      </c>
      <c r="M791" s="29" t="str">
        <f t="shared" si="108"/>
        <v/>
      </c>
      <c r="N791" s="29"/>
    </row>
    <row r="792" spans="1:14" ht="19.5" hidden="1" customHeight="1" outlineLevel="1">
      <c r="A792" s="30">
        <f>IF(16&lt;=DAY(DATE(YEAR(설정_코스수당!$K$2),MONTH(설정_코스수당!$K$2)+1,0)),DATE(YEAR(설정_코스수당!$K$2),MONTH(설정_코스수당!$K$2),16),"")</f>
        <v>46189</v>
      </c>
      <c r="B792" s="29" t="s">
        <v>168</v>
      </c>
      <c r="C792" s="29"/>
      <c r="D792" s="29"/>
      <c r="E792" s="29" t="str">
        <f t="shared" si="106"/>
        <v/>
      </c>
      <c r="F792" s="29">
        <f>COUNTIFS(실시간콜입력!$B:$B,$A792,실시간콜입력!$E:$E,"A",실시간콜입력!$G:$G,$B792,실시간콜입력!$O:$O,"방문완료")+COUNTIFS(실시간콜입력!$B:$B,$A792,실시간콜입력!$E:$E,"A",실시간콜입력!$H:$H,$B792,실시간콜입력!$O:$O,"방문완료")</f>
        <v>0</v>
      </c>
      <c r="G792" s="29">
        <f>COUNTIFS(실시간콜입력!$B:$B,$A792,실시간콜입력!$E:$E,"B",실시간콜입력!$G:$G,$B792,실시간콜입력!$O:$O,"방문완료")+COUNTIFS(실시간콜입력!$B:$B,$A792,실시간콜입력!$E:$E,"B",실시간콜입력!$H:$H,$B792,실시간콜입력!$O:$O,"방문완료")</f>
        <v>0</v>
      </c>
      <c r="H792" s="29">
        <f>COUNTIFS(실시간콜입력!$B:$B,$A792,실시간콜입력!$E:$E,"C",실시간콜입력!$G:$G,$B792,실시간콜입력!$O:$O,"방문완료")+COUNTIFS(실시간콜입력!$B:$B,$A792,실시간콜입력!$E:$E,"C",실시간콜입력!$H:$H,$B792,실시간콜입력!$O:$O,"방문완료")</f>
        <v>0</v>
      </c>
      <c r="I792" s="29">
        <f>COUNTIFS(실시간콜입력!$B:$B,$A792,실시간콜입력!$E:$E,"D",실시간콜입력!$G:$G,$B792,실시간콜입력!$O:$O,"방문완료")+COUNTIFS(실시간콜입력!$B:$B,$A792,실시간콜입력!$E:$E,"D",실시간콜입력!$H:$H,$B792,실시간콜입력!$O:$O,"방문완료")</f>
        <v>0</v>
      </c>
      <c r="J792" s="29">
        <f>COUNTIFS(실시간콜입력!$B:$B,$A792,실시간콜입력!$E:$E,"E",실시간콜입력!$G:$G,$B792,실시간콜입력!$O:$O,"방문완료")+COUNTIFS(실시간콜입력!$B:$B,$A792,실시간콜입력!$E:$E,"E",실시간콜입력!$H:$H,$B792,실시간콜입력!$O:$O,"방문완료")</f>
        <v>0</v>
      </c>
      <c r="K792" s="29">
        <f t="shared" si="107"/>
        <v>0</v>
      </c>
      <c r="L792" s="33">
        <f>SUMIFS(실시간콜입력!$K:$K,실시간콜입력!$B:$B,$A792,실시간콜입력!$G:$G,$B792,실시간콜입력!$O:$O,"방문완료")+SUMIFS(실시간콜입력!$L:$L,실시간콜입력!$B:$B,$A792,실시간콜입력!$H:$H,$B792,실시간콜입력!$O:$O,"방문완료")</f>
        <v>0</v>
      </c>
      <c r="M792" s="29" t="str">
        <f t="shared" si="108"/>
        <v/>
      </c>
      <c r="N792" s="29"/>
    </row>
    <row r="793" spans="1:14" ht="19.5" hidden="1" customHeight="1" outlineLevel="1">
      <c r="A793" s="24">
        <f>IF(16&lt;=DAY(DATE(YEAR(설정_코스수당!$K$2),MONTH(설정_코스수당!$K$2)+1,0)),DATE(YEAR(설정_코스수당!$K$2),MONTH(설정_코스수당!$K$2),16),"")</f>
        <v>46189</v>
      </c>
      <c r="B793" s="23" t="s">
        <v>169</v>
      </c>
      <c r="C793" s="29"/>
      <c r="D793" s="29"/>
      <c r="E793" s="29" t="str">
        <f t="shared" si="106"/>
        <v/>
      </c>
      <c r="F793" s="29">
        <f>COUNTIFS(실시간콜입력!$B:$B,$A793,실시간콜입력!$E:$E,"A",실시간콜입력!$G:$G,$B793,실시간콜입력!$O:$O,"방문완료")+COUNTIFS(실시간콜입력!$B:$B,$A793,실시간콜입력!$E:$E,"A",실시간콜입력!$H:$H,$B793,실시간콜입력!$O:$O,"방문완료")</f>
        <v>0</v>
      </c>
      <c r="G793" s="29">
        <f>COUNTIFS(실시간콜입력!$B:$B,$A793,실시간콜입력!$E:$E,"B",실시간콜입력!$G:$G,$B793,실시간콜입력!$O:$O,"방문완료")+COUNTIFS(실시간콜입력!$B:$B,$A793,실시간콜입력!$E:$E,"B",실시간콜입력!$H:$H,$B793,실시간콜입력!$O:$O,"방문완료")</f>
        <v>0</v>
      </c>
      <c r="H793" s="29">
        <f>COUNTIFS(실시간콜입력!$B:$B,$A793,실시간콜입력!$E:$E,"C",실시간콜입력!$G:$G,$B793,실시간콜입력!$O:$O,"방문완료")+COUNTIFS(실시간콜입력!$B:$B,$A793,실시간콜입력!$E:$E,"C",실시간콜입력!$H:$H,$B793,실시간콜입력!$O:$O,"방문완료")</f>
        <v>0</v>
      </c>
      <c r="I793" s="29">
        <f>COUNTIFS(실시간콜입력!$B:$B,$A793,실시간콜입력!$E:$E,"D",실시간콜입력!$G:$G,$B793,실시간콜입력!$O:$O,"방문완료")+COUNTIFS(실시간콜입력!$B:$B,$A793,실시간콜입력!$E:$E,"D",실시간콜입력!$H:$H,$B793,실시간콜입력!$O:$O,"방문완료")</f>
        <v>0</v>
      </c>
      <c r="J793" s="29">
        <f>COUNTIFS(실시간콜입력!$B:$B,$A793,실시간콜입력!$E:$E,"E",실시간콜입력!$G:$G,$B793,실시간콜입력!$O:$O,"방문완료")+COUNTIFS(실시간콜입력!$B:$B,$A793,실시간콜입력!$E:$E,"E",실시간콜입력!$H:$H,$B793,실시간콜입력!$O:$O,"방문완료")</f>
        <v>0</v>
      </c>
      <c r="K793" s="29">
        <f t="shared" si="107"/>
        <v>0</v>
      </c>
      <c r="L793" s="27">
        <f>SUMIFS(실시간콜입력!$K:$K,실시간콜입력!$B:$B,$A793,실시간콜입력!$G:$G,$B793,실시간콜입력!$O:$O,"방문완료")+SUMIFS(실시간콜입력!$L:$L,실시간콜입력!$B:$B,$A793,실시간콜입력!$H:$H,$B793,실시간콜입력!$O:$O,"방문완료")</f>
        <v>0</v>
      </c>
      <c r="M793" s="29" t="str">
        <f t="shared" si="108"/>
        <v/>
      </c>
      <c r="N793" s="29"/>
    </row>
    <row r="794" spans="1:14" ht="19.5" hidden="1" customHeight="1" outlineLevel="1">
      <c r="A794" s="30">
        <f>IF(16&lt;=DAY(DATE(YEAR(설정_코스수당!$K$2),MONTH(설정_코스수당!$K$2)+1,0)),DATE(YEAR(설정_코스수당!$K$2),MONTH(설정_코스수당!$K$2),16),"")</f>
        <v>46189</v>
      </c>
      <c r="B794" s="29" t="s">
        <v>170</v>
      </c>
      <c r="C794" s="29"/>
      <c r="D794" s="29"/>
      <c r="E794" s="29" t="str">
        <f t="shared" si="106"/>
        <v/>
      </c>
      <c r="F794" s="29">
        <f>COUNTIFS(실시간콜입력!$B:$B,$A794,실시간콜입력!$E:$E,"A",실시간콜입력!$G:$G,$B794,실시간콜입력!$O:$O,"방문완료")+COUNTIFS(실시간콜입력!$B:$B,$A794,실시간콜입력!$E:$E,"A",실시간콜입력!$H:$H,$B794,실시간콜입력!$O:$O,"방문완료")</f>
        <v>0</v>
      </c>
      <c r="G794" s="29">
        <f>COUNTIFS(실시간콜입력!$B:$B,$A794,실시간콜입력!$E:$E,"B",실시간콜입력!$G:$G,$B794,실시간콜입력!$O:$O,"방문완료")+COUNTIFS(실시간콜입력!$B:$B,$A794,실시간콜입력!$E:$E,"B",실시간콜입력!$H:$H,$B794,실시간콜입력!$O:$O,"방문완료")</f>
        <v>0</v>
      </c>
      <c r="H794" s="29">
        <f>COUNTIFS(실시간콜입력!$B:$B,$A794,실시간콜입력!$E:$E,"C",실시간콜입력!$G:$G,$B794,실시간콜입력!$O:$O,"방문완료")+COUNTIFS(실시간콜입력!$B:$B,$A794,실시간콜입력!$E:$E,"C",실시간콜입력!$H:$H,$B794,실시간콜입력!$O:$O,"방문완료")</f>
        <v>0</v>
      </c>
      <c r="I794" s="29">
        <f>COUNTIFS(실시간콜입력!$B:$B,$A794,실시간콜입력!$E:$E,"D",실시간콜입력!$G:$G,$B794,실시간콜입력!$O:$O,"방문완료")+COUNTIFS(실시간콜입력!$B:$B,$A794,실시간콜입력!$E:$E,"D",실시간콜입력!$H:$H,$B794,실시간콜입력!$O:$O,"방문완료")</f>
        <v>0</v>
      </c>
      <c r="J794" s="29">
        <f>COUNTIFS(실시간콜입력!$B:$B,$A794,실시간콜입력!$E:$E,"E",실시간콜입력!$G:$G,$B794,실시간콜입력!$O:$O,"방문완료")+COUNTIFS(실시간콜입력!$B:$B,$A794,실시간콜입력!$E:$E,"E",실시간콜입력!$H:$H,$B794,실시간콜입력!$O:$O,"방문완료")</f>
        <v>0</v>
      </c>
      <c r="K794" s="29">
        <f t="shared" si="107"/>
        <v>0</v>
      </c>
      <c r="L794" s="33">
        <f>SUMIFS(실시간콜입력!$K:$K,실시간콜입력!$B:$B,$A794,실시간콜입력!$G:$G,$B794,실시간콜입력!$O:$O,"방문완료")+SUMIFS(실시간콜입력!$L:$L,실시간콜입력!$B:$B,$A794,실시간콜입력!$H:$H,$B794,실시간콜입력!$O:$O,"방문완료")</f>
        <v>0</v>
      </c>
      <c r="M794" s="29" t="str">
        <f t="shared" si="108"/>
        <v/>
      </c>
      <c r="N794" s="29"/>
    </row>
    <row r="795" spans="1:14" ht="19.5" hidden="1" customHeight="1" outlineLevel="1">
      <c r="A795" s="24">
        <f>IF(16&lt;=DAY(DATE(YEAR(설정_코스수당!$K$2),MONTH(설정_코스수당!$K$2)+1,0)),DATE(YEAR(설정_코스수당!$K$2),MONTH(설정_코스수당!$K$2),16),"")</f>
        <v>46189</v>
      </c>
      <c r="B795" s="23" t="s">
        <v>171</v>
      </c>
      <c r="C795" s="29"/>
      <c r="D795" s="29"/>
      <c r="E795" s="29" t="str">
        <f t="shared" si="106"/>
        <v/>
      </c>
      <c r="F795" s="29">
        <f>COUNTIFS(실시간콜입력!$B:$B,$A795,실시간콜입력!$E:$E,"A",실시간콜입력!$G:$G,$B795,실시간콜입력!$O:$O,"방문완료")+COUNTIFS(실시간콜입력!$B:$B,$A795,실시간콜입력!$E:$E,"A",실시간콜입력!$H:$H,$B795,실시간콜입력!$O:$O,"방문완료")</f>
        <v>0</v>
      </c>
      <c r="G795" s="29">
        <f>COUNTIFS(실시간콜입력!$B:$B,$A795,실시간콜입력!$E:$E,"B",실시간콜입력!$G:$G,$B795,실시간콜입력!$O:$O,"방문완료")+COUNTIFS(실시간콜입력!$B:$B,$A795,실시간콜입력!$E:$E,"B",실시간콜입력!$H:$H,$B795,실시간콜입력!$O:$O,"방문완료")</f>
        <v>0</v>
      </c>
      <c r="H795" s="29">
        <f>COUNTIFS(실시간콜입력!$B:$B,$A795,실시간콜입력!$E:$E,"C",실시간콜입력!$G:$G,$B795,실시간콜입력!$O:$O,"방문완료")+COUNTIFS(실시간콜입력!$B:$B,$A795,실시간콜입력!$E:$E,"C",실시간콜입력!$H:$H,$B795,실시간콜입력!$O:$O,"방문완료")</f>
        <v>0</v>
      </c>
      <c r="I795" s="29">
        <f>COUNTIFS(실시간콜입력!$B:$B,$A795,실시간콜입력!$E:$E,"D",실시간콜입력!$G:$G,$B795,실시간콜입력!$O:$O,"방문완료")+COUNTIFS(실시간콜입력!$B:$B,$A795,실시간콜입력!$E:$E,"D",실시간콜입력!$H:$H,$B795,실시간콜입력!$O:$O,"방문완료")</f>
        <v>0</v>
      </c>
      <c r="J795" s="29">
        <f>COUNTIFS(실시간콜입력!$B:$B,$A795,실시간콜입력!$E:$E,"E",실시간콜입력!$G:$G,$B795,실시간콜입력!$O:$O,"방문완료")+COUNTIFS(실시간콜입력!$B:$B,$A795,실시간콜입력!$E:$E,"E",실시간콜입력!$H:$H,$B795,실시간콜입력!$O:$O,"방문완료")</f>
        <v>0</v>
      </c>
      <c r="K795" s="29">
        <f t="shared" si="107"/>
        <v>0</v>
      </c>
      <c r="L795" s="27">
        <f>SUMIFS(실시간콜입력!$K:$K,실시간콜입력!$B:$B,$A795,실시간콜입력!$G:$G,$B795,실시간콜입력!$O:$O,"방문완료")+SUMIFS(실시간콜입력!$L:$L,실시간콜입력!$B:$B,$A795,실시간콜입력!$H:$H,$B795,실시간콜입력!$O:$O,"방문완료")</f>
        <v>0</v>
      </c>
      <c r="M795" s="29" t="str">
        <f t="shared" si="108"/>
        <v/>
      </c>
      <c r="N795" s="29"/>
    </row>
    <row r="796" spans="1:14" ht="19.5" hidden="1" customHeight="1" outlineLevel="1">
      <c r="A796" s="30">
        <f>IF(16&lt;=DAY(DATE(YEAR(설정_코스수당!$K$2),MONTH(설정_코스수당!$K$2)+1,0)),DATE(YEAR(설정_코스수당!$K$2),MONTH(설정_코스수당!$K$2),16),"")</f>
        <v>46189</v>
      </c>
      <c r="B796" s="29" t="s">
        <v>172</v>
      </c>
      <c r="C796" s="29"/>
      <c r="D796" s="29"/>
      <c r="E796" s="29" t="str">
        <f t="shared" si="106"/>
        <v/>
      </c>
      <c r="F796" s="29">
        <f>COUNTIFS(실시간콜입력!$B:$B,$A796,실시간콜입력!$E:$E,"A",실시간콜입력!$G:$G,$B796,실시간콜입력!$O:$O,"방문완료")+COUNTIFS(실시간콜입력!$B:$B,$A796,실시간콜입력!$E:$E,"A",실시간콜입력!$H:$H,$B796,실시간콜입력!$O:$O,"방문완료")</f>
        <v>0</v>
      </c>
      <c r="G796" s="29">
        <f>COUNTIFS(실시간콜입력!$B:$B,$A796,실시간콜입력!$E:$E,"B",실시간콜입력!$G:$G,$B796,실시간콜입력!$O:$O,"방문완료")+COUNTIFS(실시간콜입력!$B:$B,$A796,실시간콜입력!$E:$E,"B",실시간콜입력!$H:$H,$B796,실시간콜입력!$O:$O,"방문완료")</f>
        <v>0</v>
      </c>
      <c r="H796" s="29">
        <f>COUNTIFS(실시간콜입력!$B:$B,$A796,실시간콜입력!$E:$E,"C",실시간콜입력!$G:$G,$B796,실시간콜입력!$O:$O,"방문완료")+COUNTIFS(실시간콜입력!$B:$B,$A796,실시간콜입력!$E:$E,"C",실시간콜입력!$H:$H,$B796,실시간콜입력!$O:$O,"방문완료")</f>
        <v>0</v>
      </c>
      <c r="I796" s="29">
        <f>COUNTIFS(실시간콜입력!$B:$B,$A796,실시간콜입력!$E:$E,"D",실시간콜입력!$G:$G,$B796,실시간콜입력!$O:$O,"방문완료")+COUNTIFS(실시간콜입력!$B:$B,$A796,실시간콜입력!$E:$E,"D",실시간콜입력!$H:$H,$B796,실시간콜입력!$O:$O,"방문완료")</f>
        <v>0</v>
      </c>
      <c r="J796" s="29">
        <f>COUNTIFS(실시간콜입력!$B:$B,$A796,실시간콜입력!$E:$E,"E",실시간콜입력!$G:$G,$B796,실시간콜입력!$O:$O,"방문완료")+COUNTIFS(실시간콜입력!$B:$B,$A796,실시간콜입력!$E:$E,"E",실시간콜입력!$H:$H,$B796,실시간콜입력!$O:$O,"방문완료")</f>
        <v>0</v>
      </c>
      <c r="K796" s="29">
        <f t="shared" si="107"/>
        <v>0</v>
      </c>
      <c r="L796" s="33">
        <f>SUMIFS(실시간콜입력!$K:$K,실시간콜입력!$B:$B,$A796,실시간콜입력!$G:$G,$B796,실시간콜입력!$O:$O,"방문완료")+SUMIFS(실시간콜입력!$L:$L,실시간콜입력!$B:$B,$A796,실시간콜입력!$H:$H,$B796,실시간콜입력!$O:$O,"방문완료")</f>
        <v>0</v>
      </c>
      <c r="M796" s="29" t="str">
        <f t="shared" si="108"/>
        <v/>
      </c>
      <c r="N796" s="29"/>
    </row>
    <row r="797" spans="1:14" ht="19.5" hidden="1" customHeight="1" outlineLevel="1">
      <c r="A797" s="24">
        <f>IF(16&lt;=DAY(DATE(YEAR(설정_코스수당!$K$2),MONTH(설정_코스수당!$K$2)+1,0)),DATE(YEAR(설정_코스수당!$K$2),MONTH(설정_코스수당!$K$2),16),"")</f>
        <v>46189</v>
      </c>
      <c r="B797" s="23" t="s">
        <v>173</v>
      </c>
      <c r="C797" s="29"/>
      <c r="D797" s="29"/>
      <c r="E797" s="29" t="str">
        <f t="shared" si="106"/>
        <v/>
      </c>
      <c r="F797" s="29">
        <f>COUNTIFS(실시간콜입력!$B:$B,$A797,실시간콜입력!$E:$E,"A",실시간콜입력!$G:$G,$B797,실시간콜입력!$O:$O,"방문완료")+COUNTIFS(실시간콜입력!$B:$B,$A797,실시간콜입력!$E:$E,"A",실시간콜입력!$H:$H,$B797,실시간콜입력!$O:$O,"방문완료")</f>
        <v>0</v>
      </c>
      <c r="G797" s="29">
        <f>COUNTIFS(실시간콜입력!$B:$B,$A797,실시간콜입력!$E:$E,"B",실시간콜입력!$G:$G,$B797,실시간콜입력!$O:$O,"방문완료")+COUNTIFS(실시간콜입력!$B:$B,$A797,실시간콜입력!$E:$E,"B",실시간콜입력!$H:$H,$B797,실시간콜입력!$O:$O,"방문완료")</f>
        <v>0</v>
      </c>
      <c r="H797" s="29">
        <f>COUNTIFS(실시간콜입력!$B:$B,$A797,실시간콜입력!$E:$E,"C",실시간콜입력!$G:$G,$B797,실시간콜입력!$O:$O,"방문완료")+COUNTIFS(실시간콜입력!$B:$B,$A797,실시간콜입력!$E:$E,"C",실시간콜입력!$H:$H,$B797,실시간콜입력!$O:$O,"방문완료")</f>
        <v>0</v>
      </c>
      <c r="I797" s="29">
        <f>COUNTIFS(실시간콜입력!$B:$B,$A797,실시간콜입력!$E:$E,"D",실시간콜입력!$G:$G,$B797,실시간콜입력!$O:$O,"방문완료")+COUNTIFS(실시간콜입력!$B:$B,$A797,실시간콜입력!$E:$E,"D",실시간콜입력!$H:$H,$B797,실시간콜입력!$O:$O,"방문완료")</f>
        <v>0</v>
      </c>
      <c r="J797" s="29">
        <f>COUNTIFS(실시간콜입력!$B:$B,$A797,실시간콜입력!$E:$E,"E",실시간콜입력!$G:$G,$B797,실시간콜입력!$O:$O,"방문완료")+COUNTIFS(실시간콜입력!$B:$B,$A797,실시간콜입력!$E:$E,"E",실시간콜입력!$H:$H,$B797,실시간콜입력!$O:$O,"방문완료")</f>
        <v>0</v>
      </c>
      <c r="K797" s="29">
        <f t="shared" si="107"/>
        <v>0</v>
      </c>
      <c r="L797" s="27">
        <f>SUMIFS(실시간콜입력!$K:$K,실시간콜입력!$B:$B,$A797,실시간콜입력!$G:$G,$B797,실시간콜입력!$O:$O,"방문완료")+SUMIFS(실시간콜입력!$L:$L,실시간콜입력!$B:$B,$A797,실시간콜입력!$H:$H,$B797,실시간콜입력!$O:$O,"방문완료")</f>
        <v>0</v>
      </c>
      <c r="M797" s="29" t="str">
        <f t="shared" si="108"/>
        <v/>
      </c>
      <c r="N797" s="29"/>
    </row>
    <row r="798" spans="1:14" ht="19.5" hidden="1" customHeight="1" outlineLevel="1">
      <c r="A798" s="30">
        <f>IF(16&lt;=DAY(DATE(YEAR(설정_코스수당!$K$2),MONTH(설정_코스수당!$K$2)+1,0)),DATE(YEAR(설정_코스수당!$K$2),MONTH(설정_코스수당!$K$2),16),"")</f>
        <v>46189</v>
      </c>
      <c r="B798" s="29" t="s">
        <v>174</v>
      </c>
      <c r="C798" s="29"/>
      <c r="D798" s="29"/>
      <c r="E798" s="29" t="str">
        <f t="shared" si="106"/>
        <v/>
      </c>
      <c r="F798" s="29">
        <f>COUNTIFS(실시간콜입력!$B:$B,$A798,실시간콜입력!$E:$E,"A",실시간콜입력!$G:$G,$B798,실시간콜입력!$O:$O,"방문완료")+COUNTIFS(실시간콜입력!$B:$B,$A798,실시간콜입력!$E:$E,"A",실시간콜입력!$H:$H,$B798,실시간콜입력!$O:$O,"방문완료")</f>
        <v>0</v>
      </c>
      <c r="G798" s="29">
        <f>COUNTIFS(실시간콜입력!$B:$B,$A798,실시간콜입력!$E:$E,"B",실시간콜입력!$G:$G,$B798,실시간콜입력!$O:$O,"방문완료")+COUNTIFS(실시간콜입력!$B:$B,$A798,실시간콜입력!$E:$E,"B",실시간콜입력!$H:$H,$B798,실시간콜입력!$O:$O,"방문완료")</f>
        <v>0</v>
      </c>
      <c r="H798" s="29">
        <f>COUNTIFS(실시간콜입력!$B:$B,$A798,실시간콜입력!$E:$E,"C",실시간콜입력!$G:$G,$B798,실시간콜입력!$O:$O,"방문완료")+COUNTIFS(실시간콜입력!$B:$B,$A798,실시간콜입력!$E:$E,"C",실시간콜입력!$H:$H,$B798,실시간콜입력!$O:$O,"방문완료")</f>
        <v>0</v>
      </c>
      <c r="I798" s="29">
        <f>COUNTIFS(실시간콜입력!$B:$B,$A798,실시간콜입력!$E:$E,"D",실시간콜입력!$G:$G,$B798,실시간콜입력!$O:$O,"방문완료")+COUNTIFS(실시간콜입력!$B:$B,$A798,실시간콜입력!$E:$E,"D",실시간콜입력!$H:$H,$B798,실시간콜입력!$O:$O,"방문완료")</f>
        <v>0</v>
      </c>
      <c r="J798" s="29">
        <f>COUNTIFS(실시간콜입력!$B:$B,$A798,실시간콜입력!$E:$E,"E",실시간콜입력!$G:$G,$B798,실시간콜입력!$O:$O,"방문완료")+COUNTIFS(실시간콜입력!$B:$B,$A798,실시간콜입력!$E:$E,"E",실시간콜입력!$H:$H,$B798,실시간콜입력!$O:$O,"방문완료")</f>
        <v>0</v>
      </c>
      <c r="K798" s="29">
        <f t="shared" si="107"/>
        <v>0</v>
      </c>
      <c r="L798" s="33">
        <f>SUMIFS(실시간콜입력!$K:$K,실시간콜입력!$B:$B,$A798,실시간콜입력!$G:$G,$B798,실시간콜입력!$O:$O,"방문완료")+SUMIFS(실시간콜입력!$L:$L,실시간콜입력!$B:$B,$A798,실시간콜입력!$H:$H,$B798,실시간콜입력!$O:$O,"방문완료")</f>
        <v>0</v>
      </c>
      <c r="M798" s="29" t="str">
        <f t="shared" si="108"/>
        <v/>
      </c>
      <c r="N798" s="29"/>
    </row>
    <row r="799" spans="1:14" ht="19.5" hidden="1" customHeight="1" outlineLevel="1">
      <c r="A799" s="24">
        <f>IF(16&lt;=DAY(DATE(YEAR(설정_코스수당!$K$2),MONTH(설정_코스수당!$K$2)+1,0)),DATE(YEAR(설정_코스수당!$K$2),MONTH(설정_코스수당!$K$2),16),"")</f>
        <v>46189</v>
      </c>
      <c r="B799" s="23" t="s">
        <v>175</v>
      </c>
      <c r="C799" s="29"/>
      <c r="D799" s="29"/>
      <c r="E799" s="29" t="str">
        <f t="shared" si="106"/>
        <v/>
      </c>
      <c r="F799" s="29">
        <f>COUNTIFS(실시간콜입력!$B:$B,$A799,실시간콜입력!$E:$E,"A",실시간콜입력!$G:$G,$B799,실시간콜입력!$O:$O,"방문완료")+COUNTIFS(실시간콜입력!$B:$B,$A799,실시간콜입력!$E:$E,"A",실시간콜입력!$H:$H,$B799,실시간콜입력!$O:$O,"방문완료")</f>
        <v>0</v>
      </c>
      <c r="G799" s="29">
        <f>COUNTIFS(실시간콜입력!$B:$B,$A799,실시간콜입력!$E:$E,"B",실시간콜입력!$G:$G,$B799,실시간콜입력!$O:$O,"방문완료")+COUNTIFS(실시간콜입력!$B:$B,$A799,실시간콜입력!$E:$E,"B",실시간콜입력!$H:$H,$B799,실시간콜입력!$O:$O,"방문완료")</f>
        <v>0</v>
      </c>
      <c r="H799" s="29">
        <f>COUNTIFS(실시간콜입력!$B:$B,$A799,실시간콜입력!$E:$E,"C",실시간콜입력!$G:$G,$B799,실시간콜입력!$O:$O,"방문완료")+COUNTIFS(실시간콜입력!$B:$B,$A799,실시간콜입력!$E:$E,"C",실시간콜입력!$H:$H,$B799,실시간콜입력!$O:$O,"방문완료")</f>
        <v>0</v>
      </c>
      <c r="I799" s="29">
        <f>COUNTIFS(실시간콜입력!$B:$B,$A799,실시간콜입력!$E:$E,"D",실시간콜입력!$G:$G,$B799,실시간콜입력!$O:$O,"방문완료")+COUNTIFS(실시간콜입력!$B:$B,$A799,실시간콜입력!$E:$E,"D",실시간콜입력!$H:$H,$B799,실시간콜입력!$O:$O,"방문완료")</f>
        <v>0</v>
      </c>
      <c r="J799" s="29">
        <f>COUNTIFS(실시간콜입력!$B:$B,$A799,실시간콜입력!$E:$E,"E",실시간콜입력!$G:$G,$B799,실시간콜입력!$O:$O,"방문완료")+COUNTIFS(실시간콜입력!$B:$B,$A799,실시간콜입력!$E:$E,"E",실시간콜입력!$H:$H,$B799,실시간콜입력!$O:$O,"방문완료")</f>
        <v>0</v>
      </c>
      <c r="K799" s="29">
        <f t="shared" si="107"/>
        <v>0</v>
      </c>
      <c r="L799" s="27">
        <f>SUMIFS(실시간콜입력!$K:$K,실시간콜입력!$B:$B,$A799,실시간콜입력!$G:$G,$B799,실시간콜입력!$O:$O,"방문완료")+SUMIFS(실시간콜입력!$L:$L,실시간콜입력!$B:$B,$A799,실시간콜입력!$H:$H,$B799,실시간콜입력!$O:$O,"방문완료")</f>
        <v>0</v>
      </c>
      <c r="M799" s="29" t="str">
        <f t="shared" si="108"/>
        <v/>
      </c>
      <c r="N799" s="29"/>
    </row>
    <row r="800" spans="1:14" ht="19.5" hidden="1" customHeight="1" outlineLevel="1">
      <c r="A800" s="30">
        <f>IF(16&lt;=DAY(DATE(YEAR(설정_코스수당!$K$2),MONTH(설정_코스수당!$K$2)+1,0)),DATE(YEAR(설정_코스수당!$K$2),MONTH(설정_코스수당!$K$2),16),"")</f>
        <v>46189</v>
      </c>
      <c r="B800" s="29" t="s">
        <v>176</v>
      </c>
      <c r="C800" s="29"/>
      <c r="D800" s="29"/>
      <c r="E800" s="29" t="str">
        <f t="shared" si="106"/>
        <v/>
      </c>
      <c r="F800" s="29">
        <f>COUNTIFS(실시간콜입력!$B:$B,$A800,실시간콜입력!$E:$E,"A",실시간콜입력!$G:$G,$B800,실시간콜입력!$O:$O,"방문완료")+COUNTIFS(실시간콜입력!$B:$B,$A800,실시간콜입력!$E:$E,"A",실시간콜입력!$H:$H,$B800,실시간콜입력!$O:$O,"방문완료")</f>
        <v>0</v>
      </c>
      <c r="G800" s="29">
        <f>COUNTIFS(실시간콜입력!$B:$B,$A800,실시간콜입력!$E:$E,"B",실시간콜입력!$G:$G,$B800,실시간콜입력!$O:$O,"방문완료")+COUNTIFS(실시간콜입력!$B:$B,$A800,실시간콜입력!$E:$E,"B",실시간콜입력!$H:$H,$B800,실시간콜입력!$O:$O,"방문완료")</f>
        <v>0</v>
      </c>
      <c r="H800" s="29">
        <f>COUNTIFS(실시간콜입력!$B:$B,$A800,실시간콜입력!$E:$E,"C",실시간콜입력!$G:$G,$B800,실시간콜입력!$O:$O,"방문완료")+COUNTIFS(실시간콜입력!$B:$B,$A800,실시간콜입력!$E:$E,"C",실시간콜입력!$H:$H,$B800,실시간콜입력!$O:$O,"방문완료")</f>
        <v>0</v>
      </c>
      <c r="I800" s="29">
        <f>COUNTIFS(실시간콜입력!$B:$B,$A800,실시간콜입력!$E:$E,"D",실시간콜입력!$G:$G,$B800,실시간콜입력!$O:$O,"방문완료")+COUNTIFS(실시간콜입력!$B:$B,$A800,실시간콜입력!$E:$E,"D",실시간콜입력!$H:$H,$B800,실시간콜입력!$O:$O,"방문완료")</f>
        <v>0</v>
      </c>
      <c r="J800" s="29">
        <f>COUNTIFS(실시간콜입력!$B:$B,$A800,실시간콜입력!$E:$E,"E",실시간콜입력!$G:$G,$B800,실시간콜입력!$O:$O,"방문완료")+COUNTIFS(실시간콜입력!$B:$B,$A800,실시간콜입력!$E:$E,"E",실시간콜입력!$H:$H,$B800,실시간콜입력!$O:$O,"방문완료")</f>
        <v>0</v>
      </c>
      <c r="K800" s="29">
        <f t="shared" si="107"/>
        <v>0</v>
      </c>
      <c r="L800" s="33">
        <f>SUMIFS(실시간콜입력!$K:$K,실시간콜입력!$B:$B,$A800,실시간콜입력!$G:$G,$B800,실시간콜입력!$O:$O,"방문완료")+SUMIFS(실시간콜입력!$L:$L,실시간콜입력!$B:$B,$A800,실시간콜입력!$H:$H,$B800,실시간콜입력!$O:$O,"방문완료")</f>
        <v>0</v>
      </c>
      <c r="M800" s="29" t="str">
        <f t="shared" si="108"/>
        <v/>
      </c>
      <c r="N800" s="29"/>
    </row>
    <row r="801" spans="1:14" ht="19.5" hidden="1" customHeight="1" outlineLevel="1">
      <c r="A801" s="24">
        <f>IF(16&lt;=DAY(DATE(YEAR(설정_코스수당!$K$2),MONTH(설정_코스수당!$K$2)+1,0)),DATE(YEAR(설정_코스수당!$K$2),MONTH(설정_코스수당!$K$2),16),"")</f>
        <v>46189</v>
      </c>
      <c r="B801" s="23" t="s">
        <v>177</v>
      </c>
      <c r="C801" s="29"/>
      <c r="D801" s="29"/>
      <c r="E801" s="29" t="str">
        <f t="shared" si="106"/>
        <v/>
      </c>
      <c r="F801" s="29">
        <f>COUNTIFS(실시간콜입력!$B:$B,$A801,실시간콜입력!$E:$E,"A",실시간콜입력!$G:$G,$B801,실시간콜입력!$O:$O,"방문완료")+COUNTIFS(실시간콜입력!$B:$B,$A801,실시간콜입력!$E:$E,"A",실시간콜입력!$H:$H,$B801,실시간콜입력!$O:$O,"방문완료")</f>
        <v>0</v>
      </c>
      <c r="G801" s="29">
        <f>COUNTIFS(실시간콜입력!$B:$B,$A801,실시간콜입력!$E:$E,"B",실시간콜입력!$G:$G,$B801,실시간콜입력!$O:$O,"방문완료")+COUNTIFS(실시간콜입력!$B:$B,$A801,실시간콜입력!$E:$E,"B",실시간콜입력!$H:$H,$B801,실시간콜입력!$O:$O,"방문완료")</f>
        <v>0</v>
      </c>
      <c r="H801" s="29">
        <f>COUNTIFS(실시간콜입력!$B:$B,$A801,실시간콜입력!$E:$E,"C",실시간콜입력!$G:$G,$B801,실시간콜입력!$O:$O,"방문완료")+COUNTIFS(실시간콜입력!$B:$B,$A801,실시간콜입력!$E:$E,"C",실시간콜입력!$H:$H,$B801,실시간콜입력!$O:$O,"방문완료")</f>
        <v>0</v>
      </c>
      <c r="I801" s="29">
        <f>COUNTIFS(실시간콜입력!$B:$B,$A801,실시간콜입력!$E:$E,"D",실시간콜입력!$G:$G,$B801,실시간콜입력!$O:$O,"방문완료")+COUNTIFS(실시간콜입력!$B:$B,$A801,실시간콜입력!$E:$E,"D",실시간콜입력!$H:$H,$B801,실시간콜입력!$O:$O,"방문완료")</f>
        <v>0</v>
      </c>
      <c r="J801" s="29">
        <f>COUNTIFS(실시간콜입력!$B:$B,$A801,실시간콜입력!$E:$E,"E",실시간콜입력!$G:$G,$B801,실시간콜입력!$O:$O,"방문완료")+COUNTIFS(실시간콜입력!$B:$B,$A801,실시간콜입력!$E:$E,"E",실시간콜입력!$H:$H,$B801,실시간콜입력!$O:$O,"방문완료")</f>
        <v>0</v>
      </c>
      <c r="K801" s="29">
        <f t="shared" si="107"/>
        <v>0</v>
      </c>
      <c r="L801" s="27">
        <f>SUMIFS(실시간콜입력!$K:$K,실시간콜입력!$B:$B,$A801,실시간콜입력!$G:$G,$B801,실시간콜입력!$O:$O,"방문완료")+SUMIFS(실시간콜입력!$L:$L,실시간콜입력!$B:$B,$A801,실시간콜입력!$H:$H,$B801,실시간콜입력!$O:$O,"방문완료")</f>
        <v>0</v>
      </c>
      <c r="M801" s="29" t="str">
        <f t="shared" si="108"/>
        <v/>
      </c>
      <c r="N801" s="29"/>
    </row>
    <row r="802" spans="1:14" ht="19.5" hidden="1" customHeight="1" outlineLevel="1">
      <c r="A802" s="30">
        <f>IF(16&lt;=DAY(DATE(YEAR(설정_코스수당!$K$2),MONTH(설정_코스수당!$K$2)+1,0)),DATE(YEAR(설정_코스수당!$K$2),MONTH(설정_코스수당!$K$2),16),"")</f>
        <v>46189</v>
      </c>
      <c r="B802" s="29" t="s">
        <v>178</v>
      </c>
      <c r="C802" s="29"/>
      <c r="D802" s="29"/>
      <c r="E802" s="29" t="str">
        <f t="shared" si="106"/>
        <v/>
      </c>
      <c r="F802" s="29">
        <f>COUNTIFS(실시간콜입력!$B:$B,$A802,실시간콜입력!$E:$E,"A",실시간콜입력!$G:$G,$B802,실시간콜입력!$O:$O,"방문완료")+COUNTIFS(실시간콜입력!$B:$B,$A802,실시간콜입력!$E:$E,"A",실시간콜입력!$H:$H,$B802,실시간콜입력!$O:$O,"방문완료")</f>
        <v>0</v>
      </c>
      <c r="G802" s="29">
        <f>COUNTIFS(실시간콜입력!$B:$B,$A802,실시간콜입력!$E:$E,"B",실시간콜입력!$G:$G,$B802,실시간콜입력!$O:$O,"방문완료")+COUNTIFS(실시간콜입력!$B:$B,$A802,실시간콜입력!$E:$E,"B",실시간콜입력!$H:$H,$B802,실시간콜입력!$O:$O,"방문완료")</f>
        <v>0</v>
      </c>
      <c r="H802" s="29">
        <f>COUNTIFS(실시간콜입력!$B:$B,$A802,실시간콜입력!$E:$E,"C",실시간콜입력!$G:$G,$B802,실시간콜입력!$O:$O,"방문완료")+COUNTIFS(실시간콜입력!$B:$B,$A802,실시간콜입력!$E:$E,"C",실시간콜입력!$H:$H,$B802,실시간콜입력!$O:$O,"방문완료")</f>
        <v>0</v>
      </c>
      <c r="I802" s="29">
        <f>COUNTIFS(실시간콜입력!$B:$B,$A802,실시간콜입력!$E:$E,"D",실시간콜입력!$G:$G,$B802,실시간콜입력!$O:$O,"방문완료")+COUNTIFS(실시간콜입력!$B:$B,$A802,실시간콜입력!$E:$E,"D",실시간콜입력!$H:$H,$B802,실시간콜입력!$O:$O,"방문완료")</f>
        <v>0</v>
      </c>
      <c r="J802" s="29">
        <f>COUNTIFS(실시간콜입력!$B:$B,$A802,실시간콜입력!$E:$E,"E",실시간콜입력!$G:$G,$B802,실시간콜입력!$O:$O,"방문완료")+COUNTIFS(실시간콜입력!$B:$B,$A802,실시간콜입력!$E:$E,"E",실시간콜입력!$H:$H,$B802,실시간콜입력!$O:$O,"방문완료")</f>
        <v>0</v>
      </c>
      <c r="K802" s="29">
        <f t="shared" si="107"/>
        <v>0</v>
      </c>
      <c r="L802" s="33">
        <f>SUMIFS(실시간콜입력!$K:$K,실시간콜입력!$B:$B,$A802,실시간콜입력!$G:$G,$B802,실시간콜입력!$O:$O,"방문완료")+SUMIFS(실시간콜입력!$L:$L,실시간콜입력!$B:$B,$A802,실시간콜입력!$H:$H,$B802,실시간콜입력!$O:$O,"방문완료")</f>
        <v>0</v>
      </c>
      <c r="M802" s="29" t="str">
        <f t="shared" si="108"/>
        <v/>
      </c>
      <c r="N802" s="29"/>
    </row>
    <row r="803" spans="1:14" ht="19.5" hidden="1" customHeight="1" outlineLevel="1">
      <c r="A803" s="24">
        <f>IF(16&lt;=DAY(DATE(YEAR(설정_코스수당!$K$2),MONTH(설정_코스수당!$K$2)+1,0)),DATE(YEAR(설정_코스수당!$K$2),MONTH(설정_코스수당!$K$2),16),"")</f>
        <v>46189</v>
      </c>
      <c r="B803" s="23" t="s">
        <v>179</v>
      </c>
      <c r="C803" s="29"/>
      <c r="D803" s="29"/>
      <c r="E803" s="29" t="str">
        <f t="shared" si="106"/>
        <v/>
      </c>
      <c r="F803" s="29">
        <f>COUNTIFS(실시간콜입력!$B:$B,$A803,실시간콜입력!$E:$E,"A",실시간콜입력!$G:$G,$B803,실시간콜입력!$O:$O,"방문완료")+COUNTIFS(실시간콜입력!$B:$B,$A803,실시간콜입력!$E:$E,"A",실시간콜입력!$H:$H,$B803,실시간콜입력!$O:$O,"방문완료")</f>
        <v>0</v>
      </c>
      <c r="G803" s="29">
        <f>COUNTIFS(실시간콜입력!$B:$B,$A803,실시간콜입력!$E:$E,"B",실시간콜입력!$G:$G,$B803,실시간콜입력!$O:$O,"방문완료")+COUNTIFS(실시간콜입력!$B:$B,$A803,실시간콜입력!$E:$E,"B",실시간콜입력!$H:$H,$B803,실시간콜입력!$O:$O,"방문완료")</f>
        <v>0</v>
      </c>
      <c r="H803" s="29">
        <f>COUNTIFS(실시간콜입력!$B:$B,$A803,실시간콜입력!$E:$E,"C",실시간콜입력!$G:$G,$B803,실시간콜입력!$O:$O,"방문완료")+COUNTIFS(실시간콜입력!$B:$B,$A803,실시간콜입력!$E:$E,"C",실시간콜입력!$H:$H,$B803,실시간콜입력!$O:$O,"방문완료")</f>
        <v>0</v>
      </c>
      <c r="I803" s="29">
        <f>COUNTIFS(실시간콜입력!$B:$B,$A803,실시간콜입력!$E:$E,"D",실시간콜입력!$G:$G,$B803,실시간콜입력!$O:$O,"방문완료")+COUNTIFS(실시간콜입력!$B:$B,$A803,실시간콜입력!$E:$E,"D",실시간콜입력!$H:$H,$B803,실시간콜입력!$O:$O,"방문완료")</f>
        <v>0</v>
      </c>
      <c r="J803" s="29">
        <f>COUNTIFS(실시간콜입력!$B:$B,$A803,실시간콜입력!$E:$E,"E",실시간콜입력!$G:$G,$B803,실시간콜입력!$O:$O,"방문완료")+COUNTIFS(실시간콜입력!$B:$B,$A803,실시간콜입력!$E:$E,"E",실시간콜입력!$H:$H,$B803,실시간콜입력!$O:$O,"방문완료")</f>
        <v>0</v>
      </c>
      <c r="K803" s="29">
        <f t="shared" si="107"/>
        <v>0</v>
      </c>
      <c r="L803" s="27">
        <f>SUMIFS(실시간콜입력!$K:$K,실시간콜입력!$B:$B,$A803,실시간콜입력!$G:$G,$B803,실시간콜입력!$O:$O,"방문완료")+SUMIFS(실시간콜입력!$L:$L,실시간콜입력!$B:$B,$A803,실시간콜입력!$H:$H,$B803,실시간콜입력!$O:$O,"방문완료")</f>
        <v>0</v>
      </c>
      <c r="M803" s="29" t="str">
        <f t="shared" si="108"/>
        <v/>
      </c>
      <c r="N803" s="29"/>
    </row>
    <row r="804" spans="1:14" ht="19.5" hidden="1" customHeight="1" outlineLevel="1">
      <c r="A804" s="30">
        <f>IF(16&lt;=DAY(DATE(YEAR(설정_코스수당!$K$2),MONTH(설정_코스수당!$K$2)+1,0)),DATE(YEAR(설정_코스수당!$K$2),MONTH(설정_코스수당!$K$2),16),"")</f>
        <v>46189</v>
      </c>
      <c r="B804" s="29" t="s">
        <v>180</v>
      </c>
      <c r="C804" s="29"/>
      <c r="D804" s="29"/>
      <c r="E804" s="29" t="str">
        <f t="shared" si="106"/>
        <v/>
      </c>
      <c r="F804" s="29">
        <f>COUNTIFS(실시간콜입력!$B:$B,$A804,실시간콜입력!$E:$E,"A",실시간콜입력!$G:$G,$B804,실시간콜입력!$O:$O,"방문완료")+COUNTIFS(실시간콜입력!$B:$B,$A804,실시간콜입력!$E:$E,"A",실시간콜입력!$H:$H,$B804,실시간콜입력!$O:$O,"방문완료")</f>
        <v>0</v>
      </c>
      <c r="G804" s="29">
        <f>COUNTIFS(실시간콜입력!$B:$B,$A804,실시간콜입력!$E:$E,"B",실시간콜입력!$G:$G,$B804,실시간콜입력!$O:$O,"방문완료")+COUNTIFS(실시간콜입력!$B:$B,$A804,실시간콜입력!$E:$E,"B",실시간콜입력!$H:$H,$B804,실시간콜입력!$O:$O,"방문완료")</f>
        <v>0</v>
      </c>
      <c r="H804" s="29">
        <f>COUNTIFS(실시간콜입력!$B:$B,$A804,실시간콜입력!$E:$E,"C",실시간콜입력!$G:$G,$B804,실시간콜입력!$O:$O,"방문완료")+COUNTIFS(실시간콜입력!$B:$B,$A804,실시간콜입력!$E:$E,"C",실시간콜입력!$H:$H,$B804,실시간콜입력!$O:$O,"방문완료")</f>
        <v>0</v>
      </c>
      <c r="I804" s="29">
        <f>COUNTIFS(실시간콜입력!$B:$B,$A804,실시간콜입력!$E:$E,"D",실시간콜입력!$G:$G,$B804,실시간콜입력!$O:$O,"방문완료")+COUNTIFS(실시간콜입력!$B:$B,$A804,실시간콜입력!$E:$E,"D",실시간콜입력!$H:$H,$B804,실시간콜입력!$O:$O,"방문완료")</f>
        <v>0</v>
      </c>
      <c r="J804" s="29">
        <f>COUNTIFS(실시간콜입력!$B:$B,$A804,실시간콜입력!$E:$E,"E",실시간콜입력!$G:$G,$B804,실시간콜입력!$O:$O,"방문완료")+COUNTIFS(실시간콜입력!$B:$B,$A804,실시간콜입력!$E:$E,"E",실시간콜입력!$H:$H,$B804,실시간콜입력!$O:$O,"방문완료")</f>
        <v>0</v>
      </c>
      <c r="K804" s="29">
        <f t="shared" si="107"/>
        <v>0</v>
      </c>
      <c r="L804" s="33">
        <f>SUMIFS(실시간콜입력!$K:$K,실시간콜입력!$B:$B,$A804,실시간콜입력!$G:$G,$B804,실시간콜입력!$O:$O,"방문완료")+SUMIFS(실시간콜입력!$L:$L,실시간콜입력!$B:$B,$A804,실시간콜입력!$H:$H,$B804,실시간콜입력!$O:$O,"방문완료")</f>
        <v>0</v>
      </c>
      <c r="M804" s="29" t="str">
        <f t="shared" si="108"/>
        <v/>
      </c>
      <c r="N804" s="29"/>
    </row>
    <row r="805" spans="1:14" ht="19.5" hidden="1" customHeight="1" outlineLevel="1">
      <c r="A805" s="24">
        <f>IF(16&lt;=DAY(DATE(YEAR(설정_코스수당!$K$2),MONTH(설정_코스수당!$K$2)+1,0)),DATE(YEAR(설정_코스수당!$K$2),MONTH(설정_코스수당!$K$2),16),"")</f>
        <v>46189</v>
      </c>
      <c r="B805" s="23" t="s">
        <v>181</v>
      </c>
      <c r="C805" s="29"/>
      <c r="D805" s="29"/>
      <c r="E805" s="29" t="str">
        <f t="shared" si="106"/>
        <v/>
      </c>
      <c r="F805" s="29">
        <f>COUNTIFS(실시간콜입력!$B:$B,$A805,실시간콜입력!$E:$E,"A",실시간콜입력!$G:$G,$B805,실시간콜입력!$O:$O,"방문완료")+COUNTIFS(실시간콜입력!$B:$B,$A805,실시간콜입력!$E:$E,"A",실시간콜입력!$H:$H,$B805,실시간콜입력!$O:$O,"방문완료")</f>
        <v>0</v>
      </c>
      <c r="G805" s="29">
        <f>COUNTIFS(실시간콜입력!$B:$B,$A805,실시간콜입력!$E:$E,"B",실시간콜입력!$G:$G,$B805,실시간콜입력!$O:$O,"방문완료")+COUNTIFS(실시간콜입력!$B:$B,$A805,실시간콜입력!$E:$E,"B",실시간콜입력!$H:$H,$B805,실시간콜입력!$O:$O,"방문완료")</f>
        <v>0</v>
      </c>
      <c r="H805" s="29">
        <f>COUNTIFS(실시간콜입력!$B:$B,$A805,실시간콜입력!$E:$E,"C",실시간콜입력!$G:$G,$B805,실시간콜입력!$O:$O,"방문완료")+COUNTIFS(실시간콜입력!$B:$B,$A805,실시간콜입력!$E:$E,"C",실시간콜입력!$H:$H,$B805,실시간콜입력!$O:$O,"방문완료")</f>
        <v>0</v>
      </c>
      <c r="I805" s="29">
        <f>COUNTIFS(실시간콜입력!$B:$B,$A805,실시간콜입력!$E:$E,"D",실시간콜입력!$G:$G,$B805,실시간콜입력!$O:$O,"방문완료")+COUNTIFS(실시간콜입력!$B:$B,$A805,실시간콜입력!$E:$E,"D",실시간콜입력!$H:$H,$B805,실시간콜입력!$O:$O,"방문완료")</f>
        <v>0</v>
      </c>
      <c r="J805" s="29">
        <f>COUNTIFS(실시간콜입력!$B:$B,$A805,실시간콜입력!$E:$E,"E",실시간콜입력!$G:$G,$B805,실시간콜입력!$O:$O,"방문완료")+COUNTIFS(실시간콜입력!$B:$B,$A805,실시간콜입력!$E:$E,"E",실시간콜입력!$H:$H,$B805,실시간콜입력!$O:$O,"방문완료")</f>
        <v>0</v>
      </c>
      <c r="K805" s="29">
        <f t="shared" si="107"/>
        <v>0</v>
      </c>
      <c r="L805" s="27">
        <f>SUMIFS(실시간콜입력!$K:$K,실시간콜입력!$B:$B,$A805,실시간콜입력!$G:$G,$B805,실시간콜입력!$O:$O,"방문완료")+SUMIFS(실시간콜입력!$L:$L,실시간콜입력!$B:$B,$A805,실시간콜입력!$H:$H,$B805,실시간콜입력!$O:$O,"방문완료")</f>
        <v>0</v>
      </c>
      <c r="M805" s="29" t="str">
        <f t="shared" si="108"/>
        <v/>
      </c>
      <c r="N805" s="29"/>
    </row>
    <row r="806" spans="1:14" ht="19.5" hidden="1" customHeight="1" outlineLevel="1">
      <c r="A806" s="30">
        <f>IF(16&lt;=DAY(DATE(YEAR(설정_코스수당!$K$2),MONTH(설정_코스수당!$K$2)+1,0)),DATE(YEAR(설정_코스수당!$K$2),MONTH(설정_코스수당!$K$2),16),"")</f>
        <v>46189</v>
      </c>
      <c r="B806" s="29" t="s">
        <v>182</v>
      </c>
      <c r="C806" s="29"/>
      <c r="D806" s="29"/>
      <c r="E806" s="29" t="str">
        <f t="shared" si="106"/>
        <v/>
      </c>
      <c r="F806" s="29">
        <f>COUNTIFS(실시간콜입력!$B:$B,$A806,실시간콜입력!$E:$E,"A",실시간콜입력!$G:$G,$B806,실시간콜입력!$O:$O,"방문완료")+COUNTIFS(실시간콜입력!$B:$B,$A806,실시간콜입력!$E:$E,"A",실시간콜입력!$H:$H,$B806,실시간콜입력!$O:$O,"방문완료")</f>
        <v>0</v>
      </c>
      <c r="G806" s="29">
        <f>COUNTIFS(실시간콜입력!$B:$B,$A806,실시간콜입력!$E:$E,"B",실시간콜입력!$G:$G,$B806,실시간콜입력!$O:$O,"방문완료")+COUNTIFS(실시간콜입력!$B:$B,$A806,실시간콜입력!$E:$E,"B",실시간콜입력!$H:$H,$B806,실시간콜입력!$O:$O,"방문완료")</f>
        <v>0</v>
      </c>
      <c r="H806" s="29">
        <f>COUNTIFS(실시간콜입력!$B:$B,$A806,실시간콜입력!$E:$E,"C",실시간콜입력!$G:$G,$B806,실시간콜입력!$O:$O,"방문완료")+COUNTIFS(실시간콜입력!$B:$B,$A806,실시간콜입력!$E:$E,"C",실시간콜입력!$H:$H,$B806,실시간콜입력!$O:$O,"방문완료")</f>
        <v>0</v>
      </c>
      <c r="I806" s="29">
        <f>COUNTIFS(실시간콜입력!$B:$B,$A806,실시간콜입력!$E:$E,"D",실시간콜입력!$G:$G,$B806,실시간콜입력!$O:$O,"방문완료")+COUNTIFS(실시간콜입력!$B:$B,$A806,실시간콜입력!$E:$E,"D",실시간콜입력!$H:$H,$B806,실시간콜입력!$O:$O,"방문완료")</f>
        <v>0</v>
      </c>
      <c r="J806" s="29">
        <f>COUNTIFS(실시간콜입력!$B:$B,$A806,실시간콜입력!$E:$E,"E",실시간콜입력!$G:$G,$B806,실시간콜입력!$O:$O,"방문완료")+COUNTIFS(실시간콜입력!$B:$B,$A806,실시간콜입력!$E:$E,"E",실시간콜입력!$H:$H,$B806,실시간콜입력!$O:$O,"방문완료")</f>
        <v>0</v>
      </c>
      <c r="K806" s="29">
        <f t="shared" si="107"/>
        <v>0</v>
      </c>
      <c r="L806" s="33">
        <f>SUMIFS(실시간콜입력!$K:$K,실시간콜입력!$B:$B,$A806,실시간콜입력!$G:$G,$B806,실시간콜입력!$O:$O,"방문완료")+SUMIFS(실시간콜입력!$L:$L,실시간콜입력!$B:$B,$A806,실시간콜입력!$H:$H,$B806,실시간콜입력!$O:$O,"방문완료")</f>
        <v>0</v>
      </c>
      <c r="M806" s="29" t="str">
        <f t="shared" si="108"/>
        <v/>
      </c>
      <c r="N806" s="29"/>
    </row>
    <row r="807" spans="1:14" ht="19.5" hidden="1" customHeight="1" outlineLevel="1">
      <c r="A807" s="24">
        <f>IF(16&lt;=DAY(DATE(YEAR(설정_코스수당!$K$2),MONTH(설정_코스수당!$K$2)+1,0)),DATE(YEAR(설정_코스수당!$K$2),MONTH(설정_코스수당!$K$2),16),"")</f>
        <v>46189</v>
      </c>
      <c r="B807" s="23" t="s">
        <v>183</v>
      </c>
      <c r="C807" s="29"/>
      <c r="D807" s="29"/>
      <c r="E807" s="29" t="str">
        <f t="shared" si="106"/>
        <v/>
      </c>
      <c r="F807" s="29">
        <f>COUNTIFS(실시간콜입력!$B:$B,$A807,실시간콜입력!$E:$E,"A",실시간콜입력!$G:$G,$B807,실시간콜입력!$O:$O,"방문완료")+COUNTIFS(실시간콜입력!$B:$B,$A807,실시간콜입력!$E:$E,"A",실시간콜입력!$H:$H,$B807,실시간콜입력!$O:$O,"방문완료")</f>
        <v>0</v>
      </c>
      <c r="G807" s="29">
        <f>COUNTIFS(실시간콜입력!$B:$B,$A807,실시간콜입력!$E:$E,"B",실시간콜입력!$G:$G,$B807,실시간콜입력!$O:$O,"방문완료")+COUNTIFS(실시간콜입력!$B:$B,$A807,실시간콜입력!$E:$E,"B",실시간콜입력!$H:$H,$B807,실시간콜입력!$O:$O,"방문완료")</f>
        <v>0</v>
      </c>
      <c r="H807" s="29">
        <f>COUNTIFS(실시간콜입력!$B:$B,$A807,실시간콜입력!$E:$E,"C",실시간콜입력!$G:$G,$B807,실시간콜입력!$O:$O,"방문완료")+COUNTIFS(실시간콜입력!$B:$B,$A807,실시간콜입력!$E:$E,"C",실시간콜입력!$H:$H,$B807,실시간콜입력!$O:$O,"방문완료")</f>
        <v>0</v>
      </c>
      <c r="I807" s="29">
        <f>COUNTIFS(실시간콜입력!$B:$B,$A807,실시간콜입력!$E:$E,"D",실시간콜입력!$G:$G,$B807,실시간콜입력!$O:$O,"방문완료")+COUNTIFS(실시간콜입력!$B:$B,$A807,실시간콜입력!$E:$E,"D",실시간콜입력!$H:$H,$B807,실시간콜입력!$O:$O,"방문완료")</f>
        <v>0</v>
      </c>
      <c r="J807" s="29">
        <f>COUNTIFS(실시간콜입력!$B:$B,$A807,실시간콜입력!$E:$E,"E",실시간콜입력!$G:$G,$B807,실시간콜입력!$O:$O,"방문완료")+COUNTIFS(실시간콜입력!$B:$B,$A807,실시간콜입력!$E:$E,"E",실시간콜입력!$H:$H,$B807,실시간콜입력!$O:$O,"방문완료")</f>
        <v>0</v>
      </c>
      <c r="K807" s="29">
        <f t="shared" si="107"/>
        <v>0</v>
      </c>
      <c r="L807" s="27">
        <f>SUMIFS(실시간콜입력!$K:$K,실시간콜입력!$B:$B,$A807,실시간콜입력!$G:$G,$B807,실시간콜입력!$O:$O,"방문완료")+SUMIFS(실시간콜입력!$L:$L,실시간콜입력!$B:$B,$A807,실시간콜입력!$H:$H,$B807,실시간콜입력!$O:$O,"방문완료")</f>
        <v>0</v>
      </c>
      <c r="M807" s="29" t="str">
        <f t="shared" si="108"/>
        <v/>
      </c>
      <c r="N807" s="29"/>
    </row>
    <row r="808" spans="1:14" ht="19.5" hidden="1" customHeight="1" outlineLevel="1">
      <c r="A808" s="30">
        <f>IF(16&lt;=DAY(DATE(YEAR(설정_코스수당!$K$2),MONTH(설정_코스수당!$K$2)+1,0)),DATE(YEAR(설정_코스수당!$K$2),MONTH(설정_코스수당!$K$2),16),"")</f>
        <v>46189</v>
      </c>
      <c r="B808" s="29" t="s">
        <v>184</v>
      </c>
      <c r="C808" s="29"/>
      <c r="D808" s="29"/>
      <c r="E808" s="29" t="str">
        <f t="shared" si="106"/>
        <v/>
      </c>
      <c r="F808" s="29">
        <f>COUNTIFS(실시간콜입력!$B:$B,$A808,실시간콜입력!$E:$E,"A",실시간콜입력!$G:$G,$B808,실시간콜입력!$O:$O,"방문완료")+COUNTIFS(실시간콜입력!$B:$B,$A808,실시간콜입력!$E:$E,"A",실시간콜입력!$H:$H,$B808,실시간콜입력!$O:$O,"방문완료")</f>
        <v>0</v>
      </c>
      <c r="G808" s="29">
        <f>COUNTIFS(실시간콜입력!$B:$B,$A808,실시간콜입력!$E:$E,"B",실시간콜입력!$G:$G,$B808,실시간콜입력!$O:$O,"방문완료")+COUNTIFS(실시간콜입력!$B:$B,$A808,실시간콜입력!$E:$E,"B",실시간콜입력!$H:$H,$B808,실시간콜입력!$O:$O,"방문완료")</f>
        <v>0</v>
      </c>
      <c r="H808" s="29">
        <f>COUNTIFS(실시간콜입력!$B:$B,$A808,실시간콜입력!$E:$E,"C",실시간콜입력!$G:$G,$B808,실시간콜입력!$O:$O,"방문완료")+COUNTIFS(실시간콜입력!$B:$B,$A808,실시간콜입력!$E:$E,"C",실시간콜입력!$H:$H,$B808,실시간콜입력!$O:$O,"방문완료")</f>
        <v>0</v>
      </c>
      <c r="I808" s="29">
        <f>COUNTIFS(실시간콜입력!$B:$B,$A808,실시간콜입력!$E:$E,"D",실시간콜입력!$G:$G,$B808,실시간콜입력!$O:$O,"방문완료")+COUNTIFS(실시간콜입력!$B:$B,$A808,실시간콜입력!$E:$E,"D",실시간콜입력!$H:$H,$B808,실시간콜입력!$O:$O,"방문완료")</f>
        <v>0</v>
      </c>
      <c r="J808" s="29">
        <f>COUNTIFS(실시간콜입력!$B:$B,$A808,실시간콜입력!$E:$E,"E",실시간콜입력!$G:$G,$B808,실시간콜입력!$O:$O,"방문완료")+COUNTIFS(실시간콜입력!$B:$B,$A808,실시간콜입력!$E:$E,"E",실시간콜입력!$H:$H,$B808,실시간콜입력!$O:$O,"방문완료")</f>
        <v>0</v>
      </c>
      <c r="K808" s="29">
        <f t="shared" si="107"/>
        <v>0</v>
      </c>
      <c r="L808" s="33">
        <f>SUMIFS(실시간콜입력!$K:$K,실시간콜입력!$B:$B,$A808,실시간콜입력!$G:$G,$B808,실시간콜입력!$O:$O,"방문완료")+SUMIFS(실시간콜입력!$L:$L,실시간콜입력!$B:$B,$A808,실시간콜입력!$H:$H,$B808,실시간콜입력!$O:$O,"방문완료")</f>
        <v>0</v>
      </c>
      <c r="M808" s="29" t="str">
        <f t="shared" si="108"/>
        <v/>
      </c>
      <c r="N808" s="29"/>
    </row>
    <row r="809" spans="1:14" ht="19.5" hidden="1" customHeight="1" outlineLevel="1">
      <c r="A809" s="24">
        <f>IF(16&lt;=DAY(DATE(YEAR(설정_코스수당!$K$2),MONTH(설정_코스수당!$K$2)+1,0)),DATE(YEAR(설정_코스수당!$K$2),MONTH(설정_코스수당!$K$2),16),"")</f>
        <v>46189</v>
      </c>
      <c r="B809" s="23" t="s">
        <v>185</v>
      </c>
      <c r="C809" s="29"/>
      <c r="D809" s="29"/>
      <c r="E809" s="29" t="str">
        <f t="shared" si="106"/>
        <v/>
      </c>
      <c r="F809" s="29">
        <f>COUNTIFS(실시간콜입력!$B:$B,$A809,실시간콜입력!$E:$E,"A",실시간콜입력!$G:$G,$B809,실시간콜입력!$O:$O,"방문완료")+COUNTIFS(실시간콜입력!$B:$B,$A809,실시간콜입력!$E:$E,"A",실시간콜입력!$H:$H,$B809,실시간콜입력!$O:$O,"방문완료")</f>
        <v>0</v>
      </c>
      <c r="G809" s="29">
        <f>COUNTIFS(실시간콜입력!$B:$B,$A809,실시간콜입력!$E:$E,"B",실시간콜입력!$G:$G,$B809,실시간콜입력!$O:$O,"방문완료")+COUNTIFS(실시간콜입력!$B:$B,$A809,실시간콜입력!$E:$E,"B",실시간콜입력!$H:$H,$B809,실시간콜입력!$O:$O,"방문완료")</f>
        <v>0</v>
      </c>
      <c r="H809" s="29">
        <f>COUNTIFS(실시간콜입력!$B:$B,$A809,실시간콜입력!$E:$E,"C",실시간콜입력!$G:$G,$B809,실시간콜입력!$O:$O,"방문완료")+COUNTIFS(실시간콜입력!$B:$B,$A809,실시간콜입력!$E:$E,"C",실시간콜입력!$H:$H,$B809,실시간콜입력!$O:$O,"방문완료")</f>
        <v>0</v>
      </c>
      <c r="I809" s="29">
        <f>COUNTIFS(실시간콜입력!$B:$B,$A809,실시간콜입력!$E:$E,"D",실시간콜입력!$G:$G,$B809,실시간콜입력!$O:$O,"방문완료")+COUNTIFS(실시간콜입력!$B:$B,$A809,실시간콜입력!$E:$E,"D",실시간콜입력!$H:$H,$B809,실시간콜입력!$O:$O,"방문완료")</f>
        <v>0</v>
      </c>
      <c r="J809" s="29">
        <f>COUNTIFS(실시간콜입력!$B:$B,$A809,실시간콜입력!$E:$E,"E",실시간콜입력!$G:$G,$B809,실시간콜입력!$O:$O,"방문완료")+COUNTIFS(실시간콜입력!$B:$B,$A809,실시간콜입력!$E:$E,"E",실시간콜입력!$H:$H,$B809,실시간콜입력!$O:$O,"방문완료")</f>
        <v>0</v>
      </c>
      <c r="K809" s="29">
        <f t="shared" si="107"/>
        <v>0</v>
      </c>
      <c r="L809" s="27">
        <f>SUMIFS(실시간콜입력!$K:$K,실시간콜입력!$B:$B,$A809,실시간콜입력!$G:$G,$B809,실시간콜입력!$O:$O,"방문완료")+SUMIFS(실시간콜입력!$L:$L,실시간콜입력!$B:$B,$A809,실시간콜입력!$H:$H,$B809,실시간콜입력!$O:$O,"방문완료")</f>
        <v>0</v>
      </c>
      <c r="M809" s="29" t="str">
        <f t="shared" si="108"/>
        <v/>
      </c>
      <c r="N809" s="29"/>
    </row>
    <row r="810" spans="1:14" ht="19.5" hidden="1" customHeight="1" outlineLevel="1">
      <c r="A810" s="30">
        <f>IF(16&lt;=DAY(DATE(YEAR(설정_코스수당!$K$2),MONTH(설정_코스수당!$K$2)+1,0)),DATE(YEAR(설정_코스수당!$K$2),MONTH(설정_코스수당!$K$2),16),"")</f>
        <v>46189</v>
      </c>
      <c r="B810" s="29" t="s">
        <v>186</v>
      </c>
      <c r="C810" s="29"/>
      <c r="D810" s="29"/>
      <c r="E810" s="29" t="str">
        <f t="shared" si="106"/>
        <v/>
      </c>
      <c r="F810" s="29">
        <f>COUNTIFS(실시간콜입력!$B:$B,$A810,실시간콜입력!$E:$E,"A",실시간콜입력!$G:$G,$B810,실시간콜입력!$O:$O,"방문완료")+COUNTIFS(실시간콜입력!$B:$B,$A810,실시간콜입력!$E:$E,"A",실시간콜입력!$H:$H,$B810,실시간콜입력!$O:$O,"방문완료")</f>
        <v>0</v>
      </c>
      <c r="G810" s="29">
        <f>COUNTIFS(실시간콜입력!$B:$B,$A810,실시간콜입력!$E:$E,"B",실시간콜입력!$G:$G,$B810,실시간콜입력!$O:$O,"방문완료")+COUNTIFS(실시간콜입력!$B:$B,$A810,실시간콜입력!$E:$E,"B",실시간콜입력!$H:$H,$B810,실시간콜입력!$O:$O,"방문완료")</f>
        <v>0</v>
      </c>
      <c r="H810" s="29">
        <f>COUNTIFS(실시간콜입력!$B:$B,$A810,실시간콜입력!$E:$E,"C",실시간콜입력!$G:$G,$B810,실시간콜입력!$O:$O,"방문완료")+COUNTIFS(실시간콜입력!$B:$B,$A810,실시간콜입력!$E:$E,"C",실시간콜입력!$H:$H,$B810,실시간콜입력!$O:$O,"방문완료")</f>
        <v>0</v>
      </c>
      <c r="I810" s="29">
        <f>COUNTIFS(실시간콜입력!$B:$B,$A810,실시간콜입력!$E:$E,"D",실시간콜입력!$G:$G,$B810,실시간콜입력!$O:$O,"방문완료")+COUNTIFS(실시간콜입력!$B:$B,$A810,실시간콜입력!$E:$E,"D",실시간콜입력!$H:$H,$B810,실시간콜입력!$O:$O,"방문완료")</f>
        <v>0</v>
      </c>
      <c r="J810" s="29">
        <f>COUNTIFS(실시간콜입력!$B:$B,$A810,실시간콜입력!$E:$E,"E",실시간콜입력!$G:$G,$B810,실시간콜입력!$O:$O,"방문완료")+COUNTIFS(실시간콜입력!$B:$B,$A810,실시간콜입력!$E:$E,"E",실시간콜입력!$H:$H,$B810,실시간콜입력!$O:$O,"방문완료")</f>
        <v>0</v>
      </c>
      <c r="K810" s="29">
        <f t="shared" si="107"/>
        <v>0</v>
      </c>
      <c r="L810" s="33">
        <f>SUMIFS(실시간콜입력!$K:$K,실시간콜입력!$B:$B,$A810,실시간콜입력!$G:$G,$B810,실시간콜입력!$O:$O,"방문완료")+SUMIFS(실시간콜입력!$L:$L,실시간콜입력!$B:$B,$A810,실시간콜입력!$H:$H,$B810,실시간콜입력!$O:$O,"방문완료")</f>
        <v>0</v>
      </c>
      <c r="M810" s="29" t="str">
        <f t="shared" si="108"/>
        <v/>
      </c>
      <c r="N810" s="29"/>
    </row>
    <row r="811" spans="1:14" ht="19.5" hidden="1" customHeight="1" outlineLevel="1">
      <c r="A811" s="24">
        <f>IF(16&lt;=DAY(DATE(YEAR(설정_코스수당!$K$2),MONTH(설정_코스수당!$K$2)+1,0)),DATE(YEAR(설정_코스수당!$K$2),MONTH(설정_코스수당!$K$2),16),"")</f>
        <v>46189</v>
      </c>
      <c r="B811" s="23" t="s">
        <v>187</v>
      </c>
      <c r="C811" s="29"/>
      <c r="D811" s="29"/>
      <c r="E811" s="29" t="str">
        <f t="shared" si="106"/>
        <v/>
      </c>
      <c r="F811" s="29">
        <f>COUNTIFS(실시간콜입력!$B:$B,$A811,실시간콜입력!$E:$E,"A",실시간콜입력!$G:$G,$B811,실시간콜입력!$O:$O,"방문완료")+COUNTIFS(실시간콜입력!$B:$B,$A811,실시간콜입력!$E:$E,"A",실시간콜입력!$H:$H,$B811,실시간콜입력!$O:$O,"방문완료")</f>
        <v>0</v>
      </c>
      <c r="G811" s="29">
        <f>COUNTIFS(실시간콜입력!$B:$B,$A811,실시간콜입력!$E:$E,"B",실시간콜입력!$G:$G,$B811,실시간콜입력!$O:$O,"방문완료")+COUNTIFS(실시간콜입력!$B:$B,$A811,실시간콜입력!$E:$E,"B",실시간콜입력!$H:$H,$B811,실시간콜입력!$O:$O,"방문완료")</f>
        <v>0</v>
      </c>
      <c r="H811" s="29">
        <f>COUNTIFS(실시간콜입력!$B:$B,$A811,실시간콜입력!$E:$E,"C",실시간콜입력!$G:$G,$B811,실시간콜입력!$O:$O,"방문완료")+COUNTIFS(실시간콜입력!$B:$B,$A811,실시간콜입력!$E:$E,"C",실시간콜입력!$H:$H,$B811,실시간콜입력!$O:$O,"방문완료")</f>
        <v>0</v>
      </c>
      <c r="I811" s="29">
        <f>COUNTIFS(실시간콜입력!$B:$B,$A811,실시간콜입력!$E:$E,"D",실시간콜입력!$G:$G,$B811,실시간콜입력!$O:$O,"방문완료")+COUNTIFS(실시간콜입력!$B:$B,$A811,실시간콜입력!$E:$E,"D",실시간콜입력!$H:$H,$B811,실시간콜입력!$O:$O,"방문완료")</f>
        <v>0</v>
      </c>
      <c r="J811" s="29">
        <f>COUNTIFS(실시간콜입력!$B:$B,$A811,실시간콜입력!$E:$E,"E",실시간콜입력!$G:$G,$B811,실시간콜입력!$O:$O,"방문완료")+COUNTIFS(실시간콜입력!$B:$B,$A811,실시간콜입력!$E:$E,"E",실시간콜입력!$H:$H,$B811,실시간콜입력!$O:$O,"방문완료")</f>
        <v>0</v>
      </c>
      <c r="K811" s="29">
        <f t="shared" si="107"/>
        <v>0</v>
      </c>
      <c r="L811" s="27">
        <f>SUMIFS(실시간콜입력!$K:$K,실시간콜입력!$B:$B,$A811,실시간콜입력!$G:$G,$B811,실시간콜입력!$O:$O,"방문완료")+SUMIFS(실시간콜입력!$L:$L,실시간콜입력!$B:$B,$A811,실시간콜입력!$H:$H,$B811,실시간콜입력!$O:$O,"방문완료")</f>
        <v>0</v>
      </c>
      <c r="M811" s="29" t="str">
        <f t="shared" si="108"/>
        <v/>
      </c>
      <c r="N811" s="29"/>
    </row>
    <row r="812" spans="1:14" ht="19.5" hidden="1" customHeight="1" outlineLevel="1">
      <c r="A812" s="30">
        <f>IF(16&lt;=DAY(DATE(YEAR(설정_코스수당!$K$2),MONTH(설정_코스수당!$K$2)+1,0)),DATE(YEAR(설정_코스수당!$K$2),MONTH(설정_코스수당!$K$2),16),"")</f>
        <v>46189</v>
      </c>
      <c r="B812" s="29" t="s">
        <v>188</v>
      </c>
      <c r="C812" s="29"/>
      <c r="D812" s="29"/>
      <c r="E812" s="29" t="str">
        <f t="shared" si="106"/>
        <v/>
      </c>
      <c r="F812" s="29">
        <f>COUNTIFS(실시간콜입력!$B:$B,$A812,실시간콜입력!$E:$E,"A",실시간콜입력!$G:$G,$B812,실시간콜입력!$O:$O,"방문완료")+COUNTIFS(실시간콜입력!$B:$B,$A812,실시간콜입력!$E:$E,"A",실시간콜입력!$H:$H,$B812,실시간콜입력!$O:$O,"방문완료")</f>
        <v>0</v>
      </c>
      <c r="G812" s="29">
        <f>COUNTIFS(실시간콜입력!$B:$B,$A812,실시간콜입력!$E:$E,"B",실시간콜입력!$G:$G,$B812,실시간콜입력!$O:$O,"방문완료")+COUNTIFS(실시간콜입력!$B:$B,$A812,실시간콜입력!$E:$E,"B",실시간콜입력!$H:$H,$B812,실시간콜입력!$O:$O,"방문완료")</f>
        <v>0</v>
      </c>
      <c r="H812" s="29">
        <f>COUNTIFS(실시간콜입력!$B:$B,$A812,실시간콜입력!$E:$E,"C",실시간콜입력!$G:$G,$B812,실시간콜입력!$O:$O,"방문완료")+COUNTIFS(실시간콜입력!$B:$B,$A812,실시간콜입력!$E:$E,"C",실시간콜입력!$H:$H,$B812,실시간콜입력!$O:$O,"방문완료")</f>
        <v>0</v>
      </c>
      <c r="I812" s="29">
        <f>COUNTIFS(실시간콜입력!$B:$B,$A812,실시간콜입력!$E:$E,"D",실시간콜입력!$G:$G,$B812,실시간콜입력!$O:$O,"방문완료")+COUNTIFS(실시간콜입력!$B:$B,$A812,실시간콜입력!$E:$E,"D",실시간콜입력!$H:$H,$B812,실시간콜입력!$O:$O,"방문완료")</f>
        <v>0</v>
      </c>
      <c r="J812" s="29">
        <f>COUNTIFS(실시간콜입력!$B:$B,$A812,실시간콜입력!$E:$E,"E",실시간콜입력!$G:$G,$B812,실시간콜입력!$O:$O,"방문완료")+COUNTIFS(실시간콜입력!$B:$B,$A812,실시간콜입력!$E:$E,"E",실시간콜입력!$H:$H,$B812,실시간콜입력!$O:$O,"방문완료")</f>
        <v>0</v>
      </c>
      <c r="K812" s="29">
        <f t="shared" si="107"/>
        <v>0</v>
      </c>
      <c r="L812" s="33">
        <f>SUMIFS(실시간콜입력!$K:$K,실시간콜입력!$B:$B,$A812,실시간콜입력!$G:$G,$B812,실시간콜입력!$O:$O,"방문완료")+SUMIFS(실시간콜입력!$L:$L,실시간콜입력!$B:$B,$A812,실시간콜입력!$H:$H,$B812,실시간콜입력!$O:$O,"방문완료")</f>
        <v>0</v>
      </c>
      <c r="M812" s="29" t="str">
        <f t="shared" si="108"/>
        <v/>
      </c>
      <c r="N812" s="29"/>
    </row>
    <row r="813" spans="1:14" ht="19.5" hidden="1" customHeight="1" outlineLevel="1">
      <c r="A813" s="24">
        <f>IF(16&lt;=DAY(DATE(YEAR(설정_코스수당!$K$2),MONTH(설정_코스수당!$K$2)+1,0)),DATE(YEAR(설정_코스수당!$K$2),MONTH(설정_코스수당!$K$2),16),"")</f>
        <v>46189</v>
      </c>
      <c r="B813" s="23" t="s">
        <v>189</v>
      </c>
      <c r="C813" s="29"/>
      <c r="D813" s="29"/>
      <c r="E813" s="29" t="str">
        <f t="shared" si="106"/>
        <v/>
      </c>
      <c r="F813" s="29">
        <f>COUNTIFS(실시간콜입력!$B:$B,$A813,실시간콜입력!$E:$E,"A",실시간콜입력!$G:$G,$B813,실시간콜입력!$O:$O,"방문완료")+COUNTIFS(실시간콜입력!$B:$B,$A813,실시간콜입력!$E:$E,"A",실시간콜입력!$H:$H,$B813,실시간콜입력!$O:$O,"방문완료")</f>
        <v>0</v>
      </c>
      <c r="G813" s="29">
        <f>COUNTIFS(실시간콜입력!$B:$B,$A813,실시간콜입력!$E:$E,"B",실시간콜입력!$G:$G,$B813,실시간콜입력!$O:$O,"방문완료")+COUNTIFS(실시간콜입력!$B:$B,$A813,실시간콜입력!$E:$E,"B",실시간콜입력!$H:$H,$B813,실시간콜입력!$O:$O,"방문완료")</f>
        <v>0</v>
      </c>
      <c r="H813" s="29">
        <f>COUNTIFS(실시간콜입력!$B:$B,$A813,실시간콜입력!$E:$E,"C",실시간콜입력!$G:$G,$B813,실시간콜입력!$O:$O,"방문완료")+COUNTIFS(실시간콜입력!$B:$B,$A813,실시간콜입력!$E:$E,"C",실시간콜입력!$H:$H,$B813,실시간콜입력!$O:$O,"방문완료")</f>
        <v>0</v>
      </c>
      <c r="I813" s="29">
        <f>COUNTIFS(실시간콜입력!$B:$B,$A813,실시간콜입력!$E:$E,"D",실시간콜입력!$G:$G,$B813,실시간콜입력!$O:$O,"방문완료")+COUNTIFS(실시간콜입력!$B:$B,$A813,실시간콜입력!$E:$E,"D",실시간콜입력!$H:$H,$B813,실시간콜입력!$O:$O,"방문완료")</f>
        <v>0</v>
      </c>
      <c r="J813" s="29">
        <f>COUNTIFS(실시간콜입력!$B:$B,$A813,실시간콜입력!$E:$E,"E",실시간콜입력!$G:$G,$B813,실시간콜입력!$O:$O,"방문완료")+COUNTIFS(실시간콜입력!$B:$B,$A813,실시간콜입력!$E:$E,"E",실시간콜입력!$H:$H,$B813,실시간콜입력!$O:$O,"방문완료")</f>
        <v>0</v>
      </c>
      <c r="K813" s="29">
        <f t="shared" si="107"/>
        <v>0</v>
      </c>
      <c r="L813" s="27">
        <f>SUMIFS(실시간콜입력!$K:$K,실시간콜입력!$B:$B,$A813,실시간콜입력!$G:$G,$B813,실시간콜입력!$O:$O,"방문완료")+SUMIFS(실시간콜입력!$L:$L,실시간콜입력!$B:$B,$A813,실시간콜입력!$H:$H,$B813,실시간콜입력!$O:$O,"방문완료")</f>
        <v>0</v>
      </c>
      <c r="M813" s="29" t="str">
        <f t="shared" si="108"/>
        <v/>
      </c>
      <c r="N813" s="29"/>
    </row>
    <row r="814" spans="1:14" ht="19.5" hidden="1" customHeight="1" outlineLevel="1">
      <c r="A814" s="30">
        <f>IF(16&lt;=DAY(DATE(YEAR(설정_코스수당!$K$2),MONTH(설정_코스수당!$K$2)+1,0)),DATE(YEAR(설정_코스수당!$K$2),MONTH(설정_코스수당!$K$2),16),"")</f>
        <v>46189</v>
      </c>
      <c r="B814" s="29" t="s">
        <v>190</v>
      </c>
      <c r="C814" s="29"/>
      <c r="D814" s="29"/>
      <c r="E814" s="29" t="str">
        <f t="shared" si="106"/>
        <v/>
      </c>
      <c r="F814" s="29">
        <f>COUNTIFS(실시간콜입력!$B:$B,$A814,실시간콜입력!$E:$E,"A",실시간콜입력!$G:$G,$B814,실시간콜입력!$O:$O,"방문완료")+COUNTIFS(실시간콜입력!$B:$B,$A814,실시간콜입력!$E:$E,"A",실시간콜입력!$H:$H,$B814,실시간콜입력!$O:$O,"방문완료")</f>
        <v>0</v>
      </c>
      <c r="G814" s="29">
        <f>COUNTIFS(실시간콜입력!$B:$B,$A814,실시간콜입력!$E:$E,"B",실시간콜입력!$G:$G,$B814,실시간콜입력!$O:$O,"방문완료")+COUNTIFS(실시간콜입력!$B:$B,$A814,실시간콜입력!$E:$E,"B",실시간콜입력!$H:$H,$B814,실시간콜입력!$O:$O,"방문완료")</f>
        <v>0</v>
      </c>
      <c r="H814" s="29">
        <f>COUNTIFS(실시간콜입력!$B:$B,$A814,실시간콜입력!$E:$E,"C",실시간콜입력!$G:$G,$B814,실시간콜입력!$O:$O,"방문완료")+COUNTIFS(실시간콜입력!$B:$B,$A814,실시간콜입력!$E:$E,"C",실시간콜입력!$H:$H,$B814,실시간콜입력!$O:$O,"방문완료")</f>
        <v>0</v>
      </c>
      <c r="I814" s="29">
        <f>COUNTIFS(실시간콜입력!$B:$B,$A814,실시간콜입력!$E:$E,"D",실시간콜입력!$G:$G,$B814,실시간콜입력!$O:$O,"방문완료")+COUNTIFS(실시간콜입력!$B:$B,$A814,실시간콜입력!$E:$E,"D",실시간콜입력!$H:$H,$B814,실시간콜입력!$O:$O,"방문완료")</f>
        <v>0</v>
      </c>
      <c r="J814" s="29">
        <f>COUNTIFS(실시간콜입력!$B:$B,$A814,실시간콜입력!$E:$E,"E",실시간콜입력!$G:$G,$B814,실시간콜입력!$O:$O,"방문완료")+COUNTIFS(실시간콜입력!$B:$B,$A814,실시간콜입력!$E:$E,"E",실시간콜입력!$H:$H,$B814,실시간콜입력!$O:$O,"방문완료")</f>
        <v>0</v>
      </c>
      <c r="K814" s="29">
        <f t="shared" si="107"/>
        <v>0</v>
      </c>
      <c r="L814" s="33">
        <f>SUMIFS(실시간콜입력!$K:$K,실시간콜입력!$B:$B,$A814,실시간콜입력!$G:$G,$B814,실시간콜입력!$O:$O,"방문완료")+SUMIFS(실시간콜입력!$L:$L,실시간콜입력!$B:$B,$A814,실시간콜입력!$H:$H,$B814,실시간콜입력!$O:$O,"방문완료")</f>
        <v>0</v>
      </c>
      <c r="M814" s="29" t="str">
        <f t="shared" si="108"/>
        <v/>
      </c>
      <c r="N814" s="29"/>
    </row>
    <row r="815" spans="1:14" ht="19.5" hidden="1" customHeight="1" outlineLevel="1">
      <c r="A815" s="24">
        <f>IF(16&lt;=DAY(DATE(YEAR(설정_코스수당!$K$2),MONTH(설정_코스수당!$K$2)+1,0)),DATE(YEAR(설정_코스수당!$K$2),MONTH(설정_코스수당!$K$2),16),"")</f>
        <v>46189</v>
      </c>
      <c r="B815" s="23" t="s">
        <v>191</v>
      </c>
      <c r="C815" s="29"/>
      <c r="D815" s="29"/>
      <c r="E815" s="29" t="str">
        <f t="shared" si="106"/>
        <v/>
      </c>
      <c r="F815" s="29">
        <f>COUNTIFS(실시간콜입력!$B:$B,$A815,실시간콜입력!$E:$E,"A",실시간콜입력!$G:$G,$B815,실시간콜입력!$O:$O,"방문완료")+COUNTIFS(실시간콜입력!$B:$B,$A815,실시간콜입력!$E:$E,"A",실시간콜입력!$H:$H,$B815,실시간콜입력!$O:$O,"방문완료")</f>
        <v>0</v>
      </c>
      <c r="G815" s="29">
        <f>COUNTIFS(실시간콜입력!$B:$B,$A815,실시간콜입력!$E:$E,"B",실시간콜입력!$G:$G,$B815,실시간콜입력!$O:$O,"방문완료")+COUNTIFS(실시간콜입력!$B:$B,$A815,실시간콜입력!$E:$E,"B",실시간콜입력!$H:$H,$B815,실시간콜입력!$O:$O,"방문완료")</f>
        <v>0</v>
      </c>
      <c r="H815" s="29">
        <f>COUNTIFS(실시간콜입력!$B:$B,$A815,실시간콜입력!$E:$E,"C",실시간콜입력!$G:$G,$B815,실시간콜입력!$O:$O,"방문완료")+COUNTIFS(실시간콜입력!$B:$B,$A815,실시간콜입력!$E:$E,"C",실시간콜입력!$H:$H,$B815,실시간콜입력!$O:$O,"방문완료")</f>
        <v>0</v>
      </c>
      <c r="I815" s="29">
        <f>COUNTIFS(실시간콜입력!$B:$B,$A815,실시간콜입력!$E:$E,"D",실시간콜입력!$G:$G,$B815,실시간콜입력!$O:$O,"방문완료")+COUNTIFS(실시간콜입력!$B:$B,$A815,실시간콜입력!$E:$E,"D",실시간콜입력!$H:$H,$B815,실시간콜입력!$O:$O,"방문완료")</f>
        <v>0</v>
      </c>
      <c r="J815" s="29">
        <f>COUNTIFS(실시간콜입력!$B:$B,$A815,실시간콜입력!$E:$E,"E",실시간콜입력!$G:$G,$B815,실시간콜입력!$O:$O,"방문완료")+COUNTIFS(실시간콜입력!$B:$B,$A815,실시간콜입력!$E:$E,"E",실시간콜입력!$H:$H,$B815,실시간콜입력!$O:$O,"방문완료")</f>
        <v>0</v>
      </c>
      <c r="K815" s="29">
        <f t="shared" si="107"/>
        <v>0</v>
      </c>
      <c r="L815" s="27">
        <f>SUMIFS(실시간콜입력!$K:$K,실시간콜입력!$B:$B,$A815,실시간콜입력!$G:$G,$B815,실시간콜입력!$O:$O,"방문완료")+SUMIFS(실시간콜입력!$L:$L,실시간콜입력!$B:$B,$A815,실시간콜입력!$H:$H,$B815,실시간콜입력!$O:$O,"방문완료")</f>
        <v>0</v>
      </c>
      <c r="M815" s="29" t="str">
        <f t="shared" si="108"/>
        <v/>
      </c>
      <c r="N815" s="29"/>
    </row>
    <row r="816" spans="1:14" ht="19.5" hidden="1" customHeight="1" outlineLevel="1">
      <c r="A816" s="30">
        <f>IF(16&lt;=DAY(DATE(YEAR(설정_코스수당!$K$2),MONTH(설정_코스수당!$K$2)+1,0)),DATE(YEAR(설정_코스수당!$K$2),MONTH(설정_코스수당!$K$2),16),"")</f>
        <v>46189</v>
      </c>
      <c r="B816" s="29" t="s">
        <v>192</v>
      </c>
      <c r="C816" s="29"/>
      <c r="D816" s="29"/>
      <c r="E816" s="29" t="str">
        <f t="shared" si="106"/>
        <v/>
      </c>
      <c r="F816" s="29">
        <f>COUNTIFS(실시간콜입력!$B:$B,$A816,실시간콜입력!$E:$E,"A",실시간콜입력!$G:$G,$B816,실시간콜입력!$O:$O,"방문완료")+COUNTIFS(실시간콜입력!$B:$B,$A816,실시간콜입력!$E:$E,"A",실시간콜입력!$H:$H,$B816,실시간콜입력!$O:$O,"방문완료")</f>
        <v>0</v>
      </c>
      <c r="G816" s="29">
        <f>COUNTIFS(실시간콜입력!$B:$B,$A816,실시간콜입력!$E:$E,"B",실시간콜입력!$G:$G,$B816,실시간콜입력!$O:$O,"방문완료")+COUNTIFS(실시간콜입력!$B:$B,$A816,실시간콜입력!$E:$E,"B",실시간콜입력!$H:$H,$B816,실시간콜입력!$O:$O,"방문완료")</f>
        <v>0</v>
      </c>
      <c r="H816" s="29">
        <f>COUNTIFS(실시간콜입력!$B:$B,$A816,실시간콜입력!$E:$E,"C",실시간콜입력!$G:$G,$B816,실시간콜입력!$O:$O,"방문완료")+COUNTIFS(실시간콜입력!$B:$B,$A816,실시간콜입력!$E:$E,"C",실시간콜입력!$H:$H,$B816,실시간콜입력!$O:$O,"방문완료")</f>
        <v>0</v>
      </c>
      <c r="I816" s="29">
        <f>COUNTIFS(실시간콜입력!$B:$B,$A816,실시간콜입력!$E:$E,"D",실시간콜입력!$G:$G,$B816,실시간콜입력!$O:$O,"방문완료")+COUNTIFS(실시간콜입력!$B:$B,$A816,실시간콜입력!$E:$E,"D",실시간콜입력!$H:$H,$B816,실시간콜입력!$O:$O,"방문완료")</f>
        <v>0</v>
      </c>
      <c r="J816" s="29">
        <f>COUNTIFS(실시간콜입력!$B:$B,$A816,실시간콜입력!$E:$E,"E",실시간콜입력!$G:$G,$B816,실시간콜입력!$O:$O,"방문완료")+COUNTIFS(실시간콜입력!$B:$B,$A816,실시간콜입력!$E:$E,"E",실시간콜입력!$H:$H,$B816,실시간콜입력!$O:$O,"방문완료")</f>
        <v>0</v>
      </c>
      <c r="K816" s="29">
        <f t="shared" si="107"/>
        <v>0</v>
      </c>
      <c r="L816" s="33">
        <f>SUMIFS(실시간콜입력!$K:$K,실시간콜입력!$B:$B,$A816,실시간콜입력!$G:$G,$B816,실시간콜입력!$O:$O,"방문완료")+SUMIFS(실시간콜입력!$L:$L,실시간콜입력!$B:$B,$A816,실시간콜입력!$H:$H,$B816,실시간콜입력!$O:$O,"방문완료")</f>
        <v>0</v>
      </c>
      <c r="M816" s="29" t="str">
        <f t="shared" si="108"/>
        <v/>
      </c>
      <c r="N816" s="29"/>
    </row>
    <row r="817" spans="1:14" ht="19.5" hidden="1" customHeight="1" outlineLevel="1">
      <c r="A817" s="24">
        <f>IF(16&lt;=DAY(DATE(YEAR(설정_코스수당!$K$2),MONTH(설정_코스수당!$K$2)+1,0)),DATE(YEAR(설정_코스수당!$K$2),MONTH(설정_코스수당!$K$2),16),"")</f>
        <v>46189</v>
      </c>
      <c r="B817" s="23" t="s">
        <v>193</v>
      </c>
      <c r="C817" s="29"/>
      <c r="D817" s="29"/>
      <c r="E817" s="29" t="str">
        <f t="shared" si="106"/>
        <v/>
      </c>
      <c r="F817" s="29">
        <f>COUNTIFS(실시간콜입력!$B:$B,$A817,실시간콜입력!$E:$E,"A",실시간콜입력!$G:$G,$B817,실시간콜입력!$O:$O,"방문완료")+COUNTIFS(실시간콜입력!$B:$B,$A817,실시간콜입력!$E:$E,"A",실시간콜입력!$H:$H,$B817,실시간콜입력!$O:$O,"방문완료")</f>
        <v>0</v>
      </c>
      <c r="G817" s="29">
        <f>COUNTIFS(실시간콜입력!$B:$B,$A817,실시간콜입력!$E:$E,"B",실시간콜입력!$G:$G,$B817,실시간콜입력!$O:$O,"방문완료")+COUNTIFS(실시간콜입력!$B:$B,$A817,실시간콜입력!$E:$E,"B",실시간콜입력!$H:$H,$B817,실시간콜입력!$O:$O,"방문완료")</f>
        <v>0</v>
      </c>
      <c r="H817" s="29">
        <f>COUNTIFS(실시간콜입력!$B:$B,$A817,실시간콜입력!$E:$E,"C",실시간콜입력!$G:$G,$B817,실시간콜입력!$O:$O,"방문완료")+COUNTIFS(실시간콜입력!$B:$B,$A817,실시간콜입력!$E:$E,"C",실시간콜입력!$H:$H,$B817,실시간콜입력!$O:$O,"방문완료")</f>
        <v>0</v>
      </c>
      <c r="I817" s="29">
        <f>COUNTIFS(실시간콜입력!$B:$B,$A817,실시간콜입력!$E:$E,"D",실시간콜입력!$G:$G,$B817,실시간콜입력!$O:$O,"방문완료")+COUNTIFS(실시간콜입력!$B:$B,$A817,실시간콜입력!$E:$E,"D",실시간콜입력!$H:$H,$B817,실시간콜입력!$O:$O,"방문완료")</f>
        <v>0</v>
      </c>
      <c r="J817" s="29">
        <f>COUNTIFS(실시간콜입력!$B:$B,$A817,실시간콜입력!$E:$E,"E",실시간콜입력!$G:$G,$B817,실시간콜입력!$O:$O,"방문완료")+COUNTIFS(실시간콜입력!$B:$B,$A817,실시간콜입력!$E:$E,"E",실시간콜입력!$H:$H,$B817,실시간콜입력!$O:$O,"방문완료")</f>
        <v>0</v>
      </c>
      <c r="K817" s="29">
        <f t="shared" si="107"/>
        <v>0</v>
      </c>
      <c r="L817" s="27">
        <f>SUMIFS(실시간콜입력!$K:$K,실시간콜입력!$B:$B,$A817,실시간콜입력!$G:$G,$B817,실시간콜입력!$O:$O,"방문완료")+SUMIFS(실시간콜입력!$L:$L,실시간콜입력!$B:$B,$A817,실시간콜입력!$H:$H,$B817,실시간콜입력!$O:$O,"방문완료")</f>
        <v>0</v>
      </c>
      <c r="M817" s="29" t="str">
        <f t="shared" si="108"/>
        <v/>
      </c>
      <c r="N817" s="29"/>
    </row>
    <row r="818" spans="1:14" ht="19.5" hidden="1" customHeight="1" outlineLevel="1">
      <c r="A818" s="30">
        <f>IF(16&lt;=DAY(DATE(YEAR(설정_코스수당!$K$2),MONTH(설정_코스수당!$K$2)+1,0)),DATE(YEAR(설정_코스수당!$K$2),MONTH(설정_코스수당!$K$2),16),"")</f>
        <v>46189</v>
      </c>
      <c r="B818" s="29" t="s">
        <v>194</v>
      </c>
      <c r="C818" s="29"/>
      <c r="D818" s="29"/>
      <c r="E818" s="29" t="str">
        <f t="shared" si="106"/>
        <v/>
      </c>
      <c r="F818" s="29">
        <f>COUNTIFS(실시간콜입력!$B:$B,$A818,실시간콜입력!$E:$E,"A",실시간콜입력!$G:$G,$B818,실시간콜입력!$O:$O,"방문완료")+COUNTIFS(실시간콜입력!$B:$B,$A818,실시간콜입력!$E:$E,"A",실시간콜입력!$H:$H,$B818,실시간콜입력!$O:$O,"방문완료")</f>
        <v>0</v>
      </c>
      <c r="G818" s="29">
        <f>COUNTIFS(실시간콜입력!$B:$B,$A818,실시간콜입력!$E:$E,"B",실시간콜입력!$G:$G,$B818,실시간콜입력!$O:$O,"방문완료")+COUNTIFS(실시간콜입력!$B:$B,$A818,실시간콜입력!$E:$E,"B",실시간콜입력!$H:$H,$B818,실시간콜입력!$O:$O,"방문완료")</f>
        <v>0</v>
      </c>
      <c r="H818" s="29">
        <f>COUNTIFS(실시간콜입력!$B:$B,$A818,실시간콜입력!$E:$E,"C",실시간콜입력!$G:$G,$B818,실시간콜입력!$O:$O,"방문완료")+COUNTIFS(실시간콜입력!$B:$B,$A818,실시간콜입력!$E:$E,"C",실시간콜입력!$H:$H,$B818,실시간콜입력!$O:$O,"방문완료")</f>
        <v>0</v>
      </c>
      <c r="I818" s="29">
        <f>COUNTIFS(실시간콜입력!$B:$B,$A818,실시간콜입력!$E:$E,"D",실시간콜입력!$G:$G,$B818,실시간콜입력!$O:$O,"방문완료")+COUNTIFS(실시간콜입력!$B:$B,$A818,실시간콜입력!$E:$E,"D",실시간콜입력!$H:$H,$B818,실시간콜입력!$O:$O,"방문완료")</f>
        <v>0</v>
      </c>
      <c r="J818" s="29">
        <f>COUNTIFS(실시간콜입력!$B:$B,$A818,실시간콜입력!$E:$E,"E",실시간콜입력!$G:$G,$B818,실시간콜입력!$O:$O,"방문완료")+COUNTIFS(실시간콜입력!$B:$B,$A818,실시간콜입력!$E:$E,"E",실시간콜입력!$H:$H,$B818,실시간콜입력!$O:$O,"방문완료")</f>
        <v>0</v>
      </c>
      <c r="K818" s="29">
        <f t="shared" si="107"/>
        <v>0</v>
      </c>
      <c r="L818" s="33">
        <f>SUMIFS(실시간콜입력!$K:$K,실시간콜입력!$B:$B,$A818,실시간콜입력!$G:$G,$B818,실시간콜입력!$O:$O,"방문완료")+SUMIFS(실시간콜입력!$L:$L,실시간콜입력!$B:$B,$A818,실시간콜입력!$H:$H,$B818,실시간콜입력!$O:$O,"방문완료")</f>
        <v>0</v>
      </c>
      <c r="M818" s="29" t="str">
        <f t="shared" si="108"/>
        <v/>
      </c>
      <c r="N818" s="29"/>
    </row>
    <row r="819" spans="1:14" ht="19.5" hidden="1" customHeight="1" outlineLevel="1">
      <c r="A819" s="24">
        <f>IF(16&lt;=DAY(DATE(YEAR(설정_코스수당!$K$2),MONTH(설정_코스수당!$K$2)+1,0)),DATE(YEAR(설정_코스수당!$K$2),MONTH(설정_코스수당!$K$2),16),"")</f>
        <v>46189</v>
      </c>
      <c r="B819" s="23" t="s">
        <v>195</v>
      </c>
      <c r="C819" s="29"/>
      <c r="D819" s="29"/>
      <c r="E819" s="29" t="str">
        <f t="shared" ref="E819:E850" si="109">IF(AND(C819&lt;&gt;"",D819&lt;&gt;""),IF(D819&lt;C819,D819+1-C819,D819-C819)*24,"")</f>
        <v/>
      </c>
      <c r="F819" s="29">
        <f>COUNTIFS(실시간콜입력!$B:$B,$A819,실시간콜입력!$E:$E,"A",실시간콜입력!$G:$G,$B819,실시간콜입력!$O:$O,"방문완료")+COUNTIFS(실시간콜입력!$B:$B,$A819,실시간콜입력!$E:$E,"A",실시간콜입력!$H:$H,$B819,실시간콜입력!$O:$O,"방문완료")</f>
        <v>0</v>
      </c>
      <c r="G819" s="29">
        <f>COUNTIFS(실시간콜입력!$B:$B,$A819,실시간콜입력!$E:$E,"B",실시간콜입력!$G:$G,$B819,실시간콜입력!$O:$O,"방문완료")+COUNTIFS(실시간콜입력!$B:$B,$A819,실시간콜입력!$E:$E,"B",실시간콜입력!$H:$H,$B819,실시간콜입력!$O:$O,"방문완료")</f>
        <v>0</v>
      </c>
      <c r="H819" s="29">
        <f>COUNTIFS(실시간콜입력!$B:$B,$A819,실시간콜입력!$E:$E,"C",실시간콜입력!$G:$G,$B819,실시간콜입력!$O:$O,"방문완료")+COUNTIFS(실시간콜입력!$B:$B,$A819,실시간콜입력!$E:$E,"C",실시간콜입력!$H:$H,$B819,실시간콜입력!$O:$O,"방문완료")</f>
        <v>0</v>
      </c>
      <c r="I819" s="29">
        <f>COUNTIFS(실시간콜입력!$B:$B,$A819,실시간콜입력!$E:$E,"D",실시간콜입력!$G:$G,$B819,실시간콜입력!$O:$O,"방문완료")+COUNTIFS(실시간콜입력!$B:$B,$A819,실시간콜입력!$E:$E,"D",실시간콜입력!$H:$H,$B819,실시간콜입력!$O:$O,"방문완료")</f>
        <v>0</v>
      </c>
      <c r="J819" s="29">
        <f>COUNTIFS(실시간콜입력!$B:$B,$A819,실시간콜입력!$E:$E,"E",실시간콜입력!$G:$G,$B819,실시간콜입력!$O:$O,"방문완료")+COUNTIFS(실시간콜입력!$B:$B,$A819,실시간콜입력!$E:$E,"E",실시간콜입력!$H:$H,$B819,실시간콜입력!$O:$O,"방문완료")</f>
        <v>0</v>
      </c>
      <c r="K819" s="29">
        <f t="shared" ref="K819:K850" si="110">SUM(F819:J819)</f>
        <v>0</v>
      </c>
      <c r="L819" s="27">
        <f>SUMIFS(실시간콜입력!$K:$K,실시간콜입력!$B:$B,$A819,실시간콜입력!$G:$G,$B819,실시간콜입력!$O:$O,"방문완료")+SUMIFS(실시간콜입력!$L:$L,실시간콜입력!$B:$B,$A819,실시간콜입력!$H:$H,$B819,실시간콜입력!$O:$O,"방문완료")</f>
        <v>0</v>
      </c>
      <c r="M819" s="29" t="str">
        <f t="shared" ref="M819:M836" si="111">IF(AND(ISNUMBER(E819),E819&gt;=8),"인정","")</f>
        <v/>
      </c>
      <c r="N819" s="29"/>
    </row>
    <row r="820" spans="1:14" ht="19.5" hidden="1" customHeight="1" outlineLevel="1">
      <c r="A820" s="30">
        <f>IF(16&lt;=DAY(DATE(YEAR(설정_코스수당!$K$2),MONTH(설정_코스수당!$K$2)+1,0)),DATE(YEAR(설정_코스수당!$K$2),MONTH(설정_코스수당!$K$2),16),"")</f>
        <v>46189</v>
      </c>
      <c r="B820" s="29" t="s">
        <v>196</v>
      </c>
      <c r="C820" s="29"/>
      <c r="D820" s="29"/>
      <c r="E820" s="29" t="str">
        <f t="shared" si="109"/>
        <v/>
      </c>
      <c r="F820" s="29">
        <f>COUNTIFS(실시간콜입력!$B:$B,$A820,실시간콜입력!$E:$E,"A",실시간콜입력!$G:$G,$B820,실시간콜입력!$O:$O,"방문완료")+COUNTIFS(실시간콜입력!$B:$B,$A820,실시간콜입력!$E:$E,"A",실시간콜입력!$H:$H,$B820,실시간콜입력!$O:$O,"방문완료")</f>
        <v>0</v>
      </c>
      <c r="G820" s="29">
        <f>COUNTIFS(실시간콜입력!$B:$B,$A820,실시간콜입력!$E:$E,"B",실시간콜입력!$G:$G,$B820,실시간콜입력!$O:$O,"방문완료")+COUNTIFS(실시간콜입력!$B:$B,$A820,실시간콜입력!$E:$E,"B",실시간콜입력!$H:$H,$B820,실시간콜입력!$O:$O,"방문완료")</f>
        <v>0</v>
      </c>
      <c r="H820" s="29">
        <f>COUNTIFS(실시간콜입력!$B:$B,$A820,실시간콜입력!$E:$E,"C",실시간콜입력!$G:$G,$B820,실시간콜입력!$O:$O,"방문완료")+COUNTIFS(실시간콜입력!$B:$B,$A820,실시간콜입력!$E:$E,"C",실시간콜입력!$H:$H,$B820,실시간콜입력!$O:$O,"방문완료")</f>
        <v>0</v>
      </c>
      <c r="I820" s="29">
        <f>COUNTIFS(실시간콜입력!$B:$B,$A820,실시간콜입력!$E:$E,"D",실시간콜입력!$G:$G,$B820,실시간콜입력!$O:$O,"방문완료")+COUNTIFS(실시간콜입력!$B:$B,$A820,실시간콜입력!$E:$E,"D",실시간콜입력!$H:$H,$B820,실시간콜입력!$O:$O,"방문완료")</f>
        <v>0</v>
      </c>
      <c r="J820" s="29">
        <f>COUNTIFS(실시간콜입력!$B:$B,$A820,실시간콜입력!$E:$E,"E",실시간콜입력!$G:$G,$B820,실시간콜입력!$O:$O,"방문완료")+COUNTIFS(실시간콜입력!$B:$B,$A820,실시간콜입력!$E:$E,"E",실시간콜입력!$H:$H,$B820,실시간콜입력!$O:$O,"방문완료")</f>
        <v>0</v>
      </c>
      <c r="K820" s="29">
        <f t="shared" si="110"/>
        <v>0</v>
      </c>
      <c r="L820" s="33">
        <f>SUMIFS(실시간콜입력!$K:$K,실시간콜입력!$B:$B,$A820,실시간콜입력!$G:$G,$B820,실시간콜입력!$O:$O,"방문완료")+SUMIFS(실시간콜입력!$L:$L,실시간콜입력!$B:$B,$A820,실시간콜입력!$H:$H,$B820,실시간콜입력!$O:$O,"방문완료")</f>
        <v>0</v>
      </c>
      <c r="M820" s="29" t="str">
        <f t="shared" si="111"/>
        <v/>
      </c>
      <c r="N820" s="29"/>
    </row>
    <row r="821" spans="1:14" ht="19.5" hidden="1" customHeight="1" outlineLevel="1">
      <c r="A821" s="24">
        <f>IF(16&lt;=DAY(DATE(YEAR(설정_코스수당!$K$2),MONTH(설정_코스수당!$K$2)+1,0)),DATE(YEAR(설정_코스수당!$K$2),MONTH(설정_코스수당!$K$2),16),"")</f>
        <v>46189</v>
      </c>
      <c r="B821" s="23" t="s">
        <v>197</v>
      </c>
      <c r="C821" s="29"/>
      <c r="D821" s="29"/>
      <c r="E821" s="29" t="str">
        <f t="shared" si="109"/>
        <v/>
      </c>
      <c r="F821" s="29">
        <f>COUNTIFS(실시간콜입력!$B:$B,$A821,실시간콜입력!$E:$E,"A",실시간콜입력!$G:$G,$B821,실시간콜입력!$O:$O,"방문완료")+COUNTIFS(실시간콜입력!$B:$B,$A821,실시간콜입력!$E:$E,"A",실시간콜입력!$H:$H,$B821,실시간콜입력!$O:$O,"방문완료")</f>
        <v>0</v>
      </c>
      <c r="G821" s="29">
        <f>COUNTIFS(실시간콜입력!$B:$B,$A821,실시간콜입력!$E:$E,"B",실시간콜입력!$G:$G,$B821,실시간콜입력!$O:$O,"방문완료")+COUNTIFS(실시간콜입력!$B:$B,$A821,실시간콜입력!$E:$E,"B",실시간콜입력!$H:$H,$B821,실시간콜입력!$O:$O,"방문완료")</f>
        <v>0</v>
      </c>
      <c r="H821" s="29">
        <f>COUNTIFS(실시간콜입력!$B:$B,$A821,실시간콜입력!$E:$E,"C",실시간콜입력!$G:$G,$B821,실시간콜입력!$O:$O,"방문완료")+COUNTIFS(실시간콜입력!$B:$B,$A821,실시간콜입력!$E:$E,"C",실시간콜입력!$H:$H,$B821,실시간콜입력!$O:$O,"방문완료")</f>
        <v>0</v>
      </c>
      <c r="I821" s="29">
        <f>COUNTIFS(실시간콜입력!$B:$B,$A821,실시간콜입력!$E:$E,"D",실시간콜입력!$G:$G,$B821,실시간콜입력!$O:$O,"방문완료")+COUNTIFS(실시간콜입력!$B:$B,$A821,실시간콜입력!$E:$E,"D",실시간콜입력!$H:$H,$B821,실시간콜입력!$O:$O,"방문완료")</f>
        <v>0</v>
      </c>
      <c r="J821" s="29">
        <f>COUNTIFS(실시간콜입력!$B:$B,$A821,실시간콜입력!$E:$E,"E",실시간콜입력!$G:$G,$B821,실시간콜입력!$O:$O,"방문완료")+COUNTIFS(실시간콜입력!$B:$B,$A821,실시간콜입력!$E:$E,"E",실시간콜입력!$H:$H,$B821,실시간콜입력!$O:$O,"방문완료")</f>
        <v>0</v>
      </c>
      <c r="K821" s="29">
        <f t="shared" si="110"/>
        <v>0</v>
      </c>
      <c r="L821" s="27">
        <f>SUMIFS(실시간콜입력!$K:$K,실시간콜입력!$B:$B,$A821,실시간콜입력!$G:$G,$B821,실시간콜입력!$O:$O,"방문완료")+SUMIFS(실시간콜입력!$L:$L,실시간콜입력!$B:$B,$A821,실시간콜입력!$H:$H,$B821,실시간콜입력!$O:$O,"방문완료")</f>
        <v>0</v>
      </c>
      <c r="M821" s="29" t="str">
        <f t="shared" si="111"/>
        <v/>
      </c>
      <c r="N821" s="29"/>
    </row>
    <row r="822" spans="1:14" ht="19.5" hidden="1" customHeight="1" outlineLevel="1">
      <c r="A822" s="30">
        <f>IF(16&lt;=DAY(DATE(YEAR(설정_코스수당!$K$2),MONTH(설정_코스수당!$K$2)+1,0)),DATE(YEAR(설정_코스수당!$K$2),MONTH(설정_코스수당!$K$2),16),"")</f>
        <v>46189</v>
      </c>
      <c r="B822" s="29" t="s">
        <v>198</v>
      </c>
      <c r="C822" s="29"/>
      <c r="D822" s="29"/>
      <c r="E822" s="29" t="str">
        <f t="shared" si="109"/>
        <v/>
      </c>
      <c r="F822" s="29">
        <f>COUNTIFS(실시간콜입력!$B:$B,$A822,실시간콜입력!$E:$E,"A",실시간콜입력!$G:$G,$B822,실시간콜입력!$O:$O,"방문완료")+COUNTIFS(실시간콜입력!$B:$B,$A822,실시간콜입력!$E:$E,"A",실시간콜입력!$H:$H,$B822,실시간콜입력!$O:$O,"방문완료")</f>
        <v>0</v>
      </c>
      <c r="G822" s="29">
        <f>COUNTIFS(실시간콜입력!$B:$B,$A822,실시간콜입력!$E:$E,"B",실시간콜입력!$G:$G,$B822,실시간콜입력!$O:$O,"방문완료")+COUNTIFS(실시간콜입력!$B:$B,$A822,실시간콜입력!$E:$E,"B",실시간콜입력!$H:$H,$B822,실시간콜입력!$O:$O,"방문완료")</f>
        <v>0</v>
      </c>
      <c r="H822" s="29">
        <f>COUNTIFS(실시간콜입력!$B:$B,$A822,실시간콜입력!$E:$E,"C",실시간콜입력!$G:$G,$B822,실시간콜입력!$O:$O,"방문완료")+COUNTIFS(실시간콜입력!$B:$B,$A822,실시간콜입력!$E:$E,"C",실시간콜입력!$H:$H,$B822,실시간콜입력!$O:$O,"방문완료")</f>
        <v>0</v>
      </c>
      <c r="I822" s="29">
        <f>COUNTIFS(실시간콜입력!$B:$B,$A822,실시간콜입력!$E:$E,"D",실시간콜입력!$G:$G,$B822,실시간콜입력!$O:$O,"방문완료")+COUNTIFS(실시간콜입력!$B:$B,$A822,실시간콜입력!$E:$E,"D",실시간콜입력!$H:$H,$B822,실시간콜입력!$O:$O,"방문완료")</f>
        <v>0</v>
      </c>
      <c r="J822" s="29">
        <f>COUNTIFS(실시간콜입력!$B:$B,$A822,실시간콜입력!$E:$E,"E",실시간콜입력!$G:$G,$B822,실시간콜입력!$O:$O,"방문완료")+COUNTIFS(실시간콜입력!$B:$B,$A822,실시간콜입력!$E:$E,"E",실시간콜입력!$H:$H,$B822,실시간콜입력!$O:$O,"방문완료")</f>
        <v>0</v>
      </c>
      <c r="K822" s="29">
        <f t="shared" si="110"/>
        <v>0</v>
      </c>
      <c r="L822" s="33">
        <f>SUMIFS(실시간콜입력!$K:$K,실시간콜입력!$B:$B,$A822,실시간콜입력!$G:$G,$B822,실시간콜입력!$O:$O,"방문완료")+SUMIFS(실시간콜입력!$L:$L,실시간콜입력!$B:$B,$A822,실시간콜입력!$H:$H,$B822,실시간콜입력!$O:$O,"방문완료")</f>
        <v>0</v>
      </c>
      <c r="M822" s="29" t="str">
        <f t="shared" si="111"/>
        <v/>
      </c>
      <c r="N822" s="29"/>
    </row>
    <row r="823" spans="1:14" ht="19.5" hidden="1" customHeight="1" outlineLevel="1">
      <c r="A823" s="24">
        <f>IF(16&lt;=DAY(DATE(YEAR(설정_코스수당!$K$2),MONTH(설정_코스수당!$K$2)+1,0)),DATE(YEAR(설정_코스수당!$K$2),MONTH(설정_코스수당!$K$2),16),"")</f>
        <v>46189</v>
      </c>
      <c r="B823" s="23" t="s">
        <v>199</v>
      </c>
      <c r="C823" s="29"/>
      <c r="D823" s="29"/>
      <c r="E823" s="29" t="str">
        <f t="shared" si="109"/>
        <v/>
      </c>
      <c r="F823" s="29">
        <f>COUNTIFS(실시간콜입력!$B:$B,$A823,실시간콜입력!$E:$E,"A",실시간콜입력!$G:$G,$B823,실시간콜입력!$O:$O,"방문완료")+COUNTIFS(실시간콜입력!$B:$B,$A823,실시간콜입력!$E:$E,"A",실시간콜입력!$H:$H,$B823,실시간콜입력!$O:$O,"방문완료")</f>
        <v>0</v>
      </c>
      <c r="G823" s="29">
        <f>COUNTIFS(실시간콜입력!$B:$B,$A823,실시간콜입력!$E:$E,"B",실시간콜입력!$G:$G,$B823,실시간콜입력!$O:$O,"방문완료")+COUNTIFS(실시간콜입력!$B:$B,$A823,실시간콜입력!$E:$E,"B",실시간콜입력!$H:$H,$B823,실시간콜입력!$O:$O,"방문완료")</f>
        <v>0</v>
      </c>
      <c r="H823" s="29">
        <f>COUNTIFS(실시간콜입력!$B:$B,$A823,실시간콜입력!$E:$E,"C",실시간콜입력!$G:$G,$B823,실시간콜입력!$O:$O,"방문완료")+COUNTIFS(실시간콜입력!$B:$B,$A823,실시간콜입력!$E:$E,"C",실시간콜입력!$H:$H,$B823,실시간콜입력!$O:$O,"방문완료")</f>
        <v>0</v>
      </c>
      <c r="I823" s="29">
        <f>COUNTIFS(실시간콜입력!$B:$B,$A823,실시간콜입력!$E:$E,"D",실시간콜입력!$G:$G,$B823,실시간콜입력!$O:$O,"방문완료")+COUNTIFS(실시간콜입력!$B:$B,$A823,실시간콜입력!$E:$E,"D",실시간콜입력!$H:$H,$B823,실시간콜입력!$O:$O,"방문완료")</f>
        <v>0</v>
      </c>
      <c r="J823" s="29">
        <f>COUNTIFS(실시간콜입력!$B:$B,$A823,실시간콜입력!$E:$E,"E",실시간콜입력!$G:$G,$B823,실시간콜입력!$O:$O,"방문완료")+COUNTIFS(실시간콜입력!$B:$B,$A823,실시간콜입력!$E:$E,"E",실시간콜입력!$H:$H,$B823,실시간콜입력!$O:$O,"방문완료")</f>
        <v>0</v>
      </c>
      <c r="K823" s="29">
        <f t="shared" si="110"/>
        <v>0</v>
      </c>
      <c r="L823" s="27">
        <f>SUMIFS(실시간콜입력!$K:$K,실시간콜입력!$B:$B,$A823,실시간콜입력!$G:$G,$B823,실시간콜입력!$O:$O,"방문완료")+SUMIFS(실시간콜입력!$L:$L,실시간콜입력!$B:$B,$A823,실시간콜입력!$H:$H,$B823,실시간콜입력!$O:$O,"방문완료")</f>
        <v>0</v>
      </c>
      <c r="M823" s="29" t="str">
        <f t="shared" si="111"/>
        <v/>
      </c>
      <c r="N823" s="29"/>
    </row>
    <row r="824" spans="1:14" ht="19.5" hidden="1" customHeight="1" outlineLevel="1">
      <c r="A824" s="30">
        <f>IF(16&lt;=DAY(DATE(YEAR(설정_코스수당!$K$2),MONTH(설정_코스수당!$K$2)+1,0)),DATE(YEAR(설정_코스수당!$K$2),MONTH(설정_코스수당!$K$2),16),"")</f>
        <v>46189</v>
      </c>
      <c r="B824" s="29" t="s">
        <v>200</v>
      </c>
      <c r="C824" s="29"/>
      <c r="D824" s="29"/>
      <c r="E824" s="29" t="str">
        <f t="shared" si="109"/>
        <v/>
      </c>
      <c r="F824" s="29">
        <f>COUNTIFS(실시간콜입력!$B:$B,$A824,실시간콜입력!$E:$E,"A",실시간콜입력!$G:$G,$B824,실시간콜입력!$O:$O,"방문완료")+COUNTIFS(실시간콜입력!$B:$B,$A824,실시간콜입력!$E:$E,"A",실시간콜입력!$H:$H,$B824,실시간콜입력!$O:$O,"방문완료")</f>
        <v>0</v>
      </c>
      <c r="G824" s="29">
        <f>COUNTIFS(실시간콜입력!$B:$B,$A824,실시간콜입력!$E:$E,"B",실시간콜입력!$G:$G,$B824,실시간콜입력!$O:$O,"방문완료")+COUNTIFS(실시간콜입력!$B:$B,$A824,실시간콜입력!$E:$E,"B",실시간콜입력!$H:$H,$B824,실시간콜입력!$O:$O,"방문완료")</f>
        <v>0</v>
      </c>
      <c r="H824" s="29">
        <f>COUNTIFS(실시간콜입력!$B:$B,$A824,실시간콜입력!$E:$E,"C",실시간콜입력!$G:$G,$B824,실시간콜입력!$O:$O,"방문완료")+COUNTIFS(실시간콜입력!$B:$B,$A824,실시간콜입력!$E:$E,"C",실시간콜입력!$H:$H,$B824,실시간콜입력!$O:$O,"방문완료")</f>
        <v>0</v>
      </c>
      <c r="I824" s="29">
        <f>COUNTIFS(실시간콜입력!$B:$B,$A824,실시간콜입력!$E:$E,"D",실시간콜입력!$G:$G,$B824,실시간콜입력!$O:$O,"방문완료")+COUNTIFS(실시간콜입력!$B:$B,$A824,실시간콜입력!$E:$E,"D",실시간콜입력!$H:$H,$B824,실시간콜입력!$O:$O,"방문완료")</f>
        <v>0</v>
      </c>
      <c r="J824" s="29">
        <f>COUNTIFS(실시간콜입력!$B:$B,$A824,실시간콜입력!$E:$E,"E",실시간콜입력!$G:$G,$B824,실시간콜입력!$O:$O,"방문완료")+COUNTIFS(실시간콜입력!$B:$B,$A824,실시간콜입력!$E:$E,"E",실시간콜입력!$H:$H,$B824,실시간콜입력!$O:$O,"방문완료")</f>
        <v>0</v>
      </c>
      <c r="K824" s="29">
        <f t="shared" si="110"/>
        <v>0</v>
      </c>
      <c r="L824" s="33">
        <f>SUMIFS(실시간콜입력!$K:$K,실시간콜입력!$B:$B,$A824,실시간콜입력!$G:$G,$B824,실시간콜입력!$O:$O,"방문완료")+SUMIFS(실시간콜입력!$L:$L,실시간콜입력!$B:$B,$A824,실시간콜입력!$H:$H,$B824,실시간콜입력!$O:$O,"방문완료")</f>
        <v>0</v>
      </c>
      <c r="M824" s="29" t="str">
        <f t="shared" si="111"/>
        <v/>
      </c>
      <c r="N824" s="29"/>
    </row>
    <row r="825" spans="1:14" ht="19.5" hidden="1" customHeight="1" outlineLevel="1">
      <c r="A825" s="24">
        <f>IF(16&lt;=DAY(DATE(YEAR(설정_코스수당!$K$2),MONTH(설정_코스수당!$K$2)+1,0)),DATE(YEAR(설정_코스수당!$K$2),MONTH(설정_코스수당!$K$2),16),"")</f>
        <v>46189</v>
      </c>
      <c r="B825" s="23" t="s">
        <v>201</v>
      </c>
      <c r="C825" s="29"/>
      <c r="D825" s="29"/>
      <c r="E825" s="29" t="str">
        <f t="shared" si="109"/>
        <v/>
      </c>
      <c r="F825" s="29">
        <f>COUNTIFS(실시간콜입력!$B:$B,$A825,실시간콜입력!$E:$E,"A",실시간콜입력!$G:$G,$B825,실시간콜입력!$O:$O,"방문완료")+COUNTIFS(실시간콜입력!$B:$B,$A825,실시간콜입력!$E:$E,"A",실시간콜입력!$H:$H,$B825,실시간콜입력!$O:$O,"방문완료")</f>
        <v>0</v>
      </c>
      <c r="G825" s="29">
        <f>COUNTIFS(실시간콜입력!$B:$B,$A825,실시간콜입력!$E:$E,"B",실시간콜입력!$G:$G,$B825,실시간콜입력!$O:$O,"방문완료")+COUNTIFS(실시간콜입력!$B:$B,$A825,실시간콜입력!$E:$E,"B",실시간콜입력!$H:$H,$B825,실시간콜입력!$O:$O,"방문완료")</f>
        <v>0</v>
      </c>
      <c r="H825" s="29">
        <f>COUNTIFS(실시간콜입력!$B:$B,$A825,실시간콜입력!$E:$E,"C",실시간콜입력!$G:$G,$B825,실시간콜입력!$O:$O,"방문완료")+COUNTIFS(실시간콜입력!$B:$B,$A825,실시간콜입력!$E:$E,"C",실시간콜입력!$H:$H,$B825,실시간콜입력!$O:$O,"방문완료")</f>
        <v>0</v>
      </c>
      <c r="I825" s="29">
        <f>COUNTIFS(실시간콜입력!$B:$B,$A825,실시간콜입력!$E:$E,"D",실시간콜입력!$G:$G,$B825,실시간콜입력!$O:$O,"방문완료")+COUNTIFS(실시간콜입력!$B:$B,$A825,실시간콜입력!$E:$E,"D",실시간콜입력!$H:$H,$B825,실시간콜입력!$O:$O,"방문완료")</f>
        <v>0</v>
      </c>
      <c r="J825" s="29">
        <f>COUNTIFS(실시간콜입력!$B:$B,$A825,실시간콜입력!$E:$E,"E",실시간콜입력!$G:$G,$B825,실시간콜입력!$O:$O,"방문완료")+COUNTIFS(실시간콜입력!$B:$B,$A825,실시간콜입력!$E:$E,"E",실시간콜입력!$H:$H,$B825,실시간콜입력!$O:$O,"방문완료")</f>
        <v>0</v>
      </c>
      <c r="K825" s="29">
        <f t="shared" si="110"/>
        <v>0</v>
      </c>
      <c r="L825" s="27">
        <f>SUMIFS(실시간콜입력!$K:$K,실시간콜입력!$B:$B,$A825,실시간콜입력!$G:$G,$B825,실시간콜입력!$O:$O,"방문완료")+SUMIFS(실시간콜입력!$L:$L,실시간콜입력!$B:$B,$A825,실시간콜입력!$H:$H,$B825,실시간콜입력!$O:$O,"방문완료")</f>
        <v>0</v>
      </c>
      <c r="M825" s="29" t="str">
        <f t="shared" si="111"/>
        <v/>
      </c>
      <c r="N825" s="29"/>
    </row>
    <row r="826" spans="1:14" ht="19.5" hidden="1" customHeight="1" outlineLevel="1">
      <c r="A826" s="30">
        <f>IF(16&lt;=DAY(DATE(YEAR(설정_코스수당!$K$2),MONTH(설정_코스수당!$K$2)+1,0)),DATE(YEAR(설정_코스수당!$K$2),MONTH(설정_코스수당!$K$2),16),"")</f>
        <v>46189</v>
      </c>
      <c r="B826" s="29" t="s">
        <v>202</v>
      </c>
      <c r="C826" s="29"/>
      <c r="D826" s="29"/>
      <c r="E826" s="29" t="str">
        <f t="shared" si="109"/>
        <v/>
      </c>
      <c r="F826" s="29">
        <f>COUNTIFS(실시간콜입력!$B:$B,$A826,실시간콜입력!$E:$E,"A",실시간콜입력!$G:$G,$B826,실시간콜입력!$O:$O,"방문완료")+COUNTIFS(실시간콜입력!$B:$B,$A826,실시간콜입력!$E:$E,"A",실시간콜입력!$H:$H,$B826,실시간콜입력!$O:$O,"방문완료")</f>
        <v>0</v>
      </c>
      <c r="G826" s="29">
        <f>COUNTIFS(실시간콜입력!$B:$B,$A826,실시간콜입력!$E:$E,"B",실시간콜입력!$G:$G,$B826,실시간콜입력!$O:$O,"방문완료")+COUNTIFS(실시간콜입력!$B:$B,$A826,실시간콜입력!$E:$E,"B",실시간콜입력!$H:$H,$B826,실시간콜입력!$O:$O,"방문완료")</f>
        <v>0</v>
      </c>
      <c r="H826" s="29">
        <f>COUNTIFS(실시간콜입력!$B:$B,$A826,실시간콜입력!$E:$E,"C",실시간콜입력!$G:$G,$B826,실시간콜입력!$O:$O,"방문완료")+COUNTIFS(실시간콜입력!$B:$B,$A826,실시간콜입력!$E:$E,"C",실시간콜입력!$H:$H,$B826,실시간콜입력!$O:$O,"방문완료")</f>
        <v>0</v>
      </c>
      <c r="I826" s="29">
        <f>COUNTIFS(실시간콜입력!$B:$B,$A826,실시간콜입력!$E:$E,"D",실시간콜입력!$G:$G,$B826,실시간콜입력!$O:$O,"방문완료")+COUNTIFS(실시간콜입력!$B:$B,$A826,실시간콜입력!$E:$E,"D",실시간콜입력!$H:$H,$B826,실시간콜입력!$O:$O,"방문완료")</f>
        <v>0</v>
      </c>
      <c r="J826" s="29">
        <f>COUNTIFS(실시간콜입력!$B:$B,$A826,실시간콜입력!$E:$E,"E",실시간콜입력!$G:$G,$B826,실시간콜입력!$O:$O,"방문완료")+COUNTIFS(실시간콜입력!$B:$B,$A826,실시간콜입력!$E:$E,"E",실시간콜입력!$H:$H,$B826,실시간콜입력!$O:$O,"방문완료")</f>
        <v>0</v>
      </c>
      <c r="K826" s="29">
        <f t="shared" si="110"/>
        <v>0</v>
      </c>
      <c r="L826" s="33">
        <f>SUMIFS(실시간콜입력!$K:$K,실시간콜입력!$B:$B,$A826,실시간콜입력!$G:$G,$B826,실시간콜입력!$O:$O,"방문완료")+SUMIFS(실시간콜입력!$L:$L,실시간콜입력!$B:$B,$A826,실시간콜입력!$H:$H,$B826,실시간콜입력!$O:$O,"방문완료")</f>
        <v>0</v>
      </c>
      <c r="M826" s="29" t="str">
        <f t="shared" si="111"/>
        <v/>
      </c>
      <c r="N826" s="29"/>
    </row>
    <row r="827" spans="1:14" ht="19.5" hidden="1" customHeight="1" outlineLevel="1">
      <c r="A827" s="24">
        <f>IF(16&lt;=DAY(DATE(YEAR(설정_코스수당!$K$2),MONTH(설정_코스수당!$K$2)+1,0)),DATE(YEAR(설정_코스수당!$K$2),MONTH(설정_코스수당!$K$2),16),"")</f>
        <v>46189</v>
      </c>
      <c r="B827" s="23" t="s">
        <v>203</v>
      </c>
      <c r="C827" s="29"/>
      <c r="D827" s="29"/>
      <c r="E827" s="29" t="str">
        <f t="shared" si="109"/>
        <v/>
      </c>
      <c r="F827" s="29">
        <f>COUNTIFS(실시간콜입력!$B:$B,$A827,실시간콜입력!$E:$E,"A",실시간콜입력!$G:$G,$B827,실시간콜입력!$O:$O,"방문완료")+COUNTIFS(실시간콜입력!$B:$B,$A827,실시간콜입력!$E:$E,"A",실시간콜입력!$H:$H,$B827,실시간콜입력!$O:$O,"방문완료")</f>
        <v>0</v>
      </c>
      <c r="G827" s="29">
        <f>COUNTIFS(실시간콜입력!$B:$B,$A827,실시간콜입력!$E:$E,"B",실시간콜입력!$G:$G,$B827,실시간콜입력!$O:$O,"방문완료")+COUNTIFS(실시간콜입력!$B:$B,$A827,실시간콜입력!$E:$E,"B",실시간콜입력!$H:$H,$B827,실시간콜입력!$O:$O,"방문완료")</f>
        <v>0</v>
      </c>
      <c r="H827" s="29">
        <f>COUNTIFS(실시간콜입력!$B:$B,$A827,실시간콜입력!$E:$E,"C",실시간콜입력!$G:$G,$B827,실시간콜입력!$O:$O,"방문완료")+COUNTIFS(실시간콜입력!$B:$B,$A827,실시간콜입력!$E:$E,"C",실시간콜입력!$H:$H,$B827,실시간콜입력!$O:$O,"방문완료")</f>
        <v>0</v>
      </c>
      <c r="I827" s="29">
        <f>COUNTIFS(실시간콜입력!$B:$B,$A827,실시간콜입력!$E:$E,"D",실시간콜입력!$G:$G,$B827,실시간콜입력!$O:$O,"방문완료")+COUNTIFS(실시간콜입력!$B:$B,$A827,실시간콜입력!$E:$E,"D",실시간콜입력!$H:$H,$B827,실시간콜입력!$O:$O,"방문완료")</f>
        <v>0</v>
      </c>
      <c r="J827" s="29">
        <f>COUNTIFS(실시간콜입력!$B:$B,$A827,실시간콜입력!$E:$E,"E",실시간콜입력!$G:$G,$B827,실시간콜입력!$O:$O,"방문완료")+COUNTIFS(실시간콜입력!$B:$B,$A827,실시간콜입력!$E:$E,"E",실시간콜입력!$H:$H,$B827,실시간콜입력!$O:$O,"방문완료")</f>
        <v>0</v>
      </c>
      <c r="K827" s="29">
        <f t="shared" si="110"/>
        <v>0</v>
      </c>
      <c r="L827" s="27">
        <f>SUMIFS(실시간콜입력!$K:$K,실시간콜입력!$B:$B,$A827,실시간콜입력!$G:$G,$B827,실시간콜입력!$O:$O,"방문완료")+SUMIFS(실시간콜입력!$L:$L,실시간콜입력!$B:$B,$A827,실시간콜입력!$H:$H,$B827,실시간콜입력!$O:$O,"방문완료")</f>
        <v>0</v>
      </c>
      <c r="M827" s="29" t="str">
        <f t="shared" si="111"/>
        <v/>
      </c>
      <c r="N827" s="29"/>
    </row>
    <row r="828" spans="1:14" ht="19.5" hidden="1" customHeight="1" outlineLevel="1">
      <c r="A828" s="30">
        <f>IF(16&lt;=DAY(DATE(YEAR(설정_코스수당!$K$2),MONTH(설정_코스수당!$K$2)+1,0)),DATE(YEAR(설정_코스수당!$K$2),MONTH(설정_코스수당!$K$2),16),"")</f>
        <v>46189</v>
      </c>
      <c r="B828" s="29" t="s">
        <v>204</v>
      </c>
      <c r="C828" s="29"/>
      <c r="D828" s="29"/>
      <c r="E828" s="29" t="str">
        <f t="shared" si="109"/>
        <v/>
      </c>
      <c r="F828" s="29">
        <f>COUNTIFS(실시간콜입력!$B:$B,$A828,실시간콜입력!$E:$E,"A",실시간콜입력!$G:$G,$B828,실시간콜입력!$O:$O,"방문완료")+COUNTIFS(실시간콜입력!$B:$B,$A828,실시간콜입력!$E:$E,"A",실시간콜입력!$H:$H,$B828,실시간콜입력!$O:$O,"방문완료")</f>
        <v>0</v>
      </c>
      <c r="G828" s="29">
        <f>COUNTIFS(실시간콜입력!$B:$B,$A828,실시간콜입력!$E:$E,"B",실시간콜입력!$G:$G,$B828,실시간콜입력!$O:$O,"방문완료")+COUNTIFS(실시간콜입력!$B:$B,$A828,실시간콜입력!$E:$E,"B",실시간콜입력!$H:$H,$B828,실시간콜입력!$O:$O,"방문완료")</f>
        <v>0</v>
      </c>
      <c r="H828" s="29">
        <f>COUNTIFS(실시간콜입력!$B:$B,$A828,실시간콜입력!$E:$E,"C",실시간콜입력!$G:$G,$B828,실시간콜입력!$O:$O,"방문완료")+COUNTIFS(실시간콜입력!$B:$B,$A828,실시간콜입력!$E:$E,"C",실시간콜입력!$H:$H,$B828,실시간콜입력!$O:$O,"방문완료")</f>
        <v>0</v>
      </c>
      <c r="I828" s="29">
        <f>COUNTIFS(실시간콜입력!$B:$B,$A828,실시간콜입력!$E:$E,"D",실시간콜입력!$G:$G,$B828,실시간콜입력!$O:$O,"방문완료")+COUNTIFS(실시간콜입력!$B:$B,$A828,실시간콜입력!$E:$E,"D",실시간콜입력!$H:$H,$B828,실시간콜입력!$O:$O,"방문완료")</f>
        <v>0</v>
      </c>
      <c r="J828" s="29">
        <f>COUNTIFS(실시간콜입력!$B:$B,$A828,실시간콜입력!$E:$E,"E",실시간콜입력!$G:$G,$B828,실시간콜입력!$O:$O,"방문완료")+COUNTIFS(실시간콜입력!$B:$B,$A828,실시간콜입력!$E:$E,"E",실시간콜입력!$H:$H,$B828,실시간콜입력!$O:$O,"방문완료")</f>
        <v>0</v>
      </c>
      <c r="K828" s="29">
        <f t="shared" si="110"/>
        <v>0</v>
      </c>
      <c r="L828" s="33">
        <f>SUMIFS(실시간콜입력!$K:$K,실시간콜입력!$B:$B,$A828,실시간콜입력!$G:$G,$B828,실시간콜입력!$O:$O,"방문완료")+SUMIFS(실시간콜입력!$L:$L,실시간콜입력!$B:$B,$A828,실시간콜입력!$H:$H,$B828,실시간콜입력!$O:$O,"방문완료")</f>
        <v>0</v>
      </c>
      <c r="M828" s="29" t="str">
        <f t="shared" si="111"/>
        <v/>
      </c>
      <c r="N828" s="29"/>
    </row>
    <row r="829" spans="1:14" ht="19.5" hidden="1" customHeight="1" outlineLevel="1">
      <c r="A829" s="24">
        <f>IF(16&lt;=DAY(DATE(YEAR(설정_코스수당!$K$2),MONTH(설정_코스수당!$K$2)+1,0)),DATE(YEAR(설정_코스수당!$K$2),MONTH(설정_코스수당!$K$2),16),"")</f>
        <v>46189</v>
      </c>
      <c r="B829" s="23" t="s">
        <v>205</v>
      </c>
      <c r="C829" s="29"/>
      <c r="D829" s="29"/>
      <c r="E829" s="29" t="str">
        <f t="shared" si="109"/>
        <v/>
      </c>
      <c r="F829" s="29">
        <f>COUNTIFS(실시간콜입력!$B:$B,$A829,실시간콜입력!$E:$E,"A",실시간콜입력!$G:$G,$B829,실시간콜입력!$O:$O,"방문완료")+COUNTIFS(실시간콜입력!$B:$B,$A829,실시간콜입력!$E:$E,"A",실시간콜입력!$H:$H,$B829,실시간콜입력!$O:$O,"방문완료")</f>
        <v>0</v>
      </c>
      <c r="G829" s="29">
        <f>COUNTIFS(실시간콜입력!$B:$B,$A829,실시간콜입력!$E:$E,"B",실시간콜입력!$G:$G,$B829,실시간콜입력!$O:$O,"방문완료")+COUNTIFS(실시간콜입력!$B:$B,$A829,실시간콜입력!$E:$E,"B",실시간콜입력!$H:$H,$B829,실시간콜입력!$O:$O,"방문완료")</f>
        <v>0</v>
      </c>
      <c r="H829" s="29">
        <f>COUNTIFS(실시간콜입력!$B:$B,$A829,실시간콜입력!$E:$E,"C",실시간콜입력!$G:$G,$B829,실시간콜입력!$O:$O,"방문완료")+COUNTIFS(실시간콜입력!$B:$B,$A829,실시간콜입력!$E:$E,"C",실시간콜입력!$H:$H,$B829,실시간콜입력!$O:$O,"방문완료")</f>
        <v>0</v>
      </c>
      <c r="I829" s="29">
        <f>COUNTIFS(실시간콜입력!$B:$B,$A829,실시간콜입력!$E:$E,"D",실시간콜입력!$G:$G,$B829,실시간콜입력!$O:$O,"방문완료")+COUNTIFS(실시간콜입력!$B:$B,$A829,실시간콜입력!$E:$E,"D",실시간콜입력!$H:$H,$B829,실시간콜입력!$O:$O,"방문완료")</f>
        <v>0</v>
      </c>
      <c r="J829" s="29">
        <f>COUNTIFS(실시간콜입력!$B:$B,$A829,실시간콜입력!$E:$E,"E",실시간콜입력!$G:$G,$B829,실시간콜입력!$O:$O,"방문완료")+COUNTIFS(실시간콜입력!$B:$B,$A829,실시간콜입력!$E:$E,"E",실시간콜입력!$H:$H,$B829,실시간콜입력!$O:$O,"방문완료")</f>
        <v>0</v>
      </c>
      <c r="K829" s="29">
        <f t="shared" si="110"/>
        <v>0</v>
      </c>
      <c r="L829" s="27">
        <f>SUMIFS(실시간콜입력!$K:$K,실시간콜입력!$B:$B,$A829,실시간콜입력!$G:$G,$B829,실시간콜입력!$O:$O,"방문완료")+SUMIFS(실시간콜입력!$L:$L,실시간콜입력!$B:$B,$A829,실시간콜입력!$H:$H,$B829,실시간콜입력!$O:$O,"방문완료")</f>
        <v>0</v>
      </c>
      <c r="M829" s="29" t="str">
        <f t="shared" si="111"/>
        <v/>
      </c>
      <c r="N829" s="29"/>
    </row>
    <row r="830" spans="1:14" ht="19.5" hidden="1" customHeight="1" outlineLevel="1">
      <c r="A830" s="30">
        <f>IF(16&lt;=DAY(DATE(YEAR(설정_코스수당!$K$2),MONTH(설정_코스수당!$K$2)+1,0)),DATE(YEAR(설정_코스수당!$K$2),MONTH(설정_코스수당!$K$2),16),"")</f>
        <v>46189</v>
      </c>
      <c r="B830" s="29" t="s">
        <v>206</v>
      </c>
      <c r="C830" s="29"/>
      <c r="D830" s="29"/>
      <c r="E830" s="29" t="str">
        <f t="shared" si="109"/>
        <v/>
      </c>
      <c r="F830" s="29">
        <f>COUNTIFS(실시간콜입력!$B:$B,$A830,실시간콜입력!$E:$E,"A",실시간콜입력!$G:$G,$B830,실시간콜입력!$O:$O,"방문완료")+COUNTIFS(실시간콜입력!$B:$B,$A830,실시간콜입력!$E:$E,"A",실시간콜입력!$H:$H,$B830,실시간콜입력!$O:$O,"방문완료")</f>
        <v>0</v>
      </c>
      <c r="G830" s="29">
        <f>COUNTIFS(실시간콜입력!$B:$B,$A830,실시간콜입력!$E:$E,"B",실시간콜입력!$G:$G,$B830,실시간콜입력!$O:$O,"방문완료")+COUNTIFS(실시간콜입력!$B:$B,$A830,실시간콜입력!$E:$E,"B",실시간콜입력!$H:$H,$B830,실시간콜입력!$O:$O,"방문완료")</f>
        <v>0</v>
      </c>
      <c r="H830" s="29">
        <f>COUNTIFS(실시간콜입력!$B:$B,$A830,실시간콜입력!$E:$E,"C",실시간콜입력!$G:$G,$B830,실시간콜입력!$O:$O,"방문완료")+COUNTIFS(실시간콜입력!$B:$B,$A830,실시간콜입력!$E:$E,"C",실시간콜입력!$H:$H,$B830,실시간콜입력!$O:$O,"방문완료")</f>
        <v>0</v>
      </c>
      <c r="I830" s="29">
        <f>COUNTIFS(실시간콜입력!$B:$B,$A830,실시간콜입력!$E:$E,"D",실시간콜입력!$G:$G,$B830,실시간콜입력!$O:$O,"방문완료")+COUNTIFS(실시간콜입력!$B:$B,$A830,실시간콜입력!$E:$E,"D",실시간콜입력!$H:$H,$B830,실시간콜입력!$O:$O,"방문완료")</f>
        <v>0</v>
      </c>
      <c r="J830" s="29">
        <f>COUNTIFS(실시간콜입력!$B:$B,$A830,실시간콜입력!$E:$E,"E",실시간콜입력!$G:$G,$B830,실시간콜입력!$O:$O,"방문완료")+COUNTIFS(실시간콜입력!$B:$B,$A830,실시간콜입력!$E:$E,"E",실시간콜입력!$H:$H,$B830,실시간콜입력!$O:$O,"방문완료")</f>
        <v>0</v>
      </c>
      <c r="K830" s="29">
        <f t="shared" si="110"/>
        <v>0</v>
      </c>
      <c r="L830" s="33">
        <f>SUMIFS(실시간콜입력!$K:$K,실시간콜입력!$B:$B,$A830,실시간콜입력!$G:$G,$B830,실시간콜입력!$O:$O,"방문완료")+SUMIFS(실시간콜입력!$L:$L,실시간콜입력!$B:$B,$A830,실시간콜입력!$H:$H,$B830,실시간콜입력!$O:$O,"방문완료")</f>
        <v>0</v>
      </c>
      <c r="M830" s="29" t="str">
        <f t="shared" si="111"/>
        <v/>
      </c>
      <c r="N830" s="29"/>
    </row>
    <row r="831" spans="1:14" ht="19.5" hidden="1" customHeight="1" outlineLevel="1">
      <c r="A831" s="24">
        <f>IF(16&lt;=DAY(DATE(YEAR(설정_코스수당!$K$2),MONTH(설정_코스수당!$K$2)+1,0)),DATE(YEAR(설정_코스수당!$K$2),MONTH(설정_코스수당!$K$2),16),"")</f>
        <v>46189</v>
      </c>
      <c r="B831" s="23" t="s">
        <v>207</v>
      </c>
      <c r="C831" s="29"/>
      <c r="D831" s="29"/>
      <c r="E831" s="29" t="str">
        <f t="shared" si="109"/>
        <v/>
      </c>
      <c r="F831" s="29">
        <f>COUNTIFS(실시간콜입력!$B:$B,$A831,실시간콜입력!$E:$E,"A",실시간콜입력!$G:$G,$B831,실시간콜입력!$O:$O,"방문완료")+COUNTIFS(실시간콜입력!$B:$B,$A831,실시간콜입력!$E:$E,"A",실시간콜입력!$H:$H,$B831,실시간콜입력!$O:$O,"방문완료")</f>
        <v>0</v>
      </c>
      <c r="G831" s="29">
        <f>COUNTIFS(실시간콜입력!$B:$B,$A831,실시간콜입력!$E:$E,"B",실시간콜입력!$G:$G,$B831,실시간콜입력!$O:$O,"방문완료")+COUNTIFS(실시간콜입력!$B:$B,$A831,실시간콜입력!$E:$E,"B",실시간콜입력!$H:$H,$B831,실시간콜입력!$O:$O,"방문완료")</f>
        <v>0</v>
      </c>
      <c r="H831" s="29">
        <f>COUNTIFS(실시간콜입력!$B:$B,$A831,실시간콜입력!$E:$E,"C",실시간콜입력!$G:$G,$B831,실시간콜입력!$O:$O,"방문완료")+COUNTIFS(실시간콜입력!$B:$B,$A831,실시간콜입력!$E:$E,"C",실시간콜입력!$H:$H,$B831,실시간콜입력!$O:$O,"방문완료")</f>
        <v>0</v>
      </c>
      <c r="I831" s="29">
        <f>COUNTIFS(실시간콜입력!$B:$B,$A831,실시간콜입력!$E:$E,"D",실시간콜입력!$G:$G,$B831,실시간콜입력!$O:$O,"방문완료")+COUNTIFS(실시간콜입력!$B:$B,$A831,실시간콜입력!$E:$E,"D",실시간콜입력!$H:$H,$B831,실시간콜입력!$O:$O,"방문완료")</f>
        <v>0</v>
      </c>
      <c r="J831" s="29">
        <f>COUNTIFS(실시간콜입력!$B:$B,$A831,실시간콜입력!$E:$E,"E",실시간콜입력!$G:$G,$B831,실시간콜입력!$O:$O,"방문완료")+COUNTIFS(실시간콜입력!$B:$B,$A831,실시간콜입력!$E:$E,"E",실시간콜입력!$H:$H,$B831,실시간콜입력!$O:$O,"방문완료")</f>
        <v>0</v>
      </c>
      <c r="K831" s="29">
        <f t="shared" si="110"/>
        <v>0</v>
      </c>
      <c r="L831" s="27">
        <f>SUMIFS(실시간콜입력!$K:$K,실시간콜입력!$B:$B,$A831,실시간콜입력!$G:$G,$B831,실시간콜입력!$O:$O,"방문완료")+SUMIFS(실시간콜입력!$L:$L,실시간콜입력!$B:$B,$A831,실시간콜입력!$H:$H,$B831,실시간콜입력!$O:$O,"방문완료")</f>
        <v>0</v>
      </c>
      <c r="M831" s="29" t="str">
        <f t="shared" si="111"/>
        <v/>
      </c>
      <c r="N831" s="29"/>
    </row>
    <row r="832" spans="1:14" ht="19.5" hidden="1" customHeight="1" outlineLevel="1">
      <c r="A832" s="30">
        <f>IF(16&lt;=DAY(DATE(YEAR(설정_코스수당!$K$2),MONTH(설정_코스수당!$K$2)+1,0)),DATE(YEAR(설정_코스수당!$K$2),MONTH(설정_코스수당!$K$2),16),"")</f>
        <v>46189</v>
      </c>
      <c r="B832" s="29" t="s">
        <v>208</v>
      </c>
      <c r="C832" s="29"/>
      <c r="D832" s="29"/>
      <c r="E832" s="29" t="str">
        <f t="shared" si="109"/>
        <v/>
      </c>
      <c r="F832" s="29">
        <f>COUNTIFS(실시간콜입력!$B:$B,$A832,실시간콜입력!$E:$E,"A",실시간콜입력!$G:$G,$B832,실시간콜입력!$O:$O,"방문완료")+COUNTIFS(실시간콜입력!$B:$B,$A832,실시간콜입력!$E:$E,"A",실시간콜입력!$H:$H,$B832,실시간콜입력!$O:$O,"방문완료")</f>
        <v>0</v>
      </c>
      <c r="G832" s="29">
        <f>COUNTIFS(실시간콜입력!$B:$B,$A832,실시간콜입력!$E:$E,"B",실시간콜입력!$G:$G,$B832,실시간콜입력!$O:$O,"방문완료")+COUNTIFS(실시간콜입력!$B:$B,$A832,실시간콜입력!$E:$E,"B",실시간콜입력!$H:$H,$B832,실시간콜입력!$O:$O,"방문완료")</f>
        <v>0</v>
      </c>
      <c r="H832" s="29">
        <f>COUNTIFS(실시간콜입력!$B:$B,$A832,실시간콜입력!$E:$E,"C",실시간콜입력!$G:$G,$B832,실시간콜입력!$O:$O,"방문완료")+COUNTIFS(실시간콜입력!$B:$B,$A832,실시간콜입력!$E:$E,"C",실시간콜입력!$H:$H,$B832,실시간콜입력!$O:$O,"방문완료")</f>
        <v>0</v>
      </c>
      <c r="I832" s="29">
        <f>COUNTIFS(실시간콜입력!$B:$B,$A832,실시간콜입력!$E:$E,"D",실시간콜입력!$G:$G,$B832,실시간콜입력!$O:$O,"방문완료")+COUNTIFS(실시간콜입력!$B:$B,$A832,실시간콜입력!$E:$E,"D",실시간콜입력!$H:$H,$B832,실시간콜입력!$O:$O,"방문완료")</f>
        <v>0</v>
      </c>
      <c r="J832" s="29">
        <f>COUNTIFS(실시간콜입력!$B:$B,$A832,실시간콜입력!$E:$E,"E",실시간콜입력!$G:$G,$B832,실시간콜입력!$O:$O,"방문완료")+COUNTIFS(실시간콜입력!$B:$B,$A832,실시간콜입력!$E:$E,"E",실시간콜입력!$H:$H,$B832,실시간콜입력!$O:$O,"방문완료")</f>
        <v>0</v>
      </c>
      <c r="K832" s="29">
        <f t="shared" si="110"/>
        <v>0</v>
      </c>
      <c r="L832" s="33">
        <f>SUMIFS(실시간콜입력!$K:$K,실시간콜입력!$B:$B,$A832,실시간콜입력!$G:$G,$B832,실시간콜입력!$O:$O,"방문완료")+SUMIFS(실시간콜입력!$L:$L,실시간콜입력!$B:$B,$A832,실시간콜입력!$H:$H,$B832,실시간콜입력!$O:$O,"방문완료")</f>
        <v>0</v>
      </c>
      <c r="M832" s="29" t="str">
        <f t="shared" si="111"/>
        <v/>
      </c>
      <c r="N832" s="29"/>
    </row>
    <row r="833" spans="1:14" ht="19.5" hidden="1" customHeight="1" outlineLevel="1">
      <c r="A833" s="24">
        <f>IF(16&lt;=DAY(DATE(YEAR(설정_코스수당!$K$2),MONTH(설정_코스수당!$K$2)+1,0)),DATE(YEAR(설정_코스수당!$K$2),MONTH(설정_코스수당!$K$2),16),"")</f>
        <v>46189</v>
      </c>
      <c r="B833" s="23" t="s">
        <v>209</v>
      </c>
      <c r="C833" s="29"/>
      <c r="D833" s="29"/>
      <c r="E833" s="29" t="str">
        <f t="shared" si="109"/>
        <v/>
      </c>
      <c r="F833" s="29">
        <f>COUNTIFS(실시간콜입력!$B:$B,$A833,실시간콜입력!$E:$E,"A",실시간콜입력!$G:$G,$B833,실시간콜입력!$O:$O,"방문완료")+COUNTIFS(실시간콜입력!$B:$B,$A833,실시간콜입력!$E:$E,"A",실시간콜입력!$H:$H,$B833,실시간콜입력!$O:$O,"방문완료")</f>
        <v>0</v>
      </c>
      <c r="G833" s="29">
        <f>COUNTIFS(실시간콜입력!$B:$B,$A833,실시간콜입력!$E:$E,"B",실시간콜입력!$G:$G,$B833,실시간콜입력!$O:$O,"방문완료")+COUNTIFS(실시간콜입력!$B:$B,$A833,실시간콜입력!$E:$E,"B",실시간콜입력!$H:$H,$B833,실시간콜입력!$O:$O,"방문완료")</f>
        <v>0</v>
      </c>
      <c r="H833" s="29">
        <f>COUNTIFS(실시간콜입력!$B:$B,$A833,실시간콜입력!$E:$E,"C",실시간콜입력!$G:$G,$B833,실시간콜입력!$O:$O,"방문완료")+COUNTIFS(실시간콜입력!$B:$B,$A833,실시간콜입력!$E:$E,"C",실시간콜입력!$H:$H,$B833,실시간콜입력!$O:$O,"방문완료")</f>
        <v>0</v>
      </c>
      <c r="I833" s="29">
        <f>COUNTIFS(실시간콜입력!$B:$B,$A833,실시간콜입력!$E:$E,"D",실시간콜입력!$G:$G,$B833,실시간콜입력!$O:$O,"방문완료")+COUNTIFS(실시간콜입력!$B:$B,$A833,실시간콜입력!$E:$E,"D",실시간콜입력!$H:$H,$B833,실시간콜입력!$O:$O,"방문완료")</f>
        <v>0</v>
      </c>
      <c r="J833" s="29">
        <f>COUNTIFS(실시간콜입력!$B:$B,$A833,실시간콜입력!$E:$E,"E",실시간콜입력!$G:$G,$B833,실시간콜입력!$O:$O,"방문완료")+COUNTIFS(실시간콜입력!$B:$B,$A833,실시간콜입력!$E:$E,"E",실시간콜입력!$H:$H,$B833,실시간콜입력!$O:$O,"방문완료")</f>
        <v>0</v>
      </c>
      <c r="K833" s="29">
        <f t="shared" si="110"/>
        <v>0</v>
      </c>
      <c r="L833" s="27">
        <f>SUMIFS(실시간콜입력!$K:$K,실시간콜입력!$B:$B,$A833,실시간콜입력!$G:$G,$B833,실시간콜입력!$O:$O,"방문완료")+SUMIFS(실시간콜입력!$L:$L,실시간콜입력!$B:$B,$A833,실시간콜입력!$H:$H,$B833,실시간콜입력!$O:$O,"방문완료")</f>
        <v>0</v>
      </c>
      <c r="M833" s="29" t="str">
        <f t="shared" si="111"/>
        <v/>
      </c>
      <c r="N833" s="29"/>
    </row>
    <row r="834" spans="1:14" ht="19.5" hidden="1" customHeight="1" outlineLevel="1">
      <c r="A834" s="30">
        <f>IF(16&lt;=DAY(DATE(YEAR(설정_코스수당!$K$2),MONTH(설정_코스수당!$K$2)+1,0)),DATE(YEAR(설정_코스수당!$K$2),MONTH(설정_코스수당!$K$2),16),"")</f>
        <v>46189</v>
      </c>
      <c r="B834" s="29" t="s">
        <v>210</v>
      </c>
      <c r="C834" s="29"/>
      <c r="D834" s="29"/>
      <c r="E834" s="29" t="str">
        <f t="shared" si="109"/>
        <v/>
      </c>
      <c r="F834" s="29">
        <f>COUNTIFS(실시간콜입력!$B:$B,$A834,실시간콜입력!$E:$E,"A",실시간콜입력!$G:$G,$B834,실시간콜입력!$O:$O,"방문완료")+COUNTIFS(실시간콜입력!$B:$B,$A834,실시간콜입력!$E:$E,"A",실시간콜입력!$H:$H,$B834,실시간콜입력!$O:$O,"방문완료")</f>
        <v>0</v>
      </c>
      <c r="G834" s="29">
        <f>COUNTIFS(실시간콜입력!$B:$B,$A834,실시간콜입력!$E:$E,"B",실시간콜입력!$G:$G,$B834,실시간콜입력!$O:$O,"방문완료")+COUNTIFS(실시간콜입력!$B:$B,$A834,실시간콜입력!$E:$E,"B",실시간콜입력!$H:$H,$B834,실시간콜입력!$O:$O,"방문완료")</f>
        <v>0</v>
      </c>
      <c r="H834" s="29">
        <f>COUNTIFS(실시간콜입력!$B:$B,$A834,실시간콜입력!$E:$E,"C",실시간콜입력!$G:$G,$B834,실시간콜입력!$O:$O,"방문완료")+COUNTIFS(실시간콜입력!$B:$B,$A834,실시간콜입력!$E:$E,"C",실시간콜입력!$H:$H,$B834,실시간콜입력!$O:$O,"방문완료")</f>
        <v>0</v>
      </c>
      <c r="I834" s="29">
        <f>COUNTIFS(실시간콜입력!$B:$B,$A834,실시간콜입력!$E:$E,"D",실시간콜입력!$G:$G,$B834,실시간콜입력!$O:$O,"방문완료")+COUNTIFS(실시간콜입력!$B:$B,$A834,실시간콜입력!$E:$E,"D",실시간콜입력!$H:$H,$B834,실시간콜입력!$O:$O,"방문완료")</f>
        <v>0</v>
      </c>
      <c r="J834" s="29">
        <f>COUNTIFS(실시간콜입력!$B:$B,$A834,실시간콜입력!$E:$E,"E",실시간콜입력!$G:$G,$B834,실시간콜입력!$O:$O,"방문완료")+COUNTIFS(실시간콜입력!$B:$B,$A834,실시간콜입력!$E:$E,"E",실시간콜입력!$H:$H,$B834,실시간콜입력!$O:$O,"방문완료")</f>
        <v>0</v>
      </c>
      <c r="K834" s="29">
        <f t="shared" si="110"/>
        <v>0</v>
      </c>
      <c r="L834" s="33">
        <f>SUMIFS(실시간콜입력!$K:$K,실시간콜입력!$B:$B,$A834,실시간콜입력!$G:$G,$B834,실시간콜입력!$O:$O,"방문완료")+SUMIFS(실시간콜입력!$L:$L,실시간콜입력!$B:$B,$A834,실시간콜입력!$H:$H,$B834,실시간콜입력!$O:$O,"방문완료")</f>
        <v>0</v>
      </c>
      <c r="M834" s="29" t="str">
        <f t="shared" si="111"/>
        <v/>
      </c>
      <c r="N834" s="29"/>
    </row>
    <row r="835" spans="1:14" ht="19.5" hidden="1" customHeight="1" outlineLevel="1">
      <c r="A835" s="24">
        <f>IF(16&lt;=DAY(DATE(YEAR(설정_코스수당!$K$2),MONTH(설정_코스수당!$K$2)+1,0)),DATE(YEAR(설정_코스수당!$K$2),MONTH(설정_코스수당!$K$2),16),"")</f>
        <v>46189</v>
      </c>
      <c r="B835" s="23" t="s">
        <v>211</v>
      </c>
      <c r="C835" s="29"/>
      <c r="D835" s="29"/>
      <c r="E835" s="29" t="str">
        <f t="shared" si="109"/>
        <v/>
      </c>
      <c r="F835" s="29">
        <f>COUNTIFS(실시간콜입력!$B:$B,$A835,실시간콜입력!$E:$E,"A",실시간콜입력!$G:$G,$B835,실시간콜입력!$O:$O,"방문완료")+COUNTIFS(실시간콜입력!$B:$B,$A835,실시간콜입력!$E:$E,"A",실시간콜입력!$H:$H,$B835,실시간콜입력!$O:$O,"방문완료")</f>
        <v>0</v>
      </c>
      <c r="G835" s="29">
        <f>COUNTIFS(실시간콜입력!$B:$B,$A835,실시간콜입력!$E:$E,"B",실시간콜입력!$G:$G,$B835,실시간콜입력!$O:$O,"방문완료")+COUNTIFS(실시간콜입력!$B:$B,$A835,실시간콜입력!$E:$E,"B",실시간콜입력!$H:$H,$B835,실시간콜입력!$O:$O,"방문완료")</f>
        <v>0</v>
      </c>
      <c r="H835" s="29">
        <f>COUNTIFS(실시간콜입력!$B:$B,$A835,실시간콜입력!$E:$E,"C",실시간콜입력!$G:$G,$B835,실시간콜입력!$O:$O,"방문완료")+COUNTIFS(실시간콜입력!$B:$B,$A835,실시간콜입력!$E:$E,"C",실시간콜입력!$H:$H,$B835,실시간콜입력!$O:$O,"방문완료")</f>
        <v>0</v>
      </c>
      <c r="I835" s="29">
        <f>COUNTIFS(실시간콜입력!$B:$B,$A835,실시간콜입력!$E:$E,"D",실시간콜입력!$G:$G,$B835,실시간콜입력!$O:$O,"방문완료")+COUNTIFS(실시간콜입력!$B:$B,$A835,실시간콜입력!$E:$E,"D",실시간콜입력!$H:$H,$B835,실시간콜입력!$O:$O,"방문완료")</f>
        <v>0</v>
      </c>
      <c r="J835" s="29">
        <f>COUNTIFS(실시간콜입력!$B:$B,$A835,실시간콜입력!$E:$E,"E",실시간콜입력!$G:$G,$B835,실시간콜입력!$O:$O,"방문완료")+COUNTIFS(실시간콜입력!$B:$B,$A835,실시간콜입력!$E:$E,"E",실시간콜입력!$H:$H,$B835,실시간콜입력!$O:$O,"방문완료")</f>
        <v>0</v>
      </c>
      <c r="K835" s="29">
        <f t="shared" si="110"/>
        <v>0</v>
      </c>
      <c r="L835" s="27">
        <f>SUMIFS(실시간콜입력!$K:$K,실시간콜입력!$B:$B,$A835,실시간콜입력!$G:$G,$B835,실시간콜입력!$O:$O,"방문완료")+SUMIFS(실시간콜입력!$L:$L,실시간콜입력!$B:$B,$A835,실시간콜입력!$H:$H,$B835,실시간콜입력!$O:$O,"방문완료")</f>
        <v>0</v>
      </c>
      <c r="M835" s="29" t="str">
        <f t="shared" si="111"/>
        <v/>
      </c>
      <c r="N835" s="29"/>
    </row>
    <row r="836" spans="1:14" ht="19.5" hidden="1" customHeight="1" outlineLevel="1">
      <c r="A836" s="30">
        <f>IF(16&lt;=DAY(DATE(YEAR(설정_코스수당!$K$2),MONTH(설정_코스수당!$K$2)+1,0)),DATE(YEAR(설정_코스수당!$K$2),MONTH(설정_코스수당!$K$2),16),"")</f>
        <v>46189</v>
      </c>
      <c r="B836" s="29" t="s">
        <v>212</v>
      </c>
      <c r="C836" s="29"/>
      <c r="D836" s="29"/>
      <c r="E836" s="29" t="str">
        <f t="shared" si="109"/>
        <v/>
      </c>
      <c r="F836" s="29">
        <f>COUNTIFS(실시간콜입력!$B:$B,$A836,실시간콜입력!$E:$E,"A",실시간콜입력!$G:$G,$B836,실시간콜입력!$O:$O,"방문완료")+COUNTIFS(실시간콜입력!$B:$B,$A836,실시간콜입력!$E:$E,"A",실시간콜입력!$H:$H,$B836,실시간콜입력!$O:$O,"방문완료")</f>
        <v>0</v>
      </c>
      <c r="G836" s="29">
        <f>COUNTIFS(실시간콜입력!$B:$B,$A836,실시간콜입력!$E:$E,"B",실시간콜입력!$G:$G,$B836,실시간콜입력!$O:$O,"방문완료")+COUNTIFS(실시간콜입력!$B:$B,$A836,실시간콜입력!$E:$E,"B",실시간콜입력!$H:$H,$B836,실시간콜입력!$O:$O,"방문완료")</f>
        <v>0</v>
      </c>
      <c r="H836" s="29">
        <f>COUNTIFS(실시간콜입력!$B:$B,$A836,실시간콜입력!$E:$E,"C",실시간콜입력!$G:$G,$B836,실시간콜입력!$O:$O,"방문완료")+COUNTIFS(실시간콜입력!$B:$B,$A836,실시간콜입력!$E:$E,"C",실시간콜입력!$H:$H,$B836,실시간콜입력!$O:$O,"방문완료")</f>
        <v>0</v>
      </c>
      <c r="I836" s="29">
        <f>COUNTIFS(실시간콜입력!$B:$B,$A836,실시간콜입력!$E:$E,"D",실시간콜입력!$G:$G,$B836,실시간콜입력!$O:$O,"방문완료")+COUNTIFS(실시간콜입력!$B:$B,$A836,실시간콜입력!$E:$E,"D",실시간콜입력!$H:$H,$B836,실시간콜입력!$O:$O,"방문완료")</f>
        <v>0</v>
      </c>
      <c r="J836" s="29">
        <f>COUNTIFS(실시간콜입력!$B:$B,$A836,실시간콜입력!$E:$E,"E",실시간콜입력!$G:$G,$B836,실시간콜입력!$O:$O,"방문완료")+COUNTIFS(실시간콜입력!$B:$B,$A836,실시간콜입력!$E:$E,"E",실시간콜입력!$H:$H,$B836,실시간콜입력!$O:$O,"방문완료")</f>
        <v>0</v>
      </c>
      <c r="K836" s="29">
        <f t="shared" si="110"/>
        <v>0</v>
      </c>
      <c r="L836" s="33">
        <f>SUMIFS(실시간콜입력!$K:$K,실시간콜입력!$B:$B,$A836,실시간콜입력!$G:$G,$B836,실시간콜입력!$O:$O,"방문완료")+SUMIFS(실시간콜입력!$L:$L,실시간콜입력!$B:$B,$A836,실시간콜입력!$H:$H,$B836,실시간콜입력!$O:$O,"방문완료")</f>
        <v>0</v>
      </c>
      <c r="M836" s="29" t="str">
        <f t="shared" si="111"/>
        <v/>
      </c>
      <c r="N836" s="29"/>
    </row>
    <row r="837" spans="1:14" ht="21.75" customHeight="1" collapsed="1">
      <c r="A837" s="64">
        <f>IF(17&lt;=DAY(DATE(YEAR(설정_코스수당!$K$2),MONTH(설정_코스수당!$K$2)+1,0)),DATE(YEAR(설정_코스수당!$K$2),MONTH(설정_코스수당!$K$2),17),"")</f>
        <v>46190</v>
      </c>
      <c r="B837" s="65" t="str">
        <f>IF(A837="","","출근 "&amp;COUNTIF(C839:C888,"&lt;&gt;")&amp;"명")</f>
        <v>출근 0명</v>
      </c>
      <c r="C837" s="65" t="str">
        <f>IF(A837="","","만근 "&amp;COUNTIF(M839:M888,"인정")&amp;"명")</f>
        <v>만근 0명</v>
      </c>
      <c r="D837" s="65" t="str">
        <f>IFERROR("평균 "&amp;TEXT(AVERAGEIF(E839:E888,"&gt;0",E839:E888),"0.0")&amp;"h","평균 -")</f>
        <v>평균 -</v>
      </c>
      <c r="E837" s="65" t="s">
        <v>163</v>
      </c>
      <c r="F837" s="65">
        <f t="shared" ref="F837:L837" si="112">SUM(F839:F888)</f>
        <v>0</v>
      </c>
      <c r="G837" s="65">
        <f t="shared" si="112"/>
        <v>0</v>
      </c>
      <c r="H837" s="65">
        <f t="shared" si="112"/>
        <v>0</v>
      </c>
      <c r="I837" s="65">
        <f t="shared" si="112"/>
        <v>0</v>
      </c>
      <c r="J837" s="65">
        <f t="shared" si="112"/>
        <v>0</v>
      </c>
      <c r="K837" s="65">
        <f t="shared" si="112"/>
        <v>0</v>
      </c>
      <c r="L837" s="66">
        <f t="shared" si="112"/>
        <v>0</v>
      </c>
      <c r="M837" s="65">
        <f>COUNTIF(M839:M888,"인정")</f>
        <v>0</v>
      </c>
      <c r="N837" s="65" t="s">
        <v>164</v>
      </c>
    </row>
    <row r="838" spans="1:14" ht="19.5" hidden="1" customHeight="1" outlineLevel="1">
      <c r="A838" s="20" t="s">
        <v>42</v>
      </c>
      <c r="B838" s="20" t="s">
        <v>152</v>
      </c>
      <c r="C838" s="20" t="s">
        <v>153</v>
      </c>
      <c r="D838" s="20" t="s">
        <v>154</v>
      </c>
      <c r="E838" s="20" t="s">
        <v>155</v>
      </c>
      <c r="F838" s="20" t="s">
        <v>156</v>
      </c>
      <c r="G838" s="20" t="s">
        <v>157</v>
      </c>
      <c r="H838" s="20" t="s">
        <v>158</v>
      </c>
      <c r="I838" s="20" t="s">
        <v>159</v>
      </c>
      <c r="J838" s="20" t="s">
        <v>160</v>
      </c>
      <c r="K838" s="20" t="s">
        <v>118</v>
      </c>
      <c r="L838" s="20" t="s">
        <v>161</v>
      </c>
      <c r="M838" s="20" t="s">
        <v>162</v>
      </c>
      <c r="N838" s="20" t="s">
        <v>95</v>
      </c>
    </row>
    <row r="839" spans="1:14" ht="19.5" hidden="1" customHeight="1" outlineLevel="1">
      <c r="A839" s="24">
        <f>IF(17&lt;=DAY(DATE(YEAR(설정_코스수당!$K$2),MONTH(설정_코스수당!$K$2)+1,0)),DATE(YEAR(설정_코스수당!$K$2),MONTH(설정_코스수당!$K$2),17),"")</f>
        <v>46190</v>
      </c>
      <c r="B839" s="23" t="s">
        <v>47</v>
      </c>
      <c r="C839" s="23"/>
      <c r="D839" s="23"/>
      <c r="E839" s="23" t="str">
        <f t="shared" ref="E839:E870" si="113">IF(AND(C839&lt;&gt;"",D839&lt;&gt;""),IF(D839&lt;C839,D839+1-C839,D839-C839)*24,"")</f>
        <v/>
      </c>
      <c r="F839" s="23">
        <f>COUNTIFS(실시간콜입력!$B:$B,$A839,실시간콜입력!$E:$E,"A",실시간콜입력!$G:$G,$B839,실시간콜입력!$O:$O,"방문완료")+COUNTIFS(실시간콜입력!$B:$B,$A839,실시간콜입력!$E:$E,"A",실시간콜입력!$H:$H,$B839,실시간콜입력!$O:$O,"방문완료")</f>
        <v>0</v>
      </c>
      <c r="G839" s="23">
        <f>COUNTIFS(실시간콜입력!$B:$B,$A839,실시간콜입력!$E:$E,"B",실시간콜입력!$G:$G,$B839,실시간콜입력!$O:$O,"방문완료")+COUNTIFS(실시간콜입력!$B:$B,$A839,실시간콜입력!$E:$E,"B",실시간콜입력!$H:$H,$B839,실시간콜입력!$O:$O,"방문완료")</f>
        <v>0</v>
      </c>
      <c r="H839" s="23">
        <f>COUNTIFS(실시간콜입력!$B:$B,$A839,실시간콜입력!$E:$E,"C",실시간콜입력!$G:$G,$B839,실시간콜입력!$O:$O,"방문완료")+COUNTIFS(실시간콜입력!$B:$B,$A839,실시간콜입력!$E:$E,"C",실시간콜입력!$H:$H,$B839,실시간콜입력!$O:$O,"방문완료")</f>
        <v>0</v>
      </c>
      <c r="I839" s="23">
        <f>COUNTIFS(실시간콜입력!$B:$B,$A839,실시간콜입력!$E:$E,"D",실시간콜입력!$G:$G,$B839,실시간콜입력!$O:$O,"방문완료")+COUNTIFS(실시간콜입력!$B:$B,$A839,실시간콜입력!$E:$E,"D",실시간콜입력!$H:$H,$B839,실시간콜입력!$O:$O,"방문완료")</f>
        <v>0</v>
      </c>
      <c r="J839" s="23">
        <f>COUNTIFS(실시간콜입력!$B:$B,$A839,실시간콜입력!$E:$E,"E",실시간콜입력!$G:$G,$B839,실시간콜입력!$O:$O,"방문완료")+COUNTIFS(실시간콜입력!$B:$B,$A839,실시간콜입력!$E:$E,"E",실시간콜입력!$H:$H,$B839,실시간콜입력!$O:$O,"방문완료")</f>
        <v>0</v>
      </c>
      <c r="K839" s="23">
        <f t="shared" ref="K839:K870" si="114">SUM(F839:J839)</f>
        <v>0</v>
      </c>
      <c r="L839" s="27">
        <f>SUMIFS(실시간콜입력!$K:$K,실시간콜입력!$B:$B,$A839,실시간콜입력!$G:$G,$B839,실시간콜입력!$O:$O,"방문완료")+SUMIFS(실시간콜입력!$L:$L,실시간콜입력!$B:$B,$A839,실시간콜입력!$H:$H,$B839,실시간콜입력!$O:$O,"방문완료")</f>
        <v>0</v>
      </c>
      <c r="M839" s="23" t="str">
        <f t="shared" ref="M839:M870" si="115">IF(AND(ISNUMBER(E839),E839&gt;=8),"인정","")</f>
        <v/>
      </c>
      <c r="N839" s="23"/>
    </row>
    <row r="840" spans="1:14" ht="19.5" hidden="1" customHeight="1" outlineLevel="1">
      <c r="A840" s="30">
        <f>IF(17&lt;=DAY(DATE(YEAR(설정_코스수당!$K$2),MONTH(설정_코스수당!$K$2)+1,0)),DATE(YEAR(설정_코스수당!$K$2),MONTH(설정_코스수당!$K$2),17),"")</f>
        <v>46190</v>
      </c>
      <c r="B840" s="29" t="s">
        <v>48</v>
      </c>
      <c r="C840" s="29"/>
      <c r="D840" s="29"/>
      <c r="E840" s="29" t="str">
        <f t="shared" si="113"/>
        <v/>
      </c>
      <c r="F840" s="29">
        <f>COUNTIFS(실시간콜입력!$B:$B,$A840,실시간콜입력!$E:$E,"A",실시간콜입력!$G:$G,$B840,실시간콜입력!$O:$O,"방문완료")+COUNTIFS(실시간콜입력!$B:$B,$A840,실시간콜입력!$E:$E,"A",실시간콜입력!$H:$H,$B840,실시간콜입력!$O:$O,"방문완료")</f>
        <v>0</v>
      </c>
      <c r="G840" s="29">
        <f>COUNTIFS(실시간콜입력!$B:$B,$A840,실시간콜입력!$E:$E,"B",실시간콜입력!$G:$G,$B840,실시간콜입력!$O:$O,"방문완료")+COUNTIFS(실시간콜입력!$B:$B,$A840,실시간콜입력!$E:$E,"B",실시간콜입력!$H:$H,$B840,실시간콜입력!$O:$O,"방문완료")</f>
        <v>0</v>
      </c>
      <c r="H840" s="29">
        <f>COUNTIFS(실시간콜입력!$B:$B,$A840,실시간콜입력!$E:$E,"C",실시간콜입력!$G:$G,$B840,실시간콜입력!$O:$O,"방문완료")+COUNTIFS(실시간콜입력!$B:$B,$A840,실시간콜입력!$E:$E,"C",실시간콜입력!$H:$H,$B840,실시간콜입력!$O:$O,"방문완료")</f>
        <v>0</v>
      </c>
      <c r="I840" s="29">
        <f>COUNTIFS(실시간콜입력!$B:$B,$A840,실시간콜입력!$E:$E,"D",실시간콜입력!$G:$G,$B840,실시간콜입력!$O:$O,"방문완료")+COUNTIFS(실시간콜입력!$B:$B,$A840,실시간콜입력!$E:$E,"D",실시간콜입력!$H:$H,$B840,실시간콜입력!$O:$O,"방문완료")</f>
        <v>0</v>
      </c>
      <c r="J840" s="29">
        <f>COUNTIFS(실시간콜입력!$B:$B,$A840,실시간콜입력!$E:$E,"E",실시간콜입력!$G:$G,$B840,실시간콜입력!$O:$O,"방문완료")+COUNTIFS(실시간콜입력!$B:$B,$A840,실시간콜입력!$E:$E,"E",실시간콜입력!$H:$H,$B840,실시간콜입력!$O:$O,"방문완료")</f>
        <v>0</v>
      </c>
      <c r="K840" s="29">
        <f t="shared" si="114"/>
        <v>0</v>
      </c>
      <c r="L840" s="33">
        <f>SUMIFS(실시간콜입력!$K:$K,실시간콜입력!$B:$B,$A840,실시간콜입력!$G:$G,$B840,실시간콜입력!$O:$O,"방문완료")+SUMIFS(실시간콜입력!$L:$L,실시간콜입력!$B:$B,$A840,실시간콜입력!$H:$H,$B840,실시간콜입력!$O:$O,"방문완료")</f>
        <v>0</v>
      </c>
      <c r="M840" s="29" t="str">
        <f t="shared" si="115"/>
        <v/>
      </c>
      <c r="N840" s="29"/>
    </row>
    <row r="841" spans="1:14" ht="19.5" hidden="1" customHeight="1" outlineLevel="1">
      <c r="A841" s="24">
        <f>IF(17&lt;=DAY(DATE(YEAR(설정_코스수당!$K$2),MONTH(설정_코스수당!$K$2)+1,0)),DATE(YEAR(설정_코스수당!$K$2),MONTH(설정_코스수당!$K$2),17),"")</f>
        <v>46190</v>
      </c>
      <c r="B841" s="23" t="s">
        <v>165</v>
      </c>
      <c r="C841" s="29"/>
      <c r="D841" s="29"/>
      <c r="E841" s="29" t="str">
        <f t="shared" si="113"/>
        <v/>
      </c>
      <c r="F841" s="29">
        <f>COUNTIFS(실시간콜입력!$B:$B,$A841,실시간콜입력!$E:$E,"A",실시간콜입력!$G:$G,$B841,실시간콜입력!$O:$O,"방문완료")+COUNTIFS(실시간콜입력!$B:$B,$A841,실시간콜입력!$E:$E,"A",실시간콜입력!$H:$H,$B841,실시간콜입력!$O:$O,"방문완료")</f>
        <v>0</v>
      </c>
      <c r="G841" s="29">
        <f>COUNTIFS(실시간콜입력!$B:$B,$A841,실시간콜입력!$E:$E,"B",실시간콜입력!$G:$G,$B841,실시간콜입력!$O:$O,"방문완료")+COUNTIFS(실시간콜입력!$B:$B,$A841,실시간콜입력!$E:$E,"B",실시간콜입력!$H:$H,$B841,실시간콜입력!$O:$O,"방문완료")</f>
        <v>0</v>
      </c>
      <c r="H841" s="29">
        <f>COUNTIFS(실시간콜입력!$B:$B,$A841,실시간콜입력!$E:$E,"C",실시간콜입력!$G:$G,$B841,실시간콜입력!$O:$O,"방문완료")+COUNTIFS(실시간콜입력!$B:$B,$A841,실시간콜입력!$E:$E,"C",실시간콜입력!$H:$H,$B841,실시간콜입력!$O:$O,"방문완료")</f>
        <v>0</v>
      </c>
      <c r="I841" s="29">
        <f>COUNTIFS(실시간콜입력!$B:$B,$A841,실시간콜입력!$E:$E,"D",실시간콜입력!$G:$G,$B841,실시간콜입력!$O:$O,"방문완료")+COUNTIFS(실시간콜입력!$B:$B,$A841,실시간콜입력!$E:$E,"D",실시간콜입력!$H:$H,$B841,실시간콜입력!$O:$O,"방문완료")</f>
        <v>0</v>
      </c>
      <c r="J841" s="29">
        <f>COUNTIFS(실시간콜입력!$B:$B,$A841,실시간콜입력!$E:$E,"E",실시간콜입력!$G:$G,$B841,실시간콜입력!$O:$O,"방문완료")+COUNTIFS(실시간콜입력!$B:$B,$A841,실시간콜입력!$E:$E,"E",실시간콜입력!$H:$H,$B841,실시간콜입력!$O:$O,"방문완료")</f>
        <v>0</v>
      </c>
      <c r="K841" s="29">
        <f t="shared" si="114"/>
        <v>0</v>
      </c>
      <c r="L841" s="27">
        <f>SUMIFS(실시간콜입력!$K:$K,실시간콜입력!$B:$B,$A841,실시간콜입력!$G:$G,$B841,실시간콜입력!$O:$O,"방문완료")+SUMIFS(실시간콜입력!$L:$L,실시간콜입력!$B:$B,$A841,실시간콜입력!$H:$H,$B841,실시간콜입력!$O:$O,"방문완료")</f>
        <v>0</v>
      </c>
      <c r="M841" s="29" t="str">
        <f t="shared" si="115"/>
        <v/>
      </c>
      <c r="N841" s="29"/>
    </row>
    <row r="842" spans="1:14" ht="19.5" hidden="1" customHeight="1" outlineLevel="1">
      <c r="A842" s="30">
        <f>IF(17&lt;=DAY(DATE(YEAR(설정_코스수당!$K$2),MONTH(설정_코스수당!$K$2)+1,0)),DATE(YEAR(설정_코스수당!$K$2),MONTH(설정_코스수당!$K$2),17),"")</f>
        <v>46190</v>
      </c>
      <c r="B842" s="29" t="s">
        <v>166</v>
      </c>
      <c r="C842" s="29"/>
      <c r="D842" s="29"/>
      <c r="E842" s="29" t="str">
        <f t="shared" si="113"/>
        <v/>
      </c>
      <c r="F842" s="29">
        <f>COUNTIFS(실시간콜입력!$B:$B,$A842,실시간콜입력!$E:$E,"A",실시간콜입력!$G:$G,$B842,실시간콜입력!$O:$O,"방문완료")+COUNTIFS(실시간콜입력!$B:$B,$A842,실시간콜입력!$E:$E,"A",실시간콜입력!$H:$H,$B842,실시간콜입력!$O:$O,"방문완료")</f>
        <v>0</v>
      </c>
      <c r="G842" s="29">
        <f>COUNTIFS(실시간콜입력!$B:$B,$A842,실시간콜입력!$E:$E,"B",실시간콜입력!$G:$G,$B842,실시간콜입력!$O:$O,"방문완료")+COUNTIFS(실시간콜입력!$B:$B,$A842,실시간콜입력!$E:$E,"B",실시간콜입력!$H:$H,$B842,실시간콜입력!$O:$O,"방문완료")</f>
        <v>0</v>
      </c>
      <c r="H842" s="29">
        <f>COUNTIFS(실시간콜입력!$B:$B,$A842,실시간콜입력!$E:$E,"C",실시간콜입력!$G:$G,$B842,실시간콜입력!$O:$O,"방문완료")+COUNTIFS(실시간콜입력!$B:$B,$A842,실시간콜입력!$E:$E,"C",실시간콜입력!$H:$H,$B842,실시간콜입력!$O:$O,"방문완료")</f>
        <v>0</v>
      </c>
      <c r="I842" s="29">
        <f>COUNTIFS(실시간콜입력!$B:$B,$A842,실시간콜입력!$E:$E,"D",실시간콜입력!$G:$G,$B842,실시간콜입력!$O:$O,"방문완료")+COUNTIFS(실시간콜입력!$B:$B,$A842,실시간콜입력!$E:$E,"D",실시간콜입력!$H:$H,$B842,실시간콜입력!$O:$O,"방문완료")</f>
        <v>0</v>
      </c>
      <c r="J842" s="29">
        <f>COUNTIFS(실시간콜입력!$B:$B,$A842,실시간콜입력!$E:$E,"E",실시간콜입력!$G:$G,$B842,실시간콜입력!$O:$O,"방문완료")+COUNTIFS(실시간콜입력!$B:$B,$A842,실시간콜입력!$E:$E,"E",실시간콜입력!$H:$H,$B842,실시간콜입력!$O:$O,"방문완료")</f>
        <v>0</v>
      </c>
      <c r="K842" s="29">
        <f t="shared" si="114"/>
        <v>0</v>
      </c>
      <c r="L842" s="33">
        <f>SUMIFS(실시간콜입력!$K:$K,실시간콜입력!$B:$B,$A842,실시간콜입력!$G:$G,$B842,실시간콜입력!$O:$O,"방문완료")+SUMIFS(실시간콜입력!$L:$L,실시간콜입력!$B:$B,$A842,실시간콜입력!$H:$H,$B842,실시간콜입력!$O:$O,"방문완료")</f>
        <v>0</v>
      </c>
      <c r="M842" s="29" t="str">
        <f t="shared" si="115"/>
        <v/>
      </c>
      <c r="N842" s="29"/>
    </row>
    <row r="843" spans="1:14" ht="19.5" hidden="1" customHeight="1" outlineLevel="1">
      <c r="A843" s="24">
        <f>IF(17&lt;=DAY(DATE(YEAR(설정_코스수당!$K$2),MONTH(설정_코스수당!$K$2)+1,0)),DATE(YEAR(설정_코스수당!$K$2),MONTH(설정_코스수당!$K$2),17),"")</f>
        <v>46190</v>
      </c>
      <c r="B843" s="23" t="s">
        <v>167</v>
      </c>
      <c r="C843" s="29"/>
      <c r="D843" s="29"/>
      <c r="E843" s="29" t="str">
        <f t="shared" si="113"/>
        <v/>
      </c>
      <c r="F843" s="29">
        <f>COUNTIFS(실시간콜입력!$B:$B,$A843,실시간콜입력!$E:$E,"A",실시간콜입력!$G:$G,$B843,실시간콜입력!$O:$O,"방문완료")+COUNTIFS(실시간콜입력!$B:$B,$A843,실시간콜입력!$E:$E,"A",실시간콜입력!$H:$H,$B843,실시간콜입력!$O:$O,"방문완료")</f>
        <v>0</v>
      </c>
      <c r="G843" s="29">
        <f>COUNTIFS(실시간콜입력!$B:$B,$A843,실시간콜입력!$E:$E,"B",실시간콜입력!$G:$G,$B843,실시간콜입력!$O:$O,"방문완료")+COUNTIFS(실시간콜입력!$B:$B,$A843,실시간콜입력!$E:$E,"B",실시간콜입력!$H:$H,$B843,실시간콜입력!$O:$O,"방문완료")</f>
        <v>0</v>
      </c>
      <c r="H843" s="29">
        <f>COUNTIFS(실시간콜입력!$B:$B,$A843,실시간콜입력!$E:$E,"C",실시간콜입력!$G:$G,$B843,실시간콜입력!$O:$O,"방문완료")+COUNTIFS(실시간콜입력!$B:$B,$A843,실시간콜입력!$E:$E,"C",실시간콜입력!$H:$H,$B843,실시간콜입력!$O:$O,"방문완료")</f>
        <v>0</v>
      </c>
      <c r="I843" s="29">
        <f>COUNTIFS(실시간콜입력!$B:$B,$A843,실시간콜입력!$E:$E,"D",실시간콜입력!$G:$G,$B843,실시간콜입력!$O:$O,"방문완료")+COUNTIFS(실시간콜입력!$B:$B,$A843,실시간콜입력!$E:$E,"D",실시간콜입력!$H:$H,$B843,실시간콜입력!$O:$O,"방문완료")</f>
        <v>0</v>
      </c>
      <c r="J843" s="29">
        <f>COUNTIFS(실시간콜입력!$B:$B,$A843,실시간콜입력!$E:$E,"E",실시간콜입력!$G:$G,$B843,실시간콜입력!$O:$O,"방문완료")+COUNTIFS(실시간콜입력!$B:$B,$A843,실시간콜입력!$E:$E,"E",실시간콜입력!$H:$H,$B843,실시간콜입력!$O:$O,"방문완료")</f>
        <v>0</v>
      </c>
      <c r="K843" s="29">
        <f t="shared" si="114"/>
        <v>0</v>
      </c>
      <c r="L843" s="27">
        <f>SUMIFS(실시간콜입력!$K:$K,실시간콜입력!$B:$B,$A843,실시간콜입력!$G:$G,$B843,실시간콜입력!$O:$O,"방문완료")+SUMIFS(실시간콜입력!$L:$L,실시간콜입력!$B:$B,$A843,실시간콜입력!$H:$H,$B843,실시간콜입력!$O:$O,"방문완료")</f>
        <v>0</v>
      </c>
      <c r="M843" s="29" t="str">
        <f t="shared" si="115"/>
        <v/>
      </c>
      <c r="N843" s="29"/>
    </row>
    <row r="844" spans="1:14" ht="19.5" hidden="1" customHeight="1" outlineLevel="1">
      <c r="A844" s="30">
        <f>IF(17&lt;=DAY(DATE(YEAR(설정_코스수당!$K$2),MONTH(설정_코스수당!$K$2)+1,0)),DATE(YEAR(설정_코스수당!$K$2),MONTH(설정_코스수당!$K$2),17),"")</f>
        <v>46190</v>
      </c>
      <c r="B844" s="29" t="s">
        <v>168</v>
      </c>
      <c r="C844" s="29"/>
      <c r="D844" s="29"/>
      <c r="E844" s="29" t="str">
        <f t="shared" si="113"/>
        <v/>
      </c>
      <c r="F844" s="29">
        <f>COUNTIFS(실시간콜입력!$B:$B,$A844,실시간콜입력!$E:$E,"A",실시간콜입력!$G:$G,$B844,실시간콜입력!$O:$O,"방문완료")+COUNTIFS(실시간콜입력!$B:$B,$A844,실시간콜입력!$E:$E,"A",실시간콜입력!$H:$H,$B844,실시간콜입력!$O:$O,"방문완료")</f>
        <v>0</v>
      </c>
      <c r="G844" s="29">
        <f>COUNTIFS(실시간콜입력!$B:$B,$A844,실시간콜입력!$E:$E,"B",실시간콜입력!$G:$G,$B844,실시간콜입력!$O:$O,"방문완료")+COUNTIFS(실시간콜입력!$B:$B,$A844,실시간콜입력!$E:$E,"B",실시간콜입력!$H:$H,$B844,실시간콜입력!$O:$O,"방문완료")</f>
        <v>0</v>
      </c>
      <c r="H844" s="29">
        <f>COUNTIFS(실시간콜입력!$B:$B,$A844,실시간콜입력!$E:$E,"C",실시간콜입력!$G:$G,$B844,실시간콜입력!$O:$O,"방문완료")+COUNTIFS(실시간콜입력!$B:$B,$A844,실시간콜입력!$E:$E,"C",실시간콜입력!$H:$H,$B844,실시간콜입력!$O:$O,"방문완료")</f>
        <v>0</v>
      </c>
      <c r="I844" s="29">
        <f>COUNTIFS(실시간콜입력!$B:$B,$A844,실시간콜입력!$E:$E,"D",실시간콜입력!$G:$G,$B844,실시간콜입력!$O:$O,"방문완료")+COUNTIFS(실시간콜입력!$B:$B,$A844,실시간콜입력!$E:$E,"D",실시간콜입력!$H:$H,$B844,실시간콜입력!$O:$O,"방문완료")</f>
        <v>0</v>
      </c>
      <c r="J844" s="29">
        <f>COUNTIFS(실시간콜입력!$B:$B,$A844,실시간콜입력!$E:$E,"E",실시간콜입력!$G:$G,$B844,실시간콜입력!$O:$O,"방문완료")+COUNTIFS(실시간콜입력!$B:$B,$A844,실시간콜입력!$E:$E,"E",실시간콜입력!$H:$H,$B844,실시간콜입력!$O:$O,"방문완료")</f>
        <v>0</v>
      </c>
      <c r="K844" s="29">
        <f t="shared" si="114"/>
        <v>0</v>
      </c>
      <c r="L844" s="33">
        <f>SUMIFS(실시간콜입력!$K:$K,실시간콜입력!$B:$B,$A844,실시간콜입력!$G:$G,$B844,실시간콜입력!$O:$O,"방문완료")+SUMIFS(실시간콜입력!$L:$L,실시간콜입력!$B:$B,$A844,실시간콜입력!$H:$H,$B844,실시간콜입력!$O:$O,"방문완료")</f>
        <v>0</v>
      </c>
      <c r="M844" s="29" t="str">
        <f t="shared" si="115"/>
        <v/>
      </c>
      <c r="N844" s="29"/>
    </row>
    <row r="845" spans="1:14" ht="19.5" hidden="1" customHeight="1" outlineLevel="1">
      <c r="A845" s="24">
        <f>IF(17&lt;=DAY(DATE(YEAR(설정_코스수당!$K$2),MONTH(설정_코스수당!$K$2)+1,0)),DATE(YEAR(설정_코스수당!$K$2),MONTH(설정_코스수당!$K$2),17),"")</f>
        <v>46190</v>
      </c>
      <c r="B845" s="23" t="s">
        <v>169</v>
      </c>
      <c r="C845" s="29"/>
      <c r="D845" s="29"/>
      <c r="E845" s="29" t="str">
        <f t="shared" si="113"/>
        <v/>
      </c>
      <c r="F845" s="29">
        <f>COUNTIFS(실시간콜입력!$B:$B,$A845,실시간콜입력!$E:$E,"A",실시간콜입력!$G:$G,$B845,실시간콜입력!$O:$O,"방문완료")+COUNTIFS(실시간콜입력!$B:$B,$A845,실시간콜입력!$E:$E,"A",실시간콜입력!$H:$H,$B845,실시간콜입력!$O:$O,"방문완료")</f>
        <v>0</v>
      </c>
      <c r="G845" s="29">
        <f>COUNTIFS(실시간콜입력!$B:$B,$A845,실시간콜입력!$E:$E,"B",실시간콜입력!$G:$G,$B845,실시간콜입력!$O:$O,"방문완료")+COUNTIFS(실시간콜입력!$B:$B,$A845,실시간콜입력!$E:$E,"B",실시간콜입력!$H:$H,$B845,실시간콜입력!$O:$O,"방문완료")</f>
        <v>0</v>
      </c>
      <c r="H845" s="29">
        <f>COUNTIFS(실시간콜입력!$B:$B,$A845,실시간콜입력!$E:$E,"C",실시간콜입력!$G:$G,$B845,실시간콜입력!$O:$O,"방문완료")+COUNTIFS(실시간콜입력!$B:$B,$A845,실시간콜입력!$E:$E,"C",실시간콜입력!$H:$H,$B845,실시간콜입력!$O:$O,"방문완료")</f>
        <v>0</v>
      </c>
      <c r="I845" s="29">
        <f>COUNTIFS(실시간콜입력!$B:$B,$A845,실시간콜입력!$E:$E,"D",실시간콜입력!$G:$G,$B845,실시간콜입력!$O:$O,"방문완료")+COUNTIFS(실시간콜입력!$B:$B,$A845,실시간콜입력!$E:$E,"D",실시간콜입력!$H:$H,$B845,실시간콜입력!$O:$O,"방문완료")</f>
        <v>0</v>
      </c>
      <c r="J845" s="29">
        <f>COUNTIFS(실시간콜입력!$B:$B,$A845,실시간콜입력!$E:$E,"E",실시간콜입력!$G:$G,$B845,실시간콜입력!$O:$O,"방문완료")+COUNTIFS(실시간콜입력!$B:$B,$A845,실시간콜입력!$E:$E,"E",실시간콜입력!$H:$H,$B845,실시간콜입력!$O:$O,"방문완료")</f>
        <v>0</v>
      </c>
      <c r="K845" s="29">
        <f t="shared" si="114"/>
        <v>0</v>
      </c>
      <c r="L845" s="27">
        <f>SUMIFS(실시간콜입력!$K:$K,실시간콜입력!$B:$B,$A845,실시간콜입력!$G:$G,$B845,실시간콜입력!$O:$O,"방문완료")+SUMIFS(실시간콜입력!$L:$L,실시간콜입력!$B:$B,$A845,실시간콜입력!$H:$H,$B845,실시간콜입력!$O:$O,"방문완료")</f>
        <v>0</v>
      </c>
      <c r="M845" s="29" t="str">
        <f t="shared" si="115"/>
        <v/>
      </c>
      <c r="N845" s="29"/>
    </row>
    <row r="846" spans="1:14" ht="19.5" hidden="1" customHeight="1" outlineLevel="1">
      <c r="A846" s="30">
        <f>IF(17&lt;=DAY(DATE(YEAR(설정_코스수당!$K$2),MONTH(설정_코스수당!$K$2)+1,0)),DATE(YEAR(설정_코스수당!$K$2),MONTH(설정_코스수당!$K$2),17),"")</f>
        <v>46190</v>
      </c>
      <c r="B846" s="29" t="s">
        <v>170</v>
      </c>
      <c r="C846" s="29"/>
      <c r="D846" s="29"/>
      <c r="E846" s="29" t="str">
        <f t="shared" si="113"/>
        <v/>
      </c>
      <c r="F846" s="29">
        <f>COUNTIFS(실시간콜입력!$B:$B,$A846,실시간콜입력!$E:$E,"A",실시간콜입력!$G:$G,$B846,실시간콜입력!$O:$O,"방문완료")+COUNTIFS(실시간콜입력!$B:$B,$A846,실시간콜입력!$E:$E,"A",실시간콜입력!$H:$H,$B846,실시간콜입력!$O:$O,"방문완료")</f>
        <v>0</v>
      </c>
      <c r="G846" s="29">
        <f>COUNTIFS(실시간콜입력!$B:$B,$A846,실시간콜입력!$E:$E,"B",실시간콜입력!$G:$G,$B846,실시간콜입력!$O:$O,"방문완료")+COUNTIFS(실시간콜입력!$B:$B,$A846,실시간콜입력!$E:$E,"B",실시간콜입력!$H:$H,$B846,실시간콜입력!$O:$O,"방문완료")</f>
        <v>0</v>
      </c>
      <c r="H846" s="29">
        <f>COUNTIFS(실시간콜입력!$B:$B,$A846,실시간콜입력!$E:$E,"C",실시간콜입력!$G:$G,$B846,실시간콜입력!$O:$O,"방문완료")+COUNTIFS(실시간콜입력!$B:$B,$A846,실시간콜입력!$E:$E,"C",실시간콜입력!$H:$H,$B846,실시간콜입력!$O:$O,"방문완료")</f>
        <v>0</v>
      </c>
      <c r="I846" s="29">
        <f>COUNTIFS(실시간콜입력!$B:$B,$A846,실시간콜입력!$E:$E,"D",실시간콜입력!$G:$G,$B846,실시간콜입력!$O:$O,"방문완료")+COUNTIFS(실시간콜입력!$B:$B,$A846,실시간콜입력!$E:$E,"D",실시간콜입력!$H:$H,$B846,실시간콜입력!$O:$O,"방문완료")</f>
        <v>0</v>
      </c>
      <c r="J846" s="29">
        <f>COUNTIFS(실시간콜입력!$B:$B,$A846,실시간콜입력!$E:$E,"E",실시간콜입력!$G:$G,$B846,실시간콜입력!$O:$O,"방문완료")+COUNTIFS(실시간콜입력!$B:$B,$A846,실시간콜입력!$E:$E,"E",실시간콜입력!$H:$H,$B846,실시간콜입력!$O:$O,"방문완료")</f>
        <v>0</v>
      </c>
      <c r="K846" s="29">
        <f t="shared" si="114"/>
        <v>0</v>
      </c>
      <c r="L846" s="33">
        <f>SUMIFS(실시간콜입력!$K:$K,실시간콜입력!$B:$B,$A846,실시간콜입력!$G:$G,$B846,실시간콜입력!$O:$O,"방문완료")+SUMIFS(실시간콜입력!$L:$L,실시간콜입력!$B:$B,$A846,실시간콜입력!$H:$H,$B846,실시간콜입력!$O:$O,"방문완료")</f>
        <v>0</v>
      </c>
      <c r="M846" s="29" t="str">
        <f t="shared" si="115"/>
        <v/>
      </c>
      <c r="N846" s="29"/>
    </row>
    <row r="847" spans="1:14" ht="19.5" hidden="1" customHeight="1" outlineLevel="1">
      <c r="A847" s="24">
        <f>IF(17&lt;=DAY(DATE(YEAR(설정_코스수당!$K$2),MONTH(설정_코스수당!$K$2)+1,0)),DATE(YEAR(설정_코스수당!$K$2),MONTH(설정_코스수당!$K$2),17),"")</f>
        <v>46190</v>
      </c>
      <c r="B847" s="23" t="s">
        <v>171</v>
      </c>
      <c r="C847" s="29"/>
      <c r="D847" s="29"/>
      <c r="E847" s="29" t="str">
        <f t="shared" si="113"/>
        <v/>
      </c>
      <c r="F847" s="29">
        <f>COUNTIFS(실시간콜입력!$B:$B,$A847,실시간콜입력!$E:$E,"A",실시간콜입력!$G:$G,$B847,실시간콜입력!$O:$O,"방문완료")+COUNTIFS(실시간콜입력!$B:$B,$A847,실시간콜입력!$E:$E,"A",실시간콜입력!$H:$H,$B847,실시간콜입력!$O:$O,"방문완료")</f>
        <v>0</v>
      </c>
      <c r="G847" s="29">
        <f>COUNTIFS(실시간콜입력!$B:$B,$A847,실시간콜입력!$E:$E,"B",실시간콜입력!$G:$G,$B847,실시간콜입력!$O:$O,"방문완료")+COUNTIFS(실시간콜입력!$B:$B,$A847,실시간콜입력!$E:$E,"B",실시간콜입력!$H:$H,$B847,실시간콜입력!$O:$O,"방문완료")</f>
        <v>0</v>
      </c>
      <c r="H847" s="29">
        <f>COUNTIFS(실시간콜입력!$B:$B,$A847,실시간콜입력!$E:$E,"C",실시간콜입력!$G:$G,$B847,실시간콜입력!$O:$O,"방문완료")+COUNTIFS(실시간콜입력!$B:$B,$A847,실시간콜입력!$E:$E,"C",실시간콜입력!$H:$H,$B847,실시간콜입력!$O:$O,"방문완료")</f>
        <v>0</v>
      </c>
      <c r="I847" s="29">
        <f>COUNTIFS(실시간콜입력!$B:$B,$A847,실시간콜입력!$E:$E,"D",실시간콜입력!$G:$G,$B847,실시간콜입력!$O:$O,"방문완료")+COUNTIFS(실시간콜입력!$B:$B,$A847,실시간콜입력!$E:$E,"D",실시간콜입력!$H:$H,$B847,실시간콜입력!$O:$O,"방문완료")</f>
        <v>0</v>
      </c>
      <c r="J847" s="29">
        <f>COUNTIFS(실시간콜입력!$B:$B,$A847,실시간콜입력!$E:$E,"E",실시간콜입력!$G:$G,$B847,실시간콜입력!$O:$O,"방문완료")+COUNTIFS(실시간콜입력!$B:$B,$A847,실시간콜입력!$E:$E,"E",실시간콜입력!$H:$H,$B847,실시간콜입력!$O:$O,"방문완료")</f>
        <v>0</v>
      </c>
      <c r="K847" s="29">
        <f t="shared" si="114"/>
        <v>0</v>
      </c>
      <c r="L847" s="27">
        <f>SUMIFS(실시간콜입력!$K:$K,실시간콜입력!$B:$B,$A847,실시간콜입력!$G:$G,$B847,실시간콜입력!$O:$O,"방문완료")+SUMIFS(실시간콜입력!$L:$L,실시간콜입력!$B:$B,$A847,실시간콜입력!$H:$H,$B847,실시간콜입력!$O:$O,"방문완료")</f>
        <v>0</v>
      </c>
      <c r="M847" s="29" t="str">
        <f t="shared" si="115"/>
        <v/>
      </c>
      <c r="N847" s="29"/>
    </row>
    <row r="848" spans="1:14" ht="19.5" hidden="1" customHeight="1" outlineLevel="1">
      <c r="A848" s="30">
        <f>IF(17&lt;=DAY(DATE(YEAR(설정_코스수당!$K$2),MONTH(설정_코스수당!$K$2)+1,0)),DATE(YEAR(설정_코스수당!$K$2),MONTH(설정_코스수당!$K$2),17),"")</f>
        <v>46190</v>
      </c>
      <c r="B848" s="29" t="s">
        <v>172</v>
      </c>
      <c r="C848" s="29"/>
      <c r="D848" s="29"/>
      <c r="E848" s="29" t="str">
        <f t="shared" si="113"/>
        <v/>
      </c>
      <c r="F848" s="29">
        <f>COUNTIFS(실시간콜입력!$B:$B,$A848,실시간콜입력!$E:$E,"A",실시간콜입력!$G:$G,$B848,실시간콜입력!$O:$O,"방문완료")+COUNTIFS(실시간콜입력!$B:$B,$A848,실시간콜입력!$E:$E,"A",실시간콜입력!$H:$H,$B848,실시간콜입력!$O:$O,"방문완료")</f>
        <v>0</v>
      </c>
      <c r="G848" s="29">
        <f>COUNTIFS(실시간콜입력!$B:$B,$A848,실시간콜입력!$E:$E,"B",실시간콜입력!$G:$G,$B848,실시간콜입력!$O:$O,"방문완료")+COUNTIFS(실시간콜입력!$B:$B,$A848,실시간콜입력!$E:$E,"B",실시간콜입력!$H:$H,$B848,실시간콜입력!$O:$O,"방문완료")</f>
        <v>0</v>
      </c>
      <c r="H848" s="29">
        <f>COUNTIFS(실시간콜입력!$B:$B,$A848,실시간콜입력!$E:$E,"C",실시간콜입력!$G:$G,$B848,실시간콜입력!$O:$O,"방문완료")+COUNTIFS(실시간콜입력!$B:$B,$A848,실시간콜입력!$E:$E,"C",실시간콜입력!$H:$H,$B848,실시간콜입력!$O:$O,"방문완료")</f>
        <v>0</v>
      </c>
      <c r="I848" s="29">
        <f>COUNTIFS(실시간콜입력!$B:$B,$A848,실시간콜입력!$E:$E,"D",실시간콜입력!$G:$G,$B848,실시간콜입력!$O:$O,"방문완료")+COUNTIFS(실시간콜입력!$B:$B,$A848,실시간콜입력!$E:$E,"D",실시간콜입력!$H:$H,$B848,실시간콜입력!$O:$O,"방문완료")</f>
        <v>0</v>
      </c>
      <c r="J848" s="29">
        <f>COUNTIFS(실시간콜입력!$B:$B,$A848,실시간콜입력!$E:$E,"E",실시간콜입력!$G:$G,$B848,실시간콜입력!$O:$O,"방문완료")+COUNTIFS(실시간콜입력!$B:$B,$A848,실시간콜입력!$E:$E,"E",실시간콜입력!$H:$H,$B848,실시간콜입력!$O:$O,"방문완료")</f>
        <v>0</v>
      </c>
      <c r="K848" s="29">
        <f t="shared" si="114"/>
        <v>0</v>
      </c>
      <c r="L848" s="33">
        <f>SUMIFS(실시간콜입력!$K:$K,실시간콜입력!$B:$B,$A848,실시간콜입력!$G:$G,$B848,실시간콜입력!$O:$O,"방문완료")+SUMIFS(실시간콜입력!$L:$L,실시간콜입력!$B:$B,$A848,실시간콜입력!$H:$H,$B848,실시간콜입력!$O:$O,"방문완료")</f>
        <v>0</v>
      </c>
      <c r="M848" s="29" t="str">
        <f t="shared" si="115"/>
        <v/>
      </c>
      <c r="N848" s="29"/>
    </row>
    <row r="849" spans="1:14" ht="19.5" hidden="1" customHeight="1" outlineLevel="1">
      <c r="A849" s="24">
        <f>IF(17&lt;=DAY(DATE(YEAR(설정_코스수당!$K$2),MONTH(설정_코스수당!$K$2)+1,0)),DATE(YEAR(설정_코스수당!$K$2),MONTH(설정_코스수당!$K$2),17),"")</f>
        <v>46190</v>
      </c>
      <c r="B849" s="23" t="s">
        <v>173</v>
      </c>
      <c r="C849" s="29"/>
      <c r="D849" s="29"/>
      <c r="E849" s="29" t="str">
        <f t="shared" si="113"/>
        <v/>
      </c>
      <c r="F849" s="29">
        <f>COUNTIFS(실시간콜입력!$B:$B,$A849,실시간콜입력!$E:$E,"A",실시간콜입력!$G:$G,$B849,실시간콜입력!$O:$O,"방문완료")+COUNTIFS(실시간콜입력!$B:$B,$A849,실시간콜입력!$E:$E,"A",실시간콜입력!$H:$H,$B849,실시간콜입력!$O:$O,"방문완료")</f>
        <v>0</v>
      </c>
      <c r="G849" s="29">
        <f>COUNTIFS(실시간콜입력!$B:$B,$A849,실시간콜입력!$E:$E,"B",실시간콜입력!$G:$G,$B849,실시간콜입력!$O:$O,"방문완료")+COUNTIFS(실시간콜입력!$B:$B,$A849,실시간콜입력!$E:$E,"B",실시간콜입력!$H:$H,$B849,실시간콜입력!$O:$O,"방문완료")</f>
        <v>0</v>
      </c>
      <c r="H849" s="29">
        <f>COUNTIFS(실시간콜입력!$B:$B,$A849,실시간콜입력!$E:$E,"C",실시간콜입력!$G:$G,$B849,실시간콜입력!$O:$O,"방문완료")+COUNTIFS(실시간콜입력!$B:$B,$A849,실시간콜입력!$E:$E,"C",실시간콜입력!$H:$H,$B849,실시간콜입력!$O:$O,"방문완료")</f>
        <v>0</v>
      </c>
      <c r="I849" s="29">
        <f>COUNTIFS(실시간콜입력!$B:$B,$A849,실시간콜입력!$E:$E,"D",실시간콜입력!$G:$G,$B849,실시간콜입력!$O:$O,"방문완료")+COUNTIFS(실시간콜입력!$B:$B,$A849,실시간콜입력!$E:$E,"D",실시간콜입력!$H:$H,$B849,실시간콜입력!$O:$O,"방문완료")</f>
        <v>0</v>
      </c>
      <c r="J849" s="29">
        <f>COUNTIFS(실시간콜입력!$B:$B,$A849,실시간콜입력!$E:$E,"E",실시간콜입력!$G:$G,$B849,실시간콜입력!$O:$O,"방문완료")+COUNTIFS(실시간콜입력!$B:$B,$A849,실시간콜입력!$E:$E,"E",실시간콜입력!$H:$H,$B849,실시간콜입력!$O:$O,"방문완료")</f>
        <v>0</v>
      </c>
      <c r="K849" s="29">
        <f t="shared" si="114"/>
        <v>0</v>
      </c>
      <c r="L849" s="27">
        <f>SUMIFS(실시간콜입력!$K:$K,실시간콜입력!$B:$B,$A849,실시간콜입력!$G:$G,$B849,실시간콜입력!$O:$O,"방문완료")+SUMIFS(실시간콜입력!$L:$L,실시간콜입력!$B:$B,$A849,실시간콜입력!$H:$H,$B849,실시간콜입력!$O:$O,"방문완료")</f>
        <v>0</v>
      </c>
      <c r="M849" s="29" t="str">
        <f t="shared" si="115"/>
        <v/>
      </c>
      <c r="N849" s="29"/>
    </row>
    <row r="850" spans="1:14" ht="19.5" hidden="1" customHeight="1" outlineLevel="1">
      <c r="A850" s="30">
        <f>IF(17&lt;=DAY(DATE(YEAR(설정_코스수당!$K$2),MONTH(설정_코스수당!$K$2)+1,0)),DATE(YEAR(설정_코스수당!$K$2),MONTH(설정_코스수당!$K$2),17),"")</f>
        <v>46190</v>
      </c>
      <c r="B850" s="29" t="s">
        <v>174</v>
      </c>
      <c r="C850" s="29"/>
      <c r="D850" s="29"/>
      <c r="E850" s="29" t="str">
        <f t="shared" si="113"/>
        <v/>
      </c>
      <c r="F850" s="29">
        <f>COUNTIFS(실시간콜입력!$B:$B,$A850,실시간콜입력!$E:$E,"A",실시간콜입력!$G:$G,$B850,실시간콜입력!$O:$O,"방문완료")+COUNTIFS(실시간콜입력!$B:$B,$A850,실시간콜입력!$E:$E,"A",실시간콜입력!$H:$H,$B850,실시간콜입력!$O:$O,"방문완료")</f>
        <v>0</v>
      </c>
      <c r="G850" s="29">
        <f>COUNTIFS(실시간콜입력!$B:$B,$A850,실시간콜입력!$E:$E,"B",실시간콜입력!$G:$G,$B850,실시간콜입력!$O:$O,"방문완료")+COUNTIFS(실시간콜입력!$B:$B,$A850,실시간콜입력!$E:$E,"B",실시간콜입력!$H:$H,$B850,실시간콜입력!$O:$O,"방문완료")</f>
        <v>0</v>
      </c>
      <c r="H850" s="29">
        <f>COUNTIFS(실시간콜입력!$B:$B,$A850,실시간콜입력!$E:$E,"C",실시간콜입력!$G:$G,$B850,실시간콜입력!$O:$O,"방문완료")+COUNTIFS(실시간콜입력!$B:$B,$A850,실시간콜입력!$E:$E,"C",실시간콜입력!$H:$H,$B850,실시간콜입력!$O:$O,"방문완료")</f>
        <v>0</v>
      </c>
      <c r="I850" s="29">
        <f>COUNTIFS(실시간콜입력!$B:$B,$A850,실시간콜입력!$E:$E,"D",실시간콜입력!$G:$G,$B850,실시간콜입력!$O:$O,"방문완료")+COUNTIFS(실시간콜입력!$B:$B,$A850,실시간콜입력!$E:$E,"D",실시간콜입력!$H:$H,$B850,실시간콜입력!$O:$O,"방문완료")</f>
        <v>0</v>
      </c>
      <c r="J850" s="29">
        <f>COUNTIFS(실시간콜입력!$B:$B,$A850,실시간콜입력!$E:$E,"E",실시간콜입력!$G:$G,$B850,실시간콜입력!$O:$O,"방문완료")+COUNTIFS(실시간콜입력!$B:$B,$A850,실시간콜입력!$E:$E,"E",실시간콜입력!$H:$H,$B850,실시간콜입력!$O:$O,"방문완료")</f>
        <v>0</v>
      </c>
      <c r="K850" s="29">
        <f t="shared" si="114"/>
        <v>0</v>
      </c>
      <c r="L850" s="33">
        <f>SUMIFS(실시간콜입력!$K:$K,실시간콜입력!$B:$B,$A850,실시간콜입력!$G:$G,$B850,실시간콜입력!$O:$O,"방문완료")+SUMIFS(실시간콜입력!$L:$L,실시간콜입력!$B:$B,$A850,실시간콜입력!$H:$H,$B850,실시간콜입력!$O:$O,"방문완료")</f>
        <v>0</v>
      </c>
      <c r="M850" s="29" t="str">
        <f t="shared" si="115"/>
        <v/>
      </c>
      <c r="N850" s="29"/>
    </row>
    <row r="851" spans="1:14" ht="19.5" hidden="1" customHeight="1" outlineLevel="1">
      <c r="A851" s="24">
        <f>IF(17&lt;=DAY(DATE(YEAR(설정_코스수당!$K$2),MONTH(설정_코스수당!$K$2)+1,0)),DATE(YEAR(설정_코스수당!$K$2),MONTH(설정_코스수당!$K$2),17),"")</f>
        <v>46190</v>
      </c>
      <c r="B851" s="23" t="s">
        <v>175</v>
      </c>
      <c r="C851" s="29"/>
      <c r="D851" s="29"/>
      <c r="E851" s="29" t="str">
        <f t="shared" si="113"/>
        <v/>
      </c>
      <c r="F851" s="29">
        <f>COUNTIFS(실시간콜입력!$B:$B,$A851,실시간콜입력!$E:$E,"A",실시간콜입력!$G:$G,$B851,실시간콜입력!$O:$O,"방문완료")+COUNTIFS(실시간콜입력!$B:$B,$A851,실시간콜입력!$E:$E,"A",실시간콜입력!$H:$H,$B851,실시간콜입력!$O:$O,"방문완료")</f>
        <v>0</v>
      </c>
      <c r="G851" s="29">
        <f>COUNTIFS(실시간콜입력!$B:$B,$A851,실시간콜입력!$E:$E,"B",실시간콜입력!$G:$G,$B851,실시간콜입력!$O:$O,"방문완료")+COUNTIFS(실시간콜입력!$B:$B,$A851,실시간콜입력!$E:$E,"B",실시간콜입력!$H:$H,$B851,실시간콜입력!$O:$O,"방문완료")</f>
        <v>0</v>
      </c>
      <c r="H851" s="29">
        <f>COUNTIFS(실시간콜입력!$B:$B,$A851,실시간콜입력!$E:$E,"C",실시간콜입력!$G:$G,$B851,실시간콜입력!$O:$O,"방문완료")+COUNTIFS(실시간콜입력!$B:$B,$A851,실시간콜입력!$E:$E,"C",실시간콜입력!$H:$H,$B851,실시간콜입력!$O:$O,"방문완료")</f>
        <v>0</v>
      </c>
      <c r="I851" s="29">
        <f>COUNTIFS(실시간콜입력!$B:$B,$A851,실시간콜입력!$E:$E,"D",실시간콜입력!$G:$G,$B851,실시간콜입력!$O:$O,"방문완료")+COUNTIFS(실시간콜입력!$B:$B,$A851,실시간콜입력!$E:$E,"D",실시간콜입력!$H:$H,$B851,실시간콜입력!$O:$O,"방문완료")</f>
        <v>0</v>
      </c>
      <c r="J851" s="29">
        <f>COUNTIFS(실시간콜입력!$B:$B,$A851,실시간콜입력!$E:$E,"E",실시간콜입력!$G:$G,$B851,실시간콜입력!$O:$O,"방문완료")+COUNTIFS(실시간콜입력!$B:$B,$A851,실시간콜입력!$E:$E,"E",실시간콜입력!$H:$H,$B851,실시간콜입력!$O:$O,"방문완료")</f>
        <v>0</v>
      </c>
      <c r="K851" s="29">
        <f t="shared" si="114"/>
        <v>0</v>
      </c>
      <c r="L851" s="27">
        <f>SUMIFS(실시간콜입력!$K:$K,실시간콜입력!$B:$B,$A851,실시간콜입력!$G:$G,$B851,실시간콜입력!$O:$O,"방문완료")+SUMIFS(실시간콜입력!$L:$L,실시간콜입력!$B:$B,$A851,실시간콜입력!$H:$H,$B851,실시간콜입력!$O:$O,"방문완료")</f>
        <v>0</v>
      </c>
      <c r="M851" s="29" t="str">
        <f t="shared" si="115"/>
        <v/>
      </c>
      <c r="N851" s="29"/>
    </row>
    <row r="852" spans="1:14" ht="19.5" hidden="1" customHeight="1" outlineLevel="1">
      <c r="A852" s="30">
        <f>IF(17&lt;=DAY(DATE(YEAR(설정_코스수당!$K$2),MONTH(설정_코스수당!$K$2)+1,0)),DATE(YEAR(설정_코스수당!$K$2),MONTH(설정_코스수당!$K$2),17),"")</f>
        <v>46190</v>
      </c>
      <c r="B852" s="29" t="s">
        <v>176</v>
      </c>
      <c r="C852" s="29"/>
      <c r="D852" s="29"/>
      <c r="E852" s="29" t="str">
        <f t="shared" si="113"/>
        <v/>
      </c>
      <c r="F852" s="29">
        <f>COUNTIFS(실시간콜입력!$B:$B,$A852,실시간콜입력!$E:$E,"A",실시간콜입력!$G:$G,$B852,실시간콜입력!$O:$O,"방문완료")+COUNTIFS(실시간콜입력!$B:$B,$A852,실시간콜입력!$E:$E,"A",실시간콜입력!$H:$H,$B852,실시간콜입력!$O:$O,"방문완료")</f>
        <v>0</v>
      </c>
      <c r="G852" s="29">
        <f>COUNTIFS(실시간콜입력!$B:$B,$A852,실시간콜입력!$E:$E,"B",실시간콜입력!$G:$G,$B852,실시간콜입력!$O:$O,"방문완료")+COUNTIFS(실시간콜입력!$B:$B,$A852,실시간콜입력!$E:$E,"B",실시간콜입력!$H:$H,$B852,실시간콜입력!$O:$O,"방문완료")</f>
        <v>0</v>
      </c>
      <c r="H852" s="29">
        <f>COUNTIFS(실시간콜입력!$B:$B,$A852,실시간콜입력!$E:$E,"C",실시간콜입력!$G:$G,$B852,실시간콜입력!$O:$O,"방문완료")+COUNTIFS(실시간콜입력!$B:$B,$A852,실시간콜입력!$E:$E,"C",실시간콜입력!$H:$H,$B852,실시간콜입력!$O:$O,"방문완료")</f>
        <v>0</v>
      </c>
      <c r="I852" s="29">
        <f>COUNTIFS(실시간콜입력!$B:$B,$A852,실시간콜입력!$E:$E,"D",실시간콜입력!$G:$G,$B852,실시간콜입력!$O:$O,"방문완료")+COUNTIFS(실시간콜입력!$B:$B,$A852,실시간콜입력!$E:$E,"D",실시간콜입력!$H:$H,$B852,실시간콜입력!$O:$O,"방문완료")</f>
        <v>0</v>
      </c>
      <c r="J852" s="29">
        <f>COUNTIFS(실시간콜입력!$B:$B,$A852,실시간콜입력!$E:$E,"E",실시간콜입력!$G:$G,$B852,실시간콜입력!$O:$O,"방문완료")+COUNTIFS(실시간콜입력!$B:$B,$A852,실시간콜입력!$E:$E,"E",실시간콜입력!$H:$H,$B852,실시간콜입력!$O:$O,"방문완료")</f>
        <v>0</v>
      </c>
      <c r="K852" s="29">
        <f t="shared" si="114"/>
        <v>0</v>
      </c>
      <c r="L852" s="33">
        <f>SUMIFS(실시간콜입력!$K:$K,실시간콜입력!$B:$B,$A852,실시간콜입력!$G:$G,$B852,실시간콜입력!$O:$O,"방문완료")+SUMIFS(실시간콜입력!$L:$L,실시간콜입력!$B:$B,$A852,실시간콜입력!$H:$H,$B852,실시간콜입력!$O:$O,"방문완료")</f>
        <v>0</v>
      </c>
      <c r="M852" s="29" t="str">
        <f t="shared" si="115"/>
        <v/>
      </c>
      <c r="N852" s="29"/>
    </row>
    <row r="853" spans="1:14" ht="19.5" hidden="1" customHeight="1" outlineLevel="1">
      <c r="A853" s="24">
        <f>IF(17&lt;=DAY(DATE(YEAR(설정_코스수당!$K$2),MONTH(설정_코스수당!$K$2)+1,0)),DATE(YEAR(설정_코스수당!$K$2),MONTH(설정_코스수당!$K$2),17),"")</f>
        <v>46190</v>
      </c>
      <c r="B853" s="23" t="s">
        <v>177</v>
      </c>
      <c r="C853" s="29"/>
      <c r="D853" s="29"/>
      <c r="E853" s="29" t="str">
        <f t="shared" si="113"/>
        <v/>
      </c>
      <c r="F853" s="29">
        <f>COUNTIFS(실시간콜입력!$B:$B,$A853,실시간콜입력!$E:$E,"A",실시간콜입력!$G:$G,$B853,실시간콜입력!$O:$O,"방문완료")+COUNTIFS(실시간콜입력!$B:$B,$A853,실시간콜입력!$E:$E,"A",실시간콜입력!$H:$H,$B853,실시간콜입력!$O:$O,"방문완료")</f>
        <v>0</v>
      </c>
      <c r="G853" s="29">
        <f>COUNTIFS(실시간콜입력!$B:$B,$A853,실시간콜입력!$E:$E,"B",실시간콜입력!$G:$G,$B853,실시간콜입력!$O:$O,"방문완료")+COUNTIFS(실시간콜입력!$B:$B,$A853,실시간콜입력!$E:$E,"B",실시간콜입력!$H:$H,$B853,실시간콜입력!$O:$O,"방문완료")</f>
        <v>0</v>
      </c>
      <c r="H853" s="29">
        <f>COUNTIFS(실시간콜입력!$B:$B,$A853,실시간콜입력!$E:$E,"C",실시간콜입력!$G:$G,$B853,실시간콜입력!$O:$O,"방문완료")+COUNTIFS(실시간콜입력!$B:$B,$A853,실시간콜입력!$E:$E,"C",실시간콜입력!$H:$H,$B853,실시간콜입력!$O:$O,"방문완료")</f>
        <v>0</v>
      </c>
      <c r="I853" s="29">
        <f>COUNTIFS(실시간콜입력!$B:$B,$A853,실시간콜입력!$E:$E,"D",실시간콜입력!$G:$G,$B853,실시간콜입력!$O:$O,"방문완료")+COUNTIFS(실시간콜입력!$B:$B,$A853,실시간콜입력!$E:$E,"D",실시간콜입력!$H:$H,$B853,실시간콜입력!$O:$O,"방문완료")</f>
        <v>0</v>
      </c>
      <c r="J853" s="29">
        <f>COUNTIFS(실시간콜입력!$B:$B,$A853,실시간콜입력!$E:$E,"E",실시간콜입력!$G:$G,$B853,실시간콜입력!$O:$O,"방문완료")+COUNTIFS(실시간콜입력!$B:$B,$A853,실시간콜입력!$E:$E,"E",실시간콜입력!$H:$H,$B853,실시간콜입력!$O:$O,"방문완료")</f>
        <v>0</v>
      </c>
      <c r="K853" s="29">
        <f t="shared" si="114"/>
        <v>0</v>
      </c>
      <c r="L853" s="27">
        <f>SUMIFS(실시간콜입력!$K:$K,실시간콜입력!$B:$B,$A853,실시간콜입력!$G:$G,$B853,실시간콜입력!$O:$O,"방문완료")+SUMIFS(실시간콜입력!$L:$L,실시간콜입력!$B:$B,$A853,실시간콜입력!$H:$H,$B853,실시간콜입력!$O:$O,"방문완료")</f>
        <v>0</v>
      </c>
      <c r="M853" s="29" t="str">
        <f t="shared" si="115"/>
        <v/>
      </c>
      <c r="N853" s="29"/>
    </row>
    <row r="854" spans="1:14" ht="19.5" hidden="1" customHeight="1" outlineLevel="1">
      <c r="A854" s="30">
        <f>IF(17&lt;=DAY(DATE(YEAR(설정_코스수당!$K$2),MONTH(설정_코스수당!$K$2)+1,0)),DATE(YEAR(설정_코스수당!$K$2),MONTH(설정_코스수당!$K$2),17),"")</f>
        <v>46190</v>
      </c>
      <c r="B854" s="29" t="s">
        <v>178</v>
      </c>
      <c r="C854" s="29"/>
      <c r="D854" s="29"/>
      <c r="E854" s="29" t="str">
        <f t="shared" si="113"/>
        <v/>
      </c>
      <c r="F854" s="29">
        <f>COUNTIFS(실시간콜입력!$B:$B,$A854,실시간콜입력!$E:$E,"A",실시간콜입력!$G:$G,$B854,실시간콜입력!$O:$O,"방문완료")+COUNTIFS(실시간콜입력!$B:$B,$A854,실시간콜입력!$E:$E,"A",실시간콜입력!$H:$H,$B854,실시간콜입력!$O:$O,"방문완료")</f>
        <v>0</v>
      </c>
      <c r="G854" s="29">
        <f>COUNTIFS(실시간콜입력!$B:$B,$A854,실시간콜입력!$E:$E,"B",실시간콜입력!$G:$G,$B854,실시간콜입력!$O:$O,"방문완료")+COUNTIFS(실시간콜입력!$B:$B,$A854,실시간콜입력!$E:$E,"B",실시간콜입력!$H:$H,$B854,실시간콜입력!$O:$O,"방문완료")</f>
        <v>0</v>
      </c>
      <c r="H854" s="29">
        <f>COUNTIFS(실시간콜입력!$B:$B,$A854,실시간콜입력!$E:$E,"C",실시간콜입력!$G:$G,$B854,실시간콜입력!$O:$O,"방문완료")+COUNTIFS(실시간콜입력!$B:$B,$A854,실시간콜입력!$E:$E,"C",실시간콜입력!$H:$H,$B854,실시간콜입력!$O:$O,"방문완료")</f>
        <v>0</v>
      </c>
      <c r="I854" s="29">
        <f>COUNTIFS(실시간콜입력!$B:$B,$A854,실시간콜입력!$E:$E,"D",실시간콜입력!$G:$G,$B854,실시간콜입력!$O:$O,"방문완료")+COUNTIFS(실시간콜입력!$B:$B,$A854,실시간콜입력!$E:$E,"D",실시간콜입력!$H:$H,$B854,실시간콜입력!$O:$O,"방문완료")</f>
        <v>0</v>
      </c>
      <c r="J854" s="29">
        <f>COUNTIFS(실시간콜입력!$B:$B,$A854,실시간콜입력!$E:$E,"E",실시간콜입력!$G:$G,$B854,실시간콜입력!$O:$O,"방문완료")+COUNTIFS(실시간콜입력!$B:$B,$A854,실시간콜입력!$E:$E,"E",실시간콜입력!$H:$H,$B854,실시간콜입력!$O:$O,"방문완료")</f>
        <v>0</v>
      </c>
      <c r="K854" s="29">
        <f t="shared" si="114"/>
        <v>0</v>
      </c>
      <c r="L854" s="33">
        <f>SUMIFS(실시간콜입력!$K:$K,실시간콜입력!$B:$B,$A854,실시간콜입력!$G:$G,$B854,실시간콜입력!$O:$O,"방문완료")+SUMIFS(실시간콜입력!$L:$L,실시간콜입력!$B:$B,$A854,실시간콜입력!$H:$H,$B854,실시간콜입력!$O:$O,"방문완료")</f>
        <v>0</v>
      </c>
      <c r="M854" s="29" t="str">
        <f t="shared" si="115"/>
        <v/>
      </c>
      <c r="N854" s="29"/>
    </row>
    <row r="855" spans="1:14" ht="19.5" hidden="1" customHeight="1" outlineLevel="1">
      <c r="A855" s="24">
        <f>IF(17&lt;=DAY(DATE(YEAR(설정_코스수당!$K$2),MONTH(설정_코스수당!$K$2)+1,0)),DATE(YEAR(설정_코스수당!$K$2),MONTH(설정_코스수당!$K$2),17),"")</f>
        <v>46190</v>
      </c>
      <c r="B855" s="23" t="s">
        <v>179</v>
      </c>
      <c r="C855" s="29"/>
      <c r="D855" s="29"/>
      <c r="E855" s="29" t="str">
        <f t="shared" si="113"/>
        <v/>
      </c>
      <c r="F855" s="29">
        <f>COUNTIFS(실시간콜입력!$B:$B,$A855,실시간콜입력!$E:$E,"A",실시간콜입력!$G:$G,$B855,실시간콜입력!$O:$O,"방문완료")+COUNTIFS(실시간콜입력!$B:$B,$A855,실시간콜입력!$E:$E,"A",실시간콜입력!$H:$H,$B855,실시간콜입력!$O:$O,"방문완료")</f>
        <v>0</v>
      </c>
      <c r="G855" s="29">
        <f>COUNTIFS(실시간콜입력!$B:$B,$A855,실시간콜입력!$E:$E,"B",실시간콜입력!$G:$G,$B855,실시간콜입력!$O:$O,"방문완료")+COUNTIFS(실시간콜입력!$B:$B,$A855,실시간콜입력!$E:$E,"B",실시간콜입력!$H:$H,$B855,실시간콜입력!$O:$O,"방문완료")</f>
        <v>0</v>
      </c>
      <c r="H855" s="29">
        <f>COUNTIFS(실시간콜입력!$B:$B,$A855,실시간콜입력!$E:$E,"C",실시간콜입력!$G:$G,$B855,실시간콜입력!$O:$O,"방문완료")+COUNTIFS(실시간콜입력!$B:$B,$A855,실시간콜입력!$E:$E,"C",실시간콜입력!$H:$H,$B855,실시간콜입력!$O:$O,"방문완료")</f>
        <v>0</v>
      </c>
      <c r="I855" s="29">
        <f>COUNTIFS(실시간콜입력!$B:$B,$A855,실시간콜입력!$E:$E,"D",실시간콜입력!$G:$G,$B855,실시간콜입력!$O:$O,"방문완료")+COUNTIFS(실시간콜입력!$B:$B,$A855,실시간콜입력!$E:$E,"D",실시간콜입력!$H:$H,$B855,실시간콜입력!$O:$O,"방문완료")</f>
        <v>0</v>
      </c>
      <c r="J855" s="29">
        <f>COUNTIFS(실시간콜입력!$B:$B,$A855,실시간콜입력!$E:$E,"E",실시간콜입력!$G:$G,$B855,실시간콜입력!$O:$O,"방문완료")+COUNTIFS(실시간콜입력!$B:$B,$A855,실시간콜입력!$E:$E,"E",실시간콜입력!$H:$H,$B855,실시간콜입력!$O:$O,"방문완료")</f>
        <v>0</v>
      </c>
      <c r="K855" s="29">
        <f t="shared" si="114"/>
        <v>0</v>
      </c>
      <c r="L855" s="27">
        <f>SUMIFS(실시간콜입력!$K:$K,실시간콜입력!$B:$B,$A855,실시간콜입력!$G:$G,$B855,실시간콜입력!$O:$O,"방문완료")+SUMIFS(실시간콜입력!$L:$L,실시간콜입력!$B:$B,$A855,실시간콜입력!$H:$H,$B855,실시간콜입력!$O:$O,"방문완료")</f>
        <v>0</v>
      </c>
      <c r="M855" s="29" t="str">
        <f t="shared" si="115"/>
        <v/>
      </c>
      <c r="N855" s="29"/>
    </row>
    <row r="856" spans="1:14" ht="19.5" hidden="1" customHeight="1" outlineLevel="1">
      <c r="A856" s="30">
        <f>IF(17&lt;=DAY(DATE(YEAR(설정_코스수당!$K$2),MONTH(설정_코스수당!$K$2)+1,0)),DATE(YEAR(설정_코스수당!$K$2),MONTH(설정_코스수당!$K$2),17),"")</f>
        <v>46190</v>
      </c>
      <c r="B856" s="29" t="s">
        <v>180</v>
      </c>
      <c r="C856" s="29"/>
      <c r="D856" s="29"/>
      <c r="E856" s="29" t="str">
        <f t="shared" si="113"/>
        <v/>
      </c>
      <c r="F856" s="29">
        <f>COUNTIFS(실시간콜입력!$B:$B,$A856,실시간콜입력!$E:$E,"A",실시간콜입력!$G:$G,$B856,실시간콜입력!$O:$O,"방문완료")+COUNTIFS(실시간콜입력!$B:$B,$A856,실시간콜입력!$E:$E,"A",실시간콜입력!$H:$H,$B856,실시간콜입력!$O:$O,"방문완료")</f>
        <v>0</v>
      </c>
      <c r="G856" s="29">
        <f>COUNTIFS(실시간콜입력!$B:$B,$A856,실시간콜입력!$E:$E,"B",실시간콜입력!$G:$G,$B856,실시간콜입력!$O:$O,"방문완료")+COUNTIFS(실시간콜입력!$B:$B,$A856,실시간콜입력!$E:$E,"B",실시간콜입력!$H:$H,$B856,실시간콜입력!$O:$O,"방문완료")</f>
        <v>0</v>
      </c>
      <c r="H856" s="29">
        <f>COUNTIFS(실시간콜입력!$B:$B,$A856,실시간콜입력!$E:$E,"C",실시간콜입력!$G:$G,$B856,실시간콜입력!$O:$O,"방문완료")+COUNTIFS(실시간콜입력!$B:$B,$A856,실시간콜입력!$E:$E,"C",실시간콜입력!$H:$H,$B856,실시간콜입력!$O:$O,"방문완료")</f>
        <v>0</v>
      </c>
      <c r="I856" s="29">
        <f>COUNTIFS(실시간콜입력!$B:$B,$A856,실시간콜입력!$E:$E,"D",실시간콜입력!$G:$G,$B856,실시간콜입력!$O:$O,"방문완료")+COUNTIFS(실시간콜입력!$B:$B,$A856,실시간콜입력!$E:$E,"D",실시간콜입력!$H:$H,$B856,실시간콜입력!$O:$O,"방문완료")</f>
        <v>0</v>
      </c>
      <c r="J856" s="29">
        <f>COUNTIFS(실시간콜입력!$B:$B,$A856,실시간콜입력!$E:$E,"E",실시간콜입력!$G:$G,$B856,실시간콜입력!$O:$O,"방문완료")+COUNTIFS(실시간콜입력!$B:$B,$A856,실시간콜입력!$E:$E,"E",실시간콜입력!$H:$H,$B856,실시간콜입력!$O:$O,"방문완료")</f>
        <v>0</v>
      </c>
      <c r="K856" s="29">
        <f t="shared" si="114"/>
        <v>0</v>
      </c>
      <c r="L856" s="33">
        <f>SUMIFS(실시간콜입력!$K:$K,실시간콜입력!$B:$B,$A856,실시간콜입력!$G:$G,$B856,실시간콜입력!$O:$O,"방문완료")+SUMIFS(실시간콜입력!$L:$L,실시간콜입력!$B:$B,$A856,실시간콜입력!$H:$H,$B856,실시간콜입력!$O:$O,"방문완료")</f>
        <v>0</v>
      </c>
      <c r="M856" s="29" t="str">
        <f t="shared" si="115"/>
        <v/>
      </c>
      <c r="N856" s="29"/>
    </row>
    <row r="857" spans="1:14" ht="19.5" hidden="1" customHeight="1" outlineLevel="1">
      <c r="A857" s="24">
        <f>IF(17&lt;=DAY(DATE(YEAR(설정_코스수당!$K$2),MONTH(설정_코스수당!$K$2)+1,0)),DATE(YEAR(설정_코스수당!$K$2),MONTH(설정_코스수당!$K$2),17),"")</f>
        <v>46190</v>
      </c>
      <c r="B857" s="23" t="s">
        <v>181</v>
      </c>
      <c r="C857" s="29"/>
      <c r="D857" s="29"/>
      <c r="E857" s="29" t="str">
        <f t="shared" si="113"/>
        <v/>
      </c>
      <c r="F857" s="29">
        <f>COUNTIFS(실시간콜입력!$B:$B,$A857,실시간콜입력!$E:$E,"A",실시간콜입력!$G:$G,$B857,실시간콜입력!$O:$O,"방문완료")+COUNTIFS(실시간콜입력!$B:$B,$A857,실시간콜입력!$E:$E,"A",실시간콜입력!$H:$H,$B857,실시간콜입력!$O:$O,"방문완료")</f>
        <v>0</v>
      </c>
      <c r="G857" s="29">
        <f>COUNTIFS(실시간콜입력!$B:$B,$A857,실시간콜입력!$E:$E,"B",실시간콜입력!$G:$G,$B857,실시간콜입력!$O:$O,"방문완료")+COUNTIFS(실시간콜입력!$B:$B,$A857,실시간콜입력!$E:$E,"B",실시간콜입력!$H:$H,$B857,실시간콜입력!$O:$O,"방문완료")</f>
        <v>0</v>
      </c>
      <c r="H857" s="29">
        <f>COUNTIFS(실시간콜입력!$B:$B,$A857,실시간콜입력!$E:$E,"C",실시간콜입력!$G:$G,$B857,실시간콜입력!$O:$O,"방문완료")+COUNTIFS(실시간콜입력!$B:$B,$A857,실시간콜입력!$E:$E,"C",실시간콜입력!$H:$H,$B857,실시간콜입력!$O:$O,"방문완료")</f>
        <v>0</v>
      </c>
      <c r="I857" s="29">
        <f>COUNTIFS(실시간콜입력!$B:$B,$A857,실시간콜입력!$E:$E,"D",실시간콜입력!$G:$G,$B857,실시간콜입력!$O:$O,"방문완료")+COUNTIFS(실시간콜입력!$B:$B,$A857,실시간콜입력!$E:$E,"D",실시간콜입력!$H:$H,$B857,실시간콜입력!$O:$O,"방문완료")</f>
        <v>0</v>
      </c>
      <c r="J857" s="29">
        <f>COUNTIFS(실시간콜입력!$B:$B,$A857,실시간콜입력!$E:$E,"E",실시간콜입력!$G:$G,$B857,실시간콜입력!$O:$O,"방문완료")+COUNTIFS(실시간콜입력!$B:$B,$A857,실시간콜입력!$E:$E,"E",실시간콜입력!$H:$H,$B857,실시간콜입력!$O:$O,"방문완료")</f>
        <v>0</v>
      </c>
      <c r="K857" s="29">
        <f t="shared" si="114"/>
        <v>0</v>
      </c>
      <c r="L857" s="27">
        <f>SUMIFS(실시간콜입력!$K:$K,실시간콜입력!$B:$B,$A857,실시간콜입력!$G:$G,$B857,실시간콜입력!$O:$O,"방문완료")+SUMIFS(실시간콜입력!$L:$L,실시간콜입력!$B:$B,$A857,실시간콜입력!$H:$H,$B857,실시간콜입력!$O:$O,"방문완료")</f>
        <v>0</v>
      </c>
      <c r="M857" s="29" t="str">
        <f t="shared" si="115"/>
        <v/>
      </c>
      <c r="N857" s="29"/>
    </row>
    <row r="858" spans="1:14" ht="19.5" hidden="1" customHeight="1" outlineLevel="1">
      <c r="A858" s="30">
        <f>IF(17&lt;=DAY(DATE(YEAR(설정_코스수당!$K$2),MONTH(설정_코스수당!$K$2)+1,0)),DATE(YEAR(설정_코스수당!$K$2),MONTH(설정_코스수당!$K$2),17),"")</f>
        <v>46190</v>
      </c>
      <c r="B858" s="29" t="s">
        <v>182</v>
      </c>
      <c r="C858" s="29"/>
      <c r="D858" s="29"/>
      <c r="E858" s="29" t="str">
        <f t="shared" si="113"/>
        <v/>
      </c>
      <c r="F858" s="29">
        <f>COUNTIFS(실시간콜입력!$B:$B,$A858,실시간콜입력!$E:$E,"A",실시간콜입력!$G:$G,$B858,실시간콜입력!$O:$O,"방문완료")+COUNTIFS(실시간콜입력!$B:$B,$A858,실시간콜입력!$E:$E,"A",실시간콜입력!$H:$H,$B858,실시간콜입력!$O:$O,"방문완료")</f>
        <v>0</v>
      </c>
      <c r="G858" s="29">
        <f>COUNTIFS(실시간콜입력!$B:$B,$A858,실시간콜입력!$E:$E,"B",실시간콜입력!$G:$G,$B858,실시간콜입력!$O:$O,"방문완료")+COUNTIFS(실시간콜입력!$B:$B,$A858,실시간콜입력!$E:$E,"B",실시간콜입력!$H:$H,$B858,실시간콜입력!$O:$O,"방문완료")</f>
        <v>0</v>
      </c>
      <c r="H858" s="29">
        <f>COUNTIFS(실시간콜입력!$B:$B,$A858,실시간콜입력!$E:$E,"C",실시간콜입력!$G:$G,$B858,실시간콜입력!$O:$O,"방문완료")+COUNTIFS(실시간콜입력!$B:$B,$A858,실시간콜입력!$E:$E,"C",실시간콜입력!$H:$H,$B858,실시간콜입력!$O:$O,"방문완료")</f>
        <v>0</v>
      </c>
      <c r="I858" s="29">
        <f>COUNTIFS(실시간콜입력!$B:$B,$A858,실시간콜입력!$E:$E,"D",실시간콜입력!$G:$G,$B858,실시간콜입력!$O:$O,"방문완료")+COUNTIFS(실시간콜입력!$B:$B,$A858,실시간콜입력!$E:$E,"D",실시간콜입력!$H:$H,$B858,실시간콜입력!$O:$O,"방문완료")</f>
        <v>0</v>
      </c>
      <c r="J858" s="29">
        <f>COUNTIFS(실시간콜입력!$B:$B,$A858,실시간콜입력!$E:$E,"E",실시간콜입력!$G:$G,$B858,실시간콜입력!$O:$O,"방문완료")+COUNTIFS(실시간콜입력!$B:$B,$A858,실시간콜입력!$E:$E,"E",실시간콜입력!$H:$H,$B858,실시간콜입력!$O:$O,"방문완료")</f>
        <v>0</v>
      </c>
      <c r="K858" s="29">
        <f t="shared" si="114"/>
        <v>0</v>
      </c>
      <c r="L858" s="33">
        <f>SUMIFS(실시간콜입력!$K:$K,실시간콜입력!$B:$B,$A858,실시간콜입력!$G:$G,$B858,실시간콜입력!$O:$O,"방문완료")+SUMIFS(실시간콜입력!$L:$L,실시간콜입력!$B:$B,$A858,실시간콜입력!$H:$H,$B858,실시간콜입력!$O:$O,"방문완료")</f>
        <v>0</v>
      </c>
      <c r="M858" s="29" t="str">
        <f t="shared" si="115"/>
        <v/>
      </c>
      <c r="N858" s="29"/>
    </row>
    <row r="859" spans="1:14" ht="19.5" hidden="1" customHeight="1" outlineLevel="1">
      <c r="A859" s="24">
        <f>IF(17&lt;=DAY(DATE(YEAR(설정_코스수당!$K$2),MONTH(설정_코스수당!$K$2)+1,0)),DATE(YEAR(설정_코스수당!$K$2),MONTH(설정_코스수당!$K$2),17),"")</f>
        <v>46190</v>
      </c>
      <c r="B859" s="23" t="s">
        <v>183</v>
      </c>
      <c r="C859" s="29"/>
      <c r="D859" s="29"/>
      <c r="E859" s="29" t="str">
        <f t="shared" si="113"/>
        <v/>
      </c>
      <c r="F859" s="29">
        <f>COUNTIFS(실시간콜입력!$B:$B,$A859,실시간콜입력!$E:$E,"A",실시간콜입력!$G:$G,$B859,실시간콜입력!$O:$O,"방문완료")+COUNTIFS(실시간콜입력!$B:$B,$A859,실시간콜입력!$E:$E,"A",실시간콜입력!$H:$H,$B859,실시간콜입력!$O:$O,"방문완료")</f>
        <v>0</v>
      </c>
      <c r="G859" s="29">
        <f>COUNTIFS(실시간콜입력!$B:$B,$A859,실시간콜입력!$E:$E,"B",실시간콜입력!$G:$G,$B859,실시간콜입력!$O:$O,"방문완료")+COUNTIFS(실시간콜입력!$B:$B,$A859,실시간콜입력!$E:$E,"B",실시간콜입력!$H:$H,$B859,실시간콜입력!$O:$O,"방문완료")</f>
        <v>0</v>
      </c>
      <c r="H859" s="29">
        <f>COUNTIFS(실시간콜입력!$B:$B,$A859,실시간콜입력!$E:$E,"C",실시간콜입력!$G:$G,$B859,실시간콜입력!$O:$O,"방문완료")+COUNTIFS(실시간콜입력!$B:$B,$A859,실시간콜입력!$E:$E,"C",실시간콜입력!$H:$H,$B859,실시간콜입력!$O:$O,"방문완료")</f>
        <v>0</v>
      </c>
      <c r="I859" s="29">
        <f>COUNTIFS(실시간콜입력!$B:$B,$A859,실시간콜입력!$E:$E,"D",실시간콜입력!$G:$G,$B859,실시간콜입력!$O:$O,"방문완료")+COUNTIFS(실시간콜입력!$B:$B,$A859,실시간콜입력!$E:$E,"D",실시간콜입력!$H:$H,$B859,실시간콜입력!$O:$O,"방문완료")</f>
        <v>0</v>
      </c>
      <c r="J859" s="29">
        <f>COUNTIFS(실시간콜입력!$B:$B,$A859,실시간콜입력!$E:$E,"E",실시간콜입력!$G:$G,$B859,실시간콜입력!$O:$O,"방문완료")+COUNTIFS(실시간콜입력!$B:$B,$A859,실시간콜입력!$E:$E,"E",실시간콜입력!$H:$H,$B859,실시간콜입력!$O:$O,"방문완료")</f>
        <v>0</v>
      </c>
      <c r="K859" s="29">
        <f t="shared" si="114"/>
        <v>0</v>
      </c>
      <c r="L859" s="27">
        <f>SUMIFS(실시간콜입력!$K:$K,실시간콜입력!$B:$B,$A859,실시간콜입력!$G:$G,$B859,실시간콜입력!$O:$O,"방문완료")+SUMIFS(실시간콜입력!$L:$L,실시간콜입력!$B:$B,$A859,실시간콜입력!$H:$H,$B859,실시간콜입력!$O:$O,"방문완료")</f>
        <v>0</v>
      </c>
      <c r="M859" s="29" t="str">
        <f t="shared" si="115"/>
        <v/>
      </c>
      <c r="N859" s="29"/>
    </row>
    <row r="860" spans="1:14" ht="19.5" hidden="1" customHeight="1" outlineLevel="1">
      <c r="A860" s="30">
        <f>IF(17&lt;=DAY(DATE(YEAR(설정_코스수당!$K$2),MONTH(설정_코스수당!$K$2)+1,0)),DATE(YEAR(설정_코스수당!$K$2),MONTH(설정_코스수당!$K$2),17),"")</f>
        <v>46190</v>
      </c>
      <c r="B860" s="29" t="s">
        <v>184</v>
      </c>
      <c r="C860" s="29"/>
      <c r="D860" s="29"/>
      <c r="E860" s="29" t="str">
        <f t="shared" si="113"/>
        <v/>
      </c>
      <c r="F860" s="29">
        <f>COUNTIFS(실시간콜입력!$B:$B,$A860,실시간콜입력!$E:$E,"A",실시간콜입력!$G:$G,$B860,실시간콜입력!$O:$O,"방문완료")+COUNTIFS(실시간콜입력!$B:$B,$A860,실시간콜입력!$E:$E,"A",실시간콜입력!$H:$H,$B860,실시간콜입력!$O:$O,"방문완료")</f>
        <v>0</v>
      </c>
      <c r="G860" s="29">
        <f>COUNTIFS(실시간콜입력!$B:$B,$A860,실시간콜입력!$E:$E,"B",실시간콜입력!$G:$G,$B860,실시간콜입력!$O:$O,"방문완료")+COUNTIFS(실시간콜입력!$B:$B,$A860,실시간콜입력!$E:$E,"B",실시간콜입력!$H:$H,$B860,실시간콜입력!$O:$O,"방문완료")</f>
        <v>0</v>
      </c>
      <c r="H860" s="29">
        <f>COUNTIFS(실시간콜입력!$B:$B,$A860,실시간콜입력!$E:$E,"C",실시간콜입력!$G:$G,$B860,실시간콜입력!$O:$O,"방문완료")+COUNTIFS(실시간콜입력!$B:$B,$A860,실시간콜입력!$E:$E,"C",실시간콜입력!$H:$H,$B860,실시간콜입력!$O:$O,"방문완료")</f>
        <v>0</v>
      </c>
      <c r="I860" s="29">
        <f>COUNTIFS(실시간콜입력!$B:$B,$A860,실시간콜입력!$E:$E,"D",실시간콜입력!$G:$G,$B860,실시간콜입력!$O:$O,"방문완료")+COUNTIFS(실시간콜입력!$B:$B,$A860,실시간콜입력!$E:$E,"D",실시간콜입력!$H:$H,$B860,실시간콜입력!$O:$O,"방문완료")</f>
        <v>0</v>
      </c>
      <c r="J860" s="29">
        <f>COUNTIFS(실시간콜입력!$B:$B,$A860,실시간콜입력!$E:$E,"E",실시간콜입력!$G:$G,$B860,실시간콜입력!$O:$O,"방문완료")+COUNTIFS(실시간콜입력!$B:$B,$A860,실시간콜입력!$E:$E,"E",실시간콜입력!$H:$H,$B860,실시간콜입력!$O:$O,"방문완료")</f>
        <v>0</v>
      </c>
      <c r="K860" s="29">
        <f t="shared" si="114"/>
        <v>0</v>
      </c>
      <c r="L860" s="33">
        <f>SUMIFS(실시간콜입력!$K:$K,실시간콜입력!$B:$B,$A860,실시간콜입력!$G:$G,$B860,실시간콜입력!$O:$O,"방문완료")+SUMIFS(실시간콜입력!$L:$L,실시간콜입력!$B:$B,$A860,실시간콜입력!$H:$H,$B860,실시간콜입력!$O:$O,"방문완료")</f>
        <v>0</v>
      </c>
      <c r="M860" s="29" t="str">
        <f t="shared" si="115"/>
        <v/>
      </c>
      <c r="N860" s="29"/>
    </row>
    <row r="861" spans="1:14" ht="19.5" hidden="1" customHeight="1" outlineLevel="1">
      <c r="A861" s="24">
        <f>IF(17&lt;=DAY(DATE(YEAR(설정_코스수당!$K$2),MONTH(설정_코스수당!$K$2)+1,0)),DATE(YEAR(설정_코스수당!$K$2),MONTH(설정_코스수당!$K$2),17),"")</f>
        <v>46190</v>
      </c>
      <c r="B861" s="23" t="s">
        <v>185</v>
      </c>
      <c r="C861" s="29"/>
      <c r="D861" s="29"/>
      <c r="E861" s="29" t="str">
        <f t="shared" si="113"/>
        <v/>
      </c>
      <c r="F861" s="29">
        <f>COUNTIFS(실시간콜입력!$B:$B,$A861,실시간콜입력!$E:$E,"A",실시간콜입력!$G:$G,$B861,실시간콜입력!$O:$O,"방문완료")+COUNTIFS(실시간콜입력!$B:$B,$A861,실시간콜입력!$E:$E,"A",실시간콜입력!$H:$H,$B861,실시간콜입력!$O:$O,"방문완료")</f>
        <v>0</v>
      </c>
      <c r="G861" s="29">
        <f>COUNTIFS(실시간콜입력!$B:$B,$A861,실시간콜입력!$E:$E,"B",실시간콜입력!$G:$G,$B861,실시간콜입력!$O:$O,"방문완료")+COUNTIFS(실시간콜입력!$B:$B,$A861,실시간콜입력!$E:$E,"B",실시간콜입력!$H:$H,$B861,실시간콜입력!$O:$O,"방문완료")</f>
        <v>0</v>
      </c>
      <c r="H861" s="29">
        <f>COUNTIFS(실시간콜입력!$B:$B,$A861,실시간콜입력!$E:$E,"C",실시간콜입력!$G:$G,$B861,실시간콜입력!$O:$O,"방문완료")+COUNTIFS(실시간콜입력!$B:$B,$A861,실시간콜입력!$E:$E,"C",실시간콜입력!$H:$H,$B861,실시간콜입력!$O:$O,"방문완료")</f>
        <v>0</v>
      </c>
      <c r="I861" s="29">
        <f>COUNTIFS(실시간콜입력!$B:$B,$A861,실시간콜입력!$E:$E,"D",실시간콜입력!$G:$G,$B861,실시간콜입력!$O:$O,"방문완료")+COUNTIFS(실시간콜입력!$B:$B,$A861,실시간콜입력!$E:$E,"D",실시간콜입력!$H:$H,$B861,실시간콜입력!$O:$O,"방문완료")</f>
        <v>0</v>
      </c>
      <c r="J861" s="29">
        <f>COUNTIFS(실시간콜입력!$B:$B,$A861,실시간콜입력!$E:$E,"E",실시간콜입력!$G:$G,$B861,실시간콜입력!$O:$O,"방문완료")+COUNTIFS(실시간콜입력!$B:$B,$A861,실시간콜입력!$E:$E,"E",실시간콜입력!$H:$H,$B861,실시간콜입력!$O:$O,"방문완료")</f>
        <v>0</v>
      </c>
      <c r="K861" s="29">
        <f t="shared" si="114"/>
        <v>0</v>
      </c>
      <c r="L861" s="27">
        <f>SUMIFS(실시간콜입력!$K:$K,실시간콜입력!$B:$B,$A861,실시간콜입력!$G:$G,$B861,실시간콜입력!$O:$O,"방문완료")+SUMIFS(실시간콜입력!$L:$L,실시간콜입력!$B:$B,$A861,실시간콜입력!$H:$H,$B861,실시간콜입력!$O:$O,"방문완료")</f>
        <v>0</v>
      </c>
      <c r="M861" s="29" t="str">
        <f t="shared" si="115"/>
        <v/>
      </c>
      <c r="N861" s="29"/>
    </row>
    <row r="862" spans="1:14" ht="19.5" hidden="1" customHeight="1" outlineLevel="1">
      <c r="A862" s="30">
        <f>IF(17&lt;=DAY(DATE(YEAR(설정_코스수당!$K$2),MONTH(설정_코스수당!$K$2)+1,0)),DATE(YEAR(설정_코스수당!$K$2),MONTH(설정_코스수당!$K$2),17),"")</f>
        <v>46190</v>
      </c>
      <c r="B862" s="29" t="s">
        <v>186</v>
      </c>
      <c r="C862" s="29"/>
      <c r="D862" s="29"/>
      <c r="E862" s="29" t="str">
        <f t="shared" si="113"/>
        <v/>
      </c>
      <c r="F862" s="29">
        <f>COUNTIFS(실시간콜입력!$B:$B,$A862,실시간콜입력!$E:$E,"A",실시간콜입력!$G:$G,$B862,실시간콜입력!$O:$O,"방문완료")+COUNTIFS(실시간콜입력!$B:$B,$A862,실시간콜입력!$E:$E,"A",실시간콜입력!$H:$H,$B862,실시간콜입력!$O:$O,"방문완료")</f>
        <v>0</v>
      </c>
      <c r="G862" s="29">
        <f>COUNTIFS(실시간콜입력!$B:$B,$A862,실시간콜입력!$E:$E,"B",실시간콜입력!$G:$G,$B862,실시간콜입력!$O:$O,"방문완료")+COUNTIFS(실시간콜입력!$B:$B,$A862,실시간콜입력!$E:$E,"B",실시간콜입력!$H:$H,$B862,실시간콜입력!$O:$O,"방문완료")</f>
        <v>0</v>
      </c>
      <c r="H862" s="29">
        <f>COUNTIFS(실시간콜입력!$B:$B,$A862,실시간콜입력!$E:$E,"C",실시간콜입력!$G:$G,$B862,실시간콜입력!$O:$O,"방문완료")+COUNTIFS(실시간콜입력!$B:$B,$A862,실시간콜입력!$E:$E,"C",실시간콜입력!$H:$H,$B862,실시간콜입력!$O:$O,"방문완료")</f>
        <v>0</v>
      </c>
      <c r="I862" s="29">
        <f>COUNTIFS(실시간콜입력!$B:$B,$A862,실시간콜입력!$E:$E,"D",실시간콜입력!$G:$G,$B862,실시간콜입력!$O:$O,"방문완료")+COUNTIFS(실시간콜입력!$B:$B,$A862,실시간콜입력!$E:$E,"D",실시간콜입력!$H:$H,$B862,실시간콜입력!$O:$O,"방문완료")</f>
        <v>0</v>
      </c>
      <c r="J862" s="29">
        <f>COUNTIFS(실시간콜입력!$B:$B,$A862,실시간콜입력!$E:$E,"E",실시간콜입력!$G:$G,$B862,실시간콜입력!$O:$O,"방문완료")+COUNTIFS(실시간콜입력!$B:$B,$A862,실시간콜입력!$E:$E,"E",실시간콜입력!$H:$H,$B862,실시간콜입력!$O:$O,"방문완료")</f>
        <v>0</v>
      </c>
      <c r="K862" s="29">
        <f t="shared" si="114"/>
        <v>0</v>
      </c>
      <c r="L862" s="33">
        <f>SUMIFS(실시간콜입력!$K:$K,실시간콜입력!$B:$B,$A862,실시간콜입력!$G:$G,$B862,실시간콜입력!$O:$O,"방문완료")+SUMIFS(실시간콜입력!$L:$L,실시간콜입력!$B:$B,$A862,실시간콜입력!$H:$H,$B862,실시간콜입력!$O:$O,"방문완료")</f>
        <v>0</v>
      </c>
      <c r="M862" s="29" t="str">
        <f t="shared" si="115"/>
        <v/>
      </c>
      <c r="N862" s="29"/>
    </row>
    <row r="863" spans="1:14" ht="19.5" hidden="1" customHeight="1" outlineLevel="1">
      <c r="A863" s="24">
        <f>IF(17&lt;=DAY(DATE(YEAR(설정_코스수당!$K$2),MONTH(설정_코스수당!$K$2)+1,0)),DATE(YEAR(설정_코스수당!$K$2),MONTH(설정_코스수당!$K$2),17),"")</f>
        <v>46190</v>
      </c>
      <c r="B863" s="23" t="s">
        <v>187</v>
      </c>
      <c r="C863" s="29"/>
      <c r="D863" s="29"/>
      <c r="E863" s="29" t="str">
        <f t="shared" si="113"/>
        <v/>
      </c>
      <c r="F863" s="29">
        <f>COUNTIFS(실시간콜입력!$B:$B,$A863,실시간콜입력!$E:$E,"A",실시간콜입력!$G:$G,$B863,실시간콜입력!$O:$O,"방문완료")+COUNTIFS(실시간콜입력!$B:$B,$A863,실시간콜입력!$E:$E,"A",실시간콜입력!$H:$H,$B863,실시간콜입력!$O:$O,"방문완료")</f>
        <v>0</v>
      </c>
      <c r="G863" s="29">
        <f>COUNTIFS(실시간콜입력!$B:$B,$A863,실시간콜입력!$E:$E,"B",실시간콜입력!$G:$G,$B863,실시간콜입력!$O:$O,"방문완료")+COUNTIFS(실시간콜입력!$B:$B,$A863,실시간콜입력!$E:$E,"B",실시간콜입력!$H:$H,$B863,실시간콜입력!$O:$O,"방문완료")</f>
        <v>0</v>
      </c>
      <c r="H863" s="29">
        <f>COUNTIFS(실시간콜입력!$B:$B,$A863,실시간콜입력!$E:$E,"C",실시간콜입력!$G:$G,$B863,실시간콜입력!$O:$O,"방문완료")+COUNTIFS(실시간콜입력!$B:$B,$A863,실시간콜입력!$E:$E,"C",실시간콜입력!$H:$H,$B863,실시간콜입력!$O:$O,"방문완료")</f>
        <v>0</v>
      </c>
      <c r="I863" s="29">
        <f>COUNTIFS(실시간콜입력!$B:$B,$A863,실시간콜입력!$E:$E,"D",실시간콜입력!$G:$G,$B863,실시간콜입력!$O:$O,"방문완료")+COUNTIFS(실시간콜입력!$B:$B,$A863,실시간콜입력!$E:$E,"D",실시간콜입력!$H:$H,$B863,실시간콜입력!$O:$O,"방문완료")</f>
        <v>0</v>
      </c>
      <c r="J863" s="29">
        <f>COUNTIFS(실시간콜입력!$B:$B,$A863,실시간콜입력!$E:$E,"E",실시간콜입력!$G:$G,$B863,실시간콜입력!$O:$O,"방문완료")+COUNTIFS(실시간콜입력!$B:$B,$A863,실시간콜입력!$E:$E,"E",실시간콜입력!$H:$H,$B863,실시간콜입력!$O:$O,"방문완료")</f>
        <v>0</v>
      </c>
      <c r="K863" s="29">
        <f t="shared" si="114"/>
        <v>0</v>
      </c>
      <c r="L863" s="27">
        <f>SUMIFS(실시간콜입력!$K:$K,실시간콜입력!$B:$B,$A863,실시간콜입력!$G:$G,$B863,실시간콜입력!$O:$O,"방문완료")+SUMIFS(실시간콜입력!$L:$L,실시간콜입력!$B:$B,$A863,실시간콜입력!$H:$H,$B863,실시간콜입력!$O:$O,"방문완료")</f>
        <v>0</v>
      </c>
      <c r="M863" s="29" t="str">
        <f t="shared" si="115"/>
        <v/>
      </c>
      <c r="N863" s="29"/>
    </row>
    <row r="864" spans="1:14" ht="19.5" hidden="1" customHeight="1" outlineLevel="1">
      <c r="A864" s="30">
        <f>IF(17&lt;=DAY(DATE(YEAR(설정_코스수당!$K$2),MONTH(설정_코스수당!$K$2)+1,0)),DATE(YEAR(설정_코스수당!$K$2),MONTH(설정_코스수당!$K$2),17),"")</f>
        <v>46190</v>
      </c>
      <c r="B864" s="29" t="s">
        <v>188</v>
      </c>
      <c r="C864" s="29"/>
      <c r="D864" s="29"/>
      <c r="E864" s="29" t="str">
        <f t="shared" si="113"/>
        <v/>
      </c>
      <c r="F864" s="29">
        <f>COUNTIFS(실시간콜입력!$B:$B,$A864,실시간콜입력!$E:$E,"A",실시간콜입력!$G:$G,$B864,실시간콜입력!$O:$O,"방문완료")+COUNTIFS(실시간콜입력!$B:$B,$A864,실시간콜입력!$E:$E,"A",실시간콜입력!$H:$H,$B864,실시간콜입력!$O:$O,"방문완료")</f>
        <v>0</v>
      </c>
      <c r="G864" s="29">
        <f>COUNTIFS(실시간콜입력!$B:$B,$A864,실시간콜입력!$E:$E,"B",실시간콜입력!$G:$G,$B864,실시간콜입력!$O:$O,"방문완료")+COUNTIFS(실시간콜입력!$B:$B,$A864,실시간콜입력!$E:$E,"B",실시간콜입력!$H:$H,$B864,실시간콜입력!$O:$O,"방문완료")</f>
        <v>0</v>
      </c>
      <c r="H864" s="29">
        <f>COUNTIFS(실시간콜입력!$B:$B,$A864,실시간콜입력!$E:$E,"C",실시간콜입력!$G:$G,$B864,실시간콜입력!$O:$O,"방문완료")+COUNTIFS(실시간콜입력!$B:$B,$A864,실시간콜입력!$E:$E,"C",실시간콜입력!$H:$H,$B864,실시간콜입력!$O:$O,"방문완료")</f>
        <v>0</v>
      </c>
      <c r="I864" s="29">
        <f>COUNTIFS(실시간콜입력!$B:$B,$A864,실시간콜입력!$E:$E,"D",실시간콜입력!$G:$G,$B864,실시간콜입력!$O:$O,"방문완료")+COUNTIFS(실시간콜입력!$B:$B,$A864,실시간콜입력!$E:$E,"D",실시간콜입력!$H:$H,$B864,실시간콜입력!$O:$O,"방문완료")</f>
        <v>0</v>
      </c>
      <c r="J864" s="29">
        <f>COUNTIFS(실시간콜입력!$B:$B,$A864,실시간콜입력!$E:$E,"E",실시간콜입력!$G:$G,$B864,실시간콜입력!$O:$O,"방문완료")+COUNTIFS(실시간콜입력!$B:$B,$A864,실시간콜입력!$E:$E,"E",실시간콜입력!$H:$H,$B864,실시간콜입력!$O:$O,"방문완료")</f>
        <v>0</v>
      </c>
      <c r="K864" s="29">
        <f t="shared" si="114"/>
        <v>0</v>
      </c>
      <c r="L864" s="33">
        <f>SUMIFS(실시간콜입력!$K:$K,실시간콜입력!$B:$B,$A864,실시간콜입력!$G:$G,$B864,실시간콜입력!$O:$O,"방문완료")+SUMIFS(실시간콜입력!$L:$L,실시간콜입력!$B:$B,$A864,실시간콜입력!$H:$H,$B864,실시간콜입력!$O:$O,"방문완료")</f>
        <v>0</v>
      </c>
      <c r="M864" s="29" t="str">
        <f t="shared" si="115"/>
        <v/>
      </c>
      <c r="N864" s="29"/>
    </row>
    <row r="865" spans="1:14" ht="19.5" hidden="1" customHeight="1" outlineLevel="1">
      <c r="A865" s="24">
        <f>IF(17&lt;=DAY(DATE(YEAR(설정_코스수당!$K$2),MONTH(설정_코스수당!$K$2)+1,0)),DATE(YEAR(설정_코스수당!$K$2),MONTH(설정_코스수당!$K$2),17),"")</f>
        <v>46190</v>
      </c>
      <c r="B865" s="23" t="s">
        <v>189</v>
      </c>
      <c r="C865" s="29"/>
      <c r="D865" s="29"/>
      <c r="E865" s="29" t="str">
        <f t="shared" si="113"/>
        <v/>
      </c>
      <c r="F865" s="29">
        <f>COUNTIFS(실시간콜입력!$B:$B,$A865,실시간콜입력!$E:$E,"A",실시간콜입력!$G:$G,$B865,실시간콜입력!$O:$O,"방문완료")+COUNTIFS(실시간콜입력!$B:$B,$A865,실시간콜입력!$E:$E,"A",실시간콜입력!$H:$H,$B865,실시간콜입력!$O:$O,"방문완료")</f>
        <v>0</v>
      </c>
      <c r="G865" s="29">
        <f>COUNTIFS(실시간콜입력!$B:$B,$A865,실시간콜입력!$E:$E,"B",실시간콜입력!$G:$G,$B865,실시간콜입력!$O:$O,"방문완료")+COUNTIFS(실시간콜입력!$B:$B,$A865,실시간콜입력!$E:$E,"B",실시간콜입력!$H:$H,$B865,실시간콜입력!$O:$O,"방문완료")</f>
        <v>0</v>
      </c>
      <c r="H865" s="29">
        <f>COUNTIFS(실시간콜입력!$B:$B,$A865,실시간콜입력!$E:$E,"C",실시간콜입력!$G:$G,$B865,실시간콜입력!$O:$O,"방문완료")+COUNTIFS(실시간콜입력!$B:$B,$A865,실시간콜입력!$E:$E,"C",실시간콜입력!$H:$H,$B865,실시간콜입력!$O:$O,"방문완료")</f>
        <v>0</v>
      </c>
      <c r="I865" s="29">
        <f>COUNTIFS(실시간콜입력!$B:$B,$A865,실시간콜입력!$E:$E,"D",실시간콜입력!$G:$G,$B865,실시간콜입력!$O:$O,"방문완료")+COUNTIFS(실시간콜입력!$B:$B,$A865,실시간콜입력!$E:$E,"D",실시간콜입력!$H:$H,$B865,실시간콜입력!$O:$O,"방문완료")</f>
        <v>0</v>
      </c>
      <c r="J865" s="29">
        <f>COUNTIFS(실시간콜입력!$B:$B,$A865,실시간콜입력!$E:$E,"E",실시간콜입력!$G:$G,$B865,실시간콜입력!$O:$O,"방문완료")+COUNTIFS(실시간콜입력!$B:$B,$A865,실시간콜입력!$E:$E,"E",실시간콜입력!$H:$H,$B865,실시간콜입력!$O:$O,"방문완료")</f>
        <v>0</v>
      </c>
      <c r="K865" s="29">
        <f t="shared" si="114"/>
        <v>0</v>
      </c>
      <c r="L865" s="27">
        <f>SUMIFS(실시간콜입력!$K:$K,실시간콜입력!$B:$B,$A865,실시간콜입력!$G:$G,$B865,실시간콜입력!$O:$O,"방문완료")+SUMIFS(실시간콜입력!$L:$L,실시간콜입력!$B:$B,$A865,실시간콜입력!$H:$H,$B865,실시간콜입력!$O:$O,"방문완료")</f>
        <v>0</v>
      </c>
      <c r="M865" s="29" t="str">
        <f t="shared" si="115"/>
        <v/>
      </c>
      <c r="N865" s="29"/>
    </row>
    <row r="866" spans="1:14" ht="19.5" hidden="1" customHeight="1" outlineLevel="1">
      <c r="A866" s="30">
        <f>IF(17&lt;=DAY(DATE(YEAR(설정_코스수당!$K$2),MONTH(설정_코스수당!$K$2)+1,0)),DATE(YEAR(설정_코스수당!$K$2),MONTH(설정_코스수당!$K$2),17),"")</f>
        <v>46190</v>
      </c>
      <c r="B866" s="29" t="s">
        <v>190</v>
      </c>
      <c r="C866" s="29"/>
      <c r="D866" s="29"/>
      <c r="E866" s="29" t="str">
        <f t="shared" si="113"/>
        <v/>
      </c>
      <c r="F866" s="29">
        <f>COUNTIFS(실시간콜입력!$B:$B,$A866,실시간콜입력!$E:$E,"A",실시간콜입력!$G:$G,$B866,실시간콜입력!$O:$O,"방문완료")+COUNTIFS(실시간콜입력!$B:$B,$A866,실시간콜입력!$E:$E,"A",실시간콜입력!$H:$H,$B866,실시간콜입력!$O:$O,"방문완료")</f>
        <v>0</v>
      </c>
      <c r="G866" s="29">
        <f>COUNTIFS(실시간콜입력!$B:$B,$A866,실시간콜입력!$E:$E,"B",실시간콜입력!$G:$G,$B866,실시간콜입력!$O:$O,"방문완료")+COUNTIFS(실시간콜입력!$B:$B,$A866,실시간콜입력!$E:$E,"B",실시간콜입력!$H:$H,$B866,실시간콜입력!$O:$O,"방문완료")</f>
        <v>0</v>
      </c>
      <c r="H866" s="29">
        <f>COUNTIFS(실시간콜입력!$B:$B,$A866,실시간콜입력!$E:$E,"C",실시간콜입력!$G:$G,$B866,실시간콜입력!$O:$O,"방문완료")+COUNTIFS(실시간콜입력!$B:$B,$A866,실시간콜입력!$E:$E,"C",실시간콜입력!$H:$H,$B866,실시간콜입력!$O:$O,"방문완료")</f>
        <v>0</v>
      </c>
      <c r="I866" s="29">
        <f>COUNTIFS(실시간콜입력!$B:$B,$A866,실시간콜입력!$E:$E,"D",실시간콜입력!$G:$G,$B866,실시간콜입력!$O:$O,"방문완료")+COUNTIFS(실시간콜입력!$B:$B,$A866,실시간콜입력!$E:$E,"D",실시간콜입력!$H:$H,$B866,실시간콜입력!$O:$O,"방문완료")</f>
        <v>0</v>
      </c>
      <c r="J866" s="29">
        <f>COUNTIFS(실시간콜입력!$B:$B,$A866,실시간콜입력!$E:$E,"E",실시간콜입력!$G:$G,$B866,실시간콜입력!$O:$O,"방문완료")+COUNTIFS(실시간콜입력!$B:$B,$A866,실시간콜입력!$E:$E,"E",실시간콜입력!$H:$H,$B866,실시간콜입력!$O:$O,"방문완료")</f>
        <v>0</v>
      </c>
      <c r="K866" s="29">
        <f t="shared" si="114"/>
        <v>0</v>
      </c>
      <c r="L866" s="33">
        <f>SUMIFS(실시간콜입력!$K:$K,실시간콜입력!$B:$B,$A866,실시간콜입력!$G:$G,$B866,실시간콜입력!$O:$O,"방문완료")+SUMIFS(실시간콜입력!$L:$L,실시간콜입력!$B:$B,$A866,실시간콜입력!$H:$H,$B866,실시간콜입력!$O:$O,"방문완료")</f>
        <v>0</v>
      </c>
      <c r="M866" s="29" t="str">
        <f t="shared" si="115"/>
        <v/>
      </c>
      <c r="N866" s="29"/>
    </row>
    <row r="867" spans="1:14" ht="19.5" hidden="1" customHeight="1" outlineLevel="1">
      <c r="A867" s="24">
        <f>IF(17&lt;=DAY(DATE(YEAR(설정_코스수당!$K$2),MONTH(설정_코스수당!$K$2)+1,0)),DATE(YEAR(설정_코스수당!$K$2),MONTH(설정_코스수당!$K$2),17),"")</f>
        <v>46190</v>
      </c>
      <c r="B867" s="23" t="s">
        <v>191</v>
      </c>
      <c r="C867" s="29"/>
      <c r="D867" s="29"/>
      <c r="E867" s="29" t="str">
        <f t="shared" si="113"/>
        <v/>
      </c>
      <c r="F867" s="29">
        <f>COUNTIFS(실시간콜입력!$B:$B,$A867,실시간콜입력!$E:$E,"A",실시간콜입력!$G:$G,$B867,실시간콜입력!$O:$O,"방문완료")+COUNTIFS(실시간콜입력!$B:$B,$A867,실시간콜입력!$E:$E,"A",실시간콜입력!$H:$H,$B867,실시간콜입력!$O:$O,"방문완료")</f>
        <v>0</v>
      </c>
      <c r="G867" s="29">
        <f>COUNTIFS(실시간콜입력!$B:$B,$A867,실시간콜입력!$E:$E,"B",실시간콜입력!$G:$G,$B867,실시간콜입력!$O:$O,"방문완료")+COUNTIFS(실시간콜입력!$B:$B,$A867,실시간콜입력!$E:$E,"B",실시간콜입력!$H:$H,$B867,실시간콜입력!$O:$O,"방문완료")</f>
        <v>0</v>
      </c>
      <c r="H867" s="29">
        <f>COUNTIFS(실시간콜입력!$B:$B,$A867,실시간콜입력!$E:$E,"C",실시간콜입력!$G:$G,$B867,실시간콜입력!$O:$O,"방문완료")+COUNTIFS(실시간콜입력!$B:$B,$A867,실시간콜입력!$E:$E,"C",실시간콜입력!$H:$H,$B867,실시간콜입력!$O:$O,"방문완료")</f>
        <v>0</v>
      </c>
      <c r="I867" s="29">
        <f>COUNTIFS(실시간콜입력!$B:$B,$A867,실시간콜입력!$E:$E,"D",실시간콜입력!$G:$G,$B867,실시간콜입력!$O:$O,"방문완료")+COUNTIFS(실시간콜입력!$B:$B,$A867,실시간콜입력!$E:$E,"D",실시간콜입력!$H:$H,$B867,실시간콜입력!$O:$O,"방문완료")</f>
        <v>0</v>
      </c>
      <c r="J867" s="29">
        <f>COUNTIFS(실시간콜입력!$B:$B,$A867,실시간콜입력!$E:$E,"E",실시간콜입력!$G:$G,$B867,실시간콜입력!$O:$O,"방문완료")+COUNTIFS(실시간콜입력!$B:$B,$A867,실시간콜입력!$E:$E,"E",실시간콜입력!$H:$H,$B867,실시간콜입력!$O:$O,"방문완료")</f>
        <v>0</v>
      </c>
      <c r="K867" s="29">
        <f t="shared" si="114"/>
        <v>0</v>
      </c>
      <c r="L867" s="27">
        <f>SUMIFS(실시간콜입력!$K:$K,실시간콜입력!$B:$B,$A867,실시간콜입력!$G:$G,$B867,실시간콜입력!$O:$O,"방문완료")+SUMIFS(실시간콜입력!$L:$L,실시간콜입력!$B:$B,$A867,실시간콜입력!$H:$H,$B867,실시간콜입력!$O:$O,"방문완료")</f>
        <v>0</v>
      </c>
      <c r="M867" s="29" t="str">
        <f t="shared" si="115"/>
        <v/>
      </c>
      <c r="N867" s="29"/>
    </row>
    <row r="868" spans="1:14" ht="19.5" hidden="1" customHeight="1" outlineLevel="1">
      <c r="A868" s="30">
        <f>IF(17&lt;=DAY(DATE(YEAR(설정_코스수당!$K$2),MONTH(설정_코스수당!$K$2)+1,0)),DATE(YEAR(설정_코스수당!$K$2),MONTH(설정_코스수당!$K$2),17),"")</f>
        <v>46190</v>
      </c>
      <c r="B868" s="29" t="s">
        <v>192</v>
      </c>
      <c r="C868" s="29"/>
      <c r="D868" s="29"/>
      <c r="E868" s="29" t="str">
        <f t="shared" si="113"/>
        <v/>
      </c>
      <c r="F868" s="29">
        <f>COUNTIFS(실시간콜입력!$B:$B,$A868,실시간콜입력!$E:$E,"A",실시간콜입력!$G:$G,$B868,실시간콜입력!$O:$O,"방문완료")+COUNTIFS(실시간콜입력!$B:$B,$A868,실시간콜입력!$E:$E,"A",실시간콜입력!$H:$H,$B868,실시간콜입력!$O:$O,"방문완료")</f>
        <v>0</v>
      </c>
      <c r="G868" s="29">
        <f>COUNTIFS(실시간콜입력!$B:$B,$A868,실시간콜입력!$E:$E,"B",실시간콜입력!$G:$G,$B868,실시간콜입력!$O:$O,"방문완료")+COUNTIFS(실시간콜입력!$B:$B,$A868,실시간콜입력!$E:$E,"B",실시간콜입력!$H:$H,$B868,실시간콜입력!$O:$O,"방문완료")</f>
        <v>0</v>
      </c>
      <c r="H868" s="29">
        <f>COUNTIFS(실시간콜입력!$B:$B,$A868,실시간콜입력!$E:$E,"C",실시간콜입력!$G:$G,$B868,실시간콜입력!$O:$O,"방문완료")+COUNTIFS(실시간콜입력!$B:$B,$A868,실시간콜입력!$E:$E,"C",실시간콜입력!$H:$H,$B868,실시간콜입력!$O:$O,"방문완료")</f>
        <v>0</v>
      </c>
      <c r="I868" s="29">
        <f>COUNTIFS(실시간콜입력!$B:$B,$A868,실시간콜입력!$E:$E,"D",실시간콜입력!$G:$G,$B868,실시간콜입력!$O:$O,"방문완료")+COUNTIFS(실시간콜입력!$B:$B,$A868,실시간콜입력!$E:$E,"D",실시간콜입력!$H:$H,$B868,실시간콜입력!$O:$O,"방문완료")</f>
        <v>0</v>
      </c>
      <c r="J868" s="29">
        <f>COUNTIFS(실시간콜입력!$B:$B,$A868,실시간콜입력!$E:$E,"E",실시간콜입력!$G:$G,$B868,실시간콜입력!$O:$O,"방문완료")+COUNTIFS(실시간콜입력!$B:$B,$A868,실시간콜입력!$E:$E,"E",실시간콜입력!$H:$H,$B868,실시간콜입력!$O:$O,"방문완료")</f>
        <v>0</v>
      </c>
      <c r="K868" s="29">
        <f t="shared" si="114"/>
        <v>0</v>
      </c>
      <c r="L868" s="33">
        <f>SUMIFS(실시간콜입력!$K:$K,실시간콜입력!$B:$B,$A868,실시간콜입력!$G:$G,$B868,실시간콜입력!$O:$O,"방문완료")+SUMIFS(실시간콜입력!$L:$L,실시간콜입력!$B:$B,$A868,실시간콜입력!$H:$H,$B868,실시간콜입력!$O:$O,"방문완료")</f>
        <v>0</v>
      </c>
      <c r="M868" s="29" t="str">
        <f t="shared" si="115"/>
        <v/>
      </c>
      <c r="N868" s="29"/>
    </row>
    <row r="869" spans="1:14" ht="19.5" hidden="1" customHeight="1" outlineLevel="1">
      <c r="A869" s="24">
        <f>IF(17&lt;=DAY(DATE(YEAR(설정_코스수당!$K$2),MONTH(설정_코스수당!$K$2)+1,0)),DATE(YEAR(설정_코스수당!$K$2),MONTH(설정_코스수당!$K$2),17),"")</f>
        <v>46190</v>
      </c>
      <c r="B869" s="23" t="s">
        <v>193</v>
      </c>
      <c r="C869" s="29"/>
      <c r="D869" s="29"/>
      <c r="E869" s="29" t="str">
        <f t="shared" si="113"/>
        <v/>
      </c>
      <c r="F869" s="29">
        <f>COUNTIFS(실시간콜입력!$B:$B,$A869,실시간콜입력!$E:$E,"A",실시간콜입력!$G:$G,$B869,실시간콜입력!$O:$O,"방문완료")+COUNTIFS(실시간콜입력!$B:$B,$A869,실시간콜입력!$E:$E,"A",실시간콜입력!$H:$H,$B869,실시간콜입력!$O:$O,"방문완료")</f>
        <v>0</v>
      </c>
      <c r="G869" s="29">
        <f>COUNTIFS(실시간콜입력!$B:$B,$A869,실시간콜입력!$E:$E,"B",실시간콜입력!$G:$G,$B869,실시간콜입력!$O:$O,"방문완료")+COUNTIFS(실시간콜입력!$B:$B,$A869,실시간콜입력!$E:$E,"B",실시간콜입력!$H:$H,$B869,실시간콜입력!$O:$O,"방문완료")</f>
        <v>0</v>
      </c>
      <c r="H869" s="29">
        <f>COUNTIFS(실시간콜입력!$B:$B,$A869,실시간콜입력!$E:$E,"C",실시간콜입력!$G:$G,$B869,실시간콜입력!$O:$O,"방문완료")+COUNTIFS(실시간콜입력!$B:$B,$A869,실시간콜입력!$E:$E,"C",실시간콜입력!$H:$H,$B869,실시간콜입력!$O:$O,"방문완료")</f>
        <v>0</v>
      </c>
      <c r="I869" s="29">
        <f>COUNTIFS(실시간콜입력!$B:$B,$A869,실시간콜입력!$E:$E,"D",실시간콜입력!$G:$G,$B869,실시간콜입력!$O:$O,"방문완료")+COUNTIFS(실시간콜입력!$B:$B,$A869,실시간콜입력!$E:$E,"D",실시간콜입력!$H:$H,$B869,실시간콜입력!$O:$O,"방문완료")</f>
        <v>0</v>
      </c>
      <c r="J869" s="29">
        <f>COUNTIFS(실시간콜입력!$B:$B,$A869,실시간콜입력!$E:$E,"E",실시간콜입력!$G:$G,$B869,실시간콜입력!$O:$O,"방문완료")+COUNTIFS(실시간콜입력!$B:$B,$A869,실시간콜입력!$E:$E,"E",실시간콜입력!$H:$H,$B869,실시간콜입력!$O:$O,"방문완료")</f>
        <v>0</v>
      </c>
      <c r="K869" s="29">
        <f t="shared" si="114"/>
        <v>0</v>
      </c>
      <c r="L869" s="27">
        <f>SUMIFS(실시간콜입력!$K:$K,실시간콜입력!$B:$B,$A869,실시간콜입력!$G:$G,$B869,실시간콜입력!$O:$O,"방문완료")+SUMIFS(실시간콜입력!$L:$L,실시간콜입력!$B:$B,$A869,실시간콜입력!$H:$H,$B869,실시간콜입력!$O:$O,"방문완료")</f>
        <v>0</v>
      </c>
      <c r="M869" s="29" t="str">
        <f t="shared" si="115"/>
        <v/>
      </c>
      <c r="N869" s="29"/>
    </row>
    <row r="870" spans="1:14" ht="19.5" hidden="1" customHeight="1" outlineLevel="1">
      <c r="A870" s="30">
        <f>IF(17&lt;=DAY(DATE(YEAR(설정_코스수당!$K$2),MONTH(설정_코스수당!$K$2)+1,0)),DATE(YEAR(설정_코스수당!$K$2),MONTH(설정_코스수당!$K$2),17),"")</f>
        <v>46190</v>
      </c>
      <c r="B870" s="29" t="s">
        <v>194</v>
      </c>
      <c r="C870" s="29"/>
      <c r="D870" s="29"/>
      <c r="E870" s="29" t="str">
        <f t="shared" si="113"/>
        <v/>
      </c>
      <c r="F870" s="29">
        <f>COUNTIFS(실시간콜입력!$B:$B,$A870,실시간콜입력!$E:$E,"A",실시간콜입력!$G:$G,$B870,실시간콜입력!$O:$O,"방문완료")+COUNTIFS(실시간콜입력!$B:$B,$A870,실시간콜입력!$E:$E,"A",실시간콜입력!$H:$H,$B870,실시간콜입력!$O:$O,"방문완료")</f>
        <v>0</v>
      </c>
      <c r="G870" s="29">
        <f>COUNTIFS(실시간콜입력!$B:$B,$A870,실시간콜입력!$E:$E,"B",실시간콜입력!$G:$G,$B870,실시간콜입력!$O:$O,"방문완료")+COUNTIFS(실시간콜입력!$B:$B,$A870,실시간콜입력!$E:$E,"B",실시간콜입력!$H:$H,$B870,실시간콜입력!$O:$O,"방문완료")</f>
        <v>0</v>
      </c>
      <c r="H870" s="29">
        <f>COUNTIFS(실시간콜입력!$B:$B,$A870,실시간콜입력!$E:$E,"C",실시간콜입력!$G:$G,$B870,실시간콜입력!$O:$O,"방문완료")+COUNTIFS(실시간콜입력!$B:$B,$A870,실시간콜입력!$E:$E,"C",실시간콜입력!$H:$H,$B870,실시간콜입력!$O:$O,"방문완료")</f>
        <v>0</v>
      </c>
      <c r="I870" s="29">
        <f>COUNTIFS(실시간콜입력!$B:$B,$A870,실시간콜입력!$E:$E,"D",실시간콜입력!$G:$G,$B870,실시간콜입력!$O:$O,"방문완료")+COUNTIFS(실시간콜입력!$B:$B,$A870,실시간콜입력!$E:$E,"D",실시간콜입력!$H:$H,$B870,실시간콜입력!$O:$O,"방문완료")</f>
        <v>0</v>
      </c>
      <c r="J870" s="29">
        <f>COUNTIFS(실시간콜입력!$B:$B,$A870,실시간콜입력!$E:$E,"E",실시간콜입력!$G:$G,$B870,실시간콜입력!$O:$O,"방문완료")+COUNTIFS(실시간콜입력!$B:$B,$A870,실시간콜입력!$E:$E,"E",실시간콜입력!$H:$H,$B870,실시간콜입력!$O:$O,"방문완료")</f>
        <v>0</v>
      </c>
      <c r="K870" s="29">
        <f t="shared" si="114"/>
        <v>0</v>
      </c>
      <c r="L870" s="33">
        <f>SUMIFS(실시간콜입력!$K:$K,실시간콜입력!$B:$B,$A870,실시간콜입력!$G:$G,$B870,실시간콜입력!$O:$O,"방문완료")+SUMIFS(실시간콜입력!$L:$L,실시간콜입력!$B:$B,$A870,실시간콜입력!$H:$H,$B870,실시간콜입력!$O:$O,"방문완료")</f>
        <v>0</v>
      </c>
      <c r="M870" s="29" t="str">
        <f t="shared" si="115"/>
        <v/>
      </c>
      <c r="N870" s="29"/>
    </row>
    <row r="871" spans="1:14" ht="19.5" hidden="1" customHeight="1" outlineLevel="1">
      <c r="A871" s="24">
        <f>IF(17&lt;=DAY(DATE(YEAR(설정_코스수당!$K$2),MONTH(설정_코스수당!$K$2)+1,0)),DATE(YEAR(설정_코스수당!$K$2),MONTH(설정_코스수당!$K$2),17),"")</f>
        <v>46190</v>
      </c>
      <c r="B871" s="23" t="s">
        <v>195</v>
      </c>
      <c r="C871" s="29"/>
      <c r="D871" s="29"/>
      <c r="E871" s="29" t="str">
        <f t="shared" ref="E871:E902" si="116">IF(AND(C871&lt;&gt;"",D871&lt;&gt;""),IF(D871&lt;C871,D871+1-C871,D871-C871)*24,"")</f>
        <v/>
      </c>
      <c r="F871" s="29">
        <f>COUNTIFS(실시간콜입력!$B:$B,$A871,실시간콜입력!$E:$E,"A",실시간콜입력!$G:$G,$B871,실시간콜입력!$O:$O,"방문완료")+COUNTIFS(실시간콜입력!$B:$B,$A871,실시간콜입력!$E:$E,"A",실시간콜입력!$H:$H,$B871,실시간콜입력!$O:$O,"방문완료")</f>
        <v>0</v>
      </c>
      <c r="G871" s="29">
        <f>COUNTIFS(실시간콜입력!$B:$B,$A871,실시간콜입력!$E:$E,"B",실시간콜입력!$G:$G,$B871,실시간콜입력!$O:$O,"방문완료")+COUNTIFS(실시간콜입력!$B:$B,$A871,실시간콜입력!$E:$E,"B",실시간콜입력!$H:$H,$B871,실시간콜입력!$O:$O,"방문완료")</f>
        <v>0</v>
      </c>
      <c r="H871" s="29">
        <f>COUNTIFS(실시간콜입력!$B:$B,$A871,실시간콜입력!$E:$E,"C",실시간콜입력!$G:$G,$B871,실시간콜입력!$O:$O,"방문완료")+COUNTIFS(실시간콜입력!$B:$B,$A871,실시간콜입력!$E:$E,"C",실시간콜입력!$H:$H,$B871,실시간콜입력!$O:$O,"방문완료")</f>
        <v>0</v>
      </c>
      <c r="I871" s="29">
        <f>COUNTIFS(실시간콜입력!$B:$B,$A871,실시간콜입력!$E:$E,"D",실시간콜입력!$G:$G,$B871,실시간콜입력!$O:$O,"방문완료")+COUNTIFS(실시간콜입력!$B:$B,$A871,실시간콜입력!$E:$E,"D",실시간콜입력!$H:$H,$B871,실시간콜입력!$O:$O,"방문완료")</f>
        <v>0</v>
      </c>
      <c r="J871" s="29">
        <f>COUNTIFS(실시간콜입력!$B:$B,$A871,실시간콜입력!$E:$E,"E",실시간콜입력!$G:$G,$B871,실시간콜입력!$O:$O,"방문완료")+COUNTIFS(실시간콜입력!$B:$B,$A871,실시간콜입력!$E:$E,"E",실시간콜입력!$H:$H,$B871,실시간콜입력!$O:$O,"방문완료")</f>
        <v>0</v>
      </c>
      <c r="K871" s="29">
        <f t="shared" ref="K871:K902" si="117">SUM(F871:J871)</f>
        <v>0</v>
      </c>
      <c r="L871" s="27">
        <f>SUMIFS(실시간콜입력!$K:$K,실시간콜입력!$B:$B,$A871,실시간콜입력!$G:$G,$B871,실시간콜입력!$O:$O,"방문완료")+SUMIFS(실시간콜입력!$L:$L,실시간콜입력!$B:$B,$A871,실시간콜입력!$H:$H,$B871,실시간콜입력!$O:$O,"방문완료")</f>
        <v>0</v>
      </c>
      <c r="M871" s="29" t="str">
        <f t="shared" ref="M871:M888" si="118">IF(AND(ISNUMBER(E871),E871&gt;=8),"인정","")</f>
        <v/>
      </c>
      <c r="N871" s="29"/>
    </row>
    <row r="872" spans="1:14" ht="19.5" hidden="1" customHeight="1" outlineLevel="1">
      <c r="A872" s="30">
        <f>IF(17&lt;=DAY(DATE(YEAR(설정_코스수당!$K$2),MONTH(설정_코스수당!$K$2)+1,0)),DATE(YEAR(설정_코스수당!$K$2),MONTH(설정_코스수당!$K$2),17),"")</f>
        <v>46190</v>
      </c>
      <c r="B872" s="29" t="s">
        <v>196</v>
      </c>
      <c r="C872" s="29"/>
      <c r="D872" s="29"/>
      <c r="E872" s="29" t="str">
        <f t="shared" si="116"/>
        <v/>
      </c>
      <c r="F872" s="29">
        <f>COUNTIFS(실시간콜입력!$B:$B,$A872,실시간콜입력!$E:$E,"A",실시간콜입력!$G:$G,$B872,실시간콜입력!$O:$O,"방문완료")+COUNTIFS(실시간콜입력!$B:$B,$A872,실시간콜입력!$E:$E,"A",실시간콜입력!$H:$H,$B872,실시간콜입력!$O:$O,"방문완료")</f>
        <v>0</v>
      </c>
      <c r="G872" s="29">
        <f>COUNTIFS(실시간콜입력!$B:$B,$A872,실시간콜입력!$E:$E,"B",실시간콜입력!$G:$G,$B872,실시간콜입력!$O:$O,"방문완료")+COUNTIFS(실시간콜입력!$B:$B,$A872,실시간콜입력!$E:$E,"B",실시간콜입력!$H:$H,$B872,실시간콜입력!$O:$O,"방문완료")</f>
        <v>0</v>
      </c>
      <c r="H872" s="29">
        <f>COUNTIFS(실시간콜입력!$B:$B,$A872,실시간콜입력!$E:$E,"C",실시간콜입력!$G:$G,$B872,실시간콜입력!$O:$O,"방문완료")+COUNTIFS(실시간콜입력!$B:$B,$A872,실시간콜입력!$E:$E,"C",실시간콜입력!$H:$H,$B872,실시간콜입력!$O:$O,"방문완료")</f>
        <v>0</v>
      </c>
      <c r="I872" s="29">
        <f>COUNTIFS(실시간콜입력!$B:$B,$A872,실시간콜입력!$E:$E,"D",실시간콜입력!$G:$G,$B872,실시간콜입력!$O:$O,"방문완료")+COUNTIFS(실시간콜입력!$B:$B,$A872,실시간콜입력!$E:$E,"D",실시간콜입력!$H:$H,$B872,실시간콜입력!$O:$O,"방문완료")</f>
        <v>0</v>
      </c>
      <c r="J872" s="29">
        <f>COUNTIFS(실시간콜입력!$B:$B,$A872,실시간콜입력!$E:$E,"E",실시간콜입력!$G:$G,$B872,실시간콜입력!$O:$O,"방문완료")+COUNTIFS(실시간콜입력!$B:$B,$A872,실시간콜입력!$E:$E,"E",실시간콜입력!$H:$H,$B872,실시간콜입력!$O:$O,"방문완료")</f>
        <v>0</v>
      </c>
      <c r="K872" s="29">
        <f t="shared" si="117"/>
        <v>0</v>
      </c>
      <c r="L872" s="33">
        <f>SUMIFS(실시간콜입력!$K:$K,실시간콜입력!$B:$B,$A872,실시간콜입력!$G:$G,$B872,실시간콜입력!$O:$O,"방문완료")+SUMIFS(실시간콜입력!$L:$L,실시간콜입력!$B:$B,$A872,실시간콜입력!$H:$H,$B872,실시간콜입력!$O:$O,"방문완료")</f>
        <v>0</v>
      </c>
      <c r="M872" s="29" t="str">
        <f t="shared" si="118"/>
        <v/>
      </c>
      <c r="N872" s="29"/>
    </row>
    <row r="873" spans="1:14" ht="19.5" hidden="1" customHeight="1" outlineLevel="1">
      <c r="A873" s="24">
        <f>IF(17&lt;=DAY(DATE(YEAR(설정_코스수당!$K$2),MONTH(설정_코스수당!$K$2)+1,0)),DATE(YEAR(설정_코스수당!$K$2),MONTH(설정_코스수당!$K$2),17),"")</f>
        <v>46190</v>
      </c>
      <c r="B873" s="23" t="s">
        <v>197</v>
      </c>
      <c r="C873" s="29"/>
      <c r="D873" s="29"/>
      <c r="E873" s="29" t="str">
        <f t="shared" si="116"/>
        <v/>
      </c>
      <c r="F873" s="29">
        <f>COUNTIFS(실시간콜입력!$B:$B,$A873,실시간콜입력!$E:$E,"A",실시간콜입력!$G:$G,$B873,실시간콜입력!$O:$O,"방문완료")+COUNTIFS(실시간콜입력!$B:$B,$A873,실시간콜입력!$E:$E,"A",실시간콜입력!$H:$H,$B873,실시간콜입력!$O:$O,"방문완료")</f>
        <v>0</v>
      </c>
      <c r="G873" s="29">
        <f>COUNTIFS(실시간콜입력!$B:$B,$A873,실시간콜입력!$E:$E,"B",실시간콜입력!$G:$G,$B873,실시간콜입력!$O:$O,"방문완료")+COUNTIFS(실시간콜입력!$B:$B,$A873,실시간콜입력!$E:$E,"B",실시간콜입력!$H:$H,$B873,실시간콜입력!$O:$O,"방문완료")</f>
        <v>0</v>
      </c>
      <c r="H873" s="29">
        <f>COUNTIFS(실시간콜입력!$B:$B,$A873,실시간콜입력!$E:$E,"C",실시간콜입력!$G:$G,$B873,실시간콜입력!$O:$O,"방문완료")+COUNTIFS(실시간콜입력!$B:$B,$A873,실시간콜입력!$E:$E,"C",실시간콜입력!$H:$H,$B873,실시간콜입력!$O:$O,"방문완료")</f>
        <v>0</v>
      </c>
      <c r="I873" s="29">
        <f>COUNTIFS(실시간콜입력!$B:$B,$A873,실시간콜입력!$E:$E,"D",실시간콜입력!$G:$G,$B873,실시간콜입력!$O:$O,"방문완료")+COUNTIFS(실시간콜입력!$B:$B,$A873,실시간콜입력!$E:$E,"D",실시간콜입력!$H:$H,$B873,실시간콜입력!$O:$O,"방문완료")</f>
        <v>0</v>
      </c>
      <c r="J873" s="29">
        <f>COUNTIFS(실시간콜입력!$B:$B,$A873,실시간콜입력!$E:$E,"E",실시간콜입력!$G:$G,$B873,실시간콜입력!$O:$O,"방문완료")+COUNTIFS(실시간콜입력!$B:$B,$A873,실시간콜입력!$E:$E,"E",실시간콜입력!$H:$H,$B873,실시간콜입력!$O:$O,"방문완료")</f>
        <v>0</v>
      </c>
      <c r="K873" s="29">
        <f t="shared" si="117"/>
        <v>0</v>
      </c>
      <c r="L873" s="27">
        <f>SUMIFS(실시간콜입력!$K:$K,실시간콜입력!$B:$B,$A873,실시간콜입력!$G:$G,$B873,실시간콜입력!$O:$O,"방문완료")+SUMIFS(실시간콜입력!$L:$L,실시간콜입력!$B:$B,$A873,실시간콜입력!$H:$H,$B873,실시간콜입력!$O:$O,"방문완료")</f>
        <v>0</v>
      </c>
      <c r="M873" s="29" t="str">
        <f t="shared" si="118"/>
        <v/>
      </c>
      <c r="N873" s="29"/>
    </row>
    <row r="874" spans="1:14" ht="19.5" hidden="1" customHeight="1" outlineLevel="1">
      <c r="A874" s="30">
        <f>IF(17&lt;=DAY(DATE(YEAR(설정_코스수당!$K$2),MONTH(설정_코스수당!$K$2)+1,0)),DATE(YEAR(설정_코스수당!$K$2),MONTH(설정_코스수당!$K$2),17),"")</f>
        <v>46190</v>
      </c>
      <c r="B874" s="29" t="s">
        <v>198</v>
      </c>
      <c r="C874" s="29"/>
      <c r="D874" s="29"/>
      <c r="E874" s="29" t="str">
        <f t="shared" si="116"/>
        <v/>
      </c>
      <c r="F874" s="29">
        <f>COUNTIFS(실시간콜입력!$B:$B,$A874,실시간콜입력!$E:$E,"A",실시간콜입력!$G:$G,$B874,실시간콜입력!$O:$O,"방문완료")+COUNTIFS(실시간콜입력!$B:$B,$A874,실시간콜입력!$E:$E,"A",실시간콜입력!$H:$H,$B874,실시간콜입력!$O:$O,"방문완료")</f>
        <v>0</v>
      </c>
      <c r="G874" s="29">
        <f>COUNTIFS(실시간콜입력!$B:$B,$A874,실시간콜입력!$E:$E,"B",실시간콜입력!$G:$G,$B874,실시간콜입력!$O:$O,"방문완료")+COUNTIFS(실시간콜입력!$B:$B,$A874,실시간콜입력!$E:$E,"B",실시간콜입력!$H:$H,$B874,실시간콜입력!$O:$O,"방문완료")</f>
        <v>0</v>
      </c>
      <c r="H874" s="29">
        <f>COUNTIFS(실시간콜입력!$B:$B,$A874,실시간콜입력!$E:$E,"C",실시간콜입력!$G:$G,$B874,실시간콜입력!$O:$O,"방문완료")+COUNTIFS(실시간콜입력!$B:$B,$A874,실시간콜입력!$E:$E,"C",실시간콜입력!$H:$H,$B874,실시간콜입력!$O:$O,"방문완료")</f>
        <v>0</v>
      </c>
      <c r="I874" s="29">
        <f>COUNTIFS(실시간콜입력!$B:$B,$A874,실시간콜입력!$E:$E,"D",실시간콜입력!$G:$G,$B874,실시간콜입력!$O:$O,"방문완료")+COUNTIFS(실시간콜입력!$B:$B,$A874,실시간콜입력!$E:$E,"D",실시간콜입력!$H:$H,$B874,실시간콜입력!$O:$O,"방문완료")</f>
        <v>0</v>
      </c>
      <c r="J874" s="29">
        <f>COUNTIFS(실시간콜입력!$B:$B,$A874,실시간콜입력!$E:$E,"E",실시간콜입력!$G:$G,$B874,실시간콜입력!$O:$O,"방문완료")+COUNTIFS(실시간콜입력!$B:$B,$A874,실시간콜입력!$E:$E,"E",실시간콜입력!$H:$H,$B874,실시간콜입력!$O:$O,"방문완료")</f>
        <v>0</v>
      </c>
      <c r="K874" s="29">
        <f t="shared" si="117"/>
        <v>0</v>
      </c>
      <c r="L874" s="33">
        <f>SUMIFS(실시간콜입력!$K:$K,실시간콜입력!$B:$B,$A874,실시간콜입력!$G:$G,$B874,실시간콜입력!$O:$O,"방문완료")+SUMIFS(실시간콜입력!$L:$L,실시간콜입력!$B:$B,$A874,실시간콜입력!$H:$H,$B874,실시간콜입력!$O:$O,"방문완료")</f>
        <v>0</v>
      </c>
      <c r="M874" s="29" t="str">
        <f t="shared" si="118"/>
        <v/>
      </c>
      <c r="N874" s="29"/>
    </row>
    <row r="875" spans="1:14" ht="19.5" hidden="1" customHeight="1" outlineLevel="1">
      <c r="A875" s="24">
        <f>IF(17&lt;=DAY(DATE(YEAR(설정_코스수당!$K$2),MONTH(설정_코스수당!$K$2)+1,0)),DATE(YEAR(설정_코스수당!$K$2),MONTH(설정_코스수당!$K$2),17),"")</f>
        <v>46190</v>
      </c>
      <c r="B875" s="23" t="s">
        <v>199</v>
      </c>
      <c r="C875" s="29"/>
      <c r="D875" s="29"/>
      <c r="E875" s="29" t="str">
        <f t="shared" si="116"/>
        <v/>
      </c>
      <c r="F875" s="29">
        <f>COUNTIFS(실시간콜입력!$B:$B,$A875,실시간콜입력!$E:$E,"A",실시간콜입력!$G:$G,$B875,실시간콜입력!$O:$O,"방문완료")+COUNTIFS(실시간콜입력!$B:$B,$A875,실시간콜입력!$E:$E,"A",실시간콜입력!$H:$H,$B875,실시간콜입력!$O:$O,"방문완료")</f>
        <v>0</v>
      </c>
      <c r="G875" s="29">
        <f>COUNTIFS(실시간콜입력!$B:$B,$A875,실시간콜입력!$E:$E,"B",실시간콜입력!$G:$G,$B875,실시간콜입력!$O:$O,"방문완료")+COUNTIFS(실시간콜입력!$B:$B,$A875,실시간콜입력!$E:$E,"B",실시간콜입력!$H:$H,$B875,실시간콜입력!$O:$O,"방문완료")</f>
        <v>0</v>
      </c>
      <c r="H875" s="29">
        <f>COUNTIFS(실시간콜입력!$B:$B,$A875,실시간콜입력!$E:$E,"C",실시간콜입력!$G:$G,$B875,실시간콜입력!$O:$O,"방문완료")+COUNTIFS(실시간콜입력!$B:$B,$A875,실시간콜입력!$E:$E,"C",실시간콜입력!$H:$H,$B875,실시간콜입력!$O:$O,"방문완료")</f>
        <v>0</v>
      </c>
      <c r="I875" s="29">
        <f>COUNTIFS(실시간콜입력!$B:$B,$A875,실시간콜입력!$E:$E,"D",실시간콜입력!$G:$G,$B875,실시간콜입력!$O:$O,"방문완료")+COUNTIFS(실시간콜입력!$B:$B,$A875,실시간콜입력!$E:$E,"D",실시간콜입력!$H:$H,$B875,실시간콜입력!$O:$O,"방문완료")</f>
        <v>0</v>
      </c>
      <c r="J875" s="29">
        <f>COUNTIFS(실시간콜입력!$B:$B,$A875,실시간콜입력!$E:$E,"E",실시간콜입력!$G:$G,$B875,실시간콜입력!$O:$O,"방문완료")+COUNTIFS(실시간콜입력!$B:$B,$A875,실시간콜입력!$E:$E,"E",실시간콜입력!$H:$H,$B875,실시간콜입력!$O:$O,"방문완료")</f>
        <v>0</v>
      </c>
      <c r="K875" s="29">
        <f t="shared" si="117"/>
        <v>0</v>
      </c>
      <c r="L875" s="27">
        <f>SUMIFS(실시간콜입력!$K:$K,실시간콜입력!$B:$B,$A875,실시간콜입력!$G:$G,$B875,실시간콜입력!$O:$O,"방문완료")+SUMIFS(실시간콜입력!$L:$L,실시간콜입력!$B:$B,$A875,실시간콜입력!$H:$H,$B875,실시간콜입력!$O:$O,"방문완료")</f>
        <v>0</v>
      </c>
      <c r="M875" s="29" t="str">
        <f t="shared" si="118"/>
        <v/>
      </c>
      <c r="N875" s="29"/>
    </row>
    <row r="876" spans="1:14" ht="19.5" hidden="1" customHeight="1" outlineLevel="1">
      <c r="A876" s="30">
        <f>IF(17&lt;=DAY(DATE(YEAR(설정_코스수당!$K$2),MONTH(설정_코스수당!$K$2)+1,0)),DATE(YEAR(설정_코스수당!$K$2),MONTH(설정_코스수당!$K$2),17),"")</f>
        <v>46190</v>
      </c>
      <c r="B876" s="29" t="s">
        <v>200</v>
      </c>
      <c r="C876" s="29"/>
      <c r="D876" s="29"/>
      <c r="E876" s="29" t="str">
        <f t="shared" si="116"/>
        <v/>
      </c>
      <c r="F876" s="29">
        <f>COUNTIFS(실시간콜입력!$B:$B,$A876,실시간콜입력!$E:$E,"A",실시간콜입력!$G:$G,$B876,실시간콜입력!$O:$O,"방문완료")+COUNTIFS(실시간콜입력!$B:$B,$A876,실시간콜입력!$E:$E,"A",실시간콜입력!$H:$H,$B876,실시간콜입력!$O:$O,"방문완료")</f>
        <v>0</v>
      </c>
      <c r="G876" s="29">
        <f>COUNTIFS(실시간콜입력!$B:$B,$A876,실시간콜입력!$E:$E,"B",실시간콜입력!$G:$G,$B876,실시간콜입력!$O:$O,"방문완료")+COUNTIFS(실시간콜입력!$B:$B,$A876,실시간콜입력!$E:$E,"B",실시간콜입력!$H:$H,$B876,실시간콜입력!$O:$O,"방문완료")</f>
        <v>0</v>
      </c>
      <c r="H876" s="29">
        <f>COUNTIFS(실시간콜입력!$B:$B,$A876,실시간콜입력!$E:$E,"C",실시간콜입력!$G:$G,$B876,실시간콜입력!$O:$O,"방문완료")+COUNTIFS(실시간콜입력!$B:$B,$A876,실시간콜입력!$E:$E,"C",실시간콜입력!$H:$H,$B876,실시간콜입력!$O:$O,"방문완료")</f>
        <v>0</v>
      </c>
      <c r="I876" s="29">
        <f>COUNTIFS(실시간콜입력!$B:$B,$A876,실시간콜입력!$E:$E,"D",실시간콜입력!$G:$G,$B876,실시간콜입력!$O:$O,"방문완료")+COUNTIFS(실시간콜입력!$B:$B,$A876,실시간콜입력!$E:$E,"D",실시간콜입력!$H:$H,$B876,실시간콜입력!$O:$O,"방문완료")</f>
        <v>0</v>
      </c>
      <c r="J876" s="29">
        <f>COUNTIFS(실시간콜입력!$B:$B,$A876,실시간콜입력!$E:$E,"E",실시간콜입력!$G:$G,$B876,실시간콜입력!$O:$O,"방문완료")+COUNTIFS(실시간콜입력!$B:$B,$A876,실시간콜입력!$E:$E,"E",실시간콜입력!$H:$H,$B876,실시간콜입력!$O:$O,"방문완료")</f>
        <v>0</v>
      </c>
      <c r="K876" s="29">
        <f t="shared" si="117"/>
        <v>0</v>
      </c>
      <c r="L876" s="33">
        <f>SUMIFS(실시간콜입력!$K:$K,실시간콜입력!$B:$B,$A876,실시간콜입력!$G:$G,$B876,실시간콜입력!$O:$O,"방문완료")+SUMIFS(실시간콜입력!$L:$L,실시간콜입력!$B:$B,$A876,실시간콜입력!$H:$H,$B876,실시간콜입력!$O:$O,"방문완료")</f>
        <v>0</v>
      </c>
      <c r="M876" s="29" t="str">
        <f t="shared" si="118"/>
        <v/>
      </c>
      <c r="N876" s="29"/>
    </row>
    <row r="877" spans="1:14" ht="19.5" hidden="1" customHeight="1" outlineLevel="1">
      <c r="A877" s="24">
        <f>IF(17&lt;=DAY(DATE(YEAR(설정_코스수당!$K$2),MONTH(설정_코스수당!$K$2)+1,0)),DATE(YEAR(설정_코스수당!$K$2),MONTH(설정_코스수당!$K$2),17),"")</f>
        <v>46190</v>
      </c>
      <c r="B877" s="23" t="s">
        <v>201</v>
      </c>
      <c r="C877" s="29"/>
      <c r="D877" s="29"/>
      <c r="E877" s="29" t="str">
        <f t="shared" si="116"/>
        <v/>
      </c>
      <c r="F877" s="29">
        <f>COUNTIFS(실시간콜입력!$B:$B,$A877,실시간콜입력!$E:$E,"A",실시간콜입력!$G:$G,$B877,실시간콜입력!$O:$O,"방문완료")+COUNTIFS(실시간콜입력!$B:$B,$A877,실시간콜입력!$E:$E,"A",실시간콜입력!$H:$H,$B877,실시간콜입력!$O:$O,"방문완료")</f>
        <v>0</v>
      </c>
      <c r="G877" s="29">
        <f>COUNTIFS(실시간콜입력!$B:$B,$A877,실시간콜입력!$E:$E,"B",실시간콜입력!$G:$G,$B877,실시간콜입력!$O:$O,"방문완료")+COUNTIFS(실시간콜입력!$B:$B,$A877,실시간콜입력!$E:$E,"B",실시간콜입력!$H:$H,$B877,실시간콜입력!$O:$O,"방문완료")</f>
        <v>0</v>
      </c>
      <c r="H877" s="29">
        <f>COUNTIFS(실시간콜입력!$B:$B,$A877,실시간콜입력!$E:$E,"C",실시간콜입력!$G:$G,$B877,실시간콜입력!$O:$O,"방문완료")+COUNTIFS(실시간콜입력!$B:$B,$A877,실시간콜입력!$E:$E,"C",실시간콜입력!$H:$H,$B877,실시간콜입력!$O:$O,"방문완료")</f>
        <v>0</v>
      </c>
      <c r="I877" s="29">
        <f>COUNTIFS(실시간콜입력!$B:$B,$A877,실시간콜입력!$E:$E,"D",실시간콜입력!$G:$G,$B877,실시간콜입력!$O:$O,"방문완료")+COUNTIFS(실시간콜입력!$B:$B,$A877,실시간콜입력!$E:$E,"D",실시간콜입력!$H:$H,$B877,실시간콜입력!$O:$O,"방문완료")</f>
        <v>0</v>
      </c>
      <c r="J877" s="29">
        <f>COUNTIFS(실시간콜입력!$B:$B,$A877,실시간콜입력!$E:$E,"E",실시간콜입력!$G:$G,$B877,실시간콜입력!$O:$O,"방문완료")+COUNTIFS(실시간콜입력!$B:$B,$A877,실시간콜입력!$E:$E,"E",실시간콜입력!$H:$H,$B877,실시간콜입력!$O:$O,"방문완료")</f>
        <v>0</v>
      </c>
      <c r="K877" s="29">
        <f t="shared" si="117"/>
        <v>0</v>
      </c>
      <c r="L877" s="27">
        <f>SUMIFS(실시간콜입력!$K:$K,실시간콜입력!$B:$B,$A877,실시간콜입력!$G:$G,$B877,실시간콜입력!$O:$O,"방문완료")+SUMIFS(실시간콜입력!$L:$L,실시간콜입력!$B:$B,$A877,실시간콜입력!$H:$H,$B877,실시간콜입력!$O:$O,"방문완료")</f>
        <v>0</v>
      </c>
      <c r="M877" s="29" t="str">
        <f t="shared" si="118"/>
        <v/>
      </c>
      <c r="N877" s="29"/>
    </row>
    <row r="878" spans="1:14" ht="19.5" hidden="1" customHeight="1" outlineLevel="1">
      <c r="A878" s="30">
        <f>IF(17&lt;=DAY(DATE(YEAR(설정_코스수당!$K$2),MONTH(설정_코스수당!$K$2)+1,0)),DATE(YEAR(설정_코스수당!$K$2),MONTH(설정_코스수당!$K$2),17),"")</f>
        <v>46190</v>
      </c>
      <c r="B878" s="29" t="s">
        <v>202</v>
      </c>
      <c r="C878" s="29"/>
      <c r="D878" s="29"/>
      <c r="E878" s="29" t="str">
        <f t="shared" si="116"/>
        <v/>
      </c>
      <c r="F878" s="29">
        <f>COUNTIFS(실시간콜입력!$B:$B,$A878,실시간콜입력!$E:$E,"A",실시간콜입력!$G:$G,$B878,실시간콜입력!$O:$O,"방문완료")+COUNTIFS(실시간콜입력!$B:$B,$A878,실시간콜입력!$E:$E,"A",실시간콜입력!$H:$H,$B878,실시간콜입력!$O:$O,"방문완료")</f>
        <v>0</v>
      </c>
      <c r="G878" s="29">
        <f>COUNTIFS(실시간콜입력!$B:$B,$A878,실시간콜입력!$E:$E,"B",실시간콜입력!$G:$G,$B878,실시간콜입력!$O:$O,"방문완료")+COUNTIFS(실시간콜입력!$B:$B,$A878,실시간콜입력!$E:$E,"B",실시간콜입력!$H:$H,$B878,실시간콜입력!$O:$O,"방문완료")</f>
        <v>0</v>
      </c>
      <c r="H878" s="29">
        <f>COUNTIFS(실시간콜입력!$B:$B,$A878,실시간콜입력!$E:$E,"C",실시간콜입력!$G:$G,$B878,실시간콜입력!$O:$O,"방문완료")+COUNTIFS(실시간콜입력!$B:$B,$A878,실시간콜입력!$E:$E,"C",실시간콜입력!$H:$H,$B878,실시간콜입력!$O:$O,"방문완료")</f>
        <v>0</v>
      </c>
      <c r="I878" s="29">
        <f>COUNTIFS(실시간콜입력!$B:$B,$A878,실시간콜입력!$E:$E,"D",실시간콜입력!$G:$G,$B878,실시간콜입력!$O:$O,"방문완료")+COUNTIFS(실시간콜입력!$B:$B,$A878,실시간콜입력!$E:$E,"D",실시간콜입력!$H:$H,$B878,실시간콜입력!$O:$O,"방문완료")</f>
        <v>0</v>
      </c>
      <c r="J878" s="29">
        <f>COUNTIFS(실시간콜입력!$B:$B,$A878,실시간콜입력!$E:$E,"E",실시간콜입력!$G:$G,$B878,실시간콜입력!$O:$O,"방문완료")+COUNTIFS(실시간콜입력!$B:$B,$A878,실시간콜입력!$E:$E,"E",실시간콜입력!$H:$H,$B878,실시간콜입력!$O:$O,"방문완료")</f>
        <v>0</v>
      </c>
      <c r="K878" s="29">
        <f t="shared" si="117"/>
        <v>0</v>
      </c>
      <c r="L878" s="33">
        <f>SUMIFS(실시간콜입력!$K:$K,실시간콜입력!$B:$B,$A878,실시간콜입력!$G:$G,$B878,실시간콜입력!$O:$O,"방문완료")+SUMIFS(실시간콜입력!$L:$L,실시간콜입력!$B:$B,$A878,실시간콜입력!$H:$H,$B878,실시간콜입력!$O:$O,"방문완료")</f>
        <v>0</v>
      </c>
      <c r="M878" s="29" t="str">
        <f t="shared" si="118"/>
        <v/>
      </c>
      <c r="N878" s="29"/>
    </row>
    <row r="879" spans="1:14" ht="19.5" hidden="1" customHeight="1" outlineLevel="1">
      <c r="A879" s="24">
        <f>IF(17&lt;=DAY(DATE(YEAR(설정_코스수당!$K$2),MONTH(설정_코스수당!$K$2)+1,0)),DATE(YEAR(설정_코스수당!$K$2),MONTH(설정_코스수당!$K$2),17),"")</f>
        <v>46190</v>
      </c>
      <c r="B879" s="23" t="s">
        <v>203</v>
      </c>
      <c r="C879" s="29"/>
      <c r="D879" s="29"/>
      <c r="E879" s="29" t="str">
        <f t="shared" si="116"/>
        <v/>
      </c>
      <c r="F879" s="29">
        <f>COUNTIFS(실시간콜입력!$B:$B,$A879,실시간콜입력!$E:$E,"A",실시간콜입력!$G:$G,$B879,실시간콜입력!$O:$O,"방문완료")+COUNTIFS(실시간콜입력!$B:$B,$A879,실시간콜입력!$E:$E,"A",실시간콜입력!$H:$H,$B879,실시간콜입력!$O:$O,"방문완료")</f>
        <v>0</v>
      </c>
      <c r="G879" s="29">
        <f>COUNTIFS(실시간콜입력!$B:$B,$A879,실시간콜입력!$E:$E,"B",실시간콜입력!$G:$G,$B879,실시간콜입력!$O:$O,"방문완료")+COUNTIFS(실시간콜입력!$B:$B,$A879,실시간콜입력!$E:$E,"B",실시간콜입력!$H:$H,$B879,실시간콜입력!$O:$O,"방문완료")</f>
        <v>0</v>
      </c>
      <c r="H879" s="29">
        <f>COUNTIFS(실시간콜입력!$B:$B,$A879,실시간콜입력!$E:$E,"C",실시간콜입력!$G:$G,$B879,실시간콜입력!$O:$O,"방문완료")+COUNTIFS(실시간콜입력!$B:$B,$A879,실시간콜입력!$E:$E,"C",실시간콜입력!$H:$H,$B879,실시간콜입력!$O:$O,"방문완료")</f>
        <v>0</v>
      </c>
      <c r="I879" s="29">
        <f>COUNTIFS(실시간콜입력!$B:$B,$A879,실시간콜입력!$E:$E,"D",실시간콜입력!$G:$G,$B879,실시간콜입력!$O:$O,"방문완료")+COUNTIFS(실시간콜입력!$B:$B,$A879,실시간콜입력!$E:$E,"D",실시간콜입력!$H:$H,$B879,실시간콜입력!$O:$O,"방문완료")</f>
        <v>0</v>
      </c>
      <c r="J879" s="29">
        <f>COUNTIFS(실시간콜입력!$B:$B,$A879,실시간콜입력!$E:$E,"E",실시간콜입력!$G:$G,$B879,실시간콜입력!$O:$O,"방문완료")+COUNTIFS(실시간콜입력!$B:$B,$A879,실시간콜입력!$E:$E,"E",실시간콜입력!$H:$H,$B879,실시간콜입력!$O:$O,"방문완료")</f>
        <v>0</v>
      </c>
      <c r="K879" s="29">
        <f t="shared" si="117"/>
        <v>0</v>
      </c>
      <c r="L879" s="27">
        <f>SUMIFS(실시간콜입력!$K:$K,실시간콜입력!$B:$B,$A879,실시간콜입력!$G:$G,$B879,실시간콜입력!$O:$O,"방문완료")+SUMIFS(실시간콜입력!$L:$L,실시간콜입력!$B:$B,$A879,실시간콜입력!$H:$H,$B879,실시간콜입력!$O:$O,"방문완료")</f>
        <v>0</v>
      </c>
      <c r="M879" s="29" t="str">
        <f t="shared" si="118"/>
        <v/>
      </c>
      <c r="N879" s="29"/>
    </row>
    <row r="880" spans="1:14" ht="19.5" hidden="1" customHeight="1" outlineLevel="1">
      <c r="A880" s="30">
        <f>IF(17&lt;=DAY(DATE(YEAR(설정_코스수당!$K$2),MONTH(설정_코스수당!$K$2)+1,0)),DATE(YEAR(설정_코스수당!$K$2),MONTH(설정_코스수당!$K$2),17),"")</f>
        <v>46190</v>
      </c>
      <c r="B880" s="29" t="s">
        <v>204</v>
      </c>
      <c r="C880" s="29"/>
      <c r="D880" s="29"/>
      <c r="E880" s="29" t="str">
        <f t="shared" si="116"/>
        <v/>
      </c>
      <c r="F880" s="29">
        <f>COUNTIFS(실시간콜입력!$B:$B,$A880,실시간콜입력!$E:$E,"A",실시간콜입력!$G:$G,$B880,실시간콜입력!$O:$O,"방문완료")+COUNTIFS(실시간콜입력!$B:$B,$A880,실시간콜입력!$E:$E,"A",실시간콜입력!$H:$H,$B880,실시간콜입력!$O:$O,"방문완료")</f>
        <v>0</v>
      </c>
      <c r="G880" s="29">
        <f>COUNTIFS(실시간콜입력!$B:$B,$A880,실시간콜입력!$E:$E,"B",실시간콜입력!$G:$G,$B880,실시간콜입력!$O:$O,"방문완료")+COUNTIFS(실시간콜입력!$B:$B,$A880,실시간콜입력!$E:$E,"B",실시간콜입력!$H:$H,$B880,실시간콜입력!$O:$O,"방문완료")</f>
        <v>0</v>
      </c>
      <c r="H880" s="29">
        <f>COUNTIFS(실시간콜입력!$B:$B,$A880,실시간콜입력!$E:$E,"C",실시간콜입력!$G:$G,$B880,실시간콜입력!$O:$O,"방문완료")+COUNTIFS(실시간콜입력!$B:$B,$A880,실시간콜입력!$E:$E,"C",실시간콜입력!$H:$H,$B880,실시간콜입력!$O:$O,"방문완료")</f>
        <v>0</v>
      </c>
      <c r="I880" s="29">
        <f>COUNTIFS(실시간콜입력!$B:$B,$A880,실시간콜입력!$E:$E,"D",실시간콜입력!$G:$G,$B880,실시간콜입력!$O:$O,"방문완료")+COUNTIFS(실시간콜입력!$B:$B,$A880,실시간콜입력!$E:$E,"D",실시간콜입력!$H:$H,$B880,실시간콜입력!$O:$O,"방문완료")</f>
        <v>0</v>
      </c>
      <c r="J880" s="29">
        <f>COUNTIFS(실시간콜입력!$B:$B,$A880,실시간콜입력!$E:$E,"E",실시간콜입력!$G:$G,$B880,실시간콜입력!$O:$O,"방문완료")+COUNTIFS(실시간콜입력!$B:$B,$A880,실시간콜입력!$E:$E,"E",실시간콜입력!$H:$H,$B880,실시간콜입력!$O:$O,"방문완료")</f>
        <v>0</v>
      </c>
      <c r="K880" s="29">
        <f t="shared" si="117"/>
        <v>0</v>
      </c>
      <c r="L880" s="33">
        <f>SUMIFS(실시간콜입력!$K:$K,실시간콜입력!$B:$B,$A880,실시간콜입력!$G:$G,$B880,실시간콜입력!$O:$O,"방문완료")+SUMIFS(실시간콜입력!$L:$L,실시간콜입력!$B:$B,$A880,실시간콜입력!$H:$H,$B880,실시간콜입력!$O:$O,"방문완료")</f>
        <v>0</v>
      </c>
      <c r="M880" s="29" t="str">
        <f t="shared" si="118"/>
        <v/>
      </c>
      <c r="N880" s="29"/>
    </row>
    <row r="881" spans="1:14" ht="19.5" hidden="1" customHeight="1" outlineLevel="1">
      <c r="A881" s="24">
        <f>IF(17&lt;=DAY(DATE(YEAR(설정_코스수당!$K$2),MONTH(설정_코스수당!$K$2)+1,0)),DATE(YEAR(설정_코스수당!$K$2),MONTH(설정_코스수당!$K$2),17),"")</f>
        <v>46190</v>
      </c>
      <c r="B881" s="23" t="s">
        <v>205</v>
      </c>
      <c r="C881" s="29"/>
      <c r="D881" s="29"/>
      <c r="E881" s="29" t="str">
        <f t="shared" si="116"/>
        <v/>
      </c>
      <c r="F881" s="29">
        <f>COUNTIFS(실시간콜입력!$B:$B,$A881,실시간콜입력!$E:$E,"A",실시간콜입력!$G:$G,$B881,실시간콜입력!$O:$O,"방문완료")+COUNTIFS(실시간콜입력!$B:$B,$A881,실시간콜입력!$E:$E,"A",실시간콜입력!$H:$H,$B881,실시간콜입력!$O:$O,"방문완료")</f>
        <v>0</v>
      </c>
      <c r="G881" s="29">
        <f>COUNTIFS(실시간콜입력!$B:$B,$A881,실시간콜입력!$E:$E,"B",실시간콜입력!$G:$G,$B881,실시간콜입력!$O:$O,"방문완료")+COUNTIFS(실시간콜입력!$B:$B,$A881,실시간콜입력!$E:$E,"B",실시간콜입력!$H:$H,$B881,실시간콜입력!$O:$O,"방문완료")</f>
        <v>0</v>
      </c>
      <c r="H881" s="29">
        <f>COUNTIFS(실시간콜입력!$B:$B,$A881,실시간콜입력!$E:$E,"C",실시간콜입력!$G:$G,$B881,실시간콜입력!$O:$O,"방문완료")+COUNTIFS(실시간콜입력!$B:$B,$A881,실시간콜입력!$E:$E,"C",실시간콜입력!$H:$H,$B881,실시간콜입력!$O:$O,"방문완료")</f>
        <v>0</v>
      </c>
      <c r="I881" s="29">
        <f>COUNTIFS(실시간콜입력!$B:$B,$A881,실시간콜입력!$E:$E,"D",실시간콜입력!$G:$G,$B881,실시간콜입력!$O:$O,"방문완료")+COUNTIFS(실시간콜입력!$B:$B,$A881,실시간콜입력!$E:$E,"D",실시간콜입력!$H:$H,$B881,실시간콜입력!$O:$O,"방문완료")</f>
        <v>0</v>
      </c>
      <c r="J881" s="29">
        <f>COUNTIFS(실시간콜입력!$B:$B,$A881,실시간콜입력!$E:$E,"E",실시간콜입력!$G:$G,$B881,실시간콜입력!$O:$O,"방문완료")+COUNTIFS(실시간콜입력!$B:$B,$A881,실시간콜입력!$E:$E,"E",실시간콜입력!$H:$H,$B881,실시간콜입력!$O:$O,"방문완료")</f>
        <v>0</v>
      </c>
      <c r="K881" s="29">
        <f t="shared" si="117"/>
        <v>0</v>
      </c>
      <c r="L881" s="27">
        <f>SUMIFS(실시간콜입력!$K:$K,실시간콜입력!$B:$B,$A881,실시간콜입력!$G:$G,$B881,실시간콜입력!$O:$O,"방문완료")+SUMIFS(실시간콜입력!$L:$L,실시간콜입력!$B:$B,$A881,실시간콜입력!$H:$H,$B881,실시간콜입력!$O:$O,"방문완료")</f>
        <v>0</v>
      </c>
      <c r="M881" s="29" t="str">
        <f t="shared" si="118"/>
        <v/>
      </c>
      <c r="N881" s="29"/>
    </row>
    <row r="882" spans="1:14" ht="19.5" hidden="1" customHeight="1" outlineLevel="1">
      <c r="A882" s="30">
        <f>IF(17&lt;=DAY(DATE(YEAR(설정_코스수당!$K$2),MONTH(설정_코스수당!$K$2)+1,0)),DATE(YEAR(설정_코스수당!$K$2),MONTH(설정_코스수당!$K$2),17),"")</f>
        <v>46190</v>
      </c>
      <c r="B882" s="29" t="s">
        <v>206</v>
      </c>
      <c r="C882" s="29"/>
      <c r="D882" s="29"/>
      <c r="E882" s="29" t="str">
        <f t="shared" si="116"/>
        <v/>
      </c>
      <c r="F882" s="29">
        <f>COUNTIFS(실시간콜입력!$B:$B,$A882,실시간콜입력!$E:$E,"A",실시간콜입력!$G:$G,$B882,실시간콜입력!$O:$O,"방문완료")+COUNTIFS(실시간콜입력!$B:$B,$A882,실시간콜입력!$E:$E,"A",실시간콜입력!$H:$H,$B882,실시간콜입력!$O:$O,"방문완료")</f>
        <v>0</v>
      </c>
      <c r="G882" s="29">
        <f>COUNTIFS(실시간콜입력!$B:$B,$A882,실시간콜입력!$E:$E,"B",실시간콜입력!$G:$G,$B882,실시간콜입력!$O:$O,"방문완료")+COUNTIFS(실시간콜입력!$B:$B,$A882,실시간콜입력!$E:$E,"B",실시간콜입력!$H:$H,$B882,실시간콜입력!$O:$O,"방문완료")</f>
        <v>0</v>
      </c>
      <c r="H882" s="29">
        <f>COUNTIFS(실시간콜입력!$B:$B,$A882,실시간콜입력!$E:$E,"C",실시간콜입력!$G:$G,$B882,실시간콜입력!$O:$O,"방문완료")+COUNTIFS(실시간콜입력!$B:$B,$A882,실시간콜입력!$E:$E,"C",실시간콜입력!$H:$H,$B882,실시간콜입력!$O:$O,"방문완료")</f>
        <v>0</v>
      </c>
      <c r="I882" s="29">
        <f>COUNTIFS(실시간콜입력!$B:$B,$A882,실시간콜입력!$E:$E,"D",실시간콜입력!$G:$G,$B882,실시간콜입력!$O:$O,"방문완료")+COUNTIFS(실시간콜입력!$B:$B,$A882,실시간콜입력!$E:$E,"D",실시간콜입력!$H:$H,$B882,실시간콜입력!$O:$O,"방문완료")</f>
        <v>0</v>
      </c>
      <c r="J882" s="29">
        <f>COUNTIFS(실시간콜입력!$B:$B,$A882,실시간콜입력!$E:$E,"E",실시간콜입력!$G:$G,$B882,실시간콜입력!$O:$O,"방문완료")+COUNTIFS(실시간콜입력!$B:$B,$A882,실시간콜입력!$E:$E,"E",실시간콜입력!$H:$H,$B882,실시간콜입력!$O:$O,"방문완료")</f>
        <v>0</v>
      </c>
      <c r="K882" s="29">
        <f t="shared" si="117"/>
        <v>0</v>
      </c>
      <c r="L882" s="33">
        <f>SUMIFS(실시간콜입력!$K:$K,실시간콜입력!$B:$B,$A882,실시간콜입력!$G:$G,$B882,실시간콜입력!$O:$O,"방문완료")+SUMIFS(실시간콜입력!$L:$L,실시간콜입력!$B:$B,$A882,실시간콜입력!$H:$H,$B882,실시간콜입력!$O:$O,"방문완료")</f>
        <v>0</v>
      </c>
      <c r="M882" s="29" t="str">
        <f t="shared" si="118"/>
        <v/>
      </c>
      <c r="N882" s="29"/>
    </row>
    <row r="883" spans="1:14" ht="19.5" hidden="1" customHeight="1" outlineLevel="1">
      <c r="A883" s="24">
        <f>IF(17&lt;=DAY(DATE(YEAR(설정_코스수당!$K$2),MONTH(설정_코스수당!$K$2)+1,0)),DATE(YEAR(설정_코스수당!$K$2),MONTH(설정_코스수당!$K$2),17),"")</f>
        <v>46190</v>
      </c>
      <c r="B883" s="23" t="s">
        <v>207</v>
      </c>
      <c r="C883" s="29"/>
      <c r="D883" s="29"/>
      <c r="E883" s="29" t="str">
        <f t="shared" si="116"/>
        <v/>
      </c>
      <c r="F883" s="29">
        <f>COUNTIFS(실시간콜입력!$B:$B,$A883,실시간콜입력!$E:$E,"A",실시간콜입력!$G:$G,$B883,실시간콜입력!$O:$O,"방문완료")+COUNTIFS(실시간콜입력!$B:$B,$A883,실시간콜입력!$E:$E,"A",실시간콜입력!$H:$H,$B883,실시간콜입력!$O:$O,"방문완료")</f>
        <v>0</v>
      </c>
      <c r="G883" s="29">
        <f>COUNTIFS(실시간콜입력!$B:$B,$A883,실시간콜입력!$E:$E,"B",실시간콜입력!$G:$G,$B883,실시간콜입력!$O:$O,"방문완료")+COUNTIFS(실시간콜입력!$B:$B,$A883,실시간콜입력!$E:$E,"B",실시간콜입력!$H:$H,$B883,실시간콜입력!$O:$O,"방문완료")</f>
        <v>0</v>
      </c>
      <c r="H883" s="29">
        <f>COUNTIFS(실시간콜입력!$B:$B,$A883,실시간콜입력!$E:$E,"C",실시간콜입력!$G:$G,$B883,실시간콜입력!$O:$O,"방문완료")+COUNTIFS(실시간콜입력!$B:$B,$A883,실시간콜입력!$E:$E,"C",실시간콜입력!$H:$H,$B883,실시간콜입력!$O:$O,"방문완료")</f>
        <v>0</v>
      </c>
      <c r="I883" s="29">
        <f>COUNTIFS(실시간콜입력!$B:$B,$A883,실시간콜입력!$E:$E,"D",실시간콜입력!$G:$G,$B883,실시간콜입력!$O:$O,"방문완료")+COUNTIFS(실시간콜입력!$B:$B,$A883,실시간콜입력!$E:$E,"D",실시간콜입력!$H:$H,$B883,실시간콜입력!$O:$O,"방문완료")</f>
        <v>0</v>
      </c>
      <c r="J883" s="29">
        <f>COUNTIFS(실시간콜입력!$B:$B,$A883,실시간콜입력!$E:$E,"E",실시간콜입력!$G:$G,$B883,실시간콜입력!$O:$O,"방문완료")+COUNTIFS(실시간콜입력!$B:$B,$A883,실시간콜입력!$E:$E,"E",실시간콜입력!$H:$H,$B883,실시간콜입력!$O:$O,"방문완료")</f>
        <v>0</v>
      </c>
      <c r="K883" s="29">
        <f t="shared" si="117"/>
        <v>0</v>
      </c>
      <c r="L883" s="27">
        <f>SUMIFS(실시간콜입력!$K:$K,실시간콜입력!$B:$B,$A883,실시간콜입력!$G:$G,$B883,실시간콜입력!$O:$O,"방문완료")+SUMIFS(실시간콜입력!$L:$L,실시간콜입력!$B:$B,$A883,실시간콜입력!$H:$H,$B883,실시간콜입력!$O:$O,"방문완료")</f>
        <v>0</v>
      </c>
      <c r="M883" s="29" t="str">
        <f t="shared" si="118"/>
        <v/>
      </c>
      <c r="N883" s="29"/>
    </row>
    <row r="884" spans="1:14" ht="19.5" hidden="1" customHeight="1" outlineLevel="1">
      <c r="A884" s="30">
        <f>IF(17&lt;=DAY(DATE(YEAR(설정_코스수당!$K$2),MONTH(설정_코스수당!$K$2)+1,0)),DATE(YEAR(설정_코스수당!$K$2),MONTH(설정_코스수당!$K$2),17),"")</f>
        <v>46190</v>
      </c>
      <c r="B884" s="29" t="s">
        <v>208</v>
      </c>
      <c r="C884" s="29"/>
      <c r="D884" s="29"/>
      <c r="E884" s="29" t="str">
        <f t="shared" si="116"/>
        <v/>
      </c>
      <c r="F884" s="29">
        <f>COUNTIFS(실시간콜입력!$B:$B,$A884,실시간콜입력!$E:$E,"A",실시간콜입력!$G:$G,$B884,실시간콜입력!$O:$O,"방문완료")+COUNTIFS(실시간콜입력!$B:$B,$A884,실시간콜입력!$E:$E,"A",실시간콜입력!$H:$H,$B884,실시간콜입력!$O:$O,"방문완료")</f>
        <v>0</v>
      </c>
      <c r="G884" s="29">
        <f>COUNTIFS(실시간콜입력!$B:$B,$A884,실시간콜입력!$E:$E,"B",실시간콜입력!$G:$G,$B884,실시간콜입력!$O:$O,"방문완료")+COUNTIFS(실시간콜입력!$B:$B,$A884,실시간콜입력!$E:$E,"B",실시간콜입력!$H:$H,$B884,실시간콜입력!$O:$O,"방문완료")</f>
        <v>0</v>
      </c>
      <c r="H884" s="29">
        <f>COUNTIFS(실시간콜입력!$B:$B,$A884,실시간콜입력!$E:$E,"C",실시간콜입력!$G:$G,$B884,실시간콜입력!$O:$O,"방문완료")+COUNTIFS(실시간콜입력!$B:$B,$A884,실시간콜입력!$E:$E,"C",실시간콜입력!$H:$H,$B884,실시간콜입력!$O:$O,"방문완료")</f>
        <v>0</v>
      </c>
      <c r="I884" s="29">
        <f>COUNTIFS(실시간콜입력!$B:$B,$A884,실시간콜입력!$E:$E,"D",실시간콜입력!$G:$G,$B884,실시간콜입력!$O:$O,"방문완료")+COUNTIFS(실시간콜입력!$B:$B,$A884,실시간콜입력!$E:$E,"D",실시간콜입력!$H:$H,$B884,실시간콜입력!$O:$O,"방문완료")</f>
        <v>0</v>
      </c>
      <c r="J884" s="29">
        <f>COUNTIFS(실시간콜입력!$B:$B,$A884,실시간콜입력!$E:$E,"E",실시간콜입력!$G:$G,$B884,실시간콜입력!$O:$O,"방문완료")+COUNTIFS(실시간콜입력!$B:$B,$A884,실시간콜입력!$E:$E,"E",실시간콜입력!$H:$H,$B884,실시간콜입력!$O:$O,"방문완료")</f>
        <v>0</v>
      </c>
      <c r="K884" s="29">
        <f t="shared" si="117"/>
        <v>0</v>
      </c>
      <c r="L884" s="33">
        <f>SUMIFS(실시간콜입력!$K:$K,실시간콜입력!$B:$B,$A884,실시간콜입력!$G:$G,$B884,실시간콜입력!$O:$O,"방문완료")+SUMIFS(실시간콜입력!$L:$L,실시간콜입력!$B:$B,$A884,실시간콜입력!$H:$H,$B884,실시간콜입력!$O:$O,"방문완료")</f>
        <v>0</v>
      </c>
      <c r="M884" s="29" t="str">
        <f t="shared" si="118"/>
        <v/>
      </c>
      <c r="N884" s="29"/>
    </row>
    <row r="885" spans="1:14" ht="19.5" hidden="1" customHeight="1" outlineLevel="1">
      <c r="A885" s="24">
        <f>IF(17&lt;=DAY(DATE(YEAR(설정_코스수당!$K$2),MONTH(설정_코스수당!$K$2)+1,0)),DATE(YEAR(설정_코스수당!$K$2),MONTH(설정_코스수당!$K$2),17),"")</f>
        <v>46190</v>
      </c>
      <c r="B885" s="23" t="s">
        <v>209</v>
      </c>
      <c r="C885" s="29"/>
      <c r="D885" s="29"/>
      <c r="E885" s="29" t="str">
        <f t="shared" si="116"/>
        <v/>
      </c>
      <c r="F885" s="29">
        <f>COUNTIFS(실시간콜입력!$B:$B,$A885,실시간콜입력!$E:$E,"A",실시간콜입력!$G:$G,$B885,실시간콜입력!$O:$O,"방문완료")+COUNTIFS(실시간콜입력!$B:$B,$A885,실시간콜입력!$E:$E,"A",실시간콜입력!$H:$H,$B885,실시간콜입력!$O:$O,"방문완료")</f>
        <v>0</v>
      </c>
      <c r="G885" s="29">
        <f>COUNTIFS(실시간콜입력!$B:$B,$A885,실시간콜입력!$E:$E,"B",실시간콜입력!$G:$G,$B885,실시간콜입력!$O:$O,"방문완료")+COUNTIFS(실시간콜입력!$B:$B,$A885,실시간콜입력!$E:$E,"B",실시간콜입력!$H:$H,$B885,실시간콜입력!$O:$O,"방문완료")</f>
        <v>0</v>
      </c>
      <c r="H885" s="29">
        <f>COUNTIFS(실시간콜입력!$B:$B,$A885,실시간콜입력!$E:$E,"C",실시간콜입력!$G:$G,$B885,실시간콜입력!$O:$O,"방문완료")+COUNTIFS(실시간콜입력!$B:$B,$A885,실시간콜입력!$E:$E,"C",실시간콜입력!$H:$H,$B885,실시간콜입력!$O:$O,"방문완료")</f>
        <v>0</v>
      </c>
      <c r="I885" s="29">
        <f>COUNTIFS(실시간콜입력!$B:$B,$A885,실시간콜입력!$E:$E,"D",실시간콜입력!$G:$G,$B885,실시간콜입력!$O:$O,"방문완료")+COUNTIFS(실시간콜입력!$B:$B,$A885,실시간콜입력!$E:$E,"D",실시간콜입력!$H:$H,$B885,실시간콜입력!$O:$O,"방문완료")</f>
        <v>0</v>
      </c>
      <c r="J885" s="29">
        <f>COUNTIFS(실시간콜입력!$B:$B,$A885,실시간콜입력!$E:$E,"E",실시간콜입력!$G:$G,$B885,실시간콜입력!$O:$O,"방문완료")+COUNTIFS(실시간콜입력!$B:$B,$A885,실시간콜입력!$E:$E,"E",실시간콜입력!$H:$H,$B885,실시간콜입력!$O:$O,"방문완료")</f>
        <v>0</v>
      </c>
      <c r="K885" s="29">
        <f t="shared" si="117"/>
        <v>0</v>
      </c>
      <c r="L885" s="27">
        <f>SUMIFS(실시간콜입력!$K:$K,실시간콜입력!$B:$B,$A885,실시간콜입력!$G:$G,$B885,실시간콜입력!$O:$O,"방문완료")+SUMIFS(실시간콜입력!$L:$L,실시간콜입력!$B:$B,$A885,실시간콜입력!$H:$H,$B885,실시간콜입력!$O:$O,"방문완료")</f>
        <v>0</v>
      </c>
      <c r="M885" s="29" t="str">
        <f t="shared" si="118"/>
        <v/>
      </c>
      <c r="N885" s="29"/>
    </row>
    <row r="886" spans="1:14" ht="19.5" hidden="1" customHeight="1" outlineLevel="1">
      <c r="A886" s="30">
        <f>IF(17&lt;=DAY(DATE(YEAR(설정_코스수당!$K$2),MONTH(설정_코스수당!$K$2)+1,0)),DATE(YEAR(설정_코스수당!$K$2),MONTH(설정_코스수당!$K$2),17),"")</f>
        <v>46190</v>
      </c>
      <c r="B886" s="29" t="s">
        <v>210</v>
      </c>
      <c r="C886" s="29"/>
      <c r="D886" s="29"/>
      <c r="E886" s="29" t="str">
        <f t="shared" si="116"/>
        <v/>
      </c>
      <c r="F886" s="29">
        <f>COUNTIFS(실시간콜입력!$B:$B,$A886,실시간콜입력!$E:$E,"A",실시간콜입력!$G:$G,$B886,실시간콜입력!$O:$O,"방문완료")+COUNTIFS(실시간콜입력!$B:$B,$A886,실시간콜입력!$E:$E,"A",실시간콜입력!$H:$H,$B886,실시간콜입력!$O:$O,"방문완료")</f>
        <v>0</v>
      </c>
      <c r="G886" s="29">
        <f>COUNTIFS(실시간콜입력!$B:$B,$A886,실시간콜입력!$E:$E,"B",실시간콜입력!$G:$G,$B886,실시간콜입력!$O:$O,"방문완료")+COUNTIFS(실시간콜입력!$B:$B,$A886,실시간콜입력!$E:$E,"B",실시간콜입력!$H:$H,$B886,실시간콜입력!$O:$O,"방문완료")</f>
        <v>0</v>
      </c>
      <c r="H886" s="29">
        <f>COUNTIFS(실시간콜입력!$B:$B,$A886,실시간콜입력!$E:$E,"C",실시간콜입력!$G:$G,$B886,실시간콜입력!$O:$O,"방문완료")+COUNTIFS(실시간콜입력!$B:$B,$A886,실시간콜입력!$E:$E,"C",실시간콜입력!$H:$H,$B886,실시간콜입력!$O:$O,"방문완료")</f>
        <v>0</v>
      </c>
      <c r="I886" s="29">
        <f>COUNTIFS(실시간콜입력!$B:$B,$A886,실시간콜입력!$E:$E,"D",실시간콜입력!$G:$G,$B886,실시간콜입력!$O:$O,"방문완료")+COUNTIFS(실시간콜입력!$B:$B,$A886,실시간콜입력!$E:$E,"D",실시간콜입력!$H:$H,$B886,실시간콜입력!$O:$O,"방문완료")</f>
        <v>0</v>
      </c>
      <c r="J886" s="29">
        <f>COUNTIFS(실시간콜입력!$B:$B,$A886,실시간콜입력!$E:$E,"E",실시간콜입력!$G:$G,$B886,실시간콜입력!$O:$O,"방문완료")+COUNTIFS(실시간콜입력!$B:$B,$A886,실시간콜입력!$E:$E,"E",실시간콜입력!$H:$H,$B886,실시간콜입력!$O:$O,"방문완료")</f>
        <v>0</v>
      </c>
      <c r="K886" s="29">
        <f t="shared" si="117"/>
        <v>0</v>
      </c>
      <c r="L886" s="33">
        <f>SUMIFS(실시간콜입력!$K:$K,실시간콜입력!$B:$B,$A886,실시간콜입력!$G:$G,$B886,실시간콜입력!$O:$O,"방문완료")+SUMIFS(실시간콜입력!$L:$L,실시간콜입력!$B:$B,$A886,실시간콜입력!$H:$H,$B886,실시간콜입력!$O:$O,"방문완료")</f>
        <v>0</v>
      </c>
      <c r="M886" s="29" t="str">
        <f t="shared" si="118"/>
        <v/>
      </c>
      <c r="N886" s="29"/>
    </row>
    <row r="887" spans="1:14" ht="19.5" hidden="1" customHeight="1" outlineLevel="1">
      <c r="A887" s="24">
        <f>IF(17&lt;=DAY(DATE(YEAR(설정_코스수당!$K$2),MONTH(설정_코스수당!$K$2)+1,0)),DATE(YEAR(설정_코스수당!$K$2),MONTH(설정_코스수당!$K$2),17),"")</f>
        <v>46190</v>
      </c>
      <c r="B887" s="23" t="s">
        <v>211</v>
      </c>
      <c r="C887" s="29"/>
      <c r="D887" s="29"/>
      <c r="E887" s="29" t="str">
        <f t="shared" si="116"/>
        <v/>
      </c>
      <c r="F887" s="29">
        <f>COUNTIFS(실시간콜입력!$B:$B,$A887,실시간콜입력!$E:$E,"A",실시간콜입력!$G:$G,$B887,실시간콜입력!$O:$O,"방문완료")+COUNTIFS(실시간콜입력!$B:$B,$A887,실시간콜입력!$E:$E,"A",실시간콜입력!$H:$H,$B887,실시간콜입력!$O:$O,"방문완료")</f>
        <v>0</v>
      </c>
      <c r="G887" s="29">
        <f>COUNTIFS(실시간콜입력!$B:$B,$A887,실시간콜입력!$E:$E,"B",실시간콜입력!$G:$G,$B887,실시간콜입력!$O:$O,"방문완료")+COUNTIFS(실시간콜입력!$B:$B,$A887,실시간콜입력!$E:$E,"B",실시간콜입력!$H:$H,$B887,실시간콜입력!$O:$O,"방문완료")</f>
        <v>0</v>
      </c>
      <c r="H887" s="29">
        <f>COUNTIFS(실시간콜입력!$B:$B,$A887,실시간콜입력!$E:$E,"C",실시간콜입력!$G:$G,$B887,실시간콜입력!$O:$O,"방문완료")+COUNTIFS(실시간콜입력!$B:$B,$A887,실시간콜입력!$E:$E,"C",실시간콜입력!$H:$H,$B887,실시간콜입력!$O:$O,"방문완료")</f>
        <v>0</v>
      </c>
      <c r="I887" s="29">
        <f>COUNTIFS(실시간콜입력!$B:$B,$A887,실시간콜입력!$E:$E,"D",실시간콜입력!$G:$G,$B887,실시간콜입력!$O:$O,"방문완료")+COUNTIFS(실시간콜입력!$B:$B,$A887,실시간콜입력!$E:$E,"D",실시간콜입력!$H:$H,$B887,실시간콜입력!$O:$O,"방문완료")</f>
        <v>0</v>
      </c>
      <c r="J887" s="29">
        <f>COUNTIFS(실시간콜입력!$B:$B,$A887,실시간콜입력!$E:$E,"E",실시간콜입력!$G:$G,$B887,실시간콜입력!$O:$O,"방문완료")+COUNTIFS(실시간콜입력!$B:$B,$A887,실시간콜입력!$E:$E,"E",실시간콜입력!$H:$H,$B887,실시간콜입력!$O:$O,"방문완료")</f>
        <v>0</v>
      </c>
      <c r="K887" s="29">
        <f t="shared" si="117"/>
        <v>0</v>
      </c>
      <c r="L887" s="27">
        <f>SUMIFS(실시간콜입력!$K:$K,실시간콜입력!$B:$B,$A887,실시간콜입력!$G:$G,$B887,실시간콜입력!$O:$O,"방문완료")+SUMIFS(실시간콜입력!$L:$L,실시간콜입력!$B:$B,$A887,실시간콜입력!$H:$H,$B887,실시간콜입력!$O:$O,"방문완료")</f>
        <v>0</v>
      </c>
      <c r="M887" s="29" t="str">
        <f t="shared" si="118"/>
        <v/>
      </c>
      <c r="N887" s="29"/>
    </row>
    <row r="888" spans="1:14" ht="19.5" hidden="1" customHeight="1" outlineLevel="1">
      <c r="A888" s="30">
        <f>IF(17&lt;=DAY(DATE(YEAR(설정_코스수당!$K$2),MONTH(설정_코스수당!$K$2)+1,0)),DATE(YEAR(설정_코스수당!$K$2),MONTH(설정_코스수당!$K$2),17),"")</f>
        <v>46190</v>
      </c>
      <c r="B888" s="29" t="s">
        <v>212</v>
      </c>
      <c r="C888" s="29"/>
      <c r="D888" s="29"/>
      <c r="E888" s="29" t="str">
        <f t="shared" si="116"/>
        <v/>
      </c>
      <c r="F888" s="29">
        <f>COUNTIFS(실시간콜입력!$B:$B,$A888,실시간콜입력!$E:$E,"A",실시간콜입력!$G:$G,$B888,실시간콜입력!$O:$O,"방문완료")+COUNTIFS(실시간콜입력!$B:$B,$A888,실시간콜입력!$E:$E,"A",실시간콜입력!$H:$H,$B888,실시간콜입력!$O:$O,"방문완료")</f>
        <v>0</v>
      </c>
      <c r="G888" s="29">
        <f>COUNTIFS(실시간콜입력!$B:$B,$A888,실시간콜입력!$E:$E,"B",실시간콜입력!$G:$G,$B888,실시간콜입력!$O:$O,"방문완료")+COUNTIFS(실시간콜입력!$B:$B,$A888,실시간콜입력!$E:$E,"B",실시간콜입력!$H:$H,$B888,실시간콜입력!$O:$O,"방문완료")</f>
        <v>0</v>
      </c>
      <c r="H888" s="29">
        <f>COUNTIFS(실시간콜입력!$B:$B,$A888,실시간콜입력!$E:$E,"C",실시간콜입력!$G:$G,$B888,실시간콜입력!$O:$O,"방문완료")+COUNTIFS(실시간콜입력!$B:$B,$A888,실시간콜입력!$E:$E,"C",실시간콜입력!$H:$H,$B888,실시간콜입력!$O:$O,"방문완료")</f>
        <v>0</v>
      </c>
      <c r="I888" s="29">
        <f>COUNTIFS(실시간콜입력!$B:$B,$A888,실시간콜입력!$E:$E,"D",실시간콜입력!$G:$G,$B888,실시간콜입력!$O:$O,"방문완료")+COUNTIFS(실시간콜입력!$B:$B,$A888,실시간콜입력!$E:$E,"D",실시간콜입력!$H:$H,$B888,실시간콜입력!$O:$O,"방문완료")</f>
        <v>0</v>
      </c>
      <c r="J888" s="29">
        <f>COUNTIFS(실시간콜입력!$B:$B,$A888,실시간콜입력!$E:$E,"E",실시간콜입력!$G:$G,$B888,실시간콜입력!$O:$O,"방문완료")+COUNTIFS(실시간콜입력!$B:$B,$A888,실시간콜입력!$E:$E,"E",실시간콜입력!$H:$H,$B888,실시간콜입력!$O:$O,"방문완료")</f>
        <v>0</v>
      </c>
      <c r="K888" s="29">
        <f t="shared" si="117"/>
        <v>0</v>
      </c>
      <c r="L888" s="33">
        <f>SUMIFS(실시간콜입력!$K:$K,실시간콜입력!$B:$B,$A888,실시간콜입력!$G:$G,$B888,실시간콜입력!$O:$O,"방문완료")+SUMIFS(실시간콜입력!$L:$L,실시간콜입력!$B:$B,$A888,실시간콜입력!$H:$H,$B888,실시간콜입력!$O:$O,"방문완료")</f>
        <v>0</v>
      </c>
      <c r="M888" s="29" t="str">
        <f t="shared" si="118"/>
        <v/>
      </c>
      <c r="N888" s="29"/>
    </row>
    <row r="889" spans="1:14" ht="21.75" customHeight="1" collapsed="1">
      <c r="A889" s="64">
        <f>IF(18&lt;=DAY(DATE(YEAR(설정_코스수당!$K$2),MONTH(설정_코스수당!$K$2)+1,0)),DATE(YEAR(설정_코스수당!$K$2),MONTH(설정_코스수당!$K$2),18),"")</f>
        <v>46191</v>
      </c>
      <c r="B889" s="65" t="str">
        <f>IF(A889="","","출근 "&amp;COUNTIF(C891:C940,"&lt;&gt;")&amp;"명")</f>
        <v>출근 0명</v>
      </c>
      <c r="C889" s="65" t="str">
        <f>IF(A889="","","만근 "&amp;COUNTIF(M891:M940,"인정")&amp;"명")</f>
        <v>만근 0명</v>
      </c>
      <c r="D889" s="65" t="str">
        <f>IFERROR("평균 "&amp;TEXT(AVERAGEIF(E891:E940,"&gt;0",E891:E940),"0.0")&amp;"h","평균 -")</f>
        <v>평균 -</v>
      </c>
      <c r="E889" s="65" t="s">
        <v>163</v>
      </c>
      <c r="F889" s="65">
        <f t="shared" ref="F889:L889" si="119">SUM(F891:F940)</f>
        <v>0</v>
      </c>
      <c r="G889" s="65">
        <f t="shared" si="119"/>
        <v>0</v>
      </c>
      <c r="H889" s="65">
        <f t="shared" si="119"/>
        <v>0</v>
      </c>
      <c r="I889" s="65">
        <f t="shared" si="119"/>
        <v>0</v>
      </c>
      <c r="J889" s="65">
        <f t="shared" si="119"/>
        <v>0</v>
      </c>
      <c r="K889" s="65">
        <f t="shared" si="119"/>
        <v>0</v>
      </c>
      <c r="L889" s="66">
        <f t="shared" si="119"/>
        <v>0</v>
      </c>
      <c r="M889" s="65">
        <f>COUNTIF(M891:M940,"인정")</f>
        <v>0</v>
      </c>
      <c r="N889" s="65" t="s">
        <v>164</v>
      </c>
    </row>
    <row r="890" spans="1:14" ht="19.5" hidden="1" customHeight="1" outlineLevel="1">
      <c r="A890" s="20" t="s">
        <v>42</v>
      </c>
      <c r="B890" s="20" t="s">
        <v>152</v>
      </c>
      <c r="C890" s="20" t="s">
        <v>153</v>
      </c>
      <c r="D890" s="20" t="s">
        <v>154</v>
      </c>
      <c r="E890" s="20" t="s">
        <v>155</v>
      </c>
      <c r="F890" s="20" t="s">
        <v>156</v>
      </c>
      <c r="G890" s="20" t="s">
        <v>157</v>
      </c>
      <c r="H890" s="20" t="s">
        <v>158</v>
      </c>
      <c r="I890" s="20" t="s">
        <v>159</v>
      </c>
      <c r="J890" s="20" t="s">
        <v>160</v>
      </c>
      <c r="K890" s="20" t="s">
        <v>118</v>
      </c>
      <c r="L890" s="20" t="s">
        <v>161</v>
      </c>
      <c r="M890" s="20" t="s">
        <v>162</v>
      </c>
      <c r="N890" s="20" t="s">
        <v>95</v>
      </c>
    </row>
    <row r="891" spans="1:14" ht="19.5" hidden="1" customHeight="1" outlineLevel="1">
      <c r="A891" s="24">
        <f>IF(18&lt;=DAY(DATE(YEAR(설정_코스수당!$K$2),MONTH(설정_코스수당!$K$2)+1,0)),DATE(YEAR(설정_코스수당!$K$2),MONTH(설정_코스수당!$K$2),18),"")</f>
        <v>46191</v>
      </c>
      <c r="B891" s="23" t="s">
        <v>47</v>
      </c>
      <c r="C891" s="23"/>
      <c r="D891" s="23"/>
      <c r="E891" s="23" t="str">
        <f t="shared" ref="E891:E922" si="120">IF(AND(C891&lt;&gt;"",D891&lt;&gt;""),IF(D891&lt;C891,D891+1-C891,D891-C891)*24,"")</f>
        <v/>
      </c>
      <c r="F891" s="23">
        <f>COUNTIFS(실시간콜입력!$B:$B,$A891,실시간콜입력!$E:$E,"A",실시간콜입력!$G:$G,$B891,실시간콜입력!$O:$O,"방문완료")+COUNTIFS(실시간콜입력!$B:$B,$A891,실시간콜입력!$E:$E,"A",실시간콜입력!$H:$H,$B891,실시간콜입력!$O:$O,"방문완료")</f>
        <v>0</v>
      </c>
      <c r="G891" s="23">
        <f>COUNTIFS(실시간콜입력!$B:$B,$A891,실시간콜입력!$E:$E,"B",실시간콜입력!$G:$G,$B891,실시간콜입력!$O:$O,"방문완료")+COUNTIFS(실시간콜입력!$B:$B,$A891,실시간콜입력!$E:$E,"B",실시간콜입력!$H:$H,$B891,실시간콜입력!$O:$O,"방문완료")</f>
        <v>0</v>
      </c>
      <c r="H891" s="23">
        <f>COUNTIFS(실시간콜입력!$B:$B,$A891,실시간콜입력!$E:$E,"C",실시간콜입력!$G:$G,$B891,실시간콜입력!$O:$O,"방문완료")+COUNTIFS(실시간콜입력!$B:$B,$A891,실시간콜입력!$E:$E,"C",실시간콜입력!$H:$H,$B891,실시간콜입력!$O:$O,"방문완료")</f>
        <v>0</v>
      </c>
      <c r="I891" s="23">
        <f>COUNTIFS(실시간콜입력!$B:$B,$A891,실시간콜입력!$E:$E,"D",실시간콜입력!$G:$G,$B891,실시간콜입력!$O:$O,"방문완료")+COUNTIFS(실시간콜입력!$B:$B,$A891,실시간콜입력!$E:$E,"D",실시간콜입력!$H:$H,$B891,실시간콜입력!$O:$O,"방문완료")</f>
        <v>0</v>
      </c>
      <c r="J891" s="23">
        <f>COUNTIFS(실시간콜입력!$B:$B,$A891,실시간콜입력!$E:$E,"E",실시간콜입력!$G:$G,$B891,실시간콜입력!$O:$O,"방문완료")+COUNTIFS(실시간콜입력!$B:$B,$A891,실시간콜입력!$E:$E,"E",실시간콜입력!$H:$H,$B891,실시간콜입력!$O:$O,"방문완료")</f>
        <v>0</v>
      </c>
      <c r="K891" s="23">
        <f t="shared" ref="K891:K922" si="121">SUM(F891:J891)</f>
        <v>0</v>
      </c>
      <c r="L891" s="27">
        <f>SUMIFS(실시간콜입력!$K:$K,실시간콜입력!$B:$B,$A891,실시간콜입력!$G:$G,$B891,실시간콜입력!$O:$O,"방문완료")+SUMIFS(실시간콜입력!$L:$L,실시간콜입력!$B:$B,$A891,실시간콜입력!$H:$H,$B891,실시간콜입력!$O:$O,"방문완료")</f>
        <v>0</v>
      </c>
      <c r="M891" s="23" t="str">
        <f t="shared" ref="M891:M922" si="122">IF(AND(ISNUMBER(E891),E891&gt;=8),"인정","")</f>
        <v/>
      </c>
      <c r="N891" s="23"/>
    </row>
    <row r="892" spans="1:14" ht="19.5" hidden="1" customHeight="1" outlineLevel="1">
      <c r="A892" s="30">
        <f>IF(18&lt;=DAY(DATE(YEAR(설정_코스수당!$K$2),MONTH(설정_코스수당!$K$2)+1,0)),DATE(YEAR(설정_코스수당!$K$2),MONTH(설정_코스수당!$K$2),18),"")</f>
        <v>46191</v>
      </c>
      <c r="B892" s="29" t="s">
        <v>48</v>
      </c>
      <c r="C892" s="29"/>
      <c r="D892" s="29"/>
      <c r="E892" s="29" t="str">
        <f t="shared" si="120"/>
        <v/>
      </c>
      <c r="F892" s="29">
        <f>COUNTIFS(실시간콜입력!$B:$B,$A892,실시간콜입력!$E:$E,"A",실시간콜입력!$G:$G,$B892,실시간콜입력!$O:$O,"방문완료")+COUNTIFS(실시간콜입력!$B:$B,$A892,실시간콜입력!$E:$E,"A",실시간콜입력!$H:$H,$B892,실시간콜입력!$O:$O,"방문완료")</f>
        <v>0</v>
      </c>
      <c r="G892" s="29">
        <f>COUNTIFS(실시간콜입력!$B:$B,$A892,실시간콜입력!$E:$E,"B",실시간콜입력!$G:$G,$B892,실시간콜입력!$O:$O,"방문완료")+COUNTIFS(실시간콜입력!$B:$B,$A892,실시간콜입력!$E:$E,"B",실시간콜입력!$H:$H,$B892,실시간콜입력!$O:$O,"방문완료")</f>
        <v>0</v>
      </c>
      <c r="H892" s="29">
        <f>COUNTIFS(실시간콜입력!$B:$B,$A892,실시간콜입력!$E:$E,"C",실시간콜입력!$G:$G,$B892,실시간콜입력!$O:$O,"방문완료")+COUNTIFS(실시간콜입력!$B:$B,$A892,실시간콜입력!$E:$E,"C",실시간콜입력!$H:$H,$B892,실시간콜입력!$O:$O,"방문완료")</f>
        <v>0</v>
      </c>
      <c r="I892" s="29">
        <f>COUNTIFS(실시간콜입력!$B:$B,$A892,실시간콜입력!$E:$E,"D",실시간콜입력!$G:$G,$B892,실시간콜입력!$O:$O,"방문완료")+COUNTIFS(실시간콜입력!$B:$B,$A892,실시간콜입력!$E:$E,"D",실시간콜입력!$H:$H,$B892,실시간콜입력!$O:$O,"방문완료")</f>
        <v>0</v>
      </c>
      <c r="J892" s="29">
        <f>COUNTIFS(실시간콜입력!$B:$B,$A892,실시간콜입력!$E:$E,"E",실시간콜입력!$G:$G,$B892,실시간콜입력!$O:$O,"방문완료")+COUNTIFS(실시간콜입력!$B:$B,$A892,실시간콜입력!$E:$E,"E",실시간콜입력!$H:$H,$B892,실시간콜입력!$O:$O,"방문완료")</f>
        <v>0</v>
      </c>
      <c r="K892" s="29">
        <f t="shared" si="121"/>
        <v>0</v>
      </c>
      <c r="L892" s="33">
        <f>SUMIFS(실시간콜입력!$K:$K,실시간콜입력!$B:$B,$A892,실시간콜입력!$G:$G,$B892,실시간콜입력!$O:$O,"방문완료")+SUMIFS(실시간콜입력!$L:$L,실시간콜입력!$B:$B,$A892,실시간콜입력!$H:$H,$B892,실시간콜입력!$O:$O,"방문완료")</f>
        <v>0</v>
      </c>
      <c r="M892" s="29" t="str">
        <f t="shared" si="122"/>
        <v/>
      </c>
      <c r="N892" s="29"/>
    </row>
    <row r="893" spans="1:14" ht="19.5" hidden="1" customHeight="1" outlineLevel="1">
      <c r="A893" s="24">
        <f>IF(18&lt;=DAY(DATE(YEAR(설정_코스수당!$K$2),MONTH(설정_코스수당!$K$2)+1,0)),DATE(YEAR(설정_코스수당!$K$2),MONTH(설정_코스수당!$K$2),18),"")</f>
        <v>46191</v>
      </c>
      <c r="B893" s="23" t="s">
        <v>165</v>
      </c>
      <c r="C893" s="29"/>
      <c r="D893" s="29"/>
      <c r="E893" s="29" t="str">
        <f t="shared" si="120"/>
        <v/>
      </c>
      <c r="F893" s="29">
        <f>COUNTIFS(실시간콜입력!$B:$B,$A893,실시간콜입력!$E:$E,"A",실시간콜입력!$G:$G,$B893,실시간콜입력!$O:$O,"방문완료")+COUNTIFS(실시간콜입력!$B:$B,$A893,실시간콜입력!$E:$E,"A",실시간콜입력!$H:$H,$B893,실시간콜입력!$O:$O,"방문완료")</f>
        <v>0</v>
      </c>
      <c r="G893" s="29">
        <f>COUNTIFS(실시간콜입력!$B:$B,$A893,실시간콜입력!$E:$E,"B",실시간콜입력!$G:$G,$B893,실시간콜입력!$O:$O,"방문완료")+COUNTIFS(실시간콜입력!$B:$B,$A893,실시간콜입력!$E:$E,"B",실시간콜입력!$H:$H,$B893,실시간콜입력!$O:$O,"방문완료")</f>
        <v>0</v>
      </c>
      <c r="H893" s="29">
        <f>COUNTIFS(실시간콜입력!$B:$B,$A893,실시간콜입력!$E:$E,"C",실시간콜입력!$G:$G,$B893,실시간콜입력!$O:$O,"방문완료")+COUNTIFS(실시간콜입력!$B:$B,$A893,실시간콜입력!$E:$E,"C",실시간콜입력!$H:$H,$B893,실시간콜입력!$O:$O,"방문완료")</f>
        <v>0</v>
      </c>
      <c r="I893" s="29">
        <f>COUNTIFS(실시간콜입력!$B:$B,$A893,실시간콜입력!$E:$E,"D",실시간콜입력!$G:$G,$B893,실시간콜입력!$O:$O,"방문완료")+COUNTIFS(실시간콜입력!$B:$B,$A893,실시간콜입력!$E:$E,"D",실시간콜입력!$H:$H,$B893,실시간콜입력!$O:$O,"방문완료")</f>
        <v>0</v>
      </c>
      <c r="J893" s="29">
        <f>COUNTIFS(실시간콜입력!$B:$B,$A893,실시간콜입력!$E:$E,"E",실시간콜입력!$G:$G,$B893,실시간콜입력!$O:$O,"방문완료")+COUNTIFS(실시간콜입력!$B:$B,$A893,실시간콜입력!$E:$E,"E",실시간콜입력!$H:$H,$B893,실시간콜입력!$O:$O,"방문완료")</f>
        <v>0</v>
      </c>
      <c r="K893" s="29">
        <f t="shared" si="121"/>
        <v>0</v>
      </c>
      <c r="L893" s="27">
        <f>SUMIFS(실시간콜입력!$K:$K,실시간콜입력!$B:$B,$A893,실시간콜입력!$G:$G,$B893,실시간콜입력!$O:$O,"방문완료")+SUMIFS(실시간콜입력!$L:$L,실시간콜입력!$B:$B,$A893,실시간콜입력!$H:$H,$B893,실시간콜입력!$O:$O,"방문완료")</f>
        <v>0</v>
      </c>
      <c r="M893" s="29" t="str">
        <f t="shared" si="122"/>
        <v/>
      </c>
      <c r="N893" s="29"/>
    </row>
    <row r="894" spans="1:14" ht="19.5" hidden="1" customHeight="1" outlineLevel="1">
      <c r="A894" s="30">
        <f>IF(18&lt;=DAY(DATE(YEAR(설정_코스수당!$K$2),MONTH(설정_코스수당!$K$2)+1,0)),DATE(YEAR(설정_코스수당!$K$2),MONTH(설정_코스수당!$K$2),18),"")</f>
        <v>46191</v>
      </c>
      <c r="B894" s="29" t="s">
        <v>166</v>
      </c>
      <c r="C894" s="29"/>
      <c r="D894" s="29"/>
      <c r="E894" s="29" t="str">
        <f t="shared" si="120"/>
        <v/>
      </c>
      <c r="F894" s="29">
        <f>COUNTIFS(실시간콜입력!$B:$B,$A894,실시간콜입력!$E:$E,"A",실시간콜입력!$G:$G,$B894,실시간콜입력!$O:$O,"방문완료")+COUNTIFS(실시간콜입력!$B:$B,$A894,실시간콜입력!$E:$E,"A",실시간콜입력!$H:$H,$B894,실시간콜입력!$O:$O,"방문완료")</f>
        <v>0</v>
      </c>
      <c r="G894" s="29">
        <f>COUNTIFS(실시간콜입력!$B:$B,$A894,실시간콜입력!$E:$E,"B",실시간콜입력!$G:$G,$B894,실시간콜입력!$O:$O,"방문완료")+COUNTIFS(실시간콜입력!$B:$B,$A894,실시간콜입력!$E:$E,"B",실시간콜입력!$H:$H,$B894,실시간콜입력!$O:$O,"방문완료")</f>
        <v>0</v>
      </c>
      <c r="H894" s="29">
        <f>COUNTIFS(실시간콜입력!$B:$B,$A894,실시간콜입력!$E:$E,"C",실시간콜입력!$G:$G,$B894,실시간콜입력!$O:$O,"방문완료")+COUNTIFS(실시간콜입력!$B:$B,$A894,실시간콜입력!$E:$E,"C",실시간콜입력!$H:$H,$B894,실시간콜입력!$O:$O,"방문완료")</f>
        <v>0</v>
      </c>
      <c r="I894" s="29">
        <f>COUNTIFS(실시간콜입력!$B:$B,$A894,실시간콜입력!$E:$E,"D",실시간콜입력!$G:$G,$B894,실시간콜입력!$O:$O,"방문완료")+COUNTIFS(실시간콜입력!$B:$B,$A894,실시간콜입력!$E:$E,"D",실시간콜입력!$H:$H,$B894,실시간콜입력!$O:$O,"방문완료")</f>
        <v>0</v>
      </c>
      <c r="J894" s="29">
        <f>COUNTIFS(실시간콜입력!$B:$B,$A894,실시간콜입력!$E:$E,"E",실시간콜입력!$G:$G,$B894,실시간콜입력!$O:$O,"방문완료")+COUNTIFS(실시간콜입력!$B:$B,$A894,실시간콜입력!$E:$E,"E",실시간콜입력!$H:$H,$B894,실시간콜입력!$O:$O,"방문완료")</f>
        <v>0</v>
      </c>
      <c r="K894" s="29">
        <f t="shared" si="121"/>
        <v>0</v>
      </c>
      <c r="L894" s="33">
        <f>SUMIFS(실시간콜입력!$K:$K,실시간콜입력!$B:$B,$A894,실시간콜입력!$G:$G,$B894,실시간콜입력!$O:$O,"방문완료")+SUMIFS(실시간콜입력!$L:$L,실시간콜입력!$B:$B,$A894,실시간콜입력!$H:$H,$B894,실시간콜입력!$O:$O,"방문완료")</f>
        <v>0</v>
      </c>
      <c r="M894" s="29" t="str">
        <f t="shared" si="122"/>
        <v/>
      </c>
      <c r="N894" s="29"/>
    </row>
    <row r="895" spans="1:14" ht="19.5" hidden="1" customHeight="1" outlineLevel="1">
      <c r="A895" s="24">
        <f>IF(18&lt;=DAY(DATE(YEAR(설정_코스수당!$K$2),MONTH(설정_코스수당!$K$2)+1,0)),DATE(YEAR(설정_코스수당!$K$2),MONTH(설정_코스수당!$K$2),18),"")</f>
        <v>46191</v>
      </c>
      <c r="B895" s="23" t="s">
        <v>167</v>
      </c>
      <c r="C895" s="29"/>
      <c r="D895" s="29"/>
      <c r="E895" s="29" t="str">
        <f t="shared" si="120"/>
        <v/>
      </c>
      <c r="F895" s="29">
        <f>COUNTIFS(실시간콜입력!$B:$B,$A895,실시간콜입력!$E:$E,"A",실시간콜입력!$G:$G,$B895,실시간콜입력!$O:$O,"방문완료")+COUNTIFS(실시간콜입력!$B:$B,$A895,실시간콜입력!$E:$E,"A",실시간콜입력!$H:$H,$B895,실시간콜입력!$O:$O,"방문완료")</f>
        <v>0</v>
      </c>
      <c r="G895" s="29">
        <f>COUNTIFS(실시간콜입력!$B:$B,$A895,실시간콜입력!$E:$E,"B",실시간콜입력!$G:$G,$B895,실시간콜입력!$O:$O,"방문완료")+COUNTIFS(실시간콜입력!$B:$B,$A895,실시간콜입력!$E:$E,"B",실시간콜입력!$H:$H,$B895,실시간콜입력!$O:$O,"방문완료")</f>
        <v>0</v>
      </c>
      <c r="H895" s="29">
        <f>COUNTIFS(실시간콜입력!$B:$B,$A895,실시간콜입력!$E:$E,"C",실시간콜입력!$G:$G,$B895,실시간콜입력!$O:$O,"방문완료")+COUNTIFS(실시간콜입력!$B:$B,$A895,실시간콜입력!$E:$E,"C",실시간콜입력!$H:$H,$B895,실시간콜입력!$O:$O,"방문완료")</f>
        <v>0</v>
      </c>
      <c r="I895" s="29">
        <f>COUNTIFS(실시간콜입력!$B:$B,$A895,실시간콜입력!$E:$E,"D",실시간콜입력!$G:$G,$B895,실시간콜입력!$O:$O,"방문완료")+COUNTIFS(실시간콜입력!$B:$B,$A895,실시간콜입력!$E:$E,"D",실시간콜입력!$H:$H,$B895,실시간콜입력!$O:$O,"방문완료")</f>
        <v>0</v>
      </c>
      <c r="J895" s="29">
        <f>COUNTIFS(실시간콜입력!$B:$B,$A895,실시간콜입력!$E:$E,"E",실시간콜입력!$G:$G,$B895,실시간콜입력!$O:$O,"방문완료")+COUNTIFS(실시간콜입력!$B:$B,$A895,실시간콜입력!$E:$E,"E",실시간콜입력!$H:$H,$B895,실시간콜입력!$O:$O,"방문완료")</f>
        <v>0</v>
      </c>
      <c r="K895" s="29">
        <f t="shared" si="121"/>
        <v>0</v>
      </c>
      <c r="L895" s="27">
        <f>SUMIFS(실시간콜입력!$K:$K,실시간콜입력!$B:$B,$A895,실시간콜입력!$G:$G,$B895,실시간콜입력!$O:$O,"방문완료")+SUMIFS(실시간콜입력!$L:$L,실시간콜입력!$B:$B,$A895,실시간콜입력!$H:$H,$B895,실시간콜입력!$O:$O,"방문완료")</f>
        <v>0</v>
      </c>
      <c r="M895" s="29" t="str">
        <f t="shared" si="122"/>
        <v/>
      </c>
      <c r="N895" s="29"/>
    </row>
    <row r="896" spans="1:14" ht="19.5" hidden="1" customHeight="1" outlineLevel="1">
      <c r="A896" s="30">
        <f>IF(18&lt;=DAY(DATE(YEAR(설정_코스수당!$K$2),MONTH(설정_코스수당!$K$2)+1,0)),DATE(YEAR(설정_코스수당!$K$2),MONTH(설정_코스수당!$K$2),18),"")</f>
        <v>46191</v>
      </c>
      <c r="B896" s="29" t="s">
        <v>168</v>
      </c>
      <c r="C896" s="29"/>
      <c r="D896" s="29"/>
      <c r="E896" s="29" t="str">
        <f t="shared" si="120"/>
        <v/>
      </c>
      <c r="F896" s="29">
        <f>COUNTIFS(실시간콜입력!$B:$B,$A896,실시간콜입력!$E:$E,"A",실시간콜입력!$G:$G,$B896,실시간콜입력!$O:$O,"방문완료")+COUNTIFS(실시간콜입력!$B:$B,$A896,실시간콜입력!$E:$E,"A",실시간콜입력!$H:$H,$B896,실시간콜입력!$O:$O,"방문완료")</f>
        <v>0</v>
      </c>
      <c r="G896" s="29">
        <f>COUNTIFS(실시간콜입력!$B:$B,$A896,실시간콜입력!$E:$E,"B",실시간콜입력!$G:$G,$B896,실시간콜입력!$O:$O,"방문완료")+COUNTIFS(실시간콜입력!$B:$B,$A896,실시간콜입력!$E:$E,"B",실시간콜입력!$H:$H,$B896,실시간콜입력!$O:$O,"방문완료")</f>
        <v>0</v>
      </c>
      <c r="H896" s="29">
        <f>COUNTIFS(실시간콜입력!$B:$B,$A896,실시간콜입력!$E:$E,"C",실시간콜입력!$G:$G,$B896,실시간콜입력!$O:$O,"방문완료")+COUNTIFS(실시간콜입력!$B:$B,$A896,실시간콜입력!$E:$E,"C",실시간콜입력!$H:$H,$B896,실시간콜입력!$O:$O,"방문완료")</f>
        <v>0</v>
      </c>
      <c r="I896" s="29">
        <f>COUNTIFS(실시간콜입력!$B:$B,$A896,실시간콜입력!$E:$E,"D",실시간콜입력!$G:$G,$B896,실시간콜입력!$O:$O,"방문완료")+COUNTIFS(실시간콜입력!$B:$B,$A896,실시간콜입력!$E:$E,"D",실시간콜입력!$H:$H,$B896,실시간콜입력!$O:$O,"방문완료")</f>
        <v>0</v>
      </c>
      <c r="J896" s="29">
        <f>COUNTIFS(실시간콜입력!$B:$B,$A896,실시간콜입력!$E:$E,"E",실시간콜입력!$G:$G,$B896,실시간콜입력!$O:$O,"방문완료")+COUNTIFS(실시간콜입력!$B:$B,$A896,실시간콜입력!$E:$E,"E",실시간콜입력!$H:$H,$B896,실시간콜입력!$O:$O,"방문완료")</f>
        <v>0</v>
      </c>
      <c r="K896" s="29">
        <f t="shared" si="121"/>
        <v>0</v>
      </c>
      <c r="L896" s="33">
        <f>SUMIFS(실시간콜입력!$K:$K,실시간콜입력!$B:$B,$A896,실시간콜입력!$G:$G,$B896,실시간콜입력!$O:$O,"방문완료")+SUMIFS(실시간콜입력!$L:$L,실시간콜입력!$B:$B,$A896,실시간콜입력!$H:$H,$B896,실시간콜입력!$O:$O,"방문완료")</f>
        <v>0</v>
      </c>
      <c r="M896" s="29" t="str">
        <f t="shared" si="122"/>
        <v/>
      </c>
      <c r="N896" s="29"/>
    </row>
    <row r="897" spans="1:14" ht="19.5" hidden="1" customHeight="1" outlineLevel="1">
      <c r="A897" s="24">
        <f>IF(18&lt;=DAY(DATE(YEAR(설정_코스수당!$K$2),MONTH(설정_코스수당!$K$2)+1,0)),DATE(YEAR(설정_코스수당!$K$2),MONTH(설정_코스수당!$K$2),18),"")</f>
        <v>46191</v>
      </c>
      <c r="B897" s="23" t="s">
        <v>169</v>
      </c>
      <c r="C897" s="29"/>
      <c r="D897" s="29"/>
      <c r="E897" s="29" t="str">
        <f t="shared" si="120"/>
        <v/>
      </c>
      <c r="F897" s="29">
        <f>COUNTIFS(실시간콜입력!$B:$B,$A897,실시간콜입력!$E:$E,"A",실시간콜입력!$G:$G,$B897,실시간콜입력!$O:$O,"방문완료")+COUNTIFS(실시간콜입력!$B:$B,$A897,실시간콜입력!$E:$E,"A",실시간콜입력!$H:$H,$B897,실시간콜입력!$O:$O,"방문완료")</f>
        <v>0</v>
      </c>
      <c r="G897" s="29">
        <f>COUNTIFS(실시간콜입력!$B:$B,$A897,실시간콜입력!$E:$E,"B",실시간콜입력!$G:$G,$B897,실시간콜입력!$O:$O,"방문완료")+COUNTIFS(실시간콜입력!$B:$B,$A897,실시간콜입력!$E:$E,"B",실시간콜입력!$H:$H,$B897,실시간콜입력!$O:$O,"방문완료")</f>
        <v>0</v>
      </c>
      <c r="H897" s="29">
        <f>COUNTIFS(실시간콜입력!$B:$B,$A897,실시간콜입력!$E:$E,"C",실시간콜입력!$G:$G,$B897,실시간콜입력!$O:$O,"방문완료")+COUNTIFS(실시간콜입력!$B:$B,$A897,실시간콜입력!$E:$E,"C",실시간콜입력!$H:$H,$B897,실시간콜입력!$O:$O,"방문완료")</f>
        <v>0</v>
      </c>
      <c r="I897" s="29">
        <f>COUNTIFS(실시간콜입력!$B:$B,$A897,실시간콜입력!$E:$E,"D",실시간콜입력!$G:$G,$B897,실시간콜입력!$O:$O,"방문완료")+COUNTIFS(실시간콜입력!$B:$B,$A897,실시간콜입력!$E:$E,"D",실시간콜입력!$H:$H,$B897,실시간콜입력!$O:$O,"방문완료")</f>
        <v>0</v>
      </c>
      <c r="J897" s="29">
        <f>COUNTIFS(실시간콜입력!$B:$B,$A897,실시간콜입력!$E:$E,"E",실시간콜입력!$G:$G,$B897,실시간콜입력!$O:$O,"방문완료")+COUNTIFS(실시간콜입력!$B:$B,$A897,실시간콜입력!$E:$E,"E",실시간콜입력!$H:$H,$B897,실시간콜입력!$O:$O,"방문완료")</f>
        <v>0</v>
      </c>
      <c r="K897" s="29">
        <f t="shared" si="121"/>
        <v>0</v>
      </c>
      <c r="L897" s="27">
        <f>SUMIFS(실시간콜입력!$K:$K,실시간콜입력!$B:$B,$A897,실시간콜입력!$G:$G,$B897,실시간콜입력!$O:$O,"방문완료")+SUMIFS(실시간콜입력!$L:$L,실시간콜입력!$B:$B,$A897,실시간콜입력!$H:$H,$B897,실시간콜입력!$O:$O,"방문완료")</f>
        <v>0</v>
      </c>
      <c r="M897" s="29" t="str">
        <f t="shared" si="122"/>
        <v/>
      </c>
      <c r="N897" s="29"/>
    </row>
    <row r="898" spans="1:14" ht="19.5" hidden="1" customHeight="1" outlineLevel="1">
      <c r="A898" s="30">
        <f>IF(18&lt;=DAY(DATE(YEAR(설정_코스수당!$K$2),MONTH(설정_코스수당!$K$2)+1,0)),DATE(YEAR(설정_코스수당!$K$2),MONTH(설정_코스수당!$K$2),18),"")</f>
        <v>46191</v>
      </c>
      <c r="B898" s="29" t="s">
        <v>170</v>
      </c>
      <c r="C898" s="29"/>
      <c r="D898" s="29"/>
      <c r="E898" s="29" t="str">
        <f t="shared" si="120"/>
        <v/>
      </c>
      <c r="F898" s="29">
        <f>COUNTIFS(실시간콜입력!$B:$B,$A898,실시간콜입력!$E:$E,"A",실시간콜입력!$G:$G,$B898,실시간콜입력!$O:$O,"방문완료")+COUNTIFS(실시간콜입력!$B:$B,$A898,실시간콜입력!$E:$E,"A",실시간콜입력!$H:$H,$B898,실시간콜입력!$O:$O,"방문완료")</f>
        <v>0</v>
      </c>
      <c r="G898" s="29">
        <f>COUNTIFS(실시간콜입력!$B:$B,$A898,실시간콜입력!$E:$E,"B",실시간콜입력!$G:$G,$B898,실시간콜입력!$O:$O,"방문완료")+COUNTIFS(실시간콜입력!$B:$B,$A898,실시간콜입력!$E:$E,"B",실시간콜입력!$H:$H,$B898,실시간콜입력!$O:$O,"방문완료")</f>
        <v>0</v>
      </c>
      <c r="H898" s="29">
        <f>COUNTIFS(실시간콜입력!$B:$B,$A898,실시간콜입력!$E:$E,"C",실시간콜입력!$G:$G,$B898,실시간콜입력!$O:$O,"방문완료")+COUNTIFS(실시간콜입력!$B:$B,$A898,실시간콜입력!$E:$E,"C",실시간콜입력!$H:$H,$B898,실시간콜입력!$O:$O,"방문완료")</f>
        <v>0</v>
      </c>
      <c r="I898" s="29">
        <f>COUNTIFS(실시간콜입력!$B:$B,$A898,실시간콜입력!$E:$E,"D",실시간콜입력!$G:$G,$B898,실시간콜입력!$O:$O,"방문완료")+COUNTIFS(실시간콜입력!$B:$B,$A898,실시간콜입력!$E:$E,"D",실시간콜입력!$H:$H,$B898,실시간콜입력!$O:$O,"방문완료")</f>
        <v>0</v>
      </c>
      <c r="J898" s="29">
        <f>COUNTIFS(실시간콜입력!$B:$B,$A898,실시간콜입력!$E:$E,"E",실시간콜입력!$G:$G,$B898,실시간콜입력!$O:$O,"방문완료")+COUNTIFS(실시간콜입력!$B:$B,$A898,실시간콜입력!$E:$E,"E",실시간콜입력!$H:$H,$B898,실시간콜입력!$O:$O,"방문완료")</f>
        <v>0</v>
      </c>
      <c r="K898" s="29">
        <f t="shared" si="121"/>
        <v>0</v>
      </c>
      <c r="L898" s="33">
        <f>SUMIFS(실시간콜입력!$K:$K,실시간콜입력!$B:$B,$A898,실시간콜입력!$G:$G,$B898,실시간콜입력!$O:$O,"방문완료")+SUMIFS(실시간콜입력!$L:$L,실시간콜입력!$B:$B,$A898,실시간콜입력!$H:$H,$B898,실시간콜입력!$O:$O,"방문완료")</f>
        <v>0</v>
      </c>
      <c r="M898" s="29" t="str">
        <f t="shared" si="122"/>
        <v/>
      </c>
      <c r="N898" s="29"/>
    </row>
    <row r="899" spans="1:14" ht="19.5" hidden="1" customHeight="1" outlineLevel="1">
      <c r="A899" s="24">
        <f>IF(18&lt;=DAY(DATE(YEAR(설정_코스수당!$K$2),MONTH(설정_코스수당!$K$2)+1,0)),DATE(YEAR(설정_코스수당!$K$2),MONTH(설정_코스수당!$K$2),18),"")</f>
        <v>46191</v>
      </c>
      <c r="B899" s="23" t="s">
        <v>171</v>
      </c>
      <c r="C899" s="29"/>
      <c r="D899" s="29"/>
      <c r="E899" s="29" t="str">
        <f t="shared" si="120"/>
        <v/>
      </c>
      <c r="F899" s="29">
        <f>COUNTIFS(실시간콜입력!$B:$B,$A899,실시간콜입력!$E:$E,"A",실시간콜입력!$G:$G,$B899,실시간콜입력!$O:$O,"방문완료")+COUNTIFS(실시간콜입력!$B:$B,$A899,실시간콜입력!$E:$E,"A",실시간콜입력!$H:$H,$B899,실시간콜입력!$O:$O,"방문완료")</f>
        <v>0</v>
      </c>
      <c r="G899" s="29">
        <f>COUNTIFS(실시간콜입력!$B:$B,$A899,실시간콜입력!$E:$E,"B",실시간콜입력!$G:$G,$B899,실시간콜입력!$O:$O,"방문완료")+COUNTIFS(실시간콜입력!$B:$B,$A899,실시간콜입력!$E:$E,"B",실시간콜입력!$H:$H,$B899,실시간콜입력!$O:$O,"방문완료")</f>
        <v>0</v>
      </c>
      <c r="H899" s="29">
        <f>COUNTIFS(실시간콜입력!$B:$B,$A899,실시간콜입력!$E:$E,"C",실시간콜입력!$G:$G,$B899,실시간콜입력!$O:$O,"방문완료")+COUNTIFS(실시간콜입력!$B:$B,$A899,실시간콜입력!$E:$E,"C",실시간콜입력!$H:$H,$B899,실시간콜입력!$O:$O,"방문완료")</f>
        <v>0</v>
      </c>
      <c r="I899" s="29">
        <f>COUNTIFS(실시간콜입력!$B:$B,$A899,실시간콜입력!$E:$E,"D",실시간콜입력!$G:$G,$B899,실시간콜입력!$O:$O,"방문완료")+COUNTIFS(실시간콜입력!$B:$B,$A899,실시간콜입력!$E:$E,"D",실시간콜입력!$H:$H,$B899,실시간콜입력!$O:$O,"방문완료")</f>
        <v>0</v>
      </c>
      <c r="J899" s="29">
        <f>COUNTIFS(실시간콜입력!$B:$B,$A899,실시간콜입력!$E:$E,"E",실시간콜입력!$G:$G,$B899,실시간콜입력!$O:$O,"방문완료")+COUNTIFS(실시간콜입력!$B:$B,$A899,실시간콜입력!$E:$E,"E",실시간콜입력!$H:$H,$B899,실시간콜입력!$O:$O,"방문완료")</f>
        <v>0</v>
      </c>
      <c r="K899" s="29">
        <f t="shared" si="121"/>
        <v>0</v>
      </c>
      <c r="L899" s="27">
        <f>SUMIFS(실시간콜입력!$K:$K,실시간콜입력!$B:$B,$A899,실시간콜입력!$G:$G,$B899,실시간콜입력!$O:$O,"방문완료")+SUMIFS(실시간콜입력!$L:$L,실시간콜입력!$B:$B,$A899,실시간콜입력!$H:$H,$B899,실시간콜입력!$O:$O,"방문완료")</f>
        <v>0</v>
      </c>
      <c r="M899" s="29" t="str">
        <f t="shared" si="122"/>
        <v/>
      </c>
      <c r="N899" s="29"/>
    </row>
    <row r="900" spans="1:14" ht="19.5" hidden="1" customHeight="1" outlineLevel="1">
      <c r="A900" s="30">
        <f>IF(18&lt;=DAY(DATE(YEAR(설정_코스수당!$K$2),MONTH(설정_코스수당!$K$2)+1,0)),DATE(YEAR(설정_코스수당!$K$2),MONTH(설정_코스수당!$K$2),18),"")</f>
        <v>46191</v>
      </c>
      <c r="B900" s="29" t="s">
        <v>172</v>
      </c>
      <c r="C900" s="29"/>
      <c r="D900" s="29"/>
      <c r="E900" s="29" t="str">
        <f t="shared" si="120"/>
        <v/>
      </c>
      <c r="F900" s="29">
        <f>COUNTIFS(실시간콜입력!$B:$B,$A900,실시간콜입력!$E:$E,"A",실시간콜입력!$G:$G,$B900,실시간콜입력!$O:$O,"방문완료")+COUNTIFS(실시간콜입력!$B:$B,$A900,실시간콜입력!$E:$E,"A",실시간콜입력!$H:$H,$B900,실시간콜입력!$O:$O,"방문완료")</f>
        <v>0</v>
      </c>
      <c r="G900" s="29">
        <f>COUNTIFS(실시간콜입력!$B:$B,$A900,실시간콜입력!$E:$E,"B",실시간콜입력!$G:$G,$B900,실시간콜입력!$O:$O,"방문완료")+COUNTIFS(실시간콜입력!$B:$B,$A900,실시간콜입력!$E:$E,"B",실시간콜입력!$H:$H,$B900,실시간콜입력!$O:$O,"방문완료")</f>
        <v>0</v>
      </c>
      <c r="H900" s="29">
        <f>COUNTIFS(실시간콜입력!$B:$B,$A900,실시간콜입력!$E:$E,"C",실시간콜입력!$G:$G,$B900,실시간콜입력!$O:$O,"방문완료")+COUNTIFS(실시간콜입력!$B:$B,$A900,실시간콜입력!$E:$E,"C",실시간콜입력!$H:$H,$B900,실시간콜입력!$O:$O,"방문완료")</f>
        <v>0</v>
      </c>
      <c r="I900" s="29">
        <f>COUNTIFS(실시간콜입력!$B:$B,$A900,실시간콜입력!$E:$E,"D",실시간콜입력!$G:$G,$B900,실시간콜입력!$O:$O,"방문완료")+COUNTIFS(실시간콜입력!$B:$B,$A900,실시간콜입력!$E:$E,"D",실시간콜입력!$H:$H,$B900,실시간콜입력!$O:$O,"방문완료")</f>
        <v>0</v>
      </c>
      <c r="J900" s="29">
        <f>COUNTIFS(실시간콜입력!$B:$B,$A900,실시간콜입력!$E:$E,"E",실시간콜입력!$G:$G,$B900,실시간콜입력!$O:$O,"방문완료")+COUNTIFS(실시간콜입력!$B:$B,$A900,실시간콜입력!$E:$E,"E",실시간콜입력!$H:$H,$B900,실시간콜입력!$O:$O,"방문완료")</f>
        <v>0</v>
      </c>
      <c r="K900" s="29">
        <f t="shared" si="121"/>
        <v>0</v>
      </c>
      <c r="L900" s="33">
        <f>SUMIFS(실시간콜입력!$K:$K,실시간콜입력!$B:$B,$A900,실시간콜입력!$G:$G,$B900,실시간콜입력!$O:$O,"방문완료")+SUMIFS(실시간콜입력!$L:$L,실시간콜입력!$B:$B,$A900,실시간콜입력!$H:$H,$B900,실시간콜입력!$O:$O,"방문완료")</f>
        <v>0</v>
      </c>
      <c r="M900" s="29" t="str">
        <f t="shared" si="122"/>
        <v/>
      </c>
      <c r="N900" s="29"/>
    </row>
    <row r="901" spans="1:14" ht="19.5" hidden="1" customHeight="1" outlineLevel="1">
      <c r="A901" s="24">
        <f>IF(18&lt;=DAY(DATE(YEAR(설정_코스수당!$K$2),MONTH(설정_코스수당!$K$2)+1,0)),DATE(YEAR(설정_코스수당!$K$2),MONTH(설정_코스수당!$K$2),18),"")</f>
        <v>46191</v>
      </c>
      <c r="B901" s="23" t="s">
        <v>173</v>
      </c>
      <c r="C901" s="29"/>
      <c r="D901" s="29"/>
      <c r="E901" s="29" t="str">
        <f t="shared" si="120"/>
        <v/>
      </c>
      <c r="F901" s="29">
        <f>COUNTIFS(실시간콜입력!$B:$B,$A901,실시간콜입력!$E:$E,"A",실시간콜입력!$G:$G,$B901,실시간콜입력!$O:$O,"방문완료")+COUNTIFS(실시간콜입력!$B:$B,$A901,실시간콜입력!$E:$E,"A",실시간콜입력!$H:$H,$B901,실시간콜입력!$O:$O,"방문완료")</f>
        <v>0</v>
      </c>
      <c r="G901" s="29">
        <f>COUNTIFS(실시간콜입력!$B:$B,$A901,실시간콜입력!$E:$E,"B",실시간콜입력!$G:$G,$B901,실시간콜입력!$O:$O,"방문완료")+COUNTIFS(실시간콜입력!$B:$B,$A901,실시간콜입력!$E:$E,"B",실시간콜입력!$H:$H,$B901,실시간콜입력!$O:$O,"방문완료")</f>
        <v>0</v>
      </c>
      <c r="H901" s="29">
        <f>COUNTIFS(실시간콜입력!$B:$B,$A901,실시간콜입력!$E:$E,"C",실시간콜입력!$G:$G,$B901,실시간콜입력!$O:$O,"방문완료")+COUNTIFS(실시간콜입력!$B:$B,$A901,실시간콜입력!$E:$E,"C",실시간콜입력!$H:$H,$B901,실시간콜입력!$O:$O,"방문완료")</f>
        <v>0</v>
      </c>
      <c r="I901" s="29">
        <f>COUNTIFS(실시간콜입력!$B:$B,$A901,실시간콜입력!$E:$E,"D",실시간콜입력!$G:$G,$B901,실시간콜입력!$O:$O,"방문완료")+COUNTIFS(실시간콜입력!$B:$B,$A901,실시간콜입력!$E:$E,"D",실시간콜입력!$H:$H,$B901,실시간콜입력!$O:$O,"방문완료")</f>
        <v>0</v>
      </c>
      <c r="J901" s="29">
        <f>COUNTIFS(실시간콜입력!$B:$B,$A901,실시간콜입력!$E:$E,"E",실시간콜입력!$G:$G,$B901,실시간콜입력!$O:$O,"방문완료")+COUNTIFS(실시간콜입력!$B:$B,$A901,실시간콜입력!$E:$E,"E",실시간콜입력!$H:$H,$B901,실시간콜입력!$O:$O,"방문완료")</f>
        <v>0</v>
      </c>
      <c r="K901" s="29">
        <f t="shared" si="121"/>
        <v>0</v>
      </c>
      <c r="L901" s="27">
        <f>SUMIFS(실시간콜입력!$K:$K,실시간콜입력!$B:$B,$A901,실시간콜입력!$G:$G,$B901,실시간콜입력!$O:$O,"방문완료")+SUMIFS(실시간콜입력!$L:$L,실시간콜입력!$B:$B,$A901,실시간콜입력!$H:$H,$B901,실시간콜입력!$O:$O,"방문완료")</f>
        <v>0</v>
      </c>
      <c r="M901" s="29" t="str">
        <f t="shared" si="122"/>
        <v/>
      </c>
      <c r="N901" s="29"/>
    </row>
    <row r="902" spans="1:14" ht="19.5" hidden="1" customHeight="1" outlineLevel="1">
      <c r="A902" s="30">
        <f>IF(18&lt;=DAY(DATE(YEAR(설정_코스수당!$K$2),MONTH(설정_코스수당!$K$2)+1,0)),DATE(YEAR(설정_코스수당!$K$2),MONTH(설정_코스수당!$K$2),18),"")</f>
        <v>46191</v>
      </c>
      <c r="B902" s="29" t="s">
        <v>174</v>
      </c>
      <c r="C902" s="29"/>
      <c r="D902" s="29"/>
      <c r="E902" s="29" t="str">
        <f t="shared" si="120"/>
        <v/>
      </c>
      <c r="F902" s="29">
        <f>COUNTIFS(실시간콜입력!$B:$B,$A902,실시간콜입력!$E:$E,"A",실시간콜입력!$G:$G,$B902,실시간콜입력!$O:$O,"방문완료")+COUNTIFS(실시간콜입력!$B:$B,$A902,실시간콜입력!$E:$E,"A",실시간콜입력!$H:$H,$B902,실시간콜입력!$O:$O,"방문완료")</f>
        <v>0</v>
      </c>
      <c r="G902" s="29">
        <f>COUNTIFS(실시간콜입력!$B:$B,$A902,실시간콜입력!$E:$E,"B",실시간콜입력!$G:$G,$B902,실시간콜입력!$O:$O,"방문완료")+COUNTIFS(실시간콜입력!$B:$B,$A902,실시간콜입력!$E:$E,"B",실시간콜입력!$H:$H,$B902,실시간콜입력!$O:$O,"방문완료")</f>
        <v>0</v>
      </c>
      <c r="H902" s="29">
        <f>COUNTIFS(실시간콜입력!$B:$B,$A902,실시간콜입력!$E:$E,"C",실시간콜입력!$G:$G,$B902,실시간콜입력!$O:$O,"방문완료")+COUNTIFS(실시간콜입력!$B:$B,$A902,실시간콜입력!$E:$E,"C",실시간콜입력!$H:$H,$B902,실시간콜입력!$O:$O,"방문완료")</f>
        <v>0</v>
      </c>
      <c r="I902" s="29">
        <f>COUNTIFS(실시간콜입력!$B:$B,$A902,실시간콜입력!$E:$E,"D",실시간콜입력!$G:$G,$B902,실시간콜입력!$O:$O,"방문완료")+COUNTIFS(실시간콜입력!$B:$B,$A902,실시간콜입력!$E:$E,"D",실시간콜입력!$H:$H,$B902,실시간콜입력!$O:$O,"방문완료")</f>
        <v>0</v>
      </c>
      <c r="J902" s="29">
        <f>COUNTIFS(실시간콜입력!$B:$B,$A902,실시간콜입력!$E:$E,"E",실시간콜입력!$G:$G,$B902,실시간콜입력!$O:$O,"방문완료")+COUNTIFS(실시간콜입력!$B:$B,$A902,실시간콜입력!$E:$E,"E",실시간콜입력!$H:$H,$B902,실시간콜입력!$O:$O,"방문완료")</f>
        <v>0</v>
      </c>
      <c r="K902" s="29">
        <f t="shared" si="121"/>
        <v>0</v>
      </c>
      <c r="L902" s="33">
        <f>SUMIFS(실시간콜입력!$K:$K,실시간콜입력!$B:$B,$A902,실시간콜입력!$G:$G,$B902,실시간콜입력!$O:$O,"방문완료")+SUMIFS(실시간콜입력!$L:$L,실시간콜입력!$B:$B,$A902,실시간콜입력!$H:$H,$B902,실시간콜입력!$O:$O,"방문완료")</f>
        <v>0</v>
      </c>
      <c r="M902" s="29" t="str">
        <f t="shared" si="122"/>
        <v/>
      </c>
      <c r="N902" s="29"/>
    </row>
    <row r="903" spans="1:14" ht="19.5" hidden="1" customHeight="1" outlineLevel="1">
      <c r="A903" s="24">
        <f>IF(18&lt;=DAY(DATE(YEAR(설정_코스수당!$K$2),MONTH(설정_코스수당!$K$2)+1,0)),DATE(YEAR(설정_코스수당!$K$2),MONTH(설정_코스수당!$K$2),18),"")</f>
        <v>46191</v>
      </c>
      <c r="B903" s="23" t="s">
        <v>175</v>
      </c>
      <c r="C903" s="29"/>
      <c r="D903" s="29"/>
      <c r="E903" s="29" t="str">
        <f t="shared" si="120"/>
        <v/>
      </c>
      <c r="F903" s="29">
        <f>COUNTIFS(실시간콜입력!$B:$B,$A903,실시간콜입력!$E:$E,"A",실시간콜입력!$G:$G,$B903,실시간콜입력!$O:$O,"방문완료")+COUNTIFS(실시간콜입력!$B:$B,$A903,실시간콜입력!$E:$E,"A",실시간콜입력!$H:$H,$B903,실시간콜입력!$O:$O,"방문완료")</f>
        <v>0</v>
      </c>
      <c r="G903" s="29">
        <f>COUNTIFS(실시간콜입력!$B:$B,$A903,실시간콜입력!$E:$E,"B",실시간콜입력!$G:$G,$B903,실시간콜입력!$O:$O,"방문완료")+COUNTIFS(실시간콜입력!$B:$B,$A903,실시간콜입력!$E:$E,"B",실시간콜입력!$H:$H,$B903,실시간콜입력!$O:$O,"방문완료")</f>
        <v>0</v>
      </c>
      <c r="H903" s="29">
        <f>COUNTIFS(실시간콜입력!$B:$B,$A903,실시간콜입력!$E:$E,"C",실시간콜입력!$G:$G,$B903,실시간콜입력!$O:$O,"방문완료")+COUNTIFS(실시간콜입력!$B:$B,$A903,실시간콜입력!$E:$E,"C",실시간콜입력!$H:$H,$B903,실시간콜입력!$O:$O,"방문완료")</f>
        <v>0</v>
      </c>
      <c r="I903" s="29">
        <f>COUNTIFS(실시간콜입력!$B:$B,$A903,실시간콜입력!$E:$E,"D",실시간콜입력!$G:$G,$B903,실시간콜입력!$O:$O,"방문완료")+COUNTIFS(실시간콜입력!$B:$B,$A903,실시간콜입력!$E:$E,"D",실시간콜입력!$H:$H,$B903,실시간콜입력!$O:$O,"방문완료")</f>
        <v>0</v>
      </c>
      <c r="J903" s="29">
        <f>COUNTIFS(실시간콜입력!$B:$B,$A903,실시간콜입력!$E:$E,"E",실시간콜입력!$G:$G,$B903,실시간콜입력!$O:$O,"방문완료")+COUNTIFS(실시간콜입력!$B:$B,$A903,실시간콜입력!$E:$E,"E",실시간콜입력!$H:$H,$B903,실시간콜입력!$O:$O,"방문완료")</f>
        <v>0</v>
      </c>
      <c r="K903" s="29">
        <f t="shared" si="121"/>
        <v>0</v>
      </c>
      <c r="L903" s="27">
        <f>SUMIFS(실시간콜입력!$K:$K,실시간콜입력!$B:$B,$A903,실시간콜입력!$G:$G,$B903,실시간콜입력!$O:$O,"방문완료")+SUMIFS(실시간콜입력!$L:$L,실시간콜입력!$B:$B,$A903,실시간콜입력!$H:$H,$B903,실시간콜입력!$O:$O,"방문완료")</f>
        <v>0</v>
      </c>
      <c r="M903" s="29" t="str">
        <f t="shared" si="122"/>
        <v/>
      </c>
      <c r="N903" s="29"/>
    </row>
    <row r="904" spans="1:14" ht="19.5" hidden="1" customHeight="1" outlineLevel="1">
      <c r="A904" s="30">
        <f>IF(18&lt;=DAY(DATE(YEAR(설정_코스수당!$K$2),MONTH(설정_코스수당!$K$2)+1,0)),DATE(YEAR(설정_코스수당!$K$2),MONTH(설정_코스수당!$K$2),18),"")</f>
        <v>46191</v>
      </c>
      <c r="B904" s="29" t="s">
        <v>176</v>
      </c>
      <c r="C904" s="29"/>
      <c r="D904" s="29"/>
      <c r="E904" s="29" t="str">
        <f t="shared" si="120"/>
        <v/>
      </c>
      <c r="F904" s="29">
        <f>COUNTIFS(실시간콜입력!$B:$B,$A904,실시간콜입력!$E:$E,"A",실시간콜입력!$G:$G,$B904,실시간콜입력!$O:$O,"방문완료")+COUNTIFS(실시간콜입력!$B:$B,$A904,실시간콜입력!$E:$E,"A",실시간콜입력!$H:$H,$B904,실시간콜입력!$O:$O,"방문완료")</f>
        <v>0</v>
      </c>
      <c r="G904" s="29">
        <f>COUNTIFS(실시간콜입력!$B:$B,$A904,실시간콜입력!$E:$E,"B",실시간콜입력!$G:$G,$B904,실시간콜입력!$O:$O,"방문완료")+COUNTIFS(실시간콜입력!$B:$B,$A904,실시간콜입력!$E:$E,"B",실시간콜입력!$H:$H,$B904,실시간콜입력!$O:$O,"방문완료")</f>
        <v>0</v>
      </c>
      <c r="H904" s="29">
        <f>COUNTIFS(실시간콜입력!$B:$B,$A904,실시간콜입력!$E:$E,"C",실시간콜입력!$G:$G,$B904,실시간콜입력!$O:$O,"방문완료")+COUNTIFS(실시간콜입력!$B:$B,$A904,실시간콜입력!$E:$E,"C",실시간콜입력!$H:$H,$B904,실시간콜입력!$O:$O,"방문완료")</f>
        <v>0</v>
      </c>
      <c r="I904" s="29">
        <f>COUNTIFS(실시간콜입력!$B:$B,$A904,실시간콜입력!$E:$E,"D",실시간콜입력!$G:$G,$B904,실시간콜입력!$O:$O,"방문완료")+COUNTIFS(실시간콜입력!$B:$B,$A904,실시간콜입력!$E:$E,"D",실시간콜입력!$H:$H,$B904,실시간콜입력!$O:$O,"방문완료")</f>
        <v>0</v>
      </c>
      <c r="J904" s="29">
        <f>COUNTIFS(실시간콜입력!$B:$B,$A904,실시간콜입력!$E:$E,"E",실시간콜입력!$G:$G,$B904,실시간콜입력!$O:$O,"방문완료")+COUNTIFS(실시간콜입력!$B:$B,$A904,실시간콜입력!$E:$E,"E",실시간콜입력!$H:$H,$B904,실시간콜입력!$O:$O,"방문완료")</f>
        <v>0</v>
      </c>
      <c r="K904" s="29">
        <f t="shared" si="121"/>
        <v>0</v>
      </c>
      <c r="L904" s="33">
        <f>SUMIFS(실시간콜입력!$K:$K,실시간콜입력!$B:$B,$A904,실시간콜입력!$G:$G,$B904,실시간콜입력!$O:$O,"방문완료")+SUMIFS(실시간콜입력!$L:$L,실시간콜입력!$B:$B,$A904,실시간콜입력!$H:$H,$B904,실시간콜입력!$O:$O,"방문완료")</f>
        <v>0</v>
      </c>
      <c r="M904" s="29" t="str">
        <f t="shared" si="122"/>
        <v/>
      </c>
      <c r="N904" s="29"/>
    </row>
    <row r="905" spans="1:14" ht="19.5" hidden="1" customHeight="1" outlineLevel="1">
      <c r="A905" s="24">
        <f>IF(18&lt;=DAY(DATE(YEAR(설정_코스수당!$K$2),MONTH(설정_코스수당!$K$2)+1,0)),DATE(YEAR(설정_코스수당!$K$2),MONTH(설정_코스수당!$K$2),18),"")</f>
        <v>46191</v>
      </c>
      <c r="B905" s="23" t="s">
        <v>177</v>
      </c>
      <c r="C905" s="29"/>
      <c r="D905" s="29"/>
      <c r="E905" s="29" t="str">
        <f t="shared" si="120"/>
        <v/>
      </c>
      <c r="F905" s="29">
        <f>COUNTIFS(실시간콜입력!$B:$B,$A905,실시간콜입력!$E:$E,"A",실시간콜입력!$G:$G,$B905,실시간콜입력!$O:$O,"방문완료")+COUNTIFS(실시간콜입력!$B:$B,$A905,실시간콜입력!$E:$E,"A",실시간콜입력!$H:$H,$B905,실시간콜입력!$O:$O,"방문완료")</f>
        <v>0</v>
      </c>
      <c r="G905" s="29">
        <f>COUNTIFS(실시간콜입력!$B:$B,$A905,실시간콜입력!$E:$E,"B",실시간콜입력!$G:$G,$B905,실시간콜입력!$O:$O,"방문완료")+COUNTIFS(실시간콜입력!$B:$B,$A905,실시간콜입력!$E:$E,"B",실시간콜입력!$H:$H,$B905,실시간콜입력!$O:$O,"방문완료")</f>
        <v>0</v>
      </c>
      <c r="H905" s="29">
        <f>COUNTIFS(실시간콜입력!$B:$B,$A905,실시간콜입력!$E:$E,"C",실시간콜입력!$G:$G,$B905,실시간콜입력!$O:$O,"방문완료")+COUNTIFS(실시간콜입력!$B:$B,$A905,실시간콜입력!$E:$E,"C",실시간콜입력!$H:$H,$B905,실시간콜입력!$O:$O,"방문완료")</f>
        <v>0</v>
      </c>
      <c r="I905" s="29">
        <f>COUNTIFS(실시간콜입력!$B:$B,$A905,실시간콜입력!$E:$E,"D",실시간콜입력!$G:$G,$B905,실시간콜입력!$O:$O,"방문완료")+COUNTIFS(실시간콜입력!$B:$B,$A905,실시간콜입력!$E:$E,"D",실시간콜입력!$H:$H,$B905,실시간콜입력!$O:$O,"방문완료")</f>
        <v>0</v>
      </c>
      <c r="J905" s="29">
        <f>COUNTIFS(실시간콜입력!$B:$B,$A905,실시간콜입력!$E:$E,"E",실시간콜입력!$G:$G,$B905,실시간콜입력!$O:$O,"방문완료")+COUNTIFS(실시간콜입력!$B:$B,$A905,실시간콜입력!$E:$E,"E",실시간콜입력!$H:$H,$B905,실시간콜입력!$O:$O,"방문완료")</f>
        <v>0</v>
      </c>
      <c r="K905" s="29">
        <f t="shared" si="121"/>
        <v>0</v>
      </c>
      <c r="L905" s="27">
        <f>SUMIFS(실시간콜입력!$K:$K,실시간콜입력!$B:$B,$A905,실시간콜입력!$G:$G,$B905,실시간콜입력!$O:$O,"방문완료")+SUMIFS(실시간콜입력!$L:$L,실시간콜입력!$B:$B,$A905,실시간콜입력!$H:$H,$B905,실시간콜입력!$O:$O,"방문완료")</f>
        <v>0</v>
      </c>
      <c r="M905" s="29" t="str">
        <f t="shared" si="122"/>
        <v/>
      </c>
      <c r="N905" s="29"/>
    </row>
    <row r="906" spans="1:14" ht="19.5" hidden="1" customHeight="1" outlineLevel="1">
      <c r="A906" s="30">
        <f>IF(18&lt;=DAY(DATE(YEAR(설정_코스수당!$K$2),MONTH(설정_코스수당!$K$2)+1,0)),DATE(YEAR(설정_코스수당!$K$2),MONTH(설정_코스수당!$K$2),18),"")</f>
        <v>46191</v>
      </c>
      <c r="B906" s="29" t="s">
        <v>178</v>
      </c>
      <c r="C906" s="29"/>
      <c r="D906" s="29"/>
      <c r="E906" s="29" t="str">
        <f t="shared" si="120"/>
        <v/>
      </c>
      <c r="F906" s="29">
        <f>COUNTIFS(실시간콜입력!$B:$B,$A906,실시간콜입력!$E:$E,"A",실시간콜입력!$G:$G,$B906,실시간콜입력!$O:$O,"방문완료")+COUNTIFS(실시간콜입력!$B:$B,$A906,실시간콜입력!$E:$E,"A",실시간콜입력!$H:$H,$B906,실시간콜입력!$O:$O,"방문완료")</f>
        <v>0</v>
      </c>
      <c r="G906" s="29">
        <f>COUNTIFS(실시간콜입력!$B:$B,$A906,실시간콜입력!$E:$E,"B",실시간콜입력!$G:$G,$B906,실시간콜입력!$O:$O,"방문완료")+COUNTIFS(실시간콜입력!$B:$B,$A906,실시간콜입력!$E:$E,"B",실시간콜입력!$H:$H,$B906,실시간콜입력!$O:$O,"방문완료")</f>
        <v>0</v>
      </c>
      <c r="H906" s="29">
        <f>COUNTIFS(실시간콜입력!$B:$B,$A906,실시간콜입력!$E:$E,"C",실시간콜입력!$G:$G,$B906,실시간콜입력!$O:$O,"방문완료")+COUNTIFS(실시간콜입력!$B:$B,$A906,실시간콜입력!$E:$E,"C",실시간콜입력!$H:$H,$B906,실시간콜입력!$O:$O,"방문완료")</f>
        <v>0</v>
      </c>
      <c r="I906" s="29">
        <f>COUNTIFS(실시간콜입력!$B:$B,$A906,실시간콜입력!$E:$E,"D",실시간콜입력!$G:$G,$B906,실시간콜입력!$O:$O,"방문완료")+COUNTIFS(실시간콜입력!$B:$B,$A906,실시간콜입력!$E:$E,"D",실시간콜입력!$H:$H,$B906,실시간콜입력!$O:$O,"방문완료")</f>
        <v>0</v>
      </c>
      <c r="J906" s="29">
        <f>COUNTIFS(실시간콜입력!$B:$B,$A906,실시간콜입력!$E:$E,"E",실시간콜입력!$G:$G,$B906,실시간콜입력!$O:$O,"방문완료")+COUNTIFS(실시간콜입력!$B:$B,$A906,실시간콜입력!$E:$E,"E",실시간콜입력!$H:$H,$B906,실시간콜입력!$O:$O,"방문완료")</f>
        <v>0</v>
      </c>
      <c r="K906" s="29">
        <f t="shared" si="121"/>
        <v>0</v>
      </c>
      <c r="L906" s="33">
        <f>SUMIFS(실시간콜입력!$K:$K,실시간콜입력!$B:$B,$A906,실시간콜입력!$G:$G,$B906,실시간콜입력!$O:$O,"방문완료")+SUMIFS(실시간콜입력!$L:$L,실시간콜입력!$B:$B,$A906,실시간콜입력!$H:$H,$B906,실시간콜입력!$O:$O,"방문완료")</f>
        <v>0</v>
      </c>
      <c r="M906" s="29" t="str">
        <f t="shared" si="122"/>
        <v/>
      </c>
      <c r="N906" s="29"/>
    </row>
    <row r="907" spans="1:14" ht="19.5" hidden="1" customHeight="1" outlineLevel="1">
      <c r="A907" s="24">
        <f>IF(18&lt;=DAY(DATE(YEAR(설정_코스수당!$K$2),MONTH(설정_코스수당!$K$2)+1,0)),DATE(YEAR(설정_코스수당!$K$2),MONTH(설정_코스수당!$K$2),18),"")</f>
        <v>46191</v>
      </c>
      <c r="B907" s="23" t="s">
        <v>179</v>
      </c>
      <c r="C907" s="29"/>
      <c r="D907" s="29"/>
      <c r="E907" s="29" t="str">
        <f t="shared" si="120"/>
        <v/>
      </c>
      <c r="F907" s="29">
        <f>COUNTIFS(실시간콜입력!$B:$B,$A907,실시간콜입력!$E:$E,"A",실시간콜입력!$G:$G,$B907,실시간콜입력!$O:$O,"방문완료")+COUNTIFS(실시간콜입력!$B:$B,$A907,실시간콜입력!$E:$E,"A",실시간콜입력!$H:$H,$B907,실시간콜입력!$O:$O,"방문완료")</f>
        <v>0</v>
      </c>
      <c r="G907" s="29">
        <f>COUNTIFS(실시간콜입력!$B:$B,$A907,실시간콜입력!$E:$E,"B",실시간콜입력!$G:$G,$B907,실시간콜입력!$O:$O,"방문완료")+COUNTIFS(실시간콜입력!$B:$B,$A907,실시간콜입력!$E:$E,"B",실시간콜입력!$H:$H,$B907,실시간콜입력!$O:$O,"방문완료")</f>
        <v>0</v>
      </c>
      <c r="H907" s="29">
        <f>COUNTIFS(실시간콜입력!$B:$B,$A907,실시간콜입력!$E:$E,"C",실시간콜입력!$G:$G,$B907,실시간콜입력!$O:$O,"방문완료")+COUNTIFS(실시간콜입력!$B:$B,$A907,실시간콜입력!$E:$E,"C",실시간콜입력!$H:$H,$B907,실시간콜입력!$O:$O,"방문완료")</f>
        <v>0</v>
      </c>
      <c r="I907" s="29">
        <f>COUNTIFS(실시간콜입력!$B:$B,$A907,실시간콜입력!$E:$E,"D",실시간콜입력!$G:$G,$B907,실시간콜입력!$O:$O,"방문완료")+COUNTIFS(실시간콜입력!$B:$B,$A907,실시간콜입력!$E:$E,"D",실시간콜입력!$H:$H,$B907,실시간콜입력!$O:$O,"방문완료")</f>
        <v>0</v>
      </c>
      <c r="J907" s="29">
        <f>COUNTIFS(실시간콜입력!$B:$B,$A907,실시간콜입력!$E:$E,"E",실시간콜입력!$G:$G,$B907,실시간콜입력!$O:$O,"방문완료")+COUNTIFS(실시간콜입력!$B:$B,$A907,실시간콜입력!$E:$E,"E",실시간콜입력!$H:$H,$B907,실시간콜입력!$O:$O,"방문완료")</f>
        <v>0</v>
      </c>
      <c r="K907" s="29">
        <f t="shared" si="121"/>
        <v>0</v>
      </c>
      <c r="L907" s="27">
        <f>SUMIFS(실시간콜입력!$K:$K,실시간콜입력!$B:$B,$A907,실시간콜입력!$G:$G,$B907,실시간콜입력!$O:$O,"방문완료")+SUMIFS(실시간콜입력!$L:$L,실시간콜입력!$B:$B,$A907,실시간콜입력!$H:$H,$B907,실시간콜입력!$O:$O,"방문완료")</f>
        <v>0</v>
      </c>
      <c r="M907" s="29" t="str">
        <f t="shared" si="122"/>
        <v/>
      </c>
      <c r="N907" s="29"/>
    </row>
    <row r="908" spans="1:14" ht="19.5" hidden="1" customHeight="1" outlineLevel="1">
      <c r="A908" s="30">
        <f>IF(18&lt;=DAY(DATE(YEAR(설정_코스수당!$K$2),MONTH(설정_코스수당!$K$2)+1,0)),DATE(YEAR(설정_코스수당!$K$2),MONTH(설정_코스수당!$K$2),18),"")</f>
        <v>46191</v>
      </c>
      <c r="B908" s="29" t="s">
        <v>180</v>
      </c>
      <c r="C908" s="29"/>
      <c r="D908" s="29"/>
      <c r="E908" s="29" t="str">
        <f t="shared" si="120"/>
        <v/>
      </c>
      <c r="F908" s="29">
        <f>COUNTIFS(실시간콜입력!$B:$B,$A908,실시간콜입력!$E:$E,"A",실시간콜입력!$G:$G,$B908,실시간콜입력!$O:$O,"방문완료")+COUNTIFS(실시간콜입력!$B:$B,$A908,실시간콜입력!$E:$E,"A",실시간콜입력!$H:$H,$B908,실시간콜입력!$O:$O,"방문완료")</f>
        <v>0</v>
      </c>
      <c r="G908" s="29">
        <f>COUNTIFS(실시간콜입력!$B:$B,$A908,실시간콜입력!$E:$E,"B",실시간콜입력!$G:$G,$B908,실시간콜입력!$O:$O,"방문완료")+COUNTIFS(실시간콜입력!$B:$B,$A908,실시간콜입력!$E:$E,"B",실시간콜입력!$H:$H,$B908,실시간콜입력!$O:$O,"방문완료")</f>
        <v>0</v>
      </c>
      <c r="H908" s="29">
        <f>COUNTIFS(실시간콜입력!$B:$B,$A908,실시간콜입력!$E:$E,"C",실시간콜입력!$G:$G,$B908,실시간콜입력!$O:$O,"방문완료")+COUNTIFS(실시간콜입력!$B:$B,$A908,실시간콜입력!$E:$E,"C",실시간콜입력!$H:$H,$B908,실시간콜입력!$O:$O,"방문완료")</f>
        <v>0</v>
      </c>
      <c r="I908" s="29">
        <f>COUNTIFS(실시간콜입력!$B:$B,$A908,실시간콜입력!$E:$E,"D",실시간콜입력!$G:$G,$B908,실시간콜입력!$O:$O,"방문완료")+COUNTIFS(실시간콜입력!$B:$B,$A908,실시간콜입력!$E:$E,"D",실시간콜입력!$H:$H,$B908,실시간콜입력!$O:$O,"방문완료")</f>
        <v>0</v>
      </c>
      <c r="J908" s="29">
        <f>COUNTIFS(실시간콜입력!$B:$B,$A908,실시간콜입력!$E:$E,"E",실시간콜입력!$G:$G,$B908,실시간콜입력!$O:$O,"방문완료")+COUNTIFS(실시간콜입력!$B:$B,$A908,실시간콜입력!$E:$E,"E",실시간콜입력!$H:$H,$B908,실시간콜입력!$O:$O,"방문완료")</f>
        <v>0</v>
      </c>
      <c r="K908" s="29">
        <f t="shared" si="121"/>
        <v>0</v>
      </c>
      <c r="L908" s="33">
        <f>SUMIFS(실시간콜입력!$K:$K,실시간콜입력!$B:$B,$A908,실시간콜입력!$G:$G,$B908,실시간콜입력!$O:$O,"방문완료")+SUMIFS(실시간콜입력!$L:$L,실시간콜입력!$B:$B,$A908,실시간콜입력!$H:$H,$B908,실시간콜입력!$O:$O,"방문완료")</f>
        <v>0</v>
      </c>
      <c r="M908" s="29" t="str">
        <f t="shared" si="122"/>
        <v/>
      </c>
      <c r="N908" s="29"/>
    </row>
    <row r="909" spans="1:14" ht="19.5" hidden="1" customHeight="1" outlineLevel="1">
      <c r="A909" s="24">
        <f>IF(18&lt;=DAY(DATE(YEAR(설정_코스수당!$K$2),MONTH(설정_코스수당!$K$2)+1,0)),DATE(YEAR(설정_코스수당!$K$2),MONTH(설정_코스수당!$K$2),18),"")</f>
        <v>46191</v>
      </c>
      <c r="B909" s="23" t="s">
        <v>181</v>
      </c>
      <c r="C909" s="29"/>
      <c r="D909" s="29"/>
      <c r="E909" s="29" t="str">
        <f t="shared" si="120"/>
        <v/>
      </c>
      <c r="F909" s="29">
        <f>COUNTIFS(실시간콜입력!$B:$B,$A909,실시간콜입력!$E:$E,"A",실시간콜입력!$G:$G,$B909,실시간콜입력!$O:$O,"방문완료")+COUNTIFS(실시간콜입력!$B:$B,$A909,실시간콜입력!$E:$E,"A",실시간콜입력!$H:$H,$B909,실시간콜입력!$O:$O,"방문완료")</f>
        <v>0</v>
      </c>
      <c r="G909" s="29">
        <f>COUNTIFS(실시간콜입력!$B:$B,$A909,실시간콜입력!$E:$E,"B",실시간콜입력!$G:$G,$B909,실시간콜입력!$O:$O,"방문완료")+COUNTIFS(실시간콜입력!$B:$B,$A909,실시간콜입력!$E:$E,"B",실시간콜입력!$H:$H,$B909,실시간콜입력!$O:$O,"방문완료")</f>
        <v>0</v>
      </c>
      <c r="H909" s="29">
        <f>COUNTIFS(실시간콜입력!$B:$B,$A909,실시간콜입력!$E:$E,"C",실시간콜입력!$G:$G,$B909,실시간콜입력!$O:$O,"방문완료")+COUNTIFS(실시간콜입력!$B:$B,$A909,실시간콜입력!$E:$E,"C",실시간콜입력!$H:$H,$B909,실시간콜입력!$O:$O,"방문완료")</f>
        <v>0</v>
      </c>
      <c r="I909" s="29">
        <f>COUNTIFS(실시간콜입력!$B:$B,$A909,실시간콜입력!$E:$E,"D",실시간콜입력!$G:$G,$B909,실시간콜입력!$O:$O,"방문완료")+COUNTIFS(실시간콜입력!$B:$B,$A909,실시간콜입력!$E:$E,"D",실시간콜입력!$H:$H,$B909,실시간콜입력!$O:$O,"방문완료")</f>
        <v>0</v>
      </c>
      <c r="J909" s="29">
        <f>COUNTIFS(실시간콜입력!$B:$B,$A909,실시간콜입력!$E:$E,"E",실시간콜입력!$G:$G,$B909,실시간콜입력!$O:$O,"방문완료")+COUNTIFS(실시간콜입력!$B:$B,$A909,실시간콜입력!$E:$E,"E",실시간콜입력!$H:$H,$B909,실시간콜입력!$O:$O,"방문완료")</f>
        <v>0</v>
      </c>
      <c r="K909" s="29">
        <f t="shared" si="121"/>
        <v>0</v>
      </c>
      <c r="L909" s="27">
        <f>SUMIFS(실시간콜입력!$K:$K,실시간콜입력!$B:$B,$A909,실시간콜입력!$G:$G,$B909,실시간콜입력!$O:$O,"방문완료")+SUMIFS(실시간콜입력!$L:$L,실시간콜입력!$B:$B,$A909,실시간콜입력!$H:$H,$B909,실시간콜입력!$O:$O,"방문완료")</f>
        <v>0</v>
      </c>
      <c r="M909" s="29" t="str">
        <f t="shared" si="122"/>
        <v/>
      </c>
      <c r="N909" s="29"/>
    </row>
    <row r="910" spans="1:14" ht="19.5" hidden="1" customHeight="1" outlineLevel="1">
      <c r="A910" s="30">
        <f>IF(18&lt;=DAY(DATE(YEAR(설정_코스수당!$K$2),MONTH(설정_코스수당!$K$2)+1,0)),DATE(YEAR(설정_코스수당!$K$2),MONTH(설정_코스수당!$K$2),18),"")</f>
        <v>46191</v>
      </c>
      <c r="B910" s="29" t="s">
        <v>182</v>
      </c>
      <c r="C910" s="29"/>
      <c r="D910" s="29"/>
      <c r="E910" s="29" t="str">
        <f t="shared" si="120"/>
        <v/>
      </c>
      <c r="F910" s="29">
        <f>COUNTIFS(실시간콜입력!$B:$B,$A910,실시간콜입력!$E:$E,"A",실시간콜입력!$G:$G,$B910,실시간콜입력!$O:$O,"방문완료")+COUNTIFS(실시간콜입력!$B:$B,$A910,실시간콜입력!$E:$E,"A",실시간콜입력!$H:$H,$B910,실시간콜입력!$O:$O,"방문완료")</f>
        <v>0</v>
      </c>
      <c r="G910" s="29">
        <f>COUNTIFS(실시간콜입력!$B:$B,$A910,실시간콜입력!$E:$E,"B",실시간콜입력!$G:$G,$B910,실시간콜입력!$O:$O,"방문완료")+COUNTIFS(실시간콜입력!$B:$B,$A910,실시간콜입력!$E:$E,"B",실시간콜입력!$H:$H,$B910,실시간콜입력!$O:$O,"방문완료")</f>
        <v>0</v>
      </c>
      <c r="H910" s="29">
        <f>COUNTIFS(실시간콜입력!$B:$B,$A910,실시간콜입력!$E:$E,"C",실시간콜입력!$G:$G,$B910,실시간콜입력!$O:$O,"방문완료")+COUNTIFS(실시간콜입력!$B:$B,$A910,실시간콜입력!$E:$E,"C",실시간콜입력!$H:$H,$B910,실시간콜입력!$O:$O,"방문완료")</f>
        <v>0</v>
      </c>
      <c r="I910" s="29">
        <f>COUNTIFS(실시간콜입력!$B:$B,$A910,실시간콜입력!$E:$E,"D",실시간콜입력!$G:$G,$B910,실시간콜입력!$O:$O,"방문완료")+COUNTIFS(실시간콜입력!$B:$B,$A910,실시간콜입력!$E:$E,"D",실시간콜입력!$H:$H,$B910,실시간콜입력!$O:$O,"방문완료")</f>
        <v>0</v>
      </c>
      <c r="J910" s="29">
        <f>COUNTIFS(실시간콜입력!$B:$B,$A910,실시간콜입력!$E:$E,"E",실시간콜입력!$G:$G,$B910,실시간콜입력!$O:$O,"방문완료")+COUNTIFS(실시간콜입력!$B:$B,$A910,실시간콜입력!$E:$E,"E",실시간콜입력!$H:$H,$B910,실시간콜입력!$O:$O,"방문완료")</f>
        <v>0</v>
      </c>
      <c r="K910" s="29">
        <f t="shared" si="121"/>
        <v>0</v>
      </c>
      <c r="L910" s="33">
        <f>SUMIFS(실시간콜입력!$K:$K,실시간콜입력!$B:$B,$A910,실시간콜입력!$G:$G,$B910,실시간콜입력!$O:$O,"방문완료")+SUMIFS(실시간콜입력!$L:$L,실시간콜입력!$B:$B,$A910,실시간콜입력!$H:$H,$B910,실시간콜입력!$O:$O,"방문완료")</f>
        <v>0</v>
      </c>
      <c r="M910" s="29" t="str">
        <f t="shared" si="122"/>
        <v/>
      </c>
      <c r="N910" s="29"/>
    </row>
    <row r="911" spans="1:14" ht="19.5" hidden="1" customHeight="1" outlineLevel="1">
      <c r="A911" s="24">
        <f>IF(18&lt;=DAY(DATE(YEAR(설정_코스수당!$K$2),MONTH(설정_코스수당!$K$2)+1,0)),DATE(YEAR(설정_코스수당!$K$2),MONTH(설정_코스수당!$K$2),18),"")</f>
        <v>46191</v>
      </c>
      <c r="B911" s="23" t="s">
        <v>183</v>
      </c>
      <c r="C911" s="29"/>
      <c r="D911" s="29"/>
      <c r="E911" s="29" t="str">
        <f t="shared" si="120"/>
        <v/>
      </c>
      <c r="F911" s="29">
        <f>COUNTIFS(실시간콜입력!$B:$B,$A911,실시간콜입력!$E:$E,"A",실시간콜입력!$G:$G,$B911,실시간콜입력!$O:$O,"방문완료")+COUNTIFS(실시간콜입력!$B:$B,$A911,실시간콜입력!$E:$E,"A",실시간콜입력!$H:$H,$B911,실시간콜입력!$O:$O,"방문완료")</f>
        <v>0</v>
      </c>
      <c r="G911" s="29">
        <f>COUNTIFS(실시간콜입력!$B:$B,$A911,실시간콜입력!$E:$E,"B",실시간콜입력!$G:$G,$B911,실시간콜입력!$O:$O,"방문완료")+COUNTIFS(실시간콜입력!$B:$B,$A911,실시간콜입력!$E:$E,"B",실시간콜입력!$H:$H,$B911,실시간콜입력!$O:$O,"방문완료")</f>
        <v>0</v>
      </c>
      <c r="H911" s="29">
        <f>COUNTIFS(실시간콜입력!$B:$B,$A911,실시간콜입력!$E:$E,"C",실시간콜입력!$G:$G,$B911,실시간콜입력!$O:$O,"방문완료")+COUNTIFS(실시간콜입력!$B:$B,$A911,실시간콜입력!$E:$E,"C",실시간콜입력!$H:$H,$B911,실시간콜입력!$O:$O,"방문완료")</f>
        <v>0</v>
      </c>
      <c r="I911" s="29">
        <f>COUNTIFS(실시간콜입력!$B:$B,$A911,실시간콜입력!$E:$E,"D",실시간콜입력!$G:$G,$B911,실시간콜입력!$O:$O,"방문완료")+COUNTIFS(실시간콜입력!$B:$B,$A911,실시간콜입력!$E:$E,"D",실시간콜입력!$H:$H,$B911,실시간콜입력!$O:$O,"방문완료")</f>
        <v>0</v>
      </c>
      <c r="J911" s="29">
        <f>COUNTIFS(실시간콜입력!$B:$B,$A911,실시간콜입력!$E:$E,"E",실시간콜입력!$G:$G,$B911,실시간콜입력!$O:$O,"방문완료")+COUNTIFS(실시간콜입력!$B:$B,$A911,실시간콜입력!$E:$E,"E",실시간콜입력!$H:$H,$B911,실시간콜입력!$O:$O,"방문완료")</f>
        <v>0</v>
      </c>
      <c r="K911" s="29">
        <f t="shared" si="121"/>
        <v>0</v>
      </c>
      <c r="L911" s="27">
        <f>SUMIFS(실시간콜입력!$K:$K,실시간콜입력!$B:$B,$A911,실시간콜입력!$G:$G,$B911,실시간콜입력!$O:$O,"방문완료")+SUMIFS(실시간콜입력!$L:$L,실시간콜입력!$B:$B,$A911,실시간콜입력!$H:$H,$B911,실시간콜입력!$O:$O,"방문완료")</f>
        <v>0</v>
      </c>
      <c r="M911" s="29" t="str">
        <f t="shared" si="122"/>
        <v/>
      </c>
      <c r="N911" s="29"/>
    </row>
    <row r="912" spans="1:14" ht="19.5" hidden="1" customHeight="1" outlineLevel="1">
      <c r="A912" s="30">
        <f>IF(18&lt;=DAY(DATE(YEAR(설정_코스수당!$K$2),MONTH(설정_코스수당!$K$2)+1,0)),DATE(YEAR(설정_코스수당!$K$2),MONTH(설정_코스수당!$K$2),18),"")</f>
        <v>46191</v>
      </c>
      <c r="B912" s="29" t="s">
        <v>184</v>
      </c>
      <c r="C912" s="29"/>
      <c r="D912" s="29"/>
      <c r="E912" s="29" t="str">
        <f t="shared" si="120"/>
        <v/>
      </c>
      <c r="F912" s="29">
        <f>COUNTIFS(실시간콜입력!$B:$B,$A912,실시간콜입력!$E:$E,"A",실시간콜입력!$G:$G,$B912,실시간콜입력!$O:$O,"방문완료")+COUNTIFS(실시간콜입력!$B:$B,$A912,실시간콜입력!$E:$E,"A",실시간콜입력!$H:$H,$B912,실시간콜입력!$O:$O,"방문완료")</f>
        <v>0</v>
      </c>
      <c r="G912" s="29">
        <f>COUNTIFS(실시간콜입력!$B:$B,$A912,실시간콜입력!$E:$E,"B",실시간콜입력!$G:$G,$B912,실시간콜입력!$O:$O,"방문완료")+COUNTIFS(실시간콜입력!$B:$B,$A912,실시간콜입력!$E:$E,"B",실시간콜입력!$H:$H,$B912,실시간콜입력!$O:$O,"방문완료")</f>
        <v>0</v>
      </c>
      <c r="H912" s="29">
        <f>COUNTIFS(실시간콜입력!$B:$B,$A912,실시간콜입력!$E:$E,"C",실시간콜입력!$G:$G,$B912,실시간콜입력!$O:$O,"방문완료")+COUNTIFS(실시간콜입력!$B:$B,$A912,실시간콜입력!$E:$E,"C",실시간콜입력!$H:$H,$B912,실시간콜입력!$O:$O,"방문완료")</f>
        <v>0</v>
      </c>
      <c r="I912" s="29">
        <f>COUNTIFS(실시간콜입력!$B:$B,$A912,실시간콜입력!$E:$E,"D",실시간콜입력!$G:$G,$B912,실시간콜입력!$O:$O,"방문완료")+COUNTIFS(실시간콜입력!$B:$B,$A912,실시간콜입력!$E:$E,"D",실시간콜입력!$H:$H,$B912,실시간콜입력!$O:$O,"방문완료")</f>
        <v>0</v>
      </c>
      <c r="J912" s="29">
        <f>COUNTIFS(실시간콜입력!$B:$B,$A912,실시간콜입력!$E:$E,"E",실시간콜입력!$G:$G,$B912,실시간콜입력!$O:$O,"방문완료")+COUNTIFS(실시간콜입력!$B:$B,$A912,실시간콜입력!$E:$E,"E",실시간콜입력!$H:$H,$B912,실시간콜입력!$O:$O,"방문완료")</f>
        <v>0</v>
      </c>
      <c r="K912" s="29">
        <f t="shared" si="121"/>
        <v>0</v>
      </c>
      <c r="L912" s="33">
        <f>SUMIFS(실시간콜입력!$K:$K,실시간콜입력!$B:$B,$A912,실시간콜입력!$G:$G,$B912,실시간콜입력!$O:$O,"방문완료")+SUMIFS(실시간콜입력!$L:$L,실시간콜입력!$B:$B,$A912,실시간콜입력!$H:$H,$B912,실시간콜입력!$O:$O,"방문완료")</f>
        <v>0</v>
      </c>
      <c r="M912" s="29" t="str">
        <f t="shared" si="122"/>
        <v/>
      </c>
      <c r="N912" s="29"/>
    </row>
    <row r="913" spans="1:14" ht="19.5" hidden="1" customHeight="1" outlineLevel="1">
      <c r="A913" s="24">
        <f>IF(18&lt;=DAY(DATE(YEAR(설정_코스수당!$K$2),MONTH(설정_코스수당!$K$2)+1,0)),DATE(YEAR(설정_코스수당!$K$2),MONTH(설정_코스수당!$K$2),18),"")</f>
        <v>46191</v>
      </c>
      <c r="B913" s="23" t="s">
        <v>185</v>
      </c>
      <c r="C913" s="29"/>
      <c r="D913" s="29"/>
      <c r="E913" s="29" t="str">
        <f t="shared" si="120"/>
        <v/>
      </c>
      <c r="F913" s="29">
        <f>COUNTIFS(실시간콜입력!$B:$B,$A913,실시간콜입력!$E:$E,"A",실시간콜입력!$G:$G,$B913,실시간콜입력!$O:$O,"방문완료")+COUNTIFS(실시간콜입력!$B:$B,$A913,실시간콜입력!$E:$E,"A",실시간콜입력!$H:$H,$B913,실시간콜입력!$O:$O,"방문완료")</f>
        <v>0</v>
      </c>
      <c r="G913" s="29">
        <f>COUNTIFS(실시간콜입력!$B:$B,$A913,실시간콜입력!$E:$E,"B",실시간콜입력!$G:$G,$B913,실시간콜입력!$O:$O,"방문완료")+COUNTIFS(실시간콜입력!$B:$B,$A913,실시간콜입력!$E:$E,"B",실시간콜입력!$H:$H,$B913,실시간콜입력!$O:$O,"방문완료")</f>
        <v>0</v>
      </c>
      <c r="H913" s="29">
        <f>COUNTIFS(실시간콜입력!$B:$B,$A913,실시간콜입력!$E:$E,"C",실시간콜입력!$G:$G,$B913,실시간콜입력!$O:$O,"방문완료")+COUNTIFS(실시간콜입력!$B:$B,$A913,실시간콜입력!$E:$E,"C",실시간콜입력!$H:$H,$B913,실시간콜입력!$O:$O,"방문완료")</f>
        <v>0</v>
      </c>
      <c r="I913" s="29">
        <f>COUNTIFS(실시간콜입력!$B:$B,$A913,실시간콜입력!$E:$E,"D",실시간콜입력!$G:$G,$B913,실시간콜입력!$O:$O,"방문완료")+COUNTIFS(실시간콜입력!$B:$B,$A913,실시간콜입력!$E:$E,"D",실시간콜입력!$H:$H,$B913,실시간콜입력!$O:$O,"방문완료")</f>
        <v>0</v>
      </c>
      <c r="J913" s="29">
        <f>COUNTIFS(실시간콜입력!$B:$B,$A913,실시간콜입력!$E:$E,"E",실시간콜입력!$G:$G,$B913,실시간콜입력!$O:$O,"방문완료")+COUNTIFS(실시간콜입력!$B:$B,$A913,실시간콜입력!$E:$E,"E",실시간콜입력!$H:$H,$B913,실시간콜입력!$O:$O,"방문완료")</f>
        <v>0</v>
      </c>
      <c r="K913" s="29">
        <f t="shared" si="121"/>
        <v>0</v>
      </c>
      <c r="L913" s="27">
        <f>SUMIFS(실시간콜입력!$K:$K,실시간콜입력!$B:$B,$A913,실시간콜입력!$G:$G,$B913,실시간콜입력!$O:$O,"방문완료")+SUMIFS(실시간콜입력!$L:$L,실시간콜입력!$B:$B,$A913,실시간콜입력!$H:$H,$B913,실시간콜입력!$O:$O,"방문완료")</f>
        <v>0</v>
      </c>
      <c r="M913" s="29" t="str">
        <f t="shared" si="122"/>
        <v/>
      </c>
      <c r="N913" s="29"/>
    </row>
    <row r="914" spans="1:14" ht="19.5" hidden="1" customHeight="1" outlineLevel="1">
      <c r="A914" s="30">
        <f>IF(18&lt;=DAY(DATE(YEAR(설정_코스수당!$K$2),MONTH(설정_코스수당!$K$2)+1,0)),DATE(YEAR(설정_코스수당!$K$2),MONTH(설정_코스수당!$K$2),18),"")</f>
        <v>46191</v>
      </c>
      <c r="B914" s="29" t="s">
        <v>186</v>
      </c>
      <c r="C914" s="29"/>
      <c r="D914" s="29"/>
      <c r="E914" s="29" t="str">
        <f t="shared" si="120"/>
        <v/>
      </c>
      <c r="F914" s="29">
        <f>COUNTIFS(실시간콜입력!$B:$B,$A914,실시간콜입력!$E:$E,"A",실시간콜입력!$G:$G,$B914,실시간콜입력!$O:$O,"방문완료")+COUNTIFS(실시간콜입력!$B:$B,$A914,실시간콜입력!$E:$E,"A",실시간콜입력!$H:$H,$B914,실시간콜입력!$O:$O,"방문완료")</f>
        <v>0</v>
      </c>
      <c r="G914" s="29">
        <f>COUNTIFS(실시간콜입력!$B:$B,$A914,실시간콜입력!$E:$E,"B",실시간콜입력!$G:$G,$B914,실시간콜입력!$O:$O,"방문완료")+COUNTIFS(실시간콜입력!$B:$B,$A914,실시간콜입력!$E:$E,"B",실시간콜입력!$H:$H,$B914,실시간콜입력!$O:$O,"방문완료")</f>
        <v>0</v>
      </c>
      <c r="H914" s="29">
        <f>COUNTIFS(실시간콜입력!$B:$B,$A914,실시간콜입력!$E:$E,"C",실시간콜입력!$G:$G,$B914,실시간콜입력!$O:$O,"방문완료")+COUNTIFS(실시간콜입력!$B:$B,$A914,실시간콜입력!$E:$E,"C",실시간콜입력!$H:$H,$B914,실시간콜입력!$O:$O,"방문완료")</f>
        <v>0</v>
      </c>
      <c r="I914" s="29">
        <f>COUNTIFS(실시간콜입력!$B:$B,$A914,실시간콜입력!$E:$E,"D",실시간콜입력!$G:$G,$B914,실시간콜입력!$O:$O,"방문완료")+COUNTIFS(실시간콜입력!$B:$B,$A914,실시간콜입력!$E:$E,"D",실시간콜입력!$H:$H,$B914,실시간콜입력!$O:$O,"방문완료")</f>
        <v>0</v>
      </c>
      <c r="J914" s="29">
        <f>COUNTIFS(실시간콜입력!$B:$B,$A914,실시간콜입력!$E:$E,"E",실시간콜입력!$G:$G,$B914,실시간콜입력!$O:$O,"방문완료")+COUNTIFS(실시간콜입력!$B:$B,$A914,실시간콜입력!$E:$E,"E",실시간콜입력!$H:$H,$B914,실시간콜입력!$O:$O,"방문완료")</f>
        <v>0</v>
      </c>
      <c r="K914" s="29">
        <f t="shared" si="121"/>
        <v>0</v>
      </c>
      <c r="L914" s="33">
        <f>SUMIFS(실시간콜입력!$K:$K,실시간콜입력!$B:$B,$A914,실시간콜입력!$G:$G,$B914,실시간콜입력!$O:$O,"방문완료")+SUMIFS(실시간콜입력!$L:$L,실시간콜입력!$B:$B,$A914,실시간콜입력!$H:$H,$B914,실시간콜입력!$O:$O,"방문완료")</f>
        <v>0</v>
      </c>
      <c r="M914" s="29" t="str">
        <f t="shared" si="122"/>
        <v/>
      </c>
      <c r="N914" s="29"/>
    </row>
    <row r="915" spans="1:14" ht="19.5" hidden="1" customHeight="1" outlineLevel="1">
      <c r="A915" s="24">
        <f>IF(18&lt;=DAY(DATE(YEAR(설정_코스수당!$K$2),MONTH(설정_코스수당!$K$2)+1,0)),DATE(YEAR(설정_코스수당!$K$2),MONTH(설정_코스수당!$K$2),18),"")</f>
        <v>46191</v>
      </c>
      <c r="B915" s="23" t="s">
        <v>187</v>
      </c>
      <c r="C915" s="29"/>
      <c r="D915" s="29"/>
      <c r="E915" s="29" t="str">
        <f t="shared" si="120"/>
        <v/>
      </c>
      <c r="F915" s="29">
        <f>COUNTIFS(실시간콜입력!$B:$B,$A915,실시간콜입력!$E:$E,"A",실시간콜입력!$G:$G,$B915,실시간콜입력!$O:$O,"방문완료")+COUNTIFS(실시간콜입력!$B:$B,$A915,실시간콜입력!$E:$E,"A",실시간콜입력!$H:$H,$B915,실시간콜입력!$O:$O,"방문완료")</f>
        <v>0</v>
      </c>
      <c r="G915" s="29">
        <f>COUNTIFS(실시간콜입력!$B:$B,$A915,실시간콜입력!$E:$E,"B",실시간콜입력!$G:$G,$B915,실시간콜입력!$O:$O,"방문완료")+COUNTIFS(실시간콜입력!$B:$B,$A915,실시간콜입력!$E:$E,"B",실시간콜입력!$H:$H,$B915,실시간콜입력!$O:$O,"방문완료")</f>
        <v>0</v>
      </c>
      <c r="H915" s="29">
        <f>COUNTIFS(실시간콜입력!$B:$B,$A915,실시간콜입력!$E:$E,"C",실시간콜입력!$G:$G,$B915,실시간콜입력!$O:$O,"방문완료")+COUNTIFS(실시간콜입력!$B:$B,$A915,실시간콜입력!$E:$E,"C",실시간콜입력!$H:$H,$B915,실시간콜입력!$O:$O,"방문완료")</f>
        <v>0</v>
      </c>
      <c r="I915" s="29">
        <f>COUNTIFS(실시간콜입력!$B:$B,$A915,실시간콜입력!$E:$E,"D",실시간콜입력!$G:$G,$B915,실시간콜입력!$O:$O,"방문완료")+COUNTIFS(실시간콜입력!$B:$B,$A915,실시간콜입력!$E:$E,"D",실시간콜입력!$H:$H,$B915,실시간콜입력!$O:$O,"방문완료")</f>
        <v>0</v>
      </c>
      <c r="J915" s="29">
        <f>COUNTIFS(실시간콜입력!$B:$B,$A915,실시간콜입력!$E:$E,"E",실시간콜입력!$G:$G,$B915,실시간콜입력!$O:$O,"방문완료")+COUNTIFS(실시간콜입력!$B:$B,$A915,실시간콜입력!$E:$E,"E",실시간콜입력!$H:$H,$B915,실시간콜입력!$O:$O,"방문완료")</f>
        <v>0</v>
      </c>
      <c r="K915" s="29">
        <f t="shared" si="121"/>
        <v>0</v>
      </c>
      <c r="L915" s="27">
        <f>SUMIFS(실시간콜입력!$K:$K,실시간콜입력!$B:$B,$A915,실시간콜입력!$G:$G,$B915,실시간콜입력!$O:$O,"방문완료")+SUMIFS(실시간콜입력!$L:$L,실시간콜입력!$B:$B,$A915,실시간콜입력!$H:$H,$B915,실시간콜입력!$O:$O,"방문완료")</f>
        <v>0</v>
      </c>
      <c r="M915" s="29" t="str">
        <f t="shared" si="122"/>
        <v/>
      </c>
      <c r="N915" s="29"/>
    </row>
    <row r="916" spans="1:14" ht="19.5" hidden="1" customHeight="1" outlineLevel="1">
      <c r="A916" s="30">
        <f>IF(18&lt;=DAY(DATE(YEAR(설정_코스수당!$K$2),MONTH(설정_코스수당!$K$2)+1,0)),DATE(YEAR(설정_코스수당!$K$2),MONTH(설정_코스수당!$K$2),18),"")</f>
        <v>46191</v>
      </c>
      <c r="B916" s="29" t="s">
        <v>188</v>
      </c>
      <c r="C916" s="29"/>
      <c r="D916" s="29"/>
      <c r="E916" s="29" t="str">
        <f t="shared" si="120"/>
        <v/>
      </c>
      <c r="F916" s="29">
        <f>COUNTIFS(실시간콜입력!$B:$B,$A916,실시간콜입력!$E:$E,"A",실시간콜입력!$G:$G,$B916,실시간콜입력!$O:$O,"방문완료")+COUNTIFS(실시간콜입력!$B:$B,$A916,실시간콜입력!$E:$E,"A",실시간콜입력!$H:$H,$B916,실시간콜입력!$O:$O,"방문완료")</f>
        <v>0</v>
      </c>
      <c r="G916" s="29">
        <f>COUNTIFS(실시간콜입력!$B:$B,$A916,실시간콜입력!$E:$E,"B",실시간콜입력!$G:$G,$B916,실시간콜입력!$O:$O,"방문완료")+COUNTIFS(실시간콜입력!$B:$B,$A916,실시간콜입력!$E:$E,"B",실시간콜입력!$H:$H,$B916,실시간콜입력!$O:$O,"방문완료")</f>
        <v>0</v>
      </c>
      <c r="H916" s="29">
        <f>COUNTIFS(실시간콜입력!$B:$B,$A916,실시간콜입력!$E:$E,"C",실시간콜입력!$G:$G,$B916,실시간콜입력!$O:$O,"방문완료")+COUNTIFS(실시간콜입력!$B:$B,$A916,실시간콜입력!$E:$E,"C",실시간콜입력!$H:$H,$B916,실시간콜입력!$O:$O,"방문완료")</f>
        <v>0</v>
      </c>
      <c r="I916" s="29">
        <f>COUNTIFS(실시간콜입력!$B:$B,$A916,실시간콜입력!$E:$E,"D",실시간콜입력!$G:$G,$B916,실시간콜입력!$O:$O,"방문완료")+COUNTIFS(실시간콜입력!$B:$B,$A916,실시간콜입력!$E:$E,"D",실시간콜입력!$H:$H,$B916,실시간콜입력!$O:$O,"방문완료")</f>
        <v>0</v>
      </c>
      <c r="J916" s="29">
        <f>COUNTIFS(실시간콜입력!$B:$B,$A916,실시간콜입력!$E:$E,"E",실시간콜입력!$G:$G,$B916,실시간콜입력!$O:$O,"방문완료")+COUNTIFS(실시간콜입력!$B:$B,$A916,실시간콜입력!$E:$E,"E",실시간콜입력!$H:$H,$B916,실시간콜입력!$O:$O,"방문완료")</f>
        <v>0</v>
      </c>
      <c r="K916" s="29">
        <f t="shared" si="121"/>
        <v>0</v>
      </c>
      <c r="L916" s="33">
        <f>SUMIFS(실시간콜입력!$K:$K,실시간콜입력!$B:$B,$A916,실시간콜입력!$G:$G,$B916,실시간콜입력!$O:$O,"방문완료")+SUMIFS(실시간콜입력!$L:$L,실시간콜입력!$B:$B,$A916,실시간콜입력!$H:$H,$B916,실시간콜입력!$O:$O,"방문완료")</f>
        <v>0</v>
      </c>
      <c r="M916" s="29" t="str">
        <f t="shared" si="122"/>
        <v/>
      </c>
      <c r="N916" s="29"/>
    </row>
    <row r="917" spans="1:14" ht="19.5" hidden="1" customHeight="1" outlineLevel="1">
      <c r="A917" s="24">
        <f>IF(18&lt;=DAY(DATE(YEAR(설정_코스수당!$K$2),MONTH(설정_코스수당!$K$2)+1,0)),DATE(YEAR(설정_코스수당!$K$2),MONTH(설정_코스수당!$K$2),18),"")</f>
        <v>46191</v>
      </c>
      <c r="B917" s="23" t="s">
        <v>189</v>
      </c>
      <c r="C917" s="29"/>
      <c r="D917" s="29"/>
      <c r="E917" s="29" t="str">
        <f t="shared" si="120"/>
        <v/>
      </c>
      <c r="F917" s="29">
        <f>COUNTIFS(실시간콜입력!$B:$B,$A917,실시간콜입력!$E:$E,"A",실시간콜입력!$G:$G,$B917,실시간콜입력!$O:$O,"방문완료")+COUNTIFS(실시간콜입력!$B:$B,$A917,실시간콜입력!$E:$E,"A",실시간콜입력!$H:$H,$B917,실시간콜입력!$O:$O,"방문완료")</f>
        <v>0</v>
      </c>
      <c r="G917" s="29">
        <f>COUNTIFS(실시간콜입력!$B:$B,$A917,실시간콜입력!$E:$E,"B",실시간콜입력!$G:$G,$B917,실시간콜입력!$O:$O,"방문완료")+COUNTIFS(실시간콜입력!$B:$B,$A917,실시간콜입력!$E:$E,"B",실시간콜입력!$H:$H,$B917,실시간콜입력!$O:$O,"방문완료")</f>
        <v>0</v>
      </c>
      <c r="H917" s="29">
        <f>COUNTIFS(실시간콜입력!$B:$B,$A917,실시간콜입력!$E:$E,"C",실시간콜입력!$G:$G,$B917,실시간콜입력!$O:$O,"방문완료")+COUNTIFS(실시간콜입력!$B:$B,$A917,실시간콜입력!$E:$E,"C",실시간콜입력!$H:$H,$B917,실시간콜입력!$O:$O,"방문완료")</f>
        <v>0</v>
      </c>
      <c r="I917" s="29">
        <f>COUNTIFS(실시간콜입력!$B:$B,$A917,실시간콜입력!$E:$E,"D",실시간콜입력!$G:$G,$B917,실시간콜입력!$O:$O,"방문완료")+COUNTIFS(실시간콜입력!$B:$B,$A917,실시간콜입력!$E:$E,"D",실시간콜입력!$H:$H,$B917,실시간콜입력!$O:$O,"방문완료")</f>
        <v>0</v>
      </c>
      <c r="J917" s="29">
        <f>COUNTIFS(실시간콜입력!$B:$B,$A917,실시간콜입력!$E:$E,"E",실시간콜입력!$G:$G,$B917,실시간콜입력!$O:$O,"방문완료")+COUNTIFS(실시간콜입력!$B:$B,$A917,실시간콜입력!$E:$E,"E",실시간콜입력!$H:$H,$B917,실시간콜입력!$O:$O,"방문완료")</f>
        <v>0</v>
      </c>
      <c r="K917" s="29">
        <f t="shared" si="121"/>
        <v>0</v>
      </c>
      <c r="L917" s="27">
        <f>SUMIFS(실시간콜입력!$K:$K,실시간콜입력!$B:$B,$A917,실시간콜입력!$G:$G,$B917,실시간콜입력!$O:$O,"방문완료")+SUMIFS(실시간콜입력!$L:$L,실시간콜입력!$B:$B,$A917,실시간콜입력!$H:$H,$B917,실시간콜입력!$O:$O,"방문완료")</f>
        <v>0</v>
      </c>
      <c r="M917" s="29" t="str">
        <f t="shared" si="122"/>
        <v/>
      </c>
      <c r="N917" s="29"/>
    </row>
    <row r="918" spans="1:14" ht="19.5" hidden="1" customHeight="1" outlineLevel="1">
      <c r="A918" s="30">
        <f>IF(18&lt;=DAY(DATE(YEAR(설정_코스수당!$K$2),MONTH(설정_코스수당!$K$2)+1,0)),DATE(YEAR(설정_코스수당!$K$2),MONTH(설정_코스수당!$K$2),18),"")</f>
        <v>46191</v>
      </c>
      <c r="B918" s="29" t="s">
        <v>190</v>
      </c>
      <c r="C918" s="29"/>
      <c r="D918" s="29"/>
      <c r="E918" s="29" t="str">
        <f t="shared" si="120"/>
        <v/>
      </c>
      <c r="F918" s="29">
        <f>COUNTIFS(실시간콜입력!$B:$B,$A918,실시간콜입력!$E:$E,"A",실시간콜입력!$G:$G,$B918,실시간콜입력!$O:$O,"방문완료")+COUNTIFS(실시간콜입력!$B:$B,$A918,실시간콜입력!$E:$E,"A",실시간콜입력!$H:$H,$B918,실시간콜입력!$O:$O,"방문완료")</f>
        <v>0</v>
      </c>
      <c r="G918" s="29">
        <f>COUNTIFS(실시간콜입력!$B:$B,$A918,실시간콜입력!$E:$E,"B",실시간콜입력!$G:$G,$B918,실시간콜입력!$O:$O,"방문완료")+COUNTIFS(실시간콜입력!$B:$B,$A918,실시간콜입력!$E:$E,"B",실시간콜입력!$H:$H,$B918,실시간콜입력!$O:$O,"방문완료")</f>
        <v>0</v>
      </c>
      <c r="H918" s="29">
        <f>COUNTIFS(실시간콜입력!$B:$B,$A918,실시간콜입력!$E:$E,"C",실시간콜입력!$G:$G,$B918,실시간콜입력!$O:$O,"방문완료")+COUNTIFS(실시간콜입력!$B:$B,$A918,실시간콜입력!$E:$E,"C",실시간콜입력!$H:$H,$B918,실시간콜입력!$O:$O,"방문완료")</f>
        <v>0</v>
      </c>
      <c r="I918" s="29">
        <f>COUNTIFS(실시간콜입력!$B:$B,$A918,실시간콜입력!$E:$E,"D",실시간콜입력!$G:$G,$B918,실시간콜입력!$O:$O,"방문완료")+COUNTIFS(실시간콜입력!$B:$B,$A918,실시간콜입력!$E:$E,"D",실시간콜입력!$H:$H,$B918,실시간콜입력!$O:$O,"방문완료")</f>
        <v>0</v>
      </c>
      <c r="J918" s="29">
        <f>COUNTIFS(실시간콜입력!$B:$B,$A918,실시간콜입력!$E:$E,"E",실시간콜입력!$G:$G,$B918,실시간콜입력!$O:$O,"방문완료")+COUNTIFS(실시간콜입력!$B:$B,$A918,실시간콜입력!$E:$E,"E",실시간콜입력!$H:$H,$B918,실시간콜입력!$O:$O,"방문완료")</f>
        <v>0</v>
      </c>
      <c r="K918" s="29">
        <f t="shared" si="121"/>
        <v>0</v>
      </c>
      <c r="L918" s="33">
        <f>SUMIFS(실시간콜입력!$K:$K,실시간콜입력!$B:$B,$A918,실시간콜입력!$G:$G,$B918,실시간콜입력!$O:$O,"방문완료")+SUMIFS(실시간콜입력!$L:$L,실시간콜입력!$B:$B,$A918,실시간콜입력!$H:$H,$B918,실시간콜입력!$O:$O,"방문완료")</f>
        <v>0</v>
      </c>
      <c r="M918" s="29" t="str">
        <f t="shared" si="122"/>
        <v/>
      </c>
      <c r="N918" s="29"/>
    </row>
    <row r="919" spans="1:14" ht="19.5" hidden="1" customHeight="1" outlineLevel="1">
      <c r="A919" s="24">
        <f>IF(18&lt;=DAY(DATE(YEAR(설정_코스수당!$K$2),MONTH(설정_코스수당!$K$2)+1,0)),DATE(YEAR(설정_코스수당!$K$2),MONTH(설정_코스수당!$K$2),18),"")</f>
        <v>46191</v>
      </c>
      <c r="B919" s="23" t="s">
        <v>191</v>
      </c>
      <c r="C919" s="29"/>
      <c r="D919" s="29"/>
      <c r="E919" s="29" t="str">
        <f t="shared" si="120"/>
        <v/>
      </c>
      <c r="F919" s="29">
        <f>COUNTIFS(실시간콜입력!$B:$B,$A919,실시간콜입력!$E:$E,"A",실시간콜입력!$G:$G,$B919,실시간콜입력!$O:$O,"방문완료")+COUNTIFS(실시간콜입력!$B:$B,$A919,실시간콜입력!$E:$E,"A",실시간콜입력!$H:$H,$B919,실시간콜입력!$O:$O,"방문완료")</f>
        <v>0</v>
      </c>
      <c r="G919" s="29">
        <f>COUNTIFS(실시간콜입력!$B:$B,$A919,실시간콜입력!$E:$E,"B",실시간콜입력!$G:$G,$B919,실시간콜입력!$O:$O,"방문완료")+COUNTIFS(실시간콜입력!$B:$B,$A919,실시간콜입력!$E:$E,"B",실시간콜입력!$H:$H,$B919,실시간콜입력!$O:$O,"방문완료")</f>
        <v>0</v>
      </c>
      <c r="H919" s="29">
        <f>COUNTIFS(실시간콜입력!$B:$B,$A919,실시간콜입력!$E:$E,"C",실시간콜입력!$G:$G,$B919,실시간콜입력!$O:$O,"방문완료")+COUNTIFS(실시간콜입력!$B:$B,$A919,실시간콜입력!$E:$E,"C",실시간콜입력!$H:$H,$B919,실시간콜입력!$O:$O,"방문완료")</f>
        <v>0</v>
      </c>
      <c r="I919" s="29">
        <f>COUNTIFS(실시간콜입력!$B:$B,$A919,실시간콜입력!$E:$E,"D",실시간콜입력!$G:$G,$B919,실시간콜입력!$O:$O,"방문완료")+COUNTIFS(실시간콜입력!$B:$B,$A919,실시간콜입력!$E:$E,"D",실시간콜입력!$H:$H,$B919,실시간콜입력!$O:$O,"방문완료")</f>
        <v>0</v>
      </c>
      <c r="J919" s="29">
        <f>COUNTIFS(실시간콜입력!$B:$B,$A919,실시간콜입력!$E:$E,"E",실시간콜입력!$G:$G,$B919,실시간콜입력!$O:$O,"방문완료")+COUNTIFS(실시간콜입력!$B:$B,$A919,실시간콜입력!$E:$E,"E",실시간콜입력!$H:$H,$B919,실시간콜입력!$O:$O,"방문완료")</f>
        <v>0</v>
      </c>
      <c r="K919" s="29">
        <f t="shared" si="121"/>
        <v>0</v>
      </c>
      <c r="L919" s="27">
        <f>SUMIFS(실시간콜입력!$K:$K,실시간콜입력!$B:$B,$A919,실시간콜입력!$G:$G,$B919,실시간콜입력!$O:$O,"방문완료")+SUMIFS(실시간콜입력!$L:$L,실시간콜입력!$B:$B,$A919,실시간콜입력!$H:$H,$B919,실시간콜입력!$O:$O,"방문완료")</f>
        <v>0</v>
      </c>
      <c r="M919" s="29" t="str">
        <f t="shared" si="122"/>
        <v/>
      </c>
      <c r="N919" s="29"/>
    </row>
    <row r="920" spans="1:14" ht="19.5" hidden="1" customHeight="1" outlineLevel="1">
      <c r="A920" s="30">
        <f>IF(18&lt;=DAY(DATE(YEAR(설정_코스수당!$K$2),MONTH(설정_코스수당!$K$2)+1,0)),DATE(YEAR(설정_코스수당!$K$2),MONTH(설정_코스수당!$K$2),18),"")</f>
        <v>46191</v>
      </c>
      <c r="B920" s="29" t="s">
        <v>192</v>
      </c>
      <c r="C920" s="29"/>
      <c r="D920" s="29"/>
      <c r="E920" s="29" t="str">
        <f t="shared" si="120"/>
        <v/>
      </c>
      <c r="F920" s="29">
        <f>COUNTIFS(실시간콜입력!$B:$B,$A920,실시간콜입력!$E:$E,"A",실시간콜입력!$G:$G,$B920,실시간콜입력!$O:$O,"방문완료")+COUNTIFS(실시간콜입력!$B:$B,$A920,실시간콜입력!$E:$E,"A",실시간콜입력!$H:$H,$B920,실시간콜입력!$O:$O,"방문완료")</f>
        <v>0</v>
      </c>
      <c r="G920" s="29">
        <f>COUNTIFS(실시간콜입력!$B:$B,$A920,실시간콜입력!$E:$E,"B",실시간콜입력!$G:$G,$B920,실시간콜입력!$O:$O,"방문완료")+COUNTIFS(실시간콜입력!$B:$B,$A920,실시간콜입력!$E:$E,"B",실시간콜입력!$H:$H,$B920,실시간콜입력!$O:$O,"방문완료")</f>
        <v>0</v>
      </c>
      <c r="H920" s="29">
        <f>COUNTIFS(실시간콜입력!$B:$B,$A920,실시간콜입력!$E:$E,"C",실시간콜입력!$G:$G,$B920,실시간콜입력!$O:$O,"방문완료")+COUNTIFS(실시간콜입력!$B:$B,$A920,실시간콜입력!$E:$E,"C",실시간콜입력!$H:$H,$B920,실시간콜입력!$O:$O,"방문완료")</f>
        <v>0</v>
      </c>
      <c r="I920" s="29">
        <f>COUNTIFS(실시간콜입력!$B:$B,$A920,실시간콜입력!$E:$E,"D",실시간콜입력!$G:$G,$B920,실시간콜입력!$O:$O,"방문완료")+COUNTIFS(실시간콜입력!$B:$B,$A920,실시간콜입력!$E:$E,"D",실시간콜입력!$H:$H,$B920,실시간콜입력!$O:$O,"방문완료")</f>
        <v>0</v>
      </c>
      <c r="J920" s="29">
        <f>COUNTIFS(실시간콜입력!$B:$B,$A920,실시간콜입력!$E:$E,"E",실시간콜입력!$G:$G,$B920,실시간콜입력!$O:$O,"방문완료")+COUNTIFS(실시간콜입력!$B:$B,$A920,실시간콜입력!$E:$E,"E",실시간콜입력!$H:$H,$B920,실시간콜입력!$O:$O,"방문완료")</f>
        <v>0</v>
      </c>
      <c r="K920" s="29">
        <f t="shared" si="121"/>
        <v>0</v>
      </c>
      <c r="L920" s="33">
        <f>SUMIFS(실시간콜입력!$K:$K,실시간콜입력!$B:$B,$A920,실시간콜입력!$G:$G,$B920,실시간콜입력!$O:$O,"방문완료")+SUMIFS(실시간콜입력!$L:$L,실시간콜입력!$B:$B,$A920,실시간콜입력!$H:$H,$B920,실시간콜입력!$O:$O,"방문완료")</f>
        <v>0</v>
      </c>
      <c r="M920" s="29" t="str">
        <f t="shared" si="122"/>
        <v/>
      </c>
      <c r="N920" s="29"/>
    </row>
    <row r="921" spans="1:14" ht="19.5" hidden="1" customHeight="1" outlineLevel="1">
      <c r="A921" s="24">
        <f>IF(18&lt;=DAY(DATE(YEAR(설정_코스수당!$K$2),MONTH(설정_코스수당!$K$2)+1,0)),DATE(YEAR(설정_코스수당!$K$2),MONTH(설정_코스수당!$K$2),18),"")</f>
        <v>46191</v>
      </c>
      <c r="B921" s="23" t="s">
        <v>193</v>
      </c>
      <c r="C921" s="29"/>
      <c r="D921" s="29"/>
      <c r="E921" s="29" t="str">
        <f t="shared" si="120"/>
        <v/>
      </c>
      <c r="F921" s="29">
        <f>COUNTIFS(실시간콜입력!$B:$B,$A921,실시간콜입력!$E:$E,"A",실시간콜입력!$G:$G,$B921,실시간콜입력!$O:$O,"방문완료")+COUNTIFS(실시간콜입력!$B:$B,$A921,실시간콜입력!$E:$E,"A",실시간콜입력!$H:$H,$B921,실시간콜입력!$O:$O,"방문완료")</f>
        <v>0</v>
      </c>
      <c r="G921" s="29">
        <f>COUNTIFS(실시간콜입력!$B:$B,$A921,실시간콜입력!$E:$E,"B",실시간콜입력!$G:$G,$B921,실시간콜입력!$O:$O,"방문완료")+COUNTIFS(실시간콜입력!$B:$B,$A921,실시간콜입력!$E:$E,"B",실시간콜입력!$H:$H,$B921,실시간콜입력!$O:$O,"방문완료")</f>
        <v>0</v>
      </c>
      <c r="H921" s="29">
        <f>COUNTIFS(실시간콜입력!$B:$B,$A921,실시간콜입력!$E:$E,"C",실시간콜입력!$G:$G,$B921,실시간콜입력!$O:$O,"방문완료")+COUNTIFS(실시간콜입력!$B:$B,$A921,실시간콜입력!$E:$E,"C",실시간콜입력!$H:$H,$B921,실시간콜입력!$O:$O,"방문완료")</f>
        <v>0</v>
      </c>
      <c r="I921" s="29">
        <f>COUNTIFS(실시간콜입력!$B:$B,$A921,실시간콜입력!$E:$E,"D",실시간콜입력!$G:$G,$B921,실시간콜입력!$O:$O,"방문완료")+COUNTIFS(실시간콜입력!$B:$B,$A921,실시간콜입력!$E:$E,"D",실시간콜입력!$H:$H,$B921,실시간콜입력!$O:$O,"방문완료")</f>
        <v>0</v>
      </c>
      <c r="J921" s="29">
        <f>COUNTIFS(실시간콜입력!$B:$B,$A921,실시간콜입력!$E:$E,"E",실시간콜입력!$G:$G,$B921,실시간콜입력!$O:$O,"방문완료")+COUNTIFS(실시간콜입력!$B:$B,$A921,실시간콜입력!$E:$E,"E",실시간콜입력!$H:$H,$B921,실시간콜입력!$O:$O,"방문완료")</f>
        <v>0</v>
      </c>
      <c r="K921" s="29">
        <f t="shared" si="121"/>
        <v>0</v>
      </c>
      <c r="L921" s="27">
        <f>SUMIFS(실시간콜입력!$K:$K,실시간콜입력!$B:$B,$A921,실시간콜입력!$G:$G,$B921,실시간콜입력!$O:$O,"방문완료")+SUMIFS(실시간콜입력!$L:$L,실시간콜입력!$B:$B,$A921,실시간콜입력!$H:$H,$B921,실시간콜입력!$O:$O,"방문완료")</f>
        <v>0</v>
      </c>
      <c r="M921" s="29" t="str">
        <f t="shared" si="122"/>
        <v/>
      </c>
      <c r="N921" s="29"/>
    </row>
    <row r="922" spans="1:14" ht="19.5" hidden="1" customHeight="1" outlineLevel="1">
      <c r="A922" s="30">
        <f>IF(18&lt;=DAY(DATE(YEAR(설정_코스수당!$K$2),MONTH(설정_코스수당!$K$2)+1,0)),DATE(YEAR(설정_코스수당!$K$2),MONTH(설정_코스수당!$K$2),18),"")</f>
        <v>46191</v>
      </c>
      <c r="B922" s="29" t="s">
        <v>194</v>
      </c>
      <c r="C922" s="29"/>
      <c r="D922" s="29"/>
      <c r="E922" s="29" t="str">
        <f t="shared" si="120"/>
        <v/>
      </c>
      <c r="F922" s="29">
        <f>COUNTIFS(실시간콜입력!$B:$B,$A922,실시간콜입력!$E:$E,"A",실시간콜입력!$G:$G,$B922,실시간콜입력!$O:$O,"방문완료")+COUNTIFS(실시간콜입력!$B:$B,$A922,실시간콜입력!$E:$E,"A",실시간콜입력!$H:$H,$B922,실시간콜입력!$O:$O,"방문완료")</f>
        <v>0</v>
      </c>
      <c r="G922" s="29">
        <f>COUNTIFS(실시간콜입력!$B:$B,$A922,실시간콜입력!$E:$E,"B",실시간콜입력!$G:$G,$B922,실시간콜입력!$O:$O,"방문완료")+COUNTIFS(실시간콜입력!$B:$B,$A922,실시간콜입력!$E:$E,"B",실시간콜입력!$H:$H,$B922,실시간콜입력!$O:$O,"방문완료")</f>
        <v>0</v>
      </c>
      <c r="H922" s="29">
        <f>COUNTIFS(실시간콜입력!$B:$B,$A922,실시간콜입력!$E:$E,"C",실시간콜입력!$G:$G,$B922,실시간콜입력!$O:$O,"방문완료")+COUNTIFS(실시간콜입력!$B:$B,$A922,실시간콜입력!$E:$E,"C",실시간콜입력!$H:$H,$B922,실시간콜입력!$O:$O,"방문완료")</f>
        <v>0</v>
      </c>
      <c r="I922" s="29">
        <f>COUNTIFS(실시간콜입력!$B:$B,$A922,실시간콜입력!$E:$E,"D",실시간콜입력!$G:$G,$B922,실시간콜입력!$O:$O,"방문완료")+COUNTIFS(실시간콜입력!$B:$B,$A922,실시간콜입력!$E:$E,"D",실시간콜입력!$H:$H,$B922,실시간콜입력!$O:$O,"방문완료")</f>
        <v>0</v>
      </c>
      <c r="J922" s="29">
        <f>COUNTIFS(실시간콜입력!$B:$B,$A922,실시간콜입력!$E:$E,"E",실시간콜입력!$G:$G,$B922,실시간콜입력!$O:$O,"방문완료")+COUNTIFS(실시간콜입력!$B:$B,$A922,실시간콜입력!$E:$E,"E",실시간콜입력!$H:$H,$B922,실시간콜입력!$O:$O,"방문완료")</f>
        <v>0</v>
      </c>
      <c r="K922" s="29">
        <f t="shared" si="121"/>
        <v>0</v>
      </c>
      <c r="L922" s="33">
        <f>SUMIFS(실시간콜입력!$K:$K,실시간콜입력!$B:$B,$A922,실시간콜입력!$G:$G,$B922,실시간콜입력!$O:$O,"방문완료")+SUMIFS(실시간콜입력!$L:$L,실시간콜입력!$B:$B,$A922,실시간콜입력!$H:$H,$B922,실시간콜입력!$O:$O,"방문완료")</f>
        <v>0</v>
      </c>
      <c r="M922" s="29" t="str">
        <f t="shared" si="122"/>
        <v/>
      </c>
      <c r="N922" s="29"/>
    </row>
    <row r="923" spans="1:14" ht="19.5" hidden="1" customHeight="1" outlineLevel="1">
      <c r="A923" s="24">
        <f>IF(18&lt;=DAY(DATE(YEAR(설정_코스수당!$K$2),MONTH(설정_코스수당!$K$2)+1,0)),DATE(YEAR(설정_코스수당!$K$2),MONTH(설정_코스수당!$K$2),18),"")</f>
        <v>46191</v>
      </c>
      <c r="B923" s="23" t="s">
        <v>195</v>
      </c>
      <c r="C923" s="29"/>
      <c r="D923" s="29"/>
      <c r="E923" s="29" t="str">
        <f t="shared" ref="E923:E954" si="123">IF(AND(C923&lt;&gt;"",D923&lt;&gt;""),IF(D923&lt;C923,D923+1-C923,D923-C923)*24,"")</f>
        <v/>
      </c>
      <c r="F923" s="29">
        <f>COUNTIFS(실시간콜입력!$B:$B,$A923,실시간콜입력!$E:$E,"A",실시간콜입력!$G:$G,$B923,실시간콜입력!$O:$O,"방문완료")+COUNTIFS(실시간콜입력!$B:$B,$A923,실시간콜입력!$E:$E,"A",실시간콜입력!$H:$H,$B923,실시간콜입력!$O:$O,"방문완료")</f>
        <v>0</v>
      </c>
      <c r="G923" s="29">
        <f>COUNTIFS(실시간콜입력!$B:$B,$A923,실시간콜입력!$E:$E,"B",실시간콜입력!$G:$G,$B923,실시간콜입력!$O:$O,"방문완료")+COUNTIFS(실시간콜입력!$B:$B,$A923,실시간콜입력!$E:$E,"B",실시간콜입력!$H:$H,$B923,실시간콜입력!$O:$O,"방문완료")</f>
        <v>0</v>
      </c>
      <c r="H923" s="29">
        <f>COUNTIFS(실시간콜입력!$B:$B,$A923,실시간콜입력!$E:$E,"C",실시간콜입력!$G:$G,$B923,실시간콜입력!$O:$O,"방문완료")+COUNTIFS(실시간콜입력!$B:$B,$A923,실시간콜입력!$E:$E,"C",실시간콜입력!$H:$H,$B923,실시간콜입력!$O:$O,"방문완료")</f>
        <v>0</v>
      </c>
      <c r="I923" s="29">
        <f>COUNTIFS(실시간콜입력!$B:$B,$A923,실시간콜입력!$E:$E,"D",실시간콜입력!$G:$G,$B923,실시간콜입력!$O:$O,"방문완료")+COUNTIFS(실시간콜입력!$B:$B,$A923,실시간콜입력!$E:$E,"D",실시간콜입력!$H:$H,$B923,실시간콜입력!$O:$O,"방문완료")</f>
        <v>0</v>
      </c>
      <c r="J923" s="29">
        <f>COUNTIFS(실시간콜입력!$B:$B,$A923,실시간콜입력!$E:$E,"E",실시간콜입력!$G:$G,$B923,실시간콜입력!$O:$O,"방문완료")+COUNTIFS(실시간콜입력!$B:$B,$A923,실시간콜입력!$E:$E,"E",실시간콜입력!$H:$H,$B923,실시간콜입력!$O:$O,"방문완료")</f>
        <v>0</v>
      </c>
      <c r="K923" s="29">
        <f t="shared" ref="K923:K954" si="124">SUM(F923:J923)</f>
        <v>0</v>
      </c>
      <c r="L923" s="27">
        <f>SUMIFS(실시간콜입력!$K:$K,실시간콜입력!$B:$B,$A923,실시간콜입력!$G:$G,$B923,실시간콜입력!$O:$O,"방문완료")+SUMIFS(실시간콜입력!$L:$L,실시간콜입력!$B:$B,$A923,실시간콜입력!$H:$H,$B923,실시간콜입력!$O:$O,"방문완료")</f>
        <v>0</v>
      </c>
      <c r="M923" s="29" t="str">
        <f t="shared" ref="M923:M940" si="125">IF(AND(ISNUMBER(E923),E923&gt;=8),"인정","")</f>
        <v/>
      </c>
      <c r="N923" s="29"/>
    </row>
    <row r="924" spans="1:14" ht="19.5" hidden="1" customHeight="1" outlineLevel="1">
      <c r="A924" s="30">
        <f>IF(18&lt;=DAY(DATE(YEAR(설정_코스수당!$K$2),MONTH(설정_코스수당!$K$2)+1,0)),DATE(YEAR(설정_코스수당!$K$2),MONTH(설정_코스수당!$K$2),18),"")</f>
        <v>46191</v>
      </c>
      <c r="B924" s="29" t="s">
        <v>196</v>
      </c>
      <c r="C924" s="29"/>
      <c r="D924" s="29"/>
      <c r="E924" s="29" t="str">
        <f t="shared" si="123"/>
        <v/>
      </c>
      <c r="F924" s="29">
        <f>COUNTIFS(실시간콜입력!$B:$B,$A924,실시간콜입력!$E:$E,"A",실시간콜입력!$G:$G,$B924,실시간콜입력!$O:$O,"방문완료")+COUNTIFS(실시간콜입력!$B:$B,$A924,실시간콜입력!$E:$E,"A",실시간콜입력!$H:$H,$B924,실시간콜입력!$O:$O,"방문완료")</f>
        <v>0</v>
      </c>
      <c r="G924" s="29">
        <f>COUNTIFS(실시간콜입력!$B:$B,$A924,실시간콜입력!$E:$E,"B",실시간콜입력!$G:$G,$B924,실시간콜입력!$O:$O,"방문완료")+COUNTIFS(실시간콜입력!$B:$B,$A924,실시간콜입력!$E:$E,"B",실시간콜입력!$H:$H,$B924,실시간콜입력!$O:$O,"방문완료")</f>
        <v>0</v>
      </c>
      <c r="H924" s="29">
        <f>COUNTIFS(실시간콜입력!$B:$B,$A924,실시간콜입력!$E:$E,"C",실시간콜입력!$G:$G,$B924,실시간콜입력!$O:$O,"방문완료")+COUNTIFS(실시간콜입력!$B:$B,$A924,실시간콜입력!$E:$E,"C",실시간콜입력!$H:$H,$B924,실시간콜입력!$O:$O,"방문완료")</f>
        <v>0</v>
      </c>
      <c r="I924" s="29">
        <f>COUNTIFS(실시간콜입력!$B:$B,$A924,실시간콜입력!$E:$E,"D",실시간콜입력!$G:$G,$B924,실시간콜입력!$O:$O,"방문완료")+COUNTIFS(실시간콜입력!$B:$B,$A924,실시간콜입력!$E:$E,"D",실시간콜입력!$H:$H,$B924,실시간콜입력!$O:$O,"방문완료")</f>
        <v>0</v>
      </c>
      <c r="J924" s="29">
        <f>COUNTIFS(실시간콜입력!$B:$B,$A924,실시간콜입력!$E:$E,"E",실시간콜입력!$G:$G,$B924,실시간콜입력!$O:$O,"방문완료")+COUNTIFS(실시간콜입력!$B:$B,$A924,실시간콜입력!$E:$E,"E",실시간콜입력!$H:$H,$B924,실시간콜입력!$O:$O,"방문완료")</f>
        <v>0</v>
      </c>
      <c r="K924" s="29">
        <f t="shared" si="124"/>
        <v>0</v>
      </c>
      <c r="L924" s="33">
        <f>SUMIFS(실시간콜입력!$K:$K,실시간콜입력!$B:$B,$A924,실시간콜입력!$G:$G,$B924,실시간콜입력!$O:$O,"방문완료")+SUMIFS(실시간콜입력!$L:$L,실시간콜입력!$B:$B,$A924,실시간콜입력!$H:$H,$B924,실시간콜입력!$O:$O,"방문완료")</f>
        <v>0</v>
      </c>
      <c r="M924" s="29" t="str">
        <f t="shared" si="125"/>
        <v/>
      </c>
      <c r="N924" s="29"/>
    </row>
    <row r="925" spans="1:14" ht="19.5" hidden="1" customHeight="1" outlineLevel="1">
      <c r="A925" s="24">
        <f>IF(18&lt;=DAY(DATE(YEAR(설정_코스수당!$K$2),MONTH(설정_코스수당!$K$2)+1,0)),DATE(YEAR(설정_코스수당!$K$2),MONTH(설정_코스수당!$K$2),18),"")</f>
        <v>46191</v>
      </c>
      <c r="B925" s="23" t="s">
        <v>197</v>
      </c>
      <c r="C925" s="29"/>
      <c r="D925" s="29"/>
      <c r="E925" s="29" t="str">
        <f t="shared" si="123"/>
        <v/>
      </c>
      <c r="F925" s="29">
        <f>COUNTIFS(실시간콜입력!$B:$B,$A925,실시간콜입력!$E:$E,"A",실시간콜입력!$G:$G,$B925,실시간콜입력!$O:$O,"방문완료")+COUNTIFS(실시간콜입력!$B:$B,$A925,실시간콜입력!$E:$E,"A",실시간콜입력!$H:$H,$B925,실시간콜입력!$O:$O,"방문완료")</f>
        <v>0</v>
      </c>
      <c r="G925" s="29">
        <f>COUNTIFS(실시간콜입력!$B:$B,$A925,실시간콜입력!$E:$E,"B",실시간콜입력!$G:$G,$B925,실시간콜입력!$O:$O,"방문완료")+COUNTIFS(실시간콜입력!$B:$B,$A925,실시간콜입력!$E:$E,"B",실시간콜입력!$H:$H,$B925,실시간콜입력!$O:$O,"방문완료")</f>
        <v>0</v>
      </c>
      <c r="H925" s="29">
        <f>COUNTIFS(실시간콜입력!$B:$B,$A925,실시간콜입력!$E:$E,"C",실시간콜입력!$G:$G,$B925,실시간콜입력!$O:$O,"방문완료")+COUNTIFS(실시간콜입력!$B:$B,$A925,실시간콜입력!$E:$E,"C",실시간콜입력!$H:$H,$B925,실시간콜입력!$O:$O,"방문완료")</f>
        <v>0</v>
      </c>
      <c r="I925" s="29">
        <f>COUNTIFS(실시간콜입력!$B:$B,$A925,실시간콜입력!$E:$E,"D",실시간콜입력!$G:$G,$B925,실시간콜입력!$O:$O,"방문완료")+COUNTIFS(실시간콜입력!$B:$B,$A925,실시간콜입력!$E:$E,"D",실시간콜입력!$H:$H,$B925,실시간콜입력!$O:$O,"방문완료")</f>
        <v>0</v>
      </c>
      <c r="J925" s="29">
        <f>COUNTIFS(실시간콜입력!$B:$B,$A925,실시간콜입력!$E:$E,"E",실시간콜입력!$G:$G,$B925,실시간콜입력!$O:$O,"방문완료")+COUNTIFS(실시간콜입력!$B:$B,$A925,실시간콜입력!$E:$E,"E",실시간콜입력!$H:$H,$B925,실시간콜입력!$O:$O,"방문완료")</f>
        <v>0</v>
      </c>
      <c r="K925" s="29">
        <f t="shared" si="124"/>
        <v>0</v>
      </c>
      <c r="L925" s="27">
        <f>SUMIFS(실시간콜입력!$K:$K,실시간콜입력!$B:$B,$A925,실시간콜입력!$G:$G,$B925,실시간콜입력!$O:$O,"방문완료")+SUMIFS(실시간콜입력!$L:$L,실시간콜입력!$B:$B,$A925,실시간콜입력!$H:$H,$B925,실시간콜입력!$O:$O,"방문완료")</f>
        <v>0</v>
      </c>
      <c r="M925" s="29" t="str">
        <f t="shared" si="125"/>
        <v/>
      </c>
      <c r="N925" s="29"/>
    </row>
    <row r="926" spans="1:14" ht="19.5" hidden="1" customHeight="1" outlineLevel="1">
      <c r="A926" s="30">
        <f>IF(18&lt;=DAY(DATE(YEAR(설정_코스수당!$K$2),MONTH(설정_코스수당!$K$2)+1,0)),DATE(YEAR(설정_코스수당!$K$2),MONTH(설정_코스수당!$K$2),18),"")</f>
        <v>46191</v>
      </c>
      <c r="B926" s="29" t="s">
        <v>198</v>
      </c>
      <c r="C926" s="29"/>
      <c r="D926" s="29"/>
      <c r="E926" s="29" t="str">
        <f t="shared" si="123"/>
        <v/>
      </c>
      <c r="F926" s="29">
        <f>COUNTIFS(실시간콜입력!$B:$B,$A926,실시간콜입력!$E:$E,"A",실시간콜입력!$G:$G,$B926,실시간콜입력!$O:$O,"방문완료")+COUNTIFS(실시간콜입력!$B:$B,$A926,실시간콜입력!$E:$E,"A",실시간콜입력!$H:$H,$B926,실시간콜입력!$O:$O,"방문완료")</f>
        <v>0</v>
      </c>
      <c r="G926" s="29">
        <f>COUNTIFS(실시간콜입력!$B:$B,$A926,실시간콜입력!$E:$E,"B",실시간콜입력!$G:$G,$B926,실시간콜입력!$O:$O,"방문완료")+COUNTIFS(실시간콜입력!$B:$B,$A926,실시간콜입력!$E:$E,"B",실시간콜입력!$H:$H,$B926,실시간콜입력!$O:$O,"방문완료")</f>
        <v>0</v>
      </c>
      <c r="H926" s="29">
        <f>COUNTIFS(실시간콜입력!$B:$B,$A926,실시간콜입력!$E:$E,"C",실시간콜입력!$G:$G,$B926,실시간콜입력!$O:$O,"방문완료")+COUNTIFS(실시간콜입력!$B:$B,$A926,실시간콜입력!$E:$E,"C",실시간콜입력!$H:$H,$B926,실시간콜입력!$O:$O,"방문완료")</f>
        <v>0</v>
      </c>
      <c r="I926" s="29">
        <f>COUNTIFS(실시간콜입력!$B:$B,$A926,실시간콜입력!$E:$E,"D",실시간콜입력!$G:$G,$B926,실시간콜입력!$O:$O,"방문완료")+COUNTIFS(실시간콜입력!$B:$B,$A926,실시간콜입력!$E:$E,"D",실시간콜입력!$H:$H,$B926,실시간콜입력!$O:$O,"방문완료")</f>
        <v>0</v>
      </c>
      <c r="J926" s="29">
        <f>COUNTIFS(실시간콜입력!$B:$B,$A926,실시간콜입력!$E:$E,"E",실시간콜입력!$G:$G,$B926,실시간콜입력!$O:$O,"방문완료")+COUNTIFS(실시간콜입력!$B:$B,$A926,실시간콜입력!$E:$E,"E",실시간콜입력!$H:$H,$B926,실시간콜입력!$O:$O,"방문완료")</f>
        <v>0</v>
      </c>
      <c r="K926" s="29">
        <f t="shared" si="124"/>
        <v>0</v>
      </c>
      <c r="L926" s="33">
        <f>SUMIFS(실시간콜입력!$K:$K,실시간콜입력!$B:$B,$A926,실시간콜입력!$G:$G,$B926,실시간콜입력!$O:$O,"방문완료")+SUMIFS(실시간콜입력!$L:$L,실시간콜입력!$B:$B,$A926,실시간콜입력!$H:$H,$B926,실시간콜입력!$O:$O,"방문완료")</f>
        <v>0</v>
      </c>
      <c r="M926" s="29" t="str">
        <f t="shared" si="125"/>
        <v/>
      </c>
      <c r="N926" s="29"/>
    </row>
    <row r="927" spans="1:14" ht="19.5" hidden="1" customHeight="1" outlineLevel="1">
      <c r="A927" s="24">
        <f>IF(18&lt;=DAY(DATE(YEAR(설정_코스수당!$K$2),MONTH(설정_코스수당!$K$2)+1,0)),DATE(YEAR(설정_코스수당!$K$2),MONTH(설정_코스수당!$K$2),18),"")</f>
        <v>46191</v>
      </c>
      <c r="B927" s="23" t="s">
        <v>199</v>
      </c>
      <c r="C927" s="29"/>
      <c r="D927" s="29"/>
      <c r="E927" s="29" t="str">
        <f t="shared" si="123"/>
        <v/>
      </c>
      <c r="F927" s="29">
        <f>COUNTIFS(실시간콜입력!$B:$B,$A927,실시간콜입력!$E:$E,"A",실시간콜입력!$G:$G,$B927,실시간콜입력!$O:$O,"방문완료")+COUNTIFS(실시간콜입력!$B:$B,$A927,실시간콜입력!$E:$E,"A",실시간콜입력!$H:$H,$B927,실시간콜입력!$O:$O,"방문완료")</f>
        <v>0</v>
      </c>
      <c r="G927" s="29">
        <f>COUNTIFS(실시간콜입력!$B:$B,$A927,실시간콜입력!$E:$E,"B",실시간콜입력!$G:$G,$B927,실시간콜입력!$O:$O,"방문완료")+COUNTIFS(실시간콜입력!$B:$B,$A927,실시간콜입력!$E:$E,"B",실시간콜입력!$H:$H,$B927,실시간콜입력!$O:$O,"방문완료")</f>
        <v>0</v>
      </c>
      <c r="H927" s="29">
        <f>COUNTIFS(실시간콜입력!$B:$B,$A927,실시간콜입력!$E:$E,"C",실시간콜입력!$G:$G,$B927,실시간콜입력!$O:$O,"방문완료")+COUNTIFS(실시간콜입력!$B:$B,$A927,실시간콜입력!$E:$E,"C",실시간콜입력!$H:$H,$B927,실시간콜입력!$O:$O,"방문완료")</f>
        <v>0</v>
      </c>
      <c r="I927" s="29">
        <f>COUNTIFS(실시간콜입력!$B:$B,$A927,실시간콜입력!$E:$E,"D",실시간콜입력!$G:$G,$B927,실시간콜입력!$O:$O,"방문완료")+COUNTIFS(실시간콜입력!$B:$B,$A927,실시간콜입력!$E:$E,"D",실시간콜입력!$H:$H,$B927,실시간콜입력!$O:$O,"방문완료")</f>
        <v>0</v>
      </c>
      <c r="J927" s="29">
        <f>COUNTIFS(실시간콜입력!$B:$B,$A927,실시간콜입력!$E:$E,"E",실시간콜입력!$G:$G,$B927,실시간콜입력!$O:$O,"방문완료")+COUNTIFS(실시간콜입력!$B:$B,$A927,실시간콜입력!$E:$E,"E",실시간콜입력!$H:$H,$B927,실시간콜입력!$O:$O,"방문완료")</f>
        <v>0</v>
      </c>
      <c r="K927" s="29">
        <f t="shared" si="124"/>
        <v>0</v>
      </c>
      <c r="L927" s="27">
        <f>SUMIFS(실시간콜입력!$K:$K,실시간콜입력!$B:$B,$A927,실시간콜입력!$G:$G,$B927,실시간콜입력!$O:$O,"방문완료")+SUMIFS(실시간콜입력!$L:$L,실시간콜입력!$B:$B,$A927,실시간콜입력!$H:$H,$B927,실시간콜입력!$O:$O,"방문완료")</f>
        <v>0</v>
      </c>
      <c r="M927" s="29" t="str">
        <f t="shared" si="125"/>
        <v/>
      </c>
      <c r="N927" s="29"/>
    </row>
    <row r="928" spans="1:14" ht="19.5" hidden="1" customHeight="1" outlineLevel="1">
      <c r="A928" s="30">
        <f>IF(18&lt;=DAY(DATE(YEAR(설정_코스수당!$K$2),MONTH(설정_코스수당!$K$2)+1,0)),DATE(YEAR(설정_코스수당!$K$2),MONTH(설정_코스수당!$K$2),18),"")</f>
        <v>46191</v>
      </c>
      <c r="B928" s="29" t="s">
        <v>200</v>
      </c>
      <c r="C928" s="29"/>
      <c r="D928" s="29"/>
      <c r="E928" s="29" t="str">
        <f t="shared" si="123"/>
        <v/>
      </c>
      <c r="F928" s="29">
        <f>COUNTIFS(실시간콜입력!$B:$B,$A928,실시간콜입력!$E:$E,"A",실시간콜입력!$G:$G,$B928,실시간콜입력!$O:$O,"방문완료")+COUNTIFS(실시간콜입력!$B:$B,$A928,실시간콜입력!$E:$E,"A",실시간콜입력!$H:$H,$B928,실시간콜입력!$O:$O,"방문완료")</f>
        <v>0</v>
      </c>
      <c r="G928" s="29">
        <f>COUNTIFS(실시간콜입력!$B:$B,$A928,실시간콜입력!$E:$E,"B",실시간콜입력!$G:$G,$B928,실시간콜입력!$O:$O,"방문완료")+COUNTIFS(실시간콜입력!$B:$B,$A928,실시간콜입력!$E:$E,"B",실시간콜입력!$H:$H,$B928,실시간콜입력!$O:$O,"방문완료")</f>
        <v>0</v>
      </c>
      <c r="H928" s="29">
        <f>COUNTIFS(실시간콜입력!$B:$B,$A928,실시간콜입력!$E:$E,"C",실시간콜입력!$G:$G,$B928,실시간콜입력!$O:$O,"방문완료")+COUNTIFS(실시간콜입력!$B:$B,$A928,실시간콜입력!$E:$E,"C",실시간콜입력!$H:$H,$B928,실시간콜입력!$O:$O,"방문완료")</f>
        <v>0</v>
      </c>
      <c r="I928" s="29">
        <f>COUNTIFS(실시간콜입력!$B:$B,$A928,실시간콜입력!$E:$E,"D",실시간콜입력!$G:$G,$B928,실시간콜입력!$O:$O,"방문완료")+COUNTIFS(실시간콜입력!$B:$B,$A928,실시간콜입력!$E:$E,"D",실시간콜입력!$H:$H,$B928,실시간콜입력!$O:$O,"방문완료")</f>
        <v>0</v>
      </c>
      <c r="J928" s="29">
        <f>COUNTIFS(실시간콜입력!$B:$B,$A928,실시간콜입력!$E:$E,"E",실시간콜입력!$G:$G,$B928,실시간콜입력!$O:$O,"방문완료")+COUNTIFS(실시간콜입력!$B:$B,$A928,실시간콜입력!$E:$E,"E",실시간콜입력!$H:$H,$B928,실시간콜입력!$O:$O,"방문완료")</f>
        <v>0</v>
      </c>
      <c r="K928" s="29">
        <f t="shared" si="124"/>
        <v>0</v>
      </c>
      <c r="L928" s="33">
        <f>SUMIFS(실시간콜입력!$K:$K,실시간콜입력!$B:$B,$A928,실시간콜입력!$G:$G,$B928,실시간콜입력!$O:$O,"방문완료")+SUMIFS(실시간콜입력!$L:$L,실시간콜입력!$B:$B,$A928,실시간콜입력!$H:$H,$B928,실시간콜입력!$O:$O,"방문완료")</f>
        <v>0</v>
      </c>
      <c r="M928" s="29" t="str">
        <f t="shared" si="125"/>
        <v/>
      </c>
      <c r="N928" s="29"/>
    </row>
    <row r="929" spans="1:14" ht="19.5" hidden="1" customHeight="1" outlineLevel="1">
      <c r="A929" s="24">
        <f>IF(18&lt;=DAY(DATE(YEAR(설정_코스수당!$K$2),MONTH(설정_코스수당!$K$2)+1,0)),DATE(YEAR(설정_코스수당!$K$2),MONTH(설정_코스수당!$K$2),18),"")</f>
        <v>46191</v>
      </c>
      <c r="B929" s="23" t="s">
        <v>201</v>
      </c>
      <c r="C929" s="29"/>
      <c r="D929" s="29"/>
      <c r="E929" s="29" t="str">
        <f t="shared" si="123"/>
        <v/>
      </c>
      <c r="F929" s="29">
        <f>COUNTIFS(실시간콜입력!$B:$B,$A929,실시간콜입력!$E:$E,"A",실시간콜입력!$G:$G,$B929,실시간콜입력!$O:$O,"방문완료")+COUNTIFS(실시간콜입력!$B:$B,$A929,실시간콜입력!$E:$E,"A",실시간콜입력!$H:$H,$B929,실시간콜입력!$O:$O,"방문완료")</f>
        <v>0</v>
      </c>
      <c r="G929" s="29">
        <f>COUNTIFS(실시간콜입력!$B:$B,$A929,실시간콜입력!$E:$E,"B",실시간콜입력!$G:$G,$B929,실시간콜입력!$O:$O,"방문완료")+COUNTIFS(실시간콜입력!$B:$B,$A929,실시간콜입력!$E:$E,"B",실시간콜입력!$H:$H,$B929,실시간콜입력!$O:$O,"방문완료")</f>
        <v>0</v>
      </c>
      <c r="H929" s="29">
        <f>COUNTIFS(실시간콜입력!$B:$B,$A929,실시간콜입력!$E:$E,"C",실시간콜입력!$G:$G,$B929,실시간콜입력!$O:$O,"방문완료")+COUNTIFS(실시간콜입력!$B:$B,$A929,실시간콜입력!$E:$E,"C",실시간콜입력!$H:$H,$B929,실시간콜입력!$O:$O,"방문완료")</f>
        <v>0</v>
      </c>
      <c r="I929" s="29">
        <f>COUNTIFS(실시간콜입력!$B:$B,$A929,실시간콜입력!$E:$E,"D",실시간콜입력!$G:$G,$B929,실시간콜입력!$O:$O,"방문완료")+COUNTIFS(실시간콜입력!$B:$B,$A929,실시간콜입력!$E:$E,"D",실시간콜입력!$H:$H,$B929,실시간콜입력!$O:$O,"방문완료")</f>
        <v>0</v>
      </c>
      <c r="J929" s="29">
        <f>COUNTIFS(실시간콜입력!$B:$B,$A929,실시간콜입력!$E:$E,"E",실시간콜입력!$G:$G,$B929,실시간콜입력!$O:$O,"방문완료")+COUNTIFS(실시간콜입력!$B:$B,$A929,실시간콜입력!$E:$E,"E",실시간콜입력!$H:$H,$B929,실시간콜입력!$O:$O,"방문완료")</f>
        <v>0</v>
      </c>
      <c r="K929" s="29">
        <f t="shared" si="124"/>
        <v>0</v>
      </c>
      <c r="L929" s="27">
        <f>SUMIFS(실시간콜입력!$K:$K,실시간콜입력!$B:$B,$A929,실시간콜입력!$G:$G,$B929,실시간콜입력!$O:$O,"방문완료")+SUMIFS(실시간콜입력!$L:$L,실시간콜입력!$B:$B,$A929,실시간콜입력!$H:$H,$B929,실시간콜입력!$O:$O,"방문완료")</f>
        <v>0</v>
      </c>
      <c r="M929" s="29" t="str">
        <f t="shared" si="125"/>
        <v/>
      </c>
      <c r="N929" s="29"/>
    </row>
    <row r="930" spans="1:14" ht="19.5" hidden="1" customHeight="1" outlineLevel="1">
      <c r="A930" s="30">
        <f>IF(18&lt;=DAY(DATE(YEAR(설정_코스수당!$K$2),MONTH(설정_코스수당!$K$2)+1,0)),DATE(YEAR(설정_코스수당!$K$2),MONTH(설정_코스수당!$K$2),18),"")</f>
        <v>46191</v>
      </c>
      <c r="B930" s="29" t="s">
        <v>202</v>
      </c>
      <c r="C930" s="29"/>
      <c r="D930" s="29"/>
      <c r="E930" s="29" t="str">
        <f t="shared" si="123"/>
        <v/>
      </c>
      <c r="F930" s="29">
        <f>COUNTIFS(실시간콜입력!$B:$B,$A930,실시간콜입력!$E:$E,"A",실시간콜입력!$G:$G,$B930,실시간콜입력!$O:$O,"방문완료")+COUNTIFS(실시간콜입력!$B:$B,$A930,실시간콜입력!$E:$E,"A",실시간콜입력!$H:$H,$B930,실시간콜입력!$O:$O,"방문완료")</f>
        <v>0</v>
      </c>
      <c r="G930" s="29">
        <f>COUNTIFS(실시간콜입력!$B:$B,$A930,실시간콜입력!$E:$E,"B",실시간콜입력!$G:$G,$B930,실시간콜입력!$O:$O,"방문완료")+COUNTIFS(실시간콜입력!$B:$B,$A930,실시간콜입력!$E:$E,"B",실시간콜입력!$H:$H,$B930,실시간콜입력!$O:$O,"방문완료")</f>
        <v>0</v>
      </c>
      <c r="H930" s="29">
        <f>COUNTIFS(실시간콜입력!$B:$B,$A930,실시간콜입력!$E:$E,"C",실시간콜입력!$G:$G,$B930,실시간콜입력!$O:$O,"방문완료")+COUNTIFS(실시간콜입력!$B:$B,$A930,실시간콜입력!$E:$E,"C",실시간콜입력!$H:$H,$B930,실시간콜입력!$O:$O,"방문완료")</f>
        <v>0</v>
      </c>
      <c r="I930" s="29">
        <f>COUNTIFS(실시간콜입력!$B:$B,$A930,실시간콜입력!$E:$E,"D",실시간콜입력!$G:$G,$B930,실시간콜입력!$O:$O,"방문완료")+COUNTIFS(실시간콜입력!$B:$B,$A930,실시간콜입력!$E:$E,"D",실시간콜입력!$H:$H,$B930,실시간콜입력!$O:$O,"방문완료")</f>
        <v>0</v>
      </c>
      <c r="J930" s="29">
        <f>COUNTIFS(실시간콜입력!$B:$B,$A930,실시간콜입력!$E:$E,"E",실시간콜입력!$G:$G,$B930,실시간콜입력!$O:$O,"방문완료")+COUNTIFS(실시간콜입력!$B:$B,$A930,실시간콜입력!$E:$E,"E",실시간콜입력!$H:$H,$B930,실시간콜입력!$O:$O,"방문완료")</f>
        <v>0</v>
      </c>
      <c r="K930" s="29">
        <f t="shared" si="124"/>
        <v>0</v>
      </c>
      <c r="L930" s="33">
        <f>SUMIFS(실시간콜입력!$K:$K,실시간콜입력!$B:$B,$A930,실시간콜입력!$G:$G,$B930,실시간콜입력!$O:$O,"방문완료")+SUMIFS(실시간콜입력!$L:$L,실시간콜입력!$B:$B,$A930,실시간콜입력!$H:$H,$B930,실시간콜입력!$O:$O,"방문완료")</f>
        <v>0</v>
      </c>
      <c r="M930" s="29" t="str">
        <f t="shared" si="125"/>
        <v/>
      </c>
      <c r="N930" s="29"/>
    </row>
    <row r="931" spans="1:14" ht="19.5" hidden="1" customHeight="1" outlineLevel="1">
      <c r="A931" s="24">
        <f>IF(18&lt;=DAY(DATE(YEAR(설정_코스수당!$K$2),MONTH(설정_코스수당!$K$2)+1,0)),DATE(YEAR(설정_코스수당!$K$2),MONTH(설정_코스수당!$K$2),18),"")</f>
        <v>46191</v>
      </c>
      <c r="B931" s="23" t="s">
        <v>203</v>
      </c>
      <c r="C931" s="29"/>
      <c r="D931" s="29"/>
      <c r="E931" s="29" t="str">
        <f t="shared" si="123"/>
        <v/>
      </c>
      <c r="F931" s="29">
        <f>COUNTIFS(실시간콜입력!$B:$B,$A931,실시간콜입력!$E:$E,"A",실시간콜입력!$G:$G,$B931,실시간콜입력!$O:$O,"방문완료")+COUNTIFS(실시간콜입력!$B:$B,$A931,실시간콜입력!$E:$E,"A",실시간콜입력!$H:$H,$B931,실시간콜입력!$O:$O,"방문완료")</f>
        <v>0</v>
      </c>
      <c r="G931" s="29">
        <f>COUNTIFS(실시간콜입력!$B:$B,$A931,실시간콜입력!$E:$E,"B",실시간콜입력!$G:$G,$B931,실시간콜입력!$O:$O,"방문완료")+COUNTIFS(실시간콜입력!$B:$B,$A931,실시간콜입력!$E:$E,"B",실시간콜입력!$H:$H,$B931,실시간콜입력!$O:$O,"방문완료")</f>
        <v>0</v>
      </c>
      <c r="H931" s="29">
        <f>COUNTIFS(실시간콜입력!$B:$B,$A931,실시간콜입력!$E:$E,"C",실시간콜입력!$G:$G,$B931,실시간콜입력!$O:$O,"방문완료")+COUNTIFS(실시간콜입력!$B:$B,$A931,실시간콜입력!$E:$E,"C",실시간콜입력!$H:$H,$B931,실시간콜입력!$O:$O,"방문완료")</f>
        <v>0</v>
      </c>
      <c r="I931" s="29">
        <f>COUNTIFS(실시간콜입력!$B:$B,$A931,실시간콜입력!$E:$E,"D",실시간콜입력!$G:$G,$B931,실시간콜입력!$O:$O,"방문완료")+COUNTIFS(실시간콜입력!$B:$B,$A931,실시간콜입력!$E:$E,"D",실시간콜입력!$H:$H,$B931,실시간콜입력!$O:$O,"방문완료")</f>
        <v>0</v>
      </c>
      <c r="J931" s="29">
        <f>COUNTIFS(실시간콜입력!$B:$B,$A931,실시간콜입력!$E:$E,"E",실시간콜입력!$G:$G,$B931,실시간콜입력!$O:$O,"방문완료")+COUNTIFS(실시간콜입력!$B:$B,$A931,실시간콜입력!$E:$E,"E",실시간콜입력!$H:$H,$B931,실시간콜입력!$O:$O,"방문완료")</f>
        <v>0</v>
      </c>
      <c r="K931" s="29">
        <f t="shared" si="124"/>
        <v>0</v>
      </c>
      <c r="L931" s="27">
        <f>SUMIFS(실시간콜입력!$K:$K,실시간콜입력!$B:$B,$A931,실시간콜입력!$G:$G,$B931,실시간콜입력!$O:$O,"방문완료")+SUMIFS(실시간콜입력!$L:$L,실시간콜입력!$B:$B,$A931,실시간콜입력!$H:$H,$B931,실시간콜입력!$O:$O,"방문완료")</f>
        <v>0</v>
      </c>
      <c r="M931" s="29" t="str">
        <f t="shared" si="125"/>
        <v/>
      </c>
      <c r="N931" s="29"/>
    </row>
    <row r="932" spans="1:14" ht="19.5" hidden="1" customHeight="1" outlineLevel="1">
      <c r="A932" s="30">
        <f>IF(18&lt;=DAY(DATE(YEAR(설정_코스수당!$K$2),MONTH(설정_코스수당!$K$2)+1,0)),DATE(YEAR(설정_코스수당!$K$2),MONTH(설정_코스수당!$K$2),18),"")</f>
        <v>46191</v>
      </c>
      <c r="B932" s="29" t="s">
        <v>204</v>
      </c>
      <c r="C932" s="29"/>
      <c r="D932" s="29"/>
      <c r="E932" s="29" t="str">
        <f t="shared" si="123"/>
        <v/>
      </c>
      <c r="F932" s="29">
        <f>COUNTIFS(실시간콜입력!$B:$B,$A932,실시간콜입력!$E:$E,"A",실시간콜입력!$G:$G,$B932,실시간콜입력!$O:$O,"방문완료")+COUNTIFS(실시간콜입력!$B:$B,$A932,실시간콜입력!$E:$E,"A",실시간콜입력!$H:$H,$B932,실시간콜입력!$O:$O,"방문완료")</f>
        <v>0</v>
      </c>
      <c r="G932" s="29">
        <f>COUNTIFS(실시간콜입력!$B:$B,$A932,실시간콜입력!$E:$E,"B",실시간콜입력!$G:$G,$B932,실시간콜입력!$O:$O,"방문완료")+COUNTIFS(실시간콜입력!$B:$B,$A932,실시간콜입력!$E:$E,"B",실시간콜입력!$H:$H,$B932,실시간콜입력!$O:$O,"방문완료")</f>
        <v>0</v>
      </c>
      <c r="H932" s="29">
        <f>COUNTIFS(실시간콜입력!$B:$B,$A932,실시간콜입력!$E:$E,"C",실시간콜입력!$G:$G,$B932,실시간콜입력!$O:$O,"방문완료")+COUNTIFS(실시간콜입력!$B:$B,$A932,실시간콜입력!$E:$E,"C",실시간콜입력!$H:$H,$B932,실시간콜입력!$O:$O,"방문완료")</f>
        <v>0</v>
      </c>
      <c r="I932" s="29">
        <f>COUNTIFS(실시간콜입력!$B:$B,$A932,실시간콜입력!$E:$E,"D",실시간콜입력!$G:$G,$B932,실시간콜입력!$O:$O,"방문완료")+COUNTIFS(실시간콜입력!$B:$B,$A932,실시간콜입력!$E:$E,"D",실시간콜입력!$H:$H,$B932,실시간콜입력!$O:$O,"방문완료")</f>
        <v>0</v>
      </c>
      <c r="J932" s="29">
        <f>COUNTIFS(실시간콜입력!$B:$B,$A932,실시간콜입력!$E:$E,"E",실시간콜입력!$G:$G,$B932,실시간콜입력!$O:$O,"방문완료")+COUNTIFS(실시간콜입력!$B:$B,$A932,실시간콜입력!$E:$E,"E",실시간콜입력!$H:$H,$B932,실시간콜입력!$O:$O,"방문완료")</f>
        <v>0</v>
      </c>
      <c r="K932" s="29">
        <f t="shared" si="124"/>
        <v>0</v>
      </c>
      <c r="L932" s="33">
        <f>SUMIFS(실시간콜입력!$K:$K,실시간콜입력!$B:$B,$A932,실시간콜입력!$G:$G,$B932,실시간콜입력!$O:$O,"방문완료")+SUMIFS(실시간콜입력!$L:$L,실시간콜입력!$B:$B,$A932,실시간콜입력!$H:$H,$B932,실시간콜입력!$O:$O,"방문완료")</f>
        <v>0</v>
      </c>
      <c r="M932" s="29" t="str">
        <f t="shared" si="125"/>
        <v/>
      </c>
      <c r="N932" s="29"/>
    </row>
    <row r="933" spans="1:14" ht="19.5" hidden="1" customHeight="1" outlineLevel="1">
      <c r="A933" s="24">
        <f>IF(18&lt;=DAY(DATE(YEAR(설정_코스수당!$K$2),MONTH(설정_코스수당!$K$2)+1,0)),DATE(YEAR(설정_코스수당!$K$2),MONTH(설정_코스수당!$K$2),18),"")</f>
        <v>46191</v>
      </c>
      <c r="B933" s="23" t="s">
        <v>205</v>
      </c>
      <c r="C933" s="29"/>
      <c r="D933" s="29"/>
      <c r="E933" s="29" t="str">
        <f t="shared" si="123"/>
        <v/>
      </c>
      <c r="F933" s="29">
        <f>COUNTIFS(실시간콜입력!$B:$B,$A933,실시간콜입력!$E:$E,"A",실시간콜입력!$G:$G,$B933,실시간콜입력!$O:$O,"방문완료")+COUNTIFS(실시간콜입력!$B:$B,$A933,실시간콜입력!$E:$E,"A",실시간콜입력!$H:$H,$B933,실시간콜입력!$O:$O,"방문완료")</f>
        <v>0</v>
      </c>
      <c r="G933" s="29">
        <f>COUNTIFS(실시간콜입력!$B:$B,$A933,실시간콜입력!$E:$E,"B",실시간콜입력!$G:$G,$B933,실시간콜입력!$O:$O,"방문완료")+COUNTIFS(실시간콜입력!$B:$B,$A933,실시간콜입력!$E:$E,"B",실시간콜입력!$H:$H,$B933,실시간콜입력!$O:$O,"방문완료")</f>
        <v>0</v>
      </c>
      <c r="H933" s="29">
        <f>COUNTIFS(실시간콜입력!$B:$B,$A933,실시간콜입력!$E:$E,"C",실시간콜입력!$G:$G,$B933,실시간콜입력!$O:$O,"방문완료")+COUNTIFS(실시간콜입력!$B:$B,$A933,실시간콜입력!$E:$E,"C",실시간콜입력!$H:$H,$B933,실시간콜입력!$O:$O,"방문완료")</f>
        <v>0</v>
      </c>
      <c r="I933" s="29">
        <f>COUNTIFS(실시간콜입력!$B:$B,$A933,실시간콜입력!$E:$E,"D",실시간콜입력!$G:$G,$B933,실시간콜입력!$O:$O,"방문완료")+COUNTIFS(실시간콜입력!$B:$B,$A933,실시간콜입력!$E:$E,"D",실시간콜입력!$H:$H,$B933,실시간콜입력!$O:$O,"방문완료")</f>
        <v>0</v>
      </c>
      <c r="J933" s="29">
        <f>COUNTIFS(실시간콜입력!$B:$B,$A933,실시간콜입력!$E:$E,"E",실시간콜입력!$G:$G,$B933,실시간콜입력!$O:$O,"방문완료")+COUNTIFS(실시간콜입력!$B:$B,$A933,실시간콜입력!$E:$E,"E",실시간콜입력!$H:$H,$B933,실시간콜입력!$O:$O,"방문완료")</f>
        <v>0</v>
      </c>
      <c r="K933" s="29">
        <f t="shared" si="124"/>
        <v>0</v>
      </c>
      <c r="L933" s="27">
        <f>SUMIFS(실시간콜입력!$K:$K,실시간콜입력!$B:$B,$A933,실시간콜입력!$G:$G,$B933,실시간콜입력!$O:$O,"방문완료")+SUMIFS(실시간콜입력!$L:$L,실시간콜입력!$B:$B,$A933,실시간콜입력!$H:$H,$B933,실시간콜입력!$O:$O,"방문완료")</f>
        <v>0</v>
      </c>
      <c r="M933" s="29" t="str">
        <f t="shared" si="125"/>
        <v/>
      </c>
      <c r="N933" s="29"/>
    </row>
    <row r="934" spans="1:14" ht="19.5" hidden="1" customHeight="1" outlineLevel="1">
      <c r="A934" s="30">
        <f>IF(18&lt;=DAY(DATE(YEAR(설정_코스수당!$K$2),MONTH(설정_코스수당!$K$2)+1,0)),DATE(YEAR(설정_코스수당!$K$2),MONTH(설정_코스수당!$K$2),18),"")</f>
        <v>46191</v>
      </c>
      <c r="B934" s="29" t="s">
        <v>206</v>
      </c>
      <c r="C934" s="29"/>
      <c r="D934" s="29"/>
      <c r="E934" s="29" t="str">
        <f t="shared" si="123"/>
        <v/>
      </c>
      <c r="F934" s="29">
        <f>COUNTIFS(실시간콜입력!$B:$B,$A934,실시간콜입력!$E:$E,"A",실시간콜입력!$G:$G,$B934,실시간콜입력!$O:$O,"방문완료")+COUNTIFS(실시간콜입력!$B:$B,$A934,실시간콜입력!$E:$E,"A",실시간콜입력!$H:$H,$B934,실시간콜입력!$O:$O,"방문완료")</f>
        <v>0</v>
      </c>
      <c r="G934" s="29">
        <f>COUNTIFS(실시간콜입력!$B:$B,$A934,실시간콜입력!$E:$E,"B",실시간콜입력!$G:$G,$B934,실시간콜입력!$O:$O,"방문완료")+COUNTIFS(실시간콜입력!$B:$B,$A934,실시간콜입력!$E:$E,"B",실시간콜입력!$H:$H,$B934,실시간콜입력!$O:$O,"방문완료")</f>
        <v>0</v>
      </c>
      <c r="H934" s="29">
        <f>COUNTIFS(실시간콜입력!$B:$B,$A934,실시간콜입력!$E:$E,"C",실시간콜입력!$G:$G,$B934,실시간콜입력!$O:$O,"방문완료")+COUNTIFS(실시간콜입력!$B:$B,$A934,실시간콜입력!$E:$E,"C",실시간콜입력!$H:$H,$B934,실시간콜입력!$O:$O,"방문완료")</f>
        <v>0</v>
      </c>
      <c r="I934" s="29">
        <f>COUNTIFS(실시간콜입력!$B:$B,$A934,실시간콜입력!$E:$E,"D",실시간콜입력!$G:$G,$B934,실시간콜입력!$O:$O,"방문완료")+COUNTIFS(실시간콜입력!$B:$B,$A934,실시간콜입력!$E:$E,"D",실시간콜입력!$H:$H,$B934,실시간콜입력!$O:$O,"방문완료")</f>
        <v>0</v>
      </c>
      <c r="J934" s="29">
        <f>COUNTIFS(실시간콜입력!$B:$B,$A934,실시간콜입력!$E:$E,"E",실시간콜입력!$G:$G,$B934,실시간콜입력!$O:$O,"방문완료")+COUNTIFS(실시간콜입력!$B:$B,$A934,실시간콜입력!$E:$E,"E",실시간콜입력!$H:$H,$B934,실시간콜입력!$O:$O,"방문완료")</f>
        <v>0</v>
      </c>
      <c r="K934" s="29">
        <f t="shared" si="124"/>
        <v>0</v>
      </c>
      <c r="L934" s="33">
        <f>SUMIFS(실시간콜입력!$K:$K,실시간콜입력!$B:$B,$A934,실시간콜입력!$G:$G,$B934,실시간콜입력!$O:$O,"방문완료")+SUMIFS(실시간콜입력!$L:$L,실시간콜입력!$B:$B,$A934,실시간콜입력!$H:$H,$B934,실시간콜입력!$O:$O,"방문완료")</f>
        <v>0</v>
      </c>
      <c r="M934" s="29" t="str">
        <f t="shared" si="125"/>
        <v/>
      </c>
      <c r="N934" s="29"/>
    </row>
    <row r="935" spans="1:14" ht="19.5" hidden="1" customHeight="1" outlineLevel="1">
      <c r="A935" s="24">
        <f>IF(18&lt;=DAY(DATE(YEAR(설정_코스수당!$K$2),MONTH(설정_코스수당!$K$2)+1,0)),DATE(YEAR(설정_코스수당!$K$2),MONTH(설정_코스수당!$K$2),18),"")</f>
        <v>46191</v>
      </c>
      <c r="B935" s="23" t="s">
        <v>207</v>
      </c>
      <c r="C935" s="29"/>
      <c r="D935" s="29"/>
      <c r="E935" s="29" t="str">
        <f t="shared" si="123"/>
        <v/>
      </c>
      <c r="F935" s="29">
        <f>COUNTIFS(실시간콜입력!$B:$B,$A935,실시간콜입력!$E:$E,"A",실시간콜입력!$G:$G,$B935,실시간콜입력!$O:$O,"방문완료")+COUNTIFS(실시간콜입력!$B:$B,$A935,실시간콜입력!$E:$E,"A",실시간콜입력!$H:$H,$B935,실시간콜입력!$O:$O,"방문완료")</f>
        <v>0</v>
      </c>
      <c r="G935" s="29">
        <f>COUNTIFS(실시간콜입력!$B:$B,$A935,실시간콜입력!$E:$E,"B",실시간콜입력!$G:$G,$B935,실시간콜입력!$O:$O,"방문완료")+COUNTIFS(실시간콜입력!$B:$B,$A935,실시간콜입력!$E:$E,"B",실시간콜입력!$H:$H,$B935,실시간콜입력!$O:$O,"방문완료")</f>
        <v>0</v>
      </c>
      <c r="H935" s="29">
        <f>COUNTIFS(실시간콜입력!$B:$B,$A935,실시간콜입력!$E:$E,"C",실시간콜입력!$G:$G,$B935,실시간콜입력!$O:$O,"방문완료")+COUNTIFS(실시간콜입력!$B:$B,$A935,실시간콜입력!$E:$E,"C",실시간콜입력!$H:$H,$B935,실시간콜입력!$O:$O,"방문완료")</f>
        <v>0</v>
      </c>
      <c r="I935" s="29">
        <f>COUNTIFS(실시간콜입력!$B:$B,$A935,실시간콜입력!$E:$E,"D",실시간콜입력!$G:$G,$B935,실시간콜입력!$O:$O,"방문완료")+COUNTIFS(실시간콜입력!$B:$B,$A935,실시간콜입력!$E:$E,"D",실시간콜입력!$H:$H,$B935,실시간콜입력!$O:$O,"방문완료")</f>
        <v>0</v>
      </c>
      <c r="J935" s="29">
        <f>COUNTIFS(실시간콜입력!$B:$B,$A935,실시간콜입력!$E:$E,"E",실시간콜입력!$G:$G,$B935,실시간콜입력!$O:$O,"방문완료")+COUNTIFS(실시간콜입력!$B:$B,$A935,실시간콜입력!$E:$E,"E",실시간콜입력!$H:$H,$B935,실시간콜입력!$O:$O,"방문완료")</f>
        <v>0</v>
      </c>
      <c r="K935" s="29">
        <f t="shared" si="124"/>
        <v>0</v>
      </c>
      <c r="L935" s="27">
        <f>SUMIFS(실시간콜입력!$K:$K,실시간콜입력!$B:$B,$A935,실시간콜입력!$G:$G,$B935,실시간콜입력!$O:$O,"방문완료")+SUMIFS(실시간콜입력!$L:$L,실시간콜입력!$B:$B,$A935,실시간콜입력!$H:$H,$B935,실시간콜입력!$O:$O,"방문완료")</f>
        <v>0</v>
      </c>
      <c r="M935" s="29" t="str">
        <f t="shared" si="125"/>
        <v/>
      </c>
      <c r="N935" s="29"/>
    </row>
    <row r="936" spans="1:14" ht="19.5" hidden="1" customHeight="1" outlineLevel="1">
      <c r="A936" s="30">
        <f>IF(18&lt;=DAY(DATE(YEAR(설정_코스수당!$K$2),MONTH(설정_코스수당!$K$2)+1,0)),DATE(YEAR(설정_코스수당!$K$2),MONTH(설정_코스수당!$K$2),18),"")</f>
        <v>46191</v>
      </c>
      <c r="B936" s="29" t="s">
        <v>208</v>
      </c>
      <c r="C936" s="29"/>
      <c r="D936" s="29"/>
      <c r="E936" s="29" t="str">
        <f t="shared" si="123"/>
        <v/>
      </c>
      <c r="F936" s="29">
        <f>COUNTIFS(실시간콜입력!$B:$B,$A936,실시간콜입력!$E:$E,"A",실시간콜입력!$G:$G,$B936,실시간콜입력!$O:$O,"방문완료")+COUNTIFS(실시간콜입력!$B:$B,$A936,실시간콜입력!$E:$E,"A",실시간콜입력!$H:$H,$B936,실시간콜입력!$O:$O,"방문완료")</f>
        <v>0</v>
      </c>
      <c r="G936" s="29">
        <f>COUNTIFS(실시간콜입력!$B:$B,$A936,실시간콜입력!$E:$E,"B",실시간콜입력!$G:$G,$B936,실시간콜입력!$O:$O,"방문완료")+COUNTIFS(실시간콜입력!$B:$B,$A936,실시간콜입력!$E:$E,"B",실시간콜입력!$H:$H,$B936,실시간콜입력!$O:$O,"방문완료")</f>
        <v>0</v>
      </c>
      <c r="H936" s="29">
        <f>COUNTIFS(실시간콜입력!$B:$B,$A936,실시간콜입력!$E:$E,"C",실시간콜입력!$G:$G,$B936,실시간콜입력!$O:$O,"방문완료")+COUNTIFS(실시간콜입력!$B:$B,$A936,실시간콜입력!$E:$E,"C",실시간콜입력!$H:$H,$B936,실시간콜입력!$O:$O,"방문완료")</f>
        <v>0</v>
      </c>
      <c r="I936" s="29">
        <f>COUNTIFS(실시간콜입력!$B:$B,$A936,실시간콜입력!$E:$E,"D",실시간콜입력!$G:$G,$B936,실시간콜입력!$O:$O,"방문완료")+COUNTIFS(실시간콜입력!$B:$B,$A936,실시간콜입력!$E:$E,"D",실시간콜입력!$H:$H,$B936,실시간콜입력!$O:$O,"방문완료")</f>
        <v>0</v>
      </c>
      <c r="J936" s="29">
        <f>COUNTIFS(실시간콜입력!$B:$B,$A936,실시간콜입력!$E:$E,"E",실시간콜입력!$G:$G,$B936,실시간콜입력!$O:$O,"방문완료")+COUNTIFS(실시간콜입력!$B:$B,$A936,실시간콜입력!$E:$E,"E",실시간콜입력!$H:$H,$B936,실시간콜입력!$O:$O,"방문완료")</f>
        <v>0</v>
      </c>
      <c r="K936" s="29">
        <f t="shared" si="124"/>
        <v>0</v>
      </c>
      <c r="L936" s="33">
        <f>SUMIFS(실시간콜입력!$K:$K,실시간콜입력!$B:$B,$A936,실시간콜입력!$G:$G,$B936,실시간콜입력!$O:$O,"방문완료")+SUMIFS(실시간콜입력!$L:$L,실시간콜입력!$B:$B,$A936,실시간콜입력!$H:$H,$B936,실시간콜입력!$O:$O,"방문완료")</f>
        <v>0</v>
      </c>
      <c r="M936" s="29" t="str">
        <f t="shared" si="125"/>
        <v/>
      </c>
      <c r="N936" s="29"/>
    </row>
    <row r="937" spans="1:14" ht="19.5" hidden="1" customHeight="1" outlineLevel="1">
      <c r="A937" s="24">
        <f>IF(18&lt;=DAY(DATE(YEAR(설정_코스수당!$K$2),MONTH(설정_코스수당!$K$2)+1,0)),DATE(YEAR(설정_코스수당!$K$2),MONTH(설정_코스수당!$K$2),18),"")</f>
        <v>46191</v>
      </c>
      <c r="B937" s="23" t="s">
        <v>209</v>
      </c>
      <c r="C937" s="29"/>
      <c r="D937" s="29"/>
      <c r="E937" s="29" t="str">
        <f t="shared" si="123"/>
        <v/>
      </c>
      <c r="F937" s="29">
        <f>COUNTIFS(실시간콜입력!$B:$B,$A937,실시간콜입력!$E:$E,"A",실시간콜입력!$G:$G,$B937,실시간콜입력!$O:$O,"방문완료")+COUNTIFS(실시간콜입력!$B:$B,$A937,실시간콜입력!$E:$E,"A",실시간콜입력!$H:$H,$B937,실시간콜입력!$O:$O,"방문완료")</f>
        <v>0</v>
      </c>
      <c r="G937" s="29">
        <f>COUNTIFS(실시간콜입력!$B:$B,$A937,실시간콜입력!$E:$E,"B",실시간콜입력!$G:$G,$B937,실시간콜입력!$O:$O,"방문완료")+COUNTIFS(실시간콜입력!$B:$B,$A937,실시간콜입력!$E:$E,"B",실시간콜입력!$H:$H,$B937,실시간콜입력!$O:$O,"방문완료")</f>
        <v>0</v>
      </c>
      <c r="H937" s="29">
        <f>COUNTIFS(실시간콜입력!$B:$B,$A937,실시간콜입력!$E:$E,"C",실시간콜입력!$G:$G,$B937,실시간콜입력!$O:$O,"방문완료")+COUNTIFS(실시간콜입력!$B:$B,$A937,실시간콜입력!$E:$E,"C",실시간콜입력!$H:$H,$B937,실시간콜입력!$O:$O,"방문완료")</f>
        <v>0</v>
      </c>
      <c r="I937" s="29">
        <f>COUNTIFS(실시간콜입력!$B:$B,$A937,실시간콜입력!$E:$E,"D",실시간콜입력!$G:$G,$B937,실시간콜입력!$O:$O,"방문완료")+COUNTIFS(실시간콜입력!$B:$B,$A937,실시간콜입력!$E:$E,"D",실시간콜입력!$H:$H,$B937,실시간콜입력!$O:$O,"방문완료")</f>
        <v>0</v>
      </c>
      <c r="J937" s="29">
        <f>COUNTIFS(실시간콜입력!$B:$B,$A937,실시간콜입력!$E:$E,"E",실시간콜입력!$G:$G,$B937,실시간콜입력!$O:$O,"방문완료")+COUNTIFS(실시간콜입력!$B:$B,$A937,실시간콜입력!$E:$E,"E",실시간콜입력!$H:$H,$B937,실시간콜입력!$O:$O,"방문완료")</f>
        <v>0</v>
      </c>
      <c r="K937" s="29">
        <f t="shared" si="124"/>
        <v>0</v>
      </c>
      <c r="L937" s="27">
        <f>SUMIFS(실시간콜입력!$K:$K,실시간콜입력!$B:$B,$A937,실시간콜입력!$G:$G,$B937,실시간콜입력!$O:$O,"방문완료")+SUMIFS(실시간콜입력!$L:$L,실시간콜입력!$B:$B,$A937,실시간콜입력!$H:$H,$B937,실시간콜입력!$O:$O,"방문완료")</f>
        <v>0</v>
      </c>
      <c r="M937" s="29" t="str">
        <f t="shared" si="125"/>
        <v/>
      </c>
      <c r="N937" s="29"/>
    </row>
    <row r="938" spans="1:14" ht="19.5" hidden="1" customHeight="1" outlineLevel="1">
      <c r="A938" s="30">
        <f>IF(18&lt;=DAY(DATE(YEAR(설정_코스수당!$K$2),MONTH(설정_코스수당!$K$2)+1,0)),DATE(YEAR(설정_코스수당!$K$2),MONTH(설정_코스수당!$K$2),18),"")</f>
        <v>46191</v>
      </c>
      <c r="B938" s="29" t="s">
        <v>210</v>
      </c>
      <c r="C938" s="29"/>
      <c r="D938" s="29"/>
      <c r="E938" s="29" t="str">
        <f t="shared" si="123"/>
        <v/>
      </c>
      <c r="F938" s="29">
        <f>COUNTIFS(실시간콜입력!$B:$B,$A938,실시간콜입력!$E:$E,"A",실시간콜입력!$G:$G,$B938,실시간콜입력!$O:$O,"방문완료")+COUNTIFS(실시간콜입력!$B:$B,$A938,실시간콜입력!$E:$E,"A",실시간콜입력!$H:$H,$B938,실시간콜입력!$O:$O,"방문완료")</f>
        <v>0</v>
      </c>
      <c r="G938" s="29">
        <f>COUNTIFS(실시간콜입력!$B:$B,$A938,실시간콜입력!$E:$E,"B",실시간콜입력!$G:$G,$B938,실시간콜입력!$O:$O,"방문완료")+COUNTIFS(실시간콜입력!$B:$B,$A938,실시간콜입력!$E:$E,"B",실시간콜입력!$H:$H,$B938,실시간콜입력!$O:$O,"방문완료")</f>
        <v>0</v>
      </c>
      <c r="H938" s="29">
        <f>COUNTIFS(실시간콜입력!$B:$B,$A938,실시간콜입력!$E:$E,"C",실시간콜입력!$G:$G,$B938,실시간콜입력!$O:$O,"방문완료")+COUNTIFS(실시간콜입력!$B:$B,$A938,실시간콜입력!$E:$E,"C",실시간콜입력!$H:$H,$B938,실시간콜입력!$O:$O,"방문완료")</f>
        <v>0</v>
      </c>
      <c r="I938" s="29">
        <f>COUNTIFS(실시간콜입력!$B:$B,$A938,실시간콜입력!$E:$E,"D",실시간콜입력!$G:$G,$B938,실시간콜입력!$O:$O,"방문완료")+COUNTIFS(실시간콜입력!$B:$B,$A938,실시간콜입력!$E:$E,"D",실시간콜입력!$H:$H,$B938,실시간콜입력!$O:$O,"방문완료")</f>
        <v>0</v>
      </c>
      <c r="J938" s="29">
        <f>COUNTIFS(실시간콜입력!$B:$B,$A938,실시간콜입력!$E:$E,"E",실시간콜입력!$G:$G,$B938,실시간콜입력!$O:$O,"방문완료")+COUNTIFS(실시간콜입력!$B:$B,$A938,실시간콜입력!$E:$E,"E",실시간콜입력!$H:$H,$B938,실시간콜입력!$O:$O,"방문완료")</f>
        <v>0</v>
      </c>
      <c r="K938" s="29">
        <f t="shared" si="124"/>
        <v>0</v>
      </c>
      <c r="L938" s="33">
        <f>SUMIFS(실시간콜입력!$K:$K,실시간콜입력!$B:$B,$A938,실시간콜입력!$G:$G,$B938,실시간콜입력!$O:$O,"방문완료")+SUMIFS(실시간콜입력!$L:$L,실시간콜입력!$B:$B,$A938,실시간콜입력!$H:$H,$B938,실시간콜입력!$O:$O,"방문완료")</f>
        <v>0</v>
      </c>
      <c r="M938" s="29" t="str">
        <f t="shared" si="125"/>
        <v/>
      </c>
      <c r="N938" s="29"/>
    </row>
    <row r="939" spans="1:14" ht="19.5" hidden="1" customHeight="1" outlineLevel="1">
      <c r="A939" s="24">
        <f>IF(18&lt;=DAY(DATE(YEAR(설정_코스수당!$K$2),MONTH(설정_코스수당!$K$2)+1,0)),DATE(YEAR(설정_코스수당!$K$2),MONTH(설정_코스수당!$K$2),18),"")</f>
        <v>46191</v>
      </c>
      <c r="B939" s="23" t="s">
        <v>211</v>
      </c>
      <c r="C939" s="29"/>
      <c r="D939" s="29"/>
      <c r="E939" s="29" t="str">
        <f t="shared" si="123"/>
        <v/>
      </c>
      <c r="F939" s="29">
        <f>COUNTIFS(실시간콜입력!$B:$B,$A939,실시간콜입력!$E:$E,"A",실시간콜입력!$G:$G,$B939,실시간콜입력!$O:$O,"방문완료")+COUNTIFS(실시간콜입력!$B:$B,$A939,실시간콜입력!$E:$E,"A",실시간콜입력!$H:$H,$B939,실시간콜입력!$O:$O,"방문완료")</f>
        <v>0</v>
      </c>
      <c r="G939" s="29">
        <f>COUNTIFS(실시간콜입력!$B:$B,$A939,실시간콜입력!$E:$E,"B",실시간콜입력!$G:$G,$B939,실시간콜입력!$O:$O,"방문완료")+COUNTIFS(실시간콜입력!$B:$B,$A939,실시간콜입력!$E:$E,"B",실시간콜입력!$H:$H,$B939,실시간콜입력!$O:$O,"방문완료")</f>
        <v>0</v>
      </c>
      <c r="H939" s="29">
        <f>COUNTIFS(실시간콜입력!$B:$B,$A939,실시간콜입력!$E:$E,"C",실시간콜입력!$G:$G,$B939,실시간콜입력!$O:$O,"방문완료")+COUNTIFS(실시간콜입력!$B:$B,$A939,실시간콜입력!$E:$E,"C",실시간콜입력!$H:$H,$B939,실시간콜입력!$O:$O,"방문완료")</f>
        <v>0</v>
      </c>
      <c r="I939" s="29">
        <f>COUNTIFS(실시간콜입력!$B:$B,$A939,실시간콜입력!$E:$E,"D",실시간콜입력!$G:$G,$B939,실시간콜입력!$O:$O,"방문완료")+COUNTIFS(실시간콜입력!$B:$B,$A939,실시간콜입력!$E:$E,"D",실시간콜입력!$H:$H,$B939,실시간콜입력!$O:$O,"방문완료")</f>
        <v>0</v>
      </c>
      <c r="J939" s="29">
        <f>COUNTIFS(실시간콜입력!$B:$B,$A939,실시간콜입력!$E:$E,"E",실시간콜입력!$G:$G,$B939,실시간콜입력!$O:$O,"방문완료")+COUNTIFS(실시간콜입력!$B:$B,$A939,실시간콜입력!$E:$E,"E",실시간콜입력!$H:$H,$B939,실시간콜입력!$O:$O,"방문완료")</f>
        <v>0</v>
      </c>
      <c r="K939" s="29">
        <f t="shared" si="124"/>
        <v>0</v>
      </c>
      <c r="L939" s="27">
        <f>SUMIFS(실시간콜입력!$K:$K,실시간콜입력!$B:$B,$A939,실시간콜입력!$G:$G,$B939,실시간콜입력!$O:$O,"방문완료")+SUMIFS(실시간콜입력!$L:$L,실시간콜입력!$B:$B,$A939,실시간콜입력!$H:$H,$B939,실시간콜입력!$O:$O,"방문완료")</f>
        <v>0</v>
      </c>
      <c r="M939" s="29" t="str">
        <f t="shared" si="125"/>
        <v/>
      </c>
      <c r="N939" s="29"/>
    </row>
    <row r="940" spans="1:14" ht="19.5" hidden="1" customHeight="1" outlineLevel="1">
      <c r="A940" s="30">
        <f>IF(18&lt;=DAY(DATE(YEAR(설정_코스수당!$K$2),MONTH(설정_코스수당!$K$2)+1,0)),DATE(YEAR(설정_코스수당!$K$2),MONTH(설정_코스수당!$K$2),18),"")</f>
        <v>46191</v>
      </c>
      <c r="B940" s="29" t="s">
        <v>212</v>
      </c>
      <c r="C940" s="29"/>
      <c r="D940" s="29"/>
      <c r="E940" s="29" t="str">
        <f t="shared" si="123"/>
        <v/>
      </c>
      <c r="F940" s="29">
        <f>COUNTIFS(실시간콜입력!$B:$B,$A940,실시간콜입력!$E:$E,"A",실시간콜입력!$G:$G,$B940,실시간콜입력!$O:$O,"방문완료")+COUNTIFS(실시간콜입력!$B:$B,$A940,실시간콜입력!$E:$E,"A",실시간콜입력!$H:$H,$B940,실시간콜입력!$O:$O,"방문완료")</f>
        <v>0</v>
      </c>
      <c r="G940" s="29">
        <f>COUNTIFS(실시간콜입력!$B:$B,$A940,실시간콜입력!$E:$E,"B",실시간콜입력!$G:$G,$B940,실시간콜입력!$O:$O,"방문완료")+COUNTIFS(실시간콜입력!$B:$B,$A940,실시간콜입력!$E:$E,"B",실시간콜입력!$H:$H,$B940,실시간콜입력!$O:$O,"방문완료")</f>
        <v>0</v>
      </c>
      <c r="H940" s="29">
        <f>COUNTIFS(실시간콜입력!$B:$B,$A940,실시간콜입력!$E:$E,"C",실시간콜입력!$G:$G,$B940,실시간콜입력!$O:$O,"방문완료")+COUNTIFS(실시간콜입력!$B:$B,$A940,실시간콜입력!$E:$E,"C",실시간콜입력!$H:$H,$B940,실시간콜입력!$O:$O,"방문완료")</f>
        <v>0</v>
      </c>
      <c r="I940" s="29">
        <f>COUNTIFS(실시간콜입력!$B:$B,$A940,실시간콜입력!$E:$E,"D",실시간콜입력!$G:$G,$B940,실시간콜입력!$O:$O,"방문완료")+COUNTIFS(실시간콜입력!$B:$B,$A940,실시간콜입력!$E:$E,"D",실시간콜입력!$H:$H,$B940,실시간콜입력!$O:$O,"방문완료")</f>
        <v>0</v>
      </c>
      <c r="J940" s="29">
        <f>COUNTIFS(실시간콜입력!$B:$B,$A940,실시간콜입력!$E:$E,"E",실시간콜입력!$G:$G,$B940,실시간콜입력!$O:$O,"방문완료")+COUNTIFS(실시간콜입력!$B:$B,$A940,실시간콜입력!$E:$E,"E",실시간콜입력!$H:$H,$B940,실시간콜입력!$O:$O,"방문완료")</f>
        <v>0</v>
      </c>
      <c r="K940" s="29">
        <f t="shared" si="124"/>
        <v>0</v>
      </c>
      <c r="L940" s="33">
        <f>SUMIFS(실시간콜입력!$K:$K,실시간콜입력!$B:$B,$A940,실시간콜입력!$G:$G,$B940,실시간콜입력!$O:$O,"방문완료")+SUMIFS(실시간콜입력!$L:$L,실시간콜입력!$B:$B,$A940,실시간콜입력!$H:$H,$B940,실시간콜입력!$O:$O,"방문완료")</f>
        <v>0</v>
      </c>
      <c r="M940" s="29" t="str">
        <f t="shared" si="125"/>
        <v/>
      </c>
      <c r="N940" s="29"/>
    </row>
    <row r="941" spans="1:14" ht="21.75" customHeight="1" collapsed="1">
      <c r="A941" s="64">
        <f>IF(19&lt;=DAY(DATE(YEAR(설정_코스수당!$K$2),MONTH(설정_코스수당!$K$2)+1,0)),DATE(YEAR(설정_코스수당!$K$2),MONTH(설정_코스수당!$K$2),19),"")</f>
        <v>46192</v>
      </c>
      <c r="B941" s="65" t="str">
        <f>IF(A941="","","출근 "&amp;COUNTIF(C943:C992,"&lt;&gt;")&amp;"명")</f>
        <v>출근 0명</v>
      </c>
      <c r="C941" s="65" t="str">
        <f>IF(A941="","","만근 "&amp;COUNTIF(M943:M992,"인정")&amp;"명")</f>
        <v>만근 0명</v>
      </c>
      <c r="D941" s="65" t="str">
        <f>IFERROR("평균 "&amp;TEXT(AVERAGEIF(E943:E992,"&gt;0",E943:E992),"0.0")&amp;"h","평균 -")</f>
        <v>평균 -</v>
      </c>
      <c r="E941" s="65" t="s">
        <v>163</v>
      </c>
      <c r="F941" s="65">
        <f t="shared" ref="F941:L941" si="126">SUM(F943:F992)</f>
        <v>0</v>
      </c>
      <c r="G941" s="65">
        <f t="shared" si="126"/>
        <v>0</v>
      </c>
      <c r="H941" s="65">
        <f t="shared" si="126"/>
        <v>0</v>
      </c>
      <c r="I941" s="65">
        <f t="shared" si="126"/>
        <v>0</v>
      </c>
      <c r="J941" s="65">
        <f t="shared" si="126"/>
        <v>0</v>
      </c>
      <c r="K941" s="65">
        <f t="shared" si="126"/>
        <v>0</v>
      </c>
      <c r="L941" s="66">
        <f t="shared" si="126"/>
        <v>0</v>
      </c>
      <c r="M941" s="65">
        <f>COUNTIF(M943:M992,"인정")</f>
        <v>0</v>
      </c>
      <c r="N941" s="65" t="s">
        <v>164</v>
      </c>
    </row>
    <row r="942" spans="1:14" ht="19.5" hidden="1" customHeight="1" outlineLevel="1">
      <c r="A942" s="20" t="s">
        <v>42</v>
      </c>
      <c r="B942" s="20" t="s">
        <v>152</v>
      </c>
      <c r="C942" s="20" t="s">
        <v>153</v>
      </c>
      <c r="D942" s="20" t="s">
        <v>154</v>
      </c>
      <c r="E942" s="20" t="s">
        <v>155</v>
      </c>
      <c r="F942" s="20" t="s">
        <v>156</v>
      </c>
      <c r="G942" s="20" t="s">
        <v>157</v>
      </c>
      <c r="H942" s="20" t="s">
        <v>158</v>
      </c>
      <c r="I942" s="20" t="s">
        <v>159</v>
      </c>
      <c r="J942" s="20" t="s">
        <v>160</v>
      </c>
      <c r="K942" s="20" t="s">
        <v>118</v>
      </c>
      <c r="L942" s="20" t="s">
        <v>161</v>
      </c>
      <c r="M942" s="20" t="s">
        <v>162</v>
      </c>
      <c r="N942" s="20" t="s">
        <v>95</v>
      </c>
    </row>
    <row r="943" spans="1:14" ht="19.5" hidden="1" customHeight="1" outlineLevel="1">
      <c r="A943" s="24">
        <f>IF(19&lt;=DAY(DATE(YEAR(설정_코스수당!$K$2),MONTH(설정_코스수당!$K$2)+1,0)),DATE(YEAR(설정_코스수당!$K$2),MONTH(설정_코스수당!$K$2),19),"")</f>
        <v>46192</v>
      </c>
      <c r="B943" s="23" t="s">
        <v>47</v>
      </c>
      <c r="C943" s="23"/>
      <c r="D943" s="23"/>
      <c r="E943" s="23" t="str">
        <f t="shared" ref="E943:E974" si="127">IF(AND(C943&lt;&gt;"",D943&lt;&gt;""),IF(D943&lt;C943,D943+1-C943,D943-C943)*24,"")</f>
        <v/>
      </c>
      <c r="F943" s="23">
        <f>COUNTIFS(실시간콜입력!$B:$B,$A943,실시간콜입력!$E:$E,"A",실시간콜입력!$G:$G,$B943,실시간콜입력!$O:$O,"방문완료")+COUNTIFS(실시간콜입력!$B:$B,$A943,실시간콜입력!$E:$E,"A",실시간콜입력!$H:$H,$B943,실시간콜입력!$O:$O,"방문완료")</f>
        <v>0</v>
      </c>
      <c r="G943" s="23">
        <f>COUNTIFS(실시간콜입력!$B:$B,$A943,실시간콜입력!$E:$E,"B",실시간콜입력!$G:$G,$B943,실시간콜입력!$O:$O,"방문완료")+COUNTIFS(실시간콜입력!$B:$B,$A943,실시간콜입력!$E:$E,"B",실시간콜입력!$H:$H,$B943,실시간콜입력!$O:$O,"방문완료")</f>
        <v>0</v>
      </c>
      <c r="H943" s="23">
        <f>COUNTIFS(실시간콜입력!$B:$B,$A943,실시간콜입력!$E:$E,"C",실시간콜입력!$G:$G,$B943,실시간콜입력!$O:$O,"방문완료")+COUNTIFS(실시간콜입력!$B:$B,$A943,실시간콜입력!$E:$E,"C",실시간콜입력!$H:$H,$B943,실시간콜입력!$O:$O,"방문완료")</f>
        <v>0</v>
      </c>
      <c r="I943" s="23">
        <f>COUNTIFS(실시간콜입력!$B:$B,$A943,실시간콜입력!$E:$E,"D",실시간콜입력!$G:$G,$B943,실시간콜입력!$O:$O,"방문완료")+COUNTIFS(실시간콜입력!$B:$B,$A943,실시간콜입력!$E:$E,"D",실시간콜입력!$H:$H,$B943,실시간콜입력!$O:$O,"방문완료")</f>
        <v>0</v>
      </c>
      <c r="J943" s="23">
        <f>COUNTIFS(실시간콜입력!$B:$B,$A943,실시간콜입력!$E:$E,"E",실시간콜입력!$G:$G,$B943,실시간콜입력!$O:$O,"방문완료")+COUNTIFS(실시간콜입력!$B:$B,$A943,실시간콜입력!$E:$E,"E",실시간콜입력!$H:$H,$B943,실시간콜입력!$O:$O,"방문완료")</f>
        <v>0</v>
      </c>
      <c r="K943" s="23">
        <f t="shared" ref="K943:K974" si="128">SUM(F943:J943)</f>
        <v>0</v>
      </c>
      <c r="L943" s="27">
        <f>SUMIFS(실시간콜입력!$K:$K,실시간콜입력!$B:$B,$A943,실시간콜입력!$G:$G,$B943,실시간콜입력!$O:$O,"방문완료")+SUMIFS(실시간콜입력!$L:$L,실시간콜입력!$B:$B,$A943,실시간콜입력!$H:$H,$B943,실시간콜입력!$O:$O,"방문완료")</f>
        <v>0</v>
      </c>
      <c r="M943" s="23" t="str">
        <f t="shared" ref="M943:M974" si="129">IF(AND(ISNUMBER(E943),E943&gt;=8),"인정","")</f>
        <v/>
      </c>
      <c r="N943" s="23"/>
    </row>
    <row r="944" spans="1:14" ht="19.5" hidden="1" customHeight="1" outlineLevel="1">
      <c r="A944" s="30">
        <f>IF(19&lt;=DAY(DATE(YEAR(설정_코스수당!$K$2),MONTH(설정_코스수당!$K$2)+1,0)),DATE(YEAR(설정_코스수당!$K$2),MONTH(설정_코스수당!$K$2),19),"")</f>
        <v>46192</v>
      </c>
      <c r="B944" s="29" t="s">
        <v>48</v>
      </c>
      <c r="C944" s="29"/>
      <c r="D944" s="29"/>
      <c r="E944" s="29" t="str">
        <f t="shared" si="127"/>
        <v/>
      </c>
      <c r="F944" s="29">
        <f>COUNTIFS(실시간콜입력!$B:$B,$A944,실시간콜입력!$E:$E,"A",실시간콜입력!$G:$G,$B944,실시간콜입력!$O:$O,"방문완료")+COUNTIFS(실시간콜입력!$B:$B,$A944,실시간콜입력!$E:$E,"A",실시간콜입력!$H:$H,$B944,실시간콜입력!$O:$O,"방문완료")</f>
        <v>0</v>
      </c>
      <c r="G944" s="29">
        <f>COUNTIFS(실시간콜입력!$B:$B,$A944,실시간콜입력!$E:$E,"B",실시간콜입력!$G:$G,$B944,실시간콜입력!$O:$O,"방문완료")+COUNTIFS(실시간콜입력!$B:$B,$A944,실시간콜입력!$E:$E,"B",실시간콜입력!$H:$H,$B944,실시간콜입력!$O:$O,"방문완료")</f>
        <v>0</v>
      </c>
      <c r="H944" s="29">
        <f>COUNTIFS(실시간콜입력!$B:$B,$A944,실시간콜입력!$E:$E,"C",실시간콜입력!$G:$G,$B944,실시간콜입력!$O:$O,"방문완료")+COUNTIFS(실시간콜입력!$B:$B,$A944,실시간콜입력!$E:$E,"C",실시간콜입력!$H:$H,$B944,실시간콜입력!$O:$O,"방문완료")</f>
        <v>0</v>
      </c>
      <c r="I944" s="29">
        <f>COUNTIFS(실시간콜입력!$B:$B,$A944,실시간콜입력!$E:$E,"D",실시간콜입력!$G:$G,$B944,실시간콜입력!$O:$O,"방문완료")+COUNTIFS(실시간콜입력!$B:$B,$A944,실시간콜입력!$E:$E,"D",실시간콜입력!$H:$H,$B944,실시간콜입력!$O:$O,"방문완료")</f>
        <v>0</v>
      </c>
      <c r="J944" s="29">
        <f>COUNTIFS(실시간콜입력!$B:$B,$A944,실시간콜입력!$E:$E,"E",실시간콜입력!$G:$G,$B944,실시간콜입력!$O:$O,"방문완료")+COUNTIFS(실시간콜입력!$B:$B,$A944,실시간콜입력!$E:$E,"E",실시간콜입력!$H:$H,$B944,실시간콜입력!$O:$O,"방문완료")</f>
        <v>0</v>
      </c>
      <c r="K944" s="29">
        <f t="shared" si="128"/>
        <v>0</v>
      </c>
      <c r="L944" s="33">
        <f>SUMIFS(실시간콜입력!$K:$K,실시간콜입력!$B:$B,$A944,실시간콜입력!$G:$G,$B944,실시간콜입력!$O:$O,"방문완료")+SUMIFS(실시간콜입력!$L:$L,실시간콜입력!$B:$B,$A944,실시간콜입력!$H:$H,$B944,실시간콜입력!$O:$O,"방문완료")</f>
        <v>0</v>
      </c>
      <c r="M944" s="29" t="str">
        <f t="shared" si="129"/>
        <v/>
      </c>
      <c r="N944" s="29"/>
    </row>
    <row r="945" spans="1:14" ht="19.5" hidden="1" customHeight="1" outlineLevel="1">
      <c r="A945" s="24">
        <f>IF(19&lt;=DAY(DATE(YEAR(설정_코스수당!$K$2),MONTH(설정_코스수당!$K$2)+1,0)),DATE(YEAR(설정_코스수당!$K$2),MONTH(설정_코스수당!$K$2),19),"")</f>
        <v>46192</v>
      </c>
      <c r="B945" s="23" t="s">
        <v>165</v>
      </c>
      <c r="C945" s="29"/>
      <c r="D945" s="29"/>
      <c r="E945" s="29" t="str">
        <f t="shared" si="127"/>
        <v/>
      </c>
      <c r="F945" s="29">
        <f>COUNTIFS(실시간콜입력!$B:$B,$A945,실시간콜입력!$E:$E,"A",실시간콜입력!$G:$G,$B945,실시간콜입력!$O:$O,"방문완료")+COUNTIFS(실시간콜입력!$B:$B,$A945,실시간콜입력!$E:$E,"A",실시간콜입력!$H:$H,$B945,실시간콜입력!$O:$O,"방문완료")</f>
        <v>0</v>
      </c>
      <c r="G945" s="29">
        <f>COUNTIFS(실시간콜입력!$B:$B,$A945,실시간콜입력!$E:$E,"B",실시간콜입력!$G:$G,$B945,실시간콜입력!$O:$O,"방문완료")+COUNTIFS(실시간콜입력!$B:$B,$A945,실시간콜입력!$E:$E,"B",실시간콜입력!$H:$H,$B945,실시간콜입력!$O:$O,"방문완료")</f>
        <v>0</v>
      </c>
      <c r="H945" s="29">
        <f>COUNTIFS(실시간콜입력!$B:$B,$A945,실시간콜입력!$E:$E,"C",실시간콜입력!$G:$G,$B945,실시간콜입력!$O:$O,"방문완료")+COUNTIFS(실시간콜입력!$B:$B,$A945,실시간콜입력!$E:$E,"C",실시간콜입력!$H:$H,$B945,실시간콜입력!$O:$O,"방문완료")</f>
        <v>0</v>
      </c>
      <c r="I945" s="29">
        <f>COUNTIFS(실시간콜입력!$B:$B,$A945,실시간콜입력!$E:$E,"D",실시간콜입력!$G:$G,$B945,실시간콜입력!$O:$O,"방문완료")+COUNTIFS(실시간콜입력!$B:$B,$A945,실시간콜입력!$E:$E,"D",실시간콜입력!$H:$H,$B945,실시간콜입력!$O:$O,"방문완료")</f>
        <v>0</v>
      </c>
      <c r="J945" s="29">
        <f>COUNTIFS(실시간콜입력!$B:$B,$A945,실시간콜입력!$E:$E,"E",실시간콜입력!$G:$G,$B945,실시간콜입력!$O:$O,"방문완료")+COUNTIFS(실시간콜입력!$B:$B,$A945,실시간콜입력!$E:$E,"E",실시간콜입력!$H:$H,$B945,실시간콜입력!$O:$O,"방문완료")</f>
        <v>0</v>
      </c>
      <c r="K945" s="29">
        <f t="shared" si="128"/>
        <v>0</v>
      </c>
      <c r="L945" s="27">
        <f>SUMIFS(실시간콜입력!$K:$K,실시간콜입력!$B:$B,$A945,실시간콜입력!$G:$G,$B945,실시간콜입력!$O:$O,"방문완료")+SUMIFS(실시간콜입력!$L:$L,실시간콜입력!$B:$B,$A945,실시간콜입력!$H:$H,$B945,실시간콜입력!$O:$O,"방문완료")</f>
        <v>0</v>
      </c>
      <c r="M945" s="29" t="str">
        <f t="shared" si="129"/>
        <v/>
      </c>
      <c r="N945" s="29"/>
    </row>
    <row r="946" spans="1:14" ht="19.5" hidden="1" customHeight="1" outlineLevel="1">
      <c r="A946" s="30">
        <f>IF(19&lt;=DAY(DATE(YEAR(설정_코스수당!$K$2),MONTH(설정_코스수당!$K$2)+1,0)),DATE(YEAR(설정_코스수당!$K$2),MONTH(설정_코스수당!$K$2),19),"")</f>
        <v>46192</v>
      </c>
      <c r="B946" s="29" t="s">
        <v>166</v>
      </c>
      <c r="C946" s="29"/>
      <c r="D946" s="29"/>
      <c r="E946" s="29" t="str">
        <f t="shared" si="127"/>
        <v/>
      </c>
      <c r="F946" s="29">
        <f>COUNTIFS(실시간콜입력!$B:$B,$A946,실시간콜입력!$E:$E,"A",실시간콜입력!$G:$G,$B946,실시간콜입력!$O:$O,"방문완료")+COUNTIFS(실시간콜입력!$B:$B,$A946,실시간콜입력!$E:$E,"A",실시간콜입력!$H:$H,$B946,실시간콜입력!$O:$O,"방문완료")</f>
        <v>0</v>
      </c>
      <c r="G946" s="29">
        <f>COUNTIFS(실시간콜입력!$B:$B,$A946,실시간콜입력!$E:$E,"B",실시간콜입력!$G:$G,$B946,실시간콜입력!$O:$O,"방문완료")+COUNTIFS(실시간콜입력!$B:$B,$A946,실시간콜입력!$E:$E,"B",실시간콜입력!$H:$H,$B946,실시간콜입력!$O:$O,"방문완료")</f>
        <v>0</v>
      </c>
      <c r="H946" s="29">
        <f>COUNTIFS(실시간콜입력!$B:$B,$A946,실시간콜입력!$E:$E,"C",실시간콜입력!$G:$G,$B946,실시간콜입력!$O:$O,"방문완료")+COUNTIFS(실시간콜입력!$B:$B,$A946,실시간콜입력!$E:$E,"C",실시간콜입력!$H:$H,$B946,실시간콜입력!$O:$O,"방문완료")</f>
        <v>0</v>
      </c>
      <c r="I946" s="29">
        <f>COUNTIFS(실시간콜입력!$B:$B,$A946,실시간콜입력!$E:$E,"D",실시간콜입력!$G:$G,$B946,실시간콜입력!$O:$O,"방문완료")+COUNTIFS(실시간콜입력!$B:$B,$A946,실시간콜입력!$E:$E,"D",실시간콜입력!$H:$H,$B946,실시간콜입력!$O:$O,"방문완료")</f>
        <v>0</v>
      </c>
      <c r="J946" s="29">
        <f>COUNTIFS(실시간콜입력!$B:$B,$A946,실시간콜입력!$E:$E,"E",실시간콜입력!$G:$G,$B946,실시간콜입력!$O:$O,"방문완료")+COUNTIFS(실시간콜입력!$B:$B,$A946,실시간콜입력!$E:$E,"E",실시간콜입력!$H:$H,$B946,실시간콜입력!$O:$O,"방문완료")</f>
        <v>0</v>
      </c>
      <c r="K946" s="29">
        <f t="shared" si="128"/>
        <v>0</v>
      </c>
      <c r="L946" s="33">
        <f>SUMIFS(실시간콜입력!$K:$K,실시간콜입력!$B:$B,$A946,실시간콜입력!$G:$G,$B946,실시간콜입력!$O:$O,"방문완료")+SUMIFS(실시간콜입력!$L:$L,실시간콜입력!$B:$B,$A946,실시간콜입력!$H:$H,$B946,실시간콜입력!$O:$O,"방문완료")</f>
        <v>0</v>
      </c>
      <c r="M946" s="29" t="str">
        <f t="shared" si="129"/>
        <v/>
      </c>
      <c r="N946" s="29"/>
    </row>
    <row r="947" spans="1:14" ht="19.5" hidden="1" customHeight="1" outlineLevel="1">
      <c r="A947" s="24">
        <f>IF(19&lt;=DAY(DATE(YEAR(설정_코스수당!$K$2),MONTH(설정_코스수당!$K$2)+1,0)),DATE(YEAR(설정_코스수당!$K$2),MONTH(설정_코스수당!$K$2),19),"")</f>
        <v>46192</v>
      </c>
      <c r="B947" s="23" t="s">
        <v>167</v>
      </c>
      <c r="C947" s="29"/>
      <c r="D947" s="29"/>
      <c r="E947" s="29" t="str">
        <f t="shared" si="127"/>
        <v/>
      </c>
      <c r="F947" s="29">
        <f>COUNTIFS(실시간콜입력!$B:$B,$A947,실시간콜입력!$E:$E,"A",실시간콜입력!$G:$G,$B947,실시간콜입력!$O:$O,"방문완료")+COUNTIFS(실시간콜입력!$B:$B,$A947,실시간콜입력!$E:$E,"A",실시간콜입력!$H:$H,$B947,실시간콜입력!$O:$O,"방문완료")</f>
        <v>0</v>
      </c>
      <c r="G947" s="29">
        <f>COUNTIFS(실시간콜입력!$B:$B,$A947,실시간콜입력!$E:$E,"B",실시간콜입력!$G:$G,$B947,실시간콜입력!$O:$O,"방문완료")+COUNTIFS(실시간콜입력!$B:$B,$A947,실시간콜입력!$E:$E,"B",실시간콜입력!$H:$H,$B947,실시간콜입력!$O:$O,"방문완료")</f>
        <v>0</v>
      </c>
      <c r="H947" s="29">
        <f>COUNTIFS(실시간콜입력!$B:$B,$A947,실시간콜입력!$E:$E,"C",실시간콜입력!$G:$G,$B947,실시간콜입력!$O:$O,"방문완료")+COUNTIFS(실시간콜입력!$B:$B,$A947,실시간콜입력!$E:$E,"C",실시간콜입력!$H:$H,$B947,실시간콜입력!$O:$O,"방문완료")</f>
        <v>0</v>
      </c>
      <c r="I947" s="29">
        <f>COUNTIFS(실시간콜입력!$B:$B,$A947,실시간콜입력!$E:$E,"D",실시간콜입력!$G:$G,$B947,실시간콜입력!$O:$O,"방문완료")+COUNTIFS(실시간콜입력!$B:$B,$A947,실시간콜입력!$E:$E,"D",실시간콜입력!$H:$H,$B947,실시간콜입력!$O:$O,"방문완료")</f>
        <v>0</v>
      </c>
      <c r="J947" s="29">
        <f>COUNTIFS(실시간콜입력!$B:$B,$A947,실시간콜입력!$E:$E,"E",실시간콜입력!$G:$G,$B947,실시간콜입력!$O:$O,"방문완료")+COUNTIFS(실시간콜입력!$B:$B,$A947,실시간콜입력!$E:$E,"E",실시간콜입력!$H:$H,$B947,실시간콜입력!$O:$O,"방문완료")</f>
        <v>0</v>
      </c>
      <c r="K947" s="29">
        <f t="shared" si="128"/>
        <v>0</v>
      </c>
      <c r="L947" s="27">
        <f>SUMIFS(실시간콜입력!$K:$K,실시간콜입력!$B:$B,$A947,실시간콜입력!$G:$G,$B947,실시간콜입력!$O:$O,"방문완료")+SUMIFS(실시간콜입력!$L:$L,실시간콜입력!$B:$B,$A947,실시간콜입력!$H:$H,$B947,실시간콜입력!$O:$O,"방문완료")</f>
        <v>0</v>
      </c>
      <c r="M947" s="29" t="str">
        <f t="shared" si="129"/>
        <v/>
      </c>
      <c r="N947" s="29"/>
    </row>
    <row r="948" spans="1:14" ht="19.5" hidden="1" customHeight="1" outlineLevel="1">
      <c r="A948" s="30">
        <f>IF(19&lt;=DAY(DATE(YEAR(설정_코스수당!$K$2),MONTH(설정_코스수당!$K$2)+1,0)),DATE(YEAR(설정_코스수당!$K$2),MONTH(설정_코스수당!$K$2),19),"")</f>
        <v>46192</v>
      </c>
      <c r="B948" s="29" t="s">
        <v>168</v>
      </c>
      <c r="C948" s="29"/>
      <c r="D948" s="29"/>
      <c r="E948" s="29" t="str">
        <f t="shared" si="127"/>
        <v/>
      </c>
      <c r="F948" s="29">
        <f>COUNTIFS(실시간콜입력!$B:$B,$A948,실시간콜입력!$E:$E,"A",실시간콜입력!$G:$G,$B948,실시간콜입력!$O:$O,"방문완료")+COUNTIFS(실시간콜입력!$B:$B,$A948,실시간콜입력!$E:$E,"A",실시간콜입력!$H:$H,$B948,실시간콜입력!$O:$O,"방문완료")</f>
        <v>0</v>
      </c>
      <c r="G948" s="29">
        <f>COUNTIFS(실시간콜입력!$B:$B,$A948,실시간콜입력!$E:$E,"B",실시간콜입력!$G:$G,$B948,실시간콜입력!$O:$O,"방문완료")+COUNTIFS(실시간콜입력!$B:$B,$A948,실시간콜입력!$E:$E,"B",실시간콜입력!$H:$H,$B948,실시간콜입력!$O:$O,"방문완료")</f>
        <v>0</v>
      </c>
      <c r="H948" s="29">
        <f>COUNTIFS(실시간콜입력!$B:$B,$A948,실시간콜입력!$E:$E,"C",실시간콜입력!$G:$G,$B948,실시간콜입력!$O:$O,"방문완료")+COUNTIFS(실시간콜입력!$B:$B,$A948,실시간콜입력!$E:$E,"C",실시간콜입력!$H:$H,$B948,실시간콜입력!$O:$O,"방문완료")</f>
        <v>0</v>
      </c>
      <c r="I948" s="29">
        <f>COUNTIFS(실시간콜입력!$B:$B,$A948,실시간콜입력!$E:$E,"D",실시간콜입력!$G:$G,$B948,실시간콜입력!$O:$O,"방문완료")+COUNTIFS(실시간콜입력!$B:$B,$A948,실시간콜입력!$E:$E,"D",실시간콜입력!$H:$H,$B948,실시간콜입력!$O:$O,"방문완료")</f>
        <v>0</v>
      </c>
      <c r="J948" s="29">
        <f>COUNTIFS(실시간콜입력!$B:$B,$A948,실시간콜입력!$E:$E,"E",실시간콜입력!$G:$G,$B948,실시간콜입력!$O:$O,"방문완료")+COUNTIFS(실시간콜입력!$B:$B,$A948,실시간콜입력!$E:$E,"E",실시간콜입력!$H:$H,$B948,실시간콜입력!$O:$O,"방문완료")</f>
        <v>0</v>
      </c>
      <c r="K948" s="29">
        <f t="shared" si="128"/>
        <v>0</v>
      </c>
      <c r="L948" s="33">
        <f>SUMIFS(실시간콜입력!$K:$K,실시간콜입력!$B:$B,$A948,실시간콜입력!$G:$G,$B948,실시간콜입력!$O:$O,"방문완료")+SUMIFS(실시간콜입력!$L:$L,실시간콜입력!$B:$B,$A948,실시간콜입력!$H:$H,$B948,실시간콜입력!$O:$O,"방문완료")</f>
        <v>0</v>
      </c>
      <c r="M948" s="29" t="str">
        <f t="shared" si="129"/>
        <v/>
      </c>
      <c r="N948" s="29"/>
    </row>
    <row r="949" spans="1:14" ht="19.5" hidden="1" customHeight="1" outlineLevel="1">
      <c r="A949" s="24">
        <f>IF(19&lt;=DAY(DATE(YEAR(설정_코스수당!$K$2),MONTH(설정_코스수당!$K$2)+1,0)),DATE(YEAR(설정_코스수당!$K$2),MONTH(설정_코스수당!$K$2),19),"")</f>
        <v>46192</v>
      </c>
      <c r="B949" s="23" t="s">
        <v>169</v>
      </c>
      <c r="C949" s="29"/>
      <c r="D949" s="29"/>
      <c r="E949" s="29" t="str">
        <f t="shared" si="127"/>
        <v/>
      </c>
      <c r="F949" s="29">
        <f>COUNTIFS(실시간콜입력!$B:$B,$A949,실시간콜입력!$E:$E,"A",실시간콜입력!$G:$G,$B949,실시간콜입력!$O:$O,"방문완료")+COUNTIFS(실시간콜입력!$B:$B,$A949,실시간콜입력!$E:$E,"A",실시간콜입력!$H:$H,$B949,실시간콜입력!$O:$O,"방문완료")</f>
        <v>0</v>
      </c>
      <c r="G949" s="29">
        <f>COUNTIFS(실시간콜입력!$B:$B,$A949,실시간콜입력!$E:$E,"B",실시간콜입력!$G:$G,$B949,실시간콜입력!$O:$O,"방문완료")+COUNTIFS(실시간콜입력!$B:$B,$A949,실시간콜입력!$E:$E,"B",실시간콜입력!$H:$H,$B949,실시간콜입력!$O:$O,"방문완료")</f>
        <v>0</v>
      </c>
      <c r="H949" s="29">
        <f>COUNTIFS(실시간콜입력!$B:$B,$A949,실시간콜입력!$E:$E,"C",실시간콜입력!$G:$G,$B949,실시간콜입력!$O:$O,"방문완료")+COUNTIFS(실시간콜입력!$B:$B,$A949,실시간콜입력!$E:$E,"C",실시간콜입력!$H:$H,$B949,실시간콜입력!$O:$O,"방문완료")</f>
        <v>0</v>
      </c>
      <c r="I949" s="29">
        <f>COUNTIFS(실시간콜입력!$B:$B,$A949,실시간콜입력!$E:$E,"D",실시간콜입력!$G:$G,$B949,실시간콜입력!$O:$O,"방문완료")+COUNTIFS(실시간콜입력!$B:$B,$A949,실시간콜입력!$E:$E,"D",실시간콜입력!$H:$H,$B949,실시간콜입력!$O:$O,"방문완료")</f>
        <v>0</v>
      </c>
      <c r="J949" s="29">
        <f>COUNTIFS(실시간콜입력!$B:$B,$A949,실시간콜입력!$E:$E,"E",실시간콜입력!$G:$G,$B949,실시간콜입력!$O:$O,"방문완료")+COUNTIFS(실시간콜입력!$B:$B,$A949,실시간콜입력!$E:$E,"E",실시간콜입력!$H:$H,$B949,실시간콜입력!$O:$O,"방문완료")</f>
        <v>0</v>
      </c>
      <c r="K949" s="29">
        <f t="shared" si="128"/>
        <v>0</v>
      </c>
      <c r="L949" s="27">
        <f>SUMIFS(실시간콜입력!$K:$K,실시간콜입력!$B:$B,$A949,실시간콜입력!$G:$G,$B949,실시간콜입력!$O:$O,"방문완료")+SUMIFS(실시간콜입력!$L:$L,실시간콜입력!$B:$B,$A949,실시간콜입력!$H:$H,$B949,실시간콜입력!$O:$O,"방문완료")</f>
        <v>0</v>
      </c>
      <c r="M949" s="29" t="str">
        <f t="shared" si="129"/>
        <v/>
      </c>
      <c r="N949" s="29"/>
    </row>
    <row r="950" spans="1:14" ht="19.5" hidden="1" customHeight="1" outlineLevel="1">
      <c r="A950" s="30">
        <f>IF(19&lt;=DAY(DATE(YEAR(설정_코스수당!$K$2),MONTH(설정_코스수당!$K$2)+1,0)),DATE(YEAR(설정_코스수당!$K$2),MONTH(설정_코스수당!$K$2),19),"")</f>
        <v>46192</v>
      </c>
      <c r="B950" s="29" t="s">
        <v>170</v>
      </c>
      <c r="C950" s="29"/>
      <c r="D950" s="29"/>
      <c r="E950" s="29" t="str">
        <f t="shared" si="127"/>
        <v/>
      </c>
      <c r="F950" s="29">
        <f>COUNTIFS(실시간콜입력!$B:$B,$A950,실시간콜입력!$E:$E,"A",실시간콜입력!$G:$G,$B950,실시간콜입력!$O:$O,"방문완료")+COUNTIFS(실시간콜입력!$B:$B,$A950,실시간콜입력!$E:$E,"A",실시간콜입력!$H:$H,$B950,실시간콜입력!$O:$O,"방문완료")</f>
        <v>0</v>
      </c>
      <c r="G950" s="29">
        <f>COUNTIFS(실시간콜입력!$B:$B,$A950,실시간콜입력!$E:$E,"B",실시간콜입력!$G:$G,$B950,실시간콜입력!$O:$O,"방문완료")+COUNTIFS(실시간콜입력!$B:$B,$A950,실시간콜입력!$E:$E,"B",실시간콜입력!$H:$H,$B950,실시간콜입력!$O:$O,"방문완료")</f>
        <v>0</v>
      </c>
      <c r="H950" s="29">
        <f>COUNTIFS(실시간콜입력!$B:$B,$A950,실시간콜입력!$E:$E,"C",실시간콜입력!$G:$G,$B950,실시간콜입력!$O:$O,"방문완료")+COUNTIFS(실시간콜입력!$B:$B,$A950,실시간콜입력!$E:$E,"C",실시간콜입력!$H:$H,$B950,실시간콜입력!$O:$O,"방문완료")</f>
        <v>0</v>
      </c>
      <c r="I950" s="29">
        <f>COUNTIFS(실시간콜입력!$B:$B,$A950,실시간콜입력!$E:$E,"D",실시간콜입력!$G:$G,$B950,실시간콜입력!$O:$O,"방문완료")+COUNTIFS(실시간콜입력!$B:$B,$A950,실시간콜입력!$E:$E,"D",실시간콜입력!$H:$H,$B950,실시간콜입력!$O:$O,"방문완료")</f>
        <v>0</v>
      </c>
      <c r="J950" s="29">
        <f>COUNTIFS(실시간콜입력!$B:$B,$A950,실시간콜입력!$E:$E,"E",실시간콜입력!$G:$G,$B950,실시간콜입력!$O:$O,"방문완료")+COUNTIFS(실시간콜입력!$B:$B,$A950,실시간콜입력!$E:$E,"E",실시간콜입력!$H:$H,$B950,실시간콜입력!$O:$O,"방문완료")</f>
        <v>0</v>
      </c>
      <c r="K950" s="29">
        <f t="shared" si="128"/>
        <v>0</v>
      </c>
      <c r="L950" s="33">
        <f>SUMIFS(실시간콜입력!$K:$K,실시간콜입력!$B:$B,$A950,실시간콜입력!$G:$G,$B950,실시간콜입력!$O:$O,"방문완료")+SUMIFS(실시간콜입력!$L:$L,실시간콜입력!$B:$B,$A950,실시간콜입력!$H:$H,$B950,실시간콜입력!$O:$O,"방문완료")</f>
        <v>0</v>
      </c>
      <c r="M950" s="29" t="str">
        <f t="shared" si="129"/>
        <v/>
      </c>
      <c r="N950" s="29"/>
    </row>
    <row r="951" spans="1:14" ht="19.5" hidden="1" customHeight="1" outlineLevel="1">
      <c r="A951" s="24">
        <f>IF(19&lt;=DAY(DATE(YEAR(설정_코스수당!$K$2),MONTH(설정_코스수당!$K$2)+1,0)),DATE(YEAR(설정_코스수당!$K$2),MONTH(설정_코스수당!$K$2),19),"")</f>
        <v>46192</v>
      </c>
      <c r="B951" s="23" t="s">
        <v>171</v>
      </c>
      <c r="C951" s="29"/>
      <c r="D951" s="29"/>
      <c r="E951" s="29" t="str">
        <f t="shared" si="127"/>
        <v/>
      </c>
      <c r="F951" s="29">
        <f>COUNTIFS(실시간콜입력!$B:$B,$A951,실시간콜입력!$E:$E,"A",실시간콜입력!$G:$G,$B951,실시간콜입력!$O:$O,"방문완료")+COUNTIFS(실시간콜입력!$B:$B,$A951,실시간콜입력!$E:$E,"A",실시간콜입력!$H:$H,$B951,실시간콜입력!$O:$O,"방문완료")</f>
        <v>0</v>
      </c>
      <c r="G951" s="29">
        <f>COUNTIFS(실시간콜입력!$B:$B,$A951,실시간콜입력!$E:$E,"B",실시간콜입력!$G:$G,$B951,실시간콜입력!$O:$O,"방문완료")+COUNTIFS(실시간콜입력!$B:$B,$A951,실시간콜입력!$E:$E,"B",실시간콜입력!$H:$H,$B951,실시간콜입력!$O:$O,"방문완료")</f>
        <v>0</v>
      </c>
      <c r="H951" s="29">
        <f>COUNTIFS(실시간콜입력!$B:$B,$A951,실시간콜입력!$E:$E,"C",실시간콜입력!$G:$G,$B951,실시간콜입력!$O:$O,"방문완료")+COUNTIFS(실시간콜입력!$B:$B,$A951,실시간콜입력!$E:$E,"C",실시간콜입력!$H:$H,$B951,실시간콜입력!$O:$O,"방문완료")</f>
        <v>0</v>
      </c>
      <c r="I951" s="29">
        <f>COUNTIFS(실시간콜입력!$B:$B,$A951,실시간콜입력!$E:$E,"D",실시간콜입력!$G:$G,$B951,실시간콜입력!$O:$O,"방문완료")+COUNTIFS(실시간콜입력!$B:$B,$A951,실시간콜입력!$E:$E,"D",실시간콜입력!$H:$H,$B951,실시간콜입력!$O:$O,"방문완료")</f>
        <v>0</v>
      </c>
      <c r="J951" s="29">
        <f>COUNTIFS(실시간콜입력!$B:$B,$A951,실시간콜입력!$E:$E,"E",실시간콜입력!$G:$G,$B951,실시간콜입력!$O:$O,"방문완료")+COUNTIFS(실시간콜입력!$B:$B,$A951,실시간콜입력!$E:$E,"E",실시간콜입력!$H:$H,$B951,실시간콜입력!$O:$O,"방문완료")</f>
        <v>0</v>
      </c>
      <c r="K951" s="29">
        <f t="shared" si="128"/>
        <v>0</v>
      </c>
      <c r="L951" s="27">
        <f>SUMIFS(실시간콜입력!$K:$K,실시간콜입력!$B:$B,$A951,실시간콜입력!$G:$G,$B951,실시간콜입력!$O:$O,"방문완료")+SUMIFS(실시간콜입력!$L:$L,실시간콜입력!$B:$B,$A951,실시간콜입력!$H:$H,$B951,실시간콜입력!$O:$O,"방문완료")</f>
        <v>0</v>
      </c>
      <c r="M951" s="29" t="str">
        <f t="shared" si="129"/>
        <v/>
      </c>
      <c r="N951" s="29"/>
    </row>
    <row r="952" spans="1:14" ht="19.5" hidden="1" customHeight="1" outlineLevel="1">
      <c r="A952" s="30">
        <f>IF(19&lt;=DAY(DATE(YEAR(설정_코스수당!$K$2),MONTH(설정_코스수당!$K$2)+1,0)),DATE(YEAR(설정_코스수당!$K$2),MONTH(설정_코스수당!$K$2),19),"")</f>
        <v>46192</v>
      </c>
      <c r="B952" s="29" t="s">
        <v>172</v>
      </c>
      <c r="C952" s="29"/>
      <c r="D952" s="29"/>
      <c r="E952" s="29" t="str">
        <f t="shared" si="127"/>
        <v/>
      </c>
      <c r="F952" s="29">
        <f>COUNTIFS(실시간콜입력!$B:$B,$A952,실시간콜입력!$E:$E,"A",실시간콜입력!$G:$G,$B952,실시간콜입력!$O:$O,"방문완료")+COUNTIFS(실시간콜입력!$B:$B,$A952,실시간콜입력!$E:$E,"A",실시간콜입력!$H:$H,$B952,실시간콜입력!$O:$O,"방문완료")</f>
        <v>0</v>
      </c>
      <c r="G952" s="29">
        <f>COUNTIFS(실시간콜입력!$B:$B,$A952,실시간콜입력!$E:$E,"B",실시간콜입력!$G:$G,$B952,실시간콜입력!$O:$O,"방문완료")+COUNTIFS(실시간콜입력!$B:$B,$A952,실시간콜입력!$E:$E,"B",실시간콜입력!$H:$H,$B952,실시간콜입력!$O:$O,"방문완료")</f>
        <v>0</v>
      </c>
      <c r="H952" s="29">
        <f>COUNTIFS(실시간콜입력!$B:$B,$A952,실시간콜입력!$E:$E,"C",실시간콜입력!$G:$G,$B952,실시간콜입력!$O:$O,"방문완료")+COUNTIFS(실시간콜입력!$B:$B,$A952,실시간콜입력!$E:$E,"C",실시간콜입력!$H:$H,$B952,실시간콜입력!$O:$O,"방문완료")</f>
        <v>0</v>
      </c>
      <c r="I952" s="29">
        <f>COUNTIFS(실시간콜입력!$B:$B,$A952,실시간콜입력!$E:$E,"D",실시간콜입력!$G:$G,$B952,실시간콜입력!$O:$O,"방문완료")+COUNTIFS(실시간콜입력!$B:$B,$A952,실시간콜입력!$E:$E,"D",실시간콜입력!$H:$H,$B952,실시간콜입력!$O:$O,"방문완료")</f>
        <v>0</v>
      </c>
      <c r="J952" s="29">
        <f>COUNTIFS(실시간콜입력!$B:$B,$A952,실시간콜입력!$E:$E,"E",실시간콜입력!$G:$G,$B952,실시간콜입력!$O:$O,"방문완료")+COUNTIFS(실시간콜입력!$B:$B,$A952,실시간콜입력!$E:$E,"E",실시간콜입력!$H:$H,$B952,실시간콜입력!$O:$O,"방문완료")</f>
        <v>0</v>
      </c>
      <c r="K952" s="29">
        <f t="shared" si="128"/>
        <v>0</v>
      </c>
      <c r="L952" s="33">
        <f>SUMIFS(실시간콜입력!$K:$K,실시간콜입력!$B:$B,$A952,실시간콜입력!$G:$G,$B952,실시간콜입력!$O:$O,"방문완료")+SUMIFS(실시간콜입력!$L:$L,실시간콜입력!$B:$B,$A952,실시간콜입력!$H:$H,$B952,실시간콜입력!$O:$O,"방문완료")</f>
        <v>0</v>
      </c>
      <c r="M952" s="29" t="str">
        <f t="shared" si="129"/>
        <v/>
      </c>
      <c r="N952" s="29"/>
    </row>
    <row r="953" spans="1:14" ht="19.5" hidden="1" customHeight="1" outlineLevel="1">
      <c r="A953" s="24">
        <f>IF(19&lt;=DAY(DATE(YEAR(설정_코스수당!$K$2),MONTH(설정_코스수당!$K$2)+1,0)),DATE(YEAR(설정_코스수당!$K$2),MONTH(설정_코스수당!$K$2),19),"")</f>
        <v>46192</v>
      </c>
      <c r="B953" s="23" t="s">
        <v>173</v>
      </c>
      <c r="C953" s="29"/>
      <c r="D953" s="29"/>
      <c r="E953" s="29" t="str">
        <f t="shared" si="127"/>
        <v/>
      </c>
      <c r="F953" s="29">
        <f>COUNTIFS(실시간콜입력!$B:$B,$A953,실시간콜입력!$E:$E,"A",실시간콜입력!$G:$G,$B953,실시간콜입력!$O:$O,"방문완료")+COUNTIFS(실시간콜입력!$B:$B,$A953,실시간콜입력!$E:$E,"A",실시간콜입력!$H:$H,$B953,실시간콜입력!$O:$O,"방문완료")</f>
        <v>0</v>
      </c>
      <c r="G953" s="29">
        <f>COUNTIFS(실시간콜입력!$B:$B,$A953,실시간콜입력!$E:$E,"B",실시간콜입력!$G:$G,$B953,실시간콜입력!$O:$O,"방문완료")+COUNTIFS(실시간콜입력!$B:$B,$A953,실시간콜입력!$E:$E,"B",실시간콜입력!$H:$H,$B953,실시간콜입력!$O:$O,"방문완료")</f>
        <v>0</v>
      </c>
      <c r="H953" s="29">
        <f>COUNTIFS(실시간콜입력!$B:$B,$A953,실시간콜입력!$E:$E,"C",실시간콜입력!$G:$G,$B953,실시간콜입력!$O:$O,"방문완료")+COUNTIFS(실시간콜입력!$B:$B,$A953,실시간콜입력!$E:$E,"C",실시간콜입력!$H:$H,$B953,실시간콜입력!$O:$O,"방문완료")</f>
        <v>0</v>
      </c>
      <c r="I953" s="29">
        <f>COUNTIFS(실시간콜입력!$B:$B,$A953,실시간콜입력!$E:$E,"D",실시간콜입력!$G:$G,$B953,실시간콜입력!$O:$O,"방문완료")+COUNTIFS(실시간콜입력!$B:$B,$A953,실시간콜입력!$E:$E,"D",실시간콜입력!$H:$H,$B953,실시간콜입력!$O:$O,"방문완료")</f>
        <v>0</v>
      </c>
      <c r="J953" s="29">
        <f>COUNTIFS(실시간콜입력!$B:$B,$A953,실시간콜입력!$E:$E,"E",실시간콜입력!$G:$G,$B953,실시간콜입력!$O:$O,"방문완료")+COUNTIFS(실시간콜입력!$B:$B,$A953,실시간콜입력!$E:$E,"E",실시간콜입력!$H:$H,$B953,실시간콜입력!$O:$O,"방문완료")</f>
        <v>0</v>
      </c>
      <c r="K953" s="29">
        <f t="shared" si="128"/>
        <v>0</v>
      </c>
      <c r="L953" s="27">
        <f>SUMIFS(실시간콜입력!$K:$K,실시간콜입력!$B:$B,$A953,실시간콜입력!$G:$G,$B953,실시간콜입력!$O:$O,"방문완료")+SUMIFS(실시간콜입력!$L:$L,실시간콜입력!$B:$B,$A953,실시간콜입력!$H:$H,$B953,실시간콜입력!$O:$O,"방문완료")</f>
        <v>0</v>
      </c>
      <c r="M953" s="29" t="str">
        <f t="shared" si="129"/>
        <v/>
      </c>
      <c r="N953" s="29"/>
    </row>
    <row r="954" spans="1:14" ht="19.5" hidden="1" customHeight="1" outlineLevel="1">
      <c r="A954" s="30">
        <f>IF(19&lt;=DAY(DATE(YEAR(설정_코스수당!$K$2),MONTH(설정_코스수당!$K$2)+1,0)),DATE(YEAR(설정_코스수당!$K$2),MONTH(설정_코스수당!$K$2),19),"")</f>
        <v>46192</v>
      </c>
      <c r="B954" s="29" t="s">
        <v>174</v>
      </c>
      <c r="C954" s="29"/>
      <c r="D954" s="29"/>
      <c r="E954" s="29" t="str">
        <f t="shared" si="127"/>
        <v/>
      </c>
      <c r="F954" s="29">
        <f>COUNTIFS(실시간콜입력!$B:$B,$A954,실시간콜입력!$E:$E,"A",실시간콜입력!$G:$G,$B954,실시간콜입력!$O:$O,"방문완료")+COUNTIFS(실시간콜입력!$B:$B,$A954,실시간콜입력!$E:$E,"A",실시간콜입력!$H:$H,$B954,실시간콜입력!$O:$O,"방문완료")</f>
        <v>0</v>
      </c>
      <c r="G954" s="29">
        <f>COUNTIFS(실시간콜입력!$B:$B,$A954,실시간콜입력!$E:$E,"B",실시간콜입력!$G:$G,$B954,실시간콜입력!$O:$O,"방문완료")+COUNTIFS(실시간콜입력!$B:$B,$A954,실시간콜입력!$E:$E,"B",실시간콜입력!$H:$H,$B954,실시간콜입력!$O:$O,"방문완료")</f>
        <v>0</v>
      </c>
      <c r="H954" s="29">
        <f>COUNTIFS(실시간콜입력!$B:$B,$A954,실시간콜입력!$E:$E,"C",실시간콜입력!$G:$G,$B954,실시간콜입력!$O:$O,"방문완료")+COUNTIFS(실시간콜입력!$B:$B,$A954,실시간콜입력!$E:$E,"C",실시간콜입력!$H:$H,$B954,실시간콜입력!$O:$O,"방문완료")</f>
        <v>0</v>
      </c>
      <c r="I954" s="29">
        <f>COUNTIFS(실시간콜입력!$B:$B,$A954,실시간콜입력!$E:$E,"D",실시간콜입력!$G:$G,$B954,실시간콜입력!$O:$O,"방문완료")+COUNTIFS(실시간콜입력!$B:$B,$A954,실시간콜입력!$E:$E,"D",실시간콜입력!$H:$H,$B954,실시간콜입력!$O:$O,"방문완료")</f>
        <v>0</v>
      </c>
      <c r="J954" s="29">
        <f>COUNTIFS(실시간콜입력!$B:$B,$A954,실시간콜입력!$E:$E,"E",실시간콜입력!$G:$G,$B954,실시간콜입력!$O:$O,"방문완료")+COUNTIFS(실시간콜입력!$B:$B,$A954,실시간콜입력!$E:$E,"E",실시간콜입력!$H:$H,$B954,실시간콜입력!$O:$O,"방문완료")</f>
        <v>0</v>
      </c>
      <c r="K954" s="29">
        <f t="shared" si="128"/>
        <v>0</v>
      </c>
      <c r="L954" s="33">
        <f>SUMIFS(실시간콜입력!$K:$K,실시간콜입력!$B:$B,$A954,실시간콜입력!$G:$G,$B954,실시간콜입력!$O:$O,"방문완료")+SUMIFS(실시간콜입력!$L:$L,실시간콜입력!$B:$B,$A954,실시간콜입력!$H:$H,$B954,실시간콜입력!$O:$O,"방문완료")</f>
        <v>0</v>
      </c>
      <c r="M954" s="29" t="str">
        <f t="shared" si="129"/>
        <v/>
      </c>
      <c r="N954" s="29"/>
    </row>
    <row r="955" spans="1:14" ht="19.5" hidden="1" customHeight="1" outlineLevel="1">
      <c r="A955" s="24">
        <f>IF(19&lt;=DAY(DATE(YEAR(설정_코스수당!$K$2),MONTH(설정_코스수당!$K$2)+1,0)),DATE(YEAR(설정_코스수당!$K$2),MONTH(설정_코스수당!$K$2),19),"")</f>
        <v>46192</v>
      </c>
      <c r="B955" s="23" t="s">
        <v>175</v>
      </c>
      <c r="C955" s="29"/>
      <c r="D955" s="29"/>
      <c r="E955" s="29" t="str">
        <f t="shared" si="127"/>
        <v/>
      </c>
      <c r="F955" s="29">
        <f>COUNTIFS(실시간콜입력!$B:$B,$A955,실시간콜입력!$E:$E,"A",실시간콜입력!$G:$G,$B955,실시간콜입력!$O:$O,"방문완료")+COUNTIFS(실시간콜입력!$B:$B,$A955,실시간콜입력!$E:$E,"A",실시간콜입력!$H:$H,$B955,실시간콜입력!$O:$O,"방문완료")</f>
        <v>0</v>
      </c>
      <c r="G955" s="29">
        <f>COUNTIFS(실시간콜입력!$B:$B,$A955,실시간콜입력!$E:$E,"B",실시간콜입력!$G:$G,$B955,실시간콜입력!$O:$O,"방문완료")+COUNTIFS(실시간콜입력!$B:$B,$A955,실시간콜입력!$E:$E,"B",실시간콜입력!$H:$H,$B955,실시간콜입력!$O:$O,"방문완료")</f>
        <v>0</v>
      </c>
      <c r="H955" s="29">
        <f>COUNTIFS(실시간콜입력!$B:$B,$A955,실시간콜입력!$E:$E,"C",실시간콜입력!$G:$G,$B955,실시간콜입력!$O:$O,"방문완료")+COUNTIFS(실시간콜입력!$B:$B,$A955,실시간콜입력!$E:$E,"C",실시간콜입력!$H:$H,$B955,실시간콜입력!$O:$O,"방문완료")</f>
        <v>0</v>
      </c>
      <c r="I955" s="29">
        <f>COUNTIFS(실시간콜입력!$B:$B,$A955,실시간콜입력!$E:$E,"D",실시간콜입력!$G:$G,$B955,실시간콜입력!$O:$O,"방문완료")+COUNTIFS(실시간콜입력!$B:$B,$A955,실시간콜입력!$E:$E,"D",실시간콜입력!$H:$H,$B955,실시간콜입력!$O:$O,"방문완료")</f>
        <v>0</v>
      </c>
      <c r="J955" s="29">
        <f>COUNTIFS(실시간콜입력!$B:$B,$A955,실시간콜입력!$E:$E,"E",실시간콜입력!$G:$G,$B955,실시간콜입력!$O:$O,"방문완료")+COUNTIFS(실시간콜입력!$B:$B,$A955,실시간콜입력!$E:$E,"E",실시간콜입력!$H:$H,$B955,실시간콜입력!$O:$O,"방문완료")</f>
        <v>0</v>
      </c>
      <c r="K955" s="29">
        <f t="shared" si="128"/>
        <v>0</v>
      </c>
      <c r="L955" s="27">
        <f>SUMIFS(실시간콜입력!$K:$K,실시간콜입력!$B:$B,$A955,실시간콜입력!$G:$G,$B955,실시간콜입력!$O:$O,"방문완료")+SUMIFS(실시간콜입력!$L:$L,실시간콜입력!$B:$B,$A955,실시간콜입력!$H:$H,$B955,실시간콜입력!$O:$O,"방문완료")</f>
        <v>0</v>
      </c>
      <c r="M955" s="29" t="str">
        <f t="shared" si="129"/>
        <v/>
      </c>
      <c r="N955" s="29"/>
    </row>
    <row r="956" spans="1:14" ht="19.5" hidden="1" customHeight="1" outlineLevel="1">
      <c r="A956" s="30">
        <f>IF(19&lt;=DAY(DATE(YEAR(설정_코스수당!$K$2),MONTH(설정_코스수당!$K$2)+1,0)),DATE(YEAR(설정_코스수당!$K$2),MONTH(설정_코스수당!$K$2),19),"")</f>
        <v>46192</v>
      </c>
      <c r="B956" s="29" t="s">
        <v>176</v>
      </c>
      <c r="C956" s="29"/>
      <c r="D956" s="29"/>
      <c r="E956" s="29" t="str">
        <f t="shared" si="127"/>
        <v/>
      </c>
      <c r="F956" s="29">
        <f>COUNTIFS(실시간콜입력!$B:$B,$A956,실시간콜입력!$E:$E,"A",실시간콜입력!$G:$G,$B956,실시간콜입력!$O:$O,"방문완료")+COUNTIFS(실시간콜입력!$B:$B,$A956,실시간콜입력!$E:$E,"A",실시간콜입력!$H:$H,$B956,실시간콜입력!$O:$O,"방문완료")</f>
        <v>0</v>
      </c>
      <c r="G956" s="29">
        <f>COUNTIFS(실시간콜입력!$B:$B,$A956,실시간콜입력!$E:$E,"B",실시간콜입력!$G:$G,$B956,실시간콜입력!$O:$O,"방문완료")+COUNTIFS(실시간콜입력!$B:$B,$A956,실시간콜입력!$E:$E,"B",실시간콜입력!$H:$H,$B956,실시간콜입력!$O:$O,"방문완료")</f>
        <v>0</v>
      </c>
      <c r="H956" s="29">
        <f>COUNTIFS(실시간콜입력!$B:$B,$A956,실시간콜입력!$E:$E,"C",실시간콜입력!$G:$G,$B956,실시간콜입력!$O:$O,"방문완료")+COUNTIFS(실시간콜입력!$B:$B,$A956,실시간콜입력!$E:$E,"C",실시간콜입력!$H:$H,$B956,실시간콜입력!$O:$O,"방문완료")</f>
        <v>0</v>
      </c>
      <c r="I956" s="29">
        <f>COUNTIFS(실시간콜입력!$B:$B,$A956,실시간콜입력!$E:$E,"D",실시간콜입력!$G:$G,$B956,실시간콜입력!$O:$O,"방문완료")+COUNTIFS(실시간콜입력!$B:$B,$A956,실시간콜입력!$E:$E,"D",실시간콜입력!$H:$H,$B956,실시간콜입력!$O:$O,"방문완료")</f>
        <v>0</v>
      </c>
      <c r="J956" s="29">
        <f>COUNTIFS(실시간콜입력!$B:$B,$A956,실시간콜입력!$E:$E,"E",실시간콜입력!$G:$G,$B956,실시간콜입력!$O:$O,"방문완료")+COUNTIFS(실시간콜입력!$B:$B,$A956,실시간콜입력!$E:$E,"E",실시간콜입력!$H:$H,$B956,실시간콜입력!$O:$O,"방문완료")</f>
        <v>0</v>
      </c>
      <c r="K956" s="29">
        <f t="shared" si="128"/>
        <v>0</v>
      </c>
      <c r="L956" s="33">
        <f>SUMIFS(실시간콜입력!$K:$K,실시간콜입력!$B:$B,$A956,실시간콜입력!$G:$G,$B956,실시간콜입력!$O:$O,"방문완료")+SUMIFS(실시간콜입력!$L:$L,실시간콜입력!$B:$B,$A956,실시간콜입력!$H:$H,$B956,실시간콜입력!$O:$O,"방문완료")</f>
        <v>0</v>
      </c>
      <c r="M956" s="29" t="str">
        <f t="shared" si="129"/>
        <v/>
      </c>
      <c r="N956" s="29"/>
    </row>
    <row r="957" spans="1:14" ht="19.5" hidden="1" customHeight="1" outlineLevel="1">
      <c r="A957" s="24">
        <f>IF(19&lt;=DAY(DATE(YEAR(설정_코스수당!$K$2),MONTH(설정_코스수당!$K$2)+1,0)),DATE(YEAR(설정_코스수당!$K$2),MONTH(설정_코스수당!$K$2),19),"")</f>
        <v>46192</v>
      </c>
      <c r="B957" s="23" t="s">
        <v>177</v>
      </c>
      <c r="C957" s="29"/>
      <c r="D957" s="29"/>
      <c r="E957" s="29" t="str">
        <f t="shared" si="127"/>
        <v/>
      </c>
      <c r="F957" s="29">
        <f>COUNTIFS(실시간콜입력!$B:$B,$A957,실시간콜입력!$E:$E,"A",실시간콜입력!$G:$G,$B957,실시간콜입력!$O:$O,"방문완료")+COUNTIFS(실시간콜입력!$B:$B,$A957,실시간콜입력!$E:$E,"A",실시간콜입력!$H:$H,$B957,실시간콜입력!$O:$O,"방문완료")</f>
        <v>0</v>
      </c>
      <c r="G957" s="29">
        <f>COUNTIFS(실시간콜입력!$B:$B,$A957,실시간콜입력!$E:$E,"B",실시간콜입력!$G:$G,$B957,실시간콜입력!$O:$O,"방문완료")+COUNTIFS(실시간콜입력!$B:$B,$A957,실시간콜입력!$E:$E,"B",실시간콜입력!$H:$H,$B957,실시간콜입력!$O:$O,"방문완료")</f>
        <v>0</v>
      </c>
      <c r="H957" s="29">
        <f>COUNTIFS(실시간콜입력!$B:$B,$A957,실시간콜입력!$E:$E,"C",실시간콜입력!$G:$G,$B957,실시간콜입력!$O:$O,"방문완료")+COUNTIFS(실시간콜입력!$B:$B,$A957,실시간콜입력!$E:$E,"C",실시간콜입력!$H:$H,$B957,실시간콜입력!$O:$O,"방문완료")</f>
        <v>0</v>
      </c>
      <c r="I957" s="29">
        <f>COUNTIFS(실시간콜입력!$B:$B,$A957,실시간콜입력!$E:$E,"D",실시간콜입력!$G:$G,$B957,실시간콜입력!$O:$O,"방문완료")+COUNTIFS(실시간콜입력!$B:$B,$A957,실시간콜입력!$E:$E,"D",실시간콜입력!$H:$H,$B957,실시간콜입력!$O:$O,"방문완료")</f>
        <v>0</v>
      </c>
      <c r="J957" s="29">
        <f>COUNTIFS(실시간콜입력!$B:$B,$A957,실시간콜입력!$E:$E,"E",실시간콜입력!$G:$G,$B957,실시간콜입력!$O:$O,"방문완료")+COUNTIFS(실시간콜입력!$B:$B,$A957,실시간콜입력!$E:$E,"E",실시간콜입력!$H:$H,$B957,실시간콜입력!$O:$O,"방문완료")</f>
        <v>0</v>
      </c>
      <c r="K957" s="29">
        <f t="shared" si="128"/>
        <v>0</v>
      </c>
      <c r="L957" s="27">
        <f>SUMIFS(실시간콜입력!$K:$K,실시간콜입력!$B:$B,$A957,실시간콜입력!$G:$G,$B957,실시간콜입력!$O:$O,"방문완료")+SUMIFS(실시간콜입력!$L:$L,실시간콜입력!$B:$B,$A957,실시간콜입력!$H:$H,$B957,실시간콜입력!$O:$O,"방문완료")</f>
        <v>0</v>
      </c>
      <c r="M957" s="29" t="str">
        <f t="shared" si="129"/>
        <v/>
      </c>
      <c r="N957" s="29"/>
    </row>
    <row r="958" spans="1:14" ht="19.5" hidden="1" customHeight="1" outlineLevel="1">
      <c r="A958" s="30">
        <f>IF(19&lt;=DAY(DATE(YEAR(설정_코스수당!$K$2),MONTH(설정_코스수당!$K$2)+1,0)),DATE(YEAR(설정_코스수당!$K$2),MONTH(설정_코스수당!$K$2),19),"")</f>
        <v>46192</v>
      </c>
      <c r="B958" s="29" t="s">
        <v>178</v>
      </c>
      <c r="C958" s="29"/>
      <c r="D958" s="29"/>
      <c r="E958" s="29" t="str">
        <f t="shared" si="127"/>
        <v/>
      </c>
      <c r="F958" s="29">
        <f>COUNTIFS(실시간콜입력!$B:$B,$A958,실시간콜입력!$E:$E,"A",실시간콜입력!$G:$G,$B958,실시간콜입력!$O:$O,"방문완료")+COUNTIFS(실시간콜입력!$B:$B,$A958,실시간콜입력!$E:$E,"A",실시간콜입력!$H:$H,$B958,실시간콜입력!$O:$O,"방문완료")</f>
        <v>0</v>
      </c>
      <c r="G958" s="29">
        <f>COUNTIFS(실시간콜입력!$B:$B,$A958,실시간콜입력!$E:$E,"B",실시간콜입력!$G:$G,$B958,실시간콜입력!$O:$O,"방문완료")+COUNTIFS(실시간콜입력!$B:$B,$A958,실시간콜입력!$E:$E,"B",실시간콜입력!$H:$H,$B958,실시간콜입력!$O:$O,"방문완료")</f>
        <v>0</v>
      </c>
      <c r="H958" s="29">
        <f>COUNTIFS(실시간콜입력!$B:$B,$A958,실시간콜입력!$E:$E,"C",실시간콜입력!$G:$G,$B958,실시간콜입력!$O:$O,"방문완료")+COUNTIFS(실시간콜입력!$B:$B,$A958,실시간콜입력!$E:$E,"C",실시간콜입력!$H:$H,$B958,실시간콜입력!$O:$O,"방문완료")</f>
        <v>0</v>
      </c>
      <c r="I958" s="29">
        <f>COUNTIFS(실시간콜입력!$B:$B,$A958,실시간콜입력!$E:$E,"D",실시간콜입력!$G:$G,$B958,실시간콜입력!$O:$O,"방문완료")+COUNTIFS(실시간콜입력!$B:$B,$A958,실시간콜입력!$E:$E,"D",실시간콜입력!$H:$H,$B958,실시간콜입력!$O:$O,"방문완료")</f>
        <v>0</v>
      </c>
      <c r="J958" s="29">
        <f>COUNTIFS(실시간콜입력!$B:$B,$A958,실시간콜입력!$E:$E,"E",실시간콜입력!$G:$G,$B958,실시간콜입력!$O:$O,"방문완료")+COUNTIFS(실시간콜입력!$B:$B,$A958,실시간콜입력!$E:$E,"E",실시간콜입력!$H:$H,$B958,실시간콜입력!$O:$O,"방문완료")</f>
        <v>0</v>
      </c>
      <c r="K958" s="29">
        <f t="shared" si="128"/>
        <v>0</v>
      </c>
      <c r="L958" s="33">
        <f>SUMIFS(실시간콜입력!$K:$K,실시간콜입력!$B:$B,$A958,실시간콜입력!$G:$G,$B958,실시간콜입력!$O:$O,"방문완료")+SUMIFS(실시간콜입력!$L:$L,실시간콜입력!$B:$B,$A958,실시간콜입력!$H:$H,$B958,실시간콜입력!$O:$O,"방문완료")</f>
        <v>0</v>
      </c>
      <c r="M958" s="29" t="str">
        <f t="shared" si="129"/>
        <v/>
      </c>
      <c r="N958" s="29"/>
    </row>
    <row r="959" spans="1:14" ht="19.5" hidden="1" customHeight="1" outlineLevel="1">
      <c r="A959" s="24">
        <f>IF(19&lt;=DAY(DATE(YEAR(설정_코스수당!$K$2),MONTH(설정_코스수당!$K$2)+1,0)),DATE(YEAR(설정_코스수당!$K$2),MONTH(설정_코스수당!$K$2),19),"")</f>
        <v>46192</v>
      </c>
      <c r="B959" s="23" t="s">
        <v>179</v>
      </c>
      <c r="C959" s="29"/>
      <c r="D959" s="29"/>
      <c r="E959" s="29" t="str">
        <f t="shared" si="127"/>
        <v/>
      </c>
      <c r="F959" s="29">
        <f>COUNTIFS(실시간콜입력!$B:$B,$A959,실시간콜입력!$E:$E,"A",실시간콜입력!$G:$G,$B959,실시간콜입력!$O:$O,"방문완료")+COUNTIFS(실시간콜입력!$B:$B,$A959,실시간콜입력!$E:$E,"A",실시간콜입력!$H:$H,$B959,실시간콜입력!$O:$O,"방문완료")</f>
        <v>0</v>
      </c>
      <c r="G959" s="29">
        <f>COUNTIFS(실시간콜입력!$B:$B,$A959,실시간콜입력!$E:$E,"B",실시간콜입력!$G:$G,$B959,실시간콜입력!$O:$O,"방문완료")+COUNTIFS(실시간콜입력!$B:$B,$A959,실시간콜입력!$E:$E,"B",실시간콜입력!$H:$H,$B959,실시간콜입력!$O:$O,"방문완료")</f>
        <v>0</v>
      </c>
      <c r="H959" s="29">
        <f>COUNTIFS(실시간콜입력!$B:$B,$A959,실시간콜입력!$E:$E,"C",실시간콜입력!$G:$G,$B959,실시간콜입력!$O:$O,"방문완료")+COUNTIFS(실시간콜입력!$B:$B,$A959,실시간콜입력!$E:$E,"C",실시간콜입력!$H:$H,$B959,실시간콜입력!$O:$O,"방문완료")</f>
        <v>0</v>
      </c>
      <c r="I959" s="29">
        <f>COUNTIFS(실시간콜입력!$B:$B,$A959,실시간콜입력!$E:$E,"D",실시간콜입력!$G:$G,$B959,실시간콜입력!$O:$O,"방문완료")+COUNTIFS(실시간콜입력!$B:$B,$A959,실시간콜입력!$E:$E,"D",실시간콜입력!$H:$H,$B959,실시간콜입력!$O:$O,"방문완료")</f>
        <v>0</v>
      </c>
      <c r="J959" s="29">
        <f>COUNTIFS(실시간콜입력!$B:$B,$A959,실시간콜입력!$E:$E,"E",실시간콜입력!$G:$G,$B959,실시간콜입력!$O:$O,"방문완료")+COUNTIFS(실시간콜입력!$B:$B,$A959,실시간콜입력!$E:$E,"E",실시간콜입력!$H:$H,$B959,실시간콜입력!$O:$O,"방문완료")</f>
        <v>0</v>
      </c>
      <c r="K959" s="29">
        <f t="shared" si="128"/>
        <v>0</v>
      </c>
      <c r="L959" s="27">
        <f>SUMIFS(실시간콜입력!$K:$K,실시간콜입력!$B:$B,$A959,실시간콜입력!$G:$G,$B959,실시간콜입력!$O:$O,"방문완료")+SUMIFS(실시간콜입력!$L:$L,실시간콜입력!$B:$B,$A959,실시간콜입력!$H:$H,$B959,실시간콜입력!$O:$O,"방문완료")</f>
        <v>0</v>
      </c>
      <c r="M959" s="29" t="str">
        <f t="shared" si="129"/>
        <v/>
      </c>
      <c r="N959" s="29"/>
    </row>
    <row r="960" spans="1:14" ht="19.5" hidden="1" customHeight="1" outlineLevel="1">
      <c r="A960" s="30">
        <f>IF(19&lt;=DAY(DATE(YEAR(설정_코스수당!$K$2),MONTH(설정_코스수당!$K$2)+1,0)),DATE(YEAR(설정_코스수당!$K$2),MONTH(설정_코스수당!$K$2),19),"")</f>
        <v>46192</v>
      </c>
      <c r="B960" s="29" t="s">
        <v>180</v>
      </c>
      <c r="C960" s="29"/>
      <c r="D960" s="29"/>
      <c r="E960" s="29" t="str">
        <f t="shared" si="127"/>
        <v/>
      </c>
      <c r="F960" s="29">
        <f>COUNTIFS(실시간콜입력!$B:$B,$A960,실시간콜입력!$E:$E,"A",실시간콜입력!$G:$G,$B960,실시간콜입력!$O:$O,"방문완료")+COUNTIFS(실시간콜입력!$B:$B,$A960,실시간콜입력!$E:$E,"A",실시간콜입력!$H:$H,$B960,실시간콜입력!$O:$O,"방문완료")</f>
        <v>0</v>
      </c>
      <c r="G960" s="29">
        <f>COUNTIFS(실시간콜입력!$B:$B,$A960,실시간콜입력!$E:$E,"B",실시간콜입력!$G:$G,$B960,실시간콜입력!$O:$O,"방문완료")+COUNTIFS(실시간콜입력!$B:$B,$A960,실시간콜입력!$E:$E,"B",실시간콜입력!$H:$H,$B960,실시간콜입력!$O:$O,"방문완료")</f>
        <v>0</v>
      </c>
      <c r="H960" s="29">
        <f>COUNTIFS(실시간콜입력!$B:$B,$A960,실시간콜입력!$E:$E,"C",실시간콜입력!$G:$G,$B960,실시간콜입력!$O:$O,"방문완료")+COUNTIFS(실시간콜입력!$B:$B,$A960,실시간콜입력!$E:$E,"C",실시간콜입력!$H:$H,$B960,실시간콜입력!$O:$O,"방문완료")</f>
        <v>0</v>
      </c>
      <c r="I960" s="29">
        <f>COUNTIFS(실시간콜입력!$B:$B,$A960,실시간콜입력!$E:$E,"D",실시간콜입력!$G:$G,$B960,실시간콜입력!$O:$O,"방문완료")+COUNTIFS(실시간콜입력!$B:$B,$A960,실시간콜입력!$E:$E,"D",실시간콜입력!$H:$H,$B960,실시간콜입력!$O:$O,"방문완료")</f>
        <v>0</v>
      </c>
      <c r="J960" s="29">
        <f>COUNTIFS(실시간콜입력!$B:$B,$A960,실시간콜입력!$E:$E,"E",실시간콜입력!$G:$G,$B960,실시간콜입력!$O:$O,"방문완료")+COUNTIFS(실시간콜입력!$B:$B,$A960,실시간콜입력!$E:$E,"E",실시간콜입력!$H:$H,$B960,실시간콜입력!$O:$O,"방문완료")</f>
        <v>0</v>
      </c>
      <c r="K960" s="29">
        <f t="shared" si="128"/>
        <v>0</v>
      </c>
      <c r="L960" s="33">
        <f>SUMIFS(실시간콜입력!$K:$K,실시간콜입력!$B:$B,$A960,실시간콜입력!$G:$G,$B960,실시간콜입력!$O:$O,"방문완료")+SUMIFS(실시간콜입력!$L:$L,실시간콜입력!$B:$B,$A960,실시간콜입력!$H:$H,$B960,실시간콜입력!$O:$O,"방문완료")</f>
        <v>0</v>
      </c>
      <c r="M960" s="29" t="str">
        <f t="shared" si="129"/>
        <v/>
      </c>
      <c r="N960" s="29"/>
    </row>
    <row r="961" spans="1:14" ht="19.5" hidden="1" customHeight="1" outlineLevel="1">
      <c r="A961" s="24">
        <f>IF(19&lt;=DAY(DATE(YEAR(설정_코스수당!$K$2),MONTH(설정_코스수당!$K$2)+1,0)),DATE(YEAR(설정_코스수당!$K$2),MONTH(설정_코스수당!$K$2),19),"")</f>
        <v>46192</v>
      </c>
      <c r="B961" s="23" t="s">
        <v>181</v>
      </c>
      <c r="C961" s="29"/>
      <c r="D961" s="29"/>
      <c r="E961" s="29" t="str">
        <f t="shared" si="127"/>
        <v/>
      </c>
      <c r="F961" s="29">
        <f>COUNTIFS(실시간콜입력!$B:$B,$A961,실시간콜입력!$E:$E,"A",실시간콜입력!$G:$G,$B961,실시간콜입력!$O:$O,"방문완료")+COUNTIFS(실시간콜입력!$B:$B,$A961,실시간콜입력!$E:$E,"A",실시간콜입력!$H:$H,$B961,실시간콜입력!$O:$O,"방문완료")</f>
        <v>0</v>
      </c>
      <c r="G961" s="29">
        <f>COUNTIFS(실시간콜입력!$B:$B,$A961,실시간콜입력!$E:$E,"B",실시간콜입력!$G:$G,$B961,실시간콜입력!$O:$O,"방문완료")+COUNTIFS(실시간콜입력!$B:$B,$A961,실시간콜입력!$E:$E,"B",실시간콜입력!$H:$H,$B961,실시간콜입력!$O:$O,"방문완료")</f>
        <v>0</v>
      </c>
      <c r="H961" s="29">
        <f>COUNTIFS(실시간콜입력!$B:$B,$A961,실시간콜입력!$E:$E,"C",실시간콜입력!$G:$G,$B961,실시간콜입력!$O:$O,"방문완료")+COUNTIFS(실시간콜입력!$B:$B,$A961,실시간콜입력!$E:$E,"C",실시간콜입력!$H:$H,$B961,실시간콜입력!$O:$O,"방문완료")</f>
        <v>0</v>
      </c>
      <c r="I961" s="29">
        <f>COUNTIFS(실시간콜입력!$B:$B,$A961,실시간콜입력!$E:$E,"D",실시간콜입력!$G:$G,$B961,실시간콜입력!$O:$O,"방문완료")+COUNTIFS(실시간콜입력!$B:$B,$A961,실시간콜입력!$E:$E,"D",실시간콜입력!$H:$H,$B961,실시간콜입력!$O:$O,"방문완료")</f>
        <v>0</v>
      </c>
      <c r="J961" s="29">
        <f>COUNTIFS(실시간콜입력!$B:$B,$A961,실시간콜입력!$E:$E,"E",실시간콜입력!$G:$G,$B961,실시간콜입력!$O:$O,"방문완료")+COUNTIFS(실시간콜입력!$B:$B,$A961,실시간콜입력!$E:$E,"E",실시간콜입력!$H:$H,$B961,실시간콜입력!$O:$O,"방문완료")</f>
        <v>0</v>
      </c>
      <c r="K961" s="29">
        <f t="shared" si="128"/>
        <v>0</v>
      </c>
      <c r="L961" s="27">
        <f>SUMIFS(실시간콜입력!$K:$K,실시간콜입력!$B:$B,$A961,실시간콜입력!$G:$G,$B961,실시간콜입력!$O:$O,"방문완료")+SUMIFS(실시간콜입력!$L:$L,실시간콜입력!$B:$B,$A961,실시간콜입력!$H:$H,$B961,실시간콜입력!$O:$O,"방문완료")</f>
        <v>0</v>
      </c>
      <c r="M961" s="29" t="str">
        <f t="shared" si="129"/>
        <v/>
      </c>
      <c r="N961" s="29"/>
    </row>
    <row r="962" spans="1:14" ht="19.5" hidden="1" customHeight="1" outlineLevel="1">
      <c r="A962" s="30">
        <f>IF(19&lt;=DAY(DATE(YEAR(설정_코스수당!$K$2),MONTH(설정_코스수당!$K$2)+1,0)),DATE(YEAR(설정_코스수당!$K$2),MONTH(설정_코스수당!$K$2),19),"")</f>
        <v>46192</v>
      </c>
      <c r="B962" s="29" t="s">
        <v>182</v>
      </c>
      <c r="C962" s="29"/>
      <c r="D962" s="29"/>
      <c r="E962" s="29" t="str">
        <f t="shared" si="127"/>
        <v/>
      </c>
      <c r="F962" s="29">
        <f>COUNTIFS(실시간콜입력!$B:$B,$A962,실시간콜입력!$E:$E,"A",실시간콜입력!$G:$G,$B962,실시간콜입력!$O:$O,"방문완료")+COUNTIFS(실시간콜입력!$B:$B,$A962,실시간콜입력!$E:$E,"A",실시간콜입력!$H:$H,$B962,실시간콜입력!$O:$O,"방문완료")</f>
        <v>0</v>
      </c>
      <c r="G962" s="29">
        <f>COUNTIFS(실시간콜입력!$B:$B,$A962,실시간콜입력!$E:$E,"B",실시간콜입력!$G:$G,$B962,실시간콜입력!$O:$O,"방문완료")+COUNTIFS(실시간콜입력!$B:$B,$A962,실시간콜입력!$E:$E,"B",실시간콜입력!$H:$H,$B962,실시간콜입력!$O:$O,"방문완료")</f>
        <v>0</v>
      </c>
      <c r="H962" s="29">
        <f>COUNTIFS(실시간콜입력!$B:$B,$A962,실시간콜입력!$E:$E,"C",실시간콜입력!$G:$G,$B962,실시간콜입력!$O:$O,"방문완료")+COUNTIFS(실시간콜입력!$B:$B,$A962,실시간콜입력!$E:$E,"C",실시간콜입력!$H:$H,$B962,실시간콜입력!$O:$O,"방문완료")</f>
        <v>0</v>
      </c>
      <c r="I962" s="29">
        <f>COUNTIFS(실시간콜입력!$B:$B,$A962,실시간콜입력!$E:$E,"D",실시간콜입력!$G:$G,$B962,실시간콜입력!$O:$O,"방문완료")+COUNTIFS(실시간콜입력!$B:$B,$A962,실시간콜입력!$E:$E,"D",실시간콜입력!$H:$H,$B962,실시간콜입력!$O:$O,"방문완료")</f>
        <v>0</v>
      </c>
      <c r="J962" s="29">
        <f>COUNTIFS(실시간콜입력!$B:$B,$A962,실시간콜입력!$E:$E,"E",실시간콜입력!$G:$G,$B962,실시간콜입력!$O:$O,"방문완료")+COUNTIFS(실시간콜입력!$B:$B,$A962,실시간콜입력!$E:$E,"E",실시간콜입력!$H:$H,$B962,실시간콜입력!$O:$O,"방문완료")</f>
        <v>0</v>
      </c>
      <c r="K962" s="29">
        <f t="shared" si="128"/>
        <v>0</v>
      </c>
      <c r="L962" s="33">
        <f>SUMIFS(실시간콜입력!$K:$K,실시간콜입력!$B:$B,$A962,실시간콜입력!$G:$G,$B962,실시간콜입력!$O:$O,"방문완료")+SUMIFS(실시간콜입력!$L:$L,실시간콜입력!$B:$B,$A962,실시간콜입력!$H:$H,$B962,실시간콜입력!$O:$O,"방문완료")</f>
        <v>0</v>
      </c>
      <c r="M962" s="29" t="str">
        <f t="shared" si="129"/>
        <v/>
      </c>
      <c r="N962" s="29"/>
    </row>
    <row r="963" spans="1:14" ht="19.5" hidden="1" customHeight="1" outlineLevel="1">
      <c r="A963" s="24">
        <f>IF(19&lt;=DAY(DATE(YEAR(설정_코스수당!$K$2),MONTH(설정_코스수당!$K$2)+1,0)),DATE(YEAR(설정_코스수당!$K$2),MONTH(설정_코스수당!$K$2),19),"")</f>
        <v>46192</v>
      </c>
      <c r="B963" s="23" t="s">
        <v>183</v>
      </c>
      <c r="C963" s="29"/>
      <c r="D963" s="29"/>
      <c r="E963" s="29" t="str">
        <f t="shared" si="127"/>
        <v/>
      </c>
      <c r="F963" s="29">
        <f>COUNTIFS(실시간콜입력!$B:$B,$A963,실시간콜입력!$E:$E,"A",실시간콜입력!$G:$G,$B963,실시간콜입력!$O:$O,"방문완료")+COUNTIFS(실시간콜입력!$B:$B,$A963,실시간콜입력!$E:$E,"A",실시간콜입력!$H:$H,$B963,실시간콜입력!$O:$O,"방문완료")</f>
        <v>0</v>
      </c>
      <c r="G963" s="29">
        <f>COUNTIFS(실시간콜입력!$B:$B,$A963,실시간콜입력!$E:$E,"B",실시간콜입력!$G:$G,$B963,실시간콜입력!$O:$O,"방문완료")+COUNTIFS(실시간콜입력!$B:$B,$A963,실시간콜입력!$E:$E,"B",실시간콜입력!$H:$H,$B963,실시간콜입력!$O:$O,"방문완료")</f>
        <v>0</v>
      </c>
      <c r="H963" s="29">
        <f>COUNTIFS(실시간콜입력!$B:$B,$A963,실시간콜입력!$E:$E,"C",실시간콜입력!$G:$G,$B963,실시간콜입력!$O:$O,"방문완료")+COUNTIFS(실시간콜입력!$B:$B,$A963,실시간콜입력!$E:$E,"C",실시간콜입력!$H:$H,$B963,실시간콜입력!$O:$O,"방문완료")</f>
        <v>0</v>
      </c>
      <c r="I963" s="29">
        <f>COUNTIFS(실시간콜입력!$B:$B,$A963,실시간콜입력!$E:$E,"D",실시간콜입력!$G:$G,$B963,실시간콜입력!$O:$O,"방문완료")+COUNTIFS(실시간콜입력!$B:$B,$A963,실시간콜입력!$E:$E,"D",실시간콜입력!$H:$H,$B963,실시간콜입력!$O:$O,"방문완료")</f>
        <v>0</v>
      </c>
      <c r="J963" s="29">
        <f>COUNTIFS(실시간콜입력!$B:$B,$A963,실시간콜입력!$E:$E,"E",실시간콜입력!$G:$G,$B963,실시간콜입력!$O:$O,"방문완료")+COUNTIFS(실시간콜입력!$B:$B,$A963,실시간콜입력!$E:$E,"E",실시간콜입력!$H:$H,$B963,실시간콜입력!$O:$O,"방문완료")</f>
        <v>0</v>
      </c>
      <c r="K963" s="29">
        <f t="shared" si="128"/>
        <v>0</v>
      </c>
      <c r="L963" s="27">
        <f>SUMIFS(실시간콜입력!$K:$K,실시간콜입력!$B:$B,$A963,실시간콜입력!$G:$G,$B963,실시간콜입력!$O:$O,"방문완료")+SUMIFS(실시간콜입력!$L:$L,실시간콜입력!$B:$B,$A963,실시간콜입력!$H:$H,$B963,실시간콜입력!$O:$O,"방문완료")</f>
        <v>0</v>
      </c>
      <c r="M963" s="29" t="str">
        <f t="shared" si="129"/>
        <v/>
      </c>
      <c r="N963" s="29"/>
    </row>
    <row r="964" spans="1:14" ht="19.5" hidden="1" customHeight="1" outlineLevel="1">
      <c r="A964" s="30">
        <f>IF(19&lt;=DAY(DATE(YEAR(설정_코스수당!$K$2),MONTH(설정_코스수당!$K$2)+1,0)),DATE(YEAR(설정_코스수당!$K$2),MONTH(설정_코스수당!$K$2),19),"")</f>
        <v>46192</v>
      </c>
      <c r="B964" s="29" t="s">
        <v>184</v>
      </c>
      <c r="C964" s="29"/>
      <c r="D964" s="29"/>
      <c r="E964" s="29" t="str">
        <f t="shared" si="127"/>
        <v/>
      </c>
      <c r="F964" s="29">
        <f>COUNTIFS(실시간콜입력!$B:$B,$A964,실시간콜입력!$E:$E,"A",실시간콜입력!$G:$G,$B964,실시간콜입력!$O:$O,"방문완료")+COUNTIFS(실시간콜입력!$B:$B,$A964,실시간콜입력!$E:$E,"A",실시간콜입력!$H:$H,$B964,실시간콜입력!$O:$O,"방문완료")</f>
        <v>0</v>
      </c>
      <c r="G964" s="29">
        <f>COUNTIFS(실시간콜입력!$B:$B,$A964,실시간콜입력!$E:$E,"B",실시간콜입력!$G:$G,$B964,실시간콜입력!$O:$O,"방문완료")+COUNTIFS(실시간콜입력!$B:$B,$A964,실시간콜입력!$E:$E,"B",실시간콜입력!$H:$H,$B964,실시간콜입력!$O:$O,"방문완료")</f>
        <v>0</v>
      </c>
      <c r="H964" s="29">
        <f>COUNTIFS(실시간콜입력!$B:$B,$A964,실시간콜입력!$E:$E,"C",실시간콜입력!$G:$G,$B964,실시간콜입력!$O:$O,"방문완료")+COUNTIFS(실시간콜입력!$B:$B,$A964,실시간콜입력!$E:$E,"C",실시간콜입력!$H:$H,$B964,실시간콜입력!$O:$O,"방문완료")</f>
        <v>0</v>
      </c>
      <c r="I964" s="29">
        <f>COUNTIFS(실시간콜입력!$B:$B,$A964,실시간콜입력!$E:$E,"D",실시간콜입력!$G:$G,$B964,실시간콜입력!$O:$O,"방문완료")+COUNTIFS(실시간콜입력!$B:$B,$A964,실시간콜입력!$E:$E,"D",실시간콜입력!$H:$H,$B964,실시간콜입력!$O:$O,"방문완료")</f>
        <v>0</v>
      </c>
      <c r="J964" s="29">
        <f>COUNTIFS(실시간콜입력!$B:$B,$A964,실시간콜입력!$E:$E,"E",실시간콜입력!$G:$G,$B964,실시간콜입력!$O:$O,"방문완료")+COUNTIFS(실시간콜입력!$B:$B,$A964,실시간콜입력!$E:$E,"E",실시간콜입력!$H:$H,$B964,실시간콜입력!$O:$O,"방문완료")</f>
        <v>0</v>
      </c>
      <c r="K964" s="29">
        <f t="shared" si="128"/>
        <v>0</v>
      </c>
      <c r="L964" s="33">
        <f>SUMIFS(실시간콜입력!$K:$K,실시간콜입력!$B:$B,$A964,실시간콜입력!$G:$G,$B964,실시간콜입력!$O:$O,"방문완료")+SUMIFS(실시간콜입력!$L:$L,실시간콜입력!$B:$B,$A964,실시간콜입력!$H:$H,$B964,실시간콜입력!$O:$O,"방문완료")</f>
        <v>0</v>
      </c>
      <c r="M964" s="29" t="str">
        <f t="shared" si="129"/>
        <v/>
      </c>
      <c r="N964" s="29"/>
    </row>
    <row r="965" spans="1:14" ht="19.5" hidden="1" customHeight="1" outlineLevel="1">
      <c r="A965" s="24">
        <f>IF(19&lt;=DAY(DATE(YEAR(설정_코스수당!$K$2),MONTH(설정_코스수당!$K$2)+1,0)),DATE(YEAR(설정_코스수당!$K$2),MONTH(설정_코스수당!$K$2),19),"")</f>
        <v>46192</v>
      </c>
      <c r="B965" s="23" t="s">
        <v>185</v>
      </c>
      <c r="C965" s="29"/>
      <c r="D965" s="29"/>
      <c r="E965" s="29" t="str">
        <f t="shared" si="127"/>
        <v/>
      </c>
      <c r="F965" s="29">
        <f>COUNTIFS(실시간콜입력!$B:$B,$A965,실시간콜입력!$E:$E,"A",실시간콜입력!$G:$G,$B965,실시간콜입력!$O:$O,"방문완료")+COUNTIFS(실시간콜입력!$B:$B,$A965,실시간콜입력!$E:$E,"A",실시간콜입력!$H:$H,$B965,실시간콜입력!$O:$O,"방문완료")</f>
        <v>0</v>
      </c>
      <c r="G965" s="29">
        <f>COUNTIFS(실시간콜입력!$B:$B,$A965,실시간콜입력!$E:$E,"B",실시간콜입력!$G:$G,$B965,실시간콜입력!$O:$O,"방문완료")+COUNTIFS(실시간콜입력!$B:$B,$A965,실시간콜입력!$E:$E,"B",실시간콜입력!$H:$H,$B965,실시간콜입력!$O:$O,"방문완료")</f>
        <v>0</v>
      </c>
      <c r="H965" s="29">
        <f>COUNTIFS(실시간콜입력!$B:$B,$A965,실시간콜입력!$E:$E,"C",실시간콜입력!$G:$G,$B965,실시간콜입력!$O:$O,"방문완료")+COUNTIFS(실시간콜입력!$B:$B,$A965,실시간콜입력!$E:$E,"C",실시간콜입력!$H:$H,$B965,실시간콜입력!$O:$O,"방문완료")</f>
        <v>0</v>
      </c>
      <c r="I965" s="29">
        <f>COUNTIFS(실시간콜입력!$B:$B,$A965,실시간콜입력!$E:$E,"D",실시간콜입력!$G:$G,$B965,실시간콜입력!$O:$O,"방문완료")+COUNTIFS(실시간콜입력!$B:$B,$A965,실시간콜입력!$E:$E,"D",실시간콜입력!$H:$H,$B965,실시간콜입력!$O:$O,"방문완료")</f>
        <v>0</v>
      </c>
      <c r="J965" s="29">
        <f>COUNTIFS(실시간콜입력!$B:$B,$A965,실시간콜입력!$E:$E,"E",실시간콜입력!$G:$G,$B965,실시간콜입력!$O:$O,"방문완료")+COUNTIFS(실시간콜입력!$B:$B,$A965,실시간콜입력!$E:$E,"E",실시간콜입력!$H:$H,$B965,실시간콜입력!$O:$O,"방문완료")</f>
        <v>0</v>
      </c>
      <c r="K965" s="29">
        <f t="shared" si="128"/>
        <v>0</v>
      </c>
      <c r="L965" s="27">
        <f>SUMIFS(실시간콜입력!$K:$K,실시간콜입력!$B:$B,$A965,실시간콜입력!$G:$G,$B965,실시간콜입력!$O:$O,"방문완료")+SUMIFS(실시간콜입력!$L:$L,실시간콜입력!$B:$B,$A965,실시간콜입력!$H:$H,$B965,실시간콜입력!$O:$O,"방문완료")</f>
        <v>0</v>
      </c>
      <c r="M965" s="29" t="str">
        <f t="shared" si="129"/>
        <v/>
      </c>
      <c r="N965" s="29"/>
    </row>
    <row r="966" spans="1:14" ht="19.5" hidden="1" customHeight="1" outlineLevel="1">
      <c r="A966" s="30">
        <f>IF(19&lt;=DAY(DATE(YEAR(설정_코스수당!$K$2),MONTH(설정_코스수당!$K$2)+1,0)),DATE(YEAR(설정_코스수당!$K$2),MONTH(설정_코스수당!$K$2),19),"")</f>
        <v>46192</v>
      </c>
      <c r="B966" s="29" t="s">
        <v>186</v>
      </c>
      <c r="C966" s="29"/>
      <c r="D966" s="29"/>
      <c r="E966" s="29" t="str">
        <f t="shared" si="127"/>
        <v/>
      </c>
      <c r="F966" s="29">
        <f>COUNTIFS(실시간콜입력!$B:$B,$A966,실시간콜입력!$E:$E,"A",실시간콜입력!$G:$G,$B966,실시간콜입력!$O:$O,"방문완료")+COUNTIFS(실시간콜입력!$B:$B,$A966,실시간콜입력!$E:$E,"A",실시간콜입력!$H:$H,$B966,실시간콜입력!$O:$O,"방문완료")</f>
        <v>0</v>
      </c>
      <c r="G966" s="29">
        <f>COUNTIFS(실시간콜입력!$B:$B,$A966,실시간콜입력!$E:$E,"B",실시간콜입력!$G:$G,$B966,실시간콜입력!$O:$O,"방문완료")+COUNTIFS(실시간콜입력!$B:$B,$A966,실시간콜입력!$E:$E,"B",실시간콜입력!$H:$H,$B966,실시간콜입력!$O:$O,"방문완료")</f>
        <v>0</v>
      </c>
      <c r="H966" s="29">
        <f>COUNTIFS(실시간콜입력!$B:$B,$A966,실시간콜입력!$E:$E,"C",실시간콜입력!$G:$G,$B966,실시간콜입력!$O:$O,"방문완료")+COUNTIFS(실시간콜입력!$B:$B,$A966,실시간콜입력!$E:$E,"C",실시간콜입력!$H:$H,$B966,실시간콜입력!$O:$O,"방문완료")</f>
        <v>0</v>
      </c>
      <c r="I966" s="29">
        <f>COUNTIFS(실시간콜입력!$B:$B,$A966,실시간콜입력!$E:$E,"D",실시간콜입력!$G:$G,$B966,실시간콜입력!$O:$O,"방문완료")+COUNTIFS(실시간콜입력!$B:$B,$A966,실시간콜입력!$E:$E,"D",실시간콜입력!$H:$H,$B966,실시간콜입력!$O:$O,"방문완료")</f>
        <v>0</v>
      </c>
      <c r="J966" s="29">
        <f>COUNTIFS(실시간콜입력!$B:$B,$A966,실시간콜입력!$E:$E,"E",실시간콜입력!$G:$G,$B966,실시간콜입력!$O:$O,"방문완료")+COUNTIFS(실시간콜입력!$B:$B,$A966,실시간콜입력!$E:$E,"E",실시간콜입력!$H:$H,$B966,실시간콜입력!$O:$O,"방문완료")</f>
        <v>0</v>
      </c>
      <c r="K966" s="29">
        <f t="shared" si="128"/>
        <v>0</v>
      </c>
      <c r="L966" s="33">
        <f>SUMIFS(실시간콜입력!$K:$K,실시간콜입력!$B:$B,$A966,실시간콜입력!$G:$G,$B966,실시간콜입력!$O:$O,"방문완료")+SUMIFS(실시간콜입력!$L:$L,실시간콜입력!$B:$B,$A966,실시간콜입력!$H:$H,$B966,실시간콜입력!$O:$O,"방문완료")</f>
        <v>0</v>
      </c>
      <c r="M966" s="29" t="str">
        <f t="shared" si="129"/>
        <v/>
      </c>
      <c r="N966" s="29"/>
    </row>
    <row r="967" spans="1:14" ht="19.5" hidden="1" customHeight="1" outlineLevel="1">
      <c r="A967" s="24">
        <f>IF(19&lt;=DAY(DATE(YEAR(설정_코스수당!$K$2),MONTH(설정_코스수당!$K$2)+1,0)),DATE(YEAR(설정_코스수당!$K$2),MONTH(설정_코스수당!$K$2),19),"")</f>
        <v>46192</v>
      </c>
      <c r="B967" s="23" t="s">
        <v>187</v>
      </c>
      <c r="C967" s="29"/>
      <c r="D967" s="29"/>
      <c r="E967" s="29" t="str">
        <f t="shared" si="127"/>
        <v/>
      </c>
      <c r="F967" s="29">
        <f>COUNTIFS(실시간콜입력!$B:$B,$A967,실시간콜입력!$E:$E,"A",실시간콜입력!$G:$G,$B967,실시간콜입력!$O:$O,"방문완료")+COUNTIFS(실시간콜입력!$B:$B,$A967,실시간콜입력!$E:$E,"A",실시간콜입력!$H:$H,$B967,실시간콜입력!$O:$O,"방문완료")</f>
        <v>0</v>
      </c>
      <c r="G967" s="29">
        <f>COUNTIFS(실시간콜입력!$B:$B,$A967,실시간콜입력!$E:$E,"B",실시간콜입력!$G:$G,$B967,실시간콜입력!$O:$O,"방문완료")+COUNTIFS(실시간콜입력!$B:$B,$A967,실시간콜입력!$E:$E,"B",실시간콜입력!$H:$H,$B967,실시간콜입력!$O:$O,"방문완료")</f>
        <v>0</v>
      </c>
      <c r="H967" s="29">
        <f>COUNTIFS(실시간콜입력!$B:$B,$A967,실시간콜입력!$E:$E,"C",실시간콜입력!$G:$G,$B967,실시간콜입력!$O:$O,"방문완료")+COUNTIFS(실시간콜입력!$B:$B,$A967,실시간콜입력!$E:$E,"C",실시간콜입력!$H:$H,$B967,실시간콜입력!$O:$O,"방문완료")</f>
        <v>0</v>
      </c>
      <c r="I967" s="29">
        <f>COUNTIFS(실시간콜입력!$B:$B,$A967,실시간콜입력!$E:$E,"D",실시간콜입력!$G:$G,$B967,실시간콜입력!$O:$O,"방문완료")+COUNTIFS(실시간콜입력!$B:$B,$A967,실시간콜입력!$E:$E,"D",실시간콜입력!$H:$H,$B967,실시간콜입력!$O:$O,"방문완료")</f>
        <v>0</v>
      </c>
      <c r="J967" s="29">
        <f>COUNTIFS(실시간콜입력!$B:$B,$A967,실시간콜입력!$E:$E,"E",실시간콜입력!$G:$G,$B967,실시간콜입력!$O:$O,"방문완료")+COUNTIFS(실시간콜입력!$B:$B,$A967,실시간콜입력!$E:$E,"E",실시간콜입력!$H:$H,$B967,실시간콜입력!$O:$O,"방문완료")</f>
        <v>0</v>
      </c>
      <c r="K967" s="29">
        <f t="shared" si="128"/>
        <v>0</v>
      </c>
      <c r="L967" s="27">
        <f>SUMIFS(실시간콜입력!$K:$K,실시간콜입력!$B:$B,$A967,실시간콜입력!$G:$G,$B967,실시간콜입력!$O:$O,"방문완료")+SUMIFS(실시간콜입력!$L:$L,실시간콜입력!$B:$B,$A967,실시간콜입력!$H:$H,$B967,실시간콜입력!$O:$O,"방문완료")</f>
        <v>0</v>
      </c>
      <c r="M967" s="29" t="str">
        <f t="shared" si="129"/>
        <v/>
      </c>
      <c r="N967" s="29"/>
    </row>
    <row r="968" spans="1:14" ht="19.5" hidden="1" customHeight="1" outlineLevel="1">
      <c r="A968" s="30">
        <f>IF(19&lt;=DAY(DATE(YEAR(설정_코스수당!$K$2),MONTH(설정_코스수당!$K$2)+1,0)),DATE(YEAR(설정_코스수당!$K$2),MONTH(설정_코스수당!$K$2),19),"")</f>
        <v>46192</v>
      </c>
      <c r="B968" s="29" t="s">
        <v>188</v>
      </c>
      <c r="C968" s="29"/>
      <c r="D968" s="29"/>
      <c r="E968" s="29" t="str">
        <f t="shared" si="127"/>
        <v/>
      </c>
      <c r="F968" s="29">
        <f>COUNTIFS(실시간콜입력!$B:$B,$A968,실시간콜입력!$E:$E,"A",실시간콜입력!$G:$G,$B968,실시간콜입력!$O:$O,"방문완료")+COUNTIFS(실시간콜입력!$B:$B,$A968,실시간콜입력!$E:$E,"A",실시간콜입력!$H:$H,$B968,실시간콜입력!$O:$O,"방문완료")</f>
        <v>0</v>
      </c>
      <c r="G968" s="29">
        <f>COUNTIFS(실시간콜입력!$B:$B,$A968,실시간콜입력!$E:$E,"B",실시간콜입력!$G:$G,$B968,실시간콜입력!$O:$O,"방문완료")+COUNTIFS(실시간콜입력!$B:$B,$A968,실시간콜입력!$E:$E,"B",실시간콜입력!$H:$H,$B968,실시간콜입력!$O:$O,"방문완료")</f>
        <v>0</v>
      </c>
      <c r="H968" s="29">
        <f>COUNTIFS(실시간콜입력!$B:$B,$A968,실시간콜입력!$E:$E,"C",실시간콜입력!$G:$G,$B968,실시간콜입력!$O:$O,"방문완료")+COUNTIFS(실시간콜입력!$B:$B,$A968,실시간콜입력!$E:$E,"C",실시간콜입력!$H:$H,$B968,실시간콜입력!$O:$O,"방문완료")</f>
        <v>0</v>
      </c>
      <c r="I968" s="29">
        <f>COUNTIFS(실시간콜입력!$B:$B,$A968,실시간콜입력!$E:$E,"D",실시간콜입력!$G:$G,$B968,실시간콜입력!$O:$O,"방문완료")+COUNTIFS(실시간콜입력!$B:$B,$A968,실시간콜입력!$E:$E,"D",실시간콜입력!$H:$H,$B968,실시간콜입력!$O:$O,"방문완료")</f>
        <v>0</v>
      </c>
      <c r="J968" s="29">
        <f>COUNTIFS(실시간콜입력!$B:$B,$A968,실시간콜입력!$E:$E,"E",실시간콜입력!$G:$G,$B968,실시간콜입력!$O:$O,"방문완료")+COUNTIFS(실시간콜입력!$B:$B,$A968,실시간콜입력!$E:$E,"E",실시간콜입력!$H:$H,$B968,실시간콜입력!$O:$O,"방문완료")</f>
        <v>0</v>
      </c>
      <c r="K968" s="29">
        <f t="shared" si="128"/>
        <v>0</v>
      </c>
      <c r="L968" s="33">
        <f>SUMIFS(실시간콜입력!$K:$K,실시간콜입력!$B:$B,$A968,실시간콜입력!$G:$G,$B968,실시간콜입력!$O:$O,"방문완료")+SUMIFS(실시간콜입력!$L:$L,실시간콜입력!$B:$B,$A968,실시간콜입력!$H:$H,$B968,실시간콜입력!$O:$O,"방문완료")</f>
        <v>0</v>
      </c>
      <c r="M968" s="29" t="str">
        <f t="shared" si="129"/>
        <v/>
      </c>
      <c r="N968" s="29"/>
    </row>
    <row r="969" spans="1:14" ht="19.5" hidden="1" customHeight="1" outlineLevel="1">
      <c r="A969" s="24">
        <f>IF(19&lt;=DAY(DATE(YEAR(설정_코스수당!$K$2),MONTH(설정_코스수당!$K$2)+1,0)),DATE(YEAR(설정_코스수당!$K$2),MONTH(설정_코스수당!$K$2),19),"")</f>
        <v>46192</v>
      </c>
      <c r="B969" s="23" t="s">
        <v>189</v>
      </c>
      <c r="C969" s="29"/>
      <c r="D969" s="29"/>
      <c r="E969" s="29" t="str">
        <f t="shared" si="127"/>
        <v/>
      </c>
      <c r="F969" s="29">
        <f>COUNTIFS(실시간콜입력!$B:$B,$A969,실시간콜입력!$E:$E,"A",실시간콜입력!$G:$G,$B969,실시간콜입력!$O:$O,"방문완료")+COUNTIFS(실시간콜입력!$B:$B,$A969,실시간콜입력!$E:$E,"A",실시간콜입력!$H:$H,$B969,실시간콜입력!$O:$O,"방문완료")</f>
        <v>0</v>
      </c>
      <c r="G969" s="29">
        <f>COUNTIFS(실시간콜입력!$B:$B,$A969,실시간콜입력!$E:$E,"B",실시간콜입력!$G:$G,$B969,실시간콜입력!$O:$O,"방문완료")+COUNTIFS(실시간콜입력!$B:$B,$A969,실시간콜입력!$E:$E,"B",실시간콜입력!$H:$H,$B969,실시간콜입력!$O:$O,"방문완료")</f>
        <v>0</v>
      </c>
      <c r="H969" s="29">
        <f>COUNTIFS(실시간콜입력!$B:$B,$A969,실시간콜입력!$E:$E,"C",실시간콜입력!$G:$G,$B969,실시간콜입력!$O:$O,"방문완료")+COUNTIFS(실시간콜입력!$B:$B,$A969,실시간콜입력!$E:$E,"C",실시간콜입력!$H:$H,$B969,실시간콜입력!$O:$O,"방문완료")</f>
        <v>0</v>
      </c>
      <c r="I969" s="29">
        <f>COUNTIFS(실시간콜입력!$B:$B,$A969,실시간콜입력!$E:$E,"D",실시간콜입력!$G:$G,$B969,실시간콜입력!$O:$O,"방문완료")+COUNTIFS(실시간콜입력!$B:$B,$A969,실시간콜입력!$E:$E,"D",실시간콜입력!$H:$H,$B969,실시간콜입력!$O:$O,"방문완료")</f>
        <v>0</v>
      </c>
      <c r="J969" s="29">
        <f>COUNTIFS(실시간콜입력!$B:$B,$A969,실시간콜입력!$E:$E,"E",실시간콜입력!$G:$G,$B969,실시간콜입력!$O:$O,"방문완료")+COUNTIFS(실시간콜입력!$B:$B,$A969,실시간콜입력!$E:$E,"E",실시간콜입력!$H:$H,$B969,실시간콜입력!$O:$O,"방문완료")</f>
        <v>0</v>
      </c>
      <c r="K969" s="29">
        <f t="shared" si="128"/>
        <v>0</v>
      </c>
      <c r="L969" s="27">
        <f>SUMIFS(실시간콜입력!$K:$K,실시간콜입력!$B:$B,$A969,실시간콜입력!$G:$G,$B969,실시간콜입력!$O:$O,"방문완료")+SUMIFS(실시간콜입력!$L:$L,실시간콜입력!$B:$B,$A969,실시간콜입력!$H:$H,$B969,실시간콜입력!$O:$O,"방문완료")</f>
        <v>0</v>
      </c>
      <c r="M969" s="29" t="str">
        <f t="shared" si="129"/>
        <v/>
      </c>
      <c r="N969" s="29"/>
    </row>
    <row r="970" spans="1:14" ht="19.5" hidden="1" customHeight="1" outlineLevel="1">
      <c r="A970" s="30">
        <f>IF(19&lt;=DAY(DATE(YEAR(설정_코스수당!$K$2),MONTH(설정_코스수당!$K$2)+1,0)),DATE(YEAR(설정_코스수당!$K$2),MONTH(설정_코스수당!$K$2),19),"")</f>
        <v>46192</v>
      </c>
      <c r="B970" s="29" t="s">
        <v>190</v>
      </c>
      <c r="C970" s="29"/>
      <c r="D970" s="29"/>
      <c r="E970" s="29" t="str">
        <f t="shared" si="127"/>
        <v/>
      </c>
      <c r="F970" s="29">
        <f>COUNTIFS(실시간콜입력!$B:$B,$A970,실시간콜입력!$E:$E,"A",실시간콜입력!$G:$G,$B970,실시간콜입력!$O:$O,"방문완료")+COUNTIFS(실시간콜입력!$B:$B,$A970,실시간콜입력!$E:$E,"A",실시간콜입력!$H:$H,$B970,실시간콜입력!$O:$O,"방문완료")</f>
        <v>0</v>
      </c>
      <c r="G970" s="29">
        <f>COUNTIFS(실시간콜입력!$B:$B,$A970,실시간콜입력!$E:$E,"B",실시간콜입력!$G:$G,$B970,실시간콜입력!$O:$O,"방문완료")+COUNTIFS(실시간콜입력!$B:$B,$A970,실시간콜입력!$E:$E,"B",실시간콜입력!$H:$H,$B970,실시간콜입력!$O:$O,"방문완료")</f>
        <v>0</v>
      </c>
      <c r="H970" s="29">
        <f>COUNTIFS(실시간콜입력!$B:$B,$A970,실시간콜입력!$E:$E,"C",실시간콜입력!$G:$G,$B970,실시간콜입력!$O:$O,"방문완료")+COUNTIFS(실시간콜입력!$B:$B,$A970,실시간콜입력!$E:$E,"C",실시간콜입력!$H:$H,$B970,실시간콜입력!$O:$O,"방문완료")</f>
        <v>0</v>
      </c>
      <c r="I970" s="29">
        <f>COUNTIFS(실시간콜입력!$B:$B,$A970,실시간콜입력!$E:$E,"D",실시간콜입력!$G:$G,$B970,실시간콜입력!$O:$O,"방문완료")+COUNTIFS(실시간콜입력!$B:$B,$A970,실시간콜입력!$E:$E,"D",실시간콜입력!$H:$H,$B970,실시간콜입력!$O:$O,"방문완료")</f>
        <v>0</v>
      </c>
      <c r="J970" s="29">
        <f>COUNTIFS(실시간콜입력!$B:$B,$A970,실시간콜입력!$E:$E,"E",실시간콜입력!$G:$G,$B970,실시간콜입력!$O:$O,"방문완료")+COUNTIFS(실시간콜입력!$B:$B,$A970,실시간콜입력!$E:$E,"E",실시간콜입력!$H:$H,$B970,실시간콜입력!$O:$O,"방문완료")</f>
        <v>0</v>
      </c>
      <c r="K970" s="29">
        <f t="shared" si="128"/>
        <v>0</v>
      </c>
      <c r="L970" s="33">
        <f>SUMIFS(실시간콜입력!$K:$K,실시간콜입력!$B:$B,$A970,실시간콜입력!$G:$G,$B970,실시간콜입력!$O:$O,"방문완료")+SUMIFS(실시간콜입력!$L:$L,실시간콜입력!$B:$B,$A970,실시간콜입력!$H:$H,$B970,실시간콜입력!$O:$O,"방문완료")</f>
        <v>0</v>
      </c>
      <c r="M970" s="29" t="str">
        <f t="shared" si="129"/>
        <v/>
      </c>
      <c r="N970" s="29"/>
    </row>
    <row r="971" spans="1:14" ht="19.5" hidden="1" customHeight="1" outlineLevel="1">
      <c r="A971" s="24">
        <f>IF(19&lt;=DAY(DATE(YEAR(설정_코스수당!$K$2),MONTH(설정_코스수당!$K$2)+1,0)),DATE(YEAR(설정_코스수당!$K$2),MONTH(설정_코스수당!$K$2),19),"")</f>
        <v>46192</v>
      </c>
      <c r="B971" s="23" t="s">
        <v>191</v>
      </c>
      <c r="C971" s="29"/>
      <c r="D971" s="29"/>
      <c r="E971" s="29" t="str">
        <f t="shared" si="127"/>
        <v/>
      </c>
      <c r="F971" s="29">
        <f>COUNTIFS(실시간콜입력!$B:$B,$A971,실시간콜입력!$E:$E,"A",실시간콜입력!$G:$G,$B971,실시간콜입력!$O:$O,"방문완료")+COUNTIFS(실시간콜입력!$B:$B,$A971,실시간콜입력!$E:$E,"A",실시간콜입력!$H:$H,$B971,실시간콜입력!$O:$O,"방문완료")</f>
        <v>0</v>
      </c>
      <c r="G971" s="29">
        <f>COUNTIFS(실시간콜입력!$B:$B,$A971,실시간콜입력!$E:$E,"B",실시간콜입력!$G:$G,$B971,실시간콜입력!$O:$O,"방문완료")+COUNTIFS(실시간콜입력!$B:$B,$A971,실시간콜입력!$E:$E,"B",실시간콜입력!$H:$H,$B971,실시간콜입력!$O:$O,"방문완료")</f>
        <v>0</v>
      </c>
      <c r="H971" s="29">
        <f>COUNTIFS(실시간콜입력!$B:$B,$A971,실시간콜입력!$E:$E,"C",실시간콜입력!$G:$G,$B971,실시간콜입력!$O:$O,"방문완료")+COUNTIFS(실시간콜입력!$B:$B,$A971,실시간콜입력!$E:$E,"C",실시간콜입력!$H:$H,$B971,실시간콜입력!$O:$O,"방문완료")</f>
        <v>0</v>
      </c>
      <c r="I971" s="29">
        <f>COUNTIFS(실시간콜입력!$B:$B,$A971,실시간콜입력!$E:$E,"D",실시간콜입력!$G:$G,$B971,실시간콜입력!$O:$O,"방문완료")+COUNTIFS(실시간콜입력!$B:$B,$A971,실시간콜입력!$E:$E,"D",실시간콜입력!$H:$H,$B971,실시간콜입력!$O:$O,"방문완료")</f>
        <v>0</v>
      </c>
      <c r="J971" s="29">
        <f>COUNTIFS(실시간콜입력!$B:$B,$A971,실시간콜입력!$E:$E,"E",실시간콜입력!$G:$G,$B971,실시간콜입력!$O:$O,"방문완료")+COUNTIFS(실시간콜입력!$B:$B,$A971,실시간콜입력!$E:$E,"E",실시간콜입력!$H:$H,$B971,실시간콜입력!$O:$O,"방문완료")</f>
        <v>0</v>
      </c>
      <c r="K971" s="29">
        <f t="shared" si="128"/>
        <v>0</v>
      </c>
      <c r="L971" s="27">
        <f>SUMIFS(실시간콜입력!$K:$K,실시간콜입력!$B:$B,$A971,실시간콜입력!$G:$G,$B971,실시간콜입력!$O:$O,"방문완료")+SUMIFS(실시간콜입력!$L:$L,실시간콜입력!$B:$B,$A971,실시간콜입력!$H:$H,$B971,실시간콜입력!$O:$O,"방문완료")</f>
        <v>0</v>
      </c>
      <c r="M971" s="29" t="str">
        <f t="shared" si="129"/>
        <v/>
      </c>
      <c r="N971" s="29"/>
    </row>
    <row r="972" spans="1:14" ht="19.5" hidden="1" customHeight="1" outlineLevel="1">
      <c r="A972" s="30">
        <f>IF(19&lt;=DAY(DATE(YEAR(설정_코스수당!$K$2),MONTH(설정_코스수당!$K$2)+1,0)),DATE(YEAR(설정_코스수당!$K$2),MONTH(설정_코스수당!$K$2),19),"")</f>
        <v>46192</v>
      </c>
      <c r="B972" s="29" t="s">
        <v>192</v>
      </c>
      <c r="C972" s="29"/>
      <c r="D972" s="29"/>
      <c r="E972" s="29" t="str">
        <f t="shared" si="127"/>
        <v/>
      </c>
      <c r="F972" s="29">
        <f>COUNTIFS(실시간콜입력!$B:$B,$A972,실시간콜입력!$E:$E,"A",실시간콜입력!$G:$G,$B972,실시간콜입력!$O:$O,"방문완료")+COUNTIFS(실시간콜입력!$B:$B,$A972,실시간콜입력!$E:$E,"A",실시간콜입력!$H:$H,$B972,실시간콜입력!$O:$O,"방문완료")</f>
        <v>0</v>
      </c>
      <c r="G972" s="29">
        <f>COUNTIFS(실시간콜입력!$B:$B,$A972,실시간콜입력!$E:$E,"B",실시간콜입력!$G:$G,$B972,실시간콜입력!$O:$O,"방문완료")+COUNTIFS(실시간콜입력!$B:$B,$A972,실시간콜입력!$E:$E,"B",실시간콜입력!$H:$H,$B972,실시간콜입력!$O:$O,"방문완료")</f>
        <v>0</v>
      </c>
      <c r="H972" s="29">
        <f>COUNTIFS(실시간콜입력!$B:$B,$A972,실시간콜입력!$E:$E,"C",실시간콜입력!$G:$G,$B972,실시간콜입력!$O:$O,"방문완료")+COUNTIFS(실시간콜입력!$B:$B,$A972,실시간콜입력!$E:$E,"C",실시간콜입력!$H:$H,$B972,실시간콜입력!$O:$O,"방문완료")</f>
        <v>0</v>
      </c>
      <c r="I972" s="29">
        <f>COUNTIFS(실시간콜입력!$B:$B,$A972,실시간콜입력!$E:$E,"D",실시간콜입력!$G:$G,$B972,실시간콜입력!$O:$O,"방문완료")+COUNTIFS(실시간콜입력!$B:$B,$A972,실시간콜입력!$E:$E,"D",실시간콜입력!$H:$H,$B972,실시간콜입력!$O:$O,"방문완료")</f>
        <v>0</v>
      </c>
      <c r="J972" s="29">
        <f>COUNTIFS(실시간콜입력!$B:$B,$A972,실시간콜입력!$E:$E,"E",실시간콜입력!$G:$G,$B972,실시간콜입력!$O:$O,"방문완료")+COUNTIFS(실시간콜입력!$B:$B,$A972,실시간콜입력!$E:$E,"E",실시간콜입력!$H:$H,$B972,실시간콜입력!$O:$O,"방문완료")</f>
        <v>0</v>
      </c>
      <c r="K972" s="29">
        <f t="shared" si="128"/>
        <v>0</v>
      </c>
      <c r="L972" s="33">
        <f>SUMIFS(실시간콜입력!$K:$K,실시간콜입력!$B:$B,$A972,실시간콜입력!$G:$G,$B972,실시간콜입력!$O:$O,"방문완료")+SUMIFS(실시간콜입력!$L:$L,실시간콜입력!$B:$B,$A972,실시간콜입력!$H:$H,$B972,실시간콜입력!$O:$O,"방문완료")</f>
        <v>0</v>
      </c>
      <c r="M972" s="29" t="str">
        <f t="shared" si="129"/>
        <v/>
      </c>
      <c r="N972" s="29"/>
    </row>
    <row r="973" spans="1:14" ht="19.5" hidden="1" customHeight="1" outlineLevel="1">
      <c r="A973" s="24">
        <f>IF(19&lt;=DAY(DATE(YEAR(설정_코스수당!$K$2),MONTH(설정_코스수당!$K$2)+1,0)),DATE(YEAR(설정_코스수당!$K$2),MONTH(설정_코스수당!$K$2),19),"")</f>
        <v>46192</v>
      </c>
      <c r="B973" s="23" t="s">
        <v>193</v>
      </c>
      <c r="C973" s="29"/>
      <c r="D973" s="29"/>
      <c r="E973" s="29" t="str">
        <f t="shared" si="127"/>
        <v/>
      </c>
      <c r="F973" s="29">
        <f>COUNTIFS(실시간콜입력!$B:$B,$A973,실시간콜입력!$E:$E,"A",실시간콜입력!$G:$G,$B973,실시간콜입력!$O:$O,"방문완료")+COUNTIFS(실시간콜입력!$B:$B,$A973,실시간콜입력!$E:$E,"A",실시간콜입력!$H:$H,$B973,실시간콜입력!$O:$O,"방문완료")</f>
        <v>0</v>
      </c>
      <c r="G973" s="29">
        <f>COUNTIFS(실시간콜입력!$B:$B,$A973,실시간콜입력!$E:$E,"B",실시간콜입력!$G:$G,$B973,실시간콜입력!$O:$O,"방문완료")+COUNTIFS(실시간콜입력!$B:$B,$A973,실시간콜입력!$E:$E,"B",실시간콜입력!$H:$H,$B973,실시간콜입력!$O:$O,"방문완료")</f>
        <v>0</v>
      </c>
      <c r="H973" s="29">
        <f>COUNTIFS(실시간콜입력!$B:$B,$A973,실시간콜입력!$E:$E,"C",실시간콜입력!$G:$G,$B973,실시간콜입력!$O:$O,"방문완료")+COUNTIFS(실시간콜입력!$B:$B,$A973,실시간콜입력!$E:$E,"C",실시간콜입력!$H:$H,$B973,실시간콜입력!$O:$O,"방문완료")</f>
        <v>0</v>
      </c>
      <c r="I973" s="29">
        <f>COUNTIFS(실시간콜입력!$B:$B,$A973,실시간콜입력!$E:$E,"D",실시간콜입력!$G:$G,$B973,실시간콜입력!$O:$O,"방문완료")+COUNTIFS(실시간콜입력!$B:$B,$A973,실시간콜입력!$E:$E,"D",실시간콜입력!$H:$H,$B973,실시간콜입력!$O:$O,"방문완료")</f>
        <v>0</v>
      </c>
      <c r="J973" s="29">
        <f>COUNTIFS(실시간콜입력!$B:$B,$A973,실시간콜입력!$E:$E,"E",실시간콜입력!$G:$G,$B973,실시간콜입력!$O:$O,"방문완료")+COUNTIFS(실시간콜입력!$B:$B,$A973,실시간콜입력!$E:$E,"E",실시간콜입력!$H:$H,$B973,실시간콜입력!$O:$O,"방문완료")</f>
        <v>0</v>
      </c>
      <c r="K973" s="29">
        <f t="shared" si="128"/>
        <v>0</v>
      </c>
      <c r="L973" s="27">
        <f>SUMIFS(실시간콜입력!$K:$K,실시간콜입력!$B:$B,$A973,실시간콜입력!$G:$G,$B973,실시간콜입력!$O:$O,"방문완료")+SUMIFS(실시간콜입력!$L:$L,실시간콜입력!$B:$B,$A973,실시간콜입력!$H:$H,$B973,실시간콜입력!$O:$O,"방문완료")</f>
        <v>0</v>
      </c>
      <c r="M973" s="29" t="str">
        <f t="shared" si="129"/>
        <v/>
      </c>
      <c r="N973" s="29"/>
    </row>
    <row r="974" spans="1:14" ht="19.5" hidden="1" customHeight="1" outlineLevel="1">
      <c r="A974" s="30">
        <f>IF(19&lt;=DAY(DATE(YEAR(설정_코스수당!$K$2),MONTH(설정_코스수당!$K$2)+1,0)),DATE(YEAR(설정_코스수당!$K$2),MONTH(설정_코스수당!$K$2),19),"")</f>
        <v>46192</v>
      </c>
      <c r="B974" s="29" t="s">
        <v>194</v>
      </c>
      <c r="C974" s="29"/>
      <c r="D974" s="29"/>
      <c r="E974" s="29" t="str">
        <f t="shared" si="127"/>
        <v/>
      </c>
      <c r="F974" s="29">
        <f>COUNTIFS(실시간콜입력!$B:$B,$A974,실시간콜입력!$E:$E,"A",실시간콜입력!$G:$G,$B974,실시간콜입력!$O:$O,"방문완료")+COUNTIFS(실시간콜입력!$B:$B,$A974,실시간콜입력!$E:$E,"A",실시간콜입력!$H:$H,$B974,실시간콜입력!$O:$O,"방문완료")</f>
        <v>0</v>
      </c>
      <c r="G974" s="29">
        <f>COUNTIFS(실시간콜입력!$B:$B,$A974,실시간콜입력!$E:$E,"B",실시간콜입력!$G:$G,$B974,실시간콜입력!$O:$O,"방문완료")+COUNTIFS(실시간콜입력!$B:$B,$A974,실시간콜입력!$E:$E,"B",실시간콜입력!$H:$H,$B974,실시간콜입력!$O:$O,"방문완료")</f>
        <v>0</v>
      </c>
      <c r="H974" s="29">
        <f>COUNTIFS(실시간콜입력!$B:$B,$A974,실시간콜입력!$E:$E,"C",실시간콜입력!$G:$G,$B974,실시간콜입력!$O:$O,"방문완료")+COUNTIFS(실시간콜입력!$B:$B,$A974,실시간콜입력!$E:$E,"C",실시간콜입력!$H:$H,$B974,실시간콜입력!$O:$O,"방문완료")</f>
        <v>0</v>
      </c>
      <c r="I974" s="29">
        <f>COUNTIFS(실시간콜입력!$B:$B,$A974,실시간콜입력!$E:$E,"D",실시간콜입력!$G:$G,$B974,실시간콜입력!$O:$O,"방문완료")+COUNTIFS(실시간콜입력!$B:$B,$A974,실시간콜입력!$E:$E,"D",실시간콜입력!$H:$H,$B974,실시간콜입력!$O:$O,"방문완료")</f>
        <v>0</v>
      </c>
      <c r="J974" s="29">
        <f>COUNTIFS(실시간콜입력!$B:$B,$A974,실시간콜입력!$E:$E,"E",실시간콜입력!$G:$G,$B974,실시간콜입력!$O:$O,"방문완료")+COUNTIFS(실시간콜입력!$B:$B,$A974,실시간콜입력!$E:$E,"E",실시간콜입력!$H:$H,$B974,실시간콜입력!$O:$O,"방문완료")</f>
        <v>0</v>
      </c>
      <c r="K974" s="29">
        <f t="shared" si="128"/>
        <v>0</v>
      </c>
      <c r="L974" s="33">
        <f>SUMIFS(실시간콜입력!$K:$K,실시간콜입력!$B:$B,$A974,실시간콜입력!$G:$G,$B974,실시간콜입력!$O:$O,"방문완료")+SUMIFS(실시간콜입력!$L:$L,실시간콜입력!$B:$B,$A974,실시간콜입력!$H:$H,$B974,실시간콜입력!$O:$O,"방문완료")</f>
        <v>0</v>
      </c>
      <c r="M974" s="29" t="str">
        <f t="shared" si="129"/>
        <v/>
      </c>
      <c r="N974" s="29"/>
    </row>
    <row r="975" spans="1:14" ht="19.5" hidden="1" customHeight="1" outlineLevel="1">
      <c r="A975" s="24">
        <f>IF(19&lt;=DAY(DATE(YEAR(설정_코스수당!$K$2),MONTH(설정_코스수당!$K$2)+1,0)),DATE(YEAR(설정_코스수당!$K$2),MONTH(설정_코스수당!$K$2),19),"")</f>
        <v>46192</v>
      </c>
      <c r="B975" s="23" t="s">
        <v>195</v>
      </c>
      <c r="C975" s="29"/>
      <c r="D975" s="29"/>
      <c r="E975" s="29" t="str">
        <f t="shared" ref="E975:E1006" si="130">IF(AND(C975&lt;&gt;"",D975&lt;&gt;""),IF(D975&lt;C975,D975+1-C975,D975-C975)*24,"")</f>
        <v/>
      </c>
      <c r="F975" s="29">
        <f>COUNTIFS(실시간콜입력!$B:$B,$A975,실시간콜입력!$E:$E,"A",실시간콜입력!$G:$G,$B975,실시간콜입력!$O:$O,"방문완료")+COUNTIFS(실시간콜입력!$B:$B,$A975,실시간콜입력!$E:$E,"A",실시간콜입력!$H:$H,$B975,실시간콜입력!$O:$O,"방문완료")</f>
        <v>0</v>
      </c>
      <c r="G975" s="29">
        <f>COUNTIFS(실시간콜입력!$B:$B,$A975,실시간콜입력!$E:$E,"B",실시간콜입력!$G:$G,$B975,실시간콜입력!$O:$O,"방문완료")+COUNTIFS(실시간콜입력!$B:$B,$A975,실시간콜입력!$E:$E,"B",실시간콜입력!$H:$H,$B975,실시간콜입력!$O:$O,"방문완료")</f>
        <v>0</v>
      </c>
      <c r="H975" s="29">
        <f>COUNTIFS(실시간콜입력!$B:$B,$A975,실시간콜입력!$E:$E,"C",실시간콜입력!$G:$G,$B975,실시간콜입력!$O:$O,"방문완료")+COUNTIFS(실시간콜입력!$B:$B,$A975,실시간콜입력!$E:$E,"C",실시간콜입력!$H:$H,$B975,실시간콜입력!$O:$O,"방문완료")</f>
        <v>0</v>
      </c>
      <c r="I975" s="29">
        <f>COUNTIFS(실시간콜입력!$B:$B,$A975,실시간콜입력!$E:$E,"D",실시간콜입력!$G:$G,$B975,실시간콜입력!$O:$O,"방문완료")+COUNTIFS(실시간콜입력!$B:$B,$A975,실시간콜입력!$E:$E,"D",실시간콜입력!$H:$H,$B975,실시간콜입력!$O:$O,"방문완료")</f>
        <v>0</v>
      </c>
      <c r="J975" s="29">
        <f>COUNTIFS(실시간콜입력!$B:$B,$A975,실시간콜입력!$E:$E,"E",실시간콜입력!$G:$G,$B975,실시간콜입력!$O:$O,"방문완료")+COUNTIFS(실시간콜입력!$B:$B,$A975,실시간콜입력!$E:$E,"E",실시간콜입력!$H:$H,$B975,실시간콜입력!$O:$O,"방문완료")</f>
        <v>0</v>
      </c>
      <c r="K975" s="29">
        <f t="shared" ref="K975:K1006" si="131">SUM(F975:J975)</f>
        <v>0</v>
      </c>
      <c r="L975" s="27">
        <f>SUMIFS(실시간콜입력!$K:$K,실시간콜입력!$B:$B,$A975,실시간콜입력!$G:$G,$B975,실시간콜입력!$O:$O,"방문완료")+SUMIFS(실시간콜입력!$L:$L,실시간콜입력!$B:$B,$A975,실시간콜입력!$H:$H,$B975,실시간콜입력!$O:$O,"방문완료")</f>
        <v>0</v>
      </c>
      <c r="M975" s="29" t="str">
        <f t="shared" ref="M975:M992" si="132">IF(AND(ISNUMBER(E975),E975&gt;=8),"인정","")</f>
        <v/>
      </c>
      <c r="N975" s="29"/>
    </row>
    <row r="976" spans="1:14" ht="19.5" hidden="1" customHeight="1" outlineLevel="1">
      <c r="A976" s="30">
        <f>IF(19&lt;=DAY(DATE(YEAR(설정_코스수당!$K$2),MONTH(설정_코스수당!$K$2)+1,0)),DATE(YEAR(설정_코스수당!$K$2),MONTH(설정_코스수당!$K$2),19),"")</f>
        <v>46192</v>
      </c>
      <c r="B976" s="29" t="s">
        <v>196</v>
      </c>
      <c r="C976" s="29"/>
      <c r="D976" s="29"/>
      <c r="E976" s="29" t="str">
        <f t="shared" si="130"/>
        <v/>
      </c>
      <c r="F976" s="29">
        <f>COUNTIFS(실시간콜입력!$B:$B,$A976,실시간콜입력!$E:$E,"A",실시간콜입력!$G:$G,$B976,실시간콜입력!$O:$O,"방문완료")+COUNTIFS(실시간콜입력!$B:$B,$A976,실시간콜입력!$E:$E,"A",실시간콜입력!$H:$H,$B976,실시간콜입력!$O:$O,"방문완료")</f>
        <v>0</v>
      </c>
      <c r="G976" s="29">
        <f>COUNTIFS(실시간콜입력!$B:$B,$A976,실시간콜입력!$E:$E,"B",실시간콜입력!$G:$G,$B976,실시간콜입력!$O:$O,"방문완료")+COUNTIFS(실시간콜입력!$B:$B,$A976,실시간콜입력!$E:$E,"B",실시간콜입력!$H:$H,$B976,실시간콜입력!$O:$O,"방문완료")</f>
        <v>0</v>
      </c>
      <c r="H976" s="29">
        <f>COUNTIFS(실시간콜입력!$B:$B,$A976,실시간콜입력!$E:$E,"C",실시간콜입력!$G:$G,$B976,실시간콜입력!$O:$O,"방문완료")+COUNTIFS(실시간콜입력!$B:$B,$A976,실시간콜입력!$E:$E,"C",실시간콜입력!$H:$H,$B976,실시간콜입력!$O:$O,"방문완료")</f>
        <v>0</v>
      </c>
      <c r="I976" s="29">
        <f>COUNTIFS(실시간콜입력!$B:$B,$A976,실시간콜입력!$E:$E,"D",실시간콜입력!$G:$G,$B976,실시간콜입력!$O:$O,"방문완료")+COUNTIFS(실시간콜입력!$B:$B,$A976,실시간콜입력!$E:$E,"D",실시간콜입력!$H:$H,$B976,실시간콜입력!$O:$O,"방문완료")</f>
        <v>0</v>
      </c>
      <c r="J976" s="29">
        <f>COUNTIFS(실시간콜입력!$B:$B,$A976,실시간콜입력!$E:$E,"E",실시간콜입력!$G:$G,$B976,실시간콜입력!$O:$O,"방문완료")+COUNTIFS(실시간콜입력!$B:$B,$A976,실시간콜입력!$E:$E,"E",실시간콜입력!$H:$H,$B976,실시간콜입력!$O:$O,"방문완료")</f>
        <v>0</v>
      </c>
      <c r="K976" s="29">
        <f t="shared" si="131"/>
        <v>0</v>
      </c>
      <c r="L976" s="33">
        <f>SUMIFS(실시간콜입력!$K:$K,실시간콜입력!$B:$B,$A976,실시간콜입력!$G:$G,$B976,실시간콜입력!$O:$O,"방문완료")+SUMIFS(실시간콜입력!$L:$L,실시간콜입력!$B:$B,$A976,실시간콜입력!$H:$H,$B976,실시간콜입력!$O:$O,"방문완료")</f>
        <v>0</v>
      </c>
      <c r="M976" s="29" t="str">
        <f t="shared" si="132"/>
        <v/>
      </c>
      <c r="N976" s="29"/>
    </row>
    <row r="977" spans="1:14" ht="19.5" hidden="1" customHeight="1" outlineLevel="1">
      <c r="A977" s="24">
        <f>IF(19&lt;=DAY(DATE(YEAR(설정_코스수당!$K$2),MONTH(설정_코스수당!$K$2)+1,0)),DATE(YEAR(설정_코스수당!$K$2),MONTH(설정_코스수당!$K$2),19),"")</f>
        <v>46192</v>
      </c>
      <c r="B977" s="23" t="s">
        <v>197</v>
      </c>
      <c r="C977" s="29"/>
      <c r="D977" s="29"/>
      <c r="E977" s="29" t="str">
        <f t="shared" si="130"/>
        <v/>
      </c>
      <c r="F977" s="29">
        <f>COUNTIFS(실시간콜입력!$B:$B,$A977,실시간콜입력!$E:$E,"A",실시간콜입력!$G:$G,$B977,실시간콜입력!$O:$O,"방문완료")+COUNTIFS(실시간콜입력!$B:$B,$A977,실시간콜입력!$E:$E,"A",실시간콜입력!$H:$H,$B977,실시간콜입력!$O:$O,"방문완료")</f>
        <v>0</v>
      </c>
      <c r="G977" s="29">
        <f>COUNTIFS(실시간콜입력!$B:$B,$A977,실시간콜입력!$E:$E,"B",실시간콜입력!$G:$G,$B977,실시간콜입력!$O:$O,"방문완료")+COUNTIFS(실시간콜입력!$B:$B,$A977,실시간콜입력!$E:$E,"B",실시간콜입력!$H:$H,$B977,실시간콜입력!$O:$O,"방문완료")</f>
        <v>0</v>
      </c>
      <c r="H977" s="29">
        <f>COUNTIFS(실시간콜입력!$B:$B,$A977,실시간콜입력!$E:$E,"C",실시간콜입력!$G:$G,$B977,실시간콜입력!$O:$O,"방문완료")+COUNTIFS(실시간콜입력!$B:$B,$A977,실시간콜입력!$E:$E,"C",실시간콜입력!$H:$H,$B977,실시간콜입력!$O:$O,"방문완료")</f>
        <v>0</v>
      </c>
      <c r="I977" s="29">
        <f>COUNTIFS(실시간콜입력!$B:$B,$A977,실시간콜입력!$E:$E,"D",실시간콜입력!$G:$G,$B977,실시간콜입력!$O:$O,"방문완료")+COUNTIFS(실시간콜입력!$B:$B,$A977,실시간콜입력!$E:$E,"D",실시간콜입력!$H:$H,$B977,실시간콜입력!$O:$O,"방문완료")</f>
        <v>0</v>
      </c>
      <c r="J977" s="29">
        <f>COUNTIFS(실시간콜입력!$B:$B,$A977,실시간콜입력!$E:$E,"E",실시간콜입력!$G:$G,$B977,실시간콜입력!$O:$O,"방문완료")+COUNTIFS(실시간콜입력!$B:$B,$A977,실시간콜입력!$E:$E,"E",실시간콜입력!$H:$H,$B977,실시간콜입력!$O:$O,"방문완료")</f>
        <v>0</v>
      </c>
      <c r="K977" s="29">
        <f t="shared" si="131"/>
        <v>0</v>
      </c>
      <c r="L977" s="27">
        <f>SUMIFS(실시간콜입력!$K:$K,실시간콜입력!$B:$B,$A977,실시간콜입력!$G:$G,$B977,실시간콜입력!$O:$O,"방문완료")+SUMIFS(실시간콜입력!$L:$L,실시간콜입력!$B:$B,$A977,실시간콜입력!$H:$H,$B977,실시간콜입력!$O:$O,"방문완료")</f>
        <v>0</v>
      </c>
      <c r="M977" s="29" t="str">
        <f t="shared" si="132"/>
        <v/>
      </c>
      <c r="N977" s="29"/>
    </row>
    <row r="978" spans="1:14" ht="19.5" hidden="1" customHeight="1" outlineLevel="1">
      <c r="A978" s="30">
        <f>IF(19&lt;=DAY(DATE(YEAR(설정_코스수당!$K$2),MONTH(설정_코스수당!$K$2)+1,0)),DATE(YEAR(설정_코스수당!$K$2),MONTH(설정_코스수당!$K$2),19),"")</f>
        <v>46192</v>
      </c>
      <c r="B978" s="29" t="s">
        <v>198</v>
      </c>
      <c r="C978" s="29"/>
      <c r="D978" s="29"/>
      <c r="E978" s="29" t="str">
        <f t="shared" si="130"/>
        <v/>
      </c>
      <c r="F978" s="29">
        <f>COUNTIFS(실시간콜입력!$B:$B,$A978,실시간콜입력!$E:$E,"A",실시간콜입력!$G:$G,$B978,실시간콜입력!$O:$O,"방문완료")+COUNTIFS(실시간콜입력!$B:$B,$A978,실시간콜입력!$E:$E,"A",실시간콜입력!$H:$H,$B978,실시간콜입력!$O:$O,"방문완료")</f>
        <v>0</v>
      </c>
      <c r="G978" s="29">
        <f>COUNTIFS(실시간콜입력!$B:$B,$A978,실시간콜입력!$E:$E,"B",실시간콜입력!$G:$G,$B978,실시간콜입력!$O:$O,"방문완료")+COUNTIFS(실시간콜입력!$B:$B,$A978,실시간콜입력!$E:$E,"B",실시간콜입력!$H:$H,$B978,실시간콜입력!$O:$O,"방문완료")</f>
        <v>0</v>
      </c>
      <c r="H978" s="29">
        <f>COUNTIFS(실시간콜입력!$B:$B,$A978,실시간콜입력!$E:$E,"C",실시간콜입력!$G:$G,$B978,실시간콜입력!$O:$O,"방문완료")+COUNTIFS(실시간콜입력!$B:$B,$A978,실시간콜입력!$E:$E,"C",실시간콜입력!$H:$H,$B978,실시간콜입력!$O:$O,"방문완료")</f>
        <v>0</v>
      </c>
      <c r="I978" s="29">
        <f>COUNTIFS(실시간콜입력!$B:$B,$A978,실시간콜입력!$E:$E,"D",실시간콜입력!$G:$G,$B978,실시간콜입력!$O:$O,"방문완료")+COUNTIFS(실시간콜입력!$B:$B,$A978,실시간콜입력!$E:$E,"D",실시간콜입력!$H:$H,$B978,실시간콜입력!$O:$O,"방문완료")</f>
        <v>0</v>
      </c>
      <c r="J978" s="29">
        <f>COUNTIFS(실시간콜입력!$B:$B,$A978,실시간콜입력!$E:$E,"E",실시간콜입력!$G:$G,$B978,실시간콜입력!$O:$O,"방문완료")+COUNTIFS(실시간콜입력!$B:$B,$A978,실시간콜입력!$E:$E,"E",실시간콜입력!$H:$H,$B978,실시간콜입력!$O:$O,"방문완료")</f>
        <v>0</v>
      </c>
      <c r="K978" s="29">
        <f t="shared" si="131"/>
        <v>0</v>
      </c>
      <c r="L978" s="33">
        <f>SUMIFS(실시간콜입력!$K:$K,실시간콜입력!$B:$B,$A978,실시간콜입력!$G:$G,$B978,실시간콜입력!$O:$O,"방문완료")+SUMIFS(실시간콜입력!$L:$L,실시간콜입력!$B:$B,$A978,실시간콜입력!$H:$H,$B978,실시간콜입력!$O:$O,"방문완료")</f>
        <v>0</v>
      </c>
      <c r="M978" s="29" t="str">
        <f t="shared" si="132"/>
        <v/>
      </c>
      <c r="N978" s="29"/>
    </row>
    <row r="979" spans="1:14" ht="19.5" hidden="1" customHeight="1" outlineLevel="1">
      <c r="A979" s="24">
        <f>IF(19&lt;=DAY(DATE(YEAR(설정_코스수당!$K$2),MONTH(설정_코스수당!$K$2)+1,0)),DATE(YEAR(설정_코스수당!$K$2),MONTH(설정_코스수당!$K$2),19),"")</f>
        <v>46192</v>
      </c>
      <c r="B979" s="23" t="s">
        <v>199</v>
      </c>
      <c r="C979" s="29"/>
      <c r="D979" s="29"/>
      <c r="E979" s="29" t="str">
        <f t="shared" si="130"/>
        <v/>
      </c>
      <c r="F979" s="29">
        <f>COUNTIFS(실시간콜입력!$B:$B,$A979,실시간콜입력!$E:$E,"A",실시간콜입력!$G:$G,$B979,실시간콜입력!$O:$O,"방문완료")+COUNTIFS(실시간콜입력!$B:$B,$A979,실시간콜입력!$E:$E,"A",실시간콜입력!$H:$H,$B979,실시간콜입력!$O:$O,"방문완료")</f>
        <v>0</v>
      </c>
      <c r="G979" s="29">
        <f>COUNTIFS(실시간콜입력!$B:$B,$A979,실시간콜입력!$E:$E,"B",실시간콜입력!$G:$G,$B979,실시간콜입력!$O:$O,"방문완료")+COUNTIFS(실시간콜입력!$B:$B,$A979,실시간콜입력!$E:$E,"B",실시간콜입력!$H:$H,$B979,실시간콜입력!$O:$O,"방문완료")</f>
        <v>0</v>
      </c>
      <c r="H979" s="29">
        <f>COUNTIFS(실시간콜입력!$B:$B,$A979,실시간콜입력!$E:$E,"C",실시간콜입력!$G:$G,$B979,실시간콜입력!$O:$O,"방문완료")+COUNTIFS(실시간콜입력!$B:$B,$A979,실시간콜입력!$E:$E,"C",실시간콜입력!$H:$H,$B979,실시간콜입력!$O:$O,"방문완료")</f>
        <v>0</v>
      </c>
      <c r="I979" s="29">
        <f>COUNTIFS(실시간콜입력!$B:$B,$A979,실시간콜입력!$E:$E,"D",실시간콜입력!$G:$G,$B979,실시간콜입력!$O:$O,"방문완료")+COUNTIFS(실시간콜입력!$B:$B,$A979,실시간콜입력!$E:$E,"D",실시간콜입력!$H:$H,$B979,실시간콜입력!$O:$O,"방문완료")</f>
        <v>0</v>
      </c>
      <c r="J979" s="29">
        <f>COUNTIFS(실시간콜입력!$B:$B,$A979,실시간콜입력!$E:$E,"E",실시간콜입력!$G:$G,$B979,실시간콜입력!$O:$O,"방문완료")+COUNTIFS(실시간콜입력!$B:$B,$A979,실시간콜입력!$E:$E,"E",실시간콜입력!$H:$H,$B979,실시간콜입력!$O:$O,"방문완료")</f>
        <v>0</v>
      </c>
      <c r="K979" s="29">
        <f t="shared" si="131"/>
        <v>0</v>
      </c>
      <c r="L979" s="27">
        <f>SUMIFS(실시간콜입력!$K:$K,실시간콜입력!$B:$B,$A979,실시간콜입력!$G:$G,$B979,실시간콜입력!$O:$O,"방문완료")+SUMIFS(실시간콜입력!$L:$L,실시간콜입력!$B:$B,$A979,실시간콜입력!$H:$H,$B979,실시간콜입력!$O:$O,"방문완료")</f>
        <v>0</v>
      </c>
      <c r="M979" s="29" t="str">
        <f t="shared" si="132"/>
        <v/>
      </c>
      <c r="N979" s="29"/>
    </row>
    <row r="980" spans="1:14" ht="19.5" hidden="1" customHeight="1" outlineLevel="1">
      <c r="A980" s="30">
        <f>IF(19&lt;=DAY(DATE(YEAR(설정_코스수당!$K$2),MONTH(설정_코스수당!$K$2)+1,0)),DATE(YEAR(설정_코스수당!$K$2),MONTH(설정_코스수당!$K$2),19),"")</f>
        <v>46192</v>
      </c>
      <c r="B980" s="29" t="s">
        <v>200</v>
      </c>
      <c r="C980" s="29"/>
      <c r="D980" s="29"/>
      <c r="E980" s="29" t="str">
        <f t="shared" si="130"/>
        <v/>
      </c>
      <c r="F980" s="29">
        <f>COUNTIFS(실시간콜입력!$B:$B,$A980,실시간콜입력!$E:$E,"A",실시간콜입력!$G:$G,$B980,실시간콜입력!$O:$O,"방문완료")+COUNTIFS(실시간콜입력!$B:$B,$A980,실시간콜입력!$E:$E,"A",실시간콜입력!$H:$H,$B980,실시간콜입력!$O:$O,"방문완료")</f>
        <v>0</v>
      </c>
      <c r="G980" s="29">
        <f>COUNTIFS(실시간콜입력!$B:$B,$A980,실시간콜입력!$E:$E,"B",실시간콜입력!$G:$G,$B980,실시간콜입력!$O:$O,"방문완료")+COUNTIFS(실시간콜입력!$B:$B,$A980,실시간콜입력!$E:$E,"B",실시간콜입력!$H:$H,$B980,실시간콜입력!$O:$O,"방문완료")</f>
        <v>0</v>
      </c>
      <c r="H980" s="29">
        <f>COUNTIFS(실시간콜입력!$B:$B,$A980,실시간콜입력!$E:$E,"C",실시간콜입력!$G:$G,$B980,실시간콜입력!$O:$O,"방문완료")+COUNTIFS(실시간콜입력!$B:$B,$A980,실시간콜입력!$E:$E,"C",실시간콜입력!$H:$H,$B980,실시간콜입력!$O:$O,"방문완료")</f>
        <v>0</v>
      </c>
      <c r="I980" s="29">
        <f>COUNTIFS(실시간콜입력!$B:$B,$A980,실시간콜입력!$E:$E,"D",실시간콜입력!$G:$G,$B980,실시간콜입력!$O:$O,"방문완료")+COUNTIFS(실시간콜입력!$B:$B,$A980,실시간콜입력!$E:$E,"D",실시간콜입력!$H:$H,$B980,실시간콜입력!$O:$O,"방문완료")</f>
        <v>0</v>
      </c>
      <c r="J980" s="29">
        <f>COUNTIFS(실시간콜입력!$B:$B,$A980,실시간콜입력!$E:$E,"E",실시간콜입력!$G:$G,$B980,실시간콜입력!$O:$O,"방문완료")+COUNTIFS(실시간콜입력!$B:$B,$A980,실시간콜입력!$E:$E,"E",실시간콜입력!$H:$H,$B980,실시간콜입력!$O:$O,"방문완료")</f>
        <v>0</v>
      </c>
      <c r="K980" s="29">
        <f t="shared" si="131"/>
        <v>0</v>
      </c>
      <c r="L980" s="33">
        <f>SUMIFS(실시간콜입력!$K:$K,실시간콜입력!$B:$B,$A980,실시간콜입력!$G:$G,$B980,실시간콜입력!$O:$O,"방문완료")+SUMIFS(실시간콜입력!$L:$L,실시간콜입력!$B:$B,$A980,실시간콜입력!$H:$H,$B980,실시간콜입력!$O:$O,"방문완료")</f>
        <v>0</v>
      </c>
      <c r="M980" s="29" t="str">
        <f t="shared" si="132"/>
        <v/>
      </c>
      <c r="N980" s="29"/>
    </row>
    <row r="981" spans="1:14" ht="19.5" hidden="1" customHeight="1" outlineLevel="1">
      <c r="A981" s="24">
        <f>IF(19&lt;=DAY(DATE(YEAR(설정_코스수당!$K$2),MONTH(설정_코스수당!$K$2)+1,0)),DATE(YEAR(설정_코스수당!$K$2),MONTH(설정_코스수당!$K$2),19),"")</f>
        <v>46192</v>
      </c>
      <c r="B981" s="23" t="s">
        <v>201</v>
      </c>
      <c r="C981" s="29"/>
      <c r="D981" s="29"/>
      <c r="E981" s="29" t="str">
        <f t="shared" si="130"/>
        <v/>
      </c>
      <c r="F981" s="29">
        <f>COUNTIFS(실시간콜입력!$B:$B,$A981,실시간콜입력!$E:$E,"A",실시간콜입력!$G:$G,$B981,실시간콜입력!$O:$O,"방문완료")+COUNTIFS(실시간콜입력!$B:$B,$A981,실시간콜입력!$E:$E,"A",실시간콜입력!$H:$H,$B981,실시간콜입력!$O:$O,"방문완료")</f>
        <v>0</v>
      </c>
      <c r="G981" s="29">
        <f>COUNTIFS(실시간콜입력!$B:$B,$A981,실시간콜입력!$E:$E,"B",실시간콜입력!$G:$G,$B981,실시간콜입력!$O:$O,"방문완료")+COUNTIFS(실시간콜입력!$B:$B,$A981,실시간콜입력!$E:$E,"B",실시간콜입력!$H:$H,$B981,실시간콜입력!$O:$O,"방문완료")</f>
        <v>0</v>
      </c>
      <c r="H981" s="29">
        <f>COUNTIFS(실시간콜입력!$B:$B,$A981,실시간콜입력!$E:$E,"C",실시간콜입력!$G:$G,$B981,실시간콜입력!$O:$O,"방문완료")+COUNTIFS(실시간콜입력!$B:$B,$A981,실시간콜입력!$E:$E,"C",실시간콜입력!$H:$H,$B981,실시간콜입력!$O:$O,"방문완료")</f>
        <v>0</v>
      </c>
      <c r="I981" s="29">
        <f>COUNTIFS(실시간콜입력!$B:$B,$A981,실시간콜입력!$E:$E,"D",실시간콜입력!$G:$G,$B981,실시간콜입력!$O:$O,"방문완료")+COUNTIFS(실시간콜입력!$B:$B,$A981,실시간콜입력!$E:$E,"D",실시간콜입력!$H:$H,$B981,실시간콜입력!$O:$O,"방문완료")</f>
        <v>0</v>
      </c>
      <c r="J981" s="29">
        <f>COUNTIFS(실시간콜입력!$B:$B,$A981,실시간콜입력!$E:$E,"E",실시간콜입력!$G:$G,$B981,실시간콜입력!$O:$O,"방문완료")+COUNTIFS(실시간콜입력!$B:$B,$A981,실시간콜입력!$E:$E,"E",실시간콜입력!$H:$H,$B981,실시간콜입력!$O:$O,"방문완료")</f>
        <v>0</v>
      </c>
      <c r="K981" s="29">
        <f t="shared" si="131"/>
        <v>0</v>
      </c>
      <c r="L981" s="27">
        <f>SUMIFS(실시간콜입력!$K:$K,실시간콜입력!$B:$B,$A981,실시간콜입력!$G:$G,$B981,실시간콜입력!$O:$O,"방문완료")+SUMIFS(실시간콜입력!$L:$L,실시간콜입력!$B:$B,$A981,실시간콜입력!$H:$H,$B981,실시간콜입력!$O:$O,"방문완료")</f>
        <v>0</v>
      </c>
      <c r="M981" s="29" t="str">
        <f t="shared" si="132"/>
        <v/>
      </c>
      <c r="N981" s="29"/>
    </row>
    <row r="982" spans="1:14" ht="19.5" hidden="1" customHeight="1" outlineLevel="1">
      <c r="A982" s="30">
        <f>IF(19&lt;=DAY(DATE(YEAR(설정_코스수당!$K$2),MONTH(설정_코스수당!$K$2)+1,0)),DATE(YEAR(설정_코스수당!$K$2),MONTH(설정_코스수당!$K$2),19),"")</f>
        <v>46192</v>
      </c>
      <c r="B982" s="29" t="s">
        <v>202</v>
      </c>
      <c r="C982" s="29"/>
      <c r="D982" s="29"/>
      <c r="E982" s="29" t="str">
        <f t="shared" si="130"/>
        <v/>
      </c>
      <c r="F982" s="29">
        <f>COUNTIFS(실시간콜입력!$B:$B,$A982,실시간콜입력!$E:$E,"A",실시간콜입력!$G:$G,$B982,실시간콜입력!$O:$O,"방문완료")+COUNTIFS(실시간콜입력!$B:$B,$A982,실시간콜입력!$E:$E,"A",실시간콜입력!$H:$H,$B982,실시간콜입력!$O:$O,"방문완료")</f>
        <v>0</v>
      </c>
      <c r="G982" s="29">
        <f>COUNTIFS(실시간콜입력!$B:$B,$A982,실시간콜입력!$E:$E,"B",실시간콜입력!$G:$G,$B982,실시간콜입력!$O:$O,"방문완료")+COUNTIFS(실시간콜입력!$B:$B,$A982,실시간콜입력!$E:$E,"B",실시간콜입력!$H:$H,$B982,실시간콜입력!$O:$O,"방문완료")</f>
        <v>0</v>
      </c>
      <c r="H982" s="29">
        <f>COUNTIFS(실시간콜입력!$B:$B,$A982,실시간콜입력!$E:$E,"C",실시간콜입력!$G:$G,$B982,실시간콜입력!$O:$O,"방문완료")+COUNTIFS(실시간콜입력!$B:$B,$A982,실시간콜입력!$E:$E,"C",실시간콜입력!$H:$H,$B982,실시간콜입력!$O:$O,"방문완료")</f>
        <v>0</v>
      </c>
      <c r="I982" s="29">
        <f>COUNTIFS(실시간콜입력!$B:$B,$A982,실시간콜입력!$E:$E,"D",실시간콜입력!$G:$G,$B982,실시간콜입력!$O:$O,"방문완료")+COUNTIFS(실시간콜입력!$B:$B,$A982,실시간콜입력!$E:$E,"D",실시간콜입력!$H:$H,$B982,실시간콜입력!$O:$O,"방문완료")</f>
        <v>0</v>
      </c>
      <c r="J982" s="29">
        <f>COUNTIFS(실시간콜입력!$B:$B,$A982,실시간콜입력!$E:$E,"E",실시간콜입력!$G:$G,$B982,실시간콜입력!$O:$O,"방문완료")+COUNTIFS(실시간콜입력!$B:$B,$A982,실시간콜입력!$E:$E,"E",실시간콜입력!$H:$H,$B982,실시간콜입력!$O:$O,"방문완료")</f>
        <v>0</v>
      </c>
      <c r="K982" s="29">
        <f t="shared" si="131"/>
        <v>0</v>
      </c>
      <c r="L982" s="33">
        <f>SUMIFS(실시간콜입력!$K:$K,실시간콜입력!$B:$B,$A982,실시간콜입력!$G:$G,$B982,실시간콜입력!$O:$O,"방문완료")+SUMIFS(실시간콜입력!$L:$L,실시간콜입력!$B:$B,$A982,실시간콜입력!$H:$H,$B982,실시간콜입력!$O:$O,"방문완료")</f>
        <v>0</v>
      </c>
      <c r="M982" s="29" t="str">
        <f t="shared" si="132"/>
        <v/>
      </c>
      <c r="N982" s="29"/>
    </row>
    <row r="983" spans="1:14" ht="19.5" hidden="1" customHeight="1" outlineLevel="1">
      <c r="A983" s="24">
        <f>IF(19&lt;=DAY(DATE(YEAR(설정_코스수당!$K$2),MONTH(설정_코스수당!$K$2)+1,0)),DATE(YEAR(설정_코스수당!$K$2),MONTH(설정_코스수당!$K$2),19),"")</f>
        <v>46192</v>
      </c>
      <c r="B983" s="23" t="s">
        <v>203</v>
      </c>
      <c r="C983" s="29"/>
      <c r="D983" s="29"/>
      <c r="E983" s="29" t="str">
        <f t="shared" si="130"/>
        <v/>
      </c>
      <c r="F983" s="29">
        <f>COUNTIFS(실시간콜입력!$B:$B,$A983,실시간콜입력!$E:$E,"A",실시간콜입력!$G:$G,$B983,실시간콜입력!$O:$O,"방문완료")+COUNTIFS(실시간콜입력!$B:$B,$A983,실시간콜입력!$E:$E,"A",실시간콜입력!$H:$H,$B983,실시간콜입력!$O:$O,"방문완료")</f>
        <v>0</v>
      </c>
      <c r="G983" s="29">
        <f>COUNTIFS(실시간콜입력!$B:$B,$A983,실시간콜입력!$E:$E,"B",실시간콜입력!$G:$G,$B983,실시간콜입력!$O:$O,"방문완료")+COUNTIFS(실시간콜입력!$B:$B,$A983,실시간콜입력!$E:$E,"B",실시간콜입력!$H:$H,$B983,실시간콜입력!$O:$O,"방문완료")</f>
        <v>0</v>
      </c>
      <c r="H983" s="29">
        <f>COUNTIFS(실시간콜입력!$B:$B,$A983,실시간콜입력!$E:$E,"C",실시간콜입력!$G:$G,$B983,실시간콜입력!$O:$O,"방문완료")+COUNTIFS(실시간콜입력!$B:$B,$A983,실시간콜입력!$E:$E,"C",실시간콜입력!$H:$H,$B983,실시간콜입력!$O:$O,"방문완료")</f>
        <v>0</v>
      </c>
      <c r="I983" s="29">
        <f>COUNTIFS(실시간콜입력!$B:$B,$A983,실시간콜입력!$E:$E,"D",실시간콜입력!$G:$G,$B983,실시간콜입력!$O:$O,"방문완료")+COUNTIFS(실시간콜입력!$B:$B,$A983,실시간콜입력!$E:$E,"D",실시간콜입력!$H:$H,$B983,실시간콜입력!$O:$O,"방문완료")</f>
        <v>0</v>
      </c>
      <c r="J983" s="29">
        <f>COUNTIFS(실시간콜입력!$B:$B,$A983,실시간콜입력!$E:$E,"E",실시간콜입력!$G:$G,$B983,실시간콜입력!$O:$O,"방문완료")+COUNTIFS(실시간콜입력!$B:$B,$A983,실시간콜입력!$E:$E,"E",실시간콜입력!$H:$H,$B983,실시간콜입력!$O:$O,"방문완료")</f>
        <v>0</v>
      </c>
      <c r="K983" s="29">
        <f t="shared" si="131"/>
        <v>0</v>
      </c>
      <c r="L983" s="27">
        <f>SUMIFS(실시간콜입력!$K:$K,실시간콜입력!$B:$B,$A983,실시간콜입력!$G:$G,$B983,실시간콜입력!$O:$O,"방문완료")+SUMIFS(실시간콜입력!$L:$L,실시간콜입력!$B:$B,$A983,실시간콜입력!$H:$H,$B983,실시간콜입력!$O:$O,"방문완료")</f>
        <v>0</v>
      </c>
      <c r="M983" s="29" t="str">
        <f t="shared" si="132"/>
        <v/>
      </c>
      <c r="N983" s="29"/>
    </row>
    <row r="984" spans="1:14" ht="19.5" hidden="1" customHeight="1" outlineLevel="1">
      <c r="A984" s="30">
        <f>IF(19&lt;=DAY(DATE(YEAR(설정_코스수당!$K$2),MONTH(설정_코스수당!$K$2)+1,0)),DATE(YEAR(설정_코스수당!$K$2),MONTH(설정_코스수당!$K$2),19),"")</f>
        <v>46192</v>
      </c>
      <c r="B984" s="29" t="s">
        <v>204</v>
      </c>
      <c r="C984" s="29"/>
      <c r="D984" s="29"/>
      <c r="E984" s="29" t="str">
        <f t="shared" si="130"/>
        <v/>
      </c>
      <c r="F984" s="29">
        <f>COUNTIFS(실시간콜입력!$B:$B,$A984,실시간콜입력!$E:$E,"A",실시간콜입력!$G:$G,$B984,실시간콜입력!$O:$O,"방문완료")+COUNTIFS(실시간콜입력!$B:$B,$A984,실시간콜입력!$E:$E,"A",실시간콜입력!$H:$H,$B984,실시간콜입력!$O:$O,"방문완료")</f>
        <v>0</v>
      </c>
      <c r="G984" s="29">
        <f>COUNTIFS(실시간콜입력!$B:$B,$A984,실시간콜입력!$E:$E,"B",실시간콜입력!$G:$G,$B984,실시간콜입력!$O:$O,"방문완료")+COUNTIFS(실시간콜입력!$B:$B,$A984,실시간콜입력!$E:$E,"B",실시간콜입력!$H:$H,$B984,실시간콜입력!$O:$O,"방문완료")</f>
        <v>0</v>
      </c>
      <c r="H984" s="29">
        <f>COUNTIFS(실시간콜입력!$B:$B,$A984,실시간콜입력!$E:$E,"C",실시간콜입력!$G:$G,$B984,실시간콜입력!$O:$O,"방문완료")+COUNTIFS(실시간콜입력!$B:$B,$A984,실시간콜입력!$E:$E,"C",실시간콜입력!$H:$H,$B984,실시간콜입력!$O:$O,"방문완료")</f>
        <v>0</v>
      </c>
      <c r="I984" s="29">
        <f>COUNTIFS(실시간콜입력!$B:$B,$A984,실시간콜입력!$E:$E,"D",실시간콜입력!$G:$G,$B984,실시간콜입력!$O:$O,"방문완료")+COUNTIFS(실시간콜입력!$B:$B,$A984,실시간콜입력!$E:$E,"D",실시간콜입력!$H:$H,$B984,실시간콜입력!$O:$O,"방문완료")</f>
        <v>0</v>
      </c>
      <c r="J984" s="29">
        <f>COUNTIFS(실시간콜입력!$B:$B,$A984,실시간콜입력!$E:$E,"E",실시간콜입력!$G:$G,$B984,실시간콜입력!$O:$O,"방문완료")+COUNTIFS(실시간콜입력!$B:$B,$A984,실시간콜입력!$E:$E,"E",실시간콜입력!$H:$H,$B984,실시간콜입력!$O:$O,"방문완료")</f>
        <v>0</v>
      </c>
      <c r="K984" s="29">
        <f t="shared" si="131"/>
        <v>0</v>
      </c>
      <c r="L984" s="33">
        <f>SUMIFS(실시간콜입력!$K:$K,실시간콜입력!$B:$B,$A984,실시간콜입력!$G:$G,$B984,실시간콜입력!$O:$O,"방문완료")+SUMIFS(실시간콜입력!$L:$L,실시간콜입력!$B:$B,$A984,실시간콜입력!$H:$H,$B984,실시간콜입력!$O:$O,"방문완료")</f>
        <v>0</v>
      </c>
      <c r="M984" s="29" t="str">
        <f t="shared" si="132"/>
        <v/>
      </c>
      <c r="N984" s="29"/>
    </row>
    <row r="985" spans="1:14" ht="19.5" hidden="1" customHeight="1" outlineLevel="1">
      <c r="A985" s="24">
        <f>IF(19&lt;=DAY(DATE(YEAR(설정_코스수당!$K$2),MONTH(설정_코스수당!$K$2)+1,0)),DATE(YEAR(설정_코스수당!$K$2),MONTH(설정_코스수당!$K$2),19),"")</f>
        <v>46192</v>
      </c>
      <c r="B985" s="23" t="s">
        <v>205</v>
      </c>
      <c r="C985" s="29"/>
      <c r="D985" s="29"/>
      <c r="E985" s="29" t="str">
        <f t="shared" si="130"/>
        <v/>
      </c>
      <c r="F985" s="29">
        <f>COUNTIFS(실시간콜입력!$B:$B,$A985,실시간콜입력!$E:$E,"A",실시간콜입력!$G:$G,$B985,실시간콜입력!$O:$O,"방문완료")+COUNTIFS(실시간콜입력!$B:$B,$A985,실시간콜입력!$E:$E,"A",실시간콜입력!$H:$H,$B985,실시간콜입력!$O:$O,"방문완료")</f>
        <v>0</v>
      </c>
      <c r="G985" s="29">
        <f>COUNTIFS(실시간콜입력!$B:$B,$A985,실시간콜입력!$E:$E,"B",실시간콜입력!$G:$G,$B985,실시간콜입력!$O:$O,"방문완료")+COUNTIFS(실시간콜입력!$B:$B,$A985,실시간콜입력!$E:$E,"B",실시간콜입력!$H:$H,$B985,실시간콜입력!$O:$O,"방문완료")</f>
        <v>0</v>
      </c>
      <c r="H985" s="29">
        <f>COUNTIFS(실시간콜입력!$B:$B,$A985,실시간콜입력!$E:$E,"C",실시간콜입력!$G:$G,$B985,실시간콜입력!$O:$O,"방문완료")+COUNTIFS(실시간콜입력!$B:$B,$A985,실시간콜입력!$E:$E,"C",실시간콜입력!$H:$H,$B985,실시간콜입력!$O:$O,"방문완료")</f>
        <v>0</v>
      </c>
      <c r="I985" s="29">
        <f>COUNTIFS(실시간콜입력!$B:$B,$A985,실시간콜입력!$E:$E,"D",실시간콜입력!$G:$G,$B985,실시간콜입력!$O:$O,"방문완료")+COUNTIFS(실시간콜입력!$B:$B,$A985,실시간콜입력!$E:$E,"D",실시간콜입력!$H:$H,$B985,실시간콜입력!$O:$O,"방문완료")</f>
        <v>0</v>
      </c>
      <c r="J985" s="29">
        <f>COUNTIFS(실시간콜입력!$B:$B,$A985,실시간콜입력!$E:$E,"E",실시간콜입력!$G:$G,$B985,실시간콜입력!$O:$O,"방문완료")+COUNTIFS(실시간콜입력!$B:$B,$A985,실시간콜입력!$E:$E,"E",실시간콜입력!$H:$H,$B985,실시간콜입력!$O:$O,"방문완료")</f>
        <v>0</v>
      </c>
      <c r="K985" s="29">
        <f t="shared" si="131"/>
        <v>0</v>
      </c>
      <c r="L985" s="27">
        <f>SUMIFS(실시간콜입력!$K:$K,실시간콜입력!$B:$B,$A985,실시간콜입력!$G:$G,$B985,실시간콜입력!$O:$O,"방문완료")+SUMIFS(실시간콜입력!$L:$L,실시간콜입력!$B:$B,$A985,실시간콜입력!$H:$H,$B985,실시간콜입력!$O:$O,"방문완료")</f>
        <v>0</v>
      </c>
      <c r="M985" s="29" t="str">
        <f t="shared" si="132"/>
        <v/>
      </c>
      <c r="N985" s="29"/>
    </row>
    <row r="986" spans="1:14" ht="19.5" hidden="1" customHeight="1" outlineLevel="1">
      <c r="A986" s="30">
        <f>IF(19&lt;=DAY(DATE(YEAR(설정_코스수당!$K$2),MONTH(설정_코스수당!$K$2)+1,0)),DATE(YEAR(설정_코스수당!$K$2),MONTH(설정_코스수당!$K$2),19),"")</f>
        <v>46192</v>
      </c>
      <c r="B986" s="29" t="s">
        <v>206</v>
      </c>
      <c r="C986" s="29"/>
      <c r="D986" s="29"/>
      <c r="E986" s="29" t="str">
        <f t="shared" si="130"/>
        <v/>
      </c>
      <c r="F986" s="29">
        <f>COUNTIFS(실시간콜입력!$B:$B,$A986,실시간콜입력!$E:$E,"A",실시간콜입력!$G:$G,$B986,실시간콜입력!$O:$O,"방문완료")+COUNTIFS(실시간콜입력!$B:$B,$A986,실시간콜입력!$E:$E,"A",실시간콜입력!$H:$H,$B986,실시간콜입력!$O:$O,"방문완료")</f>
        <v>0</v>
      </c>
      <c r="G986" s="29">
        <f>COUNTIFS(실시간콜입력!$B:$B,$A986,실시간콜입력!$E:$E,"B",실시간콜입력!$G:$G,$B986,실시간콜입력!$O:$O,"방문완료")+COUNTIFS(실시간콜입력!$B:$B,$A986,실시간콜입력!$E:$E,"B",실시간콜입력!$H:$H,$B986,실시간콜입력!$O:$O,"방문완료")</f>
        <v>0</v>
      </c>
      <c r="H986" s="29">
        <f>COUNTIFS(실시간콜입력!$B:$B,$A986,실시간콜입력!$E:$E,"C",실시간콜입력!$G:$G,$B986,실시간콜입력!$O:$O,"방문완료")+COUNTIFS(실시간콜입력!$B:$B,$A986,실시간콜입력!$E:$E,"C",실시간콜입력!$H:$H,$B986,실시간콜입력!$O:$O,"방문완료")</f>
        <v>0</v>
      </c>
      <c r="I986" s="29">
        <f>COUNTIFS(실시간콜입력!$B:$B,$A986,실시간콜입력!$E:$E,"D",실시간콜입력!$G:$G,$B986,실시간콜입력!$O:$O,"방문완료")+COUNTIFS(실시간콜입력!$B:$B,$A986,실시간콜입력!$E:$E,"D",실시간콜입력!$H:$H,$B986,실시간콜입력!$O:$O,"방문완료")</f>
        <v>0</v>
      </c>
      <c r="J986" s="29">
        <f>COUNTIFS(실시간콜입력!$B:$B,$A986,실시간콜입력!$E:$E,"E",실시간콜입력!$G:$G,$B986,실시간콜입력!$O:$O,"방문완료")+COUNTIFS(실시간콜입력!$B:$B,$A986,실시간콜입력!$E:$E,"E",실시간콜입력!$H:$H,$B986,실시간콜입력!$O:$O,"방문완료")</f>
        <v>0</v>
      </c>
      <c r="K986" s="29">
        <f t="shared" si="131"/>
        <v>0</v>
      </c>
      <c r="L986" s="33">
        <f>SUMIFS(실시간콜입력!$K:$K,실시간콜입력!$B:$B,$A986,실시간콜입력!$G:$G,$B986,실시간콜입력!$O:$O,"방문완료")+SUMIFS(실시간콜입력!$L:$L,실시간콜입력!$B:$B,$A986,실시간콜입력!$H:$H,$B986,실시간콜입력!$O:$O,"방문완료")</f>
        <v>0</v>
      </c>
      <c r="M986" s="29" t="str">
        <f t="shared" si="132"/>
        <v/>
      </c>
      <c r="N986" s="29"/>
    </row>
    <row r="987" spans="1:14" ht="19.5" hidden="1" customHeight="1" outlineLevel="1">
      <c r="A987" s="24">
        <f>IF(19&lt;=DAY(DATE(YEAR(설정_코스수당!$K$2),MONTH(설정_코스수당!$K$2)+1,0)),DATE(YEAR(설정_코스수당!$K$2),MONTH(설정_코스수당!$K$2),19),"")</f>
        <v>46192</v>
      </c>
      <c r="B987" s="23" t="s">
        <v>207</v>
      </c>
      <c r="C987" s="29"/>
      <c r="D987" s="29"/>
      <c r="E987" s="29" t="str">
        <f t="shared" si="130"/>
        <v/>
      </c>
      <c r="F987" s="29">
        <f>COUNTIFS(실시간콜입력!$B:$B,$A987,실시간콜입력!$E:$E,"A",실시간콜입력!$G:$G,$B987,실시간콜입력!$O:$O,"방문완료")+COUNTIFS(실시간콜입력!$B:$B,$A987,실시간콜입력!$E:$E,"A",실시간콜입력!$H:$H,$B987,실시간콜입력!$O:$O,"방문완료")</f>
        <v>0</v>
      </c>
      <c r="G987" s="29">
        <f>COUNTIFS(실시간콜입력!$B:$B,$A987,실시간콜입력!$E:$E,"B",실시간콜입력!$G:$G,$B987,실시간콜입력!$O:$O,"방문완료")+COUNTIFS(실시간콜입력!$B:$B,$A987,실시간콜입력!$E:$E,"B",실시간콜입력!$H:$H,$B987,실시간콜입력!$O:$O,"방문완료")</f>
        <v>0</v>
      </c>
      <c r="H987" s="29">
        <f>COUNTIFS(실시간콜입력!$B:$B,$A987,실시간콜입력!$E:$E,"C",실시간콜입력!$G:$G,$B987,실시간콜입력!$O:$O,"방문완료")+COUNTIFS(실시간콜입력!$B:$B,$A987,실시간콜입력!$E:$E,"C",실시간콜입력!$H:$H,$B987,실시간콜입력!$O:$O,"방문완료")</f>
        <v>0</v>
      </c>
      <c r="I987" s="29">
        <f>COUNTIFS(실시간콜입력!$B:$B,$A987,실시간콜입력!$E:$E,"D",실시간콜입력!$G:$G,$B987,실시간콜입력!$O:$O,"방문완료")+COUNTIFS(실시간콜입력!$B:$B,$A987,실시간콜입력!$E:$E,"D",실시간콜입력!$H:$H,$B987,실시간콜입력!$O:$O,"방문완료")</f>
        <v>0</v>
      </c>
      <c r="J987" s="29">
        <f>COUNTIFS(실시간콜입력!$B:$B,$A987,실시간콜입력!$E:$E,"E",실시간콜입력!$G:$G,$B987,실시간콜입력!$O:$O,"방문완료")+COUNTIFS(실시간콜입력!$B:$B,$A987,실시간콜입력!$E:$E,"E",실시간콜입력!$H:$H,$B987,실시간콜입력!$O:$O,"방문완료")</f>
        <v>0</v>
      </c>
      <c r="K987" s="29">
        <f t="shared" si="131"/>
        <v>0</v>
      </c>
      <c r="L987" s="27">
        <f>SUMIFS(실시간콜입력!$K:$K,실시간콜입력!$B:$B,$A987,실시간콜입력!$G:$G,$B987,실시간콜입력!$O:$O,"방문완료")+SUMIFS(실시간콜입력!$L:$L,실시간콜입력!$B:$B,$A987,실시간콜입력!$H:$H,$B987,실시간콜입력!$O:$O,"방문완료")</f>
        <v>0</v>
      </c>
      <c r="M987" s="29" t="str">
        <f t="shared" si="132"/>
        <v/>
      </c>
      <c r="N987" s="29"/>
    </row>
    <row r="988" spans="1:14" ht="19.5" hidden="1" customHeight="1" outlineLevel="1">
      <c r="A988" s="30">
        <f>IF(19&lt;=DAY(DATE(YEAR(설정_코스수당!$K$2),MONTH(설정_코스수당!$K$2)+1,0)),DATE(YEAR(설정_코스수당!$K$2),MONTH(설정_코스수당!$K$2),19),"")</f>
        <v>46192</v>
      </c>
      <c r="B988" s="29" t="s">
        <v>208</v>
      </c>
      <c r="C988" s="29"/>
      <c r="D988" s="29"/>
      <c r="E988" s="29" t="str">
        <f t="shared" si="130"/>
        <v/>
      </c>
      <c r="F988" s="29">
        <f>COUNTIFS(실시간콜입력!$B:$B,$A988,실시간콜입력!$E:$E,"A",실시간콜입력!$G:$G,$B988,실시간콜입력!$O:$O,"방문완료")+COUNTIFS(실시간콜입력!$B:$B,$A988,실시간콜입력!$E:$E,"A",실시간콜입력!$H:$H,$B988,실시간콜입력!$O:$O,"방문완료")</f>
        <v>0</v>
      </c>
      <c r="G988" s="29">
        <f>COUNTIFS(실시간콜입력!$B:$B,$A988,실시간콜입력!$E:$E,"B",실시간콜입력!$G:$G,$B988,실시간콜입력!$O:$O,"방문완료")+COUNTIFS(실시간콜입력!$B:$B,$A988,실시간콜입력!$E:$E,"B",실시간콜입력!$H:$H,$B988,실시간콜입력!$O:$O,"방문완료")</f>
        <v>0</v>
      </c>
      <c r="H988" s="29">
        <f>COUNTIFS(실시간콜입력!$B:$B,$A988,실시간콜입력!$E:$E,"C",실시간콜입력!$G:$G,$B988,실시간콜입력!$O:$O,"방문완료")+COUNTIFS(실시간콜입력!$B:$B,$A988,실시간콜입력!$E:$E,"C",실시간콜입력!$H:$H,$B988,실시간콜입력!$O:$O,"방문완료")</f>
        <v>0</v>
      </c>
      <c r="I988" s="29">
        <f>COUNTIFS(실시간콜입력!$B:$B,$A988,실시간콜입력!$E:$E,"D",실시간콜입력!$G:$G,$B988,실시간콜입력!$O:$O,"방문완료")+COUNTIFS(실시간콜입력!$B:$B,$A988,실시간콜입력!$E:$E,"D",실시간콜입력!$H:$H,$B988,실시간콜입력!$O:$O,"방문완료")</f>
        <v>0</v>
      </c>
      <c r="J988" s="29">
        <f>COUNTIFS(실시간콜입력!$B:$B,$A988,실시간콜입력!$E:$E,"E",실시간콜입력!$G:$G,$B988,실시간콜입력!$O:$O,"방문완료")+COUNTIFS(실시간콜입력!$B:$B,$A988,실시간콜입력!$E:$E,"E",실시간콜입력!$H:$H,$B988,실시간콜입력!$O:$O,"방문완료")</f>
        <v>0</v>
      </c>
      <c r="K988" s="29">
        <f t="shared" si="131"/>
        <v>0</v>
      </c>
      <c r="L988" s="33">
        <f>SUMIFS(실시간콜입력!$K:$K,실시간콜입력!$B:$B,$A988,실시간콜입력!$G:$G,$B988,실시간콜입력!$O:$O,"방문완료")+SUMIFS(실시간콜입력!$L:$L,실시간콜입력!$B:$B,$A988,실시간콜입력!$H:$H,$B988,실시간콜입력!$O:$O,"방문완료")</f>
        <v>0</v>
      </c>
      <c r="M988" s="29" t="str">
        <f t="shared" si="132"/>
        <v/>
      </c>
      <c r="N988" s="29"/>
    </row>
    <row r="989" spans="1:14" ht="19.5" hidden="1" customHeight="1" outlineLevel="1">
      <c r="A989" s="24">
        <f>IF(19&lt;=DAY(DATE(YEAR(설정_코스수당!$K$2),MONTH(설정_코스수당!$K$2)+1,0)),DATE(YEAR(설정_코스수당!$K$2),MONTH(설정_코스수당!$K$2),19),"")</f>
        <v>46192</v>
      </c>
      <c r="B989" s="23" t="s">
        <v>209</v>
      </c>
      <c r="C989" s="29"/>
      <c r="D989" s="29"/>
      <c r="E989" s="29" t="str">
        <f t="shared" si="130"/>
        <v/>
      </c>
      <c r="F989" s="29">
        <f>COUNTIFS(실시간콜입력!$B:$B,$A989,실시간콜입력!$E:$E,"A",실시간콜입력!$G:$G,$B989,실시간콜입력!$O:$O,"방문완료")+COUNTIFS(실시간콜입력!$B:$B,$A989,실시간콜입력!$E:$E,"A",실시간콜입력!$H:$H,$B989,실시간콜입력!$O:$O,"방문완료")</f>
        <v>0</v>
      </c>
      <c r="G989" s="29">
        <f>COUNTIFS(실시간콜입력!$B:$B,$A989,실시간콜입력!$E:$E,"B",실시간콜입력!$G:$G,$B989,실시간콜입력!$O:$O,"방문완료")+COUNTIFS(실시간콜입력!$B:$B,$A989,실시간콜입력!$E:$E,"B",실시간콜입력!$H:$H,$B989,실시간콜입력!$O:$O,"방문완료")</f>
        <v>0</v>
      </c>
      <c r="H989" s="29">
        <f>COUNTIFS(실시간콜입력!$B:$B,$A989,실시간콜입력!$E:$E,"C",실시간콜입력!$G:$G,$B989,실시간콜입력!$O:$O,"방문완료")+COUNTIFS(실시간콜입력!$B:$B,$A989,실시간콜입력!$E:$E,"C",실시간콜입력!$H:$H,$B989,실시간콜입력!$O:$O,"방문완료")</f>
        <v>0</v>
      </c>
      <c r="I989" s="29">
        <f>COUNTIFS(실시간콜입력!$B:$B,$A989,실시간콜입력!$E:$E,"D",실시간콜입력!$G:$G,$B989,실시간콜입력!$O:$O,"방문완료")+COUNTIFS(실시간콜입력!$B:$B,$A989,실시간콜입력!$E:$E,"D",실시간콜입력!$H:$H,$B989,실시간콜입력!$O:$O,"방문완료")</f>
        <v>0</v>
      </c>
      <c r="J989" s="29">
        <f>COUNTIFS(실시간콜입력!$B:$B,$A989,실시간콜입력!$E:$E,"E",실시간콜입력!$G:$G,$B989,실시간콜입력!$O:$O,"방문완료")+COUNTIFS(실시간콜입력!$B:$B,$A989,실시간콜입력!$E:$E,"E",실시간콜입력!$H:$H,$B989,실시간콜입력!$O:$O,"방문완료")</f>
        <v>0</v>
      </c>
      <c r="K989" s="29">
        <f t="shared" si="131"/>
        <v>0</v>
      </c>
      <c r="L989" s="27">
        <f>SUMIFS(실시간콜입력!$K:$K,실시간콜입력!$B:$B,$A989,실시간콜입력!$G:$G,$B989,실시간콜입력!$O:$O,"방문완료")+SUMIFS(실시간콜입력!$L:$L,실시간콜입력!$B:$B,$A989,실시간콜입력!$H:$H,$B989,실시간콜입력!$O:$O,"방문완료")</f>
        <v>0</v>
      </c>
      <c r="M989" s="29" t="str">
        <f t="shared" si="132"/>
        <v/>
      </c>
      <c r="N989" s="29"/>
    </row>
    <row r="990" spans="1:14" ht="19.5" hidden="1" customHeight="1" outlineLevel="1">
      <c r="A990" s="30">
        <f>IF(19&lt;=DAY(DATE(YEAR(설정_코스수당!$K$2),MONTH(설정_코스수당!$K$2)+1,0)),DATE(YEAR(설정_코스수당!$K$2),MONTH(설정_코스수당!$K$2),19),"")</f>
        <v>46192</v>
      </c>
      <c r="B990" s="29" t="s">
        <v>210</v>
      </c>
      <c r="C990" s="29"/>
      <c r="D990" s="29"/>
      <c r="E990" s="29" t="str">
        <f t="shared" si="130"/>
        <v/>
      </c>
      <c r="F990" s="29">
        <f>COUNTIFS(실시간콜입력!$B:$B,$A990,실시간콜입력!$E:$E,"A",실시간콜입력!$G:$G,$B990,실시간콜입력!$O:$O,"방문완료")+COUNTIFS(실시간콜입력!$B:$B,$A990,실시간콜입력!$E:$E,"A",실시간콜입력!$H:$H,$B990,실시간콜입력!$O:$O,"방문완료")</f>
        <v>0</v>
      </c>
      <c r="G990" s="29">
        <f>COUNTIFS(실시간콜입력!$B:$B,$A990,실시간콜입력!$E:$E,"B",실시간콜입력!$G:$G,$B990,실시간콜입력!$O:$O,"방문완료")+COUNTIFS(실시간콜입력!$B:$B,$A990,실시간콜입력!$E:$E,"B",실시간콜입력!$H:$H,$B990,실시간콜입력!$O:$O,"방문완료")</f>
        <v>0</v>
      </c>
      <c r="H990" s="29">
        <f>COUNTIFS(실시간콜입력!$B:$B,$A990,실시간콜입력!$E:$E,"C",실시간콜입력!$G:$G,$B990,실시간콜입력!$O:$O,"방문완료")+COUNTIFS(실시간콜입력!$B:$B,$A990,실시간콜입력!$E:$E,"C",실시간콜입력!$H:$H,$B990,실시간콜입력!$O:$O,"방문완료")</f>
        <v>0</v>
      </c>
      <c r="I990" s="29">
        <f>COUNTIFS(실시간콜입력!$B:$B,$A990,실시간콜입력!$E:$E,"D",실시간콜입력!$G:$G,$B990,실시간콜입력!$O:$O,"방문완료")+COUNTIFS(실시간콜입력!$B:$B,$A990,실시간콜입력!$E:$E,"D",실시간콜입력!$H:$H,$B990,실시간콜입력!$O:$O,"방문완료")</f>
        <v>0</v>
      </c>
      <c r="J990" s="29">
        <f>COUNTIFS(실시간콜입력!$B:$B,$A990,실시간콜입력!$E:$E,"E",실시간콜입력!$G:$G,$B990,실시간콜입력!$O:$O,"방문완료")+COUNTIFS(실시간콜입력!$B:$B,$A990,실시간콜입력!$E:$E,"E",실시간콜입력!$H:$H,$B990,실시간콜입력!$O:$O,"방문완료")</f>
        <v>0</v>
      </c>
      <c r="K990" s="29">
        <f t="shared" si="131"/>
        <v>0</v>
      </c>
      <c r="L990" s="33">
        <f>SUMIFS(실시간콜입력!$K:$K,실시간콜입력!$B:$B,$A990,실시간콜입력!$G:$G,$B990,실시간콜입력!$O:$O,"방문완료")+SUMIFS(실시간콜입력!$L:$L,실시간콜입력!$B:$B,$A990,실시간콜입력!$H:$H,$B990,실시간콜입력!$O:$O,"방문완료")</f>
        <v>0</v>
      </c>
      <c r="M990" s="29" t="str">
        <f t="shared" si="132"/>
        <v/>
      </c>
      <c r="N990" s="29"/>
    </row>
    <row r="991" spans="1:14" ht="19.5" hidden="1" customHeight="1" outlineLevel="1">
      <c r="A991" s="24">
        <f>IF(19&lt;=DAY(DATE(YEAR(설정_코스수당!$K$2),MONTH(설정_코스수당!$K$2)+1,0)),DATE(YEAR(설정_코스수당!$K$2),MONTH(설정_코스수당!$K$2),19),"")</f>
        <v>46192</v>
      </c>
      <c r="B991" s="23" t="s">
        <v>211</v>
      </c>
      <c r="C991" s="29"/>
      <c r="D991" s="29"/>
      <c r="E991" s="29" t="str">
        <f t="shared" si="130"/>
        <v/>
      </c>
      <c r="F991" s="29">
        <f>COUNTIFS(실시간콜입력!$B:$B,$A991,실시간콜입력!$E:$E,"A",실시간콜입력!$G:$G,$B991,실시간콜입력!$O:$O,"방문완료")+COUNTIFS(실시간콜입력!$B:$B,$A991,실시간콜입력!$E:$E,"A",실시간콜입력!$H:$H,$B991,실시간콜입력!$O:$O,"방문완료")</f>
        <v>0</v>
      </c>
      <c r="G991" s="29">
        <f>COUNTIFS(실시간콜입력!$B:$B,$A991,실시간콜입력!$E:$E,"B",실시간콜입력!$G:$G,$B991,실시간콜입력!$O:$O,"방문완료")+COUNTIFS(실시간콜입력!$B:$B,$A991,실시간콜입력!$E:$E,"B",실시간콜입력!$H:$H,$B991,실시간콜입력!$O:$O,"방문완료")</f>
        <v>0</v>
      </c>
      <c r="H991" s="29">
        <f>COUNTIFS(실시간콜입력!$B:$B,$A991,실시간콜입력!$E:$E,"C",실시간콜입력!$G:$G,$B991,실시간콜입력!$O:$O,"방문완료")+COUNTIFS(실시간콜입력!$B:$B,$A991,실시간콜입력!$E:$E,"C",실시간콜입력!$H:$H,$B991,실시간콜입력!$O:$O,"방문완료")</f>
        <v>0</v>
      </c>
      <c r="I991" s="29">
        <f>COUNTIFS(실시간콜입력!$B:$B,$A991,실시간콜입력!$E:$E,"D",실시간콜입력!$G:$G,$B991,실시간콜입력!$O:$O,"방문완료")+COUNTIFS(실시간콜입력!$B:$B,$A991,실시간콜입력!$E:$E,"D",실시간콜입력!$H:$H,$B991,실시간콜입력!$O:$O,"방문완료")</f>
        <v>0</v>
      </c>
      <c r="J991" s="29">
        <f>COUNTIFS(실시간콜입력!$B:$B,$A991,실시간콜입력!$E:$E,"E",실시간콜입력!$G:$G,$B991,실시간콜입력!$O:$O,"방문완료")+COUNTIFS(실시간콜입력!$B:$B,$A991,실시간콜입력!$E:$E,"E",실시간콜입력!$H:$H,$B991,실시간콜입력!$O:$O,"방문완료")</f>
        <v>0</v>
      </c>
      <c r="K991" s="29">
        <f t="shared" si="131"/>
        <v>0</v>
      </c>
      <c r="L991" s="27">
        <f>SUMIFS(실시간콜입력!$K:$K,실시간콜입력!$B:$B,$A991,실시간콜입력!$G:$G,$B991,실시간콜입력!$O:$O,"방문완료")+SUMIFS(실시간콜입력!$L:$L,실시간콜입력!$B:$B,$A991,실시간콜입력!$H:$H,$B991,실시간콜입력!$O:$O,"방문완료")</f>
        <v>0</v>
      </c>
      <c r="M991" s="29" t="str">
        <f t="shared" si="132"/>
        <v/>
      </c>
      <c r="N991" s="29"/>
    </row>
    <row r="992" spans="1:14" ht="19.5" hidden="1" customHeight="1" outlineLevel="1">
      <c r="A992" s="30">
        <f>IF(19&lt;=DAY(DATE(YEAR(설정_코스수당!$K$2),MONTH(설정_코스수당!$K$2)+1,0)),DATE(YEAR(설정_코스수당!$K$2),MONTH(설정_코스수당!$K$2),19),"")</f>
        <v>46192</v>
      </c>
      <c r="B992" s="29" t="s">
        <v>212</v>
      </c>
      <c r="C992" s="29"/>
      <c r="D992" s="29"/>
      <c r="E992" s="29" t="str">
        <f t="shared" si="130"/>
        <v/>
      </c>
      <c r="F992" s="29">
        <f>COUNTIFS(실시간콜입력!$B:$B,$A992,실시간콜입력!$E:$E,"A",실시간콜입력!$G:$G,$B992,실시간콜입력!$O:$O,"방문완료")+COUNTIFS(실시간콜입력!$B:$B,$A992,실시간콜입력!$E:$E,"A",실시간콜입력!$H:$H,$B992,실시간콜입력!$O:$O,"방문완료")</f>
        <v>0</v>
      </c>
      <c r="G992" s="29">
        <f>COUNTIFS(실시간콜입력!$B:$B,$A992,실시간콜입력!$E:$E,"B",실시간콜입력!$G:$G,$B992,실시간콜입력!$O:$O,"방문완료")+COUNTIFS(실시간콜입력!$B:$B,$A992,실시간콜입력!$E:$E,"B",실시간콜입력!$H:$H,$B992,실시간콜입력!$O:$O,"방문완료")</f>
        <v>0</v>
      </c>
      <c r="H992" s="29">
        <f>COUNTIFS(실시간콜입력!$B:$B,$A992,실시간콜입력!$E:$E,"C",실시간콜입력!$G:$G,$B992,실시간콜입력!$O:$O,"방문완료")+COUNTIFS(실시간콜입력!$B:$B,$A992,실시간콜입력!$E:$E,"C",실시간콜입력!$H:$H,$B992,실시간콜입력!$O:$O,"방문완료")</f>
        <v>0</v>
      </c>
      <c r="I992" s="29">
        <f>COUNTIFS(실시간콜입력!$B:$B,$A992,실시간콜입력!$E:$E,"D",실시간콜입력!$G:$G,$B992,실시간콜입력!$O:$O,"방문완료")+COUNTIFS(실시간콜입력!$B:$B,$A992,실시간콜입력!$E:$E,"D",실시간콜입력!$H:$H,$B992,실시간콜입력!$O:$O,"방문완료")</f>
        <v>0</v>
      </c>
      <c r="J992" s="29">
        <f>COUNTIFS(실시간콜입력!$B:$B,$A992,실시간콜입력!$E:$E,"E",실시간콜입력!$G:$G,$B992,실시간콜입력!$O:$O,"방문완료")+COUNTIFS(실시간콜입력!$B:$B,$A992,실시간콜입력!$E:$E,"E",실시간콜입력!$H:$H,$B992,실시간콜입력!$O:$O,"방문완료")</f>
        <v>0</v>
      </c>
      <c r="K992" s="29">
        <f t="shared" si="131"/>
        <v>0</v>
      </c>
      <c r="L992" s="33">
        <f>SUMIFS(실시간콜입력!$K:$K,실시간콜입력!$B:$B,$A992,실시간콜입력!$G:$G,$B992,실시간콜입력!$O:$O,"방문완료")+SUMIFS(실시간콜입력!$L:$L,실시간콜입력!$B:$B,$A992,실시간콜입력!$H:$H,$B992,실시간콜입력!$O:$O,"방문완료")</f>
        <v>0</v>
      </c>
      <c r="M992" s="29" t="str">
        <f t="shared" si="132"/>
        <v/>
      </c>
      <c r="N992" s="29"/>
    </row>
    <row r="993" spans="1:14" ht="21.75" customHeight="1" collapsed="1">
      <c r="A993" s="64">
        <f>IF(20&lt;=DAY(DATE(YEAR(설정_코스수당!$K$2),MONTH(설정_코스수당!$K$2)+1,0)),DATE(YEAR(설정_코스수당!$K$2),MONTH(설정_코스수당!$K$2),20),"")</f>
        <v>46193</v>
      </c>
      <c r="B993" s="65" t="str">
        <f>IF(A993="","","출근 "&amp;COUNTIF(C995:C1044,"&lt;&gt;")&amp;"명")</f>
        <v>출근 0명</v>
      </c>
      <c r="C993" s="65" t="str">
        <f>IF(A993="","","만근 "&amp;COUNTIF(M995:M1044,"인정")&amp;"명")</f>
        <v>만근 0명</v>
      </c>
      <c r="D993" s="65" t="str">
        <f>IFERROR("평균 "&amp;TEXT(AVERAGEIF(E995:E1044,"&gt;0",E995:E1044),"0.0")&amp;"h","평균 -")</f>
        <v>평균 -</v>
      </c>
      <c r="E993" s="65" t="s">
        <v>163</v>
      </c>
      <c r="F993" s="65">
        <f t="shared" ref="F993:L993" si="133">SUM(F995:F1044)</f>
        <v>0</v>
      </c>
      <c r="G993" s="65">
        <f t="shared" si="133"/>
        <v>0</v>
      </c>
      <c r="H993" s="65">
        <f t="shared" si="133"/>
        <v>0</v>
      </c>
      <c r="I993" s="65">
        <f t="shared" si="133"/>
        <v>0</v>
      </c>
      <c r="J993" s="65">
        <f t="shared" si="133"/>
        <v>0</v>
      </c>
      <c r="K993" s="65">
        <f t="shared" si="133"/>
        <v>0</v>
      </c>
      <c r="L993" s="66">
        <f t="shared" si="133"/>
        <v>0</v>
      </c>
      <c r="M993" s="65">
        <f>COUNTIF(M995:M1044,"인정")</f>
        <v>0</v>
      </c>
      <c r="N993" s="65" t="s">
        <v>164</v>
      </c>
    </row>
    <row r="994" spans="1:14" ht="19.5" hidden="1" customHeight="1" outlineLevel="1">
      <c r="A994" s="20" t="s">
        <v>42</v>
      </c>
      <c r="B994" s="20" t="s">
        <v>152</v>
      </c>
      <c r="C994" s="20" t="s">
        <v>153</v>
      </c>
      <c r="D994" s="20" t="s">
        <v>154</v>
      </c>
      <c r="E994" s="20" t="s">
        <v>155</v>
      </c>
      <c r="F994" s="20" t="s">
        <v>156</v>
      </c>
      <c r="G994" s="20" t="s">
        <v>157</v>
      </c>
      <c r="H994" s="20" t="s">
        <v>158</v>
      </c>
      <c r="I994" s="20" t="s">
        <v>159</v>
      </c>
      <c r="J994" s="20" t="s">
        <v>160</v>
      </c>
      <c r="K994" s="20" t="s">
        <v>118</v>
      </c>
      <c r="L994" s="20" t="s">
        <v>161</v>
      </c>
      <c r="M994" s="20" t="s">
        <v>162</v>
      </c>
      <c r="N994" s="20" t="s">
        <v>95</v>
      </c>
    </row>
    <row r="995" spans="1:14" ht="19.5" hidden="1" customHeight="1" outlineLevel="1">
      <c r="A995" s="24">
        <f>IF(20&lt;=DAY(DATE(YEAR(설정_코스수당!$K$2),MONTH(설정_코스수당!$K$2)+1,0)),DATE(YEAR(설정_코스수당!$K$2),MONTH(설정_코스수당!$K$2),20),"")</f>
        <v>46193</v>
      </c>
      <c r="B995" s="23" t="s">
        <v>47</v>
      </c>
      <c r="C995" s="23"/>
      <c r="D995" s="23"/>
      <c r="E995" s="23" t="str">
        <f t="shared" ref="E995:E1026" si="134">IF(AND(C995&lt;&gt;"",D995&lt;&gt;""),IF(D995&lt;C995,D995+1-C995,D995-C995)*24,"")</f>
        <v/>
      </c>
      <c r="F995" s="23">
        <f>COUNTIFS(실시간콜입력!$B:$B,$A995,실시간콜입력!$E:$E,"A",실시간콜입력!$G:$G,$B995,실시간콜입력!$O:$O,"방문완료")+COUNTIFS(실시간콜입력!$B:$B,$A995,실시간콜입력!$E:$E,"A",실시간콜입력!$H:$H,$B995,실시간콜입력!$O:$O,"방문완료")</f>
        <v>0</v>
      </c>
      <c r="G995" s="23">
        <f>COUNTIFS(실시간콜입력!$B:$B,$A995,실시간콜입력!$E:$E,"B",실시간콜입력!$G:$G,$B995,실시간콜입력!$O:$O,"방문완료")+COUNTIFS(실시간콜입력!$B:$B,$A995,실시간콜입력!$E:$E,"B",실시간콜입력!$H:$H,$B995,실시간콜입력!$O:$O,"방문완료")</f>
        <v>0</v>
      </c>
      <c r="H995" s="23">
        <f>COUNTIFS(실시간콜입력!$B:$B,$A995,실시간콜입력!$E:$E,"C",실시간콜입력!$G:$G,$B995,실시간콜입력!$O:$O,"방문완료")+COUNTIFS(실시간콜입력!$B:$B,$A995,실시간콜입력!$E:$E,"C",실시간콜입력!$H:$H,$B995,실시간콜입력!$O:$O,"방문완료")</f>
        <v>0</v>
      </c>
      <c r="I995" s="23">
        <f>COUNTIFS(실시간콜입력!$B:$B,$A995,실시간콜입력!$E:$E,"D",실시간콜입력!$G:$G,$B995,실시간콜입력!$O:$O,"방문완료")+COUNTIFS(실시간콜입력!$B:$B,$A995,실시간콜입력!$E:$E,"D",실시간콜입력!$H:$H,$B995,실시간콜입력!$O:$O,"방문완료")</f>
        <v>0</v>
      </c>
      <c r="J995" s="23">
        <f>COUNTIFS(실시간콜입력!$B:$B,$A995,실시간콜입력!$E:$E,"E",실시간콜입력!$G:$G,$B995,실시간콜입력!$O:$O,"방문완료")+COUNTIFS(실시간콜입력!$B:$B,$A995,실시간콜입력!$E:$E,"E",실시간콜입력!$H:$H,$B995,실시간콜입력!$O:$O,"방문완료")</f>
        <v>0</v>
      </c>
      <c r="K995" s="23">
        <f t="shared" ref="K995:K1026" si="135">SUM(F995:J995)</f>
        <v>0</v>
      </c>
      <c r="L995" s="27">
        <f>SUMIFS(실시간콜입력!$K:$K,실시간콜입력!$B:$B,$A995,실시간콜입력!$G:$G,$B995,실시간콜입력!$O:$O,"방문완료")+SUMIFS(실시간콜입력!$L:$L,실시간콜입력!$B:$B,$A995,실시간콜입력!$H:$H,$B995,실시간콜입력!$O:$O,"방문완료")</f>
        <v>0</v>
      </c>
      <c r="M995" s="23" t="str">
        <f t="shared" ref="M995:M1026" si="136">IF(AND(ISNUMBER(E995),E995&gt;=8),"인정","")</f>
        <v/>
      </c>
      <c r="N995" s="23"/>
    </row>
    <row r="996" spans="1:14" ht="19.5" hidden="1" customHeight="1" outlineLevel="1">
      <c r="A996" s="30">
        <f>IF(20&lt;=DAY(DATE(YEAR(설정_코스수당!$K$2),MONTH(설정_코스수당!$K$2)+1,0)),DATE(YEAR(설정_코스수당!$K$2),MONTH(설정_코스수당!$K$2),20),"")</f>
        <v>46193</v>
      </c>
      <c r="B996" s="29" t="s">
        <v>48</v>
      </c>
      <c r="C996" s="29"/>
      <c r="D996" s="29"/>
      <c r="E996" s="29" t="str">
        <f t="shared" si="134"/>
        <v/>
      </c>
      <c r="F996" s="29">
        <f>COUNTIFS(실시간콜입력!$B:$B,$A996,실시간콜입력!$E:$E,"A",실시간콜입력!$G:$G,$B996,실시간콜입력!$O:$O,"방문완료")+COUNTIFS(실시간콜입력!$B:$B,$A996,실시간콜입력!$E:$E,"A",실시간콜입력!$H:$H,$B996,실시간콜입력!$O:$O,"방문완료")</f>
        <v>0</v>
      </c>
      <c r="G996" s="29">
        <f>COUNTIFS(실시간콜입력!$B:$B,$A996,실시간콜입력!$E:$E,"B",실시간콜입력!$G:$G,$B996,실시간콜입력!$O:$O,"방문완료")+COUNTIFS(실시간콜입력!$B:$B,$A996,실시간콜입력!$E:$E,"B",실시간콜입력!$H:$H,$B996,실시간콜입력!$O:$O,"방문완료")</f>
        <v>0</v>
      </c>
      <c r="H996" s="29">
        <f>COUNTIFS(실시간콜입력!$B:$B,$A996,실시간콜입력!$E:$E,"C",실시간콜입력!$G:$G,$B996,실시간콜입력!$O:$O,"방문완료")+COUNTIFS(실시간콜입력!$B:$B,$A996,실시간콜입력!$E:$E,"C",실시간콜입력!$H:$H,$B996,실시간콜입력!$O:$O,"방문완료")</f>
        <v>0</v>
      </c>
      <c r="I996" s="29">
        <f>COUNTIFS(실시간콜입력!$B:$B,$A996,실시간콜입력!$E:$E,"D",실시간콜입력!$G:$G,$B996,실시간콜입력!$O:$O,"방문완료")+COUNTIFS(실시간콜입력!$B:$B,$A996,실시간콜입력!$E:$E,"D",실시간콜입력!$H:$H,$B996,실시간콜입력!$O:$O,"방문완료")</f>
        <v>0</v>
      </c>
      <c r="J996" s="29">
        <f>COUNTIFS(실시간콜입력!$B:$B,$A996,실시간콜입력!$E:$E,"E",실시간콜입력!$G:$G,$B996,실시간콜입력!$O:$O,"방문완료")+COUNTIFS(실시간콜입력!$B:$B,$A996,실시간콜입력!$E:$E,"E",실시간콜입력!$H:$H,$B996,실시간콜입력!$O:$O,"방문완료")</f>
        <v>0</v>
      </c>
      <c r="K996" s="29">
        <f t="shared" si="135"/>
        <v>0</v>
      </c>
      <c r="L996" s="33">
        <f>SUMIFS(실시간콜입력!$K:$K,실시간콜입력!$B:$B,$A996,실시간콜입력!$G:$G,$B996,실시간콜입력!$O:$O,"방문완료")+SUMIFS(실시간콜입력!$L:$L,실시간콜입력!$B:$B,$A996,실시간콜입력!$H:$H,$B996,실시간콜입력!$O:$O,"방문완료")</f>
        <v>0</v>
      </c>
      <c r="M996" s="29" t="str">
        <f t="shared" si="136"/>
        <v/>
      </c>
      <c r="N996" s="29"/>
    </row>
    <row r="997" spans="1:14" ht="19.5" hidden="1" customHeight="1" outlineLevel="1">
      <c r="A997" s="24">
        <f>IF(20&lt;=DAY(DATE(YEAR(설정_코스수당!$K$2),MONTH(설정_코스수당!$K$2)+1,0)),DATE(YEAR(설정_코스수당!$K$2),MONTH(설정_코스수당!$K$2),20),"")</f>
        <v>46193</v>
      </c>
      <c r="B997" s="23" t="s">
        <v>165</v>
      </c>
      <c r="C997" s="29"/>
      <c r="D997" s="29"/>
      <c r="E997" s="29" t="str">
        <f t="shared" si="134"/>
        <v/>
      </c>
      <c r="F997" s="29">
        <f>COUNTIFS(실시간콜입력!$B:$B,$A997,실시간콜입력!$E:$E,"A",실시간콜입력!$G:$G,$B997,실시간콜입력!$O:$O,"방문완료")+COUNTIFS(실시간콜입력!$B:$B,$A997,실시간콜입력!$E:$E,"A",실시간콜입력!$H:$H,$B997,실시간콜입력!$O:$O,"방문완료")</f>
        <v>0</v>
      </c>
      <c r="G997" s="29">
        <f>COUNTIFS(실시간콜입력!$B:$B,$A997,실시간콜입력!$E:$E,"B",실시간콜입력!$G:$G,$B997,실시간콜입력!$O:$O,"방문완료")+COUNTIFS(실시간콜입력!$B:$B,$A997,실시간콜입력!$E:$E,"B",실시간콜입력!$H:$H,$B997,실시간콜입력!$O:$O,"방문완료")</f>
        <v>0</v>
      </c>
      <c r="H997" s="29">
        <f>COUNTIFS(실시간콜입력!$B:$B,$A997,실시간콜입력!$E:$E,"C",실시간콜입력!$G:$G,$B997,실시간콜입력!$O:$O,"방문완료")+COUNTIFS(실시간콜입력!$B:$B,$A997,실시간콜입력!$E:$E,"C",실시간콜입력!$H:$H,$B997,실시간콜입력!$O:$O,"방문완료")</f>
        <v>0</v>
      </c>
      <c r="I997" s="29">
        <f>COUNTIFS(실시간콜입력!$B:$B,$A997,실시간콜입력!$E:$E,"D",실시간콜입력!$G:$G,$B997,실시간콜입력!$O:$O,"방문완료")+COUNTIFS(실시간콜입력!$B:$B,$A997,실시간콜입력!$E:$E,"D",실시간콜입력!$H:$H,$B997,실시간콜입력!$O:$O,"방문완료")</f>
        <v>0</v>
      </c>
      <c r="J997" s="29">
        <f>COUNTIFS(실시간콜입력!$B:$B,$A997,실시간콜입력!$E:$E,"E",실시간콜입력!$G:$G,$B997,실시간콜입력!$O:$O,"방문완료")+COUNTIFS(실시간콜입력!$B:$B,$A997,실시간콜입력!$E:$E,"E",실시간콜입력!$H:$H,$B997,실시간콜입력!$O:$O,"방문완료")</f>
        <v>0</v>
      </c>
      <c r="K997" s="29">
        <f t="shared" si="135"/>
        <v>0</v>
      </c>
      <c r="L997" s="27">
        <f>SUMIFS(실시간콜입력!$K:$K,실시간콜입력!$B:$B,$A997,실시간콜입력!$G:$G,$B997,실시간콜입력!$O:$O,"방문완료")+SUMIFS(실시간콜입력!$L:$L,실시간콜입력!$B:$B,$A997,실시간콜입력!$H:$H,$B997,실시간콜입력!$O:$O,"방문완료")</f>
        <v>0</v>
      </c>
      <c r="M997" s="29" t="str">
        <f t="shared" si="136"/>
        <v/>
      </c>
      <c r="N997" s="29"/>
    </row>
    <row r="998" spans="1:14" ht="19.5" hidden="1" customHeight="1" outlineLevel="1">
      <c r="A998" s="30">
        <f>IF(20&lt;=DAY(DATE(YEAR(설정_코스수당!$K$2),MONTH(설정_코스수당!$K$2)+1,0)),DATE(YEAR(설정_코스수당!$K$2),MONTH(설정_코스수당!$K$2),20),"")</f>
        <v>46193</v>
      </c>
      <c r="B998" s="29" t="s">
        <v>166</v>
      </c>
      <c r="C998" s="29"/>
      <c r="D998" s="29"/>
      <c r="E998" s="29" t="str">
        <f t="shared" si="134"/>
        <v/>
      </c>
      <c r="F998" s="29">
        <f>COUNTIFS(실시간콜입력!$B:$B,$A998,실시간콜입력!$E:$E,"A",실시간콜입력!$G:$G,$B998,실시간콜입력!$O:$O,"방문완료")+COUNTIFS(실시간콜입력!$B:$B,$A998,실시간콜입력!$E:$E,"A",실시간콜입력!$H:$H,$B998,실시간콜입력!$O:$O,"방문완료")</f>
        <v>0</v>
      </c>
      <c r="G998" s="29">
        <f>COUNTIFS(실시간콜입력!$B:$B,$A998,실시간콜입력!$E:$E,"B",실시간콜입력!$G:$G,$B998,실시간콜입력!$O:$O,"방문완료")+COUNTIFS(실시간콜입력!$B:$B,$A998,실시간콜입력!$E:$E,"B",실시간콜입력!$H:$H,$B998,실시간콜입력!$O:$O,"방문완료")</f>
        <v>0</v>
      </c>
      <c r="H998" s="29">
        <f>COUNTIFS(실시간콜입력!$B:$B,$A998,실시간콜입력!$E:$E,"C",실시간콜입력!$G:$G,$B998,실시간콜입력!$O:$O,"방문완료")+COUNTIFS(실시간콜입력!$B:$B,$A998,실시간콜입력!$E:$E,"C",실시간콜입력!$H:$H,$B998,실시간콜입력!$O:$O,"방문완료")</f>
        <v>0</v>
      </c>
      <c r="I998" s="29">
        <f>COUNTIFS(실시간콜입력!$B:$B,$A998,실시간콜입력!$E:$E,"D",실시간콜입력!$G:$G,$B998,실시간콜입력!$O:$O,"방문완료")+COUNTIFS(실시간콜입력!$B:$B,$A998,실시간콜입력!$E:$E,"D",실시간콜입력!$H:$H,$B998,실시간콜입력!$O:$O,"방문완료")</f>
        <v>0</v>
      </c>
      <c r="J998" s="29">
        <f>COUNTIFS(실시간콜입력!$B:$B,$A998,실시간콜입력!$E:$E,"E",실시간콜입력!$G:$G,$B998,실시간콜입력!$O:$O,"방문완료")+COUNTIFS(실시간콜입력!$B:$B,$A998,실시간콜입력!$E:$E,"E",실시간콜입력!$H:$H,$B998,실시간콜입력!$O:$O,"방문완료")</f>
        <v>0</v>
      </c>
      <c r="K998" s="29">
        <f t="shared" si="135"/>
        <v>0</v>
      </c>
      <c r="L998" s="33">
        <f>SUMIFS(실시간콜입력!$K:$K,실시간콜입력!$B:$B,$A998,실시간콜입력!$G:$G,$B998,실시간콜입력!$O:$O,"방문완료")+SUMIFS(실시간콜입력!$L:$L,실시간콜입력!$B:$B,$A998,실시간콜입력!$H:$H,$B998,실시간콜입력!$O:$O,"방문완료")</f>
        <v>0</v>
      </c>
      <c r="M998" s="29" t="str">
        <f t="shared" si="136"/>
        <v/>
      </c>
      <c r="N998" s="29"/>
    </row>
    <row r="999" spans="1:14" ht="19.5" hidden="1" customHeight="1" outlineLevel="1">
      <c r="A999" s="24">
        <f>IF(20&lt;=DAY(DATE(YEAR(설정_코스수당!$K$2),MONTH(설정_코스수당!$K$2)+1,0)),DATE(YEAR(설정_코스수당!$K$2),MONTH(설정_코스수당!$K$2),20),"")</f>
        <v>46193</v>
      </c>
      <c r="B999" s="23" t="s">
        <v>167</v>
      </c>
      <c r="C999" s="29"/>
      <c r="D999" s="29"/>
      <c r="E999" s="29" t="str">
        <f t="shared" si="134"/>
        <v/>
      </c>
      <c r="F999" s="29">
        <f>COUNTIFS(실시간콜입력!$B:$B,$A999,실시간콜입력!$E:$E,"A",실시간콜입력!$G:$G,$B999,실시간콜입력!$O:$O,"방문완료")+COUNTIFS(실시간콜입력!$B:$B,$A999,실시간콜입력!$E:$E,"A",실시간콜입력!$H:$H,$B999,실시간콜입력!$O:$O,"방문완료")</f>
        <v>0</v>
      </c>
      <c r="G999" s="29">
        <f>COUNTIFS(실시간콜입력!$B:$B,$A999,실시간콜입력!$E:$E,"B",실시간콜입력!$G:$G,$B999,실시간콜입력!$O:$O,"방문완료")+COUNTIFS(실시간콜입력!$B:$B,$A999,실시간콜입력!$E:$E,"B",실시간콜입력!$H:$H,$B999,실시간콜입력!$O:$O,"방문완료")</f>
        <v>0</v>
      </c>
      <c r="H999" s="29">
        <f>COUNTIFS(실시간콜입력!$B:$B,$A999,실시간콜입력!$E:$E,"C",실시간콜입력!$G:$G,$B999,실시간콜입력!$O:$O,"방문완료")+COUNTIFS(실시간콜입력!$B:$B,$A999,실시간콜입력!$E:$E,"C",실시간콜입력!$H:$H,$B999,실시간콜입력!$O:$O,"방문완료")</f>
        <v>0</v>
      </c>
      <c r="I999" s="29">
        <f>COUNTIFS(실시간콜입력!$B:$B,$A999,실시간콜입력!$E:$E,"D",실시간콜입력!$G:$G,$B999,실시간콜입력!$O:$O,"방문완료")+COUNTIFS(실시간콜입력!$B:$B,$A999,실시간콜입력!$E:$E,"D",실시간콜입력!$H:$H,$B999,실시간콜입력!$O:$O,"방문완료")</f>
        <v>0</v>
      </c>
      <c r="J999" s="29">
        <f>COUNTIFS(실시간콜입력!$B:$B,$A999,실시간콜입력!$E:$E,"E",실시간콜입력!$G:$G,$B999,실시간콜입력!$O:$O,"방문완료")+COUNTIFS(실시간콜입력!$B:$B,$A999,실시간콜입력!$E:$E,"E",실시간콜입력!$H:$H,$B999,실시간콜입력!$O:$O,"방문완료")</f>
        <v>0</v>
      </c>
      <c r="K999" s="29">
        <f t="shared" si="135"/>
        <v>0</v>
      </c>
      <c r="L999" s="27">
        <f>SUMIFS(실시간콜입력!$K:$K,실시간콜입력!$B:$B,$A999,실시간콜입력!$G:$G,$B999,실시간콜입력!$O:$O,"방문완료")+SUMIFS(실시간콜입력!$L:$L,실시간콜입력!$B:$B,$A999,실시간콜입력!$H:$H,$B999,실시간콜입력!$O:$O,"방문완료")</f>
        <v>0</v>
      </c>
      <c r="M999" s="29" t="str">
        <f t="shared" si="136"/>
        <v/>
      </c>
      <c r="N999" s="29"/>
    </row>
    <row r="1000" spans="1:14" ht="19.5" hidden="1" customHeight="1" outlineLevel="1">
      <c r="A1000" s="30">
        <f>IF(20&lt;=DAY(DATE(YEAR(설정_코스수당!$K$2),MONTH(설정_코스수당!$K$2)+1,0)),DATE(YEAR(설정_코스수당!$K$2),MONTH(설정_코스수당!$K$2),20),"")</f>
        <v>46193</v>
      </c>
      <c r="B1000" s="29" t="s">
        <v>168</v>
      </c>
      <c r="C1000" s="29"/>
      <c r="D1000" s="29"/>
      <c r="E1000" s="29" t="str">
        <f t="shared" si="134"/>
        <v/>
      </c>
      <c r="F1000" s="29">
        <f>COUNTIFS(실시간콜입력!$B:$B,$A1000,실시간콜입력!$E:$E,"A",실시간콜입력!$G:$G,$B1000,실시간콜입력!$O:$O,"방문완료")+COUNTIFS(실시간콜입력!$B:$B,$A1000,실시간콜입력!$E:$E,"A",실시간콜입력!$H:$H,$B1000,실시간콜입력!$O:$O,"방문완료")</f>
        <v>0</v>
      </c>
      <c r="G1000" s="29">
        <f>COUNTIFS(실시간콜입력!$B:$B,$A1000,실시간콜입력!$E:$E,"B",실시간콜입력!$G:$G,$B1000,실시간콜입력!$O:$O,"방문완료")+COUNTIFS(실시간콜입력!$B:$B,$A1000,실시간콜입력!$E:$E,"B",실시간콜입력!$H:$H,$B1000,실시간콜입력!$O:$O,"방문완료")</f>
        <v>0</v>
      </c>
      <c r="H1000" s="29">
        <f>COUNTIFS(실시간콜입력!$B:$B,$A1000,실시간콜입력!$E:$E,"C",실시간콜입력!$G:$G,$B1000,실시간콜입력!$O:$O,"방문완료")+COUNTIFS(실시간콜입력!$B:$B,$A1000,실시간콜입력!$E:$E,"C",실시간콜입력!$H:$H,$B1000,실시간콜입력!$O:$O,"방문완료")</f>
        <v>0</v>
      </c>
      <c r="I1000" s="29">
        <f>COUNTIFS(실시간콜입력!$B:$B,$A1000,실시간콜입력!$E:$E,"D",실시간콜입력!$G:$G,$B1000,실시간콜입력!$O:$O,"방문완료")+COUNTIFS(실시간콜입력!$B:$B,$A1000,실시간콜입력!$E:$E,"D",실시간콜입력!$H:$H,$B1000,실시간콜입력!$O:$O,"방문완료")</f>
        <v>0</v>
      </c>
      <c r="J1000" s="29">
        <f>COUNTIFS(실시간콜입력!$B:$B,$A1000,실시간콜입력!$E:$E,"E",실시간콜입력!$G:$G,$B1000,실시간콜입력!$O:$O,"방문완료")+COUNTIFS(실시간콜입력!$B:$B,$A1000,실시간콜입력!$E:$E,"E",실시간콜입력!$H:$H,$B1000,실시간콜입력!$O:$O,"방문완료")</f>
        <v>0</v>
      </c>
      <c r="K1000" s="29">
        <f t="shared" si="135"/>
        <v>0</v>
      </c>
      <c r="L1000" s="33">
        <f>SUMIFS(실시간콜입력!$K:$K,실시간콜입력!$B:$B,$A1000,실시간콜입력!$G:$G,$B1000,실시간콜입력!$O:$O,"방문완료")+SUMIFS(실시간콜입력!$L:$L,실시간콜입력!$B:$B,$A1000,실시간콜입력!$H:$H,$B1000,실시간콜입력!$O:$O,"방문완료")</f>
        <v>0</v>
      </c>
      <c r="M1000" s="29" t="str">
        <f t="shared" si="136"/>
        <v/>
      </c>
      <c r="N1000" s="29"/>
    </row>
    <row r="1001" spans="1:14" ht="19.5" hidden="1" customHeight="1" outlineLevel="1">
      <c r="A1001" s="24">
        <f>IF(20&lt;=DAY(DATE(YEAR(설정_코스수당!$K$2),MONTH(설정_코스수당!$K$2)+1,0)),DATE(YEAR(설정_코스수당!$K$2),MONTH(설정_코스수당!$K$2),20),"")</f>
        <v>46193</v>
      </c>
      <c r="B1001" s="23" t="s">
        <v>169</v>
      </c>
      <c r="C1001" s="29"/>
      <c r="D1001" s="29"/>
      <c r="E1001" s="29" t="str">
        <f t="shared" si="134"/>
        <v/>
      </c>
      <c r="F1001" s="29">
        <f>COUNTIFS(실시간콜입력!$B:$B,$A1001,실시간콜입력!$E:$E,"A",실시간콜입력!$G:$G,$B1001,실시간콜입력!$O:$O,"방문완료")+COUNTIFS(실시간콜입력!$B:$B,$A1001,실시간콜입력!$E:$E,"A",실시간콜입력!$H:$H,$B1001,실시간콜입력!$O:$O,"방문완료")</f>
        <v>0</v>
      </c>
      <c r="G1001" s="29">
        <f>COUNTIFS(실시간콜입력!$B:$B,$A1001,실시간콜입력!$E:$E,"B",실시간콜입력!$G:$G,$B1001,실시간콜입력!$O:$O,"방문완료")+COUNTIFS(실시간콜입력!$B:$B,$A1001,실시간콜입력!$E:$E,"B",실시간콜입력!$H:$H,$B1001,실시간콜입력!$O:$O,"방문완료")</f>
        <v>0</v>
      </c>
      <c r="H1001" s="29">
        <f>COUNTIFS(실시간콜입력!$B:$B,$A1001,실시간콜입력!$E:$E,"C",실시간콜입력!$G:$G,$B1001,실시간콜입력!$O:$O,"방문완료")+COUNTIFS(실시간콜입력!$B:$B,$A1001,실시간콜입력!$E:$E,"C",실시간콜입력!$H:$H,$B1001,실시간콜입력!$O:$O,"방문완료")</f>
        <v>0</v>
      </c>
      <c r="I1001" s="29">
        <f>COUNTIFS(실시간콜입력!$B:$B,$A1001,실시간콜입력!$E:$E,"D",실시간콜입력!$G:$G,$B1001,실시간콜입력!$O:$O,"방문완료")+COUNTIFS(실시간콜입력!$B:$B,$A1001,실시간콜입력!$E:$E,"D",실시간콜입력!$H:$H,$B1001,실시간콜입력!$O:$O,"방문완료")</f>
        <v>0</v>
      </c>
      <c r="J1001" s="29">
        <f>COUNTIFS(실시간콜입력!$B:$B,$A1001,실시간콜입력!$E:$E,"E",실시간콜입력!$G:$G,$B1001,실시간콜입력!$O:$O,"방문완료")+COUNTIFS(실시간콜입력!$B:$B,$A1001,실시간콜입력!$E:$E,"E",실시간콜입력!$H:$H,$B1001,실시간콜입력!$O:$O,"방문완료")</f>
        <v>0</v>
      </c>
      <c r="K1001" s="29">
        <f t="shared" si="135"/>
        <v>0</v>
      </c>
      <c r="L1001" s="27">
        <f>SUMIFS(실시간콜입력!$K:$K,실시간콜입력!$B:$B,$A1001,실시간콜입력!$G:$G,$B1001,실시간콜입력!$O:$O,"방문완료")+SUMIFS(실시간콜입력!$L:$L,실시간콜입력!$B:$B,$A1001,실시간콜입력!$H:$H,$B1001,실시간콜입력!$O:$O,"방문완료")</f>
        <v>0</v>
      </c>
      <c r="M1001" s="29" t="str">
        <f t="shared" si="136"/>
        <v/>
      </c>
      <c r="N1001" s="29"/>
    </row>
    <row r="1002" spans="1:14" ht="19.5" hidden="1" customHeight="1" outlineLevel="1">
      <c r="A1002" s="30">
        <f>IF(20&lt;=DAY(DATE(YEAR(설정_코스수당!$K$2),MONTH(설정_코스수당!$K$2)+1,0)),DATE(YEAR(설정_코스수당!$K$2),MONTH(설정_코스수당!$K$2),20),"")</f>
        <v>46193</v>
      </c>
      <c r="B1002" s="29" t="s">
        <v>170</v>
      </c>
      <c r="C1002" s="29"/>
      <c r="D1002" s="29"/>
      <c r="E1002" s="29" t="str">
        <f t="shared" si="134"/>
        <v/>
      </c>
      <c r="F1002" s="29">
        <f>COUNTIFS(실시간콜입력!$B:$B,$A1002,실시간콜입력!$E:$E,"A",실시간콜입력!$G:$G,$B1002,실시간콜입력!$O:$O,"방문완료")+COUNTIFS(실시간콜입력!$B:$B,$A1002,실시간콜입력!$E:$E,"A",실시간콜입력!$H:$H,$B1002,실시간콜입력!$O:$O,"방문완료")</f>
        <v>0</v>
      </c>
      <c r="G1002" s="29">
        <f>COUNTIFS(실시간콜입력!$B:$B,$A1002,실시간콜입력!$E:$E,"B",실시간콜입력!$G:$G,$B1002,실시간콜입력!$O:$O,"방문완료")+COUNTIFS(실시간콜입력!$B:$B,$A1002,실시간콜입력!$E:$E,"B",실시간콜입력!$H:$H,$B1002,실시간콜입력!$O:$O,"방문완료")</f>
        <v>0</v>
      </c>
      <c r="H1002" s="29">
        <f>COUNTIFS(실시간콜입력!$B:$B,$A1002,실시간콜입력!$E:$E,"C",실시간콜입력!$G:$G,$B1002,실시간콜입력!$O:$O,"방문완료")+COUNTIFS(실시간콜입력!$B:$B,$A1002,실시간콜입력!$E:$E,"C",실시간콜입력!$H:$H,$B1002,실시간콜입력!$O:$O,"방문완료")</f>
        <v>0</v>
      </c>
      <c r="I1002" s="29">
        <f>COUNTIFS(실시간콜입력!$B:$B,$A1002,실시간콜입력!$E:$E,"D",실시간콜입력!$G:$G,$B1002,실시간콜입력!$O:$O,"방문완료")+COUNTIFS(실시간콜입력!$B:$B,$A1002,실시간콜입력!$E:$E,"D",실시간콜입력!$H:$H,$B1002,실시간콜입력!$O:$O,"방문완료")</f>
        <v>0</v>
      </c>
      <c r="J1002" s="29">
        <f>COUNTIFS(실시간콜입력!$B:$B,$A1002,실시간콜입력!$E:$E,"E",실시간콜입력!$G:$G,$B1002,실시간콜입력!$O:$O,"방문완료")+COUNTIFS(실시간콜입력!$B:$B,$A1002,실시간콜입력!$E:$E,"E",실시간콜입력!$H:$H,$B1002,실시간콜입력!$O:$O,"방문완료")</f>
        <v>0</v>
      </c>
      <c r="K1002" s="29">
        <f t="shared" si="135"/>
        <v>0</v>
      </c>
      <c r="L1002" s="33">
        <f>SUMIFS(실시간콜입력!$K:$K,실시간콜입력!$B:$B,$A1002,실시간콜입력!$G:$G,$B1002,실시간콜입력!$O:$O,"방문완료")+SUMIFS(실시간콜입력!$L:$L,실시간콜입력!$B:$B,$A1002,실시간콜입력!$H:$H,$B1002,실시간콜입력!$O:$O,"방문완료")</f>
        <v>0</v>
      </c>
      <c r="M1002" s="29" t="str">
        <f t="shared" si="136"/>
        <v/>
      </c>
      <c r="N1002" s="29"/>
    </row>
    <row r="1003" spans="1:14" ht="19.5" hidden="1" customHeight="1" outlineLevel="1">
      <c r="A1003" s="24">
        <f>IF(20&lt;=DAY(DATE(YEAR(설정_코스수당!$K$2),MONTH(설정_코스수당!$K$2)+1,0)),DATE(YEAR(설정_코스수당!$K$2),MONTH(설정_코스수당!$K$2),20),"")</f>
        <v>46193</v>
      </c>
      <c r="B1003" s="23" t="s">
        <v>171</v>
      </c>
      <c r="C1003" s="29"/>
      <c r="D1003" s="29"/>
      <c r="E1003" s="29" t="str">
        <f t="shared" si="134"/>
        <v/>
      </c>
      <c r="F1003" s="29">
        <f>COUNTIFS(실시간콜입력!$B:$B,$A1003,실시간콜입력!$E:$E,"A",실시간콜입력!$G:$G,$B1003,실시간콜입력!$O:$O,"방문완료")+COUNTIFS(실시간콜입력!$B:$B,$A1003,실시간콜입력!$E:$E,"A",실시간콜입력!$H:$H,$B1003,실시간콜입력!$O:$O,"방문완료")</f>
        <v>0</v>
      </c>
      <c r="G1003" s="29">
        <f>COUNTIFS(실시간콜입력!$B:$B,$A1003,실시간콜입력!$E:$E,"B",실시간콜입력!$G:$G,$B1003,실시간콜입력!$O:$O,"방문완료")+COUNTIFS(실시간콜입력!$B:$B,$A1003,실시간콜입력!$E:$E,"B",실시간콜입력!$H:$H,$B1003,실시간콜입력!$O:$O,"방문완료")</f>
        <v>0</v>
      </c>
      <c r="H1003" s="29">
        <f>COUNTIFS(실시간콜입력!$B:$B,$A1003,실시간콜입력!$E:$E,"C",실시간콜입력!$G:$G,$B1003,실시간콜입력!$O:$O,"방문완료")+COUNTIFS(실시간콜입력!$B:$B,$A1003,실시간콜입력!$E:$E,"C",실시간콜입력!$H:$H,$B1003,실시간콜입력!$O:$O,"방문완료")</f>
        <v>0</v>
      </c>
      <c r="I1003" s="29">
        <f>COUNTIFS(실시간콜입력!$B:$B,$A1003,실시간콜입력!$E:$E,"D",실시간콜입력!$G:$G,$B1003,실시간콜입력!$O:$O,"방문완료")+COUNTIFS(실시간콜입력!$B:$B,$A1003,실시간콜입력!$E:$E,"D",실시간콜입력!$H:$H,$B1003,실시간콜입력!$O:$O,"방문완료")</f>
        <v>0</v>
      </c>
      <c r="J1003" s="29">
        <f>COUNTIFS(실시간콜입력!$B:$B,$A1003,실시간콜입력!$E:$E,"E",실시간콜입력!$G:$G,$B1003,실시간콜입력!$O:$O,"방문완료")+COUNTIFS(실시간콜입력!$B:$B,$A1003,실시간콜입력!$E:$E,"E",실시간콜입력!$H:$H,$B1003,실시간콜입력!$O:$O,"방문완료")</f>
        <v>0</v>
      </c>
      <c r="K1003" s="29">
        <f t="shared" si="135"/>
        <v>0</v>
      </c>
      <c r="L1003" s="27">
        <f>SUMIFS(실시간콜입력!$K:$K,실시간콜입력!$B:$B,$A1003,실시간콜입력!$G:$G,$B1003,실시간콜입력!$O:$O,"방문완료")+SUMIFS(실시간콜입력!$L:$L,실시간콜입력!$B:$B,$A1003,실시간콜입력!$H:$H,$B1003,실시간콜입력!$O:$O,"방문완료")</f>
        <v>0</v>
      </c>
      <c r="M1003" s="29" t="str">
        <f t="shared" si="136"/>
        <v/>
      </c>
      <c r="N1003" s="29"/>
    </row>
    <row r="1004" spans="1:14" ht="19.5" hidden="1" customHeight="1" outlineLevel="1">
      <c r="A1004" s="30">
        <f>IF(20&lt;=DAY(DATE(YEAR(설정_코스수당!$K$2),MONTH(설정_코스수당!$K$2)+1,0)),DATE(YEAR(설정_코스수당!$K$2),MONTH(설정_코스수당!$K$2),20),"")</f>
        <v>46193</v>
      </c>
      <c r="B1004" s="29" t="s">
        <v>172</v>
      </c>
      <c r="C1004" s="29"/>
      <c r="D1004" s="29"/>
      <c r="E1004" s="29" t="str">
        <f t="shared" si="134"/>
        <v/>
      </c>
      <c r="F1004" s="29">
        <f>COUNTIFS(실시간콜입력!$B:$B,$A1004,실시간콜입력!$E:$E,"A",실시간콜입력!$G:$G,$B1004,실시간콜입력!$O:$O,"방문완료")+COUNTIFS(실시간콜입력!$B:$B,$A1004,실시간콜입력!$E:$E,"A",실시간콜입력!$H:$H,$B1004,실시간콜입력!$O:$O,"방문완료")</f>
        <v>0</v>
      </c>
      <c r="G1004" s="29">
        <f>COUNTIFS(실시간콜입력!$B:$B,$A1004,실시간콜입력!$E:$E,"B",실시간콜입력!$G:$G,$B1004,실시간콜입력!$O:$O,"방문완료")+COUNTIFS(실시간콜입력!$B:$B,$A1004,실시간콜입력!$E:$E,"B",실시간콜입력!$H:$H,$B1004,실시간콜입력!$O:$O,"방문완료")</f>
        <v>0</v>
      </c>
      <c r="H1004" s="29">
        <f>COUNTIFS(실시간콜입력!$B:$B,$A1004,실시간콜입력!$E:$E,"C",실시간콜입력!$G:$G,$B1004,실시간콜입력!$O:$O,"방문완료")+COUNTIFS(실시간콜입력!$B:$B,$A1004,실시간콜입력!$E:$E,"C",실시간콜입력!$H:$H,$B1004,실시간콜입력!$O:$O,"방문완료")</f>
        <v>0</v>
      </c>
      <c r="I1004" s="29">
        <f>COUNTIFS(실시간콜입력!$B:$B,$A1004,실시간콜입력!$E:$E,"D",실시간콜입력!$G:$G,$B1004,실시간콜입력!$O:$O,"방문완료")+COUNTIFS(실시간콜입력!$B:$B,$A1004,실시간콜입력!$E:$E,"D",실시간콜입력!$H:$H,$B1004,실시간콜입력!$O:$O,"방문완료")</f>
        <v>0</v>
      </c>
      <c r="J1004" s="29">
        <f>COUNTIFS(실시간콜입력!$B:$B,$A1004,실시간콜입력!$E:$E,"E",실시간콜입력!$G:$G,$B1004,실시간콜입력!$O:$O,"방문완료")+COUNTIFS(실시간콜입력!$B:$B,$A1004,실시간콜입력!$E:$E,"E",실시간콜입력!$H:$H,$B1004,실시간콜입력!$O:$O,"방문완료")</f>
        <v>0</v>
      </c>
      <c r="K1004" s="29">
        <f t="shared" si="135"/>
        <v>0</v>
      </c>
      <c r="L1004" s="33">
        <f>SUMIFS(실시간콜입력!$K:$K,실시간콜입력!$B:$B,$A1004,실시간콜입력!$G:$G,$B1004,실시간콜입력!$O:$O,"방문완료")+SUMIFS(실시간콜입력!$L:$L,실시간콜입력!$B:$B,$A1004,실시간콜입력!$H:$H,$B1004,실시간콜입력!$O:$O,"방문완료")</f>
        <v>0</v>
      </c>
      <c r="M1004" s="29" t="str">
        <f t="shared" si="136"/>
        <v/>
      </c>
      <c r="N1004" s="29"/>
    </row>
    <row r="1005" spans="1:14" ht="19.5" hidden="1" customHeight="1" outlineLevel="1">
      <c r="A1005" s="24">
        <f>IF(20&lt;=DAY(DATE(YEAR(설정_코스수당!$K$2),MONTH(설정_코스수당!$K$2)+1,0)),DATE(YEAR(설정_코스수당!$K$2),MONTH(설정_코스수당!$K$2),20),"")</f>
        <v>46193</v>
      </c>
      <c r="B1005" s="23" t="s">
        <v>173</v>
      </c>
      <c r="C1005" s="29"/>
      <c r="D1005" s="29"/>
      <c r="E1005" s="29" t="str">
        <f t="shared" si="134"/>
        <v/>
      </c>
      <c r="F1005" s="29">
        <f>COUNTIFS(실시간콜입력!$B:$B,$A1005,실시간콜입력!$E:$E,"A",실시간콜입력!$G:$G,$B1005,실시간콜입력!$O:$O,"방문완료")+COUNTIFS(실시간콜입력!$B:$B,$A1005,실시간콜입력!$E:$E,"A",실시간콜입력!$H:$H,$B1005,실시간콜입력!$O:$O,"방문완료")</f>
        <v>0</v>
      </c>
      <c r="G1005" s="29">
        <f>COUNTIFS(실시간콜입력!$B:$B,$A1005,실시간콜입력!$E:$E,"B",실시간콜입력!$G:$G,$B1005,실시간콜입력!$O:$O,"방문완료")+COUNTIFS(실시간콜입력!$B:$B,$A1005,실시간콜입력!$E:$E,"B",실시간콜입력!$H:$H,$B1005,실시간콜입력!$O:$O,"방문완료")</f>
        <v>0</v>
      </c>
      <c r="H1005" s="29">
        <f>COUNTIFS(실시간콜입력!$B:$B,$A1005,실시간콜입력!$E:$E,"C",실시간콜입력!$G:$G,$B1005,실시간콜입력!$O:$O,"방문완료")+COUNTIFS(실시간콜입력!$B:$B,$A1005,실시간콜입력!$E:$E,"C",실시간콜입력!$H:$H,$B1005,실시간콜입력!$O:$O,"방문완료")</f>
        <v>0</v>
      </c>
      <c r="I1005" s="29">
        <f>COUNTIFS(실시간콜입력!$B:$B,$A1005,실시간콜입력!$E:$E,"D",실시간콜입력!$G:$G,$B1005,실시간콜입력!$O:$O,"방문완료")+COUNTIFS(실시간콜입력!$B:$B,$A1005,실시간콜입력!$E:$E,"D",실시간콜입력!$H:$H,$B1005,실시간콜입력!$O:$O,"방문완료")</f>
        <v>0</v>
      </c>
      <c r="J1005" s="29">
        <f>COUNTIFS(실시간콜입력!$B:$B,$A1005,실시간콜입력!$E:$E,"E",실시간콜입력!$G:$G,$B1005,실시간콜입력!$O:$O,"방문완료")+COUNTIFS(실시간콜입력!$B:$B,$A1005,실시간콜입력!$E:$E,"E",실시간콜입력!$H:$H,$B1005,실시간콜입력!$O:$O,"방문완료")</f>
        <v>0</v>
      </c>
      <c r="K1005" s="29">
        <f t="shared" si="135"/>
        <v>0</v>
      </c>
      <c r="L1005" s="27">
        <f>SUMIFS(실시간콜입력!$K:$K,실시간콜입력!$B:$B,$A1005,실시간콜입력!$G:$G,$B1005,실시간콜입력!$O:$O,"방문완료")+SUMIFS(실시간콜입력!$L:$L,실시간콜입력!$B:$B,$A1005,실시간콜입력!$H:$H,$B1005,실시간콜입력!$O:$O,"방문완료")</f>
        <v>0</v>
      </c>
      <c r="M1005" s="29" t="str">
        <f t="shared" si="136"/>
        <v/>
      </c>
      <c r="N1005" s="29"/>
    </row>
    <row r="1006" spans="1:14" ht="19.5" hidden="1" customHeight="1" outlineLevel="1">
      <c r="A1006" s="30">
        <f>IF(20&lt;=DAY(DATE(YEAR(설정_코스수당!$K$2),MONTH(설정_코스수당!$K$2)+1,0)),DATE(YEAR(설정_코스수당!$K$2),MONTH(설정_코스수당!$K$2),20),"")</f>
        <v>46193</v>
      </c>
      <c r="B1006" s="29" t="s">
        <v>174</v>
      </c>
      <c r="C1006" s="29"/>
      <c r="D1006" s="29"/>
      <c r="E1006" s="29" t="str">
        <f t="shared" si="134"/>
        <v/>
      </c>
      <c r="F1006" s="29">
        <f>COUNTIFS(실시간콜입력!$B:$B,$A1006,실시간콜입력!$E:$E,"A",실시간콜입력!$G:$G,$B1006,실시간콜입력!$O:$O,"방문완료")+COUNTIFS(실시간콜입력!$B:$B,$A1006,실시간콜입력!$E:$E,"A",실시간콜입력!$H:$H,$B1006,실시간콜입력!$O:$O,"방문완료")</f>
        <v>0</v>
      </c>
      <c r="G1006" s="29">
        <f>COUNTIFS(실시간콜입력!$B:$B,$A1006,실시간콜입력!$E:$E,"B",실시간콜입력!$G:$G,$B1006,실시간콜입력!$O:$O,"방문완료")+COUNTIFS(실시간콜입력!$B:$B,$A1006,실시간콜입력!$E:$E,"B",실시간콜입력!$H:$H,$B1006,실시간콜입력!$O:$O,"방문완료")</f>
        <v>0</v>
      </c>
      <c r="H1006" s="29">
        <f>COUNTIFS(실시간콜입력!$B:$B,$A1006,실시간콜입력!$E:$E,"C",실시간콜입력!$G:$G,$B1006,실시간콜입력!$O:$O,"방문완료")+COUNTIFS(실시간콜입력!$B:$B,$A1006,실시간콜입력!$E:$E,"C",실시간콜입력!$H:$H,$B1006,실시간콜입력!$O:$O,"방문완료")</f>
        <v>0</v>
      </c>
      <c r="I1006" s="29">
        <f>COUNTIFS(실시간콜입력!$B:$B,$A1006,실시간콜입력!$E:$E,"D",실시간콜입력!$G:$G,$B1006,실시간콜입력!$O:$O,"방문완료")+COUNTIFS(실시간콜입력!$B:$B,$A1006,실시간콜입력!$E:$E,"D",실시간콜입력!$H:$H,$B1006,실시간콜입력!$O:$O,"방문완료")</f>
        <v>0</v>
      </c>
      <c r="J1006" s="29">
        <f>COUNTIFS(실시간콜입력!$B:$B,$A1006,실시간콜입력!$E:$E,"E",실시간콜입력!$G:$G,$B1006,실시간콜입력!$O:$O,"방문완료")+COUNTIFS(실시간콜입력!$B:$B,$A1006,실시간콜입력!$E:$E,"E",실시간콜입력!$H:$H,$B1006,실시간콜입력!$O:$O,"방문완료")</f>
        <v>0</v>
      </c>
      <c r="K1006" s="29">
        <f t="shared" si="135"/>
        <v>0</v>
      </c>
      <c r="L1006" s="33">
        <f>SUMIFS(실시간콜입력!$K:$K,실시간콜입력!$B:$B,$A1006,실시간콜입력!$G:$G,$B1006,실시간콜입력!$O:$O,"방문완료")+SUMIFS(실시간콜입력!$L:$L,실시간콜입력!$B:$B,$A1006,실시간콜입력!$H:$H,$B1006,실시간콜입력!$O:$O,"방문완료")</f>
        <v>0</v>
      </c>
      <c r="M1006" s="29" t="str">
        <f t="shared" si="136"/>
        <v/>
      </c>
      <c r="N1006" s="29"/>
    </row>
    <row r="1007" spans="1:14" ht="19.5" hidden="1" customHeight="1" outlineLevel="1">
      <c r="A1007" s="24">
        <f>IF(20&lt;=DAY(DATE(YEAR(설정_코스수당!$K$2),MONTH(설정_코스수당!$K$2)+1,0)),DATE(YEAR(설정_코스수당!$K$2),MONTH(설정_코스수당!$K$2),20),"")</f>
        <v>46193</v>
      </c>
      <c r="B1007" s="23" t="s">
        <v>175</v>
      </c>
      <c r="C1007" s="29"/>
      <c r="D1007" s="29"/>
      <c r="E1007" s="29" t="str">
        <f t="shared" si="134"/>
        <v/>
      </c>
      <c r="F1007" s="29">
        <f>COUNTIFS(실시간콜입력!$B:$B,$A1007,실시간콜입력!$E:$E,"A",실시간콜입력!$G:$G,$B1007,실시간콜입력!$O:$O,"방문완료")+COUNTIFS(실시간콜입력!$B:$B,$A1007,실시간콜입력!$E:$E,"A",실시간콜입력!$H:$H,$B1007,실시간콜입력!$O:$O,"방문완료")</f>
        <v>0</v>
      </c>
      <c r="G1007" s="29">
        <f>COUNTIFS(실시간콜입력!$B:$B,$A1007,실시간콜입력!$E:$E,"B",실시간콜입력!$G:$G,$B1007,실시간콜입력!$O:$O,"방문완료")+COUNTIFS(실시간콜입력!$B:$B,$A1007,실시간콜입력!$E:$E,"B",실시간콜입력!$H:$H,$B1007,실시간콜입력!$O:$O,"방문완료")</f>
        <v>0</v>
      </c>
      <c r="H1007" s="29">
        <f>COUNTIFS(실시간콜입력!$B:$B,$A1007,실시간콜입력!$E:$E,"C",실시간콜입력!$G:$G,$B1007,실시간콜입력!$O:$O,"방문완료")+COUNTIFS(실시간콜입력!$B:$B,$A1007,실시간콜입력!$E:$E,"C",실시간콜입력!$H:$H,$B1007,실시간콜입력!$O:$O,"방문완료")</f>
        <v>0</v>
      </c>
      <c r="I1007" s="29">
        <f>COUNTIFS(실시간콜입력!$B:$B,$A1007,실시간콜입력!$E:$E,"D",실시간콜입력!$G:$G,$B1007,실시간콜입력!$O:$O,"방문완료")+COUNTIFS(실시간콜입력!$B:$B,$A1007,실시간콜입력!$E:$E,"D",실시간콜입력!$H:$H,$B1007,실시간콜입력!$O:$O,"방문완료")</f>
        <v>0</v>
      </c>
      <c r="J1007" s="29">
        <f>COUNTIFS(실시간콜입력!$B:$B,$A1007,실시간콜입력!$E:$E,"E",실시간콜입력!$G:$G,$B1007,실시간콜입력!$O:$O,"방문완료")+COUNTIFS(실시간콜입력!$B:$B,$A1007,실시간콜입력!$E:$E,"E",실시간콜입력!$H:$H,$B1007,실시간콜입력!$O:$O,"방문완료")</f>
        <v>0</v>
      </c>
      <c r="K1007" s="29">
        <f t="shared" si="135"/>
        <v>0</v>
      </c>
      <c r="L1007" s="27">
        <f>SUMIFS(실시간콜입력!$K:$K,실시간콜입력!$B:$B,$A1007,실시간콜입력!$G:$G,$B1007,실시간콜입력!$O:$O,"방문완료")+SUMIFS(실시간콜입력!$L:$L,실시간콜입력!$B:$B,$A1007,실시간콜입력!$H:$H,$B1007,실시간콜입력!$O:$O,"방문완료")</f>
        <v>0</v>
      </c>
      <c r="M1007" s="29" t="str">
        <f t="shared" si="136"/>
        <v/>
      </c>
      <c r="N1007" s="29"/>
    </row>
    <row r="1008" spans="1:14" ht="19.5" hidden="1" customHeight="1" outlineLevel="1">
      <c r="A1008" s="30">
        <f>IF(20&lt;=DAY(DATE(YEAR(설정_코스수당!$K$2),MONTH(설정_코스수당!$K$2)+1,0)),DATE(YEAR(설정_코스수당!$K$2),MONTH(설정_코스수당!$K$2),20),"")</f>
        <v>46193</v>
      </c>
      <c r="B1008" s="29" t="s">
        <v>176</v>
      </c>
      <c r="C1008" s="29"/>
      <c r="D1008" s="29"/>
      <c r="E1008" s="29" t="str">
        <f t="shared" si="134"/>
        <v/>
      </c>
      <c r="F1008" s="29">
        <f>COUNTIFS(실시간콜입력!$B:$B,$A1008,실시간콜입력!$E:$E,"A",실시간콜입력!$G:$G,$B1008,실시간콜입력!$O:$O,"방문완료")+COUNTIFS(실시간콜입력!$B:$B,$A1008,실시간콜입력!$E:$E,"A",실시간콜입력!$H:$H,$B1008,실시간콜입력!$O:$O,"방문완료")</f>
        <v>0</v>
      </c>
      <c r="G1008" s="29">
        <f>COUNTIFS(실시간콜입력!$B:$B,$A1008,실시간콜입력!$E:$E,"B",실시간콜입력!$G:$G,$B1008,실시간콜입력!$O:$O,"방문완료")+COUNTIFS(실시간콜입력!$B:$B,$A1008,실시간콜입력!$E:$E,"B",실시간콜입력!$H:$H,$B1008,실시간콜입력!$O:$O,"방문완료")</f>
        <v>0</v>
      </c>
      <c r="H1008" s="29">
        <f>COUNTIFS(실시간콜입력!$B:$B,$A1008,실시간콜입력!$E:$E,"C",실시간콜입력!$G:$G,$B1008,실시간콜입력!$O:$O,"방문완료")+COUNTIFS(실시간콜입력!$B:$B,$A1008,실시간콜입력!$E:$E,"C",실시간콜입력!$H:$H,$B1008,실시간콜입력!$O:$O,"방문완료")</f>
        <v>0</v>
      </c>
      <c r="I1008" s="29">
        <f>COUNTIFS(실시간콜입력!$B:$B,$A1008,실시간콜입력!$E:$E,"D",실시간콜입력!$G:$G,$B1008,실시간콜입력!$O:$O,"방문완료")+COUNTIFS(실시간콜입력!$B:$B,$A1008,실시간콜입력!$E:$E,"D",실시간콜입력!$H:$H,$B1008,실시간콜입력!$O:$O,"방문완료")</f>
        <v>0</v>
      </c>
      <c r="J1008" s="29">
        <f>COUNTIFS(실시간콜입력!$B:$B,$A1008,실시간콜입력!$E:$E,"E",실시간콜입력!$G:$G,$B1008,실시간콜입력!$O:$O,"방문완료")+COUNTIFS(실시간콜입력!$B:$B,$A1008,실시간콜입력!$E:$E,"E",실시간콜입력!$H:$H,$B1008,실시간콜입력!$O:$O,"방문완료")</f>
        <v>0</v>
      </c>
      <c r="K1008" s="29">
        <f t="shared" si="135"/>
        <v>0</v>
      </c>
      <c r="L1008" s="33">
        <f>SUMIFS(실시간콜입력!$K:$K,실시간콜입력!$B:$B,$A1008,실시간콜입력!$G:$G,$B1008,실시간콜입력!$O:$O,"방문완료")+SUMIFS(실시간콜입력!$L:$L,실시간콜입력!$B:$B,$A1008,실시간콜입력!$H:$H,$B1008,실시간콜입력!$O:$O,"방문완료")</f>
        <v>0</v>
      </c>
      <c r="M1008" s="29" t="str">
        <f t="shared" si="136"/>
        <v/>
      </c>
      <c r="N1008" s="29"/>
    </row>
    <row r="1009" spans="1:14" ht="19.5" hidden="1" customHeight="1" outlineLevel="1">
      <c r="A1009" s="24">
        <f>IF(20&lt;=DAY(DATE(YEAR(설정_코스수당!$K$2),MONTH(설정_코스수당!$K$2)+1,0)),DATE(YEAR(설정_코스수당!$K$2),MONTH(설정_코스수당!$K$2),20),"")</f>
        <v>46193</v>
      </c>
      <c r="B1009" s="23" t="s">
        <v>177</v>
      </c>
      <c r="C1009" s="29"/>
      <c r="D1009" s="29"/>
      <c r="E1009" s="29" t="str">
        <f t="shared" si="134"/>
        <v/>
      </c>
      <c r="F1009" s="29">
        <f>COUNTIFS(실시간콜입력!$B:$B,$A1009,실시간콜입력!$E:$E,"A",실시간콜입력!$G:$G,$B1009,실시간콜입력!$O:$O,"방문완료")+COUNTIFS(실시간콜입력!$B:$B,$A1009,실시간콜입력!$E:$E,"A",실시간콜입력!$H:$H,$B1009,실시간콜입력!$O:$O,"방문완료")</f>
        <v>0</v>
      </c>
      <c r="G1009" s="29">
        <f>COUNTIFS(실시간콜입력!$B:$B,$A1009,실시간콜입력!$E:$E,"B",실시간콜입력!$G:$G,$B1009,실시간콜입력!$O:$O,"방문완료")+COUNTIFS(실시간콜입력!$B:$B,$A1009,실시간콜입력!$E:$E,"B",실시간콜입력!$H:$H,$B1009,실시간콜입력!$O:$O,"방문완료")</f>
        <v>0</v>
      </c>
      <c r="H1009" s="29">
        <f>COUNTIFS(실시간콜입력!$B:$B,$A1009,실시간콜입력!$E:$E,"C",실시간콜입력!$G:$G,$B1009,실시간콜입력!$O:$O,"방문완료")+COUNTIFS(실시간콜입력!$B:$B,$A1009,실시간콜입력!$E:$E,"C",실시간콜입력!$H:$H,$B1009,실시간콜입력!$O:$O,"방문완료")</f>
        <v>0</v>
      </c>
      <c r="I1009" s="29">
        <f>COUNTIFS(실시간콜입력!$B:$B,$A1009,실시간콜입력!$E:$E,"D",실시간콜입력!$G:$G,$B1009,실시간콜입력!$O:$O,"방문완료")+COUNTIFS(실시간콜입력!$B:$B,$A1009,실시간콜입력!$E:$E,"D",실시간콜입력!$H:$H,$B1009,실시간콜입력!$O:$O,"방문완료")</f>
        <v>0</v>
      </c>
      <c r="J1009" s="29">
        <f>COUNTIFS(실시간콜입력!$B:$B,$A1009,실시간콜입력!$E:$E,"E",실시간콜입력!$G:$G,$B1009,실시간콜입력!$O:$O,"방문완료")+COUNTIFS(실시간콜입력!$B:$B,$A1009,실시간콜입력!$E:$E,"E",실시간콜입력!$H:$H,$B1009,실시간콜입력!$O:$O,"방문완료")</f>
        <v>0</v>
      </c>
      <c r="K1009" s="29">
        <f t="shared" si="135"/>
        <v>0</v>
      </c>
      <c r="L1009" s="27">
        <f>SUMIFS(실시간콜입력!$K:$K,실시간콜입력!$B:$B,$A1009,실시간콜입력!$G:$G,$B1009,실시간콜입력!$O:$O,"방문완료")+SUMIFS(실시간콜입력!$L:$L,실시간콜입력!$B:$B,$A1009,실시간콜입력!$H:$H,$B1009,실시간콜입력!$O:$O,"방문완료")</f>
        <v>0</v>
      </c>
      <c r="M1009" s="29" t="str">
        <f t="shared" si="136"/>
        <v/>
      </c>
      <c r="N1009" s="29"/>
    </row>
    <row r="1010" spans="1:14" ht="19.5" hidden="1" customHeight="1" outlineLevel="1">
      <c r="A1010" s="30">
        <f>IF(20&lt;=DAY(DATE(YEAR(설정_코스수당!$K$2),MONTH(설정_코스수당!$K$2)+1,0)),DATE(YEAR(설정_코스수당!$K$2),MONTH(설정_코스수당!$K$2),20),"")</f>
        <v>46193</v>
      </c>
      <c r="B1010" s="29" t="s">
        <v>178</v>
      </c>
      <c r="C1010" s="29"/>
      <c r="D1010" s="29"/>
      <c r="E1010" s="29" t="str">
        <f t="shared" si="134"/>
        <v/>
      </c>
      <c r="F1010" s="29">
        <f>COUNTIFS(실시간콜입력!$B:$B,$A1010,실시간콜입력!$E:$E,"A",실시간콜입력!$G:$G,$B1010,실시간콜입력!$O:$O,"방문완료")+COUNTIFS(실시간콜입력!$B:$B,$A1010,실시간콜입력!$E:$E,"A",실시간콜입력!$H:$H,$B1010,실시간콜입력!$O:$O,"방문완료")</f>
        <v>0</v>
      </c>
      <c r="G1010" s="29">
        <f>COUNTIFS(실시간콜입력!$B:$B,$A1010,실시간콜입력!$E:$E,"B",실시간콜입력!$G:$G,$B1010,실시간콜입력!$O:$O,"방문완료")+COUNTIFS(실시간콜입력!$B:$B,$A1010,실시간콜입력!$E:$E,"B",실시간콜입력!$H:$H,$B1010,실시간콜입력!$O:$O,"방문완료")</f>
        <v>0</v>
      </c>
      <c r="H1010" s="29">
        <f>COUNTIFS(실시간콜입력!$B:$B,$A1010,실시간콜입력!$E:$E,"C",실시간콜입력!$G:$G,$B1010,실시간콜입력!$O:$O,"방문완료")+COUNTIFS(실시간콜입력!$B:$B,$A1010,실시간콜입력!$E:$E,"C",실시간콜입력!$H:$H,$B1010,실시간콜입력!$O:$O,"방문완료")</f>
        <v>0</v>
      </c>
      <c r="I1010" s="29">
        <f>COUNTIFS(실시간콜입력!$B:$B,$A1010,실시간콜입력!$E:$E,"D",실시간콜입력!$G:$G,$B1010,실시간콜입력!$O:$O,"방문완료")+COUNTIFS(실시간콜입력!$B:$B,$A1010,실시간콜입력!$E:$E,"D",실시간콜입력!$H:$H,$B1010,실시간콜입력!$O:$O,"방문완료")</f>
        <v>0</v>
      </c>
      <c r="J1010" s="29">
        <f>COUNTIFS(실시간콜입력!$B:$B,$A1010,실시간콜입력!$E:$E,"E",실시간콜입력!$G:$G,$B1010,실시간콜입력!$O:$O,"방문완료")+COUNTIFS(실시간콜입력!$B:$B,$A1010,실시간콜입력!$E:$E,"E",실시간콜입력!$H:$H,$B1010,실시간콜입력!$O:$O,"방문완료")</f>
        <v>0</v>
      </c>
      <c r="K1010" s="29">
        <f t="shared" si="135"/>
        <v>0</v>
      </c>
      <c r="L1010" s="33">
        <f>SUMIFS(실시간콜입력!$K:$K,실시간콜입력!$B:$B,$A1010,실시간콜입력!$G:$G,$B1010,실시간콜입력!$O:$O,"방문완료")+SUMIFS(실시간콜입력!$L:$L,실시간콜입력!$B:$B,$A1010,실시간콜입력!$H:$H,$B1010,실시간콜입력!$O:$O,"방문완료")</f>
        <v>0</v>
      </c>
      <c r="M1010" s="29" t="str">
        <f t="shared" si="136"/>
        <v/>
      </c>
      <c r="N1010" s="29"/>
    </row>
    <row r="1011" spans="1:14" ht="19.5" hidden="1" customHeight="1" outlineLevel="1">
      <c r="A1011" s="24">
        <f>IF(20&lt;=DAY(DATE(YEAR(설정_코스수당!$K$2),MONTH(설정_코스수당!$K$2)+1,0)),DATE(YEAR(설정_코스수당!$K$2),MONTH(설정_코스수당!$K$2),20),"")</f>
        <v>46193</v>
      </c>
      <c r="B1011" s="23" t="s">
        <v>179</v>
      </c>
      <c r="C1011" s="29"/>
      <c r="D1011" s="29"/>
      <c r="E1011" s="29" t="str">
        <f t="shared" si="134"/>
        <v/>
      </c>
      <c r="F1011" s="29">
        <f>COUNTIFS(실시간콜입력!$B:$B,$A1011,실시간콜입력!$E:$E,"A",실시간콜입력!$G:$G,$B1011,실시간콜입력!$O:$O,"방문완료")+COUNTIFS(실시간콜입력!$B:$B,$A1011,실시간콜입력!$E:$E,"A",실시간콜입력!$H:$H,$B1011,실시간콜입력!$O:$O,"방문완료")</f>
        <v>0</v>
      </c>
      <c r="G1011" s="29">
        <f>COUNTIFS(실시간콜입력!$B:$B,$A1011,실시간콜입력!$E:$E,"B",실시간콜입력!$G:$G,$B1011,실시간콜입력!$O:$O,"방문완료")+COUNTIFS(실시간콜입력!$B:$B,$A1011,실시간콜입력!$E:$E,"B",실시간콜입력!$H:$H,$B1011,실시간콜입력!$O:$O,"방문완료")</f>
        <v>0</v>
      </c>
      <c r="H1011" s="29">
        <f>COUNTIFS(실시간콜입력!$B:$B,$A1011,실시간콜입력!$E:$E,"C",실시간콜입력!$G:$G,$B1011,실시간콜입력!$O:$O,"방문완료")+COUNTIFS(실시간콜입력!$B:$B,$A1011,실시간콜입력!$E:$E,"C",실시간콜입력!$H:$H,$B1011,실시간콜입력!$O:$O,"방문완료")</f>
        <v>0</v>
      </c>
      <c r="I1011" s="29">
        <f>COUNTIFS(실시간콜입력!$B:$B,$A1011,실시간콜입력!$E:$E,"D",실시간콜입력!$G:$G,$B1011,실시간콜입력!$O:$O,"방문완료")+COUNTIFS(실시간콜입력!$B:$B,$A1011,실시간콜입력!$E:$E,"D",실시간콜입력!$H:$H,$B1011,실시간콜입력!$O:$O,"방문완료")</f>
        <v>0</v>
      </c>
      <c r="J1011" s="29">
        <f>COUNTIFS(실시간콜입력!$B:$B,$A1011,실시간콜입력!$E:$E,"E",실시간콜입력!$G:$G,$B1011,실시간콜입력!$O:$O,"방문완료")+COUNTIFS(실시간콜입력!$B:$B,$A1011,실시간콜입력!$E:$E,"E",실시간콜입력!$H:$H,$B1011,실시간콜입력!$O:$O,"방문완료")</f>
        <v>0</v>
      </c>
      <c r="K1011" s="29">
        <f t="shared" si="135"/>
        <v>0</v>
      </c>
      <c r="L1011" s="27">
        <f>SUMIFS(실시간콜입력!$K:$K,실시간콜입력!$B:$B,$A1011,실시간콜입력!$G:$G,$B1011,실시간콜입력!$O:$O,"방문완료")+SUMIFS(실시간콜입력!$L:$L,실시간콜입력!$B:$B,$A1011,실시간콜입력!$H:$H,$B1011,실시간콜입력!$O:$O,"방문완료")</f>
        <v>0</v>
      </c>
      <c r="M1011" s="29" t="str">
        <f t="shared" si="136"/>
        <v/>
      </c>
      <c r="N1011" s="29"/>
    </row>
    <row r="1012" spans="1:14" ht="19.5" hidden="1" customHeight="1" outlineLevel="1">
      <c r="A1012" s="30">
        <f>IF(20&lt;=DAY(DATE(YEAR(설정_코스수당!$K$2),MONTH(설정_코스수당!$K$2)+1,0)),DATE(YEAR(설정_코스수당!$K$2),MONTH(설정_코스수당!$K$2),20),"")</f>
        <v>46193</v>
      </c>
      <c r="B1012" s="29" t="s">
        <v>180</v>
      </c>
      <c r="C1012" s="29"/>
      <c r="D1012" s="29"/>
      <c r="E1012" s="29" t="str">
        <f t="shared" si="134"/>
        <v/>
      </c>
      <c r="F1012" s="29">
        <f>COUNTIFS(실시간콜입력!$B:$B,$A1012,실시간콜입력!$E:$E,"A",실시간콜입력!$G:$G,$B1012,실시간콜입력!$O:$O,"방문완료")+COUNTIFS(실시간콜입력!$B:$B,$A1012,실시간콜입력!$E:$E,"A",실시간콜입력!$H:$H,$B1012,실시간콜입력!$O:$O,"방문완료")</f>
        <v>0</v>
      </c>
      <c r="G1012" s="29">
        <f>COUNTIFS(실시간콜입력!$B:$B,$A1012,실시간콜입력!$E:$E,"B",실시간콜입력!$G:$G,$B1012,실시간콜입력!$O:$O,"방문완료")+COUNTIFS(실시간콜입력!$B:$B,$A1012,실시간콜입력!$E:$E,"B",실시간콜입력!$H:$H,$B1012,실시간콜입력!$O:$O,"방문완료")</f>
        <v>0</v>
      </c>
      <c r="H1012" s="29">
        <f>COUNTIFS(실시간콜입력!$B:$B,$A1012,실시간콜입력!$E:$E,"C",실시간콜입력!$G:$G,$B1012,실시간콜입력!$O:$O,"방문완료")+COUNTIFS(실시간콜입력!$B:$B,$A1012,실시간콜입력!$E:$E,"C",실시간콜입력!$H:$H,$B1012,실시간콜입력!$O:$O,"방문완료")</f>
        <v>0</v>
      </c>
      <c r="I1012" s="29">
        <f>COUNTIFS(실시간콜입력!$B:$B,$A1012,실시간콜입력!$E:$E,"D",실시간콜입력!$G:$G,$B1012,실시간콜입력!$O:$O,"방문완료")+COUNTIFS(실시간콜입력!$B:$B,$A1012,실시간콜입력!$E:$E,"D",실시간콜입력!$H:$H,$B1012,실시간콜입력!$O:$O,"방문완료")</f>
        <v>0</v>
      </c>
      <c r="J1012" s="29">
        <f>COUNTIFS(실시간콜입력!$B:$B,$A1012,실시간콜입력!$E:$E,"E",실시간콜입력!$G:$G,$B1012,실시간콜입력!$O:$O,"방문완료")+COUNTIFS(실시간콜입력!$B:$B,$A1012,실시간콜입력!$E:$E,"E",실시간콜입력!$H:$H,$B1012,실시간콜입력!$O:$O,"방문완료")</f>
        <v>0</v>
      </c>
      <c r="K1012" s="29">
        <f t="shared" si="135"/>
        <v>0</v>
      </c>
      <c r="L1012" s="33">
        <f>SUMIFS(실시간콜입력!$K:$K,실시간콜입력!$B:$B,$A1012,실시간콜입력!$G:$G,$B1012,실시간콜입력!$O:$O,"방문완료")+SUMIFS(실시간콜입력!$L:$L,실시간콜입력!$B:$B,$A1012,실시간콜입력!$H:$H,$B1012,실시간콜입력!$O:$O,"방문완료")</f>
        <v>0</v>
      </c>
      <c r="M1012" s="29" t="str">
        <f t="shared" si="136"/>
        <v/>
      </c>
      <c r="N1012" s="29"/>
    </row>
    <row r="1013" spans="1:14" ht="19.5" hidden="1" customHeight="1" outlineLevel="1">
      <c r="A1013" s="24">
        <f>IF(20&lt;=DAY(DATE(YEAR(설정_코스수당!$K$2),MONTH(설정_코스수당!$K$2)+1,0)),DATE(YEAR(설정_코스수당!$K$2),MONTH(설정_코스수당!$K$2),20),"")</f>
        <v>46193</v>
      </c>
      <c r="B1013" s="23" t="s">
        <v>181</v>
      </c>
      <c r="C1013" s="29"/>
      <c r="D1013" s="29"/>
      <c r="E1013" s="29" t="str">
        <f t="shared" si="134"/>
        <v/>
      </c>
      <c r="F1013" s="29">
        <f>COUNTIFS(실시간콜입력!$B:$B,$A1013,실시간콜입력!$E:$E,"A",실시간콜입력!$G:$G,$B1013,실시간콜입력!$O:$O,"방문완료")+COUNTIFS(실시간콜입력!$B:$B,$A1013,실시간콜입력!$E:$E,"A",실시간콜입력!$H:$H,$B1013,실시간콜입력!$O:$O,"방문완료")</f>
        <v>0</v>
      </c>
      <c r="G1013" s="29">
        <f>COUNTIFS(실시간콜입력!$B:$B,$A1013,실시간콜입력!$E:$E,"B",실시간콜입력!$G:$G,$B1013,실시간콜입력!$O:$O,"방문완료")+COUNTIFS(실시간콜입력!$B:$B,$A1013,실시간콜입력!$E:$E,"B",실시간콜입력!$H:$H,$B1013,실시간콜입력!$O:$O,"방문완료")</f>
        <v>0</v>
      </c>
      <c r="H1013" s="29">
        <f>COUNTIFS(실시간콜입력!$B:$B,$A1013,실시간콜입력!$E:$E,"C",실시간콜입력!$G:$G,$B1013,실시간콜입력!$O:$O,"방문완료")+COUNTIFS(실시간콜입력!$B:$B,$A1013,실시간콜입력!$E:$E,"C",실시간콜입력!$H:$H,$B1013,실시간콜입력!$O:$O,"방문완료")</f>
        <v>0</v>
      </c>
      <c r="I1013" s="29">
        <f>COUNTIFS(실시간콜입력!$B:$B,$A1013,실시간콜입력!$E:$E,"D",실시간콜입력!$G:$G,$B1013,실시간콜입력!$O:$O,"방문완료")+COUNTIFS(실시간콜입력!$B:$B,$A1013,실시간콜입력!$E:$E,"D",실시간콜입력!$H:$H,$B1013,실시간콜입력!$O:$O,"방문완료")</f>
        <v>0</v>
      </c>
      <c r="J1013" s="29">
        <f>COUNTIFS(실시간콜입력!$B:$B,$A1013,실시간콜입력!$E:$E,"E",실시간콜입력!$G:$G,$B1013,실시간콜입력!$O:$O,"방문완료")+COUNTIFS(실시간콜입력!$B:$B,$A1013,실시간콜입력!$E:$E,"E",실시간콜입력!$H:$H,$B1013,실시간콜입력!$O:$O,"방문완료")</f>
        <v>0</v>
      </c>
      <c r="K1013" s="29">
        <f t="shared" si="135"/>
        <v>0</v>
      </c>
      <c r="L1013" s="27">
        <f>SUMIFS(실시간콜입력!$K:$K,실시간콜입력!$B:$B,$A1013,실시간콜입력!$G:$G,$B1013,실시간콜입력!$O:$O,"방문완료")+SUMIFS(실시간콜입력!$L:$L,실시간콜입력!$B:$B,$A1013,실시간콜입력!$H:$H,$B1013,실시간콜입력!$O:$O,"방문완료")</f>
        <v>0</v>
      </c>
      <c r="M1013" s="29" t="str">
        <f t="shared" si="136"/>
        <v/>
      </c>
      <c r="N1013" s="29"/>
    </row>
    <row r="1014" spans="1:14" ht="19.5" hidden="1" customHeight="1" outlineLevel="1">
      <c r="A1014" s="30">
        <f>IF(20&lt;=DAY(DATE(YEAR(설정_코스수당!$K$2),MONTH(설정_코스수당!$K$2)+1,0)),DATE(YEAR(설정_코스수당!$K$2),MONTH(설정_코스수당!$K$2),20),"")</f>
        <v>46193</v>
      </c>
      <c r="B1014" s="29" t="s">
        <v>182</v>
      </c>
      <c r="C1014" s="29"/>
      <c r="D1014" s="29"/>
      <c r="E1014" s="29" t="str">
        <f t="shared" si="134"/>
        <v/>
      </c>
      <c r="F1014" s="29">
        <f>COUNTIFS(실시간콜입력!$B:$B,$A1014,실시간콜입력!$E:$E,"A",실시간콜입력!$G:$G,$B1014,실시간콜입력!$O:$O,"방문완료")+COUNTIFS(실시간콜입력!$B:$B,$A1014,실시간콜입력!$E:$E,"A",실시간콜입력!$H:$H,$B1014,실시간콜입력!$O:$O,"방문완료")</f>
        <v>0</v>
      </c>
      <c r="G1014" s="29">
        <f>COUNTIFS(실시간콜입력!$B:$B,$A1014,실시간콜입력!$E:$E,"B",실시간콜입력!$G:$G,$B1014,실시간콜입력!$O:$O,"방문완료")+COUNTIFS(실시간콜입력!$B:$B,$A1014,실시간콜입력!$E:$E,"B",실시간콜입력!$H:$H,$B1014,실시간콜입력!$O:$O,"방문완료")</f>
        <v>0</v>
      </c>
      <c r="H1014" s="29">
        <f>COUNTIFS(실시간콜입력!$B:$B,$A1014,실시간콜입력!$E:$E,"C",실시간콜입력!$G:$G,$B1014,실시간콜입력!$O:$O,"방문완료")+COUNTIFS(실시간콜입력!$B:$B,$A1014,실시간콜입력!$E:$E,"C",실시간콜입력!$H:$H,$B1014,실시간콜입력!$O:$O,"방문완료")</f>
        <v>0</v>
      </c>
      <c r="I1014" s="29">
        <f>COUNTIFS(실시간콜입력!$B:$B,$A1014,실시간콜입력!$E:$E,"D",실시간콜입력!$G:$G,$B1014,실시간콜입력!$O:$O,"방문완료")+COUNTIFS(실시간콜입력!$B:$B,$A1014,실시간콜입력!$E:$E,"D",실시간콜입력!$H:$H,$B1014,실시간콜입력!$O:$O,"방문완료")</f>
        <v>0</v>
      </c>
      <c r="J1014" s="29">
        <f>COUNTIFS(실시간콜입력!$B:$B,$A1014,실시간콜입력!$E:$E,"E",실시간콜입력!$G:$G,$B1014,실시간콜입력!$O:$O,"방문완료")+COUNTIFS(실시간콜입력!$B:$B,$A1014,실시간콜입력!$E:$E,"E",실시간콜입력!$H:$H,$B1014,실시간콜입력!$O:$O,"방문완료")</f>
        <v>0</v>
      </c>
      <c r="K1014" s="29">
        <f t="shared" si="135"/>
        <v>0</v>
      </c>
      <c r="L1014" s="33">
        <f>SUMIFS(실시간콜입력!$K:$K,실시간콜입력!$B:$B,$A1014,실시간콜입력!$G:$G,$B1014,실시간콜입력!$O:$O,"방문완료")+SUMIFS(실시간콜입력!$L:$L,실시간콜입력!$B:$B,$A1014,실시간콜입력!$H:$H,$B1014,실시간콜입력!$O:$O,"방문완료")</f>
        <v>0</v>
      </c>
      <c r="M1014" s="29" t="str">
        <f t="shared" si="136"/>
        <v/>
      </c>
      <c r="N1014" s="29"/>
    </row>
    <row r="1015" spans="1:14" ht="19.5" hidden="1" customHeight="1" outlineLevel="1">
      <c r="A1015" s="24">
        <f>IF(20&lt;=DAY(DATE(YEAR(설정_코스수당!$K$2),MONTH(설정_코스수당!$K$2)+1,0)),DATE(YEAR(설정_코스수당!$K$2),MONTH(설정_코스수당!$K$2),20),"")</f>
        <v>46193</v>
      </c>
      <c r="B1015" s="23" t="s">
        <v>183</v>
      </c>
      <c r="C1015" s="29"/>
      <c r="D1015" s="29"/>
      <c r="E1015" s="29" t="str">
        <f t="shared" si="134"/>
        <v/>
      </c>
      <c r="F1015" s="29">
        <f>COUNTIFS(실시간콜입력!$B:$B,$A1015,실시간콜입력!$E:$E,"A",실시간콜입력!$G:$G,$B1015,실시간콜입력!$O:$O,"방문완료")+COUNTIFS(실시간콜입력!$B:$B,$A1015,실시간콜입력!$E:$E,"A",실시간콜입력!$H:$H,$B1015,실시간콜입력!$O:$O,"방문완료")</f>
        <v>0</v>
      </c>
      <c r="G1015" s="29">
        <f>COUNTIFS(실시간콜입력!$B:$B,$A1015,실시간콜입력!$E:$E,"B",실시간콜입력!$G:$G,$B1015,실시간콜입력!$O:$O,"방문완료")+COUNTIFS(실시간콜입력!$B:$B,$A1015,실시간콜입력!$E:$E,"B",실시간콜입력!$H:$H,$B1015,실시간콜입력!$O:$O,"방문완료")</f>
        <v>0</v>
      </c>
      <c r="H1015" s="29">
        <f>COUNTIFS(실시간콜입력!$B:$B,$A1015,실시간콜입력!$E:$E,"C",실시간콜입력!$G:$G,$B1015,실시간콜입력!$O:$O,"방문완료")+COUNTIFS(실시간콜입력!$B:$B,$A1015,실시간콜입력!$E:$E,"C",실시간콜입력!$H:$H,$B1015,실시간콜입력!$O:$O,"방문완료")</f>
        <v>0</v>
      </c>
      <c r="I1015" s="29">
        <f>COUNTIFS(실시간콜입력!$B:$B,$A1015,실시간콜입력!$E:$E,"D",실시간콜입력!$G:$G,$B1015,실시간콜입력!$O:$O,"방문완료")+COUNTIFS(실시간콜입력!$B:$B,$A1015,실시간콜입력!$E:$E,"D",실시간콜입력!$H:$H,$B1015,실시간콜입력!$O:$O,"방문완료")</f>
        <v>0</v>
      </c>
      <c r="J1015" s="29">
        <f>COUNTIFS(실시간콜입력!$B:$B,$A1015,실시간콜입력!$E:$E,"E",실시간콜입력!$G:$G,$B1015,실시간콜입력!$O:$O,"방문완료")+COUNTIFS(실시간콜입력!$B:$B,$A1015,실시간콜입력!$E:$E,"E",실시간콜입력!$H:$H,$B1015,실시간콜입력!$O:$O,"방문완료")</f>
        <v>0</v>
      </c>
      <c r="K1015" s="29">
        <f t="shared" si="135"/>
        <v>0</v>
      </c>
      <c r="L1015" s="27">
        <f>SUMIFS(실시간콜입력!$K:$K,실시간콜입력!$B:$B,$A1015,실시간콜입력!$G:$G,$B1015,실시간콜입력!$O:$O,"방문완료")+SUMIFS(실시간콜입력!$L:$L,실시간콜입력!$B:$B,$A1015,실시간콜입력!$H:$H,$B1015,실시간콜입력!$O:$O,"방문완료")</f>
        <v>0</v>
      </c>
      <c r="M1015" s="29" t="str">
        <f t="shared" si="136"/>
        <v/>
      </c>
      <c r="N1015" s="29"/>
    </row>
    <row r="1016" spans="1:14" ht="19.5" hidden="1" customHeight="1" outlineLevel="1">
      <c r="A1016" s="30">
        <f>IF(20&lt;=DAY(DATE(YEAR(설정_코스수당!$K$2),MONTH(설정_코스수당!$K$2)+1,0)),DATE(YEAR(설정_코스수당!$K$2),MONTH(설정_코스수당!$K$2),20),"")</f>
        <v>46193</v>
      </c>
      <c r="B1016" s="29" t="s">
        <v>184</v>
      </c>
      <c r="C1016" s="29"/>
      <c r="D1016" s="29"/>
      <c r="E1016" s="29" t="str">
        <f t="shared" si="134"/>
        <v/>
      </c>
      <c r="F1016" s="29">
        <f>COUNTIFS(실시간콜입력!$B:$B,$A1016,실시간콜입력!$E:$E,"A",실시간콜입력!$G:$G,$B1016,실시간콜입력!$O:$O,"방문완료")+COUNTIFS(실시간콜입력!$B:$B,$A1016,실시간콜입력!$E:$E,"A",실시간콜입력!$H:$H,$B1016,실시간콜입력!$O:$O,"방문완료")</f>
        <v>0</v>
      </c>
      <c r="G1016" s="29">
        <f>COUNTIFS(실시간콜입력!$B:$B,$A1016,실시간콜입력!$E:$E,"B",실시간콜입력!$G:$G,$B1016,실시간콜입력!$O:$O,"방문완료")+COUNTIFS(실시간콜입력!$B:$B,$A1016,실시간콜입력!$E:$E,"B",실시간콜입력!$H:$H,$B1016,실시간콜입력!$O:$O,"방문완료")</f>
        <v>0</v>
      </c>
      <c r="H1016" s="29">
        <f>COUNTIFS(실시간콜입력!$B:$B,$A1016,실시간콜입력!$E:$E,"C",실시간콜입력!$G:$G,$B1016,실시간콜입력!$O:$O,"방문완료")+COUNTIFS(실시간콜입력!$B:$B,$A1016,실시간콜입력!$E:$E,"C",실시간콜입력!$H:$H,$B1016,실시간콜입력!$O:$O,"방문완료")</f>
        <v>0</v>
      </c>
      <c r="I1016" s="29">
        <f>COUNTIFS(실시간콜입력!$B:$B,$A1016,실시간콜입력!$E:$E,"D",실시간콜입력!$G:$G,$B1016,실시간콜입력!$O:$O,"방문완료")+COUNTIFS(실시간콜입력!$B:$B,$A1016,실시간콜입력!$E:$E,"D",실시간콜입력!$H:$H,$B1016,실시간콜입력!$O:$O,"방문완료")</f>
        <v>0</v>
      </c>
      <c r="J1016" s="29">
        <f>COUNTIFS(실시간콜입력!$B:$B,$A1016,실시간콜입력!$E:$E,"E",실시간콜입력!$G:$G,$B1016,실시간콜입력!$O:$O,"방문완료")+COUNTIFS(실시간콜입력!$B:$B,$A1016,실시간콜입력!$E:$E,"E",실시간콜입력!$H:$H,$B1016,실시간콜입력!$O:$O,"방문완료")</f>
        <v>0</v>
      </c>
      <c r="K1016" s="29">
        <f t="shared" si="135"/>
        <v>0</v>
      </c>
      <c r="L1016" s="33">
        <f>SUMIFS(실시간콜입력!$K:$K,실시간콜입력!$B:$B,$A1016,실시간콜입력!$G:$G,$B1016,실시간콜입력!$O:$O,"방문완료")+SUMIFS(실시간콜입력!$L:$L,실시간콜입력!$B:$B,$A1016,실시간콜입력!$H:$H,$B1016,실시간콜입력!$O:$O,"방문완료")</f>
        <v>0</v>
      </c>
      <c r="M1016" s="29" t="str">
        <f t="shared" si="136"/>
        <v/>
      </c>
      <c r="N1016" s="29"/>
    </row>
    <row r="1017" spans="1:14" ht="19.5" hidden="1" customHeight="1" outlineLevel="1">
      <c r="A1017" s="24">
        <f>IF(20&lt;=DAY(DATE(YEAR(설정_코스수당!$K$2),MONTH(설정_코스수당!$K$2)+1,0)),DATE(YEAR(설정_코스수당!$K$2),MONTH(설정_코스수당!$K$2),20),"")</f>
        <v>46193</v>
      </c>
      <c r="B1017" s="23" t="s">
        <v>185</v>
      </c>
      <c r="C1017" s="29"/>
      <c r="D1017" s="29"/>
      <c r="E1017" s="29" t="str">
        <f t="shared" si="134"/>
        <v/>
      </c>
      <c r="F1017" s="29">
        <f>COUNTIFS(실시간콜입력!$B:$B,$A1017,실시간콜입력!$E:$E,"A",실시간콜입력!$G:$G,$B1017,실시간콜입력!$O:$O,"방문완료")+COUNTIFS(실시간콜입력!$B:$B,$A1017,실시간콜입력!$E:$E,"A",실시간콜입력!$H:$H,$B1017,실시간콜입력!$O:$O,"방문완료")</f>
        <v>0</v>
      </c>
      <c r="G1017" s="29">
        <f>COUNTIFS(실시간콜입력!$B:$B,$A1017,실시간콜입력!$E:$E,"B",실시간콜입력!$G:$G,$B1017,실시간콜입력!$O:$O,"방문완료")+COUNTIFS(실시간콜입력!$B:$B,$A1017,실시간콜입력!$E:$E,"B",실시간콜입력!$H:$H,$B1017,실시간콜입력!$O:$O,"방문완료")</f>
        <v>0</v>
      </c>
      <c r="H1017" s="29">
        <f>COUNTIFS(실시간콜입력!$B:$B,$A1017,실시간콜입력!$E:$E,"C",실시간콜입력!$G:$G,$B1017,실시간콜입력!$O:$O,"방문완료")+COUNTIFS(실시간콜입력!$B:$B,$A1017,실시간콜입력!$E:$E,"C",실시간콜입력!$H:$H,$B1017,실시간콜입력!$O:$O,"방문완료")</f>
        <v>0</v>
      </c>
      <c r="I1017" s="29">
        <f>COUNTIFS(실시간콜입력!$B:$B,$A1017,실시간콜입력!$E:$E,"D",실시간콜입력!$G:$G,$B1017,실시간콜입력!$O:$O,"방문완료")+COUNTIFS(실시간콜입력!$B:$B,$A1017,실시간콜입력!$E:$E,"D",실시간콜입력!$H:$H,$B1017,실시간콜입력!$O:$O,"방문완료")</f>
        <v>0</v>
      </c>
      <c r="J1017" s="29">
        <f>COUNTIFS(실시간콜입력!$B:$B,$A1017,실시간콜입력!$E:$E,"E",실시간콜입력!$G:$G,$B1017,실시간콜입력!$O:$O,"방문완료")+COUNTIFS(실시간콜입력!$B:$B,$A1017,실시간콜입력!$E:$E,"E",실시간콜입력!$H:$H,$B1017,실시간콜입력!$O:$O,"방문완료")</f>
        <v>0</v>
      </c>
      <c r="K1017" s="29">
        <f t="shared" si="135"/>
        <v>0</v>
      </c>
      <c r="L1017" s="27">
        <f>SUMIFS(실시간콜입력!$K:$K,실시간콜입력!$B:$B,$A1017,실시간콜입력!$G:$G,$B1017,실시간콜입력!$O:$O,"방문완료")+SUMIFS(실시간콜입력!$L:$L,실시간콜입력!$B:$B,$A1017,실시간콜입력!$H:$H,$B1017,실시간콜입력!$O:$O,"방문완료")</f>
        <v>0</v>
      </c>
      <c r="M1017" s="29" t="str">
        <f t="shared" si="136"/>
        <v/>
      </c>
      <c r="N1017" s="29"/>
    </row>
    <row r="1018" spans="1:14" ht="19.5" hidden="1" customHeight="1" outlineLevel="1">
      <c r="A1018" s="30">
        <f>IF(20&lt;=DAY(DATE(YEAR(설정_코스수당!$K$2),MONTH(설정_코스수당!$K$2)+1,0)),DATE(YEAR(설정_코스수당!$K$2),MONTH(설정_코스수당!$K$2),20),"")</f>
        <v>46193</v>
      </c>
      <c r="B1018" s="29" t="s">
        <v>186</v>
      </c>
      <c r="C1018" s="29"/>
      <c r="D1018" s="29"/>
      <c r="E1018" s="29" t="str">
        <f t="shared" si="134"/>
        <v/>
      </c>
      <c r="F1018" s="29">
        <f>COUNTIFS(실시간콜입력!$B:$B,$A1018,실시간콜입력!$E:$E,"A",실시간콜입력!$G:$G,$B1018,실시간콜입력!$O:$O,"방문완료")+COUNTIFS(실시간콜입력!$B:$B,$A1018,실시간콜입력!$E:$E,"A",실시간콜입력!$H:$H,$B1018,실시간콜입력!$O:$O,"방문완료")</f>
        <v>0</v>
      </c>
      <c r="G1018" s="29">
        <f>COUNTIFS(실시간콜입력!$B:$B,$A1018,실시간콜입력!$E:$E,"B",실시간콜입력!$G:$G,$B1018,실시간콜입력!$O:$O,"방문완료")+COUNTIFS(실시간콜입력!$B:$B,$A1018,실시간콜입력!$E:$E,"B",실시간콜입력!$H:$H,$B1018,실시간콜입력!$O:$O,"방문완료")</f>
        <v>0</v>
      </c>
      <c r="H1018" s="29">
        <f>COUNTIFS(실시간콜입력!$B:$B,$A1018,실시간콜입력!$E:$E,"C",실시간콜입력!$G:$G,$B1018,실시간콜입력!$O:$O,"방문완료")+COUNTIFS(실시간콜입력!$B:$B,$A1018,실시간콜입력!$E:$E,"C",실시간콜입력!$H:$H,$B1018,실시간콜입력!$O:$O,"방문완료")</f>
        <v>0</v>
      </c>
      <c r="I1018" s="29">
        <f>COUNTIFS(실시간콜입력!$B:$B,$A1018,실시간콜입력!$E:$E,"D",실시간콜입력!$G:$G,$B1018,실시간콜입력!$O:$O,"방문완료")+COUNTIFS(실시간콜입력!$B:$B,$A1018,실시간콜입력!$E:$E,"D",실시간콜입력!$H:$H,$B1018,실시간콜입력!$O:$O,"방문완료")</f>
        <v>0</v>
      </c>
      <c r="J1018" s="29">
        <f>COUNTIFS(실시간콜입력!$B:$B,$A1018,실시간콜입력!$E:$E,"E",실시간콜입력!$G:$G,$B1018,실시간콜입력!$O:$O,"방문완료")+COUNTIFS(실시간콜입력!$B:$B,$A1018,실시간콜입력!$E:$E,"E",실시간콜입력!$H:$H,$B1018,실시간콜입력!$O:$O,"방문완료")</f>
        <v>0</v>
      </c>
      <c r="K1018" s="29">
        <f t="shared" si="135"/>
        <v>0</v>
      </c>
      <c r="L1018" s="33">
        <f>SUMIFS(실시간콜입력!$K:$K,실시간콜입력!$B:$B,$A1018,실시간콜입력!$G:$G,$B1018,실시간콜입력!$O:$O,"방문완료")+SUMIFS(실시간콜입력!$L:$L,실시간콜입력!$B:$B,$A1018,실시간콜입력!$H:$H,$B1018,실시간콜입력!$O:$O,"방문완료")</f>
        <v>0</v>
      </c>
      <c r="M1018" s="29" t="str">
        <f t="shared" si="136"/>
        <v/>
      </c>
      <c r="N1018" s="29"/>
    </row>
    <row r="1019" spans="1:14" ht="19.5" hidden="1" customHeight="1" outlineLevel="1">
      <c r="A1019" s="24">
        <f>IF(20&lt;=DAY(DATE(YEAR(설정_코스수당!$K$2),MONTH(설정_코스수당!$K$2)+1,0)),DATE(YEAR(설정_코스수당!$K$2),MONTH(설정_코스수당!$K$2),20),"")</f>
        <v>46193</v>
      </c>
      <c r="B1019" s="23" t="s">
        <v>187</v>
      </c>
      <c r="C1019" s="29"/>
      <c r="D1019" s="29"/>
      <c r="E1019" s="29" t="str">
        <f t="shared" si="134"/>
        <v/>
      </c>
      <c r="F1019" s="29">
        <f>COUNTIFS(실시간콜입력!$B:$B,$A1019,실시간콜입력!$E:$E,"A",실시간콜입력!$G:$G,$B1019,실시간콜입력!$O:$O,"방문완료")+COUNTIFS(실시간콜입력!$B:$B,$A1019,실시간콜입력!$E:$E,"A",실시간콜입력!$H:$H,$B1019,실시간콜입력!$O:$O,"방문완료")</f>
        <v>0</v>
      </c>
      <c r="G1019" s="29">
        <f>COUNTIFS(실시간콜입력!$B:$B,$A1019,실시간콜입력!$E:$E,"B",실시간콜입력!$G:$G,$B1019,실시간콜입력!$O:$O,"방문완료")+COUNTIFS(실시간콜입력!$B:$B,$A1019,실시간콜입력!$E:$E,"B",실시간콜입력!$H:$H,$B1019,실시간콜입력!$O:$O,"방문완료")</f>
        <v>0</v>
      </c>
      <c r="H1019" s="29">
        <f>COUNTIFS(실시간콜입력!$B:$B,$A1019,실시간콜입력!$E:$E,"C",실시간콜입력!$G:$G,$B1019,실시간콜입력!$O:$O,"방문완료")+COUNTIFS(실시간콜입력!$B:$B,$A1019,실시간콜입력!$E:$E,"C",실시간콜입력!$H:$H,$B1019,실시간콜입력!$O:$O,"방문완료")</f>
        <v>0</v>
      </c>
      <c r="I1019" s="29">
        <f>COUNTIFS(실시간콜입력!$B:$B,$A1019,실시간콜입력!$E:$E,"D",실시간콜입력!$G:$G,$B1019,실시간콜입력!$O:$O,"방문완료")+COUNTIFS(실시간콜입력!$B:$B,$A1019,실시간콜입력!$E:$E,"D",실시간콜입력!$H:$H,$B1019,실시간콜입력!$O:$O,"방문완료")</f>
        <v>0</v>
      </c>
      <c r="J1019" s="29">
        <f>COUNTIFS(실시간콜입력!$B:$B,$A1019,실시간콜입력!$E:$E,"E",실시간콜입력!$G:$G,$B1019,실시간콜입력!$O:$O,"방문완료")+COUNTIFS(실시간콜입력!$B:$B,$A1019,실시간콜입력!$E:$E,"E",실시간콜입력!$H:$H,$B1019,실시간콜입력!$O:$O,"방문완료")</f>
        <v>0</v>
      </c>
      <c r="K1019" s="29">
        <f t="shared" si="135"/>
        <v>0</v>
      </c>
      <c r="L1019" s="27">
        <f>SUMIFS(실시간콜입력!$K:$K,실시간콜입력!$B:$B,$A1019,실시간콜입력!$G:$G,$B1019,실시간콜입력!$O:$O,"방문완료")+SUMIFS(실시간콜입력!$L:$L,실시간콜입력!$B:$B,$A1019,실시간콜입력!$H:$H,$B1019,실시간콜입력!$O:$O,"방문완료")</f>
        <v>0</v>
      </c>
      <c r="M1019" s="29" t="str">
        <f t="shared" si="136"/>
        <v/>
      </c>
      <c r="N1019" s="29"/>
    </row>
    <row r="1020" spans="1:14" ht="19.5" hidden="1" customHeight="1" outlineLevel="1">
      <c r="A1020" s="30">
        <f>IF(20&lt;=DAY(DATE(YEAR(설정_코스수당!$K$2),MONTH(설정_코스수당!$K$2)+1,0)),DATE(YEAR(설정_코스수당!$K$2),MONTH(설정_코스수당!$K$2),20),"")</f>
        <v>46193</v>
      </c>
      <c r="B1020" s="29" t="s">
        <v>188</v>
      </c>
      <c r="C1020" s="29"/>
      <c r="D1020" s="29"/>
      <c r="E1020" s="29" t="str">
        <f t="shared" si="134"/>
        <v/>
      </c>
      <c r="F1020" s="29">
        <f>COUNTIFS(실시간콜입력!$B:$B,$A1020,실시간콜입력!$E:$E,"A",실시간콜입력!$G:$G,$B1020,실시간콜입력!$O:$O,"방문완료")+COUNTIFS(실시간콜입력!$B:$B,$A1020,실시간콜입력!$E:$E,"A",실시간콜입력!$H:$H,$B1020,실시간콜입력!$O:$O,"방문완료")</f>
        <v>0</v>
      </c>
      <c r="G1020" s="29">
        <f>COUNTIFS(실시간콜입력!$B:$B,$A1020,실시간콜입력!$E:$E,"B",실시간콜입력!$G:$G,$B1020,실시간콜입력!$O:$O,"방문완료")+COUNTIFS(실시간콜입력!$B:$B,$A1020,실시간콜입력!$E:$E,"B",실시간콜입력!$H:$H,$B1020,실시간콜입력!$O:$O,"방문완료")</f>
        <v>0</v>
      </c>
      <c r="H1020" s="29">
        <f>COUNTIFS(실시간콜입력!$B:$B,$A1020,실시간콜입력!$E:$E,"C",실시간콜입력!$G:$G,$B1020,실시간콜입력!$O:$O,"방문완료")+COUNTIFS(실시간콜입력!$B:$B,$A1020,실시간콜입력!$E:$E,"C",실시간콜입력!$H:$H,$B1020,실시간콜입력!$O:$O,"방문완료")</f>
        <v>0</v>
      </c>
      <c r="I1020" s="29">
        <f>COUNTIFS(실시간콜입력!$B:$B,$A1020,실시간콜입력!$E:$E,"D",실시간콜입력!$G:$G,$B1020,실시간콜입력!$O:$O,"방문완료")+COUNTIFS(실시간콜입력!$B:$B,$A1020,실시간콜입력!$E:$E,"D",실시간콜입력!$H:$H,$B1020,실시간콜입력!$O:$O,"방문완료")</f>
        <v>0</v>
      </c>
      <c r="J1020" s="29">
        <f>COUNTIFS(실시간콜입력!$B:$B,$A1020,실시간콜입력!$E:$E,"E",실시간콜입력!$G:$G,$B1020,실시간콜입력!$O:$O,"방문완료")+COUNTIFS(실시간콜입력!$B:$B,$A1020,실시간콜입력!$E:$E,"E",실시간콜입력!$H:$H,$B1020,실시간콜입력!$O:$O,"방문완료")</f>
        <v>0</v>
      </c>
      <c r="K1020" s="29">
        <f t="shared" si="135"/>
        <v>0</v>
      </c>
      <c r="L1020" s="33">
        <f>SUMIFS(실시간콜입력!$K:$K,실시간콜입력!$B:$B,$A1020,실시간콜입력!$G:$G,$B1020,실시간콜입력!$O:$O,"방문완료")+SUMIFS(실시간콜입력!$L:$L,실시간콜입력!$B:$B,$A1020,실시간콜입력!$H:$H,$B1020,실시간콜입력!$O:$O,"방문완료")</f>
        <v>0</v>
      </c>
      <c r="M1020" s="29" t="str">
        <f t="shared" si="136"/>
        <v/>
      </c>
      <c r="N1020" s="29"/>
    </row>
    <row r="1021" spans="1:14" ht="19.5" hidden="1" customHeight="1" outlineLevel="1">
      <c r="A1021" s="24">
        <f>IF(20&lt;=DAY(DATE(YEAR(설정_코스수당!$K$2),MONTH(설정_코스수당!$K$2)+1,0)),DATE(YEAR(설정_코스수당!$K$2),MONTH(설정_코스수당!$K$2),20),"")</f>
        <v>46193</v>
      </c>
      <c r="B1021" s="23" t="s">
        <v>189</v>
      </c>
      <c r="C1021" s="29"/>
      <c r="D1021" s="29"/>
      <c r="E1021" s="29" t="str">
        <f t="shared" si="134"/>
        <v/>
      </c>
      <c r="F1021" s="29">
        <f>COUNTIFS(실시간콜입력!$B:$B,$A1021,실시간콜입력!$E:$E,"A",실시간콜입력!$G:$G,$B1021,실시간콜입력!$O:$O,"방문완료")+COUNTIFS(실시간콜입력!$B:$B,$A1021,실시간콜입력!$E:$E,"A",실시간콜입력!$H:$H,$B1021,실시간콜입력!$O:$O,"방문완료")</f>
        <v>0</v>
      </c>
      <c r="G1021" s="29">
        <f>COUNTIFS(실시간콜입력!$B:$B,$A1021,실시간콜입력!$E:$E,"B",실시간콜입력!$G:$G,$B1021,실시간콜입력!$O:$O,"방문완료")+COUNTIFS(실시간콜입력!$B:$B,$A1021,실시간콜입력!$E:$E,"B",실시간콜입력!$H:$H,$B1021,실시간콜입력!$O:$O,"방문완료")</f>
        <v>0</v>
      </c>
      <c r="H1021" s="29">
        <f>COUNTIFS(실시간콜입력!$B:$B,$A1021,실시간콜입력!$E:$E,"C",실시간콜입력!$G:$G,$B1021,실시간콜입력!$O:$O,"방문완료")+COUNTIFS(실시간콜입력!$B:$B,$A1021,실시간콜입력!$E:$E,"C",실시간콜입력!$H:$H,$B1021,실시간콜입력!$O:$O,"방문완료")</f>
        <v>0</v>
      </c>
      <c r="I1021" s="29">
        <f>COUNTIFS(실시간콜입력!$B:$B,$A1021,실시간콜입력!$E:$E,"D",실시간콜입력!$G:$G,$B1021,실시간콜입력!$O:$O,"방문완료")+COUNTIFS(실시간콜입력!$B:$B,$A1021,실시간콜입력!$E:$E,"D",실시간콜입력!$H:$H,$B1021,실시간콜입력!$O:$O,"방문완료")</f>
        <v>0</v>
      </c>
      <c r="J1021" s="29">
        <f>COUNTIFS(실시간콜입력!$B:$B,$A1021,실시간콜입력!$E:$E,"E",실시간콜입력!$G:$G,$B1021,실시간콜입력!$O:$O,"방문완료")+COUNTIFS(실시간콜입력!$B:$B,$A1021,실시간콜입력!$E:$E,"E",실시간콜입력!$H:$H,$B1021,실시간콜입력!$O:$O,"방문완료")</f>
        <v>0</v>
      </c>
      <c r="K1021" s="29">
        <f t="shared" si="135"/>
        <v>0</v>
      </c>
      <c r="L1021" s="27">
        <f>SUMIFS(실시간콜입력!$K:$K,실시간콜입력!$B:$B,$A1021,실시간콜입력!$G:$G,$B1021,실시간콜입력!$O:$O,"방문완료")+SUMIFS(실시간콜입력!$L:$L,실시간콜입력!$B:$B,$A1021,실시간콜입력!$H:$H,$B1021,실시간콜입력!$O:$O,"방문완료")</f>
        <v>0</v>
      </c>
      <c r="M1021" s="29" t="str">
        <f t="shared" si="136"/>
        <v/>
      </c>
      <c r="N1021" s="29"/>
    </row>
    <row r="1022" spans="1:14" ht="19.5" hidden="1" customHeight="1" outlineLevel="1">
      <c r="A1022" s="30">
        <f>IF(20&lt;=DAY(DATE(YEAR(설정_코스수당!$K$2),MONTH(설정_코스수당!$K$2)+1,0)),DATE(YEAR(설정_코스수당!$K$2),MONTH(설정_코스수당!$K$2),20),"")</f>
        <v>46193</v>
      </c>
      <c r="B1022" s="29" t="s">
        <v>190</v>
      </c>
      <c r="C1022" s="29"/>
      <c r="D1022" s="29"/>
      <c r="E1022" s="29" t="str">
        <f t="shared" si="134"/>
        <v/>
      </c>
      <c r="F1022" s="29">
        <f>COUNTIFS(실시간콜입력!$B:$B,$A1022,실시간콜입력!$E:$E,"A",실시간콜입력!$G:$G,$B1022,실시간콜입력!$O:$O,"방문완료")+COUNTIFS(실시간콜입력!$B:$B,$A1022,실시간콜입력!$E:$E,"A",실시간콜입력!$H:$H,$B1022,실시간콜입력!$O:$O,"방문완료")</f>
        <v>0</v>
      </c>
      <c r="G1022" s="29">
        <f>COUNTIFS(실시간콜입력!$B:$B,$A1022,실시간콜입력!$E:$E,"B",실시간콜입력!$G:$G,$B1022,실시간콜입력!$O:$O,"방문완료")+COUNTIFS(실시간콜입력!$B:$B,$A1022,실시간콜입력!$E:$E,"B",실시간콜입력!$H:$H,$B1022,실시간콜입력!$O:$O,"방문완료")</f>
        <v>0</v>
      </c>
      <c r="H1022" s="29">
        <f>COUNTIFS(실시간콜입력!$B:$B,$A1022,실시간콜입력!$E:$E,"C",실시간콜입력!$G:$G,$B1022,실시간콜입력!$O:$O,"방문완료")+COUNTIFS(실시간콜입력!$B:$B,$A1022,실시간콜입력!$E:$E,"C",실시간콜입력!$H:$H,$B1022,실시간콜입력!$O:$O,"방문완료")</f>
        <v>0</v>
      </c>
      <c r="I1022" s="29">
        <f>COUNTIFS(실시간콜입력!$B:$B,$A1022,실시간콜입력!$E:$E,"D",실시간콜입력!$G:$G,$B1022,실시간콜입력!$O:$O,"방문완료")+COUNTIFS(실시간콜입력!$B:$B,$A1022,실시간콜입력!$E:$E,"D",실시간콜입력!$H:$H,$B1022,실시간콜입력!$O:$O,"방문완료")</f>
        <v>0</v>
      </c>
      <c r="J1022" s="29">
        <f>COUNTIFS(실시간콜입력!$B:$B,$A1022,실시간콜입력!$E:$E,"E",실시간콜입력!$G:$G,$B1022,실시간콜입력!$O:$O,"방문완료")+COUNTIFS(실시간콜입력!$B:$B,$A1022,실시간콜입력!$E:$E,"E",실시간콜입력!$H:$H,$B1022,실시간콜입력!$O:$O,"방문완료")</f>
        <v>0</v>
      </c>
      <c r="K1022" s="29">
        <f t="shared" si="135"/>
        <v>0</v>
      </c>
      <c r="L1022" s="33">
        <f>SUMIFS(실시간콜입력!$K:$K,실시간콜입력!$B:$B,$A1022,실시간콜입력!$G:$G,$B1022,실시간콜입력!$O:$O,"방문완료")+SUMIFS(실시간콜입력!$L:$L,실시간콜입력!$B:$B,$A1022,실시간콜입력!$H:$H,$B1022,실시간콜입력!$O:$O,"방문완료")</f>
        <v>0</v>
      </c>
      <c r="M1022" s="29" t="str">
        <f t="shared" si="136"/>
        <v/>
      </c>
      <c r="N1022" s="29"/>
    </row>
    <row r="1023" spans="1:14" ht="19.5" hidden="1" customHeight="1" outlineLevel="1">
      <c r="A1023" s="24">
        <f>IF(20&lt;=DAY(DATE(YEAR(설정_코스수당!$K$2),MONTH(설정_코스수당!$K$2)+1,0)),DATE(YEAR(설정_코스수당!$K$2),MONTH(설정_코스수당!$K$2),20),"")</f>
        <v>46193</v>
      </c>
      <c r="B1023" s="23" t="s">
        <v>191</v>
      </c>
      <c r="C1023" s="29"/>
      <c r="D1023" s="29"/>
      <c r="E1023" s="29" t="str">
        <f t="shared" si="134"/>
        <v/>
      </c>
      <c r="F1023" s="29">
        <f>COUNTIFS(실시간콜입력!$B:$B,$A1023,실시간콜입력!$E:$E,"A",실시간콜입력!$G:$G,$B1023,실시간콜입력!$O:$O,"방문완료")+COUNTIFS(실시간콜입력!$B:$B,$A1023,실시간콜입력!$E:$E,"A",실시간콜입력!$H:$H,$B1023,실시간콜입력!$O:$O,"방문완료")</f>
        <v>0</v>
      </c>
      <c r="G1023" s="29">
        <f>COUNTIFS(실시간콜입력!$B:$B,$A1023,실시간콜입력!$E:$E,"B",실시간콜입력!$G:$G,$B1023,실시간콜입력!$O:$O,"방문완료")+COUNTIFS(실시간콜입력!$B:$B,$A1023,실시간콜입력!$E:$E,"B",실시간콜입력!$H:$H,$B1023,실시간콜입력!$O:$O,"방문완료")</f>
        <v>0</v>
      </c>
      <c r="H1023" s="29">
        <f>COUNTIFS(실시간콜입력!$B:$B,$A1023,실시간콜입력!$E:$E,"C",실시간콜입력!$G:$G,$B1023,실시간콜입력!$O:$O,"방문완료")+COUNTIFS(실시간콜입력!$B:$B,$A1023,실시간콜입력!$E:$E,"C",실시간콜입력!$H:$H,$B1023,실시간콜입력!$O:$O,"방문완료")</f>
        <v>0</v>
      </c>
      <c r="I1023" s="29">
        <f>COUNTIFS(실시간콜입력!$B:$B,$A1023,실시간콜입력!$E:$E,"D",실시간콜입력!$G:$G,$B1023,실시간콜입력!$O:$O,"방문완료")+COUNTIFS(실시간콜입력!$B:$B,$A1023,실시간콜입력!$E:$E,"D",실시간콜입력!$H:$H,$B1023,실시간콜입력!$O:$O,"방문완료")</f>
        <v>0</v>
      </c>
      <c r="J1023" s="29">
        <f>COUNTIFS(실시간콜입력!$B:$B,$A1023,실시간콜입력!$E:$E,"E",실시간콜입력!$G:$G,$B1023,실시간콜입력!$O:$O,"방문완료")+COUNTIFS(실시간콜입력!$B:$B,$A1023,실시간콜입력!$E:$E,"E",실시간콜입력!$H:$H,$B1023,실시간콜입력!$O:$O,"방문완료")</f>
        <v>0</v>
      </c>
      <c r="K1023" s="29">
        <f t="shared" si="135"/>
        <v>0</v>
      </c>
      <c r="L1023" s="27">
        <f>SUMIFS(실시간콜입력!$K:$K,실시간콜입력!$B:$B,$A1023,실시간콜입력!$G:$G,$B1023,실시간콜입력!$O:$O,"방문완료")+SUMIFS(실시간콜입력!$L:$L,실시간콜입력!$B:$B,$A1023,실시간콜입력!$H:$H,$B1023,실시간콜입력!$O:$O,"방문완료")</f>
        <v>0</v>
      </c>
      <c r="M1023" s="29" t="str">
        <f t="shared" si="136"/>
        <v/>
      </c>
      <c r="N1023" s="29"/>
    </row>
    <row r="1024" spans="1:14" ht="19.5" hidden="1" customHeight="1" outlineLevel="1">
      <c r="A1024" s="30">
        <f>IF(20&lt;=DAY(DATE(YEAR(설정_코스수당!$K$2),MONTH(설정_코스수당!$K$2)+1,0)),DATE(YEAR(설정_코스수당!$K$2),MONTH(설정_코스수당!$K$2),20),"")</f>
        <v>46193</v>
      </c>
      <c r="B1024" s="29" t="s">
        <v>192</v>
      </c>
      <c r="C1024" s="29"/>
      <c r="D1024" s="29"/>
      <c r="E1024" s="29" t="str">
        <f t="shared" si="134"/>
        <v/>
      </c>
      <c r="F1024" s="29">
        <f>COUNTIFS(실시간콜입력!$B:$B,$A1024,실시간콜입력!$E:$E,"A",실시간콜입력!$G:$G,$B1024,실시간콜입력!$O:$O,"방문완료")+COUNTIFS(실시간콜입력!$B:$B,$A1024,실시간콜입력!$E:$E,"A",실시간콜입력!$H:$H,$B1024,실시간콜입력!$O:$O,"방문완료")</f>
        <v>0</v>
      </c>
      <c r="G1024" s="29">
        <f>COUNTIFS(실시간콜입력!$B:$B,$A1024,실시간콜입력!$E:$E,"B",실시간콜입력!$G:$G,$B1024,실시간콜입력!$O:$O,"방문완료")+COUNTIFS(실시간콜입력!$B:$B,$A1024,실시간콜입력!$E:$E,"B",실시간콜입력!$H:$H,$B1024,실시간콜입력!$O:$O,"방문완료")</f>
        <v>0</v>
      </c>
      <c r="H1024" s="29">
        <f>COUNTIFS(실시간콜입력!$B:$B,$A1024,실시간콜입력!$E:$E,"C",실시간콜입력!$G:$G,$B1024,실시간콜입력!$O:$O,"방문완료")+COUNTIFS(실시간콜입력!$B:$B,$A1024,실시간콜입력!$E:$E,"C",실시간콜입력!$H:$H,$B1024,실시간콜입력!$O:$O,"방문완료")</f>
        <v>0</v>
      </c>
      <c r="I1024" s="29">
        <f>COUNTIFS(실시간콜입력!$B:$B,$A1024,실시간콜입력!$E:$E,"D",실시간콜입력!$G:$G,$B1024,실시간콜입력!$O:$O,"방문완료")+COUNTIFS(실시간콜입력!$B:$B,$A1024,실시간콜입력!$E:$E,"D",실시간콜입력!$H:$H,$B1024,실시간콜입력!$O:$O,"방문완료")</f>
        <v>0</v>
      </c>
      <c r="J1024" s="29">
        <f>COUNTIFS(실시간콜입력!$B:$B,$A1024,실시간콜입력!$E:$E,"E",실시간콜입력!$G:$G,$B1024,실시간콜입력!$O:$O,"방문완료")+COUNTIFS(실시간콜입력!$B:$B,$A1024,실시간콜입력!$E:$E,"E",실시간콜입력!$H:$H,$B1024,실시간콜입력!$O:$O,"방문완료")</f>
        <v>0</v>
      </c>
      <c r="K1024" s="29">
        <f t="shared" si="135"/>
        <v>0</v>
      </c>
      <c r="L1024" s="33">
        <f>SUMIFS(실시간콜입력!$K:$K,실시간콜입력!$B:$B,$A1024,실시간콜입력!$G:$G,$B1024,실시간콜입력!$O:$O,"방문완료")+SUMIFS(실시간콜입력!$L:$L,실시간콜입력!$B:$B,$A1024,실시간콜입력!$H:$H,$B1024,실시간콜입력!$O:$O,"방문완료")</f>
        <v>0</v>
      </c>
      <c r="M1024" s="29" t="str">
        <f t="shared" si="136"/>
        <v/>
      </c>
      <c r="N1024" s="29"/>
    </row>
    <row r="1025" spans="1:14" ht="19.5" hidden="1" customHeight="1" outlineLevel="1">
      <c r="A1025" s="24">
        <f>IF(20&lt;=DAY(DATE(YEAR(설정_코스수당!$K$2),MONTH(설정_코스수당!$K$2)+1,0)),DATE(YEAR(설정_코스수당!$K$2),MONTH(설정_코스수당!$K$2),20),"")</f>
        <v>46193</v>
      </c>
      <c r="B1025" s="23" t="s">
        <v>193</v>
      </c>
      <c r="C1025" s="29"/>
      <c r="D1025" s="29"/>
      <c r="E1025" s="29" t="str">
        <f t="shared" si="134"/>
        <v/>
      </c>
      <c r="F1025" s="29">
        <f>COUNTIFS(실시간콜입력!$B:$B,$A1025,실시간콜입력!$E:$E,"A",실시간콜입력!$G:$G,$B1025,실시간콜입력!$O:$O,"방문완료")+COUNTIFS(실시간콜입력!$B:$B,$A1025,실시간콜입력!$E:$E,"A",실시간콜입력!$H:$H,$B1025,실시간콜입력!$O:$O,"방문완료")</f>
        <v>0</v>
      </c>
      <c r="G1025" s="29">
        <f>COUNTIFS(실시간콜입력!$B:$B,$A1025,실시간콜입력!$E:$E,"B",실시간콜입력!$G:$G,$B1025,실시간콜입력!$O:$O,"방문완료")+COUNTIFS(실시간콜입력!$B:$B,$A1025,실시간콜입력!$E:$E,"B",실시간콜입력!$H:$H,$B1025,실시간콜입력!$O:$O,"방문완료")</f>
        <v>0</v>
      </c>
      <c r="H1025" s="29">
        <f>COUNTIFS(실시간콜입력!$B:$B,$A1025,실시간콜입력!$E:$E,"C",실시간콜입력!$G:$G,$B1025,실시간콜입력!$O:$O,"방문완료")+COUNTIFS(실시간콜입력!$B:$B,$A1025,실시간콜입력!$E:$E,"C",실시간콜입력!$H:$H,$B1025,실시간콜입력!$O:$O,"방문완료")</f>
        <v>0</v>
      </c>
      <c r="I1025" s="29">
        <f>COUNTIFS(실시간콜입력!$B:$B,$A1025,실시간콜입력!$E:$E,"D",실시간콜입력!$G:$G,$B1025,실시간콜입력!$O:$O,"방문완료")+COUNTIFS(실시간콜입력!$B:$B,$A1025,실시간콜입력!$E:$E,"D",실시간콜입력!$H:$H,$B1025,실시간콜입력!$O:$O,"방문완료")</f>
        <v>0</v>
      </c>
      <c r="J1025" s="29">
        <f>COUNTIFS(실시간콜입력!$B:$B,$A1025,실시간콜입력!$E:$E,"E",실시간콜입력!$G:$G,$B1025,실시간콜입력!$O:$O,"방문완료")+COUNTIFS(실시간콜입력!$B:$B,$A1025,실시간콜입력!$E:$E,"E",실시간콜입력!$H:$H,$B1025,실시간콜입력!$O:$O,"방문완료")</f>
        <v>0</v>
      </c>
      <c r="K1025" s="29">
        <f t="shared" si="135"/>
        <v>0</v>
      </c>
      <c r="L1025" s="27">
        <f>SUMIFS(실시간콜입력!$K:$K,실시간콜입력!$B:$B,$A1025,실시간콜입력!$G:$G,$B1025,실시간콜입력!$O:$O,"방문완료")+SUMIFS(실시간콜입력!$L:$L,실시간콜입력!$B:$B,$A1025,실시간콜입력!$H:$H,$B1025,실시간콜입력!$O:$O,"방문완료")</f>
        <v>0</v>
      </c>
      <c r="M1025" s="29" t="str">
        <f t="shared" si="136"/>
        <v/>
      </c>
      <c r="N1025" s="29"/>
    </row>
    <row r="1026" spans="1:14" ht="19.5" hidden="1" customHeight="1" outlineLevel="1">
      <c r="A1026" s="30">
        <f>IF(20&lt;=DAY(DATE(YEAR(설정_코스수당!$K$2),MONTH(설정_코스수당!$K$2)+1,0)),DATE(YEAR(설정_코스수당!$K$2),MONTH(설정_코스수당!$K$2),20),"")</f>
        <v>46193</v>
      </c>
      <c r="B1026" s="29" t="s">
        <v>194</v>
      </c>
      <c r="C1026" s="29"/>
      <c r="D1026" s="29"/>
      <c r="E1026" s="29" t="str">
        <f t="shared" si="134"/>
        <v/>
      </c>
      <c r="F1026" s="29">
        <f>COUNTIFS(실시간콜입력!$B:$B,$A1026,실시간콜입력!$E:$E,"A",실시간콜입력!$G:$G,$B1026,실시간콜입력!$O:$O,"방문완료")+COUNTIFS(실시간콜입력!$B:$B,$A1026,실시간콜입력!$E:$E,"A",실시간콜입력!$H:$H,$B1026,실시간콜입력!$O:$O,"방문완료")</f>
        <v>0</v>
      </c>
      <c r="G1026" s="29">
        <f>COUNTIFS(실시간콜입력!$B:$B,$A1026,실시간콜입력!$E:$E,"B",실시간콜입력!$G:$G,$B1026,실시간콜입력!$O:$O,"방문완료")+COUNTIFS(실시간콜입력!$B:$B,$A1026,실시간콜입력!$E:$E,"B",실시간콜입력!$H:$H,$B1026,실시간콜입력!$O:$O,"방문완료")</f>
        <v>0</v>
      </c>
      <c r="H1026" s="29">
        <f>COUNTIFS(실시간콜입력!$B:$B,$A1026,실시간콜입력!$E:$E,"C",실시간콜입력!$G:$G,$B1026,실시간콜입력!$O:$O,"방문완료")+COUNTIFS(실시간콜입력!$B:$B,$A1026,실시간콜입력!$E:$E,"C",실시간콜입력!$H:$H,$B1026,실시간콜입력!$O:$O,"방문완료")</f>
        <v>0</v>
      </c>
      <c r="I1026" s="29">
        <f>COUNTIFS(실시간콜입력!$B:$B,$A1026,실시간콜입력!$E:$E,"D",실시간콜입력!$G:$G,$B1026,실시간콜입력!$O:$O,"방문완료")+COUNTIFS(실시간콜입력!$B:$B,$A1026,실시간콜입력!$E:$E,"D",실시간콜입력!$H:$H,$B1026,실시간콜입력!$O:$O,"방문완료")</f>
        <v>0</v>
      </c>
      <c r="J1026" s="29">
        <f>COUNTIFS(실시간콜입력!$B:$B,$A1026,실시간콜입력!$E:$E,"E",실시간콜입력!$G:$G,$B1026,실시간콜입력!$O:$O,"방문완료")+COUNTIFS(실시간콜입력!$B:$B,$A1026,실시간콜입력!$E:$E,"E",실시간콜입력!$H:$H,$B1026,실시간콜입력!$O:$O,"방문완료")</f>
        <v>0</v>
      </c>
      <c r="K1026" s="29">
        <f t="shared" si="135"/>
        <v>0</v>
      </c>
      <c r="L1026" s="33">
        <f>SUMIFS(실시간콜입력!$K:$K,실시간콜입력!$B:$B,$A1026,실시간콜입력!$G:$G,$B1026,실시간콜입력!$O:$O,"방문완료")+SUMIFS(실시간콜입력!$L:$L,실시간콜입력!$B:$B,$A1026,실시간콜입력!$H:$H,$B1026,실시간콜입력!$O:$O,"방문완료")</f>
        <v>0</v>
      </c>
      <c r="M1026" s="29" t="str">
        <f t="shared" si="136"/>
        <v/>
      </c>
      <c r="N1026" s="29"/>
    </row>
    <row r="1027" spans="1:14" ht="19.5" hidden="1" customHeight="1" outlineLevel="1">
      <c r="A1027" s="24">
        <f>IF(20&lt;=DAY(DATE(YEAR(설정_코스수당!$K$2),MONTH(설정_코스수당!$K$2)+1,0)),DATE(YEAR(설정_코스수당!$K$2),MONTH(설정_코스수당!$K$2),20),"")</f>
        <v>46193</v>
      </c>
      <c r="B1027" s="23" t="s">
        <v>195</v>
      </c>
      <c r="C1027" s="29"/>
      <c r="D1027" s="29"/>
      <c r="E1027" s="29" t="str">
        <f t="shared" ref="E1027:E1058" si="137">IF(AND(C1027&lt;&gt;"",D1027&lt;&gt;""),IF(D1027&lt;C1027,D1027+1-C1027,D1027-C1027)*24,"")</f>
        <v/>
      </c>
      <c r="F1027" s="29">
        <f>COUNTIFS(실시간콜입력!$B:$B,$A1027,실시간콜입력!$E:$E,"A",실시간콜입력!$G:$G,$B1027,실시간콜입력!$O:$O,"방문완료")+COUNTIFS(실시간콜입력!$B:$B,$A1027,실시간콜입력!$E:$E,"A",실시간콜입력!$H:$H,$B1027,실시간콜입력!$O:$O,"방문완료")</f>
        <v>0</v>
      </c>
      <c r="G1027" s="29">
        <f>COUNTIFS(실시간콜입력!$B:$B,$A1027,실시간콜입력!$E:$E,"B",실시간콜입력!$G:$G,$B1027,실시간콜입력!$O:$O,"방문완료")+COUNTIFS(실시간콜입력!$B:$B,$A1027,실시간콜입력!$E:$E,"B",실시간콜입력!$H:$H,$B1027,실시간콜입력!$O:$O,"방문완료")</f>
        <v>0</v>
      </c>
      <c r="H1027" s="29">
        <f>COUNTIFS(실시간콜입력!$B:$B,$A1027,실시간콜입력!$E:$E,"C",실시간콜입력!$G:$G,$B1027,실시간콜입력!$O:$O,"방문완료")+COUNTIFS(실시간콜입력!$B:$B,$A1027,실시간콜입력!$E:$E,"C",실시간콜입력!$H:$H,$B1027,실시간콜입력!$O:$O,"방문완료")</f>
        <v>0</v>
      </c>
      <c r="I1027" s="29">
        <f>COUNTIFS(실시간콜입력!$B:$B,$A1027,실시간콜입력!$E:$E,"D",실시간콜입력!$G:$G,$B1027,실시간콜입력!$O:$O,"방문완료")+COUNTIFS(실시간콜입력!$B:$B,$A1027,실시간콜입력!$E:$E,"D",실시간콜입력!$H:$H,$B1027,실시간콜입력!$O:$O,"방문완료")</f>
        <v>0</v>
      </c>
      <c r="J1027" s="29">
        <f>COUNTIFS(실시간콜입력!$B:$B,$A1027,실시간콜입력!$E:$E,"E",실시간콜입력!$G:$G,$B1027,실시간콜입력!$O:$O,"방문완료")+COUNTIFS(실시간콜입력!$B:$B,$A1027,실시간콜입력!$E:$E,"E",실시간콜입력!$H:$H,$B1027,실시간콜입력!$O:$O,"방문완료")</f>
        <v>0</v>
      </c>
      <c r="K1027" s="29">
        <f t="shared" ref="K1027:K1058" si="138">SUM(F1027:J1027)</f>
        <v>0</v>
      </c>
      <c r="L1027" s="27">
        <f>SUMIFS(실시간콜입력!$K:$K,실시간콜입력!$B:$B,$A1027,실시간콜입력!$G:$G,$B1027,실시간콜입력!$O:$O,"방문완료")+SUMIFS(실시간콜입력!$L:$L,실시간콜입력!$B:$B,$A1027,실시간콜입력!$H:$H,$B1027,실시간콜입력!$O:$O,"방문완료")</f>
        <v>0</v>
      </c>
      <c r="M1027" s="29" t="str">
        <f t="shared" ref="M1027:M1044" si="139">IF(AND(ISNUMBER(E1027),E1027&gt;=8),"인정","")</f>
        <v/>
      </c>
      <c r="N1027" s="29"/>
    </row>
    <row r="1028" spans="1:14" ht="19.5" hidden="1" customHeight="1" outlineLevel="1">
      <c r="A1028" s="30">
        <f>IF(20&lt;=DAY(DATE(YEAR(설정_코스수당!$K$2),MONTH(설정_코스수당!$K$2)+1,0)),DATE(YEAR(설정_코스수당!$K$2),MONTH(설정_코스수당!$K$2),20),"")</f>
        <v>46193</v>
      </c>
      <c r="B1028" s="29" t="s">
        <v>196</v>
      </c>
      <c r="C1028" s="29"/>
      <c r="D1028" s="29"/>
      <c r="E1028" s="29" t="str">
        <f t="shared" si="137"/>
        <v/>
      </c>
      <c r="F1028" s="29">
        <f>COUNTIFS(실시간콜입력!$B:$B,$A1028,실시간콜입력!$E:$E,"A",실시간콜입력!$G:$G,$B1028,실시간콜입력!$O:$O,"방문완료")+COUNTIFS(실시간콜입력!$B:$B,$A1028,실시간콜입력!$E:$E,"A",실시간콜입력!$H:$H,$B1028,실시간콜입력!$O:$O,"방문완료")</f>
        <v>0</v>
      </c>
      <c r="G1028" s="29">
        <f>COUNTIFS(실시간콜입력!$B:$B,$A1028,실시간콜입력!$E:$E,"B",실시간콜입력!$G:$G,$B1028,실시간콜입력!$O:$O,"방문완료")+COUNTIFS(실시간콜입력!$B:$B,$A1028,실시간콜입력!$E:$E,"B",실시간콜입력!$H:$H,$B1028,실시간콜입력!$O:$O,"방문완료")</f>
        <v>0</v>
      </c>
      <c r="H1028" s="29">
        <f>COUNTIFS(실시간콜입력!$B:$B,$A1028,실시간콜입력!$E:$E,"C",실시간콜입력!$G:$G,$B1028,실시간콜입력!$O:$O,"방문완료")+COUNTIFS(실시간콜입력!$B:$B,$A1028,실시간콜입력!$E:$E,"C",실시간콜입력!$H:$H,$B1028,실시간콜입력!$O:$O,"방문완료")</f>
        <v>0</v>
      </c>
      <c r="I1028" s="29">
        <f>COUNTIFS(실시간콜입력!$B:$B,$A1028,실시간콜입력!$E:$E,"D",실시간콜입력!$G:$G,$B1028,실시간콜입력!$O:$O,"방문완료")+COUNTIFS(실시간콜입력!$B:$B,$A1028,실시간콜입력!$E:$E,"D",실시간콜입력!$H:$H,$B1028,실시간콜입력!$O:$O,"방문완료")</f>
        <v>0</v>
      </c>
      <c r="J1028" s="29">
        <f>COUNTIFS(실시간콜입력!$B:$B,$A1028,실시간콜입력!$E:$E,"E",실시간콜입력!$G:$G,$B1028,실시간콜입력!$O:$O,"방문완료")+COUNTIFS(실시간콜입력!$B:$B,$A1028,실시간콜입력!$E:$E,"E",실시간콜입력!$H:$H,$B1028,실시간콜입력!$O:$O,"방문완료")</f>
        <v>0</v>
      </c>
      <c r="K1028" s="29">
        <f t="shared" si="138"/>
        <v>0</v>
      </c>
      <c r="L1028" s="33">
        <f>SUMIFS(실시간콜입력!$K:$K,실시간콜입력!$B:$B,$A1028,실시간콜입력!$G:$G,$B1028,실시간콜입력!$O:$O,"방문완료")+SUMIFS(실시간콜입력!$L:$L,실시간콜입력!$B:$B,$A1028,실시간콜입력!$H:$H,$B1028,실시간콜입력!$O:$O,"방문완료")</f>
        <v>0</v>
      </c>
      <c r="M1028" s="29" t="str">
        <f t="shared" si="139"/>
        <v/>
      </c>
      <c r="N1028" s="29"/>
    </row>
    <row r="1029" spans="1:14" ht="19.5" hidden="1" customHeight="1" outlineLevel="1">
      <c r="A1029" s="24">
        <f>IF(20&lt;=DAY(DATE(YEAR(설정_코스수당!$K$2),MONTH(설정_코스수당!$K$2)+1,0)),DATE(YEAR(설정_코스수당!$K$2),MONTH(설정_코스수당!$K$2),20),"")</f>
        <v>46193</v>
      </c>
      <c r="B1029" s="23" t="s">
        <v>197</v>
      </c>
      <c r="C1029" s="29"/>
      <c r="D1029" s="29"/>
      <c r="E1029" s="29" t="str">
        <f t="shared" si="137"/>
        <v/>
      </c>
      <c r="F1029" s="29">
        <f>COUNTIFS(실시간콜입력!$B:$B,$A1029,실시간콜입력!$E:$E,"A",실시간콜입력!$G:$G,$B1029,실시간콜입력!$O:$O,"방문완료")+COUNTIFS(실시간콜입력!$B:$B,$A1029,실시간콜입력!$E:$E,"A",실시간콜입력!$H:$H,$B1029,실시간콜입력!$O:$O,"방문완료")</f>
        <v>0</v>
      </c>
      <c r="G1029" s="29">
        <f>COUNTIFS(실시간콜입력!$B:$B,$A1029,실시간콜입력!$E:$E,"B",실시간콜입력!$G:$G,$B1029,실시간콜입력!$O:$O,"방문완료")+COUNTIFS(실시간콜입력!$B:$B,$A1029,실시간콜입력!$E:$E,"B",실시간콜입력!$H:$H,$B1029,실시간콜입력!$O:$O,"방문완료")</f>
        <v>0</v>
      </c>
      <c r="H1029" s="29">
        <f>COUNTIFS(실시간콜입력!$B:$B,$A1029,실시간콜입력!$E:$E,"C",실시간콜입력!$G:$G,$B1029,실시간콜입력!$O:$O,"방문완료")+COUNTIFS(실시간콜입력!$B:$B,$A1029,실시간콜입력!$E:$E,"C",실시간콜입력!$H:$H,$B1029,실시간콜입력!$O:$O,"방문완료")</f>
        <v>0</v>
      </c>
      <c r="I1029" s="29">
        <f>COUNTIFS(실시간콜입력!$B:$B,$A1029,실시간콜입력!$E:$E,"D",실시간콜입력!$G:$G,$B1029,실시간콜입력!$O:$O,"방문완료")+COUNTIFS(실시간콜입력!$B:$B,$A1029,실시간콜입력!$E:$E,"D",실시간콜입력!$H:$H,$B1029,실시간콜입력!$O:$O,"방문완료")</f>
        <v>0</v>
      </c>
      <c r="J1029" s="29">
        <f>COUNTIFS(실시간콜입력!$B:$B,$A1029,실시간콜입력!$E:$E,"E",실시간콜입력!$G:$G,$B1029,실시간콜입력!$O:$O,"방문완료")+COUNTIFS(실시간콜입력!$B:$B,$A1029,실시간콜입력!$E:$E,"E",실시간콜입력!$H:$H,$B1029,실시간콜입력!$O:$O,"방문완료")</f>
        <v>0</v>
      </c>
      <c r="K1029" s="29">
        <f t="shared" si="138"/>
        <v>0</v>
      </c>
      <c r="L1029" s="27">
        <f>SUMIFS(실시간콜입력!$K:$K,실시간콜입력!$B:$B,$A1029,실시간콜입력!$G:$G,$B1029,실시간콜입력!$O:$O,"방문완료")+SUMIFS(실시간콜입력!$L:$L,실시간콜입력!$B:$B,$A1029,실시간콜입력!$H:$H,$B1029,실시간콜입력!$O:$O,"방문완료")</f>
        <v>0</v>
      </c>
      <c r="M1029" s="29" t="str">
        <f t="shared" si="139"/>
        <v/>
      </c>
      <c r="N1029" s="29"/>
    </row>
    <row r="1030" spans="1:14" ht="19.5" hidden="1" customHeight="1" outlineLevel="1">
      <c r="A1030" s="30">
        <f>IF(20&lt;=DAY(DATE(YEAR(설정_코스수당!$K$2),MONTH(설정_코스수당!$K$2)+1,0)),DATE(YEAR(설정_코스수당!$K$2),MONTH(설정_코스수당!$K$2),20),"")</f>
        <v>46193</v>
      </c>
      <c r="B1030" s="29" t="s">
        <v>198</v>
      </c>
      <c r="C1030" s="29"/>
      <c r="D1030" s="29"/>
      <c r="E1030" s="29" t="str">
        <f t="shared" si="137"/>
        <v/>
      </c>
      <c r="F1030" s="29">
        <f>COUNTIFS(실시간콜입력!$B:$B,$A1030,실시간콜입력!$E:$E,"A",실시간콜입력!$G:$G,$B1030,실시간콜입력!$O:$O,"방문완료")+COUNTIFS(실시간콜입력!$B:$B,$A1030,실시간콜입력!$E:$E,"A",실시간콜입력!$H:$H,$B1030,실시간콜입력!$O:$O,"방문완료")</f>
        <v>0</v>
      </c>
      <c r="G1030" s="29">
        <f>COUNTIFS(실시간콜입력!$B:$B,$A1030,실시간콜입력!$E:$E,"B",실시간콜입력!$G:$G,$B1030,실시간콜입력!$O:$O,"방문완료")+COUNTIFS(실시간콜입력!$B:$B,$A1030,실시간콜입력!$E:$E,"B",실시간콜입력!$H:$H,$B1030,실시간콜입력!$O:$O,"방문완료")</f>
        <v>0</v>
      </c>
      <c r="H1030" s="29">
        <f>COUNTIFS(실시간콜입력!$B:$B,$A1030,실시간콜입력!$E:$E,"C",실시간콜입력!$G:$G,$B1030,실시간콜입력!$O:$O,"방문완료")+COUNTIFS(실시간콜입력!$B:$B,$A1030,실시간콜입력!$E:$E,"C",실시간콜입력!$H:$H,$B1030,실시간콜입력!$O:$O,"방문완료")</f>
        <v>0</v>
      </c>
      <c r="I1030" s="29">
        <f>COUNTIFS(실시간콜입력!$B:$B,$A1030,실시간콜입력!$E:$E,"D",실시간콜입력!$G:$G,$B1030,실시간콜입력!$O:$O,"방문완료")+COUNTIFS(실시간콜입력!$B:$B,$A1030,실시간콜입력!$E:$E,"D",실시간콜입력!$H:$H,$B1030,실시간콜입력!$O:$O,"방문완료")</f>
        <v>0</v>
      </c>
      <c r="J1030" s="29">
        <f>COUNTIFS(실시간콜입력!$B:$B,$A1030,실시간콜입력!$E:$E,"E",실시간콜입력!$G:$G,$B1030,실시간콜입력!$O:$O,"방문완료")+COUNTIFS(실시간콜입력!$B:$B,$A1030,실시간콜입력!$E:$E,"E",실시간콜입력!$H:$H,$B1030,실시간콜입력!$O:$O,"방문완료")</f>
        <v>0</v>
      </c>
      <c r="K1030" s="29">
        <f t="shared" si="138"/>
        <v>0</v>
      </c>
      <c r="L1030" s="33">
        <f>SUMIFS(실시간콜입력!$K:$K,실시간콜입력!$B:$B,$A1030,실시간콜입력!$G:$G,$B1030,실시간콜입력!$O:$O,"방문완료")+SUMIFS(실시간콜입력!$L:$L,실시간콜입력!$B:$B,$A1030,실시간콜입력!$H:$H,$B1030,실시간콜입력!$O:$O,"방문완료")</f>
        <v>0</v>
      </c>
      <c r="M1030" s="29" t="str">
        <f t="shared" si="139"/>
        <v/>
      </c>
      <c r="N1030" s="29"/>
    </row>
    <row r="1031" spans="1:14" ht="19.5" hidden="1" customHeight="1" outlineLevel="1">
      <c r="A1031" s="24">
        <f>IF(20&lt;=DAY(DATE(YEAR(설정_코스수당!$K$2),MONTH(설정_코스수당!$K$2)+1,0)),DATE(YEAR(설정_코스수당!$K$2),MONTH(설정_코스수당!$K$2),20),"")</f>
        <v>46193</v>
      </c>
      <c r="B1031" s="23" t="s">
        <v>199</v>
      </c>
      <c r="C1031" s="29"/>
      <c r="D1031" s="29"/>
      <c r="E1031" s="29" t="str">
        <f t="shared" si="137"/>
        <v/>
      </c>
      <c r="F1031" s="29">
        <f>COUNTIFS(실시간콜입력!$B:$B,$A1031,실시간콜입력!$E:$E,"A",실시간콜입력!$G:$G,$B1031,실시간콜입력!$O:$O,"방문완료")+COUNTIFS(실시간콜입력!$B:$B,$A1031,실시간콜입력!$E:$E,"A",실시간콜입력!$H:$H,$B1031,실시간콜입력!$O:$O,"방문완료")</f>
        <v>0</v>
      </c>
      <c r="G1031" s="29">
        <f>COUNTIFS(실시간콜입력!$B:$B,$A1031,실시간콜입력!$E:$E,"B",실시간콜입력!$G:$G,$B1031,실시간콜입력!$O:$O,"방문완료")+COUNTIFS(실시간콜입력!$B:$B,$A1031,실시간콜입력!$E:$E,"B",실시간콜입력!$H:$H,$B1031,실시간콜입력!$O:$O,"방문완료")</f>
        <v>0</v>
      </c>
      <c r="H1031" s="29">
        <f>COUNTIFS(실시간콜입력!$B:$B,$A1031,실시간콜입력!$E:$E,"C",실시간콜입력!$G:$G,$B1031,실시간콜입력!$O:$O,"방문완료")+COUNTIFS(실시간콜입력!$B:$B,$A1031,실시간콜입력!$E:$E,"C",실시간콜입력!$H:$H,$B1031,실시간콜입력!$O:$O,"방문완료")</f>
        <v>0</v>
      </c>
      <c r="I1031" s="29">
        <f>COUNTIFS(실시간콜입력!$B:$B,$A1031,실시간콜입력!$E:$E,"D",실시간콜입력!$G:$G,$B1031,실시간콜입력!$O:$O,"방문완료")+COUNTIFS(실시간콜입력!$B:$B,$A1031,실시간콜입력!$E:$E,"D",실시간콜입력!$H:$H,$B1031,실시간콜입력!$O:$O,"방문완료")</f>
        <v>0</v>
      </c>
      <c r="J1031" s="29">
        <f>COUNTIFS(실시간콜입력!$B:$B,$A1031,실시간콜입력!$E:$E,"E",실시간콜입력!$G:$G,$B1031,실시간콜입력!$O:$O,"방문완료")+COUNTIFS(실시간콜입력!$B:$B,$A1031,실시간콜입력!$E:$E,"E",실시간콜입력!$H:$H,$B1031,실시간콜입력!$O:$O,"방문완료")</f>
        <v>0</v>
      </c>
      <c r="K1031" s="29">
        <f t="shared" si="138"/>
        <v>0</v>
      </c>
      <c r="L1031" s="27">
        <f>SUMIFS(실시간콜입력!$K:$K,실시간콜입력!$B:$B,$A1031,실시간콜입력!$G:$G,$B1031,실시간콜입력!$O:$O,"방문완료")+SUMIFS(실시간콜입력!$L:$L,실시간콜입력!$B:$B,$A1031,실시간콜입력!$H:$H,$B1031,실시간콜입력!$O:$O,"방문완료")</f>
        <v>0</v>
      </c>
      <c r="M1031" s="29" t="str">
        <f t="shared" si="139"/>
        <v/>
      </c>
      <c r="N1031" s="29"/>
    </row>
    <row r="1032" spans="1:14" ht="19.5" hidden="1" customHeight="1" outlineLevel="1">
      <c r="A1032" s="30">
        <f>IF(20&lt;=DAY(DATE(YEAR(설정_코스수당!$K$2),MONTH(설정_코스수당!$K$2)+1,0)),DATE(YEAR(설정_코스수당!$K$2),MONTH(설정_코스수당!$K$2),20),"")</f>
        <v>46193</v>
      </c>
      <c r="B1032" s="29" t="s">
        <v>200</v>
      </c>
      <c r="C1032" s="29"/>
      <c r="D1032" s="29"/>
      <c r="E1032" s="29" t="str">
        <f t="shared" si="137"/>
        <v/>
      </c>
      <c r="F1032" s="29">
        <f>COUNTIFS(실시간콜입력!$B:$B,$A1032,실시간콜입력!$E:$E,"A",실시간콜입력!$G:$G,$B1032,실시간콜입력!$O:$O,"방문완료")+COUNTIFS(실시간콜입력!$B:$B,$A1032,실시간콜입력!$E:$E,"A",실시간콜입력!$H:$H,$B1032,실시간콜입력!$O:$O,"방문완료")</f>
        <v>0</v>
      </c>
      <c r="G1032" s="29">
        <f>COUNTIFS(실시간콜입력!$B:$B,$A1032,실시간콜입력!$E:$E,"B",실시간콜입력!$G:$G,$B1032,실시간콜입력!$O:$O,"방문완료")+COUNTIFS(실시간콜입력!$B:$B,$A1032,실시간콜입력!$E:$E,"B",실시간콜입력!$H:$H,$B1032,실시간콜입력!$O:$O,"방문완료")</f>
        <v>0</v>
      </c>
      <c r="H1032" s="29">
        <f>COUNTIFS(실시간콜입력!$B:$B,$A1032,실시간콜입력!$E:$E,"C",실시간콜입력!$G:$G,$B1032,실시간콜입력!$O:$O,"방문완료")+COUNTIFS(실시간콜입력!$B:$B,$A1032,실시간콜입력!$E:$E,"C",실시간콜입력!$H:$H,$B1032,실시간콜입력!$O:$O,"방문완료")</f>
        <v>0</v>
      </c>
      <c r="I1032" s="29">
        <f>COUNTIFS(실시간콜입력!$B:$B,$A1032,실시간콜입력!$E:$E,"D",실시간콜입력!$G:$G,$B1032,실시간콜입력!$O:$O,"방문완료")+COUNTIFS(실시간콜입력!$B:$B,$A1032,실시간콜입력!$E:$E,"D",실시간콜입력!$H:$H,$B1032,실시간콜입력!$O:$O,"방문완료")</f>
        <v>0</v>
      </c>
      <c r="J1032" s="29">
        <f>COUNTIFS(실시간콜입력!$B:$B,$A1032,실시간콜입력!$E:$E,"E",실시간콜입력!$G:$G,$B1032,실시간콜입력!$O:$O,"방문완료")+COUNTIFS(실시간콜입력!$B:$B,$A1032,실시간콜입력!$E:$E,"E",실시간콜입력!$H:$H,$B1032,실시간콜입력!$O:$O,"방문완료")</f>
        <v>0</v>
      </c>
      <c r="K1032" s="29">
        <f t="shared" si="138"/>
        <v>0</v>
      </c>
      <c r="L1032" s="33">
        <f>SUMIFS(실시간콜입력!$K:$K,실시간콜입력!$B:$B,$A1032,실시간콜입력!$G:$G,$B1032,실시간콜입력!$O:$O,"방문완료")+SUMIFS(실시간콜입력!$L:$L,실시간콜입력!$B:$B,$A1032,실시간콜입력!$H:$H,$B1032,실시간콜입력!$O:$O,"방문완료")</f>
        <v>0</v>
      </c>
      <c r="M1032" s="29" t="str">
        <f t="shared" si="139"/>
        <v/>
      </c>
      <c r="N1032" s="29"/>
    </row>
    <row r="1033" spans="1:14" ht="19.5" hidden="1" customHeight="1" outlineLevel="1">
      <c r="A1033" s="24">
        <f>IF(20&lt;=DAY(DATE(YEAR(설정_코스수당!$K$2),MONTH(설정_코스수당!$K$2)+1,0)),DATE(YEAR(설정_코스수당!$K$2),MONTH(설정_코스수당!$K$2),20),"")</f>
        <v>46193</v>
      </c>
      <c r="B1033" s="23" t="s">
        <v>201</v>
      </c>
      <c r="C1033" s="29"/>
      <c r="D1033" s="29"/>
      <c r="E1033" s="29" t="str">
        <f t="shared" si="137"/>
        <v/>
      </c>
      <c r="F1033" s="29">
        <f>COUNTIFS(실시간콜입력!$B:$B,$A1033,실시간콜입력!$E:$E,"A",실시간콜입력!$G:$G,$B1033,실시간콜입력!$O:$O,"방문완료")+COUNTIFS(실시간콜입력!$B:$B,$A1033,실시간콜입력!$E:$E,"A",실시간콜입력!$H:$H,$B1033,실시간콜입력!$O:$O,"방문완료")</f>
        <v>0</v>
      </c>
      <c r="G1033" s="29">
        <f>COUNTIFS(실시간콜입력!$B:$B,$A1033,실시간콜입력!$E:$E,"B",실시간콜입력!$G:$G,$B1033,실시간콜입력!$O:$O,"방문완료")+COUNTIFS(실시간콜입력!$B:$B,$A1033,실시간콜입력!$E:$E,"B",실시간콜입력!$H:$H,$B1033,실시간콜입력!$O:$O,"방문완료")</f>
        <v>0</v>
      </c>
      <c r="H1033" s="29">
        <f>COUNTIFS(실시간콜입력!$B:$B,$A1033,실시간콜입력!$E:$E,"C",실시간콜입력!$G:$G,$B1033,실시간콜입력!$O:$O,"방문완료")+COUNTIFS(실시간콜입력!$B:$B,$A1033,실시간콜입력!$E:$E,"C",실시간콜입력!$H:$H,$B1033,실시간콜입력!$O:$O,"방문완료")</f>
        <v>0</v>
      </c>
      <c r="I1033" s="29">
        <f>COUNTIFS(실시간콜입력!$B:$B,$A1033,실시간콜입력!$E:$E,"D",실시간콜입력!$G:$G,$B1033,실시간콜입력!$O:$O,"방문완료")+COUNTIFS(실시간콜입력!$B:$B,$A1033,실시간콜입력!$E:$E,"D",실시간콜입력!$H:$H,$B1033,실시간콜입력!$O:$O,"방문완료")</f>
        <v>0</v>
      </c>
      <c r="J1033" s="29">
        <f>COUNTIFS(실시간콜입력!$B:$B,$A1033,실시간콜입력!$E:$E,"E",실시간콜입력!$G:$G,$B1033,실시간콜입력!$O:$O,"방문완료")+COUNTIFS(실시간콜입력!$B:$B,$A1033,실시간콜입력!$E:$E,"E",실시간콜입력!$H:$H,$B1033,실시간콜입력!$O:$O,"방문완료")</f>
        <v>0</v>
      </c>
      <c r="K1033" s="29">
        <f t="shared" si="138"/>
        <v>0</v>
      </c>
      <c r="L1033" s="27">
        <f>SUMIFS(실시간콜입력!$K:$K,실시간콜입력!$B:$B,$A1033,실시간콜입력!$G:$G,$B1033,실시간콜입력!$O:$O,"방문완료")+SUMIFS(실시간콜입력!$L:$L,실시간콜입력!$B:$B,$A1033,실시간콜입력!$H:$H,$B1033,실시간콜입력!$O:$O,"방문완료")</f>
        <v>0</v>
      </c>
      <c r="M1033" s="29" t="str">
        <f t="shared" si="139"/>
        <v/>
      </c>
      <c r="N1033" s="29"/>
    </row>
    <row r="1034" spans="1:14" ht="19.5" hidden="1" customHeight="1" outlineLevel="1">
      <c r="A1034" s="30">
        <f>IF(20&lt;=DAY(DATE(YEAR(설정_코스수당!$K$2),MONTH(설정_코스수당!$K$2)+1,0)),DATE(YEAR(설정_코스수당!$K$2),MONTH(설정_코스수당!$K$2),20),"")</f>
        <v>46193</v>
      </c>
      <c r="B1034" s="29" t="s">
        <v>202</v>
      </c>
      <c r="C1034" s="29"/>
      <c r="D1034" s="29"/>
      <c r="E1034" s="29" t="str">
        <f t="shared" si="137"/>
        <v/>
      </c>
      <c r="F1034" s="29">
        <f>COUNTIFS(실시간콜입력!$B:$B,$A1034,실시간콜입력!$E:$E,"A",실시간콜입력!$G:$G,$B1034,실시간콜입력!$O:$O,"방문완료")+COUNTIFS(실시간콜입력!$B:$B,$A1034,실시간콜입력!$E:$E,"A",실시간콜입력!$H:$H,$B1034,실시간콜입력!$O:$O,"방문완료")</f>
        <v>0</v>
      </c>
      <c r="G1034" s="29">
        <f>COUNTIFS(실시간콜입력!$B:$B,$A1034,실시간콜입력!$E:$E,"B",실시간콜입력!$G:$G,$B1034,실시간콜입력!$O:$O,"방문완료")+COUNTIFS(실시간콜입력!$B:$B,$A1034,실시간콜입력!$E:$E,"B",실시간콜입력!$H:$H,$B1034,실시간콜입력!$O:$O,"방문완료")</f>
        <v>0</v>
      </c>
      <c r="H1034" s="29">
        <f>COUNTIFS(실시간콜입력!$B:$B,$A1034,실시간콜입력!$E:$E,"C",실시간콜입력!$G:$G,$B1034,실시간콜입력!$O:$O,"방문완료")+COUNTIFS(실시간콜입력!$B:$B,$A1034,실시간콜입력!$E:$E,"C",실시간콜입력!$H:$H,$B1034,실시간콜입력!$O:$O,"방문완료")</f>
        <v>0</v>
      </c>
      <c r="I1034" s="29">
        <f>COUNTIFS(실시간콜입력!$B:$B,$A1034,실시간콜입력!$E:$E,"D",실시간콜입력!$G:$G,$B1034,실시간콜입력!$O:$O,"방문완료")+COUNTIFS(실시간콜입력!$B:$B,$A1034,실시간콜입력!$E:$E,"D",실시간콜입력!$H:$H,$B1034,실시간콜입력!$O:$O,"방문완료")</f>
        <v>0</v>
      </c>
      <c r="J1034" s="29">
        <f>COUNTIFS(실시간콜입력!$B:$B,$A1034,실시간콜입력!$E:$E,"E",실시간콜입력!$G:$G,$B1034,실시간콜입력!$O:$O,"방문완료")+COUNTIFS(실시간콜입력!$B:$B,$A1034,실시간콜입력!$E:$E,"E",실시간콜입력!$H:$H,$B1034,실시간콜입력!$O:$O,"방문완료")</f>
        <v>0</v>
      </c>
      <c r="K1034" s="29">
        <f t="shared" si="138"/>
        <v>0</v>
      </c>
      <c r="L1034" s="33">
        <f>SUMIFS(실시간콜입력!$K:$K,실시간콜입력!$B:$B,$A1034,실시간콜입력!$G:$G,$B1034,실시간콜입력!$O:$O,"방문완료")+SUMIFS(실시간콜입력!$L:$L,실시간콜입력!$B:$B,$A1034,실시간콜입력!$H:$H,$B1034,실시간콜입력!$O:$O,"방문완료")</f>
        <v>0</v>
      </c>
      <c r="M1034" s="29" t="str">
        <f t="shared" si="139"/>
        <v/>
      </c>
      <c r="N1034" s="29"/>
    </row>
    <row r="1035" spans="1:14" ht="19.5" hidden="1" customHeight="1" outlineLevel="1">
      <c r="A1035" s="24">
        <f>IF(20&lt;=DAY(DATE(YEAR(설정_코스수당!$K$2),MONTH(설정_코스수당!$K$2)+1,0)),DATE(YEAR(설정_코스수당!$K$2),MONTH(설정_코스수당!$K$2),20),"")</f>
        <v>46193</v>
      </c>
      <c r="B1035" s="23" t="s">
        <v>203</v>
      </c>
      <c r="C1035" s="29"/>
      <c r="D1035" s="29"/>
      <c r="E1035" s="29" t="str">
        <f t="shared" si="137"/>
        <v/>
      </c>
      <c r="F1035" s="29">
        <f>COUNTIFS(실시간콜입력!$B:$B,$A1035,실시간콜입력!$E:$E,"A",실시간콜입력!$G:$G,$B1035,실시간콜입력!$O:$O,"방문완료")+COUNTIFS(실시간콜입력!$B:$B,$A1035,실시간콜입력!$E:$E,"A",실시간콜입력!$H:$H,$B1035,실시간콜입력!$O:$O,"방문완료")</f>
        <v>0</v>
      </c>
      <c r="G1035" s="29">
        <f>COUNTIFS(실시간콜입력!$B:$B,$A1035,실시간콜입력!$E:$E,"B",실시간콜입력!$G:$G,$B1035,실시간콜입력!$O:$O,"방문완료")+COUNTIFS(실시간콜입력!$B:$B,$A1035,실시간콜입력!$E:$E,"B",실시간콜입력!$H:$H,$B1035,실시간콜입력!$O:$O,"방문완료")</f>
        <v>0</v>
      </c>
      <c r="H1035" s="29">
        <f>COUNTIFS(실시간콜입력!$B:$B,$A1035,실시간콜입력!$E:$E,"C",실시간콜입력!$G:$G,$B1035,실시간콜입력!$O:$O,"방문완료")+COUNTIFS(실시간콜입력!$B:$B,$A1035,실시간콜입력!$E:$E,"C",실시간콜입력!$H:$H,$B1035,실시간콜입력!$O:$O,"방문완료")</f>
        <v>0</v>
      </c>
      <c r="I1035" s="29">
        <f>COUNTIFS(실시간콜입력!$B:$B,$A1035,실시간콜입력!$E:$E,"D",실시간콜입력!$G:$G,$B1035,실시간콜입력!$O:$O,"방문완료")+COUNTIFS(실시간콜입력!$B:$B,$A1035,실시간콜입력!$E:$E,"D",실시간콜입력!$H:$H,$B1035,실시간콜입력!$O:$O,"방문완료")</f>
        <v>0</v>
      </c>
      <c r="J1035" s="29">
        <f>COUNTIFS(실시간콜입력!$B:$B,$A1035,실시간콜입력!$E:$E,"E",실시간콜입력!$G:$G,$B1035,실시간콜입력!$O:$O,"방문완료")+COUNTIFS(실시간콜입력!$B:$B,$A1035,실시간콜입력!$E:$E,"E",실시간콜입력!$H:$H,$B1035,실시간콜입력!$O:$O,"방문완료")</f>
        <v>0</v>
      </c>
      <c r="K1035" s="29">
        <f t="shared" si="138"/>
        <v>0</v>
      </c>
      <c r="L1035" s="27">
        <f>SUMIFS(실시간콜입력!$K:$K,실시간콜입력!$B:$B,$A1035,실시간콜입력!$G:$G,$B1035,실시간콜입력!$O:$O,"방문완료")+SUMIFS(실시간콜입력!$L:$L,실시간콜입력!$B:$B,$A1035,실시간콜입력!$H:$H,$B1035,실시간콜입력!$O:$O,"방문완료")</f>
        <v>0</v>
      </c>
      <c r="M1035" s="29" t="str">
        <f t="shared" si="139"/>
        <v/>
      </c>
      <c r="N1035" s="29"/>
    </row>
    <row r="1036" spans="1:14" ht="19.5" hidden="1" customHeight="1" outlineLevel="1">
      <c r="A1036" s="30">
        <f>IF(20&lt;=DAY(DATE(YEAR(설정_코스수당!$K$2),MONTH(설정_코스수당!$K$2)+1,0)),DATE(YEAR(설정_코스수당!$K$2),MONTH(설정_코스수당!$K$2),20),"")</f>
        <v>46193</v>
      </c>
      <c r="B1036" s="29" t="s">
        <v>204</v>
      </c>
      <c r="C1036" s="29"/>
      <c r="D1036" s="29"/>
      <c r="E1036" s="29" t="str">
        <f t="shared" si="137"/>
        <v/>
      </c>
      <c r="F1036" s="29">
        <f>COUNTIFS(실시간콜입력!$B:$B,$A1036,실시간콜입력!$E:$E,"A",실시간콜입력!$G:$G,$B1036,실시간콜입력!$O:$O,"방문완료")+COUNTIFS(실시간콜입력!$B:$B,$A1036,실시간콜입력!$E:$E,"A",실시간콜입력!$H:$H,$B1036,실시간콜입력!$O:$O,"방문완료")</f>
        <v>0</v>
      </c>
      <c r="G1036" s="29">
        <f>COUNTIFS(실시간콜입력!$B:$B,$A1036,실시간콜입력!$E:$E,"B",실시간콜입력!$G:$G,$B1036,실시간콜입력!$O:$O,"방문완료")+COUNTIFS(실시간콜입력!$B:$B,$A1036,실시간콜입력!$E:$E,"B",실시간콜입력!$H:$H,$B1036,실시간콜입력!$O:$O,"방문완료")</f>
        <v>0</v>
      </c>
      <c r="H1036" s="29">
        <f>COUNTIFS(실시간콜입력!$B:$B,$A1036,실시간콜입력!$E:$E,"C",실시간콜입력!$G:$G,$B1036,실시간콜입력!$O:$O,"방문완료")+COUNTIFS(실시간콜입력!$B:$B,$A1036,실시간콜입력!$E:$E,"C",실시간콜입력!$H:$H,$B1036,실시간콜입력!$O:$O,"방문완료")</f>
        <v>0</v>
      </c>
      <c r="I1036" s="29">
        <f>COUNTIFS(실시간콜입력!$B:$B,$A1036,실시간콜입력!$E:$E,"D",실시간콜입력!$G:$G,$B1036,실시간콜입력!$O:$O,"방문완료")+COUNTIFS(실시간콜입력!$B:$B,$A1036,실시간콜입력!$E:$E,"D",실시간콜입력!$H:$H,$B1036,실시간콜입력!$O:$O,"방문완료")</f>
        <v>0</v>
      </c>
      <c r="J1036" s="29">
        <f>COUNTIFS(실시간콜입력!$B:$B,$A1036,실시간콜입력!$E:$E,"E",실시간콜입력!$G:$G,$B1036,실시간콜입력!$O:$O,"방문완료")+COUNTIFS(실시간콜입력!$B:$B,$A1036,실시간콜입력!$E:$E,"E",실시간콜입력!$H:$H,$B1036,실시간콜입력!$O:$O,"방문완료")</f>
        <v>0</v>
      </c>
      <c r="K1036" s="29">
        <f t="shared" si="138"/>
        <v>0</v>
      </c>
      <c r="L1036" s="33">
        <f>SUMIFS(실시간콜입력!$K:$K,실시간콜입력!$B:$B,$A1036,실시간콜입력!$G:$G,$B1036,실시간콜입력!$O:$O,"방문완료")+SUMIFS(실시간콜입력!$L:$L,실시간콜입력!$B:$B,$A1036,실시간콜입력!$H:$H,$B1036,실시간콜입력!$O:$O,"방문완료")</f>
        <v>0</v>
      </c>
      <c r="M1036" s="29" t="str">
        <f t="shared" si="139"/>
        <v/>
      </c>
      <c r="N1036" s="29"/>
    </row>
    <row r="1037" spans="1:14" ht="19.5" hidden="1" customHeight="1" outlineLevel="1">
      <c r="A1037" s="24">
        <f>IF(20&lt;=DAY(DATE(YEAR(설정_코스수당!$K$2),MONTH(설정_코스수당!$K$2)+1,0)),DATE(YEAR(설정_코스수당!$K$2),MONTH(설정_코스수당!$K$2),20),"")</f>
        <v>46193</v>
      </c>
      <c r="B1037" s="23" t="s">
        <v>205</v>
      </c>
      <c r="C1037" s="29"/>
      <c r="D1037" s="29"/>
      <c r="E1037" s="29" t="str">
        <f t="shared" si="137"/>
        <v/>
      </c>
      <c r="F1037" s="29">
        <f>COUNTIFS(실시간콜입력!$B:$B,$A1037,실시간콜입력!$E:$E,"A",실시간콜입력!$G:$G,$B1037,실시간콜입력!$O:$O,"방문완료")+COUNTIFS(실시간콜입력!$B:$B,$A1037,실시간콜입력!$E:$E,"A",실시간콜입력!$H:$H,$B1037,실시간콜입력!$O:$O,"방문완료")</f>
        <v>0</v>
      </c>
      <c r="G1037" s="29">
        <f>COUNTIFS(실시간콜입력!$B:$B,$A1037,실시간콜입력!$E:$E,"B",실시간콜입력!$G:$G,$B1037,실시간콜입력!$O:$O,"방문완료")+COUNTIFS(실시간콜입력!$B:$B,$A1037,실시간콜입력!$E:$E,"B",실시간콜입력!$H:$H,$B1037,실시간콜입력!$O:$O,"방문완료")</f>
        <v>0</v>
      </c>
      <c r="H1037" s="29">
        <f>COUNTIFS(실시간콜입력!$B:$B,$A1037,실시간콜입력!$E:$E,"C",실시간콜입력!$G:$G,$B1037,실시간콜입력!$O:$O,"방문완료")+COUNTIFS(실시간콜입력!$B:$B,$A1037,실시간콜입력!$E:$E,"C",실시간콜입력!$H:$H,$B1037,실시간콜입력!$O:$O,"방문완료")</f>
        <v>0</v>
      </c>
      <c r="I1037" s="29">
        <f>COUNTIFS(실시간콜입력!$B:$B,$A1037,실시간콜입력!$E:$E,"D",실시간콜입력!$G:$G,$B1037,실시간콜입력!$O:$O,"방문완료")+COUNTIFS(실시간콜입력!$B:$B,$A1037,실시간콜입력!$E:$E,"D",실시간콜입력!$H:$H,$B1037,실시간콜입력!$O:$O,"방문완료")</f>
        <v>0</v>
      </c>
      <c r="J1037" s="29">
        <f>COUNTIFS(실시간콜입력!$B:$B,$A1037,실시간콜입력!$E:$E,"E",실시간콜입력!$G:$G,$B1037,실시간콜입력!$O:$O,"방문완료")+COUNTIFS(실시간콜입력!$B:$B,$A1037,실시간콜입력!$E:$E,"E",실시간콜입력!$H:$H,$B1037,실시간콜입력!$O:$O,"방문완료")</f>
        <v>0</v>
      </c>
      <c r="K1037" s="29">
        <f t="shared" si="138"/>
        <v>0</v>
      </c>
      <c r="L1037" s="27">
        <f>SUMIFS(실시간콜입력!$K:$K,실시간콜입력!$B:$B,$A1037,실시간콜입력!$G:$G,$B1037,실시간콜입력!$O:$O,"방문완료")+SUMIFS(실시간콜입력!$L:$L,실시간콜입력!$B:$B,$A1037,실시간콜입력!$H:$H,$B1037,실시간콜입력!$O:$O,"방문완료")</f>
        <v>0</v>
      </c>
      <c r="M1037" s="29" t="str">
        <f t="shared" si="139"/>
        <v/>
      </c>
      <c r="N1037" s="29"/>
    </row>
    <row r="1038" spans="1:14" ht="19.5" hidden="1" customHeight="1" outlineLevel="1">
      <c r="A1038" s="30">
        <f>IF(20&lt;=DAY(DATE(YEAR(설정_코스수당!$K$2),MONTH(설정_코스수당!$K$2)+1,0)),DATE(YEAR(설정_코스수당!$K$2),MONTH(설정_코스수당!$K$2),20),"")</f>
        <v>46193</v>
      </c>
      <c r="B1038" s="29" t="s">
        <v>206</v>
      </c>
      <c r="C1038" s="29"/>
      <c r="D1038" s="29"/>
      <c r="E1038" s="29" t="str">
        <f t="shared" si="137"/>
        <v/>
      </c>
      <c r="F1038" s="29">
        <f>COUNTIFS(실시간콜입력!$B:$B,$A1038,실시간콜입력!$E:$E,"A",실시간콜입력!$G:$G,$B1038,실시간콜입력!$O:$O,"방문완료")+COUNTIFS(실시간콜입력!$B:$B,$A1038,실시간콜입력!$E:$E,"A",실시간콜입력!$H:$H,$B1038,실시간콜입력!$O:$O,"방문완료")</f>
        <v>0</v>
      </c>
      <c r="G1038" s="29">
        <f>COUNTIFS(실시간콜입력!$B:$B,$A1038,실시간콜입력!$E:$E,"B",실시간콜입력!$G:$G,$B1038,실시간콜입력!$O:$O,"방문완료")+COUNTIFS(실시간콜입력!$B:$B,$A1038,실시간콜입력!$E:$E,"B",실시간콜입력!$H:$H,$B1038,실시간콜입력!$O:$O,"방문완료")</f>
        <v>0</v>
      </c>
      <c r="H1038" s="29">
        <f>COUNTIFS(실시간콜입력!$B:$B,$A1038,실시간콜입력!$E:$E,"C",실시간콜입력!$G:$G,$B1038,실시간콜입력!$O:$O,"방문완료")+COUNTIFS(실시간콜입력!$B:$B,$A1038,실시간콜입력!$E:$E,"C",실시간콜입력!$H:$H,$B1038,실시간콜입력!$O:$O,"방문완료")</f>
        <v>0</v>
      </c>
      <c r="I1038" s="29">
        <f>COUNTIFS(실시간콜입력!$B:$B,$A1038,실시간콜입력!$E:$E,"D",실시간콜입력!$G:$G,$B1038,실시간콜입력!$O:$O,"방문완료")+COUNTIFS(실시간콜입력!$B:$B,$A1038,실시간콜입력!$E:$E,"D",실시간콜입력!$H:$H,$B1038,실시간콜입력!$O:$O,"방문완료")</f>
        <v>0</v>
      </c>
      <c r="J1038" s="29">
        <f>COUNTIFS(실시간콜입력!$B:$B,$A1038,실시간콜입력!$E:$E,"E",실시간콜입력!$G:$G,$B1038,실시간콜입력!$O:$O,"방문완료")+COUNTIFS(실시간콜입력!$B:$B,$A1038,실시간콜입력!$E:$E,"E",실시간콜입력!$H:$H,$B1038,실시간콜입력!$O:$O,"방문완료")</f>
        <v>0</v>
      </c>
      <c r="K1038" s="29">
        <f t="shared" si="138"/>
        <v>0</v>
      </c>
      <c r="L1038" s="33">
        <f>SUMIFS(실시간콜입력!$K:$K,실시간콜입력!$B:$B,$A1038,실시간콜입력!$G:$G,$B1038,실시간콜입력!$O:$O,"방문완료")+SUMIFS(실시간콜입력!$L:$L,실시간콜입력!$B:$B,$A1038,실시간콜입력!$H:$H,$B1038,실시간콜입력!$O:$O,"방문완료")</f>
        <v>0</v>
      </c>
      <c r="M1038" s="29" t="str">
        <f t="shared" si="139"/>
        <v/>
      </c>
      <c r="N1038" s="29"/>
    </row>
    <row r="1039" spans="1:14" ht="19.5" hidden="1" customHeight="1" outlineLevel="1">
      <c r="A1039" s="24">
        <f>IF(20&lt;=DAY(DATE(YEAR(설정_코스수당!$K$2),MONTH(설정_코스수당!$K$2)+1,0)),DATE(YEAR(설정_코스수당!$K$2),MONTH(설정_코스수당!$K$2),20),"")</f>
        <v>46193</v>
      </c>
      <c r="B1039" s="23" t="s">
        <v>207</v>
      </c>
      <c r="C1039" s="29"/>
      <c r="D1039" s="29"/>
      <c r="E1039" s="29" t="str">
        <f t="shared" si="137"/>
        <v/>
      </c>
      <c r="F1039" s="29">
        <f>COUNTIFS(실시간콜입력!$B:$B,$A1039,실시간콜입력!$E:$E,"A",실시간콜입력!$G:$G,$B1039,실시간콜입력!$O:$O,"방문완료")+COUNTIFS(실시간콜입력!$B:$B,$A1039,실시간콜입력!$E:$E,"A",실시간콜입력!$H:$H,$B1039,실시간콜입력!$O:$O,"방문완료")</f>
        <v>0</v>
      </c>
      <c r="G1039" s="29">
        <f>COUNTIFS(실시간콜입력!$B:$B,$A1039,실시간콜입력!$E:$E,"B",실시간콜입력!$G:$G,$B1039,실시간콜입력!$O:$O,"방문완료")+COUNTIFS(실시간콜입력!$B:$B,$A1039,실시간콜입력!$E:$E,"B",실시간콜입력!$H:$H,$B1039,실시간콜입력!$O:$O,"방문완료")</f>
        <v>0</v>
      </c>
      <c r="H1039" s="29">
        <f>COUNTIFS(실시간콜입력!$B:$B,$A1039,실시간콜입력!$E:$E,"C",실시간콜입력!$G:$G,$B1039,실시간콜입력!$O:$O,"방문완료")+COUNTIFS(실시간콜입력!$B:$B,$A1039,실시간콜입력!$E:$E,"C",실시간콜입력!$H:$H,$B1039,실시간콜입력!$O:$O,"방문완료")</f>
        <v>0</v>
      </c>
      <c r="I1039" s="29">
        <f>COUNTIFS(실시간콜입력!$B:$B,$A1039,실시간콜입력!$E:$E,"D",실시간콜입력!$G:$G,$B1039,실시간콜입력!$O:$O,"방문완료")+COUNTIFS(실시간콜입력!$B:$B,$A1039,실시간콜입력!$E:$E,"D",실시간콜입력!$H:$H,$B1039,실시간콜입력!$O:$O,"방문완료")</f>
        <v>0</v>
      </c>
      <c r="J1039" s="29">
        <f>COUNTIFS(실시간콜입력!$B:$B,$A1039,실시간콜입력!$E:$E,"E",실시간콜입력!$G:$G,$B1039,실시간콜입력!$O:$O,"방문완료")+COUNTIFS(실시간콜입력!$B:$B,$A1039,실시간콜입력!$E:$E,"E",실시간콜입력!$H:$H,$B1039,실시간콜입력!$O:$O,"방문완료")</f>
        <v>0</v>
      </c>
      <c r="K1039" s="29">
        <f t="shared" si="138"/>
        <v>0</v>
      </c>
      <c r="L1039" s="27">
        <f>SUMIFS(실시간콜입력!$K:$K,실시간콜입력!$B:$B,$A1039,실시간콜입력!$G:$G,$B1039,실시간콜입력!$O:$O,"방문완료")+SUMIFS(실시간콜입력!$L:$L,실시간콜입력!$B:$B,$A1039,실시간콜입력!$H:$H,$B1039,실시간콜입력!$O:$O,"방문완료")</f>
        <v>0</v>
      </c>
      <c r="M1039" s="29" t="str">
        <f t="shared" si="139"/>
        <v/>
      </c>
      <c r="N1039" s="29"/>
    </row>
    <row r="1040" spans="1:14" ht="19.5" hidden="1" customHeight="1" outlineLevel="1">
      <c r="A1040" s="30">
        <f>IF(20&lt;=DAY(DATE(YEAR(설정_코스수당!$K$2),MONTH(설정_코스수당!$K$2)+1,0)),DATE(YEAR(설정_코스수당!$K$2),MONTH(설정_코스수당!$K$2),20),"")</f>
        <v>46193</v>
      </c>
      <c r="B1040" s="29" t="s">
        <v>208</v>
      </c>
      <c r="C1040" s="29"/>
      <c r="D1040" s="29"/>
      <c r="E1040" s="29" t="str">
        <f t="shared" si="137"/>
        <v/>
      </c>
      <c r="F1040" s="29">
        <f>COUNTIFS(실시간콜입력!$B:$B,$A1040,실시간콜입력!$E:$E,"A",실시간콜입력!$G:$G,$B1040,실시간콜입력!$O:$O,"방문완료")+COUNTIFS(실시간콜입력!$B:$B,$A1040,실시간콜입력!$E:$E,"A",실시간콜입력!$H:$H,$B1040,실시간콜입력!$O:$O,"방문완료")</f>
        <v>0</v>
      </c>
      <c r="G1040" s="29">
        <f>COUNTIFS(실시간콜입력!$B:$B,$A1040,실시간콜입력!$E:$E,"B",실시간콜입력!$G:$G,$B1040,실시간콜입력!$O:$O,"방문완료")+COUNTIFS(실시간콜입력!$B:$B,$A1040,실시간콜입력!$E:$E,"B",실시간콜입력!$H:$H,$B1040,실시간콜입력!$O:$O,"방문완료")</f>
        <v>0</v>
      </c>
      <c r="H1040" s="29">
        <f>COUNTIFS(실시간콜입력!$B:$B,$A1040,실시간콜입력!$E:$E,"C",실시간콜입력!$G:$G,$B1040,실시간콜입력!$O:$O,"방문완료")+COUNTIFS(실시간콜입력!$B:$B,$A1040,실시간콜입력!$E:$E,"C",실시간콜입력!$H:$H,$B1040,실시간콜입력!$O:$O,"방문완료")</f>
        <v>0</v>
      </c>
      <c r="I1040" s="29">
        <f>COUNTIFS(실시간콜입력!$B:$B,$A1040,실시간콜입력!$E:$E,"D",실시간콜입력!$G:$G,$B1040,실시간콜입력!$O:$O,"방문완료")+COUNTIFS(실시간콜입력!$B:$B,$A1040,실시간콜입력!$E:$E,"D",실시간콜입력!$H:$H,$B1040,실시간콜입력!$O:$O,"방문완료")</f>
        <v>0</v>
      </c>
      <c r="J1040" s="29">
        <f>COUNTIFS(실시간콜입력!$B:$B,$A1040,실시간콜입력!$E:$E,"E",실시간콜입력!$G:$G,$B1040,실시간콜입력!$O:$O,"방문완료")+COUNTIFS(실시간콜입력!$B:$B,$A1040,실시간콜입력!$E:$E,"E",실시간콜입력!$H:$H,$B1040,실시간콜입력!$O:$O,"방문완료")</f>
        <v>0</v>
      </c>
      <c r="K1040" s="29">
        <f t="shared" si="138"/>
        <v>0</v>
      </c>
      <c r="L1040" s="33">
        <f>SUMIFS(실시간콜입력!$K:$K,실시간콜입력!$B:$B,$A1040,실시간콜입력!$G:$G,$B1040,실시간콜입력!$O:$O,"방문완료")+SUMIFS(실시간콜입력!$L:$L,실시간콜입력!$B:$B,$A1040,실시간콜입력!$H:$H,$B1040,실시간콜입력!$O:$O,"방문완료")</f>
        <v>0</v>
      </c>
      <c r="M1040" s="29" t="str">
        <f t="shared" si="139"/>
        <v/>
      </c>
      <c r="N1040" s="29"/>
    </row>
    <row r="1041" spans="1:14" ht="19.5" hidden="1" customHeight="1" outlineLevel="1">
      <c r="A1041" s="24">
        <f>IF(20&lt;=DAY(DATE(YEAR(설정_코스수당!$K$2),MONTH(설정_코스수당!$K$2)+1,0)),DATE(YEAR(설정_코스수당!$K$2),MONTH(설정_코스수당!$K$2),20),"")</f>
        <v>46193</v>
      </c>
      <c r="B1041" s="23" t="s">
        <v>209</v>
      </c>
      <c r="C1041" s="29"/>
      <c r="D1041" s="29"/>
      <c r="E1041" s="29" t="str">
        <f t="shared" si="137"/>
        <v/>
      </c>
      <c r="F1041" s="29">
        <f>COUNTIFS(실시간콜입력!$B:$B,$A1041,실시간콜입력!$E:$E,"A",실시간콜입력!$G:$G,$B1041,실시간콜입력!$O:$O,"방문완료")+COUNTIFS(실시간콜입력!$B:$B,$A1041,실시간콜입력!$E:$E,"A",실시간콜입력!$H:$H,$B1041,실시간콜입력!$O:$O,"방문완료")</f>
        <v>0</v>
      </c>
      <c r="G1041" s="29">
        <f>COUNTIFS(실시간콜입력!$B:$B,$A1041,실시간콜입력!$E:$E,"B",실시간콜입력!$G:$G,$B1041,실시간콜입력!$O:$O,"방문완료")+COUNTIFS(실시간콜입력!$B:$B,$A1041,실시간콜입력!$E:$E,"B",실시간콜입력!$H:$H,$B1041,실시간콜입력!$O:$O,"방문완료")</f>
        <v>0</v>
      </c>
      <c r="H1041" s="29">
        <f>COUNTIFS(실시간콜입력!$B:$B,$A1041,실시간콜입력!$E:$E,"C",실시간콜입력!$G:$G,$B1041,실시간콜입력!$O:$O,"방문완료")+COUNTIFS(실시간콜입력!$B:$B,$A1041,실시간콜입력!$E:$E,"C",실시간콜입력!$H:$H,$B1041,실시간콜입력!$O:$O,"방문완료")</f>
        <v>0</v>
      </c>
      <c r="I1041" s="29">
        <f>COUNTIFS(실시간콜입력!$B:$B,$A1041,실시간콜입력!$E:$E,"D",실시간콜입력!$G:$G,$B1041,실시간콜입력!$O:$O,"방문완료")+COUNTIFS(실시간콜입력!$B:$B,$A1041,실시간콜입력!$E:$E,"D",실시간콜입력!$H:$H,$B1041,실시간콜입력!$O:$O,"방문완료")</f>
        <v>0</v>
      </c>
      <c r="J1041" s="29">
        <f>COUNTIFS(실시간콜입력!$B:$B,$A1041,실시간콜입력!$E:$E,"E",실시간콜입력!$G:$G,$B1041,실시간콜입력!$O:$O,"방문완료")+COUNTIFS(실시간콜입력!$B:$B,$A1041,실시간콜입력!$E:$E,"E",실시간콜입력!$H:$H,$B1041,실시간콜입력!$O:$O,"방문완료")</f>
        <v>0</v>
      </c>
      <c r="K1041" s="29">
        <f t="shared" si="138"/>
        <v>0</v>
      </c>
      <c r="L1041" s="27">
        <f>SUMIFS(실시간콜입력!$K:$K,실시간콜입력!$B:$B,$A1041,실시간콜입력!$G:$G,$B1041,실시간콜입력!$O:$O,"방문완료")+SUMIFS(실시간콜입력!$L:$L,실시간콜입력!$B:$B,$A1041,실시간콜입력!$H:$H,$B1041,실시간콜입력!$O:$O,"방문완료")</f>
        <v>0</v>
      </c>
      <c r="M1041" s="29" t="str">
        <f t="shared" si="139"/>
        <v/>
      </c>
      <c r="N1041" s="29"/>
    </row>
    <row r="1042" spans="1:14" ht="19.5" hidden="1" customHeight="1" outlineLevel="1">
      <c r="A1042" s="30">
        <f>IF(20&lt;=DAY(DATE(YEAR(설정_코스수당!$K$2),MONTH(설정_코스수당!$K$2)+1,0)),DATE(YEAR(설정_코스수당!$K$2),MONTH(설정_코스수당!$K$2),20),"")</f>
        <v>46193</v>
      </c>
      <c r="B1042" s="29" t="s">
        <v>210</v>
      </c>
      <c r="C1042" s="29"/>
      <c r="D1042" s="29"/>
      <c r="E1042" s="29" t="str">
        <f t="shared" si="137"/>
        <v/>
      </c>
      <c r="F1042" s="29">
        <f>COUNTIFS(실시간콜입력!$B:$B,$A1042,실시간콜입력!$E:$E,"A",실시간콜입력!$G:$G,$B1042,실시간콜입력!$O:$O,"방문완료")+COUNTIFS(실시간콜입력!$B:$B,$A1042,실시간콜입력!$E:$E,"A",실시간콜입력!$H:$H,$B1042,실시간콜입력!$O:$O,"방문완료")</f>
        <v>0</v>
      </c>
      <c r="G1042" s="29">
        <f>COUNTIFS(실시간콜입력!$B:$B,$A1042,실시간콜입력!$E:$E,"B",실시간콜입력!$G:$G,$B1042,실시간콜입력!$O:$O,"방문완료")+COUNTIFS(실시간콜입력!$B:$B,$A1042,실시간콜입력!$E:$E,"B",실시간콜입력!$H:$H,$B1042,실시간콜입력!$O:$O,"방문완료")</f>
        <v>0</v>
      </c>
      <c r="H1042" s="29">
        <f>COUNTIFS(실시간콜입력!$B:$B,$A1042,실시간콜입력!$E:$E,"C",실시간콜입력!$G:$G,$B1042,실시간콜입력!$O:$O,"방문완료")+COUNTIFS(실시간콜입력!$B:$B,$A1042,실시간콜입력!$E:$E,"C",실시간콜입력!$H:$H,$B1042,실시간콜입력!$O:$O,"방문완료")</f>
        <v>0</v>
      </c>
      <c r="I1042" s="29">
        <f>COUNTIFS(실시간콜입력!$B:$B,$A1042,실시간콜입력!$E:$E,"D",실시간콜입력!$G:$G,$B1042,실시간콜입력!$O:$O,"방문완료")+COUNTIFS(실시간콜입력!$B:$B,$A1042,실시간콜입력!$E:$E,"D",실시간콜입력!$H:$H,$B1042,실시간콜입력!$O:$O,"방문완료")</f>
        <v>0</v>
      </c>
      <c r="J1042" s="29">
        <f>COUNTIFS(실시간콜입력!$B:$B,$A1042,실시간콜입력!$E:$E,"E",실시간콜입력!$G:$G,$B1042,실시간콜입력!$O:$O,"방문완료")+COUNTIFS(실시간콜입력!$B:$B,$A1042,실시간콜입력!$E:$E,"E",실시간콜입력!$H:$H,$B1042,실시간콜입력!$O:$O,"방문완료")</f>
        <v>0</v>
      </c>
      <c r="K1042" s="29">
        <f t="shared" si="138"/>
        <v>0</v>
      </c>
      <c r="L1042" s="33">
        <f>SUMIFS(실시간콜입력!$K:$K,실시간콜입력!$B:$B,$A1042,실시간콜입력!$G:$G,$B1042,실시간콜입력!$O:$O,"방문완료")+SUMIFS(실시간콜입력!$L:$L,실시간콜입력!$B:$B,$A1042,실시간콜입력!$H:$H,$B1042,실시간콜입력!$O:$O,"방문완료")</f>
        <v>0</v>
      </c>
      <c r="M1042" s="29" t="str">
        <f t="shared" si="139"/>
        <v/>
      </c>
      <c r="N1042" s="29"/>
    </row>
    <row r="1043" spans="1:14" ht="19.5" hidden="1" customHeight="1" outlineLevel="1">
      <c r="A1043" s="24">
        <f>IF(20&lt;=DAY(DATE(YEAR(설정_코스수당!$K$2),MONTH(설정_코스수당!$K$2)+1,0)),DATE(YEAR(설정_코스수당!$K$2),MONTH(설정_코스수당!$K$2),20),"")</f>
        <v>46193</v>
      </c>
      <c r="B1043" s="23" t="s">
        <v>211</v>
      </c>
      <c r="C1043" s="29"/>
      <c r="D1043" s="29"/>
      <c r="E1043" s="29" t="str">
        <f t="shared" si="137"/>
        <v/>
      </c>
      <c r="F1043" s="29">
        <f>COUNTIFS(실시간콜입력!$B:$B,$A1043,실시간콜입력!$E:$E,"A",실시간콜입력!$G:$G,$B1043,실시간콜입력!$O:$O,"방문완료")+COUNTIFS(실시간콜입력!$B:$B,$A1043,실시간콜입력!$E:$E,"A",실시간콜입력!$H:$H,$B1043,실시간콜입력!$O:$O,"방문완료")</f>
        <v>0</v>
      </c>
      <c r="G1043" s="29">
        <f>COUNTIFS(실시간콜입력!$B:$B,$A1043,실시간콜입력!$E:$E,"B",실시간콜입력!$G:$G,$B1043,실시간콜입력!$O:$O,"방문완료")+COUNTIFS(실시간콜입력!$B:$B,$A1043,실시간콜입력!$E:$E,"B",실시간콜입력!$H:$H,$B1043,실시간콜입력!$O:$O,"방문완료")</f>
        <v>0</v>
      </c>
      <c r="H1043" s="29">
        <f>COUNTIFS(실시간콜입력!$B:$B,$A1043,실시간콜입력!$E:$E,"C",실시간콜입력!$G:$G,$B1043,실시간콜입력!$O:$O,"방문완료")+COUNTIFS(실시간콜입력!$B:$B,$A1043,실시간콜입력!$E:$E,"C",실시간콜입력!$H:$H,$B1043,실시간콜입력!$O:$O,"방문완료")</f>
        <v>0</v>
      </c>
      <c r="I1043" s="29">
        <f>COUNTIFS(실시간콜입력!$B:$B,$A1043,실시간콜입력!$E:$E,"D",실시간콜입력!$G:$G,$B1043,실시간콜입력!$O:$O,"방문완료")+COUNTIFS(실시간콜입력!$B:$B,$A1043,실시간콜입력!$E:$E,"D",실시간콜입력!$H:$H,$B1043,실시간콜입력!$O:$O,"방문완료")</f>
        <v>0</v>
      </c>
      <c r="J1043" s="29">
        <f>COUNTIFS(실시간콜입력!$B:$B,$A1043,실시간콜입력!$E:$E,"E",실시간콜입력!$G:$G,$B1043,실시간콜입력!$O:$O,"방문완료")+COUNTIFS(실시간콜입력!$B:$B,$A1043,실시간콜입력!$E:$E,"E",실시간콜입력!$H:$H,$B1043,실시간콜입력!$O:$O,"방문완료")</f>
        <v>0</v>
      </c>
      <c r="K1043" s="29">
        <f t="shared" si="138"/>
        <v>0</v>
      </c>
      <c r="L1043" s="27">
        <f>SUMIFS(실시간콜입력!$K:$K,실시간콜입력!$B:$B,$A1043,실시간콜입력!$G:$G,$B1043,실시간콜입력!$O:$O,"방문완료")+SUMIFS(실시간콜입력!$L:$L,실시간콜입력!$B:$B,$A1043,실시간콜입력!$H:$H,$B1043,실시간콜입력!$O:$O,"방문완료")</f>
        <v>0</v>
      </c>
      <c r="M1043" s="29" t="str">
        <f t="shared" si="139"/>
        <v/>
      </c>
      <c r="N1043" s="29"/>
    </row>
    <row r="1044" spans="1:14" ht="19.5" hidden="1" customHeight="1" outlineLevel="1">
      <c r="A1044" s="30">
        <f>IF(20&lt;=DAY(DATE(YEAR(설정_코스수당!$K$2),MONTH(설정_코스수당!$K$2)+1,0)),DATE(YEAR(설정_코스수당!$K$2),MONTH(설정_코스수당!$K$2),20),"")</f>
        <v>46193</v>
      </c>
      <c r="B1044" s="29" t="s">
        <v>212</v>
      </c>
      <c r="C1044" s="29"/>
      <c r="D1044" s="29"/>
      <c r="E1044" s="29" t="str">
        <f t="shared" si="137"/>
        <v/>
      </c>
      <c r="F1044" s="29">
        <f>COUNTIFS(실시간콜입력!$B:$B,$A1044,실시간콜입력!$E:$E,"A",실시간콜입력!$G:$G,$B1044,실시간콜입력!$O:$O,"방문완료")+COUNTIFS(실시간콜입력!$B:$B,$A1044,실시간콜입력!$E:$E,"A",실시간콜입력!$H:$H,$B1044,실시간콜입력!$O:$O,"방문완료")</f>
        <v>0</v>
      </c>
      <c r="G1044" s="29">
        <f>COUNTIFS(실시간콜입력!$B:$B,$A1044,실시간콜입력!$E:$E,"B",실시간콜입력!$G:$G,$B1044,실시간콜입력!$O:$O,"방문완료")+COUNTIFS(실시간콜입력!$B:$B,$A1044,실시간콜입력!$E:$E,"B",실시간콜입력!$H:$H,$B1044,실시간콜입력!$O:$O,"방문완료")</f>
        <v>0</v>
      </c>
      <c r="H1044" s="29">
        <f>COUNTIFS(실시간콜입력!$B:$B,$A1044,실시간콜입력!$E:$E,"C",실시간콜입력!$G:$G,$B1044,실시간콜입력!$O:$O,"방문완료")+COUNTIFS(실시간콜입력!$B:$B,$A1044,실시간콜입력!$E:$E,"C",실시간콜입력!$H:$H,$B1044,실시간콜입력!$O:$O,"방문완료")</f>
        <v>0</v>
      </c>
      <c r="I1044" s="29">
        <f>COUNTIFS(실시간콜입력!$B:$B,$A1044,실시간콜입력!$E:$E,"D",실시간콜입력!$G:$G,$B1044,실시간콜입력!$O:$O,"방문완료")+COUNTIFS(실시간콜입력!$B:$B,$A1044,실시간콜입력!$E:$E,"D",실시간콜입력!$H:$H,$B1044,실시간콜입력!$O:$O,"방문완료")</f>
        <v>0</v>
      </c>
      <c r="J1044" s="29">
        <f>COUNTIFS(실시간콜입력!$B:$B,$A1044,실시간콜입력!$E:$E,"E",실시간콜입력!$G:$G,$B1044,실시간콜입력!$O:$O,"방문완료")+COUNTIFS(실시간콜입력!$B:$B,$A1044,실시간콜입력!$E:$E,"E",실시간콜입력!$H:$H,$B1044,실시간콜입력!$O:$O,"방문완료")</f>
        <v>0</v>
      </c>
      <c r="K1044" s="29">
        <f t="shared" si="138"/>
        <v>0</v>
      </c>
      <c r="L1044" s="33">
        <f>SUMIFS(실시간콜입력!$K:$K,실시간콜입력!$B:$B,$A1044,실시간콜입력!$G:$G,$B1044,실시간콜입력!$O:$O,"방문완료")+SUMIFS(실시간콜입력!$L:$L,실시간콜입력!$B:$B,$A1044,실시간콜입력!$H:$H,$B1044,실시간콜입력!$O:$O,"방문완료")</f>
        <v>0</v>
      </c>
      <c r="M1044" s="29" t="str">
        <f t="shared" si="139"/>
        <v/>
      </c>
      <c r="N1044" s="29"/>
    </row>
    <row r="1045" spans="1:14" ht="21.75" customHeight="1" collapsed="1">
      <c r="A1045" s="64">
        <f>IF(21&lt;=DAY(DATE(YEAR(설정_코스수당!$K$2),MONTH(설정_코스수당!$K$2)+1,0)),DATE(YEAR(설정_코스수당!$K$2),MONTH(설정_코스수당!$K$2),21),"")</f>
        <v>46194</v>
      </c>
      <c r="B1045" s="65" t="str">
        <f>IF(A1045="","","출근 "&amp;COUNTIF(C1047:C1096,"&lt;&gt;")&amp;"명")</f>
        <v>출근 0명</v>
      </c>
      <c r="C1045" s="65" t="str">
        <f>IF(A1045="","","만근 "&amp;COUNTIF(M1047:M1096,"인정")&amp;"명")</f>
        <v>만근 0명</v>
      </c>
      <c r="D1045" s="65" t="str">
        <f>IFERROR("평균 "&amp;TEXT(AVERAGEIF(E1047:E1096,"&gt;0",E1047:E1096),"0.0")&amp;"h","평균 -")</f>
        <v>평균 -</v>
      </c>
      <c r="E1045" s="65" t="s">
        <v>163</v>
      </c>
      <c r="F1045" s="65">
        <f t="shared" ref="F1045:L1045" si="140">SUM(F1047:F1096)</f>
        <v>0</v>
      </c>
      <c r="G1045" s="65">
        <f t="shared" si="140"/>
        <v>0</v>
      </c>
      <c r="H1045" s="65">
        <f t="shared" si="140"/>
        <v>0</v>
      </c>
      <c r="I1045" s="65">
        <f t="shared" si="140"/>
        <v>0</v>
      </c>
      <c r="J1045" s="65">
        <f t="shared" si="140"/>
        <v>0</v>
      </c>
      <c r="K1045" s="65">
        <f t="shared" si="140"/>
        <v>0</v>
      </c>
      <c r="L1045" s="66">
        <f t="shared" si="140"/>
        <v>0</v>
      </c>
      <c r="M1045" s="65">
        <f>COUNTIF(M1047:M1096,"인정")</f>
        <v>0</v>
      </c>
      <c r="N1045" s="65" t="s">
        <v>164</v>
      </c>
    </row>
    <row r="1046" spans="1:14" ht="19.5" hidden="1" customHeight="1" outlineLevel="1">
      <c r="A1046" s="20" t="s">
        <v>42</v>
      </c>
      <c r="B1046" s="20" t="s">
        <v>152</v>
      </c>
      <c r="C1046" s="20" t="s">
        <v>153</v>
      </c>
      <c r="D1046" s="20" t="s">
        <v>154</v>
      </c>
      <c r="E1046" s="20" t="s">
        <v>155</v>
      </c>
      <c r="F1046" s="20" t="s">
        <v>156</v>
      </c>
      <c r="G1046" s="20" t="s">
        <v>157</v>
      </c>
      <c r="H1046" s="20" t="s">
        <v>158</v>
      </c>
      <c r="I1046" s="20" t="s">
        <v>159</v>
      </c>
      <c r="J1046" s="20" t="s">
        <v>160</v>
      </c>
      <c r="K1046" s="20" t="s">
        <v>118</v>
      </c>
      <c r="L1046" s="20" t="s">
        <v>161</v>
      </c>
      <c r="M1046" s="20" t="s">
        <v>162</v>
      </c>
      <c r="N1046" s="20" t="s">
        <v>95</v>
      </c>
    </row>
    <row r="1047" spans="1:14" ht="19.5" hidden="1" customHeight="1" outlineLevel="1">
      <c r="A1047" s="24">
        <f>IF(21&lt;=DAY(DATE(YEAR(설정_코스수당!$K$2),MONTH(설정_코스수당!$K$2)+1,0)),DATE(YEAR(설정_코스수당!$K$2),MONTH(설정_코스수당!$K$2),21),"")</f>
        <v>46194</v>
      </c>
      <c r="B1047" s="23" t="s">
        <v>47</v>
      </c>
      <c r="C1047" s="23"/>
      <c r="D1047" s="23"/>
      <c r="E1047" s="23" t="str">
        <f t="shared" ref="E1047:E1078" si="141">IF(AND(C1047&lt;&gt;"",D1047&lt;&gt;""),IF(D1047&lt;C1047,D1047+1-C1047,D1047-C1047)*24,"")</f>
        <v/>
      </c>
      <c r="F1047" s="23">
        <f>COUNTIFS(실시간콜입력!$B:$B,$A1047,실시간콜입력!$E:$E,"A",실시간콜입력!$G:$G,$B1047,실시간콜입력!$O:$O,"방문완료")+COUNTIFS(실시간콜입력!$B:$B,$A1047,실시간콜입력!$E:$E,"A",실시간콜입력!$H:$H,$B1047,실시간콜입력!$O:$O,"방문완료")</f>
        <v>0</v>
      </c>
      <c r="G1047" s="23">
        <f>COUNTIFS(실시간콜입력!$B:$B,$A1047,실시간콜입력!$E:$E,"B",실시간콜입력!$G:$G,$B1047,실시간콜입력!$O:$O,"방문완료")+COUNTIFS(실시간콜입력!$B:$B,$A1047,실시간콜입력!$E:$E,"B",실시간콜입력!$H:$H,$B1047,실시간콜입력!$O:$O,"방문완료")</f>
        <v>0</v>
      </c>
      <c r="H1047" s="23">
        <f>COUNTIFS(실시간콜입력!$B:$B,$A1047,실시간콜입력!$E:$E,"C",실시간콜입력!$G:$G,$B1047,실시간콜입력!$O:$O,"방문완료")+COUNTIFS(실시간콜입력!$B:$B,$A1047,실시간콜입력!$E:$E,"C",실시간콜입력!$H:$H,$B1047,실시간콜입력!$O:$O,"방문완료")</f>
        <v>0</v>
      </c>
      <c r="I1047" s="23">
        <f>COUNTIFS(실시간콜입력!$B:$B,$A1047,실시간콜입력!$E:$E,"D",실시간콜입력!$G:$G,$B1047,실시간콜입력!$O:$O,"방문완료")+COUNTIFS(실시간콜입력!$B:$B,$A1047,실시간콜입력!$E:$E,"D",실시간콜입력!$H:$H,$B1047,실시간콜입력!$O:$O,"방문완료")</f>
        <v>0</v>
      </c>
      <c r="J1047" s="23">
        <f>COUNTIFS(실시간콜입력!$B:$B,$A1047,실시간콜입력!$E:$E,"E",실시간콜입력!$G:$G,$B1047,실시간콜입력!$O:$O,"방문완료")+COUNTIFS(실시간콜입력!$B:$B,$A1047,실시간콜입력!$E:$E,"E",실시간콜입력!$H:$H,$B1047,실시간콜입력!$O:$O,"방문완료")</f>
        <v>0</v>
      </c>
      <c r="K1047" s="23">
        <f t="shared" ref="K1047:K1078" si="142">SUM(F1047:J1047)</f>
        <v>0</v>
      </c>
      <c r="L1047" s="27">
        <f>SUMIFS(실시간콜입력!$K:$K,실시간콜입력!$B:$B,$A1047,실시간콜입력!$G:$G,$B1047,실시간콜입력!$O:$O,"방문완료")+SUMIFS(실시간콜입력!$L:$L,실시간콜입력!$B:$B,$A1047,실시간콜입력!$H:$H,$B1047,실시간콜입력!$O:$O,"방문완료")</f>
        <v>0</v>
      </c>
      <c r="M1047" s="23" t="str">
        <f t="shared" ref="M1047:M1078" si="143">IF(AND(ISNUMBER(E1047),E1047&gt;=8),"인정","")</f>
        <v/>
      </c>
      <c r="N1047" s="23"/>
    </row>
    <row r="1048" spans="1:14" ht="19.5" hidden="1" customHeight="1" outlineLevel="1">
      <c r="A1048" s="30">
        <f>IF(21&lt;=DAY(DATE(YEAR(설정_코스수당!$K$2),MONTH(설정_코스수당!$K$2)+1,0)),DATE(YEAR(설정_코스수당!$K$2),MONTH(설정_코스수당!$K$2),21),"")</f>
        <v>46194</v>
      </c>
      <c r="B1048" s="29" t="s">
        <v>48</v>
      </c>
      <c r="C1048" s="29"/>
      <c r="D1048" s="29"/>
      <c r="E1048" s="29" t="str">
        <f t="shared" si="141"/>
        <v/>
      </c>
      <c r="F1048" s="29">
        <f>COUNTIFS(실시간콜입력!$B:$B,$A1048,실시간콜입력!$E:$E,"A",실시간콜입력!$G:$G,$B1048,실시간콜입력!$O:$O,"방문완료")+COUNTIFS(실시간콜입력!$B:$B,$A1048,실시간콜입력!$E:$E,"A",실시간콜입력!$H:$H,$B1048,실시간콜입력!$O:$O,"방문완료")</f>
        <v>0</v>
      </c>
      <c r="G1048" s="29">
        <f>COUNTIFS(실시간콜입력!$B:$B,$A1048,실시간콜입력!$E:$E,"B",실시간콜입력!$G:$G,$B1048,실시간콜입력!$O:$O,"방문완료")+COUNTIFS(실시간콜입력!$B:$B,$A1048,실시간콜입력!$E:$E,"B",실시간콜입력!$H:$H,$B1048,실시간콜입력!$O:$O,"방문완료")</f>
        <v>0</v>
      </c>
      <c r="H1048" s="29">
        <f>COUNTIFS(실시간콜입력!$B:$B,$A1048,실시간콜입력!$E:$E,"C",실시간콜입력!$G:$G,$B1048,실시간콜입력!$O:$O,"방문완료")+COUNTIFS(실시간콜입력!$B:$B,$A1048,실시간콜입력!$E:$E,"C",실시간콜입력!$H:$H,$B1048,실시간콜입력!$O:$O,"방문완료")</f>
        <v>0</v>
      </c>
      <c r="I1048" s="29">
        <f>COUNTIFS(실시간콜입력!$B:$B,$A1048,실시간콜입력!$E:$E,"D",실시간콜입력!$G:$G,$B1048,실시간콜입력!$O:$O,"방문완료")+COUNTIFS(실시간콜입력!$B:$B,$A1048,실시간콜입력!$E:$E,"D",실시간콜입력!$H:$H,$B1048,실시간콜입력!$O:$O,"방문완료")</f>
        <v>0</v>
      </c>
      <c r="J1048" s="29">
        <f>COUNTIFS(실시간콜입력!$B:$B,$A1048,실시간콜입력!$E:$E,"E",실시간콜입력!$G:$G,$B1048,실시간콜입력!$O:$O,"방문완료")+COUNTIFS(실시간콜입력!$B:$B,$A1048,실시간콜입력!$E:$E,"E",실시간콜입력!$H:$H,$B1048,실시간콜입력!$O:$O,"방문완료")</f>
        <v>0</v>
      </c>
      <c r="K1048" s="29">
        <f t="shared" si="142"/>
        <v>0</v>
      </c>
      <c r="L1048" s="33">
        <f>SUMIFS(실시간콜입력!$K:$K,실시간콜입력!$B:$B,$A1048,실시간콜입력!$G:$G,$B1048,실시간콜입력!$O:$O,"방문완료")+SUMIFS(실시간콜입력!$L:$L,실시간콜입력!$B:$B,$A1048,실시간콜입력!$H:$H,$B1048,실시간콜입력!$O:$O,"방문완료")</f>
        <v>0</v>
      </c>
      <c r="M1048" s="29" t="str">
        <f t="shared" si="143"/>
        <v/>
      </c>
      <c r="N1048" s="29"/>
    </row>
    <row r="1049" spans="1:14" ht="19.5" hidden="1" customHeight="1" outlineLevel="1">
      <c r="A1049" s="24">
        <f>IF(21&lt;=DAY(DATE(YEAR(설정_코스수당!$K$2),MONTH(설정_코스수당!$K$2)+1,0)),DATE(YEAR(설정_코스수당!$K$2),MONTH(설정_코스수당!$K$2),21),"")</f>
        <v>46194</v>
      </c>
      <c r="B1049" s="23" t="s">
        <v>165</v>
      </c>
      <c r="C1049" s="29"/>
      <c r="D1049" s="29"/>
      <c r="E1049" s="29" t="str">
        <f t="shared" si="141"/>
        <v/>
      </c>
      <c r="F1049" s="29">
        <f>COUNTIFS(실시간콜입력!$B:$B,$A1049,실시간콜입력!$E:$E,"A",실시간콜입력!$G:$G,$B1049,실시간콜입력!$O:$O,"방문완료")+COUNTIFS(실시간콜입력!$B:$B,$A1049,실시간콜입력!$E:$E,"A",실시간콜입력!$H:$H,$B1049,실시간콜입력!$O:$O,"방문완료")</f>
        <v>0</v>
      </c>
      <c r="G1049" s="29">
        <f>COUNTIFS(실시간콜입력!$B:$B,$A1049,실시간콜입력!$E:$E,"B",실시간콜입력!$G:$G,$B1049,실시간콜입력!$O:$O,"방문완료")+COUNTIFS(실시간콜입력!$B:$B,$A1049,실시간콜입력!$E:$E,"B",실시간콜입력!$H:$H,$B1049,실시간콜입력!$O:$O,"방문완료")</f>
        <v>0</v>
      </c>
      <c r="H1049" s="29">
        <f>COUNTIFS(실시간콜입력!$B:$B,$A1049,실시간콜입력!$E:$E,"C",실시간콜입력!$G:$G,$B1049,실시간콜입력!$O:$O,"방문완료")+COUNTIFS(실시간콜입력!$B:$B,$A1049,실시간콜입력!$E:$E,"C",실시간콜입력!$H:$H,$B1049,실시간콜입력!$O:$O,"방문완료")</f>
        <v>0</v>
      </c>
      <c r="I1049" s="29">
        <f>COUNTIFS(실시간콜입력!$B:$B,$A1049,실시간콜입력!$E:$E,"D",실시간콜입력!$G:$G,$B1049,실시간콜입력!$O:$O,"방문완료")+COUNTIFS(실시간콜입력!$B:$B,$A1049,실시간콜입력!$E:$E,"D",실시간콜입력!$H:$H,$B1049,실시간콜입력!$O:$O,"방문완료")</f>
        <v>0</v>
      </c>
      <c r="J1049" s="29">
        <f>COUNTIFS(실시간콜입력!$B:$B,$A1049,실시간콜입력!$E:$E,"E",실시간콜입력!$G:$G,$B1049,실시간콜입력!$O:$O,"방문완료")+COUNTIFS(실시간콜입력!$B:$B,$A1049,실시간콜입력!$E:$E,"E",실시간콜입력!$H:$H,$B1049,실시간콜입력!$O:$O,"방문완료")</f>
        <v>0</v>
      </c>
      <c r="K1049" s="29">
        <f t="shared" si="142"/>
        <v>0</v>
      </c>
      <c r="L1049" s="27">
        <f>SUMIFS(실시간콜입력!$K:$K,실시간콜입력!$B:$B,$A1049,실시간콜입력!$G:$G,$B1049,실시간콜입력!$O:$O,"방문완료")+SUMIFS(실시간콜입력!$L:$L,실시간콜입력!$B:$B,$A1049,실시간콜입력!$H:$H,$B1049,실시간콜입력!$O:$O,"방문완료")</f>
        <v>0</v>
      </c>
      <c r="M1049" s="29" t="str">
        <f t="shared" si="143"/>
        <v/>
      </c>
      <c r="N1049" s="29"/>
    </row>
    <row r="1050" spans="1:14" ht="19.5" hidden="1" customHeight="1" outlineLevel="1">
      <c r="A1050" s="30">
        <f>IF(21&lt;=DAY(DATE(YEAR(설정_코스수당!$K$2),MONTH(설정_코스수당!$K$2)+1,0)),DATE(YEAR(설정_코스수당!$K$2),MONTH(설정_코스수당!$K$2),21),"")</f>
        <v>46194</v>
      </c>
      <c r="B1050" s="29" t="s">
        <v>166</v>
      </c>
      <c r="C1050" s="29"/>
      <c r="D1050" s="29"/>
      <c r="E1050" s="29" t="str">
        <f t="shared" si="141"/>
        <v/>
      </c>
      <c r="F1050" s="29">
        <f>COUNTIFS(실시간콜입력!$B:$B,$A1050,실시간콜입력!$E:$E,"A",실시간콜입력!$G:$G,$B1050,실시간콜입력!$O:$O,"방문완료")+COUNTIFS(실시간콜입력!$B:$B,$A1050,실시간콜입력!$E:$E,"A",실시간콜입력!$H:$H,$B1050,실시간콜입력!$O:$O,"방문완료")</f>
        <v>0</v>
      </c>
      <c r="G1050" s="29">
        <f>COUNTIFS(실시간콜입력!$B:$B,$A1050,실시간콜입력!$E:$E,"B",실시간콜입력!$G:$G,$B1050,실시간콜입력!$O:$O,"방문완료")+COUNTIFS(실시간콜입력!$B:$B,$A1050,실시간콜입력!$E:$E,"B",실시간콜입력!$H:$H,$B1050,실시간콜입력!$O:$O,"방문완료")</f>
        <v>0</v>
      </c>
      <c r="H1050" s="29">
        <f>COUNTIFS(실시간콜입력!$B:$B,$A1050,실시간콜입력!$E:$E,"C",실시간콜입력!$G:$G,$B1050,실시간콜입력!$O:$O,"방문완료")+COUNTIFS(실시간콜입력!$B:$B,$A1050,실시간콜입력!$E:$E,"C",실시간콜입력!$H:$H,$B1050,실시간콜입력!$O:$O,"방문완료")</f>
        <v>0</v>
      </c>
      <c r="I1050" s="29">
        <f>COUNTIFS(실시간콜입력!$B:$B,$A1050,실시간콜입력!$E:$E,"D",실시간콜입력!$G:$G,$B1050,실시간콜입력!$O:$O,"방문완료")+COUNTIFS(실시간콜입력!$B:$B,$A1050,실시간콜입력!$E:$E,"D",실시간콜입력!$H:$H,$B1050,실시간콜입력!$O:$O,"방문완료")</f>
        <v>0</v>
      </c>
      <c r="J1050" s="29">
        <f>COUNTIFS(실시간콜입력!$B:$B,$A1050,실시간콜입력!$E:$E,"E",실시간콜입력!$G:$G,$B1050,실시간콜입력!$O:$O,"방문완료")+COUNTIFS(실시간콜입력!$B:$B,$A1050,실시간콜입력!$E:$E,"E",실시간콜입력!$H:$H,$B1050,실시간콜입력!$O:$O,"방문완료")</f>
        <v>0</v>
      </c>
      <c r="K1050" s="29">
        <f t="shared" si="142"/>
        <v>0</v>
      </c>
      <c r="L1050" s="33">
        <f>SUMIFS(실시간콜입력!$K:$K,실시간콜입력!$B:$B,$A1050,실시간콜입력!$G:$G,$B1050,실시간콜입력!$O:$O,"방문완료")+SUMIFS(실시간콜입력!$L:$L,실시간콜입력!$B:$B,$A1050,실시간콜입력!$H:$H,$B1050,실시간콜입력!$O:$O,"방문완료")</f>
        <v>0</v>
      </c>
      <c r="M1050" s="29" t="str">
        <f t="shared" si="143"/>
        <v/>
      </c>
      <c r="N1050" s="29"/>
    </row>
    <row r="1051" spans="1:14" ht="19.5" hidden="1" customHeight="1" outlineLevel="1">
      <c r="A1051" s="24">
        <f>IF(21&lt;=DAY(DATE(YEAR(설정_코스수당!$K$2),MONTH(설정_코스수당!$K$2)+1,0)),DATE(YEAR(설정_코스수당!$K$2),MONTH(설정_코스수당!$K$2),21),"")</f>
        <v>46194</v>
      </c>
      <c r="B1051" s="23" t="s">
        <v>167</v>
      </c>
      <c r="C1051" s="29"/>
      <c r="D1051" s="29"/>
      <c r="E1051" s="29" t="str">
        <f t="shared" si="141"/>
        <v/>
      </c>
      <c r="F1051" s="29">
        <f>COUNTIFS(실시간콜입력!$B:$B,$A1051,실시간콜입력!$E:$E,"A",실시간콜입력!$G:$G,$B1051,실시간콜입력!$O:$O,"방문완료")+COUNTIFS(실시간콜입력!$B:$B,$A1051,실시간콜입력!$E:$E,"A",실시간콜입력!$H:$H,$B1051,실시간콜입력!$O:$O,"방문완료")</f>
        <v>0</v>
      </c>
      <c r="G1051" s="29">
        <f>COUNTIFS(실시간콜입력!$B:$B,$A1051,실시간콜입력!$E:$E,"B",실시간콜입력!$G:$G,$B1051,실시간콜입력!$O:$O,"방문완료")+COUNTIFS(실시간콜입력!$B:$B,$A1051,실시간콜입력!$E:$E,"B",실시간콜입력!$H:$H,$B1051,실시간콜입력!$O:$O,"방문완료")</f>
        <v>0</v>
      </c>
      <c r="H1051" s="29">
        <f>COUNTIFS(실시간콜입력!$B:$B,$A1051,실시간콜입력!$E:$E,"C",실시간콜입력!$G:$G,$B1051,실시간콜입력!$O:$O,"방문완료")+COUNTIFS(실시간콜입력!$B:$B,$A1051,실시간콜입력!$E:$E,"C",실시간콜입력!$H:$H,$B1051,실시간콜입력!$O:$O,"방문완료")</f>
        <v>0</v>
      </c>
      <c r="I1051" s="29">
        <f>COUNTIFS(실시간콜입력!$B:$B,$A1051,실시간콜입력!$E:$E,"D",실시간콜입력!$G:$G,$B1051,실시간콜입력!$O:$O,"방문완료")+COUNTIFS(실시간콜입력!$B:$B,$A1051,실시간콜입력!$E:$E,"D",실시간콜입력!$H:$H,$B1051,실시간콜입력!$O:$O,"방문완료")</f>
        <v>0</v>
      </c>
      <c r="J1051" s="29">
        <f>COUNTIFS(실시간콜입력!$B:$B,$A1051,실시간콜입력!$E:$E,"E",실시간콜입력!$G:$G,$B1051,실시간콜입력!$O:$O,"방문완료")+COUNTIFS(실시간콜입력!$B:$B,$A1051,실시간콜입력!$E:$E,"E",실시간콜입력!$H:$H,$B1051,실시간콜입력!$O:$O,"방문완료")</f>
        <v>0</v>
      </c>
      <c r="K1051" s="29">
        <f t="shared" si="142"/>
        <v>0</v>
      </c>
      <c r="L1051" s="27">
        <f>SUMIFS(실시간콜입력!$K:$K,실시간콜입력!$B:$B,$A1051,실시간콜입력!$G:$G,$B1051,실시간콜입력!$O:$O,"방문완료")+SUMIFS(실시간콜입력!$L:$L,실시간콜입력!$B:$B,$A1051,실시간콜입력!$H:$H,$B1051,실시간콜입력!$O:$O,"방문완료")</f>
        <v>0</v>
      </c>
      <c r="M1051" s="29" t="str">
        <f t="shared" si="143"/>
        <v/>
      </c>
      <c r="N1051" s="29"/>
    </row>
    <row r="1052" spans="1:14" ht="19.5" hidden="1" customHeight="1" outlineLevel="1">
      <c r="A1052" s="30">
        <f>IF(21&lt;=DAY(DATE(YEAR(설정_코스수당!$K$2),MONTH(설정_코스수당!$K$2)+1,0)),DATE(YEAR(설정_코스수당!$K$2),MONTH(설정_코스수당!$K$2),21),"")</f>
        <v>46194</v>
      </c>
      <c r="B1052" s="29" t="s">
        <v>168</v>
      </c>
      <c r="C1052" s="29"/>
      <c r="D1052" s="29"/>
      <c r="E1052" s="29" t="str">
        <f t="shared" si="141"/>
        <v/>
      </c>
      <c r="F1052" s="29">
        <f>COUNTIFS(실시간콜입력!$B:$B,$A1052,실시간콜입력!$E:$E,"A",실시간콜입력!$G:$G,$B1052,실시간콜입력!$O:$O,"방문완료")+COUNTIFS(실시간콜입력!$B:$B,$A1052,실시간콜입력!$E:$E,"A",실시간콜입력!$H:$H,$B1052,실시간콜입력!$O:$O,"방문완료")</f>
        <v>0</v>
      </c>
      <c r="G1052" s="29">
        <f>COUNTIFS(실시간콜입력!$B:$B,$A1052,실시간콜입력!$E:$E,"B",실시간콜입력!$G:$G,$B1052,실시간콜입력!$O:$O,"방문완료")+COUNTIFS(실시간콜입력!$B:$B,$A1052,실시간콜입력!$E:$E,"B",실시간콜입력!$H:$H,$B1052,실시간콜입력!$O:$O,"방문완료")</f>
        <v>0</v>
      </c>
      <c r="H1052" s="29">
        <f>COUNTIFS(실시간콜입력!$B:$B,$A1052,실시간콜입력!$E:$E,"C",실시간콜입력!$G:$G,$B1052,실시간콜입력!$O:$O,"방문완료")+COUNTIFS(실시간콜입력!$B:$B,$A1052,실시간콜입력!$E:$E,"C",실시간콜입력!$H:$H,$B1052,실시간콜입력!$O:$O,"방문완료")</f>
        <v>0</v>
      </c>
      <c r="I1052" s="29">
        <f>COUNTIFS(실시간콜입력!$B:$B,$A1052,실시간콜입력!$E:$E,"D",실시간콜입력!$G:$G,$B1052,실시간콜입력!$O:$O,"방문완료")+COUNTIFS(실시간콜입력!$B:$B,$A1052,실시간콜입력!$E:$E,"D",실시간콜입력!$H:$H,$B1052,실시간콜입력!$O:$O,"방문완료")</f>
        <v>0</v>
      </c>
      <c r="J1052" s="29">
        <f>COUNTIFS(실시간콜입력!$B:$B,$A1052,실시간콜입력!$E:$E,"E",실시간콜입력!$G:$G,$B1052,실시간콜입력!$O:$O,"방문완료")+COUNTIFS(실시간콜입력!$B:$B,$A1052,실시간콜입력!$E:$E,"E",실시간콜입력!$H:$H,$B1052,실시간콜입력!$O:$O,"방문완료")</f>
        <v>0</v>
      </c>
      <c r="K1052" s="29">
        <f t="shared" si="142"/>
        <v>0</v>
      </c>
      <c r="L1052" s="33">
        <f>SUMIFS(실시간콜입력!$K:$K,실시간콜입력!$B:$B,$A1052,실시간콜입력!$G:$G,$B1052,실시간콜입력!$O:$O,"방문완료")+SUMIFS(실시간콜입력!$L:$L,실시간콜입력!$B:$B,$A1052,실시간콜입력!$H:$H,$B1052,실시간콜입력!$O:$O,"방문완료")</f>
        <v>0</v>
      </c>
      <c r="M1052" s="29" t="str">
        <f t="shared" si="143"/>
        <v/>
      </c>
      <c r="N1052" s="29"/>
    </row>
    <row r="1053" spans="1:14" ht="19.5" hidden="1" customHeight="1" outlineLevel="1">
      <c r="A1053" s="24">
        <f>IF(21&lt;=DAY(DATE(YEAR(설정_코스수당!$K$2),MONTH(설정_코스수당!$K$2)+1,0)),DATE(YEAR(설정_코스수당!$K$2),MONTH(설정_코스수당!$K$2),21),"")</f>
        <v>46194</v>
      </c>
      <c r="B1053" s="23" t="s">
        <v>169</v>
      </c>
      <c r="C1053" s="29"/>
      <c r="D1053" s="29"/>
      <c r="E1053" s="29" t="str">
        <f t="shared" si="141"/>
        <v/>
      </c>
      <c r="F1053" s="29">
        <f>COUNTIFS(실시간콜입력!$B:$B,$A1053,실시간콜입력!$E:$E,"A",실시간콜입력!$G:$G,$B1053,실시간콜입력!$O:$O,"방문완료")+COUNTIFS(실시간콜입력!$B:$B,$A1053,실시간콜입력!$E:$E,"A",실시간콜입력!$H:$H,$B1053,실시간콜입력!$O:$O,"방문완료")</f>
        <v>0</v>
      </c>
      <c r="G1053" s="29">
        <f>COUNTIFS(실시간콜입력!$B:$B,$A1053,실시간콜입력!$E:$E,"B",실시간콜입력!$G:$G,$B1053,실시간콜입력!$O:$O,"방문완료")+COUNTIFS(실시간콜입력!$B:$B,$A1053,실시간콜입력!$E:$E,"B",실시간콜입력!$H:$H,$B1053,실시간콜입력!$O:$O,"방문완료")</f>
        <v>0</v>
      </c>
      <c r="H1053" s="29">
        <f>COUNTIFS(실시간콜입력!$B:$B,$A1053,실시간콜입력!$E:$E,"C",실시간콜입력!$G:$G,$B1053,실시간콜입력!$O:$O,"방문완료")+COUNTIFS(실시간콜입력!$B:$B,$A1053,실시간콜입력!$E:$E,"C",실시간콜입력!$H:$H,$B1053,실시간콜입력!$O:$O,"방문완료")</f>
        <v>0</v>
      </c>
      <c r="I1053" s="29">
        <f>COUNTIFS(실시간콜입력!$B:$B,$A1053,실시간콜입력!$E:$E,"D",실시간콜입력!$G:$G,$B1053,실시간콜입력!$O:$O,"방문완료")+COUNTIFS(실시간콜입력!$B:$B,$A1053,실시간콜입력!$E:$E,"D",실시간콜입력!$H:$H,$B1053,실시간콜입력!$O:$O,"방문완료")</f>
        <v>0</v>
      </c>
      <c r="J1053" s="29">
        <f>COUNTIFS(실시간콜입력!$B:$B,$A1053,실시간콜입력!$E:$E,"E",실시간콜입력!$G:$G,$B1053,실시간콜입력!$O:$O,"방문완료")+COUNTIFS(실시간콜입력!$B:$B,$A1053,실시간콜입력!$E:$E,"E",실시간콜입력!$H:$H,$B1053,실시간콜입력!$O:$O,"방문완료")</f>
        <v>0</v>
      </c>
      <c r="K1053" s="29">
        <f t="shared" si="142"/>
        <v>0</v>
      </c>
      <c r="L1053" s="27">
        <f>SUMIFS(실시간콜입력!$K:$K,실시간콜입력!$B:$B,$A1053,실시간콜입력!$G:$G,$B1053,실시간콜입력!$O:$O,"방문완료")+SUMIFS(실시간콜입력!$L:$L,실시간콜입력!$B:$B,$A1053,실시간콜입력!$H:$H,$B1053,실시간콜입력!$O:$O,"방문완료")</f>
        <v>0</v>
      </c>
      <c r="M1053" s="29" t="str">
        <f t="shared" si="143"/>
        <v/>
      </c>
      <c r="N1053" s="29"/>
    </row>
    <row r="1054" spans="1:14" ht="19.5" hidden="1" customHeight="1" outlineLevel="1">
      <c r="A1054" s="30">
        <f>IF(21&lt;=DAY(DATE(YEAR(설정_코스수당!$K$2),MONTH(설정_코스수당!$K$2)+1,0)),DATE(YEAR(설정_코스수당!$K$2),MONTH(설정_코스수당!$K$2),21),"")</f>
        <v>46194</v>
      </c>
      <c r="B1054" s="29" t="s">
        <v>170</v>
      </c>
      <c r="C1054" s="29"/>
      <c r="D1054" s="29"/>
      <c r="E1054" s="29" t="str">
        <f t="shared" si="141"/>
        <v/>
      </c>
      <c r="F1054" s="29">
        <f>COUNTIFS(실시간콜입력!$B:$B,$A1054,실시간콜입력!$E:$E,"A",실시간콜입력!$G:$G,$B1054,실시간콜입력!$O:$O,"방문완료")+COUNTIFS(실시간콜입력!$B:$B,$A1054,실시간콜입력!$E:$E,"A",실시간콜입력!$H:$H,$B1054,실시간콜입력!$O:$O,"방문완료")</f>
        <v>0</v>
      </c>
      <c r="G1054" s="29">
        <f>COUNTIFS(실시간콜입력!$B:$B,$A1054,실시간콜입력!$E:$E,"B",실시간콜입력!$G:$G,$B1054,실시간콜입력!$O:$O,"방문완료")+COUNTIFS(실시간콜입력!$B:$B,$A1054,실시간콜입력!$E:$E,"B",실시간콜입력!$H:$H,$B1054,실시간콜입력!$O:$O,"방문완료")</f>
        <v>0</v>
      </c>
      <c r="H1054" s="29">
        <f>COUNTIFS(실시간콜입력!$B:$B,$A1054,실시간콜입력!$E:$E,"C",실시간콜입력!$G:$G,$B1054,실시간콜입력!$O:$O,"방문완료")+COUNTIFS(실시간콜입력!$B:$B,$A1054,실시간콜입력!$E:$E,"C",실시간콜입력!$H:$H,$B1054,실시간콜입력!$O:$O,"방문완료")</f>
        <v>0</v>
      </c>
      <c r="I1054" s="29">
        <f>COUNTIFS(실시간콜입력!$B:$B,$A1054,실시간콜입력!$E:$E,"D",실시간콜입력!$G:$G,$B1054,실시간콜입력!$O:$O,"방문완료")+COUNTIFS(실시간콜입력!$B:$B,$A1054,실시간콜입력!$E:$E,"D",실시간콜입력!$H:$H,$B1054,실시간콜입력!$O:$O,"방문완료")</f>
        <v>0</v>
      </c>
      <c r="J1054" s="29">
        <f>COUNTIFS(실시간콜입력!$B:$B,$A1054,실시간콜입력!$E:$E,"E",실시간콜입력!$G:$G,$B1054,실시간콜입력!$O:$O,"방문완료")+COUNTIFS(실시간콜입력!$B:$B,$A1054,실시간콜입력!$E:$E,"E",실시간콜입력!$H:$H,$B1054,실시간콜입력!$O:$O,"방문완료")</f>
        <v>0</v>
      </c>
      <c r="K1054" s="29">
        <f t="shared" si="142"/>
        <v>0</v>
      </c>
      <c r="L1054" s="33">
        <f>SUMIFS(실시간콜입력!$K:$K,실시간콜입력!$B:$B,$A1054,실시간콜입력!$G:$G,$B1054,실시간콜입력!$O:$O,"방문완료")+SUMIFS(실시간콜입력!$L:$L,실시간콜입력!$B:$B,$A1054,실시간콜입력!$H:$H,$B1054,실시간콜입력!$O:$O,"방문완료")</f>
        <v>0</v>
      </c>
      <c r="M1054" s="29" t="str">
        <f t="shared" si="143"/>
        <v/>
      </c>
      <c r="N1054" s="29"/>
    </row>
    <row r="1055" spans="1:14" ht="19.5" hidden="1" customHeight="1" outlineLevel="1">
      <c r="A1055" s="24">
        <f>IF(21&lt;=DAY(DATE(YEAR(설정_코스수당!$K$2),MONTH(설정_코스수당!$K$2)+1,0)),DATE(YEAR(설정_코스수당!$K$2),MONTH(설정_코스수당!$K$2),21),"")</f>
        <v>46194</v>
      </c>
      <c r="B1055" s="23" t="s">
        <v>171</v>
      </c>
      <c r="C1055" s="29"/>
      <c r="D1055" s="29"/>
      <c r="E1055" s="29" t="str">
        <f t="shared" si="141"/>
        <v/>
      </c>
      <c r="F1055" s="29">
        <f>COUNTIFS(실시간콜입력!$B:$B,$A1055,실시간콜입력!$E:$E,"A",실시간콜입력!$G:$G,$B1055,실시간콜입력!$O:$O,"방문완료")+COUNTIFS(실시간콜입력!$B:$B,$A1055,실시간콜입력!$E:$E,"A",실시간콜입력!$H:$H,$B1055,실시간콜입력!$O:$O,"방문완료")</f>
        <v>0</v>
      </c>
      <c r="G1055" s="29">
        <f>COUNTIFS(실시간콜입력!$B:$B,$A1055,실시간콜입력!$E:$E,"B",실시간콜입력!$G:$G,$B1055,실시간콜입력!$O:$O,"방문완료")+COUNTIFS(실시간콜입력!$B:$B,$A1055,실시간콜입력!$E:$E,"B",실시간콜입력!$H:$H,$B1055,실시간콜입력!$O:$O,"방문완료")</f>
        <v>0</v>
      </c>
      <c r="H1055" s="29">
        <f>COUNTIFS(실시간콜입력!$B:$B,$A1055,실시간콜입력!$E:$E,"C",실시간콜입력!$G:$G,$B1055,실시간콜입력!$O:$O,"방문완료")+COUNTIFS(실시간콜입력!$B:$B,$A1055,실시간콜입력!$E:$E,"C",실시간콜입력!$H:$H,$B1055,실시간콜입력!$O:$O,"방문완료")</f>
        <v>0</v>
      </c>
      <c r="I1055" s="29">
        <f>COUNTIFS(실시간콜입력!$B:$B,$A1055,실시간콜입력!$E:$E,"D",실시간콜입력!$G:$G,$B1055,실시간콜입력!$O:$O,"방문완료")+COUNTIFS(실시간콜입력!$B:$B,$A1055,실시간콜입력!$E:$E,"D",실시간콜입력!$H:$H,$B1055,실시간콜입력!$O:$O,"방문완료")</f>
        <v>0</v>
      </c>
      <c r="J1055" s="29">
        <f>COUNTIFS(실시간콜입력!$B:$B,$A1055,실시간콜입력!$E:$E,"E",실시간콜입력!$G:$G,$B1055,실시간콜입력!$O:$O,"방문완료")+COUNTIFS(실시간콜입력!$B:$B,$A1055,실시간콜입력!$E:$E,"E",실시간콜입력!$H:$H,$B1055,실시간콜입력!$O:$O,"방문완료")</f>
        <v>0</v>
      </c>
      <c r="K1055" s="29">
        <f t="shared" si="142"/>
        <v>0</v>
      </c>
      <c r="L1055" s="27">
        <f>SUMIFS(실시간콜입력!$K:$K,실시간콜입력!$B:$B,$A1055,실시간콜입력!$G:$G,$B1055,실시간콜입력!$O:$O,"방문완료")+SUMIFS(실시간콜입력!$L:$L,실시간콜입력!$B:$B,$A1055,실시간콜입력!$H:$H,$B1055,실시간콜입력!$O:$O,"방문완료")</f>
        <v>0</v>
      </c>
      <c r="M1055" s="29" t="str">
        <f t="shared" si="143"/>
        <v/>
      </c>
      <c r="N1055" s="29"/>
    </row>
    <row r="1056" spans="1:14" ht="19.5" hidden="1" customHeight="1" outlineLevel="1">
      <c r="A1056" s="30">
        <f>IF(21&lt;=DAY(DATE(YEAR(설정_코스수당!$K$2),MONTH(설정_코스수당!$K$2)+1,0)),DATE(YEAR(설정_코스수당!$K$2),MONTH(설정_코스수당!$K$2),21),"")</f>
        <v>46194</v>
      </c>
      <c r="B1056" s="29" t="s">
        <v>172</v>
      </c>
      <c r="C1056" s="29"/>
      <c r="D1056" s="29"/>
      <c r="E1056" s="29" t="str">
        <f t="shared" si="141"/>
        <v/>
      </c>
      <c r="F1056" s="29">
        <f>COUNTIFS(실시간콜입력!$B:$B,$A1056,실시간콜입력!$E:$E,"A",실시간콜입력!$G:$G,$B1056,실시간콜입력!$O:$O,"방문완료")+COUNTIFS(실시간콜입력!$B:$B,$A1056,실시간콜입력!$E:$E,"A",실시간콜입력!$H:$H,$B1056,실시간콜입력!$O:$O,"방문완료")</f>
        <v>0</v>
      </c>
      <c r="G1056" s="29">
        <f>COUNTIFS(실시간콜입력!$B:$B,$A1056,실시간콜입력!$E:$E,"B",실시간콜입력!$G:$G,$B1056,실시간콜입력!$O:$O,"방문완료")+COUNTIFS(실시간콜입력!$B:$B,$A1056,실시간콜입력!$E:$E,"B",실시간콜입력!$H:$H,$B1056,실시간콜입력!$O:$O,"방문완료")</f>
        <v>0</v>
      </c>
      <c r="H1056" s="29">
        <f>COUNTIFS(실시간콜입력!$B:$B,$A1056,실시간콜입력!$E:$E,"C",실시간콜입력!$G:$G,$B1056,실시간콜입력!$O:$O,"방문완료")+COUNTIFS(실시간콜입력!$B:$B,$A1056,실시간콜입력!$E:$E,"C",실시간콜입력!$H:$H,$B1056,실시간콜입력!$O:$O,"방문완료")</f>
        <v>0</v>
      </c>
      <c r="I1056" s="29">
        <f>COUNTIFS(실시간콜입력!$B:$B,$A1056,실시간콜입력!$E:$E,"D",실시간콜입력!$G:$G,$B1056,실시간콜입력!$O:$O,"방문완료")+COUNTIFS(실시간콜입력!$B:$B,$A1056,실시간콜입력!$E:$E,"D",실시간콜입력!$H:$H,$B1056,실시간콜입력!$O:$O,"방문완료")</f>
        <v>0</v>
      </c>
      <c r="J1056" s="29">
        <f>COUNTIFS(실시간콜입력!$B:$B,$A1056,실시간콜입력!$E:$E,"E",실시간콜입력!$G:$G,$B1056,실시간콜입력!$O:$O,"방문완료")+COUNTIFS(실시간콜입력!$B:$B,$A1056,실시간콜입력!$E:$E,"E",실시간콜입력!$H:$H,$B1056,실시간콜입력!$O:$O,"방문완료")</f>
        <v>0</v>
      </c>
      <c r="K1056" s="29">
        <f t="shared" si="142"/>
        <v>0</v>
      </c>
      <c r="L1056" s="33">
        <f>SUMIFS(실시간콜입력!$K:$K,실시간콜입력!$B:$B,$A1056,실시간콜입력!$G:$G,$B1056,실시간콜입력!$O:$O,"방문완료")+SUMIFS(실시간콜입력!$L:$L,실시간콜입력!$B:$B,$A1056,실시간콜입력!$H:$H,$B1056,실시간콜입력!$O:$O,"방문완료")</f>
        <v>0</v>
      </c>
      <c r="M1056" s="29" t="str">
        <f t="shared" si="143"/>
        <v/>
      </c>
      <c r="N1056" s="29"/>
    </row>
    <row r="1057" spans="1:14" ht="19.5" hidden="1" customHeight="1" outlineLevel="1">
      <c r="A1057" s="24">
        <f>IF(21&lt;=DAY(DATE(YEAR(설정_코스수당!$K$2),MONTH(설정_코스수당!$K$2)+1,0)),DATE(YEAR(설정_코스수당!$K$2),MONTH(설정_코스수당!$K$2),21),"")</f>
        <v>46194</v>
      </c>
      <c r="B1057" s="23" t="s">
        <v>173</v>
      </c>
      <c r="C1057" s="29"/>
      <c r="D1057" s="29"/>
      <c r="E1057" s="29" t="str">
        <f t="shared" si="141"/>
        <v/>
      </c>
      <c r="F1057" s="29">
        <f>COUNTIFS(실시간콜입력!$B:$B,$A1057,실시간콜입력!$E:$E,"A",실시간콜입력!$G:$G,$B1057,실시간콜입력!$O:$O,"방문완료")+COUNTIFS(실시간콜입력!$B:$B,$A1057,실시간콜입력!$E:$E,"A",실시간콜입력!$H:$H,$B1057,실시간콜입력!$O:$O,"방문완료")</f>
        <v>0</v>
      </c>
      <c r="G1057" s="29">
        <f>COUNTIFS(실시간콜입력!$B:$B,$A1057,실시간콜입력!$E:$E,"B",실시간콜입력!$G:$G,$B1057,실시간콜입력!$O:$O,"방문완료")+COUNTIFS(실시간콜입력!$B:$B,$A1057,실시간콜입력!$E:$E,"B",실시간콜입력!$H:$H,$B1057,실시간콜입력!$O:$O,"방문완료")</f>
        <v>0</v>
      </c>
      <c r="H1057" s="29">
        <f>COUNTIFS(실시간콜입력!$B:$B,$A1057,실시간콜입력!$E:$E,"C",실시간콜입력!$G:$G,$B1057,실시간콜입력!$O:$O,"방문완료")+COUNTIFS(실시간콜입력!$B:$B,$A1057,실시간콜입력!$E:$E,"C",실시간콜입력!$H:$H,$B1057,실시간콜입력!$O:$O,"방문완료")</f>
        <v>0</v>
      </c>
      <c r="I1057" s="29">
        <f>COUNTIFS(실시간콜입력!$B:$B,$A1057,실시간콜입력!$E:$E,"D",실시간콜입력!$G:$G,$B1057,실시간콜입력!$O:$O,"방문완료")+COUNTIFS(실시간콜입력!$B:$B,$A1057,실시간콜입력!$E:$E,"D",실시간콜입력!$H:$H,$B1057,실시간콜입력!$O:$O,"방문완료")</f>
        <v>0</v>
      </c>
      <c r="J1057" s="29">
        <f>COUNTIFS(실시간콜입력!$B:$B,$A1057,실시간콜입력!$E:$E,"E",실시간콜입력!$G:$G,$B1057,실시간콜입력!$O:$O,"방문완료")+COUNTIFS(실시간콜입력!$B:$B,$A1057,실시간콜입력!$E:$E,"E",실시간콜입력!$H:$H,$B1057,실시간콜입력!$O:$O,"방문완료")</f>
        <v>0</v>
      </c>
      <c r="K1057" s="29">
        <f t="shared" si="142"/>
        <v>0</v>
      </c>
      <c r="L1057" s="27">
        <f>SUMIFS(실시간콜입력!$K:$K,실시간콜입력!$B:$B,$A1057,실시간콜입력!$G:$G,$B1057,실시간콜입력!$O:$O,"방문완료")+SUMIFS(실시간콜입력!$L:$L,실시간콜입력!$B:$B,$A1057,실시간콜입력!$H:$H,$B1057,실시간콜입력!$O:$O,"방문완료")</f>
        <v>0</v>
      </c>
      <c r="M1057" s="29" t="str">
        <f t="shared" si="143"/>
        <v/>
      </c>
      <c r="N1057" s="29"/>
    </row>
    <row r="1058" spans="1:14" ht="19.5" hidden="1" customHeight="1" outlineLevel="1">
      <c r="A1058" s="30">
        <f>IF(21&lt;=DAY(DATE(YEAR(설정_코스수당!$K$2),MONTH(설정_코스수당!$K$2)+1,0)),DATE(YEAR(설정_코스수당!$K$2),MONTH(설정_코스수당!$K$2),21),"")</f>
        <v>46194</v>
      </c>
      <c r="B1058" s="29" t="s">
        <v>174</v>
      </c>
      <c r="C1058" s="29"/>
      <c r="D1058" s="29"/>
      <c r="E1058" s="29" t="str">
        <f t="shared" si="141"/>
        <v/>
      </c>
      <c r="F1058" s="29">
        <f>COUNTIFS(실시간콜입력!$B:$B,$A1058,실시간콜입력!$E:$E,"A",실시간콜입력!$G:$G,$B1058,실시간콜입력!$O:$O,"방문완료")+COUNTIFS(실시간콜입력!$B:$B,$A1058,실시간콜입력!$E:$E,"A",실시간콜입력!$H:$H,$B1058,실시간콜입력!$O:$O,"방문완료")</f>
        <v>0</v>
      </c>
      <c r="G1058" s="29">
        <f>COUNTIFS(실시간콜입력!$B:$B,$A1058,실시간콜입력!$E:$E,"B",실시간콜입력!$G:$G,$B1058,실시간콜입력!$O:$O,"방문완료")+COUNTIFS(실시간콜입력!$B:$B,$A1058,실시간콜입력!$E:$E,"B",실시간콜입력!$H:$H,$B1058,실시간콜입력!$O:$O,"방문완료")</f>
        <v>0</v>
      </c>
      <c r="H1058" s="29">
        <f>COUNTIFS(실시간콜입력!$B:$B,$A1058,실시간콜입력!$E:$E,"C",실시간콜입력!$G:$G,$B1058,실시간콜입력!$O:$O,"방문완료")+COUNTIFS(실시간콜입력!$B:$B,$A1058,실시간콜입력!$E:$E,"C",실시간콜입력!$H:$H,$B1058,실시간콜입력!$O:$O,"방문완료")</f>
        <v>0</v>
      </c>
      <c r="I1058" s="29">
        <f>COUNTIFS(실시간콜입력!$B:$B,$A1058,실시간콜입력!$E:$E,"D",실시간콜입력!$G:$G,$B1058,실시간콜입력!$O:$O,"방문완료")+COUNTIFS(실시간콜입력!$B:$B,$A1058,실시간콜입력!$E:$E,"D",실시간콜입력!$H:$H,$B1058,실시간콜입력!$O:$O,"방문완료")</f>
        <v>0</v>
      </c>
      <c r="J1058" s="29">
        <f>COUNTIFS(실시간콜입력!$B:$B,$A1058,실시간콜입력!$E:$E,"E",실시간콜입력!$G:$G,$B1058,실시간콜입력!$O:$O,"방문완료")+COUNTIFS(실시간콜입력!$B:$B,$A1058,실시간콜입력!$E:$E,"E",실시간콜입력!$H:$H,$B1058,실시간콜입력!$O:$O,"방문완료")</f>
        <v>0</v>
      </c>
      <c r="K1058" s="29">
        <f t="shared" si="142"/>
        <v>0</v>
      </c>
      <c r="L1058" s="33">
        <f>SUMIFS(실시간콜입력!$K:$K,실시간콜입력!$B:$B,$A1058,실시간콜입력!$G:$G,$B1058,실시간콜입력!$O:$O,"방문완료")+SUMIFS(실시간콜입력!$L:$L,실시간콜입력!$B:$B,$A1058,실시간콜입력!$H:$H,$B1058,실시간콜입력!$O:$O,"방문완료")</f>
        <v>0</v>
      </c>
      <c r="M1058" s="29" t="str">
        <f t="shared" si="143"/>
        <v/>
      </c>
      <c r="N1058" s="29"/>
    </row>
    <row r="1059" spans="1:14" ht="19.5" hidden="1" customHeight="1" outlineLevel="1">
      <c r="A1059" s="24">
        <f>IF(21&lt;=DAY(DATE(YEAR(설정_코스수당!$K$2),MONTH(설정_코스수당!$K$2)+1,0)),DATE(YEAR(설정_코스수당!$K$2),MONTH(설정_코스수당!$K$2),21),"")</f>
        <v>46194</v>
      </c>
      <c r="B1059" s="23" t="s">
        <v>175</v>
      </c>
      <c r="C1059" s="29"/>
      <c r="D1059" s="29"/>
      <c r="E1059" s="29" t="str">
        <f t="shared" si="141"/>
        <v/>
      </c>
      <c r="F1059" s="29">
        <f>COUNTIFS(실시간콜입력!$B:$B,$A1059,실시간콜입력!$E:$E,"A",실시간콜입력!$G:$G,$B1059,실시간콜입력!$O:$O,"방문완료")+COUNTIFS(실시간콜입력!$B:$B,$A1059,실시간콜입력!$E:$E,"A",실시간콜입력!$H:$H,$B1059,실시간콜입력!$O:$O,"방문완료")</f>
        <v>0</v>
      </c>
      <c r="G1059" s="29">
        <f>COUNTIFS(실시간콜입력!$B:$B,$A1059,실시간콜입력!$E:$E,"B",실시간콜입력!$G:$G,$B1059,실시간콜입력!$O:$O,"방문완료")+COUNTIFS(실시간콜입력!$B:$B,$A1059,실시간콜입력!$E:$E,"B",실시간콜입력!$H:$H,$B1059,실시간콜입력!$O:$O,"방문완료")</f>
        <v>0</v>
      </c>
      <c r="H1059" s="29">
        <f>COUNTIFS(실시간콜입력!$B:$B,$A1059,실시간콜입력!$E:$E,"C",실시간콜입력!$G:$G,$B1059,실시간콜입력!$O:$O,"방문완료")+COUNTIFS(실시간콜입력!$B:$B,$A1059,실시간콜입력!$E:$E,"C",실시간콜입력!$H:$H,$B1059,실시간콜입력!$O:$O,"방문완료")</f>
        <v>0</v>
      </c>
      <c r="I1059" s="29">
        <f>COUNTIFS(실시간콜입력!$B:$B,$A1059,실시간콜입력!$E:$E,"D",실시간콜입력!$G:$G,$B1059,실시간콜입력!$O:$O,"방문완료")+COUNTIFS(실시간콜입력!$B:$B,$A1059,실시간콜입력!$E:$E,"D",실시간콜입력!$H:$H,$B1059,실시간콜입력!$O:$O,"방문완료")</f>
        <v>0</v>
      </c>
      <c r="J1059" s="29">
        <f>COUNTIFS(실시간콜입력!$B:$B,$A1059,실시간콜입력!$E:$E,"E",실시간콜입력!$G:$G,$B1059,실시간콜입력!$O:$O,"방문완료")+COUNTIFS(실시간콜입력!$B:$B,$A1059,실시간콜입력!$E:$E,"E",실시간콜입력!$H:$H,$B1059,실시간콜입력!$O:$O,"방문완료")</f>
        <v>0</v>
      </c>
      <c r="K1059" s="29">
        <f t="shared" si="142"/>
        <v>0</v>
      </c>
      <c r="L1059" s="27">
        <f>SUMIFS(실시간콜입력!$K:$K,실시간콜입력!$B:$B,$A1059,실시간콜입력!$G:$G,$B1059,실시간콜입력!$O:$O,"방문완료")+SUMIFS(실시간콜입력!$L:$L,실시간콜입력!$B:$B,$A1059,실시간콜입력!$H:$H,$B1059,실시간콜입력!$O:$O,"방문완료")</f>
        <v>0</v>
      </c>
      <c r="M1059" s="29" t="str">
        <f t="shared" si="143"/>
        <v/>
      </c>
      <c r="N1059" s="29"/>
    </row>
    <row r="1060" spans="1:14" ht="19.5" hidden="1" customHeight="1" outlineLevel="1">
      <c r="A1060" s="30">
        <f>IF(21&lt;=DAY(DATE(YEAR(설정_코스수당!$K$2),MONTH(설정_코스수당!$K$2)+1,0)),DATE(YEAR(설정_코스수당!$K$2),MONTH(설정_코스수당!$K$2),21),"")</f>
        <v>46194</v>
      </c>
      <c r="B1060" s="29" t="s">
        <v>176</v>
      </c>
      <c r="C1060" s="29"/>
      <c r="D1060" s="29"/>
      <c r="E1060" s="29" t="str">
        <f t="shared" si="141"/>
        <v/>
      </c>
      <c r="F1060" s="29">
        <f>COUNTIFS(실시간콜입력!$B:$B,$A1060,실시간콜입력!$E:$E,"A",실시간콜입력!$G:$G,$B1060,실시간콜입력!$O:$O,"방문완료")+COUNTIFS(실시간콜입력!$B:$B,$A1060,실시간콜입력!$E:$E,"A",실시간콜입력!$H:$H,$B1060,실시간콜입력!$O:$O,"방문완료")</f>
        <v>0</v>
      </c>
      <c r="G1060" s="29">
        <f>COUNTIFS(실시간콜입력!$B:$B,$A1060,실시간콜입력!$E:$E,"B",실시간콜입력!$G:$G,$B1060,실시간콜입력!$O:$O,"방문완료")+COUNTIFS(실시간콜입력!$B:$B,$A1060,실시간콜입력!$E:$E,"B",실시간콜입력!$H:$H,$B1060,실시간콜입력!$O:$O,"방문완료")</f>
        <v>0</v>
      </c>
      <c r="H1060" s="29">
        <f>COUNTIFS(실시간콜입력!$B:$B,$A1060,실시간콜입력!$E:$E,"C",실시간콜입력!$G:$G,$B1060,실시간콜입력!$O:$O,"방문완료")+COUNTIFS(실시간콜입력!$B:$B,$A1060,실시간콜입력!$E:$E,"C",실시간콜입력!$H:$H,$B1060,실시간콜입력!$O:$O,"방문완료")</f>
        <v>0</v>
      </c>
      <c r="I1060" s="29">
        <f>COUNTIFS(실시간콜입력!$B:$B,$A1060,실시간콜입력!$E:$E,"D",실시간콜입력!$G:$G,$B1060,실시간콜입력!$O:$O,"방문완료")+COUNTIFS(실시간콜입력!$B:$B,$A1060,실시간콜입력!$E:$E,"D",실시간콜입력!$H:$H,$B1060,실시간콜입력!$O:$O,"방문완료")</f>
        <v>0</v>
      </c>
      <c r="J1060" s="29">
        <f>COUNTIFS(실시간콜입력!$B:$B,$A1060,실시간콜입력!$E:$E,"E",실시간콜입력!$G:$G,$B1060,실시간콜입력!$O:$O,"방문완료")+COUNTIFS(실시간콜입력!$B:$B,$A1060,실시간콜입력!$E:$E,"E",실시간콜입력!$H:$H,$B1060,실시간콜입력!$O:$O,"방문완료")</f>
        <v>0</v>
      </c>
      <c r="K1060" s="29">
        <f t="shared" si="142"/>
        <v>0</v>
      </c>
      <c r="L1060" s="33">
        <f>SUMIFS(실시간콜입력!$K:$K,실시간콜입력!$B:$B,$A1060,실시간콜입력!$G:$G,$B1060,실시간콜입력!$O:$O,"방문완료")+SUMIFS(실시간콜입력!$L:$L,실시간콜입력!$B:$B,$A1060,실시간콜입력!$H:$H,$B1060,실시간콜입력!$O:$O,"방문완료")</f>
        <v>0</v>
      </c>
      <c r="M1060" s="29" t="str">
        <f t="shared" si="143"/>
        <v/>
      </c>
      <c r="N1060" s="29"/>
    </row>
    <row r="1061" spans="1:14" ht="19.5" hidden="1" customHeight="1" outlineLevel="1">
      <c r="A1061" s="24">
        <f>IF(21&lt;=DAY(DATE(YEAR(설정_코스수당!$K$2),MONTH(설정_코스수당!$K$2)+1,0)),DATE(YEAR(설정_코스수당!$K$2),MONTH(설정_코스수당!$K$2),21),"")</f>
        <v>46194</v>
      </c>
      <c r="B1061" s="23" t="s">
        <v>177</v>
      </c>
      <c r="C1061" s="29"/>
      <c r="D1061" s="29"/>
      <c r="E1061" s="29" t="str">
        <f t="shared" si="141"/>
        <v/>
      </c>
      <c r="F1061" s="29">
        <f>COUNTIFS(실시간콜입력!$B:$B,$A1061,실시간콜입력!$E:$E,"A",실시간콜입력!$G:$G,$B1061,실시간콜입력!$O:$O,"방문완료")+COUNTIFS(실시간콜입력!$B:$B,$A1061,실시간콜입력!$E:$E,"A",실시간콜입력!$H:$H,$B1061,실시간콜입력!$O:$O,"방문완료")</f>
        <v>0</v>
      </c>
      <c r="G1061" s="29">
        <f>COUNTIFS(실시간콜입력!$B:$B,$A1061,실시간콜입력!$E:$E,"B",실시간콜입력!$G:$G,$B1061,실시간콜입력!$O:$O,"방문완료")+COUNTIFS(실시간콜입력!$B:$B,$A1061,실시간콜입력!$E:$E,"B",실시간콜입력!$H:$H,$B1061,실시간콜입력!$O:$O,"방문완료")</f>
        <v>0</v>
      </c>
      <c r="H1061" s="29">
        <f>COUNTIFS(실시간콜입력!$B:$B,$A1061,실시간콜입력!$E:$E,"C",실시간콜입력!$G:$G,$B1061,실시간콜입력!$O:$O,"방문완료")+COUNTIFS(실시간콜입력!$B:$B,$A1061,실시간콜입력!$E:$E,"C",실시간콜입력!$H:$H,$B1061,실시간콜입력!$O:$O,"방문완료")</f>
        <v>0</v>
      </c>
      <c r="I1061" s="29">
        <f>COUNTIFS(실시간콜입력!$B:$B,$A1061,실시간콜입력!$E:$E,"D",실시간콜입력!$G:$G,$B1061,실시간콜입력!$O:$O,"방문완료")+COUNTIFS(실시간콜입력!$B:$B,$A1061,실시간콜입력!$E:$E,"D",실시간콜입력!$H:$H,$B1061,실시간콜입력!$O:$O,"방문완료")</f>
        <v>0</v>
      </c>
      <c r="J1061" s="29">
        <f>COUNTIFS(실시간콜입력!$B:$B,$A1061,실시간콜입력!$E:$E,"E",실시간콜입력!$G:$G,$B1061,실시간콜입력!$O:$O,"방문완료")+COUNTIFS(실시간콜입력!$B:$B,$A1061,실시간콜입력!$E:$E,"E",실시간콜입력!$H:$H,$B1061,실시간콜입력!$O:$O,"방문완료")</f>
        <v>0</v>
      </c>
      <c r="K1061" s="29">
        <f t="shared" si="142"/>
        <v>0</v>
      </c>
      <c r="L1061" s="27">
        <f>SUMIFS(실시간콜입력!$K:$K,실시간콜입력!$B:$B,$A1061,실시간콜입력!$G:$G,$B1061,실시간콜입력!$O:$O,"방문완료")+SUMIFS(실시간콜입력!$L:$L,실시간콜입력!$B:$B,$A1061,실시간콜입력!$H:$H,$B1061,실시간콜입력!$O:$O,"방문완료")</f>
        <v>0</v>
      </c>
      <c r="M1061" s="29" t="str">
        <f t="shared" si="143"/>
        <v/>
      </c>
      <c r="N1061" s="29"/>
    </row>
    <row r="1062" spans="1:14" ht="19.5" hidden="1" customHeight="1" outlineLevel="1">
      <c r="A1062" s="30">
        <f>IF(21&lt;=DAY(DATE(YEAR(설정_코스수당!$K$2),MONTH(설정_코스수당!$K$2)+1,0)),DATE(YEAR(설정_코스수당!$K$2),MONTH(설정_코스수당!$K$2),21),"")</f>
        <v>46194</v>
      </c>
      <c r="B1062" s="29" t="s">
        <v>178</v>
      </c>
      <c r="C1062" s="29"/>
      <c r="D1062" s="29"/>
      <c r="E1062" s="29" t="str">
        <f t="shared" si="141"/>
        <v/>
      </c>
      <c r="F1062" s="29">
        <f>COUNTIFS(실시간콜입력!$B:$B,$A1062,실시간콜입력!$E:$E,"A",실시간콜입력!$G:$G,$B1062,실시간콜입력!$O:$O,"방문완료")+COUNTIFS(실시간콜입력!$B:$B,$A1062,실시간콜입력!$E:$E,"A",실시간콜입력!$H:$H,$B1062,실시간콜입력!$O:$O,"방문완료")</f>
        <v>0</v>
      </c>
      <c r="G1062" s="29">
        <f>COUNTIFS(실시간콜입력!$B:$B,$A1062,실시간콜입력!$E:$E,"B",실시간콜입력!$G:$G,$B1062,실시간콜입력!$O:$O,"방문완료")+COUNTIFS(실시간콜입력!$B:$B,$A1062,실시간콜입력!$E:$E,"B",실시간콜입력!$H:$H,$B1062,실시간콜입력!$O:$O,"방문완료")</f>
        <v>0</v>
      </c>
      <c r="H1062" s="29">
        <f>COUNTIFS(실시간콜입력!$B:$B,$A1062,실시간콜입력!$E:$E,"C",실시간콜입력!$G:$G,$B1062,실시간콜입력!$O:$O,"방문완료")+COUNTIFS(실시간콜입력!$B:$B,$A1062,실시간콜입력!$E:$E,"C",실시간콜입력!$H:$H,$B1062,실시간콜입력!$O:$O,"방문완료")</f>
        <v>0</v>
      </c>
      <c r="I1062" s="29">
        <f>COUNTIFS(실시간콜입력!$B:$B,$A1062,실시간콜입력!$E:$E,"D",실시간콜입력!$G:$G,$B1062,실시간콜입력!$O:$O,"방문완료")+COUNTIFS(실시간콜입력!$B:$B,$A1062,실시간콜입력!$E:$E,"D",실시간콜입력!$H:$H,$B1062,실시간콜입력!$O:$O,"방문완료")</f>
        <v>0</v>
      </c>
      <c r="J1062" s="29">
        <f>COUNTIFS(실시간콜입력!$B:$B,$A1062,실시간콜입력!$E:$E,"E",실시간콜입력!$G:$G,$B1062,실시간콜입력!$O:$O,"방문완료")+COUNTIFS(실시간콜입력!$B:$B,$A1062,실시간콜입력!$E:$E,"E",실시간콜입력!$H:$H,$B1062,실시간콜입력!$O:$O,"방문완료")</f>
        <v>0</v>
      </c>
      <c r="K1062" s="29">
        <f t="shared" si="142"/>
        <v>0</v>
      </c>
      <c r="L1062" s="33">
        <f>SUMIFS(실시간콜입력!$K:$K,실시간콜입력!$B:$B,$A1062,실시간콜입력!$G:$G,$B1062,실시간콜입력!$O:$O,"방문완료")+SUMIFS(실시간콜입력!$L:$L,실시간콜입력!$B:$B,$A1062,실시간콜입력!$H:$H,$B1062,실시간콜입력!$O:$O,"방문완료")</f>
        <v>0</v>
      </c>
      <c r="M1062" s="29" t="str">
        <f t="shared" si="143"/>
        <v/>
      </c>
      <c r="N1062" s="29"/>
    </row>
    <row r="1063" spans="1:14" ht="19.5" hidden="1" customHeight="1" outlineLevel="1">
      <c r="A1063" s="24">
        <f>IF(21&lt;=DAY(DATE(YEAR(설정_코스수당!$K$2),MONTH(설정_코스수당!$K$2)+1,0)),DATE(YEAR(설정_코스수당!$K$2),MONTH(설정_코스수당!$K$2),21),"")</f>
        <v>46194</v>
      </c>
      <c r="B1063" s="23" t="s">
        <v>179</v>
      </c>
      <c r="C1063" s="29"/>
      <c r="D1063" s="29"/>
      <c r="E1063" s="29" t="str">
        <f t="shared" si="141"/>
        <v/>
      </c>
      <c r="F1063" s="29">
        <f>COUNTIFS(실시간콜입력!$B:$B,$A1063,실시간콜입력!$E:$E,"A",실시간콜입력!$G:$G,$B1063,실시간콜입력!$O:$O,"방문완료")+COUNTIFS(실시간콜입력!$B:$B,$A1063,실시간콜입력!$E:$E,"A",실시간콜입력!$H:$H,$B1063,실시간콜입력!$O:$O,"방문완료")</f>
        <v>0</v>
      </c>
      <c r="G1063" s="29">
        <f>COUNTIFS(실시간콜입력!$B:$B,$A1063,실시간콜입력!$E:$E,"B",실시간콜입력!$G:$G,$B1063,실시간콜입력!$O:$O,"방문완료")+COUNTIFS(실시간콜입력!$B:$B,$A1063,실시간콜입력!$E:$E,"B",실시간콜입력!$H:$H,$B1063,실시간콜입력!$O:$O,"방문완료")</f>
        <v>0</v>
      </c>
      <c r="H1063" s="29">
        <f>COUNTIFS(실시간콜입력!$B:$B,$A1063,실시간콜입력!$E:$E,"C",실시간콜입력!$G:$G,$B1063,실시간콜입력!$O:$O,"방문완료")+COUNTIFS(실시간콜입력!$B:$B,$A1063,실시간콜입력!$E:$E,"C",실시간콜입력!$H:$H,$B1063,실시간콜입력!$O:$O,"방문완료")</f>
        <v>0</v>
      </c>
      <c r="I1063" s="29">
        <f>COUNTIFS(실시간콜입력!$B:$B,$A1063,실시간콜입력!$E:$E,"D",실시간콜입력!$G:$G,$B1063,실시간콜입력!$O:$O,"방문완료")+COUNTIFS(실시간콜입력!$B:$B,$A1063,실시간콜입력!$E:$E,"D",실시간콜입력!$H:$H,$B1063,실시간콜입력!$O:$O,"방문완료")</f>
        <v>0</v>
      </c>
      <c r="J1063" s="29">
        <f>COUNTIFS(실시간콜입력!$B:$B,$A1063,실시간콜입력!$E:$E,"E",실시간콜입력!$G:$G,$B1063,실시간콜입력!$O:$O,"방문완료")+COUNTIFS(실시간콜입력!$B:$B,$A1063,실시간콜입력!$E:$E,"E",실시간콜입력!$H:$H,$B1063,실시간콜입력!$O:$O,"방문완료")</f>
        <v>0</v>
      </c>
      <c r="K1063" s="29">
        <f t="shared" si="142"/>
        <v>0</v>
      </c>
      <c r="L1063" s="27">
        <f>SUMIFS(실시간콜입력!$K:$K,실시간콜입력!$B:$B,$A1063,실시간콜입력!$G:$G,$B1063,실시간콜입력!$O:$O,"방문완료")+SUMIFS(실시간콜입력!$L:$L,실시간콜입력!$B:$B,$A1063,실시간콜입력!$H:$H,$B1063,실시간콜입력!$O:$O,"방문완료")</f>
        <v>0</v>
      </c>
      <c r="M1063" s="29" t="str">
        <f t="shared" si="143"/>
        <v/>
      </c>
      <c r="N1063" s="29"/>
    </row>
    <row r="1064" spans="1:14" ht="19.5" hidden="1" customHeight="1" outlineLevel="1">
      <c r="A1064" s="30">
        <f>IF(21&lt;=DAY(DATE(YEAR(설정_코스수당!$K$2),MONTH(설정_코스수당!$K$2)+1,0)),DATE(YEAR(설정_코스수당!$K$2),MONTH(설정_코스수당!$K$2),21),"")</f>
        <v>46194</v>
      </c>
      <c r="B1064" s="29" t="s">
        <v>180</v>
      </c>
      <c r="C1064" s="29"/>
      <c r="D1064" s="29"/>
      <c r="E1064" s="29" t="str">
        <f t="shared" si="141"/>
        <v/>
      </c>
      <c r="F1064" s="29">
        <f>COUNTIFS(실시간콜입력!$B:$B,$A1064,실시간콜입력!$E:$E,"A",실시간콜입력!$G:$G,$B1064,실시간콜입력!$O:$O,"방문완료")+COUNTIFS(실시간콜입력!$B:$B,$A1064,실시간콜입력!$E:$E,"A",실시간콜입력!$H:$H,$B1064,실시간콜입력!$O:$O,"방문완료")</f>
        <v>0</v>
      </c>
      <c r="G1064" s="29">
        <f>COUNTIFS(실시간콜입력!$B:$B,$A1064,실시간콜입력!$E:$E,"B",실시간콜입력!$G:$G,$B1064,실시간콜입력!$O:$O,"방문완료")+COUNTIFS(실시간콜입력!$B:$B,$A1064,실시간콜입력!$E:$E,"B",실시간콜입력!$H:$H,$B1064,실시간콜입력!$O:$O,"방문완료")</f>
        <v>0</v>
      </c>
      <c r="H1064" s="29">
        <f>COUNTIFS(실시간콜입력!$B:$B,$A1064,실시간콜입력!$E:$E,"C",실시간콜입력!$G:$G,$B1064,실시간콜입력!$O:$O,"방문완료")+COUNTIFS(실시간콜입력!$B:$B,$A1064,실시간콜입력!$E:$E,"C",실시간콜입력!$H:$H,$B1064,실시간콜입력!$O:$O,"방문완료")</f>
        <v>0</v>
      </c>
      <c r="I1064" s="29">
        <f>COUNTIFS(실시간콜입력!$B:$B,$A1064,실시간콜입력!$E:$E,"D",실시간콜입력!$G:$G,$B1064,실시간콜입력!$O:$O,"방문완료")+COUNTIFS(실시간콜입력!$B:$B,$A1064,실시간콜입력!$E:$E,"D",실시간콜입력!$H:$H,$B1064,실시간콜입력!$O:$O,"방문완료")</f>
        <v>0</v>
      </c>
      <c r="J1064" s="29">
        <f>COUNTIFS(실시간콜입력!$B:$B,$A1064,실시간콜입력!$E:$E,"E",실시간콜입력!$G:$G,$B1064,실시간콜입력!$O:$O,"방문완료")+COUNTIFS(실시간콜입력!$B:$B,$A1064,실시간콜입력!$E:$E,"E",실시간콜입력!$H:$H,$B1064,실시간콜입력!$O:$O,"방문완료")</f>
        <v>0</v>
      </c>
      <c r="K1064" s="29">
        <f t="shared" si="142"/>
        <v>0</v>
      </c>
      <c r="L1064" s="33">
        <f>SUMIFS(실시간콜입력!$K:$K,실시간콜입력!$B:$B,$A1064,실시간콜입력!$G:$G,$B1064,실시간콜입력!$O:$O,"방문완료")+SUMIFS(실시간콜입력!$L:$L,실시간콜입력!$B:$B,$A1064,실시간콜입력!$H:$H,$B1064,실시간콜입력!$O:$O,"방문완료")</f>
        <v>0</v>
      </c>
      <c r="M1064" s="29" t="str">
        <f t="shared" si="143"/>
        <v/>
      </c>
      <c r="N1064" s="29"/>
    </row>
    <row r="1065" spans="1:14" ht="19.5" hidden="1" customHeight="1" outlineLevel="1">
      <c r="A1065" s="24">
        <f>IF(21&lt;=DAY(DATE(YEAR(설정_코스수당!$K$2),MONTH(설정_코스수당!$K$2)+1,0)),DATE(YEAR(설정_코스수당!$K$2),MONTH(설정_코스수당!$K$2),21),"")</f>
        <v>46194</v>
      </c>
      <c r="B1065" s="23" t="s">
        <v>181</v>
      </c>
      <c r="C1065" s="29"/>
      <c r="D1065" s="29"/>
      <c r="E1065" s="29" t="str">
        <f t="shared" si="141"/>
        <v/>
      </c>
      <c r="F1065" s="29">
        <f>COUNTIFS(실시간콜입력!$B:$B,$A1065,실시간콜입력!$E:$E,"A",실시간콜입력!$G:$G,$B1065,실시간콜입력!$O:$O,"방문완료")+COUNTIFS(실시간콜입력!$B:$B,$A1065,실시간콜입력!$E:$E,"A",실시간콜입력!$H:$H,$B1065,실시간콜입력!$O:$O,"방문완료")</f>
        <v>0</v>
      </c>
      <c r="G1065" s="29">
        <f>COUNTIFS(실시간콜입력!$B:$B,$A1065,실시간콜입력!$E:$E,"B",실시간콜입력!$G:$G,$B1065,실시간콜입력!$O:$O,"방문완료")+COUNTIFS(실시간콜입력!$B:$B,$A1065,실시간콜입력!$E:$E,"B",실시간콜입력!$H:$H,$B1065,실시간콜입력!$O:$O,"방문완료")</f>
        <v>0</v>
      </c>
      <c r="H1065" s="29">
        <f>COUNTIFS(실시간콜입력!$B:$B,$A1065,실시간콜입력!$E:$E,"C",실시간콜입력!$G:$G,$B1065,실시간콜입력!$O:$O,"방문완료")+COUNTIFS(실시간콜입력!$B:$B,$A1065,실시간콜입력!$E:$E,"C",실시간콜입력!$H:$H,$B1065,실시간콜입력!$O:$O,"방문완료")</f>
        <v>0</v>
      </c>
      <c r="I1065" s="29">
        <f>COUNTIFS(실시간콜입력!$B:$B,$A1065,실시간콜입력!$E:$E,"D",실시간콜입력!$G:$G,$B1065,실시간콜입력!$O:$O,"방문완료")+COUNTIFS(실시간콜입력!$B:$B,$A1065,실시간콜입력!$E:$E,"D",실시간콜입력!$H:$H,$B1065,실시간콜입력!$O:$O,"방문완료")</f>
        <v>0</v>
      </c>
      <c r="J1065" s="29">
        <f>COUNTIFS(실시간콜입력!$B:$B,$A1065,실시간콜입력!$E:$E,"E",실시간콜입력!$G:$G,$B1065,실시간콜입력!$O:$O,"방문완료")+COUNTIFS(실시간콜입력!$B:$B,$A1065,실시간콜입력!$E:$E,"E",실시간콜입력!$H:$H,$B1065,실시간콜입력!$O:$O,"방문완료")</f>
        <v>0</v>
      </c>
      <c r="K1065" s="29">
        <f t="shared" si="142"/>
        <v>0</v>
      </c>
      <c r="L1065" s="27">
        <f>SUMIFS(실시간콜입력!$K:$K,실시간콜입력!$B:$B,$A1065,실시간콜입력!$G:$G,$B1065,실시간콜입력!$O:$O,"방문완료")+SUMIFS(실시간콜입력!$L:$L,실시간콜입력!$B:$B,$A1065,실시간콜입력!$H:$H,$B1065,실시간콜입력!$O:$O,"방문완료")</f>
        <v>0</v>
      </c>
      <c r="M1065" s="29" t="str">
        <f t="shared" si="143"/>
        <v/>
      </c>
      <c r="N1065" s="29"/>
    </row>
    <row r="1066" spans="1:14" ht="19.5" hidden="1" customHeight="1" outlineLevel="1">
      <c r="A1066" s="30">
        <f>IF(21&lt;=DAY(DATE(YEAR(설정_코스수당!$K$2),MONTH(설정_코스수당!$K$2)+1,0)),DATE(YEAR(설정_코스수당!$K$2),MONTH(설정_코스수당!$K$2),21),"")</f>
        <v>46194</v>
      </c>
      <c r="B1066" s="29" t="s">
        <v>182</v>
      </c>
      <c r="C1066" s="29"/>
      <c r="D1066" s="29"/>
      <c r="E1066" s="29" t="str">
        <f t="shared" si="141"/>
        <v/>
      </c>
      <c r="F1066" s="29">
        <f>COUNTIFS(실시간콜입력!$B:$B,$A1066,실시간콜입력!$E:$E,"A",실시간콜입력!$G:$G,$B1066,실시간콜입력!$O:$O,"방문완료")+COUNTIFS(실시간콜입력!$B:$B,$A1066,실시간콜입력!$E:$E,"A",실시간콜입력!$H:$H,$B1066,실시간콜입력!$O:$O,"방문완료")</f>
        <v>0</v>
      </c>
      <c r="G1066" s="29">
        <f>COUNTIFS(실시간콜입력!$B:$B,$A1066,실시간콜입력!$E:$E,"B",실시간콜입력!$G:$G,$B1066,실시간콜입력!$O:$O,"방문완료")+COUNTIFS(실시간콜입력!$B:$B,$A1066,실시간콜입력!$E:$E,"B",실시간콜입력!$H:$H,$B1066,실시간콜입력!$O:$O,"방문완료")</f>
        <v>0</v>
      </c>
      <c r="H1066" s="29">
        <f>COUNTIFS(실시간콜입력!$B:$B,$A1066,실시간콜입력!$E:$E,"C",실시간콜입력!$G:$G,$B1066,실시간콜입력!$O:$O,"방문완료")+COUNTIFS(실시간콜입력!$B:$B,$A1066,실시간콜입력!$E:$E,"C",실시간콜입력!$H:$H,$B1066,실시간콜입력!$O:$O,"방문완료")</f>
        <v>0</v>
      </c>
      <c r="I1066" s="29">
        <f>COUNTIFS(실시간콜입력!$B:$B,$A1066,실시간콜입력!$E:$E,"D",실시간콜입력!$G:$G,$B1066,실시간콜입력!$O:$O,"방문완료")+COUNTIFS(실시간콜입력!$B:$B,$A1066,실시간콜입력!$E:$E,"D",실시간콜입력!$H:$H,$B1066,실시간콜입력!$O:$O,"방문완료")</f>
        <v>0</v>
      </c>
      <c r="J1066" s="29">
        <f>COUNTIFS(실시간콜입력!$B:$B,$A1066,실시간콜입력!$E:$E,"E",실시간콜입력!$G:$G,$B1066,실시간콜입력!$O:$O,"방문완료")+COUNTIFS(실시간콜입력!$B:$B,$A1066,실시간콜입력!$E:$E,"E",실시간콜입력!$H:$H,$B1066,실시간콜입력!$O:$O,"방문완료")</f>
        <v>0</v>
      </c>
      <c r="K1066" s="29">
        <f t="shared" si="142"/>
        <v>0</v>
      </c>
      <c r="L1066" s="33">
        <f>SUMIFS(실시간콜입력!$K:$K,실시간콜입력!$B:$B,$A1066,실시간콜입력!$G:$G,$B1066,실시간콜입력!$O:$O,"방문완료")+SUMIFS(실시간콜입력!$L:$L,실시간콜입력!$B:$B,$A1066,실시간콜입력!$H:$H,$B1066,실시간콜입력!$O:$O,"방문완료")</f>
        <v>0</v>
      </c>
      <c r="M1066" s="29" t="str">
        <f t="shared" si="143"/>
        <v/>
      </c>
      <c r="N1066" s="29"/>
    </row>
    <row r="1067" spans="1:14" ht="19.5" hidden="1" customHeight="1" outlineLevel="1">
      <c r="A1067" s="24">
        <f>IF(21&lt;=DAY(DATE(YEAR(설정_코스수당!$K$2),MONTH(설정_코스수당!$K$2)+1,0)),DATE(YEAR(설정_코스수당!$K$2),MONTH(설정_코스수당!$K$2),21),"")</f>
        <v>46194</v>
      </c>
      <c r="B1067" s="23" t="s">
        <v>183</v>
      </c>
      <c r="C1067" s="29"/>
      <c r="D1067" s="29"/>
      <c r="E1067" s="29" t="str">
        <f t="shared" si="141"/>
        <v/>
      </c>
      <c r="F1067" s="29">
        <f>COUNTIFS(실시간콜입력!$B:$B,$A1067,실시간콜입력!$E:$E,"A",실시간콜입력!$G:$G,$B1067,실시간콜입력!$O:$O,"방문완료")+COUNTIFS(실시간콜입력!$B:$B,$A1067,실시간콜입력!$E:$E,"A",실시간콜입력!$H:$H,$B1067,실시간콜입력!$O:$O,"방문완료")</f>
        <v>0</v>
      </c>
      <c r="G1067" s="29">
        <f>COUNTIFS(실시간콜입력!$B:$B,$A1067,실시간콜입력!$E:$E,"B",실시간콜입력!$G:$G,$B1067,실시간콜입력!$O:$O,"방문완료")+COUNTIFS(실시간콜입력!$B:$B,$A1067,실시간콜입력!$E:$E,"B",실시간콜입력!$H:$H,$B1067,실시간콜입력!$O:$O,"방문완료")</f>
        <v>0</v>
      </c>
      <c r="H1067" s="29">
        <f>COUNTIFS(실시간콜입력!$B:$B,$A1067,실시간콜입력!$E:$E,"C",실시간콜입력!$G:$G,$B1067,실시간콜입력!$O:$O,"방문완료")+COUNTIFS(실시간콜입력!$B:$B,$A1067,실시간콜입력!$E:$E,"C",실시간콜입력!$H:$H,$B1067,실시간콜입력!$O:$O,"방문완료")</f>
        <v>0</v>
      </c>
      <c r="I1067" s="29">
        <f>COUNTIFS(실시간콜입력!$B:$B,$A1067,실시간콜입력!$E:$E,"D",실시간콜입력!$G:$G,$B1067,실시간콜입력!$O:$O,"방문완료")+COUNTIFS(실시간콜입력!$B:$B,$A1067,실시간콜입력!$E:$E,"D",실시간콜입력!$H:$H,$B1067,실시간콜입력!$O:$O,"방문완료")</f>
        <v>0</v>
      </c>
      <c r="J1067" s="29">
        <f>COUNTIFS(실시간콜입력!$B:$B,$A1067,실시간콜입력!$E:$E,"E",실시간콜입력!$G:$G,$B1067,실시간콜입력!$O:$O,"방문완료")+COUNTIFS(실시간콜입력!$B:$B,$A1067,실시간콜입력!$E:$E,"E",실시간콜입력!$H:$H,$B1067,실시간콜입력!$O:$O,"방문완료")</f>
        <v>0</v>
      </c>
      <c r="K1067" s="29">
        <f t="shared" si="142"/>
        <v>0</v>
      </c>
      <c r="L1067" s="27">
        <f>SUMIFS(실시간콜입력!$K:$K,실시간콜입력!$B:$B,$A1067,실시간콜입력!$G:$G,$B1067,실시간콜입력!$O:$O,"방문완료")+SUMIFS(실시간콜입력!$L:$L,실시간콜입력!$B:$B,$A1067,실시간콜입력!$H:$H,$B1067,실시간콜입력!$O:$O,"방문완료")</f>
        <v>0</v>
      </c>
      <c r="M1067" s="29" t="str">
        <f t="shared" si="143"/>
        <v/>
      </c>
      <c r="N1067" s="29"/>
    </row>
    <row r="1068" spans="1:14" ht="19.5" hidden="1" customHeight="1" outlineLevel="1">
      <c r="A1068" s="30">
        <f>IF(21&lt;=DAY(DATE(YEAR(설정_코스수당!$K$2),MONTH(설정_코스수당!$K$2)+1,0)),DATE(YEAR(설정_코스수당!$K$2),MONTH(설정_코스수당!$K$2),21),"")</f>
        <v>46194</v>
      </c>
      <c r="B1068" s="29" t="s">
        <v>184</v>
      </c>
      <c r="C1068" s="29"/>
      <c r="D1068" s="29"/>
      <c r="E1068" s="29" t="str">
        <f t="shared" si="141"/>
        <v/>
      </c>
      <c r="F1068" s="29">
        <f>COUNTIFS(실시간콜입력!$B:$B,$A1068,실시간콜입력!$E:$E,"A",실시간콜입력!$G:$G,$B1068,실시간콜입력!$O:$O,"방문완료")+COUNTIFS(실시간콜입력!$B:$B,$A1068,실시간콜입력!$E:$E,"A",실시간콜입력!$H:$H,$B1068,실시간콜입력!$O:$O,"방문완료")</f>
        <v>0</v>
      </c>
      <c r="G1068" s="29">
        <f>COUNTIFS(실시간콜입력!$B:$B,$A1068,실시간콜입력!$E:$E,"B",실시간콜입력!$G:$G,$B1068,실시간콜입력!$O:$O,"방문완료")+COUNTIFS(실시간콜입력!$B:$B,$A1068,실시간콜입력!$E:$E,"B",실시간콜입력!$H:$H,$B1068,실시간콜입력!$O:$O,"방문완료")</f>
        <v>0</v>
      </c>
      <c r="H1068" s="29">
        <f>COUNTIFS(실시간콜입력!$B:$B,$A1068,실시간콜입력!$E:$E,"C",실시간콜입력!$G:$G,$B1068,실시간콜입력!$O:$O,"방문완료")+COUNTIFS(실시간콜입력!$B:$B,$A1068,실시간콜입력!$E:$E,"C",실시간콜입력!$H:$H,$B1068,실시간콜입력!$O:$O,"방문완료")</f>
        <v>0</v>
      </c>
      <c r="I1068" s="29">
        <f>COUNTIFS(실시간콜입력!$B:$B,$A1068,실시간콜입력!$E:$E,"D",실시간콜입력!$G:$G,$B1068,실시간콜입력!$O:$O,"방문완료")+COUNTIFS(실시간콜입력!$B:$B,$A1068,실시간콜입력!$E:$E,"D",실시간콜입력!$H:$H,$B1068,실시간콜입력!$O:$O,"방문완료")</f>
        <v>0</v>
      </c>
      <c r="J1068" s="29">
        <f>COUNTIFS(실시간콜입력!$B:$B,$A1068,실시간콜입력!$E:$E,"E",실시간콜입력!$G:$G,$B1068,실시간콜입력!$O:$O,"방문완료")+COUNTIFS(실시간콜입력!$B:$B,$A1068,실시간콜입력!$E:$E,"E",실시간콜입력!$H:$H,$B1068,실시간콜입력!$O:$O,"방문완료")</f>
        <v>0</v>
      </c>
      <c r="K1068" s="29">
        <f t="shared" si="142"/>
        <v>0</v>
      </c>
      <c r="L1068" s="33">
        <f>SUMIFS(실시간콜입력!$K:$K,실시간콜입력!$B:$B,$A1068,실시간콜입력!$G:$G,$B1068,실시간콜입력!$O:$O,"방문완료")+SUMIFS(실시간콜입력!$L:$L,실시간콜입력!$B:$B,$A1068,실시간콜입력!$H:$H,$B1068,실시간콜입력!$O:$O,"방문완료")</f>
        <v>0</v>
      </c>
      <c r="M1068" s="29" t="str">
        <f t="shared" si="143"/>
        <v/>
      </c>
      <c r="N1068" s="29"/>
    </row>
    <row r="1069" spans="1:14" ht="19.5" hidden="1" customHeight="1" outlineLevel="1">
      <c r="A1069" s="24">
        <f>IF(21&lt;=DAY(DATE(YEAR(설정_코스수당!$K$2),MONTH(설정_코스수당!$K$2)+1,0)),DATE(YEAR(설정_코스수당!$K$2),MONTH(설정_코스수당!$K$2),21),"")</f>
        <v>46194</v>
      </c>
      <c r="B1069" s="23" t="s">
        <v>185</v>
      </c>
      <c r="C1069" s="29"/>
      <c r="D1069" s="29"/>
      <c r="E1069" s="29" t="str">
        <f t="shared" si="141"/>
        <v/>
      </c>
      <c r="F1069" s="29">
        <f>COUNTIFS(실시간콜입력!$B:$B,$A1069,실시간콜입력!$E:$E,"A",실시간콜입력!$G:$G,$B1069,실시간콜입력!$O:$O,"방문완료")+COUNTIFS(실시간콜입력!$B:$B,$A1069,실시간콜입력!$E:$E,"A",실시간콜입력!$H:$H,$B1069,실시간콜입력!$O:$O,"방문완료")</f>
        <v>0</v>
      </c>
      <c r="G1069" s="29">
        <f>COUNTIFS(실시간콜입력!$B:$B,$A1069,실시간콜입력!$E:$E,"B",실시간콜입력!$G:$G,$B1069,실시간콜입력!$O:$O,"방문완료")+COUNTIFS(실시간콜입력!$B:$B,$A1069,실시간콜입력!$E:$E,"B",실시간콜입력!$H:$H,$B1069,실시간콜입력!$O:$O,"방문완료")</f>
        <v>0</v>
      </c>
      <c r="H1069" s="29">
        <f>COUNTIFS(실시간콜입력!$B:$B,$A1069,실시간콜입력!$E:$E,"C",실시간콜입력!$G:$G,$B1069,실시간콜입력!$O:$O,"방문완료")+COUNTIFS(실시간콜입력!$B:$B,$A1069,실시간콜입력!$E:$E,"C",실시간콜입력!$H:$H,$B1069,실시간콜입력!$O:$O,"방문완료")</f>
        <v>0</v>
      </c>
      <c r="I1069" s="29">
        <f>COUNTIFS(실시간콜입력!$B:$B,$A1069,실시간콜입력!$E:$E,"D",실시간콜입력!$G:$G,$B1069,실시간콜입력!$O:$O,"방문완료")+COUNTIFS(실시간콜입력!$B:$B,$A1069,실시간콜입력!$E:$E,"D",실시간콜입력!$H:$H,$B1069,실시간콜입력!$O:$O,"방문완료")</f>
        <v>0</v>
      </c>
      <c r="J1069" s="29">
        <f>COUNTIFS(실시간콜입력!$B:$B,$A1069,실시간콜입력!$E:$E,"E",실시간콜입력!$G:$G,$B1069,실시간콜입력!$O:$O,"방문완료")+COUNTIFS(실시간콜입력!$B:$B,$A1069,실시간콜입력!$E:$E,"E",실시간콜입력!$H:$H,$B1069,실시간콜입력!$O:$O,"방문완료")</f>
        <v>0</v>
      </c>
      <c r="K1069" s="29">
        <f t="shared" si="142"/>
        <v>0</v>
      </c>
      <c r="L1069" s="27">
        <f>SUMIFS(실시간콜입력!$K:$K,실시간콜입력!$B:$B,$A1069,실시간콜입력!$G:$G,$B1069,실시간콜입력!$O:$O,"방문완료")+SUMIFS(실시간콜입력!$L:$L,실시간콜입력!$B:$B,$A1069,실시간콜입력!$H:$H,$B1069,실시간콜입력!$O:$O,"방문완료")</f>
        <v>0</v>
      </c>
      <c r="M1069" s="29" t="str">
        <f t="shared" si="143"/>
        <v/>
      </c>
      <c r="N1069" s="29"/>
    </row>
    <row r="1070" spans="1:14" ht="19.5" hidden="1" customHeight="1" outlineLevel="1">
      <c r="A1070" s="30">
        <f>IF(21&lt;=DAY(DATE(YEAR(설정_코스수당!$K$2),MONTH(설정_코스수당!$K$2)+1,0)),DATE(YEAR(설정_코스수당!$K$2),MONTH(설정_코스수당!$K$2),21),"")</f>
        <v>46194</v>
      </c>
      <c r="B1070" s="29" t="s">
        <v>186</v>
      </c>
      <c r="C1070" s="29"/>
      <c r="D1070" s="29"/>
      <c r="E1070" s="29" t="str">
        <f t="shared" si="141"/>
        <v/>
      </c>
      <c r="F1070" s="29">
        <f>COUNTIFS(실시간콜입력!$B:$B,$A1070,실시간콜입력!$E:$E,"A",실시간콜입력!$G:$G,$B1070,실시간콜입력!$O:$O,"방문완료")+COUNTIFS(실시간콜입력!$B:$B,$A1070,실시간콜입력!$E:$E,"A",실시간콜입력!$H:$H,$B1070,실시간콜입력!$O:$O,"방문완료")</f>
        <v>0</v>
      </c>
      <c r="G1070" s="29">
        <f>COUNTIFS(실시간콜입력!$B:$B,$A1070,실시간콜입력!$E:$E,"B",실시간콜입력!$G:$G,$B1070,실시간콜입력!$O:$O,"방문완료")+COUNTIFS(실시간콜입력!$B:$B,$A1070,실시간콜입력!$E:$E,"B",실시간콜입력!$H:$H,$B1070,실시간콜입력!$O:$O,"방문완료")</f>
        <v>0</v>
      </c>
      <c r="H1070" s="29">
        <f>COUNTIFS(실시간콜입력!$B:$B,$A1070,실시간콜입력!$E:$E,"C",실시간콜입력!$G:$G,$B1070,실시간콜입력!$O:$O,"방문완료")+COUNTIFS(실시간콜입력!$B:$B,$A1070,실시간콜입력!$E:$E,"C",실시간콜입력!$H:$H,$B1070,실시간콜입력!$O:$O,"방문완료")</f>
        <v>0</v>
      </c>
      <c r="I1070" s="29">
        <f>COUNTIFS(실시간콜입력!$B:$B,$A1070,실시간콜입력!$E:$E,"D",실시간콜입력!$G:$G,$B1070,실시간콜입력!$O:$O,"방문완료")+COUNTIFS(실시간콜입력!$B:$B,$A1070,실시간콜입력!$E:$E,"D",실시간콜입력!$H:$H,$B1070,실시간콜입력!$O:$O,"방문완료")</f>
        <v>0</v>
      </c>
      <c r="J1070" s="29">
        <f>COUNTIFS(실시간콜입력!$B:$B,$A1070,실시간콜입력!$E:$E,"E",실시간콜입력!$G:$G,$B1070,실시간콜입력!$O:$O,"방문완료")+COUNTIFS(실시간콜입력!$B:$B,$A1070,실시간콜입력!$E:$E,"E",실시간콜입력!$H:$H,$B1070,실시간콜입력!$O:$O,"방문완료")</f>
        <v>0</v>
      </c>
      <c r="K1070" s="29">
        <f t="shared" si="142"/>
        <v>0</v>
      </c>
      <c r="L1070" s="33">
        <f>SUMIFS(실시간콜입력!$K:$K,실시간콜입력!$B:$B,$A1070,실시간콜입력!$G:$G,$B1070,실시간콜입력!$O:$O,"방문완료")+SUMIFS(실시간콜입력!$L:$L,실시간콜입력!$B:$B,$A1070,실시간콜입력!$H:$H,$B1070,실시간콜입력!$O:$O,"방문완료")</f>
        <v>0</v>
      </c>
      <c r="M1070" s="29" t="str">
        <f t="shared" si="143"/>
        <v/>
      </c>
      <c r="N1070" s="29"/>
    </row>
    <row r="1071" spans="1:14" ht="19.5" hidden="1" customHeight="1" outlineLevel="1">
      <c r="A1071" s="24">
        <f>IF(21&lt;=DAY(DATE(YEAR(설정_코스수당!$K$2),MONTH(설정_코스수당!$K$2)+1,0)),DATE(YEAR(설정_코스수당!$K$2),MONTH(설정_코스수당!$K$2),21),"")</f>
        <v>46194</v>
      </c>
      <c r="B1071" s="23" t="s">
        <v>187</v>
      </c>
      <c r="C1071" s="29"/>
      <c r="D1071" s="29"/>
      <c r="E1071" s="29" t="str">
        <f t="shared" si="141"/>
        <v/>
      </c>
      <c r="F1071" s="29">
        <f>COUNTIFS(실시간콜입력!$B:$B,$A1071,실시간콜입력!$E:$E,"A",실시간콜입력!$G:$G,$B1071,실시간콜입력!$O:$O,"방문완료")+COUNTIFS(실시간콜입력!$B:$B,$A1071,실시간콜입력!$E:$E,"A",실시간콜입력!$H:$H,$B1071,실시간콜입력!$O:$O,"방문완료")</f>
        <v>0</v>
      </c>
      <c r="G1071" s="29">
        <f>COUNTIFS(실시간콜입력!$B:$B,$A1071,실시간콜입력!$E:$E,"B",실시간콜입력!$G:$G,$B1071,실시간콜입력!$O:$O,"방문완료")+COUNTIFS(실시간콜입력!$B:$B,$A1071,실시간콜입력!$E:$E,"B",실시간콜입력!$H:$H,$B1071,실시간콜입력!$O:$O,"방문완료")</f>
        <v>0</v>
      </c>
      <c r="H1071" s="29">
        <f>COUNTIFS(실시간콜입력!$B:$B,$A1071,실시간콜입력!$E:$E,"C",실시간콜입력!$G:$G,$B1071,실시간콜입력!$O:$O,"방문완료")+COUNTIFS(실시간콜입력!$B:$B,$A1071,실시간콜입력!$E:$E,"C",실시간콜입력!$H:$H,$B1071,실시간콜입력!$O:$O,"방문완료")</f>
        <v>0</v>
      </c>
      <c r="I1071" s="29">
        <f>COUNTIFS(실시간콜입력!$B:$B,$A1071,실시간콜입력!$E:$E,"D",실시간콜입력!$G:$G,$B1071,실시간콜입력!$O:$O,"방문완료")+COUNTIFS(실시간콜입력!$B:$B,$A1071,실시간콜입력!$E:$E,"D",실시간콜입력!$H:$H,$B1071,실시간콜입력!$O:$O,"방문완료")</f>
        <v>0</v>
      </c>
      <c r="J1071" s="29">
        <f>COUNTIFS(실시간콜입력!$B:$B,$A1071,실시간콜입력!$E:$E,"E",실시간콜입력!$G:$G,$B1071,실시간콜입력!$O:$O,"방문완료")+COUNTIFS(실시간콜입력!$B:$B,$A1071,실시간콜입력!$E:$E,"E",실시간콜입력!$H:$H,$B1071,실시간콜입력!$O:$O,"방문완료")</f>
        <v>0</v>
      </c>
      <c r="K1071" s="29">
        <f t="shared" si="142"/>
        <v>0</v>
      </c>
      <c r="L1071" s="27">
        <f>SUMIFS(실시간콜입력!$K:$K,실시간콜입력!$B:$B,$A1071,실시간콜입력!$G:$G,$B1071,실시간콜입력!$O:$O,"방문완료")+SUMIFS(실시간콜입력!$L:$L,실시간콜입력!$B:$B,$A1071,실시간콜입력!$H:$H,$B1071,실시간콜입력!$O:$O,"방문완료")</f>
        <v>0</v>
      </c>
      <c r="M1071" s="29" t="str">
        <f t="shared" si="143"/>
        <v/>
      </c>
      <c r="N1071" s="29"/>
    </row>
    <row r="1072" spans="1:14" ht="19.5" hidden="1" customHeight="1" outlineLevel="1">
      <c r="A1072" s="30">
        <f>IF(21&lt;=DAY(DATE(YEAR(설정_코스수당!$K$2),MONTH(설정_코스수당!$K$2)+1,0)),DATE(YEAR(설정_코스수당!$K$2),MONTH(설정_코스수당!$K$2),21),"")</f>
        <v>46194</v>
      </c>
      <c r="B1072" s="29" t="s">
        <v>188</v>
      </c>
      <c r="C1072" s="29"/>
      <c r="D1072" s="29"/>
      <c r="E1072" s="29" t="str">
        <f t="shared" si="141"/>
        <v/>
      </c>
      <c r="F1072" s="29">
        <f>COUNTIFS(실시간콜입력!$B:$B,$A1072,실시간콜입력!$E:$E,"A",실시간콜입력!$G:$G,$B1072,실시간콜입력!$O:$O,"방문완료")+COUNTIFS(실시간콜입력!$B:$B,$A1072,실시간콜입력!$E:$E,"A",실시간콜입력!$H:$H,$B1072,실시간콜입력!$O:$O,"방문완료")</f>
        <v>0</v>
      </c>
      <c r="G1072" s="29">
        <f>COUNTIFS(실시간콜입력!$B:$B,$A1072,실시간콜입력!$E:$E,"B",실시간콜입력!$G:$G,$B1072,실시간콜입력!$O:$O,"방문완료")+COUNTIFS(실시간콜입력!$B:$B,$A1072,실시간콜입력!$E:$E,"B",실시간콜입력!$H:$H,$B1072,실시간콜입력!$O:$O,"방문완료")</f>
        <v>0</v>
      </c>
      <c r="H1072" s="29">
        <f>COUNTIFS(실시간콜입력!$B:$B,$A1072,실시간콜입력!$E:$E,"C",실시간콜입력!$G:$G,$B1072,실시간콜입력!$O:$O,"방문완료")+COUNTIFS(실시간콜입력!$B:$B,$A1072,실시간콜입력!$E:$E,"C",실시간콜입력!$H:$H,$B1072,실시간콜입력!$O:$O,"방문완료")</f>
        <v>0</v>
      </c>
      <c r="I1072" s="29">
        <f>COUNTIFS(실시간콜입력!$B:$B,$A1072,실시간콜입력!$E:$E,"D",실시간콜입력!$G:$G,$B1072,실시간콜입력!$O:$O,"방문완료")+COUNTIFS(실시간콜입력!$B:$B,$A1072,실시간콜입력!$E:$E,"D",실시간콜입력!$H:$H,$B1072,실시간콜입력!$O:$O,"방문완료")</f>
        <v>0</v>
      </c>
      <c r="J1072" s="29">
        <f>COUNTIFS(실시간콜입력!$B:$B,$A1072,실시간콜입력!$E:$E,"E",실시간콜입력!$G:$G,$B1072,실시간콜입력!$O:$O,"방문완료")+COUNTIFS(실시간콜입력!$B:$B,$A1072,실시간콜입력!$E:$E,"E",실시간콜입력!$H:$H,$B1072,실시간콜입력!$O:$O,"방문완료")</f>
        <v>0</v>
      </c>
      <c r="K1072" s="29">
        <f t="shared" si="142"/>
        <v>0</v>
      </c>
      <c r="L1072" s="33">
        <f>SUMIFS(실시간콜입력!$K:$K,실시간콜입력!$B:$B,$A1072,실시간콜입력!$G:$G,$B1072,실시간콜입력!$O:$O,"방문완료")+SUMIFS(실시간콜입력!$L:$L,실시간콜입력!$B:$B,$A1072,실시간콜입력!$H:$H,$B1072,실시간콜입력!$O:$O,"방문완료")</f>
        <v>0</v>
      </c>
      <c r="M1072" s="29" t="str">
        <f t="shared" si="143"/>
        <v/>
      </c>
      <c r="N1072" s="29"/>
    </row>
    <row r="1073" spans="1:14" ht="19.5" hidden="1" customHeight="1" outlineLevel="1">
      <c r="A1073" s="24">
        <f>IF(21&lt;=DAY(DATE(YEAR(설정_코스수당!$K$2),MONTH(설정_코스수당!$K$2)+1,0)),DATE(YEAR(설정_코스수당!$K$2),MONTH(설정_코스수당!$K$2),21),"")</f>
        <v>46194</v>
      </c>
      <c r="B1073" s="23" t="s">
        <v>189</v>
      </c>
      <c r="C1073" s="29"/>
      <c r="D1073" s="29"/>
      <c r="E1073" s="29" t="str">
        <f t="shared" si="141"/>
        <v/>
      </c>
      <c r="F1073" s="29">
        <f>COUNTIFS(실시간콜입력!$B:$B,$A1073,실시간콜입력!$E:$E,"A",실시간콜입력!$G:$G,$B1073,실시간콜입력!$O:$O,"방문완료")+COUNTIFS(실시간콜입력!$B:$B,$A1073,실시간콜입력!$E:$E,"A",실시간콜입력!$H:$H,$B1073,실시간콜입력!$O:$O,"방문완료")</f>
        <v>0</v>
      </c>
      <c r="G1073" s="29">
        <f>COUNTIFS(실시간콜입력!$B:$B,$A1073,실시간콜입력!$E:$E,"B",실시간콜입력!$G:$G,$B1073,실시간콜입력!$O:$O,"방문완료")+COUNTIFS(실시간콜입력!$B:$B,$A1073,실시간콜입력!$E:$E,"B",실시간콜입력!$H:$H,$B1073,실시간콜입력!$O:$O,"방문완료")</f>
        <v>0</v>
      </c>
      <c r="H1073" s="29">
        <f>COUNTIFS(실시간콜입력!$B:$B,$A1073,실시간콜입력!$E:$E,"C",실시간콜입력!$G:$G,$B1073,실시간콜입력!$O:$O,"방문완료")+COUNTIFS(실시간콜입력!$B:$B,$A1073,실시간콜입력!$E:$E,"C",실시간콜입력!$H:$H,$B1073,실시간콜입력!$O:$O,"방문완료")</f>
        <v>0</v>
      </c>
      <c r="I1073" s="29">
        <f>COUNTIFS(실시간콜입력!$B:$B,$A1073,실시간콜입력!$E:$E,"D",실시간콜입력!$G:$G,$B1073,실시간콜입력!$O:$O,"방문완료")+COUNTIFS(실시간콜입력!$B:$B,$A1073,실시간콜입력!$E:$E,"D",실시간콜입력!$H:$H,$B1073,실시간콜입력!$O:$O,"방문완료")</f>
        <v>0</v>
      </c>
      <c r="J1073" s="29">
        <f>COUNTIFS(실시간콜입력!$B:$B,$A1073,실시간콜입력!$E:$E,"E",실시간콜입력!$G:$G,$B1073,실시간콜입력!$O:$O,"방문완료")+COUNTIFS(실시간콜입력!$B:$B,$A1073,실시간콜입력!$E:$E,"E",실시간콜입력!$H:$H,$B1073,실시간콜입력!$O:$O,"방문완료")</f>
        <v>0</v>
      </c>
      <c r="K1073" s="29">
        <f t="shared" si="142"/>
        <v>0</v>
      </c>
      <c r="L1073" s="27">
        <f>SUMIFS(실시간콜입력!$K:$K,실시간콜입력!$B:$B,$A1073,실시간콜입력!$G:$G,$B1073,실시간콜입력!$O:$O,"방문완료")+SUMIFS(실시간콜입력!$L:$L,실시간콜입력!$B:$B,$A1073,실시간콜입력!$H:$H,$B1073,실시간콜입력!$O:$O,"방문완료")</f>
        <v>0</v>
      </c>
      <c r="M1073" s="29" t="str">
        <f t="shared" si="143"/>
        <v/>
      </c>
      <c r="N1073" s="29"/>
    </row>
    <row r="1074" spans="1:14" ht="19.5" hidden="1" customHeight="1" outlineLevel="1">
      <c r="A1074" s="30">
        <f>IF(21&lt;=DAY(DATE(YEAR(설정_코스수당!$K$2),MONTH(설정_코스수당!$K$2)+1,0)),DATE(YEAR(설정_코스수당!$K$2),MONTH(설정_코스수당!$K$2),21),"")</f>
        <v>46194</v>
      </c>
      <c r="B1074" s="29" t="s">
        <v>190</v>
      </c>
      <c r="C1074" s="29"/>
      <c r="D1074" s="29"/>
      <c r="E1074" s="29" t="str">
        <f t="shared" si="141"/>
        <v/>
      </c>
      <c r="F1074" s="29">
        <f>COUNTIFS(실시간콜입력!$B:$B,$A1074,실시간콜입력!$E:$E,"A",실시간콜입력!$G:$G,$B1074,실시간콜입력!$O:$O,"방문완료")+COUNTIFS(실시간콜입력!$B:$B,$A1074,실시간콜입력!$E:$E,"A",실시간콜입력!$H:$H,$B1074,실시간콜입력!$O:$O,"방문완료")</f>
        <v>0</v>
      </c>
      <c r="G1074" s="29">
        <f>COUNTIFS(실시간콜입력!$B:$B,$A1074,실시간콜입력!$E:$E,"B",실시간콜입력!$G:$G,$B1074,실시간콜입력!$O:$O,"방문완료")+COUNTIFS(실시간콜입력!$B:$B,$A1074,실시간콜입력!$E:$E,"B",실시간콜입력!$H:$H,$B1074,실시간콜입력!$O:$O,"방문완료")</f>
        <v>0</v>
      </c>
      <c r="H1074" s="29">
        <f>COUNTIFS(실시간콜입력!$B:$B,$A1074,실시간콜입력!$E:$E,"C",실시간콜입력!$G:$G,$B1074,실시간콜입력!$O:$O,"방문완료")+COUNTIFS(실시간콜입력!$B:$B,$A1074,실시간콜입력!$E:$E,"C",실시간콜입력!$H:$H,$B1074,실시간콜입력!$O:$O,"방문완료")</f>
        <v>0</v>
      </c>
      <c r="I1074" s="29">
        <f>COUNTIFS(실시간콜입력!$B:$B,$A1074,실시간콜입력!$E:$E,"D",실시간콜입력!$G:$G,$B1074,실시간콜입력!$O:$O,"방문완료")+COUNTIFS(실시간콜입력!$B:$B,$A1074,실시간콜입력!$E:$E,"D",실시간콜입력!$H:$H,$B1074,실시간콜입력!$O:$O,"방문완료")</f>
        <v>0</v>
      </c>
      <c r="J1074" s="29">
        <f>COUNTIFS(실시간콜입력!$B:$B,$A1074,실시간콜입력!$E:$E,"E",실시간콜입력!$G:$G,$B1074,실시간콜입력!$O:$O,"방문완료")+COUNTIFS(실시간콜입력!$B:$B,$A1074,실시간콜입력!$E:$E,"E",실시간콜입력!$H:$H,$B1074,실시간콜입력!$O:$O,"방문완료")</f>
        <v>0</v>
      </c>
      <c r="K1074" s="29">
        <f t="shared" si="142"/>
        <v>0</v>
      </c>
      <c r="L1074" s="33">
        <f>SUMIFS(실시간콜입력!$K:$K,실시간콜입력!$B:$B,$A1074,실시간콜입력!$G:$G,$B1074,실시간콜입력!$O:$O,"방문완료")+SUMIFS(실시간콜입력!$L:$L,실시간콜입력!$B:$B,$A1074,실시간콜입력!$H:$H,$B1074,실시간콜입력!$O:$O,"방문완료")</f>
        <v>0</v>
      </c>
      <c r="M1074" s="29" t="str">
        <f t="shared" si="143"/>
        <v/>
      </c>
      <c r="N1074" s="29"/>
    </row>
    <row r="1075" spans="1:14" ht="19.5" hidden="1" customHeight="1" outlineLevel="1">
      <c r="A1075" s="24">
        <f>IF(21&lt;=DAY(DATE(YEAR(설정_코스수당!$K$2),MONTH(설정_코스수당!$K$2)+1,0)),DATE(YEAR(설정_코스수당!$K$2),MONTH(설정_코스수당!$K$2),21),"")</f>
        <v>46194</v>
      </c>
      <c r="B1075" s="23" t="s">
        <v>191</v>
      </c>
      <c r="C1075" s="29"/>
      <c r="D1075" s="29"/>
      <c r="E1075" s="29" t="str">
        <f t="shared" si="141"/>
        <v/>
      </c>
      <c r="F1075" s="29">
        <f>COUNTIFS(실시간콜입력!$B:$B,$A1075,실시간콜입력!$E:$E,"A",실시간콜입력!$G:$G,$B1075,실시간콜입력!$O:$O,"방문완료")+COUNTIFS(실시간콜입력!$B:$B,$A1075,실시간콜입력!$E:$E,"A",실시간콜입력!$H:$H,$B1075,실시간콜입력!$O:$O,"방문완료")</f>
        <v>0</v>
      </c>
      <c r="G1075" s="29">
        <f>COUNTIFS(실시간콜입력!$B:$B,$A1075,실시간콜입력!$E:$E,"B",실시간콜입력!$G:$G,$B1075,실시간콜입력!$O:$O,"방문완료")+COUNTIFS(실시간콜입력!$B:$B,$A1075,실시간콜입력!$E:$E,"B",실시간콜입력!$H:$H,$B1075,실시간콜입력!$O:$O,"방문완료")</f>
        <v>0</v>
      </c>
      <c r="H1075" s="29">
        <f>COUNTIFS(실시간콜입력!$B:$B,$A1075,실시간콜입력!$E:$E,"C",실시간콜입력!$G:$G,$B1075,실시간콜입력!$O:$O,"방문완료")+COUNTIFS(실시간콜입력!$B:$B,$A1075,실시간콜입력!$E:$E,"C",실시간콜입력!$H:$H,$B1075,실시간콜입력!$O:$O,"방문완료")</f>
        <v>0</v>
      </c>
      <c r="I1075" s="29">
        <f>COUNTIFS(실시간콜입력!$B:$B,$A1075,실시간콜입력!$E:$E,"D",실시간콜입력!$G:$G,$B1075,실시간콜입력!$O:$O,"방문완료")+COUNTIFS(실시간콜입력!$B:$B,$A1075,실시간콜입력!$E:$E,"D",실시간콜입력!$H:$H,$B1075,실시간콜입력!$O:$O,"방문완료")</f>
        <v>0</v>
      </c>
      <c r="J1075" s="29">
        <f>COUNTIFS(실시간콜입력!$B:$B,$A1075,실시간콜입력!$E:$E,"E",실시간콜입력!$G:$G,$B1075,실시간콜입력!$O:$O,"방문완료")+COUNTIFS(실시간콜입력!$B:$B,$A1075,실시간콜입력!$E:$E,"E",실시간콜입력!$H:$H,$B1075,실시간콜입력!$O:$O,"방문완료")</f>
        <v>0</v>
      </c>
      <c r="K1075" s="29">
        <f t="shared" si="142"/>
        <v>0</v>
      </c>
      <c r="L1075" s="27">
        <f>SUMIFS(실시간콜입력!$K:$K,실시간콜입력!$B:$B,$A1075,실시간콜입력!$G:$G,$B1075,실시간콜입력!$O:$O,"방문완료")+SUMIFS(실시간콜입력!$L:$L,실시간콜입력!$B:$B,$A1075,실시간콜입력!$H:$H,$B1075,실시간콜입력!$O:$O,"방문완료")</f>
        <v>0</v>
      </c>
      <c r="M1075" s="29" t="str">
        <f t="shared" si="143"/>
        <v/>
      </c>
      <c r="N1075" s="29"/>
    </row>
    <row r="1076" spans="1:14" ht="19.5" hidden="1" customHeight="1" outlineLevel="1">
      <c r="A1076" s="30">
        <f>IF(21&lt;=DAY(DATE(YEAR(설정_코스수당!$K$2),MONTH(설정_코스수당!$K$2)+1,0)),DATE(YEAR(설정_코스수당!$K$2),MONTH(설정_코스수당!$K$2),21),"")</f>
        <v>46194</v>
      </c>
      <c r="B1076" s="29" t="s">
        <v>192</v>
      </c>
      <c r="C1076" s="29"/>
      <c r="D1076" s="29"/>
      <c r="E1076" s="29" t="str">
        <f t="shared" si="141"/>
        <v/>
      </c>
      <c r="F1076" s="29">
        <f>COUNTIFS(실시간콜입력!$B:$B,$A1076,실시간콜입력!$E:$E,"A",실시간콜입력!$G:$G,$B1076,실시간콜입력!$O:$O,"방문완료")+COUNTIFS(실시간콜입력!$B:$B,$A1076,실시간콜입력!$E:$E,"A",실시간콜입력!$H:$H,$B1076,실시간콜입력!$O:$O,"방문완료")</f>
        <v>0</v>
      </c>
      <c r="G1076" s="29">
        <f>COUNTIFS(실시간콜입력!$B:$B,$A1076,실시간콜입력!$E:$E,"B",실시간콜입력!$G:$G,$B1076,실시간콜입력!$O:$O,"방문완료")+COUNTIFS(실시간콜입력!$B:$B,$A1076,실시간콜입력!$E:$E,"B",실시간콜입력!$H:$H,$B1076,실시간콜입력!$O:$O,"방문완료")</f>
        <v>0</v>
      </c>
      <c r="H1076" s="29">
        <f>COUNTIFS(실시간콜입력!$B:$B,$A1076,실시간콜입력!$E:$E,"C",실시간콜입력!$G:$G,$B1076,실시간콜입력!$O:$O,"방문완료")+COUNTIFS(실시간콜입력!$B:$B,$A1076,실시간콜입력!$E:$E,"C",실시간콜입력!$H:$H,$B1076,실시간콜입력!$O:$O,"방문완료")</f>
        <v>0</v>
      </c>
      <c r="I1076" s="29">
        <f>COUNTIFS(실시간콜입력!$B:$B,$A1076,실시간콜입력!$E:$E,"D",실시간콜입력!$G:$G,$B1076,실시간콜입력!$O:$O,"방문완료")+COUNTIFS(실시간콜입력!$B:$B,$A1076,실시간콜입력!$E:$E,"D",실시간콜입력!$H:$H,$B1076,실시간콜입력!$O:$O,"방문완료")</f>
        <v>0</v>
      </c>
      <c r="J1076" s="29">
        <f>COUNTIFS(실시간콜입력!$B:$B,$A1076,실시간콜입력!$E:$E,"E",실시간콜입력!$G:$G,$B1076,실시간콜입력!$O:$O,"방문완료")+COUNTIFS(실시간콜입력!$B:$B,$A1076,실시간콜입력!$E:$E,"E",실시간콜입력!$H:$H,$B1076,실시간콜입력!$O:$O,"방문완료")</f>
        <v>0</v>
      </c>
      <c r="K1076" s="29">
        <f t="shared" si="142"/>
        <v>0</v>
      </c>
      <c r="L1076" s="33">
        <f>SUMIFS(실시간콜입력!$K:$K,실시간콜입력!$B:$B,$A1076,실시간콜입력!$G:$G,$B1076,실시간콜입력!$O:$O,"방문완료")+SUMIFS(실시간콜입력!$L:$L,실시간콜입력!$B:$B,$A1076,실시간콜입력!$H:$H,$B1076,실시간콜입력!$O:$O,"방문완료")</f>
        <v>0</v>
      </c>
      <c r="M1076" s="29" t="str">
        <f t="shared" si="143"/>
        <v/>
      </c>
      <c r="N1076" s="29"/>
    </row>
    <row r="1077" spans="1:14" ht="19.5" hidden="1" customHeight="1" outlineLevel="1">
      <c r="A1077" s="24">
        <f>IF(21&lt;=DAY(DATE(YEAR(설정_코스수당!$K$2),MONTH(설정_코스수당!$K$2)+1,0)),DATE(YEAR(설정_코스수당!$K$2),MONTH(설정_코스수당!$K$2),21),"")</f>
        <v>46194</v>
      </c>
      <c r="B1077" s="23" t="s">
        <v>193</v>
      </c>
      <c r="C1077" s="29"/>
      <c r="D1077" s="29"/>
      <c r="E1077" s="29" t="str">
        <f t="shared" si="141"/>
        <v/>
      </c>
      <c r="F1077" s="29">
        <f>COUNTIFS(실시간콜입력!$B:$B,$A1077,실시간콜입력!$E:$E,"A",실시간콜입력!$G:$G,$B1077,실시간콜입력!$O:$O,"방문완료")+COUNTIFS(실시간콜입력!$B:$B,$A1077,실시간콜입력!$E:$E,"A",실시간콜입력!$H:$H,$B1077,실시간콜입력!$O:$O,"방문완료")</f>
        <v>0</v>
      </c>
      <c r="G1077" s="29">
        <f>COUNTIFS(실시간콜입력!$B:$B,$A1077,실시간콜입력!$E:$E,"B",실시간콜입력!$G:$G,$B1077,실시간콜입력!$O:$O,"방문완료")+COUNTIFS(실시간콜입력!$B:$B,$A1077,실시간콜입력!$E:$E,"B",실시간콜입력!$H:$H,$B1077,실시간콜입력!$O:$O,"방문완료")</f>
        <v>0</v>
      </c>
      <c r="H1077" s="29">
        <f>COUNTIFS(실시간콜입력!$B:$B,$A1077,실시간콜입력!$E:$E,"C",실시간콜입력!$G:$G,$B1077,실시간콜입력!$O:$O,"방문완료")+COUNTIFS(실시간콜입력!$B:$B,$A1077,실시간콜입력!$E:$E,"C",실시간콜입력!$H:$H,$B1077,실시간콜입력!$O:$O,"방문완료")</f>
        <v>0</v>
      </c>
      <c r="I1077" s="29">
        <f>COUNTIFS(실시간콜입력!$B:$B,$A1077,실시간콜입력!$E:$E,"D",실시간콜입력!$G:$G,$B1077,실시간콜입력!$O:$O,"방문완료")+COUNTIFS(실시간콜입력!$B:$B,$A1077,실시간콜입력!$E:$E,"D",실시간콜입력!$H:$H,$B1077,실시간콜입력!$O:$O,"방문완료")</f>
        <v>0</v>
      </c>
      <c r="J1077" s="29">
        <f>COUNTIFS(실시간콜입력!$B:$B,$A1077,실시간콜입력!$E:$E,"E",실시간콜입력!$G:$G,$B1077,실시간콜입력!$O:$O,"방문완료")+COUNTIFS(실시간콜입력!$B:$B,$A1077,실시간콜입력!$E:$E,"E",실시간콜입력!$H:$H,$B1077,실시간콜입력!$O:$O,"방문완료")</f>
        <v>0</v>
      </c>
      <c r="K1077" s="29">
        <f t="shared" si="142"/>
        <v>0</v>
      </c>
      <c r="L1077" s="27">
        <f>SUMIFS(실시간콜입력!$K:$K,실시간콜입력!$B:$B,$A1077,실시간콜입력!$G:$G,$B1077,실시간콜입력!$O:$O,"방문완료")+SUMIFS(실시간콜입력!$L:$L,실시간콜입력!$B:$B,$A1077,실시간콜입력!$H:$H,$B1077,실시간콜입력!$O:$O,"방문완료")</f>
        <v>0</v>
      </c>
      <c r="M1077" s="29" t="str">
        <f t="shared" si="143"/>
        <v/>
      </c>
      <c r="N1077" s="29"/>
    </row>
    <row r="1078" spans="1:14" ht="19.5" hidden="1" customHeight="1" outlineLevel="1">
      <c r="A1078" s="30">
        <f>IF(21&lt;=DAY(DATE(YEAR(설정_코스수당!$K$2),MONTH(설정_코스수당!$K$2)+1,0)),DATE(YEAR(설정_코스수당!$K$2),MONTH(설정_코스수당!$K$2),21),"")</f>
        <v>46194</v>
      </c>
      <c r="B1078" s="29" t="s">
        <v>194</v>
      </c>
      <c r="C1078" s="29"/>
      <c r="D1078" s="29"/>
      <c r="E1078" s="29" t="str">
        <f t="shared" si="141"/>
        <v/>
      </c>
      <c r="F1078" s="29">
        <f>COUNTIFS(실시간콜입력!$B:$B,$A1078,실시간콜입력!$E:$E,"A",실시간콜입력!$G:$G,$B1078,실시간콜입력!$O:$O,"방문완료")+COUNTIFS(실시간콜입력!$B:$B,$A1078,실시간콜입력!$E:$E,"A",실시간콜입력!$H:$H,$B1078,실시간콜입력!$O:$O,"방문완료")</f>
        <v>0</v>
      </c>
      <c r="G1078" s="29">
        <f>COUNTIFS(실시간콜입력!$B:$B,$A1078,실시간콜입력!$E:$E,"B",실시간콜입력!$G:$G,$B1078,실시간콜입력!$O:$O,"방문완료")+COUNTIFS(실시간콜입력!$B:$B,$A1078,실시간콜입력!$E:$E,"B",실시간콜입력!$H:$H,$B1078,실시간콜입력!$O:$O,"방문완료")</f>
        <v>0</v>
      </c>
      <c r="H1078" s="29">
        <f>COUNTIFS(실시간콜입력!$B:$B,$A1078,실시간콜입력!$E:$E,"C",실시간콜입력!$G:$G,$B1078,실시간콜입력!$O:$O,"방문완료")+COUNTIFS(실시간콜입력!$B:$B,$A1078,실시간콜입력!$E:$E,"C",실시간콜입력!$H:$H,$B1078,실시간콜입력!$O:$O,"방문완료")</f>
        <v>0</v>
      </c>
      <c r="I1078" s="29">
        <f>COUNTIFS(실시간콜입력!$B:$B,$A1078,실시간콜입력!$E:$E,"D",실시간콜입력!$G:$G,$B1078,실시간콜입력!$O:$O,"방문완료")+COUNTIFS(실시간콜입력!$B:$B,$A1078,실시간콜입력!$E:$E,"D",실시간콜입력!$H:$H,$B1078,실시간콜입력!$O:$O,"방문완료")</f>
        <v>0</v>
      </c>
      <c r="J1078" s="29">
        <f>COUNTIFS(실시간콜입력!$B:$B,$A1078,실시간콜입력!$E:$E,"E",실시간콜입력!$G:$G,$B1078,실시간콜입력!$O:$O,"방문완료")+COUNTIFS(실시간콜입력!$B:$B,$A1078,실시간콜입력!$E:$E,"E",실시간콜입력!$H:$H,$B1078,실시간콜입력!$O:$O,"방문완료")</f>
        <v>0</v>
      </c>
      <c r="K1078" s="29">
        <f t="shared" si="142"/>
        <v>0</v>
      </c>
      <c r="L1078" s="33">
        <f>SUMIFS(실시간콜입력!$K:$K,실시간콜입력!$B:$B,$A1078,실시간콜입력!$G:$G,$B1078,실시간콜입력!$O:$O,"방문완료")+SUMIFS(실시간콜입력!$L:$L,실시간콜입력!$B:$B,$A1078,실시간콜입력!$H:$H,$B1078,실시간콜입력!$O:$O,"방문완료")</f>
        <v>0</v>
      </c>
      <c r="M1078" s="29" t="str">
        <f t="shared" si="143"/>
        <v/>
      </c>
      <c r="N1078" s="29"/>
    </row>
    <row r="1079" spans="1:14" ht="19.5" hidden="1" customHeight="1" outlineLevel="1">
      <c r="A1079" s="24">
        <f>IF(21&lt;=DAY(DATE(YEAR(설정_코스수당!$K$2),MONTH(설정_코스수당!$K$2)+1,0)),DATE(YEAR(설정_코스수당!$K$2),MONTH(설정_코스수당!$K$2),21),"")</f>
        <v>46194</v>
      </c>
      <c r="B1079" s="23" t="s">
        <v>195</v>
      </c>
      <c r="C1079" s="29"/>
      <c r="D1079" s="29"/>
      <c r="E1079" s="29" t="str">
        <f t="shared" ref="E1079:E1110" si="144">IF(AND(C1079&lt;&gt;"",D1079&lt;&gt;""),IF(D1079&lt;C1079,D1079+1-C1079,D1079-C1079)*24,"")</f>
        <v/>
      </c>
      <c r="F1079" s="29">
        <f>COUNTIFS(실시간콜입력!$B:$B,$A1079,실시간콜입력!$E:$E,"A",실시간콜입력!$G:$G,$B1079,실시간콜입력!$O:$O,"방문완료")+COUNTIFS(실시간콜입력!$B:$B,$A1079,실시간콜입력!$E:$E,"A",실시간콜입력!$H:$H,$B1079,실시간콜입력!$O:$O,"방문완료")</f>
        <v>0</v>
      </c>
      <c r="G1079" s="29">
        <f>COUNTIFS(실시간콜입력!$B:$B,$A1079,실시간콜입력!$E:$E,"B",실시간콜입력!$G:$G,$B1079,실시간콜입력!$O:$O,"방문완료")+COUNTIFS(실시간콜입력!$B:$B,$A1079,실시간콜입력!$E:$E,"B",실시간콜입력!$H:$H,$B1079,실시간콜입력!$O:$O,"방문완료")</f>
        <v>0</v>
      </c>
      <c r="H1079" s="29">
        <f>COUNTIFS(실시간콜입력!$B:$B,$A1079,실시간콜입력!$E:$E,"C",실시간콜입력!$G:$G,$B1079,실시간콜입력!$O:$O,"방문완료")+COUNTIFS(실시간콜입력!$B:$B,$A1079,실시간콜입력!$E:$E,"C",실시간콜입력!$H:$H,$B1079,실시간콜입력!$O:$O,"방문완료")</f>
        <v>0</v>
      </c>
      <c r="I1079" s="29">
        <f>COUNTIFS(실시간콜입력!$B:$B,$A1079,실시간콜입력!$E:$E,"D",실시간콜입력!$G:$G,$B1079,실시간콜입력!$O:$O,"방문완료")+COUNTIFS(실시간콜입력!$B:$B,$A1079,실시간콜입력!$E:$E,"D",실시간콜입력!$H:$H,$B1079,실시간콜입력!$O:$O,"방문완료")</f>
        <v>0</v>
      </c>
      <c r="J1079" s="29">
        <f>COUNTIFS(실시간콜입력!$B:$B,$A1079,실시간콜입력!$E:$E,"E",실시간콜입력!$G:$G,$B1079,실시간콜입력!$O:$O,"방문완료")+COUNTIFS(실시간콜입력!$B:$B,$A1079,실시간콜입력!$E:$E,"E",실시간콜입력!$H:$H,$B1079,실시간콜입력!$O:$O,"방문완료")</f>
        <v>0</v>
      </c>
      <c r="K1079" s="29">
        <f t="shared" ref="K1079:K1110" si="145">SUM(F1079:J1079)</f>
        <v>0</v>
      </c>
      <c r="L1079" s="27">
        <f>SUMIFS(실시간콜입력!$K:$K,실시간콜입력!$B:$B,$A1079,실시간콜입력!$G:$G,$B1079,실시간콜입력!$O:$O,"방문완료")+SUMIFS(실시간콜입력!$L:$L,실시간콜입력!$B:$B,$A1079,실시간콜입력!$H:$H,$B1079,실시간콜입력!$O:$O,"방문완료")</f>
        <v>0</v>
      </c>
      <c r="M1079" s="29" t="str">
        <f t="shared" ref="M1079:M1096" si="146">IF(AND(ISNUMBER(E1079),E1079&gt;=8),"인정","")</f>
        <v/>
      </c>
      <c r="N1079" s="29"/>
    </row>
    <row r="1080" spans="1:14" ht="19.5" hidden="1" customHeight="1" outlineLevel="1">
      <c r="A1080" s="30">
        <f>IF(21&lt;=DAY(DATE(YEAR(설정_코스수당!$K$2),MONTH(설정_코스수당!$K$2)+1,0)),DATE(YEAR(설정_코스수당!$K$2),MONTH(설정_코스수당!$K$2),21),"")</f>
        <v>46194</v>
      </c>
      <c r="B1080" s="29" t="s">
        <v>196</v>
      </c>
      <c r="C1080" s="29"/>
      <c r="D1080" s="29"/>
      <c r="E1080" s="29" t="str">
        <f t="shared" si="144"/>
        <v/>
      </c>
      <c r="F1080" s="29">
        <f>COUNTIFS(실시간콜입력!$B:$B,$A1080,실시간콜입력!$E:$E,"A",실시간콜입력!$G:$G,$B1080,실시간콜입력!$O:$O,"방문완료")+COUNTIFS(실시간콜입력!$B:$B,$A1080,실시간콜입력!$E:$E,"A",실시간콜입력!$H:$H,$B1080,실시간콜입력!$O:$O,"방문완료")</f>
        <v>0</v>
      </c>
      <c r="G1080" s="29">
        <f>COUNTIFS(실시간콜입력!$B:$B,$A1080,실시간콜입력!$E:$E,"B",실시간콜입력!$G:$G,$B1080,실시간콜입력!$O:$O,"방문완료")+COUNTIFS(실시간콜입력!$B:$B,$A1080,실시간콜입력!$E:$E,"B",실시간콜입력!$H:$H,$B1080,실시간콜입력!$O:$O,"방문완료")</f>
        <v>0</v>
      </c>
      <c r="H1080" s="29">
        <f>COUNTIFS(실시간콜입력!$B:$B,$A1080,실시간콜입력!$E:$E,"C",실시간콜입력!$G:$G,$B1080,실시간콜입력!$O:$O,"방문완료")+COUNTIFS(실시간콜입력!$B:$B,$A1080,실시간콜입력!$E:$E,"C",실시간콜입력!$H:$H,$B1080,실시간콜입력!$O:$O,"방문완료")</f>
        <v>0</v>
      </c>
      <c r="I1080" s="29">
        <f>COUNTIFS(실시간콜입력!$B:$B,$A1080,실시간콜입력!$E:$E,"D",실시간콜입력!$G:$G,$B1080,실시간콜입력!$O:$O,"방문완료")+COUNTIFS(실시간콜입력!$B:$B,$A1080,실시간콜입력!$E:$E,"D",실시간콜입력!$H:$H,$B1080,실시간콜입력!$O:$O,"방문완료")</f>
        <v>0</v>
      </c>
      <c r="J1080" s="29">
        <f>COUNTIFS(실시간콜입력!$B:$B,$A1080,실시간콜입력!$E:$E,"E",실시간콜입력!$G:$G,$B1080,실시간콜입력!$O:$O,"방문완료")+COUNTIFS(실시간콜입력!$B:$B,$A1080,실시간콜입력!$E:$E,"E",실시간콜입력!$H:$H,$B1080,실시간콜입력!$O:$O,"방문완료")</f>
        <v>0</v>
      </c>
      <c r="K1080" s="29">
        <f t="shared" si="145"/>
        <v>0</v>
      </c>
      <c r="L1080" s="33">
        <f>SUMIFS(실시간콜입력!$K:$K,실시간콜입력!$B:$B,$A1080,실시간콜입력!$G:$G,$B1080,실시간콜입력!$O:$O,"방문완료")+SUMIFS(실시간콜입력!$L:$L,실시간콜입력!$B:$B,$A1080,실시간콜입력!$H:$H,$B1080,실시간콜입력!$O:$O,"방문완료")</f>
        <v>0</v>
      </c>
      <c r="M1080" s="29" t="str">
        <f t="shared" si="146"/>
        <v/>
      </c>
      <c r="N1080" s="29"/>
    </row>
    <row r="1081" spans="1:14" ht="19.5" hidden="1" customHeight="1" outlineLevel="1">
      <c r="A1081" s="24">
        <f>IF(21&lt;=DAY(DATE(YEAR(설정_코스수당!$K$2),MONTH(설정_코스수당!$K$2)+1,0)),DATE(YEAR(설정_코스수당!$K$2),MONTH(설정_코스수당!$K$2),21),"")</f>
        <v>46194</v>
      </c>
      <c r="B1081" s="23" t="s">
        <v>197</v>
      </c>
      <c r="C1081" s="29"/>
      <c r="D1081" s="29"/>
      <c r="E1081" s="29" t="str">
        <f t="shared" si="144"/>
        <v/>
      </c>
      <c r="F1081" s="29">
        <f>COUNTIFS(실시간콜입력!$B:$B,$A1081,실시간콜입력!$E:$E,"A",실시간콜입력!$G:$G,$B1081,실시간콜입력!$O:$O,"방문완료")+COUNTIFS(실시간콜입력!$B:$B,$A1081,실시간콜입력!$E:$E,"A",실시간콜입력!$H:$H,$B1081,실시간콜입력!$O:$O,"방문완료")</f>
        <v>0</v>
      </c>
      <c r="G1081" s="29">
        <f>COUNTIFS(실시간콜입력!$B:$B,$A1081,실시간콜입력!$E:$E,"B",실시간콜입력!$G:$G,$B1081,실시간콜입력!$O:$O,"방문완료")+COUNTIFS(실시간콜입력!$B:$B,$A1081,실시간콜입력!$E:$E,"B",실시간콜입력!$H:$H,$B1081,실시간콜입력!$O:$O,"방문완료")</f>
        <v>0</v>
      </c>
      <c r="H1081" s="29">
        <f>COUNTIFS(실시간콜입력!$B:$B,$A1081,실시간콜입력!$E:$E,"C",실시간콜입력!$G:$G,$B1081,실시간콜입력!$O:$O,"방문완료")+COUNTIFS(실시간콜입력!$B:$B,$A1081,실시간콜입력!$E:$E,"C",실시간콜입력!$H:$H,$B1081,실시간콜입력!$O:$O,"방문완료")</f>
        <v>0</v>
      </c>
      <c r="I1081" s="29">
        <f>COUNTIFS(실시간콜입력!$B:$B,$A1081,실시간콜입력!$E:$E,"D",실시간콜입력!$G:$G,$B1081,실시간콜입력!$O:$O,"방문완료")+COUNTIFS(실시간콜입력!$B:$B,$A1081,실시간콜입력!$E:$E,"D",실시간콜입력!$H:$H,$B1081,실시간콜입력!$O:$O,"방문완료")</f>
        <v>0</v>
      </c>
      <c r="J1081" s="29">
        <f>COUNTIFS(실시간콜입력!$B:$B,$A1081,실시간콜입력!$E:$E,"E",실시간콜입력!$G:$G,$B1081,실시간콜입력!$O:$O,"방문완료")+COUNTIFS(실시간콜입력!$B:$B,$A1081,실시간콜입력!$E:$E,"E",실시간콜입력!$H:$H,$B1081,실시간콜입력!$O:$O,"방문완료")</f>
        <v>0</v>
      </c>
      <c r="K1081" s="29">
        <f t="shared" si="145"/>
        <v>0</v>
      </c>
      <c r="L1081" s="27">
        <f>SUMIFS(실시간콜입력!$K:$K,실시간콜입력!$B:$B,$A1081,실시간콜입력!$G:$G,$B1081,실시간콜입력!$O:$O,"방문완료")+SUMIFS(실시간콜입력!$L:$L,실시간콜입력!$B:$B,$A1081,실시간콜입력!$H:$H,$B1081,실시간콜입력!$O:$O,"방문완료")</f>
        <v>0</v>
      </c>
      <c r="M1081" s="29" t="str">
        <f t="shared" si="146"/>
        <v/>
      </c>
      <c r="N1081" s="29"/>
    </row>
    <row r="1082" spans="1:14" ht="19.5" hidden="1" customHeight="1" outlineLevel="1">
      <c r="A1082" s="30">
        <f>IF(21&lt;=DAY(DATE(YEAR(설정_코스수당!$K$2),MONTH(설정_코스수당!$K$2)+1,0)),DATE(YEAR(설정_코스수당!$K$2),MONTH(설정_코스수당!$K$2),21),"")</f>
        <v>46194</v>
      </c>
      <c r="B1082" s="29" t="s">
        <v>198</v>
      </c>
      <c r="C1082" s="29"/>
      <c r="D1082" s="29"/>
      <c r="E1082" s="29" t="str">
        <f t="shared" si="144"/>
        <v/>
      </c>
      <c r="F1082" s="29">
        <f>COUNTIFS(실시간콜입력!$B:$B,$A1082,실시간콜입력!$E:$E,"A",실시간콜입력!$G:$G,$B1082,실시간콜입력!$O:$O,"방문완료")+COUNTIFS(실시간콜입력!$B:$B,$A1082,실시간콜입력!$E:$E,"A",실시간콜입력!$H:$H,$B1082,실시간콜입력!$O:$O,"방문완료")</f>
        <v>0</v>
      </c>
      <c r="G1082" s="29">
        <f>COUNTIFS(실시간콜입력!$B:$B,$A1082,실시간콜입력!$E:$E,"B",실시간콜입력!$G:$G,$B1082,실시간콜입력!$O:$O,"방문완료")+COUNTIFS(실시간콜입력!$B:$B,$A1082,실시간콜입력!$E:$E,"B",실시간콜입력!$H:$H,$B1082,실시간콜입력!$O:$O,"방문완료")</f>
        <v>0</v>
      </c>
      <c r="H1082" s="29">
        <f>COUNTIFS(실시간콜입력!$B:$B,$A1082,실시간콜입력!$E:$E,"C",실시간콜입력!$G:$G,$B1082,실시간콜입력!$O:$O,"방문완료")+COUNTIFS(실시간콜입력!$B:$B,$A1082,실시간콜입력!$E:$E,"C",실시간콜입력!$H:$H,$B1082,실시간콜입력!$O:$O,"방문완료")</f>
        <v>0</v>
      </c>
      <c r="I1082" s="29">
        <f>COUNTIFS(실시간콜입력!$B:$B,$A1082,실시간콜입력!$E:$E,"D",실시간콜입력!$G:$G,$B1082,실시간콜입력!$O:$O,"방문완료")+COUNTIFS(실시간콜입력!$B:$B,$A1082,실시간콜입력!$E:$E,"D",실시간콜입력!$H:$H,$B1082,실시간콜입력!$O:$O,"방문완료")</f>
        <v>0</v>
      </c>
      <c r="J1082" s="29">
        <f>COUNTIFS(실시간콜입력!$B:$B,$A1082,실시간콜입력!$E:$E,"E",실시간콜입력!$G:$G,$B1082,실시간콜입력!$O:$O,"방문완료")+COUNTIFS(실시간콜입력!$B:$B,$A1082,실시간콜입력!$E:$E,"E",실시간콜입력!$H:$H,$B1082,실시간콜입력!$O:$O,"방문완료")</f>
        <v>0</v>
      </c>
      <c r="K1082" s="29">
        <f t="shared" si="145"/>
        <v>0</v>
      </c>
      <c r="L1082" s="33">
        <f>SUMIFS(실시간콜입력!$K:$K,실시간콜입력!$B:$B,$A1082,실시간콜입력!$G:$G,$B1082,실시간콜입력!$O:$O,"방문완료")+SUMIFS(실시간콜입력!$L:$L,실시간콜입력!$B:$B,$A1082,실시간콜입력!$H:$H,$B1082,실시간콜입력!$O:$O,"방문완료")</f>
        <v>0</v>
      </c>
      <c r="M1082" s="29" t="str">
        <f t="shared" si="146"/>
        <v/>
      </c>
      <c r="N1082" s="29"/>
    </row>
    <row r="1083" spans="1:14" ht="19.5" hidden="1" customHeight="1" outlineLevel="1">
      <c r="A1083" s="24">
        <f>IF(21&lt;=DAY(DATE(YEAR(설정_코스수당!$K$2),MONTH(설정_코스수당!$K$2)+1,0)),DATE(YEAR(설정_코스수당!$K$2),MONTH(설정_코스수당!$K$2),21),"")</f>
        <v>46194</v>
      </c>
      <c r="B1083" s="23" t="s">
        <v>199</v>
      </c>
      <c r="C1083" s="29"/>
      <c r="D1083" s="29"/>
      <c r="E1083" s="29" t="str">
        <f t="shared" si="144"/>
        <v/>
      </c>
      <c r="F1083" s="29">
        <f>COUNTIFS(실시간콜입력!$B:$B,$A1083,실시간콜입력!$E:$E,"A",실시간콜입력!$G:$G,$B1083,실시간콜입력!$O:$O,"방문완료")+COUNTIFS(실시간콜입력!$B:$B,$A1083,실시간콜입력!$E:$E,"A",실시간콜입력!$H:$H,$B1083,실시간콜입력!$O:$O,"방문완료")</f>
        <v>0</v>
      </c>
      <c r="G1083" s="29">
        <f>COUNTIFS(실시간콜입력!$B:$B,$A1083,실시간콜입력!$E:$E,"B",실시간콜입력!$G:$G,$B1083,실시간콜입력!$O:$O,"방문완료")+COUNTIFS(실시간콜입력!$B:$B,$A1083,실시간콜입력!$E:$E,"B",실시간콜입력!$H:$H,$B1083,실시간콜입력!$O:$O,"방문완료")</f>
        <v>0</v>
      </c>
      <c r="H1083" s="29">
        <f>COUNTIFS(실시간콜입력!$B:$B,$A1083,실시간콜입력!$E:$E,"C",실시간콜입력!$G:$G,$B1083,실시간콜입력!$O:$O,"방문완료")+COUNTIFS(실시간콜입력!$B:$B,$A1083,실시간콜입력!$E:$E,"C",실시간콜입력!$H:$H,$B1083,실시간콜입력!$O:$O,"방문완료")</f>
        <v>0</v>
      </c>
      <c r="I1083" s="29">
        <f>COUNTIFS(실시간콜입력!$B:$B,$A1083,실시간콜입력!$E:$E,"D",실시간콜입력!$G:$G,$B1083,실시간콜입력!$O:$O,"방문완료")+COUNTIFS(실시간콜입력!$B:$B,$A1083,실시간콜입력!$E:$E,"D",실시간콜입력!$H:$H,$B1083,실시간콜입력!$O:$O,"방문완료")</f>
        <v>0</v>
      </c>
      <c r="J1083" s="29">
        <f>COUNTIFS(실시간콜입력!$B:$B,$A1083,실시간콜입력!$E:$E,"E",실시간콜입력!$G:$G,$B1083,실시간콜입력!$O:$O,"방문완료")+COUNTIFS(실시간콜입력!$B:$B,$A1083,실시간콜입력!$E:$E,"E",실시간콜입력!$H:$H,$B1083,실시간콜입력!$O:$O,"방문완료")</f>
        <v>0</v>
      </c>
      <c r="K1083" s="29">
        <f t="shared" si="145"/>
        <v>0</v>
      </c>
      <c r="L1083" s="27">
        <f>SUMIFS(실시간콜입력!$K:$K,실시간콜입력!$B:$B,$A1083,실시간콜입력!$G:$G,$B1083,실시간콜입력!$O:$O,"방문완료")+SUMIFS(실시간콜입력!$L:$L,실시간콜입력!$B:$B,$A1083,실시간콜입력!$H:$H,$B1083,실시간콜입력!$O:$O,"방문완료")</f>
        <v>0</v>
      </c>
      <c r="M1083" s="29" t="str">
        <f t="shared" si="146"/>
        <v/>
      </c>
      <c r="N1083" s="29"/>
    </row>
    <row r="1084" spans="1:14" ht="19.5" hidden="1" customHeight="1" outlineLevel="1">
      <c r="A1084" s="30">
        <f>IF(21&lt;=DAY(DATE(YEAR(설정_코스수당!$K$2),MONTH(설정_코스수당!$K$2)+1,0)),DATE(YEAR(설정_코스수당!$K$2),MONTH(설정_코스수당!$K$2),21),"")</f>
        <v>46194</v>
      </c>
      <c r="B1084" s="29" t="s">
        <v>200</v>
      </c>
      <c r="C1084" s="29"/>
      <c r="D1084" s="29"/>
      <c r="E1084" s="29" t="str">
        <f t="shared" si="144"/>
        <v/>
      </c>
      <c r="F1084" s="29">
        <f>COUNTIFS(실시간콜입력!$B:$B,$A1084,실시간콜입력!$E:$E,"A",실시간콜입력!$G:$G,$B1084,실시간콜입력!$O:$O,"방문완료")+COUNTIFS(실시간콜입력!$B:$B,$A1084,실시간콜입력!$E:$E,"A",실시간콜입력!$H:$H,$B1084,실시간콜입력!$O:$O,"방문완료")</f>
        <v>0</v>
      </c>
      <c r="G1084" s="29">
        <f>COUNTIFS(실시간콜입력!$B:$B,$A1084,실시간콜입력!$E:$E,"B",실시간콜입력!$G:$G,$B1084,실시간콜입력!$O:$O,"방문완료")+COUNTIFS(실시간콜입력!$B:$B,$A1084,실시간콜입력!$E:$E,"B",실시간콜입력!$H:$H,$B1084,실시간콜입력!$O:$O,"방문완료")</f>
        <v>0</v>
      </c>
      <c r="H1084" s="29">
        <f>COUNTIFS(실시간콜입력!$B:$B,$A1084,실시간콜입력!$E:$E,"C",실시간콜입력!$G:$G,$B1084,실시간콜입력!$O:$O,"방문완료")+COUNTIFS(실시간콜입력!$B:$B,$A1084,실시간콜입력!$E:$E,"C",실시간콜입력!$H:$H,$B1084,실시간콜입력!$O:$O,"방문완료")</f>
        <v>0</v>
      </c>
      <c r="I1084" s="29">
        <f>COUNTIFS(실시간콜입력!$B:$B,$A1084,실시간콜입력!$E:$E,"D",실시간콜입력!$G:$G,$B1084,실시간콜입력!$O:$O,"방문완료")+COUNTIFS(실시간콜입력!$B:$B,$A1084,실시간콜입력!$E:$E,"D",실시간콜입력!$H:$H,$B1084,실시간콜입력!$O:$O,"방문완료")</f>
        <v>0</v>
      </c>
      <c r="J1084" s="29">
        <f>COUNTIFS(실시간콜입력!$B:$B,$A1084,실시간콜입력!$E:$E,"E",실시간콜입력!$G:$G,$B1084,실시간콜입력!$O:$O,"방문완료")+COUNTIFS(실시간콜입력!$B:$B,$A1084,실시간콜입력!$E:$E,"E",실시간콜입력!$H:$H,$B1084,실시간콜입력!$O:$O,"방문완료")</f>
        <v>0</v>
      </c>
      <c r="K1084" s="29">
        <f t="shared" si="145"/>
        <v>0</v>
      </c>
      <c r="L1084" s="33">
        <f>SUMIFS(실시간콜입력!$K:$K,실시간콜입력!$B:$B,$A1084,실시간콜입력!$G:$G,$B1084,실시간콜입력!$O:$O,"방문완료")+SUMIFS(실시간콜입력!$L:$L,실시간콜입력!$B:$B,$A1084,실시간콜입력!$H:$H,$B1084,실시간콜입력!$O:$O,"방문완료")</f>
        <v>0</v>
      </c>
      <c r="M1084" s="29" t="str">
        <f t="shared" si="146"/>
        <v/>
      </c>
      <c r="N1084" s="29"/>
    </row>
    <row r="1085" spans="1:14" ht="19.5" hidden="1" customHeight="1" outlineLevel="1">
      <c r="A1085" s="24">
        <f>IF(21&lt;=DAY(DATE(YEAR(설정_코스수당!$K$2),MONTH(설정_코스수당!$K$2)+1,0)),DATE(YEAR(설정_코스수당!$K$2),MONTH(설정_코스수당!$K$2),21),"")</f>
        <v>46194</v>
      </c>
      <c r="B1085" s="23" t="s">
        <v>201</v>
      </c>
      <c r="C1085" s="29"/>
      <c r="D1085" s="29"/>
      <c r="E1085" s="29" t="str">
        <f t="shared" si="144"/>
        <v/>
      </c>
      <c r="F1085" s="29">
        <f>COUNTIFS(실시간콜입력!$B:$B,$A1085,실시간콜입력!$E:$E,"A",실시간콜입력!$G:$G,$B1085,실시간콜입력!$O:$O,"방문완료")+COUNTIFS(실시간콜입력!$B:$B,$A1085,실시간콜입력!$E:$E,"A",실시간콜입력!$H:$H,$B1085,실시간콜입력!$O:$O,"방문완료")</f>
        <v>0</v>
      </c>
      <c r="G1085" s="29">
        <f>COUNTIFS(실시간콜입력!$B:$B,$A1085,실시간콜입력!$E:$E,"B",실시간콜입력!$G:$G,$B1085,실시간콜입력!$O:$O,"방문완료")+COUNTIFS(실시간콜입력!$B:$B,$A1085,실시간콜입력!$E:$E,"B",실시간콜입력!$H:$H,$B1085,실시간콜입력!$O:$O,"방문완료")</f>
        <v>0</v>
      </c>
      <c r="H1085" s="29">
        <f>COUNTIFS(실시간콜입력!$B:$B,$A1085,실시간콜입력!$E:$E,"C",실시간콜입력!$G:$G,$B1085,실시간콜입력!$O:$O,"방문완료")+COUNTIFS(실시간콜입력!$B:$B,$A1085,실시간콜입력!$E:$E,"C",실시간콜입력!$H:$H,$B1085,실시간콜입력!$O:$O,"방문완료")</f>
        <v>0</v>
      </c>
      <c r="I1085" s="29">
        <f>COUNTIFS(실시간콜입력!$B:$B,$A1085,실시간콜입력!$E:$E,"D",실시간콜입력!$G:$G,$B1085,실시간콜입력!$O:$O,"방문완료")+COUNTIFS(실시간콜입력!$B:$B,$A1085,실시간콜입력!$E:$E,"D",실시간콜입력!$H:$H,$B1085,실시간콜입력!$O:$O,"방문완료")</f>
        <v>0</v>
      </c>
      <c r="J1085" s="29">
        <f>COUNTIFS(실시간콜입력!$B:$B,$A1085,실시간콜입력!$E:$E,"E",실시간콜입력!$G:$G,$B1085,실시간콜입력!$O:$O,"방문완료")+COUNTIFS(실시간콜입력!$B:$B,$A1085,실시간콜입력!$E:$E,"E",실시간콜입력!$H:$H,$B1085,실시간콜입력!$O:$O,"방문완료")</f>
        <v>0</v>
      </c>
      <c r="K1085" s="29">
        <f t="shared" si="145"/>
        <v>0</v>
      </c>
      <c r="L1085" s="27">
        <f>SUMIFS(실시간콜입력!$K:$K,실시간콜입력!$B:$B,$A1085,실시간콜입력!$G:$G,$B1085,실시간콜입력!$O:$O,"방문완료")+SUMIFS(실시간콜입력!$L:$L,실시간콜입력!$B:$B,$A1085,실시간콜입력!$H:$H,$B1085,실시간콜입력!$O:$O,"방문완료")</f>
        <v>0</v>
      </c>
      <c r="M1085" s="29" t="str">
        <f t="shared" si="146"/>
        <v/>
      </c>
      <c r="N1085" s="29"/>
    </row>
    <row r="1086" spans="1:14" ht="19.5" hidden="1" customHeight="1" outlineLevel="1">
      <c r="A1086" s="30">
        <f>IF(21&lt;=DAY(DATE(YEAR(설정_코스수당!$K$2),MONTH(설정_코스수당!$K$2)+1,0)),DATE(YEAR(설정_코스수당!$K$2),MONTH(설정_코스수당!$K$2),21),"")</f>
        <v>46194</v>
      </c>
      <c r="B1086" s="29" t="s">
        <v>202</v>
      </c>
      <c r="C1086" s="29"/>
      <c r="D1086" s="29"/>
      <c r="E1086" s="29" t="str">
        <f t="shared" si="144"/>
        <v/>
      </c>
      <c r="F1086" s="29">
        <f>COUNTIFS(실시간콜입력!$B:$B,$A1086,실시간콜입력!$E:$E,"A",실시간콜입력!$G:$G,$B1086,실시간콜입력!$O:$O,"방문완료")+COUNTIFS(실시간콜입력!$B:$B,$A1086,실시간콜입력!$E:$E,"A",실시간콜입력!$H:$H,$B1086,실시간콜입력!$O:$O,"방문완료")</f>
        <v>0</v>
      </c>
      <c r="G1086" s="29">
        <f>COUNTIFS(실시간콜입력!$B:$B,$A1086,실시간콜입력!$E:$E,"B",실시간콜입력!$G:$G,$B1086,실시간콜입력!$O:$O,"방문완료")+COUNTIFS(실시간콜입력!$B:$B,$A1086,실시간콜입력!$E:$E,"B",실시간콜입력!$H:$H,$B1086,실시간콜입력!$O:$O,"방문완료")</f>
        <v>0</v>
      </c>
      <c r="H1086" s="29">
        <f>COUNTIFS(실시간콜입력!$B:$B,$A1086,실시간콜입력!$E:$E,"C",실시간콜입력!$G:$G,$B1086,실시간콜입력!$O:$O,"방문완료")+COUNTIFS(실시간콜입력!$B:$B,$A1086,실시간콜입력!$E:$E,"C",실시간콜입력!$H:$H,$B1086,실시간콜입력!$O:$O,"방문완료")</f>
        <v>0</v>
      </c>
      <c r="I1086" s="29">
        <f>COUNTIFS(실시간콜입력!$B:$B,$A1086,실시간콜입력!$E:$E,"D",실시간콜입력!$G:$G,$B1086,실시간콜입력!$O:$O,"방문완료")+COUNTIFS(실시간콜입력!$B:$B,$A1086,실시간콜입력!$E:$E,"D",실시간콜입력!$H:$H,$B1086,실시간콜입력!$O:$O,"방문완료")</f>
        <v>0</v>
      </c>
      <c r="J1086" s="29">
        <f>COUNTIFS(실시간콜입력!$B:$B,$A1086,실시간콜입력!$E:$E,"E",실시간콜입력!$G:$G,$B1086,실시간콜입력!$O:$O,"방문완료")+COUNTIFS(실시간콜입력!$B:$B,$A1086,실시간콜입력!$E:$E,"E",실시간콜입력!$H:$H,$B1086,실시간콜입력!$O:$O,"방문완료")</f>
        <v>0</v>
      </c>
      <c r="K1086" s="29">
        <f t="shared" si="145"/>
        <v>0</v>
      </c>
      <c r="L1086" s="33">
        <f>SUMIFS(실시간콜입력!$K:$K,실시간콜입력!$B:$B,$A1086,실시간콜입력!$G:$G,$B1086,실시간콜입력!$O:$O,"방문완료")+SUMIFS(실시간콜입력!$L:$L,실시간콜입력!$B:$B,$A1086,실시간콜입력!$H:$H,$B1086,실시간콜입력!$O:$O,"방문완료")</f>
        <v>0</v>
      </c>
      <c r="M1086" s="29" t="str">
        <f t="shared" si="146"/>
        <v/>
      </c>
      <c r="N1086" s="29"/>
    </row>
    <row r="1087" spans="1:14" ht="19.5" hidden="1" customHeight="1" outlineLevel="1">
      <c r="A1087" s="24">
        <f>IF(21&lt;=DAY(DATE(YEAR(설정_코스수당!$K$2),MONTH(설정_코스수당!$K$2)+1,0)),DATE(YEAR(설정_코스수당!$K$2),MONTH(설정_코스수당!$K$2),21),"")</f>
        <v>46194</v>
      </c>
      <c r="B1087" s="23" t="s">
        <v>203</v>
      </c>
      <c r="C1087" s="29"/>
      <c r="D1087" s="29"/>
      <c r="E1087" s="29" t="str">
        <f t="shared" si="144"/>
        <v/>
      </c>
      <c r="F1087" s="29">
        <f>COUNTIFS(실시간콜입력!$B:$B,$A1087,실시간콜입력!$E:$E,"A",실시간콜입력!$G:$G,$B1087,실시간콜입력!$O:$O,"방문완료")+COUNTIFS(실시간콜입력!$B:$B,$A1087,실시간콜입력!$E:$E,"A",실시간콜입력!$H:$H,$B1087,실시간콜입력!$O:$O,"방문완료")</f>
        <v>0</v>
      </c>
      <c r="G1087" s="29">
        <f>COUNTIFS(실시간콜입력!$B:$B,$A1087,실시간콜입력!$E:$E,"B",실시간콜입력!$G:$G,$B1087,실시간콜입력!$O:$O,"방문완료")+COUNTIFS(실시간콜입력!$B:$B,$A1087,실시간콜입력!$E:$E,"B",실시간콜입력!$H:$H,$B1087,실시간콜입력!$O:$O,"방문완료")</f>
        <v>0</v>
      </c>
      <c r="H1087" s="29">
        <f>COUNTIFS(실시간콜입력!$B:$B,$A1087,실시간콜입력!$E:$E,"C",실시간콜입력!$G:$G,$B1087,실시간콜입력!$O:$O,"방문완료")+COUNTIFS(실시간콜입력!$B:$B,$A1087,실시간콜입력!$E:$E,"C",실시간콜입력!$H:$H,$B1087,실시간콜입력!$O:$O,"방문완료")</f>
        <v>0</v>
      </c>
      <c r="I1087" s="29">
        <f>COUNTIFS(실시간콜입력!$B:$B,$A1087,실시간콜입력!$E:$E,"D",실시간콜입력!$G:$G,$B1087,실시간콜입력!$O:$O,"방문완료")+COUNTIFS(실시간콜입력!$B:$B,$A1087,실시간콜입력!$E:$E,"D",실시간콜입력!$H:$H,$B1087,실시간콜입력!$O:$O,"방문완료")</f>
        <v>0</v>
      </c>
      <c r="J1087" s="29">
        <f>COUNTIFS(실시간콜입력!$B:$B,$A1087,실시간콜입력!$E:$E,"E",실시간콜입력!$G:$G,$B1087,실시간콜입력!$O:$O,"방문완료")+COUNTIFS(실시간콜입력!$B:$B,$A1087,실시간콜입력!$E:$E,"E",실시간콜입력!$H:$H,$B1087,실시간콜입력!$O:$O,"방문완료")</f>
        <v>0</v>
      </c>
      <c r="K1087" s="29">
        <f t="shared" si="145"/>
        <v>0</v>
      </c>
      <c r="L1087" s="27">
        <f>SUMIFS(실시간콜입력!$K:$K,실시간콜입력!$B:$B,$A1087,실시간콜입력!$G:$G,$B1087,실시간콜입력!$O:$O,"방문완료")+SUMIFS(실시간콜입력!$L:$L,실시간콜입력!$B:$B,$A1087,실시간콜입력!$H:$H,$B1087,실시간콜입력!$O:$O,"방문완료")</f>
        <v>0</v>
      </c>
      <c r="M1087" s="29" t="str">
        <f t="shared" si="146"/>
        <v/>
      </c>
      <c r="N1087" s="29"/>
    </row>
    <row r="1088" spans="1:14" ht="19.5" hidden="1" customHeight="1" outlineLevel="1">
      <c r="A1088" s="30">
        <f>IF(21&lt;=DAY(DATE(YEAR(설정_코스수당!$K$2),MONTH(설정_코스수당!$K$2)+1,0)),DATE(YEAR(설정_코스수당!$K$2),MONTH(설정_코스수당!$K$2),21),"")</f>
        <v>46194</v>
      </c>
      <c r="B1088" s="29" t="s">
        <v>204</v>
      </c>
      <c r="C1088" s="29"/>
      <c r="D1088" s="29"/>
      <c r="E1088" s="29" t="str">
        <f t="shared" si="144"/>
        <v/>
      </c>
      <c r="F1088" s="29">
        <f>COUNTIFS(실시간콜입력!$B:$B,$A1088,실시간콜입력!$E:$E,"A",실시간콜입력!$G:$G,$B1088,실시간콜입력!$O:$O,"방문완료")+COUNTIFS(실시간콜입력!$B:$B,$A1088,실시간콜입력!$E:$E,"A",실시간콜입력!$H:$H,$B1088,실시간콜입력!$O:$O,"방문완료")</f>
        <v>0</v>
      </c>
      <c r="G1088" s="29">
        <f>COUNTIFS(실시간콜입력!$B:$B,$A1088,실시간콜입력!$E:$E,"B",실시간콜입력!$G:$G,$B1088,실시간콜입력!$O:$O,"방문완료")+COUNTIFS(실시간콜입력!$B:$B,$A1088,실시간콜입력!$E:$E,"B",실시간콜입력!$H:$H,$B1088,실시간콜입력!$O:$O,"방문완료")</f>
        <v>0</v>
      </c>
      <c r="H1088" s="29">
        <f>COUNTIFS(실시간콜입력!$B:$B,$A1088,실시간콜입력!$E:$E,"C",실시간콜입력!$G:$G,$B1088,실시간콜입력!$O:$O,"방문완료")+COUNTIFS(실시간콜입력!$B:$B,$A1088,실시간콜입력!$E:$E,"C",실시간콜입력!$H:$H,$B1088,실시간콜입력!$O:$O,"방문완료")</f>
        <v>0</v>
      </c>
      <c r="I1088" s="29">
        <f>COUNTIFS(실시간콜입력!$B:$B,$A1088,실시간콜입력!$E:$E,"D",실시간콜입력!$G:$G,$B1088,실시간콜입력!$O:$O,"방문완료")+COUNTIFS(실시간콜입력!$B:$B,$A1088,실시간콜입력!$E:$E,"D",실시간콜입력!$H:$H,$B1088,실시간콜입력!$O:$O,"방문완료")</f>
        <v>0</v>
      </c>
      <c r="J1088" s="29">
        <f>COUNTIFS(실시간콜입력!$B:$B,$A1088,실시간콜입력!$E:$E,"E",실시간콜입력!$G:$G,$B1088,실시간콜입력!$O:$O,"방문완료")+COUNTIFS(실시간콜입력!$B:$B,$A1088,실시간콜입력!$E:$E,"E",실시간콜입력!$H:$H,$B1088,실시간콜입력!$O:$O,"방문완료")</f>
        <v>0</v>
      </c>
      <c r="K1088" s="29">
        <f t="shared" si="145"/>
        <v>0</v>
      </c>
      <c r="L1088" s="33">
        <f>SUMIFS(실시간콜입력!$K:$K,실시간콜입력!$B:$B,$A1088,실시간콜입력!$G:$G,$B1088,실시간콜입력!$O:$O,"방문완료")+SUMIFS(실시간콜입력!$L:$L,실시간콜입력!$B:$B,$A1088,실시간콜입력!$H:$H,$B1088,실시간콜입력!$O:$O,"방문완료")</f>
        <v>0</v>
      </c>
      <c r="M1088" s="29" t="str">
        <f t="shared" si="146"/>
        <v/>
      </c>
      <c r="N1088" s="29"/>
    </row>
    <row r="1089" spans="1:14" ht="19.5" hidden="1" customHeight="1" outlineLevel="1">
      <c r="A1089" s="24">
        <f>IF(21&lt;=DAY(DATE(YEAR(설정_코스수당!$K$2),MONTH(설정_코스수당!$K$2)+1,0)),DATE(YEAR(설정_코스수당!$K$2),MONTH(설정_코스수당!$K$2),21),"")</f>
        <v>46194</v>
      </c>
      <c r="B1089" s="23" t="s">
        <v>205</v>
      </c>
      <c r="C1089" s="29"/>
      <c r="D1089" s="29"/>
      <c r="E1089" s="29" t="str">
        <f t="shared" si="144"/>
        <v/>
      </c>
      <c r="F1089" s="29">
        <f>COUNTIFS(실시간콜입력!$B:$B,$A1089,실시간콜입력!$E:$E,"A",실시간콜입력!$G:$G,$B1089,실시간콜입력!$O:$O,"방문완료")+COUNTIFS(실시간콜입력!$B:$B,$A1089,실시간콜입력!$E:$E,"A",실시간콜입력!$H:$H,$B1089,실시간콜입력!$O:$O,"방문완료")</f>
        <v>0</v>
      </c>
      <c r="G1089" s="29">
        <f>COUNTIFS(실시간콜입력!$B:$B,$A1089,실시간콜입력!$E:$E,"B",실시간콜입력!$G:$G,$B1089,실시간콜입력!$O:$O,"방문완료")+COUNTIFS(실시간콜입력!$B:$B,$A1089,실시간콜입력!$E:$E,"B",실시간콜입력!$H:$H,$B1089,실시간콜입력!$O:$O,"방문완료")</f>
        <v>0</v>
      </c>
      <c r="H1089" s="29">
        <f>COUNTIFS(실시간콜입력!$B:$B,$A1089,실시간콜입력!$E:$E,"C",실시간콜입력!$G:$G,$B1089,실시간콜입력!$O:$O,"방문완료")+COUNTIFS(실시간콜입력!$B:$B,$A1089,실시간콜입력!$E:$E,"C",실시간콜입력!$H:$H,$B1089,실시간콜입력!$O:$O,"방문완료")</f>
        <v>0</v>
      </c>
      <c r="I1089" s="29">
        <f>COUNTIFS(실시간콜입력!$B:$B,$A1089,실시간콜입력!$E:$E,"D",실시간콜입력!$G:$G,$B1089,실시간콜입력!$O:$O,"방문완료")+COUNTIFS(실시간콜입력!$B:$B,$A1089,실시간콜입력!$E:$E,"D",실시간콜입력!$H:$H,$B1089,실시간콜입력!$O:$O,"방문완료")</f>
        <v>0</v>
      </c>
      <c r="J1089" s="29">
        <f>COUNTIFS(실시간콜입력!$B:$B,$A1089,실시간콜입력!$E:$E,"E",실시간콜입력!$G:$G,$B1089,실시간콜입력!$O:$O,"방문완료")+COUNTIFS(실시간콜입력!$B:$B,$A1089,실시간콜입력!$E:$E,"E",실시간콜입력!$H:$H,$B1089,실시간콜입력!$O:$O,"방문완료")</f>
        <v>0</v>
      </c>
      <c r="K1089" s="29">
        <f t="shared" si="145"/>
        <v>0</v>
      </c>
      <c r="L1089" s="27">
        <f>SUMIFS(실시간콜입력!$K:$K,실시간콜입력!$B:$B,$A1089,실시간콜입력!$G:$G,$B1089,실시간콜입력!$O:$O,"방문완료")+SUMIFS(실시간콜입력!$L:$L,실시간콜입력!$B:$B,$A1089,실시간콜입력!$H:$H,$B1089,실시간콜입력!$O:$O,"방문완료")</f>
        <v>0</v>
      </c>
      <c r="M1089" s="29" t="str">
        <f t="shared" si="146"/>
        <v/>
      </c>
      <c r="N1089" s="29"/>
    </row>
    <row r="1090" spans="1:14" ht="19.5" hidden="1" customHeight="1" outlineLevel="1">
      <c r="A1090" s="30">
        <f>IF(21&lt;=DAY(DATE(YEAR(설정_코스수당!$K$2),MONTH(설정_코스수당!$K$2)+1,0)),DATE(YEAR(설정_코스수당!$K$2),MONTH(설정_코스수당!$K$2),21),"")</f>
        <v>46194</v>
      </c>
      <c r="B1090" s="29" t="s">
        <v>206</v>
      </c>
      <c r="C1090" s="29"/>
      <c r="D1090" s="29"/>
      <c r="E1090" s="29" t="str">
        <f t="shared" si="144"/>
        <v/>
      </c>
      <c r="F1090" s="29">
        <f>COUNTIFS(실시간콜입력!$B:$B,$A1090,실시간콜입력!$E:$E,"A",실시간콜입력!$G:$G,$B1090,실시간콜입력!$O:$O,"방문완료")+COUNTIFS(실시간콜입력!$B:$B,$A1090,실시간콜입력!$E:$E,"A",실시간콜입력!$H:$H,$B1090,실시간콜입력!$O:$O,"방문완료")</f>
        <v>0</v>
      </c>
      <c r="G1090" s="29">
        <f>COUNTIFS(실시간콜입력!$B:$B,$A1090,실시간콜입력!$E:$E,"B",실시간콜입력!$G:$G,$B1090,실시간콜입력!$O:$O,"방문완료")+COUNTIFS(실시간콜입력!$B:$B,$A1090,실시간콜입력!$E:$E,"B",실시간콜입력!$H:$H,$B1090,실시간콜입력!$O:$O,"방문완료")</f>
        <v>0</v>
      </c>
      <c r="H1090" s="29">
        <f>COUNTIFS(실시간콜입력!$B:$B,$A1090,실시간콜입력!$E:$E,"C",실시간콜입력!$G:$G,$B1090,실시간콜입력!$O:$O,"방문완료")+COUNTIFS(실시간콜입력!$B:$B,$A1090,실시간콜입력!$E:$E,"C",실시간콜입력!$H:$H,$B1090,실시간콜입력!$O:$O,"방문완료")</f>
        <v>0</v>
      </c>
      <c r="I1090" s="29">
        <f>COUNTIFS(실시간콜입력!$B:$B,$A1090,실시간콜입력!$E:$E,"D",실시간콜입력!$G:$G,$B1090,실시간콜입력!$O:$O,"방문완료")+COUNTIFS(실시간콜입력!$B:$B,$A1090,실시간콜입력!$E:$E,"D",실시간콜입력!$H:$H,$B1090,실시간콜입력!$O:$O,"방문완료")</f>
        <v>0</v>
      </c>
      <c r="J1090" s="29">
        <f>COUNTIFS(실시간콜입력!$B:$B,$A1090,실시간콜입력!$E:$E,"E",실시간콜입력!$G:$G,$B1090,실시간콜입력!$O:$O,"방문완료")+COUNTIFS(실시간콜입력!$B:$B,$A1090,실시간콜입력!$E:$E,"E",실시간콜입력!$H:$H,$B1090,실시간콜입력!$O:$O,"방문완료")</f>
        <v>0</v>
      </c>
      <c r="K1090" s="29">
        <f t="shared" si="145"/>
        <v>0</v>
      </c>
      <c r="L1090" s="33">
        <f>SUMIFS(실시간콜입력!$K:$K,실시간콜입력!$B:$B,$A1090,실시간콜입력!$G:$G,$B1090,실시간콜입력!$O:$O,"방문완료")+SUMIFS(실시간콜입력!$L:$L,실시간콜입력!$B:$B,$A1090,실시간콜입력!$H:$H,$B1090,실시간콜입력!$O:$O,"방문완료")</f>
        <v>0</v>
      </c>
      <c r="M1090" s="29" t="str">
        <f t="shared" si="146"/>
        <v/>
      </c>
      <c r="N1090" s="29"/>
    </row>
    <row r="1091" spans="1:14" ht="19.5" hidden="1" customHeight="1" outlineLevel="1">
      <c r="A1091" s="24">
        <f>IF(21&lt;=DAY(DATE(YEAR(설정_코스수당!$K$2),MONTH(설정_코스수당!$K$2)+1,0)),DATE(YEAR(설정_코스수당!$K$2),MONTH(설정_코스수당!$K$2),21),"")</f>
        <v>46194</v>
      </c>
      <c r="B1091" s="23" t="s">
        <v>207</v>
      </c>
      <c r="C1091" s="29"/>
      <c r="D1091" s="29"/>
      <c r="E1091" s="29" t="str">
        <f t="shared" si="144"/>
        <v/>
      </c>
      <c r="F1091" s="29">
        <f>COUNTIFS(실시간콜입력!$B:$B,$A1091,실시간콜입력!$E:$E,"A",실시간콜입력!$G:$G,$B1091,실시간콜입력!$O:$O,"방문완료")+COUNTIFS(실시간콜입력!$B:$B,$A1091,실시간콜입력!$E:$E,"A",실시간콜입력!$H:$H,$B1091,실시간콜입력!$O:$O,"방문완료")</f>
        <v>0</v>
      </c>
      <c r="G1091" s="29">
        <f>COUNTIFS(실시간콜입력!$B:$B,$A1091,실시간콜입력!$E:$E,"B",실시간콜입력!$G:$G,$B1091,실시간콜입력!$O:$O,"방문완료")+COUNTIFS(실시간콜입력!$B:$B,$A1091,실시간콜입력!$E:$E,"B",실시간콜입력!$H:$H,$B1091,실시간콜입력!$O:$O,"방문완료")</f>
        <v>0</v>
      </c>
      <c r="H1091" s="29">
        <f>COUNTIFS(실시간콜입력!$B:$B,$A1091,실시간콜입력!$E:$E,"C",실시간콜입력!$G:$G,$B1091,실시간콜입력!$O:$O,"방문완료")+COUNTIFS(실시간콜입력!$B:$B,$A1091,실시간콜입력!$E:$E,"C",실시간콜입력!$H:$H,$B1091,실시간콜입력!$O:$O,"방문완료")</f>
        <v>0</v>
      </c>
      <c r="I1091" s="29">
        <f>COUNTIFS(실시간콜입력!$B:$B,$A1091,실시간콜입력!$E:$E,"D",실시간콜입력!$G:$G,$B1091,실시간콜입력!$O:$O,"방문완료")+COUNTIFS(실시간콜입력!$B:$B,$A1091,실시간콜입력!$E:$E,"D",실시간콜입력!$H:$H,$B1091,실시간콜입력!$O:$O,"방문완료")</f>
        <v>0</v>
      </c>
      <c r="J1091" s="29">
        <f>COUNTIFS(실시간콜입력!$B:$B,$A1091,실시간콜입력!$E:$E,"E",실시간콜입력!$G:$G,$B1091,실시간콜입력!$O:$O,"방문완료")+COUNTIFS(실시간콜입력!$B:$B,$A1091,실시간콜입력!$E:$E,"E",실시간콜입력!$H:$H,$B1091,실시간콜입력!$O:$O,"방문완료")</f>
        <v>0</v>
      </c>
      <c r="K1091" s="29">
        <f t="shared" si="145"/>
        <v>0</v>
      </c>
      <c r="L1091" s="27">
        <f>SUMIFS(실시간콜입력!$K:$K,실시간콜입력!$B:$B,$A1091,실시간콜입력!$G:$G,$B1091,실시간콜입력!$O:$O,"방문완료")+SUMIFS(실시간콜입력!$L:$L,실시간콜입력!$B:$B,$A1091,실시간콜입력!$H:$H,$B1091,실시간콜입력!$O:$O,"방문완료")</f>
        <v>0</v>
      </c>
      <c r="M1091" s="29" t="str">
        <f t="shared" si="146"/>
        <v/>
      </c>
      <c r="N1091" s="29"/>
    </row>
    <row r="1092" spans="1:14" ht="19.5" hidden="1" customHeight="1" outlineLevel="1">
      <c r="A1092" s="30">
        <f>IF(21&lt;=DAY(DATE(YEAR(설정_코스수당!$K$2),MONTH(설정_코스수당!$K$2)+1,0)),DATE(YEAR(설정_코스수당!$K$2),MONTH(설정_코스수당!$K$2),21),"")</f>
        <v>46194</v>
      </c>
      <c r="B1092" s="29" t="s">
        <v>208</v>
      </c>
      <c r="C1092" s="29"/>
      <c r="D1092" s="29"/>
      <c r="E1092" s="29" t="str">
        <f t="shared" si="144"/>
        <v/>
      </c>
      <c r="F1092" s="29">
        <f>COUNTIFS(실시간콜입력!$B:$B,$A1092,실시간콜입력!$E:$E,"A",실시간콜입력!$G:$G,$B1092,실시간콜입력!$O:$O,"방문완료")+COUNTIFS(실시간콜입력!$B:$B,$A1092,실시간콜입력!$E:$E,"A",실시간콜입력!$H:$H,$B1092,실시간콜입력!$O:$O,"방문완료")</f>
        <v>0</v>
      </c>
      <c r="G1092" s="29">
        <f>COUNTIFS(실시간콜입력!$B:$B,$A1092,실시간콜입력!$E:$E,"B",실시간콜입력!$G:$G,$B1092,실시간콜입력!$O:$O,"방문완료")+COUNTIFS(실시간콜입력!$B:$B,$A1092,실시간콜입력!$E:$E,"B",실시간콜입력!$H:$H,$B1092,실시간콜입력!$O:$O,"방문완료")</f>
        <v>0</v>
      </c>
      <c r="H1092" s="29">
        <f>COUNTIFS(실시간콜입력!$B:$B,$A1092,실시간콜입력!$E:$E,"C",실시간콜입력!$G:$G,$B1092,실시간콜입력!$O:$O,"방문완료")+COUNTIFS(실시간콜입력!$B:$B,$A1092,실시간콜입력!$E:$E,"C",실시간콜입력!$H:$H,$B1092,실시간콜입력!$O:$O,"방문완료")</f>
        <v>0</v>
      </c>
      <c r="I1092" s="29">
        <f>COUNTIFS(실시간콜입력!$B:$B,$A1092,실시간콜입력!$E:$E,"D",실시간콜입력!$G:$G,$B1092,실시간콜입력!$O:$O,"방문완료")+COUNTIFS(실시간콜입력!$B:$B,$A1092,실시간콜입력!$E:$E,"D",실시간콜입력!$H:$H,$B1092,실시간콜입력!$O:$O,"방문완료")</f>
        <v>0</v>
      </c>
      <c r="J1092" s="29">
        <f>COUNTIFS(실시간콜입력!$B:$B,$A1092,실시간콜입력!$E:$E,"E",실시간콜입력!$G:$G,$B1092,실시간콜입력!$O:$O,"방문완료")+COUNTIFS(실시간콜입력!$B:$B,$A1092,실시간콜입력!$E:$E,"E",실시간콜입력!$H:$H,$B1092,실시간콜입력!$O:$O,"방문완료")</f>
        <v>0</v>
      </c>
      <c r="K1092" s="29">
        <f t="shared" si="145"/>
        <v>0</v>
      </c>
      <c r="L1092" s="33">
        <f>SUMIFS(실시간콜입력!$K:$K,실시간콜입력!$B:$B,$A1092,실시간콜입력!$G:$G,$B1092,실시간콜입력!$O:$O,"방문완료")+SUMIFS(실시간콜입력!$L:$L,실시간콜입력!$B:$B,$A1092,실시간콜입력!$H:$H,$B1092,실시간콜입력!$O:$O,"방문완료")</f>
        <v>0</v>
      </c>
      <c r="M1092" s="29" t="str">
        <f t="shared" si="146"/>
        <v/>
      </c>
      <c r="N1092" s="29"/>
    </row>
    <row r="1093" spans="1:14" ht="19.5" hidden="1" customHeight="1" outlineLevel="1">
      <c r="A1093" s="24">
        <f>IF(21&lt;=DAY(DATE(YEAR(설정_코스수당!$K$2),MONTH(설정_코스수당!$K$2)+1,0)),DATE(YEAR(설정_코스수당!$K$2),MONTH(설정_코스수당!$K$2),21),"")</f>
        <v>46194</v>
      </c>
      <c r="B1093" s="23" t="s">
        <v>209</v>
      </c>
      <c r="C1093" s="29"/>
      <c r="D1093" s="29"/>
      <c r="E1093" s="29" t="str">
        <f t="shared" si="144"/>
        <v/>
      </c>
      <c r="F1093" s="29">
        <f>COUNTIFS(실시간콜입력!$B:$B,$A1093,실시간콜입력!$E:$E,"A",실시간콜입력!$G:$G,$B1093,실시간콜입력!$O:$O,"방문완료")+COUNTIFS(실시간콜입력!$B:$B,$A1093,실시간콜입력!$E:$E,"A",실시간콜입력!$H:$H,$B1093,실시간콜입력!$O:$O,"방문완료")</f>
        <v>0</v>
      </c>
      <c r="G1093" s="29">
        <f>COUNTIFS(실시간콜입력!$B:$B,$A1093,실시간콜입력!$E:$E,"B",실시간콜입력!$G:$G,$B1093,실시간콜입력!$O:$O,"방문완료")+COUNTIFS(실시간콜입력!$B:$B,$A1093,실시간콜입력!$E:$E,"B",실시간콜입력!$H:$H,$B1093,실시간콜입력!$O:$O,"방문완료")</f>
        <v>0</v>
      </c>
      <c r="H1093" s="29">
        <f>COUNTIFS(실시간콜입력!$B:$B,$A1093,실시간콜입력!$E:$E,"C",실시간콜입력!$G:$G,$B1093,실시간콜입력!$O:$O,"방문완료")+COUNTIFS(실시간콜입력!$B:$B,$A1093,실시간콜입력!$E:$E,"C",실시간콜입력!$H:$H,$B1093,실시간콜입력!$O:$O,"방문완료")</f>
        <v>0</v>
      </c>
      <c r="I1093" s="29">
        <f>COUNTIFS(실시간콜입력!$B:$B,$A1093,실시간콜입력!$E:$E,"D",실시간콜입력!$G:$G,$B1093,실시간콜입력!$O:$O,"방문완료")+COUNTIFS(실시간콜입력!$B:$B,$A1093,실시간콜입력!$E:$E,"D",실시간콜입력!$H:$H,$B1093,실시간콜입력!$O:$O,"방문완료")</f>
        <v>0</v>
      </c>
      <c r="J1093" s="29">
        <f>COUNTIFS(실시간콜입력!$B:$B,$A1093,실시간콜입력!$E:$E,"E",실시간콜입력!$G:$G,$B1093,실시간콜입력!$O:$O,"방문완료")+COUNTIFS(실시간콜입력!$B:$B,$A1093,실시간콜입력!$E:$E,"E",실시간콜입력!$H:$H,$B1093,실시간콜입력!$O:$O,"방문완료")</f>
        <v>0</v>
      </c>
      <c r="K1093" s="29">
        <f t="shared" si="145"/>
        <v>0</v>
      </c>
      <c r="L1093" s="27">
        <f>SUMIFS(실시간콜입력!$K:$K,실시간콜입력!$B:$B,$A1093,실시간콜입력!$G:$G,$B1093,실시간콜입력!$O:$O,"방문완료")+SUMIFS(실시간콜입력!$L:$L,실시간콜입력!$B:$B,$A1093,실시간콜입력!$H:$H,$B1093,실시간콜입력!$O:$O,"방문완료")</f>
        <v>0</v>
      </c>
      <c r="M1093" s="29" t="str">
        <f t="shared" si="146"/>
        <v/>
      </c>
      <c r="N1093" s="29"/>
    </row>
    <row r="1094" spans="1:14" ht="19.5" hidden="1" customHeight="1" outlineLevel="1">
      <c r="A1094" s="30">
        <f>IF(21&lt;=DAY(DATE(YEAR(설정_코스수당!$K$2),MONTH(설정_코스수당!$K$2)+1,0)),DATE(YEAR(설정_코스수당!$K$2),MONTH(설정_코스수당!$K$2),21),"")</f>
        <v>46194</v>
      </c>
      <c r="B1094" s="29" t="s">
        <v>210</v>
      </c>
      <c r="C1094" s="29"/>
      <c r="D1094" s="29"/>
      <c r="E1094" s="29" t="str">
        <f t="shared" si="144"/>
        <v/>
      </c>
      <c r="F1094" s="29">
        <f>COUNTIFS(실시간콜입력!$B:$B,$A1094,실시간콜입력!$E:$E,"A",실시간콜입력!$G:$G,$B1094,실시간콜입력!$O:$O,"방문완료")+COUNTIFS(실시간콜입력!$B:$B,$A1094,실시간콜입력!$E:$E,"A",실시간콜입력!$H:$H,$B1094,실시간콜입력!$O:$O,"방문완료")</f>
        <v>0</v>
      </c>
      <c r="G1094" s="29">
        <f>COUNTIFS(실시간콜입력!$B:$B,$A1094,실시간콜입력!$E:$E,"B",실시간콜입력!$G:$G,$B1094,실시간콜입력!$O:$O,"방문완료")+COUNTIFS(실시간콜입력!$B:$B,$A1094,실시간콜입력!$E:$E,"B",실시간콜입력!$H:$H,$B1094,실시간콜입력!$O:$O,"방문완료")</f>
        <v>0</v>
      </c>
      <c r="H1094" s="29">
        <f>COUNTIFS(실시간콜입력!$B:$B,$A1094,실시간콜입력!$E:$E,"C",실시간콜입력!$G:$G,$B1094,실시간콜입력!$O:$O,"방문완료")+COUNTIFS(실시간콜입력!$B:$B,$A1094,실시간콜입력!$E:$E,"C",실시간콜입력!$H:$H,$B1094,실시간콜입력!$O:$O,"방문완료")</f>
        <v>0</v>
      </c>
      <c r="I1094" s="29">
        <f>COUNTIFS(실시간콜입력!$B:$B,$A1094,실시간콜입력!$E:$E,"D",실시간콜입력!$G:$G,$B1094,실시간콜입력!$O:$O,"방문완료")+COUNTIFS(실시간콜입력!$B:$B,$A1094,실시간콜입력!$E:$E,"D",실시간콜입력!$H:$H,$B1094,실시간콜입력!$O:$O,"방문완료")</f>
        <v>0</v>
      </c>
      <c r="J1094" s="29">
        <f>COUNTIFS(실시간콜입력!$B:$B,$A1094,실시간콜입력!$E:$E,"E",실시간콜입력!$G:$G,$B1094,실시간콜입력!$O:$O,"방문완료")+COUNTIFS(실시간콜입력!$B:$B,$A1094,실시간콜입력!$E:$E,"E",실시간콜입력!$H:$H,$B1094,실시간콜입력!$O:$O,"방문완료")</f>
        <v>0</v>
      </c>
      <c r="K1094" s="29">
        <f t="shared" si="145"/>
        <v>0</v>
      </c>
      <c r="L1094" s="33">
        <f>SUMIFS(실시간콜입력!$K:$K,실시간콜입력!$B:$B,$A1094,실시간콜입력!$G:$G,$B1094,실시간콜입력!$O:$O,"방문완료")+SUMIFS(실시간콜입력!$L:$L,실시간콜입력!$B:$B,$A1094,실시간콜입력!$H:$H,$B1094,실시간콜입력!$O:$O,"방문완료")</f>
        <v>0</v>
      </c>
      <c r="M1094" s="29" t="str">
        <f t="shared" si="146"/>
        <v/>
      </c>
      <c r="N1094" s="29"/>
    </row>
    <row r="1095" spans="1:14" ht="19.5" hidden="1" customHeight="1" outlineLevel="1">
      <c r="A1095" s="24">
        <f>IF(21&lt;=DAY(DATE(YEAR(설정_코스수당!$K$2),MONTH(설정_코스수당!$K$2)+1,0)),DATE(YEAR(설정_코스수당!$K$2),MONTH(설정_코스수당!$K$2),21),"")</f>
        <v>46194</v>
      </c>
      <c r="B1095" s="23" t="s">
        <v>211</v>
      </c>
      <c r="C1095" s="29"/>
      <c r="D1095" s="29"/>
      <c r="E1095" s="29" t="str">
        <f t="shared" si="144"/>
        <v/>
      </c>
      <c r="F1095" s="29">
        <f>COUNTIFS(실시간콜입력!$B:$B,$A1095,실시간콜입력!$E:$E,"A",실시간콜입력!$G:$G,$B1095,실시간콜입력!$O:$O,"방문완료")+COUNTIFS(실시간콜입력!$B:$B,$A1095,실시간콜입력!$E:$E,"A",실시간콜입력!$H:$H,$B1095,실시간콜입력!$O:$O,"방문완료")</f>
        <v>0</v>
      </c>
      <c r="G1095" s="29">
        <f>COUNTIFS(실시간콜입력!$B:$B,$A1095,실시간콜입력!$E:$E,"B",실시간콜입력!$G:$G,$B1095,실시간콜입력!$O:$O,"방문완료")+COUNTIFS(실시간콜입력!$B:$B,$A1095,실시간콜입력!$E:$E,"B",실시간콜입력!$H:$H,$B1095,실시간콜입력!$O:$O,"방문완료")</f>
        <v>0</v>
      </c>
      <c r="H1095" s="29">
        <f>COUNTIFS(실시간콜입력!$B:$B,$A1095,실시간콜입력!$E:$E,"C",실시간콜입력!$G:$G,$B1095,실시간콜입력!$O:$O,"방문완료")+COUNTIFS(실시간콜입력!$B:$B,$A1095,실시간콜입력!$E:$E,"C",실시간콜입력!$H:$H,$B1095,실시간콜입력!$O:$O,"방문완료")</f>
        <v>0</v>
      </c>
      <c r="I1095" s="29">
        <f>COUNTIFS(실시간콜입력!$B:$B,$A1095,실시간콜입력!$E:$E,"D",실시간콜입력!$G:$G,$B1095,실시간콜입력!$O:$O,"방문완료")+COUNTIFS(실시간콜입력!$B:$B,$A1095,실시간콜입력!$E:$E,"D",실시간콜입력!$H:$H,$B1095,실시간콜입력!$O:$O,"방문완료")</f>
        <v>0</v>
      </c>
      <c r="J1095" s="29">
        <f>COUNTIFS(실시간콜입력!$B:$B,$A1095,실시간콜입력!$E:$E,"E",실시간콜입력!$G:$G,$B1095,실시간콜입력!$O:$O,"방문완료")+COUNTIFS(실시간콜입력!$B:$B,$A1095,실시간콜입력!$E:$E,"E",실시간콜입력!$H:$H,$B1095,실시간콜입력!$O:$O,"방문완료")</f>
        <v>0</v>
      </c>
      <c r="K1095" s="29">
        <f t="shared" si="145"/>
        <v>0</v>
      </c>
      <c r="L1095" s="27">
        <f>SUMIFS(실시간콜입력!$K:$K,실시간콜입력!$B:$B,$A1095,실시간콜입력!$G:$G,$B1095,실시간콜입력!$O:$O,"방문완료")+SUMIFS(실시간콜입력!$L:$L,실시간콜입력!$B:$B,$A1095,실시간콜입력!$H:$H,$B1095,실시간콜입력!$O:$O,"방문완료")</f>
        <v>0</v>
      </c>
      <c r="M1095" s="29" t="str">
        <f t="shared" si="146"/>
        <v/>
      </c>
      <c r="N1095" s="29"/>
    </row>
    <row r="1096" spans="1:14" ht="19.5" hidden="1" customHeight="1" outlineLevel="1">
      <c r="A1096" s="30">
        <f>IF(21&lt;=DAY(DATE(YEAR(설정_코스수당!$K$2),MONTH(설정_코스수당!$K$2)+1,0)),DATE(YEAR(설정_코스수당!$K$2),MONTH(설정_코스수당!$K$2),21),"")</f>
        <v>46194</v>
      </c>
      <c r="B1096" s="29" t="s">
        <v>212</v>
      </c>
      <c r="C1096" s="29"/>
      <c r="D1096" s="29"/>
      <c r="E1096" s="29" t="str">
        <f t="shared" si="144"/>
        <v/>
      </c>
      <c r="F1096" s="29">
        <f>COUNTIFS(실시간콜입력!$B:$B,$A1096,실시간콜입력!$E:$E,"A",실시간콜입력!$G:$G,$B1096,실시간콜입력!$O:$O,"방문완료")+COUNTIFS(실시간콜입력!$B:$B,$A1096,실시간콜입력!$E:$E,"A",실시간콜입력!$H:$H,$B1096,실시간콜입력!$O:$O,"방문완료")</f>
        <v>0</v>
      </c>
      <c r="G1096" s="29">
        <f>COUNTIFS(실시간콜입력!$B:$B,$A1096,실시간콜입력!$E:$E,"B",실시간콜입력!$G:$G,$B1096,실시간콜입력!$O:$O,"방문완료")+COUNTIFS(실시간콜입력!$B:$B,$A1096,실시간콜입력!$E:$E,"B",실시간콜입력!$H:$H,$B1096,실시간콜입력!$O:$O,"방문완료")</f>
        <v>0</v>
      </c>
      <c r="H1096" s="29">
        <f>COUNTIFS(실시간콜입력!$B:$B,$A1096,실시간콜입력!$E:$E,"C",실시간콜입력!$G:$G,$B1096,실시간콜입력!$O:$O,"방문완료")+COUNTIFS(실시간콜입력!$B:$B,$A1096,실시간콜입력!$E:$E,"C",실시간콜입력!$H:$H,$B1096,실시간콜입력!$O:$O,"방문완료")</f>
        <v>0</v>
      </c>
      <c r="I1096" s="29">
        <f>COUNTIFS(실시간콜입력!$B:$B,$A1096,실시간콜입력!$E:$E,"D",실시간콜입력!$G:$G,$B1096,실시간콜입력!$O:$O,"방문완료")+COUNTIFS(실시간콜입력!$B:$B,$A1096,실시간콜입력!$E:$E,"D",실시간콜입력!$H:$H,$B1096,실시간콜입력!$O:$O,"방문완료")</f>
        <v>0</v>
      </c>
      <c r="J1096" s="29">
        <f>COUNTIFS(실시간콜입력!$B:$B,$A1096,실시간콜입력!$E:$E,"E",실시간콜입력!$G:$G,$B1096,실시간콜입력!$O:$O,"방문완료")+COUNTIFS(실시간콜입력!$B:$B,$A1096,실시간콜입력!$E:$E,"E",실시간콜입력!$H:$H,$B1096,실시간콜입력!$O:$O,"방문완료")</f>
        <v>0</v>
      </c>
      <c r="K1096" s="29">
        <f t="shared" si="145"/>
        <v>0</v>
      </c>
      <c r="L1096" s="33">
        <f>SUMIFS(실시간콜입력!$K:$K,실시간콜입력!$B:$B,$A1096,실시간콜입력!$G:$G,$B1096,실시간콜입력!$O:$O,"방문완료")+SUMIFS(실시간콜입력!$L:$L,실시간콜입력!$B:$B,$A1096,실시간콜입력!$H:$H,$B1096,실시간콜입력!$O:$O,"방문완료")</f>
        <v>0</v>
      </c>
      <c r="M1096" s="29" t="str">
        <f t="shared" si="146"/>
        <v/>
      </c>
      <c r="N1096" s="29"/>
    </row>
    <row r="1097" spans="1:14" ht="21.75" customHeight="1" collapsed="1">
      <c r="A1097" s="64">
        <f>IF(22&lt;=DAY(DATE(YEAR(설정_코스수당!$K$2),MONTH(설정_코스수당!$K$2)+1,0)),DATE(YEAR(설정_코스수당!$K$2),MONTH(설정_코스수당!$K$2),22),"")</f>
        <v>46195</v>
      </c>
      <c r="B1097" s="65" t="str">
        <f>IF(A1097="","","출근 "&amp;COUNTIF(C1099:C1148,"&lt;&gt;")&amp;"명")</f>
        <v>출근 0명</v>
      </c>
      <c r="C1097" s="65" t="str">
        <f>IF(A1097="","","만근 "&amp;COUNTIF(M1099:M1148,"인정")&amp;"명")</f>
        <v>만근 0명</v>
      </c>
      <c r="D1097" s="65" t="str">
        <f>IFERROR("평균 "&amp;TEXT(AVERAGEIF(E1099:E1148,"&gt;0",E1099:E1148),"0.0")&amp;"h","평균 -")</f>
        <v>평균 -</v>
      </c>
      <c r="E1097" s="65" t="s">
        <v>163</v>
      </c>
      <c r="F1097" s="65">
        <f t="shared" ref="F1097:L1097" si="147">SUM(F1099:F1148)</f>
        <v>0</v>
      </c>
      <c r="G1097" s="65">
        <f t="shared" si="147"/>
        <v>0</v>
      </c>
      <c r="H1097" s="65">
        <f t="shared" si="147"/>
        <v>0</v>
      </c>
      <c r="I1097" s="65">
        <f t="shared" si="147"/>
        <v>0</v>
      </c>
      <c r="J1097" s="65">
        <f t="shared" si="147"/>
        <v>0</v>
      </c>
      <c r="K1097" s="65">
        <f t="shared" si="147"/>
        <v>0</v>
      </c>
      <c r="L1097" s="66">
        <f t="shared" si="147"/>
        <v>0</v>
      </c>
      <c r="M1097" s="65">
        <f>COUNTIF(M1099:M1148,"인정")</f>
        <v>0</v>
      </c>
      <c r="N1097" s="65" t="s">
        <v>164</v>
      </c>
    </row>
    <row r="1098" spans="1:14" ht="19.5" hidden="1" customHeight="1" outlineLevel="1">
      <c r="A1098" s="20" t="s">
        <v>42</v>
      </c>
      <c r="B1098" s="20" t="s">
        <v>152</v>
      </c>
      <c r="C1098" s="20" t="s">
        <v>153</v>
      </c>
      <c r="D1098" s="20" t="s">
        <v>154</v>
      </c>
      <c r="E1098" s="20" t="s">
        <v>155</v>
      </c>
      <c r="F1098" s="20" t="s">
        <v>156</v>
      </c>
      <c r="G1098" s="20" t="s">
        <v>157</v>
      </c>
      <c r="H1098" s="20" t="s">
        <v>158</v>
      </c>
      <c r="I1098" s="20" t="s">
        <v>159</v>
      </c>
      <c r="J1098" s="20" t="s">
        <v>160</v>
      </c>
      <c r="K1098" s="20" t="s">
        <v>118</v>
      </c>
      <c r="L1098" s="20" t="s">
        <v>161</v>
      </c>
      <c r="M1098" s="20" t="s">
        <v>162</v>
      </c>
      <c r="N1098" s="20" t="s">
        <v>95</v>
      </c>
    </row>
    <row r="1099" spans="1:14" ht="19.5" hidden="1" customHeight="1" outlineLevel="1">
      <c r="A1099" s="24">
        <f>IF(22&lt;=DAY(DATE(YEAR(설정_코스수당!$K$2),MONTH(설정_코스수당!$K$2)+1,0)),DATE(YEAR(설정_코스수당!$K$2),MONTH(설정_코스수당!$K$2),22),"")</f>
        <v>46195</v>
      </c>
      <c r="B1099" s="23" t="s">
        <v>47</v>
      </c>
      <c r="C1099" s="23"/>
      <c r="D1099" s="23"/>
      <c r="E1099" s="23" t="str">
        <f t="shared" ref="E1099:E1130" si="148">IF(AND(C1099&lt;&gt;"",D1099&lt;&gt;""),IF(D1099&lt;C1099,D1099+1-C1099,D1099-C1099)*24,"")</f>
        <v/>
      </c>
      <c r="F1099" s="23">
        <f>COUNTIFS(실시간콜입력!$B:$B,$A1099,실시간콜입력!$E:$E,"A",실시간콜입력!$G:$G,$B1099,실시간콜입력!$O:$O,"방문완료")+COUNTIFS(실시간콜입력!$B:$B,$A1099,실시간콜입력!$E:$E,"A",실시간콜입력!$H:$H,$B1099,실시간콜입력!$O:$O,"방문완료")</f>
        <v>0</v>
      </c>
      <c r="G1099" s="23">
        <f>COUNTIFS(실시간콜입력!$B:$B,$A1099,실시간콜입력!$E:$E,"B",실시간콜입력!$G:$G,$B1099,실시간콜입력!$O:$O,"방문완료")+COUNTIFS(실시간콜입력!$B:$B,$A1099,실시간콜입력!$E:$E,"B",실시간콜입력!$H:$H,$B1099,실시간콜입력!$O:$O,"방문완료")</f>
        <v>0</v>
      </c>
      <c r="H1099" s="23">
        <f>COUNTIFS(실시간콜입력!$B:$B,$A1099,실시간콜입력!$E:$E,"C",실시간콜입력!$G:$G,$B1099,실시간콜입력!$O:$O,"방문완료")+COUNTIFS(실시간콜입력!$B:$B,$A1099,실시간콜입력!$E:$E,"C",실시간콜입력!$H:$H,$B1099,실시간콜입력!$O:$O,"방문완료")</f>
        <v>0</v>
      </c>
      <c r="I1099" s="23">
        <f>COUNTIFS(실시간콜입력!$B:$B,$A1099,실시간콜입력!$E:$E,"D",실시간콜입력!$G:$G,$B1099,실시간콜입력!$O:$O,"방문완료")+COUNTIFS(실시간콜입력!$B:$B,$A1099,실시간콜입력!$E:$E,"D",실시간콜입력!$H:$H,$B1099,실시간콜입력!$O:$O,"방문완료")</f>
        <v>0</v>
      </c>
      <c r="J1099" s="23">
        <f>COUNTIFS(실시간콜입력!$B:$B,$A1099,실시간콜입력!$E:$E,"E",실시간콜입력!$G:$G,$B1099,실시간콜입력!$O:$O,"방문완료")+COUNTIFS(실시간콜입력!$B:$B,$A1099,실시간콜입력!$E:$E,"E",실시간콜입력!$H:$H,$B1099,실시간콜입력!$O:$O,"방문완료")</f>
        <v>0</v>
      </c>
      <c r="K1099" s="23">
        <f t="shared" ref="K1099:K1130" si="149">SUM(F1099:J1099)</f>
        <v>0</v>
      </c>
      <c r="L1099" s="27">
        <f>SUMIFS(실시간콜입력!$K:$K,실시간콜입력!$B:$B,$A1099,실시간콜입력!$G:$G,$B1099,실시간콜입력!$O:$O,"방문완료")+SUMIFS(실시간콜입력!$L:$L,실시간콜입력!$B:$B,$A1099,실시간콜입력!$H:$H,$B1099,실시간콜입력!$O:$O,"방문완료")</f>
        <v>0</v>
      </c>
      <c r="M1099" s="23" t="str">
        <f t="shared" ref="M1099:M1130" si="150">IF(AND(ISNUMBER(E1099),E1099&gt;=8),"인정","")</f>
        <v/>
      </c>
      <c r="N1099" s="23"/>
    </row>
    <row r="1100" spans="1:14" ht="19.5" hidden="1" customHeight="1" outlineLevel="1">
      <c r="A1100" s="30">
        <f>IF(22&lt;=DAY(DATE(YEAR(설정_코스수당!$K$2),MONTH(설정_코스수당!$K$2)+1,0)),DATE(YEAR(설정_코스수당!$K$2),MONTH(설정_코스수당!$K$2),22),"")</f>
        <v>46195</v>
      </c>
      <c r="B1100" s="29" t="s">
        <v>48</v>
      </c>
      <c r="C1100" s="29"/>
      <c r="D1100" s="29"/>
      <c r="E1100" s="29" t="str">
        <f t="shared" si="148"/>
        <v/>
      </c>
      <c r="F1100" s="29">
        <f>COUNTIFS(실시간콜입력!$B:$B,$A1100,실시간콜입력!$E:$E,"A",실시간콜입력!$G:$G,$B1100,실시간콜입력!$O:$O,"방문완료")+COUNTIFS(실시간콜입력!$B:$B,$A1100,실시간콜입력!$E:$E,"A",실시간콜입력!$H:$H,$B1100,실시간콜입력!$O:$O,"방문완료")</f>
        <v>0</v>
      </c>
      <c r="G1100" s="29">
        <f>COUNTIFS(실시간콜입력!$B:$B,$A1100,실시간콜입력!$E:$E,"B",실시간콜입력!$G:$G,$B1100,실시간콜입력!$O:$O,"방문완료")+COUNTIFS(실시간콜입력!$B:$B,$A1100,실시간콜입력!$E:$E,"B",실시간콜입력!$H:$H,$B1100,실시간콜입력!$O:$O,"방문완료")</f>
        <v>0</v>
      </c>
      <c r="H1100" s="29">
        <f>COUNTIFS(실시간콜입력!$B:$B,$A1100,실시간콜입력!$E:$E,"C",실시간콜입력!$G:$G,$B1100,실시간콜입력!$O:$O,"방문완료")+COUNTIFS(실시간콜입력!$B:$B,$A1100,실시간콜입력!$E:$E,"C",실시간콜입력!$H:$H,$B1100,실시간콜입력!$O:$O,"방문완료")</f>
        <v>0</v>
      </c>
      <c r="I1100" s="29">
        <f>COUNTIFS(실시간콜입력!$B:$B,$A1100,실시간콜입력!$E:$E,"D",실시간콜입력!$G:$G,$B1100,실시간콜입력!$O:$O,"방문완료")+COUNTIFS(실시간콜입력!$B:$B,$A1100,실시간콜입력!$E:$E,"D",실시간콜입력!$H:$H,$B1100,실시간콜입력!$O:$O,"방문완료")</f>
        <v>0</v>
      </c>
      <c r="J1100" s="29">
        <f>COUNTIFS(실시간콜입력!$B:$B,$A1100,실시간콜입력!$E:$E,"E",실시간콜입력!$G:$G,$B1100,실시간콜입력!$O:$O,"방문완료")+COUNTIFS(실시간콜입력!$B:$B,$A1100,실시간콜입력!$E:$E,"E",실시간콜입력!$H:$H,$B1100,실시간콜입력!$O:$O,"방문완료")</f>
        <v>0</v>
      </c>
      <c r="K1100" s="29">
        <f t="shared" si="149"/>
        <v>0</v>
      </c>
      <c r="L1100" s="33">
        <f>SUMIFS(실시간콜입력!$K:$K,실시간콜입력!$B:$B,$A1100,실시간콜입력!$G:$G,$B1100,실시간콜입력!$O:$O,"방문완료")+SUMIFS(실시간콜입력!$L:$L,실시간콜입력!$B:$B,$A1100,실시간콜입력!$H:$H,$B1100,실시간콜입력!$O:$O,"방문완료")</f>
        <v>0</v>
      </c>
      <c r="M1100" s="29" t="str">
        <f t="shared" si="150"/>
        <v/>
      </c>
      <c r="N1100" s="29"/>
    </row>
    <row r="1101" spans="1:14" ht="19.5" hidden="1" customHeight="1" outlineLevel="1">
      <c r="A1101" s="24">
        <f>IF(22&lt;=DAY(DATE(YEAR(설정_코스수당!$K$2),MONTH(설정_코스수당!$K$2)+1,0)),DATE(YEAR(설정_코스수당!$K$2),MONTH(설정_코스수당!$K$2),22),"")</f>
        <v>46195</v>
      </c>
      <c r="B1101" s="23" t="s">
        <v>165</v>
      </c>
      <c r="C1101" s="29"/>
      <c r="D1101" s="29"/>
      <c r="E1101" s="29" t="str">
        <f t="shared" si="148"/>
        <v/>
      </c>
      <c r="F1101" s="29">
        <f>COUNTIFS(실시간콜입력!$B:$B,$A1101,실시간콜입력!$E:$E,"A",실시간콜입력!$G:$G,$B1101,실시간콜입력!$O:$O,"방문완료")+COUNTIFS(실시간콜입력!$B:$B,$A1101,실시간콜입력!$E:$E,"A",실시간콜입력!$H:$H,$B1101,실시간콜입력!$O:$O,"방문완료")</f>
        <v>0</v>
      </c>
      <c r="G1101" s="29">
        <f>COUNTIFS(실시간콜입력!$B:$B,$A1101,실시간콜입력!$E:$E,"B",실시간콜입력!$G:$G,$B1101,실시간콜입력!$O:$O,"방문완료")+COUNTIFS(실시간콜입력!$B:$B,$A1101,실시간콜입력!$E:$E,"B",실시간콜입력!$H:$H,$B1101,실시간콜입력!$O:$O,"방문완료")</f>
        <v>0</v>
      </c>
      <c r="H1101" s="29">
        <f>COUNTIFS(실시간콜입력!$B:$B,$A1101,실시간콜입력!$E:$E,"C",실시간콜입력!$G:$G,$B1101,실시간콜입력!$O:$O,"방문완료")+COUNTIFS(실시간콜입력!$B:$B,$A1101,실시간콜입력!$E:$E,"C",실시간콜입력!$H:$H,$B1101,실시간콜입력!$O:$O,"방문완료")</f>
        <v>0</v>
      </c>
      <c r="I1101" s="29">
        <f>COUNTIFS(실시간콜입력!$B:$B,$A1101,실시간콜입력!$E:$E,"D",실시간콜입력!$G:$G,$B1101,실시간콜입력!$O:$O,"방문완료")+COUNTIFS(실시간콜입력!$B:$B,$A1101,실시간콜입력!$E:$E,"D",실시간콜입력!$H:$H,$B1101,실시간콜입력!$O:$O,"방문완료")</f>
        <v>0</v>
      </c>
      <c r="J1101" s="29">
        <f>COUNTIFS(실시간콜입력!$B:$B,$A1101,실시간콜입력!$E:$E,"E",실시간콜입력!$G:$G,$B1101,실시간콜입력!$O:$O,"방문완료")+COUNTIFS(실시간콜입력!$B:$B,$A1101,실시간콜입력!$E:$E,"E",실시간콜입력!$H:$H,$B1101,실시간콜입력!$O:$O,"방문완료")</f>
        <v>0</v>
      </c>
      <c r="K1101" s="29">
        <f t="shared" si="149"/>
        <v>0</v>
      </c>
      <c r="L1101" s="27">
        <f>SUMIFS(실시간콜입력!$K:$K,실시간콜입력!$B:$B,$A1101,실시간콜입력!$G:$G,$B1101,실시간콜입력!$O:$O,"방문완료")+SUMIFS(실시간콜입력!$L:$L,실시간콜입력!$B:$B,$A1101,실시간콜입력!$H:$H,$B1101,실시간콜입력!$O:$O,"방문완료")</f>
        <v>0</v>
      </c>
      <c r="M1101" s="29" t="str">
        <f t="shared" si="150"/>
        <v/>
      </c>
      <c r="N1101" s="29"/>
    </row>
    <row r="1102" spans="1:14" ht="19.5" hidden="1" customHeight="1" outlineLevel="1">
      <c r="A1102" s="30">
        <f>IF(22&lt;=DAY(DATE(YEAR(설정_코스수당!$K$2),MONTH(설정_코스수당!$K$2)+1,0)),DATE(YEAR(설정_코스수당!$K$2),MONTH(설정_코스수당!$K$2),22),"")</f>
        <v>46195</v>
      </c>
      <c r="B1102" s="29" t="s">
        <v>166</v>
      </c>
      <c r="C1102" s="29"/>
      <c r="D1102" s="29"/>
      <c r="E1102" s="29" t="str">
        <f t="shared" si="148"/>
        <v/>
      </c>
      <c r="F1102" s="29">
        <f>COUNTIFS(실시간콜입력!$B:$B,$A1102,실시간콜입력!$E:$E,"A",실시간콜입력!$G:$G,$B1102,실시간콜입력!$O:$O,"방문완료")+COUNTIFS(실시간콜입력!$B:$B,$A1102,실시간콜입력!$E:$E,"A",실시간콜입력!$H:$H,$B1102,실시간콜입력!$O:$O,"방문완료")</f>
        <v>0</v>
      </c>
      <c r="G1102" s="29">
        <f>COUNTIFS(실시간콜입력!$B:$B,$A1102,실시간콜입력!$E:$E,"B",실시간콜입력!$G:$G,$B1102,실시간콜입력!$O:$O,"방문완료")+COUNTIFS(실시간콜입력!$B:$B,$A1102,실시간콜입력!$E:$E,"B",실시간콜입력!$H:$H,$B1102,실시간콜입력!$O:$O,"방문완료")</f>
        <v>0</v>
      </c>
      <c r="H1102" s="29">
        <f>COUNTIFS(실시간콜입력!$B:$B,$A1102,실시간콜입력!$E:$E,"C",실시간콜입력!$G:$G,$B1102,실시간콜입력!$O:$O,"방문완료")+COUNTIFS(실시간콜입력!$B:$B,$A1102,실시간콜입력!$E:$E,"C",실시간콜입력!$H:$H,$B1102,실시간콜입력!$O:$O,"방문완료")</f>
        <v>0</v>
      </c>
      <c r="I1102" s="29">
        <f>COUNTIFS(실시간콜입력!$B:$B,$A1102,실시간콜입력!$E:$E,"D",실시간콜입력!$G:$G,$B1102,실시간콜입력!$O:$O,"방문완료")+COUNTIFS(실시간콜입력!$B:$B,$A1102,실시간콜입력!$E:$E,"D",실시간콜입력!$H:$H,$B1102,실시간콜입력!$O:$O,"방문완료")</f>
        <v>0</v>
      </c>
      <c r="J1102" s="29">
        <f>COUNTIFS(실시간콜입력!$B:$B,$A1102,실시간콜입력!$E:$E,"E",실시간콜입력!$G:$G,$B1102,실시간콜입력!$O:$O,"방문완료")+COUNTIFS(실시간콜입력!$B:$B,$A1102,실시간콜입력!$E:$E,"E",실시간콜입력!$H:$H,$B1102,실시간콜입력!$O:$O,"방문완료")</f>
        <v>0</v>
      </c>
      <c r="K1102" s="29">
        <f t="shared" si="149"/>
        <v>0</v>
      </c>
      <c r="L1102" s="33">
        <f>SUMIFS(실시간콜입력!$K:$K,실시간콜입력!$B:$B,$A1102,실시간콜입력!$G:$G,$B1102,실시간콜입력!$O:$O,"방문완료")+SUMIFS(실시간콜입력!$L:$L,실시간콜입력!$B:$B,$A1102,실시간콜입력!$H:$H,$B1102,실시간콜입력!$O:$O,"방문완료")</f>
        <v>0</v>
      </c>
      <c r="M1102" s="29" t="str">
        <f t="shared" si="150"/>
        <v/>
      </c>
      <c r="N1102" s="29"/>
    </row>
    <row r="1103" spans="1:14" ht="19.5" hidden="1" customHeight="1" outlineLevel="1">
      <c r="A1103" s="24">
        <f>IF(22&lt;=DAY(DATE(YEAR(설정_코스수당!$K$2),MONTH(설정_코스수당!$K$2)+1,0)),DATE(YEAR(설정_코스수당!$K$2),MONTH(설정_코스수당!$K$2),22),"")</f>
        <v>46195</v>
      </c>
      <c r="B1103" s="23" t="s">
        <v>167</v>
      </c>
      <c r="C1103" s="29"/>
      <c r="D1103" s="29"/>
      <c r="E1103" s="29" t="str">
        <f t="shared" si="148"/>
        <v/>
      </c>
      <c r="F1103" s="29">
        <f>COUNTIFS(실시간콜입력!$B:$B,$A1103,실시간콜입력!$E:$E,"A",실시간콜입력!$G:$G,$B1103,실시간콜입력!$O:$O,"방문완료")+COUNTIFS(실시간콜입력!$B:$B,$A1103,실시간콜입력!$E:$E,"A",실시간콜입력!$H:$H,$B1103,실시간콜입력!$O:$O,"방문완료")</f>
        <v>0</v>
      </c>
      <c r="G1103" s="29">
        <f>COUNTIFS(실시간콜입력!$B:$B,$A1103,실시간콜입력!$E:$E,"B",실시간콜입력!$G:$G,$B1103,실시간콜입력!$O:$O,"방문완료")+COUNTIFS(실시간콜입력!$B:$B,$A1103,실시간콜입력!$E:$E,"B",실시간콜입력!$H:$H,$B1103,실시간콜입력!$O:$O,"방문완료")</f>
        <v>0</v>
      </c>
      <c r="H1103" s="29">
        <f>COUNTIFS(실시간콜입력!$B:$B,$A1103,실시간콜입력!$E:$E,"C",실시간콜입력!$G:$G,$B1103,실시간콜입력!$O:$O,"방문완료")+COUNTIFS(실시간콜입력!$B:$B,$A1103,실시간콜입력!$E:$E,"C",실시간콜입력!$H:$H,$B1103,실시간콜입력!$O:$O,"방문완료")</f>
        <v>0</v>
      </c>
      <c r="I1103" s="29">
        <f>COUNTIFS(실시간콜입력!$B:$B,$A1103,실시간콜입력!$E:$E,"D",실시간콜입력!$G:$G,$B1103,실시간콜입력!$O:$O,"방문완료")+COUNTIFS(실시간콜입력!$B:$B,$A1103,실시간콜입력!$E:$E,"D",실시간콜입력!$H:$H,$B1103,실시간콜입력!$O:$O,"방문완료")</f>
        <v>0</v>
      </c>
      <c r="J1103" s="29">
        <f>COUNTIFS(실시간콜입력!$B:$B,$A1103,실시간콜입력!$E:$E,"E",실시간콜입력!$G:$G,$B1103,실시간콜입력!$O:$O,"방문완료")+COUNTIFS(실시간콜입력!$B:$B,$A1103,실시간콜입력!$E:$E,"E",실시간콜입력!$H:$H,$B1103,실시간콜입력!$O:$O,"방문완료")</f>
        <v>0</v>
      </c>
      <c r="K1103" s="29">
        <f t="shared" si="149"/>
        <v>0</v>
      </c>
      <c r="L1103" s="27">
        <f>SUMIFS(실시간콜입력!$K:$K,실시간콜입력!$B:$B,$A1103,실시간콜입력!$G:$G,$B1103,실시간콜입력!$O:$O,"방문완료")+SUMIFS(실시간콜입력!$L:$L,실시간콜입력!$B:$B,$A1103,실시간콜입력!$H:$H,$B1103,실시간콜입력!$O:$O,"방문완료")</f>
        <v>0</v>
      </c>
      <c r="M1103" s="29" t="str">
        <f t="shared" si="150"/>
        <v/>
      </c>
      <c r="N1103" s="29"/>
    </row>
    <row r="1104" spans="1:14" ht="19.5" hidden="1" customHeight="1" outlineLevel="1">
      <c r="A1104" s="30">
        <f>IF(22&lt;=DAY(DATE(YEAR(설정_코스수당!$K$2),MONTH(설정_코스수당!$K$2)+1,0)),DATE(YEAR(설정_코스수당!$K$2),MONTH(설정_코스수당!$K$2),22),"")</f>
        <v>46195</v>
      </c>
      <c r="B1104" s="29" t="s">
        <v>168</v>
      </c>
      <c r="C1104" s="29"/>
      <c r="D1104" s="29"/>
      <c r="E1104" s="29" t="str">
        <f t="shared" si="148"/>
        <v/>
      </c>
      <c r="F1104" s="29">
        <f>COUNTIFS(실시간콜입력!$B:$B,$A1104,실시간콜입력!$E:$E,"A",실시간콜입력!$G:$G,$B1104,실시간콜입력!$O:$O,"방문완료")+COUNTIFS(실시간콜입력!$B:$B,$A1104,실시간콜입력!$E:$E,"A",실시간콜입력!$H:$H,$B1104,실시간콜입력!$O:$O,"방문완료")</f>
        <v>0</v>
      </c>
      <c r="G1104" s="29">
        <f>COUNTIFS(실시간콜입력!$B:$B,$A1104,실시간콜입력!$E:$E,"B",실시간콜입력!$G:$G,$B1104,실시간콜입력!$O:$O,"방문완료")+COUNTIFS(실시간콜입력!$B:$B,$A1104,실시간콜입력!$E:$E,"B",실시간콜입력!$H:$H,$B1104,실시간콜입력!$O:$O,"방문완료")</f>
        <v>0</v>
      </c>
      <c r="H1104" s="29">
        <f>COUNTIFS(실시간콜입력!$B:$B,$A1104,실시간콜입력!$E:$E,"C",실시간콜입력!$G:$G,$B1104,실시간콜입력!$O:$O,"방문완료")+COUNTIFS(실시간콜입력!$B:$B,$A1104,실시간콜입력!$E:$E,"C",실시간콜입력!$H:$H,$B1104,실시간콜입력!$O:$O,"방문완료")</f>
        <v>0</v>
      </c>
      <c r="I1104" s="29">
        <f>COUNTIFS(실시간콜입력!$B:$B,$A1104,실시간콜입력!$E:$E,"D",실시간콜입력!$G:$G,$B1104,실시간콜입력!$O:$O,"방문완료")+COUNTIFS(실시간콜입력!$B:$B,$A1104,실시간콜입력!$E:$E,"D",실시간콜입력!$H:$H,$B1104,실시간콜입력!$O:$O,"방문완료")</f>
        <v>0</v>
      </c>
      <c r="J1104" s="29">
        <f>COUNTIFS(실시간콜입력!$B:$B,$A1104,실시간콜입력!$E:$E,"E",실시간콜입력!$G:$G,$B1104,실시간콜입력!$O:$O,"방문완료")+COUNTIFS(실시간콜입력!$B:$B,$A1104,실시간콜입력!$E:$E,"E",실시간콜입력!$H:$H,$B1104,실시간콜입력!$O:$O,"방문완료")</f>
        <v>0</v>
      </c>
      <c r="K1104" s="29">
        <f t="shared" si="149"/>
        <v>0</v>
      </c>
      <c r="L1104" s="33">
        <f>SUMIFS(실시간콜입력!$K:$K,실시간콜입력!$B:$B,$A1104,실시간콜입력!$G:$G,$B1104,실시간콜입력!$O:$O,"방문완료")+SUMIFS(실시간콜입력!$L:$L,실시간콜입력!$B:$B,$A1104,실시간콜입력!$H:$H,$B1104,실시간콜입력!$O:$O,"방문완료")</f>
        <v>0</v>
      </c>
      <c r="M1104" s="29" t="str">
        <f t="shared" si="150"/>
        <v/>
      </c>
      <c r="N1104" s="29"/>
    </row>
    <row r="1105" spans="1:14" ht="19.5" hidden="1" customHeight="1" outlineLevel="1">
      <c r="A1105" s="24">
        <f>IF(22&lt;=DAY(DATE(YEAR(설정_코스수당!$K$2),MONTH(설정_코스수당!$K$2)+1,0)),DATE(YEAR(설정_코스수당!$K$2),MONTH(설정_코스수당!$K$2),22),"")</f>
        <v>46195</v>
      </c>
      <c r="B1105" s="23" t="s">
        <v>169</v>
      </c>
      <c r="C1105" s="29"/>
      <c r="D1105" s="29"/>
      <c r="E1105" s="29" t="str">
        <f t="shared" si="148"/>
        <v/>
      </c>
      <c r="F1105" s="29">
        <f>COUNTIFS(실시간콜입력!$B:$B,$A1105,실시간콜입력!$E:$E,"A",실시간콜입력!$G:$G,$B1105,실시간콜입력!$O:$O,"방문완료")+COUNTIFS(실시간콜입력!$B:$B,$A1105,실시간콜입력!$E:$E,"A",실시간콜입력!$H:$H,$B1105,실시간콜입력!$O:$O,"방문완료")</f>
        <v>0</v>
      </c>
      <c r="G1105" s="29">
        <f>COUNTIFS(실시간콜입력!$B:$B,$A1105,실시간콜입력!$E:$E,"B",실시간콜입력!$G:$G,$B1105,실시간콜입력!$O:$O,"방문완료")+COUNTIFS(실시간콜입력!$B:$B,$A1105,실시간콜입력!$E:$E,"B",실시간콜입력!$H:$H,$B1105,실시간콜입력!$O:$O,"방문완료")</f>
        <v>0</v>
      </c>
      <c r="H1105" s="29">
        <f>COUNTIFS(실시간콜입력!$B:$B,$A1105,실시간콜입력!$E:$E,"C",실시간콜입력!$G:$G,$B1105,실시간콜입력!$O:$O,"방문완료")+COUNTIFS(실시간콜입력!$B:$B,$A1105,실시간콜입력!$E:$E,"C",실시간콜입력!$H:$H,$B1105,실시간콜입력!$O:$O,"방문완료")</f>
        <v>0</v>
      </c>
      <c r="I1105" s="29">
        <f>COUNTIFS(실시간콜입력!$B:$B,$A1105,실시간콜입력!$E:$E,"D",실시간콜입력!$G:$G,$B1105,실시간콜입력!$O:$O,"방문완료")+COUNTIFS(실시간콜입력!$B:$B,$A1105,실시간콜입력!$E:$E,"D",실시간콜입력!$H:$H,$B1105,실시간콜입력!$O:$O,"방문완료")</f>
        <v>0</v>
      </c>
      <c r="J1105" s="29">
        <f>COUNTIFS(실시간콜입력!$B:$B,$A1105,실시간콜입력!$E:$E,"E",실시간콜입력!$G:$G,$B1105,실시간콜입력!$O:$O,"방문완료")+COUNTIFS(실시간콜입력!$B:$B,$A1105,실시간콜입력!$E:$E,"E",실시간콜입력!$H:$H,$B1105,실시간콜입력!$O:$O,"방문완료")</f>
        <v>0</v>
      </c>
      <c r="K1105" s="29">
        <f t="shared" si="149"/>
        <v>0</v>
      </c>
      <c r="L1105" s="27">
        <f>SUMIFS(실시간콜입력!$K:$K,실시간콜입력!$B:$B,$A1105,실시간콜입력!$G:$G,$B1105,실시간콜입력!$O:$O,"방문완료")+SUMIFS(실시간콜입력!$L:$L,실시간콜입력!$B:$B,$A1105,실시간콜입력!$H:$H,$B1105,실시간콜입력!$O:$O,"방문완료")</f>
        <v>0</v>
      </c>
      <c r="M1105" s="29" t="str">
        <f t="shared" si="150"/>
        <v/>
      </c>
      <c r="N1105" s="29"/>
    </row>
    <row r="1106" spans="1:14" ht="19.5" hidden="1" customHeight="1" outlineLevel="1">
      <c r="A1106" s="30">
        <f>IF(22&lt;=DAY(DATE(YEAR(설정_코스수당!$K$2),MONTH(설정_코스수당!$K$2)+1,0)),DATE(YEAR(설정_코스수당!$K$2),MONTH(설정_코스수당!$K$2),22),"")</f>
        <v>46195</v>
      </c>
      <c r="B1106" s="29" t="s">
        <v>170</v>
      </c>
      <c r="C1106" s="29"/>
      <c r="D1106" s="29"/>
      <c r="E1106" s="29" t="str">
        <f t="shared" si="148"/>
        <v/>
      </c>
      <c r="F1106" s="29">
        <f>COUNTIFS(실시간콜입력!$B:$B,$A1106,실시간콜입력!$E:$E,"A",실시간콜입력!$G:$G,$B1106,실시간콜입력!$O:$O,"방문완료")+COUNTIFS(실시간콜입력!$B:$B,$A1106,실시간콜입력!$E:$E,"A",실시간콜입력!$H:$H,$B1106,실시간콜입력!$O:$O,"방문완료")</f>
        <v>0</v>
      </c>
      <c r="G1106" s="29">
        <f>COUNTIFS(실시간콜입력!$B:$B,$A1106,실시간콜입력!$E:$E,"B",실시간콜입력!$G:$G,$B1106,실시간콜입력!$O:$O,"방문완료")+COUNTIFS(실시간콜입력!$B:$B,$A1106,실시간콜입력!$E:$E,"B",실시간콜입력!$H:$H,$B1106,실시간콜입력!$O:$O,"방문완료")</f>
        <v>0</v>
      </c>
      <c r="H1106" s="29">
        <f>COUNTIFS(실시간콜입력!$B:$B,$A1106,실시간콜입력!$E:$E,"C",실시간콜입력!$G:$G,$B1106,실시간콜입력!$O:$O,"방문완료")+COUNTIFS(실시간콜입력!$B:$B,$A1106,실시간콜입력!$E:$E,"C",실시간콜입력!$H:$H,$B1106,실시간콜입력!$O:$O,"방문완료")</f>
        <v>0</v>
      </c>
      <c r="I1106" s="29">
        <f>COUNTIFS(실시간콜입력!$B:$B,$A1106,실시간콜입력!$E:$E,"D",실시간콜입력!$G:$G,$B1106,실시간콜입력!$O:$O,"방문완료")+COUNTIFS(실시간콜입력!$B:$B,$A1106,실시간콜입력!$E:$E,"D",실시간콜입력!$H:$H,$B1106,실시간콜입력!$O:$O,"방문완료")</f>
        <v>0</v>
      </c>
      <c r="J1106" s="29">
        <f>COUNTIFS(실시간콜입력!$B:$B,$A1106,실시간콜입력!$E:$E,"E",실시간콜입력!$G:$G,$B1106,실시간콜입력!$O:$O,"방문완료")+COUNTIFS(실시간콜입력!$B:$B,$A1106,실시간콜입력!$E:$E,"E",실시간콜입력!$H:$H,$B1106,실시간콜입력!$O:$O,"방문완료")</f>
        <v>0</v>
      </c>
      <c r="K1106" s="29">
        <f t="shared" si="149"/>
        <v>0</v>
      </c>
      <c r="L1106" s="33">
        <f>SUMIFS(실시간콜입력!$K:$K,실시간콜입력!$B:$B,$A1106,실시간콜입력!$G:$G,$B1106,실시간콜입력!$O:$O,"방문완료")+SUMIFS(실시간콜입력!$L:$L,실시간콜입력!$B:$B,$A1106,실시간콜입력!$H:$H,$B1106,실시간콜입력!$O:$O,"방문완료")</f>
        <v>0</v>
      </c>
      <c r="M1106" s="29" t="str">
        <f t="shared" si="150"/>
        <v/>
      </c>
      <c r="N1106" s="29"/>
    </row>
    <row r="1107" spans="1:14" ht="19.5" hidden="1" customHeight="1" outlineLevel="1">
      <c r="A1107" s="24">
        <f>IF(22&lt;=DAY(DATE(YEAR(설정_코스수당!$K$2),MONTH(설정_코스수당!$K$2)+1,0)),DATE(YEAR(설정_코스수당!$K$2),MONTH(설정_코스수당!$K$2),22),"")</f>
        <v>46195</v>
      </c>
      <c r="B1107" s="23" t="s">
        <v>171</v>
      </c>
      <c r="C1107" s="29"/>
      <c r="D1107" s="29"/>
      <c r="E1107" s="29" t="str">
        <f t="shared" si="148"/>
        <v/>
      </c>
      <c r="F1107" s="29">
        <f>COUNTIFS(실시간콜입력!$B:$B,$A1107,실시간콜입력!$E:$E,"A",실시간콜입력!$G:$G,$B1107,실시간콜입력!$O:$O,"방문완료")+COUNTIFS(실시간콜입력!$B:$B,$A1107,실시간콜입력!$E:$E,"A",실시간콜입력!$H:$H,$B1107,실시간콜입력!$O:$O,"방문완료")</f>
        <v>0</v>
      </c>
      <c r="G1107" s="29">
        <f>COUNTIFS(실시간콜입력!$B:$B,$A1107,실시간콜입력!$E:$E,"B",실시간콜입력!$G:$G,$B1107,실시간콜입력!$O:$O,"방문완료")+COUNTIFS(실시간콜입력!$B:$B,$A1107,실시간콜입력!$E:$E,"B",실시간콜입력!$H:$H,$B1107,실시간콜입력!$O:$O,"방문완료")</f>
        <v>0</v>
      </c>
      <c r="H1107" s="29">
        <f>COUNTIFS(실시간콜입력!$B:$B,$A1107,실시간콜입력!$E:$E,"C",실시간콜입력!$G:$G,$B1107,실시간콜입력!$O:$O,"방문완료")+COUNTIFS(실시간콜입력!$B:$B,$A1107,실시간콜입력!$E:$E,"C",실시간콜입력!$H:$H,$B1107,실시간콜입력!$O:$O,"방문완료")</f>
        <v>0</v>
      </c>
      <c r="I1107" s="29">
        <f>COUNTIFS(실시간콜입력!$B:$B,$A1107,실시간콜입력!$E:$E,"D",실시간콜입력!$G:$G,$B1107,실시간콜입력!$O:$O,"방문완료")+COUNTIFS(실시간콜입력!$B:$B,$A1107,실시간콜입력!$E:$E,"D",실시간콜입력!$H:$H,$B1107,실시간콜입력!$O:$O,"방문완료")</f>
        <v>0</v>
      </c>
      <c r="J1107" s="29">
        <f>COUNTIFS(실시간콜입력!$B:$B,$A1107,실시간콜입력!$E:$E,"E",실시간콜입력!$G:$G,$B1107,실시간콜입력!$O:$O,"방문완료")+COUNTIFS(실시간콜입력!$B:$B,$A1107,실시간콜입력!$E:$E,"E",실시간콜입력!$H:$H,$B1107,실시간콜입력!$O:$O,"방문완료")</f>
        <v>0</v>
      </c>
      <c r="K1107" s="29">
        <f t="shared" si="149"/>
        <v>0</v>
      </c>
      <c r="L1107" s="27">
        <f>SUMIFS(실시간콜입력!$K:$K,실시간콜입력!$B:$B,$A1107,실시간콜입력!$G:$G,$B1107,실시간콜입력!$O:$O,"방문완료")+SUMIFS(실시간콜입력!$L:$L,실시간콜입력!$B:$B,$A1107,실시간콜입력!$H:$H,$B1107,실시간콜입력!$O:$O,"방문완료")</f>
        <v>0</v>
      </c>
      <c r="M1107" s="29" t="str">
        <f t="shared" si="150"/>
        <v/>
      </c>
      <c r="N1107" s="29"/>
    </row>
    <row r="1108" spans="1:14" ht="19.5" hidden="1" customHeight="1" outlineLevel="1">
      <c r="A1108" s="30">
        <f>IF(22&lt;=DAY(DATE(YEAR(설정_코스수당!$K$2),MONTH(설정_코스수당!$K$2)+1,0)),DATE(YEAR(설정_코스수당!$K$2),MONTH(설정_코스수당!$K$2),22),"")</f>
        <v>46195</v>
      </c>
      <c r="B1108" s="29" t="s">
        <v>172</v>
      </c>
      <c r="C1108" s="29"/>
      <c r="D1108" s="29"/>
      <c r="E1108" s="29" t="str">
        <f t="shared" si="148"/>
        <v/>
      </c>
      <c r="F1108" s="29">
        <f>COUNTIFS(실시간콜입력!$B:$B,$A1108,실시간콜입력!$E:$E,"A",실시간콜입력!$G:$G,$B1108,실시간콜입력!$O:$O,"방문완료")+COUNTIFS(실시간콜입력!$B:$B,$A1108,실시간콜입력!$E:$E,"A",실시간콜입력!$H:$H,$B1108,실시간콜입력!$O:$O,"방문완료")</f>
        <v>0</v>
      </c>
      <c r="G1108" s="29">
        <f>COUNTIFS(실시간콜입력!$B:$B,$A1108,실시간콜입력!$E:$E,"B",실시간콜입력!$G:$G,$B1108,실시간콜입력!$O:$O,"방문완료")+COUNTIFS(실시간콜입력!$B:$B,$A1108,실시간콜입력!$E:$E,"B",실시간콜입력!$H:$H,$B1108,실시간콜입력!$O:$O,"방문완료")</f>
        <v>0</v>
      </c>
      <c r="H1108" s="29">
        <f>COUNTIFS(실시간콜입력!$B:$B,$A1108,실시간콜입력!$E:$E,"C",실시간콜입력!$G:$G,$B1108,실시간콜입력!$O:$O,"방문완료")+COUNTIFS(실시간콜입력!$B:$B,$A1108,실시간콜입력!$E:$E,"C",실시간콜입력!$H:$H,$B1108,실시간콜입력!$O:$O,"방문완료")</f>
        <v>0</v>
      </c>
      <c r="I1108" s="29">
        <f>COUNTIFS(실시간콜입력!$B:$B,$A1108,실시간콜입력!$E:$E,"D",실시간콜입력!$G:$G,$B1108,실시간콜입력!$O:$O,"방문완료")+COUNTIFS(실시간콜입력!$B:$B,$A1108,실시간콜입력!$E:$E,"D",실시간콜입력!$H:$H,$B1108,실시간콜입력!$O:$O,"방문완료")</f>
        <v>0</v>
      </c>
      <c r="J1108" s="29">
        <f>COUNTIFS(실시간콜입력!$B:$B,$A1108,실시간콜입력!$E:$E,"E",실시간콜입력!$G:$G,$B1108,실시간콜입력!$O:$O,"방문완료")+COUNTIFS(실시간콜입력!$B:$B,$A1108,실시간콜입력!$E:$E,"E",실시간콜입력!$H:$H,$B1108,실시간콜입력!$O:$O,"방문완료")</f>
        <v>0</v>
      </c>
      <c r="K1108" s="29">
        <f t="shared" si="149"/>
        <v>0</v>
      </c>
      <c r="L1108" s="33">
        <f>SUMIFS(실시간콜입력!$K:$K,실시간콜입력!$B:$B,$A1108,실시간콜입력!$G:$G,$B1108,실시간콜입력!$O:$O,"방문완료")+SUMIFS(실시간콜입력!$L:$L,실시간콜입력!$B:$B,$A1108,실시간콜입력!$H:$H,$B1108,실시간콜입력!$O:$O,"방문완료")</f>
        <v>0</v>
      </c>
      <c r="M1108" s="29" t="str">
        <f t="shared" si="150"/>
        <v/>
      </c>
      <c r="N1108" s="29"/>
    </row>
    <row r="1109" spans="1:14" ht="19.5" hidden="1" customHeight="1" outlineLevel="1">
      <c r="A1109" s="24">
        <f>IF(22&lt;=DAY(DATE(YEAR(설정_코스수당!$K$2),MONTH(설정_코스수당!$K$2)+1,0)),DATE(YEAR(설정_코스수당!$K$2),MONTH(설정_코스수당!$K$2),22),"")</f>
        <v>46195</v>
      </c>
      <c r="B1109" s="23" t="s">
        <v>173</v>
      </c>
      <c r="C1109" s="29"/>
      <c r="D1109" s="29"/>
      <c r="E1109" s="29" t="str">
        <f t="shared" si="148"/>
        <v/>
      </c>
      <c r="F1109" s="29">
        <f>COUNTIFS(실시간콜입력!$B:$B,$A1109,실시간콜입력!$E:$E,"A",실시간콜입력!$G:$G,$B1109,실시간콜입력!$O:$O,"방문완료")+COUNTIFS(실시간콜입력!$B:$B,$A1109,실시간콜입력!$E:$E,"A",실시간콜입력!$H:$H,$B1109,실시간콜입력!$O:$O,"방문완료")</f>
        <v>0</v>
      </c>
      <c r="G1109" s="29">
        <f>COUNTIFS(실시간콜입력!$B:$B,$A1109,실시간콜입력!$E:$E,"B",실시간콜입력!$G:$G,$B1109,실시간콜입력!$O:$O,"방문완료")+COUNTIFS(실시간콜입력!$B:$B,$A1109,실시간콜입력!$E:$E,"B",실시간콜입력!$H:$H,$B1109,실시간콜입력!$O:$O,"방문완료")</f>
        <v>0</v>
      </c>
      <c r="H1109" s="29">
        <f>COUNTIFS(실시간콜입력!$B:$B,$A1109,실시간콜입력!$E:$E,"C",실시간콜입력!$G:$G,$B1109,실시간콜입력!$O:$O,"방문완료")+COUNTIFS(실시간콜입력!$B:$B,$A1109,실시간콜입력!$E:$E,"C",실시간콜입력!$H:$H,$B1109,실시간콜입력!$O:$O,"방문완료")</f>
        <v>0</v>
      </c>
      <c r="I1109" s="29">
        <f>COUNTIFS(실시간콜입력!$B:$B,$A1109,실시간콜입력!$E:$E,"D",실시간콜입력!$G:$G,$B1109,실시간콜입력!$O:$O,"방문완료")+COUNTIFS(실시간콜입력!$B:$B,$A1109,실시간콜입력!$E:$E,"D",실시간콜입력!$H:$H,$B1109,실시간콜입력!$O:$O,"방문완료")</f>
        <v>0</v>
      </c>
      <c r="J1109" s="29">
        <f>COUNTIFS(실시간콜입력!$B:$B,$A1109,실시간콜입력!$E:$E,"E",실시간콜입력!$G:$G,$B1109,실시간콜입력!$O:$O,"방문완료")+COUNTIFS(실시간콜입력!$B:$B,$A1109,실시간콜입력!$E:$E,"E",실시간콜입력!$H:$H,$B1109,실시간콜입력!$O:$O,"방문완료")</f>
        <v>0</v>
      </c>
      <c r="K1109" s="29">
        <f t="shared" si="149"/>
        <v>0</v>
      </c>
      <c r="L1109" s="27">
        <f>SUMIFS(실시간콜입력!$K:$K,실시간콜입력!$B:$B,$A1109,실시간콜입력!$G:$G,$B1109,실시간콜입력!$O:$O,"방문완료")+SUMIFS(실시간콜입력!$L:$L,실시간콜입력!$B:$B,$A1109,실시간콜입력!$H:$H,$B1109,실시간콜입력!$O:$O,"방문완료")</f>
        <v>0</v>
      </c>
      <c r="M1109" s="29" t="str">
        <f t="shared" si="150"/>
        <v/>
      </c>
      <c r="N1109" s="29"/>
    </row>
    <row r="1110" spans="1:14" ht="19.5" hidden="1" customHeight="1" outlineLevel="1">
      <c r="A1110" s="30">
        <f>IF(22&lt;=DAY(DATE(YEAR(설정_코스수당!$K$2),MONTH(설정_코스수당!$K$2)+1,0)),DATE(YEAR(설정_코스수당!$K$2),MONTH(설정_코스수당!$K$2),22),"")</f>
        <v>46195</v>
      </c>
      <c r="B1110" s="29" t="s">
        <v>174</v>
      </c>
      <c r="C1110" s="29"/>
      <c r="D1110" s="29"/>
      <c r="E1110" s="29" t="str">
        <f t="shared" si="148"/>
        <v/>
      </c>
      <c r="F1110" s="29">
        <f>COUNTIFS(실시간콜입력!$B:$B,$A1110,실시간콜입력!$E:$E,"A",실시간콜입력!$G:$G,$B1110,실시간콜입력!$O:$O,"방문완료")+COUNTIFS(실시간콜입력!$B:$B,$A1110,실시간콜입력!$E:$E,"A",실시간콜입력!$H:$H,$B1110,실시간콜입력!$O:$O,"방문완료")</f>
        <v>0</v>
      </c>
      <c r="G1110" s="29">
        <f>COUNTIFS(실시간콜입력!$B:$B,$A1110,실시간콜입력!$E:$E,"B",실시간콜입력!$G:$G,$B1110,실시간콜입력!$O:$O,"방문완료")+COUNTIFS(실시간콜입력!$B:$B,$A1110,실시간콜입력!$E:$E,"B",실시간콜입력!$H:$H,$B1110,실시간콜입력!$O:$O,"방문완료")</f>
        <v>0</v>
      </c>
      <c r="H1110" s="29">
        <f>COUNTIFS(실시간콜입력!$B:$B,$A1110,실시간콜입력!$E:$E,"C",실시간콜입력!$G:$G,$B1110,실시간콜입력!$O:$O,"방문완료")+COUNTIFS(실시간콜입력!$B:$B,$A1110,실시간콜입력!$E:$E,"C",실시간콜입력!$H:$H,$B1110,실시간콜입력!$O:$O,"방문완료")</f>
        <v>0</v>
      </c>
      <c r="I1110" s="29">
        <f>COUNTIFS(실시간콜입력!$B:$B,$A1110,실시간콜입력!$E:$E,"D",실시간콜입력!$G:$G,$B1110,실시간콜입력!$O:$O,"방문완료")+COUNTIFS(실시간콜입력!$B:$B,$A1110,실시간콜입력!$E:$E,"D",실시간콜입력!$H:$H,$B1110,실시간콜입력!$O:$O,"방문완료")</f>
        <v>0</v>
      </c>
      <c r="J1110" s="29">
        <f>COUNTIFS(실시간콜입력!$B:$B,$A1110,실시간콜입력!$E:$E,"E",실시간콜입력!$G:$G,$B1110,실시간콜입력!$O:$O,"방문완료")+COUNTIFS(실시간콜입력!$B:$B,$A1110,실시간콜입력!$E:$E,"E",실시간콜입력!$H:$H,$B1110,실시간콜입력!$O:$O,"방문완료")</f>
        <v>0</v>
      </c>
      <c r="K1110" s="29">
        <f t="shared" si="149"/>
        <v>0</v>
      </c>
      <c r="L1110" s="33">
        <f>SUMIFS(실시간콜입력!$K:$K,실시간콜입력!$B:$B,$A1110,실시간콜입력!$G:$G,$B1110,실시간콜입력!$O:$O,"방문완료")+SUMIFS(실시간콜입력!$L:$L,실시간콜입력!$B:$B,$A1110,실시간콜입력!$H:$H,$B1110,실시간콜입력!$O:$O,"방문완료")</f>
        <v>0</v>
      </c>
      <c r="M1110" s="29" t="str">
        <f t="shared" si="150"/>
        <v/>
      </c>
      <c r="N1110" s="29"/>
    </row>
    <row r="1111" spans="1:14" ht="19.5" hidden="1" customHeight="1" outlineLevel="1">
      <c r="A1111" s="24">
        <f>IF(22&lt;=DAY(DATE(YEAR(설정_코스수당!$K$2),MONTH(설정_코스수당!$K$2)+1,0)),DATE(YEAR(설정_코스수당!$K$2),MONTH(설정_코스수당!$K$2),22),"")</f>
        <v>46195</v>
      </c>
      <c r="B1111" s="23" t="s">
        <v>175</v>
      </c>
      <c r="C1111" s="29"/>
      <c r="D1111" s="29"/>
      <c r="E1111" s="29" t="str">
        <f t="shared" si="148"/>
        <v/>
      </c>
      <c r="F1111" s="29">
        <f>COUNTIFS(실시간콜입력!$B:$B,$A1111,실시간콜입력!$E:$E,"A",실시간콜입력!$G:$G,$B1111,실시간콜입력!$O:$O,"방문완료")+COUNTIFS(실시간콜입력!$B:$B,$A1111,실시간콜입력!$E:$E,"A",실시간콜입력!$H:$H,$B1111,실시간콜입력!$O:$O,"방문완료")</f>
        <v>0</v>
      </c>
      <c r="G1111" s="29">
        <f>COUNTIFS(실시간콜입력!$B:$B,$A1111,실시간콜입력!$E:$E,"B",실시간콜입력!$G:$G,$B1111,실시간콜입력!$O:$O,"방문완료")+COUNTIFS(실시간콜입력!$B:$B,$A1111,실시간콜입력!$E:$E,"B",실시간콜입력!$H:$H,$B1111,실시간콜입력!$O:$O,"방문완료")</f>
        <v>0</v>
      </c>
      <c r="H1111" s="29">
        <f>COUNTIFS(실시간콜입력!$B:$B,$A1111,실시간콜입력!$E:$E,"C",실시간콜입력!$G:$G,$B1111,실시간콜입력!$O:$O,"방문완료")+COUNTIFS(실시간콜입력!$B:$B,$A1111,실시간콜입력!$E:$E,"C",실시간콜입력!$H:$H,$B1111,실시간콜입력!$O:$O,"방문완료")</f>
        <v>0</v>
      </c>
      <c r="I1111" s="29">
        <f>COUNTIFS(실시간콜입력!$B:$B,$A1111,실시간콜입력!$E:$E,"D",실시간콜입력!$G:$G,$B1111,실시간콜입력!$O:$O,"방문완료")+COUNTIFS(실시간콜입력!$B:$B,$A1111,실시간콜입력!$E:$E,"D",실시간콜입력!$H:$H,$B1111,실시간콜입력!$O:$O,"방문완료")</f>
        <v>0</v>
      </c>
      <c r="J1111" s="29">
        <f>COUNTIFS(실시간콜입력!$B:$B,$A1111,실시간콜입력!$E:$E,"E",실시간콜입력!$G:$G,$B1111,실시간콜입력!$O:$O,"방문완료")+COUNTIFS(실시간콜입력!$B:$B,$A1111,실시간콜입력!$E:$E,"E",실시간콜입력!$H:$H,$B1111,실시간콜입력!$O:$O,"방문완료")</f>
        <v>0</v>
      </c>
      <c r="K1111" s="29">
        <f t="shared" si="149"/>
        <v>0</v>
      </c>
      <c r="L1111" s="27">
        <f>SUMIFS(실시간콜입력!$K:$K,실시간콜입력!$B:$B,$A1111,실시간콜입력!$G:$G,$B1111,실시간콜입력!$O:$O,"방문완료")+SUMIFS(실시간콜입력!$L:$L,실시간콜입력!$B:$B,$A1111,실시간콜입력!$H:$H,$B1111,실시간콜입력!$O:$O,"방문완료")</f>
        <v>0</v>
      </c>
      <c r="M1111" s="29" t="str">
        <f t="shared" si="150"/>
        <v/>
      </c>
      <c r="N1111" s="29"/>
    </row>
    <row r="1112" spans="1:14" ht="19.5" hidden="1" customHeight="1" outlineLevel="1">
      <c r="A1112" s="30">
        <f>IF(22&lt;=DAY(DATE(YEAR(설정_코스수당!$K$2),MONTH(설정_코스수당!$K$2)+1,0)),DATE(YEAR(설정_코스수당!$K$2),MONTH(설정_코스수당!$K$2),22),"")</f>
        <v>46195</v>
      </c>
      <c r="B1112" s="29" t="s">
        <v>176</v>
      </c>
      <c r="C1112" s="29"/>
      <c r="D1112" s="29"/>
      <c r="E1112" s="29" t="str">
        <f t="shared" si="148"/>
        <v/>
      </c>
      <c r="F1112" s="29">
        <f>COUNTIFS(실시간콜입력!$B:$B,$A1112,실시간콜입력!$E:$E,"A",실시간콜입력!$G:$G,$B1112,실시간콜입력!$O:$O,"방문완료")+COUNTIFS(실시간콜입력!$B:$B,$A1112,실시간콜입력!$E:$E,"A",실시간콜입력!$H:$H,$B1112,실시간콜입력!$O:$O,"방문완료")</f>
        <v>0</v>
      </c>
      <c r="G1112" s="29">
        <f>COUNTIFS(실시간콜입력!$B:$B,$A1112,실시간콜입력!$E:$E,"B",실시간콜입력!$G:$G,$B1112,실시간콜입력!$O:$O,"방문완료")+COUNTIFS(실시간콜입력!$B:$B,$A1112,실시간콜입력!$E:$E,"B",실시간콜입력!$H:$H,$B1112,실시간콜입력!$O:$O,"방문완료")</f>
        <v>0</v>
      </c>
      <c r="H1112" s="29">
        <f>COUNTIFS(실시간콜입력!$B:$B,$A1112,실시간콜입력!$E:$E,"C",실시간콜입력!$G:$G,$B1112,실시간콜입력!$O:$O,"방문완료")+COUNTIFS(실시간콜입력!$B:$B,$A1112,실시간콜입력!$E:$E,"C",실시간콜입력!$H:$H,$B1112,실시간콜입력!$O:$O,"방문완료")</f>
        <v>0</v>
      </c>
      <c r="I1112" s="29">
        <f>COUNTIFS(실시간콜입력!$B:$B,$A1112,실시간콜입력!$E:$E,"D",실시간콜입력!$G:$G,$B1112,실시간콜입력!$O:$O,"방문완료")+COUNTIFS(실시간콜입력!$B:$B,$A1112,실시간콜입력!$E:$E,"D",실시간콜입력!$H:$H,$B1112,실시간콜입력!$O:$O,"방문완료")</f>
        <v>0</v>
      </c>
      <c r="J1112" s="29">
        <f>COUNTIFS(실시간콜입력!$B:$B,$A1112,실시간콜입력!$E:$E,"E",실시간콜입력!$G:$G,$B1112,실시간콜입력!$O:$O,"방문완료")+COUNTIFS(실시간콜입력!$B:$B,$A1112,실시간콜입력!$E:$E,"E",실시간콜입력!$H:$H,$B1112,실시간콜입력!$O:$O,"방문완료")</f>
        <v>0</v>
      </c>
      <c r="K1112" s="29">
        <f t="shared" si="149"/>
        <v>0</v>
      </c>
      <c r="L1112" s="33">
        <f>SUMIFS(실시간콜입력!$K:$K,실시간콜입력!$B:$B,$A1112,실시간콜입력!$G:$G,$B1112,실시간콜입력!$O:$O,"방문완료")+SUMIFS(실시간콜입력!$L:$L,실시간콜입력!$B:$B,$A1112,실시간콜입력!$H:$H,$B1112,실시간콜입력!$O:$O,"방문완료")</f>
        <v>0</v>
      </c>
      <c r="M1112" s="29" t="str">
        <f t="shared" si="150"/>
        <v/>
      </c>
      <c r="N1112" s="29"/>
    </row>
    <row r="1113" spans="1:14" ht="19.5" hidden="1" customHeight="1" outlineLevel="1">
      <c r="A1113" s="24">
        <f>IF(22&lt;=DAY(DATE(YEAR(설정_코스수당!$K$2),MONTH(설정_코스수당!$K$2)+1,0)),DATE(YEAR(설정_코스수당!$K$2),MONTH(설정_코스수당!$K$2),22),"")</f>
        <v>46195</v>
      </c>
      <c r="B1113" s="23" t="s">
        <v>177</v>
      </c>
      <c r="C1113" s="29"/>
      <c r="D1113" s="29"/>
      <c r="E1113" s="29" t="str">
        <f t="shared" si="148"/>
        <v/>
      </c>
      <c r="F1113" s="29">
        <f>COUNTIFS(실시간콜입력!$B:$B,$A1113,실시간콜입력!$E:$E,"A",실시간콜입력!$G:$G,$B1113,실시간콜입력!$O:$O,"방문완료")+COUNTIFS(실시간콜입력!$B:$B,$A1113,실시간콜입력!$E:$E,"A",실시간콜입력!$H:$H,$B1113,실시간콜입력!$O:$O,"방문완료")</f>
        <v>0</v>
      </c>
      <c r="G1113" s="29">
        <f>COUNTIFS(실시간콜입력!$B:$B,$A1113,실시간콜입력!$E:$E,"B",실시간콜입력!$G:$G,$B1113,실시간콜입력!$O:$O,"방문완료")+COUNTIFS(실시간콜입력!$B:$B,$A1113,실시간콜입력!$E:$E,"B",실시간콜입력!$H:$H,$B1113,실시간콜입력!$O:$O,"방문완료")</f>
        <v>0</v>
      </c>
      <c r="H1113" s="29">
        <f>COUNTIFS(실시간콜입력!$B:$B,$A1113,실시간콜입력!$E:$E,"C",실시간콜입력!$G:$G,$B1113,실시간콜입력!$O:$O,"방문완료")+COUNTIFS(실시간콜입력!$B:$B,$A1113,실시간콜입력!$E:$E,"C",실시간콜입력!$H:$H,$B1113,실시간콜입력!$O:$O,"방문완료")</f>
        <v>0</v>
      </c>
      <c r="I1113" s="29">
        <f>COUNTIFS(실시간콜입력!$B:$B,$A1113,실시간콜입력!$E:$E,"D",실시간콜입력!$G:$G,$B1113,실시간콜입력!$O:$O,"방문완료")+COUNTIFS(실시간콜입력!$B:$B,$A1113,실시간콜입력!$E:$E,"D",실시간콜입력!$H:$H,$B1113,실시간콜입력!$O:$O,"방문완료")</f>
        <v>0</v>
      </c>
      <c r="J1113" s="29">
        <f>COUNTIFS(실시간콜입력!$B:$B,$A1113,실시간콜입력!$E:$E,"E",실시간콜입력!$G:$G,$B1113,실시간콜입력!$O:$O,"방문완료")+COUNTIFS(실시간콜입력!$B:$B,$A1113,실시간콜입력!$E:$E,"E",실시간콜입력!$H:$H,$B1113,실시간콜입력!$O:$O,"방문완료")</f>
        <v>0</v>
      </c>
      <c r="K1113" s="29">
        <f t="shared" si="149"/>
        <v>0</v>
      </c>
      <c r="L1113" s="27">
        <f>SUMIFS(실시간콜입력!$K:$K,실시간콜입력!$B:$B,$A1113,실시간콜입력!$G:$G,$B1113,실시간콜입력!$O:$O,"방문완료")+SUMIFS(실시간콜입력!$L:$L,실시간콜입력!$B:$B,$A1113,실시간콜입력!$H:$H,$B1113,실시간콜입력!$O:$O,"방문완료")</f>
        <v>0</v>
      </c>
      <c r="M1113" s="29" t="str">
        <f t="shared" si="150"/>
        <v/>
      </c>
      <c r="N1113" s="29"/>
    </row>
    <row r="1114" spans="1:14" ht="19.5" hidden="1" customHeight="1" outlineLevel="1">
      <c r="A1114" s="30">
        <f>IF(22&lt;=DAY(DATE(YEAR(설정_코스수당!$K$2),MONTH(설정_코스수당!$K$2)+1,0)),DATE(YEAR(설정_코스수당!$K$2),MONTH(설정_코스수당!$K$2),22),"")</f>
        <v>46195</v>
      </c>
      <c r="B1114" s="29" t="s">
        <v>178</v>
      </c>
      <c r="C1114" s="29"/>
      <c r="D1114" s="29"/>
      <c r="E1114" s="29" t="str">
        <f t="shared" si="148"/>
        <v/>
      </c>
      <c r="F1114" s="29">
        <f>COUNTIFS(실시간콜입력!$B:$B,$A1114,실시간콜입력!$E:$E,"A",실시간콜입력!$G:$G,$B1114,실시간콜입력!$O:$O,"방문완료")+COUNTIFS(실시간콜입력!$B:$B,$A1114,실시간콜입력!$E:$E,"A",실시간콜입력!$H:$H,$B1114,실시간콜입력!$O:$O,"방문완료")</f>
        <v>0</v>
      </c>
      <c r="G1114" s="29">
        <f>COUNTIFS(실시간콜입력!$B:$B,$A1114,실시간콜입력!$E:$E,"B",실시간콜입력!$G:$G,$B1114,실시간콜입력!$O:$O,"방문완료")+COUNTIFS(실시간콜입력!$B:$B,$A1114,실시간콜입력!$E:$E,"B",실시간콜입력!$H:$H,$B1114,실시간콜입력!$O:$O,"방문완료")</f>
        <v>0</v>
      </c>
      <c r="H1114" s="29">
        <f>COUNTIFS(실시간콜입력!$B:$B,$A1114,실시간콜입력!$E:$E,"C",실시간콜입력!$G:$G,$B1114,실시간콜입력!$O:$O,"방문완료")+COUNTIFS(실시간콜입력!$B:$B,$A1114,실시간콜입력!$E:$E,"C",실시간콜입력!$H:$H,$B1114,실시간콜입력!$O:$O,"방문완료")</f>
        <v>0</v>
      </c>
      <c r="I1114" s="29">
        <f>COUNTIFS(실시간콜입력!$B:$B,$A1114,실시간콜입력!$E:$E,"D",실시간콜입력!$G:$G,$B1114,실시간콜입력!$O:$O,"방문완료")+COUNTIFS(실시간콜입력!$B:$B,$A1114,실시간콜입력!$E:$E,"D",실시간콜입력!$H:$H,$B1114,실시간콜입력!$O:$O,"방문완료")</f>
        <v>0</v>
      </c>
      <c r="J1114" s="29">
        <f>COUNTIFS(실시간콜입력!$B:$B,$A1114,실시간콜입력!$E:$E,"E",실시간콜입력!$G:$G,$B1114,실시간콜입력!$O:$O,"방문완료")+COUNTIFS(실시간콜입력!$B:$B,$A1114,실시간콜입력!$E:$E,"E",실시간콜입력!$H:$H,$B1114,실시간콜입력!$O:$O,"방문완료")</f>
        <v>0</v>
      </c>
      <c r="K1114" s="29">
        <f t="shared" si="149"/>
        <v>0</v>
      </c>
      <c r="L1114" s="33">
        <f>SUMIFS(실시간콜입력!$K:$K,실시간콜입력!$B:$B,$A1114,실시간콜입력!$G:$G,$B1114,실시간콜입력!$O:$O,"방문완료")+SUMIFS(실시간콜입력!$L:$L,실시간콜입력!$B:$B,$A1114,실시간콜입력!$H:$H,$B1114,실시간콜입력!$O:$O,"방문완료")</f>
        <v>0</v>
      </c>
      <c r="M1114" s="29" t="str">
        <f t="shared" si="150"/>
        <v/>
      </c>
      <c r="N1114" s="29"/>
    </row>
    <row r="1115" spans="1:14" ht="19.5" hidden="1" customHeight="1" outlineLevel="1">
      <c r="A1115" s="24">
        <f>IF(22&lt;=DAY(DATE(YEAR(설정_코스수당!$K$2),MONTH(설정_코스수당!$K$2)+1,0)),DATE(YEAR(설정_코스수당!$K$2),MONTH(설정_코스수당!$K$2),22),"")</f>
        <v>46195</v>
      </c>
      <c r="B1115" s="23" t="s">
        <v>179</v>
      </c>
      <c r="C1115" s="29"/>
      <c r="D1115" s="29"/>
      <c r="E1115" s="29" t="str">
        <f t="shared" si="148"/>
        <v/>
      </c>
      <c r="F1115" s="29">
        <f>COUNTIFS(실시간콜입력!$B:$B,$A1115,실시간콜입력!$E:$E,"A",실시간콜입력!$G:$G,$B1115,실시간콜입력!$O:$O,"방문완료")+COUNTIFS(실시간콜입력!$B:$B,$A1115,실시간콜입력!$E:$E,"A",실시간콜입력!$H:$H,$B1115,실시간콜입력!$O:$O,"방문완료")</f>
        <v>0</v>
      </c>
      <c r="G1115" s="29">
        <f>COUNTIFS(실시간콜입력!$B:$B,$A1115,실시간콜입력!$E:$E,"B",실시간콜입력!$G:$G,$B1115,실시간콜입력!$O:$O,"방문완료")+COUNTIFS(실시간콜입력!$B:$B,$A1115,실시간콜입력!$E:$E,"B",실시간콜입력!$H:$H,$B1115,실시간콜입력!$O:$O,"방문완료")</f>
        <v>0</v>
      </c>
      <c r="H1115" s="29">
        <f>COUNTIFS(실시간콜입력!$B:$B,$A1115,실시간콜입력!$E:$E,"C",실시간콜입력!$G:$G,$B1115,실시간콜입력!$O:$O,"방문완료")+COUNTIFS(실시간콜입력!$B:$B,$A1115,실시간콜입력!$E:$E,"C",실시간콜입력!$H:$H,$B1115,실시간콜입력!$O:$O,"방문완료")</f>
        <v>0</v>
      </c>
      <c r="I1115" s="29">
        <f>COUNTIFS(실시간콜입력!$B:$B,$A1115,실시간콜입력!$E:$E,"D",실시간콜입력!$G:$G,$B1115,실시간콜입력!$O:$O,"방문완료")+COUNTIFS(실시간콜입력!$B:$B,$A1115,실시간콜입력!$E:$E,"D",실시간콜입력!$H:$H,$B1115,실시간콜입력!$O:$O,"방문완료")</f>
        <v>0</v>
      </c>
      <c r="J1115" s="29">
        <f>COUNTIFS(실시간콜입력!$B:$B,$A1115,실시간콜입력!$E:$E,"E",실시간콜입력!$G:$G,$B1115,실시간콜입력!$O:$O,"방문완료")+COUNTIFS(실시간콜입력!$B:$B,$A1115,실시간콜입력!$E:$E,"E",실시간콜입력!$H:$H,$B1115,실시간콜입력!$O:$O,"방문완료")</f>
        <v>0</v>
      </c>
      <c r="K1115" s="29">
        <f t="shared" si="149"/>
        <v>0</v>
      </c>
      <c r="L1115" s="27">
        <f>SUMIFS(실시간콜입력!$K:$K,실시간콜입력!$B:$B,$A1115,실시간콜입력!$G:$G,$B1115,실시간콜입력!$O:$O,"방문완료")+SUMIFS(실시간콜입력!$L:$L,실시간콜입력!$B:$B,$A1115,실시간콜입력!$H:$H,$B1115,실시간콜입력!$O:$O,"방문완료")</f>
        <v>0</v>
      </c>
      <c r="M1115" s="29" t="str">
        <f t="shared" si="150"/>
        <v/>
      </c>
      <c r="N1115" s="29"/>
    </row>
    <row r="1116" spans="1:14" ht="19.5" hidden="1" customHeight="1" outlineLevel="1">
      <c r="A1116" s="30">
        <f>IF(22&lt;=DAY(DATE(YEAR(설정_코스수당!$K$2),MONTH(설정_코스수당!$K$2)+1,0)),DATE(YEAR(설정_코스수당!$K$2),MONTH(설정_코스수당!$K$2),22),"")</f>
        <v>46195</v>
      </c>
      <c r="B1116" s="29" t="s">
        <v>180</v>
      </c>
      <c r="C1116" s="29"/>
      <c r="D1116" s="29"/>
      <c r="E1116" s="29" t="str">
        <f t="shared" si="148"/>
        <v/>
      </c>
      <c r="F1116" s="29">
        <f>COUNTIFS(실시간콜입력!$B:$B,$A1116,실시간콜입력!$E:$E,"A",실시간콜입력!$G:$G,$B1116,실시간콜입력!$O:$O,"방문완료")+COUNTIFS(실시간콜입력!$B:$B,$A1116,실시간콜입력!$E:$E,"A",실시간콜입력!$H:$H,$B1116,실시간콜입력!$O:$O,"방문완료")</f>
        <v>0</v>
      </c>
      <c r="G1116" s="29">
        <f>COUNTIFS(실시간콜입력!$B:$B,$A1116,실시간콜입력!$E:$E,"B",실시간콜입력!$G:$G,$B1116,실시간콜입력!$O:$O,"방문완료")+COUNTIFS(실시간콜입력!$B:$B,$A1116,실시간콜입력!$E:$E,"B",실시간콜입력!$H:$H,$B1116,실시간콜입력!$O:$O,"방문완료")</f>
        <v>0</v>
      </c>
      <c r="H1116" s="29">
        <f>COUNTIFS(실시간콜입력!$B:$B,$A1116,실시간콜입력!$E:$E,"C",실시간콜입력!$G:$G,$B1116,실시간콜입력!$O:$O,"방문완료")+COUNTIFS(실시간콜입력!$B:$B,$A1116,실시간콜입력!$E:$E,"C",실시간콜입력!$H:$H,$B1116,실시간콜입력!$O:$O,"방문완료")</f>
        <v>0</v>
      </c>
      <c r="I1116" s="29">
        <f>COUNTIFS(실시간콜입력!$B:$B,$A1116,실시간콜입력!$E:$E,"D",실시간콜입력!$G:$G,$B1116,실시간콜입력!$O:$O,"방문완료")+COUNTIFS(실시간콜입력!$B:$B,$A1116,실시간콜입력!$E:$E,"D",실시간콜입력!$H:$H,$B1116,실시간콜입력!$O:$O,"방문완료")</f>
        <v>0</v>
      </c>
      <c r="J1116" s="29">
        <f>COUNTIFS(실시간콜입력!$B:$B,$A1116,실시간콜입력!$E:$E,"E",실시간콜입력!$G:$G,$B1116,실시간콜입력!$O:$O,"방문완료")+COUNTIFS(실시간콜입력!$B:$B,$A1116,실시간콜입력!$E:$E,"E",실시간콜입력!$H:$H,$B1116,실시간콜입력!$O:$O,"방문완료")</f>
        <v>0</v>
      </c>
      <c r="K1116" s="29">
        <f t="shared" si="149"/>
        <v>0</v>
      </c>
      <c r="L1116" s="33">
        <f>SUMIFS(실시간콜입력!$K:$K,실시간콜입력!$B:$B,$A1116,실시간콜입력!$G:$G,$B1116,실시간콜입력!$O:$O,"방문완료")+SUMIFS(실시간콜입력!$L:$L,실시간콜입력!$B:$B,$A1116,실시간콜입력!$H:$H,$B1116,실시간콜입력!$O:$O,"방문완료")</f>
        <v>0</v>
      </c>
      <c r="M1116" s="29" t="str">
        <f t="shared" si="150"/>
        <v/>
      </c>
      <c r="N1116" s="29"/>
    </row>
    <row r="1117" spans="1:14" ht="19.5" hidden="1" customHeight="1" outlineLevel="1">
      <c r="A1117" s="24">
        <f>IF(22&lt;=DAY(DATE(YEAR(설정_코스수당!$K$2),MONTH(설정_코스수당!$K$2)+1,0)),DATE(YEAR(설정_코스수당!$K$2),MONTH(설정_코스수당!$K$2),22),"")</f>
        <v>46195</v>
      </c>
      <c r="B1117" s="23" t="s">
        <v>181</v>
      </c>
      <c r="C1117" s="29"/>
      <c r="D1117" s="29"/>
      <c r="E1117" s="29" t="str">
        <f t="shared" si="148"/>
        <v/>
      </c>
      <c r="F1117" s="29">
        <f>COUNTIFS(실시간콜입력!$B:$B,$A1117,실시간콜입력!$E:$E,"A",실시간콜입력!$G:$G,$B1117,실시간콜입력!$O:$O,"방문완료")+COUNTIFS(실시간콜입력!$B:$B,$A1117,실시간콜입력!$E:$E,"A",실시간콜입력!$H:$H,$B1117,실시간콜입력!$O:$O,"방문완료")</f>
        <v>0</v>
      </c>
      <c r="G1117" s="29">
        <f>COUNTIFS(실시간콜입력!$B:$B,$A1117,실시간콜입력!$E:$E,"B",실시간콜입력!$G:$G,$B1117,실시간콜입력!$O:$O,"방문완료")+COUNTIFS(실시간콜입력!$B:$B,$A1117,실시간콜입력!$E:$E,"B",실시간콜입력!$H:$H,$B1117,실시간콜입력!$O:$O,"방문완료")</f>
        <v>0</v>
      </c>
      <c r="H1117" s="29">
        <f>COUNTIFS(실시간콜입력!$B:$B,$A1117,실시간콜입력!$E:$E,"C",실시간콜입력!$G:$G,$B1117,실시간콜입력!$O:$O,"방문완료")+COUNTIFS(실시간콜입력!$B:$B,$A1117,실시간콜입력!$E:$E,"C",실시간콜입력!$H:$H,$B1117,실시간콜입력!$O:$O,"방문완료")</f>
        <v>0</v>
      </c>
      <c r="I1117" s="29">
        <f>COUNTIFS(실시간콜입력!$B:$B,$A1117,실시간콜입력!$E:$E,"D",실시간콜입력!$G:$G,$B1117,실시간콜입력!$O:$O,"방문완료")+COUNTIFS(실시간콜입력!$B:$B,$A1117,실시간콜입력!$E:$E,"D",실시간콜입력!$H:$H,$B1117,실시간콜입력!$O:$O,"방문완료")</f>
        <v>0</v>
      </c>
      <c r="J1117" s="29">
        <f>COUNTIFS(실시간콜입력!$B:$B,$A1117,실시간콜입력!$E:$E,"E",실시간콜입력!$G:$G,$B1117,실시간콜입력!$O:$O,"방문완료")+COUNTIFS(실시간콜입력!$B:$B,$A1117,실시간콜입력!$E:$E,"E",실시간콜입력!$H:$H,$B1117,실시간콜입력!$O:$O,"방문완료")</f>
        <v>0</v>
      </c>
      <c r="K1117" s="29">
        <f t="shared" si="149"/>
        <v>0</v>
      </c>
      <c r="L1117" s="27">
        <f>SUMIFS(실시간콜입력!$K:$K,실시간콜입력!$B:$B,$A1117,실시간콜입력!$G:$G,$B1117,실시간콜입력!$O:$O,"방문완료")+SUMIFS(실시간콜입력!$L:$L,실시간콜입력!$B:$B,$A1117,실시간콜입력!$H:$H,$B1117,실시간콜입력!$O:$O,"방문완료")</f>
        <v>0</v>
      </c>
      <c r="M1117" s="29" t="str">
        <f t="shared" si="150"/>
        <v/>
      </c>
      <c r="N1117" s="29"/>
    </row>
    <row r="1118" spans="1:14" ht="19.5" hidden="1" customHeight="1" outlineLevel="1">
      <c r="A1118" s="30">
        <f>IF(22&lt;=DAY(DATE(YEAR(설정_코스수당!$K$2),MONTH(설정_코스수당!$K$2)+1,0)),DATE(YEAR(설정_코스수당!$K$2),MONTH(설정_코스수당!$K$2),22),"")</f>
        <v>46195</v>
      </c>
      <c r="B1118" s="29" t="s">
        <v>182</v>
      </c>
      <c r="C1118" s="29"/>
      <c r="D1118" s="29"/>
      <c r="E1118" s="29" t="str">
        <f t="shared" si="148"/>
        <v/>
      </c>
      <c r="F1118" s="29">
        <f>COUNTIFS(실시간콜입력!$B:$B,$A1118,실시간콜입력!$E:$E,"A",실시간콜입력!$G:$G,$B1118,실시간콜입력!$O:$O,"방문완료")+COUNTIFS(실시간콜입력!$B:$B,$A1118,실시간콜입력!$E:$E,"A",실시간콜입력!$H:$H,$B1118,실시간콜입력!$O:$O,"방문완료")</f>
        <v>0</v>
      </c>
      <c r="G1118" s="29">
        <f>COUNTIFS(실시간콜입력!$B:$B,$A1118,실시간콜입력!$E:$E,"B",실시간콜입력!$G:$G,$B1118,실시간콜입력!$O:$O,"방문완료")+COUNTIFS(실시간콜입력!$B:$B,$A1118,실시간콜입력!$E:$E,"B",실시간콜입력!$H:$H,$B1118,실시간콜입력!$O:$O,"방문완료")</f>
        <v>0</v>
      </c>
      <c r="H1118" s="29">
        <f>COUNTIFS(실시간콜입력!$B:$B,$A1118,실시간콜입력!$E:$E,"C",실시간콜입력!$G:$G,$B1118,실시간콜입력!$O:$O,"방문완료")+COUNTIFS(실시간콜입력!$B:$B,$A1118,실시간콜입력!$E:$E,"C",실시간콜입력!$H:$H,$B1118,실시간콜입력!$O:$O,"방문완료")</f>
        <v>0</v>
      </c>
      <c r="I1118" s="29">
        <f>COUNTIFS(실시간콜입력!$B:$B,$A1118,실시간콜입력!$E:$E,"D",실시간콜입력!$G:$G,$B1118,실시간콜입력!$O:$O,"방문완료")+COUNTIFS(실시간콜입력!$B:$B,$A1118,실시간콜입력!$E:$E,"D",실시간콜입력!$H:$H,$B1118,실시간콜입력!$O:$O,"방문완료")</f>
        <v>0</v>
      </c>
      <c r="J1118" s="29">
        <f>COUNTIFS(실시간콜입력!$B:$B,$A1118,실시간콜입력!$E:$E,"E",실시간콜입력!$G:$G,$B1118,실시간콜입력!$O:$O,"방문완료")+COUNTIFS(실시간콜입력!$B:$B,$A1118,실시간콜입력!$E:$E,"E",실시간콜입력!$H:$H,$B1118,실시간콜입력!$O:$O,"방문완료")</f>
        <v>0</v>
      </c>
      <c r="K1118" s="29">
        <f t="shared" si="149"/>
        <v>0</v>
      </c>
      <c r="L1118" s="33">
        <f>SUMIFS(실시간콜입력!$K:$K,실시간콜입력!$B:$B,$A1118,실시간콜입력!$G:$G,$B1118,실시간콜입력!$O:$O,"방문완료")+SUMIFS(실시간콜입력!$L:$L,실시간콜입력!$B:$B,$A1118,실시간콜입력!$H:$H,$B1118,실시간콜입력!$O:$O,"방문완료")</f>
        <v>0</v>
      </c>
      <c r="M1118" s="29" t="str">
        <f t="shared" si="150"/>
        <v/>
      </c>
      <c r="N1118" s="29"/>
    </row>
    <row r="1119" spans="1:14" ht="19.5" hidden="1" customHeight="1" outlineLevel="1">
      <c r="A1119" s="24">
        <f>IF(22&lt;=DAY(DATE(YEAR(설정_코스수당!$K$2),MONTH(설정_코스수당!$K$2)+1,0)),DATE(YEAR(설정_코스수당!$K$2),MONTH(설정_코스수당!$K$2),22),"")</f>
        <v>46195</v>
      </c>
      <c r="B1119" s="23" t="s">
        <v>183</v>
      </c>
      <c r="C1119" s="29"/>
      <c r="D1119" s="29"/>
      <c r="E1119" s="29" t="str">
        <f t="shared" si="148"/>
        <v/>
      </c>
      <c r="F1119" s="29">
        <f>COUNTIFS(실시간콜입력!$B:$B,$A1119,실시간콜입력!$E:$E,"A",실시간콜입력!$G:$G,$B1119,실시간콜입력!$O:$O,"방문완료")+COUNTIFS(실시간콜입력!$B:$B,$A1119,실시간콜입력!$E:$E,"A",실시간콜입력!$H:$H,$B1119,실시간콜입력!$O:$O,"방문완료")</f>
        <v>0</v>
      </c>
      <c r="G1119" s="29">
        <f>COUNTIFS(실시간콜입력!$B:$B,$A1119,실시간콜입력!$E:$E,"B",실시간콜입력!$G:$G,$B1119,실시간콜입력!$O:$O,"방문완료")+COUNTIFS(실시간콜입력!$B:$B,$A1119,실시간콜입력!$E:$E,"B",실시간콜입력!$H:$H,$B1119,실시간콜입력!$O:$O,"방문완료")</f>
        <v>0</v>
      </c>
      <c r="H1119" s="29">
        <f>COUNTIFS(실시간콜입력!$B:$B,$A1119,실시간콜입력!$E:$E,"C",실시간콜입력!$G:$G,$B1119,실시간콜입력!$O:$O,"방문완료")+COUNTIFS(실시간콜입력!$B:$B,$A1119,실시간콜입력!$E:$E,"C",실시간콜입력!$H:$H,$B1119,실시간콜입력!$O:$O,"방문완료")</f>
        <v>0</v>
      </c>
      <c r="I1119" s="29">
        <f>COUNTIFS(실시간콜입력!$B:$B,$A1119,실시간콜입력!$E:$E,"D",실시간콜입력!$G:$G,$B1119,실시간콜입력!$O:$O,"방문완료")+COUNTIFS(실시간콜입력!$B:$B,$A1119,실시간콜입력!$E:$E,"D",실시간콜입력!$H:$H,$B1119,실시간콜입력!$O:$O,"방문완료")</f>
        <v>0</v>
      </c>
      <c r="J1119" s="29">
        <f>COUNTIFS(실시간콜입력!$B:$B,$A1119,실시간콜입력!$E:$E,"E",실시간콜입력!$G:$G,$B1119,실시간콜입력!$O:$O,"방문완료")+COUNTIFS(실시간콜입력!$B:$B,$A1119,실시간콜입력!$E:$E,"E",실시간콜입력!$H:$H,$B1119,실시간콜입력!$O:$O,"방문완료")</f>
        <v>0</v>
      </c>
      <c r="K1119" s="29">
        <f t="shared" si="149"/>
        <v>0</v>
      </c>
      <c r="L1119" s="27">
        <f>SUMIFS(실시간콜입력!$K:$K,실시간콜입력!$B:$B,$A1119,실시간콜입력!$G:$G,$B1119,실시간콜입력!$O:$O,"방문완료")+SUMIFS(실시간콜입력!$L:$L,실시간콜입력!$B:$B,$A1119,실시간콜입력!$H:$H,$B1119,실시간콜입력!$O:$O,"방문완료")</f>
        <v>0</v>
      </c>
      <c r="M1119" s="29" t="str">
        <f t="shared" si="150"/>
        <v/>
      </c>
      <c r="N1119" s="29"/>
    </row>
    <row r="1120" spans="1:14" ht="19.5" hidden="1" customHeight="1" outlineLevel="1">
      <c r="A1120" s="30">
        <f>IF(22&lt;=DAY(DATE(YEAR(설정_코스수당!$K$2),MONTH(설정_코스수당!$K$2)+1,0)),DATE(YEAR(설정_코스수당!$K$2),MONTH(설정_코스수당!$K$2),22),"")</f>
        <v>46195</v>
      </c>
      <c r="B1120" s="29" t="s">
        <v>184</v>
      </c>
      <c r="C1120" s="29"/>
      <c r="D1120" s="29"/>
      <c r="E1120" s="29" t="str">
        <f t="shared" si="148"/>
        <v/>
      </c>
      <c r="F1120" s="29">
        <f>COUNTIFS(실시간콜입력!$B:$B,$A1120,실시간콜입력!$E:$E,"A",실시간콜입력!$G:$G,$B1120,실시간콜입력!$O:$O,"방문완료")+COUNTIFS(실시간콜입력!$B:$B,$A1120,실시간콜입력!$E:$E,"A",실시간콜입력!$H:$H,$B1120,실시간콜입력!$O:$O,"방문완료")</f>
        <v>0</v>
      </c>
      <c r="G1120" s="29">
        <f>COUNTIFS(실시간콜입력!$B:$B,$A1120,실시간콜입력!$E:$E,"B",실시간콜입력!$G:$G,$B1120,실시간콜입력!$O:$O,"방문완료")+COUNTIFS(실시간콜입력!$B:$B,$A1120,실시간콜입력!$E:$E,"B",실시간콜입력!$H:$H,$B1120,실시간콜입력!$O:$O,"방문완료")</f>
        <v>0</v>
      </c>
      <c r="H1120" s="29">
        <f>COUNTIFS(실시간콜입력!$B:$B,$A1120,실시간콜입력!$E:$E,"C",실시간콜입력!$G:$G,$B1120,실시간콜입력!$O:$O,"방문완료")+COUNTIFS(실시간콜입력!$B:$B,$A1120,실시간콜입력!$E:$E,"C",실시간콜입력!$H:$H,$B1120,실시간콜입력!$O:$O,"방문완료")</f>
        <v>0</v>
      </c>
      <c r="I1120" s="29">
        <f>COUNTIFS(실시간콜입력!$B:$B,$A1120,실시간콜입력!$E:$E,"D",실시간콜입력!$G:$G,$B1120,실시간콜입력!$O:$O,"방문완료")+COUNTIFS(실시간콜입력!$B:$B,$A1120,실시간콜입력!$E:$E,"D",실시간콜입력!$H:$H,$B1120,실시간콜입력!$O:$O,"방문완료")</f>
        <v>0</v>
      </c>
      <c r="J1120" s="29">
        <f>COUNTIFS(실시간콜입력!$B:$B,$A1120,실시간콜입력!$E:$E,"E",실시간콜입력!$G:$G,$B1120,실시간콜입력!$O:$O,"방문완료")+COUNTIFS(실시간콜입력!$B:$B,$A1120,실시간콜입력!$E:$E,"E",실시간콜입력!$H:$H,$B1120,실시간콜입력!$O:$O,"방문완료")</f>
        <v>0</v>
      </c>
      <c r="K1120" s="29">
        <f t="shared" si="149"/>
        <v>0</v>
      </c>
      <c r="L1120" s="33">
        <f>SUMIFS(실시간콜입력!$K:$K,실시간콜입력!$B:$B,$A1120,실시간콜입력!$G:$G,$B1120,실시간콜입력!$O:$O,"방문완료")+SUMIFS(실시간콜입력!$L:$L,실시간콜입력!$B:$B,$A1120,실시간콜입력!$H:$H,$B1120,실시간콜입력!$O:$O,"방문완료")</f>
        <v>0</v>
      </c>
      <c r="M1120" s="29" t="str">
        <f t="shared" si="150"/>
        <v/>
      </c>
      <c r="N1120" s="29"/>
    </row>
    <row r="1121" spans="1:14" ht="19.5" hidden="1" customHeight="1" outlineLevel="1">
      <c r="A1121" s="24">
        <f>IF(22&lt;=DAY(DATE(YEAR(설정_코스수당!$K$2),MONTH(설정_코스수당!$K$2)+1,0)),DATE(YEAR(설정_코스수당!$K$2),MONTH(설정_코스수당!$K$2),22),"")</f>
        <v>46195</v>
      </c>
      <c r="B1121" s="23" t="s">
        <v>185</v>
      </c>
      <c r="C1121" s="29"/>
      <c r="D1121" s="29"/>
      <c r="E1121" s="29" t="str">
        <f t="shared" si="148"/>
        <v/>
      </c>
      <c r="F1121" s="29">
        <f>COUNTIFS(실시간콜입력!$B:$B,$A1121,실시간콜입력!$E:$E,"A",실시간콜입력!$G:$G,$B1121,실시간콜입력!$O:$O,"방문완료")+COUNTIFS(실시간콜입력!$B:$B,$A1121,실시간콜입력!$E:$E,"A",실시간콜입력!$H:$H,$B1121,실시간콜입력!$O:$O,"방문완료")</f>
        <v>0</v>
      </c>
      <c r="G1121" s="29">
        <f>COUNTIFS(실시간콜입력!$B:$B,$A1121,실시간콜입력!$E:$E,"B",실시간콜입력!$G:$G,$B1121,실시간콜입력!$O:$O,"방문완료")+COUNTIFS(실시간콜입력!$B:$B,$A1121,실시간콜입력!$E:$E,"B",실시간콜입력!$H:$H,$B1121,실시간콜입력!$O:$O,"방문완료")</f>
        <v>0</v>
      </c>
      <c r="H1121" s="29">
        <f>COUNTIFS(실시간콜입력!$B:$B,$A1121,실시간콜입력!$E:$E,"C",실시간콜입력!$G:$G,$B1121,실시간콜입력!$O:$O,"방문완료")+COUNTIFS(실시간콜입력!$B:$B,$A1121,실시간콜입력!$E:$E,"C",실시간콜입력!$H:$H,$B1121,실시간콜입력!$O:$O,"방문완료")</f>
        <v>0</v>
      </c>
      <c r="I1121" s="29">
        <f>COUNTIFS(실시간콜입력!$B:$B,$A1121,실시간콜입력!$E:$E,"D",실시간콜입력!$G:$G,$B1121,실시간콜입력!$O:$O,"방문완료")+COUNTIFS(실시간콜입력!$B:$B,$A1121,실시간콜입력!$E:$E,"D",실시간콜입력!$H:$H,$B1121,실시간콜입력!$O:$O,"방문완료")</f>
        <v>0</v>
      </c>
      <c r="J1121" s="29">
        <f>COUNTIFS(실시간콜입력!$B:$B,$A1121,실시간콜입력!$E:$E,"E",실시간콜입력!$G:$G,$B1121,실시간콜입력!$O:$O,"방문완료")+COUNTIFS(실시간콜입력!$B:$B,$A1121,실시간콜입력!$E:$E,"E",실시간콜입력!$H:$H,$B1121,실시간콜입력!$O:$O,"방문완료")</f>
        <v>0</v>
      </c>
      <c r="K1121" s="29">
        <f t="shared" si="149"/>
        <v>0</v>
      </c>
      <c r="L1121" s="27">
        <f>SUMIFS(실시간콜입력!$K:$K,실시간콜입력!$B:$B,$A1121,실시간콜입력!$G:$G,$B1121,실시간콜입력!$O:$O,"방문완료")+SUMIFS(실시간콜입력!$L:$L,실시간콜입력!$B:$B,$A1121,실시간콜입력!$H:$H,$B1121,실시간콜입력!$O:$O,"방문완료")</f>
        <v>0</v>
      </c>
      <c r="M1121" s="29" t="str">
        <f t="shared" si="150"/>
        <v/>
      </c>
      <c r="N1121" s="29"/>
    </row>
    <row r="1122" spans="1:14" ht="19.5" hidden="1" customHeight="1" outlineLevel="1">
      <c r="A1122" s="30">
        <f>IF(22&lt;=DAY(DATE(YEAR(설정_코스수당!$K$2),MONTH(설정_코스수당!$K$2)+1,0)),DATE(YEAR(설정_코스수당!$K$2),MONTH(설정_코스수당!$K$2),22),"")</f>
        <v>46195</v>
      </c>
      <c r="B1122" s="29" t="s">
        <v>186</v>
      </c>
      <c r="C1122" s="29"/>
      <c r="D1122" s="29"/>
      <c r="E1122" s="29" t="str">
        <f t="shared" si="148"/>
        <v/>
      </c>
      <c r="F1122" s="29">
        <f>COUNTIFS(실시간콜입력!$B:$B,$A1122,실시간콜입력!$E:$E,"A",실시간콜입력!$G:$G,$B1122,실시간콜입력!$O:$O,"방문완료")+COUNTIFS(실시간콜입력!$B:$B,$A1122,실시간콜입력!$E:$E,"A",실시간콜입력!$H:$H,$B1122,실시간콜입력!$O:$O,"방문완료")</f>
        <v>0</v>
      </c>
      <c r="G1122" s="29">
        <f>COUNTIFS(실시간콜입력!$B:$B,$A1122,실시간콜입력!$E:$E,"B",실시간콜입력!$G:$G,$B1122,실시간콜입력!$O:$O,"방문완료")+COUNTIFS(실시간콜입력!$B:$B,$A1122,실시간콜입력!$E:$E,"B",실시간콜입력!$H:$H,$B1122,실시간콜입력!$O:$O,"방문완료")</f>
        <v>0</v>
      </c>
      <c r="H1122" s="29">
        <f>COUNTIFS(실시간콜입력!$B:$B,$A1122,실시간콜입력!$E:$E,"C",실시간콜입력!$G:$G,$B1122,실시간콜입력!$O:$O,"방문완료")+COUNTIFS(실시간콜입력!$B:$B,$A1122,실시간콜입력!$E:$E,"C",실시간콜입력!$H:$H,$B1122,실시간콜입력!$O:$O,"방문완료")</f>
        <v>0</v>
      </c>
      <c r="I1122" s="29">
        <f>COUNTIFS(실시간콜입력!$B:$B,$A1122,실시간콜입력!$E:$E,"D",실시간콜입력!$G:$G,$B1122,실시간콜입력!$O:$O,"방문완료")+COUNTIFS(실시간콜입력!$B:$B,$A1122,실시간콜입력!$E:$E,"D",실시간콜입력!$H:$H,$B1122,실시간콜입력!$O:$O,"방문완료")</f>
        <v>0</v>
      </c>
      <c r="J1122" s="29">
        <f>COUNTIFS(실시간콜입력!$B:$B,$A1122,실시간콜입력!$E:$E,"E",실시간콜입력!$G:$G,$B1122,실시간콜입력!$O:$O,"방문완료")+COUNTIFS(실시간콜입력!$B:$B,$A1122,실시간콜입력!$E:$E,"E",실시간콜입력!$H:$H,$B1122,실시간콜입력!$O:$O,"방문완료")</f>
        <v>0</v>
      </c>
      <c r="K1122" s="29">
        <f t="shared" si="149"/>
        <v>0</v>
      </c>
      <c r="L1122" s="33">
        <f>SUMIFS(실시간콜입력!$K:$K,실시간콜입력!$B:$B,$A1122,실시간콜입력!$G:$G,$B1122,실시간콜입력!$O:$O,"방문완료")+SUMIFS(실시간콜입력!$L:$L,실시간콜입력!$B:$B,$A1122,실시간콜입력!$H:$H,$B1122,실시간콜입력!$O:$O,"방문완료")</f>
        <v>0</v>
      </c>
      <c r="M1122" s="29" t="str">
        <f t="shared" si="150"/>
        <v/>
      </c>
      <c r="N1122" s="29"/>
    </row>
    <row r="1123" spans="1:14" ht="19.5" hidden="1" customHeight="1" outlineLevel="1">
      <c r="A1123" s="24">
        <f>IF(22&lt;=DAY(DATE(YEAR(설정_코스수당!$K$2),MONTH(설정_코스수당!$K$2)+1,0)),DATE(YEAR(설정_코스수당!$K$2),MONTH(설정_코스수당!$K$2),22),"")</f>
        <v>46195</v>
      </c>
      <c r="B1123" s="23" t="s">
        <v>187</v>
      </c>
      <c r="C1123" s="29"/>
      <c r="D1123" s="29"/>
      <c r="E1123" s="29" t="str">
        <f t="shared" si="148"/>
        <v/>
      </c>
      <c r="F1123" s="29">
        <f>COUNTIFS(실시간콜입력!$B:$B,$A1123,실시간콜입력!$E:$E,"A",실시간콜입력!$G:$G,$B1123,실시간콜입력!$O:$O,"방문완료")+COUNTIFS(실시간콜입력!$B:$B,$A1123,실시간콜입력!$E:$E,"A",실시간콜입력!$H:$H,$B1123,실시간콜입력!$O:$O,"방문완료")</f>
        <v>0</v>
      </c>
      <c r="G1123" s="29">
        <f>COUNTIFS(실시간콜입력!$B:$B,$A1123,실시간콜입력!$E:$E,"B",실시간콜입력!$G:$G,$B1123,실시간콜입력!$O:$O,"방문완료")+COUNTIFS(실시간콜입력!$B:$B,$A1123,실시간콜입력!$E:$E,"B",실시간콜입력!$H:$H,$B1123,실시간콜입력!$O:$O,"방문완료")</f>
        <v>0</v>
      </c>
      <c r="H1123" s="29">
        <f>COUNTIFS(실시간콜입력!$B:$B,$A1123,실시간콜입력!$E:$E,"C",실시간콜입력!$G:$G,$B1123,실시간콜입력!$O:$O,"방문완료")+COUNTIFS(실시간콜입력!$B:$B,$A1123,실시간콜입력!$E:$E,"C",실시간콜입력!$H:$H,$B1123,실시간콜입력!$O:$O,"방문완료")</f>
        <v>0</v>
      </c>
      <c r="I1123" s="29">
        <f>COUNTIFS(실시간콜입력!$B:$B,$A1123,실시간콜입력!$E:$E,"D",실시간콜입력!$G:$G,$B1123,실시간콜입력!$O:$O,"방문완료")+COUNTIFS(실시간콜입력!$B:$B,$A1123,실시간콜입력!$E:$E,"D",실시간콜입력!$H:$H,$B1123,실시간콜입력!$O:$O,"방문완료")</f>
        <v>0</v>
      </c>
      <c r="J1123" s="29">
        <f>COUNTIFS(실시간콜입력!$B:$B,$A1123,실시간콜입력!$E:$E,"E",실시간콜입력!$G:$G,$B1123,실시간콜입력!$O:$O,"방문완료")+COUNTIFS(실시간콜입력!$B:$B,$A1123,실시간콜입력!$E:$E,"E",실시간콜입력!$H:$H,$B1123,실시간콜입력!$O:$O,"방문완료")</f>
        <v>0</v>
      </c>
      <c r="K1123" s="29">
        <f t="shared" si="149"/>
        <v>0</v>
      </c>
      <c r="L1123" s="27">
        <f>SUMIFS(실시간콜입력!$K:$K,실시간콜입력!$B:$B,$A1123,실시간콜입력!$G:$G,$B1123,실시간콜입력!$O:$O,"방문완료")+SUMIFS(실시간콜입력!$L:$L,실시간콜입력!$B:$B,$A1123,실시간콜입력!$H:$H,$B1123,실시간콜입력!$O:$O,"방문완료")</f>
        <v>0</v>
      </c>
      <c r="M1123" s="29" t="str">
        <f t="shared" si="150"/>
        <v/>
      </c>
      <c r="N1123" s="29"/>
    </row>
    <row r="1124" spans="1:14" ht="19.5" hidden="1" customHeight="1" outlineLevel="1">
      <c r="A1124" s="30">
        <f>IF(22&lt;=DAY(DATE(YEAR(설정_코스수당!$K$2),MONTH(설정_코스수당!$K$2)+1,0)),DATE(YEAR(설정_코스수당!$K$2),MONTH(설정_코스수당!$K$2),22),"")</f>
        <v>46195</v>
      </c>
      <c r="B1124" s="29" t="s">
        <v>188</v>
      </c>
      <c r="C1124" s="29"/>
      <c r="D1124" s="29"/>
      <c r="E1124" s="29" t="str">
        <f t="shared" si="148"/>
        <v/>
      </c>
      <c r="F1124" s="29">
        <f>COUNTIFS(실시간콜입력!$B:$B,$A1124,실시간콜입력!$E:$E,"A",실시간콜입력!$G:$G,$B1124,실시간콜입력!$O:$O,"방문완료")+COUNTIFS(실시간콜입력!$B:$B,$A1124,실시간콜입력!$E:$E,"A",실시간콜입력!$H:$H,$B1124,실시간콜입력!$O:$O,"방문완료")</f>
        <v>0</v>
      </c>
      <c r="G1124" s="29">
        <f>COUNTIFS(실시간콜입력!$B:$B,$A1124,실시간콜입력!$E:$E,"B",실시간콜입력!$G:$G,$B1124,실시간콜입력!$O:$O,"방문완료")+COUNTIFS(실시간콜입력!$B:$B,$A1124,실시간콜입력!$E:$E,"B",실시간콜입력!$H:$H,$B1124,실시간콜입력!$O:$O,"방문완료")</f>
        <v>0</v>
      </c>
      <c r="H1124" s="29">
        <f>COUNTIFS(실시간콜입력!$B:$B,$A1124,실시간콜입력!$E:$E,"C",실시간콜입력!$G:$G,$B1124,실시간콜입력!$O:$O,"방문완료")+COUNTIFS(실시간콜입력!$B:$B,$A1124,실시간콜입력!$E:$E,"C",실시간콜입력!$H:$H,$B1124,실시간콜입력!$O:$O,"방문완료")</f>
        <v>0</v>
      </c>
      <c r="I1124" s="29">
        <f>COUNTIFS(실시간콜입력!$B:$B,$A1124,실시간콜입력!$E:$E,"D",실시간콜입력!$G:$G,$B1124,실시간콜입력!$O:$O,"방문완료")+COUNTIFS(실시간콜입력!$B:$B,$A1124,실시간콜입력!$E:$E,"D",실시간콜입력!$H:$H,$B1124,실시간콜입력!$O:$O,"방문완료")</f>
        <v>0</v>
      </c>
      <c r="J1124" s="29">
        <f>COUNTIFS(실시간콜입력!$B:$B,$A1124,실시간콜입력!$E:$E,"E",실시간콜입력!$G:$G,$B1124,실시간콜입력!$O:$O,"방문완료")+COUNTIFS(실시간콜입력!$B:$B,$A1124,실시간콜입력!$E:$E,"E",실시간콜입력!$H:$H,$B1124,실시간콜입력!$O:$O,"방문완료")</f>
        <v>0</v>
      </c>
      <c r="K1124" s="29">
        <f t="shared" si="149"/>
        <v>0</v>
      </c>
      <c r="L1124" s="33">
        <f>SUMIFS(실시간콜입력!$K:$K,실시간콜입력!$B:$B,$A1124,실시간콜입력!$G:$G,$B1124,실시간콜입력!$O:$O,"방문완료")+SUMIFS(실시간콜입력!$L:$L,실시간콜입력!$B:$B,$A1124,실시간콜입력!$H:$H,$B1124,실시간콜입력!$O:$O,"방문완료")</f>
        <v>0</v>
      </c>
      <c r="M1124" s="29" t="str">
        <f t="shared" si="150"/>
        <v/>
      </c>
      <c r="N1124" s="29"/>
    </row>
    <row r="1125" spans="1:14" ht="19.5" hidden="1" customHeight="1" outlineLevel="1">
      <c r="A1125" s="24">
        <f>IF(22&lt;=DAY(DATE(YEAR(설정_코스수당!$K$2),MONTH(설정_코스수당!$K$2)+1,0)),DATE(YEAR(설정_코스수당!$K$2),MONTH(설정_코스수당!$K$2),22),"")</f>
        <v>46195</v>
      </c>
      <c r="B1125" s="23" t="s">
        <v>189</v>
      </c>
      <c r="C1125" s="29"/>
      <c r="D1125" s="29"/>
      <c r="E1125" s="29" t="str">
        <f t="shared" si="148"/>
        <v/>
      </c>
      <c r="F1125" s="29">
        <f>COUNTIFS(실시간콜입력!$B:$B,$A1125,실시간콜입력!$E:$E,"A",실시간콜입력!$G:$G,$B1125,실시간콜입력!$O:$O,"방문완료")+COUNTIFS(실시간콜입력!$B:$B,$A1125,실시간콜입력!$E:$E,"A",실시간콜입력!$H:$H,$B1125,실시간콜입력!$O:$O,"방문완료")</f>
        <v>0</v>
      </c>
      <c r="G1125" s="29">
        <f>COUNTIFS(실시간콜입력!$B:$B,$A1125,실시간콜입력!$E:$E,"B",실시간콜입력!$G:$G,$B1125,실시간콜입력!$O:$O,"방문완료")+COUNTIFS(실시간콜입력!$B:$B,$A1125,실시간콜입력!$E:$E,"B",실시간콜입력!$H:$H,$B1125,실시간콜입력!$O:$O,"방문완료")</f>
        <v>0</v>
      </c>
      <c r="H1125" s="29">
        <f>COUNTIFS(실시간콜입력!$B:$B,$A1125,실시간콜입력!$E:$E,"C",실시간콜입력!$G:$G,$B1125,실시간콜입력!$O:$O,"방문완료")+COUNTIFS(실시간콜입력!$B:$B,$A1125,실시간콜입력!$E:$E,"C",실시간콜입력!$H:$H,$B1125,실시간콜입력!$O:$O,"방문완료")</f>
        <v>0</v>
      </c>
      <c r="I1125" s="29">
        <f>COUNTIFS(실시간콜입력!$B:$B,$A1125,실시간콜입력!$E:$E,"D",실시간콜입력!$G:$G,$B1125,실시간콜입력!$O:$O,"방문완료")+COUNTIFS(실시간콜입력!$B:$B,$A1125,실시간콜입력!$E:$E,"D",실시간콜입력!$H:$H,$B1125,실시간콜입력!$O:$O,"방문완료")</f>
        <v>0</v>
      </c>
      <c r="J1125" s="29">
        <f>COUNTIFS(실시간콜입력!$B:$B,$A1125,실시간콜입력!$E:$E,"E",실시간콜입력!$G:$G,$B1125,실시간콜입력!$O:$O,"방문완료")+COUNTIFS(실시간콜입력!$B:$B,$A1125,실시간콜입력!$E:$E,"E",실시간콜입력!$H:$H,$B1125,실시간콜입력!$O:$O,"방문완료")</f>
        <v>0</v>
      </c>
      <c r="K1125" s="29">
        <f t="shared" si="149"/>
        <v>0</v>
      </c>
      <c r="L1125" s="27">
        <f>SUMIFS(실시간콜입력!$K:$K,실시간콜입력!$B:$B,$A1125,실시간콜입력!$G:$G,$B1125,실시간콜입력!$O:$O,"방문완료")+SUMIFS(실시간콜입력!$L:$L,실시간콜입력!$B:$B,$A1125,실시간콜입력!$H:$H,$B1125,실시간콜입력!$O:$O,"방문완료")</f>
        <v>0</v>
      </c>
      <c r="M1125" s="29" t="str">
        <f t="shared" si="150"/>
        <v/>
      </c>
      <c r="N1125" s="29"/>
    </row>
    <row r="1126" spans="1:14" ht="19.5" hidden="1" customHeight="1" outlineLevel="1">
      <c r="A1126" s="30">
        <f>IF(22&lt;=DAY(DATE(YEAR(설정_코스수당!$K$2),MONTH(설정_코스수당!$K$2)+1,0)),DATE(YEAR(설정_코스수당!$K$2),MONTH(설정_코스수당!$K$2),22),"")</f>
        <v>46195</v>
      </c>
      <c r="B1126" s="29" t="s">
        <v>190</v>
      </c>
      <c r="C1126" s="29"/>
      <c r="D1126" s="29"/>
      <c r="E1126" s="29" t="str">
        <f t="shared" si="148"/>
        <v/>
      </c>
      <c r="F1126" s="29">
        <f>COUNTIFS(실시간콜입력!$B:$B,$A1126,실시간콜입력!$E:$E,"A",실시간콜입력!$G:$G,$B1126,실시간콜입력!$O:$O,"방문완료")+COUNTIFS(실시간콜입력!$B:$B,$A1126,실시간콜입력!$E:$E,"A",실시간콜입력!$H:$H,$B1126,실시간콜입력!$O:$O,"방문완료")</f>
        <v>0</v>
      </c>
      <c r="G1126" s="29">
        <f>COUNTIFS(실시간콜입력!$B:$B,$A1126,실시간콜입력!$E:$E,"B",실시간콜입력!$G:$G,$B1126,실시간콜입력!$O:$O,"방문완료")+COUNTIFS(실시간콜입력!$B:$B,$A1126,실시간콜입력!$E:$E,"B",실시간콜입력!$H:$H,$B1126,실시간콜입력!$O:$O,"방문완료")</f>
        <v>0</v>
      </c>
      <c r="H1126" s="29">
        <f>COUNTIFS(실시간콜입력!$B:$B,$A1126,실시간콜입력!$E:$E,"C",실시간콜입력!$G:$G,$B1126,실시간콜입력!$O:$O,"방문완료")+COUNTIFS(실시간콜입력!$B:$B,$A1126,실시간콜입력!$E:$E,"C",실시간콜입력!$H:$H,$B1126,실시간콜입력!$O:$O,"방문완료")</f>
        <v>0</v>
      </c>
      <c r="I1126" s="29">
        <f>COUNTIFS(실시간콜입력!$B:$B,$A1126,실시간콜입력!$E:$E,"D",실시간콜입력!$G:$G,$B1126,실시간콜입력!$O:$O,"방문완료")+COUNTIFS(실시간콜입력!$B:$B,$A1126,실시간콜입력!$E:$E,"D",실시간콜입력!$H:$H,$B1126,실시간콜입력!$O:$O,"방문완료")</f>
        <v>0</v>
      </c>
      <c r="J1126" s="29">
        <f>COUNTIFS(실시간콜입력!$B:$B,$A1126,실시간콜입력!$E:$E,"E",실시간콜입력!$G:$G,$B1126,실시간콜입력!$O:$O,"방문완료")+COUNTIFS(실시간콜입력!$B:$B,$A1126,실시간콜입력!$E:$E,"E",실시간콜입력!$H:$H,$B1126,실시간콜입력!$O:$O,"방문완료")</f>
        <v>0</v>
      </c>
      <c r="K1126" s="29">
        <f t="shared" si="149"/>
        <v>0</v>
      </c>
      <c r="L1126" s="33">
        <f>SUMIFS(실시간콜입력!$K:$K,실시간콜입력!$B:$B,$A1126,실시간콜입력!$G:$G,$B1126,실시간콜입력!$O:$O,"방문완료")+SUMIFS(실시간콜입력!$L:$L,실시간콜입력!$B:$B,$A1126,실시간콜입력!$H:$H,$B1126,실시간콜입력!$O:$O,"방문완료")</f>
        <v>0</v>
      </c>
      <c r="M1126" s="29" t="str">
        <f t="shared" si="150"/>
        <v/>
      </c>
      <c r="N1126" s="29"/>
    </row>
    <row r="1127" spans="1:14" ht="19.5" hidden="1" customHeight="1" outlineLevel="1">
      <c r="A1127" s="24">
        <f>IF(22&lt;=DAY(DATE(YEAR(설정_코스수당!$K$2),MONTH(설정_코스수당!$K$2)+1,0)),DATE(YEAR(설정_코스수당!$K$2),MONTH(설정_코스수당!$K$2),22),"")</f>
        <v>46195</v>
      </c>
      <c r="B1127" s="23" t="s">
        <v>191</v>
      </c>
      <c r="C1127" s="29"/>
      <c r="D1127" s="29"/>
      <c r="E1127" s="29" t="str">
        <f t="shared" si="148"/>
        <v/>
      </c>
      <c r="F1127" s="29">
        <f>COUNTIFS(실시간콜입력!$B:$B,$A1127,실시간콜입력!$E:$E,"A",실시간콜입력!$G:$G,$B1127,실시간콜입력!$O:$O,"방문완료")+COUNTIFS(실시간콜입력!$B:$B,$A1127,실시간콜입력!$E:$E,"A",실시간콜입력!$H:$H,$B1127,실시간콜입력!$O:$O,"방문완료")</f>
        <v>0</v>
      </c>
      <c r="G1127" s="29">
        <f>COUNTIFS(실시간콜입력!$B:$B,$A1127,실시간콜입력!$E:$E,"B",실시간콜입력!$G:$G,$B1127,실시간콜입력!$O:$O,"방문완료")+COUNTIFS(실시간콜입력!$B:$B,$A1127,실시간콜입력!$E:$E,"B",실시간콜입력!$H:$H,$B1127,실시간콜입력!$O:$O,"방문완료")</f>
        <v>0</v>
      </c>
      <c r="H1127" s="29">
        <f>COUNTIFS(실시간콜입력!$B:$B,$A1127,실시간콜입력!$E:$E,"C",실시간콜입력!$G:$G,$B1127,실시간콜입력!$O:$O,"방문완료")+COUNTIFS(실시간콜입력!$B:$B,$A1127,실시간콜입력!$E:$E,"C",실시간콜입력!$H:$H,$B1127,실시간콜입력!$O:$O,"방문완료")</f>
        <v>0</v>
      </c>
      <c r="I1127" s="29">
        <f>COUNTIFS(실시간콜입력!$B:$B,$A1127,실시간콜입력!$E:$E,"D",실시간콜입력!$G:$G,$B1127,실시간콜입력!$O:$O,"방문완료")+COUNTIFS(실시간콜입력!$B:$B,$A1127,실시간콜입력!$E:$E,"D",실시간콜입력!$H:$H,$B1127,실시간콜입력!$O:$O,"방문완료")</f>
        <v>0</v>
      </c>
      <c r="J1127" s="29">
        <f>COUNTIFS(실시간콜입력!$B:$B,$A1127,실시간콜입력!$E:$E,"E",실시간콜입력!$G:$G,$B1127,실시간콜입력!$O:$O,"방문완료")+COUNTIFS(실시간콜입력!$B:$B,$A1127,실시간콜입력!$E:$E,"E",실시간콜입력!$H:$H,$B1127,실시간콜입력!$O:$O,"방문완료")</f>
        <v>0</v>
      </c>
      <c r="K1127" s="29">
        <f t="shared" si="149"/>
        <v>0</v>
      </c>
      <c r="L1127" s="27">
        <f>SUMIFS(실시간콜입력!$K:$K,실시간콜입력!$B:$B,$A1127,실시간콜입력!$G:$G,$B1127,실시간콜입력!$O:$O,"방문완료")+SUMIFS(실시간콜입력!$L:$L,실시간콜입력!$B:$B,$A1127,실시간콜입력!$H:$H,$B1127,실시간콜입력!$O:$O,"방문완료")</f>
        <v>0</v>
      </c>
      <c r="M1127" s="29" t="str">
        <f t="shared" si="150"/>
        <v/>
      </c>
      <c r="N1127" s="29"/>
    </row>
    <row r="1128" spans="1:14" ht="19.5" hidden="1" customHeight="1" outlineLevel="1">
      <c r="A1128" s="30">
        <f>IF(22&lt;=DAY(DATE(YEAR(설정_코스수당!$K$2),MONTH(설정_코스수당!$K$2)+1,0)),DATE(YEAR(설정_코스수당!$K$2),MONTH(설정_코스수당!$K$2),22),"")</f>
        <v>46195</v>
      </c>
      <c r="B1128" s="29" t="s">
        <v>192</v>
      </c>
      <c r="C1128" s="29"/>
      <c r="D1128" s="29"/>
      <c r="E1128" s="29" t="str">
        <f t="shared" si="148"/>
        <v/>
      </c>
      <c r="F1128" s="29">
        <f>COUNTIFS(실시간콜입력!$B:$B,$A1128,실시간콜입력!$E:$E,"A",실시간콜입력!$G:$G,$B1128,실시간콜입력!$O:$O,"방문완료")+COUNTIFS(실시간콜입력!$B:$B,$A1128,실시간콜입력!$E:$E,"A",실시간콜입력!$H:$H,$B1128,실시간콜입력!$O:$O,"방문완료")</f>
        <v>0</v>
      </c>
      <c r="G1128" s="29">
        <f>COUNTIFS(실시간콜입력!$B:$B,$A1128,실시간콜입력!$E:$E,"B",실시간콜입력!$G:$G,$B1128,실시간콜입력!$O:$O,"방문완료")+COUNTIFS(실시간콜입력!$B:$B,$A1128,실시간콜입력!$E:$E,"B",실시간콜입력!$H:$H,$B1128,실시간콜입력!$O:$O,"방문완료")</f>
        <v>0</v>
      </c>
      <c r="H1128" s="29">
        <f>COUNTIFS(실시간콜입력!$B:$B,$A1128,실시간콜입력!$E:$E,"C",실시간콜입력!$G:$G,$B1128,실시간콜입력!$O:$O,"방문완료")+COUNTIFS(실시간콜입력!$B:$B,$A1128,실시간콜입력!$E:$E,"C",실시간콜입력!$H:$H,$B1128,실시간콜입력!$O:$O,"방문완료")</f>
        <v>0</v>
      </c>
      <c r="I1128" s="29">
        <f>COUNTIFS(실시간콜입력!$B:$B,$A1128,실시간콜입력!$E:$E,"D",실시간콜입력!$G:$G,$B1128,실시간콜입력!$O:$O,"방문완료")+COUNTIFS(실시간콜입력!$B:$B,$A1128,실시간콜입력!$E:$E,"D",실시간콜입력!$H:$H,$B1128,실시간콜입력!$O:$O,"방문완료")</f>
        <v>0</v>
      </c>
      <c r="J1128" s="29">
        <f>COUNTIFS(실시간콜입력!$B:$B,$A1128,실시간콜입력!$E:$E,"E",실시간콜입력!$G:$G,$B1128,실시간콜입력!$O:$O,"방문완료")+COUNTIFS(실시간콜입력!$B:$B,$A1128,실시간콜입력!$E:$E,"E",실시간콜입력!$H:$H,$B1128,실시간콜입력!$O:$O,"방문완료")</f>
        <v>0</v>
      </c>
      <c r="K1128" s="29">
        <f t="shared" si="149"/>
        <v>0</v>
      </c>
      <c r="L1128" s="33">
        <f>SUMIFS(실시간콜입력!$K:$K,실시간콜입력!$B:$B,$A1128,실시간콜입력!$G:$G,$B1128,실시간콜입력!$O:$O,"방문완료")+SUMIFS(실시간콜입력!$L:$L,실시간콜입력!$B:$B,$A1128,실시간콜입력!$H:$H,$B1128,실시간콜입력!$O:$O,"방문완료")</f>
        <v>0</v>
      </c>
      <c r="M1128" s="29" t="str">
        <f t="shared" si="150"/>
        <v/>
      </c>
      <c r="N1128" s="29"/>
    </row>
    <row r="1129" spans="1:14" ht="19.5" hidden="1" customHeight="1" outlineLevel="1">
      <c r="A1129" s="24">
        <f>IF(22&lt;=DAY(DATE(YEAR(설정_코스수당!$K$2),MONTH(설정_코스수당!$K$2)+1,0)),DATE(YEAR(설정_코스수당!$K$2),MONTH(설정_코스수당!$K$2),22),"")</f>
        <v>46195</v>
      </c>
      <c r="B1129" s="23" t="s">
        <v>193</v>
      </c>
      <c r="C1129" s="29"/>
      <c r="D1129" s="29"/>
      <c r="E1129" s="29" t="str">
        <f t="shared" si="148"/>
        <v/>
      </c>
      <c r="F1129" s="29">
        <f>COUNTIFS(실시간콜입력!$B:$B,$A1129,실시간콜입력!$E:$E,"A",실시간콜입력!$G:$G,$B1129,실시간콜입력!$O:$O,"방문완료")+COUNTIFS(실시간콜입력!$B:$B,$A1129,실시간콜입력!$E:$E,"A",실시간콜입력!$H:$H,$B1129,실시간콜입력!$O:$O,"방문완료")</f>
        <v>0</v>
      </c>
      <c r="G1129" s="29">
        <f>COUNTIFS(실시간콜입력!$B:$B,$A1129,실시간콜입력!$E:$E,"B",실시간콜입력!$G:$G,$B1129,실시간콜입력!$O:$O,"방문완료")+COUNTIFS(실시간콜입력!$B:$B,$A1129,실시간콜입력!$E:$E,"B",실시간콜입력!$H:$H,$B1129,실시간콜입력!$O:$O,"방문완료")</f>
        <v>0</v>
      </c>
      <c r="H1129" s="29">
        <f>COUNTIFS(실시간콜입력!$B:$B,$A1129,실시간콜입력!$E:$E,"C",실시간콜입력!$G:$G,$B1129,실시간콜입력!$O:$O,"방문완료")+COUNTIFS(실시간콜입력!$B:$B,$A1129,실시간콜입력!$E:$E,"C",실시간콜입력!$H:$H,$B1129,실시간콜입력!$O:$O,"방문완료")</f>
        <v>0</v>
      </c>
      <c r="I1129" s="29">
        <f>COUNTIFS(실시간콜입력!$B:$B,$A1129,실시간콜입력!$E:$E,"D",실시간콜입력!$G:$G,$B1129,실시간콜입력!$O:$O,"방문완료")+COUNTIFS(실시간콜입력!$B:$B,$A1129,실시간콜입력!$E:$E,"D",실시간콜입력!$H:$H,$B1129,실시간콜입력!$O:$O,"방문완료")</f>
        <v>0</v>
      </c>
      <c r="J1129" s="29">
        <f>COUNTIFS(실시간콜입력!$B:$B,$A1129,실시간콜입력!$E:$E,"E",실시간콜입력!$G:$G,$B1129,실시간콜입력!$O:$O,"방문완료")+COUNTIFS(실시간콜입력!$B:$B,$A1129,실시간콜입력!$E:$E,"E",실시간콜입력!$H:$H,$B1129,실시간콜입력!$O:$O,"방문완료")</f>
        <v>0</v>
      </c>
      <c r="K1129" s="29">
        <f t="shared" si="149"/>
        <v>0</v>
      </c>
      <c r="L1129" s="27">
        <f>SUMIFS(실시간콜입력!$K:$K,실시간콜입력!$B:$B,$A1129,실시간콜입력!$G:$G,$B1129,실시간콜입력!$O:$O,"방문완료")+SUMIFS(실시간콜입력!$L:$L,실시간콜입력!$B:$B,$A1129,실시간콜입력!$H:$H,$B1129,실시간콜입력!$O:$O,"방문완료")</f>
        <v>0</v>
      </c>
      <c r="M1129" s="29" t="str">
        <f t="shared" si="150"/>
        <v/>
      </c>
      <c r="N1129" s="29"/>
    </row>
    <row r="1130" spans="1:14" ht="19.5" hidden="1" customHeight="1" outlineLevel="1">
      <c r="A1130" s="30">
        <f>IF(22&lt;=DAY(DATE(YEAR(설정_코스수당!$K$2),MONTH(설정_코스수당!$K$2)+1,0)),DATE(YEAR(설정_코스수당!$K$2),MONTH(설정_코스수당!$K$2),22),"")</f>
        <v>46195</v>
      </c>
      <c r="B1130" s="29" t="s">
        <v>194</v>
      </c>
      <c r="C1130" s="29"/>
      <c r="D1130" s="29"/>
      <c r="E1130" s="29" t="str">
        <f t="shared" si="148"/>
        <v/>
      </c>
      <c r="F1130" s="29">
        <f>COUNTIFS(실시간콜입력!$B:$B,$A1130,실시간콜입력!$E:$E,"A",실시간콜입력!$G:$G,$B1130,실시간콜입력!$O:$O,"방문완료")+COUNTIFS(실시간콜입력!$B:$B,$A1130,실시간콜입력!$E:$E,"A",실시간콜입력!$H:$H,$B1130,실시간콜입력!$O:$O,"방문완료")</f>
        <v>0</v>
      </c>
      <c r="G1130" s="29">
        <f>COUNTIFS(실시간콜입력!$B:$B,$A1130,실시간콜입력!$E:$E,"B",실시간콜입력!$G:$G,$B1130,실시간콜입력!$O:$O,"방문완료")+COUNTIFS(실시간콜입력!$B:$B,$A1130,실시간콜입력!$E:$E,"B",실시간콜입력!$H:$H,$B1130,실시간콜입력!$O:$O,"방문완료")</f>
        <v>0</v>
      </c>
      <c r="H1130" s="29">
        <f>COUNTIFS(실시간콜입력!$B:$B,$A1130,실시간콜입력!$E:$E,"C",실시간콜입력!$G:$G,$B1130,실시간콜입력!$O:$O,"방문완료")+COUNTIFS(실시간콜입력!$B:$B,$A1130,실시간콜입력!$E:$E,"C",실시간콜입력!$H:$H,$B1130,실시간콜입력!$O:$O,"방문완료")</f>
        <v>0</v>
      </c>
      <c r="I1130" s="29">
        <f>COUNTIFS(실시간콜입력!$B:$B,$A1130,실시간콜입력!$E:$E,"D",실시간콜입력!$G:$G,$B1130,실시간콜입력!$O:$O,"방문완료")+COUNTIFS(실시간콜입력!$B:$B,$A1130,실시간콜입력!$E:$E,"D",실시간콜입력!$H:$H,$B1130,실시간콜입력!$O:$O,"방문완료")</f>
        <v>0</v>
      </c>
      <c r="J1130" s="29">
        <f>COUNTIFS(실시간콜입력!$B:$B,$A1130,실시간콜입력!$E:$E,"E",실시간콜입력!$G:$G,$B1130,실시간콜입력!$O:$O,"방문완료")+COUNTIFS(실시간콜입력!$B:$B,$A1130,실시간콜입력!$E:$E,"E",실시간콜입력!$H:$H,$B1130,실시간콜입력!$O:$O,"방문완료")</f>
        <v>0</v>
      </c>
      <c r="K1130" s="29">
        <f t="shared" si="149"/>
        <v>0</v>
      </c>
      <c r="L1130" s="33">
        <f>SUMIFS(실시간콜입력!$K:$K,실시간콜입력!$B:$B,$A1130,실시간콜입력!$G:$G,$B1130,실시간콜입력!$O:$O,"방문완료")+SUMIFS(실시간콜입력!$L:$L,실시간콜입력!$B:$B,$A1130,실시간콜입력!$H:$H,$B1130,실시간콜입력!$O:$O,"방문완료")</f>
        <v>0</v>
      </c>
      <c r="M1130" s="29" t="str">
        <f t="shared" si="150"/>
        <v/>
      </c>
      <c r="N1130" s="29"/>
    </row>
    <row r="1131" spans="1:14" ht="19.5" hidden="1" customHeight="1" outlineLevel="1">
      <c r="A1131" s="24">
        <f>IF(22&lt;=DAY(DATE(YEAR(설정_코스수당!$K$2),MONTH(설정_코스수당!$K$2)+1,0)),DATE(YEAR(설정_코스수당!$K$2),MONTH(설정_코스수당!$K$2),22),"")</f>
        <v>46195</v>
      </c>
      <c r="B1131" s="23" t="s">
        <v>195</v>
      </c>
      <c r="C1131" s="29"/>
      <c r="D1131" s="29"/>
      <c r="E1131" s="29" t="str">
        <f t="shared" ref="E1131:E1162" si="151">IF(AND(C1131&lt;&gt;"",D1131&lt;&gt;""),IF(D1131&lt;C1131,D1131+1-C1131,D1131-C1131)*24,"")</f>
        <v/>
      </c>
      <c r="F1131" s="29">
        <f>COUNTIFS(실시간콜입력!$B:$B,$A1131,실시간콜입력!$E:$E,"A",실시간콜입력!$G:$G,$B1131,실시간콜입력!$O:$O,"방문완료")+COUNTIFS(실시간콜입력!$B:$B,$A1131,실시간콜입력!$E:$E,"A",실시간콜입력!$H:$H,$B1131,실시간콜입력!$O:$O,"방문완료")</f>
        <v>0</v>
      </c>
      <c r="G1131" s="29">
        <f>COUNTIFS(실시간콜입력!$B:$B,$A1131,실시간콜입력!$E:$E,"B",실시간콜입력!$G:$G,$B1131,실시간콜입력!$O:$O,"방문완료")+COUNTIFS(실시간콜입력!$B:$B,$A1131,실시간콜입력!$E:$E,"B",실시간콜입력!$H:$H,$B1131,실시간콜입력!$O:$O,"방문완료")</f>
        <v>0</v>
      </c>
      <c r="H1131" s="29">
        <f>COUNTIFS(실시간콜입력!$B:$B,$A1131,실시간콜입력!$E:$E,"C",실시간콜입력!$G:$G,$B1131,실시간콜입력!$O:$O,"방문완료")+COUNTIFS(실시간콜입력!$B:$B,$A1131,실시간콜입력!$E:$E,"C",실시간콜입력!$H:$H,$B1131,실시간콜입력!$O:$O,"방문완료")</f>
        <v>0</v>
      </c>
      <c r="I1131" s="29">
        <f>COUNTIFS(실시간콜입력!$B:$B,$A1131,실시간콜입력!$E:$E,"D",실시간콜입력!$G:$G,$B1131,실시간콜입력!$O:$O,"방문완료")+COUNTIFS(실시간콜입력!$B:$B,$A1131,실시간콜입력!$E:$E,"D",실시간콜입력!$H:$H,$B1131,실시간콜입력!$O:$O,"방문완료")</f>
        <v>0</v>
      </c>
      <c r="J1131" s="29">
        <f>COUNTIFS(실시간콜입력!$B:$B,$A1131,실시간콜입력!$E:$E,"E",실시간콜입력!$G:$G,$B1131,실시간콜입력!$O:$O,"방문완료")+COUNTIFS(실시간콜입력!$B:$B,$A1131,실시간콜입력!$E:$E,"E",실시간콜입력!$H:$H,$B1131,실시간콜입력!$O:$O,"방문완료")</f>
        <v>0</v>
      </c>
      <c r="K1131" s="29">
        <f t="shared" ref="K1131:K1162" si="152">SUM(F1131:J1131)</f>
        <v>0</v>
      </c>
      <c r="L1131" s="27">
        <f>SUMIFS(실시간콜입력!$K:$K,실시간콜입력!$B:$B,$A1131,실시간콜입력!$G:$G,$B1131,실시간콜입력!$O:$O,"방문완료")+SUMIFS(실시간콜입력!$L:$L,실시간콜입력!$B:$B,$A1131,실시간콜입력!$H:$H,$B1131,실시간콜입력!$O:$O,"방문완료")</f>
        <v>0</v>
      </c>
      <c r="M1131" s="29" t="str">
        <f t="shared" ref="M1131:M1148" si="153">IF(AND(ISNUMBER(E1131),E1131&gt;=8),"인정","")</f>
        <v/>
      </c>
      <c r="N1131" s="29"/>
    </row>
    <row r="1132" spans="1:14" ht="19.5" hidden="1" customHeight="1" outlineLevel="1">
      <c r="A1132" s="30">
        <f>IF(22&lt;=DAY(DATE(YEAR(설정_코스수당!$K$2),MONTH(설정_코스수당!$K$2)+1,0)),DATE(YEAR(설정_코스수당!$K$2),MONTH(설정_코스수당!$K$2),22),"")</f>
        <v>46195</v>
      </c>
      <c r="B1132" s="29" t="s">
        <v>196</v>
      </c>
      <c r="C1132" s="29"/>
      <c r="D1132" s="29"/>
      <c r="E1132" s="29" t="str">
        <f t="shared" si="151"/>
        <v/>
      </c>
      <c r="F1132" s="29">
        <f>COUNTIFS(실시간콜입력!$B:$B,$A1132,실시간콜입력!$E:$E,"A",실시간콜입력!$G:$G,$B1132,실시간콜입력!$O:$O,"방문완료")+COUNTIFS(실시간콜입력!$B:$B,$A1132,실시간콜입력!$E:$E,"A",실시간콜입력!$H:$H,$B1132,실시간콜입력!$O:$O,"방문완료")</f>
        <v>0</v>
      </c>
      <c r="G1132" s="29">
        <f>COUNTIFS(실시간콜입력!$B:$B,$A1132,실시간콜입력!$E:$E,"B",실시간콜입력!$G:$G,$B1132,실시간콜입력!$O:$O,"방문완료")+COUNTIFS(실시간콜입력!$B:$B,$A1132,실시간콜입력!$E:$E,"B",실시간콜입력!$H:$H,$B1132,실시간콜입력!$O:$O,"방문완료")</f>
        <v>0</v>
      </c>
      <c r="H1132" s="29">
        <f>COUNTIFS(실시간콜입력!$B:$B,$A1132,실시간콜입력!$E:$E,"C",실시간콜입력!$G:$G,$B1132,실시간콜입력!$O:$O,"방문완료")+COUNTIFS(실시간콜입력!$B:$B,$A1132,실시간콜입력!$E:$E,"C",실시간콜입력!$H:$H,$B1132,실시간콜입력!$O:$O,"방문완료")</f>
        <v>0</v>
      </c>
      <c r="I1132" s="29">
        <f>COUNTIFS(실시간콜입력!$B:$B,$A1132,실시간콜입력!$E:$E,"D",실시간콜입력!$G:$G,$B1132,실시간콜입력!$O:$O,"방문완료")+COUNTIFS(실시간콜입력!$B:$B,$A1132,실시간콜입력!$E:$E,"D",실시간콜입력!$H:$H,$B1132,실시간콜입력!$O:$O,"방문완료")</f>
        <v>0</v>
      </c>
      <c r="J1132" s="29">
        <f>COUNTIFS(실시간콜입력!$B:$B,$A1132,실시간콜입력!$E:$E,"E",실시간콜입력!$G:$G,$B1132,실시간콜입력!$O:$O,"방문완료")+COUNTIFS(실시간콜입력!$B:$B,$A1132,실시간콜입력!$E:$E,"E",실시간콜입력!$H:$H,$B1132,실시간콜입력!$O:$O,"방문완료")</f>
        <v>0</v>
      </c>
      <c r="K1132" s="29">
        <f t="shared" si="152"/>
        <v>0</v>
      </c>
      <c r="L1132" s="33">
        <f>SUMIFS(실시간콜입력!$K:$K,실시간콜입력!$B:$B,$A1132,실시간콜입력!$G:$G,$B1132,실시간콜입력!$O:$O,"방문완료")+SUMIFS(실시간콜입력!$L:$L,실시간콜입력!$B:$B,$A1132,실시간콜입력!$H:$H,$B1132,실시간콜입력!$O:$O,"방문완료")</f>
        <v>0</v>
      </c>
      <c r="M1132" s="29" t="str">
        <f t="shared" si="153"/>
        <v/>
      </c>
      <c r="N1132" s="29"/>
    </row>
    <row r="1133" spans="1:14" ht="19.5" hidden="1" customHeight="1" outlineLevel="1">
      <c r="A1133" s="24">
        <f>IF(22&lt;=DAY(DATE(YEAR(설정_코스수당!$K$2),MONTH(설정_코스수당!$K$2)+1,0)),DATE(YEAR(설정_코스수당!$K$2),MONTH(설정_코스수당!$K$2),22),"")</f>
        <v>46195</v>
      </c>
      <c r="B1133" s="23" t="s">
        <v>197</v>
      </c>
      <c r="C1133" s="29"/>
      <c r="D1133" s="29"/>
      <c r="E1133" s="29" t="str">
        <f t="shared" si="151"/>
        <v/>
      </c>
      <c r="F1133" s="29">
        <f>COUNTIFS(실시간콜입력!$B:$B,$A1133,실시간콜입력!$E:$E,"A",실시간콜입력!$G:$G,$B1133,실시간콜입력!$O:$O,"방문완료")+COUNTIFS(실시간콜입력!$B:$B,$A1133,실시간콜입력!$E:$E,"A",실시간콜입력!$H:$H,$B1133,실시간콜입력!$O:$O,"방문완료")</f>
        <v>0</v>
      </c>
      <c r="G1133" s="29">
        <f>COUNTIFS(실시간콜입력!$B:$B,$A1133,실시간콜입력!$E:$E,"B",실시간콜입력!$G:$G,$B1133,실시간콜입력!$O:$O,"방문완료")+COUNTIFS(실시간콜입력!$B:$B,$A1133,실시간콜입력!$E:$E,"B",실시간콜입력!$H:$H,$B1133,실시간콜입력!$O:$O,"방문완료")</f>
        <v>0</v>
      </c>
      <c r="H1133" s="29">
        <f>COUNTIFS(실시간콜입력!$B:$B,$A1133,실시간콜입력!$E:$E,"C",실시간콜입력!$G:$G,$B1133,실시간콜입력!$O:$O,"방문완료")+COUNTIFS(실시간콜입력!$B:$B,$A1133,실시간콜입력!$E:$E,"C",실시간콜입력!$H:$H,$B1133,실시간콜입력!$O:$O,"방문완료")</f>
        <v>0</v>
      </c>
      <c r="I1133" s="29">
        <f>COUNTIFS(실시간콜입력!$B:$B,$A1133,실시간콜입력!$E:$E,"D",실시간콜입력!$G:$G,$B1133,실시간콜입력!$O:$O,"방문완료")+COUNTIFS(실시간콜입력!$B:$B,$A1133,실시간콜입력!$E:$E,"D",실시간콜입력!$H:$H,$B1133,실시간콜입력!$O:$O,"방문완료")</f>
        <v>0</v>
      </c>
      <c r="J1133" s="29">
        <f>COUNTIFS(실시간콜입력!$B:$B,$A1133,실시간콜입력!$E:$E,"E",실시간콜입력!$G:$G,$B1133,실시간콜입력!$O:$O,"방문완료")+COUNTIFS(실시간콜입력!$B:$B,$A1133,실시간콜입력!$E:$E,"E",실시간콜입력!$H:$H,$B1133,실시간콜입력!$O:$O,"방문완료")</f>
        <v>0</v>
      </c>
      <c r="K1133" s="29">
        <f t="shared" si="152"/>
        <v>0</v>
      </c>
      <c r="L1133" s="27">
        <f>SUMIFS(실시간콜입력!$K:$K,실시간콜입력!$B:$B,$A1133,실시간콜입력!$G:$G,$B1133,실시간콜입력!$O:$O,"방문완료")+SUMIFS(실시간콜입력!$L:$L,실시간콜입력!$B:$B,$A1133,실시간콜입력!$H:$H,$B1133,실시간콜입력!$O:$O,"방문완료")</f>
        <v>0</v>
      </c>
      <c r="M1133" s="29" t="str">
        <f t="shared" si="153"/>
        <v/>
      </c>
      <c r="N1133" s="29"/>
    </row>
    <row r="1134" spans="1:14" ht="19.5" hidden="1" customHeight="1" outlineLevel="1">
      <c r="A1134" s="30">
        <f>IF(22&lt;=DAY(DATE(YEAR(설정_코스수당!$K$2),MONTH(설정_코스수당!$K$2)+1,0)),DATE(YEAR(설정_코스수당!$K$2),MONTH(설정_코스수당!$K$2),22),"")</f>
        <v>46195</v>
      </c>
      <c r="B1134" s="29" t="s">
        <v>198</v>
      </c>
      <c r="C1134" s="29"/>
      <c r="D1134" s="29"/>
      <c r="E1134" s="29" t="str">
        <f t="shared" si="151"/>
        <v/>
      </c>
      <c r="F1134" s="29">
        <f>COUNTIFS(실시간콜입력!$B:$B,$A1134,실시간콜입력!$E:$E,"A",실시간콜입력!$G:$G,$B1134,실시간콜입력!$O:$O,"방문완료")+COUNTIFS(실시간콜입력!$B:$B,$A1134,실시간콜입력!$E:$E,"A",실시간콜입력!$H:$H,$B1134,실시간콜입력!$O:$O,"방문완료")</f>
        <v>0</v>
      </c>
      <c r="G1134" s="29">
        <f>COUNTIFS(실시간콜입력!$B:$B,$A1134,실시간콜입력!$E:$E,"B",실시간콜입력!$G:$G,$B1134,실시간콜입력!$O:$O,"방문완료")+COUNTIFS(실시간콜입력!$B:$B,$A1134,실시간콜입력!$E:$E,"B",실시간콜입력!$H:$H,$B1134,실시간콜입력!$O:$O,"방문완료")</f>
        <v>0</v>
      </c>
      <c r="H1134" s="29">
        <f>COUNTIFS(실시간콜입력!$B:$B,$A1134,실시간콜입력!$E:$E,"C",실시간콜입력!$G:$G,$B1134,실시간콜입력!$O:$O,"방문완료")+COUNTIFS(실시간콜입력!$B:$B,$A1134,실시간콜입력!$E:$E,"C",실시간콜입력!$H:$H,$B1134,실시간콜입력!$O:$O,"방문완료")</f>
        <v>0</v>
      </c>
      <c r="I1134" s="29">
        <f>COUNTIFS(실시간콜입력!$B:$B,$A1134,실시간콜입력!$E:$E,"D",실시간콜입력!$G:$G,$B1134,실시간콜입력!$O:$O,"방문완료")+COUNTIFS(실시간콜입력!$B:$B,$A1134,실시간콜입력!$E:$E,"D",실시간콜입력!$H:$H,$B1134,실시간콜입력!$O:$O,"방문완료")</f>
        <v>0</v>
      </c>
      <c r="J1134" s="29">
        <f>COUNTIFS(실시간콜입력!$B:$B,$A1134,실시간콜입력!$E:$E,"E",실시간콜입력!$G:$G,$B1134,실시간콜입력!$O:$O,"방문완료")+COUNTIFS(실시간콜입력!$B:$B,$A1134,실시간콜입력!$E:$E,"E",실시간콜입력!$H:$H,$B1134,실시간콜입력!$O:$O,"방문완료")</f>
        <v>0</v>
      </c>
      <c r="K1134" s="29">
        <f t="shared" si="152"/>
        <v>0</v>
      </c>
      <c r="L1134" s="33">
        <f>SUMIFS(실시간콜입력!$K:$K,실시간콜입력!$B:$B,$A1134,실시간콜입력!$G:$G,$B1134,실시간콜입력!$O:$O,"방문완료")+SUMIFS(실시간콜입력!$L:$L,실시간콜입력!$B:$B,$A1134,실시간콜입력!$H:$H,$B1134,실시간콜입력!$O:$O,"방문완료")</f>
        <v>0</v>
      </c>
      <c r="M1134" s="29" t="str">
        <f t="shared" si="153"/>
        <v/>
      </c>
      <c r="N1134" s="29"/>
    </row>
    <row r="1135" spans="1:14" ht="19.5" hidden="1" customHeight="1" outlineLevel="1">
      <c r="A1135" s="24">
        <f>IF(22&lt;=DAY(DATE(YEAR(설정_코스수당!$K$2),MONTH(설정_코스수당!$K$2)+1,0)),DATE(YEAR(설정_코스수당!$K$2),MONTH(설정_코스수당!$K$2),22),"")</f>
        <v>46195</v>
      </c>
      <c r="B1135" s="23" t="s">
        <v>199</v>
      </c>
      <c r="C1135" s="29"/>
      <c r="D1135" s="29"/>
      <c r="E1135" s="29" t="str">
        <f t="shared" si="151"/>
        <v/>
      </c>
      <c r="F1135" s="29">
        <f>COUNTIFS(실시간콜입력!$B:$B,$A1135,실시간콜입력!$E:$E,"A",실시간콜입력!$G:$G,$B1135,실시간콜입력!$O:$O,"방문완료")+COUNTIFS(실시간콜입력!$B:$B,$A1135,실시간콜입력!$E:$E,"A",실시간콜입력!$H:$H,$B1135,실시간콜입력!$O:$O,"방문완료")</f>
        <v>0</v>
      </c>
      <c r="G1135" s="29">
        <f>COUNTIFS(실시간콜입력!$B:$B,$A1135,실시간콜입력!$E:$E,"B",실시간콜입력!$G:$G,$B1135,실시간콜입력!$O:$O,"방문완료")+COUNTIFS(실시간콜입력!$B:$B,$A1135,실시간콜입력!$E:$E,"B",실시간콜입력!$H:$H,$B1135,실시간콜입력!$O:$O,"방문완료")</f>
        <v>0</v>
      </c>
      <c r="H1135" s="29">
        <f>COUNTIFS(실시간콜입력!$B:$B,$A1135,실시간콜입력!$E:$E,"C",실시간콜입력!$G:$G,$B1135,실시간콜입력!$O:$O,"방문완료")+COUNTIFS(실시간콜입력!$B:$B,$A1135,실시간콜입력!$E:$E,"C",실시간콜입력!$H:$H,$B1135,실시간콜입력!$O:$O,"방문완료")</f>
        <v>0</v>
      </c>
      <c r="I1135" s="29">
        <f>COUNTIFS(실시간콜입력!$B:$B,$A1135,실시간콜입력!$E:$E,"D",실시간콜입력!$G:$G,$B1135,실시간콜입력!$O:$O,"방문완료")+COUNTIFS(실시간콜입력!$B:$B,$A1135,실시간콜입력!$E:$E,"D",실시간콜입력!$H:$H,$B1135,실시간콜입력!$O:$O,"방문완료")</f>
        <v>0</v>
      </c>
      <c r="J1135" s="29">
        <f>COUNTIFS(실시간콜입력!$B:$B,$A1135,실시간콜입력!$E:$E,"E",실시간콜입력!$G:$G,$B1135,실시간콜입력!$O:$O,"방문완료")+COUNTIFS(실시간콜입력!$B:$B,$A1135,실시간콜입력!$E:$E,"E",실시간콜입력!$H:$H,$B1135,실시간콜입력!$O:$O,"방문완료")</f>
        <v>0</v>
      </c>
      <c r="K1135" s="29">
        <f t="shared" si="152"/>
        <v>0</v>
      </c>
      <c r="L1135" s="27">
        <f>SUMIFS(실시간콜입력!$K:$K,실시간콜입력!$B:$B,$A1135,실시간콜입력!$G:$G,$B1135,실시간콜입력!$O:$O,"방문완료")+SUMIFS(실시간콜입력!$L:$L,실시간콜입력!$B:$B,$A1135,실시간콜입력!$H:$H,$B1135,실시간콜입력!$O:$O,"방문완료")</f>
        <v>0</v>
      </c>
      <c r="M1135" s="29" t="str">
        <f t="shared" si="153"/>
        <v/>
      </c>
      <c r="N1135" s="29"/>
    </row>
    <row r="1136" spans="1:14" ht="19.5" hidden="1" customHeight="1" outlineLevel="1">
      <c r="A1136" s="30">
        <f>IF(22&lt;=DAY(DATE(YEAR(설정_코스수당!$K$2),MONTH(설정_코스수당!$K$2)+1,0)),DATE(YEAR(설정_코스수당!$K$2),MONTH(설정_코스수당!$K$2),22),"")</f>
        <v>46195</v>
      </c>
      <c r="B1136" s="29" t="s">
        <v>200</v>
      </c>
      <c r="C1136" s="29"/>
      <c r="D1136" s="29"/>
      <c r="E1136" s="29" t="str">
        <f t="shared" si="151"/>
        <v/>
      </c>
      <c r="F1136" s="29">
        <f>COUNTIFS(실시간콜입력!$B:$B,$A1136,실시간콜입력!$E:$E,"A",실시간콜입력!$G:$G,$B1136,실시간콜입력!$O:$O,"방문완료")+COUNTIFS(실시간콜입력!$B:$B,$A1136,실시간콜입력!$E:$E,"A",실시간콜입력!$H:$H,$B1136,실시간콜입력!$O:$O,"방문완료")</f>
        <v>0</v>
      </c>
      <c r="G1136" s="29">
        <f>COUNTIFS(실시간콜입력!$B:$B,$A1136,실시간콜입력!$E:$E,"B",실시간콜입력!$G:$G,$B1136,실시간콜입력!$O:$O,"방문완료")+COUNTIFS(실시간콜입력!$B:$B,$A1136,실시간콜입력!$E:$E,"B",실시간콜입력!$H:$H,$B1136,실시간콜입력!$O:$O,"방문완료")</f>
        <v>0</v>
      </c>
      <c r="H1136" s="29">
        <f>COUNTIFS(실시간콜입력!$B:$B,$A1136,실시간콜입력!$E:$E,"C",실시간콜입력!$G:$G,$B1136,실시간콜입력!$O:$O,"방문완료")+COUNTIFS(실시간콜입력!$B:$B,$A1136,실시간콜입력!$E:$E,"C",실시간콜입력!$H:$H,$B1136,실시간콜입력!$O:$O,"방문완료")</f>
        <v>0</v>
      </c>
      <c r="I1136" s="29">
        <f>COUNTIFS(실시간콜입력!$B:$B,$A1136,실시간콜입력!$E:$E,"D",실시간콜입력!$G:$G,$B1136,실시간콜입력!$O:$O,"방문완료")+COUNTIFS(실시간콜입력!$B:$B,$A1136,실시간콜입력!$E:$E,"D",실시간콜입력!$H:$H,$B1136,실시간콜입력!$O:$O,"방문완료")</f>
        <v>0</v>
      </c>
      <c r="J1136" s="29">
        <f>COUNTIFS(실시간콜입력!$B:$B,$A1136,실시간콜입력!$E:$E,"E",실시간콜입력!$G:$G,$B1136,실시간콜입력!$O:$O,"방문완료")+COUNTIFS(실시간콜입력!$B:$B,$A1136,실시간콜입력!$E:$E,"E",실시간콜입력!$H:$H,$B1136,실시간콜입력!$O:$O,"방문완료")</f>
        <v>0</v>
      </c>
      <c r="K1136" s="29">
        <f t="shared" si="152"/>
        <v>0</v>
      </c>
      <c r="L1136" s="33">
        <f>SUMIFS(실시간콜입력!$K:$K,실시간콜입력!$B:$B,$A1136,실시간콜입력!$G:$G,$B1136,실시간콜입력!$O:$O,"방문완료")+SUMIFS(실시간콜입력!$L:$L,실시간콜입력!$B:$B,$A1136,실시간콜입력!$H:$H,$B1136,실시간콜입력!$O:$O,"방문완료")</f>
        <v>0</v>
      </c>
      <c r="M1136" s="29" t="str">
        <f t="shared" si="153"/>
        <v/>
      </c>
      <c r="N1136" s="29"/>
    </row>
    <row r="1137" spans="1:14" ht="19.5" hidden="1" customHeight="1" outlineLevel="1">
      <c r="A1137" s="24">
        <f>IF(22&lt;=DAY(DATE(YEAR(설정_코스수당!$K$2),MONTH(설정_코스수당!$K$2)+1,0)),DATE(YEAR(설정_코스수당!$K$2),MONTH(설정_코스수당!$K$2),22),"")</f>
        <v>46195</v>
      </c>
      <c r="B1137" s="23" t="s">
        <v>201</v>
      </c>
      <c r="C1137" s="29"/>
      <c r="D1137" s="29"/>
      <c r="E1137" s="29" t="str">
        <f t="shared" si="151"/>
        <v/>
      </c>
      <c r="F1137" s="29">
        <f>COUNTIFS(실시간콜입력!$B:$B,$A1137,실시간콜입력!$E:$E,"A",실시간콜입력!$G:$G,$B1137,실시간콜입력!$O:$O,"방문완료")+COUNTIFS(실시간콜입력!$B:$B,$A1137,실시간콜입력!$E:$E,"A",실시간콜입력!$H:$H,$B1137,실시간콜입력!$O:$O,"방문완료")</f>
        <v>0</v>
      </c>
      <c r="G1137" s="29">
        <f>COUNTIFS(실시간콜입력!$B:$B,$A1137,실시간콜입력!$E:$E,"B",실시간콜입력!$G:$G,$B1137,실시간콜입력!$O:$O,"방문완료")+COUNTIFS(실시간콜입력!$B:$B,$A1137,실시간콜입력!$E:$E,"B",실시간콜입력!$H:$H,$B1137,실시간콜입력!$O:$O,"방문완료")</f>
        <v>0</v>
      </c>
      <c r="H1137" s="29">
        <f>COUNTIFS(실시간콜입력!$B:$B,$A1137,실시간콜입력!$E:$E,"C",실시간콜입력!$G:$G,$B1137,실시간콜입력!$O:$O,"방문완료")+COUNTIFS(실시간콜입력!$B:$B,$A1137,실시간콜입력!$E:$E,"C",실시간콜입력!$H:$H,$B1137,실시간콜입력!$O:$O,"방문완료")</f>
        <v>0</v>
      </c>
      <c r="I1137" s="29">
        <f>COUNTIFS(실시간콜입력!$B:$B,$A1137,실시간콜입력!$E:$E,"D",실시간콜입력!$G:$G,$B1137,실시간콜입력!$O:$O,"방문완료")+COUNTIFS(실시간콜입력!$B:$B,$A1137,실시간콜입력!$E:$E,"D",실시간콜입력!$H:$H,$B1137,실시간콜입력!$O:$O,"방문완료")</f>
        <v>0</v>
      </c>
      <c r="J1137" s="29">
        <f>COUNTIFS(실시간콜입력!$B:$B,$A1137,실시간콜입력!$E:$E,"E",실시간콜입력!$G:$G,$B1137,실시간콜입력!$O:$O,"방문완료")+COUNTIFS(실시간콜입력!$B:$B,$A1137,실시간콜입력!$E:$E,"E",실시간콜입력!$H:$H,$B1137,실시간콜입력!$O:$O,"방문완료")</f>
        <v>0</v>
      </c>
      <c r="K1137" s="29">
        <f t="shared" si="152"/>
        <v>0</v>
      </c>
      <c r="L1137" s="27">
        <f>SUMIFS(실시간콜입력!$K:$K,실시간콜입력!$B:$B,$A1137,실시간콜입력!$G:$G,$B1137,실시간콜입력!$O:$O,"방문완료")+SUMIFS(실시간콜입력!$L:$L,실시간콜입력!$B:$B,$A1137,실시간콜입력!$H:$H,$B1137,실시간콜입력!$O:$O,"방문완료")</f>
        <v>0</v>
      </c>
      <c r="M1137" s="29" t="str">
        <f t="shared" si="153"/>
        <v/>
      </c>
      <c r="N1137" s="29"/>
    </row>
    <row r="1138" spans="1:14" ht="19.5" hidden="1" customHeight="1" outlineLevel="1">
      <c r="A1138" s="30">
        <f>IF(22&lt;=DAY(DATE(YEAR(설정_코스수당!$K$2),MONTH(설정_코스수당!$K$2)+1,0)),DATE(YEAR(설정_코스수당!$K$2),MONTH(설정_코스수당!$K$2),22),"")</f>
        <v>46195</v>
      </c>
      <c r="B1138" s="29" t="s">
        <v>202</v>
      </c>
      <c r="C1138" s="29"/>
      <c r="D1138" s="29"/>
      <c r="E1138" s="29" t="str">
        <f t="shared" si="151"/>
        <v/>
      </c>
      <c r="F1138" s="29">
        <f>COUNTIFS(실시간콜입력!$B:$B,$A1138,실시간콜입력!$E:$E,"A",실시간콜입력!$G:$G,$B1138,실시간콜입력!$O:$O,"방문완료")+COUNTIFS(실시간콜입력!$B:$B,$A1138,실시간콜입력!$E:$E,"A",실시간콜입력!$H:$H,$B1138,실시간콜입력!$O:$O,"방문완료")</f>
        <v>0</v>
      </c>
      <c r="G1138" s="29">
        <f>COUNTIFS(실시간콜입력!$B:$B,$A1138,실시간콜입력!$E:$E,"B",실시간콜입력!$G:$G,$B1138,실시간콜입력!$O:$O,"방문완료")+COUNTIFS(실시간콜입력!$B:$B,$A1138,실시간콜입력!$E:$E,"B",실시간콜입력!$H:$H,$B1138,실시간콜입력!$O:$O,"방문완료")</f>
        <v>0</v>
      </c>
      <c r="H1138" s="29">
        <f>COUNTIFS(실시간콜입력!$B:$B,$A1138,실시간콜입력!$E:$E,"C",실시간콜입력!$G:$G,$B1138,실시간콜입력!$O:$O,"방문완료")+COUNTIFS(실시간콜입력!$B:$B,$A1138,실시간콜입력!$E:$E,"C",실시간콜입력!$H:$H,$B1138,실시간콜입력!$O:$O,"방문완료")</f>
        <v>0</v>
      </c>
      <c r="I1138" s="29">
        <f>COUNTIFS(실시간콜입력!$B:$B,$A1138,실시간콜입력!$E:$E,"D",실시간콜입력!$G:$G,$B1138,실시간콜입력!$O:$O,"방문완료")+COUNTIFS(실시간콜입력!$B:$B,$A1138,실시간콜입력!$E:$E,"D",실시간콜입력!$H:$H,$B1138,실시간콜입력!$O:$O,"방문완료")</f>
        <v>0</v>
      </c>
      <c r="J1138" s="29">
        <f>COUNTIFS(실시간콜입력!$B:$B,$A1138,실시간콜입력!$E:$E,"E",실시간콜입력!$G:$G,$B1138,실시간콜입력!$O:$O,"방문완료")+COUNTIFS(실시간콜입력!$B:$B,$A1138,실시간콜입력!$E:$E,"E",실시간콜입력!$H:$H,$B1138,실시간콜입력!$O:$O,"방문완료")</f>
        <v>0</v>
      </c>
      <c r="K1138" s="29">
        <f t="shared" si="152"/>
        <v>0</v>
      </c>
      <c r="L1138" s="33">
        <f>SUMIFS(실시간콜입력!$K:$K,실시간콜입력!$B:$B,$A1138,실시간콜입력!$G:$G,$B1138,실시간콜입력!$O:$O,"방문완료")+SUMIFS(실시간콜입력!$L:$L,실시간콜입력!$B:$B,$A1138,실시간콜입력!$H:$H,$B1138,실시간콜입력!$O:$O,"방문완료")</f>
        <v>0</v>
      </c>
      <c r="M1138" s="29" t="str">
        <f t="shared" si="153"/>
        <v/>
      </c>
      <c r="N1138" s="29"/>
    </row>
    <row r="1139" spans="1:14" ht="19.5" hidden="1" customHeight="1" outlineLevel="1">
      <c r="A1139" s="24">
        <f>IF(22&lt;=DAY(DATE(YEAR(설정_코스수당!$K$2),MONTH(설정_코스수당!$K$2)+1,0)),DATE(YEAR(설정_코스수당!$K$2),MONTH(설정_코스수당!$K$2),22),"")</f>
        <v>46195</v>
      </c>
      <c r="B1139" s="23" t="s">
        <v>203</v>
      </c>
      <c r="C1139" s="29"/>
      <c r="D1139" s="29"/>
      <c r="E1139" s="29" t="str">
        <f t="shared" si="151"/>
        <v/>
      </c>
      <c r="F1139" s="29">
        <f>COUNTIFS(실시간콜입력!$B:$B,$A1139,실시간콜입력!$E:$E,"A",실시간콜입력!$G:$G,$B1139,실시간콜입력!$O:$O,"방문완료")+COUNTIFS(실시간콜입력!$B:$B,$A1139,실시간콜입력!$E:$E,"A",실시간콜입력!$H:$H,$B1139,실시간콜입력!$O:$O,"방문완료")</f>
        <v>0</v>
      </c>
      <c r="G1139" s="29">
        <f>COUNTIFS(실시간콜입력!$B:$B,$A1139,실시간콜입력!$E:$E,"B",실시간콜입력!$G:$G,$B1139,실시간콜입력!$O:$O,"방문완료")+COUNTIFS(실시간콜입력!$B:$B,$A1139,실시간콜입력!$E:$E,"B",실시간콜입력!$H:$H,$B1139,실시간콜입력!$O:$O,"방문완료")</f>
        <v>0</v>
      </c>
      <c r="H1139" s="29">
        <f>COUNTIFS(실시간콜입력!$B:$B,$A1139,실시간콜입력!$E:$E,"C",실시간콜입력!$G:$G,$B1139,실시간콜입력!$O:$O,"방문완료")+COUNTIFS(실시간콜입력!$B:$B,$A1139,실시간콜입력!$E:$E,"C",실시간콜입력!$H:$H,$B1139,실시간콜입력!$O:$O,"방문완료")</f>
        <v>0</v>
      </c>
      <c r="I1139" s="29">
        <f>COUNTIFS(실시간콜입력!$B:$B,$A1139,실시간콜입력!$E:$E,"D",실시간콜입력!$G:$G,$B1139,실시간콜입력!$O:$O,"방문완료")+COUNTIFS(실시간콜입력!$B:$B,$A1139,실시간콜입력!$E:$E,"D",실시간콜입력!$H:$H,$B1139,실시간콜입력!$O:$O,"방문완료")</f>
        <v>0</v>
      </c>
      <c r="J1139" s="29">
        <f>COUNTIFS(실시간콜입력!$B:$B,$A1139,실시간콜입력!$E:$E,"E",실시간콜입력!$G:$G,$B1139,실시간콜입력!$O:$O,"방문완료")+COUNTIFS(실시간콜입력!$B:$B,$A1139,실시간콜입력!$E:$E,"E",실시간콜입력!$H:$H,$B1139,실시간콜입력!$O:$O,"방문완료")</f>
        <v>0</v>
      </c>
      <c r="K1139" s="29">
        <f t="shared" si="152"/>
        <v>0</v>
      </c>
      <c r="L1139" s="27">
        <f>SUMIFS(실시간콜입력!$K:$K,실시간콜입력!$B:$B,$A1139,실시간콜입력!$G:$G,$B1139,실시간콜입력!$O:$O,"방문완료")+SUMIFS(실시간콜입력!$L:$L,실시간콜입력!$B:$B,$A1139,실시간콜입력!$H:$H,$B1139,실시간콜입력!$O:$O,"방문완료")</f>
        <v>0</v>
      </c>
      <c r="M1139" s="29" t="str">
        <f t="shared" si="153"/>
        <v/>
      </c>
      <c r="N1139" s="29"/>
    </row>
    <row r="1140" spans="1:14" ht="19.5" hidden="1" customHeight="1" outlineLevel="1">
      <c r="A1140" s="30">
        <f>IF(22&lt;=DAY(DATE(YEAR(설정_코스수당!$K$2),MONTH(설정_코스수당!$K$2)+1,0)),DATE(YEAR(설정_코스수당!$K$2),MONTH(설정_코스수당!$K$2),22),"")</f>
        <v>46195</v>
      </c>
      <c r="B1140" s="29" t="s">
        <v>204</v>
      </c>
      <c r="C1140" s="29"/>
      <c r="D1140" s="29"/>
      <c r="E1140" s="29" t="str">
        <f t="shared" si="151"/>
        <v/>
      </c>
      <c r="F1140" s="29">
        <f>COUNTIFS(실시간콜입력!$B:$B,$A1140,실시간콜입력!$E:$E,"A",실시간콜입력!$G:$G,$B1140,실시간콜입력!$O:$O,"방문완료")+COUNTIFS(실시간콜입력!$B:$B,$A1140,실시간콜입력!$E:$E,"A",실시간콜입력!$H:$H,$B1140,실시간콜입력!$O:$O,"방문완료")</f>
        <v>0</v>
      </c>
      <c r="G1140" s="29">
        <f>COUNTIFS(실시간콜입력!$B:$B,$A1140,실시간콜입력!$E:$E,"B",실시간콜입력!$G:$G,$B1140,실시간콜입력!$O:$O,"방문완료")+COUNTIFS(실시간콜입력!$B:$B,$A1140,실시간콜입력!$E:$E,"B",실시간콜입력!$H:$H,$B1140,실시간콜입력!$O:$O,"방문완료")</f>
        <v>0</v>
      </c>
      <c r="H1140" s="29">
        <f>COUNTIFS(실시간콜입력!$B:$B,$A1140,실시간콜입력!$E:$E,"C",실시간콜입력!$G:$G,$B1140,실시간콜입력!$O:$O,"방문완료")+COUNTIFS(실시간콜입력!$B:$B,$A1140,실시간콜입력!$E:$E,"C",실시간콜입력!$H:$H,$B1140,실시간콜입력!$O:$O,"방문완료")</f>
        <v>0</v>
      </c>
      <c r="I1140" s="29">
        <f>COUNTIFS(실시간콜입력!$B:$B,$A1140,실시간콜입력!$E:$E,"D",실시간콜입력!$G:$G,$B1140,실시간콜입력!$O:$O,"방문완료")+COUNTIFS(실시간콜입력!$B:$B,$A1140,실시간콜입력!$E:$E,"D",실시간콜입력!$H:$H,$B1140,실시간콜입력!$O:$O,"방문완료")</f>
        <v>0</v>
      </c>
      <c r="J1140" s="29">
        <f>COUNTIFS(실시간콜입력!$B:$B,$A1140,실시간콜입력!$E:$E,"E",실시간콜입력!$G:$G,$B1140,실시간콜입력!$O:$O,"방문완료")+COUNTIFS(실시간콜입력!$B:$B,$A1140,실시간콜입력!$E:$E,"E",실시간콜입력!$H:$H,$B1140,실시간콜입력!$O:$O,"방문완료")</f>
        <v>0</v>
      </c>
      <c r="K1140" s="29">
        <f t="shared" si="152"/>
        <v>0</v>
      </c>
      <c r="L1140" s="33">
        <f>SUMIFS(실시간콜입력!$K:$K,실시간콜입력!$B:$B,$A1140,실시간콜입력!$G:$G,$B1140,실시간콜입력!$O:$O,"방문완료")+SUMIFS(실시간콜입력!$L:$L,실시간콜입력!$B:$B,$A1140,실시간콜입력!$H:$H,$B1140,실시간콜입력!$O:$O,"방문완료")</f>
        <v>0</v>
      </c>
      <c r="M1140" s="29" t="str">
        <f t="shared" si="153"/>
        <v/>
      </c>
      <c r="N1140" s="29"/>
    </row>
    <row r="1141" spans="1:14" ht="19.5" hidden="1" customHeight="1" outlineLevel="1">
      <c r="A1141" s="24">
        <f>IF(22&lt;=DAY(DATE(YEAR(설정_코스수당!$K$2),MONTH(설정_코스수당!$K$2)+1,0)),DATE(YEAR(설정_코스수당!$K$2),MONTH(설정_코스수당!$K$2),22),"")</f>
        <v>46195</v>
      </c>
      <c r="B1141" s="23" t="s">
        <v>205</v>
      </c>
      <c r="C1141" s="29"/>
      <c r="D1141" s="29"/>
      <c r="E1141" s="29" t="str">
        <f t="shared" si="151"/>
        <v/>
      </c>
      <c r="F1141" s="29">
        <f>COUNTIFS(실시간콜입력!$B:$B,$A1141,실시간콜입력!$E:$E,"A",실시간콜입력!$G:$G,$B1141,실시간콜입력!$O:$O,"방문완료")+COUNTIFS(실시간콜입력!$B:$B,$A1141,실시간콜입력!$E:$E,"A",실시간콜입력!$H:$H,$B1141,실시간콜입력!$O:$O,"방문완료")</f>
        <v>0</v>
      </c>
      <c r="G1141" s="29">
        <f>COUNTIFS(실시간콜입력!$B:$B,$A1141,실시간콜입력!$E:$E,"B",실시간콜입력!$G:$G,$B1141,실시간콜입력!$O:$O,"방문완료")+COUNTIFS(실시간콜입력!$B:$B,$A1141,실시간콜입력!$E:$E,"B",실시간콜입력!$H:$H,$B1141,실시간콜입력!$O:$O,"방문완료")</f>
        <v>0</v>
      </c>
      <c r="H1141" s="29">
        <f>COUNTIFS(실시간콜입력!$B:$B,$A1141,실시간콜입력!$E:$E,"C",실시간콜입력!$G:$G,$B1141,실시간콜입력!$O:$O,"방문완료")+COUNTIFS(실시간콜입력!$B:$B,$A1141,실시간콜입력!$E:$E,"C",실시간콜입력!$H:$H,$B1141,실시간콜입력!$O:$O,"방문완료")</f>
        <v>0</v>
      </c>
      <c r="I1141" s="29">
        <f>COUNTIFS(실시간콜입력!$B:$B,$A1141,실시간콜입력!$E:$E,"D",실시간콜입력!$G:$G,$B1141,실시간콜입력!$O:$O,"방문완료")+COUNTIFS(실시간콜입력!$B:$B,$A1141,실시간콜입력!$E:$E,"D",실시간콜입력!$H:$H,$B1141,실시간콜입력!$O:$O,"방문완료")</f>
        <v>0</v>
      </c>
      <c r="J1141" s="29">
        <f>COUNTIFS(실시간콜입력!$B:$B,$A1141,실시간콜입력!$E:$E,"E",실시간콜입력!$G:$G,$B1141,실시간콜입력!$O:$O,"방문완료")+COUNTIFS(실시간콜입력!$B:$B,$A1141,실시간콜입력!$E:$E,"E",실시간콜입력!$H:$H,$B1141,실시간콜입력!$O:$O,"방문완료")</f>
        <v>0</v>
      </c>
      <c r="K1141" s="29">
        <f t="shared" si="152"/>
        <v>0</v>
      </c>
      <c r="L1141" s="27">
        <f>SUMIFS(실시간콜입력!$K:$K,실시간콜입력!$B:$B,$A1141,실시간콜입력!$G:$G,$B1141,실시간콜입력!$O:$O,"방문완료")+SUMIFS(실시간콜입력!$L:$L,실시간콜입력!$B:$B,$A1141,실시간콜입력!$H:$H,$B1141,실시간콜입력!$O:$O,"방문완료")</f>
        <v>0</v>
      </c>
      <c r="M1141" s="29" t="str">
        <f t="shared" si="153"/>
        <v/>
      </c>
      <c r="N1141" s="29"/>
    </row>
    <row r="1142" spans="1:14" ht="19.5" hidden="1" customHeight="1" outlineLevel="1">
      <c r="A1142" s="30">
        <f>IF(22&lt;=DAY(DATE(YEAR(설정_코스수당!$K$2),MONTH(설정_코스수당!$K$2)+1,0)),DATE(YEAR(설정_코스수당!$K$2),MONTH(설정_코스수당!$K$2),22),"")</f>
        <v>46195</v>
      </c>
      <c r="B1142" s="29" t="s">
        <v>206</v>
      </c>
      <c r="C1142" s="29"/>
      <c r="D1142" s="29"/>
      <c r="E1142" s="29" t="str">
        <f t="shared" si="151"/>
        <v/>
      </c>
      <c r="F1142" s="29">
        <f>COUNTIFS(실시간콜입력!$B:$B,$A1142,실시간콜입력!$E:$E,"A",실시간콜입력!$G:$G,$B1142,실시간콜입력!$O:$O,"방문완료")+COUNTIFS(실시간콜입력!$B:$B,$A1142,실시간콜입력!$E:$E,"A",실시간콜입력!$H:$H,$B1142,실시간콜입력!$O:$O,"방문완료")</f>
        <v>0</v>
      </c>
      <c r="G1142" s="29">
        <f>COUNTIFS(실시간콜입력!$B:$B,$A1142,실시간콜입력!$E:$E,"B",실시간콜입력!$G:$G,$B1142,실시간콜입력!$O:$O,"방문완료")+COUNTIFS(실시간콜입력!$B:$B,$A1142,실시간콜입력!$E:$E,"B",실시간콜입력!$H:$H,$B1142,실시간콜입력!$O:$O,"방문완료")</f>
        <v>0</v>
      </c>
      <c r="H1142" s="29">
        <f>COUNTIFS(실시간콜입력!$B:$B,$A1142,실시간콜입력!$E:$E,"C",실시간콜입력!$G:$G,$B1142,실시간콜입력!$O:$O,"방문완료")+COUNTIFS(실시간콜입력!$B:$B,$A1142,실시간콜입력!$E:$E,"C",실시간콜입력!$H:$H,$B1142,실시간콜입력!$O:$O,"방문완료")</f>
        <v>0</v>
      </c>
      <c r="I1142" s="29">
        <f>COUNTIFS(실시간콜입력!$B:$B,$A1142,실시간콜입력!$E:$E,"D",실시간콜입력!$G:$G,$B1142,실시간콜입력!$O:$O,"방문완료")+COUNTIFS(실시간콜입력!$B:$B,$A1142,실시간콜입력!$E:$E,"D",실시간콜입력!$H:$H,$B1142,실시간콜입력!$O:$O,"방문완료")</f>
        <v>0</v>
      </c>
      <c r="J1142" s="29">
        <f>COUNTIFS(실시간콜입력!$B:$B,$A1142,실시간콜입력!$E:$E,"E",실시간콜입력!$G:$G,$B1142,실시간콜입력!$O:$O,"방문완료")+COUNTIFS(실시간콜입력!$B:$B,$A1142,실시간콜입력!$E:$E,"E",실시간콜입력!$H:$H,$B1142,실시간콜입력!$O:$O,"방문완료")</f>
        <v>0</v>
      </c>
      <c r="K1142" s="29">
        <f t="shared" si="152"/>
        <v>0</v>
      </c>
      <c r="L1142" s="33">
        <f>SUMIFS(실시간콜입력!$K:$K,실시간콜입력!$B:$B,$A1142,실시간콜입력!$G:$G,$B1142,실시간콜입력!$O:$O,"방문완료")+SUMIFS(실시간콜입력!$L:$L,실시간콜입력!$B:$B,$A1142,실시간콜입력!$H:$H,$B1142,실시간콜입력!$O:$O,"방문완료")</f>
        <v>0</v>
      </c>
      <c r="M1142" s="29" t="str">
        <f t="shared" si="153"/>
        <v/>
      </c>
      <c r="N1142" s="29"/>
    </row>
    <row r="1143" spans="1:14" ht="19.5" hidden="1" customHeight="1" outlineLevel="1">
      <c r="A1143" s="24">
        <f>IF(22&lt;=DAY(DATE(YEAR(설정_코스수당!$K$2),MONTH(설정_코스수당!$K$2)+1,0)),DATE(YEAR(설정_코스수당!$K$2),MONTH(설정_코스수당!$K$2),22),"")</f>
        <v>46195</v>
      </c>
      <c r="B1143" s="23" t="s">
        <v>207</v>
      </c>
      <c r="C1143" s="29"/>
      <c r="D1143" s="29"/>
      <c r="E1143" s="29" t="str">
        <f t="shared" si="151"/>
        <v/>
      </c>
      <c r="F1143" s="29">
        <f>COUNTIFS(실시간콜입력!$B:$B,$A1143,실시간콜입력!$E:$E,"A",실시간콜입력!$G:$G,$B1143,실시간콜입력!$O:$O,"방문완료")+COUNTIFS(실시간콜입력!$B:$B,$A1143,실시간콜입력!$E:$E,"A",실시간콜입력!$H:$H,$B1143,실시간콜입력!$O:$O,"방문완료")</f>
        <v>0</v>
      </c>
      <c r="G1143" s="29">
        <f>COUNTIFS(실시간콜입력!$B:$B,$A1143,실시간콜입력!$E:$E,"B",실시간콜입력!$G:$G,$B1143,실시간콜입력!$O:$O,"방문완료")+COUNTIFS(실시간콜입력!$B:$B,$A1143,실시간콜입력!$E:$E,"B",실시간콜입력!$H:$H,$B1143,실시간콜입력!$O:$O,"방문완료")</f>
        <v>0</v>
      </c>
      <c r="H1143" s="29">
        <f>COUNTIFS(실시간콜입력!$B:$B,$A1143,실시간콜입력!$E:$E,"C",실시간콜입력!$G:$G,$B1143,실시간콜입력!$O:$O,"방문완료")+COUNTIFS(실시간콜입력!$B:$B,$A1143,실시간콜입력!$E:$E,"C",실시간콜입력!$H:$H,$B1143,실시간콜입력!$O:$O,"방문완료")</f>
        <v>0</v>
      </c>
      <c r="I1143" s="29">
        <f>COUNTIFS(실시간콜입력!$B:$B,$A1143,실시간콜입력!$E:$E,"D",실시간콜입력!$G:$G,$B1143,실시간콜입력!$O:$O,"방문완료")+COUNTIFS(실시간콜입력!$B:$B,$A1143,실시간콜입력!$E:$E,"D",실시간콜입력!$H:$H,$B1143,실시간콜입력!$O:$O,"방문완료")</f>
        <v>0</v>
      </c>
      <c r="J1143" s="29">
        <f>COUNTIFS(실시간콜입력!$B:$B,$A1143,실시간콜입력!$E:$E,"E",실시간콜입력!$G:$G,$B1143,실시간콜입력!$O:$O,"방문완료")+COUNTIFS(실시간콜입력!$B:$B,$A1143,실시간콜입력!$E:$E,"E",실시간콜입력!$H:$H,$B1143,실시간콜입력!$O:$O,"방문완료")</f>
        <v>0</v>
      </c>
      <c r="K1143" s="29">
        <f t="shared" si="152"/>
        <v>0</v>
      </c>
      <c r="L1143" s="27">
        <f>SUMIFS(실시간콜입력!$K:$K,실시간콜입력!$B:$B,$A1143,실시간콜입력!$G:$G,$B1143,실시간콜입력!$O:$O,"방문완료")+SUMIFS(실시간콜입력!$L:$L,실시간콜입력!$B:$B,$A1143,실시간콜입력!$H:$H,$B1143,실시간콜입력!$O:$O,"방문완료")</f>
        <v>0</v>
      </c>
      <c r="M1143" s="29" t="str">
        <f t="shared" si="153"/>
        <v/>
      </c>
      <c r="N1143" s="29"/>
    </row>
    <row r="1144" spans="1:14" ht="19.5" hidden="1" customHeight="1" outlineLevel="1">
      <c r="A1144" s="30">
        <f>IF(22&lt;=DAY(DATE(YEAR(설정_코스수당!$K$2),MONTH(설정_코스수당!$K$2)+1,0)),DATE(YEAR(설정_코스수당!$K$2),MONTH(설정_코스수당!$K$2),22),"")</f>
        <v>46195</v>
      </c>
      <c r="B1144" s="29" t="s">
        <v>208</v>
      </c>
      <c r="C1144" s="29"/>
      <c r="D1144" s="29"/>
      <c r="E1144" s="29" t="str">
        <f t="shared" si="151"/>
        <v/>
      </c>
      <c r="F1144" s="29">
        <f>COUNTIFS(실시간콜입력!$B:$B,$A1144,실시간콜입력!$E:$E,"A",실시간콜입력!$G:$G,$B1144,실시간콜입력!$O:$O,"방문완료")+COUNTIFS(실시간콜입력!$B:$B,$A1144,실시간콜입력!$E:$E,"A",실시간콜입력!$H:$H,$B1144,실시간콜입력!$O:$O,"방문완료")</f>
        <v>0</v>
      </c>
      <c r="G1144" s="29">
        <f>COUNTIFS(실시간콜입력!$B:$B,$A1144,실시간콜입력!$E:$E,"B",실시간콜입력!$G:$G,$B1144,실시간콜입력!$O:$O,"방문완료")+COUNTIFS(실시간콜입력!$B:$B,$A1144,실시간콜입력!$E:$E,"B",실시간콜입력!$H:$H,$B1144,실시간콜입력!$O:$O,"방문완료")</f>
        <v>0</v>
      </c>
      <c r="H1144" s="29">
        <f>COUNTIFS(실시간콜입력!$B:$B,$A1144,실시간콜입력!$E:$E,"C",실시간콜입력!$G:$G,$B1144,실시간콜입력!$O:$O,"방문완료")+COUNTIFS(실시간콜입력!$B:$B,$A1144,실시간콜입력!$E:$E,"C",실시간콜입력!$H:$H,$B1144,실시간콜입력!$O:$O,"방문완료")</f>
        <v>0</v>
      </c>
      <c r="I1144" s="29">
        <f>COUNTIFS(실시간콜입력!$B:$B,$A1144,실시간콜입력!$E:$E,"D",실시간콜입력!$G:$G,$B1144,실시간콜입력!$O:$O,"방문완료")+COUNTIFS(실시간콜입력!$B:$B,$A1144,실시간콜입력!$E:$E,"D",실시간콜입력!$H:$H,$B1144,실시간콜입력!$O:$O,"방문완료")</f>
        <v>0</v>
      </c>
      <c r="J1144" s="29">
        <f>COUNTIFS(실시간콜입력!$B:$B,$A1144,실시간콜입력!$E:$E,"E",실시간콜입력!$G:$G,$B1144,실시간콜입력!$O:$O,"방문완료")+COUNTIFS(실시간콜입력!$B:$B,$A1144,실시간콜입력!$E:$E,"E",실시간콜입력!$H:$H,$B1144,실시간콜입력!$O:$O,"방문완료")</f>
        <v>0</v>
      </c>
      <c r="K1144" s="29">
        <f t="shared" si="152"/>
        <v>0</v>
      </c>
      <c r="L1144" s="33">
        <f>SUMIFS(실시간콜입력!$K:$K,실시간콜입력!$B:$B,$A1144,실시간콜입력!$G:$G,$B1144,실시간콜입력!$O:$O,"방문완료")+SUMIFS(실시간콜입력!$L:$L,실시간콜입력!$B:$B,$A1144,실시간콜입력!$H:$H,$B1144,실시간콜입력!$O:$O,"방문완료")</f>
        <v>0</v>
      </c>
      <c r="M1144" s="29" t="str">
        <f t="shared" si="153"/>
        <v/>
      </c>
      <c r="N1144" s="29"/>
    </row>
    <row r="1145" spans="1:14" ht="19.5" hidden="1" customHeight="1" outlineLevel="1">
      <c r="A1145" s="24">
        <f>IF(22&lt;=DAY(DATE(YEAR(설정_코스수당!$K$2),MONTH(설정_코스수당!$K$2)+1,0)),DATE(YEAR(설정_코스수당!$K$2),MONTH(설정_코스수당!$K$2),22),"")</f>
        <v>46195</v>
      </c>
      <c r="B1145" s="23" t="s">
        <v>209</v>
      </c>
      <c r="C1145" s="29"/>
      <c r="D1145" s="29"/>
      <c r="E1145" s="29" t="str">
        <f t="shared" si="151"/>
        <v/>
      </c>
      <c r="F1145" s="29">
        <f>COUNTIFS(실시간콜입력!$B:$B,$A1145,실시간콜입력!$E:$E,"A",실시간콜입력!$G:$G,$B1145,실시간콜입력!$O:$O,"방문완료")+COUNTIFS(실시간콜입력!$B:$B,$A1145,실시간콜입력!$E:$E,"A",실시간콜입력!$H:$H,$B1145,실시간콜입력!$O:$O,"방문완료")</f>
        <v>0</v>
      </c>
      <c r="G1145" s="29">
        <f>COUNTIFS(실시간콜입력!$B:$B,$A1145,실시간콜입력!$E:$E,"B",실시간콜입력!$G:$G,$B1145,실시간콜입력!$O:$O,"방문완료")+COUNTIFS(실시간콜입력!$B:$B,$A1145,실시간콜입력!$E:$E,"B",실시간콜입력!$H:$H,$B1145,실시간콜입력!$O:$O,"방문완료")</f>
        <v>0</v>
      </c>
      <c r="H1145" s="29">
        <f>COUNTIFS(실시간콜입력!$B:$B,$A1145,실시간콜입력!$E:$E,"C",실시간콜입력!$G:$G,$B1145,실시간콜입력!$O:$O,"방문완료")+COUNTIFS(실시간콜입력!$B:$B,$A1145,실시간콜입력!$E:$E,"C",실시간콜입력!$H:$H,$B1145,실시간콜입력!$O:$O,"방문완료")</f>
        <v>0</v>
      </c>
      <c r="I1145" s="29">
        <f>COUNTIFS(실시간콜입력!$B:$B,$A1145,실시간콜입력!$E:$E,"D",실시간콜입력!$G:$G,$B1145,실시간콜입력!$O:$O,"방문완료")+COUNTIFS(실시간콜입력!$B:$B,$A1145,실시간콜입력!$E:$E,"D",실시간콜입력!$H:$H,$B1145,실시간콜입력!$O:$O,"방문완료")</f>
        <v>0</v>
      </c>
      <c r="J1145" s="29">
        <f>COUNTIFS(실시간콜입력!$B:$B,$A1145,실시간콜입력!$E:$E,"E",실시간콜입력!$G:$G,$B1145,실시간콜입력!$O:$O,"방문완료")+COUNTIFS(실시간콜입력!$B:$B,$A1145,실시간콜입력!$E:$E,"E",실시간콜입력!$H:$H,$B1145,실시간콜입력!$O:$O,"방문완료")</f>
        <v>0</v>
      </c>
      <c r="K1145" s="29">
        <f t="shared" si="152"/>
        <v>0</v>
      </c>
      <c r="L1145" s="27">
        <f>SUMIFS(실시간콜입력!$K:$K,실시간콜입력!$B:$B,$A1145,실시간콜입력!$G:$G,$B1145,실시간콜입력!$O:$O,"방문완료")+SUMIFS(실시간콜입력!$L:$L,실시간콜입력!$B:$B,$A1145,실시간콜입력!$H:$H,$B1145,실시간콜입력!$O:$O,"방문완료")</f>
        <v>0</v>
      </c>
      <c r="M1145" s="29" t="str">
        <f t="shared" si="153"/>
        <v/>
      </c>
      <c r="N1145" s="29"/>
    </row>
    <row r="1146" spans="1:14" ht="19.5" hidden="1" customHeight="1" outlineLevel="1">
      <c r="A1146" s="30">
        <f>IF(22&lt;=DAY(DATE(YEAR(설정_코스수당!$K$2),MONTH(설정_코스수당!$K$2)+1,0)),DATE(YEAR(설정_코스수당!$K$2),MONTH(설정_코스수당!$K$2),22),"")</f>
        <v>46195</v>
      </c>
      <c r="B1146" s="29" t="s">
        <v>210</v>
      </c>
      <c r="C1146" s="29"/>
      <c r="D1146" s="29"/>
      <c r="E1146" s="29" t="str">
        <f t="shared" si="151"/>
        <v/>
      </c>
      <c r="F1146" s="29">
        <f>COUNTIFS(실시간콜입력!$B:$B,$A1146,실시간콜입력!$E:$E,"A",실시간콜입력!$G:$G,$B1146,실시간콜입력!$O:$O,"방문완료")+COUNTIFS(실시간콜입력!$B:$B,$A1146,실시간콜입력!$E:$E,"A",실시간콜입력!$H:$H,$B1146,실시간콜입력!$O:$O,"방문완료")</f>
        <v>0</v>
      </c>
      <c r="G1146" s="29">
        <f>COUNTIFS(실시간콜입력!$B:$B,$A1146,실시간콜입력!$E:$E,"B",실시간콜입력!$G:$G,$B1146,실시간콜입력!$O:$O,"방문완료")+COUNTIFS(실시간콜입력!$B:$B,$A1146,실시간콜입력!$E:$E,"B",실시간콜입력!$H:$H,$B1146,실시간콜입력!$O:$O,"방문완료")</f>
        <v>0</v>
      </c>
      <c r="H1146" s="29">
        <f>COUNTIFS(실시간콜입력!$B:$B,$A1146,실시간콜입력!$E:$E,"C",실시간콜입력!$G:$G,$B1146,실시간콜입력!$O:$O,"방문완료")+COUNTIFS(실시간콜입력!$B:$B,$A1146,실시간콜입력!$E:$E,"C",실시간콜입력!$H:$H,$B1146,실시간콜입력!$O:$O,"방문완료")</f>
        <v>0</v>
      </c>
      <c r="I1146" s="29">
        <f>COUNTIFS(실시간콜입력!$B:$B,$A1146,실시간콜입력!$E:$E,"D",실시간콜입력!$G:$G,$B1146,실시간콜입력!$O:$O,"방문완료")+COUNTIFS(실시간콜입력!$B:$B,$A1146,실시간콜입력!$E:$E,"D",실시간콜입력!$H:$H,$B1146,실시간콜입력!$O:$O,"방문완료")</f>
        <v>0</v>
      </c>
      <c r="J1146" s="29">
        <f>COUNTIFS(실시간콜입력!$B:$B,$A1146,실시간콜입력!$E:$E,"E",실시간콜입력!$G:$G,$B1146,실시간콜입력!$O:$O,"방문완료")+COUNTIFS(실시간콜입력!$B:$B,$A1146,실시간콜입력!$E:$E,"E",실시간콜입력!$H:$H,$B1146,실시간콜입력!$O:$O,"방문완료")</f>
        <v>0</v>
      </c>
      <c r="K1146" s="29">
        <f t="shared" si="152"/>
        <v>0</v>
      </c>
      <c r="L1146" s="33">
        <f>SUMIFS(실시간콜입력!$K:$K,실시간콜입력!$B:$B,$A1146,실시간콜입력!$G:$G,$B1146,실시간콜입력!$O:$O,"방문완료")+SUMIFS(실시간콜입력!$L:$L,실시간콜입력!$B:$B,$A1146,실시간콜입력!$H:$H,$B1146,실시간콜입력!$O:$O,"방문완료")</f>
        <v>0</v>
      </c>
      <c r="M1146" s="29" t="str">
        <f t="shared" si="153"/>
        <v/>
      </c>
      <c r="N1146" s="29"/>
    </row>
    <row r="1147" spans="1:14" ht="19.5" hidden="1" customHeight="1" outlineLevel="1">
      <c r="A1147" s="24">
        <f>IF(22&lt;=DAY(DATE(YEAR(설정_코스수당!$K$2),MONTH(설정_코스수당!$K$2)+1,0)),DATE(YEAR(설정_코스수당!$K$2),MONTH(설정_코스수당!$K$2),22),"")</f>
        <v>46195</v>
      </c>
      <c r="B1147" s="23" t="s">
        <v>211</v>
      </c>
      <c r="C1147" s="29"/>
      <c r="D1147" s="29"/>
      <c r="E1147" s="29" t="str">
        <f t="shared" si="151"/>
        <v/>
      </c>
      <c r="F1147" s="29">
        <f>COUNTIFS(실시간콜입력!$B:$B,$A1147,실시간콜입력!$E:$E,"A",실시간콜입력!$G:$G,$B1147,실시간콜입력!$O:$O,"방문완료")+COUNTIFS(실시간콜입력!$B:$B,$A1147,실시간콜입력!$E:$E,"A",실시간콜입력!$H:$H,$B1147,실시간콜입력!$O:$O,"방문완료")</f>
        <v>0</v>
      </c>
      <c r="G1147" s="29">
        <f>COUNTIFS(실시간콜입력!$B:$B,$A1147,실시간콜입력!$E:$E,"B",실시간콜입력!$G:$G,$B1147,실시간콜입력!$O:$O,"방문완료")+COUNTIFS(실시간콜입력!$B:$B,$A1147,실시간콜입력!$E:$E,"B",실시간콜입력!$H:$H,$B1147,실시간콜입력!$O:$O,"방문완료")</f>
        <v>0</v>
      </c>
      <c r="H1147" s="29">
        <f>COUNTIFS(실시간콜입력!$B:$B,$A1147,실시간콜입력!$E:$E,"C",실시간콜입력!$G:$G,$B1147,실시간콜입력!$O:$O,"방문완료")+COUNTIFS(실시간콜입력!$B:$B,$A1147,실시간콜입력!$E:$E,"C",실시간콜입력!$H:$H,$B1147,실시간콜입력!$O:$O,"방문완료")</f>
        <v>0</v>
      </c>
      <c r="I1147" s="29">
        <f>COUNTIFS(실시간콜입력!$B:$B,$A1147,실시간콜입력!$E:$E,"D",실시간콜입력!$G:$G,$B1147,실시간콜입력!$O:$O,"방문완료")+COUNTIFS(실시간콜입력!$B:$B,$A1147,실시간콜입력!$E:$E,"D",실시간콜입력!$H:$H,$B1147,실시간콜입력!$O:$O,"방문완료")</f>
        <v>0</v>
      </c>
      <c r="J1147" s="29">
        <f>COUNTIFS(실시간콜입력!$B:$B,$A1147,실시간콜입력!$E:$E,"E",실시간콜입력!$G:$G,$B1147,실시간콜입력!$O:$O,"방문완료")+COUNTIFS(실시간콜입력!$B:$B,$A1147,실시간콜입력!$E:$E,"E",실시간콜입력!$H:$H,$B1147,실시간콜입력!$O:$O,"방문완료")</f>
        <v>0</v>
      </c>
      <c r="K1147" s="29">
        <f t="shared" si="152"/>
        <v>0</v>
      </c>
      <c r="L1147" s="27">
        <f>SUMIFS(실시간콜입력!$K:$K,실시간콜입력!$B:$B,$A1147,실시간콜입력!$G:$G,$B1147,실시간콜입력!$O:$O,"방문완료")+SUMIFS(실시간콜입력!$L:$L,실시간콜입력!$B:$B,$A1147,실시간콜입력!$H:$H,$B1147,실시간콜입력!$O:$O,"방문완료")</f>
        <v>0</v>
      </c>
      <c r="M1147" s="29" t="str">
        <f t="shared" si="153"/>
        <v/>
      </c>
      <c r="N1147" s="29"/>
    </row>
    <row r="1148" spans="1:14" ht="19.5" hidden="1" customHeight="1" outlineLevel="1">
      <c r="A1148" s="30">
        <f>IF(22&lt;=DAY(DATE(YEAR(설정_코스수당!$K$2),MONTH(설정_코스수당!$K$2)+1,0)),DATE(YEAR(설정_코스수당!$K$2),MONTH(설정_코스수당!$K$2),22),"")</f>
        <v>46195</v>
      </c>
      <c r="B1148" s="29" t="s">
        <v>212</v>
      </c>
      <c r="C1148" s="29"/>
      <c r="D1148" s="29"/>
      <c r="E1148" s="29" t="str">
        <f t="shared" si="151"/>
        <v/>
      </c>
      <c r="F1148" s="29">
        <f>COUNTIFS(실시간콜입력!$B:$B,$A1148,실시간콜입력!$E:$E,"A",실시간콜입력!$G:$G,$B1148,실시간콜입력!$O:$O,"방문완료")+COUNTIFS(실시간콜입력!$B:$B,$A1148,실시간콜입력!$E:$E,"A",실시간콜입력!$H:$H,$B1148,실시간콜입력!$O:$O,"방문완료")</f>
        <v>0</v>
      </c>
      <c r="G1148" s="29">
        <f>COUNTIFS(실시간콜입력!$B:$B,$A1148,실시간콜입력!$E:$E,"B",실시간콜입력!$G:$G,$B1148,실시간콜입력!$O:$O,"방문완료")+COUNTIFS(실시간콜입력!$B:$B,$A1148,실시간콜입력!$E:$E,"B",실시간콜입력!$H:$H,$B1148,실시간콜입력!$O:$O,"방문완료")</f>
        <v>0</v>
      </c>
      <c r="H1148" s="29">
        <f>COUNTIFS(실시간콜입력!$B:$B,$A1148,실시간콜입력!$E:$E,"C",실시간콜입력!$G:$G,$B1148,실시간콜입력!$O:$O,"방문완료")+COUNTIFS(실시간콜입력!$B:$B,$A1148,실시간콜입력!$E:$E,"C",실시간콜입력!$H:$H,$B1148,실시간콜입력!$O:$O,"방문완료")</f>
        <v>0</v>
      </c>
      <c r="I1148" s="29">
        <f>COUNTIFS(실시간콜입력!$B:$B,$A1148,실시간콜입력!$E:$E,"D",실시간콜입력!$G:$G,$B1148,실시간콜입력!$O:$O,"방문완료")+COUNTIFS(실시간콜입력!$B:$B,$A1148,실시간콜입력!$E:$E,"D",실시간콜입력!$H:$H,$B1148,실시간콜입력!$O:$O,"방문완료")</f>
        <v>0</v>
      </c>
      <c r="J1148" s="29">
        <f>COUNTIFS(실시간콜입력!$B:$B,$A1148,실시간콜입력!$E:$E,"E",실시간콜입력!$G:$G,$B1148,실시간콜입력!$O:$O,"방문완료")+COUNTIFS(실시간콜입력!$B:$B,$A1148,실시간콜입력!$E:$E,"E",실시간콜입력!$H:$H,$B1148,실시간콜입력!$O:$O,"방문완료")</f>
        <v>0</v>
      </c>
      <c r="K1148" s="29">
        <f t="shared" si="152"/>
        <v>0</v>
      </c>
      <c r="L1148" s="33">
        <f>SUMIFS(실시간콜입력!$K:$K,실시간콜입력!$B:$B,$A1148,실시간콜입력!$G:$G,$B1148,실시간콜입력!$O:$O,"방문완료")+SUMIFS(실시간콜입력!$L:$L,실시간콜입력!$B:$B,$A1148,실시간콜입력!$H:$H,$B1148,실시간콜입력!$O:$O,"방문완료")</f>
        <v>0</v>
      </c>
      <c r="M1148" s="29" t="str">
        <f t="shared" si="153"/>
        <v/>
      </c>
      <c r="N1148" s="29"/>
    </row>
    <row r="1149" spans="1:14" ht="21.75" customHeight="1" collapsed="1">
      <c r="A1149" s="64">
        <f>IF(23&lt;=DAY(DATE(YEAR(설정_코스수당!$K$2),MONTH(설정_코스수당!$K$2)+1,0)),DATE(YEAR(설정_코스수당!$K$2),MONTH(설정_코스수당!$K$2),23),"")</f>
        <v>46196</v>
      </c>
      <c r="B1149" s="65" t="str">
        <f>IF(A1149="","","출근 "&amp;COUNTIF(C1151:C1200,"&lt;&gt;")&amp;"명")</f>
        <v>출근 0명</v>
      </c>
      <c r="C1149" s="65" t="str">
        <f>IF(A1149="","","만근 "&amp;COUNTIF(M1151:M1200,"인정")&amp;"명")</f>
        <v>만근 0명</v>
      </c>
      <c r="D1149" s="65" t="str">
        <f>IFERROR("평균 "&amp;TEXT(AVERAGEIF(E1151:E1200,"&gt;0",E1151:E1200),"0.0")&amp;"h","평균 -")</f>
        <v>평균 -</v>
      </c>
      <c r="E1149" s="65" t="s">
        <v>163</v>
      </c>
      <c r="F1149" s="65">
        <f t="shared" ref="F1149:L1149" si="154">SUM(F1151:F1200)</f>
        <v>0</v>
      </c>
      <c r="G1149" s="65">
        <f t="shared" si="154"/>
        <v>0</v>
      </c>
      <c r="H1149" s="65">
        <f t="shared" si="154"/>
        <v>0</v>
      </c>
      <c r="I1149" s="65">
        <f t="shared" si="154"/>
        <v>0</v>
      </c>
      <c r="J1149" s="65">
        <f t="shared" si="154"/>
        <v>0</v>
      </c>
      <c r="K1149" s="65">
        <f t="shared" si="154"/>
        <v>0</v>
      </c>
      <c r="L1149" s="66">
        <f t="shared" si="154"/>
        <v>0</v>
      </c>
      <c r="M1149" s="65">
        <f>COUNTIF(M1151:M1200,"인정")</f>
        <v>0</v>
      </c>
      <c r="N1149" s="65" t="s">
        <v>164</v>
      </c>
    </row>
    <row r="1150" spans="1:14" ht="19.5" hidden="1" customHeight="1" outlineLevel="1">
      <c r="A1150" s="20" t="s">
        <v>42</v>
      </c>
      <c r="B1150" s="20" t="s">
        <v>152</v>
      </c>
      <c r="C1150" s="20" t="s">
        <v>153</v>
      </c>
      <c r="D1150" s="20" t="s">
        <v>154</v>
      </c>
      <c r="E1150" s="20" t="s">
        <v>155</v>
      </c>
      <c r="F1150" s="20" t="s">
        <v>156</v>
      </c>
      <c r="G1150" s="20" t="s">
        <v>157</v>
      </c>
      <c r="H1150" s="20" t="s">
        <v>158</v>
      </c>
      <c r="I1150" s="20" t="s">
        <v>159</v>
      </c>
      <c r="J1150" s="20" t="s">
        <v>160</v>
      </c>
      <c r="K1150" s="20" t="s">
        <v>118</v>
      </c>
      <c r="L1150" s="20" t="s">
        <v>161</v>
      </c>
      <c r="M1150" s="20" t="s">
        <v>162</v>
      </c>
      <c r="N1150" s="20" t="s">
        <v>95</v>
      </c>
    </row>
    <row r="1151" spans="1:14" ht="19.5" hidden="1" customHeight="1" outlineLevel="1">
      <c r="A1151" s="24">
        <f>IF(23&lt;=DAY(DATE(YEAR(설정_코스수당!$K$2),MONTH(설정_코스수당!$K$2)+1,0)),DATE(YEAR(설정_코스수당!$K$2),MONTH(설정_코스수당!$K$2),23),"")</f>
        <v>46196</v>
      </c>
      <c r="B1151" s="23" t="s">
        <v>47</v>
      </c>
      <c r="C1151" s="23"/>
      <c r="D1151" s="23"/>
      <c r="E1151" s="23" t="str">
        <f t="shared" ref="E1151:E1182" si="155">IF(AND(C1151&lt;&gt;"",D1151&lt;&gt;""),IF(D1151&lt;C1151,D1151+1-C1151,D1151-C1151)*24,"")</f>
        <v/>
      </c>
      <c r="F1151" s="23">
        <f>COUNTIFS(실시간콜입력!$B:$B,$A1151,실시간콜입력!$E:$E,"A",실시간콜입력!$G:$G,$B1151,실시간콜입력!$O:$O,"방문완료")+COUNTIFS(실시간콜입력!$B:$B,$A1151,실시간콜입력!$E:$E,"A",실시간콜입력!$H:$H,$B1151,실시간콜입력!$O:$O,"방문완료")</f>
        <v>0</v>
      </c>
      <c r="G1151" s="23">
        <f>COUNTIFS(실시간콜입력!$B:$B,$A1151,실시간콜입력!$E:$E,"B",실시간콜입력!$G:$G,$B1151,실시간콜입력!$O:$O,"방문완료")+COUNTIFS(실시간콜입력!$B:$B,$A1151,실시간콜입력!$E:$E,"B",실시간콜입력!$H:$H,$B1151,실시간콜입력!$O:$O,"방문완료")</f>
        <v>0</v>
      </c>
      <c r="H1151" s="23">
        <f>COUNTIFS(실시간콜입력!$B:$B,$A1151,실시간콜입력!$E:$E,"C",실시간콜입력!$G:$G,$B1151,실시간콜입력!$O:$O,"방문완료")+COUNTIFS(실시간콜입력!$B:$B,$A1151,실시간콜입력!$E:$E,"C",실시간콜입력!$H:$H,$B1151,실시간콜입력!$O:$O,"방문완료")</f>
        <v>0</v>
      </c>
      <c r="I1151" s="23">
        <f>COUNTIFS(실시간콜입력!$B:$B,$A1151,실시간콜입력!$E:$E,"D",실시간콜입력!$G:$G,$B1151,실시간콜입력!$O:$O,"방문완료")+COUNTIFS(실시간콜입력!$B:$B,$A1151,실시간콜입력!$E:$E,"D",실시간콜입력!$H:$H,$B1151,실시간콜입력!$O:$O,"방문완료")</f>
        <v>0</v>
      </c>
      <c r="J1151" s="23">
        <f>COUNTIFS(실시간콜입력!$B:$B,$A1151,실시간콜입력!$E:$E,"E",실시간콜입력!$G:$G,$B1151,실시간콜입력!$O:$O,"방문완료")+COUNTIFS(실시간콜입력!$B:$B,$A1151,실시간콜입력!$E:$E,"E",실시간콜입력!$H:$H,$B1151,실시간콜입력!$O:$O,"방문완료")</f>
        <v>0</v>
      </c>
      <c r="K1151" s="23">
        <f t="shared" ref="K1151:K1182" si="156">SUM(F1151:J1151)</f>
        <v>0</v>
      </c>
      <c r="L1151" s="27">
        <f>SUMIFS(실시간콜입력!$K:$K,실시간콜입력!$B:$B,$A1151,실시간콜입력!$G:$G,$B1151,실시간콜입력!$O:$O,"방문완료")+SUMIFS(실시간콜입력!$L:$L,실시간콜입력!$B:$B,$A1151,실시간콜입력!$H:$H,$B1151,실시간콜입력!$O:$O,"방문완료")</f>
        <v>0</v>
      </c>
      <c r="M1151" s="23" t="str">
        <f t="shared" ref="M1151:M1182" si="157">IF(AND(ISNUMBER(E1151),E1151&gt;=8),"인정","")</f>
        <v/>
      </c>
      <c r="N1151" s="23"/>
    </row>
    <row r="1152" spans="1:14" ht="19.5" hidden="1" customHeight="1" outlineLevel="1">
      <c r="A1152" s="30">
        <f>IF(23&lt;=DAY(DATE(YEAR(설정_코스수당!$K$2),MONTH(설정_코스수당!$K$2)+1,0)),DATE(YEAR(설정_코스수당!$K$2),MONTH(설정_코스수당!$K$2),23),"")</f>
        <v>46196</v>
      </c>
      <c r="B1152" s="29" t="s">
        <v>48</v>
      </c>
      <c r="C1152" s="29"/>
      <c r="D1152" s="29"/>
      <c r="E1152" s="29" t="str">
        <f t="shared" si="155"/>
        <v/>
      </c>
      <c r="F1152" s="29">
        <f>COUNTIFS(실시간콜입력!$B:$B,$A1152,실시간콜입력!$E:$E,"A",실시간콜입력!$G:$G,$B1152,실시간콜입력!$O:$O,"방문완료")+COUNTIFS(실시간콜입력!$B:$B,$A1152,실시간콜입력!$E:$E,"A",실시간콜입력!$H:$H,$B1152,실시간콜입력!$O:$O,"방문완료")</f>
        <v>0</v>
      </c>
      <c r="G1152" s="29">
        <f>COUNTIFS(실시간콜입력!$B:$B,$A1152,실시간콜입력!$E:$E,"B",실시간콜입력!$G:$G,$B1152,실시간콜입력!$O:$O,"방문완료")+COUNTIFS(실시간콜입력!$B:$B,$A1152,실시간콜입력!$E:$E,"B",실시간콜입력!$H:$H,$B1152,실시간콜입력!$O:$O,"방문완료")</f>
        <v>0</v>
      </c>
      <c r="H1152" s="29">
        <f>COUNTIFS(실시간콜입력!$B:$B,$A1152,실시간콜입력!$E:$E,"C",실시간콜입력!$G:$G,$B1152,실시간콜입력!$O:$O,"방문완료")+COUNTIFS(실시간콜입력!$B:$B,$A1152,실시간콜입력!$E:$E,"C",실시간콜입력!$H:$H,$B1152,실시간콜입력!$O:$O,"방문완료")</f>
        <v>0</v>
      </c>
      <c r="I1152" s="29">
        <f>COUNTIFS(실시간콜입력!$B:$B,$A1152,실시간콜입력!$E:$E,"D",실시간콜입력!$G:$G,$B1152,실시간콜입력!$O:$O,"방문완료")+COUNTIFS(실시간콜입력!$B:$B,$A1152,실시간콜입력!$E:$E,"D",실시간콜입력!$H:$H,$B1152,실시간콜입력!$O:$O,"방문완료")</f>
        <v>0</v>
      </c>
      <c r="J1152" s="29">
        <f>COUNTIFS(실시간콜입력!$B:$B,$A1152,실시간콜입력!$E:$E,"E",실시간콜입력!$G:$G,$B1152,실시간콜입력!$O:$O,"방문완료")+COUNTIFS(실시간콜입력!$B:$B,$A1152,실시간콜입력!$E:$E,"E",실시간콜입력!$H:$H,$B1152,실시간콜입력!$O:$O,"방문완료")</f>
        <v>0</v>
      </c>
      <c r="K1152" s="29">
        <f t="shared" si="156"/>
        <v>0</v>
      </c>
      <c r="L1152" s="33">
        <f>SUMIFS(실시간콜입력!$K:$K,실시간콜입력!$B:$B,$A1152,실시간콜입력!$G:$G,$B1152,실시간콜입력!$O:$O,"방문완료")+SUMIFS(실시간콜입력!$L:$L,실시간콜입력!$B:$B,$A1152,실시간콜입력!$H:$H,$B1152,실시간콜입력!$O:$O,"방문완료")</f>
        <v>0</v>
      </c>
      <c r="M1152" s="29" t="str">
        <f t="shared" si="157"/>
        <v/>
      </c>
      <c r="N1152" s="29"/>
    </row>
    <row r="1153" spans="1:14" ht="19.5" hidden="1" customHeight="1" outlineLevel="1">
      <c r="A1153" s="24">
        <f>IF(23&lt;=DAY(DATE(YEAR(설정_코스수당!$K$2),MONTH(설정_코스수당!$K$2)+1,0)),DATE(YEAR(설정_코스수당!$K$2),MONTH(설정_코스수당!$K$2),23),"")</f>
        <v>46196</v>
      </c>
      <c r="B1153" s="23" t="s">
        <v>165</v>
      </c>
      <c r="C1153" s="29"/>
      <c r="D1153" s="29"/>
      <c r="E1153" s="29" t="str">
        <f t="shared" si="155"/>
        <v/>
      </c>
      <c r="F1153" s="29">
        <f>COUNTIFS(실시간콜입력!$B:$B,$A1153,실시간콜입력!$E:$E,"A",실시간콜입력!$G:$G,$B1153,실시간콜입력!$O:$O,"방문완료")+COUNTIFS(실시간콜입력!$B:$B,$A1153,실시간콜입력!$E:$E,"A",실시간콜입력!$H:$H,$B1153,실시간콜입력!$O:$O,"방문완료")</f>
        <v>0</v>
      </c>
      <c r="G1153" s="29">
        <f>COUNTIFS(실시간콜입력!$B:$B,$A1153,실시간콜입력!$E:$E,"B",실시간콜입력!$G:$G,$B1153,실시간콜입력!$O:$O,"방문완료")+COUNTIFS(실시간콜입력!$B:$B,$A1153,실시간콜입력!$E:$E,"B",실시간콜입력!$H:$H,$B1153,실시간콜입력!$O:$O,"방문완료")</f>
        <v>0</v>
      </c>
      <c r="H1153" s="29">
        <f>COUNTIFS(실시간콜입력!$B:$B,$A1153,실시간콜입력!$E:$E,"C",실시간콜입력!$G:$G,$B1153,실시간콜입력!$O:$O,"방문완료")+COUNTIFS(실시간콜입력!$B:$B,$A1153,실시간콜입력!$E:$E,"C",실시간콜입력!$H:$H,$B1153,실시간콜입력!$O:$O,"방문완료")</f>
        <v>0</v>
      </c>
      <c r="I1153" s="29">
        <f>COUNTIFS(실시간콜입력!$B:$B,$A1153,실시간콜입력!$E:$E,"D",실시간콜입력!$G:$G,$B1153,실시간콜입력!$O:$O,"방문완료")+COUNTIFS(실시간콜입력!$B:$B,$A1153,실시간콜입력!$E:$E,"D",실시간콜입력!$H:$H,$B1153,실시간콜입력!$O:$O,"방문완료")</f>
        <v>0</v>
      </c>
      <c r="J1153" s="29">
        <f>COUNTIFS(실시간콜입력!$B:$B,$A1153,실시간콜입력!$E:$E,"E",실시간콜입력!$G:$G,$B1153,실시간콜입력!$O:$O,"방문완료")+COUNTIFS(실시간콜입력!$B:$B,$A1153,실시간콜입력!$E:$E,"E",실시간콜입력!$H:$H,$B1153,실시간콜입력!$O:$O,"방문완료")</f>
        <v>0</v>
      </c>
      <c r="K1153" s="29">
        <f t="shared" si="156"/>
        <v>0</v>
      </c>
      <c r="L1153" s="27">
        <f>SUMIFS(실시간콜입력!$K:$K,실시간콜입력!$B:$B,$A1153,실시간콜입력!$G:$G,$B1153,실시간콜입력!$O:$O,"방문완료")+SUMIFS(실시간콜입력!$L:$L,실시간콜입력!$B:$B,$A1153,실시간콜입력!$H:$H,$B1153,실시간콜입력!$O:$O,"방문완료")</f>
        <v>0</v>
      </c>
      <c r="M1153" s="29" t="str">
        <f t="shared" si="157"/>
        <v/>
      </c>
      <c r="N1153" s="29"/>
    </row>
    <row r="1154" spans="1:14" ht="19.5" hidden="1" customHeight="1" outlineLevel="1">
      <c r="A1154" s="30">
        <f>IF(23&lt;=DAY(DATE(YEAR(설정_코스수당!$K$2),MONTH(설정_코스수당!$K$2)+1,0)),DATE(YEAR(설정_코스수당!$K$2),MONTH(설정_코스수당!$K$2),23),"")</f>
        <v>46196</v>
      </c>
      <c r="B1154" s="29" t="s">
        <v>166</v>
      </c>
      <c r="C1154" s="29"/>
      <c r="D1154" s="29"/>
      <c r="E1154" s="29" t="str">
        <f t="shared" si="155"/>
        <v/>
      </c>
      <c r="F1154" s="29">
        <f>COUNTIFS(실시간콜입력!$B:$B,$A1154,실시간콜입력!$E:$E,"A",실시간콜입력!$G:$G,$B1154,실시간콜입력!$O:$O,"방문완료")+COUNTIFS(실시간콜입력!$B:$B,$A1154,실시간콜입력!$E:$E,"A",실시간콜입력!$H:$H,$B1154,실시간콜입력!$O:$O,"방문완료")</f>
        <v>0</v>
      </c>
      <c r="G1154" s="29">
        <f>COUNTIFS(실시간콜입력!$B:$B,$A1154,실시간콜입력!$E:$E,"B",실시간콜입력!$G:$G,$B1154,실시간콜입력!$O:$O,"방문완료")+COUNTIFS(실시간콜입력!$B:$B,$A1154,실시간콜입력!$E:$E,"B",실시간콜입력!$H:$H,$B1154,실시간콜입력!$O:$O,"방문완료")</f>
        <v>0</v>
      </c>
      <c r="H1154" s="29">
        <f>COUNTIFS(실시간콜입력!$B:$B,$A1154,실시간콜입력!$E:$E,"C",실시간콜입력!$G:$G,$B1154,실시간콜입력!$O:$O,"방문완료")+COUNTIFS(실시간콜입력!$B:$B,$A1154,실시간콜입력!$E:$E,"C",실시간콜입력!$H:$H,$B1154,실시간콜입력!$O:$O,"방문완료")</f>
        <v>0</v>
      </c>
      <c r="I1154" s="29">
        <f>COUNTIFS(실시간콜입력!$B:$B,$A1154,실시간콜입력!$E:$E,"D",실시간콜입력!$G:$G,$B1154,실시간콜입력!$O:$O,"방문완료")+COUNTIFS(실시간콜입력!$B:$B,$A1154,실시간콜입력!$E:$E,"D",실시간콜입력!$H:$H,$B1154,실시간콜입력!$O:$O,"방문완료")</f>
        <v>0</v>
      </c>
      <c r="J1154" s="29">
        <f>COUNTIFS(실시간콜입력!$B:$B,$A1154,실시간콜입력!$E:$E,"E",실시간콜입력!$G:$G,$B1154,실시간콜입력!$O:$O,"방문완료")+COUNTIFS(실시간콜입력!$B:$B,$A1154,실시간콜입력!$E:$E,"E",실시간콜입력!$H:$H,$B1154,실시간콜입력!$O:$O,"방문완료")</f>
        <v>0</v>
      </c>
      <c r="K1154" s="29">
        <f t="shared" si="156"/>
        <v>0</v>
      </c>
      <c r="L1154" s="33">
        <f>SUMIFS(실시간콜입력!$K:$K,실시간콜입력!$B:$B,$A1154,실시간콜입력!$G:$G,$B1154,실시간콜입력!$O:$O,"방문완료")+SUMIFS(실시간콜입력!$L:$L,실시간콜입력!$B:$B,$A1154,실시간콜입력!$H:$H,$B1154,실시간콜입력!$O:$O,"방문완료")</f>
        <v>0</v>
      </c>
      <c r="M1154" s="29" t="str">
        <f t="shared" si="157"/>
        <v/>
      </c>
      <c r="N1154" s="29"/>
    </row>
    <row r="1155" spans="1:14" ht="19.5" hidden="1" customHeight="1" outlineLevel="1">
      <c r="A1155" s="24">
        <f>IF(23&lt;=DAY(DATE(YEAR(설정_코스수당!$K$2),MONTH(설정_코스수당!$K$2)+1,0)),DATE(YEAR(설정_코스수당!$K$2),MONTH(설정_코스수당!$K$2),23),"")</f>
        <v>46196</v>
      </c>
      <c r="B1155" s="23" t="s">
        <v>167</v>
      </c>
      <c r="C1155" s="29"/>
      <c r="D1155" s="29"/>
      <c r="E1155" s="29" t="str">
        <f t="shared" si="155"/>
        <v/>
      </c>
      <c r="F1155" s="29">
        <f>COUNTIFS(실시간콜입력!$B:$B,$A1155,실시간콜입력!$E:$E,"A",실시간콜입력!$G:$G,$B1155,실시간콜입력!$O:$O,"방문완료")+COUNTIFS(실시간콜입력!$B:$B,$A1155,실시간콜입력!$E:$E,"A",실시간콜입력!$H:$H,$B1155,실시간콜입력!$O:$O,"방문완료")</f>
        <v>0</v>
      </c>
      <c r="G1155" s="29">
        <f>COUNTIFS(실시간콜입력!$B:$B,$A1155,실시간콜입력!$E:$E,"B",실시간콜입력!$G:$G,$B1155,실시간콜입력!$O:$O,"방문완료")+COUNTIFS(실시간콜입력!$B:$B,$A1155,실시간콜입력!$E:$E,"B",실시간콜입력!$H:$H,$B1155,실시간콜입력!$O:$O,"방문완료")</f>
        <v>0</v>
      </c>
      <c r="H1155" s="29">
        <f>COUNTIFS(실시간콜입력!$B:$B,$A1155,실시간콜입력!$E:$E,"C",실시간콜입력!$G:$G,$B1155,실시간콜입력!$O:$O,"방문완료")+COUNTIFS(실시간콜입력!$B:$B,$A1155,실시간콜입력!$E:$E,"C",실시간콜입력!$H:$H,$B1155,실시간콜입력!$O:$O,"방문완료")</f>
        <v>0</v>
      </c>
      <c r="I1155" s="29">
        <f>COUNTIFS(실시간콜입력!$B:$B,$A1155,실시간콜입력!$E:$E,"D",실시간콜입력!$G:$G,$B1155,실시간콜입력!$O:$O,"방문완료")+COUNTIFS(실시간콜입력!$B:$B,$A1155,실시간콜입력!$E:$E,"D",실시간콜입력!$H:$H,$B1155,실시간콜입력!$O:$O,"방문완료")</f>
        <v>0</v>
      </c>
      <c r="J1155" s="29">
        <f>COUNTIFS(실시간콜입력!$B:$B,$A1155,실시간콜입력!$E:$E,"E",실시간콜입력!$G:$G,$B1155,실시간콜입력!$O:$O,"방문완료")+COUNTIFS(실시간콜입력!$B:$B,$A1155,실시간콜입력!$E:$E,"E",실시간콜입력!$H:$H,$B1155,실시간콜입력!$O:$O,"방문완료")</f>
        <v>0</v>
      </c>
      <c r="K1155" s="29">
        <f t="shared" si="156"/>
        <v>0</v>
      </c>
      <c r="L1155" s="27">
        <f>SUMIFS(실시간콜입력!$K:$K,실시간콜입력!$B:$B,$A1155,실시간콜입력!$G:$G,$B1155,실시간콜입력!$O:$O,"방문완료")+SUMIFS(실시간콜입력!$L:$L,실시간콜입력!$B:$B,$A1155,실시간콜입력!$H:$H,$B1155,실시간콜입력!$O:$O,"방문완료")</f>
        <v>0</v>
      </c>
      <c r="M1155" s="29" t="str">
        <f t="shared" si="157"/>
        <v/>
      </c>
      <c r="N1155" s="29"/>
    </row>
    <row r="1156" spans="1:14" ht="19.5" hidden="1" customHeight="1" outlineLevel="1">
      <c r="A1156" s="30">
        <f>IF(23&lt;=DAY(DATE(YEAR(설정_코스수당!$K$2),MONTH(설정_코스수당!$K$2)+1,0)),DATE(YEAR(설정_코스수당!$K$2),MONTH(설정_코스수당!$K$2),23),"")</f>
        <v>46196</v>
      </c>
      <c r="B1156" s="29" t="s">
        <v>168</v>
      </c>
      <c r="C1156" s="29"/>
      <c r="D1156" s="29"/>
      <c r="E1156" s="29" t="str">
        <f t="shared" si="155"/>
        <v/>
      </c>
      <c r="F1156" s="29">
        <f>COUNTIFS(실시간콜입력!$B:$B,$A1156,실시간콜입력!$E:$E,"A",실시간콜입력!$G:$G,$B1156,실시간콜입력!$O:$O,"방문완료")+COUNTIFS(실시간콜입력!$B:$B,$A1156,실시간콜입력!$E:$E,"A",실시간콜입력!$H:$H,$B1156,실시간콜입력!$O:$O,"방문완료")</f>
        <v>0</v>
      </c>
      <c r="G1156" s="29">
        <f>COUNTIFS(실시간콜입력!$B:$B,$A1156,실시간콜입력!$E:$E,"B",실시간콜입력!$G:$G,$B1156,실시간콜입력!$O:$O,"방문완료")+COUNTIFS(실시간콜입력!$B:$B,$A1156,실시간콜입력!$E:$E,"B",실시간콜입력!$H:$H,$B1156,실시간콜입력!$O:$O,"방문완료")</f>
        <v>0</v>
      </c>
      <c r="H1156" s="29">
        <f>COUNTIFS(실시간콜입력!$B:$B,$A1156,실시간콜입력!$E:$E,"C",실시간콜입력!$G:$G,$B1156,실시간콜입력!$O:$O,"방문완료")+COUNTIFS(실시간콜입력!$B:$B,$A1156,실시간콜입력!$E:$E,"C",실시간콜입력!$H:$H,$B1156,실시간콜입력!$O:$O,"방문완료")</f>
        <v>0</v>
      </c>
      <c r="I1156" s="29">
        <f>COUNTIFS(실시간콜입력!$B:$B,$A1156,실시간콜입력!$E:$E,"D",실시간콜입력!$G:$G,$B1156,실시간콜입력!$O:$O,"방문완료")+COUNTIFS(실시간콜입력!$B:$B,$A1156,실시간콜입력!$E:$E,"D",실시간콜입력!$H:$H,$B1156,실시간콜입력!$O:$O,"방문완료")</f>
        <v>0</v>
      </c>
      <c r="J1156" s="29">
        <f>COUNTIFS(실시간콜입력!$B:$B,$A1156,실시간콜입력!$E:$E,"E",실시간콜입력!$G:$G,$B1156,실시간콜입력!$O:$O,"방문완료")+COUNTIFS(실시간콜입력!$B:$B,$A1156,실시간콜입력!$E:$E,"E",실시간콜입력!$H:$H,$B1156,실시간콜입력!$O:$O,"방문완료")</f>
        <v>0</v>
      </c>
      <c r="K1156" s="29">
        <f t="shared" si="156"/>
        <v>0</v>
      </c>
      <c r="L1156" s="33">
        <f>SUMIFS(실시간콜입력!$K:$K,실시간콜입력!$B:$B,$A1156,실시간콜입력!$G:$G,$B1156,실시간콜입력!$O:$O,"방문완료")+SUMIFS(실시간콜입력!$L:$L,실시간콜입력!$B:$B,$A1156,실시간콜입력!$H:$H,$B1156,실시간콜입력!$O:$O,"방문완료")</f>
        <v>0</v>
      </c>
      <c r="M1156" s="29" t="str">
        <f t="shared" si="157"/>
        <v/>
      </c>
      <c r="N1156" s="29"/>
    </row>
    <row r="1157" spans="1:14" ht="19.5" hidden="1" customHeight="1" outlineLevel="1">
      <c r="A1157" s="24">
        <f>IF(23&lt;=DAY(DATE(YEAR(설정_코스수당!$K$2),MONTH(설정_코스수당!$K$2)+1,0)),DATE(YEAR(설정_코스수당!$K$2),MONTH(설정_코스수당!$K$2),23),"")</f>
        <v>46196</v>
      </c>
      <c r="B1157" s="23" t="s">
        <v>169</v>
      </c>
      <c r="C1157" s="29"/>
      <c r="D1157" s="29"/>
      <c r="E1157" s="29" t="str">
        <f t="shared" si="155"/>
        <v/>
      </c>
      <c r="F1157" s="29">
        <f>COUNTIFS(실시간콜입력!$B:$B,$A1157,실시간콜입력!$E:$E,"A",실시간콜입력!$G:$G,$B1157,실시간콜입력!$O:$O,"방문완료")+COUNTIFS(실시간콜입력!$B:$B,$A1157,실시간콜입력!$E:$E,"A",실시간콜입력!$H:$H,$B1157,실시간콜입력!$O:$O,"방문완료")</f>
        <v>0</v>
      </c>
      <c r="G1157" s="29">
        <f>COUNTIFS(실시간콜입력!$B:$B,$A1157,실시간콜입력!$E:$E,"B",실시간콜입력!$G:$G,$B1157,실시간콜입력!$O:$O,"방문완료")+COUNTIFS(실시간콜입력!$B:$B,$A1157,실시간콜입력!$E:$E,"B",실시간콜입력!$H:$H,$B1157,실시간콜입력!$O:$O,"방문완료")</f>
        <v>0</v>
      </c>
      <c r="H1157" s="29">
        <f>COUNTIFS(실시간콜입력!$B:$B,$A1157,실시간콜입력!$E:$E,"C",실시간콜입력!$G:$G,$B1157,실시간콜입력!$O:$O,"방문완료")+COUNTIFS(실시간콜입력!$B:$B,$A1157,실시간콜입력!$E:$E,"C",실시간콜입력!$H:$H,$B1157,실시간콜입력!$O:$O,"방문완료")</f>
        <v>0</v>
      </c>
      <c r="I1157" s="29">
        <f>COUNTIFS(실시간콜입력!$B:$B,$A1157,실시간콜입력!$E:$E,"D",실시간콜입력!$G:$G,$B1157,실시간콜입력!$O:$O,"방문완료")+COUNTIFS(실시간콜입력!$B:$B,$A1157,실시간콜입력!$E:$E,"D",실시간콜입력!$H:$H,$B1157,실시간콜입력!$O:$O,"방문완료")</f>
        <v>0</v>
      </c>
      <c r="J1157" s="29">
        <f>COUNTIFS(실시간콜입력!$B:$B,$A1157,실시간콜입력!$E:$E,"E",실시간콜입력!$G:$G,$B1157,실시간콜입력!$O:$O,"방문완료")+COUNTIFS(실시간콜입력!$B:$B,$A1157,실시간콜입력!$E:$E,"E",실시간콜입력!$H:$H,$B1157,실시간콜입력!$O:$O,"방문완료")</f>
        <v>0</v>
      </c>
      <c r="K1157" s="29">
        <f t="shared" si="156"/>
        <v>0</v>
      </c>
      <c r="L1157" s="27">
        <f>SUMIFS(실시간콜입력!$K:$K,실시간콜입력!$B:$B,$A1157,실시간콜입력!$G:$G,$B1157,실시간콜입력!$O:$O,"방문완료")+SUMIFS(실시간콜입력!$L:$L,실시간콜입력!$B:$B,$A1157,실시간콜입력!$H:$H,$B1157,실시간콜입력!$O:$O,"방문완료")</f>
        <v>0</v>
      </c>
      <c r="M1157" s="29" t="str">
        <f t="shared" si="157"/>
        <v/>
      </c>
      <c r="N1157" s="29"/>
    </row>
    <row r="1158" spans="1:14" ht="19.5" hidden="1" customHeight="1" outlineLevel="1">
      <c r="A1158" s="30">
        <f>IF(23&lt;=DAY(DATE(YEAR(설정_코스수당!$K$2),MONTH(설정_코스수당!$K$2)+1,0)),DATE(YEAR(설정_코스수당!$K$2),MONTH(설정_코스수당!$K$2),23),"")</f>
        <v>46196</v>
      </c>
      <c r="B1158" s="29" t="s">
        <v>170</v>
      </c>
      <c r="C1158" s="29"/>
      <c r="D1158" s="29"/>
      <c r="E1158" s="29" t="str">
        <f t="shared" si="155"/>
        <v/>
      </c>
      <c r="F1158" s="29">
        <f>COUNTIFS(실시간콜입력!$B:$B,$A1158,실시간콜입력!$E:$E,"A",실시간콜입력!$G:$G,$B1158,실시간콜입력!$O:$O,"방문완료")+COUNTIFS(실시간콜입력!$B:$B,$A1158,실시간콜입력!$E:$E,"A",실시간콜입력!$H:$H,$B1158,실시간콜입력!$O:$O,"방문완료")</f>
        <v>0</v>
      </c>
      <c r="G1158" s="29">
        <f>COUNTIFS(실시간콜입력!$B:$B,$A1158,실시간콜입력!$E:$E,"B",실시간콜입력!$G:$G,$B1158,실시간콜입력!$O:$O,"방문완료")+COUNTIFS(실시간콜입력!$B:$B,$A1158,실시간콜입력!$E:$E,"B",실시간콜입력!$H:$H,$B1158,실시간콜입력!$O:$O,"방문완료")</f>
        <v>0</v>
      </c>
      <c r="H1158" s="29">
        <f>COUNTIFS(실시간콜입력!$B:$B,$A1158,실시간콜입력!$E:$E,"C",실시간콜입력!$G:$G,$B1158,실시간콜입력!$O:$O,"방문완료")+COUNTIFS(실시간콜입력!$B:$B,$A1158,실시간콜입력!$E:$E,"C",실시간콜입력!$H:$H,$B1158,실시간콜입력!$O:$O,"방문완료")</f>
        <v>0</v>
      </c>
      <c r="I1158" s="29">
        <f>COUNTIFS(실시간콜입력!$B:$B,$A1158,실시간콜입력!$E:$E,"D",실시간콜입력!$G:$G,$B1158,실시간콜입력!$O:$O,"방문완료")+COUNTIFS(실시간콜입력!$B:$B,$A1158,실시간콜입력!$E:$E,"D",실시간콜입력!$H:$H,$B1158,실시간콜입력!$O:$O,"방문완료")</f>
        <v>0</v>
      </c>
      <c r="J1158" s="29">
        <f>COUNTIFS(실시간콜입력!$B:$B,$A1158,실시간콜입력!$E:$E,"E",실시간콜입력!$G:$G,$B1158,실시간콜입력!$O:$O,"방문완료")+COUNTIFS(실시간콜입력!$B:$B,$A1158,실시간콜입력!$E:$E,"E",실시간콜입력!$H:$H,$B1158,실시간콜입력!$O:$O,"방문완료")</f>
        <v>0</v>
      </c>
      <c r="K1158" s="29">
        <f t="shared" si="156"/>
        <v>0</v>
      </c>
      <c r="L1158" s="33">
        <f>SUMIFS(실시간콜입력!$K:$K,실시간콜입력!$B:$B,$A1158,실시간콜입력!$G:$G,$B1158,실시간콜입력!$O:$O,"방문완료")+SUMIFS(실시간콜입력!$L:$L,실시간콜입력!$B:$B,$A1158,실시간콜입력!$H:$H,$B1158,실시간콜입력!$O:$O,"방문완료")</f>
        <v>0</v>
      </c>
      <c r="M1158" s="29" t="str">
        <f t="shared" si="157"/>
        <v/>
      </c>
      <c r="N1158" s="29"/>
    </row>
    <row r="1159" spans="1:14" ht="19.5" hidden="1" customHeight="1" outlineLevel="1">
      <c r="A1159" s="24">
        <f>IF(23&lt;=DAY(DATE(YEAR(설정_코스수당!$K$2),MONTH(설정_코스수당!$K$2)+1,0)),DATE(YEAR(설정_코스수당!$K$2),MONTH(설정_코스수당!$K$2),23),"")</f>
        <v>46196</v>
      </c>
      <c r="B1159" s="23" t="s">
        <v>171</v>
      </c>
      <c r="C1159" s="29"/>
      <c r="D1159" s="29"/>
      <c r="E1159" s="29" t="str">
        <f t="shared" si="155"/>
        <v/>
      </c>
      <c r="F1159" s="29">
        <f>COUNTIFS(실시간콜입력!$B:$B,$A1159,실시간콜입력!$E:$E,"A",실시간콜입력!$G:$G,$B1159,실시간콜입력!$O:$O,"방문완료")+COUNTIFS(실시간콜입력!$B:$B,$A1159,실시간콜입력!$E:$E,"A",실시간콜입력!$H:$H,$B1159,실시간콜입력!$O:$O,"방문완료")</f>
        <v>0</v>
      </c>
      <c r="G1159" s="29">
        <f>COUNTIFS(실시간콜입력!$B:$B,$A1159,실시간콜입력!$E:$E,"B",실시간콜입력!$G:$G,$B1159,실시간콜입력!$O:$O,"방문완료")+COUNTIFS(실시간콜입력!$B:$B,$A1159,실시간콜입력!$E:$E,"B",실시간콜입력!$H:$H,$B1159,실시간콜입력!$O:$O,"방문완료")</f>
        <v>0</v>
      </c>
      <c r="H1159" s="29">
        <f>COUNTIFS(실시간콜입력!$B:$B,$A1159,실시간콜입력!$E:$E,"C",실시간콜입력!$G:$G,$B1159,실시간콜입력!$O:$O,"방문완료")+COUNTIFS(실시간콜입력!$B:$B,$A1159,실시간콜입력!$E:$E,"C",실시간콜입력!$H:$H,$B1159,실시간콜입력!$O:$O,"방문완료")</f>
        <v>0</v>
      </c>
      <c r="I1159" s="29">
        <f>COUNTIFS(실시간콜입력!$B:$B,$A1159,실시간콜입력!$E:$E,"D",실시간콜입력!$G:$G,$B1159,실시간콜입력!$O:$O,"방문완료")+COUNTIFS(실시간콜입력!$B:$B,$A1159,실시간콜입력!$E:$E,"D",실시간콜입력!$H:$H,$B1159,실시간콜입력!$O:$O,"방문완료")</f>
        <v>0</v>
      </c>
      <c r="J1159" s="29">
        <f>COUNTIFS(실시간콜입력!$B:$B,$A1159,실시간콜입력!$E:$E,"E",실시간콜입력!$G:$G,$B1159,실시간콜입력!$O:$O,"방문완료")+COUNTIFS(실시간콜입력!$B:$B,$A1159,실시간콜입력!$E:$E,"E",실시간콜입력!$H:$H,$B1159,실시간콜입력!$O:$O,"방문완료")</f>
        <v>0</v>
      </c>
      <c r="K1159" s="29">
        <f t="shared" si="156"/>
        <v>0</v>
      </c>
      <c r="L1159" s="27">
        <f>SUMIFS(실시간콜입력!$K:$K,실시간콜입력!$B:$B,$A1159,실시간콜입력!$G:$G,$B1159,실시간콜입력!$O:$O,"방문완료")+SUMIFS(실시간콜입력!$L:$L,실시간콜입력!$B:$B,$A1159,실시간콜입력!$H:$H,$B1159,실시간콜입력!$O:$O,"방문완료")</f>
        <v>0</v>
      </c>
      <c r="M1159" s="29" t="str">
        <f t="shared" si="157"/>
        <v/>
      </c>
      <c r="N1159" s="29"/>
    </row>
    <row r="1160" spans="1:14" ht="19.5" hidden="1" customHeight="1" outlineLevel="1">
      <c r="A1160" s="30">
        <f>IF(23&lt;=DAY(DATE(YEAR(설정_코스수당!$K$2),MONTH(설정_코스수당!$K$2)+1,0)),DATE(YEAR(설정_코스수당!$K$2),MONTH(설정_코스수당!$K$2),23),"")</f>
        <v>46196</v>
      </c>
      <c r="B1160" s="29" t="s">
        <v>172</v>
      </c>
      <c r="C1160" s="29"/>
      <c r="D1160" s="29"/>
      <c r="E1160" s="29" t="str">
        <f t="shared" si="155"/>
        <v/>
      </c>
      <c r="F1160" s="29">
        <f>COUNTIFS(실시간콜입력!$B:$B,$A1160,실시간콜입력!$E:$E,"A",실시간콜입력!$G:$G,$B1160,실시간콜입력!$O:$O,"방문완료")+COUNTIFS(실시간콜입력!$B:$B,$A1160,실시간콜입력!$E:$E,"A",실시간콜입력!$H:$H,$B1160,실시간콜입력!$O:$O,"방문완료")</f>
        <v>0</v>
      </c>
      <c r="G1160" s="29">
        <f>COUNTIFS(실시간콜입력!$B:$B,$A1160,실시간콜입력!$E:$E,"B",실시간콜입력!$G:$G,$B1160,실시간콜입력!$O:$O,"방문완료")+COUNTIFS(실시간콜입력!$B:$B,$A1160,실시간콜입력!$E:$E,"B",실시간콜입력!$H:$H,$B1160,실시간콜입력!$O:$O,"방문완료")</f>
        <v>0</v>
      </c>
      <c r="H1160" s="29">
        <f>COUNTIFS(실시간콜입력!$B:$B,$A1160,실시간콜입력!$E:$E,"C",실시간콜입력!$G:$G,$B1160,실시간콜입력!$O:$O,"방문완료")+COUNTIFS(실시간콜입력!$B:$B,$A1160,실시간콜입력!$E:$E,"C",실시간콜입력!$H:$H,$B1160,실시간콜입력!$O:$O,"방문완료")</f>
        <v>0</v>
      </c>
      <c r="I1160" s="29">
        <f>COUNTIFS(실시간콜입력!$B:$B,$A1160,실시간콜입력!$E:$E,"D",실시간콜입력!$G:$G,$B1160,실시간콜입력!$O:$O,"방문완료")+COUNTIFS(실시간콜입력!$B:$B,$A1160,실시간콜입력!$E:$E,"D",실시간콜입력!$H:$H,$B1160,실시간콜입력!$O:$O,"방문완료")</f>
        <v>0</v>
      </c>
      <c r="J1160" s="29">
        <f>COUNTIFS(실시간콜입력!$B:$B,$A1160,실시간콜입력!$E:$E,"E",실시간콜입력!$G:$G,$B1160,실시간콜입력!$O:$O,"방문완료")+COUNTIFS(실시간콜입력!$B:$B,$A1160,실시간콜입력!$E:$E,"E",실시간콜입력!$H:$H,$B1160,실시간콜입력!$O:$O,"방문완료")</f>
        <v>0</v>
      </c>
      <c r="K1160" s="29">
        <f t="shared" si="156"/>
        <v>0</v>
      </c>
      <c r="L1160" s="33">
        <f>SUMIFS(실시간콜입력!$K:$K,실시간콜입력!$B:$B,$A1160,실시간콜입력!$G:$G,$B1160,실시간콜입력!$O:$O,"방문완료")+SUMIFS(실시간콜입력!$L:$L,실시간콜입력!$B:$B,$A1160,실시간콜입력!$H:$H,$B1160,실시간콜입력!$O:$O,"방문완료")</f>
        <v>0</v>
      </c>
      <c r="M1160" s="29" t="str">
        <f t="shared" si="157"/>
        <v/>
      </c>
      <c r="N1160" s="29"/>
    </row>
    <row r="1161" spans="1:14" ht="19.5" hidden="1" customHeight="1" outlineLevel="1">
      <c r="A1161" s="24">
        <f>IF(23&lt;=DAY(DATE(YEAR(설정_코스수당!$K$2),MONTH(설정_코스수당!$K$2)+1,0)),DATE(YEAR(설정_코스수당!$K$2),MONTH(설정_코스수당!$K$2),23),"")</f>
        <v>46196</v>
      </c>
      <c r="B1161" s="23" t="s">
        <v>173</v>
      </c>
      <c r="C1161" s="29"/>
      <c r="D1161" s="29"/>
      <c r="E1161" s="29" t="str">
        <f t="shared" si="155"/>
        <v/>
      </c>
      <c r="F1161" s="29">
        <f>COUNTIFS(실시간콜입력!$B:$B,$A1161,실시간콜입력!$E:$E,"A",실시간콜입력!$G:$G,$B1161,실시간콜입력!$O:$O,"방문완료")+COUNTIFS(실시간콜입력!$B:$B,$A1161,실시간콜입력!$E:$E,"A",실시간콜입력!$H:$H,$B1161,실시간콜입력!$O:$O,"방문완료")</f>
        <v>0</v>
      </c>
      <c r="G1161" s="29">
        <f>COUNTIFS(실시간콜입력!$B:$B,$A1161,실시간콜입력!$E:$E,"B",실시간콜입력!$G:$G,$B1161,실시간콜입력!$O:$O,"방문완료")+COUNTIFS(실시간콜입력!$B:$B,$A1161,실시간콜입력!$E:$E,"B",실시간콜입력!$H:$H,$B1161,실시간콜입력!$O:$O,"방문완료")</f>
        <v>0</v>
      </c>
      <c r="H1161" s="29">
        <f>COUNTIFS(실시간콜입력!$B:$B,$A1161,실시간콜입력!$E:$E,"C",실시간콜입력!$G:$G,$B1161,실시간콜입력!$O:$O,"방문완료")+COUNTIFS(실시간콜입력!$B:$B,$A1161,실시간콜입력!$E:$E,"C",실시간콜입력!$H:$H,$B1161,실시간콜입력!$O:$O,"방문완료")</f>
        <v>0</v>
      </c>
      <c r="I1161" s="29">
        <f>COUNTIFS(실시간콜입력!$B:$B,$A1161,실시간콜입력!$E:$E,"D",실시간콜입력!$G:$G,$B1161,실시간콜입력!$O:$O,"방문완료")+COUNTIFS(실시간콜입력!$B:$B,$A1161,실시간콜입력!$E:$E,"D",실시간콜입력!$H:$H,$B1161,실시간콜입력!$O:$O,"방문완료")</f>
        <v>0</v>
      </c>
      <c r="J1161" s="29">
        <f>COUNTIFS(실시간콜입력!$B:$B,$A1161,실시간콜입력!$E:$E,"E",실시간콜입력!$G:$G,$B1161,실시간콜입력!$O:$O,"방문완료")+COUNTIFS(실시간콜입력!$B:$B,$A1161,실시간콜입력!$E:$E,"E",실시간콜입력!$H:$H,$B1161,실시간콜입력!$O:$O,"방문완료")</f>
        <v>0</v>
      </c>
      <c r="K1161" s="29">
        <f t="shared" si="156"/>
        <v>0</v>
      </c>
      <c r="L1161" s="27">
        <f>SUMIFS(실시간콜입력!$K:$K,실시간콜입력!$B:$B,$A1161,실시간콜입력!$G:$G,$B1161,실시간콜입력!$O:$O,"방문완료")+SUMIFS(실시간콜입력!$L:$L,실시간콜입력!$B:$B,$A1161,실시간콜입력!$H:$H,$B1161,실시간콜입력!$O:$O,"방문완료")</f>
        <v>0</v>
      </c>
      <c r="M1161" s="29" t="str">
        <f t="shared" si="157"/>
        <v/>
      </c>
      <c r="N1161" s="29"/>
    </row>
    <row r="1162" spans="1:14" ht="19.5" hidden="1" customHeight="1" outlineLevel="1">
      <c r="A1162" s="30">
        <f>IF(23&lt;=DAY(DATE(YEAR(설정_코스수당!$K$2),MONTH(설정_코스수당!$K$2)+1,0)),DATE(YEAR(설정_코스수당!$K$2),MONTH(설정_코스수당!$K$2),23),"")</f>
        <v>46196</v>
      </c>
      <c r="B1162" s="29" t="s">
        <v>174</v>
      </c>
      <c r="C1162" s="29"/>
      <c r="D1162" s="29"/>
      <c r="E1162" s="29" t="str">
        <f t="shared" si="155"/>
        <v/>
      </c>
      <c r="F1162" s="29">
        <f>COUNTIFS(실시간콜입력!$B:$B,$A1162,실시간콜입력!$E:$E,"A",실시간콜입력!$G:$G,$B1162,실시간콜입력!$O:$O,"방문완료")+COUNTIFS(실시간콜입력!$B:$B,$A1162,실시간콜입력!$E:$E,"A",실시간콜입력!$H:$H,$B1162,실시간콜입력!$O:$O,"방문완료")</f>
        <v>0</v>
      </c>
      <c r="G1162" s="29">
        <f>COUNTIFS(실시간콜입력!$B:$B,$A1162,실시간콜입력!$E:$E,"B",실시간콜입력!$G:$G,$B1162,실시간콜입력!$O:$O,"방문완료")+COUNTIFS(실시간콜입력!$B:$B,$A1162,실시간콜입력!$E:$E,"B",실시간콜입력!$H:$H,$B1162,실시간콜입력!$O:$O,"방문완료")</f>
        <v>0</v>
      </c>
      <c r="H1162" s="29">
        <f>COUNTIFS(실시간콜입력!$B:$B,$A1162,실시간콜입력!$E:$E,"C",실시간콜입력!$G:$G,$B1162,실시간콜입력!$O:$O,"방문완료")+COUNTIFS(실시간콜입력!$B:$B,$A1162,실시간콜입력!$E:$E,"C",실시간콜입력!$H:$H,$B1162,실시간콜입력!$O:$O,"방문완료")</f>
        <v>0</v>
      </c>
      <c r="I1162" s="29">
        <f>COUNTIFS(실시간콜입력!$B:$B,$A1162,실시간콜입력!$E:$E,"D",실시간콜입력!$G:$G,$B1162,실시간콜입력!$O:$O,"방문완료")+COUNTIFS(실시간콜입력!$B:$B,$A1162,실시간콜입력!$E:$E,"D",실시간콜입력!$H:$H,$B1162,실시간콜입력!$O:$O,"방문완료")</f>
        <v>0</v>
      </c>
      <c r="J1162" s="29">
        <f>COUNTIFS(실시간콜입력!$B:$B,$A1162,실시간콜입력!$E:$E,"E",실시간콜입력!$G:$G,$B1162,실시간콜입력!$O:$O,"방문완료")+COUNTIFS(실시간콜입력!$B:$B,$A1162,실시간콜입력!$E:$E,"E",실시간콜입력!$H:$H,$B1162,실시간콜입력!$O:$O,"방문완료")</f>
        <v>0</v>
      </c>
      <c r="K1162" s="29">
        <f t="shared" si="156"/>
        <v>0</v>
      </c>
      <c r="L1162" s="33">
        <f>SUMIFS(실시간콜입력!$K:$K,실시간콜입력!$B:$B,$A1162,실시간콜입력!$G:$G,$B1162,실시간콜입력!$O:$O,"방문완료")+SUMIFS(실시간콜입력!$L:$L,실시간콜입력!$B:$B,$A1162,실시간콜입력!$H:$H,$B1162,실시간콜입력!$O:$O,"방문완료")</f>
        <v>0</v>
      </c>
      <c r="M1162" s="29" t="str">
        <f t="shared" si="157"/>
        <v/>
      </c>
      <c r="N1162" s="29"/>
    </row>
    <row r="1163" spans="1:14" ht="19.5" hidden="1" customHeight="1" outlineLevel="1">
      <c r="A1163" s="24">
        <f>IF(23&lt;=DAY(DATE(YEAR(설정_코스수당!$K$2),MONTH(설정_코스수당!$K$2)+1,0)),DATE(YEAR(설정_코스수당!$K$2),MONTH(설정_코스수당!$K$2),23),"")</f>
        <v>46196</v>
      </c>
      <c r="B1163" s="23" t="s">
        <v>175</v>
      </c>
      <c r="C1163" s="29"/>
      <c r="D1163" s="29"/>
      <c r="E1163" s="29" t="str">
        <f t="shared" si="155"/>
        <v/>
      </c>
      <c r="F1163" s="29">
        <f>COUNTIFS(실시간콜입력!$B:$B,$A1163,실시간콜입력!$E:$E,"A",실시간콜입력!$G:$G,$B1163,실시간콜입력!$O:$O,"방문완료")+COUNTIFS(실시간콜입력!$B:$B,$A1163,실시간콜입력!$E:$E,"A",실시간콜입력!$H:$H,$B1163,실시간콜입력!$O:$O,"방문완료")</f>
        <v>0</v>
      </c>
      <c r="G1163" s="29">
        <f>COUNTIFS(실시간콜입력!$B:$B,$A1163,실시간콜입력!$E:$E,"B",실시간콜입력!$G:$G,$B1163,실시간콜입력!$O:$O,"방문완료")+COUNTIFS(실시간콜입력!$B:$B,$A1163,실시간콜입력!$E:$E,"B",실시간콜입력!$H:$H,$B1163,실시간콜입력!$O:$O,"방문완료")</f>
        <v>0</v>
      </c>
      <c r="H1163" s="29">
        <f>COUNTIFS(실시간콜입력!$B:$B,$A1163,실시간콜입력!$E:$E,"C",실시간콜입력!$G:$G,$B1163,실시간콜입력!$O:$O,"방문완료")+COUNTIFS(실시간콜입력!$B:$B,$A1163,실시간콜입력!$E:$E,"C",실시간콜입력!$H:$H,$B1163,실시간콜입력!$O:$O,"방문완료")</f>
        <v>0</v>
      </c>
      <c r="I1163" s="29">
        <f>COUNTIFS(실시간콜입력!$B:$B,$A1163,실시간콜입력!$E:$E,"D",실시간콜입력!$G:$G,$B1163,실시간콜입력!$O:$O,"방문완료")+COUNTIFS(실시간콜입력!$B:$B,$A1163,실시간콜입력!$E:$E,"D",실시간콜입력!$H:$H,$B1163,실시간콜입력!$O:$O,"방문완료")</f>
        <v>0</v>
      </c>
      <c r="J1163" s="29">
        <f>COUNTIFS(실시간콜입력!$B:$B,$A1163,실시간콜입력!$E:$E,"E",실시간콜입력!$G:$G,$B1163,실시간콜입력!$O:$O,"방문완료")+COUNTIFS(실시간콜입력!$B:$B,$A1163,실시간콜입력!$E:$E,"E",실시간콜입력!$H:$H,$B1163,실시간콜입력!$O:$O,"방문완료")</f>
        <v>0</v>
      </c>
      <c r="K1163" s="29">
        <f t="shared" si="156"/>
        <v>0</v>
      </c>
      <c r="L1163" s="27">
        <f>SUMIFS(실시간콜입력!$K:$K,실시간콜입력!$B:$B,$A1163,실시간콜입력!$G:$G,$B1163,실시간콜입력!$O:$O,"방문완료")+SUMIFS(실시간콜입력!$L:$L,실시간콜입력!$B:$B,$A1163,실시간콜입력!$H:$H,$B1163,실시간콜입력!$O:$O,"방문완료")</f>
        <v>0</v>
      </c>
      <c r="M1163" s="29" t="str">
        <f t="shared" si="157"/>
        <v/>
      </c>
      <c r="N1163" s="29"/>
    </row>
    <row r="1164" spans="1:14" ht="19.5" hidden="1" customHeight="1" outlineLevel="1">
      <c r="A1164" s="30">
        <f>IF(23&lt;=DAY(DATE(YEAR(설정_코스수당!$K$2),MONTH(설정_코스수당!$K$2)+1,0)),DATE(YEAR(설정_코스수당!$K$2),MONTH(설정_코스수당!$K$2),23),"")</f>
        <v>46196</v>
      </c>
      <c r="B1164" s="29" t="s">
        <v>176</v>
      </c>
      <c r="C1164" s="29"/>
      <c r="D1164" s="29"/>
      <c r="E1164" s="29" t="str">
        <f t="shared" si="155"/>
        <v/>
      </c>
      <c r="F1164" s="29">
        <f>COUNTIFS(실시간콜입력!$B:$B,$A1164,실시간콜입력!$E:$E,"A",실시간콜입력!$G:$G,$B1164,실시간콜입력!$O:$O,"방문완료")+COUNTIFS(실시간콜입력!$B:$B,$A1164,실시간콜입력!$E:$E,"A",실시간콜입력!$H:$H,$B1164,실시간콜입력!$O:$O,"방문완료")</f>
        <v>0</v>
      </c>
      <c r="G1164" s="29">
        <f>COUNTIFS(실시간콜입력!$B:$B,$A1164,실시간콜입력!$E:$E,"B",실시간콜입력!$G:$G,$B1164,실시간콜입력!$O:$O,"방문완료")+COUNTIFS(실시간콜입력!$B:$B,$A1164,실시간콜입력!$E:$E,"B",실시간콜입력!$H:$H,$B1164,실시간콜입력!$O:$O,"방문완료")</f>
        <v>0</v>
      </c>
      <c r="H1164" s="29">
        <f>COUNTIFS(실시간콜입력!$B:$B,$A1164,실시간콜입력!$E:$E,"C",실시간콜입력!$G:$G,$B1164,실시간콜입력!$O:$O,"방문완료")+COUNTIFS(실시간콜입력!$B:$B,$A1164,실시간콜입력!$E:$E,"C",실시간콜입력!$H:$H,$B1164,실시간콜입력!$O:$O,"방문완료")</f>
        <v>0</v>
      </c>
      <c r="I1164" s="29">
        <f>COUNTIFS(실시간콜입력!$B:$B,$A1164,실시간콜입력!$E:$E,"D",실시간콜입력!$G:$G,$B1164,실시간콜입력!$O:$O,"방문완료")+COUNTIFS(실시간콜입력!$B:$B,$A1164,실시간콜입력!$E:$E,"D",실시간콜입력!$H:$H,$B1164,실시간콜입력!$O:$O,"방문완료")</f>
        <v>0</v>
      </c>
      <c r="J1164" s="29">
        <f>COUNTIFS(실시간콜입력!$B:$B,$A1164,실시간콜입력!$E:$E,"E",실시간콜입력!$G:$G,$B1164,실시간콜입력!$O:$O,"방문완료")+COUNTIFS(실시간콜입력!$B:$B,$A1164,실시간콜입력!$E:$E,"E",실시간콜입력!$H:$H,$B1164,실시간콜입력!$O:$O,"방문완료")</f>
        <v>0</v>
      </c>
      <c r="K1164" s="29">
        <f t="shared" si="156"/>
        <v>0</v>
      </c>
      <c r="L1164" s="33">
        <f>SUMIFS(실시간콜입력!$K:$K,실시간콜입력!$B:$B,$A1164,실시간콜입력!$G:$G,$B1164,실시간콜입력!$O:$O,"방문완료")+SUMIFS(실시간콜입력!$L:$L,실시간콜입력!$B:$B,$A1164,실시간콜입력!$H:$H,$B1164,실시간콜입력!$O:$O,"방문완료")</f>
        <v>0</v>
      </c>
      <c r="M1164" s="29" t="str">
        <f t="shared" si="157"/>
        <v/>
      </c>
      <c r="N1164" s="29"/>
    </row>
    <row r="1165" spans="1:14" ht="19.5" hidden="1" customHeight="1" outlineLevel="1">
      <c r="A1165" s="24">
        <f>IF(23&lt;=DAY(DATE(YEAR(설정_코스수당!$K$2),MONTH(설정_코스수당!$K$2)+1,0)),DATE(YEAR(설정_코스수당!$K$2),MONTH(설정_코스수당!$K$2),23),"")</f>
        <v>46196</v>
      </c>
      <c r="B1165" s="23" t="s">
        <v>177</v>
      </c>
      <c r="C1165" s="29"/>
      <c r="D1165" s="29"/>
      <c r="E1165" s="29" t="str">
        <f t="shared" si="155"/>
        <v/>
      </c>
      <c r="F1165" s="29">
        <f>COUNTIFS(실시간콜입력!$B:$B,$A1165,실시간콜입력!$E:$E,"A",실시간콜입력!$G:$G,$B1165,실시간콜입력!$O:$O,"방문완료")+COUNTIFS(실시간콜입력!$B:$B,$A1165,실시간콜입력!$E:$E,"A",실시간콜입력!$H:$H,$B1165,실시간콜입력!$O:$O,"방문완료")</f>
        <v>0</v>
      </c>
      <c r="G1165" s="29">
        <f>COUNTIFS(실시간콜입력!$B:$B,$A1165,실시간콜입력!$E:$E,"B",실시간콜입력!$G:$G,$B1165,실시간콜입력!$O:$O,"방문완료")+COUNTIFS(실시간콜입력!$B:$B,$A1165,실시간콜입력!$E:$E,"B",실시간콜입력!$H:$H,$B1165,실시간콜입력!$O:$O,"방문완료")</f>
        <v>0</v>
      </c>
      <c r="H1165" s="29">
        <f>COUNTIFS(실시간콜입력!$B:$B,$A1165,실시간콜입력!$E:$E,"C",실시간콜입력!$G:$G,$B1165,실시간콜입력!$O:$O,"방문완료")+COUNTIFS(실시간콜입력!$B:$B,$A1165,실시간콜입력!$E:$E,"C",실시간콜입력!$H:$H,$B1165,실시간콜입력!$O:$O,"방문완료")</f>
        <v>0</v>
      </c>
      <c r="I1165" s="29">
        <f>COUNTIFS(실시간콜입력!$B:$B,$A1165,실시간콜입력!$E:$E,"D",실시간콜입력!$G:$G,$B1165,실시간콜입력!$O:$O,"방문완료")+COUNTIFS(실시간콜입력!$B:$B,$A1165,실시간콜입력!$E:$E,"D",실시간콜입력!$H:$H,$B1165,실시간콜입력!$O:$O,"방문완료")</f>
        <v>0</v>
      </c>
      <c r="J1165" s="29">
        <f>COUNTIFS(실시간콜입력!$B:$B,$A1165,실시간콜입력!$E:$E,"E",실시간콜입력!$G:$G,$B1165,실시간콜입력!$O:$O,"방문완료")+COUNTIFS(실시간콜입력!$B:$B,$A1165,실시간콜입력!$E:$E,"E",실시간콜입력!$H:$H,$B1165,실시간콜입력!$O:$O,"방문완료")</f>
        <v>0</v>
      </c>
      <c r="K1165" s="29">
        <f t="shared" si="156"/>
        <v>0</v>
      </c>
      <c r="L1165" s="27">
        <f>SUMIFS(실시간콜입력!$K:$K,실시간콜입력!$B:$B,$A1165,실시간콜입력!$G:$G,$B1165,실시간콜입력!$O:$O,"방문완료")+SUMIFS(실시간콜입력!$L:$L,실시간콜입력!$B:$B,$A1165,실시간콜입력!$H:$H,$B1165,실시간콜입력!$O:$O,"방문완료")</f>
        <v>0</v>
      </c>
      <c r="M1165" s="29" t="str">
        <f t="shared" si="157"/>
        <v/>
      </c>
      <c r="N1165" s="29"/>
    </row>
    <row r="1166" spans="1:14" ht="19.5" hidden="1" customHeight="1" outlineLevel="1">
      <c r="A1166" s="30">
        <f>IF(23&lt;=DAY(DATE(YEAR(설정_코스수당!$K$2),MONTH(설정_코스수당!$K$2)+1,0)),DATE(YEAR(설정_코스수당!$K$2),MONTH(설정_코스수당!$K$2),23),"")</f>
        <v>46196</v>
      </c>
      <c r="B1166" s="29" t="s">
        <v>178</v>
      </c>
      <c r="C1166" s="29"/>
      <c r="D1166" s="29"/>
      <c r="E1166" s="29" t="str">
        <f t="shared" si="155"/>
        <v/>
      </c>
      <c r="F1166" s="29">
        <f>COUNTIFS(실시간콜입력!$B:$B,$A1166,실시간콜입력!$E:$E,"A",실시간콜입력!$G:$G,$B1166,실시간콜입력!$O:$O,"방문완료")+COUNTIFS(실시간콜입력!$B:$B,$A1166,실시간콜입력!$E:$E,"A",실시간콜입력!$H:$H,$B1166,실시간콜입력!$O:$O,"방문완료")</f>
        <v>0</v>
      </c>
      <c r="G1166" s="29">
        <f>COUNTIFS(실시간콜입력!$B:$B,$A1166,실시간콜입력!$E:$E,"B",실시간콜입력!$G:$G,$B1166,실시간콜입력!$O:$O,"방문완료")+COUNTIFS(실시간콜입력!$B:$B,$A1166,실시간콜입력!$E:$E,"B",실시간콜입력!$H:$H,$B1166,실시간콜입력!$O:$O,"방문완료")</f>
        <v>0</v>
      </c>
      <c r="H1166" s="29">
        <f>COUNTIFS(실시간콜입력!$B:$B,$A1166,실시간콜입력!$E:$E,"C",실시간콜입력!$G:$G,$B1166,실시간콜입력!$O:$O,"방문완료")+COUNTIFS(실시간콜입력!$B:$B,$A1166,실시간콜입력!$E:$E,"C",실시간콜입력!$H:$H,$B1166,실시간콜입력!$O:$O,"방문완료")</f>
        <v>0</v>
      </c>
      <c r="I1166" s="29">
        <f>COUNTIFS(실시간콜입력!$B:$B,$A1166,실시간콜입력!$E:$E,"D",실시간콜입력!$G:$G,$B1166,실시간콜입력!$O:$O,"방문완료")+COUNTIFS(실시간콜입력!$B:$B,$A1166,실시간콜입력!$E:$E,"D",실시간콜입력!$H:$H,$B1166,실시간콜입력!$O:$O,"방문완료")</f>
        <v>0</v>
      </c>
      <c r="J1166" s="29">
        <f>COUNTIFS(실시간콜입력!$B:$B,$A1166,실시간콜입력!$E:$E,"E",실시간콜입력!$G:$G,$B1166,실시간콜입력!$O:$O,"방문완료")+COUNTIFS(실시간콜입력!$B:$B,$A1166,실시간콜입력!$E:$E,"E",실시간콜입력!$H:$H,$B1166,실시간콜입력!$O:$O,"방문완료")</f>
        <v>0</v>
      </c>
      <c r="K1166" s="29">
        <f t="shared" si="156"/>
        <v>0</v>
      </c>
      <c r="L1166" s="33">
        <f>SUMIFS(실시간콜입력!$K:$K,실시간콜입력!$B:$B,$A1166,실시간콜입력!$G:$G,$B1166,실시간콜입력!$O:$O,"방문완료")+SUMIFS(실시간콜입력!$L:$L,실시간콜입력!$B:$B,$A1166,실시간콜입력!$H:$H,$B1166,실시간콜입력!$O:$O,"방문완료")</f>
        <v>0</v>
      </c>
      <c r="M1166" s="29" t="str">
        <f t="shared" si="157"/>
        <v/>
      </c>
      <c r="N1166" s="29"/>
    </row>
    <row r="1167" spans="1:14" ht="19.5" hidden="1" customHeight="1" outlineLevel="1">
      <c r="A1167" s="24">
        <f>IF(23&lt;=DAY(DATE(YEAR(설정_코스수당!$K$2),MONTH(설정_코스수당!$K$2)+1,0)),DATE(YEAR(설정_코스수당!$K$2),MONTH(설정_코스수당!$K$2),23),"")</f>
        <v>46196</v>
      </c>
      <c r="B1167" s="23" t="s">
        <v>179</v>
      </c>
      <c r="C1167" s="29"/>
      <c r="D1167" s="29"/>
      <c r="E1167" s="29" t="str">
        <f t="shared" si="155"/>
        <v/>
      </c>
      <c r="F1167" s="29">
        <f>COUNTIFS(실시간콜입력!$B:$B,$A1167,실시간콜입력!$E:$E,"A",실시간콜입력!$G:$G,$B1167,실시간콜입력!$O:$O,"방문완료")+COUNTIFS(실시간콜입력!$B:$B,$A1167,실시간콜입력!$E:$E,"A",실시간콜입력!$H:$H,$B1167,실시간콜입력!$O:$O,"방문완료")</f>
        <v>0</v>
      </c>
      <c r="G1167" s="29">
        <f>COUNTIFS(실시간콜입력!$B:$B,$A1167,실시간콜입력!$E:$E,"B",실시간콜입력!$G:$G,$B1167,실시간콜입력!$O:$O,"방문완료")+COUNTIFS(실시간콜입력!$B:$B,$A1167,실시간콜입력!$E:$E,"B",실시간콜입력!$H:$H,$B1167,실시간콜입력!$O:$O,"방문완료")</f>
        <v>0</v>
      </c>
      <c r="H1167" s="29">
        <f>COUNTIFS(실시간콜입력!$B:$B,$A1167,실시간콜입력!$E:$E,"C",실시간콜입력!$G:$G,$B1167,실시간콜입력!$O:$O,"방문완료")+COUNTIFS(실시간콜입력!$B:$B,$A1167,실시간콜입력!$E:$E,"C",실시간콜입력!$H:$H,$B1167,실시간콜입력!$O:$O,"방문완료")</f>
        <v>0</v>
      </c>
      <c r="I1167" s="29">
        <f>COUNTIFS(실시간콜입력!$B:$B,$A1167,실시간콜입력!$E:$E,"D",실시간콜입력!$G:$G,$B1167,실시간콜입력!$O:$O,"방문완료")+COUNTIFS(실시간콜입력!$B:$B,$A1167,실시간콜입력!$E:$E,"D",실시간콜입력!$H:$H,$B1167,실시간콜입력!$O:$O,"방문완료")</f>
        <v>0</v>
      </c>
      <c r="J1167" s="29">
        <f>COUNTIFS(실시간콜입력!$B:$B,$A1167,실시간콜입력!$E:$E,"E",실시간콜입력!$G:$G,$B1167,실시간콜입력!$O:$O,"방문완료")+COUNTIFS(실시간콜입력!$B:$B,$A1167,실시간콜입력!$E:$E,"E",실시간콜입력!$H:$H,$B1167,실시간콜입력!$O:$O,"방문완료")</f>
        <v>0</v>
      </c>
      <c r="K1167" s="29">
        <f t="shared" si="156"/>
        <v>0</v>
      </c>
      <c r="L1167" s="27">
        <f>SUMIFS(실시간콜입력!$K:$K,실시간콜입력!$B:$B,$A1167,실시간콜입력!$G:$G,$B1167,실시간콜입력!$O:$O,"방문완료")+SUMIFS(실시간콜입력!$L:$L,실시간콜입력!$B:$B,$A1167,실시간콜입력!$H:$H,$B1167,실시간콜입력!$O:$O,"방문완료")</f>
        <v>0</v>
      </c>
      <c r="M1167" s="29" t="str">
        <f t="shared" si="157"/>
        <v/>
      </c>
      <c r="N1167" s="29"/>
    </row>
    <row r="1168" spans="1:14" ht="19.5" hidden="1" customHeight="1" outlineLevel="1">
      <c r="A1168" s="30">
        <f>IF(23&lt;=DAY(DATE(YEAR(설정_코스수당!$K$2),MONTH(설정_코스수당!$K$2)+1,0)),DATE(YEAR(설정_코스수당!$K$2),MONTH(설정_코스수당!$K$2),23),"")</f>
        <v>46196</v>
      </c>
      <c r="B1168" s="29" t="s">
        <v>180</v>
      </c>
      <c r="C1168" s="29"/>
      <c r="D1168" s="29"/>
      <c r="E1168" s="29" t="str">
        <f t="shared" si="155"/>
        <v/>
      </c>
      <c r="F1168" s="29">
        <f>COUNTIFS(실시간콜입력!$B:$B,$A1168,실시간콜입력!$E:$E,"A",실시간콜입력!$G:$G,$B1168,실시간콜입력!$O:$O,"방문완료")+COUNTIFS(실시간콜입력!$B:$B,$A1168,실시간콜입력!$E:$E,"A",실시간콜입력!$H:$H,$B1168,실시간콜입력!$O:$O,"방문완료")</f>
        <v>0</v>
      </c>
      <c r="G1168" s="29">
        <f>COUNTIFS(실시간콜입력!$B:$B,$A1168,실시간콜입력!$E:$E,"B",실시간콜입력!$G:$G,$B1168,실시간콜입력!$O:$O,"방문완료")+COUNTIFS(실시간콜입력!$B:$B,$A1168,실시간콜입력!$E:$E,"B",실시간콜입력!$H:$H,$B1168,실시간콜입력!$O:$O,"방문완료")</f>
        <v>0</v>
      </c>
      <c r="H1168" s="29">
        <f>COUNTIFS(실시간콜입력!$B:$B,$A1168,실시간콜입력!$E:$E,"C",실시간콜입력!$G:$G,$B1168,실시간콜입력!$O:$O,"방문완료")+COUNTIFS(실시간콜입력!$B:$B,$A1168,실시간콜입력!$E:$E,"C",실시간콜입력!$H:$H,$B1168,실시간콜입력!$O:$O,"방문완료")</f>
        <v>0</v>
      </c>
      <c r="I1168" s="29">
        <f>COUNTIFS(실시간콜입력!$B:$B,$A1168,실시간콜입력!$E:$E,"D",실시간콜입력!$G:$G,$B1168,실시간콜입력!$O:$O,"방문완료")+COUNTIFS(실시간콜입력!$B:$B,$A1168,실시간콜입력!$E:$E,"D",실시간콜입력!$H:$H,$B1168,실시간콜입력!$O:$O,"방문완료")</f>
        <v>0</v>
      </c>
      <c r="J1168" s="29">
        <f>COUNTIFS(실시간콜입력!$B:$B,$A1168,실시간콜입력!$E:$E,"E",실시간콜입력!$G:$G,$B1168,실시간콜입력!$O:$O,"방문완료")+COUNTIFS(실시간콜입력!$B:$B,$A1168,실시간콜입력!$E:$E,"E",실시간콜입력!$H:$H,$B1168,실시간콜입력!$O:$O,"방문완료")</f>
        <v>0</v>
      </c>
      <c r="K1168" s="29">
        <f t="shared" si="156"/>
        <v>0</v>
      </c>
      <c r="L1168" s="33">
        <f>SUMIFS(실시간콜입력!$K:$K,실시간콜입력!$B:$B,$A1168,실시간콜입력!$G:$G,$B1168,실시간콜입력!$O:$O,"방문완료")+SUMIFS(실시간콜입력!$L:$L,실시간콜입력!$B:$B,$A1168,실시간콜입력!$H:$H,$B1168,실시간콜입력!$O:$O,"방문완료")</f>
        <v>0</v>
      </c>
      <c r="M1168" s="29" t="str">
        <f t="shared" si="157"/>
        <v/>
      </c>
      <c r="N1168" s="29"/>
    </row>
    <row r="1169" spans="1:14" ht="19.5" hidden="1" customHeight="1" outlineLevel="1">
      <c r="A1169" s="24">
        <f>IF(23&lt;=DAY(DATE(YEAR(설정_코스수당!$K$2),MONTH(설정_코스수당!$K$2)+1,0)),DATE(YEAR(설정_코스수당!$K$2),MONTH(설정_코스수당!$K$2),23),"")</f>
        <v>46196</v>
      </c>
      <c r="B1169" s="23" t="s">
        <v>181</v>
      </c>
      <c r="C1169" s="29"/>
      <c r="D1169" s="29"/>
      <c r="E1169" s="29" t="str">
        <f t="shared" si="155"/>
        <v/>
      </c>
      <c r="F1169" s="29">
        <f>COUNTIFS(실시간콜입력!$B:$B,$A1169,실시간콜입력!$E:$E,"A",실시간콜입력!$G:$G,$B1169,실시간콜입력!$O:$O,"방문완료")+COUNTIFS(실시간콜입력!$B:$B,$A1169,실시간콜입력!$E:$E,"A",실시간콜입력!$H:$H,$B1169,실시간콜입력!$O:$O,"방문완료")</f>
        <v>0</v>
      </c>
      <c r="G1169" s="29">
        <f>COUNTIFS(실시간콜입력!$B:$B,$A1169,실시간콜입력!$E:$E,"B",실시간콜입력!$G:$G,$B1169,실시간콜입력!$O:$O,"방문완료")+COUNTIFS(실시간콜입력!$B:$B,$A1169,실시간콜입력!$E:$E,"B",실시간콜입력!$H:$H,$B1169,실시간콜입력!$O:$O,"방문완료")</f>
        <v>0</v>
      </c>
      <c r="H1169" s="29">
        <f>COUNTIFS(실시간콜입력!$B:$B,$A1169,실시간콜입력!$E:$E,"C",실시간콜입력!$G:$G,$B1169,실시간콜입력!$O:$O,"방문완료")+COUNTIFS(실시간콜입력!$B:$B,$A1169,실시간콜입력!$E:$E,"C",실시간콜입력!$H:$H,$B1169,실시간콜입력!$O:$O,"방문완료")</f>
        <v>0</v>
      </c>
      <c r="I1169" s="29">
        <f>COUNTIFS(실시간콜입력!$B:$B,$A1169,실시간콜입력!$E:$E,"D",실시간콜입력!$G:$G,$B1169,실시간콜입력!$O:$O,"방문완료")+COUNTIFS(실시간콜입력!$B:$B,$A1169,실시간콜입력!$E:$E,"D",실시간콜입력!$H:$H,$B1169,실시간콜입력!$O:$O,"방문완료")</f>
        <v>0</v>
      </c>
      <c r="J1169" s="29">
        <f>COUNTIFS(실시간콜입력!$B:$B,$A1169,실시간콜입력!$E:$E,"E",실시간콜입력!$G:$G,$B1169,실시간콜입력!$O:$O,"방문완료")+COUNTIFS(실시간콜입력!$B:$B,$A1169,실시간콜입력!$E:$E,"E",실시간콜입력!$H:$H,$B1169,실시간콜입력!$O:$O,"방문완료")</f>
        <v>0</v>
      </c>
      <c r="K1169" s="29">
        <f t="shared" si="156"/>
        <v>0</v>
      </c>
      <c r="L1169" s="27">
        <f>SUMIFS(실시간콜입력!$K:$K,실시간콜입력!$B:$B,$A1169,실시간콜입력!$G:$G,$B1169,실시간콜입력!$O:$O,"방문완료")+SUMIFS(실시간콜입력!$L:$L,실시간콜입력!$B:$B,$A1169,실시간콜입력!$H:$H,$B1169,실시간콜입력!$O:$O,"방문완료")</f>
        <v>0</v>
      </c>
      <c r="M1169" s="29" t="str">
        <f t="shared" si="157"/>
        <v/>
      </c>
      <c r="N1169" s="29"/>
    </row>
    <row r="1170" spans="1:14" ht="19.5" hidden="1" customHeight="1" outlineLevel="1">
      <c r="A1170" s="30">
        <f>IF(23&lt;=DAY(DATE(YEAR(설정_코스수당!$K$2),MONTH(설정_코스수당!$K$2)+1,0)),DATE(YEAR(설정_코스수당!$K$2),MONTH(설정_코스수당!$K$2),23),"")</f>
        <v>46196</v>
      </c>
      <c r="B1170" s="29" t="s">
        <v>182</v>
      </c>
      <c r="C1170" s="29"/>
      <c r="D1170" s="29"/>
      <c r="E1170" s="29" t="str">
        <f t="shared" si="155"/>
        <v/>
      </c>
      <c r="F1170" s="29">
        <f>COUNTIFS(실시간콜입력!$B:$B,$A1170,실시간콜입력!$E:$E,"A",실시간콜입력!$G:$G,$B1170,실시간콜입력!$O:$O,"방문완료")+COUNTIFS(실시간콜입력!$B:$B,$A1170,실시간콜입력!$E:$E,"A",실시간콜입력!$H:$H,$B1170,실시간콜입력!$O:$O,"방문완료")</f>
        <v>0</v>
      </c>
      <c r="G1170" s="29">
        <f>COUNTIFS(실시간콜입력!$B:$B,$A1170,실시간콜입력!$E:$E,"B",실시간콜입력!$G:$G,$B1170,실시간콜입력!$O:$O,"방문완료")+COUNTIFS(실시간콜입력!$B:$B,$A1170,실시간콜입력!$E:$E,"B",실시간콜입력!$H:$H,$B1170,실시간콜입력!$O:$O,"방문완료")</f>
        <v>0</v>
      </c>
      <c r="H1170" s="29">
        <f>COUNTIFS(실시간콜입력!$B:$B,$A1170,실시간콜입력!$E:$E,"C",실시간콜입력!$G:$G,$B1170,실시간콜입력!$O:$O,"방문완료")+COUNTIFS(실시간콜입력!$B:$B,$A1170,실시간콜입력!$E:$E,"C",실시간콜입력!$H:$H,$B1170,실시간콜입력!$O:$O,"방문완료")</f>
        <v>0</v>
      </c>
      <c r="I1170" s="29">
        <f>COUNTIFS(실시간콜입력!$B:$B,$A1170,실시간콜입력!$E:$E,"D",실시간콜입력!$G:$G,$B1170,실시간콜입력!$O:$O,"방문완료")+COUNTIFS(실시간콜입력!$B:$B,$A1170,실시간콜입력!$E:$E,"D",실시간콜입력!$H:$H,$B1170,실시간콜입력!$O:$O,"방문완료")</f>
        <v>0</v>
      </c>
      <c r="J1170" s="29">
        <f>COUNTIFS(실시간콜입력!$B:$B,$A1170,실시간콜입력!$E:$E,"E",실시간콜입력!$G:$G,$B1170,실시간콜입력!$O:$O,"방문완료")+COUNTIFS(실시간콜입력!$B:$B,$A1170,실시간콜입력!$E:$E,"E",실시간콜입력!$H:$H,$B1170,실시간콜입력!$O:$O,"방문완료")</f>
        <v>0</v>
      </c>
      <c r="K1170" s="29">
        <f t="shared" si="156"/>
        <v>0</v>
      </c>
      <c r="L1170" s="33">
        <f>SUMIFS(실시간콜입력!$K:$K,실시간콜입력!$B:$B,$A1170,실시간콜입력!$G:$G,$B1170,실시간콜입력!$O:$O,"방문완료")+SUMIFS(실시간콜입력!$L:$L,실시간콜입력!$B:$B,$A1170,실시간콜입력!$H:$H,$B1170,실시간콜입력!$O:$O,"방문완료")</f>
        <v>0</v>
      </c>
      <c r="M1170" s="29" t="str">
        <f t="shared" si="157"/>
        <v/>
      </c>
      <c r="N1170" s="29"/>
    </row>
    <row r="1171" spans="1:14" ht="19.5" hidden="1" customHeight="1" outlineLevel="1">
      <c r="A1171" s="24">
        <f>IF(23&lt;=DAY(DATE(YEAR(설정_코스수당!$K$2),MONTH(설정_코스수당!$K$2)+1,0)),DATE(YEAR(설정_코스수당!$K$2),MONTH(설정_코스수당!$K$2),23),"")</f>
        <v>46196</v>
      </c>
      <c r="B1171" s="23" t="s">
        <v>183</v>
      </c>
      <c r="C1171" s="29"/>
      <c r="D1171" s="29"/>
      <c r="E1171" s="29" t="str">
        <f t="shared" si="155"/>
        <v/>
      </c>
      <c r="F1171" s="29">
        <f>COUNTIFS(실시간콜입력!$B:$B,$A1171,실시간콜입력!$E:$E,"A",실시간콜입력!$G:$G,$B1171,실시간콜입력!$O:$O,"방문완료")+COUNTIFS(실시간콜입력!$B:$B,$A1171,실시간콜입력!$E:$E,"A",실시간콜입력!$H:$H,$B1171,실시간콜입력!$O:$O,"방문완료")</f>
        <v>0</v>
      </c>
      <c r="G1171" s="29">
        <f>COUNTIFS(실시간콜입력!$B:$B,$A1171,실시간콜입력!$E:$E,"B",실시간콜입력!$G:$G,$B1171,실시간콜입력!$O:$O,"방문완료")+COUNTIFS(실시간콜입력!$B:$B,$A1171,실시간콜입력!$E:$E,"B",실시간콜입력!$H:$H,$B1171,실시간콜입력!$O:$O,"방문완료")</f>
        <v>0</v>
      </c>
      <c r="H1171" s="29">
        <f>COUNTIFS(실시간콜입력!$B:$B,$A1171,실시간콜입력!$E:$E,"C",실시간콜입력!$G:$G,$B1171,실시간콜입력!$O:$O,"방문완료")+COUNTIFS(실시간콜입력!$B:$B,$A1171,실시간콜입력!$E:$E,"C",실시간콜입력!$H:$H,$B1171,실시간콜입력!$O:$O,"방문완료")</f>
        <v>0</v>
      </c>
      <c r="I1171" s="29">
        <f>COUNTIFS(실시간콜입력!$B:$B,$A1171,실시간콜입력!$E:$E,"D",실시간콜입력!$G:$G,$B1171,실시간콜입력!$O:$O,"방문완료")+COUNTIFS(실시간콜입력!$B:$B,$A1171,실시간콜입력!$E:$E,"D",실시간콜입력!$H:$H,$B1171,실시간콜입력!$O:$O,"방문완료")</f>
        <v>0</v>
      </c>
      <c r="J1171" s="29">
        <f>COUNTIFS(실시간콜입력!$B:$B,$A1171,실시간콜입력!$E:$E,"E",실시간콜입력!$G:$G,$B1171,실시간콜입력!$O:$O,"방문완료")+COUNTIFS(실시간콜입력!$B:$B,$A1171,실시간콜입력!$E:$E,"E",실시간콜입력!$H:$H,$B1171,실시간콜입력!$O:$O,"방문완료")</f>
        <v>0</v>
      </c>
      <c r="K1171" s="29">
        <f t="shared" si="156"/>
        <v>0</v>
      </c>
      <c r="L1171" s="27">
        <f>SUMIFS(실시간콜입력!$K:$K,실시간콜입력!$B:$B,$A1171,실시간콜입력!$G:$G,$B1171,실시간콜입력!$O:$O,"방문완료")+SUMIFS(실시간콜입력!$L:$L,실시간콜입력!$B:$B,$A1171,실시간콜입력!$H:$H,$B1171,실시간콜입력!$O:$O,"방문완료")</f>
        <v>0</v>
      </c>
      <c r="M1171" s="29" t="str">
        <f t="shared" si="157"/>
        <v/>
      </c>
      <c r="N1171" s="29"/>
    </row>
    <row r="1172" spans="1:14" ht="19.5" hidden="1" customHeight="1" outlineLevel="1">
      <c r="A1172" s="30">
        <f>IF(23&lt;=DAY(DATE(YEAR(설정_코스수당!$K$2),MONTH(설정_코스수당!$K$2)+1,0)),DATE(YEAR(설정_코스수당!$K$2),MONTH(설정_코스수당!$K$2),23),"")</f>
        <v>46196</v>
      </c>
      <c r="B1172" s="29" t="s">
        <v>184</v>
      </c>
      <c r="C1172" s="29"/>
      <c r="D1172" s="29"/>
      <c r="E1172" s="29" t="str">
        <f t="shared" si="155"/>
        <v/>
      </c>
      <c r="F1172" s="29">
        <f>COUNTIFS(실시간콜입력!$B:$B,$A1172,실시간콜입력!$E:$E,"A",실시간콜입력!$G:$G,$B1172,실시간콜입력!$O:$O,"방문완료")+COUNTIFS(실시간콜입력!$B:$B,$A1172,실시간콜입력!$E:$E,"A",실시간콜입력!$H:$H,$B1172,실시간콜입력!$O:$O,"방문완료")</f>
        <v>0</v>
      </c>
      <c r="G1172" s="29">
        <f>COUNTIFS(실시간콜입력!$B:$B,$A1172,실시간콜입력!$E:$E,"B",실시간콜입력!$G:$G,$B1172,실시간콜입력!$O:$O,"방문완료")+COUNTIFS(실시간콜입력!$B:$B,$A1172,실시간콜입력!$E:$E,"B",실시간콜입력!$H:$H,$B1172,실시간콜입력!$O:$O,"방문완료")</f>
        <v>0</v>
      </c>
      <c r="H1172" s="29">
        <f>COUNTIFS(실시간콜입력!$B:$B,$A1172,실시간콜입력!$E:$E,"C",실시간콜입력!$G:$G,$B1172,실시간콜입력!$O:$O,"방문완료")+COUNTIFS(실시간콜입력!$B:$B,$A1172,실시간콜입력!$E:$E,"C",실시간콜입력!$H:$H,$B1172,실시간콜입력!$O:$O,"방문완료")</f>
        <v>0</v>
      </c>
      <c r="I1172" s="29">
        <f>COUNTIFS(실시간콜입력!$B:$B,$A1172,실시간콜입력!$E:$E,"D",실시간콜입력!$G:$G,$B1172,실시간콜입력!$O:$O,"방문완료")+COUNTIFS(실시간콜입력!$B:$B,$A1172,실시간콜입력!$E:$E,"D",실시간콜입력!$H:$H,$B1172,실시간콜입력!$O:$O,"방문완료")</f>
        <v>0</v>
      </c>
      <c r="J1172" s="29">
        <f>COUNTIFS(실시간콜입력!$B:$B,$A1172,실시간콜입력!$E:$E,"E",실시간콜입력!$G:$G,$B1172,실시간콜입력!$O:$O,"방문완료")+COUNTIFS(실시간콜입력!$B:$B,$A1172,실시간콜입력!$E:$E,"E",실시간콜입력!$H:$H,$B1172,실시간콜입력!$O:$O,"방문완료")</f>
        <v>0</v>
      </c>
      <c r="K1172" s="29">
        <f t="shared" si="156"/>
        <v>0</v>
      </c>
      <c r="L1172" s="33">
        <f>SUMIFS(실시간콜입력!$K:$K,실시간콜입력!$B:$B,$A1172,실시간콜입력!$G:$G,$B1172,실시간콜입력!$O:$O,"방문완료")+SUMIFS(실시간콜입력!$L:$L,실시간콜입력!$B:$B,$A1172,실시간콜입력!$H:$H,$B1172,실시간콜입력!$O:$O,"방문완료")</f>
        <v>0</v>
      </c>
      <c r="M1172" s="29" t="str">
        <f t="shared" si="157"/>
        <v/>
      </c>
      <c r="N1172" s="29"/>
    </row>
    <row r="1173" spans="1:14" ht="19.5" hidden="1" customHeight="1" outlineLevel="1">
      <c r="A1173" s="24">
        <f>IF(23&lt;=DAY(DATE(YEAR(설정_코스수당!$K$2),MONTH(설정_코스수당!$K$2)+1,0)),DATE(YEAR(설정_코스수당!$K$2),MONTH(설정_코스수당!$K$2),23),"")</f>
        <v>46196</v>
      </c>
      <c r="B1173" s="23" t="s">
        <v>185</v>
      </c>
      <c r="C1173" s="29"/>
      <c r="D1173" s="29"/>
      <c r="E1173" s="29" t="str">
        <f t="shared" si="155"/>
        <v/>
      </c>
      <c r="F1173" s="29">
        <f>COUNTIFS(실시간콜입력!$B:$B,$A1173,실시간콜입력!$E:$E,"A",실시간콜입력!$G:$G,$B1173,실시간콜입력!$O:$O,"방문완료")+COUNTIFS(실시간콜입력!$B:$B,$A1173,실시간콜입력!$E:$E,"A",실시간콜입력!$H:$H,$B1173,실시간콜입력!$O:$O,"방문완료")</f>
        <v>0</v>
      </c>
      <c r="G1173" s="29">
        <f>COUNTIFS(실시간콜입력!$B:$B,$A1173,실시간콜입력!$E:$E,"B",실시간콜입력!$G:$G,$B1173,실시간콜입력!$O:$O,"방문완료")+COUNTIFS(실시간콜입력!$B:$B,$A1173,실시간콜입력!$E:$E,"B",실시간콜입력!$H:$H,$B1173,실시간콜입력!$O:$O,"방문완료")</f>
        <v>0</v>
      </c>
      <c r="H1173" s="29">
        <f>COUNTIFS(실시간콜입력!$B:$B,$A1173,실시간콜입력!$E:$E,"C",실시간콜입력!$G:$G,$B1173,실시간콜입력!$O:$O,"방문완료")+COUNTIFS(실시간콜입력!$B:$B,$A1173,실시간콜입력!$E:$E,"C",실시간콜입력!$H:$H,$B1173,실시간콜입력!$O:$O,"방문완료")</f>
        <v>0</v>
      </c>
      <c r="I1173" s="29">
        <f>COUNTIFS(실시간콜입력!$B:$B,$A1173,실시간콜입력!$E:$E,"D",실시간콜입력!$G:$G,$B1173,실시간콜입력!$O:$O,"방문완료")+COUNTIFS(실시간콜입력!$B:$B,$A1173,실시간콜입력!$E:$E,"D",실시간콜입력!$H:$H,$B1173,실시간콜입력!$O:$O,"방문완료")</f>
        <v>0</v>
      </c>
      <c r="J1173" s="29">
        <f>COUNTIFS(실시간콜입력!$B:$B,$A1173,실시간콜입력!$E:$E,"E",실시간콜입력!$G:$G,$B1173,실시간콜입력!$O:$O,"방문완료")+COUNTIFS(실시간콜입력!$B:$B,$A1173,실시간콜입력!$E:$E,"E",실시간콜입력!$H:$H,$B1173,실시간콜입력!$O:$O,"방문완료")</f>
        <v>0</v>
      </c>
      <c r="K1173" s="29">
        <f t="shared" si="156"/>
        <v>0</v>
      </c>
      <c r="L1173" s="27">
        <f>SUMIFS(실시간콜입력!$K:$K,실시간콜입력!$B:$B,$A1173,실시간콜입력!$G:$G,$B1173,실시간콜입력!$O:$O,"방문완료")+SUMIFS(실시간콜입력!$L:$L,실시간콜입력!$B:$B,$A1173,실시간콜입력!$H:$H,$B1173,실시간콜입력!$O:$O,"방문완료")</f>
        <v>0</v>
      </c>
      <c r="M1173" s="29" t="str">
        <f t="shared" si="157"/>
        <v/>
      </c>
      <c r="N1173" s="29"/>
    </row>
    <row r="1174" spans="1:14" ht="19.5" hidden="1" customHeight="1" outlineLevel="1">
      <c r="A1174" s="30">
        <f>IF(23&lt;=DAY(DATE(YEAR(설정_코스수당!$K$2),MONTH(설정_코스수당!$K$2)+1,0)),DATE(YEAR(설정_코스수당!$K$2),MONTH(설정_코스수당!$K$2),23),"")</f>
        <v>46196</v>
      </c>
      <c r="B1174" s="29" t="s">
        <v>186</v>
      </c>
      <c r="C1174" s="29"/>
      <c r="D1174" s="29"/>
      <c r="E1174" s="29" t="str">
        <f t="shared" si="155"/>
        <v/>
      </c>
      <c r="F1174" s="29">
        <f>COUNTIFS(실시간콜입력!$B:$B,$A1174,실시간콜입력!$E:$E,"A",실시간콜입력!$G:$G,$B1174,실시간콜입력!$O:$O,"방문완료")+COUNTIFS(실시간콜입력!$B:$B,$A1174,실시간콜입력!$E:$E,"A",실시간콜입력!$H:$H,$B1174,실시간콜입력!$O:$O,"방문완료")</f>
        <v>0</v>
      </c>
      <c r="G1174" s="29">
        <f>COUNTIFS(실시간콜입력!$B:$B,$A1174,실시간콜입력!$E:$E,"B",실시간콜입력!$G:$G,$B1174,실시간콜입력!$O:$O,"방문완료")+COUNTIFS(실시간콜입력!$B:$B,$A1174,실시간콜입력!$E:$E,"B",실시간콜입력!$H:$H,$B1174,실시간콜입력!$O:$O,"방문완료")</f>
        <v>0</v>
      </c>
      <c r="H1174" s="29">
        <f>COUNTIFS(실시간콜입력!$B:$B,$A1174,실시간콜입력!$E:$E,"C",실시간콜입력!$G:$G,$B1174,실시간콜입력!$O:$O,"방문완료")+COUNTIFS(실시간콜입력!$B:$B,$A1174,실시간콜입력!$E:$E,"C",실시간콜입력!$H:$H,$B1174,실시간콜입력!$O:$O,"방문완료")</f>
        <v>0</v>
      </c>
      <c r="I1174" s="29">
        <f>COUNTIFS(실시간콜입력!$B:$B,$A1174,실시간콜입력!$E:$E,"D",실시간콜입력!$G:$G,$B1174,실시간콜입력!$O:$O,"방문완료")+COUNTIFS(실시간콜입력!$B:$B,$A1174,실시간콜입력!$E:$E,"D",실시간콜입력!$H:$H,$B1174,실시간콜입력!$O:$O,"방문완료")</f>
        <v>0</v>
      </c>
      <c r="J1174" s="29">
        <f>COUNTIFS(실시간콜입력!$B:$B,$A1174,실시간콜입력!$E:$E,"E",실시간콜입력!$G:$G,$B1174,실시간콜입력!$O:$O,"방문완료")+COUNTIFS(실시간콜입력!$B:$B,$A1174,실시간콜입력!$E:$E,"E",실시간콜입력!$H:$H,$B1174,실시간콜입력!$O:$O,"방문완료")</f>
        <v>0</v>
      </c>
      <c r="K1174" s="29">
        <f t="shared" si="156"/>
        <v>0</v>
      </c>
      <c r="L1174" s="33">
        <f>SUMIFS(실시간콜입력!$K:$K,실시간콜입력!$B:$B,$A1174,실시간콜입력!$G:$G,$B1174,실시간콜입력!$O:$O,"방문완료")+SUMIFS(실시간콜입력!$L:$L,실시간콜입력!$B:$B,$A1174,실시간콜입력!$H:$H,$B1174,실시간콜입력!$O:$O,"방문완료")</f>
        <v>0</v>
      </c>
      <c r="M1174" s="29" t="str">
        <f t="shared" si="157"/>
        <v/>
      </c>
      <c r="N1174" s="29"/>
    </row>
    <row r="1175" spans="1:14" ht="19.5" hidden="1" customHeight="1" outlineLevel="1">
      <c r="A1175" s="24">
        <f>IF(23&lt;=DAY(DATE(YEAR(설정_코스수당!$K$2),MONTH(설정_코스수당!$K$2)+1,0)),DATE(YEAR(설정_코스수당!$K$2),MONTH(설정_코스수당!$K$2),23),"")</f>
        <v>46196</v>
      </c>
      <c r="B1175" s="23" t="s">
        <v>187</v>
      </c>
      <c r="C1175" s="29"/>
      <c r="D1175" s="29"/>
      <c r="E1175" s="29" t="str">
        <f t="shared" si="155"/>
        <v/>
      </c>
      <c r="F1175" s="29">
        <f>COUNTIFS(실시간콜입력!$B:$B,$A1175,실시간콜입력!$E:$E,"A",실시간콜입력!$G:$G,$B1175,실시간콜입력!$O:$O,"방문완료")+COUNTIFS(실시간콜입력!$B:$B,$A1175,실시간콜입력!$E:$E,"A",실시간콜입력!$H:$H,$B1175,실시간콜입력!$O:$O,"방문완료")</f>
        <v>0</v>
      </c>
      <c r="G1175" s="29">
        <f>COUNTIFS(실시간콜입력!$B:$B,$A1175,실시간콜입력!$E:$E,"B",실시간콜입력!$G:$G,$B1175,실시간콜입력!$O:$O,"방문완료")+COUNTIFS(실시간콜입력!$B:$B,$A1175,실시간콜입력!$E:$E,"B",실시간콜입력!$H:$H,$B1175,실시간콜입력!$O:$O,"방문완료")</f>
        <v>0</v>
      </c>
      <c r="H1175" s="29">
        <f>COUNTIFS(실시간콜입력!$B:$B,$A1175,실시간콜입력!$E:$E,"C",실시간콜입력!$G:$G,$B1175,실시간콜입력!$O:$O,"방문완료")+COUNTIFS(실시간콜입력!$B:$B,$A1175,실시간콜입력!$E:$E,"C",실시간콜입력!$H:$H,$B1175,실시간콜입력!$O:$O,"방문완료")</f>
        <v>0</v>
      </c>
      <c r="I1175" s="29">
        <f>COUNTIFS(실시간콜입력!$B:$B,$A1175,실시간콜입력!$E:$E,"D",실시간콜입력!$G:$G,$B1175,실시간콜입력!$O:$O,"방문완료")+COUNTIFS(실시간콜입력!$B:$B,$A1175,실시간콜입력!$E:$E,"D",실시간콜입력!$H:$H,$B1175,실시간콜입력!$O:$O,"방문완료")</f>
        <v>0</v>
      </c>
      <c r="J1175" s="29">
        <f>COUNTIFS(실시간콜입력!$B:$B,$A1175,실시간콜입력!$E:$E,"E",실시간콜입력!$G:$G,$B1175,실시간콜입력!$O:$O,"방문완료")+COUNTIFS(실시간콜입력!$B:$B,$A1175,실시간콜입력!$E:$E,"E",실시간콜입력!$H:$H,$B1175,실시간콜입력!$O:$O,"방문완료")</f>
        <v>0</v>
      </c>
      <c r="K1175" s="29">
        <f t="shared" si="156"/>
        <v>0</v>
      </c>
      <c r="L1175" s="27">
        <f>SUMIFS(실시간콜입력!$K:$K,실시간콜입력!$B:$B,$A1175,실시간콜입력!$G:$G,$B1175,실시간콜입력!$O:$O,"방문완료")+SUMIFS(실시간콜입력!$L:$L,실시간콜입력!$B:$B,$A1175,실시간콜입력!$H:$H,$B1175,실시간콜입력!$O:$O,"방문완료")</f>
        <v>0</v>
      </c>
      <c r="M1175" s="29" t="str">
        <f t="shared" si="157"/>
        <v/>
      </c>
      <c r="N1175" s="29"/>
    </row>
    <row r="1176" spans="1:14" ht="19.5" hidden="1" customHeight="1" outlineLevel="1">
      <c r="A1176" s="30">
        <f>IF(23&lt;=DAY(DATE(YEAR(설정_코스수당!$K$2),MONTH(설정_코스수당!$K$2)+1,0)),DATE(YEAR(설정_코스수당!$K$2),MONTH(설정_코스수당!$K$2),23),"")</f>
        <v>46196</v>
      </c>
      <c r="B1176" s="29" t="s">
        <v>188</v>
      </c>
      <c r="C1176" s="29"/>
      <c r="D1176" s="29"/>
      <c r="E1176" s="29" t="str">
        <f t="shared" si="155"/>
        <v/>
      </c>
      <c r="F1176" s="29">
        <f>COUNTIFS(실시간콜입력!$B:$B,$A1176,실시간콜입력!$E:$E,"A",실시간콜입력!$G:$G,$B1176,실시간콜입력!$O:$O,"방문완료")+COUNTIFS(실시간콜입력!$B:$B,$A1176,실시간콜입력!$E:$E,"A",실시간콜입력!$H:$H,$B1176,실시간콜입력!$O:$O,"방문완료")</f>
        <v>0</v>
      </c>
      <c r="G1176" s="29">
        <f>COUNTIFS(실시간콜입력!$B:$B,$A1176,실시간콜입력!$E:$E,"B",실시간콜입력!$G:$G,$B1176,실시간콜입력!$O:$O,"방문완료")+COUNTIFS(실시간콜입력!$B:$B,$A1176,실시간콜입력!$E:$E,"B",실시간콜입력!$H:$H,$B1176,실시간콜입력!$O:$O,"방문완료")</f>
        <v>0</v>
      </c>
      <c r="H1176" s="29">
        <f>COUNTIFS(실시간콜입력!$B:$B,$A1176,실시간콜입력!$E:$E,"C",실시간콜입력!$G:$G,$B1176,실시간콜입력!$O:$O,"방문완료")+COUNTIFS(실시간콜입력!$B:$B,$A1176,실시간콜입력!$E:$E,"C",실시간콜입력!$H:$H,$B1176,실시간콜입력!$O:$O,"방문완료")</f>
        <v>0</v>
      </c>
      <c r="I1176" s="29">
        <f>COUNTIFS(실시간콜입력!$B:$B,$A1176,실시간콜입력!$E:$E,"D",실시간콜입력!$G:$G,$B1176,실시간콜입력!$O:$O,"방문완료")+COUNTIFS(실시간콜입력!$B:$B,$A1176,실시간콜입력!$E:$E,"D",실시간콜입력!$H:$H,$B1176,실시간콜입력!$O:$O,"방문완료")</f>
        <v>0</v>
      </c>
      <c r="J1176" s="29">
        <f>COUNTIFS(실시간콜입력!$B:$B,$A1176,실시간콜입력!$E:$E,"E",실시간콜입력!$G:$G,$B1176,실시간콜입력!$O:$O,"방문완료")+COUNTIFS(실시간콜입력!$B:$B,$A1176,실시간콜입력!$E:$E,"E",실시간콜입력!$H:$H,$B1176,실시간콜입력!$O:$O,"방문완료")</f>
        <v>0</v>
      </c>
      <c r="K1176" s="29">
        <f t="shared" si="156"/>
        <v>0</v>
      </c>
      <c r="L1176" s="33">
        <f>SUMIFS(실시간콜입력!$K:$K,실시간콜입력!$B:$B,$A1176,실시간콜입력!$G:$G,$B1176,실시간콜입력!$O:$O,"방문완료")+SUMIFS(실시간콜입력!$L:$L,실시간콜입력!$B:$B,$A1176,실시간콜입력!$H:$H,$B1176,실시간콜입력!$O:$O,"방문완료")</f>
        <v>0</v>
      </c>
      <c r="M1176" s="29" t="str">
        <f t="shared" si="157"/>
        <v/>
      </c>
      <c r="N1176" s="29"/>
    </row>
    <row r="1177" spans="1:14" ht="19.5" hidden="1" customHeight="1" outlineLevel="1">
      <c r="A1177" s="24">
        <f>IF(23&lt;=DAY(DATE(YEAR(설정_코스수당!$K$2),MONTH(설정_코스수당!$K$2)+1,0)),DATE(YEAR(설정_코스수당!$K$2),MONTH(설정_코스수당!$K$2),23),"")</f>
        <v>46196</v>
      </c>
      <c r="B1177" s="23" t="s">
        <v>189</v>
      </c>
      <c r="C1177" s="29"/>
      <c r="D1177" s="29"/>
      <c r="E1177" s="29" t="str">
        <f t="shared" si="155"/>
        <v/>
      </c>
      <c r="F1177" s="29">
        <f>COUNTIFS(실시간콜입력!$B:$B,$A1177,실시간콜입력!$E:$E,"A",실시간콜입력!$G:$G,$B1177,실시간콜입력!$O:$O,"방문완료")+COUNTIFS(실시간콜입력!$B:$B,$A1177,실시간콜입력!$E:$E,"A",실시간콜입력!$H:$H,$B1177,실시간콜입력!$O:$O,"방문완료")</f>
        <v>0</v>
      </c>
      <c r="G1177" s="29">
        <f>COUNTIFS(실시간콜입력!$B:$B,$A1177,실시간콜입력!$E:$E,"B",실시간콜입력!$G:$G,$B1177,실시간콜입력!$O:$O,"방문완료")+COUNTIFS(실시간콜입력!$B:$B,$A1177,실시간콜입력!$E:$E,"B",실시간콜입력!$H:$H,$B1177,실시간콜입력!$O:$O,"방문완료")</f>
        <v>0</v>
      </c>
      <c r="H1177" s="29">
        <f>COUNTIFS(실시간콜입력!$B:$B,$A1177,실시간콜입력!$E:$E,"C",실시간콜입력!$G:$G,$B1177,실시간콜입력!$O:$O,"방문완료")+COUNTIFS(실시간콜입력!$B:$B,$A1177,실시간콜입력!$E:$E,"C",실시간콜입력!$H:$H,$B1177,실시간콜입력!$O:$O,"방문완료")</f>
        <v>0</v>
      </c>
      <c r="I1177" s="29">
        <f>COUNTIFS(실시간콜입력!$B:$B,$A1177,실시간콜입력!$E:$E,"D",실시간콜입력!$G:$G,$B1177,실시간콜입력!$O:$O,"방문완료")+COUNTIFS(실시간콜입력!$B:$B,$A1177,실시간콜입력!$E:$E,"D",실시간콜입력!$H:$H,$B1177,실시간콜입력!$O:$O,"방문완료")</f>
        <v>0</v>
      </c>
      <c r="J1177" s="29">
        <f>COUNTIFS(실시간콜입력!$B:$B,$A1177,실시간콜입력!$E:$E,"E",실시간콜입력!$G:$G,$B1177,실시간콜입력!$O:$O,"방문완료")+COUNTIFS(실시간콜입력!$B:$B,$A1177,실시간콜입력!$E:$E,"E",실시간콜입력!$H:$H,$B1177,실시간콜입력!$O:$O,"방문완료")</f>
        <v>0</v>
      </c>
      <c r="K1177" s="29">
        <f t="shared" si="156"/>
        <v>0</v>
      </c>
      <c r="L1177" s="27">
        <f>SUMIFS(실시간콜입력!$K:$K,실시간콜입력!$B:$B,$A1177,실시간콜입력!$G:$G,$B1177,실시간콜입력!$O:$O,"방문완료")+SUMIFS(실시간콜입력!$L:$L,실시간콜입력!$B:$B,$A1177,실시간콜입력!$H:$H,$B1177,실시간콜입력!$O:$O,"방문완료")</f>
        <v>0</v>
      </c>
      <c r="M1177" s="29" t="str">
        <f t="shared" si="157"/>
        <v/>
      </c>
      <c r="N1177" s="29"/>
    </row>
    <row r="1178" spans="1:14" ht="19.5" hidden="1" customHeight="1" outlineLevel="1">
      <c r="A1178" s="30">
        <f>IF(23&lt;=DAY(DATE(YEAR(설정_코스수당!$K$2),MONTH(설정_코스수당!$K$2)+1,0)),DATE(YEAR(설정_코스수당!$K$2),MONTH(설정_코스수당!$K$2),23),"")</f>
        <v>46196</v>
      </c>
      <c r="B1178" s="29" t="s">
        <v>190</v>
      </c>
      <c r="C1178" s="29"/>
      <c r="D1178" s="29"/>
      <c r="E1178" s="29" t="str">
        <f t="shared" si="155"/>
        <v/>
      </c>
      <c r="F1178" s="29">
        <f>COUNTIFS(실시간콜입력!$B:$B,$A1178,실시간콜입력!$E:$E,"A",실시간콜입력!$G:$G,$B1178,실시간콜입력!$O:$O,"방문완료")+COUNTIFS(실시간콜입력!$B:$B,$A1178,실시간콜입력!$E:$E,"A",실시간콜입력!$H:$H,$B1178,실시간콜입력!$O:$O,"방문완료")</f>
        <v>0</v>
      </c>
      <c r="G1178" s="29">
        <f>COUNTIFS(실시간콜입력!$B:$B,$A1178,실시간콜입력!$E:$E,"B",실시간콜입력!$G:$G,$B1178,실시간콜입력!$O:$O,"방문완료")+COUNTIFS(실시간콜입력!$B:$B,$A1178,실시간콜입력!$E:$E,"B",실시간콜입력!$H:$H,$B1178,실시간콜입력!$O:$O,"방문완료")</f>
        <v>0</v>
      </c>
      <c r="H1178" s="29">
        <f>COUNTIFS(실시간콜입력!$B:$B,$A1178,실시간콜입력!$E:$E,"C",실시간콜입력!$G:$G,$B1178,실시간콜입력!$O:$O,"방문완료")+COUNTIFS(실시간콜입력!$B:$B,$A1178,실시간콜입력!$E:$E,"C",실시간콜입력!$H:$H,$B1178,실시간콜입력!$O:$O,"방문완료")</f>
        <v>0</v>
      </c>
      <c r="I1178" s="29">
        <f>COUNTIFS(실시간콜입력!$B:$B,$A1178,실시간콜입력!$E:$E,"D",실시간콜입력!$G:$G,$B1178,실시간콜입력!$O:$O,"방문완료")+COUNTIFS(실시간콜입력!$B:$B,$A1178,실시간콜입력!$E:$E,"D",실시간콜입력!$H:$H,$B1178,실시간콜입력!$O:$O,"방문완료")</f>
        <v>0</v>
      </c>
      <c r="J1178" s="29">
        <f>COUNTIFS(실시간콜입력!$B:$B,$A1178,실시간콜입력!$E:$E,"E",실시간콜입력!$G:$G,$B1178,실시간콜입력!$O:$O,"방문완료")+COUNTIFS(실시간콜입력!$B:$B,$A1178,실시간콜입력!$E:$E,"E",실시간콜입력!$H:$H,$B1178,실시간콜입력!$O:$O,"방문완료")</f>
        <v>0</v>
      </c>
      <c r="K1178" s="29">
        <f t="shared" si="156"/>
        <v>0</v>
      </c>
      <c r="L1178" s="33">
        <f>SUMIFS(실시간콜입력!$K:$K,실시간콜입력!$B:$B,$A1178,실시간콜입력!$G:$G,$B1178,실시간콜입력!$O:$O,"방문완료")+SUMIFS(실시간콜입력!$L:$L,실시간콜입력!$B:$B,$A1178,실시간콜입력!$H:$H,$B1178,실시간콜입력!$O:$O,"방문완료")</f>
        <v>0</v>
      </c>
      <c r="M1178" s="29" t="str">
        <f t="shared" si="157"/>
        <v/>
      </c>
      <c r="N1178" s="29"/>
    </row>
    <row r="1179" spans="1:14" ht="19.5" hidden="1" customHeight="1" outlineLevel="1">
      <c r="A1179" s="24">
        <f>IF(23&lt;=DAY(DATE(YEAR(설정_코스수당!$K$2),MONTH(설정_코스수당!$K$2)+1,0)),DATE(YEAR(설정_코스수당!$K$2),MONTH(설정_코스수당!$K$2),23),"")</f>
        <v>46196</v>
      </c>
      <c r="B1179" s="23" t="s">
        <v>191</v>
      </c>
      <c r="C1179" s="29"/>
      <c r="D1179" s="29"/>
      <c r="E1179" s="29" t="str">
        <f t="shared" si="155"/>
        <v/>
      </c>
      <c r="F1179" s="29">
        <f>COUNTIFS(실시간콜입력!$B:$B,$A1179,실시간콜입력!$E:$E,"A",실시간콜입력!$G:$G,$B1179,실시간콜입력!$O:$O,"방문완료")+COUNTIFS(실시간콜입력!$B:$B,$A1179,실시간콜입력!$E:$E,"A",실시간콜입력!$H:$H,$B1179,실시간콜입력!$O:$O,"방문완료")</f>
        <v>0</v>
      </c>
      <c r="G1179" s="29">
        <f>COUNTIFS(실시간콜입력!$B:$B,$A1179,실시간콜입력!$E:$E,"B",실시간콜입력!$G:$G,$B1179,실시간콜입력!$O:$O,"방문완료")+COUNTIFS(실시간콜입력!$B:$B,$A1179,실시간콜입력!$E:$E,"B",실시간콜입력!$H:$H,$B1179,실시간콜입력!$O:$O,"방문완료")</f>
        <v>0</v>
      </c>
      <c r="H1179" s="29">
        <f>COUNTIFS(실시간콜입력!$B:$B,$A1179,실시간콜입력!$E:$E,"C",실시간콜입력!$G:$G,$B1179,실시간콜입력!$O:$O,"방문완료")+COUNTIFS(실시간콜입력!$B:$B,$A1179,실시간콜입력!$E:$E,"C",실시간콜입력!$H:$H,$B1179,실시간콜입력!$O:$O,"방문완료")</f>
        <v>0</v>
      </c>
      <c r="I1179" s="29">
        <f>COUNTIFS(실시간콜입력!$B:$B,$A1179,실시간콜입력!$E:$E,"D",실시간콜입력!$G:$G,$B1179,실시간콜입력!$O:$O,"방문완료")+COUNTIFS(실시간콜입력!$B:$B,$A1179,실시간콜입력!$E:$E,"D",실시간콜입력!$H:$H,$B1179,실시간콜입력!$O:$O,"방문완료")</f>
        <v>0</v>
      </c>
      <c r="J1179" s="29">
        <f>COUNTIFS(실시간콜입력!$B:$B,$A1179,실시간콜입력!$E:$E,"E",실시간콜입력!$G:$G,$B1179,실시간콜입력!$O:$O,"방문완료")+COUNTIFS(실시간콜입력!$B:$B,$A1179,실시간콜입력!$E:$E,"E",실시간콜입력!$H:$H,$B1179,실시간콜입력!$O:$O,"방문완료")</f>
        <v>0</v>
      </c>
      <c r="K1179" s="29">
        <f t="shared" si="156"/>
        <v>0</v>
      </c>
      <c r="L1179" s="27">
        <f>SUMIFS(실시간콜입력!$K:$K,실시간콜입력!$B:$B,$A1179,실시간콜입력!$G:$G,$B1179,실시간콜입력!$O:$O,"방문완료")+SUMIFS(실시간콜입력!$L:$L,실시간콜입력!$B:$B,$A1179,실시간콜입력!$H:$H,$B1179,실시간콜입력!$O:$O,"방문완료")</f>
        <v>0</v>
      </c>
      <c r="M1179" s="29" t="str">
        <f t="shared" si="157"/>
        <v/>
      </c>
      <c r="N1179" s="29"/>
    </row>
    <row r="1180" spans="1:14" ht="19.5" hidden="1" customHeight="1" outlineLevel="1">
      <c r="A1180" s="30">
        <f>IF(23&lt;=DAY(DATE(YEAR(설정_코스수당!$K$2),MONTH(설정_코스수당!$K$2)+1,0)),DATE(YEAR(설정_코스수당!$K$2),MONTH(설정_코스수당!$K$2),23),"")</f>
        <v>46196</v>
      </c>
      <c r="B1180" s="29" t="s">
        <v>192</v>
      </c>
      <c r="C1180" s="29"/>
      <c r="D1180" s="29"/>
      <c r="E1180" s="29" t="str">
        <f t="shared" si="155"/>
        <v/>
      </c>
      <c r="F1180" s="29">
        <f>COUNTIFS(실시간콜입력!$B:$B,$A1180,실시간콜입력!$E:$E,"A",실시간콜입력!$G:$G,$B1180,실시간콜입력!$O:$O,"방문완료")+COUNTIFS(실시간콜입력!$B:$B,$A1180,실시간콜입력!$E:$E,"A",실시간콜입력!$H:$H,$B1180,실시간콜입력!$O:$O,"방문완료")</f>
        <v>0</v>
      </c>
      <c r="G1180" s="29">
        <f>COUNTIFS(실시간콜입력!$B:$B,$A1180,실시간콜입력!$E:$E,"B",실시간콜입력!$G:$G,$B1180,실시간콜입력!$O:$O,"방문완료")+COUNTIFS(실시간콜입력!$B:$B,$A1180,실시간콜입력!$E:$E,"B",실시간콜입력!$H:$H,$B1180,실시간콜입력!$O:$O,"방문완료")</f>
        <v>0</v>
      </c>
      <c r="H1180" s="29">
        <f>COUNTIFS(실시간콜입력!$B:$B,$A1180,실시간콜입력!$E:$E,"C",실시간콜입력!$G:$G,$B1180,실시간콜입력!$O:$O,"방문완료")+COUNTIFS(실시간콜입력!$B:$B,$A1180,실시간콜입력!$E:$E,"C",실시간콜입력!$H:$H,$B1180,실시간콜입력!$O:$O,"방문완료")</f>
        <v>0</v>
      </c>
      <c r="I1180" s="29">
        <f>COUNTIFS(실시간콜입력!$B:$B,$A1180,실시간콜입력!$E:$E,"D",실시간콜입력!$G:$G,$B1180,실시간콜입력!$O:$O,"방문완료")+COUNTIFS(실시간콜입력!$B:$B,$A1180,실시간콜입력!$E:$E,"D",실시간콜입력!$H:$H,$B1180,실시간콜입력!$O:$O,"방문완료")</f>
        <v>0</v>
      </c>
      <c r="J1180" s="29">
        <f>COUNTIFS(실시간콜입력!$B:$B,$A1180,실시간콜입력!$E:$E,"E",실시간콜입력!$G:$G,$B1180,실시간콜입력!$O:$O,"방문완료")+COUNTIFS(실시간콜입력!$B:$B,$A1180,실시간콜입력!$E:$E,"E",실시간콜입력!$H:$H,$B1180,실시간콜입력!$O:$O,"방문완료")</f>
        <v>0</v>
      </c>
      <c r="K1180" s="29">
        <f t="shared" si="156"/>
        <v>0</v>
      </c>
      <c r="L1180" s="33">
        <f>SUMIFS(실시간콜입력!$K:$K,실시간콜입력!$B:$B,$A1180,실시간콜입력!$G:$G,$B1180,실시간콜입력!$O:$O,"방문완료")+SUMIFS(실시간콜입력!$L:$L,실시간콜입력!$B:$B,$A1180,실시간콜입력!$H:$H,$B1180,실시간콜입력!$O:$O,"방문완료")</f>
        <v>0</v>
      </c>
      <c r="M1180" s="29" t="str">
        <f t="shared" si="157"/>
        <v/>
      </c>
      <c r="N1180" s="29"/>
    </row>
    <row r="1181" spans="1:14" ht="19.5" hidden="1" customHeight="1" outlineLevel="1">
      <c r="A1181" s="24">
        <f>IF(23&lt;=DAY(DATE(YEAR(설정_코스수당!$K$2),MONTH(설정_코스수당!$K$2)+1,0)),DATE(YEAR(설정_코스수당!$K$2),MONTH(설정_코스수당!$K$2),23),"")</f>
        <v>46196</v>
      </c>
      <c r="B1181" s="23" t="s">
        <v>193</v>
      </c>
      <c r="C1181" s="29"/>
      <c r="D1181" s="29"/>
      <c r="E1181" s="29" t="str">
        <f t="shared" si="155"/>
        <v/>
      </c>
      <c r="F1181" s="29">
        <f>COUNTIFS(실시간콜입력!$B:$B,$A1181,실시간콜입력!$E:$E,"A",실시간콜입력!$G:$G,$B1181,실시간콜입력!$O:$O,"방문완료")+COUNTIFS(실시간콜입력!$B:$B,$A1181,실시간콜입력!$E:$E,"A",실시간콜입력!$H:$H,$B1181,실시간콜입력!$O:$O,"방문완료")</f>
        <v>0</v>
      </c>
      <c r="G1181" s="29">
        <f>COUNTIFS(실시간콜입력!$B:$B,$A1181,실시간콜입력!$E:$E,"B",실시간콜입력!$G:$G,$B1181,실시간콜입력!$O:$O,"방문완료")+COUNTIFS(실시간콜입력!$B:$B,$A1181,실시간콜입력!$E:$E,"B",실시간콜입력!$H:$H,$B1181,실시간콜입력!$O:$O,"방문완료")</f>
        <v>0</v>
      </c>
      <c r="H1181" s="29">
        <f>COUNTIFS(실시간콜입력!$B:$B,$A1181,실시간콜입력!$E:$E,"C",실시간콜입력!$G:$G,$B1181,실시간콜입력!$O:$O,"방문완료")+COUNTIFS(실시간콜입력!$B:$B,$A1181,실시간콜입력!$E:$E,"C",실시간콜입력!$H:$H,$B1181,실시간콜입력!$O:$O,"방문완료")</f>
        <v>0</v>
      </c>
      <c r="I1181" s="29">
        <f>COUNTIFS(실시간콜입력!$B:$B,$A1181,실시간콜입력!$E:$E,"D",실시간콜입력!$G:$G,$B1181,실시간콜입력!$O:$O,"방문완료")+COUNTIFS(실시간콜입력!$B:$B,$A1181,실시간콜입력!$E:$E,"D",실시간콜입력!$H:$H,$B1181,실시간콜입력!$O:$O,"방문완료")</f>
        <v>0</v>
      </c>
      <c r="J1181" s="29">
        <f>COUNTIFS(실시간콜입력!$B:$B,$A1181,실시간콜입력!$E:$E,"E",실시간콜입력!$G:$G,$B1181,실시간콜입력!$O:$O,"방문완료")+COUNTIFS(실시간콜입력!$B:$B,$A1181,실시간콜입력!$E:$E,"E",실시간콜입력!$H:$H,$B1181,실시간콜입력!$O:$O,"방문완료")</f>
        <v>0</v>
      </c>
      <c r="K1181" s="29">
        <f t="shared" si="156"/>
        <v>0</v>
      </c>
      <c r="L1181" s="27">
        <f>SUMIFS(실시간콜입력!$K:$K,실시간콜입력!$B:$B,$A1181,실시간콜입력!$G:$G,$B1181,실시간콜입력!$O:$O,"방문완료")+SUMIFS(실시간콜입력!$L:$L,실시간콜입력!$B:$B,$A1181,실시간콜입력!$H:$H,$B1181,실시간콜입력!$O:$O,"방문완료")</f>
        <v>0</v>
      </c>
      <c r="M1181" s="29" t="str">
        <f t="shared" si="157"/>
        <v/>
      </c>
      <c r="N1181" s="29"/>
    </row>
    <row r="1182" spans="1:14" ht="19.5" hidden="1" customHeight="1" outlineLevel="1">
      <c r="A1182" s="30">
        <f>IF(23&lt;=DAY(DATE(YEAR(설정_코스수당!$K$2),MONTH(설정_코스수당!$K$2)+1,0)),DATE(YEAR(설정_코스수당!$K$2),MONTH(설정_코스수당!$K$2),23),"")</f>
        <v>46196</v>
      </c>
      <c r="B1182" s="29" t="s">
        <v>194</v>
      </c>
      <c r="C1182" s="29"/>
      <c r="D1182" s="29"/>
      <c r="E1182" s="29" t="str">
        <f t="shared" si="155"/>
        <v/>
      </c>
      <c r="F1182" s="29">
        <f>COUNTIFS(실시간콜입력!$B:$B,$A1182,실시간콜입력!$E:$E,"A",실시간콜입력!$G:$G,$B1182,실시간콜입력!$O:$O,"방문완료")+COUNTIFS(실시간콜입력!$B:$B,$A1182,실시간콜입력!$E:$E,"A",실시간콜입력!$H:$H,$B1182,실시간콜입력!$O:$O,"방문완료")</f>
        <v>0</v>
      </c>
      <c r="G1182" s="29">
        <f>COUNTIFS(실시간콜입력!$B:$B,$A1182,실시간콜입력!$E:$E,"B",실시간콜입력!$G:$G,$B1182,실시간콜입력!$O:$O,"방문완료")+COUNTIFS(실시간콜입력!$B:$B,$A1182,실시간콜입력!$E:$E,"B",실시간콜입력!$H:$H,$B1182,실시간콜입력!$O:$O,"방문완료")</f>
        <v>0</v>
      </c>
      <c r="H1182" s="29">
        <f>COUNTIFS(실시간콜입력!$B:$B,$A1182,실시간콜입력!$E:$E,"C",실시간콜입력!$G:$G,$B1182,실시간콜입력!$O:$O,"방문완료")+COUNTIFS(실시간콜입력!$B:$B,$A1182,실시간콜입력!$E:$E,"C",실시간콜입력!$H:$H,$B1182,실시간콜입력!$O:$O,"방문완료")</f>
        <v>0</v>
      </c>
      <c r="I1182" s="29">
        <f>COUNTIFS(실시간콜입력!$B:$B,$A1182,실시간콜입력!$E:$E,"D",실시간콜입력!$G:$G,$B1182,실시간콜입력!$O:$O,"방문완료")+COUNTIFS(실시간콜입력!$B:$B,$A1182,실시간콜입력!$E:$E,"D",실시간콜입력!$H:$H,$B1182,실시간콜입력!$O:$O,"방문완료")</f>
        <v>0</v>
      </c>
      <c r="J1182" s="29">
        <f>COUNTIFS(실시간콜입력!$B:$B,$A1182,실시간콜입력!$E:$E,"E",실시간콜입력!$G:$G,$B1182,실시간콜입력!$O:$O,"방문완료")+COUNTIFS(실시간콜입력!$B:$B,$A1182,실시간콜입력!$E:$E,"E",실시간콜입력!$H:$H,$B1182,실시간콜입력!$O:$O,"방문완료")</f>
        <v>0</v>
      </c>
      <c r="K1182" s="29">
        <f t="shared" si="156"/>
        <v>0</v>
      </c>
      <c r="L1182" s="33">
        <f>SUMIFS(실시간콜입력!$K:$K,실시간콜입력!$B:$B,$A1182,실시간콜입력!$G:$G,$B1182,실시간콜입력!$O:$O,"방문완료")+SUMIFS(실시간콜입력!$L:$L,실시간콜입력!$B:$B,$A1182,실시간콜입력!$H:$H,$B1182,실시간콜입력!$O:$O,"방문완료")</f>
        <v>0</v>
      </c>
      <c r="M1182" s="29" t="str">
        <f t="shared" si="157"/>
        <v/>
      </c>
      <c r="N1182" s="29"/>
    </row>
    <row r="1183" spans="1:14" ht="19.5" hidden="1" customHeight="1" outlineLevel="1">
      <c r="A1183" s="24">
        <f>IF(23&lt;=DAY(DATE(YEAR(설정_코스수당!$K$2),MONTH(설정_코스수당!$K$2)+1,0)),DATE(YEAR(설정_코스수당!$K$2),MONTH(설정_코스수당!$K$2),23),"")</f>
        <v>46196</v>
      </c>
      <c r="B1183" s="23" t="s">
        <v>195</v>
      </c>
      <c r="C1183" s="29"/>
      <c r="D1183" s="29"/>
      <c r="E1183" s="29" t="str">
        <f t="shared" ref="E1183:E1214" si="158">IF(AND(C1183&lt;&gt;"",D1183&lt;&gt;""),IF(D1183&lt;C1183,D1183+1-C1183,D1183-C1183)*24,"")</f>
        <v/>
      </c>
      <c r="F1183" s="29">
        <f>COUNTIFS(실시간콜입력!$B:$B,$A1183,실시간콜입력!$E:$E,"A",실시간콜입력!$G:$G,$B1183,실시간콜입력!$O:$O,"방문완료")+COUNTIFS(실시간콜입력!$B:$B,$A1183,실시간콜입력!$E:$E,"A",실시간콜입력!$H:$H,$B1183,실시간콜입력!$O:$O,"방문완료")</f>
        <v>0</v>
      </c>
      <c r="G1183" s="29">
        <f>COUNTIFS(실시간콜입력!$B:$B,$A1183,실시간콜입력!$E:$E,"B",실시간콜입력!$G:$G,$B1183,실시간콜입력!$O:$O,"방문완료")+COUNTIFS(실시간콜입력!$B:$B,$A1183,실시간콜입력!$E:$E,"B",실시간콜입력!$H:$H,$B1183,실시간콜입력!$O:$O,"방문완료")</f>
        <v>0</v>
      </c>
      <c r="H1183" s="29">
        <f>COUNTIFS(실시간콜입력!$B:$B,$A1183,실시간콜입력!$E:$E,"C",실시간콜입력!$G:$G,$B1183,실시간콜입력!$O:$O,"방문완료")+COUNTIFS(실시간콜입력!$B:$B,$A1183,실시간콜입력!$E:$E,"C",실시간콜입력!$H:$H,$B1183,실시간콜입력!$O:$O,"방문완료")</f>
        <v>0</v>
      </c>
      <c r="I1183" s="29">
        <f>COUNTIFS(실시간콜입력!$B:$B,$A1183,실시간콜입력!$E:$E,"D",실시간콜입력!$G:$G,$B1183,실시간콜입력!$O:$O,"방문완료")+COUNTIFS(실시간콜입력!$B:$B,$A1183,실시간콜입력!$E:$E,"D",실시간콜입력!$H:$H,$B1183,실시간콜입력!$O:$O,"방문완료")</f>
        <v>0</v>
      </c>
      <c r="J1183" s="29">
        <f>COUNTIFS(실시간콜입력!$B:$B,$A1183,실시간콜입력!$E:$E,"E",실시간콜입력!$G:$G,$B1183,실시간콜입력!$O:$O,"방문완료")+COUNTIFS(실시간콜입력!$B:$B,$A1183,실시간콜입력!$E:$E,"E",실시간콜입력!$H:$H,$B1183,실시간콜입력!$O:$O,"방문완료")</f>
        <v>0</v>
      </c>
      <c r="K1183" s="29">
        <f t="shared" ref="K1183:K1214" si="159">SUM(F1183:J1183)</f>
        <v>0</v>
      </c>
      <c r="L1183" s="27">
        <f>SUMIFS(실시간콜입력!$K:$K,실시간콜입력!$B:$B,$A1183,실시간콜입력!$G:$G,$B1183,실시간콜입력!$O:$O,"방문완료")+SUMIFS(실시간콜입력!$L:$L,실시간콜입력!$B:$B,$A1183,실시간콜입력!$H:$H,$B1183,실시간콜입력!$O:$O,"방문완료")</f>
        <v>0</v>
      </c>
      <c r="M1183" s="29" t="str">
        <f t="shared" ref="M1183:M1200" si="160">IF(AND(ISNUMBER(E1183),E1183&gt;=8),"인정","")</f>
        <v/>
      </c>
      <c r="N1183" s="29"/>
    </row>
    <row r="1184" spans="1:14" ht="19.5" hidden="1" customHeight="1" outlineLevel="1">
      <c r="A1184" s="30">
        <f>IF(23&lt;=DAY(DATE(YEAR(설정_코스수당!$K$2),MONTH(설정_코스수당!$K$2)+1,0)),DATE(YEAR(설정_코스수당!$K$2),MONTH(설정_코스수당!$K$2),23),"")</f>
        <v>46196</v>
      </c>
      <c r="B1184" s="29" t="s">
        <v>196</v>
      </c>
      <c r="C1184" s="29"/>
      <c r="D1184" s="29"/>
      <c r="E1184" s="29" t="str">
        <f t="shared" si="158"/>
        <v/>
      </c>
      <c r="F1184" s="29">
        <f>COUNTIFS(실시간콜입력!$B:$B,$A1184,실시간콜입력!$E:$E,"A",실시간콜입력!$G:$G,$B1184,실시간콜입력!$O:$O,"방문완료")+COUNTIFS(실시간콜입력!$B:$B,$A1184,실시간콜입력!$E:$E,"A",실시간콜입력!$H:$H,$B1184,실시간콜입력!$O:$O,"방문완료")</f>
        <v>0</v>
      </c>
      <c r="G1184" s="29">
        <f>COUNTIFS(실시간콜입력!$B:$B,$A1184,실시간콜입력!$E:$E,"B",실시간콜입력!$G:$G,$B1184,실시간콜입력!$O:$O,"방문완료")+COUNTIFS(실시간콜입력!$B:$B,$A1184,실시간콜입력!$E:$E,"B",실시간콜입력!$H:$H,$B1184,실시간콜입력!$O:$O,"방문완료")</f>
        <v>0</v>
      </c>
      <c r="H1184" s="29">
        <f>COUNTIFS(실시간콜입력!$B:$B,$A1184,실시간콜입력!$E:$E,"C",실시간콜입력!$G:$G,$B1184,실시간콜입력!$O:$O,"방문완료")+COUNTIFS(실시간콜입력!$B:$B,$A1184,실시간콜입력!$E:$E,"C",실시간콜입력!$H:$H,$B1184,실시간콜입력!$O:$O,"방문완료")</f>
        <v>0</v>
      </c>
      <c r="I1184" s="29">
        <f>COUNTIFS(실시간콜입력!$B:$B,$A1184,실시간콜입력!$E:$E,"D",실시간콜입력!$G:$G,$B1184,실시간콜입력!$O:$O,"방문완료")+COUNTIFS(실시간콜입력!$B:$B,$A1184,실시간콜입력!$E:$E,"D",실시간콜입력!$H:$H,$B1184,실시간콜입력!$O:$O,"방문완료")</f>
        <v>0</v>
      </c>
      <c r="J1184" s="29">
        <f>COUNTIFS(실시간콜입력!$B:$B,$A1184,실시간콜입력!$E:$E,"E",실시간콜입력!$G:$G,$B1184,실시간콜입력!$O:$O,"방문완료")+COUNTIFS(실시간콜입력!$B:$B,$A1184,실시간콜입력!$E:$E,"E",실시간콜입력!$H:$H,$B1184,실시간콜입력!$O:$O,"방문완료")</f>
        <v>0</v>
      </c>
      <c r="K1184" s="29">
        <f t="shared" si="159"/>
        <v>0</v>
      </c>
      <c r="L1184" s="33">
        <f>SUMIFS(실시간콜입력!$K:$K,실시간콜입력!$B:$B,$A1184,실시간콜입력!$G:$G,$B1184,실시간콜입력!$O:$O,"방문완료")+SUMIFS(실시간콜입력!$L:$L,실시간콜입력!$B:$B,$A1184,실시간콜입력!$H:$H,$B1184,실시간콜입력!$O:$O,"방문완료")</f>
        <v>0</v>
      </c>
      <c r="M1184" s="29" t="str">
        <f t="shared" si="160"/>
        <v/>
      </c>
      <c r="N1184" s="29"/>
    </row>
    <row r="1185" spans="1:14" ht="19.5" hidden="1" customHeight="1" outlineLevel="1">
      <c r="A1185" s="24">
        <f>IF(23&lt;=DAY(DATE(YEAR(설정_코스수당!$K$2),MONTH(설정_코스수당!$K$2)+1,0)),DATE(YEAR(설정_코스수당!$K$2),MONTH(설정_코스수당!$K$2),23),"")</f>
        <v>46196</v>
      </c>
      <c r="B1185" s="23" t="s">
        <v>197</v>
      </c>
      <c r="C1185" s="29"/>
      <c r="D1185" s="29"/>
      <c r="E1185" s="29" t="str">
        <f t="shared" si="158"/>
        <v/>
      </c>
      <c r="F1185" s="29">
        <f>COUNTIFS(실시간콜입력!$B:$B,$A1185,실시간콜입력!$E:$E,"A",실시간콜입력!$G:$G,$B1185,실시간콜입력!$O:$O,"방문완료")+COUNTIFS(실시간콜입력!$B:$B,$A1185,실시간콜입력!$E:$E,"A",실시간콜입력!$H:$H,$B1185,실시간콜입력!$O:$O,"방문완료")</f>
        <v>0</v>
      </c>
      <c r="G1185" s="29">
        <f>COUNTIFS(실시간콜입력!$B:$B,$A1185,실시간콜입력!$E:$E,"B",실시간콜입력!$G:$G,$B1185,실시간콜입력!$O:$O,"방문완료")+COUNTIFS(실시간콜입력!$B:$B,$A1185,실시간콜입력!$E:$E,"B",실시간콜입력!$H:$H,$B1185,실시간콜입력!$O:$O,"방문완료")</f>
        <v>0</v>
      </c>
      <c r="H1185" s="29">
        <f>COUNTIFS(실시간콜입력!$B:$B,$A1185,실시간콜입력!$E:$E,"C",실시간콜입력!$G:$G,$B1185,실시간콜입력!$O:$O,"방문완료")+COUNTIFS(실시간콜입력!$B:$B,$A1185,실시간콜입력!$E:$E,"C",실시간콜입력!$H:$H,$B1185,실시간콜입력!$O:$O,"방문완료")</f>
        <v>0</v>
      </c>
      <c r="I1185" s="29">
        <f>COUNTIFS(실시간콜입력!$B:$B,$A1185,실시간콜입력!$E:$E,"D",실시간콜입력!$G:$G,$B1185,실시간콜입력!$O:$O,"방문완료")+COUNTIFS(실시간콜입력!$B:$B,$A1185,실시간콜입력!$E:$E,"D",실시간콜입력!$H:$H,$B1185,실시간콜입력!$O:$O,"방문완료")</f>
        <v>0</v>
      </c>
      <c r="J1185" s="29">
        <f>COUNTIFS(실시간콜입력!$B:$B,$A1185,실시간콜입력!$E:$E,"E",실시간콜입력!$G:$G,$B1185,실시간콜입력!$O:$O,"방문완료")+COUNTIFS(실시간콜입력!$B:$B,$A1185,실시간콜입력!$E:$E,"E",실시간콜입력!$H:$H,$B1185,실시간콜입력!$O:$O,"방문완료")</f>
        <v>0</v>
      </c>
      <c r="K1185" s="29">
        <f t="shared" si="159"/>
        <v>0</v>
      </c>
      <c r="L1185" s="27">
        <f>SUMIFS(실시간콜입력!$K:$K,실시간콜입력!$B:$B,$A1185,실시간콜입력!$G:$G,$B1185,실시간콜입력!$O:$O,"방문완료")+SUMIFS(실시간콜입력!$L:$L,실시간콜입력!$B:$B,$A1185,실시간콜입력!$H:$H,$B1185,실시간콜입력!$O:$O,"방문완료")</f>
        <v>0</v>
      </c>
      <c r="M1185" s="29" t="str">
        <f t="shared" si="160"/>
        <v/>
      </c>
      <c r="N1185" s="29"/>
    </row>
    <row r="1186" spans="1:14" ht="19.5" hidden="1" customHeight="1" outlineLevel="1">
      <c r="A1186" s="30">
        <f>IF(23&lt;=DAY(DATE(YEAR(설정_코스수당!$K$2),MONTH(설정_코스수당!$K$2)+1,0)),DATE(YEAR(설정_코스수당!$K$2),MONTH(설정_코스수당!$K$2),23),"")</f>
        <v>46196</v>
      </c>
      <c r="B1186" s="29" t="s">
        <v>198</v>
      </c>
      <c r="C1186" s="29"/>
      <c r="D1186" s="29"/>
      <c r="E1186" s="29" t="str">
        <f t="shared" si="158"/>
        <v/>
      </c>
      <c r="F1186" s="29">
        <f>COUNTIFS(실시간콜입력!$B:$B,$A1186,실시간콜입력!$E:$E,"A",실시간콜입력!$G:$G,$B1186,실시간콜입력!$O:$O,"방문완료")+COUNTIFS(실시간콜입력!$B:$B,$A1186,실시간콜입력!$E:$E,"A",실시간콜입력!$H:$H,$B1186,실시간콜입력!$O:$O,"방문완료")</f>
        <v>0</v>
      </c>
      <c r="G1186" s="29">
        <f>COUNTIFS(실시간콜입력!$B:$B,$A1186,실시간콜입력!$E:$E,"B",실시간콜입력!$G:$G,$B1186,실시간콜입력!$O:$O,"방문완료")+COUNTIFS(실시간콜입력!$B:$B,$A1186,실시간콜입력!$E:$E,"B",실시간콜입력!$H:$H,$B1186,실시간콜입력!$O:$O,"방문완료")</f>
        <v>0</v>
      </c>
      <c r="H1186" s="29">
        <f>COUNTIFS(실시간콜입력!$B:$B,$A1186,실시간콜입력!$E:$E,"C",실시간콜입력!$G:$G,$B1186,실시간콜입력!$O:$O,"방문완료")+COUNTIFS(실시간콜입력!$B:$B,$A1186,실시간콜입력!$E:$E,"C",실시간콜입력!$H:$H,$B1186,실시간콜입력!$O:$O,"방문완료")</f>
        <v>0</v>
      </c>
      <c r="I1186" s="29">
        <f>COUNTIFS(실시간콜입력!$B:$B,$A1186,실시간콜입력!$E:$E,"D",실시간콜입력!$G:$G,$B1186,실시간콜입력!$O:$O,"방문완료")+COUNTIFS(실시간콜입력!$B:$B,$A1186,실시간콜입력!$E:$E,"D",실시간콜입력!$H:$H,$B1186,실시간콜입력!$O:$O,"방문완료")</f>
        <v>0</v>
      </c>
      <c r="J1186" s="29">
        <f>COUNTIFS(실시간콜입력!$B:$B,$A1186,실시간콜입력!$E:$E,"E",실시간콜입력!$G:$G,$B1186,실시간콜입력!$O:$O,"방문완료")+COUNTIFS(실시간콜입력!$B:$B,$A1186,실시간콜입력!$E:$E,"E",실시간콜입력!$H:$H,$B1186,실시간콜입력!$O:$O,"방문완료")</f>
        <v>0</v>
      </c>
      <c r="K1186" s="29">
        <f t="shared" si="159"/>
        <v>0</v>
      </c>
      <c r="L1186" s="33">
        <f>SUMIFS(실시간콜입력!$K:$K,실시간콜입력!$B:$B,$A1186,실시간콜입력!$G:$G,$B1186,실시간콜입력!$O:$O,"방문완료")+SUMIFS(실시간콜입력!$L:$L,실시간콜입력!$B:$B,$A1186,실시간콜입력!$H:$H,$B1186,실시간콜입력!$O:$O,"방문완료")</f>
        <v>0</v>
      </c>
      <c r="M1186" s="29" t="str">
        <f t="shared" si="160"/>
        <v/>
      </c>
      <c r="N1186" s="29"/>
    </row>
    <row r="1187" spans="1:14" ht="19.5" hidden="1" customHeight="1" outlineLevel="1">
      <c r="A1187" s="24">
        <f>IF(23&lt;=DAY(DATE(YEAR(설정_코스수당!$K$2),MONTH(설정_코스수당!$K$2)+1,0)),DATE(YEAR(설정_코스수당!$K$2),MONTH(설정_코스수당!$K$2),23),"")</f>
        <v>46196</v>
      </c>
      <c r="B1187" s="23" t="s">
        <v>199</v>
      </c>
      <c r="C1187" s="29"/>
      <c r="D1187" s="29"/>
      <c r="E1187" s="29" t="str">
        <f t="shared" si="158"/>
        <v/>
      </c>
      <c r="F1187" s="29">
        <f>COUNTIFS(실시간콜입력!$B:$B,$A1187,실시간콜입력!$E:$E,"A",실시간콜입력!$G:$G,$B1187,실시간콜입력!$O:$O,"방문완료")+COUNTIFS(실시간콜입력!$B:$B,$A1187,실시간콜입력!$E:$E,"A",실시간콜입력!$H:$H,$B1187,실시간콜입력!$O:$O,"방문완료")</f>
        <v>0</v>
      </c>
      <c r="G1187" s="29">
        <f>COUNTIFS(실시간콜입력!$B:$B,$A1187,실시간콜입력!$E:$E,"B",실시간콜입력!$G:$G,$B1187,실시간콜입력!$O:$O,"방문완료")+COUNTIFS(실시간콜입력!$B:$B,$A1187,실시간콜입력!$E:$E,"B",실시간콜입력!$H:$H,$B1187,실시간콜입력!$O:$O,"방문완료")</f>
        <v>0</v>
      </c>
      <c r="H1187" s="29">
        <f>COUNTIFS(실시간콜입력!$B:$B,$A1187,실시간콜입력!$E:$E,"C",실시간콜입력!$G:$G,$B1187,실시간콜입력!$O:$O,"방문완료")+COUNTIFS(실시간콜입력!$B:$B,$A1187,실시간콜입력!$E:$E,"C",실시간콜입력!$H:$H,$B1187,실시간콜입력!$O:$O,"방문완료")</f>
        <v>0</v>
      </c>
      <c r="I1187" s="29">
        <f>COUNTIFS(실시간콜입력!$B:$B,$A1187,실시간콜입력!$E:$E,"D",실시간콜입력!$G:$G,$B1187,실시간콜입력!$O:$O,"방문완료")+COUNTIFS(실시간콜입력!$B:$B,$A1187,실시간콜입력!$E:$E,"D",실시간콜입력!$H:$H,$B1187,실시간콜입력!$O:$O,"방문완료")</f>
        <v>0</v>
      </c>
      <c r="J1187" s="29">
        <f>COUNTIFS(실시간콜입력!$B:$B,$A1187,실시간콜입력!$E:$E,"E",실시간콜입력!$G:$G,$B1187,실시간콜입력!$O:$O,"방문완료")+COUNTIFS(실시간콜입력!$B:$B,$A1187,실시간콜입력!$E:$E,"E",실시간콜입력!$H:$H,$B1187,실시간콜입력!$O:$O,"방문완료")</f>
        <v>0</v>
      </c>
      <c r="K1187" s="29">
        <f t="shared" si="159"/>
        <v>0</v>
      </c>
      <c r="L1187" s="27">
        <f>SUMIFS(실시간콜입력!$K:$K,실시간콜입력!$B:$B,$A1187,실시간콜입력!$G:$G,$B1187,실시간콜입력!$O:$O,"방문완료")+SUMIFS(실시간콜입력!$L:$L,실시간콜입력!$B:$B,$A1187,실시간콜입력!$H:$H,$B1187,실시간콜입력!$O:$O,"방문완료")</f>
        <v>0</v>
      </c>
      <c r="M1187" s="29" t="str">
        <f t="shared" si="160"/>
        <v/>
      </c>
      <c r="N1187" s="29"/>
    </row>
    <row r="1188" spans="1:14" ht="19.5" hidden="1" customHeight="1" outlineLevel="1">
      <c r="A1188" s="30">
        <f>IF(23&lt;=DAY(DATE(YEAR(설정_코스수당!$K$2),MONTH(설정_코스수당!$K$2)+1,0)),DATE(YEAR(설정_코스수당!$K$2),MONTH(설정_코스수당!$K$2),23),"")</f>
        <v>46196</v>
      </c>
      <c r="B1188" s="29" t="s">
        <v>200</v>
      </c>
      <c r="C1188" s="29"/>
      <c r="D1188" s="29"/>
      <c r="E1188" s="29" t="str">
        <f t="shared" si="158"/>
        <v/>
      </c>
      <c r="F1188" s="29">
        <f>COUNTIFS(실시간콜입력!$B:$B,$A1188,실시간콜입력!$E:$E,"A",실시간콜입력!$G:$G,$B1188,실시간콜입력!$O:$O,"방문완료")+COUNTIFS(실시간콜입력!$B:$B,$A1188,실시간콜입력!$E:$E,"A",실시간콜입력!$H:$H,$B1188,실시간콜입력!$O:$O,"방문완료")</f>
        <v>0</v>
      </c>
      <c r="G1188" s="29">
        <f>COUNTIFS(실시간콜입력!$B:$B,$A1188,실시간콜입력!$E:$E,"B",실시간콜입력!$G:$G,$B1188,실시간콜입력!$O:$O,"방문완료")+COUNTIFS(실시간콜입력!$B:$B,$A1188,실시간콜입력!$E:$E,"B",실시간콜입력!$H:$H,$B1188,실시간콜입력!$O:$O,"방문완료")</f>
        <v>0</v>
      </c>
      <c r="H1188" s="29">
        <f>COUNTIFS(실시간콜입력!$B:$B,$A1188,실시간콜입력!$E:$E,"C",실시간콜입력!$G:$G,$B1188,실시간콜입력!$O:$O,"방문완료")+COUNTIFS(실시간콜입력!$B:$B,$A1188,실시간콜입력!$E:$E,"C",실시간콜입력!$H:$H,$B1188,실시간콜입력!$O:$O,"방문완료")</f>
        <v>0</v>
      </c>
      <c r="I1188" s="29">
        <f>COUNTIFS(실시간콜입력!$B:$B,$A1188,실시간콜입력!$E:$E,"D",실시간콜입력!$G:$G,$B1188,실시간콜입력!$O:$O,"방문완료")+COUNTIFS(실시간콜입력!$B:$B,$A1188,실시간콜입력!$E:$E,"D",실시간콜입력!$H:$H,$B1188,실시간콜입력!$O:$O,"방문완료")</f>
        <v>0</v>
      </c>
      <c r="J1188" s="29">
        <f>COUNTIFS(실시간콜입력!$B:$B,$A1188,실시간콜입력!$E:$E,"E",실시간콜입력!$G:$G,$B1188,실시간콜입력!$O:$O,"방문완료")+COUNTIFS(실시간콜입력!$B:$B,$A1188,실시간콜입력!$E:$E,"E",실시간콜입력!$H:$H,$B1188,실시간콜입력!$O:$O,"방문완료")</f>
        <v>0</v>
      </c>
      <c r="K1188" s="29">
        <f t="shared" si="159"/>
        <v>0</v>
      </c>
      <c r="L1188" s="33">
        <f>SUMIFS(실시간콜입력!$K:$K,실시간콜입력!$B:$B,$A1188,실시간콜입력!$G:$G,$B1188,실시간콜입력!$O:$O,"방문완료")+SUMIFS(실시간콜입력!$L:$L,실시간콜입력!$B:$B,$A1188,실시간콜입력!$H:$H,$B1188,실시간콜입력!$O:$O,"방문완료")</f>
        <v>0</v>
      </c>
      <c r="M1188" s="29" t="str">
        <f t="shared" si="160"/>
        <v/>
      </c>
      <c r="N1188" s="29"/>
    </row>
    <row r="1189" spans="1:14" ht="19.5" hidden="1" customHeight="1" outlineLevel="1">
      <c r="A1189" s="24">
        <f>IF(23&lt;=DAY(DATE(YEAR(설정_코스수당!$K$2),MONTH(설정_코스수당!$K$2)+1,0)),DATE(YEAR(설정_코스수당!$K$2),MONTH(설정_코스수당!$K$2),23),"")</f>
        <v>46196</v>
      </c>
      <c r="B1189" s="23" t="s">
        <v>201</v>
      </c>
      <c r="C1189" s="29"/>
      <c r="D1189" s="29"/>
      <c r="E1189" s="29" t="str">
        <f t="shared" si="158"/>
        <v/>
      </c>
      <c r="F1189" s="29">
        <f>COUNTIFS(실시간콜입력!$B:$B,$A1189,실시간콜입력!$E:$E,"A",실시간콜입력!$G:$G,$B1189,실시간콜입력!$O:$O,"방문완료")+COUNTIFS(실시간콜입력!$B:$B,$A1189,실시간콜입력!$E:$E,"A",실시간콜입력!$H:$H,$B1189,실시간콜입력!$O:$O,"방문완료")</f>
        <v>0</v>
      </c>
      <c r="G1189" s="29">
        <f>COUNTIFS(실시간콜입력!$B:$B,$A1189,실시간콜입력!$E:$E,"B",실시간콜입력!$G:$G,$B1189,실시간콜입력!$O:$O,"방문완료")+COUNTIFS(실시간콜입력!$B:$B,$A1189,실시간콜입력!$E:$E,"B",실시간콜입력!$H:$H,$B1189,실시간콜입력!$O:$O,"방문완료")</f>
        <v>0</v>
      </c>
      <c r="H1189" s="29">
        <f>COUNTIFS(실시간콜입력!$B:$B,$A1189,실시간콜입력!$E:$E,"C",실시간콜입력!$G:$G,$B1189,실시간콜입력!$O:$O,"방문완료")+COUNTIFS(실시간콜입력!$B:$B,$A1189,실시간콜입력!$E:$E,"C",실시간콜입력!$H:$H,$B1189,실시간콜입력!$O:$O,"방문완료")</f>
        <v>0</v>
      </c>
      <c r="I1189" s="29">
        <f>COUNTIFS(실시간콜입력!$B:$B,$A1189,실시간콜입력!$E:$E,"D",실시간콜입력!$G:$G,$B1189,실시간콜입력!$O:$O,"방문완료")+COUNTIFS(실시간콜입력!$B:$B,$A1189,실시간콜입력!$E:$E,"D",실시간콜입력!$H:$H,$B1189,실시간콜입력!$O:$O,"방문완료")</f>
        <v>0</v>
      </c>
      <c r="J1189" s="29">
        <f>COUNTIFS(실시간콜입력!$B:$B,$A1189,실시간콜입력!$E:$E,"E",실시간콜입력!$G:$G,$B1189,실시간콜입력!$O:$O,"방문완료")+COUNTIFS(실시간콜입력!$B:$B,$A1189,실시간콜입력!$E:$E,"E",실시간콜입력!$H:$H,$B1189,실시간콜입력!$O:$O,"방문완료")</f>
        <v>0</v>
      </c>
      <c r="K1189" s="29">
        <f t="shared" si="159"/>
        <v>0</v>
      </c>
      <c r="L1189" s="27">
        <f>SUMIFS(실시간콜입력!$K:$K,실시간콜입력!$B:$B,$A1189,실시간콜입력!$G:$G,$B1189,실시간콜입력!$O:$O,"방문완료")+SUMIFS(실시간콜입력!$L:$L,실시간콜입력!$B:$B,$A1189,실시간콜입력!$H:$H,$B1189,실시간콜입력!$O:$O,"방문완료")</f>
        <v>0</v>
      </c>
      <c r="M1189" s="29" t="str">
        <f t="shared" si="160"/>
        <v/>
      </c>
      <c r="N1189" s="29"/>
    </row>
    <row r="1190" spans="1:14" ht="19.5" hidden="1" customHeight="1" outlineLevel="1">
      <c r="A1190" s="30">
        <f>IF(23&lt;=DAY(DATE(YEAR(설정_코스수당!$K$2),MONTH(설정_코스수당!$K$2)+1,0)),DATE(YEAR(설정_코스수당!$K$2),MONTH(설정_코스수당!$K$2),23),"")</f>
        <v>46196</v>
      </c>
      <c r="B1190" s="29" t="s">
        <v>202</v>
      </c>
      <c r="C1190" s="29"/>
      <c r="D1190" s="29"/>
      <c r="E1190" s="29" t="str">
        <f t="shared" si="158"/>
        <v/>
      </c>
      <c r="F1190" s="29">
        <f>COUNTIFS(실시간콜입력!$B:$B,$A1190,실시간콜입력!$E:$E,"A",실시간콜입력!$G:$G,$B1190,실시간콜입력!$O:$O,"방문완료")+COUNTIFS(실시간콜입력!$B:$B,$A1190,실시간콜입력!$E:$E,"A",실시간콜입력!$H:$H,$B1190,실시간콜입력!$O:$O,"방문완료")</f>
        <v>0</v>
      </c>
      <c r="G1190" s="29">
        <f>COUNTIFS(실시간콜입력!$B:$B,$A1190,실시간콜입력!$E:$E,"B",실시간콜입력!$G:$G,$B1190,실시간콜입력!$O:$O,"방문완료")+COUNTIFS(실시간콜입력!$B:$B,$A1190,실시간콜입력!$E:$E,"B",실시간콜입력!$H:$H,$B1190,실시간콜입력!$O:$O,"방문완료")</f>
        <v>0</v>
      </c>
      <c r="H1190" s="29">
        <f>COUNTIFS(실시간콜입력!$B:$B,$A1190,실시간콜입력!$E:$E,"C",실시간콜입력!$G:$G,$B1190,실시간콜입력!$O:$O,"방문완료")+COUNTIFS(실시간콜입력!$B:$B,$A1190,실시간콜입력!$E:$E,"C",실시간콜입력!$H:$H,$B1190,실시간콜입력!$O:$O,"방문완료")</f>
        <v>0</v>
      </c>
      <c r="I1190" s="29">
        <f>COUNTIFS(실시간콜입력!$B:$B,$A1190,실시간콜입력!$E:$E,"D",실시간콜입력!$G:$G,$B1190,실시간콜입력!$O:$O,"방문완료")+COUNTIFS(실시간콜입력!$B:$B,$A1190,실시간콜입력!$E:$E,"D",실시간콜입력!$H:$H,$B1190,실시간콜입력!$O:$O,"방문완료")</f>
        <v>0</v>
      </c>
      <c r="J1190" s="29">
        <f>COUNTIFS(실시간콜입력!$B:$B,$A1190,실시간콜입력!$E:$E,"E",실시간콜입력!$G:$G,$B1190,실시간콜입력!$O:$O,"방문완료")+COUNTIFS(실시간콜입력!$B:$B,$A1190,실시간콜입력!$E:$E,"E",실시간콜입력!$H:$H,$B1190,실시간콜입력!$O:$O,"방문완료")</f>
        <v>0</v>
      </c>
      <c r="K1190" s="29">
        <f t="shared" si="159"/>
        <v>0</v>
      </c>
      <c r="L1190" s="33">
        <f>SUMIFS(실시간콜입력!$K:$K,실시간콜입력!$B:$B,$A1190,실시간콜입력!$G:$G,$B1190,실시간콜입력!$O:$O,"방문완료")+SUMIFS(실시간콜입력!$L:$L,실시간콜입력!$B:$B,$A1190,실시간콜입력!$H:$H,$B1190,실시간콜입력!$O:$O,"방문완료")</f>
        <v>0</v>
      </c>
      <c r="M1190" s="29" t="str">
        <f t="shared" si="160"/>
        <v/>
      </c>
      <c r="N1190" s="29"/>
    </row>
    <row r="1191" spans="1:14" ht="19.5" hidden="1" customHeight="1" outlineLevel="1">
      <c r="A1191" s="24">
        <f>IF(23&lt;=DAY(DATE(YEAR(설정_코스수당!$K$2),MONTH(설정_코스수당!$K$2)+1,0)),DATE(YEAR(설정_코스수당!$K$2),MONTH(설정_코스수당!$K$2),23),"")</f>
        <v>46196</v>
      </c>
      <c r="B1191" s="23" t="s">
        <v>203</v>
      </c>
      <c r="C1191" s="29"/>
      <c r="D1191" s="29"/>
      <c r="E1191" s="29" t="str">
        <f t="shared" si="158"/>
        <v/>
      </c>
      <c r="F1191" s="29">
        <f>COUNTIFS(실시간콜입력!$B:$B,$A1191,실시간콜입력!$E:$E,"A",실시간콜입력!$G:$G,$B1191,실시간콜입력!$O:$O,"방문완료")+COUNTIFS(실시간콜입력!$B:$B,$A1191,실시간콜입력!$E:$E,"A",실시간콜입력!$H:$H,$B1191,실시간콜입력!$O:$O,"방문완료")</f>
        <v>0</v>
      </c>
      <c r="G1191" s="29">
        <f>COUNTIFS(실시간콜입력!$B:$B,$A1191,실시간콜입력!$E:$E,"B",실시간콜입력!$G:$G,$B1191,실시간콜입력!$O:$O,"방문완료")+COUNTIFS(실시간콜입력!$B:$B,$A1191,실시간콜입력!$E:$E,"B",실시간콜입력!$H:$H,$B1191,실시간콜입력!$O:$O,"방문완료")</f>
        <v>0</v>
      </c>
      <c r="H1191" s="29">
        <f>COUNTIFS(실시간콜입력!$B:$B,$A1191,실시간콜입력!$E:$E,"C",실시간콜입력!$G:$G,$B1191,실시간콜입력!$O:$O,"방문완료")+COUNTIFS(실시간콜입력!$B:$B,$A1191,실시간콜입력!$E:$E,"C",실시간콜입력!$H:$H,$B1191,실시간콜입력!$O:$O,"방문완료")</f>
        <v>0</v>
      </c>
      <c r="I1191" s="29">
        <f>COUNTIFS(실시간콜입력!$B:$B,$A1191,실시간콜입력!$E:$E,"D",실시간콜입력!$G:$G,$B1191,실시간콜입력!$O:$O,"방문완료")+COUNTIFS(실시간콜입력!$B:$B,$A1191,실시간콜입력!$E:$E,"D",실시간콜입력!$H:$H,$B1191,실시간콜입력!$O:$O,"방문완료")</f>
        <v>0</v>
      </c>
      <c r="J1191" s="29">
        <f>COUNTIFS(실시간콜입력!$B:$B,$A1191,실시간콜입력!$E:$E,"E",실시간콜입력!$G:$G,$B1191,실시간콜입력!$O:$O,"방문완료")+COUNTIFS(실시간콜입력!$B:$B,$A1191,실시간콜입력!$E:$E,"E",실시간콜입력!$H:$H,$B1191,실시간콜입력!$O:$O,"방문완료")</f>
        <v>0</v>
      </c>
      <c r="K1191" s="29">
        <f t="shared" si="159"/>
        <v>0</v>
      </c>
      <c r="L1191" s="27">
        <f>SUMIFS(실시간콜입력!$K:$K,실시간콜입력!$B:$B,$A1191,실시간콜입력!$G:$G,$B1191,실시간콜입력!$O:$O,"방문완료")+SUMIFS(실시간콜입력!$L:$L,실시간콜입력!$B:$B,$A1191,실시간콜입력!$H:$H,$B1191,실시간콜입력!$O:$O,"방문완료")</f>
        <v>0</v>
      </c>
      <c r="M1191" s="29" t="str">
        <f t="shared" si="160"/>
        <v/>
      </c>
      <c r="N1191" s="29"/>
    </row>
    <row r="1192" spans="1:14" ht="19.5" hidden="1" customHeight="1" outlineLevel="1">
      <c r="A1192" s="30">
        <f>IF(23&lt;=DAY(DATE(YEAR(설정_코스수당!$K$2),MONTH(설정_코스수당!$K$2)+1,0)),DATE(YEAR(설정_코스수당!$K$2),MONTH(설정_코스수당!$K$2),23),"")</f>
        <v>46196</v>
      </c>
      <c r="B1192" s="29" t="s">
        <v>204</v>
      </c>
      <c r="C1192" s="29"/>
      <c r="D1192" s="29"/>
      <c r="E1192" s="29" t="str">
        <f t="shared" si="158"/>
        <v/>
      </c>
      <c r="F1192" s="29">
        <f>COUNTIFS(실시간콜입력!$B:$B,$A1192,실시간콜입력!$E:$E,"A",실시간콜입력!$G:$G,$B1192,실시간콜입력!$O:$O,"방문완료")+COUNTIFS(실시간콜입력!$B:$B,$A1192,실시간콜입력!$E:$E,"A",실시간콜입력!$H:$H,$B1192,실시간콜입력!$O:$O,"방문완료")</f>
        <v>0</v>
      </c>
      <c r="G1192" s="29">
        <f>COUNTIFS(실시간콜입력!$B:$B,$A1192,실시간콜입력!$E:$E,"B",실시간콜입력!$G:$G,$B1192,실시간콜입력!$O:$O,"방문완료")+COUNTIFS(실시간콜입력!$B:$B,$A1192,실시간콜입력!$E:$E,"B",실시간콜입력!$H:$H,$B1192,실시간콜입력!$O:$O,"방문완료")</f>
        <v>0</v>
      </c>
      <c r="H1192" s="29">
        <f>COUNTIFS(실시간콜입력!$B:$B,$A1192,실시간콜입력!$E:$E,"C",실시간콜입력!$G:$G,$B1192,실시간콜입력!$O:$O,"방문완료")+COUNTIFS(실시간콜입력!$B:$B,$A1192,실시간콜입력!$E:$E,"C",실시간콜입력!$H:$H,$B1192,실시간콜입력!$O:$O,"방문완료")</f>
        <v>0</v>
      </c>
      <c r="I1192" s="29">
        <f>COUNTIFS(실시간콜입력!$B:$B,$A1192,실시간콜입력!$E:$E,"D",실시간콜입력!$G:$G,$B1192,실시간콜입력!$O:$O,"방문완료")+COUNTIFS(실시간콜입력!$B:$B,$A1192,실시간콜입력!$E:$E,"D",실시간콜입력!$H:$H,$B1192,실시간콜입력!$O:$O,"방문완료")</f>
        <v>0</v>
      </c>
      <c r="J1192" s="29">
        <f>COUNTIFS(실시간콜입력!$B:$B,$A1192,실시간콜입력!$E:$E,"E",실시간콜입력!$G:$G,$B1192,실시간콜입력!$O:$O,"방문완료")+COUNTIFS(실시간콜입력!$B:$B,$A1192,실시간콜입력!$E:$E,"E",실시간콜입력!$H:$H,$B1192,실시간콜입력!$O:$O,"방문완료")</f>
        <v>0</v>
      </c>
      <c r="K1192" s="29">
        <f t="shared" si="159"/>
        <v>0</v>
      </c>
      <c r="L1192" s="33">
        <f>SUMIFS(실시간콜입력!$K:$K,실시간콜입력!$B:$B,$A1192,실시간콜입력!$G:$G,$B1192,실시간콜입력!$O:$O,"방문완료")+SUMIFS(실시간콜입력!$L:$L,실시간콜입력!$B:$B,$A1192,실시간콜입력!$H:$H,$B1192,실시간콜입력!$O:$O,"방문완료")</f>
        <v>0</v>
      </c>
      <c r="M1192" s="29" t="str">
        <f t="shared" si="160"/>
        <v/>
      </c>
      <c r="N1192" s="29"/>
    </row>
    <row r="1193" spans="1:14" ht="19.5" hidden="1" customHeight="1" outlineLevel="1">
      <c r="A1193" s="24">
        <f>IF(23&lt;=DAY(DATE(YEAR(설정_코스수당!$K$2),MONTH(설정_코스수당!$K$2)+1,0)),DATE(YEAR(설정_코스수당!$K$2),MONTH(설정_코스수당!$K$2),23),"")</f>
        <v>46196</v>
      </c>
      <c r="B1193" s="23" t="s">
        <v>205</v>
      </c>
      <c r="C1193" s="29"/>
      <c r="D1193" s="29"/>
      <c r="E1193" s="29" t="str">
        <f t="shared" si="158"/>
        <v/>
      </c>
      <c r="F1193" s="29">
        <f>COUNTIFS(실시간콜입력!$B:$B,$A1193,실시간콜입력!$E:$E,"A",실시간콜입력!$G:$G,$B1193,실시간콜입력!$O:$O,"방문완료")+COUNTIFS(실시간콜입력!$B:$B,$A1193,실시간콜입력!$E:$E,"A",실시간콜입력!$H:$H,$B1193,실시간콜입력!$O:$O,"방문완료")</f>
        <v>0</v>
      </c>
      <c r="G1193" s="29">
        <f>COUNTIFS(실시간콜입력!$B:$B,$A1193,실시간콜입력!$E:$E,"B",실시간콜입력!$G:$G,$B1193,실시간콜입력!$O:$O,"방문완료")+COUNTIFS(실시간콜입력!$B:$B,$A1193,실시간콜입력!$E:$E,"B",실시간콜입력!$H:$H,$B1193,실시간콜입력!$O:$O,"방문완료")</f>
        <v>0</v>
      </c>
      <c r="H1193" s="29">
        <f>COUNTIFS(실시간콜입력!$B:$B,$A1193,실시간콜입력!$E:$E,"C",실시간콜입력!$G:$G,$B1193,실시간콜입력!$O:$O,"방문완료")+COUNTIFS(실시간콜입력!$B:$B,$A1193,실시간콜입력!$E:$E,"C",실시간콜입력!$H:$H,$B1193,실시간콜입력!$O:$O,"방문완료")</f>
        <v>0</v>
      </c>
      <c r="I1193" s="29">
        <f>COUNTIFS(실시간콜입력!$B:$B,$A1193,실시간콜입력!$E:$E,"D",실시간콜입력!$G:$G,$B1193,실시간콜입력!$O:$O,"방문완료")+COUNTIFS(실시간콜입력!$B:$B,$A1193,실시간콜입력!$E:$E,"D",실시간콜입력!$H:$H,$B1193,실시간콜입력!$O:$O,"방문완료")</f>
        <v>0</v>
      </c>
      <c r="J1193" s="29">
        <f>COUNTIFS(실시간콜입력!$B:$B,$A1193,실시간콜입력!$E:$E,"E",실시간콜입력!$G:$G,$B1193,실시간콜입력!$O:$O,"방문완료")+COUNTIFS(실시간콜입력!$B:$B,$A1193,실시간콜입력!$E:$E,"E",실시간콜입력!$H:$H,$B1193,실시간콜입력!$O:$O,"방문완료")</f>
        <v>0</v>
      </c>
      <c r="K1193" s="29">
        <f t="shared" si="159"/>
        <v>0</v>
      </c>
      <c r="L1193" s="27">
        <f>SUMIFS(실시간콜입력!$K:$K,실시간콜입력!$B:$B,$A1193,실시간콜입력!$G:$G,$B1193,실시간콜입력!$O:$O,"방문완료")+SUMIFS(실시간콜입력!$L:$L,실시간콜입력!$B:$B,$A1193,실시간콜입력!$H:$H,$B1193,실시간콜입력!$O:$O,"방문완료")</f>
        <v>0</v>
      </c>
      <c r="M1193" s="29" t="str">
        <f t="shared" si="160"/>
        <v/>
      </c>
      <c r="N1193" s="29"/>
    </row>
    <row r="1194" spans="1:14" ht="19.5" hidden="1" customHeight="1" outlineLevel="1">
      <c r="A1194" s="30">
        <f>IF(23&lt;=DAY(DATE(YEAR(설정_코스수당!$K$2),MONTH(설정_코스수당!$K$2)+1,0)),DATE(YEAR(설정_코스수당!$K$2),MONTH(설정_코스수당!$K$2),23),"")</f>
        <v>46196</v>
      </c>
      <c r="B1194" s="29" t="s">
        <v>206</v>
      </c>
      <c r="C1194" s="29"/>
      <c r="D1194" s="29"/>
      <c r="E1194" s="29" t="str">
        <f t="shared" si="158"/>
        <v/>
      </c>
      <c r="F1194" s="29">
        <f>COUNTIFS(실시간콜입력!$B:$B,$A1194,실시간콜입력!$E:$E,"A",실시간콜입력!$G:$G,$B1194,실시간콜입력!$O:$O,"방문완료")+COUNTIFS(실시간콜입력!$B:$B,$A1194,실시간콜입력!$E:$E,"A",실시간콜입력!$H:$H,$B1194,실시간콜입력!$O:$O,"방문완료")</f>
        <v>0</v>
      </c>
      <c r="G1194" s="29">
        <f>COUNTIFS(실시간콜입력!$B:$B,$A1194,실시간콜입력!$E:$E,"B",실시간콜입력!$G:$G,$B1194,실시간콜입력!$O:$O,"방문완료")+COUNTIFS(실시간콜입력!$B:$B,$A1194,실시간콜입력!$E:$E,"B",실시간콜입력!$H:$H,$B1194,실시간콜입력!$O:$O,"방문완료")</f>
        <v>0</v>
      </c>
      <c r="H1194" s="29">
        <f>COUNTIFS(실시간콜입력!$B:$B,$A1194,실시간콜입력!$E:$E,"C",실시간콜입력!$G:$G,$B1194,실시간콜입력!$O:$O,"방문완료")+COUNTIFS(실시간콜입력!$B:$B,$A1194,실시간콜입력!$E:$E,"C",실시간콜입력!$H:$H,$B1194,실시간콜입력!$O:$O,"방문완료")</f>
        <v>0</v>
      </c>
      <c r="I1194" s="29">
        <f>COUNTIFS(실시간콜입력!$B:$B,$A1194,실시간콜입력!$E:$E,"D",실시간콜입력!$G:$G,$B1194,실시간콜입력!$O:$O,"방문완료")+COUNTIFS(실시간콜입력!$B:$B,$A1194,실시간콜입력!$E:$E,"D",실시간콜입력!$H:$H,$B1194,실시간콜입력!$O:$O,"방문완료")</f>
        <v>0</v>
      </c>
      <c r="J1194" s="29">
        <f>COUNTIFS(실시간콜입력!$B:$B,$A1194,실시간콜입력!$E:$E,"E",실시간콜입력!$G:$G,$B1194,실시간콜입력!$O:$O,"방문완료")+COUNTIFS(실시간콜입력!$B:$B,$A1194,실시간콜입력!$E:$E,"E",실시간콜입력!$H:$H,$B1194,실시간콜입력!$O:$O,"방문완료")</f>
        <v>0</v>
      </c>
      <c r="K1194" s="29">
        <f t="shared" si="159"/>
        <v>0</v>
      </c>
      <c r="L1194" s="33">
        <f>SUMIFS(실시간콜입력!$K:$K,실시간콜입력!$B:$B,$A1194,실시간콜입력!$G:$G,$B1194,실시간콜입력!$O:$O,"방문완료")+SUMIFS(실시간콜입력!$L:$L,실시간콜입력!$B:$B,$A1194,실시간콜입력!$H:$H,$B1194,실시간콜입력!$O:$O,"방문완료")</f>
        <v>0</v>
      </c>
      <c r="M1194" s="29" t="str">
        <f t="shared" si="160"/>
        <v/>
      </c>
      <c r="N1194" s="29"/>
    </row>
    <row r="1195" spans="1:14" ht="19.5" hidden="1" customHeight="1" outlineLevel="1">
      <c r="A1195" s="24">
        <f>IF(23&lt;=DAY(DATE(YEAR(설정_코스수당!$K$2),MONTH(설정_코스수당!$K$2)+1,0)),DATE(YEAR(설정_코스수당!$K$2),MONTH(설정_코스수당!$K$2),23),"")</f>
        <v>46196</v>
      </c>
      <c r="B1195" s="23" t="s">
        <v>207</v>
      </c>
      <c r="C1195" s="29"/>
      <c r="D1195" s="29"/>
      <c r="E1195" s="29" t="str">
        <f t="shared" si="158"/>
        <v/>
      </c>
      <c r="F1195" s="29">
        <f>COUNTIFS(실시간콜입력!$B:$B,$A1195,실시간콜입력!$E:$E,"A",실시간콜입력!$G:$G,$B1195,실시간콜입력!$O:$O,"방문완료")+COUNTIFS(실시간콜입력!$B:$B,$A1195,실시간콜입력!$E:$E,"A",실시간콜입력!$H:$H,$B1195,실시간콜입력!$O:$O,"방문완료")</f>
        <v>0</v>
      </c>
      <c r="G1195" s="29">
        <f>COUNTIFS(실시간콜입력!$B:$B,$A1195,실시간콜입력!$E:$E,"B",실시간콜입력!$G:$G,$B1195,실시간콜입력!$O:$O,"방문완료")+COUNTIFS(실시간콜입력!$B:$B,$A1195,실시간콜입력!$E:$E,"B",실시간콜입력!$H:$H,$B1195,실시간콜입력!$O:$O,"방문완료")</f>
        <v>0</v>
      </c>
      <c r="H1195" s="29">
        <f>COUNTIFS(실시간콜입력!$B:$B,$A1195,실시간콜입력!$E:$E,"C",실시간콜입력!$G:$G,$B1195,실시간콜입력!$O:$O,"방문완료")+COUNTIFS(실시간콜입력!$B:$B,$A1195,실시간콜입력!$E:$E,"C",실시간콜입력!$H:$H,$B1195,실시간콜입력!$O:$O,"방문완료")</f>
        <v>0</v>
      </c>
      <c r="I1195" s="29">
        <f>COUNTIFS(실시간콜입력!$B:$B,$A1195,실시간콜입력!$E:$E,"D",실시간콜입력!$G:$G,$B1195,실시간콜입력!$O:$O,"방문완료")+COUNTIFS(실시간콜입력!$B:$B,$A1195,실시간콜입력!$E:$E,"D",실시간콜입력!$H:$H,$B1195,실시간콜입력!$O:$O,"방문완료")</f>
        <v>0</v>
      </c>
      <c r="J1195" s="29">
        <f>COUNTIFS(실시간콜입력!$B:$B,$A1195,실시간콜입력!$E:$E,"E",실시간콜입력!$G:$G,$B1195,실시간콜입력!$O:$O,"방문완료")+COUNTIFS(실시간콜입력!$B:$B,$A1195,실시간콜입력!$E:$E,"E",실시간콜입력!$H:$H,$B1195,실시간콜입력!$O:$O,"방문완료")</f>
        <v>0</v>
      </c>
      <c r="K1195" s="29">
        <f t="shared" si="159"/>
        <v>0</v>
      </c>
      <c r="L1195" s="27">
        <f>SUMIFS(실시간콜입력!$K:$K,실시간콜입력!$B:$B,$A1195,실시간콜입력!$G:$G,$B1195,실시간콜입력!$O:$O,"방문완료")+SUMIFS(실시간콜입력!$L:$L,실시간콜입력!$B:$B,$A1195,실시간콜입력!$H:$H,$B1195,실시간콜입력!$O:$O,"방문완료")</f>
        <v>0</v>
      </c>
      <c r="M1195" s="29" t="str">
        <f t="shared" si="160"/>
        <v/>
      </c>
      <c r="N1195" s="29"/>
    </row>
    <row r="1196" spans="1:14" ht="19.5" hidden="1" customHeight="1" outlineLevel="1">
      <c r="A1196" s="30">
        <f>IF(23&lt;=DAY(DATE(YEAR(설정_코스수당!$K$2),MONTH(설정_코스수당!$K$2)+1,0)),DATE(YEAR(설정_코스수당!$K$2),MONTH(설정_코스수당!$K$2),23),"")</f>
        <v>46196</v>
      </c>
      <c r="B1196" s="29" t="s">
        <v>208</v>
      </c>
      <c r="C1196" s="29"/>
      <c r="D1196" s="29"/>
      <c r="E1196" s="29" t="str">
        <f t="shared" si="158"/>
        <v/>
      </c>
      <c r="F1196" s="29">
        <f>COUNTIFS(실시간콜입력!$B:$B,$A1196,실시간콜입력!$E:$E,"A",실시간콜입력!$G:$G,$B1196,실시간콜입력!$O:$O,"방문완료")+COUNTIFS(실시간콜입력!$B:$B,$A1196,실시간콜입력!$E:$E,"A",실시간콜입력!$H:$H,$B1196,실시간콜입력!$O:$O,"방문완료")</f>
        <v>0</v>
      </c>
      <c r="G1196" s="29">
        <f>COUNTIFS(실시간콜입력!$B:$B,$A1196,실시간콜입력!$E:$E,"B",실시간콜입력!$G:$G,$B1196,실시간콜입력!$O:$O,"방문완료")+COUNTIFS(실시간콜입력!$B:$B,$A1196,실시간콜입력!$E:$E,"B",실시간콜입력!$H:$H,$B1196,실시간콜입력!$O:$O,"방문완료")</f>
        <v>0</v>
      </c>
      <c r="H1196" s="29">
        <f>COUNTIFS(실시간콜입력!$B:$B,$A1196,실시간콜입력!$E:$E,"C",실시간콜입력!$G:$G,$B1196,실시간콜입력!$O:$O,"방문완료")+COUNTIFS(실시간콜입력!$B:$B,$A1196,실시간콜입력!$E:$E,"C",실시간콜입력!$H:$H,$B1196,실시간콜입력!$O:$O,"방문완료")</f>
        <v>0</v>
      </c>
      <c r="I1196" s="29">
        <f>COUNTIFS(실시간콜입력!$B:$B,$A1196,실시간콜입력!$E:$E,"D",실시간콜입력!$G:$G,$B1196,실시간콜입력!$O:$O,"방문완료")+COUNTIFS(실시간콜입력!$B:$B,$A1196,실시간콜입력!$E:$E,"D",실시간콜입력!$H:$H,$B1196,실시간콜입력!$O:$O,"방문완료")</f>
        <v>0</v>
      </c>
      <c r="J1196" s="29">
        <f>COUNTIFS(실시간콜입력!$B:$B,$A1196,실시간콜입력!$E:$E,"E",실시간콜입력!$G:$G,$B1196,실시간콜입력!$O:$O,"방문완료")+COUNTIFS(실시간콜입력!$B:$B,$A1196,실시간콜입력!$E:$E,"E",실시간콜입력!$H:$H,$B1196,실시간콜입력!$O:$O,"방문완료")</f>
        <v>0</v>
      </c>
      <c r="K1196" s="29">
        <f t="shared" si="159"/>
        <v>0</v>
      </c>
      <c r="L1196" s="33">
        <f>SUMIFS(실시간콜입력!$K:$K,실시간콜입력!$B:$B,$A1196,실시간콜입력!$G:$G,$B1196,실시간콜입력!$O:$O,"방문완료")+SUMIFS(실시간콜입력!$L:$L,실시간콜입력!$B:$B,$A1196,실시간콜입력!$H:$H,$B1196,실시간콜입력!$O:$O,"방문완료")</f>
        <v>0</v>
      </c>
      <c r="M1196" s="29" t="str">
        <f t="shared" si="160"/>
        <v/>
      </c>
      <c r="N1196" s="29"/>
    </row>
    <row r="1197" spans="1:14" ht="19.5" hidden="1" customHeight="1" outlineLevel="1">
      <c r="A1197" s="24">
        <f>IF(23&lt;=DAY(DATE(YEAR(설정_코스수당!$K$2),MONTH(설정_코스수당!$K$2)+1,0)),DATE(YEAR(설정_코스수당!$K$2),MONTH(설정_코스수당!$K$2),23),"")</f>
        <v>46196</v>
      </c>
      <c r="B1197" s="23" t="s">
        <v>209</v>
      </c>
      <c r="C1197" s="29"/>
      <c r="D1197" s="29"/>
      <c r="E1197" s="29" t="str">
        <f t="shared" si="158"/>
        <v/>
      </c>
      <c r="F1197" s="29">
        <f>COUNTIFS(실시간콜입력!$B:$B,$A1197,실시간콜입력!$E:$E,"A",실시간콜입력!$G:$G,$B1197,실시간콜입력!$O:$O,"방문완료")+COUNTIFS(실시간콜입력!$B:$B,$A1197,실시간콜입력!$E:$E,"A",실시간콜입력!$H:$H,$B1197,실시간콜입력!$O:$O,"방문완료")</f>
        <v>0</v>
      </c>
      <c r="G1197" s="29">
        <f>COUNTIFS(실시간콜입력!$B:$B,$A1197,실시간콜입력!$E:$E,"B",실시간콜입력!$G:$G,$B1197,실시간콜입력!$O:$O,"방문완료")+COUNTIFS(실시간콜입력!$B:$B,$A1197,실시간콜입력!$E:$E,"B",실시간콜입력!$H:$H,$B1197,실시간콜입력!$O:$O,"방문완료")</f>
        <v>0</v>
      </c>
      <c r="H1197" s="29">
        <f>COUNTIFS(실시간콜입력!$B:$B,$A1197,실시간콜입력!$E:$E,"C",실시간콜입력!$G:$G,$B1197,실시간콜입력!$O:$O,"방문완료")+COUNTIFS(실시간콜입력!$B:$B,$A1197,실시간콜입력!$E:$E,"C",실시간콜입력!$H:$H,$B1197,실시간콜입력!$O:$O,"방문완료")</f>
        <v>0</v>
      </c>
      <c r="I1197" s="29">
        <f>COUNTIFS(실시간콜입력!$B:$B,$A1197,실시간콜입력!$E:$E,"D",실시간콜입력!$G:$G,$B1197,실시간콜입력!$O:$O,"방문완료")+COUNTIFS(실시간콜입력!$B:$B,$A1197,실시간콜입력!$E:$E,"D",실시간콜입력!$H:$H,$B1197,실시간콜입력!$O:$O,"방문완료")</f>
        <v>0</v>
      </c>
      <c r="J1197" s="29">
        <f>COUNTIFS(실시간콜입력!$B:$B,$A1197,실시간콜입력!$E:$E,"E",실시간콜입력!$G:$G,$B1197,실시간콜입력!$O:$O,"방문완료")+COUNTIFS(실시간콜입력!$B:$B,$A1197,실시간콜입력!$E:$E,"E",실시간콜입력!$H:$H,$B1197,실시간콜입력!$O:$O,"방문완료")</f>
        <v>0</v>
      </c>
      <c r="K1197" s="29">
        <f t="shared" si="159"/>
        <v>0</v>
      </c>
      <c r="L1197" s="27">
        <f>SUMIFS(실시간콜입력!$K:$K,실시간콜입력!$B:$B,$A1197,실시간콜입력!$G:$G,$B1197,실시간콜입력!$O:$O,"방문완료")+SUMIFS(실시간콜입력!$L:$L,실시간콜입력!$B:$B,$A1197,실시간콜입력!$H:$H,$B1197,실시간콜입력!$O:$O,"방문완료")</f>
        <v>0</v>
      </c>
      <c r="M1197" s="29" t="str">
        <f t="shared" si="160"/>
        <v/>
      </c>
      <c r="N1197" s="29"/>
    </row>
    <row r="1198" spans="1:14" ht="19.5" hidden="1" customHeight="1" outlineLevel="1">
      <c r="A1198" s="30">
        <f>IF(23&lt;=DAY(DATE(YEAR(설정_코스수당!$K$2),MONTH(설정_코스수당!$K$2)+1,0)),DATE(YEAR(설정_코스수당!$K$2),MONTH(설정_코스수당!$K$2),23),"")</f>
        <v>46196</v>
      </c>
      <c r="B1198" s="29" t="s">
        <v>210</v>
      </c>
      <c r="C1198" s="29"/>
      <c r="D1198" s="29"/>
      <c r="E1198" s="29" t="str">
        <f t="shared" si="158"/>
        <v/>
      </c>
      <c r="F1198" s="29">
        <f>COUNTIFS(실시간콜입력!$B:$B,$A1198,실시간콜입력!$E:$E,"A",실시간콜입력!$G:$G,$B1198,실시간콜입력!$O:$O,"방문완료")+COUNTIFS(실시간콜입력!$B:$B,$A1198,실시간콜입력!$E:$E,"A",실시간콜입력!$H:$H,$B1198,실시간콜입력!$O:$O,"방문완료")</f>
        <v>0</v>
      </c>
      <c r="G1198" s="29">
        <f>COUNTIFS(실시간콜입력!$B:$B,$A1198,실시간콜입력!$E:$E,"B",실시간콜입력!$G:$G,$B1198,실시간콜입력!$O:$O,"방문완료")+COUNTIFS(실시간콜입력!$B:$B,$A1198,실시간콜입력!$E:$E,"B",실시간콜입력!$H:$H,$B1198,실시간콜입력!$O:$O,"방문완료")</f>
        <v>0</v>
      </c>
      <c r="H1198" s="29">
        <f>COUNTIFS(실시간콜입력!$B:$B,$A1198,실시간콜입력!$E:$E,"C",실시간콜입력!$G:$G,$B1198,실시간콜입력!$O:$O,"방문완료")+COUNTIFS(실시간콜입력!$B:$B,$A1198,실시간콜입력!$E:$E,"C",실시간콜입력!$H:$H,$B1198,실시간콜입력!$O:$O,"방문완료")</f>
        <v>0</v>
      </c>
      <c r="I1198" s="29">
        <f>COUNTIFS(실시간콜입력!$B:$B,$A1198,실시간콜입력!$E:$E,"D",실시간콜입력!$G:$G,$B1198,실시간콜입력!$O:$O,"방문완료")+COUNTIFS(실시간콜입력!$B:$B,$A1198,실시간콜입력!$E:$E,"D",실시간콜입력!$H:$H,$B1198,실시간콜입력!$O:$O,"방문완료")</f>
        <v>0</v>
      </c>
      <c r="J1198" s="29">
        <f>COUNTIFS(실시간콜입력!$B:$B,$A1198,실시간콜입력!$E:$E,"E",실시간콜입력!$G:$G,$B1198,실시간콜입력!$O:$O,"방문완료")+COUNTIFS(실시간콜입력!$B:$B,$A1198,실시간콜입력!$E:$E,"E",실시간콜입력!$H:$H,$B1198,실시간콜입력!$O:$O,"방문완료")</f>
        <v>0</v>
      </c>
      <c r="K1198" s="29">
        <f t="shared" si="159"/>
        <v>0</v>
      </c>
      <c r="L1198" s="33">
        <f>SUMIFS(실시간콜입력!$K:$K,실시간콜입력!$B:$B,$A1198,실시간콜입력!$G:$G,$B1198,실시간콜입력!$O:$O,"방문완료")+SUMIFS(실시간콜입력!$L:$L,실시간콜입력!$B:$B,$A1198,실시간콜입력!$H:$H,$B1198,실시간콜입력!$O:$O,"방문완료")</f>
        <v>0</v>
      </c>
      <c r="M1198" s="29" t="str">
        <f t="shared" si="160"/>
        <v/>
      </c>
      <c r="N1198" s="29"/>
    </row>
    <row r="1199" spans="1:14" ht="19.5" hidden="1" customHeight="1" outlineLevel="1">
      <c r="A1199" s="24">
        <f>IF(23&lt;=DAY(DATE(YEAR(설정_코스수당!$K$2),MONTH(설정_코스수당!$K$2)+1,0)),DATE(YEAR(설정_코스수당!$K$2),MONTH(설정_코스수당!$K$2),23),"")</f>
        <v>46196</v>
      </c>
      <c r="B1199" s="23" t="s">
        <v>211</v>
      </c>
      <c r="C1199" s="29"/>
      <c r="D1199" s="29"/>
      <c r="E1199" s="29" t="str">
        <f t="shared" si="158"/>
        <v/>
      </c>
      <c r="F1199" s="29">
        <f>COUNTIFS(실시간콜입력!$B:$B,$A1199,실시간콜입력!$E:$E,"A",실시간콜입력!$G:$G,$B1199,실시간콜입력!$O:$O,"방문완료")+COUNTIFS(실시간콜입력!$B:$B,$A1199,실시간콜입력!$E:$E,"A",실시간콜입력!$H:$H,$B1199,실시간콜입력!$O:$O,"방문완료")</f>
        <v>0</v>
      </c>
      <c r="G1199" s="29">
        <f>COUNTIFS(실시간콜입력!$B:$B,$A1199,실시간콜입력!$E:$E,"B",실시간콜입력!$G:$G,$B1199,실시간콜입력!$O:$O,"방문완료")+COUNTIFS(실시간콜입력!$B:$B,$A1199,실시간콜입력!$E:$E,"B",실시간콜입력!$H:$H,$B1199,실시간콜입력!$O:$O,"방문완료")</f>
        <v>0</v>
      </c>
      <c r="H1199" s="29">
        <f>COUNTIFS(실시간콜입력!$B:$B,$A1199,실시간콜입력!$E:$E,"C",실시간콜입력!$G:$G,$B1199,실시간콜입력!$O:$O,"방문완료")+COUNTIFS(실시간콜입력!$B:$B,$A1199,실시간콜입력!$E:$E,"C",실시간콜입력!$H:$H,$B1199,실시간콜입력!$O:$O,"방문완료")</f>
        <v>0</v>
      </c>
      <c r="I1199" s="29">
        <f>COUNTIFS(실시간콜입력!$B:$B,$A1199,실시간콜입력!$E:$E,"D",실시간콜입력!$G:$G,$B1199,실시간콜입력!$O:$O,"방문완료")+COUNTIFS(실시간콜입력!$B:$B,$A1199,실시간콜입력!$E:$E,"D",실시간콜입력!$H:$H,$B1199,실시간콜입력!$O:$O,"방문완료")</f>
        <v>0</v>
      </c>
      <c r="J1199" s="29">
        <f>COUNTIFS(실시간콜입력!$B:$B,$A1199,실시간콜입력!$E:$E,"E",실시간콜입력!$G:$G,$B1199,실시간콜입력!$O:$O,"방문완료")+COUNTIFS(실시간콜입력!$B:$B,$A1199,실시간콜입력!$E:$E,"E",실시간콜입력!$H:$H,$B1199,실시간콜입력!$O:$O,"방문완료")</f>
        <v>0</v>
      </c>
      <c r="K1199" s="29">
        <f t="shared" si="159"/>
        <v>0</v>
      </c>
      <c r="L1199" s="27">
        <f>SUMIFS(실시간콜입력!$K:$K,실시간콜입력!$B:$B,$A1199,실시간콜입력!$G:$G,$B1199,실시간콜입력!$O:$O,"방문완료")+SUMIFS(실시간콜입력!$L:$L,실시간콜입력!$B:$B,$A1199,실시간콜입력!$H:$H,$B1199,실시간콜입력!$O:$O,"방문완료")</f>
        <v>0</v>
      </c>
      <c r="M1199" s="29" t="str">
        <f t="shared" si="160"/>
        <v/>
      </c>
      <c r="N1199" s="29"/>
    </row>
    <row r="1200" spans="1:14" ht="19.5" hidden="1" customHeight="1" outlineLevel="1">
      <c r="A1200" s="30">
        <f>IF(23&lt;=DAY(DATE(YEAR(설정_코스수당!$K$2),MONTH(설정_코스수당!$K$2)+1,0)),DATE(YEAR(설정_코스수당!$K$2),MONTH(설정_코스수당!$K$2),23),"")</f>
        <v>46196</v>
      </c>
      <c r="B1200" s="29" t="s">
        <v>212</v>
      </c>
      <c r="C1200" s="29"/>
      <c r="D1200" s="29"/>
      <c r="E1200" s="29" t="str">
        <f t="shared" si="158"/>
        <v/>
      </c>
      <c r="F1200" s="29">
        <f>COUNTIFS(실시간콜입력!$B:$B,$A1200,실시간콜입력!$E:$E,"A",실시간콜입력!$G:$G,$B1200,실시간콜입력!$O:$O,"방문완료")+COUNTIFS(실시간콜입력!$B:$B,$A1200,실시간콜입력!$E:$E,"A",실시간콜입력!$H:$H,$B1200,실시간콜입력!$O:$O,"방문완료")</f>
        <v>0</v>
      </c>
      <c r="G1200" s="29">
        <f>COUNTIFS(실시간콜입력!$B:$B,$A1200,실시간콜입력!$E:$E,"B",실시간콜입력!$G:$G,$B1200,실시간콜입력!$O:$O,"방문완료")+COUNTIFS(실시간콜입력!$B:$B,$A1200,실시간콜입력!$E:$E,"B",실시간콜입력!$H:$H,$B1200,실시간콜입력!$O:$O,"방문완료")</f>
        <v>0</v>
      </c>
      <c r="H1200" s="29">
        <f>COUNTIFS(실시간콜입력!$B:$B,$A1200,실시간콜입력!$E:$E,"C",실시간콜입력!$G:$G,$B1200,실시간콜입력!$O:$O,"방문완료")+COUNTIFS(실시간콜입력!$B:$B,$A1200,실시간콜입력!$E:$E,"C",실시간콜입력!$H:$H,$B1200,실시간콜입력!$O:$O,"방문완료")</f>
        <v>0</v>
      </c>
      <c r="I1200" s="29">
        <f>COUNTIFS(실시간콜입력!$B:$B,$A1200,실시간콜입력!$E:$E,"D",실시간콜입력!$G:$G,$B1200,실시간콜입력!$O:$O,"방문완료")+COUNTIFS(실시간콜입력!$B:$B,$A1200,실시간콜입력!$E:$E,"D",실시간콜입력!$H:$H,$B1200,실시간콜입력!$O:$O,"방문완료")</f>
        <v>0</v>
      </c>
      <c r="J1200" s="29">
        <f>COUNTIFS(실시간콜입력!$B:$B,$A1200,실시간콜입력!$E:$E,"E",실시간콜입력!$G:$G,$B1200,실시간콜입력!$O:$O,"방문완료")+COUNTIFS(실시간콜입력!$B:$B,$A1200,실시간콜입력!$E:$E,"E",실시간콜입력!$H:$H,$B1200,실시간콜입력!$O:$O,"방문완료")</f>
        <v>0</v>
      </c>
      <c r="K1200" s="29">
        <f t="shared" si="159"/>
        <v>0</v>
      </c>
      <c r="L1200" s="33">
        <f>SUMIFS(실시간콜입력!$K:$K,실시간콜입력!$B:$B,$A1200,실시간콜입력!$G:$G,$B1200,실시간콜입력!$O:$O,"방문완료")+SUMIFS(실시간콜입력!$L:$L,실시간콜입력!$B:$B,$A1200,실시간콜입력!$H:$H,$B1200,실시간콜입력!$O:$O,"방문완료")</f>
        <v>0</v>
      </c>
      <c r="M1200" s="29" t="str">
        <f t="shared" si="160"/>
        <v/>
      </c>
      <c r="N1200" s="29"/>
    </row>
    <row r="1201" spans="1:14" ht="21.75" customHeight="1" collapsed="1">
      <c r="A1201" s="64">
        <f>IF(24&lt;=DAY(DATE(YEAR(설정_코스수당!$K$2),MONTH(설정_코스수당!$K$2)+1,0)),DATE(YEAR(설정_코스수당!$K$2),MONTH(설정_코스수당!$K$2),24),"")</f>
        <v>46197</v>
      </c>
      <c r="B1201" s="65" t="str">
        <f>IF(A1201="","","출근 "&amp;COUNTIF(C1203:C1252,"&lt;&gt;")&amp;"명")</f>
        <v>출근 0명</v>
      </c>
      <c r="C1201" s="65" t="str">
        <f>IF(A1201="","","만근 "&amp;COUNTIF(M1203:M1252,"인정")&amp;"명")</f>
        <v>만근 0명</v>
      </c>
      <c r="D1201" s="65" t="str">
        <f>IFERROR("평균 "&amp;TEXT(AVERAGEIF(E1203:E1252,"&gt;0",E1203:E1252),"0.0")&amp;"h","평균 -")</f>
        <v>평균 -</v>
      </c>
      <c r="E1201" s="65" t="s">
        <v>163</v>
      </c>
      <c r="F1201" s="65">
        <f t="shared" ref="F1201:L1201" si="161">SUM(F1203:F1252)</f>
        <v>0</v>
      </c>
      <c r="G1201" s="65">
        <f t="shared" si="161"/>
        <v>0</v>
      </c>
      <c r="H1201" s="65">
        <f t="shared" si="161"/>
        <v>0</v>
      </c>
      <c r="I1201" s="65">
        <f t="shared" si="161"/>
        <v>0</v>
      </c>
      <c r="J1201" s="65">
        <f t="shared" si="161"/>
        <v>0</v>
      </c>
      <c r="K1201" s="65">
        <f t="shared" si="161"/>
        <v>0</v>
      </c>
      <c r="L1201" s="66">
        <f t="shared" si="161"/>
        <v>0</v>
      </c>
      <c r="M1201" s="65">
        <f>COUNTIF(M1203:M1252,"인정")</f>
        <v>0</v>
      </c>
      <c r="N1201" s="65" t="s">
        <v>164</v>
      </c>
    </row>
    <row r="1202" spans="1:14" ht="19.5" hidden="1" customHeight="1" outlineLevel="1">
      <c r="A1202" s="20" t="s">
        <v>42</v>
      </c>
      <c r="B1202" s="20" t="s">
        <v>152</v>
      </c>
      <c r="C1202" s="20" t="s">
        <v>153</v>
      </c>
      <c r="D1202" s="20" t="s">
        <v>154</v>
      </c>
      <c r="E1202" s="20" t="s">
        <v>155</v>
      </c>
      <c r="F1202" s="20" t="s">
        <v>156</v>
      </c>
      <c r="G1202" s="20" t="s">
        <v>157</v>
      </c>
      <c r="H1202" s="20" t="s">
        <v>158</v>
      </c>
      <c r="I1202" s="20" t="s">
        <v>159</v>
      </c>
      <c r="J1202" s="20" t="s">
        <v>160</v>
      </c>
      <c r="K1202" s="20" t="s">
        <v>118</v>
      </c>
      <c r="L1202" s="20" t="s">
        <v>161</v>
      </c>
      <c r="M1202" s="20" t="s">
        <v>162</v>
      </c>
      <c r="N1202" s="20" t="s">
        <v>95</v>
      </c>
    </row>
    <row r="1203" spans="1:14" ht="19.5" hidden="1" customHeight="1" outlineLevel="1">
      <c r="A1203" s="24">
        <f>IF(24&lt;=DAY(DATE(YEAR(설정_코스수당!$K$2),MONTH(설정_코스수당!$K$2)+1,0)),DATE(YEAR(설정_코스수당!$K$2),MONTH(설정_코스수당!$K$2),24),"")</f>
        <v>46197</v>
      </c>
      <c r="B1203" s="23" t="s">
        <v>47</v>
      </c>
      <c r="C1203" s="23"/>
      <c r="D1203" s="23"/>
      <c r="E1203" s="23" t="str">
        <f t="shared" ref="E1203:E1234" si="162">IF(AND(C1203&lt;&gt;"",D1203&lt;&gt;""),IF(D1203&lt;C1203,D1203+1-C1203,D1203-C1203)*24,"")</f>
        <v/>
      </c>
      <c r="F1203" s="23">
        <f>COUNTIFS(실시간콜입력!$B:$B,$A1203,실시간콜입력!$E:$E,"A",실시간콜입력!$G:$G,$B1203,실시간콜입력!$O:$O,"방문완료")+COUNTIFS(실시간콜입력!$B:$B,$A1203,실시간콜입력!$E:$E,"A",실시간콜입력!$H:$H,$B1203,실시간콜입력!$O:$O,"방문완료")</f>
        <v>0</v>
      </c>
      <c r="G1203" s="23">
        <f>COUNTIFS(실시간콜입력!$B:$B,$A1203,실시간콜입력!$E:$E,"B",실시간콜입력!$G:$G,$B1203,실시간콜입력!$O:$O,"방문완료")+COUNTIFS(실시간콜입력!$B:$B,$A1203,실시간콜입력!$E:$E,"B",실시간콜입력!$H:$H,$B1203,실시간콜입력!$O:$O,"방문완료")</f>
        <v>0</v>
      </c>
      <c r="H1203" s="23">
        <f>COUNTIFS(실시간콜입력!$B:$B,$A1203,실시간콜입력!$E:$E,"C",실시간콜입력!$G:$G,$B1203,실시간콜입력!$O:$O,"방문완료")+COUNTIFS(실시간콜입력!$B:$B,$A1203,실시간콜입력!$E:$E,"C",실시간콜입력!$H:$H,$B1203,실시간콜입력!$O:$O,"방문완료")</f>
        <v>0</v>
      </c>
      <c r="I1203" s="23">
        <f>COUNTIFS(실시간콜입력!$B:$B,$A1203,실시간콜입력!$E:$E,"D",실시간콜입력!$G:$G,$B1203,실시간콜입력!$O:$O,"방문완료")+COUNTIFS(실시간콜입력!$B:$B,$A1203,실시간콜입력!$E:$E,"D",실시간콜입력!$H:$H,$B1203,실시간콜입력!$O:$O,"방문완료")</f>
        <v>0</v>
      </c>
      <c r="J1203" s="23">
        <f>COUNTIFS(실시간콜입력!$B:$B,$A1203,실시간콜입력!$E:$E,"E",실시간콜입력!$G:$G,$B1203,실시간콜입력!$O:$O,"방문완료")+COUNTIFS(실시간콜입력!$B:$B,$A1203,실시간콜입력!$E:$E,"E",실시간콜입력!$H:$H,$B1203,실시간콜입력!$O:$O,"방문완료")</f>
        <v>0</v>
      </c>
      <c r="K1203" s="23">
        <f t="shared" ref="K1203:K1234" si="163">SUM(F1203:J1203)</f>
        <v>0</v>
      </c>
      <c r="L1203" s="27">
        <f>SUMIFS(실시간콜입력!$K:$K,실시간콜입력!$B:$B,$A1203,실시간콜입력!$G:$G,$B1203,실시간콜입력!$O:$O,"방문완료")+SUMIFS(실시간콜입력!$L:$L,실시간콜입력!$B:$B,$A1203,실시간콜입력!$H:$H,$B1203,실시간콜입력!$O:$O,"방문완료")</f>
        <v>0</v>
      </c>
      <c r="M1203" s="23" t="str">
        <f t="shared" ref="M1203:M1234" si="164">IF(AND(ISNUMBER(E1203),E1203&gt;=8),"인정","")</f>
        <v/>
      </c>
      <c r="N1203" s="23"/>
    </row>
    <row r="1204" spans="1:14" ht="19.5" hidden="1" customHeight="1" outlineLevel="1">
      <c r="A1204" s="30">
        <f>IF(24&lt;=DAY(DATE(YEAR(설정_코스수당!$K$2),MONTH(설정_코스수당!$K$2)+1,0)),DATE(YEAR(설정_코스수당!$K$2),MONTH(설정_코스수당!$K$2),24),"")</f>
        <v>46197</v>
      </c>
      <c r="B1204" s="29" t="s">
        <v>48</v>
      </c>
      <c r="C1204" s="29"/>
      <c r="D1204" s="29"/>
      <c r="E1204" s="29" t="str">
        <f t="shared" si="162"/>
        <v/>
      </c>
      <c r="F1204" s="29">
        <f>COUNTIFS(실시간콜입력!$B:$B,$A1204,실시간콜입력!$E:$E,"A",실시간콜입력!$G:$G,$B1204,실시간콜입력!$O:$O,"방문완료")+COUNTIFS(실시간콜입력!$B:$B,$A1204,실시간콜입력!$E:$E,"A",실시간콜입력!$H:$H,$B1204,실시간콜입력!$O:$O,"방문완료")</f>
        <v>0</v>
      </c>
      <c r="G1204" s="29">
        <f>COUNTIFS(실시간콜입력!$B:$B,$A1204,실시간콜입력!$E:$E,"B",실시간콜입력!$G:$G,$B1204,실시간콜입력!$O:$O,"방문완료")+COUNTIFS(실시간콜입력!$B:$B,$A1204,실시간콜입력!$E:$E,"B",실시간콜입력!$H:$H,$B1204,실시간콜입력!$O:$O,"방문완료")</f>
        <v>0</v>
      </c>
      <c r="H1204" s="29">
        <f>COUNTIFS(실시간콜입력!$B:$B,$A1204,실시간콜입력!$E:$E,"C",실시간콜입력!$G:$G,$B1204,실시간콜입력!$O:$O,"방문완료")+COUNTIFS(실시간콜입력!$B:$B,$A1204,실시간콜입력!$E:$E,"C",실시간콜입력!$H:$H,$B1204,실시간콜입력!$O:$O,"방문완료")</f>
        <v>0</v>
      </c>
      <c r="I1204" s="29">
        <f>COUNTIFS(실시간콜입력!$B:$B,$A1204,실시간콜입력!$E:$E,"D",실시간콜입력!$G:$G,$B1204,실시간콜입력!$O:$O,"방문완료")+COUNTIFS(실시간콜입력!$B:$B,$A1204,실시간콜입력!$E:$E,"D",실시간콜입력!$H:$H,$B1204,실시간콜입력!$O:$O,"방문완료")</f>
        <v>0</v>
      </c>
      <c r="J1204" s="29">
        <f>COUNTIFS(실시간콜입력!$B:$B,$A1204,실시간콜입력!$E:$E,"E",실시간콜입력!$G:$G,$B1204,실시간콜입력!$O:$O,"방문완료")+COUNTIFS(실시간콜입력!$B:$B,$A1204,실시간콜입력!$E:$E,"E",실시간콜입력!$H:$H,$B1204,실시간콜입력!$O:$O,"방문완료")</f>
        <v>0</v>
      </c>
      <c r="K1204" s="29">
        <f t="shared" si="163"/>
        <v>0</v>
      </c>
      <c r="L1204" s="33">
        <f>SUMIFS(실시간콜입력!$K:$K,실시간콜입력!$B:$B,$A1204,실시간콜입력!$G:$G,$B1204,실시간콜입력!$O:$O,"방문완료")+SUMIFS(실시간콜입력!$L:$L,실시간콜입력!$B:$B,$A1204,실시간콜입력!$H:$H,$B1204,실시간콜입력!$O:$O,"방문완료")</f>
        <v>0</v>
      </c>
      <c r="M1204" s="29" t="str">
        <f t="shared" si="164"/>
        <v/>
      </c>
      <c r="N1204" s="29"/>
    </row>
    <row r="1205" spans="1:14" ht="19.5" hidden="1" customHeight="1" outlineLevel="1">
      <c r="A1205" s="24">
        <f>IF(24&lt;=DAY(DATE(YEAR(설정_코스수당!$K$2),MONTH(설정_코스수당!$K$2)+1,0)),DATE(YEAR(설정_코스수당!$K$2),MONTH(설정_코스수당!$K$2),24),"")</f>
        <v>46197</v>
      </c>
      <c r="B1205" s="23" t="s">
        <v>165</v>
      </c>
      <c r="C1205" s="29"/>
      <c r="D1205" s="29"/>
      <c r="E1205" s="29" t="str">
        <f t="shared" si="162"/>
        <v/>
      </c>
      <c r="F1205" s="29">
        <f>COUNTIFS(실시간콜입력!$B:$B,$A1205,실시간콜입력!$E:$E,"A",실시간콜입력!$G:$G,$B1205,실시간콜입력!$O:$O,"방문완료")+COUNTIFS(실시간콜입력!$B:$B,$A1205,실시간콜입력!$E:$E,"A",실시간콜입력!$H:$H,$B1205,실시간콜입력!$O:$O,"방문완료")</f>
        <v>0</v>
      </c>
      <c r="G1205" s="29">
        <f>COUNTIFS(실시간콜입력!$B:$B,$A1205,실시간콜입력!$E:$E,"B",실시간콜입력!$G:$G,$B1205,실시간콜입력!$O:$O,"방문완료")+COUNTIFS(실시간콜입력!$B:$B,$A1205,실시간콜입력!$E:$E,"B",실시간콜입력!$H:$H,$B1205,실시간콜입력!$O:$O,"방문완료")</f>
        <v>0</v>
      </c>
      <c r="H1205" s="29">
        <f>COUNTIFS(실시간콜입력!$B:$B,$A1205,실시간콜입력!$E:$E,"C",실시간콜입력!$G:$G,$B1205,실시간콜입력!$O:$O,"방문완료")+COUNTIFS(실시간콜입력!$B:$B,$A1205,실시간콜입력!$E:$E,"C",실시간콜입력!$H:$H,$B1205,실시간콜입력!$O:$O,"방문완료")</f>
        <v>0</v>
      </c>
      <c r="I1205" s="29">
        <f>COUNTIFS(실시간콜입력!$B:$B,$A1205,실시간콜입력!$E:$E,"D",실시간콜입력!$G:$G,$B1205,실시간콜입력!$O:$O,"방문완료")+COUNTIFS(실시간콜입력!$B:$B,$A1205,실시간콜입력!$E:$E,"D",실시간콜입력!$H:$H,$B1205,실시간콜입력!$O:$O,"방문완료")</f>
        <v>0</v>
      </c>
      <c r="J1205" s="29">
        <f>COUNTIFS(실시간콜입력!$B:$B,$A1205,실시간콜입력!$E:$E,"E",실시간콜입력!$G:$G,$B1205,실시간콜입력!$O:$O,"방문완료")+COUNTIFS(실시간콜입력!$B:$B,$A1205,실시간콜입력!$E:$E,"E",실시간콜입력!$H:$H,$B1205,실시간콜입력!$O:$O,"방문완료")</f>
        <v>0</v>
      </c>
      <c r="K1205" s="29">
        <f t="shared" si="163"/>
        <v>0</v>
      </c>
      <c r="L1205" s="27">
        <f>SUMIFS(실시간콜입력!$K:$K,실시간콜입력!$B:$B,$A1205,실시간콜입력!$G:$G,$B1205,실시간콜입력!$O:$O,"방문완료")+SUMIFS(실시간콜입력!$L:$L,실시간콜입력!$B:$B,$A1205,실시간콜입력!$H:$H,$B1205,실시간콜입력!$O:$O,"방문완료")</f>
        <v>0</v>
      </c>
      <c r="M1205" s="29" t="str">
        <f t="shared" si="164"/>
        <v/>
      </c>
      <c r="N1205" s="29"/>
    </row>
    <row r="1206" spans="1:14" ht="19.5" hidden="1" customHeight="1" outlineLevel="1">
      <c r="A1206" s="30">
        <f>IF(24&lt;=DAY(DATE(YEAR(설정_코스수당!$K$2),MONTH(설정_코스수당!$K$2)+1,0)),DATE(YEAR(설정_코스수당!$K$2),MONTH(설정_코스수당!$K$2),24),"")</f>
        <v>46197</v>
      </c>
      <c r="B1206" s="29" t="s">
        <v>166</v>
      </c>
      <c r="C1206" s="29"/>
      <c r="D1206" s="29"/>
      <c r="E1206" s="29" t="str">
        <f t="shared" si="162"/>
        <v/>
      </c>
      <c r="F1206" s="29">
        <f>COUNTIFS(실시간콜입력!$B:$B,$A1206,실시간콜입력!$E:$E,"A",실시간콜입력!$G:$G,$B1206,실시간콜입력!$O:$O,"방문완료")+COUNTIFS(실시간콜입력!$B:$B,$A1206,실시간콜입력!$E:$E,"A",실시간콜입력!$H:$H,$B1206,실시간콜입력!$O:$O,"방문완료")</f>
        <v>0</v>
      </c>
      <c r="G1206" s="29">
        <f>COUNTIFS(실시간콜입력!$B:$B,$A1206,실시간콜입력!$E:$E,"B",실시간콜입력!$G:$G,$B1206,실시간콜입력!$O:$O,"방문완료")+COUNTIFS(실시간콜입력!$B:$B,$A1206,실시간콜입력!$E:$E,"B",실시간콜입력!$H:$H,$B1206,실시간콜입력!$O:$O,"방문완료")</f>
        <v>0</v>
      </c>
      <c r="H1206" s="29">
        <f>COUNTIFS(실시간콜입력!$B:$B,$A1206,실시간콜입력!$E:$E,"C",실시간콜입력!$G:$G,$B1206,실시간콜입력!$O:$O,"방문완료")+COUNTIFS(실시간콜입력!$B:$B,$A1206,실시간콜입력!$E:$E,"C",실시간콜입력!$H:$H,$B1206,실시간콜입력!$O:$O,"방문완료")</f>
        <v>0</v>
      </c>
      <c r="I1206" s="29">
        <f>COUNTIFS(실시간콜입력!$B:$B,$A1206,실시간콜입력!$E:$E,"D",실시간콜입력!$G:$G,$B1206,실시간콜입력!$O:$O,"방문완료")+COUNTIFS(실시간콜입력!$B:$B,$A1206,실시간콜입력!$E:$E,"D",실시간콜입력!$H:$H,$B1206,실시간콜입력!$O:$O,"방문완료")</f>
        <v>0</v>
      </c>
      <c r="J1206" s="29">
        <f>COUNTIFS(실시간콜입력!$B:$B,$A1206,실시간콜입력!$E:$E,"E",실시간콜입력!$G:$G,$B1206,실시간콜입력!$O:$O,"방문완료")+COUNTIFS(실시간콜입력!$B:$B,$A1206,실시간콜입력!$E:$E,"E",실시간콜입력!$H:$H,$B1206,실시간콜입력!$O:$O,"방문완료")</f>
        <v>0</v>
      </c>
      <c r="K1206" s="29">
        <f t="shared" si="163"/>
        <v>0</v>
      </c>
      <c r="L1206" s="33">
        <f>SUMIFS(실시간콜입력!$K:$K,실시간콜입력!$B:$B,$A1206,실시간콜입력!$G:$G,$B1206,실시간콜입력!$O:$O,"방문완료")+SUMIFS(실시간콜입력!$L:$L,실시간콜입력!$B:$B,$A1206,실시간콜입력!$H:$H,$B1206,실시간콜입력!$O:$O,"방문완료")</f>
        <v>0</v>
      </c>
      <c r="M1206" s="29" t="str">
        <f t="shared" si="164"/>
        <v/>
      </c>
      <c r="N1206" s="29"/>
    </row>
    <row r="1207" spans="1:14" ht="19.5" hidden="1" customHeight="1" outlineLevel="1">
      <c r="A1207" s="24">
        <f>IF(24&lt;=DAY(DATE(YEAR(설정_코스수당!$K$2),MONTH(설정_코스수당!$K$2)+1,0)),DATE(YEAR(설정_코스수당!$K$2),MONTH(설정_코스수당!$K$2),24),"")</f>
        <v>46197</v>
      </c>
      <c r="B1207" s="23" t="s">
        <v>167</v>
      </c>
      <c r="C1207" s="29"/>
      <c r="D1207" s="29"/>
      <c r="E1207" s="29" t="str">
        <f t="shared" si="162"/>
        <v/>
      </c>
      <c r="F1207" s="29">
        <f>COUNTIFS(실시간콜입력!$B:$B,$A1207,실시간콜입력!$E:$E,"A",실시간콜입력!$G:$G,$B1207,실시간콜입력!$O:$O,"방문완료")+COUNTIFS(실시간콜입력!$B:$B,$A1207,실시간콜입력!$E:$E,"A",실시간콜입력!$H:$H,$B1207,실시간콜입력!$O:$O,"방문완료")</f>
        <v>0</v>
      </c>
      <c r="G1207" s="29">
        <f>COUNTIFS(실시간콜입력!$B:$B,$A1207,실시간콜입력!$E:$E,"B",실시간콜입력!$G:$G,$B1207,실시간콜입력!$O:$O,"방문완료")+COUNTIFS(실시간콜입력!$B:$B,$A1207,실시간콜입력!$E:$E,"B",실시간콜입력!$H:$H,$B1207,실시간콜입력!$O:$O,"방문완료")</f>
        <v>0</v>
      </c>
      <c r="H1207" s="29">
        <f>COUNTIFS(실시간콜입력!$B:$B,$A1207,실시간콜입력!$E:$E,"C",실시간콜입력!$G:$G,$B1207,실시간콜입력!$O:$O,"방문완료")+COUNTIFS(실시간콜입력!$B:$B,$A1207,실시간콜입력!$E:$E,"C",실시간콜입력!$H:$H,$B1207,실시간콜입력!$O:$O,"방문완료")</f>
        <v>0</v>
      </c>
      <c r="I1207" s="29">
        <f>COUNTIFS(실시간콜입력!$B:$B,$A1207,실시간콜입력!$E:$E,"D",실시간콜입력!$G:$G,$B1207,실시간콜입력!$O:$O,"방문완료")+COUNTIFS(실시간콜입력!$B:$B,$A1207,실시간콜입력!$E:$E,"D",실시간콜입력!$H:$H,$B1207,실시간콜입력!$O:$O,"방문완료")</f>
        <v>0</v>
      </c>
      <c r="J1207" s="29">
        <f>COUNTIFS(실시간콜입력!$B:$B,$A1207,실시간콜입력!$E:$E,"E",실시간콜입력!$G:$G,$B1207,실시간콜입력!$O:$O,"방문완료")+COUNTIFS(실시간콜입력!$B:$B,$A1207,실시간콜입력!$E:$E,"E",실시간콜입력!$H:$H,$B1207,실시간콜입력!$O:$O,"방문완료")</f>
        <v>0</v>
      </c>
      <c r="K1207" s="29">
        <f t="shared" si="163"/>
        <v>0</v>
      </c>
      <c r="L1207" s="27">
        <f>SUMIFS(실시간콜입력!$K:$K,실시간콜입력!$B:$B,$A1207,실시간콜입력!$G:$G,$B1207,실시간콜입력!$O:$O,"방문완료")+SUMIFS(실시간콜입력!$L:$L,실시간콜입력!$B:$B,$A1207,실시간콜입력!$H:$H,$B1207,실시간콜입력!$O:$O,"방문완료")</f>
        <v>0</v>
      </c>
      <c r="M1207" s="29" t="str">
        <f t="shared" si="164"/>
        <v/>
      </c>
      <c r="N1207" s="29"/>
    </row>
    <row r="1208" spans="1:14" ht="19.5" hidden="1" customHeight="1" outlineLevel="1">
      <c r="A1208" s="30">
        <f>IF(24&lt;=DAY(DATE(YEAR(설정_코스수당!$K$2),MONTH(설정_코스수당!$K$2)+1,0)),DATE(YEAR(설정_코스수당!$K$2),MONTH(설정_코스수당!$K$2),24),"")</f>
        <v>46197</v>
      </c>
      <c r="B1208" s="29" t="s">
        <v>168</v>
      </c>
      <c r="C1208" s="29"/>
      <c r="D1208" s="29"/>
      <c r="E1208" s="29" t="str">
        <f t="shared" si="162"/>
        <v/>
      </c>
      <c r="F1208" s="29">
        <f>COUNTIFS(실시간콜입력!$B:$B,$A1208,실시간콜입력!$E:$E,"A",실시간콜입력!$G:$G,$B1208,실시간콜입력!$O:$O,"방문완료")+COUNTIFS(실시간콜입력!$B:$B,$A1208,실시간콜입력!$E:$E,"A",실시간콜입력!$H:$H,$B1208,실시간콜입력!$O:$O,"방문완료")</f>
        <v>0</v>
      </c>
      <c r="G1208" s="29">
        <f>COUNTIFS(실시간콜입력!$B:$B,$A1208,실시간콜입력!$E:$E,"B",실시간콜입력!$G:$G,$B1208,실시간콜입력!$O:$O,"방문완료")+COUNTIFS(실시간콜입력!$B:$B,$A1208,실시간콜입력!$E:$E,"B",실시간콜입력!$H:$H,$B1208,실시간콜입력!$O:$O,"방문완료")</f>
        <v>0</v>
      </c>
      <c r="H1208" s="29">
        <f>COUNTIFS(실시간콜입력!$B:$B,$A1208,실시간콜입력!$E:$E,"C",실시간콜입력!$G:$G,$B1208,실시간콜입력!$O:$O,"방문완료")+COUNTIFS(실시간콜입력!$B:$B,$A1208,실시간콜입력!$E:$E,"C",실시간콜입력!$H:$H,$B1208,실시간콜입력!$O:$O,"방문완료")</f>
        <v>0</v>
      </c>
      <c r="I1208" s="29">
        <f>COUNTIFS(실시간콜입력!$B:$B,$A1208,실시간콜입력!$E:$E,"D",실시간콜입력!$G:$G,$B1208,실시간콜입력!$O:$O,"방문완료")+COUNTIFS(실시간콜입력!$B:$B,$A1208,실시간콜입력!$E:$E,"D",실시간콜입력!$H:$H,$B1208,실시간콜입력!$O:$O,"방문완료")</f>
        <v>0</v>
      </c>
      <c r="J1208" s="29">
        <f>COUNTIFS(실시간콜입력!$B:$B,$A1208,실시간콜입력!$E:$E,"E",실시간콜입력!$G:$G,$B1208,실시간콜입력!$O:$O,"방문완료")+COUNTIFS(실시간콜입력!$B:$B,$A1208,실시간콜입력!$E:$E,"E",실시간콜입력!$H:$H,$B1208,실시간콜입력!$O:$O,"방문완료")</f>
        <v>0</v>
      </c>
      <c r="K1208" s="29">
        <f t="shared" si="163"/>
        <v>0</v>
      </c>
      <c r="L1208" s="33">
        <f>SUMIFS(실시간콜입력!$K:$K,실시간콜입력!$B:$B,$A1208,실시간콜입력!$G:$G,$B1208,실시간콜입력!$O:$O,"방문완료")+SUMIFS(실시간콜입력!$L:$L,실시간콜입력!$B:$B,$A1208,실시간콜입력!$H:$H,$B1208,실시간콜입력!$O:$O,"방문완료")</f>
        <v>0</v>
      </c>
      <c r="M1208" s="29" t="str">
        <f t="shared" si="164"/>
        <v/>
      </c>
      <c r="N1208" s="29"/>
    </row>
    <row r="1209" spans="1:14" ht="19.5" hidden="1" customHeight="1" outlineLevel="1">
      <c r="A1209" s="24">
        <f>IF(24&lt;=DAY(DATE(YEAR(설정_코스수당!$K$2),MONTH(설정_코스수당!$K$2)+1,0)),DATE(YEAR(설정_코스수당!$K$2),MONTH(설정_코스수당!$K$2),24),"")</f>
        <v>46197</v>
      </c>
      <c r="B1209" s="23" t="s">
        <v>169</v>
      </c>
      <c r="C1209" s="29"/>
      <c r="D1209" s="29"/>
      <c r="E1209" s="29" t="str">
        <f t="shared" si="162"/>
        <v/>
      </c>
      <c r="F1209" s="29">
        <f>COUNTIFS(실시간콜입력!$B:$B,$A1209,실시간콜입력!$E:$E,"A",실시간콜입력!$G:$G,$B1209,실시간콜입력!$O:$O,"방문완료")+COUNTIFS(실시간콜입력!$B:$B,$A1209,실시간콜입력!$E:$E,"A",실시간콜입력!$H:$H,$B1209,실시간콜입력!$O:$O,"방문완료")</f>
        <v>0</v>
      </c>
      <c r="G1209" s="29">
        <f>COUNTIFS(실시간콜입력!$B:$B,$A1209,실시간콜입력!$E:$E,"B",실시간콜입력!$G:$G,$B1209,실시간콜입력!$O:$O,"방문완료")+COUNTIFS(실시간콜입력!$B:$B,$A1209,실시간콜입력!$E:$E,"B",실시간콜입력!$H:$H,$B1209,실시간콜입력!$O:$O,"방문완료")</f>
        <v>0</v>
      </c>
      <c r="H1209" s="29">
        <f>COUNTIFS(실시간콜입력!$B:$B,$A1209,실시간콜입력!$E:$E,"C",실시간콜입력!$G:$G,$B1209,실시간콜입력!$O:$O,"방문완료")+COUNTIFS(실시간콜입력!$B:$B,$A1209,실시간콜입력!$E:$E,"C",실시간콜입력!$H:$H,$B1209,실시간콜입력!$O:$O,"방문완료")</f>
        <v>0</v>
      </c>
      <c r="I1209" s="29">
        <f>COUNTIFS(실시간콜입력!$B:$B,$A1209,실시간콜입력!$E:$E,"D",실시간콜입력!$G:$G,$B1209,실시간콜입력!$O:$O,"방문완료")+COUNTIFS(실시간콜입력!$B:$B,$A1209,실시간콜입력!$E:$E,"D",실시간콜입력!$H:$H,$B1209,실시간콜입력!$O:$O,"방문완료")</f>
        <v>0</v>
      </c>
      <c r="J1209" s="29">
        <f>COUNTIFS(실시간콜입력!$B:$B,$A1209,실시간콜입력!$E:$E,"E",실시간콜입력!$G:$G,$B1209,실시간콜입력!$O:$O,"방문완료")+COUNTIFS(실시간콜입력!$B:$B,$A1209,실시간콜입력!$E:$E,"E",실시간콜입력!$H:$H,$B1209,실시간콜입력!$O:$O,"방문완료")</f>
        <v>0</v>
      </c>
      <c r="K1209" s="29">
        <f t="shared" si="163"/>
        <v>0</v>
      </c>
      <c r="L1209" s="27">
        <f>SUMIFS(실시간콜입력!$K:$K,실시간콜입력!$B:$B,$A1209,실시간콜입력!$G:$G,$B1209,실시간콜입력!$O:$O,"방문완료")+SUMIFS(실시간콜입력!$L:$L,실시간콜입력!$B:$B,$A1209,실시간콜입력!$H:$H,$B1209,실시간콜입력!$O:$O,"방문완료")</f>
        <v>0</v>
      </c>
      <c r="M1209" s="29" t="str">
        <f t="shared" si="164"/>
        <v/>
      </c>
      <c r="N1209" s="29"/>
    </row>
    <row r="1210" spans="1:14" ht="19.5" hidden="1" customHeight="1" outlineLevel="1">
      <c r="A1210" s="30">
        <f>IF(24&lt;=DAY(DATE(YEAR(설정_코스수당!$K$2),MONTH(설정_코스수당!$K$2)+1,0)),DATE(YEAR(설정_코스수당!$K$2),MONTH(설정_코스수당!$K$2),24),"")</f>
        <v>46197</v>
      </c>
      <c r="B1210" s="29" t="s">
        <v>170</v>
      </c>
      <c r="C1210" s="29"/>
      <c r="D1210" s="29"/>
      <c r="E1210" s="29" t="str">
        <f t="shared" si="162"/>
        <v/>
      </c>
      <c r="F1210" s="29">
        <f>COUNTIFS(실시간콜입력!$B:$B,$A1210,실시간콜입력!$E:$E,"A",실시간콜입력!$G:$G,$B1210,실시간콜입력!$O:$O,"방문완료")+COUNTIFS(실시간콜입력!$B:$B,$A1210,실시간콜입력!$E:$E,"A",실시간콜입력!$H:$H,$B1210,실시간콜입력!$O:$O,"방문완료")</f>
        <v>0</v>
      </c>
      <c r="G1210" s="29">
        <f>COUNTIFS(실시간콜입력!$B:$B,$A1210,실시간콜입력!$E:$E,"B",실시간콜입력!$G:$G,$B1210,실시간콜입력!$O:$O,"방문완료")+COUNTIFS(실시간콜입력!$B:$B,$A1210,실시간콜입력!$E:$E,"B",실시간콜입력!$H:$H,$B1210,실시간콜입력!$O:$O,"방문완료")</f>
        <v>0</v>
      </c>
      <c r="H1210" s="29">
        <f>COUNTIFS(실시간콜입력!$B:$B,$A1210,실시간콜입력!$E:$E,"C",실시간콜입력!$G:$G,$B1210,실시간콜입력!$O:$O,"방문완료")+COUNTIFS(실시간콜입력!$B:$B,$A1210,실시간콜입력!$E:$E,"C",실시간콜입력!$H:$H,$B1210,실시간콜입력!$O:$O,"방문완료")</f>
        <v>0</v>
      </c>
      <c r="I1210" s="29">
        <f>COUNTIFS(실시간콜입력!$B:$B,$A1210,실시간콜입력!$E:$E,"D",실시간콜입력!$G:$G,$B1210,실시간콜입력!$O:$O,"방문완료")+COUNTIFS(실시간콜입력!$B:$B,$A1210,실시간콜입력!$E:$E,"D",실시간콜입력!$H:$H,$B1210,실시간콜입력!$O:$O,"방문완료")</f>
        <v>0</v>
      </c>
      <c r="J1210" s="29">
        <f>COUNTIFS(실시간콜입력!$B:$B,$A1210,실시간콜입력!$E:$E,"E",실시간콜입력!$G:$G,$B1210,실시간콜입력!$O:$O,"방문완료")+COUNTIFS(실시간콜입력!$B:$B,$A1210,실시간콜입력!$E:$E,"E",실시간콜입력!$H:$H,$B1210,실시간콜입력!$O:$O,"방문완료")</f>
        <v>0</v>
      </c>
      <c r="K1210" s="29">
        <f t="shared" si="163"/>
        <v>0</v>
      </c>
      <c r="L1210" s="33">
        <f>SUMIFS(실시간콜입력!$K:$K,실시간콜입력!$B:$B,$A1210,실시간콜입력!$G:$G,$B1210,실시간콜입력!$O:$O,"방문완료")+SUMIFS(실시간콜입력!$L:$L,실시간콜입력!$B:$B,$A1210,실시간콜입력!$H:$H,$B1210,실시간콜입력!$O:$O,"방문완료")</f>
        <v>0</v>
      </c>
      <c r="M1210" s="29" t="str">
        <f t="shared" si="164"/>
        <v/>
      </c>
      <c r="N1210" s="29"/>
    </row>
    <row r="1211" spans="1:14" ht="19.5" hidden="1" customHeight="1" outlineLevel="1">
      <c r="A1211" s="24">
        <f>IF(24&lt;=DAY(DATE(YEAR(설정_코스수당!$K$2),MONTH(설정_코스수당!$K$2)+1,0)),DATE(YEAR(설정_코스수당!$K$2),MONTH(설정_코스수당!$K$2),24),"")</f>
        <v>46197</v>
      </c>
      <c r="B1211" s="23" t="s">
        <v>171</v>
      </c>
      <c r="C1211" s="29"/>
      <c r="D1211" s="29"/>
      <c r="E1211" s="29" t="str">
        <f t="shared" si="162"/>
        <v/>
      </c>
      <c r="F1211" s="29">
        <f>COUNTIFS(실시간콜입력!$B:$B,$A1211,실시간콜입력!$E:$E,"A",실시간콜입력!$G:$G,$B1211,실시간콜입력!$O:$O,"방문완료")+COUNTIFS(실시간콜입력!$B:$B,$A1211,실시간콜입력!$E:$E,"A",실시간콜입력!$H:$H,$B1211,실시간콜입력!$O:$O,"방문완료")</f>
        <v>0</v>
      </c>
      <c r="G1211" s="29">
        <f>COUNTIFS(실시간콜입력!$B:$B,$A1211,실시간콜입력!$E:$E,"B",실시간콜입력!$G:$G,$B1211,실시간콜입력!$O:$O,"방문완료")+COUNTIFS(실시간콜입력!$B:$B,$A1211,실시간콜입력!$E:$E,"B",실시간콜입력!$H:$H,$B1211,실시간콜입력!$O:$O,"방문완료")</f>
        <v>0</v>
      </c>
      <c r="H1211" s="29">
        <f>COUNTIFS(실시간콜입력!$B:$B,$A1211,실시간콜입력!$E:$E,"C",실시간콜입력!$G:$G,$B1211,실시간콜입력!$O:$O,"방문완료")+COUNTIFS(실시간콜입력!$B:$B,$A1211,실시간콜입력!$E:$E,"C",실시간콜입력!$H:$H,$B1211,실시간콜입력!$O:$O,"방문완료")</f>
        <v>0</v>
      </c>
      <c r="I1211" s="29">
        <f>COUNTIFS(실시간콜입력!$B:$B,$A1211,실시간콜입력!$E:$E,"D",실시간콜입력!$G:$G,$B1211,실시간콜입력!$O:$O,"방문완료")+COUNTIFS(실시간콜입력!$B:$B,$A1211,실시간콜입력!$E:$E,"D",실시간콜입력!$H:$H,$B1211,실시간콜입력!$O:$O,"방문완료")</f>
        <v>0</v>
      </c>
      <c r="J1211" s="29">
        <f>COUNTIFS(실시간콜입력!$B:$B,$A1211,실시간콜입력!$E:$E,"E",실시간콜입력!$G:$G,$B1211,실시간콜입력!$O:$O,"방문완료")+COUNTIFS(실시간콜입력!$B:$B,$A1211,실시간콜입력!$E:$E,"E",실시간콜입력!$H:$H,$B1211,실시간콜입력!$O:$O,"방문완료")</f>
        <v>0</v>
      </c>
      <c r="K1211" s="29">
        <f t="shared" si="163"/>
        <v>0</v>
      </c>
      <c r="L1211" s="27">
        <f>SUMIFS(실시간콜입력!$K:$K,실시간콜입력!$B:$B,$A1211,실시간콜입력!$G:$G,$B1211,실시간콜입력!$O:$O,"방문완료")+SUMIFS(실시간콜입력!$L:$L,실시간콜입력!$B:$B,$A1211,실시간콜입력!$H:$H,$B1211,실시간콜입력!$O:$O,"방문완료")</f>
        <v>0</v>
      </c>
      <c r="M1211" s="29" t="str">
        <f t="shared" si="164"/>
        <v/>
      </c>
      <c r="N1211" s="29"/>
    </row>
    <row r="1212" spans="1:14" ht="19.5" hidden="1" customHeight="1" outlineLevel="1">
      <c r="A1212" s="30">
        <f>IF(24&lt;=DAY(DATE(YEAR(설정_코스수당!$K$2),MONTH(설정_코스수당!$K$2)+1,0)),DATE(YEAR(설정_코스수당!$K$2),MONTH(설정_코스수당!$K$2),24),"")</f>
        <v>46197</v>
      </c>
      <c r="B1212" s="29" t="s">
        <v>172</v>
      </c>
      <c r="C1212" s="29"/>
      <c r="D1212" s="29"/>
      <c r="E1212" s="29" t="str">
        <f t="shared" si="162"/>
        <v/>
      </c>
      <c r="F1212" s="29">
        <f>COUNTIFS(실시간콜입력!$B:$B,$A1212,실시간콜입력!$E:$E,"A",실시간콜입력!$G:$G,$B1212,실시간콜입력!$O:$O,"방문완료")+COUNTIFS(실시간콜입력!$B:$B,$A1212,실시간콜입력!$E:$E,"A",실시간콜입력!$H:$H,$B1212,실시간콜입력!$O:$O,"방문완료")</f>
        <v>0</v>
      </c>
      <c r="G1212" s="29">
        <f>COUNTIFS(실시간콜입력!$B:$B,$A1212,실시간콜입력!$E:$E,"B",실시간콜입력!$G:$G,$B1212,실시간콜입력!$O:$O,"방문완료")+COUNTIFS(실시간콜입력!$B:$B,$A1212,실시간콜입력!$E:$E,"B",실시간콜입력!$H:$H,$B1212,실시간콜입력!$O:$O,"방문완료")</f>
        <v>0</v>
      </c>
      <c r="H1212" s="29">
        <f>COUNTIFS(실시간콜입력!$B:$B,$A1212,실시간콜입력!$E:$E,"C",실시간콜입력!$G:$G,$B1212,실시간콜입력!$O:$O,"방문완료")+COUNTIFS(실시간콜입력!$B:$B,$A1212,실시간콜입력!$E:$E,"C",실시간콜입력!$H:$H,$B1212,실시간콜입력!$O:$O,"방문완료")</f>
        <v>0</v>
      </c>
      <c r="I1212" s="29">
        <f>COUNTIFS(실시간콜입력!$B:$B,$A1212,실시간콜입력!$E:$E,"D",실시간콜입력!$G:$G,$B1212,실시간콜입력!$O:$O,"방문완료")+COUNTIFS(실시간콜입력!$B:$B,$A1212,실시간콜입력!$E:$E,"D",실시간콜입력!$H:$H,$B1212,실시간콜입력!$O:$O,"방문완료")</f>
        <v>0</v>
      </c>
      <c r="J1212" s="29">
        <f>COUNTIFS(실시간콜입력!$B:$B,$A1212,실시간콜입력!$E:$E,"E",실시간콜입력!$G:$G,$B1212,실시간콜입력!$O:$O,"방문완료")+COUNTIFS(실시간콜입력!$B:$B,$A1212,실시간콜입력!$E:$E,"E",실시간콜입력!$H:$H,$B1212,실시간콜입력!$O:$O,"방문완료")</f>
        <v>0</v>
      </c>
      <c r="K1212" s="29">
        <f t="shared" si="163"/>
        <v>0</v>
      </c>
      <c r="L1212" s="33">
        <f>SUMIFS(실시간콜입력!$K:$K,실시간콜입력!$B:$B,$A1212,실시간콜입력!$G:$G,$B1212,실시간콜입력!$O:$O,"방문완료")+SUMIFS(실시간콜입력!$L:$L,실시간콜입력!$B:$B,$A1212,실시간콜입력!$H:$H,$B1212,실시간콜입력!$O:$O,"방문완료")</f>
        <v>0</v>
      </c>
      <c r="M1212" s="29" t="str">
        <f t="shared" si="164"/>
        <v/>
      </c>
      <c r="N1212" s="29"/>
    </row>
    <row r="1213" spans="1:14" ht="19.5" hidden="1" customHeight="1" outlineLevel="1">
      <c r="A1213" s="24">
        <f>IF(24&lt;=DAY(DATE(YEAR(설정_코스수당!$K$2),MONTH(설정_코스수당!$K$2)+1,0)),DATE(YEAR(설정_코스수당!$K$2),MONTH(설정_코스수당!$K$2),24),"")</f>
        <v>46197</v>
      </c>
      <c r="B1213" s="23" t="s">
        <v>173</v>
      </c>
      <c r="C1213" s="29"/>
      <c r="D1213" s="29"/>
      <c r="E1213" s="29" t="str">
        <f t="shared" si="162"/>
        <v/>
      </c>
      <c r="F1213" s="29">
        <f>COUNTIFS(실시간콜입력!$B:$B,$A1213,실시간콜입력!$E:$E,"A",실시간콜입력!$G:$G,$B1213,실시간콜입력!$O:$O,"방문완료")+COUNTIFS(실시간콜입력!$B:$B,$A1213,실시간콜입력!$E:$E,"A",실시간콜입력!$H:$H,$B1213,실시간콜입력!$O:$O,"방문완료")</f>
        <v>0</v>
      </c>
      <c r="G1213" s="29">
        <f>COUNTIFS(실시간콜입력!$B:$B,$A1213,실시간콜입력!$E:$E,"B",실시간콜입력!$G:$G,$B1213,실시간콜입력!$O:$O,"방문완료")+COUNTIFS(실시간콜입력!$B:$B,$A1213,실시간콜입력!$E:$E,"B",실시간콜입력!$H:$H,$B1213,실시간콜입력!$O:$O,"방문완료")</f>
        <v>0</v>
      </c>
      <c r="H1213" s="29">
        <f>COUNTIFS(실시간콜입력!$B:$B,$A1213,실시간콜입력!$E:$E,"C",실시간콜입력!$G:$G,$B1213,실시간콜입력!$O:$O,"방문완료")+COUNTIFS(실시간콜입력!$B:$B,$A1213,실시간콜입력!$E:$E,"C",실시간콜입력!$H:$H,$B1213,실시간콜입력!$O:$O,"방문완료")</f>
        <v>0</v>
      </c>
      <c r="I1213" s="29">
        <f>COUNTIFS(실시간콜입력!$B:$B,$A1213,실시간콜입력!$E:$E,"D",실시간콜입력!$G:$G,$B1213,실시간콜입력!$O:$O,"방문완료")+COUNTIFS(실시간콜입력!$B:$B,$A1213,실시간콜입력!$E:$E,"D",실시간콜입력!$H:$H,$B1213,실시간콜입력!$O:$O,"방문완료")</f>
        <v>0</v>
      </c>
      <c r="J1213" s="29">
        <f>COUNTIFS(실시간콜입력!$B:$B,$A1213,실시간콜입력!$E:$E,"E",실시간콜입력!$G:$G,$B1213,실시간콜입력!$O:$O,"방문완료")+COUNTIFS(실시간콜입력!$B:$B,$A1213,실시간콜입력!$E:$E,"E",실시간콜입력!$H:$H,$B1213,실시간콜입력!$O:$O,"방문완료")</f>
        <v>0</v>
      </c>
      <c r="K1213" s="29">
        <f t="shared" si="163"/>
        <v>0</v>
      </c>
      <c r="L1213" s="27">
        <f>SUMIFS(실시간콜입력!$K:$K,실시간콜입력!$B:$B,$A1213,실시간콜입력!$G:$G,$B1213,실시간콜입력!$O:$O,"방문완료")+SUMIFS(실시간콜입력!$L:$L,실시간콜입력!$B:$B,$A1213,실시간콜입력!$H:$H,$B1213,실시간콜입력!$O:$O,"방문완료")</f>
        <v>0</v>
      </c>
      <c r="M1213" s="29" t="str">
        <f t="shared" si="164"/>
        <v/>
      </c>
      <c r="N1213" s="29"/>
    </row>
    <row r="1214" spans="1:14" ht="19.5" hidden="1" customHeight="1" outlineLevel="1">
      <c r="A1214" s="30">
        <f>IF(24&lt;=DAY(DATE(YEAR(설정_코스수당!$K$2),MONTH(설정_코스수당!$K$2)+1,0)),DATE(YEAR(설정_코스수당!$K$2),MONTH(설정_코스수당!$K$2),24),"")</f>
        <v>46197</v>
      </c>
      <c r="B1214" s="29" t="s">
        <v>174</v>
      </c>
      <c r="C1214" s="29"/>
      <c r="D1214" s="29"/>
      <c r="E1214" s="29" t="str">
        <f t="shared" si="162"/>
        <v/>
      </c>
      <c r="F1214" s="29">
        <f>COUNTIFS(실시간콜입력!$B:$B,$A1214,실시간콜입력!$E:$E,"A",실시간콜입력!$G:$G,$B1214,실시간콜입력!$O:$O,"방문완료")+COUNTIFS(실시간콜입력!$B:$B,$A1214,실시간콜입력!$E:$E,"A",실시간콜입력!$H:$H,$B1214,실시간콜입력!$O:$O,"방문완료")</f>
        <v>0</v>
      </c>
      <c r="G1214" s="29">
        <f>COUNTIFS(실시간콜입력!$B:$B,$A1214,실시간콜입력!$E:$E,"B",실시간콜입력!$G:$G,$B1214,실시간콜입력!$O:$O,"방문완료")+COUNTIFS(실시간콜입력!$B:$B,$A1214,실시간콜입력!$E:$E,"B",실시간콜입력!$H:$H,$B1214,실시간콜입력!$O:$O,"방문완료")</f>
        <v>0</v>
      </c>
      <c r="H1214" s="29">
        <f>COUNTIFS(실시간콜입력!$B:$B,$A1214,실시간콜입력!$E:$E,"C",실시간콜입력!$G:$G,$B1214,실시간콜입력!$O:$O,"방문완료")+COUNTIFS(실시간콜입력!$B:$B,$A1214,실시간콜입력!$E:$E,"C",실시간콜입력!$H:$H,$B1214,실시간콜입력!$O:$O,"방문완료")</f>
        <v>0</v>
      </c>
      <c r="I1214" s="29">
        <f>COUNTIFS(실시간콜입력!$B:$B,$A1214,실시간콜입력!$E:$E,"D",실시간콜입력!$G:$G,$B1214,실시간콜입력!$O:$O,"방문완료")+COUNTIFS(실시간콜입력!$B:$B,$A1214,실시간콜입력!$E:$E,"D",실시간콜입력!$H:$H,$B1214,실시간콜입력!$O:$O,"방문완료")</f>
        <v>0</v>
      </c>
      <c r="J1214" s="29">
        <f>COUNTIFS(실시간콜입력!$B:$B,$A1214,실시간콜입력!$E:$E,"E",실시간콜입력!$G:$G,$B1214,실시간콜입력!$O:$O,"방문완료")+COUNTIFS(실시간콜입력!$B:$B,$A1214,실시간콜입력!$E:$E,"E",실시간콜입력!$H:$H,$B1214,실시간콜입력!$O:$O,"방문완료")</f>
        <v>0</v>
      </c>
      <c r="K1214" s="29">
        <f t="shared" si="163"/>
        <v>0</v>
      </c>
      <c r="L1214" s="33">
        <f>SUMIFS(실시간콜입력!$K:$K,실시간콜입력!$B:$B,$A1214,실시간콜입력!$G:$G,$B1214,실시간콜입력!$O:$O,"방문완료")+SUMIFS(실시간콜입력!$L:$L,실시간콜입력!$B:$B,$A1214,실시간콜입력!$H:$H,$B1214,실시간콜입력!$O:$O,"방문완료")</f>
        <v>0</v>
      </c>
      <c r="M1214" s="29" t="str">
        <f t="shared" si="164"/>
        <v/>
      </c>
      <c r="N1214" s="29"/>
    </row>
    <row r="1215" spans="1:14" ht="19.5" hidden="1" customHeight="1" outlineLevel="1">
      <c r="A1215" s="24">
        <f>IF(24&lt;=DAY(DATE(YEAR(설정_코스수당!$K$2),MONTH(설정_코스수당!$K$2)+1,0)),DATE(YEAR(설정_코스수당!$K$2),MONTH(설정_코스수당!$K$2),24),"")</f>
        <v>46197</v>
      </c>
      <c r="B1215" s="23" t="s">
        <v>175</v>
      </c>
      <c r="C1215" s="29"/>
      <c r="D1215" s="29"/>
      <c r="E1215" s="29" t="str">
        <f t="shared" si="162"/>
        <v/>
      </c>
      <c r="F1215" s="29">
        <f>COUNTIFS(실시간콜입력!$B:$B,$A1215,실시간콜입력!$E:$E,"A",실시간콜입력!$G:$G,$B1215,실시간콜입력!$O:$O,"방문완료")+COUNTIFS(실시간콜입력!$B:$B,$A1215,실시간콜입력!$E:$E,"A",실시간콜입력!$H:$H,$B1215,실시간콜입력!$O:$O,"방문완료")</f>
        <v>0</v>
      </c>
      <c r="G1215" s="29">
        <f>COUNTIFS(실시간콜입력!$B:$B,$A1215,실시간콜입력!$E:$E,"B",실시간콜입력!$G:$G,$B1215,실시간콜입력!$O:$O,"방문완료")+COUNTIFS(실시간콜입력!$B:$B,$A1215,실시간콜입력!$E:$E,"B",실시간콜입력!$H:$H,$B1215,실시간콜입력!$O:$O,"방문완료")</f>
        <v>0</v>
      </c>
      <c r="H1215" s="29">
        <f>COUNTIFS(실시간콜입력!$B:$B,$A1215,실시간콜입력!$E:$E,"C",실시간콜입력!$G:$G,$B1215,실시간콜입력!$O:$O,"방문완료")+COUNTIFS(실시간콜입력!$B:$B,$A1215,실시간콜입력!$E:$E,"C",실시간콜입력!$H:$H,$B1215,실시간콜입력!$O:$O,"방문완료")</f>
        <v>0</v>
      </c>
      <c r="I1215" s="29">
        <f>COUNTIFS(실시간콜입력!$B:$B,$A1215,실시간콜입력!$E:$E,"D",실시간콜입력!$G:$G,$B1215,실시간콜입력!$O:$O,"방문완료")+COUNTIFS(실시간콜입력!$B:$B,$A1215,실시간콜입력!$E:$E,"D",실시간콜입력!$H:$H,$B1215,실시간콜입력!$O:$O,"방문완료")</f>
        <v>0</v>
      </c>
      <c r="J1215" s="29">
        <f>COUNTIFS(실시간콜입력!$B:$B,$A1215,실시간콜입력!$E:$E,"E",실시간콜입력!$G:$G,$B1215,실시간콜입력!$O:$O,"방문완료")+COUNTIFS(실시간콜입력!$B:$B,$A1215,실시간콜입력!$E:$E,"E",실시간콜입력!$H:$H,$B1215,실시간콜입력!$O:$O,"방문완료")</f>
        <v>0</v>
      </c>
      <c r="K1215" s="29">
        <f t="shared" si="163"/>
        <v>0</v>
      </c>
      <c r="L1215" s="27">
        <f>SUMIFS(실시간콜입력!$K:$K,실시간콜입력!$B:$B,$A1215,실시간콜입력!$G:$G,$B1215,실시간콜입력!$O:$O,"방문완료")+SUMIFS(실시간콜입력!$L:$L,실시간콜입력!$B:$B,$A1215,실시간콜입력!$H:$H,$B1215,실시간콜입력!$O:$O,"방문완료")</f>
        <v>0</v>
      </c>
      <c r="M1215" s="29" t="str">
        <f t="shared" si="164"/>
        <v/>
      </c>
      <c r="N1215" s="29"/>
    </row>
    <row r="1216" spans="1:14" ht="19.5" hidden="1" customHeight="1" outlineLevel="1">
      <c r="A1216" s="30">
        <f>IF(24&lt;=DAY(DATE(YEAR(설정_코스수당!$K$2),MONTH(설정_코스수당!$K$2)+1,0)),DATE(YEAR(설정_코스수당!$K$2),MONTH(설정_코스수당!$K$2),24),"")</f>
        <v>46197</v>
      </c>
      <c r="B1216" s="29" t="s">
        <v>176</v>
      </c>
      <c r="C1216" s="29"/>
      <c r="D1216" s="29"/>
      <c r="E1216" s="29" t="str">
        <f t="shared" si="162"/>
        <v/>
      </c>
      <c r="F1216" s="29">
        <f>COUNTIFS(실시간콜입력!$B:$B,$A1216,실시간콜입력!$E:$E,"A",실시간콜입력!$G:$G,$B1216,실시간콜입력!$O:$O,"방문완료")+COUNTIFS(실시간콜입력!$B:$B,$A1216,실시간콜입력!$E:$E,"A",실시간콜입력!$H:$H,$B1216,실시간콜입력!$O:$O,"방문완료")</f>
        <v>0</v>
      </c>
      <c r="G1216" s="29">
        <f>COUNTIFS(실시간콜입력!$B:$B,$A1216,실시간콜입력!$E:$E,"B",실시간콜입력!$G:$G,$B1216,실시간콜입력!$O:$O,"방문완료")+COUNTIFS(실시간콜입력!$B:$B,$A1216,실시간콜입력!$E:$E,"B",실시간콜입력!$H:$H,$B1216,실시간콜입력!$O:$O,"방문완료")</f>
        <v>0</v>
      </c>
      <c r="H1216" s="29">
        <f>COUNTIFS(실시간콜입력!$B:$B,$A1216,실시간콜입력!$E:$E,"C",실시간콜입력!$G:$G,$B1216,실시간콜입력!$O:$O,"방문완료")+COUNTIFS(실시간콜입력!$B:$B,$A1216,실시간콜입력!$E:$E,"C",실시간콜입력!$H:$H,$B1216,실시간콜입력!$O:$O,"방문완료")</f>
        <v>0</v>
      </c>
      <c r="I1216" s="29">
        <f>COUNTIFS(실시간콜입력!$B:$B,$A1216,실시간콜입력!$E:$E,"D",실시간콜입력!$G:$G,$B1216,실시간콜입력!$O:$O,"방문완료")+COUNTIFS(실시간콜입력!$B:$B,$A1216,실시간콜입력!$E:$E,"D",실시간콜입력!$H:$H,$B1216,실시간콜입력!$O:$O,"방문완료")</f>
        <v>0</v>
      </c>
      <c r="J1216" s="29">
        <f>COUNTIFS(실시간콜입력!$B:$B,$A1216,실시간콜입력!$E:$E,"E",실시간콜입력!$G:$G,$B1216,실시간콜입력!$O:$O,"방문완료")+COUNTIFS(실시간콜입력!$B:$B,$A1216,실시간콜입력!$E:$E,"E",실시간콜입력!$H:$H,$B1216,실시간콜입력!$O:$O,"방문완료")</f>
        <v>0</v>
      </c>
      <c r="K1216" s="29">
        <f t="shared" si="163"/>
        <v>0</v>
      </c>
      <c r="L1216" s="33">
        <f>SUMIFS(실시간콜입력!$K:$K,실시간콜입력!$B:$B,$A1216,실시간콜입력!$G:$G,$B1216,실시간콜입력!$O:$O,"방문완료")+SUMIFS(실시간콜입력!$L:$L,실시간콜입력!$B:$B,$A1216,실시간콜입력!$H:$H,$B1216,실시간콜입력!$O:$O,"방문완료")</f>
        <v>0</v>
      </c>
      <c r="M1216" s="29" t="str">
        <f t="shared" si="164"/>
        <v/>
      </c>
      <c r="N1216" s="29"/>
    </row>
    <row r="1217" spans="1:14" ht="19.5" hidden="1" customHeight="1" outlineLevel="1">
      <c r="A1217" s="24">
        <f>IF(24&lt;=DAY(DATE(YEAR(설정_코스수당!$K$2),MONTH(설정_코스수당!$K$2)+1,0)),DATE(YEAR(설정_코스수당!$K$2),MONTH(설정_코스수당!$K$2),24),"")</f>
        <v>46197</v>
      </c>
      <c r="B1217" s="23" t="s">
        <v>177</v>
      </c>
      <c r="C1217" s="29"/>
      <c r="D1217" s="29"/>
      <c r="E1217" s="29" t="str">
        <f t="shared" si="162"/>
        <v/>
      </c>
      <c r="F1217" s="29">
        <f>COUNTIFS(실시간콜입력!$B:$B,$A1217,실시간콜입력!$E:$E,"A",실시간콜입력!$G:$G,$B1217,실시간콜입력!$O:$O,"방문완료")+COUNTIFS(실시간콜입력!$B:$B,$A1217,실시간콜입력!$E:$E,"A",실시간콜입력!$H:$H,$B1217,실시간콜입력!$O:$O,"방문완료")</f>
        <v>0</v>
      </c>
      <c r="G1217" s="29">
        <f>COUNTIFS(실시간콜입력!$B:$B,$A1217,실시간콜입력!$E:$E,"B",실시간콜입력!$G:$G,$B1217,실시간콜입력!$O:$O,"방문완료")+COUNTIFS(실시간콜입력!$B:$B,$A1217,실시간콜입력!$E:$E,"B",실시간콜입력!$H:$H,$B1217,실시간콜입력!$O:$O,"방문완료")</f>
        <v>0</v>
      </c>
      <c r="H1217" s="29">
        <f>COUNTIFS(실시간콜입력!$B:$B,$A1217,실시간콜입력!$E:$E,"C",실시간콜입력!$G:$G,$B1217,실시간콜입력!$O:$O,"방문완료")+COUNTIFS(실시간콜입력!$B:$B,$A1217,실시간콜입력!$E:$E,"C",실시간콜입력!$H:$H,$B1217,실시간콜입력!$O:$O,"방문완료")</f>
        <v>0</v>
      </c>
      <c r="I1217" s="29">
        <f>COUNTIFS(실시간콜입력!$B:$B,$A1217,실시간콜입력!$E:$E,"D",실시간콜입력!$G:$G,$B1217,실시간콜입력!$O:$O,"방문완료")+COUNTIFS(실시간콜입력!$B:$B,$A1217,실시간콜입력!$E:$E,"D",실시간콜입력!$H:$H,$B1217,실시간콜입력!$O:$O,"방문완료")</f>
        <v>0</v>
      </c>
      <c r="J1217" s="29">
        <f>COUNTIFS(실시간콜입력!$B:$B,$A1217,실시간콜입력!$E:$E,"E",실시간콜입력!$G:$G,$B1217,실시간콜입력!$O:$O,"방문완료")+COUNTIFS(실시간콜입력!$B:$B,$A1217,실시간콜입력!$E:$E,"E",실시간콜입력!$H:$H,$B1217,실시간콜입력!$O:$O,"방문완료")</f>
        <v>0</v>
      </c>
      <c r="K1217" s="29">
        <f t="shared" si="163"/>
        <v>0</v>
      </c>
      <c r="L1217" s="27">
        <f>SUMIFS(실시간콜입력!$K:$K,실시간콜입력!$B:$B,$A1217,실시간콜입력!$G:$G,$B1217,실시간콜입력!$O:$O,"방문완료")+SUMIFS(실시간콜입력!$L:$L,실시간콜입력!$B:$B,$A1217,실시간콜입력!$H:$H,$B1217,실시간콜입력!$O:$O,"방문완료")</f>
        <v>0</v>
      </c>
      <c r="M1217" s="29" t="str">
        <f t="shared" si="164"/>
        <v/>
      </c>
      <c r="N1217" s="29"/>
    </row>
    <row r="1218" spans="1:14" ht="19.5" hidden="1" customHeight="1" outlineLevel="1">
      <c r="A1218" s="30">
        <f>IF(24&lt;=DAY(DATE(YEAR(설정_코스수당!$K$2),MONTH(설정_코스수당!$K$2)+1,0)),DATE(YEAR(설정_코스수당!$K$2),MONTH(설정_코스수당!$K$2),24),"")</f>
        <v>46197</v>
      </c>
      <c r="B1218" s="29" t="s">
        <v>178</v>
      </c>
      <c r="C1218" s="29"/>
      <c r="D1218" s="29"/>
      <c r="E1218" s="29" t="str">
        <f t="shared" si="162"/>
        <v/>
      </c>
      <c r="F1218" s="29">
        <f>COUNTIFS(실시간콜입력!$B:$B,$A1218,실시간콜입력!$E:$E,"A",실시간콜입력!$G:$G,$B1218,실시간콜입력!$O:$O,"방문완료")+COUNTIFS(실시간콜입력!$B:$B,$A1218,실시간콜입력!$E:$E,"A",실시간콜입력!$H:$H,$B1218,실시간콜입력!$O:$O,"방문완료")</f>
        <v>0</v>
      </c>
      <c r="G1218" s="29">
        <f>COUNTIFS(실시간콜입력!$B:$B,$A1218,실시간콜입력!$E:$E,"B",실시간콜입력!$G:$G,$B1218,실시간콜입력!$O:$O,"방문완료")+COUNTIFS(실시간콜입력!$B:$B,$A1218,실시간콜입력!$E:$E,"B",실시간콜입력!$H:$H,$B1218,실시간콜입력!$O:$O,"방문완료")</f>
        <v>0</v>
      </c>
      <c r="H1218" s="29">
        <f>COUNTIFS(실시간콜입력!$B:$B,$A1218,실시간콜입력!$E:$E,"C",실시간콜입력!$G:$G,$B1218,실시간콜입력!$O:$O,"방문완료")+COUNTIFS(실시간콜입력!$B:$B,$A1218,실시간콜입력!$E:$E,"C",실시간콜입력!$H:$H,$B1218,실시간콜입력!$O:$O,"방문완료")</f>
        <v>0</v>
      </c>
      <c r="I1218" s="29">
        <f>COUNTIFS(실시간콜입력!$B:$B,$A1218,실시간콜입력!$E:$E,"D",실시간콜입력!$G:$G,$B1218,실시간콜입력!$O:$O,"방문완료")+COUNTIFS(실시간콜입력!$B:$B,$A1218,실시간콜입력!$E:$E,"D",실시간콜입력!$H:$H,$B1218,실시간콜입력!$O:$O,"방문완료")</f>
        <v>0</v>
      </c>
      <c r="J1218" s="29">
        <f>COUNTIFS(실시간콜입력!$B:$B,$A1218,실시간콜입력!$E:$E,"E",실시간콜입력!$G:$G,$B1218,실시간콜입력!$O:$O,"방문완료")+COUNTIFS(실시간콜입력!$B:$B,$A1218,실시간콜입력!$E:$E,"E",실시간콜입력!$H:$H,$B1218,실시간콜입력!$O:$O,"방문완료")</f>
        <v>0</v>
      </c>
      <c r="K1218" s="29">
        <f t="shared" si="163"/>
        <v>0</v>
      </c>
      <c r="L1218" s="33">
        <f>SUMIFS(실시간콜입력!$K:$K,실시간콜입력!$B:$B,$A1218,실시간콜입력!$G:$G,$B1218,실시간콜입력!$O:$O,"방문완료")+SUMIFS(실시간콜입력!$L:$L,실시간콜입력!$B:$B,$A1218,실시간콜입력!$H:$H,$B1218,실시간콜입력!$O:$O,"방문완료")</f>
        <v>0</v>
      </c>
      <c r="M1218" s="29" t="str">
        <f t="shared" si="164"/>
        <v/>
      </c>
      <c r="N1218" s="29"/>
    </row>
    <row r="1219" spans="1:14" ht="19.5" hidden="1" customHeight="1" outlineLevel="1">
      <c r="A1219" s="24">
        <f>IF(24&lt;=DAY(DATE(YEAR(설정_코스수당!$K$2),MONTH(설정_코스수당!$K$2)+1,0)),DATE(YEAR(설정_코스수당!$K$2),MONTH(설정_코스수당!$K$2),24),"")</f>
        <v>46197</v>
      </c>
      <c r="B1219" s="23" t="s">
        <v>179</v>
      </c>
      <c r="C1219" s="29"/>
      <c r="D1219" s="29"/>
      <c r="E1219" s="29" t="str">
        <f t="shared" si="162"/>
        <v/>
      </c>
      <c r="F1219" s="29">
        <f>COUNTIFS(실시간콜입력!$B:$B,$A1219,실시간콜입력!$E:$E,"A",실시간콜입력!$G:$G,$B1219,실시간콜입력!$O:$O,"방문완료")+COUNTIFS(실시간콜입력!$B:$B,$A1219,실시간콜입력!$E:$E,"A",실시간콜입력!$H:$H,$B1219,실시간콜입력!$O:$O,"방문완료")</f>
        <v>0</v>
      </c>
      <c r="G1219" s="29">
        <f>COUNTIFS(실시간콜입력!$B:$B,$A1219,실시간콜입력!$E:$E,"B",실시간콜입력!$G:$G,$B1219,실시간콜입력!$O:$O,"방문완료")+COUNTIFS(실시간콜입력!$B:$B,$A1219,실시간콜입력!$E:$E,"B",실시간콜입력!$H:$H,$B1219,실시간콜입력!$O:$O,"방문완료")</f>
        <v>0</v>
      </c>
      <c r="H1219" s="29">
        <f>COUNTIFS(실시간콜입력!$B:$B,$A1219,실시간콜입력!$E:$E,"C",실시간콜입력!$G:$G,$B1219,실시간콜입력!$O:$O,"방문완료")+COUNTIFS(실시간콜입력!$B:$B,$A1219,실시간콜입력!$E:$E,"C",실시간콜입력!$H:$H,$B1219,실시간콜입력!$O:$O,"방문완료")</f>
        <v>0</v>
      </c>
      <c r="I1219" s="29">
        <f>COUNTIFS(실시간콜입력!$B:$B,$A1219,실시간콜입력!$E:$E,"D",실시간콜입력!$G:$G,$B1219,실시간콜입력!$O:$O,"방문완료")+COUNTIFS(실시간콜입력!$B:$B,$A1219,실시간콜입력!$E:$E,"D",실시간콜입력!$H:$H,$B1219,실시간콜입력!$O:$O,"방문완료")</f>
        <v>0</v>
      </c>
      <c r="J1219" s="29">
        <f>COUNTIFS(실시간콜입력!$B:$B,$A1219,실시간콜입력!$E:$E,"E",실시간콜입력!$G:$G,$B1219,실시간콜입력!$O:$O,"방문완료")+COUNTIFS(실시간콜입력!$B:$B,$A1219,실시간콜입력!$E:$E,"E",실시간콜입력!$H:$H,$B1219,실시간콜입력!$O:$O,"방문완료")</f>
        <v>0</v>
      </c>
      <c r="K1219" s="29">
        <f t="shared" si="163"/>
        <v>0</v>
      </c>
      <c r="L1219" s="27">
        <f>SUMIFS(실시간콜입력!$K:$K,실시간콜입력!$B:$B,$A1219,실시간콜입력!$G:$G,$B1219,실시간콜입력!$O:$O,"방문완료")+SUMIFS(실시간콜입력!$L:$L,실시간콜입력!$B:$B,$A1219,실시간콜입력!$H:$H,$B1219,실시간콜입력!$O:$O,"방문완료")</f>
        <v>0</v>
      </c>
      <c r="M1219" s="29" t="str">
        <f t="shared" si="164"/>
        <v/>
      </c>
      <c r="N1219" s="29"/>
    </row>
    <row r="1220" spans="1:14" ht="19.5" hidden="1" customHeight="1" outlineLevel="1">
      <c r="A1220" s="30">
        <f>IF(24&lt;=DAY(DATE(YEAR(설정_코스수당!$K$2),MONTH(설정_코스수당!$K$2)+1,0)),DATE(YEAR(설정_코스수당!$K$2),MONTH(설정_코스수당!$K$2),24),"")</f>
        <v>46197</v>
      </c>
      <c r="B1220" s="29" t="s">
        <v>180</v>
      </c>
      <c r="C1220" s="29"/>
      <c r="D1220" s="29"/>
      <c r="E1220" s="29" t="str">
        <f t="shared" si="162"/>
        <v/>
      </c>
      <c r="F1220" s="29">
        <f>COUNTIFS(실시간콜입력!$B:$B,$A1220,실시간콜입력!$E:$E,"A",실시간콜입력!$G:$G,$B1220,실시간콜입력!$O:$O,"방문완료")+COUNTIFS(실시간콜입력!$B:$B,$A1220,실시간콜입력!$E:$E,"A",실시간콜입력!$H:$H,$B1220,실시간콜입력!$O:$O,"방문완료")</f>
        <v>0</v>
      </c>
      <c r="G1220" s="29">
        <f>COUNTIFS(실시간콜입력!$B:$B,$A1220,실시간콜입력!$E:$E,"B",실시간콜입력!$G:$G,$B1220,실시간콜입력!$O:$O,"방문완료")+COUNTIFS(실시간콜입력!$B:$B,$A1220,실시간콜입력!$E:$E,"B",실시간콜입력!$H:$H,$B1220,실시간콜입력!$O:$O,"방문완료")</f>
        <v>0</v>
      </c>
      <c r="H1220" s="29">
        <f>COUNTIFS(실시간콜입력!$B:$B,$A1220,실시간콜입력!$E:$E,"C",실시간콜입력!$G:$G,$B1220,실시간콜입력!$O:$O,"방문완료")+COUNTIFS(실시간콜입력!$B:$B,$A1220,실시간콜입력!$E:$E,"C",실시간콜입력!$H:$H,$B1220,실시간콜입력!$O:$O,"방문완료")</f>
        <v>0</v>
      </c>
      <c r="I1220" s="29">
        <f>COUNTIFS(실시간콜입력!$B:$B,$A1220,실시간콜입력!$E:$E,"D",실시간콜입력!$G:$G,$B1220,실시간콜입력!$O:$O,"방문완료")+COUNTIFS(실시간콜입력!$B:$B,$A1220,실시간콜입력!$E:$E,"D",실시간콜입력!$H:$H,$B1220,실시간콜입력!$O:$O,"방문완료")</f>
        <v>0</v>
      </c>
      <c r="J1220" s="29">
        <f>COUNTIFS(실시간콜입력!$B:$B,$A1220,실시간콜입력!$E:$E,"E",실시간콜입력!$G:$G,$B1220,실시간콜입력!$O:$O,"방문완료")+COUNTIFS(실시간콜입력!$B:$B,$A1220,실시간콜입력!$E:$E,"E",실시간콜입력!$H:$H,$B1220,실시간콜입력!$O:$O,"방문완료")</f>
        <v>0</v>
      </c>
      <c r="K1220" s="29">
        <f t="shared" si="163"/>
        <v>0</v>
      </c>
      <c r="L1220" s="33">
        <f>SUMIFS(실시간콜입력!$K:$K,실시간콜입력!$B:$B,$A1220,실시간콜입력!$G:$G,$B1220,실시간콜입력!$O:$O,"방문완료")+SUMIFS(실시간콜입력!$L:$L,실시간콜입력!$B:$B,$A1220,실시간콜입력!$H:$H,$B1220,실시간콜입력!$O:$O,"방문완료")</f>
        <v>0</v>
      </c>
      <c r="M1220" s="29" t="str">
        <f t="shared" si="164"/>
        <v/>
      </c>
      <c r="N1220" s="29"/>
    </row>
    <row r="1221" spans="1:14" ht="19.5" hidden="1" customHeight="1" outlineLevel="1">
      <c r="A1221" s="24">
        <f>IF(24&lt;=DAY(DATE(YEAR(설정_코스수당!$K$2),MONTH(설정_코스수당!$K$2)+1,0)),DATE(YEAR(설정_코스수당!$K$2),MONTH(설정_코스수당!$K$2),24),"")</f>
        <v>46197</v>
      </c>
      <c r="B1221" s="23" t="s">
        <v>181</v>
      </c>
      <c r="C1221" s="29"/>
      <c r="D1221" s="29"/>
      <c r="E1221" s="29" t="str">
        <f t="shared" si="162"/>
        <v/>
      </c>
      <c r="F1221" s="29">
        <f>COUNTIFS(실시간콜입력!$B:$B,$A1221,실시간콜입력!$E:$E,"A",실시간콜입력!$G:$G,$B1221,실시간콜입력!$O:$O,"방문완료")+COUNTIFS(실시간콜입력!$B:$B,$A1221,실시간콜입력!$E:$E,"A",실시간콜입력!$H:$H,$B1221,실시간콜입력!$O:$O,"방문완료")</f>
        <v>0</v>
      </c>
      <c r="G1221" s="29">
        <f>COUNTIFS(실시간콜입력!$B:$B,$A1221,실시간콜입력!$E:$E,"B",실시간콜입력!$G:$G,$B1221,실시간콜입력!$O:$O,"방문완료")+COUNTIFS(실시간콜입력!$B:$B,$A1221,실시간콜입력!$E:$E,"B",실시간콜입력!$H:$H,$B1221,실시간콜입력!$O:$O,"방문완료")</f>
        <v>0</v>
      </c>
      <c r="H1221" s="29">
        <f>COUNTIFS(실시간콜입력!$B:$B,$A1221,실시간콜입력!$E:$E,"C",실시간콜입력!$G:$G,$B1221,실시간콜입력!$O:$O,"방문완료")+COUNTIFS(실시간콜입력!$B:$B,$A1221,실시간콜입력!$E:$E,"C",실시간콜입력!$H:$H,$B1221,실시간콜입력!$O:$O,"방문완료")</f>
        <v>0</v>
      </c>
      <c r="I1221" s="29">
        <f>COUNTIFS(실시간콜입력!$B:$B,$A1221,실시간콜입력!$E:$E,"D",실시간콜입력!$G:$G,$B1221,실시간콜입력!$O:$O,"방문완료")+COUNTIFS(실시간콜입력!$B:$B,$A1221,실시간콜입력!$E:$E,"D",실시간콜입력!$H:$H,$B1221,실시간콜입력!$O:$O,"방문완료")</f>
        <v>0</v>
      </c>
      <c r="J1221" s="29">
        <f>COUNTIFS(실시간콜입력!$B:$B,$A1221,실시간콜입력!$E:$E,"E",실시간콜입력!$G:$G,$B1221,실시간콜입력!$O:$O,"방문완료")+COUNTIFS(실시간콜입력!$B:$B,$A1221,실시간콜입력!$E:$E,"E",실시간콜입력!$H:$H,$B1221,실시간콜입력!$O:$O,"방문완료")</f>
        <v>0</v>
      </c>
      <c r="K1221" s="29">
        <f t="shared" si="163"/>
        <v>0</v>
      </c>
      <c r="L1221" s="27">
        <f>SUMIFS(실시간콜입력!$K:$K,실시간콜입력!$B:$B,$A1221,실시간콜입력!$G:$G,$B1221,실시간콜입력!$O:$O,"방문완료")+SUMIFS(실시간콜입력!$L:$L,실시간콜입력!$B:$B,$A1221,실시간콜입력!$H:$H,$B1221,실시간콜입력!$O:$O,"방문완료")</f>
        <v>0</v>
      </c>
      <c r="M1221" s="29" t="str">
        <f t="shared" si="164"/>
        <v/>
      </c>
      <c r="N1221" s="29"/>
    </row>
    <row r="1222" spans="1:14" ht="19.5" hidden="1" customHeight="1" outlineLevel="1">
      <c r="A1222" s="30">
        <f>IF(24&lt;=DAY(DATE(YEAR(설정_코스수당!$K$2),MONTH(설정_코스수당!$K$2)+1,0)),DATE(YEAR(설정_코스수당!$K$2),MONTH(설정_코스수당!$K$2),24),"")</f>
        <v>46197</v>
      </c>
      <c r="B1222" s="29" t="s">
        <v>182</v>
      </c>
      <c r="C1222" s="29"/>
      <c r="D1222" s="29"/>
      <c r="E1222" s="29" t="str">
        <f t="shared" si="162"/>
        <v/>
      </c>
      <c r="F1222" s="29">
        <f>COUNTIFS(실시간콜입력!$B:$B,$A1222,실시간콜입력!$E:$E,"A",실시간콜입력!$G:$G,$B1222,실시간콜입력!$O:$O,"방문완료")+COUNTIFS(실시간콜입력!$B:$B,$A1222,실시간콜입력!$E:$E,"A",실시간콜입력!$H:$H,$B1222,실시간콜입력!$O:$O,"방문완료")</f>
        <v>0</v>
      </c>
      <c r="G1222" s="29">
        <f>COUNTIFS(실시간콜입력!$B:$B,$A1222,실시간콜입력!$E:$E,"B",실시간콜입력!$G:$G,$B1222,실시간콜입력!$O:$O,"방문완료")+COUNTIFS(실시간콜입력!$B:$B,$A1222,실시간콜입력!$E:$E,"B",실시간콜입력!$H:$H,$B1222,실시간콜입력!$O:$O,"방문완료")</f>
        <v>0</v>
      </c>
      <c r="H1222" s="29">
        <f>COUNTIFS(실시간콜입력!$B:$B,$A1222,실시간콜입력!$E:$E,"C",실시간콜입력!$G:$G,$B1222,실시간콜입력!$O:$O,"방문완료")+COUNTIFS(실시간콜입력!$B:$B,$A1222,실시간콜입력!$E:$E,"C",실시간콜입력!$H:$H,$B1222,실시간콜입력!$O:$O,"방문완료")</f>
        <v>0</v>
      </c>
      <c r="I1222" s="29">
        <f>COUNTIFS(실시간콜입력!$B:$B,$A1222,실시간콜입력!$E:$E,"D",실시간콜입력!$G:$G,$B1222,실시간콜입력!$O:$O,"방문완료")+COUNTIFS(실시간콜입력!$B:$B,$A1222,실시간콜입력!$E:$E,"D",실시간콜입력!$H:$H,$B1222,실시간콜입력!$O:$O,"방문완료")</f>
        <v>0</v>
      </c>
      <c r="J1222" s="29">
        <f>COUNTIFS(실시간콜입력!$B:$B,$A1222,실시간콜입력!$E:$E,"E",실시간콜입력!$G:$G,$B1222,실시간콜입력!$O:$O,"방문완료")+COUNTIFS(실시간콜입력!$B:$B,$A1222,실시간콜입력!$E:$E,"E",실시간콜입력!$H:$H,$B1222,실시간콜입력!$O:$O,"방문완료")</f>
        <v>0</v>
      </c>
      <c r="K1222" s="29">
        <f t="shared" si="163"/>
        <v>0</v>
      </c>
      <c r="L1222" s="33">
        <f>SUMIFS(실시간콜입력!$K:$K,실시간콜입력!$B:$B,$A1222,실시간콜입력!$G:$G,$B1222,실시간콜입력!$O:$O,"방문완료")+SUMIFS(실시간콜입력!$L:$L,실시간콜입력!$B:$B,$A1222,실시간콜입력!$H:$H,$B1222,실시간콜입력!$O:$O,"방문완료")</f>
        <v>0</v>
      </c>
      <c r="M1222" s="29" t="str">
        <f t="shared" si="164"/>
        <v/>
      </c>
      <c r="N1222" s="29"/>
    </row>
    <row r="1223" spans="1:14" ht="19.5" hidden="1" customHeight="1" outlineLevel="1">
      <c r="A1223" s="24">
        <f>IF(24&lt;=DAY(DATE(YEAR(설정_코스수당!$K$2),MONTH(설정_코스수당!$K$2)+1,0)),DATE(YEAR(설정_코스수당!$K$2),MONTH(설정_코스수당!$K$2),24),"")</f>
        <v>46197</v>
      </c>
      <c r="B1223" s="23" t="s">
        <v>183</v>
      </c>
      <c r="C1223" s="29"/>
      <c r="D1223" s="29"/>
      <c r="E1223" s="29" t="str">
        <f t="shared" si="162"/>
        <v/>
      </c>
      <c r="F1223" s="29">
        <f>COUNTIFS(실시간콜입력!$B:$B,$A1223,실시간콜입력!$E:$E,"A",실시간콜입력!$G:$G,$B1223,실시간콜입력!$O:$O,"방문완료")+COUNTIFS(실시간콜입력!$B:$B,$A1223,실시간콜입력!$E:$E,"A",실시간콜입력!$H:$H,$B1223,실시간콜입력!$O:$O,"방문완료")</f>
        <v>0</v>
      </c>
      <c r="G1223" s="29">
        <f>COUNTIFS(실시간콜입력!$B:$B,$A1223,실시간콜입력!$E:$E,"B",실시간콜입력!$G:$G,$B1223,실시간콜입력!$O:$O,"방문완료")+COUNTIFS(실시간콜입력!$B:$B,$A1223,실시간콜입력!$E:$E,"B",실시간콜입력!$H:$H,$B1223,실시간콜입력!$O:$O,"방문완료")</f>
        <v>0</v>
      </c>
      <c r="H1223" s="29">
        <f>COUNTIFS(실시간콜입력!$B:$B,$A1223,실시간콜입력!$E:$E,"C",실시간콜입력!$G:$G,$B1223,실시간콜입력!$O:$O,"방문완료")+COUNTIFS(실시간콜입력!$B:$B,$A1223,실시간콜입력!$E:$E,"C",실시간콜입력!$H:$H,$B1223,실시간콜입력!$O:$O,"방문완료")</f>
        <v>0</v>
      </c>
      <c r="I1223" s="29">
        <f>COUNTIFS(실시간콜입력!$B:$B,$A1223,실시간콜입력!$E:$E,"D",실시간콜입력!$G:$G,$B1223,실시간콜입력!$O:$O,"방문완료")+COUNTIFS(실시간콜입력!$B:$B,$A1223,실시간콜입력!$E:$E,"D",실시간콜입력!$H:$H,$B1223,실시간콜입력!$O:$O,"방문완료")</f>
        <v>0</v>
      </c>
      <c r="J1223" s="29">
        <f>COUNTIFS(실시간콜입력!$B:$B,$A1223,실시간콜입력!$E:$E,"E",실시간콜입력!$G:$G,$B1223,실시간콜입력!$O:$O,"방문완료")+COUNTIFS(실시간콜입력!$B:$B,$A1223,실시간콜입력!$E:$E,"E",실시간콜입력!$H:$H,$B1223,실시간콜입력!$O:$O,"방문완료")</f>
        <v>0</v>
      </c>
      <c r="K1223" s="29">
        <f t="shared" si="163"/>
        <v>0</v>
      </c>
      <c r="L1223" s="27">
        <f>SUMIFS(실시간콜입력!$K:$K,실시간콜입력!$B:$B,$A1223,실시간콜입력!$G:$G,$B1223,실시간콜입력!$O:$O,"방문완료")+SUMIFS(실시간콜입력!$L:$L,실시간콜입력!$B:$B,$A1223,실시간콜입력!$H:$H,$B1223,실시간콜입력!$O:$O,"방문완료")</f>
        <v>0</v>
      </c>
      <c r="M1223" s="29" t="str">
        <f t="shared" si="164"/>
        <v/>
      </c>
      <c r="N1223" s="29"/>
    </row>
    <row r="1224" spans="1:14" ht="19.5" hidden="1" customHeight="1" outlineLevel="1">
      <c r="A1224" s="30">
        <f>IF(24&lt;=DAY(DATE(YEAR(설정_코스수당!$K$2),MONTH(설정_코스수당!$K$2)+1,0)),DATE(YEAR(설정_코스수당!$K$2),MONTH(설정_코스수당!$K$2),24),"")</f>
        <v>46197</v>
      </c>
      <c r="B1224" s="29" t="s">
        <v>184</v>
      </c>
      <c r="C1224" s="29"/>
      <c r="D1224" s="29"/>
      <c r="E1224" s="29" t="str">
        <f t="shared" si="162"/>
        <v/>
      </c>
      <c r="F1224" s="29">
        <f>COUNTIFS(실시간콜입력!$B:$B,$A1224,실시간콜입력!$E:$E,"A",실시간콜입력!$G:$G,$B1224,실시간콜입력!$O:$O,"방문완료")+COUNTIFS(실시간콜입력!$B:$B,$A1224,실시간콜입력!$E:$E,"A",실시간콜입력!$H:$H,$B1224,실시간콜입력!$O:$O,"방문완료")</f>
        <v>0</v>
      </c>
      <c r="G1224" s="29">
        <f>COUNTIFS(실시간콜입력!$B:$B,$A1224,실시간콜입력!$E:$E,"B",실시간콜입력!$G:$G,$B1224,실시간콜입력!$O:$O,"방문완료")+COUNTIFS(실시간콜입력!$B:$B,$A1224,실시간콜입력!$E:$E,"B",실시간콜입력!$H:$H,$B1224,실시간콜입력!$O:$O,"방문완료")</f>
        <v>0</v>
      </c>
      <c r="H1224" s="29">
        <f>COUNTIFS(실시간콜입력!$B:$B,$A1224,실시간콜입력!$E:$E,"C",실시간콜입력!$G:$G,$B1224,실시간콜입력!$O:$O,"방문완료")+COUNTIFS(실시간콜입력!$B:$B,$A1224,실시간콜입력!$E:$E,"C",실시간콜입력!$H:$H,$B1224,실시간콜입력!$O:$O,"방문완료")</f>
        <v>0</v>
      </c>
      <c r="I1224" s="29">
        <f>COUNTIFS(실시간콜입력!$B:$B,$A1224,실시간콜입력!$E:$E,"D",실시간콜입력!$G:$G,$B1224,실시간콜입력!$O:$O,"방문완료")+COUNTIFS(실시간콜입력!$B:$B,$A1224,실시간콜입력!$E:$E,"D",실시간콜입력!$H:$H,$B1224,실시간콜입력!$O:$O,"방문완료")</f>
        <v>0</v>
      </c>
      <c r="J1224" s="29">
        <f>COUNTIFS(실시간콜입력!$B:$B,$A1224,실시간콜입력!$E:$E,"E",실시간콜입력!$G:$G,$B1224,실시간콜입력!$O:$O,"방문완료")+COUNTIFS(실시간콜입력!$B:$B,$A1224,실시간콜입력!$E:$E,"E",실시간콜입력!$H:$H,$B1224,실시간콜입력!$O:$O,"방문완료")</f>
        <v>0</v>
      </c>
      <c r="K1224" s="29">
        <f t="shared" si="163"/>
        <v>0</v>
      </c>
      <c r="L1224" s="33">
        <f>SUMIFS(실시간콜입력!$K:$K,실시간콜입력!$B:$B,$A1224,실시간콜입력!$G:$G,$B1224,실시간콜입력!$O:$O,"방문완료")+SUMIFS(실시간콜입력!$L:$L,실시간콜입력!$B:$B,$A1224,실시간콜입력!$H:$H,$B1224,실시간콜입력!$O:$O,"방문완료")</f>
        <v>0</v>
      </c>
      <c r="M1224" s="29" t="str">
        <f t="shared" si="164"/>
        <v/>
      </c>
      <c r="N1224" s="29"/>
    </row>
    <row r="1225" spans="1:14" ht="19.5" hidden="1" customHeight="1" outlineLevel="1">
      <c r="A1225" s="24">
        <f>IF(24&lt;=DAY(DATE(YEAR(설정_코스수당!$K$2),MONTH(설정_코스수당!$K$2)+1,0)),DATE(YEAR(설정_코스수당!$K$2),MONTH(설정_코스수당!$K$2),24),"")</f>
        <v>46197</v>
      </c>
      <c r="B1225" s="23" t="s">
        <v>185</v>
      </c>
      <c r="C1225" s="29"/>
      <c r="D1225" s="29"/>
      <c r="E1225" s="29" t="str">
        <f t="shared" si="162"/>
        <v/>
      </c>
      <c r="F1225" s="29">
        <f>COUNTIFS(실시간콜입력!$B:$B,$A1225,실시간콜입력!$E:$E,"A",실시간콜입력!$G:$G,$B1225,실시간콜입력!$O:$O,"방문완료")+COUNTIFS(실시간콜입력!$B:$B,$A1225,실시간콜입력!$E:$E,"A",실시간콜입력!$H:$H,$B1225,실시간콜입력!$O:$O,"방문완료")</f>
        <v>0</v>
      </c>
      <c r="G1225" s="29">
        <f>COUNTIFS(실시간콜입력!$B:$B,$A1225,실시간콜입력!$E:$E,"B",실시간콜입력!$G:$G,$B1225,실시간콜입력!$O:$O,"방문완료")+COUNTIFS(실시간콜입력!$B:$B,$A1225,실시간콜입력!$E:$E,"B",실시간콜입력!$H:$H,$B1225,실시간콜입력!$O:$O,"방문완료")</f>
        <v>0</v>
      </c>
      <c r="H1225" s="29">
        <f>COUNTIFS(실시간콜입력!$B:$B,$A1225,실시간콜입력!$E:$E,"C",실시간콜입력!$G:$G,$B1225,실시간콜입력!$O:$O,"방문완료")+COUNTIFS(실시간콜입력!$B:$B,$A1225,실시간콜입력!$E:$E,"C",실시간콜입력!$H:$H,$B1225,실시간콜입력!$O:$O,"방문완료")</f>
        <v>0</v>
      </c>
      <c r="I1225" s="29">
        <f>COUNTIFS(실시간콜입력!$B:$B,$A1225,실시간콜입력!$E:$E,"D",실시간콜입력!$G:$G,$B1225,실시간콜입력!$O:$O,"방문완료")+COUNTIFS(실시간콜입력!$B:$B,$A1225,실시간콜입력!$E:$E,"D",실시간콜입력!$H:$H,$B1225,실시간콜입력!$O:$O,"방문완료")</f>
        <v>0</v>
      </c>
      <c r="J1225" s="29">
        <f>COUNTIFS(실시간콜입력!$B:$B,$A1225,실시간콜입력!$E:$E,"E",실시간콜입력!$G:$G,$B1225,실시간콜입력!$O:$O,"방문완료")+COUNTIFS(실시간콜입력!$B:$B,$A1225,실시간콜입력!$E:$E,"E",실시간콜입력!$H:$H,$B1225,실시간콜입력!$O:$O,"방문완료")</f>
        <v>0</v>
      </c>
      <c r="K1225" s="29">
        <f t="shared" si="163"/>
        <v>0</v>
      </c>
      <c r="L1225" s="27">
        <f>SUMIFS(실시간콜입력!$K:$K,실시간콜입력!$B:$B,$A1225,실시간콜입력!$G:$G,$B1225,실시간콜입력!$O:$O,"방문완료")+SUMIFS(실시간콜입력!$L:$L,실시간콜입력!$B:$B,$A1225,실시간콜입력!$H:$H,$B1225,실시간콜입력!$O:$O,"방문완료")</f>
        <v>0</v>
      </c>
      <c r="M1225" s="29" t="str">
        <f t="shared" si="164"/>
        <v/>
      </c>
      <c r="N1225" s="29"/>
    </row>
    <row r="1226" spans="1:14" ht="19.5" hidden="1" customHeight="1" outlineLevel="1">
      <c r="A1226" s="30">
        <f>IF(24&lt;=DAY(DATE(YEAR(설정_코스수당!$K$2),MONTH(설정_코스수당!$K$2)+1,0)),DATE(YEAR(설정_코스수당!$K$2),MONTH(설정_코스수당!$K$2),24),"")</f>
        <v>46197</v>
      </c>
      <c r="B1226" s="29" t="s">
        <v>186</v>
      </c>
      <c r="C1226" s="29"/>
      <c r="D1226" s="29"/>
      <c r="E1226" s="29" t="str">
        <f t="shared" si="162"/>
        <v/>
      </c>
      <c r="F1226" s="29">
        <f>COUNTIFS(실시간콜입력!$B:$B,$A1226,실시간콜입력!$E:$E,"A",실시간콜입력!$G:$G,$B1226,실시간콜입력!$O:$O,"방문완료")+COUNTIFS(실시간콜입력!$B:$B,$A1226,실시간콜입력!$E:$E,"A",실시간콜입력!$H:$H,$B1226,실시간콜입력!$O:$O,"방문완료")</f>
        <v>0</v>
      </c>
      <c r="G1226" s="29">
        <f>COUNTIFS(실시간콜입력!$B:$B,$A1226,실시간콜입력!$E:$E,"B",실시간콜입력!$G:$G,$B1226,실시간콜입력!$O:$O,"방문완료")+COUNTIFS(실시간콜입력!$B:$B,$A1226,실시간콜입력!$E:$E,"B",실시간콜입력!$H:$H,$B1226,실시간콜입력!$O:$O,"방문완료")</f>
        <v>0</v>
      </c>
      <c r="H1226" s="29">
        <f>COUNTIFS(실시간콜입력!$B:$B,$A1226,실시간콜입력!$E:$E,"C",실시간콜입력!$G:$G,$B1226,실시간콜입력!$O:$O,"방문완료")+COUNTIFS(실시간콜입력!$B:$B,$A1226,실시간콜입력!$E:$E,"C",실시간콜입력!$H:$H,$B1226,실시간콜입력!$O:$O,"방문완료")</f>
        <v>0</v>
      </c>
      <c r="I1226" s="29">
        <f>COUNTIFS(실시간콜입력!$B:$B,$A1226,실시간콜입력!$E:$E,"D",실시간콜입력!$G:$G,$B1226,실시간콜입력!$O:$O,"방문완료")+COUNTIFS(실시간콜입력!$B:$B,$A1226,실시간콜입력!$E:$E,"D",실시간콜입력!$H:$H,$B1226,실시간콜입력!$O:$O,"방문완료")</f>
        <v>0</v>
      </c>
      <c r="J1226" s="29">
        <f>COUNTIFS(실시간콜입력!$B:$B,$A1226,실시간콜입력!$E:$E,"E",실시간콜입력!$G:$G,$B1226,실시간콜입력!$O:$O,"방문완료")+COUNTIFS(실시간콜입력!$B:$B,$A1226,실시간콜입력!$E:$E,"E",실시간콜입력!$H:$H,$B1226,실시간콜입력!$O:$O,"방문완료")</f>
        <v>0</v>
      </c>
      <c r="K1226" s="29">
        <f t="shared" si="163"/>
        <v>0</v>
      </c>
      <c r="L1226" s="33">
        <f>SUMIFS(실시간콜입력!$K:$K,실시간콜입력!$B:$B,$A1226,실시간콜입력!$G:$G,$B1226,실시간콜입력!$O:$O,"방문완료")+SUMIFS(실시간콜입력!$L:$L,실시간콜입력!$B:$B,$A1226,실시간콜입력!$H:$H,$B1226,실시간콜입력!$O:$O,"방문완료")</f>
        <v>0</v>
      </c>
      <c r="M1226" s="29" t="str">
        <f t="shared" si="164"/>
        <v/>
      </c>
      <c r="N1226" s="29"/>
    </row>
    <row r="1227" spans="1:14" ht="19.5" hidden="1" customHeight="1" outlineLevel="1">
      <c r="A1227" s="24">
        <f>IF(24&lt;=DAY(DATE(YEAR(설정_코스수당!$K$2),MONTH(설정_코스수당!$K$2)+1,0)),DATE(YEAR(설정_코스수당!$K$2),MONTH(설정_코스수당!$K$2),24),"")</f>
        <v>46197</v>
      </c>
      <c r="B1227" s="23" t="s">
        <v>187</v>
      </c>
      <c r="C1227" s="29"/>
      <c r="D1227" s="29"/>
      <c r="E1227" s="29" t="str">
        <f t="shared" si="162"/>
        <v/>
      </c>
      <c r="F1227" s="29">
        <f>COUNTIFS(실시간콜입력!$B:$B,$A1227,실시간콜입력!$E:$E,"A",실시간콜입력!$G:$G,$B1227,실시간콜입력!$O:$O,"방문완료")+COUNTIFS(실시간콜입력!$B:$B,$A1227,실시간콜입력!$E:$E,"A",실시간콜입력!$H:$H,$B1227,실시간콜입력!$O:$O,"방문완료")</f>
        <v>0</v>
      </c>
      <c r="G1227" s="29">
        <f>COUNTIFS(실시간콜입력!$B:$B,$A1227,실시간콜입력!$E:$E,"B",실시간콜입력!$G:$G,$B1227,실시간콜입력!$O:$O,"방문완료")+COUNTIFS(실시간콜입력!$B:$B,$A1227,실시간콜입력!$E:$E,"B",실시간콜입력!$H:$H,$B1227,실시간콜입력!$O:$O,"방문완료")</f>
        <v>0</v>
      </c>
      <c r="H1227" s="29">
        <f>COUNTIFS(실시간콜입력!$B:$B,$A1227,실시간콜입력!$E:$E,"C",실시간콜입력!$G:$G,$B1227,실시간콜입력!$O:$O,"방문완료")+COUNTIFS(실시간콜입력!$B:$B,$A1227,실시간콜입력!$E:$E,"C",실시간콜입력!$H:$H,$B1227,실시간콜입력!$O:$O,"방문완료")</f>
        <v>0</v>
      </c>
      <c r="I1227" s="29">
        <f>COUNTIFS(실시간콜입력!$B:$B,$A1227,실시간콜입력!$E:$E,"D",실시간콜입력!$G:$G,$B1227,실시간콜입력!$O:$O,"방문완료")+COUNTIFS(실시간콜입력!$B:$B,$A1227,실시간콜입력!$E:$E,"D",실시간콜입력!$H:$H,$B1227,실시간콜입력!$O:$O,"방문완료")</f>
        <v>0</v>
      </c>
      <c r="J1227" s="29">
        <f>COUNTIFS(실시간콜입력!$B:$B,$A1227,실시간콜입력!$E:$E,"E",실시간콜입력!$G:$G,$B1227,실시간콜입력!$O:$O,"방문완료")+COUNTIFS(실시간콜입력!$B:$B,$A1227,실시간콜입력!$E:$E,"E",실시간콜입력!$H:$H,$B1227,실시간콜입력!$O:$O,"방문완료")</f>
        <v>0</v>
      </c>
      <c r="K1227" s="29">
        <f t="shared" si="163"/>
        <v>0</v>
      </c>
      <c r="L1227" s="27">
        <f>SUMIFS(실시간콜입력!$K:$K,실시간콜입력!$B:$B,$A1227,실시간콜입력!$G:$G,$B1227,실시간콜입력!$O:$O,"방문완료")+SUMIFS(실시간콜입력!$L:$L,실시간콜입력!$B:$B,$A1227,실시간콜입력!$H:$H,$B1227,실시간콜입력!$O:$O,"방문완료")</f>
        <v>0</v>
      </c>
      <c r="M1227" s="29" t="str">
        <f t="shared" si="164"/>
        <v/>
      </c>
      <c r="N1227" s="29"/>
    </row>
    <row r="1228" spans="1:14" ht="19.5" hidden="1" customHeight="1" outlineLevel="1">
      <c r="A1228" s="30">
        <f>IF(24&lt;=DAY(DATE(YEAR(설정_코스수당!$K$2),MONTH(설정_코스수당!$K$2)+1,0)),DATE(YEAR(설정_코스수당!$K$2),MONTH(설정_코스수당!$K$2),24),"")</f>
        <v>46197</v>
      </c>
      <c r="B1228" s="29" t="s">
        <v>188</v>
      </c>
      <c r="C1228" s="29"/>
      <c r="D1228" s="29"/>
      <c r="E1228" s="29" t="str">
        <f t="shared" si="162"/>
        <v/>
      </c>
      <c r="F1228" s="29">
        <f>COUNTIFS(실시간콜입력!$B:$B,$A1228,실시간콜입력!$E:$E,"A",실시간콜입력!$G:$G,$B1228,실시간콜입력!$O:$O,"방문완료")+COUNTIFS(실시간콜입력!$B:$B,$A1228,실시간콜입력!$E:$E,"A",실시간콜입력!$H:$H,$B1228,실시간콜입력!$O:$O,"방문완료")</f>
        <v>0</v>
      </c>
      <c r="G1228" s="29">
        <f>COUNTIFS(실시간콜입력!$B:$B,$A1228,실시간콜입력!$E:$E,"B",실시간콜입력!$G:$G,$B1228,실시간콜입력!$O:$O,"방문완료")+COUNTIFS(실시간콜입력!$B:$B,$A1228,실시간콜입력!$E:$E,"B",실시간콜입력!$H:$H,$B1228,실시간콜입력!$O:$O,"방문완료")</f>
        <v>0</v>
      </c>
      <c r="H1228" s="29">
        <f>COUNTIFS(실시간콜입력!$B:$B,$A1228,실시간콜입력!$E:$E,"C",실시간콜입력!$G:$G,$B1228,실시간콜입력!$O:$O,"방문완료")+COUNTIFS(실시간콜입력!$B:$B,$A1228,실시간콜입력!$E:$E,"C",실시간콜입력!$H:$H,$B1228,실시간콜입력!$O:$O,"방문완료")</f>
        <v>0</v>
      </c>
      <c r="I1228" s="29">
        <f>COUNTIFS(실시간콜입력!$B:$B,$A1228,실시간콜입력!$E:$E,"D",실시간콜입력!$G:$G,$B1228,실시간콜입력!$O:$O,"방문완료")+COUNTIFS(실시간콜입력!$B:$B,$A1228,실시간콜입력!$E:$E,"D",실시간콜입력!$H:$H,$B1228,실시간콜입력!$O:$O,"방문완료")</f>
        <v>0</v>
      </c>
      <c r="J1228" s="29">
        <f>COUNTIFS(실시간콜입력!$B:$B,$A1228,실시간콜입력!$E:$E,"E",실시간콜입력!$G:$G,$B1228,실시간콜입력!$O:$O,"방문완료")+COUNTIFS(실시간콜입력!$B:$B,$A1228,실시간콜입력!$E:$E,"E",실시간콜입력!$H:$H,$B1228,실시간콜입력!$O:$O,"방문완료")</f>
        <v>0</v>
      </c>
      <c r="K1228" s="29">
        <f t="shared" si="163"/>
        <v>0</v>
      </c>
      <c r="L1228" s="33">
        <f>SUMIFS(실시간콜입력!$K:$K,실시간콜입력!$B:$B,$A1228,실시간콜입력!$G:$G,$B1228,실시간콜입력!$O:$O,"방문완료")+SUMIFS(실시간콜입력!$L:$L,실시간콜입력!$B:$B,$A1228,실시간콜입력!$H:$H,$B1228,실시간콜입력!$O:$O,"방문완료")</f>
        <v>0</v>
      </c>
      <c r="M1228" s="29" t="str">
        <f t="shared" si="164"/>
        <v/>
      </c>
      <c r="N1228" s="29"/>
    </row>
    <row r="1229" spans="1:14" ht="19.5" hidden="1" customHeight="1" outlineLevel="1">
      <c r="A1229" s="24">
        <f>IF(24&lt;=DAY(DATE(YEAR(설정_코스수당!$K$2),MONTH(설정_코스수당!$K$2)+1,0)),DATE(YEAR(설정_코스수당!$K$2),MONTH(설정_코스수당!$K$2),24),"")</f>
        <v>46197</v>
      </c>
      <c r="B1229" s="23" t="s">
        <v>189</v>
      </c>
      <c r="C1229" s="29"/>
      <c r="D1229" s="29"/>
      <c r="E1229" s="29" t="str">
        <f t="shared" si="162"/>
        <v/>
      </c>
      <c r="F1229" s="29">
        <f>COUNTIFS(실시간콜입력!$B:$B,$A1229,실시간콜입력!$E:$E,"A",실시간콜입력!$G:$G,$B1229,실시간콜입력!$O:$O,"방문완료")+COUNTIFS(실시간콜입력!$B:$B,$A1229,실시간콜입력!$E:$E,"A",실시간콜입력!$H:$H,$B1229,실시간콜입력!$O:$O,"방문완료")</f>
        <v>0</v>
      </c>
      <c r="G1229" s="29">
        <f>COUNTIFS(실시간콜입력!$B:$B,$A1229,실시간콜입력!$E:$E,"B",실시간콜입력!$G:$G,$B1229,실시간콜입력!$O:$O,"방문완료")+COUNTIFS(실시간콜입력!$B:$B,$A1229,실시간콜입력!$E:$E,"B",실시간콜입력!$H:$H,$B1229,실시간콜입력!$O:$O,"방문완료")</f>
        <v>0</v>
      </c>
      <c r="H1229" s="29">
        <f>COUNTIFS(실시간콜입력!$B:$B,$A1229,실시간콜입력!$E:$E,"C",실시간콜입력!$G:$G,$B1229,실시간콜입력!$O:$O,"방문완료")+COUNTIFS(실시간콜입력!$B:$B,$A1229,실시간콜입력!$E:$E,"C",실시간콜입력!$H:$H,$B1229,실시간콜입력!$O:$O,"방문완료")</f>
        <v>0</v>
      </c>
      <c r="I1229" s="29">
        <f>COUNTIFS(실시간콜입력!$B:$B,$A1229,실시간콜입력!$E:$E,"D",실시간콜입력!$G:$G,$B1229,실시간콜입력!$O:$O,"방문완료")+COUNTIFS(실시간콜입력!$B:$B,$A1229,실시간콜입력!$E:$E,"D",실시간콜입력!$H:$H,$B1229,실시간콜입력!$O:$O,"방문완료")</f>
        <v>0</v>
      </c>
      <c r="J1229" s="29">
        <f>COUNTIFS(실시간콜입력!$B:$B,$A1229,실시간콜입력!$E:$E,"E",실시간콜입력!$G:$G,$B1229,실시간콜입력!$O:$O,"방문완료")+COUNTIFS(실시간콜입력!$B:$B,$A1229,실시간콜입력!$E:$E,"E",실시간콜입력!$H:$H,$B1229,실시간콜입력!$O:$O,"방문완료")</f>
        <v>0</v>
      </c>
      <c r="K1229" s="29">
        <f t="shared" si="163"/>
        <v>0</v>
      </c>
      <c r="L1229" s="27">
        <f>SUMIFS(실시간콜입력!$K:$K,실시간콜입력!$B:$B,$A1229,실시간콜입력!$G:$G,$B1229,실시간콜입력!$O:$O,"방문완료")+SUMIFS(실시간콜입력!$L:$L,실시간콜입력!$B:$B,$A1229,실시간콜입력!$H:$H,$B1229,실시간콜입력!$O:$O,"방문완료")</f>
        <v>0</v>
      </c>
      <c r="M1229" s="29" t="str">
        <f t="shared" si="164"/>
        <v/>
      </c>
      <c r="N1229" s="29"/>
    </row>
    <row r="1230" spans="1:14" ht="19.5" hidden="1" customHeight="1" outlineLevel="1">
      <c r="A1230" s="30">
        <f>IF(24&lt;=DAY(DATE(YEAR(설정_코스수당!$K$2),MONTH(설정_코스수당!$K$2)+1,0)),DATE(YEAR(설정_코스수당!$K$2),MONTH(설정_코스수당!$K$2),24),"")</f>
        <v>46197</v>
      </c>
      <c r="B1230" s="29" t="s">
        <v>190</v>
      </c>
      <c r="C1230" s="29"/>
      <c r="D1230" s="29"/>
      <c r="E1230" s="29" t="str">
        <f t="shared" si="162"/>
        <v/>
      </c>
      <c r="F1230" s="29">
        <f>COUNTIFS(실시간콜입력!$B:$B,$A1230,실시간콜입력!$E:$E,"A",실시간콜입력!$G:$G,$B1230,실시간콜입력!$O:$O,"방문완료")+COUNTIFS(실시간콜입력!$B:$B,$A1230,실시간콜입력!$E:$E,"A",실시간콜입력!$H:$H,$B1230,실시간콜입력!$O:$O,"방문완료")</f>
        <v>0</v>
      </c>
      <c r="G1230" s="29">
        <f>COUNTIFS(실시간콜입력!$B:$B,$A1230,실시간콜입력!$E:$E,"B",실시간콜입력!$G:$G,$B1230,실시간콜입력!$O:$O,"방문완료")+COUNTIFS(실시간콜입력!$B:$B,$A1230,실시간콜입력!$E:$E,"B",실시간콜입력!$H:$H,$B1230,실시간콜입력!$O:$O,"방문완료")</f>
        <v>0</v>
      </c>
      <c r="H1230" s="29">
        <f>COUNTIFS(실시간콜입력!$B:$B,$A1230,실시간콜입력!$E:$E,"C",실시간콜입력!$G:$G,$B1230,실시간콜입력!$O:$O,"방문완료")+COUNTIFS(실시간콜입력!$B:$B,$A1230,실시간콜입력!$E:$E,"C",실시간콜입력!$H:$H,$B1230,실시간콜입력!$O:$O,"방문완료")</f>
        <v>0</v>
      </c>
      <c r="I1230" s="29">
        <f>COUNTIFS(실시간콜입력!$B:$B,$A1230,실시간콜입력!$E:$E,"D",실시간콜입력!$G:$G,$B1230,실시간콜입력!$O:$O,"방문완료")+COUNTIFS(실시간콜입력!$B:$B,$A1230,실시간콜입력!$E:$E,"D",실시간콜입력!$H:$H,$B1230,실시간콜입력!$O:$O,"방문완료")</f>
        <v>0</v>
      </c>
      <c r="J1230" s="29">
        <f>COUNTIFS(실시간콜입력!$B:$B,$A1230,실시간콜입력!$E:$E,"E",실시간콜입력!$G:$G,$B1230,실시간콜입력!$O:$O,"방문완료")+COUNTIFS(실시간콜입력!$B:$B,$A1230,실시간콜입력!$E:$E,"E",실시간콜입력!$H:$H,$B1230,실시간콜입력!$O:$O,"방문완료")</f>
        <v>0</v>
      </c>
      <c r="K1230" s="29">
        <f t="shared" si="163"/>
        <v>0</v>
      </c>
      <c r="L1230" s="33">
        <f>SUMIFS(실시간콜입력!$K:$K,실시간콜입력!$B:$B,$A1230,실시간콜입력!$G:$G,$B1230,실시간콜입력!$O:$O,"방문완료")+SUMIFS(실시간콜입력!$L:$L,실시간콜입력!$B:$B,$A1230,실시간콜입력!$H:$H,$B1230,실시간콜입력!$O:$O,"방문완료")</f>
        <v>0</v>
      </c>
      <c r="M1230" s="29" t="str">
        <f t="shared" si="164"/>
        <v/>
      </c>
      <c r="N1230" s="29"/>
    </row>
    <row r="1231" spans="1:14" ht="19.5" hidden="1" customHeight="1" outlineLevel="1">
      <c r="A1231" s="24">
        <f>IF(24&lt;=DAY(DATE(YEAR(설정_코스수당!$K$2),MONTH(설정_코스수당!$K$2)+1,0)),DATE(YEAR(설정_코스수당!$K$2),MONTH(설정_코스수당!$K$2),24),"")</f>
        <v>46197</v>
      </c>
      <c r="B1231" s="23" t="s">
        <v>191</v>
      </c>
      <c r="C1231" s="29"/>
      <c r="D1231" s="29"/>
      <c r="E1231" s="29" t="str">
        <f t="shared" si="162"/>
        <v/>
      </c>
      <c r="F1231" s="29">
        <f>COUNTIFS(실시간콜입력!$B:$B,$A1231,실시간콜입력!$E:$E,"A",실시간콜입력!$G:$G,$B1231,실시간콜입력!$O:$O,"방문완료")+COUNTIFS(실시간콜입력!$B:$B,$A1231,실시간콜입력!$E:$E,"A",실시간콜입력!$H:$H,$B1231,실시간콜입력!$O:$O,"방문완료")</f>
        <v>0</v>
      </c>
      <c r="G1231" s="29">
        <f>COUNTIFS(실시간콜입력!$B:$B,$A1231,실시간콜입력!$E:$E,"B",실시간콜입력!$G:$G,$B1231,실시간콜입력!$O:$O,"방문완료")+COUNTIFS(실시간콜입력!$B:$B,$A1231,실시간콜입력!$E:$E,"B",실시간콜입력!$H:$H,$B1231,실시간콜입력!$O:$O,"방문완료")</f>
        <v>0</v>
      </c>
      <c r="H1231" s="29">
        <f>COUNTIFS(실시간콜입력!$B:$B,$A1231,실시간콜입력!$E:$E,"C",실시간콜입력!$G:$G,$B1231,실시간콜입력!$O:$O,"방문완료")+COUNTIFS(실시간콜입력!$B:$B,$A1231,실시간콜입력!$E:$E,"C",실시간콜입력!$H:$H,$B1231,실시간콜입력!$O:$O,"방문완료")</f>
        <v>0</v>
      </c>
      <c r="I1231" s="29">
        <f>COUNTIFS(실시간콜입력!$B:$B,$A1231,실시간콜입력!$E:$E,"D",실시간콜입력!$G:$G,$B1231,실시간콜입력!$O:$O,"방문완료")+COUNTIFS(실시간콜입력!$B:$B,$A1231,실시간콜입력!$E:$E,"D",실시간콜입력!$H:$H,$B1231,실시간콜입력!$O:$O,"방문완료")</f>
        <v>0</v>
      </c>
      <c r="J1231" s="29">
        <f>COUNTIFS(실시간콜입력!$B:$B,$A1231,실시간콜입력!$E:$E,"E",실시간콜입력!$G:$G,$B1231,실시간콜입력!$O:$O,"방문완료")+COUNTIFS(실시간콜입력!$B:$B,$A1231,실시간콜입력!$E:$E,"E",실시간콜입력!$H:$H,$B1231,실시간콜입력!$O:$O,"방문완료")</f>
        <v>0</v>
      </c>
      <c r="K1231" s="29">
        <f t="shared" si="163"/>
        <v>0</v>
      </c>
      <c r="L1231" s="27">
        <f>SUMIFS(실시간콜입력!$K:$K,실시간콜입력!$B:$B,$A1231,실시간콜입력!$G:$G,$B1231,실시간콜입력!$O:$O,"방문완료")+SUMIFS(실시간콜입력!$L:$L,실시간콜입력!$B:$B,$A1231,실시간콜입력!$H:$H,$B1231,실시간콜입력!$O:$O,"방문완료")</f>
        <v>0</v>
      </c>
      <c r="M1231" s="29" t="str">
        <f t="shared" si="164"/>
        <v/>
      </c>
      <c r="N1231" s="29"/>
    </row>
    <row r="1232" spans="1:14" ht="19.5" hidden="1" customHeight="1" outlineLevel="1">
      <c r="A1232" s="30">
        <f>IF(24&lt;=DAY(DATE(YEAR(설정_코스수당!$K$2),MONTH(설정_코스수당!$K$2)+1,0)),DATE(YEAR(설정_코스수당!$K$2),MONTH(설정_코스수당!$K$2),24),"")</f>
        <v>46197</v>
      </c>
      <c r="B1232" s="29" t="s">
        <v>192</v>
      </c>
      <c r="C1232" s="29"/>
      <c r="D1232" s="29"/>
      <c r="E1232" s="29" t="str">
        <f t="shared" si="162"/>
        <v/>
      </c>
      <c r="F1232" s="29">
        <f>COUNTIFS(실시간콜입력!$B:$B,$A1232,실시간콜입력!$E:$E,"A",실시간콜입력!$G:$G,$B1232,실시간콜입력!$O:$O,"방문완료")+COUNTIFS(실시간콜입력!$B:$B,$A1232,실시간콜입력!$E:$E,"A",실시간콜입력!$H:$H,$B1232,실시간콜입력!$O:$O,"방문완료")</f>
        <v>0</v>
      </c>
      <c r="G1232" s="29">
        <f>COUNTIFS(실시간콜입력!$B:$B,$A1232,실시간콜입력!$E:$E,"B",실시간콜입력!$G:$G,$B1232,실시간콜입력!$O:$O,"방문완료")+COUNTIFS(실시간콜입력!$B:$B,$A1232,실시간콜입력!$E:$E,"B",실시간콜입력!$H:$H,$B1232,실시간콜입력!$O:$O,"방문완료")</f>
        <v>0</v>
      </c>
      <c r="H1232" s="29">
        <f>COUNTIFS(실시간콜입력!$B:$B,$A1232,실시간콜입력!$E:$E,"C",실시간콜입력!$G:$G,$B1232,실시간콜입력!$O:$O,"방문완료")+COUNTIFS(실시간콜입력!$B:$B,$A1232,실시간콜입력!$E:$E,"C",실시간콜입력!$H:$H,$B1232,실시간콜입력!$O:$O,"방문완료")</f>
        <v>0</v>
      </c>
      <c r="I1232" s="29">
        <f>COUNTIFS(실시간콜입력!$B:$B,$A1232,실시간콜입력!$E:$E,"D",실시간콜입력!$G:$G,$B1232,실시간콜입력!$O:$O,"방문완료")+COUNTIFS(실시간콜입력!$B:$B,$A1232,실시간콜입력!$E:$E,"D",실시간콜입력!$H:$H,$B1232,실시간콜입력!$O:$O,"방문완료")</f>
        <v>0</v>
      </c>
      <c r="J1232" s="29">
        <f>COUNTIFS(실시간콜입력!$B:$B,$A1232,실시간콜입력!$E:$E,"E",실시간콜입력!$G:$G,$B1232,실시간콜입력!$O:$O,"방문완료")+COUNTIFS(실시간콜입력!$B:$B,$A1232,실시간콜입력!$E:$E,"E",실시간콜입력!$H:$H,$B1232,실시간콜입력!$O:$O,"방문완료")</f>
        <v>0</v>
      </c>
      <c r="K1232" s="29">
        <f t="shared" si="163"/>
        <v>0</v>
      </c>
      <c r="L1232" s="33">
        <f>SUMIFS(실시간콜입력!$K:$K,실시간콜입력!$B:$B,$A1232,실시간콜입력!$G:$G,$B1232,실시간콜입력!$O:$O,"방문완료")+SUMIFS(실시간콜입력!$L:$L,실시간콜입력!$B:$B,$A1232,실시간콜입력!$H:$H,$B1232,실시간콜입력!$O:$O,"방문완료")</f>
        <v>0</v>
      </c>
      <c r="M1232" s="29" t="str">
        <f t="shared" si="164"/>
        <v/>
      </c>
      <c r="N1232" s="29"/>
    </row>
    <row r="1233" spans="1:14" ht="19.5" hidden="1" customHeight="1" outlineLevel="1">
      <c r="A1233" s="24">
        <f>IF(24&lt;=DAY(DATE(YEAR(설정_코스수당!$K$2),MONTH(설정_코스수당!$K$2)+1,0)),DATE(YEAR(설정_코스수당!$K$2),MONTH(설정_코스수당!$K$2),24),"")</f>
        <v>46197</v>
      </c>
      <c r="B1233" s="23" t="s">
        <v>193</v>
      </c>
      <c r="C1233" s="29"/>
      <c r="D1233" s="29"/>
      <c r="E1233" s="29" t="str">
        <f t="shared" si="162"/>
        <v/>
      </c>
      <c r="F1233" s="29">
        <f>COUNTIFS(실시간콜입력!$B:$B,$A1233,실시간콜입력!$E:$E,"A",실시간콜입력!$G:$G,$B1233,실시간콜입력!$O:$O,"방문완료")+COUNTIFS(실시간콜입력!$B:$B,$A1233,실시간콜입력!$E:$E,"A",실시간콜입력!$H:$H,$B1233,실시간콜입력!$O:$O,"방문완료")</f>
        <v>0</v>
      </c>
      <c r="G1233" s="29">
        <f>COUNTIFS(실시간콜입력!$B:$B,$A1233,실시간콜입력!$E:$E,"B",실시간콜입력!$G:$G,$B1233,실시간콜입력!$O:$O,"방문완료")+COUNTIFS(실시간콜입력!$B:$B,$A1233,실시간콜입력!$E:$E,"B",실시간콜입력!$H:$H,$B1233,실시간콜입력!$O:$O,"방문완료")</f>
        <v>0</v>
      </c>
      <c r="H1233" s="29">
        <f>COUNTIFS(실시간콜입력!$B:$B,$A1233,실시간콜입력!$E:$E,"C",실시간콜입력!$G:$G,$B1233,실시간콜입력!$O:$O,"방문완료")+COUNTIFS(실시간콜입력!$B:$B,$A1233,실시간콜입력!$E:$E,"C",실시간콜입력!$H:$H,$B1233,실시간콜입력!$O:$O,"방문완료")</f>
        <v>0</v>
      </c>
      <c r="I1233" s="29">
        <f>COUNTIFS(실시간콜입력!$B:$B,$A1233,실시간콜입력!$E:$E,"D",실시간콜입력!$G:$G,$B1233,실시간콜입력!$O:$O,"방문완료")+COUNTIFS(실시간콜입력!$B:$B,$A1233,실시간콜입력!$E:$E,"D",실시간콜입력!$H:$H,$B1233,실시간콜입력!$O:$O,"방문완료")</f>
        <v>0</v>
      </c>
      <c r="J1233" s="29">
        <f>COUNTIFS(실시간콜입력!$B:$B,$A1233,실시간콜입력!$E:$E,"E",실시간콜입력!$G:$G,$B1233,실시간콜입력!$O:$O,"방문완료")+COUNTIFS(실시간콜입력!$B:$B,$A1233,실시간콜입력!$E:$E,"E",실시간콜입력!$H:$H,$B1233,실시간콜입력!$O:$O,"방문완료")</f>
        <v>0</v>
      </c>
      <c r="K1233" s="29">
        <f t="shared" si="163"/>
        <v>0</v>
      </c>
      <c r="L1233" s="27">
        <f>SUMIFS(실시간콜입력!$K:$K,실시간콜입력!$B:$B,$A1233,실시간콜입력!$G:$G,$B1233,실시간콜입력!$O:$O,"방문완료")+SUMIFS(실시간콜입력!$L:$L,실시간콜입력!$B:$B,$A1233,실시간콜입력!$H:$H,$B1233,실시간콜입력!$O:$O,"방문완료")</f>
        <v>0</v>
      </c>
      <c r="M1233" s="29" t="str">
        <f t="shared" si="164"/>
        <v/>
      </c>
      <c r="N1233" s="29"/>
    </row>
    <row r="1234" spans="1:14" ht="19.5" hidden="1" customHeight="1" outlineLevel="1">
      <c r="A1234" s="30">
        <f>IF(24&lt;=DAY(DATE(YEAR(설정_코스수당!$K$2),MONTH(설정_코스수당!$K$2)+1,0)),DATE(YEAR(설정_코스수당!$K$2),MONTH(설정_코스수당!$K$2),24),"")</f>
        <v>46197</v>
      </c>
      <c r="B1234" s="29" t="s">
        <v>194</v>
      </c>
      <c r="C1234" s="29"/>
      <c r="D1234" s="29"/>
      <c r="E1234" s="29" t="str">
        <f t="shared" si="162"/>
        <v/>
      </c>
      <c r="F1234" s="29">
        <f>COUNTIFS(실시간콜입력!$B:$B,$A1234,실시간콜입력!$E:$E,"A",실시간콜입력!$G:$G,$B1234,실시간콜입력!$O:$O,"방문완료")+COUNTIFS(실시간콜입력!$B:$B,$A1234,실시간콜입력!$E:$E,"A",실시간콜입력!$H:$H,$B1234,실시간콜입력!$O:$O,"방문완료")</f>
        <v>0</v>
      </c>
      <c r="G1234" s="29">
        <f>COUNTIFS(실시간콜입력!$B:$B,$A1234,실시간콜입력!$E:$E,"B",실시간콜입력!$G:$G,$B1234,실시간콜입력!$O:$O,"방문완료")+COUNTIFS(실시간콜입력!$B:$B,$A1234,실시간콜입력!$E:$E,"B",실시간콜입력!$H:$H,$B1234,실시간콜입력!$O:$O,"방문완료")</f>
        <v>0</v>
      </c>
      <c r="H1234" s="29">
        <f>COUNTIFS(실시간콜입력!$B:$B,$A1234,실시간콜입력!$E:$E,"C",실시간콜입력!$G:$G,$B1234,실시간콜입력!$O:$O,"방문완료")+COUNTIFS(실시간콜입력!$B:$B,$A1234,실시간콜입력!$E:$E,"C",실시간콜입력!$H:$H,$B1234,실시간콜입력!$O:$O,"방문완료")</f>
        <v>0</v>
      </c>
      <c r="I1234" s="29">
        <f>COUNTIFS(실시간콜입력!$B:$B,$A1234,실시간콜입력!$E:$E,"D",실시간콜입력!$G:$G,$B1234,실시간콜입력!$O:$O,"방문완료")+COUNTIFS(실시간콜입력!$B:$B,$A1234,실시간콜입력!$E:$E,"D",실시간콜입력!$H:$H,$B1234,실시간콜입력!$O:$O,"방문완료")</f>
        <v>0</v>
      </c>
      <c r="J1234" s="29">
        <f>COUNTIFS(실시간콜입력!$B:$B,$A1234,실시간콜입력!$E:$E,"E",실시간콜입력!$G:$G,$B1234,실시간콜입력!$O:$O,"방문완료")+COUNTIFS(실시간콜입력!$B:$B,$A1234,실시간콜입력!$E:$E,"E",실시간콜입력!$H:$H,$B1234,실시간콜입력!$O:$O,"방문완료")</f>
        <v>0</v>
      </c>
      <c r="K1234" s="29">
        <f t="shared" si="163"/>
        <v>0</v>
      </c>
      <c r="L1234" s="33">
        <f>SUMIFS(실시간콜입력!$K:$K,실시간콜입력!$B:$B,$A1234,실시간콜입력!$G:$G,$B1234,실시간콜입력!$O:$O,"방문완료")+SUMIFS(실시간콜입력!$L:$L,실시간콜입력!$B:$B,$A1234,실시간콜입력!$H:$H,$B1234,실시간콜입력!$O:$O,"방문완료")</f>
        <v>0</v>
      </c>
      <c r="M1234" s="29" t="str">
        <f t="shared" si="164"/>
        <v/>
      </c>
      <c r="N1234" s="29"/>
    </row>
    <row r="1235" spans="1:14" ht="19.5" hidden="1" customHeight="1" outlineLevel="1">
      <c r="A1235" s="24">
        <f>IF(24&lt;=DAY(DATE(YEAR(설정_코스수당!$K$2),MONTH(설정_코스수당!$K$2)+1,0)),DATE(YEAR(설정_코스수당!$K$2),MONTH(설정_코스수당!$K$2),24),"")</f>
        <v>46197</v>
      </c>
      <c r="B1235" s="23" t="s">
        <v>195</v>
      </c>
      <c r="C1235" s="29"/>
      <c r="D1235" s="29"/>
      <c r="E1235" s="29" t="str">
        <f t="shared" ref="E1235:E1266" si="165">IF(AND(C1235&lt;&gt;"",D1235&lt;&gt;""),IF(D1235&lt;C1235,D1235+1-C1235,D1235-C1235)*24,"")</f>
        <v/>
      </c>
      <c r="F1235" s="29">
        <f>COUNTIFS(실시간콜입력!$B:$B,$A1235,실시간콜입력!$E:$E,"A",실시간콜입력!$G:$G,$B1235,실시간콜입력!$O:$O,"방문완료")+COUNTIFS(실시간콜입력!$B:$B,$A1235,실시간콜입력!$E:$E,"A",실시간콜입력!$H:$H,$B1235,실시간콜입력!$O:$O,"방문완료")</f>
        <v>0</v>
      </c>
      <c r="G1235" s="29">
        <f>COUNTIFS(실시간콜입력!$B:$B,$A1235,실시간콜입력!$E:$E,"B",실시간콜입력!$G:$G,$B1235,실시간콜입력!$O:$O,"방문완료")+COUNTIFS(실시간콜입력!$B:$B,$A1235,실시간콜입력!$E:$E,"B",실시간콜입력!$H:$H,$B1235,실시간콜입력!$O:$O,"방문완료")</f>
        <v>0</v>
      </c>
      <c r="H1235" s="29">
        <f>COUNTIFS(실시간콜입력!$B:$B,$A1235,실시간콜입력!$E:$E,"C",실시간콜입력!$G:$G,$B1235,실시간콜입력!$O:$O,"방문완료")+COUNTIFS(실시간콜입력!$B:$B,$A1235,실시간콜입력!$E:$E,"C",실시간콜입력!$H:$H,$B1235,실시간콜입력!$O:$O,"방문완료")</f>
        <v>0</v>
      </c>
      <c r="I1235" s="29">
        <f>COUNTIFS(실시간콜입력!$B:$B,$A1235,실시간콜입력!$E:$E,"D",실시간콜입력!$G:$G,$B1235,실시간콜입력!$O:$O,"방문완료")+COUNTIFS(실시간콜입력!$B:$B,$A1235,실시간콜입력!$E:$E,"D",실시간콜입력!$H:$H,$B1235,실시간콜입력!$O:$O,"방문완료")</f>
        <v>0</v>
      </c>
      <c r="J1235" s="29">
        <f>COUNTIFS(실시간콜입력!$B:$B,$A1235,실시간콜입력!$E:$E,"E",실시간콜입력!$G:$G,$B1235,실시간콜입력!$O:$O,"방문완료")+COUNTIFS(실시간콜입력!$B:$B,$A1235,실시간콜입력!$E:$E,"E",실시간콜입력!$H:$H,$B1235,실시간콜입력!$O:$O,"방문완료")</f>
        <v>0</v>
      </c>
      <c r="K1235" s="29">
        <f t="shared" ref="K1235:K1266" si="166">SUM(F1235:J1235)</f>
        <v>0</v>
      </c>
      <c r="L1235" s="27">
        <f>SUMIFS(실시간콜입력!$K:$K,실시간콜입력!$B:$B,$A1235,실시간콜입력!$G:$G,$B1235,실시간콜입력!$O:$O,"방문완료")+SUMIFS(실시간콜입력!$L:$L,실시간콜입력!$B:$B,$A1235,실시간콜입력!$H:$H,$B1235,실시간콜입력!$O:$O,"방문완료")</f>
        <v>0</v>
      </c>
      <c r="M1235" s="29" t="str">
        <f t="shared" ref="M1235:M1252" si="167">IF(AND(ISNUMBER(E1235),E1235&gt;=8),"인정","")</f>
        <v/>
      </c>
      <c r="N1235" s="29"/>
    </row>
    <row r="1236" spans="1:14" ht="19.5" hidden="1" customHeight="1" outlineLevel="1">
      <c r="A1236" s="30">
        <f>IF(24&lt;=DAY(DATE(YEAR(설정_코스수당!$K$2),MONTH(설정_코스수당!$K$2)+1,0)),DATE(YEAR(설정_코스수당!$K$2),MONTH(설정_코스수당!$K$2),24),"")</f>
        <v>46197</v>
      </c>
      <c r="B1236" s="29" t="s">
        <v>196</v>
      </c>
      <c r="C1236" s="29"/>
      <c r="D1236" s="29"/>
      <c r="E1236" s="29" t="str">
        <f t="shared" si="165"/>
        <v/>
      </c>
      <c r="F1236" s="29">
        <f>COUNTIFS(실시간콜입력!$B:$B,$A1236,실시간콜입력!$E:$E,"A",실시간콜입력!$G:$G,$B1236,실시간콜입력!$O:$O,"방문완료")+COUNTIFS(실시간콜입력!$B:$B,$A1236,실시간콜입력!$E:$E,"A",실시간콜입력!$H:$H,$B1236,실시간콜입력!$O:$O,"방문완료")</f>
        <v>0</v>
      </c>
      <c r="G1236" s="29">
        <f>COUNTIFS(실시간콜입력!$B:$B,$A1236,실시간콜입력!$E:$E,"B",실시간콜입력!$G:$G,$B1236,실시간콜입력!$O:$O,"방문완료")+COUNTIFS(실시간콜입력!$B:$B,$A1236,실시간콜입력!$E:$E,"B",실시간콜입력!$H:$H,$B1236,실시간콜입력!$O:$O,"방문완료")</f>
        <v>0</v>
      </c>
      <c r="H1236" s="29">
        <f>COUNTIFS(실시간콜입력!$B:$B,$A1236,실시간콜입력!$E:$E,"C",실시간콜입력!$G:$G,$B1236,실시간콜입력!$O:$O,"방문완료")+COUNTIFS(실시간콜입력!$B:$B,$A1236,실시간콜입력!$E:$E,"C",실시간콜입력!$H:$H,$B1236,실시간콜입력!$O:$O,"방문완료")</f>
        <v>0</v>
      </c>
      <c r="I1236" s="29">
        <f>COUNTIFS(실시간콜입력!$B:$B,$A1236,실시간콜입력!$E:$E,"D",실시간콜입력!$G:$G,$B1236,실시간콜입력!$O:$O,"방문완료")+COUNTIFS(실시간콜입력!$B:$B,$A1236,실시간콜입력!$E:$E,"D",실시간콜입력!$H:$H,$B1236,실시간콜입력!$O:$O,"방문완료")</f>
        <v>0</v>
      </c>
      <c r="J1236" s="29">
        <f>COUNTIFS(실시간콜입력!$B:$B,$A1236,실시간콜입력!$E:$E,"E",실시간콜입력!$G:$G,$B1236,실시간콜입력!$O:$O,"방문완료")+COUNTIFS(실시간콜입력!$B:$B,$A1236,실시간콜입력!$E:$E,"E",실시간콜입력!$H:$H,$B1236,실시간콜입력!$O:$O,"방문완료")</f>
        <v>0</v>
      </c>
      <c r="K1236" s="29">
        <f t="shared" si="166"/>
        <v>0</v>
      </c>
      <c r="L1236" s="33">
        <f>SUMIFS(실시간콜입력!$K:$K,실시간콜입력!$B:$B,$A1236,실시간콜입력!$G:$G,$B1236,실시간콜입력!$O:$O,"방문완료")+SUMIFS(실시간콜입력!$L:$L,실시간콜입력!$B:$B,$A1236,실시간콜입력!$H:$H,$B1236,실시간콜입력!$O:$O,"방문완료")</f>
        <v>0</v>
      </c>
      <c r="M1236" s="29" t="str">
        <f t="shared" si="167"/>
        <v/>
      </c>
      <c r="N1236" s="29"/>
    </row>
    <row r="1237" spans="1:14" ht="19.5" hidden="1" customHeight="1" outlineLevel="1">
      <c r="A1237" s="24">
        <f>IF(24&lt;=DAY(DATE(YEAR(설정_코스수당!$K$2),MONTH(설정_코스수당!$K$2)+1,0)),DATE(YEAR(설정_코스수당!$K$2),MONTH(설정_코스수당!$K$2),24),"")</f>
        <v>46197</v>
      </c>
      <c r="B1237" s="23" t="s">
        <v>197</v>
      </c>
      <c r="C1237" s="29"/>
      <c r="D1237" s="29"/>
      <c r="E1237" s="29" t="str">
        <f t="shared" si="165"/>
        <v/>
      </c>
      <c r="F1237" s="29">
        <f>COUNTIFS(실시간콜입력!$B:$B,$A1237,실시간콜입력!$E:$E,"A",실시간콜입력!$G:$G,$B1237,실시간콜입력!$O:$O,"방문완료")+COUNTIFS(실시간콜입력!$B:$B,$A1237,실시간콜입력!$E:$E,"A",실시간콜입력!$H:$H,$B1237,실시간콜입력!$O:$O,"방문완료")</f>
        <v>0</v>
      </c>
      <c r="G1237" s="29">
        <f>COUNTIFS(실시간콜입력!$B:$B,$A1237,실시간콜입력!$E:$E,"B",실시간콜입력!$G:$G,$B1237,실시간콜입력!$O:$O,"방문완료")+COUNTIFS(실시간콜입력!$B:$B,$A1237,실시간콜입력!$E:$E,"B",실시간콜입력!$H:$H,$B1237,실시간콜입력!$O:$O,"방문완료")</f>
        <v>0</v>
      </c>
      <c r="H1237" s="29">
        <f>COUNTIFS(실시간콜입력!$B:$B,$A1237,실시간콜입력!$E:$E,"C",실시간콜입력!$G:$G,$B1237,실시간콜입력!$O:$O,"방문완료")+COUNTIFS(실시간콜입력!$B:$B,$A1237,실시간콜입력!$E:$E,"C",실시간콜입력!$H:$H,$B1237,실시간콜입력!$O:$O,"방문완료")</f>
        <v>0</v>
      </c>
      <c r="I1237" s="29">
        <f>COUNTIFS(실시간콜입력!$B:$B,$A1237,실시간콜입력!$E:$E,"D",실시간콜입력!$G:$G,$B1237,실시간콜입력!$O:$O,"방문완료")+COUNTIFS(실시간콜입력!$B:$B,$A1237,실시간콜입력!$E:$E,"D",실시간콜입력!$H:$H,$B1237,실시간콜입력!$O:$O,"방문완료")</f>
        <v>0</v>
      </c>
      <c r="J1237" s="29">
        <f>COUNTIFS(실시간콜입력!$B:$B,$A1237,실시간콜입력!$E:$E,"E",실시간콜입력!$G:$G,$B1237,실시간콜입력!$O:$O,"방문완료")+COUNTIFS(실시간콜입력!$B:$B,$A1237,실시간콜입력!$E:$E,"E",실시간콜입력!$H:$H,$B1237,실시간콜입력!$O:$O,"방문완료")</f>
        <v>0</v>
      </c>
      <c r="K1237" s="29">
        <f t="shared" si="166"/>
        <v>0</v>
      </c>
      <c r="L1237" s="27">
        <f>SUMIFS(실시간콜입력!$K:$K,실시간콜입력!$B:$B,$A1237,실시간콜입력!$G:$G,$B1237,실시간콜입력!$O:$O,"방문완료")+SUMIFS(실시간콜입력!$L:$L,실시간콜입력!$B:$B,$A1237,실시간콜입력!$H:$H,$B1237,실시간콜입력!$O:$O,"방문완료")</f>
        <v>0</v>
      </c>
      <c r="M1237" s="29" t="str">
        <f t="shared" si="167"/>
        <v/>
      </c>
      <c r="N1237" s="29"/>
    </row>
    <row r="1238" spans="1:14" ht="19.5" hidden="1" customHeight="1" outlineLevel="1">
      <c r="A1238" s="30">
        <f>IF(24&lt;=DAY(DATE(YEAR(설정_코스수당!$K$2),MONTH(설정_코스수당!$K$2)+1,0)),DATE(YEAR(설정_코스수당!$K$2),MONTH(설정_코스수당!$K$2),24),"")</f>
        <v>46197</v>
      </c>
      <c r="B1238" s="29" t="s">
        <v>198</v>
      </c>
      <c r="C1238" s="29"/>
      <c r="D1238" s="29"/>
      <c r="E1238" s="29" t="str">
        <f t="shared" si="165"/>
        <v/>
      </c>
      <c r="F1238" s="29">
        <f>COUNTIFS(실시간콜입력!$B:$B,$A1238,실시간콜입력!$E:$E,"A",실시간콜입력!$G:$G,$B1238,실시간콜입력!$O:$O,"방문완료")+COUNTIFS(실시간콜입력!$B:$B,$A1238,실시간콜입력!$E:$E,"A",실시간콜입력!$H:$H,$B1238,실시간콜입력!$O:$O,"방문완료")</f>
        <v>0</v>
      </c>
      <c r="G1238" s="29">
        <f>COUNTIFS(실시간콜입력!$B:$B,$A1238,실시간콜입력!$E:$E,"B",실시간콜입력!$G:$G,$B1238,실시간콜입력!$O:$O,"방문완료")+COUNTIFS(실시간콜입력!$B:$B,$A1238,실시간콜입력!$E:$E,"B",실시간콜입력!$H:$H,$B1238,실시간콜입력!$O:$O,"방문완료")</f>
        <v>0</v>
      </c>
      <c r="H1238" s="29">
        <f>COUNTIFS(실시간콜입력!$B:$B,$A1238,실시간콜입력!$E:$E,"C",실시간콜입력!$G:$G,$B1238,실시간콜입력!$O:$O,"방문완료")+COUNTIFS(실시간콜입력!$B:$B,$A1238,실시간콜입력!$E:$E,"C",실시간콜입력!$H:$H,$B1238,실시간콜입력!$O:$O,"방문완료")</f>
        <v>0</v>
      </c>
      <c r="I1238" s="29">
        <f>COUNTIFS(실시간콜입력!$B:$B,$A1238,실시간콜입력!$E:$E,"D",실시간콜입력!$G:$G,$B1238,실시간콜입력!$O:$O,"방문완료")+COUNTIFS(실시간콜입력!$B:$B,$A1238,실시간콜입력!$E:$E,"D",실시간콜입력!$H:$H,$B1238,실시간콜입력!$O:$O,"방문완료")</f>
        <v>0</v>
      </c>
      <c r="J1238" s="29">
        <f>COUNTIFS(실시간콜입력!$B:$B,$A1238,실시간콜입력!$E:$E,"E",실시간콜입력!$G:$G,$B1238,실시간콜입력!$O:$O,"방문완료")+COUNTIFS(실시간콜입력!$B:$B,$A1238,실시간콜입력!$E:$E,"E",실시간콜입력!$H:$H,$B1238,실시간콜입력!$O:$O,"방문완료")</f>
        <v>0</v>
      </c>
      <c r="K1238" s="29">
        <f t="shared" si="166"/>
        <v>0</v>
      </c>
      <c r="L1238" s="33">
        <f>SUMIFS(실시간콜입력!$K:$K,실시간콜입력!$B:$B,$A1238,실시간콜입력!$G:$G,$B1238,실시간콜입력!$O:$O,"방문완료")+SUMIFS(실시간콜입력!$L:$L,실시간콜입력!$B:$B,$A1238,실시간콜입력!$H:$H,$B1238,실시간콜입력!$O:$O,"방문완료")</f>
        <v>0</v>
      </c>
      <c r="M1238" s="29" t="str">
        <f t="shared" si="167"/>
        <v/>
      </c>
      <c r="N1238" s="29"/>
    </row>
    <row r="1239" spans="1:14" ht="19.5" hidden="1" customHeight="1" outlineLevel="1">
      <c r="A1239" s="24">
        <f>IF(24&lt;=DAY(DATE(YEAR(설정_코스수당!$K$2),MONTH(설정_코스수당!$K$2)+1,0)),DATE(YEAR(설정_코스수당!$K$2),MONTH(설정_코스수당!$K$2),24),"")</f>
        <v>46197</v>
      </c>
      <c r="B1239" s="23" t="s">
        <v>199</v>
      </c>
      <c r="C1239" s="29"/>
      <c r="D1239" s="29"/>
      <c r="E1239" s="29" t="str">
        <f t="shared" si="165"/>
        <v/>
      </c>
      <c r="F1239" s="29">
        <f>COUNTIFS(실시간콜입력!$B:$B,$A1239,실시간콜입력!$E:$E,"A",실시간콜입력!$G:$G,$B1239,실시간콜입력!$O:$O,"방문완료")+COUNTIFS(실시간콜입력!$B:$B,$A1239,실시간콜입력!$E:$E,"A",실시간콜입력!$H:$H,$B1239,실시간콜입력!$O:$O,"방문완료")</f>
        <v>0</v>
      </c>
      <c r="G1239" s="29">
        <f>COUNTIFS(실시간콜입력!$B:$B,$A1239,실시간콜입력!$E:$E,"B",실시간콜입력!$G:$G,$B1239,실시간콜입력!$O:$O,"방문완료")+COUNTIFS(실시간콜입력!$B:$B,$A1239,실시간콜입력!$E:$E,"B",실시간콜입력!$H:$H,$B1239,실시간콜입력!$O:$O,"방문완료")</f>
        <v>0</v>
      </c>
      <c r="H1239" s="29">
        <f>COUNTIFS(실시간콜입력!$B:$B,$A1239,실시간콜입력!$E:$E,"C",실시간콜입력!$G:$G,$B1239,실시간콜입력!$O:$O,"방문완료")+COUNTIFS(실시간콜입력!$B:$B,$A1239,실시간콜입력!$E:$E,"C",실시간콜입력!$H:$H,$B1239,실시간콜입력!$O:$O,"방문완료")</f>
        <v>0</v>
      </c>
      <c r="I1239" s="29">
        <f>COUNTIFS(실시간콜입력!$B:$B,$A1239,실시간콜입력!$E:$E,"D",실시간콜입력!$G:$G,$B1239,실시간콜입력!$O:$O,"방문완료")+COUNTIFS(실시간콜입력!$B:$B,$A1239,실시간콜입력!$E:$E,"D",실시간콜입력!$H:$H,$B1239,실시간콜입력!$O:$O,"방문완료")</f>
        <v>0</v>
      </c>
      <c r="J1239" s="29">
        <f>COUNTIFS(실시간콜입력!$B:$B,$A1239,실시간콜입력!$E:$E,"E",실시간콜입력!$G:$G,$B1239,실시간콜입력!$O:$O,"방문완료")+COUNTIFS(실시간콜입력!$B:$B,$A1239,실시간콜입력!$E:$E,"E",실시간콜입력!$H:$H,$B1239,실시간콜입력!$O:$O,"방문완료")</f>
        <v>0</v>
      </c>
      <c r="K1239" s="29">
        <f t="shared" si="166"/>
        <v>0</v>
      </c>
      <c r="L1239" s="27">
        <f>SUMIFS(실시간콜입력!$K:$K,실시간콜입력!$B:$B,$A1239,실시간콜입력!$G:$G,$B1239,실시간콜입력!$O:$O,"방문완료")+SUMIFS(실시간콜입력!$L:$L,실시간콜입력!$B:$B,$A1239,실시간콜입력!$H:$H,$B1239,실시간콜입력!$O:$O,"방문완료")</f>
        <v>0</v>
      </c>
      <c r="M1239" s="29" t="str">
        <f t="shared" si="167"/>
        <v/>
      </c>
      <c r="N1239" s="29"/>
    </row>
    <row r="1240" spans="1:14" ht="19.5" hidden="1" customHeight="1" outlineLevel="1">
      <c r="A1240" s="30">
        <f>IF(24&lt;=DAY(DATE(YEAR(설정_코스수당!$K$2),MONTH(설정_코스수당!$K$2)+1,0)),DATE(YEAR(설정_코스수당!$K$2),MONTH(설정_코스수당!$K$2),24),"")</f>
        <v>46197</v>
      </c>
      <c r="B1240" s="29" t="s">
        <v>200</v>
      </c>
      <c r="C1240" s="29"/>
      <c r="D1240" s="29"/>
      <c r="E1240" s="29" t="str">
        <f t="shared" si="165"/>
        <v/>
      </c>
      <c r="F1240" s="29">
        <f>COUNTIFS(실시간콜입력!$B:$B,$A1240,실시간콜입력!$E:$E,"A",실시간콜입력!$G:$G,$B1240,실시간콜입력!$O:$O,"방문완료")+COUNTIFS(실시간콜입력!$B:$B,$A1240,실시간콜입력!$E:$E,"A",실시간콜입력!$H:$H,$B1240,실시간콜입력!$O:$O,"방문완료")</f>
        <v>0</v>
      </c>
      <c r="G1240" s="29">
        <f>COUNTIFS(실시간콜입력!$B:$B,$A1240,실시간콜입력!$E:$E,"B",실시간콜입력!$G:$G,$B1240,실시간콜입력!$O:$O,"방문완료")+COUNTIFS(실시간콜입력!$B:$B,$A1240,실시간콜입력!$E:$E,"B",실시간콜입력!$H:$H,$B1240,실시간콜입력!$O:$O,"방문완료")</f>
        <v>0</v>
      </c>
      <c r="H1240" s="29">
        <f>COUNTIFS(실시간콜입력!$B:$B,$A1240,실시간콜입력!$E:$E,"C",실시간콜입력!$G:$G,$B1240,실시간콜입력!$O:$O,"방문완료")+COUNTIFS(실시간콜입력!$B:$B,$A1240,실시간콜입력!$E:$E,"C",실시간콜입력!$H:$H,$B1240,실시간콜입력!$O:$O,"방문완료")</f>
        <v>0</v>
      </c>
      <c r="I1240" s="29">
        <f>COUNTIFS(실시간콜입력!$B:$B,$A1240,실시간콜입력!$E:$E,"D",실시간콜입력!$G:$G,$B1240,실시간콜입력!$O:$O,"방문완료")+COUNTIFS(실시간콜입력!$B:$B,$A1240,실시간콜입력!$E:$E,"D",실시간콜입력!$H:$H,$B1240,실시간콜입력!$O:$O,"방문완료")</f>
        <v>0</v>
      </c>
      <c r="J1240" s="29">
        <f>COUNTIFS(실시간콜입력!$B:$B,$A1240,실시간콜입력!$E:$E,"E",실시간콜입력!$G:$G,$B1240,실시간콜입력!$O:$O,"방문완료")+COUNTIFS(실시간콜입력!$B:$B,$A1240,실시간콜입력!$E:$E,"E",실시간콜입력!$H:$H,$B1240,실시간콜입력!$O:$O,"방문완료")</f>
        <v>0</v>
      </c>
      <c r="K1240" s="29">
        <f t="shared" si="166"/>
        <v>0</v>
      </c>
      <c r="L1240" s="33">
        <f>SUMIFS(실시간콜입력!$K:$K,실시간콜입력!$B:$B,$A1240,실시간콜입력!$G:$G,$B1240,실시간콜입력!$O:$O,"방문완료")+SUMIFS(실시간콜입력!$L:$L,실시간콜입력!$B:$B,$A1240,실시간콜입력!$H:$H,$B1240,실시간콜입력!$O:$O,"방문완료")</f>
        <v>0</v>
      </c>
      <c r="M1240" s="29" t="str">
        <f t="shared" si="167"/>
        <v/>
      </c>
      <c r="N1240" s="29"/>
    </row>
    <row r="1241" spans="1:14" ht="19.5" hidden="1" customHeight="1" outlineLevel="1">
      <c r="A1241" s="24">
        <f>IF(24&lt;=DAY(DATE(YEAR(설정_코스수당!$K$2),MONTH(설정_코스수당!$K$2)+1,0)),DATE(YEAR(설정_코스수당!$K$2),MONTH(설정_코스수당!$K$2),24),"")</f>
        <v>46197</v>
      </c>
      <c r="B1241" s="23" t="s">
        <v>201</v>
      </c>
      <c r="C1241" s="29"/>
      <c r="D1241" s="29"/>
      <c r="E1241" s="29" t="str">
        <f t="shared" si="165"/>
        <v/>
      </c>
      <c r="F1241" s="29">
        <f>COUNTIFS(실시간콜입력!$B:$B,$A1241,실시간콜입력!$E:$E,"A",실시간콜입력!$G:$G,$B1241,실시간콜입력!$O:$O,"방문완료")+COUNTIFS(실시간콜입력!$B:$B,$A1241,실시간콜입력!$E:$E,"A",실시간콜입력!$H:$H,$B1241,실시간콜입력!$O:$O,"방문완료")</f>
        <v>0</v>
      </c>
      <c r="G1241" s="29">
        <f>COUNTIFS(실시간콜입력!$B:$B,$A1241,실시간콜입력!$E:$E,"B",실시간콜입력!$G:$G,$B1241,실시간콜입력!$O:$O,"방문완료")+COUNTIFS(실시간콜입력!$B:$B,$A1241,실시간콜입력!$E:$E,"B",실시간콜입력!$H:$H,$B1241,실시간콜입력!$O:$O,"방문완료")</f>
        <v>0</v>
      </c>
      <c r="H1241" s="29">
        <f>COUNTIFS(실시간콜입력!$B:$B,$A1241,실시간콜입력!$E:$E,"C",실시간콜입력!$G:$G,$B1241,실시간콜입력!$O:$O,"방문완료")+COUNTIFS(실시간콜입력!$B:$B,$A1241,실시간콜입력!$E:$E,"C",실시간콜입력!$H:$H,$B1241,실시간콜입력!$O:$O,"방문완료")</f>
        <v>0</v>
      </c>
      <c r="I1241" s="29">
        <f>COUNTIFS(실시간콜입력!$B:$B,$A1241,실시간콜입력!$E:$E,"D",실시간콜입력!$G:$G,$B1241,실시간콜입력!$O:$O,"방문완료")+COUNTIFS(실시간콜입력!$B:$B,$A1241,실시간콜입력!$E:$E,"D",실시간콜입력!$H:$H,$B1241,실시간콜입력!$O:$O,"방문완료")</f>
        <v>0</v>
      </c>
      <c r="J1241" s="29">
        <f>COUNTIFS(실시간콜입력!$B:$B,$A1241,실시간콜입력!$E:$E,"E",실시간콜입력!$G:$G,$B1241,실시간콜입력!$O:$O,"방문완료")+COUNTIFS(실시간콜입력!$B:$B,$A1241,실시간콜입력!$E:$E,"E",실시간콜입력!$H:$H,$B1241,실시간콜입력!$O:$O,"방문완료")</f>
        <v>0</v>
      </c>
      <c r="K1241" s="29">
        <f t="shared" si="166"/>
        <v>0</v>
      </c>
      <c r="L1241" s="27">
        <f>SUMIFS(실시간콜입력!$K:$K,실시간콜입력!$B:$B,$A1241,실시간콜입력!$G:$G,$B1241,실시간콜입력!$O:$O,"방문완료")+SUMIFS(실시간콜입력!$L:$L,실시간콜입력!$B:$B,$A1241,실시간콜입력!$H:$H,$B1241,실시간콜입력!$O:$O,"방문완료")</f>
        <v>0</v>
      </c>
      <c r="M1241" s="29" t="str">
        <f t="shared" si="167"/>
        <v/>
      </c>
      <c r="N1241" s="29"/>
    </row>
    <row r="1242" spans="1:14" ht="19.5" hidden="1" customHeight="1" outlineLevel="1">
      <c r="A1242" s="30">
        <f>IF(24&lt;=DAY(DATE(YEAR(설정_코스수당!$K$2),MONTH(설정_코스수당!$K$2)+1,0)),DATE(YEAR(설정_코스수당!$K$2),MONTH(설정_코스수당!$K$2),24),"")</f>
        <v>46197</v>
      </c>
      <c r="B1242" s="29" t="s">
        <v>202</v>
      </c>
      <c r="C1242" s="29"/>
      <c r="D1242" s="29"/>
      <c r="E1242" s="29" t="str">
        <f t="shared" si="165"/>
        <v/>
      </c>
      <c r="F1242" s="29">
        <f>COUNTIFS(실시간콜입력!$B:$B,$A1242,실시간콜입력!$E:$E,"A",실시간콜입력!$G:$G,$B1242,실시간콜입력!$O:$O,"방문완료")+COUNTIFS(실시간콜입력!$B:$B,$A1242,실시간콜입력!$E:$E,"A",실시간콜입력!$H:$H,$B1242,실시간콜입력!$O:$O,"방문완료")</f>
        <v>0</v>
      </c>
      <c r="G1242" s="29">
        <f>COUNTIFS(실시간콜입력!$B:$B,$A1242,실시간콜입력!$E:$E,"B",실시간콜입력!$G:$G,$B1242,실시간콜입력!$O:$O,"방문완료")+COUNTIFS(실시간콜입력!$B:$B,$A1242,실시간콜입력!$E:$E,"B",실시간콜입력!$H:$H,$B1242,실시간콜입력!$O:$O,"방문완료")</f>
        <v>0</v>
      </c>
      <c r="H1242" s="29">
        <f>COUNTIFS(실시간콜입력!$B:$B,$A1242,실시간콜입력!$E:$E,"C",실시간콜입력!$G:$G,$B1242,실시간콜입력!$O:$O,"방문완료")+COUNTIFS(실시간콜입력!$B:$B,$A1242,실시간콜입력!$E:$E,"C",실시간콜입력!$H:$H,$B1242,실시간콜입력!$O:$O,"방문완료")</f>
        <v>0</v>
      </c>
      <c r="I1242" s="29">
        <f>COUNTIFS(실시간콜입력!$B:$B,$A1242,실시간콜입력!$E:$E,"D",실시간콜입력!$G:$G,$B1242,실시간콜입력!$O:$O,"방문완료")+COUNTIFS(실시간콜입력!$B:$B,$A1242,실시간콜입력!$E:$E,"D",실시간콜입력!$H:$H,$B1242,실시간콜입력!$O:$O,"방문완료")</f>
        <v>0</v>
      </c>
      <c r="J1242" s="29">
        <f>COUNTIFS(실시간콜입력!$B:$B,$A1242,실시간콜입력!$E:$E,"E",실시간콜입력!$G:$G,$B1242,실시간콜입력!$O:$O,"방문완료")+COUNTIFS(실시간콜입력!$B:$B,$A1242,실시간콜입력!$E:$E,"E",실시간콜입력!$H:$H,$B1242,실시간콜입력!$O:$O,"방문완료")</f>
        <v>0</v>
      </c>
      <c r="K1242" s="29">
        <f t="shared" si="166"/>
        <v>0</v>
      </c>
      <c r="L1242" s="33">
        <f>SUMIFS(실시간콜입력!$K:$K,실시간콜입력!$B:$B,$A1242,실시간콜입력!$G:$G,$B1242,실시간콜입력!$O:$O,"방문완료")+SUMIFS(실시간콜입력!$L:$L,실시간콜입력!$B:$B,$A1242,실시간콜입력!$H:$H,$B1242,실시간콜입력!$O:$O,"방문완료")</f>
        <v>0</v>
      </c>
      <c r="M1242" s="29" t="str">
        <f t="shared" si="167"/>
        <v/>
      </c>
      <c r="N1242" s="29"/>
    </row>
    <row r="1243" spans="1:14" ht="19.5" hidden="1" customHeight="1" outlineLevel="1">
      <c r="A1243" s="24">
        <f>IF(24&lt;=DAY(DATE(YEAR(설정_코스수당!$K$2),MONTH(설정_코스수당!$K$2)+1,0)),DATE(YEAR(설정_코스수당!$K$2),MONTH(설정_코스수당!$K$2),24),"")</f>
        <v>46197</v>
      </c>
      <c r="B1243" s="23" t="s">
        <v>203</v>
      </c>
      <c r="C1243" s="29"/>
      <c r="D1243" s="29"/>
      <c r="E1243" s="29" t="str">
        <f t="shared" si="165"/>
        <v/>
      </c>
      <c r="F1243" s="29">
        <f>COUNTIFS(실시간콜입력!$B:$B,$A1243,실시간콜입력!$E:$E,"A",실시간콜입력!$G:$G,$B1243,실시간콜입력!$O:$O,"방문완료")+COUNTIFS(실시간콜입력!$B:$B,$A1243,실시간콜입력!$E:$E,"A",실시간콜입력!$H:$H,$B1243,실시간콜입력!$O:$O,"방문완료")</f>
        <v>0</v>
      </c>
      <c r="G1243" s="29">
        <f>COUNTIFS(실시간콜입력!$B:$B,$A1243,실시간콜입력!$E:$E,"B",실시간콜입력!$G:$G,$B1243,실시간콜입력!$O:$O,"방문완료")+COUNTIFS(실시간콜입력!$B:$B,$A1243,실시간콜입력!$E:$E,"B",실시간콜입력!$H:$H,$B1243,실시간콜입력!$O:$O,"방문완료")</f>
        <v>0</v>
      </c>
      <c r="H1243" s="29">
        <f>COUNTIFS(실시간콜입력!$B:$B,$A1243,실시간콜입력!$E:$E,"C",실시간콜입력!$G:$G,$B1243,실시간콜입력!$O:$O,"방문완료")+COUNTIFS(실시간콜입력!$B:$B,$A1243,실시간콜입력!$E:$E,"C",실시간콜입력!$H:$H,$B1243,실시간콜입력!$O:$O,"방문완료")</f>
        <v>0</v>
      </c>
      <c r="I1243" s="29">
        <f>COUNTIFS(실시간콜입력!$B:$B,$A1243,실시간콜입력!$E:$E,"D",실시간콜입력!$G:$G,$B1243,실시간콜입력!$O:$O,"방문완료")+COUNTIFS(실시간콜입력!$B:$B,$A1243,실시간콜입력!$E:$E,"D",실시간콜입력!$H:$H,$B1243,실시간콜입력!$O:$O,"방문완료")</f>
        <v>0</v>
      </c>
      <c r="J1243" s="29">
        <f>COUNTIFS(실시간콜입력!$B:$B,$A1243,실시간콜입력!$E:$E,"E",실시간콜입력!$G:$G,$B1243,실시간콜입력!$O:$O,"방문완료")+COUNTIFS(실시간콜입력!$B:$B,$A1243,실시간콜입력!$E:$E,"E",실시간콜입력!$H:$H,$B1243,실시간콜입력!$O:$O,"방문완료")</f>
        <v>0</v>
      </c>
      <c r="K1243" s="29">
        <f t="shared" si="166"/>
        <v>0</v>
      </c>
      <c r="L1243" s="27">
        <f>SUMIFS(실시간콜입력!$K:$K,실시간콜입력!$B:$B,$A1243,실시간콜입력!$G:$G,$B1243,실시간콜입력!$O:$O,"방문완료")+SUMIFS(실시간콜입력!$L:$L,실시간콜입력!$B:$B,$A1243,실시간콜입력!$H:$H,$B1243,실시간콜입력!$O:$O,"방문완료")</f>
        <v>0</v>
      </c>
      <c r="M1243" s="29" t="str">
        <f t="shared" si="167"/>
        <v/>
      </c>
      <c r="N1243" s="29"/>
    </row>
    <row r="1244" spans="1:14" ht="19.5" hidden="1" customHeight="1" outlineLevel="1">
      <c r="A1244" s="30">
        <f>IF(24&lt;=DAY(DATE(YEAR(설정_코스수당!$K$2),MONTH(설정_코스수당!$K$2)+1,0)),DATE(YEAR(설정_코스수당!$K$2),MONTH(설정_코스수당!$K$2),24),"")</f>
        <v>46197</v>
      </c>
      <c r="B1244" s="29" t="s">
        <v>204</v>
      </c>
      <c r="C1244" s="29"/>
      <c r="D1244" s="29"/>
      <c r="E1244" s="29" t="str">
        <f t="shared" si="165"/>
        <v/>
      </c>
      <c r="F1244" s="29">
        <f>COUNTIFS(실시간콜입력!$B:$B,$A1244,실시간콜입력!$E:$E,"A",실시간콜입력!$G:$G,$B1244,실시간콜입력!$O:$O,"방문완료")+COUNTIFS(실시간콜입력!$B:$B,$A1244,실시간콜입력!$E:$E,"A",실시간콜입력!$H:$H,$B1244,실시간콜입력!$O:$O,"방문완료")</f>
        <v>0</v>
      </c>
      <c r="G1244" s="29">
        <f>COUNTIFS(실시간콜입력!$B:$B,$A1244,실시간콜입력!$E:$E,"B",실시간콜입력!$G:$G,$B1244,실시간콜입력!$O:$O,"방문완료")+COUNTIFS(실시간콜입력!$B:$B,$A1244,실시간콜입력!$E:$E,"B",실시간콜입력!$H:$H,$B1244,실시간콜입력!$O:$O,"방문완료")</f>
        <v>0</v>
      </c>
      <c r="H1244" s="29">
        <f>COUNTIFS(실시간콜입력!$B:$B,$A1244,실시간콜입력!$E:$E,"C",실시간콜입력!$G:$G,$B1244,실시간콜입력!$O:$O,"방문완료")+COUNTIFS(실시간콜입력!$B:$B,$A1244,실시간콜입력!$E:$E,"C",실시간콜입력!$H:$H,$B1244,실시간콜입력!$O:$O,"방문완료")</f>
        <v>0</v>
      </c>
      <c r="I1244" s="29">
        <f>COUNTIFS(실시간콜입력!$B:$B,$A1244,실시간콜입력!$E:$E,"D",실시간콜입력!$G:$G,$B1244,실시간콜입력!$O:$O,"방문완료")+COUNTIFS(실시간콜입력!$B:$B,$A1244,실시간콜입력!$E:$E,"D",실시간콜입력!$H:$H,$B1244,실시간콜입력!$O:$O,"방문완료")</f>
        <v>0</v>
      </c>
      <c r="J1244" s="29">
        <f>COUNTIFS(실시간콜입력!$B:$B,$A1244,실시간콜입력!$E:$E,"E",실시간콜입력!$G:$G,$B1244,실시간콜입력!$O:$O,"방문완료")+COUNTIFS(실시간콜입력!$B:$B,$A1244,실시간콜입력!$E:$E,"E",실시간콜입력!$H:$H,$B1244,실시간콜입력!$O:$O,"방문완료")</f>
        <v>0</v>
      </c>
      <c r="K1244" s="29">
        <f t="shared" si="166"/>
        <v>0</v>
      </c>
      <c r="L1244" s="33">
        <f>SUMIFS(실시간콜입력!$K:$K,실시간콜입력!$B:$B,$A1244,실시간콜입력!$G:$G,$B1244,실시간콜입력!$O:$O,"방문완료")+SUMIFS(실시간콜입력!$L:$L,실시간콜입력!$B:$B,$A1244,실시간콜입력!$H:$H,$B1244,실시간콜입력!$O:$O,"방문완료")</f>
        <v>0</v>
      </c>
      <c r="M1244" s="29" t="str">
        <f t="shared" si="167"/>
        <v/>
      </c>
      <c r="N1244" s="29"/>
    </row>
    <row r="1245" spans="1:14" ht="19.5" hidden="1" customHeight="1" outlineLevel="1">
      <c r="A1245" s="24">
        <f>IF(24&lt;=DAY(DATE(YEAR(설정_코스수당!$K$2),MONTH(설정_코스수당!$K$2)+1,0)),DATE(YEAR(설정_코스수당!$K$2),MONTH(설정_코스수당!$K$2),24),"")</f>
        <v>46197</v>
      </c>
      <c r="B1245" s="23" t="s">
        <v>205</v>
      </c>
      <c r="C1245" s="29"/>
      <c r="D1245" s="29"/>
      <c r="E1245" s="29" t="str">
        <f t="shared" si="165"/>
        <v/>
      </c>
      <c r="F1245" s="29">
        <f>COUNTIFS(실시간콜입력!$B:$B,$A1245,실시간콜입력!$E:$E,"A",실시간콜입력!$G:$G,$B1245,실시간콜입력!$O:$O,"방문완료")+COUNTIFS(실시간콜입력!$B:$B,$A1245,실시간콜입력!$E:$E,"A",실시간콜입력!$H:$H,$B1245,실시간콜입력!$O:$O,"방문완료")</f>
        <v>0</v>
      </c>
      <c r="G1245" s="29">
        <f>COUNTIFS(실시간콜입력!$B:$B,$A1245,실시간콜입력!$E:$E,"B",실시간콜입력!$G:$G,$B1245,실시간콜입력!$O:$O,"방문완료")+COUNTIFS(실시간콜입력!$B:$B,$A1245,실시간콜입력!$E:$E,"B",실시간콜입력!$H:$H,$B1245,실시간콜입력!$O:$O,"방문완료")</f>
        <v>0</v>
      </c>
      <c r="H1245" s="29">
        <f>COUNTIFS(실시간콜입력!$B:$B,$A1245,실시간콜입력!$E:$E,"C",실시간콜입력!$G:$G,$B1245,실시간콜입력!$O:$O,"방문완료")+COUNTIFS(실시간콜입력!$B:$B,$A1245,실시간콜입력!$E:$E,"C",실시간콜입력!$H:$H,$B1245,실시간콜입력!$O:$O,"방문완료")</f>
        <v>0</v>
      </c>
      <c r="I1245" s="29">
        <f>COUNTIFS(실시간콜입력!$B:$B,$A1245,실시간콜입력!$E:$E,"D",실시간콜입력!$G:$G,$B1245,실시간콜입력!$O:$O,"방문완료")+COUNTIFS(실시간콜입력!$B:$B,$A1245,실시간콜입력!$E:$E,"D",실시간콜입력!$H:$H,$B1245,실시간콜입력!$O:$O,"방문완료")</f>
        <v>0</v>
      </c>
      <c r="J1245" s="29">
        <f>COUNTIFS(실시간콜입력!$B:$B,$A1245,실시간콜입력!$E:$E,"E",실시간콜입력!$G:$G,$B1245,실시간콜입력!$O:$O,"방문완료")+COUNTIFS(실시간콜입력!$B:$B,$A1245,실시간콜입력!$E:$E,"E",실시간콜입력!$H:$H,$B1245,실시간콜입력!$O:$O,"방문완료")</f>
        <v>0</v>
      </c>
      <c r="K1245" s="29">
        <f t="shared" si="166"/>
        <v>0</v>
      </c>
      <c r="L1245" s="27">
        <f>SUMIFS(실시간콜입력!$K:$K,실시간콜입력!$B:$B,$A1245,실시간콜입력!$G:$G,$B1245,실시간콜입력!$O:$O,"방문완료")+SUMIFS(실시간콜입력!$L:$L,실시간콜입력!$B:$B,$A1245,실시간콜입력!$H:$H,$B1245,실시간콜입력!$O:$O,"방문완료")</f>
        <v>0</v>
      </c>
      <c r="M1245" s="29" t="str">
        <f t="shared" si="167"/>
        <v/>
      </c>
      <c r="N1245" s="29"/>
    </row>
    <row r="1246" spans="1:14" ht="19.5" hidden="1" customHeight="1" outlineLevel="1">
      <c r="A1246" s="30">
        <f>IF(24&lt;=DAY(DATE(YEAR(설정_코스수당!$K$2),MONTH(설정_코스수당!$K$2)+1,0)),DATE(YEAR(설정_코스수당!$K$2),MONTH(설정_코스수당!$K$2),24),"")</f>
        <v>46197</v>
      </c>
      <c r="B1246" s="29" t="s">
        <v>206</v>
      </c>
      <c r="C1246" s="29"/>
      <c r="D1246" s="29"/>
      <c r="E1246" s="29" t="str">
        <f t="shared" si="165"/>
        <v/>
      </c>
      <c r="F1246" s="29">
        <f>COUNTIFS(실시간콜입력!$B:$B,$A1246,실시간콜입력!$E:$E,"A",실시간콜입력!$G:$G,$B1246,실시간콜입력!$O:$O,"방문완료")+COUNTIFS(실시간콜입력!$B:$B,$A1246,실시간콜입력!$E:$E,"A",실시간콜입력!$H:$H,$B1246,실시간콜입력!$O:$O,"방문완료")</f>
        <v>0</v>
      </c>
      <c r="G1246" s="29">
        <f>COUNTIFS(실시간콜입력!$B:$B,$A1246,실시간콜입력!$E:$E,"B",실시간콜입력!$G:$G,$B1246,실시간콜입력!$O:$O,"방문완료")+COUNTIFS(실시간콜입력!$B:$B,$A1246,실시간콜입력!$E:$E,"B",실시간콜입력!$H:$H,$B1246,실시간콜입력!$O:$O,"방문완료")</f>
        <v>0</v>
      </c>
      <c r="H1246" s="29">
        <f>COUNTIFS(실시간콜입력!$B:$B,$A1246,실시간콜입력!$E:$E,"C",실시간콜입력!$G:$G,$B1246,실시간콜입력!$O:$O,"방문완료")+COUNTIFS(실시간콜입력!$B:$B,$A1246,실시간콜입력!$E:$E,"C",실시간콜입력!$H:$H,$B1246,실시간콜입력!$O:$O,"방문완료")</f>
        <v>0</v>
      </c>
      <c r="I1246" s="29">
        <f>COUNTIFS(실시간콜입력!$B:$B,$A1246,실시간콜입력!$E:$E,"D",실시간콜입력!$G:$G,$B1246,실시간콜입력!$O:$O,"방문완료")+COUNTIFS(실시간콜입력!$B:$B,$A1246,실시간콜입력!$E:$E,"D",실시간콜입력!$H:$H,$B1246,실시간콜입력!$O:$O,"방문완료")</f>
        <v>0</v>
      </c>
      <c r="J1246" s="29">
        <f>COUNTIFS(실시간콜입력!$B:$B,$A1246,실시간콜입력!$E:$E,"E",실시간콜입력!$G:$G,$B1246,실시간콜입력!$O:$O,"방문완료")+COUNTIFS(실시간콜입력!$B:$B,$A1246,실시간콜입력!$E:$E,"E",실시간콜입력!$H:$H,$B1246,실시간콜입력!$O:$O,"방문완료")</f>
        <v>0</v>
      </c>
      <c r="K1246" s="29">
        <f t="shared" si="166"/>
        <v>0</v>
      </c>
      <c r="L1246" s="33">
        <f>SUMIFS(실시간콜입력!$K:$K,실시간콜입력!$B:$B,$A1246,실시간콜입력!$G:$G,$B1246,실시간콜입력!$O:$O,"방문완료")+SUMIFS(실시간콜입력!$L:$L,실시간콜입력!$B:$B,$A1246,실시간콜입력!$H:$H,$B1246,실시간콜입력!$O:$O,"방문완료")</f>
        <v>0</v>
      </c>
      <c r="M1246" s="29" t="str">
        <f t="shared" si="167"/>
        <v/>
      </c>
      <c r="N1246" s="29"/>
    </row>
    <row r="1247" spans="1:14" ht="19.5" hidden="1" customHeight="1" outlineLevel="1">
      <c r="A1247" s="24">
        <f>IF(24&lt;=DAY(DATE(YEAR(설정_코스수당!$K$2),MONTH(설정_코스수당!$K$2)+1,0)),DATE(YEAR(설정_코스수당!$K$2),MONTH(설정_코스수당!$K$2),24),"")</f>
        <v>46197</v>
      </c>
      <c r="B1247" s="23" t="s">
        <v>207</v>
      </c>
      <c r="C1247" s="29"/>
      <c r="D1247" s="29"/>
      <c r="E1247" s="29" t="str">
        <f t="shared" si="165"/>
        <v/>
      </c>
      <c r="F1247" s="29">
        <f>COUNTIFS(실시간콜입력!$B:$B,$A1247,실시간콜입력!$E:$E,"A",실시간콜입력!$G:$G,$B1247,실시간콜입력!$O:$O,"방문완료")+COUNTIFS(실시간콜입력!$B:$B,$A1247,실시간콜입력!$E:$E,"A",실시간콜입력!$H:$H,$B1247,실시간콜입력!$O:$O,"방문완료")</f>
        <v>0</v>
      </c>
      <c r="G1247" s="29">
        <f>COUNTIFS(실시간콜입력!$B:$B,$A1247,실시간콜입력!$E:$E,"B",실시간콜입력!$G:$G,$B1247,실시간콜입력!$O:$O,"방문완료")+COUNTIFS(실시간콜입력!$B:$B,$A1247,실시간콜입력!$E:$E,"B",실시간콜입력!$H:$H,$B1247,실시간콜입력!$O:$O,"방문완료")</f>
        <v>0</v>
      </c>
      <c r="H1247" s="29">
        <f>COUNTIFS(실시간콜입력!$B:$B,$A1247,실시간콜입력!$E:$E,"C",실시간콜입력!$G:$G,$B1247,실시간콜입력!$O:$O,"방문완료")+COUNTIFS(실시간콜입력!$B:$B,$A1247,실시간콜입력!$E:$E,"C",실시간콜입력!$H:$H,$B1247,실시간콜입력!$O:$O,"방문완료")</f>
        <v>0</v>
      </c>
      <c r="I1247" s="29">
        <f>COUNTIFS(실시간콜입력!$B:$B,$A1247,실시간콜입력!$E:$E,"D",실시간콜입력!$G:$G,$B1247,실시간콜입력!$O:$O,"방문완료")+COUNTIFS(실시간콜입력!$B:$B,$A1247,실시간콜입력!$E:$E,"D",실시간콜입력!$H:$H,$B1247,실시간콜입력!$O:$O,"방문완료")</f>
        <v>0</v>
      </c>
      <c r="J1247" s="29">
        <f>COUNTIFS(실시간콜입력!$B:$B,$A1247,실시간콜입력!$E:$E,"E",실시간콜입력!$G:$G,$B1247,실시간콜입력!$O:$O,"방문완료")+COUNTIFS(실시간콜입력!$B:$B,$A1247,실시간콜입력!$E:$E,"E",실시간콜입력!$H:$H,$B1247,실시간콜입력!$O:$O,"방문완료")</f>
        <v>0</v>
      </c>
      <c r="K1247" s="29">
        <f t="shared" si="166"/>
        <v>0</v>
      </c>
      <c r="L1247" s="27">
        <f>SUMIFS(실시간콜입력!$K:$K,실시간콜입력!$B:$B,$A1247,실시간콜입력!$G:$G,$B1247,실시간콜입력!$O:$O,"방문완료")+SUMIFS(실시간콜입력!$L:$L,실시간콜입력!$B:$B,$A1247,실시간콜입력!$H:$H,$B1247,실시간콜입력!$O:$O,"방문완료")</f>
        <v>0</v>
      </c>
      <c r="M1247" s="29" t="str">
        <f t="shared" si="167"/>
        <v/>
      </c>
      <c r="N1247" s="29"/>
    </row>
    <row r="1248" spans="1:14" ht="19.5" hidden="1" customHeight="1" outlineLevel="1">
      <c r="A1248" s="30">
        <f>IF(24&lt;=DAY(DATE(YEAR(설정_코스수당!$K$2),MONTH(설정_코스수당!$K$2)+1,0)),DATE(YEAR(설정_코스수당!$K$2),MONTH(설정_코스수당!$K$2),24),"")</f>
        <v>46197</v>
      </c>
      <c r="B1248" s="29" t="s">
        <v>208</v>
      </c>
      <c r="C1248" s="29"/>
      <c r="D1248" s="29"/>
      <c r="E1248" s="29" t="str">
        <f t="shared" si="165"/>
        <v/>
      </c>
      <c r="F1248" s="29">
        <f>COUNTIFS(실시간콜입력!$B:$B,$A1248,실시간콜입력!$E:$E,"A",실시간콜입력!$G:$G,$B1248,실시간콜입력!$O:$O,"방문완료")+COUNTIFS(실시간콜입력!$B:$B,$A1248,실시간콜입력!$E:$E,"A",실시간콜입력!$H:$H,$B1248,실시간콜입력!$O:$O,"방문완료")</f>
        <v>0</v>
      </c>
      <c r="G1248" s="29">
        <f>COUNTIFS(실시간콜입력!$B:$B,$A1248,실시간콜입력!$E:$E,"B",실시간콜입력!$G:$G,$B1248,실시간콜입력!$O:$O,"방문완료")+COUNTIFS(실시간콜입력!$B:$B,$A1248,실시간콜입력!$E:$E,"B",실시간콜입력!$H:$H,$B1248,실시간콜입력!$O:$O,"방문완료")</f>
        <v>0</v>
      </c>
      <c r="H1248" s="29">
        <f>COUNTIFS(실시간콜입력!$B:$B,$A1248,실시간콜입력!$E:$E,"C",실시간콜입력!$G:$G,$B1248,실시간콜입력!$O:$O,"방문완료")+COUNTIFS(실시간콜입력!$B:$B,$A1248,실시간콜입력!$E:$E,"C",실시간콜입력!$H:$H,$B1248,실시간콜입력!$O:$O,"방문완료")</f>
        <v>0</v>
      </c>
      <c r="I1248" s="29">
        <f>COUNTIFS(실시간콜입력!$B:$B,$A1248,실시간콜입력!$E:$E,"D",실시간콜입력!$G:$G,$B1248,실시간콜입력!$O:$O,"방문완료")+COUNTIFS(실시간콜입력!$B:$B,$A1248,실시간콜입력!$E:$E,"D",실시간콜입력!$H:$H,$B1248,실시간콜입력!$O:$O,"방문완료")</f>
        <v>0</v>
      </c>
      <c r="J1248" s="29">
        <f>COUNTIFS(실시간콜입력!$B:$B,$A1248,실시간콜입력!$E:$E,"E",실시간콜입력!$G:$G,$B1248,실시간콜입력!$O:$O,"방문완료")+COUNTIFS(실시간콜입력!$B:$B,$A1248,실시간콜입력!$E:$E,"E",실시간콜입력!$H:$H,$B1248,실시간콜입력!$O:$O,"방문완료")</f>
        <v>0</v>
      </c>
      <c r="K1248" s="29">
        <f t="shared" si="166"/>
        <v>0</v>
      </c>
      <c r="L1248" s="33">
        <f>SUMIFS(실시간콜입력!$K:$K,실시간콜입력!$B:$B,$A1248,실시간콜입력!$G:$G,$B1248,실시간콜입력!$O:$O,"방문완료")+SUMIFS(실시간콜입력!$L:$L,실시간콜입력!$B:$B,$A1248,실시간콜입력!$H:$H,$B1248,실시간콜입력!$O:$O,"방문완료")</f>
        <v>0</v>
      </c>
      <c r="M1248" s="29" t="str">
        <f t="shared" si="167"/>
        <v/>
      </c>
      <c r="N1248" s="29"/>
    </row>
    <row r="1249" spans="1:14" ht="19.5" hidden="1" customHeight="1" outlineLevel="1">
      <c r="A1249" s="24">
        <f>IF(24&lt;=DAY(DATE(YEAR(설정_코스수당!$K$2),MONTH(설정_코스수당!$K$2)+1,0)),DATE(YEAR(설정_코스수당!$K$2),MONTH(설정_코스수당!$K$2),24),"")</f>
        <v>46197</v>
      </c>
      <c r="B1249" s="23" t="s">
        <v>209</v>
      </c>
      <c r="C1249" s="29"/>
      <c r="D1249" s="29"/>
      <c r="E1249" s="29" t="str">
        <f t="shared" si="165"/>
        <v/>
      </c>
      <c r="F1249" s="29">
        <f>COUNTIFS(실시간콜입력!$B:$B,$A1249,실시간콜입력!$E:$E,"A",실시간콜입력!$G:$G,$B1249,실시간콜입력!$O:$O,"방문완료")+COUNTIFS(실시간콜입력!$B:$B,$A1249,실시간콜입력!$E:$E,"A",실시간콜입력!$H:$H,$B1249,실시간콜입력!$O:$O,"방문완료")</f>
        <v>0</v>
      </c>
      <c r="G1249" s="29">
        <f>COUNTIFS(실시간콜입력!$B:$B,$A1249,실시간콜입력!$E:$E,"B",실시간콜입력!$G:$G,$B1249,실시간콜입력!$O:$O,"방문완료")+COUNTIFS(실시간콜입력!$B:$B,$A1249,실시간콜입력!$E:$E,"B",실시간콜입력!$H:$H,$B1249,실시간콜입력!$O:$O,"방문완료")</f>
        <v>0</v>
      </c>
      <c r="H1249" s="29">
        <f>COUNTIFS(실시간콜입력!$B:$B,$A1249,실시간콜입력!$E:$E,"C",실시간콜입력!$G:$G,$B1249,실시간콜입력!$O:$O,"방문완료")+COUNTIFS(실시간콜입력!$B:$B,$A1249,실시간콜입력!$E:$E,"C",실시간콜입력!$H:$H,$B1249,실시간콜입력!$O:$O,"방문완료")</f>
        <v>0</v>
      </c>
      <c r="I1249" s="29">
        <f>COUNTIFS(실시간콜입력!$B:$B,$A1249,실시간콜입력!$E:$E,"D",실시간콜입력!$G:$G,$B1249,실시간콜입력!$O:$O,"방문완료")+COUNTIFS(실시간콜입력!$B:$B,$A1249,실시간콜입력!$E:$E,"D",실시간콜입력!$H:$H,$B1249,실시간콜입력!$O:$O,"방문완료")</f>
        <v>0</v>
      </c>
      <c r="J1249" s="29">
        <f>COUNTIFS(실시간콜입력!$B:$B,$A1249,실시간콜입력!$E:$E,"E",실시간콜입력!$G:$G,$B1249,실시간콜입력!$O:$O,"방문완료")+COUNTIFS(실시간콜입력!$B:$B,$A1249,실시간콜입력!$E:$E,"E",실시간콜입력!$H:$H,$B1249,실시간콜입력!$O:$O,"방문완료")</f>
        <v>0</v>
      </c>
      <c r="K1249" s="29">
        <f t="shared" si="166"/>
        <v>0</v>
      </c>
      <c r="L1249" s="27">
        <f>SUMIFS(실시간콜입력!$K:$K,실시간콜입력!$B:$B,$A1249,실시간콜입력!$G:$G,$B1249,실시간콜입력!$O:$O,"방문완료")+SUMIFS(실시간콜입력!$L:$L,실시간콜입력!$B:$B,$A1249,실시간콜입력!$H:$H,$B1249,실시간콜입력!$O:$O,"방문완료")</f>
        <v>0</v>
      </c>
      <c r="M1249" s="29" t="str">
        <f t="shared" si="167"/>
        <v/>
      </c>
      <c r="N1249" s="29"/>
    </row>
    <row r="1250" spans="1:14" ht="19.5" hidden="1" customHeight="1" outlineLevel="1">
      <c r="A1250" s="30">
        <f>IF(24&lt;=DAY(DATE(YEAR(설정_코스수당!$K$2),MONTH(설정_코스수당!$K$2)+1,0)),DATE(YEAR(설정_코스수당!$K$2),MONTH(설정_코스수당!$K$2),24),"")</f>
        <v>46197</v>
      </c>
      <c r="B1250" s="29" t="s">
        <v>210</v>
      </c>
      <c r="C1250" s="29"/>
      <c r="D1250" s="29"/>
      <c r="E1250" s="29" t="str">
        <f t="shared" si="165"/>
        <v/>
      </c>
      <c r="F1250" s="29">
        <f>COUNTIFS(실시간콜입력!$B:$B,$A1250,실시간콜입력!$E:$E,"A",실시간콜입력!$G:$G,$B1250,실시간콜입력!$O:$O,"방문완료")+COUNTIFS(실시간콜입력!$B:$B,$A1250,실시간콜입력!$E:$E,"A",실시간콜입력!$H:$H,$B1250,실시간콜입력!$O:$O,"방문완료")</f>
        <v>0</v>
      </c>
      <c r="G1250" s="29">
        <f>COUNTIFS(실시간콜입력!$B:$B,$A1250,실시간콜입력!$E:$E,"B",실시간콜입력!$G:$G,$B1250,실시간콜입력!$O:$O,"방문완료")+COUNTIFS(실시간콜입력!$B:$B,$A1250,실시간콜입력!$E:$E,"B",실시간콜입력!$H:$H,$B1250,실시간콜입력!$O:$O,"방문완료")</f>
        <v>0</v>
      </c>
      <c r="H1250" s="29">
        <f>COUNTIFS(실시간콜입력!$B:$B,$A1250,실시간콜입력!$E:$E,"C",실시간콜입력!$G:$G,$B1250,실시간콜입력!$O:$O,"방문완료")+COUNTIFS(실시간콜입력!$B:$B,$A1250,실시간콜입력!$E:$E,"C",실시간콜입력!$H:$H,$B1250,실시간콜입력!$O:$O,"방문완료")</f>
        <v>0</v>
      </c>
      <c r="I1250" s="29">
        <f>COUNTIFS(실시간콜입력!$B:$B,$A1250,실시간콜입력!$E:$E,"D",실시간콜입력!$G:$G,$B1250,실시간콜입력!$O:$O,"방문완료")+COUNTIFS(실시간콜입력!$B:$B,$A1250,실시간콜입력!$E:$E,"D",실시간콜입력!$H:$H,$B1250,실시간콜입력!$O:$O,"방문완료")</f>
        <v>0</v>
      </c>
      <c r="J1250" s="29">
        <f>COUNTIFS(실시간콜입력!$B:$B,$A1250,실시간콜입력!$E:$E,"E",실시간콜입력!$G:$G,$B1250,실시간콜입력!$O:$O,"방문완료")+COUNTIFS(실시간콜입력!$B:$B,$A1250,실시간콜입력!$E:$E,"E",실시간콜입력!$H:$H,$B1250,실시간콜입력!$O:$O,"방문완료")</f>
        <v>0</v>
      </c>
      <c r="K1250" s="29">
        <f t="shared" si="166"/>
        <v>0</v>
      </c>
      <c r="L1250" s="33">
        <f>SUMIFS(실시간콜입력!$K:$K,실시간콜입력!$B:$B,$A1250,실시간콜입력!$G:$G,$B1250,실시간콜입력!$O:$O,"방문완료")+SUMIFS(실시간콜입력!$L:$L,실시간콜입력!$B:$B,$A1250,실시간콜입력!$H:$H,$B1250,실시간콜입력!$O:$O,"방문완료")</f>
        <v>0</v>
      </c>
      <c r="M1250" s="29" t="str">
        <f t="shared" si="167"/>
        <v/>
      </c>
      <c r="N1250" s="29"/>
    </row>
    <row r="1251" spans="1:14" ht="19.5" hidden="1" customHeight="1" outlineLevel="1">
      <c r="A1251" s="24">
        <f>IF(24&lt;=DAY(DATE(YEAR(설정_코스수당!$K$2),MONTH(설정_코스수당!$K$2)+1,0)),DATE(YEAR(설정_코스수당!$K$2),MONTH(설정_코스수당!$K$2),24),"")</f>
        <v>46197</v>
      </c>
      <c r="B1251" s="23" t="s">
        <v>211</v>
      </c>
      <c r="C1251" s="29"/>
      <c r="D1251" s="29"/>
      <c r="E1251" s="29" t="str">
        <f t="shared" si="165"/>
        <v/>
      </c>
      <c r="F1251" s="29">
        <f>COUNTIFS(실시간콜입력!$B:$B,$A1251,실시간콜입력!$E:$E,"A",실시간콜입력!$G:$G,$B1251,실시간콜입력!$O:$O,"방문완료")+COUNTIFS(실시간콜입력!$B:$B,$A1251,실시간콜입력!$E:$E,"A",실시간콜입력!$H:$H,$B1251,실시간콜입력!$O:$O,"방문완료")</f>
        <v>0</v>
      </c>
      <c r="G1251" s="29">
        <f>COUNTIFS(실시간콜입력!$B:$B,$A1251,실시간콜입력!$E:$E,"B",실시간콜입력!$G:$G,$B1251,실시간콜입력!$O:$O,"방문완료")+COUNTIFS(실시간콜입력!$B:$B,$A1251,실시간콜입력!$E:$E,"B",실시간콜입력!$H:$H,$B1251,실시간콜입력!$O:$O,"방문완료")</f>
        <v>0</v>
      </c>
      <c r="H1251" s="29">
        <f>COUNTIFS(실시간콜입력!$B:$B,$A1251,실시간콜입력!$E:$E,"C",실시간콜입력!$G:$G,$B1251,실시간콜입력!$O:$O,"방문완료")+COUNTIFS(실시간콜입력!$B:$B,$A1251,실시간콜입력!$E:$E,"C",실시간콜입력!$H:$H,$B1251,실시간콜입력!$O:$O,"방문완료")</f>
        <v>0</v>
      </c>
      <c r="I1251" s="29">
        <f>COUNTIFS(실시간콜입력!$B:$B,$A1251,실시간콜입력!$E:$E,"D",실시간콜입력!$G:$G,$B1251,실시간콜입력!$O:$O,"방문완료")+COUNTIFS(실시간콜입력!$B:$B,$A1251,실시간콜입력!$E:$E,"D",실시간콜입력!$H:$H,$B1251,실시간콜입력!$O:$O,"방문완료")</f>
        <v>0</v>
      </c>
      <c r="J1251" s="29">
        <f>COUNTIFS(실시간콜입력!$B:$B,$A1251,실시간콜입력!$E:$E,"E",실시간콜입력!$G:$G,$B1251,실시간콜입력!$O:$O,"방문완료")+COUNTIFS(실시간콜입력!$B:$B,$A1251,실시간콜입력!$E:$E,"E",실시간콜입력!$H:$H,$B1251,실시간콜입력!$O:$O,"방문완료")</f>
        <v>0</v>
      </c>
      <c r="K1251" s="29">
        <f t="shared" si="166"/>
        <v>0</v>
      </c>
      <c r="L1251" s="27">
        <f>SUMIFS(실시간콜입력!$K:$K,실시간콜입력!$B:$B,$A1251,실시간콜입력!$G:$G,$B1251,실시간콜입력!$O:$O,"방문완료")+SUMIFS(실시간콜입력!$L:$L,실시간콜입력!$B:$B,$A1251,실시간콜입력!$H:$H,$B1251,실시간콜입력!$O:$O,"방문완료")</f>
        <v>0</v>
      </c>
      <c r="M1251" s="29" t="str">
        <f t="shared" si="167"/>
        <v/>
      </c>
      <c r="N1251" s="29"/>
    </row>
    <row r="1252" spans="1:14" ht="19.5" hidden="1" customHeight="1" outlineLevel="1">
      <c r="A1252" s="30">
        <f>IF(24&lt;=DAY(DATE(YEAR(설정_코스수당!$K$2),MONTH(설정_코스수당!$K$2)+1,0)),DATE(YEAR(설정_코스수당!$K$2),MONTH(설정_코스수당!$K$2),24),"")</f>
        <v>46197</v>
      </c>
      <c r="B1252" s="29" t="s">
        <v>212</v>
      </c>
      <c r="C1252" s="29"/>
      <c r="D1252" s="29"/>
      <c r="E1252" s="29" t="str">
        <f t="shared" si="165"/>
        <v/>
      </c>
      <c r="F1252" s="29">
        <f>COUNTIFS(실시간콜입력!$B:$B,$A1252,실시간콜입력!$E:$E,"A",실시간콜입력!$G:$G,$B1252,실시간콜입력!$O:$O,"방문완료")+COUNTIFS(실시간콜입력!$B:$B,$A1252,실시간콜입력!$E:$E,"A",실시간콜입력!$H:$H,$B1252,실시간콜입력!$O:$O,"방문완료")</f>
        <v>0</v>
      </c>
      <c r="G1252" s="29">
        <f>COUNTIFS(실시간콜입력!$B:$B,$A1252,실시간콜입력!$E:$E,"B",실시간콜입력!$G:$G,$B1252,실시간콜입력!$O:$O,"방문완료")+COUNTIFS(실시간콜입력!$B:$B,$A1252,실시간콜입력!$E:$E,"B",실시간콜입력!$H:$H,$B1252,실시간콜입력!$O:$O,"방문완료")</f>
        <v>0</v>
      </c>
      <c r="H1252" s="29">
        <f>COUNTIFS(실시간콜입력!$B:$B,$A1252,실시간콜입력!$E:$E,"C",실시간콜입력!$G:$G,$B1252,실시간콜입력!$O:$O,"방문완료")+COUNTIFS(실시간콜입력!$B:$B,$A1252,실시간콜입력!$E:$E,"C",실시간콜입력!$H:$H,$B1252,실시간콜입력!$O:$O,"방문완료")</f>
        <v>0</v>
      </c>
      <c r="I1252" s="29">
        <f>COUNTIFS(실시간콜입력!$B:$B,$A1252,실시간콜입력!$E:$E,"D",실시간콜입력!$G:$G,$B1252,실시간콜입력!$O:$O,"방문완료")+COUNTIFS(실시간콜입력!$B:$B,$A1252,실시간콜입력!$E:$E,"D",실시간콜입력!$H:$H,$B1252,실시간콜입력!$O:$O,"방문완료")</f>
        <v>0</v>
      </c>
      <c r="J1252" s="29">
        <f>COUNTIFS(실시간콜입력!$B:$B,$A1252,실시간콜입력!$E:$E,"E",실시간콜입력!$G:$G,$B1252,실시간콜입력!$O:$O,"방문완료")+COUNTIFS(실시간콜입력!$B:$B,$A1252,실시간콜입력!$E:$E,"E",실시간콜입력!$H:$H,$B1252,실시간콜입력!$O:$O,"방문완료")</f>
        <v>0</v>
      </c>
      <c r="K1252" s="29">
        <f t="shared" si="166"/>
        <v>0</v>
      </c>
      <c r="L1252" s="33">
        <f>SUMIFS(실시간콜입력!$K:$K,실시간콜입력!$B:$B,$A1252,실시간콜입력!$G:$G,$B1252,실시간콜입력!$O:$O,"방문완료")+SUMIFS(실시간콜입력!$L:$L,실시간콜입력!$B:$B,$A1252,실시간콜입력!$H:$H,$B1252,실시간콜입력!$O:$O,"방문완료")</f>
        <v>0</v>
      </c>
      <c r="M1252" s="29" t="str">
        <f t="shared" si="167"/>
        <v/>
      </c>
      <c r="N1252" s="29"/>
    </row>
    <row r="1253" spans="1:14" ht="21.75" customHeight="1" collapsed="1">
      <c r="A1253" s="64">
        <f>IF(25&lt;=DAY(DATE(YEAR(설정_코스수당!$K$2),MONTH(설정_코스수당!$K$2)+1,0)),DATE(YEAR(설정_코스수당!$K$2),MONTH(설정_코스수당!$K$2),25),"")</f>
        <v>46198</v>
      </c>
      <c r="B1253" s="65" t="str">
        <f>IF(A1253="","","출근 "&amp;COUNTIF(C1255:C1304,"&lt;&gt;")&amp;"명")</f>
        <v>출근 0명</v>
      </c>
      <c r="C1253" s="65" t="str">
        <f>IF(A1253="","","만근 "&amp;COUNTIF(M1255:M1304,"인정")&amp;"명")</f>
        <v>만근 0명</v>
      </c>
      <c r="D1253" s="65" t="str">
        <f>IFERROR("평균 "&amp;TEXT(AVERAGEIF(E1255:E1304,"&gt;0",E1255:E1304),"0.0")&amp;"h","평균 -")</f>
        <v>평균 -</v>
      </c>
      <c r="E1253" s="65" t="s">
        <v>163</v>
      </c>
      <c r="F1253" s="65">
        <f t="shared" ref="F1253:L1253" si="168">SUM(F1255:F1304)</f>
        <v>0</v>
      </c>
      <c r="G1253" s="65">
        <f t="shared" si="168"/>
        <v>0</v>
      </c>
      <c r="H1253" s="65">
        <f t="shared" si="168"/>
        <v>0</v>
      </c>
      <c r="I1253" s="65">
        <f t="shared" si="168"/>
        <v>0</v>
      </c>
      <c r="J1253" s="65">
        <f t="shared" si="168"/>
        <v>0</v>
      </c>
      <c r="K1253" s="65">
        <f t="shared" si="168"/>
        <v>0</v>
      </c>
      <c r="L1253" s="66">
        <f t="shared" si="168"/>
        <v>0</v>
      </c>
      <c r="M1253" s="65">
        <f>COUNTIF(M1255:M1304,"인정")</f>
        <v>0</v>
      </c>
      <c r="N1253" s="65" t="s">
        <v>164</v>
      </c>
    </row>
    <row r="1254" spans="1:14" ht="19.5" hidden="1" customHeight="1" outlineLevel="1">
      <c r="A1254" s="20" t="s">
        <v>42</v>
      </c>
      <c r="B1254" s="20" t="s">
        <v>152</v>
      </c>
      <c r="C1254" s="20" t="s">
        <v>153</v>
      </c>
      <c r="D1254" s="20" t="s">
        <v>154</v>
      </c>
      <c r="E1254" s="20" t="s">
        <v>155</v>
      </c>
      <c r="F1254" s="20" t="s">
        <v>156</v>
      </c>
      <c r="G1254" s="20" t="s">
        <v>157</v>
      </c>
      <c r="H1254" s="20" t="s">
        <v>158</v>
      </c>
      <c r="I1254" s="20" t="s">
        <v>159</v>
      </c>
      <c r="J1254" s="20" t="s">
        <v>160</v>
      </c>
      <c r="K1254" s="20" t="s">
        <v>118</v>
      </c>
      <c r="L1254" s="20" t="s">
        <v>161</v>
      </c>
      <c r="M1254" s="20" t="s">
        <v>162</v>
      </c>
      <c r="N1254" s="20" t="s">
        <v>95</v>
      </c>
    </row>
    <row r="1255" spans="1:14" ht="19.5" hidden="1" customHeight="1" outlineLevel="1">
      <c r="A1255" s="24">
        <f>IF(25&lt;=DAY(DATE(YEAR(설정_코스수당!$K$2),MONTH(설정_코스수당!$K$2)+1,0)),DATE(YEAR(설정_코스수당!$K$2),MONTH(설정_코스수당!$K$2),25),"")</f>
        <v>46198</v>
      </c>
      <c r="B1255" s="23" t="s">
        <v>47</v>
      </c>
      <c r="C1255" s="23"/>
      <c r="D1255" s="23"/>
      <c r="E1255" s="23" t="str">
        <f t="shared" ref="E1255:E1286" si="169">IF(AND(C1255&lt;&gt;"",D1255&lt;&gt;""),IF(D1255&lt;C1255,D1255+1-C1255,D1255-C1255)*24,"")</f>
        <v/>
      </c>
      <c r="F1255" s="23">
        <f>COUNTIFS(실시간콜입력!$B:$B,$A1255,실시간콜입력!$E:$E,"A",실시간콜입력!$G:$G,$B1255,실시간콜입력!$O:$O,"방문완료")+COUNTIFS(실시간콜입력!$B:$B,$A1255,실시간콜입력!$E:$E,"A",실시간콜입력!$H:$H,$B1255,실시간콜입력!$O:$O,"방문완료")</f>
        <v>0</v>
      </c>
      <c r="G1255" s="23">
        <f>COUNTIFS(실시간콜입력!$B:$B,$A1255,실시간콜입력!$E:$E,"B",실시간콜입력!$G:$G,$B1255,실시간콜입력!$O:$O,"방문완료")+COUNTIFS(실시간콜입력!$B:$B,$A1255,실시간콜입력!$E:$E,"B",실시간콜입력!$H:$H,$B1255,실시간콜입력!$O:$O,"방문완료")</f>
        <v>0</v>
      </c>
      <c r="H1255" s="23">
        <f>COUNTIFS(실시간콜입력!$B:$B,$A1255,실시간콜입력!$E:$E,"C",실시간콜입력!$G:$G,$B1255,실시간콜입력!$O:$O,"방문완료")+COUNTIFS(실시간콜입력!$B:$B,$A1255,실시간콜입력!$E:$E,"C",실시간콜입력!$H:$H,$B1255,실시간콜입력!$O:$O,"방문완료")</f>
        <v>0</v>
      </c>
      <c r="I1255" s="23">
        <f>COUNTIFS(실시간콜입력!$B:$B,$A1255,실시간콜입력!$E:$E,"D",실시간콜입력!$G:$G,$B1255,실시간콜입력!$O:$O,"방문완료")+COUNTIFS(실시간콜입력!$B:$B,$A1255,실시간콜입력!$E:$E,"D",실시간콜입력!$H:$H,$B1255,실시간콜입력!$O:$O,"방문완료")</f>
        <v>0</v>
      </c>
      <c r="J1255" s="23">
        <f>COUNTIFS(실시간콜입력!$B:$B,$A1255,실시간콜입력!$E:$E,"E",실시간콜입력!$G:$G,$B1255,실시간콜입력!$O:$O,"방문완료")+COUNTIFS(실시간콜입력!$B:$B,$A1255,실시간콜입력!$E:$E,"E",실시간콜입력!$H:$H,$B1255,실시간콜입력!$O:$O,"방문완료")</f>
        <v>0</v>
      </c>
      <c r="K1255" s="23">
        <f t="shared" ref="K1255:K1286" si="170">SUM(F1255:J1255)</f>
        <v>0</v>
      </c>
      <c r="L1255" s="27">
        <f>SUMIFS(실시간콜입력!$K:$K,실시간콜입력!$B:$B,$A1255,실시간콜입력!$G:$G,$B1255,실시간콜입력!$O:$O,"방문완료")+SUMIFS(실시간콜입력!$L:$L,실시간콜입력!$B:$B,$A1255,실시간콜입력!$H:$H,$B1255,실시간콜입력!$O:$O,"방문완료")</f>
        <v>0</v>
      </c>
      <c r="M1255" s="23" t="str">
        <f t="shared" ref="M1255:M1286" si="171">IF(AND(ISNUMBER(E1255),E1255&gt;=8),"인정","")</f>
        <v/>
      </c>
      <c r="N1255" s="23"/>
    </row>
    <row r="1256" spans="1:14" ht="19.5" hidden="1" customHeight="1" outlineLevel="1">
      <c r="A1256" s="30">
        <f>IF(25&lt;=DAY(DATE(YEAR(설정_코스수당!$K$2),MONTH(설정_코스수당!$K$2)+1,0)),DATE(YEAR(설정_코스수당!$K$2),MONTH(설정_코스수당!$K$2),25),"")</f>
        <v>46198</v>
      </c>
      <c r="B1256" s="29" t="s">
        <v>48</v>
      </c>
      <c r="C1256" s="29"/>
      <c r="D1256" s="29"/>
      <c r="E1256" s="29" t="str">
        <f t="shared" si="169"/>
        <v/>
      </c>
      <c r="F1256" s="29">
        <f>COUNTIFS(실시간콜입력!$B:$B,$A1256,실시간콜입력!$E:$E,"A",실시간콜입력!$G:$G,$B1256,실시간콜입력!$O:$O,"방문완료")+COUNTIFS(실시간콜입력!$B:$B,$A1256,실시간콜입력!$E:$E,"A",실시간콜입력!$H:$H,$B1256,실시간콜입력!$O:$O,"방문완료")</f>
        <v>0</v>
      </c>
      <c r="G1256" s="29">
        <f>COUNTIFS(실시간콜입력!$B:$B,$A1256,실시간콜입력!$E:$E,"B",실시간콜입력!$G:$G,$B1256,실시간콜입력!$O:$O,"방문완료")+COUNTIFS(실시간콜입력!$B:$B,$A1256,실시간콜입력!$E:$E,"B",실시간콜입력!$H:$H,$B1256,실시간콜입력!$O:$O,"방문완료")</f>
        <v>0</v>
      </c>
      <c r="H1256" s="29">
        <f>COUNTIFS(실시간콜입력!$B:$B,$A1256,실시간콜입력!$E:$E,"C",실시간콜입력!$G:$G,$B1256,실시간콜입력!$O:$O,"방문완료")+COUNTIFS(실시간콜입력!$B:$B,$A1256,실시간콜입력!$E:$E,"C",실시간콜입력!$H:$H,$B1256,실시간콜입력!$O:$O,"방문완료")</f>
        <v>0</v>
      </c>
      <c r="I1256" s="29">
        <f>COUNTIFS(실시간콜입력!$B:$B,$A1256,실시간콜입력!$E:$E,"D",실시간콜입력!$G:$G,$B1256,실시간콜입력!$O:$O,"방문완료")+COUNTIFS(실시간콜입력!$B:$B,$A1256,실시간콜입력!$E:$E,"D",실시간콜입력!$H:$H,$B1256,실시간콜입력!$O:$O,"방문완료")</f>
        <v>0</v>
      </c>
      <c r="J1256" s="29">
        <f>COUNTIFS(실시간콜입력!$B:$B,$A1256,실시간콜입력!$E:$E,"E",실시간콜입력!$G:$G,$B1256,실시간콜입력!$O:$O,"방문완료")+COUNTIFS(실시간콜입력!$B:$B,$A1256,실시간콜입력!$E:$E,"E",실시간콜입력!$H:$H,$B1256,실시간콜입력!$O:$O,"방문완료")</f>
        <v>0</v>
      </c>
      <c r="K1256" s="29">
        <f t="shared" si="170"/>
        <v>0</v>
      </c>
      <c r="L1256" s="33">
        <f>SUMIFS(실시간콜입력!$K:$K,실시간콜입력!$B:$B,$A1256,실시간콜입력!$G:$G,$B1256,실시간콜입력!$O:$O,"방문완료")+SUMIFS(실시간콜입력!$L:$L,실시간콜입력!$B:$B,$A1256,실시간콜입력!$H:$H,$B1256,실시간콜입력!$O:$O,"방문완료")</f>
        <v>0</v>
      </c>
      <c r="M1256" s="29" t="str">
        <f t="shared" si="171"/>
        <v/>
      </c>
      <c r="N1256" s="29"/>
    </row>
    <row r="1257" spans="1:14" ht="19.5" hidden="1" customHeight="1" outlineLevel="1">
      <c r="A1257" s="24">
        <f>IF(25&lt;=DAY(DATE(YEAR(설정_코스수당!$K$2),MONTH(설정_코스수당!$K$2)+1,0)),DATE(YEAR(설정_코스수당!$K$2),MONTH(설정_코스수당!$K$2),25),"")</f>
        <v>46198</v>
      </c>
      <c r="B1257" s="23" t="s">
        <v>165</v>
      </c>
      <c r="C1257" s="29"/>
      <c r="D1257" s="29"/>
      <c r="E1257" s="29" t="str">
        <f t="shared" si="169"/>
        <v/>
      </c>
      <c r="F1257" s="29">
        <f>COUNTIFS(실시간콜입력!$B:$B,$A1257,실시간콜입력!$E:$E,"A",실시간콜입력!$G:$G,$B1257,실시간콜입력!$O:$O,"방문완료")+COUNTIFS(실시간콜입력!$B:$B,$A1257,실시간콜입력!$E:$E,"A",실시간콜입력!$H:$H,$B1257,실시간콜입력!$O:$O,"방문완료")</f>
        <v>0</v>
      </c>
      <c r="G1257" s="29">
        <f>COUNTIFS(실시간콜입력!$B:$B,$A1257,실시간콜입력!$E:$E,"B",실시간콜입력!$G:$G,$B1257,실시간콜입력!$O:$O,"방문완료")+COUNTIFS(실시간콜입력!$B:$B,$A1257,실시간콜입력!$E:$E,"B",실시간콜입력!$H:$H,$B1257,실시간콜입력!$O:$O,"방문완료")</f>
        <v>0</v>
      </c>
      <c r="H1257" s="29">
        <f>COUNTIFS(실시간콜입력!$B:$B,$A1257,실시간콜입력!$E:$E,"C",실시간콜입력!$G:$G,$B1257,실시간콜입력!$O:$O,"방문완료")+COUNTIFS(실시간콜입력!$B:$B,$A1257,실시간콜입력!$E:$E,"C",실시간콜입력!$H:$H,$B1257,실시간콜입력!$O:$O,"방문완료")</f>
        <v>0</v>
      </c>
      <c r="I1257" s="29">
        <f>COUNTIFS(실시간콜입력!$B:$B,$A1257,실시간콜입력!$E:$E,"D",실시간콜입력!$G:$G,$B1257,실시간콜입력!$O:$O,"방문완료")+COUNTIFS(실시간콜입력!$B:$B,$A1257,실시간콜입력!$E:$E,"D",실시간콜입력!$H:$H,$B1257,실시간콜입력!$O:$O,"방문완료")</f>
        <v>0</v>
      </c>
      <c r="J1257" s="29">
        <f>COUNTIFS(실시간콜입력!$B:$B,$A1257,실시간콜입력!$E:$E,"E",실시간콜입력!$G:$G,$B1257,실시간콜입력!$O:$O,"방문완료")+COUNTIFS(실시간콜입력!$B:$B,$A1257,실시간콜입력!$E:$E,"E",실시간콜입력!$H:$H,$B1257,실시간콜입력!$O:$O,"방문완료")</f>
        <v>0</v>
      </c>
      <c r="K1257" s="29">
        <f t="shared" si="170"/>
        <v>0</v>
      </c>
      <c r="L1257" s="27">
        <f>SUMIFS(실시간콜입력!$K:$K,실시간콜입력!$B:$B,$A1257,실시간콜입력!$G:$G,$B1257,실시간콜입력!$O:$O,"방문완료")+SUMIFS(실시간콜입력!$L:$L,실시간콜입력!$B:$B,$A1257,실시간콜입력!$H:$H,$B1257,실시간콜입력!$O:$O,"방문완료")</f>
        <v>0</v>
      </c>
      <c r="M1257" s="29" t="str">
        <f t="shared" si="171"/>
        <v/>
      </c>
      <c r="N1257" s="29"/>
    </row>
    <row r="1258" spans="1:14" ht="19.5" hidden="1" customHeight="1" outlineLevel="1">
      <c r="A1258" s="30">
        <f>IF(25&lt;=DAY(DATE(YEAR(설정_코스수당!$K$2),MONTH(설정_코스수당!$K$2)+1,0)),DATE(YEAR(설정_코스수당!$K$2),MONTH(설정_코스수당!$K$2),25),"")</f>
        <v>46198</v>
      </c>
      <c r="B1258" s="29" t="s">
        <v>166</v>
      </c>
      <c r="C1258" s="29"/>
      <c r="D1258" s="29"/>
      <c r="E1258" s="29" t="str">
        <f t="shared" si="169"/>
        <v/>
      </c>
      <c r="F1258" s="29">
        <f>COUNTIFS(실시간콜입력!$B:$B,$A1258,실시간콜입력!$E:$E,"A",실시간콜입력!$G:$G,$B1258,실시간콜입력!$O:$O,"방문완료")+COUNTIFS(실시간콜입력!$B:$B,$A1258,실시간콜입력!$E:$E,"A",실시간콜입력!$H:$H,$B1258,실시간콜입력!$O:$O,"방문완료")</f>
        <v>0</v>
      </c>
      <c r="G1258" s="29">
        <f>COUNTIFS(실시간콜입력!$B:$B,$A1258,실시간콜입력!$E:$E,"B",실시간콜입력!$G:$G,$B1258,실시간콜입력!$O:$O,"방문완료")+COUNTIFS(실시간콜입력!$B:$B,$A1258,실시간콜입력!$E:$E,"B",실시간콜입력!$H:$H,$B1258,실시간콜입력!$O:$O,"방문완료")</f>
        <v>0</v>
      </c>
      <c r="H1258" s="29">
        <f>COUNTIFS(실시간콜입력!$B:$B,$A1258,실시간콜입력!$E:$E,"C",실시간콜입력!$G:$G,$B1258,실시간콜입력!$O:$O,"방문완료")+COUNTIFS(실시간콜입력!$B:$B,$A1258,실시간콜입력!$E:$E,"C",실시간콜입력!$H:$H,$B1258,실시간콜입력!$O:$O,"방문완료")</f>
        <v>0</v>
      </c>
      <c r="I1258" s="29">
        <f>COUNTIFS(실시간콜입력!$B:$B,$A1258,실시간콜입력!$E:$E,"D",실시간콜입력!$G:$G,$B1258,실시간콜입력!$O:$O,"방문완료")+COUNTIFS(실시간콜입력!$B:$B,$A1258,실시간콜입력!$E:$E,"D",실시간콜입력!$H:$H,$B1258,실시간콜입력!$O:$O,"방문완료")</f>
        <v>0</v>
      </c>
      <c r="J1258" s="29">
        <f>COUNTIFS(실시간콜입력!$B:$B,$A1258,실시간콜입력!$E:$E,"E",실시간콜입력!$G:$G,$B1258,실시간콜입력!$O:$O,"방문완료")+COUNTIFS(실시간콜입력!$B:$B,$A1258,실시간콜입력!$E:$E,"E",실시간콜입력!$H:$H,$B1258,실시간콜입력!$O:$O,"방문완료")</f>
        <v>0</v>
      </c>
      <c r="K1258" s="29">
        <f t="shared" si="170"/>
        <v>0</v>
      </c>
      <c r="L1258" s="33">
        <f>SUMIFS(실시간콜입력!$K:$K,실시간콜입력!$B:$B,$A1258,실시간콜입력!$G:$G,$B1258,실시간콜입력!$O:$O,"방문완료")+SUMIFS(실시간콜입력!$L:$L,실시간콜입력!$B:$B,$A1258,실시간콜입력!$H:$H,$B1258,실시간콜입력!$O:$O,"방문완료")</f>
        <v>0</v>
      </c>
      <c r="M1258" s="29" t="str">
        <f t="shared" si="171"/>
        <v/>
      </c>
      <c r="N1258" s="29"/>
    </row>
    <row r="1259" spans="1:14" ht="19.5" hidden="1" customHeight="1" outlineLevel="1">
      <c r="A1259" s="24">
        <f>IF(25&lt;=DAY(DATE(YEAR(설정_코스수당!$K$2),MONTH(설정_코스수당!$K$2)+1,0)),DATE(YEAR(설정_코스수당!$K$2),MONTH(설정_코스수당!$K$2),25),"")</f>
        <v>46198</v>
      </c>
      <c r="B1259" s="23" t="s">
        <v>167</v>
      </c>
      <c r="C1259" s="29"/>
      <c r="D1259" s="29"/>
      <c r="E1259" s="29" t="str">
        <f t="shared" si="169"/>
        <v/>
      </c>
      <c r="F1259" s="29">
        <f>COUNTIFS(실시간콜입력!$B:$B,$A1259,실시간콜입력!$E:$E,"A",실시간콜입력!$G:$G,$B1259,실시간콜입력!$O:$O,"방문완료")+COUNTIFS(실시간콜입력!$B:$B,$A1259,실시간콜입력!$E:$E,"A",실시간콜입력!$H:$H,$B1259,실시간콜입력!$O:$O,"방문완료")</f>
        <v>0</v>
      </c>
      <c r="G1259" s="29">
        <f>COUNTIFS(실시간콜입력!$B:$B,$A1259,실시간콜입력!$E:$E,"B",실시간콜입력!$G:$G,$B1259,실시간콜입력!$O:$O,"방문완료")+COUNTIFS(실시간콜입력!$B:$B,$A1259,실시간콜입력!$E:$E,"B",실시간콜입력!$H:$H,$B1259,실시간콜입력!$O:$O,"방문완료")</f>
        <v>0</v>
      </c>
      <c r="H1259" s="29">
        <f>COUNTIFS(실시간콜입력!$B:$B,$A1259,실시간콜입력!$E:$E,"C",실시간콜입력!$G:$G,$B1259,실시간콜입력!$O:$O,"방문완료")+COUNTIFS(실시간콜입력!$B:$B,$A1259,실시간콜입력!$E:$E,"C",실시간콜입력!$H:$H,$B1259,실시간콜입력!$O:$O,"방문완료")</f>
        <v>0</v>
      </c>
      <c r="I1259" s="29">
        <f>COUNTIFS(실시간콜입력!$B:$B,$A1259,실시간콜입력!$E:$E,"D",실시간콜입력!$G:$G,$B1259,실시간콜입력!$O:$O,"방문완료")+COUNTIFS(실시간콜입력!$B:$B,$A1259,실시간콜입력!$E:$E,"D",실시간콜입력!$H:$H,$B1259,실시간콜입력!$O:$O,"방문완료")</f>
        <v>0</v>
      </c>
      <c r="J1259" s="29">
        <f>COUNTIFS(실시간콜입력!$B:$B,$A1259,실시간콜입력!$E:$E,"E",실시간콜입력!$G:$G,$B1259,실시간콜입력!$O:$O,"방문완료")+COUNTIFS(실시간콜입력!$B:$B,$A1259,실시간콜입력!$E:$E,"E",실시간콜입력!$H:$H,$B1259,실시간콜입력!$O:$O,"방문완료")</f>
        <v>0</v>
      </c>
      <c r="K1259" s="29">
        <f t="shared" si="170"/>
        <v>0</v>
      </c>
      <c r="L1259" s="27">
        <f>SUMIFS(실시간콜입력!$K:$K,실시간콜입력!$B:$B,$A1259,실시간콜입력!$G:$G,$B1259,실시간콜입력!$O:$O,"방문완료")+SUMIFS(실시간콜입력!$L:$L,실시간콜입력!$B:$B,$A1259,실시간콜입력!$H:$H,$B1259,실시간콜입력!$O:$O,"방문완료")</f>
        <v>0</v>
      </c>
      <c r="M1259" s="29" t="str">
        <f t="shared" si="171"/>
        <v/>
      </c>
      <c r="N1259" s="29"/>
    </row>
    <row r="1260" spans="1:14" ht="19.5" hidden="1" customHeight="1" outlineLevel="1">
      <c r="A1260" s="30">
        <f>IF(25&lt;=DAY(DATE(YEAR(설정_코스수당!$K$2),MONTH(설정_코스수당!$K$2)+1,0)),DATE(YEAR(설정_코스수당!$K$2),MONTH(설정_코스수당!$K$2),25),"")</f>
        <v>46198</v>
      </c>
      <c r="B1260" s="29" t="s">
        <v>168</v>
      </c>
      <c r="C1260" s="29"/>
      <c r="D1260" s="29"/>
      <c r="E1260" s="29" t="str">
        <f t="shared" si="169"/>
        <v/>
      </c>
      <c r="F1260" s="29">
        <f>COUNTIFS(실시간콜입력!$B:$B,$A1260,실시간콜입력!$E:$E,"A",실시간콜입력!$G:$G,$B1260,실시간콜입력!$O:$O,"방문완료")+COUNTIFS(실시간콜입력!$B:$B,$A1260,실시간콜입력!$E:$E,"A",실시간콜입력!$H:$H,$B1260,실시간콜입력!$O:$O,"방문완료")</f>
        <v>0</v>
      </c>
      <c r="G1260" s="29">
        <f>COUNTIFS(실시간콜입력!$B:$B,$A1260,실시간콜입력!$E:$E,"B",실시간콜입력!$G:$G,$B1260,실시간콜입력!$O:$O,"방문완료")+COUNTIFS(실시간콜입력!$B:$B,$A1260,실시간콜입력!$E:$E,"B",실시간콜입력!$H:$H,$B1260,실시간콜입력!$O:$O,"방문완료")</f>
        <v>0</v>
      </c>
      <c r="H1260" s="29">
        <f>COUNTIFS(실시간콜입력!$B:$B,$A1260,실시간콜입력!$E:$E,"C",실시간콜입력!$G:$G,$B1260,실시간콜입력!$O:$O,"방문완료")+COUNTIFS(실시간콜입력!$B:$B,$A1260,실시간콜입력!$E:$E,"C",실시간콜입력!$H:$H,$B1260,실시간콜입력!$O:$O,"방문완료")</f>
        <v>0</v>
      </c>
      <c r="I1260" s="29">
        <f>COUNTIFS(실시간콜입력!$B:$B,$A1260,실시간콜입력!$E:$E,"D",실시간콜입력!$G:$G,$B1260,실시간콜입력!$O:$O,"방문완료")+COUNTIFS(실시간콜입력!$B:$B,$A1260,실시간콜입력!$E:$E,"D",실시간콜입력!$H:$H,$B1260,실시간콜입력!$O:$O,"방문완료")</f>
        <v>0</v>
      </c>
      <c r="J1260" s="29">
        <f>COUNTIFS(실시간콜입력!$B:$B,$A1260,실시간콜입력!$E:$E,"E",실시간콜입력!$G:$G,$B1260,실시간콜입력!$O:$O,"방문완료")+COUNTIFS(실시간콜입력!$B:$B,$A1260,실시간콜입력!$E:$E,"E",실시간콜입력!$H:$H,$B1260,실시간콜입력!$O:$O,"방문완료")</f>
        <v>0</v>
      </c>
      <c r="K1260" s="29">
        <f t="shared" si="170"/>
        <v>0</v>
      </c>
      <c r="L1260" s="33">
        <f>SUMIFS(실시간콜입력!$K:$K,실시간콜입력!$B:$B,$A1260,실시간콜입력!$G:$G,$B1260,실시간콜입력!$O:$O,"방문완료")+SUMIFS(실시간콜입력!$L:$L,실시간콜입력!$B:$B,$A1260,실시간콜입력!$H:$H,$B1260,실시간콜입력!$O:$O,"방문완료")</f>
        <v>0</v>
      </c>
      <c r="M1260" s="29" t="str">
        <f t="shared" si="171"/>
        <v/>
      </c>
      <c r="N1260" s="29"/>
    </row>
    <row r="1261" spans="1:14" ht="19.5" hidden="1" customHeight="1" outlineLevel="1">
      <c r="A1261" s="24">
        <f>IF(25&lt;=DAY(DATE(YEAR(설정_코스수당!$K$2),MONTH(설정_코스수당!$K$2)+1,0)),DATE(YEAR(설정_코스수당!$K$2),MONTH(설정_코스수당!$K$2),25),"")</f>
        <v>46198</v>
      </c>
      <c r="B1261" s="23" t="s">
        <v>169</v>
      </c>
      <c r="C1261" s="29"/>
      <c r="D1261" s="29"/>
      <c r="E1261" s="29" t="str">
        <f t="shared" si="169"/>
        <v/>
      </c>
      <c r="F1261" s="29">
        <f>COUNTIFS(실시간콜입력!$B:$B,$A1261,실시간콜입력!$E:$E,"A",실시간콜입력!$G:$G,$B1261,실시간콜입력!$O:$O,"방문완료")+COUNTIFS(실시간콜입력!$B:$B,$A1261,실시간콜입력!$E:$E,"A",실시간콜입력!$H:$H,$B1261,실시간콜입력!$O:$O,"방문완료")</f>
        <v>0</v>
      </c>
      <c r="G1261" s="29">
        <f>COUNTIFS(실시간콜입력!$B:$B,$A1261,실시간콜입력!$E:$E,"B",실시간콜입력!$G:$G,$B1261,실시간콜입력!$O:$O,"방문완료")+COUNTIFS(실시간콜입력!$B:$B,$A1261,실시간콜입력!$E:$E,"B",실시간콜입력!$H:$H,$B1261,실시간콜입력!$O:$O,"방문완료")</f>
        <v>0</v>
      </c>
      <c r="H1261" s="29">
        <f>COUNTIFS(실시간콜입력!$B:$B,$A1261,실시간콜입력!$E:$E,"C",실시간콜입력!$G:$G,$B1261,실시간콜입력!$O:$O,"방문완료")+COUNTIFS(실시간콜입력!$B:$B,$A1261,실시간콜입력!$E:$E,"C",실시간콜입력!$H:$H,$B1261,실시간콜입력!$O:$O,"방문완료")</f>
        <v>0</v>
      </c>
      <c r="I1261" s="29">
        <f>COUNTIFS(실시간콜입력!$B:$B,$A1261,실시간콜입력!$E:$E,"D",실시간콜입력!$G:$G,$B1261,실시간콜입력!$O:$O,"방문완료")+COUNTIFS(실시간콜입력!$B:$B,$A1261,실시간콜입력!$E:$E,"D",실시간콜입력!$H:$H,$B1261,실시간콜입력!$O:$O,"방문완료")</f>
        <v>0</v>
      </c>
      <c r="J1261" s="29">
        <f>COUNTIFS(실시간콜입력!$B:$B,$A1261,실시간콜입력!$E:$E,"E",실시간콜입력!$G:$G,$B1261,실시간콜입력!$O:$O,"방문완료")+COUNTIFS(실시간콜입력!$B:$B,$A1261,실시간콜입력!$E:$E,"E",실시간콜입력!$H:$H,$B1261,실시간콜입력!$O:$O,"방문완료")</f>
        <v>0</v>
      </c>
      <c r="K1261" s="29">
        <f t="shared" si="170"/>
        <v>0</v>
      </c>
      <c r="L1261" s="27">
        <f>SUMIFS(실시간콜입력!$K:$K,실시간콜입력!$B:$B,$A1261,실시간콜입력!$G:$G,$B1261,실시간콜입력!$O:$O,"방문완료")+SUMIFS(실시간콜입력!$L:$L,실시간콜입력!$B:$B,$A1261,실시간콜입력!$H:$H,$B1261,실시간콜입력!$O:$O,"방문완료")</f>
        <v>0</v>
      </c>
      <c r="M1261" s="29" t="str">
        <f t="shared" si="171"/>
        <v/>
      </c>
      <c r="N1261" s="29"/>
    </row>
    <row r="1262" spans="1:14" ht="19.5" hidden="1" customHeight="1" outlineLevel="1">
      <c r="A1262" s="30">
        <f>IF(25&lt;=DAY(DATE(YEAR(설정_코스수당!$K$2),MONTH(설정_코스수당!$K$2)+1,0)),DATE(YEAR(설정_코스수당!$K$2),MONTH(설정_코스수당!$K$2),25),"")</f>
        <v>46198</v>
      </c>
      <c r="B1262" s="29" t="s">
        <v>170</v>
      </c>
      <c r="C1262" s="29"/>
      <c r="D1262" s="29"/>
      <c r="E1262" s="29" t="str">
        <f t="shared" si="169"/>
        <v/>
      </c>
      <c r="F1262" s="29">
        <f>COUNTIFS(실시간콜입력!$B:$B,$A1262,실시간콜입력!$E:$E,"A",실시간콜입력!$G:$G,$B1262,실시간콜입력!$O:$O,"방문완료")+COUNTIFS(실시간콜입력!$B:$B,$A1262,실시간콜입력!$E:$E,"A",실시간콜입력!$H:$H,$B1262,실시간콜입력!$O:$O,"방문완료")</f>
        <v>0</v>
      </c>
      <c r="G1262" s="29">
        <f>COUNTIFS(실시간콜입력!$B:$B,$A1262,실시간콜입력!$E:$E,"B",실시간콜입력!$G:$G,$B1262,실시간콜입력!$O:$O,"방문완료")+COUNTIFS(실시간콜입력!$B:$B,$A1262,실시간콜입력!$E:$E,"B",실시간콜입력!$H:$H,$B1262,실시간콜입력!$O:$O,"방문완료")</f>
        <v>0</v>
      </c>
      <c r="H1262" s="29">
        <f>COUNTIFS(실시간콜입력!$B:$B,$A1262,실시간콜입력!$E:$E,"C",실시간콜입력!$G:$G,$B1262,실시간콜입력!$O:$O,"방문완료")+COUNTIFS(실시간콜입력!$B:$B,$A1262,실시간콜입력!$E:$E,"C",실시간콜입력!$H:$H,$B1262,실시간콜입력!$O:$O,"방문완료")</f>
        <v>0</v>
      </c>
      <c r="I1262" s="29">
        <f>COUNTIFS(실시간콜입력!$B:$B,$A1262,실시간콜입력!$E:$E,"D",실시간콜입력!$G:$G,$B1262,실시간콜입력!$O:$O,"방문완료")+COUNTIFS(실시간콜입력!$B:$B,$A1262,실시간콜입력!$E:$E,"D",실시간콜입력!$H:$H,$B1262,실시간콜입력!$O:$O,"방문완료")</f>
        <v>0</v>
      </c>
      <c r="J1262" s="29">
        <f>COUNTIFS(실시간콜입력!$B:$B,$A1262,실시간콜입력!$E:$E,"E",실시간콜입력!$G:$G,$B1262,실시간콜입력!$O:$O,"방문완료")+COUNTIFS(실시간콜입력!$B:$B,$A1262,실시간콜입력!$E:$E,"E",실시간콜입력!$H:$H,$B1262,실시간콜입력!$O:$O,"방문완료")</f>
        <v>0</v>
      </c>
      <c r="K1262" s="29">
        <f t="shared" si="170"/>
        <v>0</v>
      </c>
      <c r="L1262" s="33">
        <f>SUMIFS(실시간콜입력!$K:$K,실시간콜입력!$B:$B,$A1262,실시간콜입력!$G:$G,$B1262,실시간콜입력!$O:$O,"방문완료")+SUMIFS(실시간콜입력!$L:$L,실시간콜입력!$B:$B,$A1262,실시간콜입력!$H:$H,$B1262,실시간콜입력!$O:$O,"방문완료")</f>
        <v>0</v>
      </c>
      <c r="M1262" s="29" t="str">
        <f t="shared" si="171"/>
        <v/>
      </c>
      <c r="N1262" s="29"/>
    </row>
    <row r="1263" spans="1:14" ht="19.5" hidden="1" customHeight="1" outlineLevel="1">
      <c r="A1263" s="24">
        <f>IF(25&lt;=DAY(DATE(YEAR(설정_코스수당!$K$2),MONTH(설정_코스수당!$K$2)+1,0)),DATE(YEAR(설정_코스수당!$K$2),MONTH(설정_코스수당!$K$2),25),"")</f>
        <v>46198</v>
      </c>
      <c r="B1263" s="23" t="s">
        <v>171</v>
      </c>
      <c r="C1263" s="29"/>
      <c r="D1263" s="29"/>
      <c r="E1263" s="29" t="str">
        <f t="shared" si="169"/>
        <v/>
      </c>
      <c r="F1263" s="29">
        <f>COUNTIFS(실시간콜입력!$B:$B,$A1263,실시간콜입력!$E:$E,"A",실시간콜입력!$G:$G,$B1263,실시간콜입력!$O:$O,"방문완료")+COUNTIFS(실시간콜입력!$B:$B,$A1263,실시간콜입력!$E:$E,"A",실시간콜입력!$H:$H,$B1263,실시간콜입력!$O:$O,"방문완료")</f>
        <v>0</v>
      </c>
      <c r="G1263" s="29">
        <f>COUNTIFS(실시간콜입력!$B:$B,$A1263,실시간콜입력!$E:$E,"B",실시간콜입력!$G:$G,$B1263,실시간콜입력!$O:$O,"방문완료")+COUNTIFS(실시간콜입력!$B:$B,$A1263,실시간콜입력!$E:$E,"B",실시간콜입력!$H:$H,$B1263,실시간콜입력!$O:$O,"방문완료")</f>
        <v>0</v>
      </c>
      <c r="H1263" s="29">
        <f>COUNTIFS(실시간콜입력!$B:$B,$A1263,실시간콜입력!$E:$E,"C",실시간콜입력!$G:$G,$B1263,실시간콜입력!$O:$O,"방문완료")+COUNTIFS(실시간콜입력!$B:$B,$A1263,실시간콜입력!$E:$E,"C",실시간콜입력!$H:$H,$B1263,실시간콜입력!$O:$O,"방문완료")</f>
        <v>0</v>
      </c>
      <c r="I1263" s="29">
        <f>COUNTIFS(실시간콜입력!$B:$B,$A1263,실시간콜입력!$E:$E,"D",실시간콜입력!$G:$G,$B1263,실시간콜입력!$O:$O,"방문완료")+COUNTIFS(실시간콜입력!$B:$B,$A1263,실시간콜입력!$E:$E,"D",실시간콜입력!$H:$H,$B1263,실시간콜입력!$O:$O,"방문완료")</f>
        <v>0</v>
      </c>
      <c r="J1263" s="29">
        <f>COUNTIFS(실시간콜입력!$B:$B,$A1263,실시간콜입력!$E:$E,"E",실시간콜입력!$G:$G,$B1263,실시간콜입력!$O:$O,"방문완료")+COUNTIFS(실시간콜입력!$B:$B,$A1263,실시간콜입력!$E:$E,"E",실시간콜입력!$H:$H,$B1263,실시간콜입력!$O:$O,"방문완료")</f>
        <v>0</v>
      </c>
      <c r="K1263" s="29">
        <f t="shared" si="170"/>
        <v>0</v>
      </c>
      <c r="L1263" s="27">
        <f>SUMIFS(실시간콜입력!$K:$K,실시간콜입력!$B:$B,$A1263,실시간콜입력!$G:$G,$B1263,실시간콜입력!$O:$O,"방문완료")+SUMIFS(실시간콜입력!$L:$L,실시간콜입력!$B:$B,$A1263,실시간콜입력!$H:$H,$B1263,실시간콜입력!$O:$O,"방문완료")</f>
        <v>0</v>
      </c>
      <c r="M1263" s="29" t="str">
        <f t="shared" si="171"/>
        <v/>
      </c>
      <c r="N1263" s="29"/>
    </row>
    <row r="1264" spans="1:14" ht="19.5" hidden="1" customHeight="1" outlineLevel="1">
      <c r="A1264" s="30">
        <f>IF(25&lt;=DAY(DATE(YEAR(설정_코스수당!$K$2),MONTH(설정_코스수당!$K$2)+1,0)),DATE(YEAR(설정_코스수당!$K$2),MONTH(설정_코스수당!$K$2),25),"")</f>
        <v>46198</v>
      </c>
      <c r="B1264" s="29" t="s">
        <v>172</v>
      </c>
      <c r="C1264" s="29"/>
      <c r="D1264" s="29"/>
      <c r="E1264" s="29" t="str">
        <f t="shared" si="169"/>
        <v/>
      </c>
      <c r="F1264" s="29">
        <f>COUNTIFS(실시간콜입력!$B:$B,$A1264,실시간콜입력!$E:$E,"A",실시간콜입력!$G:$G,$B1264,실시간콜입력!$O:$O,"방문완료")+COUNTIFS(실시간콜입력!$B:$B,$A1264,실시간콜입력!$E:$E,"A",실시간콜입력!$H:$H,$B1264,실시간콜입력!$O:$O,"방문완료")</f>
        <v>0</v>
      </c>
      <c r="G1264" s="29">
        <f>COUNTIFS(실시간콜입력!$B:$B,$A1264,실시간콜입력!$E:$E,"B",실시간콜입력!$G:$G,$B1264,실시간콜입력!$O:$O,"방문완료")+COUNTIFS(실시간콜입력!$B:$B,$A1264,실시간콜입력!$E:$E,"B",실시간콜입력!$H:$H,$B1264,실시간콜입력!$O:$O,"방문완료")</f>
        <v>0</v>
      </c>
      <c r="H1264" s="29">
        <f>COUNTIFS(실시간콜입력!$B:$B,$A1264,실시간콜입력!$E:$E,"C",실시간콜입력!$G:$G,$B1264,실시간콜입력!$O:$O,"방문완료")+COUNTIFS(실시간콜입력!$B:$B,$A1264,실시간콜입력!$E:$E,"C",실시간콜입력!$H:$H,$B1264,실시간콜입력!$O:$O,"방문완료")</f>
        <v>0</v>
      </c>
      <c r="I1264" s="29">
        <f>COUNTIFS(실시간콜입력!$B:$B,$A1264,실시간콜입력!$E:$E,"D",실시간콜입력!$G:$G,$B1264,실시간콜입력!$O:$O,"방문완료")+COUNTIFS(실시간콜입력!$B:$B,$A1264,실시간콜입력!$E:$E,"D",실시간콜입력!$H:$H,$B1264,실시간콜입력!$O:$O,"방문완료")</f>
        <v>0</v>
      </c>
      <c r="J1264" s="29">
        <f>COUNTIFS(실시간콜입력!$B:$B,$A1264,실시간콜입력!$E:$E,"E",실시간콜입력!$G:$G,$B1264,실시간콜입력!$O:$O,"방문완료")+COUNTIFS(실시간콜입력!$B:$B,$A1264,실시간콜입력!$E:$E,"E",실시간콜입력!$H:$H,$B1264,실시간콜입력!$O:$O,"방문완료")</f>
        <v>0</v>
      </c>
      <c r="K1264" s="29">
        <f t="shared" si="170"/>
        <v>0</v>
      </c>
      <c r="L1264" s="33">
        <f>SUMIFS(실시간콜입력!$K:$K,실시간콜입력!$B:$B,$A1264,실시간콜입력!$G:$G,$B1264,실시간콜입력!$O:$O,"방문완료")+SUMIFS(실시간콜입력!$L:$L,실시간콜입력!$B:$B,$A1264,실시간콜입력!$H:$H,$B1264,실시간콜입력!$O:$O,"방문완료")</f>
        <v>0</v>
      </c>
      <c r="M1264" s="29" t="str">
        <f t="shared" si="171"/>
        <v/>
      </c>
      <c r="N1264" s="29"/>
    </row>
    <row r="1265" spans="1:14" ht="19.5" hidden="1" customHeight="1" outlineLevel="1">
      <c r="A1265" s="24">
        <f>IF(25&lt;=DAY(DATE(YEAR(설정_코스수당!$K$2),MONTH(설정_코스수당!$K$2)+1,0)),DATE(YEAR(설정_코스수당!$K$2),MONTH(설정_코스수당!$K$2),25),"")</f>
        <v>46198</v>
      </c>
      <c r="B1265" s="23" t="s">
        <v>173</v>
      </c>
      <c r="C1265" s="29"/>
      <c r="D1265" s="29"/>
      <c r="E1265" s="29" t="str">
        <f t="shared" si="169"/>
        <v/>
      </c>
      <c r="F1265" s="29">
        <f>COUNTIFS(실시간콜입력!$B:$B,$A1265,실시간콜입력!$E:$E,"A",실시간콜입력!$G:$G,$B1265,실시간콜입력!$O:$O,"방문완료")+COUNTIFS(실시간콜입력!$B:$B,$A1265,실시간콜입력!$E:$E,"A",실시간콜입력!$H:$H,$B1265,실시간콜입력!$O:$O,"방문완료")</f>
        <v>0</v>
      </c>
      <c r="G1265" s="29">
        <f>COUNTIFS(실시간콜입력!$B:$B,$A1265,실시간콜입력!$E:$E,"B",실시간콜입력!$G:$G,$B1265,실시간콜입력!$O:$O,"방문완료")+COUNTIFS(실시간콜입력!$B:$B,$A1265,실시간콜입력!$E:$E,"B",실시간콜입력!$H:$H,$B1265,실시간콜입력!$O:$O,"방문완료")</f>
        <v>0</v>
      </c>
      <c r="H1265" s="29">
        <f>COUNTIFS(실시간콜입력!$B:$B,$A1265,실시간콜입력!$E:$E,"C",실시간콜입력!$G:$G,$B1265,실시간콜입력!$O:$O,"방문완료")+COUNTIFS(실시간콜입력!$B:$B,$A1265,실시간콜입력!$E:$E,"C",실시간콜입력!$H:$H,$B1265,실시간콜입력!$O:$O,"방문완료")</f>
        <v>0</v>
      </c>
      <c r="I1265" s="29">
        <f>COUNTIFS(실시간콜입력!$B:$B,$A1265,실시간콜입력!$E:$E,"D",실시간콜입력!$G:$G,$B1265,실시간콜입력!$O:$O,"방문완료")+COUNTIFS(실시간콜입력!$B:$B,$A1265,실시간콜입력!$E:$E,"D",실시간콜입력!$H:$H,$B1265,실시간콜입력!$O:$O,"방문완료")</f>
        <v>0</v>
      </c>
      <c r="J1265" s="29">
        <f>COUNTIFS(실시간콜입력!$B:$B,$A1265,실시간콜입력!$E:$E,"E",실시간콜입력!$G:$G,$B1265,실시간콜입력!$O:$O,"방문완료")+COUNTIFS(실시간콜입력!$B:$B,$A1265,실시간콜입력!$E:$E,"E",실시간콜입력!$H:$H,$B1265,실시간콜입력!$O:$O,"방문완료")</f>
        <v>0</v>
      </c>
      <c r="K1265" s="29">
        <f t="shared" si="170"/>
        <v>0</v>
      </c>
      <c r="L1265" s="27">
        <f>SUMIFS(실시간콜입력!$K:$K,실시간콜입력!$B:$B,$A1265,실시간콜입력!$G:$G,$B1265,실시간콜입력!$O:$O,"방문완료")+SUMIFS(실시간콜입력!$L:$L,실시간콜입력!$B:$B,$A1265,실시간콜입력!$H:$H,$B1265,실시간콜입력!$O:$O,"방문완료")</f>
        <v>0</v>
      </c>
      <c r="M1265" s="29" t="str">
        <f t="shared" si="171"/>
        <v/>
      </c>
      <c r="N1265" s="29"/>
    </row>
    <row r="1266" spans="1:14" ht="19.5" hidden="1" customHeight="1" outlineLevel="1">
      <c r="A1266" s="30">
        <f>IF(25&lt;=DAY(DATE(YEAR(설정_코스수당!$K$2),MONTH(설정_코스수당!$K$2)+1,0)),DATE(YEAR(설정_코스수당!$K$2),MONTH(설정_코스수당!$K$2),25),"")</f>
        <v>46198</v>
      </c>
      <c r="B1266" s="29" t="s">
        <v>174</v>
      </c>
      <c r="C1266" s="29"/>
      <c r="D1266" s="29"/>
      <c r="E1266" s="29" t="str">
        <f t="shared" si="169"/>
        <v/>
      </c>
      <c r="F1266" s="29">
        <f>COUNTIFS(실시간콜입력!$B:$B,$A1266,실시간콜입력!$E:$E,"A",실시간콜입력!$G:$G,$B1266,실시간콜입력!$O:$O,"방문완료")+COUNTIFS(실시간콜입력!$B:$B,$A1266,실시간콜입력!$E:$E,"A",실시간콜입력!$H:$H,$B1266,실시간콜입력!$O:$O,"방문완료")</f>
        <v>0</v>
      </c>
      <c r="G1266" s="29">
        <f>COUNTIFS(실시간콜입력!$B:$B,$A1266,실시간콜입력!$E:$E,"B",실시간콜입력!$G:$G,$B1266,실시간콜입력!$O:$O,"방문완료")+COUNTIFS(실시간콜입력!$B:$B,$A1266,실시간콜입력!$E:$E,"B",실시간콜입력!$H:$H,$B1266,실시간콜입력!$O:$O,"방문완료")</f>
        <v>0</v>
      </c>
      <c r="H1266" s="29">
        <f>COUNTIFS(실시간콜입력!$B:$B,$A1266,실시간콜입력!$E:$E,"C",실시간콜입력!$G:$G,$B1266,실시간콜입력!$O:$O,"방문완료")+COUNTIFS(실시간콜입력!$B:$B,$A1266,실시간콜입력!$E:$E,"C",실시간콜입력!$H:$H,$B1266,실시간콜입력!$O:$O,"방문완료")</f>
        <v>0</v>
      </c>
      <c r="I1266" s="29">
        <f>COUNTIFS(실시간콜입력!$B:$B,$A1266,실시간콜입력!$E:$E,"D",실시간콜입력!$G:$G,$B1266,실시간콜입력!$O:$O,"방문완료")+COUNTIFS(실시간콜입력!$B:$B,$A1266,실시간콜입력!$E:$E,"D",실시간콜입력!$H:$H,$B1266,실시간콜입력!$O:$O,"방문완료")</f>
        <v>0</v>
      </c>
      <c r="J1266" s="29">
        <f>COUNTIFS(실시간콜입력!$B:$B,$A1266,실시간콜입력!$E:$E,"E",실시간콜입력!$G:$G,$B1266,실시간콜입력!$O:$O,"방문완료")+COUNTIFS(실시간콜입력!$B:$B,$A1266,실시간콜입력!$E:$E,"E",실시간콜입력!$H:$H,$B1266,실시간콜입력!$O:$O,"방문완료")</f>
        <v>0</v>
      </c>
      <c r="K1266" s="29">
        <f t="shared" si="170"/>
        <v>0</v>
      </c>
      <c r="L1266" s="33">
        <f>SUMIFS(실시간콜입력!$K:$K,실시간콜입력!$B:$B,$A1266,실시간콜입력!$G:$G,$B1266,실시간콜입력!$O:$O,"방문완료")+SUMIFS(실시간콜입력!$L:$L,실시간콜입력!$B:$B,$A1266,실시간콜입력!$H:$H,$B1266,실시간콜입력!$O:$O,"방문완료")</f>
        <v>0</v>
      </c>
      <c r="M1266" s="29" t="str">
        <f t="shared" si="171"/>
        <v/>
      </c>
      <c r="N1266" s="29"/>
    </row>
    <row r="1267" spans="1:14" ht="19.5" hidden="1" customHeight="1" outlineLevel="1">
      <c r="A1267" s="24">
        <f>IF(25&lt;=DAY(DATE(YEAR(설정_코스수당!$K$2),MONTH(설정_코스수당!$K$2)+1,0)),DATE(YEAR(설정_코스수당!$K$2),MONTH(설정_코스수당!$K$2),25),"")</f>
        <v>46198</v>
      </c>
      <c r="B1267" s="23" t="s">
        <v>175</v>
      </c>
      <c r="C1267" s="29"/>
      <c r="D1267" s="29"/>
      <c r="E1267" s="29" t="str">
        <f t="shared" si="169"/>
        <v/>
      </c>
      <c r="F1267" s="29">
        <f>COUNTIFS(실시간콜입력!$B:$B,$A1267,실시간콜입력!$E:$E,"A",실시간콜입력!$G:$G,$B1267,실시간콜입력!$O:$O,"방문완료")+COUNTIFS(실시간콜입력!$B:$B,$A1267,실시간콜입력!$E:$E,"A",실시간콜입력!$H:$H,$B1267,실시간콜입력!$O:$O,"방문완료")</f>
        <v>0</v>
      </c>
      <c r="G1267" s="29">
        <f>COUNTIFS(실시간콜입력!$B:$B,$A1267,실시간콜입력!$E:$E,"B",실시간콜입력!$G:$G,$B1267,실시간콜입력!$O:$O,"방문완료")+COUNTIFS(실시간콜입력!$B:$B,$A1267,실시간콜입력!$E:$E,"B",실시간콜입력!$H:$H,$B1267,실시간콜입력!$O:$O,"방문완료")</f>
        <v>0</v>
      </c>
      <c r="H1267" s="29">
        <f>COUNTIFS(실시간콜입력!$B:$B,$A1267,실시간콜입력!$E:$E,"C",실시간콜입력!$G:$G,$B1267,실시간콜입력!$O:$O,"방문완료")+COUNTIFS(실시간콜입력!$B:$B,$A1267,실시간콜입력!$E:$E,"C",실시간콜입력!$H:$H,$B1267,실시간콜입력!$O:$O,"방문완료")</f>
        <v>0</v>
      </c>
      <c r="I1267" s="29">
        <f>COUNTIFS(실시간콜입력!$B:$B,$A1267,실시간콜입력!$E:$E,"D",실시간콜입력!$G:$G,$B1267,실시간콜입력!$O:$O,"방문완료")+COUNTIFS(실시간콜입력!$B:$B,$A1267,실시간콜입력!$E:$E,"D",실시간콜입력!$H:$H,$B1267,실시간콜입력!$O:$O,"방문완료")</f>
        <v>0</v>
      </c>
      <c r="J1267" s="29">
        <f>COUNTIFS(실시간콜입력!$B:$B,$A1267,실시간콜입력!$E:$E,"E",실시간콜입력!$G:$G,$B1267,실시간콜입력!$O:$O,"방문완료")+COUNTIFS(실시간콜입력!$B:$B,$A1267,실시간콜입력!$E:$E,"E",실시간콜입력!$H:$H,$B1267,실시간콜입력!$O:$O,"방문완료")</f>
        <v>0</v>
      </c>
      <c r="K1267" s="29">
        <f t="shared" si="170"/>
        <v>0</v>
      </c>
      <c r="L1267" s="27">
        <f>SUMIFS(실시간콜입력!$K:$K,실시간콜입력!$B:$B,$A1267,실시간콜입력!$G:$G,$B1267,실시간콜입력!$O:$O,"방문완료")+SUMIFS(실시간콜입력!$L:$L,실시간콜입력!$B:$B,$A1267,실시간콜입력!$H:$H,$B1267,실시간콜입력!$O:$O,"방문완료")</f>
        <v>0</v>
      </c>
      <c r="M1267" s="29" t="str">
        <f t="shared" si="171"/>
        <v/>
      </c>
      <c r="N1267" s="29"/>
    </row>
    <row r="1268" spans="1:14" ht="19.5" hidden="1" customHeight="1" outlineLevel="1">
      <c r="A1268" s="30">
        <f>IF(25&lt;=DAY(DATE(YEAR(설정_코스수당!$K$2),MONTH(설정_코스수당!$K$2)+1,0)),DATE(YEAR(설정_코스수당!$K$2),MONTH(설정_코스수당!$K$2),25),"")</f>
        <v>46198</v>
      </c>
      <c r="B1268" s="29" t="s">
        <v>176</v>
      </c>
      <c r="C1268" s="29"/>
      <c r="D1268" s="29"/>
      <c r="E1268" s="29" t="str">
        <f t="shared" si="169"/>
        <v/>
      </c>
      <c r="F1268" s="29">
        <f>COUNTIFS(실시간콜입력!$B:$B,$A1268,실시간콜입력!$E:$E,"A",실시간콜입력!$G:$G,$B1268,실시간콜입력!$O:$O,"방문완료")+COUNTIFS(실시간콜입력!$B:$B,$A1268,실시간콜입력!$E:$E,"A",실시간콜입력!$H:$H,$B1268,실시간콜입력!$O:$O,"방문완료")</f>
        <v>0</v>
      </c>
      <c r="G1268" s="29">
        <f>COUNTIFS(실시간콜입력!$B:$B,$A1268,실시간콜입력!$E:$E,"B",실시간콜입력!$G:$G,$B1268,실시간콜입력!$O:$O,"방문완료")+COUNTIFS(실시간콜입력!$B:$B,$A1268,실시간콜입력!$E:$E,"B",실시간콜입력!$H:$H,$B1268,실시간콜입력!$O:$O,"방문완료")</f>
        <v>0</v>
      </c>
      <c r="H1268" s="29">
        <f>COUNTIFS(실시간콜입력!$B:$B,$A1268,실시간콜입력!$E:$E,"C",실시간콜입력!$G:$G,$B1268,실시간콜입력!$O:$O,"방문완료")+COUNTIFS(실시간콜입력!$B:$B,$A1268,실시간콜입력!$E:$E,"C",실시간콜입력!$H:$H,$B1268,실시간콜입력!$O:$O,"방문완료")</f>
        <v>0</v>
      </c>
      <c r="I1268" s="29">
        <f>COUNTIFS(실시간콜입력!$B:$B,$A1268,실시간콜입력!$E:$E,"D",실시간콜입력!$G:$G,$B1268,실시간콜입력!$O:$O,"방문완료")+COUNTIFS(실시간콜입력!$B:$B,$A1268,실시간콜입력!$E:$E,"D",실시간콜입력!$H:$H,$B1268,실시간콜입력!$O:$O,"방문완료")</f>
        <v>0</v>
      </c>
      <c r="J1268" s="29">
        <f>COUNTIFS(실시간콜입력!$B:$B,$A1268,실시간콜입력!$E:$E,"E",실시간콜입력!$G:$G,$B1268,실시간콜입력!$O:$O,"방문완료")+COUNTIFS(실시간콜입력!$B:$B,$A1268,실시간콜입력!$E:$E,"E",실시간콜입력!$H:$H,$B1268,실시간콜입력!$O:$O,"방문완료")</f>
        <v>0</v>
      </c>
      <c r="K1268" s="29">
        <f t="shared" si="170"/>
        <v>0</v>
      </c>
      <c r="L1268" s="33">
        <f>SUMIFS(실시간콜입력!$K:$K,실시간콜입력!$B:$B,$A1268,실시간콜입력!$G:$G,$B1268,실시간콜입력!$O:$O,"방문완료")+SUMIFS(실시간콜입력!$L:$L,실시간콜입력!$B:$B,$A1268,실시간콜입력!$H:$H,$B1268,실시간콜입력!$O:$O,"방문완료")</f>
        <v>0</v>
      </c>
      <c r="M1268" s="29" t="str">
        <f t="shared" si="171"/>
        <v/>
      </c>
      <c r="N1268" s="29"/>
    </row>
    <row r="1269" spans="1:14" ht="19.5" hidden="1" customHeight="1" outlineLevel="1">
      <c r="A1269" s="24">
        <f>IF(25&lt;=DAY(DATE(YEAR(설정_코스수당!$K$2),MONTH(설정_코스수당!$K$2)+1,0)),DATE(YEAR(설정_코스수당!$K$2),MONTH(설정_코스수당!$K$2),25),"")</f>
        <v>46198</v>
      </c>
      <c r="B1269" s="23" t="s">
        <v>177</v>
      </c>
      <c r="C1269" s="29"/>
      <c r="D1269" s="29"/>
      <c r="E1269" s="29" t="str">
        <f t="shared" si="169"/>
        <v/>
      </c>
      <c r="F1269" s="29">
        <f>COUNTIFS(실시간콜입력!$B:$B,$A1269,실시간콜입력!$E:$E,"A",실시간콜입력!$G:$G,$B1269,실시간콜입력!$O:$O,"방문완료")+COUNTIFS(실시간콜입력!$B:$B,$A1269,실시간콜입력!$E:$E,"A",실시간콜입력!$H:$H,$B1269,실시간콜입력!$O:$O,"방문완료")</f>
        <v>0</v>
      </c>
      <c r="G1269" s="29">
        <f>COUNTIFS(실시간콜입력!$B:$B,$A1269,실시간콜입력!$E:$E,"B",실시간콜입력!$G:$G,$B1269,실시간콜입력!$O:$O,"방문완료")+COUNTIFS(실시간콜입력!$B:$B,$A1269,실시간콜입력!$E:$E,"B",실시간콜입력!$H:$H,$B1269,실시간콜입력!$O:$O,"방문완료")</f>
        <v>0</v>
      </c>
      <c r="H1269" s="29">
        <f>COUNTIFS(실시간콜입력!$B:$B,$A1269,실시간콜입력!$E:$E,"C",실시간콜입력!$G:$G,$B1269,실시간콜입력!$O:$O,"방문완료")+COUNTIFS(실시간콜입력!$B:$B,$A1269,실시간콜입력!$E:$E,"C",실시간콜입력!$H:$H,$B1269,실시간콜입력!$O:$O,"방문완료")</f>
        <v>0</v>
      </c>
      <c r="I1269" s="29">
        <f>COUNTIFS(실시간콜입력!$B:$B,$A1269,실시간콜입력!$E:$E,"D",실시간콜입력!$G:$G,$B1269,실시간콜입력!$O:$O,"방문완료")+COUNTIFS(실시간콜입력!$B:$B,$A1269,실시간콜입력!$E:$E,"D",실시간콜입력!$H:$H,$B1269,실시간콜입력!$O:$O,"방문완료")</f>
        <v>0</v>
      </c>
      <c r="J1269" s="29">
        <f>COUNTIFS(실시간콜입력!$B:$B,$A1269,실시간콜입력!$E:$E,"E",실시간콜입력!$G:$G,$B1269,실시간콜입력!$O:$O,"방문완료")+COUNTIFS(실시간콜입력!$B:$B,$A1269,실시간콜입력!$E:$E,"E",실시간콜입력!$H:$H,$B1269,실시간콜입력!$O:$O,"방문완료")</f>
        <v>0</v>
      </c>
      <c r="K1269" s="29">
        <f t="shared" si="170"/>
        <v>0</v>
      </c>
      <c r="L1269" s="27">
        <f>SUMIFS(실시간콜입력!$K:$K,실시간콜입력!$B:$B,$A1269,실시간콜입력!$G:$G,$B1269,실시간콜입력!$O:$O,"방문완료")+SUMIFS(실시간콜입력!$L:$L,실시간콜입력!$B:$B,$A1269,실시간콜입력!$H:$H,$B1269,실시간콜입력!$O:$O,"방문완료")</f>
        <v>0</v>
      </c>
      <c r="M1269" s="29" t="str">
        <f t="shared" si="171"/>
        <v/>
      </c>
      <c r="N1269" s="29"/>
    </row>
    <row r="1270" spans="1:14" ht="19.5" hidden="1" customHeight="1" outlineLevel="1">
      <c r="A1270" s="30">
        <f>IF(25&lt;=DAY(DATE(YEAR(설정_코스수당!$K$2),MONTH(설정_코스수당!$K$2)+1,0)),DATE(YEAR(설정_코스수당!$K$2),MONTH(설정_코스수당!$K$2),25),"")</f>
        <v>46198</v>
      </c>
      <c r="B1270" s="29" t="s">
        <v>178</v>
      </c>
      <c r="C1270" s="29"/>
      <c r="D1270" s="29"/>
      <c r="E1270" s="29" t="str">
        <f t="shared" si="169"/>
        <v/>
      </c>
      <c r="F1270" s="29">
        <f>COUNTIFS(실시간콜입력!$B:$B,$A1270,실시간콜입력!$E:$E,"A",실시간콜입력!$G:$G,$B1270,실시간콜입력!$O:$O,"방문완료")+COUNTIFS(실시간콜입력!$B:$B,$A1270,실시간콜입력!$E:$E,"A",실시간콜입력!$H:$H,$B1270,실시간콜입력!$O:$O,"방문완료")</f>
        <v>0</v>
      </c>
      <c r="G1270" s="29">
        <f>COUNTIFS(실시간콜입력!$B:$B,$A1270,실시간콜입력!$E:$E,"B",실시간콜입력!$G:$G,$B1270,실시간콜입력!$O:$O,"방문완료")+COUNTIFS(실시간콜입력!$B:$B,$A1270,실시간콜입력!$E:$E,"B",실시간콜입력!$H:$H,$B1270,실시간콜입력!$O:$O,"방문완료")</f>
        <v>0</v>
      </c>
      <c r="H1270" s="29">
        <f>COUNTIFS(실시간콜입력!$B:$B,$A1270,실시간콜입력!$E:$E,"C",실시간콜입력!$G:$G,$B1270,실시간콜입력!$O:$O,"방문완료")+COUNTIFS(실시간콜입력!$B:$B,$A1270,실시간콜입력!$E:$E,"C",실시간콜입력!$H:$H,$B1270,실시간콜입력!$O:$O,"방문완료")</f>
        <v>0</v>
      </c>
      <c r="I1270" s="29">
        <f>COUNTIFS(실시간콜입력!$B:$B,$A1270,실시간콜입력!$E:$E,"D",실시간콜입력!$G:$G,$B1270,실시간콜입력!$O:$O,"방문완료")+COUNTIFS(실시간콜입력!$B:$B,$A1270,실시간콜입력!$E:$E,"D",실시간콜입력!$H:$H,$B1270,실시간콜입력!$O:$O,"방문완료")</f>
        <v>0</v>
      </c>
      <c r="J1270" s="29">
        <f>COUNTIFS(실시간콜입력!$B:$B,$A1270,실시간콜입력!$E:$E,"E",실시간콜입력!$G:$G,$B1270,실시간콜입력!$O:$O,"방문완료")+COUNTIFS(실시간콜입력!$B:$B,$A1270,실시간콜입력!$E:$E,"E",실시간콜입력!$H:$H,$B1270,실시간콜입력!$O:$O,"방문완료")</f>
        <v>0</v>
      </c>
      <c r="K1270" s="29">
        <f t="shared" si="170"/>
        <v>0</v>
      </c>
      <c r="L1270" s="33">
        <f>SUMIFS(실시간콜입력!$K:$K,실시간콜입력!$B:$B,$A1270,실시간콜입력!$G:$G,$B1270,실시간콜입력!$O:$O,"방문완료")+SUMIFS(실시간콜입력!$L:$L,실시간콜입력!$B:$B,$A1270,실시간콜입력!$H:$H,$B1270,실시간콜입력!$O:$O,"방문완료")</f>
        <v>0</v>
      </c>
      <c r="M1270" s="29" t="str">
        <f t="shared" si="171"/>
        <v/>
      </c>
      <c r="N1270" s="29"/>
    </row>
    <row r="1271" spans="1:14" ht="19.5" hidden="1" customHeight="1" outlineLevel="1">
      <c r="A1271" s="24">
        <f>IF(25&lt;=DAY(DATE(YEAR(설정_코스수당!$K$2),MONTH(설정_코스수당!$K$2)+1,0)),DATE(YEAR(설정_코스수당!$K$2),MONTH(설정_코스수당!$K$2),25),"")</f>
        <v>46198</v>
      </c>
      <c r="B1271" s="23" t="s">
        <v>179</v>
      </c>
      <c r="C1271" s="29"/>
      <c r="D1271" s="29"/>
      <c r="E1271" s="29" t="str">
        <f t="shared" si="169"/>
        <v/>
      </c>
      <c r="F1271" s="29">
        <f>COUNTIFS(실시간콜입력!$B:$B,$A1271,실시간콜입력!$E:$E,"A",실시간콜입력!$G:$G,$B1271,실시간콜입력!$O:$O,"방문완료")+COUNTIFS(실시간콜입력!$B:$B,$A1271,실시간콜입력!$E:$E,"A",실시간콜입력!$H:$H,$B1271,실시간콜입력!$O:$O,"방문완료")</f>
        <v>0</v>
      </c>
      <c r="G1271" s="29">
        <f>COUNTIFS(실시간콜입력!$B:$B,$A1271,실시간콜입력!$E:$E,"B",실시간콜입력!$G:$G,$B1271,실시간콜입력!$O:$O,"방문완료")+COUNTIFS(실시간콜입력!$B:$B,$A1271,실시간콜입력!$E:$E,"B",실시간콜입력!$H:$H,$B1271,실시간콜입력!$O:$O,"방문완료")</f>
        <v>0</v>
      </c>
      <c r="H1271" s="29">
        <f>COUNTIFS(실시간콜입력!$B:$B,$A1271,실시간콜입력!$E:$E,"C",실시간콜입력!$G:$G,$B1271,실시간콜입력!$O:$O,"방문완료")+COUNTIFS(실시간콜입력!$B:$B,$A1271,실시간콜입력!$E:$E,"C",실시간콜입력!$H:$H,$B1271,실시간콜입력!$O:$O,"방문완료")</f>
        <v>0</v>
      </c>
      <c r="I1271" s="29">
        <f>COUNTIFS(실시간콜입력!$B:$B,$A1271,실시간콜입력!$E:$E,"D",실시간콜입력!$G:$G,$B1271,실시간콜입력!$O:$O,"방문완료")+COUNTIFS(실시간콜입력!$B:$B,$A1271,실시간콜입력!$E:$E,"D",실시간콜입력!$H:$H,$B1271,실시간콜입력!$O:$O,"방문완료")</f>
        <v>0</v>
      </c>
      <c r="J1271" s="29">
        <f>COUNTIFS(실시간콜입력!$B:$B,$A1271,실시간콜입력!$E:$E,"E",실시간콜입력!$G:$G,$B1271,실시간콜입력!$O:$O,"방문완료")+COUNTIFS(실시간콜입력!$B:$B,$A1271,실시간콜입력!$E:$E,"E",실시간콜입력!$H:$H,$B1271,실시간콜입력!$O:$O,"방문완료")</f>
        <v>0</v>
      </c>
      <c r="K1271" s="29">
        <f t="shared" si="170"/>
        <v>0</v>
      </c>
      <c r="L1271" s="27">
        <f>SUMIFS(실시간콜입력!$K:$K,실시간콜입력!$B:$B,$A1271,실시간콜입력!$G:$G,$B1271,실시간콜입력!$O:$O,"방문완료")+SUMIFS(실시간콜입력!$L:$L,실시간콜입력!$B:$B,$A1271,실시간콜입력!$H:$H,$B1271,실시간콜입력!$O:$O,"방문완료")</f>
        <v>0</v>
      </c>
      <c r="M1271" s="29" t="str">
        <f t="shared" si="171"/>
        <v/>
      </c>
      <c r="N1271" s="29"/>
    </row>
    <row r="1272" spans="1:14" ht="19.5" hidden="1" customHeight="1" outlineLevel="1">
      <c r="A1272" s="30">
        <f>IF(25&lt;=DAY(DATE(YEAR(설정_코스수당!$K$2),MONTH(설정_코스수당!$K$2)+1,0)),DATE(YEAR(설정_코스수당!$K$2),MONTH(설정_코스수당!$K$2),25),"")</f>
        <v>46198</v>
      </c>
      <c r="B1272" s="29" t="s">
        <v>180</v>
      </c>
      <c r="C1272" s="29"/>
      <c r="D1272" s="29"/>
      <c r="E1272" s="29" t="str">
        <f t="shared" si="169"/>
        <v/>
      </c>
      <c r="F1272" s="29">
        <f>COUNTIFS(실시간콜입력!$B:$B,$A1272,실시간콜입력!$E:$E,"A",실시간콜입력!$G:$G,$B1272,실시간콜입력!$O:$O,"방문완료")+COUNTIFS(실시간콜입력!$B:$B,$A1272,실시간콜입력!$E:$E,"A",실시간콜입력!$H:$H,$B1272,실시간콜입력!$O:$O,"방문완료")</f>
        <v>0</v>
      </c>
      <c r="G1272" s="29">
        <f>COUNTIFS(실시간콜입력!$B:$B,$A1272,실시간콜입력!$E:$E,"B",실시간콜입력!$G:$G,$B1272,실시간콜입력!$O:$O,"방문완료")+COUNTIFS(실시간콜입력!$B:$B,$A1272,실시간콜입력!$E:$E,"B",실시간콜입력!$H:$H,$B1272,실시간콜입력!$O:$O,"방문완료")</f>
        <v>0</v>
      </c>
      <c r="H1272" s="29">
        <f>COUNTIFS(실시간콜입력!$B:$B,$A1272,실시간콜입력!$E:$E,"C",실시간콜입력!$G:$G,$B1272,실시간콜입력!$O:$O,"방문완료")+COUNTIFS(실시간콜입력!$B:$B,$A1272,실시간콜입력!$E:$E,"C",실시간콜입력!$H:$H,$B1272,실시간콜입력!$O:$O,"방문완료")</f>
        <v>0</v>
      </c>
      <c r="I1272" s="29">
        <f>COUNTIFS(실시간콜입력!$B:$B,$A1272,실시간콜입력!$E:$E,"D",실시간콜입력!$G:$G,$B1272,실시간콜입력!$O:$O,"방문완료")+COUNTIFS(실시간콜입력!$B:$B,$A1272,실시간콜입력!$E:$E,"D",실시간콜입력!$H:$H,$B1272,실시간콜입력!$O:$O,"방문완료")</f>
        <v>0</v>
      </c>
      <c r="J1272" s="29">
        <f>COUNTIFS(실시간콜입력!$B:$B,$A1272,실시간콜입력!$E:$E,"E",실시간콜입력!$G:$G,$B1272,실시간콜입력!$O:$O,"방문완료")+COUNTIFS(실시간콜입력!$B:$B,$A1272,실시간콜입력!$E:$E,"E",실시간콜입력!$H:$H,$B1272,실시간콜입력!$O:$O,"방문완료")</f>
        <v>0</v>
      </c>
      <c r="K1272" s="29">
        <f t="shared" si="170"/>
        <v>0</v>
      </c>
      <c r="L1272" s="33">
        <f>SUMIFS(실시간콜입력!$K:$K,실시간콜입력!$B:$B,$A1272,실시간콜입력!$G:$G,$B1272,실시간콜입력!$O:$O,"방문완료")+SUMIFS(실시간콜입력!$L:$L,실시간콜입력!$B:$B,$A1272,실시간콜입력!$H:$H,$B1272,실시간콜입력!$O:$O,"방문완료")</f>
        <v>0</v>
      </c>
      <c r="M1272" s="29" t="str">
        <f t="shared" si="171"/>
        <v/>
      </c>
      <c r="N1272" s="29"/>
    </row>
    <row r="1273" spans="1:14" ht="19.5" hidden="1" customHeight="1" outlineLevel="1">
      <c r="A1273" s="24">
        <f>IF(25&lt;=DAY(DATE(YEAR(설정_코스수당!$K$2),MONTH(설정_코스수당!$K$2)+1,0)),DATE(YEAR(설정_코스수당!$K$2),MONTH(설정_코스수당!$K$2),25),"")</f>
        <v>46198</v>
      </c>
      <c r="B1273" s="23" t="s">
        <v>181</v>
      </c>
      <c r="C1273" s="29"/>
      <c r="D1273" s="29"/>
      <c r="E1273" s="29" t="str">
        <f t="shared" si="169"/>
        <v/>
      </c>
      <c r="F1273" s="29">
        <f>COUNTIFS(실시간콜입력!$B:$B,$A1273,실시간콜입력!$E:$E,"A",실시간콜입력!$G:$G,$B1273,실시간콜입력!$O:$O,"방문완료")+COUNTIFS(실시간콜입력!$B:$B,$A1273,실시간콜입력!$E:$E,"A",실시간콜입력!$H:$H,$B1273,실시간콜입력!$O:$O,"방문완료")</f>
        <v>0</v>
      </c>
      <c r="G1273" s="29">
        <f>COUNTIFS(실시간콜입력!$B:$B,$A1273,실시간콜입력!$E:$E,"B",실시간콜입력!$G:$G,$B1273,실시간콜입력!$O:$O,"방문완료")+COUNTIFS(실시간콜입력!$B:$B,$A1273,실시간콜입력!$E:$E,"B",실시간콜입력!$H:$H,$B1273,실시간콜입력!$O:$O,"방문완료")</f>
        <v>0</v>
      </c>
      <c r="H1273" s="29">
        <f>COUNTIFS(실시간콜입력!$B:$B,$A1273,실시간콜입력!$E:$E,"C",실시간콜입력!$G:$G,$B1273,실시간콜입력!$O:$O,"방문완료")+COUNTIFS(실시간콜입력!$B:$B,$A1273,실시간콜입력!$E:$E,"C",실시간콜입력!$H:$H,$B1273,실시간콜입력!$O:$O,"방문완료")</f>
        <v>0</v>
      </c>
      <c r="I1273" s="29">
        <f>COUNTIFS(실시간콜입력!$B:$B,$A1273,실시간콜입력!$E:$E,"D",실시간콜입력!$G:$G,$B1273,실시간콜입력!$O:$O,"방문완료")+COUNTIFS(실시간콜입력!$B:$B,$A1273,실시간콜입력!$E:$E,"D",실시간콜입력!$H:$H,$B1273,실시간콜입력!$O:$O,"방문완료")</f>
        <v>0</v>
      </c>
      <c r="J1273" s="29">
        <f>COUNTIFS(실시간콜입력!$B:$B,$A1273,실시간콜입력!$E:$E,"E",실시간콜입력!$G:$G,$B1273,실시간콜입력!$O:$O,"방문완료")+COUNTIFS(실시간콜입력!$B:$B,$A1273,실시간콜입력!$E:$E,"E",실시간콜입력!$H:$H,$B1273,실시간콜입력!$O:$O,"방문완료")</f>
        <v>0</v>
      </c>
      <c r="K1273" s="29">
        <f t="shared" si="170"/>
        <v>0</v>
      </c>
      <c r="L1273" s="27">
        <f>SUMIFS(실시간콜입력!$K:$K,실시간콜입력!$B:$B,$A1273,실시간콜입력!$G:$G,$B1273,실시간콜입력!$O:$O,"방문완료")+SUMIFS(실시간콜입력!$L:$L,실시간콜입력!$B:$B,$A1273,실시간콜입력!$H:$H,$B1273,실시간콜입력!$O:$O,"방문완료")</f>
        <v>0</v>
      </c>
      <c r="M1273" s="29" t="str">
        <f t="shared" si="171"/>
        <v/>
      </c>
      <c r="N1273" s="29"/>
    </row>
    <row r="1274" spans="1:14" ht="19.5" hidden="1" customHeight="1" outlineLevel="1">
      <c r="A1274" s="30">
        <f>IF(25&lt;=DAY(DATE(YEAR(설정_코스수당!$K$2),MONTH(설정_코스수당!$K$2)+1,0)),DATE(YEAR(설정_코스수당!$K$2),MONTH(설정_코스수당!$K$2),25),"")</f>
        <v>46198</v>
      </c>
      <c r="B1274" s="29" t="s">
        <v>182</v>
      </c>
      <c r="C1274" s="29"/>
      <c r="D1274" s="29"/>
      <c r="E1274" s="29" t="str">
        <f t="shared" si="169"/>
        <v/>
      </c>
      <c r="F1274" s="29">
        <f>COUNTIFS(실시간콜입력!$B:$B,$A1274,실시간콜입력!$E:$E,"A",실시간콜입력!$G:$G,$B1274,실시간콜입력!$O:$O,"방문완료")+COUNTIFS(실시간콜입력!$B:$B,$A1274,실시간콜입력!$E:$E,"A",실시간콜입력!$H:$H,$B1274,실시간콜입력!$O:$O,"방문완료")</f>
        <v>0</v>
      </c>
      <c r="G1274" s="29">
        <f>COUNTIFS(실시간콜입력!$B:$B,$A1274,실시간콜입력!$E:$E,"B",실시간콜입력!$G:$G,$B1274,실시간콜입력!$O:$O,"방문완료")+COUNTIFS(실시간콜입력!$B:$B,$A1274,실시간콜입력!$E:$E,"B",실시간콜입력!$H:$H,$B1274,실시간콜입력!$O:$O,"방문완료")</f>
        <v>0</v>
      </c>
      <c r="H1274" s="29">
        <f>COUNTIFS(실시간콜입력!$B:$B,$A1274,실시간콜입력!$E:$E,"C",실시간콜입력!$G:$G,$B1274,실시간콜입력!$O:$O,"방문완료")+COUNTIFS(실시간콜입력!$B:$B,$A1274,실시간콜입력!$E:$E,"C",실시간콜입력!$H:$H,$B1274,실시간콜입력!$O:$O,"방문완료")</f>
        <v>0</v>
      </c>
      <c r="I1274" s="29">
        <f>COUNTIFS(실시간콜입력!$B:$B,$A1274,실시간콜입력!$E:$E,"D",실시간콜입력!$G:$G,$B1274,실시간콜입력!$O:$O,"방문완료")+COUNTIFS(실시간콜입력!$B:$B,$A1274,실시간콜입력!$E:$E,"D",실시간콜입력!$H:$H,$B1274,실시간콜입력!$O:$O,"방문완료")</f>
        <v>0</v>
      </c>
      <c r="J1274" s="29">
        <f>COUNTIFS(실시간콜입력!$B:$B,$A1274,실시간콜입력!$E:$E,"E",실시간콜입력!$G:$G,$B1274,실시간콜입력!$O:$O,"방문완료")+COUNTIFS(실시간콜입력!$B:$B,$A1274,실시간콜입력!$E:$E,"E",실시간콜입력!$H:$H,$B1274,실시간콜입력!$O:$O,"방문완료")</f>
        <v>0</v>
      </c>
      <c r="K1274" s="29">
        <f t="shared" si="170"/>
        <v>0</v>
      </c>
      <c r="L1274" s="33">
        <f>SUMIFS(실시간콜입력!$K:$K,실시간콜입력!$B:$B,$A1274,실시간콜입력!$G:$G,$B1274,실시간콜입력!$O:$O,"방문완료")+SUMIFS(실시간콜입력!$L:$L,실시간콜입력!$B:$B,$A1274,실시간콜입력!$H:$H,$B1274,실시간콜입력!$O:$O,"방문완료")</f>
        <v>0</v>
      </c>
      <c r="M1274" s="29" t="str">
        <f t="shared" si="171"/>
        <v/>
      </c>
      <c r="N1274" s="29"/>
    </row>
    <row r="1275" spans="1:14" ht="19.5" hidden="1" customHeight="1" outlineLevel="1">
      <c r="A1275" s="24">
        <f>IF(25&lt;=DAY(DATE(YEAR(설정_코스수당!$K$2),MONTH(설정_코스수당!$K$2)+1,0)),DATE(YEAR(설정_코스수당!$K$2),MONTH(설정_코스수당!$K$2),25),"")</f>
        <v>46198</v>
      </c>
      <c r="B1275" s="23" t="s">
        <v>183</v>
      </c>
      <c r="C1275" s="29"/>
      <c r="D1275" s="29"/>
      <c r="E1275" s="29" t="str">
        <f t="shared" si="169"/>
        <v/>
      </c>
      <c r="F1275" s="29">
        <f>COUNTIFS(실시간콜입력!$B:$B,$A1275,실시간콜입력!$E:$E,"A",실시간콜입력!$G:$G,$B1275,실시간콜입력!$O:$O,"방문완료")+COUNTIFS(실시간콜입력!$B:$B,$A1275,실시간콜입력!$E:$E,"A",실시간콜입력!$H:$H,$B1275,실시간콜입력!$O:$O,"방문완료")</f>
        <v>0</v>
      </c>
      <c r="G1275" s="29">
        <f>COUNTIFS(실시간콜입력!$B:$B,$A1275,실시간콜입력!$E:$E,"B",실시간콜입력!$G:$G,$B1275,실시간콜입력!$O:$O,"방문완료")+COUNTIFS(실시간콜입력!$B:$B,$A1275,실시간콜입력!$E:$E,"B",실시간콜입력!$H:$H,$B1275,실시간콜입력!$O:$O,"방문완료")</f>
        <v>0</v>
      </c>
      <c r="H1275" s="29">
        <f>COUNTIFS(실시간콜입력!$B:$B,$A1275,실시간콜입력!$E:$E,"C",실시간콜입력!$G:$G,$B1275,실시간콜입력!$O:$O,"방문완료")+COUNTIFS(실시간콜입력!$B:$B,$A1275,실시간콜입력!$E:$E,"C",실시간콜입력!$H:$H,$B1275,실시간콜입력!$O:$O,"방문완료")</f>
        <v>0</v>
      </c>
      <c r="I1275" s="29">
        <f>COUNTIFS(실시간콜입력!$B:$B,$A1275,실시간콜입력!$E:$E,"D",실시간콜입력!$G:$G,$B1275,실시간콜입력!$O:$O,"방문완료")+COUNTIFS(실시간콜입력!$B:$B,$A1275,실시간콜입력!$E:$E,"D",실시간콜입력!$H:$H,$B1275,실시간콜입력!$O:$O,"방문완료")</f>
        <v>0</v>
      </c>
      <c r="J1275" s="29">
        <f>COUNTIFS(실시간콜입력!$B:$B,$A1275,실시간콜입력!$E:$E,"E",실시간콜입력!$G:$G,$B1275,실시간콜입력!$O:$O,"방문완료")+COUNTIFS(실시간콜입력!$B:$B,$A1275,실시간콜입력!$E:$E,"E",실시간콜입력!$H:$H,$B1275,실시간콜입력!$O:$O,"방문완료")</f>
        <v>0</v>
      </c>
      <c r="K1275" s="29">
        <f t="shared" si="170"/>
        <v>0</v>
      </c>
      <c r="L1275" s="27">
        <f>SUMIFS(실시간콜입력!$K:$K,실시간콜입력!$B:$B,$A1275,실시간콜입력!$G:$G,$B1275,실시간콜입력!$O:$O,"방문완료")+SUMIFS(실시간콜입력!$L:$L,실시간콜입력!$B:$B,$A1275,실시간콜입력!$H:$H,$B1275,실시간콜입력!$O:$O,"방문완료")</f>
        <v>0</v>
      </c>
      <c r="M1275" s="29" t="str">
        <f t="shared" si="171"/>
        <v/>
      </c>
      <c r="N1275" s="29"/>
    </row>
    <row r="1276" spans="1:14" ht="19.5" hidden="1" customHeight="1" outlineLevel="1">
      <c r="A1276" s="30">
        <f>IF(25&lt;=DAY(DATE(YEAR(설정_코스수당!$K$2),MONTH(설정_코스수당!$K$2)+1,0)),DATE(YEAR(설정_코스수당!$K$2),MONTH(설정_코스수당!$K$2),25),"")</f>
        <v>46198</v>
      </c>
      <c r="B1276" s="29" t="s">
        <v>184</v>
      </c>
      <c r="C1276" s="29"/>
      <c r="D1276" s="29"/>
      <c r="E1276" s="29" t="str">
        <f t="shared" si="169"/>
        <v/>
      </c>
      <c r="F1276" s="29">
        <f>COUNTIFS(실시간콜입력!$B:$B,$A1276,실시간콜입력!$E:$E,"A",실시간콜입력!$G:$G,$B1276,실시간콜입력!$O:$O,"방문완료")+COUNTIFS(실시간콜입력!$B:$B,$A1276,실시간콜입력!$E:$E,"A",실시간콜입력!$H:$H,$B1276,실시간콜입력!$O:$O,"방문완료")</f>
        <v>0</v>
      </c>
      <c r="G1276" s="29">
        <f>COUNTIFS(실시간콜입력!$B:$B,$A1276,실시간콜입력!$E:$E,"B",실시간콜입력!$G:$G,$B1276,실시간콜입력!$O:$O,"방문완료")+COUNTIFS(실시간콜입력!$B:$B,$A1276,실시간콜입력!$E:$E,"B",실시간콜입력!$H:$H,$B1276,실시간콜입력!$O:$O,"방문완료")</f>
        <v>0</v>
      </c>
      <c r="H1276" s="29">
        <f>COUNTIFS(실시간콜입력!$B:$B,$A1276,실시간콜입력!$E:$E,"C",실시간콜입력!$G:$G,$B1276,실시간콜입력!$O:$O,"방문완료")+COUNTIFS(실시간콜입력!$B:$B,$A1276,실시간콜입력!$E:$E,"C",실시간콜입력!$H:$H,$B1276,실시간콜입력!$O:$O,"방문완료")</f>
        <v>0</v>
      </c>
      <c r="I1276" s="29">
        <f>COUNTIFS(실시간콜입력!$B:$B,$A1276,실시간콜입력!$E:$E,"D",실시간콜입력!$G:$G,$B1276,실시간콜입력!$O:$O,"방문완료")+COUNTIFS(실시간콜입력!$B:$B,$A1276,실시간콜입력!$E:$E,"D",실시간콜입력!$H:$H,$B1276,실시간콜입력!$O:$O,"방문완료")</f>
        <v>0</v>
      </c>
      <c r="J1276" s="29">
        <f>COUNTIFS(실시간콜입력!$B:$B,$A1276,실시간콜입력!$E:$E,"E",실시간콜입력!$G:$G,$B1276,실시간콜입력!$O:$O,"방문완료")+COUNTIFS(실시간콜입력!$B:$B,$A1276,실시간콜입력!$E:$E,"E",실시간콜입력!$H:$H,$B1276,실시간콜입력!$O:$O,"방문완료")</f>
        <v>0</v>
      </c>
      <c r="K1276" s="29">
        <f t="shared" si="170"/>
        <v>0</v>
      </c>
      <c r="L1276" s="33">
        <f>SUMIFS(실시간콜입력!$K:$K,실시간콜입력!$B:$B,$A1276,실시간콜입력!$G:$G,$B1276,실시간콜입력!$O:$O,"방문완료")+SUMIFS(실시간콜입력!$L:$L,실시간콜입력!$B:$B,$A1276,실시간콜입력!$H:$H,$B1276,실시간콜입력!$O:$O,"방문완료")</f>
        <v>0</v>
      </c>
      <c r="M1276" s="29" t="str">
        <f t="shared" si="171"/>
        <v/>
      </c>
      <c r="N1276" s="29"/>
    </row>
    <row r="1277" spans="1:14" ht="19.5" hidden="1" customHeight="1" outlineLevel="1">
      <c r="A1277" s="24">
        <f>IF(25&lt;=DAY(DATE(YEAR(설정_코스수당!$K$2),MONTH(설정_코스수당!$K$2)+1,0)),DATE(YEAR(설정_코스수당!$K$2),MONTH(설정_코스수당!$K$2),25),"")</f>
        <v>46198</v>
      </c>
      <c r="B1277" s="23" t="s">
        <v>185</v>
      </c>
      <c r="C1277" s="29"/>
      <c r="D1277" s="29"/>
      <c r="E1277" s="29" t="str">
        <f t="shared" si="169"/>
        <v/>
      </c>
      <c r="F1277" s="29">
        <f>COUNTIFS(실시간콜입력!$B:$B,$A1277,실시간콜입력!$E:$E,"A",실시간콜입력!$G:$G,$B1277,실시간콜입력!$O:$O,"방문완료")+COUNTIFS(실시간콜입력!$B:$B,$A1277,실시간콜입력!$E:$E,"A",실시간콜입력!$H:$H,$B1277,실시간콜입력!$O:$O,"방문완료")</f>
        <v>0</v>
      </c>
      <c r="G1277" s="29">
        <f>COUNTIFS(실시간콜입력!$B:$B,$A1277,실시간콜입력!$E:$E,"B",실시간콜입력!$G:$G,$B1277,실시간콜입력!$O:$O,"방문완료")+COUNTIFS(실시간콜입력!$B:$B,$A1277,실시간콜입력!$E:$E,"B",실시간콜입력!$H:$H,$B1277,실시간콜입력!$O:$O,"방문완료")</f>
        <v>0</v>
      </c>
      <c r="H1277" s="29">
        <f>COUNTIFS(실시간콜입력!$B:$B,$A1277,실시간콜입력!$E:$E,"C",실시간콜입력!$G:$G,$B1277,실시간콜입력!$O:$O,"방문완료")+COUNTIFS(실시간콜입력!$B:$B,$A1277,실시간콜입력!$E:$E,"C",실시간콜입력!$H:$H,$B1277,실시간콜입력!$O:$O,"방문완료")</f>
        <v>0</v>
      </c>
      <c r="I1277" s="29">
        <f>COUNTIFS(실시간콜입력!$B:$B,$A1277,실시간콜입력!$E:$E,"D",실시간콜입력!$G:$G,$B1277,실시간콜입력!$O:$O,"방문완료")+COUNTIFS(실시간콜입력!$B:$B,$A1277,실시간콜입력!$E:$E,"D",실시간콜입력!$H:$H,$B1277,실시간콜입력!$O:$O,"방문완료")</f>
        <v>0</v>
      </c>
      <c r="J1277" s="29">
        <f>COUNTIFS(실시간콜입력!$B:$B,$A1277,실시간콜입력!$E:$E,"E",실시간콜입력!$G:$G,$B1277,실시간콜입력!$O:$O,"방문완료")+COUNTIFS(실시간콜입력!$B:$B,$A1277,실시간콜입력!$E:$E,"E",실시간콜입력!$H:$H,$B1277,실시간콜입력!$O:$O,"방문완료")</f>
        <v>0</v>
      </c>
      <c r="K1277" s="29">
        <f t="shared" si="170"/>
        <v>0</v>
      </c>
      <c r="L1277" s="27">
        <f>SUMIFS(실시간콜입력!$K:$K,실시간콜입력!$B:$B,$A1277,실시간콜입력!$G:$G,$B1277,실시간콜입력!$O:$O,"방문완료")+SUMIFS(실시간콜입력!$L:$L,실시간콜입력!$B:$B,$A1277,실시간콜입력!$H:$H,$B1277,실시간콜입력!$O:$O,"방문완료")</f>
        <v>0</v>
      </c>
      <c r="M1277" s="29" t="str">
        <f t="shared" si="171"/>
        <v/>
      </c>
      <c r="N1277" s="29"/>
    </row>
    <row r="1278" spans="1:14" ht="19.5" hidden="1" customHeight="1" outlineLevel="1">
      <c r="A1278" s="30">
        <f>IF(25&lt;=DAY(DATE(YEAR(설정_코스수당!$K$2),MONTH(설정_코스수당!$K$2)+1,0)),DATE(YEAR(설정_코스수당!$K$2),MONTH(설정_코스수당!$K$2),25),"")</f>
        <v>46198</v>
      </c>
      <c r="B1278" s="29" t="s">
        <v>186</v>
      </c>
      <c r="C1278" s="29"/>
      <c r="D1278" s="29"/>
      <c r="E1278" s="29" t="str">
        <f t="shared" si="169"/>
        <v/>
      </c>
      <c r="F1278" s="29">
        <f>COUNTIFS(실시간콜입력!$B:$B,$A1278,실시간콜입력!$E:$E,"A",실시간콜입력!$G:$G,$B1278,실시간콜입력!$O:$O,"방문완료")+COUNTIFS(실시간콜입력!$B:$B,$A1278,실시간콜입력!$E:$E,"A",실시간콜입력!$H:$H,$B1278,실시간콜입력!$O:$O,"방문완료")</f>
        <v>0</v>
      </c>
      <c r="G1278" s="29">
        <f>COUNTIFS(실시간콜입력!$B:$B,$A1278,실시간콜입력!$E:$E,"B",실시간콜입력!$G:$G,$B1278,실시간콜입력!$O:$O,"방문완료")+COUNTIFS(실시간콜입력!$B:$B,$A1278,실시간콜입력!$E:$E,"B",실시간콜입력!$H:$H,$B1278,실시간콜입력!$O:$O,"방문완료")</f>
        <v>0</v>
      </c>
      <c r="H1278" s="29">
        <f>COUNTIFS(실시간콜입력!$B:$B,$A1278,실시간콜입력!$E:$E,"C",실시간콜입력!$G:$G,$B1278,실시간콜입력!$O:$O,"방문완료")+COUNTIFS(실시간콜입력!$B:$B,$A1278,실시간콜입력!$E:$E,"C",실시간콜입력!$H:$H,$B1278,실시간콜입력!$O:$O,"방문완료")</f>
        <v>0</v>
      </c>
      <c r="I1278" s="29">
        <f>COUNTIFS(실시간콜입력!$B:$B,$A1278,실시간콜입력!$E:$E,"D",실시간콜입력!$G:$G,$B1278,실시간콜입력!$O:$O,"방문완료")+COUNTIFS(실시간콜입력!$B:$B,$A1278,실시간콜입력!$E:$E,"D",실시간콜입력!$H:$H,$B1278,실시간콜입력!$O:$O,"방문완료")</f>
        <v>0</v>
      </c>
      <c r="J1278" s="29">
        <f>COUNTIFS(실시간콜입력!$B:$B,$A1278,실시간콜입력!$E:$E,"E",실시간콜입력!$G:$G,$B1278,실시간콜입력!$O:$O,"방문완료")+COUNTIFS(실시간콜입력!$B:$B,$A1278,실시간콜입력!$E:$E,"E",실시간콜입력!$H:$H,$B1278,실시간콜입력!$O:$O,"방문완료")</f>
        <v>0</v>
      </c>
      <c r="K1278" s="29">
        <f t="shared" si="170"/>
        <v>0</v>
      </c>
      <c r="L1278" s="33">
        <f>SUMIFS(실시간콜입력!$K:$K,실시간콜입력!$B:$B,$A1278,실시간콜입력!$G:$G,$B1278,실시간콜입력!$O:$O,"방문완료")+SUMIFS(실시간콜입력!$L:$L,실시간콜입력!$B:$B,$A1278,실시간콜입력!$H:$H,$B1278,실시간콜입력!$O:$O,"방문완료")</f>
        <v>0</v>
      </c>
      <c r="M1278" s="29" t="str">
        <f t="shared" si="171"/>
        <v/>
      </c>
      <c r="N1278" s="29"/>
    </row>
    <row r="1279" spans="1:14" ht="19.5" hidden="1" customHeight="1" outlineLevel="1">
      <c r="A1279" s="24">
        <f>IF(25&lt;=DAY(DATE(YEAR(설정_코스수당!$K$2),MONTH(설정_코스수당!$K$2)+1,0)),DATE(YEAR(설정_코스수당!$K$2),MONTH(설정_코스수당!$K$2),25),"")</f>
        <v>46198</v>
      </c>
      <c r="B1279" s="23" t="s">
        <v>187</v>
      </c>
      <c r="C1279" s="29"/>
      <c r="D1279" s="29"/>
      <c r="E1279" s="29" t="str">
        <f t="shared" si="169"/>
        <v/>
      </c>
      <c r="F1279" s="29">
        <f>COUNTIFS(실시간콜입력!$B:$B,$A1279,실시간콜입력!$E:$E,"A",실시간콜입력!$G:$G,$B1279,실시간콜입력!$O:$O,"방문완료")+COUNTIFS(실시간콜입력!$B:$B,$A1279,실시간콜입력!$E:$E,"A",실시간콜입력!$H:$H,$B1279,실시간콜입력!$O:$O,"방문완료")</f>
        <v>0</v>
      </c>
      <c r="G1279" s="29">
        <f>COUNTIFS(실시간콜입력!$B:$B,$A1279,실시간콜입력!$E:$E,"B",실시간콜입력!$G:$G,$B1279,실시간콜입력!$O:$O,"방문완료")+COUNTIFS(실시간콜입력!$B:$B,$A1279,실시간콜입력!$E:$E,"B",실시간콜입력!$H:$H,$B1279,실시간콜입력!$O:$O,"방문완료")</f>
        <v>0</v>
      </c>
      <c r="H1279" s="29">
        <f>COUNTIFS(실시간콜입력!$B:$B,$A1279,실시간콜입력!$E:$E,"C",실시간콜입력!$G:$G,$B1279,실시간콜입력!$O:$O,"방문완료")+COUNTIFS(실시간콜입력!$B:$B,$A1279,실시간콜입력!$E:$E,"C",실시간콜입력!$H:$H,$B1279,실시간콜입력!$O:$O,"방문완료")</f>
        <v>0</v>
      </c>
      <c r="I1279" s="29">
        <f>COUNTIFS(실시간콜입력!$B:$B,$A1279,실시간콜입력!$E:$E,"D",실시간콜입력!$G:$G,$B1279,실시간콜입력!$O:$O,"방문완료")+COUNTIFS(실시간콜입력!$B:$B,$A1279,실시간콜입력!$E:$E,"D",실시간콜입력!$H:$H,$B1279,실시간콜입력!$O:$O,"방문완료")</f>
        <v>0</v>
      </c>
      <c r="J1279" s="29">
        <f>COUNTIFS(실시간콜입력!$B:$B,$A1279,실시간콜입력!$E:$E,"E",실시간콜입력!$G:$G,$B1279,실시간콜입력!$O:$O,"방문완료")+COUNTIFS(실시간콜입력!$B:$B,$A1279,실시간콜입력!$E:$E,"E",실시간콜입력!$H:$H,$B1279,실시간콜입력!$O:$O,"방문완료")</f>
        <v>0</v>
      </c>
      <c r="K1279" s="29">
        <f t="shared" si="170"/>
        <v>0</v>
      </c>
      <c r="L1279" s="27">
        <f>SUMIFS(실시간콜입력!$K:$K,실시간콜입력!$B:$B,$A1279,실시간콜입력!$G:$G,$B1279,실시간콜입력!$O:$O,"방문완료")+SUMIFS(실시간콜입력!$L:$L,실시간콜입력!$B:$B,$A1279,실시간콜입력!$H:$H,$B1279,실시간콜입력!$O:$O,"방문완료")</f>
        <v>0</v>
      </c>
      <c r="M1279" s="29" t="str">
        <f t="shared" si="171"/>
        <v/>
      </c>
      <c r="N1279" s="29"/>
    </row>
    <row r="1280" spans="1:14" ht="19.5" hidden="1" customHeight="1" outlineLevel="1">
      <c r="A1280" s="30">
        <f>IF(25&lt;=DAY(DATE(YEAR(설정_코스수당!$K$2),MONTH(설정_코스수당!$K$2)+1,0)),DATE(YEAR(설정_코스수당!$K$2),MONTH(설정_코스수당!$K$2),25),"")</f>
        <v>46198</v>
      </c>
      <c r="B1280" s="29" t="s">
        <v>188</v>
      </c>
      <c r="C1280" s="29"/>
      <c r="D1280" s="29"/>
      <c r="E1280" s="29" t="str">
        <f t="shared" si="169"/>
        <v/>
      </c>
      <c r="F1280" s="29">
        <f>COUNTIFS(실시간콜입력!$B:$B,$A1280,실시간콜입력!$E:$E,"A",실시간콜입력!$G:$G,$B1280,실시간콜입력!$O:$O,"방문완료")+COUNTIFS(실시간콜입력!$B:$B,$A1280,실시간콜입력!$E:$E,"A",실시간콜입력!$H:$H,$B1280,실시간콜입력!$O:$O,"방문완료")</f>
        <v>0</v>
      </c>
      <c r="G1280" s="29">
        <f>COUNTIFS(실시간콜입력!$B:$B,$A1280,실시간콜입력!$E:$E,"B",실시간콜입력!$G:$G,$B1280,실시간콜입력!$O:$O,"방문완료")+COUNTIFS(실시간콜입력!$B:$B,$A1280,실시간콜입력!$E:$E,"B",실시간콜입력!$H:$H,$B1280,실시간콜입력!$O:$O,"방문완료")</f>
        <v>0</v>
      </c>
      <c r="H1280" s="29">
        <f>COUNTIFS(실시간콜입력!$B:$B,$A1280,실시간콜입력!$E:$E,"C",실시간콜입력!$G:$G,$B1280,실시간콜입력!$O:$O,"방문완료")+COUNTIFS(실시간콜입력!$B:$B,$A1280,실시간콜입력!$E:$E,"C",실시간콜입력!$H:$H,$B1280,실시간콜입력!$O:$O,"방문완료")</f>
        <v>0</v>
      </c>
      <c r="I1280" s="29">
        <f>COUNTIFS(실시간콜입력!$B:$B,$A1280,실시간콜입력!$E:$E,"D",실시간콜입력!$G:$G,$B1280,실시간콜입력!$O:$O,"방문완료")+COUNTIFS(실시간콜입력!$B:$B,$A1280,실시간콜입력!$E:$E,"D",실시간콜입력!$H:$H,$B1280,실시간콜입력!$O:$O,"방문완료")</f>
        <v>0</v>
      </c>
      <c r="J1280" s="29">
        <f>COUNTIFS(실시간콜입력!$B:$B,$A1280,실시간콜입력!$E:$E,"E",실시간콜입력!$G:$G,$B1280,실시간콜입력!$O:$O,"방문완료")+COUNTIFS(실시간콜입력!$B:$B,$A1280,실시간콜입력!$E:$E,"E",실시간콜입력!$H:$H,$B1280,실시간콜입력!$O:$O,"방문완료")</f>
        <v>0</v>
      </c>
      <c r="K1280" s="29">
        <f t="shared" si="170"/>
        <v>0</v>
      </c>
      <c r="L1280" s="33">
        <f>SUMIFS(실시간콜입력!$K:$K,실시간콜입력!$B:$B,$A1280,실시간콜입력!$G:$G,$B1280,실시간콜입력!$O:$O,"방문완료")+SUMIFS(실시간콜입력!$L:$L,실시간콜입력!$B:$B,$A1280,실시간콜입력!$H:$H,$B1280,실시간콜입력!$O:$O,"방문완료")</f>
        <v>0</v>
      </c>
      <c r="M1280" s="29" t="str">
        <f t="shared" si="171"/>
        <v/>
      </c>
      <c r="N1280" s="29"/>
    </row>
    <row r="1281" spans="1:14" ht="19.5" hidden="1" customHeight="1" outlineLevel="1">
      <c r="A1281" s="24">
        <f>IF(25&lt;=DAY(DATE(YEAR(설정_코스수당!$K$2),MONTH(설정_코스수당!$K$2)+1,0)),DATE(YEAR(설정_코스수당!$K$2),MONTH(설정_코스수당!$K$2),25),"")</f>
        <v>46198</v>
      </c>
      <c r="B1281" s="23" t="s">
        <v>189</v>
      </c>
      <c r="C1281" s="29"/>
      <c r="D1281" s="29"/>
      <c r="E1281" s="29" t="str">
        <f t="shared" si="169"/>
        <v/>
      </c>
      <c r="F1281" s="29">
        <f>COUNTIFS(실시간콜입력!$B:$B,$A1281,실시간콜입력!$E:$E,"A",실시간콜입력!$G:$G,$B1281,실시간콜입력!$O:$O,"방문완료")+COUNTIFS(실시간콜입력!$B:$B,$A1281,실시간콜입력!$E:$E,"A",실시간콜입력!$H:$H,$B1281,실시간콜입력!$O:$O,"방문완료")</f>
        <v>0</v>
      </c>
      <c r="G1281" s="29">
        <f>COUNTIFS(실시간콜입력!$B:$B,$A1281,실시간콜입력!$E:$E,"B",실시간콜입력!$G:$G,$B1281,실시간콜입력!$O:$O,"방문완료")+COUNTIFS(실시간콜입력!$B:$B,$A1281,실시간콜입력!$E:$E,"B",실시간콜입력!$H:$H,$B1281,실시간콜입력!$O:$O,"방문완료")</f>
        <v>0</v>
      </c>
      <c r="H1281" s="29">
        <f>COUNTIFS(실시간콜입력!$B:$B,$A1281,실시간콜입력!$E:$E,"C",실시간콜입력!$G:$G,$B1281,실시간콜입력!$O:$O,"방문완료")+COUNTIFS(실시간콜입력!$B:$B,$A1281,실시간콜입력!$E:$E,"C",실시간콜입력!$H:$H,$B1281,실시간콜입력!$O:$O,"방문완료")</f>
        <v>0</v>
      </c>
      <c r="I1281" s="29">
        <f>COUNTIFS(실시간콜입력!$B:$B,$A1281,실시간콜입력!$E:$E,"D",실시간콜입력!$G:$G,$B1281,실시간콜입력!$O:$O,"방문완료")+COUNTIFS(실시간콜입력!$B:$B,$A1281,실시간콜입력!$E:$E,"D",실시간콜입력!$H:$H,$B1281,실시간콜입력!$O:$O,"방문완료")</f>
        <v>0</v>
      </c>
      <c r="J1281" s="29">
        <f>COUNTIFS(실시간콜입력!$B:$B,$A1281,실시간콜입력!$E:$E,"E",실시간콜입력!$G:$G,$B1281,실시간콜입력!$O:$O,"방문완료")+COUNTIFS(실시간콜입력!$B:$B,$A1281,실시간콜입력!$E:$E,"E",실시간콜입력!$H:$H,$B1281,실시간콜입력!$O:$O,"방문완료")</f>
        <v>0</v>
      </c>
      <c r="K1281" s="29">
        <f t="shared" si="170"/>
        <v>0</v>
      </c>
      <c r="L1281" s="27">
        <f>SUMIFS(실시간콜입력!$K:$K,실시간콜입력!$B:$B,$A1281,실시간콜입력!$G:$G,$B1281,실시간콜입력!$O:$O,"방문완료")+SUMIFS(실시간콜입력!$L:$L,실시간콜입력!$B:$B,$A1281,실시간콜입력!$H:$H,$B1281,실시간콜입력!$O:$O,"방문완료")</f>
        <v>0</v>
      </c>
      <c r="M1281" s="29" t="str">
        <f t="shared" si="171"/>
        <v/>
      </c>
      <c r="N1281" s="29"/>
    </row>
    <row r="1282" spans="1:14" ht="19.5" hidden="1" customHeight="1" outlineLevel="1">
      <c r="A1282" s="30">
        <f>IF(25&lt;=DAY(DATE(YEAR(설정_코스수당!$K$2),MONTH(설정_코스수당!$K$2)+1,0)),DATE(YEAR(설정_코스수당!$K$2),MONTH(설정_코스수당!$K$2),25),"")</f>
        <v>46198</v>
      </c>
      <c r="B1282" s="29" t="s">
        <v>190</v>
      </c>
      <c r="C1282" s="29"/>
      <c r="D1282" s="29"/>
      <c r="E1282" s="29" t="str">
        <f t="shared" si="169"/>
        <v/>
      </c>
      <c r="F1282" s="29">
        <f>COUNTIFS(실시간콜입력!$B:$B,$A1282,실시간콜입력!$E:$E,"A",실시간콜입력!$G:$G,$B1282,실시간콜입력!$O:$O,"방문완료")+COUNTIFS(실시간콜입력!$B:$B,$A1282,실시간콜입력!$E:$E,"A",실시간콜입력!$H:$H,$B1282,실시간콜입력!$O:$O,"방문완료")</f>
        <v>0</v>
      </c>
      <c r="G1282" s="29">
        <f>COUNTIFS(실시간콜입력!$B:$B,$A1282,실시간콜입력!$E:$E,"B",실시간콜입력!$G:$G,$B1282,실시간콜입력!$O:$O,"방문완료")+COUNTIFS(실시간콜입력!$B:$B,$A1282,실시간콜입력!$E:$E,"B",실시간콜입력!$H:$H,$B1282,실시간콜입력!$O:$O,"방문완료")</f>
        <v>0</v>
      </c>
      <c r="H1282" s="29">
        <f>COUNTIFS(실시간콜입력!$B:$B,$A1282,실시간콜입력!$E:$E,"C",실시간콜입력!$G:$G,$B1282,실시간콜입력!$O:$O,"방문완료")+COUNTIFS(실시간콜입력!$B:$B,$A1282,실시간콜입력!$E:$E,"C",실시간콜입력!$H:$H,$B1282,실시간콜입력!$O:$O,"방문완료")</f>
        <v>0</v>
      </c>
      <c r="I1282" s="29">
        <f>COUNTIFS(실시간콜입력!$B:$B,$A1282,실시간콜입력!$E:$E,"D",실시간콜입력!$G:$G,$B1282,실시간콜입력!$O:$O,"방문완료")+COUNTIFS(실시간콜입력!$B:$B,$A1282,실시간콜입력!$E:$E,"D",실시간콜입력!$H:$H,$B1282,실시간콜입력!$O:$O,"방문완료")</f>
        <v>0</v>
      </c>
      <c r="J1282" s="29">
        <f>COUNTIFS(실시간콜입력!$B:$B,$A1282,실시간콜입력!$E:$E,"E",실시간콜입력!$G:$G,$B1282,실시간콜입력!$O:$O,"방문완료")+COUNTIFS(실시간콜입력!$B:$B,$A1282,실시간콜입력!$E:$E,"E",실시간콜입력!$H:$H,$B1282,실시간콜입력!$O:$O,"방문완료")</f>
        <v>0</v>
      </c>
      <c r="K1282" s="29">
        <f t="shared" si="170"/>
        <v>0</v>
      </c>
      <c r="L1282" s="33">
        <f>SUMIFS(실시간콜입력!$K:$K,실시간콜입력!$B:$B,$A1282,실시간콜입력!$G:$G,$B1282,실시간콜입력!$O:$O,"방문완료")+SUMIFS(실시간콜입력!$L:$L,실시간콜입력!$B:$B,$A1282,실시간콜입력!$H:$H,$B1282,실시간콜입력!$O:$O,"방문완료")</f>
        <v>0</v>
      </c>
      <c r="M1282" s="29" t="str">
        <f t="shared" si="171"/>
        <v/>
      </c>
      <c r="N1282" s="29"/>
    </row>
    <row r="1283" spans="1:14" ht="19.5" hidden="1" customHeight="1" outlineLevel="1">
      <c r="A1283" s="24">
        <f>IF(25&lt;=DAY(DATE(YEAR(설정_코스수당!$K$2),MONTH(설정_코스수당!$K$2)+1,0)),DATE(YEAR(설정_코스수당!$K$2),MONTH(설정_코스수당!$K$2),25),"")</f>
        <v>46198</v>
      </c>
      <c r="B1283" s="23" t="s">
        <v>191</v>
      </c>
      <c r="C1283" s="29"/>
      <c r="D1283" s="29"/>
      <c r="E1283" s="29" t="str">
        <f t="shared" si="169"/>
        <v/>
      </c>
      <c r="F1283" s="29">
        <f>COUNTIFS(실시간콜입력!$B:$B,$A1283,실시간콜입력!$E:$E,"A",실시간콜입력!$G:$G,$B1283,실시간콜입력!$O:$O,"방문완료")+COUNTIFS(실시간콜입력!$B:$B,$A1283,실시간콜입력!$E:$E,"A",실시간콜입력!$H:$H,$B1283,실시간콜입력!$O:$O,"방문완료")</f>
        <v>0</v>
      </c>
      <c r="G1283" s="29">
        <f>COUNTIFS(실시간콜입력!$B:$B,$A1283,실시간콜입력!$E:$E,"B",실시간콜입력!$G:$G,$B1283,실시간콜입력!$O:$O,"방문완료")+COUNTIFS(실시간콜입력!$B:$B,$A1283,실시간콜입력!$E:$E,"B",실시간콜입력!$H:$H,$B1283,실시간콜입력!$O:$O,"방문완료")</f>
        <v>0</v>
      </c>
      <c r="H1283" s="29">
        <f>COUNTIFS(실시간콜입력!$B:$B,$A1283,실시간콜입력!$E:$E,"C",실시간콜입력!$G:$G,$B1283,실시간콜입력!$O:$O,"방문완료")+COUNTIFS(실시간콜입력!$B:$B,$A1283,실시간콜입력!$E:$E,"C",실시간콜입력!$H:$H,$B1283,실시간콜입력!$O:$O,"방문완료")</f>
        <v>0</v>
      </c>
      <c r="I1283" s="29">
        <f>COUNTIFS(실시간콜입력!$B:$B,$A1283,실시간콜입력!$E:$E,"D",실시간콜입력!$G:$G,$B1283,실시간콜입력!$O:$O,"방문완료")+COUNTIFS(실시간콜입력!$B:$B,$A1283,실시간콜입력!$E:$E,"D",실시간콜입력!$H:$H,$B1283,실시간콜입력!$O:$O,"방문완료")</f>
        <v>0</v>
      </c>
      <c r="J1283" s="29">
        <f>COUNTIFS(실시간콜입력!$B:$B,$A1283,실시간콜입력!$E:$E,"E",실시간콜입력!$G:$G,$B1283,실시간콜입력!$O:$O,"방문완료")+COUNTIFS(실시간콜입력!$B:$B,$A1283,실시간콜입력!$E:$E,"E",실시간콜입력!$H:$H,$B1283,실시간콜입력!$O:$O,"방문완료")</f>
        <v>0</v>
      </c>
      <c r="K1283" s="29">
        <f t="shared" si="170"/>
        <v>0</v>
      </c>
      <c r="L1283" s="27">
        <f>SUMIFS(실시간콜입력!$K:$K,실시간콜입력!$B:$B,$A1283,실시간콜입력!$G:$G,$B1283,실시간콜입력!$O:$O,"방문완료")+SUMIFS(실시간콜입력!$L:$L,실시간콜입력!$B:$B,$A1283,실시간콜입력!$H:$H,$B1283,실시간콜입력!$O:$O,"방문완료")</f>
        <v>0</v>
      </c>
      <c r="M1283" s="29" t="str">
        <f t="shared" si="171"/>
        <v/>
      </c>
      <c r="N1283" s="29"/>
    </row>
    <row r="1284" spans="1:14" ht="19.5" hidden="1" customHeight="1" outlineLevel="1">
      <c r="A1284" s="30">
        <f>IF(25&lt;=DAY(DATE(YEAR(설정_코스수당!$K$2),MONTH(설정_코스수당!$K$2)+1,0)),DATE(YEAR(설정_코스수당!$K$2),MONTH(설정_코스수당!$K$2),25),"")</f>
        <v>46198</v>
      </c>
      <c r="B1284" s="29" t="s">
        <v>192</v>
      </c>
      <c r="C1284" s="29"/>
      <c r="D1284" s="29"/>
      <c r="E1284" s="29" t="str">
        <f t="shared" si="169"/>
        <v/>
      </c>
      <c r="F1284" s="29">
        <f>COUNTIFS(실시간콜입력!$B:$B,$A1284,실시간콜입력!$E:$E,"A",실시간콜입력!$G:$G,$B1284,실시간콜입력!$O:$O,"방문완료")+COUNTIFS(실시간콜입력!$B:$B,$A1284,실시간콜입력!$E:$E,"A",실시간콜입력!$H:$H,$B1284,실시간콜입력!$O:$O,"방문완료")</f>
        <v>0</v>
      </c>
      <c r="G1284" s="29">
        <f>COUNTIFS(실시간콜입력!$B:$B,$A1284,실시간콜입력!$E:$E,"B",실시간콜입력!$G:$G,$B1284,실시간콜입력!$O:$O,"방문완료")+COUNTIFS(실시간콜입력!$B:$B,$A1284,실시간콜입력!$E:$E,"B",실시간콜입력!$H:$H,$B1284,실시간콜입력!$O:$O,"방문완료")</f>
        <v>0</v>
      </c>
      <c r="H1284" s="29">
        <f>COUNTIFS(실시간콜입력!$B:$B,$A1284,실시간콜입력!$E:$E,"C",실시간콜입력!$G:$G,$B1284,실시간콜입력!$O:$O,"방문완료")+COUNTIFS(실시간콜입력!$B:$B,$A1284,실시간콜입력!$E:$E,"C",실시간콜입력!$H:$H,$B1284,실시간콜입력!$O:$O,"방문완료")</f>
        <v>0</v>
      </c>
      <c r="I1284" s="29">
        <f>COUNTIFS(실시간콜입력!$B:$B,$A1284,실시간콜입력!$E:$E,"D",실시간콜입력!$G:$G,$B1284,실시간콜입력!$O:$O,"방문완료")+COUNTIFS(실시간콜입력!$B:$B,$A1284,실시간콜입력!$E:$E,"D",실시간콜입력!$H:$H,$B1284,실시간콜입력!$O:$O,"방문완료")</f>
        <v>0</v>
      </c>
      <c r="J1284" s="29">
        <f>COUNTIFS(실시간콜입력!$B:$B,$A1284,실시간콜입력!$E:$E,"E",실시간콜입력!$G:$G,$B1284,실시간콜입력!$O:$O,"방문완료")+COUNTIFS(실시간콜입력!$B:$B,$A1284,실시간콜입력!$E:$E,"E",실시간콜입력!$H:$H,$B1284,실시간콜입력!$O:$O,"방문완료")</f>
        <v>0</v>
      </c>
      <c r="K1284" s="29">
        <f t="shared" si="170"/>
        <v>0</v>
      </c>
      <c r="L1284" s="33">
        <f>SUMIFS(실시간콜입력!$K:$K,실시간콜입력!$B:$B,$A1284,실시간콜입력!$G:$G,$B1284,실시간콜입력!$O:$O,"방문완료")+SUMIFS(실시간콜입력!$L:$L,실시간콜입력!$B:$B,$A1284,실시간콜입력!$H:$H,$B1284,실시간콜입력!$O:$O,"방문완료")</f>
        <v>0</v>
      </c>
      <c r="M1284" s="29" t="str">
        <f t="shared" si="171"/>
        <v/>
      </c>
      <c r="N1284" s="29"/>
    </row>
    <row r="1285" spans="1:14" ht="19.5" hidden="1" customHeight="1" outlineLevel="1">
      <c r="A1285" s="24">
        <f>IF(25&lt;=DAY(DATE(YEAR(설정_코스수당!$K$2),MONTH(설정_코스수당!$K$2)+1,0)),DATE(YEAR(설정_코스수당!$K$2),MONTH(설정_코스수당!$K$2),25),"")</f>
        <v>46198</v>
      </c>
      <c r="B1285" s="23" t="s">
        <v>193</v>
      </c>
      <c r="C1285" s="29"/>
      <c r="D1285" s="29"/>
      <c r="E1285" s="29" t="str">
        <f t="shared" si="169"/>
        <v/>
      </c>
      <c r="F1285" s="29">
        <f>COUNTIFS(실시간콜입력!$B:$B,$A1285,실시간콜입력!$E:$E,"A",실시간콜입력!$G:$G,$B1285,실시간콜입력!$O:$O,"방문완료")+COUNTIFS(실시간콜입력!$B:$B,$A1285,실시간콜입력!$E:$E,"A",실시간콜입력!$H:$H,$B1285,실시간콜입력!$O:$O,"방문완료")</f>
        <v>0</v>
      </c>
      <c r="G1285" s="29">
        <f>COUNTIFS(실시간콜입력!$B:$B,$A1285,실시간콜입력!$E:$E,"B",실시간콜입력!$G:$G,$B1285,실시간콜입력!$O:$O,"방문완료")+COUNTIFS(실시간콜입력!$B:$B,$A1285,실시간콜입력!$E:$E,"B",실시간콜입력!$H:$H,$B1285,실시간콜입력!$O:$O,"방문완료")</f>
        <v>0</v>
      </c>
      <c r="H1285" s="29">
        <f>COUNTIFS(실시간콜입력!$B:$B,$A1285,실시간콜입력!$E:$E,"C",실시간콜입력!$G:$G,$B1285,실시간콜입력!$O:$O,"방문완료")+COUNTIFS(실시간콜입력!$B:$B,$A1285,실시간콜입력!$E:$E,"C",실시간콜입력!$H:$H,$B1285,실시간콜입력!$O:$O,"방문완료")</f>
        <v>0</v>
      </c>
      <c r="I1285" s="29">
        <f>COUNTIFS(실시간콜입력!$B:$B,$A1285,실시간콜입력!$E:$E,"D",실시간콜입력!$G:$G,$B1285,실시간콜입력!$O:$O,"방문완료")+COUNTIFS(실시간콜입력!$B:$B,$A1285,실시간콜입력!$E:$E,"D",실시간콜입력!$H:$H,$B1285,실시간콜입력!$O:$O,"방문완료")</f>
        <v>0</v>
      </c>
      <c r="J1285" s="29">
        <f>COUNTIFS(실시간콜입력!$B:$B,$A1285,실시간콜입력!$E:$E,"E",실시간콜입력!$G:$G,$B1285,실시간콜입력!$O:$O,"방문완료")+COUNTIFS(실시간콜입력!$B:$B,$A1285,실시간콜입력!$E:$E,"E",실시간콜입력!$H:$H,$B1285,실시간콜입력!$O:$O,"방문완료")</f>
        <v>0</v>
      </c>
      <c r="K1285" s="29">
        <f t="shared" si="170"/>
        <v>0</v>
      </c>
      <c r="L1285" s="27">
        <f>SUMIFS(실시간콜입력!$K:$K,실시간콜입력!$B:$B,$A1285,실시간콜입력!$G:$G,$B1285,실시간콜입력!$O:$O,"방문완료")+SUMIFS(실시간콜입력!$L:$L,실시간콜입력!$B:$B,$A1285,실시간콜입력!$H:$H,$B1285,실시간콜입력!$O:$O,"방문완료")</f>
        <v>0</v>
      </c>
      <c r="M1285" s="29" t="str">
        <f t="shared" si="171"/>
        <v/>
      </c>
      <c r="N1285" s="29"/>
    </row>
    <row r="1286" spans="1:14" ht="19.5" hidden="1" customHeight="1" outlineLevel="1">
      <c r="A1286" s="30">
        <f>IF(25&lt;=DAY(DATE(YEAR(설정_코스수당!$K$2),MONTH(설정_코스수당!$K$2)+1,0)),DATE(YEAR(설정_코스수당!$K$2),MONTH(설정_코스수당!$K$2),25),"")</f>
        <v>46198</v>
      </c>
      <c r="B1286" s="29" t="s">
        <v>194</v>
      </c>
      <c r="C1286" s="29"/>
      <c r="D1286" s="29"/>
      <c r="E1286" s="29" t="str">
        <f t="shared" si="169"/>
        <v/>
      </c>
      <c r="F1286" s="29">
        <f>COUNTIFS(실시간콜입력!$B:$B,$A1286,실시간콜입력!$E:$E,"A",실시간콜입력!$G:$G,$B1286,실시간콜입력!$O:$O,"방문완료")+COUNTIFS(실시간콜입력!$B:$B,$A1286,실시간콜입력!$E:$E,"A",실시간콜입력!$H:$H,$B1286,실시간콜입력!$O:$O,"방문완료")</f>
        <v>0</v>
      </c>
      <c r="G1286" s="29">
        <f>COUNTIFS(실시간콜입력!$B:$B,$A1286,실시간콜입력!$E:$E,"B",실시간콜입력!$G:$G,$B1286,실시간콜입력!$O:$O,"방문완료")+COUNTIFS(실시간콜입력!$B:$B,$A1286,실시간콜입력!$E:$E,"B",실시간콜입력!$H:$H,$B1286,실시간콜입력!$O:$O,"방문완료")</f>
        <v>0</v>
      </c>
      <c r="H1286" s="29">
        <f>COUNTIFS(실시간콜입력!$B:$B,$A1286,실시간콜입력!$E:$E,"C",실시간콜입력!$G:$G,$B1286,실시간콜입력!$O:$O,"방문완료")+COUNTIFS(실시간콜입력!$B:$B,$A1286,실시간콜입력!$E:$E,"C",실시간콜입력!$H:$H,$B1286,실시간콜입력!$O:$O,"방문완료")</f>
        <v>0</v>
      </c>
      <c r="I1286" s="29">
        <f>COUNTIFS(실시간콜입력!$B:$B,$A1286,실시간콜입력!$E:$E,"D",실시간콜입력!$G:$G,$B1286,실시간콜입력!$O:$O,"방문완료")+COUNTIFS(실시간콜입력!$B:$B,$A1286,실시간콜입력!$E:$E,"D",실시간콜입력!$H:$H,$B1286,실시간콜입력!$O:$O,"방문완료")</f>
        <v>0</v>
      </c>
      <c r="J1286" s="29">
        <f>COUNTIFS(실시간콜입력!$B:$B,$A1286,실시간콜입력!$E:$E,"E",실시간콜입력!$G:$G,$B1286,실시간콜입력!$O:$O,"방문완료")+COUNTIFS(실시간콜입력!$B:$B,$A1286,실시간콜입력!$E:$E,"E",실시간콜입력!$H:$H,$B1286,실시간콜입력!$O:$O,"방문완료")</f>
        <v>0</v>
      </c>
      <c r="K1286" s="29">
        <f t="shared" si="170"/>
        <v>0</v>
      </c>
      <c r="L1286" s="33">
        <f>SUMIFS(실시간콜입력!$K:$K,실시간콜입력!$B:$B,$A1286,실시간콜입력!$G:$G,$B1286,실시간콜입력!$O:$O,"방문완료")+SUMIFS(실시간콜입력!$L:$L,실시간콜입력!$B:$B,$A1286,실시간콜입력!$H:$H,$B1286,실시간콜입력!$O:$O,"방문완료")</f>
        <v>0</v>
      </c>
      <c r="M1286" s="29" t="str">
        <f t="shared" si="171"/>
        <v/>
      </c>
      <c r="N1286" s="29"/>
    </row>
    <row r="1287" spans="1:14" ht="19.5" hidden="1" customHeight="1" outlineLevel="1">
      <c r="A1287" s="24">
        <f>IF(25&lt;=DAY(DATE(YEAR(설정_코스수당!$K$2),MONTH(설정_코스수당!$K$2)+1,0)),DATE(YEAR(설정_코스수당!$K$2),MONTH(설정_코스수당!$K$2),25),"")</f>
        <v>46198</v>
      </c>
      <c r="B1287" s="23" t="s">
        <v>195</v>
      </c>
      <c r="C1287" s="29"/>
      <c r="D1287" s="29"/>
      <c r="E1287" s="29" t="str">
        <f t="shared" ref="E1287:E1318" si="172">IF(AND(C1287&lt;&gt;"",D1287&lt;&gt;""),IF(D1287&lt;C1287,D1287+1-C1287,D1287-C1287)*24,"")</f>
        <v/>
      </c>
      <c r="F1287" s="29">
        <f>COUNTIFS(실시간콜입력!$B:$B,$A1287,실시간콜입력!$E:$E,"A",실시간콜입력!$G:$G,$B1287,실시간콜입력!$O:$O,"방문완료")+COUNTIFS(실시간콜입력!$B:$B,$A1287,실시간콜입력!$E:$E,"A",실시간콜입력!$H:$H,$B1287,실시간콜입력!$O:$O,"방문완료")</f>
        <v>0</v>
      </c>
      <c r="G1287" s="29">
        <f>COUNTIFS(실시간콜입력!$B:$B,$A1287,실시간콜입력!$E:$E,"B",실시간콜입력!$G:$G,$B1287,실시간콜입력!$O:$O,"방문완료")+COUNTIFS(실시간콜입력!$B:$B,$A1287,실시간콜입력!$E:$E,"B",실시간콜입력!$H:$H,$B1287,실시간콜입력!$O:$O,"방문완료")</f>
        <v>0</v>
      </c>
      <c r="H1287" s="29">
        <f>COUNTIFS(실시간콜입력!$B:$B,$A1287,실시간콜입력!$E:$E,"C",실시간콜입력!$G:$G,$B1287,실시간콜입력!$O:$O,"방문완료")+COUNTIFS(실시간콜입력!$B:$B,$A1287,실시간콜입력!$E:$E,"C",실시간콜입력!$H:$H,$B1287,실시간콜입력!$O:$O,"방문완료")</f>
        <v>0</v>
      </c>
      <c r="I1287" s="29">
        <f>COUNTIFS(실시간콜입력!$B:$B,$A1287,실시간콜입력!$E:$E,"D",실시간콜입력!$G:$G,$B1287,실시간콜입력!$O:$O,"방문완료")+COUNTIFS(실시간콜입력!$B:$B,$A1287,실시간콜입력!$E:$E,"D",실시간콜입력!$H:$H,$B1287,실시간콜입력!$O:$O,"방문완료")</f>
        <v>0</v>
      </c>
      <c r="J1287" s="29">
        <f>COUNTIFS(실시간콜입력!$B:$B,$A1287,실시간콜입력!$E:$E,"E",실시간콜입력!$G:$G,$B1287,실시간콜입력!$O:$O,"방문완료")+COUNTIFS(실시간콜입력!$B:$B,$A1287,실시간콜입력!$E:$E,"E",실시간콜입력!$H:$H,$B1287,실시간콜입력!$O:$O,"방문완료")</f>
        <v>0</v>
      </c>
      <c r="K1287" s="29">
        <f t="shared" ref="K1287:K1318" si="173">SUM(F1287:J1287)</f>
        <v>0</v>
      </c>
      <c r="L1287" s="27">
        <f>SUMIFS(실시간콜입력!$K:$K,실시간콜입력!$B:$B,$A1287,실시간콜입력!$G:$G,$B1287,실시간콜입력!$O:$O,"방문완료")+SUMIFS(실시간콜입력!$L:$L,실시간콜입력!$B:$B,$A1287,실시간콜입력!$H:$H,$B1287,실시간콜입력!$O:$O,"방문완료")</f>
        <v>0</v>
      </c>
      <c r="M1287" s="29" t="str">
        <f t="shared" ref="M1287:M1304" si="174">IF(AND(ISNUMBER(E1287),E1287&gt;=8),"인정","")</f>
        <v/>
      </c>
      <c r="N1287" s="29"/>
    </row>
    <row r="1288" spans="1:14" ht="19.5" hidden="1" customHeight="1" outlineLevel="1">
      <c r="A1288" s="30">
        <f>IF(25&lt;=DAY(DATE(YEAR(설정_코스수당!$K$2),MONTH(설정_코스수당!$K$2)+1,0)),DATE(YEAR(설정_코스수당!$K$2),MONTH(설정_코스수당!$K$2),25),"")</f>
        <v>46198</v>
      </c>
      <c r="B1288" s="29" t="s">
        <v>196</v>
      </c>
      <c r="C1288" s="29"/>
      <c r="D1288" s="29"/>
      <c r="E1288" s="29" t="str">
        <f t="shared" si="172"/>
        <v/>
      </c>
      <c r="F1288" s="29">
        <f>COUNTIFS(실시간콜입력!$B:$B,$A1288,실시간콜입력!$E:$E,"A",실시간콜입력!$G:$G,$B1288,실시간콜입력!$O:$O,"방문완료")+COUNTIFS(실시간콜입력!$B:$B,$A1288,실시간콜입력!$E:$E,"A",실시간콜입력!$H:$H,$B1288,실시간콜입력!$O:$O,"방문완료")</f>
        <v>0</v>
      </c>
      <c r="G1288" s="29">
        <f>COUNTIFS(실시간콜입력!$B:$B,$A1288,실시간콜입력!$E:$E,"B",실시간콜입력!$G:$G,$B1288,실시간콜입력!$O:$O,"방문완료")+COUNTIFS(실시간콜입력!$B:$B,$A1288,실시간콜입력!$E:$E,"B",실시간콜입력!$H:$H,$B1288,실시간콜입력!$O:$O,"방문완료")</f>
        <v>0</v>
      </c>
      <c r="H1288" s="29">
        <f>COUNTIFS(실시간콜입력!$B:$B,$A1288,실시간콜입력!$E:$E,"C",실시간콜입력!$G:$G,$B1288,실시간콜입력!$O:$O,"방문완료")+COUNTIFS(실시간콜입력!$B:$B,$A1288,실시간콜입력!$E:$E,"C",실시간콜입력!$H:$H,$B1288,실시간콜입력!$O:$O,"방문완료")</f>
        <v>0</v>
      </c>
      <c r="I1288" s="29">
        <f>COUNTIFS(실시간콜입력!$B:$B,$A1288,실시간콜입력!$E:$E,"D",실시간콜입력!$G:$G,$B1288,실시간콜입력!$O:$O,"방문완료")+COUNTIFS(실시간콜입력!$B:$B,$A1288,실시간콜입력!$E:$E,"D",실시간콜입력!$H:$H,$B1288,실시간콜입력!$O:$O,"방문완료")</f>
        <v>0</v>
      </c>
      <c r="J1288" s="29">
        <f>COUNTIFS(실시간콜입력!$B:$B,$A1288,실시간콜입력!$E:$E,"E",실시간콜입력!$G:$G,$B1288,실시간콜입력!$O:$O,"방문완료")+COUNTIFS(실시간콜입력!$B:$B,$A1288,실시간콜입력!$E:$E,"E",실시간콜입력!$H:$H,$B1288,실시간콜입력!$O:$O,"방문완료")</f>
        <v>0</v>
      </c>
      <c r="K1288" s="29">
        <f t="shared" si="173"/>
        <v>0</v>
      </c>
      <c r="L1288" s="33">
        <f>SUMIFS(실시간콜입력!$K:$K,실시간콜입력!$B:$B,$A1288,실시간콜입력!$G:$G,$B1288,실시간콜입력!$O:$O,"방문완료")+SUMIFS(실시간콜입력!$L:$L,실시간콜입력!$B:$B,$A1288,실시간콜입력!$H:$H,$B1288,실시간콜입력!$O:$O,"방문완료")</f>
        <v>0</v>
      </c>
      <c r="M1288" s="29" t="str">
        <f t="shared" si="174"/>
        <v/>
      </c>
      <c r="N1288" s="29"/>
    </row>
    <row r="1289" spans="1:14" ht="19.5" hidden="1" customHeight="1" outlineLevel="1">
      <c r="A1289" s="24">
        <f>IF(25&lt;=DAY(DATE(YEAR(설정_코스수당!$K$2),MONTH(설정_코스수당!$K$2)+1,0)),DATE(YEAR(설정_코스수당!$K$2),MONTH(설정_코스수당!$K$2),25),"")</f>
        <v>46198</v>
      </c>
      <c r="B1289" s="23" t="s">
        <v>197</v>
      </c>
      <c r="C1289" s="29"/>
      <c r="D1289" s="29"/>
      <c r="E1289" s="29" t="str">
        <f t="shared" si="172"/>
        <v/>
      </c>
      <c r="F1289" s="29">
        <f>COUNTIFS(실시간콜입력!$B:$B,$A1289,실시간콜입력!$E:$E,"A",실시간콜입력!$G:$G,$B1289,실시간콜입력!$O:$O,"방문완료")+COUNTIFS(실시간콜입력!$B:$B,$A1289,실시간콜입력!$E:$E,"A",실시간콜입력!$H:$H,$B1289,실시간콜입력!$O:$O,"방문완료")</f>
        <v>0</v>
      </c>
      <c r="G1289" s="29">
        <f>COUNTIFS(실시간콜입력!$B:$B,$A1289,실시간콜입력!$E:$E,"B",실시간콜입력!$G:$G,$B1289,실시간콜입력!$O:$O,"방문완료")+COUNTIFS(실시간콜입력!$B:$B,$A1289,실시간콜입력!$E:$E,"B",실시간콜입력!$H:$H,$B1289,실시간콜입력!$O:$O,"방문완료")</f>
        <v>0</v>
      </c>
      <c r="H1289" s="29">
        <f>COUNTIFS(실시간콜입력!$B:$B,$A1289,실시간콜입력!$E:$E,"C",실시간콜입력!$G:$G,$B1289,실시간콜입력!$O:$O,"방문완료")+COUNTIFS(실시간콜입력!$B:$B,$A1289,실시간콜입력!$E:$E,"C",실시간콜입력!$H:$H,$B1289,실시간콜입력!$O:$O,"방문완료")</f>
        <v>0</v>
      </c>
      <c r="I1289" s="29">
        <f>COUNTIFS(실시간콜입력!$B:$B,$A1289,실시간콜입력!$E:$E,"D",실시간콜입력!$G:$G,$B1289,실시간콜입력!$O:$O,"방문완료")+COUNTIFS(실시간콜입력!$B:$B,$A1289,실시간콜입력!$E:$E,"D",실시간콜입력!$H:$H,$B1289,실시간콜입력!$O:$O,"방문완료")</f>
        <v>0</v>
      </c>
      <c r="J1289" s="29">
        <f>COUNTIFS(실시간콜입력!$B:$B,$A1289,실시간콜입력!$E:$E,"E",실시간콜입력!$G:$G,$B1289,실시간콜입력!$O:$O,"방문완료")+COUNTIFS(실시간콜입력!$B:$B,$A1289,실시간콜입력!$E:$E,"E",실시간콜입력!$H:$H,$B1289,실시간콜입력!$O:$O,"방문완료")</f>
        <v>0</v>
      </c>
      <c r="K1289" s="29">
        <f t="shared" si="173"/>
        <v>0</v>
      </c>
      <c r="L1289" s="27">
        <f>SUMIFS(실시간콜입력!$K:$K,실시간콜입력!$B:$B,$A1289,실시간콜입력!$G:$G,$B1289,실시간콜입력!$O:$O,"방문완료")+SUMIFS(실시간콜입력!$L:$L,실시간콜입력!$B:$B,$A1289,실시간콜입력!$H:$H,$B1289,실시간콜입력!$O:$O,"방문완료")</f>
        <v>0</v>
      </c>
      <c r="M1289" s="29" t="str">
        <f t="shared" si="174"/>
        <v/>
      </c>
      <c r="N1289" s="29"/>
    </row>
    <row r="1290" spans="1:14" ht="19.5" hidden="1" customHeight="1" outlineLevel="1">
      <c r="A1290" s="30">
        <f>IF(25&lt;=DAY(DATE(YEAR(설정_코스수당!$K$2),MONTH(설정_코스수당!$K$2)+1,0)),DATE(YEAR(설정_코스수당!$K$2),MONTH(설정_코스수당!$K$2),25),"")</f>
        <v>46198</v>
      </c>
      <c r="B1290" s="29" t="s">
        <v>198</v>
      </c>
      <c r="C1290" s="29"/>
      <c r="D1290" s="29"/>
      <c r="E1290" s="29" t="str">
        <f t="shared" si="172"/>
        <v/>
      </c>
      <c r="F1290" s="29">
        <f>COUNTIFS(실시간콜입력!$B:$B,$A1290,실시간콜입력!$E:$E,"A",실시간콜입력!$G:$G,$B1290,실시간콜입력!$O:$O,"방문완료")+COUNTIFS(실시간콜입력!$B:$B,$A1290,실시간콜입력!$E:$E,"A",실시간콜입력!$H:$H,$B1290,실시간콜입력!$O:$O,"방문완료")</f>
        <v>0</v>
      </c>
      <c r="G1290" s="29">
        <f>COUNTIFS(실시간콜입력!$B:$B,$A1290,실시간콜입력!$E:$E,"B",실시간콜입력!$G:$G,$B1290,실시간콜입력!$O:$O,"방문완료")+COUNTIFS(실시간콜입력!$B:$B,$A1290,실시간콜입력!$E:$E,"B",실시간콜입력!$H:$H,$B1290,실시간콜입력!$O:$O,"방문완료")</f>
        <v>0</v>
      </c>
      <c r="H1290" s="29">
        <f>COUNTIFS(실시간콜입력!$B:$B,$A1290,실시간콜입력!$E:$E,"C",실시간콜입력!$G:$G,$B1290,실시간콜입력!$O:$O,"방문완료")+COUNTIFS(실시간콜입력!$B:$B,$A1290,실시간콜입력!$E:$E,"C",실시간콜입력!$H:$H,$B1290,실시간콜입력!$O:$O,"방문완료")</f>
        <v>0</v>
      </c>
      <c r="I1290" s="29">
        <f>COUNTIFS(실시간콜입력!$B:$B,$A1290,실시간콜입력!$E:$E,"D",실시간콜입력!$G:$G,$B1290,실시간콜입력!$O:$O,"방문완료")+COUNTIFS(실시간콜입력!$B:$B,$A1290,실시간콜입력!$E:$E,"D",실시간콜입력!$H:$H,$B1290,실시간콜입력!$O:$O,"방문완료")</f>
        <v>0</v>
      </c>
      <c r="J1290" s="29">
        <f>COUNTIFS(실시간콜입력!$B:$B,$A1290,실시간콜입력!$E:$E,"E",실시간콜입력!$G:$G,$B1290,실시간콜입력!$O:$O,"방문완료")+COUNTIFS(실시간콜입력!$B:$B,$A1290,실시간콜입력!$E:$E,"E",실시간콜입력!$H:$H,$B1290,실시간콜입력!$O:$O,"방문완료")</f>
        <v>0</v>
      </c>
      <c r="K1290" s="29">
        <f t="shared" si="173"/>
        <v>0</v>
      </c>
      <c r="L1290" s="33">
        <f>SUMIFS(실시간콜입력!$K:$K,실시간콜입력!$B:$B,$A1290,실시간콜입력!$G:$G,$B1290,실시간콜입력!$O:$O,"방문완료")+SUMIFS(실시간콜입력!$L:$L,실시간콜입력!$B:$B,$A1290,실시간콜입력!$H:$H,$B1290,실시간콜입력!$O:$O,"방문완료")</f>
        <v>0</v>
      </c>
      <c r="M1290" s="29" t="str">
        <f t="shared" si="174"/>
        <v/>
      </c>
      <c r="N1290" s="29"/>
    </row>
    <row r="1291" spans="1:14" ht="19.5" hidden="1" customHeight="1" outlineLevel="1">
      <c r="A1291" s="24">
        <f>IF(25&lt;=DAY(DATE(YEAR(설정_코스수당!$K$2),MONTH(설정_코스수당!$K$2)+1,0)),DATE(YEAR(설정_코스수당!$K$2),MONTH(설정_코스수당!$K$2),25),"")</f>
        <v>46198</v>
      </c>
      <c r="B1291" s="23" t="s">
        <v>199</v>
      </c>
      <c r="C1291" s="29"/>
      <c r="D1291" s="29"/>
      <c r="E1291" s="29" t="str">
        <f t="shared" si="172"/>
        <v/>
      </c>
      <c r="F1291" s="29">
        <f>COUNTIFS(실시간콜입력!$B:$B,$A1291,실시간콜입력!$E:$E,"A",실시간콜입력!$G:$G,$B1291,실시간콜입력!$O:$O,"방문완료")+COUNTIFS(실시간콜입력!$B:$B,$A1291,실시간콜입력!$E:$E,"A",실시간콜입력!$H:$H,$B1291,실시간콜입력!$O:$O,"방문완료")</f>
        <v>0</v>
      </c>
      <c r="G1291" s="29">
        <f>COUNTIFS(실시간콜입력!$B:$B,$A1291,실시간콜입력!$E:$E,"B",실시간콜입력!$G:$G,$B1291,실시간콜입력!$O:$O,"방문완료")+COUNTIFS(실시간콜입력!$B:$B,$A1291,실시간콜입력!$E:$E,"B",실시간콜입력!$H:$H,$B1291,실시간콜입력!$O:$O,"방문완료")</f>
        <v>0</v>
      </c>
      <c r="H1291" s="29">
        <f>COUNTIFS(실시간콜입력!$B:$B,$A1291,실시간콜입력!$E:$E,"C",실시간콜입력!$G:$G,$B1291,실시간콜입력!$O:$O,"방문완료")+COUNTIFS(실시간콜입력!$B:$B,$A1291,실시간콜입력!$E:$E,"C",실시간콜입력!$H:$H,$B1291,실시간콜입력!$O:$O,"방문완료")</f>
        <v>0</v>
      </c>
      <c r="I1291" s="29">
        <f>COUNTIFS(실시간콜입력!$B:$B,$A1291,실시간콜입력!$E:$E,"D",실시간콜입력!$G:$G,$B1291,실시간콜입력!$O:$O,"방문완료")+COUNTIFS(실시간콜입력!$B:$B,$A1291,실시간콜입력!$E:$E,"D",실시간콜입력!$H:$H,$B1291,실시간콜입력!$O:$O,"방문완료")</f>
        <v>0</v>
      </c>
      <c r="J1291" s="29">
        <f>COUNTIFS(실시간콜입력!$B:$B,$A1291,실시간콜입력!$E:$E,"E",실시간콜입력!$G:$G,$B1291,실시간콜입력!$O:$O,"방문완료")+COUNTIFS(실시간콜입력!$B:$B,$A1291,실시간콜입력!$E:$E,"E",실시간콜입력!$H:$H,$B1291,실시간콜입력!$O:$O,"방문완료")</f>
        <v>0</v>
      </c>
      <c r="K1291" s="29">
        <f t="shared" si="173"/>
        <v>0</v>
      </c>
      <c r="L1291" s="27">
        <f>SUMIFS(실시간콜입력!$K:$K,실시간콜입력!$B:$B,$A1291,실시간콜입력!$G:$G,$B1291,실시간콜입력!$O:$O,"방문완료")+SUMIFS(실시간콜입력!$L:$L,실시간콜입력!$B:$B,$A1291,실시간콜입력!$H:$H,$B1291,실시간콜입력!$O:$O,"방문완료")</f>
        <v>0</v>
      </c>
      <c r="M1291" s="29" t="str">
        <f t="shared" si="174"/>
        <v/>
      </c>
      <c r="N1291" s="29"/>
    </row>
    <row r="1292" spans="1:14" ht="19.5" hidden="1" customHeight="1" outlineLevel="1">
      <c r="A1292" s="30">
        <f>IF(25&lt;=DAY(DATE(YEAR(설정_코스수당!$K$2),MONTH(설정_코스수당!$K$2)+1,0)),DATE(YEAR(설정_코스수당!$K$2),MONTH(설정_코스수당!$K$2),25),"")</f>
        <v>46198</v>
      </c>
      <c r="B1292" s="29" t="s">
        <v>200</v>
      </c>
      <c r="C1292" s="29"/>
      <c r="D1292" s="29"/>
      <c r="E1292" s="29" t="str">
        <f t="shared" si="172"/>
        <v/>
      </c>
      <c r="F1292" s="29">
        <f>COUNTIFS(실시간콜입력!$B:$B,$A1292,실시간콜입력!$E:$E,"A",실시간콜입력!$G:$G,$B1292,실시간콜입력!$O:$O,"방문완료")+COUNTIFS(실시간콜입력!$B:$B,$A1292,실시간콜입력!$E:$E,"A",실시간콜입력!$H:$H,$B1292,실시간콜입력!$O:$O,"방문완료")</f>
        <v>0</v>
      </c>
      <c r="G1292" s="29">
        <f>COUNTIFS(실시간콜입력!$B:$B,$A1292,실시간콜입력!$E:$E,"B",실시간콜입력!$G:$G,$B1292,실시간콜입력!$O:$O,"방문완료")+COUNTIFS(실시간콜입력!$B:$B,$A1292,실시간콜입력!$E:$E,"B",실시간콜입력!$H:$H,$B1292,실시간콜입력!$O:$O,"방문완료")</f>
        <v>0</v>
      </c>
      <c r="H1292" s="29">
        <f>COUNTIFS(실시간콜입력!$B:$B,$A1292,실시간콜입력!$E:$E,"C",실시간콜입력!$G:$G,$B1292,실시간콜입력!$O:$O,"방문완료")+COUNTIFS(실시간콜입력!$B:$B,$A1292,실시간콜입력!$E:$E,"C",실시간콜입력!$H:$H,$B1292,실시간콜입력!$O:$O,"방문완료")</f>
        <v>0</v>
      </c>
      <c r="I1292" s="29">
        <f>COUNTIFS(실시간콜입력!$B:$B,$A1292,실시간콜입력!$E:$E,"D",실시간콜입력!$G:$G,$B1292,실시간콜입력!$O:$O,"방문완료")+COUNTIFS(실시간콜입력!$B:$B,$A1292,실시간콜입력!$E:$E,"D",실시간콜입력!$H:$H,$B1292,실시간콜입력!$O:$O,"방문완료")</f>
        <v>0</v>
      </c>
      <c r="J1292" s="29">
        <f>COUNTIFS(실시간콜입력!$B:$B,$A1292,실시간콜입력!$E:$E,"E",실시간콜입력!$G:$G,$B1292,실시간콜입력!$O:$O,"방문완료")+COUNTIFS(실시간콜입력!$B:$B,$A1292,실시간콜입력!$E:$E,"E",실시간콜입력!$H:$H,$B1292,실시간콜입력!$O:$O,"방문완료")</f>
        <v>0</v>
      </c>
      <c r="K1292" s="29">
        <f t="shared" si="173"/>
        <v>0</v>
      </c>
      <c r="L1292" s="33">
        <f>SUMIFS(실시간콜입력!$K:$K,실시간콜입력!$B:$B,$A1292,실시간콜입력!$G:$G,$B1292,실시간콜입력!$O:$O,"방문완료")+SUMIFS(실시간콜입력!$L:$L,실시간콜입력!$B:$B,$A1292,실시간콜입력!$H:$H,$B1292,실시간콜입력!$O:$O,"방문완료")</f>
        <v>0</v>
      </c>
      <c r="M1292" s="29" t="str">
        <f t="shared" si="174"/>
        <v/>
      </c>
      <c r="N1292" s="29"/>
    </row>
    <row r="1293" spans="1:14" ht="19.5" hidden="1" customHeight="1" outlineLevel="1">
      <c r="A1293" s="24">
        <f>IF(25&lt;=DAY(DATE(YEAR(설정_코스수당!$K$2),MONTH(설정_코스수당!$K$2)+1,0)),DATE(YEAR(설정_코스수당!$K$2),MONTH(설정_코스수당!$K$2),25),"")</f>
        <v>46198</v>
      </c>
      <c r="B1293" s="23" t="s">
        <v>201</v>
      </c>
      <c r="C1293" s="29"/>
      <c r="D1293" s="29"/>
      <c r="E1293" s="29" t="str">
        <f t="shared" si="172"/>
        <v/>
      </c>
      <c r="F1293" s="29">
        <f>COUNTIFS(실시간콜입력!$B:$B,$A1293,실시간콜입력!$E:$E,"A",실시간콜입력!$G:$G,$B1293,실시간콜입력!$O:$O,"방문완료")+COUNTIFS(실시간콜입력!$B:$B,$A1293,실시간콜입력!$E:$E,"A",실시간콜입력!$H:$H,$B1293,실시간콜입력!$O:$O,"방문완료")</f>
        <v>0</v>
      </c>
      <c r="G1293" s="29">
        <f>COUNTIFS(실시간콜입력!$B:$B,$A1293,실시간콜입력!$E:$E,"B",실시간콜입력!$G:$G,$B1293,실시간콜입력!$O:$O,"방문완료")+COUNTIFS(실시간콜입력!$B:$B,$A1293,실시간콜입력!$E:$E,"B",실시간콜입력!$H:$H,$B1293,실시간콜입력!$O:$O,"방문완료")</f>
        <v>0</v>
      </c>
      <c r="H1293" s="29">
        <f>COUNTIFS(실시간콜입력!$B:$B,$A1293,실시간콜입력!$E:$E,"C",실시간콜입력!$G:$G,$B1293,실시간콜입력!$O:$O,"방문완료")+COUNTIFS(실시간콜입력!$B:$B,$A1293,실시간콜입력!$E:$E,"C",실시간콜입력!$H:$H,$B1293,실시간콜입력!$O:$O,"방문완료")</f>
        <v>0</v>
      </c>
      <c r="I1293" s="29">
        <f>COUNTIFS(실시간콜입력!$B:$B,$A1293,실시간콜입력!$E:$E,"D",실시간콜입력!$G:$G,$B1293,실시간콜입력!$O:$O,"방문완료")+COUNTIFS(실시간콜입력!$B:$B,$A1293,실시간콜입력!$E:$E,"D",실시간콜입력!$H:$H,$B1293,실시간콜입력!$O:$O,"방문완료")</f>
        <v>0</v>
      </c>
      <c r="J1293" s="29">
        <f>COUNTIFS(실시간콜입력!$B:$B,$A1293,실시간콜입력!$E:$E,"E",실시간콜입력!$G:$G,$B1293,실시간콜입력!$O:$O,"방문완료")+COUNTIFS(실시간콜입력!$B:$B,$A1293,실시간콜입력!$E:$E,"E",실시간콜입력!$H:$H,$B1293,실시간콜입력!$O:$O,"방문완료")</f>
        <v>0</v>
      </c>
      <c r="K1293" s="29">
        <f t="shared" si="173"/>
        <v>0</v>
      </c>
      <c r="L1293" s="27">
        <f>SUMIFS(실시간콜입력!$K:$K,실시간콜입력!$B:$B,$A1293,실시간콜입력!$G:$G,$B1293,실시간콜입력!$O:$O,"방문완료")+SUMIFS(실시간콜입력!$L:$L,실시간콜입력!$B:$B,$A1293,실시간콜입력!$H:$H,$B1293,실시간콜입력!$O:$O,"방문완료")</f>
        <v>0</v>
      </c>
      <c r="M1293" s="29" t="str">
        <f t="shared" si="174"/>
        <v/>
      </c>
      <c r="N1293" s="29"/>
    </row>
    <row r="1294" spans="1:14" ht="19.5" hidden="1" customHeight="1" outlineLevel="1">
      <c r="A1294" s="30">
        <f>IF(25&lt;=DAY(DATE(YEAR(설정_코스수당!$K$2),MONTH(설정_코스수당!$K$2)+1,0)),DATE(YEAR(설정_코스수당!$K$2),MONTH(설정_코스수당!$K$2),25),"")</f>
        <v>46198</v>
      </c>
      <c r="B1294" s="29" t="s">
        <v>202</v>
      </c>
      <c r="C1294" s="29"/>
      <c r="D1294" s="29"/>
      <c r="E1294" s="29" t="str">
        <f t="shared" si="172"/>
        <v/>
      </c>
      <c r="F1294" s="29">
        <f>COUNTIFS(실시간콜입력!$B:$B,$A1294,실시간콜입력!$E:$E,"A",실시간콜입력!$G:$G,$B1294,실시간콜입력!$O:$O,"방문완료")+COUNTIFS(실시간콜입력!$B:$B,$A1294,실시간콜입력!$E:$E,"A",실시간콜입력!$H:$H,$B1294,실시간콜입력!$O:$O,"방문완료")</f>
        <v>0</v>
      </c>
      <c r="G1294" s="29">
        <f>COUNTIFS(실시간콜입력!$B:$B,$A1294,실시간콜입력!$E:$E,"B",실시간콜입력!$G:$G,$B1294,실시간콜입력!$O:$O,"방문완료")+COUNTIFS(실시간콜입력!$B:$B,$A1294,실시간콜입력!$E:$E,"B",실시간콜입력!$H:$H,$B1294,실시간콜입력!$O:$O,"방문완료")</f>
        <v>0</v>
      </c>
      <c r="H1294" s="29">
        <f>COUNTIFS(실시간콜입력!$B:$B,$A1294,실시간콜입력!$E:$E,"C",실시간콜입력!$G:$G,$B1294,실시간콜입력!$O:$O,"방문완료")+COUNTIFS(실시간콜입력!$B:$B,$A1294,실시간콜입력!$E:$E,"C",실시간콜입력!$H:$H,$B1294,실시간콜입력!$O:$O,"방문완료")</f>
        <v>0</v>
      </c>
      <c r="I1294" s="29">
        <f>COUNTIFS(실시간콜입력!$B:$B,$A1294,실시간콜입력!$E:$E,"D",실시간콜입력!$G:$G,$B1294,실시간콜입력!$O:$O,"방문완료")+COUNTIFS(실시간콜입력!$B:$B,$A1294,실시간콜입력!$E:$E,"D",실시간콜입력!$H:$H,$B1294,실시간콜입력!$O:$O,"방문완료")</f>
        <v>0</v>
      </c>
      <c r="J1294" s="29">
        <f>COUNTIFS(실시간콜입력!$B:$B,$A1294,실시간콜입력!$E:$E,"E",실시간콜입력!$G:$G,$B1294,실시간콜입력!$O:$O,"방문완료")+COUNTIFS(실시간콜입력!$B:$B,$A1294,실시간콜입력!$E:$E,"E",실시간콜입력!$H:$H,$B1294,실시간콜입력!$O:$O,"방문완료")</f>
        <v>0</v>
      </c>
      <c r="K1294" s="29">
        <f t="shared" si="173"/>
        <v>0</v>
      </c>
      <c r="L1294" s="33">
        <f>SUMIFS(실시간콜입력!$K:$K,실시간콜입력!$B:$B,$A1294,실시간콜입력!$G:$G,$B1294,실시간콜입력!$O:$O,"방문완료")+SUMIFS(실시간콜입력!$L:$L,실시간콜입력!$B:$B,$A1294,실시간콜입력!$H:$H,$B1294,실시간콜입력!$O:$O,"방문완료")</f>
        <v>0</v>
      </c>
      <c r="M1294" s="29" t="str">
        <f t="shared" si="174"/>
        <v/>
      </c>
      <c r="N1294" s="29"/>
    </row>
    <row r="1295" spans="1:14" ht="19.5" hidden="1" customHeight="1" outlineLevel="1">
      <c r="A1295" s="24">
        <f>IF(25&lt;=DAY(DATE(YEAR(설정_코스수당!$K$2),MONTH(설정_코스수당!$K$2)+1,0)),DATE(YEAR(설정_코스수당!$K$2),MONTH(설정_코스수당!$K$2),25),"")</f>
        <v>46198</v>
      </c>
      <c r="B1295" s="23" t="s">
        <v>203</v>
      </c>
      <c r="C1295" s="29"/>
      <c r="D1295" s="29"/>
      <c r="E1295" s="29" t="str">
        <f t="shared" si="172"/>
        <v/>
      </c>
      <c r="F1295" s="29">
        <f>COUNTIFS(실시간콜입력!$B:$B,$A1295,실시간콜입력!$E:$E,"A",실시간콜입력!$G:$G,$B1295,실시간콜입력!$O:$O,"방문완료")+COUNTIFS(실시간콜입력!$B:$B,$A1295,실시간콜입력!$E:$E,"A",실시간콜입력!$H:$H,$B1295,실시간콜입력!$O:$O,"방문완료")</f>
        <v>0</v>
      </c>
      <c r="G1295" s="29">
        <f>COUNTIFS(실시간콜입력!$B:$B,$A1295,실시간콜입력!$E:$E,"B",실시간콜입력!$G:$G,$B1295,실시간콜입력!$O:$O,"방문완료")+COUNTIFS(실시간콜입력!$B:$B,$A1295,실시간콜입력!$E:$E,"B",실시간콜입력!$H:$H,$B1295,실시간콜입력!$O:$O,"방문완료")</f>
        <v>0</v>
      </c>
      <c r="H1295" s="29">
        <f>COUNTIFS(실시간콜입력!$B:$B,$A1295,실시간콜입력!$E:$E,"C",실시간콜입력!$G:$G,$B1295,실시간콜입력!$O:$O,"방문완료")+COUNTIFS(실시간콜입력!$B:$B,$A1295,실시간콜입력!$E:$E,"C",실시간콜입력!$H:$H,$B1295,실시간콜입력!$O:$O,"방문완료")</f>
        <v>0</v>
      </c>
      <c r="I1295" s="29">
        <f>COUNTIFS(실시간콜입력!$B:$B,$A1295,실시간콜입력!$E:$E,"D",실시간콜입력!$G:$G,$B1295,실시간콜입력!$O:$O,"방문완료")+COUNTIFS(실시간콜입력!$B:$B,$A1295,실시간콜입력!$E:$E,"D",실시간콜입력!$H:$H,$B1295,실시간콜입력!$O:$O,"방문완료")</f>
        <v>0</v>
      </c>
      <c r="J1295" s="29">
        <f>COUNTIFS(실시간콜입력!$B:$B,$A1295,실시간콜입력!$E:$E,"E",실시간콜입력!$G:$G,$B1295,실시간콜입력!$O:$O,"방문완료")+COUNTIFS(실시간콜입력!$B:$B,$A1295,실시간콜입력!$E:$E,"E",실시간콜입력!$H:$H,$B1295,실시간콜입력!$O:$O,"방문완료")</f>
        <v>0</v>
      </c>
      <c r="K1295" s="29">
        <f t="shared" si="173"/>
        <v>0</v>
      </c>
      <c r="L1295" s="27">
        <f>SUMIFS(실시간콜입력!$K:$K,실시간콜입력!$B:$B,$A1295,실시간콜입력!$G:$G,$B1295,실시간콜입력!$O:$O,"방문완료")+SUMIFS(실시간콜입력!$L:$L,실시간콜입력!$B:$B,$A1295,실시간콜입력!$H:$H,$B1295,실시간콜입력!$O:$O,"방문완료")</f>
        <v>0</v>
      </c>
      <c r="M1295" s="29" t="str">
        <f t="shared" si="174"/>
        <v/>
      </c>
      <c r="N1295" s="29"/>
    </row>
    <row r="1296" spans="1:14" ht="19.5" hidden="1" customHeight="1" outlineLevel="1">
      <c r="A1296" s="30">
        <f>IF(25&lt;=DAY(DATE(YEAR(설정_코스수당!$K$2),MONTH(설정_코스수당!$K$2)+1,0)),DATE(YEAR(설정_코스수당!$K$2),MONTH(설정_코스수당!$K$2),25),"")</f>
        <v>46198</v>
      </c>
      <c r="B1296" s="29" t="s">
        <v>204</v>
      </c>
      <c r="C1296" s="29"/>
      <c r="D1296" s="29"/>
      <c r="E1296" s="29" t="str">
        <f t="shared" si="172"/>
        <v/>
      </c>
      <c r="F1296" s="29">
        <f>COUNTIFS(실시간콜입력!$B:$B,$A1296,실시간콜입력!$E:$E,"A",실시간콜입력!$G:$G,$B1296,실시간콜입력!$O:$O,"방문완료")+COUNTIFS(실시간콜입력!$B:$B,$A1296,실시간콜입력!$E:$E,"A",실시간콜입력!$H:$H,$B1296,실시간콜입력!$O:$O,"방문완료")</f>
        <v>0</v>
      </c>
      <c r="G1296" s="29">
        <f>COUNTIFS(실시간콜입력!$B:$B,$A1296,실시간콜입력!$E:$E,"B",실시간콜입력!$G:$G,$B1296,실시간콜입력!$O:$O,"방문완료")+COUNTIFS(실시간콜입력!$B:$B,$A1296,실시간콜입력!$E:$E,"B",실시간콜입력!$H:$H,$B1296,실시간콜입력!$O:$O,"방문완료")</f>
        <v>0</v>
      </c>
      <c r="H1296" s="29">
        <f>COUNTIFS(실시간콜입력!$B:$B,$A1296,실시간콜입력!$E:$E,"C",실시간콜입력!$G:$G,$B1296,실시간콜입력!$O:$O,"방문완료")+COUNTIFS(실시간콜입력!$B:$B,$A1296,실시간콜입력!$E:$E,"C",실시간콜입력!$H:$H,$B1296,실시간콜입력!$O:$O,"방문완료")</f>
        <v>0</v>
      </c>
      <c r="I1296" s="29">
        <f>COUNTIFS(실시간콜입력!$B:$B,$A1296,실시간콜입력!$E:$E,"D",실시간콜입력!$G:$G,$B1296,실시간콜입력!$O:$O,"방문완료")+COUNTIFS(실시간콜입력!$B:$B,$A1296,실시간콜입력!$E:$E,"D",실시간콜입력!$H:$H,$B1296,실시간콜입력!$O:$O,"방문완료")</f>
        <v>0</v>
      </c>
      <c r="J1296" s="29">
        <f>COUNTIFS(실시간콜입력!$B:$B,$A1296,실시간콜입력!$E:$E,"E",실시간콜입력!$G:$G,$B1296,실시간콜입력!$O:$O,"방문완료")+COUNTIFS(실시간콜입력!$B:$B,$A1296,실시간콜입력!$E:$E,"E",실시간콜입력!$H:$H,$B1296,실시간콜입력!$O:$O,"방문완료")</f>
        <v>0</v>
      </c>
      <c r="K1296" s="29">
        <f t="shared" si="173"/>
        <v>0</v>
      </c>
      <c r="L1296" s="33">
        <f>SUMIFS(실시간콜입력!$K:$K,실시간콜입력!$B:$B,$A1296,실시간콜입력!$G:$G,$B1296,실시간콜입력!$O:$O,"방문완료")+SUMIFS(실시간콜입력!$L:$L,실시간콜입력!$B:$B,$A1296,실시간콜입력!$H:$H,$B1296,실시간콜입력!$O:$O,"방문완료")</f>
        <v>0</v>
      </c>
      <c r="M1296" s="29" t="str">
        <f t="shared" si="174"/>
        <v/>
      </c>
      <c r="N1296" s="29"/>
    </row>
    <row r="1297" spans="1:14" ht="19.5" hidden="1" customHeight="1" outlineLevel="1">
      <c r="A1297" s="24">
        <f>IF(25&lt;=DAY(DATE(YEAR(설정_코스수당!$K$2),MONTH(설정_코스수당!$K$2)+1,0)),DATE(YEAR(설정_코스수당!$K$2),MONTH(설정_코스수당!$K$2),25),"")</f>
        <v>46198</v>
      </c>
      <c r="B1297" s="23" t="s">
        <v>205</v>
      </c>
      <c r="C1297" s="29"/>
      <c r="D1297" s="29"/>
      <c r="E1297" s="29" t="str">
        <f t="shared" si="172"/>
        <v/>
      </c>
      <c r="F1297" s="29">
        <f>COUNTIFS(실시간콜입력!$B:$B,$A1297,실시간콜입력!$E:$E,"A",실시간콜입력!$G:$G,$B1297,실시간콜입력!$O:$O,"방문완료")+COUNTIFS(실시간콜입력!$B:$B,$A1297,실시간콜입력!$E:$E,"A",실시간콜입력!$H:$H,$B1297,실시간콜입력!$O:$O,"방문완료")</f>
        <v>0</v>
      </c>
      <c r="G1297" s="29">
        <f>COUNTIFS(실시간콜입력!$B:$B,$A1297,실시간콜입력!$E:$E,"B",실시간콜입력!$G:$G,$B1297,실시간콜입력!$O:$O,"방문완료")+COUNTIFS(실시간콜입력!$B:$B,$A1297,실시간콜입력!$E:$E,"B",실시간콜입력!$H:$H,$B1297,실시간콜입력!$O:$O,"방문완료")</f>
        <v>0</v>
      </c>
      <c r="H1297" s="29">
        <f>COUNTIFS(실시간콜입력!$B:$B,$A1297,실시간콜입력!$E:$E,"C",실시간콜입력!$G:$G,$B1297,실시간콜입력!$O:$O,"방문완료")+COUNTIFS(실시간콜입력!$B:$B,$A1297,실시간콜입력!$E:$E,"C",실시간콜입력!$H:$H,$B1297,실시간콜입력!$O:$O,"방문완료")</f>
        <v>0</v>
      </c>
      <c r="I1297" s="29">
        <f>COUNTIFS(실시간콜입력!$B:$B,$A1297,실시간콜입력!$E:$E,"D",실시간콜입력!$G:$G,$B1297,실시간콜입력!$O:$O,"방문완료")+COUNTIFS(실시간콜입력!$B:$B,$A1297,실시간콜입력!$E:$E,"D",실시간콜입력!$H:$H,$B1297,실시간콜입력!$O:$O,"방문완료")</f>
        <v>0</v>
      </c>
      <c r="J1297" s="29">
        <f>COUNTIFS(실시간콜입력!$B:$B,$A1297,실시간콜입력!$E:$E,"E",실시간콜입력!$G:$G,$B1297,실시간콜입력!$O:$O,"방문완료")+COUNTIFS(실시간콜입력!$B:$B,$A1297,실시간콜입력!$E:$E,"E",실시간콜입력!$H:$H,$B1297,실시간콜입력!$O:$O,"방문완료")</f>
        <v>0</v>
      </c>
      <c r="K1297" s="29">
        <f t="shared" si="173"/>
        <v>0</v>
      </c>
      <c r="L1297" s="27">
        <f>SUMIFS(실시간콜입력!$K:$K,실시간콜입력!$B:$B,$A1297,실시간콜입력!$G:$G,$B1297,실시간콜입력!$O:$O,"방문완료")+SUMIFS(실시간콜입력!$L:$L,실시간콜입력!$B:$B,$A1297,실시간콜입력!$H:$H,$B1297,실시간콜입력!$O:$O,"방문완료")</f>
        <v>0</v>
      </c>
      <c r="M1297" s="29" t="str">
        <f t="shared" si="174"/>
        <v/>
      </c>
      <c r="N1297" s="29"/>
    </row>
    <row r="1298" spans="1:14" ht="19.5" hidden="1" customHeight="1" outlineLevel="1">
      <c r="A1298" s="30">
        <f>IF(25&lt;=DAY(DATE(YEAR(설정_코스수당!$K$2),MONTH(설정_코스수당!$K$2)+1,0)),DATE(YEAR(설정_코스수당!$K$2),MONTH(설정_코스수당!$K$2),25),"")</f>
        <v>46198</v>
      </c>
      <c r="B1298" s="29" t="s">
        <v>206</v>
      </c>
      <c r="C1298" s="29"/>
      <c r="D1298" s="29"/>
      <c r="E1298" s="29" t="str">
        <f t="shared" si="172"/>
        <v/>
      </c>
      <c r="F1298" s="29">
        <f>COUNTIFS(실시간콜입력!$B:$B,$A1298,실시간콜입력!$E:$E,"A",실시간콜입력!$G:$G,$B1298,실시간콜입력!$O:$O,"방문완료")+COUNTIFS(실시간콜입력!$B:$B,$A1298,실시간콜입력!$E:$E,"A",실시간콜입력!$H:$H,$B1298,실시간콜입력!$O:$O,"방문완료")</f>
        <v>0</v>
      </c>
      <c r="G1298" s="29">
        <f>COUNTIFS(실시간콜입력!$B:$B,$A1298,실시간콜입력!$E:$E,"B",실시간콜입력!$G:$G,$B1298,실시간콜입력!$O:$O,"방문완료")+COUNTIFS(실시간콜입력!$B:$B,$A1298,실시간콜입력!$E:$E,"B",실시간콜입력!$H:$H,$B1298,실시간콜입력!$O:$O,"방문완료")</f>
        <v>0</v>
      </c>
      <c r="H1298" s="29">
        <f>COUNTIFS(실시간콜입력!$B:$B,$A1298,실시간콜입력!$E:$E,"C",실시간콜입력!$G:$G,$B1298,실시간콜입력!$O:$O,"방문완료")+COUNTIFS(실시간콜입력!$B:$B,$A1298,실시간콜입력!$E:$E,"C",실시간콜입력!$H:$H,$B1298,실시간콜입력!$O:$O,"방문완료")</f>
        <v>0</v>
      </c>
      <c r="I1298" s="29">
        <f>COUNTIFS(실시간콜입력!$B:$B,$A1298,실시간콜입력!$E:$E,"D",실시간콜입력!$G:$G,$B1298,실시간콜입력!$O:$O,"방문완료")+COUNTIFS(실시간콜입력!$B:$B,$A1298,실시간콜입력!$E:$E,"D",실시간콜입력!$H:$H,$B1298,실시간콜입력!$O:$O,"방문완료")</f>
        <v>0</v>
      </c>
      <c r="J1298" s="29">
        <f>COUNTIFS(실시간콜입력!$B:$B,$A1298,실시간콜입력!$E:$E,"E",실시간콜입력!$G:$G,$B1298,실시간콜입력!$O:$O,"방문완료")+COUNTIFS(실시간콜입력!$B:$B,$A1298,실시간콜입력!$E:$E,"E",실시간콜입력!$H:$H,$B1298,실시간콜입력!$O:$O,"방문완료")</f>
        <v>0</v>
      </c>
      <c r="K1298" s="29">
        <f t="shared" si="173"/>
        <v>0</v>
      </c>
      <c r="L1298" s="33">
        <f>SUMIFS(실시간콜입력!$K:$K,실시간콜입력!$B:$B,$A1298,실시간콜입력!$G:$G,$B1298,실시간콜입력!$O:$O,"방문완료")+SUMIFS(실시간콜입력!$L:$L,실시간콜입력!$B:$B,$A1298,실시간콜입력!$H:$H,$B1298,실시간콜입력!$O:$O,"방문완료")</f>
        <v>0</v>
      </c>
      <c r="M1298" s="29" t="str">
        <f t="shared" si="174"/>
        <v/>
      </c>
      <c r="N1298" s="29"/>
    </row>
    <row r="1299" spans="1:14" ht="19.5" hidden="1" customHeight="1" outlineLevel="1">
      <c r="A1299" s="24">
        <f>IF(25&lt;=DAY(DATE(YEAR(설정_코스수당!$K$2),MONTH(설정_코스수당!$K$2)+1,0)),DATE(YEAR(설정_코스수당!$K$2),MONTH(설정_코스수당!$K$2),25),"")</f>
        <v>46198</v>
      </c>
      <c r="B1299" s="23" t="s">
        <v>207</v>
      </c>
      <c r="C1299" s="29"/>
      <c r="D1299" s="29"/>
      <c r="E1299" s="29" t="str">
        <f t="shared" si="172"/>
        <v/>
      </c>
      <c r="F1299" s="29">
        <f>COUNTIFS(실시간콜입력!$B:$B,$A1299,실시간콜입력!$E:$E,"A",실시간콜입력!$G:$G,$B1299,실시간콜입력!$O:$O,"방문완료")+COUNTIFS(실시간콜입력!$B:$B,$A1299,실시간콜입력!$E:$E,"A",실시간콜입력!$H:$H,$B1299,실시간콜입력!$O:$O,"방문완료")</f>
        <v>0</v>
      </c>
      <c r="G1299" s="29">
        <f>COUNTIFS(실시간콜입력!$B:$B,$A1299,실시간콜입력!$E:$E,"B",실시간콜입력!$G:$G,$B1299,실시간콜입력!$O:$O,"방문완료")+COUNTIFS(실시간콜입력!$B:$B,$A1299,실시간콜입력!$E:$E,"B",실시간콜입력!$H:$H,$B1299,실시간콜입력!$O:$O,"방문완료")</f>
        <v>0</v>
      </c>
      <c r="H1299" s="29">
        <f>COUNTIFS(실시간콜입력!$B:$B,$A1299,실시간콜입력!$E:$E,"C",실시간콜입력!$G:$G,$B1299,실시간콜입력!$O:$O,"방문완료")+COUNTIFS(실시간콜입력!$B:$B,$A1299,실시간콜입력!$E:$E,"C",실시간콜입력!$H:$H,$B1299,실시간콜입력!$O:$O,"방문완료")</f>
        <v>0</v>
      </c>
      <c r="I1299" s="29">
        <f>COUNTIFS(실시간콜입력!$B:$B,$A1299,실시간콜입력!$E:$E,"D",실시간콜입력!$G:$G,$B1299,실시간콜입력!$O:$O,"방문완료")+COUNTIFS(실시간콜입력!$B:$B,$A1299,실시간콜입력!$E:$E,"D",실시간콜입력!$H:$H,$B1299,실시간콜입력!$O:$O,"방문완료")</f>
        <v>0</v>
      </c>
      <c r="J1299" s="29">
        <f>COUNTIFS(실시간콜입력!$B:$B,$A1299,실시간콜입력!$E:$E,"E",실시간콜입력!$G:$G,$B1299,실시간콜입력!$O:$O,"방문완료")+COUNTIFS(실시간콜입력!$B:$B,$A1299,실시간콜입력!$E:$E,"E",실시간콜입력!$H:$H,$B1299,실시간콜입력!$O:$O,"방문완료")</f>
        <v>0</v>
      </c>
      <c r="K1299" s="29">
        <f t="shared" si="173"/>
        <v>0</v>
      </c>
      <c r="L1299" s="27">
        <f>SUMIFS(실시간콜입력!$K:$K,실시간콜입력!$B:$B,$A1299,실시간콜입력!$G:$G,$B1299,실시간콜입력!$O:$O,"방문완료")+SUMIFS(실시간콜입력!$L:$L,실시간콜입력!$B:$B,$A1299,실시간콜입력!$H:$H,$B1299,실시간콜입력!$O:$O,"방문완료")</f>
        <v>0</v>
      </c>
      <c r="M1299" s="29" t="str">
        <f t="shared" si="174"/>
        <v/>
      </c>
      <c r="N1299" s="29"/>
    </row>
    <row r="1300" spans="1:14" ht="19.5" hidden="1" customHeight="1" outlineLevel="1">
      <c r="A1300" s="30">
        <f>IF(25&lt;=DAY(DATE(YEAR(설정_코스수당!$K$2),MONTH(설정_코스수당!$K$2)+1,0)),DATE(YEAR(설정_코스수당!$K$2),MONTH(설정_코스수당!$K$2),25),"")</f>
        <v>46198</v>
      </c>
      <c r="B1300" s="29" t="s">
        <v>208</v>
      </c>
      <c r="C1300" s="29"/>
      <c r="D1300" s="29"/>
      <c r="E1300" s="29" t="str">
        <f t="shared" si="172"/>
        <v/>
      </c>
      <c r="F1300" s="29">
        <f>COUNTIFS(실시간콜입력!$B:$B,$A1300,실시간콜입력!$E:$E,"A",실시간콜입력!$G:$G,$B1300,실시간콜입력!$O:$O,"방문완료")+COUNTIFS(실시간콜입력!$B:$B,$A1300,실시간콜입력!$E:$E,"A",실시간콜입력!$H:$H,$B1300,실시간콜입력!$O:$O,"방문완료")</f>
        <v>0</v>
      </c>
      <c r="G1300" s="29">
        <f>COUNTIFS(실시간콜입력!$B:$B,$A1300,실시간콜입력!$E:$E,"B",실시간콜입력!$G:$G,$B1300,실시간콜입력!$O:$O,"방문완료")+COUNTIFS(실시간콜입력!$B:$B,$A1300,실시간콜입력!$E:$E,"B",실시간콜입력!$H:$H,$B1300,실시간콜입력!$O:$O,"방문완료")</f>
        <v>0</v>
      </c>
      <c r="H1300" s="29">
        <f>COUNTIFS(실시간콜입력!$B:$B,$A1300,실시간콜입력!$E:$E,"C",실시간콜입력!$G:$G,$B1300,실시간콜입력!$O:$O,"방문완료")+COUNTIFS(실시간콜입력!$B:$B,$A1300,실시간콜입력!$E:$E,"C",실시간콜입력!$H:$H,$B1300,실시간콜입력!$O:$O,"방문완료")</f>
        <v>0</v>
      </c>
      <c r="I1300" s="29">
        <f>COUNTIFS(실시간콜입력!$B:$B,$A1300,실시간콜입력!$E:$E,"D",실시간콜입력!$G:$G,$B1300,실시간콜입력!$O:$O,"방문완료")+COUNTIFS(실시간콜입력!$B:$B,$A1300,실시간콜입력!$E:$E,"D",실시간콜입력!$H:$H,$B1300,실시간콜입력!$O:$O,"방문완료")</f>
        <v>0</v>
      </c>
      <c r="J1300" s="29">
        <f>COUNTIFS(실시간콜입력!$B:$B,$A1300,실시간콜입력!$E:$E,"E",실시간콜입력!$G:$G,$B1300,실시간콜입력!$O:$O,"방문완료")+COUNTIFS(실시간콜입력!$B:$B,$A1300,실시간콜입력!$E:$E,"E",실시간콜입력!$H:$H,$B1300,실시간콜입력!$O:$O,"방문완료")</f>
        <v>0</v>
      </c>
      <c r="K1300" s="29">
        <f t="shared" si="173"/>
        <v>0</v>
      </c>
      <c r="L1300" s="33">
        <f>SUMIFS(실시간콜입력!$K:$K,실시간콜입력!$B:$B,$A1300,실시간콜입력!$G:$G,$B1300,실시간콜입력!$O:$O,"방문완료")+SUMIFS(실시간콜입력!$L:$L,실시간콜입력!$B:$B,$A1300,실시간콜입력!$H:$H,$B1300,실시간콜입력!$O:$O,"방문완료")</f>
        <v>0</v>
      </c>
      <c r="M1300" s="29" t="str">
        <f t="shared" si="174"/>
        <v/>
      </c>
      <c r="N1300" s="29"/>
    </row>
    <row r="1301" spans="1:14" ht="19.5" hidden="1" customHeight="1" outlineLevel="1">
      <c r="A1301" s="24">
        <f>IF(25&lt;=DAY(DATE(YEAR(설정_코스수당!$K$2),MONTH(설정_코스수당!$K$2)+1,0)),DATE(YEAR(설정_코스수당!$K$2),MONTH(설정_코스수당!$K$2),25),"")</f>
        <v>46198</v>
      </c>
      <c r="B1301" s="23" t="s">
        <v>209</v>
      </c>
      <c r="C1301" s="29"/>
      <c r="D1301" s="29"/>
      <c r="E1301" s="29" t="str">
        <f t="shared" si="172"/>
        <v/>
      </c>
      <c r="F1301" s="29">
        <f>COUNTIFS(실시간콜입력!$B:$B,$A1301,실시간콜입력!$E:$E,"A",실시간콜입력!$G:$G,$B1301,실시간콜입력!$O:$O,"방문완료")+COUNTIFS(실시간콜입력!$B:$B,$A1301,실시간콜입력!$E:$E,"A",실시간콜입력!$H:$H,$B1301,실시간콜입력!$O:$O,"방문완료")</f>
        <v>0</v>
      </c>
      <c r="G1301" s="29">
        <f>COUNTIFS(실시간콜입력!$B:$B,$A1301,실시간콜입력!$E:$E,"B",실시간콜입력!$G:$G,$B1301,실시간콜입력!$O:$O,"방문완료")+COUNTIFS(실시간콜입력!$B:$B,$A1301,실시간콜입력!$E:$E,"B",실시간콜입력!$H:$H,$B1301,실시간콜입력!$O:$O,"방문완료")</f>
        <v>0</v>
      </c>
      <c r="H1301" s="29">
        <f>COUNTIFS(실시간콜입력!$B:$B,$A1301,실시간콜입력!$E:$E,"C",실시간콜입력!$G:$G,$B1301,실시간콜입력!$O:$O,"방문완료")+COUNTIFS(실시간콜입력!$B:$B,$A1301,실시간콜입력!$E:$E,"C",실시간콜입력!$H:$H,$B1301,실시간콜입력!$O:$O,"방문완료")</f>
        <v>0</v>
      </c>
      <c r="I1301" s="29">
        <f>COUNTIFS(실시간콜입력!$B:$B,$A1301,실시간콜입력!$E:$E,"D",실시간콜입력!$G:$G,$B1301,실시간콜입력!$O:$O,"방문완료")+COUNTIFS(실시간콜입력!$B:$B,$A1301,실시간콜입력!$E:$E,"D",실시간콜입력!$H:$H,$B1301,실시간콜입력!$O:$O,"방문완료")</f>
        <v>0</v>
      </c>
      <c r="J1301" s="29">
        <f>COUNTIFS(실시간콜입력!$B:$B,$A1301,실시간콜입력!$E:$E,"E",실시간콜입력!$G:$G,$B1301,실시간콜입력!$O:$O,"방문완료")+COUNTIFS(실시간콜입력!$B:$B,$A1301,실시간콜입력!$E:$E,"E",실시간콜입력!$H:$H,$B1301,실시간콜입력!$O:$O,"방문완료")</f>
        <v>0</v>
      </c>
      <c r="K1301" s="29">
        <f t="shared" si="173"/>
        <v>0</v>
      </c>
      <c r="L1301" s="27">
        <f>SUMIFS(실시간콜입력!$K:$K,실시간콜입력!$B:$B,$A1301,실시간콜입력!$G:$G,$B1301,실시간콜입력!$O:$O,"방문완료")+SUMIFS(실시간콜입력!$L:$L,실시간콜입력!$B:$B,$A1301,실시간콜입력!$H:$H,$B1301,실시간콜입력!$O:$O,"방문완료")</f>
        <v>0</v>
      </c>
      <c r="M1301" s="29" t="str">
        <f t="shared" si="174"/>
        <v/>
      </c>
      <c r="N1301" s="29"/>
    </row>
    <row r="1302" spans="1:14" ht="19.5" hidden="1" customHeight="1" outlineLevel="1">
      <c r="A1302" s="30">
        <f>IF(25&lt;=DAY(DATE(YEAR(설정_코스수당!$K$2),MONTH(설정_코스수당!$K$2)+1,0)),DATE(YEAR(설정_코스수당!$K$2),MONTH(설정_코스수당!$K$2),25),"")</f>
        <v>46198</v>
      </c>
      <c r="B1302" s="29" t="s">
        <v>210</v>
      </c>
      <c r="C1302" s="29"/>
      <c r="D1302" s="29"/>
      <c r="E1302" s="29" t="str">
        <f t="shared" si="172"/>
        <v/>
      </c>
      <c r="F1302" s="29">
        <f>COUNTIFS(실시간콜입력!$B:$B,$A1302,실시간콜입력!$E:$E,"A",실시간콜입력!$G:$G,$B1302,실시간콜입력!$O:$O,"방문완료")+COUNTIFS(실시간콜입력!$B:$B,$A1302,실시간콜입력!$E:$E,"A",실시간콜입력!$H:$H,$B1302,실시간콜입력!$O:$O,"방문완료")</f>
        <v>0</v>
      </c>
      <c r="G1302" s="29">
        <f>COUNTIFS(실시간콜입력!$B:$B,$A1302,실시간콜입력!$E:$E,"B",실시간콜입력!$G:$G,$B1302,실시간콜입력!$O:$O,"방문완료")+COUNTIFS(실시간콜입력!$B:$B,$A1302,실시간콜입력!$E:$E,"B",실시간콜입력!$H:$H,$B1302,실시간콜입력!$O:$O,"방문완료")</f>
        <v>0</v>
      </c>
      <c r="H1302" s="29">
        <f>COUNTIFS(실시간콜입력!$B:$B,$A1302,실시간콜입력!$E:$E,"C",실시간콜입력!$G:$G,$B1302,실시간콜입력!$O:$O,"방문완료")+COUNTIFS(실시간콜입력!$B:$B,$A1302,실시간콜입력!$E:$E,"C",실시간콜입력!$H:$H,$B1302,실시간콜입력!$O:$O,"방문완료")</f>
        <v>0</v>
      </c>
      <c r="I1302" s="29">
        <f>COUNTIFS(실시간콜입력!$B:$B,$A1302,실시간콜입력!$E:$E,"D",실시간콜입력!$G:$G,$B1302,실시간콜입력!$O:$O,"방문완료")+COUNTIFS(실시간콜입력!$B:$B,$A1302,실시간콜입력!$E:$E,"D",실시간콜입력!$H:$H,$B1302,실시간콜입력!$O:$O,"방문완료")</f>
        <v>0</v>
      </c>
      <c r="J1302" s="29">
        <f>COUNTIFS(실시간콜입력!$B:$B,$A1302,실시간콜입력!$E:$E,"E",실시간콜입력!$G:$G,$B1302,실시간콜입력!$O:$O,"방문완료")+COUNTIFS(실시간콜입력!$B:$B,$A1302,실시간콜입력!$E:$E,"E",실시간콜입력!$H:$H,$B1302,실시간콜입력!$O:$O,"방문완료")</f>
        <v>0</v>
      </c>
      <c r="K1302" s="29">
        <f t="shared" si="173"/>
        <v>0</v>
      </c>
      <c r="L1302" s="33">
        <f>SUMIFS(실시간콜입력!$K:$K,실시간콜입력!$B:$B,$A1302,실시간콜입력!$G:$G,$B1302,실시간콜입력!$O:$O,"방문완료")+SUMIFS(실시간콜입력!$L:$L,실시간콜입력!$B:$B,$A1302,실시간콜입력!$H:$H,$B1302,실시간콜입력!$O:$O,"방문완료")</f>
        <v>0</v>
      </c>
      <c r="M1302" s="29" t="str">
        <f t="shared" si="174"/>
        <v/>
      </c>
      <c r="N1302" s="29"/>
    </row>
    <row r="1303" spans="1:14" ht="19.5" hidden="1" customHeight="1" outlineLevel="1">
      <c r="A1303" s="24">
        <f>IF(25&lt;=DAY(DATE(YEAR(설정_코스수당!$K$2),MONTH(설정_코스수당!$K$2)+1,0)),DATE(YEAR(설정_코스수당!$K$2),MONTH(설정_코스수당!$K$2),25),"")</f>
        <v>46198</v>
      </c>
      <c r="B1303" s="23" t="s">
        <v>211</v>
      </c>
      <c r="C1303" s="29"/>
      <c r="D1303" s="29"/>
      <c r="E1303" s="29" t="str">
        <f t="shared" si="172"/>
        <v/>
      </c>
      <c r="F1303" s="29">
        <f>COUNTIFS(실시간콜입력!$B:$B,$A1303,실시간콜입력!$E:$E,"A",실시간콜입력!$G:$G,$B1303,실시간콜입력!$O:$O,"방문완료")+COUNTIFS(실시간콜입력!$B:$B,$A1303,실시간콜입력!$E:$E,"A",실시간콜입력!$H:$H,$B1303,실시간콜입력!$O:$O,"방문완료")</f>
        <v>0</v>
      </c>
      <c r="G1303" s="29">
        <f>COUNTIFS(실시간콜입력!$B:$B,$A1303,실시간콜입력!$E:$E,"B",실시간콜입력!$G:$G,$B1303,실시간콜입력!$O:$O,"방문완료")+COUNTIFS(실시간콜입력!$B:$B,$A1303,실시간콜입력!$E:$E,"B",실시간콜입력!$H:$H,$B1303,실시간콜입력!$O:$O,"방문완료")</f>
        <v>0</v>
      </c>
      <c r="H1303" s="29">
        <f>COUNTIFS(실시간콜입력!$B:$B,$A1303,실시간콜입력!$E:$E,"C",실시간콜입력!$G:$G,$B1303,실시간콜입력!$O:$O,"방문완료")+COUNTIFS(실시간콜입력!$B:$B,$A1303,실시간콜입력!$E:$E,"C",실시간콜입력!$H:$H,$B1303,실시간콜입력!$O:$O,"방문완료")</f>
        <v>0</v>
      </c>
      <c r="I1303" s="29">
        <f>COUNTIFS(실시간콜입력!$B:$B,$A1303,실시간콜입력!$E:$E,"D",실시간콜입력!$G:$G,$B1303,실시간콜입력!$O:$O,"방문완료")+COUNTIFS(실시간콜입력!$B:$B,$A1303,실시간콜입력!$E:$E,"D",실시간콜입력!$H:$H,$B1303,실시간콜입력!$O:$O,"방문완료")</f>
        <v>0</v>
      </c>
      <c r="J1303" s="29">
        <f>COUNTIFS(실시간콜입력!$B:$B,$A1303,실시간콜입력!$E:$E,"E",실시간콜입력!$G:$G,$B1303,실시간콜입력!$O:$O,"방문완료")+COUNTIFS(실시간콜입력!$B:$B,$A1303,실시간콜입력!$E:$E,"E",실시간콜입력!$H:$H,$B1303,실시간콜입력!$O:$O,"방문완료")</f>
        <v>0</v>
      </c>
      <c r="K1303" s="29">
        <f t="shared" si="173"/>
        <v>0</v>
      </c>
      <c r="L1303" s="27">
        <f>SUMIFS(실시간콜입력!$K:$K,실시간콜입력!$B:$B,$A1303,실시간콜입력!$G:$G,$B1303,실시간콜입력!$O:$O,"방문완료")+SUMIFS(실시간콜입력!$L:$L,실시간콜입력!$B:$B,$A1303,실시간콜입력!$H:$H,$B1303,실시간콜입력!$O:$O,"방문완료")</f>
        <v>0</v>
      </c>
      <c r="M1303" s="29" t="str">
        <f t="shared" si="174"/>
        <v/>
      </c>
      <c r="N1303" s="29"/>
    </row>
    <row r="1304" spans="1:14" ht="19.5" hidden="1" customHeight="1" outlineLevel="1">
      <c r="A1304" s="30">
        <f>IF(25&lt;=DAY(DATE(YEAR(설정_코스수당!$K$2),MONTH(설정_코스수당!$K$2)+1,0)),DATE(YEAR(설정_코스수당!$K$2),MONTH(설정_코스수당!$K$2),25),"")</f>
        <v>46198</v>
      </c>
      <c r="B1304" s="29" t="s">
        <v>212</v>
      </c>
      <c r="C1304" s="29"/>
      <c r="D1304" s="29"/>
      <c r="E1304" s="29" t="str">
        <f t="shared" si="172"/>
        <v/>
      </c>
      <c r="F1304" s="29">
        <f>COUNTIFS(실시간콜입력!$B:$B,$A1304,실시간콜입력!$E:$E,"A",실시간콜입력!$G:$G,$B1304,실시간콜입력!$O:$O,"방문완료")+COUNTIFS(실시간콜입력!$B:$B,$A1304,실시간콜입력!$E:$E,"A",실시간콜입력!$H:$H,$B1304,실시간콜입력!$O:$O,"방문완료")</f>
        <v>0</v>
      </c>
      <c r="G1304" s="29">
        <f>COUNTIFS(실시간콜입력!$B:$B,$A1304,실시간콜입력!$E:$E,"B",실시간콜입력!$G:$G,$B1304,실시간콜입력!$O:$O,"방문완료")+COUNTIFS(실시간콜입력!$B:$B,$A1304,실시간콜입력!$E:$E,"B",실시간콜입력!$H:$H,$B1304,실시간콜입력!$O:$O,"방문완료")</f>
        <v>0</v>
      </c>
      <c r="H1304" s="29">
        <f>COUNTIFS(실시간콜입력!$B:$B,$A1304,실시간콜입력!$E:$E,"C",실시간콜입력!$G:$G,$B1304,실시간콜입력!$O:$O,"방문완료")+COUNTIFS(실시간콜입력!$B:$B,$A1304,실시간콜입력!$E:$E,"C",실시간콜입력!$H:$H,$B1304,실시간콜입력!$O:$O,"방문완료")</f>
        <v>0</v>
      </c>
      <c r="I1304" s="29">
        <f>COUNTIFS(실시간콜입력!$B:$B,$A1304,실시간콜입력!$E:$E,"D",실시간콜입력!$G:$G,$B1304,실시간콜입력!$O:$O,"방문완료")+COUNTIFS(실시간콜입력!$B:$B,$A1304,실시간콜입력!$E:$E,"D",실시간콜입력!$H:$H,$B1304,실시간콜입력!$O:$O,"방문완료")</f>
        <v>0</v>
      </c>
      <c r="J1304" s="29">
        <f>COUNTIFS(실시간콜입력!$B:$B,$A1304,실시간콜입력!$E:$E,"E",실시간콜입력!$G:$G,$B1304,실시간콜입력!$O:$O,"방문완료")+COUNTIFS(실시간콜입력!$B:$B,$A1304,실시간콜입력!$E:$E,"E",실시간콜입력!$H:$H,$B1304,실시간콜입력!$O:$O,"방문완료")</f>
        <v>0</v>
      </c>
      <c r="K1304" s="29">
        <f t="shared" si="173"/>
        <v>0</v>
      </c>
      <c r="L1304" s="33">
        <f>SUMIFS(실시간콜입력!$K:$K,실시간콜입력!$B:$B,$A1304,실시간콜입력!$G:$G,$B1304,실시간콜입력!$O:$O,"방문완료")+SUMIFS(실시간콜입력!$L:$L,실시간콜입력!$B:$B,$A1304,실시간콜입력!$H:$H,$B1304,실시간콜입력!$O:$O,"방문완료")</f>
        <v>0</v>
      </c>
      <c r="M1304" s="29" t="str">
        <f t="shared" si="174"/>
        <v/>
      </c>
      <c r="N1304" s="29"/>
    </row>
    <row r="1305" spans="1:14" ht="21.75" customHeight="1" collapsed="1">
      <c r="A1305" s="64">
        <f>IF(26&lt;=DAY(DATE(YEAR(설정_코스수당!$K$2),MONTH(설정_코스수당!$K$2)+1,0)),DATE(YEAR(설정_코스수당!$K$2),MONTH(설정_코스수당!$K$2),26),"")</f>
        <v>46199</v>
      </c>
      <c r="B1305" s="65" t="str">
        <f>IF(A1305="","","출근 "&amp;COUNTIF(C1307:C1356,"&lt;&gt;")&amp;"명")</f>
        <v>출근 0명</v>
      </c>
      <c r="C1305" s="65" t="str">
        <f>IF(A1305="","","만근 "&amp;COUNTIF(M1307:M1356,"인정")&amp;"명")</f>
        <v>만근 0명</v>
      </c>
      <c r="D1305" s="65" t="str">
        <f>IFERROR("평균 "&amp;TEXT(AVERAGEIF(E1307:E1356,"&gt;0",E1307:E1356),"0.0")&amp;"h","평균 -")</f>
        <v>평균 -</v>
      </c>
      <c r="E1305" s="65" t="s">
        <v>163</v>
      </c>
      <c r="F1305" s="65">
        <f t="shared" ref="F1305:L1305" si="175">SUM(F1307:F1356)</f>
        <v>0</v>
      </c>
      <c r="G1305" s="65">
        <f t="shared" si="175"/>
        <v>0</v>
      </c>
      <c r="H1305" s="65">
        <f t="shared" si="175"/>
        <v>0</v>
      </c>
      <c r="I1305" s="65">
        <f t="shared" si="175"/>
        <v>0</v>
      </c>
      <c r="J1305" s="65">
        <f t="shared" si="175"/>
        <v>0</v>
      </c>
      <c r="K1305" s="65">
        <f t="shared" si="175"/>
        <v>0</v>
      </c>
      <c r="L1305" s="66">
        <f t="shared" si="175"/>
        <v>0</v>
      </c>
      <c r="M1305" s="65">
        <f>COUNTIF(M1307:M1356,"인정")</f>
        <v>0</v>
      </c>
      <c r="N1305" s="65" t="s">
        <v>164</v>
      </c>
    </row>
    <row r="1306" spans="1:14" ht="19.5" hidden="1" customHeight="1" outlineLevel="1">
      <c r="A1306" s="20" t="s">
        <v>42</v>
      </c>
      <c r="B1306" s="20" t="s">
        <v>152</v>
      </c>
      <c r="C1306" s="20" t="s">
        <v>153</v>
      </c>
      <c r="D1306" s="20" t="s">
        <v>154</v>
      </c>
      <c r="E1306" s="20" t="s">
        <v>155</v>
      </c>
      <c r="F1306" s="20" t="s">
        <v>156</v>
      </c>
      <c r="G1306" s="20" t="s">
        <v>157</v>
      </c>
      <c r="H1306" s="20" t="s">
        <v>158</v>
      </c>
      <c r="I1306" s="20" t="s">
        <v>159</v>
      </c>
      <c r="J1306" s="20" t="s">
        <v>160</v>
      </c>
      <c r="K1306" s="20" t="s">
        <v>118</v>
      </c>
      <c r="L1306" s="20" t="s">
        <v>161</v>
      </c>
      <c r="M1306" s="20" t="s">
        <v>162</v>
      </c>
      <c r="N1306" s="20" t="s">
        <v>95</v>
      </c>
    </row>
    <row r="1307" spans="1:14" ht="19.5" hidden="1" customHeight="1" outlineLevel="1">
      <c r="A1307" s="24">
        <f>IF(26&lt;=DAY(DATE(YEAR(설정_코스수당!$K$2),MONTH(설정_코스수당!$K$2)+1,0)),DATE(YEAR(설정_코스수당!$K$2),MONTH(설정_코스수당!$K$2),26),"")</f>
        <v>46199</v>
      </c>
      <c r="B1307" s="23" t="s">
        <v>47</v>
      </c>
      <c r="C1307" s="23"/>
      <c r="D1307" s="23"/>
      <c r="E1307" s="23" t="str">
        <f t="shared" ref="E1307:E1338" si="176">IF(AND(C1307&lt;&gt;"",D1307&lt;&gt;""),IF(D1307&lt;C1307,D1307+1-C1307,D1307-C1307)*24,"")</f>
        <v/>
      </c>
      <c r="F1307" s="23">
        <f>COUNTIFS(실시간콜입력!$B:$B,$A1307,실시간콜입력!$E:$E,"A",실시간콜입력!$G:$G,$B1307,실시간콜입력!$O:$O,"방문완료")+COUNTIFS(실시간콜입력!$B:$B,$A1307,실시간콜입력!$E:$E,"A",실시간콜입력!$H:$H,$B1307,실시간콜입력!$O:$O,"방문완료")</f>
        <v>0</v>
      </c>
      <c r="G1307" s="23">
        <f>COUNTIFS(실시간콜입력!$B:$B,$A1307,실시간콜입력!$E:$E,"B",실시간콜입력!$G:$G,$B1307,실시간콜입력!$O:$O,"방문완료")+COUNTIFS(실시간콜입력!$B:$B,$A1307,실시간콜입력!$E:$E,"B",실시간콜입력!$H:$H,$B1307,실시간콜입력!$O:$O,"방문완료")</f>
        <v>0</v>
      </c>
      <c r="H1307" s="23">
        <f>COUNTIFS(실시간콜입력!$B:$B,$A1307,실시간콜입력!$E:$E,"C",실시간콜입력!$G:$G,$B1307,실시간콜입력!$O:$O,"방문완료")+COUNTIFS(실시간콜입력!$B:$B,$A1307,실시간콜입력!$E:$E,"C",실시간콜입력!$H:$H,$B1307,실시간콜입력!$O:$O,"방문완료")</f>
        <v>0</v>
      </c>
      <c r="I1307" s="23">
        <f>COUNTIFS(실시간콜입력!$B:$B,$A1307,실시간콜입력!$E:$E,"D",실시간콜입력!$G:$G,$B1307,실시간콜입력!$O:$O,"방문완료")+COUNTIFS(실시간콜입력!$B:$B,$A1307,실시간콜입력!$E:$E,"D",실시간콜입력!$H:$H,$B1307,실시간콜입력!$O:$O,"방문완료")</f>
        <v>0</v>
      </c>
      <c r="J1307" s="23">
        <f>COUNTIFS(실시간콜입력!$B:$B,$A1307,실시간콜입력!$E:$E,"E",실시간콜입력!$G:$G,$B1307,실시간콜입력!$O:$O,"방문완료")+COUNTIFS(실시간콜입력!$B:$B,$A1307,실시간콜입력!$E:$E,"E",실시간콜입력!$H:$H,$B1307,실시간콜입력!$O:$O,"방문완료")</f>
        <v>0</v>
      </c>
      <c r="K1307" s="23">
        <f t="shared" ref="K1307:K1338" si="177">SUM(F1307:J1307)</f>
        <v>0</v>
      </c>
      <c r="L1307" s="27">
        <f>SUMIFS(실시간콜입력!$K:$K,실시간콜입력!$B:$B,$A1307,실시간콜입력!$G:$G,$B1307,실시간콜입력!$O:$O,"방문완료")+SUMIFS(실시간콜입력!$L:$L,실시간콜입력!$B:$B,$A1307,실시간콜입력!$H:$H,$B1307,실시간콜입력!$O:$O,"방문완료")</f>
        <v>0</v>
      </c>
      <c r="M1307" s="23" t="str">
        <f t="shared" ref="M1307:M1338" si="178">IF(AND(ISNUMBER(E1307),E1307&gt;=8),"인정","")</f>
        <v/>
      </c>
      <c r="N1307" s="23"/>
    </row>
    <row r="1308" spans="1:14" ht="19.5" hidden="1" customHeight="1" outlineLevel="1">
      <c r="A1308" s="30">
        <f>IF(26&lt;=DAY(DATE(YEAR(설정_코스수당!$K$2),MONTH(설정_코스수당!$K$2)+1,0)),DATE(YEAR(설정_코스수당!$K$2),MONTH(설정_코스수당!$K$2),26),"")</f>
        <v>46199</v>
      </c>
      <c r="B1308" s="29" t="s">
        <v>48</v>
      </c>
      <c r="C1308" s="29"/>
      <c r="D1308" s="29"/>
      <c r="E1308" s="29" t="str">
        <f t="shared" si="176"/>
        <v/>
      </c>
      <c r="F1308" s="29">
        <f>COUNTIFS(실시간콜입력!$B:$B,$A1308,실시간콜입력!$E:$E,"A",실시간콜입력!$G:$G,$B1308,실시간콜입력!$O:$O,"방문완료")+COUNTIFS(실시간콜입력!$B:$B,$A1308,실시간콜입력!$E:$E,"A",실시간콜입력!$H:$H,$B1308,실시간콜입력!$O:$O,"방문완료")</f>
        <v>0</v>
      </c>
      <c r="G1308" s="29">
        <f>COUNTIFS(실시간콜입력!$B:$B,$A1308,실시간콜입력!$E:$E,"B",실시간콜입력!$G:$G,$B1308,실시간콜입력!$O:$O,"방문완료")+COUNTIFS(실시간콜입력!$B:$B,$A1308,실시간콜입력!$E:$E,"B",실시간콜입력!$H:$H,$B1308,실시간콜입력!$O:$O,"방문완료")</f>
        <v>0</v>
      </c>
      <c r="H1308" s="29">
        <f>COUNTIFS(실시간콜입력!$B:$B,$A1308,실시간콜입력!$E:$E,"C",실시간콜입력!$G:$G,$B1308,실시간콜입력!$O:$O,"방문완료")+COUNTIFS(실시간콜입력!$B:$B,$A1308,실시간콜입력!$E:$E,"C",실시간콜입력!$H:$H,$B1308,실시간콜입력!$O:$O,"방문완료")</f>
        <v>0</v>
      </c>
      <c r="I1308" s="29">
        <f>COUNTIFS(실시간콜입력!$B:$B,$A1308,실시간콜입력!$E:$E,"D",실시간콜입력!$G:$G,$B1308,실시간콜입력!$O:$O,"방문완료")+COUNTIFS(실시간콜입력!$B:$B,$A1308,실시간콜입력!$E:$E,"D",실시간콜입력!$H:$H,$B1308,실시간콜입력!$O:$O,"방문완료")</f>
        <v>0</v>
      </c>
      <c r="J1308" s="29">
        <f>COUNTIFS(실시간콜입력!$B:$B,$A1308,실시간콜입력!$E:$E,"E",실시간콜입력!$G:$G,$B1308,실시간콜입력!$O:$O,"방문완료")+COUNTIFS(실시간콜입력!$B:$B,$A1308,실시간콜입력!$E:$E,"E",실시간콜입력!$H:$H,$B1308,실시간콜입력!$O:$O,"방문완료")</f>
        <v>0</v>
      </c>
      <c r="K1308" s="29">
        <f t="shared" si="177"/>
        <v>0</v>
      </c>
      <c r="L1308" s="33">
        <f>SUMIFS(실시간콜입력!$K:$K,실시간콜입력!$B:$B,$A1308,실시간콜입력!$G:$G,$B1308,실시간콜입력!$O:$O,"방문완료")+SUMIFS(실시간콜입력!$L:$L,실시간콜입력!$B:$B,$A1308,실시간콜입력!$H:$H,$B1308,실시간콜입력!$O:$O,"방문완료")</f>
        <v>0</v>
      </c>
      <c r="M1308" s="29" t="str">
        <f t="shared" si="178"/>
        <v/>
      </c>
      <c r="N1308" s="29"/>
    </row>
    <row r="1309" spans="1:14" ht="19.5" hidden="1" customHeight="1" outlineLevel="1">
      <c r="A1309" s="24">
        <f>IF(26&lt;=DAY(DATE(YEAR(설정_코스수당!$K$2),MONTH(설정_코스수당!$K$2)+1,0)),DATE(YEAR(설정_코스수당!$K$2),MONTH(설정_코스수당!$K$2),26),"")</f>
        <v>46199</v>
      </c>
      <c r="B1309" s="23" t="s">
        <v>165</v>
      </c>
      <c r="C1309" s="29"/>
      <c r="D1309" s="29"/>
      <c r="E1309" s="29" t="str">
        <f t="shared" si="176"/>
        <v/>
      </c>
      <c r="F1309" s="29">
        <f>COUNTIFS(실시간콜입력!$B:$B,$A1309,실시간콜입력!$E:$E,"A",실시간콜입력!$G:$G,$B1309,실시간콜입력!$O:$O,"방문완료")+COUNTIFS(실시간콜입력!$B:$B,$A1309,실시간콜입력!$E:$E,"A",실시간콜입력!$H:$H,$B1309,실시간콜입력!$O:$O,"방문완료")</f>
        <v>0</v>
      </c>
      <c r="G1309" s="29">
        <f>COUNTIFS(실시간콜입력!$B:$B,$A1309,실시간콜입력!$E:$E,"B",실시간콜입력!$G:$G,$B1309,실시간콜입력!$O:$O,"방문완료")+COUNTIFS(실시간콜입력!$B:$B,$A1309,실시간콜입력!$E:$E,"B",실시간콜입력!$H:$H,$B1309,실시간콜입력!$O:$O,"방문완료")</f>
        <v>0</v>
      </c>
      <c r="H1309" s="29">
        <f>COUNTIFS(실시간콜입력!$B:$B,$A1309,실시간콜입력!$E:$E,"C",실시간콜입력!$G:$G,$B1309,실시간콜입력!$O:$O,"방문완료")+COUNTIFS(실시간콜입력!$B:$B,$A1309,실시간콜입력!$E:$E,"C",실시간콜입력!$H:$H,$B1309,실시간콜입력!$O:$O,"방문완료")</f>
        <v>0</v>
      </c>
      <c r="I1309" s="29">
        <f>COUNTIFS(실시간콜입력!$B:$B,$A1309,실시간콜입력!$E:$E,"D",실시간콜입력!$G:$G,$B1309,실시간콜입력!$O:$O,"방문완료")+COUNTIFS(실시간콜입력!$B:$B,$A1309,실시간콜입력!$E:$E,"D",실시간콜입력!$H:$H,$B1309,실시간콜입력!$O:$O,"방문완료")</f>
        <v>0</v>
      </c>
      <c r="J1309" s="29">
        <f>COUNTIFS(실시간콜입력!$B:$B,$A1309,실시간콜입력!$E:$E,"E",실시간콜입력!$G:$G,$B1309,실시간콜입력!$O:$O,"방문완료")+COUNTIFS(실시간콜입력!$B:$B,$A1309,실시간콜입력!$E:$E,"E",실시간콜입력!$H:$H,$B1309,실시간콜입력!$O:$O,"방문완료")</f>
        <v>0</v>
      </c>
      <c r="K1309" s="29">
        <f t="shared" si="177"/>
        <v>0</v>
      </c>
      <c r="L1309" s="27">
        <f>SUMIFS(실시간콜입력!$K:$K,실시간콜입력!$B:$B,$A1309,실시간콜입력!$G:$G,$B1309,실시간콜입력!$O:$O,"방문완료")+SUMIFS(실시간콜입력!$L:$L,실시간콜입력!$B:$B,$A1309,실시간콜입력!$H:$H,$B1309,실시간콜입력!$O:$O,"방문완료")</f>
        <v>0</v>
      </c>
      <c r="M1309" s="29" t="str">
        <f t="shared" si="178"/>
        <v/>
      </c>
      <c r="N1309" s="29"/>
    </row>
    <row r="1310" spans="1:14" ht="19.5" hidden="1" customHeight="1" outlineLevel="1">
      <c r="A1310" s="30">
        <f>IF(26&lt;=DAY(DATE(YEAR(설정_코스수당!$K$2),MONTH(설정_코스수당!$K$2)+1,0)),DATE(YEAR(설정_코스수당!$K$2),MONTH(설정_코스수당!$K$2),26),"")</f>
        <v>46199</v>
      </c>
      <c r="B1310" s="29" t="s">
        <v>166</v>
      </c>
      <c r="C1310" s="29"/>
      <c r="D1310" s="29"/>
      <c r="E1310" s="29" t="str">
        <f t="shared" si="176"/>
        <v/>
      </c>
      <c r="F1310" s="29">
        <f>COUNTIFS(실시간콜입력!$B:$B,$A1310,실시간콜입력!$E:$E,"A",실시간콜입력!$G:$G,$B1310,실시간콜입력!$O:$O,"방문완료")+COUNTIFS(실시간콜입력!$B:$B,$A1310,실시간콜입력!$E:$E,"A",실시간콜입력!$H:$H,$B1310,실시간콜입력!$O:$O,"방문완료")</f>
        <v>0</v>
      </c>
      <c r="G1310" s="29">
        <f>COUNTIFS(실시간콜입력!$B:$B,$A1310,실시간콜입력!$E:$E,"B",실시간콜입력!$G:$G,$B1310,실시간콜입력!$O:$O,"방문완료")+COUNTIFS(실시간콜입력!$B:$B,$A1310,실시간콜입력!$E:$E,"B",실시간콜입력!$H:$H,$B1310,실시간콜입력!$O:$O,"방문완료")</f>
        <v>0</v>
      </c>
      <c r="H1310" s="29">
        <f>COUNTIFS(실시간콜입력!$B:$B,$A1310,실시간콜입력!$E:$E,"C",실시간콜입력!$G:$G,$B1310,실시간콜입력!$O:$O,"방문완료")+COUNTIFS(실시간콜입력!$B:$B,$A1310,실시간콜입력!$E:$E,"C",실시간콜입력!$H:$H,$B1310,실시간콜입력!$O:$O,"방문완료")</f>
        <v>0</v>
      </c>
      <c r="I1310" s="29">
        <f>COUNTIFS(실시간콜입력!$B:$B,$A1310,실시간콜입력!$E:$E,"D",실시간콜입력!$G:$G,$B1310,실시간콜입력!$O:$O,"방문완료")+COUNTIFS(실시간콜입력!$B:$B,$A1310,실시간콜입력!$E:$E,"D",실시간콜입력!$H:$H,$B1310,실시간콜입력!$O:$O,"방문완료")</f>
        <v>0</v>
      </c>
      <c r="J1310" s="29">
        <f>COUNTIFS(실시간콜입력!$B:$B,$A1310,실시간콜입력!$E:$E,"E",실시간콜입력!$G:$G,$B1310,실시간콜입력!$O:$O,"방문완료")+COUNTIFS(실시간콜입력!$B:$B,$A1310,실시간콜입력!$E:$E,"E",실시간콜입력!$H:$H,$B1310,실시간콜입력!$O:$O,"방문완료")</f>
        <v>0</v>
      </c>
      <c r="K1310" s="29">
        <f t="shared" si="177"/>
        <v>0</v>
      </c>
      <c r="L1310" s="33">
        <f>SUMIFS(실시간콜입력!$K:$K,실시간콜입력!$B:$B,$A1310,실시간콜입력!$G:$G,$B1310,실시간콜입력!$O:$O,"방문완료")+SUMIFS(실시간콜입력!$L:$L,실시간콜입력!$B:$B,$A1310,실시간콜입력!$H:$H,$B1310,실시간콜입력!$O:$O,"방문완료")</f>
        <v>0</v>
      </c>
      <c r="M1310" s="29" t="str">
        <f t="shared" si="178"/>
        <v/>
      </c>
      <c r="N1310" s="29"/>
    </row>
    <row r="1311" spans="1:14" ht="19.5" hidden="1" customHeight="1" outlineLevel="1">
      <c r="A1311" s="24">
        <f>IF(26&lt;=DAY(DATE(YEAR(설정_코스수당!$K$2),MONTH(설정_코스수당!$K$2)+1,0)),DATE(YEAR(설정_코스수당!$K$2),MONTH(설정_코스수당!$K$2),26),"")</f>
        <v>46199</v>
      </c>
      <c r="B1311" s="23" t="s">
        <v>167</v>
      </c>
      <c r="C1311" s="29"/>
      <c r="D1311" s="29"/>
      <c r="E1311" s="29" t="str">
        <f t="shared" si="176"/>
        <v/>
      </c>
      <c r="F1311" s="29">
        <f>COUNTIFS(실시간콜입력!$B:$B,$A1311,실시간콜입력!$E:$E,"A",실시간콜입력!$G:$G,$B1311,실시간콜입력!$O:$O,"방문완료")+COUNTIFS(실시간콜입력!$B:$B,$A1311,실시간콜입력!$E:$E,"A",실시간콜입력!$H:$H,$B1311,실시간콜입력!$O:$O,"방문완료")</f>
        <v>0</v>
      </c>
      <c r="G1311" s="29">
        <f>COUNTIFS(실시간콜입력!$B:$B,$A1311,실시간콜입력!$E:$E,"B",실시간콜입력!$G:$G,$B1311,실시간콜입력!$O:$O,"방문완료")+COUNTIFS(실시간콜입력!$B:$B,$A1311,실시간콜입력!$E:$E,"B",실시간콜입력!$H:$H,$B1311,실시간콜입력!$O:$O,"방문완료")</f>
        <v>0</v>
      </c>
      <c r="H1311" s="29">
        <f>COUNTIFS(실시간콜입력!$B:$B,$A1311,실시간콜입력!$E:$E,"C",실시간콜입력!$G:$G,$B1311,실시간콜입력!$O:$O,"방문완료")+COUNTIFS(실시간콜입력!$B:$B,$A1311,실시간콜입력!$E:$E,"C",실시간콜입력!$H:$H,$B1311,실시간콜입력!$O:$O,"방문완료")</f>
        <v>0</v>
      </c>
      <c r="I1311" s="29">
        <f>COUNTIFS(실시간콜입력!$B:$B,$A1311,실시간콜입력!$E:$E,"D",실시간콜입력!$G:$G,$B1311,실시간콜입력!$O:$O,"방문완료")+COUNTIFS(실시간콜입력!$B:$B,$A1311,실시간콜입력!$E:$E,"D",실시간콜입력!$H:$H,$B1311,실시간콜입력!$O:$O,"방문완료")</f>
        <v>0</v>
      </c>
      <c r="J1311" s="29">
        <f>COUNTIFS(실시간콜입력!$B:$B,$A1311,실시간콜입력!$E:$E,"E",실시간콜입력!$G:$G,$B1311,실시간콜입력!$O:$O,"방문완료")+COUNTIFS(실시간콜입력!$B:$B,$A1311,실시간콜입력!$E:$E,"E",실시간콜입력!$H:$H,$B1311,실시간콜입력!$O:$O,"방문완료")</f>
        <v>0</v>
      </c>
      <c r="K1311" s="29">
        <f t="shared" si="177"/>
        <v>0</v>
      </c>
      <c r="L1311" s="27">
        <f>SUMIFS(실시간콜입력!$K:$K,실시간콜입력!$B:$B,$A1311,실시간콜입력!$G:$G,$B1311,실시간콜입력!$O:$O,"방문완료")+SUMIFS(실시간콜입력!$L:$L,실시간콜입력!$B:$B,$A1311,실시간콜입력!$H:$H,$B1311,실시간콜입력!$O:$O,"방문완료")</f>
        <v>0</v>
      </c>
      <c r="M1311" s="29" t="str">
        <f t="shared" si="178"/>
        <v/>
      </c>
      <c r="N1311" s="29"/>
    </row>
    <row r="1312" spans="1:14" ht="19.5" hidden="1" customHeight="1" outlineLevel="1">
      <c r="A1312" s="30">
        <f>IF(26&lt;=DAY(DATE(YEAR(설정_코스수당!$K$2),MONTH(설정_코스수당!$K$2)+1,0)),DATE(YEAR(설정_코스수당!$K$2),MONTH(설정_코스수당!$K$2),26),"")</f>
        <v>46199</v>
      </c>
      <c r="B1312" s="29" t="s">
        <v>168</v>
      </c>
      <c r="C1312" s="29"/>
      <c r="D1312" s="29"/>
      <c r="E1312" s="29" t="str">
        <f t="shared" si="176"/>
        <v/>
      </c>
      <c r="F1312" s="29">
        <f>COUNTIFS(실시간콜입력!$B:$B,$A1312,실시간콜입력!$E:$E,"A",실시간콜입력!$G:$G,$B1312,실시간콜입력!$O:$O,"방문완료")+COUNTIFS(실시간콜입력!$B:$B,$A1312,실시간콜입력!$E:$E,"A",실시간콜입력!$H:$H,$B1312,실시간콜입력!$O:$O,"방문완료")</f>
        <v>0</v>
      </c>
      <c r="G1312" s="29">
        <f>COUNTIFS(실시간콜입력!$B:$B,$A1312,실시간콜입력!$E:$E,"B",실시간콜입력!$G:$G,$B1312,실시간콜입력!$O:$O,"방문완료")+COUNTIFS(실시간콜입력!$B:$B,$A1312,실시간콜입력!$E:$E,"B",실시간콜입력!$H:$H,$B1312,실시간콜입력!$O:$O,"방문완료")</f>
        <v>0</v>
      </c>
      <c r="H1312" s="29">
        <f>COUNTIFS(실시간콜입력!$B:$B,$A1312,실시간콜입력!$E:$E,"C",실시간콜입력!$G:$G,$B1312,실시간콜입력!$O:$O,"방문완료")+COUNTIFS(실시간콜입력!$B:$B,$A1312,실시간콜입력!$E:$E,"C",실시간콜입력!$H:$H,$B1312,실시간콜입력!$O:$O,"방문완료")</f>
        <v>0</v>
      </c>
      <c r="I1312" s="29">
        <f>COUNTIFS(실시간콜입력!$B:$B,$A1312,실시간콜입력!$E:$E,"D",실시간콜입력!$G:$G,$B1312,실시간콜입력!$O:$O,"방문완료")+COUNTIFS(실시간콜입력!$B:$B,$A1312,실시간콜입력!$E:$E,"D",실시간콜입력!$H:$H,$B1312,실시간콜입력!$O:$O,"방문완료")</f>
        <v>0</v>
      </c>
      <c r="J1312" s="29">
        <f>COUNTIFS(실시간콜입력!$B:$B,$A1312,실시간콜입력!$E:$E,"E",실시간콜입력!$G:$G,$B1312,실시간콜입력!$O:$O,"방문완료")+COUNTIFS(실시간콜입력!$B:$B,$A1312,실시간콜입력!$E:$E,"E",실시간콜입력!$H:$H,$B1312,실시간콜입력!$O:$O,"방문완료")</f>
        <v>0</v>
      </c>
      <c r="K1312" s="29">
        <f t="shared" si="177"/>
        <v>0</v>
      </c>
      <c r="L1312" s="33">
        <f>SUMIFS(실시간콜입력!$K:$K,실시간콜입력!$B:$B,$A1312,실시간콜입력!$G:$G,$B1312,실시간콜입력!$O:$O,"방문완료")+SUMIFS(실시간콜입력!$L:$L,실시간콜입력!$B:$B,$A1312,실시간콜입력!$H:$H,$B1312,실시간콜입력!$O:$O,"방문완료")</f>
        <v>0</v>
      </c>
      <c r="M1312" s="29" t="str">
        <f t="shared" si="178"/>
        <v/>
      </c>
      <c r="N1312" s="29"/>
    </row>
    <row r="1313" spans="1:14" ht="19.5" hidden="1" customHeight="1" outlineLevel="1">
      <c r="A1313" s="24">
        <f>IF(26&lt;=DAY(DATE(YEAR(설정_코스수당!$K$2),MONTH(설정_코스수당!$K$2)+1,0)),DATE(YEAR(설정_코스수당!$K$2),MONTH(설정_코스수당!$K$2),26),"")</f>
        <v>46199</v>
      </c>
      <c r="B1313" s="23" t="s">
        <v>169</v>
      </c>
      <c r="C1313" s="29"/>
      <c r="D1313" s="29"/>
      <c r="E1313" s="29" t="str">
        <f t="shared" si="176"/>
        <v/>
      </c>
      <c r="F1313" s="29">
        <f>COUNTIFS(실시간콜입력!$B:$B,$A1313,실시간콜입력!$E:$E,"A",실시간콜입력!$G:$G,$B1313,실시간콜입력!$O:$O,"방문완료")+COUNTIFS(실시간콜입력!$B:$B,$A1313,실시간콜입력!$E:$E,"A",실시간콜입력!$H:$H,$B1313,실시간콜입력!$O:$O,"방문완료")</f>
        <v>0</v>
      </c>
      <c r="G1313" s="29">
        <f>COUNTIFS(실시간콜입력!$B:$B,$A1313,실시간콜입력!$E:$E,"B",실시간콜입력!$G:$G,$B1313,실시간콜입력!$O:$O,"방문완료")+COUNTIFS(실시간콜입력!$B:$B,$A1313,실시간콜입력!$E:$E,"B",실시간콜입력!$H:$H,$B1313,실시간콜입력!$O:$O,"방문완료")</f>
        <v>0</v>
      </c>
      <c r="H1313" s="29">
        <f>COUNTIFS(실시간콜입력!$B:$B,$A1313,실시간콜입력!$E:$E,"C",실시간콜입력!$G:$G,$B1313,실시간콜입력!$O:$O,"방문완료")+COUNTIFS(실시간콜입력!$B:$B,$A1313,실시간콜입력!$E:$E,"C",실시간콜입력!$H:$H,$B1313,실시간콜입력!$O:$O,"방문완료")</f>
        <v>0</v>
      </c>
      <c r="I1313" s="29">
        <f>COUNTIFS(실시간콜입력!$B:$B,$A1313,실시간콜입력!$E:$E,"D",실시간콜입력!$G:$G,$B1313,실시간콜입력!$O:$O,"방문완료")+COUNTIFS(실시간콜입력!$B:$B,$A1313,실시간콜입력!$E:$E,"D",실시간콜입력!$H:$H,$B1313,실시간콜입력!$O:$O,"방문완료")</f>
        <v>0</v>
      </c>
      <c r="J1313" s="29">
        <f>COUNTIFS(실시간콜입력!$B:$B,$A1313,실시간콜입력!$E:$E,"E",실시간콜입력!$G:$G,$B1313,실시간콜입력!$O:$O,"방문완료")+COUNTIFS(실시간콜입력!$B:$B,$A1313,실시간콜입력!$E:$E,"E",실시간콜입력!$H:$H,$B1313,실시간콜입력!$O:$O,"방문완료")</f>
        <v>0</v>
      </c>
      <c r="K1313" s="29">
        <f t="shared" si="177"/>
        <v>0</v>
      </c>
      <c r="L1313" s="27">
        <f>SUMIFS(실시간콜입력!$K:$K,실시간콜입력!$B:$B,$A1313,실시간콜입력!$G:$G,$B1313,실시간콜입력!$O:$O,"방문완료")+SUMIFS(실시간콜입력!$L:$L,실시간콜입력!$B:$B,$A1313,실시간콜입력!$H:$H,$B1313,실시간콜입력!$O:$O,"방문완료")</f>
        <v>0</v>
      </c>
      <c r="M1313" s="29" t="str">
        <f t="shared" si="178"/>
        <v/>
      </c>
      <c r="N1313" s="29"/>
    </row>
    <row r="1314" spans="1:14" ht="19.5" hidden="1" customHeight="1" outlineLevel="1">
      <c r="A1314" s="30">
        <f>IF(26&lt;=DAY(DATE(YEAR(설정_코스수당!$K$2),MONTH(설정_코스수당!$K$2)+1,0)),DATE(YEAR(설정_코스수당!$K$2),MONTH(설정_코스수당!$K$2),26),"")</f>
        <v>46199</v>
      </c>
      <c r="B1314" s="29" t="s">
        <v>170</v>
      </c>
      <c r="C1314" s="29"/>
      <c r="D1314" s="29"/>
      <c r="E1314" s="29" t="str">
        <f t="shared" si="176"/>
        <v/>
      </c>
      <c r="F1314" s="29">
        <f>COUNTIFS(실시간콜입력!$B:$B,$A1314,실시간콜입력!$E:$E,"A",실시간콜입력!$G:$G,$B1314,실시간콜입력!$O:$O,"방문완료")+COUNTIFS(실시간콜입력!$B:$B,$A1314,실시간콜입력!$E:$E,"A",실시간콜입력!$H:$H,$B1314,실시간콜입력!$O:$O,"방문완료")</f>
        <v>0</v>
      </c>
      <c r="G1314" s="29">
        <f>COUNTIFS(실시간콜입력!$B:$B,$A1314,실시간콜입력!$E:$E,"B",실시간콜입력!$G:$G,$B1314,실시간콜입력!$O:$O,"방문완료")+COUNTIFS(실시간콜입력!$B:$B,$A1314,실시간콜입력!$E:$E,"B",실시간콜입력!$H:$H,$B1314,실시간콜입력!$O:$O,"방문완료")</f>
        <v>0</v>
      </c>
      <c r="H1314" s="29">
        <f>COUNTIFS(실시간콜입력!$B:$B,$A1314,실시간콜입력!$E:$E,"C",실시간콜입력!$G:$G,$B1314,실시간콜입력!$O:$O,"방문완료")+COUNTIFS(실시간콜입력!$B:$B,$A1314,실시간콜입력!$E:$E,"C",실시간콜입력!$H:$H,$B1314,실시간콜입력!$O:$O,"방문완료")</f>
        <v>0</v>
      </c>
      <c r="I1314" s="29">
        <f>COUNTIFS(실시간콜입력!$B:$B,$A1314,실시간콜입력!$E:$E,"D",실시간콜입력!$G:$G,$B1314,실시간콜입력!$O:$O,"방문완료")+COUNTIFS(실시간콜입력!$B:$B,$A1314,실시간콜입력!$E:$E,"D",실시간콜입력!$H:$H,$B1314,실시간콜입력!$O:$O,"방문완료")</f>
        <v>0</v>
      </c>
      <c r="J1314" s="29">
        <f>COUNTIFS(실시간콜입력!$B:$B,$A1314,실시간콜입력!$E:$E,"E",실시간콜입력!$G:$G,$B1314,실시간콜입력!$O:$O,"방문완료")+COUNTIFS(실시간콜입력!$B:$B,$A1314,실시간콜입력!$E:$E,"E",실시간콜입력!$H:$H,$B1314,실시간콜입력!$O:$O,"방문완료")</f>
        <v>0</v>
      </c>
      <c r="K1314" s="29">
        <f t="shared" si="177"/>
        <v>0</v>
      </c>
      <c r="L1314" s="33">
        <f>SUMIFS(실시간콜입력!$K:$K,실시간콜입력!$B:$B,$A1314,실시간콜입력!$G:$G,$B1314,실시간콜입력!$O:$O,"방문완료")+SUMIFS(실시간콜입력!$L:$L,실시간콜입력!$B:$B,$A1314,실시간콜입력!$H:$H,$B1314,실시간콜입력!$O:$O,"방문완료")</f>
        <v>0</v>
      </c>
      <c r="M1314" s="29" t="str">
        <f t="shared" si="178"/>
        <v/>
      </c>
      <c r="N1314" s="29"/>
    </row>
    <row r="1315" spans="1:14" ht="19.5" hidden="1" customHeight="1" outlineLevel="1">
      <c r="A1315" s="24">
        <f>IF(26&lt;=DAY(DATE(YEAR(설정_코스수당!$K$2),MONTH(설정_코스수당!$K$2)+1,0)),DATE(YEAR(설정_코스수당!$K$2),MONTH(설정_코스수당!$K$2),26),"")</f>
        <v>46199</v>
      </c>
      <c r="B1315" s="23" t="s">
        <v>171</v>
      </c>
      <c r="C1315" s="29"/>
      <c r="D1315" s="29"/>
      <c r="E1315" s="29" t="str">
        <f t="shared" si="176"/>
        <v/>
      </c>
      <c r="F1315" s="29">
        <f>COUNTIFS(실시간콜입력!$B:$B,$A1315,실시간콜입력!$E:$E,"A",실시간콜입력!$G:$G,$B1315,실시간콜입력!$O:$O,"방문완료")+COUNTIFS(실시간콜입력!$B:$B,$A1315,실시간콜입력!$E:$E,"A",실시간콜입력!$H:$H,$B1315,실시간콜입력!$O:$O,"방문완료")</f>
        <v>0</v>
      </c>
      <c r="G1315" s="29">
        <f>COUNTIFS(실시간콜입력!$B:$B,$A1315,실시간콜입력!$E:$E,"B",실시간콜입력!$G:$G,$B1315,실시간콜입력!$O:$O,"방문완료")+COUNTIFS(실시간콜입력!$B:$B,$A1315,실시간콜입력!$E:$E,"B",실시간콜입력!$H:$H,$B1315,실시간콜입력!$O:$O,"방문완료")</f>
        <v>0</v>
      </c>
      <c r="H1315" s="29">
        <f>COUNTIFS(실시간콜입력!$B:$B,$A1315,실시간콜입력!$E:$E,"C",실시간콜입력!$G:$G,$B1315,실시간콜입력!$O:$O,"방문완료")+COUNTIFS(실시간콜입력!$B:$B,$A1315,실시간콜입력!$E:$E,"C",실시간콜입력!$H:$H,$B1315,실시간콜입력!$O:$O,"방문완료")</f>
        <v>0</v>
      </c>
      <c r="I1315" s="29">
        <f>COUNTIFS(실시간콜입력!$B:$B,$A1315,실시간콜입력!$E:$E,"D",실시간콜입력!$G:$G,$B1315,실시간콜입력!$O:$O,"방문완료")+COUNTIFS(실시간콜입력!$B:$B,$A1315,실시간콜입력!$E:$E,"D",실시간콜입력!$H:$H,$B1315,실시간콜입력!$O:$O,"방문완료")</f>
        <v>0</v>
      </c>
      <c r="J1315" s="29">
        <f>COUNTIFS(실시간콜입력!$B:$B,$A1315,실시간콜입력!$E:$E,"E",실시간콜입력!$G:$G,$B1315,실시간콜입력!$O:$O,"방문완료")+COUNTIFS(실시간콜입력!$B:$B,$A1315,실시간콜입력!$E:$E,"E",실시간콜입력!$H:$H,$B1315,실시간콜입력!$O:$O,"방문완료")</f>
        <v>0</v>
      </c>
      <c r="K1315" s="29">
        <f t="shared" si="177"/>
        <v>0</v>
      </c>
      <c r="L1315" s="27">
        <f>SUMIFS(실시간콜입력!$K:$K,실시간콜입력!$B:$B,$A1315,실시간콜입력!$G:$G,$B1315,실시간콜입력!$O:$O,"방문완료")+SUMIFS(실시간콜입력!$L:$L,실시간콜입력!$B:$B,$A1315,실시간콜입력!$H:$H,$B1315,실시간콜입력!$O:$O,"방문완료")</f>
        <v>0</v>
      </c>
      <c r="M1315" s="29" t="str">
        <f t="shared" si="178"/>
        <v/>
      </c>
      <c r="N1315" s="29"/>
    </row>
    <row r="1316" spans="1:14" ht="19.5" hidden="1" customHeight="1" outlineLevel="1">
      <c r="A1316" s="30">
        <f>IF(26&lt;=DAY(DATE(YEAR(설정_코스수당!$K$2),MONTH(설정_코스수당!$K$2)+1,0)),DATE(YEAR(설정_코스수당!$K$2),MONTH(설정_코스수당!$K$2),26),"")</f>
        <v>46199</v>
      </c>
      <c r="B1316" s="29" t="s">
        <v>172</v>
      </c>
      <c r="C1316" s="29"/>
      <c r="D1316" s="29"/>
      <c r="E1316" s="29" t="str">
        <f t="shared" si="176"/>
        <v/>
      </c>
      <c r="F1316" s="29">
        <f>COUNTIFS(실시간콜입력!$B:$B,$A1316,실시간콜입력!$E:$E,"A",실시간콜입력!$G:$G,$B1316,실시간콜입력!$O:$O,"방문완료")+COUNTIFS(실시간콜입력!$B:$B,$A1316,실시간콜입력!$E:$E,"A",실시간콜입력!$H:$H,$B1316,실시간콜입력!$O:$O,"방문완료")</f>
        <v>0</v>
      </c>
      <c r="G1316" s="29">
        <f>COUNTIFS(실시간콜입력!$B:$B,$A1316,실시간콜입력!$E:$E,"B",실시간콜입력!$G:$G,$B1316,실시간콜입력!$O:$O,"방문완료")+COUNTIFS(실시간콜입력!$B:$B,$A1316,실시간콜입력!$E:$E,"B",실시간콜입력!$H:$H,$B1316,실시간콜입력!$O:$O,"방문완료")</f>
        <v>0</v>
      </c>
      <c r="H1316" s="29">
        <f>COUNTIFS(실시간콜입력!$B:$B,$A1316,실시간콜입력!$E:$E,"C",실시간콜입력!$G:$G,$B1316,실시간콜입력!$O:$O,"방문완료")+COUNTIFS(실시간콜입력!$B:$B,$A1316,실시간콜입력!$E:$E,"C",실시간콜입력!$H:$H,$B1316,실시간콜입력!$O:$O,"방문완료")</f>
        <v>0</v>
      </c>
      <c r="I1316" s="29">
        <f>COUNTIFS(실시간콜입력!$B:$B,$A1316,실시간콜입력!$E:$E,"D",실시간콜입력!$G:$G,$B1316,실시간콜입력!$O:$O,"방문완료")+COUNTIFS(실시간콜입력!$B:$B,$A1316,실시간콜입력!$E:$E,"D",실시간콜입력!$H:$H,$B1316,실시간콜입력!$O:$O,"방문완료")</f>
        <v>0</v>
      </c>
      <c r="J1316" s="29">
        <f>COUNTIFS(실시간콜입력!$B:$B,$A1316,실시간콜입력!$E:$E,"E",실시간콜입력!$G:$G,$B1316,실시간콜입력!$O:$O,"방문완료")+COUNTIFS(실시간콜입력!$B:$B,$A1316,실시간콜입력!$E:$E,"E",실시간콜입력!$H:$H,$B1316,실시간콜입력!$O:$O,"방문완료")</f>
        <v>0</v>
      </c>
      <c r="K1316" s="29">
        <f t="shared" si="177"/>
        <v>0</v>
      </c>
      <c r="L1316" s="33">
        <f>SUMIFS(실시간콜입력!$K:$K,실시간콜입력!$B:$B,$A1316,실시간콜입력!$G:$G,$B1316,실시간콜입력!$O:$O,"방문완료")+SUMIFS(실시간콜입력!$L:$L,실시간콜입력!$B:$B,$A1316,실시간콜입력!$H:$H,$B1316,실시간콜입력!$O:$O,"방문완료")</f>
        <v>0</v>
      </c>
      <c r="M1316" s="29" t="str">
        <f t="shared" si="178"/>
        <v/>
      </c>
      <c r="N1316" s="29"/>
    </row>
    <row r="1317" spans="1:14" ht="19.5" hidden="1" customHeight="1" outlineLevel="1">
      <c r="A1317" s="24">
        <f>IF(26&lt;=DAY(DATE(YEAR(설정_코스수당!$K$2),MONTH(설정_코스수당!$K$2)+1,0)),DATE(YEAR(설정_코스수당!$K$2),MONTH(설정_코스수당!$K$2),26),"")</f>
        <v>46199</v>
      </c>
      <c r="B1317" s="23" t="s">
        <v>173</v>
      </c>
      <c r="C1317" s="29"/>
      <c r="D1317" s="29"/>
      <c r="E1317" s="29" t="str">
        <f t="shared" si="176"/>
        <v/>
      </c>
      <c r="F1317" s="29">
        <f>COUNTIFS(실시간콜입력!$B:$B,$A1317,실시간콜입력!$E:$E,"A",실시간콜입력!$G:$G,$B1317,실시간콜입력!$O:$O,"방문완료")+COUNTIFS(실시간콜입력!$B:$B,$A1317,실시간콜입력!$E:$E,"A",실시간콜입력!$H:$H,$B1317,실시간콜입력!$O:$O,"방문완료")</f>
        <v>0</v>
      </c>
      <c r="G1317" s="29">
        <f>COUNTIFS(실시간콜입력!$B:$B,$A1317,실시간콜입력!$E:$E,"B",실시간콜입력!$G:$G,$B1317,실시간콜입력!$O:$O,"방문완료")+COUNTIFS(실시간콜입력!$B:$B,$A1317,실시간콜입력!$E:$E,"B",실시간콜입력!$H:$H,$B1317,실시간콜입력!$O:$O,"방문완료")</f>
        <v>0</v>
      </c>
      <c r="H1317" s="29">
        <f>COUNTIFS(실시간콜입력!$B:$B,$A1317,실시간콜입력!$E:$E,"C",실시간콜입력!$G:$G,$B1317,실시간콜입력!$O:$O,"방문완료")+COUNTIFS(실시간콜입력!$B:$B,$A1317,실시간콜입력!$E:$E,"C",실시간콜입력!$H:$H,$B1317,실시간콜입력!$O:$O,"방문완료")</f>
        <v>0</v>
      </c>
      <c r="I1317" s="29">
        <f>COUNTIFS(실시간콜입력!$B:$B,$A1317,실시간콜입력!$E:$E,"D",실시간콜입력!$G:$G,$B1317,실시간콜입력!$O:$O,"방문완료")+COUNTIFS(실시간콜입력!$B:$B,$A1317,실시간콜입력!$E:$E,"D",실시간콜입력!$H:$H,$B1317,실시간콜입력!$O:$O,"방문완료")</f>
        <v>0</v>
      </c>
      <c r="J1317" s="29">
        <f>COUNTIFS(실시간콜입력!$B:$B,$A1317,실시간콜입력!$E:$E,"E",실시간콜입력!$G:$G,$B1317,실시간콜입력!$O:$O,"방문완료")+COUNTIFS(실시간콜입력!$B:$B,$A1317,실시간콜입력!$E:$E,"E",실시간콜입력!$H:$H,$B1317,실시간콜입력!$O:$O,"방문완료")</f>
        <v>0</v>
      </c>
      <c r="K1317" s="29">
        <f t="shared" si="177"/>
        <v>0</v>
      </c>
      <c r="L1317" s="27">
        <f>SUMIFS(실시간콜입력!$K:$K,실시간콜입력!$B:$B,$A1317,실시간콜입력!$G:$G,$B1317,실시간콜입력!$O:$O,"방문완료")+SUMIFS(실시간콜입력!$L:$L,실시간콜입력!$B:$B,$A1317,실시간콜입력!$H:$H,$B1317,실시간콜입력!$O:$O,"방문완료")</f>
        <v>0</v>
      </c>
      <c r="M1317" s="29" t="str">
        <f t="shared" si="178"/>
        <v/>
      </c>
      <c r="N1317" s="29"/>
    </row>
    <row r="1318" spans="1:14" ht="19.5" hidden="1" customHeight="1" outlineLevel="1">
      <c r="A1318" s="30">
        <f>IF(26&lt;=DAY(DATE(YEAR(설정_코스수당!$K$2),MONTH(설정_코스수당!$K$2)+1,0)),DATE(YEAR(설정_코스수당!$K$2),MONTH(설정_코스수당!$K$2),26),"")</f>
        <v>46199</v>
      </c>
      <c r="B1318" s="29" t="s">
        <v>174</v>
      </c>
      <c r="C1318" s="29"/>
      <c r="D1318" s="29"/>
      <c r="E1318" s="29" t="str">
        <f t="shared" si="176"/>
        <v/>
      </c>
      <c r="F1318" s="29">
        <f>COUNTIFS(실시간콜입력!$B:$B,$A1318,실시간콜입력!$E:$E,"A",실시간콜입력!$G:$G,$B1318,실시간콜입력!$O:$O,"방문완료")+COUNTIFS(실시간콜입력!$B:$B,$A1318,실시간콜입력!$E:$E,"A",실시간콜입력!$H:$H,$B1318,실시간콜입력!$O:$O,"방문완료")</f>
        <v>0</v>
      </c>
      <c r="G1318" s="29">
        <f>COUNTIFS(실시간콜입력!$B:$B,$A1318,실시간콜입력!$E:$E,"B",실시간콜입력!$G:$G,$B1318,실시간콜입력!$O:$O,"방문완료")+COUNTIFS(실시간콜입력!$B:$B,$A1318,실시간콜입력!$E:$E,"B",실시간콜입력!$H:$H,$B1318,실시간콜입력!$O:$O,"방문완료")</f>
        <v>0</v>
      </c>
      <c r="H1318" s="29">
        <f>COUNTIFS(실시간콜입력!$B:$B,$A1318,실시간콜입력!$E:$E,"C",실시간콜입력!$G:$G,$B1318,실시간콜입력!$O:$O,"방문완료")+COUNTIFS(실시간콜입력!$B:$B,$A1318,실시간콜입력!$E:$E,"C",실시간콜입력!$H:$H,$B1318,실시간콜입력!$O:$O,"방문완료")</f>
        <v>0</v>
      </c>
      <c r="I1318" s="29">
        <f>COUNTIFS(실시간콜입력!$B:$B,$A1318,실시간콜입력!$E:$E,"D",실시간콜입력!$G:$G,$B1318,실시간콜입력!$O:$O,"방문완료")+COUNTIFS(실시간콜입력!$B:$B,$A1318,실시간콜입력!$E:$E,"D",실시간콜입력!$H:$H,$B1318,실시간콜입력!$O:$O,"방문완료")</f>
        <v>0</v>
      </c>
      <c r="J1318" s="29">
        <f>COUNTIFS(실시간콜입력!$B:$B,$A1318,실시간콜입력!$E:$E,"E",실시간콜입력!$G:$G,$B1318,실시간콜입력!$O:$O,"방문완료")+COUNTIFS(실시간콜입력!$B:$B,$A1318,실시간콜입력!$E:$E,"E",실시간콜입력!$H:$H,$B1318,실시간콜입력!$O:$O,"방문완료")</f>
        <v>0</v>
      </c>
      <c r="K1318" s="29">
        <f t="shared" si="177"/>
        <v>0</v>
      </c>
      <c r="L1318" s="33">
        <f>SUMIFS(실시간콜입력!$K:$K,실시간콜입력!$B:$B,$A1318,실시간콜입력!$G:$G,$B1318,실시간콜입력!$O:$O,"방문완료")+SUMIFS(실시간콜입력!$L:$L,실시간콜입력!$B:$B,$A1318,실시간콜입력!$H:$H,$B1318,실시간콜입력!$O:$O,"방문완료")</f>
        <v>0</v>
      </c>
      <c r="M1318" s="29" t="str">
        <f t="shared" si="178"/>
        <v/>
      </c>
      <c r="N1318" s="29"/>
    </row>
    <row r="1319" spans="1:14" ht="19.5" hidden="1" customHeight="1" outlineLevel="1">
      <c r="A1319" s="24">
        <f>IF(26&lt;=DAY(DATE(YEAR(설정_코스수당!$K$2),MONTH(설정_코스수당!$K$2)+1,0)),DATE(YEAR(설정_코스수당!$K$2),MONTH(설정_코스수당!$K$2),26),"")</f>
        <v>46199</v>
      </c>
      <c r="B1319" s="23" t="s">
        <v>175</v>
      </c>
      <c r="C1319" s="29"/>
      <c r="D1319" s="29"/>
      <c r="E1319" s="29" t="str">
        <f t="shared" si="176"/>
        <v/>
      </c>
      <c r="F1319" s="29">
        <f>COUNTIFS(실시간콜입력!$B:$B,$A1319,실시간콜입력!$E:$E,"A",실시간콜입력!$G:$G,$B1319,실시간콜입력!$O:$O,"방문완료")+COUNTIFS(실시간콜입력!$B:$B,$A1319,실시간콜입력!$E:$E,"A",실시간콜입력!$H:$H,$B1319,실시간콜입력!$O:$O,"방문완료")</f>
        <v>0</v>
      </c>
      <c r="G1319" s="29">
        <f>COUNTIFS(실시간콜입력!$B:$B,$A1319,실시간콜입력!$E:$E,"B",실시간콜입력!$G:$G,$B1319,실시간콜입력!$O:$O,"방문완료")+COUNTIFS(실시간콜입력!$B:$B,$A1319,실시간콜입력!$E:$E,"B",실시간콜입력!$H:$H,$B1319,실시간콜입력!$O:$O,"방문완료")</f>
        <v>0</v>
      </c>
      <c r="H1319" s="29">
        <f>COUNTIFS(실시간콜입력!$B:$B,$A1319,실시간콜입력!$E:$E,"C",실시간콜입력!$G:$G,$B1319,실시간콜입력!$O:$O,"방문완료")+COUNTIFS(실시간콜입력!$B:$B,$A1319,실시간콜입력!$E:$E,"C",실시간콜입력!$H:$H,$B1319,실시간콜입력!$O:$O,"방문완료")</f>
        <v>0</v>
      </c>
      <c r="I1319" s="29">
        <f>COUNTIFS(실시간콜입력!$B:$B,$A1319,실시간콜입력!$E:$E,"D",실시간콜입력!$G:$G,$B1319,실시간콜입력!$O:$O,"방문완료")+COUNTIFS(실시간콜입력!$B:$B,$A1319,실시간콜입력!$E:$E,"D",실시간콜입력!$H:$H,$B1319,실시간콜입력!$O:$O,"방문완료")</f>
        <v>0</v>
      </c>
      <c r="J1319" s="29">
        <f>COUNTIFS(실시간콜입력!$B:$B,$A1319,실시간콜입력!$E:$E,"E",실시간콜입력!$G:$G,$B1319,실시간콜입력!$O:$O,"방문완료")+COUNTIFS(실시간콜입력!$B:$B,$A1319,실시간콜입력!$E:$E,"E",실시간콜입력!$H:$H,$B1319,실시간콜입력!$O:$O,"방문완료")</f>
        <v>0</v>
      </c>
      <c r="K1319" s="29">
        <f t="shared" si="177"/>
        <v>0</v>
      </c>
      <c r="L1319" s="27">
        <f>SUMIFS(실시간콜입력!$K:$K,실시간콜입력!$B:$B,$A1319,실시간콜입력!$G:$G,$B1319,실시간콜입력!$O:$O,"방문완료")+SUMIFS(실시간콜입력!$L:$L,실시간콜입력!$B:$B,$A1319,실시간콜입력!$H:$H,$B1319,실시간콜입력!$O:$O,"방문완료")</f>
        <v>0</v>
      </c>
      <c r="M1319" s="29" t="str">
        <f t="shared" si="178"/>
        <v/>
      </c>
      <c r="N1319" s="29"/>
    </row>
    <row r="1320" spans="1:14" ht="19.5" hidden="1" customHeight="1" outlineLevel="1">
      <c r="A1320" s="30">
        <f>IF(26&lt;=DAY(DATE(YEAR(설정_코스수당!$K$2),MONTH(설정_코스수당!$K$2)+1,0)),DATE(YEAR(설정_코스수당!$K$2),MONTH(설정_코스수당!$K$2),26),"")</f>
        <v>46199</v>
      </c>
      <c r="B1320" s="29" t="s">
        <v>176</v>
      </c>
      <c r="C1320" s="29"/>
      <c r="D1320" s="29"/>
      <c r="E1320" s="29" t="str">
        <f t="shared" si="176"/>
        <v/>
      </c>
      <c r="F1320" s="29">
        <f>COUNTIFS(실시간콜입력!$B:$B,$A1320,실시간콜입력!$E:$E,"A",실시간콜입력!$G:$G,$B1320,실시간콜입력!$O:$O,"방문완료")+COUNTIFS(실시간콜입력!$B:$B,$A1320,실시간콜입력!$E:$E,"A",실시간콜입력!$H:$H,$B1320,실시간콜입력!$O:$O,"방문완료")</f>
        <v>0</v>
      </c>
      <c r="G1320" s="29">
        <f>COUNTIFS(실시간콜입력!$B:$B,$A1320,실시간콜입력!$E:$E,"B",실시간콜입력!$G:$G,$B1320,실시간콜입력!$O:$O,"방문완료")+COUNTIFS(실시간콜입력!$B:$B,$A1320,실시간콜입력!$E:$E,"B",실시간콜입력!$H:$H,$B1320,실시간콜입력!$O:$O,"방문완료")</f>
        <v>0</v>
      </c>
      <c r="H1320" s="29">
        <f>COUNTIFS(실시간콜입력!$B:$B,$A1320,실시간콜입력!$E:$E,"C",실시간콜입력!$G:$G,$B1320,실시간콜입력!$O:$O,"방문완료")+COUNTIFS(실시간콜입력!$B:$B,$A1320,실시간콜입력!$E:$E,"C",실시간콜입력!$H:$H,$B1320,실시간콜입력!$O:$O,"방문완료")</f>
        <v>0</v>
      </c>
      <c r="I1320" s="29">
        <f>COUNTIFS(실시간콜입력!$B:$B,$A1320,실시간콜입력!$E:$E,"D",실시간콜입력!$G:$G,$B1320,실시간콜입력!$O:$O,"방문완료")+COUNTIFS(실시간콜입력!$B:$B,$A1320,실시간콜입력!$E:$E,"D",실시간콜입력!$H:$H,$B1320,실시간콜입력!$O:$O,"방문완료")</f>
        <v>0</v>
      </c>
      <c r="J1320" s="29">
        <f>COUNTIFS(실시간콜입력!$B:$B,$A1320,실시간콜입력!$E:$E,"E",실시간콜입력!$G:$G,$B1320,실시간콜입력!$O:$O,"방문완료")+COUNTIFS(실시간콜입력!$B:$B,$A1320,실시간콜입력!$E:$E,"E",실시간콜입력!$H:$H,$B1320,실시간콜입력!$O:$O,"방문완료")</f>
        <v>0</v>
      </c>
      <c r="K1320" s="29">
        <f t="shared" si="177"/>
        <v>0</v>
      </c>
      <c r="L1320" s="33">
        <f>SUMIFS(실시간콜입력!$K:$K,실시간콜입력!$B:$B,$A1320,실시간콜입력!$G:$G,$B1320,실시간콜입력!$O:$O,"방문완료")+SUMIFS(실시간콜입력!$L:$L,실시간콜입력!$B:$B,$A1320,실시간콜입력!$H:$H,$B1320,실시간콜입력!$O:$O,"방문완료")</f>
        <v>0</v>
      </c>
      <c r="M1320" s="29" t="str">
        <f t="shared" si="178"/>
        <v/>
      </c>
      <c r="N1320" s="29"/>
    </row>
    <row r="1321" spans="1:14" ht="19.5" hidden="1" customHeight="1" outlineLevel="1">
      <c r="A1321" s="24">
        <f>IF(26&lt;=DAY(DATE(YEAR(설정_코스수당!$K$2),MONTH(설정_코스수당!$K$2)+1,0)),DATE(YEAR(설정_코스수당!$K$2),MONTH(설정_코스수당!$K$2),26),"")</f>
        <v>46199</v>
      </c>
      <c r="B1321" s="23" t="s">
        <v>177</v>
      </c>
      <c r="C1321" s="29"/>
      <c r="D1321" s="29"/>
      <c r="E1321" s="29" t="str">
        <f t="shared" si="176"/>
        <v/>
      </c>
      <c r="F1321" s="29">
        <f>COUNTIFS(실시간콜입력!$B:$B,$A1321,실시간콜입력!$E:$E,"A",실시간콜입력!$G:$G,$B1321,실시간콜입력!$O:$O,"방문완료")+COUNTIFS(실시간콜입력!$B:$B,$A1321,실시간콜입력!$E:$E,"A",실시간콜입력!$H:$H,$B1321,실시간콜입력!$O:$O,"방문완료")</f>
        <v>0</v>
      </c>
      <c r="G1321" s="29">
        <f>COUNTIFS(실시간콜입력!$B:$B,$A1321,실시간콜입력!$E:$E,"B",실시간콜입력!$G:$G,$B1321,실시간콜입력!$O:$O,"방문완료")+COUNTIFS(실시간콜입력!$B:$B,$A1321,실시간콜입력!$E:$E,"B",실시간콜입력!$H:$H,$B1321,실시간콜입력!$O:$O,"방문완료")</f>
        <v>0</v>
      </c>
      <c r="H1321" s="29">
        <f>COUNTIFS(실시간콜입력!$B:$B,$A1321,실시간콜입력!$E:$E,"C",실시간콜입력!$G:$G,$B1321,실시간콜입력!$O:$O,"방문완료")+COUNTIFS(실시간콜입력!$B:$B,$A1321,실시간콜입력!$E:$E,"C",실시간콜입력!$H:$H,$B1321,실시간콜입력!$O:$O,"방문완료")</f>
        <v>0</v>
      </c>
      <c r="I1321" s="29">
        <f>COUNTIFS(실시간콜입력!$B:$B,$A1321,실시간콜입력!$E:$E,"D",실시간콜입력!$G:$G,$B1321,실시간콜입력!$O:$O,"방문완료")+COUNTIFS(실시간콜입력!$B:$B,$A1321,실시간콜입력!$E:$E,"D",실시간콜입력!$H:$H,$B1321,실시간콜입력!$O:$O,"방문완료")</f>
        <v>0</v>
      </c>
      <c r="J1321" s="29">
        <f>COUNTIFS(실시간콜입력!$B:$B,$A1321,실시간콜입력!$E:$E,"E",실시간콜입력!$G:$G,$B1321,실시간콜입력!$O:$O,"방문완료")+COUNTIFS(실시간콜입력!$B:$B,$A1321,실시간콜입력!$E:$E,"E",실시간콜입력!$H:$H,$B1321,실시간콜입력!$O:$O,"방문완료")</f>
        <v>0</v>
      </c>
      <c r="K1321" s="29">
        <f t="shared" si="177"/>
        <v>0</v>
      </c>
      <c r="L1321" s="27">
        <f>SUMIFS(실시간콜입력!$K:$K,실시간콜입력!$B:$B,$A1321,실시간콜입력!$G:$G,$B1321,실시간콜입력!$O:$O,"방문완료")+SUMIFS(실시간콜입력!$L:$L,실시간콜입력!$B:$B,$A1321,실시간콜입력!$H:$H,$B1321,실시간콜입력!$O:$O,"방문완료")</f>
        <v>0</v>
      </c>
      <c r="M1321" s="29" t="str">
        <f t="shared" si="178"/>
        <v/>
      </c>
      <c r="N1321" s="29"/>
    </row>
    <row r="1322" spans="1:14" ht="19.5" hidden="1" customHeight="1" outlineLevel="1">
      <c r="A1322" s="30">
        <f>IF(26&lt;=DAY(DATE(YEAR(설정_코스수당!$K$2),MONTH(설정_코스수당!$K$2)+1,0)),DATE(YEAR(설정_코스수당!$K$2),MONTH(설정_코스수당!$K$2),26),"")</f>
        <v>46199</v>
      </c>
      <c r="B1322" s="29" t="s">
        <v>178</v>
      </c>
      <c r="C1322" s="29"/>
      <c r="D1322" s="29"/>
      <c r="E1322" s="29" t="str">
        <f t="shared" si="176"/>
        <v/>
      </c>
      <c r="F1322" s="29">
        <f>COUNTIFS(실시간콜입력!$B:$B,$A1322,실시간콜입력!$E:$E,"A",실시간콜입력!$G:$G,$B1322,실시간콜입력!$O:$O,"방문완료")+COUNTIFS(실시간콜입력!$B:$B,$A1322,실시간콜입력!$E:$E,"A",실시간콜입력!$H:$H,$B1322,실시간콜입력!$O:$O,"방문완료")</f>
        <v>0</v>
      </c>
      <c r="G1322" s="29">
        <f>COUNTIFS(실시간콜입력!$B:$B,$A1322,실시간콜입력!$E:$E,"B",실시간콜입력!$G:$G,$B1322,실시간콜입력!$O:$O,"방문완료")+COUNTIFS(실시간콜입력!$B:$B,$A1322,실시간콜입력!$E:$E,"B",실시간콜입력!$H:$H,$B1322,실시간콜입력!$O:$O,"방문완료")</f>
        <v>0</v>
      </c>
      <c r="H1322" s="29">
        <f>COUNTIFS(실시간콜입력!$B:$B,$A1322,실시간콜입력!$E:$E,"C",실시간콜입력!$G:$G,$B1322,실시간콜입력!$O:$O,"방문완료")+COUNTIFS(실시간콜입력!$B:$B,$A1322,실시간콜입력!$E:$E,"C",실시간콜입력!$H:$H,$B1322,실시간콜입력!$O:$O,"방문완료")</f>
        <v>0</v>
      </c>
      <c r="I1322" s="29">
        <f>COUNTIFS(실시간콜입력!$B:$B,$A1322,실시간콜입력!$E:$E,"D",실시간콜입력!$G:$G,$B1322,실시간콜입력!$O:$O,"방문완료")+COUNTIFS(실시간콜입력!$B:$B,$A1322,실시간콜입력!$E:$E,"D",실시간콜입력!$H:$H,$B1322,실시간콜입력!$O:$O,"방문완료")</f>
        <v>0</v>
      </c>
      <c r="J1322" s="29">
        <f>COUNTIFS(실시간콜입력!$B:$B,$A1322,실시간콜입력!$E:$E,"E",실시간콜입력!$G:$G,$B1322,실시간콜입력!$O:$O,"방문완료")+COUNTIFS(실시간콜입력!$B:$B,$A1322,실시간콜입력!$E:$E,"E",실시간콜입력!$H:$H,$B1322,실시간콜입력!$O:$O,"방문완료")</f>
        <v>0</v>
      </c>
      <c r="K1322" s="29">
        <f t="shared" si="177"/>
        <v>0</v>
      </c>
      <c r="L1322" s="33">
        <f>SUMIFS(실시간콜입력!$K:$K,실시간콜입력!$B:$B,$A1322,실시간콜입력!$G:$G,$B1322,실시간콜입력!$O:$O,"방문완료")+SUMIFS(실시간콜입력!$L:$L,실시간콜입력!$B:$B,$A1322,실시간콜입력!$H:$H,$B1322,실시간콜입력!$O:$O,"방문완료")</f>
        <v>0</v>
      </c>
      <c r="M1322" s="29" t="str">
        <f t="shared" si="178"/>
        <v/>
      </c>
      <c r="N1322" s="29"/>
    </row>
    <row r="1323" spans="1:14" ht="19.5" hidden="1" customHeight="1" outlineLevel="1">
      <c r="A1323" s="24">
        <f>IF(26&lt;=DAY(DATE(YEAR(설정_코스수당!$K$2),MONTH(설정_코스수당!$K$2)+1,0)),DATE(YEAR(설정_코스수당!$K$2),MONTH(설정_코스수당!$K$2),26),"")</f>
        <v>46199</v>
      </c>
      <c r="B1323" s="23" t="s">
        <v>179</v>
      </c>
      <c r="C1323" s="29"/>
      <c r="D1323" s="29"/>
      <c r="E1323" s="29" t="str">
        <f t="shared" si="176"/>
        <v/>
      </c>
      <c r="F1323" s="29">
        <f>COUNTIFS(실시간콜입력!$B:$B,$A1323,실시간콜입력!$E:$E,"A",실시간콜입력!$G:$G,$B1323,실시간콜입력!$O:$O,"방문완료")+COUNTIFS(실시간콜입력!$B:$B,$A1323,실시간콜입력!$E:$E,"A",실시간콜입력!$H:$H,$B1323,실시간콜입력!$O:$O,"방문완료")</f>
        <v>0</v>
      </c>
      <c r="G1323" s="29">
        <f>COUNTIFS(실시간콜입력!$B:$B,$A1323,실시간콜입력!$E:$E,"B",실시간콜입력!$G:$G,$B1323,실시간콜입력!$O:$O,"방문완료")+COUNTIFS(실시간콜입력!$B:$B,$A1323,실시간콜입력!$E:$E,"B",실시간콜입력!$H:$H,$B1323,실시간콜입력!$O:$O,"방문완료")</f>
        <v>0</v>
      </c>
      <c r="H1323" s="29">
        <f>COUNTIFS(실시간콜입력!$B:$B,$A1323,실시간콜입력!$E:$E,"C",실시간콜입력!$G:$G,$B1323,실시간콜입력!$O:$O,"방문완료")+COUNTIFS(실시간콜입력!$B:$B,$A1323,실시간콜입력!$E:$E,"C",실시간콜입력!$H:$H,$B1323,실시간콜입력!$O:$O,"방문완료")</f>
        <v>0</v>
      </c>
      <c r="I1323" s="29">
        <f>COUNTIFS(실시간콜입력!$B:$B,$A1323,실시간콜입력!$E:$E,"D",실시간콜입력!$G:$G,$B1323,실시간콜입력!$O:$O,"방문완료")+COUNTIFS(실시간콜입력!$B:$B,$A1323,실시간콜입력!$E:$E,"D",실시간콜입력!$H:$H,$B1323,실시간콜입력!$O:$O,"방문완료")</f>
        <v>0</v>
      </c>
      <c r="J1323" s="29">
        <f>COUNTIFS(실시간콜입력!$B:$B,$A1323,실시간콜입력!$E:$E,"E",실시간콜입력!$G:$G,$B1323,실시간콜입력!$O:$O,"방문완료")+COUNTIFS(실시간콜입력!$B:$B,$A1323,실시간콜입력!$E:$E,"E",실시간콜입력!$H:$H,$B1323,실시간콜입력!$O:$O,"방문완료")</f>
        <v>0</v>
      </c>
      <c r="K1323" s="29">
        <f t="shared" si="177"/>
        <v>0</v>
      </c>
      <c r="L1323" s="27">
        <f>SUMIFS(실시간콜입력!$K:$K,실시간콜입력!$B:$B,$A1323,실시간콜입력!$G:$G,$B1323,실시간콜입력!$O:$O,"방문완료")+SUMIFS(실시간콜입력!$L:$L,실시간콜입력!$B:$B,$A1323,실시간콜입력!$H:$H,$B1323,실시간콜입력!$O:$O,"방문완료")</f>
        <v>0</v>
      </c>
      <c r="M1323" s="29" t="str">
        <f t="shared" si="178"/>
        <v/>
      </c>
      <c r="N1323" s="29"/>
    </row>
    <row r="1324" spans="1:14" ht="19.5" hidden="1" customHeight="1" outlineLevel="1">
      <c r="A1324" s="30">
        <f>IF(26&lt;=DAY(DATE(YEAR(설정_코스수당!$K$2),MONTH(설정_코스수당!$K$2)+1,0)),DATE(YEAR(설정_코스수당!$K$2),MONTH(설정_코스수당!$K$2),26),"")</f>
        <v>46199</v>
      </c>
      <c r="B1324" s="29" t="s">
        <v>180</v>
      </c>
      <c r="C1324" s="29"/>
      <c r="D1324" s="29"/>
      <c r="E1324" s="29" t="str">
        <f t="shared" si="176"/>
        <v/>
      </c>
      <c r="F1324" s="29">
        <f>COUNTIFS(실시간콜입력!$B:$B,$A1324,실시간콜입력!$E:$E,"A",실시간콜입력!$G:$G,$B1324,실시간콜입력!$O:$O,"방문완료")+COUNTIFS(실시간콜입력!$B:$B,$A1324,실시간콜입력!$E:$E,"A",실시간콜입력!$H:$H,$B1324,실시간콜입력!$O:$O,"방문완료")</f>
        <v>0</v>
      </c>
      <c r="G1324" s="29">
        <f>COUNTIFS(실시간콜입력!$B:$B,$A1324,실시간콜입력!$E:$E,"B",실시간콜입력!$G:$G,$B1324,실시간콜입력!$O:$O,"방문완료")+COUNTIFS(실시간콜입력!$B:$B,$A1324,실시간콜입력!$E:$E,"B",실시간콜입력!$H:$H,$B1324,실시간콜입력!$O:$O,"방문완료")</f>
        <v>0</v>
      </c>
      <c r="H1324" s="29">
        <f>COUNTIFS(실시간콜입력!$B:$B,$A1324,실시간콜입력!$E:$E,"C",실시간콜입력!$G:$G,$B1324,실시간콜입력!$O:$O,"방문완료")+COUNTIFS(실시간콜입력!$B:$B,$A1324,실시간콜입력!$E:$E,"C",실시간콜입력!$H:$H,$B1324,실시간콜입력!$O:$O,"방문완료")</f>
        <v>0</v>
      </c>
      <c r="I1324" s="29">
        <f>COUNTIFS(실시간콜입력!$B:$B,$A1324,실시간콜입력!$E:$E,"D",실시간콜입력!$G:$G,$B1324,실시간콜입력!$O:$O,"방문완료")+COUNTIFS(실시간콜입력!$B:$B,$A1324,실시간콜입력!$E:$E,"D",실시간콜입력!$H:$H,$B1324,실시간콜입력!$O:$O,"방문완료")</f>
        <v>0</v>
      </c>
      <c r="J1324" s="29">
        <f>COUNTIFS(실시간콜입력!$B:$B,$A1324,실시간콜입력!$E:$E,"E",실시간콜입력!$G:$G,$B1324,실시간콜입력!$O:$O,"방문완료")+COUNTIFS(실시간콜입력!$B:$B,$A1324,실시간콜입력!$E:$E,"E",실시간콜입력!$H:$H,$B1324,실시간콜입력!$O:$O,"방문완료")</f>
        <v>0</v>
      </c>
      <c r="K1324" s="29">
        <f t="shared" si="177"/>
        <v>0</v>
      </c>
      <c r="L1324" s="33">
        <f>SUMIFS(실시간콜입력!$K:$K,실시간콜입력!$B:$B,$A1324,실시간콜입력!$G:$G,$B1324,실시간콜입력!$O:$O,"방문완료")+SUMIFS(실시간콜입력!$L:$L,실시간콜입력!$B:$B,$A1324,실시간콜입력!$H:$H,$B1324,실시간콜입력!$O:$O,"방문완료")</f>
        <v>0</v>
      </c>
      <c r="M1324" s="29" t="str">
        <f t="shared" si="178"/>
        <v/>
      </c>
      <c r="N1324" s="29"/>
    </row>
    <row r="1325" spans="1:14" ht="19.5" hidden="1" customHeight="1" outlineLevel="1">
      <c r="A1325" s="24">
        <f>IF(26&lt;=DAY(DATE(YEAR(설정_코스수당!$K$2),MONTH(설정_코스수당!$K$2)+1,0)),DATE(YEAR(설정_코스수당!$K$2),MONTH(설정_코스수당!$K$2),26),"")</f>
        <v>46199</v>
      </c>
      <c r="B1325" s="23" t="s">
        <v>181</v>
      </c>
      <c r="C1325" s="29"/>
      <c r="D1325" s="29"/>
      <c r="E1325" s="29" t="str">
        <f t="shared" si="176"/>
        <v/>
      </c>
      <c r="F1325" s="29">
        <f>COUNTIFS(실시간콜입력!$B:$B,$A1325,실시간콜입력!$E:$E,"A",실시간콜입력!$G:$G,$B1325,실시간콜입력!$O:$O,"방문완료")+COUNTIFS(실시간콜입력!$B:$B,$A1325,실시간콜입력!$E:$E,"A",실시간콜입력!$H:$H,$B1325,실시간콜입력!$O:$O,"방문완료")</f>
        <v>0</v>
      </c>
      <c r="G1325" s="29">
        <f>COUNTIFS(실시간콜입력!$B:$B,$A1325,실시간콜입력!$E:$E,"B",실시간콜입력!$G:$G,$B1325,실시간콜입력!$O:$O,"방문완료")+COUNTIFS(실시간콜입력!$B:$B,$A1325,실시간콜입력!$E:$E,"B",실시간콜입력!$H:$H,$B1325,실시간콜입력!$O:$O,"방문완료")</f>
        <v>0</v>
      </c>
      <c r="H1325" s="29">
        <f>COUNTIFS(실시간콜입력!$B:$B,$A1325,실시간콜입력!$E:$E,"C",실시간콜입력!$G:$G,$B1325,실시간콜입력!$O:$O,"방문완료")+COUNTIFS(실시간콜입력!$B:$B,$A1325,실시간콜입력!$E:$E,"C",실시간콜입력!$H:$H,$B1325,실시간콜입력!$O:$O,"방문완료")</f>
        <v>0</v>
      </c>
      <c r="I1325" s="29">
        <f>COUNTIFS(실시간콜입력!$B:$B,$A1325,실시간콜입력!$E:$E,"D",실시간콜입력!$G:$G,$B1325,실시간콜입력!$O:$O,"방문완료")+COUNTIFS(실시간콜입력!$B:$B,$A1325,실시간콜입력!$E:$E,"D",실시간콜입력!$H:$H,$B1325,실시간콜입력!$O:$O,"방문완료")</f>
        <v>0</v>
      </c>
      <c r="J1325" s="29">
        <f>COUNTIFS(실시간콜입력!$B:$B,$A1325,실시간콜입력!$E:$E,"E",실시간콜입력!$G:$G,$B1325,실시간콜입력!$O:$O,"방문완료")+COUNTIFS(실시간콜입력!$B:$B,$A1325,실시간콜입력!$E:$E,"E",실시간콜입력!$H:$H,$B1325,실시간콜입력!$O:$O,"방문완료")</f>
        <v>0</v>
      </c>
      <c r="K1325" s="29">
        <f t="shared" si="177"/>
        <v>0</v>
      </c>
      <c r="L1325" s="27">
        <f>SUMIFS(실시간콜입력!$K:$K,실시간콜입력!$B:$B,$A1325,실시간콜입력!$G:$G,$B1325,실시간콜입력!$O:$O,"방문완료")+SUMIFS(실시간콜입력!$L:$L,실시간콜입력!$B:$B,$A1325,실시간콜입력!$H:$H,$B1325,실시간콜입력!$O:$O,"방문완료")</f>
        <v>0</v>
      </c>
      <c r="M1325" s="29" t="str">
        <f t="shared" si="178"/>
        <v/>
      </c>
      <c r="N1325" s="29"/>
    </row>
    <row r="1326" spans="1:14" ht="19.5" hidden="1" customHeight="1" outlineLevel="1">
      <c r="A1326" s="30">
        <f>IF(26&lt;=DAY(DATE(YEAR(설정_코스수당!$K$2),MONTH(설정_코스수당!$K$2)+1,0)),DATE(YEAR(설정_코스수당!$K$2),MONTH(설정_코스수당!$K$2),26),"")</f>
        <v>46199</v>
      </c>
      <c r="B1326" s="29" t="s">
        <v>182</v>
      </c>
      <c r="C1326" s="29"/>
      <c r="D1326" s="29"/>
      <c r="E1326" s="29" t="str">
        <f t="shared" si="176"/>
        <v/>
      </c>
      <c r="F1326" s="29">
        <f>COUNTIFS(실시간콜입력!$B:$B,$A1326,실시간콜입력!$E:$E,"A",실시간콜입력!$G:$G,$B1326,실시간콜입력!$O:$O,"방문완료")+COUNTIFS(실시간콜입력!$B:$B,$A1326,실시간콜입력!$E:$E,"A",실시간콜입력!$H:$H,$B1326,실시간콜입력!$O:$O,"방문완료")</f>
        <v>0</v>
      </c>
      <c r="G1326" s="29">
        <f>COUNTIFS(실시간콜입력!$B:$B,$A1326,실시간콜입력!$E:$E,"B",실시간콜입력!$G:$G,$B1326,실시간콜입력!$O:$O,"방문완료")+COUNTIFS(실시간콜입력!$B:$B,$A1326,실시간콜입력!$E:$E,"B",실시간콜입력!$H:$H,$B1326,실시간콜입력!$O:$O,"방문완료")</f>
        <v>0</v>
      </c>
      <c r="H1326" s="29">
        <f>COUNTIFS(실시간콜입력!$B:$B,$A1326,실시간콜입력!$E:$E,"C",실시간콜입력!$G:$G,$B1326,실시간콜입력!$O:$O,"방문완료")+COUNTIFS(실시간콜입력!$B:$B,$A1326,실시간콜입력!$E:$E,"C",실시간콜입력!$H:$H,$B1326,실시간콜입력!$O:$O,"방문완료")</f>
        <v>0</v>
      </c>
      <c r="I1326" s="29">
        <f>COUNTIFS(실시간콜입력!$B:$B,$A1326,실시간콜입력!$E:$E,"D",실시간콜입력!$G:$G,$B1326,실시간콜입력!$O:$O,"방문완료")+COUNTIFS(실시간콜입력!$B:$B,$A1326,실시간콜입력!$E:$E,"D",실시간콜입력!$H:$H,$B1326,실시간콜입력!$O:$O,"방문완료")</f>
        <v>0</v>
      </c>
      <c r="J1326" s="29">
        <f>COUNTIFS(실시간콜입력!$B:$B,$A1326,실시간콜입력!$E:$E,"E",실시간콜입력!$G:$G,$B1326,실시간콜입력!$O:$O,"방문완료")+COUNTIFS(실시간콜입력!$B:$B,$A1326,실시간콜입력!$E:$E,"E",실시간콜입력!$H:$H,$B1326,실시간콜입력!$O:$O,"방문완료")</f>
        <v>0</v>
      </c>
      <c r="K1326" s="29">
        <f t="shared" si="177"/>
        <v>0</v>
      </c>
      <c r="L1326" s="33">
        <f>SUMIFS(실시간콜입력!$K:$K,실시간콜입력!$B:$B,$A1326,실시간콜입력!$G:$G,$B1326,실시간콜입력!$O:$O,"방문완료")+SUMIFS(실시간콜입력!$L:$L,실시간콜입력!$B:$B,$A1326,실시간콜입력!$H:$H,$B1326,실시간콜입력!$O:$O,"방문완료")</f>
        <v>0</v>
      </c>
      <c r="M1326" s="29" t="str">
        <f t="shared" si="178"/>
        <v/>
      </c>
      <c r="N1326" s="29"/>
    </row>
    <row r="1327" spans="1:14" ht="19.5" hidden="1" customHeight="1" outlineLevel="1">
      <c r="A1327" s="24">
        <f>IF(26&lt;=DAY(DATE(YEAR(설정_코스수당!$K$2),MONTH(설정_코스수당!$K$2)+1,0)),DATE(YEAR(설정_코스수당!$K$2),MONTH(설정_코스수당!$K$2),26),"")</f>
        <v>46199</v>
      </c>
      <c r="B1327" s="23" t="s">
        <v>183</v>
      </c>
      <c r="C1327" s="29"/>
      <c r="D1327" s="29"/>
      <c r="E1327" s="29" t="str">
        <f t="shared" si="176"/>
        <v/>
      </c>
      <c r="F1327" s="29">
        <f>COUNTIFS(실시간콜입력!$B:$B,$A1327,실시간콜입력!$E:$E,"A",실시간콜입력!$G:$G,$B1327,실시간콜입력!$O:$O,"방문완료")+COUNTIFS(실시간콜입력!$B:$B,$A1327,실시간콜입력!$E:$E,"A",실시간콜입력!$H:$H,$B1327,실시간콜입력!$O:$O,"방문완료")</f>
        <v>0</v>
      </c>
      <c r="G1327" s="29">
        <f>COUNTIFS(실시간콜입력!$B:$B,$A1327,실시간콜입력!$E:$E,"B",실시간콜입력!$G:$G,$B1327,실시간콜입력!$O:$O,"방문완료")+COUNTIFS(실시간콜입력!$B:$B,$A1327,실시간콜입력!$E:$E,"B",실시간콜입력!$H:$H,$B1327,실시간콜입력!$O:$O,"방문완료")</f>
        <v>0</v>
      </c>
      <c r="H1327" s="29">
        <f>COUNTIFS(실시간콜입력!$B:$B,$A1327,실시간콜입력!$E:$E,"C",실시간콜입력!$G:$G,$B1327,실시간콜입력!$O:$O,"방문완료")+COUNTIFS(실시간콜입력!$B:$B,$A1327,실시간콜입력!$E:$E,"C",실시간콜입력!$H:$H,$B1327,실시간콜입력!$O:$O,"방문완료")</f>
        <v>0</v>
      </c>
      <c r="I1327" s="29">
        <f>COUNTIFS(실시간콜입력!$B:$B,$A1327,실시간콜입력!$E:$E,"D",실시간콜입력!$G:$G,$B1327,실시간콜입력!$O:$O,"방문완료")+COUNTIFS(실시간콜입력!$B:$B,$A1327,실시간콜입력!$E:$E,"D",실시간콜입력!$H:$H,$B1327,실시간콜입력!$O:$O,"방문완료")</f>
        <v>0</v>
      </c>
      <c r="J1327" s="29">
        <f>COUNTIFS(실시간콜입력!$B:$B,$A1327,실시간콜입력!$E:$E,"E",실시간콜입력!$G:$G,$B1327,실시간콜입력!$O:$O,"방문완료")+COUNTIFS(실시간콜입력!$B:$B,$A1327,실시간콜입력!$E:$E,"E",실시간콜입력!$H:$H,$B1327,실시간콜입력!$O:$O,"방문완료")</f>
        <v>0</v>
      </c>
      <c r="K1327" s="29">
        <f t="shared" si="177"/>
        <v>0</v>
      </c>
      <c r="L1327" s="27">
        <f>SUMIFS(실시간콜입력!$K:$K,실시간콜입력!$B:$B,$A1327,실시간콜입력!$G:$G,$B1327,실시간콜입력!$O:$O,"방문완료")+SUMIFS(실시간콜입력!$L:$L,실시간콜입력!$B:$B,$A1327,실시간콜입력!$H:$H,$B1327,실시간콜입력!$O:$O,"방문완료")</f>
        <v>0</v>
      </c>
      <c r="M1327" s="29" t="str">
        <f t="shared" si="178"/>
        <v/>
      </c>
      <c r="N1327" s="29"/>
    </row>
    <row r="1328" spans="1:14" ht="19.5" hidden="1" customHeight="1" outlineLevel="1">
      <c r="A1328" s="30">
        <f>IF(26&lt;=DAY(DATE(YEAR(설정_코스수당!$K$2),MONTH(설정_코스수당!$K$2)+1,0)),DATE(YEAR(설정_코스수당!$K$2),MONTH(설정_코스수당!$K$2),26),"")</f>
        <v>46199</v>
      </c>
      <c r="B1328" s="29" t="s">
        <v>184</v>
      </c>
      <c r="C1328" s="29"/>
      <c r="D1328" s="29"/>
      <c r="E1328" s="29" t="str">
        <f t="shared" si="176"/>
        <v/>
      </c>
      <c r="F1328" s="29">
        <f>COUNTIFS(실시간콜입력!$B:$B,$A1328,실시간콜입력!$E:$E,"A",실시간콜입력!$G:$G,$B1328,실시간콜입력!$O:$O,"방문완료")+COUNTIFS(실시간콜입력!$B:$B,$A1328,실시간콜입력!$E:$E,"A",실시간콜입력!$H:$H,$B1328,실시간콜입력!$O:$O,"방문완료")</f>
        <v>0</v>
      </c>
      <c r="G1328" s="29">
        <f>COUNTIFS(실시간콜입력!$B:$B,$A1328,실시간콜입력!$E:$E,"B",실시간콜입력!$G:$G,$B1328,실시간콜입력!$O:$O,"방문완료")+COUNTIFS(실시간콜입력!$B:$B,$A1328,실시간콜입력!$E:$E,"B",실시간콜입력!$H:$H,$B1328,실시간콜입력!$O:$O,"방문완료")</f>
        <v>0</v>
      </c>
      <c r="H1328" s="29">
        <f>COUNTIFS(실시간콜입력!$B:$B,$A1328,실시간콜입력!$E:$E,"C",실시간콜입력!$G:$G,$B1328,실시간콜입력!$O:$O,"방문완료")+COUNTIFS(실시간콜입력!$B:$B,$A1328,실시간콜입력!$E:$E,"C",실시간콜입력!$H:$H,$B1328,실시간콜입력!$O:$O,"방문완료")</f>
        <v>0</v>
      </c>
      <c r="I1328" s="29">
        <f>COUNTIFS(실시간콜입력!$B:$B,$A1328,실시간콜입력!$E:$E,"D",실시간콜입력!$G:$G,$B1328,실시간콜입력!$O:$O,"방문완료")+COUNTIFS(실시간콜입력!$B:$B,$A1328,실시간콜입력!$E:$E,"D",실시간콜입력!$H:$H,$B1328,실시간콜입력!$O:$O,"방문완료")</f>
        <v>0</v>
      </c>
      <c r="J1328" s="29">
        <f>COUNTIFS(실시간콜입력!$B:$B,$A1328,실시간콜입력!$E:$E,"E",실시간콜입력!$G:$G,$B1328,실시간콜입력!$O:$O,"방문완료")+COUNTIFS(실시간콜입력!$B:$B,$A1328,실시간콜입력!$E:$E,"E",실시간콜입력!$H:$H,$B1328,실시간콜입력!$O:$O,"방문완료")</f>
        <v>0</v>
      </c>
      <c r="K1328" s="29">
        <f t="shared" si="177"/>
        <v>0</v>
      </c>
      <c r="L1328" s="33">
        <f>SUMIFS(실시간콜입력!$K:$K,실시간콜입력!$B:$B,$A1328,실시간콜입력!$G:$G,$B1328,실시간콜입력!$O:$O,"방문완료")+SUMIFS(실시간콜입력!$L:$L,실시간콜입력!$B:$B,$A1328,실시간콜입력!$H:$H,$B1328,실시간콜입력!$O:$O,"방문완료")</f>
        <v>0</v>
      </c>
      <c r="M1328" s="29" t="str">
        <f t="shared" si="178"/>
        <v/>
      </c>
      <c r="N1328" s="29"/>
    </row>
    <row r="1329" spans="1:14" ht="19.5" hidden="1" customHeight="1" outlineLevel="1">
      <c r="A1329" s="24">
        <f>IF(26&lt;=DAY(DATE(YEAR(설정_코스수당!$K$2),MONTH(설정_코스수당!$K$2)+1,0)),DATE(YEAR(설정_코스수당!$K$2),MONTH(설정_코스수당!$K$2),26),"")</f>
        <v>46199</v>
      </c>
      <c r="B1329" s="23" t="s">
        <v>185</v>
      </c>
      <c r="C1329" s="29"/>
      <c r="D1329" s="29"/>
      <c r="E1329" s="29" t="str">
        <f t="shared" si="176"/>
        <v/>
      </c>
      <c r="F1329" s="29">
        <f>COUNTIFS(실시간콜입력!$B:$B,$A1329,실시간콜입력!$E:$E,"A",실시간콜입력!$G:$G,$B1329,실시간콜입력!$O:$O,"방문완료")+COUNTIFS(실시간콜입력!$B:$B,$A1329,실시간콜입력!$E:$E,"A",실시간콜입력!$H:$H,$B1329,실시간콜입력!$O:$O,"방문완료")</f>
        <v>0</v>
      </c>
      <c r="G1329" s="29">
        <f>COUNTIFS(실시간콜입력!$B:$B,$A1329,실시간콜입력!$E:$E,"B",실시간콜입력!$G:$G,$B1329,실시간콜입력!$O:$O,"방문완료")+COUNTIFS(실시간콜입력!$B:$B,$A1329,실시간콜입력!$E:$E,"B",실시간콜입력!$H:$H,$B1329,실시간콜입력!$O:$O,"방문완료")</f>
        <v>0</v>
      </c>
      <c r="H1329" s="29">
        <f>COUNTIFS(실시간콜입력!$B:$B,$A1329,실시간콜입력!$E:$E,"C",실시간콜입력!$G:$G,$B1329,실시간콜입력!$O:$O,"방문완료")+COUNTIFS(실시간콜입력!$B:$B,$A1329,실시간콜입력!$E:$E,"C",실시간콜입력!$H:$H,$B1329,실시간콜입력!$O:$O,"방문완료")</f>
        <v>0</v>
      </c>
      <c r="I1329" s="29">
        <f>COUNTIFS(실시간콜입력!$B:$B,$A1329,실시간콜입력!$E:$E,"D",실시간콜입력!$G:$G,$B1329,실시간콜입력!$O:$O,"방문완료")+COUNTIFS(실시간콜입력!$B:$B,$A1329,실시간콜입력!$E:$E,"D",실시간콜입력!$H:$H,$B1329,실시간콜입력!$O:$O,"방문완료")</f>
        <v>0</v>
      </c>
      <c r="J1329" s="29">
        <f>COUNTIFS(실시간콜입력!$B:$B,$A1329,실시간콜입력!$E:$E,"E",실시간콜입력!$G:$G,$B1329,실시간콜입력!$O:$O,"방문완료")+COUNTIFS(실시간콜입력!$B:$B,$A1329,실시간콜입력!$E:$E,"E",실시간콜입력!$H:$H,$B1329,실시간콜입력!$O:$O,"방문완료")</f>
        <v>0</v>
      </c>
      <c r="K1329" s="29">
        <f t="shared" si="177"/>
        <v>0</v>
      </c>
      <c r="L1329" s="27">
        <f>SUMIFS(실시간콜입력!$K:$K,실시간콜입력!$B:$B,$A1329,실시간콜입력!$G:$G,$B1329,실시간콜입력!$O:$O,"방문완료")+SUMIFS(실시간콜입력!$L:$L,실시간콜입력!$B:$B,$A1329,실시간콜입력!$H:$H,$B1329,실시간콜입력!$O:$O,"방문완료")</f>
        <v>0</v>
      </c>
      <c r="M1329" s="29" t="str">
        <f t="shared" si="178"/>
        <v/>
      </c>
      <c r="N1329" s="29"/>
    </row>
    <row r="1330" spans="1:14" ht="19.5" hidden="1" customHeight="1" outlineLevel="1">
      <c r="A1330" s="30">
        <f>IF(26&lt;=DAY(DATE(YEAR(설정_코스수당!$K$2),MONTH(설정_코스수당!$K$2)+1,0)),DATE(YEAR(설정_코스수당!$K$2),MONTH(설정_코스수당!$K$2),26),"")</f>
        <v>46199</v>
      </c>
      <c r="B1330" s="29" t="s">
        <v>186</v>
      </c>
      <c r="C1330" s="29"/>
      <c r="D1330" s="29"/>
      <c r="E1330" s="29" t="str">
        <f t="shared" si="176"/>
        <v/>
      </c>
      <c r="F1330" s="29">
        <f>COUNTIFS(실시간콜입력!$B:$B,$A1330,실시간콜입력!$E:$E,"A",실시간콜입력!$G:$G,$B1330,실시간콜입력!$O:$O,"방문완료")+COUNTIFS(실시간콜입력!$B:$B,$A1330,실시간콜입력!$E:$E,"A",실시간콜입력!$H:$H,$B1330,실시간콜입력!$O:$O,"방문완료")</f>
        <v>0</v>
      </c>
      <c r="G1330" s="29">
        <f>COUNTIFS(실시간콜입력!$B:$B,$A1330,실시간콜입력!$E:$E,"B",실시간콜입력!$G:$G,$B1330,실시간콜입력!$O:$O,"방문완료")+COUNTIFS(실시간콜입력!$B:$B,$A1330,실시간콜입력!$E:$E,"B",실시간콜입력!$H:$H,$B1330,실시간콜입력!$O:$O,"방문완료")</f>
        <v>0</v>
      </c>
      <c r="H1330" s="29">
        <f>COUNTIFS(실시간콜입력!$B:$B,$A1330,실시간콜입력!$E:$E,"C",실시간콜입력!$G:$G,$B1330,실시간콜입력!$O:$O,"방문완료")+COUNTIFS(실시간콜입력!$B:$B,$A1330,실시간콜입력!$E:$E,"C",실시간콜입력!$H:$H,$B1330,실시간콜입력!$O:$O,"방문완료")</f>
        <v>0</v>
      </c>
      <c r="I1330" s="29">
        <f>COUNTIFS(실시간콜입력!$B:$B,$A1330,실시간콜입력!$E:$E,"D",실시간콜입력!$G:$G,$B1330,실시간콜입력!$O:$O,"방문완료")+COUNTIFS(실시간콜입력!$B:$B,$A1330,실시간콜입력!$E:$E,"D",실시간콜입력!$H:$H,$B1330,실시간콜입력!$O:$O,"방문완료")</f>
        <v>0</v>
      </c>
      <c r="J1330" s="29">
        <f>COUNTIFS(실시간콜입력!$B:$B,$A1330,실시간콜입력!$E:$E,"E",실시간콜입력!$G:$G,$B1330,실시간콜입력!$O:$O,"방문완료")+COUNTIFS(실시간콜입력!$B:$B,$A1330,실시간콜입력!$E:$E,"E",실시간콜입력!$H:$H,$B1330,실시간콜입력!$O:$O,"방문완료")</f>
        <v>0</v>
      </c>
      <c r="K1330" s="29">
        <f t="shared" si="177"/>
        <v>0</v>
      </c>
      <c r="L1330" s="33">
        <f>SUMIFS(실시간콜입력!$K:$K,실시간콜입력!$B:$B,$A1330,실시간콜입력!$G:$G,$B1330,실시간콜입력!$O:$O,"방문완료")+SUMIFS(실시간콜입력!$L:$L,실시간콜입력!$B:$B,$A1330,실시간콜입력!$H:$H,$B1330,실시간콜입력!$O:$O,"방문완료")</f>
        <v>0</v>
      </c>
      <c r="M1330" s="29" t="str">
        <f t="shared" si="178"/>
        <v/>
      </c>
      <c r="N1330" s="29"/>
    </row>
    <row r="1331" spans="1:14" ht="19.5" hidden="1" customHeight="1" outlineLevel="1">
      <c r="A1331" s="24">
        <f>IF(26&lt;=DAY(DATE(YEAR(설정_코스수당!$K$2),MONTH(설정_코스수당!$K$2)+1,0)),DATE(YEAR(설정_코스수당!$K$2),MONTH(설정_코스수당!$K$2),26),"")</f>
        <v>46199</v>
      </c>
      <c r="B1331" s="23" t="s">
        <v>187</v>
      </c>
      <c r="C1331" s="29"/>
      <c r="D1331" s="29"/>
      <c r="E1331" s="29" t="str">
        <f t="shared" si="176"/>
        <v/>
      </c>
      <c r="F1331" s="29">
        <f>COUNTIFS(실시간콜입력!$B:$B,$A1331,실시간콜입력!$E:$E,"A",실시간콜입력!$G:$G,$B1331,실시간콜입력!$O:$O,"방문완료")+COUNTIFS(실시간콜입력!$B:$B,$A1331,실시간콜입력!$E:$E,"A",실시간콜입력!$H:$H,$B1331,실시간콜입력!$O:$O,"방문완료")</f>
        <v>0</v>
      </c>
      <c r="G1331" s="29">
        <f>COUNTIFS(실시간콜입력!$B:$B,$A1331,실시간콜입력!$E:$E,"B",실시간콜입력!$G:$G,$B1331,실시간콜입력!$O:$O,"방문완료")+COUNTIFS(실시간콜입력!$B:$B,$A1331,실시간콜입력!$E:$E,"B",실시간콜입력!$H:$H,$B1331,실시간콜입력!$O:$O,"방문완료")</f>
        <v>0</v>
      </c>
      <c r="H1331" s="29">
        <f>COUNTIFS(실시간콜입력!$B:$B,$A1331,실시간콜입력!$E:$E,"C",실시간콜입력!$G:$G,$B1331,실시간콜입력!$O:$O,"방문완료")+COUNTIFS(실시간콜입력!$B:$B,$A1331,실시간콜입력!$E:$E,"C",실시간콜입력!$H:$H,$B1331,실시간콜입력!$O:$O,"방문완료")</f>
        <v>0</v>
      </c>
      <c r="I1331" s="29">
        <f>COUNTIFS(실시간콜입력!$B:$B,$A1331,실시간콜입력!$E:$E,"D",실시간콜입력!$G:$G,$B1331,실시간콜입력!$O:$O,"방문완료")+COUNTIFS(실시간콜입력!$B:$B,$A1331,실시간콜입력!$E:$E,"D",실시간콜입력!$H:$H,$B1331,실시간콜입력!$O:$O,"방문완료")</f>
        <v>0</v>
      </c>
      <c r="J1331" s="29">
        <f>COUNTIFS(실시간콜입력!$B:$B,$A1331,실시간콜입력!$E:$E,"E",실시간콜입력!$G:$G,$B1331,실시간콜입력!$O:$O,"방문완료")+COUNTIFS(실시간콜입력!$B:$B,$A1331,실시간콜입력!$E:$E,"E",실시간콜입력!$H:$H,$B1331,실시간콜입력!$O:$O,"방문완료")</f>
        <v>0</v>
      </c>
      <c r="K1331" s="29">
        <f t="shared" si="177"/>
        <v>0</v>
      </c>
      <c r="L1331" s="27">
        <f>SUMIFS(실시간콜입력!$K:$K,실시간콜입력!$B:$B,$A1331,실시간콜입력!$G:$G,$B1331,실시간콜입력!$O:$O,"방문완료")+SUMIFS(실시간콜입력!$L:$L,실시간콜입력!$B:$B,$A1331,실시간콜입력!$H:$H,$B1331,실시간콜입력!$O:$O,"방문완료")</f>
        <v>0</v>
      </c>
      <c r="M1331" s="29" t="str">
        <f t="shared" si="178"/>
        <v/>
      </c>
      <c r="N1331" s="29"/>
    </row>
    <row r="1332" spans="1:14" ht="19.5" hidden="1" customHeight="1" outlineLevel="1">
      <c r="A1332" s="30">
        <f>IF(26&lt;=DAY(DATE(YEAR(설정_코스수당!$K$2),MONTH(설정_코스수당!$K$2)+1,0)),DATE(YEAR(설정_코스수당!$K$2),MONTH(설정_코스수당!$K$2),26),"")</f>
        <v>46199</v>
      </c>
      <c r="B1332" s="29" t="s">
        <v>188</v>
      </c>
      <c r="C1332" s="29"/>
      <c r="D1332" s="29"/>
      <c r="E1332" s="29" t="str">
        <f t="shared" si="176"/>
        <v/>
      </c>
      <c r="F1332" s="29">
        <f>COUNTIFS(실시간콜입력!$B:$B,$A1332,실시간콜입력!$E:$E,"A",실시간콜입력!$G:$G,$B1332,실시간콜입력!$O:$O,"방문완료")+COUNTIFS(실시간콜입력!$B:$B,$A1332,실시간콜입력!$E:$E,"A",실시간콜입력!$H:$H,$B1332,실시간콜입력!$O:$O,"방문완료")</f>
        <v>0</v>
      </c>
      <c r="G1332" s="29">
        <f>COUNTIFS(실시간콜입력!$B:$B,$A1332,실시간콜입력!$E:$E,"B",실시간콜입력!$G:$G,$B1332,실시간콜입력!$O:$O,"방문완료")+COUNTIFS(실시간콜입력!$B:$B,$A1332,실시간콜입력!$E:$E,"B",실시간콜입력!$H:$H,$B1332,실시간콜입력!$O:$O,"방문완료")</f>
        <v>0</v>
      </c>
      <c r="H1332" s="29">
        <f>COUNTIFS(실시간콜입력!$B:$B,$A1332,실시간콜입력!$E:$E,"C",실시간콜입력!$G:$G,$B1332,실시간콜입력!$O:$O,"방문완료")+COUNTIFS(실시간콜입력!$B:$B,$A1332,실시간콜입력!$E:$E,"C",실시간콜입력!$H:$H,$B1332,실시간콜입력!$O:$O,"방문완료")</f>
        <v>0</v>
      </c>
      <c r="I1332" s="29">
        <f>COUNTIFS(실시간콜입력!$B:$B,$A1332,실시간콜입력!$E:$E,"D",실시간콜입력!$G:$G,$B1332,실시간콜입력!$O:$O,"방문완료")+COUNTIFS(실시간콜입력!$B:$B,$A1332,실시간콜입력!$E:$E,"D",실시간콜입력!$H:$H,$B1332,실시간콜입력!$O:$O,"방문완료")</f>
        <v>0</v>
      </c>
      <c r="J1332" s="29">
        <f>COUNTIFS(실시간콜입력!$B:$B,$A1332,실시간콜입력!$E:$E,"E",실시간콜입력!$G:$G,$B1332,실시간콜입력!$O:$O,"방문완료")+COUNTIFS(실시간콜입력!$B:$B,$A1332,실시간콜입력!$E:$E,"E",실시간콜입력!$H:$H,$B1332,실시간콜입력!$O:$O,"방문완료")</f>
        <v>0</v>
      </c>
      <c r="K1332" s="29">
        <f t="shared" si="177"/>
        <v>0</v>
      </c>
      <c r="L1332" s="33">
        <f>SUMIFS(실시간콜입력!$K:$K,실시간콜입력!$B:$B,$A1332,실시간콜입력!$G:$G,$B1332,실시간콜입력!$O:$O,"방문완료")+SUMIFS(실시간콜입력!$L:$L,실시간콜입력!$B:$B,$A1332,실시간콜입력!$H:$H,$B1332,실시간콜입력!$O:$O,"방문완료")</f>
        <v>0</v>
      </c>
      <c r="M1332" s="29" t="str">
        <f t="shared" si="178"/>
        <v/>
      </c>
      <c r="N1332" s="29"/>
    </row>
    <row r="1333" spans="1:14" ht="19.5" hidden="1" customHeight="1" outlineLevel="1">
      <c r="A1333" s="24">
        <f>IF(26&lt;=DAY(DATE(YEAR(설정_코스수당!$K$2),MONTH(설정_코스수당!$K$2)+1,0)),DATE(YEAR(설정_코스수당!$K$2),MONTH(설정_코스수당!$K$2),26),"")</f>
        <v>46199</v>
      </c>
      <c r="B1333" s="23" t="s">
        <v>189</v>
      </c>
      <c r="C1333" s="29"/>
      <c r="D1333" s="29"/>
      <c r="E1333" s="29" t="str">
        <f t="shared" si="176"/>
        <v/>
      </c>
      <c r="F1333" s="29">
        <f>COUNTIFS(실시간콜입력!$B:$B,$A1333,실시간콜입력!$E:$E,"A",실시간콜입력!$G:$G,$B1333,실시간콜입력!$O:$O,"방문완료")+COUNTIFS(실시간콜입력!$B:$B,$A1333,실시간콜입력!$E:$E,"A",실시간콜입력!$H:$H,$B1333,실시간콜입력!$O:$O,"방문완료")</f>
        <v>0</v>
      </c>
      <c r="G1333" s="29">
        <f>COUNTIFS(실시간콜입력!$B:$B,$A1333,실시간콜입력!$E:$E,"B",실시간콜입력!$G:$G,$B1333,실시간콜입력!$O:$O,"방문완료")+COUNTIFS(실시간콜입력!$B:$B,$A1333,실시간콜입력!$E:$E,"B",실시간콜입력!$H:$H,$B1333,실시간콜입력!$O:$O,"방문완료")</f>
        <v>0</v>
      </c>
      <c r="H1333" s="29">
        <f>COUNTIFS(실시간콜입력!$B:$B,$A1333,실시간콜입력!$E:$E,"C",실시간콜입력!$G:$G,$B1333,실시간콜입력!$O:$O,"방문완료")+COUNTIFS(실시간콜입력!$B:$B,$A1333,실시간콜입력!$E:$E,"C",실시간콜입력!$H:$H,$B1333,실시간콜입력!$O:$O,"방문완료")</f>
        <v>0</v>
      </c>
      <c r="I1333" s="29">
        <f>COUNTIFS(실시간콜입력!$B:$B,$A1333,실시간콜입력!$E:$E,"D",실시간콜입력!$G:$G,$B1333,실시간콜입력!$O:$O,"방문완료")+COUNTIFS(실시간콜입력!$B:$B,$A1333,실시간콜입력!$E:$E,"D",실시간콜입력!$H:$H,$B1333,실시간콜입력!$O:$O,"방문완료")</f>
        <v>0</v>
      </c>
      <c r="J1333" s="29">
        <f>COUNTIFS(실시간콜입력!$B:$B,$A1333,실시간콜입력!$E:$E,"E",실시간콜입력!$G:$G,$B1333,실시간콜입력!$O:$O,"방문완료")+COUNTIFS(실시간콜입력!$B:$B,$A1333,실시간콜입력!$E:$E,"E",실시간콜입력!$H:$H,$B1333,실시간콜입력!$O:$O,"방문완료")</f>
        <v>0</v>
      </c>
      <c r="K1333" s="29">
        <f t="shared" si="177"/>
        <v>0</v>
      </c>
      <c r="L1333" s="27">
        <f>SUMIFS(실시간콜입력!$K:$K,실시간콜입력!$B:$B,$A1333,실시간콜입력!$G:$G,$B1333,실시간콜입력!$O:$O,"방문완료")+SUMIFS(실시간콜입력!$L:$L,실시간콜입력!$B:$B,$A1333,실시간콜입력!$H:$H,$B1333,실시간콜입력!$O:$O,"방문완료")</f>
        <v>0</v>
      </c>
      <c r="M1333" s="29" t="str">
        <f t="shared" si="178"/>
        <v/>
      </c>
      <c r="N1333" s="29"/>
    </row>
    <row r="1334" spans="1:14" ht="19.5" hidden="1" customHeight="1" outlineLevel="1">
      <c r="A1334" s="30">
        <f>IF(26&lt;=DAY(DATE(YEAR(설정_코스수당!$K$2),MONTH(설정_코스수당!$K$2)+1,0)),DATE(YEAR(설정_코스수당!$K$2),MONTH(설정_코스수당!$K$2),26),"")</f>
        <v>46199</v>
      </c>
      <c r="B1334" s="29" t="s">
        <v>190</v>
      </c>
      <c r="C1334" s="29"/>
      <c r="D1334" s="29"/>
      <c r="E1334" s="29" t="str">
        <f t="shared" si="176"/>
        <v/>
      </c>
      <c r="F1334" s="29">
        <f>COUNTIFS(실시간콜입력!$B:$B,$A1334,실시간콜입력!$E:$E,"A",실시간콜입력!$G:$G,$B1334,실시간콜입력!$O:$O,"방문완료")+COUNTIFS(실시간콜입력!$B:$B,$A1334,실시간콜입력!$E:$E,"A",실시간콜입력!$H:$H,$B1334,실시간콜입력!$O:$O,"방문완료")</f>
        <v>0</v>
      </c>
      <c r="G1334" s="29">
        <f>COUNTIFS(실시간콜입력!$B:$B,$A1334,실시간콜입력!$E:$E,"B",실시간콜입력!$G:$G,$B1334,실시간콜입력!$O:$O,"방문완료")+COUNTIFS(실시간콜입력!$B:$B,$A1334,실시간콜입력!$E:$E,"B",실시간콜입력!$H:$H,$B1334,실시간콜입력!$O:$O,"방문완료")</f>
        <v>0</v>
      </c>
      <c r="H1334" s="29">
        <f>COUNTIFS(실시간콜입력!$B:$B,$A1334,실시간콜입력!$E:$E,"C",실시간콜입력!$G:$G,$B1334,실시간콜입력!$O:$O,"방문완료")+COUNTIFS(실시간콜입력!$B:$B,$A1334,실시간콜입력!$E:$E,"C",실시간콜입력!$H:$H,$B1334,실시간콜입력!$O:$O,"방문완료")</f>
        <v>0</v>
      </c>
      <c r="I1334" s="29">
        <f>COUNTIFS(실시간콜입력!$B:$B,$A1334,실시간콜입력!$E:$E,"D",실시간콜입력!$G:$G,$B1334,실시간콜입력!$O:$O,"방문완료")+COUNTIFS(실시간콜입력!$B:$B,$A1334,실시간콜입력!$E:$E,"D",실시간콜입력!$H:$H,$B1334,실시간콜입력!$O:$O,"방문완료")</f>
        <v>0</v>
      </c>
      <c r="J1334" s="29">
        <f>COUNTIFS(실시간콜입력!$B:$B,$A1334,실시간콜입력!$E:$E,"E",실시간콜입력!$G:$G,$B1334,실시간콜입력!$O:$O,"방문완료")+COUNTIFS(실시간콜입력!$B:$B,$A1334,실시간콜입력!$E:$E,"E",실시간콜입력!$H:$H,$B1334,실시간콜입력!$O:$O,"방문완료")</f>
        <v>0</v>
      </c>
      <c r="K1334" s="29">
        <f t="shared" si="177"/>
        <v>0</v>
      </c>
      <c r="L1334" s="33">
        <f>SUMIFS(실시간콜입력!$K:$K,실시간콜입력!$B:$B,$A1334,실시간콜입력!$G:$G,$B1334,실시간콜입력!$O:$O,"방문완료")+SUMIFS(실시간콜입력!$L:$L,실시간콜입력!$B:$B,$A1334,실시간콜입력!$H:$H,$B1334,실시간콜입력!$O:$O,"방문완료")</f>
        <v>0</v>
      </c>
      <c r="M1334" s="29" t="str">
        <f t="shared" si="178"/>
        <v/>
      </c>
      <c r="N1334" s="29"/>
    </row>
    <row r="1335" spans="1:14" ht="19.5" hidden="1" customHeight="1" outlineLevel="1">
      <c r="A1335" s="24">
        <f>IF(26&lt;=DAY(DATE(YEAR(설정_코스수당!$K$2),MONTH(설정_코스수당!$K$2)+1,0)),DATE(YEAR(설정_코스수당!$K$2),MONTH(설정_코스수당!$K$2),26),"")</f>
        <v>46199</v>
      </c>
      <c r="B1335" s="23" t="s">
        <v>191</v>
      </c>
      <c r="C1335" s="29"/>
      <c r="D1335" s="29"/>
      <c r="E1335" s="29" t="str">
        <f t="shared" si="176"/>
        <v/>
      </c>
      <c r="F1335" s="29">
        <f>COUNTIFS(실시간콜입력!$B:$B,$A1335,실시간콜입력!$E:$E,"A",실시간콜입력!$G:$G,$B1335,실시간콜입력!$O:$O,"방문완료")+COUNTIFS(실시간콜입력!$B:$B,$A1335,실시간콜입력!$E:$E,"A",실시간콜입력!$H:$H,$B1335,실시간콜입력!$O:$O,"방문완료")</f>
        <v>0</v>
      </c>
      <c r="G1335" s="29">
        <f>COUNTIFS(실시간콜입력!$B:$B,$A1335,실시간콜입력!$E:$E,"B",실시간콜입력!$G:$G,$B1335,실시간콜입력!$O:$O,"방문완료")+COUNTIFS(실시간콜입력!$B:$B,$A1335,실시간콜입력!$E:$E,"B",실시간콜입력!$H:$H,$B1335,실시간콜입력!$O:$O,"방문완료")</f>
        <v>0</v>
      </c>
      <c r="H1335" s="29">
        <f>COUNTIFS(실시간콜입력!$B:$B,$A1335,실시간콜입력!$E:$E,"C",실시간콜입력!$G:$G,$B1335,실시간콜입력!$O:$O,"방문완료")+COUNTIFS(실시간콜입력!$B:$B,$A1335,실시간콜입력!$E:$E,"C",실시간콜입력!$H:$H,$B1335,실시간콜입력!$O:$O,"방문완료")</f>
        <v>0</v>
      </c>
      <c r="I1335" s="29">
        <f>COUNTIFS(실시간콜입력!$B:$B,$A1335,실시간콜입력!$E:$E,"D",실시간콜입력!$G:$G,$B1335,실시간콜입력!$O:$O,"방문완료")+COUNTIFS(실시간콜입력!$B:$B,$A1335,실시간콜입력!$E:$E,"D",실시간콜입력!$H:$H,$B1335,실시간콜입력!$O:$O,"방문완료")</f>
        <v>0</v>
      </c>
      <c r="J1335" s="29">
        <f>COUNTIFS(실시간콜입력!$B:$B,$A1335,실시간콜입력!$E:$E,"E",실시간콜입력!$G:$G,$B1335,실시간콜입력!$O:$O,"방문완료")+COUNTIFS(실시간콜입력!$B:$B,$A1335,실시간콜입력!$E:$E,"E",실시간콜입력!$H:$H,$B1335,실시간콜입력!$O:$O,"방문완료")</f>
        <v>0</v>
      </c>
      <c r="K1335" s="29">
        <f t="shared" si="177"/>
        <v>0</v>
      </c>
      <c r="L1335" s="27">
        <f>SUMIFS(실시간콜입력!$K:$K,실시간콜입력!$B:$B,$A1335,실시간콜입력!$G:$G,$B1335,실시간콜입력!$O:$O,"방문완료")+SUMIFS(실시간콜입력!$L:$L,실시간콜입력!$B:$B,$A1335,실시간콜입력!$H:$H,$B1335,실시간콜입력!$O:$O,"방문완료")</f>
        <v>0</v>
      </c>
      <c r="M1335" s="29" t="str">
        <f t="shared" si="178"/>
        <v/>
      </c>
      <c r="N1335" s="29"/>
    </row>
    <row r="1336" spans="1:14" ht="19.5" hidden="1" customHeight="1" outlineLevel="1">
      <c r="A1336" s="30">
        <f>IF(26&lt;=DAY(DATE(YEAR(설정_코스수당!$K$2),MONTH(설정_코스수당!$K$2)+1,0)),DATE(YEAR(설정_코스수당!$K$2),MONTH(설정_코스수당!$K$2),26),"")</f>
        <v>46199</v>
      </c>
      <c r="B1336" s="29" t="s">
        <v>192</v>
      </c>
      <c r="C1336" s="29"/>
      <c r="D1336" s="29"/>
      <c r="E1336" s="29" t="str">
        <f t="shared" si="176"/>
        <v/>
      </c>
      <c r="F1336" s="29">
        <f>COUNTIFS(실시간콜입력!$B:$B,$A1336,실시간콜입력!$E:$E,"A",실시간콜입력!$G:$G,$B1336,실시간콜입력!$O:$O,"방문완료")+COUNTIFS(실시간콜입력!$B:$B,$A1336,실시간콜입력!$E:$E,"A",실시간콜입력!$H:$H,$B1336,실시간콜입력!$O:$O,"방문완료")</f>
        <v>0</v>
      </c>
      <c r="G1336" s="29">
        <f>COUNTIFS(실시간콜입력!$B:$B,$A1336,실시간콜입력!$E:$E,"B",실시간콜입력!$G:$G,$B1336,실시간콜입력!$O:$O,"방문완료")+COUNTIFS(실시간콜입력!$B:$B,$A1336,실시간콜입력!$E:$E,"B",실시간콜입력!$H:$H,$B1336,실시간콜입력!$O:$O,"방문완료")</f>
        <v>0</v>
      </c>
      <c r="H1336" s="29">
        <f>COUNTIFS(실시간콜입력!$B:$B,$A1336,실시간콜입력!$E:$E,"C",실시간콜입력!$G:$G,$B1336,실시간콜입력!$O:$O,"방문완료")+COUNTIFS(실시간콜입력!$B:$B,$A1336,실시간콜입력!$E:$E,"C",실시간콜입력!$H:$H,$B1336,실시간콜입력!$O:$O,"방문완료")</f>
        <v>0</v>
      </c>
      <c r="I1336" s="29">
        <f>COUNTIFS(실시간콜입력!$B:$B,$A1336,실시간콜입력!$E:$E,"D",실시간콜입력!$G:$G,$B1336,실시간콜입력!$O:$O,"방문완료")+COUNTIFS(실시간콜입력!$B:$B,$A1336,실시간콜입력!$E:$E,"D",실시간콜입력!$H:$H,$B1336,실시간콜입력!$O:$O,"방문완료")</f>
        <v>0</v>
      </c>
      <c r="J1336" s="29">
        <f>COUNTIFS(실시간콜입력!$B:$B,$A1336,실시간콜입력!$E:$E,"E",실시간콜입력!$G:$G,$B1336,실시간콜입력!$O:$O,"방문완료")+COUNTIFS(실시간콜입력!$B:$B,$A1336,실시간콜입력!$E:$E,"E",실시간콜입력!$H:$H,$B1336,실시간콜입력!$O:$O,"방문완료")</f>
        <v>0</v>
      </c>
      <c r="K1336" s="29">
        <f t="shared" si="177"/>
        <v>0</v>
      </c>
      <c r="L1336" s="33">
        <f>SUMIFS(실시간콜입력!$K:$K,실시간콜입력!$B:$B,$A1336,실시간콜입력!$G:$G,$B1336,실시간콜입력!$O:$O,"방문완료")+SUMIFS(실시간콜입력!$L:$L,실시간콜입력!$B:$B,$A1336,실시간콜입력!$H:$H,$B1336,실시간콜입력!$O:$O,"방문완료")</f>
        <v>0</v>
      </c>
      <c r="M1336" s="29" t="str">
        <f t="shared" si="178"/>
        <v/>
      </c>
      <c r="N1336" s="29"/>
    </row>
    <row r="1337" spans="1:14" ht="19.5" hidden="1" customHeight="1" outlineLevel="1">
      <c r="A1337" s="24">
        <f>IF(26&lt;=DAY(DATE(YEAR(설정_코스수당!$K$2),MONTH(설정_코스수당!$K$2)+1,0)),DATE(YEAR(설정_코스수당!$K$2),MONTH(설정_코스수당!$K$2),26),"")</f>
        <v>46199</v>
      </c>
      <c r="B1337" s="23" t="s">
        <v>193</v>
      </c>
      <c r="C1337" s="29"/>
      <c r="D1337" s="29"/>
      <c r="E1337" s="29" t="str">
        <f t="shared" si="176"/>
        <v/>
      </c>
      <c r="F1337" s="29">
        <f>COUNTIFS(실시간콜입력!$B:$B,$A1337,실시간콜입력!$E:$E,"A",실시간콜입력!$G:$G,$B1337,실시간콜입력!$O:$O,"방문완료")+COUNTIFS(실시간콜입력!$B:$B,$A1337,실시간콜입력!$E:$E,"A",실시간콜입력!$H:$H,$B1337,실시간콜입력!$O:$O,"방문완료")</f>
        <v>0</v>
      </c>
      <c r="G1337" s="29">
        <f>COUNTIFS(실시간콜입력!$B:$B,$A1337,실시간콜입력!$E:$E,"B",실시간콜입력!$G:$G,$B1337,실시간콜입력!$O:$O,"방문완료")+COUNTIFS(실시간콜입력!$B:$B,$A1337,실시간콜입력!$E:$E,"B",실시간콜입력!$H:$H,$B1337,실시간콜입력!$O:$O,"방문완료")</f>
        <v>0</v>
      </c>
      <c r="H1337" s="29">
        <f>COUNTIFS(실시간콜입력!$B:$B,$A1337,실시간콜입력!$E:$E,"C",실시간콜입력!$G:$G,$B1337,실시간콜입력!$O:$O,"방문완료")+COUNTIFS(실시간콜입력!$B:$B,$A1337,실시간콜입력!$E:$E,"C",실시간콜입력!$H:$H,$B1337,실시간콜입력!$O:$O,"방문완료")</f>
        <v>0</v>
      </c>
      <c r="I1337" s="29">
        <f>COUNTIFS(실시간콜입력!$B:$B,$A1337,실시간콜입력!$E:$E,"D",실시간콜입력!$G:$G,$B1337,실시간콜입력!$O:$O,"방문완료")+COUNTIFS(실시간콜입력!$B:$B,$A1337,실시간콜입력!$E:$E,"D",실시간콜입력!$H:$H,$B1337,실시간콜입력!$O:$O,"방문완료")</f>
        <v>0</v>
      </c>
      <c r="J1337" s="29">
        <f>COUNTIFS(실시간콜입력!$B:$B,$A1337,실시간콜입력!$E:$E,"E",실시간콜입력!$G:$G,$B1337,실시간콜입력!$O:$O,"방문완료")+COUNTIFS(실시간콜입력!$B:$B,$A1337,실시간콜입력!$E:$E,"E",실시간콜입력!$H:$H,$B1337,실시간콜입력!$O:$O,"방문완료")</f>
        <v>0</v>
      </c>
      <c r="K1337" s="29">
        <f t="shared" si="177"/>
        <v>0</v>
      </c>
      <c r="L1337" s="27">
        <f>SUMIFS(실시간콜입력!$K:$K,실시간콜입력!$B:$B,$A1337,실시간콜입력!$G:$G,$B1337,실시간콜입력!$O:$O,"방문완료")+SUMIFS(실시간콜입력!$L:$L,실시간콜입력!$B:$B,$A1337,실시간콜입력!$H:$H,$B1337,실시간콜입력!$O:$O,"방문완료")</f>
        <v>0</v>
      </c>
      <c r="M1337" s="29" t="str">
        <f t="shared" si="178"/>
        <v/>
      </c>
      <c r="N1337" s="29"/>
    </row>
    <row r="1338" spans="1:14" ht="19.5" hidden="1" customHeight="1" outlineLevel="1">
      <c r="A1338" s="30">
        <f>IF(26&lt;=DAY(DATE(YEAR(설정_코스수당!$K$2),MONTH(설정_코스수당!$K$2)+1,0)),DATE(YEAR(설정_코스수당!$K$2),MONTH(설정_코스수당!$K$2),26),"")</f>
        <v>46199</v>
      </c>
      <c r="B1338" s="29" t="s">
        <v>194</v>
      </c>
      <c r="C1338" s="29"/>
      <c r="D1338" s="29"/>
      <c r="E1338" s="29" t="str">
        <f t="shared" si="176"/>
        <v/>
      </c>
      <c r="F1338" s="29">
        <f>COUNTIFS(실시간콜입력!$B:$B,$A1338,실시간콜입력!$E:$E,"A",실시간콜입력!$G:$G,$B1338,실시간콜입력!$O:$O,"방문완료")+COUNTIFS(실시간콜입력!$B:$B,$A1338,실시간콜입력!$E:$E,"A",실시간콜입력!$H:$H,$B1338,실시간콜입력!$O:$O,"방문완료")</f>
        <v>0</v>
      </c>
      <c r="G1338" s="29">
        <f>COUNTIFS(실시간콜입력!$B:$B,$A1338,실시간콜입력!$E:$E,"B",실시간콜입력!$G:$G,$B1338,실시간콜입력!$O:$O,"방문완료")+COUNTIFS(실시간콜입력!$B:$B,$A1338,실시간콜입력!$E:$E,"B",실시간콜입력!$H:$H,$B1338,실시간콜입력!$O:$O,"방문완료")</f>
        <v>0</v>
      </c>
      <c r="H1338" s="29">
        <f>COUNTIFS(실시간콜입력!$B:$B,$A1338,실시간콜입력!$E:$E,"C",실시간콜입력!$G:$G,$B1338,실시간콜입력!$O:$O,"방문완료")+COUNTIFS(실시간콜입력!$B:$B,$A1338,실시간콜입력!$E:$E,"C",실시간콜입력!$H:$H,$B1338,실시간콜입력!$O:$O,"방문완료")</f>
        <v>0</v>
      </c>
      <c r="I1338" s="29">
        <f>COUNTIFS(실시간콜입력!$B:$B,$A1338,실시간콜입력!$E:$E,"D",실시간콜입력!$G:$G,$B1338,실시간콜입력!$O:$O,"방문완료")+COUNTIFS(실시간콜입력!$B:$B,$A1338,실시간콜입력!$E:$E,"D",실시간콜입력!$H:$H,$B1338,실시간콜입력!$O:$O,"방문완료")</f>
        <v>0</v>
      </c>
      <c r="J1338" s="29">
        <f>COUNTIFS(실시간콜입력!$B:$B,$A1338,실시간콜입력!$E:$E,"E",실시간콜입력!$G:$G,$B1338,실시간콜입력!$O:$O,"방문완료")+COUNTIFS(실시간콜입력!$B:$B,$A1338,실시간콜입력!$E:$E,"E",실시간콜입력!$H:$H,$B1338,실시간콜입력!$O:$O,"방문완료")</f>
        <v>0</v>
      </c>
      <c r="K1338" s="29">
        <f t="shared" si="177"/>
        <v>0</v>
      </c>
      <c r="L1338" s="33">
        <f>SUMIFS(실시간콜입력!$K:$K,실시간콜입력!$B:$B,$A1338,실시간콜입력!$G:$G,$B1338,실시간콜입력!$O:$O,"방문완료")+SUMIFS(실시간콜입력!$L:$L,실시간콜입력!$B:$B,$A1338,실시간콜입력!$H:$H,$B1338,실시간콜입력!$O:$O,"방문완료")</f>
        <v>0</v>
      </c>
      <c r="M1338" s="29" t="str">
        <f t="shared" si="178"/>
        <v/>
      </c>
      <c r="N1338" s="29"/>
    </row>
    <row r="1339" spans="1:14" ht="19.5" hidden="1" customHeight="1" outlineLevel="1">
      <c r="A1339" s="24">
        <f>IF(26&lt;=DAY(DATE(YEAR(설정_코스수당!$K$2),MONTH(설정_코스수당!$K$2)+1,0)),DATE(YEAR(설정_코스수당!$K$2),MONTH(설정_코스수당!$K$2),26),"")</f>
        <v>46199</v>
      </c>
      <c r="B1339" s="23" t="s">
        <v>195</v>
      </c>
      <c r="C1339" s="29"/>
      <c r="D1339" s="29"/>
      <c r="E1339" s="29" t="str">
        <f t="shared" ref="E1339:E1370" si="179">IF(AND(C1339&lt;&gt;"",D1339&lt;&gt;""),IF(D1339&lt;C1339,D1339+1-C1339,D1339-C1339)*24,"")</f>
        <v/>
      </c>
      <c r="F1339" s="29">
        <f>COUNTIFS(실시간콜입력!$B:$B,$A1339,실시간콜입력!$E:$E,"A",실시간콜입력!$G:$G,$B1339,실시간콜입력!$O:$O,"방문완료")+COUNTIFS(실시간콜입력!$B:$B,$A1339,실시간콜입력!$E:$E,"A",실시간콜입력!$H:$H,$B1339,실시간콜입력!$O:$O,"방문완료")</f>
        <v>0</v>
      </c>
      <c r="G1339" s="29">
        <f>COUNTIFS(실시간콜입력!$B:$B,$A1339,실시간콜입력!$E:$E,"B",실시간콜입력!$G:$G,$B1339,실시간콜입력!$O:$O,"방문완료")+COUNTIFS(실시간콜입력!$B:$B,$A1339,실시간콜입력!$E:$E,"B",실시간콜입력!$H:$H,$B1339,실시간콜입력!$O:$O,"방문완료")</f>
        <v>0</v>
      </c>
      <c r="H1339" s="29">
        <f>COUNTIFS(실시간콜입력!$B:$B,$A1339,실시간콜입력!$E:$E,"C",실시간콜입력!$G:$G,$B1339,실시간콜입력!$O:$O,"방문완료")+COUNTIFS(실시간콜입력!$B:$B,$A1339,실시간콜입력!$E:$E,"C",실시간콜입력!$H:$H,$B1339,실시간콜입력!$O:$O,"방문완료")</f>
        <v>0</v>
      </c>
      <c r="I1339" s="29">
        <f>COUNTIFS(실시간콜입력!$B:$B,$A1339,실시간콜입력!$E:$E,"D",실시간콜입력!$G:$G,$B1339,실시간콜입력!$O:$O,"방문완료")+COUNTIFS(실시간콜입력!$B:$B,$A1339,실시간콜입력!$E:$E,"D",실시간콜입력!$H:$H,$B1339,실시간콜입력!$O:$O,"방문완료")</f>
        <v>0</v>
      </c>
      <c r="J1339" s="29">
        <f>COUNTIFS(실시간콜입력!$B:$B,$A1339,실시간콜입력!$E:$E,"E",실시간콜입력!$G:$G,$B1339,실시간콜입력!$O:$O,"방문완료")+COUNTIFS(실시간콜입력!$B:$B,$A1339,실시간콜입력!$E:$E,"E",실시간콜입력!$H:$H,$B1339,실시간콜입력!$O:$O,"방문완료")</f>
        <v>0</v>
      </c>
      <c r="K1339" s="29">
        <f t="shared" ref="K1339:K1370" si="180">SUM(F1339:J1339)</f>
        <v>0</v>
      </c>
      <c r="L1339" s="27">
        <f>SUMIFS(실시간콜입력!$K:$K,실시간콜입력!$B:$B,$A1339,실시간콜입력!$G:$G,$B1339,실시간콜입력!$O:$O,"방문완료")+SUMIFS(실시간콜입력!$L:$L,실시간콜입력!$B:$B,$A1339,실시간콜입력!$H:$H,$B1339,실시간콜입력!$O:$O,"방문완료")</f>
        <v>0</v>
      </c>
      <c r="M1339" s="29" t="str">
        <f t="shared" ref="M1339:M1356" si="181">IF(AND(ISNUMBER(E1339),E1339&gt;=8),"인정","")</f>
        <v/>
      </c>
      <c r="N1339" s="29"/>
    </row>
    <row r="1340" spans="1:14" ht="19.5" hidden="1" customHeight="1" outlineLevel="1">
      <c r="A1340" s="30">
        <f>IF(26&lt;=DAY(DATE(YEAR(설정_코스수당!$K$2),MONTH(설정_코스수당!$K$2)+1,0)),DATE(YEAR(설정_코스수당!$K$2),MONTH(설정_코스수당!$K$2),26),"")</f>
        <v>46199</v>
      </c>
      <c r="B1340" s="29" t="s">
        <v>196</v>
      </c>
      <c r="C1340" s="29"/>
      <c r="D1340" s="29"/>
      <c r="E1340" s="29" t="str">
        <f t="shared" si="179"/>
        <v/>
      </c>
      <c r="F1340" s="29">
        <f>COUNTIFS(실시간콜입력!$B:$B,$A1340,실시간콜입력!$E:$E,"A",실시간콜입력!$G:$G,$B1340,실시간콜입력!$O:$O,"방문완료")+COUNTIFS(실시간콜입력!$B:$B,$A1340,실시간콜입력!$E:$E,"A",실시간콜입력!$H:$H,$B1340,실시간콜입력!$O:$O,"방문완료")</f>
        <v>0</v>
      </c>
      <c r="G1340" s="29">
        <f>COUNTIFS(실시간콜입력!$B:$B,$A1340,실시간콜입력!$E:$E,"B",실시간콜입력!$G:$G,$B1340,실시간콜입력!$O:$O,"방문완료")+COUNTIFS(실시간콜입력!$B:$B,$A1340,실시간콜입력!$E:$E,"B",실시간콜입력!$H:$H,$B1340,실시간콜입력!$O:$O,"방문완료")</f>
        <v>0</v>
      </c>
      <c r="H1340" s="29">
        <f>COUNTIFS(실시간콜입력!$B:$B,$A1340,실시간콜입력!$E:$E,"C",실시간콜입력!$G:$G,$B1340,실시간콜입력!$O:$O,"방문완료")+COUNTIFS(실시간콜입력!$B:$B,$A1340,실시간콜입력!$E:$E,"C",실시간콜입력!$H:$H,$B1340,실시간콜입력!$O:$O,"방문완료")</f>
        <v>0</v>
      </c>
      <c r="I1340" s="29">
        <f>COUNTIFS(실시간콜입력!$B:$B,$A1340,실시간콜입력!$E:$E,"D",실시간콜입력!$G:$G,$B1340,실시간콜입력!$O:$O,"방문완료")+COUNTIFS(실시간콜입력!$B:$B,$A1340,실시간콜입력!$E:$E,"D",실시간콜입력!$H:$H,$B1340,실시간콜입력!$O:$O,"방문완료")</f>
        <v>0</v>
      </c>
      <c r="J1340" s="29">
        <f>COUNTIFS(실시간콜입력!$B:$B,$A1340,실시간콜입력!$E:$E,"E",실시간콜입력!$G:$G,$B1340,실시간콜입력!$O:$O,"방문완료")+COUNTIFS(실시간콜입력!$B:$B,$A1340,실시간콜입력!$E:$E,"E",실시간콜입력!$H:$H,$B1340,실시간콜입력!$O:$O,"방문완료")</f>
        <v>0</v>
      </c>
      <c r="K1340" s="29">
        <f t="shared" si="180"/>
        <v>0</v>
      </c>
      <c r="L1340" s="33">
        <f>SUMIFS(실시간콜입력!$K:$K,실시간콜입력!$B:$B,$A1340,실시간콜입력!$G:$G,$B1340,실시간콜입력!$O:$O,"방문완료")+SUMIFS(실시간콜입력!$L:$L,실시간콜입력!$B:$B,$A1340,실시간콜입력!$H:$H,$B1340,실시간콜입력!$O:$O,"방문완료")</f>
        <v>0</v>
      </c>
      <c r="M1340" s="29" t="str">
        <f t="shared" si="181"/>
        <v/>
      </c>
      <c r="N1340" s="29"/>
    </row>
    <row r="1341" spans="1:14" ht="19.5" hidden="1" customHeight="1" outlineLevel="1">
      <c r="A1341" s="24">
        <f>IF(26&lt;=DAY(DATE(YEAR(설정_코스수당!$K$2),MONTH(설정_코스수당!$K$2)+1,0)),DATE(YEAR(설정_코스수당!$K$2),MONTH(설정_코스수당!$K$2),26),"")</f>
        <v>46199</v>
      </c>
      <c r="B1341" s="23" t="s">
        <v>197</v>
      </c>
      <c r="C1341" s="29"/>
      <c r="D1341" s="29"/>
      <c r="E1341" s="29" t="str">
        <f t="shared" si="179"/>
        <v/>
      </c>
      <c r="F1341" s="29">
        <f>COUNTIFS(실시간콜입력!$B:$B,$A1341,실시간콜입력!$E:$E,"A",실시간콜입력!$G:$G,$B1341,실시간콜입력!$O:$O,"방문완료")+COUNTIFS(실시간콜입력!$B:$B,$A1341,실시간콜입력!$E:$E,"A",실시간콜입력!$H:$H,$B1341,실시간콜입력!$O:$O,"방문완료")</f>
        <v>0</v>
      </c>
      <c r="G1341" s="29">
        <f>COUNTIFS(실시간콜입력!$B:$B,$A1341,실시간콜입력!$E:$E,"B",실시간콜입력!$G:$G,$B1341,실시간콜입력!$O:$O,"방문완료")+COUNTIFS(실시간콜입력!$B:$B,$A1341,실시간콜입력!$E:$E,"B",실시간콜입력!$H:$H,$B1341,실시간콜입력!$O:$O,"방문완료")</f>
        <v>0</v>
      </c>
      <c r="H1341" s="29">
        <f>COUNTIFS(실시간콜입력!$B:$B,$A1341,실시간콜입력!$E:$E,"C",실시간콜입력!$G:$G,$B1341,실시간콜입력!$O:$O,"방문완료")+COUNTIFS(실시간콜입력!$B:$B,$A1341,실시간콜입력!$E:$E,"C",실시간콜입력!$H:$H,$B1341,실시간콜입력!$O:$O,"방문완료")</f>
        <v>0</v>
      </c>
      <c r="I1341" s="29">
        <f>COUNTIFS(실시간콜입력!$B:$B,$A1341,실시간콜입력!$E:$E,"D",실시간콜입력!$G:$G,$B1341,실시간콜입력!$O:$O,"방문완료")+COUNTIFS(실시간콜입력!$B:$B,$A1341,실시간콜입력!$E:$E,"D",실시간콜입력!$H:$H,$B1341,실시간콜입력!$O:$O,"방문완료")</f>
        <v>0</v>
      </c>
      <c r="J1341" s="29">
        <f>COUNTIFS(실시간콜입력!$B:$B,$A1341,실시간콜입력!$E:$E,"E",실시간콜입력!$G:$G,$B1341,실시간콜입력!$O:$O,"방문완료")+COUNTIFS(실시간콜입력!$B:$B,$A1341,실시간콜입력!$E:$E,"E",실시간콜입력!$H:$H,$B1341,실시간콜입력!$O:$O,"방문완료")</f>
        <v>0</v>
      </c>
      <c r="K1341" s="29">
        <f t="shared" si="180"/>
        <v>0</v>
      </c>
      <c r="L1341" s="27">
        <f>SUMIFS(실시간콜입력!$K:$K,실시간콜입력!$B:$B,$A1341,실시간콜입력!$G:$G,$B1341,실시간콜입력!$O:$O,"방문완료")+SUMIFS(실시간콜입력!$L:$L,실시간콜입력!$B:$B,$A1341,실시간콜입력!$H:$H,$B1341,실시간콜입력!$O:$O,"방문완료")</f>
        <v>0</v>
      </c>
      <c r="M1341" s="29" t="str">
        <f t="shared" si="181"/>
        <v/>
      </c>
      <c r="N1341" s="29"/>
    </row>
    <row r="1342" spans="1:14" ht="19.5" hidden="1" customHeight="1" outlineLevel="1">
      <c r="A1342" s="30">
        <f>IF(26&lt;=DAY(DATE(YEAR(설정_코스수당!$K$2),MONTH(설정_코스수당!$K$2)+1,0)),DATE(YEAR(설정_코스수당!$K$2),MONTH(설정_코스수당!$K$2),26),"")</f>
        <v>46199</v>
      </c>
      <c r="B1342" s="29" t="s">
        <v>198</v>
      </c>
      <c r="C1342" s="29"/>
      <c r="D1342" s="29"/>
      <c r="E1342" s="29" t="str">
        <f t="shared" si="179"/>
        <v/>
      </c>
      <c r="F1342" s="29">
        <f>COUNTIFS(실시간콜입력!$B:$B,$A1342,실시간콜입력!$E:$E,"A",실시간콜입력!$G:$G,$B1342,실시간콜입력!$O:$O,"방문완료")+COUNTIFS(실시간콜입력!$B:$B,$A1342,실시간콜입력!$E:$E,"A",실시간콜입력!$H:$H,$B1342,실시간콜입력!$O:$O,"방문완료")</f>
        <v>0</v>
      </c>
      <c r="G1342" s="29">
        <f>COUNTIFS(실시간콜입력!$B:$B,$A1342,실시간콜입력!$E:$E,"B",실시간콜입력!$G:$G,$B1342,실시간콜입력!$O:$O,"방문완료")+COUNTIFS(실시간콜입력!$B:$B,$A1342,실시간콜입력!$E:$E,"B",실시간콜입력!$H:$H,$B1342,실시간콜입력!$O:$O,"방문완료")</f>
        <v>0</v>
      </c>
      <c r="H1342" s="29">
        <f>COUNTIFS(실시간콜입력!$B:$B,$A1342,실시간콜입력!$E:$E,"C",실시간콜입력!$G:$G,$B1342,실시간콜입력!$O:$O,"방문완료")+COUNTIFS(실시간콜입력!$B:$B,$A1342,실시간콜입력!$E:$E,"C",실시간콜입력!$H:$H,$B1342,실시간콜입력!$O:$O,"방문완료")</f>
        <v>0</v>
      </c>
      <c r="I1342" s="29">
        <f>COUNTIFS(실시간콜입력!$B:$B,$A1342,실시간콜입력!$E:$E,"D",실시간콜입력!$G:$G,$B1342,실시간콜입력!$O:$O,"방문완료")+COUNTIFS(실시간콜입력!$B:$B,$A1342,실시간콜입력!$E:$E,"D",실시간콜입력!$H:$H,$B1342,실시간콜입력!$O:$O,"방문완료")</f>
        <v>0</v>
      </c>
      <c r="J1342" s="29">
        <f>COUNTIFS(실시간콜입력!$B:$B,$A1342,실시간콜입력!$E:$E,"E",실시간콜입력!$G:$G,$B1342,실시간콜입력!$O:$O,"방문완료")+COUNTIFS(실시간콜입력!$B:$B,$A1342,실시간콜입력!$E:$E,"E",실시간콜입력!$H:$H,$B1342,실시간콜입력!$O:$O,"방문완료")</f>
        <v>0</v>
      </c>
      <c r="K1342" s="29">
        <f t="shared" si="180"/>
        <v>0</v>
      </c>
      <c r="L1342" s="33">
        <f>SUMIFS(실시간콜입력!$K:$K,실시간콜입력!$B:$B,$A1342,실시간콜입력!$G:$G,$B1342,실시간콜입력!$O:$O,"방문완료")+SUMIFS(실시간콜입력!$L:$L,실시간콜입력!$B:$B,$A1342,실시간콜입력!$H:$H,$B1342,실시간콜입력!$O:$O,"방문완료")</f>
        <v>0</v>
      </c>
      <c r="M1342" s="29" t="str">
        <f t="shared" si="181"/>
        <v/>
      </c>
      <c r="N1342" s="29"/>
    </row>
    <row r="1343" spans="1:14" ht="19.5" hidden="1" customHeight="1" outlineLevel="1">
      <c r="A1343" s="24">
        <f>IF(26&lt;=DAY(DATE(YEAR(설정_코스수당!$K$2),MONTH(설정_코스수당!$K$2)+1,0)),DATE(YEAR(설정_코스수당!$K$2),MONTH(설정_코스수당!$K$2),26),"")</f>
        <v>46199</v>
      </c>
      <c r="B1343" s="23" t="s">
        <v>199</v>
      </c>
      <c r="C1343" s="29"/>
      <c r="D1343" s="29"/>
      <c r="E1343" s="29" t="str">
        <f t="shared" si="179"/>
        <v/>
      </c>
      <c r="F1343" s="29">
        <f>COUNTIFS(실시간콜입력!$B:$B,$A1343,실시간콜입력!$E:$E,"A",실시간콜입력!$G:$G,$B1343,실시간콜입력!$O:$O,"방문완료")+COUNTIFS(실시간콜입력!$B:$B,$A1343,실시간콜입력!$E:$E,"A",실시간콜입력!$H:$H,$B1343,실시간콜입력!$O:$O,"방문완료")</f>
        <v>0</v>
      </c>
      <c r="G1343" s="29">
        <f>COUNTIFS(실시간콜입력!$B:$B,$A1343,실시간콜입력!$E:$E,"B",실시간콜입력!$G:$G,$B1343,실시간콜입력!$O:$O,"방문완료")+COUNTIFS(실시간콜입력!$B:$B,$A1343,실시간콜입력!$E:$E,"B",실시간콜입력!$H:$H,$B1343,실시간콜입력!$O:$O,"방문완료")</f>
        <v>0</v>
      </c>
      <c r="H1343" s="29">
        <f>COUNTIFS(실시간콜입력!$B:$B,$A1343,실시간콜입력!$E:$E,"C",실시간콜입력!$G:$G,$B1343,실시간콜입력!$O:$O,"방문완료")+COUNTIFS(실시간콜입력!$B:$B,$A1343,실시간콜입력!$E:$E,"C",실시간콜입력!$H:$H,$B1343,실시간콜입력!$O:$O,"방문완료")</f>
        <v>0</v>
      </c>
      <c r="I1343" s="29">
        <f>COUNTIFS(실시간콜입력!$B:$B,$A1343,실시간콜입력!$E:$E,"D",실시간콜입력!$G:$G,$B1343,실시간콜입력!$O:$O,"방문완료")+COUNTIFS(실시간콜입력!$B:$B,$A1343,실시간콜입력!$E:$E,"D",실시간콜입력!$H:$H,$B1343,실시간콜입력!$O:$O,"방문완료")</f>
        <v>0</v>
      </c>
      <c r="J1343" s="29">
        <f>COUNTIFS(실시간콜입력!$B:$B,$A1343,실시간콜입력!$E:$E,"E",실시간콜입력!$G:$G,$B1343,실시간콜입력!$O:$O,"방문완료")+COUNTIFS(실시간콜입력!$B:$B,$A1343,실시간콜입력!$E:$E,"E",실시간콜입력!$H:$H,$B1343,실시간콜입력!$O:$O,"방문완료")</f>
        <v>0</v>
      </c>
      <c r="K1343" s="29">
        <f t="shared" si="180"/>
        <v>0</v>
      </c>
      <c r="L1343" s="27">
        <f>SUMIFS(실시간콜입력!$K:$K,실시간콜입력!$B:$B,$A1343,실시간콜입력!$G:$G,$B1343,실시간콜입력!$O:$O,"방문완료")+SUMIFS(실시간콜입력!$L:$L,실시간콜입력!$B:$B,$A1343,실시간콜입력!$H:$H,$B1343,실시간콜입력!$O:$O,"방문완료")</f>
        <v>0</v>
      </c>
      <c r="M1343" s="29" t="str">
        <f t="shared" si="181"/>
        <v/>
      </c>
      <c r="N1343" s="29"/>
    </row>
    <row r="1344" spans="1:14" ht="19.5" hidden="1" customHeight="1" outlineLevel="1">
      <c r="A1344" s="30">
        <f>IF(26&lt;=DAY(DATE(YEAR(설정_코스수당!$K$2),MONTH(설정_코스수당!$K$2)+1,0)),DATE(YEAR(설정_코스수당!$K$2),MONTH(설정_코스수당!$K$2),26),"")</f>
        <v>46199</v>
      </c>
      <c r="B1344" s="29" t="s">
        <v>200</v>
      </c>
      <c r="C1344" s="29"/>
      <c r="D1344" s="29"/>
      <c r="E1344" s="29" t="str">
        <f t="shared" si="179"/>
        <v/>
      </c>
      <c r="F1344" s="29">
        <f>COUNTIFS(실시간콜입력!$B:$B,$A1344,실시간콜입력!$E:$E,"A",실시간콜입력!$G:$G,$B1344,실시간콜입력!$O:$O,"방문완료")+COUNTIFS(실시간콜입력!$B:$B,$A1344,실시간콜입력!$E:$E,"A",실시간콜입력!$H:$H,$B1344,실시간콜입력!$O:$O,"방문완료")</f>
        <v>0</v>
      </c>
      <c r="G1344" s="29">
        <f>COUNTIFS(실시간콜입력!$B:$B,$A1344,실시간콜입력!$E:$E,"B",실시간콜입력!$G:$G,$B1344,실시간콜입력!$O:$O,"방문완료")+COUNTIFS(실시간콜입력!$B:$B,$A1344,실시간콜입력!$E:$E,"B",실시간콜입력!$H:$H,$B1344,실시간콜입력!$O:$O,"방문완료")</f>
        <v>0</v>
      </c>
      <c r="H1344" s="29">
        <f>COUNTIFS(실시간콜입력!$B:$B,$A1344,실시간콜입력!$E:$E,"C",실시간콜입력!$G:$G,$B1344,실시간콜입력!$O:$O,"방문완료")+COUNTIFS(실시간콜입력!$B:$B,$A1344,실시간콜입력!$E:$E,"C",실시간콜입력!$H:$H,$B1344,실시간콜입력!$O:$O,"방문완료")</f>
        <v>0</v>
      </c>
      <c r="I1344" s="29">
        <f>COUNTIFS(실시간콜입력!$B:$B,$A1344,실시간콜입력!$E:$E,"D",실시간콜입력!$G:$G,$B1344,실시간콜입력!$O:$O,"방문완료")+COUNTIFS(실시간콜입력!$B:$B,$A1344,실시간콜입력!$E:$E,"D",실시간콜입력!$H:$H,$B1344,실시간콜입력!$O:$O,"방문완료")</f>
        <v>0</v>
      </c>
      <c r="J1344" s="29">
        <f>COUNTIFS(실시간콜입력!$B:$B,$A1344,실시간콜입력!$E:$E,"E",실시간콜입력!$G:$G,$B1344,실시간콜입력!$O:$O,"방문완료")+COUNTIFS(실시간콜입력!$B:$B,$A1344,실시간콜입력!$E:$E,"E",실시간콜입력!$H:$H,$B1344,실시간콜입력!$O:$O,"방문완료")</f>
        <v>0</v>
      </c>
      <c r="K1344" s="29">
        <f t="shared" si="180"/>
        <v>0</v>
      </c>
      <c r="L1344" s="33">
        <f>SUMIFS(실시간콜입력!$K:$K,실시간콜입력!$B:$B,$A1344,실시간콜입력!$G:$G,$B1344,실시간콜입력!$O:$O,"방문완료")+SUMIFS(실시간콜입력!$L:$L,실시간콜입력!$B:$B,$A1344,실시간콜입력!$H:$H,$B1344,실시간콜입력!$O:$O,"방문완료")</f>
        <v>0</v>
      </c>
      <c r="M1344" s="29" t="str">
        <f t="shared" si="181"/>
        <v/>
      </c>
      <c r="N1344" s="29"/>
    </row>
    <row r="1345" spans="1:14" ht="19.5" hidden="1" customHeight="1" outlineLevel="1">
      <c r="A1345" s="24">
        <f>IF(26&lt;=DAY(DATE(YEAR(설정_코스수당!$K$2),MONTH(설정_코스수당!$K$2)+1,0)),DATE(YEAR(설정_코스수당!$K$2),MONTH(설정_코스수당!$K$2),26),"")</f>
        <v>46199</v>
      </c>
      <c r="B1345" s="23" t="s">
        <v>201</v>
      </c>
      <c r="C1345" s="29"/>
      <c r="D1345" s="29"/>
      <c r="E1345" s="29" t="str">
        <f t="shared" si="179"/>
        <v/>
      </c>
      <c r="F1345" s="29">
        <f>COUNTIFS(실시간콜입력!$B:$B,$A1345,실시간콜입력!$E:$E,"A",실시간콜입력!$G:$G,$B1345,실시간콜입력!$O:$O,"방문완료")+COUNTIFS(실시간콜입력!$B:$B,$A1345,실시간콜입력!$E:$E,"A",실시간콜입력!$H:$H,$B1345,실시간콜입력!$O:$O,"방문완료")</f>
        <v>0</v>
      </c>
      <c r="G1345" s="29">
        <f>COUNTIFS(실시간콜입력!$B:$B,$A1345,실시간콜입력!$E:$E,"B",실시간콜입력!$G:$G,$B1345,실시간콜입력!$O:$O,"방문완료")+COUNTIFS(실시간콜입력!$B:$B,$A1345,실시간콜입력!$E:$E,"B",실시간콜입력!$H:$H,$B1345,실시간콜입력!$O:$O,"방문완료")</f>
        <v>0</v>
      </c>
      <c r="H1345" s="29">
        <f>COUNTIFS(실시간콜입력!$B:$B,$A1345,실시간콜입력!$E:$E,"C",실시간콜입력!$G:$G,$B1345,실시간콜입력!$O:$O,"방문완료")+COUNTIFS(실시간콜입력!$B:$B,$A1345,실시간콜입력!$E:$E,"C",실시간콜입력!$H:$H,$B1345,실시간콜입력!$O:$O,"방문완료")</f>
        <v>0</v>
      </c>
      <c r="I1345" s="29">
        <f>COUNTIFS(실시간콜입력!$B:$B,$A1345,실시간콜입력!$E:$E,"D",실시간콜입력!$G:$G,$B1345,실시간콜입력!$O:$O,"방문완료")+COUNTIFS(실시간콜입력!$B:$B,$A1345,실시간콜입력!$E:$E,"D",실시간콜입력!$H:$H,$B1345,실시간콜입력!$O:$O,"방문완료")</f>
        <v>0</v>
      </c>
      <c r="J1345" s="29">
        <f>COUNTIFS(실시간콜입력!$B:$B,$A1345,실시간콜입력!$E:$E,"E",실시간콜입력!$G:$G,$B1345,실시간콜입력!$O:$O,"방문완료")+COUNTIFS(실시간콜입력!$B:$B,$A1345,실시간콜입력!$E:$E,"E",실시간콜입력!$H:$H,$B1345,실시간콜입력!$O:$O,"방문완료")</f>
        <v>0</v>
      </c>
      <c r="K1345" s="29">
        <f t="shared" si="180"/>
        <v>0</v>
      </c>
      <c r="L1345" s="27">
        <f>SUMIFS(실시간콜입력!$K:$K,실시간콜입력!$B:$B,$A1345,실시간콜입력!$G:$G,$B1345,실시간콜입력!$O:$O,"방문완료")+SUMIFS(실시간콜입력!$L:$L,실시간콜입력!$B:$B,$A1345,실시간콜입력!$H:$H,$B1345,실시간콜입력!$O:$O,"방문완료")</f>
        <v>0</v>
      </c>
      <c r="M1345" s="29" t="str">
        <f t="shared" si="181"/>
        <v/>
      </c>
      <c r="N1345" s="29"/>
    </row>
    <row r="1346" spans="1:14" ht="19.5" hidden="1" customHeight="1" outlineLevel="1">
      <c r="A1346" s="30">
        <f>IF(26&lt;=DAY(DATE(YEAR(설정_코스수당!$K$2),MONTH(설정_코스수당!$K$2)+1,0)),DATE(YEAR(설정_코스수당!$K$2),MONTH(설정_코스수당!$K$2),26),"")</f>
        <v>46199</v>
      </c>
      <c r="B1346" s="29" t="s">
        <v>202</v>
      </c>
      <c r="C1346" s="29"/>
      <c r="D1346" s="29"/>
      <c r="E1346" s="29" t="str">
        <f t="shared" si="179"/>
        <v/>
      </c>
      <c r="F1346" s="29">
        <f>COUNTIFS(실시간콜입력!$B:$B,$A1346,실시간콜입력!$E:$E,"A",실시간콜입력!$G:$G,$B1346,실시간콜입력!$O:$O,"방문완료")+COUNTIFS(실시간콜입력!$B:$B,$A1346,실시간콜입력!$E:$E,"A",실시간콜입력!$H:$H,$B1346,실시간콜입력!$O:$O,"방문완료")</f>
        <v>0</v>
      </c>
      <c r="G1346" s="29">
        <f>COUNTIFS(실시간콜입력!$B:$B,$A1346,실시간콜입력!$E:$E,"B",실시간콜입력!$G:$G,$B1346,실시간콜입력!$O:$O,"방문완료")+COUNTIFS(실시간콜입력!$B:$B,$A1346,실시간콜입력!$E:$E,"B",실시간콜입력!$H:$H,$B1346,실시간콜입력!$O:$O,"방문완료")</f>
        <v>0</v>
      </c>
      <c r="H1346" s="29">
        <f>COUNTIFS(실시간콜입력!$B:$B,$A1346,실시간콜입력!$E:$E,"C",실시간콜입력!$G:$G,$B1346,실시간콜입력!$O:$O,"방문완료")+COUNTIFS(실시간콜입력!$B:$B,$A1346,실시간콜입력!$E:$E,"C",실시간콜입력!$H:$H,$B1346,실시간콜입력!$O:$O,"방문완료")</f>
        <v>0</v>
      </c>
      <c r="I1346" s="29">
        <f>COUNTIFS(실시간콜입력!$B:$B,$A1346,실시간콜입력!$E:$E,"D",실시간콜입력!$G:$G,$B1346,실시간콜입력!$O:$O,"방문완료")+COUNTIFS(실시간콜입력!$B:$B,$A1346,실시간콜입력!$E:$E,"D",실시간콜입력!$H:$H,$B1346,실시간콜입력!$O:$O,"방문완료")</f>
        <v>0</v>
      </c>
      <c r="J1346" s="29">
        <f>COUNTIFS(실시간콜입력!$B:$B,$A1346,실시간콜입력!$E:$E,"E",실시간콜입력!$G:$G,$B1346,실시간콜입력!$O:$O,"방문완료")+COUNTIFS(실시간콜입력!$B:$B,$A1346,실시간콜입력!$E:$E,"E",실시간콜입력!$H:$H,$B1346,실시간콜입력!$O:$O,"방문완료")</f>
        <v>0</v>
      </c>
      <c r="K1346" s="29">
        <f t="shared" si="180"/>
        <v>0</v>
      </c>
      <c r="L1346" s="33">
        <f>SUMIFS(실시간콜입력!$K:$K,실시간콜입력!$B:$B,$A1346,실시간콜입력!$G:$G,$B1346,실시간콜입력!$O:$O,"방문완료")+SUMIFS(실시간콜입력!$L:$L,실시간콜입력!$B:$B,$A1346,실시간콜입력!$H:$H,$B1346,실시간콜입력!$O:$O,"방문완료")</f>
        <v>0</v>
      </c>
      <c r="M1346" s="29" t="str">
        <f t="shared" si="181"/>
        <v/>
      </c>
      <c r="N1346" s="29"/>
    </row>
    <row r="1347" spans="1:14" ht="19.5" hidden="1" customHeight="1" outlineLevel="1">
      <c r="A1347" s="24">
        <f>IF(26&lt;=DAY(DATE(YEAR(설정_코스수당!$K$2),MONTH(설정_코스수당!$K$2)+1,0)),DATE(YEAR(설정_코스수당!$K$2),MONTH(설정_코스수당!$K$2),26),"")</f>
        <v>46199</v>
      </c>
      <c r="B1347" s="23" t="s">
        <v>203</v>
      </c>
      <c r="C1347" s="29"/>
      <c r="D1347" s="29"/>
      <c r="E1347" s="29" t="str">
        <f t="shared" si="179"/>
        <v/>
      </c>
      <c r="F1347" s="29">
        <f>COUNTIFS(실시간콜입력!$B:$B,$A1347,실시간콜입력!$E:$E,"A",실시간콜입력!$G:$G,$B1347,실시간콜입력!$O:$O,"방문완료")+COUNTIFS(실시간콜입력!$B:$B,$A1347,실시간콜입력!$E:$E,"A",실시간콜입력!$H:$H,$B1347,실시간콜입력!$O:$O,"방문완료")</f>
        <v>0</v>
      </c>
      <c r="G1347" s="29">
        <f>COUNTIFS(실시간콜입력!$B:$B,$A1347,실시간콜입력!$E:$E,"B",실시간콜입력!$G:$G,$B1347,실시간콜입력!$O:$O,"방문완료")+COUNTIFS(실시간콜입력!$B:$B,$A1347,실시간콜입력!$E:$E,"B",실시간콜입력!$H:$H,$B1347,실시간콜입력!$O:$O,"방문완료")</f>
        <v>0</v>
      </c>
      <c r="H1347" s="29">
        <f>COUNTIFS(실시간콜입력!$B:$B,$A1347,실시간콜입력!$E:$E,"C",실시간콜입력!$G:$G,$B1347,실시간콜입력!$O:$O,"방문완료")+COUNTIFS(실시간콜입력!$B:$B,$A1347,실시간콜입력!$E:$E,"C",실시간콜입력!$H:$H,$B1347,실시간콜입력!$O:$O,"방문완료")</f>
        <v>0</v>
      </c>
      <c r="I1347" s="29">
        <f>COUNTIFS(실시간콜입력!$B:$B,$A1347,실시간콜입력!$E:$E,"D",실시간콜입력!$G:$G,$B1347,실시간콜입력!$O:$O,"방문완료")+COUNTIFS(실시간콜입력!$B:$B,$A1347,실시간콜입력!$E:$E,"D",실시간콜입력!$H:$H,$B1347,실시간콜입력!$O:$O,"방문완료")</f>
        <v>0</v>
      </c>
      <c r="J1347" s="29">
        <f>COUNTIFS(실시간콜입력!$B:$B,$A1347,실시간콜입력!$E:$E,"E",실시간콜입력!$G:$G,$B1347,실시간콜입력!$O:$O,"방문완료")+COUNTIFS(실시간콜입력!$B:$B,$A1347,실시간콜입력!$E:$E,"E",실시간콜입력!$H:$H,$B1347,실시간콜입력!$O:$O,"방문완료")</f>
        <v>0</v>
      </c>
      <c r="K1347" s="29">
        <f t="shared" si="180"/>
        <v>0</v>
      </c>
      <c r="L1347" s="27">
        <f>SUMIFS(실시간콜입력!$K:$K,실시간콜입력!$B:$B,$A1347,실시간콜입력!$G:$G,$B1347,실시간콜입력!$O:$O,"방문완료")+SUMIFS(실시간콜입력!$L:$L,실시간콜입력!$B:$B,$A1347,실시간콜입력!$H:$H,$B1347,실시간콜입력!$O:$O,"방문완료")</f>
        <v>0</v>
      </c>
      <c r="M1347" s="29" t="str">
        <f t="shared" si="181"/>
        <v/>
      </c>
      <c r="N1347" s="29"/>
    </row>
    <row r="1348" spans="1:14" ht="19.5" hidden="1" customHeight="1" outlineLevel="1">
      <c r="A1348" s="30">
        <f>IF(26&lt;=DAY(DATE(YEAR(설정_코스수당!$K$2),MONTH(설정_코스수당!$K$2)+1,0)),DATE(YEAR(설정_코스수당!$K$2),MONTH(설정_코스수당!$K$2),26),"")</f>
        <v>46199</v>
      </c>
      <c r="B1348" s="29" t="s">
        <v>204</v>
      </c>
      <c r="C1348" s="29"/>
      <c r="D1348" s="29"/>
      <c r="E1348" s="29" t="str">
        <f t="shared" si="179"/>
        <v/>
      </c>
      <c r="F1348" s="29">
        <f>COUNTIFS(실시간콜입력!$B:$B,$A1348,실시간콜입력!$E:$E,"A",실시간콜입력!$G:$G,$B1348,실시간콜입력!$O:$O,"방문완료")+COUNTIFS(실시간콜입력!$B:$B,$A1348,실시간콜입력!$E:$E,"A",실시간콜입력!$H:$H,$B1348,실시간콜입력!$O:$O,"방문완료")</f>
        <v>0</v>
      </c>
      <c r="G1348" s="29">
        <f>COUNTIFS(실시간콜입력!$B:$B,$A1348,실시간콜입력!$E:$E,"B",실시간콜입력!$G:$G,$B1348,실시간콜입력!$O:$O,"방문완료")+COUNTIFS(실시간콜입력!$B:$B,$A1348,실시간콜입력!$E:$E,"B",실시간콜입력!$H:$H,$B1348,실시간콜입력!$O:$O,"방문완료")</f>
        <v>0</v>
      </c>
      <c r="H1348" s="29">
        <f>COUNTIFS(실시간콜입력!$B:$B,$A1348,실시간콜입력!$E:$E,"C",실시간콜입력!$G:$G,$B1348,실시간콜입력!$O:$O,"방문완료")+COUNTIFS(실시간콜입력!$B:$B,$A1348,실시간콜입력!$E:$E,"C",실시간콜입력!$H:$H,$B1348,실시간콜입력!$O:$O,"방문완료")</f>
        <v>0</v>
      </c>
      <c r="I1348" s="29">
        <f>COUNTIFS(실시간콜입력!$B:$B,$A1348,실시간콜입력!$E:$E,"D",실시간콜입력!$G:$G,$B1348,실시간콜입력!$O:$O,"방문완료")+COUNTIFS(실시간콜입력!$B:$B,$A1348,실시간콜입력!$E:$E,"D",실시간콜입력!$H:$H,$B1348,실시간콜입력!$O:$O,"방문완료")</f>
        <v>0</v>
      </c>
      <c r="J1348" s="29">
        <f>COUNTIFS(실시간콜입력!$B:$B,$A1348,실시간콜입력!$E:$E,"E",실시간콜입력!$G:$G,$B1348,실시간콜입력!$O:$O,"방문완료")+COUNTIFS(실시간콜입력!$B:$B,$A1348,실시간콜입력!$E:$E,"E",실시간콜입력!$H:$H,$B1348,실시간콜입력!$O:$O,"방문완료")</f>
        <v>0</v>
      </c>
      <c r="K1348" s="29">
        <f t="shared" si="180"/>
        <v>0</v>
      </c>
      <c r="L1348" s="33">
        <f>SUMIFS(실시간콜입력!$K:$K,실시간콜입력!$B:$B,$A1348,실시간콜입력!$G:$G,$B1348,실시간콜입력!$O:$O,"방문완료")+SUMIFS(실시간콜입력!$L:$L,실시간콜입력!$B:$B,$A1348,실시간콜입력!$H:$H,$B1348,실시간콜입력!$O:$O,"방문완료")</f>
        <v>0</v>
      </c>
      <c r="M1348" s="29" t="str">
        <f t="shared" si="181"/>
        <v/>
      </c>
      <c r="N1348" s="29"/>
    </row>
    <row r="1349" spans="1:14" ht="19.5" hidden="1" customHeight="1" outlineLevel="1">
      <c r="A1349" s="24">
        <f>IF(26&lt;=DAY(DATE(YEAR(설정_코스수당!$K$2),MONTH(설정_코스수당!$K$2)+1,0)),DATE(YEAR(설정_코스수당!$K$2),MONTH(설정_코스수당!$K$2),26),"")</f>
        <v>46199</v>
      </c>
      <c r="B1349" s="23" t="s">
        <v>205</v>
      </c>
      <c r="C1349" s="29"/>
      <c r="D1349" s="29"/>
      <c r="E1349" s="29" t="str">
        <f t="shared" si="179"/>
        <v/>
      </c>
      <c r="F1349" s="29">
        <f>COUNTIFS(실시간콜입력!$B:$B,$A1349,실시간콜입력!$E:$E,"A",실시간콜입력!$G:$G,$B1349,실시간콜입력!$O:$O,"방문완료")+COUNTIFS(실시간콜입력!$B:$B,$A1349,실시간콜입력!$E:$E,"A",실시간콜입력!$H:$H,$B1349,실시간콜입력!$O:$O,"방문완료")</f>
        <v>0</v>
      </c>
      <c r="G1349" s="29">
        <f>COUNTIFS(실시간콜입력!$B:$B,$A1349,실시간콜입력!$E:$E,"B",실시간콜입력!$G:$G,$B1349,실시간콜입력!$O:$O,"방문완료")+COUNTIFS(실시간콜입력!$B:$B,$A1349,실시간콜입력!$E:$E,"B",실시간콜입력!$H:$H,$B1349,실시간콜입력!$O:$O,"방문완료")</f>
        <v>0</v>
      </c>
      <c r="H1349" s="29">
        <f>COUNTIFS(실시간콜입력!$B:$B,$A1349,실시간콜입력!$E:$E,"C",실시간콜입력!$G:$G,$B1349,실시간콜입력!$O:$O,"방문완료")+COUNTIFS(실시간콜입력!$B:$B,$A1349,실시간콜입력!$E:$E,"C",실시간콜입력!$H:$H,$B1349,실시간콜입력!$O:$O,"방문완료")</f>
        <v>0</v>
      </c>
      <c r="I1349" s="29">
        <f>COUNTIFS(실시간콜입력!$B:$B,$A1349,실시간콜입력!$E:$E,"D",실시간콜입력!$G:$G,$B1349,실시간콜입력!$O:$O,"방문완료")+COUNTIFS(실시간콜입력!$B:$B,$A1349,실시간콜입력!$E:$E,"D",실시간콜입력!$H:$H,$B1349,실시간콜입력!$O:$O,"방문완료")</f>
        <v>0</v>
      </c>
      <c r="J1349" s="29">
        <f>COUNTIFS(실시간콜입력!$B:$B,$A1349,실시간콜입력!$E:$E,"E",실시간콜입력!$G:$G,$B1349,실시간콜입력!$O:$O,"방문완료")+COUNTIFS(실시간콜입력!$B:$B,$A1349,실시간콜입력!$E:$E,"E",실시간콜입력!$H:$H,$B1349,실시간콜입력!$O:$O,"방문완료")</f>
        <v>0</v>
      </c>
      <c r="K1349" s="29">
        <f t="shared" si="180"/>
        <v>0</v>
      </c>
      <c r="L1349" s="27">
        <f>SUMIFS(실시간콜입력!$K:$K,실시간콜입력!$B:$B,$A1349,실시간콜입력!$G:$G,$B1349,실시간콜입력!$O:$O,"방문완료")+SUMIFS(실시간콜입력!$L:$L,실시간콜입력!$B:$B,$A1349,실시간콜입력!$H:$H,$B1349,실시간콜입력!$O:$O,"방문완료")</f>
        <v>0</v>
      </c>
      <c r="M1349" s="29" t="str">
        <f t="shared" si="181"/>
        <v/>
      </c>
      <c r="N1349" s="29"/>
    </row>
    <row r="1350" spans="1:14" ht="19.5" hidden="1" customHeight="1" outlineLevel="1">
      <c r="A1350" s="30">
        <f>IF(26&lt;=DAY(DATE(YEAR(설정_코스수당!$K$2),MONTH(설정_코스수당!$K$2)+1,0)),DATE(YEAR(설정_코스수당!$K$2),MONTH(설정_코스수당!$K$2),26),"")</f>
        <v>46199</v>
      </c>
      <c r="B1350" s="29" t="s">
        <v>206</v>
      </c>
      <c r="C1350" s="29"/>
      <c r="D1350" s="29"/>
      <c r="E1350" s="29" t="str">
        <f t="shared" si="179"/>
        <v/>
      </c>
      <c r="F1350" s="29">
        <f>COUNTIFS(실시간콜입력!$B:$B,$A1350,실시간콜입력!$E:$E,"A",실시간콜입력!$G:$G,$B1350,실시간콜입력!$O:$O,"방문완료")+COUNTIFS(실시간콜입력!$B:$B,$A1350,실시간콜입력!$E:$E,"A",실시간콜입력!$H:$H,$B1350,실시간콜입력!$O:$O,"방문완료")</f>
        <v>0</v>
      </c>
      <c r="G1350" s="29">
        <f>COUNTIFS(실시간콜입력!$B:$B,$A1350,실시간콜입력!$E:$E,"B",실시간콜입력!$G:$G,$B1350,실시간콜입력!$O:$O,"방문완료")+COUNTIFS(실시간콜입력!$B:$B,$A1350,실시간콜입력!$E:$E,"B",실시간콜입력!$H:$H,$B1350,실시간콜입력!$O:$O,"방문완료")</f>
        <v>0</v>
      </c>
      <c r="H1350" s="29">
        <f>COUNTIFS(실시간콜입력!$B:$B,$A1350,실시간콜입력!$E:$E,"C",실시간콜입력!$G:$G,$B1350,실시간콜입력!$O:$O,"방문완료")+COUNTIFS(실시간콜입력!$B:$B,$A1350,실시간콜입력!$E:$E,"C",실시간콜입력!$H:$H,$B1350,실시간콜입력!$O:$O,"방문완료")</f>
        <v>0</v>
      </c>
      <c r="I1350" s="29">
        <f>COUNTIFS(실시간콜입력!$B:$B,$A1350,실시간콜입력!$E:$E,"D",실시간콜입력!$G:$G,$B1350,실시간콜입력!$O:$O,"방문완료")+COUNTIFS(실시간콜입력!$B:$B,$A1350,실시간콜입력!$E:$E,"D",실시간콜입력!$H:$H,$B1350,실시간콜입력!$O:$O,"방문완료")</f>
        <v>0</v>
      </c>
      <c r="J1350" s="29">
        <f>COUNTIFS(실시간콜입력!$B:$B,$A1350,실시간콜입력!$E:$E,"E",실시간콜입력!$G:$G,$B1350,실시간콜입력!$O:$O,"방문완료")+COUNTIFS(실시간콜입력!$B:$B,$A1350,실시간콜입력!$E:$E,"E",실시간콜입력!$H:$H,$B1350,실시간콜입력!$O:$O,"방문완료")</f>
        <v>0</v>
      </c>
      <c r="K1350" s="29">
        <f t="shared" si="180"/>
        <v>0</v>
      </c>
      <c r="L1350" s="33">
        <f>SUMIFS(실시간콜입력!$K:$K,실시간콜입력!$B:$B,$A1350,실시간콜입력!$G:$G,$B1350,실시간콜입력!$O:$O,"방문완료")+SUMIFS(실시간콜입력!$L:$L,실시간콜입력!$B:$B,$A1350,실시간콜입력!$H:$H,$B1350,실시간콜입력!$O:$O,"방문완료")</f>
        <v>0</v>
      </c>
      <c r="M1350" s="29" t="str">
        <f t="shared" si="181"/>
        <v/>
      </c>
      <c r="N1350" s="29"/>
    </row>
    <row r="1351" spans="1:14" ht="19.5" hidden="1" customHeight="1" outlineLevel="1">
      <c r="A1351" s="24">
        <f>IF(26&lt;=DAY(DATE(YEAR(설정_코스수당!$K$2),MONTH(설정_코스수당!$K$2)+1,0)),DATE(YEAR(설정_코스수당!$K$2),MONTH(설정_코스수당!$K$2),26),"")</f>
        <v>46199</v>
      </c>
      <c r="B1351" s="23" t="s">
        <v>207</v>
      </c>
      <c r="C1351" s="29"/>
      <c r="D1351" s="29"/>
      <c r="E1351" s="29" t="str">
        <f t="shared" si="179"/>
        <v/>
      </c>
      <c r="F1351" s="29">
        <f>COUNTIFS(실시간콜입력!$B:$B,$A1351,실시간콜입력!$E:$E,"A",실시간콜입력!$G:$G,$B1351,실시간콜입력!$O:$O,"방문완료")+COUNTIFS(실시간콜입력!$B:$B,$A1351,실시간콜입력!$E:$E,"A",실시간콜입력!$H:$H,$B1351,실시간콜입력!$O:$O,"방문완료")</f>
        <v>0</v>
      </c>
      <c r="G1351" s="29">
        <f>COUNTIFS(실시간콜입력!$B:$B,$A1351,실시간콜입력!$E:$E,"B",실시간콜입력!$G:$G,$B1351,실시간콜입력!$O:$O,"방문완료")+COUNTIFS(실시간콜입력!$B:$B,$A1351,실시간콜입력!$E:$E,"B",실시간콜입력!$H:$H,$B1351,실시간콜입력!$O:$O,"방문완료")</f>
        <v>0</v>
      </c>
      <c r="H1351" s="29">
        <f>COUNTIFS(실시간콜입력!$B:$B,$A1351,실시간콜입력!$E:$E,"C",실시간콜입력!$G:$G,$B1351,실시간콜입력!$O:$O,"방문완료")+COUNTIFS(실시간콜입력!$B:$B,$A1351,실시간콜입력!$E:$E,"C",실시간콜입력!$H:$H,$B1351,실시간콜입력!$O:$O,"방문완료")</f>
        <v>0</v>
      </c>
      <c r="I1351" s="29">
        <f>COUNTIFS(실시간콜입력!$B:$B,$A1351,실시간콜입력!$E:$E,"D",실시간콜입력!$G:$G,$B1351,실시간콜입력!$O:$O,"방문완료")+COUNTIFS(실시간콜입력!$B:$B,$A1351,실시간콜입력!$E:$E,"D",실시간콜입력!$H:$H,$B1351,실시간콜입력!$O:$O,"방문완료")</f>
        <v>0</v>
      </c>
      <c r="J1351" s="29">
        <f>COUNTIFS(실시간콜입력!$B:$B,$A1351,실시간콜입력!$E:$E,"E",실시간콜입력!$G:$G,$B1351,실시간콜입력!$O:$O,"방문완료")+COUNTIFS(실시간콜입력!$B:$B,$A1351,실시간콜입력!$E:$E,"E",실시간콜입력!$H:$H,$B1351,실시간콜입력!$O:$O,"방문완료")</f>
        <v>0</v>
      </c>
      <c r="K1351" s="29">
        <f t="shared" si="180"/>
        <v>0</v>
      </c>
      <c r="L1351" s="27">
        <f>SUMIFS(실시간콜입력!$K:$K,실시간콜입력!$B:$B,$A1351,실시간콜입력!$G:$G,$B1351,실시간콜입력!$O:$O,"방문완료")+SUMIFS(실시간콜입력!$L:$L,실시간콜입력!$B:$B,$A1351,실시간콜입력!$H:$H,$B1351,실시간콜입력!$O:$O,"방문완료")</f>
        <v>0</v>
      </c>
      <c r="M1351" s="29" t="str">
        <f t="shared" si="181"/>
        <v/>
      </c>
      <c r="N1351" s="29"/>
    </row>
    <row r="1352" spans="1:14" ht="19.5" hidden="1" customHeight="1" outlineLevel="1">
      <c r="A1352" s="30">
        <f>IF(26&lt;=DAY(DATE(YEAR(설정_코스수당!$K$2),MONTH(설정_코스수당!$K$2)+1,0)),DATE(YEAR(설정_코스수당!$K$2),MONTH(설정_코스수당!$K$2),26),"")</f>
        <v>46199</v>
      </c>
      <c r="B1352" s="29" t="s">
        <v>208</v>
      </c>
      <c r="C1352" s="29"/>
      <c r="D1352" s="29"/>
      <c r="E1352" s="29" t="str">
        <f t="shared" si="179"/>
        <v/>
      </c>
      <c r="F1352" s="29">
        <f>COUNTIFS(실시간콜입력!$B:$B,$A1352,실시간콜입력!$E:$E,"A",실시간콜입력!$G:$G,$B1352,실시간콜입력!$O:$O,"방문완료")+COUNTIFS(실시간콜입력!$B:$B,$A1352,실시간콜입력!$E:$E,"A",실시간콜입력!$H:$H,$B1352,실시간콜입력!$O:$O,"방문완료")</f>
        <v>0</v>
      </c>
      <c r="G1352" s="29">
        <f>COUNTIFS(실시간콜입력!$B:$B,$A1352,실시간콜입력!$E:$E,"B",실시간콜입력!$G:$G,$B1352,실시간콜입력!$O:$O,"방문완료")+COUNTIFS(실시간콜입력!$B:$B,$A1352,실시간콜입력!$E:$E,"B",실시간콜입력!$H:$H,$B1352,실시간콜입력!$O:$O,"방문완료")</f>
        <v>0</v>
      </c>
      <c r="H1352" s="29">
        <f>COUNTIFS(실시간콜입력!$B:$B,$A1352,실시간콜입력!$E:$E,"C",실시간콜입력!$G:$G,$B1352,실시간콜입력!$O:$O,"방문완료")+COUNTIFS(실시간콜입력!$B:$B,$A1352,실시간콜입력!$E:$E,"C",실시간콜입력!$H:$H,$B1352,실시간콜입력!$O:$O,"방문완료")</f>
        <v>0</v>
      </c>
      <c r="I1352" s="29">
        <f>COUNTIFS(실시간콜입력!$B:$B,$A1352,실시간콜입력!$E:$E,"D",실시간콜입력!$G:$G,$B1352,실시간콜입력!$O:$O,"방문완료")+COUNTIFS(실시간콜입력!$B:$B,$A1352,실시간콜입력!$E:$E,"D",실시간콜입력!$H:$H,$B1352,실시간콜입력!$O:$O,"방문완료")</f>
        <v>0</v>
      </c>
      <c r="J1352" s="29">
        <f>COUNTIFS(실시간콜입력!$B:$B,$A1352,실시간콜입력!$E:$E,"E",실시간콜입력!$G:$G,$B1352,실시간콜입력!$O:$O,"방문완료")+COUNTIFS(실시간콜입력!$B:$B,$A1352,실시간콜입력!$E:$E,"E",실시간콜입력!$H:$H,$B1352,실시간콜입력!$O:$O,"방문완료")</f>
        <v>0</v>
      </c>
      <c r="K1352" s="29">
        <f t="shared" si="180"/>
        <v>0</v>
      </c>
      <c r="L1352" s="33">
        <f>SUMIFS(실시간콜입력!$K:$K,실시간콜입력!$B:$B,$A1352,실시간콜입력!$G:$G,$B1352,실시간콜입력!$O:$O,"방문완료")+SUMIFS(실시간콜입력!$L:$L,실시간콜입력!$B:$B,$A1352,실시간콜입력!$H:$H,$B1352,실시간콜입력!$O:$O,"방문완료")</f>
        <v>0</v>
      </c>
      <c r="M1352" s="29" t="str">
        <f t="shared" si="181"/>
        <v/>
      </c>
      <c r="N1352" s="29"/>
    </row>
    <row r="1353" spans="1:14" ht="19.5" hidden="1" customHeight="1" outlineLevel="1">
      <c r="A1353" s="24">
        <f>IF(26&lt;=DAY(DATE(YEAR(설정_코스수당!$K$2),MONTH(설정_코스수당!$K$2)+1,0)),DATE(YEAR(설정_코스수당!$K$2),MONTH(설정_코스수당!$K$2),26),"")</f>
        <v>46199</v>
      </c>
      <c r="B1353" s="23" t="s">
        <v>209</v>
      </c>
      <c r="C1353" s="29"/>
      <c r="D1353" s="29"/>
      <c r="E1353" s="29" t="str">
        <f t="shared" si="179"/>
        <v/>
      </c>
      <c r="F1353" s="29">
        <f>COUNTIFS(실시간콜입력!$B:$B,$A1353,실시간콜입력!$E:$E,"A",실시간콜입력!$G:$G,$B1353,실시간콜입력!$O:$O,"방문완료")+COUNTIFS(실시간콜입력!$B:$B,$A1353,실시간콜입력!$E:$E,"A",실시간콜입력!$H:$H,$B1353,실시간콜입력!$O:$O,"방문완료")</f>
        <v>0</v>
      </c>
      <c r="G1353" s="29">
        <f>COUNTIFS(실시간콜입력!$B:$B,$A1353,실시간콜입력!$E:$E,"B",실시간콜입력!$G:$G,$B1353,실시간콜입력!$O:$O,"방문완료")+COUNTIFS(실시간콜입력!$B:$B,$A1353,실시간콜입력!$E:$E,"B",실시간콜입력!$H:$H,$B1353,실시간콜입력!$O:$O,"방문완료")</f>
        <v>0</v>
      </c>
      <c r="H1353" s="29">
        <f>COUNTIFS(실시간콜입력!$B:$B,$A1353,실시간콜입력!$E:$E,"C",실시간콜입력!$G:$G,$B1353,실시간콜입력!$O:$O,"방문완료")+COUNTIFS(실시간콜입력!$B:$B,$A1353,실시간콜입력!$E:$E,"C",실시간콜입력!$H:$H,$B1353,실시간콜입력!$O:$O,"방문완료")</f>
        <v>0</v>
      </c>
      <c r="I1353" s="29">
        <f>COUNTIFS(실시간콜입력!$B:$B,$A1353,실시간콜입력!$E:$E,"D",실시간콜입력!$G:$G,$B1353,실시간콜입력!$O:$O,"방문완료")+COUNTIFS(실시간콜입력!$B:$B,$A1353,실시간콜입력!$E:$E,"D",실시간콜입력!$H:$H,$B1353,실시간콜입력!$O:$O,"방문완료")</f>
        <v>0</v>
      </c>
      <c r="J1353" s="29">
        <f>COUNTIFS(실시간콜입력!$B:$B,$A1353,실시간콜입력!$E:$E,"E",실시간콜입력!$G:$G,$B1353,실시간콜입력!$O:$O,"방문완료")+COUNTIFS(실시간콜입력!$B:$B,$A1353,실시간콜입력!$E:$E,"E",실시간콜입력!$H:$H,$B1353,실시간콜입력!$O:$O,"방문완료")</f>
        <v>0</v>
      </c>
      <c r="K1353" s="29">
        <f t="shared" si="180"/>
        <v>0</v>
      </c>
      <c r="L1353" s="27">
        <f>SUMIFS(실시간콜입력!$K:$K,실시간콜입력!$B:$B,$A1353,실시간콜입력!$G:$G,$B1353,실시간콜입력!$O:$O,"방문완료")+SUMIFS(실시간콜입력!$L:$L,실시간콜입력!$B:$B,$A1353,실시간콜입력!$H:$H,$B1353,실시간콜입력!$O:$O,"방문완료")</f>
        <v>0</v>
      </c>
      <c r="M1353" s="29" t="str">
        <f t="shared" si="181"/>
        <v/>
      </c>
      <c r="N1353" s="29"/>
    </row>
    <row r="1354" spans="1:14" ht="19.5" hidden="1" customHeight="1" outlineLevel="1">
      <c r="A1354" s="30">
        <f>IF(26&lt;=DAY(DATE(YEAR(설정_코스수당!$K$2),MONTH(설정_코스수당!$K$2)+1,0)),DATE(YEAR(설정_코스수당!$K$2),MONTH(설정_코스수당!$K$2),26),"")</f>
        <v>46199</v>
      </c>
      <c r="B1354" s="29" t="s">
        <v>210</v>
      </c>
      <c r="C1354" s="29"/>
      <c r="D1354" s="29"/>
      <c r="E1354" s="29" t="str">
        <f t="shared" si="179"/>
        <v/>
      </c>
      <c r="F1354" s="29">
        <f>COUNTIFS(실시간콜입력!$B:$B,$A1354,실시간콜입력!$E:$E,"A",실시간콜입력!$G:$G,$B1354,실시간콜입력!$O:$O,"방문완료")+COUNTIFS(실시간콜입력!$B:$B,$A1354,실시간콜입력!$E:$E,"A",실시간콜입력!$H:$H,$B1354,실시간콜입력!$O:$O,"방문완료")</f>
        <v>0</v>
      </c>
      <c r="G1354" s="29">
        <f>COUNTIFS(실시간콜입력!$B:$B,$A1354,실시간콜입력!$E:$E,"B",실시간콜입력!$G:$G,$B1354,실시간콜입력!$O:$O,"방문완료")+COUNTIFS(실시간콜입력!$B:$B,$A1354,실시간콜입력!$E:$E,"B",실시간콜입력!$H:$H,$B1354,실시간콜입력!$O:$O,"방문완료")</f>
        <v>0</v>
      </c>
      <c r="H1354" s="29">
        <f>COUNTIFS(실시간콜입력!$B:$B,$A1354,실시간콜입력!$E:$E,"C",실시간콜입력!$G:$G,$B1354,실시간콜입력!$O:$O,"방문완료")+COUNTIFS(실시간콜입력!$B:$B,$A1354,실시간콜입력!$E:$E,"C",실시간콜입력!$H:$H,$B1354,실시간콜입력!$O:$O,"방문완료")</f>
        <v>0</v>
      </c>
      <c r="I1354" s="29">
        <f>COUNTIFS(실시간콜입력!$B:$B,$A1354,실시간콜입력!$E:$E,"D",실시간콜입력!$G:$G,$B1354,실시간콜입력!$O:$O,"방문완료")+COUNTIFS(실시간콜입력!$B:$B,$A1354,실시간콜입력!$E:$E,"D",실시간콜입력!$H:$H,$B1354,실시간콜입력!$O:$O,"방문완료")</f>
        <v>0</v>
      </c>
      <c r="J1354" s="29">
        <f>COUNTIFS(실시간콜입력!$B:$B,$A1354,실시간콜입력!$E:$E,"E",실시간콜입력!$G:$G,$B1354,실시간콜입력!$O:$O,"방문완료")+COUNTIFS(실시간콜입력!$B:$B,$A1354,실시간콜입력!$E:$E,"E",실시간콜입력!$H:$H,$B1354,실시간콜입력!$O:$O,"방문완료")</f>
        <v>0</v>
      </c>
      <c r="K1354" s="29">
        <f t="shared" si="180"/>
        <v>0</v>
      </c>
      <c r="L1354" s="33">
        <f>SUMIFS(실시간콜입력!$K:$K,실시간콜입력!$B:$B,$A1354,실시간콜입력!$G:$G,$B1354,실시간콜입력!$O:$O,"방문완료")+SUMIFS(실시간콜입력!$L:$L,실시간콜입력!$B:$B,$A1354,실시간콜입력!$H:$H,$B1354,실시간콜입력!$O:$O,"방문완료")</f>
        <v>0</v>
      </c>
      <c r="M1354" s="29" t="str">
        <f t="shared" si="181"/>
        <v/>
      </c>
      <c r="N1354" s="29"/>
    </row>
    <row r="1355" spans="1:14" ht="19.5" hidden="1" customHeight="1" outlineLevel="1">
      <c r="A1355" s="24">
        <f>IF(26&lt;=DAY(DATE(YEAR(설정_코스수당!$K$2),MONTH(설정_코스수당!$K$2)+1,0)),DATE(YEAR(설정_코스수당!$K$2),MONTH(설정_코스수당!$K$2),26),"")</f>
        <v>46199</v>
      </c>
      <c r="B1355" s="23" t="s">
        <v>211</v>
      </c>
      <c r="C1355" s="29"/>
      <c r="D1355" s="29"/>
      <c r="E1355" s="29" t="str">
        <f t="shared" si="179"/>
        <v/>
      </c>
      <c r="F1355" s="29">
        <f>COUNTIFS(실시간콜입력!$B:$B,$A1355,실시간콜입력!$E:$E,"A",실시간콜입력!$G:$G,$B1355,실시간콜입력!$O:$O,"방문완료")+COUNTIFS(실시간콜입력!$B:$B,$A1355,실시간콜입력!$E:$E,"A",실시간콜입력!$H:$H,$B1355,실시간콜입력!$O:$O,"방문완료")</f>
        <v>0</v>
      </c>
      <c r="G1355" s="29">
        <f>COUNTIFS(실시간콜입력!$B:$B,$A1355,실시간콜입력!$E:$E,"B",실시간콜입력!$G:$G,$B1355,실시간콜입력!$O:$O,"방문완료")+COUNTIFS(실시간콜입력!$B:$B,$A1355,실시간콜입력!$E:$E,"B",실시간콜입력!$H:$H,$B1355,실시간콜입력!$O:$O,"방문완료")</f>
        <v>0</v>
      </c>
      <c r="H1355" s="29">
        <f>COUNTIFS(실시간콜입력!$B:$B,$A1355,실시간콜입력!$E:$E,"C",실시간콜입력!$G:$G,$B1355,실시간콜입력!$O:$O,"방문완료")+COUNTIFS(실시간콜입력!$B:$B,$A1355,실시간콜입력!$E:$E,"C",실시간콜입력!$H:$H,$B1355,실시간콜입력!$O:$O,"방문완료")</f>
        <v>0</v>
      </c>
      <c r="I1355" s="29">
        <f>COUNTIFS(실시간콜입력!$B:$B,$A1355,실시간콜입력!$E:$E,"D",실시간콜입력!$G:$G,$B1355,실시간콜입력!$O:$O,"방문완료")+COUNTIFS(실시간콜입력!$B:$B,$A1355,실시간콜입력!$E:$E,"D",실시간콜입력!$H:$H,$B1355,실시간콜입력!$O:$O,"방문완료")</f>
        <v>0</v>
      </c>
      <c r="J1355" s="29">
        <f>COUNTIFS(실시간콜입력!$B:$B,$A1355,실시간콜입력!$E:$E,"E",실시간콜입력!$G:$G,$B1355,실시간콜입력!$O:$O,"방문완료")+COUNTIFS(실시간콜입력!$B:$B,$A1355,실시간콜입력!$E:$E,"E",실시간콜입력!$H:$H,$B1355,실시간콜입력!$O:$O,"방문완료")</f>
        <v>0</v>
      </c>
      <c r="K1355" s="29">
        <f t="shared" si="180"/>
        <v>0</v>
      </c>
      <c r="L1355" s="27">
        <f>SUMIFS(실시간콜입력!$K:$K,실시간콜입력!$B:$B,$A1355,실시간콜입력!$G:$G,$B1355,실시간콜입력!$O:$O,"방문완료")+SUMIFS(실시간콜입력!$L:$L,실시간콜입력!$B:$B,$A1355,실시간콜입력!$H:$H,$B1355,실시간콜입력!$O:$O,"방문완료")</f>
        <v>0</v>
      </c>
      <c r="M1355" s="29" t="str">
        <f t="shared" si="181"/>
        <v/>
      </c>
      <c r="N1355" s="29"/>
    </row>
    <row r="1356" spans="1:14" ht="19.5" hidden="1" customHeight="1" outlineLevel="1">
      <c r="A1356" s="30">
        <f>IF(26&lt;=DAY(DATE(YEAR(설정_코스수당!$K$2),MONTH(설정_코스수당!$K$2)+1,0)),DATE(YEAR(설정_코스수당!$K$2),MONTH(설정_코스수당!$K$2),26),"")</f>
        <v>46199</v>
      </c>
      <c r="B1356" s="29" t="s">
        <v>212</v>
      </c>
      <c r="C1356" s="29"/>
      <c r="D1356" s="29"/>
      <c r="E1356" s="29" t="str">
        <f t="shared" si="179"/>
        <v/>
      </c>
      <c r="F1356" s="29">
        <f>COUNTIFS(실시간콜입력!$B:$B,$A1356,실시간콜입력!$E:$E,"A",실시간콜입력!$G:$G,$B1356,실시간콜입력!$O:$O,"방문완료")+COUNTIFS(실시간콜입력!$B:$B,$A1356,실시간콜입력!$E:$E,"A",실시간콜입력!$H:$H,$B1356,실시간콜입력!$O:$O,"방문완료")</f>
        <v>0</v>
      </c>
      <c r="G1356" s="29">
        <f>COUNTIFS(실시간콜입력!$B:$B,$A1356,실시간콜입력!$E:$E,"B",실시간콜입력!$G:$G,$B1356,실시간콜입력!$O:$O,"방문완료")+COUNTIFS(실시간콜입력!$B:$B,$A1356,실시간콜입력!$E:$E,"B",실시간콜입력!$H:$H,$B1356,실시간콜입력!$O:$O,"방문완료")</f>
        <v>0</v>
      </c>
      <c r="H1356" s="29">
        <f>COUNTIFS(실시간콜입력!$B:$B,$A1356,실시간콜입력!$E:$E,"C",실시간콜입력!$G:$G,$B1356,실시간콜입력!$O:$O,"방문완료")+COUNTIFS(실시간콜입력!$B:$B,$A1356,실시간콜입력!$E:$E,"C",실시간콜입력!$H:$H,$B1356,실시간콜입력!$O:$O,"방문완료")</f>
        <v>0</v>
      </c>
      <c r="I1356" s="29">
        <f>COUNTIFS(실시간콜입력!$B:$B,$A1356,실시간콜입력!$E:$E,"D",실시간콜입력!$G:$G,$B1356,실시간콜입력!$O:$O,"방문완료")+COUNTIFS(실시간콜입력!$B:$B,$A1356,실시간콜입력!$E:$E,"D",실시간콜입력!$H:$H,$B1356,실시간콜입력!$O:$O,"방문완료")</f>
        <v>0</v>
      </c>
      <c r="J1356" s="29">
        <f>COUNTIFS(실시간콜입력!$B:$B,$A1356,실시간콜입력!$E:$E,"E",실시간콜입력!$G:$G,$B1356,실시간콜입력!$O:$O,"방문완료")+COUNTIFS(실시간콜입력!$B:$B,$A1356,실시간콜입력!$E:$E,"E",실시간콜입력!$H:$H,$B1356,실시간콜입력!$O:$O,"방문완료")</f>
        <v>0</v>
      </c>
      <c r="K1356" s="29">
        <f t="shared" si="180"/>
        <v>0</v>
      </c>
      <c r="L1356" s="33">
        <f>SUMIFS(실시간콜입력!$K:$K,실시간콜입력!$B:$B,$A1356,실시간콜입력!$G:$G,$B1356,실시간콜입력!$O:$O,"방문완료")+SUMIFS(실시간콜입력!$L:$L,실시간콜입력!$B:$B,$A1356,실시간콜입력!$H:$H,$B1356,실시간콜입력!$O:$O,"방문완료")</f>
        <v>0</v>
      </c>
      <c r="M1356" s="29" t="str">
        <f t="shared" si="181"/>
        <v/>
      </c>
      <c r="N1356" s="29"/>
    </row>
    <row r="1357" spans="1:14" ht="21.75" customHeight="1" collapsed="1">
      <c r="A1357" s="64">
        <f>IF(27&lt;=DAY(DATE(YEAR(설정_코스수당!$K$2),MONTH(설정_코스수당!$K$2)+1,0)),DATE(YEAR(설정_코스수당!$K$2),MONTH(설정_코스수당!$K$2),27),"")</f>
        <v>46200</v>
      </c>
      <c r="B1357" s="65" t="str">
        <f>IF(A1357="","","출근 "&amp;COUNTIF(C1359:C1408,"&lt;&gt;")&amp;"명")</f>
        <v>출근 0명</v>
      </c>
      <c r="C1357" s="65" t="str">
        <f>IF(A1357="","","만근 "&amp;COUNTIF(M1359:M1408,"인정")&amp;"명")</f>
        <v>만근 0명</v>
      </c>
      <c r="D1357" s="65" t="str">
        <f>IFERROR("평균 "&amp;TEXT(AVERAGEIF(E1359:E1408,"&gt;0",E1359:E1408),"0.0")&amp;"h","평균 -")</f>
        <v>평균 -</v>
      </c>
      <c r="E1357" s="65" t="s">
        <v>163</v>
      </c>
      <c r="F1357" s="65">
        <f t="shared" ref="F1357:L1357" si="182">SUM(F1359:F1408)</f>
        <v>0</v>
      </c>
      <c r="G1357" s="65">
        <f t="shared" si="182"/>
        <v>0</v>
      </c>
      <c r="H1357" s="65">
        <f t="shared" si="182"/>
        <v>0</v>
      </c>
      <c r="I1357" s="65">
        <f t="shared" si="182"/>
        <v>0</v>
      </c>
      <c r="J1357" s="65">
        <f t="shared" si="182"/>
        <v>0</v>
      </c>
      <c r="K1357" s="65">
        <f t="shared" si="182"/>
        <v>0</v>
      </c>
      <c r="L1357" s="66">
        <f t="shared" si="182"/>
        <v>0</v>
      </c>
      <c r="M1357" s="65">
        <f>COUNTIF(M1359:M1408,"인정")</f>
        <v>0</v>
      </c>
      <c r="N1357" s="65" t="s">
        <v>164</v>
      </c>
    </row>
    <row r="1358" spans="1:14" ht="19.5" hidden="1" customHeight="1" outlineLevel="1">
      <c r="A1358" s="20" t="s">
        <v>42</v>
      </c>
      <c r="B1358" s="20" t="s">
        <v>152</v>
      </c>
      <c r="C1358" s="20" t="s">
        <v>153</v>
      </c>
      <c r="D1358" s="20" t="s">
        <v>154</v>
      </c>
      <c r="E1358" s="20" t="s">
        <v>155</v>
      </c>
      <c r="F1358" s="20" t="s">
        <v>156</v>
      </c>
      <c r="G1358" s="20" t="s">
        <v>157</v>
      </c>
      <c r="H1358" s="20" t="s">
        <v>158</v>
      </c>
      <c r="I1358" s="20" t="s">
        <v>159</v>
      </c>
      <c r="J1358" s="20" t="s">
        <v>160</v>
      </c>
      <c r="K1358" s="20" t="s">
        <v>118</v>
      </c>
      <c r="L1358" s="20" t="s">
        <v>161</v>
      </c>
      <c r="M1358" s="20" t="s">
        <v>162</v>
      </c>
      <c r="N1358" s="20" t="s">
        <v>95</v>
      </c>
    </row>
    <row r="1359" spans="1:14" ht="19.5" hidden="1" customHeight="1" outlineLevel="1">
      <c r="A1359" s="24">
        <f>IF(27&lt;=DAY(DATE(YEAR(설정_코스수당!$K$2),MONTH(설정_코스수당!$K$2)+1,0)),DATE(YEAR(설정_코스수당!$K$2),MONTH(설정_코스수당!$K$2),27),"")</f>
        <v>46200</v>
      </c>
      <c r="B1359" s="23" t="s">
        <v>47</v>
      </c>
      <c r="C1359" s="23"/>
      <c r="D1359" s="23"/>
      <c r="E1359" s="23" t="str">
        <f t="shared" ref="E1359:E1390" si="183">IF(AND(C1359&lt;&gt;"",D1359&lt;&gt;""),IF(D1359&lt;C1359,D1359+1-C1359,D1359-C1359)*24,"")</f>
        <v/>
      </c>
      <c r="F1359" s="23">
        <f>COUNTIFS(실시간콜입력!$B:$B,$A1359,실시간콜입력!$E:$E,"A",실시간콜입력!$G:$G,$B1359,실시간콜입력!$O:$O,"방문완료")+COUNTIFS(실시간콜입력!$B:$B,$A1359,실시간콜입력!$E:$E,"A",실시간콜입력!$H:$H,$B1359,실시간콜입력!$O:$O,"방문완료")</f>
        <v>0</v>
      </c>
      <c r="G1359" s="23">
        <f>COUNTIFS(실시간콜입력!$B:$B,$A1359,실시간콜입력!$E:$E,"B",실시간콜입력!$G:$G,$B1359,실시간콜입력!$O:$O,"방문완료")+COUNTIFS(실시간콜입력!$B:$B,$A1359,실시간콜입력!$E:$E,"B",실시간콜입력!$H:$H,$B1359,실시간콜입력!$O:$O,"방문완료")</f>
        <v>0</v>
      </c>
      <c r="H1359" s="23">
        <f>COUNTIFS(실시간콜입력!$B:$B,$A1359,실시간콜입력!$E:$E,"C",실시간콜입력!$G:$G,$B1359,실시간콜입력!$O:$O,"방문완료")+COUNTIFS(실시간콜입력!$B:$B,$A1359,실시간콜입력!$E:$E,"C",실시간콜입력!$H:$H,$B1359,실시간콜입력!$O:$O,"방문완료")</f>
        <v>0</v>
      </c>
      <c r="I1359" s="23">
        <f>COUNTIFS(실시간콜입력!$B:$B,$A1359,실시간콜입력!$E:$E,"D",실시간콜입력!$G:$G,$B1359,실시간콜입력!$O:$O,"방문완료")+COUNTIFS(실시간콜입력!$B:$B,$A1359,실시간콜입력!$E:$E,"D",실시간콜입력!$H:$H,$B1359,실시간콜입력!$O:$O,"방문완료")</f>
        <v>0</v>
      </c>
      <c r="J1359" s="23">
        <f>COUNTIFS(실시간콜입력!$B:$B,$A1359,실시간콜입력!$E:$E,"E",실시간콜입력!$G:$G,$B1359,실시간콜입력!$O:$O,"방문완료")+COUNTIFS(실시간콜입력!$B:$B,$A1359,실시간콜입력!$E:$E,"E",실시간콜입력!$H:$H,$B1359,실시간콜입력!$O:$O,"방문완료")</f>
        <v>0</v>
      </c>
      <c r="K1359" s="23">
        <f t="shared" ref="K1359:K1390" si="184">SUM(F1359:J1359)</f>
        <v>0</v>
      </c>
      <c r="L1359" s="27">
        <f>SUMIFS(실시간콜입력!$K:$K,실시간콜입력!$B:$B,$A1359,실시간콜입력!$G:$G,$B1359,실시간콜입력!$O:$O,"방문완료")+SUMIFS(실시간콜입력!$L:$L,실시간콜입력!$B:$B,$A1359,실시간콜입력!$H:$H,$B1359,실시간콜입력!$O:$O,"방문완료")</f>
        <v>0</v>
      </c>
      <c r="M1359" s="23" t="str">
        <f t="shared" ref="M1359:M1390" si="185">IF(AND(ISNUMBER(E1359),E1359&gt;=8),"인정","")</f>
        <v/>
      </c>
      <c r="N1359" s="23"/>
    </row>
    <row r="1360" spans="1:14" ht="19.5" hidden="1" customHeight="1" outlineLevel="1">
      <c r="A1360" s="30">
        <f>IF(27&lt;=DAY(DATE(YEAR(설정_코스수당!$K$2),MONTH(설정_코스수당!$K$2)+1,0)),DATE(YEAR(설정_코스수당!$K$2),MONTH(설정_코스수당!$K$2),27),"")</f>
        <v>46200</v>
      </c>
      <c r="B1360" s="29" t="s">
        <v>48</v>
      </c>
      <c r="C1360" s="29"/>
      <c r="D1360" s="29"/>
      <c r="E1360" s="29" t="str">
        <f t="shared" si="183"/>
        <v/>
      </c>
      <c r="F1360" s="29">
        <f>COUNTIFS(실시간콜입력!$B:$B,$A1360,실시간콜입력!$E:$E,"A",실시간콜입력!$G:$G,$B1360,실시간콜입력!$O:$O,"방문완료")+COUNTIFS(실시간콜입력!$B:$B,$A1360,실시간콜입력!$E:$E,"A",실시간콜입력!$H:$H,$B1360,실시간콜입력!$O:$O,"방문완료")</f>
        <v>0</v>
      </c>
      <c r="G1360" s="29">
        <f>COUNTIFS(실시간콜입력!$B:$B,$A1360,실시간콜입력!$E:$E,"B",실시간콜입력!$G:$G,$B1360,실시간콜입력!$O:$O,"방문완료")+COUNTIFS(실시간콜입력!$B:$B,$A1360,실시간콜입력!$E:$E,"B",실시간콜입력!$H:$H,$B1360,실시간콜입력!$O:$O,"방문완료")</f>
        <v>0</v>
      </c>
      <c r="H1360" s="29">
        <f>COUNTIFS(실시간콜입력!$B:$B,$A1360,실시간콜입력!$E:$E,"C",실시간콜입력!$G:$G,$B1360,실시간콜입력!$O:$O,"방문완료")+COUNTIFS(실시간콜입력!$B:$B,$A1360,실시간콜입력!$E:$E,"C",실시간콜입력!$H:$H,$B1360,실시간콜입력!$O:$O,"방문완료")</f>
        <v>0</v>
      </c>
      <c r="I1360" s="29">
        <f>COUNTIFS(실시간콜입력!$B:$B,$A1360,실시간콜입력!$E:$E,"D",실시간콜입력!$G:$G,$B1360,실시간콜입력!$O:$O,"방문완료")+COUNTIFS(실시간콜입력!$B:$B,$A1360,실시간콜입력!$E:$E,"D",실시간콜입력!$H:$H,$B1360,실시간콜입력!$O:$O,"방문완료")</f>
        <v>0</v>
      </c>
      <c r="J1360" s="29">
        <f>COUNTIFS(실시간콜입력!$B:$B,$A1360,실시간콜입력!$E:$E,"E",실시간콜입력!$G:$G,$B1360,실시간콜입력!$O:$O,"방문완료")+COUNTIFS(실시간콜입력!$B:$B,$A1360,실시간콜입력!$E:$E,"E",실시간콜입력!$H:$H,$B1360,실시간콜입력!$O:$O,"방문완료")</f>
        <v>0</v>
      </c>
      <c r="K1360" s="29">
        <f t="shared" si="184"/>
        <v>0</v>
      </c>
      <c r="L1360" s="33">
        <f>SUMIFS(실시간콜입력!$K:$K,실시간콜입력!$B:$B,$A1360,실시간콜입력!$G:$G,$B1360,실시간콜입력!$O:$O,"방문완료")+SUMIFS(실시간콜입력!$L:$L,실시간콜입력!$B:$B,$A1360,실시간콜입력!$H:$H,$B1360,실시간콜입력!$O:$O,"방문완료")</f>
        <v>0</v>
      </c>
      <c r="M1360" s="29" t="str">
        <f t="shared" si="185"/>
        <v/>
      </c>
      <c r="N1360" s="29"/>
    </row>
    <row r="1361" spans="1:14" ht="19.5" hidden="1" customHeight="1" outlineLevel="1">
      <c r="A1361" s="24">
        <f>IF(27&lt;=DAY(DATE(YEAR(설정_코스수당!$K$2),MONTH(설정_코스수당!$K$2)+1,0)),DATE(YEAR(설정_코스수당!$K$2),MONTH(설정_코스수당!$K$2),27),"")</f>
        <v>46200</v>
      </c>
      <c r="B1361" s="23" t="s">
        <v>165</v>
      </c>
      <c r="C1361" s="29"/>
      <c r="D1361" s="29"/>
      <c r="E1361" s="29" t="str">
        <f t="shared" si="183"/>
        <v/>
      </c>
      <c r="F1361" s="29">
        <f>COUNTIFS(실시간콜입력!$B:$B,$A1361,실시간콜입력!$E:$E,"A",실시간콜입력!$G:$G,$B1361,실시간콜입력!$O:$O,"방문완료")+COUNTIFS(실시간콜입력!$B:$B,$A1361,실시간콜입력!$E:$E,"A",실시간콜입력!$H:$H,$B1361,실시간콜입력!$O:$O,"방문완료")</f>
        <v>0</v>
      </c>
      <c r="G1361" s="29">
        <f>COUNTIFS(실시간콜입력!$B:$B,$A1361,실시간콜입력!$E:$E,"B",실시간콜입력!$G:$G,$B1361,실시간콜입력!$O:$O,"방문완료")+COUNTIFS(실시간콜입력!$B:$B,$A1361,실시간콜입력!$E:$E,"B",실시간콜입력!$H:$H,$B1361,실시간콜입력!$O:$O,"방문완료")</f>
        <v>0</v>
      </c>
      <c r="H1361" s="29">
        <f>COUNTIFS(실시간콜입력!$B:$B,$A1361,실시간콜입력!$E:$E,"C",실시간콜입력!$G:$G,$B1361,실시간콜입력!$O:$O,"방문완료")+COUNTIFS(실시간콜입력!$B:$B,$A1361,실시간콜입력!$E:$E,"C",실시간콜입력!$H:$H,$B1361,실시간콜입력!$O:$O,"방문완료")</f>
        <v>0</v>
      </c>
      <c r="I1361" s="29">
        <f>COUNTIFS(실시간콜입력!$B:$B,$A1361,실시간콜입력!$E:$E,"D",실시간콜입력!$G:$G,$B1361,실시간콜입력!$O:$O,"방문완료")+COUNTIFS(실시간콜입력!$B:$B,$A1361,실시간콜입력!$E:$E,"D",실시간콜입력!$H:$H,$B1361,실시간콜입력!$O:$O,"방문완료")</f>
        <v>0</v>
      </c>
      <c r="J1361" s="29">
        <f>COUNTIFS(실시간콜입력!$B:$B,$A1361,실시간콜입력!$E:$E,"E",실시간콜입력!$G:$G,$B1361,실시간콜입력!$O:$O,"방문완료")+COUNTIFS(실시간콜입력!$B:$B,$A1361,실시간콜입력!$E:$E,"E",실시간콜입력!$H:$H,$B1361,실시간콜입력!$O:$O,"방문완료")</f>
        <v>0</v>
      </c>
      <c r="K1361" s="29">
        <f t="shared" si="184"/>
        <v>0</v>
      </c>
      <c r="L1361" s="27">
        <f>SUMIFS(실시간콜입력!$K:$K,실시간콜입력!$B:$B,$A1361,실시간콜입력!$G:$G,$B1361,실시간콜입력!$O:$O,"방문완료")+SUMIFS(실시간콜입력!$L:$L,실시간콜입력!$B:$B,$A1361,실시간콜입력!$H:$H,$B1361,실시간콜입력!$O:$O,"방문완료")</f>
        <v>0</v>
      </c>
      <c r="M1361" s="29" t="str">
        <f t="shared" si="185"/>
        <v/>
      </c>
      <c r="N1361" s="29"/>
    </row>
    <row r="1362" spans="1:14" ht="19.5" hidden="1" customHeight="1" outlineLevel="1">
      <c r="A1362" s="30">
        <f>IF(27&lt;=DAY(DATE(YEAR(설정_코스수당!$K$2),MONTH(설정_코스수당!$K$2)+1,0)),DATE(YEAR(설정_코스수당!$K$2),MONTH(설정_코스수당!$K$2),27),"")</f>
        <v>46200</v>
      </c>
      <c r="B1362" s="29" t="s">
        <v>166</v>
      </c>
      <c r="C1362" s="29"/>
      <c r="D1362" s="29"/>
      <c r="E1362" s="29" t="str">
        <f t="shared" si="183"/>
        <v/>
      </c>
      <c r="F1362" s="29">
        <f>COUNTIFS(실시간콜입력!$B:$B,$A1362,실시간콜입력!$E:$E,"A",실시간콜입력!$G:$G,$B1362,실시간콜입력!$O:$O,"방문완료")+COUNTIFS(실시간콜입력!$B:$B,$A1362,실시간콜입력!$E:$E,"A",실시간콜입력!$H:$H,$B1362,실시간콜입력!$O:$O,"방문완료")</f>
        <v>0</v>
      </c>
      <c r="G1362" s="29">
        <f>COUNTIFS(실시간콜입력!$B:$B,$A1362,실시간콜입력!$E:$E,"B",실시간콜입력!$G:$G,$B1362,실시간콜입력!$O:$O,"방문완료")+COUNTIFS(실시간콜입력!$B:$B,$A1362,실시간콜입력!$E:$E,"B",실시간콜입력!$H:$H,$B1362,실시간콜입력!$O:$O,"방문완료")</f>
        <v>0</v>
      </c>
      <c r="H1362" s="29">
        <f>COUNTIFS(실시간콜입력!$B:$B,$A1362,실시간콜입력!$E:$E,"C",실시간콜입력!$G:$G,$B1362,실시간콜입력!$O:$O,"방문완료")+COUNTIFS(실시간콜입력!$B:$B,$A1362,실시간콜입력!$E:$E,"C",실시간콜입력!$H:$H,$B1362,실시간콜입력!$O:$O,"방문완료")</f>
        <v>0</v>
      </c>
      <c r="I1362" s="29">
        <f>COUNTIFS(실시간콜입력!$B:$B,$A1362,실시간콜입력!$E:$E,"D",실시간콜입력!$G:$G,$B1362,실시간콜입력!$O:$O,"방문완료")+COUNTIFS(실시간콜입력!$B:$B,$A1362,실시간콜입력!$E:$E,"D",실시간콜입력!$H:$H,$B1362,실시간콜입력!$O:$O,"방문완료")</f>
        <v>0</v>
      </c>
      <c r="J1362" s="29">
        <f>COUNTIFS(실시간콜입력!$B:$B,$A1362,실시간콜입력!$E:$E,"E",실시간콜입력!$G:$G,$B1362,실시간콜입력!$O:$O,"방문완료")+COUNTIFS(실시간콜입력!$B:$B,$A1362,실시간콜입력!$E:$E,"E",실시간콜입력!$H:$H,$B1362,실시간콜입력!$O:$O,"방문완료")</f>
        <v>0</v>
      </c>
      <c r="K1362" s="29">
        <f t="shared" si="184"/>
        <v>0</v>
      </c>
      <c r="L1362" s="33">
        <f>SUMIFS(실시간콜입력!$K:$K,실시간콜입력!$B:$B,$A1362,실시간콜입력!$G:$G,$B1362,실시간콜입력!$O:$O,"방문완료")+SUMIFS(실시간콜입력!$L:$L,실시간콜입력!$B:$B,$A1362,실시간콜입력!$H:$H,$B1362,실시간콜입력!$O:$O,"방문완료")</f>
        <v>0</v>
      </c>
      <c r="M1362" s="29" t="str">
        <f t="shared" si="185"/>
        <v/>
      </c>
      <c r="N1362" s="29"/>
    </row>
    <row r="1363" spans="1:14" ht="19.5" hidden="1" customHeight="1" outlineLevel="1">
      <c r="A1363" s="24">
        <f>IF(27&lt;=DAY(DATE(YEAR(설정_코스수당!$K$2),MONTH(설정_코스수당!$K$2)+1,0)),DATE(YEAR(설정_코스수당!$K$2),MONTH(설정_코스수당!$K$2),27),"")</f>
        <v>46200</v>
      </c>
      <c r="B1363" s="23" t="s">
        <v>167</v>
      </c>
      <c r="C1363" s="29"/>
      <c r="D1363" s="29"/>
      <c r="E1363" s="29" t="str">
        <f t="shared" si="183"/>
        <v/>
      </c>
      <c r="F1363" s="29">
        <f>COUNTIFS(실시간콜입력!$B:$B,$A1363,실시간콜입력!$E:$E,"A",실시간콜입력!$G:$G,$B1363,실시간콜입력!$O:$O,"방문완료")+COUNTIFS(실시간콜입력!$B:$B,$A1363,실시간콜입력!$E:$E,"A",실시간콜입력!$H:$H,$B1363,실시간콜입력!$O:$O,"방문완료")</f>
        <v>0</v>
      </c>
      <c r="G1363" s="29">
        <f>COUNTIFS(실시간콜입력!$B:$B,$A1363,실시간콜입력!$E:$E,"B",실시간콜입력!$G:$G,$B1363,실시간콜입력!$O:$O,"방문완료")+COUNTIFS(실시간콜입력!$B:$B,$A1363,실시간콜입력!$E:$E,"B",실시간콜입력!$H:$H,$B1363,실시간콜입력!$O:$O,"방문완료")</f>
        <v>0</v>
      </c>
      <c r="H1363" s="29">
        <f>COUNTIFS(실시간콜입력!$B:$B,$A1363,실시간콜입력!$E:$E,"C",실시간콜입력!$G:$G,$B1363,실시간콜입력!$O:$O,"방문완료")+COUNTIFS(실시간콜입력!$B:$B,$A1363,실시간콜입력!$E:$E,"C",실시간콜입력!$H:$H,$B1363,실시간콜입력!$O:$O,"방문완료")</f>
        <v>0</v>
      </c>
      <c r="I1363" s="29">
        <f>COUNTIFS(실시간콜입력!$B:$B,$A1363,실시간콜입력!$E:$E,"D",실시간콜입력!$G:$G,$B1363,실시간콜입력!$O:$O,"방문완료")+COUNTIFS(실시간콜입력!$B:$B,$A1363,실시간콜입력!$E:$E,"D",실시간콜입력!$H:$H,$B1363,실시간콜입력!$O:$O,"방문완료")</f>
        <v>0</v>
      </c>
      <c r="J1363" s="29">
        <f>COUNTIFS(실시간콜입력!$B:$B,$A1363,실시간콜입력!$E:$E,"E",실시간콜입력!$G:$G,$B1363,실시간콜입력!$O:$O,"방문완료")+COUNTIFS(실시간콜입력!$B:$B,$A1363,실시간콜입력!$E:$E,"E",실시간콜입력!$H:$H,$B1363,실시간콜입력!$O:$O,"방문완료")</f>
        <v>0</v>
      </c>
      <c r="K1363" s="29">
        <f t="shared" si="184"/>
        <v>0</v>
      </c>
      <c r="L1363" s="27">
        <f>SUMIFS(실시간콜입력!$K:$K,실시간콜입력!$B:$B,$A1363,실시간콜입력!$G:$G,$B1363,실시간콜입력!$O:$O,"방문완료")+SUMIFS(실시간콜입력!$L:$L,실시간콜입력!$B:$B,$A1363,실시간콜입력!$H:$H,$B1363,실시간콜입력!$O:$O,"방문완료")</f>
        <v>0</v>
      </c>
      <c r="M1363" s="29" t="str">
        <f t="shared" si="185"/>
        <v/>
      </c>
      <c r="N1363" s="29"/>
    </row>
    <row r="1364" spans="1:14" ht="19.5" hidden="1" customHeight="1" outlineLevel="1">
      <c r="A1364" s="30">
        <f>IF(27&lt;=DAY(DATE(YEAR(설정_코스수당!$K$2),MONTH(설정_코스수당!$K$2)+1,0)),DATE(YEAR(설정_코스수당!$K$2),MONTH(설정_코스수당!$K$2),27),"")</f>
        <v>46200</v>
      </c>
      <c r="B1364" s="29" t="s">
        <v>168</v>
      </c>
      <c r="C1364" s="29"/>
      <c r="D1364" s="29"/>
      <c r="E1364" s="29" t="str">
        <f t="shared" si="183"/>
        <v/>
      </c>
      <c r="F1364" s="29">
        <f>COUNTIFS(실시간콜입력!$B:$B,$A1364,실시간콜입력!$E:$E,"A",실시간콜입력!$G:$G,$B1364,실시간콜입력!$O:$O,"방문완료")+COUNTIFS(실시간콜입력!$B:$B,$A1364,실시간콜입력!$E:$E,"A",실시간콜입력!$H:$H,$B1364,실시간콜입력!$O:$O,"방문완료")</f>
        <v>0</v>
      </c>
      <c r="G1364" s="29">
        <f>COUNTIFS(실시간콜입력!$B:$B,$A1364,실시간콜입력!$E:$E,"B",실시간콜입력!$G:$G,$B1364,실시간콜입력!$O:$O,"방문완료")+COUNTIFS(실시간콜입력!$B:$B,$A1364,실시간콜입력!$E:$E,"B",실시간콜입력!$H:$H,$B1364,실시간콜입력!$O:$O,"방문완료")</f>
        <v>0</v>
      </c>
      <c r="H1364" s="29">
        <f>COUNTIFS(실시간콜입력!$B:$B,$A1364,실시간콜입력!$E:$E,"C",실시간콜입력!$G:$G,$B1364,실시간콜입력!$O:$O,"방문완료")+COUNTIFS(실시간콜입력!$B:$B,$A1364,실시간콜입력!$E:$E,"C",실시간콜입력!$H:$H,$B1364,실시간콜입력!$O:$O,"방문완료")</f>
        <v>0</v>
      </c>
      <c r="I1364" s="29">
        <f>COUNTIFS(실시간콜입력!$B:$B,$A1364,실시간콜입력!$E:$E,"D",실시간콜입력!$G:$G,$B1364,실시간콜입력!$O:$O,"방문완료")+COUNTIFS(실시간콜입력!$B:$B,$A1364,실시간콜입력!$E:$E,"D",실시간콜입력!$H:$H,$B1364,실시간콜입력!$O:$O,"방문완료")</f>
        <v>0</v>
      </c>
      <c r="J1364" s="29">
        <f>COUNTIFS(실시간콜입력!$B:$B,$A1364,실시간콜입력!$E:$E,"E",실시간콜입력!$G:$G,$B1364,실시간콜입력!$O:$O,"방문완료")+COUNTIFS(실시간콜입력!$B:$B,$A1364,실시간콜입력!$E:$E,"E",실시간콜입력!$H:$H,$B1364,실시간콜입력!$O:$O,"방문완료")</f>
        <v>0</v>
      </c>
      <c r="K1364" s="29">
        <f t="shared" si="184"/>
        <v>0</v>
      </c>
      <c r="L1364" s="33">
        <f>SUMIFS(실시간콜입력!$K:$K,실시간콜입력!$B:$B,$A1364,실시간콜입력!$G:$G,$B1364,실시간콜입력!$O:$O,"방문완료")+SUMIFS(실시간콜입력!$L:$L,실시간콜입력!$B:$B,$A1364,실시간콜입력!$H:$H,$B1364,실시간콜입력!$O:$O,"방문완료")</f>
        <v>0</v>
      </c>
      <c r="M1364" s="29" t="str">
        <f t="shared" si="185"/>
        <v/>
      </c>
      <c r="N1364" s="29"/>
    </row>
    <row r="1365" spans="1:14" ht="19.5" hidden="1" customHeight="1" outlineLevel="1">
      <c r="A1365" s="24">
        <f>IF(27&lt;=DAY(DATE(YEAR(설정_코스수당!$K$2),MONTH(설정_코스수당!$K$2)+1,0)),DATE(YEAR(설정_코스수당!$K$2),MONTH(설정_코스수당!$K$2),27),"")</f>
        <v>46200</v>
      </c>
      <c r="B1365" s="23" t="s">
        <v>169</v>
      </c>
      <c r="C1365" s="29"/>
      <c r="D1365" s="29"/>
      <c r="E1365" s="29" t="str">
        <f t="shared" si="183"/>
        <v/>
      </c>
      <c r="F1365" s="29">
        <f>COUNTIFS(실시간콜입력!$B:$B,$A1365,실시간콜입력!$E:$E,"A",실시간콜입력!$G:$G,$B1365,실시간콜입력!$O:$O,"방문완료")+COUNTIFS(실시간콜입력!$B:$B,$A1365,실시간콜입력!$E:$E,"A",실시간콜입력!$H:$H,$B1365,실시간콜입력!$O:$O,"방문완료")</f>
        <v>0</v>
      </c>
      <c r="G1365" s="29">
        <f>COUNTIFS(실시간콜입력!$B:$B,$A1365,실시간콜입력!$E:$E,"B",실시간콜입력!$G:$G,$B1365,실시간콜입력!$O:$O,"방문완료")+COUNTIFS(실시간콜입력!$B:$B,$A1365,실시간콜입력!$E:$E,"B",실시간콜입력!$H:$H,$B1365,실시간콜입력!$O:$O,"방문완료")</f>
        <v>0</v>
      </c>
      <c r="H1365" s="29">
        <f>COUNTIFS(실시간콜입력!$B:$B,$A1365,실시간콜입력!$E:$E,"C",실시간콜입력!$G:$G,$B1365,실시간콜입력!$O:$O,"방문완료")+COUNTIFS(실시간콜입력!$B:$B,$A1365,실시간콜입력!$E:$E,"C",실시간콜입력!$H:$H,$B1365,실시간콜입력!$O:$O,"방문완료")</f>
        <v>0</v>
      </c>
      <c r="I1365" s="29">
        <f>COUNTIFS(실시간콜입력!$B:$B,$A1365,실시간콜입력!$E:$E,"D",실시간콜입력!$G:$G,$B1365,실시간콜입력!$O:$O,"방문완료")+COUNTIFS(실시간콜입력!$B:$B,$A1365,실시간콜입력!$E:$E,"D",실시간콜입력!$H:$H,$B1365,실시간콜입력!$O:$O,"방문완료")</f>
        <v>0</v>
      </c>
      <c r="J1365" s="29">
        <f>COUNTIFS(실시간콜입력!$B:$B,$A1365,실시간콜입력!$E:$E,"E",실시간콜입력!$G:$G,$B1365,실시간콜입력!$O:$O,"방문완료")+COUNTIFS(실시간콜입력!$B:$B,$A1365,실시간콜입력!$E:$E,"E",실시간콜입력!$H:$H,$B1365,실시간콜입력!$O:$O,"방문완료")</f>
        <v>0</v>
      </c>
      <c r="K1365" s="29">
        <f t="shared" si="184"/>
        <v>0</v>
      </c>
      <c r="L1365" s="27">
        <f>SUMIFS(실시간콜입력!$K:$K,실시간콜입력!$B:$B,$A1365,실시간콜입력!$G:$G,$B1365,실시간콜입력!$O:$O,"방문완료")+SUMIFS(실시간콜입력!$L:$L,실시간콜입력!$B:$B,$A1365,실시간콜입력!$H:$H,$B1365,실시간콜입력!$O:$O,"방문완료")</f>
        <v>0</v>
      </c>
      <c r="M1365" s="29" t="str">
        <f t="shared" si="185"/>
        <v/>
      </c>
      <c r="N1365" s="29"/>
    </row>
    <row r="1366" spans="1:14" ht="19.5" hidden="1" customHeight="1" outlineLevel="1">
      <c r="A1366" s="30">
        <f>IF(27&lt;=DAY(DATE(YEAR(설정_코스수당!$K$2),MONTH(설정_코스수당!$K$2)+1,0)),DATE(YEAR(설정_코스수당!$K$2),MONTH(설정_코스수당!$K$2),27),"")</f>
        <v>46200</v>
      </c>
      <c r="B1366" s="29" t="s">
        <v>170</v>
      </c>
      <c r="C1366" s="29"/>
      <c r="D1366" s="29"/>
      <c r="E1366" s="29" t="str">
        <f t="shared" si="183"/>
        <v/>
      </c>
      <c r="F1366" s="29">
        <f>COUNTIFS(실시간콜입력!$B:$B,$A1366,실시간콜입력!$E:$E,"A",실시간콜입력!$G:$G,$B1366,실시간콜입력!$O:$O,"방문완료")+COUNTIFS(실시간콜입력!$B:$B,$A1366,실시간콜입력!$E:$E,"A",실시간콜입력!$H:$H,$B1366,실시간콜입력!$O:$O,"방문완료")</f>
        <v>0</v>
      </c>
      <c r="G1366" s="29">
        <f>COUNTIFS(실시간콜입력!$B:$B,$A1366,실시간콜입력!$E:$E,"B",실시간콜입력!$G:$G,$B1366,실시간콜입력!$O:$O,"방문완료")+COUNTIFS(실시간콜입력!$B:$B,$A1366,실시간콜입력!$E:$E,"B",실시간콜입력!$H:$H,$B1366,실시간콜입력!$O:$O,"방문완료")</f>
        <v>0</v>
      </c>
      <c r="H1366" s="29">
        <f>COUNTIFS(실시간콜입력!$B:$B,$A1366,실시간콜입력!$E:$E,"C",실시간콜입력!$G:$G,$B1366,실시간콜입력!$O:$O,"방문완료")+COUNTIFS(실시간콜입력!$B:$B,$A1366,실시간콜입력!$E:$E,"C",실시간콜입력!$H:$H,$B1366,실시간콜입력!$O:$O,"방문완료")</f>
        <v>0</v>
      </c>
      <c r="I1366" s="29">
        <f>COUNTIFS(실시간콜입력!$B:$B,$A1366,실시간콜입력!$E:$E,"D",실시간콜입력!$G:$G,$B1366,실시간콜입력!$O:$O,"방문완료")+COUNTIFS(실시간콜입력!$B:$B,$A1366,실시간콜입력!$E:$E,"D",실시간콜입력!$H:$H,$B1366,실시간콜입력!$O:$O,"방문완료")</f>
        <v>0</v>
      </c>
      <c r="J1366" s="29">
        <f>COUNTIFS(실시간콜입력!$B:$B,$A1366,실시간콜입력!$E:$E,"E",실시간콜입력!$G:$G,$B1366,실시간콜입력!$O:$O,"방문완료")+COUNTIFS(실시간콜입력!$B:$B,$A1366,실시간콜입력!$E:$E,"E",실시간콜입력!$H:$H,$B1366,실시간콜입력!$O:$O,"방문완료")</f>
        <v>0</v>
      </c>
      <c r="K1366" s="29">
        <f t="shared" si="184"/>
        <v>0</v>
      </c>
      <c r="L1366" s="33">
        <f>SUMIFS(실시간콜입력!$K:$K,실시간콜입력!$B:$B,$A1366,실시간콜입력!$G:$G,$B1366,실시간콜입력!$O:$O,"방문완료")+SUMIFS(실시간콜입력!$L:$L,실시간콜입력!$B:$B,$A1366,실시간콜입력!$H:$H,$B1366,실시간콜입력!$O:$O,"방문완료")</f>
        <v>0</v>
      </c>
      <c r="M1366" s="29" t="str">
        <f t="shared" si="185"/>
        <v/>
      </c>
      <c r="N1366" s="29"/>
    </row>
    <row r="1367" spans="1:14" ht="19.5" hidden="1" customHeight="1" outlineLevel="1">
      <c r="A1367" s="24">
        <f>IF(27&lt;=DAY(DATE(YEAR(설정_코스수당!$K$2),MONTH(설정_코스수당!$K$2)+1,0)),DATE(YEAR(설정_코스수당!$K$2),MONTH(설정_코스수당!$K$2),27),"")</f>
        <v>46200</v>
      </c>
      <c r="B1367" s="23" t="s">
        <v>171</v>
      </c>
      <c r="C1367" s="29"/>
      <c r="D1367" s="29"/>
      <c r="E1367" s="29" t="str">
        <f t="shared" si="183"/>
        <v/>
      </c>
      <c r="F1367" s="29">
        <f>COUNTIFS(실시간콜입력!$B:$B,$A1367,실시간콜입력!$E:$E,"A",실시간콜입력!$G:$G,$B1367,실시간콜입력!$O:$O,"방문완료")+COUNTIFS(실시간콜입력!$B:$B,$A1367,실시간콜입력!$E:$E,"A",실시간콜입력!$H:$H,$B1367,실시간콜입력!$O:$O,"방문완료")</f>
        <v>0</v>
      </c>
      <c r="G1367" s="29">
        <f>COUNTIFS(실시간콜입력!$B:$B,$A1367,실시간콜입력!$E:$E,"B",실시간콜입력!$G:$G,$B1367,실시간콜입력!$O:$O,"방문완료")+COUNTIFS(실시간콜입력!$B:$B,$A1367,실시간콜입력!$E:$E,"B",실시간콜입력!$H:$H,$B1367,실시간콜입력!$O:$O,"방문완료")</f>
        <v>0</v>
      </c>
      <c r="H1367" s="29">
        <f>COUNTIFS(실시간콜입력!$B:$B,$A1367,실시간콜입력!$E:$E,"C",실시간콜입력!$G:$G,$B1367,실시간콜입력!$O:$O,"방문완료")+COUNTIFS(실시간콜입력!$B:$B,$A1367,실시간콜입력!$E:$E,"C",실시간콜입력!$H:$H,$B1367,실시간콜입력!$O:$O,"방문완료")</f>
        <v>0</v>
      </c>
      <c r="I1367" s="29">
        <f>COUNTIFS(실시간콜입력!$B:$B,$A1367,실시간콜입력!$E:$E,"D",실시간콜입력!$G:$G,$B1367,실시간콜입력!$O:$O,"방문완료")+COUNTIFS(실시간콜입력!$B:$B,$A1367,실시간콜입력!$E:$E,"D",실시간콜입력!$H:$H,$B1367,실시간콜입력!$O:$O,"방문완료")</f>
        <v>0</v>
      </c>
      <c r="J1367" s="29">
        <f>COUNTIFS(실시간콜입력!$B:$B,$A1367,실시간콜입력!$E:$E,"E",실시간콜입력!$G:$G,$B1367,실시간콜입력!$O:$O,"방문완료")+COUNTIFS(실시간콜입력!$B:$B,$A1367,실시간콜입력!$E:$E,"E",실시간콜입력!$H:$H,$B1367,실시간콜입력!$O:$O,"방문완료")</f>
        <v>0</v>
      </c>
      <c r="K1367" s="29">
        <f t="shared" si="184"/>
        <v>0</v>
      </c>
      <c r="L1367" s="27">
        <f>SUMIFS(실시간콜입력!$K:$K,실시간콜입력!$B:$B,$A1367,실시간콜입력!$G:$G,$B1367,실시간콜입력!$O:$O,"방문완료")+SUMIFS(실시간콜입력!$L:$L,실시간콜입력!$B:$B,$A1367,실시간콜입력!$H:$H,$B1367,실시간콜입력!$O:$O,"방문완료")</f>
        <v>0</v>
      </c>
      <c r="M1367" s="29" t="str">
        <f t="shared" si="185"/>
        <v/>
      </c>
      <c r="N1367" s="29"/>
    </row>
    <row r="1368" spans="1:14" ht="19.5" hidden="1" customHeight="1" outlineLevel="1">
      <c r="A1368" s="30">
        <f>IF(27&lt;=DAY(DATE(YEAR(설정_코스수당!$K$2),MONTH(설정_코스수당!$K$2)+1,0)),DATE(YEAR(설정_코스수당!$K$2),MONTH(설정_코스수당!$K$2),27),"")</f>
        <v>46200</v>
      </c>
      <c r="B1368" s="29" t="s">
        <v>172</v>
      </c>
      <c r="C1368" s="29"/>
      <c r="D1368" s="29"/>
      <c r="E1368" s="29" t="str">
        <f t="shared" si="183"/>
        <v/>
      </c>
      <c r="F1368" s="29">
        <f>COUNTIFS(실시간콜입력!$B:$B,$A1368,실시간콜입력!$E:$E,"A",실시간콜입력!$G:$G,$B1368,실시간콜입력!$O:$O,"방문완료")+COUNTIFS(실시간콜입력!$B:$B,$A1368,실시간콜입력!$E:$E,"A",실시간콜입력!$H:$H,$B1368,실시간콜입력!$O:$O,"방문완료")</f>
        <v>0</v>
      </c>
      <c r="G1368" s="29">
        <f>COUNTIFS(실시간콜입력!$B:$B,$A1368,실시간콜입력!$E:$E,"B",실시간콜입력!$G:$G,$B1368,실시간콜입력!$O:$O,"방문완료")+COUNTIFS(실시간콜입력!$B:$B,$A1368,실시간콜입력!$E:$E,"B",실시간콜입력!$H:$H,$B1368,실시간콜입력!$O:$O,"방문완료")</f>
        <v>0</v>
      </c>
      <c r="H1368" s="29">
        <f>COUNTIFS(실시간콜입력!$B:$B,$A1368,실시간콜입력!$E:$E,"C",실시간콜입력!$G:$G,$B1368,실시간콜입력!$O:$O,"방문완료")+COUNTIFS(실시간콜입력!$B:$B,$A1368,실시간콜입력!$E:$E,"C",실시간콜입력!$H:$H,$B1368,실시간콜입력!$O:$O,"방문완료")</f>
        <v>0</v>
      </c>
      <c r="I1368" s="29">
        <f>COUNTIFS(실시간콜입력!$B:$B,$A1368,실시간콜입력!$E:$E,"D",실시간콜입력!$G:$G,$B1368,실시간콜입력!$O:$O,"방문완료")+COUNTIFS(실시간콜입력!$B:$B,$A1368,실시간콜입력!$E:$E,"D",실시간콜입력!$H:$H,$B1368,실시간콜입력!$O:$O,"방문완료")</f>
        <v>0</v>
      </c>
      <c r="J1368" s="29">
        <f>COUNTIFS(실시간콜입력!$B:$B,$A1368,실시간콜입력!$E:$E,"E",실시간콜입력!$G:$G,$B1368,실시간콜입력!$O:$O,"방문완료")+COUNTIFS(실시간콜입력!$B:$B,$A1368,실시간콜입력!$E:$E,"E",실시간콜입력!$H:$H,$B1368,실시간콜입력!$O:$O,"방문완료")</f>
        <v>0</v>
      </c>
      <c r="K1368" s="29">
        <f t="shared" si="184"/>
        <v>0</v>
      </c>
      <c r="L1368" s="33">
        <f>SUMIFS(실시간콜입력!$K:$K,실시간콜입력!$B:$B,$A1368,실시간콜입력!$G:$G,$B1368,실시간콜입력!$O:$O,"방문완료")+SUMIFS(실시간콜입력!$L:$L,실시간콜입력!$B:$B,$A1368,실시간콜입력!$H:$H,$B1368,실시간콜입력!$O:$O,"방문완료")</f>
        <v>0</v>
      </c>
      <c r="M1368" s="29" t="str">
        <f t="shared" si="185"/>
        <v/>
      </c>
      <c r="N1368" s="29"/>
    </row>
    <row r="1369" spans="1:14" ht="19.5" hidden="1" customHeight="1" outlineLevel="1">
      <c r="A1369" s="24">
        <f>IF(27&lt;=DAY(DATE(YEAR(설정_코스수당!$K$2),MONTH(설정_코스수당!$K$2)+1,0)),DATE(YEAR(설정_코스수당!$K$2),MONTH(설정_코스수당!$K$2),27),"")</f>
        <v>46200</v>
      </c>
      <c r="B1369" s="23" t="s">
        <v>173</v>
      </c>
      <c r="C1369" s="29"/>
      <c r="D1369" s="29"/>
      <c r="E1369" s="29" t="str">
        <f t="shared" si="183"/>
        <v/>
      </c>
      <c r="F1369" s="29">
        <f>COUNTIFS(실시간콜입력!$B:$B,$A1369,실시간콜입력!$E:$E,"A",실시간콜입력!$G:$G,$B1369,실시간콜입력!$O:$O,"방문완료")+COUNTIFS(실시간콜입력!$B:$B,$A1369,실시간콜입력!$E:$E,"A",실시간콜입력!$H:$H,$B1369,실시간콜입력!$O:$O,"방문완료")</f>
        <v>0</v>
      </c>
      <c r="G1369" s="29">
        <f>COUNTIFS(실시간콜입력!$B:$B,$A1369,실시간콜입력!$E:$E,"B",실시간콜입력!$G:$G,$B1369,실시간콜입력!$O:$O,"방문완료")+COUNTIFS(실시간콜입력!$B:$B,$A1369,실시간콜입력!$E:$E,"B",실시간콜입력!$H:$H,$B1369,실시간콜입력!$O:$O,"방문완료")</f>
        <v>0</v>
      </c>
      <c r="H1369" s="29">
        <f>COUNTIFS(실시간콜입력!$B:$B,$A1369,실시간콜입력!$E:$E,"C",실시간콜입력!$G:$G,$B1369,실시간콜입력!$O:$O,"방문완료")+COUNTIFS(실시간콜입력!$B:$B,$A1369,실시간콜입력!$E:$E,"C",실시간콜입력!$H:$H,$B1369,실시간콜입력!$O:$O,"방문완료")</f>
        <v>0</v>
      </c>
      <c r="I1369" s="29">
        <f>COUNTIFS(실시간콜입력!$B:$B,$A1369,실시간콜입력!$E:$E,"D",실시간콜입력!$G:$G,$B1369,실시간콜입력!$O:$O,"방문완료")+COUNTIFS(실시간콜입력!$B:$B,$A1369,실시간콜입력!$E:$E,"D",실시간콜입력!$H:$H,$B1369,실시간콜입력!$O:$O,"방문완료")</f>
        <v>0</v>
      </c>
      <c r="J1369" s="29">
        <f>COUNTIFS(실시간콜입력!$B:$B,$A1369,실시간콜입력!$E:$E,"E",실시간콜입력!$G:$G,$B1369,실시간콜입력!$O:$O,"방문완료")+COUNTIFS(실시간콜입력!$B:$B,$A1369,실시간콜입력!$E:$E,"E",실시간콜입력!$H:$H,$B1369,실시간콜입력!$O:$O,"방문완료")</f>
        <v>0</v>
      </c>
      <c r="K1369" s="29">
        <f t="shared" si="184"/>
        <v>0</v>
      </c>
      <c r="L1369" s="27">
        <f>SUMIFS(실시간콜입력!$K:$K,실시간콜입력!$B:$B,$A1369,실시간콜입력!$G:$G,$B1369,실시간콜입력!$O:$O,"방문완료")+SUMIFS(실시간콜입력!$L:$L,실시간콜입력!$B:$B,$A1369,실시간콜입력!$H:$H,$B1369,실시간콜입력!$O:$O,"방문완료")</f>
        <v>0</v>
      </c>
      <c r="M1369" s="29" t="str">
        <f t="shared" si="185"/>
        <v/>
      </c>
      <c r="N1369" s="29"/>
    </row>
    <row r="1370" spans="1:14" ht="19.5" hidden="1" customHeight="1" outlineLevel="1">
      <c r="A1370" s="30">
        <f>IF(27&lt;=DAY(DATE(YEAR(설정_코스수당!$K$2),MONTH(설정_코스수당!$K$2)+1,0)),DATE(YEAR(설정_코스수당!$K$2),MONTH(설정_코스수당!$K$2),27),"")</f>
        <v>46200</v>
      </c>
      <c r="B1370" s="29" t="s">
        <v>174</v>
      </c>
      <c r="C1370" s="29"/>
      <c r="D1370" s="29"/>
      <c r="E1370" s="29" t="str">
        <f t="shared" si="183"/>
        <v/>
      </c>
      <c r="F1370" s="29">
        <f>COUNTIFS(실시간콜입력!$B:$B,$A1370,실시간콜입력!$E:$E,"A",실시간콜입력!$G:$G,$B1370,실시간콜입력!$O:$O,"방문완료")+COUNTIFS(실시간콜입력!$B:$B,$A1370,실시간콜입력!$E:$E,"A",실시간콜입력!$H:$H,$B1370,실시간콜입력!$O:$O,"방문완료")</f>
        <v>0</v>
      </c>
      <c r="G1370" s="29">
        <f>COUNTIFS(실시간콜입력!$B:$B,$A1370,실시간콜입력!$E:$E,"B",실시간콜입력!$G:$G,$B1370,실시간콜입력!$O:$O,"방문완료")+COUNTIFS(실시간콜입력!$B:$B,$A1370,실시간콜입력!$E:$E,"B",실시간콜입력!$H:$H,$B1370,실시간콜입력!$O:$O,"방문완료")</f>
        <v>0</v>
      </c>
      <c r="H1370" s="29">
        <f>COUNTIFS(실시간콜입력!$B:$B,$A1370,실시간콜입력!$E:$E,"C",실시간콜입력!$G:$G,$B1370,실시간콜입력!$O:$O,"방문완료")+COUNTIFS(실시간콜입력!$B:$B,$A1370,실시간콜입력!$E:$E,"C",실시간콜입력!$H:$H,$B1370,실시간콜입력!$O:$O,"방문완료")</f>
        <v>0</v>
      </c>
      <c r="I1370" s="29">
        <f>COUNTIFS(실시간콜입력!$B:$B,$A1370,실시간콜입력!$E:$E,"D",실시간콜입력!$G:$G,$B1370,실시간콜입력!$O:$O,"방문완료")+COUNTIFS(실시간콜입력!$B:$B,$A1370,실시간콜입력!$E:$E,"D",실시간콜입력!$H:$H,$B1370,실시간콜입력!$O:$O,"방문완료")</f>
        <v>0</v>
      </c>
      <c r="J1370" s="29">
        <f>COUNTIFS(실시간콜입력!$B:$B,$A1370,실시간콜입력!$E:$E,"E",실시간콜입력!$G:$G,$B1370,실시간콜입력!$O:$O,"방문완료")+COUNTIFS(실시간콜입력!$B:$B,$A1370,실시간콜입력!$E:$E,"E",실시간콜입력!$H:$H,$B1370,실시간콜입력!$O:$O,"방문완료")</f>
        <v>0</v>
      </c>
      <c r="K1370" s="29">
        <f t="shared" si="184"/>
        <v>0</v>
      </c>
      <c r="L1370" s="33">
        <f>SUMIFS(실시간콜입력!$K:$K,실시간콜입력!$B:$B,$A1370,실시간콜입력!$G:$G,$B1370,실시간콜입력!$O:$O,"방문완료")+SUMIFS(실시간콜입력!$L:$L,실시간콜입력!$B:$B,$A1370,실시간콜입력!$H:$H,$B1370,실시간콜입력!$O:$O,"방문완료")</f>
        <v>0</v>
      </c>
      <c r="M1370" s="29" t="str">
        <f t="shared" si="185"/>
        <v/>
      </c>
      <c r="N1370" s="29"/>
    </row>
    <row r="1371" spans="1:14" ht="19.5" hidden="1" customHeight="1" outlineLevel="1">
      <c r="A1371" s="24">
        <f>IF(27&lt;=DAY(DATE(YEAR(설정_코스수당!$K$2),MONTH(설정_코스수당!$K$2)+1,0)),DATE(YEAR(설정_코스수당!$K$2),MONTH(설정_코스수당!$K$2),27),"")</f>
        <v>46200</v>
      </c>
      <c r="B1371" s="23" t="s">
        <v>175</v>
      </c>
      <c r="C1371" s="29"/>
      <c r="D1371" s="29"/>
      <c r="E1371" s="29" t="str">
        <f t="shared" si="183"/>
        <v/>
      </c>
      <c r="F1371" s="29">
        <f>COUNTIFS(실시간콜입력!$B:$B,$A1371,실시간콜입력!$E:$E,"A",실시간콜입력!$G:$G,$B1371,실시간콜입력!$O:$O,"방문완료")+COUNTIFS(실시간콜입력!$B:$B,$A1371,실시간콜입력!$E:$E,"A",실시간콜입력!$H:$H,$B1371,실시간콜입력!$O:$O,"방문완료")</f>
        <v>0</v>
      </c>
      <c r="G1371" s="29">
        <f>COUNTIFS(실시간콜입력!$B:$B,$A1371,실시간콜입력!$E:$E,"B",실시간콜입력!$G:$G,$B1371,실시간콜입력!$O:$O,"방문완료")+COUNTIFS(실시간콜입력!$B:$B,$A1371,실시간콜입력!$E:$E,"B",실시간콜입력!$H:$H,$B1371,실시간콜입력!$O:$O,"방문완료")</f>
        <v>0</v>
      </c>
      <c r="H1371" s="29">
        <f>COUNTIFS(실시간콜입력!$B:$B,$A1371,실시간콜입력!$E:$E,"C",실시간콜입력!$G:$G,$B1371,실시간콜입력!$O:$O,"방문완료")+COUNTIFS(실시간콜입력!$B:$B,$A1371,실시간콜입력!$E:$E,"C",실시간콜입력!$H:$H,$B1371,실시간콜입력!$O:$O,"방문완료")</f>
        <v>0</v>
      </c>
      <c r="I1371" s="29">
        <f>COUNTIFS(실시간콜입력!$B:$B,$A1371,실시간콜입력!$E:$E,"D",실시간콜입력!$G:$G,$B1371,실시간콜입력!$O:$O,"방문완료")+COUNTIFS(실시간콜입력!$B:$B,$A1371,실시간콜입력!$E:$E,"D",실시간콜입력!$H:$H,$B1371,실시간콜입력!$O:$O,"방문완료")</f>
        <v>0</v>
      </c>
      <c r="J1371" s="29">
        <f>COUNTIFS(실시간콜입력!$B:$B,$A1371,실시간콜입력!$E:$E,"E",실시간콜입력!$G:$G,$B1371,실시간콜입력!$O:$O,"방문완료")+COUNTIFS(실시간콜입력!$B:$B,$A1371,실시간콜입력!$E:$E,"E",실시간콜입력!$H:$H,$B1371,실시간콜입력!$O:$O,"방문완료")</f>
        <v>0</v>
      </c>
      <c r="K1371" s="29">
        <f t="shared" si="184"/>
        <v>0</v>
      </c>
      <c r="L1371" s="27">
        <f>SUMIFS(실시간콜입력!$K:$K,실시간콜입력!$B:$B,$A1371,실시간콜입력!$G:$G,$B1371,실시간콜입력!$O:$O,"방문완료")+SUMIFS(실시간콜입력!$L:$L,실시간콜입력!$B:$B,$A1371,실시간콜입력!$H:$H,$B1371,실시간콜입력!$O:$O,"방문완료")</f>
        <v>0</v>
      </c>
      <c r="M1371" s="29" t="str">
        <f t="shared" si="185"/>
        <v/>
      </c>
      <c r="N1371" s="29"/>
    </row>
    <row r="1372" spans="1:14" ht="19.5" hidden="1" customHeight="1" outlineLevel="1">
      <c r="A1372" s="30">
        <f>IF(27&lt;=DAY(DATE(YEAR(설정_코스수당!$K$2),MONTH(설정_코스수당!$K$2)+1,0)),DATE(YEAR(설정_코스수당!$K$2),MONTH(설정_코스수당!$K$2),27),"")</f>
        <v>46200</v>
      </c>
      <c r="B1372" s="29" t="s">
        <v>176</v>
      </c>
      <c r="C1372" s="29"/>
      <c r="D1372" s="29"/>
      <c r="E1372" s="29" t="str">
        <f t="shared" si="183"/>
        <v/>
      </c>
      <c r="F1372" s="29">
        <f>COUNTIFS(실시간콜입력!$B:$B,$A1372,실시간콜입력!$E:$E,"A",실시간콜입력!$G:$G,$B1372,실시간콜입력!$O:$O,"방문완료")+COUNTIFS(실시간콜입력!$B:$B,$A1372,실시간콜입력!$E:$E,"A",실시간콜입력!$H:$H,$B1372,실시간콜입력!$O:$O,"방문완료")</f>
        <v>0</v>
      </c>
      <c r="G1372" s="29">
        <f>COUNTIFS(실시간콜입력!$B:$B,$A1372,실시간콜입력!$E:$E,"B",실시간콜입력!$G:$G,$B1372,실시간콜입력!$O:$O,"방문완료")+COUNTIFS(실시간콜입력!$B:$B,$A1372,실시간콜입력!$E:$E,"B",실시간콜입력!$H:$H,$B1372,실시간콜입력!$O:$O,"방문완료")</f>
        <v>0</v>
      </c>
      <c r="H1372" s="29">
        <f>COUNTIFS(실시간콜입력!$B:$B,$A1372,실시간콜입력!$E:$E,"C",실시간콜입력!$G:$G,$B1372,실시간콜입력!$O:$O,"방문완료")+COUNTIFS(실시간콜입력!$B:$B,$A1372,실시간콜입력!$E:$E,"C",실시간콜입력!$H:$H,$B1372,실시간콜입력!$O:$O,"방문완료")</f>
        <v>0</v>
      </c>
      <c r="I1372" s="29">
        <f>COUNTIFS(실시간콜입력!$B:$B,$A1372,실시간콜입력!$E:$E,"D",실시간콜입력!$G:$G,$B1372,실시간콜입력!$O:$O,"방문완료")+COUNTIFS(실시간콜입력!$B:$B,$A1372,실시간콜입력!$E:$E,"D",실시간콜입력!$H:$H,$B1372,실시간콜입력!$O:$O,"방문완료")</f>
        <v>0</v>
      </c>
      <c r="J1372" s="29">
        <f>COUNTIFS(실시간콜입력!$B:$B,$A1372,실시간콜입력!$E:$E,"E",실시간콜입력!$G:$G,$B1372,실시간콜입력!$O:$O,"방문완료")+COUNTIFS(실시간콜입력!$B:$B,$A1372,실시간콜입력!$E:$E,"E",실시간콜입력!$H:$H,$B1372,실시간콜입력!$O:$O,"방문완료")</f>
        <v>0</v>
      </c>
      <c r="K1372" s="29">
        <f t="shared" si="184"/>
        <v>0</v>
      </c>
      <c r="L1372" s="33">
        <f>SUMIFS(실시간콜입력!$K:$K,실시간콜입력!$B:$B,$A1372,실시간콜입력!$G:$G,$B1372,실시간콜입력!$O:$O,"방문완료")+SUMIFS(실시간콜입력!$L:$L,실시간콜입력!$B:$B,$A1372,실시간콜입력!$H:$H,$B1372,실시간콜입력!$O:$O,"방문완료")</f>
        <v>0</v>
      </c>
      <c r="M1372" s="29" t="str">
        <f t="shared" si="185"/>
        <v/>
      </c>
      <c r="N1372" s="29"/>
    </row>
    <row r="1373" spans="1:14" ht="19.5" hidden="1" customHeight="1" outlineLevel="1">
      <c r="A1373" s="24">
        <f>IF(27&lt;=DAY(DATE(YEAR(설정_코스수당!$K$2),MONTH(설정_코스수당!$K$2)+1,0)),DATE(YEAR(설정_코스수당!$K$2),MONTH(설정_코스수당!$K$2),27),"")</f>
        <v>46200</v>
      </c>
      <c r="B1373" s="23" t="s">
        <v>177</v>
      </c>
      <c r="C1373" s="29"/>
      <c r="D1373" s="29"/>
      <c r="E1373" s="29" t="str">
        <f t="shared" si="183"/>
        <v/>
      </c>
      <c r="F1373" s="29">
        <f>COUNTIFS(실시간콜입력!$B:$B,$A1373,실시간콜입력!$E:$E,"A",실시간콜입력!$G:$G,$B1373,실시간콜입력!$O:$O,"방문완료")+COUNTIFS(실시간콜입력!$B:$B,$A1373,실시간콜입력!$E:$E,"A",실시간콜입력!$H:$H,$B1373,실시간콜입력!$O:$O,"방문완료")</f>
        <v>0</v>
      </c>
      <c r="G1373" s="29">
        <f>COUNTIFS(실시간콜입력!$B:$B,$A1373,실시간콜입력!$E:$E,"B",실시간콜입력!$G:$G,$B1373,실시간콜입력!$O:$O,"방문완료")+COUNTIFS(실시간콜입력!$B:$B,$A1373,실시간콜입력!$E:$E,"B",실시간콜입력!$H:$H,$B1373,실시간콜입력!$O:$O,"방문완료")</f>
        <v>0</v>
      </c>
      <c r="H1373" s="29">
        <f>COUNTIFS(실시간콜입력!$B:$B,$A1373,실시간콜입력!$E:$E,"C",실시간콜입력!$G:$G,$B1373,실시간콜입력!$O:$O,"방문완료")+COUNTIFS(실시간콜입력!$B:$B,$A1373,실시간콜입력!$E:$E,"C",실시간콜입력!$H:$H,$B1373,실시간콜입력!$O:$O,"방문완료")</f>
        <v>0</v>
      </c>
      <c r="I1373" s="29">
        <f>COUNTIFS(실시간콜입력!$B:$B,$A1373,실시간콜입력!$E:$E,"D",실시간콜입력!$G:$G,$B1373,실시간콜입력!$O:$O,"방문완료")+COUNTIFS(실시간콜입력!$B:$B,$A1373,실시간콜입력!$E:$E,"D",실시간콜입력!$H:$H,$B1373,실시간콜입력!$O:$O,"방문완료")</f>
        <v>0</v>
      </c>
      <c r="J1373" s="29">
        <f>COUNTIFS(실시간콜입력!$B:$B,$A1373,실시간콜입력!$E:$E,"E",실시간콜입력!$G:$G,$B1373,실시간콜입력!$O:$O,"방문완료")+COUNTIFS(실시간콜입력!$B:$B,$A1373,실시간콜입력!$E:$E,"E",실시간콜입력!$H:$H,$B1373,실시간콜입력!$O:$O,"방문완료")</f>
        <v>0</v>
      </c>
      <c r="K1373" s="29">
        <f t="shared" si="184"/>
        <v>0</v>
      </c>
      <c r="L1373" s="27">
        <f>SUMIFS(실시간콜입력!$K:$K,실시간콜입력!$B:$B,$A1373,실시간콜입력!$G:$G,$B1373,실시간콜입력!$O:$O,"방문완료")+SUMIFS(실시간콜입력!$L:$L,실시간콜입력!$B:$B,$A1373,실시간콜입력!$H:$H,$B1373,실시간콜입력!$O:$O,"방문완료")</f>
        <v>0</v>
      </c>
      <c r="M1373" s="29" t="str">
        <f t="shared" si="185"/>
        <v/>
      </c>
      <c r="N1373" s="29"/>
    </row>
    <row r="1374" spans="1:14" ht="19.5" hidden="1" customHeight="1" outlineLevel="1">
      <c r="A1374" s="30">
        <f>IF(27&lt;=DAY(DATE(YEAR(설정_코스수당!$K$2),MONTH(설정_코스수당!$K$2)+1,0)),DATE(YEAR(설정_코스수당!$K$2),MONTH(설정_코스수당!$K$2),27),"")</f>
        <v>46200</v>
      </c>
      <c r="B1374" s="29" t="s">
        <v>178</v>
      </c>
      <c r="C1374" s="29"/>
      <c r="D1374" s="29"/>
      <c r="E1374" s="29" t="str">
        <f t="shared" si="183"/>
        <v/>
      </c>
      <c r="F1374" s="29">
        <f>COUNTIFS(실시간콜입력!$B:$B,$A1374,실시간콜입력!$E:$E,"A",실시간콜입력!$G:$G,$B1374,실시간콜입력!$O:$O,"방문완료")+COUNTIFS(실시간콜입력!$B:$B,$A1374,실시간콜입력!$E:$E,"A",실시간콜입력!$H:$H,$B1374,실시간콜입력!$O:$O,"방문완료")</f>
        <v>0</v>
      </c>
      <c r="G1374" s="29">
        <f>COUNTIFS(실시간콜입력!$B:$B,$A1374,실시간콜입력!$E:$E,"B",실시간콜입력!$G:$G,$B1374,실시간콜입력!$O:$O,"방문완료")+COUNTIFS(실시간콜입력!$B:$B,$A1374,실시간콜입력!$E:$E,"B",실시간콜입력!$H:$H,$B1374,실시간콜입력!$O:$O,"방문완료")</f>
        <v>0</v>
      </c>
      <c r="H1374" s="29">
        <f>COUNTIFS(실시간콜입력!$B:$B,$A1374,실시간콜입력!$E:$E,"C",실시간콜입력!$G:$G,$B1374,실시간콜입력!$O:$O,"방문완료")+COUNTIFS(실시간콜입력!$B:$B,$A1374,실시간콜입력!$E:$E,"C",실시간콜입력!$H:$H,$B1374,실시간콜입력!$O:$O,"방문완료")</f>
        <v>0</v>
      </c>
      <c r="I1374" s="29">
        <f>COUNTIFS(실시간콜입력!$B:$B,$A1374,실시간콜입력!$E:$E,"D",실시간콜입력!$G:$G,$B1374,실시간콜입력!$O:$O,"방문완료")+COUNTIFS(실시간콜입력!$B:$B,$A1374,실시간콜입력!$E:$E,"D",실시간콜입력!$H:$H,$B1374,실시간콜입력!$O:$O,"방문완료")</f>
        <v>0</v>
      </c>
      <c r="J1374" s="29">
        <f>COUNTIFS(실시간콜입력!$B:$B,$A1374,실시간콜입력!$E:$E,"E",실시간콜입력!$G:$G,$B1374,실시간콜입력!$O:$O,"방문완료")+COUNTIFS(실시간콜입력!$B:$B,$A1374,실시간콜입력!$E:$E,"E",실시간콜입력!$H:$H,$B1374,실시간콜입력!$O:$O,"방문완료")</f>
        <v>0</v>
      </c>
      <c r="K1374" s="29">
        <f t="shared" si="184"/>
        <v>0</v>
      </c>
      <c r="L1374" s="33">
        <f>SUMIFS(실시간콜입력!$K:$K,실시간콜입력!$B:$B,$A1374,실시간콜입력!$G:$G,$B1374,실시간콜입력!$O:$O,"방문완료")+SUMIFS(실시간콜입력!$L:$L,실시간콜입력!$B:$B,$A1374,실시간콜입력!$H:$H,$B1374,실시간콜입력!$O:$O,"방문완료")</f>
        <v>0</v>
      </c>
      <c r="M1374" s="29" t="str">
        <f t="shared" si="185"/>
        <v/>
      </c>
      <c r="N1374" s="29"/>
    </row>
    <row r="1375" spans="1:14" ht="19.5" hidden="1" customHeight="1" outlineLevel="1">
      <c r="A1375" s="24">
        <f>IF(27&lt;=DAY(DATE(YEAR(설정_코스수당!$K$2),MONTH(설정_코스수당!$K$2)+1,0)),DATE(YEAR(설정_코스수당!$K$2),MONTH(설정_코스수당!$K$2),27),"")</f>
        <v>46200</v>
      </c>
      <c r="B1375" s="23" t="s">
        <v>179</v>
      </c>
      <c r="C1375" s="29"/>
      <c r="D1375" s="29"/>
      <c r="E1375" s="29" t="str">
        <f t="shared" si="183"/>
        <v/>
      </c>
      <c r="F1375" s="29">
        <f>COUNTIFS(실시간콜입력!$B:$B,$A1375,실시간콜입력!$E:$E,"A",실시간콜입력!$G:$G,$B1375,실시간콜입력!$O:$O,"방문완료")+COUNTIFS(실시간콜입력!$B:$B,$A1375,실시간콜입력!$E:$E,"A",실시간콜입력!$H:$H,$B1375,실시간콜입력!$O:$O,"방문완료")</f>
        <v>0</v>
      </c>
      <c r="G1375" s="29">
        <f>COUNTIFS(실시간콜입력!$B:$B,$A1375,실시간콜입력!$E:$E,"B",실시간콜입력!$G:$G,$B1375,실시간콜입력!$O:$O,"방문완료")+COUNTIFS(실시간콜입력!$B:$B,$A1375,실시간콜입력!$E:$E,"B",실시간콜입력!$H:$H,$B1375,실시간콜입력!$O:$O,"방문완료")</f>
        <v>0</v>
      </c>
      <c r="H1375" s="29">
        <f>COUNTIFS(실시간콜입력!$B:$B,$A1375,실시간콜입력!$E:$E,"C",실시간콜입력!$G:$G,$B1375,실시간콜입력!$O:$O,"방문완료")+COUNTIFS(실시간콜입력!$B:$B,$A1375,실시간콜입력!$E:$E,"C",실시간콜입력!$H:$H,$B1375,실시간콜입력!$O:$O,"방문완료")</f>
        <v>0</v>
      </c>
      <c r="I1375" s="29">
        <f>COUNTIFS(실시간콜입력!$B:$B,$A1375,실시간콜입력!$E:$E,"D",실시간콜입력!$G:$G,$B1375,실시간콜입력!$O:$O,"방문완료")+COUNTIFS(실시간콜입력!$B:$B,$A1375,실시간콜입력!$E:$E,"D",실시간콜입력!$H:$H,$B1375,실시간콜입력!$O:$O,"방문완료")</f>
        <v>0</v>
      </c>
      <c r="J1375" s="29">
        <f>COUNTIFS(실시간콜입력!$B:$B,$A1375,실시간콜입력!$E:$E,"E",실시간콜입력!$G:$G,$B1375,실시간콜입력!$O:$O,"방문완료")+COUNTIFS(실시간콜입력!$B:$B,$A1375,실시간콜입력!$E:$E,"E",실시간콜입력!$H:$H,$B1375,실시간콜입력!$O:$O,"방문완료")</f>
        <v>0</v>
      </c>
      <c r="K1375" s="29">
        <f t="shared" si="184"/>
        <v>0</v>
      </c>
      <c r="L1375" s="27">
        <f>SUMIFS(실시간콜입력!$K:$K,실시간콜입력!$B:$B,$A1375,실시간콜입력!$G:$G,$B1375,실시간콜입력!$O:$O,"방문완료")+SUMIFS(실시간콜입력!$L:$L,실시간콜입력!$B:$B,$A1375,실시간콜입력!$H:$H,$B1375,실시간콜입력!$O:$O,"방문완료")</f>
        <v>0</v>
      </c>
      <c r="M1375" s="29" t="str">
        <f t="shared" si="185"/>
        <v/>
      </c>
      <c r="N1375" s="29"/>
    </row>
    <row r="1376" spans="1:14" ht="19.5" hidden="1" customHeight="1" outlineLevel="1">
      <c r="A1376" s="30">
        <f>IF(27&lt;=DAY(DATE(YEAR(설정_코스수당!$K$2),MONTH(설정_코스수당!$K$2)+1,0)),DATE(YEAR(설정_코스수당!$K$2),MONTH(설정_코스수당!$K$2),27),"")</f>
        <v>46200</v>
      </c>
      <c r="B1376" s="29" t="s">
        <v>180</v>
      </c>
      <c r="C1376" s="29"/>
      <c r="D1376" s="29"/>
      <c r="E1376" s="29" t="str">
        <f t="shared" si="183"/>
        <v/>
      </c>
      <c r="F1376" s="29">
        <f>COUNTIFS(실시간콜입력!$B:$B,$A1376,실시간콜입력!$E:$E,"A",실시간콜입력!$G:$G,$B1376,실시간콜입력!$O:$O,"방문완료")+COUNTIFS(실시간콜입력!$B:$B,$A1376,실시간콜입력!$E:$E,"A",실시간콜입력!$H:$H,$B1376,실시간콜입력!$O:$O,"방문완료")</f>
        <v>0</v>
      </c>
      <c r="G1376" s="29">
        <f>COUNTIFS(실시간콜입력!$B:$B,$A1376,실시간콜입력!$E:$E,"B",실시간콜입력!$G:$G,$B1376,실시간콜입력!$O:$O,"방문완료")+COUNTIFS(실시간콜입력!$B:$B,$A1376,실시간콜입력!$E:$E,"B",실시간콜입력!$H:$H,$B1376,실시간콜입력!$O:$O,"방문완료")</f>
        <v>0</v>
      </c>
      <c r="H1376" s="29">
        <f>COUNTIFS(실시간콜입력!$B:$B,$A1376,실시간콜입력!$E:$E,"C",실시간콜입력!$G:$G,$B1376,실시간콜입력!$O:$O,"방문완료")+COUNTIFS(실시간콜입력!$B:$B,$A1376,실시간콜입력!$E:$E,"C",실시간콜입력!$H:$H,$B1376,실시간콜입력!$O:$O,"방문완료")</f>
        <v>0</v>
      </c>
      <c r="I1376" s="29">
        <f>COUNTIFS(실시간콜입력!$B:$B,$A1376,실시간콜입력!$E:$E,"D",실시간콜입력!$G:$G,$B1376,실시간콜입력!$O:$O,"방문완료")+COUNTIFS(실시간콜입력!$B:$B,$A1376,실시간콜입력!$E:$E,"D",실시간콜입력!$H:$H,$B1376,실시간콜입력!$O:$O,"방문완료")</f>
        <v>0</v>
      </c>
      <c r="J1376" s="29">
        <f>COUNTIFS(실시간콜입력!$B:$B,$A1376,실시간콜입력!$E:$E,"E",실시간콜입력!$G:$G,$B1376,실시간콜입력!$O:$O,"방문완료")+COUNTIFS(실시간콜입력!$B:$B,$A1376,실시간콜입력!$E:$E,"E",실시간콜입력!$H:$H,$B1376,실시간콜입력!$O:$O,"방문완료")</f>
        <v>0</v>
      </c>
      <c r="K1376" s="29">
        <f t="shared" si="184"/>
        <v>0</v>
      </c>
      <c r="L1376" s="33">
        <f>SUMIFS(실시간콜입력!$K:$K,실시간콜입력!$B:$B,$A1376,실시간콜입력!$G:$G,$B1376,실시간콜입력!$O:$O,"방문완료")+SUMIFS(실시간콜입력!$L:$L,실시간콜입력!$B:$B,$A1376,실시간콜입력!$H:$H,$B1376,실시간콜입력!$O:$O,"방문완료")</f>
        <v>0</v>
      </c>
      <c r="M1376" s="29" t="str">
        <f t="shared" si="185"/>
        <v/>
      </c>
      <c r="N1376" s="29"/>
    </row>
    <row r="1377" spans="1:14" ht="19.5" hidden="1" customHeight="1" outlineLevel="1">
      <c r="A1377" s="24">
        <f>IF(27&lt;=DAY(DATE(YEAR(설정_코스수당!$K$2),MONTH(설정_코스수당!$K$2)+1,0)),DATE(YEAR(설정_코스수당!$K$2),MONTH(설정_코스수당!$K$2),27),"")</f>
        <v>46200</v>
      </c>
      <c r="B1377" s="23" t="s">
        <v>181</v>
      </c>
      <c r="C1377" s="29"/>
      <c r="D1377" s="29"/>
      <c r="E1377" s="29" t="str">
        <f t="shared" si="183"/>
        <v/>
      </c>
      <c r="F1377" s="29">
        <f>COUNTIFS(실시간콜입력!$B:$B,$A1377,실시간콜입력!$E:$E,"A",실시간콜입력!$G:$G,$B1377,실시간콜입력!$O:$O,"방문완료")+COUNTIFS(실시간콜입력!$B:$B,$A1377,실시간콜입력!$E:$E,"A",실시간콜입력!$H:$H,$B1377,실시간콜입력!$O:$O,"방문완료")</f>
        <v>0</v>
      </c>
      <c r="G1377" s="29">
        <f>COUNTIFS(실시간콜입력!$B:$B,$A1377,실시간콜입력!$E:$E,"B",실시간콜입력!$G:$G,$B1377,실시간콜입력!$O:$O,"방문완료")+COUNTIFS(실시간콜입력!$B:$B,$A1377,실시간콜입력!$E:$E,"B",실시간콜입력!$H:$H,$B1377,실시간콜입력!$O:$O,"방문완료")</f>
        <v>0</v>
      </c>
      <c r="H1377" s="29">
        <f>COUNTIFS(실시간콜입력!$B:$B,$A1377,실시간콜입력!$E:$E,"C",실시간콜입력!$G:$G,$B1377,실시간콜입력!$O:$O,"방문완료")+COUNTIFS(실시간콜입력!$B:$B,$A1377,실시간콜입력!$E:$E,"C",실시간콜입력!$H:$H,$B1377,실시간콜입력!$O:$O,"방문완료")</f>
        <v>0</v>
      </c>
      <c r="I1377" s="29">
        <f>COUNTIFS(실시간콜입력!$B:$B,$A1377,실시간콜입력!$E:$E,"D",실시간콜입력!$G:$G,$B1377,실시간콜입력!$O:$O,"방문완료")+COUNTIFS(실시간콜입력!$B:$B,$A1377,실시간콜입력!$E:$E,"D",실시간콜입력!$H:$H,$B1377,실시간콜입력!$O:$O,"방문완료")</f>
        <v>0</v>
      </c>
      <c r="J1377" s="29">
        <f>COUNTIFS(실시간콜입력!$B:$B,$A1377,실시간콜입력!$E:$E,"E",실시간콜입력!$G:$G,$B1377,실시간콜입력!$O:$O,"방문완료")+COUNTIFS(실시간콜입력!$B:$B,$A1377,실시간콜입력!$E:$E,"E",실시간콜입력!$H:$H,$B1377,실시간콜입력!$O:$O,"방문완료")</f>
        <v>0</v>
      </c>
      <c r="K1377" s="29">
        <f t="shared" si="184"/>
        <v>0</v>
      </c>
      <c r="L1377" s="27">
        <f>SUMIFS(실시간콜입력!$K:$K,실시간콜입력!$B:$B,$A1377,실시간콜입력!$G:$G,$B1377,실시간콜입력!$O:$O,"방문완료")+SUMIFS(실시간콜입력!$L:$L,실시간콜입력!$B:$B,$A1377,실시간콜입력!$H:$H,$B1377,실시간콜입력!$O:$O,"방문완료")</f>
        <v>0</v>
      </c>
      <c r="M1377" s="29" t="str">
        <f t="shared" si="185"/>
        <v/>
      </c>
      <c r="N1377" s="29"/>
    </row>
    <row r="1378" spans="1:14" ht="19.5" hidden="1" customHeight="1" outlineLevel="1">
      <c r="A1378" s="30">
        <f>IF(27&lt;=DAY(DATE(YEAR(설정_코스수당!$K$2),MONTH(설정_코스수당!$K$2)+1,0)),DATE(YEAR(설정_코스수당!$K$2),MONTH(설정_코스수당!$K$2),27),"")</f>
        <v>46200</v>
      </c>
      <c r="B1378" s="29" t="s">
        <v>182</v>
      </c>
      <c r="C1378" s="29"/>
      <c r="D1378" s="29"/>
      <c r="E1378" s="29" t="str">
        <f t="shared" si="183"/>
        <v/>
      </c>
      <c r="F1378" s="29">
        <f>COUNTIFS(실시간콜입력!$B:$B,$A1378,실시간콜입력!$E:$E,"A",실시간콜입력!$G:$G,$B1378,실시간콜입력!$O:$O,"방문완료")+COUNTIFS(실시간콜입력!$B:$B,$A1378,실시간콜입력!$E:$E,"A",실시간콜입력!$H:$H,$B1378,실시간콜입력!$O:$O,"방문완료")</f>
        <v>0</v>
      </c>
      <c r="G1378" s="29">
        <f>COUNTIFS(실시간콜입력!$B:$B,$A1378,실시간콜입력!$E:$E,"B",실시간콜입력!$G:$G,$B1378,실시간콜입력!$O:$O,"방문완료")+COUNTIFS(실시간콜입력!$B:$B,$A1378,실시간콜입력!$E:$E,"B",실시간콜입력!$H:$H,$B1378,실시간콜입력!$O:$O,"방문완료")</f>
        <v>0</v>
      </c>
      <c r="H1378" s="29">
        <f>COUNTIFS(실시간콜입력!$B:$B,$A1378,실시간콜입력!$E:$E,"C",실시간콜입력!$G:$G,$B1378,실시간콜입력!$O:$O,"방문완료")+COUNTIFS(실시간콜입력!$B:$B,$A1378,실시간콜입력!$E:$E,"C",실시간콜입력!$H:$H,$B1378,실시간콜입력!$O:$O,"방문완료")</f>
        <v>0</v>
      </c>
      <c r="I1378" s="29">
        <f>COUNTIFS(실시간콜입력!$B:$B,$A1378,실시간콜입력!$E:$E,"D",실시간콜입력!$G:$G,$B1378,실시간콜입력!$O:$O,"방문완료")+COUNTIFS(실시간콜입력!$B:$B,$A1378,실시간콜입력!$E:$E,"D",실시간콜입력!$H:$H,$B1378,실시간콜입력!$O:$O,"방문완료")</f>
        <v>0</v>
      </c>
      <c r="J1378" s="29">
        <f>COUNTIFS(실시간콜입력!$B:$B,$A1378,실시간콜입력!$E:$E,"E",실시간콜입력!$G:$G,$B1378,실시간콜입력!$O:$O,"방문완료")+COUNTIFS(실시간콜입력!$B:$B,$A1378,실시간콜입력!$E:$E,"E",실시간콜입력!$H:$H,$B1378,실시간콜입력!$O:$O,"방문완료")</f>
        <v>0</v>
      </c>
      <c r="K1378" s="29">
        <f t="shared" si="184"/>
        <v>0</v>
      </c>
      <c r="L1378" s="33">
        <f>SUMIFS(실시간콜입력!$K:$K,실시간콜입력!$B:$B,$A1378,실시간콜입력!$G:$G,$B1378,실시간콜입력!$O:$O,"방문완료")+SUMIFS(실시간콜입력!$L:$L,실시간콜입력!$B:$B,$A1378,실시간콜입력!$H:$H,$B1378,실시간콜입력!$O:$O,"방문완료")</f>
        <v>0</v>
      </c>
      <c r="M1378" s="29" t="str">
        <f t="shared" si="185"/>
        <v/>
      </c>
      <c r="N1378" s="29"/>
    </row>
    <row r="1379" spans="1:14" ht="19.5" hidden="1" customHeight="1" outlineLevel="1">
      <c r="A1379" s="24">
        <f>IF(27&lt;=DAY(DATE(YEAR(설정_코스수당!$K$2),MONTH(설정_코스수당!$K$2)+1,0)),DATE(YEAR(설정_코스수당!$K$2),MONTH(설정_코스수당!$K$2),27),"")</f>
        <v>46200</v>
      </c>
      <c r="B1379" s="23" t="s">
        <v>183</v>
      </c>
      <c r="C1379" s="29"/>
      <c r="D1379" s="29"/>
      <c r="E1379" s="29" t="str">
        <f t="shared" si="183"/>
        <v/>
      </c>
      <c r="F1379" s="29">
        <f>COUNTIFS(실시간콜입력!$B:$B,$A1379,실시간콜입력!$E:$E,"A",실시간콜입력!$G:$G,$B1379,실시간콜입력!$O:$O,"방문완료")+COUNTIFS(실시간콜입력!$B:$B,$A1379,실시간콜입력!$E:$E,"A",실시간콜입력!$H:$H,$B1379,실시간콜입력!$O:$O,"방문완료")</f>
        <v>0</v>
      </c>
      <c r="G1379" s="29">
        <f>COUNTIFS(실시간콜입력!$B:$B,$A1379,실시간콜입력!$E:$E,"B",실시간콜입력!$G:$G,$B1379,실시간콜입력!$O:$O,"방문완료")+COUNTIFS(실시간콜입력!$B:$B,$A1379,실시간콜입력!$E:$E,"B",실시간콜입력!$H:$H,$B1379,실시간콜입력!$O:$O,"방문완료")</f>
        <v>0</v>
      </c>
      <c r="H1379" s="29">
        <f>COUNTIFS(실시간콜입력!$B:$B,$A1379,실시간콜입력!$E:$E,"C",실시간콜입력!$G:$G,$B1379,실시간콜입력!$O:$O,"방문완료")+COUNTIFS(실시간콜입력!$B:$B,$A1379,실시간콜입력!$E:$E,"C",실시간콜입력!$H:$H,$B1379,실시간콜입력!$O:$O,"방문완료")</f>
        <v>0</v>
      </c>
      <c r="I1379" s="29">
        <f>COUNTIFS(실시간콜입력!$B:$B,$A1379,실시간콜입력!$E:$E,"D",실시간콜입력!$G:$G,$B1379,실시간콜입력!$O:$O,"방문완료")+COUNTIFS(실시간콜입력!$B:$B,$A1379,실시간콜입력!$E:$E,"D",실시간콜입력!$H:$H,$B1379,실시간콜입력!$O:$O,"방문완료")</f>
        <v>0</v>
      </c>
      <c r="J1379" s="29">
        <f>COUNTIFS(실시간콜입력!$B:$B,$A1379,실시간콜입력!$E:$E,"E",실시간콜입력!$G:$G,$B1379,실시간콜입력!$O:$O,"방문완료")+COUNTIFS(실시간콜입력!$B:$B,$A1379,실시간콜입력!$E:$E,"E",실시간콜입력!$H:$H,$B1379,실시간콜입력!$O:$O,"방문완료")</f>
        <v>0</v>
      </c>
      <c r="K1379" s="29">
        <f t="shared" si="184"/>
        <v>0</v>
      </c>
      <c r="L1379" s="27">
        <f>SUMIFS(실시간콜입력!$K:$K,실시간콜입력!$B:$B,$A1379,실시간콜입력!$G:$G,$B1379,실시간콜입력!$O:$O,"방문완료")+SUMIFS(실시간콜입력!$L:$L,실시간콜입력!$B:$B,$A1379,실시간콜입력!$H:$H,$B1379,실시간콜입력!$O:$O,"방문완료")</f>
        <v>0</v>
      </c>
      <c r="M1379" s="29" t="str">
        <f t="shared" si="185"/>
        <v/>
      </c>
      <c r="N1379" s="29"/>
    </row>
    <row r="1380" spans="1:14" ht="19.5" hidden="1" customHeight="1" outlineLevel="1">
      <c r="A1380" s="30">
        <f>IF(27&lt;=DAY(DATE(YEAR(설정_코스수당!$K$2),MONTH(설정_코스수당!$K$2)+1,0)),DATE(YEAR(설정_코스수당!$K$2),MONTH(설정_코스수당!$K$2),27),"")</f>
        <v>46200</v>
      </c>
      <c r="B1380" s="29" t="s">
        <v>184</v>
      </c>
      <c r="C1380" s="29"/>
      <c r="D1380" s="29"/>
      <c r="E1380" s="29" t="str">
        <f t="shared" si="183"/>
        <v/>
      </c>
      <c r="F1380" s="29">
        <f>COUNTIFS(실시간콜입력!$B:$B,$A1380,실시간콜입력!$E:$E,"A",실시간콜입력!$G:$G,$B1380,실시간콜입력!$O:$O,"방문완료")+COUNTIFS(실시간콜입력!$B:$B,$A1380,실시간콜입력!$E:$E,"A",실시간콜입력!$H:$H,$B1380,실시간콜입력!$O:$O,"방문완료")</f>
        <v>0</v>
      </c>
      <c r="G1380" s="29">
        <f>COUNTIFS(실시간콜입력!$B:$B,$A1380,실시간콜입력!$E:$E,"B",실시간콜입력!$G:$G,$B1380,실시간콜입력!$O:$O,"방문완료")+COUNTIFS(실시간콜입력!$B:$B,$A1380,실시간콜입력!$E:$E,"B",실시간콜입력!$H:$H,$B1380,실시간콜입력!$O:$O,"방문완료")</f>
        <v>0</v>
      </c>
      <c r="H1380" s="29">
        <f>COUNTIFS(실시간콜입력!$B:$B,$A1380,실시간콜입력!$E:$E,"C",실시간콜입력!$G:$G,$B1380,실시간콜입력!$O:$O,"방문완료")+COUNTIFS(실시간콜입력!$B:$B,$A1380,실시간콜입력!$E:$E,"C",실시간콜입력!$H:$H,$B1380,실시간콜입력!$O:$O,"방문완료")</f>
        <v>0</v>
      </c>
      <c r="I1380" s="29">
        <f>COUNTIFS(실시간콜입력!$B:$B,$A1380,실시간콜입력!$E:$E,"D",실시간콜입력!$G:$G,$B1380,실시간콜입력!$O:$O,"방문완료")+COUNTIFS(실시간콜입력!$B:$B,$A1380,실시간콜입력!$E:$E,"D",실시간콜입력!$H:$H,$B1380,실시간콜입력!$O:$O,"방문완료")</f>
        <v>0</v>
      </c>
      <c r="J1380" s="29">
        <f>COUNTIFS(실시간콜입력!$B:$B,$A1380,실시간콜입력!$E:$E,"E",실시간콜입력!$G:$G,$B1380,실시간콜입력!$O:$O,"방문완료")+COUNTIFS(실시간콜입력!$B:$B,$A1380,실시간콜입력!$E:$E,"E",실시간콜입력!$H:$H,$B1380,실시간콜입력!$O:$O,"방문완료")</f>
        <v>0</v>
      </c>
      <c r="K1380" s="29">
        <f t="shared" si="184"/>
        <v>0</v>
      </c>
      <c r="L1380" s="33">
        <f>SUMIFS(실시간콜입력!$K:$K,실시간콜입력!$B:$B,$A1380,실시간콜입력!$G:$G,$B1380,실시간콜입력!$O:$O,"방문완료")+SUMIFS(실시간콜입력!$L:$L,실시간콜입력!$B:$B,$A1380,실시간콜입력!$H:$H,$B1380,실시간콜입력!$O:$O,"방문완료")</f>
        <v>0</v>
      </c>
      <c r="M1380" s="29" t="str">
        <f t="shared" si="185"/>
        <v/>
      </c>
      <c r="N1380" s="29"/>
    </row>
    <row r="1381" spans="1:14" ht="19.5" hidden="1" customHeight="1" outlineLevel="1">
      <c r="A1381" s="24">
        <f>IF(27&lt;=DAY(DATE(YEAR(설정_코스수당!$K$2),MONTH(설정_코스수당!$K$2)+1,0)),DATE(YEAR(설정_코스수당!$K$2),MONTH(설정_코스수당!$K$2),27),"")</f>
        <v>46200</v>
      </c>
      <c r="B1381" s="23" t="s">
        <v>185</v>
      </c>
      <c r="C1381" s="29"/>
      <c r="D1381" s="29"/>
      <c r="E1381" s="29" t="str">
        <f t="shared" si="183"/>
        <v/>
      </c>
      <c r="F1381" s="29">
        <f>COUNTIFS(실시간콜입력!$B:$B,$A1381,실시간콜입력!$E:$E,"A",실시간콜입력!$G:$G,$B1381,실시간콜입력!$O:$O,"방문완료")+COUNTIFS(실시간콜입력!$B:$B,$A1381,실시간콜입력!$E:$E,"A",실시간콜입력!$H:$H,$B1381,실시간콜입력!$O:$O,"방문완료")</f>
        <v>0</v>
      </c>
      <c r="G1381" s="29">
        <f>COUNTIFS(실시간콜입력!$B:$B,$A1381,실시간콜입력!$E:$E,"B",실시간콜입력!$G:$G,$B1381,실시간콜입력!$O:$O,"방문완료")+COUNTIFS(실시간콜입력!$B:$B,$A1381,실시간콜입력!$E:$E,"B",실시간콜입력!$H:$H,$B1381,실시간콜입력!$O:$O,"방문완료")</f>
        <v>0</v>
      </c>
      <c r="H1381" s="29">
        <f>COUNTIFS(실시간콜입력!$B:$B,$A1381,실시간콜입력!$E:$E,"C",실시간콜입력!$G:$G,$B1381,실시간콜입력!$O:$O,"방문완료")+COUNTIFS(실시간콜입력!$B:$B,$A1381,실시간콜입력!$E:$E,"C",실시간콜입력!$H:$H,$B1381,실시간콜입력!$O:$O,"방문완료")</f>
        <v>0</v>
      </c>
      <c r="I1381" s="29">
        <f>COUNTIFS(실시간콜입력!$B:$B,$A1381,실시간콜입력!$E:$E,"D",실시간콜입력!$G:$G,$B1381,실시간콜입력!$O:$O,"방문완료")+COUNTIFS(실시간콜입력!$B:$B,$A1381,실시간콜입력!$E:$E,"D",실시간콜입력!$H:$H,$B1381,실시간콜입력!$O:$O,"방문완료")</f>
        <v>0</v>
      </c>
      <c r="J1381" s="29">
        <f>COUNTIFS(실시간콜입력!$B:$B,$A1381,실시간콜입력!$E:$E,"E",실시간콜입력!$G:$G,$B1381,실시간콜입력!$O:$O,"방문완료")+COUNTIFS(실시간콜입력!$B:$B,$A1381,실시간콜입력!$E:$E,"E",실시간콜입력!$H:$H,$B1381,실시간콜입력!$O:$O,"방문완료")</f>
        <v>0</v>
      </c>
      <c r="K1381" s="29">
        <f t="shared" si="184"/>
        <v>0</v>
      </c>
      <c r="L1381" s="27">
        <f>SUMIFS(실시간콜입력!$K:$K,실시간콜입력!$B:$B,$A1381,실시간콜입력!$G:$G,$B1381,실시간콜입력!$O:$O,"방문완료")+SUMIFS(실시간콜입력!$L:$L,실시간콜입력!$B:$B,$A1381,실시간콜입력!$H:$H,$B1381,실시간콜입력!$O:$O,"방문완료")</f>
        <v>0</v>
      </c>
      <c r="M1381" s="29" t="str">
        <f t="shared" si="185"/>
        <v/>
      </c>
      <c r="N1381" s="29"/>
    </row>
    <row r="1382" spans="1:14" ht="19.5" hidden="1" customHeight="1" outlineLevel="1">
      <c r="A1382" s="30">
        <f>IF(27&lt;=DAY(DATE(YEAR(설정_코스수당!$K$2),MONTH(설정_코스수당!$K$2)+1,0)),DATE(YEAR(설정_코스수당!$K$2),MONTH(설정_코스수당!$K$2),27),"")</f>
        <v>46200</v>
      </c>
      <c r="B1382" s="29" t="s">
        <v>186</v>
      </c>
      <c r="C1382" s="29"/>
      <c r="D1382" s="29"/>
      <c r="E1382" s="29" t="str">
        <f t="shared" si="183"/>
        <v/>
      </c>
      <c r="F1382" s="29">
        <f>COUNTIFS(실시간콜입력!$B:$B,$A1382,실시간콜입력!$E:$E,"A",실시간콜입력!$G:$G,$B1382,실시간콜입력!$O:$O,"방문완료")+COUNTIFS(실시간콜입력!$B:$B,$A1382,실시간콜입력!$E:$E,"A",실시간콜입력!$H:$H,$B1382,실시간콜입력!$O:$O,"방문완료")</f>
        <v>0</v>
      </c>
      <c r="G1382" s="29">
        <f>COUNTIFS(실시간콜입력!$B:$B,$A1382,실시간콜입력!$E:$E,"B",실시간콜입력!$G:$G,$B1382,실시간콜입력!$O:$O,"방문완료")+COUNTIFS(실시간콜입력!$B:$B,$A1382,실시간콜입력!$E:$E,"B",실시간콜입력!$H:$H,$B1382,실시간콜입력!$O:$O,"방문완료")</f>
        <v>0</v>
      </c>
      <c r="H1382" s="29">
        <f>COUNTIFS(실시간콜입력!$B:$B,$A1382,실시간콜입력!$E:$E,"C",실시간콜입력!$G:$G,$B1382,실시간콜입력!$O:$O,"방문완료")+COUNTIFS(실시간콜입력!$B:$B,$A1382,실시간콜입력!$E:$E,"C",실시간콜입력!$H:$H,$B1382,실시간콜입력!$O:$O,"방문완료")</f>
        <v>0</v>
      </c>
      <c r="I1382" s="29">
        <f>COUNTIFS(실시간콜입력!$B:$B,$A1382,실시간콜입력!$E:$E,"D",실시간콜입력!$G:$G,$B1382,실시간콜입력!$O:$O,"방문완료")+COUNTIFS(실시간콜입력!$B:$B,$A1382,실시간콜입력!$E:$E,"D",실시간콜입력!$H:$H,$B1382,실시간콜입력!$O:$O,"방문완료")</f>
        <v>0</v>
      </c>
      <c r="J1382" s="29">
        <f>COUNTIFS(실시간콜입력!$B:$B,$A1382,실시간콜입력!$E:$E,"E",실시간콜입력!$G:$G,$B1382,실시간콜입력!$O:$O,"방문완료")+COUNTIFS(실시간콜입력!$B:$B,$A1382,실시간콜입력!$E:$E,"E",실시간콜입력!$H:$H,$B1382,실시간콜입력!$O:$O,"방문완료")</f>
        <v>0</v>
      </c>
      <c r="K1382" s="29">
        <f t="shared" si="184"/>
        <v>0</v>
      </c>
      <c r="L1382" s="33">
        <f>SUMIFS(실시간콜입력!$K:$K,실시간콜입력!$B:$B,$A1382,실시간콜입력!$G:$G,$B1382,실시간콜입력!$O:$O,"방문완료")+SUMIFS(실시간콜입력!$L:$L,실시간콜입력!$B:$B,$A1382,실시간콜입력!$H:$H,$B1382,실시간콜입력!$O:$O,"방문완료")</f>
        <v>0</v>
      </c>
      <c r="M1382" s="29" t="str">
        <f t="shared" si="185"/>
        <v/>
      </c>
      <c r="N1382" s="29"/>
    </row>
    <row r="1383" spans="1:14" ht="19.5" hidden="1" customHeight="1" outlineLevel="1">
      <c r="A1383" s="24">
        <f>IF(27&lt;=DAY(DATE(YEAR(설정_코스수당!$K$2),MONTH(설정_코스수당!$K$2)+1,0)),DATE(YEAR(설정_코스수당!$K$2),MONTH(설정_코스수당!$K$2),27),"")</f>
        <v>46200</v>
      </c>
      <c r="B1383" s="23" t="s">
        <v>187</v>
      </c>
      <c r="C1383" s="29"/>
      <c r="D1383" s="29"/>
      <c r="E1383" s="29" t="str">
        <f t="shared" si="183"/>
        <v/>
      </c>
      <c r="F1383" s="29">
        <f>COUNTIFS(실시간콜입력!$B:$B,$A1383,실시간콜입력!$E:$E,"A",실시간콜입력!$G:$G,$B1383,실시간콜입력!$O:$O,"방문완료")+COUNTIFS(실시간콜입력!$B:$B,$A1383,실시간콜입력!$E:$E,"A",실시간콜입력!$H:$H,$B1383,실시간콜입력!$O:$O,"방문완료")</f>
        <v>0</v>
      </c>
      <c r="G1383" s="29">
        <f>COUNTIFS(실시간콜입력!$B:$B,$A1383,실시간콜입력!$E:$E,"B",실시간콜입력!$G:$G,$B1383,실시간콜입력!$O:$O,"방문완료")+COUNTIFS(실시간콜입력!$B:$B,$A1383,실시간콜입력!$E:$E,"B",실시간콜입력!$H:$H,$B1383,실시간콜입력!$O:$O,"방문완료")</f>
        <v>0</v>
      </c>
      <c r="H1383" s="29">
        <f>COUNTIFS(실시간콜입력!$B:$B,$A1383,실시간콜입력!$E:$E,"C",실시간콜입력!$G:$G,$B1383,실시간콜입력!$O:$O,"방문완료")+COUNTIFS(실시간콜입력!$B:$B,$A1383,실시간콜입력!$E:$E,"C",실시간콜입력!$H:$H,$B1383,실시간콜입력!$O:$O,"방문완료")</f>
        <v>0</v>
      </c>
      <c r="I1383" s="29">
        <f>COUNTIFS(실시간콜입력!$B:$B,$A1383,실시간콜입력!$E:$E,"D",실시간콜입력!$G:$G,$B1383,실시간콜입력!$O:$O,"방문완료")+COUNTIFS(실시간콜입력!$B:$B,$A1383,실시간콜입력!$E:$E,"D",실시간콜입력!$H:$H,$B1383,실시간콜입력!$O:$O,"방문완료")</f>
        <v>0</v>
      </c>
      <c r="J1383" s="29">
        <f>COUNTIFS(실시간콜입력!$B:$B,$A1383,실시간콜입력!$E:$E,"E",실시간콜입력!$G:$G,$B1383,실시간콜입력!$O:$O,"방문완료")+COUNTIFS(실시간콜입력!$B:$B,$A1383,실시간콜입력!$E:$E,"E",실시간콜입력!$H:$H,$B1383,실시간콜입력!$O:$O,"방문완료")</f>
        <v>0</v>
      </c>
      <c r="K1383" s="29">
        <f t="shared" si="184"/>
        <v>0</v>
      </c>
      <c r="L1383" s="27">
        <f>SUMIFS(실시간콜입력!$K:$K,실시간콜입력!$B:$B,$A1383,실시간콜입력!$G:$G,$B1383,실시간콜입력!$O:$O,"방문완료")+SUMIFS(실시간콜입력!$L:$L,실시간콜입력!$B:$B,$A1383,실시간콜입력!$H:$H,$B1383,실시간콜입력!$O:$O,"방문완료")</f>
        <v>0</v>
      </c>
      <c r="M1383" s="29" t="str">
        <f t="shared" si="185"/>
        <v/>
      </c>
      <c r="N1383" s="29"/>
    </row>
    <row r="1384" spans="1:14" ht="19.5" hidden="1" customHeight="1" outlineLevel="1">
      <c r="A1384" s="30">
        <f>IF(27&lt;=DAY(DATE(YEAR(설정_코스수당!$K$2),MONTH(설정_코스수당!$K$2)+1,0)),DATE(YEAR(설정_코스수당!$K$2),MONTH(설정_코스수당!$K$2),27),"")</f>
        <v>46200</v>
      </c>
      <c r="B1384" s="29" t="s">
        <v>188</v>
      </c>
      <c r="C1384" s="29"/>
      <c r="D1384" s="29"/>
      <c r="E1384" s="29" t="str">
        <f t="shared" si="183"/>
        <v/>
      </c>
      <c r="F1384" s="29">
        <f>COUNTIFS(실시간콜입력!$B:$B,$A1384,실시간콜입력!$E:$E,"A",실시간콜입력!$G:$G,$B1384,실시간콜입력!$O:$O,"방문완료")+COUNTIFS(실시간콜입력!$B:$B,$A1384,실시간콜입력!$E:$E,"A",실시간콜입력!$H:$H,$B1384,실시간콜입력!$O:$O,"방문완료")</f>
        <v>0</v>
      </c>
      <c r="G1384" s="29">
        <f>COUNTIFS(실시간콜입력!$B:$B,$A1384,실시간콜입력!$E:$E,"B",실시간콜입력!$G:$G,$B1384,실시간콜입력!$O:$O,"방문완료")+COUNTIFS(실시간콜입력!$B:$B,$A1384,실시간콜입력!$E:$E,"B",실시간콜입력!$H:$H,$B1384,실시간콜입력!$O:$O,"방문완료")</f>
        <v>0</v>
      </c>
      <c r="H1384" s="29">
        <f>COUNTIFS(실시간콜입력!$B:$B,$A1384,실시간콜입력!$E:$E,"C",실시간콜입력!$G:$G,$B1384,실시간콜입력!$O:$O,"방문완료")+COUNTIFS(실시간콜입력!$B:$B,$A1384,실시간콜입력!$E:$E,"C",실시간콜입력!$H:$H,$B1384,실시간콜입력!$O:$O,"방문완료")</f>
        <v>0</v>
      </c>
      <c r="I1384" s="29">
        <f>COUNTIFS(실시간콜입력!$B:$B,$A1384,실시간콜입력!$E:$E,"D",실시간콜입력!$G:$G,$B1384,실시간콜입력!$O:$O,"방문완료")+COUNTIFS(실시간콜입력!$B:$B,$A1384,실시간콜입력!$E:$E,"D",실시간콜입력!$H:$H,$B1384,실시간콜입력!$O:$O,"방문완료")</f>
        <v>0</v>
      </c>
      <c r="J1384" s="29">
        <f>COUNTIFS(실시간콜입력!$B:$B,$A1384,실시간콜입력!$E:$E,"E",실시간콜입력!$G:$G,$B1384,실시간콜입력!$O:$O,"방문완료")+COUNTIFS(실시간콜입력!$B:$B,$A1384,실시간콜입력!$E:$E,"E",실시간콜입력!$H:$H,$B1384,실시간콜입력!$O:$O,"방문완료")</f>
        <v>0</v>
      </c>
      <c r="K1384" s="29">
        <f t="shared" si="184"/>
        <v>0</v>
      </c>
      <c r="L1384" s="33">
        <f>SUMIFS(실시간콜입력!$K:$K,실시간콜입력!$B:$B,$A1384,실시간콜입력!$G:$G,$B1384,실시간콜입력!$O:$O,"방문완료")+SUMIFS(실시간콜입력!$L:$L,실시간콜입력!$B:$B,$A1384,실시간콜입력!$H:$H,$B1384,실시간콜입력!$O:$O,"방문완료")</f>
        <v>0</v>
      </c>
      <c r="M1384" s="29" t="str">
        <f t="shared" si="185"/>
        <v/>
      </c>
      <c r="N1384" s="29"/>
    </row>
    <row r="1385" spans="1:14" ht="19.5" hidden="1" customHeight="1" outlineLevel="1">
      <c r="A1385" s="24">
        <f>IF(27&lt;=DAY(DATE(YEAR(설정_코스수당!$K$2),MONTH(설정_코스수당!$K$2)+1,0)),DATE(YEAR(설정_코스수당!$K$2),MONTH(설정_코스수당!$K$2),27),"")</f>
        <v>46200</v>
      </c>
      <c r="B1385" s="23" t="s">
        <v>189</v>
      </c>
      <c r="C1385" s="29"/>
      <c r="D1385" s="29"/>
      <c r="E1385" s="29" t="str">
        <f t="shared" si="183"/>
        <v/>
      </c>
      <c r="F1385" s="29">
        <f>COUNTIFS(실시간콜입력!$B:$B,$A1385,실시간콜입력!$E:$E,"A",실시간콜입력!$G:$G,$B1385,실시간콜입력!$O:$O,"방문완료")+COUNTIFS(실시간콜입력!$B:$B,$A1385,실시간콜입력!$E:$E,"A",실시간콜입력!$H:$H,$B1385,실시간콜입력!$O:$O,"방문완료")</f>
        <v>0</v>
      </c>
      <c r="G1385" s="29">
        <f>COUNTIFS(실시간콜입력!$B:$B,$A1385,실시간콜입력!$E:$E,"B",실시간콜입력!$G:$G,$B1385,실시간콜입력!$O:$O,"방문완료")+COUNTIFS(실시간콜입력!$B:$B,$A1385,실시간콜입력!$E:$E,"B",실시간콜입력!$H:$H,$B1385,실시간콜입력!$O:$O,"방문완료")</f>
        <v>0</v>
      </c>
      <c r="H1385" s="29">
        <f>COUNTIFS(실시간콜입력!$B:$B,$A1385,실시간콜입력!$E:$E,"C",실시간콜입력!$G:$G,$B1385,실시간콜입력!$O:$O,"방문완료")+COUNTIFS(실시간콜입력!$B:$B,$A1385,실시간콜입력!$E:$E,"C",실시간콜입력!$H:$H,$B1385,실시간콜입력!$O:$O,"방문완료")</f>
        <v>0</v>
      </c>
      <c r="I1385" s="29">
        <f>COUNTIFS(실시간콜입력!$B:$B,$A1385,실시간콜입력!$E:$E,"D",실시간콜입력!$G:$G,$B1385,실시간콜입력!$O:$O,"방문완료")+COUNTIFS(실시간콜입력!$B:$B,$A1385,실시간콜입력!$E:$E,"D",실시간콜입력!$H:$H,$B1385,실시간콜입력!$O:$O,"방문완료")</f>
        <v>0</v>
      </c>
      <c r="J1385" s="29">
        <f>COUNTIFS(실시간콜입력!$B:$B,$A1385,실시간콜입력!$E:$E,"E",실시간콜입력!$G:$G,$B1385,실시간콜입력!$O:$O,"방문완료")+COUNTIFS(실시간콜입력!$B:$B,$A1385,실시간콜입력!$E:$E,"E",실시간콜입력!$H:$H,$B1385,실시간콜입력!$O:$O,"방문완료")</f>
        <v>0</v>
      </c>
      <c r="K1385" s="29">
        <f t="shared" si="184"/>
        <v>0</v>
      </c>
      <c r="L1385" s="27">
        <f>SUMIFS(실시간콜입력!$K:$K,실시간콜입력!$B:$B,$A1385,실시간콜입력!$G:$G,$B1385,실시간콜입력!$O:$O,"방문완료")+SUMIFS(실시간콜입력!$L:$L,실시간콜입력!$B:$B,$A1385,실시간콜입력!$H:$H,$B1385,실시간콜입력!$O:$O,"방문완료")</f>
        <v>0</v>
      </c>
      <c r="M1385" s="29" t="str">
        <f t="shared" si="185"/>
        <v/>
      </c>
      <c r="N1385" s="29"/>
    </row>
    <row r="1386" spans="1:14" ht="19.5" hidden="1" customHeight="1" outlineLevel="1">
      <c r="A1386" s="30">
        <f>IF(27&lt;=DAY(DATE(YEAR(설정_코스수당!$K$2),MONTH(설정_코스수당!$K$2)+1,0)),DATE(YEAR(설정_코스수당!$K$2),MONTH(설정_코스수당!$K$2),27),"")</f>
        <v>46200</v>
      </c>
      <c r="B1386" s="29" t="s">
        <v>190</v>
      </c>
      <c r="C1386" s="29"/>
      <c r="D1386" s="29"/>
      <c r="E1386" s="29" t="str">
        <f t="shared" si="183"/>
        <v/>
      </c>
      <c r="F1386" s="29">
        <f>COUNTIFS(실시간콜입력!$B:$B,$A1386,실시간콜입력!$E:$E,"A",실시간콜입력!$G:$G,$B1386,실시간콜입력!$O:$O,"방문완료")+COUNTIFS(실시간콜입력!$B:$B,$A1386,실시간콜입력!$E:$E,"A",실시간콜입력!$H:$H,$B1386,실시간콜입력!$O:$O,"방문완료")</f>
        <v>0</v>
      </c>
      <c r="G1386" s="29">
        <f>COUNTIFS(실시간콜입력!$B:$B,$A1386,실시간콜입력!$E:$E,"B",실시간콜입력!$G:$G,$B1386,실시간콜입력!$O:$O,"방문완료")+COUNTIFS(실시간콜입력!$B:$B,$A1386,실시간콜입력!$E:$E,"B",실시간콜입력!$H:$H,$B1386,실시간콜입력!$O:$O,"방문완료")</f>
        <v>0</v>
      </c>
      <c r="H1386" s="29">
        <f>COUNTIFS(실시간콜입력!$B:$B,$A1386,실시간콜입력!$E:$E,"C",실시간콜입력!$G:$G,$B1386,실시간콜입력!$O:$O,"방문완료")+COUNTIFS(실시간콜입력!$B:$B,$A1386,실시간콜입력!$E:$E,"C",실시간콜입력!$H:$H,$B1386,실시간콜입력!$O:$O,"방문완료")</f>
        <v>0</v>
      </c>
      <c r="I1386" s="29">
        <f>COUNTIFS(실시간콜입력!$B:$B,$A1386,실시간콜입력!$E:$E,"D",실시간콜입력!$G:$G,$B1386,실시간콜입력!$O:$O,"방문완료")+COUNTIFS(실시간콜입력!$B:$B,$A1386,실시간콜입력!$E:$E,"D",실시간콜입력!$H:$H,$B1386,실시간콜입력!$O:$O,"방문완료")</f>
        <v>0</v>
      </c>
      <c r="J1386" s="29">
        <f>COUNTIFS(실시간콜입력!$B:$B,$A1386,실시간콜입력!$E:$E,"E",실시간콜입력!$G:$G,$B1386,실시간콜입력!$O:$O,"방문완료")+COUNTIFS(실시간콜입력!$B:$B,$A1386,실시간콜입력!$E:$E,"E",실시간콜입력!$H:$H,$B1386,실시간콜입력!$O:$O,"방문완료")</f>
        <v>0</v>
      </c>
      <c r="K1386" s="29">
        <f t="shared" si="184"/>
        <v>0</v>
      </c>
      <c r="L1386" s="33">
        <f>SUMIFS(실시간콜입력!$K:$K,실시간콜입력!$B:$B,$A1386,실시간콜입력!$G:$G,$B1386,실시간콜입력!$O:$O,"방문완료")+SUMIFS(실시간콜입력!$L:$L,실시간콜입력!$B:$B,$A1386,실시간콜입력!$H:$H,$B1386,실시간콜입력!$O:$O,"방문완료")</f>
        <v>0</v>
      </c>
      <c r="M1386" s="29" t="str">
        <f t="shared" si="185"/>
        <v/>
      </c>
      <c r="N1386" s="29"/>
    </row>
    <row r="1387" spans="1:14" ht="19.5" hidden="1" customHeight="1" outlineLevel="1">
      <c r="A1387" s="24">
        <f>IF(27&lt;=DAY(DATE(YEAR(설정_코스수당!$K$2),MONTH(설정_코스수당!$K$2)+1,0)),DATE(YEAR(설정_코스수당!$K$2),MONTH(설정_코스수당!$K$2),27),"")</f>
        <v>46200</v>
      </c>
      <c r="B1387" s="23" t="s">
        <v>191</v>
      </c>
      <c r="C1387" s="29"/>
      <c r="D1387" s="29"/>
      <c r="E1387" s="29" t="str">
        <f t="shared" si="183"/>
        <v/>
      </c>
      <c r="F1387" s="29">
        <f>COUNTIFS(실시간콜입력!$B:$B,$A1387,실시간콜입력!$E:$E,"A",실시간콜입력!$G:$G,$B1387,실시간콜입력!$O:$O,"방문완료")+COUNTIFS(실시간콜입력!$B:$B,$A1387,실시간콜입력!$E:$E,"A",실시간콜입력!$H:$H,$B1387,실시간콜입력!$O:$O,"방문완료")</f>
        <v>0</v>
      </c>
      <c r="G1387" s="29">
        <f>COUNTIFS(실시간콜입력!$B:$B,$A1387,실시간콜입력!$E:$E,"B",실시간콜입력!$G:$G,$B1387,실시간콜입력!$O:$O,"방문완료")+COUNTIFS(실시간콜입력!$B:$B,$A1387,실시간콜입력!$E:$E,"B",실시간콜입력!$H:$H,$B1387,실시간콜입력!$O:$O,"방문완료")</f>
        <v>0</v>
      </c>
      <c r="H1387" s="29">
        <f>COUNTIFS(실시간콜입력!$B:$B,$A1387,실시간콜입력!$E:$E,"C",실시간콜입력!$G:$G,$B1387,실시간콜입력!$O:$O,"방문완료")+COUNTIFS(실시간콜입력!$B:$B,$A1387,실시간콜입력!$E:$E,"C",실시간콜입력!$H:$H,$B1387,실시간콜입력!$O:$O,"방문완료")</f>
        <v>0</v>
      </c>
      <c r="I1387" s="29">
        <f>COUNTIFS(실시간콜입력!$B:$B,$A1387,실시간콜입력!$E:$E,"D",실시간콜입력!$G:$G,$B1387,실시간콜입력!$O:$O,"방문완료")+COUNTIFS(실시간콜입력!$B:$B,$A1387,실시간콜입력!$E:$E,"D",실시간콜입력!$H:$H,$B1387,실시간콜입력!$O:$O,"방문완료")</f>
        <v>0</v>
      </c>
      <c r="J1387" s="29">
        <f>COUNTIFS(실시간콜입력!$B:$B,$A1387,실시간콜입력!$E:$E,"E",실시간콜입력!$G:$G,$B1387,실시간콜입력!$O:$O,"방문완료")+COUNTIFS(실시간콜입력!$B:$B,$A1387,실시간콜입력!$E:$E,"E",실시간콜입력!$H:$H,$B1387,실시간콜입력!$O:$O,"방문완료")</f>
        <v>0</v>
      </c>
      <c r="K1387" s="29">
        <f t="shared" si="184"/>
        <v>0</v>
      </c>
      <c r="L1387" s="27">
        <f>SUMIFS(실시간콜입력!$K:$K,실시간콜입력!$B:$B,$A1387,실시간콜입력!$G:$G,$B1387,실시간콜입력!$O:$O,"방문완료")+SUMIFS(실시간콜입력!$L:$L,실시간콜입력!$B:$B,$A1387,실시간콜입력!$H:$H,$B1387,실시간콜입력!$O:$O,"방문완료")</f>
        <v>0</v>
      </c>
      <c r="M1387" s="29" t="str">
        <f t="shared" si="185"/>
        <v/>
      </c>
      <c r="N1387" s="29"/>
    </row>
    <row r="1388" spans="1:14" ht="19.5" hidden="1" customHeight="1" outlineLevel="1">
      <c r="A1388" s="30">
        <f>IF(27&lt;=DAY(DATE(YEAR(설정_코스수당!$K$2),MONTH(설정_코스수당!$K$2)+1,0)),DATE(YEAR(설정_코스수당!$K$2),MONTH(설정_코스수당!$K$2),27),"")</f>
        <v>46200</v>
      </c>
      <c r="B1388" s="29" t="s">
        <v>192</v>
      </c>
      <c r="C1388" s="29"/>
      <c r="D1388" s="29"/>
      <c r="E1388" s="29" t="str">
        <f t="shared" si="183"/>
        <v/>
      </c>
      <c r="F1388" s="29">
        <f>COUNTIFS(실시간콜입력!$B:$B,$A1388,실시간콜입력!$E:$E,"A",실시간콜입력!$G:$G,$B1388,실시간콜입력!$O:$O,"방문완료")+COUNTIFS(실시간콜입력!$B:$B,$A1388,실시간콜입력!$E:$E,"A",실시간콜입력!$H:$H,$B1388,실시간콜입력!$O:$O,"방문완료")</f>
        <v>0</v>
      </c>
      <c r="G1388" s="29">
        <f>COUNTIFS(실시간콜입력!$B:$B,$A1388,실시간콜입력!$E:$E,"B",실시간콜입력!$G:$G,$B1388,실시간콜입력!$O:$O,"방문완료")+COUNTIFS(실시간콜입력!$B:$B,$A1388,실시간콜입력!$E:$E,"B",실시간콜입력!$H:$H,$B1388,실시간콜입력!$O:$O,"방문완료")</f>
        <v>0</v>
      </c>
      <c r="H1388" s="29">
        <f>COUNTIFS(실시간콜입력!$B:$B,$A1388,실시간콜입력!$E:$E,"C",실시간콜입력!$G:$G,$B1388,실시간콜입력!$O:$O,"방문완료")+COUNTIFS(실시간콜입력!$B:$B,$A1388,실시간콜입력!$E:$E,"C",실시간콜입력!$H:$H,$B1388,실시간콜입력!$O:$O,"방문완료")</f>
        <v>0</v>
      </c>
      <c r="I1388" s="29">
        <f>COUNTIFS(실시간콜입력!$B:$B,$A1388,실시간콜입력!$E:$E,"D",실시간콜입력!$G:$G,$B1388,실시간콜입력!$O:$O,"방문완료")+COUNTIFS(실시간콜입력!$B:$B,$A1388,실시간콜입력!$E:$E,"D",실시간콜입력!$H:$H,$B1388,실시간콜입력!$O:$O,"방문완료")</f>
        <v>0</v>
      </c>
      <c r="J1388" s="29">
        <f>COUNTIFS(실시간콜입력!$B:$B,$A1388,실시간콜입력!$E:$E,"E",실시간콜입력!$G:$G,$B1388,실시간콜입력!$O:$O,"방문완료")+COUNTIFS(실시간콜입력!$B:$B,$A1388,실시간콜입력!$E:$E,"E",실시간콜입력!$H:$H,$B1388,실시간콜입력!$O:$O,"방문완료")</f>
        <v>0</v>
      </c>
      <c r="K1388" s="29">
        <f t="shared" si="184"/>
        <v>0</v>
      </c>
      <c r="L1388" s="33">
        <f>SUMIFS(실시간콜입력!$K:$K,실시간콜입력!$B:$B,$A1388,실시간콜입력!$G:$G,$B1388,실시간콜입력!$O:$O,"방문완료")+SUMIFS(실시간콜입력!$L:$L,실시간콜입력!$B:$B,$A1388,실시간콜입력!$H:$H,$B1388,실시간콜입력!$O:$O,"방문완료")</f>
        <v>0</v>
      </c>
      <c r="M1388" s="29" t="str">
        <f t="shared" si="185"/>
        <v/>
      </c>
      <c r="N1388" s="29"/>
    </row>
    <row r="1389" spans="1:14" ht="19.5" hidden="1" customHeight="1" outlineLevel="1">
      <c r="A1389" s="24">
        <f>IF(27&lt;=DAY(DATE(YEAR(설정_코스수당!$K$2),MONTH(설정_코스수당!$K$2)+1,0)),DATE(YEAR(설정_코스수당!$K$2),MONTH(설정_코스수당!$K$2),27),"")</f>
        <v>46200</v>
      </c>
      <c r="B1389" s="23" t="s">
        <v>193</v>
      </c>
      <c r="C1389" s="29"/>
      <c r="D1389" s="29"/>
      <c r="E1389" s="29" t="str">
        <f t="shared" si="183"/>
        <v/>
      </c>
      <c r="F1389" s="29">
        <f>COUNTIFS(실시간콜입력!$B:$B,$A1389,실시간콜입력!$E:$E,"A",실시간콜입력!$G:$G,$B1389,실시간콜입력!$O:$O,"방문완료")+COUNTIFS(실시간콜입력!$B:$B,$A1389,실시간콜입력!$E:$E,"A",실시간콜입력!$H:$H,$B1389,실시간콜입력!$O:$O,"방문완료")</f>
        <v>0</v>
      </c>
      <c r="G1389" s="29">
        <f>COUNTIFS(실시간콜입력!$B:$B,$A1389,실시간콜입력!$E:$E,"B",실시간콜입력!$G:$G,$B1389,실시간콜입력!$O:$O,"방문완료")+COUNTIFS(실시간콜입력!$B:$B,$A1389,실시간콜입력!$E:$E,"B",실시간콜입력!$H:$H,$B1389,실시간콜입력!$O:$O,"방문완료")</f>
        <v>0</v>
      </c>
      <c r="H1389" s="29">
        <f>COUNTIFS(실시간콜입력!$B:$B,$A1389,실시간콜입력!$E:$E,"C",실시간콜입력!$G:$G,$B1389,실시간콜입력!$O:$O,"방문완료")+COUNTIFS(실시간콜입력!$B:$B,$A1389,실시간콜입력!$E:$E,"C",실시간콜입력!$H:$H,$B1389,실시간콜입력!$O:$O,"방문완료")</f>
        <v>0</v>
      </c>
      <c r="I1389" s="29">
        <f>COUNTIFS(실시간콜입력!$B:$B,$A1389,실시간콜입력!$E:$E,"D",실시간콜입력!$G:$G,$B1389,실시간콜입력!$O:$O,"방문완료")+COUNTIFS(실시간콜입력!$B:$B,$A1389,실시간콜입력!$E:$E,"D",실시간콜입력!$H:$H,$B1389,실시간콜입력!$O:$O,"방문완료")</f>
        <v>0</v>
      </c>
      <c r="J1389" s="29">
        <f>COUNTIFS(실시간콜입력!$B:$B,$A1389,실시간콜입력!$E:$E,"E",실시간콜입력!$G:$G,$B1389,실시간콜입력!$O:$O,"방문완료")+COUNTIFS(실시간콜입력!$B:$B,$A1389,실시간콜입력!$E:$E,"E",실시간콜입력!$H:$H,$B1389,실시간콜입력!$O:$O,"방문완료")</f>
        <v>0</v>
      </c>
      <c r="K1389" s="29">
        <f t="shared" si="184"/>
        <v>0</v>
      </c>
      <c r="L1389" s="27">
        <f>SUMIFS(실시간콜입력!$K:$K,실시간콜입력!$B:$B,$A1389,실시간콜입력!$G:$G,$B1389,실시간콜입력!$O:$O,"방문완료")+SUMIFS(실시간콜입력!$L:$L,실시간콜입력!$B:$B,$A1389,실시간콜입력!$H:$H,$B1389,실시간콜입력!$O:$O,"방문완료")</f>
        <v>0</v>
      </c>
      <c r="M1389" s="29" t="str">
        <f t="shared" si="185"/>
        <v/>
      </c>
      <c r="N1389" s="29"/>
    </row>
    <row r="1390" spans="1:14" ht="19.5" hidden="1" customHeight="1" outlineLevel="1">
      <c r="A1390" s="30">
        <f>IF(27&lt;=DAY(DATE(YEAR(설정_코스수당!$K$2),MONTH(설정_코스수당!$K$2)+1,0)),DATE(YEAR(설정_코스수당!$K$2),MONTH(설정_코스수당!$K$2),27),"")</f>
        <v>46200</v>
      </c>
      <c r="B1390" s="29" t="s">
        <v>194</v>
      </c>
      <c r="C1390" s="29"/>
      <c r="D1390" s="29"/>
      <c r="E1390" s="29" t="str">
        <f t="shared" si="183"/>
        <v/>
      </c>
      <c r="F1390" s="29">
        <f>COUNTIFS(실시간콜입력!$B:$B,$A1390,실시간콜입력!$E:$E,"A",실시간콜입력!$G:$G,$B1390,실시간콜입력!$O:$O,"방문완료")+COUNTIFS(실시간콜입력!$B:$B,$A1390,실시간콜입력!$E:$E,"A",실시간콜입력!$H:$H,$B1390,실시간콜입력!$O:$O,"방문완료")</f>
        <v>0</v>
      </c>
      <c r="G1390" s="29">
        <f>COUNTIFS(실시간콜입력!$B:$B,$A1390,실시간콜입력!$E:$E,"B",실시간콜입력!$G:$G,$B1390,실시간콜입력!$O:$O,"방문완료")+COUNTIFS(실시간콜입력!$B:$B,$A1390,실시간콜입력!$E:$E,"B",실시간콜입력!$H:$H,$B1390,실시간콜입력!$O:$O,"방문완료")</f>
        <v>0</v>
      </c>
      <c r="H1390" s="29">
        <f>COUNTIFS(실시간콜입력!$B:$B,$A1390,실시간콜입력!$E:$E,"C",실시간콜입력!$G:$G,$B1390,실시간콜입력!$O:$O,"방문완료")+COUNTIFS(실시간콜입력!$B:$B,$A1390,실시간콜입력!$E:$E,"C",실시간콜입력!$H:$H,$B1390,실시간콜입력!$O:$O,"방문완료")</f>
        <v>0</v>
      </c>
      <c r="I1390" s="29">
        <f>COUNTIFS(실시간콜입력!$B:$B,$A1390,실시간콜입력!$E:$E,"D",실시간콜입력!$G:$G,$B1390,실시간콜입력!$O:$O,"방문완료")+COUNTIFS(실시간콜입력!$B:$B,$A1390,실시간콜입력!$E:$E,"D",실시간콜입력!$H:$H,$B1390,실시간콜입력!$O:$O,"방문완료")</f>
        <v>0</v>
      </c>
      <c r="J1390" s="29">
        <f>COUNTIFS(실시간콜입력!$B:$B,$A1390,실시간콜입력!$E:$E,"E",실시간콜입력!$G:$G,$B1390,실시간콜입력!$O:$O,"방문완료")+COUNTIFS(실시간콜입력!$B:$B,$A1390,실시간콜입력!$E:$E,"E",실시간콜입력!$H:$H,$B1390,실시간콜입력!$O:$O,"방문완료")</f>
        <v>0</v>
      </c>
      <c r="K1390" s="29">
        <f t="shared" si="184"/>
        <v>0</v>
      </c>
      <c r="L1390" s="33">
        <f>SUMIFS(실시간콜입력!$K:$K,실시간콜입력!$B:$B,$A1390,실시간콜입력!$G:$G,$B1390,실시간콜입력!$O:$O,"방문완료")+SUMIFS(실시간콜입력!$L:$L,실시간콜입력!$B:$B,$A1390,실시간콜입력!$H:$H,$B1390,실시간콜입력!$O:$O,"방문완료")</f>
        <v>0</v>
      </c>
      <c r="M1390" s="29" t="str">
        <f t="shared" si="185"/>
        <v/>
      </c>
      <c r="N1390" s="29"/>
    </row>
    <row r="1391" spans="1:14" ht="19.5" hidden="1" customHeight="1" outlineLevel="1">
      <c r="A1391" s="24">
        <f>IF(27&lt;=DAY(DATE(YEAR(설정_코스수당!$K$2),MONTH(설정_코스수당!$K$2)+1,0)),DATE(YEAR(설정_코스수당!$K$2),MONTH(설정_코스수당!$K$2),27),"")</f>
        <v>46200</v>
      </c>
      <c r="B1391" s="23" t="s">
        <v>195</v>
      </c>
      <c r="C1391" s="29"/>
      <c r="D1391" s="29"/>
      <c r="E1391" s="29" t="str">
        <f t="shared" ref="E1391:E1422" si="186">IF(AND(C1391&lt;&gt;"",D1391&lt;&gt;""),IF(D1391&lt;C1391,D1391+1-C1391,D1391-C1391)*24,"")</f>
        <v/>
      </c>
      <c r="F1391" s="29">
        <f>COUNTIFS(실시간콜입력!$B:$B,$A1391,실시간콜입력!$E:$E,"A",실시간콜입력!$G:$G,$B1391,실시간콜입력!$O:$O,"방문완료")+COUNTIFS(실시간콜입력!$B:$B,$A1391,실시간콜입력!$E:$E,"A",실시간콜입력!$H:$H,$B1391,실시간콜입력!$O:$O,"방문완료")</f>
        <v>0</v>
      </c>
      <c r="G1391" s="29">
        <f>COUNTIFS(실시간콜입력!$B:$B,$A1391,실시간콜입력!$E:$E,"B",실시간콜입력!$G:$G,$B1391,실시간콜입력!$O:$O,"방문완료")+COUNTIFS(실시간콜입력!$B:$B,$A1391,실시간콜입력!$E:$E,"B",실시간콜입력!$H:$H,$B1391,실시간콜입력!$O:$O,"방문완료")</f>
        <v>0</v>
      </c>
      <c r="H1391" s="29">
        <f>COUNTIFS(실시간콜입력!$B:$B,$A1391,실시간콜입력!$E:$E,"C",실시간콜입력!$G:$G,$B1391,실시간콜입력!$O:$O,"방문완료")+COUNTIFS(실시간콜입력!$B:$B,$A1391,실시간콜입력!$E:$E,"C",실시간콜입력!$H:$H,$B1391,실시간콜입력!$O:$O,"방문완료")</f>
        <v>0</v>
      </c>
      <c r="I1391" s="29">
        <f>COUNTIFS(실시간콜입력!$B:$B,$A1391,실시간콜입력!$E:$E,"D",실시간콜입력!$G:$G,$B1391,실시간콜입력!$O:$O,"방문완료")+COUNTIFS(실시간콜입력!$B:$B,$A1391,실시간콜입력!$E:$E,"D",실시간콜입력!$H:$H,$B1391,실시간콜입력!$O:$O,"방문완료")</f>
        <v>0</v>
      </c>
      <c r="J1391" s="29">
        <f>COUNTIFS(실시간콜입력!$B:$B,$A1391,실시간콜입력!$E:$E,"E",실시간콜입력!$G:$G,$B1391,실시간콜입력!$O:$O,"방문완료")+COUNTIFS(실시간콜입력!$B:$B,$A1391,실시간콜입력!$E:$E,"E",실시간콜입력!$H:$H,$B1391,실시간콜입력!$O:$O,"방문완료")</f>
        <v>0</v>
      </c>
      <c r="K1391" s="29">
        <f t="shared" ref="K1391:K1422" si="187">SUM(F1391:J1391)</f>
        <v>0</v>
      </c>
      <c r="L1391" s="27">
        <f>SUMIFS(실시간콜입력!$K:$K,실시간콜입력!$B:$B,$A1391,실시간콜입력!$G:$G,$B1391,실시간콜입력!$O:$O,"방문완료")+SUMIFS(실시간콜입력!$L:$L,실시간콜입력!$B:$B,$A1391,실시간콜입력!$H:$H,$B1391,실시간콜입력!$O:$O,"방문완료")</f>
        <v>0</v>
      </c>
      <c r="M1391" s="29" t="str">
        <f t="shared" ref="M1391:M1408" si="188">IF(AND(ISNUMBER(E1391),E1391&gt;=8),"인정","")</f>
        <v/>
      </c>
      <c r="N1391" s="29"/>
    </row>
    <row r="1392" spans="1:14" ht="19.5" hidden="1" customHeight="1" outlineLevel="1">
      <c r="A1392" s="30">
        <f>IF(27&lt;=DAY(DATE(YEAR(설정_코스수당!$K$2),MONTH(설정_코스수당!$K$2)+1,0)),DATE(YEAR(설정_코스수당!$K$2),MONTH(설정_코스수당!$K$2),27),"")</f>
        <v>46200</v>
      </c>
      <c r="B1392" s="29" t="s">
        <v>196</v>
      </c>
      <c r="C1392" s="29"/>
      <c r="D1392" s="29"/>
      <c r="E1392" s="29" t="str">
        <f t="shared" si="186"/>
        <v/>
      </c>
      <c r="F1392" s="29">
        <f>COUNTIFS(실시간콜입력!$B:$B,$A1392,실시간콜입력!$E:$E,"A",실시간콜입력!$G:$G,$B1392,실시간콜입력!$O:$O,"방문완료")+COUNTIFS(실시간콜입력!$B:$B,$A1392,실시간콜입력!$E:$E,"A",실시간콜입력!$H:$H,$B1392,실시간콜입력!$O:$O,"방문완료")</f>
        <v>0</v>
      </c>
      <c r="G1392" s="29">
        <f>COUNTIFS(실시간콜입력!$B:$B,$A1392,실시간콜입력!$E:$E,"B",실시간콜입력!$G:$G,$B1392,실시간콜입력!$O:$O,"방문완료")+COUNTIFS(실시간콜입력!$B:$B,$A1392,실시간콜입력!$E:$E,"B",실시간콜입력!$H:$H,$B1392,실시간콜입력!$O:$O,"방문완료")</f>
        <v>0</v>
      </c>
      <c r="H1392" s="29">
        <f>COUNTIFS(실시간콜입력!$B:$B,$A1392,실시간콜입력!$E:$E,"C",실시간콜입력!$G:$G,$B1392,실시간콜입력!$O:$O,"방문완료")+COUNTIFS(실시간콜입력!$B:$B,$A1392,실시간콜입력!$E:$E,"C",실시간콜입력!$H:$H,$B1392,실시간콜입력!$O:$O,"방문완료")</f>
        <v>0</v>
      </c>
      <c r="I1392" s="29">
        <f>COUNTIFS(실시간콜입력!$B:$B,$A1392,실시간콜입력!$E:$E,"D",실시간콜입력!$G:$G,$B1392,실시간콜입력!$O:$O,"방문완료")+COUNTIFS(실시간콜입력!$B:$B,$A1392,실시간콜입력!$E:$E,"D",실시간콜입력!$H:$H,$B1392,실시간콜입력!$O:$O,"방문완료")</f>
        <v>0</v>
      </c>
      <c r="J1392" s="29">
        <f>COUNTIFS(실시간콜입력!$B:$B,$A1392,실시간콜입력!$E:$E,"E",실시간콜입력!$G:$G,$B1392,실시간콜입력!$O:$O,"방문완료")+COUNTIFS(실시간콜입력!$B:$B,$A1392,실시간콜입력!$E:$E,"E",실시간콜입력!$H:$H,$B1392,실시간콜입력!$O:$O,"방문완료")</f>
        <v>0</v>
      </c>
      <c r="K1392" s="29">
        <f t="shared" si="187"/>
        <v>0</v>
      </c>
      <c r="L1392" s="33">
        <f>SUMIFS(실시간콜입력!$K:$K,실시간콜입력!$B:$B,$A1392,실시간콜입력!$G:$G,$B1392,실시간콜입력!$O:$O,"방문완료")+SUMIFS(실시간콜입력!$L:$L,실시간콜입력!$B:$B,$A1392,실시간콜입력!$H:$H,$B1392,실시간콜입력!$O:$O,"방문완료")</f>
        <v>0</v>
      </c>
      <c r="M1392" s="29" t="str">
        <f t="shared" si="188"/>
        <v/>
      </c>
      <c r="N1392" s="29"/>
    </row>
    <row r="1393" spans="1:14" ht="19.5" hidden="1" customHeight="1" outlineLevel="1">
      <c r="A1393" s="24">
        <f>IF(27&lt;=DAY(DATE(YEAR(설정_코스수당!$K$2),MONTH(설정_코스수당!$K$2)+1,0)),DATE(YEAR(설정_코스수당!$K$2),MONTH(설정_코스수당!$K$2),27),"")</f>
        <v>46200</v>
      </c>
      <c r="B1393" s="23" t="s">
        <v>197</v>
      </c>
      <c r="C1393" s="29"/>
      <c r="D1393" s="29"/>
      <c r="E1393" s="29" t="str">
        <f t="shared" si="186"/>
        <v/>
      </c>
      <c r="F1393" s="29">
        <f>COUNTIFS(실시간콜입력!$B:$B,$A1393,실시간콜입력!$E:$E,"A",실시간콜입력!$G:$G,$B1393,실시간콜입력!$O:$O,"방문완료")+COUNTIFS(실시간콜입력!$B:$B,$A1393,실시간콜입력!$E:$E,"A",실시간콜입력!$H:$H,$B1393,실시간콜입력!$O:$O,"방문완료")</f>
        <v>0</v>
      </c>
      <c r="G1393" s="29">
        <f>COUNTIFS(실시간콜입력!$B:$B,$A1393,실시간콜입력!$E:$E,"B",실시간콜입력!$G:$G,$B1393,실시간콜입력!$O:$O,"방문완료")+COUNTIFS(실시간콜입력!$B:$B,$A1393,실시간콜입력!$E:$E,"B",실시간콜입력!$H:$H,$B1393,실시간콜입력!$O:$O,"방문완료")</f>
        <v>0</v>
      </c>
      <c r="H1393" s="29">
        <f>COUNTIFS(실시간콜입력!$B:$B,$A1393,실시간콜입력!$E:$E,"C",실시간콜입력!$G:$G,$B1393,실시간콜입력!$O:$O,"방문완료")+COUNTIFS(실시간콜입력!$B:$B,$A1393,실시간콜입력!$E:$E,"C",실시간콜입력!$H:$H,$B1393,실시간콜입력!$O:$O,"방문완료")</f>
        <v>0</v>
      </c>
      <c r="I1393" s="29">
        <f>COUNTIFS(실시간콜입력!$B:$B,$A1393,실시간콜입력!$E:$E,"D",실시간콜입력!$G:$G,$B1393,실시간콜입력!$O:$O,"방문완료")+COUNTIFS(실시간콜입력!$B:$B,$A1393,실시간콜입력!$E:$E,"D",실시간콜입력!$H:$H,$B1393,실시간콜입력!$O:$O,"방문완료")</f>
        <v>0</v>
      </c>
      <c r="J1393" s="29">
        <f>COUNTIFS(실시간콜입력!$B:$B,$A1393,실시간콜입력!$E:$E,"E",실시간콜입력!$G:$G,$B1393,실시간콜입력!$O:$O,"방문완료")+COUNTIFS(실시간콜입력!$B:$B,$A1393,실시간콜입력!$E:$E,"E",실시간콜입력!$H:$H,$B1393,실시간콜입력!$O:$O,"방문완료")</f>
        <v>0</v>
      </c>
      <c r="K1393" s="29">
        <f t="shared" si="187"/>
        <v>0</v>
      </c>
      <c r="L1393" s="27">
        <f>SUMIFS(실시간콜입력!$K:$K,실시간콜입력!$B:$B,$A1393,실시간콜입력!$G:$G,$B1393,실시간콜입력!$O:$O,"방문완료")+SUMIFS(실시간콜입력!$L:$L,실시간콜입력!$B:$B,$A1393,실시간콜입력!$H:$H,$B1393,실시간콜입력!$O:$O,"방문완료")</f>
        <v>0</v>
      </c>
      <c r="M1393" s="29" t="str">
        <f t="shared" si="188"/>
        <v/>
      </c>
      <c r="N1393" s="29"/>
    </row>
    <row r="1394" spans="1:14" ht="19.5" hidden="1" customHeight="1" outlineLevel="1">
      <c r="A1394" s="30">
        <f>IF(27&lt;=DAY(DATE(YEAR(설정_코스수당!$K$2),MONTH(설정_코스수당!$K$2)+1,0)),DATE(YEAR(설정_코스수당!$K$2),MONTH(설정_코스수당!$K$2),27),"")</f>
        <v>46200</v>
      </c>
      <c r="B1394" s="29" t="s">
        <v>198</v>
      </c>
      <c r="C1394" s="29"/>
      <c r="D1394" s="29"/>
      <c r="E1394" s="29" t="str">
        <f t="shared" si="186"/>
        <v/>
      </c>
      <c r="F1394" s="29">
        <f>COUNTIFS(실시간콜입력!$B:$B,$A1394,실시간콜입력!$E:$E,"A",실시간콜입력!$G:$G,$B1394,실시간콜입력!$O:$O,"방문완료")+COUNTIFS(실시간콜입력!$B:$B,$A1394,실시간콜입력!$E:$E,"A",실시간콜입력!$H:$H,$B1394,실시간콜입력!$O:$O,"방문완료")</f>
        <v>0</v>
      </c>
      <c r="G1394" s="29">
        <f>COUNTIFS(실시간콜입력!$B:$B,$A1394,실시간콜입력!$E:$E,"B",실시간콜입력!$G:$G,$B1394,실시간콜입력!$O:$O,"방문완료")+COUNTIFS(실시간콜입력!$B:$B,$A1394,실시간콜입력!$E:$E,"B",실시간콜입력!$H:$H,$B1394,실시간콜입력!$O:$O,"방문완료")</f>
        <v>0</v>
      </c>
      <c r="H1394" s="29">
        <f>COUNTIFS(실시간콜입력!$B:$B,$A1394,실시간콜입력!$E:$E,"C",실시간콜입력!$G:$G,$B1394,실시간콜입력!$O:$O,"방문완료")+COUNTIFS(실시간콜입력!$B:$B,$A1394,실시간콜입력!$E:$E,"C",실시간콜입력!$H:$H,$B1394,실시간콜입력!$O:$O,"방문완료")</f>
        <v>0</v>
      </c>
      <c r="I1394" s="29">
        <f>COUNTIFS(실시간콜입력!$B:$B,$A1394,실시간콜입력!$E:$E,"D",실시간콜입력!$G:$G,$B1394,실시간콜입력!$O:$O,"방문완료")+COUNTIFS(실시간콜입력!$B:$B,$A1394,실시간콜입력!$E:$E,"D",실시간콜입력!$H:$H,$B1394,실시간콜입력!$O:$O,"방문완료")</f>
        <v>0</v>
      </c>
      <c r="J1394" s="29">
        <f>COUNTIFS(실시간콜입력!$B:$B,$A1394,실시간콜입력!$E:$E,"E",실시간콜입력!$G:$G,$B1394,실시간콜입력!$O:$O,"방문완료")+COUNTIFS(실시간콜입력!$B:$B,$A1394,실시간콜입력!$E:$E,"E",실시간콜입력!$H:$H,$B1394,실시간콜입력!$O:$O,"방문완료")</f>
        <v>0</v>
      </c>
      <c r="K1394" s="29">
        <f t="shared" si="187"/>
        <v>0</v>
      </c>
      <c r="L1394" s="33">
        <f>SUMIFS(실시간콜입력!$K:$K,실시간콜입력!$B:$B,$A1394,실시간콜입력!$G:$G,$B1394,실시간콜입력!$O:$O,"방문완료")+SUMIFS(실시간콜입력!$L:$L,실시간콜입력!$B:$B,$A1394,실시간콜입력!$H:$H,$B1394,실시간콜입력!$O:$O,"방문완료")</f>
        <v>0</v>
      </c>
      <c r="M1394" s="29" t="str">
        <f t="shared" si="188"/>
        <v/>
      </c>
      <c r="N1394" s="29"/>
    </row>
    <row r="1395" spans="1:14" ht="19.5" hidden="1" customHeight="1" outlineLevel="1">
      <c r="A1395" s="24">
        <f>IF(27&lt;=DAY(DATE(YEAR(설정_코스수당!$K$2),MONTH(설정_코스수당!$K$2)+1,0)),DATE(YEAR(설정_코스수당!$K$2),MONTH(설정_코스수당!$K$2),27),"")</f>
        <v>46200</v>
      </c>
      <c r="B1395" s="23" t="s">
        <v>199</v>
      </c>
      <c r="C1395" s="29"/>
      <c r="D1395" s="29"/>
      <c r="E1395" s="29" t="str">
        <f t="shared" si="186"/>
        <v/>
      </c>
      <c r="F1395" s="29">
        <f>COUNTIFS(실시간콜입력!$B:$B,$A1395,실시간콜입력!$E:$E,"A",실시간콜입력!$G:$G,$B1395,실시간콜입력!$O:$O,"방문완료")+COUNTIFS(실시간콜입력!$B:$B,$A1395,실시간콜입력!$E:$E,"A",실시간콜입력!$H:$H,$B1395,실시간콜입력!$O:$O,"방문완료")</f>
        <v>0</v>
      </c>
      <c r="G1395" s="29">
        <f>COUNTIFS(실시간콜입력!$B:$B,$A1395,실시간콜입력!$E:$E,"B",실시간콜입력!$G:$G,$B1395,실시간콜입력!$O:$O,"방문완료")+COUNTIFS(실시간콜입력!$B:$B,$A1395,실시간콜입력!$E:$E,"B",실시간콜입력!$H:$H,$B1395,실시간콜입력!$O:$O,"방문완료")</f>
        <v>0</v>
      </c>
      <c r="H1395" s="29">
        <f>COUNTIFS(실시간콜입력!$B:$B,$A1395,실시간콜입력!$E:$E,"C",실시간콜입력!$G:$G,$B1395,실시간콜입력!$O:$O,"방문완료")+COUNTIFS(실시간콜입력!$B:$B,$A1395,실시간콜입력!$E:$E,"C",실시간콜입력!$H:$H,$B1395,실시간콜입력!$O:$O,"방문완료")</f>
        <v>0</v>
      </c>
      <c r="I1395" s="29">
        <f>COUNTIFS(실시간콜입력!$B:$B,$A1395,실시간콜입력!$E:$E,"D",실시간콜입력!$G:$G,$B1395,실시간콜입력!$O:$O,"방문완료")+COUNTIFS(실시간콜입력!$B:$B,$A1395,실시간콜입력!$E:$E,"D",실시간콜입력!$H:$H,$B1395,실시간콜입력!$O:$O,"방문완료")</f>
        <v>0</v>
      </c>
      <c r="J1395" s="29">
        <f>COUNTIFS(실시간콜입력!$B:$B,$A1395,실시간콜입력!$E:$E,"E",실시간콜입력!$G:$G,$B1395,실시간콜입력!$O:$O,"방문완료")+COUNTIFS(실시간콜입력!$B:$B,$A1395,실시간콜입력!$E:$E,"E",실시간콜입력!$H:$H,$B1395,실시간콜입력!$O:$O,"방문완료")</f>
        <v>0</v>
      </c>
      <c r="K1395" s="29">
        <f t="shared" si="187"/>
        <v>0</v>
      </c>
      <c r="L1395" s="27">
        <f>SUMIFS(실시간콜입력!$K:$K,실시간콜입력!$B:$B,$A1395,실시간콜입력!$G:$G,$B1395,실시간콜입력!$O:$O,"방문완료")+SUMIFS(실시간콜입력!$L:$L,실시간콜입력!$B:$B,$A1395,실시간콜입력!$H:$H,$B1395,실시간콜입력!$O:$O,"방문완료")</f>
        <v>0</v>
      </c>
      <c r="M1395" s="29" t="str">
        <f t="shared" si="188"/>
        <v/>
      </c>
      <c r="N1395" s="29"/>
    </row>
    <row r="1396" spans="1:14" ht="19.5" hidden="1" customHeight="1" outlineLevel="1">
      <c r="A1396" s="30">
        <f>IF(27&lt;=DAY(DATE(YEAR(설정_코스수당!$K$2),MONTH(설정_코스수당!$K$2)+1,0)),DATE(YEAR(설정_코스수당!$K$2),MONTH(설정_코스수당!$K$2),27),"")</f>
        <v>46200</v>
      </c>
      <c r="B1396" s="29" t="s">
        <v>200</v>
      </c>
      <c r="C1396" s="29"/>
      <c r="D1396" s="29"/>
      <c r="E1396" s="29" t="str">
        <f t="shared" si="186"/>
        <v/>
      </c>
      <c r="F1396" s="29">
        <f>COUNTIFS(실시간콜입력!$B:$B,$A1396,실시간콜입력!$E:$E,"A",실시간콜입력!$G:$G,$B1396,실시간콜입력!$O:$O,"방문완료")+COUNTIFS(실시간콜입력!$B:$B,$A1396,실시간콜입력!$E:$E,"A",실시간콜입력!$H:$H,$B1396,실시간콜입력!$O:$O,"방문완료")</f>
        <v>0</v>
      </c>
      <c r="G1396" s="29">
        <f>COUNTIFS(실시간콜입력!$B:$B,$A1396,실시간콜입력!$E:$E,"B",실시간콜입력!$G:$G,$B1396,실시간콜입력!$O:$O,"방문완료")+COUNTIFS(실시간콜입력!$B:$B,$A1396,실시간콜입력!$E:$E,"B",실시간콜입력!$H:$H,$B1396,실시간콜입력!$O:$O,"방문완료")</f>
        <v>0</v>
      </c>
      <c r="H1396" s="29">
        <f>COUNTIFS(실시간콜입력!$B:$B,$A1396,실시간콜입력!$E:$E,"C",실시간콜입력!$G:$G,$B1396,실시간콜입력!$O:$O,"방문완료")+COUNTIFS(실시간콜입력!$B:$B,$A1396,실시간콜입력!$E:$E,"C",실시간콜입력!$H:$H,$B1396,실시간콜입력!$O:$O,"방문완료")</f>
        <v>0</v>
      </c>
      <c r="I1396" s="29">
        <f>COUNTIFS(실시간콜입력!$B:$B,$A1396,실시간콜입력!$E:$E,"D",실시간콜입력!$G:$G,$B1396,실시간콜입력!$O:$O,"방문완료")+COUNTIFS(실시간콜입력!$B:$B,$A1396,실시간콜입력!$E:$E,"D",실시간콜입력!$H:$H,$B1396,실시간콜입력!$O:$O,"방문완료")</f>
        <v>0</v>
      </c>
      <c r="J1396" s="29">
        <f>COUNTIFS(실시간콜입력!$B:$B,$A1396,실시간콜입력!$E:$E,"E",실시간콜입력!$G:$G,$B1396,실시간콜입력!$O:$O,"방문완료")+COUNTIFS(실시간콜입력!$B:$B,$A1396,실시간콜입력!$E:$E,"E",실시간콜입력!$H:$H,$B1396,실시간콜입력!$O:$O,"방문완료")</f>
        <v>0</v>
      </c>
      <c r="K1396" s="29">
        <f t="shared" si="187"/>
        <v>0</v>
      </c>
      <c r="L1396" s="33">
        <f>SUMIFS(실시간콜입력!$K:$K,실시간콜입력!$B:$B,$A1396,실시간콜입력!$G:$G,$B1396,실시간콜입력!$O:$O,"방문완료")+SUMIFS(실시간콜입력!$L:$L,실시간콜입력!$B:$B,$A1396,실시간콜입력!$H:$H,$B1396,실시간콜입력!$O:$O,"방문완료")</f>
        <v>0</v>
      </c>
      <c r="M1396" s="29" t="str">
        <f t="shared" si="188"/>
        <v/>
      </c>
      <c r="N1396" s="29"/>
    </row>
    <row r="1397" spans="1:14" ht="19.5" hidden="1" customHeight="1" outlineLevel="1">
      <c r="A1397" s="24">
        <f>IF(27&lt;=DAY(DATE(YEAR(설정_코스수당!$K$2),MONTH(설정_코스수당!$K$2)+1,0)),DATE(YEAR(설정_코스수당!$K$2),MONTH(설정_코스수당!$K$2),27),"")</f>
        <v>46200</v>
      </c>
      <c r="B1397" s="23" t="s">
        <v>201</v>
      </c>
      <c r="C1397" s="29"/>
      <c r="D1397" s="29"/>
      <c r="E1397" s="29" t="str">
        <f t="shared" si="186"/>
        <v/>
      </c>
      <c r="F1397" s="29">
        <f>COUNTIFS(실시간콜입력!$B:$B,$A1397,실시간콜입력!$E:$E,"A",실시간콜입력!$G:$G,$B1397,실시간콜입력!$O:$O,"방문완료")+COUNTIFS(실시간콜입력!$B:$B,$A1397,실시간콜입력!$E:$E,"A",실시간콜입력!$H:$H,$B1397,실시간콜입력!$O:$O,"방문완료")</f>
        <v>0</v>
      </c>
      <c r="G1397" s="29">
        <f>COUNTIFS(실시간콜입력!$B:$B,$A1397,실시간콜입력!$E:$E,"B",실시간콜입력!$G:$G,$B1397,실시간콜입력!$O:$O,"방문완료")+COUNTIFS(실시간콜입력!$B:$B,$A1397,실시간콜입력!$E:$E,"B",실시간콜입력!$H:$H,$B1397,실시간콜입력!$O:$O,"방문완료")</f>
        <v>0</v>
      </c>
      <c r="H1397" s="29">
        <f>COUNTIFS(실시간콜입력!$B:$B,$A1397,실시간콜입력!$E:$E,"C",실시간콜입력!$G:$G,$B1397,실시간콜입력!$O:$O,"방문완료")+COUNTIFS(실시간콜입력!$B:$B,$A1397,실시간콜입력!$E:$E,"C",실시간콜입력!$H:$H,$B1397,실시간콜입력!$O:$O,"방문완료")</f>
        <v>0</v>
      </c>
      <c r="I1397" s="29">
        <f>COUNTIFS(실시간콜입력!$B:$B,$A1397,실시간콜입력!$E:$E,"D",실시간콜입력!$G:$G,$B1397,실시간콜입력!$O:$O,"방문완료")+COUNTIFS(실시간콜입력!$B:$B,$A1397,실시간콜입력!$E:$E,"D",실시간콜입력!$H:$H,$B1397,실시간콜입력!$O:$O,"방문완료")</f>
        <v>0</v>
      </c>
      <c r="J1397" s="29">
        <f>COUNTIFS(실시간콜입력!$B:$B,$A1397,실시간콜입력!$E:$E,"E",실시간콜입력!$G:$G,$B1397,실시간콜입력!$O:$O,"방문완료")+COUNTIFS(실시간콜입력!$B:$B,$A1397,실시간콜입력!$E:$E,"E",실시간콜입력!$H:$H,$B1397,실시간콜입력!$O:$O,"방문완료")</f>
        <v>0</v>
      </c>
      <c r="K1397" s="29">
        <f t="shared" si="187"/>
        <v>0</v>
      </c>
      <c r="L1397" s="27">
        <f>SUMIFS(실시간콜입력!$K:$K,실시간콜입력!$B:$B,$A1397,실시간콜입력!$G:$G,$B1397,실시간콜입력!$O:$O,"방문완료")+SUMIFS(실시간콜입력!$L:$L,실시간콜입력!$B:$B,$A1397,실시간콜입력!$H:$H,$B1397,실시간콜입력!$O:$O,"방문완료")</f>
        <v>0</v>
      </c>
      <c r="M1397" s="29" t="str">
        <f t="shared" si="188"/>
        <v/>
      </c>
      <c r="N1397" s="29"/>
    </row>
    <row r="1398" spans="1:14" ht="19.5" hidden="1" customHeight="1" outlineLevel="1">
      <c r="A1398" s="30">
        <f>IF(27&lt;=DAY(DATE(YEAR(설정_코스수당!$K$2),MONTH(설정_코스수당!$K$2)+1,0)),DATE(YEAR(설정_코스수당!$K$2),MONTH(설정_코스수당!$K$2),27),"")</f>
        <v>46200</v>
      </c>
      <c r="B1398" s="29" t="s">
        <v>202</v>
      </c>
      <c r="C1398" s="29"/>
      <c r="D1398" s="29"/>
      <c r="E1398" s="29" t="str">
        <f t="shared" si="186"/>
        <v/>
      </c>
      <c r="F1398" s="29">
        <f>COUNTIFS(실시간콜입력!$B:$B,$A1398,실시간콜입력!$E:$E,"A",실시간콜입력!$G:$G,$B1398,실시간콜입력!$O:$O,"방문완료")+COUNTIFS(실시간콜입력!$B:$B,$A1398,실시간콜입력!$E:$E,"A",실시간콜입력!$H:$H,$B1398,실시간콜입력!$O:$O,"방문완료")</f>
        <v>0</v>
      </c>
      <c r="G1398" s="29">
        <f>COUNTIFS(실시간콜입력!$B:$B,$A1398,실시간콜입력!$E:$E,"B",실시간콜입력!$G:$G,$B1398,실시간콜입력!$O:$O,"방문완료")+COUNTIFS(실시간콜입력!$B:$B,$A1398,실시간콜입력!$E:$E,"B",실시간콜입력!$H:$H,$B1398,실시간콜입력!$O:$O,"방문완료")</f>
        <v>0</v>
      </c>
      <c r="H1398" s="29">
        <f>COUNTIFS(실시간콜입력!$B:$B,$A1398,실시간콜입력!$E:$E,"C",실시간콜입력!$G:$G,$B1398,실시간콜입력!$O:$O,"방문완료")+COUNTIFS(실시간콜입력!$B:$B,$A1398,실시간콜입력!$E:$E,"C",실시간콜입력!$H:$H,$B1398,실시간콜입력!$O:$O,"방문완료")</f>
        <v>0</v>
      </c>
      <c r="I1398" s="29">
        <f>COUNTIFS(실시간콜입력!$B:$B,$A1398,실시간콜입력!$E:$E,"D",실시간콜입력!$G:$G,$B1398,실시간콜입력!$O:$O,"방문완료")+COUNTIFS(실시간콜입력!$B:$B,$A1398,실시간콜입력!$E:$E,"D",실시간콜입력!$H:$H,$B1398,실시간콜입력!$O:$O,"방문완료")</f>
        <v>0</v>
      </c>
      <c r="J1398" s="29">
        <f>COUNTIFS(실시간콜입력!$B:$B,$A1398,실시간콜입력!$E:$E,"E",실시간콜입력!$G:$G,$B1398,실시간콜입력!$O:$O,"방문완료")+COUNTIFS(실시간콜입력!$B:$B,$A1398,실시간콜입력!$E:$E,"E",실시간콜입력!$H:$H,$B1398,실시간콜입력!$O:$O,"방문완료")</f>
        <v>0</v>
      </c>
      <c r="K1398" s="29">
        <f t="shared" si="187"/>
        <v>0</v>
      </c>
      <c r="L1398" s="33">
        <f>SUMIFS(실시간콜입력!$K:$K,실시간콜입력!$B:$B,$A1398,실시간콜입력!$G:$G,$B1398,실시간콜입력!$O:$O,"방문완료")+SUMIFS(실시간콜입력!$L:$L,실시간콜입력!$B:$B,$A1398,실시간콜입력!$H:$H,$B1398,실시간콜입력!$O:$O,"방문완료")</f>
        <v>0</v>
      </c>
      <c r="M1398" s="29" t="str">
        <f t="shared" si="188"/>
        <v/>
      </c>
      <c r="N1398" s="29"/>
    </row>
    <row r="1399" spans="1:14" ht="19.5" hidden="1" customHeight="1" outlineLevel="1">
      <c r="A1399" s="24">
        <f>IF(27&lt;=DAY(DATE(YEAR(설정_코스수당!$K$2),MONTH(설정_코스수당!$K$2)+1,0)),DATE(YEAR(설정_코스수당!$K$2),MONTH(설정_코스수당!$K$2),27),"")</f>
        <v>46200</v>
      </c>
      <c r="B1399" s="23" t="s">
        <v>203</v>
      </c>
      <c r="C1399" s="29"/>
      <c r="D1399" s="29"/>
      <c r="E1399" s="29" t="str">
        <f t="shared" si="186"/>
        <v/>
      </c>
      <c r="F1399" s="29">
        <f>COUNTIFS(실시간콜입력!$B:$B,$A1399,실시간콜입력!$E:$E,"A",실시간콜입력!$G:$G,$B1399,실시간콜입력!$O:$O,"방문완료")+COUNTIFS(실시간콜입력!$B:$B,$A1399,실시간콜입력!$E:$E,"A",실시간콜입력!$H:$H,$B1399,실시간콜입력!$O:$O,"방문완료")</f>
        <v>0</v>
      </c>
      <c r="G1399" s="29">
        <f>COUNTIFS(실시간콜입력!$B:$B,$A1399,실시간콜입력!$E:$E,"B",실시간콜입력!$G:$G,$B1399,실시간콜입력!$O:$O,"방문완료")+COUNTIFS(실시간콜입력!$B:$B,$A1399,실시간콜입력!$E:$E,"B",실시간콜입력!$H:$H,$B1399,실시간콜입력!$O:$O,"방문완료")</f>
        <v>0</v>
      </c>
      <c r="H1399" s="29">
        <f>COUNTIFS(실시간콜입력!$B:$B,$A1399,실시간콜입력!$E:$E,"C",실시간콜입력!$G:$G,$B1399,실시간콜입력!$O:$O,"방문완료")+COUNTIFS(실시간콜입력!$B:$B,$A1399,실시간콜입력!$E:$E,"C",실시간콜입력!$H:$H,$B1399,실시간콜입력!$O:$O,"방문완료")</f>
        <v>0</v>
      </c>
      <c r="I1399" s="29">
        <f>COUNTIFS(실시간콜입력!$B:$B,$A1399,실시간콜입력!$E:$E,"D",실시간콜입력!$G:$G,$B1399,실시간콜입력!$O:$O,"방문완료")+COUNTIFS(실시간콜입력!$B:$B,$A1399,실시간콜입력!$E:$E,"D",실시간콜입력!$H:$H,$B1399,실시간콜입력!$O:$O,"방문완료")</f>
        <v>0</v>
      </c>
      <c r="J1399" s="29">
        <f>COUNTIFS(실시간콜입력!$B:$B,$A1399,실시간콜입력!$E:$E,"E",실시간콜입력!$G:$G,$B1399,실시간콜입력!$O:$O,"방문완료")+COUNTIFS(실시간콜입력!$B:$B,$A1399,실시간콜입력!$E:$E,"E",실시간콜입력!$H:$H,$B1399,실시간콜입력!$O:$O,"방문완료")</f>
        <v>0</v>
      </c>
      <c r="K1399" s="29">
        <f t="shared" si="187"/>
        <v>0</v>
      </c>
      <c r="L1399" s="27">
        <f>SUMIFS(실시간콜입력!$K:$K,실시간콜입력!$B:$B,$A1399,실시간콜입력!$G:$G,$B1399,실시간콜입력!$O:$O,"방문완료")+SUMIFS(실시간콜입력!$L:$L,실시간콜입력!$B:$B,$A1399,실시간콜입력!$H:$H,$B1399,실시간콜입력!$O:$O,"방문완료")</f>
        <v>0</v>
      </c>
      <c r="M1399" s="29" t="str">
        <f t="shared" si="188"/>
        <v/>
      </c>
      <c r="N1399" s="29"/>
    </row>
    <row r="1400" spans="1:14" ht="19.5" hidden="1" customHeight="1" outlineLevel="1">
      <c r="A1400" s="30">
        <f>IF(27&lt;=DAY(DATE(YEAR(설정_코스수당!$K$2),MONTH(설정_코스수당!$K$2)+1,0)),DATE(YEAR(설정_코스수당!$K$2),MONTH(설정_코스수당!$K$2),27),"")</f>
        <v>46200</v>
      </c>
      <c r="B1400" s="29" t="s">
        <v>204</v>
      </c>
      <c r="C1400" s="29"/>
      <c r="D1400" s="29"/>
      <c r="E1400" s="29" t="str">
        <f t="shared" si="186"/>
        <v/>
      </c>
      <c r="F1400" s="29">
        <f>COUNTIFS(실시간콜입력!$B:$B,$A1400,실시간콜입력!$E:$E,"A",실시간콜입력!$G:$G,$B1400,실시간콜입력!$O:$O,"방문완료")+COUNTIFS(실시간콜입력!$B:$B,$A1400,실시간콜입력!$E:$E,"A",실시간콜입력!$H:$H,$B1400,실시간콜입력!$O:$O,"방문완료")</f>
        <v>0</v>
      </c>
      <c r="G1400" s="29">
        <f>COUNTIFS(실시간콜입력!$B:$B,$A1400,실시간콜입력!$E:$E,"B",실시간콜입력!$G:$G,$B1400,실시간콜입력!$O:$O,"방문완료")+COUNTIFS(실시간콜입력!$B:$B,$A1400,실시간콜입력!$E:$E,"B",실시간콜입력!$H:$H,$B1400,실시간콜입력!$O:$O,"방문완료")</f>
        <v>0</v>
      </c>
      <c r="H1400" s="29">
        <f>COUNTIFS(실시간콜입력!$B:$B,$A1400,실시간콜입력!$E:$E,"C",실시간콜입력!$G:$G,$B1400,실시간콜입력!$O:$O,"방문완료")+COUNTIFS(실시간콜입력!$B:$B,$A1400,실시간콜입력!$E:$E,"C",실시간콜입력!$H:$H,$B1400,실시간콜입력!$O:$O,"방문완료")</f>
        <v>0</v>
      </c>
      <c r="I1400" s="29">
        <f>COUNTIFS(실시간콜입력!$B:$B,$A1400,실시간콜입력!$E:$E,"D",실시간콜입력!$G:$G,$B1400,실시간콜입력!$O:$O,"방문완료")+COUNTIFS(실시간콜입력!$B:$B,$A1400,실시간콜입력!$E:$E,"D",실시간콜입력!$H:$H,$B1400,실시간콜입력!$O:$O,"방문완료")</f>
        <v>0</v>
      </c>
      <c r="J1400" s="29">
        <f>COUNTIFS(실시간콜입력!$B:$B,$A1400,실시간콜입력!$E:$E,"E",실시간콜입력!$G:$G,$B1400,실시간콜입력!$O:$O,"방문완료")+COUNTIFS(실시간콜입력!$B:$B,$A1400,실시간콜입력!$E:$E,"E",실시간콜입력!$H:$H,$B1400,실시간콜입력!$O:$O,"방문완료")</f>
        <v>0</v>
      </c>
      <c r="K1400" s="29">
        <f t="shared" si="187"/>
        <v>0</v>
      </c>
      <c r="L1400" s="33">
        <f>SUMIFS(실시간콜입력!$K:$K,실시간콜입력!$B:$B,$A1400,실시간콜입력!$G:$G,$B1400,실시간콜입력!$O:$O,"방문완료")+SUMIFS(실시간콜입력!$L:$L,실시간콜입력!$B:$B,$A1400,실시간콜입력!$H:$H,$B1400,실시간콜입력!$O:$O,"방문완료")</f>
        <v>0</v>
      </c>
      <c r="M1400" s="29" t="str">
        <f t="shared" si="188"/>
        <v/>
      </c>
      <c r="N1400" s="29"/>
    </row>
    <row r="1401" spans="1:14" ht="19.5" hidden="1" customHeight="1" outlineLevel="1">
      <c r="A1401" s="24">
        <f>IF(27&lt;=DAY(DATE(YEAR(설정_코스수당!$K$2),MONTH(설정_코스수당!$K$2)+1,0)),DATE(YEAR(설정_코스수당!$K$2),MONTH(설정_코스수당!$K$2),27),"")</f>
        <v>46200</v>
      </c>
      <c r="B1401" s="23" t="s">
        <v>205</v>
      </c>
      <c r="C1401" s="29"/>
      <c r="D1401" s="29"/>
      <c r="E1401" s="29" t="str">
        <f t="shared" si="186"/>
        <v/>
      </c>
      <c r="F1401" s="29">
        <f>COUNTIFS(실시간콜입력!$B:$B,$A1401,실시간콜입력!$E:$E,"A",실시간콜입력!$G:$G,$B1401,실시간콜입력!$O:$O,"방문완료")+COUNTIFS(실시간콜입력!$B:$B,$A1401,실시간콜입력!$E:$E,"A",실시간콜입력!$H:$H,$B1401,실시간콜입력!$O:$O,"방문완료")</f>
        <v>0</v>
      </c>
      <c r="G1401" s="29">
        <f>COUNTIFS(실시간콜입력!$B:$B,$A1401,실시간콜입력!$E:$E,"B",실시간콜입력!$G:$G,$B1401,실시간콜입력!$O:$O,"방문완료")+COUNTIFS(실시간콜입력!$B:$B,$A1401,실시간콜입력!$E:$E,"B",실시간콜입력!$H:$H,$B1401,실시간콜입력!$O:$O,"방문완료")</f>
        <v>0</v>
      </c>
      <c r="H1401" s="29">
        <f>COUNTIFS(실시간콜입력!$B:$B,$A1401,실시간콜입력!$E:$E,"C",실시간콜입력!$G:$G,$B1401,실시간콜입력!$O:$O,"방문완료")+COUNTIFS(실시간콜입력!$B:$B,$A1401,실시간콜입력!$E:$E,"C",실시간콜입력!$H:$H,$B1401,실시간콜입력!$O:$O,"방문완료")</f>
        <v>0</v>
      </c>
      <c r="I1401" s="29">
        <f>COUNTIFS(실시간콜입력!$B:$B,$A1401,실시간콜입력!$E:$E,"D",실시간콜입력!$G:$G,$B1401,실시간콜입력!$O:$O,"방문완료")+COUNTIFS(실시간콜입력!$B:$B,$A1401,실시간콜입력!$E:$E,"D",실시간콜입력!$H:$H,$B1401,실시간콜입력!$O:$O,"방문완료")</f>
        <v>0</v>
      </c>
      <c r="J1401" s="29">
        <f>COUNTIFS(실시간콜입력!$B:$B,$A1401,실시간콜입력!$E:$E,"E",실시간콜입력!$G:$G,$B1401,실시간콜입력!$O:$O,"방문완료")+COUNTIFS(실시간콜입력!$B:$B,$A1401,실시간콜입력!$E:$E,"E",실시간콜입력!$H:$H,$B1401,실시간콜입력!$O:$O,"방문완료")</f>
        <v>0</v>
      </c>
      <c r="K1401" s="29">
        <f t="shared" si="187"/>
        <v>0</v>
      </c>
      <c r="L1401" s="27">
        <f>SUMIFS(실시간콜입력!$K:$K,실시간콜입력!$B:$B,$A1401,실시간콜입력!$G:$G,$B1401,실시간콜입력!$O:$O,"방문완료")+SUMIFS(실시간콜입력!$L:$L,실시간콜입력!$B:$B,$A1401,실시간콜입력!$H:$H,$B1401,실시간콜입력!$O:$O,"방문완료")</f>
        <v>0</v>
      </c>
      <c r="M1401" s="29" t="str">
        <f t="shared" si="188"/>
        <v/>
      </c>
      <c r="N1401" s="29"/>
    </row>
    <row r="1402" spans="1:14" ht="19.5" hidden="1" customHeight="1" outlineLevel="1">
      <c r="A1402" s="30">
        <f>IF(27&lt;=DAY(DATE(YEAR(설정_코스수당!$K$2),MONTH(설정_코스수당!$K$2)+1,0)),DATE(YEAR(설정_코스수당!$K$2),MONTH(설정_코스수당!$K$2),27),"")</f>
        <v>46200</v>
      </c>
      <c r="B1402" s="29" t="s">
        <v>206</v>
      </c>
      <c r="C1402" s="29"/>
      <c r="D1402" s="29"/>
      <c r="E1402" s="29" t="str">
        <f t="shared" si="186"/>
        <v/>
      </c>
      <c r="F1402" s="29">
        <f>COUNTIFS(실시간콜입력!$B:$B,$A1402,실시간콜입력!$E:$E,"A",실시간콜입력!$G:$G,$B1402,실시간콜입력!$O:$O,"방문완료")+COUNTIFS(실시간콜입력!$B:$B,$A1402,실시간콜입력!$E:$E,"A",실시간콜입력!$H:$H,$B1402,실시간콜입력!$O:$O,"방문완료")</f>
        <v>0</v>
      </c>
      <c r="G1402" s="29">
        <f>COUNTIFS(실시간콜입력!$B:$B,$A1402,실시간콜입력!$E:$E,"B",실시간콜입력!$G:$G,$B1402,실시간콜입력!$O:$O,"방문완료")+COUNTIFS(실시간콜입력!$B:$B,$A1402,실시간콜입력!$E:$E,"B",실시간콜입력!$H:$H,$B1402,실시간콜입력!$O:$O,"방문완료")</f>
        <v>0</v>
      </c>
      <c r="H1402" s="29">
        <f>COUNTIFS(실시간콜입력!$B:$B,$A1402,실시간콜입력!$E:$E,"C",실시간콜입력!$G:$G,$B1402,실시간콜입력!$O:$O,"방문완료")+COUNTIFS(실시간콜입력!$B:$B,$A1402,실시간콜입력!$E:$E,"C",실시간콜입력!$H:$H,$B1402,실시간콜입력!$O:$O,"방문완료")</f>
        <v>0</v>
      </c>
      <c r="I1402" s="29">
        <f>COUNTIFS(실시간콜입력!$B:$B,$A1402,실시간콜입력!$E:$E,"D",실시간콜입력!$G:$G,$B1402,실시간콜입력!$O:$O,"방문완료")+COUNTIFS(실시간콜입력!$B:$B,$A1402,실시간콜입력!$E:$E,"D",실시간콜입력!$H:$H,$B1402,실시간콜입력!$O:$O,"방문완료")</f>
        <v>0</v>
      </c>
      <c r="J1402" s="29">
        <f>COUNTIFS(실시간콜입력!$B:$B,$A1402,실시간콜입력!$E:$E,"E",실시간콜입력!$G:$G,$B1402,실시간콜입력!$O:$O,"방문완료")+COUNTIFS(실시간콜입력!$B:$B,$A1402,실시간콜입력!$E:$E,"E",실시간콜입력!$H:$H,$B1402,실시간콜입력!$O:$O,"방문완료")</f>
        <v>0</v>
      </c>
      <c r="K1402" s="29">
        <f t="shared" si="187"/>
        <v>0</v>
      </c>
      <c r="L1402" s="33">
        <f>SUMIFS(실시간콜입력!$K:$K,실시간콜입력!$B:$B,$A1402,실시간콜입력!$G:$G,$B1402,실시간콜입력!$O:$O,"방문완료")+SUMIFS(실시간콜입력!$L:$L,실시간콜입력!$B:$B,$A1402,실시간콜입력!$H:$H,$B1402,실시간콜입력!$O:$O,"방문완료")</f>
        <v>0</v>
      </c>
      <c r="M1402" s="29" t="str">
        <f t="shared" si="188"/>
        <v/>
      </c>
      <c r="N1402" s="29"/>
    </row>
    <row r="1403" spans="1:14" ht="19.5" hidden="1" customHeight="1" outlineLevel="1">
      <c r="A1403" s="24">
        <f>IF(27&lt;=DAY(DATE(YEAR(설정_코스수당!$K$2),MONTH(설정_코스수당!$K$2)+1,0)),DATE(YEAR(설정_코스수당!$K$2),MONTH(설정_코스수당!$K$2),27),"")</f>
        <v>46200</v>
      </c>
      <c r="B1403" s="23" t="s">
        <v>207</v>
      </c>
      <c r="C1403" s="29"/>
      <c r="D1403" s="29"/>
      <c r="E1403" s="29" t="str">
        <f t="shared" si="186"/>
        <v/>
      </c>
      <c r="F1403" s="29">
        <f>COUNTIFS(실시간콜입력!$B:$B,$A1403,실시간콜입력!$E:$E,"A",실시간콜입력!$G:$G,$B1403,실시간콜입력!$O:$O,"방문완료")+COUNTIFS(실시간콜입력!$B:$B,$A1403,실시간콜입력!$E:$E,"A",실시간콜입력!$H:$H,$B1403,실시간콜입력!$O:$O,"방문완료")</f>
        <v>0</v>
      </c>
      <c r="G1403" s="29">
        <f>COUNTIFS(실시간콜입력!$B:$B,$A1403,실시간콜입력!$E:$E,"B",실시간콜입력!$G:$G,$B1403,실시간콜입력!$O:$O,"방문완료")+COUNTIFS(실시간콜입력!$B:$B,$A1403,실시간콜입력!$E:$E,"B",실시간콜입력!$H:$H,$B1403,실시간콜입력!$O:$O,"방문완료")</f>
        <v>0</v>
      </c>
      <c r="H1403" s="29">
        <f>COUNTIFS(실시간콜입력!$B:$B,$A1403,실시간콜입력!$E:$E,"C",실시간콜입력!$G:$G,$B1403,실시간콜입력!$O:$O,"방문완료")+COUNTIFS(실시간콜입력!$B:$B,$A1403,실시간콜입력!$E:$E,"C",실시간콜입력!$H:$H,$B1403,실시간콜입력!$O:$O,"방문완료")</f>
        <v>0</v>
      </c>
      <c r="I1403" s="29">
        <f>COUNTIFS(실시간콜입력!$B:$B,$A1403,실시간콜입력!$E:$E,"D",실시간콜입력!$G:$G,$B1403,실시간콜입력!$O:$O,"방문완료")+COUNTIFS(실시간콜입력!$B:$B,$A1403,실시간콜입력!$E:$E,"D",실시간콜입력!$H:$H,$B1403,실시간콜입력!$O:$O,"방문완료")</f>
        <v>0</v>
      </c>
      <c r="J1403" s="29">
        <f>COUNTIFS(실시간콜입력!$B:$B,$A1403,실시간콜입력!$E:$E,"E",실시간콜입력!$G:$G,$B1403,실시간콜입력!$O:$O,"방문완료")+COUNTIFS(실시간콜입력!$B:$B,$A1403,실시간콜입력!$E:$E,"E",실시간콜입력!$H:$H,$B1403,실시간콜입력!$O:$O,"방문완료")</f>
        <v>0</v>
      </c>
      <c r="K1403" s="29">
        <f t="shared" si="187"/>
        <v>0</v>
      </c>
      <c r="L1403" s="27">
        <f>SUMIFS(실시간콜입력!$K:$K,실시간콜입력!$B:$B,$A1403,실시간콜입력!$G:$G,$B1403,실시간콜입력!$O:$O,"방문완료")+SUMIFS(실시간콜입력!$L:$L,실시간콜입력!$B:$B,$A1403,실시간콜입력!$H:$H,$B1403,실시간콜입력!$O:$O,"방문완료")</f>
        <v>0</v>
      </c>
      <c r="M1403" s="29" t="str">
        <f t="shared" si="188"/>
        <v/>
      </c>
      <c r="N1403" s="29"/>
    </row>
    <row r="1404" spans="1:14" ht="19.5" hidden="1" customHeight="1" outlineLevel="1">
      <c r="A1404" s="30">
        <f>IF(27&lt;=DAY(DATE(YEAR(설정_코스수당!$K$2),MONTH(설정_코스수당!$K$2)+1,0)),DATE(YEAR(설정_코스수당!$K$2),MONTH(설정_코스수당!$K$2),27),"")</f>
        <v>46200</v>
      </c>
      <c r="B1404" s="29" t="s">
        <v>208</v>
      </c>
      <c r="C1404" s="29"/>
      <c r="D1404" s="29"/>
      <c r="E1404" s="29" t="str">
        <f t="shared" si="186"/>
        <v/>
      </c>
      <c r="F1404" s="29">
        <f>COUNTIFS(실시간콜입력!$B:$B,$A1404,실시간콜입력!$E:$E,"A",실시간콜입력!$G:$G,$B1404,실시간콜입력!$O:$O,"방문완료")+COUNTIFS(실시간콜입력!$B:$B,$A1404,실시간콜입력!$E:$E,"A",실시간콜입력!$H:$H,$B1404,실시간콜입력!$O:$O,"방문완료")</f>
        <v>0</v>
      </c>
      <c r="G1404" s="29">
        <f>COUNTIFS(실시간콜입력!$B:$B,$A1404,실시간콜입력!$E:$E,"B",실시간콜입력!$G:$G,$B1404,실시간콜입력!$O:$O,"방문완료")+COUNTIFS(실시간콜입력!$B:$B,$A1404,실시간콜입력!$E:$E,"B",실시간콜입력!$H:$H,$B1404,실시간콜입력!$O:$O,"방문완료")</f>
        <v>0</v>
      </c>
      <c r="H1404" s="29">
        <f>COUNTIFS(실시간콜입력!$B:$B,$A1404,실시간콜입력!$E:$E,"C",실시간콜입력!$G:$G,$B1404,실시간콜입력!$O:$O,"방문완료")+COUNTIFS(실시간콜입력!$B:$B,$A1404,실시간콜입력!$E:$E,"C",실시간콜입력!$H:$H,$B1404,실시간콜입력!$O:$O,"방문완료")</f>
        <v>0</v>
      </c>
      <c r="I1404" s="29">
        <f>COUNTIFS(실시간콜입력!$B:$B,$A1404,실시간콜입력!$E:$E,"D",실시간콜입력!$G:$G,$B1404,실시간콜입력!$O:$O,"방문완료")+COUNTIFS(실시간콜입력!$B:$B,$A1404,실시간콜입력!$E:$E,"D",실시간콜입력!$H:$H,$B1404,실시간콜입력!$O:$O,"방문완료")</f>
        <v>0</v>
      </c>
      <c r="J1404" s="29">
        <f>COUNTIFS(실시간콜입력!$B:$B,$A1404,실시간콜입력!$E:$E,"E",실시간콜입력!$G:$G,$B1404,실시간콜입력!$O:$O,"방문완료")+COUNTIFS(실시간콜입력!$B:$B,$A1404,실시간콜입력!$E:$E,"E",실시간콜입력!$H:$H,$B1404,실시간콜입력!$O:$O,"방문완료")</f>
        <v>0</v>
      </c>
      <c r="K1404" s="29">
        <f t="shared" si="187"/>
        <v>0</v>
      </c>
      <c r="L1404" s="33">
        <f>SUMIFS(실시간콜입력!$K:$K,실시간콜입력!$B:$B,$A1404,실시간콜입력!$G:$G,$B1404,실시간콜입력!$O:$O,"방문완료")+SUMIFS(실시간콜입력!$L:$L,실시간콜입력!$B:$B,$A1404,실시간콜입력!$H:$H,$B1404,실시간콜입력!$O:$O,"방문완료")</f>
        <v>0</v>
      </c>
      <c r="M1404" s="29" t="str">
        <f t="shared" si="188"/>
        <v/>
      </c>
      <c r="N1404" s="29"/>
    </row>
    <row r="1405" spans="1:14" ht="19.5" hidden="1" customHeight="1" outlineLevel="1">
      <c r="A1405" s="24">
        <f>IF(27&lt;=DAY(DATE(YEAR(설정_코스수당!$K$2),MONTH(설정_코스수당!$K$2)+1,0)),DATE(YEAR(설정_코스수당!$K$2),MONTH(설정_코스수당!$K$2),27),"")</f>
        <v>46200</v>
      </c>
      <c r="B1405" s="23" t="s">
        <v>209</v>
      </c>
      <c r="C1405" s="29"/>
      <c r="D1405" s="29"/>
      <c r="E1405" s="29" t="str">
        <f t="shared" si="186"/>
        <v/>
      </c>
      <c r="F1405" s="29">
        <f>COUNTIFS(실시간콜입력!$B:$B,$A1405,실시간콜입력!$E:$E,"A",실시간콜입력!$G:$G,$B1405,실시간콜입력!$O:$O,"방문완료")+COUNTIFS(실시간콜입력!$B:$B,$A1405,실시간콜입력!$E:$E,"A",실시간콜입력!$H:$H,$B1405,실시간콜입력!$O:$O,"방문완료")</f>
        <v>0</v>
      </c>
      <c r="G1405" s="29">
        <f>COUNTIFS(실시간콜입력!$B:$B,$A1405,실시간콜입력!$E:$E,"B",실시간콜입력!$G:$G,$B1405,실시간콜입력!$O:$O,"방문완료")+COUNTIFS(실시간콜입력!$B:$B,$A1405,실시간콜입력!$E:$E,"B",실시간콜입력!$H:$H,$B1405,실시간콜입력!$O:$O,"방문완료")</f>
        <v>0</v>
      </c>
      <c r="H1405" s="29">
        <f>COUNTIFS(실시간콜입력!$B:$B,$A1405,실시간콜입력!$E:$E,"C",실시간콜입력!$G:$G,$B1405,실시간콜입력!$O:$O,"방문완료")+COUNTIFS(실시간콜입력!$B:$B,$A1405,실시간콜입력!$E:$E,"C",실시간콜입력!$H:$H,$B1405,실시간콜입력!$O:$O,"방문완료")</f>
        <v>0</v>
      </c>
      <c r="I1405" s="29">
        <f>COUNTIFS(실시간콜입력!$B:$B,$A1405,실시간콜입력!$E:$E,"D",실시간콜입력!$G:$G,$B1405,실시간콜입력!$O:$O,"방문완료")+COUNTIFS(실시간콜입력!$B:$B,$A1405,실시간콜입력!$E:$E,"D",실시간콜입력!$H:$H,$B1405,실시간콜입력!$O:$O,"방문완료")</f>
        <v>0</v>
      </c>
      <c r="J1405" s="29">
        <f>COUNTIFS(실시간콜입력!$B:$B,$A1405,실시간콜입력!$E:$E,"E",실시간콜입력!$G:$G,$B1405,실시간콜입력!$O:$O,"방문완료")+COUNTIFS(실시간콜입력!$B:$B,$A1405,실시간콜입력!$E:$E,"E",실시간콜입력!$H:$H,$B1405,실시간콜입력!$O:$O,"방문완료")</f>
        <v>0</v>
      </c>
      <c r="K1405" s="29">
        <f t="shared" si="187"/>
        <v>0</v>
      </c>
      <c r="L1405" s="27">
        <f>SUMIFS(실시간콜입력!$K:$K,실시간콜입력!$B:$B,$A1405,실시간콜입력!$G:$G,$B1405,실시간콜입력!$O:$O,"방문완료")+SUMIFS(실시간콜입력!$L:$L,실시간콜입력!$B:$B,$A1405,실시간콜입력!$H:$H,$B1405,실시간콜입력!$O:$O,"방문완료")</f>
        <v>0</v>
      </c>
      <c r="M1405" s="29" t="str">
        <f t="shared" si="188"/>
        <v/>
      </c>
      <c r="N1405" s="29"/>
    </row>
    <row r="1406" spans="1:14" ht="19.5" hidden="1" customHeight="1" outlineLevel="1">
      <c r="A1406" s="30">
        <f>IF(27&lt;=DAY(DATE(YEAR(설정_코스수당!$K$2),MONTH(설정_코스수당!$K$2)+1,0)),DATE(YEAR(설정_코스수당!$K$2),MONTH(설정_코스수당!$K$2),27),"")</f>
        <v>46200</v>
      </c>
      <c r="B1406" s="29" t="s">
        <v>210</v>
      </c>
      <c r="C1406" s="29"/>
      <c r="D1406" s="29"/>
      <c r="E1406" s="29" t="str">
        <f t="shared" si="186"/>
        <v/>
      </c>
      <c r="F1406" s="29">
        <f>COUNTIFS(실시간콜입력!$B:$B,$A1406,실시간콜입력!$E:$E,"A",실시간콜입력!$G:$G,$B1406,실시간콜입력!$O:$O,"방문완료")+COUNTIFS(실시간콜입력!$B:$B,$A1406,실시간콜입력!$E:$E,"A",실시간콜입력!$H:$H,$B1406,실시간콜입력!$O:$O,"방문완료")</f>
        <v>0</v>
      </c>
      <c r="G1406" s="29">
        <f>COUNTIFS(실시간콜입력!$B:$B,$A1406,실시간콜입력!$E:$E,"B",실시간콜입력!$G:$G,$B1406,실시간콜입력!$O:$O,"방문완료")+COUNTIFS(실시간콜입력!$B:$B,$A1406,실시간콜입력!$E:$E,"B",실시간콜입력!$H:$H,$B1406,실시간콜입력!$O:$O,"방문완료")</f>
        <v>0</v>
      </c>
      <c r="H1406" s="29">
        <f>COUNTIFS(실시간콜입력!$B:$B,$A1406,실시간콜입력!$E:$E,"C",실시간콜입력!$G:$G,$B1406,실시간콜입력!$O:$O,"방문완료")+COUNTIFS(실시간콜입력!$B:$B,$A1406,실시간콜입력!$E:$E,"C",실시간콜입력!$H:$H,$B1406,실시간콜입력!$O:$O,"방문완료")</f>
        <v>0</v>
      </c>
      <c r="I1406" s="29">
        <f>COUNTIFS(실시간콜입력!$B:$B,$A1406,실시간콜입력!$E:$E,"D",실시간콜입력!$G:$G,$B1406,실시간콜입력!$O:$O,"방문완료")+COUNTIFS(실시간콜입력!$B:$B,$A1406,실시간콜입력!$E:$E,"D",실시간콜입력!$H:$H,$B1406,실시간콜입력!$O:$O,"방문완료")</f>
        <v>0</v>
      </c>
      <c r="J1406" s="29">
        <f>COUNTIFS(실시간콜입력!$B:$B,$A1406,실시간콜입력!$E:$E,"E",실시간콜입력!$G:$G,$B1406,실시간콜입력!$O:$O,"방문완료")+COUNTIFS(실시간콜입력!$B:$B,$A1406,실시간콜입력!$E:$E,"E",실시간콜입력!$H:$H,$B1406,실시간콜입력!$O:$O,"방문완료")</f>
        <v>0</v>
      </c>
      <c r="K1406" s="29">
        <f t="shared" si="187"/>
        <v>0</v>
      </c>
      <c r="L1406" s="33">
        <f>SUMIFS(실시간콜입력!$K:$K,실시간콜입력!$B:$B,$A1406,실시간콜입력!$G:$G,$B1406,실시간콜입력!$O:$O,"방문완료")+SUMIFS(실시간콜입력!$L:$L,실시간콜입력!$B:$B,$A1406,실시간콜입력!$H:$H,$B1406,실시간콜입력!$O:$O,"방문완료")</f>
        <v>0</v>
      </c>
      <c r="M1406" s="29" t="str">
        <f t="shared" si="188"/>
        <v/>
      </c>
      <c r="N1406" s="29"/>
    </row>
    <row r="1407" spans="1:14" ht="19.5" hidden="1" customHeight="1" outlineLevel="1">
      <c r="A1407" s="24">
        <f>IF(27&lt;=DAY(DATE(YEAR(설정_코스수당!$K$2),MONTH(설정_코스수당!$K$2)+1,0)),DATE(YEAR(설정_코스수당!$K$2),MONTH(설정_코스수당!$K$2),27),"")</f>
        <v>46200</v>
      </c>
      <c r="B1407" s="23" t="s">
        <v>211</v>
      </c>
      <c r="C1407" s="29"/>
      <c r="D1407" s="29"/>
      <c r="E1407" s="29" t="str">
        <f t="shared" si="186"/>
        <v/>
      </c>
      <c r="F1407" s="29">
        <f>COUNTIFS(실시간콜입력!$B:$B,$A1407,실시간콜입력!$E:$E,"A",실시간콜입력!$G:$G,$B1407,실시간콜입력!$O:$O,"방문완료")+COUNTIFS(실시간콜입력!$B:$B,$A1407,실시간콜입력!$E:$E,"A",실시간콜입력!$H:$H,$B1407,실시간콜입력!$O:$O,"방문완료")</f>
        <v>0</v>
      </c>
      <c r="G1407" s="29">
        <f>COUNTIFS(실시간콜입력!$B:$B,$A1407,실시간콜입력!$E:$E,"B",실시간콜입력!$G:$G,$B1407,실시간콜입력!$O:$O,"방문완료")+COUNTIFS(실시간콜입력!$B:$B,$A1407,실시간콜입력!$E:$E,"B",실시간콜입력!$H:$H,$B1407,실시간콜입력!$O:$O,"방문완료")</f>
        <v>0</v>
      </c>
      <c r="H1407" s="29">
        <f>COUNTIFS(실시간콜입력!$B:$B,$A1407,실시간콜입력!$E:$E,"C",실시간콜입력!$G:$G,$B1407,실시간콜입력!$O:$O,"방문완료")+COUNTIFS(실시간콜입력!$B:$B,$A1407,실시간콜입력!$E:$E,"C",실시간콜입력!$H:$H,$B1407,실시간콜입력!$O:$O,"방문완료")</f>
        <v>0</v>
      </c>
      <c r="I1407" s="29">
        <f>COUNTIFS(실시간콜입력!$B:$B,$A1407,실시간콜입력!$E:$E,"D",실시간콜입력!$G:$G,$B1407,실시간콜입력!$O:$O,"방문완료")+COUNTIFS(실시간콜입력!$B:$B,$A1407,실시간콜입력!$E:$E,"D",실시간콜입력!$H:$H,$B1407,실시간콜입력!$O:$O,"방문완료")</f>
        <v>0</v>
      </c>
      <c r="J1407" s="29">
        <f>COUNTIFS(실시간콜입력!$B:$B,$A1407,실시간콜입력!$E:$E,"E",실시간콜입력!$G:$G,$B1407,실시간콜입력!$O:$O,"방문완료")+COUNTIFS(실시간콜입력!$B:$B,$A1407,실시간콜입력!$E:$E,"E",실시간콜입력!$H:$H,$B1407,실시간콜입력!$O:$O,"방문완료")</f>
        <v>0</v>
      </c>
      <c r="K1407" s="29">
        <f t="shared" si="187"/>
        <v>0</v>
      </c>
      <c r="L1407" s="27">
        <f>SUMIFS(실시간콜입력!$K:$K,실시간콜입력!$B:$B,$A1407,실시간콜입력!$G:$G,$B1407,실시간콜입력!$O:$O,"방문완료")+SUMIFS(실시간콜입력!$L:$L,실시간콜입력!$B:$B,$A1407,실시간콜입력!$H:$H,$B1407,실시간콜입력!$O:$O,"방문완료")</f>
        <v>0</v>
      </c>
      <c r="M1407" s="29" t="str">
        <f t="shared" si="188"/>
        <v/>
      </c>
      <c r="N1407" s="29"/>
    </row>
    <row r="1408" spans="1:14" ht="19.5" hidden="1" customHeight="1" outlineLevel="1">
      <c r="A1408" s="30">
        <f>IF(27&lt;=DAY(DATE(YEAR(설정_코스수당!$K$2),MONTH(설정_코스수당!$K$2)+1,0)),DATE(YEAR(설정_코스수당!$K$2),MONTH(설정_코스수당!$K$2),27),"")</f>
        <v>46200</v>
      </c>
      <c r="B1408" s="29" t="s">
        <v>212</v>
      </c>
      <c r="C1408" s="29"/>
      <c r="D1408" s="29"/>
      <c r="E1408" s="29" t="str">
        <f t="shared" si="186"/>
        <v/>
      </c>
      <c r="F1408" s="29">
        <f>COUNTIFS(실시간콜입력!$B:$B,$A1408,실시간콜입력!$E:$E,"A",실시간콜입력!$G:$G,$B1408,실시간콜입력!$O:$O,"방문완료")+COUNTIFS(실시간콜입력!$B:$B,$A1408,실시간콜입력!$E:$E,"A",실시간콜입력!$H:$H,$B1408,실시간콜입력!$O:$O,"방문완료")</f>
        <v>0</v>
      </c>
      <c r="G1408" s="29">
        <f>COUNTIFS(실시간콜입력!$B:$B,$A1408,실시간콜입력!$E:$E,"B",실시간콜입력!$G:$G,$B1408,실시간콜입력!$O:$O,"방문완료")+COUNTIFS(실시간콜입력!$B:$B,$A1408,실시간콜입력!$E:$E,"B",실시간콜입력!$H:$H,$B1408,실시간콜입력!$O:$O,"방문완료")</f>
        <v>0</v>
      </c>
      <c r="H1408" s="29">
        <f>COUNTIFS(실시간콜입력!$B:$B,$A1408,실시간콜입력!$E:$E,"C",실시간콜입력!$G:$G,$B1408,실시간콜입력!$O:$O,"방문완료")+COUNTIFS(실시간콜입력!$B:$B,$A1408,실시간콜입력!$E:$E,"C",실시간콜입력!$H:$H,$B1408,실시간콜입력!$O:$O,"방문완료")</f>
        <v>0</v>
      </c>
      <c r="I1408" s="29">
        <f>COUNTIFS(실시간콜입력!$B:$B,$A1408,실시간콜입력!$E:$E,"D",실시간콜입력!$G:$G,$B1408,실시간콜입력!$O:$O,"방문완료")+COUNTIFS(실시간콜입력!$B:$B,$A1408,실시간콜입력!$E:$E,"D",실시간콜입력!$H:$H,$B1408,실시간콜입력!$O:$O,"방문완료")</f>
        <v>0</v>
      </c>
      <c r="J1408" s="29">
        <f>COUNTIFS(실시간콜입력!$B:$B,$A1408,실시간콜입력!$E:$E,"E",실시간콜입력!$G:$G,$B1408,실시간콜입력!$O:$O,"방문완료")+COUNTIFS(실시간콜입력!$B:$B,$A1408,실시간콜입력!$E:$E,"E",실시간콜입력!$H:$H,$B1408,실시간콜입력!$O:$O,"방문완료")</f>
        <v>0</v>
      </c>
      <c r="K1408" s="29">
        <f t="shared" si="187"/>
        <v>0</v>
      </c>
      <c r="L1408" s="33">
        <f>SUMIFS(실시간콜입력!$K:$K,실시간콜입력!$B:$B,$A1408,실시간콜입력!$G:$G,$B1408,실시간콜입력!$O:$O,"방문완료")+SUMIFS(실시간콜입력!$L:$L,실시간콜입력!$B:$B,$A1408,실시간콜입력!$H:$H,$B1408,실시간콜입력!$O:$O,"방문완료")</f>
        <v>0</v>
      </c>
      <c r="M1408" s="29" t="str">
        <f t="shared" si="188"/>
        <v/>
      </c>
      <c r="N1408" s="29"/>
    </row>
    <row r="1409" spans="1:14" ht="21.75" customHeight="1" collapsed="1">
      <c r="A1409" s="64">
        <f>IF(28&lt;=DAY(DATE(YEAR(설정_코스수당!$K$2),MONTH(설정_코스수당!$K$2)+1,0)),DATE(YEAR(설정_코스수당!$K$2),MONTH(설정_코스수당!$K$2),28),"")</f>
        <v>46201</v>
      </c>
      <c r="B1409" s="65" t="str">
        <f>IF(A1409="","","출근 "&amp;COUNTIF(C1411:C1460,"&lt;&gt;")&amp;"명")</f>
        <v>출근 0명</v>
      </c>
      <c r="C1409" s="65" t="str">
        <f>IF(A1409="","","만근 "&amp;COUNTIF(M1411:M1460,"인정")&amp;"명")</f>
        <v>만근 0명</v>
      </c>
      <c r="D1409" s="65" t="str">
        <f>IFERROR("평균 "&amp;TEXT(AVERAGEIF(E1411:E1460,"&gt;0",E1411:E1460),"0.0")&amp;"h","평균 -")</f>
        <v>평균 -</v>
      </c>
      <c r="E1409" s="65" t="s">
        <v>163</v>
      </c>
      <c r="F1409" s="65">
        <f t="shared" ref="F1409:L1409" si="189">SUM(F1411:F1460)</f>
        <v>0</v>
      </c>
      <c r="G1409" s="65">
        <f t="shared" si="189"/>
        <v>0</v>
      </c>
      <c r="H1409" s="65">
        <f t="shared" si="189"/>
        <v>0</v>
      </c>
      <c r="I1409" s="65">
        <f t="shared" si="189"/>
        <v>0</v>
      </c>
      <c r="J1409" s="65">
        <f t="shared" si="189"/>
        <v>0</v>
      </c>
      <c r="K1409" s="65">
        <f t="shared" si="189"/>
        <v>0</v>
      </c>
      <c r="L1409" s="66">
        <f t="shared" si="189"/>
        <v>0</v>
      </c>
      <c r="M1409" s="65">
        <f>COUNTIF(M1411:M1460,"인정")</f>
        <v>0</v>
      </c>
      <c r="N1409" s="65" t="s">
        <v>164</v>
      </c>
    </row>
    <row r="1410" spans="1:14" ht="19.5" hidden="1" customHeight="1" outlineLevel="1">
      <c r="A1410" s="20" t="s">
        <v>42</v>
      </c>
      <c r="B1410" s="20" t="s">
        <v>152</v>
      </c>
      <c r="C1410" s="20" t="s">
        <v>153</v>
      </c>
      <c r="D1410" s="20" t="s">
        <v>154</v>
      </c>
      <c r="E1410" s="20" t="s">
        <v>155</v>
      </c>
      <c r="F1410" s="20" t="s">
        <v>156</v>
      </c>
      <c r="G1410" s="20" t="s">
        <v>157</v>
      </c>
      <c r="H1410" s="20" t="s">
        <v>158</v>
      </c>
      <c r="I1410" s="20" t="s">
        <v>159</v>
      </c>
      <c r="J1410" s="20" t="s">
        <v>160</v>
      </c>
      <c r="K1410" s="20" t="s">
        <v>118</v>
      </c>
      <c r="L1410" s="20" t="s">
        <v>161</v>
      </c>
      <c r="M1410" s="20" t="s">
        <v>162</v>
      </c>
      <c r="N1410" s="20" t="s">
        <v>95</v>
      </c>
    </row>
    <row r="1411" spans="1:14" ht="19.5" hidden="1" customHeight="1" outlineLevel="1">
      <c r="A1411" s="24">
        <f>IF(28&lt;=DAY(DATE(YEAR(설정_코스수당!$K$2),MONTH(설정_코스수당!$K$2)+1,0)),DATE(YEAR(설정_코스수당!$K$2),MONTH(설정_코스수당!$K$2),28),"")</f>
        <v>46201</v>
      </c>
      <c r="B1411" s="23" t="s">
        <v>47</v>
      </c>
      <c r="C1411" s="23"/>
      <c r="D1411" s="23"/>
      <c r="E1411" s="23" t="str">
        <f t="shared" ref="E1411:E1442" si="190">IF(AND(C1411&lt;&gt;"",D1411&lt;&gt;""),IF(D1411&lt;C1411,D1411+1-C1411,D1411-C1411)*24,"")</f>
        <v/>
      </c>
      <c r="F1411" s="23">
        <f>COUNTIFS(실시간콜입력!$B:$B,$A1411,실시간콜입력!$E:$E,"A",실시간콜입력!$G:$G,$B1411,실시간콜입력!$O:$O,"방문완료")+COUNTIFS(실시간콜입력!$B:$B,$A1411,실시간콜입력!$E:$E,"A",실시간콜입력!$H:$H,$B1411,실시간콜입력!$O:$O,"방문완료")</f>
        <v>0</v>
      </c>
      <c r="G1411" s="23">
        <f>COUNTIFS(실시간콜입력!$B:$B,$A1411,실시간콜입력!$E:$E,"B",실시간콜입력!$G:$G,$B1411,실시간콜입력!$O:$O,"방문완료")+COUNTIFS(실시간콜입력!$B:$B,$A1411,실시간콜입력!$E:$E,"B",실시간콜입력!$H:$H,$B1411,실시간콜입력!$O:$O,"방문완료")</f>
        <v>0</v>
      </c>
      <c r="H1411" s="23">
        <f>COUNTIFS(실시간콜입력!$B:$B,$A1411,실시간콜입력!$E:$E,"C",실시간콜입력!$G:$G,$B1411,실시간콜입력!$O:$O,"방문완료")+COUNTIFS(실시간콜입력!$B:$B,$A1411,실시간콜입력!$E:$E,"C",실시간콜입력!$H:$H,$B1411,실시간콜입력!$O:$O,"방문완료")</f>
        <v>0</v>
      </c>
      <c r="I1411" s="23">
        <f>COUNTIFS(실시간콜입력!$B:$B,$A1411,실시간콜입력!$E:$E,"D",실시간콜입력!$G:$G,$B1411,실시간콜입력!$O:$O,"방문완료")+COUNTIFS(실시간콜입력!$B:$B,$A1411,실시간콜입력!$E:$E,"D",실시간콜입력!$H:$H,$B1411,실시간콜입력!$O:$O,"방문완료")</f>
        <v>0</v>
      </c>
      <c r="J1411" s="23">
        <f>COUNTIFS(실시간콜입력!$B:$B,$A1411,실시간콜입력!$E:$E,"E",실시간콜입력!$G:$G,$B1411,실시간콜입력!$O:$O,"방문완료")+COUNTIFS(실시간콜입력!$B:$B,$A1411,실시간콜입력!$E:$E,"E",실시간콜입력!$H:$H,$B1411,실시간콜입력!$O:$O,"방문완료")</f>
        <v>0</v>
      </c>
      <c r="K1411" s="23">
        <f t="shared" ref="K1411:K1442" si="191">SUM(F1411:J1411)</f>
        <v>0</v>
      </c>
      <c r="L1411" s="27">
        <f>SUMIFS(실시간콜입력!$K:$K,실시간콜입력!$B:$B,$A1411,실시간콜입력!$G:$G,$B1411,실시간콜입력!$O:$O,"방문완료")+SUMIFS(실시간콜입력!$L:$L,실시간콜입력!$B:$B,$A1411,실시간콜입력!$H:$H,$B1411,실시간콜입력!$O:$O,"방문완료")</f>
        <v>0</v>
      </c>
      <c r="M1411" s="23" t="str">
        <f t="shared" ref="M1411:M1442" si="192">IF(AND(ISNUMBER(E1411),E1411&gt;=8),"인정","")</f>
        <v/>
      </c>
      <c r="N1411" s="23"/>
    </row>
    <row r="1412" spans="1:14" ht="19.5" hidden="1" customHeight="1" outlineLevel="1">
      <c r="A1412" s="30">
        <f>IF(28&lt;=DAY(DATE(YEAR(설정_코스수당!$K$2),MONTH(설정_코스수당!$K$2)+1,0)),DATE(YEAR(설정_코스수당!$K$2),MONTH(설정_코스수당!$K$2),28),"")</f>
        <v>46201</v>
      </c>
      <c r="B1412" s="29" t="s">
        <v>48</v>
      </c>
      <c r="C1412" s="29"/>
      <c r="D1412" s="29"/>
      <c r="E1412" s="29" t="str">
        <f t="shared" si="190"/>
        <v/>
      </c>
      <c r="F1412" s="29">
        <f>COUNTIFS(실시간콜입력!$B:$B,$A1412,실시간콜입력!$E:$E,"A",실시간콜입력!$G:$G,$B1412,실시간콜입력!$O:$O,"방문완료")+COUNTIFS(실시간콜입력!$B:$B,$A1412,실시간콜입력!$E:$E,"A",실시간콜입력!$H:$H,$B1412,실시간콜입력!$O:$O,"방문완료")</f>
        <v>0</v>
      </c>
      <c r="G1412" s="29">
        <f>COUNTIFS(실시간콜입력!$B:$B,$A1412,실시간콜입력!$E:$E,"B",실시간콜입력!$G:$G,$B1412,실시간콜입력!$O:$O,"방문완료")+COUNTIFS(실시간콜입력!$B:$B,$A1412,실시간콜입력!$E:$E,"B",실시간콜입력!$H:$H,$B1412,실시간콜입력!$O:$O,"방문완료")</f>
        <v>0</v>
      </c>
      <c r="H1412" s="29">
        <f>COUNTIFS(실시간콜입력!$B:$B,$A1412,실시간콜입력!$E:$E,"C",실시간콜입력!$G:$G,$B1412,실시간콜입력!$O:$O,"방문완료")+COUNTIFS(실시간콜입력!$B:$B,$A1412,실시간콜입력!$E:$E,"C",실시간콜입력!$H:$H,$B1412,실시간콜입력!$O:$O,"방문완료")</f>
        <v>0</v>
      </c>
      <c r="I1412" s="29">
        <f>COUNTIFS(실시간콜입력!$B:$B,$A1412,실시간콜입력!$E:$E,"D",실시간콜입력!$G:$G,$B1412,실시간콜입력!$O:$O,"방문완료")+COUNTIFS(실시간콜입력!$B:$B,$A1412,실시간콜입력!$E:$E,"D",실시간콜입력!$H:$H,$B1412,실시간콜입력!$O:$O,"방문완료")</f>
        <v>0</v>
      </c>
      <c r="J1412" s="29">
        <f>COUNTIFS(실시간콜입력!$B:$B,$A1412,실시간콜입력!$E:$E,"E",실시간콜입력!$G:$G,$B1412,실시간콜입력!$O:$O,"방문완료")+COUNTIFS(실시간콜입력!$B:$B,$A1412,실시간콜입력!$E:$E,"E",실시간콜입력!$H:$H,$B1412,실시간콜입력!$O:$O,"방문완료")</f>
        <v>0</v>
      </c>
      <c r="K1412" s="29">
        <f t="shared" si="191"/>
        <v>0</v>
      </c>
      <c r="L1412" s="33">
        <f>SUMIFS(실시간콜입력!$K:$K,실시간콜입력!$B:$B,$A1412,실시간콜입력!$G:$G,$B1412,실시간콜입력!$O:$O,"방문완료")+SUMIFS(실시간콜입력!$L:$L,실시간콜입력!$B:$B,$A1412,실시간콜입력!$H:$H,$B1412,실시간콜입력!$O:$O,"방문완료")</f>
        <v>0</v>
      </c>
      <c r="M1412" s="29" t="str">
        <f t="shared" si="192"/>
        <v/>
      </c>
      <c r="N1412" s="29"/>
    </row>
    <row r="1413" spans="1:14" ht="19.5" hidden="1" customHeight="1" outlineLevel="1">
      <c r="A1413" s="24">
        <f>IF(28&lt;=DAY(DATE(YEAR(설정_코스수당!$K$2),MONTH(설정_코스수당!$K$2)+1,0)),DATE(YEAR(설정_코스수당!$K$2),MONTH(설정_코스수당!$K$2),28),"")</f>
        <v>46201</v>
      </c>
      <c r="B1413" s="23" t="s">
        <v>165</v>
      </c>
      <c r="C1413" s="29"/>
      <c r="D1413" s="29"/>
      <c r="E1413" s="29" t="str">
        <f t="shared" si="190"/>
        <v/>
      </c>
      <c r="F1413" s="29">
        <f>COUNTIFS(실시간콜입력!$B:$B,$A1413,실시간콜입력!$E:$E,"A",실시간콜입력!$G:$G,$B1413,실시간콜입력!$O:$O,"방문완료")+COUNTIFS(실시간콜입력!$B:$B,$A1413,실시간콜입력!$E:$E,"A",실시간콜입력!$H:$H,$B1413,실시간콜입력!$O:$O,"방문완료")</f>
        <v>0</v>
      </c>
      <c r="G1413" s="29">
        <f>COUNTIFS(실시간콜입력!$B:$B,$A1413,실시간콜입력!$E:$E,"B",실시간콜입력!$G:$G,$B1413,실시간콜입력!$O:$O,"방문완료")+COUNTIFS(실시간콜입력!$B:$B,$A1413,실시간콜입력!$E:$E,"B",실시간콜입력!$H:$H,$B1413,실시간콜입력!$O:$O,"방문완료")</f>
        <v>0</v>
      </c>
      <c r="H1413" s="29">
        <f>COUNTIFS(실시간콜입력!$B:$B,$A1413,실시간콜입력!$E:$E,"C",실시간콜입력!$G:$G,$B1413,실시간콜입력!$O:$O,"방문완료")+COUNTIFS(실시간콜입력!$B:$B,$A1413,실시간콜입력!$E:$E,"C",실시간콜입력!$H:$H,$B1413,실시간콜입력!$O:$O,"방문완료")</f>
        <v>0</v>
      </c>
      <c r="I1413" s="29">
        <f>COUNTIFS(실시간콜입력!$B:$B,$A1413,실시간콜입력!$E:$E,"D",실시간콜입력!$G:$G,$B1413,실시간콜입력!$O:$O,"방문완료")+COUNTIFS(실시간콜입력!$B:$B,$A1413,실시간콜입력!$E:$E,"D",실시간콜입력!$H:$H,$B1413,실시간콜입력!$O:$O,"방문완료")</f>
        <v>0</v>
      </c>
      <c r="J1413" s="29">
        <f>COUNTIFS(실시간콜입력!$B:$B,$A1413,실시간콜입력!$E:$E,"E",실시간콜입력!$G:$G,$B1413,실시간콜입력!$O:$O,"방문완료")+COUNTIFS(실시간콜입력!$B:$B,$A1413,실시간콜입력!$E:$E,"E",실시간콜입력!$H:$H,$B1413,실시간콜입력!$O:$O,"방문완료")</f>
        <v>0</v>
      </c>
      <c r="K1413" s="29">
        <f t="shared" si="191"/>
        <v>0</v>
      </c>
      <c r="L1413" s="27">
        <f>SUMIFS(실시간콜입력!$K:$K,실시간콜입력!$B:$B,$A1413,실시간콜입력!$G:$G,$B1413,실시간콜입력!$O:$O,"방문완료")+SUMIFS(실시간콜입력!$L:$L,실시간콜입력!$B:$B,$A1413,실시간콜입력!$H:$H,$B1413,실시간콜입력!$O:$O,"방문완료")</f>
        <v>0</v>
      </c>
      <c r="M1413" s="29" t="str">
        <f t="shared" si="192"/>
        <v/>
      </c>
      <c r="N1413" s="29"/>
    </row>
    <row r="1414" spans="1:14" ht="19.5" hidden="1" customHeight="1" outlineLevel="1">
      <c r="A1414" s="30">
        <f>IF(28&lt;=DAY(DATE(YEAR(설정_코스수당!$K$2),MONTH(설정_코스수당!$K$2)+1,0)),DATE(YEAR(설정_코스수당!$K$2),MONTH(설정_코스수당!$K$2),28),"")</f>
        <v>46201</v>
      </c>
      <c r="B1414" s="29" t="s">
        <v>166</v>
      </c>
      <c r="C1414" s="29"/>
      <c r="D1414" s="29"/>
      <c r="E1414" s="29" t="str">
        <f t="shared" si="190"/>
        <v/>
      </c>
      <c r="F1414" s="29">
        <f>COUNTIFS(실시간콜입력!$B:$B,$A1414,실시간콜입력!$E:$E,"A",실시간콜입력!$G:$G,$B1414,실시간콜입력!$O:$O,"방문완료")+COUNTIFS(실시간콜입력!$B:$B,$A1414,실시간콜입력!$E:$E,"A",실시간콜입력!$H:$H,$B1414,실시간콜입력!$O:$O,"방문완료")</f>
        <v>0</v>
      </c>
      <c r="G1414" s="29">
        <f>COUNTIFS(실시간콜입력!$B:$B,$A1414,실시간콜입력!$E:$E,"B",실시간콜입력!$G:$G,$B1414,실시간콜입력!$O:$O,"방문완료")+COUNTIFS(실시간콜입력!$B:$B,$A1414,실시간콜입력!$E:$E,"B",실시간콜입력!$H:$H,$B1414,실시간콜입력!$O:$O,"방문완료")</f>
        <v>0</v>
      </c>
      <c r="H1414" s="29">
        <f>COUNTIFS(실시간콜입력!$B:$B,$A1414,실시간콜입력!$E:$E,"C",실시간콜입력!$G:$G,$B1414,실시간콜입력!$O:$O,"방문완료")+COUNTIFS(실시간콜입력!$B:$B,$A1414,실시간콜입력!$E:$E,"C",실시간콜입력!$H:$H,$B1414,실시간콜입력!$O:$O,"방문완료")</f>
        <v>0</v>
      </c>
      <c r="I1414" s="29">
        <f>COUNTIFS(실시간콜입력!$B:$B,$A1414,실시간콜입력!$E:$E,"D",실시간콜입력!$G:$G,$B1414,실시간콜입력!$O:$O,"방문완료")+COUNTIFS(실시간콜입력!$B:$B,$A1414,실시간콜입력!$E:$E,"D",실시간콜입력!$H:$H,$B1414,실시간콜입력!$O:$O,"방문완료")</f>
        <v>0</v>
      </c>
      <c r="J1414" s="29">
        <f>COUNTIFS(실시간콜입력!$B:$B,$A1414,실시간콜입력!$E:$E,"E",실시간콜입력!$G:$G,$B1414,실시간콜입력!$O:$O,"방문완료")+COUNTIFS(실시간콜입력!$B:$B,$A1414,실시간콜입력!$E:$E,"E",실시간콜입력!$H:$H,$B1414,실시간콜입력!$O:$O,"방문완료")</f>
        <v>0</v>
      </c>
      <c r="K1414" s="29">
        <f t="shared" si="191"/>
        <v>0</v>
      </c>
      <c r="L1414" s="33">
        <f>SUMIFS(실시간콜입력!$K:$K,실시간콜입력!$B:$B,$A1414,실시간콜입력!$G:$G,$B1414,실시간콜입력!$O:$O,"방문완료")+SUMIFS(실시간콜입력!$L:$L,실시간콜입력!$B:$B,$A1414,실시간콜입력!$H:$H,$B1414,실시간콜입력!$O:$O,"방문완료")</f>
        <v>0</v>
      </c>
      <c r="M1414" s="29" t="str">
        <f t="shared" si="192"/>
        <v/>
      </c>
      <c r="N1414" s="29"/>
    </row>
    <row r="1415" spans="1:14" ht="19.5" hidden="1" customHeight="1" outlineLevel="1">
      <c r="A1415" s="24">
        <f>IF(28&lt;=DAY(DATE(YEAR(설정_코스수당!$K$2),MONTH(설정_코스수당!$K$2)+1,0)),DATE(YEAR(설정_코스수당!$K$2),MONTH(설정_코스수당!$K$2),28),"")</f>
        <v>46201</v>
      </c>
      <c r="B1415" s="23" t="s">
        <v>167</v>
      </c>
      <c r="C1415" s="29"/>
      <c r="D1415" s="29"/>
      <c r="E1415" s="29" t="str">
        <f t="shared" si="190"/>
        <v/>
      </c>
      <c r="F1415" s="29">
        <f>COUNTIFS(실시간콜입력!$B:$B,$A1415,실시간콜입력!$E:$E,"A",실시간콜입력!$G:$G,$B1415,실시간콜입력!$O:$O,"방문완료")+COUNTIFS(실시간콜입력!$B:$B,$A1415,실시간콜입력!$E:$E,"A",실시간콜입력!$H:$H,$B1415,실시간콜입력!$O:$O,"방문완료")</f>
        <v>0</v>
      </c>
      <c r="G1415" s="29">
        <f>COUNTIFS(실시간콜입력!$B:$B,$A1415,실시간콜입력!$E:$E,"B",실시간콜입력!$G:$G,$B1415,실시간콜입력!$O:$O,"방문완료")+COUNTIFS(실시간콜입력!$B:$B,$A1415,실시간콜입력!$E:$E,"B",실시간콜입력!$H:$H,$B1415,실시간콜입력!$O:$O,"방문완료")</f>
        <v>0</v>
      </c>
      <c r="H1415" s="29">
        <f>COUNTIFS(실시간콜입력!$B:$B,$A1415,실시간콜입력!$E:$E,"C",실시간콜입력!$G:$G,$B1415,실시간콜입력!$O:$O,"방문완료")+COUNTIFS(실시간콜입력!$B:$B,$A1415,실시간콜입력!$E:$E,"C",실시간콜입력!$H:$H,$B1415,실시간콜입력!$O:$O,"방문완료")</f>
        <v>0</v>
      </c>
      <c r="I1415" s="29">
        <f>COUNTIFS(실시간콜입력!$B:$B,$A1415,실시간콜입력!$E:$E,"D",실시간콜입력!$G:$G,$B1415,실시간콜입력!$O:$O,"방문완료")+COUNTIFS(실시간콜입력!$B:$B,$A1415,실시간콜입력!$E:$E,"D",실시간콜입력!$H:$H,$B1415,실시간콜입력!$O:$O,"방문완료")</f>
        <v>0</v>
      </c>
      <c r="J1415" s="29">
        <f>COUNTIFS(실시간콜입력!$B:$B,$A1415,실시간콜입력!$E:$E,"E",실시간콜입력!$G:$G,$B1415,실시간콜입력!$O:$O,"방문완료")+COUNTIFS(실시간콜입력!$B:$B,$A1415,실시간콜입력!$E:$E,"E",실시간콜입력!$H:$H,$B1415,실시간콜입력!$O:$O,"방문완료")</f>
        <v>0</v>
      </c>
      <c r="K1415" s="29">
        <f t="shared" si="191"/>
        <v>0</v>
      </c>
      <c r="L1415" s="27">
        <f>SUMIFS(실시간콜입력!$K:$K,실시간콜입력!$B:$B,$A1415,실시간콜입력!$G:$G,$B1415,실시간콜입력!$O:$O,"방문완료")+SUMIFS(실시간콜입력!$L:$L,실시간콜입력!$B:$B,$A1415,실시간콜입력!$H:$H,$B1415,실시간콜입력!$O:$O,"방문완료")</f>
        <v>0</v>
      </c>
      <c r="M1415" s="29" t="str">
        <f t="shared" si="192"/>
        <v/>
      </c>
      <c r="N1415" s="29"/>
    </row>
    <row r="1416" spans="1:14" ht="19.5" hidden="1" customHeight="1" outlineLevel="1">
      <c r="A1416" s="30">
        <f>IF(28&lt;=DAY(DATE(YEAR(설정_코스수당!$K$2),MONTH(설정_코스수당!$K$2)+1,0)),DATE(YEAR(설정_코스수당!$K$2),MONTH(설정_코스수당!$K$2),28),"")</f>
        <v>46201</v>
      </c>
      <c r="B1416" s="29" t="s">
        <v>168</v>
      </c>
      <c r="C1416" s="29"/>
      <c r="D1416" s="29"/>
      <c r="E1416" s="29" t="str">
        <f t="shared" si="190"/>
        <v/>
      </c>
      <c r="F1416" s="29">
        <f>COUNTIFS(실시간콜입력!$B:$B,$A1416,실시간콜입력!$E:$E,"A",실시간콜입력!$G:$G,$B1416,실시간콜입력!$O:$O,"방문완료")+COUNTIFS(실시간콜입력!$B:$B,$A1416,실시간콜입력!$E:$E,"A",실시간콜입력!$H:$H,$B1416,실시간콜입력!$O:$O,"방문완료")</f>
        <v>0</v>
      </c>
      <c r="G1416" s="29">
        <f>COUNTIFS(실시간콜입력!$B:$B,$A1416,실시간콜입력!$E:$E,"B",실시간콜입력!$G:$G,$B1416,실시간콜입력!$O:$O,"방문완료")+COUNTIFS(실시간콜입력!$B:$B,$A1416,실시간콜입력!$E:$E,"B",실시간콜입력!$H:$H,$B1416,실시간콜입력!$O:$O,"방문완료")</f>
        <v>0</v>
      </c>
      <c r="H1416" s="29">
        <f>COUNTIFS(실시간콜입력!$B:$B,$A1416,실시간콜입력!$E:$E,"C",실시간콜입력!$G:$G,$B1416,실시간콜입력!$O:$O,"방문완료")+COUNTIFS(실시간콜입력!$B:$B,$A1416,실시간콜입력!$E:$E,"C",실시간콜입력!$H:$H,$B1416,실시간콜입력!$O:$O,"방문완료")</f>
        <v>0</v>
      </c>
      <c r="I1416" s="29">
        <f>COUNTIFS(실시간콜입력!$B:$B,$A1416,실시간콜입력!$E:$E,"D",실시간콜입력!$G:$G,$B1416,실시간콜입력!$O:$O,"방문완료")+COUNTIFS(실시간콜입력!$B:$B,$A1416,실시간콜입력!$E:$E,"D",실시간콜입력!$H:$H,$B1416,실시간콜입력!$O:$O,"방문완료")</f>
        <v>0</v>
      </c>
      <c r="J1416" s="29">
        <f>COUNTIFS(실시간콜입력!$B:$B,$A1416,실시간콜입력!$E:$E,"E",실시간콜입력!$G:$G,$B1416,실시간콜입력!$O:$O,"방문완료")+COUNTIFS(실시간콜입력!$B:$B,$A1416,실시간콜입력!$E:$E,"E",실시간콜입력!$H:$H,$B1416,실시간콜입력!$O:$O,"방문완료")</f>
        <v>0</v>
      </c>
      <c r="K1416" s="29">
        <f t="shared" si="191"/>
        <v>0</v>
      </c>
      <c r="L1416" s="33">
        <f>SUMIFS(실시간콜입력!$K:$K,실시간콜입력!$B:$B,$A1416,실시간콜입력!$G:$G,$B1416,실시간콜입력!$O:$O,"방문완료")+SUMIFS(실시간콜입력!$L:$L,실시간콜입력!$B:$B,$A1416,실시간콜입력!$H:$H,$B1416,실시간콜입력!$O:$O,"방문완료")</f>
        <v>0</v>
      </c>
      <c r="M1416" s="29" t="str">
        <f t="shared" si="192"/>
        <v/>
      </c>
      <c r="N1416" s="29"/>
    </row>
    <row r="1417" spans="1:14" ht="19.5" hidden="1" customHeight="1" outlineLevel="1">
      <c r="A1417" s="24">
        <f>IF(28&lt;=DAY(DATE(YEAR(설정_코스수당!$K$2),MONTH(설정_코스수당!$K$2)+1,0)),DATE(YEAR(설정_코스수당!$K$2),MONTH(설정_코스수당!$K$2),28),"")</f>
        <v>46201</v>
      </c>
      <c r="B1417" s="23" t="s">
        <v>169</v>
      </c>
      <c r="C1417" s="29"/>
      <c r="D1417" s="29"/>
      <c r="E1417" s="29" t="str">
        <f t="shared" si="190"/>
        <v/>
      </c>
      <c r="F1417" s="29">
        <f>COUNTIFS(실시간콜입력!$B:$B,$A1417,실시간콜입력!$E:$E,"A",실시간콜입력!$G:$G,$B1417,실시간콜입력!$O:$O,"방문완료")+COUNTIFS(실시간콜입력!$B:$B,$A1417,실시간콜입력!$E:$E,"A",실시간콜입력!$H:$H,$B1417,실시간콜입력!$O:$O,"방문완료")</f>
        <v>0</v>
      </c>
      <c r="G1417" s="29">
        <f>COUNTIFS(실시간콜입력!$B:$B,$A1417,실시간콜입력!$E:$E,"B",실시간콜입력!$G:$G,$B1417,실시간콜입력!$O:$O,"방문완료")+COUNTIFS(실시간콜입력!$B:$B,$A1417,실시간콜입력!$E:$E,"B",실시간콜입력!$H:$H,$B1417,실시간콜입력!$O:$O,"방문완료")</f>
        <v>0</v>
      </c>
      <c r="H1417" s="29">
        <f>COUNTIFS(실시간콜입력!$B:$B,$A1417,실시간콜입력!$E:$E,"C",실시간콜입력!$G:$G,$B1417,실시간콜입력!$O:$O,"방문완료")+COUNTIFS(실시간콜입력!$B:$B,$A1417,실시간콜입력!$E:$E,"C",실시간콜입력!$H:$H,$B1417,실시간콜입력!$O:$O,"방문완료")</f>
        <v>0</v>
      </c>
      <c r="I1417" s="29">
        <f>COUNTIFS(실시간콜입력!$B:$B,$A1417,실시간콜입력!$E:$E,"D",실시간콜입력!$G:$G,$B1417,실시간콜입력!$O:$O,"방문완료")+COUNTIFS(실시간콜입력!$B:$B,$A1417,실시간콜입력!$E:$E,"D",실시간콜입력!$H:$H,$B1417,실시간콜입력!$O:$O,"방문완료")</f>
        <v>0</v>
      </c>
      <c r="J1417" s="29">
        <f>COUNTIFS(실시간콜입력!$B:$B,$A1417,실시간콜입력!$E:$E,"E",실시간콜입력!$G:$G,$B1417,실시간콜입력!$O:$O,"방문완료")+COUNTIFS(실시간콜입력!$B:$B,$A1417,실시간콜입력!$E:$E,"E",실시간콜입력!$H:$H,$B1417,실시간콜입력!$O:$O,"방문완료")</f>
        <v>0</v>
      </c>
      <c r="K1417" s="29">
        <f t="shared" si="191"/>
        <v>0</v>
      </c>
      <c r="L1417" s="27">
        <f>SUMIFS(실시간콜입력!$K:$K,실시간콜입력!$B:$B,$A1417,실시간콜입력!$G:$G,$B1417,실시간콜입력!$O:$O,"방문완료")+SUMIFS(실시간콜입력!$L:$L,실시간콜입력!$B:$B,$A1417,실시간콜입력!$H:$H,$B1417,실시간콜입력!$O:$O,"방문완료")</f>
        <v>0</v>
      </c>
      <c r="M1417" s="29" t="str">
        <f t="shared" si="192"/>
        <v/>
      </c>
      <c r="N1417" s="29"/>
    </row>
    <row r="1418" spans="1:14" ht="19.5" hidden="1" customHeight="1" outlineLevel="1">
      <c r="A1418" s="30">
        <f>IF(28&lt;=DAY(DATE(YEAR(설정_코스수당!$K$2),MONTH(설정_코스수당!$K$2)+1,0)),DATE(YEAR(설정_코스수당!$K$2),MONTH(설정_코스수당!$K$2),28),"")</f>
        <v>46201</v>
      </c>
      <c r="B1418" s="29" t="s">
        <v>170</v>
      </c>
      <c r="C1418" s="29"/>
      <c r="D1418" s="29"/>
      <c r="E1418" s="29" t="str">
        <f t="shared" si="190"/>
        <v/>
      </c>
      <c r="F1418" s="29">
        <f>COUNTIFS(실시간콜입력!$B:$B,$A1418,실시간콜입력!$E:$E,"A",실시간콜입력!$G:$G,$B1418,실시간콜입력!$O:$O,"방문완료")+COUNTIFS(실시간콜입력!$B:$B,$A1418,실시간콜입력!$E:$E,"A",실시간콜입력!$H:$H,$B1418,실시간콜입력!$O:$O,"방문완료")</f>
        <v>0</v>
      </c>
      <c r="G1418" s="29">
        <f>COUNTIFS(실시간콜입력!$B:$B,$A1418,실시간콜입력!$E:$E,"B",실시간콜입력!$G:$G,$B1418,실시간콜입력!$O:$O,"방문완료")+COUNTIFS(실시간콜입력!$B:$B,$A1418,실시간콜입력!$E:$E,"B",실시간콜입력!$H:$H,$B1418,실시간콜입력!$O:$O,"방문완료")</f>
        <v>0</v>
      </c>
      <c r="H1418" s="29">
        <f>COUNTIFS(실시간콜입력!$B:$B,$A1418,실시간콜입력!$E:$E,"C",실시간콜입력!$G:$G,$B1418,실시간콜입력!$O:$O,"방문완료")+COUNTIFS(실시간콜입력!$B:$B,$A1418,실시간콜입력!$E:$E,"C",실시간콜입력!$H:$H,$B1418,실시간콜입력!$O:$O,"방문완료")</f>
        <v>0</v>
      </c>
      <c r="I1418" s="29">
        <f>COUNTIFS(실시간콜입력!$B:$B,$A1418,실시간콜입력!$E:$E,"D",실시간콜입력!$G:$G,$B1418,실시간콜입력!$O:$O,"방문완료")+COUNTIFS(실시간콜입력!$B:$B,$A1418,실시간콜입력!$E:$E,"D",실시간콜입력!$H:$H,$B1418,실시간콜입력!$O:$O,"방문완료")</f>
        <v>0</v>
      </c>
      <c r="J1418" s="29">
        <f>COUNTIFS(실시간콜입력!$B:$B,$A1418,실시간콜입력!$E:$E,"E",실시간콜입력!$G:$G,$B1418,실시간콜입력!$O:$O,"방문완료")+COUNTIFS(실시간콜입력!$B:$B,$A1418,실시간콜입력!$E:$E,"E",실시간콜입력!$H:$H,$B1418,실시간콜입력!$O:$O,"방문완료")</f>
        <v>0</v>
      </c>
      <c r="K1418" s="29">
        <f t="shared" si="191"/>
        <v>0</v>
      </c>
      <c r="L1418" s="33">
        <f>SUMIFS(실시간콜입력!$K:$K,실시간콜입력!$B:$B,$A1418,실시간콜입력!$G:$G,$B1418,실시간콜입력!$O:$O,"방문완료")+SUMIFS(실시간콜입력!$L:$L,실시간콜입력!$B:$B,$A1418,실시간콜입력!$H:$H,$B1418,실시간콜입력!$O:$O,"방문완료")</f>
        <v>0</v>
      </c>
      <c r="M1418" s="29" t="str">
        <f t="shared" si="192"/>
        <v/>
      </c>
      <c r="N1418" s="29"/>
    </row>
    <row r="1419" spans="1:14" ht="19.5" hidden="1" customHeight="1" outlineLevel="1">
      <c r="A1419" s="24">
        <f>IF(28&lt;=DAY(DATE(YEAR(설정_코스수당!$K$2),MONTH(설정_코스수당!$K$2)+1,0)),DATE(YEAR(설정_코스수당!$K$2),MONTH(설정_코스수당!$K$2),28),"")</f>
        <v>46201</v>
      </c>
      <c r="B1419" s="23" t="s">
        <v>171</v>
      </c>
      <c r="C1419" s="29"/>
      <c r="D1419" s="29"/>
      <c r="E1419" s="29" t="str">
        <f t="shared" si="190"/>
        <v/>
      </c>
      <c r="F1419" s="29">
        <f>COUNTIFS(실시간콜입력!$B:$B,$A1419,실시간콜입력!$E:$E,"A",실시간콜입력!$G:$G,$B1419,실시간콜입력!$O:$O,"방문완료")+COUNTIFS(실시간콜입력!$B:$B,$A1419,실시간콜입력!$E:$E,"A",실시간콜입력!$H:$H,$B1419,실시간콜입력!$O:$O,"방문완료")</f>
        <v>0</v>
      </c>
      <c r="G1419" s="29">
        <f>COUNTIFS(실시간콜입력!$B:$B,$A1419,실시간콜입력!$E:$E,"B",실시간콜입력!$G:$G,$B1419,실시간콜입력!$O:$O,"방문완료")+COUNTIFS(실시간콜입력!$B:$B,$A1419,실시간콜입력!$E:$E,"B",실시간콜입력!$H:$H,$B1419,실시간콜입력!$O:$O,"방문완료")</f>
        <v>0</v>
      </c>
      <c r="H1419" s="29">
        <f>COUNTIFS(실시간콜입력!$B:$B,$A1419,실시간콜입력!$E:$E,"C",실시간콜입력!$G:$G,$B1419,실시간콜입력!$O:$O,"방문완료")+COUNTIFS(실시간콜입력!$B:$B,$A1419,실시간콜입력!$E:$E,"C",실시간콜입력!$H:$H,$B1419,실시간콜입력!$O:$O,"방문완료")</f>
        <v>0</v>
      </c>
      <c r="I1419" s="29">
        <f>COUNTIFS(실시간콜입력!$B:$B,$A1419,실시간콜입력!$E:$E,"D",실시간콜입력!$G:$G,$B1419,실시간콜입력!$O:$O,"방문완료")+COUNTIFS(실시간콜입력!$B:$B,$A1419,실시간콜입력!$E:$E,"D",실시간콜입력!$H:$H,$B1419,실시간콜입력!$O:$O,"방문완료")</f>
        <v>0</v>
      </c>
      <c r="J1419" s="29">
        <f>COUNTIFS(실시간콜입력!$B:$B,$A1419,실시간콜입력!$E:$E,"E",실시간콜입력!$G:$G,$B1419,실시간콜입력!$O:$O,"방문완료")+COUNTIFS(실시간콜입력!$B:$B,$A1419,실시간콜입력!$E:$E,"E",실시간콜입력!$H:$H,$B1419,실시간콜입력!$O:$O,"방문완료")</f>
        <v>0</v>
      </c>
      <c r="K1419" s="29">
        <f t="shared" si="191"/>
        <v>0</v>
      </c>
      <c r="L1419" s="27">
        <f>SUMIFS(실시간콜입력!$K:$K,실시간콜입력!$B:$B,$A1419,실시간콜입력!$G:$G,$B1419,실시간콜입력!$O:$O,"방문완료")+SUMIFS(실시간콜입력!$L:$L,실시간콜입력!$B:$B,$A1419,실시간콜입력!$H:$H,$B1419,실시간콜입력!$O:$O,"방문완료")</f>
        <v>0</v>
      </c>
      <c r="M1419" s="29" t="str">
        <f t="shared" si="192"/>
        <v/>
      </c>
      <c r="N1419" s="29"/>
    </row>
    <row r="1420" spans="1:14" ht="19.5" hidden="1" customHeight="1" outlineLevel="1">
      <c r="A1420" s="30">
        <f>IF(28&lt;=DAY(DATE(YEAR(설정_코스수당!$K$2),MONTH(설정_코스수당!$K$2)+1,0)),DATE(YEAR(설정_코스수당!$K$2),MONTH(설정_코스수당!$K$2),28),"")</f>
        <v>46201</v>
      </c>
      <c r="B1420" s="29" t="s">
        <v>172</v>
      </c>
      <c r="C1420" s="29"/>
      <c r="D1420" s="29"/>
      <c r="E1420" s="29" t="str">
        <f t="shared" si="190"/>
        <v/>
      </c>
      <c r="F1420" s="29">
        <f>COUNTIFS(실시간콜입력!$B:$B,$A1420,실시간콜입력!$E:$E,"A",실시간콜입력!$G:$G,$B1420,실시간콜입력!$O:$O,"방문완료")+COUNTIFS(실시간콜입력!$B:$B,$A1420,실시간콜입력!$E:$E,"A",실시간콜입력!$H:$H,$B1420,실시간콜입력!$O:$O,"방문완료")</f>
        <v>0</v>
      </c>
      <c r="G1420" s="29">
        <f>COUNTIFS(실시간콜입력!$B:$B,$A1420,실시간콜입력!$E:$E,"B",실시간콜입력!$G:$G,$B1420,실시간콜입력!$O:$O,"방문완료")+COUNTIFS(실시간콜입력!$B:$B,$A1420,실시간콜입력!$E:$E,"B",실시간콜입력!$H:$H,$B1420,실시간콜입력!$O:$O,"방문완료")</f>
        <v>0</v>
      </c>
      <c r="H1420" s="29">
        <f>COUNTIFS(실시간콜입력!$B:$B,$A1420,실시간콜입력!$E:$E,"C",실시간콜입력!$G:$G,$B1420,실시간콜입력!$O:$O,"방문완료")+COUNTIFS(실시간콜입력!$B:$B,$A1420,실시간콜입력!$E:$E,"C",실시간콜입력!$H:$H,$B1420,실시간콜입력!$O:$O,"방문완료")</f>
        <v>0</v>
      </c>
      <c r="I1420" s="29">
        <f>COUNTIFS(실시간콜입력!$B:$B,$A1420,실시간콜입력!$E:$E,"D",실시간콜입력!$G:$G,$B1420,실시간콜입력!$O:$O,"방문완료")+COUNTIFS(실시간콜입력!$B:$B,$A1420,실시간콜입력!$E:$E,"D",실시간콜입력!$H:$H,$B1420,실시간콜입력!$O:$O,"방문완료")</f>
        <v>0</v>
      </c>
      <c r="J1420" s="29">
        <f>COUNTIFS(실시간콜입력!$B:$B,$A1420,실시간콜입력!$E:$E,"E",실시간콜입력!$G:$G,$B1420,실시간콜입력!$O:$O,"방문완료")+COUNTIFS(실시간콜입력!$B:$B,$A1420,실시간콜입력!$E:$E,"E",실시간콜입력!$H:$H,$B1420,실시간콜입력!$O:$O,"방문완료")</f>
        <v>0</v>
      </c>
      <c r="K1420" s="29">
        <f t="shared" si="191"/>
        <v>0</v>
      </c>
      <c r="L1420" s="33">
        <f>SUMIFS(실시간콜입력!$K:$K,실시간콜입력!$B:$B,$A1420,실시간콜입력!$G:$G,$B1420,실시간콜입력!$O:$O,"방문완료")+SUMIFS(실시간콜입력!$L:$L,실시간콜입력!$B:$B,$A1420,실시간콜입력!$H:$H,$B1420,실시간콜입력!$O:$O,"방문완료")</f>
        <v>0</v>
      </c>
      <c r="M1420" s="29" t="str">
        <f t="shared" si="192"/>
        <v/>
      </c>
      <c r="N1420" s="29"/>
    </row>
    <row r="1421" spans="1:14" ht="19.5" hidden="1" customHeight="1" outlineLevel="1">
      <c r="A1421" s="24">
        <f>IF(28&lt;=DAY(DATE(YEAR(설정_코스수당!$K$2),MONTH(설정_코스수당!$K$2)+1,0)),DATE(YEAR(설정_코스수당!$K$2),MONTH(설정_코스수당!$K$2),28),"")</f>
        <v>46201</v>
      </c>
      <c r="B1421" s="23" t="s">
        <v>173</v>
      </c>
      <c r="C1421" s="29"/>
      <c r="D1421" s="29"/>
      <c r="E1421" s="29" t="str">
        <f t="shared" si="190"/>
        <v/>
      </c>
      <c r="F1421" s="29">
        <f>COUNTIFS(실시간콜입력!$B:$B,$A1421,실시간콜입력!$E:$E,"A",실시간콜입력!$G:$G,$B1421,실시간콜입력!$O:$O,"방문완료")+COUNTIFS(실시간콜입력!$B:$B,$A1421,실시간콜입력!$E:$E,"A",실시간콜입력!$H:$H,$B1421,실시간콜입력!$O:$O,"방문완료")</f>
        <v>0</v>
      </c>
      <c r="G1421" s="29">
        <f>COUNTIFS(실시간콜입력!$B:$B,$A1421,실시간콜입력!$E:$E,"B",실시간콜입력!$G:$G,$B1421,실시간콜입력!$O:$O,"방문완료")+COUNTIFS(실시간콜입력!$B:$B,$A1421,실시간콜입력!$E:$E,"B",실시간콜입력!$H:$H,$B1421,실시간콜입력!$O:$O,"방문완료")</f>
        <v>0</v>
      </c>
      <c r="H1421" s="29">
        <f>COUNTIFS(실시간콜입력!$B:$B,$A1421,실시간콜입력!$E:$E,"C",실시간콜입력!$G:$G,$B1421,실시간콜입력!$O:$O,"방문완료")+COUNTIFS(실시간콜입력!$B:$B,$A1421,실시간콜입력!$E:$E,"C",실시간콜입력!$H:$H,$B1421,실시간콜입력!$O:$O,"방문완료")</f>
        <v>0</v>
      </c>
      <c r="I1421" s="29">
        <f>COUNTIFS(실시간콜입력!$B:$B,$A1421,실시간콜입력!$E:$E,"D",실시간콜입력!$G:$G,$B1421,실시간콜입력!$O:$O,"방문완료")+COUNTIFS(실시간콜입력!$B:$B,$A1421,실시간콜입력!$E:$E,"D",실시간콜입력!$H:$H,$B1421,실시간콜입력!$O:$O,"방문완료")</f>
        <v>0</v>
      </c>
      <c r="J1421" s="29">
        <f>COUNTIFS(실시간콜입력!$B:$B,$A1421,실시간콜입력!$E:$E,"E",실시간콜입력!$G:$G,$B1421,실시간콜입력!$O:$O,"방문완료")+COUNTIFS(실시간콜입력!$B:$B,$A1421,실시간콜입력!$E:$E,"E",실시간콜입력!$H:$H,$B1421,실시간콜입력!$O:$O,"방문완료")</f>
        <v>0</v>
      </c>
      <c r="K1421" s="29">
        <f t="shared" si="191"/>
        <v>0</v>
      </c>
      <c r="L1421" s="27">
        <f>SUMIFS(실시간콜입력!$K:$K,실시간콜입력!$B:$B,$A1421,실시간콜입력!$G:$G,$B1421,실시간콜입력!$O:$O,"방문완료")+SUMIFS(실시간콜입력!$L:$L,실시간콜입력!$B:$B,$A1421,실시간콜입력!$H:$H,$B1421,실시간콜입력!$O:$O,"방문완료")</f>
        <v>0</v>
      </c>
      <c r="M1421" s="29" t="str">
        <f t="shared" si="192"/>
        <v/>
      </c>
      <c r="N1421" s="29"/>
    </row>
    <row r="1422" spans="1:14" ht="19.5" hidden="1" customHeight="1" outlineLevel="1">
      <c r="A1422" s="30">
        <f>IF(28&lt;=DAY(DATE(YEAR(설정_코스수당!$K$2),MONTH(설정_코스수당!$K$2)+1,0)),DATE(YEAR(설정_코스수당!$K$2),MONTH(설정_코스수당!$K$2),28),"")</f>
        <v>46201</v>
      </c>
      <c r="B1422" s="29" t="s">
        <v>174</v>
      </c>
      <c r="C1422" s="29"/>
      <c r="D1422" s="29"/>
      <c r="E1422" s="29" t="str">
        <f t="shared" si="190"/>
        <v/>
      </c>
      <c r="F1422" s="29">
        <f>COUNTIFS(실시간콜입력!$B:$B,$A1422,실시간콜입력!$E:$E,"A",실시간콜입력!$G:$G,$B1422,실시간콜입력!$O:$O,"방문완료")+COUNTIFS(실시간콜입력!$B:$B,$A1422,실시간콜입력!$E:$E,"A",실시간콜입력!$H:$H,$B1422,실시간콜입력!$O:$O,"방문완료")</f>
        <v>0</v>
      </c>
      <c r="G1422" s="29">
        <f>COUNTIFS(실시간콜입력!$B:$B,$A1422,실시간콜입력!$E:$E,"B",실시간콜입력!$G:$G,$B1422,실시간콜입력!$O:$O,"방문완료")+COUNTIFS(실시간콜입력!$B:$B,$A1422,실시간콜입력!$E:$E,"B",실시간콜입력!$H:$H,$B1422,실시간콜입력!$O:$O,"방문완료")</f>
        <v>0</v>
      </c>
      <c r="H1422" s="29">
        <f>COUNTIFS(실시간콜입력!$B:$B,$A1422,실시간콜입력!$E:$E,"C",실시간콜입력!$G:$G,$B1422,실시간콜입력!$O:$O,"방문완료")+COUNTIFS(실시간콜입력!$B:$B,$A1422,실시간콜입력!$E:$E,"C",실시간콜입력!$H:$H,$B1422,실시간콜입력!$O:$O,"방문완료")</f>
        <v>0</v>
      </c>
      <c r="I1422" s="29">
        <f>COUNTIFS(실시간콜입력!$B:$B,$A1422,실시간콜입력!$E:$E,"D",실시간콜입력!$G:$G,$B1422,실시간콜입력!$O:$O,"방문완료")+COUNTIFS(실시간콜입력!$B:$B,$A1422,실시간콜입력!$E:$E,"D",실시간콜입력!$H:$H,$B1422,실시간콜입력!$O:$O,"방문완료")</f>
        <v>0</v>
      </c>
      <c r="J1422" s="29">
        <f>COUNTIFS(실시간콜입력!$B:$B,$A1422,실시간콜입력!$E:$E,"E",실시간콜입력!$G:$G,$B1422,실시간콜입력!$O:$O,"방문완료")+COUNTIFS(실시간콜입력!$B:$B,$A1422,실시간콜입력!$E:$E,"E",실시간콜입력!$H:$H,$B1422,실시간콜입력!$O:$O,"방문완료")</f>
        <v>0</v>
      </c>
      <c r="K1422" s="29">
        <f t="shared" si="191"/>
        <v>0</v>
      </c>
      <c r="L1422" s="33">
        <f>SUMIFS(실시간콜입력!$K:$K,실시간콜입력!$B:$B,$A1422,실시간콜입력!$G:$G,$B1422,실시간콜입력!$O:$O,"방문완료")+SUMIFS(실시간콜입력!$L:$L,실시간콜입력!$B:$B,$A1422,실시간콜입력!$H:$H,$B1422,실시간콜입력!$O:$O,"방문완료")</f>
        <v>0</v>
      </c>
      <c r="M1422" s="29" t="str">
        <f t="shared" si="192"/>
        <v/>
      </c>
      <c r="N1422" s="29"/>
    </row>
    <row r="1423" spans="1:14" ht="19.5" hidden="1" customHeight="1" outlineLevel="1">
      <c r="A1423" s="24">
        <f>IF(28&lt;=DAY(DATE(YEAR(설정_코스수당!$K$2),MONTH(설정_코스수당!$K$2)+1,0)),DATE(YEAR(설정_코스수당!$K$2),MONTH(설정_코스수당!$K$2),28),"")</f>
        <v>46201</v>
      </c>
      <c r="B1423" s="23" t="s">
        <v>175</v>
      </c>
      <c r="C1423" s="29"/>
      <c r="D1423" s="29"/>
      <c r="E1423" s="29" t="str">
        <f t="shared" si="190"/>
        <v/>
      </c>
      <c r="F1423" s="29">
        <f>COUNTIFS(실시간콜입력!$B:$B,$A1423,실시간콜입력!$E:$E,"A",실시간콜입력!$G:$G,$B1423,실시간콜입력!$O:$O,"방문완료")+COUNTIFS(실시간콜입력!$B:$B,$A1423,실시간콜입력!$E:$E,"A",실시간콜입력!$H:$H,$B1423,실시간콜입력!$O:$O,"방문완료")</f>
        <v>0</v>
      </c>
      <c r="G1423" s="29">
        <f>COUNTIFS(실시간콜입력!$B:$B,$A1423,실시간콜입력!$E:$E,"B",실시간콜입력!$G:$G,$B1423,실시간콜입력!$O:$O,"방문완료")+COUNTIFS(실시간콜입력!$B:$B,$A1423,실시간콜입력!$E:$E,"B",실시간콜입력!$H:$H,$B1423,실시간콜입력!$O:$O,"방문완료")</f>
        <v>0</v>
      </c>
      <c r="H1423" s="29">
        <f>COUNTIFS(실시간콜입력!$B:$B,$A1423,실시간콜입력!$E:$E,"C",실시간콜입력!$G:$G,$B1423,실시간콜입력!$O:$O,"방문완료")+COUNTIFS(실시간콜입력!$B:$B,$A1423,실시간콜입력!$E:$E,"C",실시간콜입력!$H:$H,$B1423,실시간콜입력!$O:$O,"방문완료")</f>
        <v>0</v>
      </c>
      <c r="I1423" s="29">
        <f>COUNTIFS(실시간콜입력!$B:$B,$A1423,실시간콜입력!$E:$E,"D",실시간콜입력!$G:$G,$B1423,실시간콜입력!$O:$O,"방문완료")+COUNTIFS(실시간콜입력!$B:$B,$A1423,실시간콜입력!$E:$E,"D",실시간콜입력!$H:$H,$B1423,실시간콜입력!$O:$O,"방문완료")</f>
        <v>0</v>
      </c>
      <c r="J1423" s="29">
        <f>COUNTIFS(실시간콜입력!$B:$B,$A1423,실시간콜입력!$E:$E,"E",실시간콜입력!$G:$G,$B1423,실시간콜입력!$O:$O,"방문완료")+COUNTIFS(실시간콜입력!$B:$B,$A1423,실시간콜입력!$E:$E,"E",실시간콜입력!$H:$H,$B1423,실시간콜입력!$O:$O,"방문완료")</f>
        <v>0</v>
      </c>
      <c r="K1423" s="29">
        <f t="shared" si="191"/>
        <v>0</v>
      </c>
      <c r="L1423" s="27">
        <f>SUMIFS(실시간콜입력!$K:$K,실시간콜입력!$B:$B,$A1423,실시간콜입력!$G:$G,$B1423,실시간콜입력!$O:$O,"방문완료")+SUMIFS(실시간콜입력!$L:$L,실시간콜입력!$B:$B,$A1423,실시간콜입력!$H:$H,$B1423,실시간콜입력!$O:$O,"방문완료")</f>
        <v>0</v>
      </c>
      <c r="M1423" s="29" t="str">
        <f t="shared" si="192"/>
        <v/>
      </c>
      <c r="N1423" s="29"/>
    </row>
    <row r="1424" spans="1:14" ht="19.5" hidden="1" customHeight="1" outlineLevel="1">
      <c r="A1424" s="30">
        <f>IF(28&lt;=DAY(DATE(YEAR(설정_코스수당!$K$2),MONTH(설정_코스수당!$K$2)+1,0)),DATE(YEAR(설정_코스수당!$K$2),MONTH(설정_코스수당!$K$2),28),"")</f>
        <v>46201</v>
      </c>
      <c r="B1424" s="29" t="s">
        <v>176</v>
      </c>
      <c r="C1424" s="29"/>
      <c r="D1424" s="29"/>
      <c r="E1424" s="29" t="str">
        <f t="shared" si="190"/>
        <v/>
      </c>
      <c r="F1424" s="29">
        <f>COUNTIFS(실시간콜입력!$B:$B,$A1424,실시간콜입력!$E:$E,"A",실시간콜입력!$G:$G,$B1424,실시간콜입력!$O:$O,"방문완료")+COUNTIFS(실시간콜입력!$B:$B,$A1424,실시간콜입력!$E:$E,"A",실시간콜입력!$H:$H,$B1424,실시간콜입력!$O:$O,"방문완료")</f>
        <v>0</v>
      </c>
      <c r="G1424" s="29">
        <f>COUNTIFS(실시간콜입력!$B:$B,$A1424,실시간콜입력!$E:$E,"B",실시간콜입력!$G:$G,$B1424,실시간콜입력!$O:$O,"방문완료")+COUNTIFS(실시간콜입력!$B:$B,$A1424,실시간콜입력!$E:$E,"B",실시간콜입력!$H:$H,$B1424,실시간콜입력!$O:$O,"방문완료")</f>
        <v>0</v>
      </c>
      <c r="H1424" s="29">
        <f>COUNTIFS(실시간콜입력!$B:$B,$A1424,실시간콜입력!$E:$E,"C",실시간콜입력!$G:$G,$B1424,실시간콜입력!$O:$O,"방문완료")+COUNTIFS(실시간콜입력!$B:$B,$A1424,실시간콜입력!$E:$E,"C",실시간콜입력!$H:$H,$B1424,실시간콜입력!$O:$O,"방문완료")</f>
        <v>0</v>
      </c>
      <c r="I1424" s="29">
        <f>COUNTIFS(실시간콜입력!$B:$B,$A1424,실시간콜입력!$E:$E,"D",실시간콜입력!$G:$G,$B1424,실시간콜입력!$O:$O,"방문완료")+COUNTIFS(실시간콜입력!$B:$B,$A1424,실시간콜입력!$E:$E,"D",실시간콜입력!$H:$H,$B1424,실시간콜입력!$O:$O,"방문완료")</f>
        <v>0</v>
      </c>
      <c r="J1424" s="29">
        <f>COUNTIFS(실시간콜입력!$B:$B,$A1424,실시간콜입력!$E:$E,"E",실시간콜입력!$G:$G,$B1424,실시간콜입력!$O:$O,"방문완료")+COUNTIFS(실시간콜입력!$B:$B,$A1424,실시간콜입력!$E:$E,"E",실시간콜입력!$H:$H,$B1424,실시간콜입력!$O:$O,"방문완료")</f>
        <v>0</v>
      </c>
      <c r="K1424" s="29">
        <f t="shared" si="191"/>
        <v>0</v>
      </c>
      <c r="L1424" s="33">
        <f>SUMIFS(실시간콜입력!$K:$K,실시간콜입력!$B:$B,$A1424,실시간콜입력!$G:$G,$B1424,실시간콜입력!$O:$O,"방문완료")+SUMIFS(실시간콜입력!$L:$L,실시간콜입력!$B:$B,$A1424,실시간콜입력!$H:$H,$B1424,실시간콜입력!$O:$O,"방문완료")</f>
        <v>0</v>
      </c>
      <c r="M1424" s="29" t="str">
        <f t="shared" si="192"/>
        <v/>
      </c>
      <c r="N1424" s="29"/>
    </row>
    <row r="1425" spans="1:14" ht="19.5" hidden="1" customHeight="1" outlineLevel="1">
      <c r="A1425" s="24">
        <f>IF(28&lt;=DAY(DATE(YEAR(설정_코스수당!$K$2),MONTH(설정_코스수당!$K$2)+1,0)),DATE(YEAR(설정_코스수당!$K$2),MONTH(설정_코스수당!$K$2),28),"")</f>
        <v>46201</v>
      </c>
      <c r="B1425" s="23" t="s">
        <v>177</v>
      </c>
      <c r="C1425" s="29"/>
      <c r="D1425" s="29"/>
      <c r="E1425" s="29" t="str">
        <f t="shared" si="190"/>
        <v/>
      </c>
      <c r="F1425" s="29">
        <f>COUNTIFS(실시간콜입력!$B:$B,$A1425,실시간콜입력!$E:$E,"A",실시간콜입력!$G:$G,$B1425,실시간콜입력!$O:$O,"방문완료")+COUNTIFS(실시간콜입력!$B:$B,$A1425,실시간콜입력!$E:$E,"A",실시간콜입력!$H:$H,$B1425,실시간콜입력!$O:$O,"방문완료")</f>
        <v>0</v>
      </c>
      <c r="G1425" s="29">
        <f>COUNTIFS(실시간콜입력!$B:$B,$A1425,실시간콜입력!$E:$E,"B",실시간콜입력!$G:$G,$B1425,실시간콜입력!$O:$O,"방문완료")+COUNTIFS(실시간콜입력!$B:$B,$A1425,실시간콜입력!$E:$E,"B",실시간콜입력!$H:$H,$B1425,실시간콜입력!$O:$O,"방문완료")</f>
        <v>0</v>
      </c>
      <c r="H1425" s="29">
        <f>COUNTIFS(실시간콜입력!$B:$B,$A1425,실시간콜입력!$E:$E,"C",실시간콜입력!$G:$G,$B1425,실시간콜입력!$O:$O,"방문완료")+COUNTIFS(실시간콜입력!$B:$B,$A1425,실시간콜입력!$E:$E,"C",실시간콜입력!$H:$H,$B1425,실시간콜입력!$O:$O,"방문완료")</f>
        <v>0</v>
      </c>
      <c r="I1425" s="29">
        <f>COUNTIFS(실시간콜입력!$B:$B,$A1425,실시간콜입력!$E:$E,"D",실시간콜입력!$G:$G,$B1425,실시간콜입력!$O:$O,"방문완료")+COUNTIFS(실시간콜입력!$B:$B,$A1425,실시간콜입력!$E:$E,"D",실시간콜입력!$H:$H,$B1425,실시간콜입력!$O:$O,"방문완료")</f>
        <v>0</v>
      </c>
      <c r="J1425" s="29">
        <f>COUNTIFS(실시간콜입력!$B:$B,$A1425,실시간콜입력!$E:$E,"E",실시간콜입력!$G:$G,$B1425,실시간콜입력!$O:$O,"방문완료")+COUNTIFS(실시간콜입력!$B:$B,$A1425,실시간콜입력!$E:$E,"E",실시간콜입력!$H:$H,$B1425,실시간콜입력!$O:$O,"방문완료")</f>
        <v>0</v>
      </c>
      <c r="K1425" s="29">
        <f t="shared" si="191"/>
        <v>0</v>
      </c>
      <c r="L1425" s="27">
        <f>SUMIFS(실시간콜입력!$K:$K,실시간콜입력!$B:$B,$A1425,실시간콜입력!$G:$G,$B1425,실시간콜입력!$O:$O,"방문완료")+SUMIFS(실시간콜입력!$L:$L,실시간콜입력!$B:$B,$A1425,실시간콜입력!$H:$H,$B1425,실시간콜입력!$O:$O,"방문완료")</f>
        <v>0</v>
      </c>
      <c r="M1425" s="29" t="str">
        <f t="shared" si="192"/>
        <v/>
      </c>
      <c r="N1425" s="29"/>
    </row>
    <row r="1426" spans="1:14" ht="19.5" hidden="1" customHeight="1" outlineLevel="1">
      <c r="A1426" s="30">
        <f>IF(28&lt;=DAY(DATE(YEAR(설정_코스수당!$K$2),MONTH(설정_코스수당!$K$2)+1,0)),DATE(YEAR(설정_코스수당!$K$2),MONTH(설정_코스수당!$K$2),28),"")</f>
        <v>46201</v>
      </c>
      <c r="B1426" s="29" t="s">
        <v>178</v>
      </c>
      <c r="C1426" s="29"/>
      <c r="D1426" s="29"/>
      <c r="E1426" s="29" t="str">
        <f t="shared" si="190"/>
        <v/>
      </c>
      <c r="F1426" s="29">
        <f>COUNTIFS(실시간콜입력!$B:$B,$A1426,실시간콜입력!$E:$E,"A",실시간콜입력!$G:$G,$B1426,실시간콜입력!$O:$O,"방문완료")+COUNTIFS(실시간콜입력!$B:$B,$A1426,실시간콜입력!$E:$E,"A",실시간콜입력!$H:$H,$B1426,실시간콜입력!$O:$O,"방문완료")</f>
        <v>0</v>
      </c>
      <c r="G1426" s="29">
        <f>COUNTIFS(실시간콜입력!$B:$B,$A1426,실시간콜입력!$E:$E,"B",실시간콜입력!$G:$G,$B1426,실시간콜입력!$O:$O,"방문완료")+COUNTIFS(실시간콜입력!$B:$B,$A1426,실시간콜입력!$E:$E,"B",실시간콜입력!$H:$H,$B1426,실시간콜입력!$O:$O,"방문완료")</f>
        <v>0</v>
      </c>
      <c r="H1426" s="29">
        <f>COUNTIFS(실시간콜입력!$B:$B,$A1426,실시간콜입력!$E:$E,"C",실시간콜입력!$G:$G,$B1426,실시간콜입력!$O:$O,"방문완료")+COUNTIFS(실시간콜입력!$B:$B,$A1426,실시간콜입력!$E:$E,"C",실시간콜입력!$H:$H,$B1426,실시간콜입력!$O:$O,"방문완료")</f>
        <v>0</v>
      </c>
      <c r="I1426" s="29">
        <f>COUNTIFS(실시간콜입력!$B:$B,$A1426,실시간콜입력!$E:$E,"D",실시간콜입력!$G:$G,$B1426,실시간콜입력!$O:$O,"방문완료")+COUNTIFS(실시간콜입력!$B:$B,$A1426,실시간콜입력!$E:$E,"D",실시간콜입력!$H:$H,$B1426,실시간콜입력!$O:$O,"방문완료")</f>
        <v>0</v>
      </c>
      <c r="J1426" s="29">
        <f>COUNTIFS(실시간콜입력!$B:$B,$A1426,실시간콜입력!$E:$E,"E",실시간콜입력!$G:$G,$B1426,실시간콜입력!$O:$O,"방문완료")+COUNTIFS(실시간콜입력!$B:$B,$A1426,실시간콜입력!$E:$E,"E",실시간콜입력!$H:$H,$B1426,실시간콜입력!$O:$O,"방문완료")</f>
        <v>0</v>
      </c>
      <c r="K1426" s="29">
        <f t="shared" si="191"/>
        <v>0</v>
      </c>
      <c r="L1426" s="33">
        <f>SUMIFS(실시간콜입력!$K:$K,실시간콜입력!$B:$B,$A1426,실시간콜입력!$G:$G,$B1426,실시간콜입력!$O:$O,"방문완료")+SUMIFS(실시간콜입력!$L:$L,실시간콜입력!$B:$B,$A1426,실시간콜입력!$H:$H,$B1426,실시간콜입력!$O:$O,"방문완료")</f>
        <v>0</v>
      </c>
      <c r="M1426" s="29" t="str">
        <f t="shared" si="192"/>
        <v/>
      </c>
      <c r="N1426" s="29"/>
    </row>
    <row r="1427" spans="1:14" ht="19.5" hidden="1" customHeight="1" outlineLevel="1">
      <c r="A1427" s="24">
        <f>IF(28&lt;=DAY(DATE(YEAR(설정_코스수당!$K$2),MONTH(설정_코스수당!$K$2)+1,0)),DATE(YEAR(설정_코스수당!$K$2),MONTH(설정_코스수당!$K$2),28),"")</f>
        <v>46201</v>
      </c>
      <c r="B1427" s="23" t="s">
        <v>179</v>
      </c>
      <c r="C1427" s="29"/>
      <c r="D1427" s="29"/>
      <c r="E1427" s="29" t="str">
        <f t="shared" si="190"/>
        <v/>
      </c>
      <c r="F1427" s="29">
        <f>COUNTIFS(실시간콜입력!$B:$B,$A1427,실시간콜입력!$E:$E,"A",실시간콜입력!$G:$G,$B1427,실시간콜입력!$O:$O,"방문완료")+COUNTIFS(실시간콜입력!$B:$B,$A1427,실시간콜입력!$E:$E,"A",실시간콜입력!$H:$H,$B1427,실시간콜입력!$O:$O,"방문완료")</f>
        <v>0</v>
      </c>
      <c r="G1427" s="29">
        <f>COUNTIFS(실시간콜입력!$B:$B,$A1427,실시간콜입력!$E:$E,"B",실시간콜입력!$G:$G,$B1427,실시간콜입력!$O:$O,"방문완료")+COUNTIFS(실시간콜입력!$B:$B,$A1427,실시간콜입력!$E:$E,"B",실시간콜입력!$H:$H,$B1427,실시간콜입력!$O:$O,"방문완료")</f>
        <v>0</v>
      </c>
      <c r="H1427" s="29">
        <f>COUNTIFS(실시간콜입력!$B:$B,$A1427,실시간콜입력!$E:$E,"C",실시간콜입력!$G:$G,$B1427,실시간콜입력!$O:$O,"방문완료")+COUNTIFS(실시간콜입력!$B:$B,$A1427,실시간콜입력!$E:$E,"C",실시간콜입력!$H:$H,$B1427,실시간콜입력!$O:$O,"방문완료")</f>
        <v>0</v>
      </c>
      <c r="I1427" s="29">
        <f>COUNTIFS(실시간콜입력!$B:$B,$A1427,실시간콜입력!$E:$E,"D",실시간콜입력!$G:$G,$B1427,실시간콜입력!$O:$O,"방문완료")+COUNTIFS(실시간콜입력!$B:$B,$A1427,실시간콜입력!$E:$E,"D",실시간콜입력!$H:$H,$B1427,실시간콜입력!$O:$O,"방문완료")</f>
        <v>0</v>
      </c>
      <c r="J1427" s="29">
        <f>COUNTIFS(실시간콜입력!$B:$B,$A1427,실시간콜입력!$E:$E,"E",실시간콜입력!$G:$G,$B1427,실시간콜입력!$O:$O,"방문완료")+COUNTIFS(실시간콜입력!$B:$B,$A1427,실시간콜입력!$E:$E,"E",실시간콜입력!$H:$H,$B1427,실시간콜입력!$O:$O,"방문완료")</f>
        <v>0</v>
      </c>
      <c r="K1427" s="29">
        <f t="shared" si="191"/>
        <v>0</v>
      </c>
      <c r="L1427" s="27">
        <f>SUMIFS(실시간콜입력!$K:$K,실시간콜입력!$B:$B,$A1427,실시간콜입력!$G:$G,$B1427,실시간콜입력!$O:$O,"방문완료")+SUMIFS(실시간콜입력!$L:$L,실시간콜입력!$B:$B,$A1427,실시간콜입력!$H:$H,$B1427,실시간콜입력!$O:$O,"방문완료")</f>
        <v>0</v>
      </c>
      <c r="M1427" s="29" t="str">
        <f t="shared" si="192"/>
        <v/>
      </c>
      <c r="N1427" s="29"/>
    </row>
    <row r="1428" spans="1:14" ht="19.5" hidden="1" customHeight="1" outlineLevel="1">
      <c r="A1428" s="30">
        <f>IF(28&lt;=DAY(DATE(YEAR(설정_코스수당!$K$2),MONTH(설정_코스수당!$K$2)+1,0)),DATE(YEAR(설정_코스수당!$K$2),MONTH(설정_코스수당!$K$2),28),"")</f>
        <v>46201</v>
      </c>
      <c r="B1428" s="29" t="s">
        <v>180</v>
      </c>
      <c r="C1428" s="29"/>
      <c r="D1428" s="29"/>
      <c r="E1428" s="29" t="str">
        <f t="shared" si="190"/>
        <v/>
      </c>
      <c r="F1428" s="29">
        <f>COUNTIFS(실시간콜입력!$B:$B,$A1428,실시간콜입력!$E:$E,"A",실시간콜입력!$G:$G,$B1428,실시간콜입력!$O:$O,"방문완료")+COUNTIFS(실시간콜입력!$B:$B,$A1428,실시간콜입력!$E:$E,"A",실시간콜입력!$H:$H,$B1428,실시간콜입력!$O:$O,"방문완료")</f>
        <v>0</v>
      </c>
      <c r="G1428" s="29">
        <f>COUNTIFS(실시간콜입력!$B:$B,$A1428,실시간콜입력!$E:$E,"B",실시간콜입력!$G:$G,$B1428,실시간콜입력!$O:$O,"방문완료")+COUNTIFS(실시간콜입력!$B:$B,$A1428,실시간콜입력!$E:$E,"B",실시간콜입력!$H:$H,$B1428,실시간콜입력!$O:$O,"방문완료")</f>
        <v>0</v>
      </c>
      <c r="H1428" s="29">
        <f>COUNTIFS(실시간콜입력!$B:$B,$A1428,실시간콜입력!$E:$E,"C",실시간콜입력!$G:$G,$B1428,실시간콜입력!$O:$O,"방문완료")+COUNTIFS(실시간콜입력!$B:$B,$A1428,실시간콜입력!$E:$E,"C",실시간콜입력!$H:$H,$B1428,실시간콜입력!$O:$O,"방문완료")</f>
        <v>0</v>
      </c>
      <c r="I1428" s="29">
        <f>COUNTIFS(실시간콜입력!$B:$B,$A1428,실시간콜입력!$E:$E,"D",실시간콜입력!$G:$G,$B1428,실시간콜입력!$O:$O,"방문완료")+COUNTIFS(실시간콜입력!$B:$B,$A1428,실시간콜입력!$E:$E,"D",실시간콜입력!$H:$H,$B1428,실시간콜입력!$O:$O,"방문완료")</f>
        <v>0</v>
      </c>
      <c r="J1428" s="29">
        <f>COUNTIFS(실시간콜입력!$B:$B,$A1428,실시간콜입력!$E:$E,"E",실시간콜입력!$G:$G,$B1428,실시간콜입력!$O:$O,"방문완료")+COUNTIFS(실시간콜입력!$B:$B,$A1428,실시간콜입력!$E:$E,"E",실시간콜입력!$H:$H,$B1428,실시간콜입력!$O:$O,"방문완료")</f>
        <v>0</v>
      </c>
      <c r="K1428" s="29">
        <f t="shared" si="191"/>
        <v>0</v>
      </c>
      <c r="L1428" s="33">
        <f>SUMIFS(실시간콜입력!$K:$K,실시간콜입력!$B:$B,$A1428,실시간콜입력!$G:$G,$B1428,실시간콜입력!$O:$O,"방문완료")+SUMIFS(실시간콜입력!$L:$L,실시간콜입력!$B:$B,$A1428,실시간콜입력!$H:$H,$B1428,실시간콜입력!$O:$O,"방문완료")</f>
        <v>0</v>
      </c>
      <c r="M1428" s="29" t="str">
        <f t="shared" si="192"/>
        <v/>
      </c>
      <c r="N1428" s="29"/>
    </row>
    <row r="1429" spans="1:14" ht="19.5" hidden="1" customHeight="1" outlineLevel="1">
      <c r="A1429" s="24">
        <f>IF(28&lt;=DAY(DATE(YEAR(설정_코스수당!$K$2),MONTH(설정_코스수당!$K$2)+1,0)),DATE(YEAR(설정_코스수당!$K$2),MONTH(설정_코스수당!$K$2),28),"")</f>
        <v>46201</v>
      </c>
      <c r="B1429" s="23" t="s">
        <v>181</v>
      </c>
      <c r="C1429" s="29"/>
      <c r="D1429" s="29"/>
      <c r="E1429" s="29" t="str">
        <f t="shared" si="190"/>
        <v/>
      </c>
      <c r="F1429" s="29">
        <f>COUNTIFS(실시간콜입력!$B:$B,$A1429,실시간콜입력!$E:$E,"A",실시간콜입력!$G:$G,$B1429,실시간콜입력!$O:$O,"방문완료")+COUNTIFS(실시간콜입력!$B:$B,$A1429,실시간콜입력!$E:$E,"A",실시간콜입력!$H:$H,$B1429,실시간콜입력!$O:$O,"방문완료")</f>
        <v>0</v>
      </c>
      <c r="G1429" s="29">
        <f>COUNTIFS(실시간콜입력!$B:$B,$A1429,실시간콜입력!$E:$E,"B",실시간콜입력!$G:$G,$B1429,실시간콜입력!$O:$O,"방문완료")+COUNTIFS(실시간콜입력!$B:$B,$A1429,실시간콜입력!$E:$E,"B",실시간콜입력!$H:$H,$B1429,실시간콜입력!$O:$O,"방문완료")</f>
        <v>0</v>
      </c>
      <c r="H1429" s="29">
        <f>COUNTIFS(실시간콜입력!$B:$B,$A1429,실시간콜입력!$E:$E,"C",실시간콜입력!$G:$G,$B1429,실시간콜입력!$O:$O,"방문완료")+COUNTIFS(실시간콜입력!$B:$B,$A1429,실시간콜입력!$E:$E,"C",실시간콜입력!$H:$H,$B1429,실시간콜입력!$O:$O,"방문완료")</f>
        <v>0</v>
      </c>
      <c r="I1429" s="29">
        <f>COUNTIFS(실시간콜입력!$B:$B,$A1429,실시간콜입력!$E:$E,"D",실시간콜입력!$G:$G,$B1429,실시간콜입력!$O:$O,"방문완료")+COUNTIFS(실시간콜입력!$B:$B,$A1429,실시간콜입력!$E:$E,"D",실시간콜입력!$H:$H,$B1429,실시간콜입력!$O:$O,"방문완료")</f>
        <v>0</v>
      </c>
      <c r="J1429" s="29">
        <f>COUNTIFS(실시간콜입력!$B:$B,$A1429,실시간콜입력!$E:$E,"E",실시간콜입력!$G:$G,$B1429,실시간콜입력!$O:$O,"방문완료")+COUNTIFS(실시간콜입력!$B:$B,$A1429,실시간콜입력!$E:$E,"E",실시간콜입력!$H:$H,$B1429,실시간콜입력!$O:$O,"방문완료")</f>
        <v>0</v>
      </c>
      <c r="K1429" s="29">
        <f t="shared" si="191"/>
        <v>0</v>
      </c>
      <c r="L1429" s="27">
        <f>SUMIFS(실시간콜입력!$K:$K,실시간콜입력!$B:$B,$A1429,실시간콜입력!$G:$G,$B1429,실시간콜입력!$O:$O,"방문완료")+SUMIFS(실시간콜입력!$L:$L,실시간콜입력!$B:$B,$A1429,실시간콜입력!$H:$H,$B1429,실시간콜입력!$O:$O,"방문완료")</f>
        <v>0</v>
      </c>
      <c r="M1429" s="29" t="str">
        <f t="shared" si="192"/>
        <v/>
      </c>
      <c r="N1429" s="29"/>
    </row>
    <row r="1430" spans="1:14" ht="19.5" hidden="1" customHeight="1" outlineLevel="1">
      <c r="A1430" s="30">
        <f>IF(28&lt;=DAY(DATE(YEAR(설정_코스수당!$K$2),MONTH(설정_코스수당!$K$2)+1,0)),DATE(YEAR(설정_코스수당!$K$2),MONTH(설정_코스수당!$K$2),28),"")</f>
        <v>46201</v>
      </c>
      <c r="B1430" s="29" t="s">
        <v>182</v>
      </c>
      <c r="C1430" s="29"/>
      <c r="D1430" s="29"/>
      <c r="E1430" s="29" t="str">
        <f t="shared" si="190"/>
        <v/>
      </c>
      <c r="F1430" s="29">
        <f>COUNTIFS(실시간콜입력!$B:$B,$A1430,실시간콜입력!$E:$E,"A",실시간콜입력!$G:$G,$B1430,실시간콜입력!$O:$O,"방문완료")+COUNTIFS(실시간콜입력!$B:$B,$A1430,실시간콜입력!$E:$E,"A",실시간콜입력!$H:$H,$B1430,실시간콜입력!$O:$O,"방문완료")</f>
        <v>0</v>
      </c>
      <c r="G1430" s="29">
        <f>COUNTIFS(실시간콜입력!$B:$B,$A1430,실시간콜입력!$E:$E,"B",실시간콜입력!$G:$G,$B1430,실시간콜입력!$O:$O,"방문완료")+COUNTIFS(실시간콜입력!$B:$B,$A1430,실시간콜입력!$E:$E,"B",실시간콜입력!$H:$H,$B1430,실시간콜입력!$O:$O,"방문완료")</f>
        <v>0</v>
      </c>
      <c r="H1430" s="29">
        <f>COUNTIFS(실시간콜입력!$B:$B,$A1430,실시간콜입력!$E:$E,"C",실시간콜입력!$G:$G,$B1430,실시간콜입력!$O:$O,"방문완료")+COUNTIFS(실시간콜입력!$B:$B,$A1430,실시간콜입력!$E:$E,"C",실시간콜입력!$H:$H,$B1430,실시간콜입력!$O:$O,"방문완료")</f>
        <v>0</v>
      </c>
      <c r="I1430" s="29">
        <f>COUNTIFS(실시간콜입력!$B:$B,$A1430,실시간콜입력!$E:$E,"D",실시간콜입력!$G:$G,$B1430,실시간콜입력!$O:$O,"방문완료")+COUNTIFS(실시간콜입력!$B:$B,$A1430,실시간콜입력!$E:$E,"D",실시간콜입력!$H:$H,$B1430,실시간콜입력!$O:$O,"방문완료")</f>
        <v>0</v>
      </c>
      <c r="J1430" s="29">
        <f>COUNTIFS(실시간콜입력!$B:$B,$A1430,실시간콜입력!$E:$E,"E",실시간콜입력!$G:$G,$B1430,실시간콜입력!$O:$O,"방문완료")+COUNTIFS(실시간콜입력!$B:$B,$A1430,실시간콜입력!$E:$E,"E",실시간콜입력!$H:$H,$B1430,실시간콜입력!$O:$O,"방문완료")</f>
        <v>0</v>
      </c>
      <c r="K1430" s="29">
        <f t="shared" si="191"/>
        <v>0</v>
      </c>
      <c r="L1430" s="33">
        <f>SUMIFS(실시간콜입력!$K:$K,실시간콜입력!$B:$B,$A1430,실시간콜입력!$G:$G,$B1430,실시간콜입력!$O:$O,"방문완료")+SUMIFS(실시간콜입력!$L:$L,실시간콜입력!$B:$B,$A1430,실시간콜입력!$H:$H,$B1430,실시간콜입력!$O:$O,"방문완료")</f>
        <v>0</v>
      </c>
      <c r="M1430" s="29" t="str">
        <f t="shared" si="192"/>
        <v/>
      </c>
      <c r="N1430" s="29"/>
    </row>
    <row r="1431" spans="1:14" ht="19.5" hidden="1" customHeight="1" outlineLevel="1">
      <c r="A1431" s="24">
        <f>IF(28&lt;=DAY(DATE(YEAR(설정_코스수당!$K$2),MONTH(설정_코스수당!$K$2)+1,0)),DATE(YEAR(설정_코스수당!$K$2),MONTH(설정_코스수당!$K$2),28),"")</f>
        <v>46201</v>
      </c>
      <c r="B1431" s="23" t="s">
        <v>183</v>
      </c>
      <c r="C1431" s="29"/>
      <c r="D1431" s="29"/>
      <c r="E1431" s="29" t="str">
        <f t="shared" si="190"/>
        <v/>
      </c>
      <c r="F1431" s="29">
        <f>COUNTIFS(실시간콜입력!$B:$B,$A1431,실시간콜입력!$E:$E,"A",실시간콜입력!$G:$G,$B1431,실시간콜입력!$O:$O,"방문완료")+COUNTIFS(실시간콜입력!$B:$B,$A1431,실시간콜입력!$E:$E,"A",실시간콜입력!$H:$H,$B1431,실시간콜입력!$O:$O,"방문완료")</f>
        <v>0</v>
      </c>
      <c r="G1431" s="29">
        <f>COUNTIFS(실시간콜입력!$B:$B,$A1431,실시간콜입력!$E:$E,"B",실시간콜입력!$G:$G,$B1431,실시간콜입력!$O:$O,"방문완료")+COUNTIFS(실시간콜입력!$B:$B,$A1431,실시간콜입력!$E:$E,"B",실시간콜입력!$H:$H,$B1431,실시간콜입력!$O:$O,"방문완료")</f>
        <v>0</v>
      </c>
      <c r="H1431" s="29">
        <f>COUNTIFS(실시간콜입력!$B:$B,$A1431,실시간콜입력!$E:$E,"C",실시간콜입력!$G:$G,$B1431,실시간콜입력!$O:$O,"방문완료")+COUNTIFS(실시간콜입력!$B:$B,$A1431,실시간콜입력!$E:$E,"C",실시간콜입력!$H:$H,$B1431,실시간콜입력!$O:$O,"방문완료")</f>
        <v>0</v>
      </c>
      <c r="I1431" s="29">
        <f>COUNTIFS(실시간콜입력!$B:$B,$A1431,실시간콜입력!$E:$E,"D",실시간콜입력!$G:$G,$B1431,실시간콜입력!$O:$O,"방문완료")+COUNTIFS(실시간콜입력!$B:$B,$A1431,실시간콜입력!$E:$E,"D",실시간콜입력!$H:$H,$B1431,실시간콜입력!$O:$O,"방문완료")</f>
        <v>0</v>
      </c>
      <c r="J1431" s="29">
        <f>COUNTIFS(실시간콜입력!$B:$B,$A1431,실시간콜입력!$E:$E,"E",실시간콜입력!$G:$G,$B1431,실시간콜입력!$O:$O,"방문완료")+COUNTIFS(실시간콜입력!$B:$B,$A1431,실시간콜입력!$E:$E,"E",실시간콜입력!$H:$H,$B1431,실시간콜입력!$O:$O,"방문완료")</f>
        <v>0</v>
      </c>
      <c r="K1431" s="29">
        <f t="shared" si="191"/>
        <v>0</v>
      </c>
      <c r="L1431" s="27">
        <f>SUMIFS(실시간콜입력!$K:$K,실시간콜입력!$B:$B,$A1431,실시간콜입력!$G:$G,$B1431,실시간콜입력!$O:$O,"방문완료")+SUMIFS(실시간콜입력!$L:$L,실시간콜입력!$B:$B,$A1431,실시간콜입력!$H:$H,$B1431,실시간콜입력!$O:$O,"방문완료")</f>
        <v>0</v>
      </c>
      <c r="M1431" s="29" t="str">
        <f t="shared" si="192"/>
        <v/>
      </c>
      <c r="N1431" s="29"/>
    </row>
    <row r="1432" spans="1:14" ht="19.5" hidden="1" customHeight="1" outlineLevel="1">
      <c r="A1432" s="30">
        <f>IF(28&lt;=DAY(DATE(YEAR(설정_코스수당!$K$2),MONTH(설정_코스수당!$K$2)+1,0)),DATE(YEAR(설정_코스수당!$K$2),MONTH(설정_코스수당!$K$2),28),"")</f>
        <v>46201</v>
      </c>
      <c r="B1432" s="29" t="s">
        <v>184</v>
      </c>
      <c r="C1432" s="29"/>
      <c r="D1432" s="29"/>
      <c r="E1432" s="29" t="str">
        <f t="shared" si="190"/>
        <v/>
      </c>
      <c r="F1432" s="29">
        <f>COUNTIFS(실시간콜입력!$B:$B,$A1432,실시간콜입력!$E:$E,"A",실시간콜입력!$G:$G,$B1432,실시간콜입력!$O:$O,"방문완료")+COUNTIFS(실시간콜입력!$B:$B,$A1432,실시간콜입력!$E:$E,"A",실시간콜입력!$H:$H,$B1432,실시간콜입력!$O:$O,"방문완료")</f>
        <v>0</v>
      </c>
      <c r="G1432" s="29">
        <f>COUNTIFS(실시간콜입력!$B:$B,$A1432,실시간콜입력!$E:$E,"B",실시간콜입력!$G:$G,$B1432,실시간콜입력!$O:$O,"방문완료")+COUNTIFS(실시간콜입력!$B:$B,$A1432,실시간콜입력!$E:$E,"B",실시간콜입력!$H:$H,$B1432,실시간콜입력!$O:$O,"방문완료")</f>
        <v>0</v>
      </c>
      <c r="H1432" s="29">
        <f>COUNTIFS(실시간콜입력!$B:$B,$A1432,실시간콜입력!$E:$E,"C",실시간콜입력!$G:$G,$B1432,실시간콜입력!$O:$O,"방문완료")+COUNTIFS(실시간콜입력!$B:$B,$A1432,실시간콜입력!$E:$E,"C",실시간콜입력!$H:$H,$B1432,실시간콜입력!$O:$O,"방문완료")</f>
        <v>0</v>
      </c>
      <c r="I1432" s="29">
        <f>COUNTIFS(실시간콜입력!$B:$B,$A1432,실시간콜입력!$E:$E,"D",실시간콜입력!$G:$G,$B1432,실시간콜입력!$O:$O,"방문완료")+COUNTIFS(실시간콜입력!$B:$B,$A1432,실시간콜입력!$E:$E,"D",실시간콜입력!$H:$H,$B1432,실시간콜입력!$O:$O,"방문완료")</f>
        <v>0</v>
      </c>
      <c r="J1432" s="29">
        <f>COUNTIFS(실시간콜입력!$B:$B,$A1432,실시간콜입력!$E:$E,"E",실시간콜입력!$G:$G,$B1432,실시간콜입력!$O:$O,"방문완료")+COUNTIFS(실시간콜입력!$B:$B,$A1432,실시간콜입력!$E:$E,"E",실시간콜입력!$H:$H,$B1432,실시간콜입력!$O:$O,"방문완료")</f>
        <v>0</v>
      </c>
      <c r="K1432" s="29">
        <f t="shared" si="191"/>
        <v>0</v>
      </c>
      <c r="L1432" s="33">
        <f>SUMIFS(실시간콜입력!$K:$K,실시간콜입력!$B:$B,$A1432,실시간콜입력!$G:$G,$B1432,실시간콜입력!$O:$O,"방문완료")+SUMIFS(실시간콜입력!$L:$L,실시간콜입력!$B:$B,$A1432,실시간콜입력!$H:$H,$B1432,실시간콜입력!$O:$O,"방문완료")</f>
        <v>0</v>
      </c>
      <c r="M1432" s="29" t="str">
        <f t="shared" si="192"/>
        <v/>
      </c>
      <c r="N1432" s="29"/>
    </row>
    <row r="1433" spans="1:14" ht="19.5" hidden="1" customHeight="1" outlineLevel="1">
      <c r="A1433" s="24">
        <f>IF(28&lt;=DAY(DATE(YEAR(설정_코스수당!$K$2),MONTH(설정_코스수당!$K$2)+1,0)),DATE(YEAR(설정_코스수당!$K$2),MONTH(설정_코스수당!$K$2),28),"")</f>
        <v>46201</v>
      </c>
      <c r="B1433" s="23" t="s">
        <v>185</v>
      </c>
      <c r="C1433" s="29"/>
      <c r="D1433" s="29"/>
      <c r="E1433" s="29" t="str">
        <f t="shared" si="190"/>
        <v/>
      </c>
      <c r="F1433" s="29">
        <f>COUNTIFS(실시간콜입력!$B:$B,$A1433,실시간콜입력!$E:$E,"A",실시간콜입력!$G:$G,$B1433,실시간콜입력!$O:$O,"방문완료")+COUNTIFS(실시간콜입력!$B:$B,$A1433,실시간콜입력!$E:$E,"A",실시간콜입력!$H:$H,$B1433,실시간콜입력!$O:$O,"방문완료")</f>
        <v>0</v>
      </c>
      <c r="G1433" s="29">
        <f>COUNTIFS(실시간콜입력!$B:$B,$A1433,실시간콜입력!$E:$E,"B",실시간콜입력!$G:$G,$B1433,실시간콜입력!$O:$O,"방문완료")+COUNTIFS(실시간콜입력!$B:$B,$A1433,실시간콜입력!$E:$E,"B",실시간콜입력!$H:$H,$B1433,실시간콜입력!$O:$O,"방문완료")</f>
        <v>0</v>
      </c>
      <c r="H1433" s="29">
        <f>COUNTIFS(실시간콜입력!$B:$B,$A1433,실시간콜입력!$E:$E,"C",실시간콜입력!$G:$G,$B1433,실시간콜입력!$O:$O,"방문완료")+COUNTIFS(실시간콜입력!$B:$B,$A1433,실시간콜입력!$E:$E,"C",실시간콜입력!$H:$H,$B1433,실시간콜입력!$O:$O,"방문완료")</f>
        <v>0</v>
      </c>
      <c r="I1433" s="29">
        <f>COUNTIFS(실시간콜입력!$B:$B,$A1433,실시간콜입력!$E:$E,"D",실시간콜입력!$G:$G,$B1433,실시간콜입력!$O:$O,"방문완료")+COUNTIFS(실시간콜입력!$B:$B,$A1433,실시간콜입력!$E:$E,"D",실시간콜입력!$H:$H,$B1433,실시간콜입력!$O:$O,"방문완료")</f>
        <v>0</v>
      </c>
      <c r="J1433" s="29">
        <f>COUNTIFS(실시간콜입력!$B:$B,$A1433,실시간콜입력!$E:$E,"E",실시간콜입력!$G:$G,$B1433,실시간콜입력!$O:$O,"방문완료")+COUNTIFS(실시간콜입력!$B:$B,$A1433,실시간콜입력!$E:$E,"E",실시간콜입력!$H:$H,$B1433,실시간콜입력!$O:$O,"방문완료")</f>
        <v>0</v>
      </c>
      <c r="K1433" s="29">
        <f t="shared" si="191"/>
        <v>0</v>
      </c>
      <c r="L1433" s="27">
        <f>SUMIFS(실시간콜입력!$K:$K,실시간콜입력!$B:$B,$A1433,실시간콜입력!$G:$G,$B1433,실시간콜입력!$O:$O,"방문완료")+SUMIFS(실시간콜입력!$L:$L,실시간콜입력!$B:$B,$A1433,실시간콜입력!$H:$H,$B1433,실시간콜입력!$O:$O,"방문완료")</f>
        <v>0</v>
      </c>
      <c r="M1433" s="29" t="str">
        <f t="shared" si="192"/>
        <v/>
      </c>
      <c r="N1433" s="29"/>
    </row>
    <row r="1434" spans="1:14" ht="19.5" hidden="1" customHeight="1" outlineLevel="1">
      <c r="A1434" s="30">
        <f>IF(28&lt;=DAY(DATE(YEAR(설정_코스수당!$K$2),MONTH(설정_코스수당!$K$2)+1,0)),DATE(YEAR(설정_코스수당!$K$2),MONTH(설정_코스수당!$K$2),28),"")</f>
        <v>46201</v>
      </c>
      <c r="B1434" s="29" t="s">
        <v>186</v>
      </c>
      <c r="C1434" s="29"/>
      <c r="D1434" s="29"/>
      <c r="E1434" s="29" t="str">
        <f t="shared" si="190"/>
        <v/>
      </c>
      <c r="F1434" s="29">
        <f>COUNTIFS(실시간콜입력!$B:$B,$A1434,실시간콜입력!$E:$E,"A",실시간콜입력!$G:$G,$B1434,실시간콜입력!$O:$O,"방문완료")+COUNTIFS(실시간콜입력!$B:$B,$A1434,실시간콜입력!$E:$E,"A",실시간콜입력!$H:$H,$B1434,실시간콜입력!$O:$O,"방문완료")</f>
        <v>0</v>
      </c>
      <c r="G1434" s="29">
        <f>COUNTIFS(실시간콜입력!$B:$B,$A1434,실시간콜입력!$E:$E,"B",실시간콜입력!$G:$G,$B1434,실시간콜입력!$O:$O,"방문완료")+COUNTIFS(실시간콜입력!$B:$B,$A1434,실시간콜입력!$E:$E,"B",실시간콜입력!$H:$H,$B1434,실시간콜입력!$O:$O,"방문완료")</f>
        <v>0</v>
      </c>
      <c r="H1434" s="29">
        <f>COUNTIFS(실시간콜입력!$B:$B,$A1434,실시간콜입력!$E:$E,"C",실시간콜입력!$G:$G,$B1434,실시간콜입력!$O:$O,"방문완료")+COUNTIFS(실시간콜입력!$B:$B,$A1434,실시간콜입력!$E:$E,"C",실시간콜입력!$H:$H,$B1434,실시간콜입력!$O:$O,"방문완료")</f>
        <v>0</v>
      </c>
      <c r="I1434" s="29">
        <f>COUNTIFS(실시간콜입력!$B:$B,$A1434,실시간콜입력!$E:$E,"D",실시간콜입력!$G:$G,$B1434,실시간콜입력!$O:$O,"방문완료")+COUNTIFS(실시간콜입력!$B:$B,$A1434,실시간콜입력!$E:$E,"D",실시간콜입력!$H:$H,$B1434,실시간콜입력!$O:$O,"방문완료")</f>
        <v>0</v>
      </c>
      <c r="J1434" s="29">
        <f>COUNTIFS(실시간콜입력!$B:$B,$A1434,실시간콜입력!$E:$E,"E",실시간콜입력!$G:$G,$B1434,실시간콜입력!$O:$O,"방문완료")+COUNTIFS(실시간콜입력!$B:$B,$A1434,실시간콜입력!$E:$E,"E",실시간콜입력!$H:$H,$B1434,실시간콜입력!$O:$O,"방문완료")</f>
        <v>0</v>
      </c>
      <c r="K1434" s="29">
        <f t="shared" si="191"/>
        <v>0</v>
      </c>
      <c r="L1434" s="33">
        <f>SUMIFS(실시간콜입력!$K:$K,실시간콜입력!$B:$B,$A1434,실시간콜입력!$G:$G,$B1434,실시간콜입력!$O:$O,"방문완료")+SUMIFS(실시간콜입력!$L:$L,실시간콜입력!$B:$B,$A1434,실시간콜입력!$H:$H,$B1434,실시간콜입력!$O:$O,"방문완료")</f>
        <v>0</v>
      </c>
      <c r="M1434" s="29" t="str">
        <f t="shared" si="192"/>
        <v/>
      </c>
      <c r="N1434" s="29"/>
    </row>
    <row r="1435" spans="1:14" ht="19.5" hidden="1" customHeight="1" outlineLevel="1">
      <c r="A1435" s="24">
        <f>IF(28&lt;=DAY(DATE(YEAR(설정_코스수당!$K$2),MONTH(설정_코스수당!$K$2)+1,0)),DATE(YEAR(설정_코스수당!$K$2),MONTH(설정_코스수당!$K$2),28),"")</f>
        <v>46201</v>
      </c>
      <c r="B1435" s="23" t="s">
        <v>187</v>
      </c>
      <c r="C1435" s="29"/>
      <c r="D1435" s="29"/>
      <c r="E1435" s="29" t="str">
        <f t="shared" si="190"/>
        <v/>
      </c>
      <c r="F1435" s="29">
        <f>COUNTIFS(실시간콜입력!$B:$B,$A1435,실시간콜입력!$E:$E,"A",실시간콜입력!$G:$G,$B1435,실시간콜입력!$O:$O,"방문완료")+COUNTIFS(실시간콜입력!$B:$B,$A1435,실시간콜입력!$E:$E,"A",실시간콜입력!$H:$H,$B1435,실시간콜입력!$O:$O,"방문완료")</f>
        <v>0</v>
      </c>
      <c r="G1435" s="29">
        <f>COUNTIFS(실시간콜입력!$B:$B,$A1435,실시간콜입력!$E:$E,"B",실시간콜입력!$G:$G,$B1435,실시간콜입력!$O:$O,"방문완료")+COUNTIFS(실시간콜입력!$B:$B,$A1435,실시간콜입력!$E:$E,"B",실시간콜입력!$H:$H,$B1435,실시간콜입력!$O:$O,"방문완료")</f>
        <v>0</v>
      </c>
      <c r="H1435" s="29">
        <f>COUNTIFS(실시간콜입력!$B:$B,$A1435,실시간콜입력!$E:$E,"C",실시간콜입력!$G:$G,$B1435,실시간콜입력!$O:$O,"방문완료")+COUNTIFS(실시간콜입력!$B:$B,$A1435,실시간콜입력!$E:$E,"C",실시간콜입력!$H:$H,$B1435,실시간콜입력!$O:$O,"방문완료")</f>
        <v>0</v>
      </c>
      <c r="I1435" s="29">
        <f>COUNTIFS(실시간콜입력!$B:$B,$A1435,실시간콜입력!$E:$E,"D",실시간콜입력!$G:$G,$B1435,실시간콜입력!$O:$O,"방문완료")+COUNTIFS(실시간콜입력!$B:$B,$A1435,실시간콜입력!$E:$E,"D",실시간콜입력!$H:$H,$B1435,실시간콜입력!$O:$O,"방문완료")</f>
        <v>0</v>
      </c>
      <c r="J1435" s="29">
        <f>COUNTIFS(실시간콜입력!$B:$B,$A1435,실시간콜입력!$E:$E,"E",실시간콜입력!$G:$G,$B1435,실시간콜입력!$O:$O,"방문완료")+COUNTIFS(실시간콜입력!$B:$B,$A1435,실시간콜입력!$E:$E,"E",실시간콜입력!$H:$H,$B1435,실시간콜입력!$O:$O,"방문완료")</f>
        <v>0</v>
      </c>
      <c r="K1435" s="29">
        <f t="shared" si="191"/>
        <v>0</v>
      </c>
      <c r="L1435" s="27">
        <f>SUMIFS(실시간콜입력!$K:$K,실시간콜입력!$B:$B,$A1435,실시간콜입력!$G:$G,$B1435,실시간콜입력!$O:$O,"방문완료")+SUMIFS(실시간콜입력!$L:$L,실시간콜입력!$B:$B,$A1435,실시간콜입력!$H:$H,$B1435,실시간콜입력!$O:$O,"방문완료")</f>
        <v>0</v>
      </c>
      <c r="M1435" s="29" t="str">
        <f t="shared" si="192"/>
        <v/>
      </c>
      <c r="N1435" s="29"/>
    </row>
    <row r="1436" spans="1:14" ht="19.5" hidden="1" customHeight="1" outlineLevel="1">
      <c r="A1436" s="30">
        <f>IF(28&lt;=DAY(DATE(YEAR(설정_코스수당!$K$2),MONTH(설정_코스수당!$K$2)+1,0)),DATE(YEAR(설정_코스수당!$K$2),MONTH(설정_코스수당!$K$2),28),"")</f>
        <v>46201</v>
      </c>
      <c r="B1436" s="29" t="s">
        <v>188</v>
      </c>
      <c r="C1436" s="29"/>
      <c r="D1436" s="29"/>
      <c r="E1436" s="29" t="str">
        <f t="shared" si="190"/>
        <v/>
      </c>
      <c r="F1436" s="29">
        <f>COUNTIFS(실시간콜입력!$B:$B,$A1436,실시간콜입력!$E:$E,"A",실시간콜입력!$G:$G,$B1436,실시간콜입력!$O:$O,"방문완료")+COUNTIFS(실시간콜입력!$B:$B,$A1436,실시간콜입력!$E:$E,"A",실시간콜입력!$H:$H,$B1436,실시간콜입력!$O:$O,"방문완료")</f>
        <v>0</v>
      </c>
      <c r="G1436" s="29">
        <f>COUNTIFS(실시간콜입력!$B:$B,$A1436,실시간콜입력!$E:$E,"B",실시간콜입력!$G:$G,$B1436,실시간콜입력!$O:$O,"방문완료")+COUNTIFS(실시간콜입력!$B:$B,$A1436,실시간콜입력!$E:$E,"B",실시간콜입력!$H:$H,$B1436,실시간콜입력!$O:$O,"방문완료")</f>
        <v>0</v>
      </c>
      <c r="H1436" s="29">
        <f>COUNTIFS(실시간콜입력!$B:$B,$A1436,실시간콜입력!$E:$E,"C",실시간콜입력!$G:$G,$B1436,실시간콜입력!$O:$O,"방문완료")+COUNTIFS(실시간콜입력!$B:$B,$A1436,실시간콜입력!$E:$E,"C",실시간콜입력!$H:$H,$B1436,실시간콜입력!$O:$O,"방문완료")</f>
        <v>0</v>
      </c>
      <c r="I1436" s="29">
        <f>COUNTIFS(실시간콜입력!$B:$B,$A1436,실시간콜입력!$E:$E,"D",실시간콜입력!$G:$G,$B1436,실시간콜입력!$O:$O,"방문완료")+COUNTIFS(실시간콜입력!$B:$B,$A1436,실시간콜입력!$E:$E,"D",실시간콜입력!$H:$H,$B1436,실시간콜입력!$O:$O,"방문완료")</f>
        <v>0</v>
      </c>
      <c r="J1436" s="29">
        <f>COUNTIFS(실시간콜입력!$B:$B,$A1436,실시간콜입력!$E:$E,"E",실시간콜입력!$G:$G,$B1436,실시간콜입력!$O:$O,"방문완료")+COUNTIFS(실시간콜입력!$B:$B,$A1436,실시간콜입력!$E:$E,"E",실시간콜입력!$H:$H,$B1436,실시간콜입력!$O:$O,"방문완료")</f>
        <v>0</v>
      </c>
      <c r="K1436" s="29">
        <f t="shared" si="191"/>
        <v>0</v>
      </c>
      <c r="L1436" s="33">
        <f>SUMIFS(실시간콜입력!$K:$K,실시간콜입력!$B:$B,$A1436,실시간콜입력!$G:$G,$B1436,실시간콜입력!$O:$O,"방문완료")+SUMIFS(실시간콜입력!$L:$L,실시간콜입력!$B:$B,$A1436,실시간콜입력!$H:$H,$B1436,실시간콜입력!$O:$O,"방문완료")</f>
        <v>0</v>
      </c>
      <c r="M1436" s="29" t="str">
        <f t="shared" si="192"/>
        <v/>
      </c>
      <c r="N1436" s="29"/>
    </row>
    <row r="1437" spans="1:14" ht="19.5" hidden="1" customHeight="1" outlineLevel="1">
      <c r="A1437" s="24">
        <f>IF(28&lt;=DAY(DATE(YEAR(설정_코스수당!$K$2),MONTH(설정_코스수당!$K$2)+1,0)),DATE(YEAR(설정_코스수당!$K$2),MONTH(설정_코스수당!$K$2),28),"")</f>
        <v>46201</v>
      </c>
      <c r="B1437" s="23" t="s">
        <v>189</v>
      </c>
      <c r="C1437" s="29"/>
      <c r="D1437" s="29"/>
      <c r="E1437" s="29" t="str">
        <f t="shared" si="190"/>
        <v/>
      </c>
      <c r="F1437" s="29">
        <f>COUNTIFS(실시간콜입력!$B:$B,$A1437,실시간콜입력!$E:$E,"A",실시간콜입력!$G:$G,$B1437,실시간콜입력!$O:$O,"방문완료")+COUNTIFS(실시간콜입력!$B:$B,$A1437,실시간콜입력!$E:$E,"A",실시간콜입력!$H:$H,$B1437,실시간콜입력!$O:$O,"방문완료")</f>
        <v>0</v>
      </c>
      <c r="G1437" s="29">
        <f>COUNTIFS(실시간콜입력!$B:$B,$A1437,실시간콜입력!$E:$E,"B",실시간콜입력!$G:$G,$B1437,실시간콜입력!$O:$O,"방문완료")+COUNTIFS(실시간콜입력!$B:$B,$A1437,실시간콜입력!$E:$E,"B",실시간콜입력!$H:$H,$B1437,실시간콜입력!$O:$O,"방문완료")</f>
        <v>0</v>
      </c>
      <c r="H1437" s="29">
        <f>COUNTIFS(실시간콜입력!$B:$B,$A1437,실시간콜입력!$E:$E,"C",실시간콜입력!$G:$G,$B1437,실시간콜입력!$O:$O,"방문완료")+COUNTIFS(실시간콜입력!$B:$B,$A1437,실시간콜입력!$E:$E,"C",실시간콜입력!$H:$H,$B1437,실시간콜입력!$O:$O,"방문완료")</f>
        <v>0</v>
      </c>
      <c r="I1437" s="29">
        <f>COUNTIFS(실시간콜입력!$B:$B,$A1437,실시간콜입력!$E:$E,"D",실시간콜입력!$G:$G,$B1437,실시간콜입력!$O:$O,"방문완료")+COUNTIFS(실시간콜입력!$B:$B,$A1437,실시간콜입력!$E:$E,"D",실시간콜입력!$H:$H,$B1437,실시간콜입력!$O:$O,"방문완료")</f>
        <v>0</v>
      </c>
      <c r="J1437" s="29">
        <f>COUNTIFS(실시간콜입력!$B:$B,$A1437,실시간콜입력!$E:$E,"E",실시간콜입력!$G:$G,$B1437,실시간콜입력!$O:$O,"방문완료")+COUNTIFS(실시간콜입력!$B:$B,$A1437,실시간콜입력!$E:$E,"E",실시간콜입력!$H:$H,$B1437,실시간콜입력!$O:$O,"방문완료")</f>
        <v>0</v>
      </c>
      <c r="K1437" s="29">
        <f t="shared" si="191"/>
        <v>0</v>
      </c>
      <c r="L1437" s="27">
        <f>SUMIFS(실시간콜입력!$K:$K,실시간콜입력!$B:$B,$A1437,실시간콜입력!$G:$G,$B1437,실시간콜입력!$O:$O,"방문완료")+SUMIFS(실시간콜입력!$L:$L,실시간콜입력!$B:$B,$A1437,실시간콜입력!$H:$H,$B1437,실시간콜입력!$O:$O,"방문완료")</f>
        <v>0</v>
      </c>
      <c r="M1437" s="29" t="str">
        <f t="shared" si="192"/>
        <v/>
      </c>
      <c r="N1437" s="29"/>
    </row>
    <row r="1438" spans="1:14" ht="19.5" hidden="1" customHeight="1" outlineLevel="1">
      <c r="A1438" s="30">
        <f>IF(28&lt;=DAY(DATE(YEAR(설정_코스수당!$K$2),MONTH(설정_코스수당!$K$2)+1,0)),DATE(YEAR(설정_코스수당!$K$2),MONTH(설정_코스수당!$K$2),28),"")</f>
        <v>46201</v>
      </c>
      <c r="B1438" s="29" t="s">
        <v>190</v>
      </c>
      <c r="C1438" s="29"/>
      <c r="D1438" s="29"/>
      <c r="E1438" s="29" t="str">
        <f t="shared" si="190"/>
        <v/>
      </c>
      <c r="F1438" s="29">
        <f>COUNTIFS(실시간콜입력!$B:$B,$A1438,실시간콜입력!$E:$E,"A",실시간콜입력!$G:$G,$B1438,실시간콜입력!$O:$O,"방문완료")+COUNTIFS(실시간콜입력!$B:$B,$A1438,실시간콜입력!$E:$E,"A",실시간콜입력!$H:$H,$B1438,실시간콜입력!$O:$O,"방문완료")</f>
        <v>0</v>
      </c>
      <c r="G1438" s="29">
        <f>COUNTIFS(실시간콜입력!$B:$B,$A1438,실시간콜입력!$E:$E,"B",실시간콜입력!$G:$G,$B1438,실시간콜입력!$O:$O,"방문완료")+COUNTIFS(실시간콜입력!$B:$B,$A1438,실시간콜입력!$E:$E,"B",실시간콜입력!$H:$H,$B1438,실시간콜입력!$O:$O,"방문완료")</f>
        <v>0</v>
      </c>
      <c r="H1438" s="29">
        <f>COUNTIFS(실시간콜입력!$B:$B,$A1438,실시간콜입력!$E:$E,"C",실시간콜입력!$G:$G,$B1438,실시간콜입력!$O:$O,"방문완료")+COUNTIFS(실시간콜입력!$B:$B,$A1438,실시간콜입력!$E:$E,"C",실시간콜입력!$H:$H,$B1438,실시간콜입력!$O:$O,"방문완료")</f>
        <v>0</v>
      </c>
      <c r="I1438" s="29">
        <f>COUNTIFS(실시간콜입력!$B:$B,$A1438,실시간콜입력!$E:$E,"D",실시간콜입력!$G:$G,$B1438,실시간콜입력!$O:$O,"방문완료")+COUNTIFS(실시간콜입력!$B:$B,$A1438,실시간콜입력!$E:$E,"D",실시간콜입력!$H:$H,$B1438,실시간콜입력!$O:$O,"방문완료")</f>
        <v>0</v>
      </c>
      <c r="J1438" s="29">
        <f>COUNTIFS(실시간콜입력!$B:$B,$A1438,실시간콜입력!$E:$E,"E",실시간콜입력!$G:$G,$B1438,실시간콜입력!$O:$O,"방문완료")+COUNTIFS(실시간콜입력!$B:$B,$A1438,실시간콜입력!$E:$E,"E",실시간콜입력!$H:$H,$B1438,실시간콜입력!$O:$O,"방문완료")</f>
        <v>0</v>
      </c>
      <c r="K1438" s="29">
        <f t="shared" si="191"/>
        <v>0</v>
      </c>
      <c r="L1438" s="33">
        <f>SUMIFS(실시간콜입력!$K:$K,실시간콜입력!$B:$B,$A1438,실시간콜입력!$G:$G,$B1438,실시간콜입력!$O:$O,"방문완료")+SUMIFS(실시간콜입력!$L:$L,실시간콜입력!$B:$B,$A1438,실시간콜입력!$H:$H,$B1438,실시간콜입력!$O:$O,"방문완료")</f>
        <v>0</v>
      </c>
      <c r="M1438" s="29" t="str">
        <f t="shared" si="192"/>
        <v/>
      </c>
      <c r="N1438" s="29"/>
    </row>
    <row r="1439" spans="1:14" ht="19.5" hidden="1" customHeight="1" outlineLevel="1">
      <c r="A1439" s="24">
        <f>IF(28&lt;=DAY(DATE(YEAR(설정_코스수당!$K$2),MONTH(설정_코스수당!$K$2)+1,0)),DATE(YEAR(설정_코스수당!$K$2),MONTH(설정_코스수당!$K$2),28),"")</f>
        <v>46201</v>
      </c>
      <c r="B1439" s="23" t="s">
        <v>191</v>
      </c>
      <c r="C1439" s="29"/>
      <c r="D1439" s="29"/>
      <c r="E1439" s="29" t="str">
        <f t="shared" si="190"/>
        <v/>
      </c>
      <c r="F1439" s="29">
        <f>COUNTIFS(실시간콜입력!$B:$B,$A1439,실시간콜입력!$E:$E,"A",실시간콜입력!$G:$G,$B1439,실시간콜입력!$O:$O,"방문완료")+COUNTIFS(실시간콜입력!$B:$B,$A1439,실시간콜입력!$E:$E,"A",실시간콜입력!$H:$H,$B1439,실시간콜입력!$O:$O,"방문완료")</f>
        <v>0</v>
      </c>
      <c r="G1439" s="29">
        <f>COUNTIFS(실시간콜입력!$B:$B,$A1439,실시간콜입력!$E:$E,"B",실시간콜입력!$G:$G,$B1439,실시간콜입력!$O:$O,"방문완료")+COUNTIFS(실시간콜입력!$B:$B,$A1439,실시간콜입력!$E:$E,"B",실시간콜입력!$H:$H,$B1439,실시간콜입력!$O:$O,"방문완료")</f>
        <v>0</v>
      </c>
      <c r="H1439" s="29">
        <f>COUNTIFS(실시간콜입력!$B:$B,$A1439,실시간콜입력!$E:$E,"C",실시간콜입력!$G:$G,$B1439,실시간콜입력!$O:$O,"방문완료")+COUNTIFS(실시간콜입력!$B:$B,$A1439,실시간콜입력!$E:$E,"C",실시간콜입력!$H:$H,$B1439,실시간콜입력!$O:$O,"방문완료")</f>
        <v>0</v>
      </c>
      <c r="I1439" s="29">
        <f>COUNTIFS(실시간콜입력!$B:$B,$A1439,실시간콜입력!$E:$E,"D",실시간콜입력!$G:$G,$B1439,실시간콜입력!$O:$O,"방문완료")+COUNTIFS(실시간콜입력!$B:$B,$A1439,실시간콜입력!$E:$E,"D",실시간콜입력!$H:$H,$B1439,실시간콜입력!$O:$O,"방문완료")</f>
        <v>0</v>
      </c>
      <c r="J1439" s="29">
        <f>COUNTIFS(실시간콜입력!$B:$B,$A1439,실시간콜입력!$E:$E,"E",실시간콜입력!$G:$G,$B1439,실시간콜입력!$O:$O,"방문완료")+COUNTIFS(실시간콜입력!$B:$B,$A1439,실시간콜입력!$E:$E,"E",실시간콜입력!$H:$H,$B1439,실시간콜입력!$O:$O,"방문완료")</f>
        <v>0</v>
      </c>
      <c r="K1439" s="29">
        <f t="shared" si="191"/>
        <v>0</v>
      </c>
      <c r="L1439" s="27">
        <f>SUMIFS(실시간콜입력!$K:$K,실시간콜입력!$B:$B,$A1439,실시간콜입력!$G:$G,$B1439,실시간콜입력!$O:$O,"방문완료")+SUMIFS(실시간콜입력!$L:$L,실시간콜입력!$B:$B,$A1439,실시간콜입력!$H:$H,$B1439,실시간콜입력!$O:$O,"방문완료")</f>
        <v>0</v>
      </c>
      <c r="M1439" s="29" t="str">
        <f t="shared" si="192"/>
        <v/>
      </c>
      <c r="N1439" s="29"/>
    </row>
    <row r="1440" spans="1:14" ht="19.5" hidden="1" customHeight="1" outlineLevel="1">
      <c r="A1440" s="30">
        <f>IF(28&lt;=DAY(DATE(YEAR(설정_코스수당!$K$2),MONTH(설정_코스수당!$K$2)+1,0)),DATE(YEAR(설정_코스수당!$K$2),MONTH(설정_코스수당!$K$2),28),"")</f>
        <v>46201</v>
      </c>
      <c r="B1440" s="29" t="s">
        <v>192</v>
      </c>
      <c r="C1440" s="29"/>
      <c r="D1440" s="29"/>
      <c r="E1440" s="29" t="str">
        <f t="shared" si="190"/>
        <v/>
      </c>
      <c r="F1440" s="29">
        <f>COUNTIFS(실시간콜입력!$B:$B,$A1440,실시간콜입력!$E:$E,"A",실시간콜입력!$G:$G,$B1440,실시간콜입력!$O:$O,"방문완료")+COUNTIFS(실시간콜입력!$B:$B,$A1440,실시간콜입력!$E:$E,"A",실시간콜입력!$H:$H,$B1440,실시간콜입력!$O:$O,"방문완료")</f>
        <v>0</v>
      </c>
      <c r="G1440" s="29">
        <f>COUNTIFS(실시간콜입력!$B:$B,$A1440,실시간콜입력!$E:$E,"B",실시간콜입력!$G:$G,$B1440,실시간콜입력!$O:$O,"방문완료")+COUNTIFS(실시간콜입력!$B:$B,$A1440,실시간콜입력!$E:$E,"B",실시간콜입력!$H:$H,$B1440,실시간콜입력!$O:$O,"방문완료")</f>
        <v>0</v>
      </c>
      <c r="H1440" s="29">
        <f>COUNTIFS(실시간콜입력!$B:$B,$A1440,실시간콜입력!$E:$E,"C",실시간콜입력!$G:$G,$B1440,실시간콜입력!$O:$O,"방문완료")+COUNTIFS(실시간콜입력!$B:$B,$A1440,실시간콜입력!$E:$E,"C",실시간콜입력!$H:$H,$B1440,실시간콜입력!$O:$O,"방문완료")</f>
        <v>0</v>
      </c>
      <c r="I1440" s="29">
        <f>COUNTIFS(실시간콜입력!$B:$B,$A1440,실시간콜입력!$E:$E,"D",실시간콜입력!$G:$G,$B1440,실시간콜입력!$O:$O,"방문완료")+COUNTIFS(실시간콜입력!$B:$B,$A1440,실시간콜입력!$E:$E,"D",실시간콜입력!$H:$H,$B1440,실시간콜입력!$O:$O,"방문완료")</f>
        <v>0</v>
      </c>
      <c r="J1440" s="29">
        <f>COUNTIFS(실시간콜입력!$B:$B,$A1440,실시간콜입력!$E:$E,"E",실시간콜입력!$G:$G,$B1440,실시간콜입력!$O:$O,"방문완료")+COUNTIFS(실시간콜입력!$B:$B,$A1440,실시간콜입력!$E:$E,"E",실시간콜입력!$H:$H,$B1440,실시간콜입력!$O:$O,"방문완료")</f>
        <v>0</v>
      </c>
      <c r="K1440" s="29">
        <f t="shared" si="191"/>
        <v>0</v>
      </c>
      <c r="L1440" s="33">
        <f>SUMIFS(실시간콜입력!$K:$K,실시간콜입력!$B:$B,$A1440,실시간콜입력!$G:$G,$B1440,실시간콜입력!$O:$O,"방문완료")+SUMIFS(실시간콜입력!$L:$L,실시간콜입력!$B:$B,$A1440,실시간콜입력!$H:$H,$B1440,실시간콜입력!$O:$O,"방문완료")</f>
        <v>0</v>
      </c>
      <c r="M1440" s="29" t="str">
        <f t="shared" si="192"/>
        <v/>
      </c>
      <c r="N1440" s="29"/>
    </row>
    <row r="1441" spans="1:14" ht="19.5" hidden="1" customHeight="1" outlineLevel="1">
      <c r="A1441" s="24">
        <f>IF(28&lt;=DAY(DATE(YEAR(설정_코스수당!$K$2),MONTH(설정_코스수당!$K$2)+1,0)),DATE(YEAR(설정_코스수당!$K$2),MONTH(설정_코스수당!$K$2),28),"")</f>
        <v>46201</v>
      </c>
      <c r="B1441" s="23" t="s">
        <v>193</v>
      </c>
      <c r="C1441" s="29"/>
      <c r="D1441" s="29"/>
      <c r="E1441" s="29" t="str">
        <f t="shared" si="190"/>
        <v/>
      </c>
      <c r="F1441" s="29">
        <f>COUNTIFS(실시간콜입력!$B:$B,$A1441,실시간콜입력!$E:$E,"A",실시간콜입력!$G:$G,$B1441,실시간콜입력!$O:$O,"방문완료")+COUNTIFS(실시간콜입력!$B:$B,$A1441,실시간콜입력!$E:$E,"A",실시간콜입력!$H:$H,$B1441,실시간콜입력!$O:$O,"방문완료")</f>
        <v>0</v>
      </c>
      <c r="G1441" s="29">
        <f>COUNTIFS(실시간콜입력!$B:$B,$A1441,실시간콜입력!$E:$E,"B",실시간콜입력!$G:$G,$B1441,실시간콜입력!$O:$O,"방문완료")+COUNTIFS(실시간콜입력!$B:$B,$A1441,실시간콜입력!$E:$E,"B",실시간콜입력!$H:$H,$B1441,실시간콜입력!$O:$O,"방문완료")</f>
        <v>0</v>
      </c>
      <c r="H1441" s="29">
        <f>COUNTIFS(실시간콜입력!$B:$B,$A1441,실시간콜입력!$E:$E,"C",실시간콜입력!$G:$G,$B1441,실시간콜입력!$O:$O,"방문완료")+COUNTIFS(실시간콜입력!$B:$B,$A1441,실시간콜입력!$E:$E,"C",실시간콜입력!$H:$H,$B1441,실시간콜입력!$O:$O,"방문완료")</f>
        <v>0</v>
      </c>
      <c r="I1441" s="29">
        <f>COUNTIFS(실시간콜입력!$B:$B,$A1441,실시간콜입력!$E:$E,"D",실시간콜입력!$G:$G,$B1441,실시간콜입력!$O:$O,"방문완료")+COUNTIFS(실시간콜입력!$B:$B,$A1441,실시간콜입력!$E:$E,"D",실시간콜입력!$H:$H,$B1441,실시간콜입력!$O:$O,"방문완료")</f>
        <v>0</v>
      </c>
      <c r="J1441" s="29">
        <f>COUNTIFS(실시간콜입력!$B:$B,$A1441,실시간콜입력!$E:$E,"E",실시간콜입력!$G:$G,$B1441,실시간콜입력!$O:$O,"방문완료")+COUNTIFS(실시간콜입력!$B:$B,$A1441,실시간콜입력!$E:$E,"E",실시간콜입력!$H:$H,$B1441,실시간콜입력!$O:$O,"방문완료")</f>
        <v>0</v>
      </c>
      <c r="K1441" s="29">
        <f t="shared" si="191"/>
        <v>0</v>
      </c>
      <c r="L1441" s="27">
        <f>SUMIFS(실시간콜입력!$K:$K,실시간콜입력!$B:$B,$A1441,실시간콜입력!$G:$G,$B1441,실시간콜입력!$O:$O,"방문완료")+SUMIFS(실시간콜입력!$L:$L,실시간콜입력!$B:$B,$A1441,실시간콜입력!$H:$H,$B1441,실시간콜입력!$O:$O,"방문완료")</f>
        <v>0</v>
      </c>
      <c r="M1441" s="29" t="str">
        <f t="shared" si="192"/>
        <v/>
      </c>
      <c r="N1441" s="29"/>
    </row>
    <row r="1442" spans="1:14" ht="19.5" hidden="1" customHeight="1" outlineLevel="1">
      <c r="A1442" s="30">
        <f>IF(28&lt;=DAY(DATE(YEAR(설정_코스수당!$K$2),MONTH(설정_코스수당!$K$2)+1,0)),DATE(YEAR(설정_코스수당!$K$2),MONTH(설정_코스수당!$K$2),28),"")</f>
        <v>46201</v>
      </c>
      <c r="B1442" s="29" t="s">
        <v>194</v>
      </c>
      <c r="C1442" s="29"/>
      <c r="D1442" s="29"/>
      <c r="E1442" s="29" t="str">
        <f t="shared" si="190"/>
        <v/>
      </c>
      <c r="F1442" s="29">
        <f>COUNTIFS(실시간콜입력!$B:$B,$A1442,실시간콜입력!$E:$E,"A",실시간콜입력!$G:$G,$B1442,실시간콜입력!$O:$O,"방문완료")+COUNTIFS(실시간콜입력!$B:$B,$A1442,실시간콜입력!$E:$E,"A",실시간콜입력!$H:$H,$B1442,실시간콜입력!$O:$O,"방문완료")</f>
        <v>0</v>
      </c>
      <c r="G1442" s="29">
        <f>COUNTIFS(실시간콜입력!$B:$B,$A1442,실시간콜입력!$E:$E,"B",실시간콜입력!$G:$G,$B1442,실시간콜입력!$O:$O,"방문완료")+COUNTIFS(실시간콜입력!$B:$B,$A1442,실시간콜입력!$E:$E,"B",실시간콜입력!$H:$H,$B1442,실시간콜입력!$O:$O,"방문완료")</f>
        <v>0</v>
      </c>
      <c r="H1442" s="29">
        <f>COUNTIFS(실시간콜입력!$B:$B,$A1442,실시간콜입력!$E:$E,"C",실시간콜입력!$G:$G,$B1442,실시간콜입력!$O:$O,"방문완료")+COUNTIFS(실시간콜입력!$B:$B,$A1442,실시간콜입력!$E:$E,"C",실시간콜입력!$H:$H,$B1442,실시간콜입력!$O:$O,"방문완료")</f>
        <v>0</v>
      </c>
      <c r="I1442" s="29">
        <f>COUNTIFS(실시간콜입력!$B:$B,$A1442,실시간콜입력!$E:$E,"D",실시간콜입력!$G:$G,$B1442,실시간콜입력!$O:$O,"방문완료")+COUNTIFS(실시간콜입력!$B:$B,$A1442,실시간콜입력!$E:$E,"D",실시간콜입력!$H:$H,$B1442,실시간콜입력!$O:$O,"방문완료")</f>
        <v>0</v>
      </c>
      <c r="J1442" s="29">
        <f>COUNTIFS(실시간콜입력!$B:$B,$A1442,실시간콜입력!$E:$E,"E",실시간콜입력!$G:$G,$B1442,실시간콜입력!$O:$O,"방문완료")+COUNTIFS(실시간콜입력!$B:$B,$A1442,실시간콜입력!$E:$E,"E",실시간콜입력!$H:$H,$B1442,실시간콜입력!$O:$O,"방문완료")</f>
        <v>0</v>
      </c>
      <c r="K1442" s="29">
        <f t="shared" si="191"/>
        <v>0</v>
      </c>
      <c r="L1442" s="33">
        <f>SUMIFS(실시간콜입력!$K:$K,실시간콜입력!$B:$B,$A1442,실시간콜입력!$G:$G,$B1442,실시간콜입력!$O:$O,"방문완료")+SUMIFS(실시간콜입력!$L:$L,실시간콜입력!$B:$B,$A1442,실시간콜입력!$H:$H,$B1442,실시간콜입력!$O:$O,"방문완료")</f>
        <v>0</v>
      </c>
      <c r="M1442" s="29" t="str">
        <f t="shared" si="192"/>
        <v/>
      </c>
      <c r="N1442" s="29"/>
    </row>
    <row r="1443" spans="1:14" ht="19.5" hidden="1" customHeight="1" outlineLevel="1">
      <c r="A1443" s="24">
        <f>IF(28&lt;=DAY(DATE(YEAR(설정_코스수당!$K$2),MONTH(설정_코스수당!$K$2)+1,0)),DATE(YEAR(설정_코스수당!$K$2),MONTH(설정_코스수당!$K$2),28),"")</f>
        <v>46201</v>
      </c>
      <c r="B1443" s="23" t="s">
        <v>195</v>
      </c>
      <c r="C1443" s="29"/>
      <c r="D1443" s="29"/>
      <c r="E1443" s="29" t="str">
        <f t="shared" ref="E1443:E1474" si="193">IF(AND(C1443&lt;&gt;"",D1443&lt;&gt;""),IF(D1443&lt;C1443,D1443+1-C1443,D1443-C1443)*24,"")</f>
        <v/>
      </c>
      <c r="F1443" s="29">
        <f>COUNTIFS(실시간콜입력!$B:$B,$A1443,실시간콜입력!$E:$E,"A",실시간콜입력!$G:$G,$B1443,실시간콜입력!$O:$O,"방문완료")+COUNTIFS(실시간콜입력!$B:$B,$A1443,실시간콜입력!$E:$E,"A",실시간콜입력!$H:$H,$B1443,실시간콜입력!$O:$O,"방문완료")</f>
        <v>0</v>
      </c>
      <c r="G1443" s="29">
        <f>COUNTIFS(실시간콜입력!$B:$B,$A1443,실시간콜입력!$E:$E,"B",실시간콜입력!$G:$G,$B1443,실시간콜입력!$O:$O,"방문완료")+COUNTIFS(실시간콜입력!$B:$B,$A1443,실시간콜입력!$E:$E,"B",실시간콜입력!$H:$H,$B1443,실시간콜입력!$O:$O,"방문완료")</f>
        <v>0</v>
      </c>
      <c r="H1443" s="29">
        <f>COUNTIFS(실시간콜입력!$B:$B,$A1443,실시간콜입력!$E:$E,"C",실시간콜입력!$G:$G,$B1443,실시간콜입력!$O:$O,"방문완료")+COUNTIFS(실시간콜입력!$B:$B,$A1443,실시간콜입력!$E:$E,"C",실시간콜입력!$H:$H,$B1443,실시간콜입력!$O:$O,"방문완료")</f>
        <v>0</v>
      </c>
      <c r="I1443" s="29">
        <f>COUNTIFS(실시간콜입력!$B:$B,$A1443,실시간콜입력!$E:$E,"D",실시간콜입력!$G:$G,$B1443,실시간콜입력!$O:$O,"방문완료")+COUNTIFS(실시간콜입력!$B:$B,$A1443,실시간콜입력!$E:$E,"D",실시간콜입력!$H:$H,$B1443,실시간콜입력!$O:$O,"방문완료")</f>
        <v>0</v>
      </c>
      <c r="J1443" s="29">
        <f>COUNTIFS(실시간콜입력!$B:$B,$A1443,실시간콜입력!$E:$E,"E",실시간콜입력!$G:$G,$B1443,실시간콜입력!$O:$O,"방문완료")+COUNTIFS(실시간콜입력!$B:$B,$A1443,실시간콜입력!$E:$E,"E",실시간콜입력!$H:$H,$B1443,실시간콜입력!$O:$O,"방문완료")</f>
        <v>0</v>
      </c>
      <c r="K1443" s="29">
        <f t="shared" ref="K1443:K1474" si="194">SUM(F1443:J1443)</f>
        <v>0</v>
      </c>
      <c r="L1443" s="27">
        <f>SUMIFS(실시간콜입력!$K:$K,실시간콜입력!$B:$B,$A1443,실시간콜입력!$G:$G,$B1443,실시간콜입력!$O:$O,"방문완료")+SUMIFS(실시간콜입력!$L:$L,실시간콜입력!$B:$B,$A1443,실시간콜입력!$H:$H,$B1443,실시간콜입력!$O:$O,"방문완료")</f>
        <v>0</v>
      </c>
      <c r="M1443" s="29" t="str">
        <f t="shared" ref="M1443:M1460" si="195">IF(AND(ISNUMBER(E1443),E1443&gt;=8),"인정","")</f>
        <v/>
      </c>
      <c r="N1443" s="29"/>
    </row>
    <row r="1444" spans="1:14" ht="19.5" hidden="1" customHeight="1" outlineLevel="1">
      <c r="A1444" s="30">
        <f>IF(28&lt;=DAY(DATE(YEAR(설정_코스수당!$K$2),MONTH(설정_코스수당!$K$2)+1,0)),DATE(YEAR(설정_코스수당!$K$2),MONTH(설정_코스수당!$K$2),28),"")</f>
        <v>46201</v>
      </c>
      <c r="B1444" s="29" t="s">
        <v>196</v>
      </c>
      <c r="C1444" s="29"/>
      <c r="D1444" s="29"/>
      <c r="E1444" s="29" t="str">
        <f t="shared" si="193"/>
        <v/>
      </c>
      <c r="F1444" s="29">
        <f>COUNTIFS(실시간콜입력!$B:$B,$A1444,실시간콜입력!$E:$E,"A",실시간콜입력!$G:$G,$B1444,실시간콜입력!$O:$O,"방문완료")+COUNTIFS(실시간콜입력!$B:$B,$A1444,실시간콜입력!$E:$E,"A",실시간콜입력!$H:$H,$B1444,실시간콜입력!$O:$O,"방문완료")</f>
        <v>0</v>
      </c>
      <c r="G1444" s="29">
        <f>COUNTIFS(실시간콜입력!$B:$B,$A1444,실시간콜입력!$E:$E,"B",실시간콜입력!$G:$G,$B1444,실시간콜입력!$O:$O,"방문완료")+COUNTIFS(실시간콜입력!$B:$B,$A1444,실시간콜입력!$E:$E,"B",실시간콜입력!$H:$H,$B1444,실시간콜입력!$O:$O,"방문완료")</f>
        <v>0</v>
      </c>
      <c r="H1444" s="29">
        <f>COUNTIFS(실시간콜입력!$B:$B,$A1444,실시간콜입력!$E:$E,"C",실시간콜입력!$G:$G,$B1444,실시간콜입력!$O:$O,"방문완료")+COUNTIFS(실시간콜입력!$B:$B,$A1444,실시간콜입력!$E:$E,"C",실시간콜입력!$H:$H,$B1444,실시간콜입력!$O:$O,"방문완료")</f>
        <v>0</v>
      </c>
      <c r="I1444" s="29">
        <f>COUNTIFS(실시간콜입력!$B:$B,$A1444,실시간콜입력!$E:$E,"D",실시간콜입력!$G:$G,$B1444,실시간콜입력!$O:$O,"방문완료")+COUNTIFS(실시간콜입력!$B:$B,$A1444,실시간콜입력!$E:$E,"D",실시간콜입력!$H:$H,$B1444,실시간콜입력!$O:$O,"방문완료")</f>
        <v>0</v>
      </c>
      <c r="J1444" s="29">
        <f>COUNTIFS(실시간콜입력!$B:$B,$A1444,실시간콜입력!$E:$E,"E",실시간콜입력!$G:$G,$B1444,실시간콜입력!$O:$O,"방문완료")+COUNTIFS(실시간콜입력!$B:$B,$A1444,실시간콜입력!$E:$E,"E",실시간콜입력!$H:$H,$B1444,실시간콜입력!$O:$O,"방문완료")</f>
        <v>0</v>
      </c>
      <c r="K1444" s="29">
        <f t="shared" si="194"/>
        <v>0</v>
      </c>
      <c r="L1444" s="33">
        <f>SUMIFS(실시간콜입력!$K:$K,실시간콜입력!$B:$B,$A1444,실시간콜입력!$G:$G,$B1444,실시간콜입력!$O:$O,"방문완료")+SUMIFS(실시간콜입력!$L:$L,실시간콜입력!$B:$B,$A1444,실시간콜입력!$H:$H,$B1444,실시간콜입력!$O:$O,"방문완료")</f>
        <v>0</v>
      </c>
      <c r="M1444" s="29" t="str">
        <f t="shared" si="195"/>
        <v/>
      </c>
      <c r="N1444" s="29"/>
    </row>
    <row r="1445" spans="1:14" ht="19.5" hidden="1" customHeight="1" outlineLevel="1">
      <c r="A1445" s="24">
        <f>IF(28&lt;=DAY(DATE(YEAR(설정_코스수당!$K$2),MONTH(설정_코스수당!$K$2)+1,0)),DATE(YEAR(설정_코스수당!$K$2),MONTH(설정_코스수당!$K$2),28),"")</f>
        <v>46201</v>
      </c>
      <c r="B1445" s="23" t="s">
        <v>197</v>
      </c>
      <c r="C1445" s="29"/>
      <c r="D1445" s="29"/>
      <c r="E1445" s="29" t="str">
        <f t="shared" si="193"/>
        <v/>
      </c>
      <c r="F1445" s="29">
        <f>COUNTIFS(실시간콜입력!$B:$B,$A1445,실시간콜입력!$E:$E,"A",실시간콜입력!$G:$G,$B1445,실시간콜입력!$O:$O,"방문완료")+COUNTIFS(실시간콜입력!$B:$B,$A1445,실시간콜입력!$E:$E,"A",실시간콜입력!$H:$H,$B1445,실시간콜입력!$O:$O,"방문완료")</f>
        <v>0</v>
      </c>
      <c r="G1445" s="29">
        <f>COUNTIFS(실시간콜입력!$B:$B,$A1445,실시간콜입력!$E:$E,"B",실시간콜입력!$G:$G,$B1445,실시간콜입력!$O:$O,"방문완료")+COUNTIFS(실시간콜입력!$B:$B,$A1445,실시간콜입력!$E:$E,"B",실시간콜입력!$H:$H,$B1445,실시간콜입력!$O:$O,"방문완료")</f>
        <v>0</v>
      </c>
      <c r="H1445" s="29">
        <f>COUNTIFS(실시간콜입력!$B:$B,$A1445,실시간콜입력!$E:$E,"C",실시간콜입력!$G:$G,$B1445,실시간콜입력!$O:$O,"방문완료")+COUNTIFS(실시간콜입력!$B:$B,$A1445,실시간콜입력!$E:$E,"C",실시간콜입력!$H:$H,$B1445,실시간콜입력!$O:$O,"방문완료")</f>
        <v>0</v>
      </c>
      <c r="I1445" s="29">
        <f>COUNTIFS(실시간콜입력!$B:$B,$A1445,실시간콜입력!$E:$E,"D",실시간콜입력!$G:$G,$B1445,실시간콜입력!$O:$O,"방문완료")+COUNTIFS(실시간콜입력!$B:$B,$A1445,실시간콜입력!$E:$E,"D",실시간콜입력!$H:$H,$B1445,실시간콜입력!$O:$O,"방문완료")</f>
        <v>0</v>
      </c>
      <c r="J1445" s="29">
        <f>COUNTIFS(실시간콜입력!$B:$B,$A1445,실시간콜입력!$E:$E,"E",실시간콜입력!$G:$G,$B1445,실시간콜입력!$O:$O,"방문완료")+COUNTIFS(실시간콜입력!$B:$B,$A1445,실시간콜입력!$E:$E,"E",실시간콜입력!$H:$H,$B1445,실시간콜입력!$O:$O,"방문완료")</f>
        <v>0</v>
      </c>
      <c r="K1445" s="29">
        <f t="shared" si="194"/>
        <v>0</v>
      </c>
      <c r="L1445" s="27">
        <f>SUMIFS(실시간콜입력!$K:$K,실시간콜입력!$B:$B,$A1445,실시간콜입력!$G:$G,$B1445,실시간콜입력!$O:$O,"방문완료")+SUMIFS(실시간콜입력!$L:$L,실시간콜입력!$B:$B,$A1445,실시간콜입력!$H:$H,$B1445,실시간콜입력!$O:$O,"방문완료")</f>
        <v>0</v>
      </c>
      <c r="M1445" s="29" t="str">
        <f t="shared" si="195"/>
        <v/>
      </c>
      <c r="N1445" s="29"/>
    </row>
    <row r="1446" spans="1:14" ht="19.5" hidden="1" customHeight="1" outlineLevel="1">
      <c r="A1446" s="30">
        <f>IF(28&lt;=DAY(DATE(YEAR(설정_코스수당!$K$2),MONTH(설정_코스수당!$K$2)+1,0)),DATE(YEAR(설정_코스수당!$K$2),MONTH(설정_코스수당!$K$2),28),"")</f>
        <v>46201</v>
      </c>
      <c r="B1446" s="29" t="s">
        <v>198</v>
      </c>
      <c r="C1446" s="29"/>
      <c r="D1446" s="29"/>
      <c r="E1446" s="29" t="str">
        <f t="shared" si="193"/>
        <v/>
      </c>
      <c r="F1446" s="29">
        <f>COUNTIFS(실시간콜입력!$B:$B,$A1446,실시간콜입력!$E:$E,"A",실시간콜입력!$G:$G,$B1446,실시간콜입력!$O:$O,"방문완료")+COUNTIFS(실시간콜입력!$B:$B,$A1446,실시간콜입력!$E:$E,"A",실시간콜입력!$H:$H,$B1446,실시간콜입력!$O:$O,"방문완료")</f>
        <v>0</v>
      </c>
      <c r="G1446" s="29">
        <f>COUNTIFS(실시간콜입력!$B:$B,$A1446,실시간콜입력!$E:$E,"B",실시간콜입력!$G:$G,$B1446,실시간콜입력!$O:$O,"방문완료")+COUNTIFS(실시간콜입력!$B:$B,$A1446,실시간콜입력!$E:$E,"B",실시간콜입력!$H:$H,$B1446,실시간콜입력!$O:$O,"방문완료")</f>
        <v>0</v>
      </c>
      <c r="H1446" s="29">
        <f>COUNTIFS(실시간콜입력!$B:$B,$A1446,실시간콜입력!$E:$E,"C",실시간콜입력!$G:$G,$B1446,실시간콜입력!$O:$O,"방문완료")+COUNTIFS(실시간콜입력!$B:$B,$A1446,실시간콜입력!$E:$E,"C",실시간콜입력!$H:$H,$B1446,실시간콜입력!$O:$O,"방문완료")</f>
        <v>0</v>
      </c>
      <c r="I1446" s="29">
        <f>COUNTIFS(실시간콜입력!$B:$B,$A1446,실시간콜입력!$E:$E,"D",실시간콜입력!$G:$G,$B1446,실시간콜입력!$O:$O,"방문완료")+COUNTIFS(실시간콜입력!$B:$B,$A1446,실시간콜입력!$E:$E,"D",실시간콜입력!$H:$H,$B1446,실시간콜입력!$O:$O,"방문완료")</f>
        <v>0</v>
      </c>
      <c r="J1446" s="29">
        <f>COUNTIFS(실시간콜입력!$B:$B,$A1446,실시간콜입력!$E:$E,"E",실시간콜입력!$G:$G,$B1446,실시간콜입력!$O:$O,"방문완료")+COUNTIFS(실시간콜입력!$B:$B,$A1446,실시간콜입력!$E:$E,"E",실시간콜입력!$H:$H,$B1446,실시간콜입력!$O:$O,"방문완료")</f>
        <v>0</v>
      </c>
      <c r="K1446" s="29">
        <f t="shared" si="194"/>
        <v>0</v>
      </c>
      <c r="L1446" s="33">
        <f>SUMIFS(실시간콜입력!$K:$K,실시간콜입력!$B:$B,$A1446,실시간콜입력!$G:$G,$B1446,실시간콜입력!$O:$O,"방문완료")+SUMIFS(실시간콜입력!$L:$L,실시간콜입력!$B:$B,$A1446,실시간콜입력!$H:$H,$B1446,실시간콜입력!$O:$O,"방문완료")</f>
        <v>0</v>
      </c>
      <c r="M1446" s="29" t="str">
        <f t="shared" si="195"/>
        <v/>
      </c>
      <c r="N1446" s="29"/>
    </row>
    <row r="1447" spans="1:14" ht="19.5" hidden="1" customHeight="1" outlineLevel="1">
      <c r="A1447" s="24">
        <f>IF(28&lt;=DAY(DATE(YEAR(설정_코스수당!$K$2),MONTH(설정_코스수당!$K$2)+1,0)),DATE(YEAR(설정_코스수당!$K$2),MONTH(설정_코스수당!$K$2),28),"")</f>
        <v>46201</v>
      </c>
      <c r="B1447" s="23" t="s">
        <v>199</v>
      </c>
      <c r="C1447" s="29"/>
      <c r="D1447" s="29"/>
      <c r="E1447" s="29" t="str">
        <f t="shared" si="193"/>
        <v/>
      </c>
      <c r="F1447" s="29">
        <f>COUNTIFS(실시간콜입력!$B:$B,$A1447,실시간콜입력!$E:$E,"A",실시간콜입력!$G:$G,$B1447,실시간콜입력!$O:$O,"방문완료")+COUNTIFS(실시간콜입력!$B:$B,$A1447,실시간콜입력!$E:$E,"A",실시간콜입력!$H:$H,$B1447,실시간콜입력!$O:$O,"방문완료")</f>
        <v>0</v>
      </c>
      <c r="G1447" s="29">
        <f>COUNTIFS(실시간콜입력!$B:$B,$A1447,실시간콜입력!$E:$E,"B",실시간콜입력!$G:$G,$B1447,실시간콜입력!$O:$O,"방문완료")+COUNTIFS(실시간콜입력!$B:$B,$A1447,실시간콜입력!$E:$E,"B",실시간콜입력!$H:$H,$B1447,실시간콜입력!$O:$O,"방문완료")</f>
        <v>0</v>
      </c>
      <c r="H1447" s="29">
        <f>COUNTIFS(실시간콜입력!$B:$B,$A1447,실시간콜입력!$E:$E,"C",실시간콜입력!$G:$G,$B1447,실시간콜입력!$O:$O,"방문완료")+COUNTIFS(실시간콜입력!$B:$B,$A1447,실시간콜입력!$E:$E,"C",실시간콜입력!$H:$H,$B1447,실시간콜입력!$O:$O,"방문완료")</f>
        <v>0</v>
      </c>
      <c r="I1447" s="29">
        <f>COUNTIFS(실시간콜입력!$B:$B,$A1447,실시간콜입력!$E:$E,"D",실시간콜입력!$G:$G,$B1447,실시간콜입력!$O:$O,"방문완료")+COUNTIFS(실시간콜입력!$B:$B,$A1447,실시간콜입력!$E:$E,"D",실시간콜입력!$H:$H,$B1447,실시간콜입력!$O:$O,"방문완료")</f>
        <v>0</v>
      </c>
      <c r="J1447" s="29">
        <f>COUNTIFS(실시간콜입력!$B:$B,$A1447,실시간콜입력!$E:$E,"E",실시간콜입력!$G:$G,$B1447,실시간콜입력!$O:$O,"방문완료")+COUNTIFS(실시간콜입력!$B:$B,$A1447,실시간콜입력!$E:$E,"E",실시간콜입력!$H:$H,$B1447,실시간콜입력!$O:$O,"방문완료")</f>
        <v>0</v>
      </c>
      <c r="K1447" s="29">
        <f t="shared" si="194"/>
        <v>0</v>
      </c>
      <c r="L1447" s="27">
        <f>SUMIFS(실시간콜입력!$K:$K,실시간콜입력!$B:$B,$A1447,실시간콜입력!$G:$G,$B1447,실시간콜입력!$O:$O,"방문완료")+SUMIFS(실시간콜입력!$L:$L,실시간콜입력!$B:$B,$A1447,실시간콜입력!$H:$H,$B1447,실시간콜입력!$O:$O,"방문완료")</f>
        <v>0</v>
      </c>
      <c r="M1447" s="29" t="str">
        <f t="shared" si="195"/>
        <v/>
      </c>
      <c r="N1447" s="29"/>
    </row>
    <row r="1448" spans="1:14" ht="19.5" hidden="1" customHeight="1" outlineLevel="1">
      <c r="A1448" s="30">
        <f>IF(28&lt;=DAY(DATE(YEAR(설정_코스수당!$K$2),MONTH(설정_코스수당!$K$2)+1,0)),DATE(YEAR(설정_코스수당!$K$2),MONTH(설정_코스수당!$K$2),28),"")</f>
        <v>46201</v>
      </c>
      <c r="B1448" s="29" t="s">
        <v>200</v>
      </c>
      <c r="C1448" s="29"/>
      <c r="D1448" s="29"/>
      <c r="E1448" s="29" t="str">
        <f t="shared" si="193"/>
        <v/>
      </c>
      <c r="F1448" s="29">
        <f>COUNTIFS(실시간콜입력!$B:$B,$A1448,실시간콜입력!$E:$E,"A",실시간콜입력!$G:$G,$B1448,실시간콜입력!$O:$O,"방문완료")+COUNTIFS(실시간콜입력!$B:$B,$A1448,실시간콜입력!$E:$E,"A",실시간콜입력!$H:$H,$B1448,실시간콜입력!$O:$O,"방문완료")</f>
        <v>0</v>
      </c>
      <c r="G1448" s="29">
        <f>COUNTIFS(실시간콜입력!$B:$B,$A1448,실시간콜입력!$E:$E,"B",실시간콜입력!$G:$G,$B1448,실시간콜입력!$O:$O,"방문완료")+COUNTIFS(실시간콜입력!$B:$B,$A1448,실시간콜입력!$E:$E,"B",실시간콜입력!$H:$H,$B1448,실시간콜입력!$O:$O,"방문완료")</f>
        <v>0</v>
      </c>
      <c r="H1448" s="29">
        <f>COUNTIFS(실시간콜입력!$B:$B,$A1448,실시간콜입력!$E:$E,"C",실시간콜입력!$G:$G,$B1448,실시간콜입력!$O:$O,"방문완료")+COUNTIFS(실시간콜입력!$B:$B,$A1448,실시간콜입력!$E:$E,"C",실시간콜입력!$H:$H,$B1448,실시간콜입력!$O:$O,"방문완료")</f>
        <v>0</v>
      </c>
      <c r="I1448" s="29">
        <f>COUNTIFS(실시간콜입력!$B:$B,$A1448,실시간콜입력!$E:$E,"D",실시간콜입력!$G:$G,$B1448,실시간콜입력!$O:$O,"방문완료")+COUNTIFS(실시간콜입력!$B:$B,$A1448,실시간콜입력!$E:$E,"D",실시간콜입력!$H:$H,$B1448,실시간콜입력!$O:$O,"방문완료")</f>
        <v>0</v>
      </c>
      <c r="J1448" s="29">
        <f>COUNTIFS(실시간콜입력!$B:$B,$A1448,실시간콜입력!$E:$E,"E",실시간콜입력!$G:$G,$B1448,실시간콜입력!$O:$O,"방문완료")+COUNTIFS(실시간콜입력!$B:$B,$A1448,실시간콜입력!$E:$E,"E",실시간콜입력!$H:$H,$B1448,실시간콜입력!$O:$O,"방문완료")</f>
        <v>0</v>
      </c>
      <c r="K1448" s="29">
        <f t="shared" si="194"/>
        <v>0</v>
      </c>
      <c r="L1448" s="33">
        <f>SUMIFS(실시간콜입력!$K:$K,실시간콜입력!$B:$B,$A1448,실시간콜입력!$G:$G,$B1448,실시간콜입력!$O:$O,"방문완료")+SUMIFS(실시간콜입력!$L:$L,실시간콜입력!$B:$B,$A1448,실시간콜입력!$H:$H,$B1448,실시간콜입력!$O:$O,"방문완료")</f>
        <v>0</v>
      </c>
      <c r="M1448" s="29" t="str">
        <f t="shared" si="195"/>
        <v/>
      </c>
      <c r="N1448" s="29"/>
    </row>
    <row r="1449" spans="1:14" ht="19.5" hidden="1" customHeight="1" outlineLevel="1">
      <c r="A1449" s="24">
        <f>IF(28&lt;=DAY(DATE(YEAR(설정_코스수당!$K$2),MONTH(설정_코스수당!$K$2)+1,0)),DATE(YEAR(설정_코스수당!$K$2),MONTH(설정_코스수당!$K$2),28),"")</f>
        <v>46201</v>
      </c>
      <c r="B1449" s="23" t="s">
        <v>201</v>
      </c>
      <c r="C1449" s="29"/>
      <c r="D1449" s="29"/>
      <c r="E1449" s="29" t="str">
        <f t="shared" si="193"/>
        <v/>
      </c>
      <c r="F1449" s="29">
        <f>COUNTIFS(실시간콜입력!$B:$B,$A1449,실시간콜입력!$E:$E,"A",실시간콜입력!$G:$G,$B1449,실시간콜입력!$O:$O,"방문완료")+COUNTIFS(실시간콜입력!$B:$B,$A1449,실시간콜입력!$E:$E,"A",실시간콜입력!$H:$H,$B1449,실시간콜입력!$O:$O,"방문완료")</f>
        <v>0</v>
      </c>
      <c r="G1449" s="29">
        <f>COUNTIFS(실시간콜입력!$B:$B,$A1449,실시간콜입력!$E:$E,"B",실시간콜입력!$G:$G,$B1449,실시간콜입력!$O:$O,"방문완료")+COUNTIFS(실시간콜입력!$B:$B,$A1449,실시간콜입력!$E:$E,"B",실시간콜입력!$H:$H,$B1449,실시간콜입력!$O:$O,"방문완료")</f>
        <v>0</v>
      </c>
      <c r="H1449" s="29">
        <f>COUNTIFS(실시간콜입력!$B:$B,$A1449,실시간콜입력!$E:$E,"C",실시간콜입력!$G:$G,$B1449,실시간콜입력!$O:$O,"방문완료")+COUNTIFS(실시간콜입력!$B:$B,$A1449,실시간콜입력!$E:$E,"C",실시간콜입력!$H:$H,$B1449,실시간콜입력!$O:$O,"방문완료")</f>
        <v>0</v>
      </c>
      <c r="I1449" s="29">
        <f>COUNTIFS(실시간콜입력!$B:$B,$A1449,실시간콜입력!$E:$E,"D",실시간콜입력!$G:$G,$B1449,실시간콜입력!$O:$O,"방문완료")+COUNTIFS(실시간콜입력!$B:$B,$A1449,실시간콜입력!$E:$E,"D",실시간콜입력!$H:$H,$B1449,실시간콜입력!$O:$O,"방문완료")</f>
        <v>0</v>
      </c>
      <c r="J1449" s="29">
        <f>COUNTIFS(실시간콜입력!$B:$B,$A1449,실시간콜입력!$E:$E,"E",실시간콜입력!$G:$G,$B1449,실시간콜입력!$O:$O,"방문완료")+COUNTIFS(실시간콜입력!$B:$B,$A1449,실시간콜입력!$E:$E,"E",실시간콜입력!$H:$H,$B1449,실시간콜입력!$O:$O,"방문완료")</f>
        <v>0</v>
      </c>
      <c r="K1449" s="29">
        <f t="shared" si="194"/>
        <v>0</v>
      </c>
      <c r="L1449" s="27">
        <f>SUMIFS(실시간콜입력!$K:$K,실시간콜입력!$B:$B,$A1449,실시간콜입력!$G:$G,$B1449,실시간콜입력!$O:$O,"방문완료")+SUMIFS(실시간콜입력!$L:$L,실시간콜입력!$B:$B,$A1449,실시간콜입력!$H:$H,$B1449,실시간콜입력!$O:$O,"방문완료")</f>
        <v>0</v>
      </c>
      <c r="M1449" s="29" t="str">
        <f t="shared" si="195"/>
        <v/>
      </c>
      <c r="N1449" s="29"/>
    </row>
    <row r="1450" spans="1:14" ht="19.5" hidden="1" customHeight="1" outlineLevel="1">
      <c r="A1450" s="30">
        <f>IF(28&lt;=DAY(DATE(YEAR(설정_코스수당!$K$2),MONTH(설정_코스수당!$K$2)+1,0)),DATE(YEAR(설정_코스수당!$K$2),MONTH(설정_코스수당!$K$2),28),"")</f>
        <v>46201</v>
      </c>
      <c r="B1450" s="29" t="s">
        <v>202</v>
      </c>
      <c r="C1450" s="29"/>
      <c r="D1450" s="29"/>
      <c r="E1450" s="29" t="str">
        <f t="shared" si="193"/>
        <v/>
      </c>
      <c r="F1450" s="29">
        <f>COUNTIFS(실시간콜입력!$B:$B,$A1450,실시간콜입력!$E:$E,"A",실시간콜입력!$G:$G,$B1450,실시간콜입력!$O:$O,"방문완료")+COUNTIFS(실시간콜입력!$B:$B,$A1450,실시간콜입력!$E:$E,"A",실시간콜입력!$H:$H,$B1450,실시간콜입력!$O:$O,"방문완료")</f>
        <v>0</v>
      </c>
      <c r="G1450" s="29">
        <f>COUNTIFS(실시간콜입력!$B:$B,$A1450,실시간콜입력!$E:$E,"B",실시간콜입력!$G:$G,$B1450,실시간콜입력!$O:$O,"방문완료")+COUNTIFS(실시간콜입력!$B:$B,$A1450,실시간콜입력!$E:$E,"B",실시간콜입력!$H:$H,$B1450,실시간콜입력!$O:$O,"방문완료")</f>
        <v>0</v>
      </c>
      <c r="H1450" s="29">
        <f>COUNTIFS(실시간콜입력!$B:$B,$A1450,실시간콜입력!$E:$E,"C",실시간콜입력!$G:$G,$B1450,실시간콜입력!$O:$O,"방문완료")+COUNTIFS(실시간콜입력!$B:$B,$A1450,실시간콜입력!$E:$E,"C",실시간콜입력!$H:$H,$B1450,실시간콜입력!$O:$O,"방문완료")</f>
        <v>0</v>
      </c>
      <c r="I1450" s="29">
        <f>COUNTIFS(실시간콜입력!$B:$B,$A1450,실시간콜입력!$E:$E,"D",실시간콜입력!$G:$G,$B1450,실시간콜입력!$O:$O,"방문완료")+COUNTIFS(실시간콜입력!$B:$B,$A1450,실시간콜입력!$E:$E,"D",실시간콜입력!$H:$H,$B1450,실시간콜입력!$O:$O,"방문완료")</f>
        <v>0</v>
      </c>
      <c r="J1450" s="29">
        <f>COUNTIFS(실시간콜입력!$B:$B,$A1450,실시간콜입력!$E:$E,"E",실시간콜입력!$G:$G,$B1450,실시간콜입력!$O:$O,"방문완료")+COUNTIFS(실시간콜입력!$B:$B,$A1450,실시간콜입력!$E:$E,"E",실시간콜입력!$H:$H,$B1450,실시간콜입력!$O:$O,"방문완료")</f>
        <v>0</v>
      </c>
      <c r="K1450" s="29">
        <f t="shared" si="194"/>
        <v>0</v>
      </c>
      <c r="L1450" s="33">
        <f>SUMIFS(실시간콜입력!$K:$K,실시간콜입력!$B:$B,$A1450,실시간콜입력!$G:$G,$B1450,실시간콜입력!$O:$O,"방문완료")+SUMIFS(실시간콜입력!$L:$L,실시간콜입력!$B:$B,$A1450,실시간콜입력!$H:$H,$B1450,실시간콜입력!$O:$O,"방문완료")</f>
        <v>0</v>
      </c>
      <c r="M1450" s="29" t="str">
        <f t="shared" si="195"/>
        <v/>
      </c>
      <c r="N1450" s="29"/>
    </row>
    <row r="1451" spans="1:14" ht="19.5" hidden="1" customHeight="1" outlineLevel="1">
      <c r="A1451" s="24">
        <f>IF(28&lt;=DAY(DATE(YEAR(설정_코스수당!$K$2),MONTH(설정_코스수당!$K$2)+1,0)),DATE(YEAR(설정_코스수당!$K$2),MONTH(설정_코스수당!$K$2),28),"")</f>
        <v>46201</v>
      </c>
      <c r="B1451" s="23" t="s">
        <v>203</v>
      </c>
      <c r="C1451" s="29"/>
      <c r="D1451" s="29"/>
      <c r="E1451" s="29" t="str">
        <f t="shared" si="193"/>
        <v/>
      </c>
      <c r="F1451" s="29">
        <f>COUNTIFS(실시간콜입력!$B:$B,$A1451,실시간콜입력!$E:$E,"A",실시간콜입력!$G:$G,$B1451,실시간콜입력!$O:$O,"방문완료")+COUNTIFS(실시간콜입력!$B:$B,$A1451,실시간콜입력!$E:$E,"A",실시간콜입력!$H:$H,$B1451,실시간콜입력!$O:$O,"방문완료")</f>
        <v>0</v>
      </c>
      <c r="G1451" s="29">
        <f>COUNTIFS(실시간콜입력!$B:$B,$A1451,실시간콜입력!$E:$E,"B",실시간콜입력!$G:$G,$B1451,실시간콜입력!$O:$O,"방문완료")+COUNTIFS(실시간콜입력!$B:$B,$A1451,실시간콜입력!$E:$E,"B",실시간콜입력!$H:$H,$B1451,실시간콜입력!$O:$O,"방문완료")</f>
        <v>0</v>
      </c>
      <c r="H1451" s="29">
        <f>COUNTIFS(실시간콜입력!$B:$B,$A1451,실시간콜입력!$E:$E,"C",실시간콜입력!$G:$G,$B1451,실시간콜입력!$O:$O,"방문완료")+COUNTIFS(실시간콜입력!$B:$B,$A1451,실시간콜입력!$E:$E,"C",실시간콜입력!$H:$H,$B1451,실시간콜입력!$O:$O,"방문완료")</f>
        <v>0</v>
      </c>
      <c r="I1451" s="29">
        <f>COUNTIFS(실시간콜입력!$B:$B,$A1451,실시간콜입력!$E:$E,"D",실시간콜입력!$G:$G,$B1451,실시간콜입력!$O:$O,"방문완료")+COUNTIFS(실시간콜입력!$B:$B,$A1451,실시간콜입력!$E:$E,"D",실시간콜입력!$H:$H,$B1451,실시간콜입력!$O:$O,"방문완료")</f>
        <v>0</v>
      </c>
      <c r="J1451" s="29">
        <f>COUNTIFS(실시간콜입력!$B:$B,$A1451,실시간콜입력!$E:$E,"E",실시간콜입력!$G:$G,$B1451,실시간콜입력!$O:$O,"방문완료")+COUNTIFS(실시간콜입력!$B:$B,$A1451,실시간콜입력!$E:$E,"E",실시간콜입력!$H:$H,$B1451,실시간콜입력!$O:$O,"방문완료")</f>
        <v>0</v>
      </c>
      <c r="K1451" s="29">
        <f t="shared" si="194"/>
        <v>0</v>
      </c>
      <c r="L1451" s="27">
        <f>SUMIFS(실시간콜입력!$K:$K,실시간콜입력!$B:$B,$A1451,실시간콜입력!$G:$G,$B1451,실시간콜입력!$O:$O,"방문완료")+SUMIFS(실시간콜입력!$L:$L,실시간콜입력!$B:$B,$A1451,실시간콜입력!$H:$H,$B1451,실시간콜입력!$O:$O,"방문완료")</f>
        <v>0</v>
      </c>
      <c r="M1451" s="29" t="str">
        <f t="shared" si="195"/>
        <v/>
      </c>
      <c r="N1451" s="29"/>
    </row>
    <row r="1452" spans="1:14" ht="19.5" hidden="1" customHeight="1" outlineLevel="1">
      <c r="A1452" s="30">
        <f>IF(28&lt;=DAY(DATE(YEAR(설정_코스수당!$K$2),MONTH(설정_코스수당!$K$2)+1,0)),DATE(YEAR(설정_코스수당!$K$2),MONTH(설정_코스수당!$K$2),28),"")</f>
        <v>46201</v>
      </c>
      <c r="B1452" s="29" t="s">
        <v>204</v>
      </c>
      <c r="C1452" s="29"/>
      <c r="D1452" s="29"/>
      <c r="E1452" s="29" t="str">
        <f t="shared" si="193"/>
        <v/>
      </c>
      <c r="F1452" s="29">
        <f>COUNTIFS(실시간콜입력!$B:$B,$A1452,실시간콜입력!$E:$E,"A",실시간콜입력!$G:$G,$B1452,실시간콜입력!$O:$O,"방문완료")+COUNTIFS(실시간콜입력!$B:$B,$A1452,실시간콜입력!$E:$E,"A",실시간콜입력!$H:$H,$B1452,실시간콜입력!$O:$O,"방문완료")</f>
        <v>0</v>
      </c>
      <c r="G1452" s="29">
        <f>COUNTIFS(실시간콜입력!$B:$B,$A1452,실시간콜입력!$E:$E,"B",실시간콜입력!$G:$G,$B1452,실시간콜입력!$O:$O,"방문완료")+COUNTIFS(실시간콜입력!$B:$B,$A1452,실시간콜입력!$E:$E,"B",실시간콜입력!$H:$H,$B1452,실시간콜입력!$O:$O,"방문완료")</f>
        <v>0</v>
      </c>
      <c r="H1452" s="29">
        <f>COUNTIFS(실시간콜입력!$B:$B,$A1452,실시간콜입력!$E:$E,"C",실시간콜입력!$G:$G,$B1452,실시간콜입력!$O:$O,"방문완료")+COUNTIFS(실시간콜입력!$B:$B,$A1452,실시간콜입력!$E:$E,"C",실시간콜입력!$H:$H,$B1452,실시간콜입력!$O:$O,"방문완료")</f>
        <v>0</v>
      </c>
      <c r="I1452" s="29">
        <f>COUNTIFS(실시간콜입력!$B:$B,$A1452,실시간콜입력!$E:$E,"D",실시간콜입력!$G:$G,$B1452,실시간콜입력!$O:$O,"방문완료")+COUNTIFS(실시간콜입력!$B:$B,$A1452,실시간콜입력!$E:$E,"D",실시간콜입력!$H:$H,$B1452,실시간콜입력!$O:$O,"방문완료")</f>
        <v>0</v>
      </c>
      <c r="J1452" s="29">
        <f>COUNTIFS(실시간콜입력!$B:$B,$A1452,실시간콜입력!$E:$E,"E",실시간콜입력!$G:$G,$B1452,실시간콜입력!$O:$O,"방문완료")+COUNTIFS(실시간콜입력!$B:$B,$A1452,실시간콜입력!$E:$E,"E",실시간콜입력!$H:$H,$B1452,실시간콜입력!$O:$O,"방문완료")</f>
        <v>0</v>
      </c>
      <c r="K1452" s="29">
        <f t="shared" si="194"/>
        <v>0</v>
      </c>
      <c r="L1452" s="33">
        <f>SUMIFS(실시간콜입력!$K:$K,실시간콜입력!$B:$B,$A1452,실시간콜입력!$G:$G,$B1452,실시간콜입력!$O:$O,"방문완료")+SUMIFS(실시간콜입력!$L:$L,실시간콜입력!$B:$B,$A1452,실시간콜입력!$H:$H,$B1452,실시간콜입력!$O:$O,"방문완료")</f>
        <v>0</v>
      </c>
      <c r="M1452" s="29" t="str">
        <f t="shared" si="195"/>
        <v/>
      </c>
      <c r="N1452" s="29"/>
    </row>
    <row r="1453" spans="1:14" ht="19.5" hidden="1" customHeight="1" outlineLevel="1">
      <c r="A1453" s="24">
        <f>IF(28&lt;=DAY(DATE(YEAR(설정_코스수당!$K$2),MONTH(설정_코스수당!$K$2)+1,0)),DATE(YEAR(설정_코스수당!$K$2),MONTH(설정_코스수당!$K$2),28),"")</f>
        <v>46201</v>
      </c>
      <c r="B1453" s="23" t="s">
        <v>205</v>
      </c>
      <c r="C1453" s="29"/>
      <c r="D1453" s="29"/>
      <c r="E1453" s="29" t="str">
        <f t="shared" si="193"/>
        <v/>
      </c>
      <c r="F1453" s="29">
        <f>COUNTIFS(실시간콜입력!$B:$B,$A1453,실시간콜입력!$E:$E,"A",실시간콜입력!$G:$G,$B1453,실시간콜입력!$O:$O,"방문완료")+COUNTIFS(실시간콜입력!$B:$B,$A1453,실시간콜입력!$E:$E,"A",실시간콜입력!$H:$H,$B1453,실시간콜입력!$O:$O,"방문완료")</f>
        <v>0</v>
      </c>
      <c r="G1453" s="29">
        <f>COUNTIFS(실시간콜입력!$B:$B,$A1453,실시간콜입력!$E:$E,"B",실시간콜입력!$G:$G,$B1453,실시간콜입력!$O:$O,"방문완료")+COUNTIFS(실시간콜입력!$B:$B,$A1453,실시간콜입력!$E:$E,"B",실시간콜입력!$H:$H,$B1453,실시간콜입력!$O:$O,"방문완료")</f>
        <v>0</v>
      </c>
      <c r="H1453" s="29">
        <f>COUNTIFS(실시간콜입력!$B:$B,$A1453,실시간콜입력!$E:$E,"C",실시간콜입력!$G:$G,$B1453,실시간콜입력!$O:$O,"방문완료")+COUNTIFS(실시간콜입력!$B:$B,$A1453,실시간콜입력!$E:$E,"C",실시간콜입력!$H:$H,$B1453,실시간콜입력!$O:$O,"방문완료")</f>
        <v>0</v>
      </c>
      <c r="I1453" s="29">
        <f>COUNTIFS(실시간콜입력!$B:$B,$A1453,실시간콜입력!$E:$E,"D",실시간콜입력!$G:$G,$B1453,실시간콜입력!$O:$O,"방문완료")+COUNTIFS(실시간콜입력!$B:$B,$A1453,실시간콜입력!$E:$E,"D",실시간콜입력!$H:$H,$B1453,실시간콜입력!$O:$O,"방문완료")</f>
        <v>0</v>
      </c>
      <c r="J1453" s="29">
        <f>COUNTIFS(실시간콜입력!$B:$B,$A1453,실시간콜입력!$E:$E,"E",실시간콜입력!$G:$G,$B1453,실시간콜입력!$O:$O,"방문완료")+COUNTIFS(실시간콜입력!$B:$B,$A1453,실시간콜입력!$E:$E,"E",실시간콜입력!$H:$H,$B1453,실시간콜입력!$O:$O,"방문완료")</f>
        <v>0</v>
      </c>
      <c r="K1453" s="29">
        <f t="shared" si="194"/>
        <v>0</v>
      </c>
      <c r="L1453" s="27">
        <f>SUMIFS(실시간콜입력!$K:$K,실시간콜입력!$B:$B,$A1453,실시간콜입력!$G:$G,$B1453,실시간콜입력!$O:$O,"방문완료")+SUMIFS(실시간콜입력!$L:$L,실시간콜입력!$B:$B,$A1453,실시간콜입력!$H:$H,$B1453,실시간콜입력!$O:$O,"방문완료")</f>
        <v>0</v>
      </c>
      <c r="M1453" s="29" t="str">
        <f t="shared" si="195"/>
        <v/>
      </c>
      <c r="N1453" s="29"/>
    </row>
    <row r="1454" spans="1:14" ht="19.5" hidden="1" customHeight="1" outlineLevel="1">
      <c r="A1454" s="30">
        <f>IF(28&lt;=DAY(DATE(YEAR(설정_코스수당!$K$2),MONTH(설정_코스수당!$K$2)+1,0)),DATE(YEAR(설정_코스수당!$K$2),MONTH(설정_코스수당!$K$2),28),"")</f>
        <v>46201</v>
      </c>
      <c r="B1454" s="29" t="s">
        <v>206</v>
      </c>
      <c r="C1454" s="29"/>
      <c r="D1454" s="29"/>
      <c r="E1454" s="29" t="str">
        <f t="shared" si="193"/>
        <v/>
      </c>
      <c r="F1454" s="29">
        <f>COUNTIFS(실시간콜입력!$B:$B,$A1454,실시간콜입력!$E:$E,"A",실시간콜입력!$G:$G,$B1454,실시간콜입력!$O:$O,"방문완료")+COUNTIFS(실시간콜입력!$B:$B,$A1454,실시간콜입력!$E:$E,"A",실시간콜입력!$H:$H,$B1454,실시간콜입력!$O:$O,"방문완료")</f>
        <v>0</v>
      </c>
      <c r="G1454" s="29">
        <f>COUNTIFS(실시간콜입력!$B:$B,$A1454,실시간콜입력!$E:$E,"B",실시간콜입력!$G:$G,$B1454,실시간콜입력!$O:$O,"방문완료")+COUNTIFS(실시간콜입력!$B:$B,$A1454,실시간콜입력!$E:$E,"B",실시간콜입력!$H:$H,$B1454,실시간콜입력!$O:$O,"방문완료")</f>
        <v>0</v>
      </c>
      <c r="H1454" s="29">
        <f>COUNTIFS(실시간콜입력!$B:$B,$A1454,실시간콜입력!$E:$E,"C",실시간콜입력!$G:$G,$B1454,실시간콜입력!$O:$O,"방문완료")+COUNTIFS(실시간콜입력!$B:$B,$A1454,실시간콜입력!$E:$E,"C",실시간콜입력!$H:$H,$B1454,실시간콜입력!$O:$O,"방문완료")</f>
        <v>0</v>
      </c>
      <c r="I1454" s="29">
        <f>COUNTIFS(실시간콜입력!$B:$B,$A1454,실시간콜입력!$E:$E,"D",실시간콜입력!$G:$G,$B1454,실시간콜입력!$O:$O,"방문완료")+COUNTIFS(실시간콜입력!$B:$B,$A1454,실시간콜입력!$E:$E,"D",실시간콜입력!$H:$H,$B1454,실시간콜입력!$O:$O,"방문완료")</f>
        <v>0</v>
      </c>
      <c r="J1454" s="29">
        <f>COUNTIFS(실시간콜입력!$B:$B,$A1454,실시간콜입력!$E:$E,"E",실시간콜입력!$G:$G,$B1454,실시간콜입력!$O:$O,"방문완료")+COUNTIFS(실시간콜입력!$B:$B,$A1454,실시간콜입력!$E:$E,"E",실시간콜입력!$H:$H,$B1454,실시간콜입력!$O:$O,"방문완료")</f>
        <v>0</v>
      </c>
      <c r="K1454" s="29">
        <f t="shared" si="194"/>
        <v>0</v>
      </c>
      <c r="L1454" s="33">
        <f>SUMIFS(실시간콜입력!$K:$K,실시간콜입력!$B:$B,$A1454,실시간콜입력!$G:$G,$B1454,실시간콜입력!$O:$O,"방문완료")+SUMIFS(실시간콜입력!$L:$L,실시간콜입력!$B:$B,$A1454,실시간콜입력!$H:$H,$B1454,실시간콜입력!$O:$O,"방문완료")</f>
        <v>0</v>
      </c>
      <c r="M1454" s="29" t="str">
        <f t="shared" si="195"/>
        <v/>
      </c>
      <c r="N1454" s="29"/>
    </row>
    <row r="1455" spans="1:14" ht="19.5" hidden="1" customHeight="1" outlineLevel="1">
      <c r="A1455" s="24">
        <f>IF(28&lt;=DAY(DATE(YEAR(설정_코스수당!$K$2),MONTH(설정_코스수당!$K$2)+1,0)),DATE(YEAR(설정_코스수당!$K$2),MONTH(설정_코스수당!$K$2),28),"")</f>
        <v>46201</v>
      </c>
      <c r="B1455" s="23" t="s">
        <v>207</v>
      </c>
      <c r="C1455" s="29"/>
      <c r="D1455" s="29"/>
      <c r="E1455" s="29" t="str">
        <f t="shared" si="193"/>
        <v/>
      </c>
      <c r="F1455" s="29">
        <f>COUNTIFS(실시간콜입력!$B:$B,$A1455,실시간콜입력!$E:$E,"A",실시간콜입력!$G:$G,$B1455,실시간콜입력!$O:$O,"방문완료")+COUNTIFS(실시간콜입력!$B:$B,$A1455,실시간콜입력!$E:$E,"A",실시간콜입력!$H:$H,$B1455,실시간콜입력!$O:$O,"방문완료")</f>
        <v>0</v>
      </c>
      <c r="G1455" s="29">
        <f>COUNTIFS(실시간콜입력!$B:$B,$A1455,실시간콜입력!$E:$E,"B",실시간콜입력!$G:$G,$B1455,실시간콜입력!$O:$O,"방문완료")+COUNTIFS(실시간콜입력!$B:$B,$A1455,실시간콜입력!$E:$E,"B",실시간콜입력!$H:$H,$B1455,실시간콜입력!$O:$O,"방문완료")</f>
        <v>0</v>
      </c>
      <c r="H1455" s="29">
        <f>COUNTIFS(실시간콜입력!$B:$B,$A1455,실시간콜입력!$E:$E,"C",실시간콜입력!$G:$G,$B1455,실시간콜입력!$O:$O,"방문완료")+COUNTIFS(실시간콜입력!$B:$B,$A1455,실시간콜입력!$E:$E,"C",실시간콜입력!$H:$H,$B1455,실시간콜입력!$O:$O,"방문완료")</f>
        <v>0</v>
      </c>
      <c r="I1455" s="29">
        <f>COUNTIFS(실시간콜입력!$B:$B,$A1455,실시간콜입력!$E:$E,"D",실시간콜입력!$G:$G,$B1455,실시간콜입력!$O:$O,"방문완료")+COUNTIFS(실시간콜입력!$B:$B,$A1455,실시간콜입력!$E:$E,"D",실시간콜입력!$H:$H,$B1455,실시간콜입력!$O:$O,"방문완료")</f>
        <v>0</v>
      </c>
      <c r="J1455" s="29">
        <f>COUNTIFS(실시간콜입력!$B:$B,$A1455,실시간콜입력!$E:$E,"E",실시간콜입력!$G:$G,$B1455,실시간콜입력!$O:$O,"방문완료")+COUNTIFS(실시간콜입력!$B:$B,$A1455,실시간콜입력!$E:$E,"E",실시간콜입력!$H:$H,$B1455,실시간콜입력!$O:$O,"방문완료")</f>
        <v>0</v>
      </c>
      <c r="K1455" s="29">
        <f t="shared" si="194"/>
        <v>0</v>
      </c>
      <c r="L1455" s="27">
        <f>SUMIFS(실시간콜입력!$K:$K,실시간콜입력!$B:$B,$A1455,실시간콜입력!$G:$G,$B1455,실시간콜입력!$O:$O,"방문완료")+SUMIFS(실시간콜입력!$L:$L,실시간콜입력!$B:$B,$A1455,실시간콜입력!$H:$H,$B1455,실시간콜입력!$O:$O,"방문완료")</f>
        <v>0</v>
      </c>
      <c r="M1455" s="29" t="str">
        <f t="shared" si="195"/>
        <v/>
      </c>
      <c r="N1455" s="29"/>
    </row>
    <row r="1456" spans="1:14" ht="19.5" hidden="1" customHeight="1" outlineLevel="1">
      <c r="A1456" s="30">
        <f>IF(28&lt;=DAY(DATE(YEAR(설정_코스수당!$K$2),MONTH(설정_코스수당!$K$2)+1,0)),DATE(YEAR(설정_코스수당!$K$2),MONTH(설정_코스수당!$K$2),28),"")</f>
        <v>46201</v>
      </c>
      <c r="B1456" s="29" t="s">
        <v>208</v>
      </c>
      <c r="C1456" s="29"/>
      <c r="D1456" s="29"/>
      <c r="E1456" s="29" t="str">
        <f t="shared" si="193"/>
        <v/>
      </c>
      <c r="F1456" s="29">
        <f>COUNTIFS(실시간콜입력!$B:$B,$A1456,실시간콜입력!$E:$E,"A",실시간콜입력!$G:$G,$B1456,실시간콜입력!$O:$O,"방문완료")+COUNTIFS(실시간콜입력!$B:$B,$A1456,실시간콜입력!$E:$E,"A",실시간콜입력!$H:$H,$B1456,실시간콜입력!$O:$O,"방문완료")</f>
        <v>0</v>
      </c>
      <c r="G1456" s="29">
        <f>COUNTIFS(실시간콜입력!$B:$B,$A1456,실시간콜입력!$E:$E,"B",실시간콜입력!$G:$G,$B1456,실시간콜입력!$O:$O,"방문완료")+COUNTIFS(실시간콜입력!$B:$B,$A1456,실시간콜입력!$E:$E,"B",실시간콜입력!$H:$H,$B1456,실시간콜입력!$O:$O,"방문완료")</f>
        <v>0</v>
      </c>
      <c r="H1456" s="29">
        <f>COUNTIFS(실시간콜입력!$B:$B,$A1456,실시간콜입력!$E:$E,"C",실시간콜입력!$G:$G,$B1456,실시간콜입력!$O:$O,"방문완료")+COUNTIFS(실시간콜입력!$B:$B,$A1456,실시간콜입력!$E:$E,"C",실시간콜입력!$H:$H,$B1456,실시간콜입력!$O:$O,"방문완료")</f>
        <v>0</v>
      </c>
      <c r="I1456" s="29">
        <f>COUNTIFS(실시간콜입력!$B:$B,$A1456,실시간콜입력!$E:$E,"D",실시간콜입력!$G:$G,$B1456,실시간콜입력!$O:$O,"방문완료")+COUNTIFS(실시간콜입력!$B:$B,$A1456,실시간콜입력!$E:$E,"D",실시간콜입력!$H:$H,$B1456,실시간콜입력!$O:$O,"방문완료")</f>
        <v>0</v>
      </c>
      <c r="J1456" s="29">
        <f>COUNTIFS(실시간콜입력!$B:$B,$A1456,실시간콜입력!$E:$E,"E",실시간콜입력!$G:$G,$B1456,실시간콜입력!$O:$O,"방문완료")+COUNTIFS(실시간콜입력!$B:$B,$A1456,실시간콜입력!$E:$E,"E",실시간콜입력!$H:$H,$B1456,실시간콜입력!$O:$O,"방문완료")</f>
        <v>0</v>
      </c>
      <c r="K1456" s="29">
        <f t="shared" si="194"/>
        <v>0</v>
      </c>
      <c r="L1456" s="33">
        <f>SUMIFS(실시간콜입력!$K:$K,실시간콜입력!$B:$B,$A1456,실시간콜입력!$G:$G,$B1456,실시간콜입력!$O:$O,"방문완료")+SUMIFS(실시간콜입력!$L:$L,실시간콜입력!$B:$B,$A1456,실시간콜입력!$H:$H,$B1456,실시간콜입력!$O:$O,"방문완료")</f>
        <v>0</v>
      </c>
      <c r="M1456" s="29" t="str">
        <f t="shared" si="195"/>
        <v/>
      </c>
      <c r="N1456" s="29"/>
    </row>
    <row r="1457" spans="1:14" ht="19.5" hidden="1" customHeight="1" outlineLevel="1">
      <c r="A1457" s="24">
        <f>IF(28&lt;=DAY(DATE(YEAR(설정_코스수당!$K$2),MONTH(설정_코스수당!$K$2)+1,0)),DATE(YEAR(설정_코스수당!$K$2),MONTH(설정_코스수당!$K$2),28),"")</f>
        <v>46201</v>
      </c>
      <c r="B1457" s="23" t="s">
        <v>209</v>
      </c>
      <c r="C1457" s="29"/>
      <c r="D1457" s="29"/>
      <c r="E1457" s="29" t="str">
        <f t="shared" si="193"/>
        <v/>
      </c>
      <c r="F1457" s="29">
        <f>COUNTIFS(실시간콜입력!$B:$B,$A1457,실시간콜입력!$E:$E,"A",실시간콜입력!$G:$G,$B1457,실시간콜입력!$O:$O,"방문완료")+COUNTIFS(실시간콜입력!$B:$B,$A1457,실시간콜입력!$E:$E,"A",실시간콜입력!$H:$H,$B1457,실시간콜입력!$O:$O,"방문완료")</f>
        <v>0</v>
      </c>
      <c r="G1457" s="29">
        <f>COUNTIFS(실시간콜입력!$B:$B,$A1457,실시간콜입력!$E:$E,"B",실시간콜입력!$G:$G,$B1457,실시간콜입력!$O:$O,"방문완료")+COUNTIFS(실시간콜입력!$B:$B,$A1457,실시간콜입력!$E:$E,"B",실시간콜입력!$H:$H,$B1457,실시간콜입력!$O:$O,"방문완료")</f>
        <v>0</v>
      </c>
      <c r="H1457" s="29">
        <f>COUNTIFS(실시간콜입력!$B:$B,$A1457,실시간콜입력!$E:$E,"C",실시간콜입력!$G:$G,$B1457,실시간콜입력!$O:$O,"방문완료")+COUNTIFS(실시간콜입력!$B:$B,$A1457,실시간콜입력!$E:$E,"C",실시간콜입력!$H:$H,$B1457,실시간콜입력!$O:$O,"방문완료")</f>
        <v>0</v>
      </c>
      <c r="I1457" s="29">
        <f>COUNTIFS(실시간콜입력!$B:$B,$A1457,실시간콜입력!$E:$E,"D",실시간콜입력!$G:$G,$B1457,실시간콜입력!$O:$O,"방문완료")+COUNTIFS(실시간콜입력!$B:$B,$A1457,실시간콜입력!$E:$E,"D",실시간콜입력!$H:$H,$B1457,실시간콜입력!$O:$O,"방문완료")</f>
        <v>0</v>
      </c>
      <c r="J1457" s="29">
        <f>COUNTIFS(실시간콜입력!$B:$B,$A1457,실시간콜입력!$E:$E,"E",실시간콜입력!$G:$G,$B1457,실시간콜입력!$O:$O,"방문완료")+COUNTIFS(실시간콜입력!$B:$B,$A1457,실시간콜입력!$E:$E,"E",실시간콜입력!$H:$H,$B1457,실시간콜입력!$O:$O,"방문완료")</f>
        <v>0</v>
      </c>
      <c r="K1457" s="29">
        <f t="shared" si="194"/>
        <v>0</v>
      </c>
      <c r="L1457" s="27">
        <f>SUMIFS(실시간콜입력!$K:$K,실시간콜입력!$B:$B,$A1457,실시간콜입력!$G:$G,$B1457,실시간콜입력!$O:$O,"방문완료")+SUMIFS(실시간콜입력!$L:$L,실시간콜입력!$B:$B,$A1457,실시간콜입력!$H:$H,$B1457,실시간콜입력!$O:$O,"방문완료")</f>
        <v>0</v>
      </c>
      <c r="M1457" s="29" t="str">
        <f t="shared" si="195"/>
        <v/>
      </c>
      <c r="N1457" s="29"/>
    </row>
    <row r="1458" spans="1:14" ht="19.5" hidden="1" customHeight="1" outlineLevel="1">
      <c r="A1458" s="30">
        <f>IF(28&lt;=DAY(DATE(YEAR(설정_코스수당!$K$2),MONTH(설정_코스수당!$K$2)+1,0)),DATE(YEAR(설정_코스수당!$K$2),MONTH(설정_코스수당!$K$2),28),"")</f>
        <v>46201</v>
      </c>
      <c r="B1458" s="29" t="s">
        <v>210</v>
      </c>
      <c r="C1458" s="29"/>
      <c r="D1458" s="29"/>
      <c r="E1458" s="29" t="str">
        <f t="shared" si="193"/>
        <v/>
      </c>
      <c r="F1458" s="29">
        <f>COUNTIFS(실시간콜입력!$B:$B,$A1458,실시간콜입력!$E:$E,"A",실시간콜입력!$G:$G,$B1458,실시간콜입력!$O:$O,"방문완료")+COUNTIFS(실시간콜입력!$B:$B,$A1458,실시간콜입력!$E:$E,"A",실시간콜입력!$H:$H,$B1458,실시간콜입력!$O:$O,"방문완료")</f>
        <v>0</v>
      </c>
      <c r="G1458" s="29">
        <f>COUNTIFS(실시간콜입력!$B:$B,$A1458,실시간콜입력!$E:$E,"B",실시간콜입력!$G:$G,$B1458,실시간콜입력!$O:$O,"방문완료")+COUNTIFS(실시간콜입력!$B:$B,$A1458,실시간콜입력!$E:$E,"B",실시간콜입력!$H:$H,$B1458,실시간콜입력!$O:$O,"방문완료")</f>
        <v>0</v>
      </c>
      <c r="H1458" s="29">
        <f>COUNTIFS(실시간콜입력!$B:$B,$A1458,실시간콜입력!$E:$E,"C",실시간콜입력!$G:$G,$B1458,실시간콜입력!$O:$O,"방문완료")+COUNTIFS(실시간콜입력!$B:$B,$A1458,실시간콜입력!$E:$E,"C",실시간콜입력!$H:$H,$B1458,실시간콜입력!$O:$O,"방문완료")</f>
        <v>0</v>
      </c>
      <c r="I1458" s="29">
        <f>COUNTIFS(실시간콜입력!$B:$B,$A1458,실시간콜입력!$E:$E,"D",실시간콜입력!$G:$G,$B1458,실시간콜입력!$O:$O,"방문완료")+COUNTIFS(실시간콜입력!$B:$B,$A1458,실시간콜입력!$E:$E,"D",실시간콜입력!$H:$H,$B1458,실시간콜입력!$O:$O,"방문완료")</f>
        <v>0</v>
      </c>
      <c r="J1458" s="29">
        <f>COUNTIFS(실시간콜입력!$B:$B,$A1458,실시간콜입력!$E:$E,"E",실시간콜입력!$G:$G,$B1458,실시간콜입력!$O:$O,"방문완료")+COUNTIFS(실시간콜입력!$B:$B,$A1458,실시간콜입력!$E:$E,"E",실시간콜입력!$H:$H,$B1458,실시간콜입력!$O:$O,"방문완료")</f>
        <v>0</v>
      </c>
      <c r="K1458" s="29">
        <f t="shared" si="194"/>
        <v>0</v>
      </c>
      <c r="L1458" s="33">
        <f>SUMIFS(실시간콜입력!$K:$K,실시간콜입력!$B:$B,$A1458,실시간콜입력!$G:$G,$B1458,실시간콜입력!$O:$O,"방문완료")+SUMIFS(실시간콜입력!$L:$L,실시간콜입력!$B:$B,$A1458,실시간콜입력!$H:$H,$B1458,실시간콜입력!$O:$O,"방문완료")</f>
        <v>0</v>
      </c>
      <c r="M1458" s="29" t="str">
        <f t="shared" si="195"/>
        <v/>
      </c>
      <c r="N1458" s="29"/>
    </row>
    <row r="1459" spans="1:14" ht="19.5" hidden="1" customHeight="1" outlineLevel="1">
      <c r="A1459" s="24">
        <f>IF(28&lt;=DAY(DATE(YEAR(설정_코스수당!$K$2),MONTH(설정_코스수당!$K$2)+1,0)),DATE(YEAR(설정_코스수당!$K$2),MONTH(설정_코스수당!$K$2),28),"")</f>
        <v>46201</v>
      </c>
      <c r="B1459" s="23" t="s">
        <v>211</v>
      </c>
      <c r="C1459" s="29"/>
      <c r="D1459" s="29"/>
      <c r="E1459" s="29" t="str">
        <f t="shared" si="193"/>
        <v/>
      </c>
      <c r="F1459" s="29">
        <f>COUNTIFS(실시간콜입력!$B:$B,$A1459,실시간콜입력!$E:$E,"A",실시간콜입력!$G:$G,$B1459,실시간콜입력!$O:$O,"방문완료")+COUNTIFS(실시간콜입력!$B:$B,$A1459,실시간콜입력!$E:$E,"A",실시간콜입력!$H:$H,$B1459,실시간콜입력!$O:$O,"방문완료")</f>
        <v>0</v>
      </c>
      <c r="G1459" s="29">
        <f>COUNTIFS(실시간콜입력!$B:$B,$A1459,실시간콜입력!$E:$E,"B",실시간콜입력!$G:$G,$B1459,실시간콜입력!$O:$O,"방문완료")+COUNTIFS(실시간콜입력!$B:$B,$A1459,실시간콜입력!$E:$E,"B",실시간콜입력!$H:$H,$B1459,실시간콜입력!$O:$O,"방문완료")</f>
        <v>0</v>
      </c>
      <c r="H1459" s="29">
        <f>COUNTIFS(실시간콜입력!$B:$B,$A1459,실시간콜입력!$E:$E,"C",실시간콜입력!$G:$G,$B1459,실시간콜입력!$O:$O,"방문완료")+COUNTIFS(실시간콜입력!$B:$B,$A1459,실시간콜입력!$E:$E,"C",실시간콜입력!$H:$H,$B1459,실시간콜입력!$O:$O,"방문완료")</f>
        <v>0</v>
      </c>
      <c r="I1459" s="29">
        <f>COUNTIFS(실시간콜입력!$B:$B,$A1459,실시간콜입력!$E:$E,"D",실시간콜입력!$G:$G,$B1459,실시간콜입력!$O:$O,"방문완료")+COUNTIFS(실시간콜입력!$B:$B,$A1459,실시간콜입력!$E:$E,"D",실시간콜입력!$H:$H,$B1459,실시간콜입력!$O:$O,"방문완료")</f>
        <v>0</v>
      </c>
      <c r="J1459" s="29">
        <f>COUNTIFS(실시간콜입력!$B:$B,$A1459,실시간콜입력!$E:$E,"E",실시간콜입력!$G:$G,$B1459,실시간콜입력!$O:$O,"방문완료")+COUNTIFS(실시간콜입력!$B:$B,$A1459,실시간콜입력!$E:$E,"E",실시간콜입력!$H:$H,$B1459,실시간콜입력!$O:$O,"방문완료")</f>
        <v>0</v>
      </c>
      <c r="K1459" s="29">
        <f t="shared" si="194"/>
        <v>0</v>
      </c>
      <c r="L1459" s="27">
        <f>SUMIFS(실시간콜입력!$K:$K,실시간콜입력!$B:$B,$A1459,실시간콜입력!$G:$G,$B1459,실시간콜입력!$O:$O,"방문완료")+SUMIFS(실시간콜입력!$L:$L,실시간콜입력!$B:$B,$A1459,실시간콜입력!$H:$H,$B1459,실시간콜입력!$O:$O,"방문완료")</f>
        <v>0</v>
      </c>
      <c r="M1459" s="29" t="str">
        <f t="shared" si="195"/>
        <v/>
      </c>
      <c r="N1459" s="29"/>
    </row>
    <row r="1460" spans="1:14" ht="19.5" hidden="1" customHeight="1" outlineLevel="1">
      <c r="A1460" s="30">
        <f>IF(28&lt;=DAY(DATE(YEAR(설정_코스수당!$K$2),MONTH(설정_코스수당!$K$2)+1,0)),DATE(YEAR(설정_코스수당!$K$2),MONTH(설정_코스수당!$K$2),28),"")</f>
        <v>46201</v>
      </c>
      <c r="B1460" s="29" t="s">
        <v>212</v>
      </c>
      <c r="C1460" s="29"/>
      <c r="D1460" s="29"/>
      <c r="E1460" s="29" t="str">
        <f t="shared" si="193"/>
        <v/>
      </c>
      <c r="F1460" s="29">
        <f>COUNTIFS(실시간콜입력!$B:$B,$A1460,실시간콜입력!$E:$E,"A",실시간콜입력!$G:$G,$B1460,실시간콜입력!$O:$O,"방문완료")+COUNTIFS(실시간콜입력!$B:$B,$A1460,실시간콜입력!$E:$E,"A",실시간콜입력!$H:$H,$B1460,실시간콜입력!$O:$O,"방문완료")</f>
        <v>0</v>
      </c>
      <c r="G1460" s="29">
        <f>COUNTIFS(실시간콜입력!$B:$B,$A1460,실시간콜입력!$E:$E,"B",실시간콜입력!$G:$G,$B1460,실시간콜입력!$O:$O,"방문완료")+COUNTIFS(실시간콜입력!$B:$B,$A1460,실시간콜입력!$E:$E,"B",실시간콜입력!$H:$H,$B1460,실시간콜입력!$O:$O,"방문완료")</f>
        <v>0</v>
      </c>
      <c r="H1460" s="29">
        <f>COUNTIFS(실시간콜입력!$B:$B,$A1460,실시간콜입력!$E:$E,"C",실시간콜입력!$G:$G,$B1460,실시간콜입력!$O:$O,"방문완료")+COUNTIFS(실시간콜입력!$B:$B,$A1460,실시간콜입력!$E:$E,"C",실시간콜입력!$H:$H,$B1460,실시간콜입력!$O:$O,"방문완료")</f>
        <v>0</v>
      </c>
      <c r="I1460" s="29">
        <f>COUNTIFS(실시간콜입력!$B:$B,$A1460,실시간콜입력!$E:$E,"D",실시간콜입력!$G:$G,$B1460,실시간콜입력!$O:$O,"방문완료")+COUNTIFS(실시간콜입력!$B:$B,$A1460,실시간콜입력!$E:$E,"D",실시간콜입력!$H:$H,$B1460,실시간콜입력!$O:$O,"방문완료")</f>
        <v>0</v>
      </c>
      <c r="J1460" s="29">
        <f>COUNTIFS(실시간콜입력!$B:$B,$A1460,실시간콜입력!$E:$E,"E",실시간콜입력!$G:$G,$B1460,실시간콜입력!$O:$O,"방문완료")+COUNTIFS(실시간콜입력!$B:$B,$A1460,실시간콜입력!$E:$E,"E",실시간콜입력!$H:$H,$B1460,실시간콜입력!$O:$O,"방문완료")</f>
        <v>0</v>
      </c>
      <c r="K1460" s="29">
        <f t="shared" si="194"/>
        <v>0</v>
      </c>
      <c r="L1460" s="33">
        <f>SUMIFS(실시간콜입력!$K:$K,실시간콜입력!$B:$B,$A1460,실시간콜입력!$G:$G,$B1460,실시간콜입력!$O:$O,"방문완료")+SUMIFS(실시간콜입력!$L:$L,실시간콜입력!$B:$B,$A1460,실시간콜입력!$H:$H,$B1460,실시간콜입력!$O:$O,"방문완료")</f>
        <v>0</v>
      </c>
      <c r="M1460" s="29" t="str">
        <f t="shared" si="195"/>
        <v/>
      </c>
      <c r="N1460" s="29"/>
    </row>
    <row r="1461" spans="1:14" ht="21.75" customHeight="1" collapsed="1">
      <c r="A1461" s="64">
        <f>IF(29&lt;=DAY(DATE(YEAR(설정_코스수당!$K$2),MONTH(설정_코스수당!$K$2)+1,0)),DATE(YEAR(설정_코스수당!$K$2),MONTH(설정_코스수당!$K$2),29),"")</f>
        <v>46202</v>
      </c>
      <c r="B1461" s="65" t="str">
        <f>IF(A1461="","","출근 "&amp;COUNTIF(C1463:C1512,"&lt;&gt;")&amp;"명")</f>
        <v>출근 0명</v>
      </c>
      <c r="C1461" s="65" t="str">
        <f>IF(A1461="","","만근 "&amp;COUNTIF(M1463:M1512,"인정")&amp;"명")</f>
        <v>만근 0명</v>
      </c>
      <c r="D1461" s="65" t="str">
        <f>IFERROR("평균 "&amp;TEXT(AVERAGEIF(E1463:E1512,"&gt;0",E1463:E1512),"0.0")&amp;"h","평균 -")</f>
        <v>평균 -</v>
      </c>
      <c r="E1461" s="65" t="s">
        <v>163</v>
      </c>
      <c r="F1461" s="65">
        <f t="shared" ref="F1461:L1461" si="196">SUM(F1463:F1512)</f>
        <v>0</v>
      </c>
      <c r="G1461" s="65">
        <f t="shared" si="196"/>
        <v>0</v>
      </c>
      <c r="H1461" s="65">
        <f t="shared" si="196"/>
        <v>0</v>
      </c>
      <c r="I1461" s="65">
        <f t="shared" si="196"/>
        <v>0</v>
      </c>
      <c r="J1461" s="65">
        <f t="shared" si="196"/>
        <v>0</v>
      </c>
      <c r="K1461" s="65">
        <f t="shared" si="196"/>
        <v>0</v>
      </c>
      <c r="L1461" s="66">
        <f t="shared" si="196"/>
        <v>0</v>
      </c>
      <c r="M1461" s="65">
        <f>COUNTIF(M1463:M1512,"인정")</f>
        <v>0</v>
      </c>
      <c r="N1461" s="65" t="s">
        <v>164</v>
      </c>
    </row>
    <row r="1462" spans="1:14" ht="19.5" hidden="1" customHeight="1" outlineLevel="1">
      <c r="A1462" s="20" t="s">
        <v>42</v>
      </c>
      <c r="B1462" s="20" t="s">
        <v>152</v>
      </c>
      <c r="C1462" s="20" t="s">
        <v>153</v>
      </c>
      <c r="D1462" s="20" t="s">
        <v>154</v>
      </c>
      <c r="E1462" s="20" t="s">
        <v>155</v>
      </c>
      <c r="F1462" s="20" t="s">
        <v>156</v>
      </c>
      <c r="G1462" s="20" t="s">
        <v>157</v>
      </c>
      <c r="H1462" s="20" t="s">
        <v>158</v>
      </c>
      <c r="I1462" s="20" t="s">
        <v>159</v>
      </c>
      <c r="J1462" s="20" t="s">
        <v>160</v>
      </c>
      <c r="K1462" s="20" t="s">
        <v>118</v>
      </c>
      <c r="L1462" s="20" t="s">
        <v>161</v>
      </c>
      <c r="M1462" s="20" t="s">
        <v>162</v>
      </c>
      <c r="N1462" s="20" t="s">
        <v>95</v>
      </c>
    </row>
    <row r="1463" spans="1:14" ht="19.5" hidden="1" customHeight="1" outlineLevel="1">
      <c r="A1463" s="24">
        <f>IF(29&lt;=DAY(DATE(YEAR(설정_코스수당!$K$2),MONTH(설정_코스수당!$K$2)+1,0)),DATE(YEAR(설정_코스수당!$K$2),MONTH(설정_코스수당!$K$2),29),"")</f>
        <v>46202</v>
      </c>
      <c r="B1463" s="23" t="s">
        <v>47</v>
      </c>
      <c r="C1463" s="23"/>
      <c r="D1463" s="23"/>
      <c r="E1463" s="23" t="str">
        <f t="shared" ref="E1463:E1494" si="197">IF(AND(C1463&lt;&gt;"",D1463&lt;&gt;""),IF(D1463&lt;C1463,D1463+1-C1463,D1463-C1463)*24,"")</f>
        <v/>
      </c>
      <c r="F1463" s="23">
        <f>COUNTIFS(실시간콜입력!$B:$B,$A1463,실시간콜입력!$E:$E,"A",실시간콜입력!$G:$G,$B1463,실시간콜입력!$O:$O,"방문완료")+COUNTIFS(실시간콜입력!$B:$B,$A1463,실시간콜입력!$E:$E,"A",실시간콜입력!$H:$H,$B1463,실시간콜입력!$O:$O,"방문완료")</f>
        <v>0</v>
      </c>
      <c r="G1463" s="23">
        <f>COUNTIFS(실시간콜입력!$B:$B,$A1463,실시간콜입력!$E:$E,"B",실시간콜입력!$G:$G,$B1463,실시간콜입력!$O:$O,"방문완료")+COUNTIFS(실시간콜입력!$B:$B,$A1463,실시간콜입력!$E:$E,"B",실시간콜입력!$H:$H,$B1463,실시간콜입력!$O:$O,"방문완료")</f>
        <v>0</v>
      </c>
      <c r="H1463" s="23">
        <f>COUNTIFS(실시간콜입력!$B:$B,$A1463,실시간콜입력!$E:$E,"C",실시간콜입력!$G:$G,$B1463,실시간콜입력!$O:$O,"방문완료")+COUNTIFS(실시간콜입력!$B:$B,$A1463,실시간콜입력!$E:$E,"C",실시간콜입력!$H:$H,$B1463,실시간콜입력!$O:$O,"방문완료")</f>
        <v>0</v>
      </c>
      <c r="I1463" s="23">
        <f>COUNTIFS(실시간콜입력!$B:$B,$A1463,실시간콜입력!$E:$E,"D",실시간콜입력!$G:$G,$B1463,실시간콜입력!$O:$O,"방문완료")+COUNTIFS(실시간콜입력!$B:$B,$A1463,실시간콜입력!$E:$E,"D",실시간콜입력!$H:$H,$B1463,실시간콜입력!$O:$O,"방문완료")</f>
        <v>0</v>
      </c>
      <c r="J1463" s="23">
        <f>COUNTIFS(실시간콜입력!$B:$B,$A1463,실시간콜입력!$E:$E,"E",실시간콜입력!$G:$G,$B1463,실시간콜입력!$O:$O,"방문완료")+COUNTIFS(실시간콜입력!$B:$B,$A1463,실시간콜입력!$E:$E,"E",실시간콜입력!$H:$H,$B1463,실시간콜입력!$O:$O,"방문완료")</f>
        <v>0</v>
      </c>
      <c r="K1463" s="23">
        <f t="shared" ref="K1463:K1494" si="198">SUM(F1463:J1463)</f>
        <v>0</v>
      </c>
      <c r="L1463" s="27">
        <f>SUMIFS(실시간콜입력!$K:$K,실시간콜입력!$B:$B,$A1463,실시간콜입력!$G:$G,$B1463,실시간콜입력!$O:$O,"방문완료")+SUMIFS(실시간콜입력!$L:$L,실시간콜입력!$B:$B,$A1463,실시간콜입력!$H:$H,$B1463,실시간콜입력!$O:$O,"방문완료")</f>
        <v>0</v>
      </c>
      <c r="M1463" s="23" t="str">
        <f t="shared" ref="M1463:M1494" si="199">IF(AND(ISNUMBER(E1463),E1463&gt;=8),"인정","")</f>
        <v/>
      </c>
      <c r="N1463" s="23"/>
    </row>
    <row r="1464" spans="1:14" ht="19.5" hidden="1" customHeight="1" outlineLevel="1">
      <c r="A1464" s="30">
        <f>IF(29&lt;=DAY(DATE(YEAR(설정_코스수당!$K$2),MONTH(설정_코스수당!$K$2)+1,0)),DATE(YEAR(설정_코스수당!$K$2),MONTH(설정_코스수당!$K$2),29),"")</f>
        <v>46202</v>
      </c>
      <c r="B1464" s="29" t="s">
        <v>48</v>
      </c>
      <c r="C1464" s="29"/>
      <c r="D1464" s="29"/>
      <c r="E1464" s="29" t="str">
        <f t="shared" si="197"/>
        <v/>
      </c>
      <c r="F1464" s="29">
        <f>COUNTIFS(실시간콜입력!$B:$B,$A1464,실시간콜입력!$E:$E,"A",실시간콜입력!$G:$G,$B1464,실시간콜입력!$O:$O,"방문완료")+COUNTIFS(실시간콜입력!$B:$B,$A1464,실시간콜입력!$E:$E,"A",실시간콜입력!$H:$H,$B1464,실시간콜입력!$O:$O,"방문완료")</f>
        <v>0</v>
      </c>
      <c r="G1464" s="29">
        <f>COUNTIFS(실시간콜입력!$B:$B,$A1464,실시간콜입력!$E:$E,"B",실시간콜입력!$G:$G,$B1464,실시간콜입력!$O:$O,"방문완료")+COUNTIFS(실시간콜입력!$B:$B,$A1464,실시간콜입력!$E:$E,"B",실시간콜입력!$H:$H,$B1464,실시간콜입력!$O:$O,"방문완료")</f>
        <v>0</v>
      </c>
      <c r="H1464" s="29">
        <f>COUNTIFS(실시간콜입력!$B:$B,$A1464,실시간콜입력!$E:$E,"C",실시간콜입력!$G:$G,$B1464,실시간콜입력!$O:$O,"방문완료")+COUNTIFS(실시간콜입력!$B:$B,$A1464,실시간콜입력!$E:$E,"C",실시간콜입력!$H:$H,$B1464,실시간콜입력!$O:$O,"방문완료")</f>
        <v>0</v>
      </c>
      <c r="I1464" s="29">
        <f>COUNTIFS(실시간콜입력!$B:$B,$A1464,실시간콜입력!$E:$E,"D",실시간콜입력!$G:$G,$B1464,실시간콜입력!$O:$O,"방문완료")+COUNTIFS(실시간콜입력!$B:$B,$A1464,실시간콜입력!$E:$E,"D",실시간콜입력!$H:$H,$B1464,실시간콜입력!$O:$O,"방문완료")</f>
        <v>0</v>
      </c>
      <c r="J1464" s="29">
        <f>COUNTIFS(실시간콜입력!$B:$B,$A1464,실시간콜입력!$E:$E,"E",실시간콜입력!$G:$G,$B1464,실시간콜입력!$O:$O,"방문완료")+COUNTIFS(실시간콜입력!$B:$B,$A1464,실시간콜입력!$E:$E,"E",실시간콜입력!$H:$H,$B1464,실시간콜입력!$O:$O,"방문완료")</f>
        <v>0</v>
      </c>
      <c r="K1464" s="29">
        <f t="shared" si="198"/>
        <v>0</v>
      </c>
      <c r="L1464" s="33">
        <f>SUMIFS(실시간콜입력!$K:$K,실시간콜입력!$B:$B,$A1464,실시간콜입력!$G:$G,$B1464,실시간콜입력!$O:$O,"방문완료")+SUMIFS(실시간콜입력!$L:$L,실시간콜입력!$B:$B,$A1464,실시간콜입력!$H:$H,$B1464,실시간콜입력!$O:$O,"방문완료")</f>
        <v>0</v>
      </c>
      <c r="M1464" s="29" t="str">
        <f t="shared" si="199"/>
        <v/>
      </c>
      <c r="N1464" s="29"/>
    </row>
    <row r="1465" spans="1:14" ht="19.5" hidden="1" customHeight="1" outlineLevel="1">
      <c r="A1465" s="24">
        <f>IF(29&lt;=DAY(DATE(YEAR(설정_코스수당!$K$2),MONTH(설정_코스수당!$K$2)+1,0)),DATE(YEAR(설정_코스수당!$K$2),MONTH(설정_코스수당!$K$2),29),"")</f>
        <v>46202</v>
      </c>
      <c r="B1465" s="23" t="s">
        <v>165</v>
      </c>
      <c r="C1465" s="29"/>
      <c r="D1465" s="29"/>
      <c r="E1465" s="29" t="str">
        <f t="shared" si="197"/>
        <v/>
      </c>
      <c r="F1465" s="29">
        <f>COUNTIFS(실시간콜입력!$B:$B,$A1465,실시간콜입력!$E:$E,"A",실시간콜입력!$G:$G,$B1465,실시간콜입력!$O:$O,"방문완료")+COUNTIFS(실시간콜입력!$B:$B,$A1465,실시간콜입력!$E:$E,"A",실시간콜입력!$H:$H,$B1465,실시간콜입력!$O:$O,"방문완료")</f>
        <v>0</v>
      </c>
      <c r="G1465" s="29">
        <f>COUNTIFS(실시간콜입력!$B:$B,$A1465,실시간콜입력!$E:$E,"B",실시간콜입력!$G:$G,$B1465,실시간콜입력!$O:$O,"방문완료")+COUNTIFS(실시간콜입력!$B:$B,$A1465,실시간콜입력!$E:$E,"B",실시간콜입력!$H:$H,$B1465,실시간콜입력!$O:$O,"방문완료")</f>
        <v>0</v>
      </c>
      <c r="H1465" s="29">
        <f>COUNTIFS(실시간콜입력!$B:$B,$A1465,실시간콜입력!$E:$E,"C",실시간콜입력!$G:$G,$B1465,실시간콜입력!$O:$O,"방문완료")+COUNTIFS(실시간콜입력!$B:$B,$A1465,실시간콜입력!$E:$E,"C",실시간콜입력!$H:$H,$B1465,실시간콜입력!$O:$O,"방문완료")</f>
        <v>0</v>
      </c>
      <c r="I1465" s="29">
        <f>COUNTIFS(실시간콜입력!$B:$B,$A1465,실시간콜입력!$E:$E,"D",실시간콜입력!$G:$G,$B1465,실시간콜입력!$O:$O,"방문완료")+COUNTIFS(실시간콜입력!$B:$B,$A1465,실시간콜입력!$E:$E,"D",실시간콜입력!$H:$H,$B1465,실시간콜입력!$O:$O,"방문완료")</f>
        <v>0</v>
      </c>
      <c r="J1465" s="29">
        <f>COUNTIFS(실시간콜입력!$B:$B,$A1465,실시간콜입력!$E:$E,"E",실시간콜입력!$G:$G,$B1465,실시간콜입력!$O:$O,"방문완료")+COUNTIFS(실시간콜입력!$B:$B,$A1465,실시간콜입력!$E:$E,"E",실시간콜입력!$H:$H,$B1465,실시간콜입력!$O:$O,"방문완료")</f>
        <v>0</v>
      </c>
      <c r="K1465" s="29">
        <f t="shared" si="198"/>
        <v>0</v>
      </c>
      <c r="L1465" s="27">
        <f>SUMIFS(실시간콜입력!$K:$K,실시간콜입력!$B:$B,$A1465,실시간콜입력!$G:$G,$B1465,실시간콜입력!$O:$O,"방문완료")+SUMIFS(실시간콜입력!$L:$L,실시간콜입력!$B:$B,$A1465,실시간콜입력!$H:$H,$B1465,실시간콜입력!$O:$O,"방문완료")</f>
        <v>0</v>
      </c>
      <c r="M1465" s="29" t="str">
        <f t="shared" si="199"/>
        <v/>
      </c>
      <c r="N1465" s="29"/>
    </row>
    <row r="1466" spans="1:14" ht="19.5" hidden="1" customHeight="1" outlineLevel="1">
      <c r="A1466" s="30">
        <f>IF(29&lt;=DAY(DATE(YEAR(설정_코스수당!$K$2),MONTH(설정_코스수당!$K$2)+1,0)),DATE(YEAR(설정_코스수당!$K$2),MONTH(설정_코스수당!$K$2),29),"")</f>
        <v>46202</v>
      </c>
      <c r="B1466" s="29" t="s">
        <v>166</v>
      </c>
      <c r="C1466" s="29"/>
      <c r="D1466" s="29"/>
      <c r="E1466" s="29" t="str">
        <f t="shared" si="197"/>
        <v/>
      </c>
      <c r="F1466" s="29">
        <f>COUNTIFS(실시간콜입력!$B:$B,$A1466,실시간콜입력!$E:$E,"A",실시간콜입력!$G:$G,$B1466,실시간콜입력!$O:$O,"방문완료")+COUNTIFS(실시간콜입력!$B:$B,$A1466,실시간콜입력!$E:$E,"A",실시간콜입력!$H:$H,$B1466,실시간콜입력!$O:$O,"방문완료")</f>
        <v>0</v>
      </c>
      <c r="G1466" s="29">
        <f>COUNTIFS(실시간콜입력!$B:$B,$A1466,실시간콜입력!$E:$E,"B",실시간콜입력!$G:$G,$B1466,실시간콜입력!$O:$O,"방문완료")+COUNTIFS(실시간콜입력!$B:$B,$A1466,실시간콜입력!$E:$E,"B",실시간콜입력!$H:$H,$B1466,실시간콜입력!$O:$O,"방문완료")</f>
        <v>0</v>
      </c>
      <c r="H1466" s="29">
        <f>COUNTIFS(실시간콜입력!$B:$B,$A1466,실시간콜입력!$E:$E,"C",실시간콜입력!$G:$G,$B1466,실시간콜입력!$O:$O,"방문완료")+COUNTIFS(실시간콜입력!$B:$B,$A1466,실시간콜입력!$E:$E,"C",실시간콜입력!$H:$H,$B1466,실시간콜입력!$O:$O,"방문완료")</f>
        <v>0</v>
      </c>
      <c r="I1466" s="29">
        <f>COUNTIFS(실시간콜입력!$B:$B,$A1466,실시간콜입력!$E:$E,"D",실시간콜입력!$G:$G,$B1466,실시간콜입력!$O:$O,"방문완료")+COUNTIFS(실시간콜입력!$B:$B,$A1466,실시간콜입력!$E:$E,"D",실시간콜입력!$H:$H,$B1466,실시간콜입력!$O:$O,"방문완료")</f>
        <v>0</v>
      </c>
      <c r="J1466" s="29">
        <f>COUNTIFS(실시간콜입력!$B:$B,$A1466,실시간콜입력!$E:$E,"E",실시간콜입력!$G:$G,$B1466,실시간콜입력!$O:$O,"방문완료")+COUNTIFS(실시간콜입력!$B:$B,$A1466,실시간콜입력!$E:$E,"E",실시간콜입력!$H:$H,$B1466,실시간콜입력!$O:$O,"방문완료")</f>
        <v>0</v>
      </c>
      <c r="K1466" s="29">
        <f t="shared" si="198"/>
        <v>0</v>
      </c>
      <c r="L1466" s="33">
        <f>SUMIFS(실시간콜입력!$K:$K,실시간콜입력!$B:$B,$A1466,실시간콜입력!$G:$G,$B1466,실시간콜입력!$O:$O,"방문완료")+SUMIFS(실시간콜입력!$L:$L,실시간콜입력!$B:$B,$A1466,실시간콜입력!$H:$H,$B1466,실시간콜입력!$O:$O,"방문완료")</f>
        <v>0</v>
      </c>
      <c r="M1466" s="29" t="str">
        <f t="shared" si="199"/>
        <v/>
      </c>
      <c r="N1466" s="29"/>
    </row>
    <row r="1467" spans="1:14" ht="19.5" hidden="1" customHeight="1" outlineLevel="1">
      <c r="A1467" s="24">
        <f>IF(29&lt;=DAY(DATE(YEAR(설정_코스수당!$K$2),MONTH(설정_코스수당!$K$2)+1,0)),DATE(YEAR(설정_코스수당!$K$2),MONTH(설정_코스수당!$K$2),29),"")</f>
        <v>46202</v>
      </c>
      <c r="B1467" s="23" t="s">
        <v>167</v>
      </c>
      <c r="C1467" s="29"/>
      <c r="D1467" s="29"/>
      <c r="E1467" s="29" t="str">
        <f t="shared" si="197"/>
        <v/>
      </c>
      <c r="F1467" s="29">
        <f>COUNTIFS(실시간콜입력!$B:$B,$A1467,실시간콜입력!$E:$E,"A",실시간콜입력!$G:$G,$B1467,실시간콜입력!$O:$O,"방문완료")+COUNTIFS(실시간콜입력!$B:$B,$A1467,실시간콜입력!$E:$E,"A",실시간콜입력!$H:$H,$B1467,실시간콜입력!$O:$O,"방문완료")</f>
        <v>0</v>
      </c>
      <c r="G1467" s="29">
        <f>COUNTIFS(실시간콜입력!$B:$B,$A1467,실시간콜입력!$E:$E,"B",실시간콜입력!$G:$G,$B1467,실시간콜입력!$O:$O,"방문완료")+COUNTIFS(실시간콜입력!$B:$B,$A1467,실시간콜입력!$E:$E,"B",실시간콜입력!$H:$H,$B1467,실시간콜입력!$O:$O,"방문완료")</f>
        <v>0</v>
      </c>
      <c r="H1467" s="29">
        <f>COUNTIFS(실시간콜입력!$B:$B,$A1467,실시간콜입력!$E:$E,"C",실시간콜입력!$G:$G,$B1467,실시간콜입력!$O:$O,"방문완료")+COUNTIFS(실시간콜입력!$B:$B,$A1467,실시간콜입력!$E:$E,"C",실시간콜입력!$H:$H,$B1467,실시간콜입력!$O:$O,"방문완료")</f>
        <v>0</v>
      </c>
      <c r="I1467" s="29">
        <f>COUNTIFS(실시간콜입력!$B:$B,$A1467,실시간콜입력!$E:$E,"D",실시간콜입력!$G:$G,$B1467,실시간콜입력!$O:$O,"방문완료")+COUNTIFS(실시간콜입력!$B:$B,$A1467,실시간콜입력!$E:$E,"D",실시간콜입력!$H:$H,$B1467,실시간콜입력!$O:$O,"방문완료")</f>
        <v>0</v>
      </c>
      <c r="J1467" s="29">
        <f>COUNTIFS(실시간콜입력!$B:$B,$A1467,실시간콜입력!$E:$E,"E",실시간콜입력!$G:$G,$B1467,실시간콜입력!$O:$O,"방문완료")+COUNTIFS(실시간콜입력!$B:$B,$A1467,실시간콜입력!$E:$E,"E",실시간콜입력!$H:$H,$B1467,실시간콜입력!$O:$O,"방문완료")</f>
        <v>0</v>
      </c>
      <c r="K1467" s="29">
        <f t="shared" si="198"/>
        <v>0</v>
      </c>
      <c r="L1467" s="27">
        <f>SUMIFS(실시간콜입력!$K:$K,실시간콜입력!$B:$B,$A1467,실시간콜입력!$G:$G,$B1467,실시간콜입력!$O:$O,"방문완료")+SUMIFS(실시간콜입력!$L:$L,실시간콜입력!$B:$B,$A1467,실시간콜입력!$H:$H,$B1467,실시간콜입력!$O:$O,"방문완료")</f>
        <v>0</v>
      </c>
      <c r="M1467" s="29" t="str">
        <f t="shared" si="199"/>
        <v/>
      </c>
      <c r="N1467" s="29"/>
    </row>
    <row r="1468" spans="1:14" ht="19.5" hidden="1" customHeight="1" outlineLevel="1">
      <c r="A1468" s="30">
        <f>IF(29&lt;=DAY(DATE(YEAR(설정_코스수당!$K$2),MONTH(설정_코스수당!$K$2)+1,0)),DATE(YEAR(설정_코스수당!$K$2),MONTH(설정_코스수당!$K$2),29),"")</f>
        <v>46202</v>
      </c>
      <c r="B1468" s="29" t="s">
        <v>168</v>
      </c>
      <c r="C1468" s="29"/>
      <c r="D1468" s="29"/>
      <c r="E1468" s="29" t="str">
        <f t="shared" si="197"/>
        <v/>
      </c>
      <c r="F1468" s="29">
        <f>COUNTIFS(실시간콜입력!$B:$B,$A1468,실시간콜입력!$E:$E,"A",실시간콜입력!$G:$G,$B1468,실시간콜입력!$O:$O,"방문완료")+COUNTIFS(실시간콜입력!$B:$B,$A1468,실시간콜입력!$E:$E,"A",실시간콜입력!$H:$H,$B1468,실시간콜입력!$O:$O,"방문완료")</f>
        <v>0</v>
      </c>
      <c r="G1468" s="29">
        <f>COUNTIFS(실시간콜입력!$B:$B,$A1468,실시간콜입력!$E:$E,"B",실시간콜입력!$G:$G,$B1468,실시간콜입력!$O:$O,"방문완료")+COUNTIFS(실시간콜입력!$B:$B,$A1468,실시간콜입력!$E:$E,"B",실시간콜입력!$H:$H,$B1468,실시간콜입력!$O:$O,"방문완료")</f>
        <v>0</v>
      </c>
      <c r="H1468" s="29">
        <f>COUNTIFS(실시간콜입력!$B:$B,$A1468,실시간콜입력!$E:$E,"C",실시간콜입력!$G:$G,$B1468,실시간콜입력!$O:$O,"방문완료")+COUNTIFS(실시간콜입력!$B:$B,$A1468,실시간콜입력!$E:$E,"C",실시간콜입력!$H:$H,$B1468,실시간콜입력!$O:$O,"방문완료")</f>
        <v>0</v>
      </c>
      <c r="I1468" s="29">
        <f>COUNTIFS(실시간콜입력!$B:$B,$A1468,실시간콜입력!$E:$E,"D",실시간콜입력!$G:$G,$B1468,실시간콜입력!$O:$O,"방문완료")+COUNTIFS(실시간콜입력!$B:$B,$A1468,실시간콜입력!$E:$E,"D",실시간콜입력!$H:$H,$B1468,실시간콜입력!$O:$O,"방문완료")</f>
        <v>0</v>
      </c>
      <c r="J1468" s="29">
        <f>COUNTIFS(실시간콜입력!$B:$B,$A1468,실시간콜입력!$E:$E,"E",실시간콜입력!$G:$G,$B1468,실시간콜입력!$O:$O,"방문완료")+COUNTIFS(실시간콜입력!$B:$B,$A1468,실시간콜입력!$E:$E,"E",실시간콜입력!$H:$H,$B1468,실시간콜입력!$O:$O,"방문완료")</f>
        <v>0</v>
      </c>
      <c r="K1468" s="29">
        <f t="shared" si="198"/>
        <v>0</v>
      </c>
      <c r="L1468" s="33">
        <f>SUMIFS(실시간콜입력!$K:$K,실시간콜입력!$B:$B,$A1468,실시간콜입력!$G:$G,$B1468,실시간콜입력!$O:$O,"방문완료")+SUMIFS(실시간콜입력!$L:$L,실시간콜입력!$B:$B,$A1468,실시간콜입력!$H:$H,$B1468,실시간콜입력!$O:$O,"방문완료")</f>
        <v>0</v>
      </c>
      <c r="M1468" s="29" t="str">
        <f t="shared" si="199"/>
        <v/>
      </c>
      <c r="N1468" s="29"/>
    </row>
    <row r="1469" spans="1:14" ht="19.5" hidden="1" customHeight="1" outlineLevel="1">
      <c r="A1469" s="24">
        <f>IF(29&lt;=DAY(DATE(YEAR(설정_코스수당!$K$2),MONTH(설정_코스수당!$K$2)+1,0)),DATE(YEAR(설정_코스수당!$K$2),MONTH(설정_코스수당!$K$2),29),"")</f>
        <v>46202</v>
      </c>
      <c r="B1469" s="23" t="s">
        <v>169</v>
      </c>
      <c r="C1469" s="29"/>
      <c r="D1469" s="29"/>
      <c r="E1469" s="29" t="str">
        <f t="shared" si="197"/>
        <v/>
      </c>
      <c r="F1469" s="29">
        <f>COUNTIFS(실시간콜입력!$B:$B,$A1469,실시간콜입력!$E:$E,"A",실시간콜입력!$G:$G,$B1469,실시간콜입력!$O:$O,"방문완료")+COUNTIFS(실시간콜입력!$B:$B,$A1469,실시간콜입력!$E:$E,"A",실시간콜입력!$H:$H,$B1469,실시간콜입력!$O:$O,"방문완료")</f>
        <v>0</v>
      </c>
      <c r="G1469" s="29">
        <f>COUNTIFS(실시간콜입력!$B:$B,$A1469,실시간콜입력!$E:$E,"B",실시간콜입력!$G:$G,$B1469,실시간콜입력!$O:$O,"방문완료")+COUNTIFS(실시간콜입력!$B:$B,$A1469,실시간콜입력!$E:$E,"B",실시간콜입력!$H:$H,$B1469,실시간콜입력!$O:$O,"방문완료")</f>
        <v>0</v>
      </c>
      <c r="H1469" s="29">
        <f>COUNTIFS(실시간콜입력!$B:$B,$A1469,실시간콜입력!$E:$E,"C",실시간콜입력!$G:$G,$B1469,실시간콜입력!$O:$O,"방문완료")+COUNTIFS(실시간콜입력!$B:$B,$A1469,실시간콜입력!$E:$E,"C",실시간콜입력!$H:$H,$B1469,실시간콜입력!$O:$O,"방문완료")</f>
        <v>0</v>
      </c>
      <c r="I1469" s="29">
        <f>COUNTIFS(실시간콜입력!$B:$B,$A1469,실시간콜입력!$E:$E,"D",실시간콜입력!$G:$G,$B1469,실시간콜입력!$O:$O,"방문완료")+COUNTIFS(실시간콜입력!$B:$B,$A1469,실시간콜입력!$E:$E,"D",실시간콜입력!$H:$H,$B1469,실시간콜입력!$O:$O,"방문완료")</f>
        <v>0</v>
      </c>
      <c r="J1469" s="29">
        <f>COUNTIFS(실시간콜입력!$B:$B,$A1469,실시간콜입력!$E:$E,"E",실시간콜입력!$G:$G,$B1469,실시간콜입력!$O:$O,"방문완료")+COUNTIFS(실시간콜입력!$B:$B,$A1469,실시간콜입력!$E:$E,"E",실시간콜입력!$H:$H,$B1469,실시간콜입력!$O:$O,"방문완료")</f>
        <v>0</v>
      </c>
      <c r="K1469" s="29">
        <f t="shared" si="198"/>
        <v>0</v>
      </c>
      <c r="L1469" s="27">
        <f>SUMIFS(실시간콜입력!$K:$K,실시간콜입력!$B:$B,$A1469,실시간콜입력!$G:$G,$B1469,실시간콜입력!$O:$O,"방문완료")+SUMIFS(실시간콜입력!$L:$L,실시간콜입력!$B:$B,$A1469,실시간콜입력!$H:$H,$B1469,실시간콜입력!$O:$O,"방문완료")</f>
        <v>0</v>
      </c>
      <c r="M1469" s="29" t="str">
        <f t="shared" si="199"/>
        <v/>
      </c>
      <c r="N1469" s="29"/>
    </row>
    <row r="1470" spans="1:14" ht="19.5" hidden="1" customHeight="1" outlineLevel="1">
      <c r="A1470" s="30">
        <f>IF(29&lt;=DAY(DATE(YEAR(설정_코스수당!$K$2),MONTH(설정_코스수당!$K$2)+1,0)),DATE(YEAR(설정_코스수당!$K$2),MONTH(설정_코스수당!$K$2),29),"")</f>
        <v>46202</v>
      </c>
      <c r="B1470" s="29" t="s">
        <v>170</v>
      </c>
      <c r="C1470" s="29"/>
      <c r="D1470" s="29"/>
      <c r="E1470" s="29" t="str">
        <f t="shared" si="197"/>
        <v/>
      </c>
      <c r="F1470" s="29">
        <f>COUNTIFS(실시간콜입력!$B:$B,$A1470,실시간콜입력!$E:$E,"A",실시간콜입력!$G:$G,$B1470,실시간콜입력!$O:$O,"방문완료")+COUNTIFS(실시간콜입력!$B:$B,$A1470,실시간콜입력!$E:$E,"A",실시간콜입력!$H:$H,$B1470,실시간콜입력!$O:$O,"방문완료")</f>
        <v>0</v>
      </c>
      <c r="G1470" s="29">
        <f>COUNTIFS(실시간콜입력!$B:$B,$A1470,실시간콜입력!$E:$E,"B",실시간콜입력!$G:$G,$B1470,실시간콜입력!$O:$O,"방문완료")+COUNTIFS(실시간콜입력!$B:$B,$A1470,실시간콜입력!$E:$E,"B",실시간콜입력!$H:$H,$B1470,실시간콜입력!$O:$O,"방문완료")</f>
        <v>0</v>
      </c>
      <c r="H1470" s="29">
        <f>COUNTIFS(실시간콜입력!$B:$B,$A1470,실시간콜입력!$E:$E,"C",실시간콜입력!$G:$G,$B1470,실시간콜입력!$O:$O,"방문완료")+COUNTIFS(실시간콜입력!$B:$B,$A1470,실시간콜입력!$E:$E,"C",실시간콜입력!$H:$H,$B1470,실시간콜입력!$O:$O,"방문완료")</f>
        <v>0</v>
      </c>
      <c r="I1470" s="29">
        <f>COUNTIFS(실시간콜입력!$B:$B,$A1470,실시간콜입력!$E:$E,"D",실시간콜입력!$G:$G,$B1470,실시간콜입력!$O:$O,"방문완료")+COUNTIFS(실시간콜입력!$B:$B,$A1470,실시간콜입력!$E:$E,"D",실시간콜입력!$H:$H,$B1470,실시간콜입력!$O:$O,"방문완료")</f>
        <v>0</v>
      </c>
      <c r="J1470" s="29">
        <f>COUNTIFS(실시간콜입력!$B:$B,$A1470,실시간콜입력!$E:$E,"E",실시간콜입력!$G:$G,$B1470,실시간콜입력!$O:$O,"방문완료")+COUNTIFS(실시간콜입력!$B:$B,$A1470,실시간콜입력!$E:$E,"E",실시간콜입력!$H:$H,$B1470,실시간콜입력!$O:$O,"방문완료")</f>
        <v>0</v>
      </c>
      <c r="K1470" s="29">
        <f t="shared" si="198"/>
        <v>0</v>
      </c>
      <c r="L1470" s="33">
        <f>SUMIFS(실시간콜입력!$K:$K,실시간콜입력!$B:$B,$A1470,실시간콜입력!$G:$G,$B1470,실시간콜입력!$O:$O,"방문완료")+SUMIFS(실시간콜입력!$L:$L,실시간콜입력!$B:$B,$A1470,실시간콜입력!$H:$H,$B1470,실시간콜입력!$O:$O,"방문완료")</f>
        <v>0</v>
      </c>
      <c r="M1470" s="29" t="str">
        <f t="shared" si="199"/>
        <v/>
      </c>
      <c r="N1470" s="29"/>
    </row>
    <row r="1471" spans="1:14" ht="19.5" hidden="1" customHeight="1" outlineLevel="1">
      <c r="A1471" s="24">
        <f>IF(29&lt;=DAY(DATE(YEAR(설정_코스수당!$K$2),MONTH(설정_코스수당!$K$2)+1,0)),DATE(YEAR(설정_코스수당!$K$2),MONTH(설정_코스수당!$K$2),29),"")</f>
        <v>46202</v>
      </c>
      <c r="B1471" s="23" t="s">
        <v>171</v>
      </c>
      <c r="C1471" s="29"/>
      <c r="D1471" s="29"/>
      <c r="E1471" s="29" t="str">
        <f t="shared" si="197"/>
        <v/>
      </c>
      <c r="F1471" s="29">
        <f>COUNTIFS(실시간콜입력!$B:$B,$A1471,실시간콜입력!$E:$E,"A",실시간콜입력!$G:$G,$B1471,실시간콜입력!$O:$O,"방문완료")+COUNTIFS(실시간콜입력!$B:$B,$A1471,실시간콜입력!$E:$E,"A",실시간콜입력!$H:$H,$B1471,실시간콜입력!$O:$O,"방문완료")</f>
        <v>0</v>
      </c>
      <c r="G1471" s="29">
        <f>COUNTIFS(실시간콜입력!$B:$B,$A1471,실시간콜입력!$E:$E,"B",실시간콜입력!$G:$G,$B1471,실시간콜입력!$O:$O,"방문완료")+COUNTIFS(실시간콜입력!$B:$B,$A1471,실시간콜입력!$E:$E,"B",실시간콜입력!$H:$H,$B1471,실시간콜입력!$O:$O,"방문완료")</f>
        <v>0</v>
      </c>
      <c r="H1471" s="29">
        <f>COUNTIFS(실시간콜입력!$B:$B,$A1471,실시간콜입력!$E:$E,"C",실시간콜입력!$G:$G,$B1471,실시간콜입력!$O:$O,"방문완료")+COUNTIFS(실시간콜입력!$B:$B,$A1471,실시간콜입력!$E:$E,"C",실시간콜입력!$H:$H,$B1471,실시간콜입력!$O:$O,"방문완료")</f>
        <v>0</v>
      </c>
      <c r="I1471" s="29">
        <f>COUNTIFS(실시간콜입력!$B:$B,$A1471,실시간콜입력!$E:$E,"D",실시간콜입력!$G:$G,$B1471,실시간콜입력!$O:$O,"방문완료")+COUNTIFS(실시간콜입력!$B:$B,$A1471,실시간콜입력!$E:$E,"D",실시간콜입력!$H:$H,$B1471,실시간콜입력!$O:$O,"방문완료")</f>
        <v>0</v>
      </c>
      <c r="J1471" s="29">
        <f>COUNTIFS(실시간콜입력!$B:$B,$A1471,실시간콜입력!$E:$E,"E",실시간콜입력!$G:$G,$B1471,실시간콜입력!$O:$O,"방문완료")+COUNTIFS(실시간콜입력!$B:$B,$A1471,실시간콜입력!$E:$E,"E",실시간콜입력!$H:$H,$B1471,실시간콜입력!$O:$O,"방문완료")</f>
        <v>0</v>
      </c>
      <c r="K1471" s="29">
        <f t="shared" si="198"/>
        <v>0</v>
      </c>
      <c r="L1471" s="27">
        <f>SUMIFS(실시간콜입력!$K:$K,실시간콜입력!$B:$B,$A1471,실시간콜입력!$G:$G,$B1471,실시간콜입력!$O:$O,"방문완료")+SUMIFS(실시간콜입력!$L:$L,실시간콜입력!$B:$B,$A1471,실시간콜입력!$H:$H,$B1471,실시간콜입력!$O:$O,"방문완료")</f>
        <v>0</v>
      </c>
      <c r="M1471" s="29" t="str">
        <f t="shared" si="199"/>
        <v/>
      </c>
      <c r="N1471" s="29"/>
    </row>
    <row r="1472" spans="1:14" ht="19.5" hidden="1" customHeight="1" outlineLevel="1">
      <c r="A1472" s="30">
        <f>IF(29&lt;=DAY(DATE(YEAR(설정_코스수당!$K$2),MONTH(설정_코스수당!$K$2)+1,0)),DATE(YEAR(설정_코스수당!$K$2),MONTH(설정_코스수당!$K$2),29),"")</f>
        <v>46202</v>
      </c>
      <c r="B1472" s="29" t="s">
        <v>172</v>
      </c>
      <c r="C1472" s="29"/>
      <c r="D1472" s="29"/>
      <c r="E1472" s="29" t="str">
        <f t="shared" si="197"/>
        <v/>
      </c>
      <c r="F1472" s="29">
        <f>COUNTIFS(실시간콜입력!$B:$B,$A1472,실시간콜입력!$E:$E,"A",실시간콜입력!$G:$G,$B1472,실시간콜입력!$O:$O,"방문완료")+COUNTIFS(실시간콜입력!$B:$B,$A1472,실시간콜입력!$E:$E,"A",실시간콜입력!$H:$H,$B1472,실시간콜입력!$O:$O,"방문완료")</f>
        <v>0</v>
      </c>
      <c r="G1472" s="29">
        <f>COUNTIFS(실시간콜입력!$B:$B,$A1472,실시간콜입력!$E:$E,"B",실시간콜입력!$G:$G,$B1472,실시간콜입력!$O:$O,"방문완료")+COUNTIFS(실시간콜입력!$B:$B,$A1472,실시간콜입력!$E:$E,"B",실시간콜입력!$H:$H,$B1472,실시간콜입력!$O:$O,"방문완료")</f>
        <v>0</v>
      </c>
      <c r="H1472" s="29">
        <f>COUNTIFS(실시간콜입력!$B:$B,$A1472,실시간콜입력!$E:$E,"C",실시간콜입력!$G:$G,$B1472,실시간콜입력!$O:$O,"방문완료")+COUNTIFS(실시간콜입력!$B:$B,$A1472,실시간콜입력!$E:$E,"C",실시간콜입력!$H:$H,$B1472,실시간콜입력!$O:$O,"방문완료")</f>
        <v>0</v>
      </c>
      <c r="I1472" s="29">
        <f>COUNTIFS(실시간콜입력!$B:$B,$A1472,실시간콜입력!$E:$E,"D",실시간콜입력!$G:$G,$B1472,실시간콜입력!$O:$O,"방문완료")+COUNTIFS(실시간콜입력!$B:$B,$A1472,실시간콜입력!$E:$E,"D",실시간콜입력!$H:$H,$B1472,실시간콜입력!$O:$O,"방문완료")</f>
        <v>0</v>
      </c>
      <c r="J1472" s="29">
        <f>COUNTIFS(실시간콜입력!$B:$B,$A1472,실시간콜입력!$E:$E,"E",실시간콜입력!$G:$G,$B1472,실시간콜입력!$O:$O,"방문완료")+COUNTIFS(실시간콜입력!$B:$B,$A1472,실시간콜입력!$E:$E,"E",실시간콜입력!$H:$H,$B1472,실시간콜입력!$O:$O,"방문완료")</f>
        <v>0</v>
      </c>
      <c r="K1472" s="29">
        <f t="shared" si="198"/>
        <v>0</v>
      </c>
      <c r="L1472" s="33">
        <f>SUMIFS(실시간콜입력!$K:$K,실시간콜입력!$B:$B,$A1472,실시간콜입력!$G:$G,$B1472,실시간콜입력!$O:$O,"방문완료")+SUMIFS(실시간콜입력!$L:$L,실시간콜입력!$B:$B,$A1472,실시간콜입력!$H:$H,$B1472,실시간콜입력!$O:$O,"방문완료")</f>
        <v>0</v>
      </c>
      <c r="M1472" s="29" t="str">
        <f t="shared" si="199"/>
        <v/>
      </c>
      <c r="N1472" s="29"/>
    </row>
    <row r="1473" spans="1:14" ht="19.5" hidden="1" customHeight="1" outlineLevel="1">
      <c r="A1473" s="24">
        <f>IF(29&lt;=DAY(DATE(YEAR(설정_코스수당!$K$2),MONTH(설정_코스수당!$K$2)+1,0)),DATE(YEAR(설정_코스수당!$K$2),MONTH(설정_코스수당!$K$2),29),"")</f>
        <v>46202</v>
      </c>
      <c r="B1473" s="23" t="s">
        <v>173</v>
      </c>
      <c r="C1473" s="29"/>
      <c r="D1473" s="29"/>
      <c r="E1473" s="29" t="str">
        <f t="shared" si="197"/>
        <v/>
      </c>
      <c r="F1473" s="29">
        <f>COUNTIFS(실시간콜입력!$B:$B,$A1473,실시간콜입력!$E:$E,"A",실시간콜입력!$G:$G,$B1473,실시간콜입력!$O:$O,"방문완료")+COUNTIFS(실시간콜입력!$B:$B,$A1473,실시간콜입력!$E:$E,"A",실시간콜입력!$H:$H,$B1473,실시간콜입력!$O:$O,"방문완료")</f>
        <v>0</v>
      </c>
      <c r="G1473" s="29">
        <f>COUNTIFS(실시간콜입력!$B:$B,$A1473,실시간콜입력!$E:$E,"B",실시간콜입력!$G:$G,$B1473,실시간콜입력!$O:$O,"방문완료")+COUNTIFS(실시간콜입력!$B:$B,$A1473,실시간콜입력!$E:$E,"B",실시간콜입력!$H:$H,$B1473,실시간콜입력!$O:$O,"방문완료")</f>
        <v>0</v>
      </c>
      <c r="H1473" s="29">
        <f>COUNTIFS(실시간콜입력!$B:$B,$A1473,실시간콜입력!$E:$E,"C",실시간콜입력!$G:$G,$B1473,실시간콜입력!$O:$O,"방문완료")+COUNTIFS(실시간콜입력!$B:$B,$A1473,실시간콜입력!$E:$E,"C",실시간콜입력!$H:$H,$B1473,실시간콜입력!$O:$O,"방문완료")</f>
        <v>0</v>
      </c>
      <c r="I1473" s="29">
        <f>COUNTIFS(실시간콜입력!$B:$B,$A1473,실시간콜입력!$E:$E,"D",실시간콜입력!$G:$G,$B1473,실시간콜입력!$O:$O,"방문완료")+COUNTIFS(실시간콜입력!$B:$B,$A1473,실시간콜입력!$E:$E,"D",실시간콜입력!$H:$H,$B1473,실시간콜입력!$O:$O,"방문완료")</f>
        <v>0</v>
      </c>
      <c r="J1473" s="29">
        <f>COUNTIFS(실시간콜입력!$B:$B,$A1473,실시간콜입력!$E:$E,"E",실시간콜입력!$G:$G,$B1473,실시간콜입력!$O:$O,"방문완료")+COUNTIFS(실시간콜입력!$B:$B,$A1473,실시간콜입력!$E:$E,"E",실시간콜입력!$H:$H,$B1473,실시간콜입력!$O:$O,"방문완료")</f>
        <v>0</v>
      </c>
      <c r="K1473" s="29">
        <f t="shared" si="198"/>
        <v>0</v>
      </c>
      <c r="L1473" s="27">
        <f>SUMIFS(실시간콜입력!$K:$K,실시간콜입력!$B:$B,$A1473,실시간콜입력!$G:$G,$B1473,실시간콜입력!$O:$O,"방문완료")+SUMIFS(실시간콜입력!$L:$L,실시간콜입력!$B:$B,$A1473,실시간콜입력!$H:$H,$B1473,실시간콜입력!$O:$O,"방문완료")</f>
        <v>0</v>
      </c>
      <c r="M1473" s="29" t="str">
        <f t="shared" si="199"/>
        <v/>
      </c>
      <c r="N1473" s="29"/>
    </row>
    <row r="1474" spans="1:14" ht="19.5" hidden="1" customHeight="1" outlineLevel="1">
      <c r="A1474" s="30">
        <f>IF(29&lt;=DAY(DATE(YEAR(설정_코스수당!$K$2),MONTH(설정_코스수당!$K$2)+1,0)),DATE(YEAR(설정_코스수당!$K$2),MONTH(설정_코스수당!$K$2),29),"")</f>
        <v>46202</v>
      </c>
      <c r="B1474" s="29" t="s">
        <v>174</v>
      </c>
      <c r="C1474" s="29"/>
      <c r="D1474" s="29"/>
      <c r="E1474" s="29" t="str">
        <f t="shared" si="197"/>
        <v/>
      </c>
      <c r="F1474" s="29">
        <f>COUNTIFS(실시간콜입력!$B:$B,$A1474,실시간콜입력!$E:$E,"A",실시간콜입력!$G:$G,$B1474,실시간콜입력!$O:$O,"방문완료")+COUNTIFS(실시간콜입력!$B:$B,$A1474,실시간콜입력!$E:$E,"A",실시간콜입력!$H:$H,$B1474,실시간콜입력!$O:$O,"방문완료")</f>
        <v>0</v>
      </c>
      <c r="G1474" s="29">
        <f>COUNTIFS(실시간콜입력!$B:$B,$A1474,실시간콜입력!$E:$E,"B",실시간콜입력!$G:$G,$B1474,실시간콜입력!$O:$O,"방문완료")+COUNTIFS(실시간콜입력!$B:$B,$A1474,실시간콜입력!$E:$E,"B",실시간콜입력!$H:$H,$B1474,실시간콜입력!$O:$O,"방문완료")</f>
        <v>0</v>
      </c>
      <c r="H1474" s="29">
        <f>COUNTIFS(실시간콜입력!$B:$B,$A1474,실시간콜입력!$E:$E,"C",실시간콜입력!$G:$G,$B1474,실시간콜입력!$O:$O,"방문완료")+COUNTIFS(실시간콜입력!$B:$B,$A1474,실시간콜입력!$E:$E,"C",실시간콜입력!$H:$H,$B1474,실시간콜입력!$O:$O,"방문완료")</f>
        <v>0</v>
      </c>
      <c r="I1474" s="29">
        <f>COUNTIFS(실시간콜입력!$B:$B,$A1474,실시간콜입력!$E:$E,"D",실시간콜입력!$G:$G,$B1474,실시간콜입력!$O:$O,"방문완료")+COUNTIFS(실시간콜입력!$B:$B,$A1474,실시간콜입력!$E:$E,"D",실시간콜입력!$H:$H,$B1474,실시간콜입력!$O:$O,"방문완료")</f>
        <v>0</v>
      </c>
      <c r="J1474" s="29">
        <f>COUNTIFS(실시간콜입력!$B:$B,$A1474,실시간콜입력!$E:$E,"E",실시간콜입력!$G:$G,$B1474,실시간콜입력!$O:$O,"방문완료")+COUNTIFS(실시간콜입력!$B:$B,$A1474,실시간콜입력!$E:$E,"E",실시간콜입력!$H:$H,$B1474,실시간콜입력!$O:$O,"방문완료")</f>
        <v>0</v>
      </c>
      <c r="K1474" s="29">
        <f t="shared" si="198"/>
        <v>0</v>
      </c>
      <c r="L1474" s="33">
        <f>SUMIFS(실시간콜입력!$K:$K,실시간콜입력!$B:$B,$A1474,실시간콜입력!$G:$G,$B1474,실시간콜입력!$O:$O,"방문완료")+SUMIFS(실시간콜입력!$L:$L,실시간콜입력!$B:$B,$A1474,실시간콜입력!$H:$H,$B1474,실시간콜입력!$O:$O,"방문완료")</f>
        <v>0</v>
      </c>
      <c r="M1474" s="29" t="str">
        <f t="shared" si="199"/>
        <v/>
      </c>
      <c r="N1474" s="29"/>
    </row>
    <row r="1475" spans="1:14" ht="19.5" hidden="1" customHeight="1" outlineLevel="1">
      <c r="A1475" s="24">
        <f>IF(29&lt;=DAY(DATE(YEAR(설정_코스수당!$K$2),MONTH(설정_코스수당!$K$2)+1,0)),DATE(YEAR(설정_코스수당!$K$2),MONTH(설정_코스수당!$K$2),29),"")</f>
        <v>46202</v>
      </c>
      <c r="B1475" s="23" t="s">
        <v>175</v>
      </c>
      <c r="C1475" s="29"/>
      <c r="D1475" s="29"/>
      <c r="E1475" s="29" t="str">
        <f t="shared" si="197"/>
        <v/>
      </c>
      <c r="F1475" s="29">
        <f>COUNTIFS(실시간콜입력!$B:$B,$A1475,실시간콜입력!$E:$E,"A",실시간콜입력!$G:$G,$B1475,실시간콜입력!$O:$O,"방문완료")+COUNTIFS(실시간콜입력!$B:$B,$A1475,실시간콜입력!$E:$E,"A",실시간콜입력!$H:$H,$B1475,실시간콜입력!$O:$O,"방문완료")</f>
        <v>0</v>
      </c>
      <c r="G1475" s="29">
        <f>COUNTIFS(실시간콜입력!$B:$B,$A1475,실시간콜입력!$E:$E,"B",실시간콜입력!$G:$G,$B1475,실시간콜입력!$O:$O,"방문완료")+COUNTIFS(실시간콜입력!$B:$B,$A1475,실시간콜입력!$E:$E,"B",실시간콜입력!$H:$H,$B1475,실시간콜입력!$O:$O,"방문완료")</f>
        <v>0</v>
      </c>
      <c r="H1475" s="29">
        <f>COUNTIFS(실시간콜입력!$B:$B,$A1475,실시간콜입력!$E:$E,"C",실시간콜입력!$G:$G,$B1475,실시간콜입력!$O:$O,"방문완료")+COUNTIFS(실시간콜입력!$B:$B,$A1475,실시간콜입력!$E:$E,"C",실시간콜입력!$H:$H,$B1475,실시간콜입력!$O:$O,"방문완료")</f>
        <v>0</v>
      </c>
      <c r="I1475" s="29">
        <f>COUNTIFS(실시간콜입력!$B:$B,$A1475,실시간콜입력!$E:$E,"D",실시간콜입력!$G:$G,$B1475,실시간콜입력!$O:$O,"방문완료")+COUNTIFS(실시간콜입력!$B:$B,$A1475,실시간콜입력!$E:$E,"D",실시간콜입력!$H:$H,$B1475,실시간콜입력!$O:$O,"방문완료")</f>
        <v>0</v>
      </c>
      <c r="J1475" s="29">
        <f>COUNTIFS(실시간콜입력!$B:$B,$A1475,실시간콜입력!$E:$E,"E",실시간콜입력!$G:$G,$B1475,실시간콜입력!$O:$O,"방문완료")+COUNTIFS(실시간콜입력!$B:$B,$A1475,실시간콜입력!$E:$E,"E",실시간콜입력!$H:$H,$B1475,실시간콜입력!$O:$O,"방문완료")</f>
        <v>0</v>
      </c>
      <c r="K1475" s="29">
        <f t="shared" si="198"/>
        <v>0</v>
      </c>
      <c r="L1475" s="27">
        <f>SUMIFS(실시간콜입력!$K:$K,실시간콜입력!$B:$B,$A1475,실시간콜입력!$G:$G,$B1475,실시간콜입력!$O:$O,"방문완료")+SUMIFS(실시간콜입력!$L:$L,실시간콜입력!$B:$B,$A1475,실시간콜입력!$H:$H,$B1475,실시간콜입력!$O:$O,"방문완료")</f>
        <v>0</v>
      </c>
      <c r="M1475" s="29" t="str">
        <f t="shared" si="199"/>
        <v/>
      </c>
      <c r="N1475" s="29"/>
    </row>
    <row r="1476" spans="1:14" ht="19.5" hidden="1" customHeight="1" outlineLevel="1">
      <c r="A1476" s="30">
        <f>IF(29&lt;=DAY(DATE(YEAR(설정_코스수당!$K$2),MONTH(설정_코스수당!$K$2)+1,0)),DATE(YEAR(설정_코스수당!$K$2),MONTH(설정_코스수당!$K$2),29),"")</f>
        <v>46202</v>
      </c>
      <c r="B1476" s="29" t="s">
        <v>176</v>
      </c>
      <c r="C1476" s="29"/>
      <c r="D1476" s="29"/>
      <c r="E1476" s="29" t="str">
        <f t="shared" si="197"/>
        <v/>
      </c>
      <c r="F1476" s="29">
        <f>COUNTIFS(실시간콜입력!$B:$B,$A1476,실시간콜입력!$E:$E,"A",실시간콜입력!$G:$G,$B1476,실시간콜입력!$O:$O,"방문완료")+COUNTIFS(실시간콜입력!$B:$B,$A1476,실시간콜입력!$E:$E,"A",실시간콜입력!$H:$H,$B1476,실시간콜입력!$O:$O,"방문완료")</f>
        <v>0</v>
      </c>
      <c r="G1476" s="29">
        <f>COUNTIFS(실시간콜입력!$B:$B,$A1476,실시간콜입력!$E:$E,"B",실시간콜입력!$G:$G,$B1476,실시간콜입력!$O:$O,"방문완료")+COUNTIFS(실시간콜입력!$B:$B,$A1476,실시간콜입력!$E:$E,"B",실시간콜입력!$H:$H,$B1476,실시간콜입력!$O:$O,"방문완료")</f>
        <v>0</v>
      </c>
      <c r="H1476" s="29">
        <f>COUNTIFS(실시간콜입력!$B:$B,$A1476,실시간콜입력!$E:$E,"C",실시간콜입력!$G:$G,$B1476,실시간콜입력!$O:$O,"방문완료")+COUNTIFS(실시간콜입력!$B:$B,$A1476,실시간콜입력!$E:$E,"C",실시간콜입력!$H:$H,$B1476,실시간콜입력!$O:$O,"방문완료")</f>
        <v>0</v>
      </c>
      <c r="I1476" s="29">
        <f>COUNTIFS(실시간콜입력!$B:$B,$A1476,실시간콜입력!$E:$E,"D",실시간콜입력!$G:$G,$B1476,실시간콜입력!$O:$O,"방문완료")+COUNTIFS(실시간콜입력!$B:$B,$A1476,실시간콜입력!$E:$E,"D",실시간콜입력!$H:$H,$B1476,실시간콜입력!$O:$O,"방문완료")</f>
        <v>0</v>
      </c>
      <c r="J1476" s="29">
        <f>COUNTIFS(실시간콜입력!$B:$B,$A1476,실시간콜입력!$E:$E,"E",실시간콜입력!$G:$G,$B1476,실시간콜입력!$O:$O,"방문완료")+COUNTIFS(실시간콜입력!$B:$B,$A1476,실시간콜입력!$E:$E,"E",실시간콜입력!$H:$H,$B1476,실시간콜입력!$O:$O,"방문완료")</f>
        <v>0</v>
      </c>
      <c r="K1476" s="29">
        <f t="shared" si="198"/>
        <v>0</v>
      </c>
      <c r="L1476" s="33">
        <f>SUMIFS(실시간콜입력!$K:$K,실시간콜입력!$B:$B,$A1476,실시간콜입력!$G:$G,$B1476,실시간콜입력!$O:$O,"방문완료")+SUMIFS(실시간콜입력!$L:$L,실시간콜입력!$B:$B,$A1476,실시간콜입력!$H:$H,$B1476,실시간콜입력!$O:$O,"방문완료")</f>
        <v>0</v>
      </c>
      <c r="M1476" s="29" t="str">
        <f t="shared" si="199"/>
        <v/>
      </c>
      <c r="N1476" s="29"/>
    </row>
    <row r="1477" spans="1:14" ht="19.5" hidden="1" customHeight="1" outlineLevel="1">
      <c r="A1477" s="24">
        <f>IF(29&lt;=DAY(DATE(YEAR(설정_코스수당!$K$2),MONTH(설정_코스수당!$K$2)+1,0)),DATE(YEAR(설정_코스수당!$K$2),MONTH(설정_코스수당!$K$2),29),"")</f>
        <v>46202</v>
      </c>
      <c r="B1477" s="23" t="s">
        <v>177</v>
      </c>
      <c r="C1477" s="29"/>
      <c r="D1477" s="29"/>
      <c r="E1477" s="29" t="str">
        <f t="shared" si="197"/>
        <v/>
      </c>
      <c r="F1477" s="29">
        <f>COUNTIFS(실시간콜입력!$B:$B,$A1477,실시간콜입력!$E:$E,"A",실시간콜입력!$G:$G,$B1477,실시간콜입력!$O:$O,"방문완료")+COUNTIFS(실시간콜입력!$B:$B,$A1477,실시간콜입력!$E:$E,"A",실시간콜입력!$H:$H,$B1477,실시간콜입력!$O:$O,"방문완료")</f>
        <v>0</v>
      </c>
      <c r="G1477" s="29">
        <f>COUNTIFS(실시간콜입력!$B:$B,$A1477,실시간콜입력!$E:$E,"B",실시간콜입력!$G:$G,$B1477,실시간콜입력!$O:$O,"방문완료")+COUNTIFS(실시간콜입력!$B:$B,$A1477,실시간콜입력!$E:$E,"B",실시간콜입력!$H:$H,$B1477,실시간콜입력!$O:$O,"방문완료")</f>
        <v>0</v>
      </c>
      <c r="H1477" s="29">
        <f>COUNTIFS(실시간콜입력!$B:$B,$A1477,실시간콜입력!$E:$E,"C",실시간콜입력!$G:$G,$B1477,실시간콜입력!$O:$O,"방문완료")+COUNTIFS(실시간콜입력!$B:$B,$A1477,실시간콜입력!$E:$E,"C",실시간콜입력!$H:$H,$B1477,실시간콜입력!$O:$O,"방문완료")</f>
        <v>0</v>
      </c>
      <c r="I1477" s="29">
        <f>COUNTIFS(실시간콜입력!$B:$B,$A1477,실시간콜입력!$E:$E,"D",실시간콜입력!$G:$G,$B1477,실시간콜입력!$O:$O,"방문완료")+COUNTIFS(실시간콜입력!$B:$B,$A1477,실시간콜입력!$E:$E,"D",실시간콜입력!$H:$H,$B1477,실시간콜입력!$O:$O,"방문완료")</f>
        <v>0</v>
      </c>
      <c r="J1477" s="29">
        <f>COUNTIFS(실시간콜입력!$B:$B,$A1477,실시간콜입력!$E:$E,"E",실시간콜입력!$G:$G,$B1477,실시간콜입력!$O:$O,"방문완료")+COUNTIFS(실시간콜입력!$B:$B,$A1477,실시간콜입력!$E:$E,"E",실시간콜입력!$H:$H,$B1477,실시간콜입력!$O:$O,"방문완료")</f>
        <v>0</v>
      </c>
      <c r="K1477" s="29">
        <f t="shared" si="198"/>
        <v>0</v>
      </c>
      <c r="L1477" s="27">
        <f>SUMIFS(실시간콜입력!$K:$K,실시간콜입력!$B:$B,$A1477,실시간콜입력!$G:$G,$B1477,실시간콜입력!$O:$O,"방문완료")+SUMIFS(실시간콜입력!$L:$L,실시간콜입력!$B:$B,$A1477,실시간콜입력!$H:$H,$B1477,실시간콜입력!$O:$O,"방문완료")</f>
        <v>0</v>
      </c>
      <c r="M1477" s="29" t="str">
        <f t="shared" si="199"/>
        <v/>
      </c>
      <c r="N1477" s="29"/>
    </row>
    <row r="1478" spans="1:14" ht="19.5" hidden="1" customHeight="1" outlineLevel="1">
      <c r="A1478" s="30">
        <f>IF(29&lt;=DAY(DATE(YEAR(설정_코스수당!$K$2),MONTH(설정_코스수당!$K$2)+1,0)),DATE(YEAR(설정_코스수당!$K$2),MONTH(설정_코스수당!$K$2),29),"")</f>
        <v>46202</v>
      </c>
      <c r="B1478" s="29" t="s">
        <v>178</v>
      </c>
      <c r="C1478" s="29"/>
      <c r="D1478" s="29"/>
      <c r="E1478" s="29" t="str">
        <f t="shared" si="197"/>
        <v/>
      </c>
      <c r="F1478" s="29">
        <f>COUNTIFS(실시간콜입력!$B:$B,$A1478,실시간콜입력!$E:$E,"A",실시간콜입력!$G:$G,$B1478,실시간콜입력!$O:$O,"방문완료")+COUNTIFS(실시간콜입력!$B:$B,$A1478,실시간콜입력!$E:$E,"A",실시간콜입력!$H:$H,$B1478,실시간콜입력!$O:$O,"방문완료")</f>
        <v>0</v>
      </c>
      <c r="G1478" s="29">
        <f>COUNTIFS(실시간콜입력!$B:$B,$A1478,실시간콜입력!$E:$E,"B",실시간콜입력!$G:$G,$B1478,실시간콜입력!$O:$O,"방문완료")+COUNTIFS(실시간콜입력!$B:$B,$A1478,실시간콜입력!$E:$E,"B",실시간콜입력!$H:$H,$B1478,실시간콜입력!$O:$O,"방문완료")</f>
        <v>0</v>
      </c>
      <c r="H1478" s="29">
        <f>COUNTIFS(실시간콜입력!$B:$B,$A1478,실시간콜입력!$E:$E,"C",실시간콜입력!$G:$G,$B1478,실시간콜입력!$O:$O,"방문완료")+COUNTIFS(실시간콜입력!$B:$B,$A1478,실시간콜입력!$E:$E,"C",실시간콜입력!$H:$H,$B1478,실시간콜입력!$O:$O,"방문완료")</f>
        <v>0</v>
      </c>
      <c r="I1478" s="29">
        <f>COUNTIFS(실시간콜입력!$B:$B,$A1478,실시간콜입력!$E:$E,"D",실시간콜입력!$G:$G,$B1478,실시간콜입력!$O:$O,"방문완료")+COUNTIFS(실시간콜입력!$B:$B,$A1478,실시간콜입력!$E:$E,"D",실시간콜입력!$H:$H,$B1478,실시간콜입력!$O:$O,"방문완료")</f>
        <v>0</v>
      </c>
      <c r="J1478" s="29">
        <f>COUNTIFS(실시간콜입력!$B:$B,$A1478,실시간콜입력!$E:$E,"E",실시간콜입력!$G:$G,$B1478,실시간콜입력!$O:$O,"방문완료")+COUNTIFS(실시간콜입력!$B:$B,$A1478,실시간콜입력!$E:$E,"E",실시간콜입력!$H:$H,$B1478,실시간콜입력!$O:$O,"방문완료")</f>
        <v>0</v>
      </c>
      <c r="K1478" s="29">
        <f t="shared" si="198"/>
        <v>0</v>
      </c>
      <c r="L1478" s="33">
        <f>SUMIFS(실시간콜입력!$K:$K,실시간콜입력!$B:$B,$A1478,실시간콜입력!$G:$G,$B1478,실시간콜입력!$O:$O,"방문완료")+SUMIFS(실시간콜입력!$L:$L,실시간콜입력!$B:$B,$A1478,실시간콜입력!$H:$H,$B1478,실시간콜입력!$O:$O,"방문완료")</f>
        <v>0</v>
      </c>
      <c r="M1478" s="29" t="str">
        <f t="shared" si="199"/>
        <v/>
      </c>
      <c r="N1478" s="29"/>
    </row>
    <row r="1479" spans="1:14" ht="19.5" hidden="1" customHeight="1" outlineLevel="1">
      <c r="A1479" s="24">
        <f>IF(29&lt;=DAY(DATE(YEAR(설정_코스수당!$K$2),MONTH(설정_코스수당!$K$2)+1,0)),DATE(YEAR(설정_코스수당!$K$2),MONTH(설정_코스수당!$K$2),29),"")</f>
        <v>46202</v>
      </c>
      <c r="B1479" s="23" t="s">
        <v>179</v>
      </c>
      <c r="C1479" s="29"/>
      <c r="D1479" s="29"/>
      <c r="E1479" s="29" t="str">
        <f t="shared" si="197"/>
        <v/>
      </c>
      <c r="F1479" s="29">
        <f>COUNTIFS(실시간콜입력!$B:$B,$A1479,실시간콜입력!$E:$E,"A",실시간콜입력!$G:$G,$B1479,실시간콜입력!$O:$O,"방문완료")+COUNTIFS(실시간콜입력!$B:$B,$A1479,실시간콜입력!$E:$E,"A",실시간콜입력!$H:$H,$B1479,실시간콜입력!$O:$O,"방문완료")</f>
        <v>0</v>
      </c>
      <c r="G1479" s="29">
        <f>COUNTIFS(실시간콜입력!$B:$B,$A1479,실시간콜입력!$E:$E,"B",실시간콜입력!$G:$G,$B1479,실시간콜입력!$O:$O,"방문완료")+COUNTIFS(실시간콜입력!$B:$B,$A1479,실시간콜입력!$E:$E,"B",실시간콜입력!$H:$H,$B1479,실시간콜입력!$O:$O,"방문완료")</f>
        <v>0</v>
      </c>
      <c r="H1479" s="29">
        <f>COUNTIFS(실시간콜입력!$B:$B,$A1479,실시간콜입력!$E:$E,"C",실시간콜입력!$G:$G,$B1479,실시간콜입력!$O:$O,"방문완료")+COUNTIFS(실시간콜입력!$B:$B,$A1479,실시간콜입력!$E:$E,"C",실시간콜입력!$H:$H,$B1479,실시간콜입력!$O:$O,"방문완료")</f>
        <v>0</v>
      </c>
      <c r="I1479" s="29">
        <f>COUNTIFS(실시간콜입력!$B:$B,$A1479,실시간콜입력!$E:$E,"D",실시간콜입력!$G:$G,$B1479,실시간콜입력!$O:$O,"방문완료")+COUNTIFS(실시간콜입력!$B:$B,$A1479,실시간콜입력!$E:$E,"D",실시간콜입력!$H:$H,$B1479,실시간콜입력!$O:$O,"방문완료")</f>
        <v>0</v>
      </c>
      <c r="J1479" s="29">
        <f>COUNTIFS(실시간콜입력!$B:$B,$A1479,실시간콜입력!$E:$E,"E",실시간콜입력!$G:$G,$B1479,실시간콜입력!$O:$O,"방문완료")+COUNTIFS(실시간콜입력!$B:$B,$A1479,실시간콜입력!$E:$E,"E",실시간콜입력!$H:$H,$B1479,실시간콜입력!$O:$O,"방문완료")</f>
        <v>0</v>
      </c>
      <c r="K1479" s="29">
        <f t="shared" si="198"/>
        <v>0</v>
      </c>
      <c r="L1479" s="27">
        <f>SUMIFS(실시간콜입력!$K:$K,실시간콜입력!$B:$B,$A1479,실시간콜입력!$G:$G,$B1479,실시간콜입력!$O:$O,"방문완료")+SUMIFS(실시간콜입력!$L:$L,실시간콜입력!$B:$B,$A1479,실시간콜입력!$H:$H,$B1479,실시간콜입력!$O:$O,"방문완료")</f>
        <v>0</v>
      </c>
      <c r="M1479" s="29" t="str">
        <f t="shared" si="199"/>
        <v/>
      </c>
      <c r="N1479" s="29"/>
    </row>
    <row r="1480" spans="1:14" ht="19.5" hidden="1" customHeight="1" outlineLevel="1">
      <c r="A1480" s="30">
        <f>IF(29&lt;=DAY(DATE(YEAR(설정_코스수당!$K$2),MONTH(설정_코스수당!$K$2)+1,0)),DATE(YEAR(설정_코스수당!$K$2),MONTH(설정_코스수당!$K$2),29),"")</f>
        <v>46202</v>
      </c>
      <c r="B1480" s="29" t="s">
        <v>180</v>
      </c>
      <c r="C1480" s="29"/>
      <c r="D1480" s="29"/>
      <c r="E1480" s="29" t="str">
        <f t="shared" si="197"/>
        <v/>
      </c>
      <c r="F1480" s="29">
        <f>COUNTIFS(실시간콜입력!$B:$B,$A1480,실시간콜입력!$E:$E,"A",실시간콜입력!$G:$G,$B1480,실시간콜입력!$O:$O,"방문완료")+COUNTIFS(실시간콜입력!$B:$B,$A1480,실시간콜입력!$E:$E,"A",실시간콜입력!$H:$H,$B1480,실시간콜입력!$O:$O,"방문완료")</f>
        <v>0</v>
      </c>
      <c r="G1480" s="29">
        <f>COUNTIFS(실시간콜입력!$B:$B,$A1480,실시간콜입력!$E:$E,"B",실시간콜입력!$G:$G,$B1480,실시간콜입력!$O:$O,"방문완료")+COUNTIFS(실시간콜입력!$B:$B,$A1480,실시간콜입력!$E:$E,"B",실시간콜입력!$H:$H,$B1480,실시간콜입력!$O:$O,"방문완료")</f>
        <v>0</v>
      </c>
      <c r="H1480" s="29">
        <f>COUNTIFS(실시간콜입력!$B:$B,$A1480,실시간콜입력!$E:$E,"C",실시간콜입력!$G:$G,$B1480,실시간콜입력!$O:$O,"방문완료")+COUNTIFS(실시간콜입력!$B:$B,$A1480,실시간콜입력!$E:$E,"C",실시간콜입력!$H:$H,$B1480,실시간콜입력!$O:$O,"방문완료")</f>
        <v>0</v>
      </c>
      <c r="I1480" s="29">
        <f>COUNTIFS(실시간콜입력!$B:$B,$A1480,실시간콜입력!$E:$E,"D",실시간콜입력!$G:$G,$B1480,실시간콜입력!$O:$O,"방문완료")+COUNTIFS(실시간콜입력!$B:$B,$A1480,실시간콜입력!$E:$E,"D",실시간콜입력!$H:$H,$B1480,실시간콜입력!$O:$O,"방문완료")</f>
        <v>0</v>
      </c>
      <c r="J1480" s="29">
        <f>COUNTIFS(실시간콜입력!$B:$B,$A1480,실시간콜입력!$E:$E,"E",실시간콜입력!$G:$G,$B1480,실시간콜입력!$O:$O,"방문완료")+COUNTIFS(실시간콜입력!$B:$B,$A1480,실시간콜입력!$E:$E,"E",실시간콜입력!$H:$H,$B1480,실시간콜입력!$O:$O,"방문완료")</f>
        <v>0</v>
      </c>
      <c r="K1480" s="29">
        <f t="shared" si="198"/>
        <v>0</v>
      </c>
      <c r="L1480" s="33">
        <f>SUMIFS(실시간콜입력!$K:$K,실시간콜입력!$B:$B,$A1480,실시간콜입력!$G:$G,$B1480,실시간콜입력!$O:$O,"방문완료")+SUMIFS(실시간콜입력!$L:$L,실시간콜입력!$B:$B,$A1480,실시간콜입력!$H:$H,$B1480,실시간콜입력!$O:$O,"방문완료")</f>
        <v>0</v>
      </c>
      <c r="M1480" s="29" t="str">
        <f t="shared" si="199"/>
        <v/>
      </c>
      <c r="N1480" s="29"/>
    </row>
    <row r="1481" spans="1:14" ht="19.5" hidden="1" customHeight="1" outlineLevel="1">
      <c r="A1481" s="24">
        <f>IF(29&lt;=DAY(DATE(YEAR(설정_코스수당!$K$2),MONTH(설정_코스수당!$K$2)+1,0)),DATE(YEAR(설정_코스수당!$K$2),MONTH(설정_코스수당!$K$2),29),"")</f>
        <v>46202</v>
      </c>
      <c r="B1481" s="23" t="s">
        <v>181</v>
      </c>
      <c r="C1481" s="29"/>
      <c r="D1481" s="29"/>
      <c r="E1481" s="29" t="str">
        <f t="shared" si="197"/>
        <v/>
      </c>
      <c r="F1481" s="29">
        <f>COUNTIFS(실시간콜입력!$B:$B,$A1481,실시간콜입력!$E:$E,"A",실시간콜입력!$G:$G,$B1481,실시간콜입력!$O:$O,"방문완료")+COUNTIFS(실시간콜입력!$B:$B,$A1481,실시간콜입력!$E:$E,"A",실시간콜입력!$H:$H,$B1481,실시간콜입력!$O:$O,"방문완료")</f>
        <v>0</v>
      </c>
      <c r="G1481" s="29">
        <f>COUNTIFS(실시간콜입력!$B:$B,$A1481,실시간콜입력!$E:$E,"B",실시간콜입력!$G:$G,$B1481,실시간콜입력!$O:$O,"방문완료")+COUNTIFS(실시간콜입력!$B:$B,$A1481,실시간콜입력!$E:$E,"B",실시간콜입력!$H:$H,$B1481,실시간콜입력!$O:$O,"방문완료")</f>
        <v>0</v>
      </c>
      <c r="H1481" s="29">
        <f>COUNTIFS(실시간콜입력!$B:$B,$A1481,실시간콜입력!$E:$E,"C",실시간콜입력!$G:$G,$B1481,실시간콜입력!$O:$O,"방문완료")+COUNTIFS(실시간콜입력!$B:$B,$A1481,실시간콜입력!$E:$E,"C",실시간콜입력!$H:$H,$B1481,실시간콜입력!$O:$O,"방문완료")</f>
        <v>0</v>
      </c>
      <c r="I1481" s="29">
        <f>COUNTIFS(실시간콜입력!$B:$B,$A1481,실시간콜입력!$E:$E,"D",실시간콜입력!$G:$G,$B1481,실시간콜입력!$O:$O,"방문완료")+COUNTIFS(실시간콜입력!$B:$B,$A1481,실시간콜입력!$E:$E,"D",실시간콜입력!$H:$H,$B1481,실시간콜입력!$O:$O,"방문완료")</f>
        <v>0</v>
      </c>
      <c r="J1481" s="29">
        <f>COUNTIFS(실시간콜입력!$B:$B,$A1481,실시간콜입력!$E:$E,"E",실시간콜입력!$G:$G,$B1481,실시간콜입력!$O:$O,"방문완료")+COUNTIFS(실시간콜입력!$B:$B,$A1481,실시간콜입력!$E:$E,"E",실시간콜입력!$H:$H,$B1481,실시간콜입력!$O:$O,"방문완료")</f>
        <v>0</v>
      </c>
      <c r="K1481" s="29">
        <f t="shared" si="198"/>
        <v>0</v>
      </c>
      <c r="L1481" s="27">
        <f>SUMIFS(실시간콜입력!$K:$K,실시간콜입력!$B:$B,$A1481,실시간콜입력!$G:$G,$B1481,실시간콜입력!$O:$O,"방문완료")+SUMIFS(실시간콜입력!$L:$L,실시간콜입력!$B:$B,$A1481,실시간콜입력!$H:$H,$B1481,실시간콜입력!$O:$O,"방문완료")</f>
        <v>0</v>
      </c>
      <c r="M1481" s="29" t="str">
        <f t="shared" si="199"/>
        <v/>
      </c>
      <c r="N1481" s="29"/>
    </row>
    <row r="1482" spans="1:14" ht="19.5" hidden="1" customHeight="1" outlineLevel="1">
      <c r="A1482" s="30">
        <f>IF(29&lt;=DAY(DATE(YEAR(설정_코스수당!$K$2),MONTH(설정_코스수당!$K$2)+1,0)),DATE(YEAR(설정_코스수당!$K$2),MONTH(설정_코스수당!$K$2),29),"")</f>
        <v>46202</v>
      </c>
      <c r="B1482" s="29" t="s">
        <v>182</v>
      </c>
      <c r="C1482" s="29"/>
      <c r="D1482" s="29"/>
      <c r="E1482" s="29" t="str">
        <f t="shared" si="197"/>
        <v/>
      </c>
      <c r="F1482" s="29">
        <f>COUNTIFS(실시간콜입력!$B:$B,$A1482,실시간콜입력!$E:$E,"A",실시간콜입력!$G:$G,$B1482,실시간콜입력!$O:$O,"방문완료")+COUNTIFS(실시간콜입력!$B:$B,$A1482,실시간콜입력!$E:$E,"A",실시간콜입력!$H:$H,$B1482,실시간콜입력!$O:$O,"방문완료")</f>
        <v>0</v>
      </c>
      <c r="G1482" s="29">
        <f>COUNTIFS(실시간콜입력!$B:$B,$A1482,실시간콜입력!$E:$E,"B",실시간콜입력!$G:$G,$B1482,실시간콜입력!$O:$O,"방문완료")+COUNTIFS(실시간콜입력!$B:$B,$A1482,실시간콜입력!$E:$E,"B",실시간콜입력!$H:$H,$B1482,실시간콜입력!$O:$O,"방문완료")</f>
        <v>0</v>
      </c>
      <c r="H1482" s="29">
        <f>COUNTIFS(실시간콜입력!$B:$B,$A1482,실시간콜입력!$E:$E,"C",실시간콜입력!$G:$G,$B1482,실시간콜입력!$O:$O,"방문완료")+COUNTIFS(실시간콜입력!$B:$B,$A1482,실시간콜입력!$E:$E,"C",실시간콜입력!$H:$H,$B1482,실시간콜입력!$O:$O,"방문완료")</f>
        <v>0</v>
      </c>
      <c r="I1482" s="29">
        <f>COUNTIFS(실시간콜입력!$B:$B,$A1482,실시간콜입력!$E:$E,"D",실시간콜입력!$G:$G,$B1482,실시간콜입력!$O:$O,"방문완료")+COUNTIFS(실시간콜입력!$B:$B,$A1482,실시간콜입력!$E:$E,"D",실시간콜입력!$H:$H,$B1482,실시간콜입력!$O:$O,"방문완료")</f>
        <v>0</v>
      </c>
      <c r="J1482" s="29">
        <f>COUNTIFS(실시간콜입력!$B:$B,$A1482,실시간콜입력!$E:$E,"E",실시간콜입력!$G:$G,$B1482,실시간콜입력!$O:$O,"방문완료")+COUNTIFS(실시간콜입력!$B:$B,$A1482,실시간콜입력!$E:$E,"E",실시간콜입력!$H:$H,$B1482,실시간콜입력!$O:$O,"방문완료")</f>
        <v>0</v>
      </c>
      <c r="K1482" s="29">
        <f t="shared" si="198"/>
        <v>0</v>
      </c>
      <c r="L1482" s="33">
        <f>SUMIFS(실시간콜입력!$K:$K,실시간콜입력!$B:$B,$A1482,실시간콜입력!$G:$G,$B1482,실시간콜입력!$O:$O,"방문완료")+SUMIFS(실시간콜입력!$L:$L,실시간콜입력!$B:$B,$A1482,실시간콜입력!$H:$H,$B1482,실시간콜입력!$O:$O,"방문완료")</f>
        <v>0</v>
      </c>
      <c r="M1482" s="29" t="str">
        <f t="shared" si="199"/>
        <v/>
      </c>
      <c r="N1482" s="29"/>
    </row>
    <row r="1483" spans="1:14" ht="19.5" hidden="1" customHeight="1" outlineLevel="1">
      <c r="A1483" s="24">
        <f>IF(29&lt;=DAY(DATE(YEAR(설정_코스수당!$K$2),MONTH(설정_코스수당!$K$2)+1,0)),DATE(YEAR(설정_코스수당!$K$2),MONTH(설정_코스수당!$K$2),29),"")</f>
        <v>46202</v>
      </c>
      <c r="B1483" s="23" t="s">
        <v>183</v>
      </c>
      <c r="C1483" s="29"/>
      <c r="D1483" s="29"/>
      <c r="E1483" s="29" t="str">
        <f t="shared" si="197"/>
        <v/>
      </c>
      <c r="F1483" s="29">
        <f>COUNTIFS(실시간콜입력!$B:$B,$A1483,실시간콜입력!$E:$E,"A",실시간콜입력!$G:$G,$B1483,실시간콜입력!$O:$O,"방문완료")+COUNTIFS(실시간콜입력!$B:$B,$A1483,실시간콜입력!$E:$E,"A",실시간콜입력!$H:$H,$B1483,실시간콜입력!$O:$O,"방문완료")</f>
        <v>0</v>
      </c>
      <c r="G1483" s="29">
        <f>COUNTIFS(실시간콜입력!$B:$B,$A1483,실시간콜입력!$E:$E,"B",실시간콜입력!$G:$G,$B1483,실시간콜입력!$O:$O,"방문완료")+COUNTIFS(실시간콜입력!$B:$B,$A1483,실시간콜입력!$E:$E,"B",실시간콜입력!$H:$H,$B1483,실시간콜입력!$O:$O,"방문완료")</f>
        <v>0</v>
      </c>
      <c r="H1483" s="29">
        <f>COUNTIFS(실시간콜입력!$B:$B,$A1483,실시간콜입력!$E:$E,"C",실시간콜입력!$G:$G,$B1483,실시간콜입력!$O:$O,"방문완료")+COUNTIFS(실시간콜입력!$B:$B,$A1483,실시간콜입력!$E:$E,"C",실시간콜입력!$H:$H,$B1483,실시간콜입력!$O:$O,"방문완료")</f>
        <v>0</v>
      </c>
      <c r="I1483" s="29">
        <f>COUNTIFS(실시간콜입력!$B:$B,$A1483,실시간콜입력!$E:$E,"D",실시간콜입력!$G:$G,$B1483,실시간콜입력!$O:$O,"방문완료")+COUNTIFS(실시간콜입력!$B:$B,$A1483,실시간콜입력!$E:$E,"D",실시간콜입력!$H:$H,$B1483,실시간콜입력!$O:$O,"방문완료")</f>
        <v>0</v>
      </c>
      <c r="J1483" s="29">
        <f>COUNTIFS(실시간콜입력!$B:$B,$A1483,실시간콜입력!$E:$E,"E",실시간콜입력!$G:$G,$B1483,실시간콜입력!$O:$O,"방문완료")+COUNTIFS(실시간콜입력!$B:$B,$A1483,실시간콜입력!$E:$E,"E",실시간콜입력!$H:$H,$B1483,실시간콜입력!$O:$O,"방문완료")</f>
        <v>0</v>
      </c>
      <c r="K1483" s="29">
        <f t="shared" si="198"/>
        <v>0</v>
      </c>
      <c r="L1483" s="27">
        <f>SUMIFS(실시간콜입력!$K:$K,실시간콜입력!$B:$B,$A1483,실시간콜입력!$G:$G,$B1483,실시간콜입력!$O:$O,"방문완료")+SUMIFS(실시간콜입력!$L:$L,실시간콜입력!$B:$B,$A1483,실시간콜입력!$H:$H,$B1483,실시간콜입력!$O:$O,"방문완료")</f>
        <v>0</v>
      </c>
      <c r="M1483" s="29" t="str">
        <f t="shared" si="199"/>
        <v/>
      </c>
      <c r="N1483" s="29"/>
    </row>
    <row r="1484" spans="1:14" ht="19.5" hidden="1" customHeight="1" outlineLevel="1">
      <c r="A1484" s="30">
        <f>IF(29&lt;=DAY(DATE(YEAR(설정_코스수당!$K$2),MONTH(설정_코스수당!$K$2)+1,0)),DATE(YEAR(설정_코스수당!$K$2),MONTH(설정_코스수당!$K$2),29),"")</f>
        <v>46202</v>
      </c>
      <c r="B1484" s="29" t="s">
        <v>184</v>
      </c>
      <c r="C1484" s="29"/>
      <c r="D1484" s="29"/>
      <c r="E1484" s="29" t="str">
        <f t="shared" si="197"/>
        <v/>
      </c>
      <c r="F1484" s="29">
        <f>COUNTIFS(실시간콜입력!$B:$B,$A1484,실시간콜입력!$E:$E,"A",실시간콜입력!$G:$G,$B1484,실시간콜입력!$O:$O,"방문완료")+COUNTIFS(실시간콜입력!$B:$B,$A1484,실시간콜입력!$E:$E,"A",실시간콜입력!$H:$H,$B1484,실시간콜입력!$O:$O,"방문완료")</f>
        <v>0</v>
      </c>
      <c r="G1484" s="29">
        <f>COUNTIFS(실시간콜입력!$B:$B,$A1484,실시간콜입력!$E:$E,"B",실시간콜입력!$G:$G,$B1484,실시간콜입력!$O:$O,"방문완료")+COUNTIFS(실시간콜입력!$B:$B,$A1484,실시간콜입력!$E:$E,"B",실시간콜입력!$H:$H,$B1484,실시간콜입력!$O:$O,"방문완료")</f>
        <v>0</v>
      </c>
      <c r="H1484" s="29">
        <f>COUNTIFS(실시간콜입력!$B:$B,$A1484,실시간콜입력!$E:$E,"C",실시간콜입력!$G:$G,$B1484,실시간콜입력!$O:$O,"방문완료")+COUNTIFS(실시간콜입력!$B:$B,$A1484,실시간콜입력!$E:$E,"C",실시간콜입력!$H:$H,$B1484,실시간콜입력!$O:$O,"방문완료")</f>
        <v>0</v>
      </c>
      <c r="I1484" s="29">
        <f>COUNTIFS(실시간콜입력!$B:$B,$A1484,실시간콜입력!$E:$E,"D",실시간콜입력!$G:$G,$B1484,실시간콜입력!$O:$O,"방문완료")+COUNTIFS(실시간콜입력!$B:$B,$A1484,실시간콜입력!$E:$E,"D",실시간콜입력!$H:$H,$B1484,실시간콜입력!$O:$O,"방문완료")</f>
        <v>0</v>
      </c>
      <c r="J1484" s="29">
        <f>COUNTIFS(실시간콜입력!$B:$B,$A1484,실시간콜입력!$E:$E,"E",실시간콜입력!$G:$G,$B1484,실시간콜입력!$O:$O,"방문완료")+COUNTIFS(실시간콜입력!$B:$B,$A1484,실시간콜입력!$E:$E,"E",실시간콜입력!$H:$H,$B1484,실시간콜입력!$O:$O,"방문완료")</f>
        <v>0</v>
      </c>
      <c r="K1484" s="29">
        <f t="shared" si="198"/>
        <v>0</v>
      </c>
      <c r="L1484" s="33">
        <f>SUMIFS(실시간콜입력!$K:$K,실시간콜입력!$B:$B,$A1484,실시간콜입력!$G:$G,$B1484,실시간콜입력!$O:$O,"방문완료")+SUMIFS(실시간콜입력!$L:$L,실시간콜입력!$B:$B,$A1484,실시간콜입력!$H:$H,$B1484,실시간콜입력!$O:$O,"방문완료")</f>
        <v>0</v>
      </c>
      <c r="M1484" s="29" t="str">
        <f t="shared" si="199"/>
        <v/>
      </c>
      <c r="N1484" s="29"/>
    </row>
    <row r="1485" spans="1:14" ht="19.5" hidden="1" customHeight="1" outlineLevel="1">
      <c r="A1485" s="24">
        <f>IF(29&lt;=DAY(DATE(YEAR(설정_코스수당!$K$2),MONTH(설정_코스수당!$K$2)+1,0)),DATE(YEAR(설정_코스수당!$K$2),MONTH(설정_코스수당!$K$2),29),"")</f>
        <v>46202</v>
      </c>
      <c r="B1485" s="23" t="s">
        <v>185</v>
      </c>
      <c r="C1485" s="29"/>
      <c r="D1485" s="29"/>
      <c r="E1485" s="29" t="str">
        <f t="shared" si="197"/>
        <v/>
      </c>
      <c r="F1485" s="29">
        <f>COUNTIFS(실시간콜입력!$B:$B,$A1485,실시간콜입력!$E:$E,"A",실시간콜입력!$G:$G,$B1485,실시간콜입력!$O:$O,"방문완료")+COUNTIFS(실시간콜입력!$B:$B,$A1485,실시간콜입력!$E:$E,"A",실시간콜입력!$H:$H,$B1485,실시간콜입력!$O:$O,"방문완료")</f>
        <v>0</v>
      </c>
      <c r="G1485" s="29">
        <f>COUNTIFS(실시간콜입력!$B:$B,$A1485,실시간콜입력!$E:$E,"B",실시간콜입력!$G:$G,$B1485,실시간콜입력!$O:$O,"방문완료")+COUNTIFS(실시간콜입력!$B:$B,$A1485,실시간콜입력!$E:$E,"B",실시간콜입력!$H:$H,$B1485,실시간콜입력!$O:$O,"방문완료")</f>
        <v>0</v>
      </c>
      <c r="H1485" s="29">
        <f>COUNTIFS(실시간콜입력!$B:$B,$A1485,실시간콜입력!$E:$E,"C",실시간콜입력!$G:$G,$B1485,실시간콜입력!$O:$O,"방문완료")+COUNTIFS(실시간콜입력!$B:$B,$A1485,실시간콜입력!$E:$E,"C",실시간콜입력!$H:$H,$B1485,실시간콜입력!$O:$O,"방문완료")</f>
        <v>0</v>
      </c>
      <c r="I1485" s="29">
        <f>COUNTIFS(실시간콜입력!$B:$B,$A1485,실시간콜입력!$E:$E,"D",실시간콜입력!$G:$G,$B1485,실시간콜입력!$O:$O,"방문완료")+COUNTIFS(실시간콜입력!$B:$B,$A1485,실시간콜입력!$E:$E,"D",실시간콜입력!$H:$H,$B1485,실시간콜입력!$O:$O,"방문완료")</f>
        <v>0</v>
      </c>
      <c r="J1485" s="29">
        <f>COUNTIFS(실시간콜입력!$B:$B,$A1485,실시간콜입력!$E:$E,"E",실시간콜입력!$G:$G,$B1485,실시간콜입력!$O:$O,"방문완료")+COUNTIFS(실시간콜입력!$B:$B,$A1485,실시간콜입력!$E:$E,"E",실시간콜입력!$H:$H,$B1485,실시간콜입력!$O:$O,"방문완료")</f>
        <v>0</v>
      </c>
      <c r="K1485" s="29">
        <f t="shared" si="198"/>
        <v>0</v>
      </c>
      <c r="L1485" s="27">
        <f>SUMIFS(실시간콜입력!$K:$K,실시간콜입력!$B:$B,$A1485,실시간콜입력!$G:$G,$B1485,실시간콜입력!$O:$O,"방문완료")+SUMIFS(실시간콜입력!$L:$L,실시간콜입력!$B:$B,$A1485,실시간콜입력!$H:$H,$B1485,실시간콜입력!$O:$O,"방문완료")</f>
        <v>0</v>
      </c>
      <c r="M1485" s="29" t="str">
        <f t="shared" si="199"/>
        <v/>
      </c>
      <c r="N1485" s="29"/>
    </row>
    <row r="1486" spans="1:14" ht="19.5" hidden="1" customHeight="1" outlineLevel="1">
      <c r="A1486" s="30">
        <f>IF(29&lt;=DAY(DATE(YEAR(설정_코스수당!$K$2),MONTH(설정_코스수당!$K$2)+1,0)),DATE(YEAR(설정_코스수당!$K$2),MONTH(설정_코스수당!$K$2),29),"")</f>
        <v>46202</v>
      </c>
      <c r="B1486" s="29" t="s">
        <v>186</v>
      </c>
      <c r="C1486" s="29"/>
      <c r="D1486" s="29"/>
      <c r="E1486" s="29" t="str">
        <f t="shared" si="197"/>
        <v/>
      </c>
      <c r="F1486" s="29">
        <f>COUNTIFS(실시간콜입력!$B:$B,$A1486,실시간콜입력!$E:$E,"A",실시간콜입력!$G:$G,$B1486,실시간콜입력!$O:$O,"방문완료")+COUNTIFS(실시간콜입력!$B:$B,$A1486,실시간콜입력!$E:$E,"A",실시간콜입력!$H:$H,$B1486,실시간콜입력!$O:$O,"방문완료")</f>
        <v>0</v>
      </c>
      <c r="G1486" s="29">
        <f>COUNTIFS(실시간콜입력!$B:$B,$A1486,실시간콜입력!$E:$E,"B",실시간콜입력!$G:$G,$B1486,실시간콜입력!$O:$O,"방문완료")+COUNTIFS(실시간콜입력!$B:$B,$A1486,실시간콜입력!$E:$E,"B",실시간콜입력!$H:$H,$B1486,실시간콜입력!$O:$O,"방문완료")</f>
        <v>0</v>
      </c>
      <c r="H1486" s="29">
        <f>COUNTIFS(실시간콜입력!$B:$B,$A1486,실시간콜입력!$E:$E,"C",실시간콜입력!$G:$G,$B1486,실시간콜입력!$O:$O,"방문완료")+COUNTIFS(실시간콜입력!$B:$B,$A1486,실시간콜입력!$E:$E,"C",실시간콜입력!$H:$H,$B1486,실시간콜입력!$O:$O,"방문완료")</f>
        <v>0</v>
      </c>
      <c r="I1486" s="29">
        <f>COUNTIFS(실시간콜입력!$B:$B,$A1486,실시간콜입력!$E:$E,"D",실시간콜입력!$G:$G,$B1486,실시간콜입력!$O:$O,"방문완료")+COUNTIFS(실시간콜입력!$B:$B,$A1486,실시간콜입력!$E:$E,"D",실시간콜입력!$H:$H,$B1486,실시간콜입력!$O:$O,"방문완료")</f>
        <v>0</v>
      </c>
      <c r="J1486" s="29">
        <f>COUNTIFS(실시간콜입력!$B:$B,$A1486,실시간콜입력!$E:$E,"E",실시간콜입력!$G:$G,$B1486,실시간콜입력!$O:$O,"방문완료")+COUNTIFS(실시간콜입력!$B:$B,$A1486,실시간콜입력!$E:$E,"E",실시간콜입력!$H:$H,$B1486,실시간콜입력!$O:$O,"방문완료")</f>
        <v>0</v>
      </c>
      <c r="K1486" s="29">
        <f t="shared" si="198"/>
        <v>0</v>
      </c>
      <c r="L1486" s="33">
        <f>SUMIFS(실시간콜입력!$K:$K,실시간콜입력!$B:$B,$A1486,실시간콜입력!$G:$G,$B1486,실시간콜입력!$O:$O,"방문완료")+SUMIFS(실시간콜입력!$L:$L,실시간콜입력!$B:$B,$A1486,실시간콜입력!$H:$H,$B1486,실시간콜입력!$O:$O,"방문완료")</f>
        <v>0</v>
      </c>
      <c r="M1486" s="29" t="str">
        <f t="shared" si="199"/>
        <v/>
      </c>
      <c r="N1486" s="29"/>
    </row>
    <row r="1487" spans="1:14" ht="19.5" hidden="1" customHeight="1" outlineLevel="1">
      <c r="A1487" s="24">
        <f>IF(29&lt;=DAY(DATE(YEAR(설정_코스수당!$K$2),MONTH(설정_코스수당!$K$2)+1,0)),DATE(YEAR(설정_코스수당!$K$2),MONTH(설정_코스수당!$K$2),29),"")</f>
        <v>46202</v>
      </c>
      <c r="B1487" s="23" t="s">
        <v>187</v>
      </c>
      <c r="C1487" s="29"/>
      <c r="D1487" s="29"/>
      <c r="E1487" s="29" t="str">
        <f t="shared" si="197"/>
        <v/>
      </c>
      <c r="F1487" s="29">
        <f>COUNTIFS(실시간콜입력!$B:$B,$A1487,실시간콜입력!$E:$E,"A",실시간콜입력!$G:$G,$B1487,실시간콜입력!$O:$O,"방문완료")+COUNTIFS(실시간콜입력!$B:$B,$A1487,실시간콜입력!$E:$E,"A",실시간콜입력!$H:$H,$B1487,실시간콜입력!$O:$O,"방문완료")</f>
        <v>0</v>
      </c>
      <c r="G1487" s="29">
        <f>COUNTIFS(실시간콜입력!$B:$B,$A1487,실시간콜입력!$E:$E,"B",실시간콜입력!$G:$G,$B1487,실시간콜입력!$O:$O,"방문완료")+COUNTIFS(실시간콜입력!$B:$B,$A1487,실시간콜입력!$E:$E,"B",실시간콜입력!$H:$H,$B1487,실시간콜입력!$O:$O,"방문완료")</f>
        <v>0</v>
      </c>
      <c r="H1487" s="29">
        <f>COUNTIFS(실시간콜입력!$B:$B,$A1487,실시간콜입력!$E:$E,"C",실시간콜입력!$G:$G,$B1487,실시간콜입력!$O:$O,"방문완료")+COUNTIFS(실시간콜입력!$B:$B,$A1487,실시간콜입력!$E:$E,"C",실시간콜입력!$H:$H,$B1487,실시간콜입력!$O:$O,"방문완료")</f>
        <v>0</v>
      </c>
      <c r="I1487" s="29">
        <f>COUNTIFS(실시간콜입력!$B:$B,$A1487,실시간콜입력!$E:$E,"D",실시간콜입력!$G:$G,$B1487,실시간콜입력!$O:$O,"방문완료")+COUNTIFS(실시간콜입력!$B:$B,$A1487,실시간콜입력!$E:$E,"D",실시간콜입력!$H:$H,$B1487,실시간콜입력!$O:$O,"방문완료")</f>
        <v>0</v>
      </c>
      <c r="J1487" s="29">
        <f>COUNTIFS(실시간콜입력!$B:$B,$A1487,실시간콜입력!$E:$E,"E",실시간콜입력!$G:$G,$B1487,실시간콜입력!$O:$O,"방문완료")+COUNTIFS(실시간콜입력!$B:$B,$A1487,실시간콜입력!$E:$E,"E",실시간콜입력!$H:$H,$B1487,실시간콜입력!$O:$O,"방문완료")</f>
        <v>0</v>
      </c>
      <c r="K1487" s="29">
        <f t="shared" si="198"/>
        <v>0</v>
      </c>
      <c r="L1487" s="27">
        <f>SUMIFS(실시간콜입력!$K:$K,실시간콜입력!$B:$B,$A1487,실시간콜입력!$G:$G,$B1487,실시간콜입력!$O:$O,"방문완료")+SUMIFS(실시간콜입력!$L:$L,실시간콜입력!$B:$B,$A1487,실시간콜입력!$H:$H,$B1487,실시간콜입력!$O:$O,"방문완료")</f>
        <v>0</v>
      </c>
      <c r="M1487" s="29" t="str">
        <f t="shared" si="199"/>
        <v/>
      </c>
      <c r="N1487" s="29"/>
    </row>
    <row r="1488" spans="1:14" ht="19.5" hidden="1" customHeight="1" outlineLevel="1">
      <c r="A1488" s="30">
        <f>IF(29&lt;=DAY(DATE(YEAR(설정_코스수당!$K$2),MONTH(설정_코스수당!$K$2)+1,0)),DATE(YEAR(설정_코스수당!$K$2),MONTH(설정_코스수당!$K$2),29),"")</f>
        <v>46202</v>
      </c>
      <c r="B1488" s="29" t="s">
        <v>188</v>
      </c>
      <c r="C1488" s="29"/>
      <c r="D1488" s="29"/>
      <c r="E1488" s="29" t="str">
        <f t="shared" si="197"/>
        <v/>
      </c>
      <c r="F1488" s="29">
        <f>COUNTIFS(실시간콜입력!$B:$B,$A1488,실시간콜입력!$E:$E,"A",실시간콜입력!$G:$G,$B1488,실시간콜입력!$O:$O,"방문완료")+COUNTIFS(실시간콜입력!$B:$B,$A1488,실시간콜입력!$E:$E,"A",실시간콜입력!$H:$H,$B1488,실시간콜입력!$O:$O,"방문완료")</f>
        <v>0</v>
      </c>
      <c r="G1488" s="29">
        <f>COUNTIFS(실시간콜입력!$B:$B,$A1488,실시간콜입력!$E:$E,"B",실시간콜입력!$G:$G,$B1488,실시간콜입력!$O:$O,"방문완료")+COUNTIFS(실시간콜입력!$B:$B,$A1488,실시간콜입력!$E:$E,"B",실시간콜입력!$H:$H,$B1488,실시간콜입력!$O:$O,"방문완료")</f>
        <v>0</v>
      </c>
      <c r="H1488" s="29">
        <f>COUNTIFS(실시간콜입력!$B:$B,$A1488,실시간콜입력!$E:$E,"C",실시간콜입력!$G:$G,$B1488,실시간콜입력!$O:$O,"방문완료")+COUNTIFS(실시간콜입력!$B:$B,$A1488,실시간콜입력!$E:$E,"C",실시간콜입력!$H:$H,$B1488,실시간콜입력!$O:$O,"방문완료")</f>
        <v>0</v>
      </c>
      <c r="I1488" s="29">
        <f>COUNTIFS(실시간콜입력!$B:$B,$A1488,실시간콜입력!$E:$E,"D",실시간콜입력!$G:$G,$B1488,실시간콜입력!$O:$O,"방문완료")+COUNTIFS(실시간콜입력!$B:$B,$A1488,실시간콜입력!$E:$E,"D",실시간콜입력!$H:$H,$B1488,실시간콜입력!$O:$O,"방문완료")</f>
        <v>0</v>
      </c>
      <c r="J1488" s="29">
        <f>COUNTIFS(실시간콜입력!$B:$B,$A1488,실시간콜입력!$E:$E,"E",실시간콜입력!$G:$G,$B1488,실시간콜입력!$O:$O,"방문완료")+COUNTIFS(실시간콜입력!$B:$B,$A1488,실시간콜입력!$E:$E,"E",실시간콜입력!$H:$H,$B1488,실시간콜입력!$O:$O,"방문완료")</f>
        <v>0</v>
      </c>
      <c r="K1488" s="29">
        <f t="shared" si="198"/>
        <v>0</v>
      </c>
      <c r="L1488" s="33">
        <f>SUMIFS(실시간콜입력!$K:$K,실시간콜입력!$B:$B,$A1488,실시간콜입력!$G:$G,$B1488,실시간콜입력!$O:$O,"방문완료")+SUMIFS(실시간콜입력!$L:$L,실시간콜입력!$B:$B,$A1488,실시간콜입력!$H:$H,$B1488,실시간콜입력!$O:$O,"방문완료")</f>
        <v>0</v>
      </c>
      <c r="M1488" s="29" t="str">
        <f t="shared" si="199"/>
        <v/>
      </c>
      <c r="N1488" s="29"/>
    </row>
    <row r="1489" spans="1:14" ht="19.5" hidden="1" customHeight="1" outlineLevel="1">
      <c r="A1489" s="24">
        <f>IF(29&lt;=DAY(DATE(YEAR(설정_코스수당!$K$2),MONTH(설정_코스수당!$K$2)+1,0)),DATE(YEAR(설정_코스수당!$K$2),MONTH(설정_코스수당!$K$2),29),"")</f>
        <v>46202</v>
      </c>
      <c r="B1489" s="23" t="s">
        <v>189</v>
      </c>
      <c r="C1489" s="29"/>
      <c r="D1489" s="29"/>
      <c r="E1489" s="29" t="str">
        <f t="shared" si="197"/>
        <v/>
      </c>
      <c r="F1489" s="29">
        <f>COUNTIFS(실시간콜입력!$B:$B,$A1489,실시간콜입력!$E:$E,"A",실시간콜입력!$G:$G,$B1489,실시간콜입력!$O:$O,"방문완료")+COUNTIFS(실시간콜입력!$B:$B,$A1489,실시간콜입력!$E:$E,"A",실시간콜입력!$H:$H,$B1489,실시간콜입력!$O:$O,"방문완료")</f>
        <v>0</v>
      </c>
      <c r="G1489" s="29">
        <f>COUNTIFS(실시간콜입력!$B:$B,$A1489,실시간콜입력!$E:$E,"B",실시간콜입력!$G:$G,$B1489,실시간콜입력!$O:$O,"방문완료")+COUNTIFS(실시간콜입력!$B:$B,$A1489,실시간콜입력!$E:$E,"B",실시간콜입력!$H:$H,$B1489,실시간콜입력!$O:$O,"방문완료")</f>
        <v>0</v>
      </c>
      <c r="H1489" s="29">
        <f>COUNTIFS(실시간콜입력!$B:$B,$A1489,실시간콜입력!$E:$E,"C",실시간콜입력!$G:$G,$B1489,실시간콜입력!$O:$O,"방문완료")+COUNTIFS(실시간콜입력!$B:$B,$A1489,실시간콜입력!$E:$E,"C",실시간콜입력!$H:$H,$B1489,실시간콜입력!$O:$O,"방문완료")</f>
        <v>0</v>
      </c>
      <c r="I1489" s="29">
        <f>COUNTIFS(실시간콜입력!$B:$B,$A1489,실시간콜입력!$E:$E,"D",실시간콜입력!$G:$G,$B1489,실시간콜입력!$O:$O,"방문완료")+COUNTIFS(실시간콜입력!$B:$B,$A1489,실시간콜입력!$E:$E,"D",실시간콜입력!$H:$H,$B1489,실시간콜입력!$O:$O,"방문완료")</f>
        <v>0</v>
      </c>
      <c r="J1489" s="29">
        <f>COUNTIFS(실시간콜입력!$B:$B,$A1489,실시간콜입력!$E:$E,"E",실시간콜입력!$G:$G,$B1489,실시간콜입력!$O:$O,"방문완료")+COUNTIFS(실시간콜입력!$B:$B,$A1489,실시간콜입력!$E:$E,"E",실시간콜입력!$H:$H,$B1489,실시간콜입력!$O:$O,"방문완료")</f>
        <v>0</v>
      </c>
      <c r="K1489" s="29">
        <f t="shared" si="198"/>
        <v>0</v>
      </c>
      <c r="L1489" s="27">
        <f>SUMIFS(실시간콜입력!$K:$K,실시간콜입력!$B:$B,$A1489,실시간콜입력!$G:$G,$B1489,실시간콜입력!$O:$O,"방문완료")+SUMIFS(실시간콜입력!$L:$L,실시간콜입력!$B:$B,$A1489,실시간콜입력!$H:$H,$B1489,실시간콜입력!$O:$O,"방문완료")</f>
        <v>0</v>
      </c>
      <c r="M1489" s="29" t="str">
        <f t="shared" si="199"/>
        <v/>
      </c>
      <c r="N1489" s="29"/>
    </row>
    <row r="1490" spans="1:14" ht="19.5" hidden="1" customHeight="1" outlineLevel="1">
      <c r="A1490" s="30">
        <f>IF(29&lt;=DAY(DATE(YEAR(설정_코스수당!$K$2),MONTH(설정_코스수당!$K$2)+1,0)),DATE(YEAR(설정_코스수당!$K$2),MONTH(설정_코스수당!$K$2),29),"")</f>
        <v>46202</v>
      </c>
      <c r="B1490" s="29" t="s">
        <v>190</v>
      </c>
      <c r="C1490" s="29"/>
      <c r="D1490" s="29"/>
      <c r="E1490" s="29" t="str">
        <f t="shared" si="197"/>
        <v/>
      </c>
      <c r="F1490" s="29">
        <f>COUNTIFS(실시간콜입력!$B:$B,$A1490,실시간콜입력!$E:$E,"A",실시간콜입력!$G:$G,$B1490,실시간콜입력!$O:$O,"방문완료")+COUNTIFS(실시간콜입력!$B:$B,$A1490,실시간콜입력!$E:$E,"A",실시간콜입력!$H:$H,$B1490,실시간콜입력!$O:$O,"방문완료")</f>
        <v>0</v>
      </c>
      <c r="G1490" s="29">
        <f>COUNTIFS(실시간콜입력!$B:$B,$A1490,실시간콜입력!$E:$E,"B",실시간콜입력!$G:$G,$B1490,실시간콜입력!$O:$O,"방문완료")+COUNTIFS(실시간콜입력!$B:$B,$A1490,실시간콜입력!$E:$E,"B",실시간콜입력!$H:$H,$B1490,실시간콜입력!$O:$O,"방문완료")</f>
        <v>0</v>
      </c>
      <c r="H1490" s="29">
        <f>COUNTIFS(실시간콜입력!$B:$B,$A1490,실시간콜입력!$E:$E,"C",실시간콜입력!$G:$G,$B1490,실시간콜입력!$O:$O,"방문완료")+COUNTIFS(실시간콜입력!$B:$B,$A1490,실시간콜입력!$E:$E,"C",실시간콜입력!$H:$H,$B1490,실시간콜입력!$O:$O,"방문완료")</f>
        <v>0</v>
      </c>
      <c r="I1490" s="29">
        <f>COUNTIFS(실시간콜입력!$B:$B,$A1490,실시간콜입력!$E:$E,"D",실시간콜입력!$G:$G,$B1490,실시간콜입력!$O:$O,"방문완료")+COUNTIFS(실시간콜입력!$B:$B,$A1490,실시간콜입력!$E:$E,"D",실시간콜입력!$H:$H,$B1490,실시간콜입력!$O:$O,"방문완료")</f>
        <v>0</v>
      </c>
      <c r="J1490" s="29">
        <f>COUNTIFS(실시간콜입력!$B:$B,$A1490,실시간콜입력!$E:$E,"E",실시간콜입력!$G:$G,$B1490,실시간콜입력!$O:$O,"방문완료")+COUNTIFS(실시간콜입력!$B:$B,$A1490,실시간콜입력!$E:$E,"E",실시간콜입력!$H:$H,$B1490,실시간콜입력!$O:$O,"방문완료")</f>
        <v>0</v>
      </c>
      <c r="K1490" s="29">
        <f t="shared" si="198"/>
        <v>0</v>
      </c>
      <c r="L1490" s="33">
        <f>SUMIFS(실시간콜입력!$K:$K,실시간콜입력!$B:$B,$A1490,실시간콜입력!$G:$G,$B1490,실시간콜입력!$O:$O,"방문완료")+SUMIFS(실시간콜입력!$L:$L,실시간콜입력!$B:$B,$A1490,실시간콜입력!$H:$H,$B1490,실시간콜입력!$O:$O,"방문완료")</f>
        <v>0</v>
      </c>
      <c r="M1490" s="29" t="str">
        <f t="shared" si="199"/>
        <v/>
      </c>
      <c r="N1490" s="29"/>
    </row>
    <row r="1491" spans="1:14" ht="19.5" hidden="1" customHeight="1" outlineLevel="1">
      <c r="A1491" s="24">
        <f>IF(29&lt;=DAY(DATE(YEAR(설정_코스수당!$K$2),MONTH(설정_코스수당!$K$2)+1,0)),DATE(YEAR(설정_코스수당!$K$2),MONTH(설정_코스수당!$K$2),29),"")</f>
        <v>46202</v>
      </c>
      <c r="B1491" s="23" t="s">
        <v>191</v>
      </c>
      <c r="C1491" s="29"/>
      <c r="D1491" s="29"/>
      <c r="E1491" s="29" t="str">
        <f t="shared" si="197"/>
        <v/>
      </c>
      <c r="F1491" s="29">
        <f>COUNTIFS(실시간콜입력!$B:$B,$A1491,실시간콜입력!$E:$E,"A",실시간콜입력!$G:$G,$B1491,실시간콜입력!$O:$O,"방문완료")+COUNTIFS(실시간콜입력!$B:$B,$A1491,실시간콜입력!$E:$E,"A",실시간콜입력!$H:$H,$B1491,실시간콜입력!$O:$O,"방문완료")</f>
        <v>0</v>
      </c>
      <c r="G1491" s="29">
        <f>COUNTIFS(실시간콜입력!$B:$B,$A1491,실시간콜입력!$E:$E,"B",실시간콜입력!$G:$G,$B1491,실시간콜입력!$O:$O,"방문완료")+COUNTIFS(실시간콜입력!$B:$B,$A1491,실시간콜입력!$E:$E,"B",실시간콜입력!$H:$H,$B1491,실시간콜입력!$O:$O,"방문완료")</f>
        <v>0</v>
      </c>
      <c r="H1491" s="29">
        <f>COUNTIFS(실시간콜입력!$B:$B,$A1491,실시간콜입력!$E:$E,"C",실시간콜입력!$G:$G,$B1491,실시간콜입력!$O:$O,"방문완료")+COUNTIFS(실시간콜입력!$B:$B,$A1491,실시간콜입력!$E:$E,"C",실시간콜입력!$H:$H,$B1491,실시간콜입력!$O:$O,"방문완료")</f>
        <v>0</v>
      </c>
      <c r="I1491" s="29">
        <f>COUNTIFS(실시간콜입력!$B:$B,$A1491,실시간콜입력!$E:$E,"D",실시간콜입력!$G:$G,$B1491,실시간콜입력!$O:$O,"방문완료")+COUNTIFS(실시간콜입력!$B:$B,$A1491,실시간콜입력!$E:$E,"D",실시간콜입력!$H:$H,$B1491,실시간콜입력!$O:$O,"방문완료")</f>
        <v>0</v>
      </c>
      <c r="J1491" s="29">
        <f>COUNTIFS(실시간콜입력!$B:$B,$A1491,실시간콜입력!$E:$E,"E",실시간콜입력!$G:$G,$B1491,실시간콜입력!$O:$O,"방문완료")+COUNTIFS(실시간콜입력!$B:$B,$A1491,실시간콜입력!$E:$E,"E",실시간콜입력!$H:$H,$B1491,실시간콜입력!$O:$O,"방문완료")</f>
        <v>0</v>
      </c>
      <c r="K1491" s="29">
        <f t="shared" si="198"/>
        <v>0</v>
      </c>
      <c r="L1491" s="27">
        <f>SUMIFS(실시간콜입력!$K:$K,실시간콜입력!$B:$B,$A1491,실시간콜입력!$G:$G,$B1491,실시간콜입력!$O:$O,"방문완료")+SUMIFS(실시간콜입력!$L:$L,실시간콜입력!$B:$B,$A1491,실시간콜입력!$H:$H,$B1491,실시간콜입력!$O:$O,"방문완료")</f>
        <v>0</v>
      </c>
      <c r="M1491" s="29" t="str">
        <f t="shared" si="199"/>
        <v/>
      </c>
      <c r="N1491" s="29"/>
    </row>
    <row r="1492" spans="1:14" ht="19.5" hidden="1" customHeight="1" outlineLevel="1">
      <c r="A1492" s="30">
        <f>IF(29&lt;=DAY(DATE(YEAR(설정_코스수당!$K$2),MONTH(설정_코스수당!$K$2)+1,0)),DATE(YEAR(설정_코스수당!$K$2),MONTH(설정_코스수당!$K$2),29),"")</f>
        <v>46202</v>
      </c>
      <c r="B1492" s="29" t="s">
        <v>192</v>
      </c>
      <c r="C1492" s="29"/>
      <c r="D1492" s="29"/>
      <c r="E1492" s="29" t="str">
        <f t="shared" si="197"/>
        <v/>
      </c>
      <c r="F1492" s="29">
        <f>COUNTIFS(실시간콜입력!$B:$B,$A1492,실시간콜입력!$E:$E,"A",실시간콜입력!$G:$G,$B1492,실시간콜입력!$O:$O,"방문완료")+COUNTIFS(실시간콜입력!$B:$B,$A1492,실시간콜입력!$E:$E,"A",실시간콜입력!$H:$H,$B1492,실시간콜입력!$O:$O,"방문완료")</f>
        <v>0</v>
      </c>
      <c r="G1492" s="29">
        <f>COUNTIFS(실시간콜입력!$B:$B,$A1492,실시간콜입력!$E:$E,"B",실시간콜입력!$G:$G,$B1492,실시간콜입력!$O:$O,"방문완료")+COUNTIFS(실시간콜입력!$B:$B,$A1492,실시간콜입력!$E:$E,"B",실시간콜입력!$H:$H,$B1492,실시간콜입력!$O:$O,"방문완료")</f>
        <v>0</v>
      </c>
      <c r="H1492" s="29">
        <f>COUNTIFS(실시간콜입력!$B:$B,$A1492,실시간콜입력!$E:$E,"C",실시간콜입력!$G:$G,$B1492,실시간콜입력!$O:$O,"방문완료")+COUNTIFS(실시간콜입력!$B:$B,$A1492,실시간콜입력!$E:$E,"C",실시간콜입력!$H:$H,$B1492,실시간콜입력!$O:$O,"방문완료")</f>
        <v>0</v>
      </c>
      <c r="I1492" s="29">
        <f>COUNTIFS(실시간콜입력!$B:$B,$A1492,실시간콜입력!$E:$E,"D",실시간콜입력!$G:$G,$B1492,실시간콜입력!$O:$O,"방문완료")+COUNTIFS(실시간콜입력!$B:$B,$A1492,실시간콜입력!$E:$E,"D",실시간콜입력!$H:$H,$B1492,실시간콜입력!$O:$O,"방문완료")</f>
        <v>0</v>
      </c>
      <c r="J1492" s="29">
        <f>COUNTIFS(실시간콜입력!$B:$B,$A1492,실시간콜입력!$E:$E,"E",실시간콜입력!$G:$G,$B1492,실시간콜입력!$O:$O,"방문완료")+COUNTIFS(실시간콜입력!$B:$B,$A1492,실시간콜입력!$E:$E,"E",실시간콜입력!$H:$H,$B1492,실시간콜입력!$O:$O,"방문완료")</f>
        <v>0</v>
      </c>
      <c r="K1492" s="29">
        <f t="shared" si="198"/>
        <v>0</v>
      </c>
      <c r="L1492" s="33">
        <f>SUMIFS(실시간콜입력!$K:$K,실시간콜입력!$B:$B,$A1492,실시간콜입력!$G:$G,$B1492,실시간콜입력!$O:$O,"방문완료")+SUMIFS(실시간콜입력!$L:$L,실시간콜입력!$B:$B,$A1492,실시간콜입력!$H:$H,$B1492,실시간콜입력!$O:$O,"방문완료")</f>
        <v>0</v>
      </c>
      <c r="M1492" s="29" t="str">
        <f t="shared" si="199"/>
        <v/>
      </c>
      <c r="N1492" s="29"/>
    </row>
    <row r="1493" spans="1:14" ht="19.5" hidden="1" customHeight="1" outlineLevel="1">
      <c r="A1493" s="24">
        <f>IF(29&lt;=DAY(DATE(YEAR(설정_코스수당!$K$2),MONTH(설정_코스수당!$K$2)+1,0)),DATE(YEAR(설정_코스수당!$K$2),MONTH(설정_코스수당!$K$2),29),"")</f>
        <v>46202</v>
      </c>
      <c r="B1493" s="23" t="s">
        <v>193</v>
      </c>
      <c r="C1493" s="29"/>
      <c r="D1493" s="29"/>
      <c r="E1493" s="29" t="str">
        <f t="shared" si="197"/>
        <v/>
      </c>
      <c r="F1493" s="29">
        <f>COUNTIFS(실시간콜입력!$B:$B,$A1493,실시간콜입력!$E:$E,"A",실시간콜입력!$G:$G,$B1493,실시간콜입력!$O:$O,"방문완료")+COUNTIFS(실시간콜입력!$B:$B,$A1493,실시간콜입력!$E:$E,"A",실시간콜입력!$H:$H,$B1493,실시간콜입력!$O:$O,"방문완료")</f>
        <v>0</v>
      </c>
      <c r="G1493" s="29">
        <f>COUNTIFS(실시간콜입력!$B:$B,$A1493,실시간콜입력!$E:$E,"B",실시간콜입력!$G:$G,$B1493,실시간콜입력!$O:$O,"방문완료")+COUNTIFS(실시간콜입력!$B:$B,$A1493,실시간콜입력!$E:$E,"B",실시간콜입력!$H:$H,$B1493,실시간콜입력!$O:$O,"방문완료")</f>
        <v>0</v>
      </c>
      <c r="H1493" s="29">
        <f>COUNTIFS(실시간콜입력!$B:$B,$A1493,실시간콜입력!$E:$E,"C",실시간콜입력!$G:$G,$B1493,실시간콜입력!$O:$O,"방문완료")+COUNTIFS(실시간콜입력!$B:$B,$A1493,실시간콜입력!$E:$E,"C",실시간콜입력!$H:$H,$B1493,실시간콜입력!$O:$O,"방문완료")</f>
        <v>0</v>
      </c>
      <c r="I1493" s="29">
        <f>COUNTIFS(실시간콜입력!$B:$B,$A1493,실시간콜입력!$E:$E,"D",실시간콜입력!$G:$G,$B1493,실시간콜입력!$O:$O,"방문완료")+COUNTIFS(실시간콜입력!$B:$B,$A1493,실시간콜입력!$E:$E,"D",실시간콜입력!$H:$H,$B1493,실시간콜입력!$O:$O,"방문완료")</f>
        <v>0</v>
      </c>
      <c r="J1493" s="29">
        <f>COUNTIFS(실시간콜입력!$B:$B,$A1493,실시간콜입력!$E:$E,"E",실시간콜입력!$G:$G,$B1493,실시간콜입력!$O:$O,"방문완료")+COUNTIFS(실시간콜입력!$B:$B,$A1493,실시간콜입력!$E:$E,"E",실시간콜입력!$H:$H,$B1493,실시간콜입력!$O:$O,"방문완료")</f>
        <v>0</v>
      </c>
      <c r="K1493" s="29">
        <f t="shared" si="198"/>
        <v>0</v>
      </c>
      <c r="L1493" s="27">
        <f>SUMIFS(실시간콜입력!$K:$K,실시간콜입력!$B:$B,$A1493,실시간콜입력!$G:$G,$B1493,실시간콜입력!$O:$O,"방문완료")+SUMIFS(실시간콜입력!$L:$L,실시간콜입력!$B:$B,$A1493,실시간콜입력!$H:$H,$B1493,실시간콜입력!$O:$O,"방문완료")</f>
        <v>0</v>
      </c>
      <c r="M1493" s="29" t="str">
        <f t="shared" si="199"/>
        <v/>
      </c>
      <c r="N1493" s="29"/>
    </row>
    <row r="1494" spans="1:14" ht="19.5" hidden="1" customHeight="1" outlineLevel="1">
      <c r="A1494" s="30">
        <f>IF(29&lt;=DAY(DATE(YEAR(설정_코스수당!$K$2),MONTH(설정_코스수당!$K$2)+1,0)),DATE(YEAR(설정_코스수당!$K$2),MONTH(설정_코스수당!$K$2),29),"")</f>
        <v>46202</v>
      </c>
      <c r="B1494" s="29" t="s">
        <v>194</v>
      </c>
      <c r="C1494" s="29"/>
      <c r="D1494" s="29"/>
      <c r="E1494" s="29" t="str">
        <f t="shared" si="197"/>
        <v/>
      </c>
      <c r="F1494" s="29">
        <f>COUNTIFS(실시간콜입력!$B:$B,$A1494,실시간콜입력!$E:$E,"A",실시간콜입력!$G:$G,$B1494,실시간콜입력!$O:$O,"방문완료")+COUNTIFS(실시간콜입력!$B:$B,$A1494,실시간콜입력!$E:$E,"A",실시간콜입력!$H:$H,$B1494,실시간콜입력!$O:$O,"방문완료")</f>
        <v>0</v>
      </c>
      <c r="G1494" s="29">
        <f>COUNTIFS(실시간콜입력!$B:$B,$A1494,실시간콜입력!$E:$E,"B",실시간콜입력!$G:$G,$B1494,실시간콜입력!$O:$O,"방문완료")+COUNTIFS(실시간콜입력!$B:$B,$A1494,실시간콜입력!$E:$E,"B",실시간콜입력!$H:$H,$B1494,실시간콜입력!$O:$O,"방문완료")</f>
        <v>0</v>
      </c>
      <c r="H1494" s="29">
        <f>COUNTIFS(실시간콜입력!$B:$B,$A1494,실시간콜입력!$E:$E,"C",실시간콜입력!$G:$G,$B1494,실시간콜입력!$O:$O,"방문완료")+COUNTIFS(실시간콜입력!$B:$B,$A1494,실시간콜입력!$E:$E,"C",실시간콜입력!$H:$H,$B1494,실시간콜입력!$O:$O,"방문완료")</f>
        <v>0</v>
      </c>
      <c r="I1494" s="29">
        <f>COUNTIFS(실시간콜입력!$B:$B,$A1494,실시간콜입력!$E:$E,"D",실시간콜입력!$G:$G,$B1494,실시간콜입력!$O:$O,"방문완료")+COUNTIFS(실시간콜입력!$B:$B,$A1494,실시간콜입력!$E:$E,"D",실시간콜입력!$H:$H,$B1494,실시간콜입력!$O:$O,"방문완료")</f>
        <v>0</v>
      </c>
      <c r="J1494" s="29">
        <f>COUNTIFS(실시간콜입력!$B:$B,$A1494,실시간콜입력!$E:$E,"E",실시간콜입력!$G:$G,$B1494,실시간콜입력!$O:$O,"방문완료")+COUNTIFS(실시간콜입력!$B:$B,$A1494,실시간콜입력!$E:$E,"E",실시간콜입력!$H:$H,$B1494,실시간콜입력!$O:$O,"방문완료")</f>
        <v>0</v>
      </c>
      <c r="K1494" s="29">
        <f t="shared" si="198"/>
        <v>0</v>
      </c>
      <c r="L1494" s="33">
        <f>SUMIFS(실시간콜입력!$K:$K,실시간콜입력!$B:$B,$A1494,실시간콜입력!$G:$G,$B1494,실시간콜입력!$O:$O,"방문완료")+SUMIFS(실시간콜입력!$L:$L,실시간콜입력!$B:$B,$A1494,실시간콜입력!$H:$H,$B1494,실시간콜입력!$O:$O,"방문완료")</f>
        <v>0</v>
      </c>
      <c r="M1494" s="29" t="str">
        <f t="shared" si="199"/>
        <v/>
      </c>
      <c r="N1494" s="29"/>
    </row>
    <row r="1495" spans="1:14" ht="19.5" hidden="1" customHeight="1" outlineLevel="1">
      <c r="A1495" s="24">
        <f>IF(29&lt;=DAY(DATE(YEAR(설정_코스수당!$K$2),MONTH(설정_코스수당!$K$2)+1,0)),DATE(YEAR(설정_코스수당!$K$2),MONTH(설정_코스수당!$K$2),29),"")</f>
        <v>46202</v>
      </c>
      <c r="B1495" s="23" t="s">
        <v>195</v>
      </c>
      <c r="C1495" s="29"/>
      <c r="D1495" s="29"/>
      <c r="E1495" s="29" t="str">
        <f t="shared" ref="E1495:E1526" si="200">IF(AND(C1495&lt;&gt;"",D1495&lt;&gt;""),IF(D1495&lt;C1495,D1495+1-C1495,D1495-C1495)*24,"")</f>
        <v/>
      </c>
      <c r="F1495" s="29">
        <f>COUNTIFS(실시간콜입력!$B:$B,$A1495,실시간콜입력!$E:$E,"A",실시간콜입력!$G:$G,$B1495,실시간콜입력!$O:$O,"방문완료")+COUNTIFS(실시간콜입력!$B:$B,$A1495,실시간콜입력!$E:$E,"A",실시간콜입력!$H:$H,$B1495,실시간콜입력!$O:$O,"방문완료")</f>
        <v>0</v>
      </c>
      <c r="G1495" s="29">
        <f>COUNTIFS(실시간콜입력!$B:$B,$A1495,실시간콜입력!$E:$E,"B",실시간콜입력!$G:$G,$B1495,실시간콜입력!$O:$O,"방문완료")+COUNTIFS(실시간콜입력!$B:$B,$A1495,실시간콜입력!$E:$E,"B",실시간콜입력!$H:$H,$B1495,실시간콜입력!$O:$O,"방문완료")</f>
        <v>0</v>
      </c>
      <c r="H1495" s="29">
        <f>COUNTIFS(실시간콜입력!$B:$B,$A1495,실시간콜입력!$E:$E,"C",실시간콜입력!$G:$G,$B1495,실시간콜입력!$O:$O,"방문완료")+COUNTIFS(실시간콜입력!$B:$B,$A1495,실시간콜입력!$E:$E,"C",실시간콜입력!$H:$H,$B1495,실시간콜입력!$O:$O,"방문완료")</f>
        <v>0</v>
      </c>
      <c r="I1495" s="29">
        <f>COUNTIFS(실시간콜입력!$B:$B,$A1495,실시간콜입력!$E:$E,"D",실시간콜입력!$G:$G,$B1495,실시간콜입력!$O:$O,"방문완료")+COUNTIFS(실시간콜입력!$B:$B,$A1495,실시간콜입력!$E:$E,"D",실시간콜입력!$H:$H,$B1495,실시간콜입력!$O:$O,"방문완료")</f>
        <v>0</v>
      </c>
      <c r="J1495" s="29">
        <f>COUNTIFS(실시간콜입력!$B:$B,$A1495,실시간콜입력!$E:$E,"E",실시간콜입력!$G:$G,$B1495,실시간콜입력!$O:$O,"방문완료")+COUNTIFS(실시간콜입력!$B:$B,$A1495,실시간콜입력!$E:$E,"E",실시간콜입력!$H:$H,$B1495,실시간콜입력!$O:$O,"방문완료")</f>
        <v>0</v>
      </c>
      <c r="K1495" s="29">
        <f t="shared" ref="K1495:K1526" si="201">SUM(F1495:J1495)</f>
        <v>0</v>
      </c>
      <c r="L1495" s="27">
        <f>SUMIFS(실시간콜입력!$K:$K,실시간콜입력!$B:$B,$A1495,실시간콜입력!$G:$G,$B1495,실시간콜입력!$O:$O,"방문완료")+SUMIFS(실시간콜입력!$L:$L,실시간콜입력!$B:$B,$A1495,실시간콜입력!$H:$H,$B1495,실시간콜입력!$O:$O,"방문완료")</f>
        <v>0</v>
      </c>
      <c r="M1495" s="29" t="str">
        <f t="shared" ref="M1495:M1512" si="202">IF(AND(ISNUMBER(E1495),E1495&gt;=8),"인정","")</f>
        <v/>
      </c>
      <c r="N1495" s="29"/>
    </row>
    <row r="1496" spans="1:14" ht="19.5" hidden="1" customHeight="1" outlineLevel="1">
      <c r="A1496" s="30">
        <f>IF(29&lt;=DAY(DATE(YEAR(설정_코스수당!$K$2),MONTH(설정_코스수당!$K$2)+1,0)),DATE(YEAR(설정_코스수당!$K$2),MONTH(설정_코스수당!$K$2),29),"")</f>
        <v>46202</v>
      </c>
      <c r="B1496" s="29" t="s">
        <v>196</v>
      </c>
      <c r="C1496" s="29"/>
      <c r="D1496" s="29"/>
      <c r="E1496" s="29" t="str">
        <f t="shared" si="200"/>
        <v/>
      </c>
      <c r="F1496" s="29">
        <f>COUNTIFS(실시간콜입력!$B:$B,$A1496,실시간콜입력!$E:$E,"A",실시간콜입력!$G:$G,$B1496,실시간콜입력!$O:$O,"방문완료")+COUNTIFS(실시간콜입력!$B:$B,$A1496,실시간콜입력!$E:$E,"A",실시간콜입력!$H:$H,$B1496,실시간콜입력!$O:$O,"방문완료")</f>
        <v>0</v>
      </c>
      <c r="G1496" s="29">
        <f>COUNTIFS(실시간콜입력!$B:$B,$A1496,실시간콜입력!$E:$E,"B",실시간콜입력!$G:$G,$B1496,실시간콜입력!$O:$O,"방문완료")+COUNTIFS(실시간콜입력!$B:$B,$A1496,실시간콜입력!$E:$E,"B",실시간콜입력!$H:$H,$B1496,실시간콜입력!$O:$O,"방문완료")</f>
        <v>0</v>
      </c>
      <c r="H1496" s="29">
        <f>COUNTIFS(실시간콜입력!$B:$B,$A1496,실시간콜입력!$E:$E,"C",실시간콜입력!$G:$G,$B1496,실시간콜입력!$O:$O,"방문완료")+COUNTIFS(실시간콜입력!$B:$B,$A1496,실시간콜입력!$E:$E,"C",실시간콜입력!$H:$H,$B1496,실시간콜입력!$O:$O,"방문완료")</f>
        <v>0</v>
      </c>
      <c r="I1496" s="29">
        <f>COUNTIFS(실시간콜입력!$B:$B,$A1496,실시간콜입력!$E:$E,"D",실시간콜입력!$G:$G,$B1496,실시간콜입력!$O:$O,"방문완료")+COUNTIFS(실시간콜입력!$B:$B,$A1496,실시간콜입력!$E:$E,"D",실시간콜입력!$H:$H,$B1496,실시간콜입력!$O:$O,"방문완료")</f>
        <v>0</v>
      </c>
      <c r="J1496" s="29">
        <f>COUNTIFS(실시간콜입력!$B:$B,$A1496,실시간콜입력!$E:$E,"E",실시간콜입력!$G:$G,$B1496,실시간콜입력!$O:$O,"방문완료")+COUNTIFS(실시간콜입력!$B:$B,$A1496,실시간콜입력!$E:$E,"E",실시간콜입력!$H:$H,$B1496,실시간콜입력!$O:$O,"방문완료")</f>
        <v>0</v>
      </c>
      <c r="K1496" s="29">
        <f t="shared" si="201"/>
        <v>0</v>
      </c>
      <c r="L1496" s="33">
        <f>SUMIFS(실시간콜입력!$K:$K,실시간콜입력!$B:$B,$A1496,실시간콜입력!$G:$G,$B1496,실시간콜입력!$O:$O,"방문완료")+SUMIFS(실시간콜입력!$L:$L,실시간콜입력!$B:$B,$A1496,실시간콜입력!$H:$H,$B1496,실시간콜입력!$O:$O,"방문완료")</f>
        <v>0</v>
      </c>
      <c r="M1496" s="29" t="str">
        <f t="shared" si="202"/>
        <v/>
      </c>
      <c r="N1496" s="29"/>
    </row>
    <row r="1497" spans="1:14" ht="19.5" hidden="1" customHeight="1" outlineLevel="1">
      <c r="A1497" s="24">
        <f>IF(29&lt;=DAY(DATE(YEAR(설정_코스수당!$K$2),MONTH(설정_코스수당!$K$2)+1,0)),DATE(YEAR(설정_코스수당!$K$2),MONTH(설정_코스수당!$K$2),29),"")</f>
        <v>46202</v>
      </c>
      <c r="B1497" s="23" t="s">
        <v>197</v>
      </c>
      <c r="C1497" s="29"/>
      <c r="D1497" s="29"/>
      <c r="E1497" s="29" t="str">
        <f t="shared" si="200"/>
        <v/>
      </c>
      <c r="F1497" s="29">
        <f>COUNTIFS(실시간콜입력!$B:$B,$A1497,실시간콜입력!$E:$E,"A",실시간콜입력!$G:$G,$B1497,실시간콜입력!$O:$O,"방문완료")+COUNTIFS(실시간콜입력!$B:$B,$A1497,실시간콜입력!$E:$E,"A",실시간콜입력!$H:$H,$B1497,실시간콜입력!$O:$O,"방문완료")</f>
        <v>0</v>
      </c>
      <c r="G1497" s="29">
        <f>COUNTIFS(실시간콜입력!$B:$B,$A1497,실시간콜입력!$E:$E,"B",실시간콜입력!$G:$G,$B1497,실시간콜입력!$O:$O,"방문완료")+COUNTIFS(실시간콜입력!$B:$B,$A1497,실시간콜입력!$E:$E,"B",실시간콜입력!$H:$H,$B1497,실시간콜입력!$O:$O,"방문완료")</f>
        <v>0</v>
      </c>
      <c r="H1497" s="29">
        <f>COUNTIFS(실시간콜입력!$B:$B,$A1497,실시간콜입력!$E:$E,"C",실시간콜입력!$G:$G,$B1497,실시간콜입력!$O:$O,"방문완료")+COUNTIFS(실시간콜입력!$B:$B,$A1497,실시간콜입력!$E:$E,"C",실시간콜입력!$H:$H,$B1497,실시간콜입력!$O:$O,"방문완료")</f>
        <v>0</v>
      </c>
      <c r="I1497" s="29">
        <f>COUNTIFS(실시간콜입력!$B:$B,$A1497,실시간콜입력!$E:$E,"D",실시간콜입력!$G:$G,$B1497,실시간콜입력!$O:$O,"방문완료")+COUNTIFS(실시간콜입력!$B:$B,$A1497,실시간콜입력!$E:$E,"D",실시간콜입력!$H:$H,$B1497,실시간콜입력!$O:$O,"방문완료")</f>
        <v>0</v>
      </c>
      <c r="J1497" s="29">
        <f>COUNTIFS(실시간콜입력!$B:$B,$A1497,실시간콜입력!$E:$E,"E",실시간콜입력!$G:$G,$B1497,실시간콜입력!$O:$O,"방문완료")+COUNTIFS(실시간콜입력!$B:$B,$A1497,실시간콜입력!$E:$E,"E",실시간콜입력!$H:$H,$B1497,실시간콜입력!$O:$O,"방문완료")</f>
        <v>0</v>
      </c>
      <c r="K1497" s="29">
        <f t="shared" si="201"/>
        <v>0</v>
      </c>
      <c r="L1497" s="27">
        <f>SUMIFS(실시간콜입력!$K:$K,실시간콜입력!$B:$B,$A1497,실시간콜입력!$G:$G,$B1497,실시간콜입력!$O:$O,"방문완료")+SUMIFS(실시간콜입력!$L:$L,실시간콜입력!$B:$B,$A1497,실시간콜입력!$H:$H,$B1497,실시간콜입력!$O:$O,"방문완료")</f>
        <v>0</v>
      </c>
      <c r="M1497" s="29" t="str">
        <f t="shared" si="202"/>
        <v/>
      </c>
      <c r="N1497" s="29"/>
    </row>
    <row r="1498" spans="1:14" ht="19.5" hidden="1" customHeight="1" outlineLevel="1">
      <c r="A1498" s="30">
        <f>IF(29&lt;=DAY(DATE(YEAR(설정_코스수당!$K$2),MONTH(설정_코스수당!$K$2)+1,0)),DATE(YEAR(설정_코스수당!$K$2),MONTH(설정_코스수당!$K$2),29),"")</f>
        <v>46202</v>
      </c>
      <c r="B1498" s="29" t="s">
        <v>198</v>
      </c>
      <c r="C1498" s="29"/>
      <c r="D1498" s="29"/>
      <c r="E1498" s="29" t="str">
        <f t="shared" si="200"/>
        <v/>
      </c>
      <c r="F1498" s="29">
        <f>COUNTIFS(실시간콜입력!$B:$B,$A1498,실시간콜입력!$E:$E,"A",실시간콜입력!$G:$G,$B1498,실시간콜입력!$O:$O,"방문완료")+COUNTIFS(실시간콜입력!$B:$B,$A1498,실시간콜입력!$E:$E,"A",실시간콜입력!$H:$H,$B1498,실시간콜입력!$O:$O,"방문완료")</f>
        <v>0</v>
      </c>
      <c r="G1498" s="29">
        <f>COUNTIFS(실시간콜입력!$B:$B,$A1498,실시간콜입력!$E:$E,"B",실시간콜입력!$G:$G,$B1498,실시간콜입력!$O:$O,"방문완료")+COUNTIFS(실시간콜입력!$B:$B,$A1498,실시간콜입력!$E:$E,"B",실시간콜입력!$H:$H,$B1498,실시간콜입력!$O:$O,"방문완료")</f>
        <v>0</v>
      </c>
      <c r="H1498" s="29">
        <f>COUNTIFS(실시간콜입력!$B:$B,$A1498,실시간콜입력!$E:$E,"C",실시간콜입력!$G:$G,$B1498,실시간콜입력!$O:$O,"방문완료")+COUNTIFS(실시간콜입력!$B:$B,$A1498,실시간콜입력!$E:$E,"C",실시간콜입력!$H:$H,$B1498,실시간콜입력!$O:$O,"방문완료")</f>
        <v>0</v>
      </c>
      <c r="I1498" s="29">
        <f>COUNTIFS(실시간콜입력!$B:$B,$A1498,실시간콜입력!$E:$E,"D",실시간콜입력!$G:$G,$B1498,실시간콜입력!$O:$O,"방문완료")+COUNTIFS(실시간콜입력!$B:$B,$A1498,실시간콜입력!$E:$E,"D",실시간콜입력!$H:$H,$B1498,실시간콜입력!$O:$O,"방문완료")</f>
        <v>0</v>
      </c>
      <c r="J1498" s="29">
        <f>COUNTIFS(실시간콜입력!$B:$B,$A1498,실시간콜입력!$E:$E,"E",실시간콜입력!$G:$G,$B1498,실시간콜입력!$O:$O,"방문완료")+COUNTIFS(실시간콜입력!$B:$B,$A1498,실시간콜입력!$E:$E,"E",실시간콜입력!$H:$H,$B1498,실시간콜입력!$O:$O,"방문완료")</f>
        <v>0</v>
      </c>
      <c r="K1498" s="29">
        <f t="shared" si="201"/>
        <v>0</v>
      </c>
      <c r="L1498" s="33">
        <f>SUMIFS(실시간콜입력!$K:$K,실시간콜입력!$B:$B,$A1498,실시간콜입력!$G:$G,$B1498,실시간콜입력!$O:$O,"방문완료")+SUMIFS(실시간콜입력!$L:$L,실시간콜입력!$B:$B,$A1498,실시간콜입력!$H:$H,$B1498,실시간콜입력!$O:$O,"방문완료")</f>
        <v>0</v>
      </c>
      <c r="M1498" s="29" t="str">
        <f t="shared" si="202"/>
        <v/>
      </c>
      <c r="N1498" s="29"/>
    </row>
    <row r="1499" spans="1:14" ht="19.5" hidden="1" customHeight="1" outlineLevel="1">
      <c r="A1499" s="24">
        <f>IF(29&lt;=DAY(DATE(YEAR(설정_코스수당!$K$2),MONTH(설정_코스수당!$K$2)+1,0)),DATE(YEAR(설정_코스수당!$K$2),MONTH(설정_코스수당!$K$2),29),"")</f>
        <v>46202</v>
      </c>
      <c r="B1499" s="23" t="s">
        <v>199</v>
      </c>
      <c r="C1499" s="29"/>
      <c r="D1499" s="29"/>
      <c r="E1499" s="29" t="str">
        <f t="shared" si="200"/>
        <v/>
      </c>
      <c r="F1499" s="29">
        <f>COUNTIFS(실시간콜입력!$B:$B,$A1499,실시간콜입력!$E:$E,"A",실시간콜입력!$G:$G,$B1499,실시간콜입력!$O:$O,"방문완료")+COUNTIFS(실시간콜입력!$B:$B,$A1499,실시간콜입력!$E:$E,"A",실시간콜입력!$H:$H,$B1499,실시간콜입력!$O:$O,"방문완료")</f>
        <v>0</v>
      </c>
      <c r="G1499" s="29">
        <f>COUNTIFS(실시간콜입력!$B:$B,$A1499,실시간콜입력!$E:$E,"B",실시간콜입력!$G:$G,$B1499,실시간콜입력!$O:$O,"방문완료")+COUNTIFS(실시간콜입력!$B:$B,$A1499,실시간콜입력!$E:$E,"B",실시간콜입력!$H:$H,$B1499,실시간콜입력!$O:$O,"방문완료")</f>
        <v>0</v>
      </c>
      <c r="H1499" s="29">
        <f>COUNTIFS(실시간콜입력!$B:$B,$A1499,실시간콜입력!$E:$E,"C",실시간콜입력!$G:$G,$B1499,실시간콜입력!$O:$O,"방문완료")+COUNTIFS(실시간콜입력!$B:$B,$A1499,실시간콜입력!$E:$E,"C",실시간콜입력!$H:$H,$B1499,실시간콜입력!$O:$O,"방문완료")</f>
        <v>0</v>
      </c>
      <c r="I1499" s="29">
        <f>COUNTIFS(실시간콜입력!$B:$B,$A1499,실시간콜입력!$E:$E,"D",실시간콜입력!$G:$G,$B1499,실시간콜입력!$O:$O,"방문완료")+COUNTIFS(실시간콜입력!$B:$B,$A1499,실시간콜입력!$E:$E,"D",실시간콜입력!$H:$H,$B1499,실시간콜입력!$O:$O,"방문완료")</f>
        <v>0</v>
      </c>
      <c r="J1499" s="29">
        <f>COUNTIFS(실시간콜입력!$B:$B,$A1499,실시간콜입력!$E:$E,"E",실시간콜입력!$G:$G,$B1499,실시간콜입력!$O:$O,"방문완료")+COUNTIFS(실시간콜입력!$B:$B,$A1499,실시간콜입력!$E:$E,"E",실시간콜입력!$H:$H,$B1499,실시간콜입력!$O:$O,"방문완료")</f>
        <v>0</v>
      </c>
      <c r="K1499" s="29">
        <f t="shared" si="201"/>
        <v>0</v>
      </c>
      <c r="L1499" s="27">
        <f>SUMIFS(실시간콜입력!$K:$K,실시간콜입력!$B:$B,$A1499,실시간콜입력!$G:$G,$B1499,실시간콜입력!$O:$O,"방문완료")+SUMIFS(실시간콜입력!$L:$L,실시간콜입력!$B:$B,$A1499,실시간콜입력!$H:$H,$B1499,실시간콜입력!$O:$O,"방문완료")</f>
        <v>0</v>
      </c>
      <c r="M1499" s="29" t="str">
        <f t="shared" si="202"/>
        <v/>
      </c>
      <c r="N1499" s="29"/>
    </row>
    <row r="1500" spans="1:14" ht="19.5" hidden="1" customHeight="1" outlineLevel="1">
      <c r="A1500" s="30">
        <f>IF(29&lt;=DAY(DATE(YEAR(설정_코스수당!$K$2),MONTH(설정_코스수당!$K$2)+1,0)),DATE(YEAR(설정_코스수당!$K$2),MONTH(설정_코스수당!$K$2),29),"")</f>
        <v>46202</v>
      </c>
      <c r="B1500" s="29" t="s">
        <v>200</v>
      </c>
      <c r="C1500" s="29"/>
      <c r="D1500" s="29"/>
      <c r="E1500" s="29" t="str">
        <f t="shared" si="200"/>
        <v/>
      </c>
      <c r="F1500" s="29">
        <f>COUNTIFS(실시간콜입력!$B:$B,$A1500,실시간콜입력!$E:$E,"A",실시간콜입력!$G:$G,$B1500,실시간콜입력!$O:$O,"방문완료")+COUNTIFS(실시간콜입력!$B:$B,$A1500,실시간콜입력!$E:$E,"A",실시간콜입력!$H:$H,$B1500,실시간콜입력!$O:$O,"방문완료")</f>
        <v>0</v>
      </c>
      <c r="G1500" s="29">
        <f>COUNTIFS(실시간콜입력!$B:$B,$A1500,실시간콜입력!$E:$E,"B",실시간콜입력!$G:$G,$B1500,실시간콜입력!$O:$O,"방문완료")+COUNTIFS(실시간콜입력!$B:$B,$A1500,실시간콜입력!$E:$E,"B",실시간콜입력!$H:$H,$B1500,실시간콜입력!$O:$O,"방문완료")</f>
        <v>0</v>
      </c>
      <c r="H1500" s="29">
        <f>COUNTIFS(실시간콜입력!$B:$B,$A1500,실시간콜입력!$E:$E,"C",실시간콜입력!$G:$G,$B1500,실시간콜입력!$O:$O,"방문완료")+COUNTIFS(실시간콜입력!$B:$B,$A1500,실시간콜입력!$E:$E,"C",실시간콜입력!$H:$H,$B1500,실시간콜입력!$O:$O,"방문완료")</f>
        <v>0</v>
      </c>
      <c r="I1500" s="29">
        <f>COUNTIFS(실시간콜입력!$B:$B,$A1500,실시간콜입력!$E:$E,"D",실시간콜입력!$G:$G,$B1500,실시간콜입력!$O:$O,"방문완료")+COUNTIFS(실시간콜입력!$B:$B,$A1500,실시간콜입력!$E:$E,"D",실시간콜입력!$H:$H,$B1500,실시간콜입력!$O:$O,"방문완료")</f>
        <v>0</v>
      </c>
      <c r="J1500" s="29">
        <f>COUNTIFS(실시간콜입력!$B:$B,$A1500,실시간콜입력!$E:$E,"E",실시간콜입력!$G:$G,$B1500,실시간콜입력!$O:$O,"방문완료")+COUNTIFS(실시간콜입력!$B:$B,$A1500,실시간콜입력!$E:$E,"E",실시간콜입력!$H:$H,$B1500,실시간콜입력!$O:$O,"방문완료")</f>
        <v>0</v>
      </c>
      <c r="K1500" s="29">
        <f t="shared" si="201"/>
        <v>0</v>
      </c>
      <c r="L1500" s="33">
        <f>SUMIFS(실시간콜입력!$K:$K,실시간콜입력!$B:$B,$A1500,실시간콜입력!$G:$G,$B1500,실시간콜입력!$O:$O,"방문완료")+SUMIFS(실시간콜입력!$L:$L,실시간콜입력!$B:$B,$A1500,실시간콜입력!$H:$H,$B1500,실시간콜입력!$O:$O,"방문완료")</f>
        <v>0</v>
      </c>
      <c r="M1500" s="29" t="str">
        <f t="shared" si="202"/>
        <v/>
      </c>
      <c r="N1500" s="29"/>
    </row>
    <row r="1501" spans="1:14" ht="19.5" hidden="1" customHeight="1" outlineLevel="1">
      <c r="A1501" s="24">
        <f>IF(29&lt;=DAY(DATE(YEAR(설정_코스수당!$K$2),MONTH(설정_코스수당!$K$2)+1,0)),DATE(YEAR(설정_코스수당!$K$2),MONTH(설정_코스수당!$K$2),29),"")</f>
        <v>46202</v>
      </c>
      <c r="B1501" s="23" t="s">
        <v>201</v>
      </c>
      <c r="C1501" s="29"/>
      <c r="D1501" s="29"/>
      <c r="E1501" s="29" t="str">
        <f t="shared" si="200"/>
        <v/>
      </c>
      <c r="F1501" s="29">
        <f>COUNTIFS(실시간콜입력!$B:$B,$A1501,실시간콜입력!$E:$E,"A",실시간콜입력!$G:$G,$B1501,실시간콜입력!$O:$O,"방문완료")+COUNTIFS(실시간콜입력!$B:$B,$A1501,실시간콜입력!$E:$E,"A",실시간콜입력!$H:$H,$B1501,실시간콜입력!$O:$O,"방문완료")</f>
        <v>0</v>
      </c>
      <c r="G1501" s="29">
        <f>COUNTIFS(실시간콜입력!$B:$B,$A1501,실시간콜입력!$E:$E,"B",실시간콜입력!$G:$G,$B1501,실시간콜입력!$O:$O,"방문완료")+COUNTIFS(실시간콜입력!$B:$B,$A1501,실시간콜입력!$E:$E,"B",실시간콜입력!$H:$H,$B1501,실시간콜입력!$O:$O,"방문완료")</f>
        <v>0</v>
      </c>
      <c r="H1501" s="29">
        <f>COUNTIFS(실시간콜입력!$B:$B,$A1501,실시간콜입력!$E:$E,"C",실시간콜입력!$G:$G,$B1501,실시간콜입력!$O:$O,"방문완료")+COUNTIFS(실시간콜입력!$B:$B,$A1501,실시간콜입력!$E:$E,"C",실시간콜입력!$H:$H,$B1501,실시간콜입력!$O:$O,"방문완료")</f>
        <v>0</v>
      </c>
      <c r="I1501" s="29">
        <f>COUNTIFS(실시간콜입력!$B:$B,$A1501,실시간콜입력!$E:$E,"D",실시간콜입력!$G:$G,$B1501,실시간콜입력!$O:$O,"방문완료")+COUNTIFS(실시간콜입력!$B:$B,$A1501,실시간콜입력!$E:$E,"D",실시간콜입력!$H:$H,$B1501,실시간콜입력!$O:$O,"방문완료")</f>
        <v>0</v>
      </c>
      <c r="J1501" s="29">
        <f>COUNTIFS(실시간콜입력!$B:$B,$A1501,실시간콜입력!$E:$E,"E",실시간콜입력!$G:$G,$B1501,실시간콜입력!$O:$O,"방문완료")+COUNTIFS(실시간콜입력!$B:$B,$A1501,실시간콜입력!$E:$E,"E",실시간콜입력!$H:$H,$B1501,실시간콜입력!$O:$O,"방문완료")</f>
        <v>0</v>
      </c>
      <c r="K1501" s="29">
        <f t="shared" si="201"/>
        <v>0</v>
      </c>
      <c r="L1501" s="27">
        <f>SUMIFS(실시간콜입력!$K:$K,실시간콜입력!$B:$B,$A1501,실시간콜입력!$G:$G,$B1501,실시간콜입력!$O:$O,"방문완료")+SUMIFS(실시간콜입력!$L:$L,실시간콜입력!$B:$B,$A1501,실시간콜입력!$H:$H,$B1501,실시간콜입력!$O:$O,"방문완료")</f>
        <v>0</v>
      </c>
      <c r="M1501" s="29" t="str">
        <f t="shared" si="202"/>
        <v/>
      </c>
      <c r="N1501" s="29"/>
    </row>
    <row r="1502" spans="1:14" ht="19.5" hidden="1" customHeight="1" outlineLevel="1">
      <c r="A1502" s="30">
        <f>IF(29&lt;=DAY(DATE(YEAR(설정_코스수당!$K$2),MONTH(설정_코스수당!$K$2)+1,0)),DATE(YEAR(설정_코스수당!$K$2),MONTH(설정_코스수당!$K$2),29),"")</f>
        <v>46202</v>
      </c>
      <c r="B1502" s="29" t="s">
        <v>202</v>
      </c>
      <c r="C1502" s="29"/>
      <c r="D1502" s="29"/>
      <c r="E1502" s="29" t="str">
        <f t="shared" si="200"/>
        <v/>
      </c>
      <c r="F1502" s="29">
        <f>COUNTIFS(실시간콜입력!$B:$B,$A1502,실시간콜입력!$E:$E,"A",실시간콜입력!$G:$G,$B1502,실시간콜입력!$O:$O,"방문완료")+COUNTIFS(실시간콜입력!$B:$B,$A1502,실시간콜입력!$E:$E,"A",실시간콜입력!$H:$H,$B1502,실시간콜입력!$O:$O,"방문완료")</f>
        <v>0</v>
      </c>
      <c r="G1502" s="29">
        <f>COUNTIFS(실시간콜입력!$B:$B,$A1502,실시간콜입력!$E:$E,"B",실시간콜입력!$G:$G,$B1502,실시간콜입력!$O:$O,"방문완료")+COUNTIFS(실시간콜입력!$B:$B,$A1502,실시간콜입력!$E:$E,"B",실시간콜입력!$H:$H,$B1502,실시간콜입력!$O:$O,"방문완료")</f>
        <v>0</v>
      </c>
      <c r="H1502" s="29">
        <f>COUNTIFS(실시간콜입력!$B:$B,$A1502,실시간콜입력!$E:$E,"C",실시간콜입력!$G:$G,$B1502,실시간콜입력!$O:$O,"방문완료")+COUNTIFS(실시간콜입력!$B:$B,$A1502,실시간콜입력!$E:$E,"C",실시간콜입력!$H:$H,$B1502,실시간콜입력!$O:$O,"방문완료")</f>
        <v>0</v>
      </c>
      <c r="I1502" s="29">
        <f>COUNTIFS(실시간콜입력!$B:$B,$A1502,실시간콜입력!$E:$E,"D",실시간콜입력!$G:$G,$B1502,실시간콜입력!$O:$O,"방문완료")+COUNTIFS(실시간콜입력!$B:$B,$A1502,실시간콜입력!$E:$E,"D",실시간콜입력!$H:$H,$B1502,실시간콜입력!$O:$O,"방문완료")</f>
        <v>0</v>
      </c>
      <c r="J1502" s="29">
        <f>COUNTIFS(실시간콜입력!$B:$B,$A1502,실시간콜입력!$E:$E,"E",실시간콜입력!$G:$G,$B1502,실시간콜입력!$O:$O,"방문완료")+COUNTIFS(실시간콜입력!$B:$B,$A1502,실시간콜입력!$E:$E,"E",실시간콜입력!$H:$H,$B1502,실시간콜입력!$O:$O,"방문완료")</f>
        <v>0</v>
      </c>
      <c r="K1502" s="29">
        <f t="shared" si="201"/>
        <v>0</v>
      </c>
      <c r="L1502" s="33">
        <f>SUMIFS(실시간콜입력!$K:$K,실시간콜입력!$B:$B,$A1502,실시간콜입력!$G:$G,$B1502,실시간콜입력!$O:$O,"방문완료")+SUMIFS(실시간콜입력!$L:$L,실시간콜입력!$B:$B,$A1502,실시간콜입력!$H:$H,$B1502,실시간콜입력!$O:$O,"방문완료")</f>
        <v>0</v>
      </c>
      <c r="M1502" s="29" t="str">
        <f t="shared" si="202"/>
        <v/>
      </c>
      <c r="N1502" s="29"/>
    </row>
    <row r="1503" spans="1:14" ht="19.5" hidden="1" customHeight="1" outlineLevel="1">
      <c r="A1503" s="24">
        <f>IF(29&lt;=DAY(DATE(YEAR(설정_코스수당!$K$2),MONTH(설정_코스수당!$K$2)+1,0)),DATE(YEAR(설정_코스수당!$K$2),MONTH(설정_코스수당!$K$2),29),"")</f>
        <v>46202</v>
      </c>
      <c r="B1503" s="23" t="s">
        <v>203</v>
      </c>
      <c r="C1503" s="29"/>
      <c r="D1503" s="29"/>
      <c r="E1503" s="29" t="str">
        <f t="shared" si="200"/>
        <v/>
      </c>
      <c r="F1503" s="29">
        <f>COUNTIFS(실시간콜입력!$B:$B,$A1503,실시간콜입력!$E:$E,"A",실시간콜입력!$G:$G,$B1503,실시간콜입력!$O:$O,"방문완료")+COUNTIFS(실시간콜입력!$B:$B,$A1503,실시간콜입력!$E:$E,"A",실시간콜입력!$H:$H,$B1503,실시간콜입력!$O:$O,"방문완료")</f>
        <v>0</v>
      </c>
      <c r="G1503" s="29">
        <f>COUNTIFS(실시간콜입력!$B:$B,$A1503,실시간콜입력!$E:$E,"B",실시간콜입력!$G:$G,$B1503,실시간콜입력!$O:$O,"방문완료")+COUNTIFS(실시간콜입력!$B:$B,$A1503,실시간콜입력!$E:$E,"B",실시간콜입력!$H:$H,$B1503,실시간콜입력!$O:$O,"방문완료")</f>
        <v>0</v>
      </c>
      <c r="H1503" s="29">
        <f>COUNTIFS(실시간콜입력!$B:$B,$A1503,실시간콜입력!$E:$E,"C",실시간콜입력!$G:$G,$B1503,실시간콜입력!$O:$O,"방문완료")+COUNTIFS(실시간콜입력!$B:$B,$A1503,실시간콜입력!$E:$E,"C",실시간콜입력!$H:$H,$B1503,실시간콜입력!$O:$O,"방문완료")</f>
        <v>0</v>
      </c>
      <c r="I1503" s="29">
        <f>COUNTIFS(실시간콜입력!$B:$B,$A1503,실시간콜입력!$E:$E,"D",실시간콜입력!$G:$G,$B1503,실시간콜입력!$O:$O,"방문완료")+COUNTIFS(실시간콜입력!$B:$B,$A1503,실시간콜입력!$E:$E,"D",실시간콜입력!$H:$H,$B1503,실시간콜입력!$O:$O,"방문완료")</f>
        <v>0</v>
      </c>
      <c r="J1503" s="29">
        <f>COUNTIFS(실시간콜입력!$B:$B,$A1503,실시간콜입력!$E:$E,"E",실시간콜입력!$G:$G,$B1503,실시간콜입력!$O:$O,"방문완료")+COUNTIFS(실시간콜입력!$B:$B,$A1503,실시간콜입력!$E:$E,"E",실시간콜입력!$H:$H,$B1503,실시간콜입력!$O:$O,"방문완료")</f>
        <v>0</v>
      </c>
      <c r="K1503" s="29">
        <f t="shared" si="201"/>
        <v>0</v>
      </c>
      <c r="L1503" s="27">
        <f>SUMIFS(실시간콜입력!$K:$K,실시간콜입력!$B:$B,$A1503,실시간콜입력!$G:$G,$B1503,실시간콜입력!$O:$O,"방문완료")+SUMIFS(실시간콜입력!$L:$L,실시간콜입력!$B:$B,$A1503,실시간콜입력!$H:$H,$B1503,실시간콜입력!$O:$O,"방문완료")</f>
        <v>0</v>
      </c>
      <c r="M1503" s="29" t="str">
        <f t="shared" si="202"/>
        <v/>
      </c>
      <c r="N1503" s="29"/>
    </row>
    <row r="1504" spans="1:14" ht="19.5" hidden="1" customHeight="1" outlineLevel="1">
      <c r="A1504" s="30">
        <f>IF(29&lt;=DAY(DATE(YEAR(설정_코스수당!$K$2),MONTH(설정_코스수당!$K$2)+1,0)),DATE(YEAR(설정_코스수당!$K$2),MONTH(설정_코스수당!$K$2),29),"")</f>
        <v>46202</v>
      </c>
      <c r="B1504" s="29" t="s">
        <v>204</v>
      </c>
      <c r="C1504" s="29"/>
      <c r="D1504" s="29"/>
      <c r="E1504" s="29" t="str">
        <f t="shared" si="200"/>
        <v/>
      </c>
      <c r="F1504" s="29">
        <f>COUNTIFS(실시간콜입력!$B:$B,$A1504,실시간콜입력!$E:$E,"A",실시간콜입력!$G:$G,$B1504,실시간콜입력!$O:$O,"방문완료")+COUNTIFS(실시간콜입력!$B:$B,$A1504,실시간콜입력!$E:$E,"A",실시간콜입력!$H:$H,$B1504,실시간콜입력!$O:$O,"방문완료")</f>
        <v>0</v>
      </c>
      <c r="G1504" s="29">
        <f>COUNTIFS(실시간콜입력!$B:$B,$A1504,실시간콜입력!$E:$E,"B",실시간콜입력!$G:$G,$B1504,실시간콜입력!$O:$O,"방문완료")+COUNTIFS(실시간콜입력!$B:$B,$A1504,실시간콜입력!$E:$E,"B",실시간콜입력!$H:$H,$B1504,실시간콜입력!$O:$O,"방문완료")</f>
        <v>0</v>
      </c>
      <c r="H1504" s="29">
        <f>COUNTIFS(실시간콜입력!$B:$B,$A1504,실시간콜입력!$E:$E,"C",실시간콜입력!$G:$G,$B1504,실시간콜입력!$O:$O,"방문완료")+COUNTIFS(실시간콜입력!$B:$B,$A1504,실시간콜입력!$E:$E,"C",실시간콜입력!$H:$H,$B1504,실시간콜입력!$O:$O,"방문완료")</f>
        <v>0</v>
      </c>
      <c r="I1504" s="29">
        <f>COUNTIFS(실시간콜입력!$B:$B,$A1504,실시간콜입력!$E:$E,"D",실시간콜입력!$G:$G,$B1504,실시간콜입력!$O:$O,"방문완료")+COUNTIFS(실시간콜입력!$B:$B,$A1504,실시간콜입력!$E:$E,"D",실시간콜입력!$H:$H,$B1504,실시간콜입력!$O:$O,"방문완료")</f>
        <v>0</v>
      </c>
      <c r="J1504" s="29">
        <f>COUNTIFS(실시간콜입력!$B:$B,$A1504,실시간콜입력!$E:$E,"E",실시간콜입력!$G:$G,$B1504,실시간콜입력!$O:$O,"방문완료")+COUNTIFS(실시간콜입력!$B:$B,$A1504,실시간콜입력!$E:$E,"E",실시간콜입력!$H:$H,$B1504,실시간콜입력!$O:$O,"방문완료")</f>
        <v>0</v>
      </c>
      <c r="K1504" s="29">
        <f t="shared" si="201"/>
        <v>0</v>
      </c>
      <c r="L1504" s="33">
        <f>SUMIFS(실시간콜입력!$K:$K,실시간콜입력!$B:$B,$A1504,실시간콜입력!$G:$G,$B1504,실시간콜입력!$O:$O,"방문완료")+SUMIFS(실시간콜입력!$L:$L,실시간콜입력!$B:$B,$A1504,실시간콜입력!$H:$H,$B1504,실시간콜입력!$O:$O,"방문완료")</f>
        <v>0</v>
      </c>
      <c r="M1504" s="29" t="str">
        <f t="shared" si="202"/>
        <v/>
      </c>
      <c r="N1504" s="29"/>
    </row>
    <row r="1505" spans="1:14" ht="19.5" hidden="1" customHeight="1" outlineLevel="1">
      <c r="A1505" s="24">
        <f>IF(29&lt;=DAY(DATE(YEAR(설정_코스수당!$K$2),MONTH(설정_코스수당!$K$2)+1,0)),DATE(YEAR(설정_코스수당!$K$2),MONTH(설정_코스수당!$K$2),29),"")</f>
        <v>46202</v>
      </c>
      <c r="B1505" s="23" t="s">
        <v>205</v>
      </c>
      <c r="C1505" s="29"/>
      <c r="D1505" s="29"/>
      <c r="E1505" s="29" t="str">
        <f t="shared" si="200"/>
        <v/>
      </c>
      <c r="F1505" s="29">
        <f>COUNTIFS(실시간콜입력!$B:$B,$A1505,실시간콜입력!$E:$E,"A",실시간콜입력!$G:$G,$B1505,실시간콜입력!$O:$O,"방문완료")+COUNTIFS(실시간콜입력!$B:$B,$A1505,실시간콜입력!$E:$E,"A",실시간콜입력!$H:$H,$B1505,실시간콜입력!$O:$O,"방문완료")</f>
        <v>0</v>
      </c>
      <c r="G1505" s="29">
        <f>COUNTIFS(실시간콜입력!$B:$B,$A1505,실시간콜입력!$E:$E,"B",실시간콜입력!$G:$G,$B1505,실시간콜입력!$O:$O,"방문완료")+COUNTIFS(실시간콜입력!$B:$B,$A1505,실시간콜입력!$E:$E,"B",실시간콜입력!$H:$H,$B1505,실시간콜입력!$O:$O,"방문완료")</f>
        <v>0</v>
      </c>
      <c r="H1505" s="29">
        <f>COUNTIFS(실시간콜입력!$B:$B,$A1505,실시간콜입력!$E:$E,"C",실시간콜입력!$G:$G,$B1505,실시간콜입력!$O:$O,"방문완료")+COUNTIFS(실시간콜입력!$B:$B,$A1505,실시간콜입력!$E:$E,"C",실시간콜입력!$H:$H,$B1505,실시간콜입력!$O:$O,"방문완료")</f>
        <v>0</v>
      </c>
      <c r="I1505" s="29">
        <f>COUNTIFS(실시간콜입력!$B:$B,$A1505,실시간콜입력!$E:$E,"D",실시간콜입력!$G:$G,$B1505,실시간콜입력!$O:$O,"방문완료")+COUNTIFS(실시간콜입력!$B:$B,$A1505,실시간콜입력!$E:$E,"D",실시간콜입력!$H:$H,$B1505,실시간콜입력!$O:$O,"방문완료")</f>
        <v>0</v>
      </c>
      <c r="J1505" s="29">
        <f>COUNTIFS(실시간콜입력!$B:$B,$A1505,실시간콜입력!$E:$E,"E",실시간콜입력!$G:$G,$B1505,실시간콜입력!$O:$O,"방문완료")+COUNTIFS(실시간콜입력!$B:$B,$A1505,실시간콜입력!$E:$E,"E",실시간콜입력!$H:$H,$B1505,실시간콜입력!$O:$O,"방문완료")</f>
        <v>0</v>
      </c>
      <c r="K1505" s="29">
        <f t="shared" si="201"/>
        <v>0</v>
      </c>
      <c r="L1505" s="27">
        <f>SUMIFS(실시간콜입력!$K:$K,실시간콜입력!$B:$B,$A1505,실시간콜입력!$G:$G,$B1505,실시간콜입력!$O:$O,"방문완료")+SUMIFS(실시간콜입력!$L:$L,실시간콜입력!$B:$B,$A1505,실시간콜입력!$H:$H,$B1505,실시간콜입력!$O:$O,"방문완료")</f>
        <v>0</v>
      </c>
      <c r="M1505" s="29" t="str">
        <f t="shared" si="202"/>
        <v/>
      </c>
      <c r="N1505" s="29"/>
    </row>
    <row r="1506" spans="1:14" ht="19.5" hidden="1" customHeight="1" outlineLevel="1">
      <c r="A1506" s="30">
        <f>IF(29&lt;=DAY(DATE(YEAR(설정_코스수당!$K$2),MONTH(설정_코스수당!$K$2)+1,0)),DATE(YEAR(설정_코스수당!$K$2),MONTH(설정_코스수당!$K$2),29),"")</f>
        <v>46202</v>
      </c>
      <c r="B1506" s="29" t="s">
        <v>206</v>
      </c>
      <c r="C1506" s="29"/>
      <c r="D1506" s="29"/>
      <c r="E1506" s="29" t="str">
        <f t="shared" si="200"/>
        <v/>
      </c>
      <c r="F1506" s="29">
        <f>COUNTIFS(실시간콜입력!$B:$B,$A1506,실시간콜입력!$E:$E,"A",실시간콜입력!$G:$G,$B1506,실시간콜입력!$O:$O,"방문완료")+COUNTIFS(실시간콜입력!$B:$B,$A1506,실시간콜입력!$E:$E,"A",실시간콜입력!$H:$H,$B1506,실시간콜입력!$O:$O,"방문완료")</f>
        <v>0</v>
      </c>
      <c r="G1506" s="29">
        <f>COUNTIFS(실시간콜입력!$B:$B,$A1506,실시간콜입력!$E:$E,"B",실시간콜입력!$G:$G,$B1506,실시간콜입력!$O:$O,"방문완료")+COUNTIFS(실시간콜입력!$B:$B,$A1506,실시간콜입력!$E:$E,"B",실시간콜입력!$H:$H,$B1506,실시간콜입력!$O:$O,"방문완료")</f>
        <v>0</v>
      </c>
      <c r="H1506" s="29">
        <f>COUNTIFS(실시간콜입력!$B:$B,$A1506,실시간콜입력!$E:$E,"C",실시간콜입력!$G:$G,$B1506,실시간콜입력!$O:$O,"방문완료")+COUNTIFS(실시간콜입력!$B:$B,$A1506,실시간콜입력!$E:$E,"C",실시간콜입력!$H:$H,$B1506,실시간콜입력!$O:$O,"방문완료")</f>
        <v>0</v>
      </c>
      <c r="I1506" s="29">
        <f>COUNTIFS(실시간콜입력!$B:$B,$A1506,실시간콜입력!$E:$E,"D",실시간콜입력!$G:$G,$B1506,실시간콜입력!$O:$O,"방문완료")+COUNTIFS(실시간콜입력!$B:$B,$A1506,실시간콜입력!$E:$E,"D",실시간콜입력!$H:$H,$B1506,실시간콜입력!$O:$O,"방문완료")</f>
        <v>0</v>
      </c>
      <c r="J1506" s="29">
        <f>COUNTIFS(실시간콜입력!$B:$B,$A1506,실시간콜입력!$E:$E,"E",실시간콜입력!$G:$G,$B1506,실시간콜입력!$O:$O,"방문완료")+COUNTIFS(실시간콜입력!$B:$B,$A1506,실시간콜입력!$E:$E,"E",실시간콜입력!$H:$H,$B1506,실시간콜입력!$O:$O,"방문완료")</f>
        <v>0</v>
      </c>
      <c r="K1506" s="29">
        <f t="shared" si="201"/>
        <v>0</v>
      </c>
      <c r="L1506" s="33">
        <f>SUMIFS(실시간콜입력!$K:$K,실시간콜입력!$B:$B,$A1506,실시간콜입력!$G:$G,$B1506,실시간콜입력!$O:$O,"방문완료")+SUMIFS(실시간콜입력!$L:$L,실시간콜입력!$B:$B,$A1506,실시간콜입력!$H:$H,$B1506,실시간콜입력!$O:$O,"방문완료")</f>
        <v>0</v>
      </c>
      <c r="M1506" s="29" t="str">
        <f t="shared" si="202"/>
        <v/>
      </c>
      <c r="N1506" s="29"/>
    </row>
    <row r="1507" spans="1:14" ht="19.5" hidden="1" customHeight="1" outlineLevel="1">
      <c r="A1507" s="24">
        <f>IF(29&lt;=DAY(DATE(YEAR(설정_코스수당!$K$2),MONTH(설정_코스수당!$K$2)+1,0)),DATE(YEAR(설정_코스수당!$K$2),MONTH(설정_코스수당!$K$2),29),"")</f>
        <v>46202</v>
      </c>
      <c r="B1507" s="23" t="s">
        <v>207</v>
      </c>
      <c r="C1507" s="29"/>
      <c r="D1507" s="29"/>
      <c r="E1507" s="29" t="str">
        <f t="shared" si="200"/>
        <v/>
      </c>
      <c r="F1507" s="29">
        <f>COUNTIFS(실시간콜입력!$B:$B,$A1507,실시간콜입력!$E:$E,"A",실시간콜입력!$G:$G,$B1507,실시간콜입력!$O:$O,"방문완료")+COUNTIFS(실시간콜입력!$B:$B,$A1507,실시간콜입력!$E:$E,"A",실시간콜입력!$H:$H,$B1507,실시간콜입력!$O:$O,"방문완료")</f>
        <v>0</v>
      </c>
      <c r="G1507" s="29">
        <f>COUNTIFS(실시간콜입력!$B:$B,$A1507,실시간콜입력!$E:$E,"B",실시간콜입력!$G:$G,$B1507,실시간콜입력!$O:$O,"방문완료")+COUNTIFS(실시간콜입력!$B:$B,$A1507,실시간콜입력!$E:$E,"B",실시간콜입력!$H:$H,$B1507,실시간콜입력!$O:$O,"방문완료")</f>
        <v>0</v>
      </c>
      <c r="H1507" s="29">
        <f>COUNTIFS(실시간콜입력!$B:$B,$A1507,실시간콜입력!$E:$E,"C",실시간콜입력!$G:$G,$B1507,실시간콜입력!$O:$O,"방문완료")+COUNTIFS(실시간콜입력!$B:$B,$A1507,실시간콜입력!$E:$E,"C",실시간콜입력!$H:$H,$B1507,실시간콜입력!$O:$O,"방문완료")</f>
        <v>0</v>
      </c>
      <c r="I1507" s="29">
        <f>COUNTIFS(실시간콜입력!$B:$B,$A1507,실시간콜입력!$E:$E,"D",실시간콜입력!$G:$G,$B1507,실시간콜입력!$O:$O,"방문완료")+COUNTIFS(실시간콜입력!$B:$B,$A1507,실시간콜입력!$E:$E,"D",실시간콜입력!$H:$H,$B1507,실시간콜입력!$O:$O,"방문완료")</f>
        <v>0</v>
      </c>
      <c r="J1507" s="29">
        <f>COUNTIFS(실시간콜입력!$B:$B,$A1507,실시간콜입력!$E:$E,"E",실시간콜입력!$G:$G,$B1507,실시간콜입력!$O:$O,"방문완료")+COUNTIFS(실시간콜입력!$B:$B,$A1507,실시간콜입력!$E:$E,"E",실시간콜입력!$H:$H,$B1507,실시간콜입력!$O:$O,"방문완료")</f>
        <v>0</v>
      </c>
      <c r="K1507" s="29">
        <f t="shared" si="201"/>
        <v>0</v>
      </c>
      <c r="L1507" s="27">
        <f>SUMIFS(실시간콜입력!$K:$K,실시간콜입력!$B:$B,$A1507,실시간콜입력!$G:$G,$B1507,실시간콜입력!$O:$O,"방문완료")+SUMIFS(실시간콜입력!$L:$L,실시간콜입력!$B:$B,$A1507,실시간콜입력!$H:$H,$B1507,실시간콜입력!$O:$O,"방문완료")</f>
        <v>0</v>
      </c>
      <c r="M1507" s="29" t="str">
        <f t="shared" si="202"/>
        <v/>
      </c>
      <c r="N1507" s="29"/>
    </row>
    <row r="1508" spans="1:14" ht="19.5" hidden="1" customHeight="1" outlineLevel="1">
      <c r="A1508" s="30">
        <f>IF(29&lt;=DAY(DATE(YEAR(설정_코스수당!$K$2),MONTH(설정_코스수당!$K$2)+1,0)),DATE(YEAR(설정_코스수당!$K$2),MONTH(설정_코스수당!$K$2),29),"")</f>
        <v>46202</v>
      </c>
      <c r="B1508" s="29" t="s">
        <v>208</v>
      </c>
      <c r="C1508" s="29"/>
      <c r="D1508" s="29"/>
      <c r="E1508" s="29" t="str">
        <f t="shared" si="200"/>
        <v/>
      </c>
      <c r="F1508" s="29">
        <f>COUNTIFS(실시간콜입력!$B:$B,$A1508,실시간콜입력!$E:$E,"A",실시간콜입력!$G:$G,$B1508,실시간콜입력!$O:$O,"방문완료")+COUNTIFS(실시간콜입력!$B:$B,$A1508,실시간콜입력!$E:$E,"A",실시간콜입력!$H:$H,$B1508,실시간콜입력!$O:$O,"방문완료")</f>
        <v>0</v>
      </c>
      <c r="G1508" s="29">
        <f>COUNTIFS(실시간콜입력!$B:$B,$A1508,실시간콜입력!$E:$E,"B",실시간콜입력!$G:$G,$B1508,실시간콜입력!$O:$O,"방문완료")+COUNTIFS(실시간콜입력!$B:$B,$A1508,실시간콜입력!$E:$E,"B",실시간콜입력!$H:$H,$B1508,실시간콜입력!$O:$O,"방문완료")</f>
        <v>0</v>
      </c>
      <c r="H1508" s="29">
        <f>COUNTIFS(실시간콜입력!$B:$B,$A1508,실시간콜입력!$E:$E,"C",실시간콜입력!$G:$G,$B1508,실시간콜입력!$O:$O,"방문완료")+COUNTIFS(실시간콜입력!$B:$B,$A1508,실시간콜입력!$E:$E,"C",실시간콜입력!$H:$H,$B1508,실시간콜입력!$O:$O,"방문완료")</f>
        <v>0</v>
      </c>
      <c r="I1508" s="29">
        <f>COUNTIFS(실시간콜입력!$B:$B,$A1508,실시간콜입력!$E:$E,"D",실시간콜입력!$G:$G,$B1508,실시간콜입력!$O:$O,"방문완료")+COUNTIFS(실시간콜입력!$B:$B,$A1508,실시간콜입력!$E:$E,"D",실시간콜입력!$H:$H,$B1508,실시간콜입력!$O:$O,"방문완료")</f>
        <v>0</v>
      </c>
      <c r="J1508" s="29">
        <f>COUNTIFS(실시간콜입력!$B:$B,$A1508,실시간콜입력!$E:$E,"E",실시간콜입력!$G:$G,$B1508,실시간콜입력!$O:$O,"방문완료")+COUNTIFS(실시간콜입력!$B:$B,$A1508,실시간콜입력!$E:$E,"E",실시간콜입력!$H:$H,$B1508,실시간콜입력!$O:$O,"방문완료")</f>
        <v>0</v>
      </c>
      <c r="K1508" s="29">
        <f t="shared" si="201"/>
        <v>0</v>
      </c>
      <c r="L1508" s="33">
        <f>SUMIFS(실시간콜입력!$K:$K,실시간콜입력!$B:$B,$A1508,실시간콜입력!$G:$G,$B1508,실시간콜입력!$O:$O,"방문완료")+SUMIFS(실시간콜입력!$L:$L,실시간콜입력!$B:$B,$A1508,실시간콜입력!$H:$H,$B1508,실시간콜입력!$O:$O,"방문완료")</f>
        <v>0</v>
      </c>
      <c r="M1508" s="29" t="str">
        <f t="shared" si="202"/>
        <v/>
      </c>
      <c r="N1508" s="29"/>
    </row>
    <row r="1509" spans="1:14" ht="19.5" hidden="1" customHeight="1" outlineLevel="1">
      <c r="A1509" s="24">
        <f>IF(29&lt;=DAY(DATE(YEAR(설정_코스수당!$K$2),MONTH(설정_코스수당!$K$2)+1,0)),DATE(YEAR(설정_코스수당!$K$2),MONTH(설정_코스수당!$K$2),29),"")</f>
        <v>46202</v>
      </c>
      <c r="B1509" s="23" t="s">
        <v>209</v>
      </c>
      <c r="C1509" s="29"/>
      <c r="D1509" s="29"/>
      <c r="E1509" s="29" t="str">
        <f t="shared" si="200"/>
        <v/>
      </c>
      <c r="F1509" s="29">
        <f>COUNTIFS(실시간콜입력!$B:$B,$A1509,실시간콜입력!$E:$E,"A",실시간콜입력!$G:$G,$B1509,실시간콜입력!$O:$O,"방문완료")+COUNTIFS(실시간콜입력!$B:$B,$A1509,실시간콜입력!$E:$E,"A",실시간콜입력!$H:$H,$B1509,실시간콜입력!$O:$O,"방문완료")</f>
        <v>0</v>
      </c>
      <c r="G1509" s="29">
        <f>COUNTIFS(실시간콜입력!$B:$B,$A1509,실시간콜입력!$E:$E,"B",실시간콜입력!$G:$G,$B1509,실시간콜입력!$O:$O,"방문완료")+COUNTIFS(실시간콜입력!$B:$B,$A1509,실시간콜입력!$E:$E,"B",실시간콜입력!$H:$H,$B1509,실시간콜입력!$O:$O,"방문완료")</f>
        <v>0</v>
      </c>
      <c r="H1509" s="29">
        <f>COUNTIFS(실시간콜입력!$B:$B,$A1509,실시간콜입력!$E:$E,"C",실시간콜입력!$G:$G,$B1509,실시간콜입력!$O:$O,"방문완료")+COUNTIFS(실시간콜입력!$B:$B,$A1509,실시간콜입력!$E:$E,"C",실시간콜입력!$H:$H,$B1509,실시간콜입력!$O:$O,"방문완료")</f>
        <v>0</v>
      </c>
      <c r="I1509" s="29">
        <f>COUNTIFS(실시간콜입력!$B:$B,$A1509,실시간콜입력!$E:$E,"D",실시간콜입력!$G:$G,$B1509,실시간콜입력!$O:$O,"방문완료")+COUNTIFS(실시간콜입력!$B:$B,$A1509,실시간콜입력!$E:$E,"D",실시간콜입력!$H:$H,$B1509,실시간콜입력!$O:$O,"방문완료")</f>
        <v>0</v>
      </c>
      <c r="J1509" s="29">
        <f>COUNTIFS(실시간콜입력!$B:$B,$A1509,실시간콜입력!$E:$E,"E",실시간콜입력!$G:$G,$B1509,실시간콜입력!$O:$O,"방문완료")+COUNTIFS(실시간콜입력!$B:$B,$A1509,실시간콜입력!$E:$E,"E",실시간콜입력!$H:$H,$B1509,실시간콜입력!$O:$O,"방문완료")</f>
        <v>0</v>
      </c>
      <c r="K1509" s="29">
        <f t="shared" si="201"/>
        <v>0</v>
      </c>
      <c r="L1509" s="27">
        <f>SUMIFS(실시간콜입력!$K:$K,실시간콜입력!$B:$B,$A1509,실시간콜입력!$G:$G,$B1509,실시간콜입력!$O:$O,"방문완료")+SUMIFS(실시간콜입력!$L:$L,실시간콜입력!$B:$B,$A1509,실시간콜입력!$H:$H,$B1509,실시간콜입력!$O:$O,"방문완료")</f>
        <v>0</v>
      </c>
      <c r="M1509" s="29" t="str">
        <f t="shared" si="202"/>
        <v/>
      </c>
      <c r="N1509" s="29"/>
    </row>
    <row r="1510" spans="1:14" ht="19.5" hidden="1" customHeight="1" outlineLevel="1">
      <c r="A1510" s="30">
        <f>IF(29&lt;=DAY(DATE(YEAR(설정_코스수당!$K$2),MONTH(설정_코스수당!$K$2)+1,0)),DATE(YEAR(설정_코스수당!$K$2),MONTH(설정_코스수당!$K$2),29),"")</f>
        <v>46202</v>
      </c>
      <c r="B1510" s="29" t="s">
        <v>210</v>
      </c>
      <c r="C1510" s="29"/>
      <c r="D1510" s="29"/>
      <c r="E1510" s="29" t="str">
        <f t="shared" si="200"/>
        <v/>
      </c>
      <c r="F1510" s="29">
        <f>COUNTIFS(실시간콜입력!$B:$B,$A1510,실시간콜입력!$E:$E,"A",실시간콜입력!$G:$G,$B1510,실시간콜입력!$O:$O,"방문완료")+COUNTIFS(실시간콜입력!$B:$B,$A1510,실시간콜입력!$E:$E,"A",실시간콜입력!$H:$H,$B1510,실시간콜입력!$O:$O,"방문완료")</f>
        <v>0</v>
      </c>
      <c r="G1510" s="29">
        <f>COUNTIFS(실시간콜입력!$B:$B,$A1510,실시간콜입력!$E:$E,"B",실시간콜입력!$G:$G,$B1510,실시간콜입력!$O:$O,"방문완료")+COUNTIFS(실시간콜입력!$B:$B,$A1510,실시간콜입력!$E:$E,"B",실시간콜입력!$H:$H,$B1510,실시간콜입력!$O:$O,"방문완료")</f>
        <v>0</v>
      </c>
      <c r="H1510" s="29">
        <f>COUNTIFS(실시간콜입력!$B:$B,$A1510,실시간콜입력!$E:$E,"C",실시간콜입력!$G:$G,$B1510,실시간콜입력!$O:$O,"방문완료")+COUNTIFS(실시간콜입력!$B:$B,$A1510,실시간콜입력!$E:$E,"C",실시간콜입력!$H:$H,$B1510,실시간콜입력!$O:$O,"방문완료")</f>
        <v>0</v>
      </c>
      <c r="I1510" s="29">
        <f>COUNTIFS(실시간콜입력!$B:$B,$A1510,실시간콜입력!$E:$E,"D",실시간콜입력!$G:$G,$B1510,실시간콜입력!$O:$O,"방문완료")+COUNTIFS(실시간콜입력!$B:$B,$A1510,실시간콜입력!$E:$E,"D",실시간콜입력!$H:$H,$B1510,실시간콜입력!$O:$O,"방문완료")</f>
        <v>0</v>
      </c>
      <c r="J1510" s="29">
        <f>COUNTIFS(실시간콜입력!$B:$B,$A1510,실시간콜입력!$E:$E,"E",실시간콜입력!$G:$G,$B1510,실시간콜입력!$O:$O,"방문완료")+COUNTIFS(실시간콜입력!$B:$B,$A1510,실시간콜입력!$E:$E,"E",실시간콜입력!$H:$H,$B1510,실시간콜입력!$O:$O,"방문완료")</f>
        <v>0</v>
      </c>
      <c r="K1510" s="29">
        <f t="shared" si="201"/>
        <v>0</v>
      </c>
      <c r="L1510" s="33">
        <f>SUMIFS(실시간콜입력!$K:$K,실시간콜입력!$B:$B,$A1510,실시간콜입력!$G:$G,$B1510,실시간콜입력!$O:$O,"방문완료")+SUMIFS(실시간콜입력!$L:$L,실시간콜입력!$B:$B,$A1510,실시간콜입력!$H:$H,$B1510,실시간콜입력!$O:$O,"방문완료")</f>
        <v>0</v>
      </c>
      <c r="M1510" s="29" t="str">
        <f t="shared" si="202"/>
        <v/>
      </c>
      <c r="N1510" s="29"/>
    </row>
    <row r="1511" spans="1:14" ht="19.5" hidden="1" customHeight="1" outlineLevel="1">
      <c r="A1511" s="24">
        <f>IF(29&lt;=DAY(DATE(YEAR(설정_코스수당!$K$2),MONTH(설정_코스수당!$K$2)+1,0)),DATE(YEAR(설정_코스수당!$K$2),MONTH(설정_코스수당!$K$2),29),"")</f>
        <v>46202</v>
      </c>
      <c r="B1511" s="23" t="s">
        <v>211</v>
      </c>
      <c r="C1511" s="29"/>
      <c r="D1511" s="29"/>
      <c r="E1511" s="29" t="str">
        <f t="shared" si="200"/>
        <v/>
      </c>
      <c r="F1511" s="29">
        <f>COUNTIFS(실시간콜입력!$B:$B,$A1511,실시간콜입력!$E:$E,"A",실시간콜입력!$G:$G,$B1511,실시간콜입력!$O:$O,"방문완료")+COUNTIFS(실시간콜입력!$B:$B,$A1511,실시간콜입력!$E:$E,"A",실시간콜입력!$H:$H,$B1511,실시간콜입력!$O:$O,"방문완료")</f>
        <v>0</v>
      </c>
      <c r="G1511" s="29">
        <f>COUNTIFS(실시간콜입력!$B:$B,$A1511,실시간콜입력!$E:$E,"B",실시간콜입력!$G:$G,$B1511,실시간콜입력!$O:$O,"방문완료")+COUNTIFS(실시간콜입력!$B:$B,$A1511,실시간콜입력!$E:$E,"B",실시간콜입력!$H:$H,$B1511,실시간콜입력!$O:$O,"방문완료")</f>
        <v>0</v>
      </c>
      <c r="H1511" s="29">
        <f>COUNTIFS(실시간콜입력!$B:$B,$A1511,실시간콜입력!$E:$E,"C",실시간콜입력!$G:$G,$B1511,실시간콜입력!$O:$O,"방문완료")+COUNTIFS(실시간콜입력!$B:$B,$A1511,실시간콜입력!$E:$E,"C",실시간콜입력!$H:$H,$B1511,실시간콜입력!$O:$O,"방문완료")</f>
        <v>0</v>
      </c>
      <c r="I1511" s="29">
        <f>COUNTIFS(실시간콜입력!$B:$B,$A1511,실시간콜입력!$E:$E,"D",실시간콜입력!$G:$G,$B1511,실시간콜입력!$O:$O,"방문완료")+COUNTIFS(실시간콜입력!$B:$B,$A1511,실시간콜입력!$E:$E,"D",실시간콜입력!$H:$H,$B1511,실시간콜입력!$O:$O,"방문완료")</f>
        <v>0</v>
      </c>
      <c r="J1511" s="29">
        <f>COUNTIFS(실시간콜입력!$B:$B,$A1511,실시간콜입력!$E:$E,"E",실시간콜입력!$G:$G,$B1511,실시간콜입력!$O:$O,"방문완료")+COUNTIFS(실시간콜입력!$B:$B,$A1511,실시간콜입력!$E:$E,"E",실시간콜입력!$H:$H,$B1511,실시간콜입력!$O:$O,"방문완료")</f>
        <v>0</v>
      </c>
      <c r="K1511" s="29">
        <f t="shared" si="201"/>
        <v>0</v>
      </c>
      <c r="L1511" s="27">
        <f>SUMIFS(실시간콜입력!$K:$K,실시간콜입력!$B:$B,$A1511,실시간콜입력!$G:$G,$B1511,실시간콜입력!$O:$O,"방문완료")+SUMIFS(실시간콜입력!$L:$L,실시간콜입력!$B:$B,$A1511,실시간콜입력!$H:$H,$B1511,실시간콜입력!$O:$O,"방문완료")</f>
        <v>0</v>
      </c>
      <c r="M1511" s="29" t="str">
        <f t="shared" si="202"/>
        <v/>
      </c>
      <c r="N1511" s="29"/>
    </row>
    <row r="1512" spans="1:14" ht="19.5" hidden="1" customHeight="1" outlineLevel="1">
      <c r="A1512" s="30">
        <f>IF(29&lt;=DAY(DATE(YEAR(설정_코스수당!$K$2),MONTH(설정_코스수당!$K$2)+1,0)),DATE(YEAR(설정_코스수당!$K$2),MONTH(설정_코스수당!$K$2),29),"")</f>
        <v>46202</v>
      </c>
      <c r="B1512" s="29" t="s">
        <v>212</v>
      </c>
      <c r="C1512" s="29"/>
      <c r="D1512" s="29"/>
      <c r="E1512" s="29" t="str">
        <f t="shared" si="200"/>
        <v/>
      </c>
      <c r="F1512" s="29">
        <f>COUNTIFS(실시간콜입력!$B:$B,$A1512,실시간콜입력!$E:$E,"A",실시간콜입력!$G:$G,$B1512,실시간콜입력!$O:$O,"방문완료")+COUNTIFS(실시간콜입력!$B:$B,$A1512,실시간콜입력!$E:$E,"A",실시간콜입력!$H:$H,$B1512,실시간콜입력!$O:$O,"방문완료")</f>
        <v>0</v>
      </c>
      <c r="G1512" s="29">
        <f>COUNTIFS(실시간콜입력!$B:$B,$A1512,실시간콜입력!$E:$E,"B",실시간콜입력!$G:$G,$B1512,실시간콜입력!$O:$O,"방문완료")+COUNTIFS(실시간콜입력!$B:$B,$A1512,실시간콜입력!$E:$E,"B",실시간콜입력!$H:$H,$B1512,실시간콜입력!$O:$O,"방문완료")</f>
        <v>0</v>
      </c>
      <c r="H1512" s="29">
        <f>COUNTIFS(실시간콜입력!$B:$B,$A1512,실시간콜입력!$E:$E,"C",실시간콜입력!$G:$G,$B1512,실시간콜입력!$O:$O,"방문완료")+COUNTIFS(실시간콜입력!$B:$B,$A1512,실시간콜입력!$E:$E,"C",실시간콜입력!$H:$H,$B1512,실시간콜입력!$O:$O,"방문완료")</f>
        <v>0</v>
      </c>
      <c r="I1512" s="29">
        <f>COUNTIFS(실시간콜입력!$B:$B,$A1512,실시간콜입력!$E:$E,"D",실시간콜입력!$G:$G,$B1512,실시간콜입력!$O:$O,"방문완료")+COUNTIFS(실시간콜입력!$B:$B,$A1512,실시간콜입력!$E:$E,"D",실시간콜입력!$H:$H,$B1512,실시간콜입력!$O:$O,"방문완료")</f>
        <v>0</v>
      </c>
      <c r="J1512" s="29">
        <f>COUNTIFS(실시간콜입력!$B:$B,$A1512,실시간콜입력!$E:$E,"E",실시간콜입력!$G:$G,$B1512,실시간콜입력!$O:$O,"방문완료")+COUNTIFS(실시간콜입력!$B:$B,$A1512,실시간콜입력!$E:$E,"E",실시간콜입력!$H:$H,$B1512,실시간콜입력!$O:$O,"방문완료")</f>
        <v>0</v>
      </c>
      <c r="K1512" s="29">
        <f t="shared" si="201"/>
        <v>0</v>
      </c>
      <c r="L1512" s="33">
        <f>SUMIFS(실시간콜입력!$K:$K,실시간콜입력!$B:$B,$A1512,실시간콜입력!$G:$G,$B1512,실시간콜입력!$O:$O,"방문완료")+SUMIFS(실시간콜입력!$L:$L,실시간콜입력!$B:$B,$A1512,실시간콜입력!$H:$H,$B1512,실시간콜입력!$O:$O,"방문완료")</f>
        <v>0</v>
      </c>
      <c r="M1512" s="29" t="str">
        <f t="shared" si="202"/>
        <v/>
      </c>
      <c r="N1512" s="29"/>
    </row>
    <row r="1513" spans="1:14" ht="21.75" customHeight="1" collapsed="1">
      <c r="A1513" s="64">
        <f>IF(30&lt;=DAY(DATE(YEAR(설정_코스수당!$K$2),MONTH(설정_코스수당!$K$2)+1,0)),DATE(YEAR(설정_코스수당!$K$2),MONTH(설정_코스수당!$K$2),30),"")</f>
        <v>46203</v>
      </c>
      <c r="B1513" s="65" t="str">
        <f>IF(A1513="","","출근 "&amp;COUNTIF(C1515:C1564,"&lt;&gt;")&amp;"명")</f>
        <v>출근 0명</v>
      </c>
      <c r="C1513" s="65" t="str">
        <f>IF(A1513="","","만근 "&amp;COUNTIF(M1515:M1564,"인정")&amp;"명")</f>
        <v>만근 0명</v>
      </c>
      <c r="D1513" s="65" t="str">
        <f>IFERROR("평균 "&amp;TEXT(AVERAGEIF(E1515:E1564,"&gt;0",E1515:E1564),"0.0")&amp;"h","평균 -")</f>
        <v>평균 -</v>
      </c>
      <c r="E1513" s="65" t="s">
        <v>163</v>
      </c>
      <c r="F1513" s="65">
        <f t="shared" ref="F1513:L1513" si="203">SUM(F1515:F1564)</f>
        <v>0</v>
      </c>
      <c r="G1513" s="65">
        <f t="shared" si="203"/>
        <v>0</v>
      </c>
      <c r="H1513" s="65">
        <f t="shared" si="203"/>
        <v>0</v>
      </c>
      <c r="I1513" s="65">
        <f t="shared" si="203"/>
        <v>0</v>
      </c>
      <c r="J1513" s="65">
        <f t="shared" si="203"/>
        <v>0</v>
      </c>
      <c r="K1513" s="65">
        <f t="shared" si="203"/>
        <v>0</v>
      </c>
      <c r="L1513" s="66">
        <f t="shared" si="203"/>
        <v>0</v>
      </c>
      <c r="M1513" s="65">
        <f>COUNTIF(M1515:M1564,"인정")</f>
        <v>0</v>
      </c>
      <c r="N1513" s="65" t="s">
        <v>164</v>
      </c>
    </row>
    <row r="1514" spans="1:14" ht="19.5" hidden="1" customHeight="1" outlineLevel="1">
      <c r="A1514" s="20" t="s">
        <v>42</v>
      </c>
      <c r="B1514" s="20" t="s">
        <v>152</v>
      </c>
      <c r="C1514" s="20" t="s">
        <v>153</v>
      </c>
      <c r="D1514" s="20" t="s">
        <v>154</v>
      </c>
      <c r="E1514" s="20" t="s">
        <v>155</v>
      </c>
      <c r="F1514" s="20" t="s">
        <v>156</v>
      </c>
      <c r="G1514" s="20" t="s">
        <v>157</v>
      </c>
      <c r="H1514" s="20" t="s">
        <v>158</v>
      </c>
      <c r="I1514" s="20" t="s">
        <v>159</v>
      </c>
      <c r="J1514" s="20" t="s">
        <v>160</v>
      </c>
      <c r="K1514" s="20" t="s">
        <v>118</v>
      </c>
      <c r="L1514" s="20" t="s">
        <v>161</v>
      </c>
      <c r="M1514" s="20" t="s">
        <v>162</v>
      </c>
      <c r="N1514" s="20" t="s">
        <v>95</v>
      </c>
    </row>
    <row r="1515" spans="1:14" ht="19.5" hidden="1" customHeight="1" outlineLevel="1">
      <c r="A1515" s="24">
        <f>IF(30&lt;=DAY(DATE(YEAR(설정_코스수당!$K$2),MONTH(설정_코스수당!$K$2)+1,0)),DATE(YEAR(설정_코스수당!$K$2),MONTH(설정_코스수당!$K$2),30),"")</f>
        <v>46203</v>
      </c>
      <c r="B1515" s="23" t="s">
        <v>47</v>
      </c>
      <c r="C1515" s="23"/>
      <c r="D1515" s="23"/>
      <c r="E1515" s="23" t="str">
        <f t="shared" ref="E1515:E1546" si="204">IF(AND(C1515&lt;&gt;"",D1515&lt;&gt;""),IF(D1515&lt;C1515,D1515+1-C1515,D1515-C1515)*24,"")</f>
        <v/>
      </c>
      <c r="F1515" s="23">
        <f>COUNTIFS(실시간콜입력!$B:$B,$A1515,실시간콜입력!$E:$E,"A",실시간콜입력!$G:$G,$B1515,실시간콜입력!$O:$O,"방문완료")+COUNTIFS(실시간콜입력!$B:$B,$A1515,실시간콜입력!$E:$E,"A",실시간콜입력!$H:$H,$B1515,실시간콜입력!$O:$O,"방문완료")</f>
        <v>0</v>
      </c>
      <c r="G1515" s="23">
        <f>COUNTIFS(실시간콜입력!$B:$B,$A1515,실시간콜입력!$E:$E,"B",실시간콜입력!$G:$G,$B1515,실시간콜입력!$O:$O,"방문완료")+COUNTIFS(실시간콜입력!$B:$B,$A1515,실시간콜입력!$E:$E,"B",실시간콜입력!$H:$H,$B1515,실시간콜입력!$O:$O,"방문완료")</f>
        <v>0</v>
      </c>
      <c r="H1515" s="23">
        <f>COUNTIFS(실시간콜입력!$B:$B,$A1515,실시간콜입력!$E:$E,"C",실시간콜입력!$G:$G,$B1515,실시간콜입력!$O:$O,"방문완료")+COUNTIFS(실시간콜입력!$B:$B,$A1515,실시간콜입력!$E:$E,"C",실시간콜입력!$H:$H,$B1515,실시간콜입력!$O:$O,"방문완료")</f>
        <v>0</v>
      </c>
      <c r="I1515" s="23">
        <f>COUNTIFS(실시간콜입력!$B:$B,$A1515,실시간콜입력!$E:$E,"D",실시간콜입력!$G:$G,$B1515,실시간콜입력!$O:$O,"방문완료")+COUNTIFS(실시간콜입력!$B:$B,$A1515,실시간콜입력!$E:$E,"D",실시간콜입력!$H:$H,$B1515,실시간콜입력!$O:$O,"방문완료")</f>
        <v>0</v>
      </c>
      <c r="J1515" s="23">
        <f>COUNTIFS(실시간콜입력!$B:$B,$A1515,실시간콜입력!$E:$E,"E",실시간콜입력!$G:$G,$B1515,실시간콜입력!$O:$O,"방문완료")+COUNTIFS(실시간콜입력!$B:$B,$A1515,실시간콜입력!$E:$E,"E",실시간콜입력!$H:$H,$B1515,실시간콜입력!$O:$O,"방문완료")</f>
        <v>0</v>
      </c>
      <c r="K1515" s="23">
        <f t="shared" ref="K1515:K1546" si="205">SUM(F1515:J1515)</f>
        <v>0</v>
      </c>
      <c r="L1515" s="27">
        <f>SUMIFS(실시간콜입력!$K:$K,실시간콜입력!$B:$B,$A1515,실시간콜입력!$G:$G,$B1515,실시간콜입력!$O:$O,"방문완료")+SUMIFS(실시간콜입력!$L:$L,실시간콜입력!$B:$B,$A1515,실시간콜입력!$H:$H,$B1515,실시간콜입력!$O:$O,"방문완료")</f>
        <v>0</v>
      </c>
      <c r="M1515" s="23" t="str">
        <f t="shared" ref="M1515:M1546" si="206">IF(AND(ISNUMBER(E1515),E1515&gt;=8),"인정","")</f>
        <v/>
      </c>
      <c r="N1515" s="23"/>
    </row>
    <row r="1516" spans="1:14" ht="19.5" hidden="1" customHeight="1" outlineLevel="1">
      <c r="A1516" s="30">
        <f>IF(30&lt;=DAY(DATE(YEAR(설정_코스수당!$K$2),MONTH(설정_코스수당!$K$2)+1,0)),DATE(YEAR(설정_코스수당!$K$2),MONTH(설정_코스수당!$K$2),30),"")</f>
        <v>46203</v>
      </c>
      <c r="B1516" s="29" t="s">
        <v>48</v>
      </c>
      <c r="C1516" s="29"/>
      <c r="D1516" s="29"/>
      <c r="E1516" s="29" t="str">
        <f t="shared" si="204"/>
        <v/>
      </c>
      <c r="F1516" s="29">
        <f>COUNTIFS(실시간콜입력!$B:$B,$A1516,실시간콜입력!$E:$E,"A",실시간콜입력!$G:$G,$B1516,실시간콜입력!$O:$O,"방문완료")+COUNTIFS(실시간콜입력!$B:$B,$A1516,실시간콜입력!$E:$E,"A",실시간콜입력!$H:$H,$B1516,실시간콜입력!$O:$O,"방문완료")</f>
        <v>0</v>
      </c>
      <c r="G1516" s="29">
        <f>COUNTIFS(실시간콜입력!$B:$B,$A1516,실시간콜입력!$E:$E,"B",실시간콜입력!$G:$G,$B1516,실시간콜입력!$O:$O,"방문완료")+COUNTIFS(실시간콜입력!$B:$B,$A1516,실시간콜입력!$E:$E,"B",실시간콜입력!$H:$H,$B1516,실시간콜입력!$O:$O,"방문완료")</f>
        <v>0</v>
      </c>
      <c r="H1516" s="29">
        <f>COUNTIFS(실시간콜입력!$B:$B,$A1516,실시간콜입력!$E:$E,"C",실시간콜입력!$G:$G,$B1516,실시간콜입력!$O:$O,"방문완료")+COUNTIFS(실시간콜입력!$B:$B,$A1516,실시간콜입력!$E:$E,"C",실시간콜입력!$H:$H,$B1516,실시간콜입력!$O:$O,"방문완료")</f>
        <v>0</v>
      </c>
      <c r="I1516" s="29">
        <f>COUNTIFS(실시간콜입력!$B:$B,$A1516,실시간콜입력!$E:$E,"D",실시간콜입력!$G:$G,$B1516,실시간콜입력!$O:$O,"방문완료")+COUNTIFS(실시간콜입력!$B:$B,$A1516,실시간콜입력!$E:$E,"D",실시간콜입력!$H:$H,$B1516,실시간콜입력!$O:$O,"방문완료")</f>
        <v>0</v>
      </c>
      <c r="J1516" s="29">
        <f>COUNTIFS(실시간콜입력!$B:$B,$A1516,실시간콜입력!$E:$E,"E",실시간콜입력!$G:$G,$B1516,실시간콜입력!$O:$O,"방문완료")+COUNTIFS(실시간콜입력!$B:$B,$A1516,실시간콜입력!$E:$E,"E",실시간콜입력!$H:$H,$B1516,실시간콜입력!$O:$O,"방문완료")</f>
        <v>0</v>
      </c>
      <c r="K1516" s="29">
        <f t="shared" si="205"/>
        <v>0</v>
      </c>
      <c r="L1516" s="33">
        <f>SUMIFS(실시간콜입력!$K:$K,실시간콜입력!$B:$B,$A1516,실시간콜입력!$G:$G,$B1516,실시간콜입력!$O:$O,"방문완료")+SUMIFS(실시간콜입력!$L:$L,실시간콜입력!$B:$B,$A1516,실시간콜입력!$H:$H,$B1516,실시간콜입력!$O:$O,"방문완료")</f>
        <v>0</v>
      </c>
      <c r="M1516" s="29" t="str">
        <f t="shared" si="206"/>
        <v/>
      </c>
      <c r="N1516" s="29"/>
    </row>
    <row r="1517" spans="1:14" ht="19.5" hidden="1" customHeight="1" outlineLevel="1">
      <c r="A1517" s="24">
        <f>IF(30&lt;=DAY(DATE(YEAR(설정_코스수당!$K$2),MONTH(설정_코스수당!$K$2)+1,0)),DATE(YEAR(설정_코스수당!$K$2),MONTH(설정_코스수당!$K$2),30),"")</f>
        <v>46203</v>
      </c>
      <c r="B1517" s="23" t="s">
        <v>165</v>
      </c>
      <c r="C1517" s="29"/>
      <c r="D1517" s="29"/>
      <c r="E1517" s="29" t="str">
        <f t="shared" si="204"/>
        <v/>
      </c>
      <c r="F1517" s="29">
        <f>COUNTIFS(실시간콜입력!$B:$B,$A1517,실시간콜입력!$E:$E,"A",실시간콜입력!$G:$G,$B1517,실시간콜입력!$O:$O,"방문완료")+COUNTIFS(실시간콜입력!$B:$B,$A1517,실시간콜입력!$E:$E,"A",실시간콜입력!$H:$H,$B1517,실시간콜입력!$O:$O,"방문완료")</f>
        <v>0</v>
      </c>
      <c r="G1517" s="29">
        <f>COUNTIFS(실시간콜입력!$B:$B,$A1517,실시간콜입력!$E:$E,"B",실시간콜입력!$G:$G,$B1517,실시간콜입력!$O:$O,"방문완료")+COUNTIFS(실시간콜입력!$B:$B,$A1517,실시간콜입력!$E:$E,"B",실시간콜입력!$H:$H,$B1517,실시간콜입력!$O:$O,"방문완료")</f>
        <v>0</v>
      </c>
      <c r="H1517" s="29">
        <f>COUNTIFS(실시간콜입력!$B:$B,$A1517,실시간콜입력!$E:$E,"C",실시간콜입력!$G:$G,$B1517,실시간콜입력!$O:$O,"방문완료")+COUNTIFS(실시간콜입력!$B:$B,$A1517,실시간콜입력!$E:$E,"C",실시간콜입력!$H:$H,$B1517,실시간콜입력!$O:$O,"방문완료")</f>
        <v>0</v>
      </c>
      <c r="I1517" s="29">
        <f>COUNTIFS(실시간콜입력!$B:$B,$A1517,실시간콜입력!$E:$E,"D",실시간콜입력!$G:$G,$B1517,실시간콜입력!$O:$O,"방문완료")+COUNTIFS(실시간콜입력!$B:$B,$A1517,실시간콜입력!$E:$E,"D",실시간콜입력!$H:$H,$B1517,실시간콜입력!$O:$O,"방문완료")</f>
        <v>0</v>
      </c>
      <c r="J1517" s="29">
        <f>COUNTIFS(실시간콜입력!$B:$B,$A1517,실시간콜입력!$E:$E,"E",실시간콜입력!$G:$G,$B1517,실시간콜입력!$O:$O,"방문완료")+COUNTIFS(실시간콜입력!$B:$B,$A1517,실시간콜입력!$E:$E,"E",실시간콜입력!$H:$H,$B1517,실시간콜입력!$O:$O,"방문완료")</f>
        <v>0</v>
      </c>
      <c r="K1517" s="29">
        <f t="shared" si="205"/>
        <v>0</v>
      </c>
      <c r="L1517" s="27">
        <f>SUMIFS(실시간콜입력!$K:$K,실시간콜입력!$B:$B,$A1517,실시간콜입력!$G:$G,$B1517,실시간콜입력!$O:$O,"방문완료")+SUMIFS(실시간콜입력!$L:$L,실시간콜입력!$B:$B,$A1517,실시간콜입력!$H:$H,$B1517,실시간콜입력!$O:$O,"방문완료")</f>
        <v>0</v>
      </c>
      <c r="M1517" s="29" t="str">
        <f t="shared" si="206"/>
        <v/>
      </c>
      <c r="N1517" s="29"/>
    </row>
    <row r="1518" spans="1:14" ht="19.5" hidden="1" customHeight="1" outlineLevel="1">
      <c r="A1518" s="30">
        <f>IF(30&lt;=DAY(DATE(YEAR(설정_코스수당!$K$2),MONTH(설정_코스수당!$K$2)+1,0)),DATE(YEAR(설정_코스수당!$K$2),MONTH(설정_코스수당!$K$2),30),"")</f>
        <v>46203</v>
      </c>
      <c r="B1518" s="29" t="s">
        <v>166</v>
      </c>
      <c r="C1518" s="29"/>
      <c r="D1518" s="29"/>
      <c r="E1518" s="29" t="str">
        <f t="shared" si="204"/>
        <v/>
      </c>
      <c r="F1518" s="29">
        <f>COUNTIFS(실시간콜입력!$B:$B,$A1518,실시간콜입력!$E:$E,"A",실시간콜입력!$G:$G,$B1518,실시간콜입력!$O:$O,"방문완료")+COUNTIFS(실시간콜입력!$B:$B,$A1518,실시간콜입력!$E:$E,"A",실시간콜입력!$H:$H,$B1518,실시간콜입력!$O:$O,"방문완료")</f>
        <v>0</v>
      </c>
      <c r="G1518" s="29">
        <f>COUNTIFS(실시간콜입력!$B:$B,$A1518,실시간콜입력!$E:$E,"B",실시간콜입력!$G:$G,$B1518,실시간콜입력!$O:$O,"방문완료")+COUNTIFS(실시간콜입력!$B:$B,$A1518,실시간콜입력!$E:$E,"B",실시간콜입력!$H:$H,$B1518,실시간콜입력!$O:$O,"방문완료")</f>
        <v>0</v>
      </c>
      <c r="H1518" s="29">
        <f>COUNTIFS(실시간콜입력!$B:$B,$A1518,실시간콜입력!$E:$E,"C",실시간콜입력!$G:$G,$B1518,실시간콜입력!$O:$O,"방문완료")+COUNTIFS(실시간콜입력!$B:$B,$A1518,실시간콜입력!$E:$E,"C",실시간콜입력!$H:$H,$B1518,실시간콜입력!$O:$O,"방문완료")</f>
        <v>0</v>
      </c>
      <c r="I1518" s="29">
        <f>COUNTIFS(실시간콜입력!$B:$B,$A1518,실시간콜입력!$E:$E,"D",실시간콜입력!$G:$G,$B1518,실시간콜입력!$O:$O,"방문완료")+COUNTIFS(실시간콜입력!$B:$B,$A1518,실시간콜입력!$E:$E,"D",실시간콜입력!$H:$H,$B1518,실시간콜입력!$O:$O,"방문완료")</f>
        <v>0</v>
      </c>
      <c r="J1518" s="29">
        <f>COUNTIFS(실시간콜입력!$B:$B,$A1518,실시간콜입력!$E:$E,"E",실시간콜입력!$G:$G,$B1518,실시간콜입력!$O:$O,"방문완료")+COUNTIFS(실시간콜입력!$B:$B,$A1518,실시간콜입력!$E:$E,"E",실시간콜입력!$H:$H,$B1518,실시간콜입력!$O:$O,"방문완료")</f>
        <v>0</v>
      </c>
      <c r="K1518" s="29">
        <f t="shared" si="205"/>
        <v>0</v>
      </c>
      <c r="L1518" s="33">
        <f>SUMIFS(실시간콜입력!$K:$K,실시간콜입력!$B:$B,$A1518,실시간콜입력!$G:$G,$B1518,실시간콜입력!$O:$O,"방문완료")+SUMIFS(실시간콜입력!$L:$L,실시간콜입력!$B:$B,$A1518,실시간콜입력!$H:$H,$B1518,실시간콜입력!$O:$O,"방문완료")</f>
        <v>0</v>
      </c>
      <c r="M1518" s="29" t="str">
        <f t="shared" si="206"/>
        <v/>
      </c>
      <c r="N1518" s="29"/>
    </row>
    <row r="1519" spans="1:14" ht="19.5" hidden="1" customHeight="1" outlineLevel="1">
      <c r="A1519" s="24">
        <f>IF(30&lt;=DAY(DATE(YEAR(설정_코스수당!$K$2),MONTH(설정_코스수당!$K$2)+1,0)),DATE(YEAR(설정_코스수당!$K$2),MONTH(설정_코스수당!$K$2),30),"")</f>
        <v>46203</v>
      </c>
      <c r="B1519" s="23" t="s">
        <v>167</v>
      </c>
      <c r="C1519" s="29"/>
      <c r="D1519" s="29"/>
      <c r="E1519" s="29" t="str">
        <f t="shared" si="204"/>
        <v/>
      </c>
      <c r="F1519" s="29">
        <f>COUNTIFS(실시간콜입력!$B:$B,$A1519,실시간콜입력!$E:$E,"A",실시간콜입력!$G:$G,$B1519,실시간콜입력!$O:$O,"방문완료")+COUNTIFS(실시간콜입력!$B:$B,$A1519,실시간콜입력!$E:$E,"A",실시간콜입력!$H:$H,$B1519,실시간콜입력!$O:$O,"방문완료")</f>
        <v>0</v>
      </c>
      <c r="G1519" s="29">
        <f>COUNTIFS(실시간콜입력!$B:$B,$A1519,실시간콜입력!$E:$E,"B",실시간콜입력!$G:$G,$B1519,실시간콜입력!$O:$O,"방문완료")+COUNTIFS(실시간콜입력!$B:$B,$A1519,실시간콜입력!$E:$E,"B",실시간콜입력!$H:$H,$B1519,실시간콜입력!$O:$O,"방문완료")</f>
        <v>0</v>
      </c>
      <c r="H1519" s="29">
        <f>COUNTIFS(실시간콜입력!$B:$B,$A1519,실시간콜입력!$E:$E,"C",실시간콜입력!$G:$G,$B1519,실시간콜입력!$O:$O,"방문완료")+COUNTIFS(실시간콜입력!$B:$B,$A1519,실시간콜입력!$E:$E,"C",실시간콜입력!$H:$H,$B1519,실시간콜입력!$O:$O,"방문완료")</f>
        <v>0</v>
      </c>
      <c r="I1519" s="29">
        <f>COUNTIFS(실시간콜입력!$B:$B,$A1519,실시간콜입력!$E:$E,"D",실시간콜입력!$G:$G,$B1519,실시간콜입력!$O:$O,"방문완료")+COUNTIFS(실시간콜입력!$B:$B,$A1519,실시간콜입력!$E:$E,"D",실시간콜입력!$H:$H,$B1519,실시간콜입력!$O:$O,"방문완료")</f>
        <v>0</v>
      </c>
      <c r="J1519" s="29">
        <f>COUNTIFS(실시간콜입력!$B:$B,$A1519,실시간콜입력!$E:$E,"E",실시간콜입력!$G:$G,$B1519,실시간콜입력!$O:$O,"방문완료")+COUNTIFS(실시간콜입력!$B:$B,$A1519,실시간콜입력!$E:$E,"E",실시간콜입력!$H:$H,$B1519,실시간콜입력!$O:$O,"방문완료")</f>
        <v>0</v>
      </c>
      <c r="K1519" s="29">
        <f t="shared" si="205"/>
        <v>0</v>
      </c>
      <c r="L1519" s="27">
        <f>SUMIFS(실시간콜입력!$K:$K,실시간콜입력!$B:$B,$A1519,실시간콜입력!$G:$G,$B1519,실시간콜입력!$O:$O,"방문완료")+SUMIFS(실시간콜입력!$L:$L,실시간콜입력!$B:$B,$A1519,실시간콜입력!$H:$H,$B1519,실시간콜입력!$O:$O,"방문완료")</f>
        <v>0</v>
      </c>
      <c r="M1519" s="29" t="str">
        <f t="shared" si="206"/>
        <v/>
      </c>
      <c r="N1519" s="29"/>
    </row>
    <row r="1520" spans="1:14" ht="19.5" hidden="1" customHeight="1" outlineLevel="1">
      <c r="A1520" s="30">
        <f>IF(30&lt;=DAY(DATE(YEAR(설정_코스수당!$K$2),MONTH(설정_코스수당!$K$2)+1,0)),DATE(YEAR(설정_코스수당!$K$2),MONTH(설정_코스수당!$K$2),30),"")</f>
        <v>46203</v>
      </c>
      <c r="B1520" s="29" t="s">
        <v>168</v>
      </c>
      <c r="C1520" s="29"/>
      <c r="D1520" s="29"/>
      <c r="E1520" s="29" t="str">
        <f t="shared" si="204"/>
        <v/>
      </c>
      <c r="F1520" s="29">
        <f>COUNTIFS(실시간콜입력!$B:$B,$A1520,실시간콜입력!$E:$E,"A",실시간콜입력!$G:$G,$B1520,실시간콜입력!$O:$O,"방문완료")+COUNTIFS(실시간콜입력!$B:$B,$A1520,실시간콜입력!$E:$E,"A",실시간콜입력!$H:$H,$B1520,실시간콜입력!$O:$O,"방문완료")</f>
        <v>0</v>
      </c>
      <c r="G1520" s="29">
        <f>COUNTIFS(실시간콜입력!$B:$B,$A1520,실시간콜입력!$E:$E,"B",실시간콜입력!$G:$G,$B1520,실시간콜입력!$O:$O,"방문완료")+COUNTIFS(실시간콜입력!$B:$B,$A1520,실시간콜입력!$E:$E,"B",실시간콜입력!$H:$H,$B1520,실시간콜입력!$O:$O,"방문완료")</f>
        <v>0</v>
      </c>
      <c r="H1520" s="29">
        <f>COUNTIFS(실시간콜입력!$B:$B,$A1520,실시간콜입력!$E:$E,"C",실시간콜입력!$G:$G,$B1520,실시간콜입력!$O:$O,"방문완료")+COUNTIFS(실시간콜입력!$B:$B,$A1520,실시간콜입력!$E:$E,"C",실시간콜입력!$H:$H,$B1520,실시간콜입력!$O:$O,"방문완료")</f>
        <v>0</v>
      </c>
      <c r="I1520" s="29">
        <f>COUNTIFS(실시간콜입력!$B:$B,$A1520,실시간콜입력!$E:$E,"D",실시간콜입력!$G:$G,$B1520,실시간콜입력!$O:$O,"방문완료")+COUNTIFS(실시간콜입력!$B:$B,$A1520,실시간콜입력!$E:$E,"D",실시간콜입력!$H:$H,$B1520,실시간콜입력!$O:$O,"방문완료")</f>
        <v>0</v>
      </c>
      <c r="J1520" s="29">
        <f>COUNTIFS(실시간콜입력!$B:$B,$A1520,실시간콜입력!$E:$E,"E",실시간콜입력!$G:$G,$B1520,실시간콜입력!$O:$O,"방문완료")+COUNTIFS(실시간콜입력!$B:$B,$A1520,실시간콜입력!$E:$E,"E",실시간콜입력!$H:$H,$B1520,실시간콜입력!$O:$O,"방문완료")</f>
        <v>0</v>
      </c>
      <c r="K1520" s="29">
        <f t="shared" si="205"/>
        <v>0</v>
      </c>
      <c r="L1520" s="33">
        <f>SUMIFS(실시간콜입력!$K:$K,실시간콜입력!$B:$B,$A1520,실시간콜입력!$G:$G,$B1520,실시간콜입력!$O:$O,"방문완료")+SUMIFS(실시간콜입력!$L:$L,실시간콜입력!$B:$B,$A1520,실시간콜입력!$H:$H,$B1520,실시간콜입력!$O:$O,"방문완료")</f>
        <v>0</v>
      </c>
      <c r="M1520" s="29" t="str">
        <f t="shared" si="206"/>
        <v/>
      </c>
      <c r="N1520" s="29"/>
    </row>
    <row r="1521" spans="1:14" ht="19.5" hidden="1" customHeight="1" outlineLevel="1">
      <c r="A1521" s="24">
        <f>IF(30&lt;=DAY(DATE(YEAR(설정_코스수당!$K$2),MONTH(설정_코스수당!$K$2)+1,0)),DATE(YEAR(설정_코스수당!$K$2),MONTH(설정_코스수당!$K$2),30),"")</f>
        <v>46203</v>
      </c>
      <c r="B1521" s="23" t="s">
        <v>169</v>
      </c>
      <c r="C1521" s="29"/>
      <c r="D1521" s="29"/>
      <c r="E1521" s="29" t="str">
        <f t="shared" si="204"/>
        <v/>
      </c>
      <c r="F1521" s="29">
        <f>COUNTIFS(실시간콜입력!$B:$B,$A1521,실시간콜입력!$E:$E,"A",실시간콜입력!$G:$G,$B1521,실시간콜입력!$O:$O,"방문완료")+COUNTIFS(실시간콜입력!$B:$B,$A1521,실시간콜입력!$E:$E,"A",실시간콜입력!$H:$H,$B1521,실시간콜입력!$O:$O,"방문완료")</f>
        <v>0</v>
      </c>
      <c r="G1521" s="29">
        <f>COUNTIFS(실시간콜입력!$B:$B,$A1521,실시간콜입력!$E:$E,"B",실시간콜입력!$G:$G,$B1521,실시간콜입력!$O:$O,"방문완료")+COUNTIFS(실시간콜입력!$B:$B,$A1521,실시간콜입력!$E:$E,"B",실시간콜입력!$H:$H,$B1521,실시간콜입력!$O:$O,"방문완료")</f>
        <v>0</v>
      </c>
      <c r="H1521" s="29">
        <f>COUNTIFS(실시간콜입력!$B:$B,$A1521,실시간콜입력!$E:$E,"C",실시간콜입력!$G:$G,$B1521,실시간콜입력!$O:$O,"방문완료")+COUNTIFS(실시간콜입력!$B:$B,$A1521,실시간콜입력!$E:$E,"C",실시간콜입력!$H:$H,$B1521,실시간콜입력!$O:$O,"방문완료")</f>
        <v>0</v>
      </c>
      <c r="I1521" s="29">
        <f>COUNTIFS(실시간콜입력!$B:$B,$A1521,실시간콜입력!$E:$E,"D",실시간콜입력!$G:$G,$B1521,실시간콜입력!$O:$O,"방문완료")+COUNTIFS(실시간콜입력!$B:$B,$A1521,실시간콜입력!$E:$E,"D",실시간콜입력!$H:$H,$B1521,실시간콜입력!$O:$O,"방문완료")</f>
        <v>0</v>
      </c>
      <c r="J1521" s="29">
        <f>COUNTIFS(실시간콜입력!$B:$B,$A1521,실시간콜입력!$E:$E,"E",실시간콜입력!$G:$G,$B1521,실시간콜입력!$O:$O,"방문완료")+COUNTIFS(실시간콜입력!$B:$B,$A1521,실시간콜입력!$E:$E,"E",실시간콜입력!$H:$H,$B1521,실시간콜입력!$O:$O,"방문완료")</f>
        <v>0</v>
      </c>
      <c r="K1521" s="29">
        <f t="shared" si="205"/>
        <v>0</v>
      </c>
      <c r="L1521" s="27">
        <f>SUMIFS(실시간콜입력!$K:$K,실시간콜입력!$B:$B,$A1521,실시간콜입력!$G:$G,$B1521,실시간콜입력!$O:$O,"방문완료")+SUMIFS(실시간콜입력!$L:$L,실시간콜입력!$B:$B,$A1521,실시간콜입력!$H:$H,$B1521,실시간콜입력!$O:$O,"방문완료")</f>
        <v>0</v>
      </c>
      <c r="M1521" s="29" t="str">
        <f t="shared" si="206"/>
        <v/>
      </c>
      <c r="N1521" s="29"/>
    </row>
    <row r="1522" spans="1:14" ht="19.5" hidden="1" customHeight="1" outlineLevel="1">
      <c r="A1522" s="30">
        <f>IF(30&lt;=DAY(DATE(YEAR(설정_코스수당!$K$2),MONTH(설정_코스수당!$K$2)+1,0)),DATE(YEAR(설정_코스수당!$K$2),MONTH(설정_코스수당!$K$2),30),"")</f>
        <v>46203</v>
      </c>
      <c r="B1522" s="29" t="s">
        <v>170</v>
      </c>
      <c r="C1522" s="29"/>
      <c r="D1522" s="29"/>
      <c r="E1522" s="29" t="str">
        <f t="shared" si="204"/>
        <v/>
      </c>
      <c r="F1522" s="29">
        <f>COUNTIFS(실시간콜입력!$B:$B,$A1522,실시간콜입력!$E:$E,"A",실시간콜입력!$G:$G,$B1522,실시간콜입력!$O:$O,"방문완료")+COUNTIFS(실시간콜입력!$B:$B,$A1522,실시간콜입력!$E:$E,"A",실시간콜입력!$H:$H,$B1522,실시간콜입력!$O:$O,"방문완료")</f>
        <v>0</v>
      </c>
      <c r="G1522" s="29">
        <f>COUNTIFS(실시간콜입력!$B:$B,$A1522,실시간콜입력!$E:$E,"B",실시간콜입력!$G:$G,$B1522,실시간콜입력!$O:$O,"방문완료")+COUNTIFS(실시간콜입력!$B:$B,$A1522,실시간콜입력!$E:$E,"B",실시간콜입력!$H:$H,$B1522,실시간콜입력!$O:$O,"방문완료")</f>
        <v>0</v>
      </c>
      <c r="H1522" s="29">
        <f>COUNTIFS(실시간콜입력!$B:$B,$A1522,실시간콜입력!$E:$E,"C",실시간콜입력!$G:$G,$B1522,실시간콜입력!$O:$O,"방문완료")+COUNTIFS(실시간콜입력!$B:$B,$A1522,실시간콜입력!$E:$E,"C",실시간콜입력!$H:$H,$B1522,실시간콜입력!$O:$O,"방문완료")</f>
        <v>0</v>
      </c>
      <c r="I1522" s="29">
        <f>COUNTIFS(실시간콜입력!$B:$B,$A1522,실시간콜입력!$E:$E,"D",실시간콜입력!$G:$G,$B1522,실시간콜입력!$O:$O,"방문완료")+COUNTIFS(실시간콜입력!$B:$B,$A1522,실시간콜입력!$E:$E,"D",실시간콜입력!$H:$H,$B1522,실시간콜입력!$O:$O,"방문완료")</f>
        <v>0</v>
      </c>
      <c r="J1522" s="29">
        <f>COUNTIFS(실시간콜입력!$B:$B,$A1522,실시간콜입력!$E:$E,"E",실시간콜입력!$G:$G,$B1522,실시간콜입력!$O:$O,"방문완료")+COUNTIFS(실시간콜입력!$B:$B,$A1522,실시간콜입력!$E:$E,"E",실시간콜입력!$H:$H,$B1522,실시간콜입력!$O:$O,"방문완료")</f>
        <v>0</v>
      </c>
      <c r="K1522" s="29">
        <f t="shared" si="205"/>
        <v>0</v>
      </c>
      <c r="L1522" s="33">
        <f>SUMIFS(실시간콜입력!$K:$K,실시간콜입력!$B:$B,$A1522,실시간콜입력!$G:$G,$B1522,실시간콜입력!$O:$O,"방문완료")+SUMIFS(실시간콜입력!$L:$L,실시간콜입력!$B:$B,$A1522,실시간콜입력!$H:$H,$B1522,실시간콜입력!$O:$O,"방문완료")</f>
        <v>0</v>
      </c>
      <c r="M1522" s="29" t="str">
        <f t="shared" si="206"/>
        <v/>
      </c>
      <c r="N1522" s="29"/>
    </row>
    <row r="1523" spans="1:14" ht="19.5" hidden="1" customHeight="1" outlineLevel="1">
      <c r="A1523" s="24">
        <f>IF(30&lt;=DAY(DATE(YEAR(설정_코스수당!$K$2),MONTH(설정_코스수당!$K$2)+1,0)),DATE(YEAR(설정_코스수당!$K$2),MONTH(설정_코스수당!$K$2),30),"")</f>
        <v>46203</v>
      </c>
      <c r="B1523" s="23" t="s">
        <v>171</v>
      </c>
      <c r="C1523" s="29"/>
      <c r="D1523" s="29"/>
      <c r="E1523" s="29" t="str">
        <f t="shared" si="204"/>
        <v/>
      </c>
      <c r="F1523" s="29">
        <f>COUNTIFS(실시간콜입력!$B:$B,$A1523,실시간콜입력!$E:$E,"A",실시간콜입력!$G:$G,$B1523,실시간콜입력!$O:$O,"방문완료")+COUNTIFS(실시간콜입력!$B:$B,$A1523,실시간콜입력!$E:$E,"A",실시간콜입력!$H:$H,$B1523,실시간콜입력!$O:$O,"방문완료")</f>
        <v>0</v>
      </c>
      <c r="G1523" s="29">
        <f>COUNTIFS(실시간콜입력!$B:$B,$A1523,실시간콜입력!$E:$E,"B",실시간콜입력!$G:$G,$B1523,실시간콜입력!$O:$O,"방문완료")+COUNTIFS(실시간콜입력!$B:$B,$A1523,실시간콜입력!$E:$E,"B",실시간콜입력!$H:$H,$B1523,실시간콜입력!$O:$O,"방문완료")</f>
        <v>0</v>
      </c>
      <c r="H1523" s="29">
        <f>COUNTIFS(실시간콜입력!$B:$B,$A1523,실시간콜입력!$E:$E,"C",실시간콜입력!$G:$G,$B1523,실시간콜입력!$O:$O,"방문완료")+COUNTIFS(실시간콜입력!$B:$B,$A1523,실시간콜입력!$E:$E,"C",실시간콜입력!$H:$H,$B1523,실시간콜입력!$O:$O,"방문완료")</f>
        <v>0</v>
      </c>
      <c r="I1523" s="29">
        <f>COUNTIFS(실시간콜입력!$B:$B,$A1523,실시간콜입력!$E:$E,"D",실시간콜입력!$G:$G,$B1523,실시간콜입력!$O:$O,"방문완료")+COUNTIFS(실시간콜입력!$B:$B,$A1523,실시간콜입력!$E:$E,"D",실시간콜입력!$H:$H,$B1523,실시간콜입력!$O:$O,"방문완료")</f>
        <v>0</v>
      </c>
      <c r="J1523" s="29">
        <f>COUNTIFS(실시간콜입력!$B:$B,$A1523,실시간콜입력!$E:$E,"E",실시간콜입력!$G:$G,$B1523,실시간콜입력!$O:$O,"방문완료")+COUNTIFS(실시간콜입력!$B:$B,$A1523,실시간콜입력!$E:$E,"E",실시간콜입력!$H:$H,$B1523,실시간콜입력!$O:$O,"방문완료")</f>
        <v>0</v>
      </c>
      <c r="K1523" s="29">
        <f t="shared" si="205"/>
        <v>0</v>
      </c>
      <c r="L1523" s="27">
        <f>SUMIFS(실시간콜입력!$K:$K,실시간콜입력!$B:$B,$A1523,실시간콜입력!$G:$G,$B1523,실시간콜입력!$O:$O,"방문완료")+SUMIFS(실시간콜입력!$L:$L,실시간콜입력!$B:$B,$A1523,실시간콜입력!$H:$H,$B1523,실시간콜입력!$O:$O,"방문완료")</f>
        <v>0</v>
      </c>
      <c r="M1523" s="29" t="str">
        <f t="shared" si="206"/>
        <v/>
      </c>
      <c r="N1523" s="29"/>
    </row>
    <row r="1524" spans="1:14" ht="19.5" hidden="1" customHeight="1" outlineLevel="1">
      <c r="A1524" s="30">
        <f>IF(30&lt;=DAY(DATE(YEAR(설정_코스수당!$K$2),MONTH(설정_코스수당!$K$2)+1,0)),DATE(YEAR(설정_코스수당!$K$2),MONTH(설정_코스수당!$K$2),30),"")</f>
        <v>46203</v>
      </c>
      <c r="B1524" s="29" t="s">
        <v>172</v>
      </c>
      <c r="C1524" s="29"/>
      <c r="D1524" s="29"/>
      <c r="E1524" s="29" t="str">
        <f t="shared" si="204"/>
        <v/>
      </c>
      <c r="F1524" s="29">
        <f>COUNTIFS(실시간콜입력!$B:$B,$A1524,실시간콜입력!$E:$E,"A",실시간콜입력!$G:$G,$B1524,실시간콜입력!$O:$O,"방문완료")+COUNTIFS(실시간콜입력!$B:$B,$A1524,실시간콜입력!$E:$E,"A",실시간콜입력!$H:$H,$B1524,실시간콜입력!$O:$O,"방문완료")</f>
        <v>0</v>
      </c>
      <c r="G1524" s="29">
        <f>COUNTIFS(실시간콜입력!$B:$B,$A1524,실시간콜입력!$E:$E,"B",실시간콜입력!$G:$G,$B1524,실시간콜입력!$O:$O,"방문완료")+COUNTIFS(실시간콜입력!$B:$B,$A1524,실시간콜입력!$E:$E,"B",실시간콜입력!$H:$H,$B1524,실시간콜입력!$O:$O,"방문완료")</f>
        <v>0</v>
      </c>
      <c r="H1524" s="29">
        <f>COUNTIFS(실시간콜입력!$B:$B,$A1524,실시간콜입력!$E:$E,"C",실시간콜입력!$G:$G,$B1524,실시간콜입력!$O:$O,"방문완료")+COUNTIFS(실시간콜입력!$B:$B,$A1524,실시간콜입력!$E:$E,"C",실시간콜입력!$H:$H,$B1524,실시간콜입력!$O:$O,"방문완료")</f>
        <v>0</v>
      </c>
      <c r="I1524" s="29">
        <f>COUNTIFS(실시간콜입력!$B:$B,$A1524,실시간콜입력!$E:$E,"D",실시간콜입력!$G:$G,$B1524,실시간콜입력!$O:$O,"방문완료")+COUNTIFS(실시간콜입력!$B:$B,$A1524,실시간콜입력!$E:$E,"D",실시간콜입력!$H:$H,$B1524,실시간콜입력!$O:$O,"방문완료")</f>
        <v>0</v>
      </c>
      <c r="J1524" s="29">
        <f>COUNTIFS(실시간콜입력!$B:$B,$A1524,실시간콜입력!$E:$E,"E",실시간콜입력!$G:$G,$B1524,실시간콜입력!$O:$O,"방문완료")+COUNTIFS(실시간콜입력!$B:$B,$A1524,실시간콜입력!$E:$E,"E",실시간콜입력!$H:$H,$B1524,실시간콜입력!$O:$O,"방문완료")</f>
        <v>0</v>
      </c>
      <c r="K1524" s="29">
        <f t="shared" si="205"/>
        <v>0</v>
      </c>
      <c r="L1524" s="33">
        <f>SUMIFS(실시간콜입력!$K:$K,실시간콜입력!$B:$B,$A1524,실시간콜입력!$G:$G,$B1524,실시간콜입력!$O:$O,"방문완료")+SUMIFS(실시간콜입력!$L:$L,실시간콜입력!$B:$B,$A1524,실시간콜입력!$H:$H,$B1524,실시간콜입력!$O:$O,"방문완료")</f>
        <v>0</v>
      </c>
      <c r="M1524" s="29" t="str">
        <f t="shared" si="206"/>
        <v/>
      </c>
      <c r="N1524" s="29"/>
    </row>
    <row r="1525" spans="1:14" ht="19.5" hidden="1" customHeight="1" outlineLevel="1">
      <c r="A1525" s="24">
        <f>IF(30&lt;=DAY(DATE(YEAR(설정_코스수당!$K$2),MONTH(설정_코스수당!$K$2)+1,0)),DATE(YEAR(설정_코스수당!$K$2),MONTH(설정_코스수당!$K$2),30),"")</f>
        <v>46203</v>
      </c>
      <c r="B1525" s="23" t="s">
        <v>173</v>
      </c>
      <c r="C1525" s="29"/>
      <c r="D1525" s="29"/>
      <c r="E1525" s="29" t="str">
        <f t="shared" si="204"/>
        <v/>
      </c>
      <c r="F1525" s="29">
        <f>COUNTIFS(실시간콜입력!$B:$B,$A1525,실시간콜입력!$E:$E,"A",실시간콜입력!$G:$G,$B1525,실시간콜입력!$O:$O,"방문완료")+COUNTIFS(실시간콜입력!$B:$B,$A1525,실시간콜입력!$E:$E,"A",실시간콜입력!$H:$H,$B1525,실시간콜입력!$O:$O,"방문완료")</f>
        <v>0</v>
      </c>
      <c r="G1525" s="29">
        <f>COUNTIFS(실시간콜입력!$B:$B,$A1525,실시간콜입력!$E:$E,"B",실시간콜입력!$G:$G,$B1525,실시간콜입력!$O:$O,"방문완료")+COUNTIFS(실시간콜입력!$B:$B,$A1525,실시간콜입력!$E:$E,"B",실시간콜입력!$H:$H,$B1525,실시간콜입력!$O:$O,"방문완료")</f>
        <v>0</v>
      </c>
      <c r="H1525" s="29">
        <f>COUNTIFS(실시간콜입력!$B:$B,$A1525,실시간콜입력!$E:$E,"C",실시간콜입력!$G:$G,$B1525,실시간콜입력!$O:$O,"방문완료")+COUNTIFS(실시간콜입력!$B:$B,$A1525,실시간콜입력!$E:$E,"C",실시간콜입력!$H:$H,$B1525,실시간콜입력!$O:$O,"방문완료")</f>
        <v>0</v>
      </c>
      <c r="I1525" s="29">
        <f>COUNTIFS(실시간콜입력!$B:$B,$A1525,실시간콜입력!$E:$E,"D",실시간콜입력!$G:$G,$B1525,실시간콜입력!$O:$O,"방문완료")+COUNTIFS(실시간콜입력!$B:$B,$A1525,실시간콜입력!$E:$E,"D",실시간콜입력!$H:$H,$B1525,실시간콜입력!$O:$O,"방문완료")</f>
        <v>0</v>
      </c>
      <c r="J1525" s="29">
        <f>COUNTIFS(실시간콜입력!$B:$B,$A1525,실시간콜입력!$E:$E,"E",실시간콜입력!$G:$G,$B1525,실시간콜입력!$O:$O,"방문완료")+COUNTIFS(실시간콜입력!$B:$B,$A1525,실시간콜입력!$E:$E,"E",실시간콜입력!$H:$H,$B1525,실시간콜입력!$O:$O,"방문완료")</f>
        <v>0</v>
      </c>
      <c r="K1525" s="29">
        <f t="shared" si="205"/>
        <v>0</v>
      </c>
      <c r="L1525" s="27">
        <f>SUMIFS(실시간콜입력!$K:$K,실시간콜입력!$B:$B,$A1525,실시간콜입력!$G:$G,$B1525,실시간콜입력!$O:$O,"방문완료")+SUMIFS(실시간콜입력!$L:$L,실시간콜입력!$B:$B,$A1525,실시간콜입력!$H:$H,$B1525,실시간콜입력!$O:$O,"방문완료")</f>
        <v>0</v>
      </c>
      <c r="M1525" s="29" t="str">
        <f t="shared" si="206"/>
        <v/>
      </c>
      <c r="N1525" s="29"/>
    </row>
    <row r="1526" spans="1:14" ht="19.5" hidden="1" customHeight="1" outlineLevel="1">
      <c r="A1526" s="30">
        <f>IF(30&lt;=DAY(DATE(YEAR(설정_코스수당!$K$2),MONTH(설정_코스수당!$K$2)+1,0)),DATE(YEAR(설정_코스수당!$K$2),MONTH(설정_코스수당!$K$2),30),"")</f>
        <v>46203</v>
      </c>
      <c r="B1526" s="29" t="s">
        <v>174</v>
      </c>
      <c r="C1526" s="29"/>
      <c r="D1526" s="29"/>
      <c r="E1526" s="29" t="str">
        <f t="shared" si="204"/>
        <v/>
      </c>
      <c r="F1526" s="29">
        <f>COUNTIFS(실시간콜입력!$B:$B,$A1526,실시간콜입력!$E:$E,"A",실시간콜입력!$G:$G,$B1526,실시간콜입력!$O:$O,"방문완료")+COUNTIFS(실시간콜입력!$B:$B,$A1526,실시간콜입력!$E:$E,"A",실시간콜입력!$H:$H,$B1526,실시간콜입력!$O:$O,"방문완료")</f>
        <v>0</v>
      </c>
      <c r="G1526" s="29">
        <f>COUNTIFS(실시간콜입력!$B:$B,$A1526,실시간콜입력!$E:$E,"B",실시간콜입력!$G:$G,$B1526,실시간콜입력!$O:$O,"방문완료")+COUNTIFS(실시간콜입력!$B:$B,$A1526,실시간콜입력!$E:$E,"B",실시간콜입력!$H:$H,$B1526,실시간콜입력!$O:$O,"방문완료")</f>
        <v>0</v>
      </c>
      <c r="H1526" s="29">
        <f>COUNTIFS(실시간콜입력!$B:$B,$A1526,실시간콜입력!$E:$E,"C",실시간콜입력!$G:$G,$B1526,실시간콜입력!$O:$O,"방문완료")+COUNTIFS(실시간콜입력!$B:$B,$A1526,실시간콜입력!$E:$E,"C",실시간콜입력!$H:$H,$B1526,실시간콜입력!$O:$O,"방문완료")</f>
        <v>0</v>
      </c>
      <c r="I1526" s="29">
        <f>COUNTIFS(실시간콜입력!$B:$B,$A1526,실시간콜입력!$E:$E,"D",실시간콜입력!$G:$G,$B1526,실시간콜입력!$O:$O,"방문완료")+COUNTIFS(실시간콜입력!$B:$B,$A1526,실시간콜입력!$E:$E,"D",실시간콜입력!$H:$H,$B1526,실시간콜입력!$O:$O,"방문완료")</f>
        <v>0</v>
      </c>
      <c r="J1526" s="29">
        <f>COUNTIFS(실시간콜입력!$B:$B,$A1526,실시간콜입력!$E:$E,"E",실시간콜입력!$G:$G,$B1526,실시간콜입력!$O:$O,"방문완료")+COUNTIFS(실시간콜입력!$B:$B,$A1526,실시간콜입력!$E:$E,"E",실시간콜입력!$H:$H,$B1526,실시간콜입력!$O:$O,"방문완료")</f>
        <v>0</v>
      </c>
      <c r="K1526" s="29">
        <f t="shared" si="205"/>
        <v>0</v>
      </c>
      <c r="L1526" s="33">
        <f>SUMIFS(실시간콜입력!$K:$K,실시간콜입력!$B:$B,$A1526,실시간콜입력!$G:$G,$B1526,실시간콜입력!$O:$O,"방문완료")+SUMIFS(실시간콜입력!$L:$L,실시간콜입력!$B:$B,$A1526,실시간콜입력!$H:$H,$B1526,실시간콜입력!$O:$O,"방문완료")</f>
        <v>0</v>
      </c>
      <c r="M1526" s="29" t="str">
        <f t="shared" si="206"/>
        <v/>
      </c>
      <c r="N1526" s="29"/>
    </row>
    <row r="1527" spans="1:14" ht="19.5" hidden="1" customHeight="1" outlineLevel="1">
      <c r="A1527" s="24">
        <f>IF(30&lt;=DAY(DATE(YEAR(설정_코스수당!$K$2),MONTH(설정_코스수당!$K$2)+1,0)),DATE(YEAR(설정_코스수당!$K$2),MONTH(설정_코스수당!$K$2),30),"")</f>
        <v>46203</v>
      </c>
      <c r="B1527" s="23" t="s">
        <v>175</v>
      </c>
      <c r="C1527" s="29"/>
      <c r="D1527" s="29"/>
      <c r="E1527" s="29" t="str">
        <f t="shared" si="204"/>
        <v/>
      </c>
      <c r="F1527" s="29">
        <f>COUNTIFS(실시간콜입력!$B:$B,$A1527,실시간콜입력!$E:$E,"A",실시간콜입력!$G:$G,$B1527,실시간콜입력!$O:$O,"방문완료")+COUNTIFS(실시간콜입력!$B:$B,$A1527,실시간콜입력!$E:$E,"A",실시간콜입력!$H:$H,$B1527,실시간콜입력!$O:$O,"방문완료")</f>
        <v>0</v>
      </c>
      <c r="G1527" s="29">
        <f>COUNTIFS(실시간콜입력!$B:$B,$A1527,실시간콜입력!$E:$E,"B",실시간콜입력!$G:$G,$B1527,실시간콜입력!$O:$O,"방문완료")+COUNTIFS(실시간콜입력!$B:$B,$A1527,실시간콜입력!$E:$E,"B",실시간콜입력!$H:$H,$B1527,실시간콜입력!$O:$O,"방문완료")</f>
        <v>0</v>
      </c>
      <c r="H1527" s="29">
        <f>COUNTIFS(실시간콜입력!$B:$B,$A1527,실시간콜입력!$E:$E,"C",실시간콜입력!$G:$G,$B1527,실시간콜입력!$O:$O,"방문완료")+COUNTIFS(실시간콜입력!$B:$B,$A1527,실시간콜입력!$E:$E,"C",실시간콜입력!$H:$H,$B1527,실시간콜입력!$O:$O,"방문완료")</f>
        <v>0</v>
      </c>
      <c r="I1527" s="29">
        <f>COUNTIFS(실시간콜입력!$B:$B,$A1527,실시간콜입력!$E:$E,"D",실시간콜입력!$G:$G,$B1527,실시간콜입력!$O:$O,"방문완료")+COUNTIFS(실시간콜입력!$B:$B,$A1527,실시간콜입력!$E:$E,"D",실시간콜입력!$H:$H,$B1527,실시간콜입력!$O:$O,"방문완료")</f>
        <v>0</v>
      </c>
      <c r="J1527" s="29">
        <f>COUNTIFS(실시간콜입력!$B:$B,$A1527,실시간콜입력!$E:$E,"E",실시간콜입력!$G:$G,$B1527,실시간콜입력!$O:$O,"방문완료")+COUNTIFS(실시간콜입력!$B:$B,$A1527,실시간콜입력!$E:$E,"E",실시간콜입력!$H:$H,$B1527,실시간콜입력!$O:$O,"방문완료")</f>
        <v>0</v>
      </c>
      <c r="K1527" s="29">
        <f t="shared" si="205"/>
        <v>0</v>
      </c>
      <c r="L1527" s="27">
        <f>SUMIFS(실시간콜입력!$K:$K,실시간콜입력!$B:$B,$A1527,실시간콜입력!$G:$G,$B1527,실시간콜입력!$O:$O,"방문완료")+SUMIFS(실시간콜입력!$L:$L,실시간콜입력!$B:$B,$A1527,실시간콜입력!$H:$H,$B1527,실시간콜입력!$O:$O,"방문완료")</f>
        <v>0</v>
      </c>
      <c r="M1527" s="29" t="str">
        <f t="shared" si="206"/>
        <v/>
      </c>
      <c r="N1527" s="29"/>
    </row>
    <row r="1528" spans="1:14" ht="19.5" hidden="1" customHeight="1" outlineLevel="1">
      <c r="A1528" s="30">
        <f>IF(30&lt;=DAY(DATE(YEAR(설정_코스수당!$K$2),MONTH(설정_코스수당!$K$2)+1,0)),DATE(YEAR(설정_코스수당!$K$2),MONTH(설정_코스수당!$K$2),30),"")</f>
        <v>46203</v>
      </c>
      <c r="B1528" s="29" t="s">
        <v>176</v>
      </c>
      <c r="C1528" s="29"/>
      <c r="D1528" s="29"/>
      <c r="E1528" s="29" t="str">
        <f t="shared" si="204"/>
        <v/>
      </c>
      <c r="F1528" s="29">
        <f>COUNTIFS(실시간콜입력!$B:$B,$A1528,실시간콜입력!$E:$E,"A",실시간콜입력!$G:$G,$B1528,실시간콜입력!$O:$O,"방문완료")+COUNTIFS(실시간콜입력!$B:$B,$A1528,실시간콜입력!$E:$E,"A",실시간콜입력!$H:$H,$B1528,실시간콜입력!$O:$O,"방문완료")</f>
        <v>0</v>
      </c>
      <c r="G1528" s="29">
        <f>COUNTIFS(실시간콜입력!$B:$B,$A1528,실시간콜입력!$E:$E,"B",실시간콜입력!$G:$G,$B1528,실시간콜입력!$O:$O,"방문완료")+COUNTIFS(실시간콜입력!$B:$B,$A1528,실시간콜입력!$E:$E,"B",실시간콜입력!$H:$H,$B1528,실시간콜입력!$O:$O,"방문완료")</f>
        <v>0</v>
      </c>
      <c r="H1528" s="29">
        <f>COUNTIFS(실시간콜입력!$B:$B,$A1528,실시간콜입력!$E:$E,"C",실시간콜입력!$G:$G,$B1528,실시간콜입력!$O:$O,"방문완료")+COUNTIFS(실시간콜입력!$B:$B,$A1528,실시간콜입력!$E:$E,"C",실시간콜입력!$H:$H,$B1528,실시간콜입력!$O:$O,"방문완료")</f>
        <v>0</v>
      </c>
      <c r="I1528" s="29">
        <f>COUNTIFS(실시간콜입력!$B:$B,$A1528,실시간콜입력!$E:$E,"D",실시간콜입력!$G:$G,$B1528,실시간콜입력!$O:$O,"방문완료")+COUNTIFS(실시간콜입력!$B:$B,$A1528,실시간콜입력!$E:$E,"D",실시간콜입력!$H:$H,$B1528,실시간콜입력!$O:$O,"방문완료")</f>
        <v>0</v>
      </c>
      <c r="J1528" s="29">
        <f>COUNTIFS(실시간콜입력!$B:$B,$A1528,실시간콜입력!$E:$E,"E",실시간콜입력!$G:$G,$B1528,실시간콜입력!$O:$O,"방문완료")+COUNTIFS(실시간콜입력!$B:$B,$A1528,실시간콜입력!$E:$E,"E",실시간콜입력!$H:$H,$B1528,실시간콜입력!$O:$O,"방문완료")</f>
        <v>0</v>
      </c>
      <c r="K1528" s="29">
        <f t="shared" si="205"/>
        <v>0</v>
      </c>
      <c r="L1528" s="33">
        <f>SUMIFS(실시간콜입력!$K:$K,실시간콜입력!$B:$B,$A1528,실시간콜입력!$G:$G,$B1528,실시간콜입력!$O:$O,"방문완료")+SUMIFS(실시간콜입력!$L:$L,실시간콜입력!$B:$B,$A1528,실시간콜입력!$H:$H,$B1528,실시간콜입력!$O:$O,"방문완료")</f>
        <v>0</v>
      </c>
      <c r="M1528" s="29" t="str">
        <f t="shared" si="206"/>
        <v/>
      </c>
      <c r="N1528" s="29"/>
    </row>
    <row r="1529" spans="1:14" ht="19.5" hidden="1" customHeight="1" outlineLevel="1">
      <c r="A1529" s="24">
        <f>IF(30&lt;=DAY(DATE(YEAR(설정_코스수당!$K$2),MONTH(설정_코스수당!$K$2)+1,0)),DATE(YEAR(설정_코스수당!$K$2),MONTH(설정_코스수당!$K$2),30),"")</f>
        <v>46203</v>
      </c>
      <c r="B1529" s="23" t="s">
        <v>177</v>
      </c>
      <c r="C1529" s="29"/>
      <c r="D1529" s="29"/>
      <c r="E1529" s="29" t="str">
        <f t="shared" si="204"/>
        <v/>
      </c>
      <c r="F1529" s="29">
        <f>COUNTIFS(실시간콜입력!$B:$B,$A1529,실시간콜입력!$E:$E,"A",실시간콜입력!$G:$G,$B1529,실시간콜입력!$O:$O,"방문완료")+COUNTIFS(실시간콜입력!$B:$B,$A1529,실시간콜입력!$E:$E,"A",실시간콜입력!$H:$H,$B1529,실시간콜입력!$O:$O,"방문완료")</f>
        <v>0</v>
      </c>
      <c r="G1529" s="29">
        <f>COUNTIFS(실시간콜입력!$B:$B,$A1529,실시간콜입력!$E:$E,"B",실시간콜입력!$G:$G,$B1529,실시간콜입력!$O:$O,"방문완료")+COUNTIFS(실시간콜입력!$B:$B,$A1529,실시간콜입력!$E:$E,"B",실시간콜입력!$H:$H,$B1529,실시간콜입력!$O:$O,"방문완료")</f>
        <v>0</v>
      </c>
      <c r="H1529" s="29">
        <f>COUNTIFS(실시간콜입력!$B:$B,$A1529,실시간콜입력!$E:$E,"C",실시간콜입력!$G:$G,$B1529,실시간콜입력!$O:$O,"방문완료")+COUNTIFS(실시간콜입력!$B:$B,$A1529,실시간콜입력!$E:$E,"C",실시간콜입력!$H:$H,$B1529,실시간콜입력!$O:$O,"방문완료")</f>
        <v>0</v>
      </c>
      <c r="I1529" s="29">
        <f>COUNTIFS(실시간콜입력!$B:$B,$A1529,실시간콜입력!$E:$E,"D",실시간콜입력!$G:$G,$B1529,실시간콜입력!$O:$O,"방문완료")+COUNTIFS(실시간콜입력!$B:$B,$A1529,실시간콜입력!$E:$E,"D",실시간콜입력!$H:$H,$B1529,실시간콜입력!$O:$O,"방문완료")</f>
        <v>0</v>
      </c>
      <c r="J1529" s="29">
        <f>COUNTIFS(실시간콜입력!$B:$B,$A1529,실시간콜입력!$E:$E,"E",실시간콜입력!$G:$G,$B1529,실시간콜입력!$O:$O,"방문완료")+COUNTIFS(실시간콜입력!$B:$B,$A1529,실시간콜입력!$E:$E,"E",실시간콜입력!$H:$H,$B1529,실시간콜입력!$O:$O,"방문완료")</f>
        <v>0</v>
      </c>
      <c r="K1529" s="29">
        <f t="shared" si="205"/>
        <v>0</v>
      </c>
      <c r="L1529" s="27">
        <f>SUMIFS(실시간콜입력!$K:$K,실시간콜입력!$B:$B,$A1529,실시간콜입력!$G:$G,$B1529,실시간콜입력!$O:$O,"방문완료")+SUMIFS(실시간콜입력!$L:$L,실시간콜입력!$B:$B,$A1529,실시간콜입력!$H:$H,$B1529,실시간콜입력!$O:$O,"방문완료")</f>
        <v>0</v>
      </c>
      <c r="M1529" s="29" t="str">
        <f t="shared" si="206"/>
        <v/>
      </c>
      <c r="N1529" s="29"/>
    </row>
    <row r="1530" spans="1:14" ht="19.5" hidden="1" customHeight="1" outlineLevel="1">
      <c r="A1530" s="30">
        <f>IF(30&lt;=DAY(DATE(YEAR(설정_코스수당!$K$2),MONTH(설정_코스수당!$K$2)+1,0)),DATE(YEAR(설정_코스수당!$K$2),MONTH(설정_코스수당!$K$2),30),"")</f>
        <v>46203</v>
      </c>
      <c r="B1530" s="29" t="s">
        <v>178</v>
      </c>
      <c r="C1530" s="29"/>
      <c r="D1530" s="29"/>
      <c r="E1530" s="29" t="str">
        <f t="shared" si="204"/>
        <v/>
      </c>
      <c r="F1530" s="29">
        <f>COUNTIFS(실시간콜입력!$B:$B,$A1530,실시간콜입력!$E:$E,"A",실시간콜입력!$G:$G,$B1530,실시간콜입력!$O:$O,"방문완료")+COUNTIFS(실시간콜입력!$B:$B,$A1530,실시간콜입력!$E:$E,"A",실시간콜입력!$H:$H,$B1530,실시간콜입력!$O:$O,"방문완료")</f>
        <v>0</v>
      </c>
      <c r="G1530" s="29">
        <f>COUNTIFS(실시간콜입력!$B:$B,$A1530,실시간콜입력!$E:$E,"B",실시간콜입력!$G:$G,$B1530,실시간콜입력!$O:$O,"방문완료")+COUNTIFS(실시간콜입력!$B:$B,$A1530,실시간콜입력!$E:$E,"B",실시간콜입력!$H:$H,$B1530,실시간콜입력!$O:$O,"방문완료")</f>
        <v>0</v>
      </c>
      <c r="H1530" s="29">
        <f>COUNTIFS(실시간콜입력!$B:$B,$A1530,실시간콜입력!$E:$E,"C",실시간콜입력!$G:$G,$B1530,실시간콜입력!$O:$O,"방문완료")+COUNTIFS(실시간콜입력!$B:$B,$A1530,실시간콜입력!$E:$E,"C",실시간콜입력!$H:$H,$B1530,실시간콜입력!$O:$O,"방문완료")</f>
        <v>0</v>
      </c>
      <c r="I1530" s="29">
        <f>COUNTIFS(실시간콜입력!$B:$B,$A1530,실시간콜입력!$E:$E,"D",실시간콜입력!$G:$G,$B1530,실시간콜입력!$O:$O,"방문완료")+COUNTIFS(실시간콜입력!$B:$B,$A1530,실시간콜입력!$E:$E,"D",실시간콜입력!$H:$H,$B1530,실시간콜입력!$O:$O,"방문완료")</f>
        <v>0</v>
      </c>
      <c r="J1530" s="29">
        <f>COUNTIFS(실시간콜입력!$B:$B,$A1530,실시간콜입력!$E:$E,"E",실시간콜입력!$G:$G,$B1530,실시간콜입력!$O:$O,"방문완료")+COUNTIFS(실시간콜입력!$B:$B,$A1530,실시간콜입력!$E:$E,"E",실시간콜입력!$H:$H,$B1530,실시간콜입력!$O:$O,"방문완료")</f>
        <v>0</v>
      </c>
      <c r="K1530" s="29">
        <f t="shared" si="205"/>
        <v>0</v>
      </c>
      <c r="L1530" s="33">
        <f>SUMIFS(실시간콜입력!$K:$K,실시간콜입력!$B:$B,$A1530,실시간콜입력!$G:$G,$B1530,실시간콜입력!$O:$O,"방문완료")+SUMIFS(실시간콜입력!$L:$L,실시간콜입력!$B:$B,$A1530,실시간콜입력!$H:$H,$B1530,실시간콜입력!$O:$O,"방문완료")</f>
        <v>0</v>
      </c>
      <c r="M1530" s="29" t="str">
        <f t="shared" si="206"/>
        <v/>
      </c>
      <c r="N1530" s="29"/>
    </row>
    <row r="1531" spans="1:14" ht="19.5" hidden="1" customHeight="1" outlineLevel="1">
      <c r="A1531" s="24">
        <f>IF(30&lt;=DAY(DATE(YEAR(설정_코스수당!$K$2),MONTH(설정_코스수당!$K$2)+1,0)),DATE(YEAR(설정_코스수당!$K$2),MONTH(설정_코스수당!$K$2),30),"")</f>
        <v>46203</v>
      </c>
      <c r="B1531" s="23" t="s">
        <v>179</v>
      </c>
      <c r="C1531" s="29"/>
      <c r="D1531" s="29"/>
      <c r="E1531" s="29" t="str">
        <f t="shared" si="204"/>
        <v/>
      </c>
      <c r="F1531" s="29">
        <f>COUNTIFS(실시간콜입력!$B:$B,$A1531,실시간콜입력!$E:$E,"A",실시간콜입력!$G:$G,$B1531,실시간콜입력!$O:$O,"방문완료")+COUNTIFS(실시간콜입력!$B:$B,$A1531,실시간콜입력!$E:$E,"A",실시간콜입력!$H:$H,$B1531,실시간콜입력!$O:$O,"방문완료")</f>
        <v>0</v>
      </c>
      <c r="G1531" s="29">
        <f>COUNTIFS(실시간콜입력!$B:$B,$A1531,실시간콜입력!$E:$E,"B",실시간콜입력!$G:$G,$B1531,실시간콜입력!$O:$O,"방문완료")+COUNTIFS(실시간콜입력!$B:$B,$A1531,실시간콜입력!$E:$E,"B",실시간콜입력!$H:$H,$B1531,실시간콜입력!$O:$O,"방문완료")</f>
        <v>0</v>
      </c>
      <c r="H1531" s="29">
        <f>COUNTIFS(실시간콜입력!$B:$B,$A1531,실시간콜입력!$E:$E,"C",실시간콜입력!$G:$G,$B1531,실시간콜입력!$O:$O,"방문완료")+COUNTIFS(실시간콜입력!$B:$B,$A1531,실시간콜입력!$E:$E,"C",실시간콜입력!$H:$H,$B1531,실시간콜입력!$O:$O,"방문완료")</f>
        <v>0</v>
      </c>
      <c r="I1531" s="29">
        <f>COUNTIFS(실시간콜입력!$B:$B,$A1531,실시간콜입력!$E:$E,"D",실시간콜입력!$G:$G,$B1531,실시간콜입력!$O:$O,"방문완료")+COUNTIFS(실시간콜입력!$B:$B,$A1531,실시간콜입력!$E:$E,"D",실시간콜입력!$H:$H,$B1531,실시간콜입력!$O:$O,"방문완료")</f>
        <v>0</v>
      </c>
      <c r="J1531" s="29">
        <f>COUNTIFS(실시간콜입력!$B:$B,$A1531,실시간콜입력!$E:$E,"E",실시간콜입력!$G:$G,$B1531,실시간콜입력!$O:$O,"방문완료")+COUNTIFS(실시간콜입력!$B:$B,$A1531,실시간콜입력!$E:$E,"E",실시간콜입력!$H:$H,$B1531,실시간콜입력!$O:$O,"방문완료")</f>
        <v>0</v>
      </c>
      <c r="K1531" s="29">
        <f t="shared" si="205"/>
        <v>0</v>
      </c>
      <c r="L1531" s="27">
        <f>SUMIFS(실시간콜입력!$K:$K,실시간콜입력!$B:$B,$A1531,실시간콜입력!$G:$G,$B1531,실시간콜입력!$O:$O,"방문완료")+SUMIFS(실시간콜입력!$L:$L,실시간콜입력!$B:$B,$A1531,실시간콜입력!$H:$H,$B1531,실시간콜입력!$O:$O,"방문완료")</f>
        <v>0</v>
      </c>
      <c r="M1531" s="29" t="str">
        <f t="shared" si="206"/>
        <v/>
      </c>
      <c r="N1531" s="29"/>
    </row>
    <row r="1532" spans="1:14" ht="19.5" hidden="1" customHeight="1" outlineLevel="1">
      <c r="A1532" s="30">
        <f>IF(30&lt;=DAY(DATE(YEAR(설정_코스수당!$K$2),MONTH(설정_코스수당!$K$2)+1,0)),DATE(YEAR(설정_코스수당!$K$2),MONTH(설정_코스수당!$K$2),30),"")</f>
        <v>46203</v>
      </c>
      <c r="B1532" s="29" t="s">
        <v>180</v>
      </c>
      <c r="C1532" s="29"/>
      <c r="D1532" s="29"/>
      <c r="E1532" s="29" t="str">
        <f t="shared" si="204"/>
        <v/>
      </c>
      <c r="F1532" s="29">
        <f>COUNTIFS(실시간콜입력!$B:$B,$A1532,실시간콜입력!$E:$E,"A",실시간콜입력!$G:$G,$B1532,실시간콜입력!$O:$O,"방문완료")+COUNTIFS(실시간콜입력!$B:$B,$A1532,실시간콜입력!$E:$E,"A",실시간콜입력!$H:$H,$B1532,실시간콜입력!$O:$O,"방문완료")</f>
        <v>0</v>
      </c>
      <c r="G1532" s="29">
        <f>COUNTIFS(실시간콜입력!$B:$B,$A1532,실시간콜입력!$E:$E,"B",실시간콜입력!$G:$G,$B1532,실시간콜입력!$O:$O,"방문완료")+COUNTIFS(실시간콜입력!$B:$B,$A1532,실시간콜입력!$E:$E,"B",실시간콜입력!$H:$H,$B1532,실시간콜입력!$O:$O,"방문완료")</f>
        <v>0</v>
      </c>
      <c r="H1532" s="29">
        <f>COUNTIFS(실시간콜입력!$B:$B,$A1532,실시간콜입력!$E:$E,"C",실시간콜입력!$G:$G,$B1532,실시간콜입력!$O:$O,"방문완료")+COUNTIFS(실시간콜입력!$B:$B,$A1532,실시간콜입력!$E:$E,"C",실시간콜입력!$H:$H,$B1532,실시간콜입력!$O:$O,"방문완료")</f>
        <v>0</v>
      </c>
      <c r="I1532" s="29">
        <f>COUNTIFS(실시간콜입력!$B:$B,$A1532,실시간콜입력!$E:$E,"D",실시간콜입력!$G:$G,$B1532,실시간콜입력!$O:$O,"방문완료")+COUNTIFS(실시간콜입력!$B:$B,$A1532,실시간콜입력!$E:$E,"D",실시간콜입력!$H:$H,$B1532,실시간콜입력!$O:$O,"방문완료")</f>
        <v>0</v>
      </c>
      <c r="J1532" s="29">
        <f>COUNTIFS(실시간콜입력!$B:$B,$A1532,실시간콜입력!$E:$E,"E",실시간콜입력!$G:$G,$B1532,실시간콜입력!$O:$O,"방문완료")+COUNTIFS(실시간콜입력!$B:$B,$A1532,실시간콜입력!$E:$E,"E",실시간콜입력!$H:$H,$B1532,실시간콜입력!$O:$O,"방문완료")</f>
        <v>0</v>
      </c>
      <c r="K1532" s="29">
        <f t="shared" si="205"/>
        <v>0</v>
      </c>
      <c r="L1532" s="33">
        <f>SUMIFS(실시간콜입력!$K:$K,실시간콜입력!$B:$B,$A1532,실시간콜입력!$G:$G,$B1532,실시간콜입력!$O:$O,"방문완료")+SUMIFS(실시간콜입력!$L:$L,실시간콜입력!$B:$B,$A1532,실시간콜입력!$H:$H,$B1532,실시간콜입력!$O:$O,"방문완료")</f>
        <v>0</v>
      </c>
      <c r="M1532" s="29" t="str">
        <f t="shared" si="206"/>
        <v/>
      </c>
      <c r="N1532" s="29"/>
    </row>
    <row r="1533" spans="1:14" ht="19.5" hidden="1" customHeight="1" outlineLevel="1">
      <c r="A1533" s="24">
        <f>IF(30&lt;=DAY(DATE(YEAR(설정_코스수당!$K$2),MONTH(설정_코스수당!$K$2)+1,0)),DATE(YEAR(설정_코스수당!$K$2),MONTH(설정_코스수당!$K$2),30),"")</f>
        <v>46203</v>
      </c>
      <c r="B1533" s="23" t="s">
        <v>181</v>
      </c>
      <c r="C1533" s="29"/>
      <c r="D1533" s="29"/>
      <c r="E1533" s="29" t="str">
        <f t="shared" si="204"/>
        <v/>
      </c>
      <c r="F1533" s="29">
        <f>COUNTIFS(실시간콜입력!$B:$B,$A1533,실시간콜입력!$E:$E,"A",실시간콜입력!$G:$G,$B1533,실시간콜입력!$O:$O,"방문완료")+COUNTIFS(실시간콜입력!$B:$B,$A1533,실시간콜입력!$E:$E,"A",실시간콜입력!$H:$H,$B1533,실시간콜입력!$O:$O,"방문완료")</f>
        <v>0</v>
      </c>
      <c r="G1533" s="29">
        <f>COUNTIFS(실시간콜입력!$B:$B,$A1533,실시간콜입력!$E:$E,"B",실시간콜입력!$G:$G,$B1533,실시간콜입력!$O:$O,"방문완료")+COUNTIFS(실시간콜입력!$B:$B,$A1533,실시간콜입력!$E:$E,"B",실시간콜입력!$H:$H,$B1533,실시간콜입력!$O:$O,"방문완료")</f>
        <v>0</v>
      </c>
      <c r="H1533" s="29">
        <f>COUNTIFS(실시간콜입력!$B:$B,$A1533,실시간콜입력!$E:$E,"C",실시간콜입력!$G:$G,$B1533,실시간콜입력!$O:$O,"방문완료")+COUNTIFS(실시간콜입력!$B:$B,$A1533,실시간콜입력!$E:$E,"C",실시간콜입력!$H:$H,$B1533,실시간콜입력!$O:$O,"방문완료")</f>
        <v>0</v>
      </c>
      <c r="I1533" s="29">
        <f>COUNTIFS(실시간콜입력!$B:$B,$A1533,실시간콜입력!$E:$E,"D",실시간콜입력!$G:$G,$B1533,실시간콜입력!$O:$O,"방문완료")+COUNTIFS(실시간콜입력!$B:$B,$A1533,실시간콜입력!$E:$E,"D",실시간콜입력!$H:$H,$B1533,실시간콜입력!$O:$O,"방문완료")</f>
        <v>0</v>
      </c>
      <c r="J1533" s="29">
        <f>COUNTIFS(실시간콜입력!$B:$B,$A1533,실시간콜입력!$E:$E,"E",실시간콜입력!$G:$G,$B1533,실시간콜입력!$O:$O,"방문완료")+COUNTIFS(실시간콜입력!$B:$B,$A1533,실시간콜입력!$E:$E,"E",실시간콜입력!$H:$H,$B1533,실시간콜입력!$O:$O,"방문완료")</f>
        <v>0</v>
      </c>
      <c r="K1533" s="29">
        <f t="shared" si="205"/>
        <v>0</v>
      </c>
      <c r="L1533" s="27">
        <f>SUMIFS(실시간콜입력!$K:$K,실시간콜입력!$B:$B,$A1533,실시간콜입력!$G:$G,$B1533,실시간콜입력!$O:$O,"방문완료")+SUMIFS(실시간콜입력!$L:$L,실시간콜입력!$B:$B,$A1533,실시간콜입력!$H:$H,$B1533,실시간콜입력!$O:$O,"방문완료")</f>
        <v>0</v>
      </c>
      <c r="M1533" s="29" t="str">
        <f t="shared" si="206"/>
        <v/>
      </c>
      <c r="N1533" s="29"/>
    </row>
    <row r="1534" spans="1:14" ht="19.5" hidden="1" customHeight="1" outlineLevel="1">
      <c r="A1534" s="30">
        <f>IF(30&lt;=DAY(DATE(YEAR(설정_코스수당!$K$2),MONTH(설정_코스수당!$K$2)+1,0)),DATE(YEAR(설정_코스수당!$K$2),MONTH(설정_코스수당!$K$2),30),"")</f>
        <v>46203</v>
      </c>
      <c r="B1534" s="29" t="s">
        <v>182</v>
      </c>
      <c r="C1534" s="29"/>
      <c r="D1534" s="29"/>
      <c r="E1534" s="29" t="str">
        <f t="shared" si="204"/>
        <v/>
      </c>
      <c r="F1534" s="29">
        <f>COUNTIFS(실시간콜입력!$B:$B,$A1534,실시간콜입력!$E:$E,"A",실시간콜입력!$G:$G,$B1534,실시간콜입력!$O:$O,"방문완료")+COUNTIFS(실시간콜입력!$B:$B,$A1534,실시간콜입력!$E:$E,"A",실시간콜입력!$H:$H,$B1534,실시간콜입력!$O:$O,"방문완료")</f>
        <v>0</v>
      </c>
      <c r="G1534" s="29">
        <f>COUNTIFS(실시간콜입력!$B:$B,$A1534,실시간콜입력!$E:$E,"B",실시간콜입력!$G:$G,$B1534,실시간콜입력!$O:$O,"방문완료")+COUNTIFS(실시간콜입력!$B:$B,$A1534,실시간콜입력!$E:$E,"B",실시간콜입력!$H:$H,$B1534,실시간콜입력!$O:$O,"방문완료")</f>
        <v>0</v>
      </c>
      <c r="H1534" s="29">
        <f>COUNTIFS(실시간콜입력!$B:$B,$A1534,실시간콜입력!$E:$E,"C",실시간콜입력!$G:$G,$B1534,실시간콜입력!$O:$O,"방문완료")+COUNTIFS(실시간콜입력!$B:$B,$A1534,실시간콜입력!$E:$E,"C",실시간콜입력!$H:$H,$B1534,실시간콜입력!$O:$O,"방문완료")</f>
        <v>0</v>
      </c>
      <c r="I1534" s="29">
        <f>COUNTIFS(실시간콜입력!$B:$B,$A1534,실시간콜입력!$E:$E,"D",실시간콜입력!$G:$G,$B1534,실시간콜입력!$O:$O,"방문완료")+COUNTIFS(실시간콜입력!$B:$B,$A1534,실시간콜입력!$E:$E,"D",실시간콜입력!$H:$H,$B1534,실시간콜입력!$O:$O,"방문완료")</f>
        <v>0</v>
      </c>
      <c r="J1534" s="29">
        <f>COUNTIFS(실시간콜입력!$B:$B,$A1534,실시간콜입력!$E:$E,"E",실시간콜입력!$G:$G,$B1534,실시간콜입력!$O:$O,"방문완료")+COUNTIFS(실시간콜입력!$B:$B,$A1534,실시간콜입력!$E:$E,"E",실시간콜입력!$H:$H,$B1534,실시간콜입력!$O:$O,"방문완료")</f>
        <v>0</v>
      </c>
      <c r="K1534" s="29">
        <f t="shared" si="205"/>
        <v>0</v>
      </c>
      <c r="L1534" s="33">
        <f>SUMIFS(실시간콜입력!$K:$K,실시간콜입력!$B:$B,$A1534,실시간콜입력!$G:$G,$B1534,실시간콜입력!$O:$O,"방문완료")+SUMIFS(실시간콜입력!$L:$L,실시간콜입력!$B:$B,$A1534,실시간콜입력!$H:$H,$B1534,실시간콜입력!$O:$O,"방문완료")</f>
        <v>0</v>
      </c>
      <c r="M1534" s="29" t="str">
        <f t="shared" si="206"/>
        <v/>
      </c>
      <c r="N1534" s="29"/>
    </row>
    <row r="1535" spans="1:14" ht="19.5" hidden="1" customHeight="1" outlineLevel="1">
      <c r="A1535" s="24">
        <f>IF(30&lt;=DAY(DATE(YEAR(설정_코스수당!$K$2),MONTH(설정_코스수당!$K$2)+1,0)),DATE(YEAR(설정_코스수당!$K$2),MONTH(설정_코스수당!$K$2),30),"")</f>
        <v>46203</v>
      </c>
      <c r="B1535" s="23" t="s">
        <v>183</v>
      </c>
      <c r="C1535" s="29"/>
      <c r="D1535" s="29"/>
      <c r="E1535" s="29" t="str">
        <f t="shared" si="204"/>
        <v/>
      </c>
      <c r="F1535" s="29">
        <f>COUNTIFS(실시간콜입력!$B:$B,$A1535,실시간콜입력!$E:$E,"A",실시간콜입력!$G:$G,$B1535,실시간콜입력!$O:$O,"방문완료")+COUNTIFS(실시간콜입력!$B:$B,$A1535,실시간콜입력!$E:$E,"A",실시간콜입력!$H:$H,$B1535,실시간콜입력!$O:$O,"방문완료")</f>
        <v>0</v>
      </c>
      <c r="G1535" s="29">
        <f>COUNTIFS(실시간콜입력!$B:$B,$A1535,실시간콜입력!$E:$E,"B",실시간콜입력!$G:$G,$B1535,실시간콜입력!$O:$O,"방문완료")+COUNTIFS(실시간콜입력!$B:$B,$A1535,실시간콜입력!$E:$E,"B",실시간콜입력!$H:$H,$B1535,실시간콜입력!$O:$O,"방문완료")</f>
        <v>0</v>
      </c>
      <c r="H1535" s="29">
        <f>COUNTIFS(실시간콜입력!$B:$B,$A1535,실시간콜입력!$E:$E,"C",실시간콜입력!$G:$G,$B1535,실시간콜입력!$O:$O,"방문완료")+COUNTIFS(실시간콜입력!$B:$B,$A1535,실시간콜입력!$E:$E,"C",실시간콜입력!$H:$H,$B1535,실시간콜입력!$O:$O,"방문완료")</f>
        <v>0</v>
      </c>
      <c r="I1535" s="29">
        <f>COUNTIFS(실시간콜입력!$B:$B,$A1535,실시간콜입력!$E:$E,"D",실시간콜입력!$G:$G,$B1535,실시간콜입력!$O:$O,"방문완료")+COUNTIFS(실시간콜입력!$B:$B,$A1535,실시간콜입력!$E:$E,"D",실시간콜입력!$H:$H,$B1535,실시간콜입력!$O:$O,"방문완료")</f>
        <v>0</v>
      </c>
      <c r="J1535" s="29">
        <f>COUNTIFS(실시간콜입력!$B:$B,$A1535,실시간콜입력!$E:$E,"E",실시간콜입력!$G:$G,$B1535,실시간콜입력!$O:$O,"방문완료")+COUNTIFS(실시간콜입력!$B:$B,$A1535,실시간콜입력!$E:$E,"E",실시간콜입력!$H:$H,$B1535,실시간콜입력!$O:$O,"방문완료")</f>
        <v>0</v>
      </c>
      <c r="K1535" s="29">
        <f t="shared" si="205"/>
        <v>0</v>
      </c>
      <c r="L1535" s="27">
        <f>SUMIFS(실시간콜입력!$K:$K,실시간콜입력!$B:$B,$A1535,실시간콜입력!$G:$G,$B1535,실시간콜입력!$O:$O,"방문완료")+SUMIFS(실시간콜입력!$L:$L,실시간콜입력!$B:$B,$A1535,실시간콜입력!$H:$H,$B1535,실시간콜입력!$O:$O,"방문완료")</f>
        <v>0</v>
      </c>
      <c r="M1535" s="29" t="str">
        <f t="shared" si="206"/>
        <v/>
      </c>
      <c r="N1535" s="29"/>
    </row>
    <row r="1536" spans="1:14" ht="19.5" hidden="1" customHeight="1" outlineLevel="1">
      <c r="A1536" s="30">
        <f>IF(30&lt;=DAY(DATE(YEAR(설정_코스수당!$K$2),MONTH(설정_코스수당!$K$2)+1,0)),DATE(YEAR(설정_코스수당!$K$2),MONTH(설정_코스수당!$K$2),30),"")</f>
        <v>46203</v>
      </c>
      <c r="B1536" s="29" t="s">
        <v>184</v>
      </c>
      <c r="C1536" s="29"/>
      <c r="D1536" s="29"/>
      <c r="E1536" s="29" t="str">
        <f t="shared" si="204"/>
        <v/>
      </c>
      <c r="F1536" s="29">
        <f>COUNTIFS(실시간콜입력!$B:$B,$A1536,실시간콜입력!$E:$E,"A",실시간콜입력!$G:$G,$B1536,실시간콜입력!$O:$O,"방문완료")+COUNTIFS(실시간콜입력!$B:$B,$A1536,실시간콜입력!$E:$E,"A",실시간콜입력!$H:$H,$B1536,실시간콜입력!$O:$O,"방문완료")</f>
        <v>0</v>
      </c>
      <c r="G1536" s="29">
        <f>COUNTIFS(실시간콜입력!$B:$B,$A1536,실시간콜입력!$E:$E,"B",실시간콜입력!$G:$G,$B1536,실시간콜입력!$O:$O,"방문완료")+COUNTIFS(실시간콜입력!$B:$B,$A1536,실시간콜입력!$E:$E,"B",실시간콜입력!$H:$H,$B1536,실시간콜입력!$O:$O,"방문완료")</f>
        <v>0</v>
      </c>
      <c r="H1536" s="29">
        <f>COUNTIFS(실시간콜입력!$B:$B,$A1536,실시간콜입력!$E:$E,"C",실시간콜입력!$G:$G,$B1536,실시간콜입력!$O:$O,"방문완료")+COUNTIFS(실시간콜입력!$B:$B,$A1536,실시간콜입력!$E:$E,"C",실시간콜입력!$H:$H,$B1536,실시간콜입력!$O:$O,"방문완료")</f>
        <v>0</v>
      </c>
      <c r="I1536" s="29">
        <f>COUNTIFS(실시간콜입력!$B:$B,$A1536,실시간콜입력!$E:$E,"D",실시간콜입력!$G:$G,$B1536,실시간콜입력!$O:$O,"방문완료")+COUNTIFS(실시간콜입력!$B:$B,$A1536,실시간콜입력!$E:$E,"D",실시간콜입력!$H:$H,$B1536,실시간콜입력!$O:$O,"방문완료")</f>
        <v>0</v>
      </c>
      <c r="J1536" s="29">
        <f>COUNTIFS(실시간콜입력!$B:$B,$A1536,실시간콜입력!$E:$E,"E",실시간콜입력!$G:$G,$B1536,실시간콜입력!$O:$O,"방문완료")+COUNTIFS(실시간콜입력!$B:$B,$A1536,실시간콜입력!$E:$E,"E",실시간콜입력!$H:$H,$B1536,실시간콜입력!$O:$O,"방문완료")</f>
        <v>0</v>
      </c>
      <c r="K1536" s="29">
        <f t="shared" si="205"/>
        <v>0</v>
      </c>
      <c r="L1536" s="33">
        <f>SUMIFS(실시간콜입력!$K:$K,실시간콜입력!$B:$B,$A1536,실시간콜입력!$G:$G,$B1536,실시간콜입력!$O:$O,"방문완료")+SUMIFS(실시간콜입력!$L:$L,실시간콜입력!$B:$B,$A1536,실시간콜입력!$H:$H,$B1536,실시간콜입력!$O:$O,"방문완료")</f>
        <v>0</v>
      </c>
      <c r="M1536" s="29" t="str">
        <f t="shared" si="206"/>
        <v/>
      </c>
      <c r="N1536" s="29"/>
    </row>
    <row r="1537" spans="1:14" ht="19.5" hidden="1" customHeight="1" outlineLevel="1">
      <c r="A1537" s="24">
        <f>IF(30&lt;=DAY(DATE(YEAR(설정_코스수당!$K$2),MONTH(설정_코스수당!$K$2)+1,0)),DATE(YEAR(설정_코스수당!$K$2),MONTH(설정_코스수당!$K$2),30),"")</f>
        <v>46203</v>
      </c>
      <c r="B1537" s="23" t="s">
        <v>185</v>
      </c>
      <c r="C1537" s="29"/>
      <c r="D1537" s="29"/>
      <c r="E1537" s="29" t="str">
        <f t="shared" si="204"/>
        <v/>
      </c>
      <c r="F1537" s="29">
        <f>COUNTIFS(실시간콜입력!$B:$B,$A1537,실시간콜입력!$E:$E,"A",실시간콜입력!$G:$G,$B1537,실시간콜입력!$O:$O,"방문완료")+COUNTIFS(실시간콜입력!$B:$B,$A1537,실시간콜입력!$E:$E,"A",실시간콜입력!$H:$H,$B1537,실시간콜입력!$O:$O,"방문완료")</f>
        <v>0</v>
      </c>
      <c r="G1537" s="29">
        <f>COUNTIFS(실시간콜입력!$B:$B,$A1537,실시간콜입력!$E:$E,"B",실시간콜입력!$G:$G,$B1537,실시간콜입력!$O:$O,"방문완료")+COUNTIFS(실시간콜입력!$B:$B,$A1537,실시간콜입력!$E:$E,"B",실시간콜입력!$H:$H,$B1537,실시간콜입력!$O:$O,"방문완료")</f>
        <v>0</v>
      </c>
      <c r="H1537" s="29">
        <f>COUNTIFS(실시간콜입력!$B:$B,$A1537,실시간콜입력!$E:$E,"C",실시간콜입력!$G:$G,$B1537,실시간콜입력!$O:$O,"방문완료")+COUNTIFS(실시간콜입력!$B:$B,$A1537,실시간콜입력!$E:$E,"C",실시간콜입력!$H:$H,$B1537,실시간콜입력!$O:$O,"방문완료")</f>
        <v>0</v>
      </c>
      <c r="I1537" s="29">
        <f>COUNTIFS(실시간콜입력!$B:$B,$A1537,실시간콜입력!$E:$E,"D",실시간콜입력!$G:$G,$B1537,실시간콜입력!$O:$O,"방문완료")+COUNTIFS(실시간콜입력!$B:$B,$A1537,실시간콜입력!$E:$E,"D",실시간콜입력!$H:$H,$B1537,실시간콜입력!$O:$O,"방문완료")</f>
        <v>0</v>
      </c>
      <c r="J1537" s="29">
        <f>COUNTIFS(실시간콜입력!$B:$B,$A1537,실시간콜입력!$E:$E,"E",실시간콜입력!$G:$G,$B1537,실시간콜입력!$O:$O,"방문완료")+COUNTIFS(실시간콜입력!$B:$B,$A1537,실시간콜입력!$E:$E,"E",실시간콜입력!$H:$H,$B1537,실시간콜입력!$O:$O,"방문완료")</f>
        <v>0</v>
      </c>
      <c r="K1537" s="29">
        <f t="shared" si="205"/>
        <v>0</v>
      </c>
      <c r="L1537" s="27">
        <f>SUMIFS(실시간콜입력!$K:$K,실시간콜입력!$B:$B,$A1537,실시간콜입력!$G:$G,$B1537,실시간콜입력!$O:$O,"방문완료")+SUMIFS(실시간콜입력!$L:$L,실시간콜입력!$B:$B,$A1537,실시간콜입력!$H:$H,$B1537,실시간콜입력!$O:$O,"방문완료")</f>
        <v>0</v>
      </c>
      <c r="M1537" s="29" t="str">
        <f t="shared" si="206"/>
        <v/>
      </c>
      <c r="N1537" s="29"/>
    </row>
    <row r="1538" spans="1:14" ht="19.5" hidden="1" customHeight="1" outlineLevel="1">
      <c r="A1538" s="30">
        <f>IF(30&lt;=DAY(DATE(YEAR(설정_코스수당!$K$2),MONTH(설정_코스수당!$K$2)+1,0)),DATE(YEAR(설정_코스수당!$K$2),MONTH(설정_코스수당!$K$2),30),"")</f>
        <v>46203</v>
      </c>
      <c r="B1538" s="29" t="s">
        <v>186</v>
      </c>
      <c r="C1538" s="29"/>
      <c r="D1538" s="29"/>
      <c r="E1538" s="29" t="str">
        <f t="shared" si="204"/>
        <v/>
      </c>
      <c r="F1538" s="29">
        <f>COUNTIFS(실시간콜입력!$B:$B,$A1538,실시간콜입력!$E:$E,"A",실시간콜입력!$G:$G,$B1538,실시간콜입력!$O:$O,"방문완료")+COUNTIFS(실시간콜입력!$B:$B,$A1538,실시간콜입력!$E:$E,"A",실시간콜입력!$H:$H,$B1538,실시간콜입력!$O:$O,"방문완료")</f>
        <v>0</v>
      </c>
      <c r="G1538" s="29">
        <f>COUNTIFS(실시간콜입력!$B:$B,$A1538,실시간콜입력!$E:$E,"B",실시간콜입력!$G:$G,$B1538,실시간콜입력!$O:$O,"방문완료")+COUNTIFS(실시간콜입력!$B:$B,$A1538,실시간콜입력!$E:$E,"B",실시간콜입력!$H:$H,$B1538,실시간콜입력!$O:$O,"방문완료")</f>
        <v>0</v>
      </c>
      <c r="H1538" s="29">
        <f>COUNTIFS(실시간콜입력!$B:$B,$A1538,실시간콜입력!$E:$E,"C",실시간콜입력!$G:$G,$B1538,실시간콜입력!$O:$O,"방문완료")+COUNTIFS(실시간콜입력!$B:$B,$A1538,실시간콜입력!$E:$E,"C",실시간콜입력!$H:$H,$B1538,실시간콜입력!$O:$O,"방문완료")</f>
        <v>0</v>
      </c>
      <c r="I1538" s="29">
        <f>COUNTIFS(실시간콜입력!$B:$B,$A1538,실시간콜입력!$E:$E,"D",실시간콜입력!$G:$G,$B1538,실시간콜입력!$O:$O,"방문완료")+COUNTIFS(실시간콜입력!$B:$B,$A1538,실시간콜입력!$E:$E,"D",실시간콜입력!$H:$H,$B1538,실시간콜입력!$O:$O,"방문완료")</f>
        <v>0</v>
      </c>
      <c r="J1538" s="29">
        <f>COUNTIFS(실시간콜입력!$B:$B,$A1538,실시간콜입력!$E:$E,"E",실시간콜입력!$G:$G,$B1538,실시간콜입력!$O:$O,"방문완료")+COUNTIFS(실시간콜입력!$B:$B,$A1538,실시간콜입력!$E:$E,"E",실시간콜입력!$H:$H,$B1538,실시간콜입력!$O:$O,"방문완료")</f>
        <v>0</v>
      </c>
      <c r="K1538" s="29">
        <f t="shared" si="205"/>
        <v>0</v>
      </c>
      <c r="L1538" s="33">
        <f>SUMIFS(실시간콜입력!$K:$K,실시간콜입력!$B:$B,$A1538,실시간콜입력!$G:$G,$B1538,실시간콜입력!$O:$O,"방문완료")+SUMIFS(실시간콜입력!$L:$L,실시간콜입력!$B:$B,$A1538,실시간콜입력!$H:$H,$B1538,실시간콜입력!$O:$O,"방문완료")</f>
        <v>0</v>
      </c>
      <c r="M1538" s="29" t="str">
        <f t="shared" si="206"/>
        <v/>
      </c>
      <c r="N1538" s="29"/>
    </row>
    <row r="1539" spans="1:14" ht="19.5" hidden="1" customHeight="1" outlineLevel="1">
      <c r="A1539" s="24">
        <f>IF(30&lt;=DAY(DATE(YEAR(설정_코스수당!$K$2),MONTH(설정_코스수당!$K$2)+1,0)),DATE(YEAR(설정_코스수당!$K$2),MONTH(설정_코스수당!$K$2),30),"")</f>
        <v>46203</v>
      </c>
      <c r="B1539" s="23" t="s">
        <v>187</v>
      </c>
      <c r="C1539" s="29"/>
      <c r="D1539" s="29"/>
      <c r="E1539" s="29" t="str">
        <f t="shared" si="204"/>
        <v/>
      </c>
      <c r="F1539" s="29">
        <f>COUNTIFS(실시간콜입력!$B:$B,$A1539,실시간콜입력!$E:$E,"A",실시간콜입력!$G:$G,$B1539,실시간콜입력!$O:$O,"방문완료")+COUNTIFS(실시간콜입력!$B:$B,$A1539,실시간콜입력!$E:$E,"A",실시간콜입력!$H:$H,$B1539,실시간콜입력!$O:$O,"방문완료")</f>
        <v>0</v>
      </c>
      <c r="G1539" s="29">
        <f>COUNTIFS(실시간콜입력!$B:$B,$A1539,실시간콜입력!$E:$E,"B",실시간콜입력!$G:$G,$B1539,실시간콜입력!$O:$O,"방문완료")+COUNTIFS(실시간콜입력!$B:$B,$A1539,실시간콜입력!$E:$E,"B",실시간콜입력!$H:$H,$B1539,실시간콜입력!$O:$O,"방문완료")</f>
        <v>0</v>
      </c>
      <c r="H1539" s="29">
        <f>COUNTIFS(실시간콜입력!$B:$B,$A1539,실시간콜입력!$E:$E,"C",실시간콜입력!$G:$G,$B1539,실시간콜입력!$O:$O,"방문완료")+COUNTIFS(실시간콜입력!$B:$B,$A1539,실시간콜입력!$E:$E,"C",실시간콜입력!$H:$H,$B1539,실시간콜입력!$O:$O,"방문완료")</f>
        <v>0</v>
      </c>
      <c r="I1539" s="29">
        <f>COUNTIFS(실시간콜입력!$B:$B,$A1539,실시간콜입력!$E:$E,"D",실시간콜입력!$G:$G,$B1539,실시간콜입력!$O:$O,"방문완료")+COUNTIFS(실시간콜입력!$B:$B,$A1539,실시간콜입력!$E:$E,"D",실시간콜입력!$H:$H,$B1539,실시간콜입력!$O:$O,"방문완료")</f>
        <v>0</v>
      </c>
      <c r="J1539" s="29">
        <f>COUNTIFS(실시간콜입력!$B:$B,$A1539,실시간콜입력!$E:$E,"E",실시간콜입력!$G:$G,$B1539,실시간콜입력!$O:$O,"방문완료")+COUNTIFS(실시간콜입력!$B:$B,$A1539,실시간콜입력!$E:$E,"E",실시간콜입력!$H:$H,$B1539,실시간콜입력!$O:$O,"방문완료")</f>
        <v>0</v>
      </c>
      <c r="K1539" s="29">
        <f t="shared" si="205"/>
        <v>0</v>
      </c>
      <c r="L1539" s="27">
        <f>SUMIFS(실시간콜입력!$K:$K,실시간콜입력!$B:$B,$A1539,실시간콜입력!$G:$G,$B1539,실시간콜입력!$O:$O,"방문완료")+SUMIFS(실시간콜입력!$L:$L,실시간콜입력!$B:$B,$A1539,실시간콜입력!$H:$H,$B1539,실시간콜입력!$O:$O,"방문완료")</f>
        <v>0</v>
      </c>
      <c r="M1539" s="29" t="str">
        <f t="shared" si="206"/>
        <v/>
      </c>
      <c r="N1539" s="29"/>
    </row>
    <row r="1540" spans="1:14" ht="19.5" hidden="1" customHeight="1" outlineLevel="1">
      <c r="A1540" s="30">
        <f>IF(30&lt;=DAY(DATE(YEAR(설정_코스수당!$K$2),MONTH(설정_코스수당!$K$2)+1,0)),DATE(YEAR(설정_코스수당!$K$2),MONTH(설정_코스수당!$K$2),30),"")</f>
        <v>46203</v>
      </c>
      <c r="B1540" s="29" t="s">
        <v>188</v>
      </c>
      <c r="C1540" s="29"/>
      <c r="D1540" s="29"/>
      <c r="E1540" s="29" t="str">
        <f t="shared" si="204"/>
        <v/>
      </c>
      <c r="F1540" s="29">
        <f>COUNTIFS(실시간콜입력!$B:$B,$A1540,실시간콜입력!$E:$E,"A",실시간콜입력!$G:$G,$B1540,실시간콜입력!$O:$O,"방문완료")+COUNTIFS(실시간콜입력!$B:$B,$A1540,실시간콜입력!$E:$E,"A",실시간콜입력!$H:$H,$B1540,실시간콜입력!$O:$O,"방문완료")</f>
        <v>0</v>
      </c>
      <c r="G1540" s="29">
        <f>COUNTIFS(실시간콜입력!$B:$B,$A1540,실시간콜입력!$E:$E,"B",실시간콜입력!$G:$G,$B1540,실시간콜입력!$O:$O,"방문완료")+COUNTIFS(실시간콜입력!$B:$B,$A1540,실시간콜입력!$E:$E,"B",실시간콜입력!$H:$H,$B1540,실시간콜입력!$O:$O,"방문완료")</f>
        <v>0</v>
      </c>
      <c r="H1540" s="29">
        <f>COUNTIFS(실시간콜입력!$B:$B,$A1540,실시간콜입력!$E:$E,"C",실시간콜입력!$G:$G,$B1540,실시간콜입력!$O:$O,"방문완료")+COUNTIFS(실시간콜입력!$B:$B,$A1540,실시간콜입력!$E:$E,"C",실시간콜입력!$H:$H,$B1540,실시간콜입력!$O:$O,"방문완료")</f>
        <v>0</v>
      </c>
      <c r="I1540" s="29">
        <f>COUNTIFS(실시간콜입력!$B:$B,$A1540,실시간콜입력!$E:$E,"D",실시간콜입력!$G:$G,$B1540,실시간콜입력!$O:$O,"방문완료")+COUNTIFS(실시간콜입력!$B:$B,$A1540,실시간콜입력!$E:$E,"D",실시간콜입력!$H:$H,$B1540,실시간콜입력!$O:$O,"방문완료")</f>
        <v>0</v>
      </c>
      <c r="J1540" s="29">
        <f>COUNTIFS(실시간콜입력!$B:$B,$A1540,실시간콜입력!$E:$E,"E",실시간콜입력!$G:$G,$B1540,실시간콜입력!$O:$O,"방문완료")+COUNTIFS(실시간콜입력!$B:$B,$A1540,실시간콜입력!$E:$E,"E",실시간콜입력!$H:$H,$B1540,실시간콜입력!$O:$O,"방문완료")</f>
        <v>0</v>
      </c>
      <c r="K1540" s="29">
        <f t="shared" si="205"/>
        <v>0</v>
      </c>
      <c r="L1540" s="33">
        <f>SUMIFS(실시간콜입력!$K:$K,실시간콜입력!$B:$B,$A1540,실시간콜입력!$G:$G,$B1540,실시간콜입력!$O:$O,"방문완료")+SUMIFS(실시간콜입력!$L:$L,실시간콜입력!$B:$B,$A1540,실시간콜입력!$H:$H,$B1540,실시간콜입력!$O:$O,"방문완료")</f>
        <v>0</v>
      </c>
      <c r="M1540" s="29" t="str">
        <f t="shared" si="206"/>
        <v/>
      </c>
      <c r="N1540" s="29"/>
    </row>
    <row r="1541" spans="1:14" ht="19.5" hidden="1" customHeight="1" outlineLevel="1">
      <c r="A1541" s="24">
        <f>IF(30&lt;=DAY(DATE(YEAR(설정_코스수당!$K$2),MONTH(설정_코스수당!$K$2)+1,0)),DATE(YEAR(설정_코스수당!$K$2),MONTH(설정_코스수당!$K$2),30),"")</f>
        <v>46203</v>
      </c>
      <c r="B1541" s="23" t="s">
        <v>189</v>
      </c>
      <c r="C1541" s="29"/>
      <c r="D1541" s="29"/>
      <c r="E1541" s="29" t="str">
        <f t="shared" si="204"/>
        <v/>
      </c>
      <c r="F1541" s="29">
        <f>COUNTIFS(실시간콜입력!$B:$B,$A1541,실시간콜입력!$E:$E,"A",실시간콜입력!$G:$G,$B1541,실시간콜입력!$O:$O,"방문완료")+COUNTIFS(실시간콜입력!$B:$B,$A1541,실시간콜입력!$E:$E,"A",실시간콜입력!$H:$H,$B1541,실시간콜입력!$O:$O,"방문완료")</f>
        <v>0</v>
      </c>
      <c r="G1541" s="29">
        <f>COUNTIFS(실시간콜입력!$B:$B,$A1541,실시간콜입력!$E:$E,"B",실시간콜입력!$G:$G,$B1541,실시간콜입력!$O:$O,"방문완료")+COUNTIFS(실시간콜입력!$B:$B,$A1541,실시간콜입력!$E:$E,"B",실시간콜입력!$H:$H,$B1541,실시간콜입력!$O:$O,"방문완료")</f>
        <v>0</v>
      </c>
      <c r="H1541" s="29">
        <f>COUNTIFS(실시간콜입력!$B:$B,$A1541,실시간콜입력!$E:$E,"C",실시간콜입력!$G:$G,$B1541,실시간콜입력!$O:$O,"방문완료")+COUNTIFS(실시간콜입력!$B:$B,$A1541,실시간콜입력!$E:$E,"C",실시간콜입력!$H:$H,$B1541,실시간콜입력!$O:$O,"방문완료")</f>
        <v>0</v>
      </c>
      <c r="I1541" s="29">
        <f>COUNTIFS(실시간콜입력!$B:$B,$A1541,실시간콜입력!$E:$E,"D",실시간콜입력!$G:$G,$B1541,실시간콜입력!$O:$O,"방문완료")+COUNTIFS(실시간콜입력!$B:$B,$A1541,실시간콜입력!$E:$E,"D",실시간콜입력!$H:$H,$B1541,실시간콜입력!$O:$O,"방문완료")</f>
        <v>0</v>
      </c>
      <c r="J1541" s="29">
        <f>COUNTIFS(실시간콜입력!$B:$B,$A1541,실시간콜입력!$E:$E,"E",실시간콜입력!$G:$G,$B1541,실시간콜입력!$O:$O,"방문완료")+COUNTIFS(실시간콜입력!$B:$B,$A1541,실시간콜입력!$E:$E,"E",실시간콜입력!$H:$H,$B1541,실시간콜입력!$O:$O,"방문완료")</f>
        <v>0</v>
      </c>
      <c r="K1541" s="29">
        <f t="shared" si="205"/>
        <v>0</v>
      </c>
      <c r="L1541" s="27">
        <f>SUMIFS(실시간콜입력!$K:$K,실시간콜입력!$B:$B,$A1541,실시간콜입력!$G:$G,$B1541,실시간콜입력!$O:$O,"방문완료")+SUMIFS(실시간콜입력!$L:$L,실시간콜입력!$B:$B,$A1541,실시간콜입력!$H:$H,$B1541,실시간콜입력!$O:$O,"방문완료")</f>
        <v>0</v>
      </c>
      <c r="M1541" s="29" t="str">
        <f t="shared" si="206"/>
        <v/>
      </c>
      <c r="N1541" s="29"/>
    </row>
    <row r="1542" spans="1:14" ht="19.5" hidden="1" customHeight="1" outlineLevel="1">
      <c r="A1542" s="30">
        <f>IF(30&lt;=DAY(DATE(YEAR(설정_코스수당!$K$2),MONTH(설정_코스수당!$K$2)+1,0)),DATE(YEAR(설정_코스수당!$K$2),MONTH(설정_코스수당!$K$2),30),"")</f>
        <v>46203</v>
      </c>
      <c r="B1542" s="29" t="s">
        <v>190</v>
      </c>
      <c r="C1542" s="29"/>
      <c r="D1542" s="29"/>
      <c r="E1542" s="29" t="str">
        <f t="shared" si="204"/>
        <v/>
      </c>
      <c r="F1542" s="29">
        <f>COUNTIFS(실시간콜입력!$B:$B,$A1542,실시간콜입력!$E:$E,"A",실시간콜입력!$G:$G,$B1542,실시간콜입력!$O:$O,"방문완료")+COUNTIFS(실시간콜입력!$B:$B,$A1542,실시간콜입력!$E:$E,"A",실시간콜입력!$H:$H,$B1542,실시간콜입력!$O:$O,"방문완료")</f>
        <v>0</v>
      </c>
      <c r="G1542" s="29">
        <f>COUNTIFS(실시간콜입력!$B:$B,$A1542,실시간콜입력!$E:$E,"B",실시간콜입력!$G:$G,$B1542,실시간콜입력!$O:$O,"방문완료")+COUNTIFS(실시간콜입력!$B:$B,$A1542,실시간콜입력!$E:$E,"B",실시간콜입력!$H:$H,$B1542,실시간콜입력!$O:$O,"방문완료")</f>
        <v>0</v>
      </c>
      <c r="H1542" s="29">
        <f>COUNTIFS(실시간콜입력!$B:$B,$A1542,실시간콜입력!$E:$E,"C",실시간콜입력!$G:$G,$B1542,실시간콜입력!$O:$O,"방문완료")+COUNTIFS(실시간콜입력!$B:$B,$A1542,실시간콜입력!$E:$E,"C",실시간콜입력!$H:$H,$B1542,실시간콜입력!$O:$O,"방문완료")</f>
        <v>0</v>
      </c>
      <c r="I1542" s="29">
        <f>COUNTIFS(실시간콜입력!$B:$B,$A1542,실시간콜입력!$E:$E,"D",실시간콜입력!$G:$G,$B1542,실시간콜입력!$O:$O,"방문완료")+COUNTIFS(실시간콜입력!$B:$B,$A1542,실시간콜입력!$E:$E,"D",실시간콜입력!$H:$H,$B1542,실시간콜입력!$O:$O,"방문완료")</f>
        <v>0</v>
      </c>
      <c r="J1542" s="29">
        <f>COUNTIFS(실시간콜입력!$B:$B,$A1542,실시간콜입력!$E:$E,"E",실시간콜입력!$G:$G,$B1542,실시간콜입력!$O:$O,"방문완료")+COUNTIFS(실시간콜입력!$B:$B,$A1542,실시간콜입력!$E:$E,"E",실시간콜입력!$H:$H,$B1542,실시간콜입력!$O:$O,"방문완료")</f>
        <v>0</v>
      </c>
      <c r="K1542" s="29">
        <f t="shared" si="205"/>
        <v>0</v>
      </c>
      <c r="L1542" s="33">
        <f>SUMIFS(실시간콜입력!$K:$K,실시간콜입력!$B:$B,$A1542,실시간콜입력!$G:$G,$B1542,실시간콜입력!$O:$O,"방문완료")+SUMIFS(실시간콜입력!$L:$L,실시간콜입력!$B:$B,$A1542,실시간콜입력!$H:$H,$B1542,실시간콜입력!$O:$O,"방문완료")</f>
        <v>0</v>
      </c>
      <c r="M1542" s="29" t="str">
        <f t="shared" si="206"/>
        <v/>
      </c>
      <c r="N1542" s="29"/>
    </row>
    <row r="1543" spans="1:14" ht="19.5" hidden="1" customHeight="1" outlineLevel="1">
      <c r="A1543" s="24">
        <f>IF(30&lt;=DAY(DATE(YEAR(설정_코스수당!$K$2),MONTH(설정_코스수당!$K$2)+1,0)),DATE(YEAR(설정_코스수당!$K$2),MONTH(설정_코스수당!$K$2),30),"")</f>
        <v>46203</v>
      </c>
      <c r="B1543" s="23" t="s">
        <v>191</v>
      </c>
      <c r="C1543" s="29"/>
      <c r="D1543" s="29"/>
      <c r="E1543" s="29" t="str">
        <f t="shared" si="204"/>
        <v/>
      </c>
      <c r="F1543" s="29">
        <f>COUNTIFS(실시간콜입력!$B:$B,$A1543,실시간콜입력!$E:$E,"A",실시간콜입력!$G:$G,$B1543,실시간콜입력!$O:$O,"방문완료")+COUNTIFS(실시간콜입력!$B:$B,$A1543,실시간콜입력!$E:$E,"A",실시간콜입력!$H:$H,$B1543,실시간콜입력!$O:$O,"방문완료")</f>
        <v>0</v>
      </c>
      <c r="G1543" s="29">
        <f>COUNTIFS(실시간콜입력!$B:$B,$A1543,실시간콜입력!$E:$E,"B",실시간콜입력!$G:$G,$B1543,실시간콜입력!$O:$O,"방문완료")+COUNTIFS(실시간콜입력!$B:$B,$A1543,실시간콜입력!$E:$E,"B",실시간콜입력!$H:$H,$B1543,실시간콜입력!$O:$O,"방문완료")</f>
        <v>0</v>
      </c>
      <c r="H1543" s="29">
        <f>COUNTIFS(실시간콜입력!$B:$B,$A1543,실시간콜입력!$E:$E,"C",실시간콜입력!$G:$G,$B1543,실시간콜입력!$O:$O,"방문완료")+COUNTIFS(실시간콜입력!$B:$B,$A1543,실시간콜입력!$E:$E,"C",실시간콜입력!$H:$H,$B1543,실시간콜입력!$O:$O,"방문완료")</f>
        <v>0</v>
      </c>
      <c r="I1543" s="29">
        <f>COUNTIFS(실시간콜입력!$B:$B,$A1543,실시간콜입력!$E:$E,"D",실시간콜입력!$G:$G,$B1543,실시간콜입력!$O:$O,"방문완료")+COUNTIFS(실시간콜입력!$B:$B,$A1543,실시간콜입력!$E:$E,"D",실시간콜입력!$H:$H,$B1543,실시간콜입력!$O:$O,"방문완료")</f>
        <v>0</v>
      </c>
      <c r="J1543" s="29">
        <f>COUNTIFS(실시간콜입력!$B:$B,$A1543,실시간콜입력!$E:$E,"E",실시간콜입력!$G:$G,$B1543,실시간콜입력!$O:$O,"방문완료")+COUNTIFS(실시간콜입력!$B:$B,$A1543,실시간콜입력!$E:$E,"E",실시간콜입력!$H:$H,$B1543,실시간콜입력!$O:$O,"방문완료")</f>
        <v>0</v>
      </c>
      <c r="K1543" s="29">
        <f t="shared" si="205"/>
        <v>0</v>
      </c>
      <c r="L1543" s="27">
        <f>SUMIFS(실시간콜입력!$K:$K,실시간콜입력!$B:$B,$A1543,실시간콜입력!$G:$G,$B1543,실시간콜입력!$O:$O,"방문완료")+SUMIFS(실시간콜입력!$L:$L,실시간콜입력!$B:$B,$A1543,실시간콜입력!$H:$H,$B1543,실시간콜입력!$O:$O,"방문완료")</f>
        <v>0</v>
      </c>
      <c r="M1543" s="29" t="str">
        <f t="shared" si="206"/>
        <v/>
      </c>
      <c r="N1543" s="29"/>
    </row>
    <row r="1544" spans="1:14" ht="19.5" hidden="1" customHeight="1" outlineLevel="1">
      <c r="A1544" s="30">
        <f>IF(30&lt;=DAY(DATE(YEAR(설정_코스수당!$K$2),MONTH(설정_코스수당!$K$2)+1,0)),DATE(YEAR(설정_코스수당!$K$2),MONTH(설정_코스수당!$K$2),30),"")</f>
        <v>46203</v>
      </c>
      <c r="B1544" s="29" t="s">
        <v>192</v>
      </c>
      <c r="C1544" s="29"/>
      <c r="D1544" s="29"/>
      <c r="E1544" s="29" t="str">
        <f t="shared" si="204"/>
        <v/>
      </c>
      <c r="F1544" s="29">
        <f>COUNTIFS(실시간콜입력!$B:$B,$A1544,실시간콜입력!$E:$E,"A",실시간콜입력!$G:$G,$B1544,실시간콜입력!$O:$O,"방문완료")+COUNTIFS(실시간콜입력!$B:$B,$A1544,실시간콜입력!$E:$E,"A",실시간콜입력!$H:$H,$B1544,실시간콜입력!$O:$O,"방문완료")</f>
        <v>0</v>
      </c>
      <c r="G1544" s="29">
        <f>COUNTIFS(실시간콜입력!$B:$B,$A1544,실시간콜입력!$E:$E,"B",실시간콜입력!$G:$G,$B1544,실시간콜입력!$O:$O,"방문완료")+COUNTIFS(실시간콜입력!$B:$B,$A1544,실시간콜입력!$E:$E,"B",실시간콜입력!$H:$H,$B1544,실시간콜입력!$O:$O,"방문완료")</f>
        <v>0</v>
      </c>
      <c r="H1544" s="29">
        <f>COUNTIFS(실시간콜입력!$B:$B,$A1544,실시간콜입력!$E:$E,"C",실시간콜입력!$G:$G,$B1544,실시간콜입력!$O:$O,"방문완료")+COUNTIFS(실시간콜입력!$B:$B,$A1544,실시간콜입력!$E:$E,"C",실시간콜입력!$H:$H,$B1544,실시간콜입력!$O:$O,"방문완료")</f>
        <v>0</v>
      </c>
      <c r="I1544" s="29">
        <f>COUNTIFS(실시간콜입력!$B:$B,$A1544,실시간콜입력!$E:$E,"D",실시간콜입력!$G:$G,$B1544,실시간콜입력!$O:$O,"방문완료")+COUNTIFS(실시간콜입력!$B:$B,$A1544,실시간콜입력!$E:$E,"D",실시간콜입력!$H:$H,$B1544,실시간콜입력!$O:$O,"방문완료")</f>
        <v>0</v>
      </c>
      <c r="J1544" s="29">
        <f>COUNTIFS(실시간콜입력!$B:$B,$A1544,실시간콜입력!$E:$E,"E",실시간콜입력!$G:$G,$B1544,실시간콜입력!$O:$O,"방문완료")+COUNTIFS(실시간콜입력!$B:$B,$A1544,실시간콜입력!$E:$E,"E",실시간콜입력!$H:$H,$B1544,실시간콜입력!$O:$O,"방문완료")</f>
        <v>0</v>
      </c>
      <c r="K1544" s="29">
        <f t="shared" si="205"/>
        <v>0</v>
      </c>
      <c r="L1544" s="33">
        <f>SUMIFS(실시간콜입력!$K:$K,실시간콜입력!$B:$B,$A1544,실시간콜입력!$G:$G,$B1544,실시간콜입력!$O:$O,"방문완료")+SUMIFS(실시간콜입력!$L:$L,실시간콜입력!$B:$B,$A1544,실시간콜입력!$H:$H,$B1544,실시간콜입력!$O:$O,"방문완료")</f>
        <v>0</v>
      </c>
      <c r="M1544" s="29" t="str">
        <f t="shared" si="206"/>
        <v/>
      </c>
      <c r="N1544" s="29"/>
    </row>
    <row r="1545" spans="1:14" ht="19.5" hidden="1" customHeight="1" outlineLevel="1">
      <c r="A1545" s="24">
        <f>IF(30&lt;=DAY(DATE(YEAR(설정_코스수당!$K$2),MONTH(설정_코스수당!$K$2)+1,0)),DATE(YEAR(설정_코스수당!$K$2),MONTH(설정_코스수당!$K$2),30),"")</f>
        <v>46203</v>
      </c>
      <c r="B1545" s="23" t="s">
        <v>193</v>
      </c>
      <c r="C1545" s="29"/>
      <c r="D1545" s="29"/>
      <c r="E1545" s="29" t="str">
        <f t="shared" si="204"/>
        <v/>
      </c>
      <c r="F1545" s="29">
        <f>COUNTIFS(실시간콜입력!$B:$B,$A1545,실시간콜입력!$E:$E,"A",실시간콜입력!$G:$G,$B1545,실시간콜입력!$O:$O,"방문완료")+COUNTIFS(실시간콜입력!$B:$B,$A1545,실시간콜입력!$E:$E,"A",실시간콜입력!$H:$H,$B1545,실시간콜입력!$O:$O,"방문완료")</f>
        <v>0</v>
      </c>
      <c r="G1545" s="29">
        <f>COUNTIFS(실시간콜입력!$B:$B,$A1545,실시간콜입력!$E:$E,"B",실시간콜입력!$G:$G,$B1545,실시간콜입력!$O:$O,"방문완료")+COUNTIFS(실시간콜입력!$B:$B,$A1545,실시간콜입력!$E:$E,"B",실시간콜입력!$H:$H,$B1545,실시간콜입력!$O:$O,"방문완료")</f>
        <v>0</v>
      </c>
      <c r="H1545" s="29">
        <f>COUNTIFS(실시간콜입력!$B:$B,$A1545,실시간콜입력!$E:$E,"C",실시간콜입력!$G:$G,$B1545,실시간콜입력!$O:$O,"방문완료")+COUNTIFS(실시간콜입력!$B:$B,$A1545,실시간콜입력!$E:$E,"C",실시간콜입력!$H:$H,$B1545,실시간콜입력!$O:$O,"방문완료")</f>
        <v>0</v>
      </c>
      <c r="I1545" s="29">
        <f>COUNTIFS(실시간콜입력!$B:$B,$A1545,실시간콜입력!$E:$E,"D",실시간콜입력!$G:$G,$B1545,실시간콜입력!$O:$O,"방문완료")+COUNTIFS(실시간콜입력!$B:$B,$A1545,실시간콜입력!$E:$E,"D",실시간콜입력!$H:$H,$B1545,실시간콜입력!$O:$O,"방문완료")</f>
        <v>0</v>
      </c>
      <c r="J1545" s="29">
        <f>COUNTIFS(실시간콜입력!$B:$B,$A1545,실시간콜입력!$E:$E,"E",실시간콜입력!$G:$G,$B1545,실시간콜입력!$O:$O,"방문완료")+COUNTIFS(실시간콜입력!$B:$B,$A1545,실시간콜입력!$E:$E,"E",실시간콜입력!$H:$H,$B1545,실시간콜입력!$O:$O,"방문완료")</f>
        <v>0</v>
      </c>
      <c r="K1545" s="29">
        <f t="shared" si="205"/>
        <v>0</v>
      </c>
      <c r="L1545" s="27">
        <f>SUMIFS(실시간콜입력!$K:$K,실시간콜입력!$B:$B,$A1545,실시간콜입력!$G:$G,$B1545,실시간콜입력!$O:$O,"방문완료")+SUMIFS(실시간콜입력!$L:$L,실시간콜입력!$B:$B,$A1545,실시간콜입력!$H:$H,$B1545,실시간콜입력!$O:$O,"방문완료")</f>
        <v>0</v>
      </c>
      <c r="M1545" s="29" t="str">
        <f t="shared" si="206"/>
        <v/>
      </c>
      <c r="N1545" s="29"/>
    </row>
    <row r="1546" spans="1:14" ht="19.5" hidden="1" customHeight="1" outlineLevel="1">
      <c r="A1546" s="30">
        <f>IF(30&lt;=DAY(DATE(YEAR(설정_코스수당!$K$2),MONTH(설정_코스수당!$K$2)+1,0)),DATE(YEAR(설정_코스수당!$K$2),MONTH(설정_코스수당!$K$2),30),"")</f>
        <v>46203</v>
      </c>
      <c r="B1546" s="29" t="s">
        <v>194</v>
      </c>
      <c r="C1546" s="29"/>
      <c r="D1546" s="29"/>
      <c r="E1546" s="29" t="str">
        <f t="shared" si="204"/>
        <v/>
      </c>
      <c r="F1546" s="29">
        <f>COUNTIFS(실시간콜입력!$B:$B,$A1546,실시간콜입력!$E:$E,"A",실시간콜입력!$G:$G,$B1546,실시간콜입력!$O:$O,"방문완료")+COUNTIFS(실시간콜입력!$B:$B,$A1546,실시간콜입력!$E:$E,"A",실시간콜입력!$H:$H,$B1546,실시간콜입력!$O:$O,"방문완료")</f>
        <v>0</v>
      </c>
      <c r="G1546" s="29">
        <f>COUNTIFS(실시간콜입력!$B:$B,$A1546,실시간콜입력!$E:$E,"B",실시간콜입력!$G:$G,$B1546,실시간콜입력!$O:$O,"방문완료")+COUNTIFS(실시간콜입력!$B:$B,$A1546,실시간콜입력!$E:$E,"B",실시간콜입력!$H:$H,$B1546,실시간콜입력!$O:$O,"방문완료")</f>
        <v>0</v>
      </c>
      <c r="H1546" s="29">
        <f>COUNTIFS(실시간콜입력!$B:$B,$A1546,실시간콜입력!$E:$E,"C",실시간콜입력!$G:$G,$B1546,실시간콜입력!$O:$O,"방문완료")+COUNTIFS(실시간콜입력!$B:$B,$A1546,실시간콜입력!$E:$E,"C",실시간콜입력!$H:$H,$B1546,실시간콜입력!$O:$O,"방문완료")</f>
        <v>0</v>
      </c>
      <c r="I1546" s="29">
        <f>COUNTIFS(실시간콜입력!$B:$B,$A1546,실시간콜입력!$E:$E,"D",실시간콜입력!$G:$G,$B1546,실시간콜입력!$O:$O,"방문완료")+COUNTIFS(실시간콜입력!$B:$B,$A1546,실시간콜입력!$E:$E,"D",실시간콜입력!$H:$H,$B1546,실시간콜입력!$O:$O,"방문완료")</f>
        <v>0</v>
      </c>
      <c r="J1546" s="29">
        <f>COUNTIFS(실시간콜입력!$B:$B,$A1546,실시간콜입력!$E:$E,"E",실시간콜입력!$G:$G,$B1546,실시간콜입력!$O:$O,"방문완료")+COUNTIFS(실시간콜입력!$B:$B,$A1546,실시간콜입력!$E:$E,"E",실시간콜입력!$H:$H,$B1546,실시간콜입력!$O:$O,"방문완료")</f>
        <v>0</v>
      </c>
      <c r="K1546" s="29">
        <f t="shared" si="205"/>
        <v>0</v>
      </c>
      <c r="L1546" s="33">
        <f>SUMIFS(실시간콜입력!$K:$K,실시간콜입력!$B:$B,$A1546,실시간콜입력!$G:$G,$B1546,실시간콜입력!$O:$O,"방문완료")+SUMIFS(실시간콜입력!$L:$L,실시간콜입력!$B:$B,$A1546,실시간콜입력!$H:$H,$B1546,실시간콜입력!$O:$O,"방문완료")</f>
        <v>0</v>
      </c>
      <c r="M1546" s="29" t="str">
        <f t="shared" si="206"/>
        <v/>
      </c>
      <c r="N1546" s="29"/>
    </row>
    <row r="1547" spans="1:14" ht="19.5" hidden="1" customHeight="1" outlineLevel="1">
      <c r="A1547" s="24">
        <f>IF(30&lt;=DAY(DATE(YEAR(설정_코스수당!$K$2),MONTH(설정_코스수당!$K$2)+1,0)),DATE(YEAR(설정_코스수당!$K$2),MONTH(설정_코스수당!$K$2),30),"")</f>
        <v>46203</v>
      </c>
      <c r="B1547" s="23" t="s">
        <v>195</v>
      </c>
      <c r="C1547" s="29"/>
      <c r="D1547" s="29"/>
      <c r="E1547" s="29" t="str">
        <f t="shared" ref="E1547:E1578" si="207">IF(AND(C1547&lt;&gt;"",D1547&lt;&gt;""),IF(D1547&lt;C1547,D1547+1-C1547,D1547-C1547)*24,"")</f>
        <v/>
      </c>
      <c r="F1547" s="29">
        <f>COUNTIFS(실시간콜입력!$B:$B,$A1547,실시간콜입력!$E:$E,"A",실시간콜입력!$G:$G,$B1547,실시간콜입력!$O:$O,"방문완료")+COUNTIFS(실시간콜입력!$B:$B,$A1547,실시간콜입력!$E:$E,"A",실시간콜입력!$H:$H,$B1547,실시간콜입력!$O:$O,"방문완료")</f>
        <v>0</v>
      </c>
      <c r="G1547" s="29">
        <f>COUNTIFS(실시간콜입력!$B:$B,$A1547,실시간콜입력!$E:$E,"B",실시간콜입력!$G:$G,$B1547,실시간콜입력!$O:$O,"방문완료")+COUNTIFS(실시간콜입력!$B:$B,$A1547,실시간콜입력!$E:$E,"B",실시간콜입력!$H:$H,$B1547,실시간콜입력!$O:$O,"방문완료")</f>
        <v>0</v>
      </c>
      <c r="H1547" s="29">
        <f>COUNTIFS(실시간콜입력!$B:$B,$A1547,실시간콜입력!$E:$E,"C",실시간콜입력!$G:$G,$B1547,실시간콜입력!$O:$O,"방문완료")+COUNTIFS(실시간콜입력!$B:$B,$A1547,실시간콜입력!$E:$E,"C",실시간콜입력!$H:$H,$B1547,실시간콜입력!$O:$O,"방문완료")</f>
        <v>0</v>
      </c>
      <c r="I1547" s="29">
        <f>COUNTIFS(실시간콜입력!$B:$B,$A1547,실시간콜입력!$E:$E,"D",실시간콜입력!$G:$G,$B1547,실시간콜입력!$O:$O,"방문완료")+COUNTIFS(실시간콜입력!$B:$B,$A1547,실시간콜입력!$E:$E,"D",실시간콜입력!$H:$H,$B1547,실시간콜입력!$O:$O,"방문완료")</f>
        <v>0</v>
      </c>
      <c r="J1547" s="29">
        <f>COUNTIFS(실시간콜입력!$B:$B,$A1547,실시간콜입력!$E:$E,"E",실시간콜입력!$G:$G,$B1547,실시간콜입력!$O:$O,"방문완료")+COUNTIFS(실시간콜입력!$B:$B,$A1547,실시간콜입력!$E:$E,"E",실시간콜입력!$H:$H,$B1547,실시간콜입력!$O:$O,"방문완료")</f>
        <v>0</v>
      </c>
      <c r="K1547" s="29">
        <f t="shared" ref="K1547:K1578" si="208">SUM(F1547:J1547)</f>
        <v>0</v>
      </c>
      <c r="L1547" s="27">
        <f>SUMIFS(실시간콜입력!$K:$K,실시간콜입력!$B:$B,$A1547,실시간콜입력!$G:$G,$B1547,실시간콜입력!$O:$O,"방문완료")+SUMIFS(실시간콜입력!$L:$L,실시간콜입력!$B:$B,$A1547,실시간콜입력!$H:$H,$B1547,실시간콜입력!$O:$O,"방문완료")</f>
        <v>0</v>
      </c>
      <c r="M1547" s="29" t="str">
        <f t="shared" ref="M1547:M1564" si="209">IF(AND(ISNUMBER(E1547),E1547&gt;=8),"인정","")</f>
        <v/>
      </c>
      <c r="N1547" s="29"/>
    </row>
    <row r="1548" spans="1:14" ht="19.5" hidden="1" customHeight="1" outlineLevel="1">
      <c r="A1548" s="30">
        <f>IF(30&lt;=DAY(DATE(YEAR(설정_코스수당!$K$2),MONTH(설정_코스수당!$K$2)+1,0)),DATE(YEAR(설정_코스수당!$K$2),MONTH(설정_코스수당!$K$2),30),"")</f>
        <v>46203</v>
      </c>
      <c r="B1548" s="29" t="s">
        <v>196</v>
      </c>
      <c r="C1548" s="29"/>
      <c r="D1548" s="29"/>
      <c r="E1548" s="29" t="str">
        <f t="shared" si="207"/>
        <v/>
      </c>
      <c r="F1548" s="29">
        <f>COUNTIFS(실시간콜입력!$B:$B,$A1548,실시간콜입력!$E:$E,"A",실시간콜입력!$G:$G,$B1548,실시간콜입력!$O:$O,"방문완료")+COUNTIFS(실시간콜입력!$B:$B,$A1548,실시간콜입력!$E:$E,"A",실시간콜입력!$H:$H,$B1548,실시간콜입력!$O:$O,"방문완료")</f>
        <v>0</v>
      </c>
      <c r="G1548" s="29">
        <f>COUNTIFS(실시간콜입력!$B:$B,$A1548,실시간콜입력!$E:$E,"B",실시간콜입력!$G:$G,$B1548,실시간콜입력!$O:$O,"방문완료")+COUNTIFS(실시간콜입력!$B:$B,$A1548,실시간콜입력!$E:$E,"B",실시간콜입력!$H:$H,$B1548,실시간콜입력!$O:$O,"방문완료")</f>
        <v>0</v>
      </c>
      <c r="H1548" s="29">
        <f>COUNTIFS(실시간콜입력!$B:$B,$A1548,실시간콜입력!$E:$E,"C",실시간콜입력!$G:$G,$B1548,실시간콜입력!$O:$O,"방문완료")+COUNTIFS(실시간콜입력!$B:$B,$A1548,실시간콜입력!$E:$E,"C",실시간콜입력!$H:$H,$B1548,실시간콜입력!$O:$O,"방문완료")</f>
        <v>0</v>
      </c>
      <c r="I1548" s="29">
        <f>COUNTIFS(실시간콜입력!$B:$B,$A1548,실시간콜입력!$E:$E,"D",실시간콜입력!$G:$G,$B1548,실시간콜입력!$O:$O,"방문완료")+COUNTIFS(실시간콜입력!$B:$B,$A1548,실시간콜입력!$E:$E,"D",실시간콜입력!$H:$H,$B1548,실시간콜입력!$O:$O,"방문완료")</f>
        <v>0</v>
      </c>
      <c r="J1548" s="29">
        <f>COUNTIFS(실시간콜입력!$B:$B,$A1548,실시간콜입력!$E:$E,"E",실시간콜입력!$G:$G,$B1548,실시간콜입력!$O:$O,"방문완료")+COUNTIFS(실시간콜입력!$B:$B,$A1548,실시간콜입력!$E:$E,"E",실시간콜입력!$H:$H,$B1548,실시간콜입력!$O:$O,"방문완료")</f>
        <v>0</v>
      </c>
      <c r="K1548" s="29">
        <f t="shared" si="208"/>
        <v>0</v>
      </c>
      <c r="L1548" s="33">
        <f>SUMIFS(실시간콜입력!$K:$K,실시간콜입력!$B:$B,$A1548,실시간콜입력!$G:$G,$B1548,실시간콜입력!$O:$O,"방문완료")+SUMIFS(실시간콜입력!$L:$L,실시간콜입력!$B:$B,$A1548,실시간콜입력!$H:$H,$B1548,실시간콜입력!$O:$O,"방문완료")</f>
        <v>0</v>
      </c>
      <c r="M1548" s="29" t="str">
        <f t="shared" si="209"/>
        <v/>
      </c>
      <c r="N1548" s="29"/>
    </row>
    <row r="1549" spans="1:14" ht="19.5" hidden="1" customHeight="1" outlineLevel="1">
      <c r="A1549" s="24">
        <f>IF(30&lt;=DAY(DATE(YEAR(설정_코스수당!$K$2),MONTH(설정_코스수당!$K$2)+1,0)),DATE(YEAR(설정_코스수당!$K$2),MONTH(설정_코스수당!$K$2),30),"")</f>
        <v>46203</v>
      </c>
      <c r="B1549" s="23" t="s">
        <v>197</v>
      </c>
      <c r="C1549" s="29"/>
      <c r="D1549" s="29"/>
      <c r="E1549" s="29" t="str">
        <f t="shared" si="207"/>
        <v/>
      </c>
      <c r="F1549" s="29">
        <f>COUNTIFS(실시간콜입력!$B:$B,$A1549,실시간콜입력!$E:$E,"A",실시간콜입력!$G:$G,$B1549,실시간콜입력!$O:$O,"방문완료")+COUNTIFS(실시간콜입력!$B:$B,$A1549,실시간콜입력!$E:$E,"A",실시간콜입력!$H:$H,$B1549,실시간콜입력!$O:$O,"방문완료")</f>
        <v>0</v>
      </c>
      <c r="G1549" s="29">
        <f>COUNTIFS(실시간콜입력!$B:$B,$A1549,실시간콜입력!$E:$E,"B",실시간콜입력!$G:$G,$B1549,실시간콜입력!$O:$O,"방문완료")+COUNTIFS(실시간콜입력!$B:$B,$A1549,실시간콜입력!$E:$E,"B",실시간콜입력!$H:$H,$B1549,실시간콜입력!$O:$O,"방문완료")</f>
        <v>0</v>
      </c>
      <c r="H1549" s="29">
        <f>COUNTIFS(실시간콜입력!$B:$B,$A1549,실시간콜입력!$E:$E,"C",실시간콜입력!$G:$G,$B1549,실시간콜입력!$O:$O,"방문완료")+COUNTIFS(실시간콜입력!$B:$B,$A1549,실시간콜입력!$E:$E,"C",실시간콜입력!$H:$H,$B1549,실시간콜입력!$O:$O,"방문완료")</f>
        <v>0</v>
      </c>
      <c r="I1549" s="29">
        <f>COUNTIFS(실시간콜입력!$B:$B,$A1549,실시간콜입력!$E:$E,"D",실시간콜입력!$G:$G,$B1549,실시간콜입력!$O:$O,"방문완료")+COUNTIFS(실시간콜입력!$B:$B,$A1549,실시간콜입력!$E:$E,"D",실시간콜입력!$H:$H,$B1549,실시간콜입력!$O:$O,"방문완료")</f>
        <v>0</v>
      </c>
      <c r="J1549" s="29">
        <f>COUNTIFS(실시간콜입력!$B:$B,$A1549,실시간콜입력!$E:$E,"E",실시간콜입력!$G:$G,$B1549,실시간콜입력!$O:$O,"방문완료")+COUNTIFS(실시간콜입력!$B:$B,$A1549,실시간콜입력!$E:$E,"E",실시간콜입력!$H:$H,$B1549,실시간콜입력!$O:$O,"방문완료")</f>
        <v>0</v>
      </c>
      <c r="K1549" s="29">
        <f t="shared" si="208"/>
        <v>0</v>
      </c>
      <c r="L1549" s="27">
        <f>SUMIFS(실시간콜입력!$K:$K,실시간콜입력!$B:$B,$A1549,실시간콜입력!$G:$G,$B1549,실시간콜입력!$O:$O,"방문완료")+SUMIFS(실시간콜입력!$L:$L,실시간콜입력!$B:$B,$A1549,실시간콜입력!$H:$H,$B1549,실시간콜입력!$O:$O,"방문완료")</f>
        <v>0</v>
      </c>
      <c r="M1549" s="29" t="str">
        <f t="shared" si="209"/>
        <v/>
      </c>
      <c r="N1549" s="29"/>
    </row>
    <row r="1550" spans="1:14" ht="19.5" hidden="1" customHeight="1" outlineLevel="1">
      <c r="A1550" s="30">
        <f>IF(30&lt;=DAY(DATE(YEAR(설정_코스수당!$K$2),MONTH(설정_코스수당!$K$2)+1,0)),DATE(YEAR(설정_코스수당!$K$2),MONTH(설정_코스수당!$K$2),30),"")</f>
        <v>46203</v>
      </c>
      <c r="B1550" s="29" t="s">
        <v>198</v>
      </c>
      <c r="C1550" s="29"/>
      <c r="D1550" s="29"/>
      <c r="E1550" s="29" t="str">
        <f t="shared" si="207"/>
        <v/>
      </c>
      <c r="F1550" s="29">
        <f>COUNTIFS(실시간콜입력!$B:$B,$A1550,실시간콜입력!$E:$E,"A",실시간콜입력!$G:$G,$B1550,실시간콜입력!$O:$O,"방문완료")+COUNTIFS(실시간콜입력!$B:$B,$A1550,실시간콜입력!$E:$E,"A",실시간콜입력!$H:$H,$B1550,실시간콜입력!$O:$O,"방문완료")</f>
        <v>0</v>
      </c>
      <c r="G1550" s="29">
        <f>COUNTIFS(실시간콜입력!$B:$B,$A1550,실시간콜입력!$E:$E,"B",실시간콜입력!$G:$G,$B1550,실시간콜입력!$O:$O,"방문완료")+COUNTIFS(실시간콜입력!$B:$B,$A1550,실시간콜입력!$E:$E,"B",실시간콜입력!$H:$H,$B1550,실시간콜입력!$O:$O,"방문완료")</f>
        <v>0</v>
      </c>
      <c r="H1550" s="29">
        <f>COUNTIFS(실시간콜입력!$B:$B,$A1550,실시간콜입력!$E:$E,"C",실시간콜입력!$G:$G,$B1550,실시간콜입력!$O:$O,"방문완료")+COUNTIFS(실시간콜입력!$B:$B,$A1550,실시간콜입력!$E:$E,"C",실시간콜입력!$H:$H,$B1550,실시간콜입력!$O:$O,"방문완료")</f>
        <v>0</v>
      </c>
      <c r="I1550" s="29">
        <f>COUNTIFS(실시간콜입력!$B:$B,$A1550,실시간콜입력!$E:$E,"D",실시간콜입력!$G:$G,$B1550,실시간콜입력!$O:$O,"방문완료")+COUNTIFS(실시간콜입력!$B:$B,$A1550,실시간콜입력!$E:$E,"D",실시간콜입력!$H:$H,$B1550,실시간콜입력!$O:$O,"방문완료")</f>
        <v>0</v>
      </c>
      <c r="J1550" s="29">
        <f>COUNTIFS(실시간콜입력!$B:$B,$A1550,실시간콜입력!$E:$E,"E",실시간콜입력!$G:$G,$B1550,실시간콜입력!$O:$O,"방문완료")+COUNTIFS(실시간콜입력!$B:$B,$A1550,실시간콜입력!$E:$E,"E",실시간콜입력!$H:$H,$B1550,실시간콜입력!$O:$O,"방문완료")</f>
        <v>0</v>
      </c>
      <c r="K1550" s="29">
        <f t="shared" si="208"/>
        <v>0</v>
      </c>
      <c r="L1550" s="33">
        <f>SUMIFS(실시간콜입력!$K:$K,실시간콜입력!$B:$B,$A1550,실시간콜입력!$G:$G,$B1550,실시간콜입력!$O:$O,"방문완료")+SUMIFS(실시간콜입력!$L:$L,실시간콜입력!$B:$B,$A1550,실시간콜입력!$H:$H,$B1550,실시간콜입력!$O:$O,"방문완료")</f>
        <v>0</v>
      </c>
      <c r="M1550" s="29" t="str">
        <f t="shared" si="209"/>
        <v/>
      </c>
      <c r="N1550" s="29"/>
    </row>
    <row r="1551" spans="1:14" ht="19.5" hidden="1" customHeight="1" outlineLevel="1">
      <c r="A1551" s="24">
        <f>IF(30&lt;=DAY(DATE(YEAR(설정_코스수당!$K$2),MONTH(설정_코스수당!$K$2)+1,0)),DATE(YEAR(설정_코스수당!$K$2),MONTH(설정_코스수당!$K$2),30),"")</f>
        <v>46203</v>
      </c>
      <c r="B1551" s="23" t="s">
        <v>199</v>
      </c>
      <c r="C1551" s="29"/>
      <c r="D1551" s="29"/>
      <c r="E1551" s="29" t="str">
        <f t="shared" si="207"/>
        <v/>
      </c>
      <c r="F1551" s="29">
        <f>COUNTIFS(실시간콜입력!$B:$B,$A1551,실시간콜입력!$E:$E,"A",실시간콜입력!$G:$G,$B1551,실시간콜입력!$O:$O,"방문완료")+COUNTIFS(실시간콜입력!$B:$B,$A1551,실시간콜입력!$E:$E,"A",실시간콜입력!$H:$H,$B1551,실시간콜입력!$O:$O,"방문완료")</f>
        <v>0</v>
      </c>
      <c r="G1551" s="29">
        <f>COUNTIFS(실시간콜입력!$B:$B,$A1551,실시간콜입력!$E:$E,"B",실시간콜입력!$G:$G,$B1551,실시간콜입력!$O:$O,"방문완료")+COUNTIFS(실시간콜입력!$B:$B,$A1551,실시간콜입력!$E:$E,"B",실시간콜입력!$H:$H,$B1551,실시간콜입력!$O:$O,"방문완료")</f>
        <v>0</v>
      </c>
      <c r="H1551" s="29">
        <f>COUNTIFS(실시간콜입력!$B:$B,$A1551,실시간콜입력!$E:$E,"C",실시간콜입력!$G:$G,$B1551,실시간콜입력!$O:$O,"방문완료")+COUNTIFS(실시간콜입력!$B:$B,$A1551,실시간콜입력!$E:$E,"C",실시간콜입력!$H:$H,$B1551,실시간콜입력!$O:$O,"방문완료")</f>
        <v>0</v>
      </c>
      <c r="I1551" s="29">
        <f>COUNTIFS(실시간콜입력!$B:$B,$A1551,실시간콜입력!$E:$E,"D",실시간콜입력!$G:$G,$B1551,실시간콜입력!$O:$O,"방문완료")+COUNTIFS(실시간콜입력!$B:$B,$A1551,실시간콜입력!$E:$E,"D",실시간콜입력!$H:$H,$B1551,실시간콜입력!$O:$O,"방문완료")</f>
        <v>0</v>
      </c>
      <c r="J1551" s="29">
        <f>COUNTIFS(실시간콜입력!$B:$B,$A1551,실시간콜입력!$E:$E,"E",실시간콜입력!$G:$G,$B1551,실시간콜입력!$O:$O,"방문완료")+COUNTIFS(실시간콜입력!$B:$B,$A1551,실시간콜입력!$E:$E,"E",실시간콜입력!$H:$H,$B1551,실시간콜입력!$O:$O,"방문완료")</f>
        <v>0</v>
      </c>
      <c r="K1551" s="29">
        <f t="shared" si="208"/>
        <v>0</v>
      </c>
      <c r="L1551" s="27">
        <f>SUMIFS(실시간콜입력!$K:$K,실시간콜입력!$B:$B,$A1551,실시간콜입력!$G:$G,$B1551,실시간콜입력!$O:$O,"방문완료")+SUMIFS(실시간콜입력!$L:$L,실시간콜입력!$B:$B,$A1551,실시간콜입력!$H:$H,$B1551,실시간콜입력!$O:$O,"방문완료")</f>
        <v>0</v>
      </c>
      <c r="M1551" s="29" t="str">
        <f t="shared" si="209"/>
        <v/>
      </c>
      <c r="N1551" s="29"/>
    </row>
    <row r="1552" spans="1:14" ht="19.5" hidden="1" customHeight="1" outlineLevel="1">
      <c r="A1552" s="30">
        <f>IF(30&lt;=DAY(DATE(YEAR(설정_코스수당!$K$2),MONTH(설정_코스수당!$K$2)+1,0)),DATE(YEAR(설정_코스수당!$K$2),MONTH(설정_코스수당!$K$2),30),"")</f>
        <v>46203</v>
      </c>
      <c r="B1552" s="29" t="s">
        <v>200</v>
      </c>
      <c r="C1552" s="29"/>
      <c r="D1552" s="29"/>
      <c r="E1552" s="29" t="str">
        <f t="shared" si="207"/>
        <v/>
      </c>
      <c r="F1552" s="29">
        <f>COUNTIFS(실시간콜입력!$B:$B,$A1552,실시간콜입력!$E:$E,"A",실시간콜입력!$G:$G,$B1552,실시간콜입력!$O:$O,"방문완료")+COUNTIFS(실시간콜입력!$B:$B,$A1552,실시간콜입력!$E:$E,"A",실시간콜입력!$H:$H,$B1552,실시간콜입력!$O:$O,"방문완료")</f>
        <v>0</v>
      </c>
      <c r="G1552" s="29">
        <f>COUNTIFS(실시간콜입력!$B:$B,$A1552,실시간콜입력!$E:$E,"B",실시간콜입력!$G:$G,$B1552,실시간콜입력!$O:$O,"방문완료")+COUNTIFS(실시간콜입력!$B:$B,$A1552,실시간콜입력!$E:$E,"B",실시간콜입력!$H:$H,$B1552,실시간콜입력!$O:$O,"방문완료")</f>
        <v>0</v>
      </c>
      <c r="H1552" s="29">
        <f>COUNTIFS(실시간콜입력!$B:$B,$A1552,실시간콜입력!$E:$E,"C",실시간콜입력!$G:$G,$B1552,실시간콜입력!$O:$O,"방문완료")+COUNTIFS(실시간콜입력!$B:$B,$A1552,실시간콜입력!$E:$E,"C",실시간콜입력!$H:$H,$B1552,실시간콜입력!$O:$O,"방문완료")</f>
        <v>0</v>
      </c>
      <c r="I1552" s="29">
        <f>COUNTIFS(실시간콜입력!$B:$B,$A1552,실시간콜입력!$E:$E,"D",실시간콜입력!$G:$G,$B1552,실시간콜입력!$O:$O,"방문완료")+COUNTIFS(실시간콜입력!$B:$B,$A1552,실시간콜입력!$E:$E,"D",실시간콜입력!$H:$H,$B1552,실시간콜입력!$O:$O,"방문완료")</f>
        <v>0</v>
      </c>
      <c r="J1552" s="29">
        <f>COUNTIFS(실시간콜입력!$B:$B,$A1552,실시간콜입력!$E:$E,"E",실시간콜입력!$G:$G,$B1552,실시간콜입력!$O:$O,"방문완료")+COUNTIFS(실시간콜입력!$B:$B,$A1552,실시간콜입력!$E:$E,"E",실시간콜입력!$H:$H,$B1552,실시간콜입력!$O:$O,"방문완료")</f>
        <v>0</v>
      </c>
      <c r="K1552" s="29">
        <f t="shared" si="208"/>
        <v>0</v>
      </c>
      <c r="L1552" s="33">
        <f>SUMIFS(실시간콜입력!$K:$K,실시간콜입력!$B:$B,$A1552,실시간콜입력!$G:$G,$B1552,실시간콜입력!$O:$O,"방문완료")+SUMIFS(실시간콜입력!$L:$L,실시간콜입력!$B:$B,$A1552,실시간콜입력!$H:$H,$B1552,실시간콜입력!$O:$O,"방문완료")</f>
        <v>0</v>
      </c>
      <c r="M1552" s="29" t="str">
        <f t="shared" si="209"/>
        <v/>
      </c>
      <c r="N1552" s="29"/>
    </row>
    <row r="1553" spans="1:14" ht="19.5" hidden="1" customHeight="1" outlineLevel="1">
      <c r="A1553" s="24">
        <f>IF(30&lt;=DAY(DATE(YEAR(설정_코스수당!$K$2),MONTH(설정_코스수당!$K$2)+1,0)),DATE(YEAR(설정_코스수당!$K$2),MONTH(설정_코스수당!$K$2),30),"")</f>
        <v>46203</v>
      </c>
      <c r="B1553" s="23" t="s">
        <v>201</v>
      </c>
      <c r="C1553" s="29"/>
      <c r="D1553" s="29"/>
      <c r="E1553" s="29" t="str">
        <f t="shared" si="207"/>
        <v/>
      </c>
      <c r="F1553" s="29">
        <f>COUNTIFS(실시간콜입력!$B:$B,$A1553,실시간콜입력!$E:$E,"A",실시간콜입력!$G:$G,$B1553,실시간콜입력!$O:$O,"방문완료")+COUNTIFS(실시간콜입력!$B:$B,$A1553,실시간콜입력!$E:$E,"A",실시간콜입력!$H:$H,$B1553,실시간콜입력!$O:$O,"방문완료")</f>
        <v>0</v>
      </c>
      <c r="G1553" s="29">
        <f>COUNTIFS(실시간콜입력!$B:$B,$A1553,실시간콜입력!$E:$E,"B",실시간콜입력!$G:$G,$B1553,실시간콜입력!$O:$O,"방문완료")+COUNTIFS(실시간콜입력!$B:$B,$A1553,실시간콜입력!$E:$E,"B",실시간콜입력!$H:$H,$B1553,실시간콜입력!$O:$O,"방문완료")</f>
        <v>0</v>
      </c>
      <c r="H1553" s="29">
        <f>COUNTIFS(실시간콜입력!$B:$B,$A1553,실시간콜입력!$E:$E,"C",실시간콜입력!$G:$G,$B1553,실시간콜입력!$O:$O,"방문완료")+COUNTIFS(실시간콜입력!$B:$B,$A1553,실시간콜입력!$E:$E,"C",실시간콜입력!$H:$H,$B1553,실시간콜입력!$O:$O,"방문완료")</f>
        <v>0</v>
      </c>
      <c r="I1553" s="29">
        <f>COUNTIFS(실시간콜입력!$B:$B,$A1553,실시간콜입력!$E:$E,"D",실시간콜입력!$G:$G,$B1553,실시간콜입력!$O:$O,"방문완료")+COUNTIFS(실시간콜입력!$B:$B,$A1553,실시간콜입력!$E:$E,"D",실시간콜입력!$H:$H,$B1553,실시간콜입력!$O:$O,"방문완료")</f>
        <v>0</v>
      </c>
      <c r="J1553" s="29">
        <f>COUNTIFS(실시간콜입력!$B:$B,$A1553,실시간콜입력!$E:$E,"E",실시간콜입력!$G:$G,$B1553,실시간콜입력!$O:$O,"방문완료")+COUNTIFS(실시간콜입력!$B:$B,$A1553,실시간콜입력!$E:$E,"E",실시간콜입력!$H:$H,$B1553,실시간콜입력!$O:$O,"방문완료")</f>
        <v>0</v>
      </c>
      <c r="K1553" s="29">
        <f t="shared" si="208"/>
        <v>0</v>
      </c>
      <c r="L1553" s="27">
        <f>SUMIFS(실시간콜입력!$K:$K,실시간콜입력!$B:$B,$A1553,실시간콜입력!$G:$G,$B1553,실시간콜입력!$O:$O,"방문완료")+SUMIFS(실시간콜입력!$L:$L,실시간콜입력!$B:$B,$A1553,실시간콜입력!$H:$H,$B1553,실시간콜입력!$O:$O,"방문완료")</f>
        <v>0</v>
      </c>
      <c r="M1553" s="29" t="str">
        <f t="shared" si="209"/>
        <v/>
      </c>
      <c r="N1553" s="29"/>
    </row>
    <row r="1554" spans="1:14" ht="19.5" hidden="1" customHeight="1" outlineLevel="1">
      <c r="A1554" s="30">
        <f>IF(30&lt;=DAY(DATE(YEAR(설정_코스수당!$K$2),MONTH(설정_코스수당!$K$2)+1,0)),DATE(YEAR(설정_코스수당!$K$2),MONTH(설정_코스수당!$K$2),30),"")</f>
        <v>46203</v>
      </c>
      <c r="B1554" s="29" t="s">
        <v>202</v>
      </c>
      <c r="C1554" s="29"/>
      <c r="D1554" s="29"/>
      <c r="E1554" s="29" t="str">
        <f t="shared" si="207"/>
        <v/>
      </c>
      <c r="F1554" s="29">
        <f>COUNTIFS(실시간콜입력!$B:$B,$A1554,실시간콜입력!$E:$E,"A",실시간콜입력!$G:$G,$B1554,실시간콜입력!$O:$O,"방문완료")+COUNTIFS(실시간콜입력!$B:$B,$A1554,실시간콜입력!$E:$E,"A",실시간콜입력!$H:$H,$B1554,실시간콜입력!$O:$O,"방문완료")</f>
        <v>0</v>
      </c>
      <c r="G1554" s="29">
        <f>COUNTIFS(실시간콜입력!$B:$B,$A1554,실시간콜입력!$E:$E,"B",실시간콜입력!$G:$G,$B1554,실시간콜입력!$O:$O,"방문완료")+COUNTIFS(실시간콜입력!$B:$B,$A1554,실시간콜입력!$E:$E,"B",실시간콜입력!$H:$H,$B1554,실시간콜입력!$O:$O,"방문완료")</f>
        <v>0</v>
      </c>
      <c r="H1554" s="29">
        <f>COUNTIFS(실시간콜입력!$B:$B,$A1554,실시간콜입력!$E:$E,"C",실시간콜입력!$G:$G,$B1554,실시간콜입력!$O:$O,"방문완료")+COUNTIFS(실시간콜입력!$B:$B,$A1554,실시간콜입력!$E:$E,"C",실시간콜입력!$H:$H,$B1554,실시간콜입력!$O:$O,"방문완료")</f>
        <v>0</v>
      </c>
      <c r="I1554" s="29">
        <f>COUNTIFS(실시간콜입력!$B:$B,$A1554,실시간콜입력!$E:$E,"D",실시간콜입력!$G:$G,$B1554,실시간콜입력!$O:$O,"방문완료")+COUNTIFS(실시간콜입력!$B:$B,$A1554,실시간콜입력!$E:$E,"D",실시간콜입력!$H:$H,$B1554,실시간콜입력!$O:$O,"방문완료")</f>
        <v>0</v>
      </c>
      <c r="J1554" s="29">
        <f>COUNTIFS(실시간콜입력!$B:$B,$A1554,실시간콜입력!$E:$E,"E",실시간콜입력!$G:$G,$B1554,실시간콜입력!$O:$O,"방문완료")+COUNTIFS(실시간콜입력!$B:$B,$A1554,실시간콜입력!$E:$E,"E",실시간콜입력!$H:$H,$B1554,실시간콜입력!$O:$O,"방문완료")</f>
        <v>0</v>
      </c>
      <c r="K1554" s="29">
        <f t="shared" si="208"/>
        <v>0</v>
      </c>
      <c r="L1554" s="33">
        <f>SUMIFS(실시간콜입력!$K:$K,실시간콜입력!$B:$B,$A1554,실시간콜입력!$G:$G,$B1554,실시간콜입력!$O:$O,"방문완료")+SUMIFS(실시간콜입력!$L:$L,실시간콜입력!$B:$B,$A1554,실시간콜입력!$H:$H,$B1554,실시간콜입력!$O:$O,"방문완료")</f>
        <v>0</v>
      </c>
      <c r="M1554" s="29" t="str">
        <f t="shared" si="209"/>
        <v/>
      </c>
      <c r="N1554" s="29"/>
    </row>
    <row r="1555" spans="1:14" ht="19.5" hidden="1" customHeight="1" outlineLevel="1">
      <c r="A1555" s="24">
        <f>IF(30&lt;=DAY(DATE(YEAR(설정_코스수당!$K$2),MONTH(설정_코스수당!$K$2)+1,0)),DATE(YEAR(설정_코스수당!$K$2),MONTH(설정_코스수당!$K$2),30),"")</f>
        <v>46203</v>
      </c>
      <c r="B1555" s="23" t="s">
        <v>203</v>
      </c>
      <c r="C1555" s="29"/>
      <c r="D1555" s="29"/>
      <c r="E1555" s="29" t="str">
        <f t="shared" si="207"/>
        <v/>
      </c>
      <c r="F1555" s="29">
        <f>COUNTIFS(실시간콜입력!$B:$B,$A1555,실시간콜입력!$E:$E,"A",실시간콜입력!$G:$G,$B1555,실시간콜입력!$O:$O,"방문완료")+COUNTIFS(실시간콜입력!$B:$B,$A1555,실시간콜입력!$E:$E,"A",실시간콜입력!$H:$H,$B1555,실시간콜입력!$O:$O,"방문완료")</f>
        <v>0</v>
      </c>
      <c r="G1555" s="29">
        <f>COUNTIFS(실시간콜입력!$B:$B,$A1555,실시간콜입력!$E:$E,"B",실시간콜입력!$G:$G,$B1555,실시간콜입력!$O:$O,"방문완료")+COUNTIFS(실시간콜입력!$B:$B,$A1555,실시간콜입력!$E:$E,"B",실시간콜입력!$H:$H,$B1555,실시간콜입력!$O:$O,"방문완료")</f>
        <v>0</v>
      </c>
      <c r="H1555" s="29">
        <f>COUNTIFS(실시간콜입력!$B:$B,$A1555,실시간콜입력!$E:$E,"C",실시간콜입력!$G:$G,$B1555,실시간콜입력!$O:$O,"방문완료")+COUNTIFS(실시간콜입력!$B:$B,$A1555,실시간콜입력!$E:$E,"C",실시간콜입력!$H:$H,$B1555,실시간콜입력!$O:$O,"방문완료")</f>
        <v>0</v>
      </c>
      <c r="I1555" s="29">
        <f>COUNTIFS(실시간콜입력!$B:$B,$A1555,실시간콜입력!$E:$E,"D",실시간콜입력!$G:$G,$B1555,실시간콜입력!$O:$O,"방문완료")+COUNTIFS(실시간콜입력!$B:$B,$A1555,실시간콜입력!$E:$E,"D",실시간콜입력!$H:$H,$B1555,실시간콜입력!$O:$O,"방문완료")</f>
        <v>0</v>
      </c>
      <c r="J1555" s="29">
        <f>COUNTIFS(실시간콜입력!$B:$B,$A1555,실시간콜입력!$E:$E,"E",실시간콜입력!$G:$G,$B1555,실시간콜입력!$O:$O,"방문완료")+COUNTIFS(실시간콜입력!$B:$B,$A1555,실시간콜입력!$E:$E,"E",실시간콜입력!$H:$H,$B1555,실시간콜입력!$O:$O,"방문완료")</f>
        <v>0</v>
      </c>
      <c r="K1555" s="29">
        <f t="shared" si="208"/>
        <v>0</v>
      </c>
      <c r="L1555" s="27">
        <f>SUMIFS(실시간콜입력!$K:$K,실시간콜입력!$B:$B,$A1555,실시간콜입력!$G:$G,$B1555,실시간콜입력!$O:$O,"방문완료")+SUMIFS(실시간콜입력!$L:$L,실시간콜입력!$B:$B,$A1555,실시간콜입력!$H:$H,$B1555,실시간콜입력!$O:$O,"방문완료")</f>
        <v>0</v>
      </c>
      <c r="M1555" s="29" t="str">
        <f t="shared" si="209"/>
        <v/>
      </c>
      <c r="N1555" s="29"/>
    </row>
    <row r="1556" spans="1:14" ht="19.5" hidden="1" customHeight="1" outlineLevel="1">
      <c r="A1556" s="30">
        <f>IF(30&lt;=DAY(DATE(YEAR(설정_코스수당!$K$2),MONTH(설정_코스수당!$K$2)+1,0)),DATE(YEAR(설정_코스수당!$K$2),MONTH(설정_코스수당!$K$2),30),"")</f>
        <v>46203</v>
      </c>
      <c r="B1556" s="29" t="s">
        <v>204</v>
      </c>
      <c r="C1556" s="29"/>
      <c r="D1556" s="29"/>
      <c r="E1556" s="29" t="str">
        <f t="shared" si="207"/>
        <v/>
      </c>
      <c r="F1556" s="29">
        <f>COUNTIFS(실시간콜입력!$B:$B,$A1556,실시간콜입력!$E:$E,"A",실시간콜입력!$G:$G,$B1556,실시간콜입력!$O:$O,"방문완료")+COUNTIFS(실시간콜입력!$B:$B,$A1556,실시간콜입력!$E:$E,"A",실시간콜입력!$H:$H,$B1556,실시간콜입력!$O:$O,"방문완료")</f>
        <v>0</v>
      </c>
      <c r="G1556" s="29">
        <f>COUNTIFS(실시간콜입력!$B:$B,$A1556,실시간콜입력!$E:$E,"B",실시간콜입력!$G:$G,$B1556,실시간콜입력!$O:$O,"방문완료")+COUNTIFS(실시간콜입력!$B:$B,$A1556,실시간콜입력!$E:$E,"B",실시간콜입력!$H:$H,$B1556,실시간콜입력!$O:$O,"방문완료")</f>
        <v>0</v>
      </c>
      <c r="H1556" s="29">
        <f>COUNTIFS(실시간콜입력!$B:$B,$A1556,실시간콜입력!$E:$E,"C",실시간콜입력!$G:$G,$B1556,실시간콜입력!$O:$O,"방문완료")+COUNTIFS(실시간콜입력!$B:$B,$A1556,실시간콜입력!$E:$E,"C",실시간콜입력!$H:$H,$B1556,실시간콜입력!$O:$O,"방문완료")</f>
        <v>0</v>
      </c>
      <c r="I1556" s="29">
        <f>COUNTIFS(실시간콜입력!$B:$B,$A1556,실시간콜입력!$E:$E,"D",실시간콜입력!$G:$G,$B1556,실시간콜입력!$O:$O,"방문완료")+COUNTIFS(실시간콜입력!$B:$B,$A1556,실시간콜입력!$E:$E,"D",실시간콜입력!$H:$H,$B1556,실시간콜입력!$O:$O,"방문완료")</f>
        <v>0</v>
      </c>
      <c r="J1556" s="29">
        <f>COUNTIFS(실시간콜입력!$B:$B,$A1556,실시간콜입력!$E:$E,"E",실시간콜입력!$G:$G,$B1556,실시간콜입력!$O:$O,"방문완료")+COUNTIFS(실시간콜입력!$B:$B,$A1556,실시간콜입력!$E:$E,"E",실시간콜입력!$H:$H,$B1556,실시간콜입력!$O:$O,"방문완료")</f>
        <v>0</v>
      </c>
      <c r="K1556" s="29">
        <f t="shared" si="208"/>
        <v>0</v>
      </c>
      <c r="L1556" s="33">
        <f>SUMIFS(실시간콜입력!$K:$K,실시간콜입력!$B:$B,$A1556,실시간콜입력!$G:$G,$B1556,실시간콜입력!$O:$O,"방문완료")+SUMIFS(실시간콜입력!$L:$L,실시간콜입력!$B:$B,$A1556,실시간콜입력!$H:$H,$B1556,실시간콜입력!$O:$O,"방문완료")</f>
        <v>0</v>
      </c>
      <c r="M1556" s="29" t="str">
        <f t="shared" si="209"/>
        <v/>
      </c>
      <c r="N1556" s="29"/>
    </row>
    <row r="1557" spans="1:14" ht="19.5" hidden="1" customHeight="1" outlineLevel="1">
      <c r="A1557" s="24">
        <f>IF(30&lt;=DAY(DATE(YEAR(설정_코스수당!$K$2),MONTH(설정_코스수당!$K$2)+1,0)),DATE(YEAR(설정_코스수당!$K$2),MONTH(설정_코스수당!$K$2),30),"")</f>
        <v>46203</v>
      </c>
      <c r="B1557" s="23" t="s">
        <v>205</v>
      </c>
      <c r="C1557" s="29"/>
      <c r="D1557" s="29"/>
      <c r="E1557" s="29" t="str">
        <f t="shared" si="207"/>
        <v/>
      </c>
      <c r="F1557" s="29">
        <f>COUNTIFS(실시간콜입력!$B:$B,$A1557,실시간콜입력!$E:$E,"A",실시간콜입력!$G:$G,$B1557,실시간콜입력!$O:$O,"방문완료")+COUNTIFS(실시간콜입력!$B:$B,$A1557,실시간콜입력!$E:$E,"A",실시간콜입력!$H:$H,$B1557,실시간콜입력!$O:$O,"방문완료")</f>
        <v>0</v>
      </c>
      <c r="G1557" s="29">
        <f>COUNTIFS(실시간콜입력!$B:$B,$A1557,실시간콜입력!$E:$E,"B",실시간콜입력!$G:$G,$B1557,실시간콜입력!$O:$O,"방문완료")+COUNTIFS(실시간콜입력!$B:$B,$A1557,실시간콜입력!$E:$E,"B",실시간콜입력!$H:$H,$B1557,실시간콜입력!$O:$O,"방문완료")</f>
        <v>0</v>
      </c>
      <c r="H1557" s="29">
        <f>COUNTIFS(실시간콜입력!$B:$B,$A1557,실시간콜입력!$E:$E,"C",실시간콜입력!$G:$G,$B1557,실시간콜입력!$O:$O,"방문완료")+COUNTIFS(실시간콜입력!$B:$B,$A1557,실시간콜입력!$E:$E,"C",실시간콜입력!$H:$H,$B1557,실시간콜입력!$O:$O,"방문완료")</f>
        <v>0</v>
      </c>
      <c r="I1557" s="29">
        <f>COUNTIFS(실시간콜입력!$B:$B,$A1557,실시간콜입력!$E:$E,"D",실시간콜입력!$G:$G,$B1557,실시간콜입력!$O:$O,"방문완료")+COUNTIFS(실시간콜입력!$B:$B,$A1557,실시간콜입력!$E:$E,"D",실시간콜입력!$H:$H,$B1557,실시간콜입력!$O:$O,"방문완료")</f>
        <v>0</v>
      </c>
      <c r="J1557" s="29">
        <f>COUNTIFS(실시간콜입력!$B:$B,$A1557,실시간콜입력!$E:$E,"E",실시간콜입력!$G:$G,$B1557,실시간콜입력!$O:$O,"방문완료")+COUNTIFS(실시간콜입력!$B:$B,$A1557,실시간콜입력!$E:$E,"E",실시간콜입력!$H:$H,$B1557,실시간콜입력!$O:$O,"방문완료")</f>
        <v>0</v>
      </c>
      <c r="K1557" s="29">
        <f t="shared" si="208"/>
        <v>0</v>
      </c>
      <c r="L1557" s="27">
        <f>SUMIFS(실시간콜입력!$K:$K,실시간콜입력!$B:$B,$A1557,실시간콜입력!$G:$G,$B1557,실시간콜입력!$O:$O,"방문완료")+SUMIFS(실시간콜입력!$L:$L,실시간콜입력!$B:$B,$A1557,실시간콜입력!$H:$H,$B1557,실시간콜입력!$O:$O,"방문완료")</f>
        <v>0</v>
      </c>
      <c r="M1557" s="29" t="str">
        <f t="shared" si="209"/>
        <v/>
      </c>
      <c r="N1557" s="29"/>
    </row>
    <row r="1558" spans="1:14" ht="19.5" hidden="1" customHeight="1" outlineLevel="1">
      <c r="A1558" s="30">
        <f>IF(30&lt;=DAY(DATE(YEAR(설정_코스수당!$K$2),MONTH(설정_코스수당!$K$2)+1,0)),DATE(YEAR(설정_코스수당!$K$2),MONTH(설정_코스수당!$K$2),30),"")</f>
        <v>46203</v>
      </c>
      <c r="B1558" s="29" t="s">
        <v>206</v>
      </c>
      <c r="C1558" s="29"/>
      <c r="D1558" s="29"/>
      <c r="E1558" s="29" t="str">
        <f t="shared" si="207"/>
        <v/>
      </c>
      <c r="F1558" s="29">
        <f>COUNTIFS(실시간콜입력!$B:$B,$A1558,실시간콜입력!$E:$E,"A",실시간콜입력!$G:$G,$B1558,실시간콜입력!$O:$O,"방문완료")+COUNTIFS(실시간콜입력!$B:$B,$A1558,실시간콜입력!$E:$E,"A",실시간콜입력!$H:$H,$B1558,실시간콜입력!$O:$O,"방문완료")</f>
        <v>0</v>
      </c>
      <c r="G1558" s="29">
        <f>COUNTIFS(실시간콜입력!$B:$B,$A1558,실시간콜입력!$E:$E,"B",실시간콜입력!$G:$G,$B1558,실시간콜입력!$O:$O,"방문완료")+COUNTIFS(실시간콜입력!$B:$B,$A1558,실시간콜입력!$E:$E,"B",실시간콜입력!$H:$H,$B1558,실시간콜입력!$O:$O,"방문완료")</f>
        <v>0</v>
      </c>
      <c r="H1558" s="29">
        <f>COUNTIFS(실시간콜입력!$B:$B,$A1558,실시간콜입력!$E:$E,"C",실시간콜입력!$G:$G,$B1558,실시간콜입력!$O:$O,"방문완료")+COUNTIFS(실시간콜입력!$B:$B,$A1558,실시간콜입력!$E:$E,"C",실시간콜입력!$H:$H,$B1558,실시간콜입력!$O:$O,"방문완료")</f>
        <v>0</v>
      </c>
      <c r="I1558" s="29">
        <f>COUNTIFS(실시간콜입력!$B:$B,$A1558,실시간콜입력!$E:$E,"D",실시간콜입력!$G:$G,$B1558,실시간콜입력!$O:$O,"방문완료")+COUNTIFS(실시간콜입력!$B:$B,$A1558,실시간콜입력!$E:$E,"D",실시간콜입력!$H:$H,$B1558,실시간콜입력!$O:$O,"방문완료")</f>
        <v>0</v>
      </c>
      <c r="J1558" s="29">
        <f>COUNTIFS(실시간콜입력!$B:$B,$A1558,실시간콜입력!$E:$E,"E",실시간콜입력!$G:$G,$B1558,실시간콜입력!$O:$O,"방문완료")+COUNTIFS(실시간콜입력!$B:$B,$A1558,실시간콜입력!$E:$E,"E",실시간콜입력!$H:$H,$B1558,실시간콜입력!$O:$O,"방문완료")</f>
        <v>0</v>
      </c>
      <c r="K1558" s="29">
        <f t="shared" si="208"/>
        <v>0</v>
      </c>
      <c r="L1558" s="33">
        <f>SUMIFS(실시간콜입력!$K:$K,실시간콜입력!$B:$B,$A1558,실시간콜입력!$G:$G,$B1558,실시간콜입력!$O:$O,"방문완료")+SUMIFS(실시간콜입력!$L:$L,실시간콜입력!$B:$B,$A1558,실시간콜입력!$H:$H,$B1558,실시간콜입력!$O:$O,"방문완료")</f>
        <v>0</v>
      </c>
      <c r="M1558" s="29" t="str">
        <f t="shared" si="209"/>
        <v/>
      </c>
      <c r="N1558" s="29"/>
    </row>
    <row r="1559" spans="1:14" ht="19.5" hidden="1" customHeight="1" outlineLevel="1">
      <c r="A1559" s="24">
        <f>IF(30&lt;=DAY(DATE(YEAR(설정_코스수당!$K$2),MONTH(설정_코스수당!$K$2)+1,0)),DATE(YEAR(설정_코스수당!$K$2),MONTH(설정_코스수당!$K$2),30),"")</f>
        <v>46203</v>
      </c>
      <c r="B1559" s="23" t="s">
        <v>207</v>
      </c>
      <c r="C1559" s="29"/>
      <c r="D1559" s="29"/>
      <c r="E1559" s="29" t="str">
        <f t="shared" si="207"/>
        <v/>
      </c>
      <c r="F1559" s="29">
        <f>COUNTIFS(실시간콜입력!$B:$B,$A1559,실시간콜입력!$E:$E,"A",실시간콜입력!$G:$G,$B1559,실시간콜입력!$O:$O,"방문완료")+COUNTIFS(실시간콜입력!$B:$B,$A1559,실시간콜입력!$E:$E,"A",실시간콜입력!$H:$H,$B1559,실시간콜입력!$O:$O,"방문완료")</f>
        <v>0</v>
      </c>
      <c r="G1559" s="29">
        <f>COUNTIFS(실시간콜입력!$B:$B,$A1559,실시간콜입력!$E:$E,"B",실시간콜입력!$G:$G,$B1559,실시간콜입력!$O:$O,"방문완료")+COUNTIFS(실시간콜입력!$B:$B,$A1559,실시간콜입력!$E:$E,"B",실시간콜입력!$H:$H,$B1559,실시간콜입력!$O:$O,"방문완료")</f>
        <v>0</v>
      </c>
      <c r="H1559" s="29">
        <f>COUNTIFS(실시간콜입력!$B:$B,$A1559,실시간콜입력!$E:$E,"C",실시간콜입력!$G:$G,$B1559,실시간콜입력!$O:$O,"방문완료")+COUNTIFS(실시간콜입력!$B:$B,$A1559,실시간콜입력!$E:$E,"C",실시간콜입력!$H:$H,$B1559,실시간콜입력!$O:$O,"방문완료")</f>
        <v>0</v>
      </c>
      <c r="I1559" s="29">
        <f>COUNTIFS(실시간콜입력!$B:$B,$A1559,실시간콜입력!$E:$E,"D",실시간콜입력!$G:$G,$B1559,실시간콜입력!$O:$O,"방문완료")+COUNTIFS(실시간콜입력!$B:$B,$A1559,실시간콜입력!$E:$E,"D",실시간콜입력!$H:$H,$B1559,실시간콜입력!$O:$O,"방문완료")</f>
        <v>0</v>
      </c>
      <c r="J1559" s="29">
        <f>COUNTIFS(실시간콜입력!$B:$B,$A1559,실시간콜입력!$E:$E,"E",실시간콜입력!$G:$G,$B1559,실시간콜입력!$O:$O,"방문완료")+COUNTIFS(실시간콜입력!$B:$B,$A1559,실시간콜입력!$E:$E,"E",실시간콜입력!$H:$H,$B1559,실시간콜입력!$O:$O,"방문완료")</f>
        <v>0</v>
      </c>
      <c r="K1559" s="29">
        <f t="shared" si="208"/>
        <v>0</v>
      </c>
      <c r="L1559" s="27">
        <f>SUMIFS(실시간콜입력!$K:$K,실시간콜입력!$B:$B,$A1559,실시간콜입력!$G:$G,$B1559,실시간콜입력!$O:$O,"방문완료")+SUMIFS(실시간콜입력!$L:$L,실시간콜입력!$B:$B,$A1559,실시간콜입력!$H:$H,$B1559,실시간콜입력!$O:$O,"방문완료")</f>
        <v>0</v>
      </c>
      <c r="M1559" s="29" t="str">
        <f t="shared" si="209"/>
        <v/>
      </c>
      <c r="N1559" s="29"/>
    </row>
    <row r="1560" spans="1:14" ht="19.5" hidden="1" customHeight="1" outlineLevel="1">
      <c r="A1560" s="30">
        <f>IF(30&lt;=DAY(DATE(YEAR(설정_코스수당!$K$2),MONTH(설정_코스수당!$K$2)+1,0)),DATE(YEAR(설정_코스수당!$K$2),MONTH(설정_코스수당!$K$2),30),"")</f>
        <v>46203</v>
      </c>
      <c r="B1560" s="29" t="s">
        <v>208</v>
      </c>
      <c r="C1560" s="29"/>
      <c r="D1560" s="29"/>
      <c r="E1560" s="29" t="str">
        <f t="shared" si="207"/>
        <v/>
      </c>
      <c r="F1560" s="29">
        <f>COUNTIFS(실시간콜입력!$B:$B,$A1560,실시간콜입력!$E:$E,"A",실시간콜입력!$G:$G,$B1560,실시간콜입력!$O:$O,"방문완료")+COUNTIFS(실시간콜입력!$B:$B,$A1560,실시간콜입력!$E:$E,"A",실시간콜입력!$H:$H,$B1560,실시간콜입력!$O:$O,"방문완료")</f>
        <v>0</v>
      </c>
      <c r="G1560" s="29">
        <f>COUNTIFS(실시간콜입력!$B:$B,$A1560,실시간콜입력!$E:$E,"B",실시간콜입력!$G:$G,$B1560,실시간콜입력!$O:$O,"방문완료")+COUNTIFS(실시간콜입력!$B:$B,$A1560,실시간콜입력!$E:$E,"B",실시간콜입력!$H:$H,$B1560,실시간콜입력!$O:$O,"방문완료")</f>
        <v>0</v>
      </c>
      <c r="H1560" s="29">
        <f>COUNTIFS(실시간콜입력!$B:$B,$A1560,실시간콜입력!$E:$E,"C",실시간콜입력!$G:$G,$B1560,실시간콜입력!$O:$O,"방문완료")+COUNTIFS(실시간콜입력!$B:$B,$A1560,실시간콜입력!$E:$E,"C",실시간콜입력!$H:$H,$B1560,실시간콜입력!$O:$O,"방문완료")</f>
        <v>0</v>
      </c>
      <c r="I1560" s="29">
        <f>COUNTIFS(실시간콜입력!$B:$B,$A1560,실시간콜입력!$E:$E,"D",실시간콜입력!$G:$G,$B1560,실시간콜입력!$O:$O,"방문완료")+COUNTIFS(실시간콜입력!$B:$B,$A1560,실시간콜입력!$E:$E,"D",실시간콜입력!$H:$H,$B1560,실시간콜입력!$O:$O,"방문완료")</f>
        <v>0</v>
      </c>
      <c r="J1560" s="29">
        <f>COUNTIFS(실시간콜입력!$B:$B,$A1560,실시간콜입력!$E:$E,"E",실시간콜입력!$G:$G,$B1560,실시간콜입력!$O:$O,"방문완료")+COUNTIFS(실시간콜입력!$B:$B,$A1560,실시간콜입력!$E:$E,"E",실시간콜입력!$H:$H,$B1560,실시간콜입력!$O:$O,"방문완료")</f>
        <v>0</v>
      </c>
      <c r="K1560" s="29">
        <f t="shared" si="208"/>
        <v>0</v>
      </c>
      <c r="L1560" s="33">
        <f>SUMIFS(실시간콜입력!$K:$K,실시간콜입력!$B:$B,$A1560,실시간콜입력!$G:$G,$B1560,실시간콜입력!$O:$O,"방문완료")+SUMIFS(실시간콜입력!$L:$L,실시간콜입력!$B:$B,$A1560,실시간콜입력!$H:$H,$B1560,실시간콜입력!$O:$O,"방문완료")</f>
        <v>0</v>
      </c>
      <c r="M1560" s="29" t="str">
        <f t="shared" si="209"/>
        <v/>
      </c>
      <c r="N1560" s="29"/>
    </row>
    <row r="1561" spans="1:14" ht="19.5" hidden="1" customHeight="1" outlineLevel="1">
      <c r="A1561" s="24">
        <f>IF(30&lt;=DAY(DATE(YEAR(설정_코스수당!$K$2),MONTH(설정_코스수당!$K$2)+1,0)),DATE(YEAR(설정_코스수당!$K$2),MONTH(설정_코스수당!$K$2),30),"")</f>
        <v>46203</v>
      </c>
      <c r="B1561" s="23" t="s">
        <v>209</v>
      </c>
      <c r="C1561" s="29"/>
      <c r="D1561" s="29"/>
      <c r="E1561" s="29" t="str">
        <f t="shared" si="207"/>
        <v/>
      </c>
      <c r="F1561" s="29">
        <f>COUNTIFS(실시간콜입력!$B:$B,$A1561,실시간콜입력!$E:$E,"A",실시간콜입력!$G:$G,$B1561,실시간콜입력!$O:$O,"방문완료")+COUNTIFS(실시간콜입력!$B:$B,$A1561,실시간콜입력!$E:$E,"A",실시간콜입력!$H:$H,$B1561,실시간콜입력!$O:$O,"방문완료")</f>
        <v>0</v>
      </c>
      <c r="G1561" s="29">
        <f>COUNTIFS(실시간콜입력!$B:$B,$A1561,실시간콜입력!$E:$E,"B",실시간콜입력!$G:$G,$B1561,실시간콜입력!$O:$O,"방문완료")+COUNTIFS(실시간콜입력!$B:$B,$A1561,실시간콜입력!$E:$E,"B",실시간콜입력!$H:$H,$B1561,실시간콜입력!$O:$O,"방문완료")</f>
        <v>0</v>
      </c>
      <c r="H1561" s="29">
        <f>COUNTIFS(실시간콜입력!$B:$B,$A1561,실시간콜입력!$E:$E,"C",실시간콜입력!$G:$G,$B1561,실시간콜입력!$O:$O,"방문완료")+COUNTIFS(실시간콜입력!$B:$B,$A1561,실시간콜입력!$E:$E,"C",실시간콜입력!$H:$H,$B1561,실시간콜입력!$O:$O,"방문완료")</f>
        <v>0</v>
      </c>
      <c r="I1561" s="29">
        <f>COUNTIFS(실시간콜입력!$B:$B,$A1561,실시간콜입력!$E:$E,"D",실시간콜입력!$G:$G,$B1561,실시간콜입력!$O:$O,"방문완료")+COUNTIFS(실시간콜입력!$B:$B,$A1561,실시간콜입력!$E:$E,"D",실시간콜입력!$H:$H,$B1561,실시간콜입력!$O:$O,"방문완료")</f>
        <v>0</v>
      </c>
      <c r="J1561" s="29">
        <f>COUNTIFS(실시간콜입력!$B:$B,$A1561,실시간콜입력!$E:$E,"E",실시간콜입력!$G:$G,$B1561,실시간콜입력!$O:$O,"방문완료")+COUNTIFS(실시간콜입력!$B:$B,$A1561,실시간콜입력!$E:$E,"E",실시간콜입력!$H:$H,$B1561,실시간콜입력!$O:$O,"방문완료")</f>
        <v>0</v>
      </c>
      <c r="K1561" s="29">
        <f t="shared" si="208"/>
        <v>0</v>
      </c>
      <c r="L1561" s="27">
        <f>SUMIFS(실시간콜입력!$K:$K,실시간콜입력!$B:$B,$A1561,실시간콜입력!$G:$G,$B1561,실시간콜입력!$O:$O,"방문완료")+SUMIFS(실시간콜입력!$L:$L,실시간콜입력!$B:$B,$A1561,실시간콜입력!$H:$H,$B1561,실시간콜입력!$O:$O,"방문완료")</f>
        <v>0</v>
      </c>
      <c r="M1561" s="29" t="str">
        <f t="shared" si="209"/>
        <v/>
      </c>
      <c r="N1561" s="29"/>
    </row>
    <row r="1562" spans="1:14" ht="19.5" hidden="1" customHeight="1" outlineLevel="1">
      <c r="A1562" s="30">
        <f>IF(30&lt;=DAY(DATE(YEAR(설정_코스수당!$K$2),MONTH(설정_코스수당!$K$2)+1,0)),DATE(YEAR(설정_코스수당!$K$2),MONTH(설정_코스수당!$K$2),30),"")</f>
        <v>46203</v>
      </c>
      <c r="B1562" s="29" t="s">
        <v>210</v>
      </c>
      <c r="C1562" s="29"/>
      <c r="D1562" s="29"/>
      <c r="E1562" s="29" t="str">
        <f t="shared" si="207"/>
        <v/>
      </c>
      <c r="F1562" s="29">
        <f>COUNTIFS(실시간콜입력!$B:$B,$A1562,실시간콜입력!$E:$E,"A",실시간콜입력!$G:$G,$B1562,실시간콜입력!$O:$O,"방문완료")+COUNTIFS(실시간콜입력!$B:$B,$A1562,실시간콜입력!$E:$E,"A",실시간콜입력!$H:$H,$B1562,실시간콜입력!$O:$O,"방문완료")</f>
        <v>0</v>
      </c>
      <c r="G1562" s="29">
        <f>COUNTIFS(실시간콜입력!$B:$B,$A1562,실시간콜입력!$E:$E,"B",실시간콜입력!$G:$G,$B1562,실시간콜입력!$O:$O,"방문완료")+COUNTIFS(실시간콜입력!$B:$B,$A1562,실시간콜입력!$E:$E,"B",실시간콜입력!$H:$H,$B1562,실시간콜입력!$O:$O,"방문완료")</f>
        <v>0</v>
      </c>
      <c r="H1562" s="29">
        <f>COUNTIFS(실시간콜입력!$B:$B,$A1562,실시간콜입력!$E:$E,"C",실시간콜입력!$G:$G,$B1562,실시간콜입력!$O:$O,"방문완료")+COUNTIFS(실시간콜입력!$B:$B,$A1562,실시간콜입력!$E:$E,"C",실시간콜입력!$H:$H,$B1562,실시간콜입력!$O:$O,"방문완료")</f>
        <v>0</v>
      </c>
      <c r="I1562" s="29">
        <f>COUNTIFS(실시간콜입력!$B:$B,$A1562,실시간콜입력!$E:$E,"D",실시간콜입력!$G:$G,$B1562,실시간콜입력!$O:$O,"방문완료")+COUNTIFS(실시간콜입력!$B:$B,$A1562,실시간콜입력!$E:$E,"D",실시간콜입력!$H:$H,$B1562,실시간콜입력!$O:$O,"방문완료")</f>
        <v>0</v>
      </c>
      <c r="J1562" s="29">
        <f>COUNTIFS(실시간콜입력!$B:$B,$A1562,실시간콜입력!$E:$E,"E",실시간콜입력!$G:$G,$B1562,실시간콜입력!$O:$O,"방문완료")+COUNTIFS(실시간콜입력!$B:$B,$A1562,실시간콜입력!$E:$E,"E",실시간콜입력!$H:$H,$B1562,실시간콜입력!$O:$O,"방문완료")</f>
        <v>0</v>
      </c>
      <c r="K1562" s="29">
        <f t="shared" si="208"/>
        <v>0</v>
      </c>
      <c r="L1562" s="33">
        <f>SUMIFS(실시간콜입력!$K:$K,실시간콜입력!$B:$B,$A1562,실시간콜입력!$G:$G,$B1562,실시간콜입력!$O:$O,"방문완료")+SUMIFS(실시간콜입력!$L:$L,실시간콜입력!$B:$B,$A1562,실시간콜입력!$H:$H,$B1562,실시간콜입력!$O:$O,"방문완료")</f>
        <v>0</v>
      </c>
      <c r="M1562" s="29" t="str">
        <f t="shared" si="209"/>
        <v/>
      </c>
      <c r="N1562" s="29"/>
    </row>
    <row r="1563" spans="1:14" ht="19.5" hidden="1" customHeight="1" outlineLevel="1">
      <c r="A1563" s="24">
        <f>IF(30&lt;=DAY(DATE(YEAR(설정_코스수당!$K$2),MONTH(설정_코스수당!$K$2)+1,0)),DATE(YEAR(설정_코스수당!$K$2),MONTH(설정_코스수당!$K$2),30),"")</f>
        <v>46203</v>
      </c>
      <c r="B1563" s="23" t="s">
        <v>211</v>
      </c>
      <c r="C1563" s="29"/>
      <c r="D1563" s="29"/>
      <c r="E1563" s="29" t="str">
        <f t="shared" si="207"/>
        <v/>
      </c>
      <c r="F1563" s="29">
        <f>COUNTIFS(실시간콜입력!$B:$B,$A1563,실시간콜입력!$E:$E,"A",실시간콜입력!$G:$G,$B1563,실시간콜입력!$O:$O,"방문완료")+COUNTIFS(실시간콜입력!$B:$B,$A1563,실시간콜입력!$E:$E,"A",실시간콜입력!$H:$H,$B1563,실시간콜입력!$O:$O,"방문완료")</f>
        <v>0</v>
      </c>
      <c r="G1563" s="29">
        <f>COUNTIFS(실시간콜입력!$B:$B,$A1563,실시간콜입력!$E:$E,"B",실시간콜입력!$G:$G,$B1563,실시간콜입력!$O:$O,"방문완료")+COUNTIFS(실시간콜입력!$B:$B,$A1563,실시간콜입력!$E:$E,"B",실시간콜입력!$H:$H,$B1563,실시간콜입력!$O:$O,"방문완료")</f>
        <v>0</v>
      </c>
      <c r="H1563" s="29">
        <f>COUNTIFS(실시간콜입력!$B:$B,$A1563,실시간콜입력!$E:$E,"C",실시간콜입력!$G:$G,$B1563,실시간콜입력!$O:$O,"방문완료")+COUNTIFS(실시간콜입력!$B:$B,$A1563,실시간콜입력!$E:$E,"C",실시간콜입력!$H:$H,$B1563,실시간콜입력!$O:$O,"방문완료")</f>
        <v>0</v>
      </c>
      <c r="I1563" s="29">
        <f>COUNTIFS(실시간콜입력!$B:$B,$A1563,실시간콜입력!$E:$E,"D",실시간콜입력!$G:$G,$B1563,실시간콜입력!$O:$O,"방문완료")+COUNTIFS(실시간콜입력!$B:$B,$A1563,실시간콜입력!$E:$E,"D",실시간콜입력!$H:$H,$B1563,실시간콜입력!$O:$O,"방문완료")</f>
        <v>0</v>
      </c>
      <c r="J1563" s="29">
        <f>COUNTIFS(실시간콜입력!$B:$B,$A1563,실시간콜입력!$E:$E,"E",실시간콜입력!$G:$G,$B1563,실시간콜입력!$O:$O,"방문완료")+COUNTIFS(실시간콜입력!$B:$B,$A1563,실시간콜입력!$E:$E,"E",실시간콜입력!$H:$H,$B1563,실시간콜입력!$O:$O,"방문완료")</f>
        <v>0</v>
      </c>
      <c r="K1563" s="29">
        <f t="shared" si="208"/>
        <v>0</v>
      </c>
      <c r="L1563" s="27">
        <f>SUMIFS(실시간콜입력!$K:$K,실시간콜입력!$B:$B,$A1563,실시간콜입력!$G:$G,$B1563,실시간콜입력!$O:$O,"방문완료")+SUMIFS(실시간콜입력!$L:$L,실시간콜입력!$B:$B,$A1563,실시간콜입력!$H:$H,$B1563,실시간콜입력!$O:$O,"방문완료")</f>
        <v>0</v>
      </c>
      <c r="M1563" s="29" t="str">
        <f t="shared" si="209"/>
        <v/>
      </c>
      <c r="N1563" s="29"/>
    </row>
    <row r="1564" spans="1:14" ht="19.5" hidden="1" customHeight="1" outlineLevel="1">
      <c r="A1564" s="30">
        <f>IF(30&lt;=DAY(DATE(YEAR(설정_코스수당!$K$2),MONTH(설정_코스수당!$K$2)+1,0)),DATE(YEAR(설정_코스수당!$K$2),MONTH(설정_코스수당!$K$2),30),"")</f>
        <v>46203</v>
      </c>
      <c r="B1564" s="29" t="s">
        <v>212</v>
      </c>
      <c r="C1564" s="29"/>
      <c r="D1564" s="29"/>
      <c r="E1564" s="29" t="str">
        <f t="shared" si="207"/>
        <v/>
      </c>
      <c r="F1564" s="29">
        <f>COUNTIFS(실시간콜입력!$B:$B,$A1564,실시간콜입력!$E:$E,"A",실시간콜입력!$G:$G,$B1564,실시간콜입력!$O:$O,"방문완료")+COUNTIFS(실시간콜입력!$B:$B,$A1564,실시간콜입력!$E:$E,"A",실시간콜입력!$H:$H,$B1564,실시간콜입력!$O:$O,"방문완료")</f>
        <v>0</v>
      </c>
      <c r="G1564" s="29">
        <f>COUNTIFS(실시간콜입력!$B:$B,$A1564,실시간콜입력!$E:$E,"B",실시간콜입력!$G:$G,$B1564,실시간콜입력!$O:$O,"방문완료")+COUNTIFS(실시간콜입력!$B:$B,$A1564,실시간콜입력!$E:$E,"B",실시간콜입력!$H:$H,$B1564,실시간콜입력!$O:$O,"방문완료")</f>
        <v>0</v>
      </c>
      <c r="H1564" s="29">
        <f>COUNTIFS(실시간콜입력!$B:$B,$A1564,실시간콜입력!$E:$E,"C",실시간콜입력!$G:$G,$B1564,실시간콜입력!$O:$O,"방문완료")+COUNTIFS(실시간콜입력!$B:$B,$A1564,실시간콜입력!$E:$E,"C",실시간콜입력!$H:$H,$B1564,실시간콜입력!$O:$O,"방문완료")</f>
        <v>0</v>
      </c>
      <c r="I1564" s="29">
        <f>COUNTIFS(실시간콜입력!$B:$B,$A1564,실시간콜입력!$E:$E,"D",실시간콜입력!$G:$G,$B1564,실시간콜입력!$O:$O,"방문완료")+COUNTIFS(실시간콜입력!$B:$B,$A1564,실시간콜입력!$E:$E,"D",실시간콜입력!$H:$H,$B1564,실시간콜입력!$O:$O,"방문완료")</f>
        <v>0</v>
      </c>
      <c r="J1564" s="29">
        <f>COUNTIFS(실시간콜입력!$B:$B,$A1564,실시간콜입력!$E:$E,"E",실시간콜입력!$G:$G,$B1564,실시간콜입력!$O:$O,"방문완료")+COUNTIFS(실시간콜입력!$B:$B,$A1564,실시간콜입력!$E:$E,"E",실시간콜입력!$H:$H,$B1564,실시간콜입력!$O:$O,"방문완료")</f>
        <v>0</v>
      </c>
      <c r="K1564" s="29">
        <f t="shared" si="208"/>
        <v>0</v>
      </c>
      <c r="L1564" s="33">
        <f>SUMIFS(실시간콜입력!$K:$K,실시간콜입력!$B:$B,$A1564,실시간콜입력!$G:$G,$B1564,실시간콜입력!$O:$O,"방문완료")+SUMIFS(실시간콜입력!$L:$L,실시간콜입력!$B:$B,$A1564,실시간콜입력!$H:$H,$B1564,실시간콜입력!$O:$O,"방문완료")</f>
        <v>0</v>
      </c>
      <c r="M1564" s="29" t="str">
        <f t="shared" si="209"/>
        <v/>
      </c>
      <c r="N1564" s="29"/>
    </row>
    <row r="1565" spans="1:14" ht="21.75" customHeight="1" collapsed="1">
      <c r="A1565" s="64" t="str">
        <f>IF(31&lt;=DAY(DATE(YEAR(설정_코스수당!$K$2),MONTH(설정_코스수당!$K$2)+1,0)),DATE(YEAR(설정_코스수당!$K$2),MONTH(설정_코스수당!$K$2),31),"")</f>
        <v/>
      </c>
      <c r="B1565" s="65" t="str">
        <f>IF(A1565="","","출근 "&amp;COUNTIF(C1567:C1616,"&lt;&gt;")&amp;"명")</f>
        <v/>
      </c>
      <c r="C1565" s="65" t="str">
        <f>IF(A1565="","","만근 "&amp;COUNTIF(M1567:M1616,"인정")&amp;"명")</f>
        <v/>
      </c>
      <c r="D1565" s="65" t="str">
        <f>IFERROR("평균 "&amp;TEXT(AVERAGEIF(E1567:E1616,"&gt;0",E1567:E1616),"0.0")&amp;"h","평균 -")</f>
        <v>평균 -</v>
      </c>
      <c r="E1565" s="65" t="s">
        <v>163</v>
      </c>
      <c r="F1565" s="65">
        <f t="shared" ref="F1565:L1565" si="210">SUM(F1567:F1616)</f>
        <v>0</v>
      </c>
      <c r="G1565" s="65">
        <f t="shared" si="210"/>
        <v>0</v>
      </c>
      <c r="H1565" s="65">
        <f t="shared" si="210"/>
        <v>0</v>
      </c>
      <c r="I1565" s="65">
        <f t="shared" si="210"/>
        <v>0</v>
      </c>
      <c r="J1565" s="65">
        <f t="shared" si="210"/>
        <v>0</v>
      </c>
      <c r="K1565" s="65">
        <f t="shared" si="210"/>
        <v>0</v>
      </c>
      <c r="L1565" s="66">
        <f t="shared" si="210"/>
        <v>0</v>
      </c>
      <c r="M1565" s="65">
        <f>COUNTIF(M1567:M1616,"인정")</f>
        <v>0</v>
      </c>
      <c r="N1565" s="65" t="s">
        <v>164</v>
      </c>
    </row>
    <row r="1566" spans="1:14" ht="19.5" hidden="1" customHeight="1" outlineLevel="1">
      <c r="A1566" s="20" t="s">
        <v>42</v>
      </c>
      <c r="B1566" s="20" t="s">
        <v>152</v>
      </c>
      <c r="C1566" s="20" t="s">
        <v>153</v>
      </c>
      <c r="D1566" s="20" t="s">
        <v>154</v>
      </c>
      <c r="E1566" s="20" t="s">
        <v>155</v>
      </c>
      <c r="F1566" s="20" t="s">
        <v>156</v>
      </c>
      <c r="G1566" s="20" t="s">
        <v>157</v>
      </c>
      <c r="H1566" s="20" t="s">
        <v>158</v>
      </c>
      <c r="I1566" s="20" t="s">
        <v>159</v>
      </c>
      <c r="J1566" s="20" t="s">
        <v>160</v>
      </c>
      <c r="K1566" s="20" t="s">
        <v>118</v>
      </c>
      <c r="L1566" s="20" t="s">
        <v>161</v>
      </c>
      <c r="M1566" s="20" t="s">
        <v>162</v>
      </c>
      <c r="N1566" s="20" t="s">
        <v>95</v>
      </c>
    </row>
    <row r="1567" spans="1:14" ht="19.5" hidden="1" customHeight="1" outlineLevel="1">
      <c r="A1567" s="24" t="str">
        <f>IF(31&lt;=DAY(DATE(YEAR(설정_코스수당!$K$2),MONTH(설정_코스수당!$K$2)+1,0)),DATE(YEAR(설정_코스수당!$K$2),MONTH(설정_코스수당!$K$2),31),"")</f>
        <v/>
      </c>
      <c r="B1567" s="23" t="s">
        <v>47</v>
      </c>
      <c r="C1567" s="23"/>
      <c r="D1567" s="23"/>
      <c r="E1567" s="23" t="str">
        <f t="shared" ref="E1567:E1598" si="211">IF(AND(C1567&lt;&gt;"",D1567&lt;&gt;""),IF(D1567&lt;C1567,D1567+1-C1567,D1567-C1567)*24,"")</f>
        <v/>
      </c>
      <c r="F1567" s="23">
        <f>COUNTIFS(실시간콜입력!$B:$B,$A1567,실시간콜입력!$E:$E,"A",실시간콜입력!$G:$G,$B1567,실시간콜입력!$O:$O,"방문완료")+COUNTIFS(실시간콜입력!$B:$B,$A1567,실시간콜입력!$E:$E,"A",실시간콜입력!$H:$H,$B1567,실시간콜입력!$O:$O,"방문완료")</f>
        <v>0</v>
      </c>
      <c r="G1567" s="23">
        <f>COUNTIFS(실시간콜입력!$B:$B,$A1567,실시간콜입력!$E:$E,"B",실시간콜입력!$G:$G,$B1567,실시간콜입력!$O:$O,"방문완료")+COUNTIFS(실시간콜입력!$B:$B,$A1567,실시간콜입력!$E:$E,"B",실시간콜입력!$H:$H,$B1567,실시간콜입력!$O:$O,"방문완료")</f>
        <v>0</v>
      </c>
      <c r="H1567" s="23">
        <f>COUNTIFS(실시간콜입력!$B:$B,$A1567,실시간콜입력!$E:$E,"C",실시간콜입력!$G:$G,$B1567,실시간콜입력!$O:$O,"방문완료")+COUNTIFS(실시간콜입력!$B:$B,$A1567,실시간콜입력!$E:$E,"C",실시간콜입력!$H:$H,$B1567,실시간콜입력!$O:$O,"방문완료")</f>
        <v>0</v>
      </c>
      <c r="I1567" s="23">
        <f>COUNTIFS(실시간콜입력!$B:$B,$A1567,실시간콜입력!$E:$E,"D",실시간콜입력!$G:$G,$B1567,실시간콜입력!$O:$O,"방문완료")+COUNTIFS(실시간콜입력!$B:$B,$A1567,실시간콜입력!$E:$E,"D",실시간콜입력!$H:$H,$B1567,실시간콜입력!$O:$O,"방문완료")</f>
        <v>0</v>
      </c>
      <c r="J1567" s="23">
        <f>COUNTIFS(실시간콜입력!$B:$B,$A1567,실시간콜입력!$E:$E,"E",실시간콜입력!$G:$G,$B1567,실시간콜입력!$O:$O,"방문완료")+COUNTIFS(실시간콜입력!$B:$B,$A1567,실시간콜입력!$E:$E,"E",실시간콜입력!$H:$H,$B1567,실시간콜입력!$O:$O,"방문완료")</f>
        <v>0</v>
      </c>
      <c r="K1567" s="23">
        <f t="shared" ref="K1567:K1598" si="212">SUM(F1567:J1567)</f>
        <v>0</v>
      </c>
      <c r="L1567" s="27">
        <f>SUMIFS(실시간콜입력!$K:$K,실시간콜입력!$B:$B,$A1567,실시간콜입력!$G:$G,$B1567,실시간콜입력!$O:$O,"방문완료")+SUMIFS(실시간콜입력!$L:$L,실시간콜입력!$B:$B,$A1567,실시간콜입력!$H:$H,$B1567,실시간콜입력!$O:$O,"방문완료")</f>
        <v>0</v>
      </c>
      <c r="M1567" s="23" t="str">
        <f t="shared" ref="M1567:M1598" si="213">IF(AND(ISNUMBER(E1567),E1567&gt;=8),"인정","")</f>
        <v/>
      </c>
      <c r="N1567" s="23"/>
    </row>
    <row r="1568" spans="1:14" ht="19.5" hidden="1" customHeight="1" outlineLevel="1">
      <c r="A1568" s="30" t="str">
        <f>IF(31&lt;=DAY(DATE(YEAR(설정_코스수당!$K$2),MONTH(설정_코스수당!$K$2)+1,0)),DATE(YEAR(설정_코스수당!$K$2),MONTH(설정_코스수당!$K$2),31),"")</f>
        <v/>
      </c>
      <c r="B1568" s="29" t="s">
        <v>48</v>
      </c>
      <c r="C1568" s="29"/>
      <c r="D1568" s="29"/>
      <c r="E1568" s="29" t="str">
        <f t="shared" si="211"/>
        <v/>
      </c>
      <c r="F1568" s="29">
        <f>COUNTIFS(실시간콜입력!$B:$B,$A1568,실시간콜입력!$E:$E,"A",실시간콜입력!$G:$G,$B1568,실시간콜입력!$O:$O,"방문완료")+COUNTIFS(실시간콜입력!$B:$B,$A1568,실시간콜입력!$E:$E,"A",실시간콜입력!$H:$H,$B1568,실시간콜입력!$O:$O,"방문완료")</f>
        <v>0</v>
      </c>
      <c r="G1568" s="29">
        <f>COUNTIFS(실시간콜입력!$B:$B,$A1568,실시간콜입력!$E:$E,"B",실시간콜입력!$G:$G,$B1568,실시간콜입력!$O:$O,"방문완료")+COUNTIFS(실시간콜입력!$B:$B,$A1568,실시간콜입력!$E:$E,"B",실시간콜입력!$H:$H,$B1568,실시간콜입력!$O:$O,"방문완료")</f>
        <v>0</v>
      </c>
      <c r="H1568" s="29">
        <f>COUNTIFS(실시간콜입력!$B:$B,$A1568,실시간콜입력!$E:$E,"C",실시간콜입력!$G:$G,$B1568,실시간콜입력!$O:$O,"방문완료")+COUNTIFS(실시간콜입력!$B:$B,$A1568,실시간콜입력!$E:$E,"C",실시간콜입력!$H:$H,$B1568,실시간콜입력!$O:$O,"방문완료")</f>
        <v>0</v>
      </c>
      <c r="I1568" s="29">
        <f>COUNTIFS(실시간콜입력!$B:$B,$A1568,실시간콜입력!$E:$E,"D",실시간콜입력!$G:$G,$B1568,실시간콜입력!$O:$O,"방문완료")+COUNTIFS(실시간콜입력!$B:$B,$A1568,실시간콜입력!$E:$E,"D",실시간콜입력!$H:$H,$B1568,실시간콜입력!$O:$O,"방문완료")</f>
        <v>0</v>
      </c>
      <c r="J1568" s="29">
        <f>COUNTIFS(실시간콜입력!$B:$B,$A1568,실시간콜입력!$E:$E,"E",실시간콜입력!$G:$G,$B1568,실시간콜입력!$O:$O,"방문완료")+COUNTIFS(실시간콜입력!$B:$B,$A1568,실시간콜입력!$E:$E,"E",실시간콜입력!$H:$H,$B1568,실시간콜입력!$O:$O,"방문완료")</f>
        <v>0</v>
      </c>
      <c r="K1568" s="29">
        <f t="shared" si="212"/>
        <v>0</v>
      </c>
      <c r="L1568" s="33">
        <f>SUMIFS(실시간콜입력!$K:$K,실시간콜입력!$B:$B,$A1568,실시간콜입력!$G:$G,$B1568,실시간콜입력!$O:$O,"방문완료")+SUMIFS(실시간콜입력!$L:$L,실시간콜입력!$B:$B,$A1568,실시간콜입력!$H:$H,$B1568,실시간콜입력!$O:$O,"방문완료")</f>
        <v>0</v>
      </c>
      <c r="M1568" s="29" t="str">
        <f t="shared" si="213"/>
        <v/>
      </c>
      <c r="N1568" s="29"/>
    </row>
    <row r="1569" spans="1:14" ht="19.5" hidden="1" customHeight="1" outlineLevel="1">
      <c r="A1569" s="24" t="str">
        <f>IF(31&lt;=DAY(DATE(YEAR(설정_코스수당!$K$2),MONTH(설정_코스수당!$K$2)+1,0)),DATE(YEAR(설정_코스수당!$K$2),MONTH(설정_코스수당!$K$2),31),"")</f>
        <v/>
      </c>
      <c r="B1569" s="23" t="s">
        <v>165</v>
      </c>
      <c r="C1569" s="29"/>
      <c r="D1569" s="29"/>
      <c r="E1569" s="29" t="str">
        <f t="shared" si="211"/>
        <v/>
      </c>
      <c r="F1569" s="29">
        <f>COUNTIFS(실시간콜입력!$B:$B,$A1569,실시간콜입력!$E:$E,"A",실시간콜입력!$G:$G,$B1569,실시간콜입력!$O:$O,"방문완료")+COUNTIFS(실시간콜입력!$B:$B,$A1569,실시간콜입력!$E:$E,"A",실시간콜입력!$H:$H,$B1569,실시간콜입력!$O:$O,"방문완료")</f>
        <v>0</v>
      </c>
      <c r="G1569" s="29">
        <f>COUNTIFS(실시간콜입력!$B:$B,$A1569,실시간콜입력!$E:$E,"B",실시간콜입력!$G:$G,$B1569,실시간콜입력!$O:$O,"방문완료")+COUNTIFS(실시간콜입력!$B:$B,$A1569,실시간콜입력!$E:$E,"B",실시간콜입력!$H:$H,$B1569,실시간콜입력!$O:$O,"방문완료")</f>
        <v>0</v>
      </c>
      <c r="H1569" s="29">
        <f>COUNTIFS(실시간콜입력!$B:$B,$A1569,실시간콜입력!$E:$E,"C",실시간콜입력!$G:$G,$B1569,실시간콜입력!$O:$O,"방문완료")+COUNTIFS(실시간콜입력!$B:$B,$A1569,실시간콜입력!$E:$E,"C",실시간콜입력!$H:$H,$B1569,실시간콜입력!$O:$O,"방문완료")</f>
        <v>0</v>
      </c>
      <c r="I1569" s="29">
        <f>COUNTIFS(실시간콜입력!$B:$B,$A1569,실시간콜입력!$E:$E,"D",실시간콜입력!$G:$G,$B1569,실시간콜입력!$O:$O,"방문완료")+COUNTIFS(실시간콜입력!$B:$B,$A1569,실시간콜입력!$E:$E,"D",실시간콜입력!$H:$H,$B1569,실시간콜입력!$O:$O,"방문완료")</f>
        <v>0</v>
      </c>
      <c r="J1569" s="29">
        <f>COUNTIFS(실시간콜입력!$B:$B,$A1569,실시간콜입력!$E:$E,"E",실시간콜입력!$G:$G,$B1569,실시간콜입력!$O:$O,"방문완료")+COUNTIFS(실시간콜입력!$B:$B,$A1569,실시간콜입력!$E:$E,"E",실시간콜입력!$H:$H,$B1569,실시간콜입력!$O:$O,"방문완료")</f>
        <v>0</v>
      </c>
      <c r="K1569" s="29">
        <f t="shared" si="212"/>
        <v>0</v>
      </c>
      <c r="L1569" s="27">
        <f>SUMIFS(실시간콜입력!$K:$K,실시간콜입력!$B:$B,$A1569,실시간콜입력!$G:$G,$B1569,실시간콜입력!$O:$O,"방문완료")+SUMIFS(실시간콜입력!$L:$L,실시간콜입력!$B:$B,$A1569,실시간콜입력!$H:$H,$B1569,실시간콜입력!$O:$O,"방문완료")</f>
        <v>0</v>
      </c>
      <c r="M1569" s="29" t="str">
        <f t="shared" si="213"/>
        <v/>
      </c>
      <c r="N1569" s="29"/>
    </row>
    <row r="1570" spans="1:14" ht="19.5" hidden="1" customHeight="1" outlineLevel="1">
      <c r="A1570" s="30" t="str">
        <f>IF(31&lt;=DAY(DATE(YEAR(설정_코스수당!$K$2),MONTH(설정_코스수당!$K$2)+1,0)),DATE(YEAR(설정_코스수당!$K$2),MONTH(설정_코스수당!$K$2),31),"")</f>
        <v/>
      </c>
      <c r="B1570" s="29" t="s">
        <v>166</v>
      </c>
      <c r="C1570" s="29"/>
      <c r="D1570" s="29"/>
      <c r="E1570" s="29" t="str">
        <f t="shared" si="211"/>
        <v/>
      </c>
      <c r="F1570" s="29">
        <f>COUNTIFS(실시간콜입력!$B:$B,$A1570,실시간콜입력!$E:$E,"A",실시간콜입력!$G:$G,$B1570,실시간콜입력!$O:$O,"방문완료")+COUNTIFS(실시간콜입력!$B:$B,$A1570,실시간콜입력!$E:$E,"A",실시간콜입력!$H:$H,$B1570,실시간콜입력!$O:$O,"방문완료")</f>
        <v>0</v>
      </c>
      <c r="G1570" s="29">
        <f>COUNTIFS(실시간콜입력!$B:$B,$A1570,실시간콜입력!$E:$E,"B",실시간콜입력!$G:$G,$B1570,실시간콜입력!$O:$O,"방문완료")+COUNTIFS(실시간콜입력!$B:$B,$A1570,실시간콜입력!$E:$E,"B",실시간콜입력!$H:$H,$B1570,실시간콜입력!$O:$O,"방문완료")</f>
        <v>0</v>
      </c>
      <c r="H1570" s="29">
        <f>COUNTIFS(실시간콜입력!$B:$B,$A1570,실시간콜입력!$E:$E,"C",실시간콜입력!$G:$G,$B1570,실시간콜입력!$O:$O,"방문완료")+COUNTIFS(실시간콜입력!$B:$B,$A1570,실시간콜입력!$E:$E,"C",실시간콜입력!$H:$H,$B1570,실시간콜입력!$O:$O,"방문완료")</f>
        <v>0</v>
      </c>
      <c r="I1570" s="29">
        <f>COUNTIFS(실시간콜입력!$B:$B,$A1570,실시간콜입력!$E:$E,"D",실시간콜입력!$G:$G,$B1570,실시간콜입력!$O:$O,"방문완료")+COUNTIFS(실시간콜입력!$B:$B,$A1570,실시간콜입력!$E:$E,"D",실시간콜입력!$H:$H,$B1570,실시간콜입력!$O:$O,"방문완료")</f>
        <v>0</v>
      </c>
      <c r="J1570" s="29">
        <f>COUNTIFS(실시간콜입력!$B:$B,$A1570,실시간콜입력!$E:$E,"E",실시간콜입력!$G:$G,$B1570,실시간콜입력!$O:$O,"방문완료")+COUNTIFS(실시간콜입력!$B:$B,$A1570,실시간콜입력!$E:$E,"E",실시간콜입력!$H:$H,$B1570,실시간콜입력!$O:$O,"방문완료")</f>
        <v>0</v>
      </c>
      <c r="K1570" s="29">
        <f t="shared" si="212"/>
        <v>0</v>
      </c>
      <c r="L1570" s="33">
        <f>SUMIFS(실시간콜입력!$K:$K,실시간콜입력!$B:$B,$A1570,실시간콜입력!$G:$G,$B1570,실시간콜입력!$O:$O,"방문완료")+SUMIFS(실시간콜입력!$L:$L,실시간콜입력!$B:$B,$A1570,실시간콜입력!$H:$H,$B1570,실시간콜입력!$O:$O,"방문완료")</f>
        <v>0</v>
      </c>
      <c r="M1570" s="29" t="str">
        <f t="shared" si="213"/>
        <v/>
      </c>
      <c r="N1570" s="29"/>
    </row>
    <row r="1571" spans="1:14" ht="19.5" hidden="1" customHeight="1" outlineLevel="1">
      <c r="A1571" s="24" t="str">
        <f>IF(31&lt;=DAY(DATE(YEAR(설정_코스수당!$K$2),MONTH(설정_코스수당!$K$2)+1,0)),DATE(YEAR(설정_코스수당!$K$2),MONTH(설정_코스수당!$K$2),31),"")</f>
        <v/>
      </c>
      <c r="B1571" s="23" t="s">
        <v>167</v>
      </c>
      <c r="C1571" s="29"/>
      <c r="D1571" s="29"/>
      <c r="E1571" s="29" t="str">
        <f t="shared" si="211"/>
        <v/>
      </c>
      <c r="F1571" s="29">
        <f>COUNTIFS(실시간콜입력!$B:$B,$A1571,실시간콜입력!$E:$E,"A",실시간콜입력!$G:$G,$B1571,실시간콜입력!$O:$O,"방문완료")+COUNTIFS(실시간콜입력!$B:$B,$A1571,실시간콜입력!$E:$E,"A",실시간콜입력!$H:$H,$B1571,실시간콜입력!$O:$O,"방문완료")</f>
        <v>0</v>
      </c>
      <c r="G1571" s="29">
        <f>COUNTIFS(실시간콜입력!$B:$B,$A1571,실시간콜입력!$E:$E,"B",실시간콜입력!$G:$G,$B1571,실시간콜입력!$O:$O,"방문완료")+COUNTIFS(실시간콜입력!$B:$B,$A1571,실시간콜입력!$E:$E,"B",실시간콜입력!$H:$H,$B1571,실시간콜입력!$O:$O,"방문완료")</f>
        <v>0</v>
      </c>
      <c r="H1571" s="29">
        <f>COUNTIFS(실시간콜입력!$B:$B,$A1571,실시간콜입력!$E:$E,"C",실시간콜입력!$G:$G,$B1571,실시간콜입력!$O:$O,"방문완료")+COUNTIFS(실시간콜입력!$B:$B,$A1571,실시간콜입력!$E:$E,"C",실시간콜입력!$H:$H,$B1571,실시간콜입력!$O:$O,"방문완료")</f>
        <v>0</v>
      </c>
      <c r="I1571" s="29">
        <f>COUNTIFS(실시간콜입력!$B:$B,$A1571,실시간콜입력!$E:$E,"D",실시간콜입력!$G:$G,$B1571,실시간콜입력!$O:$O,"방문완료")+COUNTIFS(실시간콜입력!$B:$B,$A1571,실시간콜입력!$E:$E,"D",실시간콜입력!$H:$H,$B1571,실시간콜입력!$O:$O,"방문완료")</f>
        <v>0</v>
      </c>
      <c r="J1571" s="29">
        <f>COUNTIFS(실시간콜입력!$B:$B,$A1571,실시간콜입력!$E:$E,"E",실시간콜입력!$G:$G,$B1571,실시간콜입력!$O:$O,"방문완료")+COUNTIFS(실시간콜입력!$B:$B,$A1571,실시간콜입력!$E:$E,"E",실시간콜입력!$H:$H,$B1571,실시간콜입력!$O:$O,"방문완료")</f>
        <v>0</v>
      </c>
      <c r="K1571" s="29">
        <f t="shared" si="212"/>
        <v>0</v>
      </c>
      <c r="L1571" s="27">
        <f>SUMIFS(실시간콜입력!$K:$K,실시간콜입력!$B:$B,$A1571,실시간콜입력!$G:$G,$B1571,실시간콜입력!$O:$O,"방문완료")+SUMIFS(실시간콜입력!$L:$L,실시간콜입력!$B:$B,$A1571,실시간콜입력!$H:$H,$B1571,실시간콜입력!$O:$O,"방문완료")</f>
        <v>0</v>
      </c>
      <c r="M1571" s="29" t="str">
        <f t="shared" si="213"/>
        <v/>
      </c>
      <c r="N1571" s="29"/>
    </row>
    <row r="1572" spans="1:14" ht="19.5" hidden="1" customHeight="1" outlineLevel="1">
      <c r="A1572" s="30" t="str">
        <f>IF(31&lt;=DAY(DATE(YEAR(설정_코스수당!$K$2),MONTH(설정_코스수당!$K$2)+1,0)),DATE(YEAR(설정_코스수당!$K$2),MONTH(설정_코스수당!$K$2),31),"")</f>
        <v/>
      </c>
      <c r="B1572" s="29" t="s">
        <v>168</v>
      </c>
      <c r="C1572" s="29"/>
      <c r="D1572" s="29"/>
      <c r="E1572" s="29" t="str">
        <f t="shared" si="211"/>
        <v/>
      </c>
      <c r="F1572" s="29">
        <f>COUNTIFS(실시간콜입력!$B:$B,$A1572,실시간콜입력!$E:$E,"A",실시간콜입력!$G:$G,$B1572,실시간콜입력!$O:$O,"방문완료")+COUNTIFS(실시간콜입력!$B:$B,$A1572,실시간콜입력!$E:$E,"A",실시간콜입력!$H:$H,$B1572,실시간콜입력!$O:$O,"방문완료")</f>
        <v>0</v>
      </c>
      <c r="G1572" s="29">
        <f>COUNTIFS(실시간콜입력!$B:$B,$A1572,실시간콜입력!$E:$E,"B",실시간콜입력!$G:$G,$B1572,실시간콜입력!$O:$O,"방문완료")+COUNTIFS(실시간콜입력!$B:$B,$A1572,실시간콜입력!$E:$E,"B",실시간콜입력!$H:$H,$B1572,실시간콜입력!$O:$O,"방문완료")</f>
        <v>0</v>
      </c>
      <c r="H1572" s="29">
        <f>COUNTIFS(실시간콜입력!$B:$B,$A1572,실시간콜입력!$E:$E,"C",실시간콜입력!$G:$G,$B1572,실시간콜입력!$O:$O,"방문완료")+COUNTIFS(실시간콜입력!$B:$B,$A1572,실시간콜입력!$E:$E,"C",실시간콜입력!$H:$H,$B1572,실시간콜입력!$O:$O,"방문완료")</f>
        <v>0</v>
      </c>
      <c r="I1572" s="29">
        <f>COUNTIFS(실시간콜입력!$B:$B,$A1572,실시간콜입력!$E:$E,"D",실시간콜입력!$G:$G,$B1572,실시간콜입력!$O:$O,"방문완료")+COUNTIFS(실시간콜입력!$B:$B,$A1572,실시간콜입력!$E:$E,"D",실시간콜입력!$H:$H,$B1572,실시간콜입력!$O:$O,"방문완료")</f>
        <v>0</v>
      </c>
      <c r="J1572" s="29">
        <f>COUNTIFS(실시간콜입력!$B:$B,$A1572,실시간콜입력!$E:$E,"E",실시간콜입력!$G:$G,$B1572,실시간콜입력!$O:$O,"방문완료")+COUNTIFS(실시간콜입력!$B:$B,$A1572,실시간콜입력!$E:$E,"E",실시간콜입력!$H:$H,$B1572,실시간콜입력!$O:$O,"방문완료")</f>
        <v>0</v>
      </c>
      <c r="K1572" s="29">
        <f t="shared" si="212"/>
        <v>0</v>
      </c>
      <c r="L1572" s="33">
        <f>SUMIFS(실시간콜입력!$K:$K,실시간콜입력!$B:$B,$A1572,실시간콜입력!$G:$G,$B1572,실시간콜입력!$O:$O,"방문완료")+SUMIFS(실시간콜입력!$L:$L,실시간콜입력!$B:$B,$A1572,실시간콜입력!$H:$H,$B1572,실시간콜입력!$O:$O,"방문완료")</f>
        <v>0</v>
      </c>
      <c r="M1572" s="29" t="str">
        <f t="shared" si="213"/>
        <v/>
      </c>
      <c r="N1572" s="29"/>
    </row>
    <row r="1573" spans="1:14" ht="19.5" hidden="1" customHeight="1" outlineLevel="1">
      <c r="A1573" s="24" t="str">
        <f>IF(31&lt;=DAY(DATE(YEAR(설정_코스수당!$K$2),MONTH(설정_코스수당!$K$2)+1,0)),DATE(YEAR(설정_코스수당!$K$2),MONTH(설정_코스수당!$K$2),31),"")</f>
        <v/>
      </c>
      <c r="B1573" s="23" t="s">
        <v>169</v>
      </c>
      <c r="C1573" s="29"/>
      <c r="D1573" s="29"/>
      <c r="E1573" s="29" t="str">
        <f t="shared" si="211"/>
        <v/>
      </c>
      <c r="F1573" s="29">
        <f>COUNTIFS(실시간콜입력!$B:$B,$A1573,실시간콜입력!$E:$E,"A",실시간콜입력!$G:$G,$B1573,실시간콜입력!$O:$O,"방문완료")+COUNTIFS(실시간콜입력!$B:$B,$A1573,실시간콜입력!$E:$E,"A",실시간콜입력!$H:$H,$B1573,실시간콜입력!$O:$O,"방문완료")</f>
        <v>0</v>
      </c>
      <c r="G1573" s="29">
        <f>COUNTIFS(실시간콜입력!$B:$B,$A1573,실시간콜입력!$E:$E,"B",실시간콜입력!$G:$G,$B1573,실시간콜입력!$O:$O,"방문완료")+COUNTIFS(실시간콜입력!$B:$B,$A1573,실시간콜입력!$E:$E,"B",실시간콜입력!$H:$H,$B1573,실시간콜입력!$O:$O,"방문완료")</f>
        <v>0</v>
      </c>
      <c r="H1573" s="29">
        <f>COUNTIFS(실시간콜입력!$B:$B,$A1573,실시간콜입력!$E:$E,"C",실시간콜입력!$G:$G,$B1573,실시간콜입력!$O:$O,"방문완료")+COUNTIFS(실시간콜입력!$B:$B,$A1573,실시간콜입력!$E:$E,"C",실시간콜입력!$H:$H,$B1573,실시간콜입력!$O:$O,"방문완료")</f>
        <v>0</v>
      </c>
      <c r="I1573" s="29">
        <f>COUNTIFS(실시간콜입력!$B:$B,$A1573,실시간콜입력!$E:$E,"D",실시간콜입력!$G:$G,$B1573,실시간콜입력!$O:$O,"방문완료")+COUNTIFS(실시간콜입력!$B:$B,$A1573,실시간콜입력!$E:$E,"D",실시간콜입력!$H:$H,$B1573,실시간콜입력!$O:$O,"방문완료")</f>
        <v>0</v>
      </c>
      <c r="J1573" s="29">
        <f>COUNTIFS(실시간콜입력!$B:$B,$A1573,실시간콜입력!$E:$E,"E",실시간콜입력!$G:$G,$B1573,실시간콜입력!$O:$O,"방문완료")+COUNTIFS(실시간콜입력!$B:$B,$A1573,실시간콜입력!$E:$E,"E",실시간콜입력!$H:$H,$B1573,실시간콜입력!$O:$O,"방문완료")</f>
        <v>0</v>
      </c>
      <c r="K1573" s="29">
        <f t="shared" si="212"/>
        <v>0</v>
      </c>
      <c r="L1573" s="27">
        <f>SUMIFS(실시간콜입력!$K:$K,실시간콜입력!$B:$B,$A1573,실시간콜입력!$G:$G,$B1573,실시간콜입력!$O:$O,"방문완료")+SUMIFS(실시간콜입력!$L:$L,실시간콜입력!$B:$B,$A1573,실시간콜입력!$H:$H,$B1573,실시간콜입력!$O:$O,"방문완료")</f>
        <v>0</v>
      </c>
      <c r="M1573" s="29" t="str">
        <f t="shared" si="213"/>
        <v/>
      </c>
      <c r="N1573" s="29"/>
    </row>
    <row r="1574" spans="1:14" ht="19.5" hidden="1" customHeight="1" outlineLevel="1">
      <c r="A1574" s="30" t="str">
        <f>IF(31&lt;=DAY(DATE(YEAR(설정_코스수당!$K$2),MONTH(설정_코스수당!$K$2)+1,0)),DATE(YEAR(설정_코스수당!$K$2),MONTH(설정_코스수당!$K$2),31),"")</f>
        <v/>
      </c>
      <c r="B1574" s="29" t="s">
        <v>170</v>
      </c>
      <c r="C1574" s="29"/>
      <c r="D1574" s="29"/>
      <c r="E1574" s="29" t="str">
        <f t="shared" si="211"/>
        <v/>
      </c>
      <c r="F1574" s="29">
        <f>COUNTIFS(실시간콜입력!$B:$B,$A1574,실시간콜입력!$E:$E,"A",실시간콜입력!$G:$G,$B1574,실시간콜입력!$O:$O,"방문완료")+COUNTIFS(실시간콜입력!$B:$B,$A1574,실시간콜입력!$E:$E,"A",실시간콜입력!$H:$H,$B1574,실시간콜입력!$O:$O,"방문완료")</f>
        <v>0</v>
      </c>
      <c r="G1574" s="29">
        <f>COUNTIFS(실시간콜입력!$B:$B,$A1574,실시간콜입력!$E:$E,"B",실시간콜입력!$G:$G,$B1574,실시간콜입력!$O:$O,"방문완료")+COUNTIFS(실시간콜입력!$B:$B,$A1574,실시간콜입력!$E:$E,"B",실시간콜입력!$H:$H,$B1574,실시간콜입력!$O:$O,"방문완료")</f>
        <v>0</v>
      </c>
      <c r="H1574" s="29">
        <f>COUNTIFS(실시간콜입력!$B:$B,$A1574,실시간콜입력!$E:$E,"C",실시간콜입력!$G:$G,$B1574,실시간콜입력!$O:$O,"방문완료")+COUNTIFS(실시간콜입력!$B:$B,$A1574,실시간콜입력!$E:$E,"C",실시간콜입력!$H:$H,$B1574,실시간콜입력!$O:$O,"방문완료")</f>
        <v>0</v>
      </c>
      <c r="I1574" s="29">
        <f>COUNTIFS(실시간콜입력!$B:$B,$A1574,실시간콜입력!$E:$E,"D",실시간콜입력!$G:$G,$B1574,실시간콜입력!$O:$O,"방문완료")+COUNTIFS(실시간콜입력!$B:$B,$A1574,실시간콜입력!$E:$E,"D",실시간콜입력!$H:$H,$B1574,실시간콜입력!$O:$O,"방문완료")</f>
        <v>0</v>
      </c>
      <c r="J1574" s="29">
        <f>COUNTIFS(실시간콜입력!$B:$B,$A1574,실시간콜입력!$E:$E,"E",실시간콜입력!$G:$G,$B1574,실시간콜입력!$O:$O,"방문완료")+COUNTIFS(실시간콜입력!$B:$B,$A1574,실시간콜입력!$E:$E,"E",실시간콜입력!$H:$H,$B1574,실시간콜입력!$O:$O,"방문완료")</f>
        <v>0</v>
      </c>
      <c r="K1574" s="29">
        <f t="shared" si="212"/>
        <v>0</v>
      </c>
      <c r="L1574" s="33">
        <f>SUMIFS(실시간콜입력!$K:$K,실시간콜입력!$B:$B,$A1574,실시간콜입력!$G:$G,$B1574,실시간콜입력!$O:$O,"방문완료")+SUMIFS(실시간콜입력!$L:$L,실시간콜입력!$B:$B,$A1574,실시간콜입력!$H:$H,$B1574,실시간콜입력!$O:$O,"방문완료")</f>
        <v>0</v>
      </c>
      <c r="M1574" s="29" t="str">
        <f t="shared" si="213"/>
        <v/>
      </c>
      <c r="N1574" s="29"/>
    </row>
    <row r="1575" spans="1:14" ht="19.5" hidden="1" customHeight="1" outlineLevel="1">
      <c r="A1575" s="24" t="str">
        <f>IF(31&lt;=DAY(DATE(YEAR(설정_코스수당!$K$2),MONTH(설정_코스수당!$K$2)+1,0)),DATE(YEAR(설정_코스수당!$K$2),MONTH(설정_코스수당!$K$2),31),"")</f>
        <v/>
      </c>
      <c r="B1575" s="23" t="s">
        <v>171</v>
      </c>
      <c r="C1575" s="29"/>
      <c r="D1575" s="29"/>
      <c r="E1575" s="29" t="str">
        <f t="shared" si="211"/>
        <v/>
      </c>
      <c r="F1575" s="29">
        <f>COUNTIFS(실시간콜입력!$B:$B,$A1575,실시간콜입력!$E:$E,"A",실시간콜입력!$G:$G,$B1575,실시간콜입력!$O:$O,"방문완료")+COUNTIFS(실시간콜입력!$B:$B,$A1575,실시간콜입력!$E:$E,"A",실시간콜입력!$H:$H,$B1575,실시간콜입력!$O:$O,"방문완료")</f>
        <v>0</v>
      </c>
      <c r="G1575" s="29">
        <f>COUNTIFS(실시간콜입력!$B:$B,$A1575,실시간콜입력!$E:$E,"B",실시간콜입력!$G:$G,$B1575,실시간콜입력!$O:$O,"방문완료")+COUNTIFS(실시간콜입력!$B:$B,$A1575,실시간콜입력!$E:$E,"B",실시간콜입력!$H:$H,$B1575,실시간콜입력!$O:$O,"방문완료")</f>
        <v>0</v>
      </c>
      <c r="H1575" s="29">
        <f>COUNTIFS(실시간콜입력!$B:$B,$A1575,실시간콜입력!$E:$E,"C",실시간콜입력!$G:$G,$B1575,실시간콜입력!$O:$O,"방문완료")+COUNTIFS(실시간콜입력!$B:$B,$A1575,실시간콜입력!$E:$E,"C",실시간콜입력!$H:$H,$B1575,실시간콜입력!$O:$O,"방문완료")</f>
        <v>0</v>
      </c>
      <c r="I1575" s="29">
        <f>COUNTIFS(실시간콜입력!$B:$B,$A1575,실시간콜입력!$E:$E,"D",실시간콜입력!$G:$G,$B1575,실시간콜입력!$O:$O,"방문완료")+COUNTIFS(실시간콜입력!$B:$B,$A1575,실시간콜입력!$E:$E,"D",실시간콜입력!$H:$H,$B1575,실시간콜입력!$O:$O,"방문완료")</f>
        <v>0</v>
      </c>
      <c r="J1575" s="29">
        <f>COUNTIFS(실시간콜입력!$B:$B,$A1575,실시간콜입력!$E:$E,"E",실시간콜입력!$G:$G,$B1575,실시간콜입력!$O:$O,"방문완료")+COUNTIFS(실시간콜입력!$B:$B,$A1575,실시간콜입력!$E:$E,"E",실시간콜입력!$H:$H,$B1575,실시간콜입력!$O:$O,"방문완료")</f>
        <v>0</v>
      </c>
      <c r="K1575" s="29">
        <f t="shared" si="212"/>
        <v>0</v>
      </c>
      <c r="L1575" s="27">
        <f>SUMIFS(실시간콜입력!$K:$K,실시간콜입력!$B:$B,$A1575,실시간콜입력!$G:$G,$B1575,실시간콜입력!$O:$O,"방문완료")+SUMIFS(실시간콜입력!$L:$L,실시간콜입력!$B:$B,$A1575,실시간콜입력!$H:$H,$B1575,실시간콜입력!$O:$O,"방문완료")</f>
        <v>0</v>
      </c>
      <c r="M1575" s="29" t="str">
        <f t="shared" si="213"/>
        <v/>
      </c>
      <c r="N1575" s="29"/>
    </row>
    <row r="1576" spans="1:14" ht="19.5" hidden="1" customHeight="1" outlineLevel="1">
      <c r="A1576" s="30" t="str">
        <f>IF(31&lt;=DAY(DATE(YEAR(설정_코스수당!$K$2),MONTH(설정_코스수당!$K$2)+1,0)),DATE(YEAR(설정_코스수당!$K$2),MONTH(설정_코스수당!$K$2),31),"")</f>
        <v/>
      </c>
      <c r="B1576" s="29" t="s">
        <v>172</v>
      </c>
      <c r="C1576" s="29"/>
      <c r="D1576" s="29"/>
      <c r="E1576" s="29" t="str">
        <f t="shared" si="211"/>
        <v/>
      </c>
      <c r="F1576" s="29">
        <f>COUNTIFS(실시간콜입력!$B:$B,$A1576,실시간콜입력!$E:$E,"A",실시간콜입력!$G:$G,$B1576,실시간콜입력!$O:$O,"방문완료")+COUNTIFS(실시간콜입력!$B:$B,$A1576,실시간콜입력!$E:$E,"A",실시간콜입력!$H:$H,$B1576,실시간콜입력!$O:$O,"방문완료")</f>
        <v>0</v>
      </c>
      <c r="G1576" s="29">
        <f>COUNTIFS(실시간콜입력!$B:$B,$A1576,실시간콜입력!$E:$E,"B",실시간콜입력!$G:$G,$B1576,실시간콜입력!$O:$O,"방문완료")+COUNTIFS(실시간콜입력!$B:$B,$A1576,실시간콜입력!$E:$E,"B",실시간콜입력!$H:$H,$B1576,실시간콜입력!$O:$O,"방문완료")</f>
        <v>0</v>
      </c>
      <c r="H1576" s="29">
        <f>COUNTIFS(실시간콜입력!$B:$B,$A1576,실시간콜입력!$E:$E,"C",실시간콜입력!$G:$G,$B1576,실시간콜입력!$O:$O,"방문완료")+COUNTIFS(실시간콜입력!$B:$B,$A1576,실시간콜입력!$E:$E,"C",실시간콜입력!$H:$H,$B1576,실시간콜입력!$O:$O,"방문완료")</f>
        <v>0</v>
      </c>
      <c r="I1576" s="29">
        <f>COUNTIFS(실시간콜입력!$B:$B,$A1576,실시간콜입력!$E:$E,"D",실시간콜입력!$G:$G,$B1576,실시간콜입력!$O:$O,"방문완료")+COUNTIFS(실시간콜입력!$B:$B,$A1576,실시간콜입력!$E:$E,"D",실시간콜입력!$H:$H,$B1576,실시간콜입력!$O:$O,"방문완료")</f>
        <v>0</v>
      </c>
      <c r="J1576" s="29">
        <f>COUNTIFS(실시간콜입력!$B:$B,$A1576,실시간콜입력!$E:$E,"E",실시간콜입력!$G:$G,$B1576,실시간콜입력!$O:$O,"방문완료")+COUNTIFS(실시간콜입력!$B:$B,$A1576,실시간콜입력!$E:$E,"E",실시간콜입력!$H:$H,$B1576,실시간콜입력!$O:$O,"방문완료")</f>
        <v>0</v>
      </c>
      <c r="K1576" s="29">
        <f t="shared" si="212"/>
        <v>0</v>
      </c>
      <c r="L1576" s="33">
        <f>SUMIFS(실시간콜입력!$K:$K,실시간콜입력!$B:$B,$A1576,실시간콜입력!$G:$G,$B1576,실시간콜입력!$O:$O,"방문완료")+SUMIFS(실시간콜입력!$L:$L,실시간콜입력!$B:$B,$A1576,실시간콜입력!$H:$H,$B1576,실시간콜입력!$O:$O,"방문완료")</f>
        <v>0</v>
      </c>
      <c r="M1576" s="29" t="str">
        <f t="shared" si="213"/>
        <v/>
      </c>
      <c r="N1576" s="29"/>
    </row>
    <row r="1577" spans="1:14" ht="19.5" hidden="1" customHeight="1" outlineLevel="1">
      <c r="A1577" s="24" t="str">
        <f>IF(31&lt;=DAY(DATE(YEAR(설정_코스수당!$K$2),MONTH(설정_코스수당!$K$2)+1,0)),DATE(YEAR(설정_코스수당!$K$2),MONTH(설정_코스수당!$K$2),31),"")</f>
        <v/>
      </c>
      <c r="B1577" s="23" t="s">
        <v>173</v>
      </c>
      <c r="C1577" s="29"/>
      <c r="D1577" s="29"/>
      <c r="E1577" s="29" t="str">
        <f t="shared" si="211"/>
        <v/>
      </c>
      <c r="F1577" s="29">
        <f>COUNTIFS(실시간콜입력!$B:$B,$A1577,실시간콜입력!$E:$E,"A",실시간콜입력!$G:$G,$B1577,실시간콜입력!$O:$O,"방문완료")+COUNTIFS(실시간콜입력!$B:$B,$A1577,실시간콜입력!$E:$E,"A",실시간콜입력!$H:$H,$B1577,실시간콜입력!$O:$O,"방문완료")</f>
        <v>0</v>
      </c>
      <c r="G1577" s="29">
        <f>COUNTIFS(실시간콜입력!$B:$B,$A1577,실시간콜입력!$E:$E,"B",실시간콜입력!$G:$G,$B1577,실시간콜입력!$O:$O,"방문완료")+COUNTIFS(실시간콜입력!$B:$B,$A1577,실시간콜입력!$E:$E,"B",실시간콜입력!$H:$H,$B1577,실시간콜입력!$O:$O,"방문완료")</f>
        <v>0</v>
      </c>
      <c r="H1577" s="29">
        <f>COUNTIFS(실시간콜입력!$B:$B,$A1577,실시간콜입력!$E:$E,"C",실시간콜입력!$G:$G,$B1577,실시간콜입력!$O:$O,"방문완료")+COUNTIFS(실시간콜입력!$B:$B,$A1577,실시간콜입력!$E:$E,"C",실시간콜입력!$H:$H,$B1577,실시간콜입력!$O:$O,"방문완료")</f>
        <v>0</v>
      </c>
      <c r="I1577" s="29">
        <f>COUNTIFS(실시간콜입력!$B:$B,$A1577,실시간콜입력!$E:$E,"D",실시간콜입력!$G:$G,$B1577,실시간콜입력!$O:$O,"방문완료")+COUNTIFS(실시간콜입력!$B:$B,$A1577,실시간콜입력!$E:$E,"D",실시간콜입력!$H:$H,$B1577,실시간콜입력!$O:$O,"방문완료")</f>
        <v>0</v>
      </c>
      <c r="J1577" s="29">
        <f>COUNTIFS(실시간콜입력!$B:$B,$A1577,실시간콜입력!$E:$E,"E",실시간콜입력!$G:$G,$B1577,실시간콜입력!$O:$O,"방문완료")+COUNTIFS(실시간콜입력!$B:$B,$A1577,실시간콜입력!$E:$E,"E",실시간콜입력!$H:$H,$B1577,실시간콜입력!$O:$O,"방문완료")</f>
        <v>0</v>
      </c>
      <c r="K1577" s="29">
        <f t="shared" si="212"/>
        <v>0</v>
      </c>
      <c r="L1577" s="27">
        <f>SUMIFS(실시간콜입력!$K:$K,실시간콜입력!$B:$B,$A1577,실시간콜입력!$G:$G,$B1577,실시간콜입력!$O:$O,"방문완료")+SUMIFS(실시간콜입력!$L:$L,실시간콜입력!$B:$B,$A1577,실시간콜입력!$H:$H,$B1577,실시간콜입력!$O:$O,"방문완료")</f>
        <v>0</v>
      </c>
      <c r="M1577" s="29" t="str">
        <f t="shared" si="213"/>
        <v/>
      </c>
      <c r="N1577" s="29"/>
    </row>
    <row r="1578" spans="1:14" ht="19.5" hidden="1" customHeight="1" outlineLevel="1">
      <c r="A1578" s="30" t="str">
        <f>IF(31&lt;=DAY(DATE(YEAR(설정_코스수당!$K$2),MONTH(설정_코스수당!$K$2)+1,0)),DATE(YEAR(설정_코스수당!$K$2),MONTH(설정_코스수당!$K$2),31),"")</f>
        <v/>
      </c>
      <c r="B1578" s="29" t="s">
        <v>174</v>
      </c>
      <c r="C1578" s="29"/>
      <c r="D1578" s="29"/>
      <c r="E1578" s="29" t="str">
        <f t="shared" si="211"/>
        <v/>
      </c>
      <c r="F1578" s="29">
        <f>COUNTIFS(실시간콜입력!$B:$B,$A1578,실시간콜입력!$E:$E,"A",실시간콜입력!$G:$G,$B1578,실시간콜입력!$O:$O,"방문완료")+COUNTIFS(실시간콜입력!$B:$B,$A1578,실시간콜입력!$E:$E,"A",실시간콜입력!$H:$H,$B1578,실시간콜입력!$O:$O,"방문완료")</f>
        <v>0</v>
      </c>
      <c r="G1578" s="29">
        <f>COUNTIFS(실시간콜입력!$B:$B,$A1578,실시간콜입력!$E:$E,"B",실시간콜입력!$G:$G,$B1578,실시간콜입력!$O:$O,"방문완료")+COUNTIFS(실시간콜입력!$B:$B,$A1578,실시간콜입력!$E:$E,"B",실시간콜입력!$H:$H,$B1578,실시간콜입력!$O:$O,"방문완료")</f>
        <v>0</v>
      </c>
      <c r="H1578" s="29">
        <f>COUNTIFS(실시간콜입력!$B:$B,$A1578,실시간콜입력!$E:$E,"C",실시간콜입력!$G:$G,$B1578,실시간콜입력!$O:$O,"방문완료")+COUNTIFS(실시간콜입력!$B:$B,$A1578,실시간콜입력!$E:$E,"C",실시간콜입력!$H:$H,$B1578,실시간콜입력!$O:$O,"방문완료")</f>
        <v>0</v>
      </c>
      <c r="I1578" s="29">
        <f>COUNTIFS(실시간콜입력!$B:$B,$A1578,실시간콜입력!$E:$E,"D",실시간콜입력!$G:$G,$B1578,실시간콜입력!$O:$O,"방문완료")+COUNTIFS(실시간콜입력!$B:$B,$A1578,실시간콜입력!$E:$E,"D",실시간콜입력!$H:$H,$B1578,실시간콜입력!$O:$O,"방문완료")</f>
        <v>0</v>
      </c>
      <c r="J1578" s="29">
        <f>COUNTIFS(실시간콜입력!$B:$B,$A1578,실시간콜입력!$E:$E,"E",실시간콜입력!$G:$G,$B1578,실시간콜입력!$O:$O,"방문완료")+COUNTIFS(실시간콜입력!$B:$B,$A1578,실시간콜입력!$E:$E,"E",실시간콜입력!$H:$H,$B1578,실시간콜입력!$O:$O,"방문완료")</f>
        <v>0</v>
      </c>
      <c r="K1578" s="29">
        <f t="shared" si="212"/>
        <v>0</v>
      </c>
      <c r="L1578" s="33">
        <f>SUMIFS(실시간콜입력!$K:$K,실시간콜입력!$B:$B,$A1578,실시간콜입력!$G:$G,$B1578,실시간콜입력!$O:$O,"방문완료")+SUMIFS(실시간콜입력!$L:$L,실시간콜입력!$B:$B,$A1578,실시간콜입력!$H:$H,$B1578,실시간콜입력!$O:$O,"방문완료")</f>
        <v>0</v>
      </c>
      <c r="M1578" s="29" t="str">
        <f t="shared" si="213"/>
        <v/>
      </c>
      <c r="N1578" s="29"/>
    </row>
    <row r="1579" spans="1:14" ht="19.5" hidden="1" customHeight="1" outlineLevel="1">
      <c r="A1579" s="24" t="str">
        <f>IF(31&lt;=DAY(DATE(YEAR(설정_코스수당!$K$2),MONTH(설정_코스수당!$K$2)+1,0)),DATE(YEAR(설정_코스수당!$K$2),MONTH(설정_코스수당!$K$2),31),"")</f>
        <v/>
      </c>
      <c r="B1579" s="23" t="s">
        <v>175</v>
      </c>
      <c r="C1579" s="29"/>
      <c r="D1579" s="29"/>
      <c r="E1579" s="29" t="str">
        <f t="shared" si="211"/>
        <v/>
      </c>
      <c r="F1579" s="29">
        <f>COUNTIFS(실시간콜입력!$B:$B,$A1579,실시간콜입력!$E:$E,"A",실시간콜입력!$G:$G,$B1579,실시간콜입력!$O:$O,"방문완료")+COUNTIFS(실시간콜입력!$B:$B,$A1579,실시간콜입력!$E:$E,"A",실시간콜입력!$H:$H,$B1579,실시간콜입력!$O:$O,"방문완료")</f>
        <v>0</v>
      </c>
      <c r="G1579" s="29">
        <f>COUNTIFS(실시간콜입력!$B:$B,$A1579,실시간콜입력!$E:$E,"B",실시간콜입력!$G:$G,$B1579,실시간콜입력!$O:$O,"방문완료")+COUNTIFS(실시간콜입력!$B:$B,$A1579,실시간콜입력!$E:$E,"B",실시간콜입력!$H:$H,$B1579,실시간콜입력!$O:$O,"방문완료")</f>
        <v>0</v>
      </c>
      <c r="H1579" s="29">
        <f>COUNTIFS(실시간콜입력!$B:$B,$A1579,실시간콜입력!$E:$E,"C",실시간콜입력!$G:$G,$B1579,실시간콜입력!$O:$O,"방문완료")+COUNTIFS(실시간콜입력!$B:$B,$A1579,실시간콜입력!$E:$E,"C",실시간콜입력!$H:$H,$B1579,실시간콜입력!$O:$O,"방문완료")</f>
        <v>0</v>
      </c>
      <c r="I1579" s="29">
        <f>COUNTIFS(실시간콜입력!$B:$B,$A1579,실시간콜입력!$E:$E,"D",실시간콜입력!$G:$G,$B1579,실시간콜입력!$O:$O,"방문완료")+COUNTIFS(실시간콜입력!$B:$B,$A1579,실시간콜입력!$E:$E,"D",실시간콜입력!$H:$H,$B1579,실시간콜입력!$O:$O,"방문완료")</f>
        <v>0</v>
      </c>
      <c r="J1579" s="29">
        <f>COUNTIFS(실시간콜입력!$B:$B,$A1579,실시간콜입력!$E:$E,"E",실시간콜입력!$G:$G,$B1579,실시간콜입력!$O:$O,"방문완료")+COUNTIFS(실시간콜입력!$B:$B,$A1579,실시간콜입력!$E:$E,"E",실시간콜입력!$H:$H,$B1579,실시간콜입력!$O:$O,"방문완료")</f>
        <v>0</v>
      </c>
      <c r="K1579" s="29">
        <f t="shared" si="212"/>
        <v>0</v>
      </c>
      <c r="L1579" s="27">
        <f>SUMIFS(실시간콜입력!$K:$K,실시간콜입력!$B:$B,$A1579,실시간콜입력!$G:$G,$B1579,실시간콜입력!$O:$O,"방문완료")+SUMIFS(실시간콜입력!$L:$L,실시간콜입력!$B:$B,$A1579,실시간콜입력!$H:$H,$B1579,실시간콜입력!$O:$O,"방문완료")</f>
        <v>0</v>
      </c>
      <c r="M1579" s="29" t="str">
        <f t="shared" si="213"/>
        <v/>
      </c>
      <c r="N1579" s="29"/>
    </row>
    <row r="1580" spans="1:14" ht="19.5" hidden="1" customHeight="1" outlineLevel="1">
      <c r="A1580" s="30" t="str">
        <f>IF(31&lt;=DAY(DATE(YEAR(설정_코스수당!$K$2),MONTH(설정_코스수당!$K$2)+1,0)),DATE(YEAR(설정_코스수당!$K$2),MONTH(설정_코스수당!$K$2),31),"")</f>
        <v/>
      </c>
      <c r="B1580" s="29" t="s">
        <v>176</v>
      </c>
      <c r="C1580" s="29"/>
      <c r="D1580" s="29"/>
      <c r="E1580" s="29" t="str">
        <f t="shared" si="211"/>
        <v/>
      </c>
      <c r="F1580" s="29">
        <f>COUNTIFS(실시간콜입력!$B:$B,$A1580,실시간콜입력!$E:$E,"A",실시간콜입력!$G:$G,$B1580,실시간콜입력!$O:$O,"방문완료")+COUNTIFS(실시간콜입력!$B:$B,$A1580,실시간콜입력!$E:$E,"A",실시간콜입력!$H:$H,$B1580,실시간콜입력!$O:$O,"방문완료")</f>
        <v>0</v>
      </c>
      <c r="G1580" s="29">
        <f>COUNTIFS(실시간콜입력!$B:$B,$A1580,실시간콜입력!$E:$E,"B",실시간콜입력!$G:$G,$B1580,실시간콜입력!$O:$O,"방문완료")+COUNTIFS(실시간콜입력!$B:$B,$A1580,실시간콜입력!$E:$E,"B",실시간콜입력!$H:$H,$B1580,실시간콜입력!$O:$O,"방문완료")</f>
        <v>0</v>
      </c>
      <c r="H1580" s="29">
        <f>COUNTIFS(실시간콜입력!$B:$B,$A1580,실시간콜입력!$E:$E,"C",실시간콜입력!$G:$G,$B1580,실시간콜입력!$O:$O,"방문완료")+COUNTIFS(실시간콜입력!$B:$B,$A1580,실시간콜입력!$E:$E,"C",실시간콜입력!$H:$H,$B1580,실시간콜입력!$O:$O,"방문완료")</f>
        <v>0</v>
      </c>
      <c r="I1580" s="29">
        <f>COUNTIFS(실시간콜입력!$B:$B,$A1580,실시간콜입력!$E:$E,"D",실시간콜입력!$G:$G,$B1580,실시간콜입력!$O:$O,"방문완료")+COUNTIFS(실시간콜입력!$B:$B,$A1580,실시간콜입력!$E:$E,"D",실시간콜입력!$H:$H,$B1580,실시간콜입력!$O:$O,"방문완료")</f>
        <v>0</v>
      </c>
      <c r="J1580" s="29">
        <f>COUNTIFS(실시간콜입력!$B:$B,$A1580,실시간콜입력!$E:$E,"E",실시간콜입력!$G:$G,$B1580,실시간콜입력!$O:$O,"방문완료")+COUNTIFS(실시간콜입력!$B:$B,$A1580,실시간콜입력!$E:$E,"E",실시간콜입력!$H:$H,$B1580,실시간콜입력!$O:$O,"방문완료")</f>
        <v>0</v>
      </c>
      <c r="K1580" s="29">
        <f t="shared" si="212"/>
        <v>0</v>
      </c>
      <c r="L1580" s="33">
        <f>SUMIFS(실시간콜입력!$K:$K,실시간콜입력!$B:$B,$A1580,실시간콜입력!$G:$G,$B1580,실시간콜입력!$O:$O,"방문완료")+SUMIFS(실시간콜입력!$L:$L,실시간콜입력!$B:$B,$A1580,실시간콜입력!$H:$H,$B1580,실시간콜입력!$O:$O,"방문완료")</f>
        <v>0</v>
      </c>
      <c r="M1580" s="29" t="str">
        <f t="shared" si="213"/>
        <v/>
      </c>
      <c r="N1580" s="29"/>
    </row>
    <row r="1581" spans="1:14" ht="19.5" hidden="1" customHeight="1" outlineLevel="1">
      <c r="A1581" s="24" t="str">
        <f>IF(31&lt;=DAY(DATE(YEAR(설정_코스수당!$K$2),MONTH(설정_코스수당!$K$2)+1,0)),DATE(YEAR(설정_코스수당!$K$2),MONTH(설정_코스수당!$K$2),31),"")</f>
        <v/>
      </c>
      <c r="B1581" s="23" t="s">
        <v>177</v>
      </c>
      <c r="C1581" s="29"/>
      <c r="D1581" s="29"/>
      <c r="E1581" s="29" t="str">
        <f t="shared" si="211"/>
        <v/>
      </c>
      <c r="F1581" s="29">
        <f>COUNTIFS(실시간콜입력!$B:$B,$A1581,실시간콜입력!$E:$E,"A",실시간콜입력!$G:$G,$B1581,실시간콜입력!$O:$O,"방문완료")+COUNTIFS(실시간콜입력!$B:$B,$A1581,실시간콜입력!$E:$E,"A",실시간콜입력!$H:$H,$B1581,실시간콜입력!$O:$O,"방문완료")</f>
        <v>0</v>
      </c>
      <c r="G1581" s="29">
        <f>COUNTIFS(실시간콜입력!$B:$B,$A1581,실시간콜입력!$E:$E,"B",실시간콜입력!$G:$G,$B1581,실시간콜입력!$O:$O,"방문완료")+COUNTIFS(실시간콜입력!$B:$B,$A1581,실시간콜입력!$E:$E,"B",실시간콜입력!$H:$H,$B1581,실시간콜입력!$O:$O,"방문완료")</f>
        <v>0</v>
      </c>
      <c r="H1581" s="29">
        <f>COUNTIFS(실시간콜입력!$B:$B,$A1581,실시간콜입력!$E:$E,"C",실시간콜입력!$G:$G,$B1581,실시간콜입력!$O:$O,"방문완료")+COUNTIFS(실시간콜입력!$B:$B,$A1581,실시간콜입력!$E:$E,"C",실시간콜입력!$H:$H,$B1581,실시간콜입력!$O:$O,"방문완료")</f>
        <v>0</v>
      </c>
      <c r="I1581" s="29">
        <f>COUNTIFS(실시간콜입력!$B:$B,$A1581,실시간콜입력!$E:$E,"D",실시간콜입력!$G:$G,$B1581,실시간콜입력!$O:$O,"방문완료")+COUNTIFS(실시간콜입력!$B:$B,$A1581,실시간콜입력!$E:$E,"D",실시간콜입력!$H:$H,$B1581,실시간콜입력!$O:$O,"방문완료")</f>
        <v>0</v>
      </c>
      <c r="J1581" s="29">
        <f>COUNTIFS(실시간콜입력!$B:$B,$A1581,실시간콜입력!$E:$E,"E",실시간콜입력!$G:$G,$B1581,실시간콜입력!$O:$O,"방문완료")+COUNTIFS(실시간콜입력!$B:$B,$A1581,실시간콜입력!$E:$E,"E",실시간콜입력!$H:$H,$B1581,실시간콜입력!$O:$O,"방문완료")</f>
        <v>0</v>
      </c>
      <c r="K1581" s="29">
        <f t="shared" si="212"/>
        <v>0</v>
      </c>
      <c r="L1581" s="27">
        <f>SUMIFS(실시간콜입력!$K:$K,실시간콜입력!$B:$B,$A1581,실시간콜입력!$G:$G,$B1581,실시간콜입력!$O:$O,"방문완료")+SUMIFS(실시간콜입력!$L:$L,실시간콜입력!$B:$B,$A1581,실시간콜입력!$H:$H,$B1581,실시간콜입력!$O:$O,"방문완료")</f>
        <v>0</v>
      </c>
      <c r="M1581" s="29" t="str">
        <f t="shared" si="213"/>
        <v/>
      </c>
      <c r="N1581" s="29"/>
    </row>
    <row r="1582" spans="1:14" ht="19.5" hidden="1" customHeight="1" outlineLevel="1">
      <c r="A1582" s="30" t="str">
        <f>IF(31&lt;=DAY(DATE(YEAR(설정_코스수당!$K$2),MONTH(설정_코스수당!$K$2)+1,0)),DATE(YEAR(설정_코스수당!$K$2),MONTH(설정_코스수당!$K$2),31),"")</f>
        <v/>
      </c>
      <c r="B1582" s="29" t="s">
        <v>178</v>
      </c>
      <c r="C1582" s="29"/>
      <c r="D1582" s="29"/>
      <c r="E1582" s="29" t="str">
        <f t="shared" si="211"/>
        <v/>
      </c>
      <c r="F1582" s="29">
        <f>COUNTIFS(실시간콜입력!$B:$B,$A1582,실시간콜입력!$E:$E,"A",실시간콜입력!$G:$G,$B1582,실시간콜입력!$O:$O,"방문완료")+COUNTIFS(실시간콜입력!$B:$B,$A1582,실시간콜입력!$E:$E,"A",실시간콜입력!$H:$H,$B1582,실시간콜입력!$O:$O,"방문완료")</f>
        <v>0</v>
      </c>
      <c r="G1582" s="29">
        <f>COUNTIFS(실시간콜입력!$B:$B,$A1582,실시간콜입력!$E:$E,"B",실시간콜입력!$G:$G,$B1582,실시간콜입력!$O:$O,"방문완료")+COUNTIFS(실시간콜입력!$B:$B,$A1582,실시간콜입력!$E:$E,"B",실시간콜입력!$H:$H,$B1582,실시간콜입력!$O:$O,"방문완료")</f>
        <v>0</v>
      </c>
      <c r="H1582" s="29">
        <f>COUNTIFS(실시간콜입력!$B:$B,$A1582,실시간콜입력!$E:$E,"C",실시간콜입력!$G:$G,$B1582,실시간콜입력!$O:$O,"방문완료")+COUNTIFS(실시간콜입력!$B:$B,$A1582,실시간콜입력!$E:$E,"C",실시간콜입력!$H:$H,$B1582,실시간콜입력!$O:$O,"방문완료")</f>
        <v>0</v>
      </c>
      <c r="I1582" s="29">
        <f>COUNTIFS(실시간콜입력!$B:$B,$A1582,실시간콜입력!$E:$E,"D",실시간콜입력!$G:$G,$B1582,실시간콜입력!$O:$O,"방문완료")+COUNTIFS(실시간콜입력!$B:$B,$A1582,실시간콜입력!$E:$E,"D",실시간콜입력!$H:$H,$B1582,실시간콜입력!$O:$O,"방문완료")</f>
        <v>0</v>
      </c>
      <c r="J1582" s="29">
        <f>COUNTIFS(실시간콜입력!$B:$B,$A1582,실시간콜입력!$E:$E,"E",실시간콜입력!$G:$G,$B1582,실시간콜입력!$O:$O,"방문완료")+COUNTIFS(실시간콜입력!$B:$B,$A1582,실시간콜입력!$E:$E,"E",실시간콜입력!$H:$H,$B1582,실시간콜입력!$O:$O,"방문완료")</f>
        <v>0</v>
      </c>
      <c r="K1582" s="29">
        <f t="shared" si="212"/>
        <v>0</v>
      </c>
      <c r="L1582" s="33">
        <f>SUMIFS(실시간콜입력!$K:$K,실시간콜입력!$B:$B,$A1582,실시간콜입력!$G:$G,$B1582,실시간콜입력!$O:$O,"방문완료")+SUMIFS(실시간콜입력!$L:$L,실시간콜입력!$B:$B,$A1582,실시간콜입력!$H:$H,$B1582,실시간콜입력!$O:$O,"방문완료")</f>
        <v>0</v>
      </c>
      <c r="M1582" s="29" t="str">
        <f t="shared" si="213"/>
        <v/>
      </c>
      <c r="N1582" s="29"/>
    </row>
    <row r="1583" spans="1:14" ht="19.5" hidden="1" customHeight="1" outlineLevel="1">
      <c r="A1583" s="24" t="str">
        <f>IF(31&lt;=DAY(DATE(YEAR(설정_코스수당!$K$2),MONTH(설정_코스수당!$K$2)+1,0)),DATE(YEAR(설정_코스수당!$K$2),MONTH(설정_코스수당!$K$2),31),"")</f>
        <v/>
      </c>
      <c r="B1583" s="23" t="s">
        <v>179</v>
      </c>
      <c r="C1583" s="29"/>
      <c r="D1583" s="29"/>
      <c r="E1583" s="29" t="str">
        <f t="shared" si="211"/>
        <v/>
      </c>
      <c r="F1583" s="29">
        <f>COUNTIFS(실시간콜입력!$B:$B,$A1583,실시간콜입력!$E:$E,"A",실시간콜입력!$G:$G,$B1583,실시간콜입력!$O:$O,"방문완료")+COUNTIFS(실시간콜입력!$B:$B,$A1583,실시간콜입력!$E:$E,"A",실시간콜입력!$H:$H,$B1583,실시간콜입력!$O:$O,"방문완료")</f>
        <v>0</v>
      </c>
      <c r="G1583" s="29">
        <f>COUNTIFS(실시간콜입력!$B:$B,$A1583,실시간콜입력!$E:$E,"B",실시간콜입력!$G:$G,$B1583,실시간콜입력!$O:$O,"방문완료")+COUNTIFS(실시간콜입력!$B:$B,$A1583,실시간콜입력!$E:$E,"B",실시간콜입력!$H:$H,$B1583,실시간콜입력!$O:$O,"방문완료")</f>
        <v>0</v>
      </c>
      <c r="H1583" s="29">
        <f>COUNTIFS(실시간콜입력!$B:$B,$A1583,실시간콜입력!$E:$E,"C",실시간콜입력!$G:$G,$B1583,실시간콜입력!$O:$O,"방문완료")+COUNTIFS(실시간콜입력!$B:$B,$A1583,실시간콜입력!$E:$E,"C",실시간콜입력!$H:$H,$B1583,실시간콜입력!$O:$O,"방문완료")</f>
        <v>0</v>
      </c>
      <c r="I1583" s="29">
        <f>COUNTIFS(실시간콜입력!$B:$B,$A1583,실시간콜입력!$E:$E,"D",실시간콜입력!$G:$G,$B1583,실시간콜입력!$O:$O,"방문완료")+COUNTIFS(실시간콜입력!$B:$B,$A1583,실시간콜입력!$E:$E,"D",실시간콜입력!$H:$H,$B1583,실시간콜입력!$O:$O,"방문완료")</f>
        <v>0</v>
      </c>
      <c r="J1583" s="29">
        <f>COUNTIFS(실시간콜입력!$B:$B,$A1583,실시간콜입력!$E:$E,"E",실시간콜입력!$G:$G,$B1583,실시간콜입력!$O:$O,"방문완료")+COUNTIFS(실시간콜입력!$B:$B,$A1583,실시간콜입력!$E:$E,"E",실시간콜입력!$H:$H,$B1583,실시간콜입력!$O:$O,"방문완료")</f>
        <v>0</v>
      </c>
      <c r="K1583" s="29">
        <f t="shared" si="212"/>
        <v>0</v>
      </c>
      <c r="L1583" s="27">
        <f>SUMIFS(실시간콜입력!$K:$K,실시간콜입력!$B:$B,$A1583,실시간콜입력!$G:$G,$B1583,실시간콜입력!$O:$O,"방문완료")+SUMIFS(실시간콜입력!$L:$L,실시간콜입력!$B:$B,$A1583,실시간콜입력!$H:$H,$B1583,실시간콜입력!$O:$O,"방문완료")</f>
        <v>0</v>
      </c>
      <c r="M1583" s="29" t="str">
        <f t="shared" si="213"/>
        <v/>
      </c>
      <c r="N1583" s="29"/>
    </row>
    <row r="1584" spans="1:14" ht="19.5" hidden="1" customHeight="1" outlineLevel="1">
      <c r="A1584" s="30" t="str">
        <f>IF(31&lt;=DAY(DATE(YEAR(설정_코스수당!$K$2),MONTH(설정_코스수당!$K$2)+1,0)),DATE(YEAR(설정_코스수당!$K$2),MONTH(설정_코스수당!$K$2),31),"")</f>
        <v/>
      </c>
      <c r="B1584" s="29" t="s">
        <v>180</v>
      </c>
      <c r="C1584" s="29"/>
      <c r="D1584" s="29"/>
      <c r="E1584" s="29" t="str">
        <f t="shared" si="211"/>
        <v/>
      </c>
      <c r="F1584" s="29">
        <f>COUNTIFS(실시간콜입력!$B:$B,$A1584,실시간콜입력!$E:$E,"A",실시간콜입력!$G:$G,$B1584,실시간콜입력!$O:$O,"방문완료")+COUNTIFS(실시간콜입력!$B:$B,$A1584,실시간콜입력!$E:$E,"A",실시간콜입력!$H:$H,$B1584,실시간콜입력!$O:$O,"방문완료")</f>
        <v>0</v>
      </c>
      <c r="G1584" s="29">
        <f>COUNTIFS(실시간콜입력!$B:$B,$A1584,실시간콜입력!$E:$E,"B",실시간콜입력!$G:$G,$B1584,실시간콜입력!$O:$O,"방문완료")+COUNTIFS(실시간콜입력!$B:$B,$A1584,실시간콜입력!$E:$E,"B",실시간콜입력!$H:$H,$B1584,실시간콜입력!$O:$O,"방문완료")</f>
        <v>0</v>
      </c>
      <c r="H1584" s="29">
        <f>COUNTIFS(실시간콜입력!$B:$B,$A1584,실시간콜입력!$E:$E,"C",실시간콜입력!$G:$G,$B1584,실시간콜입력!$O:$O,"방문완료")+COUNTIFS(실시간콜입력!$B:$B,$A1584,실시간콜입력!$E:$E,"C",실시간콜입력!$H:$H,$B1584,실시간콜입력!$O:$O,"방문완료")</f>
        <v>0</v>
      </c>
      <c r="I1584" s="29">
        <f>COUNTIFS(실시간콜입력!$B:$B,$A1584,실시간콜입력!$E:$E,"D",실시간콜입력!$G:$G,$B1584,실시간콜입력!$O:$O,"방문완료")+COUNTIFS(실시간콜입력!$B:$B,$A1584,실시간콜입력!$E:$E,"D",실시간콜입력!$H:$H,$B1584,실시간콜입력!$O:$O,"방문완료")</f>
        <v>0</v>
      </c>
      <c r="J1584" s="29">
        <f>COUNTIFS(실시간콜입력!$B:$B,$A1584,실시간콜입력!$E:$E,"E",실시간콜입력!$G:$G,$B1584,실시간콜입력!$O:$O,"방문완료")+COUNTIFS(실시간콜입력!$B:$B,$A1584,실시간콜입력!$E:$E,"E",실시간콜입력!$H:$H,$B1584,실시간콜입력!$O:$O,"방문완료")</f>
        <v>0</v>
      </c>
      <c r="K1584" s="29">
        <f t="shared" si="212"/>
        <v>0</v>
      </c>
      <c r="L1584" s="33">
        <f>SUMIFS(실시간콜입력!$K:$K,실시간콜입력!$B:$B,$A1584,실시간콜입력!$G:$G,$B1584,실시간콜입력!$O:$O,"방문완료")+SUMIFS(실시간콜입력!$L:$L,실시간콜입력!$B:$B,$A1584,실시간콜입력!$H:$H,$B1584,실시간콜입력!$O:$O,"방문완료")</f>
        <v>0</v>
      </c>
      <c r="M1584" s="29" t="str">
        <f t="shared" si="213"/>
        <v/>
      </c>
      <c r="N1584" s="29"/>
    </row>
    <row r="1585" spans="1:14" ht="19.5" hidden="1" customHeight="1" outlineLevel="1">
      <c r="A1585" s="24" t="str">
        <f>IF(31&lt;=DAY(DATE(YEAR(설정_코스수당!$K$2),MONTH(설정_코스수당!$K$2)+1,0)),DATE(YEAR(설정_코스수당!$K$2),MONTH(설정_코스수당!$K$2),31),"")</f>
        <v/>
      </c>
      <c r="B1585" s="23" t="s">
        <v>181</v>
      </c>
      <c r="C1585" s="29"/>
      <c r="D1585" s="29"/>
      <c r="E1585" s="29" t="str">
        <f t="shared" si="211"/>
        <v/>
      </c>
      <c r="F1585" s="29">
        <f>COUNTIFS(실시간콜입력!$B:$B,$A1585,실시간콜입력!$E:$E,"A",실시간콜입력!$G:$G,$B1585,실시간콜입력!$O:$O,"방문완료")+COUNTIFS(실시간콜입력!$B:$B,$A1585,실시간콜입력!$E:$E,"A",실시간콜입력!$H:$H,$B1585,실시간콜입력!$O:$O,"방문완료")</f>
        <v>0</v>
      </c>
      <c r="G1585" s="29">
        <f>COUNTIFS(실시간콜입력!$B:$B,$A1585,실시간콜입력!$E:$E,"B",실시간콜입력!$G:$G,$B1585,실시간콜입력!$O:$O,"방문완료")+COUNTIFS(실시간콜입력!$B:$B,$A1585,실시간콜입력!$E:$E,"B",실시간콜입력!$H:$H,$B1585,실시간콜입력!$O:$O,"방문완료")</f>
        <v>0</v>
      </c>
      <c r="H1585" s="29">
        <f>COUNTIFS(실시간콜입력!$B:$B,$A1585,실시간콜입력!$E:$E,"C",실시간콜입력!$G:$G,$B1585,실시간콜입력!$O:$O,"방문완료")+COUNTIFS(실시간콜입력!$B:$B,$A1585,실시간콜입력!$E:$E,"C",실시간콜입력!$H:$H,$B1585,실시간콜입력!$O:$O,"방문완료")</f>
        <v>0</v>
      </c>
      <c r="I1585" s="29">
        <f>COUNTIFS(실시간콜입력!$B:$B,$A1585,실시간콜입력!$E:$E,"D",실시간콜입력!$G:$G,$B1585,실시간콜입력!$O:$O,"방문완료")+COUNTIFS(실시간콜입력!$B:$B,$A1585,실시간콜입력!$E:$E,"D",실시간콜입력!$H:$H,$B1585,실시간콜입력!$O:$O,"방문완료")</f>
        <v>0</v>
      </c>
      <c r="J1585" s="29">
        <f>COUNTIFS(실시간콜입력!$B:$B,$A1585,실시간콜입력!$E:$E,"E",실시간콜입력!$G:$G,$B1585,실시간콜입력!$O:$O,"방문완료")+COUNTIFS(실시간콜입력!$B:$B,$A1585,실시간콜입력!$E:$E,"E",실시간콜입력!$H:$H,$B1585,실시간콜입력!$O:$O,"방문완료")</f>
        <v>0</v>
      </c>
      <c r="K1585" s="29">
        <f t="shared" si="212"/>
        <v>0</v>
      </c>
      <c r="L1585" s="27">
        <f>SUMIFS(실시간콜입력!$K:$K,실시간콜입력!$B:$B,$A1585,실시간콜입력!$G:$G,$B1585,실시간콜입력!$O:$O,"방문완료")+SUMIFS(실시간콜입력!$L:$L,실시간콜입력!$B:$B,$A1585,실시간콜입력!$H:$H,$B1585,실시간콜입력!$O:$O,"방문완료")</f>
        <v>0</v>
      </c>
      <c r="M1585" s="29" t="str">
        <f t="shared" si="213"/>
        <v/>
      </c>
      <c r="N1585" s="29"/>
    </row>
    <row r="1586" spans="1:14" ht="19.5" hidden="1" customHeight="1" outlineLevel="1">
      <c r="A1586" s="30" t="str">
        <f>IF(31&lt;=DAY(DATE(YEAR(설정_코스수당!$K$2),MONTH(설정_코스수당!$K$2)+1,0)),DATE(YEAR(설정_코스수당!$K$2),MONTH(설정_코스수당!$K$2),31),"")</f>
        <v/>
      </c>
      <c r="B1586" s="29" t="s">
        <v>182</v>
      </c>
      <c r="C1586" s="29"/>
      <c r="D1586" s="29"/>
      <c r="E1586" s="29" t="str">
        <f t="shared" si="211"/>
        <v/>
      </c>
      <c r="F1586" s="29">
        <f>COUNTIFS(실시간콜입력!$B:$B,$A1586,실시간콜입력!$E:$E,"A",실시간콜입력!$G:$G,$B1586,실시간콜입력!$O:$O,"방문완료")+COUNTIFS(실시간콜입력!$B:$B,$A1586,실시간콜입력!$E:$E,"A",실시간콜입력!$H:$H,$B1586,실시간콜입력!$O:$O,"방문완료")</f>
        <v>0</v>
      </c>
      <c r="G1586" s="29">
        <f>COUNTIFS(실시간콜입력!$B:$B,$A1586,실시간콜입력!$E:$E,"B",실시간콜입력!$G:$G,$B1586,실시간콜입력!$O:$O,"방문완료")+COUNTIFS(실시간콜입력!$B:$B,$A1586,실시간콜입력!$E:$E,"B",실시간콜입력!$H:$H,$B1586,실시간콜입력!$O:$O,"방문완료")</f>
        <v>0</v>
      </c>
      <c r="H1586" s="29">
        <f>COUNTIFS(실시간콜입력!$B:$B,$A1586,실시간콜입력!$E:$E,"C",실시간콜입력!$G:$G,$B1586,실시간콜입력!$O:$O,"방문완료")+COUNTIFS(실시간콜입력!$B:$B,$A1586,실시간콜입력!$E:$E,"C",실시간콜입력!$H:$H,$B1586,실시간콜입력!$O:$O,"방문완료")</f>
        <v>0</v>
      </c>
      <c r="I1586" s="29">
        <f>COUNTIFS(실시간콜입력!$B:$B,$A1586,실시간콜입력!$E:$E,"D",실시간콜입력!$G:$G,$B1586,실시간콜입력!$O:$O,"방문완료")+COUNTIFS(실시간콜입력!$B:$B,$A1586,실시간콜입력!$E:$E,"D",실시간콜입력!$H:$H,$B1586,실시간콜입력!$O:$O,"방문완료")</f>
        <v>0</v>
      </c>
      <c r="J1586" s="29">
        <f>COUNTIFS(실시간콜입력!$B:$B,$A1586,실시간콜입력!$E:$E,"E",실시간콜입력!$G:$G,$B1586,실시간콜입력!$O:$O,"방문완료")+COUNTIFS(실시간콜입력!$B:$B,$A1586,실시간콜입력!$E:$E,"E",실시간콜입력!$H:$H,$B1586,실시간콜입력!$O:$O,"방문완료")</f>
        <v>0</v>
      </c>
      <c r="K1586" s="29">
        <f t="shared" si="212"/>
        <v>0</v>
      </c>
      <c r="L1586" s="33">
        <f>SUMIFS(실시간콜입력!$K:$K,실시간콜입력!$B:$B,$A1586,실시간콜입력!$G:$G,$B1586,실시간콜입력!$O:$O,"방문완료")+SUMIFS(실시간콜입력!$L:$L,실시간콜입력!$B:$B,$A1586,실시간콜입력!$H:$H,$B1586,실시간콜입력!$O:$O,"방문완료")</f>
        <v>0</v>
      </c>
      <c r="M1586" s="29" t="str">
        <f t="shared" si="213"/>
        <v/>
      </c>
      <c r="N1586" s="29"/>
    </row>
    <row r="1587" spans="1:14" ht="19.5" hidden="1" customHeight="1" outlineLevel="1">
      <c r="A1587" s="24" t="str">
        <f>IF(31&lt;=DAY(DATE(YEAR(설정_코스수당!$K$2),MONTH(설정_코스수당!$K$2)+1,0)),DATE(YEAR(설정_코스수당!$K$2),MONTH(설정_코스수당!$K$2),31),"")</f>
        <v/>
      </c>
      <c r="B1587" s="23" t="s">
        <v>183</v>
      </c>
      <c r="C1587" s="29"/>
      <c r="D1587" s="29"/>
      <c r="E1587" s="29" t="str">
        <f t="shared" si="211"/>
        <v/>
      </c>
      <c r="F1587" s="29">
        <f>COUNTIFS(실시간콜입력!$B:$B,$A1587,실시간콜입력!$E:$E,"A",실시간콜입력!$G:$G,$B1587,실시간콜입력!$O:$O,"방문완료")+COUNTIFS(실시간콜입력!$B:$B,$A1587,실시간콜입력!$E:$E,"A",실시간콜입력!$H:$H,$B1587,실시간콜입력!$O:$O,"방문완료")</f>
        <v>0</v>
      </c>
      <c r="G1587" s="29">
        <f>COUNTIFS(실시간콜입력!$B:$B,$A1587,실시간콜입력!$E:$E,"B",실시간콜입력!$G:$G,$B1587,실시간콜입력!$O:$O,"방문완료")+COUNTIFS(실시간콜입력!$B:$B,$A1587,실시간콜입력!$E:$E,"B",실시간콜입력!$H:$H,$B1587,실시간콜입력!$O:$O,"방문완료")</f>
        <v>0</v>
      </c>
      <c r="H1587" s="29">
        <f>COUNTIFS(실시간콜입력!$B:$B,$A1587,실시간콜입력!$E:$E,"C",실시간콜입력!$G:$G,$B1587,실시간콜입력!$O:$O,"방문완료")+COUNTIFS(실시간콜입력!$B:$B,$A1587,실시간콜입력!$E:$E,"C",실시간콜입력!$H:$H,$B1587,실시간콜입력!$O:$O,"방문완료")</f>
        <v>0</v>
      </c>
      <c r="I1587" s="29">
        <f>COUNTIFS(실시간콜입력!$B:$B,$A1587,실시간콜입력!$E:$E,"D",실시간콜입력!$G:$G,$B1587,실시간콜입력!$O:$O,"방문완료")+COUNTIFS(실시간콜입력!$B:$B,$A1587,실시간콜입력!$E:$E,"D",실시간콜입력!$H:$H,$B1587,실시간콜입력!$O:$O,"방문완료")</f>
        <v>0</v>
      </c>
      <c r="J1587" s="29">
        <f>COUNTIFS(실시간콜입력!$B:$B,$A1587,실시간콜입력!$E:$E,"E",실시간콜입력!$G:$G,$B1587,실시간콜입력!$O:$O,"방문완료")+COUNTIFS(실시간콜입력!$B:$B,$A1587,실시간콜입력!$E:$E,"E",실시간콜입력!$H:$H,$B1587,실시간콜입력!$O:$O,"방문완료")</f>
        <v>0</v>
      </c>
      <c r="K1587" s="29">
        <f t="shared" si="212"/>
        <v>0</v>
      </c>
      <c r="L1587" s="27">
        <f>SUMIFS(실시간콜입력!$K:$K,실시간콜입력!$B:$B,$A1587,실시간콜입력!$G:$G,$B1587,실시간콜입력!$O:$O,"방문완료")+SUMIFS(실시간콜입력!$L:$L,실시간콜입력!$B:$B,$A1587,실시간콜입력!$H:$H,$B1587,실시간콜입력!$O:$O,"방문완료")</f>
        <v>0</v>
      </c>
      <c r="M1587" s="29" t="str">
        <f t="shared" si="213"/>
        <v/>
      </c>
      <c r="N1587" s="29"/>
    </row>
    <row r="1588" spans="1:14" ht="19.5" hidden="1" customHeight="1" outlineLevel="1">
      <c r="A1588" s="30" t="str">
        <f>IF(31&lt;=DAY(DATE(YEAR(설정_코스수당!$K$2),MONTH(설정_코스수당!$K$2)+1,0)),DATE(YEAR(설정_코스수당!$K$2),MONTH(설정_코스수당!$K$2),31),"")</f>
        <v/>
      </c>
      <c r="B1588" s="29" t="s">
        <v>184</v>
      </c>
      <c r="C1588" s="29"/>
      <c r="D1588" s="29"/>
      <c r="E1588" s="29" t="str">
        <f t="shared" si="211"/>
        <v/>
      </c>
      <c r="F1588" s="29">
        <f>COUNTIFS(실시간콜입력!$B:$B,$A1588,실시간콜입력!$E:$E,"A",실시간콜입력!$G:$G,$B1588,실시간콜입력!$O:$O,"방문완료")+COUNTIFS(실시간콜입력!$B:$B,$A1588,실시간콜입력!$E:$E,"A",실시간콜입력!$H:$H,$B1588,실시간콜입력!$O:$O,"방문완료")</f>
        <v>0</v>
      </c>
      <c r="G1588" s="29">
        <f>COUNTIFS(실시간콜입력!$B:$B,$A1588,실시간콜입력!$E:$E,"B",실시간콜입력!$G:$G,$B1588,실시간콜입력!$O:$O,"방문완료")+COUNTIFS(실시간콜입력!$B:$B,$A1588,실시간콜입력!$E:$E,"B",실시간콜입력!$H:$H,$B1588,실시간콜입력!$O:$O,"방문완료")</f>
        <v>0</v>
      </c>
      <c r="H1588" s="29">
        <f>COUNTIFS(실시간콜입력!$B:$B,$A1588,실시간콜입력!$E:$E,"C",실시간콜입력!$G:$G,$B1588,실시간콜입력!$O:$O,"방문완료")+COUNTIFS(실시간콜입력!$B:$B,$A1588,실시간콜입력!$E:$E,"C",실시간콜입력!$H:$H,$B1588,실시간콜입력!$O:$O,"방문완료")</f>
        <v>0</v>
      </c>
      <c r="I1588" s="29">
        <f>COUNTIFS(실시간콜입력!$B:$B,$A1588,실시간콜입력!$E:$E,"D",실시간콜입력!$G:$G,$B1588,실시간콜입력!$O:$O,"방문완료")+COUNTIFS(실시간콜입력!$B:$B,$A1588,실시간콜입력!$E:$E,"D",실시간콜입력!$H:$H,$B1588,실시간콜입력!$O:$O,"방문완료")</f>
        <v>0</v>
      </c>
      <c r="J1588" s="29">
        <f>COUNTIFS(실시간콜입력!$B:$B,$A1588,실시간콜입력!$E:$E,"E",실시간콜입력!$G:$G,$B1588,실시간콜입력!$O:$O,"방문완료")+COUNTIFS(실시간콜입력!$B:$B,$A1588,실시간콜입력!$E:$E,"E",실시간콜입력!$H:$H,$B1588,실시간콜입력!$O:$O,"방문완료")</f>
        <v>0</v>
      </c>
      <c r="K1588" s="29">
        <f t="shared" si="212"/>
        <v>0</v>
      </c>
      <c r="L1588" s="33">
        <f>SUMIFS(실시간콜입력!$K:$K,실시간콜입력!$B:$B,$A1588,실시간콜입력!$G:$G,$B1588,실시간콜입력!$O:$O,"방문완료")+SUMIFS(실시간콜입력!$L:$L,실시간콜입력!$B:$B,$A1588,실시간콜입력!$H:$H,$B1588,실시간콜입력!$O:$O,"방문완료")</f>
        <v>0</v>
      </c>
      <c r="M1588" s="29" t="str">
        <f t="shared" si="213"/>
        <v/>
      </c>
      <c r="N1588" s="29"/>
    </row>
    <row r="1589" spans="1:14" ht="19.5" hidden="1" customHeight="1" outlineLevel="1">
      <c r="A1589" s="24" t="str">
        <f>IF(31&lt;=DAY(DATE(YEAR(설정_코스수당!$K$2),MONTH(설정_코스수당!$K$2)+1,0)),DATE(YEAR(설정_코스수당!$K$2),MONTH(설정_코스수당!$K$2),31),"")</f>
        <v/>
      </c>
      <c r="B1589" s="23" t="s">
        <v>185</v>
      </c>
      <c r="C1589" s="29"/>
      <c r="D1589" s="29"/>
      <c r="E1589" s="29" t="str">
        <f t="shared" si="211"/>
        <v/>
      </c>
      <c r="F1589" s="29">
        <f>COUNTIFS(실시간콜입력!$B:$B,$A1589,실시간콜입력!$E:$E,"A",실시간콜입력!$G:$G,$B1589,실시간콜입력!$O:$O,"방문완료")+COUNTIFS(실시간콜입력!$B:$B,$A1589,실시간콜입력!$E:$E,"A",실시간콜입력!$H:$H,$B1589,실시간콜입력!$O:$O,"방문완료")</f>
        <v>0</v>
      </c>
      <c r="G1589" s="29">
        <f>COUNTIFS(실시간콜입력!$B:$B,$A1589,실시간콜입력!$E:$E,"B",실시간콜입력!$G:$G,$B1589,실시간콜입력!$O:$O,"방문완료")+COUNTIFS(실시간콜입력!$B:$B,$A1589,실시간콜입력!$E:$E,"B",실시간콜입력!$H:$H,$B1589,실시간콜입력!$O:$O,"방문완료")</f>
        <v>0</v>
      </c>
      <c r="H1589" s="29">
        <f>COUNTIFS(실시간콜입력!$B:$B,$A1589,실시간콜입력!$E:$E,"C",실시간콜입력!$G:$G,$B1589,실시간콜입력!$O:$O,"방문완료")+COUNTIFS(실시간콜입력!$B:$B,$A1589,실시간콜입력!$E:$E,"C",실시간콜입력!$H:$H,$B1589,실시간콜입력!$O:$O,"방문완료")</f>
        <v>0</v>
      </c>
      <c r="I1589" s="29">
        <f>COUNTIFS(실시간콜입력!$B:$B,$A1589,실시간콜입력!$E:$E,"D",실시간콜입력!$G:$G,$B1589,실시간콜입력!$O:$O,"방문완료")+COUNTIFS(실시간콜입력!$B:$B,$A1589,실시간콜입력!$E:$E,"D",실시간콜입력!$H:$H,$B1589,실시간콜입력!$O:$O,"방문완료")</f>
        <v>0</v>
      </c>
      <c r="J1589" s="29">
        <f>COUNTIFS(실시간콜입력!$B:$B,$A1589,실시간콜입력!$E:$E,"E",실시간콜입력!$G:$G,$B1589,실시간콜입력!$O:$O,"방문완료")+COUNTIFS(실시간콜입력!$B:$B,$A1589,실시간콜입력!$E:$E,"E",실시간콜입력!$H:$H,$B1589,실시간콜입력!$O:$O,"방문완료")</f>
        <v>0</v>
      </c>
      <c r="K1589" s="29">
        <f t="shared" si="212"/>
        <v>0</v>
      </c>
      <c r="L1589" s="27">
        <f>SUMIFS(실시간콜입력!$K:$K,실시간콜입력!$B:$B,$A1589,실시간콜입력!$G:$G,$B1589,실시간콜입력!$O:$O,"방문완료")+SUMIFS(실시간콜입력!$L:$L,실시간콜입력!$B:$B,$A1589,실시간콜입력!$H:$H,$B1589,실시간콜입력!$O:$O,"방문완료")</f>
        <v>0</v>
      </c>
      <c r="M1589" s="29" t="str">
        <f t="shared" si="213"/>
        <v/>
      </c>
      <c r="N1589" s="29"/>
    </row>
    <row r="1590" spans="1:14" ht="19.5" hidden="1" customHeight="1" outlineLevel="1">
      <c r="A1590" s="30" t="str">
        <f>IF(31&lt;=DAY(DATE(YEAR(설정_코스수당!$K$2),MONTH(설정_코스수당!$K$2)+1,0)),DATE(YEAR(설정_코스수당!$K$2),MONTH(설정_코스수당!$K$2),31),"")</f>
        <v/>
      </c>
      <c r="B1590" s="29" t="s">
        <v>186</v>
      </c>
      <c r="C1590" s="29"/>
      <c r="D1590" s="29"/>
      <c r="E1590" s="29" t="str">
        <f t="shared" si="211"/>
        <v/>
      </c>
      <c r="F1590" s="29">
        <f>COUNTIFS(실시간콜입력!$B:$B,$A1590,실시간콜입력!$E:$E,"A",실시간콜입력!$G:$G,$B1590,실시간콜입력!$O:$O,"방문완료")+COUNTIFS(실시간콜입력!$B:$B,$A1590,실시간콜입력!$E:$E,"A",실시간콜입력!$H:$H,$B1590,실시간콜입력!$O:$O,"방문완료")</f>
        <v>0</v>
      </c>
      <c r="G1590" s="29">
        <f>COUNTIFS(실시간콜입력!$B:$B,$A1590,실시간콜입력!$E:$E,"B",실시간콜입력!$G:$G,$B1590,실시간콜입력!$O:$O,"방문완료")+COUNTIFS(실시간콜입력!$B:$B,$A1590,실시간콜입력!$E:$E,"B",실시간콜입력!$H:$H,$B1590,실시간콜입력!$O:$O,"방문완료")</f>
        <v>0</v>
      </c>
      <c r="H1590" s="29">
        <f>COUNTIFS(실시간콜입력!$B:$B,$A1590,실시간콜입력!$E:$E,"C",실시간콜입력!$G:$G,$B1590,실시간콜입력!$O:$O,"방문완료")+COUNTIFS(실시간콜입력!$B:$B,$A1590,실시간콜입력!$E:$E,"C",실시간콜입력!$H:$H,$B1590,실시간콜입력!$O:$O,"방문완료")</f>
        <v>0</v>
      </c>
      <c r="I1590" s="29">
        <f>COUNTIFS(실시간콜입력!$B:$B,$A1590,실시간콜입력!$E:$E,"D",실시간콜입력!$G:$G,$B1590,실시간콜입력!$O:$O,"방문완료")+COUNTIFS(실시간콜입력!$B:$B,$A1590,실시간콜입력!$E:$E,"D",실시간콜입력!$H:$H,$B1590,실시간콜입력!$O:$O,"방문완료")</f>
        <v>0</v>
      </c>
      <c r="J1590" s="29">
        <f>COUNTIFS(실시간콜입력!$B:$B,$A1590,실시간콜입력!$E:$E,"E",실시간콜입력!$G:$G,$B1590,실시간콜입력!$O:$O,"방문완료")+COUNTIFS(실시간콜입력!$B:$B,$A1590,실시간콜입력!$E:$E,"E",실시간콜입력!$H:$H,$B1590,실시간콜입력!$O:$O,"방문완료")</f>
        <v>0</v>
      </c>
      <c r="K1590" s="29">
        <f t="shared" si="212"/>
        <v>0</v>
      </c>
      <c r="L1590" s="33">
        <f>SUMIFS(실시간콜입력!$K:$K,실시간콜입력!$B:$B,$A1590,실시간콜입력!$G:$G,$B1590,실시간콜입력!$O:$O,"방문완료")+SUMIFS(실시간콜입력!$L:$L,실시간콜입력!$B:$B,$A1590,실시간콜입력!$H:$H,$B1590,실시간콜입력!$O:$O,"방문완료")</f>
        <v>0</v>
      </c>
      <c r="M1590" s="29" t="str">
        <f t="shared" si="213"/>
        <v/>
      </c>
      <c r="N1590" s="29"/>
    </row>
    <row r="1591" spans="1:14" ht="19.5" hidden="1" customHeight="1" outlineLevel="1">
      <c r="A1591" s="24" t="str">
        <f>IF(31&lt;=DAY(DATE(YEAR(설정_코스수당!$K$2),MONTH(설정_코스수당!$K$2)+1,0)),DATE(YEAR(설정_코스수당!$K$2),MONTH(설정_코스수당!$K$2),31),"")</f>
        <v/>
      </c>
      <c r="B1591" s="23" t="s">
        <v>187</v>
      </c>
      <c r="C1591" s="29"/>
      <c r="D1591" s="29"/>
      <c r="E1591" s="29" t="str">
        <f t="shared" si="211"/>
        <v/>
      </c>
      <c r="F1591" s="29">
        <f>COUNTIFS(실시간콜입력!$B:$B,$A1591,실시간콜입력!$E:$E,"A",실시간콜입력!$G:$G,$B1591,실시간콜입력!$O:$O,"방문완료")+COUNTIFS(실시간콜입력!$B:$B,$A1591,실시간콜입력!$E:$E,"A",실시간콜입력!$H:$H,$B1591,실시간콜입력!$O:$O,"방문완료")</f>
        <v>0</v>
      </c>
      <c r="G1591" s="29">
        <f>COUNTIFS(실시간콜입력!$B:$B,$A1591,실시간콜입력!$E:$E,"B",실시간콜입력!$G:$G,$B1591,실시간콜입력!$O:$O,"방문완료")+COUNTIFS(실시간콜입력!$B:$B,$A1591,실시간콜입력!$E:$E,"B",실시간콜입력!$H:$H,$B1591,실시간콜입력!$O:$O,"방문완료")</f>
        <v>0</v>
      </c>
      <c r="H1591" s="29">
        <f>COUNTIFS(실시간콜입력!$B:$B,$A1591,실시간콜입력!$E:$E,"C",실시간콜입력!$G:$G,$B1591,실시간콜입력!$O:$O,"방문완료")+COUNTIFS(실시간콜입력!$B:$B,$A1591,실시간콜입력!$E:$E,"C",실시간콜입력!$H:$H,$B1591,실시간콜입력!$O:$O,"방문완료")</f>
        <v>0</v>
      </c>
      <c r="I1591" s="29">
        <f>COUNTIFS(실시간콜입력!$B:$B,$A1591,실시간콜입력!$E:$E,"D",실시간콜입력!$G:$G,$B1591,실시간콜입력!$O:$O,"방문완료")+COUNTIFS(실시간콜입력!$B:$B,$A1591,실시간콜입력!$E:$E,"D",실시간콜입력!$H:$H,$B1591,실시간콜입력!$O:$O,"방문완료")</f>
        <v>0</v>
      </c>
      <c r="J1591" s="29">
        <f>COUNTIFS(실시간콜입력!$B:$B,$A1591,실시간콜입력!$E:$E,"E",실시간콜입력!$G:$G,$B1591,실시간콜입력!$O:$O,"방문완료")+COUNTIFS(실시간콜입력!$B:$B,$A1591,실시간콜입력!$E:$E,"E",실시간콜입력!$H:$H,$B1591,실시간콜입력!$O:$O,"방문완료")</f>
        <v>0</v>
      </c>
      <c r="K1591" s="29">
        <f t="shared" si="212"/>
        <v>0</v>
      </c>
      <c r="L1591" s="27">
        <f>SUMIFS(실시간콜입력!$K:$K,실시간콜입력!$B:$B,$A1591,실시간콜입력!$G:$G,$B1591,실시간콜입력!$O:$O,"방문완료")+SUMIFS(실시간콜입력!$L:$L,실시간콜입력!$B:$B,$A1591,실시간콜입력!$H:$H,$B1591,실시간콜입력!$O:$O,"방문완료")</f>
        <v>0</v>
      </c>
      <c r="M1591" s="29" t="str">
        <f t="shared" si="213"/>
        <v/>
      </c>
      <c r="N1591" s="29"/>
    </row>
    <row r="1592" spans="1:14" ht="19.5" hidden="1" customHeight="1" outlineLevel="1">
      <c r="A1592" s="30" t="str">
        <f>IF(31&lt;=DAY(DATE(YEAR(설정_코스수당!$K$2),MONTH(설정_코스수당!$K$2)+1,0)),DATE(YEAR(설정_코스수당!$K$2),MONTH(설정_코스수당!$K$2),31),"")</f>
        <v/>
      </c>
      <c r="B1592" s="29" t="s">
        <v>188</v>
      </c>
      <c r="C1592" s="29"/>
      <c r="D1592" s="29"/>
      <c r="E1592" s="29" t="str">
        <f t="shared" si="211"/>
        <v/>
      </c>
      <c r="F1592" s="29">
        <f>COUNTIFS(실시간콜입력!$B:$B,$A1592,실시간콜입력!$E:$E,"A",실시간콜입력!$G:$G,$B1592,실시간콜입력!$O:$O,"방문완료")+COUNTIFS(실시간콜입력!$B:$B,$A1592,실시간콜입력!$E:$E,"A",실시간콜입력!$H:$H,$B1592,실시간콜입력!$O:$O,"방문완료")</f>
        <v>0</v>
      </c>
      <c r="G1592" s="29">
        <f>COUNTIFS(실시간콜입력!$B:$B,$A1592,실시간콜입력!$E:$E,"B",실시간콜입력!$G:$G,$B1592,실시간콜입력!$O:$O,"방문완료")+COUNTIFS(실시간콜입력!$B:$B,$A1592,실시간콜입력!$E:$E,"B",실시간콜입력!$H:$H,$B1592,실시간콜입력!$O:$O,"방문완료")</f>
        <v>0</v>
      </c>
      <c r="H1592" s="29">
        <f>COUNTIFS(실시간콜입력!$B:$B,$A1592,실시간콜입력!$E:$E,"C",실시간콜입력!$G:$G,$B1592,실시간콜입력!$O:$O,"방문완료")+COUNTIFS(실시간콜입력!$B:$B,$A1592,실시간콜입력!$E:$E,"C",실시간콜입력!$H:$H,$B1592,실시간콜입력!$O:$O,"방문완료")</f>
        <v>0</v>
      </c>
      <c r="I1592" s="29">
        <f>COUNTIFS(실시간콜입력!$B:$B,$A1592,실시간콜입력!$E:$E,"D",실시간콜입력!$G:$G,$B1592,실시간콜입력!$O:$O,"방문완료")+COUNTIFS(실시간콜입력!$B:$B,$A1592,실시간콜입력!$E:$E,"D",실시간콜입력!$H:$H,$B1592,실시간콜입력!$O:$O,"방문완료")</f>
        <v>0</v>
      </c>
      <c r="J1592" s="29">
        <f>COUNTIFS(실시간콜입력!$B:$B,$A1592,실시간콜입력!$E:$E,"E",실시간콜입력!$G:$G,$B1592,실시간콜입력!$O:$O,"방문완료")+COUNTIFS(실시간콜입력!$B:$B,$A1592,실시간콜입력!$E:$E,"E",실시간콜입력!$H:$H,$B1592,실시간콜입력!$O:$O,"방문완료")</f>
        <v>0</v>
      </c>
      <c r="K1592" s="29">
        <f t="shared" si="212"/>
        <v>0</v>
      </c>
      <c r="L1592" s="33">
        <f>SUMIFS(실시간콜입력!$K:$K,실시간콜입력!$B:$B,$A1592,실시간콜입력!$G:$G,$B1592,실시간콜입력!$O:$O,"방문완료")+SUMIFS(실시간콜입력!$L:$L,실시간콜입력!$B:$B,$A1592,실시간콜입력!$H:$H,$B1592,실시간콜입력!$O:$O,"방문완료")</f>
        <v>0</v>
      </c>
      <c r="M1592" s="29" t="str">
        <f t="shared" si="213"/>
        <v/>
      </c>
      <c r="N1592" s="29"/>
    </row>
    <row r="1593" spans="1:14" ht="19.5" hidden="1" customHeight="1" outlineLevel="1">
      <c r="A1593" s="24" t="str">
        <f>IF(31&lt;=DAY(DATE(YEAR(설정_코스수당!$K$2),MONTH(설정_코스수당!$K$2)+1,0)),DATE(YEAR(설정_코스수당!$K$2),MONTH(설정_코스수당!$K$2),31),"")</f>
        <v/>
      </c>
      <c r="B1593" s="23" t="s">
        <v>189</v>
      </c>
      <c r="C1593" s="29"/>
      <c r="D1593" s="29"/>
      <c r="E1593" s="29" t="str">
        <f t="shared" si="211"/>
        <v/>
      </c>
      <c r="F1593" s="29">
        <f>COUNTIFS(실시간콜입력!$B:$B,$A1593,실시간콜입력!$E:$E,"A",실시간콜입력!$G:$G,$B1593,실시간콜입력!$O:$O,"방문완료")+COUNTIFS(실시간콜입력!$B:$B,$A1593,실시간콜입력!$E:$E,"A",실시간콜입력!$H:$H,$B1593,실시간콜입력!$O:$O,"방문완료")</f>
        <v>0</v>
      </c>
      <c r="G1593" s="29">
        <f>COUNTIFS(실시간콜입력!$B:$B,$A1593,실시간콜입력!$E:$E,"B",실시간콜입력!$G:$G,$B1593,실시간콜입력!$O:$O,"방문완료")+COUNTIFS(실시간콜입력!$B:$B,$A1593,실시간콜입력!$E:$E,"B",실시간콜입력!$H:$H,$B1593,실시간콜입력!$O:$O,"방문완료")</f>
        <v>0</v>
      </c>
      <c r="H1593" s="29">
        <f>COUNTIFS(실시간콜입력!$B:$B,$A1593,실시간콜입력!$E:$E,"C",실시간콜입력!$G:$G,$B1593,실시간콜입력!$O:$O,"방문완료")+COUNTIFS(실시간콜입력!$B:$B,$A1593,실시간콜입력!$E:$E,"C",실시간콜입력!$H:$H,$B1593,실시간콜입력!$O:$O,"방문완료")</f>
        <v>0</v>
      </c>
      <c r="I1593" s="29">
        <f>COUNTIFS(실시간콜입력!$B:$B,$A1593,실시간콜입력!$E:$E,"D",실시간콜입력!$G:$G,$B1593,실시간콜입력!$O:$O,"방문완료")+COUNTIFS(실시간콜입력!$B:$B,$A1593,실시간콜입력!$E:$E,"D",실시간콜입력!$H:$H,$B1593,실시간콜입력!$O:$O,"방문완료")</f>
        <v>0</v>
      </c>
      <c r="J1593" s="29">
        <f>COUNTIFS(실시간콜입력!$B:$B,$A1593,실시간콜입력!$E:$E,"E",실시간콜입력!$G:$G,$B1593,실시간콜입력!$O:$O,"방문완료")+COUNTIFS(실시간콜입력!$B:$B,$A1593,실시간콜입력!$E:$E,"E",실시간콜입력!$H:$H,$B1593,실시간콜입력!$O:$O,"방문완료")</f>
        <v>0</v>
      </c>
      <c r="K1593" s="29">
        <f t="shared" si="212"/>
        <v>0</v>
      </c>
      <c r="L1593" s="27">
        <f>SUMIFS(실시간콜입력!$K:$K,실시간콜입력!$B:$B,$A1593,실시간콜입력!$G:$G,$B1593,실시간콜입력!$O:$O,"방문완료")+SUMIFS(실시간콜입력!$L:$L,실시간콜입력!$B:$B,$A1593,실시간콜입력!$H:$H,$B1593,실시간콜입력!$O:$O,"방문완료")</f>
        <v>0</v>
      </c>
      <c r="M1593" s="29" t="str">
        <f t="shared" si="213"/>
        <v/>
      </c>
      <c r="N1593" s="29"/>
    </row>
    <row r="1594" spans="1:14" ht="19.5" hidden="1" customHeight="1" outlineLevel="1">
      <c r="A1594" s="30" t="str">
        <f>IF(31&lt;=DAY(DATE(YEAR(설정_코스수당!$K$2),MONTH(설정_코스수당!$K$2)+1,0)),DATE(YEAR(설정_코스수당!$K$2),MONTH(설정_코스수당!$K$2),31),"")</f>
        <v/>
      </c>
      <c r="B1594" s="29" t="s">
        <v>190</v>
      </c>
      <c r="C1594" s="29"/>
      <c r="D1594" s="29"/>
      <c r="E1594" s="29" t="str">
        <f t="shared" si="211"/>
        <v/>
      </c>
      <c r="F1594" s="29">
        <f>COUNTIFS(실시간콜입력!$B:$B,$A1594,실시간콜입력!$E:$E,"A",실시간콜입력!$G:$G,$B1594,실시간콜입력!$O:$O,"방문완료")+COUNTIFS(실시간콜입력!$B:$B,$A1594,실시간콜입력!$E:$E,"A",실시간콜입력!$H:$H,$B1594,실시간콜입력!$O:$O,"방문완료")</f>
        <v>0</v>
      </c>
      <c r="G1594" s="29">
        <f>COUNTIFS(실시간콜입력!$B:$B,$A1594,실시간콜입력!$E:$E,"B",실시간콜입력!$G:$G,$B1594,실시간콜입력!$O:$O,"방문완료")+COUNTIFS(실시간콜입력!$B:$B,$A1594,실시간콜입력!$E:$E,"B",실시간콜입력!$H:$H,$B1594,실시간콜입력!$O:$O,"방문완료")</f>
        <v>0</v>
      </c>
      <c r="H1594" s="29">
        <f>COUNTIFS(실시간콜입력!$B:$B,$A1594,실시간콜입력!$E:$E,"C",실시간콜입력!$G:$G,$B1594,실시간콜입력!$O:$O,"방문완료")+COUNTIFS(실시간콜입력!$B:$B,$A1594,실시간콜입력!$E:$E,"C",실시간콜입력!$H:$H,$B1594,실시간콜입력!$O:$O,"방문완료")</f>
        <v>0</v>
      </c>
      <c r="I1594" s="29">
        <f>COUNTIFS(실시간콜입력!$B:$B,$A1594,실시간콜입력!$E:$E,"D",실시간콜입력!$G:$G,$B1594,실시간콜입력!$O:$O,"방문완료")+COUNTIFS(실시간콜입력!$B:$B,$A1594,실시간콜입력!$E:$E,"D",실시간콜입력!$H:$H,$B1594,실시간콜입력!$O:$O,"방문완료")</f>
        <v>0</v>
      </c>
      <c r="J1594" s="29">
        <f>COUNTIFS(실시간콜입력!$B:$B,$A1594,실시간콜입력!$E:$E,"E",실시간콜입력!$G:$G,$B1594,실시간콜입력!$O:$O,"방문완료")+COUNTIFS(실시간콜입력!$B:$B,$A1594,실시간콜입력!$E:$E,"E",실시간콜입력!$H:$H,$B1594,실시간콜입력!$O:$O,"방문완료")</f>
        <v>0</v>
      </c>
      <c r="K1594" s="29">
        <f t="shared" si="212"/>
        <v>0</v>
      </c>
      <c r="L1594" s="33">
        <f>SUMIFS(실시간콜입력!$K:$K,실시간콜입력!$B:$B,$A1594,실시간콜입력!$G:$G,$B1594,실시간콜입력!$O:$O,"방문완료")+SUMIFS(실시간콜입력!$L:$L,실시간콜입력!$B:$B,$A1594,실시간콜입력!$H:$H,$B1594,실시간콜입력!$O:$O,"방문완료")</f>
        <v>0</v>
      </c>
      <c r="M1594" s="29" t="str">
        <f t="shared" si="213"/>
        <v/>
      </c>
      <c r="N1594" s="29"/>
    </row>
    <row r="1595" spans="1:14" ht="19.5" hidden="1" customHeight="1" outlineLevel="1">
      <c r="A1595" s="24" t="str">
        <f>IF(31&lt;=DAY(DATE(YEAR(설정_코스수당!$K$2),MONTH(설정_코스수당!$K$2)+1,0)),DATE(YEAR(설정_코스수당!$K$2),MONTH(설정_코스수당!$K$2),31),"")</f>
        <v/>
      </c>
      <c r="B1595" s="23" t="s">
        <v>191</v>
      </c>
      <c r="C1595" s="29"/>
      <c r="D1595" s="29"/>
      <c r="E1595" s="29" t="str">
        <f t="shared" si="211"/>
        <v/>
      </c>
      <c r="F1595" s="29">
        <f>COUNTIFS(실시간콜입력!$B:$B,$A1595,실시간콜입력!$E:$E,"A",실시간콜입력!$G:$G,$B1595,실시간콜입력!$O:$O,"방문완료")+COUNTIFS(실시간콜입력!$B:$B,$A1595,실시간콜입력!$E:$E,"A",실시간콜입력!$H:$H,$B1595,실시간콜입력!$O:$O,"방문완료")</f>
        <v>0</v>
      </c>
      <c r="G1595" s="29">
        <f>COUNTIFS(실시간콜입력!$B:$B,$A1595,실시간콜입력!$E:$E,"B",실시간콜입력!$G:$G,$B1595,실시간콜입력!$O:$O,"방문완료")+COUNTIFS(실시간콜입력!$B:$B,$A1595,실시간콜입력!$E:$E,"B",실시간콜입력!$H:$H,$B1595,실시간콜입력!$O:$O,"방문완료")</f>
        <v>0</v>
      </c>
      <c r="H1595" s="29">
        <f>COUNTIFS(실시간콜입력!$B:$B,$A1595,실시간콜입력!$E:$E,"C",실시간콜입력!$G:$G,$B1595,실시간콜입력!$O:$O,"방문완료")+COUNTIFS(실시간콜입력!$B:$B,$A1595,실시간콜입력!$E:$E,"C",실시간콜입력!$H:$H,$B1595,실시간콜입력!$O:$O,"방문완료")</f>
        <v>0</v>
      </c>
      <c r="I1595" s="29">
        <f>COUNTIFS(실시간콜입력!$B:$B,$A1595,실시간콜입력!$E:$E,"D",실시간콜입력!$G:$G,$B1595,실시간콜입력!$O:$O,"방문완료")+COUNTIFS(실시간콜입력!$B:$B,$A1595,실시간콜입력!$E:$E,"D",실시간콜입력!$H:$H,$B1595,실시간콜입력!$O:$O,"방문완료")</f>
        <v>0</v>
      </c>
      <c r="J1595" s="29">
        <f>COUNTIFS(실시간콜입력!$B:$B,$A1595,실시간콜입력!$E:$E,"E",실시간콜입력!$G:$G,$B1595,실시간콜입력!$O:$O,"방문완료")+COUNTIFS(실시간콜입력!$B:$B,$A1595,실시간콜입력!$E:$E,"E",실시간콜입력!$H:$H,$B1595,실시간콜입력!$O:$O,"방문완료")</f>
        <v>0</v>
      </c>
      <c r="K1595" s="29">
        <f t="shared" si="212"/>
        <v>0</v>
      </c>
      <c r="L1595" s="27">
        <f>SUMIFS(실시간콜입력!$K:$K,실시간콜입력!$B:$B,$A1595,실시간콜입력!$G:$G,$B1595,실시간콜입력!$O:$O,"방문완료")+SUMIFS(실시간콜입력!$L:$L,실시간콜입력!$B:$B,$A1595,실시간콜입력!$H:$H,$B1595,실시간콜입력!$O:$O,"방문완료")</f>
        <v>0</v>
      </c>
      <c r="M1595" s="29" t="str">
        <f t="shared" si="213"/>
        <v/>
      </c>
      <c r="N1595" s="29"/>
    </row>
    <row r="1596" spans="1:14" ht="19.5" hidden="1" customHeight="1" outlineLevel="1">
      <c r="A1596" s="30" t="str">
        <f>IF(31&lt;=DAY(DATE(YEAR(설정_코스수당!$K$2),MONTH(설정_코스수당!$K$2)+1,0)),DATE(YEAR(설정_코스수당!$K$2),MONTH(설정_코스수당!$K$2),31),"")</f>
        <v/>
      </c>
      <c r="B1596" s="29" t="s">
        <v>192</v>
      </c>
      <c r="C1596" s="29"/>
      <c r="D1596" s="29"/>
      <c r="E1596" s="29" t="str">
        <f t="shared" si="211"/>
        <v/>
      </c>
      <c r="F1596" s="29">
        <f>COUNTIFS(실시간콜입력!$B:$B,$A1596,실시간콜입력!$E:$E,"A",실시간콜입력!$G:$G,$B1596,실시간콜입력!$O:$O,"방문완료")+COUNTIFS(실시간콜입력!$B:$B,$A1596,실시간콜입력!$E:$E,"A",실시간콜입력!$H:$H,$B1596,실시간콜입력!$O:$O,"방문완료")</f>
        <v>0</v>
      </c>
      <c r="G1596" s="29">
        <f>COUNTIFS(실시간콜입력!$B:$B,$A1596,실시간콜입력!$E:$E,"B",실시간콜입력!$G:$G,$B1596,실시간콜입력!$O:$O,"방문완료")+COUNTIFS(실시간콜입력!$B:$B,$A1596,실시간콜입력!$E:$E,"B",실시간콜입력!$H:$H,$B1596,실시간콜입력!$O:$O,"방문완료")</f>
        <v>0</v>
      </c>
      <c r="H1596" s="29">
        <f>COUNTIFS(실시간콜입력!$B:$B,$A1596,실시간콜입력!$E:$E,"C",실시간콜입력!$G:$G,$B1596,실시간콜입력!$O:$O,"방문완료")+COUNTIFS(실시간콜입력!$B:$B,$A1596,실시간콜입력!$E:$E,"C",실시간콜입력!$H:$H,$B1596,실시간콜입력!$O:$O,"방문완료")</f>
        <v>0</v>
      </c>
      <c r="I1596" s="29">
        <f>COUNTIFS(실시간콜입력!$B:$B,$A1596,실시간콜입력!$E:$E,"D",실시간콜입력!$G:$G,$B1596,실시간콜입력!$O:$O,"방문완료")+COUNTIFS(실시간콜입력!$B:$B,$A1596,실시간콜입력!$E:$E,"D",실시간콜입력!$H:$H,$B1596,실시간콜입력!$O:$O,"방문완료")</f>
        <v>0</v>
      </c>
      <c r="J1596" s="29">
        <f>COUNTIFS(실시간콜입력!$B:$B,$A1596,실시간콜입력!$E:$E,"E",실시간콜입력!$G:$G,$B1596,실시간콜입력!$O:$O,"방문완료")+COUNTIFS(실시간콜입력!$B:$B,$A1596,실시간콜입력!$E:$E,"E",실시간콜입력!$H:$H,$B1596,실시간콜입력!$O:$O,"방문완료")</f>
        <v>0</v>
      </c>
      <c r="K1596" s="29">
        <f t="shared" si="212"/>
        <v>0</v>
      </c>
      <c r="L1596" s="33">
        <f>SUMIFS(실시간콜입력!$K:$K,실시간콜입력!$B:$B,$A1596,실시간콜입력!$G:$G,$B1596,실시간콜입력!$O:$O,"방문완료")+SUMIFS(실시간콜입력!$L:$L,실시간콜입력!$B:$B,$A1596,실시간콜입력!$H:$H,$B1596,실시간콜입력!$O:$O,"방문완료")</f>
        <v>0</v>
      </c>
      <c r="M1596" s="29" t="str">
        <f t="shared" si="213"/>
        <v/>
      </c>
      <c r="N1596" s="29"/>
    </row>
    <row r="1597" spans="1:14" ht="19.5" hidden="1" customHeight="1" outlineLevel="1">
      <c r="A1597" s="24" t="str">
        <f>IF(31&lt;=DAY(DATE(YEAR(설정_코스수당!$K$2),MONTH(설정_코스수당!$K$2)+1,0)),DATE(YEAR(설정_코스수당!$K$2),MONTH(설정_코스수당!$K$2),31),"")</f>
        <v/>
      </c>
      <c r="B1597" s="23" t="s">
        <v>193</v>
      </c>
      <c r="C1597" s="29"/>
      <c r="D1597" s="29"/>
      <c r="E1597" s="29" t="str">
        <f t="shared" si="211"/>
        <v/>
      </c>
      <c r="F1597" s="29">
        <f>COUNTIFS(실시간콜입력!$B:$B,$A1597,실시간콜입력!$E:$E,"A",실시간콜입력!$G:$G,$B1597,실시간콜입력!$O:$O,"방문완료")+COUNTIFS(실시간콜입력!$B:$B,$A1597,실시간콜입력!$E:$E,"A",실시간콜입력!$H:$H,$B1597,실시간콜입력!$O:$O,"방문완료")</f>
        <v>0</v>
      </c>
      <c r="G1597" s="29">
        <f>COUNTIFS(실시간콜입력!$B:$B,$A1597,실시간콜입력!$E:$E,"B",실시간콜입력!$G:$G,$B1597,실시간콜입력!$O:$O,"방문완료")+COUNTIFS(실시간콜입력!$B:$B,$A1597,실시간콜입력!$E:$E,"B",실시간콜입력!$H:$H,$B1597,실시간콜입력!$O:$O,"방문완료")</f>
        <v>0</v>
      </c>
      <c r="H1597" s="29">
        <f>COUNTIFS(실시간콜입력!$B:$B,$A1597,실시간콜입력!$E:$E,"C",실시간콜입력!$G:$G,$B1597,실시간콜입력!$O:$O,"방문완료")+COUNTIFS(실시간콜입력!$B:$B,$A1597,실시간콜입력!$E:$E,"C",실시간콜입력!$H:$H,$B1597,실시간콜입력!$O:$O,"방문완료")</f>
        <v>0</v>
      </c>
      <c r="I1597" s="29">
        <f>COUNTIFS(실시간콜입력!$B:$B,$A1597,실시간콜입력!$E:$E,"D",실시간콜입력!$G:$G,$B1597,실시간콜입력!$O:$O,"방문완료")+COUNTIFS(실시간콜입력!$B:$B,$A1597,실시간콜입력!$E:$E,"D",실시간콜입력!$H:$H,$B1597,실시간콜입력!$O:$O,"방문완료")</f>
        <v>0</v>
      </c>
      <c r="J1597" s="29">
        <f>COUNTIFS(실시간콜입력!$B:$B,$A1597,실시간콜입력!$E:$E,"E",실시간콜입력!$G:$G,$B1597,실시간콜입력!$O:$O,"방문완료")+COUNTIFS(실시간콜입력!$B:$B,$A1597,실시간콜입력!$E:$E,"E",실시간콜입력!$H:$H,$B1597,실시간콜입력!$O:$O,"방문완료")</f>
        <v>0</v>
      </c>
      <c r="K1597" s="29">
        <f t="shared" si="212"/>
        <v>0</v>
      </c>
      <c r="L1597" s="27">
        <f>SUMIFS(실시간콜입력!$K:$K,실시간콜입력!$B:$B,$A1597,실시간콜입력!$G:$G,$B1597,실시간콜입력!$O:$O,"방문완료")+SUMIFS(실시간콜입력!$L:$L,실시간콜입력!$B:$B,$A1597,실시간콜입력!$H:$H,$B1597,실시간콜입력!$O:$O,"방문완료")</f>
        <v>0</v>
      </c>
      <c r="M1597" s="29" t="str">
        <f t="shared" si="213"/>
        <v/>
      </c>
      <c r="N1597" s="29"/>
    </row>
    <row r="1598" spans="1:14" ht="19.5" hidden="1" customHeight="1" outlineLevel="1">
      <c r="A1598" s="30" t="str">
        <f>IF(31&lt;=DAY(DATE(YEAR(설정_코스수당!$K$2),MONTH(설정_코스수당!$K$2)+1,0)),DATE(YEAR(설정_코스수당!$K$2),MONTH(설정_코스수당!$K$2),31),"")</f>
        <v/>
      </c>
      <c r="B1598" s="29" t="s">
        <v>194</v>
      </c>
      <c r="C1598" s="29"/>
      <c r="D1598" s="29"/>
      <c r="E1598" s="29" t="str">
        <f t="shared" si="211"/>
        <v/>
      </c>
      <c r="F1598" s="29">
        <f>COUNTIFS(실시간콜입력!$B:$B,$A1598,실시간콜입력!$E:$E,"A",실시간콜입력!$G:$G,$B1598,실시간콜입력!$O:$O,"방문완료")+COUNTIFS(실시간콜입력!$B:$B,$A1598,실시간콜입력!$E:$E,"A",실시간콜입력!$H:$H,$B1598,실시간콜입력!$O:$O,"방문완료")</f>
        <v>0</v>
      </c>
      <c r="G1598" s="29">
        <f>COUNTIFS(실시간콜입력!$B:$B,$A1598,실시간콜입력!$E:$E,"B",실시간콜입력!$G:$G,$B1598,실시간콜입력!$O:$O,"방문완료")+COUNTIFS(실시간콜입력!$B:$B,$A1598,실시간콜입력!$E:$E,"B",실시간콜입력!$H:$H,$B1598,실시간콜입력!$O:$O,"방문완료")</f>
        <v>0</v>
      </c>
      <c r="H1598" s="29">
        <f>COUNTIFS(실시간콜입력!$B:$B,$A1598,실시간콜입력!$E:$E,"C",실시간콜입력!$G:$G,$B1598,실시간콜입력!$O:$O,"방문완료")+COUNTIFS(실시간콜입력!$B:$B,$A1598,실시간콜입력!$E:$E,"C",실시간콜입력!$H:$H,$B1598,실시간콜입력!$O:$O,"방문완료")</f>
        <v>0</v>
      </c>
      <c r="I1598" s="29">
        <f>COUNTIFS(실시간콜입력!$B:$B,$A1598,실시간콜입력!$E:$E,"D",실시간콜입력!$G:$G,$B1598,실시간콜입력!$O:$O,"방문완료")+COUNTIFS(실시간콜입력!$B:$B,$A1598,실시간콜입력!$E:$E,"D",실시간콜입력!$H:$H,$B1598,실시간콜입력!$O:$O,"방문완료")</f>
        <v>0</v>
      </c>
      <c r="J1598" s="29">
        <f>COUNTIFS(실시간콜입력!$B:$B,$A1598,실시간콜입력!$E:$E,"E",실시간콜입력!$G:$G,$B1598,실시간콜입력!$O:$O,"방문완료")+COUNTIFS(실시간콜입력!$B:$B,$A1598,실시간콜입력!$E:$E,"E",실시간콜입력!$H:$H,$B1598,실시간콜입력!$O:$O,"방문완료")</f>
        <v>0</v>
      </c>
      <c r="K1598" s="29">
        <f t="shared" si="212"/>
        <v>0</v>
      </c>
      <c r="L1598" s="33">
        <f>SUMIFS(실시간콜입력!$K:$K,실시간콜입력!$B:$B,$A1598,실시간콜입력!$G:$G,$B1598,실시간콜입력!$O:$O,"방문완료")+SUMIFS(실시간콜입력!$L:$L,실시간콜입력!$B:$B,$A1598,실시간콜입력!$H:$H,$B1598,실시간콜입력!$O:$O,"방문완료")</f>
        <v>0</v>
      </c>
      <c r="M1598" s="29" t="str">
        <f t="shared" si="213"/>
        <v/>
      </c>
      <c r="N1598" s="29"/>
    </row>
    <row r="1599" spans="1:14" ht="19.5" hidden="1" customHeight="1" outlineLevel="1">
      <c r="A1599" s="24" t="str">
        <f>IF(31&lt;=DAY(DATE(YEAR(설정_코스수당!$K$2),MONTH(설정_코스수당!$K$2)+1,0)),DATE(YEAR(설정_코스수당!$K$2),MONTH(설정_코스수당!$K$2),31),"")</f>
        <v/>
      </c>
      <c r="B1599" s="23" t="s">
        <v>195</v>
      </c>
      <c r="C1599" s="29"/>
      <c r="D1599" s="29"/>
      <c r="E1599" s="29" t="str">
        <f t="shared" ref="E1599:E1630" si="214">IF(AND(C1599&lt;&gt;"",D1599&lt;&gt;""),IF(D1599&lt;C1599,D1599+1-C1599,D1599-C1599)*24,"")</f>
        <v/>
      </c>
      <c r="F1599" s="29">
        <f>COUNTIFS(실시간콜입력!$B:$B,$A1599,실시간콜입력!$E:$E,"A",실시간콜입력!$G:$G,$B1599,실시간콜입력!$O:$O,"방문완료")+COUNTIFS(실시간콜입력!$B:$B,$A1599,실시간콜입력!$E:$E,"A",실시간콜입력!$H:$H,$B1599,실시간콜입력!$O:$O,"방문완료")</f>
        <v>0</v>
      </c>
      <c r="G1599" s="29">
        <f>COUNTIFS(실시간콜입력!$B:$B,$A1599,실시간콜입력!$E:$E,"B",실시간콜입력!$G:$G,$B1599,실시간콜입력!$O:$O,"방문완료")+COUNTIFS(실시간콜입력!$B:$B,$A1599,실시간콜입력!$E:$E,"B",실시간콜입력!$H:$H,$B1599,실시간콜입력!$O:$O,"방문완료")</f>
        <v>0</v>
      </c>
      <c r="H1599" s="29">
        <f>COUNTIFS(실시간콜입력!$B:$B,$A1599,실시간콜입력!$E:$E,"C",실시간콜입력!$G:$G,$B1599,실시간콜입력!$O:$O,"방문완료")+COUNTIFS(실시간콜입력!$B:$B,$A1599,실시간콜입력!$E:$E,"C",실시간콜입력!$H:$H,$B1599,실시간콜입력!$O:$O,"방문완료")</f>
        <v>0</v>
      </c>
      <c r="I1599" s="29">
        <f>COUNTIFS(실시간콜입력!$B:$B,$A1599,실시간콜입력!$E:$E,"D",실시간콜입력!$G:$G,$B1599,실시간콜입력!$O:$O,"방문완료")+COUNTIFS(실시간콜입력!$B:$B,$A1599,실시간콜입력!$E:$E,"D",실시간콜입력!$H:$H,$B1599,실시간콜입력!$O:$O,"방문완료")</f>
        <v>0</v>
      </c>
      <c r="J1599" s="29">
        <f>COUNTIFS(실시간콜입력!$B:$B,$A1599,실시간콜입력!$E:$E,"E",실시간콜입력!$G:$G,$B1599,실시간콜입력!$O:$O,"방문완료")+COUNTIFS(실시간콜입력!$B:$B,$A1599,실시간콜입력!$E:$E,"E",실시간콜입력!$H:$H,$B1599,실시간콜입력!$O:$O,"방문완료")</f>
        <v>0</v>
      </c>
      <c r="K1599" s="29">
        <f t="shared" ref="K1599:K1630" si="215">SUM(F1599:J1599)</f>
        <v>0</v>
      </c>
      <c r="L1599" s="27">
        <f>SUMIFS(실시간콜입력!$K:$K,실시간콜입력!$B:$B,$A1599,실시간콜입력!$G:$G,$B1599,실시간콜입력!$O:$O,"방문완료")+SUMIFS(실시간콜입력!$L:$L,실시간콜입력!$B:$B,$A1599,실시간콜입력!$H:$H,$B1599,실시간콜입력!$O:$O,"방문완료")</f>
        <v>0</v>
      </c>
      <c r="M1599" s="29" t="str">
        <f t="shared" ref="M1599:M1616" si="216">IF(AND(ISNUMBER(E1599),E1599&gt;=8),"인정","")</f>
        <v/>
      </c>
      <c r="N1599" s="29"/>
    </row>
    <row r="1600" spans="1:14" ht="19.5" hidden="1" customHeight="1" outlineLevel="1">
      <c r="A1600" s="30" t="str">
        <f>IF(31&lt;=DAY(DATE(YEAR(설정_코스수당!$K$2),MONTH(설정_코스수당!$K$2)+1,0)),DATE(YEAR(설정_코스수당!$K$2),MONTH(설정_코스수당!$K$2),31),"")</f>
        <v/>
      </c>
      <c r="B1600" s="29" t="s">
        <v>196</v>
      </c>
      <c r="C1600" s="29"/>
      <c r="D1600" s="29"/>
      <c r="E1600" s="29" t="str">
        <f t="shared" si="214"/>
        <v/>
      </c>
      <c r="F1600" s="29">
        <f>COUNTIFS(실시간콜입력!$B:$B,$A1600,실시간콜입력!$E:$E,"A",실시간콜입력!$G:$G,$B1600,실시간콜입력!$O:$O,"방문완료")+COUNTIFS(실시간콜입력!$B:$B,$A1600,실시간콜입력!$E:$E,"A",실시간콜입력!$H:$H,$B1600,실시간콜입력!$O:$O,"방문완료")</f>
        <v>0</v>
      </c>
      <c r="G1600" s="29">
        <f>COUNTIFS(실시간콜입력!$B:$B,$A1600,실시간콜입력!$E:$E,"B",실시간콜입력!$G:$G,$B1600,실시간콜입력!$O:$O,"방문완료")+COUNTIFS(실시간콜입력!$B:$B,$A1600,실시간콜입력!$E:$E,"B",실시간콜입력!$H:$H,$B1600,실시간콜입력!$O:$O,"방문완료")</f>
        <v>0</v>
      </c>
      <c r="H1600" s="29">
        <f>COUNTIFS(실시간콜입력!$B:$B,$A1600,실시간콜입력!$E:$E,"C",실시간콜입력!$G:$G,$B1600,실시간콜입력!$O:$O,"방문완료")+COUNTIFS(실시간콜입력!$B:$B,$A1600,실시간콜입력!$E:$E,"C",실시간콜입력!$H:$H,$B1600,실시간콜입력!$O:$O,"방문완료")</f>
        <v>0</v>
      </c>
      <c r="I1600" s="29">
        <f>COUNTIFS(실시간콜입력!$B:$B,$A1600,실시간콜입력!$E:$E,"D",실시간콜입력!$G:$G,$B1600,실시간콜입력!$O:$O,"방문완료")+COUNTIFS(실시간콜입력!$B:$B,$A1600,실시간콜입력!$E:$E,"D",실시간콜입력!$H:$H,$B1600,실시간콜입력!$O:$O,"방문완료")</f>
        <v>0</v>
      </c>
      <c r="J1600" s="29">
        <f>COUNTIFS(실시간콜입력!$B:$B,$A1600,실시간콜입력!$E:$E,"E",실시간콜입력!$G:$G,$B1600,실시간콜입력!$O:$O,"방문완료")+COUNTIFS(실시간콜입력!$B:$B,$A1600,실시간콜입력!$E:$E,"E",실시간콜입력!$H:$H,$B1600,실시간콜입력!$O:$O,"방문완료")</f>
        <v>0</v>
      </c>
      <c r="K1600" s="29">
        <f t="shared" si="215"/>
        <v>0</v>
      </c>
      <c r="L1600" s="33">
        <f>SUMIFS(실시간콜입력!$K:$K,실시간콜입력!$B:$B,$A1600,실시간콜입력!$G:$G,$B1600,실시간콜입력!$O:$O,"방문완료")+SUMIFS(실시간콜입력!$L:$L,실시간콜입력!$B:$B,$A1600,실시간콜입력!$H:$H,$B1600,실시간콜입력!$O:$O,"방문완료")</f>
        <v>0</v>
      </c>
      <c r="M1600" s="29" t="str">
        <f t="shared" si="216"/>
        <v/>
      </c>
      <c r="N1600" s="29"/>
    </row>
    <row r="1601" spans="1:14" ht="19.5" hidden="1" customHeight="1" outlineLevel="1">
      <c r="A1601" s="24" t="str">
        <f>IF(31&lt;=DAY(DATE(YEAR(설정_코스수당!$K$2),MONTH(설정_코스수당!$K$2)+1,0)),DATE(YEAR(설정_코스수당!$K$2),MONTH(설정_코스수당!$K$2),31),"")</f>
        <v/>
      </c>
      <c r="B1601" s="23" t="s">
        <v>197</v>
      </c>
      <c r="C1601" s="29"/>
      <c r="D1601" s="29"/>
      <c r="E1601" s="29" t="str">
        <f t="shared" si="214"/>
        <v/>
      </c>
      <c r="F1601" s="29">
        <f>COUNTIFS(실시간콜입력!$B:$B,$A1601,실시간콜입력!$E:$E,"A",실시간콜입력!$G:$G,$B1601,실시간콜입력!$O:$O,"방문완료")+COUNTIFS(실시간콜입력!$B:$B,$A1601,실시간콜입력!$E:$E,"A",실시간콜입력!$H:$H,$B1601,실시간콜입력!$O:$O,"방문완료")</f>
        <v>0</v>
      </c>
      <c r="G1601" s="29">
        <f>COUNTIFS(실시간콜입력!$B:$B,$A1601,실시간콜입력!$E:$E,"B",실시간콜입력!$G:$G,$B1601,실시간콜입력!$O:$O,"방문완료")+COUNTIFS(실시간콜입력!$B:$B,$A1601,실시간콜입력!$E:$E,"B",실시간콜입력!$H:$H,$B1601,실시간콜입력!$O:$O,"방문완료")</f>
        <v>0</v>
      </c>
      <c r="H1601" s="29">
        <f>COUNTIFS(실시간콜입력!$B:$B,$A1601,실시간콜입력!$E:$E,"C",실시간콜입력!$G:$G,$B1601,실시간콜입력!$O:$O,"방문완료")+COUNTIFS(실시간콜입력!$B:$B,$A1601,실시간콜입력!$E:$E,"C",실시간콜입력!$H:$H,$B1601,실시간콜입력!$O:$O,"방문완료")</f>
        <v>0</v>
      </c>
      <c r="I1601" s="29">
        <f>COUNTIFS(실시간콜입력!$B:$B,$A1601,실시간콜입력!$E:$E,"D",실시간콜입력!$G:$G,$B1601,실시간콜입력!$O:$O,"방문완료")+COUNTIFS(실시간콜입력!$B:$B,$A1601,실시간콜입력!$E:$E,"D",실시간콜입력!$H:$H,$B1601,실시간콜입력!$O:$O,"방문완료")</f>
        <v>0</v>
      </c>
      <c r="J1601" s="29">
        <f>COUNTIFS(실시간콜입력!$B:$B,$A1601,실시간콜입력!$E:$E,"E",실시간콜입력!$G:$G,$B1601,실시간콜입력!$O:$O,"방문완료")+COUNTIFS(실시간콜입력!$B:$B,$A1601,실시간콜입력!$E:$E,"E",실시간콜입력!$H:$H,$B1601,실시간콜입력!$O:$O,"방문완료")</f>
        <v>0</v>
      </c>
      <c r="K1601" s="29">
        <f t="shared" si="215"/>
        <v>0</v>
      </c>
      <c r="L1601" s="27">
        <f>SUMIFS(실시간콜입력!$K:$K,실시간콜입력!$B:$B,$A1601,실시간콜입력!$G:$G,$B1601,실시간콜입력!$O:$O,"방문완료")+SUMIFS(실시간콜입력!$L:$L,실시간콜입력!$B:$B,$A1601,실시간콜입력!$H:$H,$B1601,실시간콜입력!$O:$O,"방문완료")</f>
        <v>0</v>
      </c>
      <c r="M1601" s="29" t="str">
        <f t="shared" si="216"/>
        <v/>
      </c>
      <c r="N1601" s="29"/>
    </row>
    <row r="1602" spans="1:14" ht="19.5" hidden="1" customHeight="1" outlineLevel="1">
      <c r="A1602" s="30" t="str">
        <f>IF(31&lt;=DAY(DATE(YEAR(설정_코스수당!$K$2),MONTH(설정_코스수당!$K$2)+1,0)),DATE(YEAR(설정_코스수당!$K$2),MONTH(설정_코스수당!$K$2),31),"")</f>
        <v/>
      </c>
      <c r="B1602" s="29" t="s">
        <v>198</v>
      </c>
      <c r="C1602" s="29"/>
      <c r="D1602" s="29"/>
      <c r="E1602" s="29" t="str">
        <f t="shared" si="214"/>
        <v/>
      </c>
      <c r="F1602" s="29">
        <f>COUNTIFS(실시간콜입력!$B:$B,$A1602,실시간콜입력!$E:$E,"A",실시간콜입력!$G:$G,$B1602,실시간콜입력!$O:$O,"방문완료")+COUNTIFS(실시간콜입력!$B:$B,$A1602,실시간콜입력!$E:$E,"A",실시간콜입력!$H:$H,$B1602,실시간콜입력!$O:$O,"방문완료")</f>
        <v>0</v>
      </c>
      <c r="G1602" s="29">
        <f>COUNTIFS(실시간콜입력!$B:$B,$A1602,실시간콜입력!$E:$E,"B",실시간콜입력!$G:$G,$B1602,실시간콜입력!$O:$O,"방문완료")+COUNTIFS(실시간콜입력!$B:$B,$A1602,실시간콜입력!$E:$E,"B",실시간콜입력!$H:$H,$B1602,실시간콜입력!$O:$O,"방문완료")</f>
        <v>0</v>
      </c>
      <c r="H1602" s="29">
        <f>COUNTIFS(실시간콜입력!$B:$B,$A1602,실시간콜입력!$E:$E,"C",실시간콜입력!$G:$G,$B1602,실시간콜입력!$O:$O,"방문완료")+COUNTIFS(실시간콜입력!$B:$B,$A1602,실시간콜입력!$E:$E,"C",실시간콜입력!$H:$H,$B1602,실시간콜입력!$O:$O,"방문완료")</f>
        <v>0</v>
      </c>
      <c r="I1602" s="29">
        <f>COUNTIFS(실시간콜입력!$B:$B,$A1602,실시간콜입력!$E:$E,"D",실시간콜입력!$G:$G,$B1602,실시간콜입력!$O:$O,"방문완료")+COUNTIFS(실시간콜입력!$B:$B,$A1602,실시간콜입력!$E:$E,"D",실시간콜입력!$H:$H,$B1602,실시간콜입력!$O:$O,"방문완료")</f>
        <v>0</v>
      </c>
      <c r="J1602" s="29">
        <f>COUNTIFS(실시간콜입력!$B:$B,$A1602,실시간콜입력!$E:$E,"E",실시간콜입력!$G:$G,$B1602,실시간콜입력!$O:$O,"방문완료")+COUNTIFS(실시간콜입력!$B:$B,$A1602,실시간콜입력!$E:$E,"E",실시간콜입력!$H:$H,$B1602,실시간콜입력!$O:$O,"방문완료")</f>
        <v>0</v>
      </c>
      <c r="K1602" s="29">
        <f t="shared" si="215"/>
        <v>0</v>
      </c>
      <c r="L1602" s="33">
        <f>SUMIFS(실시간콜입력!$K:$K,실시간콜입력!$B:$B,$A1602,실시간콜입력!$G:$G,$B1602,실시간콜입력!$O:$O,"방문완료")+SUMIFS(실시간콜입력!$L:$L,실시간콜입력!$B:$B,$A1602,실시간콜입력!$H:$H,$B1602,실시간콜입력!$O:$O,"방문완료")</f>
        <v>0</v>
      </c>
      <c r="M1602" s="29" t="str">
        <f t="shared" si="216"/>
        <v/>
      </c>
      <c r="N1602" s="29"/>
    </row>
    <row r="1603" spans="1:14" ht="19.5" hidden="1" customHeight="1" outlineLevel="1">
      <c r="A1603" s="24" t="str">
        <f>IF(31&lt;=DAY(DATE(YEAR(설정_코스수당!$K$2),MONTH(설정_코스수당!$K$2)+1,0)),DATE(YEAR(설정_코스수당!$K$2),MONTH(설정_코스수당!$K$2),31),"")</f>
        <v/>
      </c>
      <c r="B1603" s="23" t="s">
        <v>199</v>
      </c>
      <c r="C1603" s="29"/>
      <c r="D1603" s="29"/>
      <c r="E1603" s="29" t="str">
        <f t="shared" si="214"/>
        <v/>
      </c>
      <c r="F1603" s="29">
        <f>COUNTIFS(실시간콜입력!$B:$B,$A1603,실시간콜입력!$E:$E,"A",실시간콜입력!$G:$G,$B1603,실시간콜입력!$O:$O,"방문완료")+COUNTIFS(실시간콜입력!$B:$B,$A1603,실시간콜입력!$E:$E,"A",실시간콜입력!$H:$H,$B1603,실시간콜입력!$O:$O,"방문완료")</f>
        <v>0</v>
      </c>
      <c r="G1603" s="29">
        <f>COUNTIFS(실시간콜입력!$B:$B,$A1603,실시간콜입력!$E:$E,"B",실시간콜입력!$G:$G,$B1603,실시간콜입력!$O:$O,"방문완료")+COUNTIFS(실시간콜입력!$B:$B,$A1603,실시간콜입력!$E:$E,"B",실시간콜입력!$H:$H,$B1603,실시간콜입력!$O:$O,"방문완료")</f>
        <v>0</v>
      </c>
      <c r="H1603" s="29">
        <f>COUNTIFS(실시간콜입력!$B:$B,$A1603,실시간콜입력!$E:$E,"C",실시간콜입력!$G:$G,$B1603,실시간콜입력!$O:$O,"방문완료")+COUNTIFS(실시간콜입력!$B:$B,$A1603,실시간콜입력!$E:$E,"C",실시간콜입력!$H:$H,$B1603,실시간콜입력!$O:$O,"방문완료")</f>
        <v>0</v>
      </c>
      <c r="I1603" s="29">
        <f>COUNTIFS(실시간콜입력!$B:$B,$A1603,실시간콜입력!$E:$E,"D",실시간콜입력!$G:$G,$B1603,실시간콜입력!$O:$O,"방문완료")+COUNTIFS(실시간콜입력!$B:$B,$A1603,실시간콜입력!$E:$E,"D",실시간콜입력!$H:$H,$B1603,실시간콜입력!$O:$O,"방문완료")</f>
        <v>0</v>
      </c>
      <c r="J1603" s="29">
        <f>COUNTIFS(실시간콜입력!$B:$B,$A1603,실시간콜입력!$E:$E,"E",실시간콜입력!$G:$G,$B1603,실시간콜입력!$O:$O,"방문완료")+COUNTIFS(실시간콜입력!$B:$B,$A1603,실시간콜입력!$E:$E,"E",실시간콜입력!$H:$H,$B1603,실시간콜입력!$O:$O,"방문완료")</f>
        <v>0</v>
      </c>
      <c r="K1603" s="29">
        <f t="shared" si="215"/>
        <v>0</v>
      </c>
      <c r="L1603" s="27">
        <f>SUMIFS(실시간콜입력!$K:$K,실시간콜입력!$B:$B,$A1603,실시간콜입력!$G:$G,$B1603,실시간콜입력!$O:$O,"방문완료")+SUMIFS(실시간콜입력!$L:$L,실시간콜입력!$B:$B,$A1603,실시간콜입력!$H:$H,$B1603,실시간콜입력!$O:$O,"방문완료")</f>
        <v>0</v>
      </c>
      <c r="M1603" s="29" t="str">
        <f t="shared" si="216"/>
        <v/>
      </c>
      <c r="N1603" s="29"/>
    </row>
    <row r="1604" spans="1:14" ht="19.5" hidden="1" customHeight="1" outlineLevel="1">
      <c r="A1604" s="30" t="str">
        <f>IF(31&lt;=DAY(DATE(YEAR(설정_코스수당!$K$2),MONTH(설정_코스수당!$K$2)+1,0)),DATE(YEAR(설정_코스수당!$K$2),MONTH(설정_코스수당!$K$2),31),"")</f>
        <v/>
      </c>
      <c r="B1604" s="29" t="s">
        <v>200</v>
      </c>
      <c r="C1604" s="29"/>
      <c r="D1604" s="29"/>
      <c r="E1604" s="29" t="str">
        <f t="shared" si="214"/>
        <v/>
      </c>
      <c r="F1604" s="29">
        <f>COUNTIFS(실시간콜입력!$B:$B,$A1604,실시간콜입력!$E:$E,"A",실시간콜입력!$G:$G,$B1604,실시간콜입력!$O:$O,"방문완료")+COUNTIFS(실시간콜입력!$B:$B,$A1604,실시간콜입력!$E:$E,"A",실시간콜입력!$H:$H,$B1604,실시간콜입력!$O:$O,"방문완료")</f>
        <v>0</v>
      </c>
      <c r="G1604" s="29">
        <f>COUNTIFS(실시간콜입력!$B:$B,$A1604,실시간콜입력!$E:$E,"B",실시간콜입력!$G:$G,$B1604,실시간콜입력!$O:$O,"방문완료")+COUNTIFS(실시간콜입력!$B:$B,$A1604,실시간콜입력!$E:$E,"B",실시간콜입력!$H:$H,$B1604,실시간콜입력!$O:$O,"방문완료")</f>
        <v>0</v>
      </c>
      <c r="H1604" s="29">
        <f>COUNTIFS(실시간콜입력!$B:$B,$A1604,실시간콜입력!$E:$E,"C",실시간콜입력!$G:$G,$B1604,실시간콜입력!$O:$O,"방문완료")+COUNTIFS(실시간콜입력!$B:$B,$A1604,실시간콜입력!$E:$E,"C",실시간콜입력!$H:$H,$B1604,실시간콜입력!$O:$O,"방문완료")</f>
        <v>0</v>
      </c>
      <c r="I1604" s="29">
        <f>COUNTIFS(실시간콜입력!$B:$B,$A1604,실시간콜입력!$E:$E,"D",실시간콜입력!$G:$G,$B1604,실시간콜입력!$O:$O,"방문완료")+COUNTIFS(실시간콜입력!$B:$B,$A1604,실시간콜입력!$E:$E,"D",실시간콜입력!$H:$H,$B1604,실시간콜입력!$O:$O,"방문완료")</f>
        <v>0</v>
      </c>
      <c r="J1604" s="29">
        <f>COUNTIFS(실시간콜입력!$B:$B,$A1604,실시간콜입력!$E:$E,"E",실시간콜입력!$G:$G,$B1604,실시간콜입력!$O:$O,"방문완료")+COUNTIFS(실시간콜입력!$B:$B,$A1604,실시간콜입력!$E:$E,"E",실시간콜입력!$H:$H,$B1604,실시간콜입력!$O:$O,"방문완료")</f>
        <v>0</v>
      </c>
      <c r="K1604" s="29">
        <f t="shared" si="215"/>
        <v>0</v>
      </c>
      <c r="L1604" s="33">
        <f>SUMIFS(실시간콜입력!$K:$K,실시간콜입력!$B:$B,$A1604,실시간콜입력!$G:$G,$B1604,실시간콜입력!$O:$O,"방문완료")+SUMIFS(실시간콜입력!$L:$L,실시간콜입력!$B:$B,$A1604,실시간콜입력!$H:$H,$B1604,실시간콜입력!$O:$O,"방문완료")</f>
        <v>0</v>
      </c>
      <c r="M1604" s="29" t="str">
        <f t="shared" si="216"/>
        <v/>
      </c>
      <c r="N1604" s="29"/>
    </row>
    <row r="1605" spans="1:14" ht="19.5" hidden="1" customHeight="1" outlineLevel="1">
      <c r="A1605" s="24" t="str">
        <f>IF(31&lt;=DAY(DATE(YEAR(설정_코스수당!$K$2),MONTH(설정_코스수당!$K$2)+1,0)),DATE(YEAR(설정_코스수당!$K$2),MONTH(설정_코스수당!$K$2),31),"")</f>
        <v/>
      </c>
      <c r="B1605" s="23" t="s">
        <v>201</v>
      </c>
      <c r="C1605" s="29"/>
      <c r="D1605" s="29"/>
      <c r="E1605" s="29" t="str">
        <f t="shared" si="214"/>
        <v/>
      </c>
      <c r="F1605" s="29">
        <f>COUNTIFS(실시간콜입력!$B:$B,$A1605,실시간콜입력!$E:$E,"A",실시간콜입력!$G:$G,$B1605,실시간콜입력!$O:$O,"방문완료")+COUNTIFS(실시간콜입력!$B:$B,$A1605,실시간콜입력!$E:$E,"A",실시간콜입력!$H:$H,$B1605,실시간콜입력!$O:$O,"방문완료")</f>
        <v>0</v>
      </c>
      <c r="G1605" s="29">
        <f>COUNTIFS(실시간콜입력!$B:$B,$A1605,실시간콜입력!$E:$E,"B",실시간콜입력!$G:$G,$B1605,실시간콜입력!$O:$O,"방문완료")+COUNTIFS(실시간콜입력!$B:$B,$A1605,실시간콜입력!$E:$E,"B",실시간콜입력!$H:$H,$B1605,실시간콜입력!$O:$O,"방문완료")</f>
        <v>0</v>
      </c>
      <c r="H1605" s="29">
        <f>COUNTIFS(실시간콜입력!$B:$B,$A1605,실시간콜입력!$E:$E,"C",실시간콜입력!$G:$G,$B1605,실시간콜입력!$O:$O,"방문완료")+COUNTIFS(실시간콜입력!$B:$B,$A1605,실시간콜입력!$E:$E,"C",실시간콜입력!$H:$H,$B1605,실시간콜입력!$O:$O,"방문완료")</f>
        <v>0</v>
      </c>
      <c r="I1605" s="29">
        <f>COUNTIFS(실시간콜입력!$B:$B,$A1605,실시간콜입력!$E:$E,"D",실시간콜입력!$G:$G,$B1605,실시간콜입력!$O:$O,"방문완료")+COUNTIFS(실시간콜입력!$B:$B,$A1605,실시간콜입력!$E:$E,"D",실시간콜입력!$H:$H,$B1605,실시간콜입력!$O:$O,"방문완료")</f>
        <v>0</v>
      </c>
      <c r="J1605" s="29">
        <f>COUNTIFS(실시간콜입력!$B:$B,$A1605,실시간콜입력!$E:$E,"E",실시간콜입력!$G:$G,$B1605,실시간콜입력!$O:$O,"방문완료")+COUNTIFS(실시간콜입력!$B:$B,$A1605,실시간콜입력!$E:$E,"E",실시간콜입력!$H:$H,$B1605,실시간콜입력!$O:$O,"방문완료")</f>
        <v>0</v>
      </c>
      <c r="K1605" s="29">
        <f t="shared" si="215"/>
        <v>0</v>
      </c>
      <c r="L1605" s="27">
        <f>SUMIFS(실시간콜입력!$K:$K,실시간콜입력!$B:$B,$A1605,실시간콜입력!$G:$G,$B1605,실시간콜입력!$O:$O,"방문완료")+SUMIFS(실시간콜입력!$L:$L,실시간콜입력!$B:$B,$A1605,실시간콜입력!$H:$H,$B1605,실시간콜입력!$O:$O,"방문완료")</f>
        <v>0</v>
      </c>
      <c r="M1605" s="29" t="str">
        <f t="shared" si="216"/>
        <v/>
      </c>
      <c r="N1605" s="29"/>
    </row>
    <row r="1606" spans="1:14" ht="19.5" hidden="1" customHeight="1" outlineLevel="1">
      <c r="A1606" s="30" t="str">
        <f>IF(31&lt;=DAY(DATE(YEAR(설정_코스수당!$K$2),MONTH(설정_코스수당!$K$2)+1,0)),DATE(YEAR(설정_코스수당!$K$2),MONTH(설정_코스수당!$K$2),31),"")</f>
        <v/>
      </c>
      <c r="B1606" s="29" t="s">
        <v>202</v>
      </c>
      <c r="C1606" s="29"/>
      <c r="D1606" s="29"/>
      <c r="E1606" s="29" t="str">
        <f t="shared" si="214"/>
        <v/>
      </c>
      <c r="F1606" s="29">
        <f>COUNTIFS(실시간콜입력!$B:$B,$A1606,실시간콜입력!$E:$E,"A",실시간콜입력!$G:$G,$B1606,실시간콜입력!$O:$O,"방문완료")+COUNTIFS(실시간콜입력!$B:$B,$A1606,실시간콜입력!$E:$E,"A",실시간콜입력!$H:$H,$B1606,실시간콜입력!$O:$O,"방문완료")</f>
        <v>0</v>
      </c>
      <c r="G1606" s="29">
        <f>COUNTIFS(실시간콜입력!$B:$B,$A1606,실시간콜입력!$E:$E,"B",실시간콜입력!$G:$G,$B1606,실시간콜입력!$O:$O,"방문완료")+COUNTIFS(실시간콜입력!$B:$B,$A1606,실시간콜입력!$E:$E,"B",실시간콜입력!$H:$H,$B1606,실시간콜입력!$O:$O,"방문완료")</f>
        <v>0</v>
      </c>
      <c r="H1606" s="29">
        <f>COUNTIFS(실시간콜입력!$B:$B,$A1606,실시간콜입력!$E:$E,"C",실시간콜입력!$G:$G,$B1606,실시간콜입력!$O:$O,"방문완료")+COUNTIFS(실시간콜입력!$B:$B,$A1606,실시간콜입력!$E:$E,"C",실시간콜입력!$H:$H,$B1606,실시간콜입력!$O:$O,"방문완료")</f>
        <v>0</v>
      </c>
      <c r="I1606" s="29">
        <f>COUNTIFS(실시간콜입력!$B:$B,$A1606,실시간콜입력!$E:$E,"D",실시간콜입력!$G:$G,$B1606,실시간콜입력!$O:$O,"방문완료")+COUNTIFS(실시간콜입력!$B:$B,$A1606,실시간콜입력!$E:$E,"D",실시간콜입력!$H:$H,$B1606,실시간콜입력!$O:$O,"방문완료")</f>
        <v>0</v>
      </c>
      <c r="J1606" s="29">
        <f>COUNTIFS(실시간콜입력!$B:$B,$A1606,실시간콜입력!$E:$E,"E",실시간콜입력!$G:$G,$B1606,실시간콜입력!$O:$O,"방문완료")+COUNTIFS(실시간콜입력!$B:$B,$A1606,실시간콜입력!$E:$E,"E",실시간콜입력!$H:$H,$B1606,실시간콜입력!$O:$O,"방문완료")</f>
        <v>0</v>
      </c>
      <c r="K1606" s="29">
        <f t="shared" si="215"/>
        <v>0</v>
      </c>
      <c r="L1606" s="33">
        <f>SUMIFS(실시간콜입력!$K:$K,실시간콜입력!$B:$B,$A1606,실시간콜입력!$G:$G,$B1606,실시간콜입력!$O:$O,"방문완료")+SUMIFS(실시간콜입력!$L:$L,실시간콜입력!$B:$B,$A1606,실시간콜입력!$H:$H,$B1606,실시간콜입력!$O:$O,"방문완료")</f>
        <v>0</v>
      </c>
      <c r="M1606" s="29" t="str">
        <f t="shared" si="216"/>
        <v/>
      </c>
      <c r="N1606" s="29"/>
    </row>
    <row r="1607" spans="1:14" ht="19.5" hidden="1" customHeight="1" outlineLevel="1">
      <c r="A1607" s="24" t="str">
        <f>IF(31&lt;=DAY(DATE(YEAR(설정_코스수당!$K$2),MONTH(설정_코스수당!$K$2)+1,0)),DATE(YEAR(설정_코스수당!$K$2),MONTH(설정_코스수당!$K$2),31),"")</f>
        <v/>
      </c>
      <c r="B1607" s="23" t="s">
        <v>203</v>
      </c>
      <c r="C1607" s="29"/>
      <c r="D1607" s="29"/>
      <c r="E1607" s="29" t="str">
        <f t="shared" si="214"/>
        <v/>
      </c>
      <c r="F1607" s="29">
        <f>COUNTIFS(실시간콜입력!$B:$B,$A1607,실시간콜입력!$E:$E,"A",실시간콜입력!$G:$G,$B1607,실시간콜입력!$O:$O,"방문완료")+COUNTIFS(실시간콜입력!$B:$B,$A1607,실시간콜입력!$E:$E,"A",실시간콜입력!$H:$H,$B1607,실시간콜입력!$O:$O,"방문완료")</f>
        <v>0</v>
      </c>
      <c r="G1607" s="29">
        <f>COUNTIFS(실시간콜입력!$B:$B,$A1607,실시간콜입력!$E:$E,"B",실시간콜입력!$G:$G,$B1607,실시간콜입력!$O:$O,"방문완료")+COUNTIFS(실시간콜입력!$B:$B,$A1607,실시간콜입력!$E:$E,"B",실시간콜입력!$H:$H,$B1607,실시간콜입력!$O:$O,"방문완료")</f>
        <v>0</v>
      </c>
      <c r="H1607" s="29">
        <f>COUNTIFS(실시간콜입력!$B:$B,$A1607,실시간콜입력!$E:$E,"C",실시간콜입력!$G:$G,$B1607,실시간콜입력!$O:$O,"방문완료")+COUNTIFS(실시간콜입력!$B:$B,$A1607,실시간콜입력!$E:$E,"C",실시간콜입력!$H:$H,$B1607,실시간콜입력!$O:$O,"방문완료")</f>
        <v>0</v>
      </c>
      <c r="I1607" s="29">
        <f>COUNTIFS(실시간콜입력!$B:$B,$A1607,실시간콜입력!$E:$E,"D",실시간콜입력!$G:$G,$B1607,실시간콜입력!$O:$O,"방문완료")+COUNTIFS(실시간콜입력!$B:$B,$A1607,실시간콜입력!$E:$E,"D",실시간콜입력!$H:$H,$B1607,실시간콜입력!$O:$O,"방문완료")</f>
        <v>0</v>
      </c>
      <c r="J1607" s="29">
        <f>COUNTIFS(실시간콜입력!$B:$B,$A1607,실시간콜입력!$E:$E,"E",실시간콜입력!$G:$G,$B1607,실시간콜입력!$O:$O,"방문완료")+COUNTIFS(실시간콜입력!$B:$B,$A1607,실시간콜입력!$E:$E,"E",실시간콜입력!$H:$H,$B1607,실시간콜입력!$O:$O,"방문완료")</f>
        <v>0</v>
      </c>
      <c r="K1607" s="29">
        <f t="shared" si="215"/>
        <v>0</v>
      </c>
      <c r="L1607" s="27">
        <f>SUMIFS(실시간콜입력!$K:$K,실시간콜입력!$B:$B,$A1607,실시간콜입력!$G:$G,$B1607,실시간콜입력!$O:$O,"방문완료")+SUMIFS(실시간콜입력!$L:$L,실시간콜입력!$B:$B,$A1607,실시간콜입력!$H:$H,$B1607,실시간콜입력!$O:$O,"방문완료")</f>
        <v>0</v>
      </c>
      <c r="M1607" s="29" t="str">
        <f t="shared" si="216"/>
        <v/>
      </c>
      <c r="N1607" s="29"/>
    </row>
    <row r="1608" spans="1:14" ht="19.5" hidden="1" customHeight="1" outlineLevel="1">
      <c r="A1608" s="30" t="str">
        <f>IF(31&lt;=DAY(DATE(YEAR(설정_코스수당!$K$2),MONTH(설정_코스수당!$K$2)+1,0)),DATE(YEAR(설정_코스수당!$K$2),MONTH(설정_코스수당!$K$2),31),"")</f>
        <v/>
      </c>
      <c r="B1608" s="29" t="s">
        <v>204</v>
      </c>
      <c r="C1608" s="29"/>
      <c r="D1608" s="29"/>
      <c r="E1608" s="29" t="str">
        <f t="shared" si="214"/>
        <v/>
      </c>
      <c r="F1608" s="29">
        <f>COUNTIFS(실시간콜입력!$B:$B,$A1608,실시간콜입력!$E:$E,"A",실시간콜입력!$G:$G,$B1608,실시간콜입력!$O:$O,"방문완료")+COUNTIFS(실시간콜입력!$B:$B,$A1608,실시간콜입력!$E:$E,"A",실시간콜입력!$H:$H,$B1608,실시간콜입력!$O:$O,"방문완료")</f>
        <v>0</v>
      </c>
      <c r="G1608" s="29">
        <f>COUNTIFS(실시간콜입력!$B:$B,$A1608,실시간콜입력!$E:$E,"B",실시간콜입력!$G:$G,$B1608,실시간콜입력!$O:$O,"방문완료")+COUNTIFS(실시간콜입력!$B:$B,$A1608,실시간콜입력!$E:$E,"B",실시간콜입력!$H:$H,$B1608,실시간콜입력!$O:$O,"방문완료")</f>
        <v>0</v>
      </c>
      <c r="H1608" s="29">
        <f>COUNTIFS(실시간콜입력!$B:$B,$A1608,실시간콜입력!$E:$E,"C",실시간콜입력!$G:$G,$B1608,실시간콜입력!$O:$O,"방문완료")+COUNTIFS(실시간콜입력!$B:$B,$A1608,실시간콜입력!$E:$E,"C",실시간콜입력!$H:$H,$B1608,실시간콜입력!$O:$O,"방문완료")</f>
        <v>0</v>
      </c>
      <c r="I1608" s="29">
        <f>COUNTIFS(실시간콜입력!$B:$B,$A1608,실시간콜입력!$E:$E,"D",실시간콜입력!$G:$G,$B1608,실시간콜입력!$O:$O,"방문완료")+COUNTIFS(실시간콜입력!$B:$B,$A1608,실시간콜입력!$E:$E,"D",실시간콜입력!$H:$H,$B1608,실시간콜입력!$O:$O,"방문완료")</f>
        <v>0</v>
      </c>
      <c r="J1608" s="29">
        <f>COUNTIFS(실시간콜입력!$B:$B,$A1608,실시간콜입력!$E:$E,"E",실시간콜입력!$G:$G,$B1608,실시간콜입력!$O:$O,"방문완료")+COUNTIFS(실시간콜입력!$B:$B,$A1608,실시간콜입력!$E:$E,"E",실시간콜입력!$H:$H,$B1608,실시간콜입력!$O:$O,"방문완료")</f>
        <v>0</v>
      </c>
      <c r="K1608" s="29">
        <f t="shared" si="215"/>
        <v>0</v>
      </c>
      <c r="L1608" s="33">
        <f>SUMIFS(실시간콜입력!$K:$K,실시간콜입력!$B:$B,$A1608,실시간콜입력!$G:$G,$B1608,실시간콜입력!$O:$O,"방문완료")+SUMIFS(실시간콜입력!$L:$L,실시간콜입력!$B:$B,$A1608,실시간콜입력!$H:$H,$B1608,실시간콜입력!$O:$O,"방문완료")</f>
        <v>0</v>
      </c>
      <c r="M1608" s="29" t="str">
        <f t="shared" si="216"/>
        <v/>
      </c>
      <c r="N1608" s="29"/>
    </row>
    <row r="1609" spans="1:14" ht="19.5" hidden="1" customHeight="1" outlineLevel="1">
      <c r="A1609" s="24" t="str">
        <f>IF(31&lt;=DAY(DATE(YEAR(설정_코스수당!$K$2),MONTH(설정_코스수당!$K$2)+1,0)),DATE(YEAR(설정_코스수당!$K$2),MONTH(설정_코스수당!$K$2),31),"")</f>
        <v/>
      </c>
      <c r="B1609" s="23" t="s">
        <v>205</v>
      </c>
      <c r="C1609" s="29"/>
      <c r="D1609" s="29"/>
      <c r="E1609" s="29" t="str">
        <f t="shared" si="214"/>
        <v/>
      </c>
      <c r="F1609" s="29">
        <f>COUNTIFS(실시간콜입력!$B:$B,$A1609,실시간콜입력!$E:$E,"A",실시간콜입력!$G:$G,$B1609,실시간콜입력!$O:$O,"방문완료")+COUNTIFS(실시간콜입력!$B:$B,$A1609,실시간콜입력!$E:$E,"A",실시간콜입력!$H:$H,$B1609,실시간콜입력!$O:$O,"방문완료")</f>
        <v>0</v>
      </c>
      <c r="G1609" s="29">
        <f>COUNTIFS(실시간콜입력!$B:$B,$A1609,실시간콜입력!$E:$E,"B",실시간콜입력!$G:$G,$B1609,실시간콜입력!$O:$O,"방문완료")+COUNTIFS(실시간콜입력!$B:$B,$A1609,실시간콜입력!$E:$E,"B",실시간콜입력!$H:$H,$B1609,실시간콜입력!$O:$O,"방문완료")</f>
        <v>0</v>
      </c>
      <c r="H1609" s="29">
        <f>COUNTIFS(실시간콜입력!$B:$B,$A1609,실시간콜입력!$E:$E,"C",실시간콜입력!$G:$G,$B1609,실시간콜입력!$O:$O,"방문완료")+COUNTIFS(실시간콜입력!$B:$B,$A1609,실시간콜입력!$E:$E,"C",실시간콜입력!$H:$H,$B1609,실시간콜입력!$O:$O,"방문완료")</f>
        <v>0</v>
      </c>
      <c r="I1609" s="29">
        <f>COUNTIFS(실시간콜입력!$B:$B,$A1609,실시간콜입력!$E:$E,"D",실시간콜입력!$G:$G,$B1609,실시간콜입력!$O:$O,"방문완료")+COUNTIFS(실시간콜입력!$B:$B,$A1609,실시간콜입력!$E:$E,"D",실시간콜입력!$H:$H,$B1609,실시간콜입력!$O:$O,"방문완료")</f>
        <v>0</v>
      </c>
      <c r="J1609" s="29">
        <f>COUNTIFS(실시간콜입력!$B:$B,$A1609,실시간콜입력!$E:$E,"E",실시간콜입력!$G:$G,$B1609,실시간콜입력!$O:$O,"방문완료")+COUNTIFS(실시간콜입력!$B:$B,$A1609,실시간콜입력!$E:$E,"E",실시간콜입력!$H:$H,$B1609,실시간콜입력!$O:$O,"방문완료")</f>
        <v>0</v>
      </c>
      <c r="K1609" s="29">
        <f t="shared" si="215"/>
        <v>0</v>
      </c>
      <c r="L1609" s="27">
        <f>SUMIFS(실시간콜입력!$K:$K,실시간콜입력!$B:$B,$A1609,실시간콜입력!$G:$G,$B1609,실시간콜입력!$O:$O,"방문완료")+SUMIFS(실시간콜입력!$L:$L,실시간콜입력!$B:$B,$A1609,실시간콜입력!$H:$H,$B1609,실시간콜입력!$O:$O,"방문완료")</f>
        <v>0</v>
      </c>
      <c r="M1609" s="29" t="str">
        <f t="shared" si="216"/>
        <v/>
      </c>
      <c r="N1609" s="29"/>
    </row>
    <row r="1610" spans="1:14" ht="19.5" hidden="1" customHeight="1" outlineLevel="1">
      <c r="A1610" s="30" t="str">
        <f>IF(31&lt;=DAY(DATE(YEAR(설정_코스수당!$K$2),MONTH(설정_코스수당!$K$2)+1,0)),DATE(YEAR(설정_코스수당!$K$2),MONTH(설정_코스수당!$K$2),31),"")</f>
        <v/>
      </c>
      <c r="B1610" s="29" t="s">
        <v>206</v>
      </c>
      <c r="C1610" s="29"/>
      <c r="D1610" s="29"/>
      <c r="E1610" s="29" t="str">
        <f t="shared" si="214"/>
        <v/>
      </c>
      <c r="F1610" s="29">
        <f>COUNTIFS(실시간콜입력!$B:$B,$A1610,실시간콜입력!$E:$E,"A",실시간콜입력!$G:$G,$B1610,실시간콜입력!$O:$O,"방문완료")+COUNTIFS(실시간콜입력!$B:$B,$A1610,실시간콜입력!$E:$E,"A",실시간콜입력!$H:$H,$B1610,실시간콜입력!$O:$O,"방문완료")</f>
        <v>0</v>
      </c>
      <c r="G1610" s="29">
        <f>COUNTIFS(실시간콜입력!$B:$B,$A1610,실시간콜입력!$E:$E,"B",실시간콜입력!$G:$G,$B1610,실시간콜입력!$O:$O,"방문완료")+COUNTIFS(실시간콜입력!$B:$B,$A1610,실시간콜입력!$E:$E,"B",실시간콜입력!$H:$H,$B1610,실시간콜입력!$O:$O,"방문완료")</f>
        <v>0</v>
      </c>
      <c r="H1610" s="29">
        <f>COUNTIFS(실시간콜입력!$B:$B,$A1610,실시간콜입력!$E:$E,"C",실시간콜입력!$G:$G,$B1610,실시간콜입력!$O:$O,"방문완료")+COUNTIFS(실시간콜입력!$B:$B,$A1610,실시간콜입력!$E:$E,"C",실시간콜입력!$H:$H,$B1610,실시간콜입력!$O:$O,"방문완료")</f>
        <v>0</v>
      </c>
      <c r="I1610" s="29">
        <f>COUNTIFS(실시간콜입력!$B:$B,$A1610,실시간콜입력!$E:$E,"D",실시간콜입력!$G:$G,$B1610,실시간콜입력!$O:$O,"방문완료")+COUNTIFS(실시간콜입력!$B:$B,$A1610,실시간콜입력!$E:$E,"D",실시간콜입력!$H:$H,$B1610,실시간콜입력!$O:$O,"방문완료")</f>
        <v>0</v>
      </c>
      <c r="J1610" s="29">
        <f>COUNTIFS(실시간콜입력!$B:$B,$A1610,실시간콜입력!$E:$E,"E",실시간콜입력!$G:$G,$B1610,실시간콜입력!$O:$O,"방문완료")+COUNTIFS(실시간콜입력!$B:$B,$A1610,실시간콜입력!$E:$E,"E",실시간콜입력!$H:$H,$B1610,실시간콜입력!$O:$O,"방문완료")</f>
        <v>0</v>
      </c>
      <c r="K1610" s="29">
        <f t="shared" si="215"/>
        <v>0</v>
      </c>
      <c r="L1610" s="33">
        <f>SUMIFS(실시간콜입력!$K:$K,실시간콜입력!$B:$B,$A1610,실시간콜입력!$G:$G,$B1610,실시간콜입력!$O:$O,"방문완료")+SUMIFS(실시간콜입력!$L:$L,실시간콜입력!$B:$B,$A1610,실시간콜입력!$H:$H,$B1610,실시간콜입력!$O:$O,"방문완료")</f>
        <v>0</v>
      </c>
      <c r="M1610" s="29" t="str">
        <f t="shared" si="216"/>
        <v/>
      </c>
      <c r="N1610" s="29"/>
    </row>
    <row r="1611" spans="1:14" ht="19.5" hidden="1" customHeight="1" outlineLevel="1">
      <c r="A1611" s="24" t="str">
        <f>IF(31&lt;=DAY(DATE(YEAR(설정_코스수당!$K$2),MONTH(설정_코스수당!$K$2)+1,0)),DATE(YEAR(설정_코스수당!$K$2),MONTH(설정_코스수당!$K$2),31),"")</f>
        <v/>
      </c>
      <c r="B1611" s="23" t="s">
        <v>207</v>
      </c>
      <c r="C1611" s="29"/>
      <c r="D1611" s="29"/>
      <c r="E1611" s="29" t="str">
        <f t="shared" si="214"/>
        <v/>
      </c>
      <c r="F1611" s="29">
        <f>COUNTIFS(실시간콜입력!$B:$B,$A1611,실시간콜입력!$E:$E,"A",실시간콜입력!$G:$G,$B1611,실시간콜입력!$O:$O,"방문완료")+COUNTIFS(실시간콜입력!$B:$B,$A1611,실시간콜입력!$E:$E,"A",실시간콜입력!$H:$H,$B1611,실시간콜입력!$O:$O,"방문완료")</f>
        <v>0</v>
      </c>
      <c r="G1611" s="29">
        <f>COUNTIFS(실시간콜입력!$B:$B,$A1611,실시간콜입력!$E:$E,"B",실시간콜입력!$G:$G,$B1611,실시간콜입력!$O:$O,"방문완료")+COUNTIFS(실시간콜입력!$B:$B,$A1611,실시간콜입력!$E:$E,"B",실시간콜입력!$H:$H,$B1611,실시간콜입력!$O:$O,"방문완료")</f>
        <v>0</v>
      </c>
      <c r="H1611" s="29">
        <f>COUNTIFS(실시간콜입력!$B:$B,$A1611,실시간콜입력!$E:$E,"C",실시간콜입력!$G:$G,$B1611,실시간콜입력!$O:$O,"방문완료")+COUNTIFS(실시간콜입력!$B:$B,$A1611,실시간콜입력!$E:$E,"C",실시간콜입력!$H:$H,$B1611,실시간콜입력!$O:$O,"방문완료")</f>
        <v>0</v>
      </c>
      <c r="I1611" s="29">
        <f>COUNTIFS(실시간콜입력!$B:$B,$A1611,실시간콜입력!$E:$E,"D",실시간콜입력!$G:$G,$B1611,실시간콜입력!$O:$O,"방문완료")+COUNTIFS(실시간콜입력!$B:$B,$A1611,실시간콜입력!$E:$E,"D",실시간콜입력!$H:$H,$B1611,실시간콜입력!$O:$O,"방문완료")</f>
        <v>0</v>
      </c>
      <c r="J1611" s="29">
        <f>COUNTIFS(실시간콜입력!$B:$B,$A1611,실시간콜입력!$E:$E,"E",실시간콜입력!$G:$G,$B1611,실시간콜입력!$O:$O,"방문완료")+COUNTIFS(실시간콜입력!$B:$B,$A1611,실시간콜입력!$E:$E,"E",실시간콜입력!$H:$H,$B1611,실시간콜입력!$O:$O,"방문완료")</f>
        <v>0</v>
      </c>
      <c r="K1611" s="29">
        <f t="shared" si="215"/>
        <v>0</v>
      </c>
      <c r="L1611" s="27">
        <f>SUMIFS(실시간콜입력!$K:$K,실시간콜입력!$B:$B,$A1611,실시간콜입력!$G:$G,$B1611,실시간콜입력!$O:$O,"방문완료")+SUMIFS(실시간콜입력!$L:$L,실시간콜입력!$B:$B,$A1611,실시간콜입력!$H:$H,$B1611,실시간콜입력!$O:$O,"방문완료")</f>
        <v>0</v>
      </c>
      <c r="M1611" s="29" t="str">
        <f t="shared" si="216"/>
        <v/>
      </c>
      <c r="N1611" s="29"/>
    </row>
    <row r="1612" spans="1:14" ht="19.5" hidden="1" customHeight="1" outlineLevel="1">
      <c r="A1612" s="30" t="str">
        <f>IF(31&lt;=DAY(DATE(YEAR(설정_코스수당!$K$2),MONTH(설정_코스수당!$K$2)+1,0)),DATE(YEAR(설정_코스수당!$K$2),MONTH(설정_코스수당!$K$2),31),"")</f>
        <v/>
      </c>
      <c r="B1612" s="29" t="s">
        <v>208</v>
      </c>
      <c r="C1612" s="29"/>
      <c r="D1612" s="29"/>
      <c r="E1612" s="29" t="str">
        <f t="shared" si="214"/>
        <v/>
      </c>
      <c r="F1612" s="29">
        <f>COUNTIFS(실시간콜입력!$B:$B,$A1612,실시간콜입력!$E:$E,"A",실시간콜입력!$G:$G,$B1612,실시간콜입력!$O:$O,"방문완료")+COUNTIFS(실시간콜입력!$B:$B,$A1612,실시간콜입력!$E:$E,"A",실시간콜입력!$H:$H,$B1612,실시간콜입력!$O:$O,"방문완료")</f>
        <v>0</v>
      </c>
      <c r="G1612" s="29">
        <f>COUNTIFS(실시간콜입력!$B:$B,$A1612,실시간콜입력!$E:$E,"B",실시간콜입력!$G:$G,$B1612,실시간콜입력!$O:$O,"방문완료")+COUNTIFS(실시간콜입력!$B:$B,$A1612,실시간콜입력!$E:$E,"B",실시간콜입력!$H:$H,$B1612,실시간콜입력!$O:$O,"방문완료")</f>
        <v>0</v>
      </c>
      <c r="H1612" s="29">
        <f>COUNTIFS(실시간콜입력!$B:$B,$A1612,실시간콜입력!$E:$E,"C",실시간콜입력!$G:$G,$B1612,실시간콜입력!$O:$O,"방문완료")+COUNTIFS(실시간콜입력!$B:$B,$A1612,실시간콜입력!$E:$E,"C",실시간콜입력!$H:$H,$B1612,실시간콜입력!$O:$O,"방문완료")</f>
        <v>0</v>
      </c>
      <c r="I1612" s="29">
        <f>COUNTIFS(실시간콜입력!$B:$B,$A1612,실시간콜입력!$E:$E,"D",실시간콜입력!$G:$G,$B1612,실시간콜입력!$O:$O,"방문완료")+COUNTIFS(실시간콜입력!$B:$B,$A1612,실시간콜입력!$E:$E,"D",실시간콜입력!$H:$H,$B1612,실시간콜입력!$O:$O,"방문완료")</f>
        <v>0</v>
      </c>
      <c r="J1612" s="29">
        <f>COUNTIFS(실시간콜입력!$B:$B,$A1612,실시간콜입력!$E:$E,"E",실시간콜입력!$G:$G,$B1612,실시간콜입력!$O:$O,"방문완료")+COUNTIFS(실시간콜입력!$B:$B,$A1612,실시간콜입력!$E:$E,"E",실시간콜입력!$H:$H,$B1612,실시간콜입력!$O:$O,"방문완료")</f>
        <v>0</v>
      </c>
      <c r="K1612" s="29">
        <f t="shared" si="215"/>
        <v>0</v>
      </c>
      <c r="L1612" s="33">
        <f>SUMIFS(실시간콜입력!$K:$K,실시간콜입력!$B:$B,$A1612,실시간콜입력!$G:$G,$B1612,실시간콜입력!$O:$O,"방문완료")+SUMIFS(실시간콜입력!$L:$L,실시간콜입력!$B:$B,$A1612,실시간콜입력!$H:$H,$B1612,실시간콜입력!$O:$O,"방문완료")</f>
        <v>0</v>
      </c>
      <c r="M1612" s="29" t="str">
        <f t="shared" si="216"/>
        <v/>
      </c>
      <c r="N1612" s="29"/>
    </row>
    <row r="1613" spans="1:14" ht="19.5" hidden="1" customHeight="1" outlineLevel="1">
      <c r="A1613" s="24" t="str">
        <f>IF(31&lt;=DAY(DATE(YEAR(설정_코스수당!$K$2),MONTH(설정_코스수당!$K$2)+1,0)),DATE(YEAR(설정_코스수당!$K$2),MONTH(설정_코스수당!$K$2),31),"")</f>
        <v/>
      </c>
      <c r="B1613" s="23" t="s">
        <v>209</v>
      </c>
      <c r="C1613" s="29"/>
      <c r="D1613" s="29"/>
      <c r="E1613" s="29" t="str">
        <f t="shared" si="214"/>
        <v/>
      </c>
      <c r="F1613" s="29">
        <f>COUNTIFS(실시간콜입력!$B:$B,$A1613,실시간콜입력!$E:$E,"A",실시간콜입력!$G:$G,$B1613,실시간콜입력!$O:$O,"방문완료")+COUNTIFS(실시간콜입력!$B:$B,$A1613,실시간콜입력!$E:$E,"A",실시간콜입력!$H:$H,$B1613,실시간콜입력!$O:$O,"방문완료")</f>
        <v>0</v>
      </c>
      <c r="G1613" s="29">
        <f>COUNTIFS(실시간콜입력!$B:$B,$A1613,실시간콜입력!$E:$E,"B",실시간콜입력!$G:$G,$B1613,실시간콜입력!$O:$O,"방문완료")+COUNTIFS(실시간콜입력!$B:$B,$A1613,실시간콜입력!$E:$E,"B",실시간콜입력!$H:$H,$B1613,실시간콜입력!$O:$O,"방문완료")</f>
        <v>0</v>
      </c>
      <c r="H1613" s="29">
        <f>COUNTIFS(실시간콜입력!$B:$B,$A1613,실시간콜입력!$E:$E,"C",실시간콜입력!$G:$G,$B1613,실시간콜입력!$O:$O,"방문완료")+COUNTIFS(실시간콜입력!$B:$B,$A1613,실시간콜입력!$E:$E,"C",실시간콜입력!$H:$H,$B1613,실시간콜입력!$O:$O,"방문완료")</f>
        <v>0</v>
      </c>
      <c r="I1613" s="29">
        <f>COUNTIFS(실시간콜입력!$B:$B,$A1613,실시간콜입력!$E:$E,"D",실시간콜입력!$G:$G,$B1613,실시간콜입력!$O:$O,"방문완료")+COUNTIFS(실시간콜입력!$B:$B,$A1613,실시간콜입력!$E:$E,"D",실시간콜입력!$H:$H,$B1613,실시간콜입력!$O:$O,"방문완료")</f>
        <v>0</v>
      </c>
      <c r="J1613" s="29">
        <f>COUNTIFS(실시간콜입력!$B:$B,$A1613,실시간콜입력!$E:$E,"E",실시간콜입력!$G:$G,$B1613,실시간콜입력!$O:$O,"방문완료")+COUNTIFS(실시간콜입력!$B:$B,$A1613,실시간콜입력!$E:$E,"E",실시간콜입력!$H:$H,$B1613,실시간콜입력!$O:$O,"방문완료")</f>
        <v>0</v>
      </c>
      <c r="K1613" s="29">
        <f t="shared" si="215"/>
        <v>0</v>
      </c>
      <c r="L1613" s="27">
        <f>SUMIFS(실시간콜입력!$K:$K,실시간콜입력!$B:$B,$A1613,실시간콜입력!$G:$G,$B1613,실시간콜입력!$O:$O,"방문완료")+SUMIFS(실시간콜입력!$L:$L,실시간콜입력!$B:$B,$A1613,실시간콜입력!$H:$H,$B1613,실시간콜입력!$O:$O,"방문완료")</f>
        <v>0</v>
      </c>
      <c r="M1613" s="29" t="str">
        <f t="shared" si="216"/>
        <v/>
      </c>
      <c r="N1613" s="29"/>
    </row>
    <row r="1614" spans="1:14" ht="19.5" hidden="1" customHeight="1" outlineLevel="1">
      <c r="A1614" s="30" t="str">
        <f>IF(31&lt;=DAY(DATE(YEAR(설정_코스수당!$K$2),MONTH(설정_코스수당!$K$2)+1,0)),DATE(YEAR(설정_코스수당!$K$2),MONTH(설정_코스수당!$K$2),31),"")</f>
        <v/>
      </c>
      <c r="B1614" s="29" t="s">
        <v>210</v>
      </c>
      <c r="C1614" s="29"/>
      <c r="D1614" s="29"/>
      <c r="E1614" s="29" t="str">
        <f t="shared" si="214"/>
        <v/>
      </c>
      <c r="F1614" s="29">
        <f>COUNTIFS(실시간콜입력!$B:$B,$A1614,실시간콜입력!$E:$E,"A",실시간콜입력!$G:$G,$B1614,실시간콜입력!$O:$O,"방문완료")+COUNTIFS(실시간콜입력!$B:$B,$A1614,실시간콜입력!$E:$E,"A",실시간콜입력!$H:$H,$B1614,실시간콜입력!$O:$O,"방문완료")</f>
        <v>0</v>
      </c>
      <c r="G1614" s="29">
        <f>COUNTIFS(실시간콜입력!$B:$B,$A1614,실시간콜입력!$E:$E,"B",실시간콜입력!$G:$G,$B1614,실시간콜입력!$O:$O,"방문완료")+COUNTIFS(실시간콜입력!$B:$B,$A1614,실시간콜입력!$E:$E,"B",실시간콜입력!$H:$H,$B1614,실시간콜입력!$O:$O,"방문완료")</f>
        <v>0</v>
      </c>
      <c r="H1614" s="29">
        <f>COUNTIFS(실시간콜입력!$B:$B,$A1614,실시간콜입력!$E:$E,"C",실시간콜입력!$G:$G,$B1614,실시간콜입력!$O:$O,"방문완료")+COUNTIFS(실시간콜입력!$B:$B,$A1614,실시간콜입력!$E:$E,"C",실시간콜입력!$H:$H,$B1614,실시간콜입력!$O:$O,"방문완료")</f>
        <v>0</v>
      </c>
      <c r="I1614" s="29">
        <f>COUNTIFS(실시간콜입력!$B:$B,$A1614,실시간콜입력!$E:$E,"D",실시간콜입력!$G:$G,$B1614,실시간콜입력!$O:$O,"방문완료")+COUNTIFS(실시간콜입력!$B:$B,$A1614,실시간콜입력!$E:$E,"D",실시간콜입력!$H:$H,$B1614,실시간콜입력!$O:$O,"방문완료")</f>
        <v>0</v>
      </c>
      <c r="J1614" s="29">
        <f>COUNTIFS(실시간콜입력!$B:$B,$A1614,실시간콜입력!$E:$E,"E",실시간콜입력!$G:$G,$B1614,실시간콜입력!$O:$O,"방문완료")+COUNTIFS(실시간콜입력!$B:$B,$A1614,실시간콜입력!$E:$E,"E",실시간콜입력!$H:$H,$B1614,실시간콜입력!$O:$O,"방문완료")</f>
        <v>0</v>
      </c>
      <c r="K1614" s="29">
        <f t="shared" si="215"/>
        <v>0</v>
      </c>
      <c r="L1614" s="33">
        <f>SUMIFS(실시간콜입력!$K:$K,실시간콜입력!$B:$B,$A1614,실시간콜입력!$G:$G,$B1614,실시간콜입력!$O:$O,"방문완료")+SUMIFS(실시간콜입력!$L:$L,실시간콜입력!$B:$B,$A1614,실시간콜입력!$H:$H,$B1614,실시간콜입력!$O:$O,"방문완료")</f>
        <v>0</v>
      </c>
      <c r="M1614" s="29" t="str">
        <f t="shared" si="216"/>
        <v/>
      </c>
      <c r="N1614" s="29"/>
    </row>
    <row r="1615" spans="1:14" ht="19.5" hidden="1" customHeight="1" outlineLevel="1">
      <c r="A1615" s="24" t="str">
        <f>IF(31&lt;=DAY(DATE(YEAR(설정_코스수당!$K$2),MONTH(설정_코스수당!$K$2)+1,0)),DATE(YEAR(설정_코스수당!$K$2),MONTH(설정_코스수당!$K$2),31),"")</f>
        <v/>
      </c>
      <c r="B1615" s="23" t="s">
        <v>211</v>
      </c>
      <c r="C1615" s="29"/>
      <c r="D1615" s="29"/>
      <c r="E1615" s="29" t="str">
        <f t="shared" si="214"/>
        <v/>
      </c>
      <c r="F1615" s="29">
        <f>COUNTIFS(실시간콜입력!$B:$B,$A1615,실시간콜입력!$E:$E,"A",실시간콜입력!$G:$G,$B1615,실시간콜입력!$O:$O,"방문완료")+COUNTIFS(실시간콜입력!$B:$B,$A1615,실시간콜입력!$E:$E,"A",실시간콜입력!$H:$H,$B1615,실시간콜입력!$O:$O,"방문완료")</f>
        <v>0</v>
      </c>
      <c r="G1615" s="29">
        <f>COUNTIFS(실시간콜입력!$B:$B,$A1615,실시간콜입력!$E:$E,"B",실시간콜입력!$G:$G,$B1615,실시간콜입력!$O:$O,"방문완료")+COUNTIFS(실시간콜입력!$B:$B,$A1615,실시간콜입력!$E:$E,"B",실시간콜입력!$H:$H,$B1615,실시간콜입력!$O:$O,"방문완료")</f>
        <v>0</v>
      </c>
      <c r="H1615" s="29">
        <f>COUNTIFS(실시간콜입력!$B:$B,$A1615,실시간콜입력!$E:$E,"C",실시간콜입력!$G:$G,$B1615,실시간콜입력!$O:$O,"방문완료")+COUNTIFS(실시간콜입력!$B:$B,$A1615,실시간콜입력!$E:$E,"C",실시간콜입력!$H:$H,$B1615,실시간콜입력!$O:$O,"방문완료")</f>
        <v>0</v>
      </c>
      <c r="I1615" s="29">
        <f>COUNTIFS(실시간콜입력!$B:$B,$A1615,실시간콜입력!$E:$E,"D",실시간콜입력!$G:$G,$B1615,실시간콜입력!$O:$O,"방문완료")+COUNTIFS(실시간콜입력!$B:$B,$A1615,실시간콜입력!$E:$E,"D",실시간콜입력!$H:$H,$B1615,실시간콜입력!$O:$O,"방문완료")</f>
        <v>0</v>
      </c>
      <c r="J1615" s="29">
        <f>COUNTIFS(실시간콜입력!$B:$B,$A1615,실시간콜입력!$E:$E,"E",실시간콜입력!$G:$G,$B1615,실시간콜입력!$O:$O,"방문완료")+COUNTIFS(실시간콜입력!$B:$B,$A1615,실시간콜입력!$E:$E,"E",실시간콜입력!$H:$H,$B1615,실시간콜입력!$O:$O,"방문완료")</f>
        <v>0</v>
      </c>
      <c r="K1615" s="29">
        <f t="shared" si="215"/>
        <v>0</v>
      </c>
      <c r="L1615" s="27">
        <f>SUMIFS(실시간콜입력!$K:$K,실시간콜입력!$B:$B,$A1615,실시간콜입력!$G:$G,$B1615,실시간콜입력!$O:$O,"방문완료")+SUMIFS(실시간콜입력!$L:$L,실시간콜입력!$B:$B,$A1615,실시간콜입력!$H:$H,$B1615,실시간콜입력!$O:$O,"방문완료")</f>
        <v>0</v>
      </c>
      <c r="M1615" s="29" t="str">
        <f t="shared" si="216"/>
        <v/>
      </c>
      <c r="N1615" s="29"/>
    </row>
    <row r="1616" spans="1:14" ht="19.5" hidden="1" customHeight="1" outlineLevel="1">
      <c r="A1616" s="30" t="str">
        <f>IF(31&lt;=DAY(DATE(YEAR(설정_코스수당!$K$2),MONTH(설정_코스수당!$K$2)+1,0)),DATE(YEAR(설정_코스수당!$K$2),MONTH(설정_코스수당!$K$2),31),"")</f>
        <v/>
      </c>
      <c r="B1616" s="29" t="s">
        <v>212</v>
      </c>
      <c r="C1616" s="29"/>
      <c r="D1616" s="29"/>
      <c r="E1616" s="29" t="str">
        <f t="shared" si="214"/>
        <v/>
      </c>
      <c r="F1616" s="29">
        <f>COUNTIFS(실시간콜입력!$B:$B,$A1616,실시간콜입력!$E:$E,"A",실시간콜입력!$G:$G,$B1616,실시간콜입력!$O:$O,"방문완료")+COUNTIFS(실시간콜입력!$B:$B,$A1616,실시간콜입력!$E:$E,"A",실시간콜입력!$H:$H,$B1616,실시간콜입력!$O:$O,"방문완료")</f>
        <v>0</v>
      </c>
      <c r="G1616" s="29">
        <f>COUNTIFS(실시간콜입력!$B:$B,$A1616,실시간콜입력!$E:$E,"B",실시간콜입력!$G:$G,$B1616,실시간콜입력!$O:$O,"방문완료")+COUNTIFS(실시간콜입력!$B:$B,$A1616,실시간콜입력!$E:$E,"B",실시간콜입력!$H:$H,$B1616,실시간콜입력!$O:$O,"방문완료")</f>
        <v>0</v>
      </c>
      <c r="H1616" s="29">
        <f>COUNTIFS(실시간콜입력!$B:$B,$A1616,실시간콜입력!$E:$E,"C",실시간콜입력!$G:$G,$B1616,실시간콜입력!$O:$O,"방문완료")+COUNTIFS(실시간콜입력!$B:$B,$A1616,실시간콜입력!$E:$E,"C",실시간콜입력!$H:$H,$B1616,실시간콜입력!$O:$O,"방문완료")</f>
        <v>0</v>
      </c>
      <c r="I1616" s="29">
        <f>COUNTIFS(실시간콜입력!$B:$B,$A1616,실시간콜입력!$E:$E,"D",실시간콜입력!$G:$G,$B1616,실시간콜입력!$O:$O,"방문완료")+COUNTIFS(실시간콜입력!$B:$B,$A1616,실시간콜입력!$E:$E,"D",실시간콜입력!$H:$H,$B1616,실시간콜입력!$O:$O,"방문완료")</f>
        <v>0</v>
      </c>
      <c r="J1616" s="29">
        <f>COUNTIFS(실시간콜입력!$B:$B,$A1616,실시간콜입력!$E:$E,"E",실시간콜입력!$G:$G,$B1616,실시간콜입력!$O:$O,"방문완료")+COUNTIFS(실시간콜입력!$B:$B,$A1616,실시간콜입력!$E:$E,"E",실시간콜입력!$H:$H,$B1616,실시간콜입력!$O:$O,"방문완료")</f>
        <v>0</v>
      </c>
      <c r="K1616" s="29">
        <f t="shared" si="215"/>
        <v>0</v>
      </c>
      <c r="L1616" s="33">
        <f>SUMIFS(실시간콜입력!$K:$K,실시간콜입력!$B:$B,$A1616,실시간콜입력!$G:$G,$B1616,실시간콜입력!$O:$O,"방문완료")+SUMIFS(실시간콜입력!$L:$L,실시간콜입력!$B:$B,$A1616,실시간콜입력!$H:$H,$B1616,실시간콜입력!$O:$O,"방문완료")</f>
        <v>0</v>
      </c>
      <c r="M1616" s="29" t="str">
        <f t="shared" si="216"/>
        <v/>
      </c>
      <c r="N1616" s="29"/>
    </row>
  </sheetData>
  <mergeCells count="2">
    <mergeCell ref="A1:D1"/>
    <mergeCell ref="A2:N2"/>
  </mergeCells>
  <phoneticPr fontId="45" type="noConversion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1" width="27" customWidth="1"/>
    <col min="2" max="2" width="12" customWidth="1"/>
    <col min="3" max="3" width="14" customWidth="1"/>
    <col min="4" max="7" width="12" customWidth="1"/>
    <col min="8" max="8" width="14" customWidth="1"/>
    <col min="9" max="9" width="20" customWidth="1"/>
    <col min="10" max="10" width="8.7265625" customWidth="1"/>
  </cols>
  <sheetData>
    <row r="1" spans="1:10" ht="27.75" customHeight="1">
      <c r="A1" s="119" t="s">
        <v>213</v>
      </c>
      <c r="B1" s="115"/>
      <c r="C1" s="115"/>
      <c r="D1" s="115"/>
      <c r="E1" s="115"/>
      <c r="F1" s="1"/>
      <c r="G1" s="1"/>
      <c r="H1" s="1"/>
      <c r="I1" s="1"/>
      <c r="J1" s="1"/>
    </row>
    <row r="2" spans="1:10" ht="22.5" customHeight="1">
      <c r="A2" s="146" t="s">
        <v>214</v>
      </c>
      <c r="B2" s="115"/>
      <c r="C2" s="115"/>
      <c r="D2" s="115"/>
      <c r="E2" s="115"/>
      <c r="F2" s="115"/>
      <c r="G2" s="115"/>
      <c r="H2" s="115"/>
      <c r="I2" s="115"/>
      <c r="J2" s="115"/>
    </row>
    <row r="3" spans="1:10" ht="16.5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6.5" customHeight="1">
      <c r="A4" s="20" t="s">
        <v>152</v>
      </c>
      <c r="B4" s="20" t="s">
        <v>132</v>
      </c>
      <c r="C4" s="20" t="s">
        <v>215</v>
      </c>
      <c r="D4" s="20" t="s">
        <v>216</v>
      </c>
      <c r="E4" s="20" t="s">
        <v>217</v>
      </c>
      <c r="F4" s="20" t="s">
        <v>218</v>
      </c>
      <c r="G4" s="20" t="s">
        <v>219</v>
      </c>
      <c r="H4" s="20" t="s">
        <v>220</v>
      </c>
      <c r="I4" s="20" t="s">
        <v>95</v>
      </c>
      <c r="J4" s="1"/>
    </row>
    <row r="5" spans="1:10" ht="16.5" customHeight="1">
      <c r="A5" s="23" t="s">
        <v>47</v>
      </c>
      <c r="B5" s="23">
        <f>SUMIFS(마사지사일정산!$K:$K,마사지사일정산!$B:$B,A5)</f>
        <v>0</v>
      </c>
      <c r="C5" s="27">
        <f>SUMIFS(마사지사일정산!$L:$L,마사지사일정산!$B:$B,A5)</f>
        <v>0</v>
      </c>
      <c r="D5" s="23">
        <f>COUNTIFS(마사지사일정산!$B:$B,A5,마사지사일정산!$M:$M,"인정")</f>
        <v>0</v>
      </c>
      <c r="E5" s="27">
        <f t="shared" ref="E5:E36" si="0">IF(D5&gt;=20,2000000,0)</f>
        <v>0</v>
      </c>
      <c r="F5" s="23" t="str">
        <f t="shared" ref="F5:F36" si="1">IF(B5&lt;40,"",1+COUNTIFS($B$5:$B$54,"&gt;"&amp;B5,$B$5:$B$54,"&gt;=40"))</f>
        <v/>
      </c>
      <c r="G5" s="27">
        <f t="shared" ref="G5:G36" si="2">IF(F5=1,5000000,IF(F5=2,3000000,IF(F5=3,1000000,0)))</f>
        <v>0</v>
      </c>
      <c r="H5" s="27">
        <f t="shared" ref="H5:H36" si="3">C5+E5+G5</f>
        <v>0</v>
      </c>
      <c r="I5" s="23"/>
    </row>
    <row r="6" spans="1:10" ht="16.5" customHeight="1">
      <c r="A6" s="29" t="s">
        <v>48</v>
      </c>
      <c r="B6" s="29">
        <f>SUMIFS(마사지사일정산!$K:$K,마사지사일정산!$B:$B,A6)</f>
        <v>0</v>
      </c>
      <c r="C6" s="33">
        <f>SUMIFS(마사지사일정산!$L:$L,마사지사일정산!$B:$B,A6)</f>
        <v>0</v>
      </c>
      <c r="D6" s="29">
        <f>COUNTIFS(마사지사일정산!$B:$B,A6,마사지사일정산!$M:$M,"인정")</f>
        <v>0</v>
      </c>
      <c r="E6" s="33">
        <f t="shared" si="0"/>
        <v>0</v>
      </c>
      <c r="F6" s="29" t="str">
        <f t="shared" si="1"/>
        <v/>
      </c>
      <c r="G6" s="33">
        <f t="shared" si="2"/>
        <v>0</v>
      </c>
      <c r="H6" s="33">
        <f t="shared" si="3"/>
        <v>0</v>
      </c>
      <c r="I6" s="29"/>
    </row>
    <row r="7" spans="1:10" ht="16.5" customHeight="1">
      <c r="A7" s="23" t="s">
        <v>165</v>
      </c>
      <c r="B7" s="23">
        <f>SUMIFS(마사지사일정산!$K:$K,마사지사일정산!$B:$B,A7)</f>
        <v>0</v>
      </c>
      <c r="C7" s="27">
        <f>SUMIFS(마사지사일정산!$L:$L,마사지사일정산!$B:$B,A7)</f>
        <v>0</v>
      </c>
      <c r="D7" s="23">
        <f>COUNTIFS(마사지사일정산!$B:$B,A7,마사지사일정산!$M:$M,"인정")</f>
        <v>0</v>
      </c>
      <c r="E7" s="27">
        <f t="shared" si="0"/>
        <v>0</v>
      </c>
      <c r="F7" s="23" t="str">
        <f t="shared" si="1"/>
        <v/>
      </c>
      <c r="G7" s="27">
        <f t="shared" si="2"/>
        <v>0</v>
      </c>
      <c r="H7" s="27">
        <f t="shared" si="3"/>
        <v>0</v>
      </c>
      <c r="I7" s="23"/>
    </row>
    <row r="8" spans="1:10" ht="16.5" customHeight="1">
      <c r="A8" s="29" t="s">
        <v>166</v>
      </c>
      <c r="B8" s="29">
        <f>SUMIFS(마사지사일정산!$K:$K,마사지사일정산!$B:$B,A8)</f>
        <v>0</v>
      </c>
      <c r="C8" s="33">
        <f>SUMIFS(마사지사일정산!$L:$L,마사지사일정산!$B:$B,A8)</f>
        <v>0</v>
      </c>
      <c r="D8" s="29">
        <f>COUNTIFS(마사지사일정산!$B:$B,A8,마사지사일정산!$M:$M,"인정")</f>
        <v>0</v>
      </c>
      <c r="E8" s="33">
        <f t="shared" si="0"/>
        <v>0</v>
      </c>
      <c r="F8" s="29" t="str">
        <f t="shared" si="1"/>
        <v/>
      </c>
      <c r="G8" s="33">
        <f t="shared" si="2"/>
        <v>0</v>
      </c>
      <c r="H8" s="33">
        <f t="shared" si="3"/>
        <v>0</v>
      </c>
      <c r="I8" s="29"/>
    </row>
    <row r="9" spans="1:10" ht="16.5" customHeight="1">
      <c r="A9" s="23" t="s">
        <v>167</v>
      </c>
      <c r="B9" s="23">
        <f>SUMIFS(마사지사일정산!$K:$K,마사지사일정산!$B:$B,A9)</f>
        <v>0</v>
      </c>
      <c r="C9" s="27">
        <f>SUMIFS(마사지사일정산!$L:$L,마사지사일정산!$B:$B,A9)</f>
        <v>0</v>
      </c>
      <c r="D9" s="23">
        <f>COUNTIFS(마사지사일정산!$B:$B,A9,마사지사일정산!$M:$M,"인정")</f>
        <v>0</v>
      </c>
      <c r="E9" s="27">
        <f t="shared" si="0"/>
        <v>0</v>
      </c>
      <c r="F9" s="23" t="str">
        <f t="shared" si="1"/>
        <v/>
      </c>
      <c r="G9" s="27">
        <f t="shared" si="2"/>
        <v>0</v>
      </c>
      <c r="H9" s="27">
        <f t="shared" si="3"/>
        <v>0</v>
      </c>
      <c r="I9" s="23"/>
    </row>
    <row r="10" spans="1:10" ht="16.5" customHeight="1">
      <c r="A10" s="29" t="s">
        <v>168</v>
      </c>
      <c r="B10" s="29">
        <f>SUMIFS(마사지사일정산!$K:$K,마사지사일정산!$B:$B,A10)</f>
        <v>0</v>
      </c>
      <c r="C10" s="33">
        <f>SUMIFS(마사지사일정산!$L:$L,마사지사일정산!$B:$B,A10)</f>
        <v>0</v>
      </c>
      <c r="D10" s="29">
        <f>COUNTIFS(마사지사일정산!$B:$B,A10,마사지사일정산!$M:$M,"인정")</f>
        <v>0</v>
      </c>
      <c r="E10" s="33">
        <f t="shared" si="0"/>
        <v>0</v>
      </c>
      <c r="F10" s="29" t="str">
        <f t="shared" si="1"/>
        <v/>
      </c>
      <c r="G10" s="33">
        <f t="shared" si="2"/>
        <v>0</v>
      </c>
      <c r="H10" s="33">
        <f t="shared" si="3"/>
        <v>0</v>
      </c>
      <c r="I10" s="29"/>
    </row>
    <row r="11" spans="1:10" ht="16.5" customHeight="1">
      <c r="A11" s="23" t="s">
        <v>169</v>
      </c>
      <c r="B11" s="23">
        <f>SUMIFS(마사지사일정산!$K:$K,마사지사일정산!$B:$B,A11)</f>
        <v>0</v>
      </c>
      <c r="C11" s="27">
        <f>SUMIFS(마사지사일정산!$L:$L,마사지사일정산!$B:$B,A11)</f>
        <v>0</v>
      </c>
      <c r="D11" s="23">
        <f>COUNTIFS(마사지사일정산!$B:$B,A11,마사지사일정산!$M:$M,"인정")</f>
        <v>0</v>
      </c>
      <c r="E11" s="27">
        <f t="shared" si="0"/>
        <v>0</v>
      </c>
      <c r="F11" s="23" t="str">
        <f t="shared" si="1"/>
        <v/>
      </c>
      <c r="G11" s="27">
        <f t="shared" si="2"/>
        <v>0</v>
      </c>
      <c r="H11" s="27">
        <f t="shared" si="3"/>
        <v>0</v>
      </c>
      <c r="I11" s="23"/>
    </row>
    <row r="12" spans="1:10" ht="16.5" customHeight="1">
      <c r="A12" s="29" t="s">
        <v>170</v>
      </c>
      <c r="B12" s="29">
        <f>SUMIFS(마사지사일정산!$K:$K,마사지사일정산!$B:$B,A12)</f>
        <v>0</v>
      </c>
      <c r="C12" s="33">
        <f>SUMIFS(마사지사일정산!$L:$L,마사지사일정산!$B:$B,A12)</f>
        <v>0</v>
      </c>
      <c r="D12" s="29">
        <f>COUNTIFS(마사지사일정산!$B:$B,A12,마사지사일정산!$M:$M,"인정")</f>
        <v>0</v>
      </c>
      <c r="E12" s="33">
        <f t="shared" si="0"/>
        <v>0</v>
      </c>
      <c r="F12" s="29" t="str">
        <f t="shared" si="1"/>
        <v/>
      </c>
      <c r="G12" s="33">
        <f t="shared" si="2"/>
        <v>0</v>
      </c>
      <c r="H12" s="33">
        <f t="shared" si="3"/>
        <v>0</v>
      </c>
      <c r="I12" s="29"/>
    </row>
    <row r="13" spans="1:10" ht="16.5" customHeight="1">
      <c r="A13" s="23" t="s">
        <v>171</v>
      </c>
      <c r="B13" s="23">
        <f>SUMIFS(마사지사일정산!$K:$K,마사지사일정산!$B:$B,A13)</f>
        <v>0</v>
      </c>
      <c r="C13" s="27">
        <f>SUMIFS(마사지사일정산!$L:$L,마사지사일정산!$B:$B,A13)</f>
        <v>0</v>
      </c>
      <c r="D13" s="23">
        <f>COUNTIFS(마사지사일정산!$B:$B,A13,마사지사일정산!$M:$M,"인정")</f>
        <v>0</v>
      </c>
      <c r="E13" s="27">
        <f t="shared" si="0"/>
        <v>0</v>
      </c>
      <c r="F13" s="23" t="str">
        <f t="shared" si="1"/>
        <v/>
      </c>
      <c r="G13" s="27">
        <f t="shared" si="2"/>
        <v>0</v>
      </c>
      <c r="H13" s="27">
        <f t="shared" si="3"/>
        <v>0</v>
      </c>
      <c r="I13" s="23"/>
    </row>
    <row r="14" spans="1:10" ht="16.5" customHeight="1">
      <c r="A14" s="29" t="s">
        <v>172</v>
      </c>
      <c r="B14" s="29">
        <f>SUMIFS(마사지사일정산!$K:$K,마사지사일정산!$B:$B,A14)</f>
        <v>0</v>
      </c>
      <c r="C14" s="33">
        <f>SUMIFS(마사지사일정산!$L:$L,마사지사일정산!$B:$B,A14)</f>
        <v>0</v>
      </c>
      <c r="D14" s="29">
        <f>COUNTIFS(마사지사일정산!$B:$B,A14,마사지사일정산!$M:$M,"인정")</f>
        <v>0</v>
      </c>
      <c r="E14" s="33">
        <f t="shared" si="0"/>
        <v>0</v>
      </c>
      <c r="F14" s="29" t="str">
        <f t="shared" si="1"/>
        <v/>
      </c>
      <c r="G14" s="33">
        <f t="shared" si="2"/>
        <v>0</v>
      </c>
      <c r="H14" s="33">
        <f t="shared" si="3"/>
        <v>0</v>
      </c>
      <c r="I14" s="29"/>
    </row>
    <row r="15" spans="1:10" ht="16.5" customHeight="1">
      <c r="A15" s="23" t="s">
        <v>173</v>
      </c>
      <c r="B15" s="23">
        <f>SUMIFS(마사지사일정산!$K:$K,마사지사일정산!$B:$B,A15)</f>
        <v>0</v>
      </c>
      <c r="C15" s="27">
        <f>SUMIFS(마사지사일정산!$L:$L,마사지사일정산!$B:$B,A15)</f>
        <v>0</v>
      </c>
      <c r="D15" s="23">
        <f>COUNTIFS(마사지사일정산!$B:$B,A15,마사지사일정산!$M:$M,"인정")</f>
        <v>0</v>
      </c>
      <c r="E15" s="27">
        <f t="shared" si="0"/>
        <v>0</v>
      </c>
      <c r="F15" s="23" t="str">
        <f t="shared" si="1"/>
        <v/>
      </c>
      <c r="G15" s="27">
        <f t="shared" si="2"/>
        <v>0</v>
      </c>
      <c r="H15" s="27">
        <f t="shared" si="3"/>
        <v>0</v>
      </c>
      <c r="I15" s="23"/>
    </row>
    <row r="16" spans="1:10" ht="16.5" customHeight="1">
      <c r="A16" s="29" t="s">
        <v>174</v>
      </c>
      <c r="B16" s="29">
        <f>SUMIFS(마사지사일정산!$K:$K,마사지사일정산!$B:$B,A16)</f>
        <v>0</v>
      </c>
      <c r="C16" s="33">
        <f>SUMIFS(마사지사일정산!$L:$L,마사지사일정산!$B:$B,A16)</f>
        <v>0</v>
      </c>
      <c r="D16" s="29">
        <f>COUNTIFS(마사지사일정산!$B:$B,A16,마사지사일정산!$M:$M,"인정")</f>
        <v>0</v>
      </c>
      <c r="E16" s="33">
        <f t="shared" si="0"/>
        <v>0</v>
      </c>
      <c r="F16" s="29" t="str">
        <f t="shared" si="1"/>
        <v/>
      </c>
      <c r="G16" s="33">
        <f t="shared" si="2"/>
        <v>0</v>
      </c>
      <c r="H16" s="33">
        <f t="shared" si="3"/>
        <v>0</v>
      </c>
      <c r="I16" s="29"/>
    </row>
    <row r="17" spans="1:9" ht="16.5" customHeight="1">
      <c r="A17" s="23" t="s">
        <v>175</v>
      </c>
      <c r="B17" s="23">
        <f>SUMIFS(마사지사일정산!$K:$K,마사지사일정산!$B:$B,A17)</f>
        <v>0</v>
      </c>
      <c r="C17" s="27">
        <f>SUMIFS(마사지사일정산!$L:$L,마사지사일정산!$B:$B,A17)</f>
        <v>0</v>
      </c>
      <c r="D17" s="23">
        <f>COUNTIFS(마사지사일정산!$B:$B,A17,마사지사일정산!$M:$M,"인정")</f>
        <v>0</v>
      </c>
      <c r="E17" s="27">
        <f t="shared" si="0"/>
        <v>0</v>
      </c>
      <c r="F17" s="23" t="str">
        <f t="shared" si="1"/>
        <v/>
      </c>
      <c r="G17" s="27">
        <f t="shared" si="2"/>
        <v>0</v>
      </c>
      <c r="H17" s="27">
        <f t="shared" si="3"/>
        <v>0</v>
      </c>
      <c r="I17" s="23"/>
    </row>
    <row r="18" spans="1:9" ht="16.5" customHeight="1">
      <c r="A18" s="29" t="s">
        <v>176</v>
      </c>
      <c r="B18" s="29">
        <f>SUMIFS(마사지사일정산!$K:$K,마사지사일정산!$B:$B,A18)</f>
        <v>0</v>
      </c>
      <c r="C18" s="33">
        <f>SUMIFS(마사지사일정산!$L:$L,마사지사일정산!$B:$B,A18)</f>
        <v>0</v>
      </c>
      <c r="D18" s="29">
        <f>COUNTIFS(마사지사일정산!$B:$B,A18,마사지사일정산!$M:$M,"인정")</f>
        <v>0</v>
      </c>
      <c r="E18" s="33">
        <f t="shared" si="0"/>
        <v>0</v>
      </c>
      <c r="F18" s="29" t="str">
        <f t="shared" si="1"/>
        <v/>
      </c>
      <c r="G18" s="33">
        <f t="shared" si="2"/>
        <v>0</v>
      </c>
      <c r="H18" s="33">
        <f t="shared" si="3"/>
        <v>0</v>
      </c>
      <c r="I18" s="29"/>
    </row>
    <row r="19" spans="1:9" ht="16.5" customHeight="1">
      <c r="A19" s="23" t="s">
        <v>177</v>
      </c>
      <c r="B19" s="23">
        <f>SUMIFS(마사지사일정산!$K:$K,마사지사일정산!$B:$B,A19)</f>
        <v>0</v>
      </c>
      <c r="C19" s="27">
        <f>SUMIFS(마사지사일정산!$L:$L,마사지사일정산!$B:$B,A19)</f>
        <v>0</v>
      </c>
      <c r="D19" s="23">
        <f>COUNTIFS(마사지사일정산!$B:$B,A19,마사지사일정산!$M:$M,"인정")</f>
        <v>0</v>
      </c>
      <c r="E19" s="27">
        <f t="shared" si="0"/>
        <v>0</v>
      </c>
      <c r="F19" s="23" t="str">
        <f t="shared" si="1"/>
        <v/>
      </c>
      <c r="G19" s="27">
        <f t="shared" si="2"/>
        <v>0</v>
      </c>
      <c r="H19" s="27">
        <f t="shared" si="3"/>
        <v>0</v>
      </c>
      <c r="I19" s="23"/>
    </row>
    <row r="20" spans="1:9" ht="16.5" customHeight="1">
      <c r="A20" s="29" t="s">
        <v>178</v>
      </c>
      <c r="B20" s="29">
        <f>SUMIFS(마사지사일정산!$K:$K,마사지사일정산!$B:$B,A20)</f>
        <v>0</v>
      </c>
      <c r="C20" s="33">
        <f>SUMIFS(마사지사일정산!$L:$L,마사지사일정산!$B:$B,A20)</f>
        <v>0</v>
      </c>
      <c r="D20" s="29">
        <f>COUNTIFS(마사지사일정산!$B:$B,A20,마사지사일정산!$M:$M,"인정")</f>
        <v>0</v>
      </c>
      <c r="E20" s="33">
        <f t="shared" si="0"/>
        <v>0</v>
      </c>
      <c r="F20" s="29" t="str">
        <f t="shared" si="1"/>
        <v/>
      </c>
      <c r="G20" s="33">
        <f t="shared" si="2"/>
        <v>0</v>
      </c>
      <c r="H20" s="33">
        <f t="shared" si="3"/>
        <v>0</v>
      </c>
      <c r="I20" s="29"/>
    </row>
    <row r="21" spans="1:9" ht="16.5" customHeight="1">
      <c r="A21" s="23" t="s">
        <v>179</v>
      </c>
      <c r="B21" s="23">
        <f>SUMIFS(마사지사일정산!$K:$K,마사지사일정산!$B:$B,A21)</f>
        <v>0</v>
      </c>
      <c r="C21" s="27">
        <f>SUMIFS(마사지사일정산!$L:$L,마사지사일정산!$B:$B,A21)</f>
        <v>0</v>
      </c>
      <c r="D21" s="23">
        <f>COUNTIFS(마사지사일정산!$B:$B,A21,마사지사일정산!$M:$M,"인정")</f>
        <v>0</v>
      </c>
      <c r="E21" s="27">
        <f t="shared" si="0"/>
        <v>0</v>
      </c>
      <c r="F21" s="23" t="str">
        <f t="shared" si="1"/>
        <v/>
      </c>
      <c r="G21" s="27">
        <f t="shared" si="2"/>
        <v>0</v>
      </c>
      <c r="H21" s="27">
        <f t="shared" si="3"/>
        <v>0</v>
      </c>
      <c r="I21" s="23"/>
    </row>
    <row r="22" spans="1:9" ht="16.5" customHeight="1">
      <c r="A22" s="29" t="s">
        <v>180</v>
      </c>
      <c r="B22" s="29">
        <f>SUMIFS(마사지사일정산!$K:$K,마사지사일정산!$B:$B,A22)</f>
        <v>0</v>
      </c>
      <c r="C22" s="33">
        <f>SUMIFS(마사지사일정산!$L:$L,마사지사일정산!$B:$B,A22)</f>
        <v>0</v>
      </c>
      <c r="D22" s="29">
        <f>COUNTIFS(마사지사일정산!$B:$B,A22,마사지사일정산!$M:$M,"인정")</f>
        <v>0</v>
      </c>
      <c r="E22" s="33">
        <f t="shared" si="0"/>
        <v>0</v>
      </c>
      <c r="F22" s="29" t="str">
        <f t="shared" si="1"/>
        <v/>
      </c>
      <c r="G22" s="33">
        <f t="shared" si="2"/>
        <v>0</v>
      </c>
      <c r="H22" s="33">
        <f t="shared" si="3"/>
        <v>0</v>
      </c>
      <c r="I22" s="29"/>
    </row>
    <row r="23" spans="1:9" ht="16.5" customHeight="1">
      <c r="A23" s="23" t="s">
        <v>181</v>
      </c>
      <c r="B23" s="23">
        <f>SUMIFS(마사지사일정산!$K:$K,마사지사일정산!$B:$B,A23)</f>
        <v>0</v>
      </c>
      <c r="C23" s="27">
        <f>SUMIFS(마사지사일정산!$L:$L,마사지사일정산!$B:$B,A23)</f>
        <v>0</v>
      </c>
      <c r="D23" s="23">
        <f>COUNTIFS(마사지사일정산!$B:$B,A23,마사지사일정산!$M:$M,"인정")</f>
        <v>0</v>
      </c>
      <c r="E23" s="27">
        <f t="shared" si="0"/>
        <v>0</v>
      </c>
      <c r="F23" s="23" t="str">
        <f t="shared" si="1"/>
        <v/>
      </c>
      <c r="G23" s="27">
        <f t="shared" si="2"/>
        <v>0</v>
      </c>
      <c r="H23" s="27">
        <f t="shared" si="3"/>
        <v>0</v>
      </c>
      <c r="I23" s="23"/>
    </row>
    <row r="24" spans="1:9" ht="16.5" customHeight="1">
      <c r="A24" s="29" t="s">
        <v>182</v>
      </c>
      <c r="B24" s="29">
        <f>SUMIFS(마사지사일정산!$K:$K,마사지사일정산!$B:$B,A24)</f>
        <v>0</v>
      </c>
      <c r="C24" s="33">
        <f>SUMIFS(마사지사일정산!$L:$L,마사지사일정산!$B:$B,A24)</f>
        <v>0</v>
      </c>
      <c r="D24" s="29">
        <f>COUNTIFS(마사지사일정산!$B:$B,A24,마사지사일정산!$M:$M,"인정")</f>
        <v>0</v>
      </c>
      <c r="E24" s="33">
        <f t="shared" si="0"/>
        <v>0</v>
      </c>
      <c r="F24" s="29" t="str">
        <f t="shared" si="1"/>
        <v/>
      </c>
      <c r="G24" s="33">
        <f t="shared" si="2"/>
        <v>0</v>
      </c>
      <c r="H24" s="33">
        <f t="shared" si="3"/>
        <v>0</v>
      </c>
      <c r="I24" s="29"/>
    </row>
    <row r="25" spans="1:9" ht="16.5" customHeight="1">
      <c r="A25" s="23" t="s">
        <v>183</v>
      </c>
      <c r="B25" s="23">
        <f>SUMIFS(마사지사일정산!$K:$K,마사지사일정산!$B:$B,A25)</f>
        <v>0</v>
      </c>
      <c r="C25" s="27">
        <f>SUMIFS(마사지사일정산!$L:$L,마사지사일정산!$B:$B,A25)</f>
        <v>0</v>
      </c>
      <c r="D25" s="23">
        <f>COUNTIFS(마사지사일정산!$B:$B,A25,마사지사일정산!$M:$M,"인정")</f>
        <v>0</v>
      </c>
      <c r="E25" s="27">
        <f t="shared" si="0"/>
        <v>0</v>
      </c>
      <c r="F25" s="23" t="str">
        <f t="shared" si="1"/>
        <v/>
      </c>
      <c r="G25" s="27">
        <f t="shared" si="2"/>
        <v>0</v>
      </c>
      <c r="H25" s="27">
        <f t="shared" si="3"/>
        <v>0</v>
      </c>
      <c r="I25" s="23"/>
    </row>
    <row r="26" spans="1:9" ht="16.5" customHeight="1">
      <c r="A26" s="29" t="s">
        <v>184</v>
      </c>
      <c r="B26" s="29">
        <f>SUMIFS(마사지사일정산!$K:$K,마사지사일정산!$B:$B,A26)</f>
        <v>0</v>
      </c>
      <c r="C26" s="33">
        <f>SUMIFS(마사지사일정산!$L:$L,마사지사일정산!$B:$B,A26)</f>
        <v>0</v>
      </c>
      <c r="D26" s="29">
        <f>COUNTIFS(마사지사일정산!$B:$B,A26,마사지사일정산!$M:$M,"인정")</f>
        <v>0</v>
      </c>
      <c r="E26" s="33">
        <f t="shared" si="0"/>
        <v>0</v>
      </c>
      <c r="F26" s="29" t="str">
        <f t="shared" si="1"/>
        <v/>
      </c>
      <c r="G26" s="33">
        <f t="shared" si="2"/>
        <v>0</v>
      </c>
      <c r="H26" s="33">
        <f t="shared" si="3"/>
        <v>0</v>
      </c>
      <c r="I26" s="29"/>
    </row>
    <row r="27" spans="1:9" ht="16.5" customHeight="1">
      <c r="A27" s="23" t="s">
        <v>185</v>
      </c>
      <c r="B27" s="23">
        <f>SUMIFS(마사지사일정산!$K:$K,마사지사일정산!$B:$B,A27)</f>
        <v>0</v>
      </c>
      <c r="C27" s="27">
        <f>SUMIFS(마사지사일정산!$L:$L,마사지사일정산!$B:$B,A27)</f>
        <v>0</v>
      </c>
      <c r="D27" s="23">
        <f>COUNTIFS(마사지사일정산!$B:$B,A27,마사지사일정산!$M:$M,"인정")</f>
        <v>0</v>
      </c>
      <c r="E27" s="27">
        <f t="shared" si="0"/>
        <v>0</v>
      </c>
      <c r="F27" s="23" t="str">
        <f t="shared" si="1"/>
        <v/>
      </c>
      <c r="G27" s="27">
        <f t="shared" si="2"/>
        <v>0</v>
      </c>
      <c r="H27" s="27">
        <f t="shared" si="3"/>
        <v>0</v>
      </c>
      <c r="I27" s="23"/>
    </row>
    <row r="28" spans="1:9" ht="16.5" customHeight="1">
      <c r="A28" s="29" t="s">
        <v>186</v>
      </c>
      <c r="B28" s="29">
        <f>SUMIFS(마사지사일정산!$K:$K,마사지사일정산!$B:$B,A28)</f>
        <v>0</v>
      </c>
      <c r="C28" s="33">
        <f>SUMIFS(마사지사일정산!$L:$L,마사지사일정산!$B:$B,A28)</f>
        <v>0</v>
      </c>
      <c r="D28" s="29">
        <f>COUNTIFS(마사지사일정산!$B:$B,A28,마사지사일정산!$M:$M,"인정")</f>
        <v>0</v>
      </c>
      <c r="E28" s="33">
        <f t="shared" si="0"/>
        <v>0</v>
      </c>
      <c r="F28" s="29" t="str">
        <f t="shared" si="1"/>
        <v/>
      </c>
      <c r="G28" s="33">
        <f t="shared" si="2"/>
        <v>0</v>
      </c>
      <c r="H28" s="33">
        <f t="shared" si="3"/>
        <v>0</v>
      </c>
      <c r="I28" s="29"/>
    </row>
    <row r="29" spans="1:9" ht="16.5" customHeight="1">
      <c r="A29" s="23" t="s">
        <v>187</v>
      </c>
      <c r="B29" s="23">
        <f>SUMIFS(마사지사일정산!$K:$K,마사지사일정산!$B:$B,A29)</f>
        <v>0</v>
      </c>
      <c r="C29" s="27">
        <f>SUMIFS(마사지사일정산!$L:$L,마사지사일정산!$B:$B,A29)</f>
        <v>0</v>
      </c>
      <c r="D29" s="23">
        <f>COUNTIFS(마사지사일정산!$B:$B,A29,마사지사일정산!$M:$M,"인정")</f>
        <v>0</v>
      </c>
      <c r="E29" s="27">
        <f t="shared" si="0"/>
        <v>0</v>
      </c>
      <c r="F29" s="23" t="str">
        <f t="shared" si="1"/>
        <v/>
      </c>
      <c r="G29" s="27">
        <f t="shared" si="2"/>
        <v>0</v>
      </c>
      <c r="H29" s="27">
        <f t="shared" si="3"/>
        <v>0</v>
      </c>
      <c r="I29" s="23"/>
    </row>
    <row r="30" spans="1:9" ht="16.5" customHeight="1">
      <c r="A30" s="29" t="s">
        <v>188</v>
      </c>
      <c r="B30" s="29">
        <f>SUMIFS(마사지사일정산!$K:$K,마사지사일정산!$B:$B,A30)</f>
        <v>0</v>
      </c>
      <c r="C30" s="33">
        <f>SUMIFS(마사지사일정산!$L:$L,마사지사일정산!$B:$B,A30)</f>
        <v>0</v>
      </c>
      <c r="D30" s="29">
        <f>COUNTIFS(마사지사일정산!$B:$B,A30,마사지사일정산!$M:$M,"인정")</f>
        <v>0</v>
      </c>
      <c r="E30" s="33">
        <f t="shared" si="0"/>
        <v>0</v>
      </c>
      <c r="F30" s="29" t="str">
        <f t="shared" si="1"/>
        <v/>
      </c>
      <c r="G30" s="33">
        <f t="shared" si="2"/>
        <v>0</v>
      </c>
      <c r="H30" s="33">
        <f t="shared" si="3"/>
        <v>0</v>
      </c>
      <c r="I30" s="29"/>
    </row>
    <row r="31" spans="1:9" ht="16.5" customHeight="1">
      <c r="A31" s="23" t="s">
        <v>189</v>
      </c>
      <c r="B31" s="23">
        <f>SUMIFS(마사지사일정산!$K:$K,마사지사일정산!$B:$B,A31)</f>
        <v>0</v>
      </c>
      <c r="C31" s="27">
        <f>SUMIFS(마사지사일정산!$L:$L,마사지사일정산!$B:$B,A31)</f>
        <v>0</v>
      </c>
      <c r="D31" s="23">
        <f>COUNTIFS(마사지사일정산!$B:$B,A31,마사지사일정산!$M:$M,"인정")</f>
        <v>0</v>
      </c>
      <c r="E31" s="27">
        <f t="shared" si="0"/>
        <v>0</v>
      </c>
      <c r="F31" s="23" t="str">
        <f t="shared" si="1"/>
        <v/>
      </c>
      <c r="G31" s="27">
        <f t="shared" si="2"/>
        <v>0</v>
      </c>
      <c r="H31" s="27">
        <f t="shared" si="3"/>
        <v>0</v>
      </c>
      <c r="I31" s="23"/>
    </row>
    <row r="32" spans="1:9" ht="16.5" customHeight="1">
      <c r="A32" s="29" t="s">
        <v>190</v>
      </c>
      <c r="B32" s="29">
        <f>SUMIFS(마사지사일정산!$K:$K,마사지사일정산!$B:$B,A32)</f>
        <v>0</v>
      </c>
      <c r="C32" s="33">
        <f>SUMIFS(마사지사일정산!$L:$L,마사지사일정산!$B:$B,A32)</f>
        <v>0</v>
      </c>
      <c r="D32" s="29">
        <f>COUNTIFS(마사지사일정산!$B:$B,A32,마사지사일정산!$M:$M,"인정")</f>
        <v>0</v>
      </c>
      <c r="E32" s="33">
        <f t="shared" si="0"/>
        <v>0</v>
      </c>
      <c r="F32" s="29" t="str">
        <f t="shared" si="1"/>
        <v/>
      </c>
      <c r="G32" s="33">
        <f t="shared" si="2"/>
        <v>0</v>
      </c>
      <c r="H32" s="33">
        <f t="shared" si="3"/>
        <v>0</v>
      </c>
      <c r="I32" s="29"/>
    </row>
    <row r="33" spans="1:9" ht="16.5" customHeight="1">
      <c r="A33" s="23" t="s">
        <v>191</v>
      </c>
      <c r="B33" s="23">
        <f>SUMIFS(마사지사일정산!$K:$K,마사지사일정산!$B:$B,A33)</f>
        <v>0</v>
      </c>
      <c r="C33" s="27">
        <f>SUMIFS(마사지사일정산!$L:$L,마사지사일정산!$B:$B,A33)</f>
        <v>0</v>
      </c>
      <c r="D33" s="23">
        <f>COUNTIFS(마사지사일정산!$B:$B,A33,마사지사일정산!$M:$M,"인정")</f>
        <v>0</v>
      </c>
      <c r="E33" s="27">
        <f t="shared" si="0"/>
        <v>0</v>
      </c>
      <c r="F33" s="23" t="str">
        <f t="shared" si="1"/>
        <v/>
      </c>
      <c r="G33" s="27">
        <f t="shared" si="2"/>
        <v>0</v>
      </c>
      <c r="H33" s="27">
        <f t="shared" si="3"/>
        <v>0</v>
      </c>
      <c r="I33" s="23"/>
    </row>
    <row r="34" spans="1:9" ht="16.5" customHeight="1">
      <c r="A34" s="29" t="s">
        <v>192</v>
      </c>
      <c r="B34" s="29">
        <f>SUMIFS(마사지사일정산!$K:$K,마사지사일정산!$B:$B,A34)</f>
        <v>0</v>
      </c>
      <c r="C34" s="33">
        <f>SUMIFS(마사지사일정산!$L:$L,마사지사일정산!$B:$B,A34)</f>
        <v>0</v>
      </c>
      <c r="D34" s="29">
        <f>COUNTIFS(마사지사일정산!$B:$B,A34,마사지사일정산!$M:$M,"인정")</f>
        <v>0</v>
      </c>
      <c r="E34" s="33">
        <f t="shared" si="0"/>
        <v>0</v>
      </c>
      <c r="F34" s="29" t="str">
        <f t="shared" si="1"/>
        <v/>
      </c>
      <c r="G34" s="33">
        <f t="shared" si="2"/>
        <v>0</v>
      </c>
      <c r="H34" s="33">
        <f t="shared" si="3"/>
        <v>0</v>
      </c>
      <c r="I34" s="29"/>
    </row>
    <row r="35" spans="1:9" ht="16.5" customHeight="1">
      <c r="A35" s="23" t="s">
        <v>193</v>
      </c>
      <c r="B35" s="23">
        <f>SUMIFS(마사지사일정산!$K:$K,마사지사일정산!$B:$B,A35)</f>
        <v>0</v>
      </c>
      <c r="C35" s="27">
        <f>SUMIFS(마사지사일정산!$L:$L,마사지사일정산!$B:$B,A35)</f>
        <v>0</v>
      </c>
      <c r="D35" s="23">
        <f>COUNTIFS(마사지사일정산!$B:$B,A35,마사지사일정산!$M:$M,"인정")</f>
        <v>0</v>
      </c>
      <c r="E35" s="27">
        <f t="shared" si="0"/>
        <v>0</v>
      </c>
      <c r="F35" s="23" t="str">
        <f t="shared" si="1"/>
        <v/>
      </c>
      <c r="G35" s="27">
        <f t="shared" si="2"/>
        <v>0</v>
      </c>
      <c r="H35" s="27">
        <f t="shared" si="3"/>
        <v>0</v>
      </c>
      <c r="I35" s="23"/>
    </row>
    <row r="36" spans="1:9" ht="16.5" customHeight="1">
      <c r="A36" s="29" t="s">
        <v>194</v>
      </c>
      <c r="B36" s="29">
        <f>SUMIFS(마사지사일정산!$K:$K,마사지사일정산!$B:$B,A36)</f>
        <v>0</v>
      </c>
      <c r="C36" s="33">
        <f>SUMIFS(마사지사일정산!$L:$L,마사지사일정산!$B:$B,A36)</f>
        <v>0</v>
      </c>
      <c r="D36" s="29">
        <f>COUNTIFS(마사지사일정산!$B:$B,A36,마사지사일정산!$M:$M,"인정")</f>
        <v>0</v>
      </c>
      <c r="E36" s="33">
        <f t="shared" si="0"/>
        <v>0</v>
      </c>
      <c r="F36" s="29" t="str">
        <f t="shared" si="1"/>
        <v/>
      </c>
      <c r="G36" s="33">
        <f t="shared" si="2"/>
        <v>0</v>
      </c>
      <c r="H36" s="33">
        <f t="shared" si="3"/>
        <v>0</v>
      </c>
      <c r="I36" s="29"/>
    </row>
    <row r="37" spans="1:9" ht="16.5" customHeight="1">
      <c r="A37" s="23" t="s">
        <v>195</v>
      </c>
      <c r="B37" s="23">
        <f>SUMIFS(마사지사일정산!$K:$K,마사지사일정산!$B:$B,A37)</f>
        <v>0</v>
      </c>
      <c r="C37" s="27">
        <f>SUMIFS(마사지사일정산!$L:$L,마사지사일정산!$B:$B,A37)</f>
        <v>0</v>
      </c>
      <c r="D37" s="23">
        <f>COUNTIFS(마사지사일정산!$B:$B,A37,마사지사일정산!$M:$M,"인정")</f>
        <v>0</v>
      </c>
      <c r="E37" s="27">
        <f t="shared" ref="E37:E68" si="4">IF(D37&gt;=20,2000000,0)</f>
        <v>0</v>
      </c>
      <c r="F37" s="23" t="str">
        <f t="shared" ref="F37:F54" si="5">IF(B37&lt;40,"",1+COUNTIFS($B$5:$B$54,"&gt;"&amp;B37,$B$5:$B$54,"&gt;=40"))</f>
        <v/>
      </c>
      <c r="G37" s="27">
        <f t="shared" ref="G37:G68" si="6">IF(F37=1,5000000,IF(F37=2,3000000,IF(F37=3,1000000,0)))</f>
        <v>0</v>
      </c>
      <c r="H37" s="27">
        <f t="shared" ref="H37:H68" si="7">C37+E37+G37</f>
        <v>0</v>
      </c>
      <c r="I37" s="23"/>
    </row>
    <row r="38" spans="1:9" ht="16.5" customHeight="1">
      <c r="A38" s="29" t="s">
        <v>196</v>
      </c>
      <c r="B38" s="29">
        <f>SUMIFS(마사지사일정산!$K:$K,마사지사일정산!$B:$B,A38)</f>
        <v>0</v>
      </c>
      <c r="C38" s="33">
        <f>SUMIFS(마사지사일정산!$L:$L,마사지사일정산!$B:$B,A38)</f>
        <v>0</v>
      </c>
      <c r="D38" s="29">
        <f>COUNTIFS(마사지사일정산!$B:$B,A38,마사지사일정산!$M:$M,"인정")</f>
        <v>0</v>
      </c>
      <c r="E38" s="33">
        <f t="shared" si="4"/>
        <v>0</v>
      </c>
      <c r="F38" s="29" t="str">
        <f t="shared" si="5"/>
        <v/>
      </c>
      <c r="G38" s="33">
        <f t="shared" si="6"/>
        <v>0</v>
      </c>
      <c r="H38" s="33">
        <f t="shared" si="7"/>
        <v>0</v>
      </c>
      <c r="I38" s="29"/>
    </row>
    <row r="39" spans="1:9" ht="16.5" customHeight="1">
      <c r="A39" s="23" t="s">
        <v>197</v>
      </c>
      <c r="B39" s="23">
        <f>SUMIFS(마사지사일정산!$K:$K,마사지사일정산!$B:$B,A39)</f>
        <v>0</v>
      </c>
      <c r="C39" s="27">
        <f>SUMIFS(마사지사일정산!$L:$L,마사지사일정산!$B:$B,A39)</f>
        <v>0</v>
      </c>
      <c r="D39" s="23">
        <f>COUNTIFS(마사지사일정산!$B:$B,A39,마사지사일정산!$M:$M,"인정")</f>
        <v>0</v>
      </c>
      <c r="E39" s="27">
        <f t="shared" si="4"/>
        <v>0</v>
      </c>
      <c r="F39" s="23" t="str">
        <f t="shared" si="5"/>
        <v/>
      </c>
      <c r="G39" s="27">
        <f t="shared" si="6"/>
        <v>0</v>
      </c>
      <c r="H39" s="27">
        <f t="shared" si="7"/>
        <v>0</v>
      </c>
      <c r="I39" s="23"/>
    </row>
    <row r="40" spans="1:9" ht="16.5" customHeight="1">
      <c r="A40" s="29" t="s">
        <v>198</v>
      </c>
      <c r="B40" s="29">
        <f>SUMIFS(마사지사일정산!$K:$K,마사지사일정산!$B:$B,A40)</f>
        <v>0</v>
      </c>
      <c r="C40" s="33">
        <f>SUMIFS(마사지사일정산!$L:$L,마사지사일정산!$B:$B,A40)</f>
        <v>0</v>
      </c>
      <c r="D40" s="29">
        <f>COUNTIFS(마사지사일정산!$B:$B,A40,마사지사일정산!$M:$M,"인정")</f>
        <v>0</v>
      </c>
      <c r="E40" s="33">
        <f t="shared" si="4"/>
        <v>0</v>
      </c>
      <c r="F40" s="29" t="str">
        <f t="shared" si="5"/>
        <v/>
      </c>
      <c r="G40" s="33">
        <f t="shared" si="6"/>
        <v>0</v>
      </c>
      <c r="H40" s="33">
        <f t="shared" si="7"/>
        <v>0</v>
      </c>
      <c r="I40" s="29"/>
    </row>
    <row r="41" spans="1:9" ht="16.5" customHeight="1">
      <c r="A41" s="23" t="s">
        <v>199</v>
      </c>
      <c r="B41" s="23">
        <f>SUMIFS(마사지사일정산!$K:$K,마사지사일정산!$B:$B,A41)</f>
        <v>0</v>
      </c>
      <c r="C41" s="27">
        <f>SUMIFS(마사지사일정산!$L:$L,마사지사일정산!$B:$B,A41)</f>
        <v>0</v>
      </c>
      <c r="D41" s="23">
        <f>COUNTIFS(마사지사일정산!$B:$B,A41,마사지사일정산!$M:$M,"인정")</f>
        <v>0</v>
      </c>
      <c r="E41" s="27">
        <f t="shared" si="4"/>
        <v>0</v>
      </c>
      <c r="F41" s="23" t="str">
        <f t="shared" si="5"/>
        <v/>
      </c>
      <c r="G41" s="27">
        <f t="shared" si="6"/>
        <v>0</v>
      </c>
      <c r="H41" s="27">
        <f t="shared" si="7"/>
        <v>0</v>
      </c>
      <c r="I41" s="23"/>
    </row>
    <row r="42" spans="1:9" ht="16.5" customHeight="1">
      <c r="A42" s="29" t="s">
        <v>200</v>
      </c>
      <c r="B42" s="29">
        <f>SUMIFS(마사지사일정산!$K:$K,마사지사일정산!$B:$B,A42)</f>
        <v>0</v>
      </c>
      <c r="C42" s="33">
        <f>SUMIFS(마사지사일정산!$L:$L,마사지사일정산!$B:$B,A42)</f>
        <v>0</v>
      </c>
      <c r="D42" s="29">
        <f>COUNTIFS(마사지사일정산!$B:$B,A42,마사지사일정산!$M:$M,"인정")</f>
        <v>0</v>
      </c>
      <c r="E42" s="33">
        <f t="shared" si="4"/>
        <v>0</v>
      </c>
      <c r="F42" s="29" t="str">
        <f t="shared" si="5"/>
        <v/>
      </c>
      <c r="G42" s="33">
        <f t="shared" si="6"/>
        <v>0</v>
      </c>
      <c r="H42" s="33">
        <f t="shared" si="7"/>
        <v>0</v>
      </c>
      <c r="I42" s="29"/>
    </row>
    <row r="43" spans="1:9" ht="16.5" customHeight="1">
      <c r="A43" s="23" t="s">
        <v>201</v>
      </c>
      <c r="B43" s="23">
        <f>SUMIFS(마사지사일정산!$K:$K,마사지사일정산!$B:$B,A43)</f>
        <v>0</v>
      </c>
      <c r="C43" s="27">
        <f>SUMIFS(마사지사일정산!$L:$L,마사지사일정산!$B:$B,A43)</f>
        <v>0</v>
      </c>
      <c r="D43" s="23">
        <f>COUNTIFS(마사지사일정산!$B:$B,A43,마사지사일정산!$M:$M,"인정")</f>
        <v>0</v>
      </c>
      <c r="E43" s="27">
        <f t="shared" si="4"/>
        <v>0</v>
      </c>
      <c r="F43" s="23" t="str">
        <f t="shared" si="5"/>
        <v/>
      </c>
      <c r="G43" s="27">
        <f t="shared" si="6"/>
        <v>0</v>
      </c>
      <c r="H43" s="27">
        <f t="shared" si="7"/>
        <v>0</v>
      </c>
      <c r="I43" s="23"/>
    </row>
    <row r="44" spans="1:9" ht="16.5" customHeight="1">
      <c r="A44" s="29" t="s">
        <v>202</v>
      </c>
      <c r="B44" s="29">
        <f>SUMIFS(마사지사일정산!$K:$K,마사지사일정산!$B:$B,A44)</f>
        <v>0</v>
      </c>
      <c r="C44" s="33">
        <f>SUMIFS(마사지사일정산!$L:$L,마사지사일정산!$B:$B,A44)</f>
        <v>0</v>
      </c>
      <c r="D44" s="29">
        <f>COUNTIFS(마사지사일정산!$B:$B,A44,마사지사일정산!$M:$M,"인정")</f>
        <v>0</v>
      </c>
      <c r="E44" s="33">
        <f t="shared" si="4"/>
        <v>0</v>
      </c>
      <c r="F44" s="29" t="str">
        <f t="shared" si="5"/>
        <v/>
      </c>
      <c r="G44" s="33">
        <f t="shared" si="6"/>
        <v>0</v>
      </c>
      <c r="H44" s="33">
        <f t="shared" si="7"/>
        <v>0</v>
      </c>
      <c r="I44" s="29"/>
    </row>
    <row r="45" spans="1:9" ht="16.5" customHeight="1">
      <c r="A45" s="23" t="s">
        <v>203</v>
      </c>
      <c r="B45" s="23">
        <f>SUMIFS(마사지사일정산!$K:$K,마사지사일정산!$B:$B,A45)</f>
        <v>0</v>
      </c>
      <c r="C45" s="27">
        <f>SUMIFS(마사지사일정산!$L:$L,마사지사일정산!$B:$B,A45)</f>
        <v>0</v>
      </c>
      <c r="D45" s="23">
        <f>COUNTIFS(마사지사일정산!$B:$B,A45,마사지사일정산!$M:$M,"인정")</f>
        <v>0</v>
      </c>
      <c r="E45" s="27">
        <f t="shared" si="4"/>
        <v>0</v>
      </c>
      <c r="F45" s="23" t="str">
        <f t="shared" si="5"/>
        <v/>
      </c>
      <c r="G45" s="27">
        <f t="shared" si="6"/>
        <v>0</v>
      </c>
      <c r="H45" s="27">
        <f t="shared" si="7"/>
        <v>0</v>
      </c>
      <c r="I45" s="23"/>
    </row>
    <row r="46" spans="1:9" ht="16.5" customHeight="1">
      <c r="A46" s="29" t="s">
        <v>204</v>
      </c>
      <c r="B46" s="29">
        <f>SUMIFS(마사지사일정산!$K:$K,마사지사일정산!$B:$B,A46)</f>
        <v>0</v>
      </c>
      <c r="C46" s="33">
        <f>SUMIFS(마사지사일정산!$L:$L,마사지사일정산!$B:$B,A46)</f>
        <v>0</v>
      </c>
      <c r="D46" s="29">
        <f>COUNTIFS(마사지사일정산!$B:$B,A46,마사지사일정산!$M:$M,"인정")</f>
        <v>0</v>
      </c>
      <c r="E46" s="33">
        <f t="shared" si="4"/>
        <v>0</v>
      </c>
      <c r="F46" s="29" t="str">
        <f t="shared" si="5"/>
        <v/>
      </c>
      <c r="G46" s="33">
        <f t="shared" si="6"/>
        <v>0</v>
      </c>
      <c r="H46" s="33">
        <f t="shared" si="7"/>
        <v>0</v>
      </c>
      <c r="I46" s="29"/>
    </row>
    <row r="47" spans="1:9" ht="16.5" customHeight="1">
      <c r="A47" s="23" t="s">
        <v>205</v>
      </c>
      <c r="B47" s="23">
        <f>SUMIFS(마사지사일정산!$K:$K,마사지사일정산!$B:$B,A47)</f>
        <v>0</v>
      </c>
      <c r="C47" s="27">
        <f>SUMIFS(마사지사일정산!$L:$L,마사지사일정산!$B:$B,A47)</f>
        <v>0</v>
      </c>
      <c r="D47" s="23">
        <f>COUNTIFS(마사지사일정산!$B:$B,A47,마사지사일정산!$M:$M,"인정")</f>
        <v>0</v>
      </c>
      <c r="E47" s="27">
        <f t="shared" si="4"/>
        <v>0</v>
      </c>
      <c r="F47" s="23" t="str">
        <f t="shared" si="5"/>
        <v/>
      </c>
      <c r="G47" s="27">
        <f t="shared" si="6"/>
        <v>0</v>
      </c>
      <c r="H47" s="27">
        <f t="shared" si="7"/>
        <v>0</v>
      </c>
      <c r="I47" s="23"/>
    </row>
    <row r="48" spans="1:9" ht="16.5" customHeight="1">
      <c r="A48" s="29" t="s">
        <v>206</v>
      </c>
      <c r="B48" s="29">
        <f>SUMIFS(마사지사일정산!$K:$K,마사지사일정산!$B:$B,A48)</f>
        <v>0</v>
      </c>
      <c r="C48" s="33">
        <f>SUMIFS(마사지사일정산!$L:$L,마사지사일정산!$B:$B,A48)</f>
        <v>0</v>
      </c>
      <c r="D48" s="29">
        <f>COUNTIFS(마사지사일정산!$B:$B,A48,마사지사일정산!$M:$M,"인정")</f>
        <v>0</v>
      </c>
      <c r="E48" s="33">
        <f t="shared" si="4"/>
        <v>0</v>
      </c>
      <c r="F48" s="29" t="str">
        <f t="shared" si="5"/>
        <v/>
      </c>
      <c r="G48" s="33">
        <f t="shared" si="6"/>
        <v>0</v>
      </c>
      <c r="H48" s="33">
        <f t="shared" si="7"/>
        <v>0</v>
      </c>
      <c r="I48" s="29"/>
    </row>
    <row r="49" spans="1:9" ht="16.5" customHeight="1">
      <c r="A49" s="23" t="s">
        <v>207</v>
      </c>
      <c r="B49" s="23">
        <f>SUMIFS(마사지사일정산!$K:$K,마사지사일정산!$B:$B,A49)</f>
        <v>0</v>
      </c>
      <c r="C49" s="27">
        <f>SUMIFS(마사지사일정산!$L:$L,마사지사일정산!$B:$B,A49)</f>
        <v>0</v>
      </c>
      <c r="D49" s="23">
        <f>COUNTIFS(마사지사일정산!$B:$B,A49,마사지사일정산!$M:$M,"인정")</f>
        <v>0</v>
      </c>
      <c r="E49" s="27">
        <f t="shared" si="4"/>
        <v>0</v>
      </c>
      <c r="F49" s="23" t="str">
        <f t="shared" si="5"/>
        <v/>
      </c>
      <c r="G49" s="27">
        <f t="shared" si="6"/>
        <v>0</v>
      </c>
      <c r="H49" s="27">
        <f t="shared" si="7"/>
        <v>0</v>
      </c>
      <c r="I49" s="23"/>
    </row>
    <row r="50" spans="1:9" ht="16.5" customHeight="1">
      <c r="A50" s="29" t="s">
        <v>208</v>
      </c>
      <c r="B50" s="29">
        <f>SUMIFS(마사지사일정산!$K:$K,마사지사일정산!$B:$B,A50)</f>
        <v>0</v>
      </c>
      <c r="C50" s="33">
        <f>SUMIFS(마사지사일정산!$L:$L,마사지사일정산!$B:$B,A50)</f>
        <v>0</v>
      </c>
      <c r="D50" s="29">
        <f>COUNTIFS(마사지사일정산!$B:$B,A50,마사지사일정산!$M:$M,"인정")</f>
        <v>0</v>
      </c>
      <c r="E50" s="33">
        <f t="shared" si="4"/>
        <v>0</v>
      </c>
      <c r="F50" s="29" t="str">
        <f t="shared" si="5"/>
        <v/>
      </c>
      <c r="G50" s="33">
        <f t="shared" si="6"/>
        <v>0</v>
      </c>
      <c r="H50" s="33">
        <f t="shared" si="7"/>
        <v>0</v>
      </c>
      <c r="I50" s="29"/>
    </row>
    <row r="51" spans="1:9" ht="16.5" customHeight="1">
      <c r="A51" s="23" t="s">
        <v>209</v>
      </c>
      <c r="B51" s="23">
        <f>SUMIFS(마사지사일정산!$K:$K,마사지사일정산!$B:$B,A51)</f>
        <v>0</v>
      </c>
      <c r="C51" s="27">
        <f>SUMIFS(마사지사일정산!$L:$L,마사지사일정산!$B:$B,A51)</f>
        <v>0</v>
      </c>
      <c r="D51" s="23">
        <f>COUNTIFS(마사지사일정산!$B:$B,A51,마사지사일정산!$M:$M,"인정")</f>
        <v>0</v>
      </c>
      <c r="E51" s="27">
        <f t="shared" si="4"/>
        <v>0</v>
      </c>
      <c r="F51" s="23" t="str">
        <f t="shared" si="5"/>
        <v/>
      </c>
      <c r="G51" s="27">
        <f t="shared" si="6"/>
        <v>0</v>
      </c>
      <c r="H51" s="27">
        <f t="shared" si="7"/>
        <v>0</v>
      </c>
      <c r="I51" s="23"/>
    </row>
    <row r="52" spans="1:9" ht="16.5" customHeight="1">
      <c r="A52" s="29" t="s">
        <v>210</v>
      </c>
      <c r="B52" s="29">
        <f>SUMIFS(마사지사일정산!$K:$K,마사지사일정산!$B:$B,A52)</f>
        <v>0</v>
      </c>
      <c r="C52" s="33">
        <f>SUMIFS(마사지사일정산!$L:$L,마사지사일정산!$B:$B,A52)</f>
        <v>0</v>
      </c>
      <c r="D52" s="29">
        <f>COUNTIFS(마사지사일정산!$B:$B,A52,마사지사일정산!$M:$M,"인정")</f>
        <v>0</v>
      </c>
      <c r="E52" s="33">
        <f t="shared" si="4"/>
        <v>0</v>
      </c>
      <c r="F52" s="29" t="str">
        <f t="shared" si="5"/>
        <v/>
      </c>
      <c r="G52" s="33">
        <f t="shared" si="6"/>
        <v>0</v>
      </c>
      <c r="H52" s="33">
        <f t="shared" si="7"/>
        <v>0</v>
      </c>
      <c r="I52" s="29"/>
    </row>
    <row r="53" spans="1:9" ht="16.5" customHeight="1">
      <c r="A53" s="23" t="s">
        <v>211</v>
      </c>
      <c r="B53" s="23">
        <f>SUMIFS(마사지사일정산!$K:$K,마사지사일정산!$B:$B,A53)</f>
        <v>0</v>
      </c>
      <c r="C53" s="27">
        <f>SUMIFS(마사지사일정산!$L:$L,마사지사일정산!$B:$B,A53)</f>
        <v>0</v>
      </c>
      <c r="D53" s="23">
        <f>COUNTIFS(마사지사일정산!$B:$B,A53,마사지사일정산!$M:$M,"인정")</f>
        <v>0</v>
      </c>
      <c r="E53" s="27">
        <f t="shared" si="4"/>
        <v>0</v>
      </c>
      <c r="F53" s="23" t="str">
        <f t="shared" si="5"/>
        <v/>
      </c>
      <c r="G53" s="27">
        <f t="shared" si="6"/>
        <v>0</v>
      </c>
      <c r="H53" s="27">
        <f t="shared" si="7"/>
        <v>0</v>
      </c>
      <c r="I53" s="23"/>
    </row>
    <row r="54" spans="1:9" ht="16.5" customHeight="1">
      <c r="A54" s="29" t="s">
        <v>212</v>
      </c>
      <c r="B54" s="29">
        <f>SUMIFS(마사지사일정산!$K:$K,마사지사일정산!$B:$B,A54)</f>
        <v>0</v>
      </c>
      <c r="C54" s="33">
        <f>SUMIFS(마사지사일정산!$L:$L,마사지사일정산!$B:$B,A54)</f>
        <v>0</v>
      </c>
      <c r="D54" s="29">
        <f>COUNTIFS(마사지사일정산!$B:$B,A54,마사지사일정산!$M:$M,"인정")</f>
        <v>0</v>
      </c>
      <c r="E54" s="33">
        <f t="shared" si="4"/>
        <v>0</v>
      </c>
      <c r="F54" s="29" t="str">
        <f t="shared" si="5"/>
        <v/>
      </c>
      <c r="G54" s="33">
        <f t="shared" si="6"/>
        <v>0</v>
      </c>
      <c r="H54" s="33">
        <f t="shared" si="7"/>
        <v>0</v>
      </c>
      <c r="I54" s="29"/>
    </row>
    <row r="55" spans="1:9" ht="16.5" customHeight="1"/>
    <row r="56" spans="1:9" ht="16.5" customHeight="1"/>
    <row r="57" spans="1:9" ht="16.5" customHeight="1"/>
    <row r="58" spans="1:9" ht="16.5" customHeight="1">
      <c r="A58" s="151" t="s">
        <v>221</v>
      </c>
      <c r="B58" s="129"/>
      <c r="C58" s="129"/>
      <c r="D58" s="129"/>
      <c r="E58" s="129"/>
    </row>
    <row r="59" spans="1:9" ht="16.5" customHeight="1">
      <c r="A59" s="67" t="s">
        <v>132</v>
      </c>
      <c r="B59" s="68">
        <f>운영팀근무인센!B40</f>
        <v>0</v>
      </c>
    </row>
    <row r="60" spans="1:9" ht="16.5" customHeight="1">
      <c r="A60" s="67" t="s">
        <v>222</v>
      </c>
      <c r="B60" s="69">
        <f>운영팀근무인센!B41</f>
        <v>0</v>
      </c>
    </row>
    <row r="61" spans="1:9" ht="16.5" customHeight="1">
      <c r="A61" s="67" t="s">
        <v>223</v>
      </c>
      <c r="B61" s="69">
        <f>SUM(운영팀근무인센!E5:E35,G5:G35,I5:I35,K5:K35,M5:M35)</f>
        <v>0</v>
      </c>
    </row>
    <row r="62" spans="1:9" ht="16.5" customHeight="1">
      <c r="A62" s="67" t="s">
        <v>224</v>
      </c>
      <c r="B62" s="69">
        <f>SUM(귀케어일정산!G:G)</f>
        <v>0</v>
      </c>
    </row>
    <row r="63" spans="1:9" ht="16.5" customHeight="1">
      <c r="A63" s="67" t="s">
        <v>225</v>
      </c>
      <c r="B63" s="69">
        <f>SUM(H5:H54)</f>
        <v>0</v>
      </c>
    </row>
    <row r="64" spans="1:9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58:E58"/>
    <mergeCell ref="A1:E1"/>
    <mergeCell ref="A2:J2"/>
  </mergeCells>
  <phoneticPr fontId="45" type="noConversion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1" width="12" customWidth="1"/>
    <col min="2" max="2" width="16" customWidth="1"/>
    <col min="3" max="3" width="14" customWidth="1"/>
    <col min="4" max="4" width="12" customWidth="1"/>
    <col min="5" max="5" width="14" customWidth="1"/>
    <col min="6" max="6" width="18" customWidth="1"/>
    <col min="7" max="9" width="14" customWidth="1"/>
  </cols>
  <sheetData>
    <row r="1" spans="1:9" ht="27.75" customHeight="1">
      <c r="A1" s="119" t="s">
        <v>226</v>
      </c>
      <c r="B1" s="115"/>
      <c r="C1" s="115"/>
      <c r="D1" s="115"/>
      <c r="E1" s="115"/>
      <c r="F1" s="115"/>
      <c r="G1" s="1"/>
      <c r="H1" s="1"/>
      <c r="I1" s="1"/>
    </row>
    <row r="2" spans="1:9" ht="22.5" customHeight="1">
      <c r="A2" s="114" t="s">
        <v>227</v>
      </c>
      <c r="B2" s="115"/>
      <c r="C2" s="115"/>
      <c r="D2" s="115"/>
      <c r="E2" s="115"/>
      <c r="F2" s="115"/>
      <c r="G2" s="115"/>
      <c r="H2" s="115"/>
      <c r="I2" s="70"/>
    </row>
    <row r="3" spans="1:9" ht="16.5" customHeight="1">
      <c r="A3" s="1"/>
      <c r="B3" s="1"/>
      <c r="C3" s="1"/>
      <c r="D3" s="1"/>
      <c r="E3" s="1"/>
      <c r="F3" s="1"/>
      <c r="G3" s="1"/>
      <c r="H3" s="1"/>
      <c r="I3" s="1"/>
    </row>
    <row r="4" spans="1:9" ht="16.5" customHeight="1">
      <c r="A4" s="20" t="s">
        <v>228</v>
      </c>
      <c r="B4" s="20" t="s">
        <v>229</v>
      </c>
      <c r="C4" s="20" t="s">
        <v>230</v>
      </c>
      <c r="D4" s="20" t="s">
        <v>231</v>
      </c>
      <c r="E4" s="20" t="s">
        <v>232</v>
      </c>
      <c r="F4" s="20" t="s">
        <v>233</v>
      </c>
      <c r="G4" s="20" t="s">
        <v>234</v>
      </c>
      <c r="H4" s="20" t="s">
        <v>235</v>
      </c>
      <c r="I4" s="20" t="s">
        <v>89</v>
      </c>
    </row>
    <row r="5" spans="1:9" ht="16.5" customHeight="1">
      <c r="A5" s="13" t="s">
        <v>236</v>
      </c>
      <c r="B5" s="62" t="s">
        <v>237</v>
      </c>
      <c r="C5" s="13" t="s">
        <v>237</v>
      </c>
      <c r="D5" s="62" t="s">
        <v>238</v>
      </c>
      <c r="E5" s="71">
        <v>22000000</v>
      </c>
      <c r="F5" s="62"/>
      <c r="G5" s="72"/>
      <c r="H5" s="62"/>
      <c r="I5" s="62" t="s">
        <v>239</v>
      </c>
    </row>
    <row r="6" spans="1:9" ht="16.5" customHeight="1">
      <c r="A6" s="13" t="s">
        <v>236</v>
      </c>
      <c r="B6" s="62" t="s">
        <v>240</v>
      </c>
      <c r="C6" s="13" t="s">
        <v>241</v>
      </c>
      <c r="D6" s="62" t="s">
        <v>242</v>
      </c>
      <c r="E6" s="71">
        <v>12000000</v>
      </c>
      <c r="F6" s="62"/>
      <c r="G6" s="72"/>
      <c r="H6" s="62"/>
      <c r="I6" s="62" t="s">
        <v>239</v>
      </c>
    </row>
    <row r="7" spans="1:9" ht="16.5" customHeight="1">
      <c r="A7" s="13" t="s">
        <v>236</v>
      </c>
      <c r="B7" s="62" t="s">
        <v>243</v>
      </c>
      <c r="C7" s="13" t="s">
        <v>241</v>
      </c>
      <c r="D7" s="62" t="s">
        <v>244</v>
      </c>
      <c r="E7" s="71">
        <v>12000000</v>
      </c>
      <c r="F7" s="62"/>
      <c r="G7" s="72"/>
      <c r="H7" s="62"/>
      <c r="I7" s="62" t="s">
        <v>239</v>
      </c>
    </row>
    <row r="8" spans="1:9" ht="16.5" customHeight="1">
      <c r="A8" s="13" t="s">
        <v>236</v>
      </c>
      <c r="B8" s="62" t="s">
        <v>245</v>
      </c>
      <c r="C8" s="13" t="s">
        <v>246</v>
      </c>
      <c r="D8" s="62" t="s">
        <v>242</v>
      </c>
      <c r="E8" s="71">
        <v>9000000</v>
      </c>
      <c r="F8" s="62"/>
      <c r="G8" s="72"/>
      <c r="H8" s="62"/>
      <c r="I8" s="62" t="s">
        <v>239</v>
      </c>
    </row>
    <row r="9" spans="1:9" ht="16.5" customHeight="1">
      <c r="A9" s="13" t="s">
        <v>236</v>
      </c>
      <c r="B9" s="62" t="s">
        <v>247</v>
      </c>
      <c r="C9" s="13" t="s">
        <v>246</v>
      </c>
      <c r="D9" s="62" t="s">
        <v>244</v>
      </c>
      <c r="E9" s="71">
        <v>9000000</v>
      </c>
      <c r="F9" s="62"/>
      <c r="G9" s="72"/>
      <c r="H9" s="62"/>
      <c r="I9" s="62" t="s">
        <v>239</v>
      </c>
    </row>
    <row r="10" spans="1:9" ht="16.5" customHeight="1">
      <c r="A10" s="1"/>
      <c r="B10" s="1"/>
      <c r="C10" s="1"/>
      <c r="D10" s="1"/>
      <c r="E10" s="1"/>
      <c r="F10" s="1"/>
      <c r="G10" s="73"/>
      <c r="H10" s="1"/>
      <c r="I10" s="1"/>
    </row>
    <row r="11" spans="1:9" ht="16.5" customHeight="1">
      <c r="A11" s="13" t="s">
        <v>248</v>
      </c>
      <c r="B11" s="62" t="s">
        <v>66</v>
      </c>
      <c r="C11" s="13" t="s">
        <v>141</v>
      </c>
      <c r="D11" s="13"/>
      <c r="E11" s="71">
        <v>5000000</v>
      </c>
      <c r="F11" s="13"/>
      <c r="G11" s="74"/>
      <c r="H11" s="13"/>
      <c r="I11" s="62" t="s">
        <v>239</v>
      </c>
    </row>
    <row r="12" spans="1:9" ht="16.5" customHeight="1">
      <c r="A12" s="13" t="s">
        <v>248</v>
      </c>
      <c r="B12" s="62" t="s">
        <v>147</v>
      </c>
      <c r="C12" s="13" t="s">
        <v>141</v>
      </c>
      <c r="D12" s="13"/>
      <c r="E12" s="71">
        <v>5000000</v>
      </c>
      <c r="F12" s="13"/>
      <c r="G12" s="74"/>
      <c r="H12" s="13"/>
      <c r="I12" s="62" t="s">
        <v>239</v>
      </c>
    </row>
    <row r="13" spans="1:9" ht="16.5" customHeight="1">
      <c r="A13" s="13" t="s">
        <v>248</v>
      </c>
      <c r="B13" s="62" t="s">
        <v>148</v>
      </c>
      <c r="C13" s="13" t="s">
        <v>141</v>
      </c>
      <c r="D13" s="13"/>
      <c r="E13" s="71">
        <v>5000000</v>
      </c>
      <c r="F13" s="13"/>
      <c r="G13" s="74"/>
      <c r="H13" s="13"/>
      <c r="I13" s="62" t="s">
        <v>239</v>
      </c>
    </row>
    <row r="14" spans="1:9" ht="16.5" customHeight="1">
      <c r="A14" s="13" t="s">
        <v>248</v>
      </c>
      <c r="B14" s="62" t="s">
        <v>149</v>
      </c>
      <c r="C14" s="13" t="s">
        <v>141</v>
      </c>
      <c r="D14" s="13"/>
      <c r="E14" s="71">
        <v>5000000</v>
      </c>
      <c r="F14" s="13"/>
      <c r="G14" s="74"/>
      <c r="H14" s="13"/>
      <c r="I14" s="62" t="s">
        <v>239</v>
      </c>
    </row>
    <row r="15" spans="1:9" ht="16.5" customHeight="1">
      <c r="A15" s="1"/>
      <c r="B15" s="75"/>
      <c r="C15" s="1"/>
      <c r="D15" s="1"/>
      <c r="E15" s="76"/>
      <c r="F15" s="1"/>
      <c r="G15" s="73"/>
      <c r="H15" s="1"/>
      <c r="I15" s="75"/>
    </row>
    <row r="16" spans="1:9" ht="16.5" customHeight="1">
      <c r="A16" s="1"/>
      <c r="B16" s="1"/>
      <c r="C16" s="1"/>
      <c r="D16" s="1"/>
      <c r="E16" s="1"/>
      <c r="F16" s="1"/>
      <c r="G16" s="73"/>
      <c r="H16" s="1"/>
      <c r="I16" s="1"/>
    </row>
    <row r="17" spans="1:9" ht="16.5" customHeight="1">
      <c r="A17" s="1"/>
      <c r="B17" s="1"/>
      <c r="C17" s="1"/>
      <c r="D17" s="1"/>
      <c r="E17" s="1"/>
      <c r="F17" s="1"/>
      <c r="G17" s="73"/>
      <c r="H17" s="1"/>
      <c r="I17" s="1"/>
    </row>
    <row r="18" spans="1:9" ht="16.5" customHeight="1">
      <c r="A18" s="1"/>
      <c r="B18" s="1"/>
      <c r="C18" s="1"/>
      <c r="D18" s="1"/>
      <c r="E18" s="1"/>
      <c r="F18" s="1"/>
      <c r="G18" s="73"/>
      <c r="H18" s="1"/>
      <c r="I18" s="1"/>
    </row>
    <row r="19" spans="1:9" ht="16.5" customHeight="1">
      <c r="A19" s="1"/>
      <c r="B19" s="1"/>
      <c r="C19" s="1"/>
      <c r="D19" s="1"/>
      <c r="E19" s="1"/>
      <c r="F19" s="1"/>
      <c r="G19" s="73"/>
      <c r="H19" s="1"/>
      <c r="I19" s="1"/>
    </row>
    <row r="20" spans="1:9" ht="16.5" customHeight="1">
      <c r="A20" s="13" t="s">
        <v>152</v>
      </c>
      <c r="B20" s="62" t="s">
        <v>47</v>
      </c>
      <c r="C20" s="13" t="s">
        <v>152</v>
      </c>
      <c r="D20" s="13"/>
      <c r="E20" s="77">
        <v>0</v>
      </c>
      <c r="F20" s="13"/>
      <c r="G20" s="74"/>
      <c r="H20" s="13"/>
      <c r="I20" s="62" t="s">
        <v>239</v>
      </c>
    </row>
    <row r="21" spans="1:9" ht="16.5" customHeight="1">
      <c r="A21" s="13" t="s">
        <v>152</v>
      </c>
      <c r="B21" s="62" t="s">
        <v>48</v>
      </c>
      <c r="C21" s="13" t="s">
        <v>152</v>
      </c>
      <c r="D21" s="13"/>
      <c r="E21" s="77">
        <v>0</v>
      </c>
      <c r="F21" s="13"/>
      <c r="G21" s="74"/>
      <c r="H21" s="13"/>
      <c r="I21" s="62" t="s">
        <v>239</v>
      </c>
    </row>
    <row r="22" spans="1:9" ht="16.5" customHeight="1">
      <c r="A22" s="13" t="s">
        <v>152</v>
      </c>
      <c r="B22" s="62" t="s">
        <v>165</v>
      </c>
      <c r="C22" s="13" t="s">
        <v>152</v>
      </c>
      <c r="D22" s="13"/>
      <c r="E22" s="77">
        <v>0</v>
      </c>
      <c r="F22" s="13"/>
      <c r="G22" s="74"/>
      <c r="H22" s="13"/>
      <c r="I22" s="62" t="s">
        <v>239</v>
      </c>
    </row>
    <row r="23" spans="1:9" ht="16.5" customHeight="1">
      <c r="A23" s="13" t="s">
        <v>152</v>
      </c>
      <c r="B23" s="62" t="s">
        <v>166</v>
      </c>
      <c r="C23" s="13" t="s">
        <v>152</v>
      </c>
      <c r="D23" s="13"/>
      <c r="E23" s="77">
        <v>0</v>
      </c>
      <c r="F23" s="13"/>
      <c r="G23" s="74"/>
      <c r="H23" s="13"/>
      <c r="I23" s="62" t="s">
        <v>239</v>
      </c>
    </row>
    <row r="24" spans="1:9" ht="16.5" customHeight="1">
      <c r="A24" s="13" t="s">
        <v>152</v>
      </c>
      <c r="B24" s="62" t="s">
        <v>167</v>
      </c>
      <c r="C24" s="13" t="s">
        <v>152</v>
      </c>
      <c r="D24" s="13"/>
      <c r="E24" s="77">
        <v>0</v>
      </c>
      <c r="F24" s="13"/>
      <c r="G24" s="74"/>
      <c r="H24" s="13"/>
      <c r="I24" s="62" t="s">
        <v>239</v>
      </c>
    </row>
    <row r="25" spans="1:9" ht="16.5" customHeight="1">
      <c r="A25" s="13" t="s">
        <v>152</v>
      </c>
      <c r="B25" s="62" t="s">
        <v>168</v>
      </c>
      <c r="C25" s="13" t="s">
        <v>152</v>
      </c>
      <c r="D25" s="13"/>
      <c r="E25" s="77">
        <v>0</v>
      </c>
      <c r="F25" s="13"/>
      <c r="G25" s="74"/>
      <c r="H25" s="13"/>
      <c r="I25" s="62" t="s">
        <v>239</v>
      </c>
    </row>
    <row r="26" spans="1:9" ht="16.5" customHeight="1">
      <c r="A26" s="13" t="s">
        <v>152</v>
      </c>
      <c r="B26" s="62" t="s">
        <v>169</v>
      </c>
      <c r="C26" s="13" t="s">
        <v>152</v>
      </c>
      <c r="D26" s="13"/>
      <c r="E26" s="77">
        <v>0</v>
      </c>
      <c r="F26" s="13"/>
      <c r="G26" s="74"/>
      <c r="H26" s="13"/>
      <c r="I26" s="62" t="s">
        <v>239</v>
      </c>
    </row>
    <row r="27" spans="1:9" ht="16.5" customHeight="1">
      <c r="A27" s="13" t="s">
        <v>152</v>
      </c>
      <c r="B27" s="62" t="s">
        <v>170</v>
      </c>
      <c r="C27" s="13" t="s">
        <v>152</v>
      </c>
      <c r="D27" s="13"/>
      <c r="E27" s="77">
        <v>0</v>
      </c>
      <c r="F27" s="13"/>
      <c r="G27" s="74"/>
      <c r="H27" s="13"/>
      <c r="I27" s="62" t="s">
        <v>239</v>
      </c>
    </row>
    <row r="28" spans="1:9" ht="16.5" customHeight="1">
      <c r="A28" s="13" t="s">
        <v>152</v>
      </c>
      <c r="B28" s="62" t="s">
        <v>171</v>
      </c>
      <c r="C28" s="13" t="s">
        <v>152</v>
      </c>
      <c r="D28" s="13"/>
      <c r="E28" s="77">
        <v>0</v>
      </c>
      <c r="F28" s="13"/>
      <c r="G28" s="74"/>
      <c r="H28" s="13"/>
      <c r="I28" s="62" t="s">
        <v>239</v>
      </c>
    </row>
    <row r="29" spans="1:9" ht="16.5" customHeight="1">
      <c r="A29" s="13" t="s">
        <v>152</v>
      </c>
      <c r="B29" s="62" t="s">
        <v>172</v>
      </c>
      <c r="C29" s="13" t="s">
        <v>152</v>
      </c>
      <c r="D29" s="13"/>
      <c r="E29" s="77">
        <v>0</v>
      </c>
      <c r="F29" s="13"/>
      <c r="G29" s="74"/>
      <c r="H29" s="13"/>
      <c r="I29" s="62" t="s">
        <v>239</v>
      </c>
    </row>
    <row r="30" spans="1:9" ht="16.5" customHeight="1">
      <c r="A30" s="13" t="s">
        <v>152</v>
      </c>
      <c r="B30" s="62" t="s">
        <v>173</v>
      </c>
      <c r="C30" s="13" t="s">
        <v>152</v>
      </c>
      <c r="D30" s="13"/>
      <c r="E30" s="77">
        <v>0</v>
      </c>
      <c r="F30" s="13"/>
      <c r="G30" s="74"/>
      <c r="H30" s="13"/>
      <c r="I30" s="62" t="s">
        <v>239</v>
      </c>
    </row>
    <row r="31" spans="1:9" ht="16.5" customHeight="1">
      <c r="A31" s="13" t="s">
        <v>152</v>
      </c>
      <c r="B31" s="62" t="s">
        <v>174</v>
      </c>
      <c r="C31" s="13" t="s">
        <v>152</v>
      </c>
      <c r="D31" s="13"/>
      <c r="E31" s="77">
        <v>0</v>
      </c>
      <c r="F31" s="13"/>
      <c r="G31" s="74"/>
      <c r="H31" s="13"/>
      <c r="I31" s="62" t="s">
        <v>239</v>
      </c>
    </row>
    <row r="32" spans="1:9" ht="16.5" customHeight="1">
      <c r="A32" s="13" t="s">
        <v>152</v>
      </c>
      <c r="B32" s="62" t="s">
        <v>175</v>
      </c>
      <c r="C32" s="13" t="s">
        <v>152</v>
      </c>
      <c r="D32" s="13"/>
      <c r="E32" s="77">
        <v>0</v>
      </c>
      <c r="F32" s="13"/>
      <c r="G32" s="74"/>
      <c r="H32" s="13"/>
      <c r="I32" s="62" t="s">
        <v>239</v>
      </c>
    </row>
    <row r="33" spans="1:9" ht="16.5" customHeight="1">
      <c r="A33" s="13" t="s">
        <v>152</v>
      </c>
      <c r="B33" s="62" t="s">
        <v>176</v>
      </c>
      <c r="C33" s="13" t="s">
        <v>152</v>
      </c>
      <c r="D33" s="13"/>
      <c r="E33" s="77">
        <v>0</v>
      </c>
      <c r="F33" s="13"/>
      <c r="G33" s="74"/>
      <c r="H33" s="13"/>
      <c r="I33" s="62" t="s">
        <v>239</v>
      </c>
    </row>
    <row r="34" spans="1:9" ht="16.5" customHeight="1">
      <c r="A34" s="13" t="s">
        <v>152</v>
      </c>
      <c r="B34" s="62" t="s">
        <v>177</v>
      </c>
      <c r="C34" s="13" t="s">
        <v>152</v>
      </c>
      <c r="D34" s="13"/>
      <c r="E34" s="77">
        <v>0</v>
      </c>
      <c r="F34" s="13"/>
      <c r="G34" s="74"/>
      <c r="H34" s="13"/>
      <c r="I34" s="62" t="s">
        <v>239</v>
      </c>
    </row>
    <row r="35" spans="1:9" ht="16.5" customHeight="1">
      <c r="A35" s="13" t="s">
        <v>152</v>
      </c>
      <c r="B35" s="62" t="s">
        <v>178</v>
      </c>
      <c r="C35" s="13" t="s">
        <v>152</v>
      </c>
      <c r="D35" s="13"/>
      <c r="E35" s="77">
        <v>0</v>
      </c>
      <c r="F35" s="13"/>
      <c r="G35" s="74"/>
      <c r="H35" s="13"/>
      <c r="I35" s="62" t="s">
        <v>239</v>
      </c>
    </row>
    <row r="36" spans="1:9" ht="16.5" customHeight="1">
      <c r="A36" s="13" t="s">
        <v>152</v>
      </c>
      <c r="B36" s="62" t="s">
        <v>179</v>
      </c>
      <c r="C36" s="13" t="s">
        <v>152</v>
      </c>
      <c r="D36" s="13"/>
      <c r="E36" s="77">
        <v>0</v>
      </c>
      <c r="F36" s="13"/>
      <c r="G36" s="74"/>
      <c r="H36" s="13"/>
      <c r="I36" s="62" t="s">
        <v>239</v>
      </c>
    </row>
    <row r="37" spans="1:9" ht="16.5" customHeight="1">
      <c r="A37" s="13" t="s">
        <v>152</v>
      </c>
      <c r="B37" s="62" t="s">
        <v>180</v>
      </c>
      <c r="C37" s="13" t="s">
        <v>152</v>
      </c>
      <c r="D37" s="13"/>
      <c r="E37" s="77">
        <v>0</v>
      </c>
      <c r="F37" s="13"/>
      <c r="G37" s="74"/>
      <c r="H37" s="13"/>
      <c r="I37" s="62" t="s">
        <v>239</v>
      </c>
    </row>
    <row r="38" spans="1:9" ht="16.5" customHeight="1">
      <c r="A38" s="13" t="s">
        <v>152</v>
      </c>
      <c r="B38" s="62" t="s">
        <v>181</v>
      </c>
      <c r="C38" s="13" t="s">
        <v>152</v>
      </c>
      <c r="D38" s="13"/>
      <c r="E38" s="77">
        <v>0</v>
      </c>
      <c r="F38" s="13"/>
      <c r="G38" s="74"/>
      <c r="H38" s="13"/>
      <c r="I38" s="62" t="s">
        <v>239</v>
      </c>
    </row>
    <row r="39" spans="1:9" ht="16.5" customHeight="1">
      <c r="A39" s="13" t="s">
        <v>152</v>
      </c>
      <c r="B39" s="62" t="s">
        <v>182</v>
      </c>
      <c r="C39" s="13" t="s">
        <v>152</v>
      </c>
      <c r="D39" s="13"/>
      <c r="E39" s="77">
        <v>0</v>
      </c>
      <c r="F39" s="13"/>
      <c r="G39" s="74"/>
      <c r="H39" s="13"/>
      <c r="I39" s="62" t="s">
        <v>239</v>
      </c>
    </row>
    <row r="40" spans="1:9" ht="16.5" customHeight="1">
      <c r="A40" s="13" t="s">
        <v>152</v>
      </c>
      <c r="B40" s="62" t="s">
        <v>183</v>
      </c>
      <c r="C40" s="13" t="s">
        <v>152</v>
      </c>
      <c r="D40" s="13"/>
      <c r="E40" s="77">
        <v>0</v>
      </c>
      <c r="F40" s="13"/>
      <c r="G40" s="74"/>
      <c r="H40" s="13"/>
      <c r="I40" s="62" t="s">
        <v>239</v>
      </c>
    </row>
    <row r="41" spans="1:9" ht="16.5" customHeight="1">
      <c r="A41" s="13" t="s">
        <v>152</v>
      </c>
      <c r="B41" s="62" t="s">
        <v>184</v>
      </c>
      <c r="C41" s="13" t="s">
        <v>152</v>
      </c>
      <c r="D41" s="13"/>
      <c r="E41" s="77">
        <v>0</v>
      </c>
      <c r="F41" s="13"/>
      <c r="G41" s="74"/>
      <c r="H41" s="13"/>
      <c r="I41" s="62" t="s">
        <v>239</v>
      </c>
    </row>
    <row r="42" spans="1:9" ht="16.5" customHeight="1">
      <c r="A42" s="13" t="s">
        <v>152</v>
      </c>
      <c r="B42" s="62" t="s">
        <v>185</v>
      </c>
      <c r="C42" s="13" t="s">
        <v>152</v>
      </c>
      <c r="D42" s="13"/>
      <c r="E42" s="77">
        <v>0</v>
      </c>
      <c r="F42" s="13"/>
      <c r="G42" s="74"/>
      <c r="H42" s="13"/>
      <c r="I42" s="62" t="s">
        <v>239</v>
      </c>
    </row>
    <row r="43" spans="1:9" ht="16.5" customHeight="1">
      <c r="A43" s="13" t="s">
        <v>152</v>
      </c>
      <c r="B43" s="62" t="s">
        <v>186</v>
      </c>
      <c r="C43" s="13" t="s">
        <v>152</v>
      </c>
      <c r="D43" s="13"/>
      <c r="E43" s="77">
        <v>0</v>
      </c>
      <c r="F43" s="13"/>
      <c r="G43" s="74"/>
      <c r="H43" s="13"/>
      <c r="I43" s="62" t="s">
        <v>239</v>
      </c>
    </row>
    <row r="44" spans="1:9" ht="16.5" customHeight="1">
      <c r="A44" s="13" t="s">
        <v>152</v>
      </c>
      <c r="B44" s="62" t="s">
        <v>187</v>
      </c>
      <c r="C44" s="13" t="s">
        <v>152</v>
      </c>
      <c r="D44" s="13"/>
      <c r="E44" s="77">
        <v>0</v>
      </c>
      <c r="F44" s="13"/>
      <c r="G44" s="74"/>
      <c r="H44" s="13"/>
      <c r="I44" s="62" t="s">
        <v>239</v>
      </c>
    </row>
    <row r="45" spans="1:9" ht="16.5" customHeight="1">
      <c r="A45" s="13" t="s">
        <v>152</v>
      </c>
      <c r="B45" s="62" t="s">
        <v>188</v>
      </c>
      <c r="C45" s="13" t="s">
        <v>152</v>
      </c>
      <c r="D45" s="13"/>
      <c r="E45" s="77">
        <v>0</v>
      </c>
      <c r="F45" s="13"/>
      <c r="G45" s="74"/>
      <c r="H45" s="13"/>
      <c r="I45" s="62" t="s">
        <v>239</v>
      </c>
    </row>
    <row r="46" spans="1:9" ht="16.5" customHeight="1">
      <c r="A46" s="13" t="s">
        <v>152</v>
      </c>
      <c r="B46" s="62" t="s">
        <v>189</v>
      </c>
      <c r="C46" s="13" t="s">
        <v>152</v>
      </c>
      <c r="D46" s="13"/>
      <c r="E46" s="77">
        <v>0</v>
      </c>
      <c r="F46" s="13"/>
      <c r="G46" s="74"/>
      <c r="H46" s="13"/>
      <c r="I46" s="62" t="s">
        <v>239</v>
      </c>
    </row>
    <row r="47" spans="1:9" ht="16.5" customHeight="1">
      <c r="A47" s="13" t="s">
        <v>152</v>
      </c>
      <c r="B47" s="62" t="s">
        <v>190</v>
      </c>
      <c r="C47" s="13" t="s">
        <v>152</v>
      </c>
      <c r="D47" s="13"/>
      <c r="E47" s="77">
        <v>0</v>
      </c>
      <c r="F47" s="13"/>
      <c r="G47" s="74"/>
      <c r="H47" s="13"/>
      <c r="I47" s="62" t="s">
        <v>239</v>
      </c>
    </row>
    <row r="48" spans="1:9" ht="16.5" customHeight="1">
      <c r="A48" s="13" t="s">
        <v>152</v>
      </c>
      <c r="B48" s="62" t="s">
        <v>191</v>
      </c>
      <c r="C48" s="13" t="s">
        <v>152</v>
      </c>
      <c r="D48" s="13"/>
      <c r="E48" s="77">
        <v>0</v>
      </c>
      <c r="F48" s="13"/>
      <c r="G48" s="74"/>
      <c r="H48" s="13"/>
      <c r="I48" s="62" t="s">
        <v>239</v>
      </c>
    </row>
    <row r="49" spans="1:9" ht="16.5" customHeight="1">
      <c r="A49" s="13" t="s">
        <v>152</v>
      </c>
      <c r="B49" s="62" t="s">
        <v>192</v>
      </c>
      <c r="C49" s="13" t="s">
        <v>152</v>
      </c>
      <c r="D49" s="13"/>
      <c r="E49" s="77">
        <v>0</v>
      </c>
      <c r="F49" s="13"/>
      <c r="G49" s="74"/>
      <c r="H49" s="13"/>
      <c r="I49" s="62" t="s">
        <v>239</v>
      </c>
    </row>
    <row r="50" spans="1:9" ht="16.5" customHeight="1">
      <c r="A50" s="13" t="s">
        <v>152</v>
      </c>
      <c r="B50" s="62" t="s">
        <v>193</v>
      </c>
      <c r="C50" s="13" t="s">
        <v>152</v>
      </c>
      <c r="D50" s="13"/>
      <c r="E50" s="77">
        <v>0</v>
      </c>
      <c r="F50" s="13"/>
      <c r="G50" s="74"/>
      <c r="H50" s="13"/>
      <c r="I50" s="62" t="s">
        <v>239</v>
      </c>
    </row>
    <row r="51" spans="1:9" ht="16.5" customHeight="1">
      <c r="A51" s="13" t="s">
        <v>152</v>
      </c>
      <c r="B51" s="62" t="s">
        <v>194</v>
      </c>
      <c r="C51" s="13" t="s">
        <v>152</v>
      </c>
      <c r="D51" s="13"/>
      <c r="E51" s="77">
        <v>0</v>
      </c>
      <c r="F51" s="13"/>
      <c r="G51" s="74"/>
      <c r="H51" s="13"/>
      <c r="I51" s="62" t="s">
        <v>239</v>
      </c>
    </row>
    <row r="52" spans="1:9" ht="16.5" customHeight="1">
      <c r="A52" s="13" t="s">
        <v>152</v>
      </c>
      <c r="B52" s="62" t="s">
        <v>195</v>
      </c>
      <c r="C52" s="13" t="s">
        <v>152</v>
      </c>
      <c r="D52" s="13"/>
      <c r="E52" s="77">
        <v>0</v>
      </c>
      <c r="F52" s="13"/>
      <c r="G52" s="74"/>
      <c r="H52" s="13"/>
      <c r="I52" s="62" t="s">
        <v>239</v>
      </c>
    </row>
    <row r="53" spans="1:9" ht="16.5" customHeight="1">
      <c r="A53" s="13" t="s">
        <v>152</v>
      </c>
      <c r="B53" s="62" t="s">
        <v>196</v>
      </c>
      <c r="C53" s="13" t="s">
        <v>152</v>
      </c>
      <c r="D53" s="13"/>
      <c r="E53" s="77">
        <v>0</v>
      </c>
      <c r="F53" s="13"/>
      <c r="G53" s="74"/>
      <c r="H53" s="13"/>
      <c r="I53" s="62" t="s">
        <v>239</v>
      </c>
    </row>
    <row r="54" spans="1:9" ht="16.5" customHeight="1">
      <c r="A54" s="13" t="s">
        <v>152</v>
      </c>
      <c r="B54" s="62" t="s">
        <v>197</v>
      </c>
      <c r="C54" s="13" t="s">
        <v>152</v>
      </c>
      <c r="D54" s="13"/>
      <c r="E54" s="77">
        <v>0</v>
      </c>
      <c r="F54" s="13"/>
      <c r="G54" s="74"/>
      <c r="H54" s="13"/>
      <c r="I54" s="62" t="s">
        <v>239</v>
      </c>
    </row>
    <row r="55" spans="1:9" ht="16.5" customHeight="1">
      <c r="A55" s="13" t="s">
        <v>152</v>
      </c>
      <c r="B55" s="62" t="s">
        <v>198</v>
      </c>
      <c r="C55" s="13" t="s">
        <v>152</v>
      </c>
      <c r="D55" s="13"/>
      <c r="E55" s="77">
        <v>0</v>
      </c>
      <c r="F55" s="13"/>
      <c r="G55" s="74"/>
      <c r="H55" s="13"/>
      <c r="I55" s="62" t="s">
        <v>239</v>
      </c>
    </row>
    <row r="56" spans="1:9" ht="16.5" customHeight="1">
      <c r="A56" s="13" t="s">
        <v>152</v>
      </c>
      <c r="B56" s="62" t="s">
        <v>199</v>
      </c>
      <c r="C56" s="13" t="s">
        <v>152</v>
      </c>
      <c r="D56" s="13"/>
      <c r="E56" s="77">
        <v>0</v>
      </c>
      <c r="F56" s="13"/>
      <c r="G56" s="74"/>
      <c r="H56" s="13"/>
      <c r="I56" s="62" t="s">
        <v>239</v>
      </c>
    </row>
    <row r="57" spans="1:9" ht="16.5" customHeight="1">
      <c r="A57" s="13" t="s">
        <v>152</v>
      </c>
      <c r="B57" s="62" t="s">
        <v>200</v>
      </c>
      <c r="C57" s="13" t="s">
        <v>152</v>
      </c>
      <c r="D57" s="13"/>
      <c r="E57" s="77">
        <v>0</v>
      </c>
      <c r="F57" s="13"/>
      <c r="G57" s="74"/>
      <c r="H57" s="13"/>
      <c r="I57" s="62" t="s">
        <v>239</v>
      </c>
    </row>
    <row r="58" spans="1:9" ht="16.5" customHeight="1">
      <c r="A58" s="13" t="s">
        <v>152</v>
      </c>
      <c r="B58" s="62" t="s">
        <v>201</v>
      </c>
      <c r="C58" s="13" t="s">
        <v>152</v>
      </c>
      <c r="D58" s="13"/>
      <c r="E58" s="77">
        <v>0</v>
      </c>
      <c r="F58" s="13"/>
      <c r="G58" s="74"/>
      <c r="H58" s="13"/>
      <c r="I58" s="62" t="s">
        <v>239</v>
      </c>
    </row>
    <row r="59" spans="1:9" ht="16.5" customHeight="1">
      <c r="A59" s="13" t="s">
        <v>152</v>
      </c>
      <c r="B59" s="62" t="s">
        <v>202</v>
      </c>
      <c r="C59" s="13" t="s">
        <v>152</v>
      </c>
      <c r="D59" s="13"/>
      <c r="E59" s="77">
        <v>0</v>
      </c>
      <c r="F59" s="13"/>
      <c r="G59" s="74"/>
      <c r="H59" s="13"/>
      <c r="I59" s="62" t="s">
        <v>239</v>
      </c>
    </row>
    <row r="60" spans="1:9" ht="16.5" customHeight="1">
      <c r="A60" s="13" t="s">
        <v>152</v>
      </c>
      <c r="B60" s="62" t="s">
        <v>203</v>
      </c>
      <c r="C60" s="13" t="s">
        <v>152</v>
      </c>
      <c r="D60" s="13"/>
      <c r="E60" s="77">
        <v>0</v>
      </c>
      <c r="F60" s="13"/>
      <c r="G60" s="74"/>
      <c r="H60" s="13"/>
      <c r="I60" s="62" t="s">
        <v>239</v>
      </c>
    </row>
    <row r="61" spans="1:9" ht="16.5" customHeight="1">
      <c r="A61" s="13" t="s">
        <v>152</v>
      </c>
      <c r="B61" s="62" t="s">
        <v>204</v>
      </c>
      <c r="C61" s="13" t="s">
        <v>152</v>
      </c>
      <c r="D61" s="13"/>
      <c r="E61" s="77">
        <v>0</v>
      </c>
      <c r="F61" s="13"/>
      <c r="G61" s="74"/>
      <c r="H61" s="13"/>
      <c r="I61" s="62" t="s">
        <v>239</v>
      </c>
    </row>
    <row r="62" spans="1:9" ht="16.5" customHeight="1">
      <c r="A62" s="13" t="s">
        <v>152</v>
      </c>
      <c r="B62" s="62" t="s">
        <v>205</v>
      </c>
      <c r="C62" s="13" t="s">
        <v>152</v>
      </c>
      <c r="D62" s="13"/>
      <c r="E62" s="77">
        <v>0</v>
      </c>
      <c r="F62" s="13"/>
      <c r="G62" s="74"/>
      <c r="H62" s="13"/>
      <c r="I62" s="62" t="s">
        <v>239</v>
      </c>
    </row>
    <row r="63" spans="1:9" ht="16.5" customHeight="1">
      <c r="A63" s="13" t="s">
        <v>152</v>
      </c>
      <c r="B63" s="62" t="s">
        <v>206</v>
      </c>
      <c r="C63" s="13" t="s">
        <v>152</v>
      </c>
      <c r="D63" s="13"/>
      <c r="E63" s="77">
        <v>0</v>
      </c>
      <c r="F63" s="13"/>
      <c r="G63" s="74"/>
      <c r="H63" s="13"/>
      <c r="I63" s="62" t="s">
        <v>239</v>
      </c>
    </row>
    <row r="64" spans="1:9" ht="16.5" customHeight="1">
      <c r="A64" s="13" t="s">
        <v>152</v>
      </c>
      <c r="B64" s="62" t="s">
        <v>207</v>
      </c>
      <c r="C64" s="13" t="s">
        <v>152</v>
      </c>
      <c r="D64" s="13"/>
      <c r="E64" s="77">
        <v>0</v>
      </c>
      <c r="F64" s="13"/>
      <c r="G64" s="74"/>
      <c r="H64" s="13"/>
      <c r="I64" s="62" t="s">
        <v>239</v>
      </c>
    </row>
    <row r="65" spans="1:9" ht="16.5" customHeight="1">
      <c r="A65" s="13" t="s">
        <v>152</v>
      </c>
      <c r="B65" s="62" t="s">
        <v>208</v>
      </c>
      <c r="C65" s="13" t="s">
        <v>152</v>
      </c>
      <c r="D65" s="13"/>
      <c r="E65" s="77">
        <v>0</v>
      </c>
      <c r="F65" s="13"/>
      <c r="G65" s="74"/>
      <c r="H65" s="13"/>
      <c r="I65" s="62" t="s">
        <v>239</v>
      </c>
    </row>
    <row r="66" spans="1:9" ht="16.5" customHeight="1">
      <c r="A66" s="13" t="s">
        <v>152</v>
      </c>
      <c r="B66" s="62" t="s">
        <v>209</v>
      </c>
      <c r="C66" s="13" t="s">
        <v>152</v>
      </c>
      <c r="D66" s="13"/>
      <c r="E66" s="77">
        <v>0</v>
      </c>
      <c r="F66" s="13"/>
      <c r="G66" s="74"/>
      <c r="H66" s="13"/>
      <c r="I66" s="62" t="s">
        <v>239</v>
      </c>
    </row>
    <row r="67" spans="1:9" ht="16.5" customHeight="1">
      <c r="A67" s="13" t="s">
        <v>152</v>
      </c>
      <c r="B67" s="62" t="s">
        <v>210</v>
      </c>
      <c r="C67" s="13" t="s">
        <v>152</v>
      </c>
      <c r="D67" s="13"/>
      <c r="E67" s="77">
        <v>0</v>
      </c>
      <c r="F67" s="13"/>
      <c r="G67" s="74"/>
      <c r="H67" s="13"/>
      <c r="I67" s="62" t="s">
        <v>239</v>
      </c>
    </row>
    <row r="68" spans="1:9" ht="16.5" customHeight="1">
      <c r="A68" s="13" t="s">
        <v>152</v>
      </c>
      <c r="B68" s="62" t="s">
        <v>211</v>
      </c>
      <c r="C68" s="13" t="s">
        <v>152</v>
      </c>
      <c r="D68" s="13"/>
      <c r="E68" s="77">
        <v>0</v>
      </c>
      <c r="F68" s="13"/>
      <c r="G68" s="74"/>
      <c r="H68" s="13"/>
      <c r="I68" s="62" t="s">
        <v>239</v>
      </c>
    </row>
    <row r="69" spans="1:9" ht="16.5" customHeight="1">
      <c r="A69" s="13" t="s">
        <v>152</v>
      </c>
      <c r="B69" s="62" t="s">
        <v>212</v>
      </c>
      <c r="C69" s="13" t="s">
        <v>152</v>
      </c>
      <c r="D69" s="13"/>
      <c r="E69" s="77">
        <v>0</v>
      </c>
      <c r="F69" s="13"/>
      <c r="G69" s="74"/>
      <c r="H69" s="13"/>
      <c r="I69" s="62" t="s">
        <v>239</v>
      </c>
    </row>
    <row r="70" spans="1:9" ht="16.5" customHeight="1"/>
    <row r="71" spans="1:9" ht="16.5" customHeight="1"/>
    <row r="72" spans="1:9" ht="16.5" customHeight="1"/>
    <row r="73" spans="1:9" ht="16.5" customHeight="1"/>
    <row r="74" spans="1:9" ht="16.5" customHeight="1"/>
    <row r="75" spans="1:9" ht="16.5" customHeight="1"/>
    <row r="76" spans="1:9" ht="16.5" customHeight="1"/>
    <row r="77" spans="1:9" ht="16.5" customHeight="1"/>
    <row r="78" spans="1:9" ht="16.5" customHeight="1"/>
    <row r="79" spans="1:9" ht="16.5" customHeight="1"/>
    <row r="80" spans="1:9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H2"/>
  </mergeCells>
  <phoneticPr fontId="45" type="noConversion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0"/>
  <sheetViews>
    <sheetView workbookViewId="0"/>
  </sheetViews>
  <sheetFormatPr defaultColWidth="14.453125" defaultRowHeight="15" customHeight="1"/>
  <cols>
    <col min="1" max="2" width="18" customWidth="1"/>
    <col min="3" max="3" width="10" customWidth="1"/>
    <col min="4" max="8" width="18" customWidth="1"/>
    <col min="9" max="26" width="8.7265625" customWidth="1"/>
  </cols>
  <sheetData>
    <row r="1" spans="1:8" ht="14.25" customHeight="1">
      <c r="A1" s="152" t="s">
        <v>249</v>
      </c>
      <c r="B1" s="129"/>
      <c r="C1" s="129"/>
      <c r="D1" s="129"/>
      <c r="E1" s="129"/>
      <c r="F1" s="129"/>
      <c r="G1" s="129"/>
      <c r="H1" s="129"/>
    </row>
    <row r="2" spans="1:8" ht="14.25" customHeight="1"/>
    <row r="3" spans="1:8" ht="14.25" customHeight="1">
      <c r="A3" s="78" t="s">
        <v>44</v>
      </c>
      <c r="B3" s="78" t="s">
        <v>89</v>
      </c>
      <c r="C3" s="78" t="s">
        <v>250</v>
      </c>
      <c r="D3" s="78" t="s">
        <v>251</v>
      </c>
      <c r="E3" s="78" t="s">
        <v>252</v>
      </c>
      <c r="F3" s="78" t="s">
        <v>253</v>
      </c>
      <c r="G3" s="78" t="s">
        <v>254</v>
      </c>
      <c r="H3" s="78" t="s">
        <v>58</v>
      </c>
    </row>
    <row r="4" spans="1:8" ht="14.25" customHeight="1">
      <c r="A4" s="45" t="s">
        <v>60</v>
      </c>
      <c r="B4" s="79" t="s">
        <v>84</v>
      </c>
      <c r="C4" s="46">
        <v>0.45833333333333331</v>
      </c>
      <c r="D4" s="45" t="s">
        <v>61</v>
      </c>
      <c r="E4" s="45">
        <v>60</v>
      </c>
      <c r="F4" s="45" t="s">
        <v>255</v>
      </c>
      <c r="G4" s="45" t="s">
        <v>256</v>
      </c>
      <c r="H4" s="45"/>
    </row>
    <row r="5" spans="1:8" ht="14.25" customHeight="1">
      <c r="A5" s="45" t="s">
        <v>64</v>
      </c>
      <c r="B5" s="80" t="s">
        <v>83</v>
      </c>
      <c r="C5" s="46">
        <v>0.47916666666666669</v>
      </c>
      <c r="D5" s="45" t="s">
        <v>65</v>
      </c>
      <c r="E5" s="45">
        <v>90</v>
      </c>
      <c r="F5" s="45" t="s">
        <v>257</v>
      </c>
      <c r="G5" s="45" t="s">
        <v>258</v>
      </c>
      <c r="H5" s="45"/>
    </row>
    <row r="6" spans="1:8" ht="14.25" customHeight="1">
      <c r="A6" s="45" t="s">
        <v>99</v>
      </c>
      <c r="B6" s="45" t="s">
        <v>85</v>
      </c>
      <c r="C6" s="46">
        <v>0.5</v>
      </c>
      <c r="D6" s="45" t="s">
        <v>80</v>
      </c>
      <c r="E6" s="45">
        <v>90</v>
      </c>
      <c r="F6" s="45" t="s">
        <v>259</v>
      </c>
      <c r="G6" s="45" t="s">
        <v>260</v>
      </c>
      <c r="H6" s="45"/>
    </row>
    <row r="7" spans="1:8" ht="14.25" customHeight="1">
      <c r="A7" s="45" t="s">
        <v>100</v>
      </c>
      <c r="B7" s="45" t="s">
        <v>62</v>
      </c>
      <c r="C7" s="46">
        <v>0.52083333333333337</v>
      </c>
      <c r="D7" s="45" t="s">
        <v>67</v>
      </c>
      <c r="E7" s="45">
        <v>90</v>
      </c>
      <c r="F7" s="45" t="s">
        <v>261</v>
      </c>
      <c r="G7" s="45" t="s">
        <v>262</v>
      </c>
      <c r="H7" s="45"/>
    </row>
    <row r="8" spans="1:8" ht="14.25" customHeight="1">
      <c r="A8" s="45" t="s">
        <v>101</v>
      </c>
      <c r="B8" s="45" t="s">
        <v>263</v>
      </c>
      <c r="C8" s="46">
        <v>0.54166666666666663</v>
      </c>
      <c r="D8" s="45" t="s">
        <v>264</v>
      </c>
      <c r="E8" s="45">
        <v>120</v>
      </c>
      <c r="F8" s="45" t="s">
        <v>265</v>
      </c>
      <c r="G8" s="45" t="s">
        <v>266</v>
      </c>
      <c r="H8" s="45"/>
    </row>
    <row r="9" spans="1:8" ht="14.25" customHeight="1">
      <c r="A9" s="45" t="s">
        <v>102</v>
      </c>
      <c r="B9" s="45" t="s">
        <v>267</v>
      </c>
      <c r="C9" s="46">
        <v>0.5625</v>
      </c>
      <c r="D9" s="45"/>
      <c r="E9" s="45"/>
      <c r="F9" s="45"/>
      <c r="G9" s="45"/>
      <c r="H9" s="45"/>
    </row>
    <row r="10" spans="1:8" ht="14.25" customHeight="1">
      <c r="A10" s="45" t="s">
        <v>103</v>
      </c>
      <c r="B10" s="45"/>
      <c r="C10" s="46">
        <v>0.58333333333333337</v>
      </c>
      <c r="D10" s="45"/>
      <c r="E10" s="45"/>
      <c r="F10" s="45"/>
      <c r="G10" s="45"/>
      <c r="H10" s="45"/>
    </row>
    <row r="11" spans="1:8" ht="14.25" customHeight="1">
      <c r="A11" s="45" t="s">
        <v>104</v>
      </c>
      <c r="B11" s="45"/>
      <c r="C11" s="46">
        <v>0.60416666666666663</v>
      </c>
      <c r="D11" s="45"/>
      <c r="E11" s="45"/>
      <c r="F11" s="45"/>
      <c r="G11" s="45"/>
      <c r="H11" s="45"/>
    </row>
    <row r="12" spans="1:8" ht="14.25" customHeight="1">
      <c r="A12" s="45" t="s">
        <v>105</v>
      </c>
      <c r="B12" s="45"/>
      <c r="C12" s="46">
        <v>0.625</v>
      </c>
      <c r="D12" s="45"/>
      <c r="E12" s="45"/>
      <c r="F12" s="45"/>
      <c r="G12" s="45"/>
      <c r="H12" s="45"/>
    </row>
    <row r="13" spans="1:8" ht="14.25" customHeight="1">
      <c r="A13" s="45" t="s">
        <v>106</v>
      </c>
      <c r="B13" s="45"/>
      <c r="C13" s="46">
        <v>0.64583333333333337</v>
      </c>
      <c r="D13" s="45"/>
      <c r="E13" s="45"/>
      <c r="F13" s="45"/>
      <c r="G13" s="45"/>
      <c r="H13" s="45"/>
    </row>
    <row r="14" spans="1:8" ht="14.25" customHeight="1">
      <c r="A14" s="45" t="s">
        <v>107</v>
      </c>
      <c r="B14" s="45"/>
      <c r="C14" s="46">
        <v>0.66666666666666663</v>
      </c>
      <c r="D14" s="45"/>
      <c r="E14" s="45"/>
      <c r="F14" s="45"/>
      <c r="G14" s="45"/>
      <c r="H14" s="45"/>
    </row>
    <row r="15" spans="1:8" ht="14.25" customHeight="1">
      <c r="A15" s="45"/>
      <c r="B15" s="45"/>
      <c r="C15" s="46">
        <v>0.6875</v>
      </c>
      <c r="D15" s="45"/>
      <c r="E15" s="45"/>
      <c r="F15" s="45"/>
      <c r="G15" s="45"/>
      <c r="H15" s="45"/>
    </row>
    <row r="16" spans="1:8" ht="14.25" customHeight="1">
      <c r="A16" s="45"/>
      <c r="B16" s="45"/>
      <c r="C16" s="46">
        <v>0.70833333333333337</v>
      </c>
      <c r="D16" s="45"/>
      <c r="E16" s="45"/>
      <c r="F16" s="45"/>
      <c r="G16" s="45"/>
      <c r="H16" s="45"/>
    </row>
    <row r="17" spans="1:8" ht="14.25" customHeight="1">
      <c r="A17" s="45"/>
      <c r="B17" s="45"/>
      <c r="C17" s="46">
        <v>0.72916666666666663</v>
      </c>
      <c r="D17" s="45"/>
      <c r="E17" s="45"/>
      <c r="F17" s="45"/>
      <c r="G17" s="45"/>
      <c r="H17" s="45"/>
    </row>
    <row r="18" spans="1:8" ht="14.25" customHeight="1">
      <c r="A18" s="45"/>
      <c r="B18" s="45"/>
      <c r="C18" s="46">
        <v>0.75</v>
      </c>
      <c r="D18" s="45"/>
      <c r="E18" s="45"/>
      <c r="F18" s="45"/>
      <c r="G18" s="45"/>
      <c r="H18" s="45"/>
    </row>
    <row r="19" spans="1:8" ht="14.25" customHeight="1">
      <c r="A19" s="45"/>
      <c r="B19" s="45"/>
      <c r="C19" s="46">
        <v>0.77083333333333337</v>
      </c>
      <c r="D19" s="45"/>
      <c r="E19" s="45"/>
      <c r="F19" s="45"/>
      <c r="G19" s="45"/>
      <c r="H19" s="45"/>
    </row>
    <row r="20" spans="1:8" ht="14.25" customHeight="1">
      <c r="A20" s="45"/>
      <c r="B20" s="45"/>
      <c r="C20" s="46">
        <v>0.79166666666666663</v>
      </c>
      <c r="D20" s="45"/>
      <c r="E20" s="45"/>
      <c r="F20" s="45"/>
      <c r="G20" s="45"/>
      <c r="H20" s="45"/>
    </row>
    <row r="21" spans="1:8" ht="14.25" customHeight="1">
      <c r="A21" s="45"/>
      <c r="B21" s="45"/>
      <c r="C21" s="46">
        <v>0.8125</v>
      </c>
      <c r="D21" s="45"/>
      <c r="E21" s="45"/>
      <c r="F21" s="45"/>
      <c r="G21" s="45"/>
      <c r="H21" s="45"/>
    </row>
    <row r="22" spans="1:8" ht="14.25" customHeight="1">
      <c r="A22" s="45"/>
      <c r="B22" s="45"/>
      <c r="C22" s="46">
        <v>0.83333333333333337</v>
      </c>
      <c r="D22" s="45"/>
      <c r="E22" s="45"/>
      <c r="F22" s="45"/>
      <c r="G22" s="45"/>
      <c r="H22" s="45"/>
    </row>
    <row r="23" spans="1:8" ht="14.25" customHeight="1">
      <c r="A23" s="45"/>
      <c r="B23" s="45"/>
      <c r="C23" s="46">
        <v>0.85416666666666663</v>
      </c>
      <c r="D23" s="45"/>
      <c r="E23" s="45"/>
      <c r="F23" s="45"/>
      <c r="G23" s="45"/>
      <c r="H23" s="45"/>
    </row>
    <row r="24" spans="1:8" ht="14.25" customHeight="1">
      <c r="A24" s="45"/>
      <c r="B24" s="45"/>
      <c r="C24" s="46">
        <v>0.875</v>
      </c>
      <c r="D24" s="45"/>
      <c r="E24" s="45"/>
      <c r="F24" s="45"/>
      <c r="G24" s="45"/>
      <c r="H24" s="45"/>
    </row>
    <row r="25" spans="1:8" ht="14.25" customHeight="1">
      <c r="A25" s="45"/>
      <c r="B25" s="45"/>
      <c r="C25" s="46">
        <v>0.89583333333333337</v>
      </c>
      <c r="D25" s="45"/>
      <c r="E25" s="45"/>
      <c r="F25" s="45"/>
      <c r="G25" s="45"/>
      <c r="H25" s="45"/>
    </row>
    <row r="26" spans="1:8" ht="14.25" customHeight="1">
      <c r="A26" s="45"/>
      <c r="B26" s="45"/>
      <c r="C26" s="46">
        <v>0.91666666666666663</v>
      </c>
      <c r="D26" s="45"/>
      <c r="E26" s="45"/>
      <c r="F26" s="45"/>
      <c r="G26" s="45"/>
      <c r="H26" s="45"/>
    </row>
    <row r="27" spans="1:8" ht="14.25" customHeight="1">
      <c r="A27" s="45"/>
      <c r="B27" s="45"/>
      <c r="C27" s="46">
        <v>0.9375</v>
      </c>
      <c r="D27" s="45"/>
      <c r="E27" s="45"/>
      <c r="F27" s="45"/>
      <c r="G27" s="45"/>
      <c r="H27" s="45"/>
    </row>
    <row r="28" spans="1:8" ht="14.25" customHeight="1">
      <c r="A28" s="45"/>
      <c r="B28" s="45"/>
      <c r="C28" s="46">
        <v>0.95833333333333337</v>
      </c>
      <c r="D28" s="45"/>
      <c r="E28" s="45"/>
      <c r="F28" s="45"/>
      <c r="G28" s="45"/>
      <c r="H28" s="45"/>
    </row>
    <row r="29" spans="1:8" ht="14.25" customHeight="1">
      <c r="A29" s="45"/>
      <c r="B29" s="45"/>
      <c r="C29" s="46">
        <v>0.97916666666666663</v>
      </c>
      <c r="D29" s="45"/>
      <c r="E29" s="45"/>
      <c r="F29" s="45"/>
      <c r="G29" s="45"/>
      <c r="H29" s="45"/>
    </row>
    <row r="30" spans="1:8" ht="14.25" customHeight="1">
      <c r="A30" s="45"/>
      <c r="B30" s="45"/>
      <c r="C30" s="46">
        <v>0</v>
      </c>
      <c r="D30" s="45"/>
      <c r="E30" s="45"/>
      <c r="F30" s="45"/>
      <c r="G30" s="45"/>
      <c r="H30" s="45"/>
    </row>
    <row r="31" spans="1:8" ht="14.25" customHeight="1">
      <c r="A31" s="45"/>
      <c r="B31" s="45"/>
      <c r="C31" s="46">
        <v>2.0833333333333329E-2</v>
      </c>
      <c r="D31" s="45"/>
      <c r="E31" s="45"/>
      <c r="F31" s="45"/>
      <c r="G31" s="45"/>
      <c r="H31" s="45"/>
    </row>
    <row r="32" spans="1:8" ht="14.25" customHeight="1">
      <c r="A32" s="45"/>
      <c r="B32" s="45"/>
      <c r="C32" s="46">
        <v>4.1666666666666657E-2</v>
      </c>
      <c r="D32" s="45"/>
      <c r="E32" s="45"/>
      <c r="F32" s="45"/>
      <c r="G32" s="45"/>
      <c r="H32" s="45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phoneticPr fontId="45" type="noConversion"/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1" width="14" customWidth="1"/>
    <col min="2" max="2" width="30" customWidth="1"/>
    <col min="3" max="3" width="13.26953125" customWidth="1"/>
    <col min="4" max="4" width="16.7265625" customWidth="1"/>
    <col min="5" max="5" width="16.81640625" customWidth="1"/>
    <col min="6" max="6" width="15" customWidth="1"/>
    <col min="7" max="7" width="18.08984375" customWidth="1"/>
    <col min="8" max="8" width="27.81640625" customWidth="1"/>
    <col min="9" max="9" width="35.26953125" customWidth="1"/>
    <col min="10" max="10" width="22.26953125" customWidth="1"/>
    <col min="11" max="11" width="19.7265625" customWidth="1"/>
    <col min="12" max="12" width="17.81640625" customWidth="1"/>
    <col min="13" max="13" width="15.08984375" customWidth="1"/>
    <col min="14" max="14" width="34.08984375" customWidth="1"/>
  </cols>
  <sheetData>
    <row r="1" spans="1:14" ht="27.75" customHeight="1">
      <c r="A1" s="119" t="s">
        <v>268</v>
      </c>
      <c r="B1" s="115"/>
      <c r="C1" s="115"/>
      <c r="D1" s="115"/>
      <c r="E1" s="115"/>
      <c r="F1" s="115"/>
      <c r="G1" s="115"/>
      <c r="H1" s="115"/>
      <c r="J1" s="81" t="s">
        <v>269</v>
      </c>
    </row>
    <row r="2" spans="1:14" ht="22.5" customHeight="1">
      <c r="A2" s="146" t="s">
        <v>270</v>
      </c>
      <c r="B2" s="115"/>
      <c r="C2" s="115"/>
      <c r="D2" s="115"/>
      <c r="E2" s="115"/>
      <c r="F2" s="115"/>
      <c r="G2" s="115"/>
      <c r="H2" s="115"/>
      <c r="J2" s="82" t="s">
        <v>271</v>
      </c>
      <c r="K2" s="83">
        <v>46174</v>
      </c>
    </row>
    <row r="3" spans="1:14" ht="16.5" customHeight="1">
      <c r="A3" s="1"/>
      <c r="B3" s="1"/>
      <c r="C3" s="1"/>
      <c r="D3" s="1"/>
      <c r="E3" s="1"/>
      <c r="F3" s="1"/>
      <c r="G3" s="1"/>
      <c r="H3" s="1"/>
      <c r="J3" s="84" t="s">
        <v>272</v>
      </c>
    </row>
    <row r="4" spans="1:14" ht="16.5" customHeight="1">
      <c r="A4" s="118" t="s">
        <v>273</v>
      </c>
      <c r="B4" s="115"/>
      <c r="C4" s="115"/>
      <c r="D4" s="115"/>
      <c r="E4" s="115"/>
      <c r="F4" s="115"/>
      <c r="G4" s="115"/>
      <c r="H4" s="115"/>
      <c r="J4" s="81" t="s">
        <v>274</v>
      </c>
      <c r="K4" s="81" t="s">
        <v>250</v>
      </c>
      <c r="L4" s="81" t="s">
        <v>275</v>
      </c>
      <c r="M4" s="81" t="s">
        <v>276</v>
      </c>
      <c r="N4" s="81" t="s">
        <v>277</v>
      </c>
    </row>
    <row r="5" spans="1:14" ht="16.5" customHeight="1">
      <c r="A5" s="85" t="s">
        <v>251</v>
      </c>
      <c r="B5" s="85" t="s">
        <v>254</v>
      </c>
      <c r="C5" s="85" t="s">
        <v>43</v>
      </c>
      <c r="D5" s="85" t="s">
        <v>278</v>
      </c>
      <c r="E5" s="85" t="s">
        <v>279</v>
      </c>
      <c r="F5" s="85" t="s">
        <v>280</v>
      </c>
      <c r="G5" s="85" t="s">
        <v>281</v>
      </c>
      <c r="H5" s="85" t="s">
        <v>95</v>
      </c>
      <c r="J5" s="86">
        <f>IF(1&lt;=DAY(DATE(YEAR(설정_코스수당!$K$2),MONTH(설정_코스수당!$K$2)+1,0)),DATE(YEAR(설정_코스수당!$K$2),MONTH(설정_코스수당!$K$2),1),"")</f>
        <v>46174</v>
      </c>
      <c r="K5" s="87">
        <v>0.45833333333333331</v>
      </c>
      <c r="L5" s="88" t="s">
        <v>60</v>
      </c>
      <c r="M5" s="88" t="s">
        <v>282</v>
      </c>
      <c r="N5" s="88" t="s">
        <v>283</v>
      </c>
    </row>
    <row r="6" spans="1:14" ht="16.5" customHeight="1">
      <c r="A6" s="89" t="s">
        <v>61</v>
      </c>
      <c r="B6" s="90" t="s">
        <v>256</v>
      </c>
      <c r="C6" s="89">
        <v>60</v>
      </c>
      <c r="D6" s="91">
        <v>1500000</v>
      </c>
      <c r="E6" s="92">
        <v>1</v>
      </c>
      <c r="F6" s="91">
        <v>0</v>
      </c>
      <c r="G6" s="92" t="s">
        <v>284</v>
      </c>
      <c r="H6" s="89"/>
      <c r="J6" s="86">
        <f>IF(2&lt;=DAY(DATE(YEAR(설정_코스수당!$K$2),MONTH(설정_코스수당!$K$2)+1,0)),DATE(YEAR(설정_코스수당!$K$2),MONTH(설정_코스수당!$K$2),2),"")</f>
        <v>46175</v>
      </c>
      <c r="K6" s="87">
        <v>0.47916666666666669</v>
      </c>
      <c r="L6" s="88" t="s">
        <v>64</v>
      </c>
      <c r="M6" s="88" t="s">
        <v>285</v>
      </c>
      <c r="N6" s="88" t="s">
        <v>286</v>
      </c>
    </row>
    <row r="7" spans="1:14" ht="16.5" customHeight="1">
      <c r="A7" s="89" t="s">
        <v>65</v>
      </c>
      <c r="B7" s="90" t="s">
        <v>258</v>
      </c>
      <c r="C7" s="89">
        <v>90</v>
      </c>
      <c r="D7" s="91">
        <v>1800000</v>
      </c>
      <c r="E7" s="92">
        <v>1</v>
      </c>
      <c r="F7" s="91">
        <v>100000</v>
      </c>
      <c r="G7" s="92" t="s">
        <v>284</v>
      </c>
      <c r="H7" s="89" t="s">
        <v>287</v>
      </c>
      <c r="J7" s="86">
        <f>IF(3&lt;=DAY(DATE(YEAR(설정_코스수당!$K$2),MONTH(설정_코스수당!$K$2)+1,0)),DATE(YEAR(설정_코스수당!$K$2),MONTH(설정_코스수당!$K$2),3),"")</f>
        <v>46176</v>
      </c>
      <c r="K7" s="87">
        <v>0.5</v>
      </c>
      <c r="L7" s="88" t="s">
        <v>99</v>
      </c>
      <c r="M7" s="88" t="s">
        <v>288</v>
      </c>
      <c r="N7" s="88" t="s">
        <v>289</v>
      </c>
    </row>
    <row r="8" spans="1:14" ht="16.5" customHeight="1">
      <c r="A8" s="89" t="s">
        <v>80</v>
      </c>
      <c r="B8" s="90" t="s">
        <v>260</v>
      </c>
      <c r="C8" s="89">
        <v>90</v>
      </c>
      <c r="D8" s="91">
        <v>2000000</v>
      </c>
      <c r="E8" s="92">
        <v>1</v>
      </c>
      <c r="F8" s="91">
        <v>0</v>
      </c>
      <c r="G8" s="92" t="s">
        <v>284</v>
      </c>
      <c r="H8" s="89"/>
      <c r="J8" s="86">
        <f>IF(4&lt;=DAY(DATE(YEAR(설정_코스수당!$K$2),MONTH(설정_코스수당!$K$2)+1,0)),DATE(YEAR(설정_코스수당!$K$2),MONTH(설정_코스수당!$K$2),4),"")</f>
        <v>46177</v>
      </c>
      <c r="K8" s="87">
        <v>0.52083333333333337</v>
      </c>
      <c r="L8" s="88" t="s">
        <v>100</v>
      </c>
      <c r="M8" s="88" t="s">
        <v>290</v>
      </c>
      <c r="N8" s="88" t="s">
        <v>291</v>
      </c>
    </row>
    <row r="9" spans="1:14" ht="16.5" customHeight="1">
      <c r="A9" s="89" t="s">
        <v>67</v>
      </c>
      <c r="B9" s="90" t="s">
        <v>262</v>
      </c>
      <c r="C9" s="89">
        <v>90</v>
      </c>
      <c r="D9" s="91">
        <v>3200000</v>
      </c>
      <c r="E9" s="92">
        <v>1</v>
      </c>
      <c r="F9" s="91">
        <v>0</v>
      </c>
      <c r="G9" s="92" t="s">
        <v>292</v>
      </c>
      <c r="H9" s="89" t="s">
        <v>293</v>
      </c>
      <c r="J9" s="86">
        <f>IF(5&lt;=DAY(DATE(YEAR(설정_코스수당!$K$2),MONTH(설정_코스수당!$K$2)+1,0)),DATE(YEAR(설정_코스수당!$K$2),MONTH(설정_코스수당!$K$2),5),"")</f>
        <v>46178</v>
      </c>
      <c r="K9" s="87">
        <v>0.54166666666666663</v>
      </c>
      <c r="L9" s="88" t="s">
        <v>101</v>
      </c>
      <c r="N9" s="88" t="s">
        <v>294</v>
      </c>
    </row>
    <row r="10" spans="1:14" ht="16.5" customHeight="1">
      <c r="A10" s="89" t="s">
        <v>264</v>
      </c>
      <c r="B10" s="90" t="s">
        <v>266</v>
      </c>
      <c r="C10" s="89">
        <v>120</v>
      </c>
      <c r="D10" s="91">
        <v>3000000</v>
      </c>
      <c r="E10" s="92">
        <v>1</v>
      </c>
      <c r="F10" s="91">
        <v>100000</v>
      </c>
      <c r="G10" s="92" t="s">
        <v>284</v>
      </c>
      <c r="H10" s="89" t="s">
        <v>295</v>
      </c>
      <c r="J10" s="86">
        <f>IF(6&lt;=DAY(DATE(YEAR(설정_코스수당!$K$2),MONTH(설정_코스수당!$K$2)+1,0)),DATE(YEAR(설정_코스수당!$K$2),MONTH(설정_코스수당!$K$2),6),"")</f>
        <v>46179</v>
      </c>
      <c r="K10" s="87">
        <v>0.5625</v>
      </c>
      <c r="L10" s="88" t="s">
        <v>102</v>
      </c>
      <c r="N10" s="88" t="s">
        <v>296</v>
      </c>
    </row>
    <row r="11" spans="1:14" ht="16.5" customHeight="1">
      <c r="A11" s="1"/>
      <c r="B11" s="1"/>
      <c r="C11" s="1"/>
      <c r="D11" s="1"/>
      <c r="E11" s="1"/>
      <c r="F11" s="1"/>
      <c r="G11" s="1"/>
      <c r="H11" s="1"/>
      <c r="J11" s="86">
        <f>IF(7&lt;=DAY(DATE(YEAR(설정_코스수당!$K$2),MONTH(설정_코스수당!$K$2)+1,0)),DATE(YEAR(설정_코스수당!$K$2),MONTH(설정_코스수당!$K$2),7),"")</f>
        <v>46180</v>
      </c>
      <c r="K11" s="87">
        <v>0.58333333333333337</v>
      </c>
      <c r="L11" s="88" t="s">
        <v>103</v>
      </c>
      <c r="N11" s="88" t="s">
        <v>297</v>
      </c>
    </row>
    <row r="12" spans="1:14" ht="16.5" customHeight="1">
      <c r="A12" s="1"/>
      <c r="B12" s="1"/>
      <c r="C12" s="1"/>
      <c r="D12" s="1"/>
      <c r="E12" s="1"/>
      <c r="F12" s="1"/>
      <c r="G12" s="1"/>
      <c r="H12" s="1"/>
      <c r="J12" s="86">
        <f>IF(8&lt;=DAY(DATE(YEAR(설정_코스수당!$K$2),MONTH(설정_코스수당!$K$2)+1,0)),DATE(YEAR(설정_코스수당!$K$2),MONTH(설정_코스수당!$K$2),8),"")</f>
        <v>46181</v>
      </c>
      <c r="K12" s="87">
        <v>0.60416666666666663</v>
      </c>
      <c r="L12" s="88" t="s">
        <v>104</v>
      </c>
      <c r="N12" s="88" t="s">
        <v>298</v>
      </c>
    </row>
    <row r="13" spans="1:14" ht="16.5" customHeight="1">
      <c r="A13" s="118" t="s">
        <v>299</v>
      </c>
      <c r="B13" s="115"/>
      <c r="C13" s="115"/>
      <c r="D13" s="115"/>
      <c r="E13" s="115"/>
      <c r="F13" s="115"/>
      <c r="G13" s="115"/>
      <c r="H13" s="1"/>
      <c r="J13" s="86">
        <f>IF(9&lt;=DAY(DATE(YEAR(설정_코스수당!$K$2),MONTH(설정_코스수당!$K$2)+1,0)),DATE(YEAR(설정_코스수당!$K$2),MONTH(설정_코스수당!$K$2),9),"")</f>
        <v>46182</v>
      </c>
      <c r="K13" s="87">
        <v>0.625</v>
      </c>
      <c r="L13" s="88" t="s">
        <v>105</v>
      </c>
      <c r="N13" s="88" t="s">
        <v>300</v>
      </c>
    </row>
    <row r="14" spans="1:14" ht="16.5" customHeight="1">
      <c r="A14" s="93" t="s">
        <v>152</v>
      </c>
      <c r="B14" s="93" t="s">
        <v>301</v>
      </c>
      <c r="C14" s="93" t="s">
        <v>302</v>
      </c>
      <c r="D14" s="93" t="s">
        <v>303</v>
      </c>
      <c r="E14" s="93" t="s">
        <v>304</v>
      </c>
      <c r="F14" s="93" t="s">
        <v>305</v>
      </c>
      <c r="G14" s="93" t="s">
        <v>95</v>
      </c>
      <c r="H14" s="1"/>
      <c r="J14" s="86">
        <f>IF(10&lt;=DAY(DATE(YEAR(설정_코스수당!$K$2),MONTH(설정_코스수당!$K$2)+1,0)),DATE(YEAR(설정_코스수당!$K$2),MONTH(설정_코스수당!$K$2),10),"")</f>
        <v>46183</v>
      </c>
      <c r="K14" s="87">
        <v>0.64583333333333337</v>
      </c>
      <c r="L14" s="88" t="s">
        <v>106</v>
      </c>
      <c r="N14" s="88" t="s">
        <v>306</v>
      </c>
    </row>
    <row r="15" spans="1:14" ht="16.5" customHeight="1">
      <c r="A15" s="94" t="s">
        <v>47</v>
      </c>
      <c r="B15" s="71">
        <v>700000</v>
      </c>
      <c r="C15" s="71">
        <v>900000</v>
      </c>
      <c r="D15" s="71">
        <v>900000</v>
      </c>
      <c r="E15" s="71">
        <v>0</v>
      </c>
      <c r="F15" s="71">
        <v>0</v>
      </c>
      <c r="G15" s="95"/>
      <c r="H15" s="1"/>
      <c r="J15" s="86">
        <f>IF(11&lt;=DAY(DATE(YEAR(설정_코스수당!$K$2),MONTH(설정_코스수당!$K$2)+1,0)),DATE(YEAR(설정_코스수당!$K$2),MONTH(설정_코스수당!$K$2),11),"")</f>
        <v>46184</v>
      </c>
      <c r="K15" s="87">
        <v>0.66666666666666663</v>
      </c>
      <c r="L15" s="88" t="s">
        <v>107</v>
      </c>
      <c r="N15" s="88" t="s">
        <v>307</v>
      </c>
    </row>
    <row r="16" spans="1:14" ht="16.5" customHeight="1">
      <c r="A16" s="94" t="s">
        <v>48</v>
      </c>
      <c r="B16" s="71">
        <v>700000</v>
      </c>
      <c r="C16" s="71">
        <v>900000</v>
      </c>
      <c r="D16" s="71">
        <v>900000</v>
      </c>
      <c r="E16" s="71">
        <v>0</v>
      </c>
      <c r="F16" s="71">
        <v>0</v>
      </c>
      <c r="G16" s="95"/>
      <c r="H16" s="1"/>
      <c r="J16" s="86">
        <f>IF(12&lt;=DAY(DATE(YEAR(설정_코스수당!$K$2),MONTH(설정_코스수당!$K$2)+1,0)),DATE(YEAR(설정_코스수당!$K$2),MONTH(설정_코스수당!$K$2),12),"")</f>
        <v>46185</v>
      </c>
      <c r="K16" s="87">
        <v>0.6875</v>
      </c>
      <c r="N16" s="88" t="s">
        <v>308</v>
      </c>
    </row>
    <row r="17" spans="1:14" ht="16.5" customHeight="1">
      <c r="A17" s="94" t="s">
        <v>165</v>
      </c>
      <c r="B17" s="71">
        <v>700000</v>
      </c>
      <c r="C17" s="71">
        <v>900000</v>
      </c>
      <c r="D17" s="71">
        <v>900000</v>
      </c>
      <c r="E17" s="71">
        <v>0</v>
      </c>
      <c r="F17" s="71">
        <v>0</v>
      </c>
      <c r="G17" s="95"/>
      <c r="H17" s="1"/>
      <c r="J17" s="86">
        <f>IF(13&lt;=DAY(DATE(YEAR(설정_코스수당!$K$2),MONTH(설정_코스수당!$K$2)+1,0)),DATE(YEAR(설정_코스수당!$K$2),MONTH(설정_코스수당!$K$2),13),"")</f>
        <v>46186</v>
      </c>
      <c r="K17" s="87">
        <v>0.70833333333333337</v>
      </c>
      <c r="N17" s="88" t="s">
        <v>309</v>
      </c>
    </row>
    <row r="18" spans="1:14" ht="16.5" customHeight="1">
      <c r="A18" s="94" t="s">
        <v>166</v>
      </c>
      <c r="B18" s="71">
        <v>700000</v>
      </c>
      <c r="C18" s="71">
        <v>900000</v>
      </c>
      <c r="D18" s="71">
        <v>900000</v>
      </c>
      <c r="E18" s="71">
        <v>0</v>
      </c>
      <c r="F18" s="71">
        <v>0</v>
      </c>
      <c r="G18" s="95"/>
      <c r="H18" s="1"/>
      <c r="J18" s="86">
        <f>IF(14&lt;=DAY(DATE(YEAR(설정_코스수당!$K$2),MONTH(설정_코스수당!$K$2)+1,0)),DATE(YEAR(설정_코스수당!$K$2),MONTH(설정_코스수당!$K$2),14),"")</f>
        <v>46187</v>
      </c>
      <c r="K18" s="87">
        <v>0.72916666666666663</v>
      </c>
      <c r="N18" s="88" t="s">
        <v>310</v>
      </c>
    </row>
    <row r="19" spans="1:14" ht="16.5" customHeight="1">
      <c r="A19" s="94" t="s">
        <v>167</v>
      </c>
      <c r="B19" s="71">
        <v>0</v>
      </c>
      <c r="C19" s="71">
        <v>0</v>
      </c>
      <c r="D19" s="71">
        <v>0</v>
      </c>
      <c r="E19" s="71">
        <v>0</v>
      </c>
      <c r="F19" s="71">
        <v>0</v>
      </c>
      <c r="G19" s="95"/>
      <c r="H19" s="1"/>
      <c r="J19" s="86">
        <f>IF(15&lt;=DAY(DATE(YEAR(설정_코스수당!$K$2),MONTH(설정_코스수당!$K$2)+1,0)),DATE(YEAR(설정_코스수당!$K$2),MONTH(설정_코스수당!$K$2),15),"")</f>
        <v>46188</v>
      </c>
      <c r="K19" s="87">
        <v>0.75</v>
      </c>
      <c r="N19" s="88" t="s">
        <v>311</v>
      </c>
    </row>
    <row r="20" spans="1:14" ht="16.5" customHeight="1">
      <c r="A20" s="94" t="s">
        <v>168</v>
      </c>
      <c r="B20" s="71">
        <v>0</v>
      </c>
      <c r="C20" s="71">
        <v>0</v>
      </c>
      <c r="D20" s="71">
        <v>0</v>
      </c>
      <c r="E20" s="71">
        <v>0</v>
      </c>
      <c r="F20" s="71">
        <v>0</v>
      </c>
      <c r="G20" s="95"/>
      <c r="H20" s="1"/>
      <c r="J20" s="86">
        <f>IF(16&lt;=DAY(DATE(YEAR(설정_코스수당!$K$2),MONTH(설정_코스수당!$K$2)+1,0)),DATE(YEAR(설정_코스수당!$K$2),MONTH(설정_코스수당!$K$2),16),"")</f>
        <v>46189</v>
      </c>
      <c r="K20" s="87">
        <v>0.77083333333333337</v>
      </c>
      <c r="N20" s="88" t="s">
        <v>312</v>
      </c>
    </row>
    <row r="21" spans="1:14" ht="16.5" customHeight="1">
      <c r="A21" s="94" t="s">
        <v>169</v>
      </c>
      <c r="B21" s="71">
        <v>0</v>
      </c>
      <c r="C21" s="71">
        <v>0</v>
      </c>
      <c r="D21" s="71">
        <v>0</v>
      </c>
      <c r="E21" s="71">
        <v>0</v>
      </c>
      <c r="F21" s="71">
        <v>0</v>
      </c>
      <c r="G21" s="95"/>
      <c r="H21" s="1"/>
      <c r="J21" s="86">
        <f>IF(17&lt;=DAY(DATE(YEAR(설정_코스수당!$K$2),MONTH(설정_코스수당!$K$2)+1,0)),DATE(YEAR(설정_코스수당!$K$2),MONTH(설정_코스수당!$K$2),17),"")</f>
        <v>46190</v>
      </c>
      <c r="K21" s="87">
        <v>0.79166666666666663</v>
      </c>
      <c r="N21" s="88" t="s">
        <v>313</v>
      </c>
    </row>
    <row r="22" spans="1:14" ht="16.5" customHeight="1">
      <c r="A22" s="94" t="s">
        <v>170</v>
      </c>
      <c r="B22" s="71">
        <v>0</v>
      </c>
      <c r="C22" s="71">
        <v>0</v>
      </c>
      <c r="D22" s="71">
        <v>0</v>
      </c>
      <c r="E22" s="71">
        <v>0</v>
      </c>
      <c r="F22" s="71">
        <v>0</v>
      </c>
      <c r="G22" s="95"/>
      <c r="H22" s="1"/>
      <c r="J22" s="86">
        <f>IF(18&lt;=DAY(DATE(YEAR(설정_코스수당!$K$2),MONTH(설정_코스수당!$K$2)+1,0)),DATE(YEAR(설정_코스수당!$K$2),MONTH(설정_코스수당!$K$2),18),"")</f>
        <v>46191</v>
      </c>
      <c r="K22" s="87">
        <v>0.8125</v>
      </c>
      <c r="N22" s="88" t="s">
        <v>314</v>
      </c>
    </row>
    <row r="23" spans="1:14" ht="16.5" customHeight="1">
      <c r="A23" s="94" t="s">
        <v>171</v>
      </c>
      <c r="B23" s="71">
        <v>0</v>
      </c>
      <c r="C23" s="71">
        <v>0</v>
      </c>
      <c r="D23" s="71">
        <v>0</v>
      </c>
      <c r="E23" s="71">
        <v>0</v>
      </c>
      <c r="F23" s="71">
        <v>0</v>
      </c>
      <c r="G23" s="95"/>
      <c r="H23" s="1"/>
      <c r="J23" s="86">
        <f>IF(19&lt;=DAY(DATE(YEAR(설정_코스수당!$K$2),MONTH(설정_코스수당!$K$2)+1,0)),DATE(YEAR(설정_코스수당!$K$2),MONTH(설정_코스수당!$K$2),19),"")</f>
        <v>46192</v>
      </c>
      <c r="K23" s="87">
        <v>0.83333333333333337</v>
      </c>
      <c r="N23" s="88" t="s">
        <v>315</v>
      </c>
    </row>
    <row r="24" spans="1:14" ht="16.5" customHeight="1">
      <c r="A24" s="94" t="s">
        <v>172</v>
      </c>
      <c r="B24" s="71">
        <v>0</v>
      </c>
      <c r="C24" s="71">
        <v>0</v>
      </c>
      <c r="D24" s="71">
        <v>0</v>
      </c>
      <c r="E24" s="71">
        <v>0</v>
      </c>
      <c r="F24" s="71">
        <v>0</v>
      </c>
      <c r="G24" s="95"/>
      <c r="H24" s="1"/>
      <c r="J24" s="86">
        <f>IF(20&lt;=DAY(DATE(YEAR(설정_코스수당!$K$2),MONTH(설정_코스수당!$K$2)+1,0)),DATE(YEAR(설정_코스수당!$K$2),MONTH(설정_코스수당!$K$2),20),"")</f>
        <v>46193</v>
      </c>
      <c r="K24" s="87">
        <v>0.85416666666666663</v>
      </c>
      <c r="N24" s="88" t="s">
        <v>316</v>
      </c>
    </row>
    <row r="25" spans="1:14" ht="16.5" customHeight="1">
      <c r="A25" s="94" t="s">
        <v>173</v>
      </c>
      <c r="B25" s="71">
        <v>0</v>
      </c>
      <c r="C25" s="71">
        <v>0</v>
      </c>
      <c r="D25" s="71">
        <v>0</v>
      </c>
      <c r="E25" s="71">
        <v>0</v>
      </c>
      <c r="F25" s="71">
        <v>0</v>
      </c>
      <c r="G25" s="95"/>
      <c r="H25" s="1"/>
      <c r="J25" s="86">
        <f>IF(21&lt;=DAY(DATE(YEAR(설정_코스수당!$K$2),MONTH(설정_코스수당!$K$2)+1,0)),DATE(YEAR(설정_코스수당!$K$2),MONTH(설정_코스수당!$K$2),21),"")</f>
        <v>46194</v>
      </c>
      <c r="K25" s="87">
        <v>0.875</v>
      </c>
      <c r="N25" s="88" t="s">
        <v>317</v>
      </c>
    </row>
    <row r="26" spans="1:14" ht="16.5" customHeight="1">
      <c r="A26" s="94" t="s">
        <v>174</v>
      </c>
      <c r="B26" s="71">
        <v>0</v>
      </c>
      <c r="C26" s="71">
        <v>0</v>
      </c>
      <c r="D26" s="71">
        <v>0</v>
      </c>
      <c r="E26" s="71">
        <v>0</v>
      </c>
      <c r="F26" s="71">
        <v>0</v>
      </c>
      <c r="G26" s="95"/>
      <c r="H26" s="1"/>
      <c r="J26" s="86">
        <f>IF(22&lt;=DAY(DATE(YEAR(설정_코스수당!$K$2),MONTH(설정_코스수당!$K$2)+1,0)),DATE(YEAR(설정_코스수당!$K$2),MONTH(설정_코스수당!$K$2),22),"")</f>
        <v>46195</v>
      </c>
      <c r="K26" s="87">
        <v>0.89583333333333337</v>
      </c>
      <c r="N26" s="88" t="s">
        <v>318</v>
      </c>
    </row>
    <row r="27" spans="1:14" ht="16.5" customHeight="1">
      <c r="A27" s="94" t="s">
        <v>175</v>
      </c>
      <c r="B27" s="71">
        <v>0</v>
      </c>
      <c r="C27" s="71">
        <v>0</v>
      </c>
      <c r="D27" s="71">
        <v>0</v>
      </c>
      <c r="E27" s="71">
        <v>0</v>
      </c>
      <c r="F27" s="71">
        <v>0</v>
      </c>
      <c r="G27" s="95"/>
      <c r="H27" s="1"/>
      <c r="J27" s="86">
        <f>IF(23&lt;=DAY(DATE(YEAR(설정_코스수당!$K$2),MONTH(설정_코스수당!$K$2)+1,0)),DATE(YEAR(설정_코스수당!$K$2),MONTH(설정_코스수당!$K$2),23),"")</f>
        <v>46196</v>
      </c>
      <c r="K27" s="87">
        <v>0.91666666666666663</v>
      </c>
      <c r="N27" s="88" t="s">
        <v>319</v>
      </c>
    </row>
    <row r="28" spans="1:14" ht="16.5" customHeight="1">
      <c r="A28" s="94" t="s">
        <v>176</v>
      </c>
      <c r="B28" s="71">
        <v>0</v>
      </c>
      <c r="C28" s="71">
        <v>0</v>
      </c>
      <c r="D28" s="71">
        <v>0</v>
      </c>
      <c r="E28" s="71">
        <v>0</v>
      </c>
      <c r="F28" s="71">
        <v>0</v>
      </c>
      <c r="G28" s="95"/>
      <c r="H28" s="1"/>
      <c r="J28" s="86">
        <f>IF(24&lt;=DAY(DATE(YEAR(설정_코스수당!$K$2),MONTH(설정_코스수당!$K$2)+1,0)),DATE(YEAR(설정_코스수당!$K$2),MONTH(설정_코스수당!$K$2),24),"")</f>
        <v>46197</v>
      </c>
      <c r="K28" s="87">
        <v>0.9375</v>
      </c>
      <c r="N28" s="88" t="s">
        <v>320</v>
      </c>
    </row>
    <row r="29" spans="1:14" ht="16.5" customHeight="1">
      <c r="A29" s="94" t="s">
        <v>177</v>
      </c>
      <c r="B29" s="71">
        <v>0</v>
      </c>
      <c r="C29" s="71">
        <v>0</v>
      </c>
      <c r="D29" s="71">
        <v>0</v>
      </c>
      <c r="E29" s="71">
        <v>0</v>
      </c>
      <c r="F29" s="71">
        <v>0</v>
      </c>
      <c r="G29" s="95"/>
      <c r="H29" s="1"/>
      <c r="J29" s="86">
        <f>IF(25&lt;=DAY(DATE(YEAR(설정_코스수당!$K$2),MONTH(설정_코스수당!$K$2)+1,0)),DATE(YEAR(설정_코스수당!$K$2),MONTH(설정_코스수당!$K$2),25),"")</f>
        <v>46198</v>
      </c>
      <c r="K29" s="87">
        <v>0.95833333333333337</v>
      </c>
      <c r="N29" s="88" t="s">
        <v>321</v>
      </c>
    </row>
    <row r="30" spans="1:14" ht="16.5" customHeight="1">
      <c r="A30" s="94" t="s">
        <v>178</v>
      </c>
      <c r="B30" s="71">
        <v>0</v>
      </c>
      <c r="C30" s="71">
        <v>0</v>
      </c>
      <c r="D30" s="71">
        <v>0</v>
      </c>
      <c r="E30" s="71">
        <v>0</v>
      </c>
      <c r="F30" s="71">
        <v>0</v>
      </c>
      <c r="G30" s="95"/>
      <c r="H30" s="1"/>
      <c r="J30" s="86">
        <f>IF(26&lt;=DAY(DATE(YEAR(설정_코스수당!$K$2),MONTH(설정_코스수당!$K$2)+1,0)),DATE(YEAR(설정_코스수당!$K$2),MONTH(설정_코스수당!$K$2),26),"")</f>
        <v>46199</v>
      </c>
      <c r="K30" s="87">
        <v>0.97916666666666663</v>
      </c>
      <c r="N30" s="88" t="s">
        <v>322</v>
      </c>
    </row>
    <row r="31" spans="1:14" ht="16.5" customHeight="1">
      <c r="A31" s="94" t="s">
        <v>179</v>
      </c>
      <c r="B31" s="71">
        <v>0</v>
      </c>
      <c r="C31" s="71">
        <v>0</v>
      </c>
      <c r="D31" s="71">
        <v>0</v>
      </c>
      <c r="E31" s="71">
        <v>0</v>
      </c>
      <c r="F31" s="71">
        <v>0</v>
      </c>
      <c r="G31" s="95"/>
      <c r="H31" s="1"/>
      <c r="J31" s="86">
        <f>IF(27&lt;=DAY(DATE(YEAR(설정_코스수당!$K$2),MONTH(설정_코스수당!$K$2)+1,0)),DATE(YEAR(설정_코스수당!$K$2),MONTH(설정_코스수당!$K$2),27),"")</f>
        <v>46200</v>
      </c>
      <c r="K31" s="87">
        <v>0</v>
      </c>
      <c r="N31" s="88" t="s">
        <v>323</v>
      </c>
    </row>
    <row r="32" spans="1:14" ht="16.5" customHeight="1">
      <c r="A32" s="94" t="s">
        <v>180</v>
      </c>
      <c r="B32" s="71">
        <v>0</v>
      </c>
      <c r="C32" s="71">
        <v>0</v>
      </c>
      <c r="D32" s="71">
        <v>0</v>
      </c>
      <c r="E32" s="71">
        <v>0</v>
      </c>
      <c r="F32" s="71">
        <v>0</v>
      </c>
      <c r="G32" s="95"/>
      <c r="H32" s="1"/>
      <c r="J32" s="86">
        <f>IF(28&lt;=DAY(DATE(YEAR(설정_코스수당!$K$2),MONTH(설정_코스수당!$K$2)+1,0)),DATE(YEAR(설정_코스수당!$K$2),MONTH(설정_코스수당!$K$2),28),"")</f>
        <v>46201</v>
      </c>
      <c r="K32" s="87">
        <v>2.0833333333333329E-2</v>
      </c>
      <c r="N32" s="88" t="s">
        <v>324</v>
      </c>
    </row>
    <row r="33" spans="1:14" ht="16.5" customHeight="1">
      <c r="A33" s="94" t="s">
        <v>181</v>
      </c>
      <c r="B33" s="71">
        <v>0</v>
      </c>
      <c r="C33" s="71">
        <v>0</v>
      </c>
      <c r="D33" s="71">
        <v>0</v>
      </c>
      <c r="E33" s="71">
        <v>0</v>
      </c>
      <c r="F33" s="71">
        <v>0</v>
      </c>
      <c r="G33" s="95"/>
      <c r="H33" s="1"/>
      <c r="J33" s="86">
        <f>IF(29&lt;=DAY(DATE(YEAR(설정_코스수당!$K$2),MONTH(설정_코스수당!$K$2)+1,0)),DATE(YEAR(설정_코스수당!$K$2),MONTH(설정_코스수당!$K$2),29),"")</f>
        <v>46202</v>
      </c>
      <c r="K33" s="87">
        <v>4.1666666666666657E-2</v>
      </c>
      <c r="N33" s="88" t="s">
        <v>325</v>
      </c>
    </row>
    <row r="34" spans="1:14" ht="16.5" customHeight="1">
      <c r="A34" s="94" t="s">
        <v>182</v>
      </c>
      <c r="B34" s="71">
        <v>0</v>
      </c>
      <c r="C34" s="71">
        <v>0</v>
      </c>
      <c r="D34" s="71">
        <v>0</v>
      </c>
      <c r="E34" s="71">
        <v>0</v>
      </c>
      <c r="F34" s="71">
        <v>0</v>
      </c>
      <c r="G34" s="95"/>
      <c r="H34" s="1"/>
      <c r="J34" s="86">
        <f>IF(30&lt;=DAY(DATE(YEAR(설정_코스수당!$K$2),MONTH(설정_코스수당!$K$2)+1,0)),DATE(YEAR(설정_코스수당!$K$2),MONTH(설정_코스수당!$K$2),30),"")</f>
        <v>46203</v>
      </c>
      <c r="K34" s="87">
        <v>6.25E-2</v>
      </c>
      <c r="N34" s="88" t="s">
        <v>326</v>
      </c>
    </row>
    <row r="35" spans="1:14" ht="16.5" customHeight="1">
      <c r="A35" s="94" t="s">
        <v>183</v>
      </c>
      <c r="B35" s="71">
        <v>0</v>
      </c>
      <c r="C35" s="71">
        <v>0</v>
      </c>
      <c r="D35" s="71">
        <v>0</v>
      </c>
      <c r="E35" s="71">
        <v>0</v>
      </c>
      <c r="F35" s="71">
        <v>0</v>
      </c>
      <c r="G35" s="95"/>
      <c r="H35" s="1"/>
      <c r="J35" s="86" t="str">
        <f>IF(31&lt;=DAY(DATE(YEAR(설정_코스수당!$K$2),MONTH(설정_코스수당!$K$2)+1,0)),DATE(YEAR(설정_코스수당!$K$2),MONTH(설정_코스수당!$K$2),31),"")</f>
        <v/>
      </c>
      <c r="K35" s="87">
        <v>8.3333333333333329E-2</v>
      </c>
      <c r="N35" s="88" t="s">
        <v>327</v>
      </c>
    </row>
    <row r="36" spans="1:14" ht="16.5" customHeight="1">
      <c r="A36" s="94" t="s">
        <v>184</v>
      </c>
      <c r="B36" s="71">
        <v>0</v>
      </c>
      <c r="C36" s="71">
        <v>0</v>
      </c>
      <c r="D36" s="71">
        <v>0</v>
      </c>
      <c r="E36" s="71">
        <v>0</v>
      </c>
      <c r="F36" s="71">
        <v>0</v>
      </c>
      <c r="G36" s="95"/>
      <c r="H36" s="1"/>
      <c r="N36" s="88" t="s">
        <v>328</v>
      </c>
    </row>
    <row r="37" spans="1:14" ht="16.5" customHeight="1">
      <c r="A37" s="94" t="s">
        <v>185</v>
      </c>
      <c r="B37" s="71">
        <v>0</v>
      </c>
      <c r="C37" s="71">
        <v>0</v>
      </c>
      <c r="D37" s="71">
        <v>0</v>
      </c>
      <c r="E37" s="71">
        <v>0</v>
      </c>
      <c r="F37" s="71">
        <v>0</v>
      </c>
      <c r="G37" s="95"/>
      <c r="H37" s="1"/>
      <c r="N37" s="88" t="s">
        <v>329</v>
      </c>
    </row>
    <row r="38" spans="1:14" ht="16.5" customHeight="1">
      <c r="A38" s="94" t="s">
        <v>186</v>
      </c>
      <c r="B38" s="71">
        <v>0</v>
      </c>
      <c r="C38" s="71">
        <v>0</v>
      </c>
      <c r="D38" s="71">
        <v>0</v>
      </c>
      <c r="E38" s="71">
        <v>0</v>
      </c>
      <c r="F38" s="71">
        <v>0</v>
      </c>
      <c r="G38" s="95"/>
      <c r="H38" s="1"/>
      <c r="N38" s="88" t="s">
        <v>330</v>
      </c>
    </row>
    <row r="39" spans="1:14" ht="16.5" customHeight="1">
      <c r="A39" s="94" t="s">
        <v>187</v>
      </c>
      <c r="B39" s="71">
        <v>0</v>
      </c>
      <c r="C39" s="71">
        <v>0</v>
      </c>
      <c r="D39" s="71">
        <v>0</v>
      </c>
      <c r="E39" s="71">
        <v>0</v>
      </c>
      <c r="F39" s="71">
        <v>0</v>
      </c>
      <c r="G39" s="95"/>
      <c r="H39" s="1"/>
      <c r="N39" s="88" t="s">
        <v>331</v>
      </c>
    </row>
    <row r="40" spans="1:14" ht="16.5" customHeight="1">
      <c r="A40" s="94" t="s">
        <v>188</v>
      </c>
      <c r="B40" s="71">
        <v>0</v>
      </c>
      <c r="C40" s="71">
        <v>0</v>
      </c>
      <c r="D40" s="71">
        <v>0</v>
      </c>
      <c r="E40" s="71">
        <v>0</v>
      </c>
      <c r="F40" s="71">
        <v>0</v>
      </c>
      <c r="G40" s="95"/>
      <c r="H40" s="1"/>
      <c r="N40" s="88" t="s">
        <v>332</v>
      </c>
    </row>
    <row r="41" spans="1:14" ht="16.5" customHeight="1">
      <c r="A41" s="94" t="s">
        <v>189</v>
      </c>
      <c r="B41" s="71">
        <v>0</v>
      </c>
      <c r="C41" s="71">
        <v>0</v>
      </c>
      <c r="D41" s="71">
        <v>0</v>
      </c>
      <c r="E41" s="71">
        <v>0</v>
      </c>
      <c r="F41" s="71">
        <v>0</v>
      </c>
      <c r="G41" s="95"/>
      <c r="H41" s="1"/>
      <c r="N41" s="88" t="s">
        <v>333</v>
      </c>
    </row>
    <row r="42" spans="1:14" ht="16.5" customHeight="1">
      <c r="A42" s="94" t="s">
        <v>190</v>
      </c>
      <c r="B42" s="71">
        <v>0</v>
      </c>
      <c r="C42" s="71">
        <v>0</v>
      </c>
      <c r="D42" s="71">
        <v>0</v>
      </c>
      <c r="E42" s="71">
        <v>0</v>
      </c>
      <c r="F42" s="71">
        <v>0</v>
      </c>
      <c r="G42" s="95"/>
      <c r="H42" s="1"/>
      <c r="N42" s="88" t="s">
        <v>334</v>
      </c>
    </row>
    <row r="43" spans="1:14" ht="16.5" customHeight="1">
      <c r="A43" s="94" t="s">
        <v>191</v>
      </c>
      <c r="B43" s="71">
        <v>0</v>
      </c>
      <c r="C43" s="71">
        <v>0</v>
      </c>
      <c r="D43" s="71">
        <v>0</v>
      </c>
      <c r="E43" s="71">
        <v>0</v>
      </c>
      <c r="F43" s="71">
        <v>0</v>
      </c>
      <c r="G43" s="95"/>
      <c r="H43" s="1"/>
      <c r="N43" s="88" t="s">
        <v>335</v>
      </c>
    </row>
    <row r="44" spans="1:14" ht="16.5" customHeight="1">
      <c r="A44" s="94" t="s">
        <v>192</v>
      </c>
      <c r="B44" s="71">
        <v>0</v>
      </c>
      <c r="C44" s="71">
        <v>0</v>
      </c>
      <c r="D44" s="71">
        <v>0</v>
      </c>
      <c r="E44" s="71">
        <v>0</v>
      </c>
      <c r="F44" s="71">
        <v>0</v>
      </c>
      <c r="G44" s="95"/>
      <c r="H44" s="1"/>
      <c r="N44" s="88" t="s">
        <v>336</v>
      </c>
    </row>
    <row r="45" spans="1:14" ht="16.5" customHeight="1">
      <c r="A45" s="94" t="s">
        <v>193</v>
      </c>
      <c r="B45" s="71">
        <v>0</v>
      </c>
      <c r="C45" s="71">
        <v>0</v>
      </c>
      <c r="D45" s="71">
        <v>0</v>
      </c>
      <c r="E45" s="71">
        <v>0</v>
      </c>
      <c r="F45" s="71">
        <v>0</v>
      </c>
      <c r="G45" s="95"/>
      <c r="H45" s="1"/>
      <c r="N45" s="88" t="s">
        <v>337</v>
      </c>
    </row>
    <row r="46" spans="1:14" ht="16.5" customHeight="1">
      <c r="A46" s="94" t="s">
        <v>194</v>
      </c>
      <c r="B46" s="71">
        <v>0</v>
      </c>
      <c r="C46" s="71">
        <v>0</v>
      </c>
      <c r="D46" s="71">
        <v>0</v>
      </c>
      <c r="E46" s="71">
        <v>0</v>
      </c>
      <c r="F46" s="71">
        <v>0</v>
      </c>
      <c r="G46" s="95"/>
      <c r="H46" s="1"/>
      <c r="N46" s="88" t="s">
        <v>338</v>
      </c>
    </row>
    <row r="47" spans="1:14" ht="16.5" customHeight="1">
      <c r="A47" s="96" t="s">
        <v>195</v>
      </c>
      <c r="B47" s="71">
        <v>0</v>
      </c>
      <c r="C47" s="71">
        <v>0</v>
      </c>
      <c r="D47" s="71">
        <v>0</v>
      </c>
      <c r="E47" s="71">
        <v>0</v>
      </c>
      <c r="F47" s="71">
        <v>0</v>
      </c>
      <c r="G47" s="95"/>
      <c r="H47" s="1"/>
      <c r="N47" s="88" t="s">
        <v>339</v>
      </c>
    </row>
    <row r="48" spans="1:14" ht="16.5" customHeight="1">
      <c r="A48" s="94" t="s">
        <v>196</v>
      </c>
      <c r="B48" s="71">
        <v>0</v>
      </c>
      <c r="C48" s="71">
        <v>0</v>
      </c>
      <c r="D48" s="71">
        <v>0</v>
      </c>
      <c r="E48" s="71">
        <v>0</v>
      </c>
      <c r="F48" s="71">
        <v>0</v>
      </c>
      <c r="G48" s="95"/>
      <c r="H48" s="1"/>
      <c r="N48" s="88" t="s">
        <v>340</v>
      </c>
    </row>
    <row r="49" spans="1:14" ht="16.5" customHeight="1">
      <c r="A49" s="94" t="s">
        <v>197</v>
      </c>
      <c r="B49" s="71">
        <v>0</v>
      </c>
      <c r="C49" s="71">
        <v>0</v>
      </c>
      <c r="D49" s="71">
        <v>0</v>
      </c>
      <c r="E49" s="71">
        <v>0</v>
      </c>
      <c r="F49" s="71">
        <v>0</v>
      </c>
      <c r="G49" s="95"/>
      <c r="H49" s="1"/>
      <c r="N49" s="88" t="s">
        <v>341</v>
      </c>
    </row>
    <row r="50" spans="1:14" ht="16.5" customHeight="1">
      <c r="A50" s="94" t="s">
        <v>198</v>
      </c>
      <c r="B50" s="71">
        <v>0</v>
      </c>
      <c r="C50" s="71">
        <v>0</v>
      </c>
      <c r="D50" s="71">
        <v>0</v>
      </c>
      <c r="E50" s="71">
        <v>0</v>
      </c>
      <c r="F50" s="71">
        <v>0</v>
      </c>
      <c r="G50" s="95"/>
      <c r="H50" s="1"/>
      <c r="N50" s="88" t="s">
        <v>342</v>
      </c>
    </row>
    <row r="51" spans="1:14" ht="16.5" customHeight="1">
      <c r="A51" s="94" t="s">
        <v>199</v>
      </c>
      <c r="B51" s="71">
        <v>0</v>
      </c>
      <c r="C51" s="71">
        <v>0</v>
      </c>
      <c r="D51" s="71">
        <v>0</v>
      </c>
      <c r="E51" s="71">
        <v>0</v>
      </c>
      <c r="F51" s="71">
        <v>0</v>
      </c>
      <c r="G51" s="95"/>
      <c r="H51" s="1"/>
      <c r="N51" s="88" t="s">
        <v>343</v>
      </c>
    </row>
    <row r="52" spans="1:14" ht="16.5" customHeight="1">
      <c r="A52" s="94" t="s">
        <v>200</v>
      </c>
      <c r="B52" s="71">
        <v>0</v>
      </c>
      <c r="C52" s="71">
        <v>0</v>
      </c>
      <c r="D52" s="71">
        <v>0</v>
      </c>
      <c r="E52" s="71">
        <v>0</v>
      </c>
      <c r="F52" s="71">
        <v>0</v>
      </c>
      <c r="G52" s="95"/>
      <c r="H52" s="1"/>
      <c r="N52" s="88" t="s">
        <v>344</v>
      </c>
    </row>
    <row r="53" spans="1:14" ht="16.5" customHeight="1">
      <c r="A53" s="94" t="s">
        <v>201</v>
      </c>
      <c r="B53" s="71">
        <v>0</v>
      </c>
      <c r="C53" s="71">
        <v>0</v>
      </c>
      <c r="D53" s="71">
        <v>0</v>
      </c>
      <c r="E53" s="71">
        <v>0</v>
      </c>
      <c r="F53" s="71">
        <v>0</v>
      </c>
      <c r="G53" s="95"/>
      <c r="H53" s="1"/>
      <c r="N53" s="88" t="s">
        <v>345</v>
      </c>
    </row>
    <row r="54" spans="1:14" ht="16.5" customHeight="1">
      <c r="A54" s="94" t="s">
        <v>202</v>
      </c>
      <c r="B54" s="71">
        <v>0</v>
      </c>
      <c r="C54" s="71">
        <v>0</v>
      </c>
      <c r="D54" s="71">
        <v>0</v>
      </c>
      <c r="E54" s="71">
        <v>0</v>
      </c>
      <c r="F54" s="71">
        <v>0</v>
      </c>
      <c r="G54" s="95"/>
      <c r="H54" s="1"/>
      <c r="N54" s="88" t="s">
        <v>346</v>
      </c>
    </row>
    <row r="55" spans="1:14" ht="16.5" customHeight="1">
      <c r="A55" s="94" t="s">
        <v>203</v>
      </c>
      <c r="B55" s="71">
        <v>0</v>
      </c>
      <c r="C55" s="71">
        <v>0</v>
      </c>
      <c r="D55" s="71">
        <v>0</v>
      </c>
      <c r="E55" s="71">
        <v>0</v>
      </c>
      <c r="F55" s="71">
        <v>0</v>
      </c>
      <c r="G55" s="95"/>
      <c r="H55" s="1"/>
    </row>
    <row r="56" spans="1:14" ht="16.5" customHeight="1">
      <c r="A56" s="94" t="s">
        <v>204</v>
      </c>
      <c r="B56" s="71">
        <v>0</v>
      </c>
      <c r="C56" s="71">
        <v>0</v>
      </c>
      <c r="D56" s="71">
        <v>0</v>
      </c>
      <c r="E56" s="71">
        <v>0</v>
      </c>
      <c r="F56" s="71">
        <v>0</v>
      </c>
      <c r="G56" s="95"/>
      <c r="H56" s="1"/>
    </row>
    <row r="57" spans="1:14" ht="16.5" customHeight="1">
      <c r="A57" s="94" t="s">
        <v>205</v>
      </c>
      <c r="B57" s="71">
        <v>0</v>
      </c>
      <c r="C57" s="71">
        <v>0</v>
      </c>
      <c r="D57" s="71">
        <v>0</v>
      </c>
      <c r="E57" s="71">
        <v>0</v>
      </c>
      <c r="F57" s="71">
        <v>0</v>
      </c>
      <c r="G57" s="95"/>
      <c r="H57" s="1"/>
    </row>
    <row r="58" spans="1:14" ht="16.5" customHeight="1">
      <c r="A58" s="94" t="s">
        <v>206</v>
      </c>
      <c r="B58" s="71">
        <v>0</v>
      </c>
      <c r="C58" s="71">
        <v>0</v>
      </c>
      <c r="D58" s="71">
        <v>0</v>
      </c>
      <c r="E58" s="71">
        <v>0</v>
      </c>
      <c r="F58" s="71">
        <v>0</v>
      </c>
      <c r="G58" s="95"/>
      <c r="H58" s="1"/>
    </row>
    <row r="59" spans="1:14" ht="16.5" customHeight="1">
      <c r="A59" s="94" t="s">
        <v>207</v>
      </c>
      <c r="B59" s="71">
        <v>0</v>
      </c>
      <c r="C59" s="71">
        <v>0</v>
      </c>
      <c r="D59" s="71">
        <v>0</v>
      </c>
      <c r="E59" s="71">
        <v>0</v>
      </c>
      <c r="F59" s="71">
        <v>0</v>
      </c>
      <c r="G59" s="95"/>
      <c r="H59" s="1"/>
    </row>
    <row r="60" spans="1:14" ht="16.5" customHeight="1">
      <c r="A60" s="94" t="s">
        <v>208</v>
      </c>
      <c r="B60" s="71">
        <v>0</v>
      </c>
      <c r="C60" s="71">
        <v>0</v>
      </c>
      <c r="D60" s="71">
        <v>0</v>
      </c>
      <c r="E60" s="71">
        <v>0</v>
      </c>
      <c r="F60" s="71">
        <v>0</v>
      </c>
      <c r="G60" s="95"/>
      <c r="H60" s="1"/>
    </row>
    <row r="61" spans="1:14" ht="16.5" customHeight="1">
      <c r="A61" s="94" t="s">
        <v>209</v>
      </c>
      <c r="B61" s="71">
        <v>0</v>
      </c>
      <c r="C61" s="71">
        <v>0</v>
      </c>
      <c r="D61" s="71">
        <v>0</v>
      </c>
      <c r="E61" s="71">
        <v>0</v>
      </c>
      <c r="F61" s="71">
        <v>0</v>
      </c>
      <c r="G61" s="95"/>
      <c r="H61" s="1"/>
    </row>
    <row r="62" spans="1:14" ht="16.5" customHeight="1">
      <c r="A62" s="94" t="s">
        <v>210</v>
      </c>
      <c r="B62" s="71">
        <v>0</v>
      </c>
      <c r="C62" s="71">
        <v>0</v>
      </c>
      <c r="D62" s="71">
        <v>0</v>
      </c>
      <c r="E62" s="71">
        <v>0</v>
      </c>
      <c r="F62" s="71">
        <v>0</v>
      </c>
      <c r="G62" s="95"/>
      <c r="H62" s="1"/>
    </row>
    <row r="63" spans="1:14" ht="16.5" customHeight="1">
      <c r="A63" s="94" t="s">
        <v>211</v>
      </c>
      <c r="B63" s="71">
        <v>0</v>
      </c>
      <c r="C63" s="71">
        <v>0</v>
      </c>
      <c r="D63" s="71">
        <v>0</v>
      </c>
      <c r="E63" s="71">
        <v>0</v>
      </c>
      <c r="F63" s="71">
        <v>0</v>
      </c>
      <c r="G63" s="95"/>
      <c r="H63" s="1"/>
    </row>
    <row r="64" spans="1:14" ht="16.5" customHeight="1">
      <c r="A64" s="94" t="s">
        <v>212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95"/>
      <c r="H64" s="1"/>
    </row>
    <row r="65" spans="1:8" ht="16.5" customHeight="1">
      <c r="A65" s="1"/>
      <c r="B65" s="1"/>
      <c r="C65" s="1"/>
      <c r="D65" s="1"/>
      <c r="E65" s="1"/>
      <c r="F65" s="1"/>
      <c r="G65" s="1"/>
      <c r="H65" s="1"/>
    </row>
    <row r="66" spans="1:8" ht="16.5" customHeight="1">
      <c r="A66" s="1"/>
      <c r="B66" s="1"/>
      <c r="C66" s="1"/>
      <c r="D66" s="1"/>
      <c r="E66" s="1"/>
      <c r="F66" s="1"/>
      <c r="G66" s="1"/>
      <c r="H66" s="1"/>
    </row>
    <row r="67" spans="1:8" ht="16.5" customHeight="1">
      <c r="A67" s="97" t="s">
        <v>347</v>
      </c>
      <c r="B67" s="70"/>
      <c r="C67" s="70"/>
      <c r="D67" s="70"/>
      <c r="E67" s="1"/>
      <c r="F67" s="1"/>
      <c r="G67" s="1"/>
      <c r="H67" s="1"/>
    </row>
    <row r="68" spans="1:8" ht="16.5" customHeight="1">
      <c r="A68" s="93" t="s">
        <v>348</v>
      </c>
      <c r="B68" s="93" t="s">
        <v>349</v>
      </c>
      <c r="C68" s="93" t="s">
        <v>350</v>
      </c>
      <c r="D68" s="93" t="s">
        <v>95</v>
      </c>
      <c r="E68" s="1"/>
      <c r="F68" s="1"/>
      <c r="G68" s="1"/>
      <c r="H68" s="1"/>
    </row>
    <row r="69" spans="1:8" ht="16.5" customHeight="1">
      <c r="A69" s="62">
        <v>30</v>
      </c>
      <c r="B69" s="71">
        <v>50000</v>
      </c>
      <c r="C69" s="71">
        <v>250000</v>
      </c>
      <c r="D69" s="13" t="s">
        <v>351</v>
      </c>
      <c r="E69" s="1"/>
      <c r="F69" s="1"/>
      <c r="G69" s="1"/>
      <c r="H69" s="1"/>
    </row>
    <row r="70" spans="1:8" ht="16.5" customHeight="1">
      <c r="A70" s="62">
        <v>40</v>
      </c>
      <c r="B70" s="71">
        <v>100000</v>
      </c>
      <c r="C70" s="71">
        <v>500000</v>
      </c>
      <c r="D70" s="13" t="s">
        <v>352</v>
      </c>
      <c r="E70" s="1"/>
      <c r="F70" s="1"/>
      <c r="G70" s="1"/>
      <c r="H70" s="1"/>
    </row>
    <row r="71" spans="1:8" ht="16.5" customHeight="1">
      <c r="A71" s="62">
        <v>50</v>
      </c>
      <c r="B71" s="71">
        <v>200000</v>
      </c>
      <c r="C71" s="71">
        <v>1000000</v>
      </c>
      <c r="D71" s="13" t="s">
        <v>353</v>
      </c>
      <c r="E71" s="1"/>
      <c r="F71" s="1"/>
      <c r="G71" s="1"/>
      <c r="H71" s="1"/>
    </row>
    <row r="72" spans="1:8" ht="16.5" customHeight="1">
      <c r="A72" s="1"/>
      <c r="B72" s="1"/>
      <c r="C72" s="1"/>
      <c r="D72" s="1"/>
      <c r="E72" s="1"/>
      <c r="F72" s="1"/>
      <c r="G72" s="1"/>
      <c r="H72" s="1"/>
    </row>
    <row r="73" spans="1:8" ht="16.5" customHeight="1">
      <c r="A73" s="1"/>
      <c r="B73" s="1"/>
      <c r="C73" s="1"/>
      <c r="D73" s="1"/>
      <c r="E73" s="1"/>
      <c r="F73" s="1"/>
      <c r="G73" s="1"/>
      <c r="H73" s="1"/>
    </row>
    <row r="74" spans="1:8" ht="16.5" customHeight="1">
      <c r="A74" s="97" t="s">
        <v>354</v>
      </c>
      <c r="B74" s="70"/>
      <c r="C74" s="70"/>
      <c r="D74" s="70"/>
      <c r="E74" s="70"/>
      <c r="F74" s="1"/>
      <c r="G74" s="1"/>
      <c r="H74" s="1"/>
    </row>
    <row r="75" spans="1:8" ht="16.5" customHeight="1">
      <c r="A75" s="93" t="s">
        <v>355</v>
      </c>
      <c r="B75" s="93" t="s">
        <v>356</v>
      </c>
      <c r="C75" s="93" t="s">
        <v>357</v>
      </c>
      <c r="D75" s="93" t="s">
        <v>358</v>
      </c>
      <c r="E75" s="93" t="s">
        <v>359</v>
      </c>
      <c r="F75" s="1"/>
      <c r="G75" s="1"/>
      <c r="H75" s="1"/>
    </row>
    <row r="76" spans="1:8" ht="16.5" customHeight="1">
      <c r="A76" s="62">
        <v>1000</v>
      </c>
      <c r="B76" s="71">
        <v>3000000</v>
      </c>
      <c r="C76" s="98">
        <v>0.3</v>
      </c>
      <c r="D76" s="98">
        <v>0.35</v>
      </c>
      <c r="E76" s="98">
        <v>0.35</v>
      </c>
      <c r="F76" s="1"/>
      <c r="G76" s="1"/>
      <c r="H76" s="1"/>
    </row>
    <row r="77" spans="1:8" ht="16.5" customHeight="1">
      <c r="A77" s="62">
        <v>1100</v>
      </c>
      <c r="B77" s="71">
        <v>5000000</v>
      </c>
      <c r="C77" s="98">
        <v>0.3</v>
      </c>
      <c r="D77" s="98">
        <v>0.35</v>
      </c>
      <c r="E77" s="98">
        <v>0.35</v>
      </c>
      <c r="F77" s="1"/>
      <c r="G77" s="1"/>
      <c r="H77" s="1"/>
    </row>
    <row r="78" spans="1:8" ht="16.5" customHeight="1">
      <c r="A78" s="62">
        <v>1200</v>
      </c>
      <c r="B78" s="71">
        <v>8000000</v>
      </c>
      <c r="C78" s="98">
        <v>0.3</v>
      </c>
      <c r="D78" s="98">
        <v>0.35</v>
      </c>
      <c r="E78" s="98">
        <v>0.35</v>
      </c>
      <c r="F78" s="1"/>
      <c r="G78" s="1"/>
      <c r="H78" s="1"/>
    </row>
    <row r="79" spans="1:8" ht="16.5" customHeight="1">
      <c r="A79" s="62">
        <v>1300</v>
      </c>
      <c r="B79" s="71">
        <v>12000000</v>
      </c>
      <c r="C79" s="98">
        <v>0.3</v>
      </c>
      <c r="D79" s="98">
        <v>0.35</v>
      </c>
      <c r="E79" s="98">
        <v>0.35</v>
      </c>
      <c r="F79" s="1"/>
      <c r="G79" s="1"/>
      <c r="H79" s="1"/>
    </row>
    <row r="80" spans="1:8" ht="16.5" customHeight="1">
      <c r="A80" s="62">
        <v>1400</v>
      </c>
      <c r="B80" s="71">
        <v>18000000</v>
      </c>
      <c r="C80" s="98">
        <v>0.3</v>
      </c>
      <c r="D80" s="98">
        <v>0.35</v>
      </c>
      <c r="E80" s="98">
        <v>0.35</v>
      </c>
      <c r="F80" s="1"/>
      <c r="G80" s="1"/>
      <c r="H80" s="1"/>
    </row>
    <row r="81" spans="1:8" ht="16.5" customHeight="1">
      <c r="A81" s="62">
        <v>1500</v>
      </c>
      <c r="B81" s="71">
        <v>25000000</v>
      </c>
      <c r="C81" s="98">
        <v>0.3</v>
      </c>
      <c r="D81" s="98">
        <v>0.35</v>
      </c>
      <c r="E81" s="98">
        <v>0.35</v>
      </c>
      <c r="F81" s="1"/>
      <c r="G81" s="1"/>
      <c r="H81" s="1"/>
    </row>
    <row r="82" spans="1:8" ht="16.5" customHeight="1"/>
    <row r="83" spans="1:8" ht="16.5" customHeight="1"/>
    <row r="84" spans="1:8" ht="16.5" customHeight="1"/>
    <row r="85" spans="1:8" ht="16.5" customHeight="1"/>
    <row r="86" spans="1:8" ht="16.5" customHeight="1"/>
    <row r="87" spans="1:8" ht="16.5" customHeight="1"/>
    <row r="88" spans="1:8" ht="16.5" customHeight="1"/>
    <row r="89" spans="1:8" ht="16.5" customHeight="1"/>
    <row r="90" spans="1:8" ht="16.5" customHeight="1"/>
    <row r="91" spans="1:8" ht="16.5" customHeight="1"/>
    <row r="92" spans="1:8" ht="16.5" customHeight="1"/>
    <row r="93" spans="1:8" ht="16.5" customHeight="1"/>
    <row r="94" spans="1:8" ht="16.5" customHeight="1"/>
    <row r="95" spans="1:8" ht="16.5" customHeight="1"/>
    <row r="96" spans="1:8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H4"/>
    <mergeCell ref="A13:G13"/>
    <mergeCell ref="A2:H2"/>
    <mergeCell ref="A1:H1"/>
  </mergeCells>
  <phoneticPr fontId="45" type="noConversion"/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00"/>
  <sheetViews>
    <sheetView workbookViewId="0"/>
  </sheetViews>
  <sheetFormatPr defaultColWidth="14.453125" defaultRowHeight="15" customHeight="1"/>
  <cols>
    <col min="1" max="9" width="8.7265625" customWidth="1"/>
  </cols>
  <sheetData>
    <row r="1" spans="1:9" ht="16.5" customHeight="1">
      <c r="A1" s="14" t="s">
        <v>42</v>
      </c>
      <c r="B1" s="14" t="s">
        <v>43</v>
      </c>
      <c r="C1" s="14" t="s">
        <v>44</v>
      </c>
      <c r="D1" s="14" t="s">
        <v>45</v>
      </c>
      <c r="E1" s="14" t="s">
        <v>55</v>
      </c>
      <c r="F1" s="14" t="s">
        <v>57</v>
      </c>
      <c r="G1" s="14" t="s">
        <v>59</v>
      </c>
      <c r="H1" s="14" t="s">
        <v>152</v>
      </c>
      <c r="I1" s="14" t="s">
        <v>360</v>
      </c>
    </row>
    <row r="2" spans="1:9" ht="16.5" customHeight="1">
      <c r="A2" s="99">
        <f>IF(1&lt;=DAY(DATE(YEAR(설정_코스수당!$K$2),MONTH(설정_코스수당!$K$2)+1,0)),DATE(YEAR(설정_코스수당!$K$2),MONTH(설정_코스수당!$K$2),1),"")</f>
        <v>46174</v>
      </c>
      <c r="B2" s="14" t="s">
        <v>361</v>
      </c>
      <c r="C2" s="14" t="s">
        <v>362</v>
      </c>
      <c r="D2" s="14" t="s">
        <v>61</v>
      </c>
      <c r="E2" s="14" t="s">
        <v>84</v>
      </c>
      <c r="F2" s="14" t="s">
        <v>363</v>
      </c>
      <c r="G2" s="14" t="s">
        <v>292</v>
      </c>
      <c r="H2" s="14" t="s">
        <v>47</v>
      </c>
      <c r="I2" s="14" t="s">
        <v>66</v>
      </c>
    </row>
    <row r="3" spans="1:9" ht="16.5" customHeight="1">
      <c r="A3" s="99">
        <f>IF(2&lt;=DAY(DATE(YEAR(설정_코스수당!$K$2),MONTH(설정_코스수당!$K$2)+1,0)),DATE(YEAR(설정_코스수당!$K$2),MONTH(설정_코스수당!$K$2),2),"")</f>
        <v>46175</v>
      </c>
      <c r="B3" s="14" t="s">
        <v>364</v>
      </c>
      <c r="C3" s="14" t="s">
        <v>365</v>
      </c>
      <c r="D3" s="14" t="s">
        <v>65</v>
      </c>
      <c r="E3" s="14" t="s">
        <v>62</v>
      </c>
      <c r="F3" s="14" t="s">
        <v>366</v>
      </c>
      <c r="G3" s="14" t="s">
        <v>284</v>
      </c>
      <c r="H3" s="14" t="s">
        <v>48</v>
      </c>
      <c r="I3" s="14" t="s">
        <v>147</v>
      </c>
    </row>
    <row r="4" spans="1:9" ht="16.5" customHeight="1">
      <c r="A4" s="99">
        <f>IF(3&lt;=DAY(DATE(YEAR(설정_코스수당!$K$2),MONTH(설정_코스수당!$K$2)+1,0)),DATE(YEAR(설정_코스수당!$K$2),MONTH(설정_코스수당!$K$2),3),"")</f>
        <v>46176</v>
      </c>
      <c r="B4" s="14" t="s">
        <v>367</v>
      </c>
      <c r="C4" s="14" t="s">
        <v>368</v>
      </c>
      <c r="D4" s="14" t="s">
        <v>80</v>
      </c>
      <c r="E4" s="14" t="s">
        <v>263</v>
      </c>
      <c r="F4" s="14" t="s">
        <v>369</v>
      </c>
      <c r="H4" s="14" t="s">
        <v>165</v>
      </c>
      <c r="I4" s="14" t="s">
        <v>148</v>
      </c>
    </row>
    <row r="5" spans="1:9" ht="16.5" customHeight="1">
      <c r="A5" s="99">
        <f>IF(4&lt;=DAY(DATE(YEAR(설정_코스수당!$K$2),MONTH(설정_코스수당!$K$2)+1,0)),DATE(YEAR(설정_코스수당!$K$2),MONTH(설정_코스수당!$K$2),4),"")</f>
        <v>46177</v>
      </c>
      <c r="B5" s="14" t="s">
        <v>370</v>
      </c>
      <c r="C5" s="14" t="s">
        <v>371</v>
      </c>
      <c r="D5" s="14" t="s">
        <v>67</v>
      </c>
      <c r="E5" s="14" t="s">
        <v>267</v>
      </c>
      <c r="F5" s="14" t="s">
        <v>372</v>
      </c>
      <c r="H5" s="14" t="s">
        <v>166</v>
      </c>
      <c r="I5" s="14" t="s">
        <v>149</v>
      </c>
    </row>
    <row r="6" spans="1:9" ht="16.5" customHeight="1">
      <c r="A6" s="99">
        <f>IF(5&lt;=DAY(DATE(YEAR(설정_코스수당!$K$2),MONTH(설정_코스수당!$K$2)+1,0)),DATE(YEAR(설정_코스수당!$K$2),MONTH(설정_코스수당!$K$2),5),"")</f>
        <v>46178</v>
      </c>
      <c r="B6" s="14" t="s">
        <v>373</v>
      </c>
      <c r="C6" s="14" t="s">
        <v>374</v>
      </c>
      <c r="D6" s="14" t="s">
        <v>264</v>
      </c>
      <c r="H6" s="14" t="s">
        <v>167</v>
      </c>
    </row>
    <row r="7" spans="1:9" ht="16.5" customHeight="1">
      <c r="A7" s="99">
        <f>IF(6&lt;=DAY(DATE(YEAR(설정_코스수당!$K$2),MONTH(설정_코스수당!$K$2)+1,0)),DATE(YEAR(설정_코스수당!$K$2),MONTH(설정_코스수당!$K$2),6),"")</f>
        <v>46179</v>
      </c>
      <c r="B7" s="14" t="s">
        <v>375</v>
      </c>
      <c r="C7" s="14" t="s">
        <v>376</v>
      </c>
      <c r="H7" s="14" t="s">
        <v>168</v>
      </c>
    </row>
    <row r="8" spans="1:9" ht="16.5" customHeight="1">
      <c r="A8" s="99">
        <f>IF(7&lt;=DAY(DATE(YEAR(설정_코스수당!$K$2),MONTH(설정_코스수당!$K$2)+1,0)),DATE(YEAR(설정_코스수당!$K$2),MONTH(설정_코스수당!$K$2),7),"")</f>
        <v>46180</v>
      </c>
      <c r="B8" s="14" t="s">
        <v>377</v>
      </c>
      <c r="C8" s="14" t="s">
        <v>378</v>
      </c>
      <c r="H8" s="14" t="s">
        <v>169</v>
      </c>
    </row>
    <row r="9" spans="1:9" ht="16.5" customHeight="1">
      <c r="A9" s="99">
        <f>IF(8&lt;=DAY(DATE(YEAR(설정_코스수당!$K$2),MONTH(설정_코스수당!$K$2)+1,0)),DATE(YEAR(설정_코스수당!$K$2),MONTH(설정_코스수당!$K$2),8),"")</f>
        <v>46181</v>
      </c>
      <c r="B9" s="14" t="s">
        <v>379</v>
      </c>
      <c r="C9" s="14" t="s">
        <v>380</v>
      </c>
      <c r="H9" s="14" t="s">
        <v>170</v>
      </c>
    </row>
    <row r="10" spans="1:9" ht="16.5" customHeight="1">
      <c r="A10" s="99">
        <f>IF(9&lt;=DAY(DATE(YEAR(설정_코스수당!$K$2),MONTH(설정_코스수당!$K$2)+1,0)),DATE(YEAR(설정_코스수당!$K$2),MONTH(설정_코스수당!$K$2),9),"")</f>
        <v>46182</v>
      </c>
      <c r="B10" s="14" t="s">
        <v>381</v>
      </c>
      <c r="C10" s="14" t="s">
        <v>382</v>
      </c>
      <c r="H10" s="14" t="s">
        <v>171</v>
      </c>
    </row>
    <row r="11" spans="1:9" ht="16.5" customHeight="1">
      <c r="A11" s="99">
        <f>IF(10&lt;=DAY(DATE(YEAR(설정_코스수당!$K$2),MONTH(설정_코스수당!$K$2)+1,0)),DATE(YEAR(설정_코스수당!$K$2),MONTH(설정_코스수당!$K$2),10),"")</f>
        <v>46183</v>
      </c>
      <c r="B11" s="14" t="s">
        <v>383</v>
      </c>
      <c r="C11" s="14" t="s">
        <v>384</v>
      </c>
      <c r="H11" s="14" t="s">
        <v>172</v>
      </c>
    </row>
    <row r="12" spans="1:9" ht="16.5" customHeight="1">
      <c r="A12" s="99">
        <f>IF(11&lt;=DAY(DATE(YEAR(설정_코스수당!$K$2),MONTH(설정_코스수당!$K$2)+1,0)),DATE(YEAR(설정_코스수당!$K$2),MONTH(설정_코스수당!$K$2),11),"")</f>
        <v>46184</v>
      </c>
      <c r="B12" s="14" t="s">
        <v>385</v>
      </c>
      <c r="C12" s="14" t="s">
        <v>386</v>
      </c>
      <c r="H12" s="14" t="s">
        <v>173</v>
      </c>
    </row>
    <row r="13" spans="1:9" ht="16.5" customHeight="1">
      <c r="A13" s="99">
        <f>IF(12&lt;=DAY(DATE(YEAR(설정_코스수당!$K$2),MONTH(설정_코스수당!$K$2)+1,0)),DATE(YEAR(설정_코스수당!$K$2),MONTH(설정_코스수당!$K$2),12),"")</f>
        <v>46185</v>
      </c>
      <c r="B13" s="14" t="s">
        <v>387</v>
      </c>
      <c r="C13" s="14" t="s">
        <v>388</v>
      </c>
      <c r="H13" s="14" t="s">
        <v>174</v>
      </c>
    </row>
    <row r="14" spans="1:9" ht="16.5" customHeight="1">
      <c r="A14" s="99">
        <f>IF(13&lt;=DAY(DATE(YEAR(설정_코스수당!$K$2),MONTH(설정_코스수당!$K$2)+1,0)),DATE(YEAR(설정_코스수당!$K$2),MONTH(설정_코스수당!$K$2),13),"")</f>
        <v>46186</v>
      </c>
      <c r="B14" s="14" t="s">
        <v>389</v>
      </c>
      <c r="C14" s="14" t="s">
        <v>390</v>
      </c>
      <c r="H14" s="14" t="s">
        <v>175</v>
      </c>
    </row>
    <row r="15" spans="1:9" ht="16.5" customHeight="1">
      <c r="A15" s="99">
        <f>IF(14&lt;=DAY(DATE(YEAR(설정_코스수당!$K$2),MONTH(설정_코스수당!$K$2)+1,0)),DATE(YEAR(설정_코스수당!$K$2),MONTH(설정_코스수당!$K$2),14),"")</f>
        <v>46187</v>
      </c>
      <c r="B15" s="14" t="s">
        <v>391</v>
      </c>
      <c r="C15" s="14" t="s">
        <v>392</v>
      </c>
      <c r="H15" s="14" t="s">
        <v>176</v>
      </c>
    </row>
    <row r="16" spans="1:9" ht="16.5" customHeight="1">
      <c r="A16" s="99">
        <f>IF(15&lt;=DAY(DATE(YEAR(설정_코스수당!$K$2),MONTH(설정_코스수당!$K$2)+1,0)),DATE(YEAR(설정_코스수당!$K$2),MONTH(설정_코스수당!$K$2),15),"")</f>
        <v>46188</v>
      </c>
      <c r="B16" s="14" t="s">
        <v>393</v>
      </c>
      <c r="C16" s="14" t="s">
        <v>394</v>
      </c>
      <c r="H16" s="14" t="s">
        <v>177</v>
      </c>
    </row>
    <row r="17" spans="1:8" ht="16.5" customHeight="1">
      <c r="A17" s="99">
        <f>IF(16&lt;=DAY(DATE(YEAR(설정_코스수당!$K$2),MONTH(설정_코스수당!$K$2)+1,0)),DATE(YEAR(설정_코스수당!$K$2),MONTH(설정_코스수당!$K$2),16),"")</f>
        <v>46189</v>
      </c>
      <c r="B17" s="14" t="s">
        <v>395</v>
      </c>
      <c r="C17" s="14" t="s">
        <v>396</v>
      </c>
      <c r="H17" s="14" t="s">
        <v>178</v>
      </c>
    </row>
    <row r="18" spans="1:8" ht="16.5" customHeight="1">
      <c r="A18" s="99">
        <f>IF(17&lt;=DAY(DATE(YEAR(설정_코스수당!$K$2),MONTH(설정_코스수당!$K$2)+1,0)),DATE(YEAR(설정_코스수당!$K$2),MONTH(설정_코스수당!$K$2),17),"")</f>
        <v>46190</v>
      </c>
      <c r="B18" s="14" t="s">
        <v>397</v>
      </c>
      <c r="C18" s="14" t="s">
        <v>398</v>
      </c>
      <c r="H18" s="14" t="s">
        <v>179</v>
      </c>
    </row>
    <row r="19" spans="1:8" ht="16.5" customHeight="1">
      <c r="A19" s="99">
        <f>IF(18&lt;=DAY(DATE(YEAR(설정_코스수당!$K$2),MONTH(설정_코스수당!$K$2)+1,0)),DATE(YEAR(설정_코스수당!$K$2),MONTH(설정_코스수당!$K$2),18),"")</f>
        <v>46191</v>
      </c>
      <c r="B19" s="14" t="s">
        <v>399</v>
      </c>
      <c r="C19" s="14" t="s">
        <v>400</v>
      </c>
      <c r="H19" s="14" t="s">
        <v>180</v>
      </c>
    </row>
    <row r="20" spans="1:8" ht="16.5" customHeight="1">
      <c r="A20" s="99">
        <f>IF(19&lt;=DAY(DATE(YEAR(설정_코스수당!$K$2),MONTH(설정_코스수당!$K$2)+1,0)),DATE(YEAR(설정_코스수당!$K$2),MONTH(설정_코스수당!$K$2),19),"")</f>
        <v>46192</v>
      </c>
      <c r="B20" s="14" t="s">
        <v>401</v>
      </c>
      <c r="C20" s="14" t="s">
        <v>402</v>
      </c>
      <c r="H20" s="14" t="s">
        <v>181</v>
      </c>
    </row>
    <row r="21" spans="1:8" ht="16.5" customHeight="1">
      <c r="A21" s="99">
        <f>IF(20&lt;=DAY(DATE(YEAR(설정_코스수당!$K$2),MONTH(설정_코스수당!$K$2)+1,0)),DATE(YEAR(설정_코스수당!$K$2),MONTH(설정_코스수당!$K$2),20),"")</f>
        <v>46193</v>
      </c>
      <c r="B21" s="14" t="s">
        <v>403</v>
      </c>
      <c r="C21" s="14" t="s">
        <v>404</v>
      </c>
      <c r="H21" s="14" t="s">
        <v>182</v>
      </c>
    </row>
    <row r="22" spans="1:8" ht="16.5" customHeight="1">
      <c r="A22" s="99">
        <f>IF(21&lt;=DAY(DATE(YEAR(설정_코스수당!$K$2),MONTH(설정_코스수당!$K$2)+1,0)),DATE(YEAR(설정_코스수당!$K$2),MONTH(설정_코스수당!$K$2),21),"")</f>
        <v>46194</v>
      </c>
      <c r="B22" s="14" t="s">
        <v>405</v>
      </c>
      <c r="H22" s="14" t="s">
        <v>183</v>
      </c>
    </row>
    <row r="23" spans="1:8" ht="16.5" customHeight="1">
      <c r="A23" s="99">
        <f>IF(22&lt;=DAY(DATE(YEAR(설정_코스수당!$K$2),MONTH(설정_코스수당!$K$2)+1,0)),DATE(YEAR(설정_코스수당!$K$2),MONTH(설정_코스수당!$K$2),22),"")</f>
        <v>46195</v>
      </c>
      <c r="B23" s="14" t="s">
        <v>406</v>
      </c>
      <c r="H23" s="14" t="s">
        <v>184</v>
      </c>
    </row>
    <row r="24" spans="1:8" ht="16.5" customHeight="1">
      <c r="A24" s="99">
        <f>IF(23&lt;=DAY(DATE(YEAR(설정_코스수당!$K$2),MONTH(설정_코스수당!$K$2)+1,0)),DATE(YEAR(설정_코스수당!$K$2),MONTH(설정_코스수당!$K$2),23),"")</f>
        <v>46196</v>
      </c>
      <c r="B24" s="14" t="s">
        <v>407</v>
      </c>
      <c r="H24" s="14" t="s">
        <v>185</v>
      </c>
    </row>
    <row r="25" spans="1:8" ht="16.5" customHeight="1">
      <c r="A25" s="99">
        <f>IF(24&lt;=DAY(DATE(YEAR(설정_코스수당!$K$2),MONTH(설정_코스수당!$K$2)+1,0)),DATE(YEAR(설정_코스수당!$K$2),MONTH(설정_코스수당!$K$2),24),"")</f>
        <v>46197</v>
      </c>
      <c r="B25" s="14" t="s">
        <v>408</v>
      </c>
      <c r="H25" s="14" t="s">
        <v>186</v>
      </c>
    </row>
    <row r="26" spans="1:8" ht="16.5" customHeight="1">
      <c r="A26" s="99">
        <f>IF(25&lt;=DAY(DATE(YEAR(설정_코스수당!$K$2),MONTH(설정_코스수당!$K$2)+1,0)),DATE(YEAR(설정_코스수당!$K$2),MONTH(설정_코스수당!$K$2),25),"")</f>
        <v>46198</v>
      </c>
      <c r="B26" s="14" t="s">
        <v>409</v>
      </c>
      <c r="H26" s="14" t="s">
        <v>187</v>
      </c>
    </row>
    <row r="27" spans="1:8" ht="16.5" customHeight="1">
      <c r="A27" s="99">
        <f>IF(26&lt;=DAY(DATE(YEAR(설정_코스수당!$K$2),MONTH(설정_코스수당!$K$2)+1,0)),DATE(YEAR(설정_코스수당!$K$2),MONTH(설정_코스수당!$K$2),26),"")</f>
        <v>46199</v>
      </c>
      <c r="B27" s="14" t="s">
        <v>410</v>
      </c>
      <c r="H27" s="14" t="s">
        <v>188</v>
      </c>
    </row>
    <row r="28" spans="1:8" ht="16.5" customHeight="1">
      <c r="A28" s="99">
        <f>IF(27&lt;=DAY(DATE(YEAR(설정_코스수당!$K$2),MONTH(설정_코스수당!$K$2)+1,0)),DATE(YEAR(설정_코스수당!$K$2),MONTH(설정_코스수당!$K$2),27),"")</f>
        <v>46200</v>
      </c>
      <c r="B28" s="14" t="s">
        <v>411</v>
      </c>
      <c r="H28" s="14" t="s">
        <v>189</v>
      </c>
    </row>
    <row r="29" spans="1:8" ht="16.5" customHeight="1">
      <c r="A29" s="99">
        <f>IF(28&lt;=DAY(DATE(YEAR(설정_코스수당!$K$2),MONTH(설정_코스수당!$K$2)+1,0)),DATE(YEAR(설정_코스수당!$K$2),MONTH(설정_코스수당!$K$2),28),"")</f>
        <v>46201</v>
      </c>
      <c r="B29" s="14" t="s">
        <v>412</v>
      </c>
      <c r="H29" s="14" t="s">
        <v>190</v>
      </c>
    </row>
    <row r="30" spans="1:8" ht="16.5" customHeight="1">
      <c r="A30" s="99">
        <f>IF(29&lt;=DAY(DATE(YEAR(설정_코스수당!$K$2),MONTH(설정_코스수당!$K$2)+1,0)),DATE(YEAR(설정_코스수당!$K$2),MONTH(설정_코스수당!$K$2),29),"")</f>
        <v>46202</v>
      </c>
      <c r="B30" s="14" t="s">
        <v>413</v>
      </c>
      <c r="H30" s="14" t="s">
        <v>191</v>
      </c>
    </row>
    <row r="31" spans="1:8" ht="16.5" customHeight="1">
      <c r="A31" s="99">
        <f>IF(30&lt;=DAY(DATE(YEAR(설정_코스수당!$K$2),MONTH(설정_코스수당!$K$2)+1,0)),DATE(YEAR(설정_코스수당!$K$2),MONTH(설정_코스수당!$K$2),30),"")</f>
        <v>46203</v>
      </c>
      <c r="B31" s="14" t="s">
        <v>414</v>
      </c>
      <c r="H31" s="14" t="s">
        <v>192</v>
      </c>
    </row>
    <row r="32" spans="1:8" ht="16.5" customHeight="1">
      <c r="A32" s="99" t="str">
        <f>IF(31&lt;=DAY(DATE(YEAR(설정_코스수당!$K$2),MONTH(설정_코스수당!$K$2)+1,0)),DATE(YEAR(설정_코스수당!$K$2),MONTH(설정_코스수당!$K$2),31),"")</f>
        <v/>
      </c>
      <c r="B32" s="14" t="s">
        <v>415</v>
      </c>
      <c r="H32" s="14" t="s">
        <v>193</v>
      </c>
    </row>
    <row r="33" spans="2:8" ht="16.5" customHeight="1">
      <c r="B33" s="14" t="s">
        <v>416</v>
      </c>
      <c r="H33" s="14" t="s">
        <v>194</v>
      </c>
    </row>
    <row r="34" spans="2:8" ht="16.5" customHeight="1">
      <c r="H34" s="14" t="s">
        <v>195</v>
      </c>
    </row>
    <row r="35" spans="2:8" ht="16.5" customHeight="1">
      <c r="H35" s="14" t="s">
        <v>196</v>
      </c>
    </row>
    <row r="36" spans="2:8" ht="16.5" customHeight="1">
      <c r="H36" s="14" t="s">
        <v>197</v>
      </c>
    </row>
    <row r="37" spans="2:8" ht="16.5" customHeight="1">
      <c r="H37" s="14" t="s">
        <v>198</v>
      </c>
    </row>
    <row r="38" spans="2:8" ht="16.5" customHeight="1">
      <c r="H38" s="14" t="s">
        <v>199</v>
      </c>
    </row>
    <row r="39" spans="2:8" ht="16.5" customHeight="1">
      <c r="H39" s="14" t="s">
        <v>200</v>
      </c>
    </row>
    <row r="40" spans="2:8" ht="16.5" customHeight="1">
      <c r="H40" s="14" t="s">
        <v>201</v>
      </c>
    </row>
    <row r="41" spans="2:8" ht="16.5" customHeight="1">
      <c r="H41" s="14" t="s">
        <v>202</v>
      </c>
    </row>
    <row r="42" spans="2:8" ht="16.5" customHeight="1">
      <c r="H42" s="14" t="s">
        <v>203</v>
      </c>
    </row>
    <row r="43" spans="2:8" ht="16.5" customHeight="1">
      <c r="H43" s="14" t="s">
        <v>204</v>
      </c>
    </row>
    <row r="44" spans="2:8" ht="16.5" customHeight="1">
      <c r="H44" s="14" t="s">
        <v>205</v>
      </c>
    </row>
    <row r="45" spans="2:8" ht="16.5" customHeight="1">
      <c r="H45" s="14" t="s">
        <v>206</v>
      </c>
    </row>
    <row r="46" spans="2:8" ht="16.5" customHeight="1">
      <c r="H46" s="14" t="s">
        <v>207</v>
      </c>
    </row>
    <row r="47" spans="2:8" ht="16.5" customHeight="1">
      <c r="H47" s="14" t="s">
        <v>208</v>
      </c>
    </row>
    <row r="48" spans="2:8" ht="16.5" customHeight="1">
      <c r="H48" s="14" t="s">
        <v>209</v>
      </c>
    </row>
    <row r="49" spans="8:8" ht="16.5" customHeight="1">
      <c r="H49" s="14" t="s">
        <v>210</v>
      </c>
    </row>
    <row r="50" spans="8:8" ht="16.5" customHeight="1">
      <c r="H50" s="14" t="s">
        <v>211</v>
      </c>
    </row>
    <row r="51" spans="8:8" ht="16.5" customHeight="1">
      <c r="H51" s="14" t="s">
        <v>212</v>
      </c>
    </row>
    <row r="52" spans="8:8" ht="16.5" customHeight="1"/>
    <row r="53" spans="8:8" ht="16.5" customHeight="1"/>
    <row r="54" spans="8:8" ht="16.5" customHeight="1"/>
    <row r="55" spans="8:8" ht="16.5" customHeight="1"/>
    <row r="56" spans="8:8" ht="16.5" customHeight="1"/>
    <row r="57" spans="8:8" ht="16.5" customHeight="1"/>
    <row r="58" spans="8:8" ht="16.5" customHeight="1"/>
    <row r="59" spans="8:8" ht="16.5" customHeight="1"/>
    <row r="60" spans="8:8" ht="16.5" customHeight="1"/>
    <row r="61" spans="8:8" ht="16.5" customHeight="1"/>
    <row r="62" spans="8:8" ht="16.5" customHeight="1"/>
    <row r="63" spans="8:8" ht="16.5" customHeight="1"/>
    <row r="64" spans="8:8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5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6</vt:i4>
      </vt:variant>
    </vt:vector>
  </HeadingPairs>
  <TitlesOfParts>
    <vt:vector size="18" baseType="lpstr">
      <vt:lpstr>오늘대시보드</vt:lpstr>
      <vt:lpstr>실시간콜입력</vt:lpstr>
      <vt:lpstr>웨이터리스트</vt:lpstr>
      <vt:lpstr>TV현황판</vt:lpstr>
      <vt:lpstr>운영팀근무인센</vt:lpstr>
      <vt:lpstr>귀케어일정산</vt:lpstr>
      <vt:lpstr>마사지사일정산</vt:lpstr>
      <vt:lpstr>월마감</vt:lpstr>
      <vt:lpstr>직원DB</vt:lpstr>
      <vt:lpstr>TV설정</vt:lpstr>
      <vt:lpstr>설정_코스수당</vt:lpstr>
      <vt:lpstr>목록</vt:lpstr>
      <vt:lpstr>귀케어목록</vt:lpstr>
      <vt:lpstr>날짜목록</vt:lpstr>
      <vt:lpstr>마사지사목록</vt:lpstr>
      <vt:lpstr>방번호목록</vt:lpstr>
      <vt:lpstr>시간목록</vt:lpstr>
      <vt:lpstr>코스목록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2026-06-03T14:05:38Z</dcterms:created>
  <dcterms:modified xsi:type="dcterms:W3CDTF">2026-06-03T15:12:08Z</dcterms:modified>
</cp:coreProperties>
</file>